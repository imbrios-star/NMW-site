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f5051718d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e Edits" sheetId="1" r:id="R12597157f8ac4718"/>
    <x:sheet xmlns:r="http://schemas.openxmlformats.org/officeDocument/2006/relationships" name="Guide" sheetId="2" r:id="R34e65583ccb249b0"/>
    <x:sheet xmlns:r="http://schemas.openxmlformats.org/officeDocument/2006/relationships" name="Summary" sheetId="3" r:id="Re6daabd82130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D242B"/>
      <x:name val="Aptos"/>
    </x:font>
    <x:font>
      <x:b/>
      <x:sz val="10"/>
      <x:color rgb="FFFFFFFF"/>
      <x:name val="Aptos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16A"/>
      </x:patternFill>
    </x:fill>
  </x:fills>
  <x:borders count="10">
    <x:border/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right style="thin">
        <x:color rgb="FFD9E0E6"/>
      </x:right>
      <x:top style="thin">
        <x:color rgb="FFD9E0E6"/>
      </x:top>
    </x:border>
    <x:border>
      <x:left style="thin">
        <x:color rgb="FFD9E0E6"/>
      </x:left>
      <x:top style="thin">
        <x:color rgb="FFD9E0E6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A5B00"/>
      </x:font>
      <x:fill>
        <x:patternFill patternType="solid">
          <x:bgColor rgb="FFFFF4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762b5d1f54979" /><Relationship Type="http://schemas.openxmlformats.org/officeDocument/2006/relationships/theme" Target="/xl/theme/theme1.xml" Id="R7c559f0984194175" /><Relationship Type="http://schemas.openxmlformats.org/officeDocument/2006/relationships/sharedStrings" Target="/xl/sharedStrings.xml" Id="Rfd91dd0664424841" /><Relationship Type="http://schemas.openxmlformats.org/officeDocument/2006/relationships/worksheet" Target="/xl/worksheets/sheet1.xml" Id="R12597157f8ac4718" /><Relationship Type="http://schemas.openxmlformats.org/officeDocument/2006/relationships/worksheet" Target="/xl/worksheets/sheet2.xml" Id="R34e65583ccb249b0" /><Relationship Type="http://schemas.openxmlformats.org/officeDocument/2006/relationships/worksheet" Target="/xl/worksheets/sheet3.xml" Id="Re6daabd821304da7" /></Relationships>
</file>

<file path=xl/tables/table1.xml><?xml version="1.0" encoding="utf-8"?>
<x:table xmlns:x="http://schemas.openxmlformats.org/spreadsheetml/2006/main" id="1" name="ToneEditsTable" displayName="ToneEditsTable" ref="A1:L8417" headerRowCount="1" totalsRowCount="0" totalsRowShown="0">
  <x:tableColumns count="12">
    <x:tableColumn id="1" name="Character"/>
    <x:tableColumn id="2" name="Chosen Tone"/>
    <x:tableColumn id="3" name="Review Status"/>
    <x:tableColumn id="4" name="Possible Source Tones"/>
    <x:tableColumn id="5" name="Middle Chinese Pronunciation"/>
    <x:tableColumn id="6" name="Pingshui Rhyme Group"/>
    <x:tableColumn id="7" name="Rhyme Group Source"/>
    <x:tableColumn id="8" name="Source Row Count"/>
    <x:tableColumn id="9" name="Notes"/>
    <x:tableColumn id="10" name="Chosen Ping-Ze"/>
    <x:tableColumn id="11" name="Source Ping-Ze"/>
    <x:tableColumn id="12" name="Preliminary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e9d612f1a6472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24" hidden="0" customWidth="1"/>
    <x:col min="7" max="7" width="24" hidden="0" customWidth="1"/>
    <x:col min="8" max="8" width="16" hidden="0" customWidth="1"/>
    <x:col min="9" max="9" width="42" hidden="0" customWidth="1"/>
    <x:col min="10" max="10" width="18" hidden="0" customWidth="1"/>
    <x:col min="11" max="11" width="18" hidden="0" customWidth="1"/>
    <x:col min="12" max="12" width="26" hidden="0" customWidth="1"/>
  </x:cols>
  <x:sheetData>
    <x:row r="1">
      <x:c r="A1" s="14" t="str">
        <x:v>Character</x:v>
      </x:c>
      <x:c r="B1" s="15" t="str">
        <x:v>Chosen Tone</x:v>
      </x:c>
      <x:c r="C1" s="15" t="str">
        <x:v>Review Status</x:v>
      </x:c>
      <x:c r="D1" s="15" t="str">
        <x:v>Possible Source Tones</x:v>
      </x:c>
      <x:c r="E1" s="17" t="str">
        <x:v>Middle Chinese Pronunciation</x:v>
      </x:c>
      <x:c r="F1" s="17" t="str">
        <x:v>Pingshui Rhyme Group</x:v>
      </x:c>
      <x:c r="G1" s="17" t="str">
        <x:v>Rhyme Group Source</x:v>
      </x:c>
      <x:c r="H1" s="17" t="str">
        <x:v>Source Row Count</x:v>
      </x:c>
      <x:c r="I1" s="17" t="str">
        <x:v>Notes</x:v>
      </x:c>
      <x:c r="J1" s="15" t="str">
        <x:v>Chosen Ping-Ze</x:v>
      </x:c>
      <x:c r="K1" s="15" t="str">
        <x:v>Source Ping-Ze</x:v>
      </x:c>
      <x:c r="L1" s="18" t="str">
        <x:v>Preliminary Source</x:v>
      </x:c>
    </x:row>
    <x:row r="2">
      <x:c r="A2" s="5" t="str">
        <x:v>㐱</x:v>
      </x:c>
      <x:c r="B2" s="6" t="str">
        <x:v>上</x:v>
      </x:c>
      <x:c r="C2" s="6" t="str">
        <x:f>IF(B2="","Needs decision","Ready")</x:f>
        <x:v>Ready</x:v>
      </x:c>
      <x:c r="D2" s="6" t="str">
        <x:v>上</x:v>
      </x:c>
      <x:c r="E2" s="6" t="str">
        <x:v>tsyinX (B)</x:v>
      </x:c>
      <x:c r="F2" s="6" t="str"/>
      <x:c r="G2" s="6" t="str"/>
      <x:c r="H2" s="6" t="str">
        <x:v>1</x:v>
      </x:c>
      <x:c r="I2" s="6" t="str"/>
      <x:c r="J2" s="6" t="str">
        <x:f>IF(B2="","",IF(AND(ISNUMBER(SEARCH("平",B2)),OR(ISNUMBER(SEARCH("上",B2)),ISNUMBER(SEARCH("去",B2)),ISNUMBER(SEARCH("入",B2)))),"Ambiguous",IF(ISNUMBER(SEARCH("平",B2)),"平","仄")))</x:f>
        <x:v>仄</x:v>
      </x:c>
      <x:c r="K2" s="6" t="str">
        <x:f>IF(D2="","",IF(AND(ISNUMBER(SEARCH("平",D2)),OR(ISNUMBER(SEARCH("上",D2)),ISNUMBER(SEARCH("去",D2)),ISNUMBER(SEARCH("入",D2)))),"Ambiguous",IF(ISNUMBER(SEARCH("平",D2)),"平","仄")))</x:f>
        <x:v>仄</x:v>
      </x:c>
      <x:c r="L2" s="7" t="str"/>
    </x:row>
    <x:row r="3">
      <x:c r="A3" s="5" t="str">
        <x:v>㓞</x:v>
      </x:c>
      <x:c r="B3" s="6" t="str">
        <x:v>入</x:v>
      </x:c>
      <x:c r="C3" s="6" t="str">
        <x:f>IF(B3="","Needs decision","Ready")</x:f>
        <x:v>Ready</x:v>
      </x:c>
      <x:c r="D3" s="6" t="str">
        <x:v>入</x:v>
      </x:c>
      <x:c r="E3" s="6" t="str">
        <x:v>kheat (D)</x:v>
      </x:c>
      <x:c r="F3" s="6" t="str"/>
      <x:c r="G3" s="6" t="str"/>
      <x:c r="H3" s="6" t="str">
        <x:v>1</x:v>
      </x:c>
      <x:c r="I3" s="6" t="str"/>
      <x:c r="J3" s="6" t="str">
        <x:f>IF(B3="","",IF(AND(ISNUMBER(SEARCH("平",B3)),OR(ISNUMBER(SEARCH("上",B3)),ISNUMBER(SEARCH("去",B3)),ISNUMBER(SEARCH("入",B3)))),"Ambiguous",IF(ISNUMBER(SEARCH("平",B3)),"平","仄")))</x:f>
        <x:v>仄</x:v>
      </x:c>
      <x:c r="K3" s="6" t="str">
        <x:f>IF(D3="","",IF(AND(ISNUMBER(SEARCH("平",D3)),OR(ISNUMBER(SEARCH("上",D3)),ISNUMBER(SEARCH("去",D3)),ISNUMBER(SEARCH("入",D3)))),"Ambiguous",IF(ISNUMBER(SEARCH("平",D3)),"平","仄")))</x:f>
        <x:v>仄</x:v>
      </x:c>
      <x:c r="L3" s="7" t="str"/>
    </x:row>
    <x:row r="4">
      <x:c r="A4" s="5" t="str">
        <x:v>㓠</x:v>
      </x:c>
      <x:c r="B4" s="6" t="str"/>
      <x:c r="C4" s="6" t="str">
        <x:f>IF(B4="","Needs decision","Ready")</x:f>
        <x:v>Needs decision</x:v>
      </x:c>
      <x:c r="D4" s="6" t="str">
        <x:v>上/去</x:v>
      </x:c>
      <x:c r="E4" s="6" t="str">
        <x:v>temX (B); temH (C)</x:v>
      </x:c>
      <x:c r="F4" s="6" t="str"/>
      <x:c r="G4" s="6" t="str"/>
      <x:c r="H4" s="6" t="str">
        <x:v>2</x:v>
      </x:c>
      <x:c r="I4" s="6" t="str"/>
      <x:c r="J4" s="6" t="str">
        <x:f>IF(B4="","",IF(AND(ISNUMBER(SEARCH("平",B4)),OR(ISNUMBER(SEARCH("上",B4)),ISNUMBER(SEARCH("去",B4)),ISNUMBER(SEARCH("入",B4)))),"Ambiguous",IF(ISNUMBER(SEARCH("平",B4)),"平","仄")))</x:f>
      </x:c>
      <x:c r="K4" s="6" t="str">
        <x:f>IF(D4="","",IF(AND(ISNUMBER(SEARCH("平",D4)),OR(ISNUMBER(SEARCH("上",D4)),ISNUMBER(SEARCH("去",D4)),ISNUMBER(SEARCH("入",D4)))),"Ambiguous",IF(ISNUMBER(SEARCH("平",D4)),"平","仄")))</x:f>
        <x:v>仄</x:v>
      </x:c>
      <x:c r="L4" s="7" t="str"/>
    </x:row>
    <x:row r="5">
      <x:c r="A5" s="5" t="str">
        <x:v>㓷</x:v>
      </x:c>
      <x:c r="B5" s="6" t="str">
        <x:v>去</x:v>
      </x:c>
      <x:c r="C5" s="6" t="str">
        <x:f>IF(B5="","Needs decision","Ready")</x:f>
        <x:v>Ready</x:v>
      </x:c>
      <x:c r="D5" s="6" t="str">
        <x:v>去</x:v>
      </x:c>
      <x:c r="E5" s="6" t="str">
        <x:v>ngjejH (C)</x:v>
      </x:c>
      <x:c r="F5" s="6" t="str"/>
      <x:c r="G5" s="6" t="str"/>
      <x:c r="H5" s="6" t="str">
        <x:v>1</x:v>
      </x:c>
      <x:c r="I5" s="6" t="str"/>
      <x:c r="J5" s="6" t="str">
        <x:f>IF(B5="","",IF(AND(ISNUMBER(SEARCH("平",B5)),OR(ISNUMBER(SEARCH("上",B5)),ISNUMBER(SEARCH("去",B5)),ISNUMBER(SEARCH("入",B5)))),"Ambiguous",IF(ISNUMBER(SEARCH("平",B5)),"平","仄")))</x:f>
        <x:v>仄</x:v>
      </x:c>
      <x:c r="K5" s="6" t="str">
        <x:f>IF(D5="","",IF(AND(ISNUMBER(SEARCH("平",D5)),OR(ISNUMBER(SEARCH("上",D5)),ISNUMBER(SEARCH("去",D5)),ISNUMBER(SEARCH("入",D5)))),"Ambiguous",IF(ISNUMBER(SEARCH("平",D5)),"平","仄")))</x:f>
        <x:v>仄</x:v>
      </x:c>
      <x:c r="L5" s="7" t="str"/>
    </x:row>
    <x:row r="6">
      <x:c r="A6" s="5" t="str">
        <x:v>㔩</x:v>
      </x:c>
      <x:c r="B6" s="6" t="str">
        <x:v>入</x:v>
      </x:c>
      <x:c r="C6" s="6" t="str">
        <x:f>IF(B6="","Needs decision","Ready")</x:f>
        <x:v>Ready</x:v>
      </x:c>
      <x:c r="D6" s="6" t="str">
        <x:v>入</x:v>
      </x:c>
      <x:c r="E6" s="6" t="str">
        <x:v>'op [ʔ̙əp] (入)</x:v>
      </x:c>
      <x:c r="F6" s="6" t="str"/>
      <x:c r="G6" s="6" t="str"/>
      <x:c r="H6" s="6" t="str">
        <x:v>1</x:v>
      </x:c>
      <x:c r="I6" s="6" t="str">
        <x:v>Tang 300 gap; frequency 1; provisional from Xun Gong</x:v>
      </x:c>
      <x:c r="J6" s="6" t="str">
        <x:f>IF(B6="","",IF(AND(ISNUMBER(SEARCH("平",B6)),OR(ISNUMBER(SEARCH("上",B6)),ISNUMBER(SEARCH("去",B6)),ISNUMBER(SEARCH("入",B6)))),"Ambiguous",IF(ISNUMBER(SEARCH("平",B6)),"平","仄")))</x:f>
        <x:v>仄</x:v>
      </x:c>
      <x:c r="K6" s="6" t="str">
        <x:f>IF(D6="","",IF(AND(ISNUMBER(SEARCH("平",D6)),OR(ISNUMBER(SEARCH("上",D6)),ISNUMBER(SEARCH("去",D6)),ISNUMBER(SEARCH("入",D6)))),"Ambiguous",IF(ISNUMBER(SEARCH("平",D6)),"平","仄")))</x:f>
        <x:v>仄</x:v>
      </x:c>
      <x:c r="L6" s="7" t="str">
        <x:v>Xun Gong, Tang 300 gap fill</x:v>
      </x:c>
    </x:row>
    <x:row r="7">
      <x:c r="A7" s="5" t="str">
        <x:v>㕚</x:v>
      </x:c>
      <x:c r="B7" s="6" t="str">
        <x:v>上</x:v>
      </x:c>
      <x:c r="C7" s="6" t="str">
        <x:f>IF(B7="","Needs decision","Ready")</x:f>
        <x:v>Ready</x:v>
      </x:c>
      <x:c r="D7" s="6" t="str">
        <x:v>上</x:v>
      </x:c>
      <x:c r="E7" s="6" t="str">
        <x:v>tsraewX (B)</x:v>
      </x:c>
      <x:c r="F7" s="6" t="str"/>
      <x:c r="G7" s="6" t="str"/>
      <x:c r="H7" s="6" t="str">
        <x:v>1</x:v>
      </x:c>
      <x:c r="I7" s="6" t="str"/>
      <x:c r="J7" s="6" t="str">
        <x:f>IF(B7="","",IF(AND(ISNUMBER(SEARCH("平",B7)),OR(ISNUMBER(SEARCH("上",B7)),ISNUMBER(SEARCH("去",B7)),ISNUMBER(SEARCH("入",B7)))),"Ambiguous",IF(ISNUMBER(SEARCH("平",B7)),"平","仄")))</x:f>
        <x:v>仄</x:v>
      </x:c>
      <x:c r="K7" s="6" t="str">
        <x:f>IF(D7="","",IF(AND(ISNUMBER(SEARCH("平",D7)),OR(ISNUMBER(SEARCH("上",D7)),ISNUMBER(SEARCH("去",D7)),ISNUMBER(SEARCH("入",D7)))),"Ambiguous",IF(ISNUMBER(SEARCH("平",D7)),"平","仄")))</x:f>
        <x:v>仄</x:v>
      </x:c>
      <x:c r="L7" s="7" t="str"/>
    </x:row>
    <x:row r="8">
      <x:c r="A8" s="5" t="str">
        <x:v>㘣</x:v>
      </x:c>
      <x:c r="B8" s="6" t="str">
        <x:v>平</x:v>
      </x:c>
      <x:c r="C8" s="6" t="str">
        <x:f>IF(B8="","Needs decision","Ready")</x:f>
        <x:v>Ready</x:v>
      </x:c>
      <x:c r="D8" s="6" t="str">
        <x:v>平</x:v>
      </x:c>
      <x:c r="E8" s="6" t="str">
        <x:v>zjwen (A)</x:v>
      </x:c>
      <x:c r="F8" s="6" t="str"/>
      <x:c r="G8" s="6" t="str"/>
      <x:c r="H8" s="6" t="str">
        <x:v>1</x:v>
      </x:c>
      <x:c r="I8" s="6" t="str"/>
      <x:c r="J8" s="6" t="str">
        <x:f>IF(B8="","",IF(AND(ISNUMBER(SEARCH("平",B8)),OR(ISNUMBER(SEARCH("上",B8)),ISNUMBER(SEARCH("去",B8)),ISNUMBER(SEARCH("入",B8)))),"Ambiguous",IF(ISNUMBER(SEARCH("平",B8)),"平","仄")))</x:f>
        <x:v>平</x:v>
      </x:c>
      <x:c r="K8" s="6" t="str">
        <x:f>IF(D8="","",IF(AND(ISNUMBER(SEARCH("平",D8)),OR(ISNUMBER(SEARCH("上",D8)),ISNUMBER(SEARCH("去",D8)),ISNUMBER(SEARCH("入",D8)))),"Ambiguous",IF(ISNUMBER(SEARCH("平",D8)),"平","仄")))</x:f>
        <x:v>平</x:v>
      </x:c>
      <x:c r="L8" s="7" t="str"/>
    </x:row>
    <x:row r="9">
      <x:c r="A9" s="5" t="str">
        <x:v>㝌</x:v>
      </x:c>
      <x:c r="B9" s="6" t="str">
        <x:v>去</x:v>
      </x:c>
      <x:c r="C9" s="6" t="str">
        <x:f>IF(B9="","Needs decision","Ready")</x:f>
        <x:v>Ready</x:v>
      </x:c>
      <x:c r="D9" s="6" t="str">
        <x:v>去</x:v>
      </x:c>
      <x:c r="E9" s="6" t="str">
        <x:v>kjuwH (C)</x:v>
      </x:c>
      <x:c r="F9" s="6" t="str"/>
      <x:c r="G9" s="6" t="str"/>
      <x:c r="H9" s="6" t="str">
        <x:v>1</x:v>
      </x:c>
      <x:c r="I9" s="6" t="str"/>
      <x:c r="J9" s="6" t="str">
        <x:f>IF(B9="","",IF(AND(ISNUMBER(SEARCH("平",B9)),OR(ISNUMBER(SEARCH("上",B9)),ISNUMBER(SEARCH("去",B9)),ISNUMBER(SEARCH("入",B9)))),"Ambiguous",IF(ISNUMBER(SEARCH("平",B9)),"平","仄")))</x:f>
        <x:v>仄</x:v>
      </x:c>
      <x:c r="K9" s="6" t="str">
        <x:f>IF(D9="","",IF(AND(ISNUMBER(SEARCH("平",D9)),OR(ISNUMBER(SEARCH("上",D9)),ISNUMBER(SEARCH("去",D9)),ISNUMBER(SEARCH("入",D9)))),"Ambiguous",IF(ISNUMBER(SEARCH("平",D9)),"平","仄")))</x:f>
        <x:v>仄</x:v>
      </x:c>
      <x:c r="L9" s="7" t="str"/>
    </x:row>
    <x:row r="10">
      <x:c r="A10" s="5" t="str">
        <x:v>㝐</x:v>
      </x:c>
      <x:c r="B10" s="6" t="str">
        <x:v>平</x:v>
      </x:c>
      <x:c r="C10" s="6" t="str">
        <x:f>IF(B10="","Needs decision","Ready")</x:f>
        <x:v>Ready</x:v>
      </x:c>
      <x:c r="D10" s="6" t="str">
        <x:v>平</x:v>
      </x:c>
      <x:c r="E10" s="6" t="str">
        <x:v>yowng (A)</x:v>
      </x:c>
      <x:c r="F10" s="6" t="str"/>
      <x:c r="G10" s="6" t="str"/>
      <x:c r="H10" s="6" t="str">
        <x:v>1</x:v>
      </x:c>
      <x:c r="I10" s="6" t="str"/>
      <x:c r="J10" s="6" t="str">
        <x:f>IF(B10="","",IF(AND(ISNUMBER(SEARCH("平",B10)),OR(ISNUMBER(SEARCH("上",B10)),ISNUMBER(SEARCH("去",B10)),ISNUMBER(SEARCH("入",B10)))),"Ambiguous",IF(ISNUMBER(SEARCH("平",B10)),"平","仄")))</x:f>
        <x:v>平</x:v>
      </x:c>
      <x:c r="K10" s="6" t="str">
        <x:f>IF(D10="","",IF(AND(ISNUMBER(SEARCH("平",D10)),OR(ISNUMBER(SEARCH("上",D10)),ISNUMBER(SEARCH("去",D10)),ISNUMBER(SEARCH("入",D10)))),"Ambiguous",IF(ISNUMBER(SEARCH("平",D10)),"平","仄")))</x:f>
        <x:v>平</x:v>
      </x:c>
      <x:c r="L10" s="7" t="str"/>
    </x:row>
    <x:row r="11">
      <x:c r="A11" s="5" t="str">
        <x:v>㝢</x:v>
      </x:c>
      <x:c r="B11" s="6" t="str">
        <x:v>上</x:v>
      </x:c>
      <x:c r="C11" s="6" t="str">
        <x:f>IF(B11="","Needs decision","Ready")</x:f>
        <x:v>Ready</x:v>
      </x:c>
      <x:c r="D11" s="6" t="str">
        <x:v>上</x:v>
      </x:c>
      <x:c r="E11" s="6" t="str"/>
      <x:c r="F11" s="6" t="str"/>
      <x:c r="G11" s="6" t="str"/>
      <x:c r="H11" s="6" t="str"/>
      <x:c r="I11" s="6" t="str">
        <x:v>Manual user correction/addition</x:v>
      </x:c>
      <x:c r="J11" s="6" t="str">
        <x:f>IF(B11="","",IF(AND(ISNUMBER(SEARCH("平",B11)),OR(ISNUMBER(SEARCH("上",B11)),ISNUMBER(SEARCH("去",B11)),ISNUMBER(SEARCH("入",B11)))),"Ambiguous",IF(ISNUMBER(SEARCH("平",B11)),"平","仄")))</x:f>
        <x:v>仄</x:v>
      </x:c>
      <x:c r="K11" s="6" t="str">
        <x:f>IF(D11="","",IF(AND(ISNUMBER(SEARCH("平",D11)),OR(ISNUMBER(SEARCH("上",D11)),ISNUMBER(SEARCH("去",D11)),ISNUMBER(SEARCH("入",D11)))),"Ambiguous",IF(ISNUMBER(SEARCH("平",D11)),"平","仄")))</x:f>
        <x:v>仄</x:v>
      </x:c>
      <x:c r="L11" s="7" t="str">
        <x:v>manual user correction</x:v>
      </x:c>
    </x:row>
    <x:row r="12">
      <x:c r="A12" s="5" t="str">
        <x:v>㟪</x:v>
      </x:c>
      <x:c r="B12" s="6" t="str">
        <x:v>上</x:v>
      </x:c>
      <x:c r="C12" s="6" t="str">
        <x:f>IF(B12="","Needs decision","Ready")</x:f>
        <x:v>Ready</x:v>
      </x:c>
      <x:c r="D12" s="6" t="str">
        <x:v>上</x:v>
      </x:c>
      <x:c r="E12" s="6" t="str"/>
      <x:c r="F12" s="6" t="str"/>
      <x:c r="G12" s="6" t="str"/>
      <x:c r="H12" s="6" t="str"/>
      <x:c r="I12" s="6" t="str">
        <x:v>Not found in Xun Gong source; needs manual lookup; User workbook edit 2026-09-03</x:v>
      </x:c>
      <x:c r="J12" s="6" t="str">
        <x:f>IF(B12="","",IF(AND(ISNUMBER(SEARCH("平",B12)),OR(ISNUMBER(SEARCH("上",B12)),ISNUMBER(SEARCH("去",B12)),ISNUMBER(SEARCH("入",B12)))),"Ambiguous",IF(ISNUMBER(SEARCH("平",B12)),"平","仄")))</x:f>
        <x:v>仄</x:v>
      </x:c>
      <x:c r="K12" s="6" t="str">
        <x:f>IF(D12="","",IF(AND(ISNUMBER(SEARCH("平",D12)),OR(ISNUMBER(SEARCH("上",D12)),ISNUMBER(SEARCH("去",D12)),ISNUMBER(SEARCH("入",D12)))),"Ambiguous",IF(ISNUMBER(SEARCH("平",D12)),"平","仄")))</x:f>
        <x:v>仄</x:v>
      </x:c>
      <x:c r="L12" s="7" t="str">
        <x:v>manual user correction</x:v>
      </x:c>
    </x:row>
    <x:row r="13">
      <x:c r="A13" s="5" t="str">
        <x:v>㠯</x:v>
      </x:c>
      <x:c r="B13" s="6" t="str">
        <x:v>上</x:v>
      </x:c>
      <x:c r="C13" s="6" t="str">
        <x:f>IF(B13="","Needs decision","Ready")</x:f>
        <x:v>Ready</x:v>
      </x:c>
      <x:c r="D13" s="6" t="str">
        <x:v>上</x:v>
      </x:c>
      <x:c r="E13" s="6" t="str">
        <x:v>yiX (B)</x:v>
      </x:c>
      <x:c r="F13" s="6" t="str"/>
      <x:c r="G13" s="6" t="str"/>
      <x:c r="H13" s="6" t="str">
        <x:v>1</x:v>
      </x:c>
      <x:c r="I13" s="6" t="str"/>
      <x:c r="J13" s="6" t="str">
        <x:f>IF(B13="","",IF(AND(ISNUMBER(SEARCH("平",B13)),OR(ISNUMBER(SEARCH("上",B13)),ISNUMBER(SEARCH("去",B13)),ISNUMBER(SEARCH("入",B13)))),"Ambiguous",IF(ISNUMBER(SEARCH("平",B13)),"平","仄")))</x:f>
        <x:v>仄</x:v>
      </x:c>
      <x:c r="K13" s="6" t="str">
        <x:f>IF(D13="","",IF(AND(ISNUMBER(SEARCH("平",D13)),OR(ISNUMBER(SEARCH("上",D13)),ISNUMBER(SEARCH("去",D13)),ISNUMBER(SEARCH("入",D13)))),"Ambiguous",IF(ISNUMBER(SEARCH("平",D13)),"平","仄")))</x:f>
        <x:v>仄</x:v>
      </x:c>
      <x:c r="L13" s="7" t="str"/>
    </x:row>
    <x:row r="14">
      <x:c r="A14" s="5" t="str">
        <x:v>㡿</x:v>
      </x:c>
      <x:c r="B14" s="6" t="str">
        <x:v>入</x:v>
      </x:c>
      <x:c r="C14" s="6" t="str">
        <x:f>IF(B14="","Needs decision","Ready")</x:f>
        <x:v>Ready</x:v>
      </x:c>
      <x:c r="D14" s="6" t="str">
        <x:v>入</x:v>
      </x:c>
      <x:c r="E14" s="6" t="str">
        <x:v>tsyhek (D)</x:v>
      </x:c>
      <x:c r="F14" s="6" t="str"/>
      <x:c r="G14" s="6" t="str"/>
      <x:c r="H14" s="6" t="str">
        <x:v>1</x:v>
      </x:c>
      <x:c r="I14" s="6" t="str"/>
      <x:c r="J14" s="6" t="str">
        <x:f>IF(B14="","",IF(AND(ISNUMBER(SEARCH("平",B14)),OR(ISNUMBER(SEARCH("上",B14)),ISNUMBER(SEARCH("去",B14)),ISNUMBER(SEARCH("入",B14)))),"Ambiguous",IF(ISNUMBER(SEARCH("平",B14)),"平","仄")))</x:f>
        <x:v>仄</x:v>
      </x:c>
      <x:c r="K14" s="6" t="str">
        <x:f>IF(D14="","",IF(AND(ISNUMBER(SEARCH("平",D14)),OR(ISNUMBER(SEARCH("上",D14)),ISNUMBER(SEARCH("去",D14)),ISNUMBER(SEARCH("入",D14)))),"Ambiguous",IF(ISNUMBER(SEARCH("平",D14)),"平","仄")))</x:f>
        <x:v>仄</x:v>
      </x:c>
      <x:c r="L14" s="7" t="str"/>
    </x:row>
    <x:row r="15">
      <x:c r="A15" s="5" t="str">
        <x:v>㦤</x:v>
      </x:c>
      <x:c r="B15" s="6" t="str">
        <x:v>去</x:v>
      </x:c>
      <x:c r="C15" s="6" t="str">
        <x:f>IF(B15="","Needs decision","Ready")</x:f>
        <x:v>Ready</x:v>
      </x:c>
      <x:c r="D15" s="6" t="str">
        <x:v>去</x:v>
      </x:c>
      <x:c r="E15" s="6" t="str">
        <x:v>'ijH (C)</x:v>
      </x:c>
      <x:c r="F15" s="6" t="str"/>
      <x:c r="G15" s="6" t="str"/>
      <x:c r="H15" s="6" t="str">
        <x:v>1</x:v>
      </x:c>
      <x:c r="I15" s="6" t="str"/>
      <x:c r="J15" s="6" t="str">
        <x:f>IF(B15="","",IF(AND(ISNUMBER(SEARCH("平",B15)),OR(ISNUMBER(SEARCH("上",B15)),ISNUMBER(SEARCH("去",B15)),ISNUMBER(SEARCH("入",B15)))),"Ambiguous",IF(ISNUMBER(SEARCH("平",B15)),"平","仄")))</x:f>
        <x:v>仄</x:v>
      </x:c>
      <x:c r="K15" s="6" t="str">
        <x:f>IF(D15="","",IF(AND(ISNUMBER(SEARCH("平",D15)),OR(ISNUMBER(SEARCH("上",D15)),ISNUMBER(SEARCH("去",D15)),ISNUMBER(SEARCH("入",D15)))),"Ambiguous",IF(ISNUMBER(SEARCH("平",D15)),"平","仄")))</x:f>
        <x:v>仄</x:v>
      </x:c>
      <x:c r="L15" s="7" t="str"/>
    </x:row>
    <x:row r="16">
      <x:c r="A16" s="5" t="str">
        <x:v>㫃</x:v>
      </x:c>
      <x:c r="B16" s="6" t="str">
        <x:v>上</x:v>
      </x:c>
      <x:c r="C16" s="6" t="str">
        <x:f>IF(B16="","Needs decision","Ready")</x:f>
        <x:v>Ready</x:v>
      </x:c>
      <x:c r="D16" s="6" t="str">
        <x:v>上</x:v>
      </x:c>
      <x:c r="E16" s="6" t="str">
        <x:v>'jonX (B)</x:v>
      </x:c>
      <x:c r="F16" s="6" t="str"/>
      <x:c r="G16" s="6" t="str"/>
      <x:c r="H16" s="6" t="str">
        <x:v>1</x:v>
      </x:c>
      <x:c r="I16" s="6" t="str"/>
      <x:c r="J16" s="6" t="str">
        <x:f>IF(B16="","",IF(AND(ISNUMBER(SEARCH("平",B16)),OR(ISNUMBER(SEARCH("上",B16)),ISNUMBER(SEARCH("去",B16)),ISNUMBER(SEARCH("入",B16)))),"Ambiguous",IF(ISNUMBER(SEARCH("平",B16)),"平","仄")))</x:f>
        <x:v>仄</x:v>
      </x:c>
      <x:c r="K16" s="6" t="str">
        <x:f>IF(D16="","",IF(AND(ISNUMBER(SEARCH("平",D16)),OR(ISNUMBER(SEARCH("上",D16)),ISNUMBER(SEARCH("去",D16)),ISNUMBER(SEARCH("入",D16)))),"Ambiguous",IF(ISNUMBER(SEARCH("平",D16)),"平","仄")))</x:f>
        <x:v>仄</x:v>
      </x:c>
      <x:c r="L16" s="7" t="str"/>
    </x:row>
    <x:row r="17">
      <x:c r="A17" s="5" t="str">
        <x:v>㬰</x:v>
      </x:c>
      <x:c r="B17" s="6" t="str">
        <x:v>去</x:v>
      </x:c>
      <x:c r="C17" s="6" t="str">
        <x:f>IF(B17="","Needs decision","Ready")</x:f>
        <x:v>Ready</x:v>
      </x:c>
      <x:c r="D17" s="6" t="str">
        <x:v>去</x:v>
      </x:c>
      <x:c r="E17" s="6" t="str">
        <x:v>gwijH (C)</x:v>
      </x:c>
      <x:c r="F17" s="6" t="str"/>
      <x:c r="G17" s="6" t="str"/>
      <x:c r="H17" s="6" t="str">
        <x:v>1</x:v>
      </x:c>
      <x:c r="I17" s="6" t="str"/>
      <x:c r="J17" s="6" t="str">
        <x:f>IF(B17="","",IF(AND(ISNUMBER(SEARCH("平",B17)),OR(ISNUMBER(SEARCH("上",B17)),ISNUMBER(SEARCH("去",B17)),ISNUMBER(SEARCH("入",B17)))),"Ambiguous",IF(ISNUMBER(SEARCH("平",B17)),"平","仄")))</x:f>
        <x:v>仄</x:v>
      </x:c>
      <x:c r="K17" s="6" t="str">
        <x:f>IF(D17="","",IF(AND(ISNUMBER(SEARCH("平",D17)),OR(ISNUMBER(SEARCH("上",D17)),ISNUMBER(SEARCH("去",D17)),ISNUMBER(SEARCH("入",D17)))),"Ambiguous",IF(ISNUMBER(SEARCH("平",D17)),"平","仄")))</x:f>
        <x:v>仄</x:v>
      </x:c>
      <x:c r="L17" s="7" t="str"/>
    </x:row>
    <x:row r="18">
      <x:c r="A18" s="5" t="str">
        <x:v>㯔</x:v>
      </x:c>
      <x:c r="B18" s="6" t="str">
        <x:v>去</x:v>
      </x:c>
      <x:c r="C18" s="6" t="str">
        <x:f>IF(B18="","Needs decision","Ready")</x:f>
        <x:v>Ready</x:v>
      </x:c>
      <x:c r="D18" s="6" t="str">
        <x:v>去</x:v>
      </x:c>
      <x:c r="E18" s="6" t="str">
        <x:v>tsrhjwejH (C)</x:v>
      </x:c>
      <x:c r="F18" s="6" t="str"/>
      <x:c r="G18" s="6" t="str"/>
      <x:c r="H18" s="6" t="str">
        <x:v>1</x:v>
      </x:c>
      <x:c r="I18" s="6" t="str"/>
      <x:c r="J18" s="6" t="str">
        <x:f>IF(B18="","",IF(AND(ISNUMBER(SEARCH("平",B18)),OR(ISNUMBER(SEARCH("上",B18)),ISNUMBER(SEARCH("去",B18)),ISNUMBER(SEARCH("入",B18)))),"Ambiguous",IF(ISNUMBER(SEARCH("平",B18)),"平","仄")))</x:f>
        <x:v>仄</x:v>
      </x:c>
      <x:c r="K18" s="6" t="str">
        <x:f>IF(D18="","",IF(AND(ISNUMBER(SEARCH("平",D18)),OR(ISNUMBER(SEARCH("上",D18)),ISNUMBER(SEARCH("去",D18)),ISNUMBER(SEARCH("入",D18)))),"Ambiguous",IF(ISNUMBER(SEARCH("平",D18)),"平","仄")))</x:f>
        <x:v>仄</x:v>
      </x:c>
      <x:c r="L18" s="7" t="str"/>
    </x:row>
    <x:row r="19">
      <x:c r="A19" s="5" t="str">
        <x:v>㯟</x:v>
      </x:c>
      <x:c r="B19" s="6" t="str">
        <x:v>入</x:v>
      </x:c>
      <x:c r="C19" s="6" t="str">
        <x:f>IF(B19="","Needs decision","Ready")</x:f>
        <x:v>Ready</x:v>
      </x:c>
      <x:c r="D19" s="6" t="str">
        <x:v>入</x:v>
      </x:c>
      <x:c r="E19" s="6" t="str">
        <x:v>luwk (D)</x:v>
      </x:c>
      <x:c r="F19" s="6" t="str"/>
      <x:c r="G19" s="6" t="str"/>
      <x:c r="H19" s="6" t="str">
        <x:v>1</x:v>
      </x:c>
      <x:c r="I19" s="6" t="str"/>
      <x:c r="J19" s="6" t="str">
        <x:f>IF(B19="","",IF(AND(ISNUMBER(SEARCH("平",B19)),OR(ISNUMBER(SEARCH("上",B19)),ISNUMBER(SEARCH("去",B19)),ISNUMBER(SEARCH("入",B19)))),"Ambiguous",IF(ISNUMBER(SEARCH("平",B19)),"平","仄")))</x:f>
        <x:v>仄</x:v>
      </x:c>
      <x:c r="K19" s="6" t="str">
        <x:f>IF(D19="","",IF(AND(ISNUMBER(SEARCH("平",D19)),OR(ISNUMBER(SEARCH("上",D19)),ISNUMBER(SEARCH("去",D19)),ISNUMBER(SEARCH("入",D19)))),"Ambiguous",IF(ISNUMBER(SEARCH("平",D19)),"平","仄")))</x:f>
        <x:v>仄</x:v>
      </x:c>
      <x:c r="L19" s="7" t="str"/>
    </x:row>
    <x:row r="20">
      <x:c r="A20" s="5" t="str">
        <x:v>㳄</x:v>
      </x:c>
      <x:c r="B20" s="6" t="str">
        <x:v>平</x:v>
      </x:c>
      <x:c r="C20" s="6" t="str">
        <x:f>IF(B20="","Needs decision","Ready")</x:f>
        <x:v>Ready</x:v>
      </x:c>
      <x:c r="D20" s="6" t="str">
        <x:v>平</x:v>
      </x:c>
      <x:c r="E20" s="6" t="str">
        <x:v>zjen (A)</x:v>
      </x:c>
      <x:c r="F20" s="6" t="str"/>
      <x:c r="G20" s="6" t="str"/>
      <x:c r="H20" s="6" t="str">
        <x:v>1</x:v>
      </x:c>
      <x:c r="I20" s="6" t="str"/>
      <x:c r="J20" s="6" t="str">
        <x:f>IF(B20="","",IF(AND(ISNUMBER(SEARCH("平",B20)),OR(ISNUMBER(SEARCH("上",B20)),ISNUMBER(SEARCH("去",B20)),ISNUMBER(SEARCH("入",B20)))),"Ambiguous",IF(ISNUMBER(SEARCH("平",B20)),"平","仄")))</x:f>
        <x:v>平</x:v>
      </x:c>
      <x:c r="K20" s="6" t="str">
        <x:f>IF(D20="","",IF(AND(ISNUMBER(SEARCH("平",D20)),OR(ISNUMBER(SEARCH("上",D20)),ISNUMBER(SEARCH("去",D20)),ISNUMBER(SEARCH("入",D20)))),"Ambiguous",IF(ISNUMBER(SEARCH("平",D20)),"平","仄")))</x:f>
        <x:v>平</x:v>
      </x:c>
      <x:c r="L20" s="7" t="str"/>
    </x:row>
    <x:row r="21">
      <x:c r="A21" s="5" t="str">
        <x:v>㴑</x:v>
      </x:c>
      <x:c r="B21" s="6" t="str">
        <x:v>去</x:v>
      </x:c>
      <x:c r="C21" s="6" t="str">
        <x:f>IF(B21="","Needs decision","Ready")</x:f>
        <x:v>Ready</x:v>
      </x:c>
      <x:c r="D21" s="6" t="str">
        <x:v>去</x:v>
      </x:c>
      <x:c r="E21" s="6" t="str">
        <x:v>suH (C)</x:v>
      </x:c>
      <x:c r="F21" s="6" t="str"/>
      <x:c r="G21" s="6" t="str"/>
      <x:c r="H21" s="6" t="str">
        <x:v>1</x:v>
      </x:c>
      <x:c r="I21" s="6" t="str"/>
      <x:c r="J21" s="6" t="str">
        <x:f>IF(B21="","",IF(AND(ISNUMBER(SEARCH("平",B21)),OR(ISNUMBER(SEARCH("上",B21)),ISNUMBER(SEARCH("去",B21)),ISNUMBER(SEARCH("入",B21)))),"Ambiguous",IF(ISNUMBER(SEARCH("平",B21)),"平","仄")))</x:f>
        <x:v>仄</x:v>
      </x:c>
      <x:c r="K21" s="6" t="str">
        <x:f>IF(D21="","",IF(AND(ISNUMBER(SEARCH("平",D21)),OR(ISNUMBER(SEARCH("上",D21)),ISNUMBER(SEARCH("去",D21)),ISNUMBER(SEARCH("入",D21)))),"Ambiguous",IF(ISNUMBER(SEARCH("平",D21)),"平","仄")))</x:f>
        <x:v>仄</x:v>
      </x:c>
      <x:c r="L21" s="7" t="str"/>
    </x:row>
    <x:row r="22">
      <x:c r="A22" s="5" t="str">
        <x:v>㵎</x:v>
      </x:c>
      <x:c r="B22" s="6" t="str">
        <x:v>去</x:v>
      </x:c>
      <x:c r="C22" s="6" t="str">
        <x:f>IF(B22="","Needs decision","Ready")</x:f>
        <x:v>Ready</x:v>
      </x:c>
      <x:c r="D22" s="6" t="str">
        <x:v>去</x:v>
      </x:c>
      <x:c r="E22" s="6" t="str"/>
      <x:c r="F22" s="6" t="str"/>
      <x:c r="G22" s="6" t="str"/>
      <x:c r="H22" s="6" t="str"/>
      <x:c r="I22" s="6" t="str">
        <x:v>Manual user correction/addition</x:v>
      </x:c>
      <x:c r="J22" s="6" t="str">
        <x:f>IF(B22="","",IF(AND(ISNUMBER(SEARCH("平",B22)),OR(ISNUMBER(SEARCH("上",B22)),ISNUMBER(SEARCH("去",B22)),ISNUMBER(SEARCH("入",B22)))),"Ambiguous",IF(ISNUMBER(SEARCH("平",B22)),"平","仄")))</x:f>
        <x:v>仄</x:v>
      </x:c>
      <x:c r="K22" s="6" t="str">
        <x:f>IF(D22="","",IF(AND(ISNUMBER(SEARCH("平",D22)),OR(ISNUMBER(SEARCH("上",D22)),ISNUMBER(SEARCH("去",D22)),ISNUMBER(SEARCH("入",D22)))),"Ambiguous",IF(ISNUMBER(SEARCH("平",D22)),"平","仄")))</x:f>
        <x:v>仄</x:v>
      </x:c>
      <x:c r="L22" s="7" t="str">
        <x:v>manual user correction</x:v>
      </x:c>
    </x:row>
    <x:row r="23">
      <x:c r="A23" s="5" t="str">
        <x:v>㷉</x:v>
      </x:c>
      <x:c r="B23" s="6" t="str">
        <x:v>去</x:v>
      </x:c>
      <x:c r="C23" s="6" t="str">
        <x:f>IF(B23="","Needs decision","Ready")</x:f>
        <x:v>Ready</x:v>
      </x:c>
      <x:c r="D23" s="6" t="str">
        <x:v>去</x:v>
      </x:c>
      <x:c r="E23" s="6" t="str">
        <x:v>'jw+jH (C)</x:v>
      </x:c>
      <x:c r="F23" s="6" t="str"/>
      <x:c r="G23" s="6" t="str"/>
      <x:c r="H23" s="6" t="str">
        <x:v>1</x:v>
      </x:c>
      <x:c r="I23" s="6" t="str"/>
      <x:c r="J23" s="6" t="str">
        <x:f>IF(B23="","",IF(AND(ISNUMBER(SEARCH("平",B23)),OR(ISNUMBER(SEARCH("上",B23)),ISNUMBER(SEARCH("去",B23)),ISNUMBER(SEARCH("入",B23)))),"Ambiguous",IF(ISNUMBER(SEARCH("平",B23)),"平","仄")))</x:f>
        <x:v>仄</x:v>
      </x:c>
      <x:c r="K23" s="6" t="str">
        <x:f>IF(D23="","",IF(AND(ISNUMBER(SEARCH("平",D23)),OR(ISNUMBER(SEARCH("上",D23)),ISNUMBER(SEARCH("去",D23)),ISNUMBER(SEARCH("入",D23)))),"Ambiguous",IF(ISNUMBER(SEARCH("平",D23)),"平","仄")))</x:f>
        <x:v>仄</x:v>
      </x:c>
      <x:c r="L23" s="7" t="str"/>
    </x:row>
    <x:row r="24">
      <x:c r="A24" s="5" t="str">
        <x:v>㸐</x:v>
      </x:c>
      <x:c r="B24" s="6" t="str">
        <x:v>平</x:v>
      </x:c>
      <x:c r="C24" s="6" t="str">
        <x:f>IF(B24="","Needs decision","Ready")</x:f>
        <x:v>Ready</x:v>
      </x:c>
      <x:c r="D24" s="6" t="str">
        <x:v>平</x:v>
      </x:c>
      <x:c r="E24" s="6" t="str">
        <x:v>nyen (A)</x:v>
      </x:c>
      <x:c r="F24" s="6" t="str"/>
      <x:c r="G24" s="6" t="str"/>
      <x:c r="H24" s="6" t="str">
        <x:v>1</x:v>
      </x:c>
      <x:c r="I24" s="6" t="str"/>
      <x:c r="J24" s="6" t="str">
        <x:f>IF(B24="","",IF(AND(ISNUMBER(SEARCH("平",B24)),OR(ISNUMBER(SEARCH("上",B24)),ISNUMBER(SEARCH("去",B24)),ISNUMBER(SEARCH("入",B24)))),"Ambiguous",IF(ISNUMBER(SEARCH("平",B24)),"平","仄")))</x:f>
        <x:v>平</x:v>
      </x:c>
      <x:c r="K24" s="6" t="str">
        <x:f>IF(D24="","",IF(AND(ISNUMBER(SEARCH("平",D24)),OR(ISNUMBER(SEARCH("上",D24)),ISNUMBER(SEARCH("去",D24)),ISNUMBER(SEARCH("入",D24)))),"Ambiguous",IF(ISNUMBER(SEARCH("平",D24)),"平","仄")))</x:f>
        <x:v>平</x:v>
      </x:c>
      <x:c r="L24" s="7" t="str"/>
    </x:row>
    <x:row r="25">
      <x:c r="A25" s="5" t="str">
        <x:v>㸒</x:v>
      </x:c>
      <x:c r="B25" s="6" t="str">
        <x:v>平</x:v>
      </x:c>
      <x:c r="C25" s="6" t="str">
        <x:f>IF(B25="","Needs decision","Ready")</x:f>
        <x:v>Ready</x:v>
      </x:c>
      <x:c r="D25" s="6" t="str">
        <x:v>平</x:v>
      </x:c>
      <x:c r="E25" s="6" t="str">
        <x:v>yim (A)</x:v>
      </x:c>
      <x:c r="F25" s="6" t="str"/>
      <x:c r="G25" s="6" t="str"/>
      <x:c r="H25" s="6" t="str">
        <x:v>1</x:v>
      </x:c>
      <x:c r="I25" s="6" t="str"/>
      <x:c r="J25" s="6" t="str">
        <x:f>IF(B25="","",IF(AND(ISNUMBER(SEARCH("平",B25)),OR(ISNUMBER(SEARCH("上",B25)),ISNUMBER(SEARCH("去",B25)),ISNUMBER(SEARCH("入",B25)))),"Ambiguous",IF(ISNUMBER(SEARCH("平",B25)),"平","仄")))</x:f>
        <x:v>平</x:v>
      </x:c>
      <x:c r="K25" s="6" t="str">
        <x:f>IF(D25="","",IF(AND(ISNUMBER(SEARCH("平",D25)),OR(ISNUMBER(SEARCH("上",D25)),ISNUMBER(SEARCH("去",D25)),ISNUMBER(SEARCH("入",D25)))),"Ambiguous",IF(ISNUMBER(SEARCH("平",D25)),"平","仄")))</x:f>
        <x:v>平</x:v>
      </x:c>
      <x:c r="L25" s="7" t="str"/>
    </x:row>
    <x:row r="26">
      <x:c r="A26" s="5" t="str">
        <x:v>㼜</x:v>
      </x:c>
      <x:c r="B26" s="6" t="str">
        <x:v>去</x:v>
      </x:c>
      <x:c r="C26" s="6" t="str">
        <x:f>IF(B26="","Needs decision","Ready")</x:f>
        <x:v>Ready</x:v>
      </x:c>
      <x:c r="D26" s="6" t="str">
        <x:v>去</x:v>
      </x:c>
      <x:c r="E26" s="6" t="str">
        <x:v>'angH (C)</x:v>
      </x:c>
      <x:c r="F26" s="6" t="str"/>
      <x:c r="G26" s="6" t="str"/>
      <x:c r="H26" s="6" t="str">
        <x:v>1</x:v>
      </x:c>
      <x:c r="I26" s="6" t="str"/>
      <x:c r="J26" s="6" t="str">
        <x:f>IF(B26="","",IF(AND(ISNUMBER(SEARCH("平",B26)),OR(ISNUMBER(SEARCH("上",B26)),ISNUMBER(SEARCH("去",B26)),ISNUMBER(SEARCH("入",B26)))),"Ambiguous",IF(ISNUMBER(SEARCH("平",B26)),"平","仄")))</x:f>
        <x:v>仄</x:v>
      </x:c>
      <x:c r="K26" s="6" t="str">
        <x:f>IF(D26="","",IF(AND(ISNUMBER(SEARCH("平",D26)),OR(ISNUMBER(SEARCH("上",D26)),ISNUMBER(SEARCH("去",D26)),ISNUMBER(SEARCH("入",D26)))),"Ambiguous",IF(ISNUMBER(SEARCH("平",D26)),"平","仄")))</x:f>
        <x:v>仄</x:v>
      </x:c>
      <x:c r="L26" s="7" t="str"/>
    </x:row>
    <x:row r="27">
      <x:c r="A27" s="5" t="str">
        <x:v>䀠</x:v>
      </x:c>
      <x:c r="B27" s="6" t="str">
        <x:v>去</x:v>
      </x:c>
      <x:c r="C27" s="6" t="str">
        <x:f>IF(B27="","Needs decision","Ready")</x:f>
        <x:v>Ready</x:v>
      </x:c>
      <x:c r="D27" s="6" t="str">
        <x:v>去</x:v>
      </x:c>
      <x:c r="E27" s="6" t="str">
        <x:v>kjuH (C)</x:v>
      </x:c>
      <x:c r="F27" s="6" t="str"/>
      <x:c r="G27" s="6" t="str"/>
      <x:c r="H27" s="6" t="str">
        <x:v>1</x:v>
      </x:c>
      <x:c r="I27" s="6" t="str"/>
      <x:c r="J27" s="6" t="str">
        <x:f>IF(B27="","",IF(AND(ISNUMBER(SEARCH("平",B27)),OR(ISNUMBER(SEARCH("上",B27)),ISNUMBER(SEARCH("去",B27)),ISNUMBER(SEARCH("入",B27)))),"Ambiguous",IF(ISNUMBER(SEARCH("平",B27)),"平","仄")))</x:f>
        <x:v>仄</x:v>
      </x:c>
      <x:c r="K27" s="6" t="str">
        <x:f>IF(D27="","",IF(AND(ISNUMBER(SEARCH("平",D27)),OR(ISNUMBER(SEARCH("上",D27)),ISNUMBER(SEARCH("去",D27)),ISNUMBER(SEARCH("入",D27)))),"Ambiguous",IF(ISNUMBER(SEARCH("平",D27)),"平","仄")))</x:f>
        <x:v>仄</x:v>
      </x:c>
      <x:c r="L27" s="7" t="str"/>
    </x:row>
    <x:row r="28">
      <x:c r="A28" s="5" t="str">
        <x:v>䄟</x:v>
      </x:c>
      <x:c r="B28" s="6" t="str">
        <x:v>去</x:v>
      </x:c>
      <x:c r="C28" s="6" t="str">
        <x:f>IF(B28="","Needs decision","Ready")</x:f>
        <x:v>Ready</x:v>
      </x:c>
      <x:c r="D28" s="6" t="str">
        <x:v>去</x:v>
      </x:c>
      <x:c r="E28" s="6" t="str">
        <x:v>tshjwejH (C)</x:v>
      </x:c>
      <x:c r="F28" s="6" t="str"/>
      <x:c r="G28" s="6" t="str"/>
      <x:c r="H28" s="6" t="str">
        <x:v>1</x:v>
      </x:c>
      <x:c r="I28" s="6" t="str"/>
      <x:c r="J28" s="6" t="str">
        <x:f>IF(B28="","",IF(AND(ISNUMBER(SEARCH("平",B28)),OR(ISNUMBER(SEARCH("上",B28)),ISNUMBER(SEARCH("去",B28)),ISNUMBER(SEARCH("入",B28)))),"Ambiguous",IF(ISNUMBER(SEARCH("平",B28)),"平","仄")))</x:f>
        <x:v>仄</x:v>
      </x:c>
      <x:c r="K28" s="6" t="str">
        <x:f>IF(D28="","",IF(AND(ISNUMBER(SEARCH("平",D28)),OR(ISNUMBER(SEARCH("上",D28)),ISNUMBER(SEARCH("去",D28)),ISNUMBER(SEARCH("入",D28)))),"Ambiguous",IF(ISNUMBER(SEARCH("平",D28)),"平","仄")))</x:f>
        <x:v>仄</x:v>
      </x:c>
      <x:c r="L28" s="7" t="str"/>
    </x:row>
    <x:row r="29">
      <x:c r="A29" s="5" t="str">
        <x:v>䆫</x:v>
      </x:c>
      <x:c r="B29" s="6" t="str">
        <x:v>平</x:v>
      </x:c>
      <x:c r="C29" s="6" t="str">
        <x:f>IF(B29="","Needs decision","Ready")</x:f>
        <x:v>Ready</x:v>
      </x:c>
      <x:c r="D29" s="6" t="str">
        <x:v>平</x:v>
      </x:c>
      <x:c r="E29" s="6" t="str">
        <x:v>tsrhaewng (A)</x:v>
      </x:c>
      <x:c r="F29" s="6" t="str"/>
      <x:c r="G29" s="6" t="str"/>
      <x:c r="H29" s="6" t="str">
        <x:v>1</x:v>
      </x:c>
      <x:c r="I29" s="6" t="str"/>
      <x:c r="J29" s="6" t="str">
        <x:f>IF(B29="","",IF(AND(ISNUMBER(SEARCH("平",B29)),OR(ISNUMBER(SEARCH("上",B29)),ISNUMBER(SEARCH("去",B29)),ISNUMBER(SEARCH("入",B29)))),"Ambiguous",IF(ISNUMBER(SEARCH("平",B29)),"平","仄")))</x:f>
        <x:v>平</x:v>
      </x:c>
      <x:c r="K29" s="6" t="str">
        <x:f>IF(D29="","",IF(AND(ISNUMBER(SEARCH("平",D29)),OR(ISNUMBER(SEARCH("上",D29)),ISNUMBER(SEARCH("去",D29)),ISNUMBER(SEARCH("入",D29)))),"Ambiguous",IF(ISNUMBER(SEARCH("平",D29)),"平","仄")))</x:f>
        <x:v>平</x:v>
      </x:c>
      <x:c r="L29" s="7" t="str"/>
    </x:row>
    <x:row r="30">
      <x:c r="A30" s="5" t="str">
        <x:v>䍃</x:v>
      </x:c>
      <x:c r="B30" s="6" t="str">
        <x:v>平</x:v>
      </x:c>
      <x:c r="C30" s="6" t="str">
        <x:f>IF(B30="","Needs decision","Ready")</x:f>
        <x:v>Ready</x:v>
      </x:c>
      <x:c r="D30" s="6" t="str">
        <x:v>平</x:v>
      </x:c>
      <x:c r="E30" s="6" t="str">
        <x:v>yew (A)</x:v>
      </x:c>
      <x:c r="F30" s="6" t="str"/>
      <x:c r="G30" s="6" t="str"/>
      <x:c r="H30" s="6" t="str">
        <x:v>1</x:v>
      </x:c>
      <x:c r="I30" s="6" t="str"/>
      <x:c r="J30" s="6" t="str">
        <x:f>IF(B30="","",IF(AND(ISNUMBER(SEARCH("平",B30)),OR(ISNUMBER(SEARCH("上",B30)),ISNUMBER(SEARCH("去",B30)),ISNUMBER(SEARCH("入",B30)))),"Ambiguous",IF(ISNUMBER(SEARCH("平",B30)),"平","仄")))</x:f>
        <x:v>平</x:v>
      </x:c>
      <x:c r="K30" s="6" t="str">
        <x:f>IF(D30="","",IF(AND(ISNUMBER(SEARCH("平",D30)),OR(ISNUMBER(SEARCH("上",D30)),ISNUMBER(SEARCH("去",D30)),ISNUMBER(SEARCH("入",D30)))),"Ambiguous",IF(ISNUMBER(SEARCH("平",D30)),"平","仄")))</x:f>
        <x:v>平</x:v>
      </x:c>
      <x:c r="L30" s="7" t="str"/>
    </x:row>
    <x:row r="31">
      <x:c r="A31" s="5" t="str">
        <x:v>䑣</x:v>
      </x:c>
      <x:c r="B31" s="6" t="str">
        <x:v>平</x:v>
      </x:c>
      <x:c r="C31" s="6" t="str">
        <x:f>IF(B31="","Needs decision","Ready")</x:f>
        <x:v>Ready</x:v>
      </x:c>
      <x:c r="D31" s="6" t="str">
        <x:v>平</x:v>
      </x:c>
      <x:c r="E31" s="6" t="str">
        <x:v>yuwng (A)</x:v>
      </x:c>
      <x:c r="F31" s="6" t="str"/>
      <x:c r="G31" s="6" t="str"/>
      <x:c r="H31" s="6" t="str">
        <x:v>1</x:v>
      </x:c>
      <x:c r="I31" s="6" t="str"/>
      <x:c r="J31" s="6" t="str">
        <x:f>IF(B31="","",IF(AND(ISNUMBER(SEARCH("平",B31)),OR(ISNUMBER(SEARCH("上",B31)),ISNUMBER(SEARCH("去",B31)),ISNUMBER(SEARCH("入",B31)))),"Ambiguous",IF(ISNUMBER(SEARCH("平",B31)),"平","仄")))</x:f>
        <x:v>平</x:v>
      </x:c>
      <x:c r="K31" s="6" t="str">
        <x:f>IF(D31="","",IF(AND(ISNUMBER(SEARCH("平",D31)),OR(ISNUMBER(SEARCH("上",D31)),ISNUMBER(SEARCH("去",D31)),ISNUMBER(SEARCH("入",D31)))),"Ambiguous",IF(ISNUMBER(SEARCH("平",D31)),"平","仄")))</x:f>
        <x:v>平</x:v>
      </x:c>
      <x:c r="L31" s="7" t="str"/>
    </x:row>
    <x:row r="32">
      <x:c r="A32" s="5" t="str">
        <x:v>䖒</x:v>
      </x:c>
      <x:c r="B32" s="6" t="str">
        <x:v>平</x:v>
      </x:c>
      <x:c r="C32" s="6" t="str">
        <x:f>IF(B32="","Needs decision","Ready")</x:f>
        <x:v>Ready</x:v>
      </x:c>
      <x:c r="D32" s="6" t="str">
        <x:v>平</x:v>
      </x:c>
      <x:c r="E32" s="6" t="str">
        <x:v>xje (A)</x:v>
      </x:c>
      <x:c r="F32" s="6" t="str"/>
      <x:c r="G32" s="6" t="str"/>
      <x:c r="H32" s="6" t="str">
        <x:v>1</x:v>
      </x:c>
      <x:c r="I32" s="6" t="str"/>
      <x:c r="J32" s="6" t="str">
        <x:f>IF(B32="","",IF(AND(ISNUMBER(SEARCH("平",B32)),OR(ISNUMBER(SEARCH("上",B32)),ISNUMBER(SEARCH("去",B32)),ISNUMBER(SEARCH("入",B32)))),"Ambiguous",IF(ISNUMBER(SEARCH("平",B32)),"平","仄")))</x:f>
        <x:v>平</x:v>
      </x:c>
      <x:c r="K32" s="6" t="str">
        <x:f>IF(D32="","",IF(AND(ISNUMBER(SEARCH("平",D32)),OR(ISNUMBER(SEARCH("上",D32)),ISNUMBER(SEARCH("去",D32)),ISNUMBER(SEARCH("入",D32)))),"Ambiguous",IF(ISNUMBER(SEARCH("平",D32)),"平","仄")))</x:f>
        <x:v>平</x:v>
      </x:c>
      <x:c r="L32" s="7" t="str"/>
    </x:row>
    <x:row r="33">
      <x:c r="A33" s="5" t="str">
        <x:v>䖟</x:v>
      </x:c>
      <x:c r="B33" s="6" t="str">
        <x:v>平</x:v>
      </x:c>
      <x:c r="C33" s="6" t="str">
        <x:f>IF(B33="","Needs decision","Ready")</x:f>
        <x:v>Ready</x:v>
      </x:c>
      <x:c r="D33" s="6" t="str">
        <x:v>平</x:v>
      </x:c>
      <x:c r="E33" s="6" t="str">
        <x:v>maeng (A)</x:v>
      </x:c>
      <x:c r="F33" s="6" t="str"/>
      <x:c r="G33" s="6" t="str"/>
      <x:c r="H33" s="6" t="str">
        <x:v>1</x:v>
      </x:c>
      <x:c r="I33" s="6" t="str"/>
      <x:c r="J33" s="6" t="str">
        <x:f>IF(B33="","",IF(AND(ISNUMBER(SEARCH("平",B33)),OR(ISNUMBER(SEARCH("上",B33)),ISNUMBER(SEARCH("去",B33)),ISNUMBER(SEARCH("入",B33)))),"Ambiguous",IF(ISNUMBER(SEARCH("平",B33)),"平","仄")))</x:f>
        <x:v>平</x:v>
      </x:c>
      <x:c r="K33" s="6" t="str">
        <x:f>IF(D33="","",IF(AND(ISNUMBER(SEARCH("平",D33)),OR(ISNUMBER(SEARCH("上",D33)),ISNUMBER(SEARCH("去",D33)),ISNUMBER(SEARCH("入",D33)))),"Ambiguous",IF(ISNUMBER(SEARCH("平",D33)),"平","仄")))</x:f>
        <x:v>平</x:v>
      </x:c>
      <x:c r="L33" s="7" t="str"/>
    </x:row>
    <x:row r="34">
      <x:c r="A34" s="5" t="str">
        <x:v>䘒</x:v>
      </x:c>
      <x:c r="B34" s="6" t="str">
        <x:v>平</x:v>
      </x:c>
      <x:c r="C34" s="6" t="str">
        <x:f>IF(B34="","Needs decision","Ready")</x:f>
        <x:v>Ready</x:v>
      </x:c>
      <x:c r="D34" s="6" t="str">
        <x:v>平</x:v>
      </x:c>
      <x:c r="E34" s="6" t="str">
        <x:v>tswoj (A)</x:v>
      </x:c>
      <x:c r="F34" s="6" t="str"/>
      <x:c r="G34" s="6" t="str"/>
      <x:c r="H34" s="6" t="str">
        <x:v>1</x:v>
      </x:c>
      <x:c r="I34" s="6" t="str"/>
      <x:c r="J34" s="6" t="str">
        <x:f>IF(B34="","",IF(AND(ISNUMBER(SEARCH("平",B34)),OR(ISNUMBER(SEARCH("上",B34)),ISNUMBER(SEARCH("去",B34)),ISNUMBER(SEARCH("入",B34)))),"Ambiguous",IF(ISNUMBER(SEARCH("平",B34)),"平","仄")))</x:f>
        <x:v>平</x:v>
      </x:c>
      <x:c r="K34" s="6" t="str">
        <x:f>IF(D34="","",IF(AND(ISNUMBER(SEARCH("平",D34)),OR(ISNUMBER(SEARCH("上",D34)),ISNUMBER(SEARCH("去",D34)),ISNUMBER(SEARCH("入",D34)))),"Ambiguous",IF(ISNUMBER(SEARCH("平",D34)),"平","仄")))</x:f>
        <x:v>平</x:v>
      </x:c>
      <x:c r="L34" s="7" t="str"/>
    </x:row>
    <x:row r="35">
      <x:c r="A35" s="5" t="str">
        <x:v>䘳</x:v>
      </x:c>
      <x:c r="B35" s="6" t="str">
        <x:v>平</x:v>
      </x:c>
      <x:c r="C35" s="6" t="str">
        <x:f>IF(B35="","Needs decision","Ready")</x:f>
        <x:v>Ready</x:v>
      </x:c>
      <x:c r="D35" s="6" t="str">
        <x:v>平</x:v>
      </x:c>
      <x:c r="E35" s="6" t="str">
        <x:v>kim (A)</x:v>
      </x:c>
      <x:c r="F35" s="6" t="str"/>
      <x:c r="G35" s="6" t="str"/>
      <x:c r="H35" s="6" t="str">
        <x:v>1</x:v>
      </x:c>
      <x:c r="I35" s="6" t="str"/>
      <x:c r="J35" s="6" t="str">
        <x:f>IF(B35="","",IF(AND(ISNUMBER(SEARCH("平",B35)),OR(ISNUMBER(SEARCH("上",B35)),ISNUMBER(SEARCH("去",B35)),ISNUMBER(SEARCH("入",B35)))),"Ambiguous",IF(ISNUMBER(SEARCH("平",B35)),"平","仄")))</x:f>
        <x:v>平</x:v>
      </x:c>
      <x:c r="K35" s="6" t="str">
        <x:f>IF(D35="","",IF(AND(ISNUMBER(SEARCH("平",D35)),OR(ISNUMBER(SEARCH("上",D35)),ISNUMBER(SEARCH("去",D35)),ISNUMBER(SEARCH("入",D35)))),"Ambiguous",IF(ISNUMBER(SEARCH("平",D35)),"平","仄")))</x:f>
        <x:v>平</x:v>
      </x:c>
      <x:c r="L35" s="7" t="str"/>
    </x:row>
    <x:row r="36">
      <x:c r="A36" s="5" t="str">
        <x:v>䜌</x:v>
      </x:c>
      <x:c r="B36" s="6" t="str">
        <x:v>平</x:v>
      </x:c>
      <x:c r="C36" s="6" t="str">
        <x:f>IF(B36="","Needs decision","Ready")</x:f>
        <x:v>Ready</x:v>
      </x:c>
      <x:c r="D36" s="6" t="str">
        <x:v>平</x:v>
      </x:c>
      <x:c r="E36" s="6" t="str">
        <x:v>lwan (A)</x:v>
      </x:c>
      <x:c r="F36" s="6" t="str"/>
      <x:c r="G36" s="6" t="str"/>
      <x:c r="H36" s="6" t="str">
        <x:v>1</x:v>
      </x:c>
      <x:c r="I36" s="6" t="str"/>
      <x:c r="J36" s="6" t="str">
        <x:f>IF(B36="","",IF(AND(ISNUMBER(SEARCH("平",B36)),OR(ISNUMBER(SEARCH("上",B36)),ISNUMBER(SEARCH("去",B36)),ISNUMBER(SEARCH("入",B36)))),"Ambiguous",IF(ISNUMBER(SEARCH("平",B36)),"平","仄")))</x:f>
        <x:v>平</x:v>
      </x:c>
      <x:c r="K36" s="6" t="str">
        <x:f>IF(D36="","",IF(AND(ISNUMBER(SEARCH("平",D36)),OR(ISNUMBER(SEARCH("上",D36)),ISNUMBER(SEARCH("去",D36)),ISNUMBER(SEARCH("入",D36)))),"Ambiguous",IF(ISNUMBER(SEARCH("平",D36)),"平","仄")))</x:f>
        <x:v>平</x:v>
      </x:c>
      <x:c r="L36" s="7" t="str"/>
    </x:row>
    <x:row r="37">
      <x:c r="A37" s="5" t="str">
        <x:v>䞓</x:v>
      </x:c>
      <x:c r="B37" s="6" t="str">
        <x:v>平</x:v>
      </x:c>
      <x:c r="C37" s="6" t="str">
        <x:f>IF(B37="","Needs decision","Ready")</x:f>
        <x:v>Ready</x:v>
      </x:c>
      <x:c r="D37" s="6" t="str">
        <x:v>平</x:v>
      </x:c>
      <x:c r="E37" s="6" t="str">
        <x:v>trhjeng (A)</x:v>
      </x:c>
      <x:c r="F37" s="6" t="str"/>
      <x:c r="G37" s="6" t="str"/>
      <x:c r="H37" s="6" t="str">
        <x:v>1</x:v>
      </x:c>
      <x:c r="I37" s="6" t="str"/>
      <x:c r="J37" s="6" t="str">
        <x:f>IF(B37="","",IF(AND(ISNUMBER(SEARCH("平",B37)),OR(ISNUMBER(SEARCH("上",B37)),ISNUMBER(SEARCH("去",B37)),ISNUMBER(SEARCH("入",B37)))),"Ambiguous",IF(ISNUMBER(SEARCH("平",B37)),"平","仄")))</x:f>
        <x:v>平</x:v>
      </x:c>
      <x:c r="K37" s="6" t="str">
        <x:f>IF(D37="","",IF(AND(ISNUMBER(SEARCH("平",D37)),OR(ISNUMBER(SEARCH("上",D37)),ISNUMBER(SEARCH("去",D37)),ISNUMBER(SEARCH("入",D37)))),"Ambiguous",IF(ISNUMBER(SEARCH("平",D37)),"平","仄")))</x:f>
        <x:v>平</x:v>
      </x:c>
      <x:c r="L37" s="7" t="str"/>
    </x:row>
    <x:row r="38">
      <x:c r="A38" s="5" t="str">
        <x:v>䟏</x:v>
      </x:c>
      <x:c r="B38" s="6" t="str">
        <x:v>入</x:v>
      </x:c>
      <x:c r="C38" s="6" t="str">
        <x:f>IF(B38="","Needs decision","Ready")</x:f>
        <x:v>Ready</x:v>
      </x:c>
      <x:c r="D38" s="6" t="str">
        <x:v>入</x:v>
      </x:c>
      <x:c r="E38" s="6" t="str">
        <x:v>lek (D); syak (D)</x:v>
      </x:c>
      <x:c r="F38" s="6" t="str"/>
      <x:c r="G38" s="6" t="str"/>
      <x:c r="H38" s="6" t="str">
        <x:v>2</x:v>
      </x:c>
      <x:c r="I38" s="6" t="str"/>
      <x:c r="J38" s="6" t="str">
        <x:f>IF(B38="","",IF(AND(ISNUMBER(SEARCH("平",B38)),OR(ISNUMBER(SEARCH("上",B38)),ISNUMBER(SEARCH("去",B38)),ISNUMBER(SEARCH("入",B38)))),"Ambiguous",IF(ISNUMBER(SEARCH("平",B38)),"平","仄")))</x:f>
        <x:v>仄</x:v>
      </x:c>
      <x:c r="K38" s="6" t="str">
        <x:f>IF(D38="","",IF(AND(ISNUMBER(SEARCH("平",D38)),OR(ISNUMBER(SEARCH("上",D38)),ISNUMBER(SEARCH("去",D38)),ISNUMBER(SEARCH("入",D38)))),"Ambiguous",IF(ISNUMBER(SEARCH("平",D38)),"平","仄")))</x:f>
        <x:v>仄</x:v>
      </x:c>
      <x:c r="L38" s="7" t="str"/>
    </x:row>
    <x:row r="39">
      <x:c r="A39" s="5" t="str">
        <x:v>䡅</x:v>
      </x:c>
      <x:c r="B39" s="6" t="str">
        <x:v>平</x:v>
      </x:c>
      <x:c r="C39" s="6" t="str">
        <x:f>IF(B39="","Needs decision","Ready")</x:f>
        <x:v>Ready</x:v>
      </x:c>
      <x:c r="D39" s="6" t="str">
        <x:v>平</x:v>
      </x:c>
      <x:c r="E39" s="6" t="str">
        <x:v>trhwin (A)</x:v>
      </x:c>
      <x:c r="F39" s="6" t="str"/>
      <x:c r="G39" s="6" t="str"/>
      <x:c r="H39" s="6" t="str">
        <x:v>1</x:v>
      </x:c>
      <x:c r="I39" s="6" t="str"/>
      <x:c r="J39" s="6" t="str">
        <x:f>IF(B39="","",IF(AND(ISNUMBER(SEARCH("平",B39)),OR(ISNUMBER(SEARCH("上",B39)),ISNUMBER(SEARCH("去",B39)),ISNUMBER(SEARCH("入",B39)))),"Ambiguous",IF(ISNUMBER(SEARCH("平",B39)),"平","仄")))</x:f>
        <x:v>平</x:v>
      </x:c>
      <x:c r="K39" s="6" t="str">
        <x:f>IF(D39="","",IF(AND(ISNUMBER(SEARCH("平",D39)),OR(ISNUMBER(SEARCH("上",D39)),ISNUMBER(SEARCH("去",D39)),ISNUMBER(SEARCH("入",D39)))),"Ambiguous",IF(ISNUMBER(SEARCH("平",D39)),"平","仄")))</x:f>
        <x:v>平</x:v>
      </x:c>
      <x:c r="L39" s="7" t="str"/>
    </x:row>
    <x:row r="40">
      <x:c r="A40" s="5" t="str">
        <x:v>䪡</x:v>
      </x:c>
      <x:c r="B40" s="6" t="str">
        <x:v>平</x:v>
      </x:c>
      <x:c r="C40" s="6" t="str">
        <x:f>IF(B40="","Needs decision","Ready")</x:f>
        <x:v>Ready</x:v>
      </x:c>
      <x:c r="D40" s="6" t="str">
        <x:v>平</x:v>
      </x:c>
      <x:c r="E40" s="6" t="str">
        <x:v>tsej (A)</x:v>
      </x:c>
      <x:c r="F40" s="6" t="str"/>
      <x:c r="G40" s="6" t="str"/>
      <x:c r="H40" s="6" t="str">
        <x:v>1</x:v>
      </x:c>
      <x:c r="I40" s="6" t="str"/>
      <x:c r="J40" s="6" t="str">
        <x:f>IF(B40="","",IF(AND(ISNUMBER(SEARCH("平",B40)),OR(ISNUMBER(SEARCH("上",B40)),ISNUMBER(SEARCH("去",B40)),ISNUMBER(SEARCH("入",B40)))),"Ambiguous",IF(ISNUMBER(SEARCH("平",B40)),"平","仄")))</x:f>
        <x:v>平</x:v>
      </x:c>
      <x:c r="K40" s="6" t="str">
        <x:f>IF(D40="","",IF(AND(ISNUMBER(SEARCH("平",D40)),OR(ISNUMBER(SEARCH("上",D40)),ISNUMBER(SEARCH("去",D40)),ISNUMBER(SEARCH("入",D40)))),"Ambiguous",IF(ISNUMBER(SEARCH("平",D40)),"平","仄")))</x:f>
        <x:v>平</x:v>
      </x:c>
      <x:c r="L40" s="7" t="str"/>
    </x:row>
    <x:row r="41">
      <x:c r="A41" s="5" t="str">
        <x:v>䭕</x:v>
      </x:c>
      <x:c r="B41" s="6" t="str">
        <x:v>上</x:v>
      </x:c>
      <x:c r="C41" s="6" t="str">
        <x:f>IF(B41="","Needs decision","Ready")</x:f>
        <x:v>Ready</x:v>
      </x:c>
      <x:c r="D41" s="6" t="str">
        <x:v>上</x:v>
      </x:c>
      <x:c r="E41" s="6" t="str">
        <x:v>tsjemX (B)</x:v>
      </x:c>
      <x:c r="F41" s="6" t="str"/>
      <x:c r="G41" s="6" t="str"/>
      <x:c r="H41" s="6" t="str">
        <x:v>1</x:v>
      </x:c>
      <x:c r="I41" s="6" t="str"/>
      <x:c r="J41" s="6" t="str">
        <x:f>IF(B41="","",IF(AND(ISNUMBER(SEARCH("平",B41)),OR(ISNUMBER(SEARCH("上",B41)),ISNUMBER(SEARCH("去",B41)),ISNUMBER(SEARCH("入",B41)))),"Ambiguous",IF(ISNUMBER(SEARCH("平",B41)),"平","仄")))</x:f>
        <x:v>仄</x:v>
      </x:c>
      <x:c r="K41" s="6" t="str">
        <x:f>IF(D41="","",IF(AND(ISNUMBER(SEARCH("平",D41)),OR(ISNUMBER(SEARCH("上",D41)),ISNUMBER(SEARCH("去",D41)),ISNUMBER(SEARCH("入",D41)))),"Ambiguous",IF(ISNUMBER(SEARCH("平",D41)),"平","仄")))</x:f>
        <x:v>仄</x:v>
      </x:c>
      <x:c r="L41" s="7" t="str"/>
    </x:row>
    <x:row r="42">
      <x:c r="A42" s="5" t="str">
        <x:v>䭫</x:v>
      </x:c>
      <x:c r="B42" s="6" t="str">
        <x:v>上</x:v>
      </x:c>
      <x:c r="C42" s="6" t="str">
        <x:f>IF(B42="","Needs decision","Ready")</x:f>
        <x:v>Ready</x:v>
      </x:c>
      <x:c r="D42" s="6" t="str">
        <x:v>上</x:v>
      </x:c>
      <x:c r="E42" s="6" t="str">
        <x:v>khejX (B)</x:v>
      </x:c>
      <x:c r="F42" s="6" t="str"/>
      <x:c r="G42" s="6" t="str"/>
      <x:c r="H42" s="6" t="str">
        <x:v>1</x:v>
      </x:c>
      <x:c r="I42" s="6" t="str"/>
      <x:c r="J42" s="6" t="str">
        <x:f>IF(B42="","",IF(AND(ISNUMBER(SEARCH("平",B42)),OR(ISNUMBER(SEARCH("上",B42)),ISNUMBER(SEARCH("去",B42)),ISNUMBER(SEARCH("入",B42)))),"Ambiguous",IF(ISNUMBER(SEARCH("平",B42)),"平","仄")))</x:f>
        <x:v>仄</x:v>
      </x:c>
      <x:c r="K42" s="6" t="str">
        <x:f>IF(D42="","",IF(AND(ISNUMBER(SEARCH("平",D42)),OR(ISNUMBER(SEARCH("上",D42)),ISNUMBER(SEARCH("去",D42)),ISNUMBER(SEARCH("入",D42)))),"Ambiguous",IF(ISNUMBER(SEARCH("平",D42)),"平","仄")))</x:f>
        <x:v>仄</x:v>
      </x:c>
      <x:c r="L42" s="7" t="str"/>
    </x:row>
    <x:row r="43">
      <x:c r="A43" s="5" t="str">
        <x:v>䰜</x:v>
      </x:c>
      <x:c r="B43" s="6" t="str">
        <x:v>入</x:v>
      </x:c>
      <x:c r="C43" s="6" t="str">
        <x:f>IF(B43="","Needs decision","Ready")</x:f>
        <x:v>Ready</x:v>
      </x:c>
      <x:c r="D43" s="6" t="str">
        <x:v>入</x:v>
      </x:c>
      <x:c r="E43" s="6" t="str">
        <x:v>lek (D)</x:v>
      </x:c>
      <x:c r="F43" s="6" t="str"/>
      <x:c r="G43" s="6" t="str"/>
      <x:c r="H43" s="6" t="str">
        <x:v>1</x:v>
      </x:c>
      <x:c r="I43" s="6" t="str"/>
      <x:c r="J43" s="6" t="str">
        <x:f>IF(B43="","",IF(AND(ISNUMBER(SEARCH("平",B43)),OR(ISNUMBER(SEARCH("上",B43)),ISNUMBER(SEARCH("去",B43)),ISNUMBER(SEARCH("入",B43)))),"Ambiguous",IF(ISNUMBER(SEARCH("平",B43)),"平","仄")))</x:f>
        <x:v>仄</x:v>
      </x:c>
      <x:c r="K43" s="6" t="str">
        <x:f>IF(D43="","",IF(AND(ISNUMBER(SEARCH("平",D43)),OR(ISNUMBER(SEARCH("上",D43)),ISNUMBER(SEARCH("去",D43)),ISNUMBER(SEARCH("入",D43)))),"Ambiguous",IF(ISNUMBER(SEARCH("平",D43)),"平","仄")))</x:f>
        <x:v>仄</x:v>
      </x:c>
      <x:c r="L43" s="7" t="str"/>
    </x:row>
    <x:row r="44">
      <x:c r="A44" s="5" t="str">
        <x:v>䰞</x:v>
      </x:c>
      <x:c r="B44" s="6" t="str">
        <x:v>上</x:v>
      </x:c>
      <x:c r="C44" s="6" t="str">
        <x:f>IF(B44="","Needs decision","Ready")</x:f>
        <x:v>Ready</x:v>
      </x:c>
      <x:c r="D44" s="6" t="str">
        <x:v>上</x:v>
      </x:c>
      <x:c r="E44" s="6" t="str">
        <x:v>tsyoX (B)</x:v>
      </x:c>
      <x:c r="F44" s="6" t="str"/>
      <x:c r="G44" s="6" t="str"/>
      <x:c r="H44" s="6" t="str">
        <x:v>1</x:v>
      </x:c>
      <x:c r="I44" s="6" t="str"/>
      <x:c r="J44" s="6" t="str">
        <x:f>IF(B44="","",IF(AND(ISNUMBER(SEARCH("平",B44)),OR(ISNUMBER(SEARCH("上",B44)),ISNUMBER(SEARCH("去",B44)),ISNUMBER(SEARCH("入",B44)))),"Ambiguous",IF(ISNUMBER(SEARCH("平",B44)),"平","仄")))</x:f>
        <x:v>仄</x:v>
      </x:c>
      <x:c r="K44" s="6" t="str">
        <x:f>IF(D44="","",IF(AND(ISNUMBER(SEARCH("平",D44)),OR(ISNUMBER(SEARCH("上",D44)),ISNUMBER(SEARCH("去",D44)),ISNUMBER(SEARCH("入",D44)))),"Ambiguous",IF(ISNUMBER(SEARCH("平",D44)),"平","仄")))</x:f>
        <x:v>仄</x:v>
      </x:c>
      <x:c r="L44" s="7" t="str"/>
    </x:row>
    <x:row r="45">
      <x:c r="A45" s="5" t="str">
        <x:v>䱷</x:v>
      </x:c>
      <x:c r="B45" s="6" t="str">
        <x:v>平</x:v>
      </x:c>
      <x:c r="C45" s="6" t="str">
        <x:f>IF(B45="","Needs decision","Ready")</x:f>
        <x:v>Ready</x:v>
      </x:c>
      <x:c r="D45" s="6" t="str">
        <x:v>平</x:v>
      </x:c>
      <x:c r="E45" s="6" t="str">
        <x:v>ngjo (A)</x:v>
      </x:c>
      <x:c r="F45" s="6" t="str"/>
      <x:c r="G45" s="6" t="str"/>
      <x:c r="H45" s="6" t="str">
        <x:v>1</x:v>
      </x:c>
      <x:c r="I45" s="6" t="str"/>
      <x:c r="J45" s="6" t="str">
        <x:f>IF(B45="","",IF(AND(ISNUMBER(SEARCH("平",B45)),OR(ISNUMBER(SEARCH("上",B45)),ISNUMBER(SEARCH("去",B45)),ISNUMBER(SEARCH("入",B45)))),"Ambiguous",IF(ISNUMBER(SEARCH("平",B45)),"平","仄")))</x:f>
        <x:v>平</x:v>
      </x:c>
      <x:c r="K45" s="6" t="str">
        <x:f>IF(D45="","",IF(AND(ISNUMBER(SEARCH("平",D45)),OR(ISNUMBER(SEARCH("上",D45)),ISNUMBER(SEARCH("去",D45)),ISNUMBER(SEARCH("入",D45)))),"Ambiguous",IF(ISNUMBER(SEARCH("平",D45)),"平","仄")))</x:f>
        <x:v>平</x:v>
      </x:c>
      <x:c r="L45" s="7" t="str"/>
    </x:row>
    <x:row r="46">
      <x:c r="A46" s="5" t="str">
        <x:v>䵑</x:v>
      </x:c>
      <x:c r="B46" s="6" t="str">
        <x:v>入</x:v>
      </x:c>
      <x:c r="C46" s="6" t="str">
        <x:f>IF(B46="","Needs decision","Ready")</x:f>
        <x:v>Ready</x:v>
      </x:c>
      <x:c r="D46" s="6" t="str">
        <x:v>入</x:v>
      </x:c>
      <x:c r="E46" s="6" t="str">
        <x:v>nrit (D)</x:v>
      </x:c>
      <x:c r="F46" s="6" t="str"/>
      <x:c r="G46" s="6" t="str"/>
      <x:c r="H46" s="6" t="str">
        <x:v>1</x:v>
      </x:c>
      <x:c r="I46" s="6" t="str"/>
      <x:c r="J46" s="6" t="str">
        <x:f>IF(B46="","",IF(AND(ISNUMBER(SEARCH("平",B46)),OR(ISNUMBER(SEARCH("上",B46)),ISNUMBER(SEARCH("去",B46)),ISNUMBER(SEARCH("入",B46)))),"Ambiguous",IF(ISNUMBER(SEARCH("平",B46)),"平","仄")))</x:f>
        <x:v>仄</x:v>
      </x:c>
      <x:c r="K46" s="6" t="str">
        <x:f>IF(D46="","",IF(AND(ISNUMBER(SEARCH("平",D46)),OR(ISNUMBER(SEARCH("上",D46)),ISNUMBER(SEARCH("去",D46)),ISNUMBER(SEARCH("入",D46)))),"Ambiguous",IF(ISNUMBER(SEARCH("平",D46)),"平","仄")))</x:f>
        <x:v>仄</x:v>
      </x:c>
      <x:c r="L46" s="7" t="str"/>
    </x:row>
    <x:row r="47">
      <x:c r="A47" s="5" t="str">
        <x:v>䵒</x:v>
      </x:c>
      <x:c r="B47" s="6" t="str">
        <x:v>入</x:v>
      </x:c>
      <x:c r="C47" s="6" t="str">
        <x:f>IF(B47="","Needs decision","Ready")</x:f>
        <x:v>Ready</x:v>
      </x:c>
      <x:c r="D47" s="6" t="str">
        <x:v>入</x:v>
      </x:c>
      <x:c r="E47" s="6" t="str">
        <x:v>nrit (D)</x:v>
      </x:c>
      <x:c r="F47" s="6" t="str"/>
      <x:c r="G47" s="6" t="str"/>
      <x:c r="H47" s="6" t="str">
        <x:v>1</x:v>
      </x:c>
      <x:c r="I47" s="6" t="str"/>
      <x:c r="J47" s="6" t="str">
        <x:f>IF(B47="","",IF(AND(ISNUMBER(SEARCH("平",B47)),OR(ISNUMBER(SEARCH("上",B47)),ISNUMBER(SEARCH("去",B47)),ISNUMBER(SEARCH("入",B47)))),"Ambiguous",IF(ISNUMBER(SEARCH("平",B47)),"平","仄")))</x:f>
        <x:v>仄</x:v>
      </x:c>
      <x:c r="K47" s="6" t="str">
        <x:f>IF(D47="","",IF(AND(ISNUMBER(SEARCH("平",D47)),OR(ISNUMBER(SEARCH("上",D47)),ISNUMBER(SEARCH("去",D47)),ISNUMBER(SEARCH("入",D47)))),"Ambiguous",IF(ISNUMBER(SEARCH("平",D47)),"平","仄")))</x:f>
        <x:v>仄</x:v>
      </x:c>
      <x:c r="L47" s="7" t="str"/>
    </x:row>
    <x:row r="48">
      <x:c r="A48" s="5" t="str">
        <x:v>一</x:v>
      </x:c>
      <x:c r="B48" s="6" t="str">
        <x:v>入</x:v>
      </x:c>
      <x:c r="C48" s="6" t="str">
        <x:f>IF(B48="","Needs decision","Ready")</x:f>
        <x:v>Ready</x:v>
      </x:c>
      <x:c r="D48" s="6" t="str">
        <x:v>入</x:v>
      </x:c>
      <x:c r="E48" s="6" t="str">
        <x:v>'jit (D)</x:v>
      </x:c>
      <x:c r="F48" s="6" t="str">
        <x:v>入聲四質</x:v>
      </x:c>
      <x:c r="G48" s="6" t="str">
        <x:v>Pingshui main list, Wikisource-derived DOCX</x:v>
      </x:c>
      <x:c r="H48" s="6" t="str">
        <x:v>1</x:v>
      </x:c>
      <x:c r="I48" s="6" t="str"/>
      <x:c r="J48" s="6" t="str">
        <x:f>IF(B48="","",IF(AND(ISNUMBER(SEARCH("平",B48)),OR(ISNUMBER(SEARCH("上",B48)),ISNUMBER(SEARCH("去",B48)),ISNUMBER(SEARCH("入",B48)))),"Ambiguous",IF(ISNUMBER(SEARCH("平",B48)),"平","仄")))</x:f>
        <x:v>仄</x:v>
      </x:c>
      <x:c r="K48" s="6" t="str">
        <x:f>IF(D48="","",IF(AND(ISNUMBER(SEARCH("平",D48)),OR(ISNUMBER(SEARCH("上",D48)),ISNUMBER(SEARCH("去",D48)),ISNUMBER(SEARCH("入",D48)))),"Ambiguous",IF(ISNUMBER(SEARCH("平",D48)),"平","仄")))</x:f>
        <x:v>仄</x:v>
      </x:c>
      <x:c r="L48" s="7" t="str"/>
    </x:row>
    <x:row r="49">
      <x:c r="A49" s="5" t="str">
        <x:v>丁</x:v>
      </x:c>
      <x:c r="B49" s="6" t="str">
        <x:v>平</x:v>
      </x:c>
      <x:c r="C49" s="6" t="str">
        <x:f>IF(B49="","Needs decision","Ready")</x:f>
        <x:v>Ready</x:v>
      </x:c>
      <x:c r="D49" s="6" t="str">
        <x:v>平</x:v>
      </x:c>
      <x:c r="E49" s="6" t="str">
        <x:v>teng (A); treang (A)</x:v>
      </x:c>
      <x:c r="F49" s="6" t="str">
        <x:v>下平聲八庚</x:v>
      </x:c>
      <x:c r="G49" s="6" t="str">
        <x:v>Pingshui main list, Wikisource-derived DOCX</x:v>
      </x:c>
      <x:c r="H49" s="6" t="str">
        <x:v>2</x:v>
      </x:c>
      <x:c r="I49" s="6" t="str"/>
      <x:c r="J49" s="6" t="str">
        <x:f>IF(B49="","",IF(AND(ISNUMBER(SEARCH("平",B49)),OR(ISNUMBER(SEARCH("上",B49)),ISNUMBER(SEARCH("去",B49)),ISNUMBER(SEARCH("入",B49)))),"Ambiguous",IF(ISNUMBER(SEARCH("平",B49)),"平","仄")))</x:f>
        <x:v>平</x:v>
      </x:c>
      <x:c r="K49" s="6" t="str">
        <x:f>IF(D49="","",IF(AND(ISNUMBER(SEARCH("平",D49)),OR(ISNUMBER(SEARCH("上",D49)),ISNUMBER(SEARCH("去",D49)),ISNUMBER(SEARCH("入",D49)))),"Ambiguous",IF(ISNUMBER(SEARCH("平",D49)),"平","仄")))</x:f>
        <x:v>平</x:v>
      </x:c>
      <x:c r="L49" s="7" t="str"/>
    </x:row>
    <x:row r="50">
      <x:c r="A50" s="5" t="str">
        <x:v>丂</x:v>
      </x:c>
      <x:c r="B50" s="6" t="str">
        <x:v>上</x:v>
      </x:c>
      <x:c r="C50" s="6" t="str">
        <x:f>IF(B50="","Needs decision","Ready")</x:f>
        <x:v>Ready</x:v>
      </x:c>
      <x:c r="D50" s="6" t="str">
        <x:v>上</x:v>
      </x:c>
      <x:c r="E50" s="6" t="str">
        <x:v>khawX (B)</x:v>
      </x:c>
      <x:c r="F50" s="6" t="str"/>
      <x:c r="G50" s="6" t="str"/>
      <x:c r="H50" s="6" t="str">
        <x:v>1</x:v>
      </x:c>
      <x:c r="I50" s="6" t="str"/>
      <x:c r="J50" s="6" t="str">
        <x:f>IF(B50="","",IF(AND(ISNUMBER(SEARCH("平",B50)),OR(ISNUMBER(SEARCH("上",B50)),ISNUMBER(SEARCH("去",B50)),ISNUMBER(SEARCH("入",B50)))),"Ambiguous",IF(ISNUMBER(SEARCH("平",B50)),"平","仄")))</x:f>
        <x:v>仄</x:v>
      </x:c>
      <x:c r="K50" s="6" t="str">
        <x:f>IF(D50="","",IF(AND(ISNUMBER(SEARCH("平",D50)),OR(ISNUMBER(SEARCH("上",D50)),ISNUMBER(SEARCH("去",D50)),ISNUMBER(SEARCH("入",D50)))),"Ambiguous",IF(ISNUMBER(SEARCH("平",D50)),"平","仄")))</x:f>
        <x:v>仄</x:v>
      </x:c>
      <x:c r="L50" s="7" t="str"/>
    </x:row>
    <x:row r="51">
      <x:c r="A51" s="5" t="str">
        <x:v>七</x:v>
      </x:c>
      <x:c r="B51" s="6" t="str">
        <x:v>入</x:v>
      </x:c>
      <x:c r="C51" s="6" t="str">
        <x:f>IF(B51="","Needs decision","Ready")</x:f>
        <x:v>Ready</x:v>
      </x:c>
      <x:c r="D51" s="6" t="str">
        <x:v>入</x:v>
      </x:c>
      <x:c r="E51" s="6" t="str">
        <x:v>tshit (D)</x:v>
      </x:c>
      <x:c r="F51" s="6" t="str">
        <x:v>入聲四質</x:v>
      </x:c>
      <x:c r="G51" s="6" t="str">
        <x:v>Pingshui main list, Wikisource-derived DOCX</x:v>
      </x:c>
      <x:c r="H51" s="6" t="str">
        <x:v>1</x:v>
      </x:c>
      <x:c r="I51" s="6" t="str"/>
      <x:c r="J51" s="6" t="str">
        <x:f>IF(B51="","",IF(AND(ISNUMBER(SEARCH("平",B51)),OR(ISNUMBER(SEARCH("上",B51)),ISNUMBER(SEARCH("去",B51)),ISNUMBER(SEARCH("入",B51)))),"Ambiguous",IF(ISNUMBER(SEARCH("平",B51)),"平","仄")))</x:f>
        <x:v>仄</x:v>
      </x:c>
      <x:c r="K51" s="6" t="str">
        <x:f>IF(D51="","",IF(AND(ISNUMBER(SEARCH("平",D51)),OR(ISNUMBER(SEARCH("上",D51)),ISNUMBER(SEARCH("去",D51)),ISNUMBER(SEARCH("入",D51)))),"Ambiguous",IF(ISNUMBER(SEARCH("平",D51)),"平","仄")))</x:f>
        <x:v>仄</x:v>
      </x:c>
      <x:c r="L51" s="7" t="str"/>
    </x:row>
    <x:row r="52">
      <x:c r="A52" s="5" t="str">
        <x:v>丈</x:v>
      </x:c>
      <x:c r="B52" s="6" t="str">
        <x:v>上</x:v>
      </x:c>
      <x:c r="C52" s="6" t="str">
        <x:f>IF(B52="","Needs decision","Ready")</x:f>
        <x:v>Ready</x:v>
      </x:c>
      <x:c r="D52" s="6" t="str">
        <x:v>上</x:v>
      </x:c>
      <x:c r="E52" s="6" t="str">
        <x:v>drjangX (B)</x:v>
      </x:c>
      <x:c r="F52" s="6" t="str">
        <x:v>上聲二十二養</x:v>
      </x:c>
      <x:c r="G52" s="6" t="str">
        <x:v>Pingshui main list, Wikisource-derived DOCX</x:v>
      </x:c>
      <x:c r="H52" s="6" t="str">
        <x:v>1</x:v>
      </x:c>
      <x:c r="I52" s="6" t="str"/>
      <x:c r="J52" s="6" t="str">
        <x:f>IF(B52="","",IF(AND(ISNUMBER(SEARCH("平",B52)),OR(ISNUMBER(SEARCH("上",B52)),ISNUMBER(SEARCH("去",B52)),ISNUMBER(SEARCH("入",B52)))),"Ambiguous",IF(ISNUMBER(SEARCH("平",B52)),"平","仄")))</x:f>
        <x:v>仄</x:v>
      </x:c>
      <x:c r="K52" s="6" t="str">
        <x:f>IF(D52="","",IF(AND(ISNUMBER(SEARCH("平",D52)),OR(ISNUMBER(SEARCH("上",D52)),ISNUMBER(SEARCH("去",D52)),ISNUMBER(SEARCH("入",D52)))),"Ambiguous",IF(ISNUMBER(SEARCH("平",D52)),"平","仄")))</x:f>
        <x:v>仄</x:v>
      </x:c>
      <x:c r="L52" s="7" t="str"/>
    </x:row>
    <x:row r="53">
      <x:c r="A53" s="5" t="str">
        <x:v>三</x:v>
      </x:c>
      <x:c r="B53" s="6" t="str">
        <x:v>平</x:v>
      </x:c>
      <x:c r="C53" s="6" t="str">
        <x:f>IF(B53="","Needs decision","Ready")</x:f>
        <x:v>Ready</x:v>
      </x:c>
      <x:c r="D53" s="6" t="str">
        <x:v>平/去</x:v>
      </x:c>
      <x:c r="E53" s="6" t="str">
        <x:v>sam (A); samH (C)</x:v>
      </x:c>
      <x:c r="F53" s="6" t="str">
        <x:v>下平聲十三覃; 去聲二十八勘</x:v>
      </x:c>
      <x:c r="G53" s="6" t="str">
        <x:v>Pingshui main list, Wikisource-derived DOCX</x:v>
      </x:c>
      <x:c r="H53" s="6" t="str">
        <x:v>2</x:v>
      </x:c>
      <x:c r="I53" s="6" t="str"/>
      <x:c r="J53" s="6" t="str">
        <x:f>IF(B53="","",IF(AND(ISNUMBER(SEARCH("平",B53)),OR(ISNUMBER(SEARCH("上",B53)),ISNUMBER(SEARCH("去",B53)),ISNUMBER(SEARCH("入",B53)))),"Ambiguous",IF(ISNUMBER(SEARCH("平",B53)),"平","仄")))</x:f>
        <x:v>平</x:v>
      </x:c>
      <x:c r="K53" s="6" t="str">
        <x:f>IF(D53="","",IF(AND(ISNUMBER(SEARCH("平",D53)),OR(ISNUMBER(SEARCH("上",D53)),ISNUMBER(SEARCH("去",D53)),ISNUMBER(SEARCH("入",D53)))),"Ambiguous",IF(ISNUMBER(SEARCH("平",D53)),"平","仄")))</x:f>
        <x:v>Ambiguous</x:v>
      </x:c>
      <x:c r="L53" s="7" t="str"/>
    </x:row>
    <x:row r="54">
      <x:c r="A54" s="5" t="str">
        <x:v>上</x:v>
      </x:c>
      <x:c r="B54" s="6" t="str">
        <x:v>上</x:v>
      </x:c>
      <x:c r="C54" s="6" t="str">
        <x:f>IF(B54="","Needs decision","Ready")</x:f>
        <x:v>Ready</x:v>
      </x:c>
      <x:c r="D54" s="6" t="str">
        <x:v>上/去</x:v>
      </x:c>
      <x:c r="E54" s="6" t="str">
        <x:v>dzyangX (B); dzyangH (C)</x:v>
      </x:c>
      <x:c r="F54" s="6" t="str">
        <x:v>上聲二十二養; 去聲二十三漾</x:v>
      </x:c>
      <x:c r="G54" s="6" t="str">
        <x:v>Pingshui main list, Wikisource-derived DOCX</x:v>
      </x:c>
      <x:c r="H54" s="6" t="str">
        <x:v>2</x:v>
      </x:c>
      <x:c r="I54" s="6" t="str"/>
      <x:c r="J54" s="6" t="str">
        <x:f>IF(B54="","",IF(AND(ISNUMBER(SEARCH("平",B54)),OR(ISNUMBER(SEARCH("上",B54)),ISNUMBER(SEARCH("去",B54)),ISNUMBER(SEARCH("入",B54)))),"Ambiguous",IF(ISNUMBER(SEARCH("平",B54)),"平","仄")))</x:f>
        <x:v>仄</x:v>
      </x:c>
      <x:c r="K54" s="6" t="str">
        <x:f>IF(D54="","",IF(AND(ISNUMBER(SEARCH("平",D54)),OR(ISNUMBER(SEARCH("上",D54)),ISNUMBER(SEARCH("去",D54)),ISNUMBER(SEARCH("入",D54)))),"Ambiguous",IF(ISNUMBER(SEARCH("平",D54)),"平","仄")))</x:f>
        <x:v>仄</x:v>
      </x:c>
      <x:c r="L54" s="7" t="str"/>
    </x:row>
    <x:row r="55">
      <x:c r="A55" s="5" t="str">
        <x:v>下</x:v>
      </x:c>
      <x:c r="B55" s="6" t="str">
        <x:v>去</x:v>
      </x:c>
      <x:c r="C55" s="6" t="str">
        <x:f>IF(B55="","Needs decision","Ready")</x:f>
        <x:v>Ready</x:v>
      </x:c>
      <x:c r="D55" s="6" t="str">
        <x:v>上/去</x:v>
      </x:c>
      <x:c r="E55" s="6" t="str">
        <x:v>haeX (B); haeH (C)</x:v>
      </x:c>
      <x:c r="F55" s="6" t="str">
        <x:v>上聲二十一馬; 去聲二十二禡</x:v>
      </x:c>
      <x:c r="G55" s="6" t="str">
        <x:v>Pingshui main list, Wikisource-derived DOCX</x:v>
      </x:c>
      <x:c r="H55" s="6" t="str">
        <x:v>2</x:v>
      </x:c>
      <x:c r="I55" s="6" t="str"/>
      <x:c r="J55" s="6" t="str">
        <x:f>IF(B55="","",IF(AND(ISNUMBER(SEARCH("平",B55)),OR(ISNUMBER(SEARCH("上",B55)),ISNUMBER(SEARCH("去",B55)),ISNUMBER(SEARCH("入",B55)))),"Ambiguous",IF(ISNUMBER(SEARCH("平",B55)),"平","仄")))</x:f>
        <x:v>仄</x:v>
      </x:c>
      <x:c r="K55" s="6" t="str">
        <x:f>IF(D55="","",IF(AND(ISNUMBER(SEARCH("平",D55)),OR(ISNUMBER(SEARCH("上",D55)),ISNUMBER(SEARCH("去",D55)),ISNUMBER(SEARCH("入",D55)))),"Ambiguous",IF(ISNUMBER(SEARCH("平",D55)),"平","仄")))</x:f>
        <x:v>仄</x:v>
      </x:c>
      <x:c r="L55" s="7" t="str"/>
    </x:row>
    <x:row r="56">
      <x:c r="A56" s="5" t="str">
        <x:v>丌</x:v>
      </x:c>
      <x:c r="B56" s="6" t="str">
        <x:v>平</x:v>
      </x:c>
      <x:c r="C56" s="6" t="str">
        <x:f>IF(B56="","Needs decision","Ready")</x:f>
        <x:v>Ready</x:v>
      </x:c>
      <x:c r="D56" s="6" t="str">
        <x:v>平</x:v>
      </x:c>
      <x:c r="E56" s="6" t="str">
        <x:v>gi (A)</x:v>
      </x:c>
      <x:c r="F56" s="6" t="str"/>
      <x:c r="G56" s="6" t="str"/>
      <x:c r="H56" s="6" t="str">
        <x:v>1</x:v>
      </x:c>
      <x:c r="I56" s="6" t="str"/>
      <x:c r="J56" s="6" t="str">
        <x:f>IF(B56="","",IF(AND(ISNUMBER(SEARCH("平",B56)),OR(ISNUMBER(SEARCH("上",B56)),ISNUMBER(SEARCH("去",B56)),ISNUMBER(SEARCH("入",B56)))),"Ambiguous",IF(ISNUMBER(SEARCH("平",B56)),"平","仄")))</x:f>
        <x:v>平</x:v>
      </x:c>
      <x:c r="K56" s="6" t="str">
        <x:f>IF(D56="","",IF(AND(ISNUMBER(SEARCH("平",D56)),OR(ISNUMBER(SEARCH("上",D56)),ISNUMBER(SEARCH("去",D56)),ISNUMBER(SEARCH("入",D56)))),"Ambiguous",IF(ISNUMBER(SEARCH("平",D56)),"平","仄")))</x:f>
        <x:v>平</x:v>
      </x:c>
      <x:c r="L56" s="7" t="str"/>
    </x:row>
    <x:row r="57">
      <x:c r="A57" s="5" t="str">
        <x:v>不</x:v>
      </x:c>
      <x:c r="B57" s="6" t="str">
        <x:v>平/上</x:v>
      </x:c>
      <x:c r="C57" s="6" t="str">
        <x:f>IF(B57="","Needs decision","Ready")</x:f>
        <x:v>Ready</x:v>
      </x:c>
      <x:c r="D57" s="6" t="str">
        <x:v>平/上</x:v>
      </x:c>
      <x:c r="E57" s="6" t="str">
        <x:v>pjuw (A)</x:v>
      </x:c>
      <x:c r="F57" s="6" t="str">
        <x:v>下平聲十一尤; 入聲五物</x:v>
      </x:c>
      <x:c r="G57" s="6" t="str">
        <x:v>Pingshui main list, Wikisource-derived DOCX</x:v>
      </x:c>
      <x:c r="H57" s="6" t="str">
        <x:v>1</x:v>
      </x:c>
      <x:c r="I57" s="6" t="str">
        <x:v>User correction 2026-09-08</x:v>
      </x:c>
      <x:c r="J57" s="6" t="str">
        <x:f>IF(B57="","",IF(AND(ISNUMBER(SEARCH("平",B57)),OR(ISNUMBER(SEARCH("上",B57)),ISNUMBER(SEARCH("去",B57)),ISNUMBER(SEARCH("入",B57)))),"Ambiguous",IF(ISNUMBER(SEARCH("平",B57)),"平","仄")))</x:f>
        <x:v>Ambiguous</x:v>
      </x:c>
      <x:c r="K57" s="6" t="str">
        <x:f>IF(D57="","",IF(AND(ISNUMBER(SEARCH("平",D57)),OR(ISNUMBER(SEARCH("上",D57)),ISNUMBER(SEARCH("去",D57)),ISNUMBER(SEARCH("入",D57)))),"Ambiguous",IF(ISNUMBER(SEARCH("平",D57)),"平","仄")))</x:f>
        <x:v>Ambiguous</x:v>
      </x:c>
      <x:c r="L57" s="7" t="str"/>
    </x:row>
    <x:row r="58">
      <x:c r="A58" s="5" t="str">
        <x:v>与</x:v>
      </x:c>
      <x:c r="B58" s="6" t="str">
        <x:v>上</x:v>
      </x:c>
      <x:c r="C58" s="6" t="str">
        <x:f>IF(B58="","Needs decision","Ready")</x:f>
        <x:v>Ready</x:v>
      </x:c>
      <x:c r="D58" s="6" t="str">
        <x:v>上</x:v>
      </x:c>
      <x:c r="E58" s="6" t="str">
        <x:v>yoX (B)</x:v>
      </x:c>
      <x:c r="F58" s="6" t="str"/>
      <x:c r="G58" s="6" t="str"/>
      <x:c r="H58" s="6" t="str">
        <x:v>1</x:v>
      </x:c>
      <x:c r="I58" s="6" t="str"/>
      <x:c r="J58" s="6" t="str">
        <x:f>IF(B58="","",IF(AND(ISNUMBER(SEARCH("平",B58)),OR(ISNUMBER(SEARCH("上",B58)),ISNUMBER(SEARCH("去",B58)),ISNUMBER(SEARCH("入",B58)))),"Ambiguous",IF(ISNUMBER(SEARCH("平",B58)),"平","仄")))</x:f>
        <x:v>仄</x:v>
      </x:c>
      <x:c r="K58" s="6" t="str">
        <x:f>IF(D58="","",IF(AND(ISNUMBER(SEARCH("平",D58)),OR(ISNUMBER(SEARCH("上",D58)),ISNUMBER(SEARCH("去",D58)),ISNUMBER(SEARCH("入",D58)))),"Ambiguous",IF(ISNUMBER(SEARCH("平",D58)),"平","仄")))</x:f>
        <x:v>仄</x:v>
      </x:c>
      <x:c r="L58" s="7" t="str"/>
    </x:row>
    <x:row r="59">
      <x:c r="A59" s="5" t="str">
        <x:v>丑</x:v>
      </x:c>
      <x:c r="B59" s="6" t="str">
        <x:v>上</x:v>
      </x:c>
      <x:c r="C59" s="6" t="str">
        <x:f>IF(B59="","Needs decision","Ready")</x:f>
        <x:v>Ready</x:v>
      </x:c>
      <x:c r="D59" s="6" t="str">
        <x:v>上</x:v>
      </x:c>
      <x:c r="E59" s="6" t="str">
        <x:v>trhjuwX (B)</x:v>
      </x:c>
      <x:c r="F59" s="6" t="str">
        <x:v>上聲二十五有</x:v>
      </x:c>
      <x:c r="G59" s="6" t="str">
        <x:v>Pingshui main list, Wikisource-derived DOCX</x:v>
      </x:c>
      <x:c r="H59" s="6" t="str">
        <x:v>1</x:v>
      </x:c>
      <x:c r="I59" s="6" t="str"/>
      <x:c r="J59" s="6" t="str">
        <x:f>IF(B59="","",IF(AND(ISNUMBER(SEARCH("平",B59)),OR(ISNUMBER(SEARCH("上",B59)),ISNUMBER(SEARCH("去",B59)),ISNUMBER(SEARCH("入",B59)))),"Ambiguous",IF(ISNUMBER(SEARCH("平",B59)),"平","仄")))</x:f>
        <x:v>仄</x:v>
      </x:c>
      <x:c r="K59" s="6" t="str">
        <x:f>IF(D59="","",IF(AND(ISNUMBER(SEARCH("平",D59)),OR(ISNUMBER(SEARCH("上",D59)),ISNUMBER(SEARCH("去",D59)),ISNUMBER(SEARCH("入",D59)))),"Ambiguous",IF(ISNUMBER(SEARCH("平",D59)),"平","仄")))</x:f>
        <x:v>仄</x:v>
      </x:c>
      <x:c r="L59" s="7" t="str"/>
    </x:row>
    <x:row r="60">
      <x:c r="A60" s="5" t="str">
        <x:v>且</x:v>
      </x:c>
      <x:c r="B60" s="6" t="str">
        <x:v>上</x:v>
      </x:c>
      <x:c r="C60" s="6" t="str">
        <x:f>IF(B60="","Needs decision","Ready")</x:f>
        <x:v>Ready</x:v>
      </x:c>
      <x:c r="D60" s="6" t="str">
        <x:v>平/上</x:v>
      </x:c>
      <x:c r="E60" s="6" t="str">
        <x:v>tsjo (A); tshjaeX (B)</x:v>
      </x:c>
      <x:c r="F60" s="6" t="str">
        <x:v>上平聲六魚; 上聲二十一馬</x:v>
      </x:c>
      <x:c r="G60" s="6" t="str">
        <x:v>Pingshui main list, Wikisource-derived DOCX</x:v>
      </x:c>
      <x:c r="H60" s="6" t="str">
        <x:v>2</x:v>
      </x:c>
      <x:c r="I60" s="6" t="str"/>
      <x:c r="J60" s="6" t="str">
        <x:f>IF(B60="","",IF(AND(ISNUMBER(SEARCH("平",B60)),OR(ISNUMBER(SEARCH("上",B60)),ISNUMBER(SEARCH("去",B60)),ISNUMBER(SEARCH("入",B60)))),"Ambiguous",IF(ISNUMBER(SEARCH("平",B60)),"平","仄")))</x:f>
        <x:v>仄</x:v>
      </x:c>
      <x:c r="K60" s="6" t="str">
        <x:f>IF(D60="","",IF(AND(ISNUMBER(SEARCH("平",D60)),OR(ISNUMBER(SEARCH("上",D60)),ISNUMBER(SEARCH("去",D60)),ISNUMBER(SEARCH("入",D60)))),"Ambiguous",IF(ISNUMBER(SEARCH("平",D60)),"平","仄")))</x:f>
        <x:v>Ambiguous</x:v>
      </x:c>
      <x:c r="L60" s="7" t="str"/>
    </x:row>
    <x:row r="61">
      <x:c r="A61" s="5" t="str">
        <x:v>丕</x:v>
      </x:c>
      <x:c r="B61" s="6" t="str">
        <x:v>平</x:v>
      </x:c>
      <x:c r="C61" s="6" t="str">
        <x:f>IF(B61="","Needs decision","Ready")</x:f>
        <x:v>Ready</x:v>
      </x:c>
      <x:c r="D61" s="6" t="str">
        <x:v>平</x:v>
      </x:c>
      <x:c r="E61" s="6" t="str">
        <x:v>phij (A)</x:v>
      </x:c>
      <x:c r="F61" s="6" t="str">
        <x:v>上平聲四支</x:v>
      </x:c>
      <x:c r="G61" s="6" t="str">
        <x:v>Pingshui main list, Wikisource-derived DOCX</x:v>
      </x:c>
      <x:c r="H61" s="6" t="str">
        <x:v>1</x:v>
      </x:c>
      <x:c r="I61" s="6" t="str"/>
      <x:c r="J61" s="6" t="str">
        <x:f>IF(B61="","",IF(AND(ISNUMBER(SEARCH("平",B61)),OR(ISNUMBER(SEARCH("上",B61)),ISNUMBER(SEARCH("去",B61)),ISNUMBER(SEARCH("入",B61)))),"Ambiguous",IF(ISNUMBER(SEARCH("平",B61)),"平","仄")))</x:f>
        <x:v>平</x:v>
      </x:c>
      <x:c r="K61" s="6" t="str">
        <x:f>IF(D61="","",IF(AND(ISNUMBER(SEARCH("平",D61)),OR(ISNUMBER(SEARCH("上",D61)),ISNUMBER(SEARCH("去",D61)),ISNUMBER(SEARCH("入",D61)))),"Ambiguous",IF(ISNUMBER(SEARCH("平",D61)),"平","仄")))</x:f>
        <x:v>平</x:v>
      </x:c>
      <x:c r="L61" s="7" t="str"/>
    </x:row>
    <x:row r="62">
      <x:c r="A62" s="5" t="str">
        <x:v>世</x:v>
      </x:c>
      <x:c r="B62" s="6" t="str">
        <x:v>去</x:v>
      </x:c>
      <x:c r="C62" s="6" t="str">
        <x:f>IF(B62="","Needs decision","Ready")</x:f>
        <x:v>Ready</x:v>
      </x:c>
      <x:c r="D62" s="6" t="str">
        <x:v>去</x:v>
      </x:c>
      <x:c r="E62" s="6" t="str">
        <x:v>syejH (C)</x:v>
      </x:c>
      <x:c r="F62" s="6" t="str">
        <x:v>去聲八霽</x:v>
      </x:c>
      <x:c r="G62" s="6" t="str">
        <x:v>Pingshui main list, Wikisource-derived DOCX</x:v>
      </x:c>
      <x:c r="H62" s="6" t="str">
        <x:v>1</x:v>
      </x:c>
      <x:c r="I62" s="6" t="str"/>
      <x:c r="J62" s="6" t="str">
        <x:f>IF(B62="","",IF(AND(ISNUMBER(SEARCH("平",B62)),OR(ISNUMBER(SEARCH("上",B62)),ISNUMBER(SEARCH("去",B62)),ISNUMBER(SEARCH("入",B62)))),"Ambiguous",IF(ISNUMBER(SEARCH("平",B62)),"平","仄")))</x:f>
        <x:v>仄</x:v>
      </x:c>
      <x:c r="K62" s="6" t="str">
        <x:f>IF(D62="","",IF(AND(ISNUMBER(SEARCH("平",D62)),OR(ISNUMBER(SEARCH("上",D62)),ISNUMBER(SEARCH("去",D62)),ISNUMBER(SEARCH("入",D62)))),"Ambiguous",IF(ISNUMBER(SEARCH("平",D62)),"平","仄")))</x:f>
        <x:v>仄</x:v>
      </x:c>
      <x:c r="L62" s="7" t="str"/>
    </x:row>
    <x:row r="63">
      <x:c r="A63" s="5" t="str">
        <x:v>丘</x:v>
      </x:c>
      <x:c r="B63" s="6" t="str">
        <x:v>平</x:v>
      </x:c>
      <x:c r="C63" s="6" t="str">
        <x:f>IF(B63="","Needs decision","Ready")</x:f>
        <x:v>Ready</x:v>
      </x:c>
      <x:c r="D63" s="6" t="str">
        <x:v>平</x:v>
      </x:c>
      <x:c r="E63" s="6" t="str">
        <x:v>khjuw (A)</x:v>
      </x:c>
      <x:c r="F63" s="6" t="str">
        <x:v>下平聲十一尤</x:v>
      </x:c>
      <x:c r="G63" s="6" t="str">
        <x:v>Pingshui main list, Wikisource-derived DOCX</x:v>
      </x:c>
      <x:c r="H63" s="6" t="str">
        <x:v>1</x:v>
      </x:c>
      <x:c r="I63" s="6" t="str"/>
      <x:c r="J63" s="6" t="str">
        <x:f>IF(B63="","",IF(AND(ISNUMBER(SEARCH("平",B63)),OR(ISNUMBER(SEARCH("上",B63)),ISNUMBER(SEARCH("去",B63)),ISNUMBER(SEARCH("入",B63)))),"Ambiguous",IF(ISNUMBER(SEARCH("平",B63)),"平","仄")))</x:f>
        <x:v>平</x:v>
      </x:c>
      <x:c r="K63" s="6" t="str">
        <x:f>IF(D63="","",IF(AND(ISNUMBER(SEARCH("平",D63)),OR(ISNUMBER(SEARCH("上",D63)),ISNUMBER(SEARCH("去",D63)),ISNUMBER(SEARCH("入",D63)))),"Ambiguous",IF(ISNUMBER(SEARCH("平",D63)),"平","仄")))</x:f>
        <x:v>平</x:v>
      </x:c>
      <x:c r="L63" s="7" t="str"/>
    </x:row>
    <x:row r="64">
      <x:c r="A64" s="5" t="str">
        <x:v>丙</x:v>
      </x:c>
      <x:c r="B64" s="6" t="str">
        <x:v>上</x:v>
      </x:c>
      <x:c r="C64" s="6" t="str">
        <x:f>IF(B64="","Needs decision","Ready")</x:f>
        <x:v>Ready</x:v>
      </x:c>
      <x:c r="D64" s="6" t="str">
        <x:v>上</x:v>
      </x:c>
      <x:c r="E64" s="6" t="str">
        <x:v>pjaengX (B)</x:v>
      </x:c>
      <x:c r="F64" s="6" t="str">
        <x:v>上聲二十三梗</x:v>
      </x:c>
      <x:c r="G64" s="6" t="str">
        <x:v>Pingshui main list, Wikisource-derived DOCX</x:v>
      </x:c>
      <x:c r="H64" s="6" t="str">
        <x:v>1</x:v>
      </x:c>
      <x:c r="I64" s="6" t="str"/>
      <x:c r="J64" s="6" t="str">
        <x:f>IF(B64="","",IF(AND(ISNUMBER(SEARCH("平",B64)),OR(ISNUMBER(SEARCH("上",B64)),ISNUMBER(SEARCH("去",B64)),ISNUMBER(SEARCH("入",B64)))),"Ambiguous",IF(ISNUMBER(SEARCH("平",B64)),"平","仄")))</x:f>
        <x:v>仄</x:v>
      </x:c>
      <x:c r="K64" s="6" t="str">
        <x:f>IF(D64="","",IF(AND(ISNUMBER(SEARCH("平",D64)),OR(ISNUMBER(SEARCH("上",D64)),ISNUMBER(SEARCH("去",D64)),ISNUMBER(SEARCH("入",D64)))),"Ambiguous",IF(ISNUMBER(SEARCH("平",D64)),"平","仄")))</x:f>
        <x:v>仄</x:v>
      </x:c>
      <x:c r="L64" s="7" t="str"/>
    </x:row>
    <x:row r="65">
      <x:c r="A65" s="5" t="str">
        <x:v>丞</x:v>
      </x:c>
      <x:c r="B65" s="6" t="str">
        <x:v>平</x:v>
      </x:c>
      <x:c r="C65" s="6" t="str">
        <x:f>IF(B65="","Needs decision","Ready")</x:f>
        <x:v>Ready</x:v>
      </x:c>
      <x:c r="D65" s="6" t="str">
        <x:v>平</x:v>
      </x:c>
      <x:c r="E65" s="6" t="str">
        <x:v>dzying (A)</x:v>
      </x:c>
      <x:c r="F65" s="6" t="str">
        <x:v>下平聲十蒸</x:v>
      </x:c>
      <x:c r="G65" s="6" t="str">
        <x:v>Pingshui main list, Wikisource-derived DOCX</x:v>
      </x:c>
      <x:c r="H65" s="6" t="str">
        <x:v>1</x:v>
      </x:c>
      <x:c r="I65" s="6" t="str"/>
      <x:c r="J65" s="6" t="str">
        <x:f>IF(B65="","",IF(AND(ISNUMBER(SEARCH("平",B65)),OR(ISNUMBER(SEARCH("上",B65)),ISNUMBER(SEARCH("去",B65)),ISNUMBER(SEARCH("入",B65)))),"Ambiguous",IF(ISNUMBER(SEARCH("平",B65)),"平","仄")))</x:f>
        <x:v>平</x:v>
      </x:c>
      <x:c r="K65" s="6" t="str">
        <x:f>IF(D65="","",IF(AND(ISNUMBER(SEARCH("平",D65)),OR(ISNUMBER(SEARCH("上",D65)),ISNUMBER(SEARCH("去",D65)),ISNUMBER(SEARCH("入",D65)))),"Ambiguous",IF(ISNUMBER(SEARCH("平",D65)),"平","仄")))</x:f>
        <x:v>平</x:v>
      </x:c>
      <x:c r="L65" s="7" t="str"/>
    </x:row>
    <x:row r="66">
      <x:c r="A66" s="5" t="str">
        <x:v>並</x:v>
      </x:c>
      <x:c r="B66" s="6" t="str">
        <x:v>上</x:v>
      </x:c>
      <x:c r="C66" s="6" t="str">
        <x:f>IF(B66="","Needs decision","Ready")</x:f>
        <x:v>Ready</x:v>
      </x:c>
      <x:c r="D66" s="6" t="str">
        <x:v>上</x:v>
      </x:c>
      <x:c r="E66" s="6" t="str">
        <x:v>bengX (B)</x:v>
      </x:c>
      <x:c r="F66" s="6" t="str">
        <x:v>下平聲八庚; 去聲二十四敬</x:v>
      </x:c>
      <x:c r="G66" s="6" t="str">
        <x:v>Pingshui main list, Wikisource-derived DOCX</x:v>
      </x:c>
      <x:c r="H66" s="6" t="str">
        <x:v>1</x:v>
      </x:c>
      <x:c r="I66" s="6" t="str"/>
      <x:c r="J66" s="6" t="str">
        <x:f>IF(B66="","",IF(AND(ISNUMBER(SEARCH("平",B66)),OR(ISNUMBER(SEARCH("上",B66)),ISNUMBER(SEARCH("去",B66)),ISNUMBER(SEARCH("入",B66)))),"Ambiguous",IF(ISNUMBER(SEARCH("平",B66)),"平","仄")))</x:f>
        <x:v>仄</x:v>
      </x:c>
      <x:c r="K66" s="6" t="str">
        <x:f>IF(D66="","",IF(AND(ISNUMBER(SEARCH("平",D66)),OR(ISNUMBER(SEARCH("上",D66)),ISNUMBER(SEARCH("去",D66)),ISNUMBER(SEARCH("入",D66)))),"Ambiguous",IF(ISNUMBER(SEARCH("平",D66)),"平","仄")))</x:f>
        <x:v>仄</x:v>
      </x:c>
      <x:c r="L66" s="7" t="str"/>
    </x:row>
    <x:row r="67">
      <x:c r="A67" s="5" t="str">
        <x:v>丩</x:v>
      </x:c>
      <x:c r="B67" s="6" t="str">
        <x:v>平</x:v>
      </x:c>
      <x:c r="C67" s="6" t="str">
        <x:f>IF(B67="","Needs decision","Ready")</x:f>
        <x:v>Ready</x:v>
      </x:c>
      <x:c r="D67" s="6" t="str">
        <x:v>平</x:v>
      </x:c>
      <x:c r="E67" s="6" t="str">
        <x:v>kjiw (A)</x:v>
      </x:c>
      <x:c r="F67" s="6" t="str"/>
      <x:c r="G67" s="6" t="str"/>
      <x:c r="H67" s="6" t="str">
        <x:v>1</x:v>
      </x:c>
      <x:c r="I67" s="6" t="str"/>
      <x:c r="J67" s="6" t="str">
        <x:f>IF(B67="","",IF(AND(ISNUMBER(SEARCH("平",B67)),OR(ISNUMBER(SEARCH("上",B67)),ISNUMBER(SEARCH("去",B67)),ISNUMBER(SEARCH("入",B67)))),"Ambiguous",IF(ISNUMBER(SEARCH("平",B67)),"平","仄")))</x:f>
        <x:v>平</x:v>
      </x:c>
      <x:c r="K67" s="6" t="str">
        <x:f>IF(D67="","",IF(AND(ISNUMBER(SEARCH("平",D67)),OR(ISNUMBER(SEARCH("上",D67)),ISNUMBER(SEARCH("去",D67)),ISNUMBER(SEARCH("入",D67)))),"Ambiguous",IF(ISNUMBER(SEARCH("平",D67)),"平","仄")))</x:f>
        <x:v>平</x:v>
      </x:c>
      <x:c r="L67" s="7" t="str"/>
    </x:row>
    <x:row r="68">
      <x:c r="A68" s="5" t="str">
        <x:v>个</x:v>
      </x:c>
      <x:c r="B68" s="6" t="str">
        <x:v>去</x:v>
      </x:c>
      <x:c r="C68" s="6" t="str">
        <x:f>IF(B68="","Needs decision","Ready")</x:f>
        <x:v>Ready</x:v>
      </x:c>
      <x:c r="D68" s="6" t="str">
        <x:v>去</x:v>
      </x:c>
      <x:c r="E68" s="6" t="str">
        <x:v>kaH (C)</x:v>
      </x:c>
      <x:c r="F68" s="6" t="str"/>
      <x:c r="G68" s="6" t="str"/>
      <x:c r="H68" s="6" t="str">
        <x:v>1</x:v>
      </x:c>
      <x:c r="I68" s="6" t="str"/>
      <x:c r="J68" s="6" t="str">
        <x:f>IF(B68="","",IF(AND(ISNUMBER(SEARCH("平",B68)),OR(ISNUMBER(SEARCH("上",B68)),ISNUMBER(SEARCH("去",B68)),ISNUMBER(SEARCH("入",B68)))),"Ambiguous",IF(ISNUMBER(SEARCH("平",B68)),"平","仄")))</x:f>
        <x:v>仄</x:v>
      </x:c>
      <x:c r="K68" s="6" t="str">
        <x:f>IF(D68="","",IF(AND(ISNUMBER(SEARCH("平",D68)),OR(ISNUMBER(SEARCH("上",D68)),ISNUMBER(SEARCH("去",D68)),ISNUMBER(SEARCH("入",D68)))),"Ambiguous",IF(ISNUMBER(SEARCH("平",D68)),"平","仄")))</x:f>
        <x:v>仄</x:v>
      </x:c>
      <x:c r="L68" s="7" t="str"/>
    </x:row>
    <x:row r="69">
      <x:c r="A69" s="5" t="str">
        <x:v>中</x:v>
      </x:c>
      <x:c r="B69" s="6" t="str"/>
      <x:c r="C69" s="6" t="str">
        <x:f>IF(B69="","Needs decision","Ready")</x:f>
        <x:v>Needs decision</x:v>
      </x:c>
      <x:c r="D69" s="6" t="str">
        <x:v>平/去</x:v>
      </x:c>
      <x:c r="E69" s="6" t="str">
        <x:v>trjuwng (A); trjuwngH (C)</x:v>
      </x:c>
      <x:c r="F69" s="6" t="str">
        <x:v>上平聲一東; 去聲一送</x:v>
      </x:c>
      <x:c r="G69" s="6" t="str">
        <x:v>Pingshui main list, Wikisource-derived DOCX</x:v>
      </x:c>
      <x:c r="H69" s="6" t="str">
        <x:v>2</x:v>
      </x:c>
      <x:c r="I69" s="6" t="str"/>
      <x:c r="J69" s="6" t="str">
        <x:f>IF(B69="","",IF(AND(ISNUMBER(SEARCH("平",B69)),OR(ISNUMBER(SEARCH("上",B69)),ISNUMBER(SEARCH("去",B69)),ISNUMBER(SEARCH("入",B69)))),"Ambiguous",IF(ISNUMBER(SEARCH("平",B69)),"平","仄")))</x:f>
      </x:c>
      <x:c r="K69" s="6" t="str">
        <x:f>IF(D69="","",IF(AND(ISNUMBER(SEARCH("平",D69)),OR(ISNUMBER(SEARCH("上",D69)),ISNUMBER(SEARCH("去",D69)),ISNUMBER(SEARCH("入",D69)))),"Ambiguous",IF(ISNUMBER(SEARCH("平",D69)),"平","仄")))</x:f>
        <x:v>Ambiguous</x:v>
      </x:c>
      <x:c r="L69" s="7" t="str"/>
    </x:row>
    <x:row r="70">
      <x:c r="A70" s="5" t="str">
        <x:v>丮</x:v>
      </x:c>
      <x:c r="B70" s="6" t="str">
        <x:v>入</x:v>
      </x:c>
      <x:c r="C70" s="6" t="str">
        <x:f>IF(B70="","Needs decision","Ready")</x:f>
        <x:v>Ready</x:v>
      </x:c>
      <x:c r="D70" s="6" t="str">
        <x:v>入</x:v>
      </x:c>
      <x:c r="E70" s="6" t="str">
        <x:v>kjaek (D)</x:v>
      </x:c>
      <x:c r="F70" s="6" t="str"/>
      <x:c r="G70" s="6" t="str"/>
      <x:c r="H70" s="6" t="str">
        <x:v>1</x:v>
      </x:c>
      <x:c r="I70" s="6" t="str"/>
      <x:c r="J70" s="6" t="str">
        <x:f>IF(B70="","",IF(AND(ISNUMBER(SEARCH("平",B70)),OR(ISNUMBER(SEARCH("上",B70)),ISNUMBER(SEARCH("去",B70)),ISNUMBER(SEARCH("入",B70)))),"Ambiguous",IF(ISNUMBER(SEARCH("平",B70)),"平","仄")))</x:f>
        <x:v>仄</x:v>
      </x:c>
      <x:c r="K70" s="6" t="str">
        <x:f>IF(D70="","",IF(AND(ISNUMBER(SEARCH("平",D70)),OR(ISNUMBER(SEARCH("上",D70)),ISNUMBER(SEARCH("去",D70)),ISNUMBER(SEARCH("入",D70)))),"Ambiguous",IF(ISNUMBER(SEARCH("平",D70)),"平","仄")))</x:f>
        <x:v>仄</x:v>
      </x:c>
      <x:c r="L70" s="7" t="str"/>
    </x:row>
    <x:row r="71">
      <x:c r="A71" s="5" t="str">
        <x:v>串</x:v>
      </x:c>
      <x:c r="B71" s="6" t="str">
        <x:v>去</x:v>
      </x:c>
      <x:c r="C71" s="6" t="str">
        <x:f>IF(B71="","Needs decision","Ready")</x:f>
        <x:v>Ready</x:v>
      </x:c>
      <x:c r="D71" s="6" t="str">
        <x:v>去</x:v>
      </x:c>
      <x:c r="E71" s="6" t="str">
        <x:v>kwaenH (C)</x:v>
      </x:c>
      <x:c r="F71" s="6" t="str">
        <x:v>去聲十六諫</x:v>
      </x:c>
      <x:c r="G71" s="6" t="str">
        <x:v>Pingshui main list, Wikisource-derived DOCX</x:v>
      </x:c>
      <x:c r="H71" s="6" t="str">
        <x:v>1</x:v>
      </x:c>
      <x:c r="I71" s="6" t="str"/>
      <x:c r="J71" s="6" t="str">
        <x:f>IF(B71="","",IF(AND(ISNUMBER(SEARCH("平",B71)),OR(ISNUMBER(SEARCH("上",B71)),ISNUMBER(SEARCH("去",B71)),ISNUMBER(SEARCH("入",B71)))),"Ambiguous",IF(ISNUMBER(SEARCH("平",B71)),"平","仄")))</x:f>
        <x:v>仄</x:v>
      </x:c>
      <x:c r="K71" s="6" t="str">
        <x:f>IF(D71="","",IF(AND(ISNUMBER(SEARCH("平",D71)),OR(ISNUMBER(SEARCH("上",D71)),ISNUMBER(SEARCH("去",D71)),ISNUMBER(SEARCH("入",D71)))),"Ambiguous",IF(ISNUMBER(SEARCH("平",D71)),"平","仄")))</x:f>
        <x:v>仄</x:v>
      </x:c>
      <x:c r="L71" s="7" t="str"/>
    </x:row>
    <x:row r="72">
      <x:c r="A72" s="5" t="str">
        <x:v>丸</x:v>
      </x:c>
      <x:c r="B72" s="6" t="str">
        <x:v>平</x:v>
      </x:c>
      <x:c r="C72" s="6" t="str">
        <x:f>IF(B72="","Needs decision","Ready")</x:f>
        <x:v>Ready</x:v>
      </x:c>
      <x:c r="D72" s="6" t="str">
        <x:v>平</x:v>
      </x:c>
      <x:c r="E72" s="6" t="str">
        <x:v>hwan (A)</x:v>
      </x:c>
      <x:c r="F72" s="6" t="str">
        <x:v>上平聲十四寒</x:v>
      </x:c>
      <x:c r="G72" s="6" t="str">
        <x:v>Pingshui main list, Wikisource-derived DOCX</x:v>
      </x:c>
      <x:c r="H72" s="6" t="str">
        <x:v>1</x:v>
      </x:c>
      <x:c r="I72" s="6" t="str"/>
      <x:c r="J72" s="6" t="str">
        <x:f>IF(B72="","",IF(AND(ISNUMBER(SEARCH("平",B72)),OR(ISNUMBER(SEARCH("上",B72)),ISNUMBER(SEARCH("去",B72)),ISNUMBER(SEARCH("入",B72)))),"Ambiguous",IF(ISNUMBER(SEARCH("平",B72)),"平","仄")))</x:f>
        <x:v>平</x:v>
      </x:c>
      <x:c r="K72" s="6" t="str">
        <x:f>IF(D72="","",IF(AND(ISNUMBER(SEARCH("平",D72)),OR(ISNUMBER(SEARCH("上",D72)),ISNUMBER(SEARCH("去",D72)),ISNUMBER(SEARCH("入",D72)))),"Ambiguous",IF(ISNUMBER(SEARCH("平",D72)),"平","仄")))</x:f>
        <x:v>平</x:v>
      </x:c>
      <x:c r="L72" s="7" t="str"/>
    </x:row>
    <x:row r="73">
      <x:c r="A73" s="5" t="str">
        <x:v>丹</x:v>
      </x:c>
      <x:c r="B73" s="6" t="str">
        <x:v>平</x:v>
      </x:c>
      <x:c r="C73" s="6" t="str">
        <x:f>IF(B73="","Needs decision","Ready")</x:f>
        <x:v>Ready</x:v>
      </x:c>
      <x:c r="D73" s="6" t="str">
        <x:v>平</x:v>
      </x:c>
      <x:c r="E73" s="6" t="str">
        <x:v>tan (A)</x:v>
      </x:c>
      <x:c r="F73" s="6" t="str">
        <x:v>上平聲十四寒</x:v>
      </x:c>
      <x:c r="G73" s="6" t="str">
        <x:v>Pingshui main list, Wikisource-derived DOCX</x:v>
      </x:c>
      <x:c r="H73" s="6" t="str">
        <x:v>1</x:v>
      </x:c>
      <x:c r="I73" s="6" t="str"/>
      <x:c r="J73" s="6" t="str">
        <x:f>IF(B73="","",IF(AND(ISNUMBER(SEARCH("平",B73)),OR(ISNUMBER(SEARCH("上",B73)),ISNUMBER(SEARCH("去",B73)),ISNUMBER(SEARCH("入",B73)))),"Ambiguous",IF(ISNUMBER(SEARCH("平",B73)),"平","仄")))</x:f>
        <x:v>平</x:v>
      </x:c>
      <x:c r="K73" s="6" t="str">
        <x:f>IF(D73="","",IF(AND(ISNUMBER(SEARCH("平",D73)),OR(ISNUMBER(SEARCH("上",D73)),ISNUMBER(SEARCH("去",D73)),ISNUMBER(SEARCH("入",D73)))),"Ambiguous",IF(ISNUMBER(SEARCH("平",D73)),"平","仄")))</x:f>
        <x:v>平</x:v>
      </x:c>
      <x:c r="L73" s="7" t="str"/>
    </x:row>
    <x:row r="74">
      <x:c r="A74" s="5" t="str">
        <x:v>主</x:v>
      </x:c>
      <x:c r="B74" s="6" t="str">
        <x:v>上</x:v>
      </x:c>
      <x:c r="C74" s="6" t="str">
        <x:f>IF(B74="","Needs decision","Ready")</x:f>
        <x:v>Ready</x:v>
      </x:c>
      <x:c r="D74" s="6" t="str">
        <x:v>上</x:v>
      </x:c>
      <x:c r="E74" s="6" t="str">
        <x:v>tsyuX (B)</x:v>
      </x:c>
      <x:c r="F74" s="6" t="str">
        <x:v>上聲七麌</x:v>
      </x:c>
      <x:c r="G74" s="6" t="str">
        <x:v>Pingshui main list, Wikisource-derived DOCX</x:v>
      </x:c>
      <x:c r="H74" s="6" t="str">
        <x:v>1</x:v>
      </x:c>
      <x:c r="I74" s="6" t="str"/>
      <x:c r="J74" s="6" t="str">
        <x:f>IF(B74="","",IF(AND(ISNUMBER(SEARCH("平",B74)),OR(ISNUMBER(SEARCH("上",B74)),ISNUMBER(SEARCH("去",B74)),ISNUMBER(SEARCH("入",B74)))),"Ambiguous",IF(ISNUMBER(SEARCH("平",B74)),"平","仄")))</x:f>
        <x:v>仄</x:v>
      </x:c>
      <x:c r="K74" s="6" t="str">
        <x:f>IF(D74="","",IF(AND(ISNUMBER(SEARCH("平",D74)),OR(ISNUMBER(SEARCH("上",D74)),ISNUMBER(SEARCH("去",D74)),ISNUMBER(SEARCH("入",D74)))),"Ambiguous",IF(ISNUMBER(SEARCH("平",D74)),"平","仄")))</x:f>
        <x:v>仄</x:v>
      </x:c>
      <x:c r="L74" s="7" t="str"/>
    </x:row>
    <x:row r="75">
      <x:c r="A75" s="5" t="str">
        <x:v>丼</x:v>
      </x:c>
      <x:c r="B75" s="6" t="str">
        <x:v>上</x:v>
      </x:c>
      <x:c r="C75" s="6" t="str">
        <x:f>IF(B75="","Needs decision","Ready")</x:f>
        <x:v>Ready</x:v>
      </x:c>
      <x:c r="D75" s="6" t="str">
        <x:v>上</x:v>
      </x:c>
      <x:c r="E75" s="6" t="str">
        <x:v>tsjengX (B)</x:v>
      </x:c>
      <x:c r="F75" s="6" t="str"/>
      <x:c r="G75" s="6" t="str"/>
      <x:c r="H75" s="6" t="str">
        <x:v>1</x:v>
      </x:c>
      <x:c r="I75" s="6" t="str"/>
      <x:c r="J75" s="6" t="str">
        <x:f>IF(B75="","",IF(AND(ISNUMBER(SEARCH("平",B75)),OR(ISNUMBER(SEARCH("上",B75)),ISNUMBER(SEARCH("去",B75)),ISNUMBER(SEARCH("入",B75)))),"Ambiguous",IF(ISNUMBER(SEARCH("平",B75)),"平","仄")))</x:f>
        <x:v>仄</x:v>
      </x:c>
      <x:c r="K75" s="6" t="str">
        <x:f>IF(D75="","",IF(AND(ISNUMBER(SEARCH("平",D75)),OR(ISNUMBER(SEARCH("上",D75)),ISNUMBER(SEARCH("去",D75)),ISNUMBER(SEARCH("入",D75)))),"Ambiguous",IF(ISNUMBER(SEARCH("平",D75)),"平","仄")))</x:f>
        <x:v>仄</x:v>
      </x:c>
      <x:c r="L75" s="7" t="str"/>
    </x:row>
    <x:row r="76">
      <x:c r="A76" s="5" t="str">
        <x:v>乂</x:v>
      </x:c>
      <x:c r="B76" s="6" t="str">
        <x:v>去</x:v>
      </x:c>
      <x:c r="C76" s="6" t="str">
        <x:f>IF(B76="","Needs decision","Ready")</x:f>
        <x:v>Ready</x:v>
      </x:c>
      <x:c r="D76" s="6" t="str">
        <x:v>去</x:v>
      </x:c>
      <x:c r="E76" s="6" t="str">
        <x:v>ngjojH (C)</x:v>
      </x:c>
      <x:c r="F76" s="6" t="str">
        <x:v>去聲十一隊</x:v>
      </x:c>
      <x:c r="G76" s="6" t="str">
        <x:v>Pingshui main list, Wikisource-derived DOCX</x:v>
      </x:c>
      <x:c r="H76" s="6" t="str">
        <x:v>1</x:v>
      </x:c>
      <x:c r="I76" s="6" t="str"/>
      <x:c r="J76" s="6" t="str">
        <x:f>IF(B76="","",IF(AND(ISNUMBER(SEARCH("平",B76)),OR(ISNUMBER(SEARCH("上",B76)),ISNUMBER(SEARCH("去",B76)),ISNUMBER(SEARCH("入",B76)))),"Ambiguous",IF(ISNUMBER(SEARCH("平",B76)),"平","仄")))</x:f>
        <x:v>仄</x:v>
      </x:c>
      <x:c r="K76" s="6" t="str">
        <x:f>IF(D76="","",IF(AND(ISNUMBER(SEARCH("平",D76)),OR(ISNUMBER(SEARCH("上",D76)),ISNUMBER(SEARCH("去",D76)),ISNUMBER(SEARCH("入",D76)))),"Ambiguous",IF(ISNUMBER(SEARCH("平",D76)),"平","仄")))</x:f>
        <x:v>仄</x:v>
      </x:c>
      <x:c r="L76" s="7" t="str"/>
    </x:row>
    <x:row r="77">
      <x:c r="A77" s="5" t="str">
        <x:v>乃</x:v>
      </x:c>
      <x:c r="B77" s="6" t="str">
        <x:v>上</x:v>
      </x:c>
      <x:c r="C77" s="6" t="str">
        <x:f>IF(B77="","Needs decision","Ready")</x:f>
        <x:v>Ready</x:v>
      </x:c>
      <x:c r="D77" s="6" t="str">
        <x:v>上</x:v>
      </x:c>
      <x:c r="E77" s="6" t="str">
        <x:v>nojX (B)</x:v>
      </x:c>
      <x:c r="F77" s="6" t="str">
        <x:v>上聲十賄</x:v>
      </x:c>
      <x:c r="G77" s="6" t="str">
        <x:v>Pingshui main list, Wikisource-derived DOCX</x:v>
      </x:c>
      <x:c r="H77" s="6" t="str">
        <x:v>1</x:v>
      </x:c>
      <x:c r="I77" s="6" t="str"/>
      <x:c r="J77" s="6" t="str">
        <x:f>IF(B77="","",IF(AND(ISNUMBER(SEARCH("平",B77)),OR(ISNUMBER(SEARCH("上",B77)),ISNUMBER(SEARCH("去",B77)),ISNUMBER(SEARCH("入",B77)))),"Ambiguous",IF(ISNUMBER(SEARCH("平",B77)),"平","仄")))</x:f>
        <x:v>仄</x:v>
      </x:c>
      <x:c r="K77" s="6" t="str">
        <x:f>IF(D77="","",IF(AND(ISNUMBER(SEARCH("平",D77)),OR(ISNUMBER(SEARCH("上",D77)),ISNUMBER(SEARCH("去",D77)),ISNUMBER(SEARCH("入",D77)))),"Ambiguous",IF(ISNUMBER(SEARCH("平",D77)),"平","仄")))</x:f>
        <x:v>仄</x:v>
      </x:c>
      <x:c r="L77" s="7" t="str"/>
    </x:row>
    <x:row r="78">
      <x:c r="A78" s="5" t="str">
        <x:v>久</x:v>
      </x:c>
      <x:c r="B78" s="6" t="str">
        <x:v>上</x:v>
      </x:c>
      <x:c r="C78" s="6" t="str">
        <x:f>IF(B78="","Needs decision","Ready")</x:f>
        <x:v>Ready</x:v>
      </x:c>
      <x:c r="D78" s="6" t="str">
        <x:v>上</x:v>
      </x:c>
      <x:c r="E78" s="6" t="str">
        <x:v>kjuwX (B)</x:v>
      </x:c>
      <x:c r="F78" s="6" t="str">
        <x:v>上聲二十五有</x:v>
      </x:c>
      <x:c r="G78" s="6" t="str">
        <x:v>Pingshui main list, Wikisource-derived DOCX</x:v>
      </x:c>
      <x:c r="H78" s="6" t="str">
        <x:v>1</x:v>
      </x:c>
      <x:c r="I78" s="6" t="str"/>
      <x:c r="J78" s="6" t="str">
        <x:f>IF(B78="","",IF(AND(ISNUMBER(SEARCH("平",B78)),OR(ISNUMBER(SEARCH("上",B78)),ISNUMBER(SEARCH("去",B78)),ISNUMBER(SEARCH("入",B78)))),"Ambiguous",IF(ISNUMBER(SEARCH("平",B78)),"平","仄")))</x:f>
        <x:v>仄</x:v>
      </x:c>
      <x:c r="K78" s="6" t="str">
        <x:f>IF(D78="","",IF(AND(ISNUMBER(SEARCH("平",D78)),OR(ISNUMBER(SEARCH("上",D78)),ISNUMBER(SEARCH("去",D78)),ISNUMBER(SEARCH("入",D78)))),"Ambiguous",IF(ISNUMBER(SEARCH("平",D78)),"平","仄")))</x:f>
        <x:v>仄</x:v>
      </x:c>
      <x:c r="L78" s="7" t="str"/>
    </x:row>
    <x:row r="79">
      <x:c r="A79" s="5" t="str">
        <x:v>乇</x:v>
      </x:c>
      <x:c r="B79" s="6" t="str">
        <x:v>入</x:v>
      </x:c>
      <x:c r="C79" s="6" t="str">
        <x:f>IF(B79="","Needs decision","Ready")</x:f>
        <x:v>Ready</x:v>
      </x:c>
      <x:c r="D79" s="6" t="str">
        <x:v>入</x:v>
      </x:c>
      <x:c r="E79" s="6" t="str">
        <x:v>traek (D)</x:v>
      </x:c>
      <x:c r="F79" s="6" t="str"/>
      <x:c r="G79" s="6" t="str"/>
      <x:c r="H79" s="6" t="str">
        <x:v>1</x:v>
      </x:c>
      <x:c r="I79" s="6" t="str"/>
      <x:c r="J79" s="6" t="str">
        <x:f>IF(B79="","",IF(AND(ISNUMBER(SEARCH("平",B79)),OR(ISNUMBER(SEARCH("上",B79)),ISNUMBER(SEARCH("去",B79)),ISNUMBER(SEARCH("入",B79)))),"Ambiguous",IF(ISNUMBER(SEARCH("平",B79)),"平","仄")))</x:f>
        <x:v>仄</x:v>
      </x:c>
      <x:c r="K79" s="6" t="str">
        <x:f>IF(D79="","",IF(AND(ISNUMBER(SEARCH("平",D79)),OR(ISNUMBER(SEARCH("上",D79)),ISNUMBER(SEARCH("去",D79)),ISNUMBER(SEARCH("入",D79)))),"Ambiguous",IF(ISNUMBER(SEARCH("平",D79)),"平","仄")))</x:f>
        <x:v>仄</x:v>
      </x:c>
      <x:c r="L79" s="7" t="str"/>
    </x:row>
    <x:row r="80">
      <x:c r="A80" s="5" t="str">
        <x:v>之</x:v>
      </x:c>
      <x:c r="B80" s="6" t="str">
        <x:v>平</x:v>
      </x:c>
      <x:c r="C80" s="6" t="str">
        <x:f>IF(B80="","Needs decision","Ready")</x:f>
        <x:v>Ready</x:v>
      </x:c>
      <x:c r="D80" s="6" t="str">
        <x:v>平</x:v>
      </x:c>
      <x:c r="E80" s="6" t="str">
        <x:v>tsyi (A)</x:v>
      </x:c>
      <x:c r="F80" s="6" t="str">
        <x:v>上平聲四支</x:v>
      </x:c>
      <x:c r="G80" s="6" t="str">
        <x:v>Pingshui main list, Wikisource-derived DOCX</x:v>
      </x:c>
      <x:c r="H80" s="6" t="str">
        <x:v>1</x:v>
      </x:c>
      <x:c r="I80" s="6" t="str"/>
      <x:c r="J80" s="6" t="str">
        <x:f>IF(B80="","",IF(AND(ISNUMBER(SEARCH("平",B80)),OR(ISNUMBER(SEARCH("上",B80)),ISNUMBER(SEARCH("去",B80)),ISNUMBER(SEARCH("入",B80)))),"Ambiguous",IF(ISNUMBER(SEARCH("平",B80)),"平","仄")))</x:f>
        <x:v>平</x:v>
      </x:c>
      <x:c r="K80" s="6" t="str">
        <x:f>IF(D80="","",IF(AND(ISNUMBER(SEARCH("平",D80)),OR(ISNUMBER(SEARCH("上",D80)),ISNUMBER(SEARCH("去",D80)),ISNUMBER(SEARCH("入",D80)))),"Ambiguous",IF(ISNUMBER(SEARCH("平",D80)),"平","仄")))</x:f>
        <x:v>平</x:v>
      </x:c>
      <x:c r="L80" s="7" t="str"/>
    </x:row>
    <x:row r="81">
      <x:c r="A81" s="5" t="str">
        <x:v>乍</x:v>
      </x:c>
      <x:c r="B81" s="6" t="str">
        <x:v>去</x:v>
      </x:c>
      <x:c r="C81" s="6" t="str">
        <x:f>IF(B81="","Needs decision","Ready")</x:f>
        <x:v>Ready</x:v>
      </x:c>
      <x:c r="D81" s="6" t="str">
        <x:v>去</x:v>
      </x:c>
      <x:c r="E81" s="6" t="str">
        <x:v>dzraeH (C)</x:v>
      </x:c>
      <x:c r="F81" s="6" t="str">
        <x:v>去聲二十二禡</x:v>
      </x:c>
      <x:c r="G81" s="6" t="str">
        <x:v>Pingshui main list, Wikisource-derived DOCX</x:v>
      </x:c>
      <x:c r="H81" s="6" t="str">
        <x:v>1</x:v>
      </x:c>
      <x:c r="I81" s="6" t="str"/>
      <x:c r="J81" s="6" t="str">
        <x:f>IF(B81="","",IF(AND(ISNUMBER(SEARCH("平",B81)),OR(ISNUMBER(SEARCH("上",B81)),ISNUMBER(SEARCH("去",B81)),ISNUMBER(SEARCH("入",B81)))),"Ambiguous",IF(ISNUMBER(SEARCH("平",B81)),"平","仄")))</x:f>
        <x:v>仄</x:v>
      </x:c>
      <x:c r="K81" s="6" t="str">
        <x:f>IF(D81="","",IF(AND(ISNUMBER(SEARCH("平",D81)),OR(ISNUMBER(SEARCH("上",D81)),ISNUMBER(SEARCH("去",D81)),ISNUMBER(SEARCH("入",D81)))),"Ambiguous",IF(ISNUMBER(SEARCH("平",D81)),"平","仄")))</x:f>
        <x:v>仄</x:v>
      </x:c>
      <x:c r="L81" s="7" t="str"/>
    </x:row>
    <x:row r="82">
      <x:c r="A82" s="5" t="str">
        <x:v>乎</x:v>
      </x:c>
      <x:c r="B82" s="6" t="str">
        <x:v>平</x:v>
      </x:c>
      <x:c r="C82" s="6" t="str">
        <x:f>IF(B82="","Needs decision","Ready")</x:f>
        <x:v>Ready</x:v>
      </x:c>
      <x:c r="D82" s="6" t="str">
        <x:v>平</x:v>
      </x:c>
      <x:c r="E82" s="6" t="str">
        <x:v>hu (A)</x:v>
      </x:c>
      <x:c r="F82" s="6" t="str">
        <x:v>上平聲七虞</x:v>
      </x:c>
      <x:c r="G82" s="6" t="str">
        <x:v>Pingshui main list, Wikisource-derived DOCX</x:v>
      </x:c>
      <x:c r="H82" s="6" t="str">
        <x:v>1</x:v>
      </x:c>
      <x:c r="I82" s="6" t="str"/>
      <x:c r="J82" s="6" t="str">
        <x:f>IF(B82="","",IF(AND(ISNUMBER(SEARCH("平",B82)),OR(ISNUMBER(SEARCH("上",B82)),ISNUMBER(SEARCH("去",B82)),ISNUMBER(SEARCH("入",B82)))),"Ambiguous",IF(ISNUMBER(SEARCH("平",B82)),"平","仄")))</x:f>
        <x:v>平</x:v>
      </x:c>
      <x:c r="K82" s="6" t="str">
        <x:f>IF(D82="","",IF(AND(ISNUMBER(SEARCH("平",D82)),OR(ISNUMBER(SEARCH("上",D82)),ISNUMBER(SEARCH("去",D82)),ISNUMBER(SEARCH("入",D82)))),"Ambiguous",IF(ISNUMBER(SEARCH("平",D82)),"平","仄")))</x:f>
        <x:v>平</x:v>
      </x:c>
      <x:c r="L82" s="7" t="str"/>
    </x:row>
    <x:row r="83">
      <x:c r="A83" s="5" t="str">
        <x:v>乏</x:v>
      </x:c>
      <x:c r="B83" s="6" t="str">
        <x:v>入</x:v>
      </x:c>
      <x:c r="C83" s="6" t="str">
        <x:f>IF(B83="","Needs decision","Ready")</x:f>
        <x:v>Ready</x:v>
      </x:c>
      <x:c r="D83" s="6" t="str">
        <x:v>入</x:v>
      </x:c>
      <x:c r="E83" s="6" t="str">
        <x:v>bjop (D)</x:v>
      </x:c>
      <x:c r="F83" s="6" t="str">
        <x:v>入聲十七洽</x:v>
      </x:c>
      <x:c r="G83" s="6" t="str">
        <x:v>Pingshui main list, Wikisource-derived DOCX</x:v>
      </x:c>
      <x:c r="H83" s="6" t="str">
        <x:v>1</x:v>
      </x:c>
      <x:c r="I83" s="6" t="str"/>
      <x:c r="J83" s="6" t="str">
        <x:f>IF(B83="","",IF(AND(ISNUMBER(SEARCH("平",B83)),OR(ISNUMBER(SEARCH("上",B83)),ISNUMBER(SEARCH("去",B83)),ISNUMBER(SEARCH("入",B83)))),"Ambiguous",IF(ISNUMBER(SEARCH("平",B83)),"平","仄")))</x:f>
        <x:v>仄</x:v>
      </x:c>
      <x:c r="K83" s="6" t="str">
        <x:f>IF(D83="","",IF(AND(ISNUMBER(SEARCH("平",D83)),OR(ISNUMBER(SEARCH("上",D83)),ISNUMBER(SEARCH("去",D83)),ISNUMBER(SEARCH("入",D83)))),"Ambiguous",IF(ISNUMBER(SEARCH("平",D83)),"平","仄")))</x:f>
        <x:v>仄</x:v>
      </x:c>
      <x:c r="L83" s="7" t="str"/>
    </x:row>
    <x:row r="84">
      <x:c r="A84" s="5" t="str">
        <x:v>乖</x:v>
      </x:c>
      <x:c r="B84" s="6" t="str">
        <x:v>平</x:v>
      </x:c>
      <x:c r="C84" s="6" t="str">
        <x:f>IF(B84="","Needs decision","Ready")</x:f>
        <x:v>Ready</x:v>
      </x:c>
      <x:c r="D84" s="6" t="str">
        <x:v>平</x:v>
      </x:c>
      <x:c r="E84" s="6" t="str">
        <x:v>kweaj (A)</x:v>
      </x:c>
      <x:c r="F84" s="6" t="str">
        <x:v>上平聲九佳</x:v>
      </x:c>
      <x:c r="G84" s="6" t="str">
        <x:v>Pingshui main list, Wikisource-derived DOCX</x:v>
      </x:c>
      <x:c r="H84" s="6" t="str">
        <x:v>1</x:v>
      </x:c>
      <x:c r="I84" s="6" t="str"/>
      <x:c r="J84" s="6" t="str">
        <x:f>IF(B84="","",IF(AND(ISNUMBER(SEARCH("平",B84)),OR(ISNUMBER(SEARCH("上",B84)),ISNUMBER(SEARCH("去",B84)),ISNUMBER(SEARCH("入",B84)))),"Ambiguous",IF(ISNUMBER(SEARCH("平",B84)),"平","仄")))</x:f>
        <x:v>平</x:v>
      </x:c>
      <x:c r="K84" s="6" t="str">
        <x:f>IF(D84="","",IF(AND(ISNUMBER(SEARCH("平",D84)),OR(ISNUMBER(SEARCH("上",D84)),ISNUMBER(SEARCH("去",D84)),ISNUMBER(SEARCH("入",D84)))),"Ambiguous",IF(ISNUMBER(SEARCH("平",D84)),"平","仄")))</x:f>
        <x:v>平</x:v>
      </x:c>
      <x:c r="L84" s="7" t="str"/>
    </x:row>
    <x:row r="85">
      <x:c r="A85" s="5" t="str">
        <x:v>乘</x:v>
      </x:c>
      <x:c r="B85" s="6" t="str"/>
      <x:c r="C85" s="6" t="str">
        <x:f>IF(B85="","Needs decision","Ready")</x:f>
        <x:v>Needs decision</x:v>
      </x:c>
      <x:c r="D85" s="6" t="str">
        <x:v>平/去</x:v>
      </x:c>
      <x:c r="E85" s="6" t="str">
        <x:v>zying (A); zyingH (C)</x:v>
      </x:c>
      <x:c r="F85" s="6" t="str">
        <x:v>下平聲十蒸; 去聲二十五徑</x:v>
      </x:c>
      <x:c r="G85" s="6" t="str">
        <x:v>Pingshui main list, Wikisource-derived DOCX</x:v>
      </x:c>
      <x:c r="H85" s="6" t="str">
        <x:v>2</x:v>
      </x:c>
      <x:c r="I85" s="6" t="str"/>
      <x:c r="J85" s="6" t="str">
        <x:f>IF(B85="","",IF(AND(ISNUMBER(SEARCH("平",B85)),OR(ISNUMBER(SEARCH("上",B85)),ISNUMBER(SEARCH("去",B85)),ISNUMBER(SEARCH("入",B85)))),"Ambiguous",IF(ISNUMBER(SEARCH("平",B85)),"平","仄")))</x:f>
      </x:c>
      <x:c r="K85" s="6" t="str">
        <x:f>IF(D85="","",IF(AND(ISNUMBER(SEARCH("平",D85)),OR(ISNUMBER(SEARCH("上",D85)),ISNUMBER(SEARCH("去",D85)),ISNUMBER(SEARCH("入",D85)))),"Ambiguous",IF(ISNUMBER(SEARCH("平",D85)),"平","仄")))</x:f>
        <x:v>Ambiguous</x:v>
      </x:c>
      <x:c r="L85" s="7" t="str"/>
    </x:row>
    <x:row r="86">
      <x:c r="A86" s="5" t="str">
        <x:v>乙</x:v>
      </x:c>
      <x:c r="B86" s="6" t="str">
        <x:v>入</x:v>
      </x:c>
      <x:c r="C86" s="6" t="str">
        <x:f>IF(B86="","Needs decision","Ready")</x:f>
        <x:v>Ready</x:v>
      </x:c>
      <x:c r="D86" s="6" t="str">
        <x:v>入</x:v>
      </x:c>
      <x:c r="E86" s="6" t="str">
        <x:v>'it (D)</x:v>
      </x:c>
      <x:c r="F86" s="6" t="str">
        <x:v>入聲四質</x:v>
      </x:c>
      <x:c r="G86" s="6" t="str">
        <x:v>Pingshui main list, Wikisource-derived DOCX</x:v>
      </x:c>
      <x:c r="H86" s="6" t="str">
        <x:v>1</x:v>
      </x:c>
      <x:c r="I86" s="6" t="str"/>
      <x:c r="J86" s="6" t="str">
        <x:f>IF(B86="","",IF(AND(ISNUMBER(SEARCH("平",B86)),OR(ISNUMBER(SEARCH("上",B86)),ISNUMBER(SEARCH("去",B86)),ISNUMBER(SEARCH("入",B86)))),"Ambiguous",IF(ISNUMBER(SEARCH("平",B86)),"平","仄")))</x:f>
        <x:v>仄</x:v>
      </x:c>
      <x:c r="K86" s="6" t="str">
        <x:f>IF(D86="","",IF(AND(ISNUMBER(SEARCH("平",D86)),OR(ISNUMBER(SEARCH("上",D86)),ISNUMBER(SEARCH("去",D86)),ISNUMBER(SEARCH("入",D86)))),"Ambiguous",IF(ISNUMBER(SEARCH("平",D86)),"平","仄")))</x:f>
        <x:v>仄</x:v>
      </x:c>
      <x:c r="L86" s="7" t="str"/>
    </x:row>
    <x:row r="87">
      <x:c r="A87" s="5" t="str">
        <x:v>九</x:v>
      </x:c>
      <x:c r="B87" s="6" t="str">
        <x:v>上</x:v>
      </x:c>
      <x:c r="C87" s="6" t="str">
        <x:f>IF(B87="","Needs decision","Ready")</x:f>
        <x:v>Ready</x:v>
      </x:c>
      <x:c r="D87" s="6" t="str">
        <x:v>上</x:v>
      </x:c>
      <x:c r="E87" s="6" t="str">
        <x:v>kjuwX (B)</x:v>
      </x:c>
      <x:c r="F87" s="6" t="str">
        <x:v>上聲二十五有</x:v>
      </x:c>
      <x:c r="G87" s="6" t="str">
        <x:v>Pingshui main list, Wikisource-derived DOCX</x:v>
      </x:c>
      <x:c r="H87" s="6" t="str">
        <x:v>1</x:v>
      </x:c>
      <x:c r="I87" s="6" t="str"/>
      <x:c r="J87" s="6" t="str">
        <x:f>IF(B87="","",IF(AND(ISNUMBER(SEARCH("平",B87)),OR(ISNUMBER(SEARCH("上",B87)),ISNUMBER(SEARCH("去",B87)),ISNUMBER(SEARCH("入",B87)))),"Ambiguous",IF(ISNUMBER(SEARCH("平",B87)),"平","仄")))</x:f>
        <x:v>仄</x:v>
      </x:c>
      <x:c r="K87" s="6" t="str">
        <x:f>IF(D87="","",IF(AND(ISNUMBER(SEARCH("平",D87)),OR(ISNUMBER(SEARCH("上",D87)),ISNUMBER(SEARCH("去",D87)),ISNUMBER(SEARCH("入",D87)))),"Ambiguous",IF(ISNUMBER(SEARCH("平",D87)),"平","仄")))</x:f>
        <x:v>仄</x:v>
      </x:c>
      <x:c r="L87" s="7" t="str"/>
    </x:row>
    <x:row r="88">
      <x:c r="A88" s="5" t="str">
        <x:v>乞</x:v>
      </x:c>
      <x:c r="B88" s="6" t="str">
        <x:v>入</x:v>
      </x:c>
      <x:c r="C88" s="6" t="str">
        <x:f>IF(B88="","Needs decision","Ready")</x:f>
        <x:v>Ready</x:v>
      </x:c>
      <x:c r="D88" s="6" t="str">
        <x:v>入</x:v>
      </x:c>
      <x:c r="E88" s="6" t="str">
        <x:v>khj+t (D)</x:v>
      </x:c>
      <x:c r="F88" s="6" t="str">
        <x:v>入聲五物</x:v>
      </x:c>
      <x:c r="G88" s="6" t="str">
        <x:v>Pingshui main list, Wikisource-derived DOCX</x:v>
      </x:c>
      <x:c r="H88" s="6" t="str">
        <x:v>1</x:v>
      </x:c>
      <x:c r="I88" s="6" t="str"/>
      <x:c r="J88" s="6" t="str">
        <x:f>IF(B88="","",IF(AND(ISNUMBER(SEARCH("平",B88)),OR(ISNUMBER(SEARCH("上",B88)),ISNUMBER(SEARCH("去",B88)),ISNUMBER(SEARCH("入",B88)))),"Ambiguous",IF(ISNUMBER(SEARCH("平",B88)),"平","仄")))</x:f>
        <x:v>仄</x:v>
      </x:c>
      <x:c r="K88" s="6" t="str">
        <x:f>IF(D88="","",IF(AND(ISNUMBER(SEARCH("平",D88)),OR(ISNUMBER(SEARCH("上",D88)),ISNUMBER(SEARCH("去",D88)),ISNUMBER(SEARCH("入",D88)))),"Ambiguous",IF(ISNUMBER(SEARCH("平",D88)),"平","仄")))</x:f>
        <x:v>仄</x:v>
      </x:c>
      <x:c r="L88" s="7" t="str"/>
    </x:row>
    <x:row r="89">
      <x:c r="A89" s="5" t="str">
        <x:v>也</x:v>
      </x:c>
      <x:c r="B89" s="6" t="str">
        <x:v>上</x:v>
      </x:c>
      <x:c r="C89" s="6" t="str">
        <x:f>IF(B89="","Needs decision","Ready")</x:f>
        <x:v>Ready</x:v>
      </x:c>
      <x:c r="D89" s="6" t="str">
        <x:v>上</x:v>
      </x:c>
      <x:c r="E89" s="6" t="str">
        <x:v>yaeX (B)</x:v>
      </x:c>
      <x:c r="F89" s="6" t="str">
        <x:v>上聲二十一馬</x:v>
      </x:c>
      <x:c r="G89" s="6" t="str">
        <x:v>Pingshui main list, Wikisource-derived DOCX</x:v>
      </x:c>
      <x:c r="H89" s="6" t="str">
        <x:v>1</x:v>
      </x:c>
      <x:c r="I89" s="6" t="str"/>
      <x:c r="J89" s="6" t="str">
        <x:f>IF(B89="","",IF(AND(ISNUMBER(SEARCH("平",B89)),OR(ISNUMBER(SEARCH("上",B89)),ISNUMBER(SEARCH("去",B89)),ISNUMBER(SEARCH("入",B89)))),"Ambiguous",IF(ISNUMBER(SEARCH("平",B89)),"平","仄")))</x:f>
        <x:v>仄</x:v>
      </x:c>
      <x:c r="K89" s="6" t="str">
        <x:f>IF(D89="","",IF(AND(ISNUMBER(SEARCH("平",D89)),OR(ISNUMBER(SEARCH("上",D89)),ISNUMBER(SEARCH("去",D89)),ISNUMBER(SEARCH("入",D89)))),"Ambiguous",IF(ISNUMBER(SEARCH("平",D89)),"平","仄")))</x:f>
        <x:v>仄</x:v>
      </x:c>
      <x:c r="L89" s="7" t="str"/>
    </x:row>
    <x:row r="90">
      <x:c r="A90" s="5" t="str">
        <x:v>乳</x:v>
      </x:c>
      <x:c r="B90" s="6" t="str">
        <x:v>上</x:v>
      </x:c>
      <x:c r="C90" s="6" t="str">
        <x:f>IF(B90="","Needs decision","Ready")</x:f>
        <x:v>Ready</x:v>
      </x:c>
      <x:c r="D90" s="6" t="str">
        <x:v>上</x:v>
      </x:c>
      <x:c r="E90" s="6" t="str">
        <x:v>nyuX (B)</x:v>
      </x:c>
      <x:c r="F90" s="6" t="str">
        <x:v>上聲七麌</x:v>
      </x:c>
      <x:c r="G90" s="6" t="str">
        <x:v>Pingshui main list, Wikisource-derived DOCX</x:v>
      </x:c>
      <x:c r="H90" s="6" t="str">
        <x:v>1</x:v>
      </x:c>
      <x:c r="I90" s="6" t="str"/>
      <x:c r="J90" s="6" t="str">
        <x:f>IF(B90="","",IF(AND(ISNUMBER(SEARCH("平",B90)),OR(ISNUMBER(SEARCH("上",B90)),ISNUMBER(SEARCH("去",B90)),ISNUMBER(SEARCH("入",B90)))),"Ambiguous",IF(ISNUMBER(SEARCH("平",B90)),"平","仄")))</x:f>
        <x:v>仄</x:v>
      </x:c>
      <x:c r="K90" s="6" t="str">
        <x:f>IF(D90="","",IF(AND(ISNUMBER(SEARCH("平",D90)),OR(ISNUMBER(SEARCH("上",D90)),ISNUMBER(SEARCH("去",D90)),ISNUMBER(SEARCH("入",D90)))),"Ambiguous",IF(ISNUMBER(SEARCH("平",D90)),"平","仄")))</x:f>
        <x:v>仄</x:v>
      </x:c>
      <x:c r="L90" s="7" t="str"/>
    </x:row>
    <x:row r="91">
      <x:c r="A91" s="5" t="str">
        <x:v>乾</x:v>
      </x:c>
      <x:c r="B91" s="6" t="str">
        <x:v>平</x:v>
      </x:c>
      <x:c r="C91" s="6" t="str">
        <x:f>IF(B91="","Needs decision","Ready")</x:f>
        <x:v>Ready</x:v>
      </x:c>
      <x:c r="D91" s="6" t="str">
        <x:v>平</x:v>
      </x:c>
      <x:c r="E91" s="6" t="str">
        <x:v>kan (A); gjen (A)</x:v>
      </x:c>
      <x:c r="F91" s="6" t="str">
        <x:v>上平聲十四寒; 下平聲一先</x:v>
      </x:c>
      <x:c r="G91" s="6" t="str">
        <x:v>Pingshui main list, Wikisource-derived DOCX</x:v>
      </x:c>
      <x:c r="H91" s="6" t="str">
        <x:v>2</x:v>
      </x:c>
      <x:c r="I91" s="6" t="str"/>
      <x:c r="J91" s="6" t="str">
        <x:f>IF(B91="","",IF(AND(ISNUMBER(SEARCH("平",B91)),OR(ISNUMBER(SEARCH("上",B91)),ISNUMBER(SEARCH("去",B91)),ISNUMBER(SEARCH("入",B91)))),"Ambiguous",IF(ISNUMBER(SEARCH("平",B91)),"平","仄")))</x:f>
        <x:v>平</x:v>
      </x:c>
      <x:c r="K91" s="6" t="str">
        <x:f>IF(D91="","",IF(AND(ISNUMBER(SEARCH("平",D91)),OR(ISNUMBER(SEARCH("上",D91)),ISNUMBER(SEARCH("去",D91)),ISNUMBER(SEARCH("入",D91)))),"Ambiguous",IF(ISNUMBER(SEARCH("平",D91)),"平","仄")))</x:f>
        <x:v>平</x:v>
      </x:c>
      <x:c r="L91" s="7" t="str"/>
    </x:row>
    <x:row r="92">
      <x:c r="A92" s="5" t="str">
        <x:v>亂</x:v>
      </x:c>
      <x:c r="B92" s="6" t="str">
        <x:v>去</x:v>
      </x:c>
      <x:c r="C92" s="6" t="str">
        <x:f>IF(B92="","Needs decision","Ready")</x:f>
        <x:v>Ready</x:v>
      </x:c>
      <x:c r="D92" s="6" t="str">
        <x:v>去</x:v>
      </x:c>
      <x:c r="E92" s="6" t="str">
        <x:v>lwanH (C)</x:v>
      </x:c>
      <x:c r="F92" s="6" t="str">
        <x:v>去聲十五翰</x:v>
      </x:c>
      <x:c r="G92" s="6" t="str">
        <x:v>Pingshui main list, Wikisource-derived DOCX</x:v>
      </x:c>
      <x:c r="H92" s="6" t="str">
        <x:v>1</x:v>
      </x:c>
      <x:c r="I92" s="6" t="str"/>
      <x:c r="J92" s="6" t="str">
        <x:f>IF(B92="","",IF(AND(ISNUMBER(SEARCH("平",B92)),OR(ISNUMBER(SEARCH("上",B92)),ISNUMBER(SEARCH("去",B92)),ISNUMBER(SEARCH("入",B92)))),"Ambiguous",IF(ISNUMBER(SEARCH("平",B92)),"平","仄")))</x:f>
        <x:v>仄</x:v>
      </x:c>
      <x:c r="K92" s="6" t="str">
        <x:f>IF(D92="","",IF(AND(ISNUMBER(SEARCH("平",D92)),OR(ISNUMBER(SEARCH("上",D92)),ISNUMBER(SEARCH("去",D92)),ISNUMBER(SEARCH("入",D92)))),"Ambiguous",IF(ISNUMBER(SEARCH("平",D92)),"平","仄")))</x:f>
        <x:v>仄</x:v>
      </x:c>
      <x:c r="L92" s="7" t="str"/>
    </x:row>
    <x:row r="93">
      <x:c r="A93" s="5" t="str">
        <x:v>了</x:v>
      </x:c>
      <x:c r="B93" s="6" t="str">
        <x:v>上</x:v>
      </x:c>
      <x:c r="C93" s="6" t="str">
        <x:f>IF(B93="","Needs decision","Ready")</x:f>
        <x:v>Ready</x:v>
      </x:c>
      <x:c r="D93" s="6" t="str"/>
      <x:c r="E93" s="6" t="str"/>
      <x:c r="F93" s="6" t="str">
        <x:v>下平聲六麻; 上聲十七篠</x:v>
      </x:c>
      <x:c r="G93" s="6" t="str">
        <x:v>Pingshui main list, Wikisource-derived DOCX</x:v>
      </x:c>
      <x:c r="H93" s="6" t="str"/>
      <x:c r="I93" s="6" t="str"/>
      <x:c r="J93" s="6" t="str">
        <x:f>IF(B93="","",IF(AND(ISNUMBER(SEARCH("平",B93)),OR(ISNUMBER(SEARCH("上",B93)),ISNUMBER(SEARCH("去",B93)),ISNUMBER(SEARCH("入",B93)))),"Ambiguous",IF(ISNUMBER(SEARCH("平",B93)),"平","仄")))</x:f>
        <x:v>仄</x:v>
      </x:c>
      <x:c r="K93" s="6" t="str">
        <x:f>IF(D93="","",IF(AND(ISNUMBER(SEARCH("平",D93)),OR(ISNUMBER(SEARCH("上",D93)),ISNUMBER(SEARCH("去",D93)),ISNUMBER(SEARCH("入",D93)))),"Ambiguous",IF(ISNUMBER(SEARCH("平",D93)),"平","仄")))</x:f>
      </x:c>
      <x:c r="L93" s="7" t="str"/>
    </x:row>
    <x:row r="94">
      <x:c r="A94" s="5" t="str">
        <x:v>予</x:v>
      </x:c>
      <x:c r="B94" s="6" t="str">
        <x:v>上</x:v>
      </x:c>
      <x:c r="C94" s="6" t="str">
        <x:f>IF(B94="","Needs decision","Ready")</x:f>
        <x:v>Ready</x:v>
      </x:c>
      <x:c r="D94" s="6" t="str">
        <x:v>平/上</x:v>
      </x:c>
      <x:c r="E94" s="6" t="str">
        <x:v>yo (A); yoX (B)</x:v>
      </x:c>
      <x:c r="F94" s="6" t="str">
        <x:v>上平聲六魚; 上聲六語</x:v>
      </x:c>
      <x:c r="G94" s="6" t="str">
        <x:v>Pingshui main list, Wikisource-derived DOCX</x:v>
      </x:c>
      <x:c r="H94" s="6" t="str">
        <x:v>2</x:v>
      </x:c>
      <x:c r="I94" s="6" t="str"/>
      <x:c r="J94" s="6" t="str">
        <x:f>IF(B94="","",IF(AND(ISNUMBER(SEARCH("平",B94)),OR(ISNUMBER(SEARCH("上",B94)),ISNUMBER(SEARCH("去",B94)),ISNUMBER(SEARCH("入",B94)))),"Ambiguous",IF(ISNUMBER(SEARCH("平",B94)),"平","仄")))</x:f>
        <x:v>仄</x:v>
      </x:c>
      <x:c r="K94" s="6" t="str">
        <x:f>IF(D94="","",IF(AND(ISNUMBER(SEARCH("平",D94)),OR(ISNUMBER(SEARCH("上",D94)),ISNUMBER(SEARCH("去",D94)),ISNUMBER(SEARCH("入",D94)))),"Ambiguous",IF(ISNUMBER(SEARCH("平",D94)),"平","仄")))</x:f>
        <x:v>Ambiguous</x:v>
      </x:c>
      <x:c r="L94" s="7" t="str"/>
    </x:row>
    <x:row r="95">
      <x:c r="A95" s="5" t="str">
        <x:v>事</x:v>
      </x:c>
      <x:c r="B95" s="6" t="str">
        <x:v>去</x:v>
      </x:c>
      <x:c r="C95" s="6" t="str">
        <x:f>IF(B95="","Needs decision","Ready")</x:f>
        <x:v>Ready</x:v>
      </x:c>
      <x:c r="D95" s="6" t="str">
        <x:v>去</x:v>
      </x:c>
      <x:c r="E95" s="6" t="str">
        <x:v>dzriH (C)</x:v>
      </x:c>
      <x:c r="F95" s="6" t="str">
        <x:v>去聲四寘</x:v>
      </x:c>
      <x:c r="G95" s="6" t="str">
        <x:v>Pingshui main list, Wikisource-derived DOCX</x:v>
      </x:c>
      <x:c r="H95" s="6" t="str">
        <x:v>1</x:v>
      </x:c>
      <x:c r="I95" s="6" t="str"/>
      <x:c r="J95" s="6" t="str">
        <x:f>IF(B95="","",IF(AND(ISNUMBER(SEARCH("平",B95)),OR(ISNUMBER(SEARCH("上",B95)),ISNUMBER(SEARCH("去",B95)),ISNUMBER(SEARCH("入",B95)))),"Ambiguous",IF(ISNUMBER(SEARCH("平",B95)),"平","仄")))</x:f>
        <x:v>仄</x:v>
      </x:c>
      <x:c r="K95" s="6" t="str">
        <x:f>IF(D95="","",IF(AND(ISNUMBER(SEARCH("平",D95)),OR(ISNUMBER(SEARCH("上",D95)),ISNUMBER(SEARCH("去",D95)),ISNUMBER(SEARCH("入",D95)))),"Ambiguous",IF(ISNUMBER(SEARCH("平",D95)),"平","仄")))</x:f>
        <x:v>仄</x:v>
      </x:c>
      <x:c r="L95" s="7" t="str"/>
    </x:row>
    <x:row r="96">
      <x:c r="A96" s="5" t="str">
        <x:v>二</x:v>
      </x:c>
      <x:c r="B96" s="6" t="str">
        <x:v>去</x:v>
      </x:c>
      <x:c r="C96" s="6" t="str">
        <x:f>IF(B96="","Needs decision","Ready")</x:f>
        <x:v>Ready</x:v>
      </x:c>
      <x:c r="D96" s="6" t="str">
        <x:v>去</x:v>
      </x:c>
      <x:c r="E96" s="6" t="str">
        <x:v>nyijH (C)</x:v>
      </x:c>
      <x:c r="F96" s="6" t="str">
        <x:v>去聲四寘</x:v>
      </x:c>
      <x:c r="G96" s="6" t="str">
        <x:v>Pingshui main list, Wikisource-derived DOCX</x:v>
      </x:c>
      <x:c r="H96" s="6" t="str">
        <x:v>1</x:v>
      </x:c>
      <x:c r="I96" s="6" t="str"/>
      <x:c r="J96" s="6" t="str">
        <x:f>IF(B96="","",IF(AND(ISNUMBER(SEARCH("平",B96)),OR(ISNUMBER(SEARCH("上",B96)),ISNUMBER(SEARCH("去",B96)),ISNUMBER(SEARCH("入",B96)))),"Ambiguous",IF(ISNUMBER(SEARCH("平",B96)),"平","仄")))</x:f>
        <x:v>仄</x:v>
      </x:c>
      <x:c r="K96" s="6" t="str">
        <x:f>IF(D96="","",IF(AND(ISNUMBER(SEARCH("平",D96)),OR(ISNUMBER(SEARCH("上",D96)),ISNUMBER(SEARCH("去",D96)),ISNUMBER(SEARCH("入",D96)))),"Ambiguous",IF(ISNUMBER(SEARCH("平",D96)),"平","仄")))</x:f>
        <x:v>仄</x:v>
      </x:c>
      <x:c r="L96" s="7" t="str"/>
    </x:row>
    <x:row r="97">
      <x:c r="A97" s="5" t="str">
        <x:v>于</x:v>
      </x:c>
      <x:c r="B97" s="6" t="str">
        <x:v>平</x:v>
      </x:c>
      <x:c r="C97" s="6" t="str">
        <x:f>IF(B97="","Needs decision","Ready")</x:f>
        <x:v>Ready</x:v>
      </x:c>
      <x:c r="D97" s="6" t="str">
        <x:v>平</x:v>
      </x:c>
      <x:c r="E97" s="6" t="str">
        <x:v>hju (A)</x:v>
      </x:c>
      <x:c r="F97" s="6" t="str"/>
      <x:c r="G97" s="6" t="str"/>
      <x:c r="H97" s="6" t="str">
        <x:v>1</x:v>
      </x:c>
      <x:c r="I97" s="6" t="str"/>
      <x:c r="J97" s="6" t="str">
        <x:f>IF(B97="","",IF(AND(ISNUMBER(SEARCH("平",B97)),OR(ISNUMBER(SEARCH("上",B97)),ISNUMBER(SEARCH("去",B97)),ISNUMBER(SEARCH("入",B97)))),"Ambiguous",IF(ISNUMBER(SEARCH("平",B97)),"平","仄")))</x:f>
        <x:v>平</x:v>
      </x:c>
      <x:c r="K97" s="6" t="str">
        <x:f>IF(D97="","",IF(AND(ISNUMBER(SEARCH("平",D97)),OR(ISNUMBER(SEARCH("上",D97)),ISNUMBER(SEARCH("去",D97)),ISNUMBER(SEARCH("入",D97)))),"Ambiguous",IF(ISNUMBER(SEARCH("平",D97)),"平","仄")))</x:f>
        <x:v>平</x:v>
      </x:c>
      <x:c r="L97" s="7" t="str"/>
    </x:row>
    <x:row r="98">
      <x:c r="A98" s="5" t="str">
        <x:v>云</x:v>
      </x:c>
      <x:c r="B98" s="6" t="str">
        <x:v>平</x:v>
      </x:c>
      <x:c r="C98" s="6" t="str">
        <x:f>IF(B98="","Needs decision","Ready")</x:f>
        <x:v>Ready</x:v>
      </x:c>
      <x:c r="D98" s="6" t="str">
        <x:v>平</x:v>
      </x:c>
      <x:c r="E98" s="6" t="str">
        <x:v>hjun (A)</x:v>
      </x:c>
      <x:c r="F98" s="6" t="str"/>
      <x:c r="G98" s="6" t="str"/>
      <x:c r="H98" s="6" t="str">
        <x:v>1</x:v>
      </x:c>
      <x:c r="I98" s="6" t="str"/>
      <x:c r="J98" s="6" t="str">
        <x:f>IF(B98="","",IF(AND(ISNUMBER(SEARCH("平",B98)),OR(ISNUMBER(SEARCH("上",B98)),ISNUMBER(SEARCH("去",B98)),ISNUMBER(SEARCH("入",B98)))),"Ambiguous",IF(ISNUMBER(SEARCH("平",B98)),"平","仄")))</x:f>
        <x:v>平</x:v>
      </x:c>
      <x:c r="K98" s="6" t="str">
        <x:f>IF(D98="","",IF(AND(ISNUMBER(SEARCH("平",D98)),OR(ISNUMBER(SEARCH("上",D98)),ISNUMBER(SEARCH("去",D98)),ISNUMBER(SEARCH("入",D98)))),"Ambiguous",IF(ISNUMBER(SEARCH("平",D98)),"平","仄")))</x:f>
        <x:v>平</x:v>
      </x:c>
      <x:c r="L98" s="7" t="str"/>
    </x:row>
    <x:row r="99">
      <x:c r="A99" s="5" t="str">
        <x:v>互</x:v>
      </x:c>
      <x:c r="B99" s="6" t="str">
        <x:v>去</x:v>
      </x:c>
      <x:c r="C99" s="6" t="str">
        <x:f>IF(B99="","Needs decision","Ready")</x:f>
        <x:v>Ready</x:v>
      </x:c>
      <x:c r="D99" s="6" t="str">
        <x:v>去</x:v>
      </x:c>
      <x:c r="E99" s="6" t="str">
        <x:v>huH (C)</x:v>
      </x:c>
      <x:c r="F99" s="6" t="str">
        <x:v>去聲七遇</x:v>
      </x:c>
      <x:c r="G99" s="6" t="str">
        <x:v>Pingshui main list, Wikisource-derived DOCX</x:v>
      </x:c>
      <x:c r="H99" s="6" t="str">
        <x:v>1</x:v>
      </x:c>
      <x:c r="I99" s="6" t="str"/>
      <x:c r="J99" s="6" t="str">
        <x:f>IF(B99="","",IF(AND(ISNUMBER(SEARCH("平",B99)),OR(ISNUMBER(SEARCH("上",B99)),ISNUMBER(SEARCH("去",B99)),ISNUMBER(SEARCH("入",B99)))),"Ambiguous",IF(ISNUMBER(SEARCH("平",B99)),"平","仄")))</x:f>
        <x:v>仄</x:v>
      </x:c>
      <x:c r="K99" s="6" t="str">
        <x:f>IF(D99="","",IF(AND(ISNUMBER(SEARCH("平",D99)),OR(ISNUMBER(SEARCH("上",D99)),ISNUMBER(SEARCH("去",D99)),ISNUMBER(SEARCH("入",D99)))),"Ambiguous",IF(ISNUMBER(SEARCH("平",D99)),"平","仄")))</x:f>
        <x:v>仄</x:v>
      </x:c>
      <x:c r="L99" s="7" t="str"/>
    </x:row>
    <x:row r="100">
      <x:c r="A100" s="5" t="str">
        <x:v>五</x:v>
      </x:c>
      <x:c r="B100" s="6" t="str">
        <x:v>上</x:v>
      </x:c>
      <x:c r="C100" s="6" t="str">
        <x:f>IF(B100="","Needs decision","Ready")</x:f>
        <x:v>Ready</x:v>
      </x:c>
      <x:c r="D100" s="6" t="str">
        <x:v>上</x:v>
      </x:c>
      <x:c r="E100" s="6" t="str">
        <x:v>nguX (B)</x:v>
      </x:c>
      <x:c r="F100" s="6" t="str">
        <x:v>上聲七麌</x:v>
      </x:c>
      <x:c r="G100" s="6" t="str">
        <x:v>Pingshui main list, Wikisource-derived DOCX</x:v>
      </x:c>
      <x:c r="H100" s="6" t="str">
        <x:v>1</x:v>
      </x:c>
      <x:c r="I100" s="6" t="str"/>
      <x:c r="J100" s="6" t="str">
        <x:f>IF(B100="","",IF(AND(ISNUMBER(SEARCH("平",B100)),OR(ISNUMBER(SEARCH("上",B100)),ISNUMBER(SEARCH("去",B100)),ISNUMBER(SEARCH("入",B100)))),"Ambiguous",IF(ISNUMBER(SEARCH("平",B100)),"平","仄")))</x:f>
        <x:v>仄</x:v>
      </x:c>
      <x:c r="K100" s="6" t="str">
        <x:f>IF(D100="","",IF(AND(ISNUMBER(SEARCH("平",D100)),OR(ISNUMBER(SEARCH("上",D100)),ISNUMBER(SEARCH("去",D100)),ISNUMBER(SEARCH("入",D100)))),"Ambiguous",IF(ISNUMBER(SEARCH("平",D100)),"平","仄")))</x:f>
        <x:v>仄</x:v>
      </x:c>
      <x:c r="L100" s="7" t="str"/>
    </x:row>
    <x:row r="101">
      <x:c r="A101" s="5" t="str">
        <x:v>井</x:v>
      </x:c>
      <x:c r="B101" s="6" t="str">
        <x:v>上</x:v>
      </x:c>
      <x:c r="C101" s="6" t="str">
        <x:f>IF(B101="","Needs decision","Ready")</x:f>
        <x:v>Ready</x:v>
      </x:c>
      <x:c r="D101" s="6" t="str">
        <x:v>上</x:v>
      </x:c>
      <x:c r="E101" s="6" t="str">
        <x:v>tsjengX (B)</x:v>
      </x:c>
      <x:c r="F101" s="6" t="str">
        <x:v>上聲二十三梗</x:v>
      </x:c>
      <x:c r="G101" s="6" t="str">
        <x:v>Pingshui main list, Wikisource-derived DOCX</x:v>
      </x:c>
      <x:c r="H101" s="6" t="str">
        <x:v>1</x:v>
      </x:c>
      <x:c r="I101" s="6" t="str"/>
      <x:c r="J101" s="6" t="str">
        <x:f>IF(B101="","",IF(AND(ISNUMBER(SEARCH("平",B101)),OR(ISNUMBER(SEARCH("上",B101)),ISNUMBER(SEARCH("去",B101)),ISNUMBER(SEARCH("入",B101)))),"Ambiguous",IF(ISNUMBER(SEARCH("平",B101)),"平","仄")))</x:f>
        <x:v>仄</x:v>
      </x:c>
      <x:c r="K101" s="6" t="str">
        <x:f>IF(D101="","",IF(AND(ISNUMBER(SEARCH("平",D101)),OR(ISNUMBER(SEARCH("上",D101)),ISNUMBER(SEARCH("去",D101)),ISNUMBER(SEARCH("入",D101)))),"Ambiguous",IF(ISNUMBER(SEARCH("平",D101)),"平","仄")))</x:f>
        <x:v>仄</x:v>
      </x:c>
      <x:c r="L101" s="7" t="str"/>
    </x:row>
    <x:row r="102">
      <x:c r="A102" s="5" t="str">
        <x:v>亘</x:v>
      </x:c>
      <x:c r="B102" s="6" t="str">
        <x:v>平</x:v>
      </x:c>
      <x:c r="C102" s="6" t="str">
        <x:f>IF(B102="","Needs decision","Ready")</x:f>
        <x:v>Ready</x:v>
      </x:c>
      <x:c r="D102" s="6" t="str">
        <x:v>平</x:v>
      </x:c>
      <x:c r="E102" s="6" t="str">
        <x:v>hwan (A); sjwen (A)</x:v>
      </x:c>
      <x:c r="F102" s="6" t="str"/>
      <x:c r="G102" s="6" t="str"/>
      <x:c r="H102" s="6" t="str">
        <x:v>2</x:v>
      </x:c>
      <x:c r="I102" s="6" t="str"/>
      <x:c r="J102" s="6" t="str">
        <x:f>IF(B102="","",IF(AND(ISNUMBER(SEARCH("平",B102)),OR(ISNUMBER(SEARCH("上",B102)),ISNUMBER(SEARCH("去",B102)),ISNUMBER(SEARCH("入",B102)))),"Ambiguous",IF(ISNUMBER(SEARCH("平",B102)),"平","仄")))</x:f>
        <x:v>平</x:v>
      </x:c>
      <x:c r="K102" s="6" t="str">
        <x:f>IF(D102="","",IF(AND(ISNUMBER(SEARCH("平",D102)),OR(ISNUMBER(SEARCH("上",D102)),ISNUMBER(SEARCH("去",D102)),ISNUMBER(SEARCH("入",D102)))),"Ambiguous",IF(ISNUMBER(SEARCH("平",D102)),"平","仄")))</x:f>
        <x:v>平</x:v>
      </x:c>
      <x:c r="L102" s="7" t="str"/>
    </x:row>
    <x:row r="103">
      <x:c r="A103" s="5" t="str">
        <x:v>亙</x:v>
      </x:c>
      <x:c r="B103" s="6" t="str">
        <x:v>去</x:v>
      </x:c>
      <x:c r="C103" s="6" t="str">
        <x:f>IF(B103="","Needs decision","Ready")</x:f>
        <x:v>Ready</x:v>
      </x:c>
      <x:c r="D103" s="6" t="str">
        <x:v>去</x:v>
      </x:c>
      <x:c r="E103" s="6" t="str">
        <x:v>kongH (C)</x:v>
      </x:c>
      <x:c r="F103" s="6" t="str"/>
      <x:c r="G103" s="6" t="str"/>
      <x:c r="H103" s="6" t="str">
        <x:v>1</x:v>
      </x:c>
      <x:c r="I103" s="6" t="str"/>
      <x:c r="J103" s="6" t="str">
        <x:f>IF(B103="","",IF(AND(ISNUMBER(SEARCH("平",B103)),OR(ISNUMBER(SEARCH("上",B103)),ISNUMBER(SEARCH("去",B103)),ISNUMBER(SEARCH("入",B103)))),"Ambiguous",IF(ISNUMBER(SEARCH("平",B103)),"平","仄")))</x:f>
        <x:v>仄</x:v>
      </x:c>
      <x:c r="K103" s="6" t="str">
        <x:f>IF(D103="","",IF(AND(ISNUMBER(SEARCH("平",D103)),OR(ISNUMBER(SEARCH("上",D103)),ISNUMBER(SEARCH("去",D103)),ISNUMBER(SEARCH("入",D103)))),"Ambiguous",IF(ISNUMBER(SEARCH("平",D103)),"平","仄")))</x:f>
        <x:v>仄</x:v>
      </x:c>
      <x:c r="L103" s="7" t="str"/>
    </x:row>
    <x:row r="104">
      <x:c r="A104" s="5" t="str">
        <x:v>亞</x:v>
      </x:c>
      <x:c r="B104" s="6" t="str">
        <x:v>去</x:v>
      </x:c>
      <x:c r="C104" s="6" t="str">
        <x:f>IF(B104="","Needs decision","Ready")</x:f>
        <x:v>Ready</x:v>
      </x:c>
      <x:c r="D104" s="6" t="str">
        <x:v>去</x:v>
      </x:c>
      <x:c r="E104" s="6" t="str">
        <x:v>'aeH (C)</x:v>
      </x:c>
      <x:c r="F104" s="6" t="str">
        <x:v>去聲二十二禡</x:v>
      </x:c>
      <x:c r="G104" s="6" t="str">
        <x:v>Pingshui main list, Wikisource-derived DOCX</x:v>
      </x:c>
      <x:c r="H104" s="6" t="str">
        <x:v>1</x:v>
      </x:c>
      <x:c r="I104" s="6" t="str"/>
      <x:c r="J104" s="6" t="str">
        <x:f>IF(B104="","",IF(AND(ISNUMBER(SEARCH("平",B104)),OR(ISNUMBER(SEARCH("上",B104)),ISNUMBER(SEARCH("去",B104)),ISNUMBER(SEARCH("入",B104)))),"Ambiguous",IF(ISNUMBER(SEARCH("平",B104)),"平","仄")))</x:f>
        <x:v>仄</x:v>
      </x:c>
      <x:c r="K104" s="6" t="str">
        <x:f>IF(D104="","",IF(AND(ISNUMBER(SEARCH("平",D104)),OR(ISNUMBER(SEARCH("上",D104)),ISNUMBER(SEARCH("去",D104)),ISNUMBER(SEARCH("入",D104)))),"Ambiguous",IF(ISNUMBER(SEARCH("平",D104)),"平","仄")))</x:f>
        <x:v>仄</x:v>
      </x:c>
      <x:c r="L104" s="7" t="str"/>
    </x:row>
    <x:row r="105">
      <x:c r="A105" s="5" t="str">
        <x:v>亟</x:v>
      </x:c>
      <x:c r="B105" s="6" t="str"/>
      <x:c r="C105" s="6" t="str">
        <x:f>IF(B105="","Needs decision","Ready")</x:f>
        <x:v>Needs decision</x:v>
      </x:c>
      <x:c r="D105" s="6" t="str">
        <x:v>去/入</x:v>
      </x:c>
      <x:c r="E105" s="6" t="str">
        <x:v>kik (D); khiH (C)</x:v>
      </x:c>
      <x:c r="F105" s="6" t="str">
        <x:v>入聲十三職</x:v>
      </x:c>
      <x:c r="G105" s="6" t="str">
        <x:v>Pingshui main list, Wikisource-derived DOCX</x:v>
      </x:c>
      <x:c r="H105" s="6" t="str">
        <x:v>2</x:v>
      </x:c>
      <x:c r="I105" s="6" t="str"/>
      <x:c r="J105" s="6" t="str">
        <x:f>IF(B105="","",IF(AND(ISNUMBER(SEARCH("平",B105)),OR(ISNUMBER(SEARCH("上",B105)),ISNUMBER(SEARCH("去",B105)),ISNUMBER(SEARCH("入",B105)))),"Ambiguous",IF(ISNUMBER(SEARCH("平",B105)),"平","仄")))</x:f>
      </x:c>
      <x:c r="K105" s="6" t="str">
        <x:f>IF(D105="","",IF(AND(ISNUMBER(SEARCH("平",D105)),OR(ISNUMBER(SEARCH("上",D105)),ISNUMBER(SEARCH("去",D105)),ISNUMBER(SEARCH("入",D105)))),"Ambiguous",IF(ISNUMBER(SEARCH("平",D105)),"平","仄")))</x:f>
        <x:v>仄</x:v>
      </x:c>
      <x:c r="L105" s="7" t="str"/>
    </x:row>
    <x:row r="106">
      <x:c r="A106" s="5" t="str">
        <x:v>亡</x:v>
      </x:c>
      <x:c r="B106" s="6" t="str">
        <x:v>平</x:v>
      </x:c>
      <x:c r="C106" s="6" t="str">
        <x:f>IF(B106="","Needs decision","Ready")</x:f>
        <x:v>Ready</x:v>
      </x:c>
      <x:c r="D106" s="6" t="str">
        <x:v>平</x:v>
      </x:c>
      <x:c r="E106" s="6" t="str">
        <x:v>mjang (A)</x:v>
      </x:c>
      <x:c r="F106" s="6" t="str">
        <x:v>下平聲七陽</x:v>
      </x:c>
      <x:c r="G106" s="6" t="str">
        <x:v>Pingshui main list, Wikisource-derived DOCX</x:v>
      </x:c>
      <x:c r="H106" s="6" t="str">
        <x:v>1</x:v>
      </x:c>
      <x:c r="I106" s="6" t="str"/>
      <x:c r="J106" s="6" t="str">
        <x:f>IF(B106="","",IF(AND(ISNUMBER(SEARCH("平",B106)),OR(ISNUMBER(SEARCH("上",B106)),ISNUMBER(SEARCH("去",B106)),ISNUMBER(SEARCH("入",B106)))),"Ambiguous",IF(ISNUMBER(SEARCH("平",B106)),"平","仄")))</x:f>
        <x:v>平</x:v>
      </x:c>
      <x:c r="K106" s="6" t="str">
        <x:f>IF(D106="","",IF(AND(ISNUMBER(SEARCH("平",D106)),OR(ISNUMBER(SEARCH("上",D106)),ISNUMBER(SEARCH("去",D106)),ISNUMBER(SEARCH("入",D106)))),"Ambiguous",IF(ISNUMBER(SEARCH("平",D106)),"平","仄")))</x:f>
        <x:v>平</x:v>
      </x:c>
      <x:c r="L106" s="7" t="str"/>
    </x:row>
    <x:row r="107">
      <x:c r="A107" s="5" t="str">
        <x:v>亢</x:v>
      </x:c>
      <x:c r="B107" s="6" t="str">
        <x:v>平</x:v>
      </x:c>
      <x:c r="C107" s="6" t="str">
        <x:f>IF(B107="","Needs decision","Ready")</x:f>
        <x:v>Ready</x:v>
      </x:c>
      <x:c r="D107" s="6" t="str">
        <x:v>平</x:v>
      </x:c>
      <x:c r="E107" s="6" t="str">
        <x:v>kang (A)</x:v>
      </x:c>
      <x:c r="F107" s="6" t="str">
        <x:v>下平聲七陽; 去聲二十三漾</x:v>
      </x:c>
      <x:c r="G107" s="6" t="str">
        <x:v>Pingshui main list, Wikisource-derived DOCX</x:v>
      </x:c>
      <x:c r="H107" s="6" t="str">
        <x:v>1</x:v>
      </x:c>
      <x:c r="I107" s="6" t="str"/>
      <x:c r="J107" s="6" t="str">
        <x:f>IF(B107="","",IF(AND(ISNUMBER(SEARCH("平",B107)),OR(ISNUMBER(SEARCH("上",B107)),ISNUMBER(SEARCH("去",B107)),ISNUMBER(SEARCH("入",B107)))),"Ambiguous",IF(ISNUMBER(SEARCH("平",B107)),"平","仄")))</x:f>
        <x:v>平</x:v>
      </x:c>
      <x:c r="K107" s="6" t="str">
        <x:f>IF(D107="","",IF(AND(ISNUMBER(SEARCH("平",D107)),OR(ISNUMBER(SEARCH("上",D107)),ISNUMBER(SEARCH("去",D107)),ISNUMBER(SEARCH("入",D107)))),"Ambiguous",IF(ISNUMBER(SEARCH("平",D107)),"平","仄")))</x:f>
        <x:v>平</x:v>
      </x:c>
      <x:c r="L107" s="7" t="str"/>
    </x:row>
    <x:row r="108">
      <x:c r="A108" s="5" t="str">
        <x:v>交</x:v>
      </x:c>
      <x:c r="B108" s="6" t="str">
        <x:v>平</x:v>
      </x:c>
      <x:c r="C108" s="6" t="str">
        <x:f>IF(B108="","Needs decision","Ready")</x:f>
        <x:v>Ready</x:v>
      </x:c>
      <x:c r="D108" s="6" t="str">
        <x:v>平</x:v>
      </x:c>
      <x:c r="E108" s="6" t="str">
        <x:v>kaew (A)</x:v>
      </x:c>
      <x:c r="F108" s="6" t="str">
        <x:v>下平聲三肴</x:v>
      </x:c>
      <x:c r="G108" s="6" t="str">
        <x:v>Pingshui main list, Wikisource-derived DOCX</x:v>
      </x:c>
      <x:c r="H108" s="6" t="str">
        <x:v>1</x:v>
      </x:c>
      <x:c r="I108" s="6" t="str"/>
      <x:c r="J108" s="6" t="str">
        <x:f>IF(B108="","",IF(AND(ISNUMBER(SEARCH("平",B108)),OR(ISNUMBER(SEARCH("上",B108)),ISNUMBER(SEARCH("去",B108)),ISNUMBER(SEARCH("入",B108)))),"Ambiguous",IF(ISNUMBER(SEARCH("平",B108)),"平","仄")))</x:f>
        <x:v>平</x:v>
      </x:c>
      <x:c r="K108" s="6" t="str">
        <x:f>IF(D108="","",IF(AND(ISNUMBER(SEARCH("平",D108)),OR(ISNUMBER(SEARCH("上",D108)),ISNUMBER(SEARCH("去",D108)),ISNUMBER(SEARCH("入",D108)))),"Ambiguous",IF(ISNUMBER(SEARCH("平",D108)),"平","仄")))</x:f>
        <x:v>平</x:v>
      </x:c>
      <x:c r="L108" s="7" t="str"/>
    </x:row>
    <x:row r="109">
      <x:c r="A109" s="5" t="str">
        <x:v>亥</x:v>
      </x:c>
      <x:c r="B109" s="6" t="str">
        <x:v>上</x:v>
      </x:c>
      <x:c r="C109" s="6" t="str">
        <x:f>IF(B109="","Needs decision","Ready")</x:f>
        <x:v>Ready</x:v>
      </x:c>
      <x:c r="D109" s="6" t="str">
        <x:v>上</x:v>
      </x:c>
      <x:c r="E109" s="6" t="str">
        <x:v>hojX (B)</x:v>
      </x:c>
      <x:c r="F109" s="6" t="str">
        <x:v>上聲十賄</x:v>
      </x:c>
      <x:c r="G109" s="6" t="str">
        <x:v>Pingshui main list, Wikisource-derived DOCX</x:v>
      </x:c>
      <x:c r="H109" s="6" t="str">
        <x:v>1</x:v>
      </x:c>
      <x:c r="I109" s="6" t="str"/>
      <x:c r="J109" s="6" t="str">
        <x:f>IF(B109="","",IF(AND(ISNUMBER(SEARCH("平",B109)),OR(ISNUMBER(SEARCH("上",B109)),ISNUMBER(SEARCH("去",B109)),ISNUMBER(SEARCH("入",B109)))),"Ambiguous",IF(ISNUMBER(SEARCH("平",B109)),"平","仄")))</x:f>
        <x:v>仄</x:v>
      </x:c>
      <x:c r="K109" s="6" t="str">
        <x:f>IF(D109="","",IF(AND(ISNUMBER(SEARCH("平",D109)),OR(ISNUMBER(SEARCH("上",D109)),ISNUMBER(SEARCH("去",D109)),ISNUMBER(SEARCH("入",D109)))),"Ambiguous",IF(ISNUMBER(SEARCH("平",D109)),"平","仄")))</x:f>
        <x:v>仄</x:v>
      </x:c>
      <x:c r="L109" s="7" t="str"/>
    </x:row>
    <x:row r="110">
      <x:c r="A110" s="5" t="str">
        <x:v>亦</x:v>
      </x:c>
      <x:c r="B110" s="6" t="str">
        <x:v>入</x:v>
      </x:c>
      <x:c r="C110" s="6" t="str">
        <x:f>IF(B110="","Needs decision","Ready")</x:f>
        <x:v>Ready</x:v>
      </x:c>
      <x:c r="D110" s="6" t="str">
        <x:v>入</x:v>
      </x:c>
      <x:c r="E110" s="6" t="str">
        <x:v>yek (D)</x:v>
      </x:c>
      <x:c r="F110" s="6" t="str">
        <x:v>入聲十一陌</x:v>
      </x:c>
      <x:c r="G110" s="6" t="str">
        <x:v>Pingshui main list, Wikisource-derived DOCX</x:v>
      </x:c>
      <x:c r="H110" s="6" t="str">
        <x:v>1</x:v>
      </x:c>
      <x:c r="I110" s="6" t="str"/>
      <x:c r="J110" s="6" t="str">
        <x:f>IF(B110="","",IF(AND(ISNUMBER(SEARCH("平",B110)),OR(ISNUMBER(SEARCH("上",B110)),ISNUMBER(SEARCH("去",B110)),ISNUMBER(SEARCH("入",B110)))),"Ambiguous",IF(ISNUMBER(SEARCH("平",B110)),"平","仄")))</x:f>
        <x:v>仄</x:v>
      </x:c>
      <x:c r="K110" s="6" t="str">
        <x:f>IF(D110="","",IF(AND(ISNUMBER(SEARCH("平",D110)),OR(ISNUMBER(SEARCH("上",D110)),ISNUMBER(SEARCH("去",D110)),ISNUMBER(SEARCH("入",D110)))),"Ambiguous",IF(ISNUMBER(SEARCH("平",D110)),"平","仄")))</x:f>
        <x:v>仄</x:v>
      </x:c>
      <x:c r="L110" s="7" t="str"/>
    </x:row>
    <x:row r="111">
      <x:c r="A111" s="5" t="str">
        <x:v>亨</x:v>
      </x:c>
      <x:c r="B111" s="6" t="str">
        <x:v>平</x:v>
      </x:c>
      <x:c r="C111" s="6" t="str">
        <x:f>IF(B111="","Needs decision","Ready")</x:f>
        <x:v>Ready</x:v>
      </x:c>
      <x:c r="D111" s="6" t="str">
        <x:v>平/上</x:v>
      </x:c>
      <x:c r="E111" s="6" t="str">
        <x:v>xaeng (A); phaeng (A); xjangX (B)</x:v>
      </x:c>
      <x:c r="F111" s="6" t="str">
        <x:v>下平聲八庚</x:v>
      </x:c>
      <x:c r="G111" s="6" t="str">
        <x:v>Pingshui main list, Wikisource-derived DOCX</x:v>
      </x:c>
      <x:c r="H111" s="6" t="str">
        <x:v>3</x:v>
      </x:c>
      <x:c r="I111" s="6" t="str">
        <x:v>User workbook edit 2026-09-03</x:v>
      </x:c>
      <x:c r="J111" s="6" t="str">
        <x:f>IF(B111="","",IF(AND(ISNUMBER(SEARCH("平",B111)),OR(ISNUMBER(SEARCH("上",B111)),ISNUMBER(SEARCH("去",B111)),ISNUMBER(SEARCH("入",B111)))),"Ambiguous",IF(ISNUMBER(SEARCH("平",B111)),"平","仄")))</x:f>
        <x:v>平</x:v>
      </x:c>
      <x:c r="K111" s="6" t="str">
        <x:f>IF(D111="","",IF(AND(ISNUMBER(SEARCH("平",D111)),OR(ISNUMBER(SEARCH("上",D111)),ISNUMBER(SEARCH("去",D111)),ISNUMBER(SEARCH("入",D111)))),"Ambiguous",IF(ISNUMBER(SEARCH("平",D111)),"平","仄")))</x:f>
        <x:v>Ambiguous</x:v>
      </x:c>
      <x:c r="L111" s="7" t="str">
        <x:v>manual user correction</x:v>
      </x:c>
    </x:row>
    <x:row r="112">
      <x:c r="A112" s="5" t="str">
        <x:v>享</x:v>
      </x:c>
      <x:c r="B112" s="6" t="str">
        <x:v>上</x:v>
      </x:c>
      <x:c r="C112" s="6" t="str">
        <x:f>IF(B112="","Needs decision","Ready")</x:f>
        <x:v>Ready</x:v>
      </x:c>
      <x:c r="D112" s="6" t="str">
        <x:v>平/上</x:v>
      </x:c>
      <x:c r="E112" s="6" t="str">
        <x:v>xaeng (A); xjangX (B)</x:v>
      </x:c>
      <x:c r="F112" s="6" t="str">
        <x:v>上聲二十二養</x:v>
      </x:c>
      <x:c r="G112" s="6" t="str">
        <x:v>Pingshui main list, Wikisource-derived DOCX</x:v>
      </x:c>
      <x:c r="H112" s="6" t="str">
        <x:v>2</x:v>
      </x:c>
      <x:c r="I112" s="6" t="str">
        <x:v>User workbook edit 2026-09-03</x:v>
      </x:c>
      <x:c r="J112" s="6" t="str">
        <x:f>IF(B112="","",IF(AND(ISNUMBER(SEARCH("平",B112)),OR(ISNUMBER(SEARCH("上",B112)),ISNUMBER(SEARCH("去",B112)),ISNUMBER(SEARCH("入",B112)))),"Ambiguous",IF(ISNUMBER(SEARCH("平",B112)),"平","仄")))</x:f>
        <x:v>仄</x:v>
      </x:c>
      <x:c r="K112" s="6" t="str">
        <x:f>IF(D112="","",IF(AND(ISNUMBER(SEARCH("平",D112)),OR(ISNUMBER(SEARCH("上",D112)),ISNUMBER(SEARCH("去",D112)),ISNUMBER(SEARCH("入",D112)))),"Ambiguous",IF(ISNUMBER(SEARCH("平",D112)),"平","仄")))</x:f>
        <x:v>Ambiguous</x:v>
      </x:c>
      <x:c r="L112" s="7" t="str">
        <x:v>manual user correction</x:v>
      </x:c>
    </x:row>
    <x:row r="113">
      <x:c r="A113" s="5" t="str">
        <x:v>京</x:v>
      </x:c>
      <x:c r="B113" s="6" t="str">
        <x:v>平</x:v>
      </x:c>
      <x:c r="C113" s="6" t="str">
        <x:f>IF(B113="","Needs decision","Ready")</x:f>
        <x:v>Ready</x:v>
      </x:c>
      <x:c r="D113" s="6" t="str">
        <x:v>平</x:v>
      </x:c>
      <x:c r="E113" s="6" t="str">
        <x:v>kjaeng (A)</x:v>
      </x:c>
      <x:c r="F113" s="6" t="str">
        <x:v>下平聲八庚</x:v>
      </x:c>
      <x:c r="G113" s="6" t="str">
        <x:v>Pingshui main list, Wikisource-derived DOCX</x:v>
      </x:c>
      <x:c r="H113" s="6" t="str">
        <x:v>1</x:v>
      </x:c>
      <x:c r="I113" s="6" t="str"/>
      <x:c r="J113" s="6" t="str">
        <x:f>IF(B113="","",IF(AND(ISNUMBER(SEARCH("平",B113)),OR(ISNUMBER(SEARCH("上",B113)),ISNUMBER(SEARCH("去",B113)),ISNUMBER(SEARCH("入",B113)))),"Ambiguous",IF(ISNUMBER(SEARCH("平",B113)),"平","仄")))</x:f>
        <x:v>平</x:v>
      </x:c>
      <x:c r="K113" s="6" t="str">
        <x:f>IF(D113="","",IF(AND(ISNUMBER(SEARCH("平",D113)),OR(ISNUMBER(SEARCH("上",D113)),ISNUMBER(SEARCH("去",D113)),ISNUMBER(SEARCH("入",D113)))),"Ambiguous",IF(ISNUMBER(SEARCH("平",D113)),"平","仄")))</x:f>
        <x:v>平</x:v>
      </x:c>
      <x:c r="L113" s="7" t="str"/>
    </x:row>
    <x:row r="114">
      <x:c r="A114" s="5" t="str">
        <x:v>亭</x:v>
      </x:c>
      <x:c r="B114" s="6" t="str">
        <x:v>平</x:v>
      </x:c>
      <x:c r="C114" s="6" t="str">
        <x:f>IF(B114="","Needs decision","Ready")</x:f>
        <x:v>Ready</x:v>
      </x:c>
      <x:c r="D114" s="6" t="str">
        <x:v>平</x:v>
      </x:c>
      <x:c r="E114" s="6" t="str">
        <x:v>deng (A)</x:v>
      </x:c>
      <x:c r="F114" s="6" t="str">
        <x:v>下平聲九青</x:v>
      </x:c>
      <x:c r="G114" s="6" t="str">
        <x:v>Pingshui main list, Wikisource-derived DOCX</x:v>
      </x:c>
      <x:c r="H114" s="6" t="str">
        <x:v>1</x:v>
      </x:c>
      <x:c r="I114" s="6" t="str"/>
      <x:c r="J114" s="6" t="str">
        <x:f>IF(B114="","",IF(AND(ISNUMBER(SEARCH("平",B114)),OR(ISNUMBER(SEARCH("上",B114)),ISNUMBER(SEARCH("去",B114)),ISNUMBER(SEARCH("入",B114)))),"Ambiguous",IF(ISNUMBER(SEARCH("平",B114)),"平","仄")))</x:f>
        <x:v>平</x:v>
      </x:c>
      <x:c r="K114" s="6" t="str">
        <x:f>IF(D114="","",IF(AND(ISNUMBER(SEARCH("平",D114)),OR(ISNUMBER(SEARCH("上",D114)),ISNUMBER(SEARCH("去",D114)),ISNUMBER(SEARCH("入",D114)))),"Ambiguous",IF(ISNUMBER(SEARCH("平",D114)),"平","仄")))</x:f>
        <x:v>平</x:v>
      </x:c>
      <x:c r="L114" s="7" t="str"/>
    </x:row>
    <x:row r="115">
      <x:c r="A115" s="5" t="str">
        <x:v>亮</x:v>
      </x:c>
      <x:c r="B115" s="6" t="str">
        <x:v>去</x:v>
      </x:c>
      <x:c r="C115" s="6" t="str">
        <x:f>IF(B115="","Needs decision","Ready")</x:f>
        <x:v>Ready</x:v>
      </x:c>
      <x:c r="D115" s="6" t="str">
        <x:v>去</x:v>
      </x:c>
      <x:c r="E115" s="6" t="str">
        <x:v>ljangH (C)</x:v>
      </x:c>
      <x:c r="F115" s="6" t="str">
        <x:v>去聲二十三漾</x:v>
      </x:c>
      <x:c r="G115" s="6" t="str">
        <x:v>Pingshui main list, Wikisource-derived DOCX</x:v>
      </x:c>
      <x:c r="H115" s="6" t="str">
        <x:v>1</x:v>
      </x:c>
      <x:c r="I115" s="6" t="str"/>
      <x:c r="J115" s="6" t="str">
        <x:f>IF(B115="","",IF(AND(ISNUMBER(SEARCH("平",B115)),OR(ISNUMBER(SEARCH("上",B115)),ISNUMBER(SEARCH("去",B115)),ISNUMBER(SEARCH("入",B115)))),"Ambiguous",IF(ISNUMBER(SEARCH("平",B115)),"平","仄")))</x:f>
        <x:v>仄</x:v>
      </x:c>
      <x:c r="K115" s="6" t="str">
        <x:f>IF(D115="","",IF(AND(ISNUMBER(SEARCH("平",D115)),OR(ISNUMBER(SEARCH("上",D115)),ISNUMBER(SEARCH("去",D115)),ISNUMBER(SEARCH("入",D115)))),"Ambiguous",IF(ISNUMBER(SEARCH("平",D115)),"平","仄")))</x:f>
        <x:v>仄</x:v>
      </x:c>
      <x:c r="L115" s="7" t="str"/>
    </x:row>
    <x:row r="116">
      <x:c r="A116" s="5" t="str">
        <x:v>亶</x:v>
      </x:c>
      <x:c r="B116" s="6" t="str">
        <x:v>上</x:v>
      </x:c>
      <x:c r="C116" s="6" t="str">
        <x:f>IF(B116="","Needs decision","Ready")</x:f>
        <x:v>Ready</x:v>
      </x:c>
      <x:c r="D116" s="6" t="str">
        <x:v>上</x:v>
      </x:c>
      <x:c r="E116" s="6" t="str">
        <x:v>tanX (B)</x:v>
      </x:c>
      <x:c r="F116" s="6" t="str">
        <x:v>上聲十四旱</x:v>
      </x:c>
      <x:c r="G116" s="6" t="str">
        <x:v>Pingshui main list, Wikisource-derived DOCX</x:v>
      </x:c>
      <x:c r="H116" s="6" t="str">
        <x:v>1</x:v>
      </x:c>
      <x:c r="I116" s="6" t="str"/>
      <x:c r="J116" s="6" t="str">
        <x:f>IF(B116="","",IF(AND(ISNUMBER(SEARCH("平",B116)),OR(ISNUMBER(SEARCH("上",B116)),ISNUMBER(SEARCH("去",B116)),ISNUMBER(SEARCH("入",B116)))),"Ambiguous",IF(ISNUMBER(SEARCH("平",B116)),"平","仄")))</x:f>
        <x:v>仄</x:v>
      </x:c>
      <x:c r="K116" s="6" t="str">
        <x:f>IF(D116="","",IF(AND(ISNUMBER(SEARCH("平",D116)),OR(ISNUMBER(SEARCH("上",D116)),ISNUMBER(SEARCH("去",D116)),ISNUMBER(SEARCH("入",D116)))),"Ambiguous",IF(ISNUMBER(SEARCH("平",D116)),"平","仄")))</x:f>
        <x:v>仄</x:v>
      </x:c>
      <x:c r="L116" s="7" t="str"/>
    </x:row>
    <x:row r="117">
      <x:c r="A117" s="5" t="str">
        <x:v>亹</x:v>
      </x:c>
      <x:c r="B117" s="6" t="str"/>
      <x:c r="C117" s="6" t="str">
        <x:f>IF(B117="","Needs decision","Ready")</x:f>
        <x:v>Needs decision</x:v>
      </x:c>
      <x:c r="D117" s="6" t="str">
        <x:v>平/上</x:v>
      </x:c>
      <x:c r="E117" s="6" t="str">
        <x:v>mwon (A); mj+jX (B)</x:v>
      </x:c>
      <x:c r="F117" s="6" t="str">
        <x:v>上平聲十三元; 上聲五尾</x:v>
      </x:c>
      <x:c r="G117" s="6" t="str">
        <x:v>Pingshui main list, Wikisource-derived DOCX</x:v>
      </x:c>
      <x:c r="H117" s="6" t="str">
        <x:v>2</x:v>
      </x:c>
      <x:c r="I117" s="6" t="str"/>
      <x:c r="J117" s="6" t="str">
        <x:f>IF(B117="","",IF(AND(ISNUMBER(SEARCH("平",B117)),OR(ISNUMBER(SEARCH("上",B117)),ISNUMBER(SEARCH("去",B117)),ISNUMBER(SEARCH("入",B117)))),"Ambiguous",IF(ISNUMBER(SEARCH("平",B117)),"平","仄")))</x:f>
      </x:c>
      <x:c r="K117" s="6" t="str">
        <x:f>IF(D117="","",IF(AND(ISNUMBER(SEARCH("平",D117)),OR(ISNUMBER(SEARCH("上",D117)),ISNUMBER(SEARCH("去",D117)),ISNUMBER(SEARCH("入",D117)))),"Ambiguous",IF(ISNUMBER(SEARCH("平",D117)),"平","仄")))</x:f>
        <x:v>Ambiguous</x:v>
      </x:c>
      <x:c r="L117" s="7" t="str"/>
    </x:row>
    <x:row r="118">
      <x:c r="A118" s="5" t="str">
        <x:v>人</x:v>
      </x:c>
      <x:c r="B118" s="6" t="str">
        <x:v>平</x:v>
      </x:c>
      <x:c r="C118" s="6" t="str">
        <x:f>IF(B118="","Needs decision","Ready")</x:f>
        <x:v>Ready</x:v>
      </x:c>
      <x:c r="D118" s="6" t="str">
        <x:v>平</x:v>
      </x:c>
      <x:c r="E118" s="6" t="str">
        <x:v>nyin (A)</x:v>
      </x:c>
      <x:c r="F118" s="6" t="str">
        <x:v>上平聲十一真</x:v>
      </x:c>
      <x:c r="G118" s="6" t="str">
        <x:v>Pingshui main list, Wikisource-derived DOCX</x:v>
      </x:c>
      <x:c r="H118" s="6" t="str">
        <x:v>1</x:v>
      </x:c>
      <x:c r="I118" s="6" t="str"/>
      <x:c r="J118" s="6" t="str">
        <x:f>IF(B118="","",IF(AND(ISNUMBER(SEARCH("平",B118)),OR(ISNUMBER(SEARCH("上",B118)),ISNUMBER(SEARCH("去",B118)),ISNUMBER(SEARCH("入",B118)))),"Ambiguous",IF(ISNUMBER(SEARCH("平",B118)),"平","仄")))</x:f>
        <x:v>平</x:v>
      </x:c>
      <x:c r="K118" s="6" t="str">
        <x:f>IF(D118="","",IF(AND(ISNUMBER(SEARCH("平",D118)),OR(ISNUMBER(SEARCH("上",D118)),ISNUMBER(SEARCH("去",D118)),ISNUMBER(SEARCH("入",D118)))),"Ambiguous",IF(ISNUMBER(SEARCH("平",D118)),"平","仄")))</x:f>
        <x:v>平</x:v>
      </x:c>
      <x:c r="L118" s="7" t="str"/>
    </x:row>
    <x:row r="119">
      <x:c r="A119" s="5" t="str">
        <x:v>什</x:v>
      </x:c>
      <x:c r="B119" s="6" t="str">
        <x:v>入</x:v>
      </x:c>
      <x:c r="C119" s="6" t="str">
        <x:f>IF(B119="","Needs decision","Ready")</x:f>
        <x:v>Ready</x:v>
      </x:c>
      <x:c r="D119" s="6" t="str">
        <x:v>入</x:v>
      </x:c>
      <x:c r="E119" s="6" t="str">
        <x:v>dzyip (D)</x:v>
      </x:c>
      <x:c r="F119" s="6" t="str">
        <x:v>入聲十四緝</x:v>
      </x:c>
      <x:c r="G119" s="6" t="str">
        <x:v>Pingshui main list, Wikisource-derived DOCX</x:v>
      </x:c>
      <x:c r="H119" s="6" t="str">
        <x:v>1</x:v>
      </x:c>
      <x:c r="I119" s="6" t="str"/>
      <x:c r="J119" s="6" t="str">
        <x:f>IF(B119="","",IF(AND(ISNUMBER(SEARCH("平",B119)),OR(ISNUMBER(SEARCH("上",B119)),ISNUMBER(SEARCH("去",B119)),ISNUMBER(SEARCH("入",B119)))),"Ambiguous",IF(ISNUMBER(SEARCH("平",B119)),"平","仄")))</x:f>
        <x:v>仄</x:v>
      </x:c>
      <x:c r="K119" s="6" t="str">
        <x:f>IF(D119="","",IF(AND(ISNUMBER(SEARCH("平",D119)),OR(ISNUMBER(SEARCH("上",D119)),ISNUMBER(SEARCH("去",D119)),ISNUMBER(SEARCH("入",D119)))),"Ambiguous",IF(ISNUMBER(SEARCH("平",D119)),"平","仄")))</x:f>
        <x:v>仄</x:v>
      </x:c>
      <x:c r="L119" s="7" t="str"/>
    </x:row>
    <x:row r="120">
      <x:c r="A120" s="5" t="str">
        <x:v>仁</x:v>
      </x:c>
      <x:c r="B120" s="6" t="str">
        <x:v>平</x:v>
      </x:c>
      <x:c r="C120" s="6" t="str">
        <x:f>IF(B120="","Needs decision","Ready")</x:f>
        <x:v>Ready</x:v>
      </x:c>
      <x:c r="D120" s="6" t="str">
        <x:v>平</x:v>
      </x:c>
      <x:c r="E120" s="6" t="str">
        <x:v>nyin (A)</x:v>
      </x:c>
      <x:c r="F120" s="6" t="str">
        <x:v>上平聲十一真</x:v>
      </x:c>
      <x:c r="G120" s="6" t="str">
        <x:v>Pingshui main list, Wikisource-derived DOCX</x:v>
      </x:c>
      <x:c r="H120" s="6" t="str">
        <x:v>1</x:v>
      </x:c>
      <x:c r="I120" s="6" t="str"/>
      <x:c r="J120" s="6" t="str">
        <x:f>IF(B120="","",IF(AND(ISNUMBER(SEARCH("平",B120)),OR(ISNUMBER(SEARCH("上",B120)),ISNUMBER(SEARCH("去",B120)),ISNUMBER(SEARCH("入",B120)))),"Ambiguous",IF(ISNUMBER(SEARCH("平",B120)),"平","仄")))</x:f>
        <x:v>平</x:v>
      </x:c>
      <x:c r="K120" s="6" t="str">
        <x:f>IF(D120="","",IF(AND(ISNUMBER(SEARCH("平",D120)),OR(ISNUMBER(SEARCH("上",D120)),ISNUMBER(SEARCH("去",D120)),ISNUMBER(SEARCH("入",D120)))),"Ambiguous",IF(ISNUMBER(SEARCH("平",D120)),"平","仄")))</x:f>
        <x:v>平</x:v>
      </x:c>
      <x:c r="L120" s="7" t="str"/>
    </x:row>
    <x:row r="121">
      <x:c r="A121" s="5" t="str">
        <x:v>仄</x:v>
      </x:c>
      <x:c r="B121" s="6" t="str">
        <x:v>入</x:v>
      </x:c>
      <x:c r="C121" s="6" t="str">
        <x:f>IF(B121="","Needs decision","Ready")</x:f>
        <x:v>Ready</x:v>
      </x:c>
      <x:c r="D121" s="6" t="str">
        <x:v>入</x:v>
      </x:c>
      <x:c r="E121" s="6" t="str">
        <x:v>tsrik (D)</x:v>
      </x:c>
      <x:c r="F121" s="6" t="str">
        <x:v>入聲十三職</x:v>
      </x:c>
      <x:c r="G121" s="6" t="str">
        <x:v>Pingshui main list, Wikisource-derived DOCX</x:v>
      </x:c>
      <x:c r="H121" s="6" t="str">
        <x:v>1</x:v>
      </x:c>
      <x:c r="I121" s="6" t="str"/>
      <x:c r="J121" s="6" t="str">
        <x:f>IF(B121="","",IF(AND(ISNUMBER(SEARCH("平",B121)),OR(ISNUMBER(SEARCH("上",B121)),ISNUMBER(SEARCH("去",B121)),ISNUMBER(SEARCH("入",B121)))),"Ambiguous",IF(ISNUMBER(SEARCH("平",B121)),"平","仄")))</x:f>
        <x:v>仄</x:v>
      </x:c>
      <x:c r="K121" s="6" t="str">
        <x:f>IF(D121="","",IF(AND(ISNUMBER(SEARCH("平",D121)),OR(ISNUMBER(SEARCH("上",D121)),ISNUMBER(SEARCH("去",D121)),ISNUMBER(SEARCH("入",D121)))),"Ambiguous",IF(ISNUMBER(SEARCH("平",D121)),"平","仄")))</x:f>
        <x:v>仄</x:v>
      </x:c>
      <x:c r="L121" s="7" t="str"/>
    </x:row>
    <x:row r="122">
      <x:c r="A122" s="5" t="str">
        <x:v>仆</x:v>
      </x:c>
      <x:c r="B122" s="6" t="str">
        <x:v>去</x:v>
      </x:c>
      <x:c r="C122" s="6" t="str">
        <x:f>IF(B122="","Needs decision","Ready")</x:f>
        <x:v>Ready</x:v>
      </x:c>
      <x:c r="D122" s="6" t="str">
        <x:v>去</x:v>
      </x:c>
      <x:c r="E122" s="6" t="str">
        <x:v>phjuH (C); phjuwH (C); phuwH (C)</x:v>
      </x:c>
      <x:c r="F122" s="6" t="str">
        <x:v>去聲七遇; 去聲二十六宥</x:v>
      </x:c>
      <x:c r="G122" s="6" t="str">
        <x:v>Pingshui main list, Wikisource-derived DOCX</x:v>
      </x:c>
      <x:c r="H122" s="6" t="str">
        <x:v>3</x:v>
      </x:c>
      <x:c r="I122" s="6" t="str"/>
      <x:c r="J122" s="6" t="str">
        <x:f>IF(B122="","",IF(AND(ISNUMBER(SEARCH("平",B122)),OR(ISNUMBER(SEARCH("上",B122)),ISNUMBER(SEARCH("去",B122)),ISNUMBER(SEARCH("入",B122)))),"Ambiguous",IF(ISNUMBER(SEARCH("平",B122)),"平","仄")))</x:f>
        <x:v>仄</x:v>
      </x:c>
      <x:c r="K122" s="6" t="str">
        <x:f>IF(D122="","",IF(AND(ISNUMBER(SEARCH("平",D122)),OR(ISNUMBER(SEARCH("上",D122)),ISNUMBER(SEARCH("去",D122)),ISNUMBER(SEARCH("入",D122)))),"Ambiguous",IF(ISNUMBER(SEARCH("平",D122)),"平","仄")))</x:f>
        <x:v>仄</x:v>
      </x:c>
      <x:c r="L122" s="7" t="str"/>
    </x:row>
    <x:row r="123">
      <x:c r="A123" s="5" t="str">
        <x:v>仇</x:v>
      </x:c>
      <x:c r="B123" s="6" t="str">
        <x:v>平</x:v>
      </x:c>
      <x:c r="C123" s="6" t="str">
        <x:f>IF(B123="","Needs decision","Ready")</x:f>
        <x:v>Ready</x:v>
      </x:c>
      <x:c r="D123" s="6" t="str">
        <x:v>平</x:v>
      </x:c>
      <x:c r="E123" s="6" t="str">
        <x:v>gjuw (A)</x:v>
      </x:c>
      <x:c r="F123" s="6" t="str"/>
      <x:c r="G123" s="6" t="str"/>
      <x:c r="H123" s="6" t="str">
        <x:v>1</x:v>
      </x:c>
      <x:c r="I123" s="6" t="str"/>
      <x:c r="J123" s="6" t="str">
        <x:f>IF(B123="","",IF(AND(ISNUMBER(SEARCH("平",B123)),OR(ISNUMBER(SEARCH("上",B123)),ISNUMBER(SEARCH("去",B123)),ISNUMBER(SEARCH("入",B123)))),"Ambiguous",IF(ISNUMBER(SEARCH("平",B123)),"平","仄")))</x:f>
        <x:v>平</x:v>
      </x:c>
      <x:c r="K123" s="6" t="str">
        <x:f>IF(D123="","",IF(AND(ISNUMBER(SEARCH("平",D123)),OR(ISNUMBER(SEARCH("上",D123)),ISNUMBER(SEARCH("去",D123)),ISNUMBER(SEARCH("入",D123)))),"Ambiguous",IF(ISNUMBER(SEARCH("平",D123)),"平","仄")))</x:f>
        <x:v>平</x:v>
      </x:c>
      <x:c r="L123" s="7" t="str"/>
    </x:row>
    <x:row r="124">
      <x:c r="A124" s="5" t="str">
        <x:v>今</x:v>
      </x:c>
      <x:c r="B124" s="6" t="str">
        <x:v>平</x:v>
      </x:c>
      <x:c r="C124" s="6" t="str">
        <x:f>IF(B124="","Needs decision","Ready")</x:f>
        <x:v>Ready</x:v>
      </x:c>
      <x:c r="D124" s="6" t="str">
        <x:v>平</x:v>
      </x:c>
      <x:c r="E124" s="6" t="str">
        <x:v>kim (A)</x:v>
      </x:c>
      <x:c r="F124" s="6" t="str">
        <x:v>下平聲十二侵</x:v>
      </x:c>
      <x:c r="G124" s="6" t="str">
        <x:v>Pingshui main list, Wikisource-derived DOCX</x:v>
      </x:c>
      <x:c r="H124" s="6" t="str">
        <x:v>1</x:v>
      </x:c>
      <x:c r="I124" s="6" t="str"/>
      <x:c r="J124" s="6" t="str">
        <x:f>IF(B124="","",IF(AND(ISNUMBER(SEARCH("平",B124)),OR(ISNUMBER(SEARCH("上",B124)),ISNUMBER(SEARCH("去",B124)),ISNUMBER(SEARCH("入",B124)))),"Ambiguous",IF(ISNUMBER(SEARCH("平",B124)),"平","仄")))</x:f>
        <x:v>平</x:v>
      </x:c>
      <x:c r="K124" s="6" t="str">
        <x:f>IF(D124="","",IF(AND(ISNUMBER(SEARCH("平",D124)),OR(ISNUMBER(SEARCH("上",D124)),ISNUMBER(SEARCH("去",D124)),ISNUMBER(SEARCH("入",D124)))),"Ambiguous",IF(ISNUMBER(SEARCH("平",D124)),"平","仄")))</x:f>
        <x:v>平</x:v>
      </x:c>
      <x:c r="L124" s="7" t="str"/>
    </x:row>
    <x:row r="125">
      <x:c r="A125" s="5" t="str">
        <x:v>介</x:v>
      </x:c>
      <x:c r="B125" s="6" t="str">
        <x:v>去</x:v>
      </x:c>
      <x:c r="C125" s="6" t="str">
        <x:f>IF(B125="","Needs decision","Ready")</x:f>
        <x:v>Ready</x:v>
      </x:c>
      <x:c r="D125" s="6" t="str">
        <x:v>去</x:v>
      </x:c>
      <x:c r="E125" s="6" t="str">
        <x:v>keajH (C)</x:v>
      </x:c>
      <x:c r="F125" s="6" t="str">
        <x:v>去聲十卦</x:v>
      </x:c>
      <x:c r="G125" s="6" t="str">
        <x:v>Pingshui main list, Wikisource-derived DOCX</x:v>
      </x:c>
      <x:c r="H125" s="6" t="str">
        <x:v>1</x:v>
      </x:c>
      <x:c r="I125" s="6" t="str"/>
      <x:c r="J125" s="6" t="str">
        <x:f>IF(B125="","",IF(AND(ISNUMBER(SEARCH("平",B125)),OR(ISNUMBER(SEARCH("上",B125)),ISNUMBER(SEARCH("去",B125)),ISNUMBER(SEARCH("入",B125)))),"Ambiguous",IF(ISNUMBER(SEARCH("平",B125)),"平","仄")))</x:f>
        <x:v>仄</x:v>
      </x:c>
      <x:c r="K125" s="6" t="str">
        <x:f>IF(D125="","",IF(AND(ISNUMBER(SEARCH("平",D125)),OR(ISNUMBER(SEARCH("上",D125)),ISNUMBER(SEARCH("去",D125)),ISNUMBER(SEARCH("入",D125)))),"Ambiguous",IF(ISNUMBER(SEARCH("平",D125)),"平","仄")))</x:f>
        <x:v>仄</x:v>
      </x:c>
      <x:c r="L125" s="7" t="str"/>
    </x:row>
    <x:row r="126">
      <x:c r="A126" s="5" t="str">
        <x:v>仍</x:v>
      </x:c>
      <x:c r="B126" s="6" t="str">
        <x:v>平</x:v>
      </x:c>
      <x:c r="C126" s="6" t="str">
        <x:f>IF(B126="","Needs decision","Ready")</x:f>
        <x:v>Ready</x:v>
      </x:c>
      <x:c r="D126" s="6" t="str">
        <x:v>平</x:v>
      </x:c>
      <x:c r="E126" s="6" t="str">
        <x:v>nying (A)</x:v>
      </x:c>
      <x:c r="F126" s="6" t="str">
        <x:v>下平聲十蒸</x:v>
      </x:c>
      <x:c r="G126" s="6" t="str">
        <x:v>Pingshui main list, Wikisource-derived DOCX</x:v>
      </x:c>
      <x:c r="H126" s="6" t="str">
        <x:v>1</x:v>
      </x:c>
      <x:c r="I126" s="6" t="str"/>
      <x:c r="J126" s="6" t="str">
        <x:f>IF(B126="","",IF(AND(ISNUMBER(SEARCH("平",B126)),OR(ISNUMBER(SEARCH("上",B126)),ISNUMBER(SEARCH("去",B126)),ISNUMBER(SEARCH("入",B126)))),"Ambiguous",IF(ISNUMBER(SEARCH("平",B126)),"平","仄")))</x:f>
        <x:v>平</x:v>
      </x:c>
      <x:c r="K126" s="6" t="str">
        <x:f>IF(D126="","",IF(AND(ISNUMBER(SEARCH("平",D126)),OR(ISNUMBER(SEARCH("上",D126)),ISNUMBER(SEARCH("去",D126)),ISNUMBER(SEARCH("入",D126)))),"Ambiguous",IF(ISNUMBER(SEARCH("平",D126)),"平","仄")))</x:f>
        <x:v>平</x:v>
      </x:c>
      <x:c r="L126" s="7" t="str"/>
    </x:row>
    <x:row r="127">
      <x:c r="A127" s="5" t="str">
        <x:v>仕</x:v>
      </x:c>
      <x:c r="B127" s="6" t="str">
        <x:v>上</x:v>
      </x:c>
      <x:c r="C127" s="6" t="str">
        <x:f>IF(B127="","Needs decision","Ready")</x:f>
        <x:v>Ready</x:v>
      </x:c>
      <x:c r="D127" s="6" t="str">
        <x:v>上</x:v>
      </x:c>
      <x:c r="E127" s="6" t="str">
        <x:v>dzriX (B)</x:v>
      </x:c>
      <x:c r="F127" s="6" t="str">
        <x:v>上聲四紙</x:v>
      </x:c>
      <x:c r="G127" s="6" t="str">
        <x:v>Pingshui main list, Wikisource-derived DOCX</x:v>
      </x:c>
      <x:c r="H127" s="6" t="str">
        <x:v>1</x:v>
      </x:c>
      <x:c r="I127" s="6" t="str"/>
      <x:c r="J127" s="6" t="str">
        <x:f>IF(B127="","",IF(AND(ISNUMBER(SEARCH("平",B127)),OR(ISNUMBER(SEARCH("上",B127)),ISNUMBER(SEARCH("去",B127)),ISNUMBER(SEARCH("入",B127)))),"Ambiguous",IF(ISNUMBER(SEARCH("平",B127)),"平","仄")))</x:f>
        <x:v>仄</x:v>
      </x:c>
      <x:c r="K127" s="6" t="str">
        <x:f>IF(D127="","",IF(AND(ISNUMBER(SEARCH("平",D127)),OR(ISNUMBER(SEARCH("上",D127)),ISNUMBER(SEARCH("去",D127)),ISNUMBER(SEARCH("入",D127)))),"Ambiguous",IF(ISNUMBER(SEARCH("平",D127)),"平","仄")))</x:f>
        <x:v>仄</x:v>
      </x:c>
      <x:c r="L127" s="7" t="str"/>
    </x:row>
    <x:row r="128">
      <x:c r="A128" s="5" t="str">
        <x:v>他</x:v>
      </x:c>
      <x:c r="B128" s="6" t="str">
        <x:v>平</x:v>
      </x:c>
      <x:c r="C128" s="6" t="str">
        <x:f>IF(B128="","Needs decision","Ready")</x:f>
        <x:v>Ready</x:v>
      </x:c>
      <x:c r="D128" s="6" t="str">
        <x:v>平</x:v>
      </x:c>
      <x:c r="E128" s="6" t="str">
        <x:v>tha (A)</x:v>
      </x:c>
      <x:c r="F128" s="6" t="str"/>
      <x:c r="G128" s="6" t="str"/>
      <x:c r="H128" s="6" t="str">
        <x:v>1</x:v>
      </x:c>
      <x:c r="I128" s="6" t="str"/>
      <x:c r="J128" s="6" t="str">
        <x:f>IF(B128="","",IF(AND(ISNUMBER(SEARCH("平",B128)),OR(ISNUMBER(SEARCH("上",B128)),ISNUMBER(SEARCH("去",B128)),ISNUMBER(SEARCH("入",B128)))),"Ambiguous",IF(ISNUMBER(SEARCH("平",B128)),"平","仄")))</x:f>
        <x:v>平</x:v>
      </x:c>
      <x:c r="K128" s="6" t="str">
        <x:f>IF(D128="","",IF(AND(ISNUMBER(SEARCH("平",D128)),OR(ISNUMBER(SEARCH("上",D128)),ISNUMBER(SEARCH("去",D128)),ISNUMBER(SEARCH("入",D128)))),"Ambiguous",IF(ISNUMBER(SEARCH("平",D128)),"平","仄")))</x:f>
        <x:v>平</x:v>
      </x:c>
      <x:c r="L128" s="7" t="str"/>
    </x:row>
    <x:row r="129">
      <x:c r="A129" s="5" t="str">
        <x:v>仗</x:v>
      </x:c>
      <x:c r="B129" s="6" t="str">
        <x:v>去</x:v>
      </x:c>
      <x:c r="C129" s="6" t="str">
        <x:f>IF(B129="","Needs decision","Ready")</x:f>
        <x:v>Ready</x:v>
      </x:c>
      <x:c r="D129" s="6" t="str">
        <x:v>上/去</x:v>
      </x:c>
      <x:c r="E129" s="6" t="str">
        <x:v>drjangH [ɖjɑŋh] (去); drjangX [ɖjɑŋʔ] (上)</x:v>
      </x:c>
      <x:c r="F129" s="6" t="str">
        <x:v>上聲二十二養; 去聲二十三漾</x:v>
      </x:c>
      <x:c r="G129" s="6" t="str">
        <x:v>Pingshui main list, Wikisource-derived DOCX</x:v>
      </x:c>
      <x:c r="H129" s="6" t="str">
        <x:v>2</x:v>
      </x:c>
      <x:c r="I129" s="6" t="str">
        <x:v>Tang 300 gap; frequency 1; ambiguous in Xun Gong; User workbook edit 2026-09-03</x:v>
      </x:c>
      <x:c r="J129" s="6" t="str">
        <x:f>IF(B129="","",IF(AND(ISNUMBER(SEARCH("平",B129)),OR(ISNUMBER(SEARCH("上",B129)),ISNUMBER(SEARCH("去",B129)),ISNUMBER(SEARCH("入",B129)))),"Ambiguous",IF(ISNUMBER(SEARCH("平",B129)),"平","仄")))</x:f>
        <x:v>仄</x:v>
      </x:c>
      <x:c r="K129" s="6" t="str">
        <x:f>IF(D129="","",IF(AND(ISNUMBER(SEARCH("平",D129)),OR(ISNUMBER(SEARCH("上",D129)),ISNUMBER(SEARCH("去",D129)),ISNUMBER(SEARCH("入",D129)))),"Ambiguous",IF(ISNUMBER(SEARCH("平",D129)),"平","仄")))</x:f>
        <x:v>仄</x:v>
      </x:c>
      <x:c r="L129" s="7" t="str">
        <x:v>manual user correction</x:v>
      </x:c>
    </x:row>
    <x:row r="130">
      <x:c r="A130" s="5" t="str">
        <x:v>付</x:v>
      </x:c>
      <x:c r="B130" s="6" t="str">
        <x:v>去</x:v>
      </x:c>
      <x:c r="C130" s="6" t="str">
        <x:f>IF(B130="","Needs decision","Ready")</x:f>
        <x:v>Ready</x:v>
      </x:c>
      <x:c r="D130" s="6" t="str">
        <x:v>去</x:v>
      </x:c>
      <x:c r="E130" s="6" t="str">
        <x:v>pjuH (C)</x:v>
      </x:c>
      <x:c r="F130" s="6" t="str">
        <x:v>去聲七遇</x:v>
      </x:c>
      <x:c r="G130" s="6" t="str">
        <x:v>Pingshui main list, Wikisource-derived DOCX</x:v>
      </x:c>
      <x:c r="H130" s="6" t="str">
        <x:v>1</x:v>
      </x:c>
      <x:c r="I130" s="6" t="str"/>
      <x:c r="J130" s="6" t="str">
        <x:f>IF(B130="","",IF(AND(ISNUMBER(SEARCH("平",B130)),OR(ISNUMBER(SEARCH("上",B130)),ISNUMBER(SEARCH("去",B130)),ISNUMBER(SEARCH("入",B130)))),"Ambiguous",IF(ISNUMBER(SEARCH("平",B130)),"平","仄")))</x:f>
        <x:v>仄</x:v>
      </x:c>
      <x:c r="K130" s="6" t="str">
        <x:f>IF(D130="","",IF(AND(ISNUMBER(SEARCH("平",D130)),OR(ISNUMBER(SEARCH("上",D130)),ISNUMBER(SEARCH("去",D130)),ISNUMBER(SEARCH("入",D130)))),"Ambiguous",IF(ISNUMBER(SEARCH("平",D130)),"平","仄")))</x:f>
        <x:v>仄</x:v>
      </x:c>
      <x:c r="L130" s="7" t="str"/>
    </x:row>
    <x:row r="131">
      <x:c r="A131" s="5" t="str">
        <x:v>仙</x:v>
      </x:c>
      <x:c r="B131" s="6" t="str">
        <x:v>平</x:v>
      </x:c>
      <x:c r="C131" s="6" t="str">
        <x:f>IF(B131="","Needs decision","Ready")</x:f>
        <x:v>Ready</x:v>
      </x:c>
      <x:c r="D131" s="6" t="str">
        <x:v>平</x:v>
      </x:c>
      <x:c r="E131" s="6" t="str">
        <x:v>sjen (A)</x:v>
      </x:c>
      <x:c r="F131" s="6" t="str">
        <x:v>下平聲一先</x:v>
      </x:c>
      <x:c r="G131" s="6" t="str">
        <x:v>Pingshui main list, Wikisource-derived DOCX</x:v>
      </x:c>
      <x:c r="H131" s="6" t="str">
        <x:v>1</x:v>
      </x:c>
      <x:c r="I131" s="6" t="str"/>
      <x:c r="J131" s="6" t="str">
        <x:f>IF(B131="","",IF(AND(ISNUMBER(SEARCH("平",B131)),OR(ISNUMBER(SEARCH("上",B131)),ISNUMBER(SEARCH("去",B131)),ISNUMBER(SEARCH("入",B131)))),"Ambiguous",IF(ISNUMBER(SEARCH("平",B131)),"平","仄")))</x:f>
        <x:v>平</x:v>
      </x:c>
      <x:c r="K131" s="6" t="str">
        <x:f>IF(D131="","",IF(AND(ISNUMBER(SEARCH("平",D131)),OR(ISNUMBER(SEARCH("上",D131)),ISNUMBER(SEARCH("去",D131)),ISNUMBER(SEARCH("入",D131)))),"Ambiguous",IF(ISNUMBER(SEARCH("平",D131)),"平","仄")))</x:f>
        <x:v>平</x:v>
      </x:c>
      <x:c r="L131" s="7" t="str"/>
    </x:row>
    <x:row r="132">
      <x:c r="A132" s="5" t="str">
        <x:v>仞</x:v>
      </x:c>
      <x:c r="B132" s="6" t="str">
        <x:v>去</x:v>
      </x:c>
      <x:c r="C132" s="6" t="str">
        <x:f>IF(B132="","Needs decision","Ready")</x:f>
        <x:v>Ready</x:v>
      </x:c>
      <x:c r="D132" s="6" t="str">
        <x:v>去</x:v>
      </x:c>
      <x:c r="E132" s="6" t="str">
        <x:v>nyinH [ɲinh] (去)</x:v>
      </x:c>
      <x:c r="F132" s="6" t="str">
        <x:v>去聲十二震</x:v>
      </x:c>
      <x:c r="G132" s="6" t="str">
        <x:v>Pingshui main list, Wikisource-derived DOCX</x:v>
      </x:c>
      <x:c r="H132" s="6" t="str">
        <x:v>1</x:v>
      </x:c>
      <x:c r="I132" s="6" t="str">
        <x:v>Tang 300 gap; frequency 1; provisional from Xun Gong</x:v>
      </x:c>
      <x:c r="J132" s="6" t="str">
        <x:f>IF(B132="","",IF(AND(ISNUMBER(SEARCH("平",B132)),OR(ISNUMBER(SEARCH("上",B132)),ISNUMBER(SEARCH("去",B132)),ISNUMBER(SEARCH("入",B132)))),"Ambiguous",IF(ISNUMBER(SEARCH("平",B132)),"平","仄")))</x:f>
        <x:v>仄</x:v>
      </x:c>
      <x:c r="K132" s="6" t="str">
        <x:f>IF(D132="","",IF(AND(ISNUMBER(SEARCH("平",D132)),OR(ISNUMBER(SEARCH("上",D132)),ISNUMBER(SEARCH("去",D132)),ISNUMBER(SEARCH("入",D132)))),"Ambiguous",IF(ISNUMBER(SEARCH("平",D132)),"平","仄")))</x:f>
        <x:v>仄</x:v>
      </x:c>
      <x:c r="L132" s="7" t="str">
        <x:v>Xun Gong, Tang 300 gap fill</x:v>
      </x:c>
    </x:row>
    <x:row r="133">
      <x:c r="A133" s="5" t="str">
        <x:v>仡</x:v>
      </x:c>
      <x:c r="B133" s="6" t="str">
        <x:v>入</x:v>
      </x:c>
      <x:c r="C133" s="6" t="str">
        <x:f>IF(B133="","Needs decision","Ready")</x:f>
        <x:v>Ready</x:v>
      </x:c>
      <x:c r="D133" s="6" t="str">
        <x:v>入</x:v>
      </x:c>
      <x:c r="E133" s="6" t="str">
        <x:v>ngj+t (D)</x:v>
      </x:c>
      <x:c r="F133" s="6" t="str">
        <x:v>入聲五物</x:v>
      </x:c>
      <x:c r="G133" s="6" t="str">
        <x:v>Pingshui main list, Wikisource-derived DOCX</x:v>
      </x:c>
      <x:c r="H133" s="6" t="str">
        <x:v>1</x:v>
      </x:c>
      <x:c r="I133" s="6" t="str"/>
      <x:c r="J133" s="6" t="str">
        <x:f>IF(B133="","",IF(AND(ISNUMBER(SEARCH("平",B133)),OR(ISNUMBER(SEARCH("上",B133)),ISNUMBER(SEARCH("去",B133)),ISNUMBER(SEARCH("入",B133)))),"Ambiguous",IF(ISNUMBER(SEARCH("平",B133)),"平","仄")))</x:f>
        <x:v>仄</x:v>
      </x:c>
      <x:c r="K133" s="6" t="str">
        <x:f>IF(D133="","",IF(AND(ISNUMBER(SEARCH("平",D133)),OR(ISNUMBER(SEARCH("上",D133)),ISNUMBER(SEARCH("去",D133)),ISNUMBER(SEARCH("入",D133)))),"Ambiguous",IF(ISNUMBER(SEARCH("平",D133)),"平","仄")))</x:f>
        <x:v>仄</x:v>
      </x:c>
      <x:c r="L133" s="7" t="str"/>
    </x:row>
    <x:row r="134">
      <x:c r="A134" s="5" t="str">
        <x:v>代</x:v>
      </x:c>
      <x:c r="B134" s="6" t="str">
        <x:v>去</x:v>
      </x:c>
      <x:c r="C134" s="6" t="str">
        <x:f>IF(B134="","Needs decision","Ready")</x:f>
        <x:v>Ready</x:v>
      </x:c>
      <x:c r="D134" s="6" t="str">
        <x:v>去</x:v>
      </x:c>
      <x:c r="E134" s="6" t="str">
        <x:v>dojH (C)</x:v>
      </x:c>
      <x:c r="F134" s="6" t="str">
        <x:v>去聲十一隊</x:v>
      </x:c>
      <x:c r="G134" s="6" t="str">
        <x:v>Pingshui main list, Wikisource-derived DOCX</x:v>
      </x:c>
      <x:c r="H134" s="6" t="str">
        <x:v>1</x:v>
      </x:c>
      <x:c r="I134" s="6" t="str"/>
      <x:c r="J134" s="6" t="str">
        <x:f>IF(B134="","",IF(AND(ISNUMBER(SEARCH("平",B134)),OR(ISNUMBER(SEARCH("上",B134)),ISNUMBER(SEARCH("去",B134)),ISNUMBER(SEARCH("入",B134)))),"Ambiguous",IF(ISNUMBER(SEARCH("平",B134)),"平","仄")))</x:f>
        <x:v>仄</x:v>
      </x:c>
      <x:c r="K134" s="6" t="str">
        <x:f>IF(D134="","",IF(AND(ISNUMBER(SEARCH("平",D134)),OR(ISNUMBER(SEARCH("上",D134)),ISNUMBER(SEARCH("去",D134)),ISNUMBER(SEARCH("入",D134)))),"Ambiguous",IF(ISNUMBER(SEARCH("平",D134)),"平","仄")))</x:f>
        <x:v>仄</x:v>
      </x:c>
      <x:c r="L134" s="7" t="str"/>
    </x:row>
    <x:row r="135">
      <x:c r="A135" s="5" t="str">
        <x:v>令</x:v>
      </x:c>
      <x:c r="B135" s="6" t="str">
        <x:v>去</x:v>
      </x:c>
      <x:c r="C135" s="6" t="str">
        <x:f>IF(B135="","Needs decision","Ready")</x:f>
        <x:v>Ready</x:v>
      </x:c>
      <x:c r="D135" s="6" t="str">
        <x:v>平/去</x:v>
      </x:c>
      <x:c r="E135" s="6" t="str">
        <x:v>leng (A); ljeng (A); ljengH (C)</x:v>
      </x:c>
      <x:c r="F135" s="6" t="str">
        <x:v>下平聲八庚; 去聲二十四敬</x:v>
      </x:c>
      <x:c r="G135" s="6" t="str">
        <x:v>Pingshui main list, Wikisource-derived DOCX</x:v>
      </x:c>
      <x:c r="H135" s="6" t="str">
        <x:v>3</x:v>
      </x:c>
      <x:c r="I135" s="6" t="str">
        <x:v>User correction 2026-09-08</x:v>
      </x:c>
      <x:c r="J135" s="6" t="str">
        <x:f>IF(B135="","",IF(AND(ISNUMBER(SEARCH("平",B135)),OR(ISNUMBER(SEARCH("上",B135)),ISNUMBER(SEARCH("去",B135)),ISNUMBER(SEARCH("入",B135)))),"Ambiguous",IF(ISNUMBER(SEARCH("平",B135)),"平","仄")))</x:f>
        <x:v>仄</x:v>
      </x:c>
      <x:c r="K135" s="6" t="str">
        <x:f>IF(D135="","",IF(AND(ISNUMBER(SEARCH("平",D135)),OR(ISNUMBER(SEARCH("上",D135)),ISNUMBER(SEARCH("去",D135)),ISNUMBER(SEARCH("入",D135)))),"Ambiguous",IF(ISNUMBER(SEARCH("平",D135)),"平","仄")))</x:f>
        <x:v>Ambiguous</x:v>
      </x:c>
      <x:c r="L135" s="7" t="str"/>
    </x:row>
    <x:row r="136">
      <x:c r="A136" s="5" t="str">
        <x:v>以</x:v>
      </x:c>
      <x:c r="B136" s="6" t="str">
        <x:v>上</x:v>
      </x:c>
      <x:c r="C136" s="6" t="str">
        <x:f>IF(B136="","Needs decision","Ready")</x:f>
        <x:v>Ready</x:v>
      </x:c>
      <x:c r="D136" s="6" t="str">
        <x:v>上</x:v>
      </x:c>
      <x:c r="E136" s="6" t="str">
        <x:v>yiX (B)</x:v>
      </x:c>
      <x:c r="F136" s="6" t="str">
        <x:v>上聲四紙</x:v>
      </x:c>
      <x:c r="G136" s="6" t="str">
        <x:v>Pingshui main list, Wikisource-derived DOCX</x:v>
      </x:c>
      <x:c r="H136" s="6" t="str">
        <x:v>1</x:v>
      </x:c>
      <x:c r="I136" s="6" t="str"/>
      <x:c r="J136" s="6" t="str">
        <x:f>IF(B136="","",IF(AND(ISNUMBER(SEARCH("平",B136)),OR(ISNUMBER(SEARCH("上",B136)),ISNUMBER(SEARCH("去",B136)),ISNUMBER(SEARCH("入",B136)))),"Ambiguous",IF(ISNUMBER(SEARCH("平",B136)),"平","仄")))</x:f>
        <x:v>仄</x:v>
      </x:c>
      <x:c r="K136" s="6" t="str">
        <x:f>IF(D136="","",IF(AND(ISNUMBER(SEARCH("平",D136)),OR(ISNUMBER(SEARCH("上",D136)),ISNUMBER(SEARCH("去",D136)),ISNUMBER(SEARCH("入",D136)))),"Ambiguous",IF(ISNUMBER(SEARCH("平",D136)),"平","仄")))</x:f>
        <x:v>仄</x:v>
      </x:c>
      <x:c r="L136" s="7" t="str"/>
    </x:row>
    <x:row r="137">
      <x:c r="A137" s="5" t="str">
        <x:v>仰</x:v>
      </x:c>
      <x:c r="B137" s="6" t="str">
        <x:v>上</x:v>
      </x:c>
      <x:c r="C137" s="6" t="str">
        <x:f>IF(B137="","Needs decision","Ready")</x:f>
        <x:v>Ready</x:v>
      </x:c>
      <x:c r="D137" s="6" t="str">
        <x:v>上</x:v>
      </x:c>
      <x:c r="E137" s="6" t="str">
        <x:v>ngjangX (B)</x:v>
      </x:c>
      <x:c r="F137" s="6" t="str">
        <x:v>上聲二十二養; 去聲二十三漾</x:v>
      </x:c>
      <x:c r="G137" s="6" t="str">
        <x:v>Pingshui main list, Wikisource-derived DOCX</x:v>
      </x:c>
      <x:c r="H137" s="6" t="str">
        <x:v>1</x:v>
      </x:c>
      <x:c r="I137" s="6" t="str"/>
      <x:c r="J137" s="6" t="str">
        <x:f>IF(B137="","",IF(AND(ISNUMBER(SEARCH("平",B137)),OR(ISNUMBER(SEARCH("上",B137)),ISNUMBER(SEARCH("去",B137)),ISNUMBER(SEARCH("入",B137)))),"Ambiguous",IF(ISNUMBER(SEARCH("平",B137)),"平","仄")))</x:f>
        <x:v>仄</x:v>
      </x:c>
      <x:c r="K137" s="6" t="str">
        <x:f>IF(D137="","",IF(AND(ISNUMBER(SEARCH("平",D137)),OR(ISNUMBER(SEARCH("上",D137)),ISNUMBER(SEARCH("去",D137)),ISNUMBER(SEARCH("入",D137)))),"Ambiguous",IF(ISNUMBER(SEARCH("平",D137)),"平","仄")))</x:f>
        <x:v>仄</x:v>
      </x:c>
      <x:c r="L137" s="7" t="str"/>
    </x:row>
    <x:row r="138">
      <x:c r="A138" s="5" t="str">
        <x:v>仲</x:v>
      </x:c>
      <x:c r="B138" s="6" t="str">
        <x:v>去</x:v>
      </x:c>
      <x:c r="C138" s="6" t="str">
        <x:f>IF(B138="","Needs decision","Ready")</x:f>
        <x:v>Ready</x:v>
      </x:c>
      <x:c r="D138" s="6" t="str">
        <x:v>去</x:v>
      </x:c>
      <x:c r="E138" s="6" t="str">
        <x:v>drjuwngH (C)</x:v>
      </x:c>
      <x:c r="F138" s="6" t="str">
        <x:v>去聲一送</x:v>
      </x:c>
      <x:c r="G138" s="6" t="str">
        <x:v>Pingshui main list, Wikisource-derived DOCX</x:v>
      </x:c>
      <x:c r="H138" s="6" t="str">
        <x:v>1</x:v>
      </x:c>
      <x:c r="I138" s="6" t="str"/>
      <x:c r="J138" s="6" t="str">
        <x:f>IF(B138="","",IF(AND(ISNUMBER(SEARCH("平",B138)),OR(ISNUMBER(SEARCH("上",B138)),ISNUMBER(SEARCH("去",B138)),ISNUMBER(SEARCH("入",B138)))),"Ambiguous",IF(ISNUMBER(SEARCH("平",B138)),"平","仄")))</x:f>
        <x:v>仄</x:v>
      </x:c>
      <x:c r="K138" s="6" t="str">
        <x:f>IF(D138="","",IF(AND(ISNUMBER(SEARCH("平",D138)),OR(ISNUMBER(SEARCH("上",D138)),ISNUMBER(SEARCH("去",D138)),ISNUMBER(SEARCH("入",D138)))),"Ambiguous",IF(ISNUMBER(SEARCH("平",D138)),"平","仄")))</x:f>
        <x:v>仄</x:v>
      </x:c>
      <x:c r="L138" s="7" t="str"/>
    </x:row>
    <x:row r="139">
      <x:c r="A139" s="5" t="str">
        <x:v>件</x:v>
      </x:c>
      <x:c r="B139" s="6" t="str">
        <x:v>上</x:v>
      </x:c>
      <x:c r="C139" s="6" t="str">
        <x:f>IF(B139="","Needs decision","Ready")</x:f>
        <x:v>Ready</x:v>
      </x:c>
      <x:c r="D139" s="6" t="str">
        <x:v>上</x:v>
      </x:c>
      <x:c r="E139" s="6" t="str">
        <x:v>gjenX (B)</x:v>
      </x:c>
      <x:c r="F139" s="6" t="str">
        <x:v>上聲十六銑</x:v>
      </x:c>
      <x:c r="G139" s="6" t="str">
        <x:v>Pingshui main list, Wikisource-derived DOCX</x:v>
      </x:c>
      <x:c r="H139" s="6" t="str">
        <x:v>1</x:v>
      </x:c>
      <x:c r="I139" s="6" t="str"/>
      <x:c r="J139" s="6" t="str">
        <x:f>IF(B139="","",IF(AND(ISNUMBER(SEARCH("平",B139)),OR(ISNUMBER(SEARCH("上",B139)),ISNUMBER(SEARCH("去",B139)),ISNUMBER(SEARCH("入",B139)))),"Ambiguous",IF(ISNUMBER(SEARCH("平",B139)),"平","仄")))</x:f>
        <x:v>仄</x:v>
      </x:c>
      <x:c r="K139" s="6" t="str">
        <x:f>IF(D139="","",IF(AND(ISNUMBER(SEARCH("平",D139)),OR(ISNUMBER(SEARCH("上",D139)),ISNUMBER(SEARCH("去",D139)),ISNUMBER(SEARCH("入",D139)))),"Ambiguous",IF(ISNUMBER(SEARCH("平",D139)),"平","仄")))</x:f>
        <x:v>仄</x:v>
      </x:c>
      <x:c r="L139" s="7" t="str"/>
    </x:row>
    <x:row r="140">
      <x:c r="A140" s="5" t="str">
        <x:v>任</x:v>
      </x:c>
      <x:c r="B140" s="6" t="str">
        <x:v>去</x:v>
      </x:c>
      <x:c r="C140" s="6" t="str">
        <x:f>IF(B140="","Needs decision","Ready")</x:f>
        <x:v>Ready</x:v>
      </x:c>
      <x:c r="D140" s="6" t="str">
        <x:v>去</x:v>
      </x:c>
      <x:c r="E140" s="6" t="str">
        <x:v>nyimH (C)</x:v>
      </x:c>
      <x:c r="F140" s="6" t="str">
        <x:v>下平聲十二侵; 去聲二十七沁</x:v>
      </x:c>
      <x:c r="G140" s="6" t="str">
        <x:v>Pingshui main list, Wikisource-derived DOCX</x:v>
      </x:c>
      <x:c r="H140" s="6" t="str">
        <x:v>1</x:v>
      </x:c>
      <x:c r="I140" s="6" t="str"/>
      <x:c r="J140" s="6" t="str">
        <x:f>IF(B140="","",IF(AND(ISNUMBER(SEARCH("平",B140)),OR(ISNUMBER(SEARCH("上",B140)),ISNUMBER(SEARCH("去",B140)),ISNUMBER(SEARCH("入",B140)))),"Ambiguous",IF(ISNUMBER(SEARCH("平",B140)),"平","仄")))</x:f>
        <x:v>仄</x:v>
      </x:c>
      <x:c r="K140" s="6" t="str">
        <x:f>IF(D140="","",IF(AND(ISNUMBER(SEARCH("平",D140)),OR(ISNUMBER(SEARCH("上",D140)),ISNUMBER(SEARCH("去",D140)),ISNUMBER(SEARCH("入",D140)))),"Ambiguous",IF(ISNUMBER(SEARCH("平",D140)),"平","仄")))</x:f>
        <x:v>仄</x:v>
      </x:c>
      <x:c r="L140" s="7" t="str"/>
    </x:row>
    <x:row r="141">
      <x:c r="A141" s="5" t="str">
        <x:v>企</x:v>
      </x:c>
      <x:c r="B141" s="6" t="str">
        <x:v>上</x:v>
      </x:c>
      <x:c r="C141" s="6" t="str">
        <x:f>IF(B141="","Needs decision","Ready")</x:f>
        <x:v>Ready</x:v>
      </x:c>
      <x:c r="D141" s="6" t="str">
        <x:v>上/去</x:v>
      </x:c>
      <x:c r="E141" s="6" t="str">
        <x:v>khjieX (B); khjieH (C)</x:v>
      </x:c>
      <x:c r="F141" s="6" t="str">
        <x:v>上聲四紙; 去聲四寘</x:v>
      </x:c>
      <x:c r="G141" s="6" t="str">
        <x:v>Pingshui main list, Wikisource-derived DOCX</x:v>
      </x:c>
      <x:c r="H141" s="6" t="str">
        <x:v>2</x:v>
      </x:c>
      <x:c r="I141" s="6" t="str">
        <x:v>User workbook edit 2026-09-03</x:v>
      </x:c>
      <x:c r="J141" s="6" t="str">
        <x:f>IF(B141="","",IF(AND(ISNUMBER(SEARCH("平",B141)),OR(ISNUMBER(SEARCH("上",B141)),ISNUMBER(SEARCH("去",B141)),ISNUMBER(SEARCH("入",B141)))),"Ambiguous",IF(ISNUMBER(SEARCH("平",B141)),"平","仄")))</x:f>
        <x:v>仄</x:v>
      </x:c>
      <x:c r="K141" s="6" t="str">
        <x:f>IF(D141="","",IF(AND(ISNUMBER(SEARCH("平",D141)),OR(ISNUMBER(SEARCH("上",D141)),ISNUMBER(SEARCH("去",D141)),ISNUMBER(SEARCH("入",D141)))),"Ambiguous",IF(ISNUMBER(SEARCH("平",D141)),"平","仄")))</x:f>
        <x:v>仄</x:v>
      </x:c>
      <x:c r="L141" s="7" t="str">
        <x:v>manual user correction</x:v>
      </x:c>
    </x:row>
    <x:row r="142">
      <x:c r="A142" s="5" t="str">
        <x:v>伊</x:v>
      </x:c>
      <x:c r="B142" s="6" t="str">
        <x:v>平</x:v>
      </x:c>
      <x:c r="C142" s="6" t="str">
        <x:f>IF(B142="","Needs decision","Ready")</x:f>
        <x:v>Ready</x:v>
      </x:c>
      <x:c r="D142" s="6" t="str">
        <x:v>平</x:v>
      </x:c>
      <x:c r="E142" s="6" t="str">
        <x:v>'jij (A)</x:v>
      </x:c>
      <x:c r="F142" s="6" t="str">
        <x:v>上平聲四支</x:v>
      </x:c>
      <x:c r="G142" s="6" t="str">
        <x:v>Pingshui main list, Wikisource-derived DOCX</x:v>
      </x:c>
      <x:c r="H142" s="6" t="str">
        <x:v>1</x:v>
      </x:c>
      <x:c r="I142" s="6" t="str"/>
      <x:c r="J142" s="6" t="str">
        <x:f>IF(B142="","",IF(AND(ISNUMBER(SEARCH("平",B142)),OR(ISNUMBER(SEARCH("上",B142)),ISNUMBER(SEARCH("去",B142)),ISNUMBER(SEARCH("入",B142)))),"Ambiguous",IF(ISNUMBER(SEARCH("平",B142)),"平","仄")))</x:f>
        <x:v>平</x:v>
      </x:c>
      <x:c r="K142" s="6" t="str">
        <x:f>IF(D142="","",IF(AND(ISNUMBER(SEARCH("平",D142)),OR(ISNUMBER(SEARCH("上",D142)),ISNUMBER(SEARCH("去",D142)),ISNUMBER(SEARCH("入",D142)))),"Ambiguous",IF(ISNUMBER(SEARCH("平",D142)),"平","仄")))</x:f>
        <x:v>平</x:v>
      </x:c>
      <x:c r="L142" s="7" t="str"/>
    </x:row>
    <x:row r="143">
      <x:c r="A143" s="5" t="str">
        <x:v>伍</x:v>
      </x:c>
      <x:c r="B143" s="6" t="str">
        <x:v>上</x:v>
      </x:c>
      <x:c r="C143" s="6" t="str">
        <x:f>IF(B143="","Needs decision","Ready")</x:f>
        <x:v>Ready</x:v>
      </x:c>
      <x:c r="D143" s="6" t="str">
        <x:v>上</x:v>
      </x:c>
      <x:c r="E143" s="6" t="str">
        <x:v>nguX (B)</x:v>
      </x:c>
      <x:c r="F143" s="6" t="str">
        <x:v>上聲七麌</x:v>
      </x:c>
      <x:c r="G143" s="6" t="str">
        <x:v>Pingshui main list, Wikisource-derived DOCX</x:v>
      </x:c>
      <x:c r="H143" s="6" t="str">
        <x:v>1</x:v>
      </x:c>
      <x:c r="I143" s="6" t="str"/>
      <x:c r="J143" s="6" t="str">
        <x:f>IF(B143="","",IF(AND(ISNUMBER(SEARCH("平",B143)),OR(ISNUMBER(SEARCH("上",B143)),ISNUMBER(SEARCH("去",B143)),ISNUMBER(SEARCH("入",B143)))),"Ambiguous",IF(ISNUMBER(SEARCH("平",B143)),"平","仄")))</x:f>
        <x:v>仄</x:v>
      </x:c>
      <x:c r="K143" s="6" t="str">
        <x:f>IF(D143="","",IF(AND(ISNUMBER(SEARCH("平",D143)),OR(ISNUMBER(SEARCH("上",D143)),ISNUMBER(SEARCH("去",D143)),ISNUMBER(SEARCH("入",D143)))),"Ambiguous",IF(ISNUMBER(SEARCH("平",D143)),"平","仄")))</x:f>
        <x:v>仄</x:v>
      </x:c>
      <x:c r="L143" s="7" t="str"/>
    </x:row>
    <x:row r="144">
      <x:c r="A144" s="5" t="str">
        <x:v>伎</x:v>
      </x:c>
      <x:c r="B144" s="6" t="str">
        <x:v>上</x:v>
      </x:c>
      <x:c r="C144" s="6" t="str">
        <x:f>IF(B144="","Needs decision","Ready")</x:f>
        <x:v>Ready</x:v>
      </x:c>
      <x:c r="D144" s="6" t="str">
        <x:v>上</x:v>
      </x:c>
      <x:c r="E144" s="6" t="str">
        <x:v>gjeX (B)</x:v>
      </x:c>
      <x:c r="F144" s="6" t="str"/>
      <x:c r="G144" s="6" t="str"/>
      <x:c r="H144" s="6" t="str">
        <x:v>1</x:v>
      </x:c>
      <x:c r="I144" s="6" t="str"/>
      <x:c r="J144" s="6" t="str">
        <x:f>IF(B144="","",IF(AND(ISNUMBER(SEARCH("平",B144)),OR(ISNUMBER(SEARCH("上",B144)),ISNUMBER(SEARCH("去",B144)),ISNUMBER(SEARCH("入",B144)))),"Ambiguous",IF(ISNUMBER(SEARCH("平",B144)),"平","仄")))</x:f>
        <x:v>仄</x:v>
      </x:c>
      <x:c r="K144" s="6" t="str">
        <x:f>IF(D144="","",IF(AND(ISNUMBER(SEARCH("平",D144)),OR(ISNUMBER(SEARCH("上",D144)),ISNUMBER(SEARCH("去",D144)),ISNUMBER(SEARCH("入",D144)))),"Ambiguous",IF(ISNUMBER(SEARCH("平",D144)),"平","仄")))</x:f>
        <x:v>仄</x:v>
      </x:c>
      <x:c r="L144" s="7" t="str"/>
    </x:row>
    <x:row r="145">
      <x:c r="A145" s="5" t="str">
        <x:v>伏</x:v>
      </x:c>
      <x:c r="B145" s="6" t="str">
        <x:v>入</x:v>
      </x:c>
      <x:c r="C145" s="6" t="str">
        <x:f>IF(B145="","Needs decision","Ready")</x:f>
        <x:v>Ready</x:v>
      </x:c>
      <x:c r="D145" s="6" t="str">
        <x:v>去/入</x:v>
      </x:c>
      <x:c r="E145" s="6" t="str">
        <x:v>bjuwH (C); bjuwk (D)</x:v>
      </x:c>
      <x:c r="F145" s="6" t="str">
        <x:v>去聲二十六宥; 入聲一屋</x:v>
      </x:c>
      <x:c r="G145" s="6" t="str">
        <x:v>Pingshui main list, Wikisource-derived DOCX</x:v>
      </x:c>
      <x:c r="H145" s="6" t="str">
        <x:v>2</x:v>
      </x:c>
      <x:c r="I145" s="6" t="str">
        <x:v>User workbook edit 2026-09-03</x:v>
      </x:c>
      <x:c r="J145" s="6" t="str">
        <x:f>IF(B145="","",IF(AND(ISNUMBER(SEARCH("平",B145)),OR(ISNUMBER(SEARCH("上",B145)),ISNUMBER(SEARCH("去",B145)),ISNUMBER(SEARCH("入",B145)))),"Ambiguous",IF(ISNUMBER(SEARCH("平",B145)),"平","仄")))</x:f>
        <x:v>仄</x:v>
      </x:c>
      <x:c r="K145" s="6" t="str">
        <x:f>IF(D145="","",IF(AND(ISNUMBER(SEARCH("平",D145)),OR(ISNUMBER(SEARCH("上",D145)),ISNUMBER(SEARCH("去",D145)),ISNUMBER(SEARCH("入",D145)))),"Ambiguous",IF(ISNUMBER(SEARCH("平",D145)),"平","仄")))</x:f>
        <x:v>仄</x:v>
      </x:c>
      <x:c r="L145" s="7" t="str">
        <x:v>manual user correction</x:v>
      </x:c>
    </x:row>
    <x:row r="146">
      <x:c r="A146" s="5" t="str">
        <x:v>伐</x:v>
      </x:c>
      <x:c r="B146" s="6" t="str">
        <x:v>入</x:v>
      </x:c>
      <x:c r="C146" s="6" t="str">
        <x:f>IF(B146="","Needs decision","Ready")</x:f>
        <x:v>Ready</x:v>
      </x:c>
      <x:c r="D146" s="6" t="str">
        <x:v>入</x:v>
      </x:c>
      <x:c r="E146" s="6" t="str">
        <x:v>bjot (D)</x:v>
      </x:c>
      <x:c r="F146" s="6" t="str">
        <x:v>入聲六月</x:v>
      </x:c>
      <x:c r="G146" s="6" t="str">
        <x:v>Pingshui main list, Wikisource-derived DOCX</x:v>
      </x:c>
      <x:c r="H146" s="6" t="str">
        <x:v>1</x:v>
      </x:c>
      <x:c r="I146" s="6" t="str"/>
      <x:c r="J146" s="6" t="str">
        <x:f>IF(B146="","",IF(AND(ISNUMBER(SEARCH("平",B146)),OR(ISNUMBER(SEARCH("上",B146)),ISNUMBER(SEARCH("去",B146)),ISNUMBER(SEARCH("入",B146)))),"Ambiguous",IF(ISNUMBER(SEARCH("平",B146)),"平","仄")))</x:f>
        <x:v>仄</x:v>
      </x:c>
      <x:c r="K146" s="6" t="str">
        <x:f>IF(D146="","",IF(AND(ISNUMBER(SEARCH("平",D146)),OR(ISNUMBER(SEARCH("上",D146)),ISNUMBER(SEARCH("去",D146)),ISNUMBER(SEARCH("入",D146)))),"Ambiguous",IF(ISNUMBER(SEARCH("平",D146)),"平","仄")))</x:f>
        <x:v>仄</x:v>
      </x:c>
      <x:c r="L146" s="7" t="str"/>
    </x:row>
    <x:row r="147">
      <x:c r="A147" s="5" t="str">
        <x:v>休</x:v>
      </x:c>
      <x:c r="B147" s="6" t="str">
        <x:v>平</x:v>
      </x:c>
      <x:c r="C147" s="6" t="str">
        <x:f>IF(B147="","Needs decision","Ready")</x:f>
        <x:v>Ready</x:v>
      </x:c>
      <x:c r="D147" s="6" t="str">
        <x:v>平</x:v>
      </x:c>
      <x:c r="E147" s="6" t="str">
        <x:v>xjuw (A)</x:v>
      </x:c>
      <x:c r="F147" s="6" t="str">
        <x:v>下平聲十一尤</x:v>
      </x:c>
      <x:c r="G147" s="6" t="str">
        <x:v>Pingshui main list, Wikisource-derived DOCX</x:v>
      </x:c>
      <x:c r="H147" s="6" t="str">
        <x:v>1</x:v>
      </x:c>
      <x:c r="I147" s="6" t="str"/>
      <x:c r="J147" s="6" t="str">
        <x:f>IF(B147="","",IF(AND(ISNUMBER(SEARCH("平",B147)),OR(ISNUMBER(SEARCH("上",B147)),ISNUMBER(SEARCH("去",B147)),ISNUMBER(SEARCH("入",B147)))),"Ambiguous",IF(ISNUMBER(SEARCH("平",B147)),"平","仄")))</x:f>
        <x:v>平</x:v>
      </x:c>
      <x:c r="K147" s="6" t="str">
        <x:f>IF(D147="","",IF(AND(ISNUMBER(SEARCH("平",D147)),OR(ISNUMBER(SEARCH("上",D147)),ISNUMBER(SEARCH("去",D147)),ISNUMBER(SEARCH("入",D147)))),"Ambiguous",IF(ISNUMBER(SEARCH("平",D147)),"平","仄")))</x:f>
        <x:v>平</x:v>
      </x:c>
      <x:c r="L147" s="7" t="str"/>
    </x:row>
    <x:row r="148">
      <x:c r="A148" s="5" t="str">
        <x:v>伕</x:v>
      </x:c>
      <x:c r="B148" s="6" t="str">
        <x:v>平</x:v>
      </x:c>
      <x:c r="C148" s="6" t="str">
        <x:f>IF(B148="","Needs decision","Ready")</x:f>
        <x:v>Ready</x:v>
      </x:c>
      <x:c r="D148" s="6" t="str">
        <x:v>平</x:v>
      </x:c>
      <x:c r="E148" s="6" t="str"/>
      <x:c r="F148" s="6" t="str"/>
      <x:c r="G148" s="6" t="str"/>
      <x:c r="H148" s="6" t="str"/>
      <x:c r="I148" s="6" t="str">
        <x:v>Manual user correction/addition</x:v>
      </x:c>
      <x:c r="J148" s="6" t="str">
        <x:f>IF(B148="","",IF(AND(ISNUMBER(SEARCH("平",B148)),OR(ISNUMBER(SEARCH("上",B148)),ISNUMBER(SEARCH("去",B148)),ISNUMBER(SEARCH("入",B148)))),"Ambiguous",IF(ISNUMBER(SEARCH("平",B148)),"平","仄")))</x:f>
        <x:v>平</x:v>
      </x:c>
      <x:c r="K148" s="6" t="str">
        <x:f>IF(D148="","",IF(AND(ISNUMBER(SEARCH("平",D148)),OR(ISNUMBER(SEARCH("上",D148)),ISNUMBER(SEARCH("去",D148)),ISNUMBER(SEARCH("入",D148)))),"Ambiguous",IF(ISNUMBER(SEARCH("平",D148)),"平","仄")))</x:f>
        <x:v>平</x:v>
      </x:c>
      <x:c r="L148" s="7" t="str">
        <x:v>manual user correction</x:v>
      </x:c>
    </x:row>
    <x:row r="149">
      <x:c r="A149" s="5" t="str">
        <x:v>伯</x:v>
      </x:c>
      <x:c r="B149" s="6" t="str">
        <x:v>入</x:v>
      </x:c>
      <x:c r="C149" s="6" t="str">
        <x:f>IF(B149="","Needs decision","Ready")</x:f>
        <x:v>Ready</x:v>
      </x:c>
      <x:c r="D149" s="6" t="str">
        <x:v>入</x:v>
      </x:c>
      <x:c r="E149" s="6" t="str">
        <x:v>paek (D)</x:v>
      </x:c>
      <x:c r="F149" s="6" t="str">
        <x:v>入聲十一陌</x:v>
      </x:c>
      <x:c r="G149" s="6" t="str">
        <x:v>Pingshui main list, Wikisource-derived DOCX</x:v>
      </x:c>
      <x:c r="H149" s="6" t="str">
        <x:v>1</x:v>
      </x:c>
      <x:c r="I149" s="6" t="str"/>
      <x:c r="J149" s="6" t="str">
        <x:f>IF(B149="","",IF(AND(ISNUMBER(SEARCH("平",B149)),OR(ISNUMBER(SEARCH("上",B149)),ISNUMBER(SEARCH("去",B149)),ISNUMBER(SEARCH("入",B149)))),"Ambiguous",IF(ISNUMBER(SEARCH("平",B149)),"平","仄")))</x:f>
        <x:v>仄</x:v>
      </x:c>
      <x:c r="K149" s="6" t="str">
        <x:f>IF(D149="","",IF(AND(ISNUMBER(SEARCH("平",D149)),OR(ISNUMBER(SEARCH("上",D149)),ISNUMBER(SEARCH("去",D149)),ISNUMBER(SEARCH("入",D149)))),"Ambiguous",IF(ISNUMBER(SEARCH("平",D149)),"平","仄")))</x:f>
        <x:v>仄</x:v>
      </x:c>
      <x:c r="L149" s="7" t="str"/>
    </x:row>
    <x:row r="150">
      <x:c r="A150" s="5" t="str">
        <x:v>估</x:v>
      </x:c>
      <x:c r="B150" s="6" t="str">
        <x:v>上</x:v>
      </x:c>
      <x:c r="C150" s="6" t="str">
        <x:f>IF(B150="","Needs decision","Ready")</x:f>
        <x:v>Ready</x:v>
      </x:c>
      <x:c r="D150" s="6" t="str">
        <x:v>上</x:v>
      </x:c>
      <x:c r="E150" s="6" t="str">
        <x:v>kuX [qoʔ] (上)</x:v>
      </x:c>
      <x:c r="F150" s="6" t="str">
        <x:v>上聲七麌</x:v>
      </x:c>
      <x:c r="G150" s="6" t="str">
        <x:v>Pingshui main list, Wikisource-derived DOCX</x:v>
      </x:c>
      <x:c r="H150" s="6" t="str">
        <x:v>1</x:v>
      </x:c>
      <x:c r="I150" s="6" t="str">
        <x:v>Tang 300 gap; frequency 1; provisional from Xun Gong</x:v>
      </x:c>
      <x:c r="J150" s="6" t="str">
        <x:f>IF(B150="","",IF(AND(ISNUMBER(SEARCH("平",B150)),OR(ISNUMBER(SEARCH("上",B150)),ISNUMBER(SEARCH("去",B150)),ISNUMBER(SEARCH("入",B150)))),"Ambiguous",IF(ISNUMBER(SEARCH("平",B150)),"平","仄")))</x:f>
        <x:v>仄</x:v>
      </x:c>
      <x:c r="K150" s="6" t="str">
        <x:f>IF(D150="","",IF(AND(ISNUMBER(SEARCH("平",D150)),OR(ISNUMBER(SEARCH("上",D150)),ISNUMBER(SEARCH("去",D150)),ISNUMBER(SEARCH("入",D150)))),"Ambiguous",IF(ISNUMBER(SEARCH("平",D150)),"平","仄")))</x:f>
        <x:v>仄</x:v>
      </x:c>
      <x:c r="L150" s="7" t="str">
        <x:v>Xun Gong, Tang 300 gap fill</x:v>
      </x:c>
    </x:row>
    <x:row r="151">
      <x:c r="A151" s="5" t="str">
        <x:v>伴</x:v>
      </x:c>
      <x:c r="B151" s="6" t="str">
        <x:v>上</x:v>
      </x:c>
      <x:c r="C151" s="6" t="str">
        <x:f>IF(B151="","Needs decision","Ready")</x:f>
        <x:v>Ready</x:v>
      </x:c>
      <x:c r="D151" s="6" t="str">
        <x:v>上</x:v>
      </x:c>
      <x:c r="E151" s="6" t="str">
        <x:v>banX (B)</x:v>
      </x:c>
      <x:c r="F151" s="6" t="str">
        <x:v>上聲十四旱</x:v>
      </x:c>
      <x:c r="G151" s="6" t="str">
        <x:v>Pingshui main list, Wikisource-derived DOCX</x:v>
      </x:c>
      <x:c r="H151" s="6" t="str">
        <x:v>1</x:v>
      </x:c>
      <x:c r="I151" s="6" t="str"/>
      <x:c r="J151" s="6" t="str">
        <x:f>IF(B151="","",IF(AND(ISNUMBER(SEARCH("平",B151)),OR(ISNUMBER(SEARCH("上",B151)),ISNUMBER(SEARCH("去",B151)),ISNUMBER(SEARCH("入",B151)))),"Ambiguous",IF(ISNUMBER(SEARCH("平",B151)),"平","仄")))</x:f>
        <x:v>仄</x:v>
      </x:c>
      <x:c r="K151" s="6" t="str">
        <x:f>IF(D151="","",IF(AND(ISNUMBER(SEARCH("平",D151)),OR(ISNUMBER(SEARCH("上",D151)),ISNUMBER(SEARCH("去",D151)),ISNUMBER(SEARCH("入",D151)))),"Ambiguous",IF(ISNUMBER(SEARCH("平",D151)),"平","仄")))</x:f>
        <x:v>仄</x:v>
      </x:c>
      <x:c r="L151" s="7" t="str"/>
    </x:row>
    <x:row r="152">
      <x:c r="A152" s="5" t="str">
        <x:v>伶</x:v>
      </x:c>
      <x:c r="B152" s="6" t="str">
        <x:v>平</x:v>
      </x:c>
      <x:c r="C152" s="6" t="str">
        <x:f>IF(B152="","Needs decision","Ready")</x:f>
        <x:v>Ready</x:v>
      </x:c>
      <x:c r="D152" s="6" t="str">
        <x:v>平</x:v>
      </x:c>
      <x:c r="E152" s="6" t="str">
        <x:v>leng [l̙eŋ] (平)</x:v>
      </x:c>
      <x:c r="F152" s="6" t="str">
        <x:v>下平聲九青</x:v>
      </x:c>
      <x:c r="G152" s="6" t="str">
        <x:v>Pingshui main list, Wikisource-derived DOCX</x:v>
      </x:c>
      <x:c r="H152" s="6" t="str">
        <x:v>1</x:v>
      </x:c>
      <x:c r="I152" s="6" t="str">
        <x:v>Tang 300 gap; frequency 1; provisional from Xun Gong</x:v>
      </x:c>
      <x:c r="J152" s="6" t="str">
        <x:f>IF(B152="","",IF(AND(ISNUMBER(SEARCH("平",B152)),OR(ISNUMBER(SEARCH("上",B152)),ISNUMBER(SEARCH("去",B152)),ISNUMBER(SEARCH("入",B152)))),"Ambiguous",IF(ISNUMBER(SEARCH("平",B152)),"平","仄")))</x:f>
        <x:v>平</x:v>
      </x:c>
      <x:c r="K152" s="6" t="str">
        <x:f>IF(D152="","",IF(AND(ISNUMBER(SEARCH("平",D152)),OR(ISNUMBER(SEARCH("上",D152)),ISNUMBER(SEARCH("去",D152)),ISNUMBER(SEARCH("入",D152)))),"Ambiguous",IF(ISNUMBER(SEARCH("平",D152)),"平","仄")))</x:f>
        <x:v>平</x:v>
      </x:c>
      <x:c r="L152" s="7" t="str">
        <x:v>Xun Gong, Tang 300 gap fill</x:v>
      </x:c>
    </x:row>
    <x:row r="153">
      <x:c r="A153" s="5" t="str">
        <x:v>伸</x:v>
      </x:c>
      <x:c r="B153" s="6" t="str">
        <x:v>平</x:v>
      </x:c>
      <x:c r="C153" s="6" t="str">
        <x:f>IF(B153="","Needs decision","Ready")</x:f>
        <x:v>Ready</x:v>
      </x:c>
      <x:c r="D153" s="6" t="str">
        <x:v>平</x:v>
      </x:c>
      <x:c r="E153" s="6" t="str">
        <x:v>syin (A)</x:v>
      </x:c>
      <x:c r="F153" s="6" t="str">
        <x:v>上平聲十一真</x:v>
      </x:c>
      <x:c r="G153" s="6" t="str">
        <x:v>Pingshui main list, Wikisource-derived DOCX</x:v>
      </x:c>
      <x:c r="H153" s="6" t="str">
        <x:v>1</x:v>
      </x:c>
      <x:c r="I153" s="6" t="str"/>
      <x:c r="J153" s="6" t="str">
        <x:f>IF(B153="","",IF(AND(ISNUMBER(SEARCH("平",B153)),OR(ISNUMBER(SEARCH("上",B153)),ISNUMBER(SEARCH("去",B153)),ISNUMBER(SEARCH("入",B153)))),"Ambiguous",IF(ISNUMBER(SEARCH("平",B153)),"平","仄")))</x:f>
        <x:v>平</x:v>
      </x:c>
      <x:c r="K153" s="6" t="str">
        <x:f>IF(D153="","",IF(AND(ISNUMBER(SEARCH("平",D153)),OR(ISNUMBER(SEARCH("上",D153)),ISNUMBER(SEARCH("去",D153)),ISNUMBER(SEARCH("入",D153)))),"Ambiguous",IF(ISNUMBER(SEARCH("平",D153)),"平","仄")))</x:f>
        <x:v>平</x:v>
      </x:c>
      <x:c r="L153" s="7" t="str"/>
    </x:row>
    <x:row r="154">
      <x:c r="A154" s="5" t="str">
        <x:v>伺</x:v>
      </x:c>
      <x:c r="B154" s="6" t="str">
        <x:v>去</x:v>
      </x:c>
      <x:c r="C154" s="6" t="str">
        <x:f>IF(B154="","Needs decision","Ready")</x:f>
        <x:v>Ready</x:v>
      </x:c>
      <x:c r="D154" s="6" t="str">
        <x:v>平/去</x:v>
      </x:c>
      <x:c r="E154" s="6" t="str">
        <x:v>si [sjɨ] (平); siH [sjɨh] (去)</x:v>
      </x:c>
      <x:c r="F154" s="6" t="str">
        <x:v>去聲四寘</x:v>
      </x:c>
      <x:c r="G154" s="6" t="str">
        <x:v>Pingshui main list, Wikisource-derived DOCX</x:v>
      </x:c>
      <x:c r="H154" s="6" t="str">
        <x:v>2</x:v>
      </x:c>
      <x:c r="I154" s="6" t="str">
        <x:v>Tang 300 gap; frequency 1; ambiguous in Xun Gong; User workbook edit 2026-09-03</x:v>
      </x:c>
      <x:c r="J154" s="6" t="str">
        <x:f>IF(B154="","",IF(AND(ISNUMBER(SEARCH("平",B154)),OR(ISNUMBER(SEARCH("上",B154)),ISNUMBER(SEARCH("去",B154)),ISNUMBER(SEARCH("入",B154)))),"Ambiguous",IF(ISNUMBER(SEARCH("平",B154)),"平","仄")))</x:f>
        <x:v>仄</x:v>
      </x:c>
      <x:c r="K154" s="6" t="str">
        <x:f>IF(D154="","",IF(AND(ISNUMBER(SEARCH("平",D154)),OR(ISNUMBER(SEARCH("上",D154)),ISNUMBER(SEARCH("去",D154)),ISNUMBER(SEARCH("入",D154)))),"Ambiguous",IF(ISNUMBER(SEARCH("平",D154)),"平","仄")))</x:f>
        <x:v>Ambiguous</x:v>
      </x:c>
      <x:c r="L154" s="7" t="str">
        <x:v>manual user correction</x:v>
      </x:c>
    </x:row>
    <x:row r="155">
      <x:c r="A155" s="5" t="str">
        <x:v>似</x:v>
      </x:c>
      <x:c r="B155" s="6" t="str">
        <x:v>上</x:v>
      </x:c>
      <x:c r="C155" s="6" t="str">
        <x:f>IF(B155="","Needs decision","Ready")</x:f>
        <x:v>Ready</x:v>
      </x:c>
      <x:c r="D155" s="6" t="str">
        <x:v>上</x:v>
      </x:c>
      <x:c r="E155" s="6" t="str">
        <x:v>ziX (B)</x:v>
      </x:c>
      <x:c r="F155" s="6" t="str">
        <x:v>上聲四紙</x:v>
      </x:c>
      <x:c r="G155" s="6" t="str">
        <x:v>Pingshui main list, Wikisource-derived DOCX</x:v>
      </x:c>
      <x:c r="H155" s="6" t="str">
        <x:v>1</x:v>
      </x:c>
      <x:c r="I155" s="6" t="str"/>
      <x:c r="J155" s="6" t="str">
        <x:f>IF(B155="","",IF(AND(ISNUMBER(SEARCH("平",B155)),OR(ISNUMBER(SEARCH("上",B155)),ISNUMBER(SEARCH("去",B155)),ISNUMBER(SEARCH("入",B155)))),"Ambiguous",IF(ISNUMBER(SEARCH("平",B155)),"平","仄")))</x:f>
        <x:v>仄</x:v>
      </x:c>
      <x:c r="K155" s="6" t="str">
        <x:f>IF(D155="","",IF(AND(ISNUMBER(SEARCH("平",D155)),OR(ISNUMBER(SEARCH("上",D155)),ISNUMBER(SEARCH("去",D155)),ISNUMBER(SEARCH("入",D155)))),"Ambiguous",IF(ISNUMBER(SEARCH("平",D155)),"平","仄")))</x:f>
        <x:v>仄</x:v>
      </x:c>
      <x:c r="L155" s="7" t="str"/>
    </x:row>
    <x:row r="156">
      <x:c r="A156" s="5" t="str">
        <x:v>佃</x:v>
      </x:c>
      <x:c r="B156" s="6" t="str">
        <x:v>去</x:v>
      </x:c>
      <x:c r="C156" s="6" t="str">
        <x:f>IF(B156="","Needs decision","Ready")</x:f>
        <x:v>Ready</x:v>
      </x:c>
      <x:c r="D156" s="6" t="str">
        <x:v>去</x:v>
      </x:c>
      <x:c r="E156" s="6" t="str">
        <x:v>denH (C)</x:v>
      </x:c>
      <x:c r="F156" s="6" t="str">
        <x:v>下平聲一先; 去聲十七霰</x:v>
      </x:c>
      <x:c r="G156" s="6" t="str">
        <x:v>Pingshui main list, Wikisource-derived DOCX</x:v>
      </x:c>
      <x:c r="H156" s="6" t="str">
        <x:v>1</x:v>
      </x:c>
      <x:c r="I156" s="6" t="str"/>
      <x:c r="J156" s="6" t="str">
        <x:f>IF(B156="","",IF(AND(ISNUMBER(SEARCH("平",B156)),OR(ISNUMBER(SEARCH("上",B156)),ISNUMBER(SEARCH("去",B156)),ISNUMBER(SEARCH("入",B156)))),"Ambiguous",IF(ISNUMBER(SEARCH("平",B156)),"平","仄")))</x:f>
        <x:v>仄</x:v>
      </x:c>
      <x:c r="K156" s="6" t="str">
        <x:f>IF(D156="","",IF(AND(ISNUMBER(SEARCH("平",D156)),OR(ISNUMBER(SEARCH("上",D156)),ISNUMBER(SEARCH("去",D156)),ISNUMBER(SEARCH("入",D156)))),"Ambiguous",IF(ISNUMBER(SEARCH("平",D156)),"平","仄")))</x:f>
        <x:v>仄</x:v>
      </x:c>
      <x:c r="L156" s="7" t="str"/>
    </x:row>
    <x:row r="157">
      <x:c r="A157" s="5" t="str">
        <x:v>但</x:v>
      </x:c>
      <x:c r="B157" s="6" t="str">
        <x:v>上</x:v>
      </x:c>
      <x:c r="C157" s="6" t="str">
        <x:f>IF(B157="","Needs decision","Ready")</x:f>
        <x:v>Ready</x:v>
      </x:c>
      <x:c r="D157" s="6" t="str">
        <x:v>上</x:v>
      </x:c>
      <x:c r="E157" s="6" t="str">
        <x:v>danX (B)</x:v>
      </x:c>
      <x:c r="F157" s="6" t="str">
        <x:v>上聲十四旱</x:v>
      </x:c>
      <x:c r="G157" s="6" t="str">
        <x:v>Pingshui main list, Wikisource-derived DOCX</x:v>
      </x:c>
      <x:c r="H157" s="6" t="str">
        <x:v>1</x:v>
      </x:c>
      <x:c r="I157" s="6" t="str"/>
      <x:c r="J157" s="6" t="str">
        <x:f>IF(B157="","",IF(AND(ISNUMBER(SEARCH("平",B157)),OR(ISNUMBER(SEARCH("上",B157)),ISNUMBER(SEARCH("去",B157)),ISNUMBER(SEARCH("入",B157)))),"Ambiguous",IF(ISNUMBER(SEARCH("平",B157)),"平","仄")))</x:f>
        <x:v>仄</x:v>
      </x:c>
      <x:c r="K157" s="6" t="str">
        <x:f>IF(D157="","",IF(AND(ISNUMBER(SEARCH("平",D157)),OR(ISNUMBER(SEARCH("上",D157)),ISNUMBER(SEARCH("去",D157)),ISNUMBER(SEARCH("入",D157)))),"Ambiguous",IF(ISNUMBER(SEARCH("平",D157)),"平","仄")))</x:f>
        <x:v>仄</x:v>
      </x:c>
      <x:c r="L157" s="7" t="str"/>
    </x:row>
    <x:row r="158">
      <x:c r="A158" s="5" t="str">
        <x:v>佇</x:v>
      </x:c>
      <x:c r="B158" s="6" t="str">
        <x:v>上</x:v>
      </x:c>
      <x:c r="C158" s="6" t="str">
        <x:f>IF(B158="","Needs decision","Ready")</x:f>
        <x:v>Ready</x:v>
      </x:c>
      <x:c r="D158" s="6" t="str">
        <x:v>上</x:v>
      </x:c>
      <x:c r="E158" s="6" t="str">
        <x:v>drjoX [澄開三魚上] ɖjəʔ</x:v>
      </x:c>
      <x:c r="F158" s="6" t="str">
        <x:v>上聲六語</x:v>
      </x:c>
      <x:c r="G158" s="6" t="str">
        <x:v>Pingshui main list, Wikisource-derived DOCX</x:v>
      </x:c>
      <x:c r="H158" s="6" t="str">
        <x:v>1</x:v>
      </x:c>
      <x:c r="I158" s="6" t="str">
        <x:v>Targeted preliminary fill from Xun Gong; review if uncertain</x:v>
      </x:c>
      <x:c r="J158" s="6" t="str">
        <x:f>IF(B158="","",IF(AND(ISNUMBER(SEARCH("平",B158)),OR(ISNUMBER(SEARCH("上",B158)),ISNUMBER(SEARCH("去",B158)),ISNUMBER(SEARCH("入",B158)))),"Ambiguous",IF(ISNUMBER(SEARCH("平",B158)),"平","仄")))</x:f>
        <x:v>仄</x:v>
      </x:c>
      <x:c r="K158" s="6" t="str">
        <x:f>IF(D158="","",IF(AND(ISNUMBER(SEARCH("平",D158)),OR(ISNUMBER(SEARCH("上",D158)),ISNUMBER(SEARCH("去",D158)),ISNUMBER(SEARCH("入",D158)))),"Ambiguous",IF(ISNUMBER(SEARCH("平",D158)),"平","仄")))</x:f>
        <x:v>仄</x:v>
      </x:c>
      <x:c r="L158" s="7" t="str">
        <x:v>Xun Gong character-readings.csv</x:v>
      </x:c>
    </x:row>
    <x:row r="159">
      <x:c r="A159" s="5" t="str">
        <x:v>位</x:v>
      </x:c>
      <x:c r="B159" s="6" t="str">
        <x:v>去</x:v>
      </x:c>
      <x:c r="C159" s="6" t="str">
        <x:f>IF(B159="","Needs decision","Ready")</x:f>
        <x:v>Ready</x:v>
      </x:c>
      <x:c r="D159" s="6" t="str">
        <x:v>去</x:v>
      </x:c>
      <x:c r="E159" s="6" t="str">
        <x:v>hwijH (C)</x:v>
      </x:c>
      <x:c r="F159" s="6" t="str">
        <x:v>去聲四寘</x:v>
      </x:c>
      <x:c r="G159" s="6" t="str">
        <x:v>Pingshui main list, Wikisource-derived DOCX</x:v>
      </x:c>
      <x:c r="H159" s="6" t="str">
        <x:v>1</x:v>
      </x:c>
      <x:c r="I159" s="6" t="str"/>
      <x:c r="J159" s="6" t="str">
        <x:f>IF(B159="","",IF(AND(ISNUMBER(SEARCH("平",B159)),OR(ISNUMBER(SEARCH("上",B159)),ISNUMBER(SEARCH("去",B159)),ISNUMBER(SEARCH("入",B159)))),"Ambiguous",IF(ISNUMBER(SEARCH("平",B159)),"平","仄")))</x:f>
        <x:v>仄</x:v>
      </x:c>
      <x:c r="K159" s="6" t="str">
        <x:f>IF(D159="","",IF(AND(ISNUMBER(SEARCH("平",D159)),OR(ISNUMBER(SEARCH("上",D159)),ISNUMBER(SEARCH("去",D159)),ISNUMBER(SEARCH("入",D159)))),"Ambiguous",IF(ISNUMBER(SEARCH("平",D159)),"平","仄")))</x:f>
        <x:v>仄</x:v>
      </x:c>
      <x:c r="L159" s="7" t="str"/>
    </x:row>
    <x:row r="160">
      <x:c r="A160" s="5" t="str">
        <x:v>低</x:v>
      </x:c>
      <x:c r="B160" s="6" t="str">
        <x:v>平</x:v>
      </x:c>
      <x:c r="C160" s="6" t="str">
        <x:f>IF(B160="","Needs decision","Ready")</x:f>
        <x:v>Ready</x:v>
      </x:c>
      <x:c r="D160" s="6" t="str">
        <x:v>平</x:v>
      </x:c>
      <x:c r="E160" s="6" t="str"/>
      <x:c r="F160" s="6" t="str">
        <x:v>上平聲八齊</x:v>
      </x:c>
      <x:c r="G160" s="6" t="str">
        <x:v>Pingshui main list, Wikisource-derived DOCX</x:v>
      </x:c>
      <x:c r="H160" s="6" t="str"/>
      <x:c r="I160" s="6" t="str">
        <x:v>Manual user correction/addition</x:v>
      </x:c>
      <x:c r="J160" s="6" t="str">
        <x:f>IF(B160="","",IF(AND(ISNUMBER(SEARCH("平",B160)),OR(ISNUMBER(SEARCH("上",B160)),ISNUMBER(SEARCH("去",B160)),ISNUMBER(SEARCH("入",B160)))),"Ambiguous",IF(ISNUMBER(SEARCH("平",B160)),"平","仄")))</x:f>
        <x:v>平</x:v>
      </x:c>
      <x:c r="K160" s="6" t="str">
        <x:f>IF(D160="","",IF(AND(ISNUMBER(SEARCH("平",D160)),OR(ISNUMBER(SEARCH("上",D160)),ISNUMBER(SEARCH("去",D160)),ISNUMBER(SEARCH("入",D160)))),"Ambiguous",IF(ISNUMBER(SEARCH("平",D160)),"平","仄")))</x:f>
        <x:v>平</x:v>
      </x:c>
      <x:c r="L160" s="7" t="str">
        <x:v>manual user correction</x:v>
      </x:c>
    </x:row>
    <x:row r="161">
      <x:c r="A161" s="5" t="str">
        <x:v>住</x:v>
      </x:c>
      <x:c r="B161" s="6" t="str">
        <x:v>去</x:v>
      </x:c>
      <x:c r="C161" s="6" t="str">
        <x:f>IF(B161="","Needs decision","Ready")</x:f>
        <x:v>Ready</x:v>
      </x:c>
      <x:c r="D161" s="6" t="str">
        <x:v>去</x:v>
      </x:c>
      <x:c r="E161" s="6" t="str">
        <x:v>drjuH (C)</x:v>
      </x:c>
      <x:c r="F161" s="6" t="str">
        <x:v>去聲七遇</x:v>
      </x:c>
      <x:c r="G161" s="6" t="str">
        <x:v>Pingshui main list, Wikisource-derived DOCX</x:v>
      </x:c>
      <x:c r="H161" s="6" t="str">
        <x:v>1</x:v>
      </x:c>
      <x:c r="I161" s="6" t="str"/>
      <x:c r="J161" s="6" t="str">
        <x:f>IF(B161="","",IF(AND(ISNUMBER(SEARCH("平",B161)),OR(ISNUMBER(SEARCH("上",B161)),ISNUMBER(SEARCH("去",B161)),ISNUMBER(SEARCH("入",B161)))),"Ambiguous",IF(ISNUMBER(SEARCH("平",B161)),"平","仄")))</x:f>
        <x:v>仄</x:v>
      </x:c>
      <x:c r="K161" s="6" t="str">
        <x:f>IF(D161="","",IF(AND(ISNUMBER(SEARCH("平",D161)),OR(ISNUMBER(SEARCH("上",D161)),ISNUMBER(SEARCH("去",D161)),ISNUMBER(SEARCH("入",D161)))),"Ambiguous",IF(ISNUMBER(SEARCH("平",D161)),"平","仄")))</x:f>
        <x:v>仄</x:v>
      </x:c>
      <x:c r="L161" s="7" t="str"/>
    </x:row>
    <x:row r="162">
      <x:c r="A162" s="5" t="str">
        <x:v>佐</x:v>
      </x:c>
      <x:c r="B162" s="6" t="str">
        <x:v>去</x:v>
      </x:c>
      <x:c r="C162" s="6" t="str">
        <x:f>IF(B162="","Needs decision","Ready")</x:f>
        <x:v>Ready</x:v>
      </x:c>
      <x:c r="D162" s="6" t="str">
        <x:v>去</x:v>
      </x:c>
      <x:c r="E162" s="6" t="str">
        <x:v>tsaH (C)</x:v>
      </x:c>
      <x:c r="F162" s="6" t="str">
        <x:v>去聲二十一箇</x:v>
      </x:c>
      <x:c r="G162" s="6" t="str">
        <x:v>Pingshui main list, Wikisource-derived DOCX</x:v>
      </x:c>
      <x:c r="H162" s="6" t="str">
        <x:v>1</x:v>
      </x:c>
      <x:c r="I162" s="6" t="str"/>
      <x:c r="J162" s="6" t="str">
        <x:f>IF(B162="","",IF(AND(ISNUMBER(SEARCH("平",B162)),OR(ISNUMBER(SEARCH("上",B162)),ISNUMBER(SEARCH("去",B162)),ISNUMBER(SEARCH("入",B162)))),"Ambiguous",IF(ISNUMBER(SEARCH("平",B162)),"平","仄")))</x:f>
        <x:v>仄</x:v>
      </x:c>
      <x:c r="K162" s="6" t="str">
        <x:f>IF(D162="","",IF(AND(ISNUMBER(SEARCH("平",D162)),OR(ISNUMBER(SEARCH("上",D162)),ISNUMBER(SEARCH("去",D162)),ISNUMBER(SEARCH("入",D162)))),"Ambiguous",IF(ISNUMBER(SEARCH("平",D162)),"平","仄")))</x:f>
        <x:v>仄</x:v>
      </x:c>
      <x:c r="L162" s="7" t="str"/>
    </x:row>
    <x:row r="163">
      <x:c r="A163" s="5" t="str">
        <x:v>佑</x:v>
      </x:c>
      <x:c r="B163" s="6" t="str">
        <x:v>去</x:v>
      </x:c>
      <x:c r="C163" s="6" t="str">
        <x:f>IF(B163="","Needs decision","Ready")</x:f>
        <x:v>Ready</x:v>
      </x:c>
      <x:c r="D163" s="6" t="str">
        <x:v>去</x:v>
      </x:c>
      <x:c r="E163" s="6" t="str">
        <x:v>hjuwH (C)</x:v>
      </x:c>
      <x:c r="F163" s="6" t="str">
        <x:v>去聲二十六宥</x:v>
      </x:c>
      <x:c r="G163" s="6" t="str">
        <x:v>Pingshui main list, Wikisource-derived DOCX</x:v>
      </x:c>
      <x:c r="H163" s="6" t="str">
        <x:v>1</x:v>
      </x:c>
      <x:c r="I163" s="6" t="str"/>
      <x:c r="J163" s="6" t="str">
        <x:f>IF(B163="","",IF(AND(ISNUMBER(SEARCH("平",B163)),OR(ISNUMBER(SEARCH("上",B163)),ISNUMBER(SEARCH("去",B163)),ISNUMBER(SEARCH("入",B163)))),"Ambiguous",IF(ISNUMBER(SEARCH("平",B163)),"平","仄")))</x:f>
        <x:v>仄</x:v>
      </x:c>
      <x:c r="K163" s="6" t="str">
        <x:f>IF(D163="","",IF(AND(ISNUMBER(SEARCH("平",D163)),OR(ISNUMBER(SEARCH("上",D163)),ISNUMBER(SEARCH("去",D163)),ISNUMBER(SEARCH("入",D163)))),"Ambiguous",IF(ISNUMBER(SEARCH("平",D163)),"平","仄")))</x:f>
        <x:v>仄</x:v>
      </x:c>
      <x:c r="L163" s="7" t="str"/>
    </x:row>
    <x:row r="164">
      <x:c r="A164" s="5" t="str">
        <x:v>何</x:v>
      </x:c>
      <x:c r="B164" s="6" t="str">
        <x:v>平</x:v>
      </x:c>
      <x:c r="C164" s="6" t="str">
        <x:f>IF(B164="","Needs decision","Ready")</x:f>
        <x:v>Ready</x:v>
      </x:c>
      <x:c r="D164" s="6" t="str">
        <x:v>平</x:v>
      </x:c>
      <x:c r="E164" s="6" t="str">
        <x:v>ha (A)</x:v>
      </x:c>
      <x:c r="F164" s="6" t="str">
        <x:v>下平聲五歌</x:v>
      </x:c>
      <x:c r="G164" s="6" t="str">
        <x:v>Pingshui main list, Wikisource-derived DOCX</x:v>
      </x:c>
      <x:c r="H164" s="6" t="str">
        <x:v>1</x:v>
      </x:c>
      <x:c r="I164" s="6" t="str"/>
      <x:c r="J164" s="6" t="str">
        <x:f>IF(B164="","",IF(AND(ISNUMBER(SEARCH("平",B164)),OR(ISNUMBER(SEARCH("上",B164)),ISNUMBER(SEARCH("去",B164)),ISNUMBER(SEARCH("入",B164)))),"Ambiguous",IF(ISNUMBER(SEARCH("平",B164)),"平","仄")))</x:f>
        <x:v>平</x:v>
      </x:c>
      <x:c r="K164" s="6" t="str">
        <x:f>IF(D164="","",IF(AND(ISNUMBER(SEARCH("平",D164)),OR(ISNUMBER(SEARCH("上",D164)),ISNUMBER(SEARCH("去",D164)),ISNUMBER(SEARCH("入",D164)))),"Ambiguous",IF(ISNUMBER(SEARCH("平",D164)),"平","仄")))</x:f>
        <x:v>平</x:v>
      </x:c>
      <x:c r="L164" s="7" t="str"/>
    </x:row>
    <x:row r="165">
      <x:c r="A165" s="5" t="str">
        <x:v>佗</x:v>
      </x:c>
      <x:c r="B165" s="6" t="str">
        <x:v>平</x:v>
      </x:c>
      <x:c r="C165" s="6" t="str">
        <x:f>IF(B165="","Needs decision","Ready")</x:f>
        <x:v>Ready</x:v>
      </x:c>
      <x:c r="D165" s="6" t="str">
        <x:v>平</x:v>
      </x:c>
      <x:c r="E165" s="6" t="str">
        <x:v>tha (A)</x:v>
      </x:c>
      <x:c r="F165" s="6" t="str">
        <x:v>下平聲五歌</x:v>
      </x:c>
      <x:c r="G165" s="6" t="str">
        <x:v>Pingshui main list, Wikisource-derived DOCX</x:v>
      </x:c>
      <x:c r="H165" s="6" t="str">
        <x:v>1</x:v>
      </x:c>
      <x:c r="I165" s="6" t="str"/>
      <x:c r="J165" s="6" t="str">
        <x:f>IF(B165="","",IF(AND(ISNUMBER(SEARCH("平",B165)),OR(ISNUMBER(SEARCH("上",B165)),ISNUMBER(SEARCH("去",B165)),ISNUMBER(SEARCH("入",B165)))),"Ambiguous",IF(ISNUMBER(SEARCH("平",B165)),"平","仄")))</x:f>
        <x:v>平</x:v>
      </x:c>
      <x:c r="K165" s="6" t="str">
        <x:f>IF(D165="","",IF(AND(ISNUMBER(SEARCH("平",D165)),OR(ISNUMBER(SEARCH("上",D165)),ISNUMBER(SEARCH("去",D165)),ISNUMBER(SEARCH("入",D165)))),"Ambiguous",IF(ISNUMBER(SEARCH("平",D165)),"平","仄")))</x:f>
        <x:v>平</x:v>
      </x:c>
      <x:c r="L165" s="7" t="str"/>
    </x:row>
    <x:row r="166">
      <x:c r="A166" s="5" t="str">
        <x:v>余</x:v>
      </x:c>
      <x:c r="B166" s="6" t="str">
        <x:v>平</x:v>
      </x:c>
      <x:c r="C166" s="6" t="str">
        <x:f>IF(B166="","Needs decision","Ready")</x:f>
        <x:v>Ready</x:v>
      </x:c>
      <x:c r="D166" s="6" t="str">
        <x:v>平</x:v>
      </x:c>
      <x:c r="E166" s="6" t="str">
        <x:v>yo (A)</x:v>
      </x:c>
      <x:c r="F166" s="6" t="str">
        <x:v>上平聲六魚</x:v>
      </x:c>
      <x:c r="G166" s="6" t="str">
        <x:v>Pingshui main list, Wikisource-derived DOCX</x:v>
      </x:c>
      <x:c r="H166" s="6" t="str">
        <x:v>1</x:v>
      </x:c>
      <x:c r="I166" s="6" t="str"/>
      <x:c r="J166" s="6" t="str">
        <x:f>IF(B166="","",IF(AND(ISNUMBER(SEARCH("平",B166)),OR(ISNUMBER(SEARCH("上",B166)),ISNUMBER(SEARCH("去",B166)),ISNUMBER(SEARCH("入",B166)))),"Ambiguous",IF(ISNUMBER(SEARCH("平",B166)),"平","仄")))</x:f>
        <x:v>平</x:v>
      </x:c>
      <x:c r="K166" s="6" t="str">
        <x:f>IF(D166="","",IF(AND(ISNUMBER(SEARCH("平",D166)),OR(ISNUMBER(SEARCH("上",D166)),ISNUMBER(SEARCH("去",D166)),ISNUMBER(SEARCH("入",D166)))),"Ambiguous",IF(ISNUMBER(SEARCH("平",D166)),"平","仄")))</x:f>
        <x:v>平</x:v>
      </x:c>
      <x:c r="L166" s="7" t="str"/>
    </x:row>
    <x:row r="167">
      <x:c r="A167" s="5" t="str">
        <x:v>佚</x:v>
      </x:c>
      <x:c r="B167" s="6" t="str">
        <x:v>入</x:v>
      </x:c>
      <x:c r="C167" s="6" t="str">
        <x:f>IF(B167="","Needs decision","Ready")</x:f>
        <x:v>Ready</x:v>
      </x:c>
      <x:c r="D167" s="6" t="str">
        <x:v>入</x:v>
      </x:c>
      <x:c r="E167" s="6" t="str"/>
      <x:c r="F167" s="6" t="str">
        <x:v>入聲四質</x:v>
      </x:c>
      <x:c r="G167" s="6" t="str">
        <x:v>Pingshui main list, Wikisource-derived DOCX</x:v>
      </x:c>
      <x:c r="H167" s="6" t="str"/>
      <x:c r="I167" s="6" t="str">
        <x:v>Manual user correction/addition</x:v>
      </x:c>
      <x:c r="J167" s="6" t="str">
        <x:f>IF(B167="","",IF(AND(ISNUMBER(SEARCH("平",B167)),OR(ISNUMBER(SEARCH("上",B167)),ISNUMBER(SEARCH("去",B167)),ISNUMBER(SEARCH("入",B167)))),"Ambiguous",IF(ISNUMBER(SEARCH("平",B167)),"平","仄")))</x:f>
        <x:v>仄</x:v>
      </x:c>
      <x:c r="K167" s="6" t="str">
        <x:f>IF(D167="","",IF(AND(ISNUMBER(SEARCH("平",D167)),OR(ISNUMBER(SEARCH("上",D167)),ISNUMBER(SEARCH("去",D167)),ISNUMBER(SEARCH("入",D167)))),"Ambiguous",IF(ISNUMBER(SEARCH("平",D167)),"平","仄")))</x:f>
        <x:v>仄</x:v>
      </x:c>
      <x:c r="L167" s="7" t="str">
        <x:v>manual user correction</x:v>
      </x:c>
    </x:row>
    <x:row r="168">
      <x:c r="A168" s="5" t="str">
        <x:v>佛</x:v>
      </x:c>
      <x:c r="B168" s="6" t="str">
        <x:v>入</x:v>
      </x:c>
      <x:c r="C168" s="6" t="str">
        <x:f>IF(B168="","Needs decision","Ready")</x:f>
        <x:v>Ready</x:v>
      </x:c>
      <x:c r="D168" s="6" t="str">
        <x:v>入</x:v>
      </x:c>
      <x:c r="E168" s="6" t="str">
        <x:v>bjut (D)</x:v>
      </x:c>
      <x:c r="F168" s="6" t="str">
        <x:v>入聲五物</x:v>
      </x:c>
      <x:c r="G168" s="6" t="str">
        <x:v>Pingshui main list, Wikisource-derived DOCX</x:v>
      </x:c>
      <x:c r="H168" s="6" t="str">
        <x:v>1</x:v>
      </x:c>
      <x:c r="I168" s="6" t="str"/>
      <x:c r="J168" s="6" t="str">
        <x:f>IF(B168="","",IF(AND(ISNUMBER(SEARCH("平",B168)),OR(ISNUMBER(SEARCH("上",B168)),ISNUMBER(SEARCH("去",B168)),ISNUMBER(SEARCH("入",B168)))),"Ambiguous",IF(ISNUMBER(SEARCH("平",B168)),"平","仄")))</x:f>
        <x:v>仄</x:v>
      </x:c>
      <x:c r="K168" s="6" t="str">
        <x:f>IF(D168="","",IF(AND(ISNUMBER(SEARCH("平",D168)),OR(ISNUMBER(SEARCH("上",D168)),ISNUMBER(SEARCH("去",D168)),ISNUMBER(SEARCH("入",D168)))),"Ambiguous",IF(ISNUMBER(SEARCH("平",D168)),"平","仄")))</x:f>
        <x:v>仄</x:v>
      </x:c>
      <x:c r="L168" s="7" t="str"/>
    </x:row>
    <x:row r="169">
      <x:c r="A169" s="5" t="str">
        <x:v>作</x:v>
      </x:c>
      <x:c r="B169" s="6" t="str">
        <x:v>入</x:v>
      </x:c>
      <x:c r="C169" s="6" t="str">
        <x:f>IF(B169="","Needs decision","Ready")</x:f>
        <x:v>Ready</x:v>
      </x:c>
      <x:c r="D169" s="6" t="str">
        <x:v>去/入</x:v>
      </x:c>
      <x:c r="E169" s="6" t="str">
        <x:v>tsak (D); tsuH (C)</x:v>
      </x:c>
      <x:c r="F169" s="6" t="str">
        <x:v>去聲七遇; 去聲二十一箇; 入聲十藥</x:v>
      </x:c>
      <x:c r="G169" s="6" t="str">
        <x:v>Pingshui main list, Wikisource-derived DOCX</x:v>
      </x:c>
      <x:c r="H169" s="6" t="str">
        <x:v>2</x:v>
      </x:c>
      <x:c r="I169" s="6" t="str">
        <x:v>User workbook edit 2026-09-03</x:v>
      </x:c>
      <x:c r="J169" s="6" t="str">
        <x:f>IF(B169="","",IF(AND(ISNUMBER(SEARCH("平",B169)),OR(ISNUMBER(SEARCH("上",B169)),ISNUMBER(SEARCH("去",B169)),ISNUMBER(SEARCH("入",B169)))),"Ambiguous",IF(ISNUMBER(SEARCH("平",B169)),"平","仄")))</x:f>
        <x:v>仄</x:v>
      </x:c>
      <x:c r="K169" s="6" t="str">
        <x:f>IF(D169="","",IF(AND(ISNUMBER(SEARCH("平",D169)),OR(ISNUMBER(SEARCH("上",D169)),ISNUMBER(SEARCH("去",D169)),ISNUMBER(SEARCH("入",D169)))),"Ambiguous",IF(ISNUMBER(SEARCH("平",D169)),"平","仄")))</x:f>
        <x:v>仄</x:v>
      </x:c>
      <x:c r="L169" s="7" t="str">
        <x:v>manual user correction</x:v>
      </x:c>
    </x:row>
    <x:row r="170">
      <x:c r="A170" s="5" t="str">
        <x:v>佞</x:v>
      </x:c>
      <x:c r="B170" s="6" t="str">
        <x:v>去</x:v>
      </x:c>
      <x:c r="C170" s="6" t="str">
        <x:f>IF(B170="","Needs decision","Ready")</x:f>
        <x:v>Ready</x:v>
      </x:c>
      <x:c r="D170" s="6" t="str">
        <x:v>去</x:v>
      </x:c>
      <x:c r="E170" s="6" t="str">
        <x:v>nengH (C)</x:v>
      </x:c>
      <x:c r="F170" s="6" t="str"/>
      <x:c r="G170" s="6" t="str"/>
      <x:c r="H170" s="6" t="str">
        <x:v>1</x:v>
      </x:c>
      <x:c r="I170" s="6" t="str"/>
      <x:c r="J170" s="6" t="str">
        <x:f>IF(B170="","",IF(AND(ISNUMBER(SEARCH("平",B170)),OR(ISNUMBER(SEARCH("上",B170)),ISNUMBER(SEARCH("去",B170)),ISNUMBER(SEARCH("入",B170)))),"Ambiguous",IF(ISNUMBER(SEARCH("平",B170)),"平","仄")))</x:f>
        <x:v>仄</x:v>
      </x:c>
      <x:c r="K170" s="6" t="str">
        <x:f>IF(D170="","",IF(AND(ISNUMBER(SEARCH("平",D170)),OR(ISNUMBER(SEARCH("上",D170)),ISNUMBER(SEARCH("去",D170)),ISNUMBER(SEARCH("入",D170)))),"Ambiguous",IF(ISNUMBER(SEARCH("平",D170)),"平","仄")))</x:f>
        <x:v>仄</x:v>
      </x:c>
      <x:c r="L170" s="7" t="str"/>
    </x:row>
    <x:row r="171">
      <x:c r="A171" s="5" t="str">
        <x:v>佩</x:v>
      </x:c>
      <x:c r="B171" s="6" t="str">
        <x:v>去</x:v>
      </x:c>
      <x:c r="C171" s="6" t="str">
        <x:f>IF(B171="","Needs decision","Ready")</x:f>
        <x:v>Ready</x:v>
      </x:c>
      <x:c r="D171" s="6" t="str">
        <x:v>去</x:v>
      </x:c>
      <x:c r="E171" s="6" t="str">
        <x:v>bwojH (C)</x:v>
      </x:c>
      <x:c r="F171" s="6" t="str">
        <x:v>去聲十一隊</x:v>
      </x:c>
      <x:c r="G171" s="6" t="str">
        <x:v>Pingshui main list, Wikisource-derived DOCX</x:v>
      </x:c>
      <x:c r="H171" s="6" t="str">
        <x:v>1</x:v>
      </x:c>
      <x:c r="I171" s="6" t="str"/>
      <x:c r="J171" s="6" t="str">
        <x:f>IF(B171="","",IF(AND(ISNUMBER(SEARCH("平",B171)),OR(ISNUMBER(SEARCH("上",B171)),ISNUMBER(SEARCH("去",B171)),ISNUMBER(SEARCH("入",B171)))),"Ambiguous",IF(ISNUMBER(SEARCH("平",B171)),"平","仄")))</x:f>
        <x:v>仄</x:v>
      </x:c>
      <x:c r="K171" s="6" t="str">
        <x:f>IF(D171="","",IF(AND(ISNUMBER(SEARCH("平",D171)),OR(ISNUMBER(SEARCH("上",D171)),ISNUMBER(SEARCH("去",D171)),ISNUMBER(SEARCH("入",D171)))),"Ambiguous",IF(ISNUMBER(SEARCH("平",D171)),"平","仄")))</x:f>
        <x:v>仄</x:v>
      </x:c>
      <x:c r="L171" s="7" t="str"/>
    </x:row>
    <x:row r="172">
      <x:c r="A172" s="5" t="str">
        <x:v>佳</x:v>
      </x:c>
      <x:c r="B172" s="6" t="str">
        <x:v>平</x:v>
      </x:c>
      <x:c r="C172" s="6" t="str">
        <x:f>IF(B172="","Needs decision","Ready")</x:f>
        <x:v>Ready</x:v>
      </x:c>
      <x:c r="D172" s="6" t="str">
        <x:v>平</x:v>
      </x:c>
      <x:c r="E172" s="6" t="str">
        <x:v>kea (A)</x:v>
      </x:c>
      <x:c r="F172" s="6" t="str">
        <x:v>上平聲四支; 上平聲九佳</x:v>
      </x:c>
      <x:c r="G172" s="6" t="str">
        <x:v>Pingshui main list, Wikisource-derived DOCX</x:v>
      </x:c>
      <x:c r="H172" s="6" t="str">
        <x:v>1</x:v>
      </x:c>
      <x:c r="I172" s="6" t="str"/>
      <x:c r="J172" s="6" t="str">
        <x:f>IF(B172="","",IF(AND(ISNUMBER(SEARCH("平",B172)),OR(ISNUMBER(SEARCH("上",B172)),ISNUMBER(SEARCH("去",B172)),ISNUMBER(SEARCH("入",B172)))),"Ambiguous",IF(ISNUMBER(SEARCH("平",B172)),"平","仄")))</x:f>
        <x:v>平</x:v>
      </x:c>
      <x:c r="K172" s="6" t="str">
        <x:f>IF(D172="","",IF(AND(ISNUMBER(SEARCH("平",D172)),OR(ISNUMBER(SEARCH("上",D172)),ISNUMBER(SEARCH("去",D172)),ISNUMBER(SEARCH("入",D172)))),"Ambiguous",IF(ISNUMBER(SEARCH("平",D172)),"平","仄")))</x:f>
        <x:v>平</x:v>
      </x:c>
      <x:c r="L172" s="7" t="str"/>
    </x:row>
    <x:row r="173">
      <x:c r="A173" s="5" t="str">
        <x:v>佶</x:v>
      </x:c>
      <x:c r="B173" s="6" t="str">
        <x:v>入</x:v>
      </x:c>
      <x:c r="C173" s="6" t="str">
        <x:f>IF(B173="","Needs decision","Ready")</x:f>
        <x:v>Ready</x:v>
      </x:c>
      <x:c r="D173" s="6" t="str">
        <x:v>入</x:v>
      </x:c>
      <x:c r="E173" s="6" t="str">
        <x:v>git (D)</x:v>
      </x:c>
      <x:c r="F173" s="6" t="str">
        <x:v>入聲四質</x:v>
      </x:c>
      <x:c r="G173" s="6" t="str">
        <x:v>Pingshui main list, Wikisource-derived DOCX</x:v>
      </x:c>
      <x:c r="H173" s="6" t="str">
        <x:v>1</x:v>
      </x:c>
      <x:c r="I173" s="6" t="str"/>
      <x:c r="J173" s="6" t="str">
        <x:f>IF(B173="","",IF(AND(ISNUMBER(SEARCH("平",B173)),OR(ISNUMBER(SEARCH("上",B173)),ISNUMBER(SEARCH("去",B173)),ISNUMBER(SEARCH("入",B173)))),"Ambiguous",IF(ISNUMBER(SEARCH("平",B173)),"平","仄")))</x:f>
        <x:v>仄</x:v>
      </x:c>
      <x:c r="K173" s="6" t="str">
        <x:f>IF(D173="","",IF(AND(ISNUMBER(SEARCH("平",D173)),OR(ISNUMBER(SEARCH("上",D173)),ISNUMBER(SEARCH("去",D173)),ISNUMBER(SEARCH("入",D173)))),"Ambiguous",IF(ISNUMBER(SEARCH("平",D173)),"平","仄")))</x:f>
        <x:v>仄</x:v>
      </x:c>
      <x:c r="L173" s="7" t="str"/>
    </x:row>
    <x:row r="174">
      <x:c r="A174" s="5" t="str">
        <x:v>佾</x:v>
      </x:c>
      <x:c r="B174" s="6" t="str">
        <x:v>入</x:v>
      </x:c>
      <x:c r="C174" s="6" t="str">
        <x:f>IF(B174="","Needs decision","Ready")</x:f>
        <x:v>Ready</x:v>
      </x:c>
      <x:c r="D174" s="6" t="str">
        <x:v>入</x:v>
      </x:c>
      <x:c r="E174" s="6" t="str">
        <x:v>yit (D)</x:v>
      </x:c>
      <x:c r="F174" s="6" t="str">
        <x:v>入聲四質</x:v>
      </x:c>
      <x:c r="G174" s="6" t="str">
        <x:v>Pingshui main list, Wikisource-derived DOCX</x:v>
      </x:c>
      <x:c r="H174" s="6" t="str">
        <x:v>1</x:v>
      </x:c>
      <x:c r="I174" s="6" t="str"/>
      <x:c r="J174" s="6" t="str">
        <x:f>IF(B174="","",IF(AND(ISNUMBER(SEARCH("平",B174)),OR(ISNUMBER(SEARCH("上",B174)),ISNUMBER(SEARCH("去",B174)),ISNUMBER(SEARCH("入",B174)))),"Ambiguous",IF(ISNUMBER(SEARCH("平",B174)),"平","仄")))</x:f>
        <x:v>仄</x:v>
      </x:c>
      <x:c r="K174" s="6" t="str">
        <x:f>IF(D174="","",IF(AND(ISNUMBER(SEARCH("平",D174)),OR(ISNUMBER(SEARCH("上",D174)),ISNUMBER(SEARCH("去",D174)),ISNUMBER(SEARCH("入",D174)))),"Ambiguous",IF(ISNUMBER(SEARCH("平",D174)),"平","仄")))</x:f>
        <x:v>仄</x:v>
      </x:c>
      <x:c r="L174" s="7" t="str"/>
    </x:row>
    <x:row r="175">
      <x:c r="A175" s="5" t="str">
        <x:v>使</x:v>
      </x:c>
      <x:c r="B175" s="6" t="str">
        <x:v>上</x:v>
      </x:c>
      <x:c r="C175" s="6" t="str">
        <x:f>IF(B175="","Needs decision","Ready")</x:f>
        <x:v>Ready</x:v>
      </x:c>
      <x:c r="D175" s="6" t="str">
        <x:v>上/去</x:v>
      </x:c>
      <x:c r="E175" s="6" t="str">
        <x:v>sriX (B); sriH (C)</x:v>
      </x:c>
      <x:c r="F175" s="6" t="str">
        <x:v>上聲四紙; 去聲四寘</x:v>
      </x:c>
      <x:c r="G175" s="6" t="str">
        <x:v>Pingshui main list, Wikisource-derived DOCX</x:v>
      </x:c>
      <x:c r="H175" s="6" t="str">
        <x:v>2</x:v>
      </x:c>
      <x:c r="I175" s="6" t="str">
        <x:v>User workbook edit 2026-09-03</x:v>
      </x:c>
      <x:c r="J175" s="6" t="str">
        <x:f>IF(B175="","",IF(AND(ISNUMBER(SEARCH("平",B175)),OR(ISNUMBER(SEARCH("上",B175)),ISNUMBER(SEARCH("去",B175)),ISNUMBER(SEARCH("入",B175)))),"Ambiguous",IF(ISNUMBER(SEARCH("平",B175)),"平","仄")))</x:f>
        <x:v>仄</x:v>
      </x:c>
      <x:c r="K175" s="6" t="str">
        <x:f>IF(D175="","",IF(AND(ISNUMBER(SEARCH("平",D175)),OR(ISNUMBER(SEARCH("上",D175)),ISNUMBER(SEARCH("去",D175)),ISNUMBER(SEARCH("入",D175)))),"Ambiguous",IF(ISNUMBER(SEARCH("平",D175)),"平","仄")))</x:f>
        <x:v>仄</x:v>
      </x:c>
      <x:c r="L175" s="7" t="str">
        <x:v>manual user correction</x:v>
      </x:c>
    </x:row>
    <x:row r="176">
      <x:c r="A176" s="5" t="str">
        <x:v>來</x:v>
      </x:c>
      <x:c r="B176" s="6" t="str">
        <x:v>平</x:v>
      </x:c>
      <x:c r="C176" s="6" t="str">
        <x:f>IF(B176="","Needs decision","Ready")</x:f>
        <x:v>Ready</x:v>
      </x:c>
      <x:c r="D176" s="6" t="str">
        <x:v>平</x:v>
      </x:c>
      <x:c r="E176" s="6" t="str">
        <x:v>loj (A)</x:v>
      </x:c>
      <x:c r="F176" s="6" t="str">
        <x:v>上平聲十灰</x:v>
      </x:c>
      <x:c r="G176" s="6" t="str">
        <x:v>Pingshui main list, Wikisource-derived DOCX</x:v>
      </x:c>
      <x:c r="H176" s="6" t="str">
        <x:v>1</x:v>
      </x:c>
      <x:c r="I176" s="6" t="str"/>
      <x:c r="J176" s="6" t="str">
        <x:f>IF(B176="","",IF(AND(ISNUMBER(SEARCH("平",B176)),OR(ISNUMBER(SEARCH("上",B176)),ISNUMBER(SEARCH("去",B176)),ISNUMBER(SEARCH("入",B176)))),"Ambiguous",IF(ISNUMBER(SEARCH("平",B176)),"平","仄")))</x:f>
        <x:v>平</x:v>
      </x:c>
      <x:c r="K176" s="6" t="str">
        <x:f>IF(D176="","",IF(AND(ISNUMBER(SEARCH("平",D176)),OR(ISNUMBER(SEARCH("上",D176)),ISNUMBER(SEARCH("去",D176)),ISNUMBER(SEARCH("入",D176)))),"Ambiguous",IF(ISNUMBER(SEARCH("平",D176)),"平","仄")))</x:f>
        <x:v>平</x:v>
      </x:c>
      <x:c r="L176" s="7" t="str"/>
    </x:row>
    <x:row r="177">
      <x:c r="A177" s="5" t="str">
        <x:v>侈</x:v>
      </x:c>
      <x:c r="B177" s="6" t="str">
        <x:v>上</x:v>
      </x:c>
      <x:c r="C177" s="6" t="str">
        <x:f>IF(B177="","Needs decision","Ready")</x:f>
        <x:v>Ready</x:v>
      </x:c>
      <x:c r="D177" s="6" t="str">
        <x:v>上</x:v>
      </x:c>
      <x:c r="E177" s="6" t="str">
        <x:v>tsyheX (B)</x:v>
      </x:c>
      <x:c r="F177" s="6" t="str">
        <x:v>上聲四紙</x:v>
      </x:c>
      <x:c r="G177" s="6" t="str">
        <x:v>Pingshui main list, Wikisource-derived DOCX</x:v>
      </x:c>
      <x:c r="H177" s="6" t="str">
        <x:v>1</x:v>
      </x:c>
      <x:c r="I177" s="6" t="str"/>
      <x:c r="J177" s="6" t="str">
        <x:f>IF(B177="","",IF(AND(ISNUMBER(SEARCH("平",B177)),OR(ISNUMBER(SEARCH("上",B177)),ISNUMBER(SEARCH("去",B177)),ISNUMBER(SEARCH("入",B177)))),"Ambiguous",IF(ISNUMBER(SEARCH("平",B177)),"平","仄")))</x:f>
        <x:v>仄</x:v>
      </x:c>
      <x:c r="K177" s="6" t="str">
        <x:f>IF(D177="","",IF(AND(ISNUMBER(SEARCH("平",D177)),OR(ISNUMBER(SEARCH("上",D177)),ISNUMBER(SEARCH("去",D177)),ISNUMBER(SEARCH("入",D177)))),"Ambiguous",IF(ISNUMBER(SEARCH("平",D177)),"平","仄")))</x:f>
        <x:v>仄</x:v>
      </x:c>
      <x:c r="L177" s="7" t="str"/>
    </x:row>
    <x:row r="178">
      <x:c r="A178" s="5" t="str">
        <x:v>例</x:v>
      </x:c>
      <x:c r="B178" s="6" t="str">
        <x:v>去</x:v>
      </x:c>
      <x:c r="C178" s="6" t="str">
        <x:f>IF(B178="","Needs decision","Ready")</x:f>
        <x:v>Ready</x:v>
      </x:c>
      <x:c r="D178" s="6" t="str">
        <x:v>去</x:v>
      </x:c>
      <x:c r="E178" s="6" t="str"/>
      <x:c r="F178" s="6" t="str">
        <x:v>去聲八霽</x:v>
      </x:c>
      <x:c r="G178" s="6" t="str">
        <x:v>Pingshui main list, Wikisource-derived DOCX</x:v>
      </x:c>
      <x:c r="H178" s="6" t="str"/>
      <x:c r="I178" s="6" t="str">
        <x:v>Manual user correction/addition</x:v>
      </x:c>
      <x:c r="J178" s="6" t="str">
        <x:f>IF(B178="","",IF(AND(ISNUMBER(SEARCH("平",B178)),OR(ISNUMBER(SEARCH("上",B178)),ISNUMBER(SEARCH("去",B178)),ISNUMBER(SEARCH("入",B178)))),"Ambiguous",IF(ISNUMBER(SEARCH("平",B178)),"平","仄")))</x:f>
        <x:v>仄</x:v>
      </x:c>
      <x:c r="K178" s="6" t="str">
        <x:f>IF(D178="","",IF(AND(ISNUMBER(SEARCH("平",D178)),OR(ISNUMBER(SEARCH("上",D178)),ISNUMBER(SEARCH("去",D178)),ISNUMBER(SEARCH("入",D178)))),"Ambiguous",IF(ISNUMBER(SEARCH("平",D178)),"平","仄")))</x:f>
        <x:v>仄</x:v>
      </x:c>
      <x:c r="L178" s="7" t="str">
        <x:v>manual user correction</x:v>
      </x:c>
    </x:row>
    <x:row r="179">
      <x:c r="A179" s="5" t="str">
        <x:v>侍</x:v>
      </x:c>
      <x:c r="B179" s="6" t="str">
        <x:v>去</x:v>
      </x:c>
      <x:c r="C179" s="6" t="str">
        <x:f>IF(B179="","Needs decision","Ready")</x:f>
        <x:v>Ready</x:v>
      </x:c>
      <x:c r="D179" s="6" t="str">
        <x:v>去</x:v>
      </x:c>
      <x:c r="E179" s="6" t="str">
        <x:v>dzyiH (C)</x:v>
      </x:c>
      <x:c r="F179" s="6" t="str">
        <x:v>去聲四寘</x:v>
      </x:c>
      <x:c r="G179" s="6" t="str">
        <x:v>Pingshui main list, Wikisource-derived DOCX</x:v>
      </x:c>
      <x:c r="H179" s="6" t="str">
        <x:v>1</x:v>
      </x:c>
      <x:c r="I179" s="6" t="str"/>
      <x:c r="J179" s="6" t="str">
        <x:f>IF(B179="","",IF(AND(ISNUMBER(SEARCH("平",B179)),OR(ISNUMBER(SEARCH("上",B179)),ISNUMBER(SEARCH("去",B179)),ISNUMBER(SEARCH("入",B179)))),"Ambiguous",IF(ISNUMBER(SEARCH("平",B179)),"平","仄")))</x:f>
        <x:v>仄</x:v>
      </x:c>
      <x:c r="K179" s="6" t="str">
        <x:f>IF(D179="","",IF(AND(ISNUMBER(SEARCH("平",D179)),OR(ISNUMBER(SEARCH("上",D179)),ISNUMBER(SEARCH("去",D179)),ISNUMBER(SEARCH("入",D179)))),"Ambiguous",IF(ISNUMBER(SEARCH("平",D179)),"平","仄")))</x:f>
        <x:v>仄</x:v>
      </x:c>
      <x:c r="L179" s="7" t="str"/>
    </x:row>
    <x:row r="180">
      <x:c r="A180" s="5" t="str">
        <x:v>侏</x:v>
      </x:c>
      <x:c r="B180" s="6" t="str">
        <x:v>平</x:v>
      </x:c>
      <x:c r="C180" s="6" t="str">
        <x:f>IF(B180="","Needs decision","Ready")</x:f>
        <x:v>Ready</x:v>
      </x:c>
      <x:c r="D180" s="6" t="str">
        <x:v>平</x:v>
      </x:c>
      <x:c r="E180" s="6" t="str">
        <x:v>tsyu (A)</x:v>
      </x:c>
      <x:c r="F180" s="6" t="str">
        <x:v>上平聲七虞</x:v>
      </x:c>
      <x:c r="G180" s="6" t="str">
        <x:v>Pingshui main list, Wikisource-derived DOCX</x:v>
      </x:c>
      <x:c r="H180" s="6" t="str">
        <x:v>1</x:v>
      </x:c>
      <x:c r="I180" s="6" t="str"/>
      <x:c r="J180" s="6" t="str">
        <x:f>IF(B180="","",IF(AND(ISNUMBER(SEARCH("平",B180)),OR(ISNUMBER(SEARCH("上",B180)),ISNUMBER(SEARCH("去",B180)),ISNUMBER(SEARCH("入",B180)))),"Ambiguous",IF(ISNUMBER(SEARCH("平",B180)),"平","仄")))</x:f>
        <x:v>平</x:v>
      </x:c>
      <x:c r="K180" s="6" t="str">
        <x:f>IF(D180="","",IF(AND(ISNUMBER(SEARCH("平",D180)),OR(ISNUMBER(SEARCH("上",D180)),ISNUMBER(SEARCH("去",D180)),ISNUMBER(SEARCH("入",D180)))),"Ambiguous",IF(ISNUMBER(SEARCH("平",D180)),"平","仄")))</x:f>
        <x:v>平</x:v>
      </x:c>
      <x:c r="L180" s="7" t="str"/>
    </x:row>
    <x:row r="181">
      <x:c r="A181" s="5" t="str">
        <x:v>侐</x:v>
      </x:c>
      <x:c r="B181" s="6" t="str"/>
      <x:c r="C181" s="6" t="str">
        <x:f>IF(B181="","Needs decision","Ready")</x:f>
        <x:v>Needs decision</x:v>
      </x:c>
      <x:c r="D181" s="6" t="str">
        <x:v>去/入</x:v>
      </x:c>
      <x:c r="E181" s="6" t="str">
        <x:v>xjwijH (C); xwik (D)</x:v>
      </x:c>
      <x:c r="F181" s="6" t="str">
        <x:v>去聲四寘; 入聲十三職</x:v>
      </x:c>
      <x:c r="G181" s="6" t="str">
        <x:v>Pingshui main list, Wikisource-derived DOCX</x:v>
      </x:c>
      <x:c r="H181" s="6" t="str">
        <x:v>2</x:v>
      </x:c>
      <x:c r="I181" s="6" t="str"/>
      <x:c r="J181" s="6" t="str">
        <x:f>IF(B181="","",IF(AND(ISNUMBER(SEARCH("平",B181)),OR(ISNUMBER(SEARCH("上",B181)),ISNUMBER(SEARCH("去",B181)),ISNUMBER(SEARCH("入",B181)))),"Ambiguous",IF(ISNUMBER(SEARCH("平",B181)),"平","仄")))</x:f>
      </x:c>
      <x:c r="K181" s="6" t="str">
        <x:f>IF(D181="","",IF(AND(ISNUMBER(SEARCH("平",D181)),OR(ISNUMBER(SEARCH("上",D181)),ISNUMBER(SEARCH("去",D181)),ISNUMBER(SEARCH("入",D181)))),"Ambiguous",IF(ISNUMBER(SEARCH("平",D181)),"平","仄")))</x:f>
        <x:v>仄</x:v>
      </x:c>
      <x:c r="L181" s="7" t="str"/>
    </x:row>
    <x:row r="182">
      <x:c r="A182" s="5" t="str">
        <x:v>供</x:v>
      </x:c>
      <x:c r="B182" s="6" t="str">
        <x:v>平</x:v>
      </x:c>
      <x:c r="C182" s="6" t="str">
        <x:f>IF(B182="","Needs decision","Ready")</x:f>
        <x:v>Ready</x:v>
      </x:c>
      <x:c r="D182" s="6" t="str">
        <x:v>平</x:v>
      </x:c>
      <x:c r="E182" s="6" t="str">
        <x:v>kjowng (A)</x:v>
      </x:c>
      <x:c r="F182" s="6" t="str">
        <x:v>上平聲二冬; 去聲二宋</x:v>
      </x:c>
      <x:c r="G182" s="6" t="str">
        <x:v>Pingshui main list, Wikisource-derived DOCX</x:v>
      </x:c>
      <x:c r="H182" s="6" t="str">
        <x:v>1</x:v>
      </x:c>
      <x:c r="I182" s="6" t="str"/>
      <x:c r="J182" s="6" t="str">
        <x:f>IF(B182="","",IF(AND(ISNUMBER(SEARCH("平",B182)),OR(ISNUMBER(SEARCH("上",B182)),ISNUMBER(SEARCH("去",B182)),ISNUMBER(SEARCH("入",B182)))),"Ambiguous",IF(ISNUMBER(SEARCH("平",B182)),"平","仄")))</x:f>
        <x:v>平</x:v>
      </x:c>
      <x:c r="K182" s="6" t="str">
        <x:f>IF(D182="","",IF(AND(ISNUMBER(SEARCH("平",D182)),OR(ISNUMBER(SEARCH("上",D182)),ISNUMBER(SEARCH("去",D182)),ISNUMBER(SEARCH("入",D182)))),"Ambiguous",IF(ISNUMBER(SEARCH("平",D182)),"平","仄")))</x:f>
        <x:v>平</x:v>
      </x:c>
      <x:c r="L182" s="7" t="str"/>
    </x:row>
    <x:row r="183">
      <x:c r="A183" s="5" t="str">
        <x:v>依</x:v>
      </x:c>
      <x:c r="B183" s="6" t="str">
        <x:v>平</x:v>
      </x:c>
      <x:c r="C183" s="6" t="str">
        <x:f>IF(B183="","Needs decision","Ready")</x:f>
        <x:v>Ready</x:v>
      </x:c>
      <x:c r="D183" s="6" t="str">
        <x:v>平</x:v>
      </x:c>
      <x:c r="E183" s="6" t="str">
        <x:v>'j+j (A)</x:v>
      </x:c>
      <x:c r="F183" s="6" t="str">
        <x:v>上平聲五微</x:v>
      </x:c>
      <x:c r="G183" s="6" t="str">
        <x:v>Pingshui main list, Wikisource-derived DOCX</x:v>
      </x:c>
      <x:c r="H183" s="6" t="str">
        <x:v>1</x:v>
      </x:c>
      <x:c r="I183" s="6" t="str"/>
      <x:c r="J183" s="6" t="str">
        <x:f>IF(B183="","",IF(AND(ISNUMBER(SEARCH("平",B183)),OR(ISNUMBER(SEARCH("上",B183)),ISNUMBER(SEARCH("去",B183)),ISNUMBER(SEARCH("入",B183)))),"Ambiguous",IF(ISNUMBER(SEARCH("平",B183)),"平","仄")))</x:f>
        <x:v>平</x:v>
      </x:c>
      <x:c r="K183" s="6" t="str">
        <x:f>IF(D183="","",IF(AND(ISNUMBER(SEARCH("平",D183)),OR(ISNUMBER(SEARCH("上",D183)),ISNUMBER(SEARCH("去",D183)),ISNUMBER(SEARCH("入",D183)))),"Ambiguous",IF(ISNUMBER(SEARCH("平",D183)),"平","仄")))</x:f>
        <x:v>平</x:v>
      </x:c>
      <x:c r="L183" s="7" t="str"/>
    </x:row>
    <x:row r="184">
      <x:c r="A184" s="5" t="str">
        <x:v>侮</x:v>
      </x:c>
      <x:c r="B184" s="6" t="str">
        <x:v>上</x:v>
      </x:c>
      <x:c r="C184" s="6" t="str">
        <x:f>IF(B184="","Needs decision","Ready")</x:f>
        <x:v>Ready</x:v>
      </x:c>
      <x:c r="D184" s="6" t="str">
        <x:v>上</x:v>
      </x:c>
      <x:c r="E184" s="6" t="str">
        <x:v>mjuX (B)</x:v>
      </x:c>
      <x:c r="F184" s="6" t="str"/>
      <x:c r="G184" s="6" t="str"/>
      <x:c r="H184" s="6" t="str">
        <x:v>1</x:v>
      </x:c>
      <x:c r="I184" s="6" t="str"/>
      <x:c r="J184" s="6" t="str">
        <x:f>IF(B184="","",IF(AND(ISNUMBER(SEARCH("平",B184)),OR(ISNUMBER(SEARCH("上",B184)),ISNUMBER(SEARCH("去",B184)),ISNUMBER(SEARCH("入",B184)))),"Ambiguous",IF(ISNUMBER(SEARCH("平",B184)),"平","仄")))</x:f>
        <x:v>仄</x:v>
      </x:c>
      <x:c r="K184" s="6" t="str">
        <x:f>IF(D184="","",IF(AND(ISNUMBER(SEARCH("平",D184)),OR(ISNUMBER(SEARCH("上",D184)),ISNUMBER(SEARCH("去",D184)),ISNUMBER(SEARCH("入",D184)))),"Ambiguous",IF(ISNUMBER(SEARCH("平",D184)),"平","仄")))</x:f>
        <x:v>仄</x:v>
      </x:c>
      <x:c r="L184" s="7" t="str"/>
    </x:row>
    <x:row r="185">
      <x:c r="A185" s="5" t="str">
        <x:v>侯</x:v>
      </x:c>
      <x:c r="B185" s="6" t="str">
        <x:v>平</x:v>
      </x:c>
      <x:c r="C185" s="6" t="str">
        <x:f>IF(B185="","Needs decision","Ready")</x:f>
        <x:v>Ready</x:v>
      </x:c>
      <x:c r="D185" s="6" t="str">
        <x:v>平</x:v>
      </x:c>
      <x:c r="E185" s="6" t="str">
        <x:v>huw (A)</x:v>
      </x:c>
      <x:c r="F185" s="6" t="str">
        <x:v>下平聲十一尤</x:v>
      </x:c>
      <x:c r="G185" s="6" t="str">
        <x:v>Pingshui main list, Wikisource-derived DOCX</x:v>
      </x:c>
      <x:c r="H185" s="6" t="str">
        <x:v>1</x:v>
      </x:c>
      <x:c r="I185" s="6" t="str"/>
      <x:c r="J185" s="6" t="str">
        <x:f>IF(B185="","",IF(AND(ISNUMBER(SEARCH("平",B185)),OR(ISNUMBER(SEARCH("上",B185)),ISNUMBER(SEARCH("去",B185)),ISNUMBER(SEARCH("入",B185)))),"Ambiguous",IF(ISNUMBER(SEARCH("平",B185)),"平","仄")))</x:f>
        <x:v>平</x:v>
      </x:c>
      <x:c r="K185" s="6" t="str">
        <x:f>IF(D185="","",IF(AND(ISNUMBER(SEARCH("平",D185)),OR(ISNUMBER(SEARCH("上",D185)),ISNUMBER(SEARCH("去",D185)),ISNUMBER(SEARCH("入",D185)))),"Ambiguous",IF(ISNUMBER(SEARCH("平",D185)),"平","仄")))</x:f>
        <x:v>平</x:v>
      </x:c>
      <x:c r="L185" s="7" t="str"/>
    </x:row>
    <x:row r="186">
      <x:c r="A186" s="5" t="str">
        <x:v>侵</x:v>
      </x:c>
      <x:c r="B186" s="6" t="str">
        <x:v>平</x:v>
      </x:c>
      <x:c r="C186" s="6" t="str">
        <x:f>IF(B186="","Needs decision","Ready")</x:f>
        <x:v>Ready</x:v>
      </x:c>
      <x:c r="D186" s="6" t="str">
        <x:v>平</x:v>
      </x:c>
      <x:c r="E186" s="6" t="str">
        <x:v>tshim (A)</x:v>
      </x:c>
      <x:c r="F186" s="6" t="str">
        <x:v>下平聲十二侵</x:v>
      </x:c>
      <x:c r="G186" s="6" t="str">
        <x:v>Pingshui main list, Wikisource-derived DOCX</x:v>
      </x:c>
      <x:c r="H186" s="6" t="str">
        <x:v>1</x:v>
      </x:c>
      <x:c r="I186" s="6" t="str"/>
      <x:c r="J186" s="6" t="str">
        <x:f>IF(B186="","",IF(AND(ISNUMBER(SEARCH("平",B186)),OR(ISNUMBER(SEARCH("上",B186)),ISNUMBER(SEARCH("去",B186)),ISNUMBER(SEARCH("入",B186)))),"Ambiguous",IF(ISNUMBER(SEARCH("平",B186)),"平","仄")))</x:f>
        <x:v>平</x:v>
      </x:c>
      <x:c r="K186" s="6" t="str">
        <x:f>IF(D186="","",IF(AND(ISNUMBER(SEARCH("平",D186)),OR(ISNUMBER(SEARCH("上",D186)),ISNUMBER(SEARCH("去",D186)),ISNUMBER(SEARCH("入",D186)))),"Ambiguous",IF(ISNUMBER(SEARCH("平",D186)),"平","仄")))</x:f>
        <x:v>平</x:v>
      </x:c>
      <x:c r="L186" s="7" t="str"/>
    </x:row>
    <x:row r="187">
      <x:c r="A187" s="5" t="str">
        <x:v>侶</x:v>
      </x:c>
      <x:c r="B187" s="6" t="str">
        <x:v>上</x:v>
      </x:c>
      <x:c r="C187" s="6" t="str">
        <x:f>IF(B187="","Needs decision","Ready")</x:f>
        <x:v>Ready</x:v>
      </x:c>
      <x:c r="D187" s="6" t="str">
        <x:v>上</x:v>
      </x:c>
      <x:c r="E187" s="6" t="str"/>
      <x:c r="F187" s="6" t="str">
        <x:v>上聲六語</x:v>
      </x:c>
      <x:c r="G187" s="6" t="str">
        <x:v>Pingshui main list, Wikisource-derived DOCX</x:v>
      </x:c>
      <x:c r="H187" s="6" t="str">
        <x:v>0</x:v>
      </x:c>
      <x:c r="I187" s="6" t="str">
        <x:v>User correction 2026-09-08; added manually</x:v>
      </x:c>
      <x:c r="J187" s="6" t="str">
        <x:f>IF(B187="","",IF(AND(ISNUMBER(SEARCH("平",B187)),OR(ISNUMBER(SEARCH("上",B187)),ISNUMBER(SEARCH("去",B187)),ISNUMBER(SEARCH("入",B187)))),"Ambiguous",IF(ISNUMBER(SEARCH("平",B187)),"平","仄")))</x:f>
        <x:v>仄</x:v>
      </x:c>
      <x:c r="K187" s="6" t="str">
        <x:f>IF(D187="","",IF(AND(ISNUMBER(SEARCH("平",D187)),OR(ISNUMBER(SEARCH("上",D187)),ISNUMBER(SEARCH("去",D187)),ISNUMBER(SEARCH("入",D187)))),"Ambiguous",IF(ISNUMBER(SEARCH("平",D187)),"平","仄")))</x:f>
        <x:v>仄</x:v>
      </x:c>
      <x:c r="L187" s="7" t="str">
        <x:v>User correction</x:v>
      </x:c>
    </x:row>
    <x:row r="188">
      <x:c r="A188" s="5" t="str">
        <x:v>便</x:v>
      </x:c>
      <x:c r="B188" s="6" t="str"/>
      <x:c r="C188" s="6" t="str">
        <x:f>IF(B188="","Needs decision","Ready")</x:f>
        <x:v>Needs decision</x:v>
      </x:c>
      <x:c r="D188" s="6" t="str">
        <x:v>平/去</x:v>
      </x:c>
      <x:c r="E188" s="6" t="str">
        <x:v>bjienH (C); bjien (A)</x:v>
      </x:c>
      <x:c r="F188" s="6" t="str">
        <x:v>下平聲一先; 去聲十七霰</x:v>
      </x:c>
      <x:c r="G188" s="6" t="str">
        <x:v>Pingshui main list, Wikisource-derived DOCX</x:v>
      </x:c>
      <x:c r="H188" s="6" t="str">
        <x:v>2</x:v>
      </x:c>
      <x:c r="I188" s="6" t="str"/>
      <x:c r="J188" s="6" t="str">
        <x:f>IF(B188="","",IF(AND(ISNUMBER(SEARCH("平",B188)),OR(ISNUMBER(SEARCH("上",B188)),ISNUMBER(SEARCH("去",B188)),ISNUMBER(SEARCH("入",B188)))),"Ambiguous",IF(ISNUMBER(SEARCH("平",B188)),"平","仄")))</x:f>
      </x:c>
      <x:c r="K188" s="6" t="str">
        <x:f>IF(D188="","",IF(AND(ISNUMBER(SEARCH("平",D188)),OR(ISNUMBER(SEARCH("上",D188)),ISNUMBER(SEARCH("去",D188)),ISNUMBER(SEARCH("入",D188)))),"Ambiguous",IF(ISNUMBER(SEARCH("平",D188)),"平","仄")))</x:f>
        <x:v>Ambiguous</x:v>
      </x:c>
      <x:c r="L188" s="7" t="str"/>
    </x:row>
    <x:row r="189">
      <x:c r="A189" s="5" t="str">
        <x:v>係</x:v>
      </x:c>
      <x:c r="B189" s="6" t="str">
        <x:v>去</x:v>
      </x:c>
      <x:c r="C189" s="6" t="str">
        <x:f>IF(B189="","Needs decision","Ready")</x:f>
        <x:v>Ready</x:v>
      </x:c>
      <x:c r="D189" s="6" t="str">
        <x:v>去</x:v>
      </x:c>
      <x:c r="E189" s="6" t="str">
        <x:v>kejH (C)</x:v>
      </x:c>
      <x:c r="F189" s="6" t="str"/>
      <x:c r="G189" s="6" t="str"/>
      <x:c r="H189" s="6" t="str">
        <x:v>1</x:v>
      </x:c>
      <x:c r="I189" s="6" t="str"/>
      <x:c r="J189" s="6" t="str">
        <x:f>IF(B189="","",IF(AND(ISNUMBER(SEARCH("平",B189)),OR(ISNUMBER(SEARCH("上",B189)),ISNUMBER(SEARCH("去",B189)),ISNUMBER(SEARCH("入",B189)))),"Ambiguous",IF(ISNUMBER(SEARCH("平",B189)),"平","仄")))</x:f>
        <x:v>仄</x:v>
      </x:c>
      <x:c r="K189" s="6" t="str">
        <x:f>IF(D189="","",IF(AND(ISNUMBER(SEARCH("平",D189)),OR(ISNUMBER(SEARCH("上",D189)),ISNUMBER(SEARCH("去",D189)),ISNUMBER(SEARCH("入",D189)))),"Ambiguous",IF(ISNUMBER(SEARCH("平",D189)),"平","仄")))</x:f>
        <x:v>仄</x:v>
      </x:c>
      <x:c r="L189" s="7" t="str"/>
    </x:row>
    <x:row r="190">
      <x:c r="A190" s="5" t="str">
        <x:v>促</x:v>
      </x:c>
      <x:c r="B190" s="6" t="str">
        <x:v>入</x:v>
      </x:c>
      <x:c r="C190" s="6" t="str">
        <x:f>IF(B190="","Needs decision","Ready")</x:f>
        <x:v>Ready</x:v>
      </x:c>
      <x:c r="D190" s="6" t="str">
        <x:v>入</x:v>
      </x:c>
      <x:c r="E190" s="6" t="str">
        <x:v>tshjowk [tsʰjok] (入)</x:v>
      </x:c>
      <x:c r="F190" s="6" t="str">
        <x:v>入聲二沃</x:v>
      </x:c>
      <x:c r="G190" s="6" t="str">
        <x:v>Pingshui main list, Wikisource-derived DOCX</x:v>
      </x:c>
      <x:c r="H190" s="6" t="str">
        <x:v>1</x:v>
      </x:c>
      <x:c r="I190" s="6" t="str">
        <x:v>Tang 300 gap; frequency 3; provisional from Xun Gong</x:v>
      </x:c>
      <x:c r="J190" s="6" t="str">
        <x:f>IF(B190="","",IF(AND(ISNUMBER(SEARCH("平",B190)),OR(ISNUMBER(SEARCH("上",B190)),ISNUMBER(SEARCH("去",B190)),ISNUMBER(SEARCH("入",B190)))),"Ambiguous",IF(ISNUMBER(SEARCH("平",B190)),"平","仄")))</x:f>
        <x:v>仄</x:v>
      </x:c>
      <x:c r="K190" s="6" t="str">
        <x:f>IF(D190="","",IF(AND(ISNUMBER(SEARCH("平",D190)),OR(ISNUMBER(SEARCH("上",D190)),ISNUMBER(SEARCH("去",D190)),ISNUMBER(SEARCH("入",D190)))),"Ambiguous",IF(ISNUMBER(SEARCH("平",D190)),"平","仄")))</x:f>
        <x:v>仄</x:v>
      </x:c>
      <x:c r="L190" s="7" t="str">
        <x:v>Xun Gong, Tang 300 gap fill</x:v>
      </x:c>
    </x:row>
    <x:row r="191">
      <x:c r="A191" s="5" t="str">
        <x:v>俄</x:v>
      </x:c>
      <x:c r="B191" s="6" t="str">
        <x:v>平</x:v>
      </x:c>
      <x:c r="C191" s="6" t="str">
        <x:f>IF(B191="","Needs decision","Ready")</x:f>
        <x:v>Ready</x:v>
      </x:c>
      <x:c r="D191" s="6" t="str">
        <x:v>平</x:v>
      </x:c>
      <x:c r="E191" s="6" t="str">
        <x:v>nga [疑開一歌平] ɴɑ</x:v>
      </x:c>
      <x:c r="F191" s="6" t="str">
        <x:v>下平聲五歌</x:v>
      </x:c>
      <x:c r="G191" s="6" t="str">
        <x:v>Pingshui main list, Wikisource-derived DOCX</x:v>
      </x:c>
      <x:c r="H191" s="6" t="str">
        <x:v>1</x:v>
      </x:c>
      <x:c r="I191" s="6" t="str">
        <x:v>Targeted preliminary fill from Xun Gong; review if uncertain</x:v>
      </x:c>
      <x:c r="J191" s="6" t="str">
        <x:f>IF(B191="","",IF(AND(ISNUMBER(SEARCH("平",B191)),OR(ISNUMBER(SEARCH("上",B191)),ISNUMBER(SEARCH("去",B191)),ISNUMBER(SEARCH("入",B191)))),"Ambiguous",IF(ISNUMBER(SEARCH("平",B191)),"平","仄")))</x:f>
        <x:v>平</x:v>
      </x:c>
      <x:c r="K191" s="6" t="str">
        <x:f>IF(D191="","",IF(AND(ISNUMBER(SEARCH("平",D191)),OR(ISNUMBER(SEARCH("上",D191)),ISNUMBER(SEARCH("去",D191)),ISNUMBER(SEARCH("入",D191)))),"Ambiguous",IF(ISNUMBER(SEARCH("平",D191)),"平","仄")))</x:f>
        <x:v>平</x:v>
      </x:c>
      <x:c r="L191" s="7" t="str">
        <x:v>Xun Gong character-readings.csv</x:v>
      </x:c>
    </x:row>
    <x:row r="192">
      <x:c r="A192" s="5" t="str">
        <x:v>俊</x:v>
      </x:c>
      <x:c r="B192" s="6" t="str">
        <x:v>去</x:v>
      </x:c>
      <x:c r="C192" s="6" t="str">
        <x:f>IF(B192="","Needs decision","Ready")</x:f>
        <x:v>Ready</x:v>
      </x:c>
      <x:c r="D192" s="6" t="str">
        <x:v>去</x:v>
      </x:c>
      <x:c r="E192" s="6" t="str">
        <x:v>tswinH [tsjwinh] (去)</x:v>
      </x:c>
      <x:c r="F192" s="6" t="str"/>
      <x:c r="G192" s="6" t="str"/>
      <x:c r="H192" s="6" t="str">
        <x:v>1</x:v>
      </x:c>
      <x:c r="I192" s="6" t="str">
        <x:v>Tang 300 gap; frequency 1; provisional from Xun Gong</x:v>
      </x:c>
      <x:c r="J192" s="6" t="str">
        <x:f>IF(B192="","",IF(AND(ISNUMBER(SEARCH("平",B192)),OR(ISNUMBER(SEARCH("上",B192)),ISNUMBER(SEARCH("去",B192)),ISNUMBER(SEARCH("入",B192)))),"Ambiguous",IF(ISNUMBER(SEARCH("平",B192)),"平","仄")))</x:f>
        <x:v>仄</x:v>
      </x:c>
      <x:c r="K192" s="6" t="str">
        <x:f>IF(D192="","",IF(AND(ISNUMBER(SEARCH("平",D192)),OR(ISNUMBER(SEARCH("上",D192)),ISNUMBER(SEARCH("去",D192)),ISNUMBER(SEARCH("入",D192)))),"Ambiguous",IF(ISNUMBER(SEARCH("平",D192)),"平","仄")))</x:f>
        <x:v>仄</x:v>
      </x:c>
      <x:c r="L192" s="7" t="str">
        <x:v>Xun Gong, Tang 300 gap fill</x:v>
      </x:c>
    </x:row>
    <x:row r="193">
      <x:c r="A193" s="5" t="str">
        <x:v>俍</x:v>
      </x:c>
      <x:c r="B193" s="6" t="str">
        <x:v>平</x:v>
      </x:c>
      <x:c r="C193" s="6" t="str">
        <x:f>IF(B193="","Needs decision","Ready")</x:f>
        <x:v>Ready</x:v>
      </x:c>
      <x:c r="D193" s="6" t="str">
        <x:v>平</x:v>
      </x:c>
      <x:c r="E193" s="6" t="str">
        <x:v>ljang (A)</x:v>
      </x:c>
      <x:c r="F193" s="6" t="str"/>
      <x:c r="G193" s="6" t="str"/>
      <x:c r="H193" s="6" t="str">
        <x:v>1</x:v>
      </x:c>
      <x:c r="I193" s="6" t="str"/>
      <x:c r="J193" s="6" t="str">
        <x:f>IF(B193="","",IF(AND(ISNUMBER(SEARCH("平",B193)),OR(ISNUMBER(SEARCH("上",B193)),ISNUMBER(SEARCH("去",B193)),ISNUMBER(SEARCH("入",B193)))),"Ambiguous",IF(ISNUMBER(SEARCH("平",B193)),"平","仄")))</x:f>
        <x:v>平</x:v>
      </x:c>
      <x:c r="K193" s="6" t="str">
        <x:f>IF(D193="","",IF(AND(ISNUMBER(SEARCH("平",D193)),OR(ISNUMBER(SEARCH("上",D193)),ISNUMBER(SEARCH("去",D193)),ISNUMBER(SEARCH("入",D193)))),"Ambiguous",IF(ISNUMBER(SEARCH("平",D193)),"平","仄")))</x:f>
        <x:v>平</x:v>
      </x:c>
      <x:c r="L193" s="7" t="str"/>
    </x:row>
    <x:row r="194">
      <x:c r="A194" s="5" t="str">
        <x:v>俑</x:v>
      </x:c>
      <x:c r="B194" s="6" t="str">
        <x:v>上</x:v>
      </x:c>
      <x:c r="C194" s="6" t="str">
        <x:f>IF(B194="","Needs decision","Ready")</x:f>
        <x:v>Ready</x:v>
      </x:c>
      <x:c r="D194" s="6" t="str">
        <x:v>上</x:v>
      </x:c>
      <x:c r="E194" s="6" t="str">
        <x:v>yowngX (B)</x:v>
      </x:c>
      <x:c r="F194" s="6" t="str">
        <x:v>上聲二腫</x:v>
      </x:c>
      <x:c r="G194" s="6" t="str">
        <x:v>Pingshui main list, Wikisource-derived DOCX</x:v>
      </x:c>
      <x:c r="H194" s="6" t="str">
        <x:v>1</x:v>
      </x:c>
      <x:c r="I194" s="6" t="str"/>
      <x:c r="J194" s="6" t="str">
        <x:f>IF(B194="","",IF(AND(ISNUMBER(SEARCH("平",B194)),OR(ISNUMBER(SEARCH("上",B194)),ISNUMBER(SEARCH("去",B194)),ISNUMBER(SEARCH("入",B194)))),"Ambiguous",IF(ISNUMBER(SEARCH("平",B194)),"平","仄")))</x:f>
        <x:v>仄</x:v>
      </x:c>
      <x:c r="K194" s="6" t="str">
        <x:f>IF(D194="","",IF(AND(ISNUMBER(SEARCH("平",D194)),OR(ISNUMBER(SEARCH("上",D194)),ISNUMBER(SEARCH("去",D194)),ISNUMBER(SEARCH("入",D194)))),"Ambiguous",IF(ISNUMBER(SEARCH("平",D194)),"平","仄")))</x:f>
        <x:v>仄</x:v>
      </x:c>
      <x:c r="L194" s="7" t="str"/>
    </x:row>
    <x:row r="195">
      <x:c r="A195" s="5" t="str">
        <x:v>俔</x:v>
      </x:c>
      <x:c r="B195" s="6" t="str">
        <x:v>上</x:v>
      </x:c>
      <x:c r="C195" s="6" t="str">
        <x:f>IF(B195="","Needs decision","Ready")</x:f>
        <x:v>Ready</x:v>
      </x:c>
      <x:c r="D195" s="6" t="str">
        <x:v>上</x:v>
      </x:c>
      <x:c r="E195" s="6" t="str">
        <x:v>henX (B)</x:v>
      </x:c>
      <x:c r="F195" s="6" t="str">
        <x:v>去聲十七霰</x:v>
      </x:c>
      <x:c r="G195" s="6" t="str">
        <x:v>Pingshui main list, Wikisource-derived DOCX</x:v>
      </x:c>
      <x:c r="H195" s="6" t="str">
        <x:v>1</x:v>
      </x:c>
      <x:c r="I195" s="6" t="str"/>
      <x:c r="J195" s="6" t="str">
        <x:f>IF(B195="","",IF(AND(ISNUMBER(SEARCH("平",B195)),OR(ISNUMBER(SEARCH("上",B195)),ISNUMBER(SEARCH("去",B195)),ISNUMBER(SEARCH("入",B195)))),"Ambiguous",IF(ISNUMBER(SEARCH("平",B195)),"平","仄")))</x:f>
        <x:v>仄</x:v>
      </x:c>
      <x:c r="K195" s="6" t="str">
        <x:f>IF(D195="","",IF(AND(ISNUMBER(SEARCH("平",D195)),OR(ISNUMBER(SEARCH("上",D195)),ISNUMBER(SEARCH("去",D195)),ISNUMBER(SEARCH("入",D195)))),"Ambiguous",IF(ISNUMBER(SEARCH("平",D195)),"平","仄")))</x:f>
        <x:v>仄</x:v>
      </x:c>
      <x:c r="L195" s="7" t="str"/>
    </x:row>
    <x:row r="196">
      <x:c r="A196" s="5" t="str">
        <x:v>俗</x:v>
      </x:c>
      <x:c r="B196" s="6" t="str">
        <x:v>入</x:v>
      </x:c>
      <x:c r="C196" s="6" t="str">
        <x:f>IF(B196="","Needs decision","Ready")</x:f>
        <x:v>Ready</x:v>
      </x:c>
      <x:c r="D196" s="6" t="str">
        <x:v>入</x:v>
      </x:c>
      <x:c r="E196" s="6" t="str">
        <x:v>zjowk (D)</x:v>
      </x:c>
      <x:c r="F196" s="6" t="str">
        <x:v>入聲二沃</x:v>
      </x:c>
      <x:c r="G196" s="6" t="str">
        <x:v>Pingshui main list, Wikisource-derived DOCX</x:v>
      </x:c>
      <x:c r="H196" s="6" t="str">
        <x:v>1</x:v>
      </x:c>
      <x:c r="I196" s="6" t="str"/>
      <x:c r="J196" s="6" t="str">
        <x:f>IF(B196="","",IF(AND(ISNUMBER(SEARCH("平",B196)),OR(ISNUMBER(SEARCH("上",B196)),ISNUMBER(SEARCH("去",B196)),ISNUMBER(SEARCH("入",B196)))),"Ambiguous",IF(ISNUMBER(SEARCH("平",B196)),"平","仄")))</x:f>
        <x:v>仄</x:v>
      </x:c>
      <x:c r="K196" s="6" t="str">
        <x:f>IF(D196="","",IF(AND(ISNUMBER(SEARCH("平",D196)),OR(ISNUMBER(SEARCH("上",D196)),ISNUMBER(SEARCH("去",D196)),ISNUMBER(SEARCH("入",D196)))),"Ambiguous",IF(ISNUMBER(SEARCH("平",D196)),"平","仄")))</x:f>
        <x:v>仄</x:v>
      </x:c>
      <x:c r="L196" s="7" t="str"/>
    </x:row>
    <x:row r="197">
      <x:c r="A197" s="5" t="str">
        <x:v>俛</x:v>
      </x:c>
      <x:c r="B197" s="6" t="str">
        <x:v>上</x:v>
      </x:c>
      <x:c r="C197" s="6" t="str">
        <x:f>IF(B197="","Needs decision","Ready")</x:f>
        <x:v>Ready</x:v>
      </x:c>
      <x:c r="D197" s="6" t="str">
        <x:v>上</x:v>
      </x:c>
      <x:c r="E197" s="6" t="str">
        <x:v>mjenX (B)</x:v>
      </x:c>
      <x:c r="F197" s="6" t="str">
        <x:v>上聲十六銑</x:v>
      </x:c>
      <x:c r="G197" s="6" t="str">
        <x:v>Pingshui main list, Wikisource-derived DOCX</x:v>
      </x:c>
      <x:c r="H197" s="6" t="str">
        <x:v>1</x:v>
      </x:c>
      <x:c r="I197" s="6" t="str"/>
      <x:c r="J197" s="6" t="str">
        <x:f>IF(B197="","",IF(AND(ISNUMBER(SEARCH("平",B197)),OR(ISNUMBER(SEARCH("上",B197)),ISNUMBER(SEARCH("去",B197)),ISNUMBER(SEARCH("入",B197)))),"Ambiguous",IF(ISNUMBER(SEARCH("平",B197)),"平","仄")))</x:f>
        <x:v>仄</x:v>
      </x:c>
      <x:c r="K197" s="6" t="str">
        <x:f>IF(D197="","",IF(AND(ISNUMBER(SEARCH("平",D197)),OR(ISNUMBER(SEARCH("上",D197)),ISNUMBER(SEARCH("去",D197)),ISNUMBER(SEARCH("入",D197)))),"Ambiguous",IF(ISNUMBER(SEARCH("平",D197)),"平","仄")))</x:f>
        <x:v>仄</x:v>
      </x:c>
      <x:c r="L197" s="7" t="str"/>
    </x:row>
    <x:row r="198">
      <x:c r="A198" s="5" t="str">
        <x:v>俜</x:v>
      </x:c>
      <x:c r="B198" s="6" t="str"/>
      <x:c r="C198" s="6" t="str">
        <x:f>IF(B198="","Needs decision","Ready")</x:f>
        <x:v>Needs decision</x:v>
      </x:c>
      <x:c r="D198" s="6" t="str">
        <x:v>平/去</x:v>
      </x:c>
      <x:c r="E198" s="6" t="str">
        <x:v>pheng [p̙ʰeŋ] (平); phjiengH [pʰjaŋh] (去)</x:v>
      </x:c>
      <x:c r="F198" s="6" t="str">
        <x:v>下平聲九青</x:v>
      </x:c>
      <x:c r="G198" s="6" t="str">
        <x:v>Pingshui main list, Wikisource-derived DOCX</x:v>
      </x:c>
      <x:c r="H198" s="6" t="str">
        <x:v>2</x:v>
      </x:c>
      <x:c r="I198" s="6" t="str">
        <x:v>Tang 300 gap; frequency 1; ambiguous in Xun Gong</x:v>
      </x:c>
      <x:c r="J198" s="6" t="str">
        <x:f>IF(B198="","",IF(AND(ISNUMBER(SEARCH("平",B198)),OR(ISNUMBER(SEARCH("上",B198)),ISNUMBER(SEARCH("去",B198)),ISNUMBER(SEARCH("入",B198)))),"Ambiguous",IF(ISNUMBER(SEARCH("平",B198)),"平","仄")))</x:f>
      </x:c>
      <x:c r="K198" s="6" t="str">
        <x:f>IF(D198="","",IF(AND(ISNUMBER(SEARCH("平",D198)),OR(ISNUMBER(SEARCH("上",D198)),ISNUMBER(SEARCH("去",D198)),ISNUMBER(SEARCH("入",D198)))),"Ambiguous",IF(ISNUMBER(SEARCH("平",D198)),"平","仄")))</x:f>
        <x:v>Ambiguous</x:v>
      </x:c>
      <x:c r="L198" s="7" t="str">
        <x:v>Xun Gong, Tang 300 gap fill</x:v>
      </x:c>
    </x:row>
    <x:row r="199">
      <x:c r="A199" s="5" t="str">
        <x:v>保</x:v>
      </x:c>
      <x:c r="B199" s="6" t="str">
        <x:v>上</x:v>
      </x:c>
      <x:c r="C199" s="6" t="str">
        <x:f>IF(B199="","Needs decision","Ready")</x:f>
        <x:v>Ready</x:v>
      </x:c>
      <x:c r="D199" s="6" t="str">
        <x:v>上</x:v>
      </x:c>
      <x:c r="E199" s="6" t="str">
        <x:v>pawX (B)</x:v>
      </x:c>
      <x:c r="F199" s="6" t="str">
        <x:v>上聲十九皓</x:v>
      </x:c>
      <x:c r="G199" s="6" t="str">
        <x:v>Pingshui main list, Wikisource-derived DOCX</x:v>
      </x:c>
      <x:c r="H199" s="6" t="str">
        <x:v>1</x:v>
      </x:c>
      <x:c r="I199" s="6" t="str"/>
      <x:c r="J199" s="6" t="str">
        <x:f>IF(B199="","",IF(AND(ISNUMBER(SEARCH("平",B199)),OR(ISNUMBER(SEARCH("上",B199)),ISNUMBER(SEARCH("去",B199)),ISNUMBER(SEARCH("入",B199)))),"Ambiguous",IF(ISNUMBER(SEARCH("平",B199)),"平","仄")))</x:f>
        <x:v>仄</x:v>
      </x:c>
      <x:c r="K199" s="6" t="str">
        <x:f>IF(D199="","",IF(AND(ISNUMBER(SEARCH("平",D199)),OR(ISNUMBER(SEARCH("上",D199)),ISNUMBER(SEARCH("去",D199)),ISNUMBER(SEARCH("入",D199)))),"Ambiguous",IF(ISNUMBER(SEARCH("平",D199)),"平","仄")))</x:f>
        <x:v>仄</x:v>
      </x:c>
      <x:c r="L199" s="7" t="str"/>
    </x:row>
    <x:row r="200">
      <x:c r="A200" s="5" t="str">
        <x:v>俞</x:v>
      </x:c>
      <x:c r="B200" s="6" t="str">
        <x:v>平</x:v>
      </x:c>
      <x:c r="C200" s="6" t="str">
        <x:f>IF(B200="","Needs decision","Ready")</x:f>
        <x:v>Ready</x:v>
      </x:c>
      <x:c r="D200" s="6" t="str">
        <x:v>平</x:v>
      </x:c>
      <x:c r="E200" s="6" t="str">
        <x:v>yu (A)</x:v>
      </x:c>
      <x:c r="F200" s="6" t="str">
        <x:v>上平聲七虞</x:v>
      </x:c>
      <x:c r="G200" s="6" t="str">
        <x:v>Pingshui main list, Wikisource-derived DOCX</x:v>
      </x:c>
      <x:c r="H200" s="6" t="str">
        <x:v>1</x:v>
      </x:c>
      <x:c r="I200" s="6" t="str"/>
      <x:c r="J200" s="6" t="str">
        <x:f>IF(B200="","",IF(AND(ISNUMBER(SEARCH("平",B200)),OR(ISNUMBER(SEARCH("上",B200)),ISNUMBER(SEARCH("去",B200)),ISNUMBER(SEARCH("入",B200)))),"Ambiguous",IF(ISNUMBER(SEARCH("平",B200)),"平","仄")))</x:f>
        <x:v>平</x:v>
      </x:c>
      <x:c r="K200" s="6" t="str">
        <x:f>IF(D200="","",IF(AND(ISNUMBER(SEARCH("平",D200)),OR(ISNUMBER(SEARCH("上",D200)),ISNUMBER(SEARCH("去",D200)),ISNUMBER(SEARCH("入",D200)))),"Ambiguous",IF(ISNUMBER(SEARCH("平",D200)),"平","仄")))</x:f>
        <x:v>平</x:v>
      </x:c>
      <x:c r="L200" s="7" t="str"/>
    </x:row>
    <x:row r="201">
      <x:c r="A201" s="5" t="str">
        <x:v>俟</x:v>
      </x:c>
      <x:c r="B201" s="6" t="str">
        <x:v>上</x:v>
      </x:c>
      <x:c r="C201" s="6" t="str">
        <x:f>IF(B201="","Needs decision","Ready")</x:f>
        <x:v>Ready</x:v>
      </x:c>
      <x:c r="D201" s="6" t="str">
        <x:v>上</x:v>
      </x:c>
      <x:c r="E201" s="6" t="str">
        <x:v>zriX (B)</x:v>
      </x:c>
      <x:c r="F201" s="6" t="str">
        <x:v>上聲四紙</x:v>
      </x:c>
      <x:c r="G201" s="6" t="str">
        <x:v>Pingshui main list, Wikisource-derived DOCX</x:v>
      </x:c>
      <x:c r="H201" s="6" t="str">
        <x:v>1</x:v>
      </x:c>
      <x:c r="I201" s="6" t="str"/>
      <x:c r="J201" s="6" t="str">
        <x:f>IF(B201="","",IF(AND(ISNUMBER(SEARCH("平",B201)),OR(ISNUMBER(SEARCH("上",B201)),ISNUMBER(SEARCH("去",B201)),ISNUMBER(SEARCH("入",B201)))),"Ambiguous",IF(ISNUMBER(SEARCH("平",B201)),"平","仄")))</x:f>
        <x:v>仄</x:v>
      </x:c>
      <x:c r="K201" s="6" t="str">
        <x:f>IF(D201="","",IF(AND(ISNUMBER(SEARCH("平",D201)),OR(ISNUMBER(SEARCH("上",D201)),ISNUMBER(SEARCH("去",D201)),ISNUMBER(SEARCH("入",D201)))),"Ambiguous",IF(ISNUMBER(SEARCH("平",D201)),"平","仄")))</x:f>
        <x:v>仄</x:v>
      </x:c>
      <x:c r="L201" s="7" t="str"/>
    </x:row>
    <x:row r="202">
      <x:c r="A202" s="5" t="str">
        <x:v>俠</x:v>
      </x:c>
      <x:c r="B202" s="6" t="str">
        <x:v>入</x:v>
      </x:c>
      <x:c r="C202" s="6" t="str">
        <x:f>IF(B202="","Needs decision","Ready")</x:f>
        <x:v>Ready</x:v>
      </x:c>
      <x:c r="D202" s="6" t="str">
        <x:v>入</x:v>
      </x:c>
      <x:c r="E202" s="6" t="str">
        <x:v>hep [ʁep] (入)</x:v>
      </x:c>
      <x:c r="F202" s="6" t="str">
        <x:v>入聲十六葉</x:v>
      </x:c>
      <x:c r="G202" s="6" t="str">
        <x:v>Pingshui main list, Wikisource-derived DOCX</x:v>
      </x:c>
      <x:c r="H202" s="6" t="str">
        <x:v>1</x:v>
      </x:c>
      <x:c r="I202" s="6" t="str">
        <x:v>Tang 300 gap; frequency 1; provisional from Xun Gong</x:v>
      </x:c>
      <x:c r="J202" s="6" t="str">
        <x:f>IF(B202="","",IF(AND(ISNUMBER(SEARCH("平",B202)),OR(ISNUMBER(SEARCH("上",B202)),ISNUMBER(SEARCH("去",B202)),ISNUMBER(SEARCH("入",B202)))),"Ambiguous",IF(ISNUMBER(SEARCH("平",B202)),"平","仄")))</x:f>
        <x:v>仄</x:v>
      </x:c>
      <x:c r="K202" s="6" t="str">
        <x:f>IF(D202="","",IF(AND(ISNUMBER(SEARCH("平",D202)),OR(ISNUMBER(SEARCH("上",D202)),ISNUMBER(SEARCH("去",D202)),ISNUMBER(SEARCH("入",D202)))),"Ambiguous",IF(ISNUMBER(SEARCH("平",D202)),"平","仄")))</x:f>
        <x:v>仄</x:v>
      </x:c>
      <x:c r="L202" s="7" t="str">
        <x:v>Xun Gong, Tang 300 gap fill</x:v>
      </x:c>
    </x:row>
    <x:row r="203">
      <x:c r="A203" s="5" t="str">
        <x:v>信</x:v>
      </x:c>
      <x:c r="B203" s="6" t="str">
        <x:v>去</x:v>
      </x:c>
      <x:c r="C203" s="6" t="str">
        <x:f>IF(B203="","Needs decision","Ready")</x:f>
        <x:v>Ready</x:v>
      </x:c>
      <x:c r="D203" s="6" t="str">
        <x:v>去</x:v>
      </x:c>
      <x:c r="E203" s="6" t="str">
        <x:v>sinH (C)</x:v>
      </x:c>
      <x:c r="F203" s="6" t="str">
        <x:v>去聲十二震</x:v>
      </x:c>
      <x:c r="G203" s="6" t="str">
        <x:v>Pingshui main list, Wikisource-derived DOCX</x:v>
      </x:c>
      <x:c r="H203" s="6" t="str">
        <x:v>1</x:v>
      </x:c>
      <x:c r="I203" s="6" t="str"/>
      <x:c r="J203" s="6" t="str">
        <x:f>IF(B203="","",IF(AND(ISNUMBER(SEARCH("平",B203)),OR(ISNUMBER(SEARCH("上",B203)),ISNUMBER(SEARCH("去",B203)),ISNUMBER(SEARCH("入",B203)))),"Ambiguous",IF(ISNUMBER(SEARCH("平",B203)),"平","仄")))</x:f>
        <x:v>仄</x:v>
      </x:c>
      <x:c r="K203" s="6" t="str">
        <x:f>IF(D203="","",IF(AND(ISNUMBER(SEARCH("平",D203)),OR(ISNUMBER(SEARCH("上",D203)),ISNUMBER(SEARCH("去",D203)),ISNUMBER(SEARCH("入",D203)))),"Ambiguous",IF(ISNUMBER(SEARCH("平",D203)),"平","仄")))</x:f>
        <x:v>仄</x:v>
      </x:c>
      <x:c r="L203" s="7" t="str"/>
    </x:row>
    <x:row r="204">
      <x:c r="A204" s="5" t="str">
        <x:v>修</x:v>
      </x:c>
      <x:c r="B204" s="6" t="str">
        <x:v>平</x:v>
      </x:c>
      <x:c r="C204" s="6" t="str">
        <x:f>IF(B204="","Needs decision","Ready")</x:f>
        <x:v>Ready</x:v>
      </x:c>
      <x:c r="D204" s="6" t="str">
        <x:v>平</x:v>
      </x:c>
      <x:c r="E204" s="6" t="str">
        <x:v>sjuw (A)</x:v>
      </x:c>
      <x:c r="F204" s="6" t="str">
        <x:v>下平聲十一尤</x:v>
      </x:c>
      <x:c r="G204" s="6" t="str">
        <x:v>Pingshui main list, Wikisource-derived DOCX</x:v>
      </x:c>
      <x:c r="H204" s="6" t="str">
        <x:v>1</x:v>
      </x:c>
      <x:c r="I204" s="6" t="str"/>
      <x:c r="J204" s="6" t="str">
        <x:f>IF(B204="","",IF(AND(ISNUMBER(SEARCH("平",B204)),OR(ISNUMBER(SEARCH("上",B204)),ISNUMBER(SEARCH("去",B204)),ISNUMBER(SEARCH("入",B204)))),"Ambiguous",IF(ISNUMBER(SEARCH("平",B204)),"平","仄")))</x:f>
        <x:v>平</x:v>
      </x:c>
      <x:c r="K204" s="6" t="str">
        <x:f>IF(D204="","",IF(AND(ISNUMBER(SEARCH("平",D204)),OR(ISNUMBER(SEARCH("上",D204)),ISNUMBER(SEARCH("去",D204)),ISNUMBER(SEARCH("入",D204)))),"Ambiguous",IF(ISNUMBER(SEARCH("平",D204)),"平","仄")))</x:f>
        <x:v>平</x:v>
      </x:c>
      <x:c r="L204" s="7" t="str"/>
    </x:row>
    <x:row r="205">
      <x:c r="A205" s="5" t="str">
        <x:v>俯</x:v>
      </x:c>
      <x:c r="B205" s="6" t="str">
        <x:v>上</x:v>
      </x:c>
      <x:c r="C205" s="6" t="str">
        <x:f>IF(B205="","Needs decision","Ready")</x:f>
        <x:v>Ready</x:v>
      </x:c>
      <x:c r="D205" s="6" t="str">
        <x:v>上</x:v>
      </x:c>
      <x:c r="E205" s="6" t="str"/>
      <x:c r="F205" s="6" t="str">
        <x:v>上聲七麌</x:v>
      </x:c>
      <x:c r="G205" s="6" t="str">
        <x:v>Pingshui main list, Wikisource-derived DOCX</x:v>
      </x:c>
      <x:c r="H205" s="6" t="str"/>
      <x:c r="I205" s="6" t="str">
        <x:v>Manual user correction/addition</x:v>
      </x:c>
      <x:c r="J205" s="6" t="str">
        <x:f>IF(B205="","",IF(AND(ISNUMBER(SEARCH("平",B205)),OR(ISNUMBER(SEARCH("上",B205)),ISNUMBER(SEARCH("去",B205)),ISNUMBER(SEARCH("入",B205)))),"Ambiguous",IF(ISNUMBER(SEARCH("平",B205)),"平","仄")))</x:f>
        <x:v>仄</x:v>
      </x:c>
      <x:c r="K205" s="6" t="str">
        <x:f>IF(D205="","",IF(AND(ISNUMBER(SEARCH("平",D205)),OR(ISNUMBER(SEARCH("上",D205)),ISNUMBER(SEARCH("去",D205)),ISNUMBER(SEARCH("入",D205)))),"Ambiguous",IF(ISNUMBER(SEARCH("平",D205)),"平","仄")))</x:f>
        <x:v>仄</x:v>
      </x:c>
      <x:c r="L205" s="7" t="str">
        <x:v>manual user correction</x:v>
      </x:c>
    </x:row>
    <x:row r="206">
      <x:c r="A206" s="5" t="str">
        <x:v>俱</x:v>
      </x:c>
      <x:c r="B206" s="6" t="str">
        <x:v>平</x:v>
      </x:c>
      <x:c r="C206" s="6" t="str">
        <x:f>IF(B206="","Needs decision","Ready")</x:f>
        <x:v>Ready</x:v>
      </x:c>
      <x:c r="D206" s="6" t="str">
        <x:v>平</x:v>
      </x:c>
      <x:c r="E206" s="6" t="str">
        <x:v>kju (A)</x:v>
      </x:c>
      <x:c r="F206" s="6" t="str">
        <x:v>上平聲七虞</x:v>
      </x:c>
      <x:c r="G206" s="6" t="str">
        <x:v>Pingshui main list, Wikisource-derived DOCX</x:v>
      </x:c>
      <x:c r="H206" s="6" t="str">
        <x:v>1</x:v>
      </x:c>
      <x:c r="I206" s="6" t="str"/>
      <x:c r="J206" s="6" t="str">
        <x:f>IF(B206="","",IF(AND(ISNUMBER(SEARCH("平",B206)),OR(ISNUMBER(SEARCH("上",B206)),ISNUMBER(SEARCH("去",B206)),ISNUMBER(SEARCH("入",B206)))),"Ambiguous",IF(ISNUMBER(SEARCH("平",B206)),"平","仄")))</x:f>
        <x:v>平</x:v>
      </x:c>
      <x:c r="K206" s="6" t="str">
        <x:f>IF(D206="","",IF(AND(ISNUMBER(SEARCH("平",D206)),OR(ISNUMBER(SEARCH("上",D206)),ISNUMBER(SEARCH("去",D206)),ISNUMBER(SEARCH("入",D206)))),"Ambiguous",IF(ISNUMBER(SEARCH("平",D206)),"平","仄")))</x:f>
        <x:v>平</x:v>
      </x:c>
      <x:c r="L206" s="7" t="str"/>
    </x:row>
    <x:row r="207">
      <x:c r="A207" s="5" t="str">
        <x:v>俴</x:v>
      </x:c>
      <x:c r="B207" s="6" t="str">
        <x:v>上</x:v>
      </x:c>
      <x:c r="C207" s="6" t="str">
        <x:f>IF(B207="","Needs decision","Ready")</x:f>
        <x:v>Ready</x:v>
      </x:c>
      <x:c r="D207" s="6" t="str">
        <x:v>上</x:v>
      </x:c>
      <x:c r="E207" s="6" t="str">
        <x:v>dzjenX (B)</x:v>
      </x:c>
      <x:c r="F207" s="6" t="str">
        <x:v>上聲十六銑</x:v>
      </x:c>
      <x:c r="G207" s="6" t="str">
        <x:v>Pingshui main list, Wikisource-derived DOCX</x:v>
      </x:c>
      <x:c r="H207" s="6" t="str">
        <x:v>1</x:v>
      </x:c>
      <x:c r="I207" s="6" t="str"/>
      <x:c r="J207" s="6" t="str">
        <x:f>IF(B207="","",IF(AND(ISNUMBER(SEARCH("平",B207)),OR(ISNUMBER(SEARCH("上",B207)),ISNUMBER(SEARCH("去",B207)),ISNUMBER(SEARCH("入",B207)))),"Ambiguous",IF(ISNUMBER(SEARCH("平",B207)),"平","仄")))</x:f>
        <x:v>仄</x:v>
      </x:c>
      <x:c r="K207" s="6" t="str">
        <x:f>IF(D207="","",IF(AND(ISNUMBER(SEARCH("平",D207)),OR(ISNUMBER(SEARCH("上",D207)),ISNUMBER(SEARCH("去",D207)),ISNUMBER(SEARCH("入",D207)))),"Ambiguous",IF(ISNUMBER(SEARCH("平",D207)),"平","仄")))</x:f>
        <x:v>仄</x:v>
      </x:c>
      <x:c r="L207" s="7" t="str"/>
    </x:row>
    <x:row r="208">
      <x:c r="A208" s="5" t="str">
        <x:v>俶</x:v>
      </x:c>
      <x:c r="B208" s="6" t="str">
        <x:v>入</x:v>
      </x:c>
      <x:c r="C208" s="6" t="str">
        <x:f>IF(B208="","Needs decision","Ready")</x:f>
        <x:v>Ready</x:v>
      </x:c>
      <x:c r="D208" s="6" t="str">
        <x:v>入</x:v>
      </x:c>
      <x:c r="E208" s="6" t="str">
        <x:v>tsyhuwk (D)</x:v>
      </x:c>
      <x:c r="F208" s="6" t="str">
        <x:v>入聲一屋</x:v>
      </x:c>
      <x:c r="G208" s="6" t="str">
        <x:v>Pingshui main list, Wikisource-derived DOCX</x:v>
      </x:c>
      <x:c r="H208" s="6" t="str">
        <x:v>1</x:v>
      </x:c>
      <x:c r="I208" s="6" t="str"/>
      <x:c r="J208" s="6" t="str">
        <x:f>IF(B208="","",IF(AND(ISNUMBER(SEARCH("平",B208)),OR(ISNUMBER(SEARCH("上",B208)),ISNUMBER(SEARCH("去",B208)),ISNUMBER(SEARCH("入",B208)))),"Ambiguous",IF(ISNUMBER(SEARCH("平",B208)),"平","仄")))</x:f>
        <x:v>仄</x:v>
      </x:c>
      <x:c r="K208" s="6" t="str">
        <x:f>IF(D208="","",IF(AND(ISNUMBER(SEARCH("平",D208)),OR(ISNUMBER(SEARCH("上",D208)),ISNUMBER(SEARCH("去",D208)),ISNUMBER(SEARCH("入",D208)))),"Ambiguous",IF(ISNUMBER(SEARCH("平",D208)),"平","仄")))</x:f>
        <x:v>仄</x:v>
      </x:c>
      <x:c r="L208" s="7" t="str"/>
    </x:row>
    <x:row r="209">
      <x:c r="A209" s="5" t="str">
        <x:v>俸</x:v>
      </x:c>
      <x:c r="B209" s="6" t="str">
        <x:v>去</x:v>
      </x:c>
      <x:c r="C209" s="6" t="str">
        <x:f>IF(B209="","Needs decision","Ready")</x:f>
        <x:v>Ready</x:v>
      </x:c>
      <x:c r="D209" s="6" t="str">
        <x:v>上/去</x:v>
      </x:c>
      <x:c r="E209" s="6" t="str">
        <x:v>bjowngH [bɨ̯oŋh] (去); puwngX [p̙uŋʔ] (上)</x:v>
      </x:c>
      <x:c r="F209" s="6" t="str">
        <x:v>去聲二宋</x:v>
      </x:c>
      <x:c r="G209" s="6" t="str">
        <x:v>Pingshui main list, Wikisource-derived DOCX</x:v>
      </x:c>
      <x:c r="H209" s="6" t="str">
        <x:v>2</x:v>
      </x:c>
      <x:c r="I209" s="6" t="str">
        <x:v>Tang 300 gap; frequency 2; ambiguous in Xun Gong; User workbook edit 2026-09-03</x:v>
      </x:c>
      <x:c r="J209" s="6" t="str">
        <x:f>IF(B209="","",IF(AND(ISNUMBER(SEARCH("平",B209)),OR(ISNUMBER(SEARCH("上",B209)),ISNUMBER(SEARCH("去",B209)),ISNUMBER(SEARCH("入",B209)))),"Ambiguous",IF(ISNUMBER(SEARCH("平",B209)),"平","仄")))</x:f>
        <x:v>仄</x:v>
      </x:c>
      <x:c r="K209" s="6" t="str">
        <x:f>IF(D209="","",IF(AND(ISNUMBER(SEARCH("平",D209)),OR(ISNUMBER(SEARCH("上",D209)),ISNUMBER(SEARCH("去",D209)),ISNUMBER(SEARCH("入",D209)))),"Ambiguous",IF(ISNUMBER(SEARCH("平",D209)),"平","仄")))</x:f>
        <x:v>仄</x:v>
      </x:c>
      <x:c r="L209" s="7" t="str">
        <x:v>manual user correction</x:v>
      </x:c>
    </x:row>
    <x:row r="210">
      <x:c r="A210" s="5" t="str">
        <x:v>倅</x:v>
      </x:c>
      <x:c r="B210" s="6" t="str">
        <x:v>去</x:v>
      </x:c>
      <x:c r="C210" s="6" t="str">
        <x:f>IF(B210="","Needs decision","Ready")</x:f>
        <x:v>Ready</x:v>
      </x:c>
      <x:c r="D210" s="6" t="str">
        <x:v>去</x:v>
      </x:c>
      <x:c r="E210" s="6" t="str">
        <x:v>tshwojH (C)</x:v>
      </x:c>
      <x:c r="F210" s="6" t="str">
        <x:v>去聲十一隊</x:v>
      </x:c>
      <x:c r="G210" s="6" t="str">
        <x:v>Pingshui main list, Wikisource-derived DOCX</x:v>
      </x:c>
      <x:c r="H210" s="6" t="str">
        <x:v>1</x:v>
      </x:c>
      <x:c r="I210" s="6" t="str"/>
      <x:c r="J210" s="6" t="str">
        <x:f>IF(B210="","",IF(AND(ISNUMBER(SEARCH("平",B210)),OR(ISNUMBER(SEARCH("上",B210)),ISNUMBER(SEARCH("去",B210)),ISNUMBER(SEARCH("入",B210)))),"Ambiguous",IF(ISNUMBER(SEARCH("平",B210)),"平","仄")))</x:f>
        <x:v>仄</x:v>
      </x:c>
      <x:c r="K210" s="6" t="str">
        <x:f>IF(D210="","",IF(AND(ISNUMBER(SEARCH("平",D210)),OR(ISNUMBER(SEARCH("上",D210)),ISNUMBER(SEARCH("去",D210)),ISNUMBER(SEARCH("入",D210)))),"Ambiguous",IF(ISNUMBER(SEARCH("平",D210)),"平","仄")))</x:f>
        <x:v>仄</x:v>
      </x:c>
      <x:c r="L210" s="7" t="str"/>
    </x:row>
    <x:row r="211">
      <x:c r="A211" s="5" t="str">
        <x:v>倉</x:v>
      </x:c>
      <x:c r="B211" s="6" t="str">
        <x:v>平</x:v>
      </x:c>
      <x:c r="C211" s="6" t="str">
        <x:f>IF(B211="","Needs decision","Ready")</x:f>
        <x:v>Ready</x:v>
      </x:c>
      <x:c r="D211" s="6" t="str">
        <x:v>平</x:v>
      </x:c>
      <x:c r="E211" s="6" t="str">
        <x:v>tshang (A)</x:v>
      </x:c>
      <x:c r="F211" s="6" t="str">
        <x:v>下平聲七陽</x:v>
      </x:c>
      <x:c r="G211" s="6" t="str">
        <x:v>Pingshui main list, Wikisource-derived DOCX</x:v>
      </x:c>
      <x:c r="H211" s="6" t="str">
        <x:v>1</x:v>
      </x:c>
      <x:c r="I211" s="6" t="str"/>
      <x:c r="J211" s="6" t="str">
        <x:f>IF(B211="","",IF(AND(ISNUMBER(SEARCH("平",B211)),OR(ISNUMBER(SEARCH("上",B211)),ISNUMBER(SEARCH("去",B211)),ISNUMBER(SEARCH("入",B211)))),"Ambiguous",IF(ISNUMBER(SEARCH("平",B211)),"平","仄")))</x:f>
        <x:v>平</x:v>
      </x:c>
      <x:c r="K211" s="6" t="str">
        <x:f>IF(D211="","",IF(AND(ISNUMBER(SEARCH("平",D211)),OR(ISNUMBER(SEARCH("上",D211)),ISNUMBER(SEARCH("去",D211)),ISNUMBER(SEARCH("入",D211)))),"Ambiguous",IF(ISNUMBER(SEARCH("平",D211)),"平","仄")))</x:f>
        <x:v>平</x:v>
      </x:c>
      <x:c r="L211" s="7" t="str"/>
    </x:row>
    <x:row r="212">
      <x:c r="A212" s="5" t="str">
        <x:v>個</x:v>
      </x:c>
      <x:c r="B212" s="6" t="str">
        <x:v>去</x:v>
      </x:c>
      <x:c r="C212" s="6" t="str">
        <x:f>IF(B212="","Needs decision","Ready")</x:f>
        <x:v>Ready</x:v>
      </x:c>
      <x:c r="D212" s="6" t="str">
        <x:v>去</x:v>
      </x:c>
      <x:c r="E212" s="6" t="str">
        <x:v>kaH (C)</x:v>
      </x:c>
      <x:c r="F212" s="6" t="str"/>
      <x:c r="G212" s="6" t="str"/>
      <x:c r="H212" s="6" t="str">
        <x:v>1</x:v>
      </x:c>
      <x:c r="I212" s="6" t="str"/>
      <x:c r="J212" s="6" t="str">
        <x:f>IF(B212="","",IF(AND(ISNUMBER(SEARCH("平",B212)),OR(ISNUMBER(SEARCH("上",B212)),ISNUMBER(SEARCH("去",B212)),ISNUMBER(SEARCH("入",B212)))),"Ambiguous",IF(ISNUMBER(SEARCH("平",B212)),"平","仄")))</x:f>
        <x:v>仄</x:v>
      </x:c>
      <x:c r="K212" s="6" t="str">
        <x:f>IF(D212="","",IF(AND(ISNUMBER(SEARCH("平",D212)),OR(ISNUMBER(SEARCH("上",D212)),ISNUMBER(SEARCH("去",D212)),ISNUMBER(SEARCH("入",D212)))),"Ambiguous",IF(ISNUMBER(SEARCH("平",D212)),"平","仄")))</x:f>
        <x:v>仄</x:v>
      </x:c>
      <x:c r="L212" s="7" t="str"/>
    </x:row>
    <x:row r="213">
      <x:c r="A213" s="5" t="str">
        <x:v>倌</x:v>
      </x:c>
      <x:c r="B213" s="6" t="str">
        <x:v>去</x:v>
      </x:c>
      <x:c r="C213" s="6" t="str">
        <x:f>IF(B213="","Needs decision","Ready")</x:f>
        <x:v>Ready</x:v>
      </x:c>
      <x:c r="D213" s="6" t="str">
        <x:v>去</x:v>
      </x:c>
      <x:c r="E213" s="6" t="str">
        <x:v>kwaenH (C)</x:v>
      </x:c>
      <x:c r="F213" s="6" t="str">
        <x:v>上平聲十四寒</x:v>
      </x:c>
      <x:c r="G213" s="6" t="str">
        <x:v>Pingshui main list, Wikisource-derived DOCX</x:v>
      </x:c>
      <x:c r="H213" s="6" t="str">
        <x:v>1</x:v>
      </x:c>
      <x:c r="I213" s="6" t="str"/>
      <x:c r="J213" s="6" t="str">
        <x:f>IF(B213="","",IF(AND(ISNUMBER(SEARCH("平",B213)),OR(ISNUMBER(SEARCH("上",B213)),ISNUMBER(SEARCH("去",B213)),ISNUMBER(SEARCH("入",B213)))),"Ambiguous",IF(ISNUMBER(SEARCH("平",B213)),"平","仄")))</x:f>
        <x:v>仄</x:v>
      </x:c>
      <x:c r="K213" s="6" t="str">
        <x:f>IF(D213="","",IF(AND(ISNUMBER(SEARCH("平",D213)),OR(ISNUMBER(SEARCH("上",D213)),ISNUMBER(SEARCH("去",D213)),ISNUMBER(SEARCH("入",D213)))),"Ambiguous",IF(ISNUMBER(SEARCH("平",D213)),"平","仄")))</x:f>
        <x:v>仄</x:v>
      </x:c>
      <x:c r="L213" s="7" t="str"/>
    </x:row>
    <x:row r="214">
      <x:c r="A214" s="5" t="str">
        <x:v>倍</x:v>
      </x:c>
      <x:c r="B214" s="6" t="str">
        <x:v>上</x:v>
      </x:c>
      <x:c r="C214" s="6" t="str">
        <x:f>IF(B214="","Needs decision","Ready")</x:f>
        <x:v>Ready</x:v>
      </x:c>
      <x:c r="D214" s="6" t="str">
        <x:v>上</x:v>
      </x:c>
      <x:c r="E214" s="6" t="str">
        <x:v>bwojX (B)</x:v>
      </x:c>
      <x:c r="F214" s="6" t="str">
        <x:v>上聲十賄</x:v>
      </x:c>
      <x:c r="G214" s="6" t="str">
        <x:v>Pingshui main list, Wikisource-derived DOCX</x:v>
      </x:c>
      <x:c r="H214" s="6" t="str">
        <x:v>1</x:v>
      </x:c>
      <x:c r="I214" s="6" t="str"/>
      <x:c r="J214" s="6" t="str">
        <x:f>IF(B214="","",IF(AND(ISNUMBER(SEARCH("平",B214)),OR(ISNUMBER(SEARCH("上",B214)),ISNUMBER(SEARCH("去",B214)),ISNUMBER(SEARCH("入",B214)))),"Ambiguous",IF(ISNUMBER(SEARCH("平",B214)),"平","仄")))</x:f>
        <x:v>仄</x:v>
      </x:c>
      <x:c r="K214" s="6" t="str">
        <x:f>IF(D214="","",IF(AND(ISNUMBER(SEARCH("平",D214)),OR(ISNUMBER(SEARCH("上",D214)),ISNUMBER(SEARCH("去",D214)),ISNUMBER(SEARCH("入",D214)))),"Ambiguous",IF(ISNUMBER(SEARCH("平",D214)),"平","仄")))</x:f>
        <x:v>仄</x:v>
      </x:c>
      <x:c r="L214" s="7" t="str"/>
    </x:row>
    <x:row r="215">
      <x:c r="A215" s="5" t="str">
        <x:v>倏</x:v>
      </x:c>
      <x:c r="B215" s="6" t="str">
        <x:v>入</x:v>
      </x:c>
      <x:c r="C215" s="6" t="str">
        <x:f>IF(B215="","Needs decision","Ready")</x:f>
        <x:v>Ready</x:v>
      </x:c>
      <x:c r="D215" s="6" t="str">
        <x:v>入</x:v>
      </x:c>
      <x:c r="E215" s="6" t="str">
        <x:v>dzyuwk (D)</x:v>
      </x:c>
      <x:c r="F215" s="6" t="str"/>
      <x:c r="G215" s="6" t="str"/>
      <x:c r="H215" s="6" t="str">
        <x:v>1</x:v>
      </x:c>
      <x:c r="I215" s="6" t="str"/>
      <x:c r="J215" s="6" t="str">
        <x:f>IF(B215="","",IF(AND(ISNUMBER(SEARCH("平",B215)),OR(ISNUMBER(SEARCH("上",B215)),ISNUMBER(SEARCH("去",B215)),ISNUMBER(SEARCH("入",B215)))),"Ambiguous",IF(ISNUMBER(SEARCH("平",B215)),"平","仄")))</x:f>
        <x:v>仄</x:v>
      </x:c>
      <x:c r="K215" s="6" t="str">
        <x:f>IF(D215="","",IF(AND(ISNUMBER(SEARCH("平",D215)),OR(ISNUMBER(SEARCH("上",D215)),ISNUMBER(SEARCH("去",D215)),ISNUMBER(SEARCH("入",D215)))),"Ambiguous",IF(ISNUMBER(SEARCH("平",D215)),"平","仄")))</x:f>
        <x:v>仄</x:v>
      </x:c>
      <x:c r="L215" s="7" t="str"/>
    </x:row>
    <x:row r="216">
      <x:c r="A216" s="5" t="str">
        <x:v>倒</x:v>
      </x:c>
      <x:c r="B216" s="6" t="str">
        <x:v>去</x:v>
      </x:c>
      <x:c r="C216" s="6" t="str">
        <x:f>IF(B216="","Needs decision","Ready")</x:f>
        <x:v>Ready</x:v>
      </x:c>
      <x:c r="D216" s="6" t="str">
        <x:v>上/去</x:v>
      </x:c>
      <x:c r="E216" s="6" t="str">
        <x:v>tawX (B); tawH (C)</x:v>
      </x:c>
      <x:c r="F216" s="6" t="str">
        <x:v>上聲十九皓; 去聲二十號</x:v>
      </x:c>
      <x:c r="G216" s="6" t="str">
        <x:v>Pingshui main list, Wikisource-derived DOCX</x:v>
      </x:c>
      <x:c r="H216" s="6" t="str">
        <x:v>2</x:v>
      </x:c>
      <x:c r="I216" s="6" t="str">
        <x:v>User correction 2026-09-08</x:v>
      </x:c>
      <x:c r="J216" s="6" t="str">
        <x:f>IF(B216="","",IF(AND(ISNUMBER(SEARCH("平",B216)),OR(ISNUMBER(SEARCH("上",B216)),ISNUMBER(SEARCH("去",B216)),ISNUMBER(SEARCH("入",B216)))),"Ambiguous",IF(ISNUMBER(SEARCH("平",B216)),"平","仄")))</x:f>
        <x:v>仄</x:v>
      </x:c>
      <x:c r="K216" s="6" t="str">
        <x:f>IF(D216="","",IF(AND(ISNUMBER(SEARCH("平",D216)),OR(ISNUMBER(SEARCH("上",D216)),ISNUMBER(SEARCH("去",D216)),ISNUMBER(SEARCH("入",D216)))),"Ambiguous",IF(ISNUMBER(SEARCH("平",D216)),"平","仄")))</x:f>
        <x:v>仄</x:v>
      </x:c>
      <x:c r="L216" s="7" t="str"/>
    </x:row>
    <x:row r="217">
      <x:c r="A217" s="5" t="str">
        <x:v>倔</x:v>
      </x:c>
      <x:c r="B217" s="6" t="str">
        <x:v>入</x:v>
      </x:c>
      <x:c r="C217" s="6" t="str">
        <x:f>IF(B217="","Needs decision","Ready")</x:f>
        <x:v>Ready</x:v>
      </x:c>
      <x:c r="D217" s="6" t="str">
        <x:v>入</x:v>
      </x:c>
      <x:c r="E217" s="6" t="str">
        <x:v>gjut (D)</x:v>
      </x:c>
      <x:c r="F217" s="6" t="str">
        <x:v>入聲五物</x:v>
      </x:c>
      <x:c r="G217" s="6" t="str">
        <x:v>Pingshui main list, Wikisource-derived DOCX</x:v>
      </x:c>
      <x:c r="H217" s="6" t="str">
        <x:v>1</x:v>
      </x:c>
      <x:c r="I217" s="6" t="str"/>
      <x:c r="J217" s="6" t="str">
        <x:f>IF(B217="","",IF(AND(ISNUMBER(SEARCH("平",B217)),OR(ISNUMBER(SEARCH("上",B217)),ISNUMBER(SEARCH("去",B217)),ISNUMBER(SEARCH("入",B217)))),"Ambiguous",IF(ISNUMBER(SEARCH("平",B217)),"平","仄")))</x:f>
        <x:v>仄</x:v>
      </x:c>
      <x:c r="K217" s="6" t="str">
        <x:f>IF(D217="","",IF(AND(ISNUMBER(SEARCH("平",D217)),OR(ISNUMBER(SEARCH("上",D217)),ISNUMBER(SEARCH("去",D217)),ISNUMBER(SEARCH("入",D217)))),"Ambiguous",IF(ISNUMBER(SEARCH("平",D217)),"平","仄")))</x:f>
        <x:v>仄</x:v>
      </x:c>
      <x:c r="L217" s="7" t="str"/>
    </x:row>
    <x:row r="218">
      <x:c r="A218" s="5" t="str">
        <x:v>倖</x:v>
      </x:c>
      <x:c r="B218" s="6" t="str">
        <x:v>上</x:v>
      </x:c>
      <x:c r="C218" s="6" t="str">
        <x:f>IF(B218="","Needs decision","Ready")</x:f>
        <x:v>Ready</x:v>
      </x:c>
      <x:c r="D218" s="6" t="str">
        <x:v>上</x:v>
      </x:c>
      <x:c r="E218" s="6" t="str">
        <x:v>heangX [ʁeˤŋʔ] (上)</x:v>
      </x:c>
      <x:c r="F218" s="6" t="str"/>
      <x:c r="G218" s="6" t="str"/>
      <x:c r="H218" s="6" t="str">
        <x:v>1</x:v>
      </x:c>
      <x:c r="I218" s="6" t="str">
        <x:v>Tang 300 gap; frequency 1; provisional from Xun Gong</x:v>
      </x:c>
      <x:c r="J218" s="6" t="str">
        <x:f>IF(B218="","",IF(AND(ISNUMBER(SEARCH("平",B218)),OR(ISNUMBER(SEARCH("上",B218)),ISNUMBER(SEARCH("去",B218)),ISNUMBER(SEARCH("入",B218)))),"Ambiguous",IF(ISNUMBER(SEARCH("平",B218)),"平","仄")))</x:f>
        <x:v>仄</x:v>
      </x:c>
      <x:c r="K218" s="6" t="str">
        <x:f>IF(D218="","",IF(AND(ISNUMBER(SEARCH("平",D218)),OR(ISNUMBER(SEARCH("上",D218)),ISNUMBER(SEARCH("去",D218)),ISNUMBER(SEARCH("入",D218)))),"Ambiguous",IF(ISNUMBER(SEARCH("平",D218)),"平","仄")))</x:f>
        <x:v>仄</x:v>
      </x:c>
      <x:c r="L218" s="7" t="str">
        <x:v>Xun Gong, Tang 300 gap fill</x:v>
      </x:c>
    </x:row>
    <x:row r="219">
      <x:c r="A219" s="5" t="str">
        <x:v>倘</x:v>
      </x:c>
      <x:c r="B219" s="6" t="str">
        <x:v>上</x:v>
      </x:c>
      <x:c r="C219" s="6" t="str">
        <x:f>IF(B219="","Needs decision","Ready")</x:f>
        <x:v>Ready</x:v>
      </x:c>
      <x:c r="D219" s="6" t="str">
        <x:v>上</x:v>
      </x:c>
      <x:c r="E219" s="6" t="str"/>
      <x:c r="F219" s="6" t="str"/>
      <x:c r="G219" s="6" t="str"/>
      <x:c r="H219" s="6" t="str"/>
      <x:c r="I219" s="6" t="str">
        <x:v>Manual user correction/addition</x:v>
      </x:c>
      <x:c r="J219" s="6" t="str">
        <x:f>IF(B219="","",IF(AND(ISNUMBER(SEARCH("平",B219)),OR(ISNUMBER(SEARCH("上",B219)),ISNUMBER(SEARCH("去",B219)),ISNUMBER(SEARCH("入",B219)))),"Ambiguous",IF(ISNUMBER(SEARCH("平",B219)),"平","仄")))</x:f>
        <x:v>仄</x:v>
      </x:c>
      <x:c r="K219" s="6" t="str">
        <x:f>IF(D219="","",IF(AND(ISNUMBER(SEARCH("平",D219)),OR(ISNUMBER(SEARCH("上",D219)),ISNUMBER(SEARCH("去",D219)),ISNUMBER(SEARCH("入",D219)))),"Ambiguous",IF(ISNUMBER(SEARCH("平",D219)),"平","仄")))</x:f>
        <x:v>仄</x:v>
      </x:c>
      <x:c r="L219" s="7" t="str">
        <x:v>manual user correction</x:v>
      </x:c>
    </x:row>
    <x:row r="220">
      <x:c r="A220" s="5" t="str">
        <x:v>候</x:v>
      </x:c>
      <x:c r="B220" s="6" t="str">
        <x:v>去</x:v>
      </x:c>
      <x:c r="C220" s="6" t="str">
        <x:f>IF(B220="","Needs decision","Ready")</x:f>
        <x:v>Ready</x:v>
      </x:c>
      <x:c r="D220" s="6" t="str">
        <x:v>去</x:v>
      </x:c>
      <x:c r="E220" s="6" t="str">
        <x:v>huwH (C)</x:v>
      </x:c>
      <x:c r="F220" s="6" t="str">
        <x:v>去聲二十六宥</x:v>
      </x:c>
      <x:c r="G220" s="6" t="str">
        <x:v>Pingshui main list, Wikisource-derived DOCX</x:v>
      </x:c>
      <x:c r="H220" s="6" t="str">
        <x:v>1</x:v>
      </x:c>
      <x:c r="I220" s="6" t="str"/>
      <x:c r="J220" s="6" t="str">
        <x:f>IF(B220="","",IF(AND(ISNUMBER(SEARCH("平",B220)),OR(ISNUMBER(SEARCH("上",B220)),ISNUMBER(SEARCH("去",B220)),ISNUMBER(SEARCH("入",B220)))),"Ambiguous",IF(ISNUMBER(SEARCH("平",B220)),"平","仄")))</x:f>
        <x:v>仄</x:v>
      </x:c>
      <x:c r="K220" s="6" t="str">
        <x:f>IF(D220="","",IF(AND(ISNUMBER(SEARCH("平",D220)),OR(ISNUMBER(SEARCH("上",D220)),ISNUMBER(SEARCH("去",D220)),ISNUMBER(SEARCH("入",D220)))),"Ambiguous",IF(ISNUMBER(SEARCH("平",D220)),"平","仄")))</x:f>
        <x:v>仄</x:v>
      </x:c>
      <x:c r="L220" s="7" t="str"/>
    </x:row>
    <x:row r="221">
      <x:c r="A221" s="5" t="str">
        <x:v>倚</x:v>
      </x:c>
      <x:c r="B221" s="6" t="str">
        <x:v>上</x:v>
      </x:c>
      <x:c r="C221" s="6" t="str">
        <x:f>IF(B221="","Needs decision","Ready")</x:f>
        <x:v>Ready</x:v>
      </x:c>
      <x:c r="D221" s="6" t="str">
        <x:v>上</x:v>
      </x:c>
      <x:c r="E221" s="6" t="str">
        <x:v>'jeX (B)</x:v>
      </x:c>
      <x:c r="F221" s="6" t="str">
        <x:v>上聲四紙</x:v>
      </x:c>
      <x:c r="G221" s="6" t="str">
        <x:v>Pingshui main list, Wikisource-derived DOCX</x:v>
      </x:c>
      <x:c r="H221" s="6" t="str">
        <x:v>1</x:v>
      </x:c>
      <x:c r="I221" s="6" t="str"/>
      <x:c r="J221" s="6" t="str">
        <x:f>IF(B221="","",IF(AND(ISNUMBER(SEARCH("平",B221)),OR(ISNUMBER(SEARCH("上",B221)),ISNUMBER(SEARCH("去",B221)),ISNUMBER(SEARCH("入",B221)))),"Ambiguous",IF(ISNUMBER(SEARCH("平",B221)),"平","仄")))</x:f>
        <x:v>仄</x:v>
      </x:c>
      <x:c r="K221" s="6" t="str">
        <x:f>IF(D221="","",IF(AND(ISNUMBER(SEARCH("平",D221)),OR(ISNUMBER(SEARCH("上",D221)),ISNUMBER(SEARCH("去",D221)),ISNUMBER(SEARCH("入",D221)))),"Ambiguous",IF(ISNUMBER(SEARCH("平",D221)),"平","仄")))</x:f>
        <x:v>仄</x:v>
      </x:c>
      <x:c r="L221" s="7" t="str"/>
    </x:row>
    <x:row r="222">
      <x:c r="A222" s="5" t="str">
        <x:v>倝</x:v>
      </x:c>
      <x:c r="B222" s="6" t="str">
        <x:v>去</x:v>
      </x:c>
      <x:c r="C222" s="6" t="str">
        <x:f>IF(B222="","Needs decision","Ready")</x:f>
        <x:v>Ready</x:v>
      </x:c>
      <x:c r="D222" s="6" t="str">
        <x:v>去</x:v>
      </x:c>
      <x:c r="E222" s="6" t="str">
        <x:v>kanH (C)</x:v>
      </x:c>
      <x:c r="F222" s="6" t="str"/>
      <x:c r="G222" s="6" t="str"/>
      <x:c r="H222" s="6" t="str">
        <x:v>1</x:v>
      </x:c>
      <x:c r="I222" s="6" t="str"/>
      <x:c r="J222" s="6" t="str">
        <x:f>IF(B222="","",IF(AND(ISNUMBER(SEARCH("平",B222)),OR(ISNUMBER(SEARCH("上",B222)),ISNUMBER(SEARCH("去",B222)),ISNUMBER(SEARCH("入",B222)))),"Ambiguous",IF(ISNUMBER(SEARCH("平",B222)),"平","仄")))</x:f>
        <x:v>仄</x:v>
      </x:c>
      <x:c r="K222" s="6" t="str">
        <x:f>IF(D222="","",IF(AND(ISNUMBER(SEARCH("平",D222)),OR(ISNUMBER(SEARCH("上",D222)),ISNUMBER(SEARCH("去",D222)),ISNUMBER(SEARCH("入",D222)))),"Ambiguous",IF(ISNUMBER(SEARCH("平",D222)),"平","仄")))</x:f>
        <x:v>仄</x:v>
      </x:c>
      <x:c r="L222" s="7" t="str"/>
    </x:row>
    <x:row r="223">
      <x:c r="A223" s="5" t="str">
        <x:v>借</x:v>
      </x:c>
      <x:c r="B223" s="6" t="str"/>
      <x:c r="C223" s="6" t="str">
        <x:f>IF(B223="","Needs decision","Ready")</x:f>
        <x:v>Needs decision</x:v>
      </x:c>
      <x:c r="D223" s="6" t="str">
        <x:v>去/入</x:v>
      </x:c>
      <x:c r="E223" s="6" t="str">
        <x:v>tsjaeH (C); tsjek (D)</x:v>
      </x:c>
      <x:c r="F223" s="6" t="str">
        <x:v>去聲二十二禡; 入聲十一陌</x:v>
      </x:c>
      <x:c r="G223" s="6" t="str">
        <x:v>Pingshui main list, Wikisource-derived DOCX</x:v>
      </x:c>
      <x:c r="H223" s="6" t="str">
        <x:v>2</x:v>
      </x:c>
      <x:c r="I223" s="6" t="str"/>
      <x:c r="J223" s="6" t="str">
        <x:f>IF(B223="","",IF(AND(ISNUMBER(SEARCH("平",B223)),OR(ISNUMBER(SEARCH("上",B223)),ISNUMBER(SEARCH("去",B223)),ISNUMBER(SEARCH("入",B223)))),"Ambiguous",IF(ISNUMBER(SEARCH("平",B223)),"平","仄")))</x:f>
      </x:c>
      <x:c r="K223" s="6" t="str">
        <x:f>IF(D223="","",IF(AND(ISNUMBER(SEARCH("平",D223)),OR(ISNUMBER(SEARCH("上",D223)),ISNUMBER(SEARCH("去",D223)),ISNUMBER(SEARCH("入",D223)))),"Ambiguous",IF(ISNUMBER(SEARCH("平",D223)),"平","仄")))</x:f>
        <x:v>仄</x:v>
      </x:c>
      <x:c r="L223" s="7" t="str"/>
    </x:row>
    <x:row r="224">
      <x:c r="A224" s="5" t="str">
        <x:v>倡</x:v>
      </x:c>
      <x:c r="B224" s="6" t="str">
        <x:v>去</x:v>
      </x:c>
      <x:c r="C224" s="6" t="str">
        <x:f>IF(B224="","Needs decision","Ready")</x:f>
        <x:v>Ready</x:v>
      </x:c>
      <x:c r="D224" s="6" t="str">
        <x:v>去</x:v>
      </x:c>
      <x:c r="E224" s="6" t="str">
        <x:v>tsyhangH (C)</x:v>
      </x:c>
      <x:c r="F224" s="6" t="str">
        <x:v>下平聲七陽</x:v>
      </x:c>
      <x:c r="G224" s="6" t="str">
        <x:v>Pingshui main list, Wikisource-derived DOCX</x:v>
      </x:c>
      <x:c r="H224" s="6" t="str">
        <x:v>1</x:v>
      </x:c>
      <x:c r="I224" s="6" t="str"/>
      <x:c r="J224" s="6" t="str">
        <x:f>IF(B224="","",IF(AND(ISNUMBER(SEARCH("平",B224)),OR(ISNUMBER(SEARCH("上",B224)),ISNUMBER(SEARCH("去",B224)),ISNUMBER(SEARCH("入",B224)))),"Ambiguous",IF(ISNUMBER(SEARCH("平",B224)),"平","仄")))</x:f>
        <x:v>仄</x:v>
      </x:c>
      <x:c r="K224" s="6" t="str">
        <x:f>IF(D224="","",IF(AND(ISNUMBER(SEARCH("平",D224)),OR(ISNUMBER(SEARCH("上",D224)),ISNUMBER(SEARCH("去",D224)),ISNUMBER(SEARCH("入",D224)))),"Ambiguous",IF(ISNUMBER(SEARCH("平",D224)),"平","仄")))</x:f>
        <x:v>仄</x:v>
      </x:c>
      <x:c r="L224" s="7" t="str"/>
    </x:row>
    <x:row r="225">
      <x:c r="A225" s="5" t="str">
        <x:v>倦</x:v>
      </x:c>
      <x:c r="B225" s="6" t="str">
        <x:v>去</x:v>
      </x:c>
      <x:c r="C225" s="6" t="str">
        <x:f>IF(B225="","Needs decision","Ready")</x:f>
        <x:v>Ready</x:v>
      </x:c>
      <x:c r="D225" s="6" t="str">
        <x:v>去</x:v>
      </x:c>
      <x:c r="E225" s="6" t="str"/>
      <x:c r="F225" s="6" t="str">
        <x:v>去聲十七霰</x:v>
      </x:c>
      <x:c r="G225" s="6" t="str">
        <x:v>Pingshui main list, Wikisource-derived DOCX</x:v>
      </x:c>
      <x:c r="H225" s="6" t="str"/>
      <x:c r="I225" s="6" t="str">
        <x:v>Manual user correction/addition</x:v>
      </x:c>
      <x:c r="J225" s="6" t="str">
        <x:f>IF(B225="","",IF(AND(ISNUMBER(SEARCH("平",B225)),OR(ISNUMBER(SEARCH("上",B225)),ISNUMBER(SEARCH("去",B225)),ISNUMBER(SEARCH("入",B225)))),"Ambiguous",IF(ISNUMBER(SEARCH("平",B225)),"平","仄")))</x:f>
        <x:v>仄</x:v>
      </x:c>
      <x:c r="K225" s="6" t="str">
        <x:f>IF(D225="","",IF(AND(ISNUMBER(SEARCH("平",D225)),OR(ISNUMBER(SEARCH("上",D225)),ISNUMBER(SEARCH("去",D225)),ISNUMBER(SEARCH("入",D225)))),"Ambiguous",IF(ISNUMBER(SEARCH("平",D225)),"平","仄")))</x:f>
        <x:v>仄</x:v>
      </x:c>
      <x:c r="L225" s="7" t="str">
        <x:v>manual user correction</x:v>
      </x:c>
    </x:row>
    <x:row r="226">
      <x:c r="A226" s="5" t="str">
        <x:v>倪</x:v>
      </x:c>
      <x:c r="B226" s="6" t="str">
        <x:v>平</x:v>
      </x:c>
      <x:c r="C226" s="6" t="str">
        <x:f>IF(B226="","Needs decision","Ready")</x:f>
        <x:v>Ready</x:v>
      </x:c>
      <x:c r="D226" s="6" t="str">
        <x:v>平</x:v>
      </x:c>
      <x:c r="E226" s="6" t="str">
        <x:v>ngej (A)</x:v>
      </x:c>
      <x:c r="F226" s="6" t="str">
        <x:v>上平聲八齊</x:v>
      </x:c>
      <x:c r="G226" s="6" t="str">
        <x:v>Pingshui main list, Wikisource-derived DOCX</x:v>
      </x:c>
      <x:c r="H226" s="6" t="str">
        <x:v>1</x:v>
      </x:c>
      <x:c r="I226" s="6" t="str"/>
      <x:c r="J226" s="6" t="str">
        <x:f>IF(B226="","",IF(AND(ISNUMBER(SEARCH("平",B226)),OR(ISNUMBER(SEARCH("上",B226)),ISNUMBER(SEARCH("去",B226)),ISNUMBER(SEARCH("入",B226)))),"Ambiguous",IF(ISNUMBER(SEARCH("平",B226)),"平","仄")))</x:f>
        <x:v>平</x:v>
      </x:c>
      <x:c r="K226" s="6" t="str">
        <x:f>IF(D226="","",IF(AND(ISNUMBER(SEARCH("平",D226)),OR(ISNUMBER(SEARCH("上",D226)),ISNUMBER(SEARCH("去",D226)),ISNUMBER(SEARCH("入",D226)))),"Ambiguous",IF(ISNUMBER(SEARCH("平",D226)),"平","仄")))</x:f>
        <x:v>平</x:v>
      </x:c>
      <x:c r="L226" s="7" t="str"/>
    </x:row>
    <x:row r="227">
      <x:c r="A227" s="5" t="str">
        <x:v>倫</x:v>
      </x:c>
      <x:c r="B227" s="6" t="str">
        <x:v>平</x:v>
      </x:c>
      <x:c r="C227" s="6" t="str">
        <x:f>IF(B227="","Needs decision","Ready")</x:f>
        <x:v>Ready</x:v>
      </x:c>
      <x:c r="D227" s="6" t="str">
        <x:v>平</x:v>
      </x:c>
      <x:c r="E227" s="6" t="str">
        <x:v>lwin (A)</x:v>
      </x:c>
      <x:c r="F227" s="6" t="str">
        <x:v>上平聲十一真</x:v>
      </x:c>
      <x:c r="G227" s="6" t="str">
        <x:v>Pingshui main list, Wikisource-derived DOCX</x:v>
      </x:c>
      <x:c r="H227" s="6" t="str">
        <x:v>1</x:v>
      </x:c>
      <x:c r="I227" s="6" t="str"/>
      <x:c r="J227" s="6" t="str">
        <x:f>IF(B227="","",IF(AND(ISNUMBER(SEARCH("平",B227)),OR(ISNUMBER(SEARCH("上",B227)),ISNUMBER(SEARCH("去",B227)),ISNUMBER(SEARCH("入",B227)))),"Ambiguous",IF(ISNUMBER(SEARCH("平",B227)),"平","仄")))</x:f>
        <x:v>平</x:v>
      </x:c>
      <x:c r="K227" s="6" t="str">
        <x:f>IF(D227="","",IF(AND(ISNUMBER(SEARCH("平",D227)),OR(ISNUMBER(SEARCH("上",D227)),ISNUMBER(SEARCH("去",D227)),ISNUMBER(SEARCH("入",D227)))),"Ambiguous",IF(ISNUMBER(SEARCH("平",D227)),"平","仄")))</x:f>
        <x:v>平</x:v>
      </x:c>
      <x:c r="L227" s="7" t="str"/>
    </x:row>
    <x:row r="228">
      <x:c r="A228" s="5" t="str">
        <x:v>倮</x:v>
      </x:c>
      <x:c r="B228" s="6" t="str">
        <x:v>上</x:v>
      </x:c>
      <x:c r="C228" s="6" t="str">
        <x:f>IF(B228="","Needs decision","Ready")</x:f>
        <x:v>Ready</x:v>
      </x:c>
      <x:c r="D228" s="6" t="str">
        <x:v>上</x:v>
      </x:c>
      <x:c r="E228" s="6" t="str">
        <x:v>lwaX (B)</x:v>
      </x:c>
      <x:c r="F228" s="6" t="str"/>
      <x:c r="G228" s="6" t="str"/>
      <x:c r="H228" s="6" t="str">
        <x:v>1</x:v>
      </x:c>
      <x:c r="I228" s="6" t="str"/>
      <x:c r="J228" s="6" t="str">
        <x:f>IF(B228="","",IF(AND(ISNUMBER(SEARCH("平",B228)),OR(ISNUMBER(SEARCH("上",B228)),ISNUMBER(SEARCH("去",B228)),ISNUMBER(SEARCH("入",B228)))),"Ambiguous",IF(ISNUMBER(SEARCH("平",B228)),"平","仄")))</x:f>
        <x:v>仄</x:v>
      </x:c>
      <x:c r="K228" s="6" t="str">
        <x:f>IF(D228="","",IF(AND(ISNUMBER(SEARCH("平",D228)),OR(ISNUMBER(SEARCH("上",D228)),ISNUMBER(SEARCH("去",D228)),ISNUMBER(SEARCH("入",D228)))),"Ambiguous",IF(ISNUMBER(SEARCH("平",D228)),"平","仄")))</x:f>
        <x:v>仄</x:v>
      </x:c>
      <x:c r="L228" s="7" t="str"/>
    </x:row>
    <x:row r="229">
      <x:c r="A229" s="5" t="str">
        <x:v>值</x:v>
      </x:c>
      <x:c r="B229" s="6" t="str">
        <x:v>去</x:v>
      </x:c>
      <x:c r="C229" s="6" t="str">
        <x:f>IF(B229="","Needs decision","Ready")</x:f>
        <x:v>Ready</x:v>
      </x:c>
      <x:c r="D229" s="6" t="str">
        <x:v>去</x:v>
      </x:c>
      <x:c r="E229" s="6" t="str">
        <x:v>driH (C)</x:v>
      </x:c>
      <x:c r="F229" s="6" t="str">
        <x:v>去聲四寘</x:v>
      </x:c>
      <x:c r="G229" s="6" t="str">
        <x:v>Pingshui main list, Wikisource-derived DOCX</x:v>
      </x:c>
      <x:c r="H229" s="6" t="str">
        <x:v>1</x:v>
      </x:c>
      <x:c r="I229" s="6" t="str"/>
      <x:c r="J229" s="6" t="str">
        <x:f>IF(B229="","",IF(AND(ISNUMBER(SEARCH("平",B229)),OR(ISNUMBER(SEARCH("上",B229)),ISNUMBER(SEARCH("去",B229)),ISNUMBER(SEARCH("入",B229)))),"Ambiguous",IF(ISNUMBER(SEARCH("平",B229)),"平","仄")))</x:f>
        <x:v>仄</x:v>
      </x:c>
      <x:c r="K229" s="6" t="str">
        <x:f>IF(D229="","",IF(AND(ISNUMBER(SEARCH("平",D229)),OR(ISNUMBER(SEARCH("上",D229)),ISNUMBER(SEARCH("去",D229)),ISNUMBER(SEARCH("入",D229)))),"Ambiguous",IF(ISNUMBER(SEARCH("平",D229)),"平","仄")))</x:f>
        <x:v>仄</x:v>
      </x:c>
      <x:c r="L229" s="7" t="str"/>
    </x:row>
    <x:row r="230">
      <x:c r="A230" s="5" t="str">
        <x:v>偃</x:v>
      </x:c>
      <x:c r="B230" s="6" t="str">
        <x:v>上</x:v>
      </x:c>
      <x:c r="C230" s="6" t="str">
        <x:f>IF(B230="","Needs decision","Ready")</x:f>
        <x:v>Ready</x:v>
      </x:c>
      <x:c r="D230" s="6" t="str">
        <x:v>上</x:v>
      </x:c>
      <x:c r="E230" s="6" t="str">
        <x:v>'jonX (B)</x:v>
      </x:c>
      <x:c r="F230" s="6" t="str">
        <x:v>上聲十三阮</x:v>
      </x:c>
      <x:c r="G230" s="6" t="str">
        <x:v>Pingshui main list, Wikisource-derived DOCX</x:v>
      </x:c>
      <x:c r="H230" s="6" t="str">
        <x:v>1</x:v>
      </x:c>
      <x:c r="I230" s="6" t="str"/>
      <x:c r="J230" s="6" t="str">
        <x:f>IF(B230="","",IF(AND(ISNUMBER(SEARCH("平",B230)),OR(ISNUMBER(SEARCH("上",B230)),ISNUMBER(SEARCH("去",B230)),ISNUMBER(SEARCH("入",B230)))),"Ambiguous",IF(ISNUMBER(SEARCH("平",B230)),"平","仄")))</x:f>
        <x:v>仄</x:v>
      </x:c>
      <x:c r="K230" s="6" t="str">
        <x:f>IF(D230="","",IF(AND(ISNUMBER(SEARCH("平",D230)),OR(ISNUMBER(SEARCH("上",D230)),ISNUMBER(SEARCH("去",D230)),ISNUMBER(SEARCH("入",D230)))),"Ambiguous",IF(ISNUMBER(SEARCH("平",D230)),"平","仄")))</x:f>
        <x:v>仄</x:v>
      </x:c>
      <x:c r="L230" s="7" t="str"/>
    </x:row>
    <x:row r="231">
      <x:c r="A231" s="5" t="str">
        <x:v>假</x:v>
      </x:c>
      <x:c r="B231" s="6" t="str">
        <x:v>上</x:v>
      </x:c>
      <x:c r="C231" s="6" t="str">
        <x:f>IF(B231="","Needs decision","Ready")</x:f>
        <x:v>Ready</x:v>
      </x:c>
      <x:c r="D231" s="6" t="str">
        <x:v>上</x:v>
      </x:c>
      <x:c r="E231" s="6" t="str">
        <x:v>kaeX (B)</x:v>
      </x:c>
      <x:c r="F231" s="6" t="str">
        <x:v>上聲二十一馬; 去聲二十二禡</x:v>
      </x:c>
      <x:c r="G231" s="6" t="str">
        <x:v>Pingshui main list, Wikisource-derived DOCX</x:v>
      </x:c>
      <x:c r="H231" s="6" t="str">
        <x:v>1</x:v>
      </x:c>
      <x:c r="I231" s="6" t="str"/>
      <x:c r="J231" s="6" t="str">
        <x:f>IF(B231="","",IF(AND(ISNUMBER(SEARCH("平",B231)),OR(ISNUMBER(SEARCH("上",B231)),ISNUMBER(SEARCH("去",B231)),ISNUMBER(SEARCH("入",B231)))),"Ambiguous",IF(ISNUMBER(SEARCH("平",B231)),"平","仄")))</x:f>
        <x:v>仄</x:v>
      </x:c>
      <x:c r="K231" s="6" t="str">
        <x:f>IF(D231="","",IF(AND(ISNUMBER(SEARCH("平",D231)),OR(ISNUMBER(SEARCH("上",D231)),ISNUMBER(SEARCH("去",D231)),ISNUMBER(SEARCH("入",D231)))),"Ambiguous",IF(ISNUMBER(SEARCH("平",D231)),"平","仄")))</x:f>
        <x:v>仄</x:v>
      </x:c>
      <x:c r="L231" s="7" t="str"/>
    </x:row>
    <x:row r="232">
      <x:c r="A232" s="5" t="str">
        <x:v>偉</x:v>
      </x:c>
      <x:c r="B232" s="6" t="str">
        <x:v>上</x:v>
      </x:c>
      <x:c r="C232" s="6" t="str">
        <x:f>IF(B232="","Needs decision","Ready")</x:f>
        <x:v>Ready</x:v>
      </x:c>
      <x:c r="D232" s="6" t="str">
        <x:v>上</x:v>
      </x:c>
      <x:c r="E232" s="6" t="str">
        <x:v>hjw+jX [云合三C微上] wɨjʔ</x:v>
      </x:c>
      <x:c r="F232" s="6" t="str">
        <x:v>上聲五尾</x:v>
      </x:c>
      <x:c r="G232" s="6" t="str">
        <x:v>Pingshui main list, Wikisource-derived DOCX</x:v>
      </x:c>
      <x:c r="H232" s="6" t="str">
        <x:v>1</x:v>
      </x:c>
      <x:c r="I232" s="6" t="str">
        <x:v>Targeted preliminary fill from Xun Gong; review if uncertain</x:v>
      </x:c>
      <x:c r="J232" s="6" t="str">
        <x:f>IF(B232="","",IF(AND(ISNUMBER(SEARCH("平",B232)),OR(ISNUMBER(SEARCH("上",B232)),ISNUMBER(SEARCH("去",B232)),ISNUMBER(SEARCH("入",B232)))),"Ambiguous",IF(ISNUMBER(SEARCH("平",B232)),"平","仄")))</x:f>
        <x:v>仄</x:v>
      </x:c>
      <x:c r="K232" s="6" t="str">
        <x:f>IF(D232="","",IF(AND(ISNUMBER(SEARCH("平",D232)),OR(ISNUMBER(SEARCH("上",D232)),ISNUMBER(SEARCH("去",D232)),ISNUMBER(SEARCH("入",D232)))),"Ambiguous",IF(ISNUMBER(SEARCH("平",D232)),"平","仄")))</x:f>
        <x:v>仄</x:v>
      </x:c>
      <x:c r="L232" s="7" t="str">
        <x:v>Xun Gong character-readings.csv</x:v>
      </x:c>
    </x:row>
    <x:row r="233">
      <x:c r="A233" s="5" t="str">
        <x:v>偏</x:v>
      </x:c>
      <x:c r="B233" s="6" t="str">
        <x:v>平</x:v>
      </x:c>
      <x:c r="C233" s="6" t="str">
        <x:f>IF(B233="","Needs decision","Ready")</x:f>
        <x:v>Ready</x:v>
      </x:c>
      <x:c r="D233" s="6" t="str">
        <x:v>平</x:v>
      </x:c>
      <x:c r="E233" s="6" t="str">
        <x:v>phjien (A)</x:v>
      </x:c>
      <x:c r="F233" s="6" t="str">
        <x:v>下平聲一先</x:v>
      </x:c>
      <x:c r="G233" s="6" t="str">
        <x:v>Pingshui main list, Wikisource-derived DOCX</x:v>
      </x:c>
      <x:c r="H233" s="6" t="str">
        <x:v>1</x:v>
      </x:c>
      <x:c r="I233" s="6" t="str"/>
      <x:c r="J233" s="6" t="str">
        <x:f>IF(B233="","",IF(AND(ISNUMBER(SEARCH("平",B233)),OR(ISNUMBER(SEARCH("上",B233)),ISNUMBER(SEARCH("去",B233)),ISNUMBER(SEARCH("入",B233)))),"Ambiguous",IF(ISNUMBER(SEARCH("平",B233)),"平","仄")))</x:f>
        <x:v>平</x:v>
      </x:c>
      <x:c r="K233" s="6" t="str">
        <x:f>IF(D233="","",IF(AND(ISNUMBER(SEARCH("平",D233)),OR(ISNUMBER(SEARCH("上",D233)),ISNUMBER(SEARCH("去",D233)),ISNUMBER(SEARCH("入",D233)))),"Ambiguous",IF(ISNUMBER(SEARCH("平",D233)),"平","仄")))</x:f>
        <x:v>平</x:v>
      </x:c>
      <x:c r="L233" s="7" t="str"/>
    </x:row>
    <x:row r="234">
      <x:c r="A234" s="5" t="str">
        <x:v>偕</x:v>
      </x:c>
      <x:c r="B234" s="6" t="str">
        <x:v>平</x:v>
      </x:c>
      <x:c r="C234" s="6" t="str">
        <x:f>IF(B234="","Needs decision","Ready")</x:f>
        <x:v>Ready</x:v>
      </x:c>
      <x:c r="D234" s="6" t="str">
        <x:v>平</x:v>
      </x:c>
      <x:c r="E234" s="6" t="str">
        <x:v>keaj (A)</x:v>
      </x:c>
      <x:c r="F234" s="6" t="str">
        <x:v>上平聲九佳</x:v>
      </x:c>
      <x:c r="G234" s="6" t="str">
        <x:v>Pingshui main list, Wikisource-derived DOCX</x:v>
      </x:c>
      <x:c r="H234" s="6" t="str">
        <x:v>1</x:v>
      </x:c>
      <x:c r="I234" s="6" t="str"/>
      <x:c r="J234" s="6" t="str">
        <x:f>IF(B234="","",IF(AND(ISNUMBER(SEARCH("平",B234)),OR(ISNUMBER(SEARCH("上",B234)),ISNUMBER(SEARCH("去",B234)),ISNUMBER(SEARCH("入",B234)))),"Ambiguous",IF(ISNUMBER(SEARCH("平",B234)),"平","仄")))</x:f>
        <x:v>平</x:v>
      </x:c>
      <x:c r="K234" s="6" t="str">
        <x:f>IF(D234="","",IF(AND(ISNUMBER(SEARCH("平",D234)),OR(ISNUMBER(SEARCH("上",D234)),ISNUMBER(SEARCH("去",D234)),ISNUMBER(SEARCH("入",D234)))),"Ambiguous",IF(ISNUMBER(SEARCH("平",D234)),"平","仄")))</x:f>
        <x:v>平</x:v>
      </x:c>
      <x:c r="L234" s="7" t="str"/>
    </x:row>
    <x:row r="235">
      <x:c r="A235" s="5" t="str">
        <x:v>停</x:v>
      </x:c>
      <x:c r="B235" s="6" t="str">
        <x:v>平</x:v>
      </x:c>
      <x:c r="C235" s="6" t="str">
        <x:f>IF(B235="","Needs decision","Ready")</x:f>
        <x:v>Ready</x:v>
      </x:c>
      <x:c r="D235" s="6" t="str">
        <x:v>平</x:v>
      </x:c>
      <x:c r="E235" s="6" t="str">
        <x:v>deng (A)</x:v>
      </x:c>
      <x:c r="F235" s="6" t="str">
        <x:v>下平聲九青</x:v>
      </x:c>
      <x:c r="G235" s="6" t="str">
        <x:v>Pingshui main list, Wikisource-derived DOCX</x:v>
      </x:c>
      <x:c r="H235" s="6" t="str">
        <x:v>1</x:v>
      </x:c>
      <x:c r="I235" s="6" t="str"/>
      <x:c r="J235" s="6" t="str">
        <x:f>IF(B235="","",IF(AND(ISNUMBER(SEARCH("平",B235)),OR(ISNUMBER(SEARCH("上",B235)),ISNUMBER(SEARCH("去",B235)),ISNUMBER(SEARCH("入",B235)))),"Ambiguous",IF(ISNUMBER(SEARCH("平",B235)),"平","仄")))</x:f>
        <x:v>平</x:v>
      </x:c>
      <x:c r="K235" s="6" t="str">
        <x:f>IF(D235="","",IF(AND(ISNUMBER(SEARCH("平",D235)),OR(ISNUMBER(SEARCH("上",D235)),ISNUMBER(SEARCH("去",D235)),ISNUMBER(SEARCH("入",D235)))),"Ambiguous",IF(ISNUMBER(SEARCH("平",D235)),"平","仄")))</x:f>
        <x:v>平</x:v>
      </x:c>
      <x:c r="L235" s="7" t="str"/>
    </x:row>
    <x:row r="236">
      <x:c r="A236" s="5" t="str">
        <x:v>偝</x:v>
      </x:c>
      <x:c r="B236" s="6" t="str">
        <x:v>去</x:v>
      </x:c>
      <x:c r="C236" s="6" t="str">
        <x:f>IF(B236="","Needs decision","Ready")</x:f>
        <x:v>Ready</x:v>
      </x:c>
      <x:c r="D236" s="6" t="str">
        <x:v>去</x:v>
      </x:c>
      <x:c r="E236" s="6" t="str">
        <x:v>bwojH (C)</x:v>
      </x:c>
      <x:c r="F236" s="6" t="str"/>
      <x:c r="G236" s="6" t="str"/>
      <x:c r="H236" s="6" t="str">
        <x:v>1</x:v>
      </x:c>
      <x:c r="I236" s="6" t="str"/>
      <x:c r="J236" s="6" t="str">
        <x:f>IF(B236="","",IF(AND(ISNUMBER(SEARCH("平",B236)),OR(ISNUMBER(SEARCH("上",B236)),ISNUMBER(SEARCH("去",B236)),ISNUMBER(SEARCH("入",B236)))),"Ambiguous",IF(ISNUMBER(SEARCH("平",B236)),"平","仄")))</x:f>
        <x:v>仄</x:v>
      </x:c>
      <x:c r="K236" s="6" t="str">
        <x:f>IF(D236="","",IF(AND(ISNUMBER(SEARCH("平",D236)),OR(ISNUMBER(SEARCH("上",D236)),ISNUMBER(SEARCH("去",D236)),ISNUMBER(SEARCH("入",D236)))),"Ambiguous",IF(ISNUMBER(SEARCH("平",D236)),"平","仄")))</x:f>
        <x:v>仄</x:v>
      </x:c>
      <x:c r="L236" s="7" t="str"/>
    </x:row>
    <x:row r="237">
      <x:c r="A237" s="5" t="str">
        <x:v>健</x:v>
      </x:c>
      <x:c r="B237" s="6" t="str">
        <x:v>去</x:v>
      </x:c>
      <x:c r="C237" s="6" t="str">
        <x:f>IF(B237="","Needs decision","Ready")</x:f>
        <x:v>Ready</x:v>
      </x:c>
      <x:c r="D237" s="6" t="str">
        <x:v>去</x:v>
      </x:c>
      <x:c r="E237" s="6" t="str">
        <x:v>gjonH [ɡɨ̯ənh] (去)</x:v>
      </x:c>
      <x:c r="F237" s="6" t="str">
        <x:v>去聲十四願</x:v>
      </x:c>
      <x:c r="G237" s="6" t="str">
        <x:v>Pingshui main list, Wikisource-derived DOCX</x:v>
      </x:c>
      <x:c r="H237" s="6" t="str">
        <x:v>1</x:v>
      </x:c>
      <x:c r="I237" s="6" t="str">
        <x:v>Tang 300 gap; frequency 2; provisional from Xun Gong</x:v>
      </x:c>
      <x:c r="J237" s="6" t="str">
        <x:f>IF(B237="","",IF(AND(ISNUMBER(SEARCH("平",B237)),OR(ISNUMBER(SEARCH("上",B237)),ISNUMBER(SEARCH("去",B237)),ISNUMBER(SEARCH("入",B237)))),"Ambiguous",IF(ISNUMBER(SEARCH("平",B237)),"平","仄")))</x:f>
        <x:v>仄</x:v>
      </x:c>
      <x:c r="K237" s="6" t="str">
        <x:f>IF(D237="","",IF(AND(ISNUMBER(SEARCH("平",D237)),OR(ISNUMBER(SEARCH("上",D237)),ISNUMBER(SEARCH("去",D237)),ISNUMBER(SEARCH("入",D237)))),"Ambiguous",IF(ISNUMBER(SEARCH("平",D237)),"平","仄")))</x:f>
        <x:v>仄</x:v>
      </x:c>
      <x:c r="L237" s="7" t="str">
        <x:v>Xun Gong, Tang 300 gap fill</x:v>
      </x:c>
    </x:row>
    <x:row r="238">
      <x:c r="A238" s="5" t="str">
        <x:v>偪</x:v>
      </x:c>
      <x:c r="B238" s="6" t="str">
        <x:v>入</x:v>
      </x:c>
      <x:c r="C238" s="6" t="str">
        <x:f>IF(B238="","Needs decision","Ready")</x:f>
        <x:v>Ready</x:v>
      </x:c>
      <x:c r="D238" s="6" t="str">
        <x:v>入</x:v>
      </x:c>
      <x:c r="E238" s="6" t="str">
        <x:v>pik (D)</x:v>
      </x:c>
      <x:c r="F238" s="6" t="str">
        <x:v>入聲一屋</x:v>
      </x:c>
      <x:c r="G238" s="6" t="str">
        <x:v>Pingshui main list, Wikisource-derived DOCX</x:v>
      </x:c>
      <x:c r="H238" s="6" t="str">
        <x:v>1</x:v>
      </x:c>
      <x:c r="I238" s="6" t="str"/>
      <x:c r="J238" s="6" t="str">
        <x:f>IF(B238="","",IF(AND(ISNUMBER(SEARCH("平",B238)),OR(ISNUMBER(SEARCH("上",B238)),ISNUMBER(SEARCH("去",B238)),ISNUMBER(SEARCH("入",B238)))),"Ambiguous",IF(ISNUMBER(SEARCH("平",B238)),"平","仄")))</x:f>
        <x:v>仄</x:v>
      </x:c>
      <x:c r="K238" s="6" t="str">
        <x:f>IF(D238="","",IF(AND(ISNUMBER(SEARCH("平",D238)),OR(ISNUMBER(SEARCH("上",D238)),ISNUMBER(SEARCH("去",D238)),ISNUMBER(SEARCH("入",D238)))),"Ambiguous",IF(ISNUMBER(SEARCH("平",D238)),"平","仄")))</x:f>
        <x:v>仄</x:v>
      </x:c>
      <x:c r="L238" s="7" t="str"/>
    </x:row>
    <x:row r="239">
      <x:c r="A239" s="5" t="str">
        <x:v>偯</x:v>
      </x:c>
      <x:c r="B239" s="6" t="str">
        <x:v>上</x:v>
      </x:c>
      <x:c r="C239" s="6" t="str">
        <x:f>IF(B239="","Needs decision","Ready")</x:f>
        <x:v>Ready</x:v>
      </x:c>
      <x:c r="D239" s="6" t="str">
        <x:v>上</x:v>
      </x:c>
      <x:c r="E239" s="6" t="str">
        <x:v>'j+jX (B)</x:v>
      </x:c>
      <x:c r="F239" s="6" t="str">
        <x:v>上聲五尾</x:v>
      </x:c>
      <x:c r="G239" s="6" t="str">
        <x:v>Pingshui main list, Wikisource-derived DOCX</x:v>
      </x:c>
      <x:c r="H239" s="6" t="str">
        <x:v>1</x:v>
      </x:c>
      <x:c r="I239" s="6" t="str"/>
      <x:c r="J239" s="6" t="str">
        <x:f>IF(B239="","",IF(AND(ISNUMBER(SEARCH("平",B239)),OR(ISNUMBER(SEARCH("上",B239)),ISNUMBER(SEARCH("去",B239)),ISNUMBER(SEARCH("入",B239)))),"Ambiguous",IF(ISNUMBER(SEARCH("平",B239)),"平","仄")))</x:f>
        <x:v>仄</x:v>
      </x:c>
      <x:c r="K239" s="6" t="str">
        <x:f>IF(D239="","",IF(AND(ISNUMBER(SEARCH("平",D239)),OR(ISNUMBER(SEARCH("上",D239)),ISNUMBER(SEARCH("去",D239)),ISNUMBER(SEARCH("入",D239)))),"Ambiguous",IF(ISNUMBER(SEARCH("平",D239)),"平","仄")))</x:f>
        <x:v>仄</x:v>
      </x:c>
      <x:c r="L239" s="7" t="str"/>
    </x:row>
    <x:row r="240">
      <x:c r="A240" s="5" t="str">
        <x:v>側</x:v>
      </x:c>
      <x:c r="B240" s="6" t="str">
        <x:v>入</x:v>
      </x:c>
      <x:c r="C240" s="6" t="str">
        <x:f>IF(B240="","Needs decision","Ready")</x:f>
        <x:v>Ready</x:v>
      </x:c>
      <x:c r="D240" s="6" t="str">
        <x:v>入</x:v>
      </x:c>
      <x:c r="E240" s="6" t="str">
        <x:v>tsrik (D)</x:v>
      </x:c>
      <x:c r="F240" s="6" t="str">
        <x:v>入聲十三職</x:v>
      </x:c>
      <x:c r="G240" s="6" t="str">
        <x:v>Pingshui main list, Wikisource-derived DOCX</x:v>
      </x:c>
      <x:c r="H240" s="6" t="str">
        <x:v>1</x:v>
      </x:c>
      <x:c r="I240" s="6" t="str"/>
      <x:c r="J240" s="6" t="str">
        <x:f>IF(B240="","",IF(AND(ISNUMBER(SEARCH("平",B240)),OR(ISNUMBER(SEARCH("上",B240)),ISNUMBER(SEARCH("去",B240)),ISNUMBER(SEARCH("入",B240)))),"Ambiguous",IF(ISNUMBER(SEARCH("平",B240)),"平","仄")))</x:f>
        <x:v>仄</x:v>
      </x:c>
      <x:c r="K240" s="6" t="str">
        <x:f>IF(D240="","",IF(AND(ISNUMBER(SEARCH("平",D240)),OR(ISNUMBER(SEARCH("上",D240)),ISNUMBER(SEARCH("去",D240)),ISNUMBER(SEARCH("入",D240)))),"Ambiguous",IF(ISNUMBER(SEARCH("平",D240)),"平","仄")))</x:f>
        <x:v>仄</x:v>
      </x:c>
      <x:c r="L240" s="7" t="str"/>
    </x:row>
    <x:row r="241">
      <x:c r="A241" s="5" t="str">
        <x:v>偶</x:v>
      </x:c>
      <x:c r="B241" s="6" t="str">
        <x:v>上</x:v>
      </x:c>
      <x:c r="C241" s="6" t="str">
        <x:f>IF(B241="","Needs decision","Ready")</x:f>
        <x:v>Ready</x:v>
      </x:c>
      <x:c r="D241" s="6" t="str">
        <x:v>上</x:v>
      </x:c>
      <x:c r="E241" s="6" t="str">
        <x:v>nguwX (B)</x:v>
      </x:c>
      <x:c r="F241" s="6" t="str">
        <x:v>上聲二十五有</x:v>
      </x:c>
      <x:c r="G241" s="6" t="str">
        <x:v>Pingshui main list, Wikisource-derived DOCX</x:v>
      </x:c>
      <x:c r="H241" s="6" t="str">
        <x:v>1</x:v>
      </x:c>
      <x:c r="I241" s="6" t="str"/>
      <x:c r="J241" s="6" t="str">
        <x:f>IF(B241="","",IF(AND(ISNUMBER(SEARCH("平",B241)),OR(ISNUMBER(SEARCH("上",B241)),ISNUMBER(SEARCH("去",B241)),ISNUMBER(SEARCH("入",B241)))),"Ambiguous",IF(ISNUMBER(SEARCH("平",B241)),"平","仄")))</x:f>
        <x:v>仄</x:v>
      </x:c>
      <x:c r="K241" s="6" t="str">
        <x:f>IF(D241="","",IF(AND(ISNUMBER(SEARCH("平",D241)),OR(ISNUMBER(SEARCH("上",D241)),ISNUMBER(SEARCH("去",D241)),ISNUMBER(SEARCH("入",D241)))),"Ambiguous",IF(ISNUMBER(SEARCH("平",D241)),"平","仄")))</x:f>
        <x:v>仄</x:v>
      </x:c>
      <x:c r="L241" s="7" t="str"/>
    </x:row>
    <x:row r="242">
      <x:c r="A242" s="5" t="str">
        <x:v>偷</x:v>
      </x:c>
      <x:c r="B242" s="6" t="str">
        <x:v>平</x:v>
      </x:c>
      <x:c r="C242" s="6" t="str">
        <x:f>IF(B242="","Needs decision","Ready")</x:f>
        <x:v>Ready</x:v>
      </x:c>
      <x:c r="D242" s="6" t="str">
        <x:v>平</x:v>
      </x:c>
      <x:c r="E242" s="6" t="str">
        <x:v>thuw (A)</x:v>
      </x:c>
      <x:c r="F242" s="6" t="str">
        <x:v>下平聲十一尤</x:v>
      </x:c>
      <x:c r="G242" s="6" t="str">
        <x:v>Pingshui main list, Wikisource-derived DOCX</x:v>
      </x:c>
      <x:c r="H242" s="6" t="str">
        <x:v>1</x:v>
      </x:c>
      <x:c r="I242" s="6" t="str"/>
      <x:c r="J242" s="6" t="str">
        <x:f>IF(B242="","",IF(AND(ISNUMBER(SEARCH("平",B242)),OR(ISNUMBER(SEARCH("上",B242)),ISNUMBER(SEARCH("去",B242)),ISNUMBER(SEARCH("入",B242)))),"Ambiguous",IF(ISNUMBER(SEARCH("平",B242)),"平","仄")))</x:f>
        <x:v>平</x:v>
      </x:c>
      <x:c r="K242" s="6" t="str">
        <x:f>IF(D242="","",IF(AND(ISNUMBER(SEARCH("平",D242)),OR(ISNUMBER(SEARCH("上",D242)),ISNUMBER(SEARCH("去",D242)),ISNUMBER(SEARCH("入",D242)))),"Ambiguous",IF(ISNUMBER(SEARCH("平",D242)),"平","仄")))</x:f>
        <x:v>平</x:v>
      </x:c>
      <x:c r="L242" s="7" t="str"/>
    </x:row>
    <x:row r="243">
      <x:c r="A243" s="5" t="str">
        <x:v>偽</x:v>
      </x:c>
      <x:c r="B243" s="6" t="str">
        <x:v>去</x:v>
      </x:c>
      <x:c r="C243" s="6" t="str">
        <x:f>IF(B243="","Needs decision","Ready")</x:f>
        <x:v>Ready</x:v>
      </x:c>
      <x:c r="D243" s="6" t="str">
        <x:v>去</x:v>
      </x:c>
      <x:c r="E243" s="6" t="str">
        <x:v>ngjweH (C)</x:v>
      </x:c>
      <x:c r="F243" s="6" t="str"/>
      <x:c r="G243" s="6" t="str"/>
      <x:c r="H243" s="6" t="str">
        <x:v>1</x:v>
      </x:c>
      <x:c r="I243" s="6" t="str"/>
      <x:c r="J243" s="6" t="str">
        <x:f>IF(B243="","",IF(AND(ISNUMBER(SEARCH("平",B243)),OR(ISNUMBER(SEARCH("上",B243)),ISNUMBER(SEARCH("去",B243)),ISNUMBER(SEARCH("入",B243)))),"Ambiguous",IF(ISNUMBER(SEARCH("平",B243)),"平","仄")))</x:f>
        <x:v>仄</x:v>
      </x:c>
      <x:c r="K243" s="6" t="str">
        <x:f>IF(D243="","",IF(AND(ISNUMBER(SEARCH("平",D243)),OR(ISNUMBER(SEARCH("上",D243)),ISNUMBER(SEARCH("去",D243)),ISNUMBER(SEARCH("入",D243)))),"Ambiguous",IF(ISNUMBER(SEARCH("平",D243)),"平","仄")))</x:f>
        <x:v>仄</x:v>
      </x:c>
      <x:c r="L243" s="7" t="str"/>
    </x:row>
    <x:row r="244">
      <x:c r="A244" s="5" t="str">
        <x:v>傁</x:v>
      </x:c>
      <x:c r="B244" s="6" t="str">
        <x:v>上</x:v>
      </x:c>
      <x:c r="C244" s="6" t="str">
        <x:f>IF(B244="","Needs decision","Ready")</x:f>
        <x:v>Ready</x:v>
      </x:c>
      <x:c r="D244" s="6" t="str">
        <x:v>上</x:v>
      </x:c>
      <x:c r="E244" s="6" t="str">
        <x:v>suwX (B)</x:v>
      </x:c>
      <x:c r="F244" s="6" t="str"/>
      <x:c r="G244" s="6" t="str"/>
      <x:c r="H244" s="6" t="str">
        <x:v>1</x:v>
      </x:c>
      <x:c r="I244" s="6" t="str"/>
      <x:c r="J244" s="6" t="str">
        <x:f>IF(B244="","",IF(AND(ISNUMBER(SEARCH("平",B244)),OR(ISNUMBER(SEARCH("上",B244)),ISNUMBER(SEARCH("去",B244)),ISNUMBER(SEARCH("入",B244)))),"Ambiguous",IF(ISNUMBER(SEARCH("平",B244)),"平","仄")))</x:f>
        <x:v>仄</x:v>
      </x:c>
      <x:c r="K244" s="6" t="str">
        <x:f>IF(D244="","",IF(AND(ISNUMBER(SEARCH("平",D244)),OR(ISNUMBER(SEARCH("上",D244)),ISNUMBER(SEARCH("去",D244)),ISNUMBER(SEARCH("入",D244)))),"Ambiguous",IF(ISNUMBER(SEARCH("平",D244)),"平","仄")))</x:f>
        <x:v>仄</x:v>
      </x:c>
      <x:c r="L244" s="7" t="str"/>
    </x:row>
    <x:row r="245">
      <x:c r="A245" s="5" t="str">
        <x:v>傅</x:v>
      </x:c>
      <x:c r="B245" s="6" t="str">
        <x:v>去</x:v>
      </x:c>
      <x:c r="C245" s="6" t="str">
        <x:f>IF(B245="","Needs decision","Ready")</x:f>
        <x:v>Ready</x:v>
      </x:c>
      <x:c r="D245" s="6" t="str">
        <x:v>去</x:v>
      </x:c>
      <x:c r="E245" s="6" t="str">
        <x:v>bjuH (C); pjuH (C)</x:v>
      </x:c>
      <x:c r="F245" s="6" t="str">
        <x:v>去聲七遇</x:v>
      </x:c>
      <x:c r="G245" s="6" t="str">
        <x:v>Pingshui main list, Wikisource-derived DOCX</x:v>
      </x:c>
      <x:c r="H245" s="6" t="str">
        <x:v>2</x:v>
      </x:c>
      <x:c r="I245" s="6" t="str"/>
      <x:c r="J245" s="6" t="str">
        <x:f>IF(B245="","",IF(AND(ISNUMBER(SEARCH("平",B245)),OR(ISNUMBER(SEARCH("上",B245)),ISNUMBER(SEARCH("去",B245)),ISNUMBER(SEARCH("入",B245)))),"Ambiguous",IF(ISNUMBER(SEARCH("平",B245)),"平","仄")))</x:f>
        <x:v>仄</x:v>
      </x:c>
      <x:c r="K245" s="6" t="str">
        <x:f>IF(D245="","",IF(AND(ISNUMBER(SEARCH("平",D245)),OR(ISNUMBER(SEARCH("上",D245)),ISNUMBER(SEARCH("去",D245)),ISNUMBER(SEARCH("入",D245)))),"Ambiguous",IF(ISNUMBER(SEARCH("平",D245)),"平","仄")))</x:f>
        <x:v>仄</x:v>
      </x:c>
      <x:c r="L245" s="7" t="str"/>
    </x:row>
    <x:row r="246">
      <x:c r="A246" s="5" t="str">
        <x:v>傍</x:v>
      </x:c>
      <x:c r="B246" s="6" t="str"/>
      <x:c r="C246" s="6" t="str">
        <x:f>IF(B246="","Needs decision","Ready")</x:f>
        <x:v>Needs decision</x:v>
      </x:c>
      <x:c r="D246" s="6" t="str">
        <x:v>平/去</x:v>
      </x:c>
      <x:c r="E246" s="6" t="str">
        <x:v>bangH (C); bang (A)</x:v>
      </x:c>
      <x:c r="F246" s="6" t="str">
        <x:v>下平聲七陽; 去聲二十三漾</x:v>
      </x:c>
      <x:c r="G246" s="6" t="str">
        <x:v>Pingshui main list, Wikisource-derived DOCX</x:v>
      </x:c>
      <x:c r="H246" s="6" t="str">
        <x:v>2</x:v>
      </x:c>
      <x:c r="I246" s="6" t="str"/>
      <x:c r="J246" s="6" t="str">
        <x:f>IF(B246="","",IF(AND(ISNUMBER(SEARCH("平",B246)),OR(ISNUMBER(SEARCH("上",B246)),ISNUMBER(SEARCH("去",B246)),ISNUMBER(SEARCH("入",B246)))),"Ambiguous",IF(ISNUMBER(SEARCH("平",B246)),"平","仄")))</x:f>
      </x:c>
      <x:c r="K246" s="6" t="str">
        <x:f>IF(D246="","",IF(AND(ISNUMBER(SEARCH("平",D246)),OR(ISNUMBER(SEARCH("上",D246)),ISNUMBER(SEARCH("去",D246)),ISNUMBER(SEARCH("入",D246)))),"Ambiguous",IF(ISNUMBER(SEARCH("平",D246)),"平","仄")))</x:f>
        <x:v>Ambiguous</x:v>
      </x:c>
      <x:c r="L246" s="7" t="str"/>
    </x:row>
    <x:row r="247">
      <x:c r="A247" s="5" t="str">
        <x:v>傑</x:v>
      </x:c>
      <x:c r="B247" s="6" t="str">
        <x:v>入</x:v>
      </x:c>
      <x:c r="C247" s="6" t="str">
        <x:f>IF(B247="","Needs decision","Ready")</x:f>
        <x:v>Ready</x:v>
      </x:c>
      <x:c r="D247" s="6" t="str">
        <x:v>入</x:v>
      </x:c>
      <x:c r="E247" s="6" t="str">
        <x:v>gjet (D)</x:v>
      </x:c>
      <x:c r="F247" s="6" t="str">
        <x:v>入聲九屑</x:v>
      </x:c>
      <x:c r="G247" s="6" t="str">
        <x:v>Pingshui main list, Wikisource-derived DOCX</x:v>
      </x:c>
      <x:c r="H247" s="6" t="str">
        <x:v>1</x:v>
      </x:c>
      <x:c r="I247" s="6" t="str"/>
      <x:c r="J247" s="6" t="str">
        <x:f>IF(B247="","",IF(AND(ISNUMBER(SEARCH("平",B247)),OR(ISNUMBER(SEARCH("上",B247)),ISNUMBER(SEARCH("去",B247)),ISNUMBER(SEARCH("入",B247)))),"Ambiguous",IF(ISNUMBER(SEARCH("平",B247)),"平","仄")))</x:f>
        <x:v>仄</x:v>
      </x:c>
      <x:c r="K247" s="6" t="str">
        <x:f>IF(D247="","",IF(AND(ISNUMBER(SEARCH("平",D247)),OR(ISNUMBER(SEARCH("上",D247)),ISNUMBER(SEARCH("去",D247)),ISNUMBER(SEARCH("入",D247)))),"Ambiguous",IF(ISNUMBER(SEARCH("平",D247)),"平","仄")))</x:f>
        <x:v>仄</x:v>
      </x:c>
      <x:c r="L247" s="7" t="str"/>
    </x:row>
    <x:row r="248">
      <x:c r="A248" s="5" t="str">
        <x:v>傘</x:v>
      </x:c>
      <x:c r="B248" s="6" t="str">
        <x:v>上</x:v>
      </x:c>
      <x:c r="C248" s="6" t="str">
        <x:f>IF(B248="","Needs decision","Ready")</x:f>
        <x:v>Ready</x:v>
      </x:c>
      <x:c r="D248" s="6" t="str">
        <x:v>上</x:v>
      </x:c>
      <x:c r="E248" s="6" t="str">
        <x:v>sanX (B)</x:v>
      </x:c>
      <x:c r="F248" s="6" t="str"/>
      <x:c r="G248" s="6" t="str"/>
      <x:c r="H248" s="6" t="str">
        <x:v>1</x:v>
      </x:c>
      <x:c r="I248" s="6" t="str"/>
      <x:c r="J248" s="6" t="str">
        <x:f>IF(B248="","",IF(AND(ISNUMBER(SEARCH("平",B248)),OR(ISNUMBER(SEARCH("上",B248)),ISNUMBER(SEARCH("去",B248)),ISNUMBER(SEARCH("入",B248)))),"Ambiguous",IF(ISNUMBER(SEARCH("平",B248)),"平","仄")))</x:f>
        <x:v>仄</x:v>
      </x:c>
      <x:c r="K248" s="6" t="str">
        <x:f>IF(D248="","",IF(AND(ISNUMBER(SEARCH("平",D248)),OR(ISNUMBER(SEARCH("上",D248)),ISNUMBER(SEARCH("去",D248)),ISNUMBER(SEARCH("入",D248)))),"Ambiguous",IF(ISNUMBER(SEARCH("平",D248)),"平","仄")))</x:f>
        <x:v>仄</x:v>
      </x:c>
      <x:c r="L248" s="7" t="str"/>
    </x:row>
    <x:row r="249">
      <x:c r="A249" s="5" t="str">
        <x:v>備</x:v>
      </x:c>
      <x:c r="B249" s="6" t="str">
        <x:v>上</x:v>
      </x:c>
      <x:c r="C249" s="6" t="str">
        <x:f>IF(B249="","Needs decision","Ready")</x:f>
        <x:v>Ready</x:v>
      </x:c>
      <x:c r="D249" s="6" t="str">
        <x:v>上/去</x:v>
      </x:c>
      <x:c r="E249" s="6" t="str">
        <x:v>bijH (C)</x:v>
      </x:c>
      <x:c r="F249" s="6" t="str">
        <x:v>去聲四寘</x:v>
      </x:c>
      <x:c r="G249" s="6" t="str">
        <x:v>Pingshui main list, Wikisource-derived DOCX</x:v>
      </x:c>
      <x:c r="H249" s="6" t="str">
        <x:v>1</x:v>
      </x:c>
      <x:c r="I249" s="6" t="str">
        <x:v>User correction 2026-09-08</x:v>
      </x:c>
      <x:c r="J249" s="6" t="str">
        <x:f>IF(B249="","",IF(AND(ISNUMBER(SEARCH("平",B249)),OR(ISNUMBER(SEARCH("上",B249)),ISNUMBER(SEARCH("去",B249)),ISNUMBER(SEARCH("入",B249)))),"Ambiguous",IF(ISNUMBER(SEARCH("平",B249)),"平","仄")))</x:f>
        <x:v>仄</x:v>
      </x:c>
      <x:c r="K249" s="6" t="str">
        <x:f>IF(D249="","",IF(AND(ISNUMBER(SEARCH("平",D249)),OR(ISNUMBER(SEARCH("上",D249)),ISNUMBER(SEARCH("去",D249)),ISNUMBER(SEARCH("入",D249)))),"Ambiguous",IF(ISNUMBER(SEARCH("平",D249)),"平","仄")))</x:f>
        <x:v>仄</x:v>
      </x:c>
      <x:c r="L249" s="7" t="str"/>
    </x:row>
    <x:row r="250">
      <x:c r="A250" s="5" t="str">
        <x:v>傜</x:v>
      </x:c>
      <x:c r="B250" s="6" t="str">
        <x:v>平</x:v>
      </x:c>
      <x:c r="C250" s="6" t="str">
        <x:f>IF(B250="","Needs decision","Ready")</x:f>
        <x:v>Ready</x:v>
      </x:c>
      <x:c r="D250" s="6" t="str">
        <x:v>平</x:v>
      </x:c>
      <x:c r="E250" s="6" t="str">
        <x:v>yew (A)</x:v>
      </x:c>
      <x:c r="F250" s="6" t="str">
        <x:v>下平聲二蕭</x:v>
      </x:c>
      <x:c r="G250" s="6" t="str">
        <x:v>Pingshui main list, Wikisource-derived DOCX</x:v>
      </x:c>
      <x:c r="H250" s="6" t="str">
        <x:v>1</x:v>
      </x:c>
      <x:c r="I250" s="6" t="str"/>
      <x:c r="J250" s="6" t="str">
        <x:f>IF(B250="","",IF(AND(ISNUMBER(SEARCH("平",B250)),OR(ISNUMBER(SEARCH("上",B250)),ISNUMBER(SEARCH("去",B250)),ISNUMBER(SEARCH("入",B250)))),"Ambiguous",IF(ISNUMBER(SEARCH("平",B250)),"平","仄")))</x:f>
        <x:v>平</x:v>
      </x:c>
      <x:c r="K250" s="6" t="str">
        <x:f>IF(D250="","",IF(AND(ISNUMBER(SEARCH("平",D250)),OR(ISNUMBER(SEARCH("上",D250)),ISNUMBER(SEARCH("去",D250)),ISNUMBER(SEARCH("入",D250)))),"Ambiguous",IF(ISNUMBER(SEARCH("平",D250)),"平","仄")))</x:f>
        <x:v>平</x:v>
      </x:c>
      <x:c r="L250" s="7" t="str"/>
    </x:row>
    <x:row r="251">
      <x:c r="A251" s="5" t="str">
        <x:v>催</x:v>
      </x:c>
      <x:c r="B251" s="6" t="str">
        <x:v>平</x:v>
      </x:c>
      <x:c r="C251" s="6" t="str">
        <x:f>IF(B251="","Needs decision","Ready")</x:f>
        <x:v>Ready</x:v>
      </x:c>
      <x:c r="D251" s="6" t="str">
        <x:v>平</x:v>
      </x:c>
      <x:c r="E251" s="6" t="str">
        <x:v>tshwoj (A)</x:v>
      </x:c>
      <x:c r="F251" s="6" t="str">
        <x:v>上平聲十灰</x:v>
      </x:c>
      <x:c r="G251" s="6" t="str">
        <x:v>Pingshui main list, Wikisource-derived DOCX</x:v>
      </x:c>
      <x:c r="H251" s="6" t="str">
        <x:v>1</x:v>
      </x:c>
      <x:c r="I251" s="6" t="str"/>
      <x:c r="J251" s="6" t="str">
        <x:f>IF(B251="","",IF(AND(ISNUMBER(SEARCH("平",B251)),OR(ISNUMBER(SEARCH("上",B251)),ISNUMBER(SEARCH("去",B251)),ISNUMBER(SEARCH("入",B251)))),"Ambiguous",IF(ISNUMBER(SEARCH("平",B251)),"平","仄")))</x:f>
        <x:v>平</x:v>
      </x:c>
      <x:c r="K251" s="6" t="str">
        <x:f>IF(D251="","",IF(AND(ISNUMBER(SEARCH("平",D251)),OR(ISNUMBER(SEARCH("上",D251)),ISNUMBER(SEARCH("去",D251)),ISNUMBER(SEARCH("入",D251)))),"Ambiguous",IF(ISNUMBER(SEARCH("平",D251)),"平","仄")))</x:f>
        <x:v>平</x:v>
      </x:c>
      <x:c r="L251" s="7" t="str"/>
    </x:row>
    <x:row r="252">
      <x:c r="A252" s="5" t="str">
        <x:v>傭</x:v>
      </x:c>
      <x:c r="B252" s="6" t="str">
        <x:v>平</x:v>
      </x:c>
      <x:c r="C252" s="6" t="str">
        <x:f>IF(B252="","Needs decision","Ready")</x:f>
        <x:v>Ready</x:v>
      </x:c>
      <x:c r="D252" s="6" t="str">
        <x:v>平</x:v>
      </x:c>
      <x:c r="E252" s="6" t="str">
        <x:v>yowng (A)</x:v>
      </x:c>
      <x:c r="F252" s="6" t="str">
        <x:v>上平聲二冬</x:v>
      </x:c>
      <x:c r="G252" s="6" t="str">
        <x:v>Pingshui main list, Wikisource-derived DOCX</x:v>
      </x:c>
      <x:c r="H252" s="6" t="str">
        <x:v>1</x:v>
      </x:c>
      <x:c r="I252" s="6" t="str"/>
      <x:c r="J252" s="6" t="str">
        <x:f>IF(B252="","",IF(AND(ISNUMBER(SEARCH("平",B252)),OR(ISNUMBER(SEARCH("上",B252)),ISNUMBER(SEARCH("去",B252)),ISNUMBER(SEARCH("入",B252)))),"Ambiguous",IF(ISNUMBER(SEARCH("平",B252)),"平","仄")))</x:f>
        <x:v>平</x:v>
      </x:c>
      <x:c r="K252" s="6" t="str">
        <x:f>IF(D252="","",IF(AND(ISNUMBER(SEARCH("平",D252)),OR(ISNUMBER(SEARCH("上",D252)),ISNUMBER(SEARCH("去",D252)),ISNUMBER(SEARCH("入",D252)))),"Ambiguous",IF(ISNUMBER(SEARCH("平",D252)),"平","仄")))</x:f>
        <x:v>平</x:v>
      </x:c>
      <x:c r="L252" s="7" t="str"/>
    </x:row>
    <x:row r="253">
      <x:c r="A253" s="5" t="str">
        <x:v>傳</x:v>
      </x:c>
      <x:c r="B253" s="6" t="str"/>
      <x:c r="C253" s="6" t="str">
        <x:f>IF(B253="","Needs decision","Ready")</x:f>
        <x:v>Needs decision</x:v>
      </x:c>
      <x:c r="D253" s="6" t="str">
        <x:v>平/去</x:v>
      </x:c>
      <x:c r="E253" s="6" t="str">
        <x:v>drjwen (A); drjwenH (C); trjwenH (C)</x:v>
      </x:c>
      <x:c r="F253" s="6" t="str">
        <x:v>下平聲一先; 去聲十七霰</x:v>
      </x:c>
      <x:c r="G253" s="6" t="str">
        <x:v>Pingshui main list, Wikisource-derived DOCX</x:v>
      </x:c>
      <x:c r="H253" s="6" t="str">
        <x:v>3</x:v>
      </x:c>
      <x:c r="I253" s="6" t="str"/>
      <x:c r="J253" s="6" t="str">
        <x:f>IF(B253="","",IF(AND(ISNUMBER(SEARCH("平",B253)),OR(ISNUMBER(SEARCH("上",B253)),ISNUMBER(SEARCH("去",B253)),ISNUMBER(SEARCH("入",B253)))),"Ambiguous",IF(ISNUMBER(SEARCH("平",B253)),"平","仄")))</x:f>
      </x:c>
      <x:c r="K253" s="6" t="str">
        <x:f>IF(D253="","",IF(AND(ISNUMBER(SEARCH("平",D253)),OR(ISNUMBER(SEARCH("上",D253)),ISNUMBER(SEARCH("去",D253)),ISNUMBER(SEARCH("入",D253)))),"Ambiguous",IF(ISNUMBER(SEARCH("平",D253)),"平","仄")))</x:f>
        <x:v>Ambiguous</x:v>
      </x:c>
      <x:c r="L253" s="7" t="str"/>
    </x:row>
    <x:row r="254">
      <x:c r="A254" s="5" t="str">
        <x:v>傴</x:v>
      </x:c>
      <x:c r="B254" s="6" t="str">
        <x:v>上</x:v>
      </x:c>
      <x:c r="C254" s="6" t="str">
        <x:f>IF(B254="","Needs decision","Ready")</x:f>
        <x:v>Ready</x:v>
      </x:c>
      <x:c r="D254" s="6" t="str">
        <x:v>上</x:v>
      </x:c>
      <x:c r="E254" s="6" t="str">
        <x:v>'juX (B)</x:v>
      </x:c>
      <x:c r="F254" s="6" t="str">
        <x:v>上聲七麌</x:v>
      </x:c>
      <x:c r="G254" s="6" t="str">
        <x:v>Pingshui main list, Wikisource-derived DOCX</x:v>
      </x:c>
      <x:c r="H254" s="6" t="str">
        <x:v>1</x:v>
      </x:c>
      <x:c r="I254" s="6" t="str"/>
      <x:c r="J254" s="6" t="str">
        <x:f>IF(B254="","",IF(AND(ISNUMBER(SEARCH("平",B254)),OR(ISNUMBER(SEARCH("上",B254)),ISNUMBER(SEARCH("去",B254)),ISNUMBER(SEARCH("入",B254)))),"Ambiguous",IF(ISNUMBER(SEARCH("平",B254)),"平","仄")))</x:f>
        <x:v>仄</x:v>
      </x:c>
      <x:c r="K254" s="6" t="str">
        <x:f>IF(D254="","",IF(AND(ISNUMBER(SEARCH("平",D254)),OR(ISNUMBER(SEARCH("上",D254)),ISNUMBER(SEARCH("去",D254)),ISNUMBER(SEARCH("入",D254)))),"Ambiguous",IF(ISNUMBER(SEARCH("平",D254)),"平","仄")))</x:f>
        <x:v>仄</x:v>
      </x:c>
      <x:c r="L254" s="7" t="str"/>
    </x:row>
    <x:row r="255">
      <x:c r="A255" s="5" t="str">
        <x:v>債</x:v>
      </x:c>
      <x:c r="B255" s="6" t="str">
        <x:v>去</x:v>
      </x:c>
      <x:c r="C255" s="6" t="str">
        <x:f>IF(B255="","Needs decision","Ready")</x:f>
        <x:v>Ready</x:v>
      </x:c>
      <x:c r="D255" s="6" t="str">
        <x:v>去</x:v>
      </x:c>
      <x:c r="E255" s="6" t="str">
        <x:v>tsreaH (C)</x:v>
      </x:c>
      <x:c r="F255" s="6" t="str">
        <x:v>去聲十卦</x:v>
      </x:c>
      <x:c r="G255" s="6" t="str">
        <x:v>Pingshui main list, Wikisource-derived DOCX</x:v>
      </x:c>
      <x:c r="H255" s="6" t="str">
        <x:v>1</x:v>
      </x:c>
      <x:c r="I255" s="6" t="str"/>
      <x:c r="J255" s="6" t="str">
        <x:f>IF(B255="","",IF(AND(ISNUMBER(SEARCH("平",B255)),OR(ISNUMBER(SEARCH("上",B255)),ISNUMBER(SEARCH("去",B255)),ISNUMBER(SEARCH("入",B255)))),"Ambiguous",IF(ISNUMBER(SEARCH("平",B255)),"平","仄")))</x:f>
        <x:v>仄</x:v>
      </x:c>
      <x:c r="K255" s="6" t="str">
        <x:f>IF(D255="","",IF(AND(ISNUMBER(SEARCH("平",D255)),OR(ISNUMBER(SEARCH("上",D255)),ISNUMBER(SEARCH("去",D255)),ISNUMBER(SEARCH("入",D255)))),"Ambiguous",IF(ISNUMBER(SEARCH("平",D255)),"平","仄")))</x:f>
        <x:v>仄</x:v>
      </x:c>
      <x:c r="L255" s="7" t="str"/>
    </x:row>
    <x:row r="256">
      <x:c r="A256" s="5" t="str">
        <x:v>傷</x:v>
      </x:c>
      <x:c r="B256" s="6" t="str">
        <x:v>平</x:v>
      </x:c>
      <x:c r="C256" s="6" t="str">
        <x:f>IF(B256="","Needs decision","Ready")</x:f>
        <x:v>Ready</x:v>
      </x:c>
      <x:c r="D256" s="6" t="str">
        <x:v>平</x:v>
      </x:c>
      <x:c r="E256" s="6" t="str">
        <x:v>syang (A)</x:v>
      </x:c>
      <x:c r="F256" s="6" t="str">
        <x:v>下平聲七陽</x:v>
      </x:c>
      <x:c r="G256" s="6" t="str">
        <x:v>Pingshui main list, Wikisource-derived DOCX</x:v>
      </x:c>
      <x:c r="H256" s="6" t="str">
        <x:v>1</x:v>
      </x:c>
      <x:c r="I256" s="6" t="str"/>
      <x:c r="J256" s="6" t="str">
        <x:f>IF(B256="","",IF(AND(ISNUMBER(SEARCH("平",B256)),OR(ISNUMBER(SEARCH("上",B256)),ISNUMBER(SEARCH("去",B256)),ISNUMBER(SEARCH("入",B256)))),"Ambiguous",IF(ISNUMBER(SEARCH("平",B256)),"平","仄")))</x:f>
        <x:v>平</x:v>
      </x:c>
      <x:c r="K256" s="6" t="str">
        <x:f>IF(D256="","",IF(AND(ISNUMBER(SEARCH("平",D256)),OR(ISNUMBER(SEARCH("上",D256)),ISNUMBER(SEARCH("去",D256)),ISNUMBER(SEARCH("入",D256)))),"Ambiguous",IF(ISNUMBER(SEARCH("平",D256)),"平","仄")))</x:f>
        <x:v>平</x:v>
      </x:c>
      <x:c r="L256" s="7" t="str"/>
    </x:row>
    <x:row r="257">
      <x:c r="A257" s="5" t="str">
        <x:v>傾</x:v>
      </x:c>
      <x:c r="B257" s="6" t="str">
        <x:v>平</x:v>
      </x:c>
      <x:c r="C257" s="6" t="str">
        <x:f>IF(B257="","Needs decision","Ready")</x:f>
        <x:v>Ready</x:v>
      </x:c>
      <x:c r="D257" s="6" t="str">
        <x:v>平</x:v>
      </x:c>
      <x:c r="E257" s="6" t="str">
        <x:v>khjwieng (A)</x:v>
      </x:c>
      <x:c r="F257" s="6" t="str">
        <x:v>下平聲八庚</x:v>
      </x:c>
      <x:c r="G257" s="6" t="str">
        <x:v>Pingshui main list, Wikisource-derived DOCX</x:v>
      </x:c>
      <x:c r="H257" s="6" t="str">
        <x:v>1</x:v>
      </x:c>
      <x:c r="I257" s="6" t="str"/>
      <x:c r="J257" s="6" t="str">
        <x:f>IF(B257="","",IF(AND(ISNUMBER(SEARCH("平",B257)),OR(ISNUMBER(SEARCH("上",B257)),ISNUMBER(SEARCH("去",B257)),ISNUMBER(SEARCH("入",B257)))),"Ambiguous",IF(ISNUMBER(SEARCH("平",B257)),"平","仄")))</x:f>
        <x:v>平</x:v>
      </x:c>
      <x:c r="K257" s="6" t="str">
        <x:f>IF(D257="","",IF(AND(ISNUMBER(SEARCH("平",D257)),OR(ISNUMBER(SEARCH("上",D257)),ISNUMBER(SEARCH("去",D257)),ISNUMBER(SEARCH("入",D257)))),"Ambiguous",IF(ISNUMBER(SEARCH("平",D257)),"平","仄")))</x:f>
        <x:v>平</x:v>
      </x:c>
      <x:c r="L257" s="7" t="str"/>
    </x:row>
    <x:row r="258">
      <x:c r="A258" s="5" t="str">
        <x:v>僂</x:v>
      </x:c>
      <x:c r="B258" s="6" t="str">
        <x:v>上</x:v>
      </x:c>
      <x:c r="C258" s="6" t="str">
        <x:f>IF(B258="","Needs decision","Ready")</x:f>
        <x:v>Ready</x:v>
      </x:c>
      <x:c r="D258" s="6" t="str">
        <x:v>平/上/去</x:v>
      </x:c>
      <x:c r="E258" s="6" t="str">
        <x:v>ljuX [ljoʔ] (上); luw [l̙u] (平); luwH [l̙uh] (去)</x:v>
      </x:c>
      <x:c r="F258" s="6" t="str">
        <x:v>下平聲十一尤; 上聲七麌; 去聲二十六宥</x:v>
      </x:c>
      <x:c r="G258" s="6" t="str">
        <x:v>Pingshui main list, Wikisource-derived DOCX</x:v>
      </x:c>
      <x:c r="H258" s="6" t="str">
        <x:v>3</x:v>
      </x:c>
      <x:c r="I258" s="6" t="str">
        <x:v>Tang 300 gap; frequency 1; ambiguous in Xun Gong; User workbook edit 2026-09-03</x:v>
      </x:c>
      <x:c r="J258" s="6" t="str">
        <x:f>IF(B258="","",IF(AND(ISNUMBER(SEARCH("平",B258)),OR(ISNUMBER(SEARCH("上",B258)),ISNUMBER(SEARCH("去",B258)),ISNUMBER(SEARCH("入",B258)))),"Ambiguous",IF(ISNUMBER(SEARCH("平",B258)),"平","仄")))</x:f>
        <x:v>仄</x:v>
      </x:c>
      <x:c r="K258" s="6" t="str">
        <x:f>IF(D258="","",IF(AND(ISNUMBER(SEARCH("平",D258)),OR(ISNUMBER(SEARCH("上",D258)),ISNUMBER(SEARCH("去",D258)),ISNUMBER(SEARCH("入",D258)))),"Ambiguous",IF(ISNUMBER(SEARCH("平",D258)),"平","仄")))</x:f>
        <x:v>Ambiguous</x:v>
      </x:c>
      <x:c r="L258" s="7" t="str">
        <x:v>manual user correction</x:v>
      </x:c>
    </x:row>
    <x:row r="259">
      <x:c r="A259" s="5" t="str">
        <x:v>僅</x:v>
      </x:c>
      <x:c r="B259" s="6" t="str">
        <x:v>去</x:v>
      </x:c>
      <x:c r="C259" s="6" t="str">
        <x:f>IF(B259="","Needs decision","Ready")</x:f>
        <x:v>Ready</x:v>
      </x:c>
      <x:c r="D259" s="6" t="str">
        <x:v>去</x:v>
      </x:c>
      <x:c r="E259" s="6" t="str">
        <x:v>ginH (C)</x:v>
      </x:c>
      <x:c r="F259" s="6" t="str">
        <x:v>去聲十二震</x:v>
      </x:c>
      <x:c r="G259" s="6" t="str">
        <x:v>Pingshui main list, Wikisource-derived DOCX</x:v>
      </x:c>
      <x:c r="H259" s="6" t="str">
        <x:v>1</x:v>
      </x:c>
      <x:c r="I259" s="6" t="str"/>
      <x:c r="J259" s="6" t="str">
        <x:f>IF(B259="","",IF(AND(ISNUMBER(SEARCH("平",B259)),OR(ISNUMBER(SEARCH("上",B259)),ISNUMBER(SEARCH("去",B259)),ISNUMBER(SEARCH("入",B259)))),"Ambiguous",IF(ISNUMBER(SEARCH("平",B259)),"平","仄")))</x:f>
        <x:v>仄</x:v>
      </x:c>
      <x:c r="K259" s="6" t="str">
        <x:f>IF(D259="","",IF(AND(ISNUMBER(SEARCH("平",D259)),OR(ISNUMBER(SEARCH("上",D259)),ISNUMBER(SEARCH("去",D259)),ISNUMBER(SEARCH("入",D259)))),"Ambiguous",IF(ISNUMBER(SEARCH("平",D259)),"平","仄")))</x:f>
        <x:v>仄</x:v>
      </x:c>
      <x:c r="L259" s="7" t="str"/>
    </x:row>
    <x:row r="260">
      <x:c r="A260" s="5" t="str">
        <x:v>僆</x:v>
      </x:c>
      <x:c r="B260" s="6" t="str">
        <x:v>去</x:v>
      </x:c>
      <x:c r="C260" s="6" t="str">
        <x:f>IF(B260="","Needs decision","Ready")</x:f>
        <x:v>Ready</x:v>
      </x:c>
      <x:c r="D260" s="6" t="str">
        <x:v>去</x:v>
      </x:c>
      <x:c r="E260" s="6" t="str">
        <x:v>ljenH (C)</x:v>
      </x:c>
      <x:c r="F260" s="6" t="str">
        <x:v>去聲十七霰</x:v>
      </x:c>
      <x:c r="G260" s="6" t="str">
        <x:v>Pingshui main list, Wikisource-derived DOCX</x:v>
      </x:c>
      <x:c r="H260" s="6" t="str">
        <x:v>1</x:v>
      </x:c>
      <x:c r="I260" s="6" t="str"/>
      <x:c r="J260" s="6" t="str">
        <x:f>IF(B260="","",IF(AND(ISNUMBER(SEARCH("平",B260)),OR(ISNUMBER(SEARCH("上",B260)),ISNUMBER(SEARCH("去",B260)),ISNUMBER(SEARCH("入",B260)))),"Ambiguous",IF(ISNUMBER(SEARCH("平",B260)),"平","仄")))</x:f>
        <x:v>仄</x:v>
      </x:c>
      <x:c r="K260" s="6" t="str">
        <x:f>IF(D260="","",IF(AND(ISNUMBER(SEARCH("平",D260)),OR(ISNUMBER(SEARCH("上",D260)),ISNUMBER(SEARCH("去",D260)),ISNUMBER(SEARCH("入",D260)))),"Ambiguous",IF(ISNUMBER(SEARCH("平",D260)),"平","仄")))</x:f>
        <x:v>仄</x:v>
      </x:c>
      <x:c r="L260" s="7" t="str"/>
    </x:row>
    <x:row r="261">
      <x:c r="A261" s="5" t="str">
        <x:v>僉</x:v>
      </x:c>
      <x:c r="B261" s="6" t="str">
        <x:v>平</x:v>
      </x:c>
      <x:c r="C261" s="6" t="str">
        <x:f>IF(B261="","Needs decision","Ready")</x:f>
        <x:v>Ready</x:v>
      </x:c>
      <x:c r="D261" s="6" t="str">
        <x:v>平</x:v>
      </x:c>
      <x:c r="E261" s="6" t="str">
        <x:v>tshjem (A)</x:v>
      </x:c>
      <x:c r="F261" s="6" t="str">
        <x:v>下平聲十四鹽</x:v>
      </x:c>
      <x:c r="G261" s="6" t="str">
        <x:v>Pingshui main list, Wikisource-derived DOCX</x:v>
      </x:c>
      <x:c r="H261" s="6" t="str">
        <x:v>1</x:v>
      </x:c>
      <x:c r="I261" s="6" t="str"/>
      <x:c r="J261" s="6" t="str">
        <x:f>IF(B261="","",IF(AND(ISNUMBER(SEARCH("平",B261)),OR(ISNUMBER(SEARCH("上",B261)),ISNUMBER(SEARCH("去",B261)),ISNUMBER(SEARCH("入",B261)))),"Ambiguous",IF(ISNUMBER(SEARCH("平",B261)),"平","仄")))</x:f>
        <x:v>平</x:v>
      </x:c>
      <x:c r="K261" s="6" t="str">
        <x:f>IF(D261="","",IF(AND(ISNUMBER(SEARCH("平",D261)),OR(ISNUMBER(SEARCH("上",D261)),ISNUMBER(SEARCH("去",D261)),ISNUMBER(SEARCH("入",D261)))),"Ambiguous",IF(ISNUMBER(SEARCH("平",D261)),"平","仄")))</x:f>
        <x:v>平</x:v>
      </x:c>
      <x:c r="L261" s="7" t="str"/>
    </x:row>
    <x:row r="262">
      <x:c r="A262" s="5" t="str">
        <x:v>僊</x:v>
      </x:c>
      <x:c r="B262" s="6" t="str">
        <x:v>平</x:v>
      </x:c>
      <x:c r="C262" s="6" t="str">
        <x:f>IF(B262="","Needs decision","Ready")</x:f>
        <x:v>Ready</x:v>
      </x:c>
      <x:c r="D262" s="6" t="str">
        <x:v>平</x:v>
      </x:c>
      <x:c r="E262" s="6" t="str">
        <x:v>sjen (A)</x:v>
      </x:c>
      <x:c r="F262" s="6" t="str"/>
      <x:c r="G262" s="6" t="str"/>
      <x:c r="H262" s="6" t="str">
        <x:v>1</x:v>
      </x:c>
      <x:c r="I262" s="6" t="str"/>
      <x:c r="J262" s="6" t="str">
        <x:f>IF(B262="","",IF(AND(ISNUMBER(SEARCH("平",B262)),OR(ISNUMBER(SEARCH("上",B262)),ISNUMBER(SEARCH("去",B262)),ISNUMBER(SEARCH("入",B262)))),"Ambiguous",IF(ISNUMBER(SEARCH("平",B262)),"平","仄")))</x:f>
        <x:v>平</x:v>
      </x:c>
      <x:c r="K262" s="6" t="str">
        <x:f>IF(D262="","",IF(AND(ISNUMBER(SEARCH("平",D262)),OR(ISNUMBER(SEARCH("上",D262)),ISNUMBER(SEARCH("去",D262)),ISNUMBER(SEARCH("入",D262)))),"Ambiguous",IF(ISNUMBER(SEARCH("平",D262)),"平","仄")))</x:f>
        <x:v>平</x:v>
      </x:c>
      <x:c r="L262" s="7" t="str"/>
    </x:row>
    <x:row r="263">
      <x:c r="A263" s="5" t="str">
        <x:v>像</x:v>
      </x:c>
      <x:c r="B263" s="6" t="str">
        <x:v>上</x:v>
      </x:c>
      <x:c r="C263" s="6" t="str">
        <x:f>IF(B263="","Needs decision","Ready")</x:f>
        <x:v>Ready</x:v>
      </x:c>
      <x:c r="D263" s="6" t="str">
        <x:v>上</x:v>
      </x:c>
      <x:c r="E263" s="6" t="str">
        <x:v>zjangX (B)</x:v>
      </x:c>
      <x:c r="F263" s="6" t="str">
        <x:v>上聲二十二養</x:v>
      </x:c>
      <x:c r="G263" s="6" t="str">
        <x:v>Pingshui main list, Wikisource-derived DOCX</x:v>
      </x:c>
      <x:c r="H263" s="6" t="str">
        <x:v>1</x:v>
      </x:c>
      <x:c r="I263" s="6" t="str"/>
      <x:c r="J263" s="6" t="str">
        <x:f>IF(B263="","",IF(AND(ISNUMBER(SEARCH("平",B263)),OR(ISNUMBER(SEARCH("上",B263)),ISNUMBER(SEARCH("去",B263)),ISNUMBER(SEARCH("入",B263)))),"Ambiguous",IF(ISNUMBER(SEARCH("平",B263)),"平","仄")))</x:f>
        <x:v>仄</x:v>
      </x:c>
      <x:c r="K263" s="6" t="str">
        <x:f>IF(D263="","",IF(AND(ISNUMBER(SEARCH("平",D263)),OR(ISNUMBER(SEARCH("上",D263)),ISNUMBER(SEARCH("去",D263)),ISNUMBER(SEARCH("入",D263)))),"Ambiguous",IF(ISNUMBER(SEARCH("平",D263)),"平","仄")))</x:f>
        <x:v>仄</x:v>
      </x:c>
      <x:c r="L263" s="7" t="str"/>
    </x:row>
    <x:row r="264">
      <x:c r="A264" s="5" t="str">
        <x:v>僕</x:v>
      </x:c>
      <x:c r="B264" s="6" t="str">
        <x:v>入</x:v>
      </x:c>
      <x:c r="C264" s="6" t="str">
        <x:f>IF(B264="","Needs decision","Ready")</x:f>
        <x:v>Ready</x:v>
      </x:c>
      <x:c r="D264" s="6" t="str">
        <x:v>入</x:v>
      </x:c>
      <x:c r="E264" s="6" t="str">
        <x:v>buwk (D)</x:v>
      </x:c>
      <x:c r="F264" s="6" t="str">
        <x:v>入聲一屋; 入聲二沃</x:v>
      </x:c>
      <x:c r="G264" s="6" t="str">
        <x:v>Pingshui main list, Wikisource-derived DOCX</x:v>
      </x:c>
      <x:c r="H264" s="6" t="str">
        <x:v>1</x:v>
      </x:c>
      <x:c r="I264" s="6" t="str"/>
      <x:c r="J264" s="6" t="str">
        <x:f>IF(B264="","",IF(AND(ISNUMBER(SEARCH("平",B264)),OR(ISNUMBER(SEARCH("上",B264)),ISNUMBER(SEARCH("去",B264)),ISNUMBER(SEARCH("入",B264)))),"Ambiguous",IF(ISNUMBER(SEARCH("平",B264)),"平","仄")))</x:f>
        <x:v>仄</x:v>
      </x:c>
      <x:c r="K264" s="6" t="str">
        <x:f>IF(D264="","",IF(AND(ISNUMBER(SEARCH("平",D264)),OR(ISNUMBER(SEARCH("上",D264)),ISNUMBER(SEARCH("去",D264)),ISNUMBER(SEARCH("入",D264)))),"Ambiguous",IF(ISNUMBER(SEARCH("平",D264)),"平","仄")))</x:f>
        <x:v>仄</x:v>
      </x:c>
      <x:c r="L264" s="7" t="str"/>
    </x:row>
    <x:row r="265">
      <x:c r="A265" s="5" t="str">
        <x:v>僚</x:v>
      </x:c>
      <x:c r="B265" s="6" t="str">
        <x:v>平</x:v>
      </x:c>
      <x:c r="C265" s="6" t="str">
        <x:f>IF(B265="","Needs decision","Ready")</x:f>
        <x:v>Ready</x:v>
      </x:c>
      <x:c r="D265" s="6" t="str">
        <x:v>平</x:v>
      </x:c>
      <x:c r="E265" s="6" t="str">
        <x:v>lew (A)</x:v>
      </x:c>
      <x:c r="F265" s="6" t="str">
        <x:v>下平聲二蕭; 上聲十七篠</x:v>
      </x:c>
      <x:c r="G265" s="6" t="str">
        <x:v>Pingshui main list, Wikisource-derived DOCX</x:v>
      </x:c>
      <x:c r="H265" s="6" t="str">
        <x:v>1</x:v>
      </x:c>
      <x:c r="I265" s="6" t="str"/>
      <x:c r="J265" s="6" t="str">
        <x:f>IF(B265="","",IF(AND(ISNUMBER(SEARCH("平",B265)),OR(ISNUMBER(SEARCH("上",B265)),ISNUMBER(SEARCH("去",B265)),ISNUMBER(SEARCH("入",B265)))),"Ambiguous",IF(ISNUMBER(SEARCH("平",B265)),"平","仄")))</x:f>
        <x:v>平</x:v>
      </x:c>
      <x:c r="K265" s="6" t="str">
        <x:f>IF(D265="","",IF(AND(ISNUMBER(SEARCH("平",D265)),OR(ISNUMBER(SEARCH("上",D265)),ISNUMBER(SEARCH("去",D265)),ISNUMBER(SEARCH("入",D265)))),"Ambiguous",IF(ISNUMBER(SEARCH("平",D265)),"平","仄")))</x:f>
        <x:v>平</x:v>
      </x:c>
      <x:c r="L265" s="7" t="str"/>
    </x:row>
    <x:row r="266">
      <x:c r="A266" s="5" t="str">
        <x:v>僥</x:v>
      </x:c>
      <x:c r="B266" s="6" t="str">
        <x:v>上</x:v>
      </x:c>
      <x:c r="C266" s="6" t="str">
        <x:f>IF(B266="","Needs decision","Ready")</x:f>
        <x:v>Ready</x:v>
      </x:c>
      <x:c r="D266" s="6" t="str">
        <x:v>上</x:v>
      </x:c>
      <x:c r="E266" s="6" t="str">
        <x:v>kewX (B)</x:v>
      </x:c>
      <x:c r="F266" s="6" t="str">
        <x:v>下平聲二蕭</x:v>
      </x:c>
      <x:c r="G266" s="6" t="str">
        <x:v>Pingshui main list, Wikisource-derived DOCX</x:v>
      </x:c>
      <x:c r="H266" s="6" t="str">
        <x:v>1</x:v>
      </x:c>
      <x:c r="I266" s="6" t="str"/>
      <x:c r="J266" s="6" t="str">
        <x:f>IF(B266="","",IF(AND(ISNUMBER(SEARCH("平",B266)),OR(ISNUMBER(SEARCH("上",B266)),ISNUMBER(SEARCH("去",B266)),ISNUMBER(SEARCH("入",B266)))),"Ambiguous",IF(ISNUMBER(SEARCH("平",B266)),"平","仄")))</x:f>
        <x:v>仄</x:v>
      </x:c>
      <x:c r="K266" s="6" t="str">
        <x:f>IF(D266="","",IF(AND(ISNUMBER(SEARCH("平",D266)),OR(ISNUMBER(SEARCH("上",D266)),ISNUMBER(SEARCH("去",D266)),ISNUMBER(SEARCH("入",D266)))),"Ambiguous",IF(ISNUMBER(SEARCH("平",D266)),"平","仄")))</x:f>
        <x:v>仄</x:v>
      </x:c>
      <x:c r="L266" s="7" t="str"/>
    </x:row>
    <x:row r="267">
      <x:c r="A267" s="5" t="str">
        <x:v>僧</x:v>
      </x:c>
      <x:c r="B267" s="6" t="str">
        <x:v>平</x:v>
      </x:c>
      <x:c r="C267" s="6" t="str">
        <x:f>IF(B267="","Needs decision","Ready")</x:f>
        <x:v>Ready</x:v>
      </x:c>
      <x:c r="D267" s="6" t="str"/>
      <x:c r="E267" s="6" t="str"/>
      <x:c r="F267" s="6" t="str">
        <x:v>下平聲十蒸</x:v>
      </x:c>
      <x:c r="G267" s="6" t="str">
        <x:v>Pingshui main list, Wikisource-derived DOCX</x:v>
      </x:c>
      <x:c r="H267" s="6" t="str"/>
      <x:c r="I267" s="6" t="str"/>
      <x:c r="J267" s="6" t="str">
        <x:f>IF(B267="","",IF(AND(ISNUMBER(SEARCH("平",B267)),OR(ISNUMBER(SEARCH("上",B267)),ISNUMBER(SEARCH("去",B267)),ISNUMBER(SEARCH("入",B267)))),"Ambiguous",IF(ISNUMBER(SEARCH("平",B267)),"平","仄")))</x:f>
        <x:v>平</x:v>
      </x:c>
      <x:c r="K267" s="6" t="str">
        <x:f>IF(D267="","",IF(AND(ISNUMBER(SEARCH("平",D267)),OR(ISNUMBER(SEARCH("上",D267)),ISNUMBER(SEARCH("去",D267)),ISNUMBER(SEARCH("入",D267)))),"Ambiguous",IF(ISNUMBER(SEARCH("平",D267)),"平","仄")))</x:f>
      </x:c>
      <x:c r="L267" s="7" t="str"/>
    </x:row>
    <x:row r="268">
      <x:c r="A268" s="5" t="str">
        <x:v>僭</x:v>
      </x:c>
      <x:c r="B268" s="6" t="str">
        <x:v>去</x:v>
      </x:c>
      <x:c r="C268" s="6" t="str">
        <x:f>IF(B268="","Needs decision","Ready")</x:f>
        <x:v>Ready</x:v>
      </x:c>
      <x:c r="D268" s="6" t="str">
        <x:v>去</x:v>
      </x:c>
      <x:c r="E268" s="6" t="str">
        <x:v>tsemH (C)</x:v>
      </x:c>
      <x:c r="F268" s="6" t="str">
        <x:v>去聲二十九豔</x:v>
      </x:c>
      <x:c r="G268" s="6" t="str">
        <x:v>Pingshui main list, Wikisource-derived DOCX</x:v>
      </x:c>
      <x:c r="H268" s="6" t="str">
        <x:v>1</x:v>
      </x:c>
      <x:c r="I268" s="6" t="str"/>
      <x:c r="J268" s="6" t="str">
        <x:f>IF(B268="","",IF(AND(ISNUMBER(SEARCH("平",B268)),OR(ISNUMBER(SEARCH("上",B268)),ISNUMBER(SEARCH("去",B268)),ISNUMBER(SEARCH("入",B268)))),"Ambiguous",IF(ISNUMBER(SEARCH("平",B268)),"平","仄")))</x:f>
        <x:v>仄</x:v>
      </x:c>
      <x:c r="K268" s="6" t="str">
        <x:f>IF(D268="","",IF(AND(ISNUMBER(SEARCH("平",D268)),OR(ISNUMBER(SEARCH("上",D268)),ISNUMBER(SEARCH("去",D268)),ISNUMBER(SEARCH("入",D268)))),"Ambiguous",IF(ISNUMBER(SEARCH("平",D268)),"平","仄")))</x:f>
        <x:v>仄</x:v>
      </x:c>
      <x:c r="L268" s="7" t="str"/>
    </x:row>
    <x:row r="269">
      <x:c r="A269" s="5" t="str">
        <x:v>僮</x:v>
      </x:c>
      <x:c r="B269" s="6" t="str">
        <x:v>平</x:v>
      </x:c>
      <x:c r="C269" s="6" t="str">
        <x:f>IF(B269="","Needs decision","Ready")</x:f>
        <x:v>Ready</x:v>
      </x:c>
      <x:c r="D269" s="6" t="str">
        <x:v>平</x:v>
      </x:c>
      <x:c r="E269" s="6" t="str">
        <x:v>duwng [d̙uŋ] (平)</x:v>
      </x:c>
      <x:c r="F269" s="6" t="str">
        <x:v>上平聲一東</x:v>
      </x:c>
      <x:c r="G269" s="6" t="str">
        <x:v>Pingshui main list, Wikisource-derived DOCX</x:v>
      </x:c>
      <x:c r="H269" s="6" t="str">
        <x:v>1</x:v>
      </x:c>
      <x:c r="I269" s="6" t="str">
        <x:v>Tang 300 gap; frequency 3; provisional from Xun Gong</x:v>
      </x:c>
      <x:c r="J269" s="6" t="str">
        <x:f>IF(B269="","",IF(AND(ISNUMBER(SEARCH("平",B269)),OR(ISNUMBER(SEARCH("上",B269)),ISNUMBER(SEARCH("去",B269)),ISNUMBER(SEARCH("入",B269)))),"Ambiguous",IF(ISNUMBER(SEARCH("平",B269)),"平","仄")))</x:f>
        <x:v>平</x:v>
      </x:c>
      <x:c r="K269" s="6" t="str">
        <x:f>IF(D269="","",IF(AND(ISNUMBER(SEARCH("平",D269)),OR(ISNUMBER(SEARCH("上",D269)),ISNUMBER(SEARCH("去",D269)),ISNUMBER(SEARCH("入",D269)))),"Ambiguous",IF(ISNUMBER(SEARCH("平",D269)),"平","仄")))</x:f>
        <x:v>平</x:v>
      </x:c>
      <x:c r="L269" s="7" t="str">
        <x:v>Xun Gong, Tang 300 gap fill</x:v>
      </x:c>
    </x:row>
    <x:row r="270">
      <x:c r="A270" s="5" t="str">
        <x:v>價</x:v>
      </x:c>
      <x:c r="B270" s="6" t="str">
        <x:v>去</x:v>
      </x:c>
      <x:c r="C270" s="6" t="str">
        <x:f>IF(B270="","Needs decision","Ready")</x:f>
        <x:v>Ready</x:v>
      </x:c>
      <x:c r="D270" s="6" t="str">
        <x:v>去</x:v>
      </x:c>
      <x:c r="E270" s="6" t="str">
        <x:v>kaeH (C)</x:v>
      </x:c>
      <x:c r="F270" s="6" t="str">
        <x:v>去聲十卦; 去聲二十二禡</x:v>
      </x:c>
      <x:c r="G270" s="6" t="str">
        <x:v>Pingshui main list, Wikisource-derived DOCX</x:v>
      </x:c>
      <x:c r="H270" s="6" t="str">
        <x:v>1</x:v>
      </x:c>
      <x:c r="I270" s="6" t="str"/>
      <x:c r="J270" s="6" t="str">
        <x:f>IF(B270="","",IF(AND(ISNUMBER(SEARCH("平",B270)),OR(ISNUMBER(SEARCH("上",B270)),ISNUMBER(SEARCH("去",B270)),ISNUMBER(SEARCH("入",B270)))),"Ambiguous",IF(ISNUMBER(SEARCH("平",B270)),"平","仄")))</x:f>
        <x:v>仄</x:v>
      </x:c>
      <x:c r="K270" s="6" t="str">
        <x:f>IF(D270="","",IF(AND(ISNUMBER(SEARCH("平",D270)),OR(ISNUMBER(SEARCH("上",D270)),ISNUMBER(SEARCH("去",D270)),ISNUMBER(SEARCH("入",D270)))),"Ambiguous",IF(ISNUMBER(SEARCH("平",D270)),"平","仄")))</x:f>
        <x:v>仄</x:v>
      </x:c>
      <x:c r="L270" s="7" t="str"/>
    </x:row>
    <x:row r="271">
      <x:c r="A271" s="5" t="str">
        <x:v>僻</x:v>
      </x:c>
      <x:c r="B271" s="6" t="str">
        <x:v>入</x:v>
      </x:c>
      <x:c r="C271" s="6" t="str">
        <x:f>IF(B271="","Needs decision","Ready")</x:f>
        <x:v>Ready</x:v>
      </x:c>
      <x:c r="D271" s="6" t="str">
        <x:v>入</x:v>
      </x:c>
      <x:c r="E271" s="6" t="str">
        <x:v>phjiek (D)</x:v>
      </x:c>
      <x:c r="F271" s="6" t="str">
        <x:v>入聲十一陌</x:v>
      </x:c>
      <x:c r="G271" s="6" t="str">
        <x:v>Pingshui main list, Wikisource-derived DOCX</x:v>
      </x:c>
      <x:c r="H271" s="6" t="str">
        <x:v>1</x:v>
      </x:c>
      <x:c r="I271" s="6" t="str"/>
      <x:c r="J271" s="6" t="str">
        <x:f>IF(B271="","",IF(AND(ISNUMBER(SEARCH("平",B271)),OR(ISNUMBER(SEARCH("上",B271)),ISNUMBER(SEARCH("去",B271)),ISNUMBER(SEARCH("入",B271)))),"Ambiguous",IF(ISNUMBER(SEARCH("平",B271)),"平","仄")))</x:f>
        <x:v>仄</x:v>
      </x:c>
      <x:c r="K271" s="6" t="str">
        <x:f>IF(D271="","",IF(AND(ISNUMBER(SEARCH("平",D271)),OR(ISNUMBER(SEARCH("上",D271)),ISNUMBER(SEARCH("去",D271)),ISNUMBER(SEARCH("入",D271)))),"Ambiguous",IF(ISNUMBER(SEARCH("平",D271)),"平","仄")))</x:f>
        <x:v>仄</x:v>
      </x:c>
      <x:c r="L271" s="7" t="str"/>
    </x:row>
    <x:row r="272">
      <x:c r="A272" s="5" t="str">
        <x:v>僾</x:v>
      </x:c>
      <x:c r="B272" s="6" t="str">
        <x:v>去</x:v>
      </x:c>
      <x:c r="C272" s="6" t="str">
        <x:f>IF(B272="","Needs decision","Ready")</x:f>
        <x:v>Ready</x:v>
      </x:c>
      <x:c r="D272" s="6" t="str">
        <x:v>去</x:v>
      </x:c>
      <x:c r="E272" s="6" t="str">
        <x:v>'ojH (C)</x:v>
      </x:c>
      <x:c r="F272" s="6" t="str"/>
      <x:c r="G272" s="6" t="str"/>
      <x:c r="H272" s="6" t="str">
        <x:v>1</x:v>
      </x:c>
      <x:c r="I272" s="6" t="str"/>
      <x:c r="J272" s="6" t="str">
        <x:f>IF(B272="","",IF(AND(ISNUMBER(SEARCH("平",B272)),OR(ISNUMBER(SEARCH("上",B272)),ISNUMBER(SEARCH("去",B272)),ISNUMBER(SEARCH("入",B272)))),"Ambiguous",IF(ISNUMBER(SEARCH("平",B272)),"平","仄")))</x:f>
        <x:v>仄</x:v>
      </x:c>
      <x:c r="K272" s="6" t="str">
        <x:f>IF(D272="","",IF(AND(ISNUMBER(SEARCH("平",D272)),OR(ISNUMBER(SEARCH("上",D272)),ISNUMBER(SEARCH("去",D272)),ISNUMBER(SEARCH("入",D272)))),"Ambiguous",IF(ISNUMBER(SEARCH("平",D272)),"平","仄")))</x:f>
        <x:v>仄</x:v>
      </x:c>
      <x:c r="L272" s="7" t="str"/>
    </x:row>
    <x:row r="273">
      <x:c r="A273" s="5" t="str">
        <x:v>儀</x:v>
      </x:c>
      <x:c r="B273" s="6" t="str">
        <x:v>平</x:v>
      </x:c>
      <x:c r="C273" s="6" t="str">
        <x:f>IF(B273="","Needs decision","Ready")</x:f>
        <x:v>Ready</x:v>
      </x:c>
      <x:c r="D273" s="6" t="str">
        <x:v>平</x:v>
      </x:c>
      <x:c r="E273" s="6" t="str">
        <x:v>ngje (A)</x:v>
      </x:c>
      <x:c r="F273" s="6" t="str">
        <x:v>上平聲四支</x:v>
      </x:c>
      <x:c r="G273" s="6" t="str">
        <x:v>Pingshui main list, Wikisource-derived DOCX</x:v>
      </x:c>
      <x:c r="H273" s="6" t="str">
        <x:v>1</x:v>
      </x:c>
      <x:c r="I273" s="6" t="str"/>
      <x:c r="J273" s="6" t="str">
        <x:f>IF(B273="","",IF(AND(ISNUMBER(SEARCH("平",B273)),OR(ISNUMBER(SEARCH("上",B273)),ISNUMBER(SEARCH("去",B273)),ISNUMBER(SEARCH("入",B273)))),"Ambiguous",IF(ISNUMBER(SEARCH("平",B273)),"平","仄")))</x:f>
        <x:v>平</x:v>
      </x:c>
      <x:c r="K273" s="6" t="str">
        <x:f>IF(D273="","",IF(AND(ISNUMBER(SEARCH("平",D273)),OR(ISNUMBER(SEARCH("上",D273)),ISNUMBER(SEARCH("去",D273)),ISNUMBER(SEARCH("入",D273)))),"Ambiguous",IF(ISNUMBER(SEARCH("平",D273)),"平","仄")))</x:f>
        <x:v>平</x:v>
      </x:c>
      <x:c r="L273" s="7" t="str"/>
    </x:row>
    <x:row r="274">
      <x:c r="A274" s="5" t="str">
        <x:v>億</x:v>
      </x:c>
      <x:c r="B274" s="6" t="str">
        <x:v>入</x:v>
      </x:c>
      <x:c r="C274" s="6" t="str">
        <x:f>IF(B274="","Needs decision","Ready")</x:f>
        <x:v>Ready</x:v>
      </x:c>
      <x:c r="D274" s="6" t="str">
        <x:v>入</x:v>
      </x:c>
      <x:c r="E274" s="6" t="str">
        <x:v>'ik (D)</x:v>
      </x:c>
      <x:c r="F274" s="6" t="str">
        <x:v>入聲十三職</x:v>
      </x:c>
      <x:c r="G274" s="6" t="str">
        <x:v>Pingshui main list, Wikisource-derived DOCX</x:v>
      </x:c>
      <x:c r="H274" s="6" t="str">
        <x:v>1</x:v>
      </x:c>
      <x:c r="I274" s="6" t="str"/>
      <x:c r="J274" s="6" t="str">
        <x:f>IF(B274="","",IF(AND(ISNUMBER(SEARCH("平",B274)),OR(ISNUMBER(SEARCH("上",B274)),ISNUMBER(SEARCH("去",B274)),ISNUMBER(SEARCH("入",B274)))),"Ambiguous",IF(ISNUMBER(SEARCH("平",B274)),"平","仄")))</x:f>
        <x:v>仄</x:v>
      </x:c>
      <x:c r="K274" s="6" t="str">
        <x:f>IF(D274="","",IF(AND(ISNUMBER(SEARCH("平",D274)),OR(ISNUMBER(SEARCH("上",D274)),ISNUMBER(SEARCH("去",D274)),ISNUMBER(SEARCH("入",D274)))),"Ambiguous",IF(ISNUMBER(SEARCH("平",D274)),"平","仄")))</x:f>
        <x:v>仄</x:v>
      </x:c>
      <x:c r="L274" s="7" t="str"/>
    </x:row>
    <x:row r="275">
      <x:c r="A275" s="5" t="str">
        <x:v>儇</x:v>
      </x:c>
      <x:c r="B275" s="6" t="str">
        <x:v>平</x:v>
      </x:c>
      <x:c r="C275" s="6" t="str">
        <x:f>IF(B275="","Needs decision","Ready")</x:f>
        <x:v>Ready</x:v>
      </x:c>
      <x:c r="D275" s="6" t="str">
        <x:v>平</x:v>
      </x:c>
      <x:c r="E275" s="6" t="str">
        <x:v>xjwien (A)</x:v>
      </x:c>
      <x:c r="F275" s="6" t="str">
        <x:v>下平聲一先</x:v>
      </x:c>
      <x:c r="G275" s="6" t="str">
        <x:v>Pingshui main list, Wikisource-derived DOCX</x:v>
      </x:c>
      <x:c r="H275" s="6" t="str">
        <x:v>1</x:v>
      </x:c>
      <x:c r="I275" s="6" t="str"/>
      <x:c r="J275" s="6" t="str">
        <x:f>IF(B275="","",IF(AND(ISNUMBER(SEARCH("平",B275)),OR(ISNUMBER(SEARCH("上",B275)),ISNUMBER(SEARCH("去",B275)),ISNUMBER(SEARCH("入",B275)))),"Ambiguous",IF(ISNUMBER(SEARCH("平",B275)),"平","仄")))</x:f>
        <x:v>平</x:v>
      </x:c>
      <x:c r="K275" s="6" t="str">
        <x:f>IF(D275="","",IF(AND(ISNUMBER(SEARCH("平",D275)),OR(ISNUMBER(SEARCH("上",D275)),ISNUMBER(SEARCH("去",D275)),ISNUMBER(SEARCH("入",D275)))),"Ambiguous",IF(ISNUMBER(SEARCH("平",D275)),"平","仄")))</x:f>
        <x:v>平</x:v>
      </x:c>
      <x:c r="L275" s="7" t="str"/>
    </x:row>
    <x:row r="276">
      <x:c r="A276" s="5" t="str">
        <x:v>儉</x:v>
      </x:c>
      <x:c r="B276" s="6" t="str">
        <x:v>上</x:v>
      </x:c>
      <x:c r="C276" s="6" t="str">
        <x:f>IF(B276="","Needs decision","Ready")</x:f>
        <x:v>Ready</x:v>
      </x:c>
      <x:c r="D276" s="6" t="str">
        <x:v>上</x:v>
      </x:c>
      <x:c r="E276" s="6" t="str">
        <x:v>gjemX (B)</x:v>
      </x:c>
      <x:c r="F276" s="6" t="str">
        <x:v>上聲二十八琰</x:v>
      </x:c>
      <x:c r="G276" s="6" t="str">
        <x:v>Pingshui main list, Wikisource-derived DOCX</x:v>
      </x:c>
      <x:c r="H276" s="6" t="str">
        <x:v>1</x:v>
      </x:c>
      <x:c r="I276" s="6" t="str"/>
      <x:c r="J276" s="6" t="str">
        <x:f>IF(B276="","",IF(AND(ISNUMBER(SEARCH("平",B276)),OR(ISNUMBER(SEARCH("上",B276)),ISNUMBER(SEARCH("去",B276)),ISNUMBER(SEARCH("入",B276)))),"Ambiguous",IF(ISNUMBER(SEARCH("平",B276)),"平","仄")))</x:f>
        <x:v>仄</x:v>
      </x:c>
      <x:c r="K276" s="6" t="str">
        <x:f>IF(D276="","",IF(AND(ISNUMBER(SEARCH("平",D276)),OR(ISNUMBER(SEARCH("上",D276)),ISNUMBER(SEARCH("去",D276)),ISNUMBER(SEARCH("入",D276)))),"Ambiguous",IF(ISNUMBER(SEARCH("平",D276)),"平","仄")))</x:f>
        <x:v>仄</x:v>
      </x:c>
      <x:c r="L276" s="7" t="str"/>
    </x:row>
    <x:row r="277">
      <x:c r="A277" s="5" t="str">
        <x:v>儋</x:v>
      </x:c>
      <x:c r="B277" s="6" t="str">
        <x:v>平</x:v>
      </x:c>
      <x:c r="C277" s="6" t="str">
        <x:f>IF(B277="","Needs decision","Ready")</x:f>
        <x:v>Ready</x:v>
      </x:c>
      <x:c r="D277" s="6" t="str">
        <x:v>平</x:v>
      </x:c>
      <x:c r="E277" s="6" t="str">
        <x:v>tam (A)</x:v>
      </x:c>
      <x:c r="F277" s="6" t="str">
        <x:v>下平聲十三覃</x:v>
      </x:c>
      <x:c r="G277" s="6" t="str">
        <x:v>Pingshui main list, Wikisource-derived DOCX</x:v>
      </x:c>
      <x:c r="H277" s="6" t="str">
        <x:v>1</x:v>
      </x:c>
      <x:c r="I277" s="6" t="str"/>
      <x:c r="J277" s="6" t="str">
        <x:f>IF(B277="","",IF(AND(ISNUMBER(SEARCH("平",B277)),OR(ISNUMBER(SEARCH("上",B277)),ISNUMBER(SEARCH("去",B277)),ISNUMBER(SEARCH("入",B277)))),"Ambiguous",IF(ISNUMBER(SEARCH("平",B277)),"平","仄")))</x:f>
        <x:v>平</x:v>
      </x:c>
      <x:c r="K277" s="6" t="str">
        <x:f>IF(D277="","",IF(AND(ISNUMBER(SEARCH("平",D277)),OR(ISNUMBER(SEARCH("上",D277)),ISNUMBER(SEARCH("去",D277)),ISNUMBER(SEARCH("入",D277)))),"Ambiguous",IF(ISNUMBER(SEARCH("平",D277)),"平","仄")))</x:f>
        <x:v>平</x:v>
      </x:c>
      <x:c r="L277" s="7" t="str"/>
    </x:row>
    <x:row r="278">
      <x:c r="A278" s="5" t="str">
        <x:v>儒</x:v>
      </x:c>
      <x:c r="B278" s="6" t="str">
        <x:v>平</x:v>
      </x:c>
      <x:c r="C278" s="6" t="str">
        <x:f>IF(B278="","Needs decision","Ready")</x:f>
        <x:v>Ready</x:v>
      </x:c>
      <x:c r="D278" s="6" t="str">
        <x:v>平</x:v>
      </x:c>
      <x:c r="E278" s="6" t="str"/>
      <x:c r="F278" s="6" t="str">
        <x:v>上平聲七虞</x:v>
      </x:c>
      <x:c r="G278" s="6" t="str">
        <x:v>Pingshui main list, Wikisource-derived DOCX</x:v>
      </x:c>
      <x:c r="H278" s="6" t="str"/>
      <x:c r="I278" s="6" t="str">
        <x:v>Manual user correction/addition</x:v>
      </x:c>
      <x:c r="J278" s="6" t="str">
        <x:f>IF(B278="","",IF(AND(ISNUMBER(SEARCH("平",B278)),OR(ISNUMBER(SEARCH("上",B278)),ISNUMBER(SEARCH("去",B278)),ISNUMBER(SEARCH("入",B278)))),"Ambiguous",IF(ISNUMBER(SEARCH("平",B278)),"平","仄")))</x:f>
        <x:v>平</x:v>
      </x:c>
      <x:c r="K278" s="6" t="str">
        <x:f>IF(D278="","",IF(AND(ISNUMBER(SEARCH("平",D278)),OR(ISNUMBER(SEARCH("上",D278)),ISNUMBER(SEARCH("去",D278)),ISNUMBER(SEARCH("入",D278)))),"Ambiguous",IF(ISNUMBER(SEARCH("平",D278)),"平","仄")))</x:f>
        <x:v>平</x:v>
      </x:c>
      <x:c r="L278" s="7" t="str">
        <x:v>manual user correction</x:v>
      </x:c>
    </x:row>
    <x:row r="279">
      <x:c r="A279" s="5" t="str">
        <x:v>儕</x:v>
      </x:c>
      <x:c r="B279" s="6" t="str">
        <x:v>平</x:v>
      </x:c>
      <x:c r="C279" s="6" t="str">
        <x:f>IF(B279="","Needs decision","Ready")</x:f>
        <x:v>Ready</x:v>
      </x:c>
      <x:c r="D279" s="6" t="str">
        <x:v>平</x:v>
      </x:c>
      <x:c r="E279" s="6" t="str">
        <x:v>dzreaj (A)</x:v>
      </x:c>
      <x:c r="F279" s="6" t="str">
        <x:v>上平聲九佳</x:v>
      </x:c>
      <x:c r="G279" s="6" t="str">
        <x:v>Pingshui main list, Wikisource-derived DOCX</x:v>
      </x:c>
      <x:c r="H279" s="6" t="str">
        <x:v>1</x:v>
      </x:c>
      <x:c r="I279" s="6" t="str"/>
      <x:c r="J279" s="6" t="str">
        <x:f>IF(B279="","",IF(AND(ISNUMBER(SEARCH("平",B279)),OR(ISNUMBER(SEARCH("上",B279)),ISNUMBER(SEARCH("去",B279)),ISNUMBER(SEARCH("入",B279)))),"Ambiguous",IF(ISNUMBER(SEARCH("平",B279)),"平","仄")))</x:f>
        <x:v>平</x:v>
      </x:c>
      <x:c r="K279" s="6" t="str">
        <x:f>IF(D279="","",IF(AND(ISNUMBER(SEARCH("平",D279)),OR(ISNUMBER(SEARCH("上",D279)),ISNUMBER(SEARCH("去",D279)),ISNUMBER(SEARCH("入",D279)))),"Ambiguous",IF(ISNUMBER(SEARCH("平",D279)),"平","仄")))</x:f>
        <x:v>平</x:v>
      </x:c>
      <x:c r="L279" s="7" t="str"/>
    </x:row>
    <x:row r="280">
      <x:c r="A280" s="5" t="str">
        <x:v>儛</x:v>
      </x:c>
      <x:c r="B280" s="6" t="str">
        <x:v>上</x:v>
      </x:c>
      <x:c r="C280" s="6" t="str">
        <x:f>IF(B280="","Needs decision","Ready")</x:f>
        <x:v>Ready</x:v>
      </x:c>
      <x:c r="D280" s="6" t="str">
        <x:v>上</x:v>
      </x:c>
      <x:c r="E280" s="6" t="str">
        <x:v>mjuX (B)</x:v>
      </x:c>
      <x:c r="F280" s="6" t="str"/>
      <x:c r="G280" s="6" t="str"/>
      <x:c r="H280" s="6" t="str">
        <x:v>1</x:v>
      </x:c>
      <x:c r="I280" s="6" t="str"/>
      <x:c r="J280" s="6" t="str">
        <x:f>IF(B280="","",IF(AND(ISNUMBER(SEARCH("平",B280)),OR(ISNUMBER(SEARCH("上",B280)),ISNUMBER(SEARCH("去",B280)),ISNUMBER(SEARCH("入",B280)))),"Ambiguous",IF(ISNUMBER(SEARCH("平",B280)),"平","仄")))</x:f>
        <x:v>仄</x:v>
      </x:c>
      <x:c r="K280" s="6" t="str">
        <x:f>IF(D280="","",IF(AND(ISNUMBER(SEARCH("平",D280)),OR(ISNUMBER(SEARCH("上",D280)),ISNUMBER(SEARCH("去",D280)),ISNUMBER(SEARCH("入",D280)))),"Ambiguous",IF(ISNUMBER(SEARCH("平",D280)),"平","仄")))</x:f>
        <x:v>仄</x:v>
      </x:c>
      <x:c r="L280" s="7" t="str"/>
    </x:row>
    <x:row r="281">
      <x:c r="A281" s="5" t="str">
        <x:v>儢</x:v>
      </x:c>
      <x:c r="B281" s="6" t="str">
        <x:v>上</x:v>
      </x:c>
      <x:c r="C281" s="6" t="str">
        <x:f>IF(B281="","Needs decision","Ready")</x:f>
        <x:v>Ready</x:v>
      </x:c>
      <x:c r="D281" s="6" t="str">
        <x:v>上</x:v>
      </x:c>
      <x:c r="E281" s="6" t="str">
        <x:v>ljoX (B)</x:v>
      </x:c>
      <x:c r="F281" s="6" t="str">
        <x:v>上聲六語</x:v>
      </x:c>
      <x:c r="G281" s="6" t="str">
        <x:v>Pingshui main list, Wikisource-derived DOCX</x:v>
      </x:c>
      <x:c r="H281" s="6" t="str">
        <x:v>1</x:v>
      </x:c>
      <x:c r="I281" s="6" t="str"/>
      <x:c r="J281" s="6" t="str">
        <x:f>IF(B281="","",IF(AND(ISNUMBER(SEARCH("平",B281)),OR(ISNUMBER(SEARCH("上",B281)),ISNUMBER(SEARCH("去",B281)),ISNUMBER(SEARCH("入",B281)))),"Ambiguous",IF(ISNUMBER(SEARCH("平",B281)),"平","仄")))</x:f>
        <x:v>仄</x:v>
      </x:c>
      <x:c r="K281" s="6" t="str">
        <x:f>IF(D281="","",IF(AND(ISNUMBER(SEARCH("平",D281)),OR(ISNUMBER(SEARCH("上",D281)),ISNUMBER(SEARCH("去",D281)),ISNUMBER(SEARCH("入",D281)))),"Ambiguous",IF(ISNUMBER(SEARCH("平",D281)),"平","仄")))</x:f>
        <x:v>仄</x:v>
      </x:c>
      <x:c r="L281" s="7" t="str"/>
    </x:row>
    <x:row r="282">
      <x:c r="A282" s="5" t="str">
        <x:v>儥</x:v>
      </x:c>
      <x:c r="B282" s="6" t="str">
        <x:v>入</x:v>
      </x:c>
      <x:c r="C282" s="6" t="str">
        <x:f>IF(B282="","Needs decision","Ready")</x:f>
        <x:v>Ready</x:v>
      </x:c>
      <x:c r="D282" s="6" t="str">
        <x:v>入</x:v>
      </x:c>
      <x:c r="E282" s="6" t="str">
        <x:v>yuwk (D)</x:v>
      </x:c>
      <x:c r="F282" s="6" t="str"/>
      <x:c r="G282" s="6" t="str"/>
      <x:c r="H282" s="6" t="str">
        <x:v>1</x:v>
      </x:c>
      <x:c r="I282" s="6" t="str"/>
      <x:c r="J282" s="6" t="str">
        <x:f>IF(B282="","",IF(AND(ISNUMBER(SEARCH("平",B282)),OR(ISNUMBER(SEARCH("上",B282)),ISNUMBER(SEARCH("去",B282)),ISNUMBER(SEARCH("入",B282)))),"Ambiguous",IF(ISNUMBER(SEARCH("平",B282)),"平","仄")))</x:f>
        <x:v>仄</x:v>
      </x:c>
      <x:c r="K282" s="6" t="str">
        <x:f>IF(D282="","",IF(AND(ISNUMBER(SEARCH("平",D282)),OR(ISNUMBER(SEARCH("上",D282)),ISNUMBER(SEARCH("去",D282)),ISNUMBER(SEARCH("入",D282)))),"Ambiguous",IF(ISNUMBER(SEARCH("平",D282)),"平","仄")))</x:f>
        <x:v>仄</x:v>
      </x:c>
      <x:c r="L282" s="7" t="str"/>
    </x:row>
    <x:row r="283">
      <x:c r="A283" s="5" t="str">
        <x:v>優</x:v>
      </x:c>
      <x:c r="B283" s="6" t="str">
        <x:v>平</x:v>
      </x:c>
      <x:c r="C283" s="6" t="str">
        <x:f>IF(B283="","Needs decision","Ready")</x:f>
        <x:v>Ready</x:v>
      </x:c>
      <x:c r="D283" s="6" t="str">
        <x:v>平</x:v>
      </x:c>
      <x:c r="E283" s="6" t="str">
        <x:v>'juw (A)</x:v>
      </x:c>
      <x:c r="F283" s="6" t="str">
        <x:v>下平聲十一尤</x:v>
      </x:c>
      <x:c r="G283" s="6" t="str">
        <x:v>Pingshui main list, Wikisource-derived DOCX</x:v>
      </x:c>
      <x:c r="H283" s="6" t="str">
        <x:v>1</x:v>
      </x:c>
      <x:c r="I283" s="6" t="str"/>
      <x:c r="J283" s="6" t="str">
        <x:f>IF(B283="","",IF(AND(ISNUMBER(SEARCH("平",B283)),OR(ISNUMBER(SEARCH("上",B283)),ISNUMBER(SEARCH("去",B283)),ISNUMBER(SEARCH("入",B283)))),"Ambiguous",IF(ISNUMBER(SEARCH("平",B283)),"平","仄")))</x:f>
        <x:v>平</x:v>
      </x:c>
      <x:c r="K283" s="6" t="str">
        <x:f>IF(D283="","",IF(AND(ISNUMBER(SEARCH("平",D283)),OR(ISNUMBER(SEARCH("上",D283)),ISNUMBER(SEARCH("去",D283)),ISNUMBER(SEARCH("入",D283)))),"Ambiguous",IF(ISNUMBER(SEARCH("平",D283)),"平","仄")))</x:f>
        <x:v>平</x:v>
      </x:c>
      <x:c r="L283" s="7" t="str"/>
    </x:row>
    <x:row r="284">
      <x:c r="A284" s="5" t="str">
        <x:v>儲</x:v>
      </x:c>
      <x:c r="B284" s="6" t="str">
        <x:v>平</x:v>
      </x:c>
      <x:c r="C284" s="6" t="str">
        <x:f>IF(B284="","Needs decision","Ready")</x:f>
        <x:v>Ready</x:v>
      </x:c>
      <x:c r="D284" s="6" t="str">
        <x:v>平</x:v>
      </x:c>
      <x:c r="E284" s="6" t="str">
        <x:v>drjo [ɖjə] (平)</x:v>
      </x:c>
      <x:c r="F284" s="6" t="str">
        <x:v>上平聲六魚</x:v>
      </x:c>
      <x:c r="G284" s="6" t="str">
        <x:v>Pingshui main list, Wikisource-derived DOCX</x:v>
      </x:c>
      <x:c r="H284" s="6" t="str">
        <x:v>1</x:v>
      </x:c>
      <x:c r="I284" s="6" t="str">
        <x:v>Tang 300 gap; frequency 1; provisional from Xun Gong</x:v>
      </x:c>
      <x:c r="J284" s="6" t="str">
        <x:f>IF(B284="","",IF(AND(ISNUMBER(SEARCH("平",B284)),OR(ISNUMBER(SEARCH("上",B284)),ISNUMBER(SEARCH("去",B284)),ISNUMBER(SEARCH("入",B284)))),"Ambiguous",IF(ISNUMBER(SEARCH("平",B284)),"平","仄")))</x:f>
        <x:v>平</x:v>
      </x:c>
      <x:c r="K284" s="6" t="str">
        <x:f>IF(D284="","",IF(AND(ISNUMBER(SEARCH("平",D284)),OR(ISNUMBER(SEARCH("上",D284)),ISNUMBER(SEARCH("去",D284)),ISNUMBER(SEARCH("入",D284)))),"Ambiguous",IF(ISNUMBER(SEARCH("平",D284)),"平","仄")))</x:f>
        <x:v>平</x:v>
      </x:c>
      <x:c r="L284" s="7" t="str">
        <x:v>Xun Gong, Tang 300 gap fill</x:v>
      </x:c>
    </x:row>
    <x:row r="285">
      <x:c r="A285" s="5" t="str">
        <x:v>儺</x:v>
      </x:c>
      <x:c r="B285" s="6" t="str"/>
      <x:c r="C285" s="6" t="str">
        <x:f>IF(B285="","Needs decision","Ready")</x:f>
        <x:v>Needs decision</x:v>
      </x:c>
      <x:c r="D285" s="6" t="str">
        <x:v>平/上</x:v>
      </x:c>
      <x:c r="E285" s="6" t="str">
        <x:v>na (A); naX (B)</x:v>
      </x:c>
      <x:c r="F285" s="6" t="str">
        <x:v>下平聲五歌; 上聲二十哿</x:v>
      </x:c>
      <x:c r="G285" s="6" t="str">
        <x:v>Pingshui main list, Wikisource-derived DOCX</x:v>
      </x:c>
      <x:c r="H285" s="6" t="str">
        <x:v>2</x:v>
      </x:c>
      <x:c r="I285" s="6" t="str"/>
      <x:c r="J285" s="6" t="str">
        <x:f>IF(B285="","",IF(AND(ISNUMBER(SEARCH("平",B285)),OR(ISNUMBER(SEARCH("上",B285)),ISNUMBER(SEARCH("去",B285)),ISNUMBER(SEARCH("入",B285)))),"Ambiguous",IF(ISNUMBER(SEARCH("平",B285)),"平","仄")))</x:f>
      </x:c>
      <x:c r="K285" s="6" t="str">
        <x:f>IF(D285="","",IF(AND(ISNUMBER(SEARCH("平",D285)),OR(ISNUMBER(SEARCH("上",D285)),ISNUMBER(SEARCH("去",D285)),ISNUMBER(SEARCH("入",D285)))),"Ambiguous",IF(ISNUMBER(SEARCH("平",D285)),"平","仄")))</x:f>
        <x:v>Ambiguous</x:v>
      </x:c>
      <x:c r="L285" s="7" t="str"/>
    </x:row>
    <x:row r="286">
      <x:c r="A286" s="5" t="str">
        <x:v>儻</x:v>
      </x:c>
      <x:c r="B286" s="6" t="str">
        <x:v>上</x:v>
      </x:c>
      <x:c r="C286" s="6" t="str">
        <x:f>IF(B286="","Needs decision","Ready")</x:f>
        <x:v>Ready</x:v>
      </x:c>
      <x:c r="D286" s="6" t="str">
        <x:v>上</x:v>
      </x:c>
      <x:c r="E286" s="6" t="str">
        <x:v>thangX (B)</x:v>
      </x:c>
      <x:c r="F286" s="6" t="str">
        <x:v>上聲二十二養; 去聲二十三漾</x:v>
      </x:c>
      <x:c r="G286" s="6" t="str">
        <x:v>Pingshui main list, Wikisource-derived DOCX</x:v>
      </x:c>
      <x:c r="H286" s="6" t="str">
        <x:v>1</x:v>
      </x:c>
      <x:c r="I286" s="6" t="str"/>
      <x:c r="J286" s="6" t="str">
        <x:f>IF(B286="","",IF(AND(ISNUMBER(SEARCH("平",B286)),OR(ISNUMBER(SEARCH("上",B286)),ISNUMBER(SEARCH("去",B286)),ISNUMBER(SEARCH("入",B286)))),"Ambiguous",IF(ISNUMBER(SEARCH("平",B286)),"平","仄")))</x:f>
        <x:v>仄</x:v>
      </x:c>
      <x:c r="K286" s="6" t="str">
        <x:f>IF(D286="","",IF(AND(ISNUMBER(SEARCH("平",D286)),OR(ISNUMBER(SEARCH("上",D286)),ISNUMBER(SEARCH("去",D286)),ISNUMBER(SEARCH("入",D286)))),"Ambiguous",IF(ISNUMBER(SEARCH("平",D286)),"平","仄")))</x:f>
        <x:v>仄</x:v>
      </x:c>
      <x:c r="L286" s="7" t="str"/>
    </x:row>
    <x:row r="287">
      <x:c r="A287" s="5" t="str">
        <x:v>儼</x:v>
      </x:c>
      <x:c r="B287" s="6" t="str">
        <x:v>上</x:v>
      </x:c>
      <x:c r="C287" s="6" t="str">
        <x:f>IF(B287="","Needs decision","Ready")</x:f>
        <x:v>Ready</x:v>
      </x:c>
      <x:c r="D287" s="6" t="str">
        <x:v>上</x:v>
      </x:c>
      <x:c r="E287" s="6" t="str">
        <x:v>ngjaemX (B)</x:v>
      </x:c>
      <x:c r="F287" s="6" t="str"/>
      <x:c r="G287" s="6" t="str"/>
      <x:c r="H287" s="6" t="str">
        <x:v>1</x:v>
      </x:c>
      <x:c r="I287" s="6" t="str"/>
      <x:c r="J287" s="6" t="str">
        <x:f>IF(B287="","",IF(AND(ISNUMBER(SEARCH("平",B287)),OR(ISNUMBER(SEARCH("上",B287)),ISNUMBER(SEARCH("去",B287)),ISNUMBER(SEARCH("入",B287)))),"Ambiguous",IF(ISNUMBER(SEARCH("平",B287)),"平","仄")))</x:f>
        <x:v>仄</x:v>
      </x:c>
      <x:c r="K287" s="6" t="str">
        <x:f>IF(D287="","",IF(AND(ISNUMBER(SEARCH("平",D287)),OR(ISNUMBER(SEARCH("上",D287)),ISNUMBER(SEARCH("去",D287)),ISNUMBER(SEARCH("入",D287)))),"Ambiguous",IF(ISNUMBER(SEARCH("平",D287)),"平","仄")))</x:f>
        <x:v>仄</x:v>
      </x:c>
      <x:c r="L287" s="7" t="str"/>
    </x:row>
    <x:row r="288">
      <x:c r="A288" s="5" t="str">
        <x:v>儽</x:v>
      </x:c>
      <x:c r="B288" s="6" t="str">
        <x:v>去</x:v>
      </x:c>
      <x:c r="C288" s="6" t="str">
        <x:f>IF(B288="","Needs decision","Ready")</x:f>
        <x:v>Ready</x:v>
      </x:c>
      <x:c r="D288" s="6" t="str">
        <x:v>去</x:v>
      </x:c>
      <x:c r="E288" s="6" t="str">
        <x:v>lwojH (C)</x:v>
      </x:c>
      <x:c r="F288" s="6" t="str"/>
      <x:c r="G288" s="6" t="str"/>
      <x:c r="H288" s="6" t="str">
        <x:v>1</x:v>
      </x:c>
      <x:c r="I288" s="6" t="str"/>
      <x:c r="J288" s="6" t="str">
        <x:f>IF(B288="","",IF(AND(ISNUMBER(SEARCH("平",B288)),OR(ISNUMBER(SEARCH("上",B288)),ISNUMBER(SEARCH("去",B288)),ISNUMBER(SEARCH("入",B288)))),"Ambiguous",IF(ISNUMBER(SEARCH("平",B288)),"平","仄")))</x:f>
        <x:v>仄</x:v>
      </x:c>
      <x:c r="K288" s="6" t="str">
        <x:f>IF(D288="","",IF(AND(ISNUMBER(SEARCH("平",D288)),OR(ISNUMBER(SEARCH("上",D288)),ISNUMBER(SEARCH("去",D288)),ISNUMBER(SEARCH("入",D288)))),"Ambiguous",IF(ISNUMBER(SEARCH("平",D288)),"平","仄")))</x:f>
        <x:v>仄</x:v>
      </x:c>
      <x:c r="L288" s="7" t="str"/>
    </x:row>
    <x:row r="289">
      <x:c r="A289" s="5" t="str">
        <x:v>兀</x:v>
      </x:c>
      <x:c r="B289" s="6" t="str">
        <x:v>入</x:v>
      </x:c>
      <x:c r="C289" s="6" t="str">
        <x:f>IF(B289="","Needs decision","Ready")</x:f>
        <x:v>Ready</x:v>
      </x:c>
      <x:c r="D289" s="6" t="str">
        <x:v>入</x:v>
      </x:c>
      <x:c r="E289" s="6" t="str">
        <x:v>ngwot (D)</x:v>
      </x:c>
      <x:c r="F289" s="6" t="str">
        <x:v>入聲六月</x:v>
      </x:c>
      <x:c r="G289" s="6" t="str">
        <x:v>Pingshui main list, Wikisource-derived DOCX</x:v>
      </x:c>
      <x:c r="H289" s="6" t="str">
        <x:v>1</x:v>
      </x:c>
      <x:c r="I289" s="6" t="str"/>
      <x:c r="J289" s="6" t="str">
        <x:f>IF(B289="","",IF(AND(ISNUMBER(SEARCH("平",B289)),OR(ISNUMBER(SEARCH("上",B289)),ISNUMBER(SEARCH("去",B289)),ISNUMBER(SEARCH("入",B289)))),"Ambiguous",IF(ISNUMBER(SEARCH("平",B289)),"平","仄")))</x:f>
        <x:v>仄</x:v>
      </x:c>
      <x:c r="K289" s="6" t="str">
        <x:f>IF(D289="","",IF(AND(ISNUMBER(SEARCH("平",D289)),OR(ISNUMBER(SEARCH("上",D289)),ISNUMBER(SEARCH("去",D289)),ISNUMBER(SEARCH("入",D289)))),"Ambiguous",IF(ISNUMBER(SEARCH("平",D289)),"平","仄")))</x:f>
        <x:v>仄</x:v>
      </x:c>
      <x:c r="L289" s="7" t="str"/>
    </x:row>
    <x:row r="290">
      <x:c r="A290" s="5" t="str">
        <x:v>允</x:v>
      </x:c>
      <x:c r="B290" s="6" t="str">
        <x:v>上</x:v>
      </x:c>
      <x:c r="C290" s="6" t="str">
        <x:f>IF(B290="","Needs decision","Ready")</x:f>
        <x:v>Ready</x:v>
      </x:c>
      <x:c r="D290" s="6" t="str">
        <x:v>上</x:v>
      </x:c>
      <x:c r="E290" s="6" t="str">
        <x:v>ywinX (B)</x:v>
      </x:c>
      <x:c r="F290" s="6" t="str">
        <x:v>上聲十一軫; 去聲十二震</x:v>
      </x:c>
      <x:c r="G290" s="6" t="str">
        <x:v>Pingshui main list, Wikisource-derived DOCX</x:v>
      </x:c>
      <x:c r="H290" s="6" t="str">
        <x:v>1</x:v>
      </x:c>
      <x:c r="I290" s="6" t="str"/>
      <x:c r="J290" s="6" t="str">
        <x:f>IF(B290="","",IF(AND(ISNUMBER(SEARCH("平",B290)),OR(ISNUMBER(SEARCH("上",B290)),ISNUMBER(SEARCH("去",B290)),ISNUMBER(SEARCH("入",B290)))),"Ambiguous",IF(ISNUMBER(SEARCH("平",B290)),"平","仄")))</x:f>
        <x:v>仄</x:v>
      </x:c>
      <x:c r="K290" s="6" t="str">
        <x:f>IF(D290="","",IF(AND(ISNUMBER(SEARCH("平",D290)),OR(ISNUMBER(SEARCH("上",D290)),ISNUMBER(SEARCH("去",D290)),ISNUMBER(SEARCH("入",D290)))),"Ambiguous",IF(ISNUMBER(SEARCH("平",D290)),"平","仄")))</x:f>
        <x:v>仄</x:v>
      </x:c>
      <x:c r="L290" s="7" t="str"/>
    </x:row>
    <x:row r="291">
      <x:c r="A291" s="5" t="str">
        <x:v>元</x:v>
      </x:c>
      <x:c r="B291" s="6" t="str">
        <x:v>平</x:v>
      </x:c>
      <x:c r="C291" s="6" t="str">
        <x:f>IF(B291="","Needs decision","Ready")</x:f>
        <x:v>Ready</x:v>
      </x:c>
      <x:c r="D291" s="6" t="str">
        <x:v>平</x:v>
      </x:c>
      <x:c r="E291" s="6" t="str">
        <x:v>ngjwon (A)</x:v>
      </x:c>
      <x:c r="F291" s="6" t="str">
        <x:v>上平聲十三元</x:v>
      </x:c>
      <x:c r="G291" s="6" t="str">
        <x:v>Pingshui main list, Wikisource-derived DOCX</x:v>
      </x:c>
      <x:c r="H291" s="6" t="str">
        <x:v>1</x:v>
      </x:c>
      <x:c r="I291" s="6" t="str"/>
      <x:c r="J291" s="6" t="str">
        <x:f>IF(B291="","",IF(AND(ISNUMBER(SEARCH("平",B291)),OR(ISNUMBER(SEARCH("上",B291)),ISNUMBER(SEARCH("去",B291)),ISNUMBER(SEARCH("入",B291)))),"Ambiguous",IF(ISNUMBER(SEARCH("平",B291)),"平","仄")))</x:f>
        <x:v>平</x:v>
      </x:c>
      <x:c r="K291" s="6" t="str">
        <x:f>IF(D291="","",IF(AND(ISNUMBER(SEARCH("平",D291)),OR(ISNUMBER(SEARCH("上",D291)),ISNUMBER(SEARCH("去",D291)),ISNUMBER(SEARCH("入",D291)))),"Ambiguous",IF(ISNUMBER(SEARCH("平",D291)),"平","仄")))</x:f>
        <x:v>平</x:v>
      </x:c>
      <x:c r="L291" s="7" t="str"/>
    </x:row>
    <x:row r="292">
      <x:c r="A292" s="5" t="str">
        <x:v>兄</x:v>
      </x:c>
      <x:c r="B292" s="6" t="str">
        <x:v>平</x:v>
      </x:c>
      <x:c r="C292" s="6" t="str">
        <x:f>IF(B292="","Needs decision","Ready")</x:f>
        <x:v>Ready</x:v>
      </x:c>
      <x:c r="D292" s="6" t="str">
        <x:v>平</x:v>
      </x:c>
      <x:c r="E292" s="6" t="str">
        <x:v>xjwaeng (A)</x:v>
      </x:c>
      <x:c r="F292" s="6" t="str">
        <x:v>下平聲八庚</x:v>
      </x:c>
      <x:c r="G292" s="6" t="str">
        <x:v>Pingshui main list, Wikisource-derived DOCX</x:v>
      </x:c>
      <x:c r="H292" s="6" t="str">
        <x:v>1</x:v>
      </x:c>
      <x:c r="I292" s="6" t="str"/>
      <x:c r="J292" s="6" t="str">
        <x:f>IF(B292="","",IF(AND(ISNUMBER(SEARCH("平",B292)),OR(ISNUMBER(SEARCH("上",B292)),ISNUMBER(SEARCH("去",B292)),ISNUMBER(SEARCH("入",B292)))),"Ambiguous",IF(ISNUMBER(SEARCH("平",B292)),"平","仄")))</x:f>
        <x:v>平</x:v>
      </x:c>
      <x:c r="K292" s="6" t="str">
        <x:f>IF(D292="","",IF(AND(ISNUMBER(SEARCH("平",D292)),OR(ISNUMBER(SEARCH("上",D292)),ISNUMBER(SEARCH("去",D292)),ISNUMBER(SEARCH("入",D292)))),"Ambiguous",IF(ISNUMBER(SEARCH("平",D292)),"平","仄")))</x:f>
        <x:v>平</x:v>
      </x:c>
      <x:c r="L292" s="7" t="str"/>
    </x:row>
    <x:row r="293">
      <x:c r="A293" s="5" t="str">
        <x:v>充</x:v>
      </x:c>
      <x:c r="B293" s="6" t="str">
        <x:v>平</x:v>
      </x:c>
      <x:c r="C293" s="6" t="str">
        <x:f>IF(B293="","Needs decision","Ready")</x:f>
        <x:v>Ready</x:v>
      </x:c>
      <x:c r="D293" s="6" t="str">
        <x:v>平</x:v>
      </x:c>
      <x:c r="E293" s="6" t="str">
        <x:v>tsyhuwng (A)</x:v>
      </x:c>
      <x:c r="F293" s="6" t="str">
        <x:v>上平聲一東</x:v>
      </x:c>
      <x:c r="G293" s="6" t="str">
        <x:v>Pingshui main list, Wikisource-derived DOCX</x:v>
      </x:c>
      <x:c r="H293" s="6" t="str">
        <x:v>1</x:v>
      </x:c>
      <x:c r="I293" s="6" t="str"/>
      <x:c r="J293" s="6" t="str">
        <x:f>IF(B293="","",IF(AND(ISNUMBER(SEARCH("平",B293)),OR(ISNUMBER(SEARCH("上",B293)),ISNUMBER(SEARCH("去",B293)),ISNUMBER(SEARCH("入",B293)))),"Ambiguous",IF(ISNUMBER(SEARCH("平",B293)),"平","仄")))</x:f>
        <x:v>平</x:v>
      </x:c>
      <x:c r="K293" s="6" t="str">
        <x:f>IF(D293="","",IF(AND(ISNUMBER(SEARCH("平",D293)),OR(ISNUMBER(SEARCH("上",D293)),ISNUMBER(SEARCH("去",D293)),ISNUMBER(SEARCH("入",D293)))),"Ambiguous",IF(ISNUMBER(SEARCH("平",D293)),"平","仄")))</x:f>
        <x:v>平</x:v>
      </x:c>
      <x:c r="L293" s="7" t="str"/>
    </x:row>
    <x:row r="294">
      <x:c r="A294" s="5" t="str">
        <x:v>兆</x:v>
      </x:c>
      <x:c r="B294" s="6" t="str">
        <x:v>上</x:v>
      </x:c>
      <x:c r="C294" s="6" t="str">
        <x:f>IF(B294="","Needs decision","Ready")</x:f>
        <x:v>Ready</x:v>
      </x:c>
      <x:c r="D294" s="6" t="str">
        <x:v>上</x:v>
      </x:c>
      <x:c r="E294" s="6" t="str">
        <x:v>drjewX (B)</x:v>
      </x:c>
      <x:c r="F294" s="6" t="str">
        <x:v>上聲十七篠</x:v>
      </x:c>
      <x:c r="G294" s="6" t="str">
        <x:v>Pingshui main list, Wikisource-derived DOCX</x:v>
      </x:c>
      <x:c r="H294" s="6" t="str">
        <x:v>1</x:v>
      </x:c>
      <x:c r="I294" s="6" t="str"/>
      <x:c r="J294" s="6" t="str">
        <x:f>IF(B294="","",IF(AND(ISNUMBER(SEARCH("平",B294)),OR(ISNUMBER(SEARCH("上",B294)),ISNUMBER(SEARCH("去",B294)),ISNUMBER(SEARCH("入",B294)))),"Ambiguous",IF(ISNUMBER(SEARCH("平",B294)),"平","仄")))</x:f>
        <x:v>仄</x:v>
      </x:c>
      <x:c r="K294" s="6" t="str">
        <x:f>IF(D294="","",IF(AND(ISNUMBER(SEARCH("平",D294)),OR(ISNUMBER(SEARCH("上",D294)),ISNUMBER(SEARCH("去",D294)),ISNUMBER(SEARCH("入",D294)))),"Ambiguous",IF(ISNUMBER(SEARCH("平",D294)),"平","仄")))</x:f>
        <x:v>仄</x:v>
      </x:c>
      <x:c r="L294" s="7" t="str"/>
    </x:row>
    <x:row r="295">
      <x:c r="A295" s="5" t="str">
        <x:v>兇</x:v>
      </x:c>
      <x:c r="B295" s="6" t="str">
        <x:v>平</x:v>
      </x:c>
      <x:c r="C295" s="6" t="str">
        <x:f>IF(B295="","Needs decision","Ready")</x:f>
        <x:v>Ready</x:v>
      </x:c>
      <x:c r="D295" s="6" t="str">
        <x:v>平/上</x:v>
      </x:c>
      <x:c r="E295" s="6" t="str">
        <x:v>xjowngX [曉三C鍾上] xɨ̯oŋʔ; xjowng [曉三C鍾平] xɨ̯oŋ</x:v>
      </x:c>
      <x:c r="F295" s="6" t="str">
        <x:v>上平聲二冬</x:v>
      </x:c>
      <x:c r="G295" s="6" t="str">
        <x:v>Pingshui main list, Wikisource-derived DOCX</x:v>
      </x:c>
      <x:c r="H295" s="6" t="str">
        <x:v>2</x:v>
      </x:c>
      <x:c r="I295" s="6" t="str">
        <x:v>Targeted preliminary fill from Xun Gong; review if uncertain; User workbook edit 2026-09-03</x:v>
      </x:c>
      <x:c r="J295" s="6" t="str">
        <x:f>IF(B295="","",IF(AND(ISNUMBER(SEARCH("平",B295)),OR(ISNUMBER(SEARCH("上",B295)),ISNUMBER(SEARCH("去",B295)),ISNUMBER(SEARCH("入",B295)))),"Ambiguous",IF(ISNUMBER(SEARCH("平",B295)),"平","仄")))</x:f>
        <x:v>平</x:v>
      </x:c>
      <x:c r="K295" s="6" t="str">
        <x:f>IF(D295="","",IF(AND(ISNUMBER(SEARCH("平",D295)),OR(ISNUMBER(SEARCH("上",D295)),ISNUMBER(SEARCH("去",D295)),ISNUMBER(SEARCH("入",D295)))),"Ambiguous",IF(ISNUMBER(SEARCH("平",D295)),"平","仄")))</x:f>
        <x:v>Ambiguous</x:v>
      </x:c>
      <x:c r="L295" s="7" t="str">
        <x:v>manual user correction</x:v>
      </x:c>
    </x:row>
    <x:row r="296">
      <x:c r="A296" s="5" t="str">
        <x:v>先</x:v>
      </x:c>
      <x:c r="B296" s="6" t="str">
        <x:v>平</x:v>
      </x:c>
      <x:c r="C296" s="6" t="str">
        <x:f>IF(B296="","Needs decision","Ready")</x:f>
        <x:v>Ready</x:v>
      </x:c>
      <x:c r="D296" s="6" t="str">
        <x:v>平/去</x:v>
      </x:c>
      <x:c r="E296" s="6" t="str">
        <x:v>sen (A); senH (C)</x:v>
      </x:c>
      <x:c r="F296" s="6" t="str">
        <x:v>去聲十七霰</x:v>
      </x:c>
      <x:c r="G296" s="6" t="str">
        <x:v>Pingshui main list, Wikisource-derived DOCX</x:v>
      </x:c>
      <x:c r="H296" s="6" t="str">
        <x:v>2</x:v>
      </x:c>
      <x:c r="I296" s="6" t="str">
        <x:v>User workbook edit 2026-09-03</x:v>
      </x:c>
      <x:c r="J296" s="6" t="str">
        <x:f>IF(B296="","",IF(AND(ISNUMBER(SEARCH("平",B296)),OR(ISNUMBER(SEARCH("上",B296)),ISNUMBER(SEARCH("去",B296)),ISNUMBER(SEARCH("入",B296)))),"Ambiguous",IF(ISNUMBER(SEARCH("平",B296)),"平","仄")))</x:f>
        <x:v>平</x:v>
      </x:c>
      <x:c r="K296" s="6" t="str">
        <x:f>IF(D296="","",IF(AND(ISNUMBER(SEARCH("平",D296)),OR(ISNUMBER(SEARCH("上",D296)),ISNUMBER(SEARCH("去",D296)),ISNUMBER(SEARCH("入",D296)))),"Ambiguous",IF(ISNUMBER(SEARCH("平",D296)),"平","仄")))</x:f>
        <x:v>Ambiguous</x:v>
      </x:c>
      <x:c r="L296" s="7" t="str">
        <x:v>manual user correction</x:v>
      </x:c>
    </x:row>
    <x:row r="297">
      <x:c r="A297" s="5" t="str">
        <x:v>光</x:v>
      </x:c>
      <x:c r="B297" s="6" t="str">
        <x:v>平</x:v>
      </x:c>
      <x:c r="C297" s="6" t="str">
        <x:f>IF(B297="","Needs decision","Ready")</x:f>
        <x:v>Ready</x:v>
      </x:c>
      <x:c r="D297" s="6" t="str">
        <x:v>平</x:v>
      </x:c>
      <x:c r="E297" s="6" t="str">
        <x:v>kwang (A)</x:v>
      </x:c>
      <x:c r="F297" s="6" t="str">
        <x:v>下平聲七陽</x:v>
      </x:c>
      <x:c r="G297" s="6" t="str">
        <x:v>Pingshui main list, Wikisource-derived DOCX</x:v>
      </x:c>
      <x:c r="H297" s="6" t="str">
        <x:v>1</x:v>
      </x:c>
      <x:c r="I297" s="6" t="str"/>
      <x:c r="J297" s="6" t="str">
        <x:f>IF(B297="","",IF(AND(ISNUMBER(SEARCH("平",B297)),OR(ISNUMBER(SEARCH("上",B297)),ISNUMBER(SEARCH("去",B297)),ISNUMBER(SEARCH("入",B297)))),"Ambiguous",IF(ISNUMBER(SEARCH("平",B297)),"平","仄")))</x:f>
        <x:v>平</x:v>
      </x:c>
      <x:c r="K297" s="6" t="str">
        <x:f>IF(D297="","",IF(AND(ISNUMBER(SEARCH("平",D297)),OR(ISNUMBER(SEARCH("上",D297)),ISNUMBER(SEARCH("去",D297)),ISNUMBER(SEARCH("入",D297)))),"Ambiguous",IF(ISNUMBER(SEARCH("平",D297)),"平","仄")))</x:f>
        <x:v>平</x:v>
      </x:c>
      <x:c r="L297" s="7" t="str"/>
    </x:row>
    <x:row r="298">
      <x:c r="A298" s="5" t="str">
        <x:v>克</x:v>
      </x:c>
      <x:c r="B298" s="6" t="str">
        <x:v>入</x:v>
      </x:c>
      <x:c r="C298" s="6" t="str">
        <x:f>IF(B298="","Needs decision","Ready")</x:f>
        <x:v>Ready</x:v>
      </x:c>
      <x:c r="D298" s="6" t="str">
        <x:v>入</x:v>
      </x:c>
      <x:c r="E298" s="6" t="str">
        <x:v>khok (D)</x:v>
      </x:c>
      <x:c r="F298" s="6" t="str">
        <x:v>入聲十三職</x:v>
      </x:c>
      <x:c r="G298" s="6" t="str">
        <x:v>Pingshui main list, Wikisource-derived DOCX</x:v>
      </x:c>
      <x:c r="H298" s="6" t="str">
        <x:v>1</x:v>
      </x:c>
      <x:c r="I298" s="6" t="str"/>
      <x:c r="J298" s="6" t="str">
        <x:f>IF(B298="","",IF(AND(ISNUMBER(SEARCH("平",B298)),OR(ISNUMBER(SEARCH("上",B298)),ISNUMBER(SEARCH("去",B298)),ISNUMBER(SEARCH("入",B298)))),"Ambiguous",IF(ISNUMBER(SEARCH("平",B298)),"平","仄")))</x:f>
        <x:v>仄</x:v>
      </x:c>
      <x:c r="K298" s="6" t="str">
        <x:f>IF(D298="","",IF(AND(ISNUMBER(SEARCH("平",D298)),OR(ISNUMBER(SEARCH("上",D298)),ISNUMBER(SEARCH("去",D298)),ISNUMBER(SEARCH("入",D298)))),"Ambiguous",IF(ISNUMBER(SEARCH("平",D298)),"平","仄")))</x:f>
        <x:v>仄</x:v>
      </x:c>
      <x:c r="L298" s="7" t="str"/>
    </x:row>
    <x:row r="299">
      <x:c r="A299" s="5" t="str">
        <x:v>免</x:v>
      </x:c>
      <x:c r="B299" s="6" t="str">
        <x:v>上</x:v>
      </x:c>
      <x:c r="C299" s="6" t="str">
        <x:f>IF(B299="","Needs decision","Ready")</x:f>
        <x:v>Ready</x:v>
      </x:c>
      <x:c r="D299" s="6" t="str">
        <x:v>上</x:v>
      </x:c>
      <x:c r="E299" s="6" t="str">
        <x:v>mjenX (B)</x:v>
      </x:c>
      <x:c r="F299" s="6" t="str">
        <x:v>上聲十六銑</x:v>
      </x:c>
      <x:c r="G299" s="6" t="str">
        <x:v>Pingshui main list, Wikisource-derived DOCX</x:v>
      </x:c>
      <x:c r="H299" s="6" t="str">
        <x:v>1</x:v>
      </x:c>
      <x:c r="I299" s="6" t="str"/>
      <x:c r="J299" s="6" t="str">
        <x:f>IF(B299="","",IF(AND(ISNUMBER(SEARCH("平",B299)),OR(ISNUMBER(SEARCH("上",B299)),ISNUMBER(SEARCH("去",B299)),ISNUMBER(SEARCH("入",B299)))),"Ambiguous",IF(ISNUMBER(SEARCH("平",B299)),"平","仄")))</x:f>
        <x:v>仄</x:v>
      </x:c>
      <x:c r="K299" s="6" t="str">
        <x:f>IF(D299="","",IF(AND(ISNUMBER(SEARCH("平",D299)),OR(ISNUMBER(SEARCH("上",D299)),ISNUMBER(SEARCH("去",D299)),ISNUMBER(SEARCH("入",D299)))),"Ambiguous",IF(ISNUMBER(SEARCH("平",D299)),"平","仄")))</x:f>
        <x:v>仄</x:v>
      </x:c>
      <x:c r="L299" s="7" t="str"/>
    </x:row>
    <x:row r="300">
      <x:c r="A300" s="5" t="str">
        <x:v>兑</x:v>
      </x:c>
      <x:c r="B300" s="6" t="str">
        <x:v>去</x:v>
      </x:c>
      <x:c r="C300" s="6" t="str">
        <x:f>IF(B300="","Needs decision","Ready")</x:f>
        <x:v>Ready</x:v>
      </x:c>
      <x:c r="D300" s="6" t="str">
        <x:v>去</x:v>
      </x:c>
      <x:c r="E300" s="6" t="str">
        <x:v>dwajH (C)</x:v>
      </x:c>
      <x:c r="F300" s="6" t="str"/>
      <x:c r="G300" s="6" t="str"/>
      <x:c r="H300" s="6" t="str">
        <x:v>1</x:v>
      </x:c>
      <x:c r="I300" s="6" t="str"/>
      <x:c r="J300" s="6" t="str">
        <x:f>IF(B300="","",IF(AND(ISNUMBER(SEARCH("平",B300)),OR(ISNUMBER(SEARCH("上",B300)),ISNUMBER(SEARCH("去",B300)),ISNUMBER(SEARCH("入",B300)))),"Ambiguous",IF(ISNUMBER(SEARCH("平",B300)),"平","仄")))</x:f>
        <x:v>仄</x:v>
      </x:c>
      <x:c r="K300" s="6" t="str">
        <x:f>IF(D300="","",IF(AND(ISNUMBER(SEARCH("平",D300)),OR(ISNUMBER(SEARCH("上",D300)),ISNUMBER(SEARCH("去",D300)),ISNUMBER(SEARCH("入",D300)))),"Ambiguous",IF(ISNUMBER(SEARCH("平",D300)),"平","仄")))</x:f>
        <x:v>仄</x:v>
      </x:c>
      <x:c r="L300" s="7" t="str"/>
    </x:row>
    <x:row r="301">
      <x:c r="A301" s="5" t="str">
        <x:v>兒</x:v>
      </x:c>
      <x:c r="B301" s="6" t="str">
        <x:v>平</x:v>
      </x:c>
      <x:c r="C301" s="6" t="str">
        <x:f>IF(B301="","Needs decision","Ready")</x:f>
        <x:v>Ready</x:v>
      </x:c>
      <x:c r="D301" s="6" t="str">
        <x:v>平</x:v>
      </x:c>
      <x:c r="E301" s="6" t="str">
        <x:v>nye (A)</x:v>
      </x:c>
      <x:c r="F301" s="6" t="str">
        <x:v>上平聲四支; 上平聲八齊; 入聲三覺</x:v>
      </x:c>
      <x:c r="G301" s="6" t="str">
        <x:v>Pingshui main list, Wikisource-derived DOCX</x:v>
      </x:c>
      <x:c r="H301" s="6" t="str">
        <x:v>1</x:v>
      </x:c>
      <x:c r="I301" s="6" t="str"/>
      <x:c r="J301" s="6" t="str">
        <x:f>IF(B301="","",IF(AND(ISNUMBER(SEARCH("平",B301)),OR(ISNUMBER(SEARCH("上",B301)),ISNUMBER(SEARCH("去",B301)),ISNUMBER(SEARCH("入",B301)))),"Ambiguous",IF(ISNUMBER(SEARCH("平",B301)),"平","仄")))</x:f>
        <x:v>平</x:v>
      </x:c>
      <x:c r="K301" s="6" t="str">
        <x:f>IF(D301="","",IF(AND(ISNUMBER(SEARCH("平",D301)),OR(ISNUMBER(SEARCH("上",D301)),ISNUMBER(SEARCH("去",D301)),ISNUMBER(SEARCH("入",D301)))),"Ambiguous",IF(ISNUMBER(SEARCH("平",D301)),"平","仄")))</x:f>
        <x:v>平</x:v>
      </x:c>
      <x:c r="L301" s="7" t="str"/>
    </x:row>
    <x:row r="302">
      <x:c r="A302" s="5" t="str">
        <x:v>兔</x:v>
      </x:c>
      <x:c r="B302" s="6" t="str">
        <x:v>去</x:v>
      </x:c>
      <x:c r="C302" s="6" t="str">
        <x:f>IF(B302="","Needs decision","Ready")</x:f>
        <x:v>Ready</x:v>
      </x:c>
      <x:c r="D302" s="6" t="str">
        <x:v>去</x:v>
      </x:c>
      <x:c r="E302" s="6" t="str">
        <x:v>thuH (C)</x:v>
      </x:c>
      <x:c r="F302" s="6" t="str">
        <x:v>去聲七遇</x:v>
      </x:c>
      <x:c r="G302" s="6" t="str">
        <x:v>Pingshui main list, Wikisource-derived DOCX</x:v>
      </x:c>
      <x:c r="H302" s="6" t="str">
        <x:v>1</x:v>
      </x:c>
      <x:c r="I302" s="6" t="str"/>
      <x:c r="J302" s="6" t="str">
        <x:f>IF(B302="","",IF(AND(ISNUMBER(SEARCH("平",B302)),OR(ISNUMBER(SEARCH("上",B302)),ISNUMBER(SEARCH("去",B302)),ISNUMBER(SEARCH("入",B302)))),"Ambiguous",IF(ISNUMBER(SEARCH("平",B302)),"平","仄")))</x:f>
        <x:v>仄</x:v>
      </x:c>
      <x:c r="K302" s="6" t="str">
        <x:f>IF(D302="","",IF(AND(ISNUMBER(SEARCH("平",D302)),OR(ISNUMBER(SEARCH("上",D302)),ISNUMBER(SEARCH("去",D302)),ISNUMBER(SEARCH("入",D302)))),"Ambiguous",IF(ISNUMBER(SEARCH("平",D302)),"平","仄")))</x:f>
        <x:v>仄</x:v>
      </x:c>
      <x:c r="L302" s="7" t="str"/>
    </x:row>
    <x:row r="303">
      <x:c r="A303" s="5" t="str">
        <x:v>兕</x:v>
      </x:c>
      <x:c r="B303" s="6" t="str">
        <x:v>上</x:v>
      </x:c>
      <x:c r="C303" s="6" t="str">
        <x:f>IF(B303="","Needs decision","Ready")</x:f>
        <x:v>Ready</x:v>
      </x:c>
      <x:c r="D303" s="6" t="str">
        <x:v>上</x:v>
      </x:c>
      <x:c r="E303" s="6" t="str">
        <x:v>zijX (B)</x:v>
      </x:c>
      <x:c r="F303" s="6" t="str">
        <x:v>上聲四紙</x:v>
      </x:c>
      <x:c r="G303" s="6" t="str">
        <x:v>Pingshui main list, Wikisource-derived DOCX</x:v>
      </x:c>
      <x:c r="H303" s="6" t="str">
        <x:v>1</x:v>
      </x:c>
      <x:c r="I303" s="6" t="str"/>
      <x:c r="J303" s="6" t="str">
        <x:f>IF(B303="","",IF(AND(ISNUMBER(SEARCH("平",B303)),OR(ISNUMBER(SEARCH("上",B303)),ISNUMBER(SEARCH("去",B303)),ISNUMBER(SEARCH("入",B303)))),"Ambiguous",IF(ISNUMBER(SEARCH("平",B303)),"平","仄")))</x:f>
        <x:v>仄</x:v>
      </x:c>
      <x:c r="K303" s="6" t="str">
        <x:f>IF(D303="","",IF(AND(ISNUMBER(SEARCH("平",D303)),OR(ISNUMBER(SEARCH("上",D303)),ISNUMBER(SEARCH("去",D303)),ISNUMBER(SEARCH("入",D303)))),"Ambiguous",IF(ISNUMBER(SEARCH("平",D303)),"平","仄")))</x:f>
        <x:v>仄</x:v>
      </x:c>
      <x:c r="L303" s="7" t="str"/>
    </x:row>
    <x:row r="304">
      <x:c r="A304" s="5" t="str">
        <x:v>兜</x:v>
      </x:c>
      <x:c r="B304" s="6" t="str">
        <x:v>平</x:v>
      </x:c>
      <x:c r="C304" s="6" t="str">
        <x:f>IF(B304="","Needs decision","Ready")</x:f>
        <x:v>Ready</x:v>
      </x:c>
      <x:c r="D304" s="6" t="str">
        <x:v>平</x:v>
      </x:c>
      <x:c r="E304" s="6" t="str">
        <x:v>tuw (A)</x:v>
      </x:c>
      <x:c r="F304" s="6" t="str">
        <x:v>下平聲十一尤</x:v>
      </x:c>
      <x:c r="G304" s="6" t="str">
        <x:v>Pingshui main list, Wikisource-derived DOCX</x:v>
      </x:c>
      <x:c r="H304" s="6" t="str">
        <x:v>1</x:v>
      </x:c>
      <x:c r="I304" s="6" t="str"/>
      <x:c r="J304" s="6" t="str">
        <x:f>IF(B304="","",IF(AND(ISNUMBER(SEARCH("平",B304)),OR(ISNUMBER(SEARCH("上",B304)),ISNUMBER(SEARCH("去",B304)),ISNUMBER(SEARCH("入",B304)))),"Ambiguous",IF(ISNUMBER(SEARCH("平",B304)),"平","仄")))</x:f>
        <x:v>平</x:v>
      </x:c>
      <x:c r="K304" s="6" t="str">
        <x:f>IF(D304="","",IF(AND(ISNUMBER(SEARCH("平",D304)),OR(ISNUMBER(SEARCH("上",D304)),ISNUMBER(SEARCH("去",D304)),ISNUMBER(SEARCH("入",D304)))),"Ambiguous",IF(ISNUMBER(SEARCH("平",D304)),"平","仄")))</x:f>
        <x:v>平</x:v>
      </x:c>
      <x:c r="L304" s="7" t="str"/>
    </x:row>
    <x:row r="305">
      <x:c r="A305" s="5" t="str">
        <x:v>兟</x:v>
      </x:c>
      <x:c r="B305" s="6" t="str">
        <x:v>平</x:v>
      </x:c>
      <x:c r="C305" s="6" t="str">
        <x:f>IF(B305="","Needs decision","Ready")</x:f>
        <x:v>Ready</x:v>
      </x:c>
      <x:c r="D305" s="6" t="str">
        <x:v>平</x:v>
      </x:c>
      <x:c r="E305" s="6" t="str">
        <x:v>srin (A)</x:v>
      </x:c>
      <x:c r="F305" s="6" t="str">
        <x:v>上平聲十一真</x:v>
      </x:c>
      <x:c r="G305" s="6" t="str">
        <x:v>Pingshui main list, Wikisource-derived DOCX</x:v>
      </x:c>
      <x:c r="H305" s="6" t="str">
        <x:v>1</x:v>
      </x:c>
      <x:c r="I305" s="6" t="str"/>
      <x:c r="J305" s="6" t="str">
        <x:f>IF(B305="","",IF(AND(ISNUMBER(SEARCH("平",B305)),OR(ISNUMBER(SEARCH("上",B305)),ISNUMBER(SEARCH("去",B305)),ISNUMBER(SEARCH("入",B305)))),"Ambiguous",IF(ISNUMBER(SEARCH("平",B305)),"平","仄")))</x:f>
        <x:v>平</x:v>
      </x:c>
      <x:c r="K305" s="6" t="str">
        <x:f>IF(D305="","",IF(AND(ISNUMBER(SEARCH("平",D305)),OR(ISNUMBER(SEARCH("上",D305)),ISNUMBER(SEARCH("去",D305)),ISNUMBER(SEARCH("入",D305)))),"Ambiguous",IF(ISNUMBER(SEARCH("平",D305)),"平","仄")))</x:f>
        <x:v>平</x:v>
      </x:c>
      <x:c r="L305" s="7" t="str"/>
    </x:row>
    <x:row r="306">
      <x:c r="A306" s="5" t="str">
        <x:v>兢</x:v>
      </x:c>
      <x:c r="B306" s="6" t="str">
        <x:v>平</x:v>
      </x:c>
      <x:c r="C306" s="6" t="str">
        <x:f>IF(B306="","Needs decision","Ready")</x:f>
        <x:v>Ready</x:v>
      </x:c>
      <x:c r="D306" s="6" t="str">
        <x:v>平</x:v>
      </x:c>
      <x:c r="E306" s="6" t="str">
        <x:v>king (A)</x:v>
      </x:c>
      <x:c r="F306" s="6" t="str">
        <x:v>下平聲十蒸</x:v>
      </x:c>
      <x:c r="G306" s="6" t="str">
        <x:v>Pingshui main list, Wikisource-derived DOCX</x:v>
      </x:c>
      <x:c r="H306" s="6" t="str">
        <x:v>1</x:v>
      </x:c>
      <x:c r="I306" s="6" t="str"/>
      <x:c r="J306" s="6" t="str">
        <x:f>IF(B306="","",IF(AND(ISNUMBER(SEARCH("平",B306)),OR(ISNUMBER(SEARCH("上",B306)),ISNUMBER(SEARCH("去",B306)),ISNUMBER(SEARCH("入",B306)))),"Ambiguous",IF(ISNUMBER(SEARCH("平",B306)),"平","仄")))</x:f>
        <x:v>平</x:v>
      </x:c>
      <x:c r="K306" s="6" t="str">
        <x:f>IF(D306="","",IF(AND(ISNUMBER(SEARCH("平",D306)),OR(ISNUMBER(SEARCH("上",D306)),ISNUMBER(SEARCH("去",D306)),ISNUMBER(SEARCH("入",D306)))),"Ambiguous",IF(ISNUMBER(SEARCH("平",D306)),"平","仄")))</x:f>
        <x:v>平</x:v>
      </x:c>
      <x:c r="L306" s="7" t="str"/>
    </x:row>
    <x:row r="307">
      <x:c r="A307" s="5" t="str">
        <x:v>入</x:v>
      </x:c>
      <x:c r="B307" s="6" t="str">
        <x:v>入</x:v>
      </x:c>
      <x:c r="C307" s="6" t="str">
        <x:f>IF(B307="","Needs decision","Ready")</x:f>
        <x:v>Ready</x:v>
      </x:c>
      <x:c r="D307" s="6" t="str">
        <x:v>入</x:v>
      </x:c>
      <x:c r="E307" s="6" t="str">
        <x:v>nyip (D)</x:v>
      </x:c>
      <x:c r="F307" s="6" t="str">
        <x:v>入聲十四緝</x:v>
      </x:c>
      <x:c r="G307" s="6" t="str">
        <x:v>Pingshui main list, Wikisource-derived DOCX</x:v>
      </x:c>
      <x:c r="H307" s="6" t="str">
        <x:v>1</x:v>
      </x:c>
      <x:c r="I307" s="6" t="str"/>
      <x:c r="J307" s="6" t="str">
        <x:f>IF(B307="","",IF(AND(ISNUMBER(SEARCH("平",B307)),OR(ISNUMBER(SEARCH("上",B307)),ISNUMBER(SEARCH("去",B307)),ISNUMBER(SEARCH("入",B307)))),"Ambiguous",IF(ISNUMBER(SEARCH("平",B307)),"平","仄")))</x:f>
        <x:v>仄</x:v>
      </x:c>
      <x:c r="K307" s="6" t="str">
        <x:f>IF(D307="","",IF(AND(ISNUMBER(SEARCH("平",D307)),OR(ISNUMBER(SEARCH("上",D307)),ISNUMBER(SEARCH("去",D307)),ISNUMBER(SEARCH("入",D307)))),"Ambiguous",IF(ISNUMBER(SEARCH("平",D307)),"平","仄")))</x:f>
        <x:v>仄</x:v>
      </x:c>
      <x:c r="L307" s="7" t="str"/>
    </x:row>
    <x:row r="308">
      <x:c r="A308" s="5" t="str">
        <x:v>內</x:v>
      </x:c>
      <x:c r="B308" s="6" t="str">
        <x:v>去</x:v>
      </x:c>
      <x:c r="C308" s="6" t="str">
        <x:f>IF(B308="","Needs decision","Ready")</x:f>
        <x:v>Ready</x:v>
      </x:c>
      <x:c r="D308" s="6" t="str">
        <x:v>去/入</x:v>
      </x:c>
      <x:c r="E308" s="6" t="str">
        <x:v>nop (D); nwojH (C)</x:v>
      </x:c>
      <x:c r="F308" s="6" t="str">
        <x:v>去聲十一隊</x:v>
      </x:c>
      <x:c r="G308" s="6" t="str">
        <x:v>Pingshui main list, Wikisource-derived DOCX</x:v>
      </x:c>
      <x:c r="H308" s="6" t="str">
        <x:v>2</x:v>
      </x:c>
      <x:c r="I308" s="6" t="str"/>
      <x:c r="J308" s="6" t="str">
        <x:f>IF(B308="","",IF(AND(ISNUMBER(SEARCH("平",B308)),OR(ISNUMBER(SEARCH("上",B308)),ISNUMBER(SEARCH("去",B308)),ISNUMBER(SEARCH("入",B308)))),"Ambiguous",IF(ISNUMBER(SEARCH("平",B308)),"平","仄")))</x:f>
        <x:v>仄</x:v>
      </x:c>
      <x:c r="K308" s="6" t="str">
        <x:f>IF(D308="","",IF(AND(ISNUMBER(SEARCH("平",D308)),OR(ISNUMBER(SEARCH("上",D308)),ISNUMBER(SEARCH("去",D308)),ISNUMBER(SEARCH("入",D308)))),"Ambiguous",IF(ISNUMBER(SEARCH("平",D308)),"平","仄")))</x:f>
        <x:v>仄</x:v>
      </x:c>
      <x:c r="L308" s="7" t="str"/>
    </x:row>
    <x:row r="309">
      <x:c r="A309" s="5" t="str">
        <x:v>全</x:v>
      </x:c>
      <x:c r="B309" s="6" t="str">
        <x:v>平</x:v>
      </x:c>
      <x:c r="C309" s="6" t="str">
        <x:f>IF(B309="","Needs decision","Ready")</x:f>
        <x:v>Ready</x:v>
      </x:c>
      <x:c r="D309" s="6" t="str">
        <x:v>平</x:v>
      </x:c>
      <x:c r="E309" s="6" t="str">
        <x:v>dzjwen (A)</x:v>
      </x:c>
      <x:c r="F309" s="6" t="str">
        <x:v>下平聲一先</x:v>
      </x:c>
      <x:c r="G309" s="6" t="str">
        <x:v>Pingshui main list, Wikisource-derived DOCX</x:v>
      </x:c>
      <x:c r="H309" s="6" t="str">
        <x:v>1</x:v>
      </x:c>
      <x:c r="I309" s="6" t="str"/>
      <x:c r="J309" s="6" t="str">
        <x:f>IF(B309="","",IF(AND(ISNUMBER(SEARCH("平",B309)),OR(ISNUMBER(SEARCH("上",B309)),ISNUMBER(SEARCH("去",B309)),ISNUMBER(SEARCH("入",B309)))),"Ambiguous",IF(ISNUMBER(SEARCH("平",B309)),"平","仄")))</x:f>
        <x:v>平</x:v>
      </x:c>
      <x:c r="K309" s="6" t="str">
        <x:f>IF(D309="","",IF(AND(ISNUMBER(SEARCH("平",D309)),OR(ISNUMBER(SEARCH("上",D309)),ISNUMBER(SEARCH("去",D309)),ISNUMBER(SEARCH("入",D309)))),"Ambiguous",IF(ISNUMBER(SEARCH("平",D309)),"平","仄")))</x:f>
        <x:v>平</x:v>
      </x:c>
      <x:c r="L309" s="7" t="str"/>
    </x:row>
    <x:row r="310">
      <x:c r="A310" s="5" t="str">
        <x:v>兩</x:v>
      </x:c>
      <x:c r="B310" s="6" t="str">
        <x:v>上</x:v>
      </x:c>
      <x:c r="C310" s="6" t="str">
        <x:f>IF(B310="","Needs decision","Ready")</x:f>
        <x:v>Ready</x:v>
      </x:c>
      <x:c r="D310" s="6" t="str">
        <x:v>上</x:v>
      </x:c>
      <x:c r="E310" s="6" t="str">
        <x:v>ljangX (B)</x:v>
      </x:c>
      <x:c r="F310" s="6" t="str">
        <x:v>上聲二十二養; 去聲二十三漾</x:v>
      </x:c>
      <x:c r="G310" s="6" t="str">
        <x:v>Pingshui main list, Wikisource-derived DOCX</x:v>
      </x:c>
      <x:c r="H310" s="6" t="str">
        <x:v>1</x:v>
      </x:c>
      <x:c r="I310" s="6" t="str"/>
      <x:c r="J310" s="6" t="str">
        <x:f>IF(B310="","",IF(AND(ISNUMBER(SEARCH("平",B310)),OR(ISNUMBER(SEARCH("上",B310)),ISNUMBER(SEARCH("去",B310)),ISNUMBER(SEARCH("入",B310)))),"Ambiguous",IF(ISNUMBER(SEARCH("平",B310)),"平","仄")))</x:f>
        <x:v>仄</x:v>
      </x:c>
      <x:c r="K310" s="6" t="str">
        <x:f>IF(D310="","",IF(AND(ISNUMBER(SEARCH("平",D310)),OR(ISNUMBER(SEARCH("上",D310)),ISNUMBER(SEARCH("去",D310)),ISNUMBER(SEARCH("入",D310)))),"Ambiguous",IF(ISNUMBER(SEARCH("平",D310)),"平","仄")))</x:f>
        <x:v>仄</x:v>
      </x:c>
      <x:c r="L310" s="7" t="str"/>
    </x:row>
    <x:row r="311">
      <x:c r="A311" s="5" t="str">
        <x:v>八</x:v>
      </x:c>
      <x:c r="B311" s="6" t="str">
        <x:v>入</x:v>
      </x:c>
      <x:c r="C311" s="6" t="str">
        <x:f>IF(B311="","Needs decision","Ready")</x:f>
        <x:v>Ready</x:v>
      </x:c>
      <x:c r="D311" s="6" t="str">
        <x:v>入</x:v>
      </x:c>
      <x:c r="E311" s="6" t="str">
        <x:v>peat (D)</x:v>
      </x:c>
      <x:c r="F311" s="6" t="str">
        <x:v>入聲八黠</x:v>
      </x:c>
      <x:c r="G311" s="6" t="str">
        <x:v>Pingshui main list, Wikisource-derived DOCX</x:v>
      </x:c>
      <x:c r="H311" s="6" t="str">
        <x:v>1</x:v>
      </x:c>
      <x:c r="I311" s="6" t="str"/>
      <x:c r="J311" s="6" t="str">
        <x:f>IF(B311="","",IF(AND(ISNUMBER(SEARCH("平",B311)),OR(ISNUMBER(SEARCH("上",B311)),ISNUMBER(SEARCH("去",B311)),ISNUMBER(SEARCH("入",B311)))),"Ambiguous",IF(ISNUMBER(SEARCH("平",B311)),"平","仄")))</x:f>
        <x:v>仄</x:v>
      </x:c>
      <x:c r="K311" s="6" t="str">
        <x:f>IF(D311="","",IF(AND(ISNUMBER(SEARCH("平",D311)),OR(ISNUMBER(SEARCH("上",D311)),ISNUMBER(SEARCH("去",D311)),ISNUMBER(SEARCH("入",D311)))),"Ambiguous",IF(ISNUMBER(SEARCH("平",D311)),"平","仄")))</x:f>
        <x:v>仄</x:v>
      </x:c>
      <x:c r="L311" s="7" t="str"/>
    </x:row>
    <x:row r="312">
      <x:c r="A312" s="5" t="str">
        <x:v>公</x:v>
      </x:c>
      <x:c r="B312" s="6" t="str">
        <x:v>平</x:v>
      </x:c>
      <x:c r="C312" s="6" t="str">
        <x:f>IF(B312="","Needs decision","Ready")</x:f>
        <x:v>Ready</x:v>
      </x:c>
      <x:c r="D312" s="6" t="str">
        <x:v>平</x:v>
      </x:c>
      <x:c r="E312" s="6" t="str">
        <x:v>kuwng (A)</x:v>
      </x:c>
      <x:c r="F312" s="6" t="str">
        <x:v>上平聲一東</x:v>
      </x:c>
      <x:c r="G312" s="6" t="str">
        <x:v>Pingshui main list, Wikisource-derived DOCX</x:v>
      </x:c>
      <x:c r="H312" s="6" t="str">
        <x:v>1</x:v>
      </x:c>
      <x:c r="I312" s="6" t="str"/>
      <x:c r="J312" s="6" t="str">
        <x:f>IF(B312="","",IF(AND(ISNUMBER(SEARCH("平",B312)),OR(ISNUMBER(SEARCH("上",B312)),ISNUMBER(SEARCH("去",B312)),ISNUMBER(SEARCH("入",B312)))),"Ambiguous",IF(ISNUMBER(SEARCH("平",B312)),"平","仄")))</x:f>
        <x:v>平</x:v>
      </x:c>
      <x:c r="K312" s="6" t="str">
        <x:f>IF(D312="","",IF(AND(ISNUMBER(SEARCH("平",D312)),OR(ISNUMBER(SEARCH("上",D312)),ISNUMBER(SEARCH("去",D312)),ISNUMBER(SEARCH("入",D312)))),"Ambiguous",IF(ISNUMBER(SEARCH("平",D312)),"平","仄")))</x:f>
        <x:v>平</x:v>
      </x:c>
      <x:c r="L312" s="7" t="str"/>
    </x:row>
    <x:row r="313">
      <x:c r="A313" s="5" t="str">
        <x:v>六</x:v>
      </x:c>
      <x:c r="B313" s="6" t="str">
        <x:v>入</x:v>
      </x:c>
      <x:c r="C313" s="6" t="str">
        <x:f>IF(B313="","Needs decision","Ready")</x:f>
        <x:v>Ready</x:v>
      </x:c>
      <x:c r="D313" s="6" t="str">
        <x:v>入</x:v>
      </x:c>
      <x:c r="E313" s="6" t="str">
        <x:v>ljuwk (D)</x:v>
      </x:c>
      <x:c r="F313" s="6" t="str">
        <x:v>入聲一屋</x:v>
      </x:c>
      <x:c r="G313" s="6" t="str">
        <x:v>Pingshui main list, Wikisource-derived DOCX</x:v>
      </x:c>
      <x:c r="H313" s="6" t="str">
        <x:v>1</x:v>
      </x:c>
      <x:c r="I313" s="6" t="str"/>
      <x:c r="J313" s="6" t="str">
        <x:f>IF(B313="","",IF(AND(ISNUMBER(SEARCH("平",B313)),OR(ISNUMBER(SEARCH("上",B313)),ISNUMBER(SEARCH("去",B313)),ISNUMBER(SEARCH("入",B313)))),"Ambiguous",IF(ISNUMBER(SEARCH("平",B313)),"平","仄")))</x:f>
        <x:v>仄</x:v>
      </x:c>
      <x:c r="K313" s="6" t="str">
        <x:f>IF(D313="","",IF(AND(ISNUMBER(SEARCH("平",D313)),OR(ISNUMBER(SEARCH("上",D313)),ISNUMBER(SEARCH("去",D313)),ISNUMBER(SEARCH("入",D313)))),"Ambiguous",IF(ISNUMBER(SEARCH("平",D313)),"平","仄")))</x:f>
        <x:v>仄</x:v>
      </x:c>
      <x:c r="L313" s="7" t="str"/>
    </x:row>
    <x:row r="314">
      <x:c r="A314" s="5" t="str">
        <x:v>兮</x:v>
      </x:c>
      <x:c r="B314" s="6" t="str">
        <x:v>平</x:v>
      </x:c>
      <x:c r="C314" s="6" t="str">
        <x:f>IF(B314="","Needs decision","Ready")</x:f>
        <x:v>Ready</x:v>
      </x:c>
      <x:c r="D314" s="6" t="str">
        <x:v>平</x:v>
      </x:c>
      <x:c r="E314" s="6" t="str">
        <x:v>hej (A)</x:v>
      </x:c>
      <x:c r="F314" s="6" t="str">
        <x:v>上平聲八齊</x:v>
      </x:c>
      <x:c r="G314" s="6" t="str">
        <x:v>Pingshui main list, Wikisource-derived DOCX</x:v>
      </x:c>
      <x:c r="H314" s="6" t="str">
        <x:v>1</x:v>
      </x:c>
      <x:c r="I314" s="6" t="str"/>
      <x:c r="J314" s="6" t="str">
        <x:f>IF(B314="","",IF(AND(ISNUMBER(SEARCH("平",B314)),OR(ISNUMBER(SEARCH("上",B314)),ISNUMBER(SEARCH("去",B314)),ISNUMBER(SEARCH("入",B314)))),"Ambiguous",IF(ISNUMBER(SEARCH("平",B314)),"平","仄")))</x:f>
        <x:v>平</x:v>
      </x:c>
      <x:c r="K314" s="6" t="str">
        <x:f>IF(D314="","",IF(AND(ISNUMBER(SEARCH("平",D314)),OR(ISNUMBER(SEARCH("上",D314)),ISNUMBER(SEARCH("去",D314)),ISNUMBER(SEARCH("入",D314)))),"Ambiguous",IF(ISNUMBER(SEARCH("平",D314)),"平","仄")))</x:f>
        <x:v>平</x:v>
      </x:c>
      <x:c r="L314" s="7" t="str"/>
    </x:row>
    <x:row r="315">
      <x:c r="A315" s="5" t="str">
        <x:v>共</x:v>
      </x:c>
      <x:c r="B315" s="6" t="str">
        <x:v>去</x:v>
      </x:c>
      <x:c r="C315" s="6" t="str">
        <x:f>IF(B315="","Needs decision","Ready")</x:f>
        <x:v>Ready</x:v>
      </x:c>
      <x:c r="D315" s="6" t="str">
        <x:v>去</x:v>
      </x:c>
      <x:c r="E315" s="6" t="str">
        <x:v>gjowngH (C)</x:v>
      </x:c>
      <x:c r="F315" s="6" t="str">
        <x:v>上平聲二冬; 去聲二宋</x:v>
      </x:c>
      <x:c r="G315" s="6" t="str">
        <x:v>Pingshui main list, Wikisource-derived DOCX</x:v>
      </x:c>
      <x:c r="H315" s="6" t="str">
        <x:v>1</x:v>
      </x:c>
      <x:c r="I315" s="6" t="str"/>
      <x:c r="J315" s="6" t="str">
        <x:f>IF(B315="","",IF(AND(ISNUMBER(SEARCH("平",B315)),OR(ISNUMBER(SEARCH("上",B315)),ISNUMBER(SEARCH("去",B315)),ISNUMBER(SEARCH("入",B315)))),"Ambiguous",IF(ISNUMBER(SEARCH("平",B315)),"平","仄")))</x:f>
        <x:v>仄</x:v>
      </x:c>
      <x:c r="K315" s="6" t="str">
        <x:f>IF(D315="","",IF(AND(ISNUMBER(SEARCH("平",D315)),OR(ISNUMBER(SEARCH("上",D315)),ISNUMBER(SEARCH("去",D315)),ISNUMBER(SEARCH("入",D315)))),"Ambiguous",IF(ISNUMBER(SEARCH("平",D315)),"平","仄")))</x:f>
        <x:v>仄</x:v>
      </x:c>
      <x:c r="L315" s="7" t="str"/>
    </x:row>
    <x:row r="316">
      <x:c r="A316" s="5" t="str">
        <x:v>兵</x:v>
      </x:c>
      <x:c r="B316" s="6" t="str">
        <x:v>平</x:v>
      </x:c>
      <x:c r="C316" s="6" t="str">
        <x:f>IF(B316="","Needs decision","Ready")</x:f>
        <x:v>Ready</x:v>
      </x:c>
      <x:c r="D316" s="6" t="str">
        <x:v>平</x:v>
      </x:c>
      <x:c r="E316" s="6" t="str">
        <x:v>pjaeng (A)</x:v>
      </x:c>
      <x:c r="F316" s="6" t="str">
        <x:v>下平聲八庚</x:v>
      </x:c>
      <x:c r="G316" s="6" t="str">
        <x:v>Pingshui main list, Wikisource-derived DOCX</x:v>
      </x:c>
      <x:c r="H316" s="6" t="str">
        <x:v>1</x:v>
      </x:c>
      <x:c r="I316" s="6" t="str"/>
      <x:c r="J316" s="6" t="str">
        <x:f>IF(B316="","",IF(AND(ISNUMBER(SEARCH("平",B316)),OR(ISNUMBER(SEARCH("上",B316)),ISNUMBER(SEARCH("去",B316)),ISNUMBER(SEARCH("入",B316)))),"Ambiguous",IF(ISNUMBER(SEARCH("平",B316)),"平","仄")))</x:f>
        <x:v>平</x:v>
      </x:c>
      <x:c r="K316" s="6" t="str">
        <x:f>IF(D316="","",IF(AND(ISNUMBER(SEARCH("平",D316)),OR(ISNUMBER(SEARCH("上",D316)),ISNUMBER(SEARCH("去",D316)),ISNUMBER(SEARCH("入",D316)))),"Ambiguous",IF(ISNUMBER(SEARCH("平",D316)),"平","仄")))</x:f>
        <x:v>平</x:v>
      </x:c>
      <x:c r="L316" s="7" t="str"/>
    </x:row>
    <x:row r="317">
      <x:c r="A317" s="5" t="str">
        <x:v>其</x:v>
      </x:c>
      <x:c r="B317" s="6" t="str">
        <x:v>平</x:v>
      </x:c>
      <x:c r="C317" s="6" t="str">
        <x:f>IF(B317="","Needs decision","Ready")</x:f>
        <x:v>Ready</x:v>
      </x:c>
      <x:c r="D317" s="6" t="str">
        <x:v>平</x:v>
      </x:c>
      <x:c r="E317" s="6" t="str">
        <x:v>gi (A)</x:v>
      </x:c>
      <x:c r="F317" s="6" t="str">
        <x:v>上平聲四支; 去聲四寘</x:v>
      </x:c>
      <x:c r="G317" s="6" t="str">
        <x:v>Pingshui main list, Wikisource-derived DOCX</x:v>
      </x:c>
      <x:c r="H317" s="6" t="str">
        <x:v>1</x:v>
      </x:c>
      <x:c r="I317" s="6" t="str"/>
      <x:c r="J317" s="6" t="str">
        <x:f>IF(B317="","",IF(AND(ISNUMBER(SEARCH("平",B317)),OR(ISNUMBER(SEARCH("上",B317)),ISNUMBER(SEARCH("去",B317)),ISNUMBER(SEARCH("入",B317)))),"Ambiguous",IF(ISNUMBER(SEARCH("平",B317)),"平","仄")))</x:f>
        <x:v>平</x:v>
      </x:c>
      <x:c r="K317" s="6" t="str">
        <x:f>IF(D317="","",IF(AND(ISNUMBER(SEARCH("平",D317)),OR(ISNUMBER(SEARCH("上",D317)),ISNUMBER(SEARCH("去",D317)),ISNUMBER(SEARCH("入",D317)))),"Ambiguous",IF(ISNUMBER(SEARCH("平",D317)),"平","仄")))</x:f>
        <x:v>平</x:v>
      </x:c>
      <x:c r="L317" s="7" t="str"/>
    </x:row>
    <x:row r="318">
      <x:c r="A318" s="5" t="str">
        <x:v>具</x:v>
      </x:c>
      <x:c r="B318" s="6" t="str">
        <x:v>去</x:v>
      </x:c>
      <x:c r="C318" s="6" t="str">
        <x:f>IF(B318="","Needs decision","Ready")</x:f>
        <x:v>Ready</x:v>
      </x:c>
      <x:c r="D318" s="6" t="str">
        <x:v>去</x:v>
      </x:c>
      <x:c r="E318" s="6" t="str">
        <x:v>gjuH (C)</x:v>
      </x:c>
      <x:c r="F318" s="6" t="str">
        <x:v>去聲七遇</x:v>
      </x:c>
      <x:c r="G318" s="6" t="str">
        <x:v>Pingshui main list, Wikisource-derived DOCX</x:v>
      </x:c>
      <x:c r="H318" s="6" t="str">
        <x:v>1</x:v>
      </x:c>
      <x:c r="I318" s="6" t="str"/>
      <x:c r="J318" s="6" t="str">
        <x:f>IF(B318="","",IF(AND(ISNUMBER(SEARCH("平",B318)),OR(ISNUMBER(SEARCH("上",B318)),ISNUMBER(SEARCH("去",B318)),ISNUMBER(SEARCH("入",B318)))),"Ambiguous",IF(ISNUMBER(SEARCH("平",B318)),"平","仄")))</x:f>
        <x:v>仄</x:v>
      </x:c>
      <x:c r="K318" s="6" t="str">
        <x:f>IF(D318="","",IF(AND(ISNUMBER(SEARCH("平",D318)),OR(ISNUMBER(SEARCH("上",D318)),ISNUMBER(SEARCH("去",D318)),ISNUMBER(SEARCH("入",D318)))),"Ambiguous",IF(ISNUMBER(SEARCH("平",D318)),"平","仄")))</x:f>
        <x:v>仄</x:v>
      </x:c>
      <x:c r="L318" s="7" t="str"/>
    </x:row>
    <x:row r="319">
      <x:c r="A319" s="5" t="str">
        <x:v>典</x:v>
      </x:c>
      <x:c r="B319" s="6" t="str">
        <x:v>上</x:v>
      </x:c>
      <x:c r="C319" s="6" t="str">
        <x:f>IF(B319="","Needs decision","Ready")</x:f>
        <x:v>Ready</x:v>
      </x:c>
      <x:c r="D319" s="6" t="str">
        <x:v>上</x:v>
      </x:c>
      <x:c r="E319" s="6" t="str">
        <x:v>tenX (B)</x:v>
      </x:c>
      <x:c r="F319" s="6" t="str">
        <x:v>上聲十六銑</x:v>
      </x:c>
      <x:c r="G319" s="6" t="str">
        <x:v>Pingshui main list, Wikisource-derived DOCX</x:v>
      </x:c>
      <x:c r="H319" s="6" t="str">
        <x:v>1</x:v>
      </x:c>
      <x:c r="I319" s="6" t="str"/>
      <x:c r="J319" s="6" t="str">
        <x:f>IF(B319="","",IF(AND(ISNUMBER(SEARCH("平",B319)),OR(ISNUMBER(SEARCH("上",B319)),ISNUMBER(SEARCH("去",B319)),ISNUMBER(SEARCH("入",B319)))),"Ambiguous",IF(ISNUMBER(SEARCH("平",B319)),"平","仄")))</x:f>
        <x:v>仄</x:v>
      </x:c>
      <x:c r="K319" s="6" t="str">
        <x:f>IF(D319="","",IF(AND(ISNUMBER(SEARCH("平",D319)),OR(ISNUMBER(SEARCH("上",D319)),ISNUMBER(SEARCH("去",D319)),ISNUMBER(SEARCH("入",D319)))),"Ambiguous",IF(ISNUMBER(SEARCH("平",D319)),"平","仄")))</x:f>
        <x:v>仄</x:v>
      </x:c>
      <x:c r="L319" s="7" t="str"/>
    </x:row>
    <x:row r="320">
      <x:c r="A320" s="5" t="str">
        <x:v>兼</x:v>
      </x:c>
      <x:c r="B320" s="6" t="str">
        <x:v>平</x:v>
      </x:c>
      <x:c r="C320" s="6" t="str">
        <x:f>IF(B320="","Needs decision","Ready")</x:f>
        <x:v>Ready</x:v>
      </x:c>
      <x:c r="D320" s="6" t="str">
        <x:v>平</x:v>
      </x:c>
      <x:c r="E320" s="6" t="str">
        <x:v>kem (A)</x:v>
      </x:c>
      <x:c r="F320" s="6" t="str">
        <x:v>下平聲十四鹽; 去聲二十九豔</x:v>
      </x:c>
      <x:c r="G320" s="6" t="str">
        <x:v>Pingshui main list, Wikisource-derived DOCX</x:v>
      </x:c>
      <x:c r="H320" s="6" t="str">
        <x:v>1</x:v>
      </x:c>
      <x:c r="I320" s="6" t="str"/>
      <x:c r="J320" s="6" t="str">
        <x:f>IF(B320="","",IF(AND(ISNUMBER(SEARCH("平",B320)),OR(ISNUMBER(SEARCH("上",B320)),ISNUMBER(SEARCH("去",B320)),ISNUMBER(SEARCH("入",B320)))),"Ambiguous",IF(ISNUMBER(SEARCH("平",B320)),"平","仄")))</x:f>
        <x:v>平</x:v>
      </x:c>
      <x:c r="K320" s="6" t="str">
        <x:f>IF(D320="","",IF(AND(ISNUMBER(SEARCH("平",D320)),OR(ISNUMBER(SEARCH("上",D320)),ISNUMBER(SEARCH("去",D320)),ISNUMBER(SEARCH("入",D320)))),"Ambiguous",IF(ISNUMBER(SEARCH("平",D320)),"平","仄")))</x:f>
        <x:v>平</x:v>
      </x:c>
      <x:c r="L320" s="7" t="str"/>
    </x:row>
    <x:row r="321">
      <x:c r="A321" s="5" t="str">
        <x:v>冀</x:v>
      </x:c>
      <x:c r="B321" s="6" t="str">
        <x:v>去</x:v>
      </x:c>
      <x:c r="C321" s="6" t="str">
        <x:f>IF(B321="","Needs decision","Ready")</x:f>
        <x:v>Ready</x:v>
      </x:c>
      <x:c r="D321" s="6" t="str">
        <x:v>去</x:v>
      </x:c>
      <x:c r="E321" s="6" t="str">
        <x:v>kijH (C)</x:v>
      </x:c>
      <x:c r="F321" s="6" t="str">
        <x:v>去聲四寘</x:v>
      </x:c>
      <x:c r="G321" s="6" t="str">
        <x:v>Pingshui main list, Wikisource-derived DOCX</x:v>
      </x:c>
      <x:c r="H321" s="6" t="str">
        <x:v>1</x:v>
      </x:c>
      <x:c r="I321" s="6" t="str"/>
      <x:c r="J321" s="6" t="str">
        <x:f>IF(B321="","",IF(AND(ISNUMBER(SEARCH("平",B321)),OR(ISNUMBER(SEARCH("上",B321)),ISNUMBER(SEARCH("去",B321)),ISNUMBER(SEARCH("入",B321)))),"Ambiguous",IF(ISNUMBER(SEARCH("平",B321)),"平","仄")))</x:f>
        <x:v>仄</x:v>
      </x:c>
      <x:c r="K321" s="6" t="str">
        <x:f>IF(D321="","",IF(AND(ISNUMBER(SEARCH("平",D321)),OR(ISNUMBER(SEARCH("上",D321)),ISNUMBER(SEARCH("去",D321)),ISNUMBER(SEARCH("入",D321)))),"Ambiguous",IF(ISNUMBER(SEARCH("平",D321)),"平","仄")))</x:f>
        <x:v>仄</x:v>
      </x:c>
      <x:c r="L321" s="7" t="str"/>
    </x:row>
    <x:row r="322">
      <x:c r="A322" s="5" t="str">
        <x:v>冉</x:v>
      </x:c>
      <x:c r="B322" s="6" t="str">
        <x:v>上</x:v>
      </x:c>
      <x:c r="C322" s="6" t="str">
        <x:f>IF(B322="","Needs decision","Ready")</x:f>
        <x:v>Ready</x:v>
      </x:c>
      <x:c r="D322" s="6" t="str">
        <x:v>上</x:v>
      </x:c>
      <x:c r="E322" s="6" t="str"/>
      <x:c r="F322" s="6" t="str">
        <x:v>上聲二十八琰</x:v>
      </x:c>
      <x:c r="G322" s="6" t="str">
        <x:v>Pingshui main list, Wikisource-derived DOCX</x:v>
      </x:c>
      <x:c r="H322" s="6" t="str"/>
      <x:c r="I322" s="6" t="str">
        <x:v>Manual user correction/addition</x:v>
      </x:c>
      <x:c r="J322" s="6" t="str">
        <x:f>IF(B322="","",IF(AND(ISNUMBER(SEARCH("平",B322)),OR(ISNUMBER(SEARCH("上",B322)),ISNUMBER(SEARCH("去",B322)),ISNUMBER(SEARCH("入",B322)))),"Ambiguous",IF(ISNUMBER(SEARCH("平",B322)),"平","仄")))</x:f>
        <x:v>仄</x:v>
      </x:c>
      <x:c r="K322" s="6" t="str">
        <x:f>IF(D322="","",IF(AND(ISNUMBER(SEARCH("平",D322)),OR(ISNUMBER(SEARCH("上",D322)),ISNUMBER(SEARCH("去",D322)),ISNUMBER(SEARCH("入",D322)))),"Ambiguous",IF(ISNUMBER(SEARCH("平",D322)),"平","仄")))</x:f>
        <x:v>仄</x:v>
      </x:c>
      <x:c r="L322" s="7" t="str">
        <x:v>manual user correction</x:v>
      </x:c>
    </x:row>
    <x:row r="323">
      <x:c r="A323" s="5" t="str">
        <x:v>冊</x:v>
      </x:c>
      <x:c r="B323" s="6" t="str">
        <x:v>入</x:v>
      </x:c>
      <x:c r="C323" s="6" t="str">
        <x:f>IF(B323="","Needs decision","Ready")</x:f>
        <x:v>Ready</x:v>
      </x:c>
      <x:c r="D323" s="6" t="str">
        <x:v>入</x:v>
      </x:c>
      <x:c r="E323" s="6" t="str"/>
      <x:c r="F323" s="6" t="str">
        <x:v>入聲十一陌</x:v>
      </x:c>
      <x:c r="G323" s="6" t="str">
        <x:v>Pingshui main list, Wikisource-derived DOCX</x:v>
      </x:c>
      <x:c r="H323" s="6" t="str">
        <x:v>0</x:v>
      </x:c>
      <x:c r="I323" s="6" t="str">
        <x:v>User correction 2026-09-08; added manually</x:v>
      </x:c>
      <x:c r="J323" s="6" t="str">
        <x:f>IF(B323="","",IF(AND(ISNUMBER(SEARCH("平",B323)),OR(ISNUMBER(SEARCH("上",B323)),ISNUMBER(SEARCH("去",B323)),ISNUMBER(SEARCH("入",B323)))),"Ambiguous",IF(ISNUMBER(SEARCH("平",B323)),"平","仄")))</x:f>
        <x:v>仄</x:v>
      </x:c>
      <x:c r="K323" s="6" t="str">
        <x:f>IF(D323="","",IF(AND(ISNUMBER(SEARCH("平",D323)),OR(ISNUMBER(SEARCH("上",D323)),ISNUMBER(SEARCH("去",D323)),ISNUMBER(SEARCH("入",D323)))),"Ambiguous",IF(ISNUMBER(SEARCH("平",D323)),"平","仄")))</x:f>
        <x:v>仄</x:v>
      </x:c>
      <x:c r="L323" s="7" t="str">
        <x:v>User correction</x:v>
      </x:c>
    </x:row>
    <x:row r="324">
      <x:c r="A324" s="5" t="str">
        <x:v>册</x:v>
      </x:c>
      <x:c r="B324" s="6" t="str">
        <x:v>入</x:v>
      </x:c>
      <x:c r="C324" s="6" t="str">
        <x:f>IF(B324="","Needs decision","Ready")</x:f>
        <x:v>Ready</x:v>
      </x:c>
      <x:c r="D324" s="6" t="str">
        <x:v>入</x:v>
      </x:c>
      <x:c r="E324" s="6" t="str">
        <x:v>tsrheak (D)</x:v>
      </x:c>
      <x:c r="F324" s="6" t="str"/>
      <x:c r="G324" s="6" t="str"/>
      <x:c r="H324" s="6" t="str">
        <x:v>1</x:v>
      </x:c>
      <x:c r="I324" s="6" t="str"/>
      <x:c r="J324" s="6" t="str">
        <x:f>IF(B324="","",IF(AND(ISNUMBER(SEARCH("平",B324)),OR(ISNUMBER(SEARCH("上",B324)),ISNUMBER(SEARCH("去",B324)),ISNUMBER(SEARCH("入",B324)))),"Ambiguous",IF(ISNUMBER(SEARCH("平",B324)),"平","仄")))</x:f>
        <x:v>仄</x:v>
      </x:c>
      <x:c r="K324" s="6" t="str">
        <x:f>IF(D324="","",IF(AND(ISNUMBER(SEARCH("平",D324)),OR(ISNUMBER(SEARCH("上",D324)),ISNUMBER(SEARCH("去",D324)),ISNUMBER(SEARCH("入",D324)))),"Ambiguous",IF(ISNUMBER(SEARCH("平",D324)),"平","仄")))</x:f>
        <x:v>仄</x:v>
      </x:c>
      <x:c r="L324" s="7" t="str"/>
    </x:row>
    <x:row r="325">
      <x:c r="A325" s="5" t="str">
        <x:v>再</x:v>
      </x:c>
      <x:c r="B325" s="6" t="str">
        <x:v>去</x:v>
      </x:c>
      <x:c r="C325" s="6" t="str">
        <x:f>IF(B325="","Needs decision","Ready")</x:f>
        <x:v>Ready</x:v>
      </x:c>
      <x:c r="D325" s="6" t="str">
        <x:v>去</x:v>
      </x:c>
      <x:c r="E325" s="6" t="str">
        <x:v>tsojH (C)</x:v>
      </x:c>
      <x:c r="F325" s="6" t="str">
        <x:v>去聲十一隊</x:v>
      </x:c>
      <x:c r="G325" s="6" t="str">
        <x:v>Pingshui main list, Wikisource-derived DOCX</x:v>
      </x:c>
      <x:c r="H325" s="6" t="str">
        <x:v>1</x:v>
      </x:c>
      <x:c r="I325" s="6" t="str"/>
      <x:c r="J325" s="6" t="str">
        <x:f>IF(B325="","",IF(AND(ISNUMBER(SEARCH("平",B325)),OR(ISNUMBER(SEARCH("上",B325)),ISNUMBER(SEARCH("去",B325)),ISNUMBER(SEARCH("入",B325)))),"Ambiguous",IF(ISNUMBER(SEARCH("平",B325)),"平","仄")))</x:f>
        <x:v>仄</x:v>
      </x:c>
      <x:c r="K325" s="6" t="str">
        <x:f>IF(D325="","",IF(AND(ISNUMBER(SEARCH("平",D325)),OR(ISNUMBER(SEARCH("上",D325)),ISNUMBER(SEARCH("去",D325)),ISNUMBER(SEARCH("入",D325)))),"Ambiguous",IF(ISNUMBER(SEARCH("平",D325)),"平","仄")))</x:f>
        <x:v>仄</x:v>
      </x:c>
      <x:c r="L325" s="7" t="str"/>
    </x:row>
    <x:row r="326">
      <x:c r="A326" s="5" t="str">
        <x:v>冎</x:v>
      </x:c>
      <x:c r="B326" s="6" t="str">
        <x:v>上</x:v>
      </x:c>
      <x:c r="C326" s="6" t="str">
        <x:f>IF(B326="","Needs decision","Ready")</x:f>
        <x:v>Ready</x:v>
      </x:c>
      <x:c r="D326" s="6" t="str">
        <x:v>上</x:v>
      </x:c>
      <x:c r="E326" s="6" t="str">
        <x:v>kwaeX (B)</x:v>
      </x:c>
      <x:c r="F326" s="6" t="str"/>
      <x:c r="G326" s="6" t="str"/>
      <x:c r="H326" s="6" t="str">
        <x:v>1</x:v>
      </x:c>
      <x:c r="I326" s="6" t="str"/>
      <x:c r="J326" s="6" t="str">
        <x:f>IF(B326="","",IF(AND(ISNUMBER(SEARCH("平",B326)),OR(ISNUMBER(SEARCH("上",B326)),ISNUMBER(SEARCH("去",B326)),ISNUMBER(SEARCH("入",B326)))),"Ambiguous",IF(ISNUMBER(SEARCH("平",B326)),"平","仄")))</x:f>
        <x:v>仄</x:v>
      </x:c>
      <x:c r="K326" s="6" t="str">
        <x:f>IF(D326="","",IF(AND(ISNUMBER(SEARCH("平",D326)),OR(ISNUMBER(SEARCH("上",D326)),ISNUMBER(SEARCH("去",D326)),ISNUMBER(SEARCH("入",D326)))),"Ambiguous",IF(ISNUMBER(SEARCH("平",D326)),"平","仄")))</x:f>
        <x:v>仄</x:v>
      </x:c>
      <x:c r="L326" s="7" t="str"/>
    </x:row>
    <x:row r="327">
      <x:c r="A327" s="5" t="str">
        <x:v>冑</x:v>
      </x:c>
      <x:c r="B327" s="6" t="str">
        <x:v>去</x:v>
      </x:c>
      <x:c r="C327" s="6" t="str">
        <x:f>IF(B327="","Needs decision","Ready")</x:f>
        <x:v>Ready</x:v>
      </x:c>
      <x:c r="D327" s="6" t="str">
        <x:v>去</x:v>
      </x:c>
      <x:c r="E327" s="6" t="str">
        <x:v>drjuwH (C)</x:v>
      </x:c>
      <x:c r="F327" s="6" t="str">
        <x:v>去聲二十六宥</x:v>
      </x:c>
      <x:c r="G327" s="6" t="str">
        <x:v>Pingshui main list, Wikisource-derived DOCX</x:v>
      </x:c>
      <x:c r="H327" s="6" t="str">
        <x:v>1</x:v>
      </x:c>
      <x:c r="I327" s="6" t="str"/>
      <x:c r="J327" s="6" t="str">
        <x:f>IF(B327="","",IF(AND(ISNUMBER(SEARCH("平",B327)),OR(ISNUMBER(SEARCH("上",B327)),ISNUMBER(SEARCH("去",B327)),ISNUMBER(SEARCH("入",B327)))),"Ambiguous",IF(ISNUMBER(SEARCH("平",B327)),"平","仄")))</x:f>
        <x:v>仄</x:v>
      </x:c>
      <x:c r="K327" s="6" t="str">
        <x:f>IF(D327="","",IF(AND(ISNUMBER(SEARCH("平",D327)),OR(ISNUMBER(SEARCH("上",D327)),ISNUMBER(SEARCH("去",D327)),ISNUMBER(SEARCH("入",D327)))),"Ambiguous",IF(ISNUMBER(SEARCH("平",D327)),"平","仄")))</x:f>
        <x:v>仄</x:v>
      </x:c>
      <x:c r="L327" s="7" t="str"/>
    </x:row>
    <x:row r="328">
      <x:c r="A328" s="5" t="str">
        <x:v>冒</x:v>
      </x:c>
      <x:c r="B328" s="6" t="str">
        <x:v>去</x:v>
      </x:c>
      <x:c r="C328" s="6" t="str">
        <x:f>IF(B328="","Needs decision","Ready")</x:f>
        <x:v>Ready</x:v>
      </x:c>
      <x:c r="D328" s="6" t="str">
        <x:v>去</x:v>
      </x:c>
      <x:c r="E328" s="6" t="str">
        <x:v>mawH (C)</x:v>
      </x:c>
      <x:c r="F328" s="6" t="str">
        <x:v>去聲二十號; 入聲十三職</x:v>
      </x:c>
      <x:c r="G328" s="6" t="str">
        <x:v>Pingshui main list, Wikisource-derived DOCX</x:v>
      </x:c>
      <x:c r="H328" s="6" t="str">
        <x:v>1</x:v>
      </x:c>
      <x:c r="I328" s="6" t="str"/>
      <x:c r="J328" s="6" t="str">
        <x:f>IF(B328="","",IF(AND(ISNUMBER(SEARCH("平",B328)),OR(ISNUMBER(SEARCH("上",B328)),ISNUMBER(SEARCH("去",B328)),ISNUMBER(SEARCH("入",B328)))),"Ambiguous",IF(ISNUMBER(SEARCH("平",B328)),"平","仄")))</x:f>
        <x:v>仄</x:v>
      </x:c>
      <x:c r="K328" s="6" t="str">
        <x:f>IF(D328="","",IF(AND(ISNUMBER(SEARCH("平",D328)),OR(ISNUMBER(SEARCH("上",D328)),ISNUMBER(SEARCH("去",D328)),ISNUMBER(SEARCH("入",D328)))),"Ambiguous",IF(ISNUMBER(SEARCH("平",D328)),"平","仄")))</x:f>
        <x:v>仄</x:v>
      </x:c>
      <x:c r="L328" s="7" t="str"/>
    </x:row>
    <x:row r="329">
      <x:c r="A329" s="5" t="str">
        <x:v>冓</x:v>
      </x:c>
      <x:c r="B329" s="6" t="str">
        <x:v>去</x:v>
      </x:c>
      <x:c r="C329" s="6" t="str">
        <x:f>IF(B329="","Needs decision","Ready")</x:f>
        <x:v>Ready</x:v>
      </x:c>
      <x:c r="D329" s="6" t="str">
        <x:v>去</x:v>
      </x:c>
      <x:c r="E329" s="6" t="str">
        <x:v>kuwH (C)</x:v>
      </x:c>
      <x:c r="F329" s="6" t="str">
        <x:v>去聲二十六宥</x:v>
      </x:c>
      <x:c r="G329" s="6" t="str">
        <x:v>Pingshui main list, Wikisource-derived DOCX</x:v>
      </x:c>
      <x:c r="H329" s="6" t="str">
        <x:v>1</x:v>
      </x:c>
      <x:c r="I329" s="6" t="str"/>
      <x:c r="J329" s="6" t="str">
        <x:f>IF(B329="","",IF(AND(ISNUMBER(SEARCH("平",B329)),OR(ISNUMBER(SEARCH("上",B329)),ISNUMBER(SEARCH("去",B329)),ISNUMBER(SEARCH("入",B329)))),"Ambiguous",IF(ISNUMBER(SEARCH("平",B329)),"平","仄")))</x:f>
        <x:v>仄</x:v>
      </x:c>
      <x:c r="K329" s="6" t="str">
        <x:f>IF(D329="","",IF(AND(ISNUMBER(SEARCH("平",D329)),OR(ISNUMBER(SEARCH("上",D329)),ISNUMBER(SEARCH("去",D329)),ISNUMBER(SEARCH("入",D329)))),"Ambiguous",IF(ISNUMBER(SEARCH("平",D329)),"平","仄")))</x:f>
        <x:v>仄</x:v>
      </x:c>
      <x:c r="L329" s="7" t="str"/>
    </x:row>
    <x:row r="330">
      <x:c r="A330" s="5" t="str">
        <x:v>冕</x:v>
      </x:c>
      <x:c r="B330" s="6" t="str">
        <x:v>上</x:v>
      </x:c>
      <x:c r="C330" s="6" t="str">
        <x:f>IF(B330="","Needs decision","Ready")</x:f>
        <x:v>Ready</x:v>
      </x:c>
      <x:c r="D330" s="6" t="str">
        <x:v>上</x:v>
      </x:c>
      <x:c r="E330" s="6" t="str">
        <x:v>mjenX (B)</x:v>
      </x:c>
      <x:c r="F330" s="6" t="str">
        <x:v>上聲十六銑</x:v>
      </x:c>
      <x:c r="G330" s="6" t="str">
        <x:v>Pingshui main list, Wikisource-derived DOCX</x:v>
      </x:c>
      <x:c r="H330" s="6" t="str">
        <x:v>1</x:v>
      </x:c>
      <x:c r="I330" s="6" t="str"/>
      <x:c r="J330" s="6" t="str">
        <x:f>IF(B330="","",IF(AND(ISNUMBER(SEARCH("平",B330)),OR(ISNUMBER(SEARCH("上",B330)),ISNUMBER(SEARCH("去",B330)),ISNUMBER(SEARCH("入",B330)))),"Ambiguous",IF(ISNUMBER(SEARCH("平",B330)),"平","仄")))</x:f>
        <x:v>仄</x:v>
      </x:c>
      <x:c r="K330" s="6" t="str">
        <x:f>IF(D330="","",IF(AND(ISNUMBER(SEARCH("平",D330)),OR(ISNUMBER(SEARCH("上",D330)),ISNUMBER(SEARCH("去",D330)),ISNUMBER(SEARCH("入",D330)))),"Ambiguous",IF(ISNUMBER(SEARCH("平",D330)),"平","仄")))</x:f>
        <x:v>仄</x:v>
      </x:c>
      <x:c r="L330" s="7" t="str"/>
    </x:row>
    <x:row r="331">
      <x:c r="A331" s="5" t="str">
        <x:v>冞</x:v>
      </x:c>
      <x:c r="B331" s="6" t="str">
        <x:v>平</x:v>
      </x:c>
      <x:c r="C331" s="6" t="str">
        <x:f>IF(B331="","Needs decision","Ready")</x:f>
        <x:v>Ready</x:v>
      </x:c>
      <x:c r="D331" s="6" t="str">
        <x:v>平</x:v>
      </x:c>
      <x:c r="E331" s="6" t="str">
        <x:v>mjie (A)</x:v>
      </x:c>
      <x:c r="F331" s="6" t="str"/>
      <x:c r="G331" s="6" t="str"/>
      <x:c r="H331" s="6" t="str">
        <x:v>1</x:v>
      </x:c>
      <x:c r="I331" s="6" t="str"/>
      <x:c r="J331" s="6" t="str">
        <x:f>IF(B331="","",IF(AND(ISNUMBER(SEARCH("平",B331)),OR(ISNUMBER(SEARCH("上",B331)),ISNUMBER(SEARCH("去",B331)),ISNUMBER(SEARCH("入",B331)))),"Ambiguous",IF(ISNUMBER(SEARCH("平",B331)),"平","仄")))</x:f>
        <x:v>平</x:v>
      </x:c>
      <x:c r="K331" s="6" t="str">
        <x:f>IF(D331="","",IF(AND(ISNUMBER(SEARCH("平",D331)),OR(ISNUMBER(SEARCH("上",D331)),ISNUMBER(SEARCH("去",D331)),ISNUMBER(SEARCH("入",D331)))),"Ambiguous",IF(ISNUMBER(SEARCH("平",D331)),"平","仄")))</x:f>
        <x:v>平</x:v>
      </x:c>
      <x:c r="L331" s="7" t="str"/>
    </x:row>
    <x:row r="332">
      <x:c r="A332" s="5" t="str">
        <x:v>冠</x:v>
      </x:c>
      <x:c r="B332" s="6" t="str"/>
      <x:c r="C332" s="6" t="str">
        <x:f>IF(B332="","Needs decision","Ready")</x:f>
        <x:v>Needs decision</x:v>
      </x:c>
      <x:c r="D332" s="6" t="str">
        <x:v>平/去</x:v>
      </x:c>
      <x:c r="E332" s="6" t="str">
        <x:v>kwan (A); kwanH (C)</x:v>
      </x:c>
      <x:c r="F332" s="6" t="str">
        <x:v>上平聲十四寒; 去聲十五翰</x:v>
      </x:c>
      <x:c r="G332" s="6" t="str">
        <x:v>Pingshui main list, Wikisource-derived DOCX</x:v>
      </x:c>
      <x:c r="H332" s="6" t="str">
        <x:v>2</x:v>
      </x:c>
      <x:c r="I332" s="6" t="str"/>
      <x:c r="J332" s="6" t="str">
        <x:f>IF(B332="","",IF(AND(ISNUMBER(SEARCH("平",B332)),OR(ISNUMBER(SEARCH("上",B332)),ISNUMBER(SEARCH("去",B332)),ISNUMBER(SEARCH("入",B332)))),"Ambiguous",IF(ISNUMBER(SEARCH("平",B332)),"平","仄")))</x:f>
      </x:c>
      <x:c r="K332" s="6" t="str">
        <x:f>IF(D332="","",IF(AND(ISNUMBER(SEARCH("平",D332)),OR(ISNUMBER(SEARCH("上",D332)),ISNUMBER(SEARCH("去",D332)),ISNUMBER(SEARCH("入",D332)))),"Ambiguous",IF(ISNUMBER(SEARCH("平",D332)),"平","仄")))</x:f>
        <x:v>Ambiguous</x:v>
      </x:c>
      <x:c r="L332" s="7" t="str"/>
    </x:row>
    <x:row r="333">
      <x:c r="A333" s="5" t="str">
        <x:v>冢</x:v>
      </x:c>
      <x:c r="B333" s="6" t="str">
        <x:v>上</x:v>
      </x:c>
      <x:c r="C333" s="6" t="str">
        <x:f>IF(B333="","Needs decision","Ready")</x:f>
        <x:v>Ready</x:v>
      </x:c>
      <x:c r="D333" s="6" t="str">
        <x:v>上</x:v>
      </x:c>
      <x:c r="E333" s="6" t="str">
        <x:v>trjowngX (B)</x:v>
      </x:c>
      <x:c r="F333" s="6" t="str">
        <x:v>上平聲一東; 上聲二腫</x:v>
      </x:c>
      <x:c r="G333" s="6" t="str">
        <x:v>Pingshui main list, Wikisource-derived DOCX</x:v>
      </x:c>
      <x:c r="H333" s="6" t="str">
        <x:v>1</x:v>
      </x:c>
      <x:c r="I333" s="6" t="str"/>
      <x:c r="J333" s="6" t="str">
        <x:f>IF(B333="","",IF(AND(ISNUMBER(SEARCH("平",B333)),OR(ISNUMBER(SEARCH("上",B333)),ISNUMBER(SEARCH("去",B333)),ISNUMBER(SEARCH("入",B333)))),"Ambiguous",IF(ISNUMBER(SEARCH("平",B333)),"平","仄")))</x:f>
        <x:v>仄</x:v>
      </x:c>
      <x:c r="K333" s="6" t="str">
        <x:f>IF(D333="","",IF(AND(ISNUMBER(SEARCH("平",D333)),OR(ISNUMBER(SEARCH("上",D333)),ISNUMBER(SEARCH("去",D333)),ISNUMBER(SEARCH("入",D333)))),"Ambiguous",IF(ISNUMBER(SEARCH("平",D333)),"平","仄")))</x:f>
        <x:v>仄</x:v>
      </x:c>
      <x:c r="L333" s="7" t="str"/>
    </x:row>
    <x:row r="334">
      <x:c r="A334" s="5" t="str">
        <x:v>冤</x:v>
      </x:c>
      <x:c r="B334" s="6" t="str">
        <x:v>平</x:v>
      </x:c>
      <x:c r="C334" s="6" t="str">
        <x:f>IF(B334="","Needs decision","Ready")</x:f>
        <x:v>Ready</x:v>
      </x:c>
      <x:c r="D334" s="6" t="str">
        <x:v>平</x:v>
      </x:c>
      <x:c r="E334" s="6" t="str"/>
      <x:c r="F334" s="6" t="str">
        <x:v>上平聲十三元</x:v>
      </x:c>
      <x:c r="G334" s="6" t="str">
        <x:v>Pingshui main list, Wikisource-derived DOCX</x:v>
      </x:c>
      <x:c r="H334" s="6" t="str"/>
      <x:c r="I334" s="6" t="str">
        <x:v>Manual user correction/addition</x:v>
      </x:c>
      <x:c r="J334" s="6" t="str">
        <x:f>IF(B334="","",IF(AND(ISNUMBER(SEARCH("平",B334)),OR(ISNUMBER(SEARCH("上",B334)),ISNUMBER(SEARCH("去",B334)),ISNUMBER(SEARCH("入",B334)))),"Ambiguous",IF(ISNUMBER(SEARCH("平",B334)),"平","仄")))</x:f>
        <x:v>平</x:v>
      </x:c>
      <x:c r="K334" s="6" t="str">
        <x:f>IF(D334="","",IF(AND(ISNUMBER(SEARCH("平",D334)),OR(ISNUMBER(SEARCH("上",D334)),ISNUMBER(SEARCH("去",D334)),ISNUMBER(SEARCH("入",D334)))),"Ambiguous",IF(ISNUMBER(SEARCH("平",D334)),"平","仄")))</x:f>
        <x:v>平</x:v>
      </x:c>
      <x:c r="L334" s="7" t="str">
        <x:v>manual user correction</x:v>
      </x:c>
    </x:row>
    <x:row r="335">
      <x:c r="A335" s="5" t="str">
        <x:v>冥</x:v>
      </x:c>
      <x:c r="B335" s="6" t="str">
        <x:v>平</x:v>
      </x:c>
      <x:c r="C335" s="6" t="str">
        <x:f>IF(B335="","Needs decision","Ready")</x:f>
        <x:v>Ready</x:v>
      </x:c>
      <x:c r="D335" s="6" t="str">
        <x:v>平</x:v>
      </x:c>
      <x:c r="E335" s="6" t="str">
        <x:v>meng (A)</x:v>
      </x:c>
      <x:c r="F335" s="6" t="str">
        <x:v>下平聲九青</x:v>
      </x:c>
      <x:c r="G335" s="6" t="str">
        <x:v>Pingshui main list, Wikisource-derived DOCX</x:v>
      </x:c>
      <x:c r="H335" s="6" t="str">
        <x:v>1</x:v>
      </x:c>
      <x:c r="I335" s="6" t="str"/>
      <x:c r="J335" s="6" t="str">
        <x:f>IF(B335="","",IF(AND(ISNUMBER(SEARCH("平",B335)),OR(ISNUMBER(SEARCH("上",B335)),ISNUMBER(SEARCH("去",B335)),ISNUMBER(SEARCH("入",B335)))),"Ambiguous",IF(ISNUMBER(SEARCH("平",B335)),"平","仄")))</x:f>
        <x:v>平</x:v>
      </x:c>
      <x:c r="K335" s="6" t="str">
        <x:f>IF(D335="","",IF(AND(ISNUMBER(SEARCH("平",D335)),OR(ISNUMBER(SEARCH("上",D335)),ISNUMBER(SEARCH("去",D335)),ISNUMBER(SEARCH("入",D335)))),"Ambiguous",IF(ISNUMBER(SEARCH("平",D335)),"平","仄")))</x:f>
        <x:v>平</x:v>
      </x:c>
      <x:c r="L335" s="7" t="str"/>
    </x:row>
    <x:row r="336">
      <x:c r="A336" s="5" t="str">
        <x:v>冪</x:v>
      </x:c>
      <x:c r="B336" s="6" t="str">
        <x:v>入</x:v>
      </x:c>
      <x:c r="C336" s="6" t="str">
        <x:f>IF(B336="","Needs decision","Ready")</x:f>
        <x:v>Ready</x:v>
      </x:c>
      <x:c r="D336" s="6" t="str">
        <x:v>入</x:v>
      </x:c>
      <x:c r="E336" s="6" t="str">
        <x:v>mek (D)</x:v>
      </x:c>
      <x:c r="F336" s="6" t="str"/>
      <x:c r="G336" s="6" t="str"/>
      <x:c r="H336" s="6" t="str">
        <x:v>1</x:v>
      </x:c>
      <x:c r="I336" s="6" t="str"/>
      <x:c r="J336" s="6" t="str">
        <x:f>IF(B336="","",IF(AND(ISNUMBER(SEARCH("平",B336)),OR(ISNUMBER(SEARCH("上",B336)),ISNUMBER(SEARCH("去",B336)),ISNUMBER(SEARCH("入",B336)))),"Ambiguous",IF(ISNUMBER(SEARCH("平",B336)),"平","仄")))</x:f>
        <x:v>仄</x:v>
      </x:c>
      <x:c r="K336" s="6" t="str">
        <x:f>IF(D336="","",IF(AND(ISNUMBER(SEARCH("平",D336)),OR(ISNUMBER(SEARCH("上",D336)),ISNUMBER(SEARCH("去",D336)),ISNUMBER(SEARCH("入",D336)))),"Ambiguous",IF(ISNUMBER(SEARCH("平",D336)),"平","仄")))</x:f>
        <x:v>仄</x:v>
      </x:c>
      <x:c r="L336" s="7" t="str"/>
    </x:row>
    <x:row r="337">
      <x:c r="A337" s="5" t="str">
        <x:v>冫</x:v>
      </x:c>
      <x:c r="B337" s="6" t="str">
        <x:v>平</x:v>
      </x:c>
      <x:c r="C337" s="6" t="str">
        <x:f>IF(B337="","Needs decision","Ready")</x:f>
        <x:v>Ready</x:v>
      </x:c>
      <x:c r="D337" s="6" t="str">
        <x:v>平</x:v>
      </x:c>
      <x:c r="E337" s="6" t="str">
        <x:v>ping (A)</x:v>
      </x:c>
      <x:c r="F337" s="6" t="str"/>
      <x:c r="G337" s="6" t="str"/>
      <x:c r="H337" s="6" t="str">
        <x:v>1</x:v>
      </x:c>
      <x:c r="I337" s="6" t="str"/>
      <x:c r="J337" s="6" t="str">
        <x:f>IF(B337="","",IF(AND(ISNUMBER(SEARCH("平",B337)),OR(ISNUMBER(SEARCH("上",B337)),ISNUMBER(SEARCH("去",B337)),ISNUMBER(SEARCH("入",B337)))),"Ambiguous",IF(ISNUMBER(SEARCH("平",B337)),"平","仄")))</x:f>
        <x:v>平</x:v>
      </x:c>
      <x:c r="K337" s="6" t="str">
        <x:f>IF(D337="","",IF(AND(ISNUMBER(SEARCH("平",D337)),OR(ISNUMBER(SEARCH("上",D337)),ISNUMBER(SEARCH("去",D337)),ISNUMBER(SEARCH("入",D337)))),"Ambiguous",IF(ISNUMBER(SEARCH("平",D337)),"平","仄")))</x:f>
        <x:v>平</x:v>
      </x:c>
      <x:c r="L337" s="7" t="str"/>
    </x:row>
    <x:row r="338">
      <x:c r="A338" s="5" t="str">
        <x:v>冬</x:v>
      </x:c>
      <x:c r="B338" s="6" t="str">
        <x:v>平</x:v>
      </x:c>
      <x:c r="C338" s="6" t="str">
        <x:f>IF(B338="","Needs decision","Ready")</x:f>
        <x:v>Ready</x:v>
      </x:c>
      <x:c r="D338" s="6" t="str">
        <x:v>平</x:v>
      </x:c>
      <x:c r="E338" s="6" t="str">
        <x:v>towng (A)</x:v>
      </x:c>
      <x:c r="F338" s="6" t="str">
        <x:v>上平聲二冬</x:v>
      </x:c>
      <x:c r="G338" s="6" t="str">
        <x:v>Pingshui main list, Wikisource-derived DOCX</x:v>
      </x:c>
      <x:c r="H338" s="6" t="str">
        <x:v>1</x:v>
      </x:c>
      <x:c r="I338" s="6" t="str"/>
      <x:c r="J338" s="6" t="str">
        <x:f>IF(B338="","",IF(AND(ISNUMBER(SEARCH("平",B338)),OR(ISNUMBER(SEARCH("上",B338)),ISNUMBER(SEARCH("去",B338)),ISNUMBER(SEARCH("入",B338)))),"Ambiguous",IF(ISNUMBER(SEARCH("平",B338)),"平","仄")))</x:f>
        <x:v>平</x:v>
      </x:c>
      <x:c r="K338" s="6" t="str">
        <x:f>IF(D338="","",IF(AND(ISNUMBER(SEARCH("平",D338)),OR(ISNUMBER(SEARCH("上",D338)),ISNUMBER(SEARCH("去",D338)),ISNUMBER(SEARCH("入",D338)))),"Ambiguous",IF(ISNUMBER(SEARCH("平",D338)),"平","仄")))</x:f>
        <x:v>平</x:v>
      </x:c>
      <x:c r="L338" s="7" t="str"/>
    </x:row>
    <x:row r="339">
      <x:c r="A339" s="5" t="str">
        <x:v>冰</x:v>
      </x:c>
      <x:c r="B339" s="6" t="str">
        <x:v>平</x:v>
      </x:c>
      <x:c r="C339" s="6" t="str">
        <x:f>IF(B339="","Needs decision","Ready")</x:f>
        <x:v>Ready</x:v>
      </x:c>
      <x:c r="D339" s="6" t="str">
        <x:v>平</x:v>
      </x:c>
      <x:c r="E339" s="6" t="str">
        <x:v>ping (A)</x:v>
      </x:c>
      <x:c r="F339" s="6" t="str">
        <x:v>下平聲十蒸</x:v>
      </x:c>
      <x:c r="G339" s="6" t="str">
        <x:v>Pingshui main list, Wikisource-derived DOCX</x:v>
      </x:c>
      <x:c r="H339" s="6" t="str">
        <x:v>1</x:v>
      </x:c>
      <x:c r="I339" s="6" t="str"/>
      <x:c r="J339" s="6" t="str">
        <x:f>IF(B339="","",IF(AND(ISNUMBER(SEARCH("平",B339)),OR(ISNUMBER(SEARCH("上",B339)),ISNUMBER(SEARCH("去",B339)),ISNUMBER(SEARCH("入",B339)))),"Ambiguous",IF(ISNUMBER(SEARCH("平",B339)),"平","仄")))</x:f>
        <x:v>平</x:v>
      </x:c>
      <x:c r="K339" s="6" t="str">
        <x:f>IF(D339="","",IF(AND(ISNUMBER(SEARCH("平",D339)),OR(ISNUMBER(SEARCH("上",D339)),ISNUMBER(SEARCH("去",D339)),ISNUMBER(SEARCH("入",D339)))),"Ambiguous",IF(ISNUMBER(SEARCH("平",D339)),"平","仄")))</x:f>
        <x:v>平</x:v>
      </x:c>
      <x:c r="L339" s="7" t="str"/>
    </x:row>
    <x:row r="340">
      <x:c r="A340" s="5" t="str">
        <x:v>冲</x:v>
      </x:c>
      <x:c r="B340" s="6" t="str">
        <x:v>平</x:v>
      </x:c>
      <x:c r="C340" s="6" t="str">
        <x:f>IF(B340="","Needs decision","Ready")</x:f>
        <x:v>Ready</x:v>
      </x:c>
      <x:c r="D340" s="6" t="str">
        <x:v>平</x:v>
      </x:c>
      <x:c r="E340" s="6" t="str"/>
      <x:c r="F340" s="6" t="str"/>
      <x:c r="G340" s="6" t="str"/>
      <x:c r="H340" s="6" t="str"/>
      <x:c r="I340" s="6" t="str">
        <x:v>Manual user correction/addition</x:v>
      </x:c>
      <x:c r="J340" s="6" t="str">
        <x:f>IF(B340="","",IF(AND(ISNUMBER(SEARCH("平",B340)),OR(ISNUMBER(SEARCH("上",B340)),ISNUMBER(SEARCH("去",B340)),ISNUMBER(SEARCH("入",B340)))),"Ambiguous",IF(ISNUMBER(SEARCH("平",B340)),"平","仄")))</x:f>
        <x:v>平</x:v>
      </x:c>
      <x:c r="K340" s="6" t="str">
        <x:f>IF(D340="","",IF(AND(ISNUMBER(SEARCH("平",D340)),OR(ISNUMBER(SEARCH("上",D340)),ISNUMBER(SEARCH("去",D340)),ISNUMBER(SEARCH("入",D340)))),"Ambiguous",IF(ISNUMBER(SEARCH("平",D340)),"平","仄")))</x:f>
        <x:v>平</x:v>
      </x:c>
      <x:c r="L340" s="7" t="str">
        <x:v>manual user correction</x:v>
      </x:c>
    </x:row>
    <x:row r="341">
      <x:c r="A341" s="5" t="str">
        <x:v>冷</x:v>
      </x:c>
      <x:c r="B341" s="6" t="str"/>
      <x:c r="C341" s="6" t="str">
        <x:f>IF(B341="","Needs decision","Ready")</x:f>
        <x:v>Needs decision</x:v>
      </x:c>
      <x:c r="D341" s="6" t="str">
        <x:v>平/上</x:v>
      </x:c>
      <x:c r="E341" s="6" t="str"/>
      <x:c r="F341" s="6" t="str">
        <x:v>上聲二十三梗</x:v>
      </x:c>
      <x:c r="G341" s="6" t="str">
        <x:v>Pingshui main list, Wikisource-derived DOCX</x:v>
      </x:c>
      <x:c r="H341" s="6" t="str"/>
      <x:c r="I341" s="6" t="str">
        <x:v>Manual user correction/addition; ambiguous 平/上</x:v>
      </x:c>
      <x:c r="J341" s="6" t="str">
        <x:f>IF(B341="","",IF(AND(ISNUMBER(SEARCH("平",B341)),OR(ISNUMBER(SEARCH("上",B341)),ISNUMBER(SEARCH("去",B341)),ISNUMBER(SEARCH("入",B341)))),"Ambiguous",IF(ISNUMBER(SEARCH("平",B341)),"平","仄")))</x:f>
      </x:c>
      <x:c r="K341" s="6" t="str">
        <x:f>IF(D341="","",IF(AND(ISNUMBER(SEARCH("平",D341)),OR(ISNUMBER(SEARCH("上",D341)),ISNUMBER(SEARCH("去",D341)),ISNUMBER(SEARCH("入",D341)))),"Ambiguous",IF(ISNUMBER(SEARCH("平",D341)),"平","仄")))</x:f>
        <x:v>Ambiguous</x:v>
      </x:c>
      <x:c r="L341" s="7" t="str">
        <x:v>manual user correction</x:v>
      </x:c>
    </x:row>
    <x:row r="342">
      <x:c r="A342" s="5" t="str">
        <x:v>冽</x:v>
      </x:c>
      <x:c r="B342" s="6" t="str">
        <x:v>入</x:v>
      </x:c>
      <x:c r="C342" s="6" t="str">
        <x:f>IF(B342="","Needs decision","Ready")</x:f>
        <x:v>Ready</x:v>
      </x:c>
      <x:c r="D342" s="6" t="str">
        <x:v>入</x:v>
      </x:c>
      <x:c r="E342" s="6" t="str">
        <x:v>ljet (D)</x:v>
      </x:c>
      <x:c r="F342" s="6" t="str"/>
      <x:c r="G342" s="6" t="str"/>
      <x:c r="H342" s="6" t="str">
        <x:v>1</x:v>
      </x:c>
      <x:c r="I342" s="6" t="str"/>
      <x:c r="J342" s="6" t="str">
        <x:f>IF(B342="","",IF(AND(ISNUMBER(SEARCH("平",B342)),OR(ISNUMBER(SEARCH("上",B342)),ISNUMBER(SEARCH("去",B342)),ISNUMBER(SEARCH("入",B342)))),"Ambiguous",IF(ISNUMBER(SEARCH("平",B342)),"平","仄")))</x:f>
        <x:v>仄</x:v>
      </x:c>
      <x:c r="K342" s="6" t="str">
        <x:f>IF(D342="","",IF(AND(ISNUMBER(SEARCH("平",D342)),OR(ISNUMBER(SEARCH("上",D342)),ISNUMBER(SEARCH("去",D342)),ISNUMBER(SEARCH("入",D342)))),"Ambiguous",IF(ISNUMBER(SEARCH("平",D342)),"平","仄")))</x:f>
        <x:v>仄</x:v>
      </x:c>
      <x:c r="L342" s="7" t="str"/>
    </x:row>
    <x:row r="343">
      <x:c r="A343" s="5" t="str">
        <x:v>凊</x:v>
      </x:c>
      <x:c r="B343" s="6" t="str">
        <x:v>去</x:v>
      </x:c>
      <x:c r="C343" s="6" t="str">
        <x:f>IF(B343="","Needs decision","Ready")</x:f>
        <x:v>Ready</x:v>
      </x:c>
      <x:c r="D343" s="6" t="str">
        <x:v>去</x:v>
      </x:c>
      <x:c r="E343" s="6" t="str">
        <x:v>tshjengH (C)</x:v>
      </x:c>
      <x:c r="F343" s="6" t="str">
        <x:v>去聲二十四敬</x:v>
      </x:c>
      <x:c r="G343" s="6" t="str">
        <x:v>Pingshui main list, Wikisource-derived DOCX</x:v>
      </x:c>
      <x:c r="H343" s="6" t="str">
        <x:v>1</x:v>
      </x:c>
      <x:c r="I343" s="6" t="str"/>
      <x:c r="J343" s="6" t="str">
        <x:f>IF(B343="","",IF(AND(ISNUMBER(SEARCH("平",B343)),OR(ISNUMBER(SEARCH("上",B343)),ISNUMBER(SEARCH("去",B343)),ISNUMBER(SEARCH("入",B343)))),"Ambiguous",IF(ISNUMBER(SEARCH("平",B343)),"平","仄")))</x:f>
        <x:v>仄</x:v>
      </x:c>
      <x:c r="K343" s="6" t="str">
        <x:f>IF(D343="","",IF(AND(ISNUMBER(SEARCH("平",D343)),OR(ISNUMBER(SEARCH("上",D343)),ISNUMBER(SEARCH("去",D343)),ISNUMBER(SEARCH("入",D343)))),"Ambiguous",IF(ISNUMBER(SEARCH("平",D343)),"平","仄")))</x:f>
        <x:v>仄</x:v>
      </x:c>
      <x:c r="L343" s="7" t="str"/>
    </x:row>
    <x:row r="344">
      <x:c r="A344" s="5" t="str">
        <x:v>凋</x:v>
      </x:c>
      <x:c r="B344" s="6" t="str">
        <x:v>平</x:v>
      </x:c>
      <x:c r="C344" s="6" t="str">
        <x:f>IF(B344="","Needs decision","Ready")</x:f>
        <x:v>Ready</x:v>
      </x:c>
      <x:c r="D344" s="6" t="str">
        <x:v>平</x:v>
      </x:c>
      <x:c r="E344" s="6" t="str">
        <x:v>tew (A)</x:v>
      </x:c>
      <x:c r="F344" s="6" t="str">
        <x:v>下平聲二蕭</x:v>
      </x:c>
      <x:c r="G344" s="6" t="str">
        <x:v>Pingshui main list, Wikisource-derived DOCX</x:v>
      </x:c>
      <x:c r="H344" s="6" t="str">
        <x:v>1</x:v>
      </x:c>
      <x:c r="I344" s="6" t="str"/>
      <x:c r="J344" s="6" t="str">
        <x:f>IF(B344="","",IF(AND(ISNUMBER(SEARCH("平",B344)),OR(ISNUMBER(SEARCH("上",B344)),ISNUMBER(SEARCH("去",B344)),ISNUMBER(SEARCH("入",B344)))),"Ambiguous",IF(ISNUMBER(SEARCH("平",B344)),"平","仄")))</x:f>
        <x:v>平</x:v>
      </x:c>
      <x:c r="K344" s="6" t="str">
        <x:f>IF(D344="","",IF(AND(ISNUMBER(SEARCH("平",D344)),OR(ISNUMBER(SEARCH("上",D344)),ISNUMBER(SEARCH("去",D344)),ISNUMBER(SEARCH("入",D344)))),"Ambiguous",IF(ISNUMBER(SEARCH("平",D344)),"平","仄")))</x:f>
        <x:v>平</x:v>
      </x:c>
      <x:c r="L344" s="7" t="str"/>
    </x:row>
    <x:row r="345">
      <x:c r="A345" s="5" t="str">
        <x:v>凌</x:v>
      </x:c>
      <x:c r="B345" s="6" t="str">
        <x:v>平</x:v>
      </x:c>
      <x:c r="C345" s="6" t="str">
        <x:f>IF(B345="","Needs decision","Ready")</x:f>
        <x:v>Ready</x:v>
      </x:c>
      <x:c r="D345" s="6" t="str">
        <x:v>平</x:v>
      </x:c>
      <x:c r="E345" s="6" t="str">
        <x:v>ling (A)</x:v>
      </x:c>
      <x:c r="F345" s="6" t="str">
        <x:v>下平聲十蒸</x:v>
      </x:c>
      <x:c r="G345" s="6" t="str">
        <x:v>Pingshui main list, Wikisource-derived DOCX</x:v>
      </x:c>
      <x:c r="H345" s="6" t="str">
        <x:v>1</x:v>
      </x:c>
      <x:c r="I345" s="6" t="str"/>
      <x:c r="J345" s="6" t="str">
        <x:f>IF(B345="","",IF(AND(ISNUMBER(SEARCH("平",B345)),OR(ISNUMBER(SEARCH("上",B345)),ISNUMBER(SEARCH("去",B345)),ISNUMBER(SEARCH("入",B345)))),"Ambiguous",IF(ISNUMBER(SEARCH("平",B345)),"平","仄")))</x:f>
        <x:v>平</x:v>
      </x:c>
      <x:c r="K345" s="6" t="str">
        <x:f>IF(D345="","",IF(AND(ISNUMBER(SEARCH("平",D345)),OR(ISNUMBER(SEARCH("上",D345)),ISNUMBER(SEARCH("去",D345)),ISNUMBER(SEARCH("入",D345)))),"Ambiguous",IF(ISNUMBER(SEARCH("平",D345)),"平","仄")))</x:f>
        <x:v>平</x:v>
      </x:c>
      <x:c r="L345" s="7" t="str"/>
    </x:row>
    <x:row r="346">
      <x:c r="A346" s="5" t="str">
        <x:v>凍</x:v>
      </x:c>
      <x:c r="B346" s="6" t="str">
        <x:v>去</x:v>
      </x:c>
      <x:c r="C346" s="6" t="str">
        <x:f>IF(B346="","Needs decision","Ready")</x:f>
        <x:v>Ready</x:v>
      </x:c>
      <x:c r="D346" s="6" t="str">
        <x:v>去</x:v>
      </x:c>
      <x:c r="E346" s="6" t="str">
        <x:v>tuwngH (C)</x:v>
      </x:c>
      <x:c r="F346" s="6" t="str">
        <x:v>去聲一送</x:v>
      </x:c>
      <x:c r="G346" s="6" t="str">
        <x:v>Pingshui main list, Wikisource-derived DOCX</x:v>
      </x:c>
      <x:c r="H346" s="6" t="str">
        <x:v>1</x:v>
      </x:c>
      <x:c r="I346" s="6" t="str"/>
      <x:c r="J346" s="6" t="str">
        <x:f>IF(B346="","",IF(AND(ISNUMBER(SEARCH("平",B346)),OR(ISNUMBER(SEARCH("上",B346)),ISNUMBER(SEARCH("去",B346)),ISNUMBER(SEARCH("入",B346)))),"Ambiguous",IF(ISNUMBER(SEARCH("平",B346)),"平","仄")))</x:f>
        <x:v>仄</x:v>
      </x:c>
      <x:c r="K346" s="6" t="str">
        <x:f>IF(D346="","",IF(AND(ISNUMBER(SEARCH("平",D346)),OR(ISNUMBER(SEARCH("上",D346)),ISNUMBER(SEARCH("去",D346)),ISNUMBER(SEARCH("入",D346)))),"Ambiguous",IF(ISNUMBER(SEARCH("平",D346)),"平","仄")))</x:f>
        <x:v>仄</x:v>
      </x:c>
      <x:c r="L346" s="7" t="str"/>
    </x:row>
    <x:row r="347">
      <x:c r="A347" s="5" t="str">
        <x:v>凔</x:v>
      </x:c>
      <x:c r="B347" s="6" t="str">
        <x:v>平</x:v>
      </x:c>
      <x:c r="C347" s="6" t="str">
        <x:f>IF(B347="","Needs decision","Ready")</x:f>
        <x:v>Ready</x:v>
      </x:c>
      <x:c r="D347" s="6" t="str">
        <x:v>平</x:v>
      </x:c>
      <x:c r="E347" s="6" t="str">
        <x:v>tshang (A)</x:v>
      </x:c>
      <x:c r="F347" s="6" t="str">
        <x:v>下平聲七陽</x:v>
      </x:c>
      <x:c r="G347" s="6" t="str">
        <x:v>Pingshui main list, Wikisource-derived DOCX</x:v>
      </x:c>
      <x:c r="H347" s="6" t="str">
        <x:v>1</x:v>
      </x:c>
      <x:c r="I347" s="6" t="str"/>
      <x:c r="J347" s="6" t="str">
        <x:f>IF(B347="","",IF(AND(ISNUMBER(SEARCH("平",B347)),OR(ISNUMBER(SEARCH("上",B347)),ISNUMBER(SEARCH("去",B347)),ISNUMBER(SEARCH("入",B347)))),"Ambiguous",IF(ISNUMBER(SEARCH("平",B347)),"平","仄")))</x:f>
        <x:v>平</x:v>
      </x:c>
      <x:c r="K347" s="6" t="str">
        <x:f>IF(D347="","",IF(AND(ISNUMBER(SEARCH("平",D347)),OR(ISNUMBER(SEARCH("上",D347)),ISNUMBER(SEARCH("去",D347)),ISNUMBER(SEARCH("入",D347)))),"Ambiguous",IF(ISNUMBER(SEARCH("平",D347)),"平","仄")))</x:f>
        <x:v>平</x:v>
      </x:c>
      <x:c r="L347" s="7" t="str"/>
    </x:row>
    <x:row r="348">
      <x:c r="A348" s="5" t="str">
        <x:v>凜</x:v>
      </x:c>
      <x:c r="B348" s="6" t="str">
        <x:v>上</x:v>
      </x:c>
      <x:c r="C348" s="6" t="str">
        <x:f>IF(B348="","Needs decision","Ready")</x:f>
        <x:v>Ready</x:v>
      </x:c>
      <x:c r="D348" s="6" t="str">
        <x:v>上</x:v>
      </x:c>
      <x:c r="E348" s="6" t="str">
        <x:v>limX (B)</x:v>
      </x:c>
      <x:c r="F348" s="6" t="str">
        <x:v>上聲二十六寢</x:v>
      </x:c>
      <x:c r="G348" s="6" t="str">
        <x:v>Pingshui main list, Wikisource-derived DOCX</x:v>
      </x:c>
      <x:c r="H348" s="6" t="str">
        <x:v>1</x:v>
      </x:c>
      <x:c r="I348" s="6" t="str"/>
      <x:c r="J348" s="6" t="str">
        <x:f>IF(B348="","",IF(AND(ISNUMBER(SEARCH("平",B348)),OR(ISNUMBER(SEARCH("上",B348)),ISNUMBER(SEARCH("去",B348)),ISNUMBER(SEARCH("入",B348)))),"Ambiguous",IF(ISNUMBER(SEARCH("平",B348)),"平","仄")))</x:f>
        <x:v>仄</x:v>
      </x:c>
      <x:c r="K348" s="6" t="str">
        <x:f>IF(D348="","",IF(AND(ISNUMBER(SEARCH("平",D348)),OR(ISNUMBER(SEARCH("上",D348)),ISNUMBER(SEARCH("去",D348)),ISNUMBER(SEARCH("入",D348)))),"Ambiguous",IF(ISNUMBER(SEARCH("平",D348)),"平","仄")))</x:f>
        <x:v>仄</x:v>
      </x:c>
      <x:c r="L348" s="7" t="str"/>
    </x:row>
    <x:row r="349">
      <x:c r="A349" s="5" t="str">
        <x:v>凝</x:v>
      </x:c>
      <x:c r="B349" s="6" t="str">
        <x:v>平</x:v>
      </x:c>
      <x:c r="C349" s="6" t="str">
        <x:f>IF(B349="","Needs decision","Ready")</x:f>
        <x:v>Ready</x:v>
      </x:c>
      <x:c r="D349" s="6" t="str">
        <x:v>平</x:v>
      </x:c>
      <x:c r="E349" s="6" t="str">
        <x:v>nging (A)</x:v>
      </x:c>
      <x:c r="F349" s="6" t="str">
        <x:v>下平聲十蒸; 去聲二十五徑</x:v>
      </x:c>
      <x:c r="G349" s="6" t="str">
        <x:v>Pingshui main list, Wikisource-derived DOCX</x:v>
      </x:c>
      <x:c r="H349" s="6" t="str">
        <x:v>1</x:v>
      </x:c>
      <x:c r="I349" s="6" t="str"/>
      <x:c r="J349" s="6" t="str">
        <x:f>IF(B349="","",IF(AND(ISNUMBER(SEARCH("平",B349)),OR(ISNUMBER(SEARCH("上",B349)),ISNUMBER(SEARCH("去",B349)),ISNUMBER(SEARCH("入",B349)))),"Ambiguous",IF(ISNUMBER(SEARCH("平",B349)),"平","仄")))</x:f>
        <x:v>平</x:v>
      </x:c>
      <x:c r="K349" s="6" t="str">
        <x:f>IF(D349="","",IF(AND(ISNUMBER(SEARCH("平",D349)),OR(ISNUMBER(SEARCH("上",D349)),ISNUMBER(SEARCH("去",D349)),ISNUMBER(SEARCH("入",D349)))),"Ambiguous",IF(ISNUMBER(SEARCH("平",D349)),"平","仄")))</x:f>
        <x:v>平</x:v>
      </x:c>
      <x:c r="L349" s="7" t="str"/>
    </x:row>
    <x:row r="350">
      <x:c r="A350" s="5" t="str">
        <x:v>几</x:v>
      </x:c>
      <x:c r="B350" s="6" t="str">
        <x:v>上</x:v>
      </x:c>
      <x:c r="C350" s="6" t="str">
        <x:f>IF(B350="","Needs decision","Ready")</x:f>
        <x:v>Ready</x:v>
      </x:c>
      <x:c r="D350" s="6" t="str">
        <x:v>上</x:v>
      </x:c>
      <x:c r="E350" s="6" t="str">
        <x:v>kijX (B)</x:v>
      </x:c>
      <x:c r="F350" s="6" t="str"/>
      <x:c r="G350" s="6" t="str"/>
      <x:c r="H350" s="6" t="str">
        <x:v>1</x:v>
      </x:c>
      <x:c r="I350" s="6" t="str"/>
      <x:c r="J350" s="6" t="str">
        <x:f>IF(B350="","",IF(AND(ISNUMBER(SEARCH("平",B350)),OR(ISNUMBER(SEARCH("上",B350)),ISNUMBER(SEARCH("去",B350)),ISNUMBER(SEARCH("入",B350)))),"Ambiguous",IF(ISNUMBER(SEARCH("平",B350)),"平","仄")))</x:f>
        <x:v>仄</x:v>
      </x:c>
      <x:c r="K350" s="6" t="str">
        <x:f>IF(D350="","",IF(AND(ISNUMBER(SEARCH("平",D350)),OR(ISNUMBER(SEARCH("上",D350)),ISNUMBER(SEARCH("去",D350)),ISNUMBER(SEARCH("入",D350)))),"Ambiguous",IF(ISNUMBER(SEARCH("平",D350)),"平","仄")))</x:f>
        <x:v>仄</x:v>
      </x:c>
      <x:c r="L350" s="7" t="str"/>
    </x:row>
    <x:row r="351">
      <x:c r="A351" s="5" t="str">
        <x:v>凡</x:v>
      </x:c>
      <x:c r="B351" s="6" t="str">
        <x:v>平</x:v>
      </x:c>
      <x:c r="C351" s="6" t="str">
        <x:f>IF(B351="","Needs decision","Ready")</x:f>
        <x:v>Ready</x:v>
      </x:c>
      <x:c r="D351" s="6" t="str">
        <x:v>平</x:v>
      </x:c>
      <x:c r="E351" s="6" t="str">
        <x:v>bjom (A)</x:v>
      </x:c>
      <x:c r="F351" s="6" t="str">
        <x:v>下平聲十五咸</x:v>
      </x:c>
      <x:c r="G351" s="6" t="str">
        <x:v>Pingshui main list, Wikisource-derived DOCX</x:v>
      </x:c>
      <x:c r="H351" s="6" t="str">
        <x:v>1</x:v>
      </x:c>
      <x:c r="I351" s="6" t="str"/>
      <x:c r="J351" s="6" t="str">
        <x:f>IF(B351="","",IF(AND(ISNUMBER(SEARCH("平",B351)),OR(ISNUMBER(SEARCH("上",B351)),ISNUMBER(SEARCH("去",B351)),ISNUMBER(SEARCH("入",B351)))),"Ambiguous",IF(ISNUMBER(SEARCH("平",B351)),"平","仄")))</x:f>
        <x:v>平</x:v>
      </x:c>
      <x:c r="K351" s="6" t="str">
        <x:f>IF(D351="","",IF(AND(ISNUMBER(SEARCH("平",D351)),OR(ISNUMBER(SEARCH("上",D351)),ISNUMBER(SEARCH("去",D351)),ISNUMBER(SEARCH("入",D351)))),"Ambiguous",IF(ISNUMBER(SEARCH("平",D351)),"平","仄")))</x:f>
        <x:v>平</x:v>
      </x:c>
      <x:c r="L351" s="7" t="str"/>
    </x:row>
    <x:row r="352">
      <x:c r="A352" s="5" t="str">
        <x:v>凰</x:v>
      </x:c>
      <x:c r="B352" s="6" t="str">
        <x:v>平</x:v>
      </x:c>
      <x:c r="C352" s="6" t="str">
        <x:f>IF(B352="","Needs decision","Ready")</x:f>
        <x:v>Ready</x:v>
      </x:c>
      <x:c r="D352" s="6" t="str">
        <x:v>平</x:v>
      </x:c>
      <x:c r="E352" s="6" t="str">
        <x:v>hwang [ʁwɑŋ] (平)</x:v>
      </x:c>
      <x:c r="F352" s="6" t="str">
        <x:v>下平聲七陽</x:v>
      </x:c>
      <x:c r="G352" s="6" t="str">
        <x:v>Pingshui main list, Wikisource-derived DOCX</x:v>
      </x:c>
      <x:c r="H352" s="6" t="str">
        <x:v>1</x:v>
      </x:c>
      <x:c r="I352" s="6" t="str">
        <x:v>Tang 300 gap; frequency 6; provisional from Xun Gong</x:v>
      </x:c>
      <x:c r="J352" s="6" t="str">
        <x:f>IF(B352="","",IF(AND(ISNUMBER(SEARCH("平",B352)),OR(ISNUMBER(SEARCH("上",B352)),ISNUMBER(SEARCH("去",B352)),ISNUMBER(SEARCH("入",B352)))),"Ambiguous",IF(ISNUMBER(SEARCH("平",B352)),"平","仄")))</x:f>
        <x:v>平</x:v>
      </x:c>
      <x:c r="K352" s="6" t="str">
        <x:f>IF(D352="","",IF(AND(ISNUMBER(SEARCH("平",D352)),OR(ISNUMBER(SEARCH("上",D352)),ISNUMBER(SEARCH("去",D352)),ISNUMBER(SEARCH("入",D352)))),"Ambiguous",IF(ISNUMBER(SEARCH("平",D352)),"平","仄")))</x:f>
        <x:v>平</x:v>
      </x:c>
      <x:c r="L352" s="7" t="str">
        <x:v>Xun Gong, Tang 300 gap fill</x:v>
      </x:c>
    </x:row>
    <x:row r="353">
      <x:c r="A353" s="5" t="str">
        <x:v>凱</x:v>
      </x:c>
      <x:c r="B353" s="6" t="str">
        <x:v>上</x:v>
      </x:c>
      <x:c r="C353" s="6" t="str">
        <x:f>IF(B353="","Needs decision","Ready")</x:f>
        <x:v>Ready</x:v>
      </x:c>
      <x:c r="D353" s="6" t="str">
        <x:v>上</x:v>
      </x:c>
      <x:c r="E353" s="6" t="str">
        <x:v>khojX (B)</x:v>
      </x:c>
      <x:c r="F353" s="6" t="str"/>
      <x:c r="G353" s="6" t="str"/>
      <x:c r="H353" s="6" t="str">
        <x:v>1</x:v>
      </x:c>
      <x:c r="I353" s="6" t="str"/>
      <x:c r="J353" s="6" t="str">
        <x:f>IF(B353="","",IF(AND(ISNUMBER(SEARCH("平",B353)),OR(ISNUMBER(SEARCH("上",B353)),ISNUMBER(SEARCH("去",B353)),ISNUMBER(SEARCH("入",B353)))),"Ambiguous",IF(ISNUMBER(SEARCH("平",B353)),"平","仄")))</x:f>
        <x:v>仄</x:v>
      </x:c>
      <x:c r="K353" s="6" t="str">
        <x:f>IF(D353="","",IF(AND(ISNUMBER(SEARCH("平",D353)),OR(ISNUMBER(SEARCH("上",D353)),ISNUMBER(SEARCH("去",D353)),ISNUMBER(SEARCH("入",D353)))),"Ambiguous",IF(ISNUMBER(SEARCH("平",D353)),"平","仄")))</x:f>
        <x:v>仄</x:v>
      </x:c>
      <x:c r="L353" s="7" t="str"/>
    </x:row>
    <x:row r="354">
      <x:c r="A354" s="5" t="str">
        <x:v>凶</x:v>
      </x:c>
      <x:c r="B354" s="6" t="str">
        <x:v>平</x:v>
      </x:c>
      <x:c r="C354" s="6" t="str">
        <x:f>IF(B354="","Needs decision","Ready")</x:f>
        <x:v>Ready</x:v>
      </x:c>
      <x:c r="D354" s="6" t="str">
        <x:v>平</x:v>
      </x:c>
      <x:c r="E354" s="6" t="str">
        <x:v>xjowng (A)</x:v>
      </x:c>
      <x:c r="F354" s="6" t="str">
        <x:v>上平聲二冬</x:v>
      </x:c>
      <x:c r="G354" s="6" t="str">
        <x:v>Pingshui main list, Wikisource-derived DOCX</x:v>
      </x:c>
      <x:c r="H354" s="6" t="str">
        <x:v>1</x:v>
      </x:c>
      <x:c r="I354" s="6" t="str"/>
      <x:c r="J354" s="6" t="str">
        <x:f>IF(B354="","",IF(AND(ISNUMBER(SEARCH("平",B354)),OR(ISNUMBER(SEARCH("上",B354)),ISNUMBER(SEARCH("去",B354)),ISNUMBER(SEARCH("入",B354)))),"Ambiguous",IF(ISNUMBER(SEARCH("平",B354)),"平","仄")))</x:f>
        <x:v>平</x:v>
      </x:c>
      <x:c r="K354" s="6" t="str">
        <x:f>IF(D354="","",IF(AND(ISNUMBER(SEARCH("平",D354)),OR(ISNUMBER(SEARCH("上",D354)),ISNUMBER(SEARCH("去",D354)),ISNUMBER(SEARCH("入",D354)))),"Ambiguous",IF(ISNUMBER(SEARCH("平",D354)),"平","仄")))</x:f>
        <x:v>平</x:v>
      </x:c>
      <x:c r="L354" s="7" t="str"/>
    </x:row>
    <x:row r="355">
      <x:c r="A355" s="5" t="str">
        <x:v>出</x:v>
      </x:c>
      <x:c r="B355" s="6" t="str">
        <x:v>入</x:v>
      </x:c>
      <x:c r="C355" s="6" t="str">
        <x:f>IF(B355="","Needs decision","Ready")</x:f>
        <x:v>Ready</x:v>
      </x:c>
      <x:c r="D355" s="6" t="str">
        <x:v>去/入</x:v>
      </x:c>
      <x:c r="E355" s="6" t="str">
        <x:v>tsyhwit (D); tsyhwijH (C)</x:v>
      </x:c>
      <x:c r="F355" s="6" t="str">
        <x:v>去聲四寘; 入聲四質</x:v>
      </x:c>
      <x:c r="G355" s="6" t="str">
        <x:v>Pingshui main list, Wikisource-derived DOCX</x:v>
      </x:c>
      <x:c r="H355" s="6" t="str">
        <x:v>2</x:v>
      </x:c>
      <x:c r="I355" s="6" t="str"/>
      <x:c r="J355" s="6" t="str">
        <x:f>IF(B355="","",IF(AND(ISNUMBER(SEARCH("平",B355)),OR(ISNUMBER(SEARCH("上",B355)),ISNUMBER(SEARCH("去",B355)),ISNUMBER(SEARCH("入",B355)))),"Ambiguous",IF(ISNUMBER(SEARCH("平",B355)),"平","仄")))</x:f>
        <x:v>仄</x:v>
      </x:c>
      <x:c r="K355" s="6" t="str">
        <x:f>IF(D355="","",IF(AND(ISNUMBER(SEARCH("平",D355)),OR(ISNUMBER(SEARCH("上",D355)),ISNUMBER(SEARCH("去",D355)),ISNUMBER(SEARCH("入",D355)))),"Ambiguous",IF(ISNUMBER(SEARCH("平",D355)),"平","仄")))</x:f>
        <x:v>仄</x:v>
      </x:c>
      <x:c r="L355" s="7" t="str"/>
    </x:row>
    <x:row r="356">
      <x:c r="A356" s="5" t="str">
        <x:v>函</x:v>
      </x:c>
      <x:c r="B356" s="6" t="str">
        <x:v>平</x:v>
      </x:c>
      <x:c r="C356" s="6" t="str">
        <x:f>IF(B356="","Needs decision","Ready")</x:f>
        <x:v>Ready</x:v>
      </x:c>
      <x:c r="D356" s="6" t="str">
        <x:v>平</x:v>
      </x:c>
      <x:c r="E356" s="6" t="str">
        <x:v>hom (A)</x:v>
      </x:c>
      <x:c r="F356" s="6" t="str">
        <x:v>下平聲十三覃; 下平聲十五咸</x:v>
      </x:c>
      <x:c r="G356" s="6" t="str">
        <x:v>Pingshui main list, Wikisource-derived DOCX</x:v>
      </x:c>
      <x:c r="H356" s="6" t="str">
        <x:v>1</x:v>
      </x:c>
      <x:c r="I356" s="6" t="str"/>
      <x:c r="J356" s="6" t="str">
        <x:f>IF(B356="","",IF(AND(ISNUMBER(SEARCH("平",B356)),OR(ISNUMBER(SEARCH("上",B356)),ISNUMBER(SEARCH("去",B356)),ISNUMBER(SEARCH("入",B356)))),"Ambiguous",IF(ISNUMBER(SEARCH("平",B356)),"平","仄")))</x:f>
        <x:v>平</x:v>
      </x:c>
      <x:c r="K356" s="6" t="str">
        <x:f>IF(D356="","",IF(AND(ISNUMBER(SEARCH("平",D356)),OR(ISNUMBER(SEARCH("上",D356)),ISNUMBER(SEARCH("去",D356)),ISNUMBER(SEARCH("入",D356)))),"Ambiguous",IF(ISNUMBER(SEARCH("平",D356)),"平","仄")))</x:f>
        <x:v>平</x:v>
      </x:c>
      <x:c r="L356" s="7" t="str"/>
    </x:row>
    <x:row r="357">
      <x:c r="A357" s="5" t="str">
        <x:v>刀</x:v>
      </x:c>
      <x:c r="B357" s="6" t="str">
        <x:v>平</x:v>
      </x:c>
      <x:c r="C357" s="6" t="str">
        <x:f>IF(B357="","Needs decision","Ready")</x:f>
        <x:v>Ready</x:v>
      </x:c>
      <x:c r="D357" s="6" t="str">
        <x:v>平</x:v>
      </x:c>
      <x:c r="E357" s="6" t="str">
        <x:v>taw (A)</x:v>
      </x:c>
      <x:c r="F357" s="6" t="str">
        <x:v>下平聲四豪</x:v>
      </x:c>
      <x:c r="G357" s="6" t="str">
        <x:v>Pingshui main list, Wikisource-derived DOCX</x:v>
      </x:c>
      <x:c r="H357" s="6" t="str">
        <x:v>1</x:v>
      </x:c>
      <x:c r="I357" s="6" t="str"/>
      <x:c r="J357" s="6" t="str">
        <x:f>IF(B357="","",IF(AND(ISNUMBER(SEARCH("平",B357)),OR(ISNUMBER(SEARCH("上",B357)),ISNUMBER(SEARCH("去",B357)),ISNUMBER(SEARCH("入",B357)))),"Ambiguous",IF(ISNUMBER(SEARCH("平",B357)),"平","仄")))</x:f>
        <x:v>平</x:v>
      </x:c>
      <x:c r="K357" s="6" t="str">
        <x:f>IF(D357="","",IF(AND(ISNUMBER(SEARCH("平",D357)),OR(ISNUMBER(SEARCH("上",D357)),ISNUMBER(SEARCH("去",D357)),ISNUMBER(SEARCH("入",D357)))),"Ambiguous",IF(ISNUMBER(SEARCH("平",D357)),"平","仄")))</x:f>
        <x:v>平</x:v>
      </x:c>
      <x:c r="L357" s="7" t="str"/>
    </x:row>
    <x:row r="358">
      <x:c r="A358" s="5" t="str">
        <x:v>刁</x:v>
      </x:c>
      <x:c r="B358" s="6" t="str">
        <x:v>平</x:v>
      </x:c>
      <x:c r="C358" s="6" t="str">
        <x:f>IF(B358="","Needs decision","Ready")</x:f>
        <x:v>Ready</x:v>
      </x:c>
      <x:c r="D358" s="6" t="str">
        <x:v>平</x:v>
      </x:c>
      <x:c r="E358" s="6" t="str">
        <x:v>tew [t̙ew] (平)</x:v>
      </x:c>
      <x:c r="F358" s="6" t="str">
        <x:v>下平聲二蕭</x:v>
      </x:c>
      <x:c r="G358" s="6" t="str">
        <x:v>Pingshui main list, Wikisource-derived DOCX</x:v>
      </x:c>
      <x:c r="H358" s="6" t="str">
        <x:v>1</x:v>
      </x:c>
      <x:c r="I358" s="6" t="str">
        <x:v>Tang 300 gap; frequency 2; provisional from Xun Gong</x:v>
      </x:c>
      <x:c r="J358" s="6" t="str">
        <x:f>IF(B358="","",IF(AND(ISNUMBER(SEARCH("平",B358)),OR(ISNUMBER(SEARCH("上",B358)),ISNUMBER(SEARCH("去",B358)),ISNUMBER(SEARCH("入",B358)))),"Ambiguous",IF(ISNUMBER(SEARCH("平",B358)),"平","仄")))</x:f>
        <x:v>平</x:v>
      </x:c>
      <x:c r="K358" s="6" t="str">
        <x:f>IF(D358="","",IF(AND(ISNUMBER(SEARCH("平",D358)),OR(ISNUMBER(SEARCH("上",D358)),ISNUMBER(SEARCH("去",D358)),ISNUMBER(SEARCH("入",D358)))),"Ambiguous",IF(ISNUMBER(SEARCH("平",D358)),"平","仄")))</x:f>
        <x:v>平</x:v>
      </x:c>
      <x:c r="L358" s="7" t="str">
        <x:v>Xun Gong, Tang 300 gap fill</x:v>
      </x:c>
    </x:row>
    <x:row r="359">
      <x:c r="A359" s="5" t="str">
        <x:v>刃</x:v>
      </x:c>
      <x:c r="B359" s="6" t="str">
        <x:v>去</x:v>
      </x:c>
      <x:c r="C359" s="6" t="str">
        <x:f>IF(B359="","Needs decision","Ready")</x:f>
        <x:v>Ready</x:v>
      </x:c>
      <x:c r="D359" s="6" t="str">
        <x:v>去</x:v>
      </x:c>
      <x:c r="E359" s="6" t="str">
        <x:v>nyinH (C)</x:v>
      </x:c>
      <x:c r="F359" s="6" t="str">
        <x:v>去聲十二震</x:v>
      </x:c>
      <x:c r="G359" s="6" t="str">
        <x:v>Pingshui main list, Wikisource-derived DOCX</x:v>
      </x:c>
      <x:c r="H359" s="6" t="str">
        <x:v>1</x:v>
      </x:c>
      <x:c r="I359" s="6" t="str"/>
      <x:c r="J359" s="6" t="str">
        <x:f>IF(B359="","",IF(AND(ISNUMBER(SEARCH("平",B359)),OR(ISNUMBER(SEARCH("上",B359)),ISNUMBER(SEARCH("去",B359)),ISNUMBER(SEARCH("入",B359)))),"Ambiguous",IF(ISNUMBER(SEARCH("平",B359)),"平","仄")))</x:f>
        <x:v>仄</x:v>
      </x:c>
      <x:c r="K359" s="6" t="str">
        <x:f>IF(D359="","",IF(AND(ISNUMBER(SEARCH("平",D359)),OR(ISNUMBER(SEARCH("上",D359)),ISNUMBER(SEARCH("去",D359)),ISNUMBER(SEARCH("入",D359)))),"Ambiguous",IF(ISNUMBER(SEARCH("平",D359)),"平","仄")))</x:f>
        <x:v>仄</x:v>
      </x:c>
      <x:c r="L359" s="7" t="str"/>
    </x:row>
    <x:row r="360">
      <x:c r="A360" s="5" t="str">
        <x:v>分</x:v>
      </x:c>
      <x:c r="B360" s="6" t="str"/>
      <x:c r="C360" s="6" t="str">
        <x:f>IF(B360="","Needs decision","Ready")</x:f>
        <x:v>Needs decision</x:v>
      </x:c>
      <x:c r="D360" s="6" t="str">
        <x:v>平/去</x:v>
      </x:c>
      <x:c r="E360" s="6" t="str">
        <x:v>pjun (A); bjunH (C)</x:v>
      </x:c>
      <x:c r="F360" s="6" t="str">
        <x:v>上平聲十二文; 去聲十三問</x:v>
      </x:c>
      <x:c r="G360" s="6" t="str">
        <x:v>Pingshui main list, Wikisource-derived DOCX</x:v>
      </x:c>
      <x:c r="H360" s="6" t="str">
        <x:v>2</x:v>
      </x:c>
      <x:c r="I360" s="6" t="str"/>
      <x:c r="J360" s="6" t="str">
        <x:f>IF(B360="","",IF(AND(ISNUMBER(SEARCH("平",B360)),OR(ISNUMBER(SEARCH("上",B360)),ISNUMBER(SEARCH("去",B360)),ISNUMBER(SEARCH("入",B360)))),"Ambiguous",IF(ISNUMBER(SEARCH("平",B360)),"平","仄")))</x:f>
      </x:c>
      <x:c r="K360" s="6" t="str">
        <x:f>IF(D360="","",IF(AND(ISNUMBER(SEARCH("平",D360)),OR(ISNUMBER(SEARCH("上",D360)),ISNUMBER(SEARCH("去",D360)),ISNUMBER(SEARCH("入",D360)))),"Ambiguous",IF(ISNUMBER(SEARCH("平",D360)),"平","仄")))</x:f>
        <x:v>Ambiguous</x:v>
      </x:c>
      <x:c r="L360" s="7" t="str"/>
    </x:row>
    <x:row r="361">
      <x:c r="A361" s="5" t="str">
        <x:v>切</x:v>
      </x:c>
      <x:c r="B361" s="6" t="str">
        <x:v>入</x:v>
      </x:c>
      <x:c r="C361" s="6" t="str">
        <x:f>IF(B361="","Needs decision","Ready")</x:f>
        <x:v>Ready</x:v>
      </x:c>
      <x:c r="D361" s="6" t="str">
        <x:v>入</x:v>
      </x:c>
      <x:c r="E361" s="6" t="str">
        <x:v>tshet (D)</x:v>
      </x:c>
      <x:c r="F361" s="6" t="str">
        <x:v>去聲八霽; 入聲九屑</x:v>
      </x:c>
      <x:c r="G361" s="6" t="str">
        <x:v>Pingshui main list, Wikisource-derived DOCX</x:v>
      </x:c>
      <x:c r="H361" s="6" t="str">
        <x:v>1</x:v>
      </x:c>
      <x:c r="I361" s="6" t="str"/>
      <x:c r="J361" s="6" t="str">
        <x:f>IF(B361="","",IF(AND(ISNUMBER(SEARCH("平",B361)),OR(ISNUMBER(SEARCH("上",B361)),ISNUMBER(SEARCH("去",B361)),ISNUMBER(SEARCH("入",B361)))),"Ambiguous",IF(ISNUMBER(SEARCH("平",B361)),"平","仄")))</x:f>
        <x:v>仄</x:v>
      </x:c>
      <x:c r="K361" s="6" t="str">
        <x:f>IF(D361="","",IF(AND(ISNUMBER(SEARCH("平",D361)),OR(ISNUMBER(SEARCH("上",D361)),ISNUMBER(SEARCH("去",D361)),ISNUMBER(SEARCH("入",D361)))),"Ambiguous",IF(ISNUMBER(SEARCH("平",D361)),"平","仄")))</x:f>
        <x:v>仄</x:v>
      </x:c>
      <x:c r="L361" s="7" t="str"/>
    </x:row>
    <x:row r="362">
      <x:c r="A362" s="5" t="str">
        <x:v>刈</x:v>
      </x:c>
      <x:c r="B362" s="6" t="str">
        <x:v>去</x:v>
      </x:c>
      <x:c r="C362" s="6" t="str">
        <x:f>IF(B362="","Needs decision","Ready")</x:f>
        <x:v>Ready</x:v>
      </x:c>
      <x:c r="D362" s="6" t="str">
        <x:v>去</x:v>
      </x:c>
      <x:c r="E362" s="6" t="str">
        <x:v>ngjojH (C)</x:v>
      </x:c>
      <x:c r="F362" s="6" t="str">
        <x:v>去聲十一隊</x:v>
      </x:c>
      <x:c r="G362" s="6" t="str">
        <x:v>Pingshui main list, Wikisource-derived DOCX</x:v>
      </x:c>
      <x:c r="H362" s="6" t="str">
        <x:v>1</x:v>
      </x:c>
      <x:c r="I362" s="6" t="str"/>
      <x:c r="J362" s="6" t="str">
        <x:f>IF(B362="","",IF(AND(ISNUMBER(SEARCH("平",B362)),OR(ISNUMBER(SEARCH("上",B362)),ISNUMBER(SEARCH("去",B362)),ISNUMBER(SEARCH("入",B362)))),"Ambiguous",IF(ISNUMBER(SEARCH("平",B362)),"平","仄")))</x:f>
        <x:v>仄</x:v>
      </x:c>
      <x:c r="K362" s="6" t="str">
        <x:f>IF(D362="","",IF(AND(ISNUMBER(SEARCH("平",D362)),OR(ISNUMBER(SEARCH("上",D362)),ISNUMBER(SEARCH("去",D362)),ISNUMBER(SEARCH("入",D362)))),"Ambiguous",IF(ISNUMBER(SEARCH("平",D362)),"平","仄")))</x:f>
        <x:v>仄</x:v>
      </x:c>
      <x:c r="L362" s="7" t="str"/>
    </x:row>
    <x:row r="363">
      <x:c r="A363" s="5" t="str">
        <x:v>刌</x:v>
      </x:c>
      <x:c r="B363" s="6" t="str">
        <x:v>上</x:v>
      </x:c>
      <x:c r="C363" s="6" t="str">
        <x:f>IF(B363="","Needs decision","Ready")</x:f>
        <x:v>Ready</x:v>
      </x:c>
      <x:c r="D363" s="6" t="str">
        <x:v>上</x:v>
      </x:c>
      <x:c r="E363" s="6" t="str">
        <x:v>tshwonX (B)</x:v>
      </x:c>
      <x:c r="F363" s="6" t="str">
        <x:v>上聲十三阮</x:v>
      </x:c>
      <x:c r="G363" s="6" t="str">
        <x:v>Pingshui main list, Wikisource-derived DOCX</x:v>
      </x:c>
      <x:c r="H363" s="6" t="str">
        <x:v>1</x:v>
      </x:c>
      <x:c r="I363" s="6" t="str"/>
      <x:c r="J363" s="6" t="str">
        <x:f>IF(B363="","",IF(AND(ISNUMBER(SEARCH("平",B363)),OR(ISNUMBER(SEARCH("上",B363)),ISNUMBER(SEARCH("去",B363)),ISNUMBER(SEARCH("入",B363)))),"Ambiguous",IF(ISNUMBER(SEARCH("平",B363)),"平","仄")))</x:f>
        <x:v>仄</x:v>
      </x:c>
      <x:c r="K363" s="6" t="str">
        <x:f>IF(D363="","",IF(AND(ISNUMBER(SEARCH("平",D363)),OR(ISNUMBER(SEARCH("上",D363)),ISNUMBER(SEARCH("去",D363)),ISNUMBER(SEARCH("入",D363)))),"Ambiguous",IF(ISNUMBER(SEARCH("平",D363)),"平","仄")))</x:f>
        <x:v>仄</x:v>
      </x:c>
      <x:c r="L363" s="7" t="str"/>
    </x:row>
    <x:row r="364">
      <x:c r="A364" s="5" t="str">
        <x:v>刑</x:v>
      </x:c>
      <x:c r="B364" s="6" t="str">
        <x:v>平</x:v>
      </x:c>
      <x:c r="C364" s="6" t="str">
        <x:f>IF(B364="","Needs decision","Ready")</x:f>
        <x:v>Ready</x:v>
      </x:c>
      <x:c r="D364" s="6" t="str">
        <x:v>平</x:v>
      </x:c>
      <x:c r="E364" s="6" t="str">
        <x:v>heng (A)</x:v>
      </x:c>
      <x:c r="F364" s="6" t="str">
        <x:v>下平聲九青</x:v>
      </x:c>
      <x:c r="G364" s="6" t="str">
        <x:v>Pingshui main list, Wikisource-derived DOCX</x:v>
      </x:c>
      <x:c r="H364" s="6" t="str">
        <x:v>1</x:v>
      </x:c>
      <x:c r="I364" s="6" t="str"/>
      <x:c r="J364" s="6" t="str">
        <x:f>IF(B364="","",IF(AND(ISNUMBER(SEARCH("平",B364)),OR(ISNUMBER(SEARCH("上",B364)),ISNUMBER(SEARCH("去",B364)),ISNUMBER(SEARCH("入",B364)))),"Ambiguous",IF(ISNUMBER(SEARCH("平",B364)),"平","仄")))</x:f>
        <x:v>平</x:v>
      </x:c>
      <x:c r="K364" s="6" t="str">
        <x:f>IF(D364="","",IF(AND(ISNUMBER(SEARCH("平",D364)),OR(ISNUMBER(SEARCH("上",D364)),ISNUMBER(SEARCH("去",D364)),ISNUMBER(SEARCH("入",D364)))),"Ambiguous",IF(ISNUMBER(SEARCH("平",D364)),"平","仄")))</x:f>
        <x:v>平</x:v>
      </x:c>
      <x:c r="L364" s="7" t="str"/>
    </x:row>
    <x:row r="365">
      <x:c r="A365" s="5" t="str">
        <x:v>划</x:v>
      </x:c>
      <x:c r="B365" s="6" t="str">
        <x:v>平</x:v>
      </x:c>
      <x:c r="C365" s="6" t="str">
        <x:f>IF(B365="","Needs decision","Ready")</x:f>
        <x:v>Ready</x:v>
      </x:c>
      <x:c r="D365" s="6" t="str">
        <x:v>平</x:v>
      </x:c>
      <x:c r="E365" s="6" t="str">
        <x:v>hwae (A)</x:v>
      </x:c>
      <x:c r="F365" s="6" t="str"/>
      <x:c r="G365" s="6" t="str"/>
      <x:c r="H365" s="6" t="str">
        <x:v>1</x:v>
      </x:c>
      <x:c r="I365" s="6" t="str"/>
      <x:c r="J365" s="6" t="str">
        <x:f>IF(B365="","",IF(AND(ISNUMBER(SEARCH("平",B365)),OR(ISNUMBER(SEARCH("上",B365)),ISNUMBER(SEARCH("去",B365)),ISNUMBER(SEARCH("入",B365)))),"Ambiguous",IF(ISNUMBER(SEARCH("平",B365)),"平","仄")))</x:f>
        <x:v>平</x:v>
      </x:c>
      <x:c r="K365" s="6" t="str">
        <x:f>IF(D365="","",IF(AND(ISNUMBER(SEARCH("平",D365)),OR(ISNUMBER(SEARCH("上",D365)),ISNUMBER(SEARCH("去",D365)),ISNUMBER(SEARCH("入",D365)))),"Ambiguous",IF(ISNUMBER(SEARCH("平",D365)),"平","仄")))</x:f>
        <x:v>平</x:v>
      </x:c>
      <x:c r="L365" s="7" t="str"/>
    </x:row>
    <x:row r="366">
      <x:c r="A366" s="5" t="str">
        <x:v>刖</x:v>
      </x:c>
      <x:c r="B366" s="6" t="str">
        <x:v>入</x:v>
      </x:c>
      <x:c r="C366" s="6" t="str">
        <x:f>IF(B366="","Needs decision","Ready")</x:f>
        <x:v>Ready</x:v>
      </x:c>
      <x:c r="D366" s="6" t="str">
        <x:v>入</x:v>
      </x:c>
      <x:c r="E366" s="6" t="str">
        <x:v>ngwaet (D)</x:v>
      </x:c>
      <x:c r="F366" s="6" t="str">
        <x:v>入聲六月; 入聲八黠</x:v>
      </x:c>
      <x:c r="G366" s="6" t="str">
        <x:v>Pingshui main list, Wikisource-derived DOCX</x:v>
      </x:c>
      <x:c r="H366" s="6" t="str">
        <x:v>1</x:v>
      </x:c>
      <x:c r="I366" s="6" t="str"/>
      <x:c r="J366" s="6" t="str">
        <x:f>IF(B366="","",IF(AND(ISNUMBER(SEARCH("平",B366)),OR(ISNUMBER(SEARCH("上",B366)),ISNUMBER(SEARCH("去",B366)),ISNUMBER(SEARCH("入",B366)))),"Ambiguous",IF(ISNUMBER(SEARCH("平",B366)),"平","仄")))</x:f>
        <x:v>仄</x:v>
      </x:c>
      <x:c r="K366" s="6" t="str">
        <x:f>IF(D366="","",IF(AND(ISNUMBER(SEARCH("平",D366)),OR(ISNUMBER(SEARCH("上",D366)),ISNUMBER(SEARCH("去",D366)),ISNUMBER(SEARCH("入",D366)))),"Ambiguous",IF(ISNUMBER(SEARCH("平",D366)),"平","仄")))</x:f>
        <x:v>仄</x:v>
      </x:c>
      <x:c r="L366" s="7" t="str"/>
    </x:row>
    <x:row r="367">
      <x:c r="A367" s="5" t="str">
        <x:v>列</x:v>
      </x:c>
      <x:c r="B367" s="6" t="str">
        <x:v>入</x:v>
      </x:c>
      <x:c r="C367" s="6" t="str">
        <x:f>IF(B367="","Needs decision","Ready")</x:f>
        <x:v>Ready</x:v>
      </x:c>
      <x:c r="D367" s="6" t="str">
        <x:v>入</x:v>
      </x:c>
      <x:c r="E367" s="6" t="str">
        <x:v>ljet (D)</x:v>
      </x:c>
      <x:c r="F367" s="6" t="str">
        <x:v>入聲九屑</x:v>
      </x:c>
      <x:c r="G367" s="6" t="str">
        <x:v>Pingshui main list, Wikisource-derived DOCX</x:v>
      </x:c>
      <x:c r="H367" s="6" t="str">
        <x:v>1</x:v>
      </x:c>
      <x:c r="I367" s="6" t="str"/>
      <x:c r="J367" s="6" t="str">
        <x:f>IF(B367="","",IF(AND(ISNUMBER(SEARCH("平",B367)),OR(ISNUMBER(SEARCH("上",B367)),ISNUMBER(SEARCH("去",B367)),ISNUMBER(SEARCH("入",B367)))),"Ambiguous",IF(ISNUMBER(SEARCH("平",B367)),"平","仄")))</x:f>
        <x:v>仄</x:v>
      </x:c>
      <x:c r="K367" s="6" t="str">
        <x:f>IF(D367="","",IF(AND(ISNUMBER(SEARCH("平",D367)),OR(ISNUMBER(SEARCH("上",D367)),ISNUMBER(SEARCH("去",D367)),ISNUMBER(SEARCH("入",D367)))),"Ambiguous",IF(ISNUMBER(SEARCH("平",D367)),"平","仄")))</x:f>
        <x:v>仄</x:v>
      </x:c>
      <x:c r="L367" s="7" t="str"/>
    </x:row>
    <x:row r="368">
      <x:c r="A368" s="5" t="str">
        <x:v>刜</x:v>
      </x:c>
      <x:c r="B368" s="6" t="str">
        <x:v>入</x:v>
      </x:c>
      <x:c r="C368" s="6" t="str">
        <x:f>IF(B368="","Needs decision","Ready")</x:f>
        <x:v>Ready</x:v>
      </x:c>
      <x:c r="D368" s="6" t="str">
        <x:v>入</x:v>
      </x:c>
      <x:c r="E368" s="6" t="str">
        <x:v>phjut (D)</x:v>
      </x:c>
      <x:c r="F368" s="6" t="str">
        <x:v>入聲五物</x:v>
      </x:c>
      <x:c r="G368" s="6" t="str">
        <x:v>Pingshui main list, Wikisource-derived DOCX</x:v>
      </x:c>
      <x:c r="H368" s="6" t="str">
        <x:v>1</x:v>
      </x:c>
      <x:c r="I368" s="6" t="str"/>
      <x:c r="J368" s="6" t="str">
        <x:f>IF(B368="","",IF(AND(ISNUMBER(SEARCH("平",B368)),OR(ISNUMBER(SEARCH("上",B368)),ISNUMBER(SEARCH("去",B368)),ISNUMBER(SEARCH("入",B368)))),"Ambiguous",IF(ISNUMBER(SEARCH("平",B368)),"平","仄")))</x:f>
        <x:v>仄</x:v>
      </x:c>
      <x:c r="K368" s="6" t="str">
        <x:f>IF(D368="","",IF(AND(ISNUMBER(SEARCH("平",D368)),OR(ISNUMBER(SEARCH("上",D368)),ISNUMBER(SEARCH("去",D368)),ISNUMBER(SEARCH("入",D368)))),"Ambiguous",IF(ISNUMBER(SEARCH("平",D368)),"平","仄")))</x:f>
        <x:v>仄</x:v>
      </x:c>
      <x:c r="L368" s="7" t="str"/>
    </x:row>
    <x:row r="369">
      <x:c r="A369" s="5" t="str">
        <x:v>初</x:v>
      </x:c>
      <x:c r="B369" s="6" t="str">
        <x:v>平</x:v>
      </x:c>
      <x:c r="C369" s="6" t="str">
        <x:f>IF(B369="","Needs decision","Ready")</x:f>
        <x:v>Ready</x:v>
      </x:c>
      <x:c r="D369" s="6" t="str">
        <x:v>平</x:v>
      </x:c>
      <x:c r="E369" s="6" t="str">
        <x:v>tsrhjo (A)</x:v>
      </x:c>
      <x:c r="F369" s="6" t="str">
        <x:v>上平聲六魚</x:v>
      </x:c>
      <x:c r="G369" s="6" t="str">
        <x:v>Pingshui main list, Wikisource-derived DOCX</x:v>
      </x:c>
      <x:c r="H369" s="6" t="str">
        <x:v>1</x:v>
      </x:c>
      <x:c r="I369" s="6" t="str"/>
      <x:c r="J369" s="6" t="str">
        <x:f>IF(B369="","",IF(AND(ISNUMBER(SEARCH("平",B369)),OR(ISNUMBER(SEARCH("上",B369)),ISNUMBER(SEARCH("去",B369)),ISNUMBER(SEARCH("入",B369)))),"Ambiguous",IF(ISNUMBER(SEARCH("平",B369)),"平","仄")))</x:f>
        <x:v>平</x:v>
      </x:c>
      <x:c r="K369" s="6" t="str">
        <x:f>IF(D369="","",IF(AND(ISNUMBER(SEARCH("平",D369)),OR(ISNUMBER(SEARCH("上",D369)),ISNUMBER(SEARCH("去",D369)),ISNUMBER(SEARCH("入",D369)))),"Ambiguous",IF(ISNUMBER(SEARCH("平",D369)),"平","仄")))</x:f>
        <x:v>平</x:v>
      </x:c>
      <x:c r="L369" s="7" t="str"/>
    </x:row>
    <x:row r="370">
      <x:c r="A370" s="5" t="str">
        <x:v>判</x:v>
      </x:c>
      <x:c r="B370" s="6" t="str">
        <x:v>去</x:v>
      </x:c>
      <x:c r="C370" s="6" t="str">
        <x:f>IF(B370="","Needs decision","Ready")</x:f>
        <x:v>Ready</x:v>
      </x:c>
      <x:c r="D370" s="6" t="str">
        <x:v>去</x:v>
      </x:c>
      <x:c r="E370" s="6" t="str">
        <x:v>phanH (C)</x:v>
      </x:c>
      <x:c r="F370" s="6" t="str">
        <x:v>去聲十五翰</x:v>
      </x:c>
      <x:c r="G370" s="6" t="str">
        <x:v>Pingshui main list, Wikisource-derived DOCX</x:v>
      </x:c>
      <x:c r="H370" s="6" t="str">
        <x:v>1</x:v>
      </x:c>
      <x:c r="I370" s="6" t="str"/>
      <x:c r="J370" s="6" t="str">
        <x:f>IF(B370="","",IF(AND(ISNUMBER(SEARCH("平",B370)),OR(ISNUMBER(SEARCH("上",B370)),ISNUMBER(SEARCH("去",B370)),ISNUMBER(SEARCH("入",B370)))),"Ambiguous",IF(ISNUMBER(SEARCH("平",B370)),"平","仄")))</x:f>
        <x:v>仄</x:v>
      </x:c>
      <x:c r="K370" s="6" t="str">
        <x:f>IF(D370="","",IF(AND(ISNUMBER(SEARCH("平",D370)),OR(ISNUMBER(SEARCH("上",D370)),ISNUMBER(SEARCH("去",D370)),ISNUMBER(SEARCH("入",D370)))),"Ambiguous",IF(ISNUMBER(SEARCH("平",D370)),"平","仄")))</x:f>
        <x:v>仄</x:v>
      </x:c>
      <x:c r="L370" s="7" t="str"/>
    </x:row>
    <x:row r="371">
      <x:c r="A371" s="5" t="str">
        <x:v>別</x:v>
      </x:c>
      <x:c r="B371" s="6" t="str">
        <x:v>入</x:v>
      </x:c>
      <x:c r="C371" s="6" t="str">
        <x:f>IF(B371="","Needs decision","Ready")</x:f>
        <x:v>Ready</x:v>
      </x:c>
      <x:c r="D371" s="6" t="str">
        <x:v>入</x:v>
      </x:c>
      <x:c r="E371" s="6" t="str">
        <x:v>bjet (D); pjet (D)</x:v>
      </x:c>
      <x:c r="F371" s="6" t="str">
        <x:v>入聲九屑</x:v>
      </x:c>
      <x:c r="G371" s="6" t="str">
        <x:v>Pingshui main list, Wikisource-derived DOCX</x:v>
      </x:c>
      <x:c r="H371" s="6" t="str">
        <x:v>2</x:v>
      </x:c>
      <x:c r="I371" s="6" t="str"/>
      <x:c r="J371" s="6" t="str">
        <x:f>IF(B371="","",IF(AND(ISNUMBER(SEARCH("平",B371)),OR(ISNUMBER(SEARCH("上",B371)),ISNUMBER(SEARCH("去",B371)),ISNUMBER(SEARCH("入",B371)))),"Ambiguous",IF(ISNUMBER(SEARCH("平",B371)),"平","仄")))</x:f>
        <x:v>仄</x:v>
      </x:c>
      <x:c r="K371" s="6" t="str">
        <x:f>IF(D371="","",IF(AND(ISNUMBER(SEARCH("平",D371)),OR(ISNUMBER(SEARCH("上",D371)),ISNUMBER(SEARCH("去",D371)),ISNUMBER(SEARCH("入",D371)))),"Ambiguous",IF(ISNUMBER(SEARCH("平",D371)),"平","仄")))</x:f>
        <x:v>仄</x:v>
      </x:c>
      <x:c r="L371" s="7" t="str"/>
    </x:row>
    <x:row r="372">
      <x:c r="A372" s="5" t="str">
        <x:v>利</x:v>
      </x:c>
      <x:c r="B372" s="6" t="str">
        <x:v>去</x:v>
      </x:c>
      <x:c r="C372" s="6" t="str">
        <x:f>IF(B372="","Needs decision","Ready")</x:f>
        <x:v>Ready</x:v>
      </x:c>
      <x:c r="D372" s="6" t="str">
        <x:v>去</x:v>
      </x:c>
      <x:c r="E372" s="6" t="str">
        <x:v>lijH (C)</x:v>
      </x:c>
      <x:c r="F372" s="6" t="str">
        <x:v>去聲四寘</x:v>
      </x:c>
      <x:c r="G372" s="6" t="str">
        <x:v>Pingshui main list, Wikisource-derived DOCX</x:v>
      </x:c>
      <x:c r="H372" s="6" t="str">
        <x:v>1</x:v>
      </x:c>
      <x:c r="I372" s="6" t="str"/>
      <x:c r="J372" s="6" t="str">
        <x:f>IF(B372="","",IF(AND(ISNUMBER(SEARCH("平",B372)),OR(ISNUMBER(SEARCH("上",B372)),ISNUMBER(SEARCH("去",B372)),ISNUMBER(SEARCH("入",B372)))),"Ambiguous",IF(ISNUMBER(SEARCH("平",B372)),"平","仄")))</x:f>
        <x:v>仄</x:v>
      </x:c>
      <x:c r="K372" s="6" t="str">
        <x:f>IF(D372="","",IF(AND(ISNUMBER(SEARCH("平",D372)),OR(ISNUMBER(SEARCH("上",D372)),ISNUMBER(SEARCH("去",D372)),ISNUMBER(SEARCH("入",D372)))),"Ambiguous",IF(ISNUMBER(SEARCH("平",D372)),"平","仄")))</x:f>
        <x:v>仄</x:v>
      </x:c>
      <x:c r="L372" s="7" t="str"/>
    </x:row>
    <x:row r="373">
      <x:c r="A373" s="5" t="str">
        <x:v>刪</x:v>
      </x:c>
      <x:c r="B373" s="6" t="str">
        <x:v>平</x:v>
      </x:c>
      <x:c r="C373" s="6" t="str">
        <x:f>IF(B373="","Needs decision","Ready")</x:f>
        <x:v>Ready</x:v>
      </x:c>
      <x:c r="D373" s="6" t="str">
        <x:v>平</x:v>
      </x:c>
      <x:c r="E373" s="6" t="str">
        <x:v>sraen [ʂaˤn] (平)</x:v>
      </x:c>
      <x:c r="F373" s="6" t="str">
        <x:v>上平聲十五刪</x:v>
      </x:c>
      <x:c r="G373" s="6" t="str">
        <x:v>Pingshui main list, Wikisource-derived DOCX</x:v>
      </x:c>
      <x:c r="H373" s="6" t="str">
        <x:v>1</x:v>
      </x:c>
      <x:c r="I373" s="6" t="str">
        <x:v>Tang 300 gap; frequency 5; provisional from Xun Gong</x:v>
      </x:c>
      <x:c r="J373" s="6" t="str">
        <x:f>IF(B373="","",IF(AND(ISNUMBER(SEARCH("平",B373)),OR(ISNUMBER(SEARCH("上",B373)),ISNUMBER(SEARCH("去",B373)),ISNUMBER(SEARCH("入",B373)))),"Ambiguous",IF(ISNUMBER(SEARCH("平",B373)),"平","仄")))</x:f>
        <x:v>平</x:v>
      </x:c>
      <x:c r="K373" s="6" t="str">
        <x:f>IF(D373="","",IF(AND(ISNUMBER(SEARCH("平",D373)),OR(ISNUMBER(SEARCH("上",D373)),ISNUMBER(SEARCH("去",D373)),ISNUMBER(SEARCH("入",D373)))),"Ambiguous",IF(ISNUMBER(SEARCH("平",D373)),"平","仄")))</x:f>
        <x:v>平</x:v>
      </x:c>
      <x:c r="L373" s="7" t="str">
        <x:v>Xun Gong, Tang 300 gap fill</x:v>
      </x:c>
    </x:row>
    <x:row r="374">
      <x:c r="A374" s="5" t="str">
        <x:v>刮</x:v>
      </x:c>
      <x:c r="B374" s="6" t="str">
        <x:v>入</x:v>
      </x:c>
      <x:c r="C374" s="6" t="str">
        <x:f>IF(B374="","Needs decision","Ready")</x:f>
        <x:v>Ready</x:v>
      </x:c>
      <x:c r="D374" s="6" t="str">
        <x:v>入</x:v>
      </x:c>
      <x:c r="E374" s="6" t="str">
        <x:v>kwaet (D)</x:v>
      </x:c>
      <x:c r="F374" s="6" t="str">
        <x:v>入聲八黠</x:v>
      </x:c>
      <x:c r="G374" s="6" t="str">
        <x:v>Pingshui main list, Wikisource-derived DOCX</x:v>
      </x:c>
      <x:c r="H374" s="6" t="str">
        <x:v>1</x:v>
      </x:c>
      <x:c r="I374" s="6" t="str"/>
      <x:c r="J374" s="6" t="str">
        <x:f>IF(B374="","",IF(AND(ISNUMBER(SEARCH("平",B374)),OR(ISNUMBER(SEARCH("上",B374)),ISNUMBER(SEARCH("去",B374)),ISNUMBER(SEARCH("入",B374)))),"Ambiguous",IF(ISNUMBER(SEARCH("平",B374)),"平","仄")))</x:f>
        <x:v>仄</x:v>
      </x:c>
      <x:c r="K374" s="6" t="str">
        <x:f>IF(D374="","",IF(AND(ISNUMBER(SEARCH("平",D374)),OR(ISNUMBER(SEARCH("上",D374)),ISNUMBER(SEARCH("去",D374)),ISNUMBER(SEARCH("入",D374)))),"Ambiguous",IF(ISNUMBER(SEARCH("平",D374)),"平","仄")))</x:f>
        <x:v>仄</x:v>
      </x:c>
      <x:c r="L374" s="7" t="str"/>
    </x:row>
    <x:row r="375">
      <x:c r="A375" s="5" t="str">
        <x:v>到</x:v>
      </x:c>
      <x:c r="B375" s="6" t="str">
        <x:v>去</x:v>
      </x:c>
      <x:c r="C375" s="6" t="str">
        <x:f>IF(B375="","Needs decision","Ready")</x:f>
        <x:v>Ready</x:v>
      </x:c>
      <x:c r="D375" s="6" t="str">
        <x:v>去</x:v>
      </x:c>
      <x:c r="E375" s="6" t="str">
        <x:v>tawH (C)</x:v>
      </x:c>
      <x:c r="F375" s="6" t="str">
        <x:v>去聲二十號</x:v>
      </x:c>
      <x:c r="G375" s="6" t="str">
        <x:v>Pingshui main list, Wikisource-derived DOCX</x:v>
      </x:c>
      <x:c r="H375" s="6" t="str">
        <x:v>1</x:v>
      </x:c>
      <x:c r="I375" s="6" t="str"/>
      <x:c r="J375" s="6" t="str">
        <x:f>IF(B375="","",IF(AND(ISNUMBER(SEARCH("平",B375)),OR(ISNUMBER(SEARCH("上",B375)),ISNUMBER(SEARCH("去",B375)),ISNUMBER(SEARCH("入",B375)))),"Ambiguous",IF(ISNUMBER(SEARCH("平",B375)),"平","仄")))</x:f>
        <x:v>仄</x:v>
      </x:c>
      <x:c r="K375" s="6" t="str">
        <x:f>IF(D375="","",IF(AND(ISNUMBER(SEARCH("平",D375)),OR(ISNUMBER(SEARCH("上",D375)),ISNUMBER(SEARCH("去",D375)),ISNUMBER(SEARCH("入",D375)))),"Ambiguous",IF(ISNUMBER(SEARCH("平",D375)),"平","仄")))</x:f>
        <x:v>仄</x:v>
      </x:c>
      <x:c r="L375" s="7" t="str"/>
    </x:row>
    <x:row r="376">
      <x:c r="A376" s="5" t="str">
        <x:v>制</x:v>
      </x:c>
      <x:c r="B376" s="6" t="str">
        <x:v>去</x:v>
      </x:c>
      <x:c r="C376" s="6" t="str">
        <x:f>IF(B376="","Needs decision","Ready")</x:f>
        <x:v>Ready</x:v>
      </x:c>
      <x:c r="D376" s="6" t="str">
        <x:v>去</x:v>
      </x:c>
      <x:c r="E376" s="6" t="str">
        <x:v>tsyejH (C)</x:v>
      </x:c>
      <x:c r="F376" s="6" t="str">
        <x:v>去聲八霽</x:v>
      </x:c>
      <x:c r="G376" s="6" t="str">
        <x:v>Pingshui main list, Wikisource-derived DOCX</x:v>
      </x:c>
      <x:c r="H376" s="6" t="str">
        <x:v>1</x:v>
      </x:c>
      <x:c r="I376" s="6" t="str"/>
      <x:c r="J376" s="6" t="str">
        <x:f>IF(B376="","",IF(AND(ISNUMBER(SEARCH("平",B376)),OR(ISNUMBER(SEARCH("上",B376)),ISNUMBER(SEARCH("去",B376)),ISNUMBER(SEARCH("入",B376)))),"Ambiguous",IF(ISNUMBER(SEARCH("平",B376)),"平","仄")))</x:f>
        <x:v>仄</x:v>
      </x:c>
      <x:c r="K376" s="6" t="str">
        <x:f>IF(D376="","",IF(AND(ISNUMBER(SEARCH("平",D376)),OR(ISNUMBER(SEARCH("上",D376)),ISNUMBER(SEARCH("去",D376)),ISNUMBER(SEARCH("入",D376)))),"Ambiguous",IF(ISNUMBER(SEARCH("平",D376)),"平","仄")))</x:f>
        <x:v>仄</x:v>
      </x:c>
      <x:c r="L376" s="7" t="str"/>
    </x:row>
    <x:row r="377">
      <x:c r="A377" s="5" t="str">
        <x:v>刷</x:v>
      </x:c>
      <x:c r="B377" s="6" t="str">
        <x:v>入</x:v>
      </x:c>
      <x:c r="C377" s="6" t="str">
        <x:f>IF(B377="","Needs decision","Ready")</x:f>
        <x:v>Ready</x:v>
      </x:c>
      <x:c r="D377" s="6" t="str">
        <x:v>入</x:v>
      </x:c>
      <x:c r="E377" s="6" t="str">
        <x:v>srjwet (D); srwaet (D)</x:v>
      </x:c>
      <x:c r="F377" s="6" t="str">
        <x:v>入聲八黠</x:v>
      </x:c>
      <x:c r="G377" s="6" t="str">
        <x:v>Pingshui main list, Wikisource-derived DOCX</x:v>
      </x:c>
      <x:c r="H377" s="6" t="str">
        <x:v>2</x:v>
      </x:c>
      <x:c r="I377" s="6" t="str"/>
      <x:c r="J377" s="6" t="str">
        <x:f>IF(B377="","",IF(AND(ISNUMBER(SEARCH("平",B377)),OR(ISNUMBER(SEARCH("上",B377)),ISNUMBER(SEARCH("去",B377)),ISNUMBER(SEARCH("入",B377)))),"Ambiguous",IF(ISNUMBER(SEARCH("平",B377)),"平","仄")))</x:f>
        <x:v>仄</x:v>
      </x:c>
      <x:c r="K377" s="6" t="str">
        <x:f>IF(D377="","",IF(AND(ISNUMBER(SEARCH("平",D377)),OR(ISNUMBER(SEARCH("上",D377)),ISNUMBER(SEARCH("去",D377)),ISNUMBER(SEARCH("入",D377)))),"Ambiguous",IF(ISNUMBER(SEARCH("平",D377)),"平","仄")))</x:f>
        <x:v>仄</x:v>
      </x:c>
      <x:c r="L377" s="7" t="str"/>
    </x:row>
    <x:row r="378">
      <x:c r="A378" s="5" t="str">
        <x:v>刺</x:v>
      </x:c>
      <x:c r="B378" s="6" t="str">
        <x:v>入</x:v>
      </x:c>
      <x:c r="C378" s="6" t="str">
        <x:f>IF(B378="","Needs decision","Ready")</x:f>
        <x:v>Ready</x:v>
      </x:c>
      <x:c r="D378" s="6" t="str">
        <x:v>去/入</x:v>
      </x:c>
      <x:c r="E378" s="6" t="str">
        <x:v>tshjeH (C); tshjek (D)</x:v>
      </x:c>
      <x:c r="F378" s="6" t="str">
        <x:v>去聲四寘</x:v>
      </x:c>
      <x:c r="G378" s="6" t="str">
        <x:v>Pingshui main list, Wikisource-derived DOCX</x:v>
      </x:c>
      <x:c r="H378" s="6" t="str">
        <x:v>2</x:v>
      </x:c>
      <x:c r="I378" s="6" t="str"/>
      <x:c r="J378" s="6" t="str">
        <x:f>IF(B378="","",IF(AND(ISNUMBER(SEARCH("平",B378)),OR(ISNUMBER(SEARCH("上",B378)),ISNUMBER(SEARCH("去",B378)),ISNUMBER(SEARCH("入",B378)))),"Ambiguous",IF(ISNUMBER(SEARCH("平",B378)),"平","仄")))</x:f>
        <x:v>仄</x:v>
      </x:c>
      <x:c r="K378" s="6" t="str">
        <x:f>IF(D378="","",IF(AND(ISNUMBER(SEARCH("平",D378)),OR(ISNUMBER(SEARCH("上",D378)),ISNUMBER(SEARCH("去",D378)),ISNUMBER(SEARCH("入",D378)))),"Ambiguous",IF(ISNUMBER(SEARCH("平",D378)),"平","仄")))</x:f>
        <x:v>仄</x:v>
      </x:c>
      <x:c r="L378" s="7" t="str"/>
    </x:row>
    <x:row r="379">
      <x:c r="A379" s="5" t="str">
        <x:v>刻</x:v>
      </x:c>
      <x:c r="B379" s="6" t="str">
        <x:v>入</x:v>
      </x:c>
      <x:c r="C379" s="6" t="str">
        <x:f>IF(B379="","Needs decision","Ready")</x:f>
        <x:v>Ready</x:v>
      </x:c>
      <x:c r="D379" s="6" t="str">
        <x:v>入</x:v>
      </x:c>
      <x:c r="E379" s="6" t="str">
        <x:v>khok (D)</x:v>
      </x:c>
      <x:c r="F379" s="6" t="str">
        <x:v>入聲十三職</x:v>
      </x:c>
      <x:c r="G379" s="6" t="str">
        <x:v>Pingshui main list, Wikisource-derived DOCX</x:v>
      </x:c>
      <x:c r="H379" s="6" t="str">
        <x:v>1</x:v>
      </x:c>
      <x:c r="I379" s="6" t="str"/>
      <x:c r="J379" s="6" t="str">
        <x:f>IF(B379="","",IF(AND(ISNUMBER(SEARCH("平",B379)),OR(ISNUMBER(SEARCH("上",B379)),ISNUMBER(SEARCH("去",B379)),ISNUMBER(SEARCH("入",B379)))),"Ambiguous",IF(ISNUMBER(SEARCH("平",B379)),"平","仄")))</x:f>
        <x:v>仄</x:v>
      </x:c>
      <x:c r="K379" s="6" t="str">
        <x:f>IF(D379="","",IF(AND(ISNUMBER(SEARCH("平",D379)),OR(ISNUMBER(SEARCH("上",D379)),ISNUMBER(SEARCH("去",D379)),ISNUMBER(SEARCH("入",D379)))),"Ambiguous",IF(ISNUMBER(SEARCH("平",D379)),"平","仄")))</x:f>
        <x:v>仄</x:v>
      </x:c>
      <x:c r="L379" s="7" t="str"/>
    </x:row>
    <x:row r="380">
      <x:c r="A380" s="5" t="str">
        <x:v>剄</x:v>
      </x:c>
      <x:c r="B380" s="6" t="str">
        <x:v>上</x:v>
      </x:c>
      <x:c r="C380" s="6" t="str">
        <x:f>IF(B380="","Needs decision","Ready")</x:f>
        <x:v>Ready</x:v>
      </x:c>
      <x:c r="D380" s="6" t="str">
        <x:v>上</x:v>
      </x:c>
      <x:c r="E380" s="6" t="str">
        <x:v>kengX (B)</x:v>
      </x:c>
      <x:c r="F380" s="6" t="str">
        <x:v>上聲二十四迥</x:v>
      </x:c>
      <x:c r="G380" s="6" t="str">
        <x:v>Pingshui main list, Wikisource-derived DOCX</x:v>
      </x:c>
      <x:c r="H380" s="6" t="str">
        <x:v>1</x:v>
      </x:c>
      <x:c r="I380" s="6" t="str"/>
      <x:c r="J380" s="6" t="str">
        <x:f>IF(B380="","",IF(AND(ISNUMBER(SEARCH("平",B380)),OR(ISNUMBER(SEARCH("上",B380)),ISNUMBER(SEARCH("去",B380)),ISNUMBER(SEARCH("入",B380)))),"Ambiguous",IF(ISNUMBER(SEARCH("平",B380)),"平","仄")))</x:f>
        <x:v>仄</x:v>
      </x:c>
      <x:c r="K380" s="6" t="str">
        <x:f>IF(D380="","",IF(AND(ISNUMBER(SEARCH("平",D380)),OR(ISNUMBER(SEARCH("上",D380)),ISNUMBER(SEARCH("去",D380)),ISNUMBER(SEARCH("入",D380)))),"Ambiguous",IF(ISNUMBER(SEARCH("平",D380)),"平","仄")))</x:f>
        <x:v>仄</x:v>
      </x:c>
      <x:c r="L380" s="7" t="str"/>
    </x:row>
    <x:row r="381">
      <x:c r="A381" s="5" t="str">
        <x:v>則</x:v>
      </x:c>
      <x:c r="B381" s="6" t="str">
        <x:v>入</x:v>
      </x:c>
      <x:c r="C381" s="6" t="str">
        <x:f>IF(B381="","Needs decision","Ready")</x:f>
        <x:v>Ready</x:v>
      </x:c>
      <x:c r="D381" s="6" t="str">
        <x:v>入</x:v>
      </x:c>
      <x:c r="E381" s="6" t="str">
        <x:v>tsok (D)</x:v>
      </x:c>
      <x:c r="F381" s="6" t="str">
        <x:v>入聲十三職</x:v>
      </x:c>
      <x:c r="G381" s="6" t="str">
        <x:v>Pingshui main list, Wikisource-derived DOCX</x:v>
      </x:c>
      <x:c r="H381" s="6" t="str">
        <x:v>1</x:v>
      </x:c>
      <x:c r="I381" s="6" t="str"/>
      <x:c r="J381" s="6" t="str">
        <x:f>IF(B381="","",IF(AND(ISNUMBER(SEARCH("平",B381)),OR(ISNUMBER(SEARCH("上",B381)),ISNUMBER(SEARCH("去",B381)),ISNUMBER(SEARCH("入",B381)))),"Ambiguous",IF(ISNUMBER(SEARCH("平",B381)),"平","仄")))</x:f>
        <x:v>仄</x:v>
      </x:c>
      <x:c r="K381" s="6" t="str">
        <x:f>IF(D381="","",IF(AND(ISNUMBER(SEARCH("平",D381)),OR(ISNUMBER(SEARCH("上",D381)),ISNUMBER(SEARCH("去",D381)),ISNUMBER(SEARCH("入",D381)))),"Ambiguous",IF(ISNUMBER(SEARCH("平",D381)),"平","仄")))</x:f>
        <x:v>仄</x:v>
      </x:c>
      <x:c r="L381" s="7" t="str"/>
    </x:row>
    <x:row r="382">
      <x:c r="A382" s="5" t="str">
        <x:v>剉</x:v>
      </x:c>
      <x:c r="B382" s="6" t="str">
        <x:v>去</x:v>
      </x:c>
      <x:c r="C382" s="6" t="str">
        <x:f>IF(B382="","Needs decision","Ready")</x:f>
        <x:v>Ready</x:v>
      </x:c>
      <x:c r="D382" s="6" t="str">
        <x:v>去</x:v>
      </x:c>
      <x:c r="E382" s="6" t="str">
        <x:v>tshwaH (C)</x:v>
      </x:c>
      <x:c r="F382" s="6" t="str">
        <x:v>去聲二十一箇</x:v>
      </x:c>
      <x:c r="G382" s="6" t="str">
        <x:v>Pingshui main list, Wikisource-derived DOCX</x:v>
      </x:c>
      <x:c r="H382" s="6" t="str">
        <x:v>1</x:v>
      </x:c>
      <x:c r="I382" s="6" t="str"/>
      <x:c r="J382" s="6" t="str">
        <x:f>IF(B382="","",IF(AND(ISNUMBER(SEARCH("平",B382)),OR(ISNUMBER(SEARCH("上",B382)),ISNUMBER(SEARCH("去",B382)),ISNUMBER(SEARCH("入",B382)))),"Ambiguous",IF(ISNUMBER(SEARCH("平",B382)),"平","仄")))</x:f>
        <x:v>仄</x:v>
      </x:c>
      <x:c r="K382" s="6" t="str">
        <x:f>IF(D382="","",IF(AND(ISNUMBER(SEARCH("平",D382)),OR(ISNUMBER(SEARCH("上",D382)),ISNUMBER(SEARCH("去",D382)),ISNUMBER(SEARCH("入",D382)))),"Ambiguous",IF(ISNUMBER(SEARCH("平",D382)),"平","仄")))</x:f>
        <x:v>仄</x:v>
      </x:c>
      <x:c r="L382" s="7" t="str"/>
    </x:row>
    <x:row r="383">
      <x:c r="A383" s="5" t="str">
        <x:v>削</x:v>
      </x:c>
      <x:c r="B383" s="6" t="str">
        <x:v>入</x:v>
      </x:c>
      <x:c r="C383" s="6" t="str">
        <x:f>IF(B383="","Needs decision","Ready")</x:f>
        <x:v>Ready</x:v>
      </x:c>
      <x:c r="D383" s="6" t="str">
        <x:v>去/入</x:v>
      </x:c>
      <x:c r="E383" s="6" t="str">
        <x:v>sraewH (C); sjak (D); sjewH (C)</x:v>
      </x:c>
      <x:c r="F383" s="6" t="str">
        <x:v>入聲十藥</x:v>
      </x:c>
      <x:c r="G383" s="6" t="str">
        <x:v>Pingshui main list, Wikisource-derived DOCX</x:v>
      </x:c>
      <x:c r="H383" s="6" t="str">
        <x:v>3</x:v>
      </x:c>
      <x:c r="I383" s="6" t="str"/>
      <x:c r="J383" s="6" t="str">
        <x:f>IF(B383="","",IF(AND(ISNUMBER(SEARCH("平",B383)),OR(ISNUMBER(SEARCH("上",B383)),ISNUMBER(SEARCH("去",B383)),ISNUMBER(SEARCH("入",B383)))),"Ambiguous",IF(ISNUMBER(SEARCH("平",B383)),"平","仄")))</x:f>
        <x:v>仄</x:v>
      </x:c>
      <x:c r="K383" s="6" t="str">
        <x:f>IF(D383="","",IF(AND(ISNUMBER(SEARCH("平",D383)),OR(ISNUMBER(SEARCH("上",D383)),ISNUMBER(SEARCH("去",D383)),ISNUMBER(SEARCH("入",D383)))),"Ambiguous",IF(ISNUMBER(SEARCH("平",D383)),"平","仄")))</x:f>
        <x:v>仄</x:v>
      </x:c>
      <x:c r="L383" s="7" t="str"/>
    </x:row>
    <x:row r="384">
      <x:c r="A384" s="5" t="str">
        <x:v>剌</x:v>
      </x:c>
      <x:c r="B384" s="6" t="str">
        <x:v>入</x:v>
      </x:c>
      <x:c r="C384" s="6" t="str">
        <x:f>IF(B384="","Needs decision","Ready")</x:f>
        <x:v>Ready</x:v>
      </x:c>
      <x:c r="D384" s="6" t="str">
        <x:v>入</x:v>
      </x:c>
      <x:c r="E384" s="6" t="str">
        <x:v>lat (D)</x:v>
      </x:c>
      <x:c r="F384" s="6" t="str">
        <x:v>入聲七曷; 入聲十一陌</x:v>
      </x:c>
      <x:c r="G384" s="6" t="str">
        <x:v>Pingshui main list, Wikisource-derived DOCX</x:v>
      </x:c>
      <x:c r="H384" s="6" t="str">
        <x:v>1</x:v>
      </x:c>
      <x:c r="I384" s="6" t="str"/>
      <x:c r="J384" s="6" t="str">
        <x:f>IF(B384="","",IF(AND(ISNUMBER(SEARCH("平",B384)),OR(ISNUMBER(SEARCH("上",B384)),ISNUMBER(SEARCH("去",B384)),ISNUMBER(SEARCH("入",B384)))),"Ambiguous",IF(ISNUMBER(SEARCH("平",B384)),"平","仄")))</x:f>
        <x:v>仄</x:v>
      </x:c>
      <x:c r="K384" s="6" t="str">
        <x:f>IF(D384="","",IF(AND(ISNUMBER(SEARCH("平",D384)),OR(ISNUMBER(SEARCH("上",D384)),ISNUMBER(SEARCH("去",D384)),ISNUMBER(SEARCH("入",D384)))),"Ambiguous",IF(ISNUMBER(SEARCH("平",D384)),"平","仄")))</x:f>
        <x:v>仄</x:v>
      </x:c>
      <x:c r="L384" s="7" t="str"/>
    </x:row>
    <x:row r="385">
      <x:c r="A385" s="5" t="str">
        <x:v>前</x:v>
      </x:c>
      <x:c r="B385" s="6" t="str">
        <x:v>平</x:v>
      </x:c>
      <x:c r="C385" s="6" t="str">
        <x:f>IF(B385="","Needs decision","Ready")</x:f>
        <x:v>Ready</x:v>
      </x:c>
      <x:c r="D385" s="6" t="str">
        <x:v>平</x:v>
      </x:c>
      <x:c r="E385" s="6" t="str">
        <x:v>dzen (A)</x:v>
      </x:c>
      <x:c r="F385" s="6" t="str">
        <x:v>下平聲一先</x:v>
      </x:c>
      <x:c r="G385" s="6" t="str">
        <x:v>Pingshui main list, Wikisource-derived DOCX</x:v>
      </x:c>
      <x:c r="H385" s="6" t="str">
        <x:v>1</x:v>
      </x:c>
      <x:c r="I385" s="6" t="str"/>
      <x:c r="J385" s="6" t="str">
        <x:f>IF(B385="","",IF(AND(ISNUMBER(SEARCH("平",B385)),OR(ISNUMBER(SEARCH("上",B385)),ISNUMBER(SEARCH("去",B385)),ISNUMBER(SEARCH("入",B385)))),"Ambiguous",IF(ISNUMBER(SEARCH("平",B385)),"平","仄")))</x:f>
        <x:v>平</x:v>
      </x:c>
      <x:c r="K385" s="6" t="str">
        <x:f>IF(D385="","",IF(AND(ISNUMBER(SEARCH("平",D385)),OR(ISNUMBER(SEARCH("上",D385)),ISNUMBER(SEARCH("去",D385)),ISNUMBER(SEARCH("入",D385)))),"Ambiguous",IF(ISNUMBER(SEARCH("平",D385)),"平","仄")))</x:f>
        <x:v>平</x:v>
      </x:c>
      <x:c r="L385" s="7" t="str"/>
    </x:row>
    <x:row r="386">
      <x:c r="A386" s="5" t="str">
        <x:v>剎</x:v>
      </x:c>
      <x:c r="B386" s="6" t="str">
        <x:v>入</x:v>
      </x:c>
      <x:c r="C386" s="6" t="str">
        <x:f>IF(B386="","Needs decision","Ready")</x:f>
        <x:v>Ready</x:v>
      </x:c>
      <x:c r="D386" s="6" t="str">
        <x:v>入</x:v>
      </x:c>
      <x:c r="E386" s="6" t="str"/>
      <x:c r="F386" s="6" t="str">
        <x:v>入聲八黠</x:v>
      </x:c>
      <x:c r="G386" s="6" t="str">
        <x:v>Pingshui main list, Wikisource-derived DOCX</x:v>
      </x:c>
      <x:c r="H386" s="6" t="str"/>
      <x:c r="I386" s="6" t="str">
        <x:v>Manual user correction/addition</x:v>
      </x:c>
      <x:c r="J386" s="6" t="str">
        <x:f>IF(B386="","",IF(AND(ISNUMBER(SEARCH("平",B386)),OR(ISNUMBER(SEARCH("上",B386)),ISNUMBER(SEARCH("去",B386)),ISNUMBER(SEARCH("入",B386)))),"Ambiguous",IF(ISNUMBER(SEARCH("平",B386)),"平","仄")))</x:f>
        <x:v>仄</x:v>
      </x:c>
      <x:c r="K386" s="6" t="str">
        <x:f>IF(D386="","",IF(AND(ISNUMBER(SEARCH("平",D386)),OR(ISNUMBER(SEARCH("上",D386)),ISNUMBER(SEARCH("去",D386)),ISNUMBER(SEARCH("入",D386)))),"Ambiguous",IF(ISNUMBER(SEARCH("平",D386)),"平","仄")))</x:f>
        <x:v>仄</x:v>
      </x:c>
      <x:c r="L386" s="7" t="str">
        <x:v>manual user correction</x:v>
      </x:c>
    </x:row>
    <x:row r="387">
      <x:c r="A387" s="5" t="str">
        <x:v>剔</x:v>
      </x:c>
      <x:c r="B387" s="6" t="str"/>
      <x:c r="C387" s="6" t="str">
        <x:f>IF(B387="","Needs decision","Ready")</x:f>
        <x:v>Needs decision</x:v>
      </x:c>
      <x:c r="D387" s="6" t="str">
        <x:v>去/入</x:v>
      </x:c>
      <x:c r="E387" s="6" t="str">
        <x:v>thek (D); thejH (C)</x:v>
      </x:c>
      <x:c r="F387" s="6" t="str">
        <x:v>入聲十二錫</x:v>
      </x:c>
      <x:c r="G387" s="6" t="str">
        <x:v>Pingshui main list, Wikisource-derived DOCX</x:v>
      </x:c>
      <x:c r="H387" s="6" t="str">
        <x:v>2</x:v>
      </x:c>
      <x:c r="I387" s="6" t="str"/>
      <x:c r="J387" s="6" t="str">
        <x:f>IF(B387="","",IF(AND(ISNUMBER(SEARCH("平",B387)),OR(ISNUMBER(SEARCH("上",B387)),ISNUMBER(SEARCH("去",B387)),ISNUMBER(SEARCH("入",B387)))),"Ambiguous",IF(ISNUMBER(SEARCH("平",B387)),"平","仄")))</x:f>
      </x:c>
      <x:c r="K387" s="6" t="str">
        <x:f>IF(D387="","",IF(AND(ISNUMBER(SEARCH("平",D387)),OR(ISNUMBER(SEARCH("上",D387)),ISNUMBER(SEARCH("去",D387)),ISNUMBER(SEARCH("入",D387)))),"Ambiguous",IF(ISNUMBER(SEARCH("平",D387)),"平","仄")))</x:f>
        <x:v>仄</x:v>
      </x:c>
      <x:c r="L387" s="7" t="str"/>
    </x:row>
    <x:row r="388">
      <x:c r="A388" s="5" t="str">
        <x:v>剖</x:v>
      </x:c>
      <x:c r="B388" s="6" t="str">
        <x:v>上</x:v>
      </x:c>
      <x:c r="C388" s="6" t="str">
        <x:f>IF(B388="","Needs decision","Ready")</x:f>
        <x:v>Ready</x:v>
      </x:c>
      <x:c r="D388" s="6" t="str">
        <x:v>上</x:v>
      </x:c>
      <x:c r="E388" s="6" t="str">
        <x:v>phuwX (B)</x:v>
      </x:c>
      <x:c r="F388" s="6" t="str">
        <x:v>上聲七麌; 上聲二十五有</x:v>
      </x:c>
      <x:c r="G388" s="6" t="str">
        <x:v>Pingshui main list, Wikisource-derived DOCX</x:v>
      </x:c>
      <x:c r="H388" s="6" t="str">
        <x:v>1</x:v>
      </x:c>
      <x:c r="I388" s="6" t="str"/>
      <x:c r="J388" s="6" t="str">
        <x:f>IF(B388="","",IF(AND(ISNUMBER(SEARCH("平",B388)),OR(ISNUMBER(SEARCH("上",B388)),ISNUMBER(SEARCH("去",B388)),ISNUMBER(SEARCH("入",B388)))),"Ambiguous",IF(ISNUMBER(SEARCH("平",B388)),"平","仄")))</x:f>
        <x:v>仄</x:v>
      </x:c>
      <x:c r="K388" s="6" t="str">
        <x:f>IF(D388="","",IF(AND(ISNUMBER(SEARCH("平",D388)),OR(ISNUMBER(SEARCH("上",D388)),ISNUMBER(SEARCH("去",D388)),ISNUMBER(SEARCH("入",D388)))),"Ambiguous",IF(ISNUMBER(SEARCH("平",D388)),"平","仄")))</x:f>
        <x:v>仄</x:v>
      </x:c>
      <x:c r="L388" s="7" t="str"/>
    </x:row>
    <x:row r="389">
      <x:c r="A389" s="5" t="str">
        <x:v>剛</x:v>
      </x:c>
      <x:c r="B389" s="6" t="str">
        <x:v>平</x:v>
      </x:c>
      <x:c r="C389" s="6" t="str">
        <x:f>IF(B389="","Needs decision","Ready")</x:f>
        <x:v>Ready</x:v>
      </x:c>
      <x:c r="D389" s="6" t="str">
        <x:v>平</x:v>
      </x:c>
      <x:c r="E389" s="6" t="str">
        <x:v>kang (A)</x:v>
      </x:c>
      <x:c r="F389" s="6" t="str">
        <x:v>下平聲七陽</x:v>
      </x:c>
      <x:c r="G389" s="6" t="str">
        <x:v>Pingshui main list, Wikisource-derived DOCX</x:v>
      </x:c>
      <x:c r="H389" s="6" t="str">
        <x:v>1</x:v>
      </x:c>
      <x:c r="I389" s="6" t="str"/>
      <x:c r="J389" s="6" t="str">
        <x:f>IF(B389="","",IF(AND(ISNUMBER(SEARCH("平",B389)),OR(ISNUMBER(SEARCH("上",B389)),ISNUMBER(SEARCH("去",B389)),ISNUMBER(SEARCH("入",B389)))),"Ambiguous",IF(ISNUMBER(SEARCH("平",B389)),"平","仄")))</x:f>
        <x:v>平</x:v>
      </x:c>
      <x:c r="K389" s="6" t="str">
        <x:f>IF(D389="","",IF(AND(ISNUMBER(SEARCH("平",D389)),OR(ISNUMBER(SEARCH("上",D389)),ISNUMBER(SEARCH("去",D389)),ISNUMBER(SEARCH("入",D389)))),"Ambiguous",IF(ISNUMBER(SEARCH("平",D389)),"平","仄")))</x:f>
        <x:v>平</x:v>
      </x:c>
      <x:c r="L389" s="7" t="str"/>
    </x:row>
    <x:row r="390">
      <x:c r="A390" s="5" t="str">
        <x:v>剜</x:v>
      </x:c>
      <x:c r="B390" s="6" t="str">
        <x:v>平</x:v>
      </x:c>
      <x:c r="C390" s="6" t="str">
        <x:f>IF(B390="","Needs decision","Ready")</x:f>
        <x:v>Ready</x:v>
      </x:c>
      <x:c r="D390" s="6" t="str">
        <x:v>平</x:v>
      </x:c>
      <x:c r="E390" s="6" t="str">
        <x:v>'wan [ʔ̙wɑn] (平)</x:v>
      </x:c>
      <x:c r="F390" s="6" t="str">
        <x:v>上平聲十四寒</x:v>
      </x:c>
      <x:c r="G390" s="6" t="str">
        <x:v>Pingshui main list, Wikisource-derived DOCX</x:v>
      </x:c>
      <x:c r="H390" s="6" t="str">
        <x:v>1</x:v>
      </x:c>
      <x:c r="I390" s="6" t="str">
        <x:v>Tang 300 gap; frequency 1; provisional from Xun Gong</x:v>
      </x:c>
      <x:c r="J390" s="6" t="str">
        <x:f>IF(B390="","",IF(AND(ISNUMBER(SEARCH("平",B390)),OR(ISNUMBER(SEARCH("上",B390)),ISNUMBER(SEARCH("去",B390)),ISNUMBER(SEARCH("入",B390)))),"Ambiguous",IF(ISNUMBER(SEARCH("平",B390)),"平","仄")))</x:f>
        <x:v>平</x:v>
      </x:c>
      <x:c r="K390" s="6" t="str">
        <x:f>IF(D390="","",IF(AND(ISNUMBER(SEARCH("平",D390)),OR(ISNUMBER(SEARCH("上",D390)),ISNUMBER(SEARCH("去",D390)),ISNUMBER(SEARCH("入",D390)))),"Ambiguous",IF(ISNUMBER(SEARCH("平",D390)),"平","仄")))</x:f>
        <x:v>平</x:v>
      </x:c>
      <x:c r="L390" s="7" t="str">
        <x:v>Xun Gong, Tang 300 gap fill</x:v>
      </x:c>
    </x:row>
    <x:row r="391">
      <x:c r="A391" s="5" t="str">
        <x:v>剝</x:v>
      </x:c>
      <x:c r="B391" s="6" t="str">
        <x:v>入</x:v>
      </x:c>
      <x:c r="C391" s="6" t="str">
        <x:f>IF(B391="","Needs decision","Ready")</x:f>
        <x:v>Ready</x:v>
      </x:c>
      <x:c r="D391" s="6" t="str">
        <x:v>入</x:v>
      </x:c>
      <x:c r="E391" s="6" t="str">
        <x:v>paewk (D)</x:v>
      </x:c>
      <x:c r="F391" s="6" t="str">
        <x:v>入聲三覺</x:v>
      </x:c>
      <x:c r="G391" s="6" t="str">
        <x:v>Pingshui main list, Wikisource-derived DOCX</x:v>
      </x:c>
      <x:c r="H391" s="6" t="str">
        <x:v>1</x:v>
      </x:c>
      <x:c r="I391" s="6" t="str"/>
      <x:c r="J391" s="6" t="str">
        <x:f>IF(B391="","",IF(AND(ISNUMBER(SEARCH("平",B391)),OR(ISNUMBER(SEARCH("上",B391)),ISNUMBER(SEARCH("去",B391)),ISNUMBER(SEARCH("入",B391)))),"Ambiguous",IF(ISNUMBER(SEARCH("平",B391)),"平","仄")))</x:f>
        <x:v>仄</x:v>
      </x:c>
      <x:c r="K391" s="6" t="str">
        <x:f>IF(D391="","",IF(AND(ISNUMBER(SEARCH("平",D391)),OR(ISNUMBER(SEARCH("上",D391)),ISNUMBER(SEARCH("去",D391)),ISNUMBER(SEARCH("入",D391)))),"Ambiguous",IF(ISNUMBER(SEARCH("平",D391)),"平","仄")))</x:f>
        <x:v>仄</x:v>
      </x:c>
      <x:c r="L391" s="7" t="str"/>
    </x:row>
    <x:row r="392">
      <x:c r="A392" s="5" t="str">
        <x:v>剡</x:v>
      </x:c>
      <x:c r="B392" s="6" t="str">
        <x:v>上</x:v>
      </x:c>
      <x:c r="C392" s="6" t="str">
        <x:f>IF(B392="","Needs decision","Ready")</x:f>
        <x:v>Ready</x:v>
      </x:c>
      <x:c r="D392" s="6" t="str">
        <x:v>上</x:v>
      </x:c>
      <x:c r="E392" s="6" t="str">
        <x:v>yemX (B)</x:v>
      </x:c>
      <x:c r="F392" s="6" t="str">
        <x:v>上聲二十八琰</x:v>
      </x:c>
      <x:c r="G392" s="6" t="str">
        <x:v>Pingshui main list, Wikisource-derived DOCX</x:v>
      </x:c>
      <x:c r="H392" s="6" t="str">
        <x:v>1</x:v>
      </x:c>
      <x:c r="I392" s="6" t="str"/>
      <x:c r="J392" s="6" t="str">
        <x:f>IF(B392="","",IF(AND(ISNUMBER(SEARCH("平",B392)),OR(ISNUMBER(SEARCH("上",B392)),ISNUMBER(SEARCH("去",B392)),ISNUMBER(SEARCH("入",B392)))),"Ambiguous",IF(ISNUMBER(SEARCH("平",B392)),"平","仄")))</x:f>
        <x:v>仄</x:v>
      </x:c>
      <x:c r="K392" s="6" t="str">
        <x:f>IF(D392="","",IF(AND(ISNUMBER(SEARCH("平",D392)),OR(ISNUMBER(SEARCH("上",D392)),ISNUMBER(SEARCH("去",D392)),ISNUMBER(SEARCH("入",D392)))),"Ambiguous",IF(ISNUMBER(SEARCH("平",D392)),"平","仄")))</x:f>
        <x:v>仄</x:v>
      </x:c>
      <x:c r="L392" s="7" t="str"/>
    </x:row>
    <x:row r="393">
      <x:c r="A393" s="5" t="str">
        <x:v>剩</x:v>
      </x:c>
      <x:c r="B393" s="6" t="str">
        <x:v>去</x:v>
      </x:c>
      <x:c r="C393" s="6" t="str">
        <x:f>IF(B393="","Needs decision","Ready")</x:f>
        <x:v>Ready</x:v>
      </x:c>
      <x:c r="D393" s="6" t="str">
        <x:v>去</x:v>
      </x:c>
      <x:c r="E393" s="6" t="str">
        <x:v>zyingH (C)</x:v>
      </x:c>
      <x:c r="F393" s="6" t="str">
        <x:v>去聲二十五徑</x:v>
      </x:c>
      <x:c r="G393" s="6" t="str">
        <x:v>Pingshui main list, Wikisource-derived DOCX</x:v>
      </x:c>
      <x:c r="H393" s="6" t="str">
        <x:v>1</x:v>
      </x:c>
      <x:c r="I393" s="6" t="str"/>
      <x:c r="J393" s="6" t="str">
        <x:f>IF(B393="","",IF(AND(ISNUMBER(SEARCH("平",B393)),OR(ISNUMBER(SEARCH("上",B393)),ISNUMBER(SEARCH("去",B393)),ISNUMBER(SEARCH("入",B393)))),"Ambiguous",IF(ISNUMBER(SEARCH("平",B393)),"平","仄")))</x:f>
        <x:v>仄</x:v>
      </x:c>
      <x:c r="K393" s="6" t="str">
        <x:f>IF(D393="","",IF(AND(ISNUMBER(SEARCH("平",D393)),OR(ISNUMBER(SEARCH("上",D393)),ISNUMBER(SEARCH("去",D393)),ISNUMBER(SEARCH("入",D393)))),"Ambiguous",IF(ISNUMBER(SEARCH("平",D393)),"平","仄")))</x:f>
        <x:v>仄</x:v>
      </x:c>
      <x:c r="L393" s="7" t="str"/>
    </x:row>
    <x:row r="394">
      <x:c r="A394" s="5" t="str">
        <x:v>剪</x:v>
      </x:c>
      <x:c r="B394" s="6" t="str">
        <x:v>上</x:v>
      </x:c>
      <x:c r="C394" s="6" t="str">
        <x:f>IF(B394="","Needs decision","Ready")</x:f>
        <x:v>Ready</x:v>
      </x:c>
      <x:c r="D394" s="6" t="str">
        <x:v>上</x:v>
      </x:c>
      <x:c r="E394" s="6" t="str">
        <x:v>tsjenX [tsjenʔ] (上)</x:v>
      </x:c>
      <x:c r="F394" s="6" t="str"/>
      <x:c r="G394" s="6" t="str"/>
      <x:c r="H394" s="6" t="str">
        <x:v>1</x:v>
      </x:c>
      <x:c r="I394" s="6" t="str">
        <x:v>Tang 300 gap; frequency 3; provisional from Xun Gong</x:v>
      </x:c>
      <x:c r="J394" s="6" t="str">
        <x:f>IF(B394="","",IF(AND(ISNUMBER(SEARCH("平",B394)),OR(ISNUMBER(SEARCH("上",B394)),ISNUMBER(SEARCH("去",B394)),ISNUMBER(SEARCH("入",B394)))),"Ambiguous",IF(ISNUMBER(SEARCH("平",B394)),"平","仄")))</x:f>
        <x:v>仄</x:v>
      </x:c>
      <x:c r="K394" s="6" t="str">
        <x:f>IF(D394="","",IF(AND(ISNUMBER(SEARCH("平",D394)),OR(ISNUMBER(SEARCH("上",D394)),ISNUMBER(SEARCH("去",D394)),ISNUMBER(SEARCH("入",D394)))),"Ambiguous",IF(ISNUMBER(SEARCH("平",D394)),"平","仄")))</x:f>
        <x:v>仄</x:v>
      </x:c>
      <x:c r="L394" s="7" t="str">
        <x:v>Xun Gong, Tang 300 gap fill</x:v>
      </x:c>
    </x:row>
    <x:row r="395">
      <x:c r="A395" s="5" t="str">
        <x:v>副</x:v>
      </x:c>
      <x:c r="B395" s="6" t="str"/>
      <x:c r="C395" s="6" t="str">
        <x:f>IF(B395="","Needs decision","Ready")</x:f>
        <x:v>Needs decision</x:v>
      </x:c>
      <x:c r="D395" s="6" t="str">
        <x:v>去/入</x:v>
      </x:c>
      <x:c r="E395" s="6" t="str">
        <x:v>phik (D); phjuwH (C)</x:v>
      </x:c>
      <x:c r="F395" s="6" t="str">
        <x:v>去聲二十六宥; 入聲一屋; 入聲十三職</x:v>
      </x:c>
      <x:c r="G395" s="6" t="str">
        <x:v>Pingshui main list, Wikisource-derived DOCX</x:v>
      </x:c>
      <x:c r="H395" s="6" t="str">
        <x:v>2</x:v>
      </x:c>
      <x:c r="I395" s="6" t="str"/>
      <x:c r="J395" s="6" t="str">
        <x:f>IF(B395="","",IF(AND(ISNUMBER(SEARCH("平",B395)),OR(ISNUMBER(SEARCH("上",B395)),ISNUMBER(SEARCH("去",B395)),ISNUMBER(SEARCH("入",B395)))),"Ambiguous",IF(ISNUMBER(SEARCH("平",B395)),"平","仄")))</x:f>
      </x:c>
      <x:c r="K395" s="6" t="str">
        <x:f>IF(D395="","",IF(AND(ISNUMBER(SEARCH("平",D395)),OR(ISNUMBER(SEARCH("上",D395)),ISNUMBER(SEARCH("去",D395)),ISNUMBER(SEARCH("入",D395)))),"Ambiguous",IF(ISNUMBER(SEARCH("平",D395)),"平","仄")))</x:f>
        <x:v>仄</x:v>
      </x:c>
      <x:c r="L395" s="7" t="str"/>
    </x:row>
    <x:row r="396">
      <x:c r="A396" s="5" t="str">
        <x:v>割</x:v>
      </x:c>
      <x:c r="B396" s="6" t="str">
        <x:v>入</x:v>
      </x:c>
      <x:c r="C396" s="6" t="str">
        <x:f>IF(B396="","Needs decision","Ready")</x:f>
        <x:v>Ready</x:v>
      </x:c>
      <x:c r="D396" s="6" t="str">
        <x:v>入</x:v>
      </x:c>
      <x:c r="E396" s="6" t="str">
        <x:v>kat (D)</x:v>
      </x:c>
      <x:c r="F396" s="6" t="str">
        <x:v>入聲七曷</x:v>
      </x:c>
      <x:c r="G396" s="6" t="str">
        <x:v>Pingshui main list, Wikisource-derived DOCX</x:v>
      </x:c>
      <x:c r="H396" s="6" t="str">
        <x:v>1</x:v>
      </x:c>
      <x:c r="I396" s="6" t="str"/>
      <x:c r="J396" s="6" t="str">
        <x:f>IF(B396="","",IF(AND(ISNUMBER(SEARCH("平",B396)),OR(ISNUMBER(SEARCH("上",B396)),ISNUMBER(SEARCH("去",B396)),ISNUMBER(SEARCH("入",B396)))),"Ambiguous",IF(ISNUMBER(SEARCH("平",B396)),"平","仄")))</x:f>
        <x:v>仄</x:v>
      </x:c>
      <x:c r="K396" s="6" t="str">
        <x:f>IF(D396="","",IF(AND(ISNUMBER(SEARCH("平",D396)),OR(ISNUMBER(SEARCH("上",D396)),ISNUMBER(SEARCH("去",D396)),ISNUMBER(SEARCH("入",D396)))),"Ambiguous",IF(ISNUMBER(SEARCH("平",D396)),"平","仄")))</x:f>
        <x:v>仄</x:v>
      </x:c>
      <x:c r="L396" s="7" t="str"/>
    </x:row>
    <x:row r="397">
      <x:c r="A397" s="5" t="str">
        <x:v>創</x:v>
      </x:c>
      <x:c r="B397" s="6" t="str">
        <x:v>去</x:v>
      </x:c>
      <x:c r="C397" s="6" t="str">
        <x:f>IF(B397="","Needs decision","Ready")</x:f>
        <x:v>Ready</x:v>
      </x:c>
      <x:c r="D397" s="6" t="str">
        <x:v>平/去</x:v>
      </x:c>
      <x:c r="E397" s="6" t="str">
        <x:v>tsrhjang (A); tsrhjangH (C)</x:v>
      </x:c>
      <x:c r="F397" s="6" t="str">
        <x:v>下平聲七陽; 去聲二十三漾</x:v>
      </x:c>
      <x:c r="G397" s="6" t="str">
        <x:v>Pingshui main list, Wikisource-derived DOCX</x:v>
      </x:c>
      <x:c r="H397" s="6" t="str">
        <x:v>2</x:v>
      </x:c>
      <x:c r="I397" s="6" t="str">
        <x:v>User workbook edit 2026-09-03</x:v>
      </x:c>
      <x:c r="J397" s="6" t="str">
        <x:f>IF(B397="","",IF(AND(ISNUMBER(SEARCH("平",B397)),OR(ISNUMBER(SEARCH("上",B397)),ISNUMBER(SEARCH("去",B397)),ISNUMBER(SEARCH("入",B397)))),"Ambiguous",IF(ISNUMBER(SEARCH("平",B397)),"平","仄")))</x:f>
        <x:v>仄</x:v>
      </x:c>
      <x:c r="K397" s="6" t="str">
        <x:f>IF(D397="","",IF(AND(ISNUMBER(SEARCH("平",D397)),OR(ISNUMBER(SEARCH("上",D397)),ISNUMBER(SEARCH("去",D397)),ISNUMBER(SEARCH("入",D397)))),"Ambiguous",IF(ISNUMBER(SEARCH("平",D397)),"平","仄")))</x:f>
        <x:v>Ambiguous</x:v>
      </x:c>
      <x:c r="L397" s="7" t="str">
        <x:v>manual user correction</x:v>
      </x:c>
    </x:row>
    <x:row r="398">
      <x:c r="A398" s="5" t="str">
        <x:v>剺</x:v>
      </x:c>
      <x:c r="B398" s="6" t="str">
        <x:v>平</x:v>
      </x:c>
      <x:c r="C398" s="6" t="str">
        <x:f>IF(B398="","Needs decision","Ready")</x:f>
        <x:v>Ready</x:v>
      </x:c>
      <x:c r="D398" s="6" t="str">
        <x:v>平</x:v>
      </x:c>
      <x:c r="E398" s="6" t="str">
        <x:v>li [ljɨ] (平)</x:v>
      </x:c>
      <x:c r="F398" s="6" t="str"/>
      <x:c r="G398" s="6" t="str"/>
      <x:c r="H398" s="6" t="str">
        <x:v>1</x:v>
      </x:c>
      <x:c r="I398" s="6" t="str">
        <x:v>Tang 300 gap; frequency 1; provisional from Xun Gong</x:v>
      </x:c>
      <x:c r="J398" s="6" t="str">
        <x:f>IF(B398="","",IF(AND(ISNUMBER(SEARCH("平",B398)),OR(ISNUMBER(SEARCH("上",B398)),ISNUMBER(SEARCH("去",B398)),ISNUMBER(SEARCH("入",B398)))),"Ambiguous",IF(ISNUMBER(SEARCH("平",B398)),"平","仄")))</x:f>
        <x:v>平</x:v>
      </x:c>
      <x:c r="K398" s="6" t="str">
        <x:f>IF(D398="","",IF(AND(ISNUMBER(SEARCH("平",D398)),OR(ISNUMBER(SEARCH("上",D398)),ISNUMBER(SEARCH("去",D398)),ISNUMBER(SEARCH("入",D398)))),"Ambiguous",IF(ISNUMBER(SEARCH("平",D398)),"平","仄")))</x:f>
        <x:v>平</x:v>
      </x:c>
      <x:c r="L398" s="7" t="str">
        <x:v>Xun Gong, Tang 300 gap fill</x:v>
      </x:c>
    </x:row>
    <x:row r="399">
      <x:c r="A399" s="5" t="str">
        <x:v>剿</x:v>
      </x:c>
      <x:c r="B399" s="6" t="str">
        <x:v>上</x:v>
      </x:c>
      <x:c r="C399" s="6" t="str">
        <x:f>IF(B399="","Needs decision","Ready")</x:f>
        <x:v>Ready</x:v>
      </x:c>
      <x:c r="D399" s="6" t="str">
        <x:v>上</x:v>
      </x:c>
      <x:c r="E399" s="6" t="str">
        <x:v>tsjewX (B)</x:v>
      </x:c>
      <x:c r="F399" s="6" t="str"/>
      <x:c r="G399" s="6" t="str"/>
      <x:c r="H399" s="6" t="str">
        <x:v>1</x:v>
      </x:c>
      <x:c r="I399" s="6" t="str"/>
      <x:c r="J399" s="6" t="str">
        <x:f>IF(B399="","",IF(AND(ISNUMBER(SEARCH("平",B399)),OR(ISNUMBER(SEARCH("上",B399)),ISNUMBER(SEARCH("去",B399)),ISNUMBER(SEARCH("入",B399)))),"Ambiguous",IF(ISNUMBER(SEARCH("平",B399)),"平","仄")))</x:f>
        <x:v>仄</x:v>
      </x:c>
      <x:c r="K399" s="6" t="str">
        <x:f>IF(D399="","",IF(AND(ISNUMBER(SEARCH("平",D399)),OR(ISNUMBER(SEARCH("上",D399)),ISNUMBER(SEARCH("去",D399)),ISNUMBER(SEARCH("入",D399)))),"Ambiguous",IF(ISNUMBER(SEARCH("平",D399)),"平","仄")))</x:f>
        <x:v>仄</x:v>
      </x:c>
      <x:c r="L399" s="7" t="str"/>
    </x:row>
    <x:row r="400">
      <x:c r="A400" s="5" t="str">
        <x:v>劀</x:v>
      </x:c>
      <x:c r="B400" s="6" t="str">
        <x:v>入</x:v>
      </x:c>
      <x:c r="C400" s="6" t="str">
        <x:f>IF(B400="","Needs decision","Ready")</x:f>
        <x:v>Ready</x:v>
      </x:c>
      <x:c r="D400" s="6" t="str">
        <x:v>入</x:v>
      </x:c>
      <x:c r="E400" s="6" t="str">
        <x:v>kweat (D)</x:v>
      </x:c>
      <x:c r="F400" s="6" t="str"/>
      <x:c r="G400" s="6" t="str"/>
      <x:c r="H400" s="6" t="str">
        <x:v>1</x:v>
      </x:c>
      <x:c r="I400" s="6" t="str"/>
      <x:c r="J400" s="6" t="str">
        <x:f>IF(B400="","",IF(AND(ISNUMBER(SEARCH("平",B400)),OR(ISNUMBER(SEARCH("上",B400)),ISNUMBER(SEARCH("去",B400)),ISNUMBER(SEARCH("入",B400)))),"Ambiguous",IF(ISNUMBER(SEARCH("平",B400)),"平","仄")))</x:f>
        <x:v>仄</x:v>
      </x:c>
      <x:c r="K400" s="6" t="str">
        <x:f>IF(D400="","",IF(AND(ISNUMBER(SEARCH("平",D400)),OR(ISNUMBER(SEARCH("上",D400)),ISNUMBER(SEARCH("去",D400)),ISNUMBER(SEARCH("入",D400)))),"Ambiguous",IF(ISNUMBER(SEARCH("平",D400)),"平","仄")))</x:f>
        <x:v>仄</x:v>
      </x:c>
      <x:c r="L400" s="7" t="str"/>
    </x:row>
    <x:row r="401">
      <x:c r="A401" s="5" t="str">
        <x:v>劃</x:v>
      </x:c>
      <x:c r="B401" s="6" t="str">
        <x:v>入</x:v>
      </x:c>
      <x:c r="C401" s="6" t="str">
        <x:f>IF(B401="","Needs decision","Ready")</x:f>
        <x:v>Ready</x:v>
      </x:c>
      <x:c r="D401" s="6" t="str">
        <x:v>入</x:v>
      </x:c>
      <x:c r="E401" s="6" t="str">
        <x:v>hweak (D)</x:v>
      </x:c>
      <x:c r="F401" s="6" t="str">
        <x:v>下平聲六麻</x:v>
      </x:c>
      <x:c r="G401" s="6" t="str">
        <x:v>Pingshui main list, Wikisource-derived DOCX</x:v>
      </x:c>
      <x:c r="H401" s="6" t="str">
        <x:v>1</x:v>
      </x:c>
      <x:c r="I401" s="6" t="str"/>
      <x:c r="J401" s="6" t="str">
        <x:f>IF(B401="","",IF(AND(ISNUMBER(SEARCH("平",B401)),OR(ISNUMBER(SEARCH("上",B401)),ISNUMBER(SEARCH("去",B401)),ISNUMBER(SEARCH("入",B401)))),"Ambiguous",IF(ISNUMBER(SEARCH("平",B401)),"平","仄")))</x:f>
        <x:v>仄</x:v>
      </x:c>
      <x:c r="K401" s="6" t="str">
        <x:f>IF(D401="","",IF(AND(ISNUMBER(SEARCH("平",D401)),OR(ISNUMBER(SEARCH("上",D401)),ISNUMBER(SEARCH("去",D401)),ISNUMBER(SEARCH("入",D401)))),"Ambiguous",IF(ISNUMBER(SEARCH("平",D401)),"平","仄")))</x:f>
        <x:v>仄</x:v>
      </x:c>
      <x:c r="L401" s="7" t="str"/>
    </x:row>
    <x:row r="402">
      <x:c r="A402" s="5" t="str">
        <x:v>劇</x:v>
      </x:c>
      <x:c r="B402" s="6" t="str">
        <x:v>入</x:v>
      </x:c>
      <x:c r="C402" s="6" t="str">
        <x:f>IF(B402="","Needs decision","Ready")</x:f>
        <x:v>Ready</x:v>
      </x:c>
      <x:c r="D402" s="6" t="str">
        <x:v>入</x:v>
      </x:c>
      <x:c r="E402" s="6" t="str">
        <x:v>gjaek [羣開三B庚入] ɡɨ̯ak</x:v>
      </x:c>
      <x:c r="F402" s="6" t="str"/>
      <x:c r="G402" s="6" t="str"/>
      <x:c r="H402" s="6" t="str">
        <x:v>1</x:v>
      </x:c>
      <x:c r="I402" s="6" t="str">
        <x:v>Targeted preliminary fill from Xun Gong; review if uncertain</x:v>
      </x:c>
      <x:c r="J402" s="6" t="str">
        <x:f>IF(B402="","",IF(AND(ISNUMBER(SEARCH("平",B402)),OR(ISNUMBER(SEARCH("上",B402)),ISNUMBER(SEARCH("去",B402)),ISNUMBER(SEARCH("入",B402)))),"Ambiguous",IF(ISNUMBER(SEARCH("平",B402)),"平","仄")))</x:f>
        <x:v>仄</x:v>
      </x:c>
      <x:c r="K402" s="6" t="str">
        <x:f>IF(D402="","",IF(AND(ISNUMBER(SEARCH("平",D402)),OR(ISNUMBER(SEARCH("上",D402)),ISNUMBER(SEARCH("去",D402)),ISNUMBER(SEARCH("入",D402)))),"Ambiguous",IF(ISNUMBER(SEARCH("平",D402)),"平","仄")))</x:f>
        <x:v>仄</x:v>
      </x:c>
      <x:c r="L402" s="7" t="str">
        <x:v>Xun Gong character-readings.csv</x:v>
      </x:c>
    </x:row>
    <x:row r="403">
      <x:c r="A403" s="5" t="str">
        <x:v>劉</x:v>
      </x:c>
      <x:c r="B403" s="6" t="str">
        <x:v>平</x:v>
      </x:c>
      <x:c r="C403" s="6" t="str">
        <x:f>IF(B403="","Needs decision","Ready")</x:f>
        <x:v>Ready</x:v>
      </x:c>
      <x:c r="D403" s="6" t="str">
        <x:v>平</x:v>
      </x:c>
      <x:c r="E403" s="6" t="str">
        <x:v>ljuw (A)</x:v>
      </x:c>
      <x:c r="F403" s="6" t="str">
        <x:v>下平聲十一尤</x:v>
      </x:c>
      <x:c r="G403" s="6" t="str">
        <x:v>Pingshui main list, Wikisource-derived DOCX</x:v>
      </x:c>
      <x:c r="H403" s="6" t="str">
        <x:v>1</x:v>
      </x:c>
      <x:c r="I403" s="6" t="str"/>
      <x:c r="J403" s="6" t="str">
        <x:f>IF(B403="","",IF(AND(ISNUMBER(SEARCH("平",B403)),OR(ISNUMBER(SEARCH("上",B403)),ISNUMBER(SEARCH("去",B403)),ISNUMBER(SEARCH("入",B403)))),"Ambiguous",IF(ISNUMBER(SEARCH("平",B403)),"平","仄")))</x:f>
        <x:v>平</x:v>
      </x:c>
      <x:c r="K403" s="6" t="str">
        <x:f>IF(D403="","",IF(AND(ISNUMBER(SEARCH("平",D403)),OR(ISNUMBER(SEARCH("上",D403)),ISNUMBER(SEARCH("去",D403)),ISNUMBER(SEARCH("入",D403)))),"Ambiguous",IF(ISNUMBER(SEARCH("平",D403)),"平","仄")))</x:f>
        <x:v>平</x:v>
      </x:c>
      <x:c r="L403" s="7" t="str"/>
    </x:row>
    <x:row r="404">
      <x:c r="A404" s="5" t="str">
        <x:v>劌</x:v>
      </x:c>
      <x:c r="B404" s="6" t="str">
        <x:v>去</x:v>
      </x:c>
      <x:c r="C404" s="6" t="str">
        <x:f>IF(B404="","Needs decision","Ready")</x:f>
        <x:v>Ready</x:v>
      </x:c>
      <x:c r="D404" s="6" t="str">
        <x:v>去</x:v>
      </x:c>
      <x:c r="E404" s="6" t="str">
        <x:v>kjwejH (C)</x:v>
      </x:c>
      <x:c r="F404" s="6" t="str">
        <x:v>去聲八霽</x:v>
      </x:c>
      <x:c r="G404" s="6" t="str">
        <x:v>Pingshui main list, Wikisource-derived DOCX</x:v>
      </x:c>
      <x:c r="H404" s="6" t="str">
        <x:v>1</x:v>
      </x:c>
      <x:c r="I404" s="6" t="str"/>
      <x:c r="J404" s="6" t="str">
        <x:f>IF(B404="","",IF(AND(ISNUMBER(SEARCH("平",B404)),OR(ISNUMBER(SEARCH("上",B404)),ISNUMBER(SEARCH("去",B404)),ISNUMBER(SEARCH("入",B404)))),"Ambiguous",IF(ISNUMBER(SEARCH("平",B404)),"平","仄")))</x:f>
        <x:v>仄</x:v>
      </x:c>
      <x:c r="K404" s="6" t="str">
        <x:f>IF(D404="","",IF(AND(ISNUMBER(SEARCH("平",D404)),OR(ISNUMBER(SEARCH("上",D404)),ISNUMBER(SEARCH("去",D404)),ISNUMBER(SEARCH("入",D404)))),"Ambiguous",IF(ISNUMBER(SEARCH("平",D404)),"平","仄")))</x:f>
        <x:v>仄</x:v>
      </x:c>
      <x:c r="L404" s="7" t="str"/>
    </x:row>
    <x:row r="405">
      <x:c r="A405" s="5" t="str">
        <x:v>劍</x:v>
      </x:c>
      <x:c r="B405" s="6" t="str">
        <x:v>去</x:v>
      </x:c>
      <x:c r="C405" s="6" t="str">
        <x:f>IF(B405="","Needs decision","Ready")</x:f>
        <x:v>Ready</x:v>
      </x:c>
      <x:c r="D405" s="6" t="str">
        <x:v>去</x:v>
      </x:c>
      <x:c r="E405" s="6" t="str">
        <x:v>kjaemH (C)</x:v>
      </x:c>
      <x:c r="F405" s="6" t="str">
        <x:v>去聲二十九豔; 去聲三十陷</x:v>
      </x:c>
      <x:c r="G405" s="6" t="str">
        <x:v>Pingshui main list, Wikisource-derived DOCX</x:v>
      </x:c>
      <x:c r="H405" s="6" t="str">
        <x:v>1</x:v>
      </x:c>
      <x:c r="I405" s="6" t="str"/>
      <x:c r="J405" s="6" t="str">
        <x:f>IF(B405="","",IF(AND(ISNUMBER(SEARCH("平",B405)),OR(ISNUMBER(SEARCH("上",B405)),ISNUMBER(SEARCH("去",B405)),ISNUMBER(SEARCH("入",B405)))),"Ambiguous",IF(ISNUMBER(SEARCH("平",B405)),"平","仄")))</x:f>
        <x:v>仄</x:v>
      </x:c>
      <x:c r="K405" s="6" t="str">
        <x:f>IF(D405="","",IF(AND(ISNUMBER(SEARCH("平",D405)),OR(ISNUMBER(SEARCH("上",D405)),ISNUMBER(SEARCH("去",D405)),ISNUMBER(SEARCH("入",D405)))),"Ambiguous",IF(ISNUMBER(SEARCH("平",D405)),"平","仄")))</x:f>
        <x:v>仄</x:v>
      </x:c>
      <x:c r="L405" s="7" t="str"/>
    </x:row>
    <x:row r="406">
      <x:c r="A406" s="5" t="str">
        <x:v>劑</x:v>
      </x:c>
      <x:c r="B406" s="6" t="str">
        <x:v>去</x:v>
      </x:c>
      <x:c r="C406" s="6" t="str">
        <x:f>IF(B406="","Needs decision","Ready")</x:f>
        <x:v>Ready</x:v>
      </x:c>
      <x:c r="D406" s="6" t="str"/>
      <x:c r="E406" s="6" t="str"/>
      <x:c r="F406" s="6" t="str">
        <x:v>上平聲四支; 去聲八霽</x:v>
      </x:c>
      <x:c r="G406" s="6" t="str">
        <x:v>Pingshui main list, Wikisource-derived DOCX</x:v>
      </x:c>
      <x:c r="H406" s="6" t="str"/>
      <x:c r="I406" s="6" t="str">
        <x:v>Manual addition from user correction</x:v>
      </x:c>
      <x:c r="J406" s="6" t="str">
        <x:f>IF(B406="","",IF(AND(ISNUMBER(SEARCH("平",B406)),OR(ISNUMBER(SEARCH("上",B406)),ISNUMBER(SEARCH("去",B406)),ISNUMBER(SEARCH("入",B406)))),"Ambiguous",IF(ISNUMBER(SEARCH("平",B406)),"平","仄")))</x:f>
        <x:v>仄</x:v>
      </x:c>
      <x:c r="K406" s="6" t="str">
        <x:f>IF(D406="","",IF(AND(ISNUMBER(SEARCH("平",D406)),OR(ISNUMBER(SEARCH("上",D406)),ISNUMBER(SEARCH("去",D406)),ISNUMBER(SEARCH("入",D406)))),"Ambiguous",IF(ISNUMBER(SEARCH("平",D406)),"平","仄")))</x:f>
      </x:c>
      <x:c r="L406" s="7" t="str"/>
    </x:row>
    <x:row r="407">
      <x:c r="A407" s="5" t="str">
        <x:v>劓</x:v>
      </x:c>
      <x:c r="B407" s="6" t="str">
        <x:v>去</x:v>
      </x:c>
      <x:c r="C407" s="6" t="str">
        <x:f>IF(B407="","Needs decision","Ready")</x:f>
        <x:v>Ready</x:v>
      </x:c>
      <x:c r="D407" s="6" t="str">
        <x:v>去</x:v>
      </x:c>
      <x:c r="E407" s="6" t="str">
        <x:v>ngijH (C)</x:v>
      </x:c>
      <x:c r="F407" s="6" t="str">
        <x:v>去聲四寘</x:v>
      </x:c>
      <x:c r="G407" s="6" t="str">
        <x:v>Pingshui main list, Wikisource-derived DOCX</x:v>
      </x:c>
      <x:c r="H407" s="6" t="str">
        <x:v>1</x:v>
      </x:c>
      <x:c r="I407" s="6" t="str"/>
      <x:c r="J407" s="6" t="str">
        <x:f>IF(B407="","",IF(AND(ISNUMBER(SEARCH("平",B407)),OR(ISNUMBER(SEARCH("上",B407)),ISNUMBER(SEARCH("去",B407)),ISNUMBER(SEARCH("入",B407)))),"Ambiguous",IF(ISNUMBER(SEARCH("平",B407)),"平","仄")))</x:f>
        <x:v>仄</x:v>
      </x:c>
      <x:c r="K407" s="6" t="str">
        <x:f>IF(D407="","",IF(AND(ISNUMBER(SEARCH("平",D407)),OR(ISNUMBER(SEARCH("上",D407)),ISNUMBER(SEARCH("去",D407)),ISNUMBER(SEARCH("入",D407)))),"Ambiguous",IF(ISNUMBER(SEARCH("平",D407)),"平","仄")))</x:f>
        <x:v>仄</x:v>
      </x:c>
      <x:c r="L407" s="7" t="str"/>
    </x:row>
    <x:row r="408">
      <x:c r="A408" s="5" t="str">
        <x:v>力</x:v>
      </x:c>
      <x:c r="B408" s="6" t="str">
        <x:v>入</x:v>
      </x:c>
      <x:c r="C408" s="6" t="str">
        <x:f>IF(B408="","Needs decision","Ready")</x:f>
        <x:v>Ready</x:v>
      </x:c>
      <x:c r="D408" s="6" t="str">
        <x:v>入</x:v>
      </x:c>
      <x:c r="E408" s="6" t="str">
        <x:v>lik (D)</x:v>
      </x:c>
      <x:c r="F408" s="6" t="str">
        <x:v>入聲十三職</x:v>
      </x:c>
      <x:c r="G408" s="6" t="str">
        <x:v>Pingshui main list, Wikisource-derived DOCX</x:v>
      </x:c>
      <x:c r="H408" s="6" t="str">
        <x:v>1</x:v>
      </x:c>
      <x:c r="I408" s="6" t="str"/>
      <x:c r="J408" s="6" t="str">
        <x:f>IF(B408="","",IF(AND(ISNUMBER(SEARCH("平",B408)),OR(ISNUMBER(SEARCH("上",B408)),ISNUMBER(SEARCH("去",B408)),ISNUMBER(SEARCH("入",B408)))),"Ambiguous",IF(ISNUMBER(SEARCH("平",B408)),"平","仄")))</x:f>
        <x:v>仄</x:v>
      </x:c>
      <x:c r="K408" s="6" t="str">
        <x:f>IF(D408="","",IF(AND(ISNUMBER(SEARCH("平",D408)),OR(ISNUMBER(SEARCH("上",D408)),ISNUMBER(SEARCH("去",D408)),ISNUMBER(SEARCH("入",D408)))),"Ambiguous",IF(ISNUMBER(SEARCH("平",D408)),"平","仄")))</x:f>
        <x:v>仄</x:v>
      </x:c>
      <x:c r="L408" s="7" t="str"/>
    </x:row>
    <x:row r="409">
      <x:c r="A409" s="5" t="str">
        <x:v>功</x:v>
      </x:c>
      <x:c r="B409" s="6" t="str">
        <x:v>平</x:v>
      </x:c>
      <x:c r="C409" s="6" t="str">
        <x:f>IF(B409="","Needs decision","Ready")</x:f>
        <x:v>Ready</x:v>
      </x:c>
      <x:c r="D409" s="6" t="str">
        <x:v>平</x:v>
      </x:c>
      <x:c r="E409" s="6" t="str">
        <x:v>kuwng (A)</x:v>
      </x:c>
      <x:c r="F409" s="6" t="str">
        <x:v>上平聲一東</x:v>
      </x:c>
      <x:c r="G409" s="6" t="str">
        <x:v>Pingshui main list, Wikisource-derived DOCX</x:v>
      </x:c>
      <x:c r="H409" s="6" t="str">
        <x:v>1</x:v>
      </x:c>
      <x:c r="I409" s="6" t="str"/>
      <x:c r="J409" s="6" t="str">
        <x:f>IF(B409="","",IF(AND(ISNUMBER(SEARCH("平",B409)),OR(ISNUMBER(SEARCH("上",B409)),ISNUMBER(SEARCH("去",B409)),ISNUMBER(SEARCH("入",B409)))),"Ambiguous",IF(ISNUMBER(SEARCH("平",B409)),"平","仄")))</x:f>
        <x:v>平</x:v>
      </x:c>
      <x:c r="K409" s="6" t="str">
        <x:f>IF(D409="","",IF(AND(ISNUMBER(SEARCH("平",D409)),OR(ISNUMBER(SEARCH("上",D409)),ISNUMBER(SEARCH("去",D409)),ISNUMBER(SEARCH("入",D409)))),"Ambiguous",IF(ISNUMBER(SEARCH("平",D409)),"平","仄")))</x:f>
        <x:v>平</x:v>
      </x:c>
      <x:c r="L409" s="7" t="str"/>
    </x:row>
    <x:row r="410">
      <x:c r="A410" s="5" t="str">
        <x:v>加</x:v>
      </x:c>
      <x:c r="B410" s="6" t="str">
        <x:v>平</x:v>
      </x:c>
      <x:c r="C410" s="6" t="str">
        <x:f>IF(B410="","Needs decision","Ready")</x:f>
        <x:v>Ready</x:v>
      </x:c>
      <x:c r="D410" s="6" t="str">
        <x:v>平</x:v>
      </x:c>
      <x:c r="E410" s="6" t="str">
        <x:v>kae (A)</x:v>
      </x:c>
      <x:c r="F410" s="6" t="str">
        <x:v>下平聲六麻</x:v>
      </x:c>
      <x:c r="G410" s="6" t="str">
        <x:v>Pingshui main list, Wikisource-derived DOCX</x:v>
      </x:c>
      <x:c r="H410" s="6" t="str">
        <x:v>1</x:v>
      </x:c>
      <x:c r="I410" s="6" t="str"/>
      <x:c r="J410" s="6" t="str">
        <x:f>IF(B410="","",IF(AND(ISNUMBER(SEARCH("平",B410)),OR(ISNUMBER(SEARCH("上",B410)),ISNUMBER(SEARCH("去",B410)),ISNUMBER(SEARCH("入",B410)))),"Ambiguous",IF(ISNUMBER(SEARCH("平",B410)),"平","仄")))</x:f>
        <x:v>平</x:v>
      </x:c>
      <x:c r="K410" s="6" t="str">
        <x:f>IF(D410="","",IF(AND(ISNUMBER(SEARCH("平",D410)),OR(ISNUMBER(SEARCH("上",D410)),ISNUMBER(SEARCH("去",D410)),ISNUMBER(SEARCH("入",D410)))),"Ambiguous",IF(ISNUMBER(SEARCH("平",D410)),"平","仄")))</x:f>
        <x:v>平</x:v>
      </x:c>
      <x:c r="L410" s="7" t="str"/>
    </x:row>
    <x:row r="411">
      <x:c r="A411" s="5" t="str">
        <x:v>劦</x:v>
      </x:c>
      <x:c r="B411" s="6" t="str">
        <x:v>入</x:v>
      </x:c>
      <x:c r="C411" s="6" t="str">
        <x:f>IF(B411="","Needs decision","Ready")</x:f>
        <x:v>Ready</x:v>
      </x:c>
      <x:c r="D411" s="6" t="str">
        <x:v>入</x:v>
      </x:c>
      <x:c r="E411" s="6" t="str">
        <x:v>hep (D)</x:v>
      </x:c>
      <x:c r="F411" s="6" t="str"/>
      <x:c r="G411" s="6" t="str"/>
      <x:c r="H411" s="6" t="str">
        <x:v>1</x:v>
      </x:c>
      <x:c r="I411" s="6" t="str"/>
      <x:c r="J411" s="6" t="str">
        <x:f>IF(B411="","",IF(AND(ISNUMBER(SEARCH("平",B411)),OR(ISNUMBER(SEARCH("上",B411)),ISNUMBER(SEARCH("去",B411)),ISNUMBER(SEARCH("入",B411)))),"Ambiguous",IF(ISNUMBER(SEARCH("平",B411)),"平","仄")))</x:f>
        <x:v>仄</x:v>
      </x:c>
      <x:c r="K411" s="6" t="str">
        <x:f>IF(D411="","",IF(AND(ISNUMBER(SEARCH("平",D411)),OR(ISNUMBER(SEARCH("上",D411)),ISNUMBER(SEARCH("去",D411)),ISNUMBER(SEARCH("入",D411)))),"Ambiguous",IF(ISNUMBER(SEARCH("平",D411)),"平","仄")))</x:f>
        <x:v>仄</x:v>
      </x:c>
      <x:c r="L411" s="7" t="str"/>
    </x:row>
    <x:row r="412">
      <x:c r="A412" s="5" t="str">
        <x:v>助</x:v>
      </x:c>
      <x:c r="B412" s="6" t="str">
        <x:v>去</x:v>
      </x:c>
      <x:c r="C412" s="6" t="str">
        <x:f>IF(B412="","Needs decision","Ready")</x:f>
        <x:v>Ready</x:v>
      </x:c>
      <x:c r="D412" s="6" t="str">
        <x:v>去</x:v>
      </x:c>
      <x:c r="E412" s="6" t="str">
        <x:v>dzrjoH (C)</x:v>
      </x:c>
      <x:c r="F412" s="6" t="str">
        <x:v>去聲六御</x:v>
      </x:c>
      <x:c r="G412" s="6" t="str">
        <x:v>Pingshui main list, Wikisource-derived DOCX</x:v>
      </x:c>
      <x:c r="H412" s="6" t="str">
        <x:v>1</x:v>
      </x:c>
      <x:c r="I412" s="6" t="str"/>
      <x:c r="J412" s="6" t="str">
        <x:f>IF(B412="","",IF(AND(ISNUMBER(SEARCH("平",B412)),OR(ISNUMBER(SEARCH("上",B412)),ISNUMBER(SEARCH("去",B412)),ISNUMBER(SEARCH("入",B412)))),"Ambiguous",IF(ISNUMBER(SEARCH("平",B412)),"平","仄")))</x:f>
        <x:v>仄</x:v>
      </x:c>
      <x:c r="K412" s="6" t="str">
        <x:f>IF(D412="","",IF(AND(ISNUMBER(SEARCH("平",D412)),OR(ISNUMBER(SEARCH("上",D412)),ISNUMBER(SEARCH("去",D412)),ISNUMBER(SEARCH("入",D412)))),"Ambiguous",IF(ISNUMBER(SEARCH("平",D412)),"平","仄")))</x:f>
        <x:v>仄</x:v>
      </x:c>
      <x:c r="L412" s="7" t="str"/>
    </x:row>
    <x:row r="413">
      <x:c r="A413" s="5" t="str">
        <x:v>劫</x:v>
      </x:c>
      <x:c r="B413" s="6" t="str">
        <x:v>入</x:v>
      </x:c>
      <x:c r="C413" s="6" t="str">
        <x:f>IF(B413="","Needs decision","Ready")</x:f>
        <x:v>Ready</x:v>
      </x:c>
      <x:c r="D413" s="6" t="str">
        <x:v>入</x:v>
      </x:c>
      <x:c r="E413" s="6" t="str">
        <x:v>kjaep (D)</x:v>
      </x:c>
      <x:c r="F413" s="6" t="str">
        <x:v>入聲十七洽</x:v>
      </x:c>
      <x:c r="G413" s="6" t="str">
        <x:v>Pingshui main list, Wikisource-derived DOCX</x:v>
      </x:c>
      <x:c r="H413" s="6" t="str">
        <x:v>1</x:v>
      </x:c>
      <x:c r="I413" s="6" t="str"/>
      <x:c r="J413" s="6" t="str">
        <x:f>IF(B413="","",IF(AND(ISNUMBER(SEARCH("平",B413)),OR(ISNUMBER(SEARCH("上",B413)),ISNUMBER(SEARCH("去",B413)),ISNUMBER(SEARCH("入",B413)))),"Ambiguous",IF(ISNUMBER(SEARCH("平",B413)),"平","仄")))</x:f>
        <x:v>仄</x:v>
      </x:c>
      <x:c r="K413" s="6" t="str">
        <x:f>IF(D413="","",IF(AND(ISNUMBER(SEARCH("平",D413)),OR(ISNUMBER(SEARCH("上",D413)),ISNUMBER(SEARCH("去",D413)),ISNUMBER(SEARCH("入",D413)))),"Ambiguous",IF(ISNUMBER(SEARCH("平",D413)),"平","仄")))</x:f>
        <x:v>仄</x:v>
      </x:c>
      <x:c r="L413" s="7" t="str"/>
    </x:row>
    <x:row r="414">
      <x:c r="A414" s="5" t="str">
        <x:v>劬</x:v>
      </x:c>
      <x:c r="B414" s="6" t="str">
        <x:v>平</x:v>
      </x:c>
      <x:c r="C414" s="6" t="str">
        <x:f>IF(B414="","Needs decision","Ready")</x:f>
        <x:v>Ready</x:v>
      </x:c>
      <x:c r="D414" s="6" t="str">
        <x:v>平</x:v>
      </x:c>
      <x:c r="E414" s="6" t="str">
        <x:v>gju (A)</x:v>
      </x:c>
      <x:c r="F414" s="6" t="str">
        <x:v>上平聲七虞</x:v>
      </x:c>
      <x:c r="G414" s="6" t="str">
        <x:v>Pingshui main list, Wikisource-derived DOCX</x:v>
      </x:c>
      <x:c r="H414" s="6" t="str">
        <x:v>1</x:v>
      </x:c>
      <x:c r="I414" s="6" t="str"/>
      <x:c r="J414" s="6" t="str">
        <x:f>IF(B414="","",IF(AND(ISNUMBER(SEARCH("平",B414)),OR(ISNUMBER(SEARCH("上",B414)),ISNUMBER(SEARCH("去",B414)),ISNUMBER(SEARCH("入",B414)))),"Ambiguous",IF(ISNUMBER(SEARCH("平",B414)),"平","仄")))</x:f>
        <x:v>平</x:v>
      </x:c>
      <x:c r="K414" s="6" t="str">
        <x:f>IF(D414="","",IF(AND(ISNUMBER(SEARCH("平",D414)),OR(ISNUMBER(SEARCH("上",D414)),ISNUMBER(SEARCH("去",D414)),ISNUMBER(SEARCH("入",D414)))),"Ambiguous",IF(ISNUMBER(SEARCH("平",D414)),"平","仄")))</x:f>
        <x:v>平</x:v>
      </x:c>
      <x:c r="L414" s="7" t="str"/>
    </x:row>
    <x:row r="415">
      <x:c r="A415" s="5" t="str">
        <x:v>効</x:v>
      </x:c>
      <x:c r="B415" s="6" t="str">
        <x:v>去</x:v>
      </x:c>
      <x:c r="C415" s="6" t="str">
        <x:f>IF(B415="","Needs decision","Ready")</x:f>
        <x:v>Ready</x:v>
      </x:c>
      <x:c r="D415" s="6" t="str">
        <x:v>去</x:v>
      </x:c>
      <x:c r="E415" s="6" t="str"/>
      <x:c r="F415" s="6" t="str"/>
      <x:c r="G415" s="6" t="str"/>
      <x:c r="H415" s="6" t="str"/>
      <x:c r="I415" s="6" t="str">
        <x:v>Manual user correction/addition</x:v>
      </x:c>
      <x:c r="J415" s="6" t="str">
        <x:f>IF(B415="","",IF(AND(ISNUMBER(SEARCH("平",B415)),OR(ISNUMBER(SEARCH("上",B415)),ISNUMBER(SEARCH("去",B415)),ISNUMBER(SEARCH("入",B415)))),"Ambiguous",IF(ISNUMBER(SEARCH("平",B415)),"平","仄")))</x:f>
        <x:v>仄</x:v>
      </x:c>
      <x:c r="K415" s="6" t="str">
        <x:f>IF(D415="","",IF(AND(ISNUMBER(SEARCH("平",D415)),OR(ISNUMBER(SEARCH("上",D415)),ISNUMBER(SEARCH("去",D415)),ISNUMBER(SEARCH("入",D415)))),"Ambiguous",IF(ISNUMBER(SEARCH("平",D415)),"平","仄")))</x:f>
        <x:v>仄</x:v>
      </x:c>
      <x:c r="L415" s="7" t="str">
        <x:v>manual user correction</x:v>
      </x:c>
    </x:row>
    <x:row r="416">
      <x:c r="A416" s="5" t="str">
        <x:v>劾</x:v>
      </x:c>
      <x:c r="B416" s="6" t="str">
        <x:v>入</x:v>
      </x:c>
      <x:c r="C416" s="6" t="str">
        <x:f>IF(B416="","Needs decision","Ready")</x:f>
        <x:v>Ready</x:v>
      </x:c>
      <x:c r="D416" s="6" t="str">
        <x:v>去/入</x:v>
      </x:c>
      <x:c r="E416" s="6" t="str">
        <x:v>hojH (C); hok (D)</x:v>
      </x:c>
      <x:c r="F416" s="6" t="str">
        <x:v>去聲六御; 去聲十一隊; 入聲十三職</x:v>
      </x:c>
      <x:c r="G416" s="6" t="str">
        <x:v>Pingshui main list, Wikisource-derived DOCX</x:v>
      </x:c>
      <x:c r="H416" s="6" t="str">
        <x:v>2</x:v>
      </x:c>
      <x:c r="I416" s="6" t="str">
        <x:v>User workbook edit 2026-09-03</x:v>
      </x:c>
      <x:c r="J416" s="6" t="str">
        <x:f>IF(B416="","",IF(AND(ISNUMBER(SEARCH("平",B416)),OR(ISNUMBER(SEARCH("上",B416)),ISNUMBER(SEARCH("去",B416)),ISNUMBER(SEARCH("入",B416)))),"Ambiguous",IF(ISNUMBER(SEARCH("平",B416)),"平","仄")))</x:f>
        <x:v>仄</x:v>
      </x:c>
      <x:c r="K416" s="6" t="str">
        <x:f>IF(D416="","",IF(AND(ISNUMBER(SEARCH("平",D416)),OR(ISNUMBER(SEARCH("上",D416)),ISNUMBER(SEARCH("去",D416)),ISNUMBER(SEARCH("入",D416)))),"Ambiguous",IF(ISNUMBER(SEARCH("平",D416)),"平","仄")))</x:f>
        <x:v>仄</x:v>
      </x:c>
      <x:c r="L416" s="7" t="str">
        <x:v>manual user correction</x:v>
      </x:c>
    </x:row>
    <x:row r="417">
      <x:c r="A417" s="5" t="str">
        <x:v>勁</x:v>
      </x:c>
      <x:c r="B417" s="6" t="str">
        <x:v>去</x:v>
      </x:c>
      <x:c r="C417" s="6" t="str">
        <x:f>IF(B417="","Needs decision","Ready")</x:f>
        <x:v>Ready</x:v>
      </x:c>
      <x:c r="D417" s="6" t="str">
        <x:v>去</x:v>
      </x:c>
      <x:c r="E417" s="6" t="str">
        <x:v>kjiengH (C)</x:v>
      </x:c>
      <x:c r="F417" s="6" t="str">
        <x:v>去聲二十四敬</x:v>
      </x:c>
      <x:c r="G417" s="6" t="str">
        <x:v>Pingshui main list, Wikisource-derived DOCX</x:v>
      </x:c>
      <x:c r="H417" s="6" t="str">
        <x:v>1</x:v>
      </x:c>
      <x:c r="I417" s="6" t="str"/>
      <x:c r="J417" s="6" t="str">
        <x:f>IF(B417="","",IF(AND(ISNUMBER(SEARCH("平",B417)),OR(ISNUMBER(SEARCH("上",B417)),ISNUMBER(SEARCH("去",B417)),ISNUMBER(SEARCH("入",B417)))),"Ambiguous",IF(ISNUMBER(SEARCH("平",B417)),"平","仄")))</x:f>
        <x:v>仄</x:v>
      </x:c>
      <x:c r="K417" s="6" t="str">
        <x:f>IF(D417="","",IF(AND(ISNUMBER(SEARCH("平",D417)),OR(ISNUMBER(SEARCH("上",D417)),ISNUMBER(SEARCH("去",D417)),ISNUMBER(SEARCH("入",D417)))),"Ambiguous",IF(ISNUMBER(SEARCH("平",D417)),"平","仄")))</x:f>
        <x:v>仄</x:v>
      </x:c>
      <x:c r="L417" s="7" t="str"/>
    </x:row>
    <x:row r="418">
      <x:c r="A418" s="5" t="str">
        <x:v>勃</x:v>
      </x:c>
      <x:c r="B418" s="6" t="str">
        <x:v>入</x:v>
      </x:c>
      <x:c r="C418" s="6" t="str">
        <x:f>IF(B418="","Needs decision","Ready")</x:f>
        <x:v>Ready</x:v>
      </x:c>
      <x:c r="D418" s="6" t="str">
        <x:v>入</x:v>
      </x:c>
      <x:c r="E418" s="6" t="str">
        <x:v>bwot (D)</x:v>
      </x:c>
      <x:c r="F418" s="6" t="str">
        <x:v>入聲六月</x:v>
      </x:c>
      <x:c r="G418" s="6" t="str">
        <x:v>Pingshui main list, Wikisource-derived DOCX</x:v>
      </x:c>
      <x:c r="H418" s="6" t="str">
        <x:v>1</x:v>
      </x:c>
      <x:c r="I418" s="6" t="str"/>
      <x:c r="J418" s="6" t="str">
        <x:f>IF(B418="","",IF(AND(ISNUMBER(SEARCH("平",B418)),OR(ISNUMBER(SEARCH("上",B418)),ISNUMBER(SEARCH("去",B418)),ISNUMBER(SEARCH("入",B418)))),"Ambiguous",IF(ISNUMBER(SEARCH("平",B418)),"平","仄")))</x:f>
        <x:v>仄</x:v>
      </x:c>
      <x:c r="K418" s="6" t="str">
        <x:f>IF(D418="","",IF(AND(ISNUMBER(SEARCH("平",D418)),OR(ISNUMBER(SEARCH("上",D418)),ISNUMBER(SEARCH("去",D418)),ISNUMBER(SEARCH("入",D418)))),"Ambiguous",IF(ISNUMBER(SEARCH("平",D418)),"平","仄")))</x:f>
        <x:v>仄</x:v>
      </x:c>
      <x:c r="L418" s="7" t="str"/>
    </x:row>
    <x:row r="419">
      <x:c r="A419" s="5" t="str">
        <x:v>勅</x:v>
      </x:c>
      <x:c r="B419" s="6" t="str">
        <x:v>入</x:v>
      </x:c>
      <x:c r="C419" s="6" t="str">
        <x:f>IF(B419="","Needs decision","Ready")</x:f>
        <x:v>Ready</x:v>
      </x:c>
      <x:c r="D419" s="6" t="str">
        <x:v>入</x:v>
      </x:c>
      <x:c r="E419" s="6" t="str">
        <x:v>trhik (D)</x:v>
      </x:c>
      <x:c r="F419" s="6" t="str"/>
      <x:c r="G419" s="6" t="str"/>
      <x:c r="H419" s="6" t="str">
        <x:v>1</x:v>
      </x:c>
      <x:c r="I419" s="6" t="str"/>
      <x:c r="J419" s="6" t="str">
        <x:f>IF(B419="","",IF(AND(ISNUMBER(SEARCH("平",B419)),OR(ISNUMBER(SEARCH("上",B419)),ISNUMBER(SEARCH("去",B419)),ISNUMBER(SEARCH("入",B419)))),"Ambiguous",IF(ISNUMBER(SEARCH("平",B419)),"平","仄")))</x:f>
        <x:v>仄</x:v>
      </x:c>
      <x:c r="K419" s="6" t="str">
        <x:f>IF(D419="","",IF(AND(ISNUMBER(SEARCH("平",D419)),OR(ISNUMBER(SEARCH("上",D419)),ISNUMBER(SEARCH("去",D419)),ISNUMBER(SEARCH("入",D419)))),"Ambiguous",IF(ISNUMBER(SEARCH("平",D419)),"平","仄")))</x:f>
        <x:v>仄</x:v>
      </x:c>
      <x:c r="L419" s="7" t="str"/>
    </x:row>
    <x:row r="420">
      <x:c r="A420" s="5" t="str">
        <x:v>勇</x:v>
      </x:c>
      <x:c r="B420" s="6" t="str">
        <x:v>上</x:v>
      </x:c>
      <x:c r="C420" s="6" t="str">
        <x:f>IF(B420="","Needs decision","Ready")</x:f>
        <x:v>Ready</x:v>
      </x:c>
      <x:c r="D420" s="6" t="str">
        <x:v>上</x:v>
      </x:c>
      <x:c r="E420" s="6" t="str">
        <x:v>yowngX (B)</x:v>
      </x:c>
      <x:c r="F420" s="6" t="str">
        <x:v>上聲二腫</x:v>
      </x:c>
      <x:c r="G420" s="6" t="str">
        <x:v>Pingshui main list, Wikisource-derived DOCX</x:v>
      </x:c>
      <x:c r="H420" s="6" t="str">
        <x:v>1</x:v>
      </x:c>
      <x:c r="I420" s="6" t="str"/>
      <x:c r="J420" s="6" t="str">
        <x:f>IF(B420="","",IF(AND(ISNUMBER(SEARCH("平",B420)),OR(ISNUMBER(SEARCH("上",B420)),ISNUMBER(SEARCH("去",B420)),ISNUMBER(SEARCH("入",B420)))),"Ambiguous",IF(ISNUMBER(SEARCH("平",B420)),"平","仄")))</x:f>
        <x:v>仄</x:v>
      </x:c>
      <x:c r="K420" s="6" t="str">
        <x:f>IF(D420="","",IF(AND(ISNUMBER(SEARCH("平",D420)),OR(ISNUMBER(SEARCH("上",D420)),ISNUMBER(SEARCH("去",D420)),ISNUMBER(SEARCH("入",D420)))),"Ambiguous",IF(ISNUMBER(SEARCH("平",D420)),"平","仄")))</x:f>
        <x:v>仄</x:v>
      </x:c>
      <x:c r="L420" s="7" t="str"/>
    </x:row>
    <x:row r="421">
      <x:c r="A421" s="5" t="str">
        <x:v>勉</x:v>
      </x:c>
      <x:c r="B421" s="6" t="str">
        <x:v>上</x:v>
      </x:c>
      <x:c r="C421" s="6" t="str">
        <x:f>IF(B421="","Needs decision","Ready")</x:f>
        <x:v>Ready</x:v>
      </x:c>
      <x:c r="D421" s="6" t="str">
        <x:v>上</x:v>
      </x:c>
      <x:c r="E421" s="6" t="str">
        <x:v>mjenX (B)</x:v>
      </x:c>
      <x:c r="F421" s="6" t="str">
        <x:v>上聲十六銑</x:v>
      </x:c>
      <x:c r="G421" s="6" t="str">
        <x:v>Pingshui main list, Wikisource-derived DOCX</x:v>
      </x:c>
      <x:c r="H421" s="6" t="str">
        <x:v>1</x:v>
      </x:c>
      <x:c r="I421" s="6" t="str"/>
      <x:c r="J421" s="6" t="str">
        <x:f>IF(B421="","",IF(AND(ISNUMBER(SEARCH("平",B421)),OR(ISNUMBER(SEARCH("上",B421)),ISNUMBER(SEARCH("去",B421)),ISNUMBER(SEARCH("入",B421)))),"Ambiguous",IF(ISNUMBER(SEARCH("平",B421)),"平","仄")))</x:f>
        <x:v>仄</x:v>
      </x:c>
      <x:c r="K421" s="6" t="str">
        <x:f>IF(D421="","",IF(AND(ISNUMBER(SEARCH("平",D421)),OR(ISNUMBER(SEARCH("上",D421)),ISNUMBER(SEARCH("去",D421)),ISNUMBER(SEARCH("入",D421)))),"Ambiguous",IF(ISNUMBER(SEARCH("平",D421)),"平","仄")))</x:f>
        <x:v>仄</x:v>
      </x:c>
      <x:c r="L421" s="7" t="str"/>
    </x:row>
    <x:row r="422">
      <x:c r="A422" s="5" t="str">
        <x:v>勌</x:v>
      </x:c>
      <x:c r="B422" s="6" t="str">
        <x:v>去</x:v>
      </x:c>
      <x:c r="C422" s="6" t="str">
        <x:f>IF(B422="","Needs decision","Ready")</x:f>
        <x:v>Ready</x:v>
      </x:c>
      <x:c r="D422" s="6" t="str">
        <x:v>去</x:v>
      </x:c>
      <x:c r="E422" s="6" t="str"/>
      <x:c r="F422" s="6" t="str"/>
      <x:c r="G422" s="6" t="str"/>
      <x:c r="H422" s="6" t="str">
        <x:v>0</x:v>
      </x:c>
      <x:c r="I422" s="6" t="str">
        <x:v>User correction 2026-09-08; added manually</x:v>
      </x:c>
      <x:c r="J422" s="6" t="str">
        <x:f>IF(B422="","",IF(AND(ISNUMBER(SEARCH("平",B422)),OR(ISNUMBER(SEARCH("上",B422)),ISNUMBER(SEARCH("去",B422)),ISNUMBER(SEARCH("入",B422)))),"Ambiguous",IF(ISNUMBER(SEARCH("平",B422)),"平","仄")))</x:f>
        <x:v>仄</x:v>
      </x:c>
      <x:c r="K422" s="6" t="str">
        <x:f>IF(D422="","",IF(AND(ISNUMBER(SEARCH("平",D422)),OR(ISNUMBER(SEARCH("上",D422)),ISNUMBER(SEARCH("去",D422)),ISNUMBER(SEARCH("入",D422)))),"Ambiguous",IF(ISNUMBER(SEARCH("平",D422)),"平","仄")))</x:f>
        <x:v>仄</x:v>
      </x:c>
      <x:c r="L422" s="7" t="str">
        <x:v>User correction</x:v>
      </x:c>
    </x:row>
    <x:row r="423">
      <x:c r="A423" s="5" t="str">
        <x:v>勒</x:v>
      </x:c>
      <x:c r="B423" s="6" t="str">
        <x:v>入</x:v>
      </x:c>
      <x:c r="C423" s="6" t="str">
        <x:f>IF(B423="","Needs decision","Ready")</x:f>
        <x:v>Ready</x:v>
      </x:c>
      <x:c r="D423" s="6" t="str">
        <x:v>入</x:v>
      </x:c>
      <x:c r="E423" s="6" t="str">
        <x:v>lok (D)</x:v>
      </x:c>
      <x:c r="F423" s="6" t="str">
        <x:v>入聲十三職</x:v>
      </x:c>
      <x:c r="G423" s="6" t="str">
        <x:v>Pingshui main list, Wikisource-derived DOCX</x:v>
      </x:c>
      <x:c r="H423" s="6" t="str">
        <x:v>1</x:v>
      </x:c>
      <x:c r="I423" s="6" t="str"/>
      <x:c r="J423" s="6" t="str">
        <x:f>IF(B423="","",IF(AND(ISNUMBER(SEARCH("平",B423)),OR(ISNUMBER(SEARCH("上",B423)),ISNUMBER(SEARCH("去",B423)),ISNUMBER(SEARCH("入",B423)))),"Ambiguous",IF(ISNUMBER(SEARCH("平",B423)),"平","仄")))</x:f>
        <x:v>仄</x:v>
      </x:c>
      <x:c r="K423" s="6" t="str">
        <x:f>IF(D423="","",IF(AND(ISNUMBER(SEARCH("平",D423)),OR(ISNUMBER(SEARCH("上",D423)),ISNUMBER(SEARCH("去",D423)),ISNUMBER(SEARCH("入",D423)))),"Ambiguous",IF(ISNUMBER(SEARCH("平",D423)),"平","仄")))</x:f>
        <x:v>仄</x:v>
      </x:c>
      <x:c r="L423" s="7" t="str"/>
    </x:row>
    <x:row r="424">
      <x:c r="A424" s="5" t="str">
        <x:v>動</x:v>
      </x:c>
      <x:c r="B424" s="6" t="str">
        <x:v>上</x:v>
      </x:c>
      <x:c r="C424" s="6" t="str">
        <x:f>IF(B424="","Needs decision","Ready")</x:f>
        <x:v>Ready</x:v>
      </x:c>
      <x:c r="D424" s="6" t="str">
        <x:v>上</x:v>
      </x:c>
      <x:c r="E424" s="6" t="str">
        <x:v>duwngX (B)</x:v>
      </x:c>
      <x:c r="F424" s="6" t="str">
        <x:v>上聲一董</x:v>
      </x:c>
      <x:c r="G424" s="6" t="str">
        <x:v>Pingshui main list, Wikisource-derived DOCX</x:v>
      </x:c>
      <x:c r="H424" s="6" t="str">
        <x:v>1</x:v>
      </x:c>
      <x:c r="I424" s="6" t="str"/>
      <x:c r="J424" s="6" t="str">
        <x:f>IF(B424="","",IF(AND(ISNUMBER(SEARCH("平",B424)),OR(ISNUMBER(SEARCH("上",B424)),ISNUMBER(SEARCH("去",B424)),ISNUMBER(SEARCH("入",B424)))),"Ambiguous",IF(ISNUMBER(SEARCH("平",B424)),"平","仄")))</x:f>
        <x:v>仄</x:v>
      </x:c>
      <x:c r="K424" s="6" t="str">
        <x:f>IF(D424="","",IF(AND(ISNUMBER(SEARCH("平",D424)),OR(ISNUMBER(SEARCH("上",D424)),ISNUMBER(SEARCH("去",D424)),ISNUMBER(SEARCH("入",D424)))),"Ambiguous",IF(ISNUMBER(SEARCH("平",D424)),"平","仄")))</x:f>
        <x:v>仄</x:v>
      </x:c>
      <x:c r="L424" s="7" t="str"/>
    </x:row>
    <x:row r="425">
      <x:c r="A425" s="5" t="str">
        <x:v>勖</x:v>
      </x:c>
      <x:c r="B425" s="6" t="str">
        <x:v>入</x:v>
      </x:c>
      <x:c r="C425" s="6" t="str">
        <x:f>IF(B425="","Needs decision","Ready")</x:f>
        <x:v>Ready</x:v>
      </x:c>
      <x:c r="D425" s="6" t="str">
        <x:v>入</x:v>
      </x:c>
      <x:c r="E425" s="6" t="str"/>
      <x:c r="F425" s="6" t="str"/>
      <x:c r="G425" s="6" t="str"/>
      <x:c r="H425" s="6" t="str"/>
      <x:c r="I425" s="6" t="str">
        <x:v>Manual user correction/addition</x:v>
      </x:c>
      <x:c r="J425" s="6" t="str">
        <x:f>IF(B425="","",IF(AND(ISNUMBER(SEARCH("平",B425)),OR(ISNUMBER(SEARCH("上",B425)),ISNUMBER(SEARCH("去",B425)),ISNUMBER(SEARCH("入",B425)))),"Ambiguous",IF(ISNUMBER(SEARCH("平",B425)),"平","仄")))</x:f>
        <x:v>仄</x:v>
      </x:c>
      <x:c r="K425" s="6" t="str">
        <x:f>IF(D425="","",IF(AND(ISNUMBER(SEARCH("平",D425)),OR(ISNUMBER(SEARCH("上",D425)),ISNUMBER(SEARCH("去",D425)),ISNUMBER(SEARCH("入",D425)))),"Ambiguous",IF(ISNUMBER(SEARCH("平",D425)),"平","仄")))</x:f>
        <x:v>仄</x:v>
      </x:c>
      <x:c r="L425" s="7" t="str">
        <x:v>manual user correction</x:v>
      </x:c>
    </x:row>
    <x:row r="426">
      <x:c r="A426" s="5" t="str">
        <x:v>務</x:v>
      </x:c>
      <x:c r="B426" s="6" t="str">
        <x:v>去</x:v>
      </x:c>
      <x:c r="C426" s="6" t="str">
        <x:f>IF(B426="","Needs decision","Ready")</x:f>
        <x:v>Ready</x:v>
      </x:c>
      <x:c r="D426" s="6" t="str">
        <x:v>去</x:v>
      </x:c>
      <x:c r="E426" s="6" t="str">
        <x:v>mjuH (C)</x:v>
      </x:c>
      <x:c r="F426" s="6" t="str">
        <x:v>去聲七遇</x:v>
      </x:c>
      <x:c r="G426" s="6" t="str">
        <x:v>Pingshui main list, Wikisource-derived DOCX</x:v>
      </x:c>
      <x:c r="H426" s="6" t="str">
        <x:v>1</x:v>
      </x:c>
      <x:c r="I426" s="6" t="str"/>
      <x:c r="J426" s="6" t="str">
        <x:f>IF(B426="","",IF(AND(ISNUMBER(SEARCH("平",B426)),OR(ISNUMBER(SEARCH("上",B426)),ISNUMBER(SEARCH("去",B426)),ISNUMBER(SEARCH("入",B426)))),"Ambiguous",IF(ISNUMBER(SEARCH("平",B426)),"平","仄")))</x:f>
        <x:v>仄</x:v>
      </x:c>
      <x:c r="K426" s="6" t="str">
        <x:f>IF(D426="","",IF(AND(ISNUMBER(SEARCH("平",D426)),OR(ISNUMBER(SEARCH("上",D426)),ISNUMBER(SEARCH("去",D426)),ISNUMBER(SEARCH("入",D426)))),"Ambiguous",IF(ISNUMBER(SEARCH("平",D426)),"平","仄")))</x:f>
        <x:v>仄</x:v>
      </x:c>
      <x:c r="L426" s="7" t="str"/>
    </x:row>
    <x:row r="427">
      <x:c r="A427" s="5" t="str">
        <x:v>勝</x:v>
      </x:c>
      <x:c r="B427" s="6" t="str"/>
      <x:c r="C427" s="6" t="str">
        <x:f>IF(B427="","Needs decision","Ready")</x:f>
        <x:v>Needs decision</x:v>
      </x:c>
      <x:c r="D427" s="6" t="str">
        <x:v>平/去</x:v>
      </x:c>
      <x:c r="E427" s="6" t="str">
        <x:v>sying (A); syingH (C)</x:v>
      </x:c>
      <x:c r="F427" s="6" t="str">
        <x:v>下平聲十蒸; 去聲二十五徑</x:v>
      </x:c>
      <x:c r="G427" s="6" t="str">
        <x:v>Pingshui main list, Wikisource-derived DOCX</x:v>
      </x:c>
      <x:c r="H427" s="6" t="str">
        <x:v>2</x:v>
      </x:c>
      <x:c r="I427" s="6" t="str"/>
      <x:c r="J427" s="6" t="str">
        <x:f>IF(B427="","",IF(AND(ISNUMBER(SEARCH("平",B427)),OR(ISNUMBER(SEARCH("上",B427)),ISNUMBER(SEARCH("去",B427)),ISNUMBER(SEARCH("入",B427)))),"Ambiguous",IF(ISNUMBER(SEARCH("平",B427)),"平","仄")))</x:f>
      </x:c>
      <x:c r="K427" s="6" t="str">
        <x:f>IF(D427="","",IF(AND(ISNUMBER(SEARCH("平",D427)),OR(ISNUMBER(SEARCH("上",D427)),ISNUMBER(SEARCH("去",D427)),ISNUMBER(SEARCH("入",D427)))),"Ambiguous",IF(ISNUMBER(SEARCH("平",D427)),"平","仄")))</x:f>
        <x:v>Ambiguous</x:v>
      </x:c>
      <x:c r="L427" s="7" t="str"/>
    </x:row>
    <x:row r="428">
      <x:c r="A428" s="5" t="str">
        <x:v>勞</x:v>
      </x:c>
      <x:c r="B428" s="6" t="str">
        <x:v>平</x:v>
      </x:c>
      <x:c r="C428" s="6" t="str">
        <x:f>IF(B428="","Needs decision","Ready")</x:f>
        <x:v>Ready</x:v>
      </x:c>
      <x:c r="D428" s="6" t="str">
        <x:v>平/去</x:v>
      </x:c>
      <x:c r="E428" s="6" t="str">
        <x:v>law (A); lawH (C)</x:v>
      </x:c>
      <x:c r="F428" s="6" t="str">
        <x:v>下平聲四豪; 去聲二十號</x:v>
      </x:c>
      <x:c r="G428" s="6" t="str">
        <x:v>Pingshui main list, Wikisource-derived DOCX</x:v>
      </x:c>
      <x:c r="H428" s="6" t="str">
        <x:v>2</x:v>
      </x:c>
      <x:c r="I428" s="6" t="str">
        <x:v>User correction 2026-09-08</x:v>
      </x:c>
      <x:c r="J428" s="6" t="str">
        <x:f>IF(B428="","",IF(AND(ISNUMBER(SEARCH("平",B428)),OR(ISNUMBER(SEARCH("上",B428)),ISNUMBER(SEARCH("去",B428)),ISNUMBER(SEARCH("入",B428)))),"Ambiguous",IF(ISNUMBER(SEARCH("平",B428)),"平","仄")))</x:f>
        <x:v>平</x:v>
      </x:c>
      <x:c r="K428" s="6" t="str">
        <x:f>IF(D428="","",IF(AND(ISNUMBER(SEARCH("平",D428)),OR(ISNUMBER(SEARCH("上",D428)),ISNUMBER(SEARCH("去",D428)),ISNUMBER(SEARCH("入",D428)))),"Ambiguous",IF(ISNUMBER(SEARCH("平",D428)),"平","仄")))</x:f>
        <x:v>Ambiguous</x:v>
      </x:c>
      <x:c r="L428" s="7" t="str"/>
    </x:row>
    <x:row r="429">
      <x:c r="A429" s="5" t="str">
        <x:v>募</x:v>
      </x:c>
      <x:c r="B429" s="6" t="str">
        <x:v>去</x:v>
      </x:c>
      <x:c r="C429" s="6" t="str">
        <x:f>IF(B429="","Needs decision","Ready")</x:f>
        <x:v>Ready</x:v>
      </x:c>
      <x:c r="D429" s="6" t="str">
        <x:v>去</x:v>
      </x:c>
      <x:c r="E429" s="6" t="str">
        <x:v>muH (C)</x:v>
      </x:c>
      <x:c r="F429" s="6" t="str">
        <x:v>去聲七遇</x:v>
      </x:c>
      <x:c r="G429" s="6" t="str">
        <x:v>Pingshui main list, Wikisource-derived DOCX</x:v>
      </x:c>
      <x:c r="H429" s="6" t="str">
        <x:v>1</x:v>
      </x:c>
      <x:c r="I429" s="6" t="str"/>
      <x:c r="J429" s="6" t="str">
        <x:f>IF(B429="","",IF(AND(ISNUMBER(SEARCH("平",B429)),OR(ISNUMBER(SEARCH("上",B429)),ISNUMBER(SEARCH("去",B429)),ISNUMBER(SEARCH("入",B429)))),"Ambiguous",IF(ISNUMBER(SEARCH("平",B429)),"平","仄")))</x:f>
        <x:v>仄</x:v>
      </x:c>
      <x:c r="K429" s="6" t="str">
        <x:f>IF(D429="","",IF(AND(ISNUMBER(SEARCH("平",D429)),OR(ISNUMBER(SEARCH("上",D429)),ISNUMBER(SEARCH("去",D429)),ISNUMBER(SEARCH("入",D429)))),"Ambiguous",IF(ISNUMBER(SEARCH("平",D429)),"平","仄")))</x:f>
        <x:v>仄</x:v>
      </x:c>
      <x:c r="L429" s="7" t="str"/>
    </x:row>
    <x:row r="430">
      <x:c r="A430" s="5" t="str">
        <x:v>勢</x:v>
      </x:c>
      <x:c r="B430" s="6" t="str">
        <x:v>去</x:v>
      </x:c>
      <x:c r="C430" s="6" t="str">
        <x:f>IF(B430="","Needs decision","Ready")</x:f>
        <x:v>Ready</x:v>
      </x:c>
      <x:c r="D430" s="6" t="str">
        <x:v>去</x:v>
      </x:c>
      <x:c r="E430" s="6" t="str">
        <x:v>syejH (C)</x:v>
      </x:c>
      <x:c r="F430" s="6" t="str">
        <x:v>去聲八霽</x:v>
      </x:c>
      <x:c r="G430" s="6" t="str">
        <x:v>Pingshui main list, Wikisource-derived DOCX</x:v>
      </x:c>
      <x:c r="H430" s="6" t="str">
        <x:v>1</x:v>
      </x:c>
      <x:c r="I430" s="6" t="str"/>
      <x:c r="J430" s="6" t="str">
        <x:f>IF(B430="","",IF(AND(ISNUMBER(SEARCH("平",B430)),OR(ISNUMBER(SEARCH("上",B430)),ISNUMBER(SEARCH("去",B430)),ISNUMBER(SEARCH("入",B430)))),"Ambiguous",IF(ISNUMBER(SEARCH("平",B430)),"平","仄")))</x:f>
        <x:v>仄</x:v>
      </x:c>
      <x:c r="K430" s="6" t="str">
        <x:f>IF(D430="","",IF(AND(ISNUMBER(SEARCH("平",D430)),OR(ISNUMBER(SEARCH("上",D430)),ISNUMBER(SEARCH("去",D430)),ISNUMBER(SEARCH("入",D430)))),"Ambiguous",IF(ISNUMBER(SEARCH("平",D430)),"平","仄")))</x:f>
        <x:v>仄</x:v>
      </x:c>
      <x:c r="L430" s="7" t="str"/>
    </x:row>
    <x:row r="431">
      <x:c r="A431" s="5" t="str">
        <x:v>勤</x:v>
      </x:c>
      <x:c r="B431" s="6" t="str">
        <x:v>平</x:v>
      </x:c>
      <x:c r="C431" s="6" t="str">
        <x:f>IF(B431="","Needs decision","Ready")</x:f>
        <x:v>Ready</x:v>
      </x:c>
      <x:c r="D431" s="6" t="str">
        <x:v>平</x:v>
      </x:c>
      <x:c r="E431" s="6" t="str">
        <x:v>gj+n (A)</x:v>
      </x:c>
      <x:c r="F431" s="6" t="str">
        <x:v>上平聲十二文</x:v>
      </x:c>
      <x:c r="G431" s="6" t="str">
        <x:v>Pingshui main list, Wikisource-derived DOCX</x:v>
      </x:c>
      <x:c r="H431" s="6" t="str">
        <x:v>1</x:v>
      </x:c>
      <x:c r="I431" s="6" t="str"/>
      <x:c r="J431" s="6" t="str">
        <x:f>IF(B431="","",IF(AND(ISNUMBER(SEARCH("平",B431)),OR(ISNUMBER(SEARCH("上",B431)),ISNUMBER(SEARCH("去",B431)),ISNUMBER(SEARCH("入",B431)))),"Ambiguous",IF(ISNUMBER(SEARCH("平",B431)),"平","仄")))</x:f>
        <x:v>平</x:v>
      </x:c>
      <x:c r="K431" s="6" t="str">
        <x:f>IF(D431="","",IF(AND(ISNUMBER(SEARCH("平",D431)),OR(ISNUMBER(SEARCH("上",D431)),ISNUMBER(SEARCH("去",D431)),ISNUMBER(SEARCH("入",D431)))),"Ambiguous",IF(ISNUMBER(SEARCH("平",D431)),"平","仄")))</x:f>
        <x:v>平</x:v>
      </x:c>
      <x:c r="L431" s="7" t="str"/>
    </x:row>
    <x:row r="432">
      <x:c r="A432" s="5" t="str">
        <x:v>勩</x:v>
      </x:c>
      <x:c r="B432" s="6" t="str">
        <x:v>去</x:v>
      </x:c>
      <x:c r="C432" s="6" t="str">
        <x:f>IF(B432="","Needs decision","Ready")</x:f>
        <x:v>Ready</x:v>
      </x:c>
      <x:c r="D432" s="6" t="str">
        <x:v>去</x:v>
      </x:c>
      <x:c r="E432" s="6" t="str">
        <x:v>yejH (C)</x:v>
      </x:c>
      <x:c r="F432" s="6" t="str">
        <x:v>去聲四寘</x:v>
      </x:c>
      <x:c r="G432" s="6" t="str">
        <x:v>Pingshui main list, Wikisource-derived DOCX</x:v>
      </x:c>
      <x:c r="H432" s="6" t="str">
        <x:v>1</x:v>
      </x:c>
      <x:c r="I432" s="6" t="str"/>
      <x:c r="J432" s="6" t="str">
        <x:f>IF(B432="","",IF(AND(ISNUMBER(SEARCH("平",B432)),OR(ISNUMBER(SEARCH("上",B432)),ISNUMBER(SEARCH("去",B432)),ISNUMBER(SEARCH("入",B432)))),"Ambiguous",IF(ISNUMBER(SEARCH("平",B432)),"平","仄")))</x:f>
        <x:v>仄</x:v>
      </x:c>
      <x:c r="K432" s="6" t="str">
        <x:f>IF(D432="","",IF(AND(ISNUMBER(SEARCH("平",D432)),OR(ISNUMBER(SEARCH("上",D432)),ISNUMBER(SEARCH("去",D432)),ISNUMBER(SEARCH("入",D432)))),"Ambiguous",IF(ISNUMBER(SEARCH("平",D432)),"平","仄")))</x:f>
        <x:v>仄</x:v>
      </x:c>
      <x:c r="L432" s="7" t="str"/>
    </x:row>
    <x:row r="433">
      <x:c r="A433" s="5" t="str">
        <x:v>勳</x:v>
      </x:c>
      <x:c r="B433" s="6" t="str">
        <x:v>平</x:v>
      </x:c>
      <x:c r="C433" s="6" t="str">
        <x:f>IF(B433="","Needs decision","Ready")</x:f>
        <x:v>Ready</x:v>
      </x:c>
      <x:c r="D433" s="6" t="str">
        <x:v>平</x:v>
      </x:c>
      <x:c r="E433" s="6" t="str">
        <x:v>xjun [xɨ̯un] (平)</x:v>
      </x:c>
      <x:c r="F433" s="6" t="str">
        <x:v>上平聲十二文</x:v>
      </x:c>
      <x:c r="G433" s="6" t="str">
        <x:v>Pingshui main list, Wikisource-derived DOCX</x:v>
      </x:c>
      <x:c r="H433" s="6" t="str">
        <x:v>1</x:v>
      </x:c>
      <x:c r="I433" s="6" t="str">
        <x:v>Tang 300 gap; frequency 2; provisional from Xun Gong</x:v>
      </x:c>
      <x:c r="J433" s="6" t="str">
        <x:f>IF(B433="","",IF(AND(ISNUMBER(SEARCH("平",B433)),OR(ISNUMBER(SEARCH("上",B433)),ISNUMBER(SEARCH("去",B433)),ISNUMBER(SEARCH("入",B433)))),"Ambiguous",IF(ISNUMBER(SEARCH("平",B433)),"平","仄")))</x:f>
        <x:v>平</x:v>
      </x:c>
      <x:c r="K433" s="6" t="str">
        <x:f>IF(D433="","",IF(AND(ISNUMBER(SEARCH("平",D433)),OR(ISNUMBER(SEARCH("上",D433)),ISNUMBER(SEARCH("去",D433)),ISNUMBER(SEARCH("入",D433)))),"Ambiguous",IF(ISNUMBER(SEARCH("平",D433)),"平","仄")))</x:f>
        <x:v>平</x:v>
      </x:c>
      <x:c r="L433" s="7" t="str">
        <x:v>Xun Gong, Tang 300 gap fill</x:v>
      </x:c>
    </x:row>
    <x:row r="434">
      <x:c r="A434" s="5" t="str">
        <x:v>勸</x:v>
      </x:c>
      <x:c r="B434" s="6" t="str">
        <x:v>去</x:v>
      </x:c>
      <x:c r="C434" s="6" t="str">
        <x:f>IF(B434="","Needs decision","Ready")</x:f>
        <x:v>Ready</x:v>
      </x:c>
      <x:c r="D434" s="6" t="str">
        <x:v>去</x:v>
      </x:c>
      <x:c r="E434" s="6" t="str">
        <x:v>khjwonH (C)</x:v>
      </x:c>
      <x:c r="F434" s="6" t="str">
        <x:v>去聲十四願</x:v>
      </x:c>
      <x:c r="G434" s="6" t="str">
        <x:v>Pingshui main list, Wikisource-derived DOCX</x:v>
      </x:c>
      <x:c r="H434" s="6" t="str">
        <x:v>1</x:v>
      </x:c>
      <x:c r="I434" s="6" t="str"/>
      <x:c r="J434" s="6" t="str">
        <x:f>IF(B434="","",IF(AND(ISNUMBER(SEARCH("平",B434)),OR(ISNUMBER(SEARCH("上",B434)),ISNUMBER(SEARCH("去",B434)),ISNUMBER(SEARCH("入",B434)))),"Ambiguous",IF(ISNUMBER(SEARCH("平",B434)),"平","仄")))</x:f>
        <x:v>仄</x:v>
      </x:c>
      <x:c r="K434" s="6" t="str">
        <x:f>IF(D434="","",IF(AND(ISNUMBER(SEARCH("平",D434)),OR(ISNUMBER(SEARCH("上",D434)),ISNUMBER(SEARCH("去",D434)),ISNUMBER(SEARCH("入",D434)))),"Ambiguous",IF(ISNUMBER(SEARCH("平",D434)),"平","仄")))</x:f>
        <x:v>仄</x:v>
      </x:c>
      <x:c r="L434" s="7" t="str"/>
    </x:row>
    <x:row r="435">
      <x:c r="A435" s="5" t="str">
        <x:v>勺</x:v>
      </x:c>
      <x:c r="B435" s="6" t="str">
        <x:v>入</x:v>
      </x:c>
      <x:c r="C435" s="6" t="str">
        <x:f>IF(B435="","Needs decision","Ready")</x:f>
        <x:v>Ready</x:v>
      </x:c>
      <x:c r="D435" s="6" t="str">
        <x:v>入</x:v>
      </x:c>
      <x:c r="E435" s="6" t="str">
        <x:v>dzyak (D); tsyak (D)</x:v>
      </x:c>
      <x:c r="F435" s="6" t="str">
        <x:v>入聲十藥</x:v>
      </x:c>
      <x:c r="G435" s="6" t="str">
        <x:v>Pingshui main list, Wikisource-derived DOCX</x:v>
      </x:c>
      <x:c r="H435" s="6" t="str">
        <x:v>2</x:v>
      </x:c>
      <x:c r="I435" s="6" t="str"/>
      <x:c r="J435" s="6" t="str">
        <x:f>IF(B435="","",IF(AND(ISNUMBER(SEARCH("平",B435)),OR(ISNUMBER(SEARCH("上",B435)),ISNUMBER(SEARCH("去",B435)),ISNUMBER(SEARCH("入",B435)))),"Ambiguous",IF(ISNUMBER(SEARCH("平",B435)),"平","仄")))</x:f>
        <x:v>仄</x:v>
      </x:c>
      <x:c r="K435" s="6" t="str">
        <x:f>IF(D435="","",IF(AND(ISNUMBER(SEARCH("平",D435)),OR(ISNUMBER(SEARCH("上",D435)),ISNUMBER(SEARCH("去",D435)),ISNUMBER(SEARCH("入",D435)))),"Ambiguous",IF(ISNUMBER(SEARCH("平",D435)),"平","仄")))</x:f>
        <x:v>仄</x:v>
      </x:c>
      <x:c r="L435" s="7" t="str"/>
    </x:row>
    <x:row r="436">
      <x:c r="A436" s="5" t="str">
        <x:v>勻</x:v>
      </x:c>
      <x:c r="B436" s="6" t="str">
        <x:v>平</x:v>
      </x:c>
      <x:c r="C436" s="6" t="str">
        <x:f>IF(B436="","Needs decision","Ready")</x:f>
        <x:v>Ready</x:v>
      </x:c>
      <x:c r="D436" s="6" t="str">
        <x:v>平</x:v>
      </x:c>
      <x:c r="E436" s="6" t="str">
        <x:v>ywin [jwin] (平)</x:v>
      </x:c>
      <x:c r="F436" s="6" t="str">
        <x:v>上平聲十一真</x:v>
      </x:c>
      <x:c r="G436" s="6" t="str">
        <x:v>Pingshui main list, Wikisource-derived DOCX</x:v>
      </x:c>
      <x:c r="H436" s="6" t="str">
        <x:v>1</x:v>
      </x:c>
      <x:c r="I436" s="6" t="str">
        <x:v>Tang 300 gap; frequency 1; provisional from Xun Gong</x:v>
      </x:c>
      <x:c r="J436" s="6" t="str">
        <x:f>IF(B436="","",IF(AND(ISNUMBER(SEARCH("平",B436)),OR(ISNUMBER(SEARCH("上",B436)),ISNUMBER(SEARCH("去",B436)),ISNUMBER(SEARCH("入",B436)))),"Ambiguous",IF(ISNUMBER(SEARCH("平",B436)),"平","仄")))</x:f>
        <x:v>平</x:v>
      </x:c>
      <x:c r="K436" s="6" t="str">
        <x:f>IF(D436="","",IF(AND(ISNUMBER(SEARCH("平",D436)),OR(ISNUMBER(SEARCH("上",D436)),ISNUMBER(SEARCH("去",D436)),ISNUMBER(SEARCH("入",D436)))),"Ambiguous",IF(ISNUMBER(SEARCH("平",D436)),"平","仄")))</x:f>
        <x:v>平</x:v>
      </x:c>
      <x:c r="L436" s="7" t="str">
        <x:v>Xun Gong, Tang 300 gap fill</x:v>
      </x:c>
    </x:row>
    <x:row r="437">
      <x:c r="A437" s="5" t="str">
        <x:v>勿</x:v>
      </x:c>
      <x:c r="B437" s="6" t="str">
        <x:v>入</x:v>
      </x:c>
      <x:c r="C437" s="6" t="str">
        <x:f>IF(B437="","Needs decision","Ready")</x:f>
        <x:v>Ready</x:v>
      </x:c>
      <x:c r="D437" s="6" t="str">
        <x:v>入</x:v>
      </x:c>
      <x:c r="E437" s="6" t="str">
        <x:v>mjut (D)</x:v>
      </x:c>
      <x:c r="F437" s="6" t="str">
        <x:v>入聲五物</x:v>
      </x:c>
      <x:c r="G437" s="6" t="str">
        <x:v>Pingshui main list, Wikisource-derived DOCX</x:v>
      </x:c>
      <x:c r="H437" s="6" t="str">
        <x:v>1</x:v>
      </x:c>
      <x:c r="I437" s="6" t="str"/>
      <x:c r="J437" s="6" t="str">
        <x:f>IF(B437="","",IF(AND(ISNUMBER(SEARCH("平",B437)),OR(ISNUMBER(SEARCH("上",B437)),ISNUMBER(SEARCH("去",B437)),ISNUMBER(SEARCH("入",B437)))),"Ambiguous",IF(ISNUMBER(SEARCH("平",B437)),"平","仄")))</x:f>
        <x:v>仄</x:v>
      </x:c>
      <x:c r="K437" s="6" t="str">
        <x:f>IF(D437="","",IF(AND(ISNUMBER(SEARCH("平",D437)),OR(ISNUMBER(SEARCH("上",D437)),ISNUMBER(SEARCH("去",D437)),ISNUMBER(SEARCH("入",D437)))),"Ambiguous",IF(ISNUMBER(SEARCH("平",D437)),"平","仄")))</x:f>
        <x:v>仄</x:v>
      </x:c>
      <x:c r="L437" s="7" t="str"/>
    </x:row>
    <x:row r="438">
      <x:c r="A438" s="5" t="str">
        <x:v>匀</x:v>
      </x:c>
      <x:c r="B438" s="6" t="str">
        <x:v>平</x:v>
      </x:c>
      <x:c r="C438" s="6" t="str">
        <x:f>IF(B438="","Needs decision","Ready")</x:f>
        <x:v>Ready</x:v>
      </x:c>
      <x:c r="D438" s="6" t="str">
        <x:v>平</x:v>
      </x:c>
      <x:c r="E438" s="6" t="str">
        <x:v>ywin (A)</x:v>
      </x:c>
      <x:c r="F438" s="6" t="str"/>
      <x:c r="G438" s="6" t="str"/>
      <x:c r="H438" s="6" t="str">
        <x:v>1</x:v>
      </x:c>
      <x:c r="I438" s="6" t="str"/>
      <x:c r="J438" s="6" t="str">
        <x:f>IF(B438="","",IF(AND(ISNUMBER(SEARCH("平",B438)),OR(ISNUMBER(SEARCH("上",B438)),ISNUMBER(SEARCH("去",B438)),ISNUMBER(SEARCH("入",B438)))),"Ambiguous",IF(ISNUMBER(SEARCH("平",B438)),"平","仄")))</x:f>
        <x:v>平</x:v>
      </x:c>
      <x:c r="K438" s="6" t="str">
        <x:f>IF(D438="","",IF(AND(ISNUMBER(SEARCH("平",D438)),OR(ISNUMBER(SEARCH("上",D438)),ISNUMBER(SEARCH("去",D438)),ISNUMBER(SEARCH("入",D438)))),"Ambiguous",IF(ISNUMBER(SEARCH("平",D438)),"平","仄")))</x:f>
        <x:v>平</x:v>
      </x:c>
      <x:c r="L438" s="7" t="str"/>
    </x:row>
    <x:row r="439">
      <x:c r="A439" s="5" t="str">
        <x:v>匃</x:v>
      </x:c>
      <x:c r="B439" s="6" t="str"/>
      <x:c r="C439" s="6" t="str">
        <x:f>IF(B439="","Needs decision","Ready")</x:f>
        <x:v>Needs decision</x:v>
      </x:c>
      <x:c r="D439" s="6" t="str">
        <x:v>去/入</x:v>
      </x:c>
      <x:c r="E439" s="6" t="str">
        <x:v>kajH (C); kat (D)</x:v>
      </x:c>
      <x:c r="F439" s="6" t="str"/>
      <x:c r="G439" s="6" t="str"/>
      <x:c r="H439" s="6" t="str">
        <x:v>2</x:v>
      </x:c>
      <x:c r="I439" s="6" t="str"/>
      <x:c r="J439" s="6" t="str">
        <x:f>IF(B439="","",IF(AND(ISNUMBER(SEARCH("平",B439)),OR(ISNUMBER(SEARCH("上",B439)),ISNUMBER(SEARCH("去",B439)),ISNUMBER(SEARCH("入",B439)))),"Ambiguous",IF(ISNUMBER(SEARCH("平",B439)),"平","仄")))</x:f>
      </x:c>
      <x:c r="K439" s="6" t="str">
        <x:f>IF(D439="","",IF(AND(ISNUMBER(SEARCH("平",D439)),OR(ISNUMBER(SEARCH("上",D439)),ISNUMBER(SEARCH("去",D439)),ISNUMBER(SEARCH("入",D439)))),"Ambiguous",IF(ISNUMBER(SEARCH("平",D439)),"平","仄")))</x:f>
        <x:v>仄</x:v>
      </x:c>
      <x:c r="L439" s="7" t="str"/>
    </x:row>
    <x:row r="440">
      <x:c r="A440" s="5" t="str">
        <x:v>包</x:v>
      </x:c>
      <x:c r="B440" s="6" t="str">
        <x:v>平</x:v>
      </x:c>
      <x:c r="C440" s="6" t="str">
        <x:f>IF(B440="","Needs decision","Ready")</x:f>
        <x:v>Ready</x:v>
      </x:c>
      <x:c r="D440" s="6" t="str">
        <x:v>平</x:v>
      </x:c>
      <x:c r="E440" s="6" t="str">
        <x:v>paew (A)</x:v>
      </x:c>
      <x:c r="F440" s="6" t="str">
        <x:v>下平聲三肴</x:v>
      </x:c>
      <x:c r="G440" s="6" t="str">
        <x:v>Pingshui main list, Wikisource-derived DOCX</x:v>
      </x:c>
      <x:c r="H440" s="6" t="str">
        <x:v>1</x:v>
      </x:c>
      <x:c r="I440" s="6" t="str"/>
      <x:c r="J440" s="6" t="str">
        <x:f>IF(B440="","",IF(AND(ISNUMBER(SEARCH("平",B440)),OR(ISNUMBER(SEARCH("上",B440)),ISNUMBER(SEARCH("去",B440)),ISNUMBER(SEARCH("入",B440)))),"Ambiguous",IF(ISNUMBER(SEARCH("平",B440)),"平","仄")))</x:f>
        <x:v>平</x:v>
      </x:c>
      <x:c r="K440" s="6" t="str">
        <x:f>IF(D440="","",IF(AND(ISNUMBER(SEARCH("平",D440)),OR(ISNUMBER(SEARCH("上",D440)),ISNUMBER(SEARCH("去",D440)),ISNUMBER(SEARCH("入",D440)))),"Ambiguous",IF(ISNUMBER(SEARCH("平",D440)),"平","仄")))</x:f>
        <x:v>平</x:v>
      </x:c>
      <x:c r="L440" s="7" t="str"/>
    </x:row>
    <x:row r="441">
      <x:c r="A441" s="5" t="str">
        <x:v>匈</x:v>
      </x:c>
      <x:c r="B441" s="6" t="str">
        <x:v>平</x:v>
      </x:c>
      <x:c r="C441" s="6" t="str">
        <x:f>IF(B441="","Needs decision","Ready")</x:f>
        <x:v>Ready</x:v>
      </x:c>
      <x:c r="D441" s="6" t="str">
        <x:v>平</x:v>
      </x:c>
      <x:c r="E441" s="6" t="str"/>
      <x:c r="F441" s="6" t="str">
        <x:v>上平聲二冬</x:v>
      </x:c>
      <x:c r="G441" s="6" t="str">
        <x:v>Pingshui main list, Wikisource-derived DOCX</x:v>
      </x:c>
      <x:c r="H441" s="6" t="str"/>
      <x:c r="I441" s="6" t="str">
        <x:v>Manual user correction/addition</x:v>
      </x:c>
      <x:c r="J441" s="6" t="str">
        <x:f>IF(B441="","",IF(AND(ISNUMBER(SEARCH("平",B441)),OR(ISNUMBER(SEARCH("上",B441)),ISNUMBER(SEARCH("去",B441)),ISNUMBER(SEARCH("入",B441)))),"Ambiguous",IF(ISNUMBER(SEARCH("平",B441)),"平","仄")))</x:f>
        <x:v>平</x:v>
      </x:c>
      <x:c r="K441" s="6" t="str">
        <x:f>IF(D441="","",IF(AND(ISNUMBER(SEARCH("平",D441)),OR(ISNUMBER(SEARCH("上",D441)),ISNUMBER(SEARCH("去",D441)),ISNUMBER(SEARCH("入",D441)))),"Ambiguous",IF(ISNUMBER(SEARCH("平",D441)),"平","仄")))</x:f>
        <x:v>平</x:v>
      </x:c>
      <x:c r="L441" s="7" t="str">
        <x:v>manual user correction</x:v>
      </x:c>
    </x:row>
    <x:row r="442">
      <x:c r="A442" s="5" t="str">
        <x:v>匋</x:v>
      </x:c>
      <x:c r="B442" s="6" t="str">
        <x:v>平</x:v>
      </x:c>
      <x:c r="C442" s="6" t="str">
        <x:f>IF(B442="","Needs decision","Ready")</x:f>
        <x:v>Ready</x:v>
      </x:c>
      <x:c r="D442" s="6" t="str">
        <x:v>平</x:v>
      </x:c>
      <x:c r="E442" s="6" t="str">
        <x:v>daw (A)</x:v>
      </x:c>
      <x:c r="F442" s="6" t="str">
        <x:v>下平聲四豪</x:v>
      </x:c>
      <x:c r="G442" s="6" t="str">
        <x:v>Pingshui main list, Wikisource-derived DOCX</x:v>
      </x:c>
      <x:c r="H442" s="6" t="str">
        <x:v>1</x:v>
      </x:c>
      <x:c r="I442" s="6" t="str"/>
      <x:c r="J442" s="6" t="str">
        <x:f>IF(B442="","",IF(AND(ISNUMBER(SEARCH("平",B442)),OR(ISNUMBER(SEARCH("上",B442)),ISNUMBER(SEARCH("去",B442)),ISNUMBER(SEARCH("入",B442)))),"Ambiguous",IF(ISNUMBER(SEARCH("平",B442)),"平","仄")))</x:f>
        <x:v>平</x:v>
      </x:c>
      <x:c r="K442" s="6" t="str">
        <x:f>IF(D442="","",IF(AND(ISNUMBER(SEARCH("平",D442)),OR(ISNUMBER(SEARCH("上",D442)),ISNUMBER(SEARCH("去",D442)),ISNUMBER(SEARCH("入",D442)))),"Ambiguous",IF(ISNUMBER(SEARCH("平",D442)),"平","仄")))</x:f>
        <x:v>平</x:v>
      </x:c>
      <x:c r="L442" s="7" t="str"/>
    </x:row>
    <x:row r="443">
      <x:c r="A443" s="5" t="str">
        <x:v>匍</x:v>
      </x:c>
      <x:c r="B443" s="6" t="str">
        <x:v>平</x:v>
      </x:c>
      <x:c r="C443" s="6" t="str">
        <x:f>IF(B443="","Needs decision","Ready")</x:f>
        <x:v>Ready</x:v>
      </x:c>
      <x:c r="D443" s="6" t="str">
        <x:v>平</x:v>
      </x:c>
      <x:c r="E443" s="6" t="str">
        <x:v>bu (A)</x:v>
      </x:c>
      <x:c r="F443" s="6" t="str"/>
      <x:c r="G443" s="6" t="str"/>
      <x:c r="H443" s="6" t="str">
        <x:v>1</x:v>
      </x:c>
      <x:c r="I443" s="6" t="str"/>
      <x:c r="J443" s="6" t="str">
        <x:f>IF(B443="","",IF(AND(ISNUMBER(SEARCH("平",B443)),OR(ISNUMBER(SEARCH("上",B443)),ISNUMBER(SEARCH("去",B443)),ISNUMBER(SEARCH("入",B443)))),"Ambiguous",IF(ISNUMBER(SEARCH("平",B443)),"平","仄")))</x:f>
        <x:v>平</x:v>
      </x:c>
      <x:c r="K443" s="6" t="str">
        <x:f>IF(D443="","",IF(AND(ISNUMBER(SEARCH("平",D443)),OR(ISNUMBER(SEARCH("上",D443)),ISNUMBER(SEARCH("去",D443)),ISNUMBER(SEARCH("入",D443)))),"Ambiguous",IF(ISNUMBER(SEARCH("平",D443)),"平","仄")))</x:f>
        <x:v>平</x:v>
      </x:c>
      <x:c r="L443" s="7" t="str"/>
    </x:row>
    <x:row r="444">
      <x:c r="A444" s="5" t="str">
        <x:v>匏</x:v>
      </x:c>
      <x:c r="B444" s="6" t="str">
        <x:v>平</x:v>
      </x:c>
      <x:c r="C444" s="6" t="str">
        <x:f>IF(B444="","Needs decision","Ready")</x:f>
        <x:v>Ready</x:v>
      </x:c>
      <x:c r="D444" s="6" t="str">
        <x:v>平</x:v>
      </x:c>
      <x:c r="E444" s="6" t="str">
        <x:v>baew (A)</x:v>
      </x:c>
      <x:c r="F444" s="6" t="str">
        <x:v>下平聲三肴</x:v>
      </x:c>
      <x:c r="G444" s="6" t="str">
        <x:v>Pingshui main list, Wikisource-derived DOCX</x:v>
      </x:c>
      <x:c r="H444" s="6" t="str">
        <x:v>1</x:v>
      </x:c>
      <x:c r="I444" s="6" t="str"/>
      <x:c r="J444" s="6" t="str">
        <x:f>IF(B444="","",IF(AND(ISNUMBER(SEARCH("平",B444)),OR(ISNUMBER(SEARCH("上",B444)),ISNUMBER(SEARCH("去",B444)),ISNUMBER(SEARCH("入",B444)))),"Ambiguous",IF(ISNUMBER(SEARCH("平",B444)),"平","仄")))</x:f>
        <x:v>平</x:v>
      </x:c>
      <x:c r="K444" s="6" t="str">
        <x:f>IF(D444="","",IF(AND(ISNUMBER(SEARCH("平",D444)),OR(ISNUMBER(SEARCH("上",D444)),ISNUMBER(SEARCH("去",D444)),ISNUMBER(SEARCH("入",D444)))),"Ambiguous",IF(ISNUMBER(SEARCH("平",D444)),"平","仄")))</x:f>
        <x:v>平</x:v>
      </x:c>
      <x:c r="L444" s="7" t="str"/>
    </x:row>
    <x:row r="445">
      <x:c r="A445" s="5" t="str">
        <x:v>匐</x:v>
      </x:c>
      <x:c r="B445" s="6" t="str">
        <x:v>入</x:v>
      </x:c>
      <x:c r="C445" s="6" t="str">
        <x:f>IF(B445="","Needs decision","Ready")</x:f>
        <x:v>Ready</x:v>
      </x:c>
      <x:c r="D445" s="6" t="str">
        <x:v>入</x:v>
      </x:c>
      <x:c r="E445" s="6" t="str">
        <x:v>bjuwk (D); bok (D)</x:v>
      </x:c>
      <x:c r="F445" s="6" t="str">
        <x:v>入聲一屋; 入聲十三職</x:v>
      </x:c>
      <x:c r="G445" s="6" t="str">
        <x:v>Pingshui main list, Wikisource-derived DOCX</x:v>
      </x:c>
      <x:c r="H445" s="6" t="str">
        <x:v>2</x:v>
      </x:c>
      <x:c r="I445" s="6" t="str"/>
      <x:c r="J445" s="6" t="str">
        <x:f>IF(B445="","",IF(AND(ISNUMBER(SEARCH("平",B445)),OR(ISNUMBER(SEARCH("上",B445)),ISNUMBER(SEARCH("去",B445)),ISNUMBER(SEARCH("入",B445)))),"Ambiguous",IF(ISNUMBER(SEARCH("平",B445)),"平","仄")))</x:f>
        <x:v>仄</x:v>
      </x:c>
      <x:c r="K445" s="6" t="str">
        <x:f>IF(D445="","",IF(AND(ISNUMBER(SEARCH("平",D445)),OR(ISNUMBER(SEARCH("上",D445)),ISNUMBER(SEARCH("去",D445)),ISNUMBER(SEARCH("入",D445)))),"Ambiguous",IF(ISNUMBER(SEARCH("平",D445)),"平","仄")))</x:f>
        <x:v>仄</x:v>
      </x:c>
      <x:c r="L445" s="7" t="str"/>
    </x:row>
    <x:row r="446">
      <x:c r="A446" s="5" t="str">
        <x:v>匕</x:v>
      </x:c>
      <x:c r="B446" s="6" t="str">
        <x:v>上</x:v>
      </x:c>
      <x:c r="C446" s="6" t="str">
        <x:f>IF(B446="","Needs decision","Ready")</x:f>
        <x:v>Ready</x:v>
      </x:c>
      <x:c r="D446" s="6" t="str">
        <x:v>上</x:v>
      </x:c>
      <x:c r="E446" s="6" t="str">
        <x:v>pjijX (B)</x:v>
      </x:c>
      <x:c r="F446" s="6" t="str">
        <x:v>上聲四紙</x:v>
      </x:c>
      <x:c r="G446" s="6" t="str">
        <x:v>Pingshui main list, Wikisource-derived DOCX</x:v>
      </x:c>
      <x:c r="H446" s="6" t="str">
        <x:v>1</x:v>
      </x:c>
      <x:c r="I446" s="6" t="str"/>
      <x:c r="J446" s="6" t="str">
        <x:f>IF(B446="","",IF(AND(ISNUMBER(SEARCH("平",B446)),OR(ISNUMBER(SEARCH("上",B446)),ISNUMBER(SEARCH("去",B446)),ISNUMBER(SEARCH("入",B446)))),"Ambiguous",IF(ISNUMBER(SEARCH("平",B446)),"平","仄")))</x:f>
        <x:v>仄</x:v>
      </x:c>
      <x:c r="K446" s="6" t="str">
        <x:f>IF(D446="","",IF(AND(ISNUMBER(SEARCH("平",D446)),OR(ISNUMBER(SEARCH("上",D446)),ISNUMBER(SEARCH("去",D446)),ISNUMBER(SEARCH("入",D446)))),"Ambiguous",IF(ISNUMBER(SEARCH("平",D446)),"平","仄")))</x:f>
        <x:v>仄</x:v>
      </x:c>
      <x:c r="L446" s="7" t="str"/>
    </x:row>
    <x:row r="447">
      <x:c r="A447" s="5" t="str">
        <x:v>化</x:v>
      </x:c>
      <x:c r="B447" s="6" t="str">
        <x:v>去</x:v>
      </x:c>
      <x:c r="C447" s="6" t="str">
        <x:f>IF(B447="","Needs decision","Ready")</x:f>
        <x:v>Ready</x:v>
      </x:c>
      <x:c r="D447" s="6" t="str">
        <x:v>去</x:v>
      </x:c>
      <x:c r="E447" s="6" t="str">
        <x:v>xwaeH (C)</x:v>
      </x:c>
      <x:c r="F447" s="6" t="str">
        <x:v>去聲二十二禡</x:v>
      </x:c>
      <x:c r="G447" s="6" t="str">
        <x:v>Pingshui main list, Wikisource-derived DOCX</x:v>
      </x:c>
      <x:c r="H447" s="6" t="str">
        <x:v>1</x:v>
      </x:c>
      <x:c r="I447" s="6" t="str"/>
      <x:c r="J447" s="6" t="str">
        <x:f>IF(B447="","",IF(AND(ISNUMBER(SEARCH("平",B447)),OR(ISNUMBER(SEARCH("上",B447)),ISNUMBER(SEARCH("去",B447)),ISNUMBER(SEARCH("入",B447)))),"Ambiguous",IF(ISNUMBER(SEARCH("平",B447)),"平","仄")))</x:f>
        <x:v>仄</x:v>
      </x:c>
      <x:c r="K447" s="6" t="str">
        <x:f>IF(D447="","",IF(AND(ISNUMBER(SEARCH("平",D447)),OR(ISNUMBER(SEARCH("上",D447)),ISNUMBER(SEARCH("去",D447)),ISNUMBER(SEARCH("入",D447)))),"Ambiguous",IF(ISNUMBER(SEARCH("平",D447)),"平","仄")))</x:f>
        <x:v>仄</x:v>
      </x:c>
      <x:c r="L447" s="7" t="str"/>
    </x:row>
    <x:row r="448">
      <x:c r="A448" s="5" t="str">
        <x:v>北</x:v>
      </x:c>
      <x:c r="B448" s="6" t="str">
        <x:v>入</x:v>
      </x:c>
      <x:c r="C448" s="6" t="str">
        <x:f>IF(B448="","Needs decision","Ready")</x:f>
        <x:v>Ready</x:v>
      </x:c>
      <x:c r="D448" s="6" t="str">
        <x:v>入</x:v>
      </x:c>
      <x:c r="E448" s="6" t="str">
        <x:v>pok (D)</x:v>
      </x:c>
      <x:c r="F448" s="6" t="str">
        <x:v>去聲十一隊; 入聲八黠; 入聲十三職</x:v>
      </x:c>
      <x:c r="G448" s="6" t="str">
        <x:v>Pingshui main list, Wikisource-derived DOCX</x:v>
      </x:c>
      <x:c r="H448" s="6" t="str">
        <x:v>1</x:v>
      </x:c>
      <x:c r="I448" s="6" t="str"/>
      <x:c r="J448" s="6" t="str">
        <x:f>IF(B448="","",IF(AND(ISNUMBER(SEARCH("平",B448)),OR(ISNUMBER(SEARCH("上",B448)),ISNUMBER(SEARCH("去",B448)),ISNUMBER(SEARCH("入",B448)))),"Ambiguous",IF(ISNUMBER(SEARCH("平",B448)),"平","仄")))</x:f>
        <x:v>仄</x:v>
      </x:c>
      <x:c r="K448" s="6" t="str">
        <x:f>IF(D448="","",IF(AND(ISNUMBER(SEARCH("平",D448)),OR(ISNUMBER(SEARCH("上",D448)),ISNUMBER(SEARCH("去",D448)),ISNUMBER(SEARCH("入",D448)))),"Ambiguous",IF(ISNUMBER(SEARCH("平",D448)),"平","仄")))</x:f>
        <x:v>仄</x:v>
      </x:c>
      <x:c r="L448" s="7" t="str"/>
    </x:row>
    <x:row r="449">
      <x:c r="A449" s="5" t="str">
        <x:v>匚</x:v>
      </x:c>
      <x:c r="B449" s="6" t="str">
        <x:v>平</x:v>
      </x:c>
      <x:c r="C449" s="6" t="str">
        <x:f>IF(B449="","Needs decision","Ready")</x:f>
        <x:v>Ready</x:v>
      </x:c>
      <x:c r="D449" s="6" t="str">
        <x:v>平</x:v>
      </x:c>
      <x:c r="E449" s="6" t="str">
        <x:v>pjang (A)</x:v>
      </x:c>
      <x:c r="F449" s="6" t="str"/>
      <x:c r="G449" s="6" t="str"/>
      <x:c r="H449" s="6" t="str">
        <x:v>1</x:v>
      </x:c>
      <x:c r="I449" s="6" t="str"/>
      <x:c r="J449" s="6" t="str">
        <x:f>IF(B449="","",IF(AND(ISNUMBER(SEARCH("平",B449)),OR(ISNUMBER(SEARCH("上",B449)),ISNUMBER(SEARCH("去",B449)),ISNUMBER(SEARCH("入",B449)))),"Ambiguous",IF(ISNUMBER(SEARCH("平",B449)),"平","仄")))</x:f>
        <x:v>平</x:v>
      </x:c>
      <x:c r="K449" s="6" t="str">
        <x:f>IF(D449="","",IF(AND(ISNUMBER(SEARCH("平",D449)),OR(ISNUMBER(SEARCH("上",D449)),ISNUMBER(SEARCH("去",D449)),ISNUMBER(SEARCH("入",D449)))),"Ambiguous",IF(ISNUMBER(SEARCH("平",D449)),"平","仄")))</x:f>
        <x:v>平</x:v>
      </x:c>
      <x:c r="L449" s="7" t="str"/>
    </x:row>
    <x:row r="450">
      <x:c r="A450" s="5" t="str">
        <x:v>匜</x:v>
      </x:c>
      <x:c r="B450" s="6" t="str">
        <x:v>平</x:v>
      </x:c>
      <x:c r="C450" s="6" t="str">
        <x:f>IF(B450="","Needs decision","Ready")</x:f>
        <x:v>Ready</x:v>
      </x:c>
      <x:c r="D450" s="6" t="str">
        <x:v>平</x:v>
      </x:c>
      <x:c r="E450" s="6" t="str">
        <x:v>ye (A)</x:v>
      </x:c>
      <x:c r="F450" s="6" t="str">
        <x:v>上平聲四支; 上聲四紙</x:v>
      </x:c>
      <x:c r="G450" s="6" t="str">
        <x:v>Pingshui main list, Wikisource-derived DOCX</x:v>
      </x:c>
      <x:c r="H450" s="6" t="str">
        <x:v>1</x:v>
      </x:c>
      <x:c r="I450" s="6" t="str"/>
      <x:c r="J450" s="6" t="str">
        <x:f>IF(B450="","",IF(AND(ISNUMBER(SEARCH("平",B450)),OR(ISNUMBER(SEARCH("上",B450)),ISNUMBER(SEARCH("去",B450)),ISNUMBER(SEARCH("入",B450)))),"Ambiguous",IF(ISNUMBER(SEARCH("平",B450)),"平","仄")))</x:f>
        <x:v>平</x:v>
      </x:c>
      <x:c r="K450" s="6" t="str">
        <x:f>IF(D450="","",IF(AND(ISNUMBER(SEARCH("平",D450)),OR(ISNUMBER(SEARCH("上",D450)),ISNUMBER(SEARCH("去",D450)),ISNUMBER(SEARCH("入",D450)))),"Ambiguous",IF(ISNUMBER(SEARCH("平",D450)),"平","仄")))</x:f>
        <x:v>平</x:v>
      </x:c>
      <x:c r="L450" s="7" t="str"/>
    </x:row>
    <x:row r="451">
      <x:c r="A451" s="5" t="str">
        <x:v>匝</x:v>
      </x:c>
      <x:c r="B451" s="6" t="str">
        <x:v>入</x:v>
      </x:c>
      <x:c r="C451" s="6" t="str">
        <x:f>IF(B451="","Needs decision","Ready")</x:f>
        <x:v>Ready</x:v>
      </x:c>
      <x:c r="D451" s="6" t="str">
        <x:v>入</x:v>
      </x:c>
      <x:c r="E451" s="6" t="str"/>
      <x:c r="F451" s="6" t="str">
        <x:v>入聲十五合</x:v>
      </x:c>
      <x:c r="G451" s="6" t="str">
        <x:v>Pingshui main list, Wikisource-derived DOCX</x:v>
      </x:c>
      <x:c r="H451" s="6" t="str"/>
      <x:c r="I451" s="6" t="str">
        <x:v>Manual user correction/addition</x:v>
      </x:c>
      <x:c r="J451" s="6" t="str">
        <x:f>IF(B451="","",IF(AND(ISNUMBER(SEARCH("平",B451)),OR(ISNUMBER(SEARCH("上",B451)),ISNUMBER(SEARCH("去",B451)),ISNUMBER(SEARCH("入",B451)))),"Ambiguous",IF(ISNUMBER(SEARCH("平",B451)),"平","仄")))</x:f>
        <x:v>仄</x:v>
      </x:c>
      <x:c r="K451" s="6" t="str">
        <x:f>IF(D451="","",IF(AND(ISNUMBER(SEARCH("平",D451)),OR(ISNUMBER(SEARCH("上",D451)),ISNUMBER(SEARCH("去",D451)),ISNUMBER(SEARCH("入",D451)))),"Ambiguous",IF(ISNUMBER(SEARCH("平",D451)),"平","仄")))</x:f>
        <x:v>仄</x:v>
      </x:c>
      <x:c r="L451" s="7" t="str">
        <x:v>manual user correction</x:v>
      </x:c>
    </x:row>
    <x:row r="452">
      <x:c r="A452" s="5" t="str">
        <x:v>匠</x:v>
      </x:c>
      <x:c r="B452" s="6" t="str">
        <x:v>去</x:v>
      </x:c>
      <x:c r="C452" s="6" t="str">
        <x:f>IF(B452="","Needs decision","Ready")</x:f>
        <x:v>Ready</x:v>
      </x:c>
      <x:c r="D452" s="6" t="str">
        <x:v>去</x:v>
      </x:c>
      <x:c r="E452" s="6" t="str">
        <x:v>dzjangH (C)</x:v>
      </x:c>
      <x:c r="F452" s="6" t="str">
        <x:v>去聲二十三漾</x:v>
      </x:c>
      <x:c r="G452" s="6" t="str">
        <x:v>Pingshui main list, Wikisource-derived DOCX</x:v>
      </x:c>
      <x:c r="H452" s="6" t="str">
        <x:v>1</x:v>
      </x:c>
      <x:c r="I452" s="6" t="str"/>
      <x:c r="J452" s="6" t="str">
        <x:f>IF(B452="","",IF(AND(ISNUMBER(SEARCH("平",B452)),OR(ISNUMBER(SEARCH("上",B452)),ISNUMBER(SEARCH("去",B452)),ISNUMBER(SEARCH("入",B452)))),"Ambiguous",IF(ISNUMBER(SEARCH("平",B452)),"平","仄")))</x:f>
        <x:v>仄</x:v>
      </x:c>
      <x:c r="K452" s="6" t="str">
        <x:f>IF(D452="","",IF(AND(ISNUMBER(SEARCH("平",D452)),OR(ISNUMBER(SEARCH("上",D452)),ISNUMBER(SEARCH("去",D452)),ISNUMBER(SEARCH("入",D452)))),"Ambiguous",IF(ISNUMBER(SEARCH("平",D452)),"平","仄")))</x:f>
        <x:v>仄</x:v>
      </x:c>
      <x:c r="L452" s="7" t="str"/>
    </x:row>
    <x:row r="453">
      <x:c r="A453" s="5" t="str">
        <x:v>匡</x:v>
      </x:c>
      <x:c r="B453" s="6" t="str">
        <x:v>平</x:v>
      </x:c>
      <x:c r="C453" s="6" t="str">
        <x:f>IF(B453="","Needs decision","Ready")</x:f>
        <x:v>Ready</x:v>
      </x:c>
      <x:c r="D453" s="6" t="str">
        <x:v>平</x:v>
      </x:c>
      <x:c r="E453" s="6" t="str">
        <x:v>khjwang (A)</x:v>
      </x:c>
      <x:c r="F453" s="6" t="str">
        <x:v>下平聲七陽</x:v>
      </x:c>
      <x:c r="G453" s="6" t="str">
        <x:v>Pingshui main list, Wikisource-derived DOCX</x:v>
      </x:c>
      <x:c r="H453" s="6" t="str">
        <x:v>1</x:v>
      </x:c>
      <x:c r="I453" s="6" t="str"/>
      <x:c r="J453" s="6" t="str">
        <x:f>IF(B453="","",IF(AND(ISNUMBER(SEARCH("平",B453)),OR(ISNUMBER(SEARCH("上",B453)),ISNUMBER(SEARCH("去",B453)),ISNUMBER(SEARCH("入",B453)))),"Ambiguous",IF(ISNUMBER(SEARCH("平",B453)),"平","仄")))</x:f>
        <x:v>平</x:v>
      </x:c>
      <x:c r="K453" s="6" t="str">
        <x:f>IF(D453="","",IF(AND(ISNUMBER(SEARCH("平",D453)),OR(ISNUMBER(SEARCH("上",D453)),ISNUMBER(SEARCH("去",D453)),ISNUMBER(SEARCH("入",D453)))),"Ambiguous",IF(ISNUMBER(SEARCH("平",D453)),"平","仄")))</x:f>
        <x:v>平</x:v>
      </x:c>
      <x:c r="L453" s="7" t="str"/>
    </x:row>
    <x:row r="454">
      <x:c r="A454" s="5" t="str">
        <x:v>匣</x:v>
      </x:c>
      <x:c r="B454" s="6" t="str">
        <x:v>入</x:v>
      </x:c>
      <x:c r="C454" s="6" t="str">
        <x:f>IF(B454="","Needs decision","Ready")</x:f>
        <x:v>Ready</x:v>
      </x:c>
      <x:c r="D454" s="6" t="str">
        <x:v>入</x:v>
      </x:c>
      <x:c r="E454" s="6" t="str">
        <x:v>haep (D)</x:v>
      </x:c>
      <x:c r="F454" s="6" t="str">
        <x:v>入聲十七洽</x:v>
      </x:c>
      <x:c r="G454" s="6" t="str">
        <x:v>Pingshui main list, Wikisource-derived DOCX</x:v>
      </x:c>
      <x:c r="H454" s="6" t="str">
        <x:v>1</x:v>
      </x:c>
      <x:c r="I454" s="6" t="str"/>
      <x:c r="J454" s="6" t="str">
        <x:f>IF(B454="","",IF(AND(ISNUMBER(SEARCH("平",B454)),OR(ISNUMBER(SEARCH("上",B454)),ISNUMBER(SEARCH("去",B454)),ISNUMBER(SEARCH("入",B454)))),"Ambiguous",IF(ISNUMBER(SEARCH("平",B454)),"平","仄")))</x:f>
        <x:v>仄</x:v>
      </x:c>
      <x:c r="K454" s="6" t="str">
        <x:f>IF(D454="","",IF(AND(ISNUMBER(SEARCH("平",D454)),OR(ISNUMBER(SEARCH("上",D454)),ISNUMBER(SEARCH("去",D454)),ISNUMBER(SEARCH("入",D454)))),"Ambiguous",IF(ISNUMBER(SEARCH("平",D454)),"平","仄")))</x:f>
        <x:v>仄</x:v>
      </x:c>
      <x:c r="L454" s="7" t="str"/>
    </x:row>
    <x:row r="455">
      <x:c r="A455" s="5" t="str">
        <x:v>匧</x:v>
      </x:c>
      <x:c r="B455" s="6" t="str">
        <x:v>入</x:v>
      </x:c>
      <x:c r="C455" s="6" t="str">
        <x:f>IF(B455="","Needs decision","Ready")</x:f>
        <x:v>Ready</x:v>
      </x:c>
      <x:c r="D455" s="6" t="str">
        <x:v>入</x:v>
      </x:c>
      <x:c r="E455" s="6" t="str">
        <x:v>khep (D)</x:v>
      </x:c>
      <x:c r="F455" s="6" t="str"/>
      <x:c r="G455" s="6" t="str"/>
      <x:c r="H455" s="6" t="str">
        <x:v>1</x:v>
      </x:c>
      <x:c r="I455" s="6" t="str"/>
      <x:c r="J455" s="6" t="str">
        <x:f>IF(B455="","",IF(AND(ISNUMBER(SEARCH("平",B455)),OR(ISNUMBER(SEARCH("上",B455)),ISNUMBER(SEARCH("去",B455)),ISNUMBER(SEARCH("入",B455)))),"Ambiguous",IF(ISNUMBER(SEARCH("平",B455)),"平","仄")))</x:f>
        <x:v>仄</x:v>
      </x:c>
      <x:c r="K455" s="6" t="str">
        <x:f>IF(D455="","",IF(AND(ISNUMBER(SEARCH("平",D455)),OR(ISNUMBER(SEARCH("上",D455)),ISNUMBER(SEARCH("去",D455)),ISNUMBER(SEARCH("入",D455)))),"Ambiguous",IF(ISNUMBER(SEARCH("平",D455)),"平","仄")))</x:f>
        <x:v>仄</x:v>
      </x:c>
      <x:c r="L455" s="7" t="str"/>
    </x:row>
    <x:row r="456">
      <x:c r="A456" s="5" t="str">
        <x:v>匪</x:v>
      </x:c>
      <x:c r="B456" s="6" t="str">
        <x:v>上</x:v>
      </x:c>
      <x:c r="C456" s="6" t="str">
        <x:f>IF(B456="","Needs decision","Ready")</x:f>
        <x:v>Ready</x:v>
      </x:c>
      <x:c r="D456" s="6" t="str">
        <x:v>上</x:v>
      </x:c>
      <x:c r="E456" s="6" t="str">
        <x:v>pj+jX (B)</x:v>
      </x:c>
      <x:c r="F456" s="6" t="str">
        <x:v>上聲五尾</x:v>
      </x:c>
      <x:c r="G456" s="6" t="str">
        <x:v>Pingshui main list, Wikisource-derived DOCX</x:v>
      </x:c>
      <x:c r="H456" s="6" t="str">
        <x:v>1</x:v>
      </x:c>
      <x:c r="I456" s="6" t="str"/>
      <x:c r="J456" s="6" t="str">
        <x:f>IF(B456="","",IF(AND(ISNUMBER(SEARCH("平",B456)),OR(ISNUMBER(SEARCH("上",B456)),ISNUMBER(SEARCH("去",B456)),ISNUMBER(SEARCH("入",B456)))),"Ambiguous",IF(ISNUMBER(SEARCH("平",B456)),"平","仄")))</x:f>
        <x:v>仄</x:v>
      </x:c>
      <x:c r="K456" s="6" t="str">
        <x:f>IF(D456="","",IF(AND(ISNUMBER(SEARCH("平",D456)),OR(ISNUMBER(SEARCH("上",D456)),ISNUMBER(SEARCH("去",D456)),ISNUMBER(SEARCH("入",D456)))),"Ambiguous",IF(ISNUMBER(SEARCH("平",D456)),"平","仄")))</x:f>
        <x:v>仄</x:v>
      </x:c>
      <x:c r="L456" s="7" t="str"/>
    </x:row>
    <x:row r="457">
      <x:c r="A457" s="5" t="str">
        <x:v>匱</x:v>
      </x:c>
      <x:c r="B457" s="6" t="str">
        <x:v>去</x:v>
      </x:c>
      <x:c r="C457" s="6" t="str">
        <x:f>IF(B457="","Needs decision","Ready")</x:f>
        <x:v>Ready</x:v>
      </x:c>
      <x:c r="D457" s="6" t="str">
        <x:v>去</x:v>
      </x:c>
      <x:c r="E457" s="6" t="str">
        <x:v>gwijH (C)</x:v>
      </x:c>
      <x:c r="F457" s="6" t="str">
        <x:v>去聲四寘</x:v>
      </x:c>
      <x:c r="G457" s="6" t="str">
        <x:v>Pingshui main list, Wikisource-derived DOCX</x:v>
      </x:c>
      <x:c r="H457" s="6" t="str">
        <x:v>1</x:v>
      </x:c>
      <x:c r="I457" s="6" t="str"/>
      <x:c r="J457" s="6" t="str">
        <x:f>IF(B457="","",IF(AND(ISNUMBER(SEARCH("平",B457)),OR(ISNUMBER(SEARCH("上",B457)),ISNUMBER(SEARCH("去",B457)),ISNUMBER(SEARCH("入",B457)))),"Ambiguous",IF(ISNUMBER(SEARCH("平",B457)),"平","仄")))</x:f>
        <x:v>仄</x:v>
      </x:c>
      <x:c r="K457" s="6" t="str">
        <x:f>IF(D457="","",IF(AND(ISNUMBER(SEARCH("平",D457)),OR(ISNUMBER(SEARCH("上",D457)),ISNUMBER(SEARCH("去",D457)),ISNUMBER(SEARCH("入",D457)))),"Ambiguous",IF(ISNUMBER(SEARCH("平",D457)),"平","仄")))</x:f>
        <x:v>仄</x:v>
      </x:c>
      <x:c r="L457" s="7" t="str"/>
    </x:row>
    <x:row r="458">
      <x:c r="A458" s="5" t="str">
        <x:v>匹</x:v>
      </x:c>
      <x:c r="B458" s="6" t="str">
        <x:v>入</x:v>
      </x:c>
      <x:c r="C458" s="6" t="str">
        <x:f>IF(B458="","Needs decision","Ready")</x:f>
        <x:v>Ready</x:v>
      </x:c>
      <x:c r="D458" s="6" t="str">
        <x:v>入</x:v>
      </x:c>
      <x:c r="E458" s="6" t="str">
        <x:v>phjit (D)</x:v>
      </x:c>
      <x:c r="F458" s="6" t="str">
        <x:v>入聲四質</x:v>
      </x:c>
      <x:c r="G458" s="6" t="str">
        <x:v>Pingshui main list, Wikisource-derived DOCX</x:v>
      </x:c>
      <x:c r="H458" s="6" t="str">
        <x:v>1</x:v>
      </x:c>
      <x:c r="I458" s="6" t="str"/>
      <x:c r="J458" s="6" t="str">
        <x:f>IF(B458="","",IF(AND(ISNUMBER(SEARCH("平",B458)),OR(ISNUMBER(SEARCH("上",B458)),ISNUMBER(SEARCH("去",B458)),ISNUMBER(SEARCH("入",B458)))),"Ambiguous",IF(ISNUMBER(SEARCH("平",B458)),"平","仄")))</x:f>
        <x:v>仄</x:v>
      </x:c>
      <x:c r="K458" s="6" t="str">
        <x:f>IF(D458="","",IF(AND(ISNUMBER(SEARCH("平",D458)),OR(ISNUMBER(SEARCH("上",D458)),ISNUMBER(SEARCH("去",D458)),ISNUMBER(SEARCH("入",D458)))),"Ambiguous",IF(ISNUMBER(SEARCH("平",D458)),"平","仄")))</x:f>
        <x:v>仄</x:v>
      </x:c>
      <x:c r="L458" s="7" t="str"/>
    </x:row>
    <x:row r="459">
      <x:c r="A459" s="5" t="str">
        <x:v>匿</x:v>
      </x:c>
      <x:c r="B459" s="6" t="str">
        <x:v>入</x:v>
      </x:c>
      <x:c r="C459" s="6" t="str">
        <x:f>IF(B459="","Needs decision","Ready")</x:f>
        <x:v>Ready</x:v>
      </x:c>
      <x:c r="D459" s="6" t="str">
        <x:v>入</x:v>
      </x:c>
      <x:c r="E459" s="6" t="str">
        <x:v>nrik (D)</x:v>
      </x:c>
      <x:c r="F459" s="6" t="str">
        <x:v>入聲十三職</x:v>
      </x:c>
      <x:c r="G459" s="6" t="str">
        <x:v>Pingshui main list, Wikisource-derived DOCX</x:v>
      </x:c>
      <x:c r="H459" s="6" t="str">
        <x:v>1</x:v>
      </x:c>
      <x:c r="I459" s="6" t="str"/>
      <x:c r="J459" s="6" t="str">
        <x:f>IF(B459="","",IF(AND(ISNUMBER(SEARCH("平",B459)),OR(ISNUMBER(SEARCH("上",B459)),ISNUMBER(SEARCH("去",B459)),ISNUMBER(SEARCH("入",B459)))),"Ambiguous",IF(ISNUMBER(SEARCH("平",B459)),"平","仄")))</x:f>
        <x:v>仄</x:v>
      </x:c>
      <x:c r="K459" s="6" t="str">
        <x:f>IF(D459="","",IF(AND(ISNUMBER(SEARCH("平",D459)),OR(ISNUMBER(SEARCH("上",D459)),ISNUMBER(SEARCH("去",D459)),ISNUMBER(SEARCH("入",D459)))),"Ambiguous",IF(ISNUMBER(SEARCH("平",D459)),"平","仄")))</x:f>
        <x:v>仄</x:v>
      </x:c>
      <x:c r="L459" s="7" t="str"/>
    </x:row>
    <x:row r="460">
      <x:c r="A460" s="5" t="str">
        <x:v>區</x:v>
      </x:c>
      <x:c r="B460" s="6" t="str">
        <x:v>平</x:v>
      </x:c>
      <x:c r="C460" s="6" t="str">
        <x:f>IF(B460="","Needs decision","Ready")</x:f>
        <x:v>Ready</x:v>
      </x:c>
      <x:c r="D460" s="6" t="str">
        <x:v>平</x:v>
      </x:c>
      <x:c r="E460" s="6" t="str">
        <x:v>'uw (A)</x:v>
      </x:c>
      <x:c r="F460" s="6" t="str">
        <x:v>上平聲七虞; 下平聲十一尤</x:v>
      </x:c>
      <x:c r="G460" s="6" t="str">
        <x:v>Pingshui main list, Wikisource-derived DOCX</x:v>
      </x:c>
      <x:c r="H460" s="6" t="str">
        <x:v>1</x:v>
      </x:c>
      <x:c r="I460" s="6" t="str"/>
      <x:c r="J460" s="6" t="str">
        <x:f>IF(B460="","",IF(AND(ISNUMBER(SEARCH("平",B460)),OR(ISNUMBER(SEARCH("上",B460)),ISNUMBER(SEARCH("去",B460)),ISNUMBER(SEARCH("入",B460)))),"Ambiguous",IF(ISNUMBER(SEARCH("平",B460)),"平","仄")))</x:f>
        <x:v>平</x:v>
      </x:c>
      <x:c r="K460" s="6" t="str">
        <x:f>IF(D460="","",IF(AND(ISNUMBER(SEARCH("平",D460)),OR(ISNUMBER(SEARCH("上",D460)),ISNUMBER(SEARCH("去",D460)),ISNUMBER(SEARCH("入",D460)))),"Ambiguous",IF(ISNUMBER(SEARCH("平",D460)),"平","仄")))</x:f>
        <x:v>平</x:v>
      </x:c>
      <x:c r="L460" s="7" t="str"/>
    </x:row>
    <x:row r="461">
      <x:c r="A461" s="5" t="str">
        <x:v>十</x:v>
      </x:c>
      <x:c r="B461" s="6" t="str">
        <x:v>入</x:v>
      </x:c>
      <x:c r="C461" s="6" t="str">
        <x:f>IF(B461="","Needs decision","Ready")</x:f>
        <x:v>Ready</x:v>
      </x:c>
      <x:c r="D461" s="6" t="str">
        <x:v>入</x:v>
      </x:c>
      <x:c r="E461" s="6" t="str">
        <x:v>dzyip (D)</x:v>
      </x:c>
      <x:c r="F461" s="6" t="str">
        <x:v>入聲十四緝</x:v>
      </x:c>
      <x:c r="G461" s="6" t="str">
        <x:v>Pingshui main list, Wikisource-derived DOCX</x:v>
      </x:c>
      <x:c r="H461" s="6" t="str">
        <x:v>1</x:v>
      </x:c>
      <x:c r="I461" s="6" t="str"/>
      <x:c r="J461" s="6" t="str">
        <x:f>IF(B461="","",IF(AND(ISNUMBER(SEARCH("平",B461)),OR(ISNUMBER(SEARCH("上",B461)),ISNUMBER(SEARCH("去",B461)),ISNUMBER(SEARCH("入",B461)))),"Ambiguous",IF(ISNUMBER(SEARCH("平",B461)),"平","仄")))</x:f>
        <x:v>仄</x:v>
      </x:c>
      <x:c r="K461" s="6" t="str">
        <x:f>IF(D461="","",IF(AND(ISNUMBER(SEARCH("平",D461)),OR(ISNUMBER(SEARCH("上",D461)),ISNUMBER(SEARCH("去",D461)),ISNUMBER(SEARCH("入",D461)))),"Ambiguous",IF(ISNUMBER(SEARCH("平",D461)),"平","仄")))</x:f>
        <x:v>仄</x:v>
      </x:c>
      <x:c r="L461" s="7" t="str"/>
    </x:row>
    <x:row r="462">
      <x:c r="A462" s="5" t="str">
        <x:v>千</x:v>
      </x:c>
      <x:c r="B462" s="6" t="str">
        <x:v>平</x:v>
      </x:c>
      <x:c r="C462" s="6" t="str">
        <x:f>IF(B462="","Needs decision","Ready")</x:f>
        <x:v>Ready</x:v>
      </x:c>
      <x:c r="D462" s="6" t="str">
        <x:v>平</x:v>
      </x:c>
      <x:c r="E462" s="6" t="str">
        <x:v>tshen (A)</x:v>
      </x:c>
      <x:c r="F462" s="6" t="str">
        <x:v>下平聲一先</x:v>
      </x:c>
      <x:c r="G462" s="6" t="str">
        <x:v>Pingshui main list, Wikisource-derived DOCX</x:v>
      </x:c>
      <x:c r="H462" s="6" t="str">
        <x:v>1</x:v>
      </x:c>
      <x:c r="I462" s="6" t="str"/>
      <x:c r="J462" s="6" t="str">
        <x:f>IF(B462="","",IF(AND(ISNUMBER(SEARCH("平",B462)),OR(ISNUMBER(SEARCH("上",B462)),ISNUMBER(SEARCH("去",B462)),ISNUMBER(SEARCH("入",B462)))),"Ambiguous",IF(ISNUMBER(SEARCH("平",B462)),"平","仄")))</x:f>
        <x:v>平</x:v>
      </x:c>
      <x:c r="K462" s="6" t="str">
        <x:f>IF(D462="","",IF(AND(ISNUMBER(SEARCH("平",D462)),OR(ISNUMBER(SEARCH("上",D462)),ISNUMBER(SEARCH("去",D462)),ISNUMBER(SEARCH("入",D462)))),"Ambiguous",IF(ISNUMBER(SEARCH("平",D462)),"平","仄")))</x:f>
        <x:v>平</x:v>
      </x:c>
      <x:c r="L462" s="7" t="str"/>
    </x:row>
    <x:row r="463">
      <x:c r="A463" s="5" t="str">
        <x:v>升</x:v>
      </x:c>
      <x:c r="B463" s="6" t="str">
        <x:v>平</x:v>
      </x:c>
      <x:c r="C463" s="6" t="str">
        <x:f>IF(B463="","Needs decision","Ready")</x:f>
        <x:v>Ready</x:v>
      </x:c>
      <x:c r="D463" s="6" t="str">
        <x:v>平</x:v>
      </x:c>
      <x:c r="E463" s="6" t="str">
        <x:v>sying (A)</x:v>
      </x:c>
      <x:c r="F463" s="6" t="str">
        <x:v>下平聲十蒸</x:v>
      </x:c>
      <x:c r="G463" s="6" t="str">
        <x:v>Pingshui main list, Wikisource-derived DOCX</x:v>
      </x:c>
      <x:c r="H463" s="6" t="str">
        <x:v>1</x:v>
      </x:c>
      <x:c r="I463" s="6" t="str"/>
      <x:c r="J463" s="6" t="str">
        <x:f>IF(B463="","",IF(AND(ISNUMBER(SEARCH("平",B463)),OR(ISNUMBER(SEARCH("上",B463)),ISNUMBER(SEARCH("去",B463)),ISNUMBER(SEARCH("入",B463)))),"Ambiguous",IF(ISNUMBER(SEARCH("平",B463)),"平","仄")))</x:f>
        <x:v>平</x:v>
      </x:c>
      <x:c r="K463" s="6" t="str">
        <x:f>IF(D463="","",IF(AND(ISNUMBER(SEARCH("平",D463)),OR(ISNUMBER(SEARCH("上",D463)),ISNUMBER(SEARCH("去",D463)),ISNUMBER(SEARCH("入",D463)))),"Ambiguous",IF(ISNUMBER(SEARCH("平",D463)),"平","仄")))</x:f>
        <x:v>平</x:v>
      </x:c>
      <x:c r="L463" s="7" t="str"/>
    </x:row>
    <x:row r="464">
      <x:c r="A464" s="5" t="str">
        <x:v>午</x:v>
      </x:c>
      <x:c r="B464" s="6" t="str">
        <x:v>上</x:v>
      </x:c>
      <x:c r="C464" s="6" t="str">
        <x:f>IF(B464="","Needs decision","Ready")</x:f>
        <x:v>Ready</x:v>
      </x:c>
      <x:c r="D464" s="6" t="str">
        <x:v>上</x:v>
      </x:c>
      <x:c r="E464" s="6" t="str">
        <x:v>nguX (B)</x:v>
      </x:c>
      <x:c r="F464" s="6" t="str">
        <x:v>上聲七麌</x:v>
      </x:c>
      <x:c r="G464" s="6" t="str">
        <x:v>Pingshui main list, Wikisource-derived DOCX</x:v>
      </x:c>
      <x:c r="H464" s="6" t="str">
        <x:v>1</x:v>
      </x:c>
      <x:c r="I464" s="6" t="str"/>
      <x:c r="J464" s="6" t="str">
        <x:f>IF(B464="","",IF(AND(ISNUMBER(SEARCH("平",B464)),OR(ISNUMBER(SEARCH("上",B464)),ISNUMBER(SEARCH("去",B464)),ISNUMBER(SEARCH("入",B464)))),"Ambiguous",IF(ISNUMBER(SEARCH("平",B464)),"平","仄")))</x:f>
        <x:v>仄</x:v>
      </x:c>
      <x:c r="K464" s="6" t="str">
        <x:f>IF(D464="","",IF(AND(ISNUMBER(SEARCH("平",D464)),OR(ISNUMBER(SEARCH("上",D464)),ISNUMBER(SEARCH("去",D464)),ISNUMBER(SEARCH("入",D464)))),"Ambiguous",IF(ISNUMBER(SEARCH("平",D464)),"平","仄")))</x:f>
        <x:v>仄</x:v>
      </x:c>
      <x:c r="L464" s="7" t="str"/>
    </x:row>
    <x:row r="465">
      <x:c r="A465" s="5" t="str">
        <x:v>卉</x:v>
      </x:c>
      <x:c r="B465" s="6" t="str">
        <x:v>去</x:v>
      </x:c>
      <x:c r="C465" s="6" t="str">
        <x:f>IF(B465="","Needs decision","Ready")</x:f>
        <x:v>Ready</x:v>
      </x:c>
      <x:c r="D465" s="6" t="str">
        <x:v>去</x:v>
      </x:c>
      <x:c r="E465" s="6" t="str"/>
      <x:c r="F465" s="6" t="str">
        <x:v>上聲五尾; 去聲五未</x:v>
      </x:c>
      <x:c r="G465" s="6" t="str">
        <x:v>Pingshui main list, Wikisource-derived DOCX</x:v>
      </x:c>
      <x:c r="H465" s="6" t="str">
        <x:v>0</x:v>
      </x:c>
      <x:c r="I465" s="6" t="str">
        <x:v>User correction 2026-09-08; added manually</x:v>
      </x:c>
      <x:c r="J465" s="6" t="str">
        <x:f>IF(B465="","",IF(AND(ISNUMBER(SEARCH("平",B465)),OR(ISNUMBER(SEARCH("上",B465)),ISNUMBER(SEARCH("去",B465)),ISNUMBER(SEARCH("入",B465)))),"Ambiguous",IF(ISNUMBER(SEARCH("平",B465)),"平","仄")))</x:f>
        <x:v>仄</x:v>
      </x:c>
      <x:c r="K465" s="6" t="str">
        <x:f>IF(D465="","",IF(AND(ISNUMBER(SEARCH("平",D465)),OR(ISNUMBER(SEARCH("上",D465)),ISNUMBER(SEARCH("去",D465)),ISNUMBER(SEARCH("入",D465)))),"Ambiguous",IF(ISNUMBER(SEARCH("平",D465)),"平","仄")))</x:f>
        <x:v>仄</x:v>
      </x:c>
      <x:c r="L465" s="7" t="str">
        <x:v>User correction</x:v>
      </x:c>
    </x:row>
    <x:row r="466">
      <x:c r="A466" s="5" t="str">
        <x:v>半</x:v>
      </x:c>
      <x:c r="B466" s="6" t="str">
        <x:v>去</x:v>
      </x:c>
      <x:c r="C466" s="6" t="str">
        <x:f>IF(B466="","Needs decision","Ready")</x:f>
        <x:v>Ready</x:v>
      </x:c>
      <x:c r="D466" s="6" t="str">
        <x:v>去</x:v>
      </x:c>
      <x:c r="E466" s="6" t="str">
        <x:v>panH (C)</x:v>
      </x:c>
      <x:c r="F466" s="6" t="str">
        <x:v>去聲十五翰</x:v>
      </x:c>
      <x:c r="G466" s="6" t="str">
        <x:v>Pingshui main list, Wikisource-derived DOCX</x:v>
      </x:c>
      <x:c r="H466" s="6" t="str">
        <x:v>1</x:v>
      </x:c>
      <x:c r="I466" s="6" t="str"/>
      <x:c r="J466" s="6" t="str">
        <x:f>IF(B466="","",IF(AND(ISNUMBER(SEARCH("平",B466)),OR(ISNUMBER(SEARCH("上",B466)),ISNUMBER(SEARCH("去",B466)),ISNUMBER(SEARCH("入",B466)))),"Ambiguous",IF(ISNUMBER(SEARCH("平",B466)),"平","仄")))</x:f>
        <x:v>仄</x:v>
      </x:c>
      <x:c r="K466" s="6" t="str">
        <x:f>IF(D466="","",IF(AND(ISNUMBER(SEARCH("平",D466)),OR(ISNUMBER(SEARCH("上",D466)),ISNUMBER(SEARCH("去",D466)),ISNUMBER(SEARCH("入",D466)))),"Ambiguous",IF(ISNUMBER(SEARCH("平",D466)),"平","仄")))</x:f>
        <x:v>仄</x:v>
      </x:c>
      <x:c r="L466" s="7" t="str"/>
    </x:row>
    <x:row r="467">
      <x:c r="A467" s="5" t="str">
        <x:v>卑</x:v>
      </x:c>
      <x:c r="B467" s="6" t="str">
        <x:v>平</x:v>
      </x:c>
      <x:c r="C467" s="6" t="str">
        <x:f>IF(B467="","Needs decision","Ready")</x:f>
        <x:v>Ready</x:v>
      </x:c>
      <x:c r="D467" s="6" t="str">
        <x:v>平</x:v>
      </x:c>
      <x:c r="E467" s="6" t="str">
        <x:v>pjie (A)</x:v>
      </x:c>
      <x:c r="F467" s="6" t="str">
        <x:v>上平聲四支</x:v>
      </x:c>
      <x:c r="G467" s="6" t="str">
        <x:v>Pingshui main list, Wikisource-derived DOCX</x:v>
      </x:c>
      <x:c r="H467" s="6" t="str">
        <x:v>1</x:v>
      </x:c>
      <x:c r="I467" s="6" t="str"/>
      <x:c r="J467" s="6" t="str">
        <x:f>IF(B467="","",IF(AND(ISNUMBER(SEARCH("平",B467)),OR(ISNUMBER(SEARCH("上",B467)),ISNUMBER(SEARCH("去",B467)),ISNUMBER(SEARCH("入",B467)))),"Ambiguous",IF(ISNUMBER(SEARCH("平",B467)),"平","仄")))</x:f>
        <x:v>平</x:v>
      </x:c>
      <x:c r="K467" s="6" t="str">
        <x:f>IF(D467="","",IF(AND(ISNUMBER(SEARCH("平",D467)),OR(ISNUMBER(SEARCH("上",D467)),ISNUMBER(SEARCH("去",D467)),ISNUMBER(SEARCH("入",D467)))),"Ambiguous",IF(ISNUMBER(SEARCH("平",D467)),"平","仄")))</x:f>
        <x:v>平</x:v>
      </x:c>
      <x:c r="L467" s="7" t="str"/>
    </x:row>
    <x:row r="468">
      <x:c r="A468" s="5" t="str">
        <x:v>卒</x:v>
      </x:c>
      <x:c r="B468" s="6" t="str">
        <x:v>入</x:v>
      </x:c>
      <x:c r="C468" s="6" t="str">
        <x:f>IF(B468="","Needs decision","Ready")</x:f>
        <x:v>Ready</x:v>
      </x:c>
      <x:c r="D468" s="6" t="str">
        <x:v>入</x:v>
      </x:c>
      <x:c r="E468" s="6" t="str">
        <x:v>tswit (D); tswot (D)</x:v>
      </x:c>
      <x:c r="F468" s="6" t="str">
        <x:v>入聲四質; 入聲六月</x:v>
      </x:c>
      <x:c r="G468" s="6" t="str">
        <x:v>Pingshui main list, Wikisource-derived DOCX</x:v>
      </x:c>
      <x:c r="H468" s="6" t="str">
        <x:v>2</x:v>
      </x:c>
      <x:c r="I468" s="6" t="str"/>
      <x:c r="J468" s="6" t="str">
        <x:f>IF(B468="","",IF(AND(ISNUMBER(SEARCH("平",B468)),OR(ISNUMBER(SEARCH("上",B468)),ISNUMBER(SEARCH("去",B468)),ISNUMBER(SEARCH("入",B468)))),"Ambiguous",IF(ISNUMBER(SEARCH("平",B468)),"平","仄")))</x:f>
        <x:v>仄</x:v>
      </x:c>
      <x:c r="K468" s="6" t="str">
        <x:f>IF(D468="","",IF(AND(ISNUMBER(SEARCH("平",D468)),OR(ISNUMBER(SEARCH("上",D468)),ISNUMBER(SEARCH("去",D468)),ISNUMBER(SEARCH("入",D468)))),"Ambiguous",IF(ISNUMBER(SEARCH("平",D468)),"平","仄")))</x:f>
        <x:v>仄</x:v>
      </x:c>
      <x:c r="L468" s="7" t="str"/>
    </x:row>
    <x:row r="469">
      <x:c r="A469" s="5" t="str">
        <x:v>卓</x:v>
      </x:c>
      <x:c r="B469" s="6" t="str">
        <x:v>入</x:v>
      </x:c>
      <x:c r="C469" s="6" t="str">
        <x:f>IF(B469="","Needs decision","Ready")</x:f>
        <x:v>Ready</x:v>
      </x:c>
      <x:c r="D469" s="6" t="str">
        <x:v>入</x:v>
      </x:c>
      <x:c r="E469" s="6" t="str">
        <x:v>traewk (D)</x:v>
      </x:c>
      <x:c r="F469" s="6" t="str">
        <x:v>入聲三覺</x:v>
      </x:c>
      <x:c r="G469" s="6" t="str">
        <x:v>Pingshui main list, Wikisource-derived DOCX</x:v>
      </x:c>
      <x:c r="H469" s="6" t="str">
        <x:v>1</x:v>
      </x:c>
      <x:c r="I469" s="6" t="str"/>
      <x:c r="J469" s="6" t="str">
        <x:f>IF(B469="","",IF(AND(ISNUMBER(SEARCH("平",B469)),OR(ISNUMBER(SEARCH("上",B469)),ISNUMBER(SEARCH("去",B469)),ISNUMBER(SEARCH("入",B469)))),"Ambiguous",IF(ISNUMBER(SEARCH("平",B469)),"平","仄")))</x:f>
        <x:v>仄</x:v>
      </x:c>
      <x:c r="K469" s="6" t="str">
        <x:f>IF(D469="","",IF(AND(ISNUMBER(SEARCH("平",D469)),OR(ISNUMBER(SEARCH("上",D469)),ISNUMBER(SEARCH("去",D469)),ISNUMBER(SEARCH("入",D469)))),"Ambiguous",IF(ISNUMBER(SEARCH("平",D469)),"平","仄")))</x:f>
        <x:v>仄</x:v>
      </x:c>
      <x:c r="L469" s="7" t="str"/>
    </x:row>
    <x:row r="470">
      <x:c r="A470" s="5" t="str">
        <x:v>協</x:v>
      </x:c>
      <x:c r="B470" s="6" t="str">
        <x:v>入</x:v>
      </x:c>
      <x:c r="C470" s="6" t="str">
        <x:f>IF(B470="","Needs decision","Ready")</x:f>
        <x:v>Ready</x:v>
      </x:c>
      <x:c r="D470" s="6" t="str">
        <x:v>入</x:v>
      </x:c>
      <x:c r="E470" s="6" t="str">
        <x:v>hep (D)</x:v>
      </x:c>
      <x:c r="F470" s="6" t="str">
        <x:v>入聲十六葉</x:v>
      </x:c>
      <x:c r="G470" s="6" t="str">
        <x:v>Pingshui main list, Wikisource-derived DOCX</x:v>
      </x:c>
      <x:c r="H470" s="6" t="str">
        <x:v>1</x:v>
      </x:c>
      <x:c r="I470" s="6" t="str"/>
      <x:c r="J470" s="6" t="str">
        <x:f>IF(B470="","",IF(AND(ISNUMBER(SEARCH("平",B470)),OR(ISNUMBER(SEARCH("上",B470)),ISNUMBER(SEARCH("去",B470)),ISNUMBER(SEARCH("入",B470)))),"Ambiguous",IF(ISNUMBER(SEARCH("平",B470)),"平","仄")))</x:f>
        <x:v>仄</x:v>
      </x:c>
      <x:c r="K470" s="6" t="str">
        <x:f>IF(D470="","",IF(AND(ISNUMBER(SEARCH("平",D470)),OR(ISNUMBER(SEARCH("上",D470)),ISNUMBER(SEARCH("去",D470)),ISNUMBER(SEARCH("入",D470)))),"Ambiguous",IF(ISNUMBER(SEARCH("平",D470)),"平","仄")))</x:f>
        <x:v>仄</x:v>
      </x:c>
      <x:c r="L470" s="7" t="str"/>
    </x:row>
    <x:row r="471">
      <x:c r="A471" s="5" t="str">
        <x:v>南</x:v>
      </x:c>
      <x:c r="B471" s="6" t="str">
        <x:v>平</x:v>
      </x:c>
      <x:c r="C471" s="6" t="str">
        <x:f>IF(B471="","Needs decision","Ready")</x:f>
        <x:v>Ready</x:v>
      </x:c>
      <x:c r="D471" s="6" t="str">
        <x:v>平</x:v>
      </x:c>
      <x:c r="E471" s="6" t="str">
        <x:v>nom (A)</x:v>
      </x:c>
      <x:c r="F471" s="6" t="str">
        <x:v>下平聲十三覃</x:v>
      </x:c>
      <x:c r="G471" s="6" t="str">
        <x:v>Pingshui main list, Wikisource-derived DOCX</x:v>
      </x:c>
      <x:c r="H471" s="6" t="str">
        <x:v>1</x:v>
      </x:c>
      <x:c r="I471" s="6" t="str"/>
      <x:c r="J471" s="6" t="str">
        <x:f>IF(B471="","",IF(AND(ISNUMBER(SEARCH("平",B471)),OR(ISNUMBER(SEARCH("上",B471)),ISNUMBER(SEARCH("去",B471)),ISNUMBER(SEARCH("入",B471)))),"Ambiguous",IF(ISNUMBER(SEARCH("平",B471)),"平","仄")))</x:f>
        <x:v>平</x:v>
      </x:c>
      <x:c r="K471" s="6" t="str">
        <x:f>IF(D471="","",IF(AND(ISNUMBER(SEARCH("平",D471)),OR(ISNUMBER(SEARCH("上",D471)),ISNUMBER(SEARCH("去",D471)),ISNUMBER(SEARCH("入",D471)))),"Ambiguous",IF(ISNUMBER(SEARCH("平",D471)),"平","仄")))</x:f>
        <x:v>平</x:v>
      </x:c>
      <x:c r="L471" s="7" t="str"/>
    </x:row>
    <x:row r="472">
      <x:c r="A472" s="5" t="str">
        <x:v>博</x:v>
      </x:c>
      <x:c r="B472" s="6" t="str">
        <x:v>入</x:v>
      </x:c>
      <x:c r="C472" s="6" t="str">
        <x:f>IF(B472="","Needs decision","Ready")</x:f>
        <x:v>Ready</x:v>
      </x:c>
      <x:c r="D472" s="6" t="str">
        <x:v>入</x:v>
      </x:c>
      <x:c r="E472" s="6" t="str">
        <x:v>pak (D)</x:v>
      </x:c>
      <x:c r="F472" s="6" t="str">
        <x:v>入聲十藥</x:v>
      </x:c>
      <x:c r="G472" s="6" t="str">
        <x:v>Pingshui main list, Wikisource-derived DOCX</x:v>
      </x:c>
      <x:c r="H472" s="6" t="str">
        <x:v>1</x:v>
      </x:c>
      <x:c r="I472" s="6" t="str"/>
      <x:c r="J472" s="6" t="str">
        <x:f>IF(B472="","",IF(AND(ISNUMBER(SEARCH("平",B472)),OR(ISNUMBER(SEARCH("上",B472)),ISNUMBER(SEARCH("去",B472)),ISNUMBER(SEARCH("入",B472)))),"Ambiguous",IF(ISNUMBER(SEARCH("平",B472)),"平","仄")))</x:f>
        <x:v>仄</x:v>
      </x:c>
      <x:c r="K472" s="6" t="str">
        <x:f>IF(D472="","",IF(AND(ISNUMBER(SEARCH("平",D472)),OR(ISNUMBER(SEARCH("上",D472)),ISNUMBER(SEARCH("去",D472)),ISNUMBER(SEARCH("入",D472)))),"Ambiguous",IF(ISNUMBER(SEARCH("平",D472)),"平","仄")))</x:f>
        <x:v>仄</x:v>
      </x:c>
      <x:c r="L472" s="7" t="str"/>
    </x:row>
    <x:row r="473">
      <x:c r="A473" s="5" t="str">
        <x:v>卜</x:v>
      </x:c>
      <x:c r="B473" s="6" t="str">
        <x:v>入</x:v>
      </x:c>
      <x:c r="C473" s="6" t="str">
        <x:f>IF(B473="","Needs decision","Ready")</x:f>
        <x:v>Ready</x:v>
      </x:c>
      <x:c r="D473" s="6" t="str">
        <x:v>入</x:v>
      </x:c>
      <x:c r="E473" s="6" t="str">
        <x:v>puwk (D)</x:v>
      </x:c>
      <x:c r="F473" s="6" t="str">
        <x:v>入聲一屋</x:v>
      </x:c>
      <x:c r="G473" s="6" t="str">
        <x:v>Pingshui main list, Wikisource-derived DOCX</x:v>
      </x:c>
      <x:c r="H473" s="6" t="str">
        <x:v>1</x:v>
      </x:c>
      <x:c r="I473" s="6" t="str"/>
      <x:c r="J473" s="6" t="str">
        <x:f>IF(B473="","",IF(AND(ISNUMBER(SEARCH("平",B473)),OR(ISNUMBER(SEARCH("上",B473)),ISNUMBER(SEARCH("去",B473)),ISNUMBER(SEARCH("入",B473)))),"Ambiguous",IF(ISNUMBER(SEARCH("平",B473)),"平","仄")))</x:f>
        <x:v>仄</x:v>
      </x:c>
      <x:c r="K473" s="6" t="str">
        <x:f>IF(D473="","",IF(AND(ISNUMBER(SEARCH("平",D473)),OR(ISNUMBER(SEARCH("上",D473)),ISNUMBER(SEARCH("去",D473)),ISNUMBER(SEARCH("入",D473)))),"Ambiguous",IF(ISNUMBER(SEARCH("平",D473)),"平","仄")))</x:f>
        <x:v>仄</x:v>
      </x:c>
      <x:c r="L473" s="7" t="str"/>
    </x:row>
    <x:row r="474">
      <x:c r="A474" s="5" t="str">
        <x:v>卞</x:v>
      </x:c>
      <x:c r="B474" s="6" t="str">
        <x:v>去</x:v>
      </x:c>
      <x:c r="C474" s="6" t="str">
        <x:f>IF(B474="","Needs decision","Ready")</x:f>
        <x:v>Ready</x:v>
      </x:c>
      <x:c r="D474" s="6" t="str">
        <x:v>去</x:v>
      </x:c>
      <x:c r="E474" s="6" t="str">
        <x:v>bjenH (C)</x:v>
      </x:c>
      <x:c r="F474" s="6" t="str">
        <x:v>去聲十七霰</x:v>
      </x:c>
      <x:c r="G474" s="6" t="str">
        <x:v>Pingshui main list, Wikisource-derived DOCX</x:v>
      </x:c>
      <x:c r="H474" s="6" t="str">
        <x:v>1</x:v>
      </x:c>
      <x:c r="I474" s="6" t="str"/>
      <x:c r="J474" s="6" t="str">
        <x:f>IF(B474="","",IF(AND(ISNUMBER(SEARCH("平",B474)),OR(ISNUMBER(SEARCH("上",B474)),ISNUMBER(SEARCH("去",B474)),ISNUMBER(SEARCH("入",B474)))),"Ambiguous",IF(ISNUMBER(SEARCH("平",B474)),"平","仄")))</x:f>
        <x:v>仄</x:v>
      </x:c>
      <x:c r="K474" s="6" t="str">
        <x:f>IF(D474="","",IF(AND(ISNUMBER(SEARCH("平",D474)),OR(ISNUMBER(SEARCH("上",D474)),ISNUMBER(SEARCH("去",D474)),ISNUMBER(SEARCH("入",D474)))),"Ambiguous",IF(ISNUMBER(SEARCH("平",D474)),"平","仄")))</x:f>
        <x:v>仄</x:v>
      </x:c>
      <x:c r="L474" s="7" t="str"/>
    </x:row>
    <x:row r="475">
      <x:c r="A475" s="5" t="str">
        <x:v>占</x:v>
      </x:c>
      <x:c r="B475" s="6" t="str">
        <x:v>平</x:v>
      </x:c>
      <x:c r="C475" s="6" t="str">
        <x:f>IF(B475="","Needs decision","Ready")</x:f>
        <x:v>Ready</x:v>
      </x:c>
      <x:c r="D475" s="6" t="str">
        <x:v>平</x:v>
      </x:c>
      <x:c r="E475" s="6" t="str">
        <x:v>tsyem (A)</x:v>
      </x:c>
      <x:c r="F475" s="6" t="str">
        <x:v>下平聲十四鹽; 去聲二十九豔</x:v>
      </x:c>
      <x:c r="G475" s="6" t="str">
        <x:v>Pingshui main list, Wikisource-derived DOCX</x:v>
      </x:c>
      <x:c r="H475" s="6" t="str">
        <x:v>1</x:v>
      </x:c>
      <x:c r="I475" s="6" t="str"/>
      <x:c r="J475" s="6" t="str">
        <x:f>IF(B475="","",IF(AND(ISNUMBER(SEARCH("平",B475)),OR(ISNUMBER(SEARCH("上",B475)),ISNUMBER(SEARCH("去",B475)),ISNUMBER(SEARCH("入",B475)))),"Ambiguous",IF(ISNUMBER(SEARCH("平",B475)),"平","仄")))</x:f>
        <x:v>平</x:v>
      </x:c>
      <x:c r="K475" s="6" t="str">
        <x:f>IF(D475="","",IF(AND(ISNUMBER(SEARCH("平",D475)),OR(ISNUMBER(SEARCH("上",D475)),ISNUMBER(SEARCH("去",D475)),ISNUMBER(SEARCH("入",D475)))),"Ambiguous",IF(ISNUMBER(SEARCH("平",D475)),"平","仄")))</x:f>
        <x:v>平</x:v>
      </x:c>
      <x:c r="L475" s="7" t="str"/>
    </x:row>
    <x:row r="476">
      <x:c r="A476" s="5" t="str">
        <x:v>卦</x:v>
      </x:c>
      <x:c r="B476" s="6" t="str">
        <x:v>去</x:v>
      </x:c>
      <x:c r="C476" s="6" t="str">
        <x:f>IF(B476="","Needs decision","Ready")</x:f>
        <x:v>Ready</x:v>
      </x:c>
      <x:c r="D476" s="6" t="str">
        <x:v>去</x:v>
      </x:c>
      <x:c r="E476" s="6" t="str">
        <x:v>kweaH (C)</x:v>
      </x:c>
      <x:c r="F476" s="6" t="str">
        <x:v>去聲十卦</x:v>
      </x:c>
      <x:c r="G476" s="6" t="str">
        <x:v>Pingshui main list, Wikisource-derived DOCX</x:v>
      </x:c>
      <x:c r="H476" s="6" t="str">
        <x:v>1</x:v>
      </x:c>
      <x:c r="I476" s="6" t="str"/>
      <x:c r="J476" s="6" t="str">
        <x:f>IF(B476="","",IF(AND(ISNUMBER(SEARCH("平",B476)),OR(ISNUMBER(SEARCH("上",B476)),ISNUMBER(SEARCH("去",B476)),ISNUMBER(SEARCH("入",B476)))),"Ambiguous",IF(ISNUMBER(SEARCH("平",B476)),"平","仄")))</x:f>
        <x:v>仄</x:v>
      </x:c>
      <x:c r="K476" s="6" t="str">
        <x:f>IF(D476="","",IF(AND(ISNUMBER(SEARCH("平",D476)),OR(ISNUMBER(SEARCH("上",D476)),ISNUMBER(SEARCH("去",D476)),ISNUMBER(SEARCH("入",D476)))),"Ambiguous",IF(ISNUMBER(SEARCH("平",D476)),"平","仄")))</x:f>
        <x:v>仄</x:v>
      </x:c>
      <x:c r="L476" s="7" t="str"/>
    </x:row>
    <x:row r="477">
      <x:c r="A477" s="5" t="str">
        <x:v>卪</x:v>
      </x:c>
      <x:c r="B477" s="6" t="str">
        <x:v>入</x:v>
      </x:c>
      <x:c r="C477" s="6" t="str">
        <x:f>IF(B477="","Needs decision","Ready")</x:f>
        <x:v>Ready</x:v>
      </x:c>
      <x:c r="D477" s="6" t="str">
        <x:v>入</x:v>
      </x:c>
      <x:c r="E477" s="6" t="str">
        <x:v>tset (D)</x:v>
      </x:c>
      <x:c r="F477" s="6" t="str"/>
      <x:c r="G477" s="6" t="str"/>
      <x:c r="H477" s="6" t="str">
        <x:v>1</x:v>
      </x:c>
      <x:c r="I477" s="6" t="str"/>
      <x:c r="J477" s="6" t="str">
        <x:f>IF(B477="","",IF(AND(ISNUMBER(SEARCH("平",B477)),OR(ISNUMBER(SEARCH("上",B477)),ISNUMBER(SEARCH("去",B477)),ISNUMBER(SEARCH("入",B477)))),"Ambiguous",IF(ISNUMBER(SEARCH("平",B477)),"平","仄")))</x:f>
        <x:v>仄</x:v>
      </x:c>
      <x:c r="K477" s="6" t="str">
        <x:f>IF(D477="","",IF(AND(ISNUMBER(SEARCH("平",D477)),OR(ISNUMBER(SEARCH("上",D477)),ISNUMBER(SEARCH("去",D477)),ISNUMBER(SEARCH("入",D477)))),"Ambiguous",IF(ISNUMBER(SEARCH("平",D477)),"平","仄")))</x:f>
        <x:v>仄</x:v>
      </x:c>
      <x:c r="L477" s="7" t="str"/>
    </x:row>
    <x:row r="478">
      <x:c r="A478" s="5" t="str">
        <x:v>卬</x:v>
      </x:c>
      <x:c r="B478" s="6" t="str">
        <x:v>平</x:v>
      </x:c>
      <x:c r="C478" s="6" t="str">
        <x:f>IF(B478="","Needs decision","Ready")</x:f>
        <x:v>Ready</x:v>
      </x:c>
      <x:c r="D478" s="6" t="str">
        <x:v>平</x:v>
      </x:c>
      <x:c r="E478" s="6" t="str">
        <x:v>ngang (A)</x:v>
      </x:c>
      <x:c r="F478" s="6" t="str"/>
      <x:c r="G478" s="6" t="str"/>
      <x:c r="H478" s="6" t="str">
        <x:v>1</x:v>
      </x:c>
      <x:c r="I478" s="6" t="str"/>
      <x:c r="J478" s="6" t="str">
        <x:f>IF(B478="","",IF(AND(ISNUMBER(SEARCH("平",B478)),OR(ISNUMBER(SEARCH("上",B478)),ISNUMBER(SEARCH("去",B478)),ISNUMBER(SEARCH("入",B478)))),"Ambiguous",IF(ISNUMBER(SEARCH("平",B478)),"平","仄")))</x:f>
        <x:v>平</x:v>
      </x:c>
      <x:c r="K478" s="6" t="str">
        <x:f>IF(D478="","",IF(AND(ISNUMBER(SEARCH("平",D478)),OR(ISNUMBER(SEARCH("上",D478)),ISNUMBER(SEARCH("去",D478)),ISNUMBER(SEARCH("入",D478)))),"Ambiguous",IF(ISNUMBER(SEARCH("平",D478)),"平","仄")))</x:f>
        <x:v>平</x:v>
      </x:c>
      <x:c r="L478" s="7" t="str"/>
    </x:row>
    <x:row r="479">
      <x:c r="A479" s="5" t="str">
        <x:v>卮</x:v>
      </x:c>
      <x:c r="B479" s="6" t="str">
        <x:v>平</x:v>
      </x:c>
      <x:c r="C479" s="6" t="str">
        <x:f>IF(B479="","Needs decision","Ready")</x:f>
        <x:v>Ready</x:v>
      </x:c>
      <x:c r="D479" s="6" t="str">
        <x:v>平</x:v>
      </x:c>
      <x:c r="E479" s="6" t="str"/>
      <x:c r="F479" s="6" t="str">
        <x:v>上平聲四支</x:v>
      </x:c>
      <x:c r="G479" s="6" t="str">
        <x:v>Pingshui main list, Wikisource-derived DOCX</x:v>
      </x:c>
      <x:c r="H479" s="6" t="str">
        <x:v>0</x:v>
      </x:c>
      <x:c r="I479" s="6" t="str">
        <x:v>User correction 2026-09-08; added manually</x:v>
      </x:c>
      <x:c r="J479" s="6" t="str">
        <x:f>IF(B479="","",IF(AND(ISNUMBER(SEARCH("平",B479)),OR(ISNUMBER(SEARCH("上",B479)),ISNUMBER(SEARCH("去",B479)),ISNUMBER(SEARCH("入",B479)))),"Ambiguous",IF(ISNUMBER(SEARCH("平",B479)),"平","仄")))</x:f>
        <x:v>平</x:v>
      </x:c>
      <x:c r="K479" s="6" t="str">
        <x:f>IF(D479="","",IF(AND(ISNUMBER(SEARCH("平",D479)),OR(ISNUMBER(SEARCH("上",D479)),ISNUMBER(SEARCH("去",D479)),ISNUMBER(SEARCH("入",D479)))),"Ambiguous",IF(ISNUMBER(SEARCH("平",D479)),"平","仄")))</x:f>
        <x:v>平</x:v>
      </x:c>
      <x:c r="L479" s="7" t="str">
        <x:v>User correction</x:v>
      </x:c>
    </x:row>
    <x:row r="480">
      <x:c r="A480" s="5" t="str">
        <x:v>卯</x:v>
      </x:c>
      <x:c r="B480" s="6" t="str">
        <x:v>上</x:v>
      </x:c>
      <x:c r="C480" s="6" t="str">
        <x:f>IF(B480="","Needs decision","Ready")</x:f>
        <x:v>Ready</x:v>
      </x:c>
      <x:c r="D480" s="6" t="str">
        <x:v>上</x:v>
      </x:c>
      <x:c r="E480" s="6" t="str">
        <x:v>maewX (B)</x:v>
      </x:c>
      <x:c r="F480" s="6" t="str">
        <x:v>上聲十八巧</x:v>
      </x:c>
      <x:c r="G480" s="6" t="str">
        <x:v>Pingshui main list, Wikisource-derived DOCX</x:v>
      </x:c>
      <x:c r="H480" s="6" t="str">
        <x:v>1</x:v>
      </x:c>
      <x:c r="I480" s="6" t="str"/>
      <x:c r="J480" s="6" t="str">
        <x:f>IF(B480="","",IF(AND(ISNUMBER(SEARCH("平",B480)),OR(ISNUMBER(SEARCH("上",B480)),ISNUMBER(SEARCH("去",B480)),ISNUMBER(SEARCH("入",B480)))),"Ambiguous",IF(ISNUMBER(SEARCH("平",B480)),"平","仄")))</x:f>
        <x:v>仄</x:v>
      </x:c>
      <x:c r="K480" s="6" t="str">
        <x:f>IF(D480="","",IF(AND(ISNUMBER(SEARCH("平",D480)),OR(ISNUMBER(SEARCH("上",D480)),ISNUMBER(SEARCH("去",D480)),ISNUMBER(SEARCH("入",D480)))),"Ambiguous",IF(ISNUMBER(SEARCH("平",D480)),"平","仄")))</x:f>
        <x:v>仄</x:v>
      </x:c>
      <x:c r="L480" s="7" t="str"/>
    </x:row>
    <x:row r="481">
      <x:c r="A481" s="5" t="str">
        <x:v>印</x:v>
      </x:c>
      <x:c r="B481" s="6" t="str">
        <x:v>去</x:v>
      </x:c>
      <x:c r="C481" s="6" t="str">
        <x:f>IF(B481="","Needs decision","Ready")</x:f>
        <x:v>Ready</x:v>
      </x:c>
      <x:c r="D481" s="6" t="str">
        <x:v>去</x:v>
      </x:c>
      <x:c r="E481" s="6" t="str">
        <x:v>'jinH (C)</x:v>
      </x:c>
      <x:c r="F481" s="6" t="str">
        <x:v>去聲十二震</x:v>
      </x:c>
      <x:c r="G481" s="6" t="str">
        <x:v>Pingshui main list, Wikisource-derived DOCX</x:v>
      </x:c>
      <x:c r="H481" s="6" t="str">
        <x:v>1</x:v>
      </x:c>
      <x:c r="I481" s="6" t="str"/>
      <x:c r="J481" s="6" t="str">
        <x:f>IF(B481="","",IF(AND(ISNUMBER(SEARCH("平",B481)),OR(ISNUMBER(SEARCH("上",B481)),ISNUMBER(SEARCH("去",B481)),ISNUMBER(SEARCH("入",B481)))),"Ambiguous",IF(ISNUMBER(SEARCH("平",B481)),"平","仄")))</x:f>
        <x:v>仄</x:v>
      </x:c>
      <x:c r="K481" s="6" t="str">
        <x:f>IF(D481="","",IF(AND(ISNUMBER(SEARCH("平",D481)),OR(ISNUMBER(SEARCH("上",D481)),ISNUMBER(SEARCH("去",D481)),ISNUMBER(SEARCH("入",D481)))),"Ambiguous",IF(ISNUMBER(SEARCH("平",D481)),"平","仄")))</x:f>
        <x:v>仄</x:v>
      </x:c>
      <x:c r="L481" s="7" t="str"/>
    </x:row>
    <x:row r="482">
      <x:c r="A482" s="5" t="str">
        <x:v>危</x:v>
      </x:c>
      <x:c r="B482" s="6" t="str">
        <x:v>平</x:v>
      </x:c>
      <x:c r="C482" s="6" t="str">
        <x:f>IF(B482="","Needs decision","Ready")</x:f>
        <x:v>Ready</x:v>
      </x:c>
      <x:c r="D482" s="6" t="str">
        <x:v>平</x:v>
      </x:c>
      <x:c r="E482" s="6" t="str">
        <x:v>ngjwe (A)</x:v>
      </x:c>
      <x:c r="F482" s="6" t="str">
        <x:v>上平聲四支</x:v>
      </x:c>
      <x:c r="G482" s="6" t="str">
        <x:v>Pingshui main list, Wikisource-derived DOCX</x:v>
      </x:c>
      <x:c r="H482" s="6" t="str">
        <x:v>1</x:v>
      </x:c>
      <x:c r="I482" s="6" t="str"/>
      <x:c r="J482" s="6" t="str">
        <x:f>IF(B482="","",IF(AND(ISNUMBER(SEARCH("平",B482)),OR(ISNUMBER(SEARCH("上",B482)),ISNUMBER(SEARCH("去",B482)),ISNUMBER(SEARCH("入",B482)))),"Ambiguous",IF(ISNUMBER(SEARCH("平",B482)),"平","仄")))</x:f>
        <x:v>平</x:v>
      </x:c>
      <x:c r="K482" s="6" t="str">
        <x:f>IF(D482="","",IF(AND(ISNUMBER(SEARCH("平",D482)),OR(ISNUMBER(SEARCH("上",D482)),ISNUMBER(SEARCH("去",D482)),ISNUMBER(SEARCH("入",D482)))),"Ambiguous",IF(ISNUMBER(SEARCH("平",D482)),"平","仄")))</x:f>
        <x:v>平</x:v>
      </x:c>
      <x:c r="L482" s="7" t="str"/>
    </x:row>
    <x:row r="483">
      <x:c r="A483" s="5" t="str">
        <x:v>即</x:v>
      </x:c>
      <x:c r="B483" s="6" t="str">
        <x:v>入</x:v>
      </x:c>
      <x:c r="C483" s="6" t="str">
        <x:f>IF(B483="","Needs decision","Ready")</x:f>
        <x:v>Ready</x:v>
      </x:c>
      <x:c r="D483" s="6" t="str">
        <x:v>入</x:v>
      </x:c>
      <x:c r="E483" s="6" t="str">
        <x:v>tsik (D)</x:v>
      </x:c>
      <x:c r="F483" s="6" t="str">
        <x:v>入聲十三職</x:v>
      </x:c>
      <x:c r="G483" s="6" t="str">
        <x:v>Pingshui main list, Wikisource-derived DOCX</x:v>
      </x:c>
      <x:c r="H483" s="6" t="str">
        <x:v>1</x:v>
      </x:c>
      <x:c r="I483" s="6" t="str"/>
      <x:c r="J483" s="6" t="str">
        <x:f>IF(B483="","",IF(AND(ISNUMBER(SEARCH("平",B483)),OR(ISNUMBER(SEARCH("上",B483)),ISNUMBER(SEARCH("去",B483)),ISNUMBER(SEARCH("入",B483)))),"Ambiguous",IF(ISNUMBER(SEARCH("平",B483)),"平","仄")))</x:f>
        <x:v>仄</x:v>
      </x:c>
      <x:c r="K483" s="6" t="str">
        <x:f>IF(D483="","",IF(AND(ISNUMBER(SEARCH("平",D483)),OR(ISNUMBER(SEARCH("上",D483)),ISNUMBER(SEARCH("去",D483)),ISNUMBER(SEARCH("入",D483)))),"Ambiguous",IF(ISNUMBER(SEARCH("平",D483)),"平","仄")))</x:f>
        <x:v>仄</x:v>
      </x:c>
      <x:c r="L483" s="7" t="str"/>
    </x:row>
    <x:row r="484">
      <x:c r="A484" s="5" t="str">
        <x:v>却</x:v>
      </x:c>
      <x:c r="B484" s="6" t="str">
        <x:v>入</x:v>
      </x:c>
      <x:c r="C484" s="6" t="str">
        <x:f>IF(B484="","Needs decision","Ready")</x:f>
        <x:v>Ready</x:v>
      </x:c>
      <x:c r="D484" s="6" t="str">
        <x:v>入</x:v>
      </x:c>
      <x:c r="E484" s="6" t="str">
        <x:v>khjak (D)</x:v>
      </x:c>
      <x:c r="F484" s="6" t="str"/>
      <x:c r="G484" s="6" t="str"/>
      <x:c r="H484" s="6" t="str">
        <x:v>1</x:v>
      </x:c>
      <x:c r="I484" s="6" t="str"/>
      <x:c r="J484" s="6" t="str">
        <x:f>IF(B484="","",IF(AND(ISNUMBER(SEARCH("平",B484)),OR(ISNUMBER(SEARCH("上",B484)),ISNUMBER(SEARCH("去",B484)),ISNUMBER(SEARCH("入",B484)))),"Ambiguous",IF(ISNUMBER(SEARCH("平",B484)),"平","仄")))</x:f>
        <x:v>仄</x:v>
      </x:c>
      <x:c r="K484" s="6" t="str">
        <x:f>IF(D484="","",IF(AND(ISNUMBER(SEARCH("平",D484)),OR(ISNUMBER(SEARCH("上",D484)),ISNUMBER(SEARCH("去",D484)),ISNUMBER(SEARCH("入",D484)))),"Ambiguous",IF(ISNUMBER(SEARCH("平",D484)),"平","仄")))</x:f>
        <x:v>仄</x:v>
      </x:c>
      <x:c r="L484" s="7" t="str"/>
    </x:row>
    <x:row r="485">
      <x:c r="A485" s="5" t="str">
        <x:v>卵</x:v>
      </x:c>
      <x:c r="B485" s="6" t="str">
        <x:v>上</x:v>
      </x:c>
      <x:c r="C485" s="6" t="str">
        <x:f>IF(B485="","Needs decision","Ready")</x:f>
        <x:v>Ready</x:v>
      </x:c>
      <x:c r="D485" s="6" t="str">
        <x:v>上</x:v>
      </x:c>
      <x:c r="E485" s="6" t="str">
        <x:v>lwaX (B); lwanX (B)</x:v>
      </x:c>
      <x:c r="F485" s="6" t="str">
        <x:v>上聲十四旱; 上聲二十哿</x:v>
      </x:c>
      <x:c r="G485" s="6" t="str">
        <x:v>Pingshui main list, Wikisource-derived DOCX</x:v>
      </x:c>
      <x:c r="H485" s="6" t="str">
        <x:v>2</x:v>
      </x:c>
      <x:c r="I485" s="6" t="str"/>
      <x:c r="J485" s="6" t="str">
        <x:f>IF(B485="","",IF(AND(ISNUMBER(SEARCH("平",B485)),OR(ISNUMBER(SEARCH("上",B485)),ISNUMBER(SEARCH("去",B485)),ISNUMBER(SEARCH("入",B485)))),"Ambiguous",IF(ISNUMBER(SEARCH("平",B485)),"平","仄")))</x:f>
        <x:v>仄</x:v>
      </x:c>
      <x:c r="K485" s="6" t="str">
        <x:f>IF(D485="","",IF(AND(ISNUMBER(SEARCH("平",D485)),OR(ISNUMBER(SEARCH("上",D485)),ISNUMBER(SEARCH("去",D485)),ISNUMBER(SEARCH("入",D485)))),"Ambiguous",IF(ISNUMBER(SEARCH("平",D485)),"平","仄")))</x:f>
        <x:v>仄</x:v>
      </x:c>
      <x:c r="L485" s="7" t="str"/>
    </x:row>
    <x:row r="486">
      <x:c r="A486" s="5" t="str">
        <x:v>卷</x:v>
      </x:c>
      <x:c r="B486" s="6" t="str">
        <x:v>上</x:v>
      </x:c>
      <x:c r="C486" s="6" t="str">
        <x:f>IF(B486="","Needs decision","Ready")</x:f>
        <x:v>Ready</x:v>
      </x:c>
      <x:c r="D486" s="6" t="str">
        <x:v>平/上</x:v>
      </x:c>
      <x:c r="E486" s="6" t="str">
        <x:v>kjwenX (B); gjwen (A)</x:v>
      </x:c>
      <x:c r="F486" s="6" t="str">
        <x:v>下平聲一先; 上聲十六銑</x:v>
      </x:c>
      <x:c r="G486" s="6" t="str">
        <x:v>Pingshui main list, Wikisource-derived DOCX</x:v>
      </x:c>
      <x:c r="H486" s="6" t="str">
        <x:v>2</x:v>
      </x:c>
      <x:c r="I486" s="6" t="str">
        <x:v>User workbook edit 2026-09-03</x:v>
      </x:c>
      <x:c r="J486" s="6" t="str">
        <x:f>IF(B486="","",IF(AND(ISNUMBER(SEARCH("平",B486)),OR(ISNUMBER(SEARCH("上",B486)),ISNUMBER(SEARCH("去",B486)),ISNUMBER(SEARCH("入",B486)))),"Ambiguous",IF(ISNUMBER(SEARCH("平",B486)),"平","仄")))</x:f>
        <x:v>仄</x:v>
      </x:c>
      <x:c r="K486" s="6" t="str">
        <x:f>IF(D486="","",IF(AND(ISNUMBER(SEARCH("平",D486)),OR(ISNUMBER(SEARCH("上",D486)),ISNUMBER(SEARCH("去",D486)),ISNUMBER(SEARCH("入",D486)))),"Ambiguous",IF(ISNUMBER(SEARCH("平",D486)),"平","仄")))</x:f>
        <x:v>Ambiguous</x:v>
      </x:c>
      <x:c r="L486" s="7" t="str">
        <x:v>manual user correction</x:v>
      </x:c>
    </x:row>
    <x:row r="487">
      <x:c r="A487" s="5" t="str">
        <x:v>卸</x:v>
      </x:c>
      <x:c r="B487" s="6" t="str">
        <x:v>去</x:v>
      </x:c>
      <x:c r="C487" s="6" t="str">
        <x:f>IF(B487="","Needs decision","Ready")</x:f>
        <x:v>Ready</x:v>
      </x:c>
      <x:c r="D487" s="6" t="str">
        <x:v>去</x:v>
      </x:c>
      <x:c r="E487" s="6" t="str">
        <x:v>sjaeH (C)</x:v>
      </x:c>
      <x:c r="F487" s="6" t="str"/>
      <x:c r="G487" s="6" t="str"/>
      <x:c r="H487" s="6" t="str">
        <x:v>1</x:v>
      </x:c>
      <x:c r="I487" s="6" t="str"/>
      <x:c r="J487" s="6" t="str">
        <x:f>IF(B487="","",IF(AND(ISNUMBER(SEARCH("平",B487)),OR(ISNUMBER(SEARCH("上",B487)),ISNUMBER(SEARCH("去",B487)),ISNUMBER(SEARCH("入",B487)))),"Ambiguous",IF(ISNUMBER(SEARCH("平",B487)),"平","仄")))</x:f>
        <x:v>仄</x:v>
      </x:c>
      <x:c r="K487" s="6" t="str">
        <x:f>IF(D487="","",IF(AND(ISNUMBER(SEARCH("平",D487)),OR(ISNUMBER(SEARCH("上",D487)),ISNUMBER(SEARCH("去",D487)),ISNUMBER(SEARCH("入",D487)))),"Ambiguous",IF(ISNUMBER(SEARCH("平",D487)),"平","仄")))</x:f>
        <x:v>仄</x:v>
      </x:c>
      <x:c r="L487" s="7" t="str"/>
    </x:row>
    <x:row r="488">
      <x:c r="A488" s="5" t="str">
        <x:v>卹</x:v>
      </x:c>
      <x:c r="B488" s="6" t="str">
        <x:v>入</x:v>
      </x:c>
      <x:c r="C488" s="6" t="str">
        <x:f>IF(B488="","Needs decision","Ready")</x:f>
        <x:v>Ready</x:v>
      </x:c>
      <x:c r="D488" s="6" t="str">
        <x:v>入</x:v>
      </x:c>
      <x:c r="E488" s="6" t="str">
        <x:v>swit [sjwit] (入)</x:v>
      </x:c>
      <x:c r="F488" s="6" t="str">
        <x:v>入聲四質</x:v>
      </x:c>
      <x:c r="G488" s="6" t="str">
        <x:v>Pingshui main list, Wikisource-derived DOCX</x:v>
      </x:c>
      <x:c r="H488" s="6" t="str">
        <x:v>1</x:v>
      </x:c>
      <x:c r="I488" s="6" t="str">
        <x:v>Tang 300 gap; frequency 1; provisional from Xun Gong</x:v>
      </x:c>
      <x:c r="J488" s="6" t="str">
        <x:f>IF(B488="","",IF(AND(ISNUMBER(SEARCH("平",B488)),OR(ISNUMBER(SEARCH("上",B488)),ISNUMBER(SEARCH("去",B488)),ISNUMBER(SEARCH("入",B488)))),"Ambiguous",IF(ISNUMBER(SEARCH("平",B488)),"平","仄")))</x:f>
        <x:v>仄</x:v>
      </x:c>
      <x:c r="K488" s="6" t="str">
        <x:f>IF(D488="","",IF(AND(ISNUMBER(SEARCH("平",D488)),OR(ISNUMBER(SEARCH("上",D488)),ISNUMBER(SEARCH("去",D488)),ISNUMBER(SEARCH("入",D488)))),"Ambiguous",IF(ISNUMBER(SEARCH("平",D488)),"平","仄")))</x:f>
        <x:v>仄</x:v>
      </x:c>
      <x:c r="L488" s="7" t="str">
        <x:v>Xun Gong, Tang 300 gap fill</x:v>
      </x:c>
    </x:row>
    <x:row r="489">
      <x:c r="A489" s="5" t="str">
        <x:v>卻</x:v>
      </x:c>
      <x:c r="B489" s="6" t="str">
        <x:v>入</x:v>
      </x:c>
      <x:c r="C489" s="6" t="str">
        <x:f>IF(B489="","Needs decision","Ready")</x:f>
        <x:v>Ready</x:v>
      </x:c>
      <x:c r="D489" s="6" t="str">
        <x:v>入</x:v>
      </x:c>
      <x:c r="E489" s="6" t="str">
        <x:v>khjak (D)</x:v>
      </x:c>
      <x:c r="F489" s="6" t="str"/>
      <x:c r="G489" s="6" t="str"/>
      <x:c r="H489" s="6" t="str">
        <x:v>1</x:v>
      </x:c>
      <x:c r="I489" s="6" t="str"/>
      <x:c r="J489" s="6" t="str">
        <x:f>IF(B489="","",IF(AND(ISNUMBER(SEARCH("平",B489)),OR(ISNUMBER(SEARCH("上",B489)),ISNUMBER(SEARCH("去",B489)),ISNUMBER(SEARCH("入",B489)))),"Ambiguous",IF(ISNUMBER(SEARCH("平",B489)),"平","仄")))</x:f>
        <x:v>仄</x:v>
      </x:c>
      <x:c r="K489" s="6" t="str">
        <x:f>IF(D489="","",IF(AND(ISNUMBER(SEARCH("平",D489)),OR(ISNUMBER(SEARCH("上",D489)),ISNUMBER(SEARCH("去",D489)),ISNUMBER(SEARCH("入",D489)))),"Ambiguous",IF(ISNUMBER(SEARCH("平",D489)),"平","仄")))</x:f>
        <x:v>仄</x:v>
      </x:c>
      <x:c r="L489" s="7" t="str"/>
    </x:row>
    <x:row r="490">
      <x:c r="A490" s="5" t="str">
        <x:v>卽</x:v>
      </x:c>
      <x:c r="B490" s="6" t="str">
        <x:v>入</x:v>
      </x:c>
      <x:c r="C490" s="6" t="str">
        <x:f>IF(B490="","Needs decision","Ready")</x:f>
        <x:v>Ready</x:v>
      </x:c>
      <x:c r="D490" s="6" t="str">
        <x:v>入</x:v>
      </x:c>
      <x:c r="E490" s="6" t="str"/>
      <x:c r="F490" s="6" t="str"/>
      <x:c r="G490" s="6" t="str"/>
      <x:c r="H490" s="6" t="str"/>
      <x:c r="I490" s="6" t="str">
        <x:v>Manual user correction/addition</x:v>
      </x:c>
      <x:c r="J490" s="6" t="str">
        <x:f>IF(B490="","",IF(AND(ISNUMBER(SEARCH("平",B490)),OR(ISNUMBER(SEARCH("上",B490)),ISNUMBER(SEARCH("去",B490)),ISNUMBER(SEARCH("入",B490)))),"Ambiguous",IF(ISNUMBER(SEARCH("平",B490)),"平","仄")))</x:f>
        <x:v>仄</x:v>
      </x:c>
      <x:c r="K490" s="6" t="str">
        <x:f>IF(D490="","",IF(AND(ISNUMBER(SEARCH("平",D490)),OR(ISNUMBER(SEARCH("上",D490)),ISNUMBER(SEARCH("去",D490)),ISNUMBER(SEARCH("入",D490)))),"Ambiguous",IF(ISNUMBER(SEARCH("平",D490)),"平","仄")))</x:f>
        <x:v>仄</x:v>
      </x:c>
      <x:c r="L490" s="7" t="str">
        <x:v>manual user correction</x:v>
      </x:c>
    </x:row>
    <x:row r="491">
      <x:c r="A491" s="5" t="str">
        <x:v>卿</x:v>
      </x:c>
      <x:c r="B491" s="6" t="str">
        <x:v>平</x:v>
      </x:c>
      <x:c r="C491" s="6" t="str">
        <x:f>IF(B491="","Needs decision","Ready")</x:f>
        <x:v>Ready</x:v>
      </x:c>
      <x:c r="D491" s="6" t="str">
        <x:v>平</x:v>
      </x:c>
      <x:c r="E491" s="6" t="str">
        <x:v>khjaeng (A)</x:v>
      </x:c>
      <x:c r="F491" s="6" t="str">
        <x:v>下平聲八庚</x:v>
      </x:c>
      <x:c r="G491" s="6" t="str">
        <x:v>Pingshui main list, Wikisource-derived DOCX</x:v>
      </x:c>
      <x:c r="H491" s="6" t="str">
        <x:v>1</x:v>
      </x:c>
      <x:c r="I491" s="6" t="str"/>
      <x:c r="J491" s="6" t="str">
        <x:f>IF(B491="","",IF(AND(ISNUMBER(SEARCH("平",B491)),OR(ISNUMBER(SEARCH("上",B491)),ISNUMBER(SEARCH("去",B491)),ISNUMBER(SEARCH("入",B491)))),"Ambiguous",IF(ISNUMBER(SEARCH("平",B491)),"平","仄")))</x:f>
        <x:v>平</x:v>
      </x:c>
      <x:c r="K491" s="6" t="str">
        <x:f>IF(D491="","",IF(AND(ISNUMBER(SEARCH("平",D491)),OR(ISNUMBER(SEARCH("上",D491)),ISNUMBER(SEARCH("去",D491)),ISNUMBER(SEARCH("入",D491)))),"Ambiguous",IF(ISNUMBER(SEARCH("平",D491)),"平","仄")))</x:f>
        <x:v>平</x:v>
      </x:c>
      <x:c r="L491" s="7" t="str"/>
    </x:row>
    <x:row r="492">
      <x:c r="A492" s="5" t="str">
        <x:v>厂</x:v>
      </x:c>
      <x:c r="B492" s="6" t="str"/>
      <x:c r="C492" s="6" t="str">
        <x:f>IF(B492="","Needs decision","Ready")</x:f>
        <x:v>Needs decision</x:v>
      </x:c>
      <x:c r="D492" s="6" t="str">
        <x:v>上/去</x:v>
      </x:c>
      <x:c r="E492" s="6" t="str">
        <x:v>xanX (B); xanH (C)</x:v>
      </x:c>
      <x:c r="F492" s="6" t="str"/>
      <x:c r="G492" s="6" t="str"/>
      <x:c r="H492" s="6" t="str">
        <x:v>2</x:v>
      </x:c>
      <x:c r="I492" s="6" t="str"/>
      <x:c r="J492" s="6" t="str">
        <x:f>IF(B492="","",IF(AND(ISNUMBER(SEARCH("平",B492)),OR(ISNUMBER(SEARCH("上",B492)),ISNUMBER(SEARCH("去",B492)),ISNUMBER(SEARCH("入",B492)))),"Ambiguous",IF(ISNUMBER(SEARCH("平",B492)),"平","仄")))</x:f>
      </x:c>
      <x:c r="K492" s="6" t="str">
        <x:f>IF(D492="","",IF(AND(ISNUMBER(SEARCH("平",D492)),OR(ISNUMBER(SEARCH("上",D492)),ISNUMBER(SEARCH("去",D492)),ISNUMBER(SEARCH("入",D492)))),"Ambiguous",IF(ISNUMBER(SEARCH("平",D492)),"平","仄")))</x:f>
        <x:v>仄</x:v>
      </x:c>
      <x:c r="L492" s="7" t="str"/>
    </x:row>
    <x:row r="493">
      <x:c r="A493" s="5" t="str">
        <x:v>厃</x:v>
      </x:c>
      <x:c r="B493" s="6" t="str">
        <x:v>平</x:v>
      </x:c>
      <x:c r="C493" s="6" t="str">
        <x:f>IF(B493="","Needs decision","Ready")</x:f>
        <x:v>Ready</x:v>
      </x:c>
      <x:c r="D493" s="6" t="str">
        <x:v>平</x:v>
      </x:c>
      <x:c r="E493" s="6" t="str">
        <x:v>tsyem (A)</x:v>
      </x:c>
      <x:c r="F493" s="6" t="str"/>
      <x:c r="G493" s="6" t="str"/>
      <x:c r="H493" s="6" t="str">
        <x:v>1</x:v>
      </x:c>
      <x:c r="I493" s="6" t="str"/>
      <x:c r="J493" s="6" t="str">
        <x:f>IF(B493="","",IF(AND(ISNUMBER(SEARCH("平",B493)),OR(ISNUMBER(SEARCH("上",B493)),ISNUMBER(SEARCH("去",B493)),ISNUMBER(SEARCH("入",B493)))),"Ambiguous",IF(ISNUMBER(SEARCH("平",B493)),"平","仄")))</x:f>
        <x:v>平</x:v>
      </x:c>
      <x:c r="K493" s="6" t="str">
        <x:f>IF(D493="","",IF(AND(ISNUMBER(SEARCH("平",D493)),OR(ISNUMBER(SEARCH("上",D493)),ISNUMBER(SEARCH("去",D493)),ISNUMBER(SEARCH("入",D493)))),"Ambiguous",IF(ISNUMBER(SEARCH("平",D493)),"平","仄")))</x:f>
        <x:v>平</x:v>
      </x:c>
      <x:c r="L493" s="7" t="str"/>
    </x:row>
    <x:row r="494">
      <x:c r="A494" s="5" t="str">
        <x:v>厄</x:v>
      </x:c>
      <x:c r="B494" s="6" t="str">
        <x:v>入</x:v>
      </x:c>
      <x:c r="C494" s="6" t="str">
        <x:f>IF(B494="","Needs decision","Ready")</x:f>
        <x:v>Ready</x:v>
      </x:c>
      <x:c r="D494" s="6" t="str">
        <x:v>入</x:v>
      </x:c>
      <x:c r="E494" s="6" t="str">
        <x:v>'eak (D)</x:v>
      </x:c>
      <x:c r="F494" s="6" t="str"/>
      <x:c r="G494" s="6" t="str"/>
      <x:c r="H494" s="6" t="str">
        <x:v>1</x:v>
      </x:c>
      <x:c r="I494" s="6" t="str"/>
      <x:c r="J494" s="6" t="str">
        <x:f>IF(B494="","",IF(AND(ISNUMBER(SEARCH("平",B494)),OR(ISNUMBER(SEARCH("上",B494)),ISNUMBER(SEARCH("去",B494)),ISNUMBER(SEARCH("入",B494)))),"Ambiguous",IF(ISNUMBER(SEARCH("平",B494)),"平","仄")))</x:f>
        <x:v>仄</x:v>
      </x:c>
      <x:c r="K494" s="6" t="str">
        <x:f>IF(D494="","",IF(AND(ISNUMBER(SEARCH("平",D494)),OR(ISNUMBER(SEARCH("上",D494)),ISNUMBER(SEARCH("去",D494)),ISNUMBER(SEARCH("入",D494)))),"Ambiguous",IF(ISNUMBER(SEARCH("平",D494)),"平","仄")))</x:f>
        <x:v>仄</x:v>
      </x:c>
      <x:c r="L494" s="7" t="str"/>
    </x:row>
    <x:row r="495">
      <x:c r="A495" s="5" t="str">
        <x:v>厈</x:v>
      </x:c>
      <x:c r="B495" s="6" t="str">
        <x:v>入</x:v>
      </x:c>
      <x:c r="C495" s="6" t="str">
        <x:f>IF(B495="","Needs decision","Ready")</x:f>
        <x:v>Ready</x:v>
      </x:c>
      <x:c r="D495" s="6" t="str">
        <x:v>入</x:v>
      </x:c>
      <x:c r="E495" s="6" t="str">
        <x:v>tsyhek (D)</x:v>
      </x:c>
      <x:c r="F495" s="6" t="str"/>
      <x:c r="G495" s="6" t="str"/>
      <x:c r="H495" s="6" t="str">
        <x:v>1</x:v>
      </x:c>
      <x:c r="I495" s="6" t="str"/>
      <x:c r="J495" s="6" t="str">
        <x:f>IF(B495="","",IF(AND(ISNUMBER(SEARCH("平",B495)),OR(ISNUMBER(SEARCH("上",B495)),ISNUMBER(SEARCH("去",B495)),ISNUMBER(SEARCH("入",B495)))),"Ambiguous",IF(ISNUMBER(SEARCH("平",B495)),"平","仄")))</x:f>
        <x:v>仄</x:v>
      </x:c>
      <x:c r="K495" s="6" t="str">
        <x:f>IF(D495="","",IF(AND(ISNUMBER(SEARCH("平",D495)),OR(ISNUMBER(SEARCH("上",D495)),ISNUMBER(SEARCH("去",D495)),ISNUMBER(SEARCH("入",D495)))),"Ambiguous",IF(ISNUMBER(SEARCH("平",D495)),"平","仄")))</x:f>
        <x:v>仄</x:v>
      </x:c>
      <x:c r="L495" s="7" t="str"/>
    </x:row>
    <x:row r="496">
      <x:c r="A496" s="5" t="str">
        <x:v>厓</x:v>
      </x:c>
      <x:c r="B496" s="6" t="str">
        <x:v>平</x:v>
      </x:c>
      <x:c r="C496" s="6" t="str">
        <x:f>IF(B496="","Needs decision","Ready")</x:f>
        <x:v>Ready</x:v>
      </x:c>
      <x:c r="D496" s="6" t="str">
        <x:v>平</x:v>
      </x:c>
      <x:c r="E496" s="6" t="str">
        <x:v>ngea (A)</x:v>
      </x:c>
      <x:c r="F496" s="6" t="str"/>
      <x:c r="G496" s="6" t="str"/>
      <x:c r="H496" s="6" t="str">
        <x:v>1</x:v>
      </x:c>
      <x:c r="I496" s="6" t="str"/>
      <x:c r="J496" s="6" t="str">
        <x:f>IF(B496="","",IF(AND(ISNUMBER(SEARCH("平",B496)),OR(ISNUMBER(SEARCH("上",B496)),ISNUMBER(SEARCH("去",B496)),ISNUMBER(SEARCH("入",B496)))),"Ambiguous",IF(ISNUMBER(SEARCH("平",B496)),"平","仄")))</x:f>
        <x:v>平</x:v>
      </x:c>
      <x:c r="K496" s="6" t="str">
        <x:f>IF(D496="","",IF(AND(ISNUMBER(SEARCH("平",D496)),OR(ISNUMBER(SEARCH("上",D496)),ISNUMBER(SEARCH("去",D496)),ISNUMBER(SEARCH("入",D496)))),"Ambiguous",IF(ISNUMBER(SEARCH("平",D496)),"平","仄")))</x:f>
        <x:v>平</x:v>
      </x:c>
      <x:c r="L496" s="7" t="str"/>
    </x:row>
    <x:row r="497">
      <x:c r="A497" s="5" t="str">
        <x:v>厖</x:v>
      </x:c>
      <x:c r="B497" s="6" t="str">
        <x:v>平</x:v>
      </x:c>
      <x:c r="C497" s="6" t="str">
        <x:f>IF(B497="","Needs decision","Ready")</x:f>
        <x:v>Ready</x:v>
      </x:c>
      <x:c r="D497" s="6" t="str">
        <x:v>平</x:v>
      </x:c>
      <x:c r="E497" s="6" t="str">
        <x:v>maewng (A)</x:v>
      </x:c>
      <x:c r="F497" s="6" t="str">
        <x:v>上平聲三江</x:v>
      </x:c>
      <x:c r="G497" s="6" t="str">
        <x:v>Pingshui main list, Wikisource-derived DOCX</x:v>
      </x:c>
      <x:c r="H497" s="6" t="str">
        <x:v>1</x:v>
      </x:c>
      <x:c r="I497" s="6" t="str"/>
      <x:c r="J497" s="6" t="str">
        <x:f>IF(B497="","",IF(AND(ISNUMBER(SEARCH("平",B497)),OR(ISNUMBER(SEARCH("上",B497)),ISNUMBER(SEARCH("去",B497)),ISNUMBER(SEARCH("入",B497)))),"Ambiguous",IF(ISNUMBER(SEARCH("平",B497)),"平","仄")))</x:f>
        <x:v>平</x:v>
      </x:c>
      <x:c r="K497" s="6" t="str">
        <x:f>IF(D497="","",IF(AND(ISNUMBER(SEARCH("平",D497)),OR(ISNUMBER(SEARCH("上",D497)),ISNUMBER(SEARCH("去",D497)),ISNUMBER(SEARCH("入",D497)))),"Ambiguous",IF(ISNUMBER(SEARCH("平",D497)),"平","仄")))</x:f>
        <x:v>平</x:v>
      </x:c>
      <x:c r="L497" s="7" t="str"/>
    </x:row>
    <x:row r="498">
      <x:c r="A498" s="5" t="str">
        <x:v>厚</x:v>
      </x:c>
      <x:c r="B498" s="6" t="str">
        <x:v>上</x:v>
      </x:c>
      <x:c r="C498" s="6" t="str">
        <x:f>IF(B498="","Needs decision","Ready")</x:f>
        <x:v>Ready</x:v>
      </x:c>
      <x:c r="D498" s="6" t="str">
        <x:v>上</x:v>
      </x:c>
      <x:c r="E498" s="6" t="str">
        <x:v>huwX (B)</x:v>
      </x:c>
      <x:c r="F498" s="6" t="str">
        <x:v>上聲二十五有; 去聲二十六宥</x:v>
      </x:c>
      <x:c r="G498" s="6" t="str">
        <x:v>Pingshui main list, Wikisource-derived DOCX</x:v>
      </x:c>
      <x:c r="H498" s="6" t="str">
        <x:v>1</x:v>
      </x:c>
      <x:c r="I498" s="6" t="str"/>
      <x:c r="J498" s="6" t="str">
        <x:f>IF(B498="","",IF(AND(ISNUMBER(SEARCH("平",B498)),OR(ISNUMBER(SEARCH("上",B498)),ISNUMBER(SEARCH("去",B498)),ISNUMBER(SEARCH("入",B498)))),"Ambiguous",IF(ISNUMBER(SEARCH("平",B498)),"平","仄")))</x:f>
        <x:v>仄</x:v>
      </x:c>
      <x:c r="K498" s="6" t="str">
        <x:f>IF(D498="","",IF(AND(ISNUMBER(SEARCH("平",D498)),OR(ISNUMBER(SEARCH("上",D498)),ISNUMBER(SEARCH("去",D498)),ISNUMBER(SEARCH("入",D498)))),"Ambiguous",IF(ISNUMBER(SEARCH("平",D498)),"平","仄")))</x:f>
        <x:v>仄</x:v>
      </x:c>
      <x:c r="L498" s="7" t="str"/>
    </x:row>
    <x:row r="499">
      <x:c r="A499" s="5" t="str">
        <x:v>厝</x:v>
      </x:c>
      <x:c r="B499" s="6" t="str"/>
      <x:c r="C499" s="6" t="str">
        <x:f>IF(B499="","Needs decision","Ready")</x:f>
        <x:v>Needs decision</x:v>
      </x:c>
      <x:c r="D499" s="6" t="str">
        <x:v>去/入</x:v>
      </x:c>
      <x:c r="E499" s="6" t="str">
        <x:v>tshuH [清一模去] t̙s̙ʰoh; tshak [清開一唐入] t̙s̙ʰɑk</x:v>
      </x:c>
      <x:c r="F499" s="6" t="str">
        <x:v>去聲七遇; 入聲十藥; 入聲十一陌</x:v>
      </x:c>
      <x:c r="G499" s="6" t="str">
        <x:v>Pingshui main list, Wikisource-derived DOCX</x:v>
      </x:c>
      <x:c r="H499" s="6" t="str">
        <x:v>2</x:v>
      </x:c>
      <x:c r="I499" s="6" t="str">
        <x:v>Targeted preliminary fill from Xun Gong; review if uncertain</x:v>
      </x:c>
      <x:c r="J499" s="6" t="str">
        <x:f>IF(B499="","",IF(AND(ISNUMBER(SEARCH("平",B499)),OR(ISNUMBER(SEARCH("上",B499)),ISNUMBER(SEARCH("去",B499)),ISNUMBER(SEARCH("入",B499)))),"Ambiguous",IF(ISNUMBER(SEARCH("平",B499)),"平","仄")))</x:f>
      </x:c>
      <x:c r="K499" s="6" t="str">
        <x:f>IF(D499="","",IF(AND(ISNUMBER(SEARCH("平",D499)),OR(ISNUMBER(SEARCH("上",D499)),ISNUMBER(SEARCH("去",D499)),ISNUMBER(SEARCH("入",D499)))),"Ambiguous",IF(ISNUMBER(SEARCH("平",D499)),"平","仄")))</x:f>
        <x:v>仄</x:v>
      </x:c>
      <x:c r="L499" s="7" t="str">
        <x:v>Xun Gong character-readings.csv</x:v>
      </x:c>
    </x:row>
    <x:row r="500">
      <x:c r="A500" s="5" t="str">
        <x:v>原</x:v>
      </x:c>
      <x:c r="B500" s="6" t="str">
        <x:v>平</x:v>
      </x:c>
      <x:c r="C500" s="6" t="str">
        <x:f>IF(B500="","Needs decision","Ready")</x:f>
        <x:v>Ready</x:v>
      </x:c>
      <x:c r="D500" s="6" t="str">
        <x:v>平</x:v>
      </x:c>
      <x:c r="E500" s="6" t="str">
        <x:v>ngjwon (A)</x:v>
      </x:c>
      <x:c r="F500" s="6" t="str">
        <x:v>上平聲十三元</x:v>
      </x:c>
      <x:c r="G500" s="6" t="str">
        <x:v>Pingshui main list, Wikisource-derived DOCX</x:v>
      </x:c>
      <x:c r="H500" s="6" t="str">
        <x:v>1</x:v>
      </x:c>
      <x:c r="I500" s="6" t="str"/>
      <x:c r="J500" s="6" t="str">
        <x:f>IF(B500="","",IF(AND(ISNUMBER(SEARCH("平",B500)),OR(ISNUMBER(SEARCH("上",B500)),ISNUMBER(SEARCH("去",B500)),ISNUMBER(SEARCH("入",B500)))),"Ambiguous",IF(ISNUMBER(SEARCH("平",B500)),"平","仄")))</x:f>
        <x:v>平</x:v>
      </x:c>
      <x:c r="K500" s="6" t="str">
        <x:f>IF(D500="","",IF(AND(ISNUMBER(SEARCH("平",D500)),OR(ISNUMBER(SEARCH("上",D500)),ISNUMBER(SEARCH("去",D500)),ISNUMBER(SEARCH("入",D500)))),"Ambiguous",IF(ISNUMBER(SEARCH("平",D500)),"平","仄")))</x:f>
        <x:v>平</x:v>
      </x:c>
      <x:c r="L500" s="7" t="str"/>
    </x:row>
    <x:row r="501">
      <x:c r="A501" s="5" t="str">
        <x:v>厠</x:v>
      </x:c>
      <x:c r="B501" s="6" t="str">
        <x:v>去</x:v>
      </x:c>
      <x:c r="C501" s="6" t="str">
        <x:f>IF(B501="","Needs decision","Ready")</x:f>
        <x:v>Ready</x:v>
      </x:c>
      <x:c r="D501" s="6" t="str">
        <x:v>去</x:v>
      </x:c>
      <x:c r="E501" s="6" t="str">
        <x:v>tsrhiH [初開三之去] tʂʰɨh</x:v>
      </x:c>
      <x:c r="F501" s="6" t="str"/>
      <x:c r="G501" s="6" t="str"/>
      <x:c r="H501" s="6" t="str">
        <x:v>1</x:v>
      </x:c>
      <x:c r="I501" s="6" t="str">
        <x:v>Targeted preliminary fill from Xun Gong; review if uncertain (looked up under 廁)</x:v>
      </x:c>
      <x:c r="J501" s="6" t="str">
        <x:f>IF(B501="","",IF(AND(ISNUMBER(SEARCH("平",B501)),OR(ISNUMBER(SEARCH("上",B501)),ISNUMBER(SEARCH("去",B501)),ISNUMBER(SEARCH("入",B501)))),"Ambiguous",IF(ISNUMBER(SEARCH("平",B501)),"平","仄")))</x:f>
        <x:v>仄</x:v>
      </x:c>
      <x:c r="K501" s="6" t="str">
        <x:f>IF(D501="","",IF(AND(ISNUMBER(SEARCH("平",D501)),OR(ISNUMBER(SEARCH("上",D501)),ISNUMBER(SEARCH("去",D501)),ISNUMBER(SEARCH("入",D501)))),"Ambiguous",IF(ISNUMBER(SEARCH("平",D501)),"平","仄")))</x:f>
        <x:v>仄</x:v>
      </x:c>
      <x:c r="L501" s="7" t="str">
        <x:v>Xun Gong character-readings.csv</x:v>
      </x:c>
    </x:row>
    <x:row r="502">
      <x:c r="A502" s="5" t="str">
        <x:v>厥</x:v>
      </x:c>
      <x:c r="B502" s="6" t="str">
        <x:v>入</x:v>
      </x:c>
      <x:c r="C502" s="6" t="str">
        <x:f>IF(B502="","Needs decision","Ready")</x:f>
        <x:v>Ready</x:v>
      </x:c>
      <x:c r="D502" s="6" t="str">
        <x:v>入</x:v>
      </x:c>
      <x:c r="E502" s="6" t="str">
        <x:v>kjwot (D)</x:v>
      </x:c>
      <x:c r="F502" s="6" t="str">
        <x:v>入聲五物; 入聲六月</x:v>
      </x:c>
      <x:c r="G502" s="6" t="str">
        <x:v>Pingshui main list, Wikisource-derived DOCX</x:v>
      </x:c>
      <x:c r="H502" s="6" t="str">
        <x:v>1</x:v>
      </x:c>
      <x:c r="I502" s="6" t="str"/>
      <x:c r="J502" s="6" t="str">
        <x:f>IF(B502="","",IF(AND(ISNUMBER(SEARCH("平",B502)),OR(ISNUMBER(SEARCH("上",B502)),ISNUMBER(SEARCH("去",B502)),ISNUMBER(SEARCH("入",B502)))),"Ambiguous",IF(ISNUMBER(SEARCH("平",B502)),"平","仄")))</x:f>
        <x:v>仄</x:v>
      </x:c>
      <x:c r="K502" s="6" t="str">
        <x:f>IF(D502="","",IF(AND(ISNUMBER(SEARCH("平",D502)),OR(ISNUMBER(SEARCH("上",D502)),ISNUMBER(SEARCH("去",D502)),ISNUMBER(SEARCH("入",D502)))),"Ambiguous",IF(ISNUMBER(SEARCH("平",D502)),"平","仄")))</x:f>
        <x:v>仄</x:v>
      </x:c>
      <x:c r="L502" s="7" t="str"/>
    </x:row>
    <x:row r="503">
      <x:c r="A503" s="5" t="str">
        <x:v>厦</x:v>
      </x:c>
      <x:c r="B503" s="6" t="str">
        <x:v>上</x:v>
      </x:c>
      <x:c r="C503" s="6" t="str">
        <x:f>IF(B503="","Needs decision","Ready")</x:f>
        <x:v>Ready</x:v>
      </x:c>
      <x:c r="D503" s="6" t="str">
        <x:v>上</x:v>
      </x:c>
      <x:c r="E503" s="6" t="str">
        <x:v>haeX (B)</x:v>
      </x:c>
      <x:c r="F503" s="6" t="str"/>
      <x:c r="G503" s="6" t="str"/>
      <x:c r="H503" s="6" t="str">
        <x:v>1</x:v>
      </x:c>
      <x:c r="I503" s="6" t="str"/>
      <x:c r="J503" s="6" t="str">
        <x:f>IF(B503="","",IF(AND(ISNUMBER(SEARCH("平",B503)),OR(ISNUMBER(SEARCH("上",B503)),ISNUMBER(SEARCH("去",B503)),ISNUMBER(SEARCH("入",B503)))),"Ambiguous",IF(ISNUMBER(SEARCH("平",B503)),"平","仄")))</x:f>
        <x:v>仄</x:v>
      </x:c>
      <x:c r="K503" s="6" t="str">
        <x:f>IF(D503="","",IF(AND(ISNUMBER(SEARCH("平",D503)),OR(ISNUMBER(SEARCH("上",D503)),ISNUMBER(SEARCH("去",D503)),ISNUMBER(SEARCH("入",D503)))),"Ambiguous",IF(ISNUMBER(SEARCH("平",D503)),"平","仄")))</x:f>
        <x:v>仄</x:v>
      </x:c>
      <x:c r="L503" s="7" t="str"/>
    </x:row>
    <x:row r="504">
      <x:c r="A504" s="5" t="str">
        <x:v>厭</x:v>
      </x:c>
      <x:c r="B504" s="6" t="str"/>
      <x:c r="C504" s="6" t="str">
        <x:f>IF(B504="","Needs decision","Ready")</x:f>
        <x:v>Needs decision</x:v>
      </x:c>
      <x:c r="D504" s="6" t="str">
        <x:v>平/入</x:v>
      </x:c>
      <x:c r="E504" s="6" t="str">
        <x:v>'jiep (D); 'jiem (A)</x:v>
      </x:c>
      <x:c r="F504" s="6" t="str">
        <x:v>去聲二十九豔; 入聲十六葉</x:v>
      </x:c>
      <x:c r="G504" s="6" t="str">
        <x:v>Pingshui main list, Wikisource-derived DOCX</x:v>
      </x:c>
      <x:c r="H504" s="6" t="str">
        <x:v>2</x:v>
      </x:c>
      <x:c r="I504" s="6" t="str"/>
      <x:c r="J504" s="6" t="str">
        <x:f>IF(B504="","",IF(AND(ISNUMBER(SEARCH("平",B504)),OR(ISNUMBER(SEARCH("上",B504)),ISNUMBER(SEARCH("去",B504)),ISNUMBER(SEARCH("入",B504)))),"Ambiguous",IF(ISNUMBER(SEARCH("平",B504)),"平","仄")))</x:f>
      </x:c>
      <x:c r="K504" s="6" t="str">
        <x:f>IF(D504="","",IF(AND(ISNUMBER(SEARCH("平",D504)),OR(ISNUMBER(SEARCH("上",D504)),ISNUMBER(SEARCH("去",D504)),ISNUMBER(SEARCH("入",D504)))),"Ambiguous",IF(ISNUMBER(SEARCH("平",D504)),"平","仄")))</x:f>
        <x:v>Ambiguous</x:v>
      </x:c>
      <x:c r="L504" s="7" t="str"/>
    </x:row>
    <x:row r="505">
      <x:c r="A505" s="5" t="str">
        <x:v>厲</x:v>
      </x:c>
      <x:c r="B505" s="6" t="str">
        <x:v>去</x:v>
      </x:c>
      <x:c r="C505" s="6" t="str">
        <x:f>IF(B505="","Needs decision","Ready")</x:f>
        <x:v>Ready</x:v>
      </x:c>
      <x:c r="D505" s="6" t="str">
        <x:v>去</x:v>
      </x:c>
      <x:c r="E505" s="6" t="str">
        <x:v>ljejH (C)</x:v>
      </x:c>
      <x:c r="F505" s="6" t="str">
        <x:v>去聲八霽</x:v>
      </x:c>
      <x:c r="G505" s="6" t="str">
        <x:v>Pingshui main list, Wikisource-derived DOCX</x:v>
      </x:c>
      <x:c r="H505" s="6" t="str">
        <x:v>1</x:v>
      </x:c>
      <x:c r="I505" s="6" t="str"/>
      <x:c r="J505" s="6" t="str">
        <x:f>IF(B505="","",IF(AND(ISNUMBER(SEARCH("平",B505)),OR(ISNUMBER(SEARCH("上",B505)),ISNUMBER(SEARCH("去",B505)),ISNUMBER(SEARCH("入",B505)))),"Ambiguous",IF(ISNUMBER(SEARCH("平",B505)),"平","仄")))</x:f>
        <x:v>仄</x:v>
      </x:c>
      <x:c r="K505" s="6" t="str">
        <x:f>IF(D505="","",IF(AND(ISNUMBER(SEARCH("平",D505)),OR(ISNUMBER(SEARCH("上",D505)),ISNUMBER(SEARCH("去",D505)),ISNUMBER(SEARCH("入",D505)))),"Ambiguous",IF(ISNUMBER(SEARCH("平",D505)),"平","仄")))</x:f>
        <x:v>仄</x:v>
      </x:c>
      <x:c r="L505" s="7" t="str"/>
    </x:row>
    <x:row r="506">
      <x:c r="A506" s="5" t="str">
        <x:v>去</x:v>
      </x:c>
      <x:c r="B506" s="6" t="str">
        <x:v>去</x:v>
      </x:c>
      <x:c r="C506" s="6" t="str">
        <x:f>IF(B506="","Needs decision","Ready")</x:f>
        <x:v>Ready</x:v>
      </x:c>
      <x:c r="D506" s="6" t="str">
        <x:v>上/去</x:v>
      </x:c>
      <x:c r="E506" s="6" t="str">
        <x:v>khjoX (B); khjoH (C)</x:v>
      </x:c>
      <x:c r="F506" s="6" t="str">
        <x:v>上聲六語; 去聲六御</x:v>
      </x:c>
      <x:c r="G506" s="6" t="str">
        <x:v>Pingshui main list, Wikisource-derived DOCX</x:v>
      </x:c>
      <x:c r="H506" s="6" t="str">
        <x:v>2</x:v>
      </x:c>
      <x:c r="I506" s="6" t="str"/>
      <x:c r="J506" s="6" t="str">
        <x:f>IF(B506="","",IF(AND(ISNUMBER(SEARCH("平",B506)),OR(ISNUMBER(SEARCH("上",B506)),ISNUMBER(SEARCH("去",B506)),ISNUMBER(SEARCH("入",B506)))),"Ambiguous",IF(ISNUMBER(SEARCH("平",B506)),"平","仄")))</x:f>
        <x:v>仄</x:v>
      </x:c>
      <x:c r="K506" s="6" t="str">
        <x:f>IF(D506="","",IF(AND(ISNUMBER(SEARCH("平",D506)),OR(ISNUMBER(SEARCH("上",D506)),ISNUMBER(SEARCH("去",D506)),ISNUMBER(SEARCH("入",D506)))),"Ambiguous",IF(ISNUMBER(SEARCH("平",D506)),"平","仄")))</x:f>
        <x:v>仄</x:v>
      </x:c>
      <x:c r="L506" s="7" t="str"/>
    </x:row>
    <x:row r="507">
      <x:c r="A507" s="5" t="str">
        <x:v>叀</x:v>
      </x:c>
      <x:c r="B507" s="6" t="str">
        <x:v>去</x:v>
      </x:c>
      <x:c r="C507" s="6" t="str">
        <x:f>IF(B507="","Needs decision","Ready")</x:f>
        <x:v>Ready</x:v>
      </x:c>
      <x:c r="D507" s="6" t="str">
        <x:v>去</x:v>
      </x:c>
      <x:c r="E507" s="6" t="str">
        <x:v>hwejH (C)</x:v>
      </x:c>
      <x:c r="F507" s="6" t="str"/>
      <x:c r="G507" s="6" t="str"/>
      <x:c r="H507" s="6" t="str">
        <x:v>1</x:v>
      </x:c>
      <x:c r="I507" s="6" t="str"/>
      <x:c r="J507" s="6" t="str">
        <x:f>IF(B507="","",IF(AND(ISNUMBER(SEARCH("平",B507)),OR(ISNUMBER(SEARCH("上",B507)),ISNUMBER(SEARCH("去",B507)),ISNUMBER(SEARCH("入",B507)))),"Ambiguous",IF(ISNUMBER(SEARCH("平",B507)),"平","仄")))</x:f>
        <x:v>仄</x:v>
      </x:c>
      <x:c r="K507" s="6" t="str">
        <x:f>IF(D507="","",IF(AND(ISNUMBER(SEARCH("平",D507)),OR(ISNUMBER(SEARCH("上",D507)),ISNUMBER(SEARCH("去",D507)),ISNUMBER(SEARCH("入",D507)))),"Ambiguous",IF(ISNUMBER(SEARCH("平",D507)),"平","仄")))</x:f>
        <x:v>仄</x:v>
      </x:c>
      <x:c r="L507" s="7" t="str"/>
    </x:row>
    <x:row r="508">
      <x:c r="A508" s="5" t="str">
        <x:v>參</x:v>
      </x:c>
      <x:c r="B508" s="6" t="str">
        <x:v>平</x:v>
      </x:c>
      <x:c r="C508" s="6" t="str">
        <x:f>IF(B508="","Needs decision","Ready")</x:f>
        <x:v>Ready</x:v>
      </x:c>
      <x:c r="D508" s="6" t="str">
        <x:v>平</x:v>
      </x:c>
      <x:c r="E508" s="6" t="str">
        <x:v>tshom (A); tsrhim (A); sam (A); srim (A)</x:v>
      </x:c>
      <x:c r="F508" s="6" t="str">
        <x:v>下平聲十二侵; 下平聲十三覃; 去聲二十八勘</x:v>
      </x:c>
      <x:c r="G508" s="6" t="str">
        <x:v>Pingshui main list, Wikisource-derived DOCX</x:v>
      </x:c>
      <x:c r="H508" s="6" t="str">
        <x:v>4</x:v>
      </x:c>
      <x:c r="I508" s="6" t="str"/>
      <x:c r="J508" s="6" t="str">
        <x:f>IF(B508="","",IF(AND(ISNUMBER(SEARCH("平",B508)),OR(ISNUMBER(SEARCH("上",B508)),ISNUMBER(SEARCH("去",B508)),ISNUMBER(SEARCH("入",B508)))),"Ambiguous",IF(ISNUMBER(SEARCH("平",B508)),"平","仄")))</x:f>
        <x:v>平</x:v>
      </x:c>
      <x:c r="K508" s="6" t="str">
        <x:f>IF(D508="","",IF(AND(ISNUMBER(SEARCH("平",D508)),OR(ISNUMBER(SEARCH("上",D508)),ISNUMBER(SEARCH("去",D508)),ISNUMBER(SEARCH("入",D508)))),"Ambiguous",IF(ISNUMBER(SEARCH("平",D508)),"平","仄")))</x:f>
        <x:v>平</x:v>
      </x:c>
      <x:c r="L508" s="7" t="str"/>
    </x:row>
    <x:row r="509">
      <x:c r="A509" s="5" t="str">
        <x:v>又</x:v>
      </x:c>
      <x:c r="B509" s="6" t="str">
        <x:v>去</x:v>
      </x:c>
      <x:c r="C509" s="6" t="str">
        <x:f>IF(B509="","Needs decision","Ready")</x:f>
        <x:v>Ready</x:v>
      </x:c>
      <x:c r="D509" s="6" t="str">
        <x:v>去</x:v>
      </x:c>
      <x:c r="E509" s="6" t="str">
        <x:v>hjuwH (C)</x:v>
      </x:c>
      <x:c r="F509" s="6" t="str">
        <x:v>去聲二十六宥</x:v>
      </x:c>
      <x:c r="G509" s="6" t="str">
        <x:v>Pingshui main list, Wikisource-derived DOCX</x:v>
      </x:c>
      <x:c r="H509" s="6" t="str">
        <x:v>1</x:v>
      </x:c>
      <x:c r="I509" s="6" t="str"/>
      <x:c r="J509" s="6" t="str">
        <x:f>IF(B509="","",IF(AND(ISNUMBER(SEARCH("平",B509)),OR(ISNUMBER(SEARCH("上",B509)),ISNUMBER(SEARCH("去",B509)),ISNUMBER(SEARCH("入",B509)))),"Ambiguous",IF(ISNUMBER(SEARCH("平",B509)),"平","仄")))</x:f>
        <x:v>仄</x:v>
      </x:c>
      <x:c r="K509" s="6" t="str">
        <x:f>IF(D509="","",IF(AND(ISNUMBER(SEARCH("平",D509)),OR(ISNUMBER(SEARCH("上",D509)),ISNUMBER(SEARCH("去",D509)),ISNUMBER(SEARCH("入",D509)))),"Ambiguous",IF(ISNUMBER(SEARCH("平",D509)),"平","仄")))</x:f>
        <x:v>仄</x:v>
      </x:c>
      <x:c r="L509" s="7" t="str"/>
    </x:row>
    <x:row r="510">
      <x:c r="A510" s="5" t="str">
        <x:v>及</x:v>
      </x:c>
      <x:c r="B510" s="6" t="str">
        <x:v>入</x:v>
      </x:c>
      <x:c r="C510" s="6" t="str">
        <x:f>IF(B510="","Needs decision","Ready")</x:f>
        <x:v>Ready</x:v>
      </x:c>
      <x:c r="D510" s="6" t="str">
        <x:v>入</x:v>
      </x:c>
      <x:c r="E510" s="6" t="str">
        <x:v>gip (D)</x:v>
      </x:c>
      <x:c r="F510" s="6" t="str">
        <x:v>入聲十四緝</x:v>
      </x:c>
      <x:c r="G510" s="6" t="str">
        <x:v>Pingshui main list, Wikisource-derived DOCX</x:v>
      </x:c>
      <x:c r="H510" s="6" t="str">
        <x:v>1</x:v>
      </x:c>
      <x:c r="I510" s="6" t="str"/>
      <x:c r="J510" s="6" t="str">
        <x:f>IF(B510="","",IF(AND(ISNUMBER(SEARCH("平",B510)),OR(ISNUMBER(SEARCH("上",B510)),ISNUMBER(SEARCH("去",B510)),ISNUMBER(SEARCH("入",B510)))),"Ambiguous",IF(ISNUMBER(SEARCH("平",B510)),"平","仄")))</x:f>
        <x:v>仄</x:v>
      </x:c>
      <x:c r="K510" s="6" t="str">
        <x:f>IF(D510="","",IF(AND(ISNUMBER(SEARCH("平",D510)),OR(ISNUMBER(SEARCH("上",D510)),ISNUMBER(SEARCH("去",D510)),ISNUMBER(SEARCH("入",D510)))),"Ambiguous",IF(ISNUMBER(SEARCH("平",D510)),"平","仄")))</x:f>
        <x:v>仄</x:v>
      </x:c>
      <x:c r="L510" s="7" t="str"/>
    </x:row>
    <x:row r="511">
      <x:c r="A511" s="5" t="str">
        <x:v>友</x:v>
      </x:c>
      <x:c r="B511" s="6" t="str">
        <x:v>上</x:v>
      </x:c>
      <x:c r="C511" s="6" t="str">
        <x:f>IF(B511="","Needs decision","Ready")</x:f>
        <x:v>Ready</x:v>
      </x:c>
      <x:c r="D511" s="6" t="str">
        <x:v>上</x:v>
      </x:c>
      <x:c r="E511" s="6" t="str">
        <x:v>hjuwX (B)</x:v>
      </x:c>
      <x:c r="F511" s="6" t="str">
        <x:v>上聲二十五有</x:v>
      </x:c>
      <x:c r="G511" s="6" t="str">
        <x:v>Pingshui main list, Wikisource-derived DOCX</x:v>
      </x:c>
      <x:c r="H511" s="6" t="str">
        <x:v>1</x:v>
      </x:c>
      <x:c r="I511" s="6" t="str"/>
      <x:c r="J511" s="6" t="str">
        <x:f>IF(B511="","",IF(AND(ISNUMBER(SEARCH("平",B511)),OR(ISNUMBER(SEARCH("上",B511)),ISNUMBER(SEARCH("去",B511)),ISNUMBER(SEARCH("入",B511)))),"Ambiguous",IF(ISNUMBER(SEARCH("平",B511)),"平","仄")))</x:f>
        <x:v>仄</x:v>
      </x:c>
      <x:c r="K511" s="6" t="str">
        <x:f>IF(D511="","",IF(AND(ISNUMBER(SEARCH("平",D511)),OR(ISNUMBER(SEARCH("上",D511)),ISNUMBER(SEARCH("去",D511)),ISNUMBER(SEARCH("入",D511)))),"Ambiguous",IF(ISNUMBER(SEARCH("平",D511)),"平","仄")))</x:f>
        <x:v>仄</x:v>
      </x:c>
      <x:c r="L511" s="7" t="str"/>
    </x:row>
    <x:row r="512">
      <x:c r="A512" s="5" t="str">
        <x:v>反</x:v>
      </x:c>
      <x:c r="B512" s="6" t="str">
        <x:v>上</x:v>
      </x:c>
      <x:c r="C512" s="6" t="str">
        <x:f>IF(B512="","Needs decision","Ready")</x:f>
        <x:v>Ready</x:v>
      </x:c>
      <x:c r="D512" s="6" t="str">
        <x:v>上</x:v>
      </x:c>
      <x:c r="E512" s="6" t="str">
        <x:v>baenX (B); pjonX (B)</x:v>
      </x:c>
      <x:c r="F512" s="6" t="str">
        <x:v>上平聲十三元; 上聲十三阮</x:v>
      </x:c>
      <x:c r="G512" s="6" t="str">
        <x:v>Pingshui main list, Wikisource-derived DOCX</x:v>
      </x:c>
      <x:c r="H512" s="6" t="str">
        <x:v>2</x:v>
      </x:c>
      <x:c r="I512" s="6" t="str"/>
      <x:c r="J512" s="6" t="str">
        <x:f>IF(B512="","",IF(AND(ISNUMBER(SEARCH("平",B512)),OR(ISNUMBER(SEARCH("上",B512)),ISNUMBER(SEARCH("去",B512)),ISNUMBER(SEARCH("入",B512)))),"Ambiguous",IF(ISNUMBER(SEARCH("平",B512)),"平","仄")))</x:f>
        <x:v>仄</x:v>
      </x:c>
      <x:c r="K512" s="6" t="str">
        <x:f>IF(D512="","",IF(AND(ISNUMBER(SEARCH("平",D512)),OR(ISNUMBER(SEARCH("上",D512)),ISNUMBER(SEARCH("去",D512)),ISNUMBER(SEARCH("入",D512)))),"Ambiguous",IF(ISNUMBER(SEARCH("平",D512)),"平","仄")))</x:f>
        <x:v>仄</x:v>
      </x:c>
      <x:c r="L512" s="7" t="str"/>
    </x:row>
    <x:row r="513">
      <x:c r="A513" s="5" t="str">
        <x:v>叔</x:v>
      </x:c>
      <x:c r="B513" s="6" t="str">
        <x:v>入</x:v>
      </x:c>
      <x:c r="C513" s="6" t="str">
        <x:f>IF(B513="","Needs decision","Ready")</x:f>
        <x:v>Ready</x:v>
      </x:c>
      <x:c r="D513" s="6" t="str">
        <x:v>入</x:v>
      </x:c>
      <x:c r="E513" s="6" t="str">
        <x:v>syuwk (D)</x:v>
      </x:c>
      <x:c r="F513" s="6" t="str">
        <x:v>入聲一屋</x:v>
      </x:c>
      <x:c r="G513" s="6" t="str">
        <x:v>Pingshui main list, Wikisource-derived DOCX</x:v>
      </x:c>
      <x:c r="H513" s="6" t="str">
        <x:v>1</x:v>
      </x:c>
      <x:c r="I513" s="6" t="str"/>
      <x:c r="J513" s="6" t="str">
        <x:f>IF(B513="","",IF(AND(ISNUMBER(SEARCH("平",B513)),OR(ISNUMBER(SEARCH("上",B513)),ISNUMBER(SEARCH("去",B513)),ISNUMBER(SEARCH("入",B513)))),"Ambiguous",IF(ISNUMBER(SEARCH("平",B513)),"平","仄")))</x:f>
        <x:v>仄</x:v>
      </x:c>
      <x:c r="K513" s="6" t="str">
        <x:f>IF(D513="","",IF(AND(ISNUMBER(SEARCH("平",D513)),OR(ISNUMBER(SEARCH("上",D513)),ISNUMBER(SEARCH("去",D513)),ISNUMBER(SEARCH("入",D513)))),"Ambiguous",IF(ISNUMBER(SEARCH("平",D513)),"平","仄")))</x:f>
        <x:v>仄</x:v>
      </x:c>
      <x:c r="L513" s="7" t="str"/>
    </x:row>
    <x:row r="514">
      <x:c r="A514" s="5" t="str">
        <x:v>叕</x:v>
      </x:c>
      <x:c r="B514" s="6" t="str"/>
      <x:c r="C514" s="6" t="str">
        <x:f>IF(B514="","Needs decision","Ready")</x:f>
        <x:v>Needs decision</x:v>
      </x:c>
      <x:c r="D514" s="6" t="str">
        <x:v>去/入</x:v>
      </x:c>
      <x:c r="E514" s="6" t="str">
        <x:v>trjwejH (C); trjwet (D)</x:v>
      </x:c>
      <x:c r="F514" s="6" t="str"/>
      <x:c r="G514" s="6" t="str"/>
      <x:c r="H514" s="6" t="str">
        <x:v>2</x:v>
      </x:c>
      <x:c r="I514" s="6" t="str"/>
      <x:c r="J514" s="6" t="str">
        <x:f>IF(B514="","",IF(AND(ISNUMBER(SEARCH("平",B514)),OR(ISNUMBER(SEARCH("上",B514)),ISNUMBER(SEARCH("去",B514)),ISNUMBER(SEARCH("入",B514)))),"Ambiguous",IF(ISNUMBER(SEARCH("平",B514)),"平","仄")))</x:f>
      </x:c>
      <x:c r="K514" s="6" t="str">
        <x:f>IF(D514="","",IF(AND(ISNUMBER(SEARCH("平",D514)),OR(ISNUMBER(SEARCH("上",D514)),ISNUMBER(SEARCH("去",D514)),ISNUMBER(SEARCH("入",D514)))),"Ambiguous",IF(ISNUMBER(SEARCH("平",D514)),"平","仄")))</x:f>
        <x:v>仄</x:v>
      </x:c>
      <x:c r="L514" s="7" t="str"/>
    </x:row>
    <x:row r="515">
      <x:c r="A515" s="5" t="str">
        <x:v>取</x:v>
      </x:c>
      <x:c r="B515" s="6" t="str">
        <x:v>上</x:v>
      </x:c>
      <x:c r="C515" s="6" t="str">
        <x:f>IF(B515="","Needs decision","Ready")</x:f>
        <x:v>Ready</x:v>
      </x:c>
      <x:c r="D515" s="6" t="str">
        <x:v>上/去</x:v>
      </x:c>
      <x:c r="E515" s="6" t="str">
        <x:v>tshuwX (B); tshjuX (B); tshjuH (C)</x:v>
      </x:c>
      <x:c r="F515" s="6" t="str">
        <x:v>上聲七麌; 上聲二十五有</x:v>
      </x:c>
      <x:c r="G515" s="6" t="str">
        <x:v>Pingshui main list, Wikisource-derived DOCX</x:v>
      </x:c>
      <x:c r="H515" s="6" t="str">
        <x:v>3</x:v>
      </x:c>
      <x:c r="I515" s="6" t="str">
        <x:v>Manual user correction/addition</x:v>
      </x:c>
      <x:c r="J515" s="6" t="str">
        <x:f>IF(B515="","",IF(AND(ISNUMBER(SEARCH("平",B515)),OR(ISNUMBER(SEARCH("上",B515)),ISNUMBER(SEARCH("去",B515)),ISNUMBER(SEARCH("入",B515)))),"Ambiguous",IF(ISNUMBER(SEARCH("平",B515)),"平","仄")))</x:f>
        <x:v>仄</x:v>
      </x:c>
      <x:c r="K515" s="6" t="str">
        <x:f>IF(D515="","",IF(AND(ISNUMBER(SEARCH("平",D515)),OR(ISNUMBER(SEARCH("上",D515)),ISNUMBER(SEARCH("去",D515)),ISNUMBER(SEARCH("入",D515)))),"Ambiguous",IF(ISNUMBER(SEARCH("平",D515)),"平","仄")))</x:f>
        <x:v>仄</x:v>
      </x:c>
      <x:c r="L515" s="7" t="str">
        <x:v>manual user correction</x:v>
      </x:c>
    </x:row>
    <x:row r="516">
      <x:c r="A516" s="5" t="str">
        <x:v>受</x:v>
      </x:c>
      <x:c r="B516" s="6" t="str">
        <x:v>上</x:v>
      </x:c>
      <x:c r="C516" s="6" t="str">
        <x:f>IF(B516="","Needs decision","Ready")</x:f>
        <x:v>Ready</x:v>
      </x:c>
      <x:c r="D516" s="6" t="str">
        <x:v>上</x:v>
      </x:c>
      <x:c r="E516" s="6" t="str">
        <x:v>dzyuwX (B)</x:v>
      </x:c>
      <x:c r="F516" s="6" t="str">
        <x:v>上聲二十五有</x:v>
      </x:c>
      <x:c r="G516" s="6" t="str">
        <x:v>Pingshui main list, Wikisource-derived DOCX</x:v>
      </x:c>
      <x:c r="H516" s="6" t="str">
        <x:v>1</x:v>
      </x:c>
      <x:c r="I516" s="6" t="str"/>
      <x:c r="J516" s="6" t="str">
        <x:f>IF(B516="","",IF(AND(ISNUMBER(SEARCH("平",B516)),OR(ISNUMBER(SEARCH("上",B516)),ISNUMBER(SEARCH("去",B516)),ISNUMBER(SEARCH("入",B516)))),"Ambiguous",IF(ISNUMBER(SEARCH("平",B516)),"平","仄")))</x:f>
        <x:v>仄</x:v>
      </x:c>
      <x:c r="K516" s="6" t="str">
        <x:f>IF(D516="","",IF(AND(ISNUMBER(SEARCH("平",D516)),OR(ISNUMBER(SEARCH("上",D516)),ISNUMBER(SEARCH("去",D516)),ISNUMBER(SEARCH("入",D516)))),"Ambiguous",IF(ISNUMBER(SEARCH("平",D516)),"平","仄")))</x:f>
        <x:v>仄</x:v>
      </x:c>
      <x:c r="L516" s="7" t="str"/>
    </x:row>
    <x:row r="517">
      <x:c r="A517" s="5" t="str">
        <x:v>叚</x:v>
      </x:c>
      <x:c r="B517" s="6" t="str">
        <x:v>上</x:v>
      </x:c>
      <x:c r="C517" s="6" t="str">
        <x:f>IF(B517="","Needs decision","Ready")</x:f>
        <x:v>Ready</x:v>
      </x:c>
      <x:c r="D517" s="6" t="str">
        <x:v>上</x:v>
      </x:c>
      <x:c r="E517" s="6" t="str">
        <x:v>kaeX (B)</x:v>
      </x:c>
      <x:c r="F517" s="6" t="str"/>
      <x:c r="G517" s="6" t="str"/>
      <x:c r="H517" s="6" t="str">
        <x:v>1</x:v>
      </x:c>
      <x:c r="I517" s="6" t="str"/>
      <x:c r="J517" s="6" t="str">
        <x:f>IF(B517="","",IF(AND(ISNUMBER(SEARCH("平",B517)),OR(ISNUMBER(SEARCH("上",B517)),ISNUMBER(SEARCH("去",B517)),ISNUMBER(SEARCH("入",B517)))),"Ambiguous",IF(ISNUMBER(SEARCH("平",B517)),"平","仄")))</x:f>
        <x:v>仄</x:v>
      </x:c>
      <x:c r="K517" s="6" t="str">
        <x:f>IF(D517="","",IF(AND(ISNUMBER(SEARCH("平",D517)),OR(ISNUMBER(SEARCH("上",D517)),ISNUMBER(SEARCH("去",D517)),ISNUMBER(SEARCH("入",D517)))),"Ambiguous",IF(ISNUMBER(SEARCH("平",D517)),"平","仄")))</x:f>
        <x:v>仄</x:v>
      </x:c>
      <x:c r="L517" s="7" t="str"/>
    </x:row>
    <x:row r="518">
      <x:c r="A518" s="5" t="str">
        <x:v>叜</x:v>
      </x:c>
      <x:c r="B518" s="6" t="str">
        <x:v>上</x:v>
      </x:c>
      <x:c r="C518" s="6" t="str">
        <x:f>IF(B518="","Needs decision","Ready")</x:f>
        <x:v>Ready</x:v>
      </x:c>
      <x:c r="D518" s="6" t="str">
        <x:v>上</x:v>
      </x:c>
      <x:c r="E518" s="6" t="str">
        <x:v>suwX (B)</x:v>
      </x:c>
      <x:c r="F518" s="6" t="str"/>
      <x:c r="G518" s="6" t="str"/>
      <x:c r="H518" s="6" t="str">
        <x:v>1</x:v>
      </x:c>
      <x:c r="I518" s="6" t="str"/>
      <x:c r="J518" s="6" t="str">
        <x:f>IF(B518="","",IF(AND(ISNUMBER(SEARCH("平",B518)),OR(ISNUMBER(SEARCH("上",B518)),ISNUMBER(SEARCH("去",B518)),ISNUMBER(SEARCH("入",B518)))),"Ambiguous",IF(ISNUMBER(SEARCH("平",B518)),"平","仄")))</x:f>
        <x:v>仄</x:v>
      </x:c>
      <x:c r="K518" s="6" t="str">
        <x:f>IF(D518="","",IF(AND(ISNUMBER(SEARCH("平",D518)),OR(ISNUMBER(SEARCH("上",D518)),ISNUMBER(SEARCH("去",D518)),ISNUMBER(SEARCH("入",D518)))),"Ambiguous",IF(ISNUMBER(SEARCH("平",D518)),"平","仄")))</x:f>
        <x:v>仄</x:v>
      </x:c>
      <x:c r="L518" s="7" t="str"/>
    </x:row>
    <x:row r="519">
      <x:c r="A519" s="5" t="str">
        <x:v>叟</x:v>
      </x:c>
      <x:c r="B519" s="6" t="str">
        <x:v>上</x:v>
      </x:c>
      <x:c r="C519" s="6" t="str">
        <x:f>IF(B519="","Needs decision","Ready")</x:f>
        <x:v>Ready</x:v>
      </x:c>
      <x:c r="D519" s="6" t="str">
        <x:v>上</x:v>
      </x:c>
      <x:c r="E519" s="6" t="str">
        <x:v>suwX (B)</x:v>
      </x:c>
      <x:c r="F519" s="6" t="str">
        <x:v>下平聲十一尤; 上聲二十五有</x:v>
      </x:c>
      <x:c r="G519" s="6" t="str">
        <x:v>Pingshui main list, Wikisource-derived DOCX</x:v>
      </x:c>
      <x:c r="H519" s="6" t="str">
        <x:v>1</x:v>
      </x:c>
      <x:c r="I519" s="6" t="str"/>
      <x:c r="J519" s="6" t="str">
        <x:f>IF(B519="","",IF(AND(ISNUMBER(SEARCH("平",B519)),OR(ISNUMBER(SEARCH("上",B519)),ISNUMBER(SEARCH("去",B519)),ISNUMBER(SEARCH("入",B519)))),"Ambiguous",IF(ISNUMBER(SEARCH("平",B519)),"平","仄")))</x:f>
        <x:v>仄</x:v>
      </x:c>
      <x:c r="K519" s="6" t="str">
        <x:f>IF(D519="","",IF(AND(ISNUMBER(SEARCH("平",D519)),OR(ISNUMBER(SEARCH("上",D519)),ISNUMBER(SEARCH("去",D519)),ISNUMBER(SEARCH("入",D519)))),"Ambiguous",IF(ISNUMBER(SEARCH("平",D519)),"平","仄")))</x:f>
        <x:v>仄</x:v>
      </x:c>
      <x:c r="L519" s="7" t="str"/>
    </x:row>
    <x:row r="520">
      <x:c r="A520" s="5" t="str">
        <x:v>叡</x:v>
      </x:c>
      <x:c r="B520" s="6" t="str">
        <x:v>去</x:v>
      </x:c>
      <x:c r="C520" s="6" t="str">
        <x:f>IF(B520="","Needs decision","Ready")</x:f>
        <x:v>Ready</x:v>
      </x:c>
      <x:c r="D520" s="6" t="str">
        <x:v>去</x:v>
      </x:c>
      <x:c r="E520" s="6" t="str"/>
      <x:c r="F520" s="6" t="str">
        <x:v>去聲八霽</x:v>
      </x:c>
      <x:c r="G520" s="6" t="str">
        <x:v>Pingshui main list, Wikisource-derived DOCX</x:v>
      </x:c>
      <x:c r="H520" s="6" t="str">
        <x:v>0</x:v>
      </x:c>
      <x:c r="I520" s="6" t="str">
        <x:v>User correction 2026-09-08; added manually</x:v>
      </x:c>
      <x:c r="J520" s="6" t="str">
        <x:f>IF(B520="","",IF(AND(ISNUMBER(SEARCH("平",B520)),OR(ISNUMBER(SEARCH("上",B520)),ISNUMBER(SEARCH("去",B520)),ISNUMBER(SEARCH("入",B520)))),"Ambiguous",IF(ISNUMBER(SEARCH("平",B520)),"平","仄")))</x:f>
        <x:v>仄</x:v>
      </x:c>
      <x:c r="K520" s="6" t="str">
        <x:f>IF(D520="","",IF(AND(ISNUMBER(SEARCH("平",D520)),OR(ISNUMBER(SEARCH("上",D520)),ISNUMBER(SEARCH("去",D520)),ISNUMBER(SEARCH("入",D520)))),"Ambiguous",IF(ISNUMBER(SEARCH("平",D520)),"平","仄")))</x:f>
        <x:v>仄</x:v>
      </x:c>
      <x:c r="L520" s="7" t="str">
        <x:v>User correction</x:v>
      </x:c>
    </x:row>
    <x:row r="521">
      <x:c r="A521" s="5" t="str">
        <x:v>叢</x:v>
      </x:c>
      <x:c r="B521" s="6" t="str">
        <x:v>平</x:v>
      </x:c>
      <x:c r="C521" s="6" t="str">
        <x:f>IF(B521="","Needs decision","Ready")</x:f>
        <x:v>Ready</x:v>
      </x:c>
      <x:c r="D521" s="6" t="str">
        <x:v>平</x:v>
      </x:c>
      <x:c r="E521" s="6" t="str">
        <x:v>dzuwng (A)</x:v>
      </x:c>
      <x:c r="F521" s="6" t="str">
        <x:v>上平聲一東</x:v>
      </x:c>
      <x:c r="G521" s="6" t="str">
        <x:v>Pingshui main list, Wikisource-derived DOCX</x:v>
      </x:c>
      <x:c r="H521" s="6" t="str">
        <x:v>1</x:v>
      </x:c>
      <x:c r="I521" s="6" t="str"/>
      <x:c r="J521" s="6" t="str">
        <x:f>IF(B521="","",IF(AND(ISNUMBER(SEARCH("平",B521)),OR(ISNUMBER(SEARCH("上",B521)),ISNUMBER(SEARCH("去",B521)),ISNUMBER(SEARCH("入",B521)))),"Ambiguous",IF(ISNUMBER(SEARCH("平",B521)),"平","仄")))</x:f>
        <x:v>平</x:v>
      </x:c>
      <x:c r="K521" s="6" t="str">
        <x:f>IF(D521="","",IF(AND(ISNUMBER(SEARCH("平",D521)),OR(ISNUMBER(SEARCH("上",D521)),ISNUMBER(SEARCH("去",D521)),ISNUMBER(SEARCH("入",D521)))),"Ambiguous",IF(ISNUMBER(SEARCH("平",D521)),"平","仄")))</x:f>
        <x:v>平</x:v>
      </x:c>
      <x:c r="L521" s="7" t="str"/>
    </x:row>
    <x:row r="522">
      <x:c r="A522" s="5" t="str">
        <x:v>口</x:v>
      </x:c>
      <x:c r="B522" s="6" t="str">
        <x:v>上</x:v>
      </x:c>
      <x:c r="C522" s="6" t="str">
        <x:f>IF(B522="","Needs decision","Ready")</x:f>
        <x:v>Ready</x:v>
      </x:c>
      <x:c r="D522" s="6" t="str">
        <x:v>上</x:v>
      </x:c>
      <x:c r="E522" s="6" t="str">
        <x:v>khuwX (B)</x:v>
      </x:c>
      <x:c r="F522" s="6" t="str">
        <x:v>上聲二十五有</x:v>
      </x:c>
      <x:c r="G522" s="6" t="str">
        <x:v>Pingshui main list, Wikisource-derived DOCX</x:v>
      </x:c>
      <x:c r="H522" s="6" t="str">
        <x:v>1</x:v>
      </x:c>
      <x:c r="I522" s="6" t="str"/>
      <x:c r="J522" s="6" t="str">
        <x:f>IF(B522="","",IF(AND(ISNUMBER(SEARCH("平",B522)),OR(ISNUMBER(SEARCH("上",B522)),ISNUMBER(SEARCH("去",B522)),ISNUMBER(SEARCH("入",B522)))),"Ambiguous",IF(ISNUMBER(SEARCH("平",B522)),"平","仄")))</x:f>
        <x:v>仄</x:v>
      </x:c>
      <x:c r="K522" s="6" t="str">
        <x:f>IF(D522="","",IF(AND(ISNUMBER(SEARCH("平",D522)),OR(ISNUMBER(SEARCH("上",D522)),ISNUMBER(SEARCH("去",D522)),ISNUMBER(SEARCH("入",D522)))),"Ambiguous",IF(ISNUMBER(SEARCH("平",D522)),"平","仄")))</x:f>
        <x:v>仄</x:v>
      </x:c>
      <x:c r="L522" s="7" t="str"/>
    </x:row>
    <x:row r="523">
      <x:c r="A523" s="5" t="str">
        <x:v>古</x:v>
      </x:c>
      <x:c r="B523" s="6" t="str">
        <x:v>上</x:v>
      </x:c>
      <x:c r="C523" s="6" t="str">
        <x:f>IF(B523="","Needs decision","Ready")</x:f>
        <x:v>Ready</x:v>
      </x:c>
      <x:c r="D523" s="6" t="str">
        <x:v>上</x:v>
      </x:c>
      <x:c r="E523" s="6" t="str">
        <x:v>kuX (B)</x:v>
      </x:c>
      <x:c r="F523" s="6" t="str">
        <x:v>上聲七麌</x:v>
      </x:c>
      <x:c r="G523" s="6" t="str">
        <x:v>Pingshui main list, Wikisource-derived DOCX</x:v>
      </x:c>
      <x:c r="H523" s="6" t="str">
        <x:v>1</x:v>
      </x:c>
      <x:c r="I523" s="6" t="str"/>
      <x:c r="J523" s="6" t="str">
        <x:f>IF(B523="","",IF(AND(ISNUMBER(SEARCH("平",B523)),OR(ISNUMBER(SEARCH("上",B523)),ISNUMBER(SEARCH("去",B523)),ISNUMBER(SEARCH("入",B523)))),"Ambiguous",IF(ISNUMBER(SEARCH("平",B523)),"平","仄")))</x:f>
        <x:v>仄</x:v>
      </x:c>
      <x:c r="K523" s="6" t="str">
        <x:f>IF(D523="","",IF(AND(ISNUMBER(SEARCH("平",D523)),OR(ISNUMBER(SEARCH("上",D523)),ISNUMBER(SEARCH("去",D523)),ISNUMBER(SEARCH("入",D523)))),"Ambiguous",IF(ISNUMBER(SEARCH("平",D523)),"平","仄")))</x:f>
        <x:v>仄</x:v>
      </x:c>
      <x:c r="L523" s="7" t="str"/>
    </x:row>
    <x:row r="524">
      <x:c r="A524" s="5" t="str">
        <x:v>句</x:v>
      </x:c>
      <x:c r="B524" s="6" t="str"/>
      <x:c r="C524" s="6" t="str">
        <x:f>IF(B524="","Needs decision","Ready")</x:f>
        <x:v>Needs decision</x:v>
      </x:c>
      <x:c r="D524" s="6" t="str">
        <x:v>平/去</x:v>
      </x:c>
      <x:c r="E524" s="6" t="str">
        <x:v>kuw (A); kuwH (C); kjuH (C)</x:v>
      </x:c>
      <x:c r="F524" s="6" t="str">
        <x:v>上平聲七虞; 下平聲十一尤; 去聲七遇; 去聲二十六宥</x:v>
      </x:c>
      <x:c r="G524" s="6" t="str">
        <x:v>Pingshui main list, Wikisource-derived DOCX</x:v>
      </x:c>
      <x:c r="H524" s="6" t="str">
        <x:v>3</x:v>
      </x:c>
      <x:c r="I524" s="6" t="str"/>
      <x:c r="J524" s="6" t="str">
        <x:f>IF(B524="","",IF(AND(ISNUMBER(SEARCH("平",B524)),OR(ISNUMBER(SEARCH("上",B524)),ISNUMBER(SEARCH("去",B524)),ISNUMBER(SEARCH("入",B524)))),"Ambiguous",IF(ISNUMBER(SEARCH("平",B524)),"平","仄")))</x:f>
      </x:c>
      <x:c r="K524" s="6" t="str">
        <x:f>IF(D524="","",IF(AND(ISNUMBER(SEARCH("平",D524)),OR(ISNUMBER(SEARCH("上",D524)),ISNUMBER(SEARCH("去",D524)),ISNUMBER(SEARCH("入",D524)))),"Ambiguous",IF(ISNUMBER(SEARCH("平",D524)),"平","仄")))</x:f>
        <x:v>Ambiguous</x:v>
      </x:c>
      <x:c r="L524" s="7" t="str"/>
    </x:row>
    <x:row r="525">
      <x:c r="A525" s="5" t="str">
        <x:v>叨</x:v>
      </x:c>
      <x:c r="B525" s="6" t="str">
        <x:v>平</x:v>
      </x:c>
      <x:c r="C525" s="6" t="str">
        <x:f>IF(B525="","Needs decision","Ready")</x:f>
        <x:v>Ready</x:v>
      </x:c>
      <x:c r="D525" s="6" t="str">
        <x:v>平</x:v>
      </x:c>
      <x:c r="E525" s="6" t="str"/>
      <x:c r="F525" s="6" t="str">
        <x:v>下平聲四豪</x:v>
      </x:c>
      <x:c r="G525" s="6" t="str">
        <x:v>Pingshui main list, Wikisource-derived DOCX</x:v>
      </x:c>
      <x:c r="H525" s="6" t="str">
        <x:v>0</x:v>
      </x:c>
      <x:c r="I525" s="6" t="str">
        <x:v>User correction 2026-09-08; added manually</x:v>
      </x:c>
      <x:c r="J525" s="6" t="str">
        <x:f>IF(B525="","",IF(AND(ISNUMBER(SEARCH("平",B525)),OR(ISNUMBER(SEARCH("上",B525)),ISNUMBER(SEARCH("去",B525)),ISNUMBER(SEARCH("入",B525)))),"Ambiguous",IF(ISNUMBER(SEARCH("平",B525)),"平","仄")))</x:f>
        <x:v>平</x:v>
      </x:c>
      <x:c r="K525" s="6" t="str">
        <x:f>IF(D525="","",IF(AND(ISNUMBER(SEARCH("平",D525)),OR(ISNUMBER(SEARCH("上",D525)),ISNUMBER(SEARCH("去",D525)),ISNUMBER(SEARCH("入",D525)))),"Ambiguous",IF(ISNUMBER(SEARCH("平",D525)),"平","仄")))</x:f>
        <x:v>平</x:v>
      </x:c>
      <x:c r="L525" s="7" t="str">
        <x:v>User correction</x:v>
      </x:c>
    </x:row>
    <x:row r="526">
      <x:c r="A526" s="5" t="str">
        <x:v>叩</x:v>
      </x:c>
      <x:c r="B526" s="6" t="str"/>
      <x:c r="C526" s="6" t="str">
        <x:f>IF(B526="","Needs decision","Ready")</x:f>
        <x:v>Needs decision</x:v>
      </x:c>
      <x:c r="D526" s="6" t="str">
        <x:v>上/去</x:v>
      </x:c>
      <x:c r="E526" s="6" t="str">
        <x:v>khuwX (B); khuwH (C)</x:v>
      </x:c>
      <x:c r="F526" s="6" t="str"/>
      <x:c r="G526" s="6" t="str"/>
      <x:c r="H526" s="6" t="str">
        <x:v>2</x:v>
      </x:c>
      <x:c r="I526" s="6" t="str"/>
      <x:c r="J526" s="6" t="str">
        <x:f>IF(B526="","",IF(AND(ISNUMBER(SEARCH("平",B526)),OR(ISNUMBER(SEARCH("上",B526)),ISNUMBER(SEARCH("去",B526)),ISNUMBER(SEARCH("入",B526)))),"Ambiguous",IF(ISNUMBER(SEARCH("平",B526)),"平","仄")))</x:f>
      </x:c>
      <x:c r="K526" s="6" t="str">
        <x:f>IF(D526="","",IF(AND(ISNUMBER(SEARCH("平",D526)),OR(ISNUMBER(SEARCH("上",D526)),ISNUMBER(SEARCH("去",D526)),ISNUMBER(SEARCH("入",D526)))),"Ambiguous",IF(ISNUMBER(SEARCH("平",D526)),"平","仄")))</x:f>
        <x:v>仄</x:v>
      </x:c>
      <x:c r="L526" s="7" t="str"/>
    </x:row>
    <x:row r="527">
      <x:c r="A527" s="5" t="str">
        <x:v>只</x:v>
      </x:c>
      <x:c r="B527" s="6" t="str"/>
      <x:c r="C527" s="6" t="str">
        <x:f>IF(B527="","Needs decision","Ready")</x:f>
        <x:v>Needs decision</x:v>
      </x:c>
      <x:c r="D527" s="6" t="str">
        <x:v>平/上</x:v>
      </x:c>
      <x:c r="E527" s="6" t="str">
        <x:v>tsye [tɕie] (平); tsyeX [tɕieʔ] (上)</x:v>
      </x:c>
      <x:c r="F527" s="6" t="str">
        <x:v>上聲四紙</x:v>
      </x:c>
      <x:c r="G527" s="6" t="str">
        <x:v>Pingshui main list, Wikisource-derived DOCX</x:v>
      </x:c>
      <x:c r="H527" s="6" t="str">
        <x:v>2</x:v>
      </x:c>
      <x:c r="I527" s="6" t="str">
        <x:v>Tang 300 gap; frequency 8; ambiguous in Xun Gong</x:v>
      </x:c>
      <x:c r="J527" s="6" t="str">
        <x:f>IF(B527="","",IF(AND(ISNUMBER(SEARCH("平",B527)),OR(ISNUMBER(SEARCH("上",B527)),ISNUMBER(SEARCH("去",B527)),ISNUMBER(SEARCH("入",B527)))),"Ambiguous",IF(ISNUMBER(SEARCH("平",B527)),"平","仄")))</x:f>
      </x:c>
      <x:c r="K527" s="6" t="str">
        <x:f>IF(D527="","",IF(AND(ISNUMBER(SEARCH("平",D527)),OR(ISNUMBER(SEARCH("上",D527)),ISNUMBER(SEARCH("去",D527)),ISNUMBER(SEARCH("入",D527)))),"Ambiguous",IF(ISNUMBER(SEARCH("平",D527)),"平","仄")))</x:f>
        <x:v>Ambiguous</x:v>
      </x:c>
      <x:c r="L527" s="7" t="str">
        <x:v>Xun Gong, Tang 300 gap fill</x:v>
      </x:c>
    </x:row>
    <x:row r="528">
      <x:c r="A528" s="5" t="str">
        <x:v>叫</x:v>
      </x:c>
      <x:c r="B528" s="6" t="str">
        <x:v>去</x:v>
      </x:c>
      <x:c r="C528" s="6" t="str">
        <x:f>IF(B528="","Needs decision","Ready")</x:f>
        <x:v>Ready</x:v>
      </x:c>
      <x:c r="D528" s="6" t="str">
        <x:v>去</x:v>
      </x:c>
      <x:c r="E528" s="6" t="str">
        <x:v>kewH (C)</x:v>
      </x:c>
      <x:c r="F528" s="6" t="str">
        <x:v>去聲十八嘯</x:v>
      </x:c>
      <x:c r="G528" s="6" t="str">
        <x:v>Pingshui main list, Wikisource-derived DOCX</x:v>
      </x:c>
      <x:c r="H528" s="6" t="str">
        <x:v>1</x:v>
      </x:c>
      <x:c r="I528" s="6" t="str"/>
      <x:c r="J528" s="6" t="str">
        <x:f>IF(B528="","",IF(AND(ISNUMBER(SEARCH("平",B528)),OR(ISNUMBER(SEARCH("上",B528)),ISNUMBER(SEARCH("去",B528)),ISNUMBER(SEARCH("入",B528)))),"Ambiguous",IF(ISNUMBER(SEARCH("平",B528)),"平","仄")))</x:f>
        <x:v>仄</x:v>
      </x:c>
      <x:c r="K528" s="6" t="str">
        <x:f>IF(D528="","",IF(AND(ISNUMBER(SEARCH("平",D528)),OR(ISNUMBER(SEARCH("上",D528)),ISNUMBER(SEARCH("去",D528)),ISNUMBER(SEARCH("入",D528)))),"Ambiguous",IF(ISNUMBER(SEARCH("平",D528)),"平","仄")))</x:f>
        <x:v>仄</x:v>
      </x:c>
      <x:c r="L528" s="7" t="str"/>
    </x:row>
    <x:row r="529">
      <x:c r="A529" s="5" t="str">
        <x:v>召</x:v>
      </x:c>
      <x:c r="B529" s="6" t="str">
        <x:v>去</x:v>
      </x:c>
      <x:c r="C529" s="6" t="str">
        <x:f>IF(B529="","Needs decision","Ready")</x:f>
        <x:v>Ready</x:v>
      </x:c>
      <x:c r="D529" s="6" t="str">
        <x:v>上/去</x:v>
      </x:c>
      <x:c r="E529" s="6" t="str">
        <x:v>dzyewX (B); drjewH (C)</x:v>
      </x:c>
      <x:c r="F529" s="6" t="str">
        <x:v>去聲十八嘯</x:v>
      </x:c>
      <x:c r="G529" s="6" t="str">
        <x:v>Pingshui main list, Wikisource-derived DOCX</x:v>
      </x:c>
      <x:c r="H529" s="6" t="str">
        <x:v>2</x:v>
      </x:c>
      <x:c r="I529" s="6" t="str">
        <x:v>User correction 2026-09-08</x:v>
      </x:c>
      <x:c r="J529" s="6" t="str">
        <x:f>IF(B529="","",IF(AND(ISNUMBER(SEARCH("平",B529)),OR(ISNUMBER(SEARCH("上",B529)),ISNUMBER(SEARCH("去",B529)),ISNUMBER(SEARCH("入",B529)))),"Ambiguous",IF(ISNUMBER(SEARCH("平",B529)),"平","仄")))</x:f>
        <x:v>仄</x:v>
      </x:c>
      <x:c r="K529" s="6" t="str">
        <x:f>IF(D529="","",IF(AND(ISNUMBER(SEARCH("平",D529)),OR(ISNUMBER(SEARCH("上",D529)),ISNUMBER(SEARCH("去",D529)),ISNUMBER(SEARCH("入",D529)))),"Ambiguous",IF(ISNUMBER(SEARCH("平",D529)),"平","仄")))</x:f>
        <x:v>仄</x:v>
      </x:c>
      <x:c r="L529" s="7" t="str"/>
    </x:row>
    <x:row r="530">
      <x:c r="A530" s="5" t="str">
        <x:v>可</x:v>
      </x:c>
      <x:c r="B530" s="6" t="str">
        <x:v>上</x:v>
      </x:c>
      <x:c r="C530" s="6" t="str">
        <x:f>IF(B530="","Needs decision","Ready")</x:f>
        <x:v>Ready</x:v>
      </x:c>
      <x:c r="D530" s="6" t="str">
        <x:v>上</x:v>
      </x:c>
      <x:c r="E530" s="6" t="str">
        <x:v>khaX (B)</x:v>
      </x:c>
      <x:c r="F530" s="6" t="str">
        <x:v>上聲二十哿</x:v>
      </x:c>
      <x:c r="G530" s="6" t="str">
        <x:v>Pingshui main list, Wikisource-derived DOCX</x:v>
      </x:c>
      <x:c r="H530" s="6" t="str">
        <x:v>1</x:v>
      </x:c>
      <x:c r="I530" s="6" t="str"/>
      <x:c r="J530" s="6" t="str">
        <x:f>IF(B530="","",IF(AND(ISNUMBER(SEARCH("平",B530)),OR(ISNUMBER(SEARCH("上",B530)),ISNUMBER(SEARCH("去",B530)),ISNUMBER(SEARCH("入",B530)))),"Ambiguous",IF(ISNUMBER(SEARCH("平",B530)),"平","仄")))</x:f>
        <x:v>仄</x:v>
      </x:c>
      <x:c r="K530" s="6" t="str">
        <x:f>IF(D530="","",IF(AND(ISNUMBER(SEARCH("平",D530)),OR(ISNUMBER(SEARCH("上",D530)),ISNUMBER(SEARCH("去",D530)),ISNUMBER(SEARCH("入",D530)))),"Ambiguous",IF(ISNUMBER(SEARCH("平",D530)),"平","仄")))</x:f>
        <x:v>仄</x:v>
      </x:c>
      <x:c r="L530" s="7" t="str"/>
    </x:row>
    <x:row r="531">
      <x:c r="A531" s="5" t="str">
        <x:v>台</x:v>
      </x:c>
      <x:c r="B531" s="6" t="str">
        <x:v>平</x:v>
      </x:c>
      <x:c r="C531" s="6" t="str">
        <x:f>IF(B531="","Needs decision","Ready")</x:f>
        <x:v>Ready</x:v>
      </x:c>
      <x:c r="D531" s="6" t="str">
        <x:v>平</x:v>
      </x:c>
      <x:c r="E531" s="6" t="str">
        <x:v>yi (A)</x:v>
      </x:c>
      <x:c r="F531" s="6" t="str">
        <x:v>上平聲四支; 上平聲十灰</x:v>
      </x:c>
      <x:c r="G531" s="6" t="str">
        <x:v>Pingshui main list, Wikisource-derived DOCX</x:v>
      </x:c>
      <x:c r="H531" s="6" t="str">
        <x:v>1</x:v>
      </x:c>
      <x:c r="I531" s="6" t="str"/>
      <x:c r="J531" s="6" t="str">
        <x:f>IF(B531="","",IF(AND(ISNUMBER(SEARCH("平",B531)),OR(ISNUMBER(SEARCH("上",B531)),ISNUMBER(SEARCH("去",B531)),ISNUMBER(SEARCH("入",B531)))),"Ambiguous",IF(ISNUMBER(SEARCH("平",B531)),"平","仄")))</x:f>
        <x:v>平</x:v>
      </x:c>
      <x:c r="K531" s="6" t="str">
        <x:f>IF(D531="","",IF(AND(ISNUMBER(SEARCH("平",D531)),OR(ISNUMBER(SEARCH("上",D531)),ISNUMBER(SEARCH("去",D531)),ISNUMBER(SEARCH("入",D531)))),"Ambiguous",IF(ISNUMBER(SEARCH("平",D531)),"平","仄")))</x:f>
        <x:v>平</x:v>
      </x:c>
      <x:c r="L531" s="7" t="str"/>
    </x:row>
    <x:row r="532">
      <x:c r="A532" s="5" t="str">
        <x:v>史</x:v>
      </x:c>
      <x:c r="B532" s="6" t="str">
        <x:v>上</x:v>
      </x:c>
      <x:c r="C532" s="6" t="str">
        <x:f>IF(B532="","Needs decision","Ready")</x:f>
        <x:v>Ready</x:v>
      </x:c>
      <x:c r="D532" s="6" t="str">
        <x:v>上</x:v>
      </x:c>
      <x:c r="E532" s="6" t="str">
        <x:v>sriX (B)</x:v>
      </x:c>
      <x:c r="F532" s="6" t="str">
        <x:v>上聲四紙</x:v>
      </x:c>
      <x:c r="G532" s="6" t="str">
        <x:v>Pingshui main list, Wikisource-derived DOCX</x:v>
      </x:c>
      <x:c r="H532" s="6" t="str">
        <x:v>1</x:v>
      </x:c>
      <x:c r="I532" s="6" t="str"/>
      <x:c r="J532" s="6" t="str">
        <x:f>IF(B532="","",IF(AND(ISNUMBER(SEARCH("平",B532)),OR(ISNUMBER(SEARCH("上",B532)),ISNUMBER(SEARCH("去",B532)),ISNUMBER(SEARCH("入",B532)))),"Ambiguous",IF(ISNUMBER(SEARCH("平",B532)),"平","仄")))</x:f>
        <x:v>仄</x:v>
      </x:c>
      <x:c r="K532" s="6" t="str">
        <x:f>IF(D532="","",IF(AND(ISNUMBER(SEARCH("平",D532)),OR(ISNUMBER(SEARCH("上",D532)),ISNUMBER(SEARCH("去",D532)),ISNUMBER(SEARCH("入",D532)))),"Ambiguous",IF(ISNUMBER(SEARCH("平",D532)),"平","仄")))</x:f>
        <x:v>仄</x:v>
      </x:c>
      <x:c r="L532" s="7" t="str"/>
    </x:row>
    <x:row r="533">
      <x:c r="A533" s="5" t="str">
        <x:v>右</x:v>
      </x:c>
      <x:c r="B533" s="6" t="str">
        <x:v>去</x:v>
      </x:c>
      <x:c r="C533" s="6" t="str">
        <x:f>IF(B533="","Needs decision","Ready")</x:f>
        <x:v>Ready</x:v>
      </x:c>
      <x:c r="D533" s="6" t="str">
        <x:v>上/去</x:v>
      </x:c>
      <x:c r="E533" s="6" t="str">
        <x:v>hjuwX (B); hjuwH (C)</x:v>
      </x:c>
      <x:c r="F533" s="6" t="str">
        <x:v>上聲二十五有; 去聲二十六宥</x:v>
      </x:c>
      <x:c r="G533" s="6" t="str">
        <x:v>Pingshui main list, Wikisource-derived DOCX</x:v>
      </x:c>
      <x:c r="H533" s="6" t="str">
        <x:v>2</x:v>
      </x:c>
      <x:c r="I533" s="6" t="str">
        <x:v>User correction 2026-09-08</x:v>
      </x:c>
      <x:c r="J533" s="6" t="str">
        <x:f>IF(B533="","",IF(AND(ISNUMBER(SEARCH("平",B533)),OR(ISNUMBER(SEARCH("上",B533)),ISNUMBER(SEARCH("去",B533)),ISNUMBER(SEARCH("入",B533)))),"Ambiguous",IF(ISNUMBER(SEARCH("平",B533)),"平","仄")))</x:f>
        <x:v>仄</x:v>
      </x:c>
      <x:c r="K533" s="6" t="str">
        <x:f>IF(D533="","",IF(AND(ISNUMBER(SEARCH("平",D533)),OR(ISNUMBER(SEARCH("上",D533)),ISNUMBER(SEARCH("去",D533)),ISNUMBER(SEARCH("入",D533)))),"Ambiguous",IF(ISNUMBER(SEARCH("平",D533)),"平","仄")))</x:f>
        <x:v>仄</x:v>
      </x:c>
      <x:c r="L533" s="7" t="str"/>
    </x:row>
    <x:row r="534">
      <x:c r="A534" s="5" t="str">
        <x:v>号</x:v>
      </x:c>
      <x:c r="B534" s="6" t="str">
        <x:v>去</x:v>
      </x:c>
      <x:c r="C534" s="6" t="str">
        <x:f>IF(B534="","Needs decision","Ready")</x:f>
        <x:v>Ready</x:v>
      </x:c>
      <x:c r="D534" s="6" t="str">
        <x:v>去</x:v>
      </x:c>
      <x:c r="E534" s="6" t="str">
        <x:v>hawH (C)</x:v>
      </x:c>
      <x:c r="F534" s="6" t="str"/>
      <x:c r="G534" s="6" t="str"/>
      <x:c r="H534" s="6" t="str">
        <x:v>1</x:v>
      </x:c>
      <x:c r="I534" s="6" t="str"/>
      <x:c r="J534" s="6" t="str">
        <x:f>IF(B534="","",IF(AND(ISNUMBER(SEARCH("平",B534)),OR(ISNUMBER(SEARCH("上",B534)),ISNUMBER(SEARCH("去",B534)),ISNUMBER(SEARCH("入",B534)))),"Ambiguous",IF(ISNUMBER(SEARCH("平",B534)),"平","仄")))</x:f>
        <x:v>仄</x:v>
      </x:c>
      <x:c r="K534" s="6" t="str">
        <x:f>IF(D534="","",IF(AND(ISNUMBER(SEARCH("平",D534)),OR(ISNUMBER(SEARCH("上",D534)),ISNUMBER(SEARCH("去",D534)),ISNUMBER(SEARCH("入",D534)))),"Ambiguous",IF(ISNUMBER(SEARCH("平",D534)),"平","仄")))</x:f>
        <x:v>仄</x:v>
      </x:c>
      <x:c r="L534" s="7" t="str"/>
    </x:row>
    <x:row r="535">
      <x:c r="A535" s="5" t="str">
        <x:v>司</x:v>
      </x:c>
      <x:c r="B535" s="6" t="str">
        <x:v>平</x:v>
      </x:c>
      <x:c r="C535" s="6" t="str">
        <x:f>IF(B535="","Needs decision","Ready")</x:f>
        <x:v>Ready</x:v>
      </x:c>
      <x:c r="D535" s="6" t="str">
        <x:v>平</x:v>
      </x:c>
      <x:c r="E535" s="6" t="str">
        <x:v>si (A)</x:v>
      </x:c>
      <x:c r="F535" s="6" t="str">
        <x:v>上平聲四支; 去聲四寘</x:v>
      </x:c>
      <x:c r="G535" s="6" t="str">
        <x:v>Pingshui main list, Wikisource-derived DOCX</x:v>
      </x:c>
      <x:c r="H535" s="6" t="str">
        <x:v>1</x:v>
      </x:c>
      <x:c r="I535" s="6" t="str"/>
      <x:c r="J535" s="6" t="str">
        <x:f>IF(B535="","",IF(AND(ISNUMBER(SEARCH("平",B535)),OR(ISNUMBER(SEARCH("上",B535)),ISNUMBER(SEARCH("去",B535)),ISNUMBER(SEARCH("入",B535)))),"Ambiguous",IF(ISNUMBER(SEARCH("平",B535)),"平","仄")))</x:f>
        <x:v>平</x:v>
      </x:c>
      <x:c r="K535" s="6" t="str">
        <x:f>IF(D535="","",IF(AND(ISNUMBER(SEARCH("平",D535)),OR(ISNUMBER(SEARCH("上",D535)),ISNUMBER(SEARCH("去",D535)),ISNUMBER(SEARCH("入",D535)))),"Ambiguous",IF(ISNUMBER(SEARCH("平",D535)),"平","仄")))</x:f>
        <x:v>平</x:v>
      </x:c>
      <x:c r="L535" s="7" t="str"/>
    </x:row>
    <x:row r="536">
      <x:c r="A536" s="5" t="str">
        <x:v>吁</x:v>
      </x:c>
      <x:c r="B536" s="6" t="str">
        <x:v>平</x:v>
      </x:c>
      <x:c r="C536" s="6" t="str">
        <x:f>IF(B536="","Needs decision","Ready")</x:f>
        <x:v>Ready</x:v>
      </x:c>
      <x:c r="D536" s="6" t="str">
        <x:v>平</x:v>
      </x:c>
      <x:c r="E536" s="6" t="str">
        <x:v>xju (A)</x:v>
      </x:c>
      <x:c r="F536" s="6" t="str">
        <x:v>上平聲七虞</x:v>
      </x:c>
      <x:c r="G536" s="6" t="str">
        <x:v>Pingshui main list, Wikisource-derived DOCX</x:v>
      </x:c>
      <x:c r="H536" s="6" t="str">
        <x:v>1</x:v>
      </x:c>
      <x:c r="I536" s="6" t="str"/>
      <x:c r="J536" s="6" t="str">
        <x:f>IF(B536="","",IF(AND(ISNUMBER(SEARCH("平",B536)),OR(ISNUMBER(SEARCH("上",B536)),ISNUMBER(SEARCH("去",B536)),ISNUMBER(SEARCH("入",B536)))),"Ambiguous",IF(ISNUMBER(SEARCH("平",B536)),"平","仄")))</x:f>
        <x:v>平</x:v>
      </x:c>
      <x:c r="K536" s="6" t="str">
        <x:f>IF(D536="","",IF(AND(ISNUMBER(SEARCH("平",D536)),OR(ISNUMBER(SEARCH("上",D536)),ISNUMBER(SEARCH("去",D536)),ISNUMBER(SEARCH("入",D536)))),"Ambiguous",IF(ISNUMBER(SEARCH("平",D536)),"平","仄")))</x:f>
        <x:v>平</x:v>
      </x:c>
      <x:c r="L536" s="7" t="str"/>
    </x:row>
    <x:row r="537">
      <x:c r="A537" s="5" t="str">
        <x:v>各</x:v>
      </x:c>
      <x:c r="B537" s="6" t="str">
        <x:v>入</x:v>
      </x:c>
      <x:c r="C537" s="6" t="str">
        <x:f>IF(B537="","Needs decision","Ready")</x:f>
        <x:v>Ready</x:v>
      </x:c>
      <x:c r="D537" s="6" t="str">
        <x:v>入</x:v>
      </x:c>
      <x:c r="E537" s="6" t="str">
        <x:v>kak (D)</x:v>
      </x:c>
      <x:c r="F537" s="6" t="str">
        <x:v>入聲十藥</x:v>
      </x:c>
      <x:c r="G537" s="6" t="str">
        <x:v>Pingshui main list, Wikisource-derived DOCX</x:v>
      </x:c>
      <x:c r="H537" s="6" t="str">
        <x:v>1</x:v>
      </x:c>
      <x:c r="I537" s="6" t="str"/>
      <x:c r="J537" s="6" t="str">
        <x:f>IF(B537="","",IF(AND(ISNUMBER(SEARCH("平",B537)),OR(ISNUMBER(SEARCH("上",B537)),ISNUMBER(SEARCH("去",B537)),ISNUMBER(SEARCH("入",B537)))),"Ambiguous",IF(ISNUMBER(SEARCH("平",B537)),"平","仄")))</x:f>
        <x:v>仄</x:v>
      </x:c>
      <x:c r="K537" s="6" t="str">
        <x:f>IF(D537="","",IF(AND(ISNUMBER(SEARCH("平",D537)),OR(ISNUMBER(SEARCH("上",D537)),ISNUMBER(SEARCH("去",D537)),ISNUMBER(SEARCH("入",D537)))),"Ambiguous",IF(ISNUMBER(SEARCH("平",D537)),"平","仄")))</x:f>
        <x:v>仄</x:v>
      </x:c>
      <x:c r="L537" s="7" t="str"/>
    </x:row>
    <x:row r="538">
      <x:c r="A538" s="5" t="str">
        <x:v>吅</x:v>
      </x:c>
      <x:c r="B538" s="6" t="str">
        <x:v>平</x:v>
      </x:c>
      <x:c r="C538" s="6" t="str">
        <x:f>IF(B538="","Needs decision","Ready")</x:f>
        <x:v>Ready</x:v>
      </x:c>
      <x:c r="D538" s="6" t="str">
        <x:v>平</x:v>
      </x:c>
      <x:c r="E538" s="6" t="str">
        <x:v>xjwon (A)</x:v>
      </x:c>
      <x:c r="F538" s="6" t="str"/>
      <x:c r="G538" s="6" t="str"/>
      <x:c r="H538" s="6" t="str">
        <x:v>1</x:v>
      </x:c>
      <x:c r="I538" s="6" t="str"/>
      <x:c r="J538" s="6" t="str">
        <x:f>IF(B538="","",IF(AND(ISNUMBER(SEARCH("平",B538)),OR(ISNUMBER(SEARCH("上",B538)),ISNUMBER(SEARCH("去",B538)),ISNUMBER(SEARCH("入",B538)))),"Ambiguous",IF(ISNUMBER(SEARCH("平",B538)),"平","仄")))</x:f>
        <x:v>平</x:v>
      </x:c>
      <x:c r="K538" s="6" t="str">
        <x:f>IF(D538="","",IF(AND(ISNUMBER(SEARCH("平",D538)),OR(ISNUMBER(SEARCH("上",D538)),ISNUMBER(SEARCH("去",D538)),ISNUMBER(SEARCH("入",D538)))),"Ambiguous",IF(ISNUMBER(SEARCH("平",D538)),"平","仄")))</x:f>
        <x:v>平</x:v>
      </x:c>
      <x:c r="L538" s="7" t="str"/>
    </x:row>
    <x:row r="539">
      <x:c r="A539" s="5" t="str">
        <x:v>合</x:v>
      </x:c>
      <x:c r="B539" s="6" t="str">
        <x:v>入</x:v>
      </x:c>
      <x:c r="C539" s="6" t="str">
        <x:f>IF(B539="","Needs decision","Ready")</x:f>
        <x:v>Ready</x:v>
      </x:c>
      <x:c r="D539" s="6" t="str">
        <x:v>入</x:v>
      </x:c>
      <x:c r="E539" s="6" t="str">
        <x:v>kop (D); hop (D)</x:v>
      </x:c>
      <x:c r="F539" s="6" t="str">
        <x:v>入聲十五合</x:v>
      </x:c>
      <x:c r="G539" s="6" t="str">
        <x:v>Pingshui main list, Wikisource-derived DOCX</x:v>
      </x:c>
      <x:c r="H539" s="6" t="str">
        <x:v>2</x:v>
      </x:c>
      <x:c r="I539" s="6" t="str"/>
      <x:c r="J539" s="6" t="str">
        <x:f>IF(B539="","",IF(AND(ISNUMBER(SEARCH("平",B539)),OR(ISNUMBER(SEARCH("上",B539)),ISNUMBER(SEARCH("去",B539)),ISNUMBER(SEARCH("入",B539)))),"Ambiguous",IF(ISNUMBER(SEARCH("平",B539)),"平","仄")))</x:f>
        <x:v>仄</x:v>
      </x:c>
      <x:c r="K539" s="6" t="str">
        <x:f>IF(D539="","",IF(AND(ISNUMBER(SEARCH("平",D539)),OR(ISNUMBER(SEARCH("上",D539)),ISNUMBER(SEARCH("去",D539)),ISNUMBER(SEARCH("入",D539)))),"Ambiguous",IF(ISNUMBER(SEARCH("平",D539)),"平","仄")))</x:f>
        <x:v>仄</x:v>
      </x:c>
      <x:c r="L539" s="7" t="str"/>
    </x:row>
    <x:row r="540">
      <x:c r="A540" s="5" t="str">
        <x:v>吉</x:v>
      </x:c>
      <x:c r="B540" s="6" t="str">
        <x:v>入</x:v>
      </x:c>
      <x:c r="C540" s="6" t="str">
        <x:f>IF(B540="","Needs decision","Ready")</x:f>
        <x:v>Ready</x:v>
      </x:c>
      <x:c r="D540" s="6" t="str">
        <x:v>入</x:v>
      </x:c>
      <x:c r="E540" s="6" t="str">
        <x:v>kjit (D)</x:v>
      </x:c>
      <x:c r="F540" s="6" t="str">
        <x:v>入聲四質</x:v>
      </x:c>
      <x:c r="G540" s="6" t="str">
        <x:v>Pingshui main list, Wikisource-derived DOCX</x:v>
      </x:c>
      <x:c r="H540" s="6" t="str">
        <x:v>1</x:v>
      </x:c>
      <x:c r="I540" s="6" t="str"/>
      <x:c r="J540" s="6" t="str">
        <x:f>IF(B540="","",IF(AND(ISNUMBER(SEARCH("平",B540)),OR(ISNUMBER(SEARCH("上",B540)),ISNUMBER(SEARCH("去",B540)),ISNUMBER(SEARCH("入",B540)))),"Ambiguous",IF(ISNUMBER(SEARCH("平",B540)),"平","仄")))</x:f>
        <x:v>仄</x:v>
      </x:c>
      <x:c r="K540" s="6" t="str">
        <x:f>IF(D540="","",IF(AND(ISNUMBER(SEARCH("平",D540)),OR(ISNUMBER(SEARCH("上",D540)),ISNUMBER(SEARCH("去",D540)),ISNUMBER(SEARCH("入",D540)))),"Ambiguous",IF(ISNUMBER(SEARCH("平",D540)),"平","仄")))</x:f>
        <x:v>仄</x:v>
      </x:c>
      <x:c r="L540" s="7" t="str"/>
    </x:row>
    <x:row r="541">
      <x:c r="A541" s="5" t="str">
        <x:v>同</x:v>
      </x:c>
      <x:c r="B541" s="6" t="str">
        <x:v>平</x:v>
      </x:c>
      <x:c r="C541" s="6" t="str">
        <x:f>IF(B541="","Needs decision","Ready")</x:f>
        <x:v>Ready</x:v>
      </x:c>
      <x:c r="D541" s="6" t="str">
        <x:v>平</x:v>
      </x:c>
      <x:c r="E541" s="6" t="str">
        <x:v>duwng (A)</x:v>
      </x:c>
      <x:c r="F541" s="6" t="str">
        <x:v>上平聲一東</x:v>
      </x:c>
      <x:c r="G541" s="6" t="str">
        <x:v>Pingshui main list, Wikisource-derived DOCX</x:v>
      </x:c>
      <x:c r="H541" s="6" t="str">
        <x:v>1</x:v>
      </x:c>
      <x:c r="I541" s="6" t="str"/>
      <x:c r="J541" s="6" t="str">
        <x:f>IF(B541="","",IF(AND(ISNUMBER(SEARCH("平",B541)),OR(ISNUMBER(SEARCH("上",B541)),ISNUMBER(SEARCH("去",B541)),ISNUMBER(SEARCH("入",B541)))),"Ambiguous",IF(ISNUMBER(SEARCH("平",B541)),"平","仄")))</x:f>
        <x:v>平</x:v>
      </x:c>
      <x:c r="K541" s="6" t="str">
        <x:f>IF(D541="","",IF(AND(ISNUMBER(SEARCH("平",D541)),OR(ISNUMBER(SEARCH("上",D541)),ISNUMBER(SEARCH("去",D541)),ISNUMBER(SEARCH("入",D541)))),"Ambiguous",IF(ISNUMBER(SEARCH("平",D541)),"平","仄")))</x:f>
        <x:v>平</x:v>
      </x:c>
      <x:c r="L541" s="7" t="str"/>
    </x:row>
    <x:row r="542">
      <x:c r="A542" s="5" t="str">
        <x:v>名</x:v>
      </x:c>
      <x:c r="B542" s="6" t="str">
        <x:v>平</x:v>
      </x:c>
      <x:c r="C542" s="6" t="str">
        <x:f>IF(B542="","Needs decision","Ready")</x:f>
        <x:v>Ready</x:v>
      </x:c>
      <x:c r="D542" s="6" t="str">
        <x:v>平</x:v>
      </x:c>
      <x:c r="E542" s="6" t="str">
        <x:v>mjieng (A)</x:v>
      </x:c>
      <x:c r="F542" s="6" t="str">
        <x:v>下平聲八庚</x:v>
      </x:c>
      <x:c r="G542" s="6" t="str">
        <x:v>Pingshui main list, Wikisource-derived DOCX</x:v>
      </x:c>
      <x:c r="H542" s="6" t="str">
        <x:v>1</x:v>
      </x:c>
      <x:c r="I542" s="6" t="str"/>
      <x:c r="J542" s="6" t="str">
        <x:f>IF(B542="","",IF(AND(ISNUMBER(SEARCH("平",B542)),OR(ISNUMBER(SEARCH("上",B542)),ISNUMBER(SEARCH("去",B542)),ISNUMBER(SEARCH("入",B542)))),"Ambiguous",IF(ISNUMBER(SEARCH("平",B542)),"平","仄")))</x:f>
        <x:v>平</x:v>
      </x:c>
      <x:c r="K542" s="6" t="str">
        <x:f>IF(D542="","",IF(AND(ISNUMBER(SEARCH("平",D542)),OR(ISNUMBER(SEARCH("上",D542)),ISNUMBER(SEARCH("去",D542)),ISNUMBER(SEARCH("入",D542)))),"Ambiguous",IF(ISNUMBER(SEARCH("平",D542)),"平","仄")))</x:f>
        <x:v>平</x:v>
      </x:c>
      <x:c r="L542" s="7" t="str"/>
    </x:row>
    <x:row r="543">
      <x:c r="A543" s="5" t="str">
        <x:v>后</x:v>
      </x:c>
      <x:c r="B543" s="6" t="str">
        <x:v>上</x:v>
      </x:c>
      <x:c r="C543" s="6" t="str">
        <x:f>IF(B543="","Needs decision","Ready")</x:f>
        <x:v>Ready</x:v>
      </x:c>
      <x:c r="D543" s="6" t="str">
        <x:v>上</x:v>
      </x:c>
      <x:c r="E543" s="6" t="str">
        <x:v>huwX (B)</x:v>
      </x:c>
      <x:c r="F543" s="6" t="str"/>
      <x:c r="G543" s="6" t="str"/>
      <x:c r="H543" s="6" t="str">
        <x:v>1</x:v>
      </x:c>
      <x:c r="I543" s="6" t="str"/>
      <x:c r="J543" s="6" t="str">
        <x:f>IF(B543="","",IF(AND(ISNUMBER(SEARCH("平",B543)),OR(ISNUMBER(SEARCH("上",B543)),ISNUMBER(SEARCH("去",B543)),ISNUMBER(SEARCH("入",B543)))),"Ambiguous",IF(ISNUMBER(SEARCH("平",B543)),"平","仄")))</x:f>
        <x:v>仄</x:v>
      </x:c>
      <x:c r="K543" s="6" t="str">
        <x:f>IF(D543="","",IF(AND(ISNUMBER(SEARCH("平",D543)),OR(ISNUMBER(SEARCH("上",D543)),ISNUMBER(SEARCH("去",D543)),ISNUMBER(SEARCH("入",D543)))),"Ambiguous",IF(ISNUMBER(SEARCH("平",D543)),"平","仄")))</x:f>
        <x:v>仄</x:v>
      </x:c>
      <x:c r="L543" s="7" t="str"/>
    </x:row>
    <x:row r="544">
      <x:c r="A544" s="5" t="str">
        <x:v>吏</x:v>
      </x:c>
      <x:c r="B544" s="6" t="str">
        <x:v>去</x:v>
      </x:c>
      <x:c r="C544" s="6" t="str">
        <x:f>IF(B544="","Needs decision","Ready")</x:f>
        <x:v>Ready</x:v>
      </x:c>
      <x:c r="D544" s="6" t="str">
        <x:v>去</x:v>
      </x:c>
      <x:c r="E544" s="6" t="str">
        <x:v>liH (C)</x:v>
      </x:c>
      <x:c r="F544" s="6" t="str">
        <x:v>去聲四寘</x:v>
      </x:c>
      <x:c r="G544" s="6" t="str">
        <x:v>Pingshui main list, Wikisource-derived DOCX</x:v>
      </x:c>
      <x:c r="H544" s="6" t="str">
        <x:v>1</x:v>
      </x:c>
      <x:c r="I544" s="6" t="str"/>
      <x:c r="J544" s="6" t="str">
        <x:f>IF(B544="","",IF(AND(ISNUMBER(SEARCH("平",B544)),OR(ISNUMBER(SEARCH("上",B544)),ISNUMBER(SEARCH("去",B544)),ISNUMBER(SEARCH("入",B544)))),"Ambiguous",IF(ISNUMBER(SEARCH("平",B544)),"平","仄")))</x:f>
        <x:v>仄</x:v>
      </x:c>
      <x:c r="K544" s="6" t="str">
        <x:f>IF(D544="","",IF(AND(ISNUMBER(SEARCH("平",D544)),OR(ISNUMBER(SEARCH("上",D544)),ISNUMBER(SEARCH("去",D544)),ISNUMBER(SEARCH("入",D544)))),"Ambiguous",IF(ISNUMBER(SEARCH("平",D544)),"平","仄")))</x:f>
        <x:v>仄</x:v>
      </x:c>
      <x:c r="L544" s="7" t="str"/>
    </x:row>
    <x:row r="545">
      <x:c r="A545" s="5" t="str">
        <x:v>吐</x:v>
      </x:c>
      <x:c r="B545" s="6" t="str">
        <x:v>上</x:v>
      </x:c>
      <x:c r="C545" s="6" t="str">
        <x:f>IF(B545="","Needs decision","Ready")</x:f>
        <x:v>Ready</x:v>
      </x:c>
      <x:c r="D545" s="6" t="str">
        <x:v>上/去</x:v>
      </x:c>
      <x:c r="E545" s="6" t="str">
        <x:v>thuX (B); thuH (C)</x:v>
      </x:c>
      <x:c r="F545" s="6" t="str">
        <x:v>上聲七麌; 去聲七遇</x:v>
      </x:c>
      <x:c r="G545" s="6" t="str">
        <x:v>Pingshui main list, Wikisource-derived DOCX</x:v>
      </x:c>
      <x:c r="H545" s="6" t="str">
        <x:v>2</x:v>
      </x:c>
      <x:c r="I545" s="6" t="str">
        <x:v>User workbook edit 2026-09-03</x:v>
      </x:c>
      <x:c r="J545" s="6" t="str">
        <x:f>IF(B545="","",IF(AND(ISNUMBER(SEARCH("平",B545)),OR(ISNUMBER(SEARCH("上",B545)),ISNUMBER(SEARCH("去",B545)),ISNUMBER(SEARCH("入",B545)))),"Ambiguous",IF(ISNUMBER(SEARCH("平",B545)),"平","仄")))</x:f>
        <x:v>仄</x:v>
      </x:c>
      <x:c r="K545" s="6" t="str">
        <x:f>IF(D545="","",IF(AND(ISNUMBER(SEARCH("平",D545)),OR(ISNUMBER(SEARCH("上",D545)),ISNUMBER(SEARCH("去",D545)),ISNUMBER(SEARCH("入",D545)))),"Ambiguous",IF(ISNUMBER(SEARCH("平",D545)),"平","仄")))</x:f>
        <x:v>仄</x:v>
      </x:c>
      <x:c r="L545" s="7" t="str">
        <x:v>manual user correction</x:v>
      </x:c>
    </x:row>
    <x:row r="546">
      <x:c r="A546" s="5" t="str">
        <x:v>向</x:v>
      </x:c>
      <x:c r="B546" s="6" t="str">
        <x:v>去</x:v>
      </x:c>
      <x:c r="C546" s="6" t="str">
        <x:f>IF(B546="","Needs decision","Ready")</x:f>
        <x:v>Ready</x:v>
      </x:c>
      <x:c r="D546" s="6" t="str">
        <x:v>去</x:v>
      </x:c>
      <x:c r="E546" s="6" t="str">
        <x:v>xjangH (C)</x:v>
      </x:c>
      <x:c r="F546" s="6" t="str">
        <x:v>去聲二十三漾</x:v>
      </x:c>
      <x:c r="G546" s="6" t="str">
        <x:v>Pingshui main list, Wikisource-derived DOCX</x:v>
      </x:c>
      <x:c r="H546" s="6" t="str">
        <x:v>1</x:v>
      </x:c>
      <x:c r="I546" s="6" t="str"/>
      <x:c r="J546" s="6" t="str">
        <x:f>IF(B546="","",IF(AND(ISNUMBER(SEARCH("平",B546)),OR(ISNUMBER(SEARCH("上",B546)),ISNUMBER(SEARCH("去",B546)),ISNUMBER(SEARCH("入",B546)))),"Ambiguous",IF(ISNUMBER(SEARCH("平",B546)),"平","仄")))</x:f>
        <x:v>仄</x:v>
      </x:c>
      <x:c r="K546" s="6" t="str">
        <x:f>IF(D546="","",IF(AND(ISNUMBER(SEARCH("平",D546)),OR(ISNUMBER(SEARCH("上",D546)),ISNUMBER(SEARCH("去",D546)),ISNUMBER(SEARCH("入",D546)))),"Ambiguous",IF(ISNUMBER(SEARCH("平",D546)),"平","仄")))</x:f>
        <x:v>仄</x:v>
      </x:c>
      <x:c r="L546" s="7" t="str"/>
    </x:row>
    <x:row r="547">
      <x:c r="A547" s="5" t="str">
        <x:v>吚</x:v>
      </x:c>
      <x:c r="B547" s="6" t="str">
        <x:v>平</x:v>
      </x:c>
      <x:c r="C547" s="6" t="str">
        <x:f>IF(B547="","Needs decision","Ready")</x:f>
        <x:v>Ready</x:v>
      </x:c>
      <x:c r="D547" s="6" t="str">
        <x:v>平</x:v>
      </x:c>
      <x:c r="E547" s="6" t="str">
        <x:v>'jij (A)</x:v>
      </x:c>
      <x:c r="F547" s="6" t="str"/>
      <x:c r="G547" s="6" t="str"/>
      <x:c r="H547" s="6" t="str">
        <x:v>1</x:v>
      </x:c>
      <x:c r="I547" s="6" t="str"/>
      <x:c r="J547" s="6" t="str">
        <x:f>IF(B547="","",IF(AND(ISNUMBER(SEARCH("平",B547)),OR(ISNUMBER(SEARCH("上",B547)),ISNUMBER(SEARCH("去",B547)),ISNUMBER(SEARCH("入",B547)))),"Ambiguous",IF(ISNUMBER(SEARCH("平",B547)),"平","仄")))</x:f>
        <x:v>平</x:v>
      </x:c>
      <x:c r="K547" s="6" t="str">
        <x:f>IF(D547="","",IF(AND(ISNUMBER(SEARCH("平",D547)),OR(ISNUMBER(SEARCH("上",D547)),ISNUMBER(SEARCH("去",D547)),ISNUMBER(SEARCH("入",D547)))),"Ambiguous",IF(ISNUMBER(SEARCH("平",D547)),"平","仄")))</x:f>
        <x:v>平</x:v>
      </x:c>
      <x:c r="L547" s="7" t="str"/>
    </x:row>
    <x:row r="548">
      <x:c r="A548" s="5" t="str">
        <x:v>君</x:v>
      </x:c>
      <x:c r="B548" s="6" t="str">
        <x:v>平</x:v>
      </x:c>
      <x:c r="C548" s="6" t="str">
        <x:f>IF(B548="","Needs decision","Ready")</x:f>
        <x:v>Ready</x:v>
      </x:c>
      <x:c r="D548" s="6" t="str">
        <x:v>平</x:v>
      </x:c>
      <x:c r="E548" s="6" t="str">
        <x:v>kjun (A)</x:v>
      </x:c>
      <x:c r="F548" s="6" t="str">
        <x:v>上平聲十二文</x:v>
      </x:c>
      <x:c r="G548" s="6" t="str">
        <x:v>Pingshui main list, Wikisource-derived DOCX</x:v>
      </x:c>
      <x:c r="H548" s="6" t="str">
        <x:v>1</x:v>
      </x:c>
      <x:c r="I548" s="6" t="str"/>
      <x:c r="J548" s="6" t="str">
        <x:f>IF(B548="","",IF(AND(ISNUMBER(SEARCH("平",B548)),OR(ISNUMBER(SEARCH("上",B548)),ISNUMBER(SEARCH("去",B548)),ISNUMBER(SEARCH("入",B548)))),"Ambiguous",IF(ISNUMBER(SEARCH("平",B548)),"平","仄")))</x:f>
        <x:v>平</x:v>
      </x:c>
      <x:c r="K548" s="6" t="str">
        <x:f>IF(D548="","",IF(AND(ISNUMBER(SEARCH("平",D548)),OR(ISNUMBER(SEARCH("上",D548)),ISNUMBER(SEARCH("去",D548)),ISNUMBER(SEARCH("入",D548)))),"Ambiguous",IF(ISNUMBER(SEARCH("平",D548)),"平","仄")))</x:f>
        <x:v>平</x:v>
      </x:c>
      <x:c r="L548" s="7" t="str"/>
    </x:row>
    <x:row r="549">
      <x:c r="A549" s="5" t="str">
        <x:v>吝</x:v>
      </x:c>
      <x:c r="B549" s="6" t="str">
        <x:v>去</x:v>
      </x:c>
      <x:c r="C549" s="6" t="str">
        <x:f>IF(B549="","Needs decision","Ready")</x:f>
        <x:v>Ready</x:v>
      </x:c>
      <x:c r="D549" s="6" t="str">
        <x:v>去</x:v>
      </x:c>
      <x:c r="E549" s="6" t="str">
        <x:v>linH (C)</x:v>
      </x:c>
      <x:c r="F549" s="6" t="str">
        <x:v>去聲十二震</x:v>
      </x:c>
      <x:c r="G549" s="6" t="str">
        <x:v>Pingshui main list, Wikisource-derived DOCX</x:v>
      </x:c>
      <x:c r="H549" s="6" t="str">
        <x:v>1</x:v>
      </x:c>
      <x:c r="I549" s="6" t="str"/>
      <x:c r="J549" s="6" t="str">
        <x:f>IF(B549="","",IF(AND(ISNUMBER(SEARCH("平",B549)),OR(ISNUMBER(SEARCH("上",B549)),ISNUMBER(SEARCH("去",B549)),ISNUMBER(SEARCH("入",B549)))),"Ambiguous",IF(ISNUMBER(SEARCH("平",B549)),"平","仄")))</x:f>
        <x:v>仄</x:v>
      </x:c>
      <x:c r="K549" s="6" t="str">
        <x:f>IF(D549="","",IF(AND(ISNUMBER(SEARCH("平",D549)),OR(ISNUMBER(SEARCH("上",D549)),ISNUMBER(SEARCH("去",D549)),ISNUMBER(SEARCH("入",D549)))),"Ambiguous",IF(ISNUMBER(SEARCH("平",D549)),"平","仄")))</x:f>
        <x:v>仄</x:v>
      </x:c>
      <x:c r="L549" s="7" t="str"/>
    </x:row>
    <x:row r="550">
      <x:c r="A550" s="5" t="str">
        <x:v>吞</x:v>
      </x:c>
      <x:c r="B550" s="6" t="str">
        <x:v>平</x:v>
      </x:c>
      <x:c r="C550" s="6" t="str">
        <x:f>IF(B550="","Needs decision","Ready")</x:f>
        <x:v>Ready</x:v>
      </x:c>
      <x:c r="D550" s="6" t="str">
        <x:v>平</x:v>
      </x:c>
      <x:c r="E550" s="6" t="str">
        <x:v>then (A); thon (A)</x:v>
      </x:c>
      <x:c r="F550" s="6" t="str">
        <x:v>上平聲十三元</x:v>
      </x:c>
      <x:c r="G550" s="6" t="str">
        <x:v>Pingshui main list, Wikisource-derived DOCX</x:v>
      </x:c>
      <x:c r="H550" s="6" t="str">
        <x:v>2</x:v>
      </x:c>
      <x:c r="I550" s="6" t="str"/>
      <x:c r="J550" s="6" t="str">
        <x:f>IF(B550="","",IF(AND(ISNUMBER(SEARCH("平",B550)),OR(ISNUMBER(SEARCH("上",B550)),ISNUMBER(SEARCH("去",B550)),ISNUMBER(SEARCH("入",B550)))),"Ambiguous",IF(ISNUMBER(SEARCH("平",B550)),"平","仄")))</x:f>
        <x:v>平</x:v>
      </x:c>
      <x:c r="K550" s="6" t="str">
        <x:f>IF(D550="","",IF(AND(ISNUMBER(SEARCH("平",D550)),OR(ISNUMBER(SEARCH("上",D550)),ISNUMBER(SEARCH("去",D550)),ISNUMBER(SEARCH("入",D550)))),"Ambiguous",IF(ISNUMBER(SEARCH("平",D550)),"平","仄")))</x:f>
        <x:v>平</x:v>
      </x:c>
      <x:c r="L550" s="7" t="str"/>
    </x:row>
    <x:row r="551">
      <x:c r="A551" s="5" t="str">
        <x:v>吟</x:v>
      </x:c>
      <x:c r="B551" s="6" t="str">
        <x:v>平</x:v>
      </x:c>
      <x:c r="C551" s="6" t="str">
        <x:f>IF(B551="","Needs decision","Ready")</x:f>
        <x:v>Ready</x:v>
      </x:c>
      <x:c r="D551" s="6" t="str">
        <x:v>平</x:v>
      </x:c>
      <x:c r="E551" s="6" t="str">
        <x:v>ngim (A)</x:v>
      </x:c>
      <x:c r="F551" s="6" t="str">
        <x:v>下平聲十二侵; 去聲二十七沁</x:v>
      </x:c>
      <x:c r="G551" s="6" t="str">
        <x:v>Pingshui main list, Wikisource-derived DOCX</x:v>
      </x:c>
      <x:c r="H551" s="6" t="str">
        <x:v>1</x:v>
      </x:c>
      <x:c r="I551" s="6" t="str"/>
      <x:c r="J551" s="6" t="str">
        <x:f>IF(B551="","",IF(AND(ISNUMBER(SEARCH("平",B551)),OR(ISNUMBER(SEARCH("上",B551)),ISNUMBER(SEARCH("去",B551)),ISNUMBER(SEARCH("入",B551)))),"Ambiguous",IF(ISNUMBER(SEARCH("平",B551)),"平","仄")))</x:f>
        <x:v>平</x:v>
      </x:c>
      <x:c r="K551" s="6" t="str">
        <x:f>IF(D551="","",IF(AND(ISNUMBER(SEARCH("平",D551)),OR(ISNUMBER(SEARCH("上",D551)),ISNUMBER(SEARCH("去",D551)),ISNUMBER(SEARCH("入",D551)))),"Ambiguous",IF(ISNUMBER(SEARCH("平",D551)),"平","仄")))</x:f>
        <x:v>平</x:v>
      </x:c>
      <x:c r="L551" s="7" t="str"/>
    </x:row>
    <x:row r="552">
      <x:c r="A552" s="5" t="str">
        <x:v>吠</x:v>
      </x:c>
      <x:c r="B552" s="6" t="str">
        <x:v>去</x:v>
      </x:c>
      <x:c r="C552" s="6" t="str">
        <x:f>IF(B552="","Needs decision","Ready")</x:f>
        <x:v>Ready</x:v>
      </x:c>
      <x:c r="D552" s="6" t="str">
        <x:v>去</x:v>
      </x:c>
      <x:c r="E552" s="6" t="str">
        <x:v>bjojH (C)</x:v>
      </x:c>
      <x:c r="F552" s="6" t="str">
        <x:v>去聲十一隊</x:v>
      </x:c>
      <x:c r="G552" s="6" t="str">
        <x:v>Pingshui main list, Wikisource-derived DOCX</x:v>
      </x:c>
      <x:c r="H552" s="6" t="str">
        <x:v>1</x:v>
      </x:c>
      <x:c r="I552" s="6" t="str"/>
      <x:c r="J552" s="6" t="str">
        <x:f>IF(B552="","",IF(AND(ISNUMBER(SEARCH("平",B552)),OR(ISNUMBER(SEARCH("上",B552)),ISNUMBER(SEARCH("去",B552)),ISNUMBER(SEARCH("入",B552)))),"Ambiguous",IF(ISNUMBER(SEARCH("平",B552)),"平","仄")))</x:f>
        <x:v>仄</x:v>
      </x:c>
      <x:c r="K552" s="6" t="str">
        <x:f>IF(D552="","",IF(AND(ISNUMBER(SEARCH("平",D552)),OR(ISNUMBER(SEARCH("上",D552)),ISNUMBER(SEARCH("去",D552)),ISNUMBER(SEARCH("入",D552)))),"Ambiguous",IF(ISNUMBER(SEARCH("平",D552)),"平","仄")))</x:f>
        <x:v>仄</x:v>
      </x:c>
      <x:c r="L552" s="7" t="str"/>
    </x:row>
    <x:row r="553">
      <x:c r="A553" s="5" t="str">
        <x:v>否</x:v>
      </x:c>
      <x:c r="B553" s="6" t="str">
        <x:v>上</x:v>
      </x:c>
      <x:c r="C553" s="6" t="str">
        <x:f>IF(B553="","Needs decision","Ready")</x:f>
        <x:v>Ready</x:v>
      </x:c>
      <x:c r="D553" s="6" t="str">
        <x:v>上</x:v>
      </x:c>
      <x:c r="E553" s="6" t="str">
        <x:v>pjuwX (B)</x:v>
      </x:c>
      <x:c r="F553" s="6" t="str">
        <x:v>上聲四紙; 上聲二十五有</x:v>
      </x:c>
      <x:c r="G553" s="6" t="str">
        <x:v>Pingshui main list, Wikisource-derived DOCX</x:v>
      </x:c>
      <x:c r="H553" s="6" t="str">
        <x:v>1</x:v>
      </x:c>
      <x:c r="I553" s="6" t="str"/>
      <x:c r="J553" s="6" t="str">
        <x:f>IF(B553="","",IF(AND(ISNUMBER(SEARCH("平",B553)),OR(ISNUMBER(SEARCH("上",B553)),ISNUMBER(SEARCH("去",B553)),ISNUMBER(SEARCH("入",B553)))),"Ambiguous",IF(ISNUMBER(SEARCH("平",B553)),"平","仄")))</x:f>
        <x:v>仄</x:v>
      </x:c>
      <x:c r="K553" s="6" t="str">
        <x:f>IF(D553="","",IF(AND(ISNUMBER(SEARCH("平",D553)),OR(ISNUMBER(SEARCH("上",D553)),ISNUMBER(SEARCH("去",D553)),ISNUMBER(SEARCH("入",D553)))),"Ambiguous",IF(ISNUMBER(SEARCH("平",D553)),"平","仄")))</x:f>
        <x:v>仄</x:v>
      </x:c>
      <x:c r="L553" s="7" t="str"/>
    </x:row>
    <x:row r="554">
      <x:c r="A554" s="5" t="str">
        <x:v>吪</x:v>
      </x:c>
      <x:c r="B554" s="6" t="str">
        <x:v>平</x:v>
      </x:c>
      <x:c r="C554" s="6" t="str">
        <x:f>IF(B554="","Needs decision","Ready")</x:f>
        <x:v>Ready</x:v>
      </x:c>
      <x:c r="D554" s="6" t="str">
        <x:v>平</x:v>
      </x:c>
      <x:c r="E554" s="6" t="str">
        <x:v>ngwa (A)</x:v>
      </x:c>
      <x:c r="F554" s="6" t="str"/>
      <x:c r="G554" s="6" t="str"/>
      <x:c r="H554" s="6" t="str">
        <x:v>1</x:v>
      </x:c>
      <x:c r="I554" s="6" t="str"/>
      <x:c r="J554" s="6" t="str">
        <x:f>IF(B554="","",IF(AND(ISNUMBER(SEARCH("平",B554)),OR(ISNUMBER(SEARCH("上",B554)),ISNUMBER(SEARCH("去",B554)),ISNUMBER(SEARCH("入",B554)))),"Ambiguous",IF(ISNUMBER(SEARCH("平",B554)),"平","仄")))</x:f>
        <x:v>平</x:v>
      </x:c>
      <x:c r="K554" s="6" t="str">
        <x:f>IF(D554="","",IF(AND(ISNUMBER(SEARCH("平",D554)),OR(ISNUMBER(SEARCH("上",D554)),ISNUMBER(SEARCH("去",D554)),ISNUMBER(SEARCH("入",D554)))),"Ambiguous",IF(ISNUMBER(SEARCH("平",D554)),"平","仄")))</x:f>
        <x:v>平</x:v>
      </x:c>
      <x:c r="L554" s="7" t="str"/>
    </x:row>
    <x:row r="555">
      <x:c r="A555" s="5" t="str">
        <x:v>含</x:v>
      </x:c>
      <x:c r="B555" s="6" t="str">
        <x:v>平</x:v>
      </x:c>
      <x:c r="C555" s="6" t="str">
        <x:f>IF(B555="","Needs decision","Ready")</x:f>
        <x:v>Ready</x:v>
      </x:c>
      <x:c r="D555" s="6" t="str">
        <x:v>平/去</x:v>
      </x:c>
      <x:c r="E555" s="6" t="str">
        <x:v>hom (A); homH (C)</x:v>
      </x:c>
      <x:c r="F555" s="6" t="str">
        <x:v>下平聲十三覃</x:v>
      </x:c>
      <x:c r="G555" s="6" t="str">
        <x:v>Pingshui main list, Wikisource-derived DOCX</x:v>
      </x:c>
      <x:c r="H555" s="6" t="str">
        <x:v>2</x:v>
      </x:c>
      <x:c r="I555" s="6" t="str">
        <x:v>User workbook edit 2026-09-03</x:v>
      </x:c>
      <x:c r="J555" s="6" t="str">
        <x:f>IF(B555="","",IF(AND(ISNUMBER(SEARCH("平",B555)),OR(ISNUMBER(SEARCH("上",B555)),ISNUMBER(SEARCH("去",B555)),ISNUMBER(SEARCH("入",B555)))),"Ambiguous",IF(ISNUMBER(SEARCH("平",B555)),"平","仄")))</x:f>
        <x:v>平</x:v>
      </x:c>
      <x:c r="K555" s="6" t="str">
        <x:f>IF(D555="","",IF(AND(ISNUMBER(SEARCH("平",D555)),OR(ISNUMBER(SEARCH("上",D555)),ISNUMBER(SEARCH("去",D555)),ISNUMBER(SEARCH("入",D555)))),"Ambiguous",IF(ISNUMBER(SEARCH("平",D555)),"平","仄")))</x:f>
        <x:v>Ambiguous</x:v>
      </x:c>
      <x:c r="L555" s="7" t="str">
        <x:v>manual user correction</x:v>
      </x:c>
    </x:row>
    <x:row r="556">
      <x:c r="A556" s="5" t="str">
        <x:v>吮</x:v>
      </x:c>
      <x:c r="B556" s="6" t="str">
        <x:v>上</x:v>
      </x:c>
      <x:c r="C556" s="6" t="str">
        <x:f>IF(B556="","Needs decision","Ready")</x:f>
        <x:v>Ready</x:v>
      </x:c>
      <x:c r="D556" s="6" t="str">
        <x:v>上</x:v>
      </x:c>
      <x:c r="E556" s="6" t="str">
        <x:v>dzjwenX [dzjwenʔ] (上); zywinX [ʑwinʔ] (上)</x:v>
      </x:c>
      <x:c r="F556" s="6" t="str">
        <x:v>上聲十一軫; 上聲十六銑</x:v>
      </x:c>
      <x:c r="G556" s="6" t="str">
        <x:v>Pingshui main list, Wikisource-derived DOCX</x:v>
      </x:c>
      <x:c r="H556" s="6" t="str">
        <x:v>2</x:v>
      </x:c>
      <x:c r="I556" s="6" t="str">
        <x:v>Tang 300 gap; frequency 1; provisional from Xun Gong</x:v>
      </x:c>
      <x:c r="J556" s="6" t="str">
        <x:f>IF(B556="","",IF(AND(ISNUMBER(SEARCH("平",B556)),OR(ISNUMBER(SEARCH("上",B556)),ISNUMBER(SEARCH("去",B556)),ISNUMBER(SEARCH("入",B556)))),"Ambiguous",IF(ISNUMBER(SEARCH("平",B556)),"平","仄")))</x:f>
        <x:v>仄</x:v>
      </x:c>
      <x:c r="K556" s="6" t="str">
        <x:f>IF(D556="","",IF(AND(ISNUMBER(SEARCH("平",D556)),OR(ISNUMBER(SEARCH("上",D556)),ISNUMBER(SEARCH("去",D556)),ISNUMBER(SEARCH("入",D556)))),"Ambiguous",IF(ISNUMBER(SEARCH("平",D556)),"平","仄")))</x:f>
        <x:v>仄</x:v>
      </x:c>
      <x:c r="L556" s="7" t="str">
        <x:v>Xun Gong, Tang 300 gap fill</x:v>
      </x:c>
    </x:row>
    <x:row r="557">
      <x:c r="A557" s="5" t="str">
        <x:v>启</x:v>
      </x:c>
      <x:c r="B557" s="6" t="str">
        <x:v>上</x:v>
      </x:c>
      <x:c r="C557" s="6" t="str">
        <x:f>IF(B557="","Needs decision","Ready")</x:f>
        <x:v>Ready</x:v>
      </x:c>
      <x:c r="D557" s="6" t="str">
        <x:v>上</x:v>
      </x:c>
      <x:c r="E557" s="6" t="str">
        <x:v>khejX (B)</x:v>
      </x:c>
      <x:c r="F557" s="6" t="str"/>
      <x:c r="G557" s="6" t="str"/>
      <x:c r="H557" s="6" t="str">
        <x:v>1</x:v>
      </x:c>
      <x:c r="I557" s="6" t="str"/>
      <x:c r="J557" s="6" t="str">
        <x:f>IF(B557="","",IF(AND(ISNUMBER(SEARCH("平",B557)),OR(ISNUMBER(SEARCH("上",B557)),ISNUMBER(SEARCH("去",B557)),ISNUMBER(SEARCH("入",B557)))),"Ambiguous",IF(ISNUMBER(SEARCH("平",B557)),"平","仄")))</x:f>
        <x:v>仄</x:v>
      </x:c>
      <x:c r="K557" s="6" t="str">
        <x:f>IF(D557="","",IF(AND(ISNUMBER(SEARCH("平",D557)),OR(ISNUMBER(SEARCH("上",D557)),ISNUMBER(SEARCH("去",D557)),ISNUMBER(SEARCH("入",D557)))),"Ambiguous",IF(ISNUMBER(SEARCH("平",D557)),"平","仄")))</x:f>
        <x:v>仄</x:v>
      </x:c>
      <x:c r="L557" s="7" t="str"/>
    </x:row>
    <x:row r="558">
      <x:c r="A558" s="5" t="str">
        <x:v>吳</x:v>
      </x:c>
      <x:c r="B558" s="6" t="str">
        <x:v>平</x:v>
      </x:c>
      <x:c r="C558" s="6" t="str">
        <x:f>IF(B558="","Needs decision","Ready")</x:f>
        <x:v>Ready</x:v>
      </x:c>
      <x:c r="D558" s="6" t="str">
        <x:v>平</x:v>
      </x:c>
      <x:c r="E558" s="6" t="str">
        <x:v>ngu (A)</x:v>
      </x:c>
      <x:c r="F558" s="6" t="str">
        <x:v>上平聲七虞</x:v>
      </x:c>
      <x:c r="G558" s="6" t="str">
        <x:v>Pingshui main list, Wikisource-derived DOCX</x:v>
      </x:c>
      <x:c r="H558" s="6" t="str">
        <x:v>1</x:v>
      </x:c>
      <x:c r="I558" s="6" t="str"/>
      <x:c r="J558" s="6" t="str">
        <x:f>IF(B558="","",IF(AND(ISNUMBER(SEARCH("平",B558)),OR(ISNUMBER(SEARCH("上",B558)),ISNUMBER(SEARCH("去",B558)),ISNUMBER(SEARCH("入",B558)))),"Ambiguous",IF(ISNUMBER(SEARCH("平",B558)),"平","仄")))</x:f>
        <x:v>平</x:v>
      </x:c>
      <x:c r="K558" s="6" t="str">
        <x:f>IF(D558="","",IF(AND(ISNUMBER(SEARCH("平",D558)),OR(ISNUMBER(SEARCH("上",D558)),ISNUMBER(SEARCH("去",D558)),ISNUMBER(SEARCH("入",D558)))),"Ambiguous",IF(ISNUMBER(SEARCH("平",D558)),"平","仄")))</x:f>
        <x:v>平</x:v>
      </x:c>
      <x:c r="L558" s="7" t="str"/>
    </x:row>
    <x:row r="559">
      <x:c r="A559" s="5" t="str">
        <x:v>吶</x:v>
      </x:c>
      <x:c r="B559" s="6" t="str">
        <x:v>入</x:v>
      </x:c>
      <x:c r="C559" s="6" t="str">
        <x:f>IF(B559="","Needs decision","Ready")</x:f>
        <x:v>Ready</x:v>
      </x:c>
      <x:c r="D559" s="6" t="str">
        <x:v>入</x:v>
      </x:c>
      <x:c r="E559" s="6" t="str">
        <x:v>nywet (D)</x:v>
      </x:c>
      <x:c r="F559" s="6" t="str">
        <x:v>入聲九屑</x:v>
      </x:c>
      <x:c r="G559" s="6" t="str">
        <x:v>Pingshui main list, Wikisource-derived DOCX</x:v>
      </x:c>
      <x:c r="H559" s="6" t="str">
        <x:v>1</x:v>
      </x:c>
      <x:c r="I559" s="6" t="str"/>
      <x:c r="J559" s="6" t="str">
        <x:f>IF(B559="","",IF(AND(ISNUMBER(SEARCH("平",B559)),OR(ISNUMBER(SEARCH("上",B559)),ISNUMBER(SEARCH("去",B559)),ISNUMBER(SEARCH("入",B559)))),"Ambiguous",IF(ISNUMBER(SEARCH("平",B559)),"平","仄")))</x:f>
        <x:v>仄</x:v>
      </x:c>
      <x:c r="K559" s="6" t="str">
        <x:f>IF(D559="","",IF(AND(ISNUMBER(SEARCH("平",D559)),OR(ISNUMBER(SEARCH("上",D559)),ISNUMBER(SEARCH("去",D559)),ISNUMBER(SEARCH("入",D559)))),"Ambiguous",IF(ISNUMBER(SEARCH("平",D559)),"平","仄")))</x:f>
        <x:v>仄</x:v>
      </x:c>
      <x:c r="L559" s="7" t="str"/>
    </x:row>
    <x:row r="560">
      <x:c r="A560" s="5" t="str">
        <x:v>吸</x:v>
      </x:c>
      <x:c r="B560" s="6" t="str">
        <x:v>入</x:v>
      </x:c>
      <x:c r="C560" s="6" t="str">
        <x:f>IF(B560="","Needs decision","Ready")</x:f>
        <x:v>Ready</x:v>
      </x:c>
      <x:c r="D560" s="6" t="str">
        <x:v>入</x:v>
      </x:c>
      <x:c r="E560" s="6" t="str">
        <x:v>xip (D)</x:v>
      </x:c>
      <x:c r="F560" s="6" t="str">
        <x:v>入聲十四緝</x:v>
      </x:c>
      <x:c r="G560" s="6" t="str">
        <x:v>Pingshui main list, Wikisource-derived DOCX</x:v>
      </x:c>
      <x:c r="H560" s="6" t="str">
        <x:v>1</x:v>
      </x:c>
      <x:c r="I560" s="6" t="str"/>
      <x:c r="J560" s="6" t="str">
        <x:f>IF(B560="","",IF(AND(ISNUMBER(SEARCH("平",B560)),OR(ISNUMBER(SEARCH("上",B560)),ISNUMBER(SEARCH("去",B560)),ISNUMBER(SEARCH("入",B560)))),"Ambiguous",IF(ISNUMBER(SEARCH("平",B560)),"平","仄")))</x:f>
        <x:v>仄</x:v>
      </x:c>
      <x:c r="K560" s="6" t="str">
        <x:f>IF(D560="","",IF(AND(ISNUMBER(SEARCH("平",D560)),OR(ISNUMBER(SEARCH("上",D560)),ISNUMBER(SEARCH("去",D560)),ISNUMBER(SEARCH("入",D560)))),"Ambiguous",IF(ISNUMBER(SEARCH("平",D560)),"平","仄")))</x:f>
        <x:v>仄</x:v>
      </x:c>
      <x:c r="L560" s="7" t="str"/>
    </x:row>
    <x:row r="561">
      <x:c r="A561" s="5" t="str">
        <x:v>吹</x:v>
      </x:c>
      <x:c r="B561" s="6" t="str">
        <x:v>平</x:v>
      </x:c>
      <x:c r="C561" s="6" t="str">
        <x:f>IF(B561="","Needs decision","Ready")</x:f>
        <x:v>Ready</x:v>
      </x:c>
      <x:c r="D561" s="6" t="str">
        <x:v>平/去</x:v>
      </x:c>
      <x:c r="E561" s="6" t="str">
        <x:v>tsyhwe (A); tsyhweH (C)</x:v>
      </x:c>
      <x:c r="F561" s="6" t="str">
        <x:v>上平聲四支; 去聲四寘</x:v>
      </x:c>
      <x:c r="G561" s="6" t="str">
        <x:v>Pingshui main list, Wikisource-derived DOCX</x:v>
      </x:c>
      <x:c r="H561" s="6" t="str">
        <x:v>2</x:v>
      </x:c>
      <x:c r="I561" s="6" t="str">
        <x:v>User workbook edit 2026-09-03</x:v>
      </x:c>
      <x:c r="J561" s="6" t="str">
        <x:f>IF(B561="","",IF(AND(ISNUMBER(SEARCH("平",B561)),OR(ISNUMBER(SEARCH("上",B561)),ISNUMBER(SEARCH("去",B561)),ISNUMBER(SEARCH("入",B561)))),"Ambiguous",IF(ISNUMBER(SEARCH("平",B561)),"平","仄")))</x:f>
        <x:v>平</x:v>
      </x:c>
      <x:c r="K561" s="6" t="str">
        <x:f>IF(D561="","",IF(AND(ISNUMBER(SEARCH("平",D561)),OR(ISNUMBER(SEARCH("上",D561)),ISNUMBER(SEARCH("去",D561)),ISNUMBER(SEARCH("入",D561)))),"Ambiguous",IF(ISNUMBER(SEARCH("平",D561)),"平","仄")))</x:f>
        <x:v>Ambiguous</x:v>
      </x:c>
      <x:c r="L561" s="7" t="str">
        <x:v>manual user correction</x:v>
      </x:c>
    </x:row>
    <x:row r="562">
      <x:c r="A562" s="5" t="str">
        <x:v>吼</x:v>
      </x:c>
      <x:c r="B562" s="6" t="str"/>
      <x:c r="C562" s="6" t="str">
        <x:f>IF(B562="","Needs decision","Ready")</x:f>
        <x:v>Needs decision</x:v>
      </x:c>
      <x:c r="D562" s="6" t="str">
        <x:v>上/去</x:v>
      </x:c>
      <x:c r="E562" s="6" t="str">
        <x:v>xuwX [曉一侯上] χuʔ; xuwH [曉一侯去] χuh</x:v>
      </x:c>
      <x:c r="F562" s="6" t="str">
        <x:v>上聲二十五有; 去聲二十六宥</x:v>
      </x:c>
      <x:c r="G562" s="6" t="str">
        <x:v>Pingshui main list, Wikisource-derived DOCX</x:v>
      </x:c>
      <x:c r="H562" s="6" t="str">
        <x:v>2</x:v>
      </x:c>
      <x:c r="I562" s="6" t="str">
        <x:v>Targeted preliminary fill from Xun Gong; review if uncertain</x:v>
      </x:c>
      <x:c r="J562" s="6" t="str">
        <x:f>IF(B562="","",IF(AND(ISNUMBER(SEARCH("平",B562)),OR(ISNUMBER(SEARCH("上",B562)),ISNUMBER(SEARCH("去",B562)),ISNUMBER(SEARCH("入",B562)))),"Ambiguous",IF(ISNUMBER(SEARCH("平",B562)),"平","仄")))</x:f>
      </x:c>
      <x:c r="K562" s="6" t="str">
        <x:f>IF(D562="","",IF(AND(ISNUMBER(SEARCH("平",D562)),OR(ISNUMBER(SEARCH("上",D562)),ISNUMBER(SEARCH("去",D562)),ISNUMBER(SEARCH("入",D562)))),"Ambiguous",IF(ISNUMBER(SEARCH("平",D562)),"平","仄")))</x:f>
        <x:v>仄</x:v>
      </x:c>
      <x:c r="L562" s="7" t="str">
        <x:v>Xun Gong character-readings.csv</x:v>
      </x:c>
    </x:row>
    <x:row r="563">
      <x:c r="A563" s="5" t="str">
        <x:v>吾</x:v>
      </x:c>
      <x:c r="B563" s="6" t="str">
        <x:v>平</x:v>
      </x:c>
      <x:c r="C563" s="6" t="str">
        <x:f>IF(B563="","Needs decision","Ready")</x:f>
        <x:v>Ready</x:v>
      </x:c>
      <x:c r="D563" s="6" t="str">
        <x:v>平</x:v>
      </x:c>
      <x:c r="E563" s="6" t="str">
        <x:v>ngu (A)</x:v>
      </x:c>
      <x:c r="F563" s="6" t="str">
        <x:v>上平聲七虞; 下平聲六麻</x:v>
      </x:c>
      <x:c r="G563" s="6" t="str">
        <x:v>Pingshui main list, Wikisource-derived DOCX</x:v>
      </x:c>
      <x:c r="H563" s="6" t="str">
        <x:v>1</x:v>
      </x:c>
      <x:c r="I563" s="6" t="str"/>
      <x:c r="J563" s="6" t="str">
        <x:f>IF(B563="","",IF(AND(ISNUMBER(SEARCH("平",B563)),OR(ISNUMBER(SEARCH("上",B563)),ISNUMBER(SEARCH("去",B563)),ISNUMBER(SEARCH("入",B563)))),"Ambiguous",IF(ISNUMBER(SEARCH("平",B563)),"平","仄")))</x:f>
        <x:v>平</x:v>
      </x:c>
      <x:c r="K563" s="6" t="str">
        <x:f>IF(D563="","",IF(AND(ISNUMBER(SEARCH("平",D563)),OR(ISNUMBER(SEARCH("上",D563)),ISNUMBER(SEARCH("去",D563)),ISNUMBER(SEARCH("入",D563)))),"Ambiguous",IF(ISNUMBER(SEARCH("平",D563)),"平","仄")))</x:f>
        <x:v>平</x:v>
      </x:c>
      <x:c r="L563" s="7" t="str"/>
    </x:row>
    <x:row r="564">
      <x:c r="A564" s="5" t="str">
        <x:v>呂</x:v>
      </x:c>
      <x:c r="B564" s="6" t="str">
        <x:v>上</x:v>
      </x:c>
      <x:c r="C564" s="6" t="str">
        <x:f>IF(B564="","Needs decision","Ready")</x:f>
        <x:v>Ready</x:v>
      </x:c>
      <x:c r="D564" s="6" t="str">
        <x:v>上</x:v>
      </x:c>
      <x:c r="E564" s="6" t="str">
        <x:v>ljoX (B)</x:v>
      </x:c>
      <x:c r="F564" s="6" t="str">
        <x:v>上聲六語</x:v>
      </x:c>
      <x:c r="G564" s="6" t="str">
        <x:v>Pingshui main list, Wikisource-derived DOCX</x:v>
      </x:c>
      <x:c r="H564" s="6" t="str">
        <x:v>1</x:v>
      </x:c>
      <x:c r="I564" s="6" t="str"/>
      <x:c r="J564" s="6" t="str">
        <x:f>IF(B564="","",IF(AND(ISNUMBER(SEARCH("平",B564)),OR(ISNUMBER(SEARCH("上",B564)),ISNUMBER(SEARCH("去",B564)),ISNUMBER(SEARCH("入",B564)))),"Ambiguous",IF(ISNUMBER(SEARCH("平",B564)),"平","仄")))</x:f>
        <x:v>仄</x:v>
      </x:c>
      <x:c r="K564" s="6" t="str">
        <x:f>IF(D564="","",IF(AND(ISNUMBER(SEARCH("平",D564)),OR(ISNUMBER(SEARCH("上",D564)),ISNUMBER(SEARCH("去",D564)),ISNUMBER(SEARCH("入",D564)))),"Ambiguous",IF(ISNUMBER(SEARCH("平",D564)),"平","仄")))</x:f>
        <x:v>仄</x:v>
      </x:c>
      <x:c r="L564" s="7" t="str"/>
    </x:row>
    <x:row r="565">
      <x:c r="A565" s="5" t="str">
        <x:v>呈</x:v>
      </x:c>
      <x:c r="B565" s="6" t="str">
        <x:v>平</x:v>
      </x:c>
      <x:c r="C565" s="6" t="str">
        <x:f>IF(B565="","Needs decision","Ready")</x:f>
        <x:v>Ready</x:v>
      </x:c>
      <x:c r="D565" s="6" t="str">
        <x:v>平</x:v>
      </x:c>
      <x:c r="E565" s="6" t="str">
        <x:v>drjeng (A)</x:v>
      </x:c>
      <x:c r="F565" s="6" t="str">
        <x:v>下平聲八庚</x:v>
      </x:c>
      <x:c r="G565" s="6" t="str">
        <x:v>Pingshui main list, Wikisource-derived DOCX</x:v>
      </x:c>
      <x:c r="H565" s="6" t="str">
        <x:v>1</x:v>
      </x:c>
      <x:c r="I565" s="6" t="str"/>
      <x:c r="J565" s="6" t="str">
        <x:f>IF(B565="","",IF(AND(ISNUMBER(SEARCH("平",B565)),OR(ISNUMBER(SEARCH("上",B565)),ISNUMBER(SEARCH("去",B565)),ISNUMBER(SEARCH("入",B565)))),"Ambiguous",IF(ISNUMBER(SEARCH("平",B565)),"平","仄")))</x:f>
        <x:v>平</x:v>
      </x:c>
      <x:c r="K565" s="6" t="str">
        <x:f>IF(D565="","",IF(AND(ISNUMBER(SEARCH("平",D565)),OR(ISNUMBER(SEARCH("上",D565)),ISNUMBER(SEARCH("去",D565)),ISNUMBER(SEARCH("入",D565)))),"Ambiguous",IF(ISNUMBER(SEARCH("平",D565)),"平","仄")))</x:f>
        <x:v>平</x:v>
      </x:c>
      <x:c r="L565" s="7" t="str"/>
    </x:row>
    <x:row r="566">
      <x:c r="A566" s="5" t="str">
        <x:v>告</x:v>
      </x:c>
      <x:c r="B566" s="6" t="str">
        <x:v>去</x:v>
      </x:c>
      <x:c r="C566" s="6" t="str">
        <x:f>IF(B566="","Needs decision","Ready")</x:f>
        <x:v>Ready</x:v>
      </x:c>
      <x:c r="D566" s="6" t="str">
        <x:v>去/入</x:v>
      </x:c>
      <x:c r="E566" s="6" t="str">
        <x:v>kawH (C); kowk (D)</x:v>
      </x:c>
      <x:c r="F566" s="6" t="str">
        <x:v>去聲二十號; 入聲二沃</x:v>
      </x:c>
      <x:c r="G566" s="6" t="str">
        <x:v>Pingshui main list, Wikisource-derived DOCX</x:v>
      </x:c>
      <x:c r="H566" s="6" t="str">
        <x:v>2</x:v>
      </x:c>
      <x:c r="I566" s="6" t="str">
        <x:v>User workbook edit 2026-09-03</x:v>
      </x:c>
      <x:c r="J566" s="6" t="str">
        <x:f>IF(B566="","",IF(AND(ISNUMBER(SEARCH("平",B566)),OR(ISNUMBER(SEARCH("上",B566)),ISNUMBER(SEARCH("去",B566)),ISNUMBER(SEARCH("入",B566)))),"Ambiguous",IF(ISNUMBER(SEARCH("平",B566)),"平","仄")))</x:f>
        <x:v>仄</x:v>
      </x:c>
      <x:c r="K566" s="6" t="str">
        <x:f>IF(D566="","",IF(AND(ISNUMBER(SEARCH("平",D566)),OR(ISNUMBER(SEARCH("上",D566)),ISNUMBER(SEARCH("去",D566)),ISNUMBER(SEARCH("入",D566)))),"Ambiguous",IF(ISNUMBER(SEARCH("平",D566)),"平","仄")))</x:f>
        <x:v>仄</x:v>
      </x:c>
      <x:c r="L566" s="7" t="str">
        <x:v>manual user correction</x:v>
      </x:c>
    </x:row>
    <x:row r="567">
      <x:c r="A567" s="5" t="str">
        <x:v>呦</x:v>
      </x:c>
      <x:c r="B567" s="6" t="str">
        <x:v>平</x:v>
      </x:c>
      <x:c r="C567" s="6" t="str">
        <x:f>IF(B567="","Needs decision","Ready")</x:f>
        <x:v>Ready</x:v>
      </x:c>
      <x:c r="D567" s="6" t="str">
        <x:v>平</x:v>
      </x:c>
      <x:c r="E567" s="6" t="str">
        <x:v>'jiw [ʔjiw] (平)</x:v>
      </x:c>
      <x:c r="F567" s="6" t="str">
        <x:v>下平聲十一尤</x:v>
      </x:c>
      <x:c r="G567" s="6" t="str">
        <x:v>Pingshui main list, Wikisource-derived DOCX</x:v>
      </x:c>
      <x:c r="H567" s="6" t="str">
        <x:v>1</x:v>
      </x:c>
      <x:c r="I567" s="6" t="str">
        <x:v>Tang 300 gap; frequency 2; provisional from Xun Gong</x:v>
      </x:c>
      <x:c r="J567" s="6" t="str">
        <x:f>IF(B567="","",IF(AND(ISNUMBER(SEARCH("平",B567)),OR(ISNUMBER(SEARCH("上",B567)),ISNUMBER(SEARCH("去",B567)),ISNUMBER(SEARCH("入",B567)))),"Ambiguous",IF(ISNUMBER(SEARCH("平",B567)),"平","仄")))</x:f>
        <x:v>平</x:v>
      </x:c>
      <x:c r="K567" s="6" t="str">
        <x:f>IF(D567="","",IF(AND(ISNUMBER(SEARCH("平",D567)),OR(ISNUMBER(SEARCH("上",D567)),ISNUMBER(SEARCH("去",D567)),ISNUMBER(SEARCH("入",D567)))),"Ambiguous",IF(ISNUMBER(SEARCH("平",D567)),"平","仄")))</x:f>
        <x:v>平</x:v>
      </x:c>
      <x:c r="L567" s="7" t="str">
        <x:v>Xun Gong, Tang 300 gap fill</x:v>
      </x:c>
    </x:row>
    <x:row r="568">
      <x:c r="A568" s="5" t="str">
        <x:v>周</x:v>
      </x:c>
      <x:c r="B568" s="6" t="str">
        <x:v>平</x:v>
      </x:c>
      <x:c r="C568" s="6" t="str">
        <x:f>IF(B568="","Needs decision","Ready")</x:f>
        <x:v>Ready</x:v>
      </x:c>
      <x:c r="D568" s="6" t="str">
        <x:v>平</x:v>
      </x:c>
      <x:c r="E568" s="6" t="str">
        <x:v>tsyuw (A)</x:v>
      </x:c>
      <x:c r="F568" s="6" t="str">
        <x:v>下平聲十一尤</x:v>
      </x:c>
      <x:c r="G568" s="6" t="str">
        <x:v>Pingshui main list, Wikisource-derived DOCX</x:v>
      </x:c>
      <x:c r="H568" s="6" t="str">
        <x:v>1</x:v>
      </x:c>
      <x:c r="I568" s="6" t="str"/>
      <x:c r="J568" s="6" t="str">
        <x:f>IF(B568="","",IF(AND(ISNUMBER(SEARCH("平",B568)),OR(ISNUMBER(SEARCH("上",B568)),ISNUMBER(SEARCH("去",B568)),ISNUMBER(SEARCH("入",B568)))),"Ambiguous",IF(ISNUMBER(SEARCH("平",B568)),"平","仄")))</x:f>
        <x:v>平</x:v>
      </x:c>
      <x:c r="K568" s="6" t="str">
        <x:f>IF(D568="","",IF(AND(ISNUMBER(SEARCH("平",D568)),OR(ISNUMBER(SEARCH("上",D568)),ISNUMBER(SEARCH("去",D568)),ISNUMBER(SEARCH("入",D568)))),"Ambiguous",IF(ISNUMBER(SEARCH("平",D568)),"平","仄")))</x:f>
        <x:v>平</x:v>
      </x:c>
      <x:c r="L568" s="7" t="str"/>
    </x:row>
    <x:row r="569">
      <x:c r="A569" s="5" t="str">
        <x:v>呱</x:v>
      </x:c>
      <x:c r="B569" s="6" t="str">
        <x:v>平</x:v>
      </x:c>
      <x:c r="C569" s="6" t="str">
        <x:f>IF(B569="","Needs decision","Ready")</x:f>
        <x:v>Ready</x:v>
      </x:c>
      <x:c r="D569" s="6" t="str">
        <x:v>平</x:v>
      </x:c>
      <x:c r="E569" s="6" t="str">
        <x:v>ku (A)</x:v>
      </x:c>
      <x:c r="F569" s="6" t="str">
        <x:v>上平聲七虞</x:v>
      </x:c>
      <x:c r="G569" s="6" t="str">
        <x:v>Pingshui main list, Wikisource-derived DOCX</x:v>
      </x:c>
      <x:c r="H569" s="6" t="str">
        <x:v>1</x:v>
      </x:c>
      <x:c r="I569" s="6" t="str"/>
      <x:c r="J569" s="6" t="str">
        <x:f>IF(B569="","",IF(AND(ISNUMBER(SEARCH("平",B569)),OR(ISNUMBER(SEARCH("上",B569)),ISNUMBER(SEARCH("去",B569)),ISNUMBER(SEARCH("入",B569)))),"Ambiguous",IF(ISNUMBER(SEARCH("平",B569)),"平","仄")))</x:f>
        <x:v>平</x:v>
      </x:c>
      <x:c r="K569" s="6" t="str">
        <x:f>IF(D569="","",IF(AND(ISNUMBER(SEARCH("平",D569)),OR(ISNUMBER(SEARCH("上",D569)),ISNUMBER(SEARCH("去",D569)),ISNUMBER(SEARCH("入",D569)))),"Ambiguous",IF(ISNUMBER(SEARCH("平",D569)),"平","仄")))</x:f>
        <x:v>平</x:v>
      </x:c>
      <x:c r="L569" s="7" t="str"/>
    </x:row>
    <x:row r="570">
      <x:c r="A570" s="5" t="str">
        <x:v>味</x:v>
      </x:c>
      <x:c r="B570" s="6" t="str">
        <x:v>去</x:v>
      </x:c>
      <x:c r="C570" s="6" t="str">
        <x:f>IF(B570="","Needs decision","Ready")</x:f>
        <x:v>Ready</x:v>
      </x:c>
      <x:c r="D570" s="6" t="str">
        <x:v>去</x:v>
      </x:c>
      <x:c r="E570" s="6" t="str">
        <x:v>mj+jH (C)</x:v>
      </x:c>
      <x:c r="F570" s="6" t="str">
        <x:v>去聲五未</x:v>
      </x:c>
      <x:c r="G570" s="6" t="str">
        <x:v>Pingshui main list, Wikisource-derived DOCX</x:v>
      </x:c>
      <x:c r="H570" s="6" t="str">
        <x:v>1</x:v>
      </x:c>
      <x:c r="I570" s="6" t="str"/>
      <x:c r="J570" s="6" t="str">
        <x:f>IF(B570="","",IF(AND(ISNUMBER(SEARCH("平",B570)),OR(ISNUMBER(SEARCH("上",B570)),ISNUMBER(SEARCH("去",B570)),ISNUMBER(SEARCH("入",B570)))),"Ambiguous",IF(ISNUMBER(SEARCH("平",B570)),"平","仄")))</x:f>
        <x:v>仄</x:v>
      </x:c>
      <x:c r="K570" s="6" t="str">
        <x:f>IF(D570="","",IF(AND(ISNUMBER(SEARCH("平",D570)),OR(ISNUMBER(SEARCH("上",D570)),ISNUMBER(SEARCH("去",D570)),ISNUMBER(SEARCH("入",D570)))),"Ambiguous",IF(ISNUMBER(SEARCH("平",D570)),"平","仄")))</x:f>
        <x:v>仄</x:v>
      </x:c>
      <x:c r="L570" s="7" t="str"/>
    </x:row>
    <x:row r="571">
      <x:c r="A571" s="5" t="str">
        <x:v>呵</x:v>
      </x:c>
      <x:c r="B571" s="6" t="str">
        <x:v>平</x:v>
      </x:c>
      <x:c r="C571" s="6" t="str">
        <x:f>IF(B571="","Needs decision","Ready")</x:f>
        <x:v>Ready</x:v>
      </x:c>
      <x:c r="D571" s="6" t="str">
        <x:v>平</x:v>
      </x:c>
      <x:c r="E571" s="6" t="str">
        <x:v>xa (A)</x:v>
      </x:c>
      <x:c r="F571" s="6" t="str">
        <x:v>下平聲五歌</x:v>
      </x:c>
      <x:c r="G571" s="6" t="str">
        <x:v>Pingshui main list, Wikisource-derived DOCX</x:v>
      </x:c>
      <x:c r="H571" s="6" t="str">
        <x:v>1</x:v>
      </x:c>
      <x:c r="I571" s="6" t="str"/>
      <x:c r="J571" s="6" t="str">
        <x:f>IF(B571="","",IF(AND(ISNUMBER(SEARCH("平",B571)),OR(ISNUMBER(SEARCH("上",B571)),ISNUMBER(SEARCH("去",B571)),ISNUMBER(SEARCH("入",B571)))),"Ambiguous",IF(ISNUMBER(SEARCH("平",B571)),"平","仄")))</x:f>
        <x:v>平</x:v>
      </x:c>
      <x:c r="K571" s="6" t="str">
        <x:f>IF(D571="","",IF(AND(ISNUMBER(SEARCH("平",D571)),OR(ISNUMBER(SEARCH("上",D571)),ISNUMBER(SEARCH("去",D571)),ISNUMBER(SEARCH("入",D571)))),"Ambiguous",IF(ISNUMBER(SEARCH("平",D571)),"平","仄")))</x:f>
        <x:v>平</x:v>
      </x:c>
      <x:c r="L571" s="7" t="str"/>
    </x:row>
    <x:row r="572">
      <x:c r="A572" s="5" t="str">
        <x:v>呻</x:v>
      </x:c>
      <x:c r="B572" s="6" t="str">
        <x:v>平</x:v>
      </x:c>
      <x:c r="C572" s="6" t="str">
        <x:f>IF(B572="","Needs decision","Ready")</x:f>
        <x:v>Ready</x:v>
      </x:c>
      <x:c r="D572" s="6" t="str">
        <x:v>平</x:v>
      </x:c>
      <x:c r="E572" s="6" t="str">
        <x:v>syin (A)</x:v>
      </x:c>
      <x:c r="F572" s="6" t="str">
        <x:v>上平聲十一真</x:v>
      </x:c>
      <x:c r="G572" s="6" t="str">
        <x:v>Pingshui main list, Wikisource-derived DOCX</x:v>
      </x:c>
      <x:c r="H572" s="6" t="str">
        <x:v>1</x:v>
      </x:c>
      <x:c r="I572" s="6" t="str"/>
      <x:c r="J572" s="6" t="str">
        <x:f>IF(B572="","",IF(AND(ISNUMBER(SEARCH("平",B572)),OR(ISNUMBER(SEARCH("上",B572)),ISNUMBER(SEARCH("去",B572)),ISNUMBER(SEARCH("入",B572)))),"Ambiguous",IF(ISNUMBER(SEARCH("平",B572)),"平","仄")))</x:f>
        <x:v>平</x:v>
      </x:c>
      <x:c r="K572" s="6" t="str">
        <x:f>IF(D572="","",IF(AND(ISNUMBER(SEARCH("平",D572)),OR(ISNUMBER(SEARCH("上",D572)),ISNUMBER(SEARCH("去",D572)),ISNUMBER(SEARCH("入",D572)))),"Ambiguous",IF(ISNUMBER(SEARCH("平",D572)),"平","仄")))</x:f>
        <x:v>平</x:v>
      </x:c>
      <x:c r="L572" s="7" t="str"/>
    </x:row>
    <x:row r="573">
      <x:c r="A573" s="5" t="str">
        <x:v>呼</x:v>
      </x:c>
      <x:c r="B573" s="6" t="str">
        <x:v>平</x:v>
      </x:c>
      <x:c r="C573" s="6" t="str">
        <x:f>IF(B573="","Needs decision","Ready")</x:f>
        <x:v>Ready</x:v>
      </x:c>
      <x:c r="D573" s="6" t="str">
        <x:v>平/去</x:v>
      </x:c>
      <x:c r="E573" s="6" t="str">
        <x:v>xu (A); xuH (C)</x:v>
      </x:c>
      <x:c r="F573" s="6" t="str">
        <x:v>上平聲七虞</x:v>
      </x:c>
      <x:c r="G573" s="6" t="str">
        <x:v>Pingshui main list, Wikisource-derived DOCX</x:v>
      </x:c>
      <x:c r="H573" s="6" t="str">
        <x:v>2</x:v>
      </x:c>
      <x:c r="I573" s="6" t="str">
        <x:v>User workbook edit 2026-09-03</x:v>
      </x:c>
      <x:c r="J573" s="6" t="str">
        <x:f>IF(B573="","",IF(AND(ISNUMBER(SEARCH("平",B573)),OR(ISNUMBER(SEARCH("上",B573)),ISNUMBER(SEARCH("去",B573)),ISNUMBER(SEARCH("入",B573)))),"Ambiguous",IF(ISNUMBER(SEARCH("平",B573)),"平","仄")))</x:f>
        <x:v>平</x:v>
      </x:c>
      <x:c r="K573" s="6" t="str">
        <x:f>IF(D573="","",IF(AND(ISNUMBER(SEARCH("平",D573)),OR(ISNUMBER(SEARCH("上",D573)),ISNUMBER(SEARCH("去",D573)),ISNUMBER(SEARCH("入",D573)))),"Ambiguous",IF(ISNUMBER(SEARCH("平",D573)),"平","仄")))</x:f>
        <x:v>Ambiguous</x:v>
      </x:c>
      <x:c r="L573" s="7" t="str">
        <x:v>manual user correction</x:v>
      </x:c>
    </x:row>
    <x:row r="574">
      <x:c r="A574" s="5" t="str">
        <x:v>命</x:v>
      </x:c>
      <x:c r="B574" s="6" t="str">
        <x:v>去</x:v>
      </x:c>
      <x:c r="C574" s="6" t="str">
        <x:f>IF(B574="","Needs decision","Ready")</x:f>
        <x:v>Ready</x:v>
      </x:c>
      <x:c r="D574" s="6" t="str">
        <x:v>去</x:v>
      </x:c>
      <x:c r="E574" s="6" t="str">
        <x:v>mjaengH (C)</x:v>
      </x:c>
      <x:c r="F574" s="6" t="str">
        <x:v>去聲二十四敬</x:v>
      </x:c>
      <x:c r="G574" s="6" t="str">
        <x:v>Pingshui main list, Wikisource-derived DOCX</x:v>
      </x:c>
      <x:c r="H574" s="6" t="str">
        <x:v>1</x:v>
      </x:c>
      <x:c r="I574" s="6" t="str"/>
      <x:c r="J574" s="6" t="str">
        <x:f>IF(B574="","",IF(AND(ISNUMBER(SEARCH("平",B574)),OR(ISNUMBER(SEARCH("上",B574)),ISNUMBER(SEARCH("去",B574)),ISNUMBER(SEARCH("入",B574)))),"Ambiguous",IF(ISNUMBER(SEARCH("平",B574)),"平","仄")))</x:f>
        <x:v>仄</x:v>
      </x:c>
      <x:c r="K574" s="6" t="str">
        <x:f>IF(D574="","",IF(AND(ISNUMBER(SEARCH("平",D574)),OR(ISNUMBER(SEARCH("上",D574)),ISNUMBER(SEARCH("去",D574)),ISNUMBER(SEARCH("入",D574)))),"Ambiguous",IF(ISNUMBER(SEARCH("平",D574)),"平","仄")))</x:f>
        <x:v>仄</x:v>
      </x:c>
      <x:c r="L574" s="7" t="str"/>
    </x:row>
    <x:row r="575">
      <x:c r="A575" s="5" t="str">
        <x:v>咄</x:v>
      </x:c>
      <x:c r="B575" s="6" t="str">
        <x:v>入</x:v>
      </x:c>
      <x:c r="C575" s="6" t="str">
        <x:f>IF(B575="","Needs decision","Ready")</x:f>
        <x:v>Ready</x:v>
      </x:c>
      <x:c r="D575" s="6" t="str">
        <x:v>入</x:v>
      </x:c>
      <x:c r="E575" s="6" t="str">
        <x:v>twot (D)</x:v>
      </x:c>
      <x:c r="F575" s="6" t="str">
        <x:v>入聲六月; 入聲七曷</x:v>
      </x:c>
      <x:c r="G575" s="6" t="str">
        <x:v>Pingshui main list, Wikisource-derived DOCX</x:v>
      </x:c>
      <x:c r="H575" s="6" t="str">
        <x:v>1</x:v>
      </x:c>
      <x:c r="I575" s="6" t="str"/>
      <x:c r="J575" s="6" t="str">
        <x:f>IF(B575="","",IF(AND(ISNUMBER(SEARCH("平",B575)),OR(ISNUMBER(SEARCH("上",B575)),ISNUMBER(SEARCH("去",B575)),ISNUMBER(SEARCH("入",B575)))),"Ambiguous",IF(ISNUMBER(SEARCH("平",B575)),"平","仄")))</x:f>
        <x:v>仄</x:v>
      </x:c>
      <x:c r="K575" s="6" t="str">
        <x:f>IF(D575="","",IF(AND(ISNUMBER(SEARCH("平",D575)),OR(ISNUMBER(SEARCH("上",D575)),ISNUMBER(SEARCH("去",D575)),ISNUMBER(SEARCH("入",D575)))),"Ambiguous",IF(ISNUMBER(SEARCH("平",D575)),"平","仄")))</x:f>
        <x:v>仄</x:v>
      </x:c>
      <x:c r="L575" s="7" t="str"/>
    </x:row>
    <x:row r="576">
      <x:c r="A576" s="5" t="str">
        <x:v>咆</x:v>
      </x:c>
      <x:c r="B576" s="6" t="str">
        <x:v>平</x:v>
      </x:c>
      <x:c r="C576" s="6" t="str">
        <x:f>IF(B576="","Needs decision","Ready")</x:f>
        <x:v>Ready</x:v>
      </x:c>
      <x:c r="D576" s="6" t="str">
        <x:v>平</x:v>
      </x:c>
      <x:c r="E576" s="6" t="str">
        <x:v>baew [b̙aˤw] (平)</x:v>
      </x:c>
      <x:c r="F576" s="6" t="str">
        <x:v>下平聲三肴</x:v>
      </x:c>
      <x:c r="G576" s="6" t="str">
        <x:v>Pingshui main list, Wikisource-derived DOCX</x:v>
      </x:c>
      <x:c r="H576" s="6" t="str">
        <x:v>1</x:v>
      </x:c>
      <x:c r="I576" s="6" t="str">
        <x:v>Tang 300 gap; frequency 1; provisional from Xun Gong</x:v>
      </x:c>
      <x:c r="J576" s="6" t="str">
        <x:f>IF(B576="","",IF(AND(ISNUMBER(SEARCH("平",B576)),OR(ISNUMBER(SEARCH("上",B576)),ISNUMBER(SEARCH("去",B576)),ISNUMBER(SEARCH("入",B576)))),"Ambiguous",IF(ISNUMBER(SEARCH("平",B576)),"平","仄")))</x:f>
        <x:v>平</x:v>
      </x:c>
      <x:c r="K576" s="6" t="str">
        <x:f>IF(D576="","",IF(AND(ISNUMBER(SEARCH("平",D576)),OR(ISNUMBER(SEARCH("上",D576)),ISNUMBER(SEARCH("去",D576)),ISNUMBER(SEARCH("入",D576)))),"Ambiguous",IF(ISNUMBER(SEARCH("平",D576)),"平","仄")))</x:f>
        <x:v>平</x:v>
      </x:c>
      <x:c r="L576" s="7" t="str">
        <x:v>Xun Gong, Tang 300 gap fill</x:v>
      </x:c>
    </x:row>
    <x:row r="577">
      <x:c r="A577" s="5" t="str">
        <x:v>咈</x:v>
      </x:c>
      <x:c r="B577" s="6" t="str">
        <x:v>入</x:v>
      </x:c>
      <x:c r="C577" s="6" t="str">
        <x:f>IF(B577="","Needs decision","Ready")</x:f>
        <x:v>Ready</x:v>
      </x:c>
      <x:c r="D577" s="6" t="str">
        <x:v>入</x:v>
      </x:c>
      <x:c r="E577" s="6" t="str">
        <x:v>bjut (D)</x:v>
      </x:c>
      <x:c r="F577" s="6" t="str">
        <x:v>入聲五物</x:v>
      </x:c>
      <x:c r="G577" s="6" t="str">
        <x:v>Pingshui main list, Wikisource-derived DOCX</x:v>
      </x:c>
      <x:c r="H577" s="6" t="str">
        <x:v>1</x:v>
      </x:c>
      <x:c r="I577" s="6" t="str"/>
      <x:c r="J577" s="6" t="str">
        <x:f>IF(B577="","",IF(AND(ISNUMBER(SEARCH("平",B577)),OR(ISNUMBER(SEARCH("上",B577)),ISNUMBER(SEARCH("去",B577)),ISNUMBER(SEARCH("入",B577)))),"Ambiguous",IF(ISNUMBER(SEARCH("平",B577)),"平","仄")))</x:f>
        <x:v>仄</x:v>
      </x:c>
      <x:c r="K577" s="6" t="str">
        <x:f>IF(D577="","",IF(AND(ISNUMBER(SEARCH("平",D577)),OR(ISNUMBER(SEARCH("上",D577)),ISNUMBER(SEARCH("去",D577)),ISNUMBER(SEARCH("入",D577)))),"Ambiguous",IF(ISNUMBER(SEARCH("平",D577)),"平","仄")))</x:f>
        <x:v>仄</x:v>
      </x:c>
      <x:c r="L577" s="7" t="str"/>
    </x:row>
    <x:row r="578">
      <x:c r="A578" s="5" t="str">
        <x:v>咋</x:v>
      </x:c>
      <x:c r="B578" s="6" t="str"/>
      <x:c r="C578" s="6" t="str">
        <x:f>IF(B578="","Needs decision","Ready")</x:f>
        <x:v>Needs decision</x:v>
      </x:c>
      <x:c r="D578" s="6" t="str">
        <x:v>去/入</x:v>
      </x:c>
      <x:c r="E578" s="6" t="str">
        <x:v>dzraek [崇開二庚入] dʐaˤk; tsreak [莊開二耕入] tʂeˤk; tsraeH [莊開二麻去] tʂaˤh</x:v>
      </x:c>
      <x:c r="F578" s="6" t="str">
        <x:v>入聲十一陌</x:v>
      </x:c>
      <x:c r="G578" s="6" t="str">
        <x:v>Pingshui main list, Wikisource-derived DOCX</x:v>
      </x:c>
      <x:c r="H578" s="6" t="str">
        <x:v>3</x:v>
      </x:c>
      <x:c r="I578" s="6" t="str">
        <x:v>Targeted preliminary fill from Xun Gong; review if uncertain</x:v>
      </x:c>
      <x:c r="J578" s="6" t="str">
        <x:f>IF(B578="","",IF(AND(ISNUMBER(SEARCH("平",B578)),OR(ISNUMBER(SEARCH("上",B578)),ISNUMBER(SEARCH("去",B578)),ISNUMBER(SEARCH("入",B578)))),"Ambiguous",IF(ISNUMBER(SEARCH("平",B578)),"平","仄")))</x:f>
      </x:c>
      <x:c r="K578" s="6" t="str">
        <x:f>IF(D578="","",IF(AND(ISNUMBER(SEARCH("平",D578)),OR(ISNUMBER(SEARCH("上",D578)),ISNUMBER(SEARCH("去",D578)),ISNUMBER(SEARCH("入",D578)))),"Ambiguous",IF(ISNUMBER(SEARCH("平",D578)),"平","仄")))</x:f>
        <x:v>仄</x:v>
      </x:c>
      <x:c r="L578" s="7" t="str">
        <x:v>Xun Gong character-readings.csv</x:v>
      </x:c>
    </x:row>
    <x:row r="579">
      <x:c r="A579" s="5" t="str">
        <x:v>和</x:v>
      </x:c>
      <x:c r="B579" s="6" t="str">
        <x:v>平</x:v>
      </x:c>
      <x:c r="C579" s="6" t="str">
        <x:f>IF(B579="","Needs decision","Ready")</x:f>
        <x:v>Ready</x:v>
      </x:c>
      <x:c r="D579" s="6" t="str">
        <x:v>平/去</x:v>
      </x:c>
      <x:c r="E579" s="6" t="str">
        <x:v>hwa (A); hwaH (C)</x:v>
      </x:c>
      <x:c r="F579" s="6" t="str">
        <x:v>下平聲五歌; 去聲二十一箇</x:v>
      </x:c>
      <x:c r="G579" s="6" t="str">
        <x:v>Pingshui main list, Wikisource-derived DOCX</x:v>
      </x:c>
      <x:c r="H579" s="6" t="str">
        <x:v>2</x:v>
      </x:c>
      <x:c r="I579" s="6" t="str">
        <x:v>User workbook edit 2026-09-03</x:v>
      </x:c>
      <x:c r="J579" s="6" t="str">
        <x:f>IF(B579="","",IF(AND(ISNUMBER(SEARCH("平",B579)),OR(ISNUMBER(SEARCH("上",B579)),ISNUMBER(SEARCH("去",B579)),ISNUMBER(SEARCH("入",B579)))),"Ambiguous",IF(ISNUMBER(SEARCH("平",B579)),"平","仄")))</x:f>
        <x:v>平</x:v>
      </x:c>
      <x:c r="K579" s="6" t="str">
        <x:f>IF(D579="","",IF(AND(ISNUMBER(SEARCH("平",D579)),OR(ISNUMBER(SEARCH("上",D579)),ISNUMBER(SEARCH("去",D579)),ISNUMBER(SEARCH("入",D579)))),"Ambiguous",IF(ISNUMBER(SEARCH("平",D579)),"平","仄")))</x:f>
        <x:v>Ambiguous</x:v>
      </x:c>
      <x:c r="L579" s="7" t="str">
        <x:v>manual user correction</x:v>
      </x:c>
    </x:row>
    <x:row r="580">
      <x:c r="A580" s="5" t="str">
        <x:v>咎</x:v>
      </x:c>
      <x:c r="B580" s="6" t="str">
        <x:v>上</x:v>
      </x:c>
      <x:c r="C580" s="6" t="str">
        <x:f>IF(B580="","Needs decision","Ready")</x:f>
        <x:v>Ready</x:v>
      </x:c>
      <x:c r="D580" s="6" t="str">
        <x:v>上</x:v>
      </x:c>
      <x:c r="E580" s="6" t="str">
        <x:v>gjuwX (B)</x:v>
      </x:c>
      <x:c r="F580" s="6" t="str">
        <x:v>下平聲四豪; 上聲二十五有</x:v>
      </x:c>
      <x:c r="G580" s="6" t="str">
        <x:v>Pingshui main list, Wikisource-derived DOCX</x:v>
      </x:c>
      <x:c r="H580" s="6" t="str">
        <x:v>1</x:v>
      </x:c>
      <x:c r="I580" s="6" t="str"/>
      <x:c r="J580" s="6" t="str">
        <x:f>IF(B580="","",IF(AND(ISNUMBER(SEARCH("平",B580)),OR(ISNUMBER(SEARCH("上",B580)),ISNUMBER(SEARCH("去",B580)),ISNUMBER(SEARCH("入",B580)))),"Ambiguous",IF(ISNUMBER(SEARCH("平",B580)),"平","仄")))</x:f>
        <x:v>仄</x:v>
      </x:c>
      <x:c r="K580" s="6" t="str">
        <x:f>IF(D580="","",IF(AND(ISNUMBER(SEARCH("平",D580)),OR(ISNUMBER(SEARCH("上",D580)),ISNUMBER(SEARCH("去",D580)),ISNUMBER(SEARCH("入",D580)))),"Ambiguous",IF(ISNUMBER(SEARCH("平",D580)),"平","仄")))</x:f>
        <x:v>仄</x:v>
      </x:c>
      <x:c r="L580" s="7" t="str"/>
    </x:row>
    <x:row r="581">
      <x:c r="A581" s="5" t="str">
        <x:v>咏</x:v>
      </x:c>
      <x:c r="B581" s="6" t="str">
        <x:v>去</x:v>
      </x:c>
      <x:c r="C581" s="6" t="str">
        <x:f>IF(B581="","Needs decision","Ready")</x:f>
        <x:v>Ready</x:v>
      </x:c>
      <x:c r="D581" s="6" t="str">
        <x:v>去</x:v>
      </x:c>
      <x:c r="E581" s="6" t="str">
        <x:v>hjwaengH (C)</x:v>
      </x:c>
      <x:c r="F581" s="6" t="str"/>
      <x:c r="G581" s="6" t="str"/>
      <x:c r="H581" s="6" t="str">
        <x:v>1</x:v>
      </x:c>
      <x:c r="I581" s="6" t="str"/>
      <x:c r="J581" s="6" t="str">
        <x:f>IF(B581="","",IF(AND(ISNUMBER(SEARCH("平",B581)),OR(ISNUMBER(SEARCH("上",B581)),ISNUMBER(SEARCH("去",B581)),ISNUMBER(SEARCH("入",B581)))),"Ambiguous",IF(ISNUMBER(SEARCH("平",B581)),"平","仄")))</x:f>
        <x:v>仄</x:v>
      </x:c>
      <x:c r="K581" s="6" t="str">
        <x:f>IF(D581="","",IF(AND(ISNUMBER(SEARCH("平",D581)),OR(ISNUMBER(SEARCH("上",D581)),ISNUMBER(SEARCH("去",D581)),ISNUMBER(SEARCH("入",D581)))),"Ambiguous",IF(ISNUMBER(SEARCH("平",D581)),"平","仄")))</x:f>
        <x:v>仄</x:v>
      </x:c>
      <x:c r="L581" s="7" t="str"/>
    </x:row>
    <x:row r="582">
      <x:c r="A582" s="5" t="str">
        <x:v>咢</x:v>
      </x:c>
      <x:c r="B582" s="6" t="str">
        <x:v>入</x:v>
      </x:c>
      <x:c r="C582" s="6" t="str">
        <x:f>IF(B582="","Needs decision","Ready")</x:f>
        <x:v>Ready</x:v>
      </x:c>
      <x:c r="D582" s="6" t="str">
        <x:v>入</x:v>
      </x:c>
      <x:c r="E582" s="6" t="str">
        <x:v>ngak (D)</x:v>
      </x:c>
      <x:c r="F582" s="6" t="str">
        <x:v>入聲十藥</x:v>
      </x:c>
      <x:c r="G582" s="6" t="str">
        <x:v>Pingshui main list, Wikisource-derived DOCX</x:v>
      </x:c>
      <x:c r="H582" s="6" t="str">
        <x:v>1</x:v>
      </x:c>
      <x:c r="I582" s="6" t="str"/>
      <x:c r="J582" s="6" t="str">
        <x:f>IF(B582="","",IF(AND(ISNUMBER(SEARCH("平",B582)),OR(ISNUMBER(SEARCH("上",B582)),ISNUMBER(SEARCH("去",B582)),ISNUMBER(SEARCH("入",B582)))),"Ambiguous",IF(ISNUMBER(SEARCH("平",B582)),"平","仄")))</x:f>
        <x:v>仄</x:v>
      </x:c>
      <x:c r="K582" s="6" t="str">
        <x:f>IF(D582="","",IF(AND(ISNUMBER(SEARCH("平",D582)),OR(ISNUMBER(SEARCH("上",D582)),ISNUMBER(SEARCH("去",D582)),ISNUMBER(SEARCH("入",D582)))),"Ambiguous",IF(ISNUMBER(SEARCH("平",D582)),"平","仄")))</x:f>
        <x:v>仄</x:v>
      </x:c>
      <x:c r="L582" s="7" t="str"/>
    </x:row>
    <x:row r="583">
      <x:c r="A583" s="5" t="str">
        <x:v>咨</x:v>
      </x:c>
      <x:c r="B583" s="6" t="str">
        <x:v>平</x:v>
      </x:c>
      <x:c r="C583" s="6" t="str">
        <x:f>IF(B583="","Needs decision","Ready")</x:f>
        <x:v>Ready</x:v>
      </x:c>
      <x:c r="D583" s="6" t="str">
        <x:v>平</x:v>
      </x:c>
      <x:c r="E583" s="6" t="str">
        <x:v>tsij (A)</x:v>
      </x:c>
      <x:c r="F583" s="6" t="str">
        <x:v>上平聲四支</x:v>
      </x:c>
      <x:c r="G583" s="6" t="str">
        <x:v>Pingshui main list, Wikisource-derived DOCX</x:v>
      </x:c>
      <x:c r="H583" s="6" t="str">
        <x:v>1</x:v>
      </x:c>
      <x:c r="I583" s="6" t="str"/>
      <x:c r="J583" s="6" t="str">
        <x:f>IF(B583="","",IF(AND(ISNUMBER(SEARCH("平",B583)),OR(ISNUMBER(SEARCH("上",B583)),ISNUMBER(SEARCH("去",B583)),ISNUMBER(SEARCH("入",B583)))),"Ambiguous",IF(ISNUMBER(SEARCH("平",B583)),"平","仄")))</x:f>
        <x:v>平</x:v>
      </x:c>
      <x:c r="K583" s="6" t="str">
        <x:f>IF(D583="","",IF(AND(ISNUMBER(SEARCH("平",D583)),OR(ISNUMBER(SEARCH("上",D583)),ISNUMBER(SEARCH("去",D583)),ISNUMBER(SEARCH("入",D583)))),"Ambiguous",IF(ISNUMBER(SEARCH("平",D583)),"平","仄")))</x:f>
        <x:v>平</x:v>
      </x:c>
      <x:c r="L583" s="7" t="str"/>
    </x:row>
    <x:row r="584">
      <x:c r="A584" s="5" t="str">
        <x:v>咫</x:v>
      </x:c>
      <x:c r="B584" s="6" t="str">
        <x:v>上</x:v>
      </x:c>
      <x:c r="C584" s="6" t="str">
        <x:f>IF(B584="","Needs decision","Ready")</x:f>
        <x:v>Ready</x:v>
      </x:c>
      <x:c r="D584" s="6" t="str">
        <x:v>上</x:v>
      </x:c>
      <x:c r="E584" s="6" t="str">
        <x:v>tsyeX (B)</x:v>
      </x:c>
      <x:c r="F584" s="6" t="str">
        <x:v>上聲四紙</x:v>
      </x:c>
      <x:c r="G584" s="6" t="str">
        <x:v>Pingshui main list, Wikisource-derived DOCX</x:v>
      </x:c>
      <x:c r="H584" s="6" t="str">
        <x:v>1</x:v>
      </x:c>
      <x:c r="I584" s="6" t="str"/>
      <x:c r="J584" s="6" t="str">
        <x:f>IF(B584="","",IF(AND(ISNUMBER(SEARCH("平",B584)),OR(ISNUMBER(SEARCH("上",B584)),ISNUMBER(SEARCH("去",B584)),ISNUMBER(SEARCH("入",B584)))),"Ambiguous",IF(ISNUMBER(SEARCH("平",B584)),"平","仄")))</x:f>
        <x:v>仄</x:v>
      </x:c>
      <x:c r="K584" s="6" t="str">
        <x:f>IF(D584="","",IF(AND(ISNUMBER(SEARCH("平",D584)),OR(ISNUMBER(SEARCH("上",D584)),ISNUMBER(SEARCH("去",D584)),ISNUMBER(SEARCH("入",D584)))),"Ambiguous",IF(ISNUMBER(SEARCH("平",D584)),"平","仄")))</x:f>
        <x:v>仄</x:v>
      </x:c>
      <x:c r="L584" s="7" t="str"/>
    </x:row>
    <x:row r="585">
      <x:c r="A585" s="5" t="str">
        <x:v>咮</x:v>
      </x:c>
      <x:c r="B585" s="6" t="str">
        <x:v>去</x:v>
      </x:c>
      <x:c r="C585" s="6" t="str">
        <x:f>IF(B585="","Needs decision","Ready")</x:f>
        <x:v>Ready</x:v>
      </x:c>
      <x:c r="D585" s="6" t="str">
        <x:v>去</x:v>
      </x:c>
      <x:c r="E585" s="6" t="str">
        <x:v>trjuwH (C)</x:v>
      </x:c>
      <x:c r="F585" s="6" t="str">
        <x:v>上平聲七虞; 去聲七遇; 去聲二十六宥</x:v>
      </x:c>
      <x:c r="G585" s="6" t="str">
        <x:v>Pingshui main list, Wikisource-derived DOCX</x:v>
      </x:c>
      <x:c r="H585" s="6" t="str">
        <x:v>1</x:v>
      </x:c>
      <x:c r="I585" s="6" t="str"/>
      <x:c r="J585" s="6" t="str">
        <x:f>IF(B585="","",IF(AND(ISNUMBER(SEARCH("平",B585)),OR(ISNUMBER(SEARCH("上",B585)),ISNUMBER(SEARCH("去",B585)),ISNUMBER(SEARCH("入",B585)))),"Ambiguous",IF(ISNUMBER(SEARCH("平",B585)),"平","仄")))</x:f>
        <x:v>仄</x:v>
      </x:c>
      <x:c r="K585" s="6" t="str">
        <x:f>IF(D585="","",IF(AND(ISNUMBER(SEARCH("平",D585)),OR(ISNUMBER(SEARCH("上",D585)),ISNUMBER(SEARCH("去",D585)),ISNUMBER(SEARCH("入",D585)))),"Ambiguous",IF(ISNUMBER(SEARCH("平",D585)),"平","仄")))</x:f>
        <x:v>仄</x:v>
      </x:c>
      <x:c r="L585" s="7" t="str"/>
    </x:row>
    <x:row r="586">
      <x:c r="A586" s="5" t="str">
        <x:v>咳</x:v>
      </x:c>
      <x:c r="B586" s="6" t="str">
        <x:v>去</x:v>
      </x:c>
      <x:c r="C586" s="6" t="str">
        <x:f>IF(B586="","Needs decision","Ready")</x:f>
        <x:v>Ready</x:v>
      </x:c>
      <x:c r="D586" s="6" t="str">
        <x:v>去</x:v>
      </x:c>
      <x:c r="E586" s="6" t="str">
        <x:v>khojH (C)</x:v>
      </x:c>
      <x:c r="F586" s="6" t="str"/>
      <x:c r="G586" s="6" t="str"/>
      <x:c r="H586" s="6" t="str">
        <x:v>1</x:v>
      </x:c>
      <x:c r="I586" s="6" t="str"/>
      <x:c r="J586" s="6" t="str">
        <x:f>IF(B586="","",IF(AND(ISNUMBER(SEARCH("平",B586)),OR(ISNUMBER(SEARCH("上",B586)),ISNUMBER(SEARCH("去",B586)),ISNUMBER(SEARCH("入",B586)))),"Ambiguous",IF(ISNUMBER(SEARCH("平",B586)),"平","仄")))</x:f>
        <x:v>仄</x:v>
      </x:c>
      <x:c r="K586" s="6" t="str">
        <x:f>IF(D586="","",IF(AND(ISNUMBER(SEARCH("平",D586)),OR(ISNUMBER(SEARCH("上",D586)),ISNUMBER(SEARCH("去",D586)),ISNUMBER(SEARCH("入",D586)))),"Ambiguous",IF(ISNUMBER(SEARCH("平",D586)),"平","仄")))</x:f>
        <x:v>仄</x:v>
      </x:c>
      <x:c r="L586" s="7" t="str"/>
    </x:row>
    <x:row r="587">
      <x:c r="A587" s="5" t="str">
        <x:v>咸</x:v>
      </x:c>
      <x:c r="B587" s="6" t="str">
        <x:v>平</x:v>
      </x:c>
      <x:c r="C587" s="6" t="str">
        <x:f>IF(B587="","Needs decision","Ready")</x:f>
        <x:v>Ready</x:v>
      </x:c>
      <x:c r="D587" s="6" t="str">
        <x:v>平</x:v>
      </x:c>
      <x:c r="E587" s="6" t="str">
        <x:v>heam (A)</x:v>
      </x:c>
      <x:c r="F587" s="6" t="str">
        <x:v>下平聲十五咸</x:v>
      </x:c>
      <x:c r="G587" s="6" t="str">
        <x:v>Pingshui main list, Wikisource-derived DOCX</x:v>
      </x:c>
      <x:c r="H587" s="6" t="str">
        <x:v>1</x:v>
      </x:c>
      <x:c r="I587" s="6" t="str"/>
      <x:c r="J587" s="6" t="str">
        <x:f>IF(B587="","",IF(AND(ISNUMBER(SEARCH("平",B587)),OR(ISNUMBER(SEARCH("上",B587)),ISNUMBER(SEARCH("去",B587)),ISNUMBER(SEARCH("入",B587)))),"Ambiguous",IF(ISNUMBER(SEARCH("平",B587)),"平","仄")))</x:f>
        <x:v>平</x:v>
      </x:c>
      <x:c r="K587" s="6" t="str">
        <x:f>IF(D587="","",IF(AND(ISNUMBER(SEARCH("平",D587)),OR(ISNUMBER(SEARCH("上",D587)),ISNUMBER(SEARCH("去",D587)),ISNUMBER(SEARCH("入",D587)))),"Ambiguous",IF(ISNUMBER(SEARCH("平",D587)),"平","仄")))</x:f>
        <x:v>平</x:v>
      </x:c>
      <x:c r="L587" s="7" t="str"/>
    </x:row>
    <x:row r="588">
      <x:c r="A588" s="5" t="str">
        <x:v>咺</x:v>
      </x:c>
      <x:c r="B588" s="6" t="str">
        <x:v>上</x:v>
      </x:c>
      <x:c r="C588" s="6" t="str">
        <x:f>IF(B588="","Needs decision","Ready")</x:f>
        <x:v>Ready</x:v>
      </x:c>
      <x:c r="D588" s="6" t="str">
        <x:v>上</x:v>
      </x:c>
      <x:c r="E588" s="6" t="str">
        <x:v>xjwonX (B)</x:v>
      </x:c>
      <x:c r="F588" s="6" t="str">
        <x:v>上平聲十三元; 上聲十三阮</x:v>
      </x:c>
      <x:c r="G588" s="6" t="str">
        <x:v>Pingshui main list, Wikisource-derived DOCX</x:v>
      </x:c>
      <x:c r="H588" s="6" t="str">
        <x:v>1</x:v>
      </x:c>
      <x:c r="I588" s="6" t="str"/>
      <x:c r="J588" s="6" t="str">
        <x:f>IF(B588="","",IF(AND(ISNUMBER(SEARCH("平",B588)),OR(ISNUMBER(SEARCH("上",B588)),ISNUMBER(SEARCH("去",B588)),ISNUMBER(SEARCH("入",B588)))),"Ambiguous",IF(ISNUMBER(SEARCH("平",B588)),"平","仄")))</x:f>
        <x:v>仄</x:v>
      </x:c>
      <x:c r="K588" s="6" t="str">
        <x:f>IF(D588="","",IF(AND(ISNUMBER(SEARCH("平",D588)),OR(ISNUMBER(SEARCH("上",D588)),ISNUMBER(SEARCH("去",D588)),ISNUMBER(SEARCH("入",D588)))),"Ambiguous",IF(ISNUMBER(SEARCH("平",D588)),"平","仄")))</x:f>
        <x:v>仄</x:v>
      </x:c>
      <x:c r="L588" s="7" t="str"/>
    </x:row>
    <x:row r="589">
      <x:c r="A589" s="5" t="str">
        <x:v>咼</x:v>
      </x:c>
      <x:c r="B589" s="6" t="str">
        <x:v>上</x:v>
      </x:c>
      <x:c r="C589" s="6" t="str">
        <x:f>IF(B589="","Needs decision","Ready")</x:f>
        <x:v>Ready</x:v>
      </x:c>
      <x:c r="D589" s="6" t="str">
        <x:v>上</x:v>
      </x:c>
      <x:c r="E589" s="6" t="str">
        <x:v>kwaeX (B)</x:v>
      </x:c>
      <x:c r="F589" s="6" t="str"/>
      <x:c r="G589" s="6" t="str"/>
      <x:c r="H589" s="6" t="str">
        <x:v>1</x:v>
      </x:c>
      <x:c r="I589" s="6" t="str"/>
      <x:c r="J589" s="6" t="str">
        <x:f>IF(B589="","",IF(AND(ISNUMBER(SEARCH("平",B589)),OR(ISNUMBER(SEARCH("上",B589)),ISNUMBER(SEARCH("去",B589)),ISNUMBER(SEARCH("入",B589)))),"Ambiguous",IF(ISNUMBER(SEARCH("平",B589)),"平","仄")))</x:f>
        <x:v>仄</x:v>
      </x:c>
      <x:c r="K589" s="6" t="str">
        <x:f>IF(D589="","",IF(AND(ISNUMBER(SEARCH("平",D589)),OR(ISNUMBER(SEARCH("上",D589)),ISNUMBER(SEARCH("去",D589)),ISNUMBER(SEARCH("入",D589)))),"Ambiguous",IF(ISNUMBER(SEARCH("平",D589)),"平","仄")))</x:f>
        <x:v>仄</x:v>
      </x:c>
      <x:c r="L589" s="7" t="str"/>
    </x:row>
    <x:row r="590">
      <x:c r="A590" s="5" t="str">
        <x:v>咽</x:v>
      </x:c>
      <x:c r="B590" s="6" t="str"/>
      <x:c r="C590" s="6" t="str">
        <x:f>IF(B590="","Needs decision","Ready")</x:f>
        <x:v>Needs decision</x:v>
      </x:c>
      <x:c r="D590" s="6" t="str">
        <x:v>平/去</x:v>
      </x:c>
      <x:c r="E590" s="6" t="str">
        <x:v>'en (A); 'enH (C)</x:v>
      </x:c>
      <x:c r="F590" s="6" t="str">
        <x:v>下平聲一先; 入聲九屑</x:v>
      </x:c>
      <x:c r="G590" s="6" t="str">
        <x:v>Pingshui main list, Wikisource-derived DOCX</x:v>
      </x:c>
      <x:c r="H590" s="6" t="str">
        <x:v>2</x:v>
      </x:c>
      <x:c r="I590" s="6" t="str"/>
      <x:c r="J590" s="6" t="str">
        <x:f>IF(B590="","",IF(AND(ISNUMBER(SEARCH("平",B590)),OR(ISNUMBER(SEARCH("上",B590)),ISNUMBER(SEARCH("去",B590)),ISNUMBER(SEARCH("入",B590)))),"Ambiguous",IF(ISNUMBER(SEARCH("平",B590)),"平","仄")))</x:f>
      </x:c>
      <x:c r="K590" s="6" t="str">
        <x:f>IF(D590="","",IF(AND(ISNUMBER(SEARCH("平",D590)),OR(ISNUMBER(SEARCH("上",D590)),ISNUMBER(SEARCH("去",D590)),ISNUMBER(SEARCH("入",D590)))),"Ambiguous",IF(ISNUMBER(SEARCH("平",D590)),"平","仄")))</x:f>
        <x:v>Ambiguous</x:v>
      </x:c>
      <x:c r="L590" s="7" t="str"/>
    </x:row>
    <x:row r="591">
      <x:c r="A591" s="5" t="str">
        <x:v>咿</x:v>
      </x:c>
      <x:c r="B591" s="6" t="str">
        <x:v>平</x:v>
      </x:c>
      <x:c r="C591" s="6" t="str">
        <x:f>IF(B591="","Needs decision","Ready")</x:f>
        <x:v>Ready</x:v>
      </x:c>
      <x:c r="D591" s="6" t="str">
        <x:v>平</x:v>
      </x:c>
      <x:c r="E591" s="6" t="str">
        <x:v>'jij (A)</x:v>
      </x:c>
      <x:c r="F591" s="6" t="str">
        <x:v>上平聲四支</x:v>
      </x:c>
      <x:c r="G591" s="6" t="str">
        <x:v>Pingshui main list, Wikisource-derived DOCX</x:v>
      </x:c>
      <x:c r="H591" s="6" t="str">
        <x:v>1</x:v>
      </x:c>
      <x:c r="I591" s="6" t="str"/>
      <x:c r="J591" s="6" t="str">
        <x:f>IF(B591="","",IF(AND(ISNUMBER(SEARCH("平",B591)),OR(ISNUMBER(SEARCH("上",B591)),ISNUMBER(SEARCH("去",B591)),ISNUMBER(SEARCH("入",B591)))),"Ambiguous",IF(ISNUMBER(SEARCH("平",B591)),"平","仄")))</x:f>
        <x:v>平</x:v>
      </x:c>
      <x:c r="K591" s="6" t="str">
        <x:f>IF(D591="","",IF(AND(ISNUMBER(SEARCH("平",D591)),OR(ISNUMBER(SEARCH("上",D591)),ISNUMBER(SEARCH("去",D591)),ISNUMBER(SEARCH("入",D591)))),"Ambiguous",IF(ISNUMBER(SEARCH("平",D591)),"平","仄")))</x:f>
        <x:v>平</x:v>
      </x:c>
      <x:c r="L591" s="7" t="str"/>
    </x:row>
    <x:row r="592">
      <x:c r="A592" s="5" t="str">
        <x:v>哀</x:v>
      </x:c>
      <x:c r="B592" s="6" t="str">
        <x:v>平</x:v>
      </x:c>
      <x:c r="C592" s="6" t="str">
        <x:f>IF(B592="","Needs decision","Ready")</x:f>
        <x:v>Ready</x:v>
      </x:c>
      <x:c r="D592" s="6" t="str">
        <x:v>平</x:v>
      </x:c>
      <x:c r="E592" s="6" t="str">
        <x:v>'oj (A)</x:v>
      </x:c>
      <x:c r="F592" s="6" t="str">
        <x:v>上平聲十灰</x:v>
      </x:c>
      <x:c r="G592" s="6" t="str">
        <x:v>Pingshui main list, Wikisource-derived DOCX</x:v>
      </x:c>
      <x:c r="H592" s="6" t="str">
        <x:v>1</x:v>
      </x:c>
      <x:c r="I592" s="6" t="str"/>
      <x:c r="J592" s="6" t="str">
        <x:f>IF(B592="","",IF(AND(ISNUMBER(SEARCH("平",B592)),OR(ISNUMBER(SEARCH("上",B592)),ISNUMBER(SEARCH("去",B592)),ISNUMBER(SEARCH("入",B592)))),"Ambiguous",IF(ISNUMBER(SEARCH("平",B592)),"平","仄")))</x:f>
        <x:v>平</x:v>
      </x:c>
      <x:c r="K592" s="6" t="str">
        <x:f>IF(D592="","",IF(AND(ISNUMBER(SEARCH("平",D592)),OR(ISNUMBER(SEARCH("上",D592)),ISNUMBER(SEARCH("去",D592)),ISNUMBER(SEARCH("入",D592)))),"Ambiguous",IF(ISNUMBER(SEARCH("平",D592)),"平","仄")))</x:f>
        <x:v>平</x:v>
      </x:c>
      <x:c r="L592" s="7" t="str"/>
    </x:row>
    <x:row r="593">
      <x:c r="A593" s="5" t="str">
        <x:v>品</x:v>
      </x:c>
      <x:c r="B593" s="6" t="str">
        <x:v>上</x:v>
      </x:c>
      <x:c r="C593" s="6" t="str">
        <x:f>IF(B593="","Needs decision","Ready")</x:f>
        <x:v>Ready</x:v>
      </x:c>
      <x:c r="D593" s="6" t="str">
        <x:v>上</x:v>
      </x:c>
      <x:c r="E593" s="6" t="str">
        <x:v>phimX (B)</x:v>
      </x:c>
      <x:c r="F593" s="6" t="str">
        <x:v>上聲二十六寢</x:v>
      </x:c>
      <x:c r="G593" s="6" t="str">
        <x:v>Pingshui main list, Wikisource-derived DOCX</x:v>
      </x:c>
      <x:c r="H593" s="6" t="str">
        <x:v>1</x:v>
      </x:c>
      <x:c r="I593" s="6" t="str"/>
      <x:c r="J593" s="6" t="str">
        <x:f>IF(B593="","",IF(AND(ISNUMBER(SEARCH("平",B593)),OR(ISNUMBER(SEARCH("上",B593)),ISNUMBER(SEARCH("去",B593)),ISNUMBER(SEARCH("入",B593)))),"Ambiguous",IF(ISNUMBER(SEARCH("平",B593)),"平","仄")))</x:f>
        <x:v>仄</x:v>
      </x:c>
      <x:c r="K593" s="6" t="str">
        <x:f>IF(D593="","",IF(AND(ISNUMBER(SEARCH("平",D593)),OR(ISNUMBER(SEARCH("上",D593)),ISNUMBER(SEARCH("去",D593)),ISNUMBER(SEARCH("入",D593)))),"Ambiguous",IF(ISNUMBER(SEARCH("平",D593)),"平","仄")))</x:f>
        <x:v>仄</x:v>
      </x:c>
      <x:c r="L593" s="7" t="str"/>
    </x:row>
    <x:row r="594">
      <x:c r="A594" s="5" t="str">
        <x:v>哂</x:v>
      </x:c>
      <x:c r="B594" s="6" t="str">
        <x:v>上</x:v>
      </x:c>
      <x:c r="C594" s="6" t="str">
        <x:f>IF(B594="","Needs decision","Ready")</x:f>
        <x:v>Ready</x:v>
      </x:c>
      <x:c r="D594" s="6" t="str">
        <x:v>上</x:v>
      </x:c>
      <x:c r="E594" s="6" t="str">
        <x:v>syinX (B)</x:v>
      </x:c>
      <x:c r="F594" s="6" t="str">
        <x:v>上聲十一軫</x:v>
      </x:c>
      <x:c r="G594" s="6" t="str">
        <x:v>Pingshui main list, Wikisource-derived DOCX</x:v>
      </x:c>
      <x:c r="H594" s="6" t="str">
        <x:v>1</x:v>
      </x:c>
      <x:c r="I594" s="6" t="str"/>
      <x:c r="J594" s="6" t="str">
        <x:f>IF(B594="","",IF(AND(ISNUMBER(SEARCH("平",B594)),OR(ISNUMBER(SEARCH("上",B594)),ISNUMBER(SEARCH("去",B594)),ISNUMBER(SEARCH("入",B594)))),"Ambiguous",IF(ISNUMBER(SEARCH("平",B594)),"平","仄")))</x:f>
        <x:v>仄</x:v>
      </x:c>
      <x:c r="K594" s="6" t="str">
        <x:f>IF(D594="","",IF(AND(ISNUMBER(SEARCH("平",D594)),OR(ISNUMBER(SEARCH("上",D594)),ISNUMBER(SEARCH("去",D594)),ISNUMBER(SEARCH("入",D594)))),"Ambiguous",IF(ISNUMBER(SEARCH("平",D594)),"平","仄")))</x:f>
        <x:v>仄</x:v>
      </x:c>
      <x:c r="L594" s="7" t="str"/>
    </x:row>
    <x:row r="595">
      <x:c r="A595" s="5" t="str">
        <x:v>哆</x:v>
      </x:c>
      <x:c r="B595" s="6" t="str">
        <x:v>上</x:v>
      </x:c>
      <x:c r="C595" s="6" t="str">
        <x:f>IF(B595="","Needs decision","Ready")</x:f>
        <x:v>Ready</x:v>
      </x:c>
      <x:c r="D595" s="6" t="str">
        <x:v>上</x:v>
      </x:c>
      <x:c r="E595" s="6" t="str">
        <x:v>tsyhaeX (B); tsyheX (B)</x:v>
      </x:c>
      <x:c r="F595" s="6" t="str">
        <x:v>下平聲六麻; 上聲四紙; 上聲二十哿; 上聲二十一馬; 去聲四寘</x:v>
      </x:c>
      <x:c r="G595" s="6" t="str">
        <x:v>Pingshui main list, Wikisource-derived DOCX</x:v>
      </x:c>
      <x:c r="H595" s="6" t="str">
        <x:v>2</x:v>
      </x:c>
      <x:c r="I595" s="6" t="str"/>
      <x:c r="J595" s="6" t="str">
        <x:f>IF(B595="","",IF(AND(ISNUMBER(SEARCH("平",B595)),OR(ISNUMBER(SEARCH("上",B595)),ISNUMBER(SEARCH("去",B595)),ISNUMBER(SEARCH("入",B595)))),"Ambiguous",IF(ISNUMBER(SEARCH("平",B595)),"平","仄")))</x:f>
        <x:v>仄</x:v>
      </x:c>
      <x:c r="K595" s="6" t="str">
        <x:f>IF(D595="","",IF(AND(ISNUMBER(SEARCH("平",D595)),OR(ISNUMBER(SEARCH("上",D595)),ISNUMBER(SEARCH("去",D595)),ISNUMBER(SEARCH("入",D595)))),"Ambiguous",IF(ISNUMBER(SEARCH("平",D595)),"平","仄")))</x:f>
        <x:v>仄</x:v>
      </x:c>
      <x:c r="L595" s="7" t="str"/>
    </x:row>
    <x:row r="596">
      <x:c r="A596" s="5" t="str">
        <x:v>哉</x:v>
      </x:c>
      <x:c r="B596" s="6" t="str">
        <x:v>平</x:v>
      </x:c>
      <x:c r="C596" s="6" t="str">
        <x:f>IF(B596="","Needs decision","Ready")</x:f>
        <x:v>Ready</x:v>
      </x:c>
      <x:c r="D596" s="6" t="str">
        <x:v>平</x:v>
      </x:c>
      <x:c r="E596" s="6" t="str">
        <x:v>tsoj (A)</x:v>
      </x:c>
      <x:c r="F596" s="6" t="str">
        <x:v>上平聲十灰</x:v>
      </x:c>
      <x:c r="G596" s="6" t="str">
        <x:v>Pingshui main list, Wikisource-derived DOCX</x:v>
      </x:c>
      <x:c r="H596" s="6" t="str">
        <x:v>1</x:v>
      </x:c>
      <x:c r="I596" s="6" t="str"/>
      <x:c r="J596" s="6" t="str">
        <x:f>IF(B596="","",IF(AND(ISNUMBER(SEARCH("平",B596)),OR(ISNUMBER(SEARCH("上",B596)),ISNUMBER(SEARCH("去",B596)),ISNUMBER(SEARCH("入",B596)))),"Ambiguous",IF(ISNUMBER(SEARCH("平",B596)),"平","仄")))</x:f>
        <x:v>平</x:v>
      </x:c>
      <x:c r="K596" s="6" t="str">
        <x:f>IF(D596="","",IF(AND(ISNUMBER(SEARCH("平",D596)),OR(ISNUMBER(SEARCH("上",D596)),ISNUMBER(SEARCH("去",D596)),ISNUMBER(SEARCH("入",D596)))),"Ambiguous",IF(ISNUMBER(SEARCH("平",D596)),"平","仄")))</x:f>
        <x:v>平</x:v>
      </x:c>
      <x:c r="L596" s="7" t="str"/>
    </x:row>
    <x:row r="597">
      <x:c r="A597" s="5" t="str">
        <x:v>員</x:v>
      </x:c>
      <x:c r="B597" s="6" t="str">
        <x:v>平</x:v>
      </x:c>
      <x:c r="C597" s="6" t="str">
        <x:f>IF(B597="","Needs decision","Ready")</x:f>
        <x:v>Ready</x:v>
      </x:c>
      <x:c r="D597" s="6" t="str">
        <x:v>平</x:v>
      </x:c>
      <x:c r="E597" s="6" t="str">
        <x:v>hjwen (A); hjun (A)</x:v>
      </x:c>
      <x:c r="F597" s="6" t="str">
        <x:v>上平聲十二文; 下平聲一先; 去聲十三問</x:v>
      </x:c>
      <x:c r="G597" s="6" t="str">
        <x:v>Pingshui main list, Wikisource-derived DOCX</x:v>
      </x:c>
      <x:c r="H597" s="6" t="str">
        <x:v>2</x:v>
      </x:c>
      <x:c r="I597" s="6" t="str"/>
      <x:c r="J597" s="6" t="str">
        <x:f>IF(B597="","",IF(AND(ISNUMBER(SEARCH("平",B597)),OR(ISNUMBER(SEARCH("上",B597)),ISNUMBER(SEARCH("去",B597)),ISNUMBER(SEARCH("入",B597)))),"Ambiguous",IF(ISNUMBER(SEARCH("平",B597)),"平","仄")))</x:f>
        <x:v>平</x:v>
      </x:c>
      <x:c r="K597" s="6" t="str">
        <x:f>IF(D597="","",IF(AND(ISNUMBER(SEARCH("平",D597)),OR(ISNUMBER(SEARCH("上",D597)),ISNUMBER(SEARCH("去",D597)),ISNUMBER(SEARCH("入",D597)))),"Ambiguous",IF(ISNUMBER(SEARCH("平",D597)),"平","仄")))</x:f>
        <x:v>平</x:v>
      </x:c>
      <x:c r="L597" s="7" t="str"/>
    </x:row>
    <x:row r="598">
      <x:c r="A598" s="5" t="str">
        <x:v>哤</x:v>
      </x:c>
      <x:c r="B598" s="6" t="str">
        <x:v>平</x:v>
      </x:c>
      <x:c r="C598" s="6" t="str">
        <x:f>IF(B598="","Needs decision","Ready")</x:f>
        <x:v>Ready</x:v>
      </x:c>
      <x:c r="D598" s="6" t="str">
        <x:v>平</x:v>
      </x:c>
      <x:c r="E598" s="6" t="str">
        <x:v>maewng (A)</x:v>
      </x:c>
      <x:c r="F598" s="6" t="str">
        <x:v>上平聲三江</x:v>
      </x:c>
      <x:c r="G598" s="6" t="str">
        <x:v>Pingshui main list, Wikisource-derived DOCX</x:v>
      </x:c>
      <x:c r="H598" s="6" t="str">
        <x:v>1</x:v>
      </x:c>
      <x:c r="I598" s="6" t="str"/>
      <x:c r="J598" s="6" t="str">
        <x:f>IF(B598="","",IF(AND(ISNUMBER(SEARCH("平",B598)),OR(ISNUMBER(SEARCH("上",B598)),ISNUMBER(SEARCH("去",B598)),ISNUMBER(SEARCH("入",B598)))),"Ambiguous",IF(ISNUMBER(SEARCH("平",B598)),"平","仄")))</x:f>
        <x:v>平</x:v>
      </x:c>
      <x:c r="K598" s="6" t="str">
        <x:f>IF(D598="","",IF(AND(ISNUMBER(SEARCH("平",D598)),OR(ISNUMBER(SEARCH("上",D598)),ISNUMBER(SEARCH("去",D598)),ISNUMBER(SEARCH("入",D598)))),"Ambiguous",IF(ISNUMBER(SEARCH("平",D598)),"平","仄")))</x:f>
        <x:v>平</x:v>
      </x:c>
      <x:c r="L598" s="7" t="str"/>
    </x:row>
    <x:row r="599">
      <x:c r="A599" s="5" t="str">
        <x:v>哥</x:v>
      </x:c>
      <x:c r="B599" s="6" t="str">
        <x:v>平</x:v>
      </x:c>
      <x:c r="C599" s="6" t="str">
        <x:f>IF(B599="","Needs decision","Ready")</x:f>
        <x:v>Ready</x:v>
      </x:c>
      <x:c r="D599" s="6" t="str">
        <x:v>平</x:v>
      </x:c>
      <x:c r="E599" s="6" t="str">
        <x:v>ka [qɑ] (平)</x:v>
      </x:c>
      <x:c r="F599" s="6" t="str">
        <x:v>下平聲五歌</x:v>
      </x:c>
      <x:c r="G599" s="6" t="str">
        <x:v>Pingshui main list, Wikisource-derived DOCX</x:v>
      </x:c>
      <x:c r="H599" s="6" t="str">
        <x:v>1</x:v>
      </x:c>
      <x:c r="I599" s="6" t="str">
        <x:v>Tang 300 gap; frequency 1; provisional from Xun Gong</x:v>
      </x:c>
      <x:c r="J599" s="6" t="str">
        <x:f>IF(B599="","",IF(AND(ISNUMBER(SEARCH("平",B599)),OR(ISNUMBER(SEARCH("上",B599)),ISNUMBER(SEARCH("去",B599)),ISNUMBER(SEARCH("入",B599)))),"Ambiguous",IF(ISNUMBER(SEARCH("平",B599)),"平","仄")))</x:f>
        <x:v>平</x:v>
      </x:c>
      <x:c r="K599" s="6" t="str">
        <x:f>IF(D599="","",IF(AND(ISNUMBER(SEARCH("平",D599)),OR(ISNUMBER(SEARCH("上",D599)),ISNUMBER(SEARCH("去",D599)),ISNUMBER(SEARCH("入",D599)))),"Ambiguous",IF(ISNUMBER(SEARCH("平",D599)),"平","仄")))</x:f>
        <x:v>平</x:v>
      </x:c>
      <x:c r="L599" s="7" t="str">
        <x:v>Xun Gong, Tang 300 gap fill</x:v>
      </x:c>
    </x:row>
    <x:row r="600">
      <x:c r="A600" s="5" t="str">
        <x:v>哦</x:v>
      </x:c>
      <x:c r="B600" s="6" t="str">
        <x:v>平</x:v>
      </x:c>
      <x:c r="C600" s="6" t="str">
        <x:f>IF(B600="","Needs decision","Ready")</x:f>
        <x:v>Ready</x:v>
      </x:c>
      <x:c r="D600" s="6" t="str">
        <x:v>平</x:v>
      </x:c>
      <x:c r="E600" s="6" t="str">
        <x:v>nga [ɴɑ] (平)</x:v>
      </x:c>
      <x:c r="F600" s="6" t="str">
        <x:v>下平聲五歌</x:v>
      </x:c>
      <x:c r="G600" s="6" t="str">
        <x:v>Pingshui main list, Wikisource-derived DOCX</x:v>
      </x:c>
      <x:c r="H600" s="6" t="str">
        <x:v>1</x:v>
      </x:c>
      <x:c r="I600" s="6" t="str">
        <x:v>Tang 300 gap; frequency 1; provisional from Xun Gong</x:v>
      </x:c>
      <x:c r="J600" s="6" t="str">
        <x:f>IF(B600="","",IF(AND(ISNUMBER(SEARCH("平",B600)),OR(ISNUMBER(SEARCH("上",B600)),ISNUMBER(SEARCH("去",B600)),ISNUMBER(SEARCH("入",B600)))),"Ambiguous",IF(ISNUMBER(SEARCH("平",B600)),"平","仄")))</x:f>
        <x:v>平</x:v>
      </x:c>
      <x:c r="K600" s="6" t="str">
        <x:f>IF(D600="","",IF(AND(ISNUMBER(SEARCH("平",D600)),OR(ISNUMBER(SEARCH("上",D600)),ISNUMBER(SEARCH("去",D600)),ISNUMBER(SEARCH("入",D600)))),"Ambiguous",IF(ISNUMBER(SEARCH("平",D600)),"平","仄")))</x:f>
        <x:v>平</x:v>
      </x:c>
      <x:c r="L600" s="7" t="str">
        <x:v>Xun Gong, Tang 300 gap fill</x:v>
      </x:c>
    </x:row>
    <x:row r="601">
      <x:c r="A601" s="5" t="str">
        <x:v>哭</x:v>
      </x:c>
      <x:c r="B601" s="6" t="str">
        <x:v>入</x:v>
      </x:c>
      <x:c r="C601" s="6" t="str">
        <x:f>IF(B601="","Needs decision","Ready")</x:f>
        <x:v>Ready</x:v>
      </x:c>
      <x:c r="D601" s="6" t="str">
        <x:v>入</x:v>
      </x:c>
      <x:c r="E601" s="6" t="str">
        <x:v>khuwk (D)</x:v>
      </x:c>
      <x:c r="F601" s="6" t="str">
        <x:v>入聲一屋</x:v>
      </x:c>
      <x:c r="G601" s="6" t="str">
        <x:v>Pingshui main list, Wikisource-derived DOCX</x:v>
      </x:c>
      <x:c r="H601" s="6" t="str">
        <x:v>1</x:v>
      </x:c>
      <x:c r="I601" s="6" t="str"/>
      <x:c r="J601" s="6" t="str">
        <x:f>IF(B601="","",IF(AND(ISNUMBER(SEARCH("平",B601)),OR(ISNUMBER(SEARCH("上",B601)),ISNUMBER(SEARCH("去",B601)),ISNUMBER(SEARCH("入",B601)))),"Ambiguous",IF(ISNUMBER(SEARCH("平",B601)),"平","仄")))</x:f>
        <x:v>仄</x:v>
      </x:c>
      <x:c r="K601" s="6" t="str">
        <x:f>IF(D601="","",IF(AND(ISNUMBER(SEARCH("平",D601)),OR(ISNUMBER(SEARCH("上",D601)),ISNUMBER(SEARCH("去",D601)),ISNUMBER(SEARCH("入",D601)))),"Ambiguous",IF(ISNUMBER(SEARCH("平",D601)),"平","仄")))</x:f>
        <x:v>仄</x:v>
      </x:c>
      <x:c r="L601" s="7" t="str"/>
    </x:row>
    <x:row r="602">
      <x:c r="A602" s="5" t="str">
        <x:v>哮</x:v>
      </x:c>
      <x:c r="B602" s="6" t="str"/>
      <x:c r="C602" s="6" t="str">
        <x:f>IF(B602="","Needs decision","Ready")</x:f>
        <x:v>Needs decision</x:v>
      </x:c>
      <x:c r="D602" s="6" t="str">
        <x:v>平/去</x:v>
      </x:c>
      <x:c r="E602" s="6" t="str">
        <x:v>xaewH [曉開二肴去] χaˤwh; xaew [曉開二肴平] χaˤw</x:v>
      </x:c>
      <x:c r="F602" s="6" t="str">
        <x:v>下平聲三肴</x:v>
      </x:c>
      <x:c r="G602" s="6" t="str">
        <x:v>Pingshui main list, Wikisource-derived DOCX</x:v>
      </x:c>
      <x:c r="H602" s="6" t="str">
        <x:v>2</x:v>
      </x:c>
      <x:c r="I602" s="6" t="str">
        <x:v>Targeted preliminary fill from Xun Gong; review if uncertain</x:v>
      </x:c>
      <x:c r="J602" s="6" t="str">
        <x:f>IF(B602="","",IF(AND(ISNUMBER(SEARCH("平",B602)),OR(ISNUMBER(SEARCH("上",B602)),ISNUMBER(SEARCH("去",B602)),ISNUMBER(SEARCH("入",B602)))),"Ambiguous",IF(ISNUMBER(SEARCH("平",B602)),"平","仄")))</x:f>
      </x:c>
      <x:c r="K602" s="6" t="str">
        <x:f>IF(D602="","",IF(AND(ISNUMBER(SEARCH("平",D602)),OR(ISNUMBER(SEARCH("上",D602)),ISNUMBER(SEARCH("去",D602)),ISNUMBER(SEARCH("入",D602)))),"Ambiguous",IF(ISNUMBER(SEARCH("平",D602)),"平","仄")))</x:f>
        <x:v>Ambiguous</x:v>
      </x:c>
      <x:c r="L602" s="7" t="str">
        <x:v>Xun Gong character-readings.csv</x:v>
      </x:c>
    </x:row>
    <x:row r="603">
      <x:c r="A603" s="5" t="str">
        <x:v>哲</x:v>
      </x:c>
      <x:c r="B603" s="6" t="str">
        <x:v>入</x:v>
      </x:c>
      <x:c r="C603" s="6" t="str">
        <x:f>IF(B603="","Needs decision","Ready")</x:f>
        <x:v>Ready</x:v>
      </x:c>
      <x:c r="D603" s="6" t="str">
        <x:v>入</x:v>
      </x:c>
      <x:c r="E603" s="6" t="str">
        <x:v>trjet (D)</x:v>
      </x:c>
      <x:c r="F603" s="6" t="str">
        <x:v>入聲九屑</x:v>
      </x:c>
      <x:c r="G603" s="6" t="str">
        <x:v>Pingshui main list, Wikisource-derived DOCX</x:v>
      </x:c>
      <x:c r="H603" s="6" t="str">
        <x:v>1</x:v>
      </x:c>
      <x:c r="I603" s="6" t="str"/>
      <x:c r="J603" s="6" t="str">
        <x:f>IF(B603="","",IF(AND(ISNUMBER(SEARCH("平",B603)),OR(ISNUMBER(SEARCH("上",B603)),ISNUMBER(SEARCH("去",B603)),ISNUMBER(SEARCH("入",B603)))),"Ambiguous",IF(ISNUMBER(SEARCH("平",B603)),"平","仄")))</x:f>
        <x:v>仄</x:v>
      </x:c>
      <x:c r="K603" s="6" t="str">
        <x:f>IF(D603="","",IF(AND(ISNUMBER(SEARCH("平",D603)),OR(ISNUMBER(SEARCH("上",D603)),ISNUMBER(SEARCH("去",D603)),ISNUMBER(SEARCH("入",D603)))),"Ambiguous",IF(ISNUMBER(SEARCH("平",D603)),"平","仄")))</x:f>
        <x:v>仄</x:v>
      </x:c>
      <x:c r="L603" s="7" t="str"/>
    </x:row>
    <x:row r="604">
      <x:c r="A604" s="5" t="str">
        <x:v>哳</x:v>
      </x:c>
      <x:c r="B604" s="6" t="str">
        <x:v>入</x:v>
      </x:c>
      <x:c r="C604" s="6" t="str">
        <x:f>IF(B604="","Needs decision","Ready")</x:f>
        <x:v>Ready</x:v>
      </x:c>
      <x:c r="D604" s="6" t="str">
        <x:v>入</x:v>
      </x:c>
      <x:c r="E604" s="6" t="str"/>
      <x:c r="F604" s="6" t="str"/>
      <x:c r="G604" s="6" t="str"/>
      <x:c r="H604" s="6" t="str"/>
      <x:c r="I604" s="6" t="str">
        <x:v>Manual user correction/addition</x:v>
      </x:c>
      <x:c r="J604" s="6" t="str">
        <x:f>IF(B604="","",IF(AND(ISNUMBER(SEARCH("平",B604)),OR(ISNUMBER(SEARCH("上",B604)),ISNUMBER(SEARCH("去",B604)),ISNUMBER(SEARCH("入",B604)))),"Ambiguous",IF(ISNUMBER(SEARCH("平",B604)),"平","仄")))</x:f>
        <x:v>仄</x:v>
      </x:c>
      <x:c r="K604" s="6" t="str">
        <x:f>IF(D604="","",IF(AND(ISNUMBER(SEARCH("平",D604)),OR(ISNUMBER(SEARCH("上",D604)),ISNUMBER(SEARCH("去",D604)),ISNUMBER(SEARCH("入",D604)))),"Ambiguous",IF(ISNUMBER(SEARCH("平",D604)),"平","仄")))</x:f>
        <x:v>仄</x:v>
      </x:c>
      <x:c r="L604" s="7" t="str">
        <x:v>manual user correction</x:v>
      </x:c>
    </x:row>
    <x:row r="605">
      <x:c r="A605" s="5" t="str">
        <x:v>哺</x:v>
      </x:c>
      <x:c r="B605" s="6" t="str">
        <x:v>去</x:v>
      </x:c>
      <x:c r="C605" s="6" t="str">
        <x:f>IF(B605="","Needs decision","Ready")</x:f>
        <x:v>Ready</x:v>
      </x:c>
      <x:c r="D605" s="6" t="str">
        <x:v>去</x:v>
      </x:c>
      <x:c r="E605" s="6" t="str">
        <x:v>buH (C)</x:v>
      </x:c>
      <x:c r="F605" s="6" t="str">
        <x:v>去聲七遇</x:v>
      </x:c>
      <x:c r="G605" s="6" t="str">
        <x:v>Pingshui main list, Wikisource-derived DOCX</x:v>
      </x:c>
      <x:c r="H605" s="6" t="str">
        <x:v>1</x:v>
      </x:c>
      <x:c r="I605" s="6" t="str"/>
      <x:c r="J605" s="6" t="str">
        <x:f>IF(B605="","",IF(AND(ISNUMBER(SEARCH("平",B605)),OR(ISNUMBER(SEARCH("上",B605)),ISNUMBER(SEARCH("去",B605)),ISNUMBER(SEARCH("入",B605)))),"Ambiguous",IF(ISNUMBER(SEARCH("平",B605)),"平","仄")))</x:f>
        <x:v>仄</x:v>
      </x:c>
      <x:c r="K605" s="6" t="str">
        <x:f>IF(D605="","",IF(AND(ISNUMBER(SEARCH("平",D605)),OR(ISNUMBER(SEARCH("上",D605)),ISNUMBER(SEARCH("去",D605)),ISNUMBER(SEARCH("入",D605)))),"Ambiguous",IF(ISNUMBER(SEARCH("平",D605)),"平","仄")))</x:f>
        <x:v>仄</x:v>
      </x:c>
      <x:c r="L605" s="7" t="str"/>
    </x:row>
    <x:row r="606">
      <x:c r="A606" s="5" t="str">
        <x:v>唅</x:v>
      </x:c>
      <x:c r="B606" s="6" t="str">
        <x:v>平</x:v>
      </x:c>
      <x:c r="C606" s="6" t="str">
        <x:f>IF(B606="","Needs decision","Ready")</x:f>
        <x:v>Ready</x:v>
      </x:c>
      <x:c r="D606" s="6" t="str">
        <x:v>平</x:v>
      </x:c>
      <x:c r="E606" s="6" t="str">
        <x:v>hom (A)</x:v>
      </x:c>
      <x:c r="F606" s="6" t="str">
        <x:v>下平聲十三覃</x:v>
      </x:c>
      <x:c r="G606" s="6" t="str">
        <x:v>Pingshui main list, Wikisource-derived DOCX</x:v>
      </x:c>
      <x:c r="H606" s="6" t="str">
        <x:v>1</x:v>
      </x:c>
      <x:c r="I606" s="6" t="str"/>
      <x:c r="J606" s="6" t="str">
        <x:f>IF(B606="","",IF(AND(ISNUMBER(SEARCH("平",B606)),OR(ISNUMBER(SEARCH("上",B606)),ISNUMBER(SEARCH("去",B606)),ISNUMBER(SEARCH("入",B606)))),"Ambiguous",IF(ISNUMBER(SEARCH("平",B606)),"平","仄")))</x:f>
        <x:v>平</x:v>
      </x:c>
      <x:c r="K606" s="6" t="str">
        <x:f>IF(D606="","",IF(AND(ISNUMBER(SEARCH("平",D606)),OR(ISNUMBER(SEARCH("上",D606)),ISNUMBER(SEARCH("去",D606)),ISNUMBER(SEARCH("入",D606)))),"Ambiguous",IF(ISNUMBER(SEARCH("平",D606)),"平","仄")))</x:f>
        <x:v>平</x:v>
      </x:c>
      <x:c r="L606" s="7" t="str"/>
    </x:row>
    <x:row r="607">
      <x:c r="A607" s="5" t="str">
        <x:v>唇</x:v>
      </x:c>
      <x:c r="B607" s="6" t="str">
        <x:v>平</x:v>
      </x:c>
      <x:c r="C607" s="6" t="str">
        <x:f>IF(B607="","Needs decision","Ready")</x:f>
        <x:v>Ready</x:v>
      </x:c>
      <x:c r="D607" s="6" t="str">
        <x:v>平</x:v>
      </x:c>
      <x:c r="E607" s="6" t="str">
        <x:v>tsyin [tɕin] (平)</x:v>
      </x:c>
      <x:c r="F607" s="6" t="str"/>
      <x:c r="G607" s="6" t="str"/>
      <x:c r="H607" s="6" t="str">
        <x:v>1</x:v>
      </x:c>
      <x:c r="I607" s="6" t="str">
        <x:v>Tang 300 gap; frequency 2; provisional from Xun Gong</x:v>
      </x:c>
      <x:c r="J607" s="6" t="str">
        <x:f>IF(B607="","",IF(AND(ISNUMBER(SEARCH("平",B607)),OR(ISNUMBER(SEARCH("上",B607)),ISNUMBER(SEARCH("去",B607)),ISNUMBER(SEARCH("入",B607)))),"Ambiguous",IF(ISNUMBER(SEARCH("平",B607)),"平","仄")))</x:f>
        <x:v>平</x:v>
      </x:c>
      <x:c r="K607" s="6" t="str">
        <x:f>IF(D607="","",IF(AND(ISNUMBER(SEARCH("平",D607)),OR(ISNUMBER(SEARCH("上",D607)),ISNUMBER(SEARCH("去",D607)),ISNUMBER(SEARCH("入",D607)))),"Ambiguous",IF(ISNUMBER(SEARCH("平",D607)),"平","仄")))</x:f>
        <x:v>平</x:v>
      </x:c>
      <x:c r="L607" s="7" t="str">
        <x:v>Xun Gong, Tang 300 gap fill</x:v>
      </x:c>
    </x:row>
    <x:row r="608">
      <x:c r="A608" s="5" t="str">
        <x:v>唈</x:v>
      </x:c>
      <x:c r="B608" s="6" t="str">
        <x:v>入</x:v>
      </x:c>
      <x:c r="C608" s="6" t="str">
        <x:f>IF(B608="","Needs decision","Ready")</x:f>
        <x:v>Ready</x:v>
      </x:c>
      <x:c r="D608" s="6" t="str">
        <x:v>入</x:v>
      </x:c>
      <x:c r="E608" s="6" t="str">
        <x:v>'op (D)</x:v>
      </x:c>
      <x:c r="F608" s="6" t="str">
        <x:v>入聲十四緝; 入聲十五合</x:v>
      </x:c>
      <x:c r="G608" s="6" t="str">
        <x:v>Pingshui main list, Wikisource-derived DOCX</x:v>
      </x:c>
      <x:c r="H608" s="6" t="str">
        <x:v>1</x:v>
      </x:c>
      <x:c r="I608" s="6" t="str"/>
      <x:c r="J608" s="6" t="str">
        <x:f>IF(B608="","",IF(AND(ISNUMBER(SEARCH("平",B608)),OR(ISNUMBER(SEARCH("上",B608)),ISNUMBER(SEARCH("去",B608)),ISNUMBER(SEARCH("入",B608)))),"Ambiguous",IF(ISNUMBER(SEARCH("平",B608)),"平","仄")))</x:f>
        <x:v>仄</x:v>
      </x:c>
      <x:c r="K608" s="6" t="str">
        <x:f>IF(D608="","",IF(AND(ISNUMBER(SEARCH("平",D608)),OR(ISNUMBER(SEARCH("上",D608)),ISNUMBER(SEARCH("去",D608)),ISNUMBER(SEARCH("入",D608)))),"Ambiguous",IF(ISNUMBER(SEARCH("平",D608)),"平","仄")))</x:f>
        <x:v>仄</x:v>
      </x:c>
      <x:c r="L608" s="7" t="str"/>
    </x:row>
    <x:row r="609">
      <x:c r="A609" s="5" t="str">
        <x:v>唐</x:v>
      </x:c>
      <x:c r="B609" s="6" t="str">
        <x:v>平</x:v>
      </x:c>
      <x:c r="C609" s="6" t="str">
        <x:f>IF(B609="","Needs decision","Ready")</x:f>
        <x:v>Ready</x:v>
      </x:c>
      <x:c r="D609" s="6" t="str">
        <x:v>平</x:v>
      </x:c>
      <x:c r="E609" s="6" t="str">
        <x:v>thang (A); dang (A)</x:v>
      </x:c>
      <x:c r="F609" s="6" t="str">
        <x:v>下平聲七陽</x:v>
      </x:c>
      <x:c r="G609" s="6" t="str">
        <x:v>Pingshui main list, Wikisource-derived DOCX</x:v>
      </x:c>
      <x:c r="H609" s="6" t="str">
        <x:v>2</x:v>
      </x:c>
      <x:c r="I609" s="6" t="str"/>
      <x:c r="J609" s="6" t="str">
        <x:f>IF(B609="","",IF(AND(ISNUMBER(SEARCH("平",B609)),OR(ISNUMBER(SEARCH("上",B609)),ISNUMBER(SEARCH("去",B609)),ISNUMBER(SEARCH("入",B609)))),"Ambiguous",IF(ISNUMBER(SEARCH("平",B609)),"平","仄")))</x:f>
        <x:v>平</x:v>
      </x:c>
      <x:c r="K609" s="6" t="str">
        <x:f>IF(D609="","",IF(AND(ISNUMBER(SEARCH("平",D609)),OR(ISNUMBER(SEARCH("上",D609)),ISNUMBER(SEARCH("去",D609)),ISNUMBER(SEARCH("入",D609)))),"Ambiguous",IF(ISNUMBER(SEARCH("平",D609)),"平","仄")))</x:f>
        <x:v>平</x:v>
      </x:c>
      <x:c r="L609" s="7" t="str"/>
    </x:row>
    <x:row r="610">
      <x:c r="A610" s="5" t="str">
        <x:v>唧</x:v>
      </x:c>
      <x:c r="B610" s="6" t="str">
        <x:v>入</x:v>
      </x:c>
      <x:c r="C610" s="6" t="str">
        <x:f>IF(B610="","Needs decision","Ready")</x:f>
        <x:v>Ready</x:v>
      </x:c>
      <x:c r="D610" s="6" t="str">
        <x:v>入</x:v>
      </x:c>
      <x:c r="E610" s="6" t="str">
        <x:v>tsik [tsjɨk] (入); tsit [tsit] (入)</x:v>
      </x:c>
      <x:c r="F610" s="6" t="str">
        <x:v>入聲四質; 入聲十三職</x:v>
      </x:c>
      <x:c r="G610" s="6" t="str">
        <x:v>Pingshui main list, Wikisource-derived DOCX</x:v>
      </x:c>
      <x:c r="H610" s="6" t="str">
        <x:v>2</x:v>
      </x:c>
      <x:c r="I610" s="6" t="str">
        <x:v>Tang 300 gap; frequency 2; provisional from Xun Gong</x:v>
      </x:c>
      <x:c r="J610" s="6" t="str">
        <x:f>IF(B610="","",IF(AND(ISNUMBER(SEARCH("平",B610)),OR(ISNUMBER(SEARCH("上",B610)),ISNUMBER(SEARCH("去",B610)),ISNUMBER(SEARCH("入",B610)))),"Ambiguous",IF(ISNUMBER(SEARCH("平",B610)),"平","仄")))</x:f>
        <x:v>仄</x:v>
      </x:c>
      <x:c r="K610" s="6" t="str">
        <x:f>IF(D610="","",IF(AND(ISNUMBER(SEARCH("平",D610)),OR(ISNUMBER(SEARCH("上",D610)),ISNUMBER(SEARCH("去",D610)),ISNUMBER(SEARCH("入",D610)))),"Ambiguous",IF(ISNUMBER(SEARCH("平",D610)),"平","仄")))</x:f>
        <x:v>仄</x:v>
      </x:c>
      <x:c r="L610" s="7" t="str">
        <x:v>Xun Gong, Tang 300 gap fill</x:v>
      </x:c>
    </x:row>
    <x:row r="611">
      <x:c r="A611" s="5" t="str">
        <x:v>唯</x:v>
      </x:c>
      <x:c r="B611" s="6" t="str">
        <x:v>平</x:v>
      </x:c>
      <x:c r="C611" s="6" t="str">
        <x:f>IF(B611="","Needs decision","Ready")</x:f>
        <x:v>Ready</x:v>
      </x:c>
      <x:c r="D611" s="6" t="str">
        <x:v>平</x:v>
      </x:c>
      <x:c r="E611" s="6" t="str">
        <x:v>ywij (A)</x:v>
      </x:c>
      <x:c r="F611" s="6" t="str">
        <x:v>上聲四紙</x:v>
      </x:c>
      <x:c r="G611" s="6" t="str">
        <x:v>Pingshui main list, Wikisource-derived DOCX</x:v>
      </x:c>
      <x:c r="H611" s="6" t="str">
        <x:v>1</x:v>
      </x:c>
      <x:c r="I611" s="6" t="str"/>
      <x:c r="J611" s="6" t="str">
        <x:f>IF(B611="","",IF(AND(ISNUMBER(SEARCH("平",B611)),OR(ISNUMBER(SEARCH("上",B611)),ISNUMBER(SEARCH("去",B611)),ISNUMBER(SEARCH("入",B611)))),"Ambiguous",IF(ISNUMBER(SEARCH("平",B611)),"平","仄")))</x:f>
        <x:v>平</x:v>
      </x:c>
      <x:c r="K611" s="6" t="str">
        <x:f>IF(D611="","",IF(AND(ISNUMBER(SEARCH("平",D611)),OR(ISNUMBER(SEARCH("上",D611)),ISNUMBER(SEARCH("去",D611)),ISNUMBER(SEARCH("入",D611)))),"Ambiguous",IF(ISNUMBER(SEARCH("平",D611)),"平","仄")))</x:f>
        <x:v>平</x:v>
      </x:c>
      <x:c r="L611" s="7" t="str"/>
    </x:row>
    <x:row r="612">
      <x:c r="A612" s="5" t="str">
        <x:v>唱</x:v>
      </x:c>
      <x:c r="B612" s="6" t="str">
        <x:v>去</x:v>
      </x:c>
      <x:c r="C612" s="6" t="str">
        <x:f>IF(B612="","Needs decision","Ready")</x:f>
        <x:v>Ready</x:v>
      </x:c>
      <x:c r="D612" s="6" t="str">
        <x:v>去</x:v>
      </x:c>
      <x:c r="E612" s="6" t="str">
        <x:v>tsyhangH (C)</x:v>
      </x:c>
      <x:c r="F612" s="6" t="str">
        <x:v>去聲二十三漾</x:v>
      </x:c>
      <x:c r="G612" s="6" t="str">
        <x:v>Pingshui main list, Wikisource-derived DOCX</x:v>
      </x:c>
      <x:c r="H612" s="6" t="str">
        <x:v>1</x:v>
      </x:c>
      <x:c r="I612" s="6" t="str"/>
      <x:c r="J612" s="6" t="str">
        <x:f>IF(B612="","",IF(AND(ISNUMBER(SEARCH("平",B612)),OR(ISNUMBER(SEARCH("上",B612)),ISNUMBER(SEARCH("去",B612)),ISNUMBER(SEARCH("入",B612)))),"Ambiguous",IF(ISNUMBER(SEARCH("平",B612)),"平","仄")))</x:f>
        <x:v>仄</x:v>
      </x:c>
      <x:c r="K612" s="6" t="str">
        <x:f>IF(D612="","",IF(AND(ISNUMBER(SEARCH("平",D612)),OR(ISNUMBER(SEARCH("上",D612)),ISNUMBER(SEARCH("去",D612)),ISNUMBER(SEARCH("入",D612)))),"Ambiguous",IF(ISNUMBER(SEARCH("平",D612)),"平","仄")))</x:f>
        <x:v>仄</x:v>
      </x:c>
      <x:c r="L612" s="7" t="str"/>
    </x:row>
    <x:row r="613">
      <x:c r="A613" s="5" t="str">
        <x:v>唳</x:v>
      </x:c>
      <x:c r="B613" s="6" t="str"/>
      <x:c r="C613" s="6" t="str">
        <x:f>IF(B613="","Needs decision","Ready")</x:f>
        <x:v>Needs decision</x:v>
      </x:c>
      <x:c r="D613" s="6" t="str">
        <x:v>去/入</x:v>
      </x:c>
      <x:c r="E613" s="6" t="str">
        <x:v>lejH [l̙ejh] (去); let [l̙et] (入)</x:v>
      </x:c>
      <x:c r="F613" s="6" t="str">
        <x:v>去聲八霽</x:v>
      </x:c>
      <x:c r="G613" s="6" t="str">
        <x:v>Pingshui main list, Wikisource-derived DOCX</x:v>
      </x:c>
      <x:c r="H613" s="6" t="str">
        <x:v>2</x:v>
      </x:c>
      <x:c r="I613" s="6" t="str">
        <x:v>Tang 300 gap; frequency 1; ambiguous in Xun Gong</x:v>
      </x:c>
      <x:c r="J613" s="6" t="str">
        <x:f>IF(B613="","",IF(AND(ISNUMBER(SEARCH("平",B613)),OR(ISNUMBER(SEARCH("上",B613)),ISNUMBER(SEARCH("去",B613)),ISNUMBER(SEARCH("入",B613)))),"Ambiguous",IF(ISNUMBER(SEARCH("平",B613)),"平","仄")))</x:f>
      </x:c>
      <x:c r="K613" s="6" t="str">
        <x:f>IF(D613="","",IF(AND(ISNUMBER(SEARCH("平",D613)),OR(ISNUMBER(SEARCH("上",D613)),ISNUMBER(SEARCH("去",D613)),ISNUMBER(SEARCH("入",D613)))),"Ambiguous",IF(ISNUMBER(SEARCH("平",D613)),"平","仄")))</x:f>
        <x:v>仄</x:v>
      </x:c>
      <x:c r="L613" s="7" t="str">
        <x:v>Xun Gong, Tang 300 gap fill</x:v>
      </x:c>
    </x:row>
    <x:row r="614">
      <x:c r="A614" s="5" t="str">
        <x:v>啁</x:v>
      </x:c>
      <x:c r="B614" s="6" t="str">
        <x:v>平</x:v>
      </x:c>
      <x:c r="C614" s="6" t="str">
        <x:f>IF(B614="","Needs decision","Ready")</x:f>
        <x:v>Ready</x:v>
      </x:c>
      <x:c r="D614" s="6" t="str">
        <x:v>平</x:v>
      </x:c>
      <x:c r="E614" s="6" t="str">
        <x:v>traew (A)</x:v>
      </x:c>
      <x:c r="F614" s="6" t="str">
        <x:v>下平聲三肴; 下平聲十一尤</x:v>
      </x:c>
      <x:c r="G614" s="6" t="str">
        <x:v>Pingshui main list, Wikisource-derived DOCX</x:v>
      </x:c>
      <x:c r="H614" s="6" t="str">
        <x:v>1</x:v>
      </x:c>
      <x:c r="I614" s="6" t="str"/>
      <x:c r="J614" s="6" t="str">
        <x:f>IF(B614="","",IF(AND(ISNUMBER(SEARCH("平",B614)),OR(ISNUMBER(SEARCH("上",B614)),ISNUMBER(SEARCH("去",B614)),ISNUMBER(SEARCH("入",B614)))),"Ambiguous",IF(ISNUMBER(SEARCH("平",B614)),"平","仄")))</x:f>
        <x:v>平</x:v>
      </x:c>
      <x:c r="K614" s="6" t="str">
        <x:f>IF(D614="","",IF(AND(ISNUMBER(SEARCH("平",D614)),OR(ISNUMBER(SEARCH("上",D614)),ISNUMBER(SEARCH("去",D614)),ISNUMBER(SEARCH("入",D614)))),"Ambiguous",IF(ISNUMBER(SEARCH("平",D614)),"平","仄")))</x:f>
        <x:v>平</x:v>
      </x:c>
      <x:c r="L614" s="7" t="str"/>
    </x:row>
    <x:row r="615">
      <x:c r="A615" s="5" t="str">
        <x:v>啄</x:v>
      </x:c>
      <x:c r="B615" s="6" t="str">
        <x:v>入</x:v>
      </x:c>
      <x:c r="C615" s="6" t="str">
        <x:f>IF(B615="","Needs decision","Ready")</x:f>
        <x:v>Ready</x:v>
      </x:c>
      <x:c r="D615" s="6" t="str">
        <x:v>入</x:v>
      </x:c>
      <x:c r="E615" s="6" t="str">
        <x:v>traewk (D)</x:v>
      </x:c>
      <x:c r="F615" s="6" t="str">
        <x:v>入聲一屋</x:v>
      </x:c>
      <x:c r="G615" s="6" t="str">
        <x:v>Pingshui main list, Wikisource-derived DOCX</x:v>
      </x:c>
      <x:c r="H615" s="6" t="str">
        <x:v>1</x:v>
      </x:c>
      <x:c r="I615" s="6" t="str"/>
      <x:c r="J615" s="6" t="str">
        <x:f>IF(B615="","",IF(AND(ISNUMBER(SEARCH("平",B615)),OR(ISNUMBER(SEARCH("上",B615)),ISNUMBER(SEARCH("去",B615)),ISNUMBER(SEARCH("入",B615)))),"Ambiguous",IF(ISNUMBER(SEARCH("平",B615)),"平","仄")))</x:f>
        <x:v>仄</x:v>
      </x:c>
      <x:c r="K615" s="6" t="str">
        <x:f>IF(D615="","",IF(AND(ISNUMBER(SEARCH("平",D615)),OR(ISNUMBER(SEARCH("上",D615)),ISNUMBER(SEARCH("去",D615)),ISNUMBER(SEARCH("入",D615)))),"Ambiguous",IF(ISNUMBER(SEARCH("平",D615)),"平","仄")))</x:f>
        <x:v>仄</x:v>
      </x:c>
      <x:c r="L615" s="7" t="str"/>
    </x:row>
    <x:row r="616">
      <x:c r="A616" s="5" t="str">
        <x:v>商</x:v>
      </x:c>
      <x:c r="B616" s="6" t="str">
        <x:v>平</x:v>
      </x:c>
      <x:c r="C616" s="6" t="str">
        <x:f>IF(B616="","Needs decision","Ready")</x:f>
        <x:v>Ready</x:v>
      </x:c>
      <x:c r="D616" s="6" t="str">
        <x:v>平</x:v>
      </x:c>
      <x:c r="E616" s="6" t="str">
        <x:v>syang (A)</x:v>
      </x:c>
      <x:c r="F616" s="6" t="str">
        <x:v>下平聲七陽</x:v>
      </x:c>
      <x:c r="G616" s="6" t="str">
        <x:v>Pingshui main list, Wikisource-derived DOCX</x:v>
      </x:c>
      <x:c r="H616" s="6" t="str">
        <x:v>1</x:v>
      </x:c>
      <x:c r="I616" s="6" t="str"/>
      <x:c r="J616" s="6" t="str">
        <x:f>IF(B616="","",IF(AND(ISNUMBER(SEARCH("平",B616)),OR(ISNUMBER(SEARCH("上",B616)),ISNUMBER(SEARCH("去",B616)),ISNUMBER(SEARCH("入",B616)))),"Ambiguous",IF(ISNUMBER(SEARCH("平",B616)),"平","仄")))</x:f>
        <x:v>平</x:v>
      </x:c>
      <x:c r="K616" s="6" t="str">
        <x:f>IF(D616="","",IF(AND(ISNUMBER(SEARCH("平",D616)),OR(ISNUMBER(SEARCH("上",D616)),ISNUMBER(SEARCH("去",D616)),ISNUMBER(SEARCH("入",D616)))),"Ambiguous",IF(ISNUMBER(SEARCH("平",D616)),"平","仄")))</x:f>
        <x:v>平</x:v>
      </x:c>
      <x:c r="L616" s="7" t="str"/>
    </x:row>
    <x:row r="617">
      <x:c r="A617" s="5" t="str">
        <x:v>啎</x:v>
      </x:c>
      <x:c r="B617" s="6" t="str">
        <x:v>去</x:v>
      </x:c>
      <x:c r="C617" s="6" t="str">
        <x:f>IF(B617="","Needs decision","Ready")</x:f>
        <x:v>Ready</x:v>
      </x:c>
      <x:c r="D617" s="6" t="str">
        <x:v>去</x:v>
      </x:c>
      <x:c r="E617" s="6" t="str">
        <x:v>nguH (C)</x:v>
      </x:c>
      <x:c r="F617" s="6" t="str"/>
      <x:c r="G617" s="6" t="str"/>
      <x:c r="H617" s="6" t="str">
        <x:v>1</x:v>
      </x:c>
      <x:c r="I617" s="6" t="str"/>
      <x:c r="J617" s="6" t="str">
        <x:f>IF(B617="","",IF(AND(ISNUMBER(SEARCH("平",B617)),OR(ISNUMBER(SEARCH("上",B617)),ISNUMBER(SEARCH("去",B617)),ISNUMBER(SEARCH("入",B617)))),"Ambiguous",IF(ISNUMBER(SEARCH("平",B617)),"平","仄")))</x:f>
        <x:v>仄</x:v>
      </x:c>
      <x:c r="K617" s="6" t="str">
        <x:f>IF(D617="","",IF(AND(ISNUMBER(SEARCH("平",D617)),OR(ISNUMBER(SEARCH("上",D617)),ISNUMBER(SEARCH("去",D617)),ISNUMBER(SEARCH("入",D617)))),"Ambiguous",IF(ISNUMBER(SEARCH("平",D617)),"平","仄")))</x:f>
        <x:v>仄</x:v>
      </x:c>
      <x:c r="L617" s="7" t="str"/>
    </x:row>
    <x:row r="618">
      <x:c r="A618" s="5" t="str">
        <x:v>問</x:v>
      </x:c>
      <x:c r="B618" s="6" t="str">
        <x:v>去</x:v>
      </x:c>
      <x:c r="C618" s="6" t="str">
        <x:f>IF(B618="","Needs decision","Ready")</x:f>
        <x:v>Ready</x:v>
      </x:c>
      <x:c r="D618" s="6" t="str">
        <x:v>去</x:v>
      </x:c>
      <x:c r="E618" s="6" t="str">
        <x:v>mjunH (C)</x:v>
      </x:c>
      <x:c r="F618" s="6" t="str">
        <x:v>去聲十三問</x:v>
      </x:c>
      <x:c r="G618" s="6" t="str">
        <x:v>Pingshui main list, Wikisource-derived DOCX</x:v>
      </x:c>
      <x:c r="H618" s="6" t="str">
        <x:v>1</x:v>
      </x:c>
      <x:c r="I618" s="6" t="str"/>
      <x:c r="J618" s="6" t="str">
        <x:f>IF(B618="","",IF(AND(ISNUMBER(SEARCH("平",B618)),OR(ISNUMBER(SEARCH("上",B618)),ISNUMBER(SEARCH("去",B618)),ISNUMBER(SEARCH("入",B618)))),"Ambiguous",IF(ISNUMBER(SEARCH("平",B618)),"平","仄")))</x:f>
        <x:v>仄</x:v>
      </x:c>
      <x:c r="K618" s="6" t="str">
        <x:f>IF(D618="","",IF(AND(ISNUMBER(SEARCH("平",D618)),OR(ISNUMBER(SEARCH("上",D618)),ISNUMBER(SEARCH("去",D618)),ISNUMBER(SEARCH("入",D618)))),"Ambiguous",IF(ISNUMBER(SEARCH("平",D618)),"平","仄")))</x:f>
        <x:v>仄</x:v>
      </x:c>
      <x:c r="L618" s="7" t="str"/>
    </x:row>
    <x:row r="619">
      <x:c r="A619" s="5" t="str">
        <x:v>啐</x:v>
      </x:c>
      <x:c r="B619" s="6" t="str">
        <x:v>去</x:v>
      </x:c>
      <x:c r="C619" s="6" t="str">
        <x:f>IF(B619="","Needs decision","Ready")</x:f>
        <x:v>Ready</x:v>
      </x:c>
      <x:c r="D619" s="6" t="str">
        <x:v>去</x:v>
      </x:c>
      <x:c r="E619" s="6" t="str">
        <x:v>tshwojH (C)</x:v>
      </x:c>
      <x:c r="F619" s="6" t="str"/>
      <x:c r="G619" s="6" t="str"/>
      <x:c r="H619" s="6" t="str">
        <x:v>1</x:v>
      </x:c>
      <x:c r="I619" s="6" t="str"/>
      <x:c r="J619" s="6" t="str">
        <x:f>IF(B619="","",IF(AND(ISNUMBER(SEARCH("平",B619)),OR(ISNUMBER(SEARCH("上",B619)),ISNUMBER(SEARCH("去",B619)),ISNUMBER(SEARCH("入",B619)))),"Ambiguous",IF(ISNUMBER(SEARCH("平",B619)),"平","仄")))</x:f>
        <x:v>仄</x:v>
      </x:c>
      <x:c r="K619" s="6" t="str">
        <x:f>IF(D619="","",IF(AND(ISNUMBER(SEARCH("平",D619)),OR(ISNUMBER(SEARCH("上",D619)),ISNUMBER(SEARCH("去",D619)),ISNUMBER(SEARCH("入",D619)))),"Ambiguous",IF(ISNUMBER(SEARCH("平",D619)),"平","仄")))</x:f>
        <x:v>仄</x:v>
      </x:c>
      <x:c r="L619" s="7" t="str"/>
    </x:row>
    <x:row r="620">
      <x:c r="A620" s="5" t="str">
        <x:v>啖</x:v>
      </x:c>
      <x:c r="B620" s="6" t="str">
        <x:v>上</x:v>
      </x:c>
      <x:c r="C620" s="6" t="str">
        <x:f>IF(B620="","Needs decision","Ready")</x:f>
        <x:v>Ready</x:v>
      </x:c>
      <x:c r="D620" s="6" t="str">
        <x:v>上</x:v>
      </x:c>
      <x:c r="E620" s="6" t="str">
        <x:v>damX (B)</x:v>
      </x:c>
      <x:c r="F620" s="6" t="str"/>
      <x:c r="G620" s="6" t="str"/>
      <x:c r="H620" s="6" t="str">
        <x:v>1</x:v>
      </x:c>
      <x:c r="I620" s="6" t="str"/>
      <x:c r="J620" s="6" t="str">
        <x:f>IF(B620="","",IF(AND(ISNUMBER(SEARCH("平",B620)),OR(ISNUMBER(SEARCH("上",B620)),ISNUMBER(SEARCH("去",B620)),ISNUMBER(SEARCH("入",B620)))),"Ambiguous",IF(ISNUMBER(SEARCH("平",B620)),"平","仄")))</x:f>
        <x:v>仄</x:v>
      </x:c>
      <x:c r="K620" s="6" t="str">
        <x:f>IF(D620="","",IF(AND(ISNUMBER(SEARCH("平",D620)),OR(ISNUMBER(SEARCH("上",D620)),ISNUMBER(SEARCH("去",D620)),ISNUMBER(SEARCH("入",D620)))),"Ambiguous",IF(ISNUMBER(SEARCH("平",D620)),"平","仄")))</x:f>
        <x:v>仄</x:v>
      </x:c>
      <x:c r="L620" s="7" t="str"/>
    </x:row>
    <x:row r="621">
      <x:c r="A621" s="5" t="str">
        <x:v>啗</x:v>
      </x:c>
      <x:c r="B621" s="6" t="str"/>
      <x:c r="C621" s="6" t="str">
        <x:f>IF(B621="","Needs decision","Ready")</x:f>
        <x:v>Needs decision</x:v>
      </x:c>
      <x:c r="D621" s="6" t="str">
        <x:v>上/去</x:v>
      </x:c>
      <x:c r="E621" s="6" t="str">
        <x:v>damX (B); damH (C)</x:v>
      </x:c>
      <x:c r="F621" s="6" t="str">
        <x:v>去聲二十八勘</x:v>
      </x:c>
      <x:c r="G621" s="6" t="str">
        <x:v>Pingshui main list, Wikisource-derived DOCX</x:v>
      </x:c>
      <x:c r="H621" s="6" t="str">
        <x:v>2</x:v>
      </x:c>
      <x:c r="I621" s="6" t="str"/>
      <x:c r="J621" s="6" t="str">
        <x:f>IF(B621="","",IF(AND(ISNUMBER(SEARCH("平",B621)),OR(ISNUMBER(SEARCH("上",B621)),ISNUMBER(SEARCH("去",B621)),ISNUMBER(SEARCH("入",B621)))),"Ambiguous",IF(ISNUMBER(SEARCH("平",B621)),"平","仄")))</x:f>
      </x:c>
      <x:c r="K621" s="6" t="str">
        <x:f>IF(D621="","",IF(AND(ISNUMBER(SEARCH("平",D621)),OR(ISNUMBER(SEARCH("上",D621)),ISNUMBER(SEARCH("去",D621)),ISNUMBER(SEARCH("入",D621)))),"Ambiguous",IF(ISNUMBER(SEARCH("平",D621)),"平","仄")))</x:f>
        <x:v>仄</x:v>
      </x:c>
      <x:c r="L621" s="7" t="str"/>
    </x:row>
    <x:row r="622">
      <x:c r="A622" s="5" t="str">
        <x:v>啜</x:v>
      </x:c>
      <x:c r="B622" s="6" t="str">
        <x:v>入</x:v>
      </x:c>
      <x:c r="C622" s="6" t="str">
        <x:f>IF(B622="","Needs decision","Ready")</x:f>
        <x:v>Ready</x:v>
      </x:c>
      <x:c r="D622" s="6" t="str">
        <x:v>入</x:v>
      </x:c>
      <x:c r="E622" s="6" t="str">
        <x:v>tsyhwet (D)</x:v>
      </x:c>
      <x:c r="F622" s="6" t="str">
        <x:v>入聲九屑</x:v>
      </x:c>
      <x:c r="G622" s="6" t="str">
        <x:v>Pingshui main list, Wikisource-derived DOCX</x:v>
      </x:c>
      <x:c r="H622" s="6" t="str">
        <x:v>1</x:v>
      </x:c>
      <x:c r="I622" s="6" t="str"/>
      <x:c r="J622" s="6" t="str">
        <x:f>IF(B622="","",IF(AND(ISNUMBER(SEARCH("平",B622)),OR(ISNUMBER(SEARCH("上",B622)),ISNUMBER(SEARCH("去",B622)),ISNUMBER(SEARCH("入",B622)))),"Ambiguous",IF(ISNUMBER(SEARCH("平",B622)),"平","仄")))</x:f>
        <x:v>仄</x:v>
      </x:c>
      <x:c r="K622" s="6" t="str">
        <x:f>IF(D622="","",IF(AND(ISNUMBER(SEARCH("平",D622)),OR(ISNUMBER(SEARCH("上",D622)),ISNUMBER(SEARCH("去",D622)),ISNUMBER(SEARCH("入",D622)))),"Ambiguous",IF(ISNUMBER(SEARCH("平",D622)),"平","仄")))</x:f>
        <x:v>仄</x:v>
      </x:c>
      <x:c r="L622" s="7" t="str"/>
    </x:row>
    <x:row r="623">
      <x:c r="A623" s="5" t="str">
        <x:v>啞</x:v>
      </x:c>
      <x:c r="B623" s="6" t="str">
        <x:v>上</x:v>
      </x:c>
      <x:c r="C623" s="6" t="str">
        <x:f>IF(B623="","Needs decision","Ready")</x:f>
        <x:v>Ready</x:v>
      </x:c>
      <x:c r="D623" s="6" t="str">
        <x:v>上</x:v>
      </x:c>
      <x:c r="E623" s="6" t="str">
        <x:v>'aeX (B)</x:v>
      </x:c>
      <x:c r="F623" s="6" t="str">
        <x:v>下平聲六麻; 上聲二十一馬; 入聲十一陌</x:v>
      </x:c>
      <x:c r="G623" s="6" t="str">
        <x:v>Pingshui main list, Wikisource-derived DOCX</x:v>
      </x:c>
      <x:c r="H623" s="6" t="str">
        <x:v>1</x:v>
      </x:c>
      <x:c r="I623" s="6" t="str"/>
      <x:c r="J623" s="6" t="str">
        <x:f>IF(B623="","",IF(AND(ISNUMBER(SEARCH("平",B623)),OR(ISNUMBER(SEARCH("上",B623)),ISNUMBER(SEARCH("去",B623)),ISNUMBER(SEARCH("入",B623)))),"Ambiguous",IF(ISNUMBER(SEARCH("平",B623)),"平","仄")))</x:f>
        <x:v>仄</x:v>
      </x:c>
      <x:c r="K623" s="6" t="str">
        <x:f>IF(D623="","",IF(AND(ISNUMBER(SEARCH("平",D623)),OR(ISNUMBER(SEARCH("上",D623)),ISNUMBER(SEARCH("去",D623)),ISNUMBER(SEARCH("入",D623)))),"Ambiguous",IF(ISNUMBER(SEARCH("平",D623)),"平","仄")))</x:f>
        <x:v>仄</x:v>
      </x:c>
      <x:c r="L623" s="7" t="str"/>
    </x:row>
    <x:row r="624">
      <x:c r="A624" s="5" t="str">
        <x:v>啟</x:v>
      </x:c>
      <x:c r="B624" s="6" t="str">
        <x:v>上</x:v>
      </x:c>
      <x:c r="C624" s="6" t="str">
        <x:f>IF(B624="","Needs decision","Ready")</x:f>
        <x:v>Ready</x:v>
      </x:c>
      <x:c r="D624" s="6" t="str">
        <x:v>上</x:v>
      </x:c>
      <x:c r="E624" s="6" t="str"/>
      <x:c r="F624" s="6" t="str">
        <x:v>上聲八薺</x:v>
      </x:c>
      <x:c r="G624" s="6" t="str">
        <x:v>Pingshui main list, Wikisource-derived DOCX</x:v>
      </x:c>
      <x:c r="H624" s="6" t="str"/>
      <x:c r="I624" s="6" t="str">
        <x:v>Manual user correction/addition</x:v>
      </x:c>
      <x:c r="J624" s="6" t="str">
        <x:f>IF(B624="","",IF(AND(ISNUMBER(SEARCH("平",B624)),OR(ISNUMBER(SEARCH("上",B624)),ISNUMBER(SEARCH("去",B624)),ISNUMBER(SEARCH("入",B624)))),"Ambiguous",IF(ISNUMBER(SEARCH("平",B624)),"平","仄")))</x:f>
        <x:v>仄</x:v>
      </x:c>
      <x:c r="K624" s="6" t="str">
        <x:f>IF(D624="","",IF(AND(ISNUMBER(SEARCH("平",D624)),OR(ISNUMBER(SEARCH("上",D624)),ISNUMBER(SEARCH("去",D624)),ISNUMBER(SEARCH("入",D624)))),"Ambiguous",IF(ISNUMBER(SEARCH("平",D624)),"平","仄")))</x:f>
        <x:v>仄</x:v>
      </x:c>
      <x:c r="L624" s="7" t="str">
        <x:v>manual user correction</x:v>
      </x:c>
    </x:row>
    <x:row r="625">
      <x:c r="A625" s="5" t="str">
        <x:v>啼</x:v>
      </x:c>
      <x:c r="B625" s="6" t="str">
        <x:v>平</x:v>
      </x:c>
      <x:c r="C625" s="6" t="str">
        <x:f>IF(B625="","Needs decision","Ready")</x:f>
        <x:v>Ready</x:v>
      </x:c>
      <x:c r="D625" s="6" t="str">
        <x:v>平</x:v>
      </x:c>
      <x:c r="E625" s="6" t="str">
        <x:v>dej (A)</x:v>
      </x:c>
      <x:c r="F625" s="6" t="str"/>
      <x:c r="G625" s="6" t="str"/>
      <x:c r="H625" s="6" t="str">
        <x:v>1</x:v>
      </x:c>
      <x:c r="I625" s="6" t="str"/>
      <x:c r="J625" s="6" t="str">
        <x:f>IF(B625="","",IF(AND(ISNUMBER(SEARCH("平",B625)),OR(ISNUMBER(SEARCH("上",B625)),ISNUMBER(SEARCH("去",B625)),ISNUMBER(SEARCH("入",B625)))),"Ambiguous",IF(ISNUMBER(SEARCH("平",B625)),"平","仄")))</x:f>
        <x:v>平</x:v>
      </x:c>
      <x:c r="K625" s="6" t="str">
        <x:f>IF(D625="","",IF(AND(ISNUMBER(SEARCH("平",D625)),OR(ISNUMBER(SEARCH("上",D625)),ISNUMBER(SEARCH("去",D625)),ISNUMBER(SEARCH("入",D625)))),"Ambiguous",IF(ISNUMBER(SEARCH("平",D625)),"平","仄")))</x:f>
        <x:v>平</x:v>
      </x:c>
      <x:c r="L625" s="7" t="str"/>
    </x:row>
    <x:row r="626">
      <x:c r="A626" s="5" t="str">
        <x:v>啾</x:v>
      </x:c>
      <x:c r="B626" s="6" t="str">
        <x:v>平</x:v>
      </x:c>
      <x:c r="C626" s="6" t="str">
        <x:f>IF(B626="","Needs decision","Ready")</x:f>
        <x:v>Ready</x:v>
      </x:c>
      <x:c r="D626" s="6" t="str">
        <x:v>平</x:v>
      </x:c>
      <x:c r="E626" s="6" t="str">
        <x:v>tsjuw [tsju] (平)</x:v>
      </x:c>
      <x:c r="F626" s="6" t="str">
        <x:v>下平聲十一尤</x:v>
      </x:c>
      <x:c r="G626" s="6" t="str">
        <x:v>Pingshui main list, Wikisource-derived DOCX</x:v>
      </x:c>
      <x:c r="H626" s="6" t="str">
        <x:v>1</x:v>
      </x:c>
      <x:c r="I626" s="6" t="str">
        <x:v>Tang 300 gap; frequency 6; provisional from Xun Gong</x:v>
      </x:c>
      <x:c r="J626" s="6" t="str">
        <x:f>IF(B626="","",IF(AND(ISNUMBER(SEARCH("平",B626)),OR(ISNUMBER(SEARCH("上",B626)),ISNUMBER(SEARCH("去",B626)),ISNUMBER(SEARCH("入",B626)))),"Ambiguous",IF(ISNUMBER(SEARCH("平",B626)),"平","仄")))</x:f>
        <x:v>平</x:v>
      </x:c>
      <x:c r="K626" s="6" t="str">
        <x:f>IF(D626="","",IF(AND(ISNUMBER(SEARCH("平",D626)),OR(ISNUMBER(SEARCH("上",D626)),ISNUMBER(SEARCH("去",D626)),ISNUMBER(SEARCH("入",D626)))),"Ambiguous",IF(ISNUMBER(SEARCH("平",D626)),"平","仄")))</x:f>
        <x:v>平</x:v>
      </x:c>
      <x:c r="L626" s="7" t="str">
        <x:v>Xun Gong, Tang 300 gap fill</x:v>
      </x:c>
    </x:row>
    <x:row r="627">
      <x:c r="A627" s="5" t="str">
        <x:v>善</x:v>
      </x:c>
      <x:c r="B627" s="6" t="str">
        <x:v>上</x:v>
      </x:c>
      <x:c r="C627" s="6" t="str">
        <x:f>IF(B627="","Needs decision","Ready")</x:f>
        <x:v>Ready</x:v>
      </x:c>
      <x:c r="D627" s="6" t="str">
        <x:v>上</x:v>
      </x:c>
      <x:c r="E627" s="6" t="str">
        <x:v>dzyenX (B)</x:v>
      </x:c>
      <x:c r="F627" s="6" t="str">
        <x:v>上聲十六銑; 去聲十七霰</x:v>
      </x:c>
      <x:c r="G627" s="6" t="str">
        <x:v>Pingshui main list, Wikisource-derived DOCX</x:v>
      </x:c>
      <x:c r="H627" s="6" t="str">
        <x:v>1</x:v>
      </x:c>
      <x:c r="I627" s="6" t="str"/>
      <x:c r="J627" s="6" t="str">
        <x:f>IF(B627="","",IF(AND(ISNUMBER(SEARCH("平",B627)),OR(ISNUMBER(SEARCH("上",B627)),ISNUMBER(SEARCH("去",B627)),ISNUMBER(SEARCH("入",B627)))),"Ambiguous",IF(ISNUMBER(SEARCH("平",B627)),"平","仄")))</x:f>
        <x:v>仄</x:v>
      </x:c>
      <x:c r="K627" s="6" t="str">
        <x:f>IF(D627="","",IF(AND(ISNUMBER(SEARCH("平",D627)),OR(ISNUMBER(SEARCH("上",D627)),ISNUMBER(SEARCH("去",D627)),ISNUMBER(SEARCH("入",D627)))),"Ambiguous",IF(ISNUMBER(SEARCH("平",D627)),"平","仄")))</x:f>
        <x:v>仄</x:v>
      </x:c>
      <x:c r="L627" s="7" t="str"/>
    </x:row>
    <x:row r="628">
      <x:c r="A628" s="5" t="str">
        <x:v>喈</x:v>
      </x:c>
      <x:c r="B628" s="6" t="str">
        <x:v>平</x:v>
      </x:c>
      <x:c r="C628" s="6" t="str">
        <x:f>IF(B628="","Needs decision","Ready")</x:f>
        <x:v>Ready</x:v>
      </x:c>
      <x:c r="D628" s="6" t="str">
        <x:v>平</x:v>
      </x:c>
      <x:c r="E628" s="6" t="str">
        <x:v>keaj (A)</x:v>
      </x:c>
      <x:c r="F628" s="6" t="str">
        <x:v>上平聲九佳</x:v>
      </x:c>
      <x:c r="G628" s="6" t="str">
        <x:v>Pingshui main list, Wikisource-derived DOCX</x:v>
      </x:c>
      <x:c r="H628" s="6" t="str">
        <x:v>1</x:v>
      </x:c>
      <x:c r="I628" s="6" t="str"/>
      <x:c r="J628" s="6" t="str">
        <x:f>IF(B628="","",IF(AND(ISNUMBER(SEARCH("平",B628)),OR(ISNUMBER(SEARCH("上",B628)),ISNUMBER(SEARCH("去",B628)),ISNUMBER(SEARCH("入",B628)))),"Ambiguous",IF(ISNUMBER(SEARCH("平",B628)),"平","仄")))</x:f>
        <x:v>平</x:v>
      </x:c>
      <x:c r="K628" s="6" t="str">
        <x:f>IF(D628="","",IF(AND(ISNUMBER(SEARCH("平",D628)),OR(ISNUMBER(SEARCH("上",D628)),ISNUMBER(SEARCH("去",D628)),ISNUMBER(SEARCH("入",D628)))),"Ambiguous",IF(ISNUMBER(SEARCH("平",D628)),"平","仄")))</x:f>
        <x:v>平</x:v>
      </x:c>
      <x:c r="L628" s="7" t="str"/>
    </x:row>
    <x:row r="629">
      <x:c r="A629" s="5" t="str">
        <x:v>喉</x:v>
      </x:c>
      <x:c r="B629" s="6" t="str">
        <x:v>平</x:v>
      </x:c>
      <x:c r="C629" s="6" t="str">
        <x:f>IF(B629="","Needs decision","Ready")</x:f>
        <x:v>Ready</x:v>
      </x:c>
      <x:c r="D629" s="6" t="str">
        <x:v>平</x:v>
      </x:c>
      <x:c r="E629" s="6" t="str">
        <x:v>huw (A)</x:v>
      </x:c>
      <x:c r="F629" s="6" t="str">
        <x:v>下平聲十一尤</x:v>
      </x:c>
      <x:c r="G629" s="6" t="str">
        <x:v>Pingshui main list, Wikisource-derived DOCX</x:v>
      </x:c>
      <x:c r="H629" s="6" t="str">
        <x:v>1</x:v>
      </x:c>
      <x:c r="I629" s="6" t="str"/>
      <x:c r="J629" s="6" t="str">
        <x:f>IF(B629="","",IF(AND(ISNUMBER(SEARCH("平",B629)),OR(ISNUMBER(SEARCH("上",B629)),ISNUMBER(SEARCH("去",B629)),ISNUMBER(SEARCH("入",B629)))),"Ambiguous",IF(ISNUMBER(SEARCH("平",B629)),"平","仄")))</x:f>
        <x:v>平</x:v>
      </x:c>
      <x:c r="K629" s="6" t="str">
        <x:f>IF(D629="","",IF(AND(ISNUMBER(SEARCH("平",D629)),OR(ISNUMBER(SEARCH("上",D629)),ISNUMBER(SEARCH("去",D629)),ISNUMBER(SEARCH("入",D629)))),"Ambiguous",IF(ISNUMBER(SEARCH("平",D629)),"平","仄")))</x:f>
        <x:v>平</x:v>
      </x:c>
      <x:c r="L629" s="7" t="str"/>
    </x:row>
    <x:row r="630">
      <x:c r="A630" s="5" t="str">
        <x:v>喘</x:v>
      </x:c>
      <x:c r="B630" s="6" t="str">
        <x:v>上</x:v>
      </x:c>
      <x:c r="C630" s="6" t="str">
        <x:f>IF(B630="","Needs decision","Ready")</x:f>
        <x:v>Ready</x:v>
      </x:c>
      <x:c r="D630" s="6" t="str">
        <x:v>上</x:v>
      </x:c>
      <x:c r="E630" s="6" t="str">
        <x:v>tsyhwenX (B)</x:v>
      </x:c>
      <x:c r="F630" s="6" t="str">
        <x:v>上聲十六銑</x:v>
      </x:c>
      <x:c r="G630" s="6" t="str">
        <x:v>Pingshui main list, Wikisource-derived DOCX</x:v>
      </x:c>
      <x:c r="H630" s="6" t="str">
        <x:v>1</x:v>
      </x:c>
      <x:c r="I630" s="6" t="str"/>
      <x:c r="J630" s="6" t="str">
        <x:f>IF(B630="","",IF(AND(ISNUMBER(SEARCH("平",B630)),OR(ISNUMBER(SEARCH("上",B630)),ISNUMBER(SEARCH("去",B630)),ISNUMBER(SEARCH("入",B630)))),"Ambiguous",IF(ISNUMBER(SEARCH("平",B630)),"平","仄")))</x:f>
        <x:v>仄</x:v>
      </x:c>
      <x:c r="K630" s="6" t="str">
        <x:f>IF(D630="","",IF(AND(ISNUMBER(SEARCH("平",D630)),OR(ISNUMBER(SEARCH("上",D630)),ISNUMBER(SEARCH("去",D630)),ISNUMBER(SEARCH("入",D630)))),"Ambiguous",IF(ISNUMBER(SEARCH("平",D630)),"平","仄")))</x:f>
        <x:v>仄</x:v>
      </x:c>
      <x:c r="L630" s="7" t="str"/>
    </x:row>
    <x:row r="631">
      <x:c r="A631" s="5" t="str">
        <x:v>喙</x:v>
      </x:c>
      <x:c r="B631" s="6" t="str">
        <x:v>去</x:v>
      </x:c>
      <x:c r="C631" s="6" t="str">
        <x:f>IF(B631="","Needs decision","Ready")</x:f>
        <x:v>Ready</x:v>
      </x:c>
      <x:c r="D631" s="6" t="str">
        <x:v>去</x:v>
      </x:c>
      <x:c r="E631" s="6" t="str">
        <x:v>tsyhwejH (C); xjwojH (C)</x:v>
      </x:c>
      <x:c r="F631" s="6" t="str">
        <x:v>去聲十一隊</x:v>
      </x:c>
      <x:c r="G631" s="6" t="str">
        <x:v>Pingshui main list, Wikisource-derived DOCX</x:v>
      </x:c>
      <x:c r="H631" s="6" t="str">
        <x:v>2</x:v>
      </x:c>
      <x:c r="I631" s="6" t="str"/>
      <x:c r="J631" s="6" t="str">
        <x:f>IF(B631="","",IF(AND(ISNUMBER(SEARCH("平",B631)),OR(ISNUMBER(SEARCH("上",B631)),ISNUMBER(SEARCH("去",B631)),ISNUMBER(SEARCH("入",B631)))),"Ambiguous",IF(ISNUMBER(SEARCH("平",B631)),"平","仄")))</x:f>
        <x:v>仄</x:v>
      </x:c>
      <x:c r="K631" s="6" t="str">
        <x:f>IF(D631="","",IF(AND(ISNUMBER(SEARCH("平",D631)),OR(ISNUMBER(SEARCH("上",D631)),ISNUMBER(SEARCH("去",D631)),ISNUMBER(SEARCH("入",D631)))),"Ambiguous",IF(ISNUMBER(SEARCH("平",D631)),"平","仄")))</x:f>
        <x:v>仄</x:v>
      </x:c>
      <x:c r="L631" s="7" t="str"/>
    </x:row>
    <x:row r="632">
      <x:c r="A632" s="5" t="str">
        <x:v>喚</x:v>
      </x:c>
      <x:c r="B632" s="6" t="str">
        <x:v>去</x:v>
      </x:c>
      <x:c r="C632" s="6" t="str">
        <x:f>IF(B632="","Needs decision","Ready")</x:f>
        <x:v>Ready</x:v>
      </x:c>
      <x:c r="D632" s="6" t="str">
        <x:v>去</x:v>
      </x:c>
      <x:c r="E632" s="6" t="str">
        <x:v>xwanH [χwɑnh] (去)</x:v>
      </x:c>
      <x:c r="F632" s="6" t="str">
        <x:v>去聲十五翰</x:v>
      </x:c>
      <x:c r="G632" s="6" t="str">
        <x:v>Pingshui main list, Wikisource-derived DOCX</x:v>
      </x:c>
      <x:c r="H632" s="6" t="str">
        <x:v>1</x:v>
      </x:c>
      <x:c r="I632" s="6" t="str">
        <x:v>Tang 300 gap; frequency 3; provisional from Xun Gong</x:v>
      </x:c>
      <x:c r="J632" s="6" t="str">
        <x:f>IF(B632="","",IF(AND(ISNUMBER(SEARCH("平",B632)),OR(ISNUMBER(SEARCH("上",B632)),ISNUMBER(SEARCH("去",B632)),ISNUMBER(SEARCH("入",B632)))),"Ambiguous",IF(ISNUMBER(SEARCH("平",B632)),"平","仄")))</x:f>
        <x:v>仄</x:v>
      </x:c>
      <x:c r="K632" s="6" t="str">
        <x:f>IF(D632="","",IF(AND(ISNUMBER(SEARCH("平",D632)),OR(ISNUMBER(SEARCH("上",D632)),ISNUMBER(SEARCH("去",D632)),ISNUMBER(SEARCH("入",D632)))),"Ambiguous",IF(ISNUMBER(SEARCH("平",D632)),"平","仄")))</x:f>
        <x:v>仄</x:v>
      </x:c>
      <x:c r="L632" s="7" t="str">
        <x:v>Xun Gong, Tang 300 gap fill</x:v>
      </x:c>
    </x:row>
    <x:row r="633">
      <x:c r="A633" s="5" t="str">
        <x:v>喜</x:v>
      </x:c>
      <x:c r="B633" s="6" t="str">
        <x:v>上</x:v>
      </x:c>
      <x:c r="C633" s="6" t="str">
        <x:f>IF(B633="","Needs decision","Ready")</x:f>
        <x:v>Ready</x:v>
      </x:c>
      <x:c r="D633" s="6" t="str">
        <x:v>上</x:v>
      </x:c>
      <x:c r="E633" s="6" t="str">
        <x:v>xiX (B)</x:v>
      </x:c>
      <x:c r="F633" s="6" t="str">
        <x:v>上聲四紙</x:v>
      </x:c>
      <x:c r="G633" s="6" t="str">
        <x:v>Pingshui main list, Wikisource-derived DOCX</x:v>
      </x:c>
      <x:c r="H633" s="6" t="str">
        <x:v>1</x:v>
      </x:c>
      <x:c r="I633" s="6" t="str"/>
      <x:c r="J633" s="6" t="str">
        <x:f>IF(B633="","",IF(AND(ISNUMBER(SEARCH("平",B633)),OR(ISNUMBER(SEARCH("上",B633)),ISNUMBER(SEARCH("去",B633)),ISNUMBER(SEARCH("入",B633)))),"Ambiguous",IF(ISNUMBER(SEARCH("平",B633)),"平","仄")))</x:f>
        <x:v>仄</x:v>
      </x:c>
      <x:c r="K633" s="6" t="str">
        <x:f>IF(D633="","",IF(AND(ISNUMBER(SEARCH("平",D633)),OR(ISNUMBER(SEARCH("上",D633)),ISNUMBER(SEARCH("去",D633)),ISNUMBER(SEARCH("入",D633)))),"Ambiguous",IF(ISNUMBER(SEARCH("平",D633)),"平","仄")))</x:f>
        <x:v>仄</x:v>
      </x:c>
      <x:c r="L633" s="7" t="str"/>
    </x:row>
    <x:row r="634">
      <x:c r="A634" s="5" t="str">
        <x:v>喟</x:v>
      </x:c>
      <x:c r="B634" s="6" t="str">
        <x:v>去</x:v>
      </x:c>
      <x:c r="C634" s="6" t="str">
        <x:f>IF(B634="","Needs decision","Ready")</x:f>
        <x:v>Ready</x:v>
      </x:c>
      <x:c r="D634" s="6" t="str">
        <x:v>去</x:v>
      </x:c>
      <x:c r="E634" s="6" t="str">
        <x:v>khweajH (C); khwijH (C)</x:v>
      </x:c>
      <x:c r="F634" s="6" t="str">
        <x:v>去聲十卦</x:v>
      </x:c>
      <x:c r="G634" s="6" t="str">
        <x:v>Pingshui main list, Wikisource-derived DOCX</x:v>
      </x:c>
      <x:c r="H634" s="6" t="str">
        <x:v>2</x:v>
      </x:c>
      <x:c r="I634" s="6" t="str"/>
      <x:c r="J634" s="6" t="str">
        <x:f>IF(B634="","",IF(AND(ISNUMBER(SEARCH("平",B634)),OR(ISNUMBER(SEARCH("上",B634)),ISNUMBER(SEARCH("去",B634)),ISNUMBER(SEARCH("入",B634)))),"Ambiguous",IF(ISNUMBER(SEARCH("平",B634)),"平","仄")))</x:f>
        <x:v>仄</x:v>
      </x:c>
      <x:c r="K634" s="6" t="str">
        <x:f>IF(D634="","",IF(AND(ISNUMBER(SEARCH("平",D634)),OR(ISNUMBER(SEARCH("上",D634)),ISNUMBER(SEARCH("去",D634)),ISNUMBER(SEARCH("入",D634)))),"Ambiguous",IF(ISNUMBER(SEARCH("平",D634)),"平","仄")))</x:f>
        <x:v>仄</x:v>
      </x:c>
      <x:c r="L634" s="7" t="str"/>
    </x:row>
    <x:row r="635">
      <x:c r="A635" s="5" t="str">
        <x:v>喧</x:v>
      </x:c>
      <x:c r="B635" s="6" t="str">
        <x:v>平</x:v>
      </x:c>
      <x:c r="C635" s="6" t="str">
        <x:f>IF(B635="","Needs decision","Ready")</x:f>
        <x:v>Ready</x:v>
      </x:c>
      <x:c r="D635" s="6" t="str">
        <x:v>平</x:v>
      </x:c>
      <x:c r="E635" s="6" t="str">
        <x:v>xjwon (A)</x:v>
      </x:c>
      <x:c r="F635" s="6" t="str">
        <x:v>上平聲十三元</x:v>
      </x:c>
      <x:c r="G635" s="6" t="str">
        <x:v>Pingshui main list, Wikisource-derived DOCX</x:v>
      </x:c>
      <x:c r="H635" s="6" t="str">
        <x:v>1</x:v>
      </x:c>
      <x:c r="I635" s="6" t="str"/>
      <x:c r="J635" s="6" t="str">
        <x:f>IF(B635="","",IF(AND(ISNUMBER(SEARCH("平",B635)),OR(ISNUMBER(SEARCH("上",B635)),ISNUMBER(SEARCH("去",B635)),ISNUMBER(SEARCH("入",B635)))),"Ambiguous",IF(ISNUMBER(SEARCH("平",B635)),"平","仄")))</x:f>
        <x:v>平</x:v>
      </x:c>
      <x:c r="K635" s="6" t="str">
        <x:f>IF(D635="","",IF(AND(ISNUMBER(SEARCH("平",D635)),OR(ISNUMBER(SEARCH("上",D635)),ISNUMBER(SEARCH("去",D635)),ISNUMBER(SEARCH("入",D635)))),"Ambiguous",IF(ISNUMBER(SEARCH("平",D635)),"平","仄")))</x:f>
        <x:v>平</x:v>
      </x:c>
      <x:c r="L635" s="7" t="str"/>
    </x:row>
    <x:row r="636">
      <x:c r="A636" s="5" t="str">
        <x:v>喪</x:v>
      </x:c>
      <x:c r="B636" s="6" t="str"/>
      <x:c r="C636" s="6" t="str">
        <x:f>IF(B636="","Needs decision","Ready")</x:f>
        <x:v>Needs decision</x:v>
      </x:c>
      <x:c r="D636" s="6" t="str">
        <x:v>平/去</x:v>
      </x:c>
      <x:c r="E636" s="6" t="str">
        <x:v>sang (A); sangH (C)</x:v>
      </x:c>
      <x:c r="F636" s="6" t="str">
        <x:v>下平聲七陽; 去聲二十三漾</x:v>
      </x:c>
      <x:c r="G636" s="6" t="str">
        <x:v>Pingshui main list, Wikisource-derived DOCX</x:v>
      </x:c>
      <x:c r="H636" s="6" t="str">
        <x:v>2</x:v>
      </x:c>
      <x:c r="I636" s="6" t="str"/>
      <x:c r="J636" s="6" t="str">
        <x:f>IF(B636="","",IF(AND(ISNUMBER(SEARCH("平",B636)),OR(ISNUMBER(SEARCH("上",B636)),ISNUMBER(SEARCH("去",B636)),ISNUMBER(SEARCH("入",B636)))),"Ambiguous",IF(ISNUMBER(SEARCH("平",B636)),"平","仄")))</x:f>
      </x:c>
      <x:c r="K636" s="6" t="str">
        <x:f>IF(D636="","",IF(AND(ISNUMBER(SEARCH("平",D636)),OR(ISNUMBER(SEARCH("上",D636)),ISNUMBER(SEARCH("去",D636)),ISNUMBER(SEARCH("入",D636)))),"Ambiguous",IF(ISNUMBER(SEARCH("平",D636)),"平","仄")))</x:f>
        <x:v>Ambiguous</x:v>
      </x:c>
      <x:c r="L636" s="7" t="str"/>
    </x:row>
    <x:row r="637">
      <x:c r="A637" s="5" t="str">
        <x:v>喬</x:v>
      </x:c>
      <x:c r="B637" s="6" t="str">
        <x:v>平</x:v>
      </x:c>
      <x:c r="C637" s="6" t="str">
        <x:f>IF(B637="","Needs decision","Ready")</x:f>
        <x:v>Ready</x:v>
      </x:c>
      <x:c r="D637" s="6" t="str">
        <x:v>平</x:v>
      </x:c>
      <x:c r="E637" s="6" t="str">
        <x:v>gjew (A)</x:v>
      </x:c>
      <x:c r="F637" s="6" t="str">
        <x:v>下平聲二蕭</x:v>
      </x:c>
      <x:c r="G637" s="6" t="str">
        <x:v>Pingshui main list, Wikisource-derived DOCX</x:v>
      </x:c>
      <x:c r="H637" s="6" t="str">
        <x:v>1</x:v>
      </x:c>
      <x:c r="I637" s="6" t="str"/>
      <x:c r="J637" s="6" t="str">
        <x:f>IF(B637="","",IF(AND(ISNUMBER(SEARCH("平",B637)),OR(ISNUMBER(SEARCH("上",B637)),ISNUMBER(SEARCH("去",B637)),ISNUMBER(SEARCH("入",B637)))),"Ambiguous",IF(ISNUMBER(SEARCH("平",B637)),"平","仄")))</x:f>
        <x:v>平</x:v>
      </x:c>
      <x:c r="K637" s="6" t="str">
        <x:f>IF(D637="","",IF(AND(ISNUMBER(SEARCH("平",D637)),OR(ISNUMBER(SEARCH("上",D637)),ISNUMBER(SEARCH("去",D637)),ISNUMBER(SEARCH("入",D637)))),"Ambiguous",IF(ISNUMBER(SEARCH("平",D637)),"平","仄")))</x:f>
        <x:v>平</x:v>
      </x:c>
      <x:c r="L637" s="7" t="str"/>
    </x:row>
    <x:row r="638">
      <x:c r="A638" s="5" t="str">
        <x:v>單</x:v>
      </x:c>
      <x:c r="B638" s="6" t="str">
        <x:v>平</x:v>
      </x:c>
      <x:c r="C638" s="6" t="str">
        <x:f>IF(B638="","Needs decision","Ready")</x:f>
        <x:v>Ready</x:v>
      </x:c>
      <x:c r="D638" s="6" t="str">
        <x:v>平</x:v>
      </x:c>
      <x:c r="E638" s="6" t="str">
        <x:v>dzyen (A); tan (A)</x:v>
      </x:c>
      <x:c r="F638" s="6" t="str">
        <x:v>上平聲十四寒; 下平聲一先; 上聲十六銑</x:v>
      </x:c>
      <x:c r="G638" s="6" t="str">
        <x:v>Pingshui main list, Wikisource-derived DOCX</x:v>
      </x:c>
      <x:c r="H638" s="6" t="str">
        <x:v>2</x:v>
      </x:c>
      <x:c r="I638" s="6" t="str"/>
      <x:c r="J638" s="6" t="str">
        <x:f>IF(B638="","",IF(AND(ISNUMBER(SEARCH("平",B638)),OR(ISNUMBER(SEARCH("上",B638)),ISNUMBER(SEARCH("去",B638)),ISNUMBER(SEARCH("入",B638)))),"Ambiguous",IF(ISNUMBER(SEARCH("平",B638)),"平","仄")))</x:f>
        <x:v>平</x:v>
      </x:c>
      <x:c r="K638" s="6" t="str">
        <x:f>IF(D638="","",IF(AND(ISNUMBER(SEARCH("平",D638)),OR(ISNUMBER(SEARCH("上",D638)),ISNUMBER(SEARCH("去",D638)),ISNUMBER(SEARCH("入",D638)))),"Ambiguous",IF(ISNUMBER(SEARCH("平",D638)),"平","仄")))</x:f>
        <x:v>平</x:v>
      </x:c>
      <x:c r="L638" s="7" t="str"/>
    </x:row>
    <x:row r="639">
      <x:c r="A639" s="5" t="str">
        <x:v>喻</x:v>
      </x:c>
      <x:c r="B639" s="6" t="str">
        <x:v>去</x:v>
      </x:c>
      <x:c r="C639" s="6" t="str">
        <x:f>IF(B639="","Needs decision","Ready")</x:f>
        <x:v>Ready</x:v>
      </x:c>
      <x:c r="D639" s="6" t="str">
        <x:v>去</x:v>
      </x:c>
      <x:c r="E639" s="6" t="str">
        <x:v>yuH (C)</x:v>
      </x:c>
      <x:c r="F639" s="6" t="str">
        <x:v>上平聲七虞</x:v>
      </x:c>
      <x:c r="G639" s="6" t="str">
        <x:v>Pingshui main list, Wikisource-derived DOCX</x:v>
      </x:c>
      <x:c r="H639" s="6" t="str">
        <x:v>1</x:v>
      </x:c>
      <x:c r="I639" s="6" t="str"/>
      <x:c r="J639" s="6" t="str">
        <x:f>IF(B639="","",IF(AND(ISNUMBER(SEARCH("平",B639)),OR(ISNUMBER(SEARCH("上",B639)),ISNUMBER(SEARCH("去",B639)),ISNUMBER(SEARCH("入",B639)))),"Ambiguous",IF(ISNUMBER(SEARCH("平",B639)),"平","仄")))</x:f>
        <x:v>仄</x:v>
      </x:c>
      <x:c r="K639" s="6" t="str">
        <x:f>IF(D639="","",IF(AND(ISNUMBER(SEARCH("平",D639)),OR(ISNUMBER(SEARCH("上",D639)),ISNUMBER(SEARCH("去",D639)),ISNUMBER(SEARCH("入",D639)))),"Ambiguous",IF(ISNUMBER(SEARCH("平",D639)),"平","仄")))</x:f>
        <x:v>仄</x:v>
      </x:c>
      <x:c r="L639" s="7" t="str"/>
    </x:row>
    <x:row r="640">
      <x:c r="A640" s="5" t="str">
        <x:v>嗁</x:v>
      </x:c>
      <x:c r="B640" s="6" t="str">
        <x:v>平</x:v>
      </x:c>
      <x:c r="C640" s="6" t="str">
        <x:f>IF(B640="","Needs decision","Ready")</x:f>
        <x:v>Ready</x:v>
      </x:c>
      <x:c r="D640" s="6" t="str">
        <x:v>平</x:v>
      </x:c>
      <x:c r="E640" s="6" t="str">
        <x:v>dej (A)</x:v>
      </x:c>
      <x:c r="F640" s="6" t="str"/>
      <x:c r="G640" s="6" t="str"/>
      <x:c r="H640" s="6" t="str">
        <x:v>1</x:v>
      </x:c>
      <x:c r="I640" s="6" t="str"/>
      <x:c r="J640" s="6" t="str">
        <x:f>IF(B640="","",IF(AND(ISNUMBER(SEARCH("平",B640)),OR(ISNUMBER(SEARCH("上",B640)),ISNUMBER(SEARCH("去",B640)),ISNUMBER(SEARCH("入",B640)))),"Ambiguous",IF(ISNUMBER(SEARCH("平",B640)),"平","仄")))</x:f>
        <x:v>平</x:v>
      </x:c>
      <x:c r="K640" s="6" t="str">
        <x:f>IF(D640="","",IF(AND(ISNUMBER(SEARCH("平",D640)),OR(ISNUMBER(SEARCH("上",D640)),ISNUMBER(SEARCH("去",D640)),ISNUMBER(SEARCH("入",D640)))),"Ambiguous",IF(ISNUMBER(SEARCH("平",D640)),"平","仄")))</x:f>
        <x:v>平</x:v>
      </x:c>
      <x:c r="L640" s="7" t="str"/>
    </x:row>
    <x:row r="641">
      <x:c r="A641" s="5" t="str">
        <x:v>嗅</x:v>
      </x:c>
      <x:c r="B641" s="6" t="str">
        <x:v>去</x:v>
      </x:c>
      <x:c r="C641" s="6" t="str">
        <x:f>IF(B641="","Needs decision","Ready")</x:f>
        <x:v>Ready</x:v>
      </x:c>
      <x:c r="D641" s="6" t="str">
        <x:v>去</x:v>
      </x:c>
      <x:c r="E641" s="6" t="str">
        <x:v>xjuwH (C)</x:v>
      </x:c>
      <x:c r="F641" s="6" t="str"/>
      <x:c r="G641" s="6" t="str"/>
      <x:c r="H641" s="6" t="str">
        <x:v>1</x:v>
      </x:c>
      <x:c r="I641" s="6" t="str"/>
      <x:c r="J641" s="6" t="str">
        <x:f>IF(B641="","",IF(AND(ISNUMBER(SEARCH("平",B641)),OR(ISNUMBER(SEARCH("上",B641)),ISNUMBER(SEARCH("去",B641)),ISNUMBER(SEARCH("入",B641)))),"Ambiguous",IF(ISNUMBER(SEARCH("平",B641)),"平","仄")))</x:f>
        <x:v>仄</x:v>
      </x:c>
      <x:c r="K641" s="6" t="str">
        <x:f>IF(D641="","",IF(AND(ISNUMBER(SEARCH("平",D641)),OR(ISNUMBER(SEARCH("上",D641)),ISNUMBER(SEARCH("去",D641)),ISNUMBER(SEARCH("入",D641)))),"Ambiguous",IF(ISNUMBER(SEARCH("平",D641)),"平","仄")))</x:f>
        <x:v>仄</x:v>
      </x:c>
      <x:c r="L641" s="7" t="str"/>
    </x:row>
    <x:row r="642">
      <x:c r="A642" s="5" t="str">
        <x:v>嗇</x:v>
      </x:c>
      <x:c r="B642" s="6" t="str">
        <x:v>入</x:v>
      </x:c>
      <x:c r="C642" s="6" t="str">
        <x:f>IF(B642="","Needs decision","Ready")</x:f>
        <x:v>Ready</x:v>
      </x:c>
      <x:c r="D642" s="6" t="str">
        <x:v>入</x:v>
      </x:c>
      <x:c r="E642" s="6" t="str">
        <x:v>srik (D)</x:v>
      </x:c>
      <x:c r="F642" s="6" t="str">
        <x:v>入聲十三職</x:v>
      </x:c>
      <x:c r="G642" s="6" t="str">
        <x:v>Pingshui main list, Wikisource-derived DOCX</x:v>
      </x:c>
      <x:c r="H642" s="6" t="str">
        <x:v>1</x:v>
      </x:c>
      <x:c r="I642" s="6" t="str"/>
      <x:c r="J642" s="6" t="str">
        <x:f>IF(B642="","",IF(AND(ISNUMBER(SEARCH("平",B642)),OR(ISNUMBER(SEARCH("上",B642)),ISNUMBER(SEARCH("去",B642)),ISNUMBER(SEARCH("入",B642)))),"Ambiguous",IF(ISNUMBER(SEARCH("平",B642)),"平","仄")))</x:f>
        <x:v>仄</x:v>
      </x:c>
      <x:c r="K642" s="6" t="str">
        <x:f>IF(D642="","",IF(AND(ISNUMBER(SEARCH("平",D642)),OR(ISNUMBER(SEARCH("上",D642)),ISNUMBER(SEARCH("去",D642)),ISNUMBER(SEARCH("入",D642)))),"Ambiguous",IF(ISNUMBER(SEARCH("平",D642)),"平","仄")))</x:f>
        <x:v>仄</x:v>
      </x:c>
      <x:c r="L642" s="7" t="str"/>
    </x:row>
    <x:row r="643">
      <x:c r="A643" s="5" t="str">
        <x:v>嗌</x:v>
      </x:c>
      <x:c r="B643" s="6" t="str">
        <x:v>入</x:v>
      </x:c>
      <x:c r="C643" s="6" t="str">
        <x:f>IF(B643="","Needs decision","Ready")</x:f>
        <x:v>Ready</x:v>
      </x:c>
      <x:c r="D643" s="6" t="str">
        <x:v>入</x:v>
      </x:c>
      <x:c r="E643" s="6" t="str">
        <x:v>'jiek (D)</x:v>
      </x:c>
      <x:c r="F643" s="6" t="str">
        <x:v>入聲十一陌</x:v>
      </x:c>
      <x:c r="G643" s="6" t="str">
        <x:v>Pingshui main list, Wikisource-derived DOCX</x:v>
      </x:c>
      <x:c r="H643" s="6" t="str">
        <x:v>1</x:v>
      </x:c>
      <x:c r="I643" s="6" t="str"/>
      <x:c r="J643" s="6" t="str">
        <x:f>IF(B643="","",IF(AND(ISNUMBER(SEARCH("平",B643)),OR(ISNUMBER(SEARCH("上",B643)),ISNUMBER(SEARCH("去",B643)),ISNUMBER(SEARCH("入",B643)))),"Ambiguous",IF(ISNUMBER(SEARCH("平",B643)),"平","仄")))</x:f>
        <x:v>仄</x:v>
      </x:c>
      <x:c r="K643" s="6" t="str">
        <x:f>IF(D643="","",IF(AND(ISNUMBER(SEARCH("平",D643)),OR(ISNUMBER(SEARCH("上",D643)),ISNUMBER(SEARCH("去",D643)),ISNUMBER(SEARCH("入",D643)))),"Ambiguous",IF(ISNUMBER(SEARCH("平",D643)),"平","仄")))</x:f>
        <x:v>仄</x:v>
      </x:c>
      <x:c r="L643" s="7" t="str"/>
    </x:row>
    <x:row r="644">
      <x:c r="A644" s="5" t="str">
        <x:v>嗚</x:v>
      </x:c>
      <x:c r="B644" s="6" t="str">
        <x:v>平</x:v>
      </x:c>
      <x:c r="C644" s="6" t="str">
        <x:f>IF(B644="","Needs decision","Ready")</x:f>
        <x:v>Ready</x:v>
      </x:c>
      <x:c r="D644" s="6" t="str">
        <x:v>平</x:v>
      </x:c>
      <x:c r="E644" s="6" t="str">
        <x:v>'u [ʔ̙o] (平)</x:v>
      </x:c>
      <x:c r="F644" s="6" t="str"/>
      <x:c r="G644" s="6" t="str"/>
      <x:c r="H644" s="6" t="str">
        <x:v>1</x:v>
      </x:c>
      <x:c r="I644" s="6" t="str">
        <x:v>Tang 300 gap; frequency 2; provisional from Xun Gong</x:v>
      </x:c>
      <x:c r="J644" s="6" t="str">
        <x:f>IF(B644="","",IF(AND(ISNUMBER(SEARCH("平",B644)),OR(ISNUMBER(SEARCH("上",B644)),ISNUMBER(SEARCH("去",B644)),ISNUMBER(SEARCH("入",B644)))),"Ambiguous",IF(ISNUMBER(SEARCH("平",B644)),"平","仄")))</x:f>
        <x:v>平</x:v>
      </x:c>
      <x:c r="K644" s="6" t="str">
        <x:f>IF(D644="","",IF(AND(ISNUMBER(SEARCH("平",D644)),OR(ISNUMBER(SEARCH("上",D644)),ISNUMBER(SEARCH("去",D644)),ISNUMBER(SEARCH("入",D644)))),"Ambiguous",IF(ISNUMBER(SEARCH("平",D644)),"平","仄")))</x:f>
        <x:v>平</x:v>
      </x:c>
      <x:c r="L644" s="7" t="str">
        <x:v>Xun Gong, Tang 300 gap fill</x:v>
      </x:c>
    </x:row>
    <x:row r="645">
      <x:c r="A645" s="5" t="str">
        <x:v>嗜</x:v>
      </x:c>
      <x:c r="B645" s="6" t="str">
        <x:v>去</x:v>
      </x:c>
      <x:c r="C645" s="6" t="str">
        <x:f>IF(B645="","Needs decision","Ready")</x:f>
        <x:v>Ready</x:v>
      </x:c>
      <x:c r="D645" s="6" t="str">
        <x:v>去</x:v>
      </x:c>
      <x:c r="E645" s="6" t="str">
        <x:v>dzyijH (C)</x:v>
      </x:c>
      <x:c r="F645" s="6" t="str">
        <x:v>去聲四寘</x:v>
      </x:c>
      <x:c r="G645" s="6" t="str">
        <x:v>Pingshui main list, Wikisource-derived DOCX</x:v>
      </x:c>
      <x:c r="H645" s="6" t="str">
        <x:v>1</x:v>
      </x:c>
      <x:c r="I645" s="6" t="str"/>
      <x:c r="J645" s="6" t="str">
        <x:f>IF(B645="","",IF(AND(ISNUMBER(SEARCH("平",B645)),OR(ISNUMBER(SEARCH("上",B645)),ISNUMBER(SEARCH("去",B645)),ISNUMBER(SEARCH("入",B645)))),"Ambiguous",IF(ISNUMBER(SEARCH("平",B645)),"平","仄")))</x:f>
        <x:v>仄</x:v>
      </x:c>
      <x:c r="K645" s="6" t="str">
        <x:f>IF(D645="","",IF(AND(ISNUMBER(SEARCH("平",D645)),OR(ISNUMBER(SEARCH("上",D645)),ISNUMBER(SEARCH("去",D645)),ISNUMBER(SEARCH("入",D645)))),"Ambiguous",IF(ISNUMBER(SEARCH("平",D645)),"平","仄")))</x:f>
        <x:v>仄</x:v>
      </x:c>
      <x:c r="L645" s="7" t="str"/>
    </x:row>
    <x:row r="646">
      <x:c r="A646" s="5" t="str">
        <x:v>嗟</x:v>
      </x:c>
      <x:c r="B646" s="6" t="str">
        <x:v>平</x:v>
      </x:c>
      <x:c r="C646" s="6" t="str">
        <x:f>IF(B646="","Needs decision","Ready")</x:f>
        <x:v>Ready</x:v>
      </x:c>
      <x:c r="D646" s="6" t="str">
        <x:v>平</x:v>
      </x:c>
      <x:c r="E646" s="6" t="str">
        <x:v>tsjae (A)</x:v>
      </x:c>
      <x:c r="F646" s="6" t="str">
        <x:v>下平聲六麻</x:v>
      </x:c>
      <x:c r="G646" s="6" t="str">
        <x:v>Pingshui main list, Wikisource-derived DOCX</x:v>
      </x:c>
      <x:c r="H646" s="6" t="str">
        <x:v>1</x:v>
      </x:c>
      <x:c r="I646" s="6" t="str"/>
      <x:c r="J646" s="6" t="str">
        <x:f>IF(B646="","",IF(AND(ISNUMBER(SEARCH("平",B646)),OR(ISNUMBER(SEARCH("上",B646)),ISNUMBER(SEARCH("去",B646)),ISNUMBER(SEARCH("入",B646)))),"Ambiguous",IF(ISNUMBER(SEARCH("平",B646)),"平","仄")))</x:f>
        <x:v>平</x:v>
      </x:c>
      <x:c r="K646" s="6" t="str">
        <x:f>IF(D646="","",IF(AND(ISNUMBER(SEARCH("平",D646)),OR(ISNUMBER(SEARCH("上",D646)),ISNUMBER(SEARCH("去",D646)),ISNUMBER(SEARCH("入",D646)))),"Ambiguous",IF(ISNUMBER(SEARCH("平",D646)),"平","仄")))</x:f>
        <x:v>平</x:v>
      </x:c>
      <x:c r="L646" s="7" t="str"/>
    </x:row>
    <x:row r="647">
      <x:c r="A647" s="5" t="str">
        <x:v>嗣</x:v>
      </x:c>
      <x:c r="B647" s="6" t="str">
        <x:v>去</x:v>
      </x:c>
      <x:c r="C647" s="6" t="str">
        <x:f>IF(B647="","Needs decision","Ready")</x:f>
        <x:v>Ready</x:v>
      </x:c>
      <x:c r="D647" s="6" t="str">
        <x:v>去</x:v>
      </x:c>
      <x:c r="E647" s="6" t="str">
        <x:v>ziH (C)</x:v>
      </x:c>
      <x:c r="F647" s="6" t="str">
        <x:v>去聲四寘</x:v>
      </x:c>
      <x:c r="G647" s="6" t="str">
        <x:v>Pingshui main list, Wikisource-derived DOCX</x:v>
      </x:c>
      <x:c r="H647" s="6" t="str">
        <x:v>1</x:v>
      </x:c>
      <x:c r="I647" s="6" t="str"/>
      <x:c r="J647" s="6" t="str">
        <x:f>IF(B647="","",IF(AND(ISNUMBER(SEARCH("平",B647)),OR(ISNUMBER(SEARCH("上",B647)),ISNUMBER(SEARCH("去",B647)),ISNUMBER(SEARCH("入",B647)))),"Ambiguous",IF(ISNUMBER(SEARCH("平",B647)),"平","仄")))</x:f>
        <x:v>仄</x:v>
      </x:c>
      <x:c r="K647" s="6" t="str">
        <x:f>IF(D647="","",IF(AND(ISNUMBER(SEARCH("平",D647)),OR(ISNUMBER(SEARCH("上",D647)),ISNUMBER(SEARCH("去",D647)),ISNUMBER(SEARCH("入",D647)))),"Ambiguous",IF(ISNUMBER(SEARCH("平",D647)),"平","仄")))</x:f>
        <x:v>仄</x:v>
      </x:c>
      <x:c r="L647" s="7" t="str"/>
    </x:row>
    <x:row r="648">
      <x:c r="A648" s="5" t="str">
        <x:v>嗤</x:v>
      </x:c>
      <x:c r="B648" s="6" t="str">
        <x:v>平</x:v>
      </x:c>
      <x:c r="C648" s="6" t="str">
        <x:f>IF(B648="","Needs decision","Ready")</x:f>
        <x:v>Ready</x:v>
      </x:c>
      <x:c r="D648" s="6" t="str">
        <x:v>平</x:v>
      </x:c>
      <x:c r="E648" s="6" t="str"/>
      <x:c r="F648" s="6" t="str">
        <x:v>上平聲四支</x:v>
      </x:c>
      <x:c r="G648" s="6" t="str">
        <x:v>Pingshui main list, Wikisource-derived DOCX</x:v>
      </x:c>
      <x:c r="H648" s="6" t="str">
        <x:v>0</x:v>
      </x:c>
      <x:c r="I648" s="6" t="str">
        <x:v>User correction 2026-09-08; added manually</x:v>
      </x:c>
      <x:c r="J648" s="6" t="str">
        <x:f>IF(B648="","",IF(AND(ISNUMBER(SEARCH("平",B648)),OR(ISNUMBER(SEARCH("上",B648)),ISNUMBER(SEARCH("去",B648)),ISNUMBER(SEARCH("入",B648)))),"Ambiguous",IF(ISNUMBER(SEARCH("平",B648)),"平","仄")))</x:f>
        <x:v>平</x:v>
      </x:c>
      <x:c r="K648" s="6" t="str">
        <x:f>IF(D648="","",IF(AND(ISNUMBER(SEARCH("平",D648)),OR(ISNUMBER(SEARCH("上",D648)),ISNUMBER(SEARCH("去",D648)),ISNUMBER(SEARCH("入",D648)))),"Ambiguous",IF(ISNUMBER(SEARCH("平",D648)),"平","仄")))</x:f>
        <x:v>平</x:v>
      </x:c>
      <x:c r="L648" s="7" t="str">
        <x:v>User correction</x:v>
      </x:c>
    </x:row>
    <x:row r="649">
      <x:c r="A649" s="5" t="str">
        <x:v>嗸</x:v>
      </x:c>
      <x:c r="B649" s="6" t="str">
        <x:v>平</x:v>
      </x:c>
      <x:c r="C649" s="6" t="str">
        <x:f>IF(B649="","Needs decision","Ready")</x:f>
        <x:v>Ready</x:v>
      </x:c>
      <x:c r="D649" s="6" t="str">
        <x:v>平</x:v>
      </x:c>
      <x:c r="E649" s="6" t="str">
        <x:v>ngaw (A)</x:v>
      </x:c>
      <x:c r="F649" s="6" t="str"/>
      <x:c r="G649" s="6" t="str"/>
      <x:c r="H649" s="6" t="str">
        <x:v>1</x:v>
      </x:c>
      <x:c r="I649" s="6" t="str"/>
      <x:c r="J649" s="6" t="str">
        <x:f>IF(B649="","",IF(AND(ISNUMBER(SEARCH("平",B649)),OR(ISNUMBER(SEARCH("上",B649)),ISNUMBER(SEARCH("去",B649)),ISNUMBER(SEARCH("入",B649)))),"Ambiguous",IF(ISNUMBER(SEARCH("平",B649)),"平","仄")))</x:f>
        <x:v>平</x:v>
      </x:c>
      <x:c r="K649" s="6" t="str">
        <x:f>IF(D649="","",IF(AND(ISNUMBER(SEARCH("平",D649)),OR(ISNUMBER(SEARCH("上",D649)),ISNUMBER(SEARCH("去",D649)),ISNUMBER(SEARCH("入",D649)))),"Ambiguous",IF(ISNUMBER(SEARCH("平",D649)),"平","仄")))</x:f>
        <x:v>平</x:v>
      </x:c>
      <x:c r="L649" s="7" t="str"/>
    </x:row>
    <x:row r="650">
      <x:c r="A650" s="5" t="str">
        <x:v>嗽</x:v>
      </x:c>
      <x:c r="B650" s="6" t="str">
        <x:v>去</x:v>
      </x:c>
      <x:c r="C650" s="6" t="str">
        <x:f>IF(B650="","Needs decision","Ready")</x:f>
        <x:v>Ready</x:v>
      </x:c>
      <x:c r="D650" s="6" t="str">
        <x:v>去</x:v>
      </x:c>
      <x:c r="E650" s="6" t="str">
        <x:v>suwH (C)</x:v>
      </x:c>
      <x:c r="F650" s="6" t="str"/>
      <x:c r="G650" s="6" t="str"/>
      <x:c r="H650" s="6" t="str">
        <x:v>1</x:v>
      </x:c>
      <x:c r="I650" s="6" t="str"/>
      <x:c r="J650" s="6" t="str">
        <x:f>IF(B650="","",IF(AND(ISNUMBER(SEARCH("平",B650)),OR(ISNUMBER(SEARCH("上",B650)),ISNUMBER(SEARCH("去",B650)),ISNUMBER(SEARCH("入",B650)))),"Ambiguous",IF(ISNUMBER(SEARCH("平",B650)),"平","仄")))</x:f>
        <x:v>仄</x:v>
      </x:c>
      <x:c r="K650" s="6" t="str">
        <x:f>IF(D650="","",IF(AND(ISNUMBER(SEARCH("平",D650)),OR(ISNUMBER(SEARCH("上",D650)),ISNUMBER(SEARCH("去",D650)),ISNUMBER(SEARCH("入",D650)))),"Ambiguous",IF(ISNUMBER(SEARCH("平",D650)),"平","仄")))</x:f>
        <x:v>仄</x:v>
      </x:c>
      <x:c r="L650" s="7" t="str"/>
    </x:row>
    <x:row r="651">
      <x:c r="A651" s="5" t="str">
        <x:v>嘅</x:v>
      </x:c>
      <x:c r="B651" s="6" t="str">
        <x:v>去</x:v>
      </x:c>
      <x:c r="C651" s="6" t="str">
        <x:f>IF(B651="","Needs decision","Ready")</x:f>
        <x:v>Ready</x:v>
      </x:c>
      <x:c r="D651" s="6" t="str">
        <x:v>去</x:v>
      </x:c>
      <x:c r="E651" s="6" t="str">
        <x:v>khojH (C)</x:v>
      </x:c>
      <x:c r="F651" s="6" t="str"/>
      <x:c r="G651" s="6" t="str"/>
      <x:c r="H651" s="6" t="str">
        <x:v>1</x:v>
      </x:c>
      <x:c r="I651" s="6" t="str"/>
      <x:c r="J651" s="6" t="str">
        <x:f>IF(B651="","",IF(AND(ISNUMBER(SEARCH("平",B651)),OR(ISNUMBER(SEARCH("上",B651)),ISNUMBER(SEARCH("去",B651)),ISNUMBER(SEARCH("入",B651)))),"Ambiguous",IF(ISNUMBER(SEARCH("平",B651)),"平","仄")))</x:f>
        <x:v>仄</x:v>
      </x:c>
      <x:c r="K651" s="6" t="str">
        <x:f>IF(D651="","",IF(AND(ISNUMBER(SEARCH("平",D651)),OR(ISNUMBER(SEARCH("上",D651)),ISNUMBER(SEARCH("去",D651)),ISNUMBER(SEARCH("入",D651)))),"Ambiguous",IF(ISNUMBER(SEARCH("平",D651)),"平","仄")))</x:f>
        <x:v>仄</x:v>
      </x:c>
      <x:c r="L651" s="7" t="str"/>
    </x:row>
    <x:row r="652">
      <x:c r="A652" s="5" t="str">
        <x:v>嘆</x:v>
      </x:c>
      <x:c r="B652" s="6" t="str">
        <x:v>去</x:v>
      </x:c>
      <x:c r="C652" s="6" t="str">
        <x:f>IF(B652="","Needs decision","Ready")</x:f>
        <x:v>Ready</x:v>
      </x:c>
      <x:c r="D652" s="6" t="str">
        <x:v>去</x:v>
      </x:c>
      <x:c r="E652" s="6" t="str">
        <x:v>thanH (C)</x:v>
      </x:c>
      <x:c r="F652" s="6" t="str"/>
      <x:c r="G652" s="6" t="str"/>
      <x:c r="H652" s="6" t="str">
        <x:v>1</x:v>
      </x:c>
      <x:c r="I652" s="6" t="str"/>
      <x:c r="J652" s="6" t="str">
        <x:f>IF(B652="","",IF(AND(ISNUMBER(SEARCH("平",B652)),OR(ISNUMBER(SEARCH("上",B652)),ISNUMBER(SEARCH("去",B652)),ISNUMBER(SEARCH("入",B652)))),"Ambiguous",IF(ISNUMBER(SEARCH("平",B652)),"平","仄")))</x:f>
        <x:v>仄</x:v>
      </x:c>
      <x:c r="K652" s="6" t="str">
        <x:f>IF(D652="","",IF(AND(ISNUMBER(SEARCH("平",D652)),OR(ISNUMBER(SEARCH("上",D652)),ISNUMBER(SEARCH("去",D652)),ISNUMBER(SEARCH("入",D652)))),"Ambiguous",IF(ISNUMBER(SEARCH("平",D652)),"平","仄")))</x:f>
        <x:v>仄</x:v>
      </x:c>
      <x:c r="L652" s="7" t="str"/>
    </x:row>
    <x:row r="653">
      <x:c r="A653" s="5" t="str">
        <x:v>嘈</x:v>
      </x:c>
      <x:c r="B653" s="6" t="str">
        <x:v>平</x:v>
      </x:c>
      <x:c r="C653" s="6" t="str">
        <x:f>IF(B653="","Needs decision","Ready")</x:f>
        <x:v>Ready</x:v>
      </x:c>
      <x:c r="D653" s="6" t="str">
        <x:v>平</x:v>
      </x:c>
      <x:c r="E653" s="6" t="str">
        <x:v>dzaw [d̙z̙əw] (平)</x:v>
      </x:c>
      <x:c r="F653" s="6" t="str">
        <x:v>下平聲四豪</x:v>
      </x:c>
      <x:c r="G653" s="6" t="str">
        <x:v>Pingshui main list, Wikisource-derived DOCX</x:v>
      </x:c>
      <x:c r="H653" s="6" t="str">
        <x:v>1</x:v>
      </x:c>
      <x:c r="I653" s="6" t="str">
        <x:v>Tang 300 gap; frequency 4; provisional from Xun Gong</x:v>
      </x:c>
      <x:c r="J653" s="6" t="str">
        <x:f>IF(B653="","",IF(AND(ISNUMBER(SEARCH("平",B653)),OR(ISNUMBER(SEARCH("上",B653)),ISNUMBER(SEARCH("去",B653)),ISNUMBER(SEARCH("入",B653)))),"Ambiguous",IF(ISNUMBER(SEARCH("平",B653)),"平","仄")))</x:f>
        <x:v>平</x:v>
      </x:c>
      <x:c r="K653" s="6" t="str">
        <x:f>IF(D653="","",IF(AND(ISNUMBER(SEARCH("平",D653)),OR(ISNUMBER(SEARCH("上",D653)),ISNUMBER(SEARCH("去",D653)),ISNUMBER(SEARCH("入",D653)))),"Ambiguous",IF(ISNUMBER(SEARCH("平",D653)),"平","仄")))</x:f>
        <x:v>平</x:v>
      </x:c>
      <x:c r="L653" s="7" t="str">
        <x:v>Xun Gong, Tang 300 gap fill</x:v>
      </x:c>
    </x:row>
    <x:row r="654">
      <x:c r="A654" s="5" t="str">
        <x:v>嘉</x:v>
      </x:c>
      <x:c r="B654" s="6" t="str">
        <x:v>平</x:v>
      </x:c>
      <x:c r="C654" s="6" t="str">
        <x:f>IF(B654="","Needs decision","Ready")</x:f>
        <x:v>Ready</x:v>
      </x:c>
      <x:c r="D654" s="6" t="str">
        <x:v>平</x:v>
      </x:c>
      <x:c r="E654" s="6" t="str">
        <x:v>kae (A)</x:v>
      </x:c>
      <x:c r="F654" s="6" t="str">
        <x:v>下平聲六麻</x:v>
      </x:c>
      <x:c r="G654" s="6" t="str">
        <x:v>Pingshui main list, Wikisource-derived DOCX</x:v>
      </x:c>
      <x:c r="H654" s="6" t="str">
        <x:v>1</x:v>
      </x:c>
      <x:c r="I654" s="6" t="str"/>
      <x:c r="J654" s="6" t="str">
        <x:f>IF(B654="","",IF(AND(ISNUMBER(SEARCH("平",B654)),OR(ISNUMBER(SEARCH("上",B654)),ISNUMBER(SEARCH("去",B654)),ISNUMBER(SEARCH("入",B654)))),"Ambiguous",IF(ISNUMBER(SEARCH("平",B654)),"平","仄")))</x:f>
        <x:v>平</x:v>
      </x:c>
      <x:c r="K654" s="6" t="str">
        <x:f>IF(D654="","",IF(AND(ISNUMBER(SEARCH("平",D654)),OR(ISNUMBER(SEARCH("上",D654)),ISNUMBER(SEARCH("去",D654)),ISNUMBER(SEARCH("入",D654)))),"Ambiguous",IF(ISNUMBER(SEARCH("平",D654)),"平","仄")))</x:f>
        <x:v>平</x:v>
      </x:c>
      <x:c r="L654" s="7" t="str"/>
    </x:row>
    <x:row r="655">
      <x:c r="A655" s="5" t="str">
        <x:v>嘒</x:v>
      </x:c>
      <x:c r="B655" s="6" t="str">
        <x:v>去</x:v>
      </x:c>
      <x:c r="C655" s="6" t="str">
        <x:f>IF(B655="","Needs decision","Ready")</x:f>
        <x:v>Ready</x:v>
      </x:c>
      <x:c r="D655" s="6" t="str">
        <x:v>去</x:v>
      </x:c>
      <x:c r="E655" s="6" t="str">
        <x:v>xwejH (C)</x:v>
      </x:c>
      <x:c r="F655" s="6" t="str">
        <x:v>去聲八霽</x:v>
      </x:c>
      <x:c r="G655" s="6" t="str">
        <x:v>Pingshui main list, Wikisource-derived DOCX</x:v>
      </x:c>
      <x:c r="H655" s="6" t="str">
        <x:v>1</x:v>
      </x:c>
      <x:c r="I655" s="6" t="str"/>
      <x:c r="J655" s="6" t="str">
        <x:f>IF(B655="","",IF(AND(ISNUMBER(SEARCH("平",B655)),OR(ISNUMBER(SEARCH("上",B655)),ISNUMBER(SEARCH("去",B655)),ISNUMBER(SEARCH("入",B655)))),"Ambiguous",IF(ISNUMBER(SEARCH("平",B655)),"平","仄")))</x:f>
        <x:v>仄</x:v>
      </x:c>
      <x:c r="K655" s="6" t="str">
        <x:f>IF(D655="","",IF(AND(ISNUMBER(SEARCH("平",D655)),OR(ISNUMBER(SEARCH("上",D655)),ISNUMBER(SEARCH("去",D655)),ISNUMBER(SEARCH("入",D655)))),"Ambiguous",IF(ISNUMBER(SEARCH("平",D655)),"平","仄")))</x:f>
        <x:v>仄</x:v>
      </x:c>
      <x:c r="L655" s="7" t="str"/>
    </x:row>
    <x:row r="656">
      <x:c r="A656" s="5" t="str">
        <x:v>嘔</x:v>
      </x:c>
      <x:c r="B656" s="6" t="str">
        <x:v>上</x:v>
      </x:c>
      <x:c r="C656" s="6" t="str">
        <x:f>IF(B656="","Needs decision","Ready")</x:f>
        <x:v>Ready</x:v>
      </x:c>
      <x:c r="D656" s="6" t="str">
        <x:v>上</x:v>
      </x:c>
      <x:c r="E656" s="6" t="str">
        <x:v>'uwX (B)</x:v>
      </x:c>
      <x:c r="F656" s="6" t="str">
        <x:v>上平聲七虞; 下平聲十一尤</x:v>
      </x:c>
      <x:c r="G656" s="6" t="str">
        <x:v>Pingshui main list, Wikisource-derived DOCX</x:v>
      </x:c>
      <x:c r="H656" s="6" t="str">
        <x:v>1</x:v>
      </x:c>
      <x:c r="I656" s="6" t="str"/>
      <x:c r="J656" s="6" t="str">
        <x:f>IF(B656="","",IF(AND(ISNUMBER(SEARCH("平",B656)),OR(ISNUMBER(SEARCH("上",B656)),ISNUMBER(SEARCH("去",B656)),ISNUMBER(SEARCH("入",B656)))),"Ambiguous",IF(ISNUMBER(SEARCH("平",B656)),"平","仄")))</x:f>
        <x:v>仄</x:v>
      </x:c>
      <x:c r="K656" s="6" t="str">
        <x:f>IF(D656="","",IF(AND(ISNUMBER(SEARCH("平",D656)),OR(ISNUMBER(SEARCH("上",D656)),ISNUMBER(SEARCH("去",D656)),ISNUMBER(SEARCH("入",D656)))),"Ambiguous",IF(ISNUMBER(SEARCH("平",D656)),"平","仄")))</x:f>
        <x:v>仄</x:v>
      </x:c>
      <x:c r="L656" s="7" t="str"/>
    </x:row>
    <x:row r="657">
      <x:c r="A657" s="5" t="str">
        <x:v>嘗</x:v>
      </x:c>
      <x:c r="B657" s="6" t="str">
        <x:v>平</x:v>
      </x:c>
      <x:c r="C657" s="6" t="str">
        <x:f>IF(B657="","Needs decision","Ready")</x:f>
        <x:v>Ready</x:v>
      </x:c>
      <x:c r="D657" s="6" t="str">
        <x:v>平</x:v>
      </x:c>
      <x:c r="E657" s="6" t="str">
        <x:v>dzyang (A)</x:v>
      </x:c>
      <x:c r="F657" s="6" t="str">
        <x:v>下平聲七陽</x:v>
      </x:c>
      <x:c r="G657" s="6" t="str">
        <x:v>Pingshui main list, Wikisource-derived DOCX</x:v>
      </x:c>
      <x:c r="H657" s="6" t="str">
        <x:v>1</x:v>
      </x:c>
      <x:c r="I657" s="6" t="str"/>
      <x:c r="J657" s="6" t="str">
        <x:f>IF(B657="","",IF(AND(ISNUMBER(SEARCH("平",B657)),OR(ISNUMBER(SEARCH("上",B657)),ISNUMBER(SEARCH("去",B657)),ISNUMBER(SEARCH("入",B657)))),"Ambiguous",IF(ISNUMBER(SEARCH("平",B657)),"平","仄")))</x:f>
        <x:v>平</x:v>
      </x:c>
      <x:c r="K657" s="6" t="str">
        <x:f>IF(D657="","",IF(AND(ISNUMBER(SEARCH("平",D657)),OR(ISNUMBER(SEARCH("上",D657)),ISNUMBER(SEARCH("去",D657)),ISNUMBER(SEARCH("入",D657)))),"Ambiguous",IF(ISNUMBER(SEARCH("平",D657)),"平","仄")))</x:f>
        <x:v>平</x:v>
      </x:c>
      <x:c r="L657" s="7" t="str"/>
    </x:row>
    <x:row r="658">
      <x:c r="A658" s="5" t="str">
        <x:v>嘬</x:v>
      </x:c>
      <x:c r="B658" s="6" t="str">
        <x:v>去</x:v>
      </x:c>
      <x:c r="C658" s="6" t="str">
        <x:f>IF(B658="","Needs decision","Ready")</x:f>
        <x:v>Ready</x:v>
      </x:c>
      <x:c r="D658" s="6" t="str">
        <x:v>去</x:v>
      </x:c>
      <x:c r="E658" s="6" t="str">
        <x:v>tsrhwaejH (C); tsrhweajH (C)</x:v>
      </x:c>
      <x:c r="F658" s="6" t="str">
        <x:v>去聲十卦</x:v>
      </x:c>
      <x:c r="G658" s="6" t="str">
        <x:v>Pingshui main list, Wikisource-derived DOCX</x:v>
      </x:c>
      <x:c r="H658" s="6" t="str">
        <x:v>2</x:v>
      </x:c>
      <x:c r="I658" s="6" t="str"/>
      <x:c r="J658" s="6" t="str">
        <x:f>IF(B658="","",IF(AND(ISNUMBER(SEARCH("平",B658)),OR(ISNUMBER(SEARCH("上",B658)),ISNUMBER(SEARCH("去",B658)),ISNUMBER(SEARCH("入",B658)))),"Ambiguous",IF(ISNUMBER(SEARCH("平",B658)),"平","仄")))</x:f>
        <x:v>仄</x:v>
      </x:c>
      <x:c r="K658" s="6" t="str">
        <x:f>IF(D658="","",IF(AND(ISNUMBER(SEARCH("平",D658)),OR(ISNUMBER(SEARCH("上",D658)),ISNUMBER(SEARCH("去",D658)),ISNUMBER(SEARCH("入",D658)))),"Ambiguous",IF(ISNUMBER(SEARCH("平",D658)),"平","仄")))</x:f>
        <x:v>仄</x:v>
      </x:c>
      <x:c r="L658" s="7" t="str"/>
    </x:row>
    <x:row r="659">
      <x:c r="A659" s="5" t="str">
        <x:v>嘯</x:v>
      </x:c>
      <x:c r="B659" s="6" t="str">
        <x:v>去</x:v>
      </x:c>
      <x:c r="C659" s="6" t="str">
        <x:f>IF(B659="","Needs decision","Ready")</x:f>
        <x:v>Ready</x:v>
      </x:c>
      <x:c r="D659" s="6" t="str">
        <x:v>去</x:v>
      </x:c>
      <x:c r="E659" s="6" t="str">
        <x:v>sewH (C)</x:v>
      </x:c>
      <x:c r="F659" s="6" t="str">
        <x:v>去聲十八嘯</x:v>
      </x:c>
      <x:c r="G659" s="6" t="str">
        <x:v>Pingshui main list, Wikisource-derived DOCX</x:v>
      </x:c>
      <x:c r="H659" s="6" t="str">
        <x:v>1</x:v>
      </x:c>
      <x:c r="I659" s="6" t="str"/>
      <x:c r="J659" s="6" t="str">
        <x:f>IF(B659="","",IF(AND(ISNUMBER(SEARCH("平",B659)),OR(ISNUMBER(SEARCH("上",B659)),ISNUMBER(SEARCH("去",B659)),ISNUMBER(SEARCH("入",B659)))),"Ambiguous",IF(ISNUMBER(SEARCH("平",B659)),"平","仄")))</x:f>
        <x:v>仄</x:v>
      </x:c>
      <x:c r="K659" s="6" t="str">
        <x:f>IF(D659="","",IF(AND(ISNUMBER(SEARCH("平",D659)),OR(ISNUMBER(SEARCH("上",D659)),ISNUMBER(SEARCH("去",D659)),ISNUMBER(SEARCH("入",D659)))),"Ambiguous",IF(ISNUMBER(SEARCH("平",D659)),"平","仄")))</x:f>
        <x:v>仄</x:v>
      </x:c>
      <x:c r="L659" s="7" t="str"/>
    </x:row>
    <x:row r="660">
      <x:c r="A660" s="5" t="str">
        <x:v>嘲</x:v>
      </x:c>
      <x:c r="B660" s="6" t="str">
        <x:v>平</x:v>
      </x:c>
      <x:c r="C660" s="6" t="str">
        <x:f>IF(B660="","Needs decision","Ready")</x:f>
        <x:v>Ready</x:v>
      </x:c>
      <x:c r="D660" s="6" t="str">
        <x:v>平</x:v>
      </x:c>
      <x:c r="E660" s="6" t="str">
        <x:v>traew [ʈaˤw] (平)</x:v>
      </x:c>
      <x:c r="F660" s="6" t="str">
        <x:v>下平聲三肴</x:v>
      </x:c>
      <x:c r="G660" s="6" t="str">
        <x:v>Pingshui main list, Wikisource-derived DOCX</x:v>
      </x:c>
      <x:c r="H660" s="6" t="str">
        <x:v>1</x:v>
      </x:c>
      <x:c r="I660" s="6" t="str">
        <x:v>Tang 300 gap; frequency 1; provisional from Xun Gong</x:v>
      </x:c>
      <x:c r="J660" s="6" t="str">
        <x:f>IF(B660="","",IF(AND(ISNUMBER(SEARCH("平",B660)),OR(ISNUMBER(SEARCH("上",B660)),ISNUMBER(SEARCH("去",B660)),ISNUMBER(SEARCH("入",B660)))),"Ambiguous",IF(ISNUMBER(SEARCH("平",B660)),"平","仄")))</x:f>
        <x:v>平</x:v>
      </x:c>
      <x:c r="K660" s="6" t="str">
        <x:f>IF(D660="","",IF(AND(ISNUMBER(SEARCH("平",D660)),OR(ISNUMBER(SEARCH("上",D660)),ISNUMBER(SEARCH("去",D660)),ISNUMBER(SEARCH("入",D660)))),"Ambiguous",IF(ISNUMBER(SEARCH("平",D660)),"平","仄")))</x:f>
        <x:v>平</x:v>
      </x:c>
      <x:c r="L660" s="7" t="str">
        <x:v>Xun Gong, Tang 300 gap fill</x:v>
      </x:c>
    </x:row>
    <x:row r="661">
      <x:c r="A661" s="5" t="str">
        <x:v>嘶</x:v>
      </x:c>
      <x:c r="B661" s="6" t="str">
        <x:v>平</x:v>
      </x:c>
      <x:c r="C661" s="6" t="str">
        <x:f>IF(B661="","Needs decision","Ready")</x:f>
        <x:v>Ready</x:v>
      </x:c>
      <x:c r="D661" s="6" t="str">
        <x:v>平</x:v>
      </x:c>
      <x:c r="E661" s="6" t="str">
        <x:v>sej (A)</x:v>
      </x:c>
      <x:c r="F661" s="6" t="str">
        <x:v>上平聲八齊</x:v>
      </x:c>
      <x:c r="G661" s="6" t="str">
        <x:v>Pingshui main list, Wikisource-derived DOCX</x:v>
      </x:c>
      <x:c r="H661" s="6" t="str">
        <x:v>1</x:v>
      </x:c>
      <x:c r="I661" s="6" t="str"/>
      <x:c r="J661" s="6" t="str">
        <x:f>IF(B661="","",IF(AND(ISNUMBER(SEARCH("平",B661)),OR(ISNUMBER(SEARCH("上",B661)),ISNUMBER(SEARCH("去",B661)),ISNUMBER(SEARCH("入",B661)))),"Ambiguous",IF(ISNUMBER(SEARCH("平",B661)),"平","仄")))</x:f>
        <x:v>平</x:v>
      </x:c>
      <x:c r="K661" s="6" t="str">
        <x:f>IF(D661="","",IF(AND(ISNUMBER(SEARCH("平",D661)),OR(ISNUMBER(SEARCH("上",D661)),ISNUMBER(SEARCH("去",D661)),ISNUMBER(SEARCH("入",D661)))),"Ambiguous",IF(ISNUMBER(SEARCH("平",D661)),"平","仄")))</x:f>
        <x:v>平</x:v>
      </x:c>
      <x:c r="L661" s="7" t="str"/>
    </x:row>
    <x:row r="662">
      <x:c r="A662" s="5" t="str">
        <x:v>嘽</x:v>
      </x:c>
      <x:c r="B662" s="6" t="str">
        <x:v>平</x:v>
      </x:c>
      <x:c r="C662" s="6" t="str">
        <x:f>IF(B662="","Needs decision","Ready")</x:f>
        <x:v>Ready</x:v>
      </x:c>
      <x:c r="D662" s="6" t="str">
        <x:v>平</x:v>
      </x:c>
      <x:c r="E662" s="6" t="str">
        <x:v>than (A)</x:v>
      </x:c>
      <x:c r="F662" s="6" t="str">
        <x:v>上平聲十四寒</x:v>
      </x:c>
      <x:c r="G662" s="6" t="str">
        <x:v>Pingshui main list, Wikisource-derived DOCX</x:v>
      </x:c>
      <x:c r="H662" s="6" t="str">
        <x:v>1</x:v>
      </x:c>
      <x:c r="I662" s="6" t="str"/>
      <x:c r="J662" s="6" t="str">
        <x:f>IF(B662="","",IF(AND(ISNUMBER(SEARCH("平",B662)),OR(ISNUMBER(SEARCH("上",B662)),ISNUMBER(SEARCH("去",B662)),ISNUMBER(SEARCH("入",B662)))),"Ambiguous",IF(ISNUMBER(SEARCH("平",B662)),"平","仄")))</x:f>
        <x:v>平</x:v>
      </x:c>
      <x:c r="K662" s="6" t="str">
        <x:f>IF(D662="","",IF(AND(ISNUMBER(SEARCH("平",D662)),OR(ISNUMBER(SEARCH("上",D662)),ISNUMBER(SEARCH("去",D662)),ISNUMBER(SEARCH("入",D662)))),"Ambiguous",IF(ISNUMBER(SEARCH("平",D662)),"平","仄")))</x:f>
        <x:v>平</x:v>
      </x:c>
      <x:c r="L662" s="7" t="str"/>
    </x:row>
    <x:row r="663">
      <x:c r="A663" s="5" t="str">
        <x:v>噆</x:v>
      </x:c>
      <x:c r="B663" s="6" t="str">
        <x:v>入</x:v>
      </x:c>
      <x:c r="C663" s="6" t="str">
        <x:f>IF(B663="","Needs decision","Ready")</x:f>
        <x:v>Ready</x:v>
      </x:c>
      <x:c r="D663" s="6" t="str">
        <x:v>入</x:v>
      </x:c>
      <x:c r="E663" s="6" t="str">
        <x:v>tsop (D)</x:v>
      </x:c>
      <x:c r="F663" s="6" t="str"/>
      <x:c r="G663" s="6" t="str"/>
      <x:c r="H663" s="6" t="str">
        <x:v>1</x:v>
      </x:c>
      <x:c r="I663" s="6" t="str"/>
      <x:c r="J663" s="6" t="str">
        <x:f>IF(B663="","",IF(AND(ISNUMBER(SEARCH("平",B663)),OR(ISNUMBER(SEARCH("上",B663)),ISNUMBER(SEARCH("去",B663)),ISNUMBER(SEARCH("入",B663)))),"Ambiguous",IF(ISNUMBER(SEARCH("平",B663)),"平","仄")))</x:f>
        <x:v>仄</x:v>
      </x:c>
      <x:c r="K663" s="6" t="str">
        <x:f>IF(D663="","",IF(AND(ISNUMBER(SEARCH("平",D663)),OR(ISNUMBER(SEARCH("上",D663)),ISNUMBER(SEARCH("去",D663)),ISNUMBER(SEARCH("入",D663)))),"Ambiguous",IF(ISNUMBER(SEARCH("平",D663)),"平","仄")))</x:f>
        <x:v>仄</x:v>
      </x:c>
      <x:c r="L663" s="7" t="str"/>
    </x:row>
    <x:row r="664">
      <x:c r="A664" s="5" t="str">
        <x:v>噍</x:v>
      </x:c>
      <x:c r="B664" s="6" t="str">
        <x:v>去</x:v>
      </x:c>
      <x:c r="C664" s="6" t="str">
        <x:f>IF(B664="","Needs decision","Ready")</x:f>
        <x:v>Ready</x:v>
      </x:c>
      <x:c r="D664" s="6" t="str">
        <x:v>去</x:v>
      </x:c>
      <x:c r="E664" s="6" t="str">
        <x:v>dzjewH (C)</x:v>
      </x:c>
      <x:c r="F664" s="6" t="str"/>
      <x:c r="G664" s="6" t="str"/>
      <x:c r="H664" s="6" t="str">
        <x:v>1</x:v>
      </x:c>
      <x:c r="I664" s="6" t="str"/>
      <x:c r="J664" s="6" t="str">
        <x:f>IF(B664="","",IF(AND(ISNUMBER(SEARCH("平",B664)),OR(ISNUMBER(SEARCH("上",B664)),ISNUMBER(SEARCH("去",B664)),ISNUMBER(SEARCH("入",B664)))),"Ambiguous",IF(ISNUMBER(SEARCH("平",B664)),"平","仄")))</x:f>
        <x:v>仄</x:v>
      </x:c>
      <x:c r="K664" s="6" t="str">
        <x:f>IF(D664="","",IF(AND(ISNUMBER(SEARCH("平",D664)),OR(ISNUMBER(SEARCH("上",D664)),ISNUMBER(SEARCH("去",D664)),ISNUMBER(SEARCH("入",D664)))),"Ambiguous",IF(ISNUMBER(SEARCH("平",D664)),"平","仄")))</x:f>
        <x:v>仄</x:v>
      </x:c>
      <x:c r="L664" s="7" t="str"/>
    </x:row>
    <x:row r="665">
      <x:c r="A665" s="5" t="str">
        <x:v>噎</x:v>
      </x:c>
      <x:c r="B665" s="6" t="str">
        <x:v>入</x:v>
      </x:c>
      <x:c r="C665" s="6" t="str">
        <x:f>IF(B665="","Needs decision","Ready")</x:f>
        <x:v>Ready</x:v>
      </x:c>
      <x:c r="D665" s="6" t="str">
        <x:v>入</x:v>
      </x:c>
      <x:c r="E665" s="6" t="str">
        <x:v>'et (D)</x:v>
      </x:c>
      <x:c r="F665" s="6" t="str">
        <x:v>入聲九屑</x:v>
      </x:c>
      <x:c r="G665" s="6" t="str">
        <x:v>Pingshui main list, Wikisource-derived DOCX</x:v>
      </x:c>
      <x:c r="H665" s="6" t="str">
        <x:v>1</x:v>
      </x:c>
      <x:c r="I665" s="6" t="str"/>
      <x:c r="J665" s="6" t="str">
        <x:f>IF(B665="","",IF(AND(ISNUMBER(SEARCH("平",B665)),OR(ISNUMBER(SEARCH("上",B665)),ISNUMBER(SEARCH("去",B665)),ISNUMBER(SEARCH("入",B665)))),"Ambiguous",IF(ISNUMBER(SEARCH("平",B665)),"平","仄")))</x:f>
        <x:v>仄</x:v>
      </x:c>
      <x:c r="K665" s="6" t="str">
        <x:f>IF(D665="","",IF(AND(ISNUMBER(SEARCH("平",D665)),OR(ISNUMBER(SEARCH("上",D665)),ISNUMBER(SEARCH("去",D665)),ISNUMBER(SEARCH("入",D665)))),"Ambiguous",IF(ISNUMBER(SEARCH("平",D665)),"平","仄")))</x:f>
        <x:v>仄</x:v>
      </x:c>
      <x:c r="L665" s="7" t="str"/>
    </x:row>
    <x:row r="666">
      <x:c r="A666" s="5" t="str">
        <x:v>噏</x:v>
      </x:c>
      <x:c r="B666" s="6" t="str">
        <x:v>入</x:v>
      </x:c>
      <x:c r="C666" s="6" t="str">
        <x:f>IF(B666="","Needs decision","Ready")</x:f>
        <x:v>Ready</x:v>
      </x:c>
      <x:c r="D666" s="6" t="str">
        <x:v>入</x:v>
      </x:c>
      <x:c r="E666" s="6" t="str">
        <x:v>xip (D)</x:v>
      </x:c>
      <x:c r="F666" s="6" t="str"/>
      <x:c r="G666" s="6" t="str"/>
      <x:c r="H666" s="6" t="str">
        <x:v>1</x:v>
      </x:c>
      <x:c r="I666" s="6" t="str"/>
      <x:c r="J666" s="6" t="str">
        <x:f>IF(B666="","",IF(AND(ISNUMBER(SEARCH("平",B666)),OR(ISNUMBER(SEARCH("上",B666)),ISNUMBER(SEARCH("去",B666)),ISNUMBER(SEARCH("入",B666)))),"Ambiguous",IF(ISNUMBER(SEARCH("平",B666)),"平","仄")))</x:f>
        <x:v>仄</x:v>
      </x:c>
      <x:c r="K666" s="6" t="str">
        <x:f>IF(D666="","",IF(AND(ISNUMBER(SEARCH("平",D666)),OR(ISNUMBER(SEARCH("上",D666)),ISNUMBER(SEARCH("去",D666)),ISNUMBER(SEARCH("入",D666)))),"Ambiguous",IF(ISNUMBER(SEARCH("平",D666)),"平","仄")))</x:f>
        <x:v>仄</x:v>
      </x:c>
      <x:c r="L666" s="7" t="str"/>
    </x:row>
    <x:row r="667">
      <x:c r="A667" s="5" t="str">
        <x:v>噡</x:v>
      </x:c>
      <x:c r="B667" s="6" t="str">
        <x:v>平</x:v>
      </x:c>
      <x:c r="C667" s="6" t="str">
        <x:f>IF(B667="","Needs decision","Ready")</x:f>
        <x:v>Ready</x:v>
      </x:c>
      <x:c r="D667" s="6" t="str">
        <x:v>平</x:v>
      </x:c>
      <x:c r="E667" s="6" t="str">
        <x:v>tsyem (A)</x:v>
      </x:c>
      <x:c r="F667" s="6" t="str"/>
      <x:c r="G667" s="6" t="str"/>
      <x:c r="H667" s="6" t="str">
        <x:v>1</x:v>
      </x:c>
      <x:c r="I667" s="6" t="str"/>
      <x:c r="J667" s="6" t="str">
        <x:f>IF(B667="","",IF(AND(ISNUMBER(SEARCH("平",B667)),OR(ISNUMBER(SEARCH("上",B667)),ISNUMBER(SEARCH("去",B667)),ISNUMBER(SEARCH("入",B667)))),"Ambiguous",IF(ISNUMBER(SEARCH("平",B667)),"平","仄")))</x:f>
        <x:v>平</x:v>
      </x:c>
      <x:c r="K667" s="6" t="str">
        <x:f>IF(D667="","",IF(AND(ISNUMBER(SEARCH("平",D667)),OR(ISNUMBER(SEARCH("上",D667)),ISNUMBER(SEARCH("去",D667)),ISNUMBER(SEARCH("入",D667)))),"Ambiguous",IF(ISNUMBER(SEARCH("平",D667)),"平","仄")))</x:f>
        <x:v>平</x:v>
      </x:c>
      <x:c r="L667" s="7" t="str"/>
    </x:row>
    <x:row r="668">
      <x:c r="A668" s="5" t="str">
        <x:v>器</x:v>
      </x:c>
      <x:c r="B668" s="6" t="str">
        <x:v>去</x:v>
      </x:c>
      <x:c r="C668" s="6" t="str">
        <x:f>IF(B668="","Needs decision","Ready")</x:f>
        <x:v>Ready</x:v>
      </x:c>
      <x:c r="D668" s="6" t="str">
        <x:v>去</x:v>
      </x:c>
      <x:c r="E668" s="6" t="str">
        <x:v>khijH (C)</x:v>
      </x:c>
      <x:c r="F668" s="6" t="str">
        <x:v>去聲四寘</x:v>
      </x:c>
      <x:c r="G668" s="6" t="str">
        <x:v>Pingshui main list, Wikisource-derived DOCX</x:v>
      </x:c>
      <x:c r="H668" s="6" t="str">
        <x:v>1</x:v>
      </x:c>
      <x:c r="I668" s="6" t="str"/>
      <x:c r="J668" s="6" t="str">
        <x:f>IF(B668="","",IF(AND(ISNUMBER(SEARCH("平",B668)),OR(ISNUMBER(SEARCH("上",B668)),ISNUMBER(SEARCH("去",B668)),ISNUMBER(SEARCH("入",B668)))),"Ambiguous",IF(ISNUMBER(SEARCH("平",B668)),"平","仄")))</x:f>
        <x:v>仄</x:v>
      </x:c>
      <x:c r="K668" s="6" t="str">
        <x:f>IF(D668="","",IF(AND(ISNUMBER(SEARCH("平",D668)),OR(ISNUMBER(SEARCH("上",D668)),ISNUMBER(SEARCH("去",D668)),ISNUMBER(SEARCH("入",D668)))),"Ambiguous",IF(ISNUMBER(SEARCH("平",D668)),"平","仄")))</x:f>
        <x:v>仄</x:v>
      </x:c>
      <x:c r="L668" s="7" t="str"/>
    </x:row>
    <x:row r="669">
      <x:c r="A669" s="5" t="str">
        <x:v>噫</x:v>
      </x:c>
      <x:c r="B669" s="6" t="str"/>
      <x:c r="C669" s="6" t="str">
        <x:f>IF(B669="","Needs decision","Ready")</x:f>
        <x:v>Needs decision</x:v>
      </x:c>
      <x:c r="D669" s="6" t="str">
        <x:v>平/去</x:v>
      </x:c>
      <x:c r="E669" s="6" t="str">
        <x:v>'eajH [ʔ̙eˤjh] (去); 'i [ʔɨ] (平)</x:v>
      </x:c>
      <x:c r="F669" s="6" t="str">
        <x:v>上平聲四支; 去聲十卦</x:v>
      </x:c>
      <x:c r="G669" s="6" t="str">
        <x:v>Pingshui main list, Wikisource-derived DOCX</x:v>
      </x:c>
      <x:c r="H669" s="6" t="str">
        <x:v>2</x:v>
      </x:c>
      <x:c r="I669" s="6" t="str">
        <x:v>Tang 300 gap; frequency 1; ambiguous in Xun Gong</x:v>
      </x:c>
      <x:c r="J669" s="6" t="str">
        <x:f>IF(B669="","",IF(AND(ISNUMBER(SEARCH("平",B669)),OR(ISNUMBER(SEARCH("上",B669)),ISNUMBER(SEARCH("去",B669)),ISNUMBER(SEARCH("入",B669)))),"Ambiguous",IF(ISNUMBER(SEARCH("平",B669)),"平","仄")))</x:f>
      </x:c>
      <x:c r="K669" s="6" t="str">
        <x:f>IF(D669="","",IF(AND(ISNUMBER(SEARCH("平",D669)),OR(ISNUMBER(SEARCH("上",D669)),ISNUMBER(SEARCH("去",D669)),ISNUMBER(SEARCH("入",D669)))),"Ambiguous",IF(ISNUMBER(SEARCH("平",D669)),"平","仄")))</x:f>
        <x:v>Ambiguous</x:v>
      </x:c>
      <x:c r="L669" s="7" t="str">
        <x:v>Xun Gong, Tang 300 gap fill</x:v>
      </x:c>
    </x:row>
    <x:row r="670">
      <x:c r="A670" s="5" t="str">
        <x:v>噬</x:v>
      </x:c>
      <x:c r="B670" s="6" t="str">
        <x:v>去</x:v>
      </x:c>
      <x:c r="C670" s="6" t="str">
        <x:f>IF(B670="","Needs decision","Ready")</x:f>
        <x:v>Ready</x:v>
      </x:c>
      <x:c r="D670" s="6" t="str">
        <x:v>去</x:v>
      </x:c>
      <x:c r="E670" s="6" t="str">
        <x:v>dzyejH (C)</x:v>
      </x:c>
      <x:c r="F670" s="6" t="str">
        <x:v>去聲八霽</x:v>
      </x:c>
      <x:c r="G670" s="6" t="str">
        <x:v>Pingshui main list, Wikisource-derived DOCX</x:v>
      </x:c>
      <x:c r="H670" s="6" t="str">
        <x:v>1</x:v>
      </x:c>
      <x:c r="I670" s="6" t="str"/>
      <x:c r="J670" s="6" t="str">
        <x:f>IF(B670="","",IF(AND(ISNUMBER(SEARCH("平",B670)),OR(ISNUMBER(SEARCH("上",B670)),ISNUMBER(SEARCH("去",B670)),ISNUMBER(SEARCH("入",B670)))),"Ambiguous",IF(ISNUMBER(SEARCH("平",B670)),"平","仄")))</x:f>
        <x:v>仄</x:v>
      </x:c>
      <x:c r="K670" s="6" t="str">
        <x:f>IF(D670="","",IF(AND(ISNUMBER(SEARCH("平",D670)),OR(ISNUMBER(SEARCH("上",D670)),ISNUMBER(SEARCH("去",D670)),ISNUMBER(SEARCH("入",D670)))),"Ambiguous",IF(ISNUMBER(SEARCH("平",D670)),"平","仄")))</x:f>
        <x:v>仄</x:v>
      </x:c>
      <x:c r="L670" s="7" t="str"/>
    </x:row>
    <x:row r="671">
      <x:c r="A671" s="5" t="str">
        <x:v>噲</x:v>
      </x:c>
      <x:c r="B671" s="6" t="str">
        <x:v>去</x:v>
      </x:c>
      <x:c r="C671" s="6" t="str">
        <x:f>IF(B671="","Needs decision","Ready")</x:f>
        <x:v>Ready</x:v>
      </x:c>
      <x:c r="D671" s="6" t="str">
        <x:v>去</x:v>
      </x:c>
      <x:c r="E671" s="6" t="str">
        <x:v>khwaejH (C)</x:v>
      </x:c>
      <x:c r="F671" s="6" t="str">
        <x:v>去聲十卦</x:v>
      </x:c>
      <x:c r="G671" s="6" t="str">
        <x:v>Pingshui main list, Wikisource-derived DOCX</x:v>
      </x:c>
      <x:c r="H671" s="6" t="str">
        <x:v>1</x:v>
      </x:c>
      <x:c r="I671" s="6" t="str"/>
      <x:c r="J671" s="6" t="str">
        <x:f>IF(B671="","",IF(AND(ISNUMBER(SEARCH("平",B671)),OR(ISNUMBER(SEARCH("上",B671)),ISNUMBER(SEARCH("去",B671)),ISNUMBER(SEARCH("入",B671)))),"Ambiguous",IF(ISNUMBER(SEARCH("平",B671)),"平","仄")))</x:f>
        <x:v>仄</x:v>
      </x:c>
      <x:c r="K671" s="6" t="str">
        <x:f>IF(D671="","",IF(AND(ISNUMBER(SEARCH("平",D671)),OR(ISNUMBER(SEARCH("上",D671)),ISNUMBER(SEARCH("去",D671)),ISNUMBER(SEARCH("入",D671)))),"Ambiguous",IF(ISNUMBER(SEARCH("平",D671)),"平","仄")))</x:f>
        <x:v>仄</x:v>
      </x:c>
      <x:c r="L671" s="7" t="str"/>
    </x:row>
    <x:row r="672">
      <x:c r="A672" s="5" t="str">
        <x:v>噴</x:v>
      </x:c>
      <x:c r="B672" s="6" t="str"/>
      <x:c r="C672" s="6" t="str">
        <x:f>IF(B672="","Needs decision","Ready")</x:f>
        <x:v>Needs decision</x:v>
      </x:c>
      <x:c r="D672" s="6" t="str">
        <x:v>平/去</x:v>
      </x:c>
      <x:c r="E672" s="6" t="str">
        <x:v>phwon [p̙ʰwən] (平); phwonH [p̙ʰwənh] (去)</x:v>
      </x:c>
      <x:c r="F672" s="6" t="str">
        <x:v>上平聲十三元; 去聲十四願</x:v>
      </x:c>
      <x:c r="G672" s="6" t="str">
        <x:v>Pingshui main list, Wikisource-derived DOCX</x:v>
      </x:c>
      <x:c r="H672" s="6" t="str">
        <x:v>2</x:v>
      </x:c>
      <x:c r="I672" s="6" t="str">
        <x:v>Tang 300 gap; frequency 1; ambiguous in Xun Gong</x:v>
      </x:c>
      <x:c r="J672" s="6" t="str">
        <x:f>IF(B672="","",IF(AND(ISNUMBER(SEARCH("平",B672)),OR(ISNUMBER(SEARCH("上",B672)),ISNUMBER(SEARCH("去",B672)),ISNUMBER(SEARCH("入",B672)))),"Ambiguous",IF(ISNUMBER(SEARCH("平",B672)),"平","仄")))</x:f>
      </x:c>
      <x:c r="K672" s="6" t="str">
        <x:f>IF(D672="","",IF(AND(ISNUMBER(SEARCH("平",D672)),OR(ISNUMBER(SEARCH("上",D672)),ISNUMBER(SEARCH("去",D672)),ISNUMBER(SEARCH("入",D672)))),"Ambiguous",IF(ISNUMBER(SEARCH("平",D672)),"平","仄")))</x:f>
        <x:v>Ambiguous</x:v>
      </x:c>
      <x:c r="L672" s="7" t="str">
        <x:v>Xun Gong, Tang 300 gap fill</x:v>
      </x:c>
    </x:row>
    <x:row r="673">
      <x:c r="A673" s="5" t="str">
        <x:v>嚇</x:v>
      </x:c>
      <x:c r="B673" s="6" t="str"/>
      <x:c r="C673" s="6" t="str">
        <x:f>IF(B673="","Needs decision","Ready")</x:f>
        <x:v>Needs decision</x:v>
      </x:c>
      <x:c r="D673" s="6" t="str">
        <x:v>去/入</x:v>
      </x:c>
      <x:c r="E673" s="6" t="str">
        <x:v>xaek (D); xaeH (C)</x:v>
      </x:c>
      <x:c r="F673" s="6" t="str">
        <x:v>入聲十一陌</x:v>
      </x:c>
      <x:c r="G673" s="6" t="str">
        <x:v>Pingshui main list, Wikisource-derived DOCX</x:v>
      </x:c>
      <x:c r="H673" s="6" t="str">
        <x:v>2</x:v>
      </x:c>
      <x:c r="I673" s="6" t="str"/>
      <x:c r="J673" s="6" t="str">
        <x:f>IF(B673="","",IF(AND(ISNUMBER(SEARCH("平",B673)),OR(ISNUMBER(SEARCH("上",B673)),ISNUMBER(SEARCH("去",B673)),ISNUMBER(SEARCH("入",B673)))),"Ambiguous",IF(ISNUMBER(SEARCH("平",B673)),"平","仄")))</x:f>
      </x:c>
      <x:c r="K673" s="6" t="str">
        <x:f>IF(D673="","",IF(AND(ISNUMBER(SEARCH("平",D673)),OR(ISNUMBER(SEARCH("上",D673)),ISNUMBER(SEARCH("去",D673)),ISNUMBER(SEARCH("入",D673)))),"Ambiguous",IF(ISNUMBER(SEARCH("平",D673)),"平","仄")))</x:f>
        <x:v>仄</x:v>
      </x:c>
      <x:c r="L673" s="7" t="str"/>
    </x:row>
    <x:row r="674">
      <x:c r="A674" s="5" t="str">
        <x:v>嚏</x:v>
      </x:c>
      <x:c r="B674" s="6" t="str">
        <x:v>去</x:v>
      </x:c>
      <x:c r="C674" s="6" t="str">
        <x:f>IF(B674="","Needs decision","Ready")</x:f>
        <x:v>Ready</x:v>
      </x:c>
      <x:c r="D674" s="6" t="str">
        <x:v>去</x:v>
      </x:c>
      <x:c r="E674" s="6" t="str">
        <x:v>tejH (C)</x:v>
      </x:c>
      <x:c r="F674" s="6" t="str">
        <x:v>去聲八霽</x:v>
      </x:c>
      <x:c r="G674" s="6" t="str">
        <x:v>Pingshui main list, Wikisource-derived DOCX</x:v>
      </x:c>
      <x:c r="H674" s="6" t="str">
        <x:v>1</x:v>
      </x:c>
      <x:c r="I674" s="6" t="str"/>
      <x:c r="J674" s="6" t="str">
        <x:f>IF(B674="","",IF(AND(ISNUMBER(SEARCH("平",B674)),OR(ISNUMBER(SEARCH("上",B674)),ISNUMBER(SEARCH("去",B674)),ISNUMBER(SEARCH("入",B674)))),"Ambiguous",IF(ISNUMBER(SEARCH("平",B674)),"平","仄")))</x:f>
        <x:v>仄</x:v>
      </x:c>
      <x:c r="K674" s="6" t="str">
        <x:f>IF(D674="","",IF(AND(ISNUMBER(SEARCH("平",D674)),OR(ISNUMBER(SEARCH("上",D674)),ISNUMBER(SEARCH("去",D674)),ISNUMBER(SEARCH("入",D674)))),"Ambiguous",IF(ISNUMBER(SEARCH("平",D674)),"平","仄")))</x:f>
        <x:v>仄</x:v>
      </x:c>
      <x:c r="L674" s="7" t="str"/>
    </x:row>
    <x:row r="675">
      <x:c r="A675" s="5" t="str">
        <x:v>嚮</x:v>
      </x:c>
      <x:c r="B675" s="6" t="str">
        <x:v>去</x:v>
      </x:c>
      <x:c r="C675" s="6" t="str">
        <x:f>IF(B675="","Needs decision","Ready")</x:f>
        <x:v>Ready</x:v>
      </x:c>
      <x:c r="D675" s="6" t="str">
        <x:v>去</x:v>
      </x:c>
      <x:c r="E675" s="6" t="str">
        <x:v>xjangH (C)</x:v>
      </x:c>
      <x:c r="F675" s="6" t="str">
        <x:v>上聲二十二養</x:v>
      </x:c>
      <x:c r="G675" s="6" t="str">
        <x:v>Pingshui main list, Wikisource-derived DOCX</x:v>
      </x:c>
      <x:c r="H675" s="6" t="str">
        <x:v>1</x:v>
      </x:c>
      <x:c r="I675" s="6" t="str"/>
      <x:c r="J675" s="6" t="str">
        <x:f>IF(B675="","",IF(AND(ISNUMBER(SEARCH("平",B675)),OR(ISNUMBER(SEARCH("上",B675)),ISNUMBER(SEARCH("去",B675)),ISNUMBER(SEARCH("入",B675)))),"Ambiguous",IF(ISNUMBER(SEARCH("平",B675)),"平","仄")))</x:f>
        <x:v>仄</x:v>
      </x:c>
      <x:c r="K675" s="6" t="str">
        <x:f>IF(D675="","",IF(AND(ISNUMBER(SEARCH("平",D675)),OR(ISNUMBER(SEARCH("上",D675)),ISNUMBER(SEARCH("去",D675)),ISNUMBER(SEARCH("入",D675)))),"Ambiguous",IF(ISNUMBER(SEARCH("平",D675)),"平","仄")))</x:f>
        <x:v>仄</x:v>
      </x:c>
      <x:c r="L675" s="7" t="str"/>
    </x:row>
    <x:row r="676">
      <x:c r="A676" s="5" t="str">
        <x:v>嚱</x:v>
      </x:c>
      <x:c r="B676" s="6" t="str">
        <x:v>去</x:v>
      </x:c>
      <x:c r="C676" s="6" t="str">
        <x:f>IF(B676="","Needs decision","Ready")</x:f>
        <x:v>Ready</x:v>
      </x:c>
      <x:c r="D676" s="6" t="str">
        <x:v>去</x:v>
      </x:c>
      <x:c r="E676" s="6" t="str">
        <x:v>xjeH [xɨ̯ieh] (去)</x:v>
      </x:c>
      <x:c r="F676" s="6" t="str"/>
      <x:c r="G676" s="6" t="str"/>
      <x:c r="H676" s="6" t="str">
        <x:v>1</x:v>
      </x:c>
      <x:c r="I676" s="6" t="str">
        <x:v>Tang 300 gap; frequency 1; provisional from Xun Gong</x:v>
      </x:c>
      <x:c r="J676" s="6" t="str">
        <x:f>IF(B676="","",IF(AND(ISNUMBER(SEARCH("平",B676)),OR(ISNUMBER(SEARCH("上",B676)),ISNUMBER(SEARCH("去",B676)),ISNUMBER(SEARCH("入",B676)))),"Ambiguous",IF(ISNUMBER(SEARCH("平",B676)),"平","仄")))</x:f>
        <x:v>仄</x:v>
      </x:c>
      <x:c r="K676" s="6" t="str">
        <x:f>IF(D676="","",IF(AND(ISNUMBER(SEARCH("平",D676)),OR(ISNUMBER(SEARCH("上",D676)),ISNUMBER(SEARCH("去",D676)),ISNUMBER(SEARCH("入",D676)))),"Ambiguous",IF(ISNUMBER(SEARCH("平",D676)),"平","仄")))</x:f>
        <x:v>仄</x:v>
      </x:c>
      <x:c r="L676" s="7" t="str">
        <x:v>Xun Gong, Tang 300 gap fill</x:v>
      </x:c>
    </x:row>
    <x:row r="677">
      <x:c r="A677" s="5" t="str">
        <x:v>嚴</x:v>
      </x:c>
      <x:c r="B677" s="6" t="str">
        <x:v>平</x:v>
      </x:c>
      <x:c r="C677" s="6" t="str">
        <x:f>IF(B677="","Needs decision","Ready")</x:f>
        <x:v>Ready</x:v>
      </x:c>
      <x:c r="D677" s="6" t="str">
        <x:v>平</x:v>
      </x:c>
      <x:c r="E677" s="6" t="str">
        <x:v>ngjaem (A)</x:v>
      </x:c>
      <x:c r="F677" s="6" t="str">
        <x:v>下平聲十四鹽; 下平聲十五咸</x:v>
      </x:c>
      <x:c r="G677" s="6" t="str">
        <x:v>Pingshui main list, Wikisource-derived DOCX</x:v>
      </x:c>
      <x:c r="H677" s="6" t="str">
        <x:v>1</x:v>
      </x:c>
      <x:c r="I677" s="6" t="str"/>
      <x:c r="J677" s="6" t="str">
        <x:f>IF(B677="","",IF(AND(ISNUMBER(SEARCH("平",B677)),OR(ISNUMBER(SEARCH("上",B677)),ISNUMBER(SEARCH("去",B677)),ISNUMBER(SEARCH("入",B677)))),"Ambiguous",IF(ISNUMBER(SEARCH("平",B677)),"平","仄")))</x:f>
        <x:v>平</x:v>
      </x:c>
      <x:c r="K677" s="6" t="str">
        <x:f>IF(D677="","",IF(AND(ISNUMBER(SEARCH("平",D677)),OR(ISNUMBER(SEARCH("上",D677)),ISNUMBER(SEARCH("去",D677)),ISNUMBER(SEARCH("入",D677)))),"Ambiguous",IF(ISNUMBER(SEARCH("平",D677)),"平","仄")))</x:f>
        <x:v>平</x:v>
      </x:c>
      <x:c r="L677" s="7" t="str"/>
    </x:row>
    <x:row r="678">
      <x:c r="A678" s="5" t="str">
        <x:v>嚼</x:v>
      </x:c>
      <x:c r="B678" s="6" t="str">
        <x:v>入</x:v>
      </x:c>
      <x:c r="C678" s="6" t="str">
        <x:f>IF(B678="","Needs decision","Ready")</x:f>
        <x:v>Ready</x:v>
      </x:c>
      <x:c r="D678" s="6" t="str">
        <x:v>入</x:v>
      </x:c>
      <x:c r="E678" s="6" t="str">
        <x:v>dzjak [從開三陽入] dzjɑk</x:v>
      </x:c>
      <x:c r="F678" s="6" t="str">
        <x:v>入聲十藥</x:v>
      </x:c>
      <x:c r="G678" s="6" t="str">
        <x:v>Pingshui main list, Wikisource-derived DOCX</x:v>
      </x:c>
      <x:c r="H678" s="6" t="str">
        <x:v>1</x:v>
      </x:c>
      <x:c r="I678" s="6" t="str">
        <x:v>Targeted preliminary fill from Xun Gong; review if uncertain</x:v>
      </x:c>
      <x:c r="J678" s="6" t="str">
        <x:f>IF(B678="","",IF(AND(ISNUMBER(SEARCH("平",B678)),OR(ISNUMBER(SEARCH("上",B678)),ISNUMBER(SEARCH("去",B678)),ISNUMBER(SEARCH("入",B678)))),"Ambiguous",IF(ISNUMBER(SEARCH("平",B678)),"平","仄")))</x:f>
        <x:v>仄</x:v>
      </x:c>
      <x:c r="K678" s="6" t="str">
        <x:f>IF(D678="","",IF(AND(ISNUMBER(SEARCH("平",D678)),OR(ISNUMBER(SEARCH("上",D678)),ISNUMBER(SEARCH("去",D678)),ISNUMBER(SEARCH("入",D678)))),"Ambiguous",IF(ISNUMBER(SEARCH("平",D678)),"平","仄")))</x:f>
        <x:v>仄</x:v>
      </x:c>
      <x:c r="L678" s="7" t="str">
        <x:v>Xun Gong character-readings.csv</x:v>
      </x:c>
    </x:row>
    <x:row r="679">
      <x:c r="A679" s="5" t="str">
        <x:v>囀</x:v>
      </x:c>
      <x:c r="B679" s="6" t="str">
        <x:v>去</x:v>
      </x:c>
      <x:c r="C679" s="6" t="str">
        <x:f>IF(B679="","Needs decision","Ready")</x:f>
        <x:v>Ready</x:v>
      </x:c>
      <x:c r="D679" s="6" t="str">
        <x:v>去</x:v>
      </x:c>
      <x:c r="E679" s="6" t="str">
        <x:v>trjwenH [ʈjwenh] (去)</x:v>
      </x:c>
      <x:c r="F679" s="6" t="str">
        <x:v>去聲十七霰</x:v>
      </x:c>
      <x:c r="G679" s="6" t="str">
        <x:v>Pingshui main list, Wikisource-derived DOCX</x:v>
      </x:c>
      <x:c r="H679" s="6" t="str">
        <x:v>1</x:v>
      </x:c>
      <x:c r="I679" s="6" t="str">
        <x:v>Tang 300 gap; frequency 2; provisional from Xun Gong</x:v>
      </x:c>
      <x:c r="J679" s="6" t="str">
        <x:f>IF(B679="","",IF(AND(ISNUMBER(SEARCH("平",B679)),OR(ISNUMBER(SEARCH("上",B679)),ISNUMBER(SEARCH("去",B679)),ISNUMBER(SEARCH("入",B679)))),"Ambiguous",IF(ISNUMBER(SEARCH("平",B679)),"平","仄")))</x:f>
        <x:v>仄</x:v>
      </x:c>
      <x:c r="K679" s="6" t="str">
        <x:f>IF(D679="","",IF(AND(ISNUMBER(SEARCH("平",D679)),OR(ISNUMBER(SEARCH("上",D679)),ISNUMBER(SEARCH("去",D679)),ISNUMBER(SEARCH("入",D679)))),"Ambiguous",IF(ISNUMBER(SEARCH("平",D679)),"平","仄")))</x:f>
        <x:v>仄</x:v>
      </x:c>
      <x:c r="L679" s="7" t="str">
        <x:v>Xun Gong, Tang 300 gap fill</x:v>
      </x:c>
    </x:row>
    <x:row r="680">
      <x:c r="A680" s="5" t="str">
        <x:v>囂</x:v>
      </x:c>
      <x:c r="B680" s="6" t="str">
        <x:v>平</x:v>
      </x:c>
      <x:c r="C680" s="6" t="str">
        <x:f>IF(B680="","Needs decision","Ready")</x:f>
        <x:v>Ready</x:v>
      </x:c>
      <x:c r="D680" s="6" t="str">
        <x:v>平</x:v>
      </x:c>
      <x:c r="E680" s="6" t="str">
        <x:v>ngaw (A)</x:v>
      </x:c>
      <x:c r="F680" s="6" t="str">
        <x:v>下平聲二蕭; 下平聲四豪</x:v>
      </x:c>
      <x:c r="G680" s="6" t="str">
        <x:v>Pingshui main list, Wikisource-derived DOCX</x:v>
      </x:c>
      <x:c r="H680" s="6" t="str">
        <x:v>1</x:v>
      </x:c>
      <x:c r="I680" s="6" t="str"/>
      <x:c r="J680" s="6" t="str">
        <x:f>IF(B680="","",IF(AND(ISNUMBER(SEARCH("平",B680)),OR(ISNUMBER(SEARCH("上",B680)),ISNUMBER(SEARCH("去",B680)),ISNUMBER(SEARCH("入",B680)))),"Ambiguous",IF(ISNUMBER(SEARCH("平",B680)),"平","仄")))</x:f>
        <x:v>平</x:v>
      </x:c>
      <x:c r="K680" s="6" t="str">
        <x:f>IF(D680="","",IF(AND(ISNUMBER(SEARCH("平",D680)),OR(ISNUMBER(SEARCH("上",D680)),ISNUMBER(SEARCH("去",D680)),ISNUMBER(SEARCH("入",D680)))),"Ambiguous",IF(ISNUMBER(SEARCH("平",D680)),"平","仄")))</x:f>
        <x:v>平</x:v>
      </x:c>
      <x:c r="L680" s="7" t="str"/>
    </x:row>
    <x:row r="681">
      <x:c r="A681" s="5" t="str">
        <x:v>囊</x:v>
      </x:c>
      <x:c r="B681" s="6" t="str">
        <x:v>平</x:v>
      </x:c>
      <x:c r="C681" s="6" t="str">
        <x:f>IF(B681="","Needs decision","Ready")</x:f>
        <x:v>Ready</x:v>
      </x:c>
      <x:c r="D681" s="6" t="str">
        <x:v>平</x:v>
      </x:c>
      <x:c r="E681" s="6" t="str">
        <x:v>nang (A)</x:v>
      </x:c>
      <x:c r="F681" s="6" t="str">
        <x:v>下平聲七陽</x:v>
      </x:c>
      <x:c r="G681" s="6" t="str">
        <x:v>Pingshui main list, Wikisource-derived DOCX</x:v>
      </x:c>
      <x:c r="H681" s="6" t="str">
        <x:v>1</x:v>
      </x:c>
      <x:c r="I681" s="6" t="str"/>
      <x:c r="J681" s="6" t="str">
        <x:f>IF(B681="","",IF(AND(ISNUMBER(SEARCH("平",B681)),OR(ISNUMBER(SEARCH("上",B681)),ISNUMBER(SEARCH("去",B681)),ISNUMBER(SEARCH("入",B681)))),"Ambiguous",IF(ISNUMBER(SEARCH("平",B681)),"平","仄")))</x:f>
        <x:v>平</x:v>
      </x:c>
      <x:c r="K681" s="6" t="str">
        <x:f>IF(D681="","",IF(AND(ISNUMBER(SEARCH("平",D681)),OR(ISNUMBER(SEARCH("上",D681)),ISNUMBER(SEARCH("去",D681)),ISNUMBER(SEARCH("入",D681)))),"Ambiguous",IF(ISNUMBER(SEARCH("平",D681)),"平","仄")))</x:f>
        <x:v>平</x:v>
      </x:c>
      <x:c r="L681" s="7" t="str"/>
    </x:row>
    <x:row r="682">
      <x:c r="A682" s="5" t="str">
        <x:v>囏</x:v>
      </x:c>
      <x:c r="B682" s="6" t="str">
        <x:v>平</x:v>
      </x:c>
      <x:c r="C682" s="6" t="str">
        <x:f>IF(B682="","Needs decision","Ready")</x:f>
        <x:v>Ready</x:v>
      </x:c>
      <x:c r="D682" s="6" t="str">
        <x:v>平</x:v>
      </x:c>
      <x:c r="E682" s="6" t="str">
        <x:v>kean (A)</x:v>
      </x:c>
      <x:c r="F682" s="6" t="str"/>
      <x:c r="G682" s="6" t="str"/>
      <x:c r="H682" s="6" t="str">
        <x:v>1</x:v>
      </x:c>
      <x:c r="I682" s="6" t="str"/>
      <x:c r="J682" s="6" t="str">
        <x:f>IF(B682="","",IF(AND(ISNUMBER(SEARCH("平",B682)),OR(ISNUMBER(SEARCH("上",B682)),ISNUMBER(SEARCH("去",B682)),ISNUMBER(SEARCH("入",B682)))),"Ambiguous",IF(ISNUMBER(SEARCH("平",B682)),"平","仄")))</x:f>
        <x:v>平</x:v>
      </x:c>
      <x:c r="K682" s="6" t="str">
        <x:f>IF(D682="","",IF(AND(ISNUMBER(SEARCH("平",D682)),OR(ISNUMBER(SEARCH("上",D682)),ISNUMBER(SEARCH("去",D682)),ISNUMBER(SEARCH("入",D682)))),"Ambiguous",IF(ISNUMBER(SEARCH("平",D682)),"平","仄")))</x:f>
        <x:v>平</x:v>
      </x:c>
      <x:c r="L682" s="7" t="str"/>
    </x:row>
    <x:row r="683">
      <x:c r="A683" s="5" t="str">
        <x:v>囚</x:v>
      </x:c>
      <x:c r="B683" s="6" t="str">
        <x:v>平</x:v>
      </x:c>
      <x:c r="C683" s="6" t="str">
        <x:f>IF(B683="","Needs decision","Ready")</x:f>
        <x:v>Ready</x:v>
      </x:c>
      <x:c r="D683" s="6" t="str">
        <x:v>平</x:v>
      </x:c>
      <x:c r="E683" s="6" t="str">
        <x:v>zjuw (A)</x:v>
      </x:c>
      <x:c r="F683" s="6" t="str">
        <x:v>下平聲十一尤</x:v>
      </x:c>
      <x:c r="G683" s="6" t="str">
        <x:v>Pingshui main list, Wikisource-derived DOCX</x:v>
      </x:c>
      <x:c r="H683" s="6" t="str">
        <x:v>1</x:v>
      </x:c>
      <x:c r="I683" s="6" t="str"/>
      <x:c r="J683" s="6" t="str">
        <x:f>IF(B683="","",IF(AND(ISNUMBER(SEARCH("平",B683)),OR(ISNUMBER(SEARCH("上",B683)),ISNUMBER(SEARCH("去",B683)),ISNUMBER(SEARCH("入",B683)))),"Ambiguous",IF(ISNUMBER(SEARCH("平",B683)),"平","仄")))</x:f>
        <x:v>平</x:v>
      </x:c>
      <x:c r="K683" s="6" t="str">
        <x:f>IF(D683="","",IF(AND(ISNUMBER(SEARCH("平",D683)),OR(ISNUMBER(SEARCH("上",D683)),ISNUMBER(SEARCH("去",D683)),ISNUMBER(SEARCH("入",D683)))),"Ambiguous",IF(ISNUMBER(SEARCH("平",D683)),"平","仄")))</x:f>
        <x:v>平</x:v>
      </x:c>
      <x:c r="L683" s="7" t="str"/>
    </x:row>
    <x:row r="684">
      <x:c r="A684" s="5" t="str">
        <x:v>四</x:v>
      </x:c>
      <x:c r="B684" s="6" t="str">
        <x:v>去</x:v>
      </x:c>
      <x:c r="C684" s="6" t="str">
        <x:f>IF(B684="","Needs decision","Ready")</x:f>
        <x:v>Ready</x:v>
      </x:c>
      <x:c r="D684" s="6" t="str">
        <x:v>去</x:v>
      </x:c>
      <x:c r="E684" s="6" t="str">
        <x:v>sijH (C)</x:v>
      </x:c>
      <x:c r="F684" s="6" t="str">
        <x:v>去聲四寘</x:v>
      </x:c>
      <x:c r="G684" s="6" t="str">
        <x:v>Pingshui main list, Wikisource-derived DOCX</x:v>
      </x:c>
      <x:c r="H684" s="6" t="str">
        <x:v>1</x:v>
      </x:c>
      <x:c r="I684" s="6" t="str"/>
      <x:c r="J684" s="6" t="str">
        <x:f>IF(B684="","",IF(AND(ISNUMBER(SEARCH("平",B684)),OR(ISNUMBER(SEARCH("上",B684)),ISNUMBER(SEARCH("去",B684)),ISNUMBER(SEARCH("入",B684)))),"Ambiguous",IF(ISNUMBER(SEARCH("平",B684)),"平","仄")))</x:f>
        <x:v>仄</x:v>
      </x:c>
      <x:c r="K684" s="6" t="str">
        <x:f>IF(D684="","",IF(AND(ISNUMBER(SEARCH("平",D684)),OR(ISNUMBER(SEARCH("上",D684)),ISNUMBER(SEARCH("去",D684)),ISNUMBER(SEARCH("入",D684)))),"Ambiguous",IF(ISNUMBER(SEARCH("平",D684)),"平","仄")))</x:f>
        <x:v>仄</x:v>
      </x:c>
      <x:c r="L684" s="7" t="str"/>
    </x:row>
    <x:row r="685">
      <x:c r="A685" s="5" t="str">
        <x:v>回</x:v>
      </x:c>
      <x:c r="B685" s="6" t="str">
        <x:v>平</x:v>
      </x:c>
      <x:c r="C685" s="6" t="str">
        <x:f>IF(B685="","Needs decision","Ready")</x:f>
        <x:v>Ready</x:v>
      </x:c>
      <x:c r="D685" s="6" t="str">
        <x:v>平</x:v>
      </x:c>
      <x:c r="E685" s="6" t="str">
        <x:v>hwoj (A)</x:v>
      </x:c>
      <x:c r="F685" s="6" t="str">
        <x:v>上平聲十灰; 去聲十一隊</x:v>
      </x:c>
      <x:c r="G685" s="6" t="str">
        <x:v>Pingshui main list, Wikisource-derived DOCX</x:v>
      </x:c>
      <x:c r="H685" s="6" t="str">
        <x:v>1</x:v>
      </x:c>
      <x:c r="I685" s="6" t="str"/>
      <x:c r="J685" s="6" t="str">
        <x:f>IF(B685="","",IF(AND(ISNUMBER(SEARCH("平",B685)),OR(ISNUMBER(SEARCH("上",B685)),ISNUMBER(SEARCH("去",B685)),ISNUMBER(SEARCH("入",B685)))),"Ambiguous",IF(ISNUMBER(SEARCH("平",B685)),"平","仄")))</x:f>
        <x:v>平</x:v>
      </x:c>
      <x:c r="K685" s="6" t="str">
        <x:f>IF(D685="","",IF(AND(ISNUMBER(SEARCH("平",D685)),OR(ISNUMBER(SEARCH("上",D685)),ISNUMBER(SEARCH("去",D685)),ISNUMBER(SEARCH("入",D685)))),"Ambiguous",IF(ISNUMBER(SEARCH("平",D685)),"平","仄")))</x:f>
        <x:v>平</x:v>
      </x:c>
      <x:c r="L685" s="7" t="str"/>
    </x:row>
    <x:row r="686">
      <x:c r="A686" s="5" t="str">
        <x:v>囟</x:v>
      </x:c>
      <x:c r="B686" s="6" t="str">
        <x:v>去</x:v>
      </x:c>
      <x:c r="C686" s="6" t="str">
        <x:f>IF(B686="","Needs decision","Ready")</x:f>
        <x:v>Ready</x:v>
      </x:c>
      <x:c r="D686" s="6" t="str">
        <x:v>去</x:v>
      </x:c>
      <x:c r="E686" s="6" t="str">
        <x:v>sinH (C)</x:v>
      </x:c>
      <x:c r="F686" s="6" t="str"/>
      <x:c r="G686" s="6" t="str"/>
      <x:c r="H686" s="6" t="str">
        <x:v>1</x:v>
      </x:c>
      <x:c r="I686" s="6" t="str"/>
      <x:c r="J686" s="6" t="str">
        <x:f>IF(B686="","",IF(AND(ISNUMBER(SEARCH("平",B686)),OR(ISNUMBER(SEARCH("上",B686)),ISNUMBER(SEARCH("去",B686)),ISNUMBER(SEARCH("入",B686)))),"Ambiguous",IF(ISNUMBER(SEARCH("平",B686)),"平","仄")))</x:f>
        <x:v>仄</x:v>
      </x:c>
      <x:c r="K686" s="6" t="str">
        <x:f>IF(D686="","",IF(AND(ISNUMBER(SEARCH("平",D686)),OR(ISNUMBER(SEARCH("上",D686)),ISNUMBER(SEARCH("去",D686)),ISNUMBER(SEARCH("入",D686)))),"Ambiguous",IF(ISNUMBER(SEARCH("平",D686)),"平","仄")))</x:f>
        <x:v>仄</x:v>
      </x:c>
      <x:c r="L686" s="7" t="str"/>
    </x:row>
    <x:row r="687">
      <x:c r="A687" s="5" t="str">
        <x:v>因</x:v>
      </x:c>
      <x:c r="B687" s="6" t="str">
        <x:v>平</x:v>
      </x:c>
      <x:c r="C687" s="6" t="str">
        <x:f>IF(B687="","Needs decision","Ready")</x:f>
        <x:v>Ready</x:v>
      </x:c>
      <x:c r="D687" s="6" t="str">
        <x:v>平</x:v>
      </x:c>
      <x:c r="E687" s="6" t="str">
        <x:v>'jin (A)</x:v>
      </x:c>
      <x:c r="F687" s="6" t="str">
        <x:v>上平聲十一真</x:v>
      </x:c>
      <x:c r="G687" s="6" t="str">
        <x:v>Pingshui main list, Wikisource-derived DOCX</x:v>
      </x:c>
      <x:c r="H687" s="6" t="str">
        <x:v>1</x:v>
      </x:c>
      <x:c r="I687" s="6" t="str"/>
      <x:c r="J687" s="6" t="str">
        <x:f>IF(B687="","",IF(AND(ISNUMBER(SEARCH("平",B687)),OR(ISNUMBER(SEARCH("上",B687)),ISNUMBER(SEARCH("去",B687)),ISNUMBER(SEARCH("入",B687)))),"Ambiguous",IF(ISNUMBER(SEARCH("平",B687)),"平","仄")))</x:f>
        <x:v>平</x:v>
      </x:c>
      <x:c r="K687" s="6" t="str">
        <x:f>IF(D687="","",IF(AND(ISNUMBER(SEARCH("平",D687)),OR(ISNUMBER(SEARCH("上",D687)),ISNUMBER(SEARCH("去",D687)),ISNUMBER(SEARCH("入",D687)))),"Ambiguous",IF(ISNUMBER(SEARCH("平",D687)),"平","仄")))</x:f>
        <x:v>平</x:v>
      </x:c>
      <x:c r="L687" s="7" t="str"/>
    </x:row>
    <x:row r="688">
      <x:c r="A688" s="5" t="str">
        <x:v>囧</x:v>
      </x:c>
      <x:c r="B688" s="6" t="str">
        <x:v>上</x:v>
      </x:c>
      <x:c r="C688" s="6" t="str">
        <x:f>IF(B688="","Needs decision","Ready")</x:f>
        <x:v>Ready</x:v>
      </x:c>
      <x:c r="D688" s="6" t="str">
        <x:v>上</x:v>
      </x:c>
      <x:c r="E688" s="6" t="str">
        <x:v>kjwaengX (B)</x:v>
      </x:c>
      <x:c r="F688" s="6" t="str"/>
      <x:c r="G688" s="6" t="str"/>
      <x:c r="H688" s="6" t="str">
        <x:v>1</x:v>
      </x:c>
      <x:c r="I688" s="6" t="str"/>
      <x:c r="J688" s="6" t="str">
        <x:f>IF(B688="","",IF(AND(ISNUMBER(SEARCH("平",B688)),OR(ISNUMBER(SEARCH("上",B688)),ISNUMBER(SEARCH("去",B688)),ISNUMBER(SEARCH("入",B688)))),"Ambiguous",IF(ISNUMBER(SEARCH("平",B688)),"平","仄")))</x:f>
        <x:v>仄</x:v>
      </x:c>
      <x:c r="K688" s="6" t="str">
        <x:f>IF(D688="","",IF(AND(ISNUMBER(SEARCH("平",D688)),OR(ISNUMBER(SEARCH("上",D688)),ISNUMBER(SEARCH("去",D688)),ISNUMBER(SEARCH("入",D688)))),"Ambiguous",IF(ISNUMBER(SEARCH("平",D688)),"平","仄")))</x:f>
        <x:v>仄</x:v>
      </x:c>
      <x:c r="L688" s="7" t="str"/>
    </x:row>
    <x:row r="689">
      <x:c r="A689" s="5" t="str">
        <x:v>困</x:v>
      </x:c>
      <x:c r="B689" s="6" t="str">
        <x:v>去</x:v>
      </x:c>
      <x:c r="C689" s="6" t="str">
        <x:f>IF(B689="","Needs decision","Ready")</x:f>
        <x:v>Ready</x:v>
      </x:c>
      <x:c r="D689" s="6" t="str">
        <x:v>去</x:v>
      </x:c>
      <x:c r="E689" s="6" t="str">
        <x:v>khwonH (C)</x:v>
      </x:c>
      <x:c r="F689" s="6" t="str">
        <x:v>去聲十四願</x:v>
      </x:c>
      <x:c r="G689" s="6" t="str">
        <x:v>Pingshui main list, Wikisource-derived DOCX</x:v>
      </x:c>
      <x:c r="H689" s="6" t="str">
        <x:v>1</x:v>
      </x:c>
      <x:c r="I689" s="6" t="str"/>
      <x:c r="J689" s="6" t="str">
        <x:f>IF(B689="","",IF(AND(ISNUMBER(SEARCH("平",B689)),OR(ISNUMBER(SEARCH("上",B689)),ISNUMBER(SEARCH("去",B689)),ISNUMBER(SEARCH("入",B689)))),"Ambiguous",IF(ISNUMBER(SEARCH("平",B689)),"平","仄")))</x:f>
        <x:v>仄</x:v>
      </x:c>
      <x:c r="K689" s="6" t="str">
        <x:f>IF(D689="","",IF(AND(ISNUMBER(SEARCH("平",D689)),OR(ISNUMBER(SEARCH("上",D689)),ISNUMBER(SEARCH("去",D689)),ISNUMBER(SEARCH("入",D689)))),"Ambiguous",IF(ISNUMBER(SEARCH("平",D689)),"平","仄")))</x:f>
        <x:v>仄</x:v>
      </x:c>
      <x:c r="L689" s="7" t="str"/>
    </x:row>
    <x:row r="690">
      <x:c r="A690" s="5" t="str">
        <x:v>囷</x:v>
      </x:c>
      <x:c r="B690" s="6" t="str">
        <x:v>平</x:v>
      </x:c>
      <x:c r="C690" s="6" t="str">
        <x:f>IF(B690="","Needs decision","Ready")</x:f>
        <x:v>Ready</x:v>
      </x:c>
      <x:c r="D690" s="6" t="str">
        <x:v>平</x:v>
      </x:c>
      <x:c r="E690" s="6" t="str">
        <x:v>khwin (A)</x:v>
      </x:c>
      <x:c r="F690" s="6" t="str">
        <x:v>上平聲十一真; 上聲十一軫</x:v>
      </x:c>
      <x:c r="G690" s="6" t="str">
        <x:v>Pingshui main list, Wikisource-derived DOCX</x:v>
      </x:c>
      <x:c r="H690" s="6" t="str">
        <x:v>1</x:v>
      </x:c>
      <x:c r="I690" s="6" t="str"/>
      <x:c r="J690" s="6" t="str">
        <x:f>IF(B690="","",IF(AND(ISNUMBER(SEARCH("平",B690)),OR(ISNUMBER(SEARCH("上",B690)),ISNUMBER(SEARCH("去",B690)),ISNUMBER(SEARCH("入",B690)))),"Ambiguous",IF(ISNUMBER(SEARCH("平",B690)),"平","仄")))</x:f>
        <x:v>平</x:v>
      </x:c>
      <x:c r="K690" s="6" t="str">
        <x:f>IF(D690="","",IF(AND(ISNUMBER(SEARCH("平",D690)),OR(ISNUMBER(SEARCH("上",D690)),ISNUMBER(SEARCH("去",D690)),ISNUMBER(SEARCH("入",D690)))),"Ambiguous",IF(ISNUMBER(SEARCH("平",D690)),"平","仄")))</x:f>
        <x:v>平</x:v>
      </x:c>
      <x:c r="L690" s="7" t="str"/>
    </x:row>
    <x:row r="691">
      <x:c r="A691" s="5" t="str">
        <x:v>固</x:v>
      </x:c>
      <x:c r="B691" s="6" t="str">
        <x:v>去</x:v>
      </x:c>
      <x:c r="C691" s="6" t="str">
        <x:f>IF(B691="","Needs decision","Ready")</x:f>
        <x:v>Ready</x:v>
      </x:c>
      <x:c r="D691" s="6" t="str">
        <x:v>去</x:v>
      </x:c>
      <x:c r="E691" s="6" t="str">
        <x:v>kuH (C)</x:v>
      </x:c>
      <x:c r="F691" s="6" t="str">
        <x:v>去聲七遇</x:v>
      </x:c>
      <x:c r="G691" s="6" t="str">
        <x:v>Pingshui main list, Wikisource-derived DOCX</x:v>
      </x:c>
      <x:c r="H691" s="6" t="str">
        <x:v>1</x:v>
      </x:c>
      <x:c r="I691" s="6" t="str"/>
      <x:c r="J691" s="6" t="str">
        <x:f>IF(B691="","",IF(AND(ISNUMBER(SEARCH("平",B691)),OR(ISNUMBER(SEARCH("上",B691)),ISNUMBER(SEARCH("去",B691)),ISNUMBER(SEARCH("入",B691)))),"Ambiguous",IF(ISNUMBER(SEARCH("平",B691)),"平","仄")))</x:f>
        <x:v>仄</x:v>
      </x:c>
      <x:c r="K691" s="6" t="str">
        <x:f>IF(D691="","",IF(AND(ISNUMBER(SEARCH("平",D691)),OR(ISNUMBER(SEARCH("上",D691)),ISNUMBER(SEARCH("去",D691)),ISNUMBER(SEARCH("入",D691)))),"Ambiguous",IF(ISNUMBER(SEARCH("平",D691)),"平","仄")))</x:f>
        <x:v>仄</x:v>
      </x:c>
      <x:c r="L691" s="7" t="str"/>
    </x:row>
    <x:row r="692">
      <x:c r="A692" s="5" t="str">
        <x:v>囿</x:v>
      </x:c>
      <x:c r="B692" s="6" t="str"/>
      <x:c r="C692" s="6" t="str">
        <x:f>IF(B692="","Needs decision","Ready")</x:f>
        <x:v>Needs decision</x:v>
      </x:c>
      <x:c r="D692" s="6" t="str">
        <x:v>去/入</x:v>
      </x:c>
      <x:c r="E692" s="6" t="str">
        <x:v>hjuwH (C); hjuwk (D)</x:v>
      </x:c>
      <x:c r="F692" s="6" t="str">
        <x:v>去聲二十六宥; 入聲一屋</x:v>
      </x:c>
      <x:c r="G692" s="6" t="str">
        <x:v>Pingshui main list, Wikisource-derived DOCX</x:v>
      </x:c>
      <x:c r="H692" s="6" t="str">
        <x:v>2</x:v>
      </x:c>
      <x:c r="I692" s="6" t="str"/>
      <x:c r="J692" s="6" t="str">
        <x:f>IF(B692="","",IF(AND(ISNUMBER(SEARCH("平",B692)),OR(ISNUMBER(SEARCH("上",B692)),ISNUMBER(SEARCH("去",B692)),ISNUMBER(SEARCH("入",B692)))),"Ambiguous",IF(ISNUMBER(SEARCH("平",B692)),"平","仄")))</x:f>
      </x:c>
      <x:c r="K692" s="6" t="str">
        <x:f>IF(D692="","",IF(AND(ISNUMBER(SEARCH("平",D692)),OR(ISNUMBER(SEARCH("上",D692)),ISNUMBER(SEARCH("去",D692)),ISNUMBER(SEARCH("入",D692)))),"Ambiguous",IF(ISNUMBER(SEARCH("平",D692)),"平","仄")))</x:f>
        <x:v>仄</x:v>
      </x:c>
      <x:c r="L692" s="7" t="str"/>
    </x:row>
    <x:row r="693">
      <x:c r="A693" s="5" t="str">
        <x:v>圃</x:v>
      </x:c>
      <x:c r="B693" s="6" t="str">
        <x:v>上</x:v>
      </x:c>
      <x:c r="C693" s="6" t="str">
        <x:f>IF(B693="","Needs decision","Ready")</x:f>
        <x:v>Ready</x:v>
      </x:c>
      <x:c r="D693" s="6" t="str">
        <x:v>上/去</x:v>
      </x:c>
      <x:c r="E693" s="6" t="str">
        <x:v>puX [幫一模上] p̙oʔ; puH [幫一模去] p̙oh</x:v>
      </x:c>
      <x:c r="F693" s="6" t="str">
        <x:v>上聲七麌; 去聲七遇</x:v>
      </x:c>
      <x:c r="G693" s="6" t="str">
        <x:v>Pingshui main list, Wikisource-derived DOCX</x:v>
      </x:c>
      <x:c r="H693" s="6" t="str">
        <x:v>2</x:v>
      </x:c>
      <x:c r="I693" s="6" t="str">
        <x:v>Targeted preliminary fill from Xun Gong; review if uncertain; User correction 2026-09-08</x:v>
      </x:c>
      <x:c r="J693" s="6" t="str">
        <x:f>IF(B693="","",IF(AND(ISNUMBER(SEARCH("平",B693)),OR(ISNUMBER(SEARCH("上",B693)),ISNUMBER(SEARCH("去",B693)),ISNUMBER(SEARCH("入",B693)))),"Ambiguous",IF(ISNUMBER(SEARCH("平",B693)),"平","仄")))</x:f>
        <x:v>仄</x:v>
      </x:c>
      <x:c r="K693" s="6" t="str">
        <x:f>IF(D693="","",IF(AND(ISNUMBER(SEARCH("平",D693)),OR(ISNUMBER(SEARCH("上",D693)),ISNUMBER(SEARCH("去",D693)),ISNUMBER(SEARCH("入",D693)))),"Ambiguous",IF(ISNUMBER(SEARCH("平",D693)),"平","仄")))</x:f>
        <x:v>仄</x:v>
      </x:c>
      <x:c r="L693" s="7" t="str">
        <x:v>Xun Gong character-readings.csv</x:v>
      </x:c>
    </x:row>
    <x:row r="694">
      <x:c r="A694" s="5" t="str">
        <x:v>圄</x:v>
      </x:c>
      <x:c r="B694" s="6" t="str">
        <x:v>上</x:v>
      </x:c>
      <x:c r="C694" s="6" t="str">
        <x:f>IF(B694="","Needs decision","Ready")</x:f>
        <x:v>Ready</x:v>
      </x:c>
      <x:c r="D694" s="6" t="str">
        <x:v>上</x:v>
      </x:c>
      <x:c r="E694" s="6" t="str">
        <x:v>ngjoX (B)</x:v>
      </x:c>
      <x:c r="F694" s="6" t="str">
        <x:v>上聲六語</x:v>
      </x:c>
      <x:c r="G694" s="6" t="str">
        <x:v>Pingshui main list, Wikisource-derived DOCX</x:v>
      </x:c>
      <x:c r="H694" s="6" t="str">
        <x:v>1</x:v>
      </x:c>
      <x:c r="I694" s="6" t="str"/>
      <x:c r="J694" s="6" t="str">
        <x:f>IF(B694="","",IF(AND(ISNUMBER(SEARCH("平",B694)),OR(ISNUMBER(SEARCH("上",B694)),ISNUMBER(SEARCH("去",B694)),ISNUMBER(SEARCH("入",B694)))),"Ambiguous",IF(ISNUMBER(SEARCH("平",B694)),"平","仄")))</x:f>
        <x:v>仄</x:v>
      </x:c>
      <x:c r="K694" s="6" t="str">
        <x:f>IF(D694="","",IF(AND(ISNUMBER(SEARCH("平",D694)),OR(ISNUMBER(SEARCH("上",D694)),ISNUMBER(SEARCH("去",D694)),ISNUMBER(SEARCH("入",D694)))),"Ambiguous",IF(ISNUMBER(SEARCH("平",D694)),"平","仄")))</x:f>
        <x:v>仄</x:v>
      </x:c>
      <x:c r="L694" s="7" t="str"/>
    </x:row>
    <x:row r="695">
      <x:c r="A695" s="5" t="str">
        <x:v>圅</x:v>
      </x:c>
      <x:c r="B695" s="6" t="str">
        <x:v>平</x:v>
      </x:c>
      <x:c r="C695" s="6" t="str">
        <x:f>IF(B695="","Needs decision","Ready")</x:f>
        <x:v>Ready</x:v>
      </x:c>
      <x:c r="D695" s="6" t="str">
        <x:v>平</x:v>
      </x:c>
      <x:c r="E695" s="6" t="str">
        <x:v>hom (A)</x:v>
      </x:c>
      <x:c r="F695" s="6" t="str"/>
      <x:c r="G695" s="6" t="str"/>
      <x:c r="H695" s="6" t="str">
        <x:v>1</x:v>
      </x:c>
      <x:c r="I695" s="6" t="str"/>
      <x:c r="J695" s="6" t="str">
        <x:f>IF(B695="","",IF(AND(ISNUMBER(SEARCH("平",B695)),OR(ISNUMBER(SEARCH("上",B695)),ISNUMBER(SEARCH("去",B695)),ISNUMBER(SEARCH("入",B695)))),"Ambiguous",IF(ISNUMBER(SEARCH("平",B695)),"平","仄")))</x:f>
        <x:v>平</x:v>
      </x:c>
      <x:c r="K695" s="6" t="str">
        <x:f>IF(D695="","",IF(AND(ISNUMBER(SEARCH("平",D695)),OR(ISNUMBER(SEARCH("上",D695)),ISNUMBER(SEARCH("去",D695)),ISNUMBER(SEARCH("入",D695)))),"Ambiguous",IF(ISNUMBER(SEARCH("平",D695)),"平","仄")))</x:f>
        <x:v>平</x:v>
      </x:c>
      <x:c r="L695" s="7" t="str"/>
    </x:row>
    <x:row r="696">
      <x:c r="A696" s="5" t="str">
        <x:v>圈</x:v>
      </x:c>
      <x:c r="B696" s="6" t="str">
        <x:v>上</x:v>
      </x:c>
      <x:c r="C696" s="6" t="str">
        <x:f>IF(B696="","Needs decision","Ready")</x:f>
        <x:v>Ready</x:v>
      </x:c>
      <x:c r="D696" s="6" t="str">
        <x:v>上</x:v>
      </x:c>
      <x:c r="E696" s="6" t="str">
        <x:v>gjwenX (B)</x:v>
      </x:c>
      <x:c r="F696" s="6" t="str">
        <x:v>上聲十三阮; 去聲十四願</x:v>
      </x:c>
      <x:c r="G696" s="6" t="str">
        <x:v>Pingshui main list, Wikisource-derived DOCX</x:v>
      </x:c>
      <x:c r="H696" s="6" t="str">
        <x:v>1</x:v>
      </x:c>
      <x:c r="I696" s="6" t="str"/>
      <x:c r="J696" s="6" t="str">
        <x:f>IF(B696="","",IF(AND(ISNUMBER(SEARCH("平",B696)),OR(ISNUMBER(SEARCH("上",B696)),ISNUMBER(SEARCH("去",B696)),ISNUMBER(SEARCH("入",B696)))),"Ambiguous",IF(ISNUMBER(SEARCH("平",B696)),"平","仄")))</x:f>
        <x:v>仄</x:v>
      </x:c>
      <x:c r="K696" s="6" t="str">
        <x:f>IF(D696="","",IF(AND(ISNUMBER(SEARCH("平",D696)),OR(ISNUMBER(SEARCH("上",D696)),ISNUMBER(SEARCH("去",D696)),ISNUMBER(SEARCH("入",D696)))),"Ambiguous",IF(ISNUMBER(SEARCH("平",D696)),"平","仄")))</x:f>
        <x:v>仄</x:v>
      </x:c>
      <x:c r="L696" s="7" t="str"/>
    </x:row>
    <x:row r="697">
      <x:c r="A697" s="5" t="str">
        <x:v>圉</x:v>
      </x:c>
      <x:c r="B697" s="6" t="str">
        <x:v>上</x:v>
      </x:c>
      <x:c r="C697" s="6" t="str">
        <x:f>IF(B697="","Needs decision","Ready")</x:f>
        <x:v>Ready</x:v>
      </x:c>
      <x:c r="D697" s="6" t="str">
        <x:v>上</x:v>
      </x:c>
      <x:c r="E697" s="6" t="str">
        <x:v>ngjoX (B)</x:v>
      </x:c>
      <x:c r="F697" s="6" t="str">
        <x:v>上聲六語</x:v>
      </x:c>
      <x:c r="G697" s="6" t="str">
        <x:v>Pingshui main list, Wikisource-derived DOCX</x:v>
      </x:c>
      <x:c r="H697" s="6" t="str">
        <x:v>1</x:v>
      </x:c>
      <x:c r="I697" s="6" t="str"/>
      <x:c r="J697" s="6" t="str">
        <x:f>IF(B697="","",IF(AND(ISNUMBER(SEARCH("平",B697)),OR(ISNUMBER(SEARCH("上",B697)),ISNUMBER(SEARCH("去",B697)),ISNUMBER(SEARCH("入",B697)))),"Ambiguous",IF(ISNUMBER(SEARCH("平",B697)),"平","仄")))</x:f>
        <x:v>仄</x:v>
      </x:c>
      <x:c r="K697" s="6" t="str">
        <x:f>IF(D697="","",IF(AND(ISNUMBER(SEARCH("平",D697)),OR(ISNUMBER(SEARCH("上",D697)),ISNUMBER(SEARCH("去",D697)),ISNUMBER(SEARCH("入",D697)))),"Ambiguous",IF(ISNUMBER(SEARCH("平",D697)),"平","仄")))</x:f>
        <x:v>仄</x:v>
      </x:c>
      <x:c r="L697" s="7" t="str"/>
    </x:row>
    <x:row r="698">
      <x:c r="A698" s="5" t="str">
        <x:v>國</x:v>
      </x:c>
      <x:c r="B698" s="6" t="str">
        <x:v>入</x:v>
      </x:c>
      <x:c r="C698" s="6" t="str">
        <x:f>IF(B698="","Needs decision","Ready")</x:f>
        <x:v>Ready</x:v>
      </x:c>
      <x:c r="D698" s="6" t="str">
        <x:v>入</x:v>
      </x:c>
      <x:c r="E698" s="6" t="str">
        <x:v>kwok (D)</x:v>
      </x:c>
      <x:c r="F698" s="6" t="str">
        <x:v>入聲十三職</x:v>
      </x:c>
      <x:c r="G698" s="6" t="str">
        <x:v>Pingshui main list, Wikisource-derived DOCX</x:v>
      </x:c>
      <x:c r="H698" s="6" t="str">
        <x:v>1</x:v>
      </x:c>
      <x:c r="I698" s="6" t="str"/>
      <x:c r="J698" s="6" t="str">
        <x:f>IF(B698="","",IF(AND(ISNUMBER(SEARCH("平",B698)),OR(ISNUMBER(SEARCH("上",B698)),ISNUMBER(SEARCH("去",B698)),ISNUMBER(SEARCH("入",B698)))),"Ambiguous",IF(ISNUMBER(SEARCH("平",B698)),"平","仄")))</x:f>
        <x:v>仄</x:v>
      </x:c>
      <x:c r="K698" s="6" t="str">
        <x:f>IF(D698="","",IF(AND(ISNUMBER(SEARCH("平",D698)),OR(ISNUMBER(SEARCH("上",D698)),ISNUMBER(SEARCH("去",D698)),ISNUMBER(SEARCH("入",D698)))),"Ambiguous",IF(ISNUMBER(SEARCH("平",D698)),"平","仄")))</x:f>
        <x:v>仄</x:v>
      </x:c>
      <x:c r="L698" s="7" t="str"/>
    </x:row>
    <x:row r="699">
      <x:c r="A699" s="5" t="str">
        <x:v>圍</x:v>
      </x:c>
      <x:c r="B699" s="6" t="str">
        <x:v>平</x:v>
      </x:c>
      <x:c r="C699" s="6" t="str">
        <x:f>IF(B699="","Needs decision","Ready")</x:f>
        <x:v>Ready</x:v>
      </x:c>
      <x:c r="D699" s="6" t="str">
        <x:v>平</x:v>
      </x:c>
      <x:c r="E699" s="6" t="str">
        <x:v>hjw+j (A)</x:v>
      </x:c>
      <x:c r="F699" s="6" t="str">
        <x:v>上平聲五微</x:v>
      </x:c>
      <x:c r="G699" s="6" t="str">
        <x:v>Pingshui main list, Wikisource-derived DOCX</x:v>
      </x:c>
      <x:c r="H699" s="6" t="str">
        <x:v>1</x:v>
      </x:c>
      <x:c r="I699" s="6" t="str"/>
      <x:c r="J699" s="6" t="str">
        <x:f>IF(B699="","",IF(AND(ISNUMBER(SEARCH("平",B699)),OR(ISNUMBER(SEARCH("上",B699)),ISNUMBER(SEARCH("去",B699)),ISNUMBER(SEARCH("入",B699)))),"Ambiguous",IF(ISNUMBER(SEARCH("平",B699)),"平","仄")))</x:f>
        <x:v>平</x:v>
      </x:c>
      <x:c r="K699" s="6" t="str">
        <x:f>IF(D699="","",IF(AND(ISNUMBER(SEARCH("平",D699)),OR(ISNUMBER(SEARCH("上",D699)),ISNUMBER(SEARCH("去",D699)),ISNUMBER(SEARCH("入",D699)))),"Ambiguous",IF(ISNUMBER(SEARCH("平",D699)),"平","仄")))</x:f>
        <x:v>平</x:v>
      </x:c>
      <x:c r="L699" s="7" t="str"/>
    </x:row>
    <x:row r="700">
      <x:c r="A700" s="5" t="str">
        <x:v>園</x:v>
      </x:c>
      <x:c r="B700" s="6" t="str">
        <x:v>平</x:v>
      </x:c>
      <x:c r="C700" s="6" t="str">
        <x:f>IF(B700="","Needs decision","Ready")</x:f>
        <x:v>Ready</x:v>
      </x:c>
      <x:c r="D700" s="6" t="str">
        <x:v>平</x:v>
      </x:c>
      <x:c r="E700" s="6" t="str">
        <x:v>hjwon (A)</x:v>
      </x:c>
      <x:c r="F700" s="6" t="str">
        <x:v>上平聲十三元</x:v>
      </x:c>
      <x:c r="G700" s="6" t="str">
        <x:v>Pingshui main list, Wikisource-derived DOCX</x:v>
      </x:c>
      <x:c r="H700" s="6" t="str">
        <x:v>1</x:v>
      </x:c>
      <x:c r="I700" s="6" t="str"/>
      <x:c r="J700" s="6" t="str">
        <x:f>IF(B700="","",IF(AND(ISNUMBER(SEARCH("平",B700)),OR(ISNUMBER(SEARCH("上",B700)),ISNUMBER(SEARCH("去",B700)),ISNUMBER(SEARCH("入",B700)))),"Ambiguous",IF(ISNUMBER(SEARCH("平",B700)),"平","仄")))</x:f>
        <x:v>平</x:v>
      </x:c>
      <x:c r="K700" s="6" t="str">
        <x:f>IF(D700="","",IF(AND(ISNUMBER(SEARCH("平",D700)),OR(ISNUMBER(SEARCH("上",D700)),ISNUMBER(SEARCH("去",D700)),ISNUMBER(SEARCH("入",D700)))),"Ambiguous",IF(ISNUMBER(SEARCH("平",D700)),"平","仄")))</x:f>
        <x:v>平</x:v>
      </x:c>
      <x:c r="L700" s="7" t="str"/>
    </x:row>
    <x:row r="701">
      <x:c r="A701" s="5" t="str">
        <x:v>圓</x:v>
      </x:c>
      <x:c r="B701" s="6" t="str">
        <x:v>平</x:v>
      </x:c>
      <x:c r="C701" s="6" t="str">
        <x:f>IF(B701="","Needs decision","Ready")</x:f>
        <x:v>Ready</x:v>
      </x:c>
      <x:c r="D701" s="6" t="str">
        <x:v>平</x:v>
      </x:c>
      <x:c r="E701" s="6" t="str">
        <x:v>hjwen (A)</x:v>
      </x:c>
      <x:c r="F701" s="6" t="str">
        <x:v>下平聲一先</x:v>
      </x:c>
      <x:c r="G701" s="6" t="str">
        <x:v>Pingshui main list, Wikisource-derived DOCX</x:v>
      </x:c>
      <x:c r="H701" s="6" t="str">
        <x:v>1</x:v>
      </x:c>
      <x:c r="I701" s="6" t="str"/>
      <x:c r="J701" s="6" t="str">
        <x:f>IF(B701="","",IF(AND(ISNUMBER(SEARCH("平",B701)),OR(ISNUMBER(SEARCH("上",B701)),ISNUMBER(SEARCH("去",B701)),ISNUMBER(SEARCH("入",B701)))),"Ambiguous",IF(ISNUMBER(SEARCH("平",B701)),"平","仄")))</x:f>
        <x:v>平</x:v>
      </x:c>
      <x:c r="K701" s="6" t="str">
        <x:f>IF(D701="","",IF(AND(ISNUMBER(SEARCH("平",D701)),OR(ISNUMBER(SEARCH("上",D701)),ISNUMBER(SEARCH("去",D701)),ISNUMBER(SEARCH("入",D701)))),"Ambiguous",IF(ISNUMBER(SEARCH("平",D701)),"平","仄")))</x:f>
        <x:v>平</x:v>
      </x:c>
      <x:c r="L701" s="7" t="str"/>
    </x:row>
    <x:row r="702">
      <x:c r="A702" s="5" t="str">
        <x:v>圖</x:v>
      </x:c>
      <x:c r="B702" s="6" t="str">
        <x:v>平</x:v>
      </x:c>
      <x:c r="C702" s="6" t="str">
        <x:f>IF(B702="","Needs decision","Ready")</x:f>
        <x:v>Ready</x:v>
      </x:c>
      <x:c r="D702" s="6" t="str">
        <x:v>平</x:v>
      </x:c>
      <x:c r="E702" s="6" t="str">
        <x:v>du (A)</x:v>
      </x:c>
      <x:c r="F702" s="6" t="str">
        <x:v>上平聲七虞</x:v>
      </x:c>
      <x:c r="G702" s="6" t="str">
        <x:v>Pingshui main list, Wikisource-derived DOCX</x:v>
      </x:c>
      <x:c r="H702" s="6" t="str">
        <x:v>1</x:v>
      </x:c>
      <x:c r="I702" s="6" t="str"/>
      <x:c r="J702" s="6" t="str">
        <x:f>IF(B702="","",IF(AND(ISNUMBER(SEARCH("平",B702)),OR(ISNUMBER(SEARCH("上",B702)),ISNUMBER(SEARCH("去",B702)),ISNUMBER(SEARCH("入",B702)))),"Ambiguous",IF(ISNUMBER(SEARCH("平",B702)),"平","仄")))</x:f>
        <x:v>平</x:v>
      </x:c>
      <x:c r="K702" s="6" t="str">
        <x:f>IF(D702="","",IF(AND(ISNUMBER(SEARCH("平",D702)),OR(ISNUMBER(SEARCH("上",D702)),ISNUMBER(SEARCH("去",D702)),ISNUMBER(SEARCH("入",D702)))),"Ambiguous",IF(ISNUMBER(SEARCH("平",D702)),"平","仄")))</x:f>
        <x:v>平</x:v>
      </x:c>
      <x:c r="L702" s="7" t="str"/>
    </x:row>
    <x:row r="703">
      <x:c r="A703" s="5" t="str">
        <x:v>團</x:v>
      </x:c>
      <x:c r="B703" s="6" t="str">
        <x:v>平</x:v>
      </x:c>
      <x:c r="C703" s="6" t="str">
        <x:f>IF(B703="","Needs decision","Ready")</x:f>
        <x:v>Ready</x:v>
      </x:c>
      <x:c r="D703" s="6" t="str">
        <x:v>平</x:v>
      </x:c>
      <x:c r="E703" s="6" t="str">
        <x:v>dwan (A)</x:v>
      </x:c>
      <x:c r="F703" s="6" t="str">
        <x:v>上平聲十四寒</x:v>
      </x:c>
      <x:c r="G703" s="6" t="str">
        <x:v>Pingshui main list, Wikisource-derived DOCX</x:v>
      </x:c>
      <x:c r="H703" s="6" t="str">
        <x:v>1</x:v>
      </x:c>
      <x:c r="I703" s="6" t="str"/>
      <x:c r="J703" s="6" t="str">
        <x:f>IF(B703="","",IF(AND(ISNUMBER(SEARCH("平",B703)),OR(ISNUMBER(SEARCH("上",B703)),ISNUMBER(SEARCH("去",B703)),ISNUMBER(SEARCH("入",B703)))),"Ambiguous",IF(ISNUMBER(SEARCH("平",B703)),"平","仄")))</x:f>
        <x:v>平</x:v>
      </x:c>
      <x:c r="K703" s="6" t="str">
        <x:f>IF(D703="","",IF(AND(ISNUMBER(SEARCH("平",D703)),OR(ISNUMBER(SEARCH("上",D703)),ISNUMBER(SEARCH("去",D703)),ISNUMBER(SEARCH("入",D703)))),"Ambiguous",IF(ISNUMBER(SEARCH("平",D703)),"平","仄")))</x:f>
        <x:v>平</x:v>
      </x:c>
      <x:c r="L703" s="7" t="str"/>
    </x:row>
    <x:row r="704">
      <x:c r="A704" s="5" t="str">
        <x:v>圜</x:v>
      </x:c>
      <x:c r="B704" s="6" t="str">
        <x:v>平</x:v>
      </x:c>
      <x:c r="C704" s="6" t="str">
        <x:f>IF(B704="","Needs decision","Ready")</x:f>
        <x:v>Ready</x:v>
      </x:c>
      <x:c r="D704" s="6" t="str">
        <x:v>平</x:v>
      </x:c>
      <x:c r="E704" s="6" t="str">
        <x:v>hjwen (A)</x:v>
      </x:c>
      <x:c r="F704" s="6" t="str">
        <x:v>上平聲十五刪</x:v>
      </x:c>
      <x:c r="G704" s="6" t="str">
        <x:v>Pingshui main list, Wikisource-derived DOCX</x:v>
      </x:c>
      <x:c r="H704" s="6" t="str">
        <x:v>1</x:v>
      </x:c>
      <x:c r="I704" s="6" t="str"/>
      <x:c r="J704" s="6" t="str">
        <x:f>IF(B704="","",IF(AND(ISNUMBER(SEARCH("平",B704)),OR(ISNUMBER(SEARCH("上",B704)),ISNUMBER(SEARCH("去",B704)),ISNUMBER(SEARCH("入",B704)))),"Ambiguous",IF(ISNUMBER(SEARCH("平",B704)),"平","仄")))</x:f>
        <x:v>平</x:v>
      </x:c>
      <x:c r="K704" s="6" t="str">
        <x:f>IF(D704="","",IF(AND(ISNUMBER(SEARCH("平",D704)),OR(ISNUMBER(SEARCH("上",D704)),ISNUMBER(SEARCH("去",D704)),ISNUMBER(SEARCH("入",D704)))),"Ambiguous",IF(ISNUMBER(SEARCH("平",D704)),"平","仄")))</x:f>
        <x:v>平</x:v>
      </x:c>
      <x:c r="L704" s="7" t="str"/>
    </x:row>
    <x:row r="705">
      <x:c r="A705" s="5" t="str">
        <x:v>土</x:v>
      </x:c>
      <x:c r="B705" s="6" t="str">
        <x:v>上</x:v>
      </x:c>
      <x:c r="C705" s="6" t="str">
        <x:f>IF(B705="","Needs decision","Ready")</x:f>
        <x:v>Ready</x:v>
      </x:c>
      <x:c r="D705" s="6" t="str">
        <x:v>上</x:v>
      </x:c>
      <x:c r="E705" s="6" t="str">
        <x:v>thuX (B)</x:v>
      </x:c>
      <x:c r="F705" s="6" t="str">
        <x:v>上聲七麌</x:v>
      </x:c>
      <x:c r="G705" s="6" t="str">
        <x:v>Pingshui main list, Wikisource-derived DOCX</x:v>
      </x:c>
      <x:c r="H705" s="6" t="str">
        <x:v>1</x:v>
      </x:c>
      <x:c r="I705" s="6" t="str"/>
      <x:c r="J705" s="6" t="str">
        <x:f>IF(B705="","",IF(AND(ISNUMBER(SEARCH("平",B705)),OR(ISNUMBER(SEARCH("上",B705)),ISNUMBER(SEARCH("去",B705)),ISNUMBER(SEARCH("入",B705)))),"Ambiguous",IF(ISNUMBER(SEARCH("平",B705)),"平","仄")))</x:f>
        <x:v>仄</x:v>
      </x:c>
      <x:c r="K705" s="6" t="str">
        <x:f>IF(D705="","",IF(AND(ISNUMBER(SEARCH("平",D705)),OR(ISNUMBER(SEARCH("上",D705)),ISNUMBER(SEARCH("去",D705)),ISNUMBER(SEARCH("入",D705)))),"Ambiguous",IF(ISNUMBER(SEARCH("平",D705)),"平","仄")))</x:f>
        <x:v>仄</x:v>
      </x:c>
      <x:c r="L705" s="7" t="str"/>
    </x:row>
    <x:row r="706">
      <x:c r="A706" s="5" t="str">
        <x:v>在</x:v>
      </x:c>
      <x:c r="B706" s="6" t="str">
        <x:v>上</x:v>
      </x:c>
      <x:c r="C706" s="6" t="str">
        <x:f>IF(B706="","Needs decision","Ready")</x:f>
        <x:v>Ready</x:v>
      </x:c>
      <x:c r="D706" s="6" t="str">
        <x:v>上</x:v>
      </x:c>
      <x:c r="E706" s="6" t="str">
        <x:v>dzojX (B)</x:v>
      </x:c>
      <x:c r="F706" s="6" t="str">
        <x:v>上聲十賄; 去聲十一隊</x:v>
      </x:c>
      <x:c r="G706" s="6" t="str">
        <x:v>Pingshui main list, Wikisource-derived DOCX</x:v>
      </x:c>
      <x:c r="H706" s="6" t="str">
        <x:v>1</x:v>
      </x:c>
      <x:c r="I706" s="6" t="str"/>
      <x:c r="J706" s="6" t="str">
        <x:f>IF(B706="","",IF(AND(ISNUMBER(SEARCH("平",B706)),OR(ISNUMBER(SEARCH("上",B706)),ISNUMBER(SEARCH("去",B706)),ISNUMBER(SEARCH("入",B706)))),"Ambiguous",IF(ISNUMBER(SEARCH("平",B706)),"平","仄")))</x:f>
        <x:v>仄</x:v>
      </x:c>
      <x:c r="K706" s="6" t="str">
        <x:f>IF(D706="","",IF(AND(ISNUMBER(SEARCH("平",D706)),OR(ISNUMBER(SEARCH("上",D706)),ISNUMBER(SEARCH("去",D706)),ISNUMBER(SEARCH("入",D706)))),"Ambiguous",IF(ISNUMBER(SEARCH("平",D706)),"平","仄")))</x:f>
        <x:v>仄</x:v>
      </x:c>
      <x:c r="L706" s="7" t="str"/>
    </x:row>
    <x:row r="707">
      <x:c r="A707" s="5" t="str">
        <x:v>圩</x:v>
      </x:c>
      <x:c r="B707" s="6" t="str">
        <x:v>平</x:v>
      </x:c>
      <x:c r="C707" s="6" t="str">
        <x:f>IF(B707="","Needs decision","Ready")</x:f>
        <x:v>Ready</x:v>
      </x:c>
      <x:c r="D707" s="6" t="str">
        <x:v>平</x:v>
      </x:c>
      <x:c r="E707" s="6" t="str">
        <x:v>'u (A)</x:v>
      </x:c>
      <x:c r="F707" s="6" t="str"/>
      <x:c r="G707" s="6" t="str"/>
      <x:c r="H707" s="6" t="str">
        <x:v>1</x:v>
      </x:c>
      <x:c r="I707" s="6" t="str"/>
      <x:c r="J707" s="6" t="str">
        <x:f>IF(B707="","",IF(AND(ISNUMBER(SEARCH("平",B707)),OR(ISNUMBER(SEARCH("上",B707)),ISNUMBER(SEARCH("去",B707)),ISNUMBER(SEARCH("入",B707)))),"Ambiguous",IF(ISNUMBER(SEARCH("平",B707)),"平","仄")))</x:f>
        <x:v>平</x:v>
      </x:c>
      <x:c r="K707" s="6" t="str">
        <x:f>IF(D707="","",IF(AND(ISNUMBER(SEARCH("平",D707)),OR(ISNUMBER(SEARCH("上",D707)),ISNUMBER(SEARCH("去",D707)),ISNUMBER(SEARCH("入",D707)))),"Ambiguous",IF(ISNUMBER(SEARCH("平",D707)),"平","仄")))</x:f>
        <x:v>平</x:v>
      </x:c>
      <x:c r="L707" s="7" t="str"/>
    </x:row>
    <x:row r="708">
      <x:c r="A708" s="5" t="str">
        <x:v>圭</x:v>
      </x:c>
      <x:c r="B708" s="6" t="str">
        <x:v>平</x:v>
      </x:c>
      <x:c r="C708" s="6" t="str">
        <x:f>IF(B708="","Needs decision","Ready")</x:f>
        <x:v>Ready</x:v>
      </x:c>
      <x:c r="D708" s="6" t="str">
        <x:v>平</x:v>
      </x:c>
      <x:c r="E708" s="6" t="str">
        <x:v>kwej (A)</x:v>
      </x:c>
      <x:c r="F708" s="6" t="str">
        <x:v>上平聲八齊</x:v>
      </x:c>
      <x:c r="G708" s="6" t="str">
        <x:v>Pingshui main list, Wikisource-derived DOCX</x:v>
      </x:c>
      <x:c r="H708" s="6" t="str">
        <x:v>1</x:v>
      </x:c>
      <x:c r="I708" s="6" t="str"/>
      <x:c r="J708" s="6" t="str">
        <x:f>IF(B708="","",IF(AND(ISNUMBER(SEARCH("平",B708)),OR(ISNUMBER(SEARCH("上",B708)),ISNUMBER(SEARCH("去",B708)),ISNUMBER(SEARCH("入",B708)))),"Ambiguous",IF(ISNUMBER(SEARCH("平",B708)),"平","仄")))</x:f>
        <x:v>平</x:v>
      </x:c>
      <x:c r="K708" s="6" t="str">
        <x:f>IF(D708="","",IF(AND(ISNUMBER(SEARCH("平",D708)),OR(ISNUMBER(SEARCH("上",D708)),ISNUMBER(SEARCH("去",D708)),ISNUMBER(SEARCH("入",D708)))),"Ambiguous",IF(ISNUMBER(SEARCH("平",D708)),"平","仄")))</x:f>
        <x:v>平</x:v>
      </x:c>
      <x:c r="L708" s="7" t="str"/>
    </x:row>
    <x:row r="709">
      <x:c r="A709" s="5" t="str">
        <x:v>地</x:v>
      </x:c>
      <x:c r="B709" s="6" t="str">
        <x:v>去</x:v>
      </x:c>
      <x:c r="C709" s="6" t="str">
        <x:f>IF(B709="","Needs decision","Ready")</x:f>
        <x:v>Ready</x:v>
      </x:c>
      <x:c r="D709" s="6" t="str">
        <x:v>去</x:v>
      </x:c>
      <x:c r="E709" s="6" t="str">
        <x:v>dijH (C)</x:v>
      </x:c>
      <x:c r="F709" s="6" t="str">
        <x:v>去聲四寘</x:v>
      </x:c>
      <x:c r="G709" s="6" t="str">
        <x:v>Pingshui main list, Wikisource-derived DOCX</x:v>
      </x:c>
      <x:c r="H709" s="6" t="str">
        <x:v>1</x:v>
      </x:c>
      <x:c r="I709" s="6" t="str"/>
      <x:c r="J709" s="6" t="str">
        <x:f>IF(B709="","",IF(AND(ISNUMBER(SEARCH("平",B709)),OR(ISNUMBER(SEARCH("上",B709)),ISNUMBER(SEARCH("去",B709)),ISNUMBER(SEARCH("入",B709)))),"Ambiguous",IF(ISNUMBER(SEARCH("平",B709)),"平","仄")))</x:f>
        <x:v>仄</x:v>
      </x:c>
      <x:c r="K709" s="6" t="str">
        <x:f>IF(D709="","",IF(AND(ISNUMBER(SEARCH("平",D709)),OR(ISNUMBER(SEARCH("上",D709)),ISNUMBER(SEARCH("去",D709)),ISNUMBER(SEARCH("入",D709)))),"Ambiguous",IF(ISNUMBER(SEARCH("平",D709)),"平","仄")))</x:f>
        <x:v>仄</x:v>
      </x:c>
      <x:c r="L709" s="7" t="str"/>
    </x:row>
    <x:row r="710">
      <x:c r="A710" s="5" t="str">
        <x:v>圻</x:v>
      </x:c>
      <x:c r="B710" s="6" t="str">
        <x:v>平</x:v>
      </x:c>
      <x:c r="C710" s="6" t="str">
        <x:f>IF(B710="","Needs decision","Ready")</x:f>
        <x:v>Ready</x:v>
      </x:c>
      <x:c r="D710" s="6" t="str">
        <x:v>平</x:v>
      </x:c>
      <x:c r="E710" s="6" t="str">
        <x:v>ngj+n (A)</x:v>
      </x:c>
      <x:c r="F710" s="6" t="str">
        <x:v>上平聲五微</x:v>
      </x:c>
      <x:c r="G710" s="6" t="str">
        <x:v>Pingshui main list, Wikisource-derived DOCX</x:v>
      </x:c>
      <x:c r="H710" s="6" t="str">
        <x:v>1</x:v>
      </x:c>
      <x:c r="I710" s="6" t="str"/>
      <x:c r="J710" s="6" t="str">
        <x:f>IF(B710="","",IF(AND(ISNUMBER(SEARCH("平",B710)),OR(ISNUMBER(SEARCH("上",B710)),ISNUMBER(SEARCH("去",B710)),ISNUMBER(SEARCH("入",B710)))),"Ambiguous",IF(ISNUMBER(SEARCH("平",B710)),"平","仄")))</x:f>
        <x:v>平</x:v>
      </x:c>
      <x:c r="K710" s="6" t="str">
        <x:f>IF(D710="","",IF(AND(ISNUMBER(SEARCH("平",D710)),OR(ISNUMBER(SEARCH("上",D710)),ISNUMBER(SEARCH("去",D710)),ISNUMBER(SEARCH("入",D710)))),"Ambiguous",IF(ISNUMBER(SEARCH("平",D710)),"平","仄")))</x:f>
        <x:v>平</x:v>
      </x:c>
      <x:c r="L710" s="7" t="str"/>
    </x:row>
    <x:row r="711">
      <x:c r="A711" s="5" t="str">
        <x:v>址</x:v>
      </x:c>
      <x:c r="B711" s="6" t="str">
        <x:v>上</x:v>
      </x:c>
      <x:c r="C711" s="6" t="str">
        <x:f>IF(B711="","Needs decision","Ready")</x:f>
        <x:v>Ready</x:v>
      </x:c>
      <x:c r="D711" s="6" t="str">
        <x:v>上</x:v>
      </x:c>
      <x:c r="E711" s="6" t="str"/>
      <x:c r="F711" s="6" t="str">
        <x:v>上聲四紙</x:v>
      </x:c>
      <x:c r="G711" s="6" t="str">
        <x:v>Pingshui main list, Wikisource-derived DOCX</x:v>
      </x:c>
      <x:c r="H711" s="6" t="str"/>
      <x:c r="I711" s="6" t="str">
        <x:v>Manual user correction/addition</x:v>
      </x:c>
      <x:c r="J711" s="6" t="str">
        <x:f>IF(B711="","",IF(AND(ISNUMBER(SEARCH("平",B711)),OR(ISNUMBER(SEARCH("上",B711)),ISNUMBER(SEARCH("去",B711)),ISNUMBER(SEARCH("入",B711)))),"Ambiguous",IF(ISNUMBER(SEARCH("平",B711)),"平","仄")))</x:f>
        <x:v>仄</x:v>
      </x:c>
      <x:c r="K711" s="6" t="str">
        <x:f>IF(D711="","",IF(AND(ISNUMBER(SEARCH("平",D711)),OR(ISNUMBER(SEARCH("上",D711)),ISNUMBER(SEARCH("去",D711)),ISNUMBER(SEARCH("入",D711)))),"Ambiguous",IF(ISNUMBER(SEARCH("平",D711)),"平","仄")))</x:f>
        <x:v>仄</x:v>
      </x:c>
      <x:c r="L711" s="7" t="str">
        <x:v>manual user correction</x:v>
      </x:c>
    </x:row>
    <x:row r="712">
      <x:c r="A712" s="5" t="str">
        <x:v>均</x:v>
      </x:c>
      <x:c r="B712" s="6" t="str"/>
      <x:c r="C712" s="6" t="str">
        <x:f>IF(B712="","Needs decision","Ready")</x:f>
        <x:v>Needs decision</x:v>
      </x:c>
      <x:c r="D712" s="6" t="str">
        <x:v>平/去</x:v>
      </x:c>
      <x:c r="E712" s="6" t="str">
        <x:v>kjwin (A); hwinH (C)</x:v>
      </x:c>
      <x:c r="F712" s="6" t="str">
        <x:v>上平聲十一真</x:v>
      </x:c>
      <x:c r="G712" s="6" t="str">
        <x:v>Pingshui main list, Wikisource-derived DOCX</x:v>
      </x:c>
      <x:c r="H712" s="6" t="str">
        <x:v>2</x:v>
      </x:c>
      <x:c r="I712" s="6" t="str"/>
      <x:c r="J712" s="6" t="str">
        <x:f>IF(B712="","",IF(AND(ISNUMBER(SEARCH("平",B712)),OR(ISNUMBER(SEARCH("上",B712)),ISNUMBER(SEARCH("去",B712)),ISNUMBER(SEARCH("入",B712)))),"Ambiguous",IF(ISNUMBER(SEARCH("平",B712)),"平","仄")))</x:f>
      </x:c>
      <x:c r="K712" s="6" t="str">
        <x:f>IF(D712="","",IF(AND(ISNUMBER(SEARCH("平",D712)),OR(ISNUMBER(SEARCH("上",D712)),ISNUMBER(SEARCH("去",D712)),ISNUMBER(SEARCH("入",D712)))),"Ambiguous",IF(ISNUMBER(SEARCH("平",D712)),"平","仄")))</x:f>
        <x:v>Ambiguous</x:v>
      </x:c>
      <x:c r="L712" s="7" t="str"/>
    </x:row>
    <x:row r="713">
      <x:c r="A713" s="5" t="str">
        <x:v>坊</x:v>
      </x:c>
      <x:c r="B713" s="6" t="str">
        <x:v>平</x:v>
      </x:c>
      <x:c r="C713" s="6" t="str">
        <x:f>IF(B713="","Needs decision","Ready")</x:f>
        <x:v>Ready</x:v>
      </x:c>
      <x:c r="D713" s="6" t="str">
        <x:v>平</x:v>
      </x:c>
      <x:c r="E713" s="6" t="str">
        <x:v>bjang (A)</x:v>
      </x:c>
      <x:c r="F713" s="6" t="str">
        <x:v>下平聲七陽</x:v>
      </x:c>
      <x:c r="G713" s="6" t="str">
        <x:v>Pingshui main list, Wikisource-derived DOCX</x:v>
      </x:c>
      <x:c r="H713" s="6" t="str">
        <x:v>1</x:v>
      </x:c>
      <x:c r="I713" s="6" t="str"/>
      <x:c r="J713" s="6" t="str">
        <x:f>IF(B713="","",IF(AND(ISNUMBER(SEARCH("平",B713)),OR(ISNUMBER(SEARCH("上",B713)),ISNUMBER(SEARCH("去",B713)),ISNUMBER(SEARCH("入",B713)))),"Ambiguous",IF(ISNUMBER(SEARCH("平",B713)),"平","仄")))</x:f>
        <x:v>平</x:v>
      </x:c>
      <x:c r="K713" s="6" t="str">
        <x:f>IF(D713="","",IF(AND(ISNUMBER(SEARCH("平",D713)),OR(ISNUMBER(SEARCH("上",D713)),ISNUMBER(SEARCH("去",D713)),ISNUMBER(SEARCH("入",D713)))),"Ambiguous",IF(ISNUMBER(SEARCH("平",D713)),"平","仄")))</x:f>
        <x:v>平</x:v>
      </x:c>
      <x:c r="L713" s="7" t="str"/>
    </x:row>
    <x:row r="714">
      <x:c r="A714" s="5" t="str">
        <x:v>坎</x:v>
      </x:c>
      <x:c r="B714" s="6" t="str">
        <x:v>上</x:v>
      </x:c>
      <x:c r="C714" s="6" t="str">
        <x:f>IF(B714="","Needs decision","Ready")</x:f>
        <x:v>Ready</x:v>
      </x:c>
      <x:c r="D714" s="6" t="str">
        <x:v>上</x:v>
      </x:c>
      <x:c r="E714" s="6" t="str">
        <x:v>khomX (B)</x:v>
      </x:c>
      <x:c r="F714" s="6" t="str">
        <x:v>上聲二十七感</x:v>
      </x:c>
      <x:c r="G714" s="6" t="str">
        <x:v>Pingshui main list, Wikisource-derived DOCX</x:v>
      </x:c>
      <x:c r="H714" s="6" t="str">
        <x:v>1</x:v>
      </x:c>
      <x:c r="I714" s="6" t="str"/>
      <x:c r="J714" s="6" t="str">
        <x:f>IF(B714="","",IF(AND(ISNUMBER(SEARCH("平",B714)),OR(ISNUMBER(SEARCH("上",B714)),ISNUMBER(SEARCH("去",B714)),ISNUMBER(SEARCH("入",B714)))),"Ambiguous",IF(ISNUMBER(SEARCH("平",B714)),"平","仄")))</x:f>
        <x:v>仄</x:v>
      </x:c>
      <x:c r="K714" s="6" t="str">
        <x:f>IF(D714="","",IF(AND(ISNUMBER(SEARCH("平",D714)),OR(ISNUMBER(SEARCH("上",D714)),ISNUMBER(SEARCH("去",D714)),ISNUMBER(SEARCH("入",D714)))),"Ambiguous",IF(ISNUMBER(SEARCH("平",D714)),"平","仄")))</x:f>
        <x:v>仄</x:v>
      </x:c>
      <x:c r="L714" s="7" t="str"/>
    </x:row>
    <x:row r="715">
      <x:c r="A715" s="5" t="str">
        <x:v>坐</x:v>
      </x:c>
      <x:c r="B715" s="6" t="str"/>
      <x:c r="C715" s="6" t="str">
        <x:f>IF(B715="","Needs decision","Ready")</x:f>
        <x:v>Needs decision</x:v>
      </x:c>
      <x:c r="D715" s="6" t="str">
        <x:v>上/去</x:v>
      </x:c>
      <x:c r="E715" s="6" t="str">
        <x:v>dzwaX (B); dzwaH (C)</x:v>
      </x:c>
      <x:c r="F715" s="6" t="str">
        <x:v>上聲二十哿; 去聲二十一箇</x:v>
      </x:c>
      <x:c r="G715" s="6" t="str">
        <x:v>Pingshui main list, Wikisource-derived DOCX</x:v>
      </x:c>
      <x:c r="H715" s="6" t="str">
        <x:v>2</x:v>
      </x:c>
      <x:c r="I715" s="6" t="str"/>
      <x:c r="J715" s="6" t="str">
        <x:f>IF(B715="","",IF(AND(ISNUMBER(SEARCH("平",B715)),OR(ISNUMBER(SEARCH("上",B715)),ISNUMBER(SEARCH("去",B715)),ISNUMBER(SEARCH("入",B715)))),"Ambiguous",IF(ISNUMBER(SEARCH("平",B715)),"平","仄")))</x:f>
      </x:c>
      <x:c r="K715" s="6" t="str">
        <x:f>IF(D715="","",IF(AND(ISNUMBER(SEARCH("平",D715)),OR(ISNUMBER(SEARCH("上",D715)),ISNUMBER(SEARCH("去",D715)),ISNUMBER(SEARCH("入",D715)))),"Ambiguous",IF(ISNUMBER(SEARCH("平",D715)),"平","仄")))</x:f>
        <x:v>仄</x:v>
      </x:c>
      <x:c r="L715" s="7" t="str"/>
    </x:row>
    <x:row r="716">
      <x:c r="A716" s="5" t="str">
        <x:v>坡</x:v>
      </x:c>
      <x:c r="B716" s="6" t="str">
        <x:v>平</x:v>
      </x:c>
      <x:c r="C716" s="6" t="str">
        <x:f>IF(B716="","Needs decision","Ready")</x:f>
        <x:v>Ready</x:v>
      </x:c>
      <x:c r="D716" s="6" t="str">
        <x:v>平</x:v>
      </x:c>
      <x:c r="E716" s="6" t="str">
        <x:v>pha [p̙ʰɑ] (平)</x:v>
      </x:c>
      <x:c r="F716" s="6" t="str">
        <x:v>下平聲五歌</x:v>
      </x:c>
      <x:c r="G716" s="6" t="str">
        <x:v>Pingshui main list, Wikisource-derived DOCX</x:v>
      </x:c>
      <x:c r="H716" s="6" t="str">
        <x:v>1</x:v>
      </x:c>
      <x:c r="I716" s="6" t="str">
        <x:v>Tang 300 gap; frequency 1; provisional from Xun Gong</x:v>
      </x:c>
      <x:c r="J716" s="6" t="str">
        <x:f>IF(B716="","",IF(AND(ISNUMBER(SEARCH("平",B716)),OR(ISNUMBER(SEARCH("上",B716)),ISNUMBER(SEARCH("去",B716)),ISNUMBER(SEARCH("入",B716)))),"Ambiguous",IF(ISNUMBER(SEARCH("平",B716)),"平","仄")))</x:f>
        <x:v>平</x:v>
      </x:c>
      <x:c r="K716" s="6" t="str">
        <x:f>IF(D716="","",IF(AND(ISNUMBER(SEARCH("平",D716)),OR(ISNUMBER(SEARCH("上",D716)),ISNUMBER(SEARCH("去",D716)),ISNUMBER(SEARCH("入",D716)))),"Ambiguous",IF(ISNUMBER(SEARCH("平",D716)),"平","仄")))</x:f>
        <x:v>平</x:v>
      </x:c>
      <x:c r="L716" s="7" t="str">
        <x:v>Xun Gong, Tang 300 gap fill</x:v>
      </x:c>
    </x:row>
    <x:row r="717">
      <x:c r="A717" s="5" t="str">
        <x:v>坤</x:v>
      </x:c>
      <x:c r="B717" s="6" t="str">
        <x:v>平</x:v>
      </x:c>
      <x:c r="C717" s="6" t="str">
        <x:f>IF(B717="","Needs decision","Ready")</x:f>
        <x:v>Ready</x:v>
      </x:c>
      <x:c r="D717" s="6" t="str">
        <x:v>平</x:v>
      </x:c>
      <x:c r="E717" s="6" t="str">
        <x:v>khwon (A)</x:v>
      </x:c>
      <x:c r="F717" s="6" t="str">
        <x:v>上平聲十三元</x:v>
      </x:c>
      <x:c r="G717" s="6" t="str">
        <x:v>Pingshui main list, Wikisource-derived DOCX</x:v>
      </x:c>
      <x:c r="H717" s="6" t="str">
        <x:v>1</x:v>
      </x:c>
      <x:c r="I717" s="6" t="str"/>
      <x:c r="J717" s="6" t="str">
        <x:f>IF(B717="","",IF(AND(ISNUMBER(SEARCH("平",B717)),OR(ISNUMBER(SEARCH("上",B717)),ISNUMBER(SEARCH("去",B717)),ISNUMBER(SEARCH("入",B717)))),"Ambiguous",IF(ISNUMBER(SEARCH("平",B717)),"平","仄")))</x:f>
        <x:v>平</x:v>
      </x:c>
      <x:c r="K717" s="6" t="str">
        <x:f>IF(D717="","",IF(AND(ISNUMBER(SEARCH("平",D717)),OR(ISNUMBER(SEARCH("上",D717)),ISNUMBER(SEARCH("去",D717)),ISNUMBER(SEARCH("入",D717)))),"Ambiguous",IF(ISNUMBER(SEARCH("平",D717)),"平","仄")))</x:f>
        <x:v>平</x:v>
      </x:c>
      <x:c r="L717" s="7" t="str"/>
    </x:row>
    <x:row r="718">
      <x:c r="A718" s="5" t="str">
        <x:v>坦</x:v>
      </x:c>
      <x:c r="B718" s="6" t="str">
        <x:v>上</x:v>
      </x:c>
      <x:c r="C718" s="6" t="str">
        <x:f>IF(B718="","Needs decision","Ready")</x:f>
        <x:v>Ready</x:v>
      </x:c>
      <x:c r="D718" s="6" t="str">
        <x:v>上</x:v>
      </x:c>
      <x:c r="E718" s="6" t="str">
        <x:v>thanX (B)</x:v>
      </x:c>
      <x:c r="F718" s="6" t="str">
        <x:v>上聲十四旱</x:v>
      </x:c>
      <x:c r="G718" s="6" t="str">
        <x:v>Pingshui main list, Wikisource-derived DOCX</x:v>
      </x:c>
      <x:c r="H718" s="6" t="str">
        <x:v>1</x:v>
      </x:c>
      <x:c r="I718" s="6" t="str"/>
      <x:c r="J718" s="6" t="str">
        <x:f>IF(B718="","",IF(AND(ISNUMBER(SEARCH("平",B718)),OR(ISNUMBER(SEARCH("上",B718)),ISNUMBER(SEARCH("去",B718)),ISNUMBER(SEARCH("入",B718)))),"Ambiguous",IF(ISNUMBER(SEARCH("平",B718)),"平","仄")))</x:f>
        <x:v>仄</x:v>
      </x:c>
      <x:c r="K718" s="6" t="str">
        <x:f>IF(D718="","",IF(AND(ISNUMBER(SEARCH("平",D718)),OR(ISNUMBER(SEARCH("上",D718)),ISNUMBER(SEARCH("去",D718)),ISNUMBER(SEARCH("入",D718)))),"Ambiguous",IF(ISNUMBER(SEARCH("平",D718)),"平","仄")))</x:f>
        <x:v>仄</x:v>
      </x:c>
      <x:c r="L718" s="7" t="str"/>
    </x:row>
    <x:row r="719">
      <x:c r="A719" s="5" t="str">
        <x:v>坰</x:v>
      </x:c>
      <x:c r="B719" s="6" t="str">
        <x:v>平</x:v>
      </x:c>
      <x:c r="C719" s="6" t="str">
        <x:f>IF(B719="","Needs decision","Ready")</x:f>
        <x:v>Ready</x:v>
      </x:c>
      <x:c r="D719" s="6" t="str">
        <x:v>平</x:v>
      </x:c>
      <x:c r="E719" s="6" t="str">
        <x:v>kweng (A)</x:v>
      </x:c>
      <x:c r="F719" s="6" t="str">
        <x:v>下平聲九青</x:v>
      </x:c>
      <x:c r="G719" s="6" t="str">
        <x:v>Pingshui main list, Wikisource-derived DOCX</x:v>
      </x:c>
      <x:c r="H719" s="6" t="str">
        <x:v>1</x:v>
      </x:c>
      <x:c r="I719" s="6" t="str"/>
      <x:c r="J719" s="6" t="str">
        <x:f>IF(B719="","",IF(AND(ISNUMBER(SEARCH("平",B719)),OR(ISNUMBER(SEARCH("上",B719)),ISNUMBER(SEARCH("去",B719)),ISNUMBER(SEARCH("入",B719)))),"Ambiguous",IF(ISNUMBER(SEARCH("平",B719)),"平","仄")))</x:f>
        <x:v>平</x:v>
      </x:c>
      <x:c r="K719" s="6" t="str">
        <x:f>IF(D719="","",IF(AND(ISNUMBER(SEARCH("平",D719)),OR(ISNUMBER(SEARCH("上",D719)),ISNUMBER(SEARCH("去",D719)),ISNUMBER(SEARCH("入",D719)))),"Ambiguous",IF(ISNUMBER(SEARCH("平",D719)),"平","仄")))</x:f>
        <x:v>平</x:v>
      </x:c>
      <x:c r="L719" s="7" t="str"/>
    </x:row>
    <x:row r="720">
      <x:c r="A720" s="5" t="str">
        <x:v>坻</x:v>
      </x:c>
      <x:c r="B720" s="6" t="str">
        <x:v>平</x:v>
      </x:c>
      <x:c r="C720" s="6" t="str">
        <x:f>IF(B720="","Needs decision","Ready")</x:f>
        <x:v>Ready</x:v>
      </x:c>
      <x:c r="D720" s="6" t="str">
        <x:v>平</x:v>
      </x:c>
      <x:c r="E720" s="6" t="str">
        <x:v>drij (A)</x:v>
      </x:c>
      <x:c r="F720" s="6" t="str">
        <x:v>上平聲四支; 上聲四紙; 上聲八薺</x:v>
      </x:c>
      <x:c r="G720" s="6" t="str">
        <x:v>Pingshui main list, Wikisource-derived DOCX</x:v>
      </x:c>
      <x:c r="H720" s="6" t="str">
        <x:v>1</x:v>
      </x:c>
      <x:c r="I720" s="6" t="str"/>
      <x:c r="J720" s="6" t="str">
        <x:f>IF(B720="","",IF(AND(ISNUMBER(SEARCH("平",B720)),OR(ISNUMBER(SEARCH("上",B720)),ISNUMBER(SEARCH("去",B720)),ISNUMBER(SEARCH("入",B720)))),"Ambiguous",IF(ISNUMBER(SEARCH("平",B720)),"平","仄")))</x:f>
        <x:v>平</x:v>
      </x:c>
      <x:c r="K720" s="6" t="str">
        <x:f>IF(D720="","",IF(AND(ISNUMBER(SEARCH("平",D720)),OR(ISNUMBER(SEARCH("上",D720)),ISNUMBER(SEARCH("去",D720)),ISNUMBER(SEARCH("入",D720)))),"Ambiguous",IF(ISNUMBER(SEARCH("平",D720)),"平","仄")))</x:f>
        <x:v>平</x:v>
      </x:c>
      <x:c r="L720" s="7" t="str"/>
    </x:row>
    <x:row r="721">
      <x:c r="A721" s="5" t="str">
        <x:v>坼</x:v>
      </x:c>
      <x:c r="B721" s="6" t="str">
        <x:v>入</x:v>
      </x:c>
      <x:c r="C721" s="6" t="str">
        <x:f>IF(B721="","Needs decision","Ready")</x:f>
        <x:v>Ready</x:v>
      </x:c>
      <x:c r="D721" s="6" t="str">
        <x:v>入</x:v>
      </x:c>
      <x:c r="E721" s="6" t="str">
        <x:v>trhaek (D)</x:v>
      </x:c>
      <x:c r="F721" s="6" t="str"/>
      <x:c r="G721" s="6" t="str"/>
      <x:c r="H721" s="6" t="str">
        <x:v>1</x:v>
      </x:c>
      <x:c r="I721" s="6" t="str"/>
      <x:c r="J721" s="6" t="str">
        <x:f>IF(B721="","",IF(AND(ISNUMBER(SEARCH("平",B721)),OR(ISNUMBER(SEARCH("上",B721)),ISNUMBER(SEARCH("去",B721)),ISNUMBER(SEARCH("入",B721)))),"Ambiguous",IF(ISNUMBER(SEARCH("平",B721)),"平","仄")))</x:f>
        <x:v>仄</x:v>
      </x:c>
      <x:c r="K721" s="6" t="str">
        <x:f>IF(D721="","",IF(AND(ISNUMBER(SEARCH("平",D721)),OR(ISNUMBER(SEARCH("上",D721)),ISNUMBER(SEARCH("去",D721)),ISNUMBER(SEARCH("入",D721)))),"Ambiguous",IF(ISNUMBER(SEARCH("平",D721)),"平","仄")))</x:f>
        <x:v>仄</x:v>
      </x:c>
      <x:c r="L721" s="7" t="str"/>
    </x:row>
    <x:row r="722">
      <x:c r="A722" s="5" t="str">
        <x:v>垂</x:v>
      </x:c>
      <x:c r="B722" s="6" t="str">
        <x:v>平</x:v>
      </x:c>
      <x:c r="C722" s="6" t="str">
        <x:f>IF(B722="","Needs decision","Ready")</x:f>
        <x:v>Ready</x:v>
      </x:c>
      <x:c r="D722" s="6" t="str">
        <x:v>平</x:v>
      </x:c>
      <x:c r="E722" s="6" t="str">
        <x:v>dzywe (A)</x:v>
      </x:c>
      <x:c r="F722" s="6" t="str">
        <x:v>上平聲四支</x:v>
      </x:c>
      <x:c r="G722" s="6" t="str">
        <x:v>Pingshui main list, Wikisource-derived DOCX</x:v>
      </x:c>
      <x:c r="H722" s="6" t="str">
        <x:v>1</x:v>
      </x:c>
      <x:c r="I722" s="6" t="str"/>
      <x:c r="J722" s="6" t="str">
        <x:f>IF(B722="","",IF(AND(ISNUMBER(SEARCH("平",B722)),OR(ISNUMBER(SEARCH("上",B722)),ISNUMBER(SEARCH("去",B722)),ISNUMBER(SEARCH("入",B722)))),"Ambiguous",IF(ISNUMBER(SEARCH("平",B722)),"平","仄")))</x:f>
        <x:v>平</x:v>
      </x:c>
      <x:c r="K722" s="6" t="str">
        <x:f>IF(D722="","",IF(AND(ISNUMBER(SEARCH("平",D722)),OR(ISNUMBER(SEARCH("上",D722)),ISNUMBER(SEARCH("去",D722)),ISNUMBER(SEARCH("入",D722)))),"Ambiguous",IF(ISNUMBER(SEARCH("平",D722)),"平","仄")))</x:f>
        <x:v>平</x:v>
      </x:c>
      <x:c r="L722" s="7" t="str"/>
    </x:row>
    <x:row r="723">
      <x:c r="A723" s="5" t="str">
        <x:v>垓</x:v>
      </x:c>
      <x:c r="B723" s="6" t="str">
        <x:v>平</x:v>
      </x:c>
      <x:c r="C723" s="6" t="str">
        <x:f>IF(B723="","Needs decision","Ready")</x:f>
        <x:v>Ready</x:v>
      </x:c>
      <x:c r="D723" s="6" t="str">
        <x:v>平</x:v>
      </x:c>
      <x:c r="E723" s="6" t="str">
        <x:v>koj [qəj] (平)</x:v>
      </x:c>
      <x:c r="F723" s="6" t="str">
        <x:v>上平聲十灰</x:v>
      </x:c>
      <x:c r="G723" s="6" t="str">
        <x:v>Pingshui main list, Wikisource-derived DOCX</x:v>
      </x:c>
      <x:c r="H723" s="6" t="str">
        <x:v>1</x:v>
      </x:c>
      <x:c r="I723" s="6" t="str">
        <x:v>Tang 300 gap; frequency 1; provisional from Xun Gong</x:v>
      </x:c>
      <x:c r="J723" s="6" t="str">
        <x:f>IF(B723="","",IF(AND(ISNUMBER(SEARCH("平",B723)),OR(ISNUMBER(SEARCH("上",B723)),ISNUMBER(SEARCH("去",B723)),ISNUMBER(SEARCH("入",B723)))),"Ambiguous",IF(ISNUMBER(SEARCH("平",B723)),"平","仄")))</x:f>
        <x:v>平</x:v>
      </x:c>
      <x:c r="K723" s="6" t="str">
        <x:f>IF(D723="","",IF(AND(ISNUMBER(SEARCH("平",D723)),OR(ISNUMBER(SEARCH("上",D723)),ISNUMBER(SEARCH("去",D723)),ISNUMBER(SEARCH("入",D723)))),"Ambiguous",IF(ISNUMBER(SEARCH("平",D723)),"平","仄")))</x:f>
        <x:v>平</x:v>
      </x:c>
      <x:c r="L723" s="7" t="str">
        <x:v>Xun Gong, Tang 300 gap fill</x:v>
      </x:c>
    </x:row>
    <x:row r="724">
      <x:c r="A724" s="5" t="str">
        <x:v>垔</x:v>
      </x:c>
      <x:c r="B724" s="6" t="str">
        <x:v>平</x:v>
      </x:c>
      <x:c r="C724" s="6" t="str">
        <x:f>IF(B724="","Needs decision","Ready")</x:f>
        <x:v>Ready</x:v>
      </x:c>
      <x:c r="D724" s="6" t="str">
        <x:v>平</x:v>
      </x:c>
      <x:c r="E724" s="6" t="str">
        <x:v>'jin (A)</x:v>
      </x:c>
      <x:c r="F724" s="6" t="str"/>
      <x:c r="G724" s="6" t="str"/>
      <x:c r="H724" s="6" t="str">
        <x:v>1</x:v>
      </x:c>
      <x:c r="I724" s="6" t="str"/>
      <x:c r="J724" s="6" t="str">
        <x:f>IF(B724="","",IF(AND(ISNUMBER(SEARCH("平",B724)),OR(ISNUMBER(SEARCH("上",B724)),ISNUMBER(SEARCH("去",B724)),ISNUMBER(SEARCH("入",B724)))),"Ambiguous",IF(ISNUMBER(SEARCH("平",B724)),"平","仄")))</x:f>
        <x:v>平</x:v>
      </x:c>
      <x:c r="K724" s="6" t="str">
        <x:f>IF(D724="","",IF(AND(ISNUMBER(SEARCH("平",D724)),OR(ISNUMBER(SEARCH("上",D724)),ISNUMBER(SEARCH("去",D724)),ISNUMBER(SEARCH("入",D724)))),"Ambiguous",IF(ISNUMBER(SEARCH("平",D724)),"平","仄")))</x:f>
        <x:v>平</x:v>
      </x:c>
      <x:c r="L724" s="7" t="str"/>
    </x:row>
    <x:row r="725">
      <x:c r="A725" s="5" t="str">
        <x:v>垠</x:v>
      </x:c>
      <x:c r="B725" s="6" t="str">
        <x:v>平</x:v>
      </x:c>
      <x:c r="C725" s="6" t="str">
        <x:f>IF(B725="","Needs decision","Ready")</x:f>
        <x:v>Ready</x:v>
      </x:c>
      <x:c r="D725" s="6" t="str">
        <x:v>平</x:v>
      </x:c>
      <x:c r="E725" s="6" t="str">
        <x:v>ngj+n (A)</x:v>
      </x:c>
      <x:c r="F725" s="6" t="str">
        <x:v>上平聲十一真; 上平聲十二文; 上平聲十三元</x:v>
      </x:c>
      <x:c r="G725" s="6" t="str">
        <x:v>Pingshui main list, Wikisource-derived DOCX</x:v>
      </x:c>
      <x:c r="H725" s="6" t="str">
        <x:v>1</x:v>
      </x:c>
      <x:c r="I725" s="6" t="str"/>
      <x:c r="J725" s="6" t="str">
        <x:f>IF(B725="","",IF(AND(ISNUMBER(SEARCH("平",B725)),OR(ISNUMBER(SEARCH("上",B725)),ISNUMBER(SEARCH("去",B725)),ISNUMBER(SEARCH("入",B725)))),"Ambiguous",IF(ISNUMBER(SEARCH("平",B725)),"平","仄")))</x:f>
        <x:v>平</x:v>
      </x:c>
      <x:c r="K725" s="6" t="str">
        <x:f>IF(D725="","",IF(AND(ISNUMBER(SEARCH("平",D725)),OR(ISNUMBER(SEARCH("上",D725)),ISNUMBER(SEARCH("去",D725)),ISNUMBER(SEARCH("入",D725)))),"Ambiguous",IF(ISNUMBER(SEARCH("平",D725)),"平","仄")))</x:f>
        <x:v>平</x:v>
      </x:c>
      <x:c r="L725" s="7" t="str"/>
    </x:row>
    <x:row r="726">
      <x:c r="A726" s="5" t="str">
        <x:v>垢</x:v>
      </x:c>
      <x:c r="B726" s="6" t="str">
        <x:v>上</x:v>
      </x:c>
      <x:c r="C726" s="6" t="str">
        <x:f>IF(B726="","Needs decision","Ready")</x:f>
        <x:v>Ready</x:v>
      </x:c>
      <x:c r="D726" s="6" t="str">
        <x:v>上</x:v>
      </x:c>
      <x:c r="E726" s="6" t="str">
        <x:v>kuwX [quʔ] (上)</x:v>
      </x:c>
      <x:c r="F726" s="6" t="str">
        <x:v>上聲二十五有</x:v>
      </x:c>
      <x:c r="G726" s="6" t="str">
        <x:v>Pingshui main list, Wikisource-derived DOCX</x:v>
      </x:c>
      <x:c r="H726" s="6" t="str">
        <x:v>1</x:v>
      </x:c>
      <x:c r="I726" s="6" t="str">
        <x:v>Tang 300 gap; frequency 1; provisional from Xun Gong</x:v>
      </x:c>
      <x:c r="J726" s="6" t="str">
        <x:f>IF(B726="","",IF(AND(ISNUMBER(SEARCH("平",B726)),OR(ISNUMBER(SEARCH("上",B726)),ISNUMBER(SEARCH("去",B726)),ISNUMBER(SEARCH("入",B726)))),"Ambiguous",IF(ISNUMBER(SEARCH("平",B726)),"平","仄")))</x:f>
        <x:v>仄</x:v>
      </x:c>
      <x:c r="K726" s="6" t="str">
        <x:f>IF(D726="","",IF(AND(ISNUMBER(SEARCH("平",D726)),OR(ISNUMBER(SEARCH("上",D726)),ISNUMBER(SEARCH("去",D726)),ISNUMBER(SEARCH("入",D726)))),"Ambiguous",IF(ISNUMBER(SEARCH("平",D726)),"平","仄")))</x:f>
        <x:v>仄</x:v>
      </x:c>
      <x:c r="L726" s="7" t="str">
        <x:v>Xun Gong, Tang 300 gap fill</x:v>
      </x:c>
    </x:row>
    <x:row r="727">
      <x:c r="A727" s="5" t="str">
        <x:v>垣</x:v>
      </x:c>
      <x:c r="B727" s="6" t="str">
        <x:v>平</x:v>
      </x:c>
      <x:c r="C727" s="6" t="str">
        <x:f>IF(B727="","Needs decision","Ready")</x:f>
        <x:v>Ready</x:v>
      </x:c>
      <x:c r="D727" s="6" t="str">
        <x:v>平</x:v>
      </x:c>
      <x:c r="E727" s="6" t="str">
        <x:v>hjwon (A)</x:v>
      </x:c>
      <x:c r="F727" s="6" t="str">
        <x:v>上平聲十三元</x:v>
      </x:c>
      <x:c r="G727" s="6" t="str">
        <x:v>Pingshui main list, Wikisource-derived DOCX</x:v>
      </x:c>
      <x:c r="H727" s="6" t="str">
        <x:v>1</x:v>
      </x:c>
      <x:c r="I727" s="6" t="str"/>
      <x:c r="J727" s="6" t="str">
        <x:f>IF(B727="","",IF(AND(ISNUMBER(SEARCH("平",B727)),OR(ISNUMBER(SEARCH("上",B727)),ISNUMBER(SEARCH("去",B727)),ISNUMBER(SEARCH("入",B727)))),"Ambiguous",IF(ISNUMBER(SEARCH("平",B727)),"平","仄")))</x:f>
        <x:v>平</x:v>
      </x:c>
      <x:c r="K727" s="6" t="str">
        <x:f>IF(D727="","",IF(AND(ISNUMBER(SEARCH("平",D727)),OR(ISNUMBER(SEARCH("上",D727)),ISNUMBER(SEARCH("去",D727)),ISNUMBER(SEARCH("入",D727)))),"Ambiguous",IF(ISNUMBER(SEARCH("平",D727)),"平","仄")))</x:f>
        <x:v>平</x:v>
      </x:c>
      <x:c r="L727" s="7" t="str"/>
    </x:row>
    <x:row r="728">
      <x:c r="A728" s="5" t="str">
        <x:v>垤</x:v>
      </x:c>
      <x:c r="B728" s="6" t="str">
        <x:v>入</x:v>
      </x:c>
      <x:c r="C728" s="6" t="str">
        <x:f>IF(B728="","Needs decision","Ready")</x:f>
        <x:v>Ready</x:v>
      </x:c>
      <x:c r="D728" s="6" t="str">
        <x:v>入</x:v>
      </x:c>
      <x:c r="E728" s="6" t="str">
        <x:v>det (D)</x:v>
      </x:c>
      <x:c r="F728" s="6" t="str">
        <x:v>入聲九屑</x:v>
      </x:c>
      <x:c r="G728" s="6" t="str">
        <x:v>Pingshui main list, Wikisource-derived DOCX</x:v>
      </x:c>
      <x:c r="H728" s="6" t="str">
        <x:v>1</x:v>
      </x:c>
      <x:c r="I728" s="6" t="str"/>
      <x:c r="J728" s="6" t="str">
        <x:f>IF(B728="","",IF(AND(ISNUMBER(SEARCH("平",B728)),OR(ISNUMBER(SEARCH("上",B728)),ISNUMBER(SEARCH("去",B728)),ISNUMBER(SEARCH("入",B728)))),"Ambiguous",IF(ISNUMBER(SEARCH("平",B728)),"平","仄")))</x:f>
        <x:v>仄</x:v>
      </x:c>
      <x:c r="K728" s="6" t="str">
        <x:f>IF(D728="","",IF(AND(ISNUMBER(SEARCH("平",D728)),OR(ISNUMBER(SEARCH("上",D728)),ISNUMBER(SEARCH("去",D728)),ISNUMBER(SEARCH("入",D728)))),"Ambiguous",IF(ISNUMBER(SEARCH("平",D728)),"平","仄")))</x:f>
        <x:v>仄</x:v>
      </x:c>
      <x:c r="L728" s="7" t="str"/>
    </x:row>
    <x:row r="729">
      <x:c r="A729" s="5" t="str">
        <x:v>埃</x:v>
      </x:c>
      <x:c r="B729" s="6" t="str">
        <x:v>平</x:v>
      </x:c>
      <x:c r="C729" s="6" t="str">
        <x:f>IF(B729="","Needs decision","Ready")</x:f>
        <x:v>Ready</x:v>
      </x:c>
      <x:c r="D729" s="6" t="str">
        <x:v>平</x:v>
      </x:c>
      <x:c r="E729" s="6" t="str">
        <x:v>'oj (A)</x:v>
      </x:c>
      <x:c r="F729" s="6" t="str">
        <x:v>上平聲十灰</x:v>
      </x:c>
      <x:c r="G729" s="6" t="str">
        <x:v>Pingshui main list, Wikisource-derived DOCX</x:v>
      </x:c>
      <x:c r="H729" s="6" t="str">
        <x:v>1</x:v>
      </x:c>
      <x:c r="I729" s="6" t="str"/>
      <x:c r="J729" s="6" t="str">
        <x:f>IF(B729="","",IF(AND(ISNUMBER(SEARCH("平",B729)),OR(ISNUMBER(SEARCH("上",B729)),ISNUMBER(SEARCH("去",B729)),ISNUMBER(SEARCH("入",B729)))),"Ambiguous",IF(ISNUMBER(SEARCH("平",B729)),"平","仄")))</x:f>
        <x:v>平</x:v>
      </x:c>
      <x:c r="K729" s="6" t="str">
        <x:f>IF(D729="","",IF(AND(ISNUMBER(SEARCH("平",D729)),OR(ISNUMBER(SEARCH("上",D729)),ISNUMBER(SEARCH("去",D729)),ISNUMBER(SEARCH("入",D729)))),"Ambiguous",IF(ISNUMBER(SEARCH("平",D729)),"平","仄")))</x:f>
        <x:v>平</x:v>
      </x:c>
      <x:c r="L729" s="7" t="str"/>
    </x:row>
    <x:row r="730">
      <x:c r="A730" s="5" t="str">
        <x:v>埋</x:v>
      </x:c>
      <x:c r="B730" s="6" t="str">
        <x:v>平</x:v>
      </x:c>
      <x:c r="C730" s="6" t="str">
        <x:f>IF(B730="","Needs decision","Ready")</x:f>
        <x:v>Ready</x:v>
      </x:c>
      <x:c r="D730" s="6" t="str">
        <x:v>平</x:v>
      </x:c>
      <x:c r="E730" s="6" t="str">
        <x:v>meaj (A)</x:v>
      </x:c>
      <x:c r="F730" s="6" t="str">
        <x:v>上平聲九佳</x:v>
      </x:c>
      <x:c r="G730" s="6" t="str">
        <x:v>Pingshui main list, Wikisource-derived DOCX</x:v>
      </x:c>
      <x:c r="H730" s="6" t="str">
        <x:v>1</x:v>
      </x:c>
      <x:c r="I730" s="6" t="str"/>
      <x:c r="J730" s="6" t="str">
        <x:f>IF(B730="","",IF(AND(ISNUMBER(SEARCH("平",B730)),OR(ISNUMBER(SEARCH("上",B730)),ISNUMBER(SEARCH("去",B730)),ISNUMBER(SEARCH("入",B730)))),"Ambiguous",IF(ISNUMBER(SEARCH("平",B730)),"平","仄")))</x:f>
        <x:v>平</x:v>
      </x:c>
      <x:c r="K730" s="6" t="str">
        <x:f>IF(D730="","",IF(AND(ISNUMBER(SEARCH("平",D730)),OR(ISNUMBER(SEARCH("上",D730)),ISNUMBER(SEARCH("去",D730)),ISNUMBER(SEARCH("入",D730)))),"Ambiguous",IF(ISNUMBER(SEARCH("平",D730)),"平","仄")))</x:f>
        <x:v>平</x:v>
      </x:c>
      <x:c r="L730" s="7" t="str"/>
    </x:row>
    <x:row r="731">
      <x:c r="A731" s="5" t="str">
        <x:v>城</x:v>
      </x:c>
      <x:c r="B731" s="6" t="str">
        <x:v>平</x:v>
      </x:c>
      <x:c r="C731" s="6" t="str">
        <x:f>IF(B731="","Needs decision","Ready")</x:f>
        <x:v>Ready</x:v>
      </x:c>
      <x:c r="D731" s="6" t="str">
        <x:v>平</x:v>
      </x:c>
      <x:c r="E731" s="6" t="str">
        <x:v>dzyeng (A)</x:v>
      </x:c>
      <x:c r="F731" s="6" t="str">
        <x:v>下平聲八庚</x:v>
      </x:c>
      <x:c r="G731" s="6" t="str">
        <x:v>Pingshui main list, Wikisource-derived DOCX</x:v>
      </x:c>
      <x:c r="H731" s="6" t="str">
        <x:v>1</x:v>
      </x:c>
      <x:c r="I731" s="6" t="str"/>
      <x:c r="J731" s="6" t="str">
        <x:f>IF(B731="","",IF(AND(ISNUMBER(SEARCH("平",B731)),OR(ISNUMBER(SEARCH("上",B731)),ISNUMBER(SEARCH("去",B731)),ISNUMBER(SEARCH("入",B731)))),"Ambiguous",IF(ISNUMBER(SEARCH("平",B731)),"平","仄")))</x:f>
        <x:v>平</x:v>
      </x:c>
      <x:c r="K731" s="6" t="str">
        <x:f>IF(D731="","",IF(AND(ISNUMBER(SEARCH("平",D731)),OR(ISNUMBER(SEARCH("上",D731)),ISNUMBER(SEARCH("去",D731)),ISNUMBER(SEARCH("入",D731)))),"Ambiguous",IF(ISNUMBER(SEARCH("平",D731)),"平","仄")))</x:f>
        <x:v>平</x:v>
      </x:c>
      <x:c r="L731" s="7" t="str"/>
    </x:row>
    <x:row r="732">
      <x:c r="A732" s="5" t="str">
        <x:v>埒</x:v>
      </x:c>
      <x:c r="B732" s="6" t="str">
        <x:v>入</x:v>
      </x:c>
      <x:c r="C732" s="6" t="str">
        <x:f>IF(B732="","Needs decision","Ready")</x:f>
        <x:v>Ready</x:v>
      </x:c>
      <x:c r="D732" s="6" t="str">
        <x:v>入</x:v>
      </x:c>
      <x:c r="E732" s="6" t="str"/>
      <x:c r="F732" s="6" t="str">
        <x:v>入聲九屑</x:v>
      </x:c>
      <x:c r="G732" s="6" t="str">
        <x:v>Pingshui main list, Wikisource-derived DOCX</x:v>
      </x:c>
      <x:c r="H732" s="6" t="str">
        <x:v>0</x:v>
      </x:c>
      <x:c r="I732" s="6" t="str">
        <x:v>User correction 2026-09-08; added manually</x:v>
      </x:c>
      <x:c r="J732" s="6" t="str">
        <x:f>IF(B732="","",IF(AND(ISNUMBER(SEARCH("平",B732)),OR(ISNUMBER(SEARCH("上",B732)),ISNUMBER(SEARCH("去",B732)),ISNUMBER(SEARCH("入",B732)))),"Ambiguous",IF(ISNUMBER(SEARCH("平",B732)),"平","仄")))</x:f>
        <x:v>仄</x:v>
      </x:c>
      <x:c r="K732" s="6" t="str">
        <x:f>IF(D732="","",IF(AND(ISNUMBER(SEARCH("平",D732)),OR(ISNUMBER(SEARCH("上",D732)),ISNUMBER(SEARCH("去",D732)),ISNUMBER(SEARCH("入",D732)))),"Ambiguous",IF(ISNUMBER(SEARCH("平",D732)),"平","仄")))</x:f>
        <x:v>仄</x:v>
      </x:c>
      <x:c r="L732" s="7" t="str">
        <x:v>User correction</x:v>
      </x:c>
    </x:row>
    <x:row r="733">
      <x:c r="A733" s="5" t="str">
        <x:v>埜</x:v>
      </x:c>
      <x:c r="B733" s="6" t="str">
        <x:v>上</x:v>
      </x:c>
      <x:c r="C733" s="6" t="str">
        <x:f>IF(B733="","Needs decision","Ready")</x:f>
        <x:v>Ready</x:v>
      </x:c>
      <x:c r="D733" s="6" t="str">
        <x:v>上</x:v>
      </x:c>
      <x:c r="E733" s="6" t="str">
        <x:v>yaeX (B)</x:v>
      </x:c>
      <x:c r="F733" s="6" t="str"/>
      <x:c r="G733" s="6" t="str"/>
      <x:c r="H733" s="6" t="str">
        <x:v>1</x:v>
      </x:c>
      <x:c r="I733" s="6" t="str"/>
      <x:c r="J733" s="6" t="str">
        <x:f>IF(B733="","",IF(AND(ISNUMBER(SEARCH("平",B733)),OR(ISNUMBER(SEARCH("上",B733)),ISNUMBER(SEARCH("去",B733)),ISNUMBER(SEARCH("入",B733)))),"Ambiguous",IF(ISNUMBER(SEARCH("平",B733)),"平","仄")))</x:f>
        <x:v>仄</x:v>
      </x:c>
      <x:c r="K733" s="6" t="str">
        <x:f>IF(D733="","",IF(AND(ISNUMBER(SEARCH("平",D733)),OR(ISNUMBER(SEARCH("上",D733)),ISNUMBER(SEARCH("去",D733)),ISNUMBER(SEARCH("入",D733)))),"Ambiguous",IF(ISNUMBER(SEARCH("平",D733)),"平","仄")))</x:f>
        <x:v>仄</x:v>
      </x:c>
      <x:c r="L733" s="7" t="str"/>
    </x:row>
    <x:row r="734">
      <x:c r="A734" s="5" t="str">
        <x:v>域</x:v>
      </x:c>
      <x:c r="B734" s="6" t="str">
        <x:v>入</x:v>
      </x:c>
      <x:c r="C734" s="6" t="str">
        <x:f>IF(B734="","Needs decision","Ready")</x:f>
        <x:v>Ready</x:v>
      </x:c>
      <x:c r="D734" s="6" t="str">
        <x:v>入</x:v>
      </x:c>
      <x:c r="E734" s="6" t="str">
        <x:v>hwik (D)</x:v>
      </x:c>
      <x:c r="F734" s="6" t="str">
        <x:v>入聲十三職</x:v>
      </x:c>
      <x:c r="G734" s="6" t="str">
        <x:v>Pingshui main list, Wikisource-derived DOCX</x:v>
      </x:c>
      <x:c r="H734" s="6" t="str">
        <x:v>1</x:v>
      </x:c>
      <x:c r="I734" s="6" t="str"/>
      <x:c r="J734" s="6" t="str">
        <x:f>IF(B734="","",IF(AND(ISNUMBER(SEARCH("平",B734)),OR(ISNUMBER(SEARCH("上",B734)),ISNUMBER(SEARCH("去",B734)),ISNUMBER(SEARCH("入",B734)))),"Ambiguous",IF(ISNUMBER(SEARCH("平",B734)),"平","仄")))</x:f>
        <x:v>仄</x:v>
      </x:c>
      <x:c r="K734" s="6" t="str">
        <x:f>IF(D734="","",IF(AND(ISNUMBER(SEARCH("平",D734)),OR(ISNUMBER(SEARCH("上",D734)),ISNUMBER(SEARCH("去",D734)),ISNUMBER(SEARCH("入",D734)))),"Ambiguous",IF(ISNUMBER(SEARCH("平",D734)),"平","仄")))</x:f>
        <x:v>仄</x:v>
      </x:c>
      <x:c r="L734" s="7" t="str"/>
    </x:row>
    <x:row r="735">
      <x:c r="A735" s="5" t="str">
        <x:v>埳</x:v>
      </x:c>
      <x:c r="B735" s="6" t="str">
        <x:v>上</x:v>
      </x:c>
      <x:c r="C735" s="6" t="str">
        <x:f>IF(B735="","Needs decision","Ready")</x:f>
        <x:v>Ready</x:v>
      </x:c>
      <x:c r="D735" s="6" t="str">
        <x:v>上</x:v>
      </x:c>
      <x:c r="E735" s="6" t="str">
        <x:v>khomX (B)</x:v>
      </x:c>
      <x:c r="F735" s="6" t="str"/>
      <x:c r="G735" s="6" t="str"/>
      <x:c r="H735" s="6" t="str">
        <x:v>1</x:v>
      </x:c>
      <x:c r="I735" s="6" t="str"/>
      <x:c r="J735" s="6" t="str">
        <x:f>IF(B735="","",IF(AND(ISNUMBER(SEARCH("平",B735)),OR(ISNUMBER(SEARCH("上",B735)),ISNUMBER(SEARCH("去",B735)),ISNUMBER(SEARCH("入",B735)))),"Ambiguous",IF(ISNUMBER(SEARCH("平",B735)),"平","仄")))</x:f>
        <x:v>仄</x:v>
      </x:c>
      <x:c r="K735" s="6" t="str">
        <x:f>IF(D735="","",IF(AND(ISNUMBER(SEARCH("平",D735)),OR(ISNUMBER(SEARCH("上",D735)),ISNUMBER(SEARCH("去",D735)),ISNUMBER(SEARCH("入",D735)))),"Ambiguous",IF(ISNUMBER(SEARCH("平",D735)),"平","仄")))</x:f>
        <x:v>仄</x:v>
      </x:c>
      <x:c r="L735" s="7" t="str"/>
    </x:row>
    <x:row r="736">
      <x:c r="A736" s="5" t="str">
        <x:v>埴</x:v>
      </x:c>
      <x:c r="B736" s="6" t="str">
        <x:v>入</x:v>
      </x:c>
      <x:c r="C736" s="6" t="str">
        <x:f>IF(B736="","Needs decision","Ready")</x:f>
        <x:v>Ready</x:v>
      </x:c>
      <x:c r="D736" s="6" t="str">
        <x:v>入</x:v>
      </x:c>
      <x:c r="E736" s="6" t="str">
        <x:v>dzyik (D)</x:v>
      </x:c>
      <x:c r="F736" s="6" t="str">
        <x:v>去聲四寘; 入聲十三職</x:v>
      </x:c>
      <x:c r="G736" s="6" t="str">
        <x:v>Pingshui main list, Wikisource-derived DOCX</x:v>
      </x:c>
      <x:c r="H736" s="6" t="str">
        <x:v>1</x:v>
      </x:c>
      <x:c r="I736" s="6" t="str"/>
      <x:c r="J736" s="6" t="str">
        <x:f>IF(B736="","",IF(AND(ISNUMBER(SEARCH("平",B736)),OR(ISNUMBER(SEARCH("上",B736)),ISNUMBER(SEARCH("去",B736)),ISNUMBER(SEARCH("入",B736)))),"Ambiguous",IF(ISNUMBER(SEARCH("平",B736)),"平","仄")))</x:f>
        <x:v>仄</x:v>
      </x:c>
      <x:c r="K736" s="6" t="str">
        <x:f>IF(D736="","",IF(AND(ISNUMBER(SEARCH("平",D736)),OR(ISNUMBER(SEARCH("上",D736)),ISNUMBER(SEARCH("去",D736)),ISNUMBER(SEARCH("入",D736)))),"Ambiguous",IF(ISNUMBER(SEARCH("平",D736)),"平","仄")))</x:f>
        <x:v>仄</x:v>
      </x:c>
      <x:c r="L736" s="7" t="str"/>
    </x:row>
    <x:row r="737">
      <x:c r="A737" s="5" t="str">
        <x:v>埶</x:v>
      </x:c>
      <x:c r="B737" s="6" t="str">
        <x:v>去</x:v>
      </x:c>
      <x:c r="C737" s="6" t="str">
        <x:f>IF(B737="","Needs decision","Ready")</x:f>
        <x:v>Ready</x:v>
      </x:c>
      <x:c r="D737" s="6" t="str">
        <x:v>去</x:v>
      </x:c>
      <x:c r="E737" s="6" t="str">
        <x:v>syejH (C); ngjiejH (C)</x:v>
      </x:c>
      <x:c r="F737" s="6" t="str"/>
      <x:c r="G737" s="6" t="str"/>
      <x:c r="H737" s="6" t="str">
        <x:v>2</x:v>
      </x:c>
      <x:c r="I737" s="6" t="str"/>
      <x:c r="J737" s="6" t="str">
        <x:f>IF(B737="","",IF(AND(ISNUMBER(SEARCH("平",B737)),OR(ISNUMBER(SEARCH("上",B737)),ISNUMBER(SEARCH("去",B737)),ISNUMBER(SEARCH("入",B737)))),"Ambiguous",IF(ISNUMBER(SEARCH("平",B737)),"平","仄")))</x:f>
        <x:v>仄</x:v>
      </x:c>
      <x:c r="K737" s="6" t="str">
        <x:f>IF(D737="","",IF(AND(ISNUMBER(SEARCH("平",D737)),OR(ISNUMBER(SEARCH("上",D737)),ISNUMBER(SEARCH("去",D737)),ISNUMBER(SEARCH("入",D737)))),"Ambiguous",IF(ISNUMBER(SEARCH("平",D737)),"平","仄")))</x:f>
        <x:v>仄</x:v>
      </x:c>
      <x:c r="L737" s="7" t="str"/>
    </x:row>
    <x:row r="738">
      <x:c r="A738" s="5" t="str">
        <x:v>執</x:v>
      </x:c>
      <x:c r="B738" s="6" t="str">
        <x:v>入</x:v>
      </x:c>
      <x:c r="C738" s="6" t="str">
        <x:f>IF(B738="","Needs decision","Ready")</x:f>
        <x:v>Ready</x:v>
      </x:c>
      <x:c r="D738" s="6" t="str">
        <x:v>入</x:v>
      </x:c>
      <x:c r="E738" s="6" t="str">
        <x:v>tsyip (D)</x:v>
      </x:c>
      <x:c r="F738" s="6" t="str">
        <x:v>入聲十四緝</x:v>
      </x:c>
      <x:c r="G738" s="6" t="str">
        <x:v>Pingshui main list, Wikisource-derived DOCX</x:v>
      </x:c>
      <x:c r="H738" s="6" t="str">
        <x:v>1</x:v>
      </x:c>
      <x:c r="I738" s="6" t="str"/>
      <x:c r="J738" s="6" t="str">
        <x:f>IF(B738="","",IF(AND(ISNUMBER(SEARCH("平",B738)),OR(ISNUMBER(SEARCH("上",B738)),ISNUMBER(SEARCH("去",B738)),ISNUMBER(SEARCH("入",B738)))),"Ambiguous",IF(ISNUMBER(SEARCH("平",B738)),"平","仄")))</x:f>
        <x:v>仄</x:v>
      </x:c>
      <x:c r="K738" s="6" t="str">
        <x:f>IF(D738="","",IF(AND(ISNUMBER(SEARCH("平",D738)),OR(ISNUMBER(SEARCH("上",D738)),ISNUMBER(SEARCH("去",D738)),ISNUMBER(SEARCH("入",D738)))),"Ambiguous",IF(ISNUMBER(SEARCH("平",D738)),"平","仄")))</x:f>
        <x:v>仄</x:v>
      </x:c>
      <x:c r="L738" s="7" t="str"/>
    </x:row>
    <x:row r="739">
      <x:c r="A739" s="5" t="str">
        <x:v>基</x:v>
      </x:c>
      <x:c r="B739" s="6" t="str">
        <x:v>平</x:v>
      </x:c>
      <x:c r="C739" s="6" t="str">
        <x:f>IF(B739="","Needs decision","Ready")</x:f>
        <x:v>Ready</x:v>
      </x:c>
      <x:c r="D739" s="6" t="str">
        <x:v>平</x:v>
      </x:c>
      <x:c r="E739" s="6" t="str">
        <x:v>ki (A)</x:v>
      </x:c>
      <x:c r="F739" s="6" t="str">
        <x:v>上平聲四支</x:v>
      </x:c>
      <x:c r="G739" s="6" t="str">
        <x:v>Pingshui main list, Wikisource-derived DOCX</x:v>
      </x:c>
      <x:c r="H739" s="6" t="str">
        <x:v>1</x:v>
      </x:c>
      <x:c r="I739" s="6" t="str"/>
      <x:c r="J739" s="6" t="str">
        <x:f>IF(B739="","",IF(AND(ISNUMBER(SEARCH("平",B739)),OR(ISNUMBER(SEARCH("上",B739)),ISNUMBER(SEARCH("去",B739)),ISNUMBER(SEARCH("入",B739)))),"Ambiguous",IF(ISNUMBER(SEARCH("平",B739)),"平","仄")))</x:f>
        <x:v>平</x:v>
      </x:c>
      <x:c r="K739" s="6" t="str">
        <x:f>IF(D739="","",IF(AND(ISNUMBER(SEARCH("平",D739)),OR(ISNUMBER(SEARCH("上",D739)),ISNUMBER(SEARCH("去",D739)),ISNUMBER(SEARCH("入",D739)))),"Ambiguous",IF(ISNUMBER(SEARCH("平",D739)),"平","仄")))</x:f>
        <x:v>平</x:v>
      </x:c>
      <x:c r="L739" s="7" t="str"/>
    </x:row>
    <x:row r="740">
      <x:c r="A740" s="5" t="str">
        <x:v>堀</x:v>
      </x:c>
      <x:c r="B740" s="6" t="str">
        <x:v>入</x:v>
      </x:c>
      <x:c r="C740" s="6" t="str">
        <x:f>IF(B740="","Needs decision","Ready")</x:f>
        <x:v>Ready</x:v>
      </x:c>
      <x:c r="D740" s="6" t="str">
        <x:v>入</x:v>
      </x:c>
      <x:c r="E740" s="6" t="str">
        <x:v>khwot (D)</x:v>
      </x:c>
      <x:c r="F740" s="6" t="str">
        <x:v>入聲六月</x:v>
      </x:c>
      <x:c r="G740" s="6" t="str">
        <x:v>Pingshui main list, Wikisource-derived DOCX</x:v>
      </x:c>
      <x:c r="H740" s="6" t="str">
        <x:v>1</x:v>
      </x:c>
      <x:c r="I740" s="6" t="str"/>
      <x:c r="J740" s="6" t="str">
        <x:f>IF(B740="","",IF(AND(ISNUMBER(SEARCH("平",B740)),OR(ISNUMBER(SEARCH("上",B740)),ISNUMBER(SEARCH("去",B740)),ISNUMBER(SEARCH("入",B740)))),"Ambiguous",IF(ISNUMBER(SEARCH("平",B740)),"平","仄")))</x:f>
        <x:v>仄</x:v>
      </x:c>
      <x:c r="K740" s="6" t="str">
        <x:f>IF(D740="","",IF(AND(ISNUMBER(SEARCH("平",D740)),OR(ISNUMBER(SEARCH("上",D740)),ISNUMBER(SEARCH("去",D740)),ISNUMBER(SEARCH("入",D740)))),"Ambiguous",IF(ISNUMBER(SEARCH("平",D740)),"平","仄")))</x:f>
        <x:v>仄</x:v>
      </x:c>
      <x:c r="L740" s="7" t="str"/>
    </x:row>
    <x:row r="741">
      <x:c r="A741" s="5" t="str">
        <x:v>堂</x:v>
      </x:c>
      <x:c r="B741" s="6" t="str">
        <x:v>平</x:v>
      </x:c>
      <x:c r="C741" s="6" t="str">
        <x:f>IF(B741="","Needs decision","Ready")</x:f>
        <x:v>Ready</x:v>
      </x:c>
      <x:c r="D741" s="6" t="str">
        <x:v>平</x:v>
      </x:c>
      <x:c r="E741" s="6" t="str">
        <x:v>dang (A)</x:v>
      </x:c>
      <x:c r="F741" s="6" t="str">
        <x:v>下平聲七陽</x:v>
      </x:c>
      <x:c r="G741" s="6" t="str">
        <x:v>Pingshui main list, Wikisource-derived DOCX</x:v>
      </x:c>
      <x:c r="H741" s="6" t="str">
        <x:v>1</x:v>
      </x:c>
      <x:c r="I741" s="6" t="str"/>
      <x:c r="J741" s="6" t="str">
        <x:f>IF(B741="","",IF(AND(ISNUMBER(SEARCH("平",B741)),OR(ISNUMBER(SEARCH("上",B741)),ISNUMBER(SEARCH("去",B741)),ISNUMBER(SEARCH("入",B741)))),"Ambiguous",IF(ISNUMBER(SEARCH("平",B741)),"平","仄")))</x:f>
        <x:v>平</x:v>
      </x:c>
      <x:c r="K741" s="6" t="str">
        <x:f>IF(D741="","",IF(AND(ISNUMBER(SEARCH("平",D741)),OR(ISNUMBER(SEARCH("上",D741)),ISNUMBER(SEARCH("去",D741)),ISNUMBER(SEARCH("入",D741)))),"Ambiguous",IF(ISNUMBER(SEARCH("平",D741)),"平","仄")))</x:f>
        <x:v>平</x:v>
      </x:c>
      <x:c r="L741" s="7" t="str"/>
    </x:row>
    <x:row r="742">
      <x:c r="A742" s="5" t="str">
        <x:v>堅</x:v>
      </x:c>
      <x:c r="B742" s="6" t="str">
        <x:v>平</x:v>
      </x:c>
      <x:c r="C742" s="6" t="str">
        <x:f>IF(B742="","Needs decision","Ready")</x:f>
        <x:v>Ready</x:v>
      </x:c>
      <x:c r="D742" s="6" t="str">
        <x:v>平</x:v>
      </x:c>
      <x:c r="E742" s="6" t="str">
        <x:v>ken (A)</x:v>
      </x:c>
      <x:c r="F742" s="6" t="str">
        <x:v>下平聲一先</x:v>
      </x:c>
      <x:c r="G742" s="6" t="str">
        <x:v>Pingshui main list, Wikisource-derived DOCX</x:v>
      </x:c>
      <x:c r="H742" s="6" t="str">
        <x:v>1</x:v>
      </x:c>
      <x:c r="I742" s="6" t="str"/>
      <x:c r="J742" s="6" t="str">
        <x:f>IF(B742="","",IF(AND(ISNUMBER(SEARCH("平",B742)),OR(ISNUMBER(SEARCH("上",B742)),ISNUMBER(SEARCH("去",B742)),ISNUMBER(SEARCH("入",B742)))),"Ambiguous",IF(ISNUMBER(SEARCH("平",B742)),"平","仄")))</x:f>
        <x:v>平</x:v>
      </x:c>
      <x:c r="K742" s="6" t="str">
        <x:f>IF(D742="","",IF(AND(ISNUMBER(SEARCH("平",D742)),OR(ISNUMBER(SEARCH("上",D742)),ISNUMBER(SEARCH("去",D742)),ISNUMBER(SEARCH("入",D742)))),"Ambiguous",IF(ISNUMBER(SEARCH("平",D742)),"平","仄")))</x:f>
        <x:v>平</x:v>
      </x:c>
      <x:c r="L742" s="7" t="str"/>
    </x:row>
    <x:row r="743">
      <x:c r="A743" s="5" t="str">
        <x:v>堆</x:v>
      </x:c>
      <x:c r="B743" s="6" t="str">
        <x:v>平</x:v>
      </x:c>
      <x:c r="C743" s="6" t="str">
        <x:f>IF(B743="","Needs decision","Ready")</x:f>
        <x:v>Ready</x:v>
      </x:c>
      <x:c r="D743" s="6" t="str">
        <x:v>平</x:v>
      </x:c>
      <x:c r="E743" s="6" t="str">
        <x:v>twoj (A)</x:v>
      </x:c>
      <x:c r="F743" s="6" t="str">
        <x:v>上平聲十灰</x:v>
      </x:c>
      <x:c r="G743" s="6" t="str">
        <x:v>Pingshui main list, Wikisource-derived DOCX</x:v>
      </x:c>
      <x:c r="H743" s="6" t="str">
        <x:v>1</x:v>
      </x:c>
      <x:c r="I743" s="6" t="str"/>
      <x:c r="J743" s="6" t="str">
        <x:f>IF(B743="","",IF(AND(ISNUMBER(SEARCH("平",B743)),OR(ISNUMBER(SEARCH("上",B743)),ISNUMBER(SEARCH("去",B743)),ISNUMBER(SEARCH("入",B743)))),"Ambiguous",IF(ISNUMBER(SEARCH("平",B743)),"平","仄")))</x:f>
        <x:v>平</x:v>
      </x:c>
      <x:c r="K743" s="6" t="str">
        <x:f>IF(D743="","",IF(AND(ISNUMBER(SEARCH("平",D743)),OR(ISNUMBER(SEARCH("上",D743)),ISNUMBER(SEARCH("去",D743)),ISNUMBER(SEARCH("入",D743)))),"Ambiguous",IF(ISNUMBER(SEARCH("平",D743)),"平","仄")))</x:f>
        <x:v>平</x:v>
      </x:c>
      <x:c r="L743" s="7" t="str"/>
    </x:row>
    <x:row r="744">
      <x:c r="A744" s="5" t="str">
        <x:v>堇</x:v>
      </x:c>
      <x:c r="B744" s="6" t="str"/>
      <x:c r="C744" s="6" t="str">
        <x:f>IF(B744="","Needs decision","Ready")</x:f>
        <x:v>Needs decision</x:v>
      </x:c>
      <x:c r="D744" s="6" t="str">
        <x:v>平/上</x:v>
      </x:c>
      <x:c r="E744" s="6" t="str">
        <x:v>gin (A); kj+nX (B)</x:v>
      </x:c>
      <x:c r="F744" s="6" t="str"/>
      <x:c r="G744" s="6" t="str"/>
      <x:c r="H744" s="6" t="str">
        <x:v>2</x:v>
      </x:c>
      <x:c r="I744" s="6" t="str"/>
      <x:c r="J744" s="6" t="str">
        <x:f>IF(B744="","",IF(AND(ISNUMBER(SEARCH("平",B744)),OR(ISNUMBER(SEARCH("上",B744)),ISNUMBER(SEARCH("去",B744)),ISNUMBER(SEARCH("入",B744)))),"Ambiguous",IF(ISNUMBER(SEARCH("平",B744)),"平","仄")))</x:f>
      </x:c>
      <x:c r="K744" s="6" t="str">
        <x:f>IF(D744="","",IF(AND(ISNUMBER(SEARCH("平",D744)),OR(ISNUMBER(SEARCH("上",D744)),ISNUMBER(SEARCH("去",D744)),ISNUMBER(SEARCH("入",D744)))),"Ambiguous",IF(ISNUMBER(SEARCH("平",D744)),"平","仄")))</x:f>
        <x:v>Ambiguous</x:v>
      </x:c>
      <x:c r="L744" s="7" t="str"/>
    </x:row>
    <x:row r="745">
      <x:c r="A745" s="5" t="str">
        <x:v>堊</x:v>
      </x:c>
      <x:c r="B745" s="6" t="str">
        <x:v>入</x:v>
      </x:c>
      <x:c r="C745" s="6" t="str">
        <x:f>IF(B745="","Needs decision","Ready")</x:f>
        <x:v>Ready</x:v>
      </x:c>
      <x:c r="D745" s="6" t="str">
        <x:v>入</x:v>
      </x:c>
      <x:c r="E745" s="6" t="str">
        <x:v>'ak (D)</x:v>
      </x:c>
      <x:c r="F745" s="6" t="str">
        <x:v>入聲十藥</x:v>
      </x:c>
      <x:c r="G745" s="6" t="str">
        <x:v>Pingshui main list, Wikisource-derived DOCX</x:v>
      </x:c>
      <x:c r="H745" s="6" t="str">
        <x:v>1</x:v>
      </x:c>
      <x:c r="I745" s="6" t="str"/>
      <x:c r="J745" s="6" t="str">
        <x:f>IF(B745="","",IF(AND(ISNUMBER(SEARCH("平",B745)),OR(ISNUMBER(SEARCH("上",B745)),ISNUMBER(SEARCH("去",B745)),ISNUMBER(SEARCH("入",B745)))),"Ambiguous",IF(ISNUMBER(SEARCH("平",B745)),"平","仄")))</x:f>
        <x:v>仄</x:v>
      </x:c>
      <x:c r="K745" s="6" t="str">
        <x:f>IF(D745="","",IF(AND(ISNUMBER(SEARCH("平",D745)),OR(ISNUMBER(SEARCH("上",D745)),ISNUMBER(SEARCH("去",D745)),ISNUMBER(SEARCH("入",D745)))),"Ambiguous",IF(ISNUMBER(SEARCH("平",D745)),"平","仄")))</x:f>
        <x:v>仄</x:v>
      </x:c>
      <x:c r="L745" s="7" t="str"/>
    </x:row>
    <x:row r="746">
      <x:c r="A746" s="5" t="str">
        <x:v>堋</x:v>
      </x:c>
      <x:c r="B746" s="6" t="str">
        <x:v>去</x:v>
      </x:c>
      <x:c r="C746" s="6" t="str">
        <x:f>IF(B746="","Needs decision","Ready")</x:f>
        <x:v>Ready</x:v>
      </x:c>
      <x:c r="D746" s="6" t="str">
        <x:v>去</x:v>
      </x:c>
      <x:c r="E746" s="6" t="str">
        <x:v>pongH (C)</x:v>
      </x:c>
      <x:c r="F746" s="6" t="str">
        <x:v>下平聲十蒸; 去聲二十五徑</x:v>
      </x:c>
      <x:c r="G746" s="6" t="str">
        <x:v>Pingshui main list, Wikisource-derived DOCX</x:v>
      </x:c>
      <x:c r="H746" s="6" t="str">
        <x:v>1</x:v>
      </x:c>
      <x:c r="I746" s="6" t="str"/>
      <x:c r="J746" s="6" t="str">
        <x:f>IF(B746="","",IF(AND(ISNUMBER(SEARCH("平",B746)),OR(ISNUMBER(SEARCH("上",B746)),ISNUMBER(SEARCH("去",B746)),ISNUMBER(SEARCH("入",B746)))),"Ambiguous",IF(ISNUMBER(SEARCH("平",B746)),"平","仄")))</x:f>
        <x:v>仄</x:v>
      </x:c>
      <x:c r="K746" s="6" t="str">
        <x:f>IF(D746="","",IF(AND(ISNUMBER(SEARCH("平",D746)),OR(ISNUMBER(SEARCH("上",D746)),ISNUMBER(SEARCH("去",D746)),ISNUMBER(SEARCH("入",D746)))),"Ambiguous",IF(ISNUMBER(SEARCH("平",D746)),"平","仄")))</x:f>
        <x:v>仄</x:v>
      </x:c>
      <x:c r="L746" s="7" t="str"/>
    </x:row>
    <x:row r="747">
      <x:c r="A747" s="5" t="str">
        <x:v>堪</x:v>
      </x:c>
      <x:c r="B747" s="6" t="str">
        <x:v>平</x:v>
      </x:c>
      <x:c r="C747" s="6" t="str">
        <x:f>IF(B747="","Needs decision","Ready")</x:f>
        <x:v>Ready</x:v>
      </x:c>
      <x:c r="D747" s="6" t="str">
        <x:v>平</x:v>
      </x:c>
      <x:c r="E747" s="6" t="str">
        <x:v>khom (A)</x:v>
      </x:c>
      <x:c r="F747" s="6" t="str">
        <x:v>下平聲十三覃</x:v>
      </x:c>
      <x:c r="G747" s="6" t="str">
        <x:v>Pingshui main list, Wikisource-derived DOCX</x:v>
      </x:c>
      <x:c r="H747" s="6" t="str">
        <x:v>1</x:v>
      </x:c>
      <x:c r="I747" s="6" t="str"/>
      <x:c r="J747" s="6" t="str">
        <x:f>IF(B747="","",IF(AND(ISNUMBER(SEARCH("平",B747)),OR(ISNUMBER(SEARCH("上",B747)),ISNUMBER(SEARCH("去",B747)),ISNUMBER(SEARCH("入",B747)))),"Ambiguous",IF(ISNUMBER(SEARCH("平",B747)),"平","仄")))</x:f>
        <x:v>平</x:v>
      </x:c>
      <x:c r="K747" s="6" t="str">
        <x:f>IF(D747="","",IF(AND(ISNUMBER(SEARCH("平",D747)),OR(ISNUMBER(SEARCH("上",D747)),ISNUMBER(SEARCH("去",D747)),ISNUMBER(SEARCH("入",D747)))),"Ambiguous",IF(ISNUMBER(SEARCH("平",D747)),"平","仄")))</x:f>
        <x:v>平</x:v>
      </x:c>
      <x:c r="L747" s="7" t="str"/>
    </x:row>
    <x:row r="748">
      <x:c r="A748" s="5" t="str">
        <x:v>堯</x:v>
      </x:c>
      <x:c r="B748" s="6" t="str">
        <x:v>平</x:v>
      </x:c>
      <x:c r="C748" s="6" t="str">
        <x:f>IF(B748="","Needs decision","Ready")</x:f>
        <x:v>Ready</x:v>
      </x:c>
      <x:c r="D748" s="6" t="str">
        <x:v>平</x:v>
      </x:c>
      <x:c r="E748" s="6" t="str">
        <x:v>ngew (A)</x:v>
      </x:c>
      <x:c r="F748" s="6" t="str">
        <x:v>下平聲二蕭</x:v>
      </x:c>
      <x:c r="G748" s="6" t="str">
        <x:v>Pingshui main list, Wikisource-derived DOCX</x:v>
      </x:c>
      <x:c r="H748" s="6" t="str">
        <x:v>1</x:v>
      </x:c>
      <x:c r="I748" s="6" t="str"/>
      <x:c r="J748" s="6" t="str">
        <x:f>IF(B748="","",IF(AND(ISNUMBER(SEARCH("平",B748)),OR(ISNUMBER(SEARCH("上",B748)),ISNUMBER(SEARCH("去",B748)),ISNUMBER(SEARCH("入",B748)))),"Ambiguous",IF(ISNUMBER(SEARCH("平",B748)),"平","仄")))</x:f>
        <x:v>平</x:v>
      </x:c>
      <x:c r="K748" s="6" t="str">
        <x:f>IF(D748="","",IF(AND(ISNUMBER(SEARCH("平",D748)),OR(ISNUMBER(SEARCH("上",D748)),ISNUMBER(SEARCH("去",D748)),ISNUMBER(SEARCH("入",D748)))),"Ambiguous",IF(ISNUMBER(SEARCH("平",D748)),"平","仄")))</x:f>
        <x:v>平</x:v>
      </x:c>
      <x:c r="L748" s="7" t="str"/>
    </x:row>
    <x:row r="749">
      <x:c r="A749" s="5" t="str">
        <x:v>堰</x:v>
      </x:c>
      <x:c r="B749" s="6" t="str">
        <x:v>上</x:v>
      </x:c>
      <x:c r="C749" s="6" t="str">
        <x:f>IF(B749="","Needs decision","Ready")</x:f>
        <x:v>Ready</x:v>
      </x:c>
      <x:c r="D749" s="6" t="str">
        <x:v>上</x:v>
      </x:c>
      <x:c r="E749" s="6" t="str"/>
      <x:c r="F749" s="6" t="str">
        <x:v>上聲十三阮; 去聲十四願; 去聲十七霰</x:v>
      </x:c>
      <x:c r="G749" s="6" t="str">
        <x:v>Pingshui main list, Wikisource-derived DOCX</x:v>
      </x:c>
      <x:c r="H749" s="6" t="str">
        <x:v>0</x:v>
      </x:c>
      <x:c r="I749" s="6" t="str">
        <x:v>User correction 2026-09-08; added manually</x:v>
      </x:c>
      <x:c r="J749" s="6" t="str">
        <x:f>IF(B749="","",IF(AND(ISNUMBER(SEARCH("平",B749)),OR(ISNUMBER(SEARCH("上",B749)),ISNUMBER(SEARCH("去",B749)),ISNUMBER(SEARCH("入",B749)))),"Ambiguous",IF(ISNUMBER(SEARCH("平",B749)),"平","仄")))</x:f>
        <x:v>仄</x:v>
      </x:c>
      <x:c r="K749" s="6" t="str">
        <x:f>IF(D749="","",IF(AND(ISNUMBER(SEARCH("平",D749)),OR(ISNUMBER(SEARCH("上",D749)),ISNUMBER(SEARCH("去",D749)),ISNUMBER(SEARCH("入",D749)))),"Ambiguous",IF(ISNUMBER(SEARCH("平",D749)),"平","仄")))</x:f>
        <x:v>仄</x:v>
      </x:c>
      <x:c r="L749" s="7" t="str">
        <x:v>User correction</x:v>
      </x:c>
    </x:row>
    <x:row r="750">
      <x:c r="A750" s="5" t="str">
        <x:v>報</x:v>
      </x:c>
      <x:c r="B750" s="6" t="str">
        <x:v>去</x:v>
      </x:c>
      <x:c r="C750" s="6" t="str">
        <x:f>IF(B750="","Needs decision","Ready")</x:f>
        <x:v>Ready</x:v>
      </x:c>
      <x:c r="D750" s="6" t="str">
        <x:v>去</x:v>
      </x:c>
      <x:c r="E750" s="6" t="str">
        <x:v>pawH (C)</x:v>
      </x:c>
      <x:c r="F750" s="6" t="str">
        <x:v>去聲二十號</x:v>
      </x:c>
      <x:c r="G750" s="6" t="str">
        <x:v>Pingshui main list, Wikisource-derived DOCX</x:v>
      </x:c>
      <x:c r="H750" s="6" t="str">
        <x:v>1</x:v>
      </x:c>
      <x:c r="I750" s="6" t="str"/>
      <x:c r="J750" s="6" t="str">
        <x:f>IF(B750="","",IF(AND(ISNUMBER(SEARCH("平",B750)),OR(ISNUMBER(SEARCH("上",B750)),ISNUMBER(SEARCH("去",B750)),ISNUMBER(SEARCH("入",B750)))),"Ambiguous",IF(ISNUMBER(SEARCH("平",B750)),"平","仄")))</x:f>
        <x:v>仄</x:v>
      </x:c>
      <x:c r="K750" s="6" t="str">
        <x:f>IF(D750="","",IF(AND(ISNUMBER(SEARCH("平",D750)),OR(ISNUMBER(SEARCH("上",D750)),ISNUMBER(SEARCH("去",D750)),ISNUMBER(SEARCH("入",D750)))),"Ambiguous",IF(ISNUMBER(SEARCH("平",D750)),"平","仄")))</x:f>
        <x:v>仄</x:v>
      </x:c>
      <x:c r="L750" s="7" t="str"/>
    </x:row>
    <x:row r="751">
      <x:c r="A751" s="5" t="str">
        <x:v>堲</x:v>
      </x:c>
      <x:c r="B751" s="6" t="str">
        <x:v>入</x:v>
      </x:c>
      <x:c r="C751" s="6" t="str">
        <x:f>IF(B751="","Needs decision","Ready")</x:f>
        <x:v>Ready</x:v>
      </x:c>
      <x:c r="D751" s="6" t="str">
        <x:v>入</x:v>
      </x:c>
      <x:c r="E751" s="6" t="str">
        <x:v>tsit (D)</x:v>
      </x:c>
      <x:c r="F751" s="6" t="str">
        <x:v>入聲四質; 入聲十三職</x:v>
      </x:c>
      <x:c r="G751" s="6" t="str">
        <x:v>Pingshui main list, Wikisource-derived DOCX</x:v>
      </x:c>
      <x:c r="H751" s="6" t="str">
        <x:v>1</x:v>
      </x:c>
      <x:c r="I751" s="6" t="str"/>
      <x:c r="J751" s="6" t="str">
        <x:f>IF(B751="","",IF(AND(ISNUMBER(SEARCH("平",B751)),OR(ISNUMBER(SEARCH("上",B751)),ISNUMBER(SEARCH("去",B751)),ISNUMBER(SEARCH("入",B751)))),"Ambiguous",IF(ISNUMBER(SEARCH("平",B751)),"平","仄")))</x:f>
        <x:v>仄</x:v>
      </x:c>
      <x:c r="K751" s="6" t="str">
        <x:f>IF(D751="","",IF(AND(ISNUMBER(SEARCH("平",D751)),OR(ISNUMBER(SEARCH("上",D751)),ISNUMBER(SEARCH("去",D751)),ISNUMBER(SEARCH("入",D751)))),"Ambiguous",IF(ISNUMBER(SEARCH("平",D751)),"平","仄")))</x:f>
        <x:v>仄</x:v>
      </x:c>
      <x:c r="L751" s="7" t="str"/>
    </x:row>
    <x:row r="752">
      <x:c r="A752" s="5" t="str">
        <x:v>場</x:v>
      </x:c>
      <x:c r="B752" s="6" t="str">
        <x:v>平</x:v>
      </x:c>
      <x:c r="C752" s="6" t="str">
        <x:f>IF(B752="","Needs decision","Ready")</x:f>
        <x:v>Ready</x:v>
      </x:c>
      <x:c r="D752" s="6" t="str">
        <x:v>平</x:v>
      </x:c>
      <x:c r="E752" s="6" t="str">
        <x:v>drjang (A)</x:v>
      </x:c>
      <x:c r="F752" s="6" t="str">
        <x:v>下平聲七陽</x:v>
      </x:c>
      <x:c r="G752" s="6" t="str">
        <x:v>Pingshui main list, Wikisource-derived DOCX</x:v>
      </x:c>
      <x:c r="H752" s="6" t="str">
        <x:v>1</x:v>
      </x:c>
      <x:c r="I752" s="6" t="str"/>
      <x:c r="J752" s="6" t="str">
        <x:f>IF(B752="","",IF(AND(ISNUMBER(SEARCH("平",B752)),OR(ISNUMBER(SEARCH("上",B752)),ISNUMBER(SEARCH("去",B752)),ISNUMBER(SEARCH("入",B752)))),"Ambiguous",IF(ISNUMBER(SEARCH("平",B752)),"平","仄")))</x:f>
        <x:v>平</x:v>
      </x:c>
      <x:c r="K752" s="6" t="str">
        <x:f>IF(D752="","",IF(AND(ISNUMBER(SEARCH("平",D752)),OR(ISNUMBER(SEARCH("上",D752)),ISNUMBER(SEARCH("去",D752)),ISNUMBER(SEARCH("入",D752)))),"Ambiguous",IF(ISNUMBER(SEARCH("平",D752)),"平","仄")))</x:f>
        <x:v>平</x:v>
      </x:c>
      <x:c r="L752" s="7" t="str"/>
    </x:row>
    <x:row r="753">
      <x:c r="A753" s="5" t="str">
        <x:v>堵</x:v>
      </x:c>
      <x:c r="B753" s="6" t="str">
        <x:v>上</x:v>
      </x:c>
      <x:c r="C753" s="6" t="str">
        <x:f>IF(B753="","Needs decision","Ready")</x:f>
        <x:v>Ready</x:v>
      </x:c>
      <x:c r="D753" s="6" t="str">
        <x:v>上</x:v>
      </x:c>
      <x:c r="E753" s="6" t="str">
        <x:v>tuX (B)</x:v>
      </x:c>
      <x:c r="F753" s="6" t="str">
        <x:v>上聲七麌</x:v>
      </x:c>
      <x:c r="G753" s="6" t="str">
        <x:v>Pingshui main list, Wikisource-derived DOCX</x:v>
      </x:c>
      <x:c r="H753" s="6" t="str">
        <x:v>1</x:v>
      </x:c>
      <x:c r="I753" s="6" t="str"/>
      <x:c r="J753" s="6" t="str">
        <x:f>IF(B753="","",IF(AND(ISNUMBER(SEARCH("平",B753)),OR(ISNUMBER(SEARCH("上",B753)),ISNUMBER(SEARCH("去",B753)),ISNUMBER(SEARCH("入",B753)))),"Ambiguous",IF(ISNUMBER(SEARCH("平",B753)),"平","仄")))</x:f>
        <x:v>仄</x:v>
      </x:c>
      <x:c r="K753" s="6" t="str">
        <x:f>IF(D753="","",IF(AND(ISNUMBER(SEARCH("平",D753)),OR(ISNUMBER(SEARCH("上",D753)),ISNUMBER(SEARCH("去",D753)),ISNUMBER(SEARCH("入",D753)))),"Ambiguous",IF(ISNUMBER(SEARCH("平",D753)),"平","仄")))</x:f>
        <x:v>仄</x:v>
      </x:c>
      <x:c r="L753" s="7" t="str"/>
    </x:row>
    <x:row r="754">
      <x:c r="A754" s="5" t="str">
        <x:v>塈</x:v>
      </x:c>
      <x:c r="B754" s="6" t="str">
        <x:v>去</x:v>
      </x:c>
      <x:c r="C754" s="6" t="str">
        <x:f>IF(B754="","Needs decision","Ready")</x:f>
        <x:v>Ready</x:v>
      </x:c>
      <x:c r="D754" s="6" t="str">
        <x:v>去</x:v>
      </x:c>
      <x:c r="E754" s="6" t="str">
        <x:v>xijH (C); xj+jH (C)</x:v>
      </x:c>
      <x:c r="F754" s="6" t="str">
        <x:v>去聲四寘; 去聲五未</x:v>
      </x:c>
      <x:c r="G754" s="6" t="str">
        <x:v>Pingshui main list, Wikisource-derived DOCX</x:v>
      </x:c>
      <x:c r="H754" s="6" t="str">
        <x:v>2</x:v>
      </x:c>
      <x:c r="I754" s="6" t="str"/>
      <x:c r="J754" s="6" t="str">
        <x:f>IF(B754="","",IF(AND(ISNUMBER(SEARCH("平",B754)),OR(ISNUMBER(SEARCH("上",B754)),ISNUMBER(SEARCH("去",B754)),ISNUMBER(SEARCH("入",B754)))),"Ambiguous",IF(ISNUMBER(SEARCH("平",B754)),"平","仄")))</x:f>
        <x:v>仄</x:v>
      </x:c>
      <x:c r="K754" s="6" t="str">
        <x:f>IF(D754="","",IF(AND(ISNUMBER(SEARCH("平",D754)),OR(ISNUMBER(SEARCH("上",D754)),ISNUMBER(SEARCH("去",D754)),ISNUMBER(SEARCH("入",D754)))),"Ambiguous",IF(ISNUMBER(SEARCH("平",D754)),"平","仄")))</x:f>
        <x:v>仄</x:v>
      </x:c>
      <x:c r="L754" s="7" t="str"/>
    </x:row>
    <x:row r="755">
      <x:c r="A755" s="5" t="str">
        <x:v>塊</x:v>
      </x:c>
      <x:c r="B755" s="6" t="str">
        <x:v>去</x:v>
      </x:c>
      <x:c r="C755" s="6" t="str">
        <x:f>IF(B755="","Needs decision","Ready")</x:f>
        <x:v>Ready</x:v>
      </x:c>
      <x:c r="D755" s="6" t="str">
        <x:v>去</x:v>
      </x:c>
      <x:c r="E755" s="6" t="str">
        <x:v>khweajH (C); khwojH (C)</x:v>
      </x:c>
      <x:c r="F755" s="6" t="str">
        <x:v>去聲十一隊</x:v>
      </x:c>
      <x:c r="G755" s="6" t="str">
        <x:v>Pingshui main list, Wikisource-derived DOCX</x:v>
      </x:c>
      <x:c r="H755" s="6" t="str">
        <x:v>2</x:v>
      </x:c>
      <x:c r="I755" s="6" t="str"/>
      <x:c r="J755" s="6" t="str">
        <x:f>IF(B755="","",IF(AND(ISNUMBER(SEARCH("平",B755)),OR(ISNUMBER(SEARCH("上",B755)),ISNUMBER(SEARCH("去",B755)),ISNUMBER(SEARCH("入",B755)))),"Ambiguous",IF(ISNUMBER(SEARCH("平",B755)),"平","仄")))</x:f>
        <x:v>仄</x:v>
      </x:c>
      <x:c r="K755" s="6" t="str">
        <x:f>IF(D755="","",IF(AND(ISNUMBER(SEARCH("平",D755)),OR(ISNUMBER(SEARCH("上",D755)),ISNUMBER(SEARCH("去",D755)),ISNUMBER(SEARCH("入",D755)))),"Ambiguous",IF(ISNUMBER(SEARCH("平",D755)),"平","仄")))</x:f>
        <x:v>仄</x:v>
      </x:c>
      <x:c r="L755" s="7" t="str"/>
    </x:row>
    <x:row r="756">
      <x:c r="A756" s="5" t="str">
        <x:v>塍</x:v>
      </x:c>
      <x:c r="B756" s="6" t="str">
        <x:v>平</x:v>
      </x:c>
      <x:c r="C756" s="6" t="str">
        <x:f>IF(B756="","Needs decision","Ready")</x:f>
        <x:v>Ready</x:v>
      </x:c>
      <x:c r="D756" s="6" t="str">
        <x:v>平</x:v>
      </x:c>
      <x:c r="E756" s="6" t="str">
        <x:v>zying (A)</x:v>
      </x:c>
      <x:c r="F756" s="6" t="str">
        <x:v>下平聲十蒸</x:v>
      </x:c>
      <x:c r="G756" s="6" t="str">
        <x:v>Pingshui main list, Wikisource-derived DOCX</x:v>
      </x:c>
      <x:c r="H756" s="6" t="str">
        <x:v>1</x:v>
      </x:c>
      <x:c r="I756" s="6" t="str"/>
      <x:c r="J756" s="6" t="str">
        <x:f>IF(B756="","",IF(AND(ISNUMBER(SEARCH("平",B756)),OR(ISNUMBER(SEARCH("上",B756)),ISNUMBER(SEARCH("去",B756)),ISNUMBER(SEARCH("入",B756)))),"Ambiguous",IF(ISNUMBER(SEARCH("平",B756)),"平","仄")))</x:f>
        <x:v>平</x:v>
      </x:c>
      <x:c r="K756" s="6" t="str">
        <x:f>IF(D756="","",IF(AND(ISNUMBER(SEARCH("平",D756)),OR(ISNUMBER(SEARCH("上",D756)),ISNUMBER(SEARCH("去",D756)),ISNUMBER(SEARCH("入",D756)))),"Ambiguous",IF(ISNUMBER(SEARCH("平",D756)),"平","仄")))</x:f>
        <x:v>平</x:v>
      </x:c>
      <x:c r="L756" s="7" t="str"/>
    </x:row>
    <x:row r="757">
      <x:c r="A757" s="5" t="str">
        <x:v>塏</x:v>
      </x:c>
      <x:c r="B757" s="6" t="str">
        <x:v>上</x:v>
      </x:c>
      <x:c r="C757" s="6" t="str">
        <x:f>IF(B757="","Needs decision","Ready")</x:f>
        <x:v>Ready</x:v>
      </x:c>
      <x:c r="D757" s="6" t="str">
        <x:v>上</x:v>
      </x:c>
      <x:c r="E757" s="6" t="str">
        <x:v>khojX (B)</x:v>
      </x:c>
      <x:c r="F757" s="6" t="str">
        <x:v>上聲十賄</x:v>
      </x:c>
      <x:c r="G757" s="6" t="str">
        <x:v>Pingshui main list, Wikisource-derived DOCX</x:v>
      </x:c>
      <x:c r="H757" s="6" t="str">
        <x:v>1</x:v>
      </x:c>
      <x:c r="I757" s="6" t="str"/>
      <x:c r="J757" s="6" t="str">
        <x:f>IF(B757="","",IF(AND(ISNUMBER(SEARCH("平",B757)),OR(ISNUMBER(SEARCH("上",B757)),ISNUMBER(SEARCH("去",B757)),ISNUMBER(SEARCH("入",B757)))),"Ambiguous",IF(ISNUMBER(SEARCH("平",B757)),"平","仄")))</x:f>
        <x:v>仄</x:v>
      </x:c>
      <x:c r="K757" s="6" t="str">
        <x:f>IF(D757="","",IF(AND(ISNUMBER(SEARCH("平",D757)),OR(ISNUMBER(SEARCH("上",D757)),ISNUMBER(SEARCH("去",D757)),ISNUMBER(SEARCH("入",D757)))),"Ambiguous",IF(ISNUMBER(SEARCH("平",D757)),"平","仄")))</x:f>
        <x:v>仄</x:v>
      </x:c>
      <x:c r="L757" s="7" t="str"/>
    </x:row>
    <x:row r="758">
      <x:c r="A758" s="5" t="str">
        <x:v>塔</x:v>
      </x:c>
      <x:c r="B758" s="6" t="str">
        <x:v>入</x:v>
      </x:c>
      <x:c r="C758" s="6" t="str">
        <x:f>IF(B758="","Needs decision","Ready")</x:f>
        <x:v>Ready</x:v>
      </x:c>
      <x:c r="D758" s="6" t="str">
        <x:v>入</x:v>
      </x:c>
      <x:c r="E758" s="6" t="str">
        <x:v>thap [t̙ʰɑp] (入)</x:v>
      </x:c>
      <x:c r="F758" s="6" t="str">
        <x:v>入聲十五合</x:v>
      </x:c>
      <x:c r="G758" s="6" t="str">
        <x:v>Pingshui main list, Wikisource-derived DOCX</x:v>
      </x:c>
      <x:c r="H758" s="6" t="str">
        <x:v>1</x:v>
      </x:c>
      <x:c r="I758" s="6" t="str">
        <x:v>Tang 300 gap; frequency 1; provisional from Xun Gong</x:v>
      </x:c>
      <x:c r="J758" s="6" t="str">
        <x:f>IF(B758="","",IF(AND(ISNUMBER(SEARCH("平",B758)),OR(ISNUMBER(SEARCH("上",B758)),ISNUMBER(SEARCH("去",B758)),ISNUMBER(SEARCH("入",B758)))),"Ambiguous",IF(ISNUMBER(SEARCH("平",B758)),"平","仄")))</x:f>
        <x:v>仄</x:v>
      </x:c>
      <x:c r="K758" s="6" t="str">
        <x:f>IF(D758="","",IF(AND(ISNUMBER(SEARCH("平",D758)),OR(ISNUMBER(SEARCH("上",D758)),ISNUMBER(SEARCH("去",D758)),ISNUMBER(SEARCH("入",D758)))),"Ambiguous",IF(ISNUMBER(SEARCH("平",D758)),"平","仄")))</x:f>
        <x:v>仄</x:v>
      </x:c>
      <x:c r="L758" s="7" t="str">
        <x:v>Xun Gong, Tang 300 gap fill</x:v>
      </x:c>
    </x:row>
    <x:row r="759">
      <x:c r="A759" s="5" t="str">
        <x:v>塗</x:v>
      </x:c>
      <x:c r="B759" s="6" t="str">
        <x:v>平</x:v>
      </x:c>
      <x:c r="C759" s="6" t="str">
        <x:f>IF(B759="","Needs decision","Ready")</x:f>
        <x:v>Ready</x:v>
      </x:c>
      <x:c r="D759" s="6" t="str">
        <x:v>平</x:v>
      </x:c>
      <x:c r="E759" s="6" t="str">
        <x:v>du (A)</x:v>
      </x:c>
      <x:c r="F759" s="6" t="str">
        <x:v>上平聲六魚; 上平聲七虞; 下平聲六麻</x:v>
      </x:c>
      <x:c r="G759" s="6" t="str">
        <x:v>Pingshui main list, Wikisource-derived DOCX</x:v>
      </x:c>
      <x:c r="H759" s="6" t="str">
        <x:v>1</x:v>
      </x:c>
      <x:c r="I759" s="6" t="str"/>
      <x:c r="J759" s="6" t="str">
        <x:f>IF(B759="","",IF(AND(ISNUMBER(SEARCH("平",B759)),OR(ISNUMBER(SEARCH("上",B759)),ISNUMBER(SEARCH("去",B759)),ISNUMBER(SEARCH("入",B759)))),"Ambiguous",IF(ISNUMBER(SEARCH("平",B759)),"平","仄")))</x:f>
        <x:v>平</x:v>
      </x:c>
      <x:c r="K759" s="6" t="str">
        <x:f>IF(D759="","",IF(AND(ISNUMBER(SEARCH("平",D759)),OR(ISNUMBER(SEARCH("上",D759)),ISNUMBER(SEARCH("去",D759)),ISNUMBER(SEARCH("入",D759)))),"Ambiguous",IF(ISNUMBER(SEARCH("平",D759)),"平","仄")))</x:f>
        <x:v>平</x:v>
      </x:c>
      <x:c r="L759" s="7" t="str"/>
    </x:row>
    <x:row r="760">
      <x:c r="A760" s="5" t="str">
        <x:v>塘</x:v>
      </x:c>
      <x:c r="B760" s="6" t="str">
        <x:v>平</x:v>
      </x:c>
      <x:c r="C760" s="6" t="str">
        <x:f>IF(B760="","Needs decision","Ready")</x:f>
        <x:v>Ready</x:v>
      </x:c>
      <x:c r="D760" s="6" t="str">
        <x:v>平</x:v>
      </x:c>
      <x:c r="E760" s="6" t="str">
        <x:v>dang (A)</x:v>
      </x:c>
      <x:c r="F760" s="6" t="str">
        <x:v>下平聲七陽</x:v>
      </x:c>
      <x:c r="G760" s="6" t="str">
        <x:v>Pingshui main list, Wikisource-derived DOCX</x:v>
      </x:c>
      <x:c r="H760" s="6" t="str">
        <x:v>1</x:v>
      </x:c>
      <x:c r="I760" s="6" t="str"/>
      <x:c r="J760" s="6" t="str">
        <x:f>IF(B760="","",IF(AND(ISNUMBER(SEARCH("平",B760)),OR(ISNUMBER(SEARCH("上",B760)),ISNUMBER(SEARCH("去",B760)),ISNUMBER(SEARCH("入",B760)))),"Ambiguous",IF(ISNUMBER(SEARCH("平",B760)),"平","仄")))</x:f>
        <x:v>平</x:v>
      </x:c>
      <x:c r="K760" s="6" t="str">
        <x:f>IF(D760="","",IF(AND(ISNUMBER(SEARCH("平",D760)),OR(ISNUMBER(SEARCH("上",D760)),ISNUMBER(SEARCH("去",D760)),ISNUMBER(SEARCH("入",D760)))),"Ambiguous",IF(ISNUMBER(SEARCH("平",D760)),"平","仄")))</x:f>
        <x:v>平</x:v>
      </x:c>
      <x:c r="L760" s="7" t="str"/>
    </x:row>
    <x:row r="761">
      <x:c r="A761" s="5" t="str">
        <x:v>塚</x:v>
      </x:c>
      <x:c r="B761" s="6" t="str">
        <x:v>上</x:v>
      </x:c>
      <x:c r="C761" s="6" t="str">
        <x:f>IF(B761="","Needs decision","Ready")</x:f>
        <x:v>Ready</x:v>
      </x:c>
      <x:c r="D761" s="6" t="str">
        <x:v>上</x:v>
      </x:c>
      <x:c r="E761" s="6" t="str"/>
      <x:c r="F761" s="6" t="str"/>
      <x:c r="G761" s="6" t="str"/>
      <x:c r="H761" s="6" t="str"/>
      <x:c r="I761" s="6" t="str">
        <x:v>Manual user correction/addition</x:v>
      </x:c>
      <x:c r="J761" s="6" t="str">
        <x:f>IF(B761="","",IF(AND(ISNUMBER(SEARCH("平",B761)),OR(ISNUMBER(SEARCH("上",B761)),ISNUMBER(SEARCH("去",B761)),ISNUMBER(SEARCH("入",B761)))),"Ambiguous",IF(ISNUMBER(SEARCH("平",B761)),"平","仄")))</x:f>
        <x:v>仄</x:v>
      </x:c>
      <x:c r="K761" s="6" t="str">
        <x:f>IF(D761="","",IF(AND(ISNUMBER(SEARCH("平",D761)),OR(ISNUMBER(SEARCH("上",D761)),ISNUMBER(SEARCH("去",D761)),ISNUMBER(SEARCH("入",D761)))),"Ambiguous",IF(ISNUMBER(SEARCH("平",D761)),"平","仄")))</x:f>
        <x:v>仄</x:v>
      </x:c>
      <x:c r="L761" s="7" t="str">
        <x:v>manual user correction</x:v>
      </x:c>
    </x:row>
    <x:row r="762">
      <x:c r="A762" s="5" t="str">
        <x:v>塞</x:v>
      </x:c>
      <x:c r="B762" s="6" t="str"/>
      <x:c r="C762" s="6" t="str">
        <x:f>IF(B762="","Needs decision","Ready")</x:f>
        <x:v>Needs decision</x:v>
      </x:c>
      <x:c r="D762" s="6" t="str">
        <x:v>去/入</x:v>
      </x:c>
      <x:c r="E762" s="6" t="str">
        <x:v>sojH (C); sok (D)</x:v>
      </x:c>
      <x:c r="F762" s="6" t="str">
        <x:v>去聲十一隊; 入聲十三職</x:v>
      </x:c>
      <x:c r="G762" s="6" t="str">
        <x:v>Pingshui main list, Wikisource-derived DOCX</x:v>
      </x:c>
      <x:c r="H762" s="6" t="str">
        <x:v>2</x:v>
      </x:c>
      <x:c r="I762" s="6" t="str"/>
      <x:c r="J762" s="6" t="str">
        <x:f>IF(B762="","",IF(AND(ISNUMBER(SEARCH("平",B762)),OR(ISNUMBER(SEARCH("上",B762)),ISNUMBER(SEARCH("去",B762)),ISNUMBER(SEARCH("入",B762)))),"Ambiguous",IF(ISNUMBER(SEARCH("平",B762)),"平","仄")))</x:f>
      </x:c>
      <x:c r="K762" s="6" t="str">
        <x:f>IF(D762="","",IF(AND(ISNUMBER(SEARCH("平",D762)),OR(ISNUMBER(SEARCH("上",D762)),ISNUMBER(SEARCH("去",D762)),ISNUMBER(SEARCH("入",D762)))),"Ambiguous",IF(ISNUMBER(SEARCH("平",D762)),"平","仄")))</x:f>
        <x:v>仄</x:v>
      </x:c>
      <x:c r="L762" s="7" t="str"/>
    </x:row>
    <x:row r="763">
      <x:c r="A763" s="5" t="str">
        <x:v>塤</x:v>
      </x:c>
      <x:c r="B763" s="6" t="str">
        <x:v>平</x:v>
      </x:c>
      <x:c r="C763" s="6" t="str">
        <x:f>IF(B763="","Needs decision","Ready")</x:f>
        <x:v>Ready</x:v>
      </x:c>
      <x:c r="D763" s="6" t="str">
        <x:v>平</x:v>
      </x:c>
      <x:c r="E763" s="6" t="str">
        <x:v>xjwon (A)</x:v>
      </x:c>
      <x:c r="F763" s="6" t="str">
        <x:v>上平聲十三元</x:v>
      </x:c>
      <x:c r="G763" s="6" t="str">
        <x:v>Pingshui main list, Wikisource-derived DOCX</x:v>
      </x:c>
      <x:c r="H763" s="6" t="str">
        <x:v>1</x:v>
      </x:c>
      <x:c r="I763" s="6" t="str"/>
      <x:c r="J763" s="6" t="str">
        <x:f>IF(B763="","",IF(AND(ISNUMBER(SEARCH("平",B763)),OR(ISNUMBER(SEARCH("上",B763)),ISNUMBER(SEARCH("去",B763)),ISNUMBER(SEARCH("入",B763)))),"Ambiguous",IF(ISNUMBER(SEARCH("平",B763)),"平","仄")))</x:f>
        <x:v>平</x:v>
      </x:c>
      <x:c r="K763" s="6" t="str">
        <x:f>IF(D763="","",IF(AND(ISNUMBER(SEARCH("平",D763)),OR(ISNUMBER(SEARCH("上",D763)),ISNUMBER(SEARCH("去",D763)),ISNUMBER(SEARCH("入",D763)))),"Ambiguous",IF(ISNUMBER(SEARCH("平",D763)),"平","仄")))</x:f>
        <x:v>平</x:v>
      </x:c>
      <x:c r="L763" s="7" t="str"/>
    </x:row>
    <x:row r="764">
      <x:c r="A764" s="5" t="str">
        <x:v>填</x:v>
      </x:c>
      <x:c r="B764" s="6" t="str">
        <x:v>平</x:v>
      </x:c>
      <x:c r="C764" s="6" t="str">
        <x:f>IF(B764="","Needs decision","Ready")</x:f>
        <x:v>Ready</x:v>
      </x:c>
      <x:c r="D764" s="6" t="str">
        <x:v>平</x:v>
      </x:c>
      <x:c r="E764" s="6" t="str">
        <x:v>den (A)</x:v>
      </x:c>
      <x:c r="F764" s="6" t="str">
        <x:v>上平聲十一真; 下平聲一先; 去聲十二震; 去聲十七霰</x:v>
      </x:c>
      <x:c r="G764" s="6" t="str">
        <x:v>Pingshui main list, Wikisource-derived DOCX</x:v>
      </x:c>
      <x:c r="H764" s="6" t="str">
        <x:v>1</x:v>
      </x:c>
      <x:c r="I764" s="6" t="str"/>
      <x:c r="J764" s="6" t="str">
        <x:f>IF(B764="","",IF(AND(ISNUMBER(SEARCH("平",B764)),OR(ISNUMBER(SEARCH("上",B764)),ISNUMBER(SEARCH("去",B764)),ISNUMBER(SEARCH("入",B764)))),"Ambiguous",IF(ISNUMBER(SEARCH("平",B764)),"平","仄")))</x:f>
        <x:v>平</x:v>
      </x:c>
      <x:c r="K764" s="6" t="str">
        <x:f>IF(D764="","",IF(AND(ISNUMBER(SEARCH("平",D764)),OR(ISNUMBER(SEARCH("上",D764)),ISNUMBER(SEARCH("去",D764)),ISNUMBER(SEARCH("入",D764)))),"Ambiguous",IF(ISNUMBER(SEARCH("平",D764)),"平","仄")))</x:f>
        <x:v>平</x:v>
      </x:c>
      <x:c r="L764" s="7" t="str"/>
    </x:row>
    <x:row r="765">
      <x:c r="A765" s="5" t="str">
        <x:v>塵</x:v>
      </x:c>
      <x:c r="B765" s="6" t="str">
        <x:v>平</x:v>
      </x:c>
      <x:c r="C765" s="6" t="str">
        <x:f>IF(B765="","Needs decision","Ready")</x:f>
        <x:v>Ready</x:v>
      </x:c>
      <x:c r="D765" s="6" t="str">
        <x:v>平</x:v>
      </x:c>
      <x:c r="E765" s="6" t="str">
        <x:v>drin (A)</x:v>
      </x:c>
      <x:c r="F765" s="6" t="str">
        <x:v>上平聲十一真</x:v>
      </x:c>
      <x:c r="G765" s="6" t="str">
        <x:v>Pingshui main list, Wikisource-derived DOCX</x:v>
      </x:c>
      <x:c r="H765" s="6" t="str">
        <x:v>1</x:v>
      </x:c>
      <x:c r="I765" s="6" t="str"/>
      <x:c r="J765" s="6" t="str">
        <x:f>IF(B765="","",IF(AND(ISNUMBER(SEARCH("平",B765)),OR(ISNUMBER(SEARCH("上",B765)),ISNUMBER(SEARCH("去",B765)),ISNUMBER(SEARCH("入",B765)))),"Ambiguous",IF(ISNUMBER(SEARCH("平",B765)),"平","仄")))</x:f>
        <x:v>平</x:v>
      </x:c>
      <x:c r="K765" s="6" t="str">
        <x:f>IF(D765="","",IF(AND(ISNUMBER(SEARCH("平",D765)),OR(ISNUMBER(SEARCH("上",D765)),ISNUMBER(SEARCH("去",D765)),ISNUMBER(SEARCH("入",D765)))),"Ambiguous",IF(ISNUMBER(SEARCH("平",D765)),"平","仄")))</x:f>
        <x:v>平</x:v>
      </x:c>
      <x:c r="L765" s="7" t="str"/>
    </x:row>
    <x:row r="766">
      <x:c r="A766" s="5" t="str">
        <x:v>塹</x:v>
      </x:c>
      <x:c r="B766" s="6" t="str">
        <x:v>去</x:v>
      </x:c>
      <x:c r="C766" s="6" t="str">
        <x:f>IF(B766="","Needs decision","Ready")</x:f>
        <x:v>Ready</x:v>
      </x:c>
      <x:c r="D766" s="6" t="str">
        <x:v>去</x:v>
      </x:c>
      <x:c r="E766" s="6" t="str">
        <x:v>tshjemH (C)</x:v>
      </x:c>
      <x:c r="F766" s="6" t="str"/>
      <x:c r="G766" s="6" t="str"/>
      <x:c r="H766" s="6" t="str">
        <x:v>1</x:v>
      </x:c>
      <x:c r="I766" s="6" t="str"/>
      <x:c r="J766" s="6" t="str">
        <x:f>IF(B766="","",IF(AND(ISNUMBER(SEARCH("平",B766)),OR(ISNUMBER(SEARCH("上",B766)),ISNUMBER(SEARCH("去",B766)),ISNUMBER(SEARCH("入",B766)))),"Ambiguous",IF(ISNUMBER(SEARCH("平",B766)),"平","仄")))</x:f>
        <x:v>仄</x:v>
      </x:c>
      <x:c r="K766" s="6" t="str">
        <x:f>IF(D766="","",IF(AND(ISNUMBER(SEARCH("平",D766)),OR(ISNUMBER(SEARCH("上",D766)),ISNUMBER(SEARCH("去",D766)),ISNUMBER(SEARCH("入",D766)))),"Ambiguous",IF(ISNUMBER(SEARCH("平",D766)),"平","仄")))</x:f>
        <x:v>仄</x:v>
      </x:c>
      <x:c r="L766" s="7" t="str"/>
    </x:row>
    <x:row r="767">
      <x:c r="A767" s="5" t="str">
        <x:v>塺</x:v>
      </x:c>
      <x:c r="B767" s="6" t="str">
        <x:v>去</x:v>
      </x:c>
      <x:c r="C767" s="6" t="str">
        <x:f>IF(B767="","Needs decision","Ready")</x:f>
        <x:v>Ready</x:v>
      </x:c>
      <x:c r="D767" s="6" t="str">
        <x:v>去</x:v>
      </x:c>
      <x:c r="E767" s="6" t="str">
        <x:v>maH (C)</x:v>
      </x:c>
      <x:c r="F767" s="6" t="str"/>
      <x:c r="G767" s="6" t="str"/>
      <x:c r="H767" s="6" t="str">
        <x:v>1</x:v>
      </x:c>
      <x:c r="I767" s="6" t="str"/>
      <x:c r="J767" s="6" t="str">
        <x:f>IF(B767="","",IF(AND(ISNUMBER(SEARCH("平",B767)),OR(ISNUMBER(SEARCH("上",B767)),ISNUMBER(SEARCH("去",B767)),ISNUMBER(SEARCH("入",B767)))),"Ambiguous",IF(ISNUMBER(SEARCH("平",B767)),"平","仄")))</x:f>
        <x:v>仄</x:v>
      </x:c>
      <x:c r="K767" s="6" t="str">
        <x:f>IF(D767="","",IF(AND(ISNUMBER(SEARCH("平",D767)),OR(ISNUMBER(SEARCH("上",D767)),ISNUMBER(SEARCH("去",D767)),ISNUMBER(SEARCH("入",D767)))),"Ambiguous",IF(ISNUMBER(SEARCH("平",D767)),"平","仄")))</x:f>
        <x:v>仄</x:v>
      </x:c>
      <x:c r="L767" s="7" t="str"/>
    </x:row>
    <x:row r="768">
      <x:c r="A768" s="5" t="str">
        <x:v>墀</x:v>
      </x:c>
      <x:c r="B768" s="6" t="str">
        <x:v>平</x:v>
      </x:c>
      <x:c r="C768" s="6" t="str">
        <x:f>IF(B768="","Needs decision","Ready")</x:f>
        <x:v>Ready</x:v>
      </x:c>
      <x:c r="D768" s="6" t="str">
        <x:v>平</x:v>
      </x:c>
      <x:c r="E768" s="6" t="str">
        <x:v>drij [ɖi] (平)</x:v>
      </x:c>
      <x:c r="F768" s="6" t="str">
        <x:v>上平聲四支</x:v>
      </x:c>
      <x:c r="G768" s="6" t="str">
        <x:v>Pingshui main list, Wikisource-derived DOCX</x:v>
      </x:c>
      <x:c r="H768" s="6" t="str">
        <x:v>1</x:v>
      </x:c>
      <x:c r="I768" s="6" t="str">
        <x:v>Tang 300 gap; frequency 2; provisional from Xun Gong</x:v>
      </x:c>
      <x:c r="J768" s="6" t="str">
        <x:f>IF(B768="","",IF(AND(ISNUMBER(SEARCH("平",B768)),OR(ISNUMBER(SEARCH("上",B768)),ISNUMBER(SEARCH("去",B768)),ISNUMBER(SEARCH("入",B768)))),"Ambiguous",IF(ISNUMBER(SEARCH("平",B768)),"平","仄")))</x:f>
        <x:v>平</x:v>
      </x:c>
      <x:c r="K768" s="6" t="str">
        <x:f>IF(D768="","",IF(AND(ISNUMBER(SEARCH("平",D768)),OR(ISNUMBER(SEARCH("上",D768)),ISNUMBER(SEARCH("去",D768)),ISNUMBER(SEARCH("入",D768)))),"Ambiguous",IF(ISNUMBER(SEARCH("平",D768)),"平","仄")))</x:f>
        <x:v>平</x:v>
      </x:c>
      <x:c r="L768" s="7" t="str">
        <x:v>Xun Gong, Tang 300 gap fill</x:v>
      </x:c>
    </x:row>
    <x:row r="769">
      <x:c r="A769" s="5" t="str">
        <x:v>境</x:v>
      </x:c>
      <x:c r="B769" s="6" t="str">
        <x:v>上</x:v>
      </x:c>
      <x:c r="C769" s="6" t="str">
        <x:f>IF(B769="","Needs decision","Ready")</x:f>
        <x:v>Ready</x:v>
      </x:c>
      <x:c r="D769" s="6" t="str">
        <x:v>上</x:v>
      </x:c>
      <x:c r="E769" s="6" t="str">
        <x:v>kjaengX (B)</x:v>
      </x:c>
      <x:c r="F769" s="6" t="str">
        <x:v>上聲二十三梗</x:v>
      </x:c>
      <x:c r="G769" s="6" t="str">
        <x:v>Pingshui main list, Wikisource-derived DOCX</x:v>
      </x:c>
      <x:c r="H769" s="6" t="str">
        <x:v>1</x:v>
      </x:c>
      <x:c r="I769" s="6" t="str"/>
      <x:c r="J769" s="6" t="str">
        <x:f>IF(B769="","",IF(AND(ISNUMBER(SEARCH("平",B769)),OR(ISNUMBER(SEARCH("上",B769)),ISNUMBER(SEARCH("去",B769)),ISNUMBER(SEARCH("入",B769)))),"Ambiguous",IF(ISNUMBER(SEARCH("平",B769)),"平","仄")))</x:f>
        <x:v>仄</x:v>
      </x:c>
      <x:c r="K769" s="6" t="str">
        <x:f>IF(D769="","",IF(AND(ISNUMBER(SEARCH("平",D769)),OR(ISNUMBER(SEARCH("上",D769)),ISNUMBER(SEARCH("去",D769)),ISNUMBER(SEARCH("入",D769)))),"Ambiguous",IF(ISNUMBER(SEARCH("平",D769)),"平","仄")))</x:f>
        <x:v>仄</x:v>
      </x:c>
      <x:c r="L769" s="7" t="str"/>
    </x:row>
    <x:row r="770">
      <x:c r="A770" s="5" t="str">
        <x:v>墅</x:v>
      </x:c>
      <x:c r="B770" s="6" t="str">
        <x:v>上</x:v>
      </x:c>
      <x:c r="C770" s="6" t="str">
        <x:f>IF(B770="","Needs decision","Ready")</x:f>
        <x:v>Ready</x:v>
      </x:c>
      <x:c r="D770" s="6" t="str">
        <x:v>上</x:v>
      </x:c>
      <x:c r="E770" s="6" t="str"/>
      <x:c r="F770" s="6" t="str">
        <x:v>上聲六語</x:v>
      </x:c>
      <x:c r="G770" s="6" t="str">
        <x:v>Pingshui main list, Wikisource-derived DOCX</x:v>
      </x:c>
      <x:c r="H770" s="6" t="str">
        <x:v>0</x:v>
      </x:c>
      <x:c r="I770" s="6" t="str">
        <x:v>User correction 2026-09-08; added manually</x:v>
      </x:c>
      <x:c r="J770" s="6" t="str">
        <x:f>IF(B770="","",IF(AND(ISNUMBER(SEARCH("平",B770)),OR(ISNUMBER(SEARCH("上",B770)),ISNUMBER(SEARCH("去",B770)),ISNUMBER(SEARCH("入",B770)))),"Ambiguous",IF(ISNUMBER(SEARCH("平",B770)),"平","仄")))</x:f>
        <x:v>仄</x:v>
      </x:c>
      <x:c r="K770" s="6" t="str">
        <x:f>IF(D770="","",IF(AND(ISNUMBER(SEARCH("平",D770)),OR(ISNUMBER(SEARCH("上",D770)),ISNUMBER(SEARCH("去",D770)),ISNUMBER(SEARCH("入",D770)))),"Ambiguous",IF(ISNUMBER(SEARCH("平",D770)),"平","仄")))</x:f>
        <x:v>仄</x:v>
      </x:c>
      <x:c r="L770" s="7" t="str">
        <x:v>User correction</x:v>
      </x:c>
    </x:row>
    <x:row r="771">
      <x:c r="A771" s="5" t="str">
        <x:v>墆</x:v>
      </x:c>
      <x:c r="B771" s="6" t="str">
        <x:v>入</x:v>
      </x:c>
      <x:c r="C771" s="6" t="str">
        <x:f>IF(B771="","Needs decision","Ready")</x:f>
        <x:v>Ready</x:v>
      </x:c>
      <x:c r="D771" s="6" t="str">
        <x:v>入</x:v>
      </x:c>
      <x:c r="E771" s="6" t="str">
        <x:v>det (D)</x:v>
      </x:c>
      <x:c r="F771" s="6" t="str">
        <x:v>去聲八霽</x:v>
      </x:c>
      <x:c r="G771" s="6" t="str">
        <x:v>Pingshui main list, Wikisource-derived DOCX</x:v>
      </x:c>
      <x:c r="H771" s="6" t="str">
        <x:v>1</x:v>
      </x:c>
      <x:c r="I771" s="6" t="str"/>
      <x:c r="J771" s="6" t="str">
        <x:f>IF(B771="","",IF(AND(ISNUMBER(SEARCH("平",B771)),OR(ISNUMBER(SEARCH("上",B771)),ISNUMBER(SEARCH("去",B771)),ISNUMBER(SEARCH("入",B771)))),"Ambiguous",IF(ISNUMBER(SEARCH("平",B771)),"平","仄")))</x:f>
        <x:v>仄</x:v>
      </x:c>
      <x:c r="K771" s="6" t="str">
        <x:f>IF(D771="","",IF(AND(ISNUMBER(SEARCH("平",D771)),OR(ISNUMBER(SEARCH("上",D771)),ISNUMBER(SEARCH("去",D771)),ISNUMBER(SEARCH("入",D771)))),"Ambiguous",IF(ISNUMBER(SEARCH("平",D771)),"平","仄")))</x:f>
        <x:v>仄</x:v>
      </x:c>
      <x:c r="L771" s="7" t="str"/>
    </x:row>
    <x:row r="772">
      <x:c r="A772" s="5" t="str">
        <x:v>墉</x:v>
      </x:c>
      <x:c r="B772" s="6" t="str">
        <x:v>平</x:v>
      </x:c>
      <x:c r="C772" s="6" t="str">
        <x:f>IF(B772="","Needs decision","Ready")</x:f>
        <x:v>Ready</x:v>
      </x:c>
      <x:c r="D772" s="6" t="str">
        <x:v>平</x:v>
      </x:c>
      <x:c r="E772" s="6" t="str"/>
      <x:c r="F772" s="6" t="str">
        <x:v>上平聲二冬</x:v>
      </x:c>
      <x:c r="G772" s="6" t="str">
        <x:v>Pingshui main list, Wikisource-derived DOCX</x:v>
      </x:c>
      <x:c r="H772" s="6" t="str"/>
      <x:c r="I772" s="6" t="str">
        <x:v>Manual user correction/addition</x:v>
      </x:c>
      <x:c r="J772" s="6" t="str">
        <x:f>IF(B772="","",IF(AND(ISNUMBER(SEARCH("平",B772)),OR(ISNUMBER(SEARCH("上",B772)),ISNUMBER(SEARCH("去",B772)),ISNUMBER(SEARCH("入",B772)))),"Ambiguous",IF(ISNUMBER(SEARCH("平",B772)),"平","仄")))</x:f>
        <x:v>平</x:v>
      </x:c>
      <x:c r="K772" s="6" t="str">
        <x:f>IF(D772="","",IF(AND(ISNUMBER(SEARCH("平",D772)),OR(ISNUMBER(SEARCH("上",D772)),ISNUMBER(SEARCH("去",D772)),ISNUMBER(SEARCH("入",D772)))),"Ambiguous",IF(ISNUMBER(SEARCH("平",D772)),"平","仄")))</x:f>
        <x:v>平</x:v>
      </x:c>
      <x:c r="L772" s="7" t="str">
        <x:v>manual user correction</x:v>
      </x:c>
    </x:row>
    <x:row r="773">
      <x:c r="A773" s="5" t="str">
        <x:v>墊</x:v>
      </x:c>
      <x:c r="B773" s="6" t="str"/>
      <x:c r="C773" s="6" t="str">
        <x:f>IF(B773="","Needs decision","Ready")</x:f>
        <x:v>Needs decision</x:v>
      </x:c>
      <x:c r="D773" s="6" t="str">
        <x:v>去/入</x:v>
      </x:c>
      <x:c r="E773" s="6" t="str">
        <x:v>temH (C); tep (D)</x:v>
      </x:c>
      <x:c r="F773" s="6" t="str">
        <x:v>去聲二十九豔</x:v>
      </x:c>
      <x:c r="G773" s="6" t="str">
        <x:v>Pingshui main list, Wikisource-derived DOCX</x:v>
      </x:c>
      <x:c r="H773" s="6" t="str">
        <x:v>2</x:v>
      </x:c>
      <x:c r="I773" s="6" t="str"/>
      <x:c r="J773" s="6" t="str">
        <x:f>IF(B773="","",IF(AND(ISNUMBER(SEARCH("平",B773)),OR(ISNUMBER(SEARCH("上",B773)),ISNUMBER(SEARCH("去",B773)),ISNUMBER(SEARCH("入",B773)))),"Ambiguous",IF(ISNUMBER(SEARCH("平",B773)),"平","仄")))</x:f>
      </x:c>
      <x:c r="K773" s="6" t="str">
        <x:f>IF(D773="","",IF(AND(ISNUMBER(SEARCH("平",D773)),OR(ISNUMBER(SEARCH("上",D773)),ISNUMBER(SEARCH("去",D773)),ISNUMBER(SEARCH("入",D773)))),"Ambiguous",IF(ISNUMBER(SEARCH("平",D773)),"平","仄")))</x:f>
        <x:v>仄</x:v>
      </x:c>
      <x:c r="L773" s="7" t="str"/>
    </x:row>
    <x:row r="774">
      <x:c r="A774" s="5" t="str">
        <x:v>墐</x:v>
      </x:c>
      <x:c r="B774" s="6" t="str">
        <x:v>去</x:v>
      </x:c>
      <x:c r="C774" s="6" t="str">
        <x:f>IF(B774="","Needs decision","Ready")</x:f>
        <x:v>Ready</x:v>
      </x:c>
      <x:c r="D774" s="6" t="str">
        <x:v>去</x:v>
      </x:c>
      <x:c r="E774" s="6" t="str">
        <x:v>ginH (C)</x:v>
      </x:c>
      <x:c r="F774" s="6" t="str">
        <x:v>上平聲十一真; 去聲十二震</x:v>
      </x:c>
      <x:c r="G774" s="6" t="str">
        <x:v>Pingshui main list, Wikisource-derived DOCX</x:v>
      </x:c>
      <x:c r="H774" s="6" t="str">
        <x:v>1</x:v>
      </x:c>
      <x:c r="I774" s="6" t="str"/>
      <x:c r="J774" s="6" t="str">
        <x:f>IF(B774="","",IF(AND(ISNUMBER(SEARCH("平",B774)),OR(ISNUMBER(SEARCH("上",B774)),ISNUMBER(SEARCH("去",B774)),ISNUMBER(SEARCH("入",B774)))),"Ambiguous",IF(ISNUMBER(SEARCH("平",B774)),"平","仄")))</x:f>
        <x:v>仄</x:v>
      </x:c>
      <x:c r="K774" s="6" t="str">
        <x:f>IF(D774="","",IF(AND(ISNUMBER(SEARCH("平",D774)),OR(ISNUMBER(SEARCH("上",D774)),ISNUMBER(SEARCH("去",D774)),ISNUMBER(SEARCH("入",D774)))),"Ambiguous",IF(ISNUMBER(SEARCH("平",D774)),"平","仄")))</x:f>
        <x:v>仄</x:v>
      </x:c>
      <x:c r="L774" s="7" t="str"/>
    </x:row>
    <x:row r="775">
      <x:c r="A775" s="5" t="str">
        <x:v>墓</x:v>
      </x:c>
      <x:c r="B775" s="6" t="str">
        <x:v>去</x:v>
      </x:c>
      <x:c r="C775" s="6" t="str">
        <x:f>IF(B775="","Needs decision","Ready")</x:f>
        <x:v>Ready</x:v>
      </x:c>
      <x:c r="D775" s="6" t="str">
        <x:v>去</x:v>
      </x:c>
      <x:c r="E775" s="6" t="str">
        <x:v>muH (C)</x:v>
      </x:c>
      <x:c r="F775" s="6" t="str">
        <x:v>去聲七遇</x:v>
      </x:c>
      <x:c r="G775" s="6" t="str">
        <x:v>Pingshui main list, Wikisource-derived DOCX</x:v>
      </x:c>
      <x:c r="H775" s="6" t="str">
        <x:v>1</x:v>
      </x:c>
      <x:c r="I775" s="6" t="str"/>
      <x:c r="J775" s="6" t="str">
        <x:f>IF(B775="","",IF(AND(ISNUMBER(SEARCH("平",B775)),OR(ISNUMBER(SEARCH("上",B775)),ISNUMBER(SEARCH("去",B775)),ISNUMBER(SEARCH("入",B775)))),"Ambiguous",IF(ISNUMBER(SEARCH("平",B775)),"平","仄")))</x:f>
        <x:v>仄</x:v>
      </x:c>
      <x:c r="K775" s="6" t="str">
        <x:f>IF(D775="","",IF(AND(ISNUMBER(SEARCH("平",D775)),OR(ISNUMBER(SEARCH("上",D775)),ISNUMBER(SEARCH("去",D775)),ISNUMBER(SEARCH("入",D775)))),"Ambiguous",IF(ISNUMBER(SEARCH("平",D775)),"平","仄")))</x:f>
        <x:v>仄</x:v>
      </x:c>
      <x:c r="L775" s="7" t="str"/>
    </x:row>
    <x:row r="776">
      <x:c r="A776" s="5" t="str">
        <x:v>墜</x:v>
      </x:c>
      <x:c r="B776" s="6" t="str">
        <x:v>去</x:v>
      </x:c>
      <x:c r="C776" s="6" t="str">
        <x:f>IF(B776="","Needs decision","Ready")</x:f>
        <x:v>Ready</x:v>
      </x:c>
      <x:c r="D776" s="6" t="str">
        <x:v>去</x:v>
      </x:c>
      <x:c r="E776" s="6" t="str">
        <x:v>drwijH (C)</x:v>
      </x:c>
      <x:c r="F776" s="6" t="str">
        <x:v>去聲四寘</x:v>
      </x:c>
      <x:c r="G776" s="6" t="str">
        <x:v>Pingshui main list, Wikisource-derived DOCX</x:v>
      </x:c>
      <x:c r="H776" s="6" t="str">
        <x:v>1</x:v>
      </x:c>
      <x:c r="I776" s="6" t="str"/>
      <x:c r="J776" s="6" t="str">
        <x:f>IF(B776="","",IF(AND(ISNUMBER(SEARCH("平",B776)),OR(ISNUMBER(SEARCH("上",B776)),ISNUMBER(SEARCH("去",B776)),ISNUMBER(SEARCH("入",B776)))),"Ambiguous",IF(ISNUMBER(SEARCH("平",B776)),"平","仄")))</x:f>
        <x:v>仄</x:v>
      </x:c>
      <x:c r="K776" s="6" t="str">
        <x:f>IF(D776="","",IF(AND(ISNUMBER(SEARCH("平",D776)),OR(ISNUMBER(SEARCH("上",D776)),ISNUMBER(SEARCH("去",D776)),ISNUMBER(SEARCH("入",D776)))),"Ambiguous",IF(ISNUMBER(SEARCH("平",D776)),"平","仄")))</x:f>
        <x:v>仄</x:v>
      </x:c>
      <x:c r="L776" s="7" t="str"/>
    </x:row>
    <x:row r="777">
      <x:c r="A777" s="5" t="str">
        <x:v>增</x:v>
      </x:c>
      <x:c r="B777" s="6" t="str">
        <x:v>平</x:v>
      </x:c>
      <x:c r="C777" s="6" t="str">
        <x:f>IF(B777="","Needs decision","Ready")</x:f>
        <x:v>Ready</x:v>
      </x:c>
      <x:c r="D777" s="6" t="str">
        <x:v>平</x:v>
      </x:c>
      <x:c r="E777" s="6" t="str">
        <x:v>tsong (A)</x:v>
      </x:c>
      <x:c r="F777" s="6" t="str">
        <x:v>下平聲十蒸</x:v>
      </x:c>
      <x:c r="G777" s="6" t="str">
        <x:v>Pingshui main list, Wikisource-derived DOCX</x:v>
      </x:c>
      <x:c r="H777" s="6" t="str">
        <x:v>1</x:v>
      </x:c>
      <x:c r="I777" s="6" t="str"/>
      <x:c r="J777" s="6" t="str">
        <x:f>IF(B777="","",IF(AND(ISNUMBER(SEARCH("平",B777)),OR(ISNUMBER(SEARCH("上",B777)),ISNUMBER(SEARCH("去",B777)),ISNUMBER(SEARCH("入",B777)))),"Ambiguous",IF(ISNUMBER(SEARCH("平",B777)),"平","仄")))</x:f>
        <x:v>平</x:v>
      </x:c>
      <x:c r="K777" s="6" t="str">
        <x:f>IF(D777="","",IF(AND(ISNUMBER(SEARCH("平",D777)),OR(ISNUMBER(SEARCH("上",D777)),ISNUMBER(SEARCH("去",D777)),ISNUMBER(SEARCH("入",D777)))),"Ambiguous",IF(ISNUMBER(SEARCH("平",D777)),"平","仄")))</x:f>
        <x:v>平</x:v>
      </x:c>
      <x:c r="L777" s="7" t="str"/>
    </x:row>
    <x:row r="778">
      <x:c r="A778" s="5" t="str">
        <x:v>墟</x:v>
      </x:c>
      <x:c r="B778" s="6" t="str">
        <x:v>平</x:v>
      </x:c>
      <x:c r="C778" s="6" t="str">
        <x:f>IF(B778="","Needs decision","Ready")</x:f>
        <x:v>Ready</x:v>
      </x:c>
      <x:c r="D778" s="6" t="str">
        <x:v>平</x:v>
      </x:c>
      <x:c r="E778" s="6" t="str">
        <x:v>khjo (A)</x:v>
      </x:c>
      <x:c r="F778" s="6" t="str">
        <x:v>上平聲六魚</x:v>
      </x:c>
      <x:c r="G778" s="6" t="str">
        <x:v>Pingshui main list, Wikisource-derived DOCX</x:v>
      </x:c>
      <x:c r="H778" s="6" t="str">
        <x:v>1</x:v>
      </x:c>
      <x:c r="I778" s="6" t="str"/>
      <x:c r="J778" s="6" t="str">
        <x:f>IF(B778="","",IF(AND(ISNUMBER(SEARCH("平",B778)),OR(ISNUMBER(SEARCH("上",B778)),ISNUMBER(SEARCH("去",B778)),ISNUMBER(SEARCH("入",B778)))),"Ambiguous",IF(ISNUMBER(SEARCH("平",B778)),"平","仄")))</x:f>
        <x:v>平</x:v>
      </x:c>
      <x:c r="K778" s="6" t="str">
        <x:f>IF(D778="","",IF(AND(ISNUMBER(SEARCH("平",D778)),OR(ISNUMBER(SEARCH("上",D778)),ISNUMBER(SEARCH("去",D778)),ISNUMBER(SEARCH("入",D778)))),"Ambiguous",IF(ISNUMBER(SEARCH("平",D778)),"平","仄")))</x:f>
        <x:v>平</x:v>
      </x:c>
      <x:c r="L778" s="7" t="str"/>
    </x:row>
    <x:row r="779">
      <x:c r="A779" s="5" t="str">
        <x:v>墠</x:v>
      </x:c>
      <x:c r="B779" s="6" t="str">
        <x:v>上</x:v>
      </x:c>
      <x:c r="C779" s="6" t="str">
        <x:f>IF(B779="","Needs decision","Ready")</x:f>
        <x:v>Ready</x:v>
      </x:c>
      <x:c r="D779" s="6" t="str">
        <x:v>上</x:v>
      </x:c>
      <x:c r="E779" s="6" t="str">
        <x:v>dzyenX (B)</x:v>
      </x:c>
      <x:c r="F779" s="6" t="str">
        <x:v>上聲十六銑</x:v>
      </x:c>
      <x:c r="G779" s="6" t="str">
        <x:v>Pingshui main list, Wikisource-derived DOCX</x:v>
      </x:c>
      <x:c r="H779" s="6" t="str">
        <x:v>1</x:v>
      </x:c>
      <x:c r="I779" s="6" t="str"/>
      <x:c r="J779" s="6" t="str">
        <x:f>IF(B779="","",IF(AND(ISNUMBER(SEARCH("平",B779)),OR(ISNUMBER(SEARCH("上",B779)),ISNUMBER(SEARCH("去",B779)),ISNUMBER(SEARCH("入",B779)))),"Ambiguous",IF(ISNUMBER(SEARCH("平",B779)),"平","仄")))</x:f>
        <x:v>仄</x:v>
      </x:c>
      <x:c r="K779" s="6" t="str">
        <x:f>IF(D779="","",IF(AND(ISNUMBER(SEARCH("平",D779)),OR(ISNUMBER(SEARCH("上",D779)),ISNUMBER(SEARCH("去",D779)),ISNUMBER(SEARCH("入",D779)))),"Ambiguous",IF(ISNUMBER(SEARCH("平",D779)),"平","仄")))</x:f>
        <x:v>仄</x:v>
      </x:c>
      <x:c r="L779" s="7" t="str"/>
    </x:row>
    <x:row r="780">
      <x:c r="A780" s="5" t="str">
        <x:v>墨</x:v>
      </x:c>
      <x:c r="B780" s="6" t="str">
        <x:v>入</x:v>
      </x:c>
      <x:c r="C780" s="6" t="str">
        <x:f>IF(B780="","Needs decision","Ready")</x:f>
        <x:v>Ready</x:v>
      </x:c>
      <x:c r="D780" s="6" t="str">
        <x:v>入</x:v>
      </x:c>
      <x:c r="E780" s="6" t="str">
        <x:v>mok (D)</x:v>
      </x:c>
      <x:c r="F780" s="6" t="str">
        <x:v>入聲十三職</x:v>
      </x:c>
      <x:c r="G780" s="6" t="str">
        <x:v>Pingshui main list, Wikisource-derived DOCX</x:v>
      </x:c>
      <x:c r="H780" s="6" t="str">
        <x:v>1</x:v>
      </x:c>
      <x:c r="I780" s="6" t="str"/>
      <x:c r="J780" s="6" t="str">
        <x:f>IF(B780="","",IF(AND(ISNUMBER(SEARCH("平",B780)),OR(ISNUMBER(SEARCH("上",B780)),ISNUMBER(SEARCH("去",B780)),ISNUMBER(SEARCH("入",B780)))),"Ambiguous",IF(ISNUMBER(SEARCH("平",B780)),"平","仄")))</x:f>
        <x:v>仄</x:v>
      </x:c>
      <x:c r="K780" s="6" t="str">
        <x:f>IF(D780="","",IF(AND(ISNUMBER(SEARCH("平",D780)),OR(ISNUMBER(SEARCH("上",D780)),ISNUMBER(SEARCH("去",D780)),ISNUMBER(SEARCH("入",D780)))),"Ambiguous",IF(ISNUMBER(SEARCH("平",D780)),"平","仄")))</x:f>
        <x:v>仄</x:v>
      </x:c>
      <x:c r="L780" s="7" t="str"/>
    </x:row>
    <x:row r="781">
      <x:c r="A781" s="5" t="str">
        <x:v>墮</x:v>
      </x:c>
      <x:c r="B781" s="6" t="str"/>
      <x:c r="C781" s="6" t="str">
        <x:f>IF(B781="","Needs decision","Ready")</x:f>
        <x:v>Needs decision</x:v>
      </x:c>
      <x:c r="D781" s="6" t="str">
        <x:v>平/上</x:v>
      </x:c>
      <x:c r="E781" s="6" t="str">
        <x:v>dwaX (B); xjwie (A)</x:v>
      </x:c>
      <x:c r="F781" s="6" t="str">
        <x:v>上平聲四支; 上聲二十哿</x:v>
      </x:c>
      <x:c r="G781" s="6" t="str">
        <x:v>Pingshui main list, Wikisource-derived DOCX</x:v>
      </x:c>
      <x:c r="H781" s="6" t="str">
        <x:v>2</x:v>
      </x:c>
      <x:c r="I781" s="6" t="str"/>
      <x:c r="J781" s="6" t="str">
        <x:f>IF(B781="","",IF(AND(ISNUMBER(SEARCH("平",B781)),OR(ISNUMBER(SEARCH("上",B781)),ISNUMBER(SEARCH("去",B781)),ISNUMBER(SEARCH("入",B781)))),"Ambiguous",IF(ISNUMBER(SEARCH("平",B781)),"平","仄")))</x:f>
      </x:c>
      <x:c r="K781" s="6" t="str">
        <x:f>IF(D781="","",IF(AND(ISNUMBER(SEARCH("平",D781)),OR(ISNUMBER(SEARCH("上",D781)),ISNUMBER(SEARCH("去",D781)),ISNUMBER(SEARCH("入",D781)))),"Ambiguous",IF(ISNUMBER(SEARCH("平",D781)),"平","仄")))</x:f>
        <x:v>Ambiguous</x:v>
      </x:c>
      <x:c r="L781" s="7" t="str"/>
    </x:row>
    <x:row r="782">
      <x:c r="A782" s="5" t="str">
        <x:v>墳</x:v>
      </x:c>
      <x:c r="B782" s="6" t="str"/>
      <x:c r="C782" s="6" t="str">
        <x:f>IF(B782="","Needs decision","Ready")</x:f>
        <x:v>Needs decision</x:v>
      </x:c>
      <x:c r="D782" s="6" t="str">
        <x:v>平/上</x:v>
      </x:c>
      <x:c r="E782" s="6" t="str">
        <x:v>bjun [bɨ̯un] (平); bjunX [bɨ̯unʔ] (上)</x:v>
      </x:c>
      <x:c r="F782" s="6" t="str">
        <x:v>上平聲十二文; 上聲十二吻</x:v>
      </x:c>
      <x:c r="G782" s="6" t="str">
        <x:v>Pingshui main list, Wikisource-derived DOCX</x:v>
      </x:c>
      <x:c r="H782" s="6" t="str">
        <x:v>2</x:v>
      </x:c>
      <x:c r="I782" s="6" t="str">
        <x:v>Tang 300 gap; frequency 1; ambiguous in Xun Gong</x:v>
      </x:c>
      <x:c r="J782" s="6" t="str">
        <x:f>IF(B782="","",IF(AND(ISNUMBER(SEARCH("平",B782)),OR(ISNUMBER(SEARCH("上",B782)),ISNUMBER(SEARCH("去",B782)),ISNUMBER(SEARCH("入",B782)))),"Ambiguous",IF(ISNUMBER(SEARCH("平",B782)),"平","仄")))</x:f>
      </x:c>
      <x:c r="K782" s="6" t="str">
        <x:f>IF(D782="","",IF(AND(ISNUMBER(SEARCH("平",D782)),OR(ISNUMBER(SEARCH("上",D782)),ISNUMBER(SEARCH("去",D782)),ISNUMBER(SEARCH("入",D782)))),"Ambiguous",IF(ISNUMBER(SEARCH("平",D782)),"平","仄")))</x:f>
        <x:v>Ambiguous</x:v>
      </x:c>
      <x:c r="L782" s="7" t="str">
        <x:v>Xun Gong, Tang 300 gap fill</x:v>
      </x:c>
    </x:row>
    <x:row r="783">
      <x:c r="A783" s="5" t="str">
        <x:v>壁</x:v>
      </x:c>
      <x:c r="B783" s="6" t="str">
        <x:v>入</x:v>
      </x:c>
      <x:c r="C783" s="6" t="str">
        <x:f>IF(B783="","Needs decision","Ready")</x:f>
        <x:v>Ready</x:v>
      </x:c>
      <x:c r="D783" s="6" t="str">
        <x:v>入</x:v>
      </x:c>
      <x:c r="E783" s="6" t="str">
        <x:v>pek (D)</x:v>
      </x:c>
      <x:c r="F783" s="6" t="str">
        <x:v>入聲十二錫</x:v>
      </x:c>
      <x:c r="G783" s="6" t="str">
        <x:v>Pingshui main list, Wikisource-derived DOCX</x:v>
      </x:c>
      <x:c r="H783" s="6" t="str">
        <x:v>1</x:v>
      </x:c>
      <x:c r="I783" s="6" t="str"/>
      <x:c r="J783" s="6" t="str">
        <x:f>IF(B783="","",IF(AND(ISNUMBER(SEARCH("平",B783)),OR(ISNUMBER(SEARCH("上",B783)),ISNUMBER(SEARCH("去",B783)),ISNUMBER(SEARCH("入",B783)))),"Ambiguous",IF(ISNUMBER(SEARCH("平",B783)),"平","仄")))</x:f>
        <x:v>仄</x:v>
      </x:c>
      <x:c r="K783" s="6" t="str">
        <x:f>IF(D783="","",IF(AND(ISNUMBER(SEARCH("平",D783)),OR(ISNUMBER(SEARCH("上",D783)),ISNUMBER(SEARCH("去",D783)),ISNUMBER(SEARCH("入",D783)))),"Ambiguous",IF(ISNUMBER(SEARCH("平",D783)),"平","仄")))</x:f>
        <x:v>仄</x:v>
      </x:c>
      <x:c r="L783" s="7" t="str"/>
    </x:row>
    <x:row r="784">
      <x:c r="A784" s="5" t="str">
        <x:v>壇</x:v>
      </x:c>
      <x:c r="B784" s="6" t="str"/>
      <x:c r="C784" s="6" t="str">
        <x:f>IF(B784="","Needs decision","Ready")</x:f>
        <x:v>Needs decision</x:v>
      </x:c>
      <x:c r="D784" s="6" t="str">
        <x:v>平/上</x:v>
      </x:c>
      <x:c r="E784" s="6" t="str">
        <x:v>dzyenX (B); dan (A)</x:v>
      </x:c>
      <x:c r="F784" s="6" t="str">
        <x:v>上平聲十四寒</x:v>
      </x:c>
      <x:c r="G784" s="6" t="str">
        <x:v>Pingshui main list, Wikisource-derived DOCX</x:v>
      </x:c>
      <x:c r="H784" s="6" t="str">
        <x:v>2</x:v>
      </x:c>
      <x:c r="I784" s="6" t="str"/>
      <x:c r="J784" s="6" t="str">
        <x:f>IF(B784="","",IF(AND(ISNUMBER(SEARCH("平",B784)),OR(ISNUMBER(SEARCH("上",B784)),ISNUMBER(SEARCH("去",B784)),ISNUMBER(SEARCH("入",B784)))),"Ambiguous",IF(ISNUMBER(SEARCH("平",B784)),"平","仄")))</x:f>
      </x:c>
      <x:c r="K784" s="6" t="str">
        <x:f>IF(D784="","",IF(AND(ISNUMBER(SEARCH("平",D784)),OR(ISNUMBER(SEARCH("上",D784)),ISNUMBER(SEARCH("去",D784)),ISNUMBER(SEARCH("入",D784)))),"Ambiguous",IF(ISNUMBER(SEARCH("平",D784)),"平","仄")))</x:f>
        <x:v>Ambiguous</x:v>
      </x:c>
      <x:c r="L784" s="7" t="str"/>
    </x:row>
    <x:row r="785">
      <x:c r="A785" s="5" t="str">
        <x:v>壈</x:v>
      </x:c>
      <x:c r="B785" s="6" t="str">
        <x:v>上</x:v>
      </x:c>
      <x:c r="C785" s="6" t="str">
        <x:f>IF(B785="","Needs decision","Ready")</x:f>
        <x:v>Ready</x:v>
      </x:c>
      <x:c r="D785" s="6" t="str">
        <x:v>上</x:v>
      </x:c>
      <x:c r="E785" s="6" t="str">
        <x:v>lomX [l̙əmʔ] (上)</x:v>
      </x:c>
      <x:c r="F785" s="6" t="str"/>
      <x:c r="G785" s="6" t="str"/>
      <x:c r="H785" s="6" t="str">
        <x:v>1</x:v>
      </x:c>
      <x:c r="I785" s="6" t="str">
        <x:v>Tang 300 gap; frequency 1; provisional from Xun Gong</x:v>
      </x:c>
      <x:c r="J785" s="6" t="str">
        <x:f>IF(B785="","",IF(AND(ISNUMBER(SEARCH("平",B785)),OR(ISNUMBER(SEARCH("上",B785)),ISNUMBER(SEARCH("去",B785)),ISNUMBER(SEARCH("入",B785)))),"Ambiguous",IF(ISNUMBER(SEARCH("平",B785)),"平","仄")))</x:f>
        <x:v>仄</x:v>
      </x:c>
      <x:c r="K785" s="6" t="str">
        <x:f>IF(D785="","",IF(AND(ISNUMBER(SEARCH("平",D785)),OR(ISNUMBER(SEARCH("上",D785)),ISNUMBER(SEARCH("去",D785)),ISNUMBER(SEARCH("入",D785)))),"Ambiguous",IF(ISNUMBER(SEARCH("平",D785)),"平","仄")))</x:f>
        <x:v>仄</x:v>
      </x:c>
      <x:c r="L785" s="7" t="str">
        <x:v>Xun Gong, Tang 300 gap fill</x:v>
      </x:c>
    </x:row>
    <x:row r="786">
      <x:c r="A786" s="5" t="str">
        <x:v>壎</x:v>
      </x:c>
      <x:c r="B786" s="6" t="str">
        <x:v>平</x:v>
      </x:c>
      <x:c r="C786" s="6" t="str">
        <x:f>IF(B786="","Needs decision","Ready")</x:f>
        <x:v>Ready</x:v>
      </x:c>
      <x:c r="D786" s="6" t="str">
        <x:v>平</x:v>
      </x:c>
      <x:c r="E786" s="6" t="str">
        <x:v>xjwon (A)</x:v>
      </x:c>
      <x:c r="F786" s="6" t="str"/>
      <x:c r="G786" s="6" t="str"/>
      <x:c r="H786" s="6" t="str">
        <x:v>1</x:v>
      </x:c>
      <x:c r="I786" s="6" t="str"/>
      <x:c r="J786" s="6" t="str">
        <x:f>IF(B786="","",IF(AND(ISNUMBER(SEARCH("平",B786)),OR(ISNUMBER(SEARCH("上",B786)),ISNUMBER(SEARCH("去",B786)),ISNUMBER(SEARCH("入",B786)))),"Ambiguous",IF(ISNUMBER(SEARCH("平",B786)),"平","仄")))</x:f>
        <x:v>平</x:v>
      </x:c>
      <x:c r="K786" s="6" t="str">
        <x:f>IF(D786="","",IF(AND(ISNUMBER(SEARCH("平",D786)),OR(ISNUMBER(SEARCH("上",D786)),ISNUMBER(SEARCH("去",D786)),ISNUMBER(SEARCH("入",D786)))),"Ambiguous",IF(ISNUMBER(SEARCH("平",D786)),"平","仄")))</x:f>
        <x:v>平</x:v>
      </x:c>
      <x:c r="L786" s="7" t="str"/>
    </x:row>
    <x:row r="787">
      <x:c r="A787" s="5" t="str">
        <x:v>壑</x:v>
      </x:c>
      <x:c r="B787" s="6" t="str">
        <x:v>入</x:v>
      </x:c>
      <x:c r="C787" s="6" t="str">
        <x:f>IF(B787="","Needs decision","Ready")</x:f>
        <x:v>Ready</x:v>
      </x:c>
      <x:c r="D787" s="6" t="str">
        <x:v>入</x:v>
      </x:c>
      <x:c r="E787" s="6" t="str">
        <x:v>xak (D)</x:v>
      </x:c>
      <x:c r="F787" s="6" t="str">
        <x:v>入聲十藥</x:v>
      </x:c>
      <x:c r="G787" s="6" t="str">
        <x:v>Pingshui main list, Wikisource-derived DOCX</x:v>
      </x:c>
      <x:c r="H787" s="6" t="str">
        <x:v>1</x:v>
      </x:c>
      <x:c r="I787" s="6" t="str"/>
      <x:c r="J787" s="6" t="str">
        <x:f>IF(B787="","",IF(AND(ISNUMBER(SEARCH("平",B787)),OR(ISNUMBER(SEARCH("上",B787)),ISNUMBER(SEARCH("去",B787)),ISNUMBER(SEARCH("入",B787)))),"Ambiguous",IF(ISNUMBER(SEARCH("平",B787)),"平","仄")))</x:f>
        <x:v>仄</x:v>
      </x:c>
      <x:c r="K787" s="6" t="str">
        <x:f>IF(D787="","",IF(AND(ISNUMBER(SEARCH("平",D787)),OR(ISNUMBER(SEARCH("上",D787)),ISNUMBER(SEARCH("去",D787)),ISNUMBER(SEARCH("入",D787)))),"Ambiguous",IF(ISNUMBER(SEARCH("平",D787)),"平","仄")))</x:f>
        <x:v>仄</x:v>
      </x:c>
      <x:c r="L787" s="7" t="str"/>
    </x:row>
    <x:row r="788">
      <x:c r="A788" s="5" t="str">
        <x:v>壓</x:v>
      </x:c>
      <x:c r="B788" s="6" t="str">
        <x:v>入</x:v>
      </x:c>
      <x:c r="C788" s="6" t="str">
        <x:f>IF(B788="","Needs decision","Ready")</x:f>
        <x:v>Ready</x:v>
      </x:c>
      <x:c r="D788" s="6" t="str">
        <x:v>入</x:v>
      </x:c>
      <x:c r="E788" s="6" t="str">
        <x:v>'aep (D)</x:v>
      </x:c>
      <x:c r="F788" s="6" t="str">
        <x:v>入聲十七洽</x:v>
      </x:c>
      <x:c r="G788" s="6" t="str">
        <x:v>Pingshui main list, Wikisource-derived DOCX</x:v>
      </x:c>
      <x:c r="H788" s="6" t="str">
        <x:v>1</x:v>
      </x:c>
      <x:c r="I788" s="6" t="str"/>
      <x:c r="J788" s="6" t="str">
        <x:f>IF(B788="","",IF(AND(ISNUMBER(SEARCH("平",B788)),OR(ISNUMBER(SEARCH("上",B788)),ISNUMBER(SEARCH("去",B788)),ISNUMBER(SEARCH("入",B788)))),"Ambiguous",IF(ISNUMBER(SEARCH("平",B788)),"平","仄")))</x:f>
        <x:v>仄</x:v>
      </x:c>
      <x:c r="K788" s="6" t="str">
        <x:f>IF(D788="","",IF(AND(ISNUMBER(SEARCH("平",D788)),OR(ISNUMBER(SEARCH("上",D788)),ISNUMBER(SEARCH("去",D788)),ISNUMBER(SEARCH("入",D788)))),"Ambiguous",IF(ISNUMBER(SEARCH("平",D788)),"平","仄")))</x:f>
        <x:v>仄</x:v>
      </x:c>
      <x:c r="L788" s="7" t="str"/>
    </x:row>
    <x:row r="789">
      <x:c r="A789" s="5" t="str">
        <x:v>壘</x:v>
      </x:c>
      <x:c r="B789" s="6" t="str">
        <x:v>上</x:v>
      </x:c>
      <x:c r="C789" s="6" t="str">
        <x:f>IF(B789="","Needs decision","Ready")</x:f>
        <x:v>Ready</x:v>
      </x:c>
      <x:c r="D789" s="6" t="str">
        <x:v>上</x:v>
      </x:c>
      <x:c r="E789" s="6" t="str">
        <x:v>lwijX (B)</x:v>
      </x:c>
      <x:c r="F789" s="6" t="str">
        <x:v>上平聲十灰; 上聲四紙</x:v>
      </x:c>
      <x:c r="G789" s="6" t="str">
        <x:v>Pingshui main list, Wikisource-derived DOCX</x:v>
      </x:c>
      <x:c r="H789" s="6" t="str">
        <x:v>1</x:v>
      </x:c>
      <x:c r="I789" s="6" t="str"/>
      <x:c r="J789" s="6" t="str">
        <x:f>IF(B789="","",IF(AND(ISNUMBER(SEARCH("平",B789)),OR(ISNUMBER(SEARCH("上",B789)),ISNUMBER(SEARCH("去",B789)),ISNUMBER(SEARCH("入",B789)))),"Ambiguous",IF(ISNUMBER(SEARCH("平",B789)),"平","仄")))</x:f>
        <x:v>仄</x:v>
      </x:c>
      <x:c r="K789" s="6" t="str">
        <x:f>IF(D789="","",IF(AND(ISNUMBER(SEARCH("平",D789)),OR(ISNUMBER(SEARCH("上",D789)),ISNUMBER(SEARCH("去",D789)),ISNUMBER(SEARCH("入",D789)))),"Ambiguous",IF(ISNUMBER(SEARCH("平",D789)),"平","仄")))</x:f>
        <x:v>仄</x:v>
      </x:c>
      <x:c r="L789" s="7" t="str"/>
    </x:row>
    <x:row r="790">
      <x:c r="A790" s="5" t="str">
        <x:v>壙</x:v>
      </x:c>
      <x:c r="B790" s="6" t="str">
        <x:v>去</x:v>
      </x:c>
      <x:c r="C790" s="6" t="str">
        <x:f>IF(B790="","Needs decision","Ready")</x:f>
        <x:v>Ready</x:v>
      </x:c>
      <x:c r="D790" s="6" t="str">
        <x:v>去</x:v>
      </x:c>
      <x:c r="E790" s="6" t="str">
        <x:v>khwangH (C)</x:v>
      </x:c>
      <x:c r="F790" s="6" t="str">
        <x:v>去聲二十三漾</x:v>
      </x:c>
      <x:c r="G790" s="6" t="str">
        <x:v>Pingshui main list, Wikisource-derived DOCX</x:v>
      </x:c>
      <x:c r="H790" s="6" t="str">
        <x:v>1</x:v>
      </x:c>
      <x:c r="I790" s="6" t="str"/>
      <x:c r="J790" s="6" t="str">
        <x:f>IF(B790="","",IF(AND(ISNUMBER(SEARCH("平",B790)),OR(ISNUMBER(SEARCH("上",B790)),ISNUMBER(SEARCH("去",B790)),ISNUMBER(SEARCH("入",B790)))),"Ambiguous",IF(ISNUMBER(SEARCH("平",B790)),"平","仄")))</x:f>
        <x:v>仄</x:v>
      </x:c>
      <x:c r="K790" s="6" t="str">
        <x:f>IF(D790="","",IF(AND(ISNUMBER(SEARCH("平",D790)),OR(ISNUMBER(SEARCH("上",D790)),ISNUMBER(SEARCH("去",D790)),ISNUMBER(SEARCH("入",D790)))),"Ambiguous",IF(ISNUMBER(SEARCH("平",D790)),"平","仄")))</x:f>
        <x:v>仄</x:v>
      </x:c>
      <x:c r="L790" s="7" t="str"/>
    </x:row>
    <x:row r="791">
      <x:c r="A791" s="5" t="str">
        <x:v>壛</x:v>
      </x:c>
      <x:c r="B791" s="6" t="str">
        <x:v>平</x:v>
      </x:c>
      <x:c r="C791" s="6" t="str">
        <x:f>IF(B791="","Needs decision","Ready")</x:f>
        <x:v>Ready</x:v>
      </x:c>
      <x:c r="D791" s="6" t="str">
        <x:v>平</x:v>
      </x:c>
      <x:c r="E791" s="6" t="str">
        <x:v>yem (A)</x:v>
      </x:c>
      <x:c r="F791" s="6" t="str"/>
      <x:c r="G791" s="6" t="str"/>
      <x:c r="H791" s="6" t="str">
        <x:v>1</x:v>
      </x:c>
      <x:c r="I791" s="6" t="str"/>
      <x:c r="J791" s="6" t="str">
        <x:f>IF(B791="","",IF(AND(ISNUMBER(SEARCH("平",B791)),OR(ISNUMBER(SEARCH("上",B791)),ISNUMBER(SEARCH("去",B791)),ISNUMBER(SEARCH("入",B791)))),"Ambiguous",IF(ISNUMBER(SEARCH("平",B791)),"平","仄")))</x:f>
        <x:v>平</x:v>
      </x:c>
      <x:c r="K791" s="6" t="str">
        <x:f>IF(D791="","",IF(AND(ISNUMBER(SEARCH("平",D791)),OR(ISNUMBER(SEARCH("上",D791)),ISNUMBER(SEARCH("去",D791)),ISNUMBER(SEARCH("入",D791)))),"Ambiguous",IF(ISNUMBER(SEARCH("平",D791)),"平","仄")))</x:f>
        <x:v>平</x:v>
      </x:c>
      <x:c r="L791" s="7" t="str"/>
    </x:row>
    <x:row r="792">
      <x:c r="A792" s="5" t="str">
        <x:v>壝</x:v>
      </x:c>
      <x:c r="B792" s="6" t="str">
        <x:v>平</x:v>
      </x:c>
      <x:c r="C792" s="6" t="str">
        <x:f>IF(B792="","Needs decision","Ready")</x:f>
        <x:v>Ready</x:v>
      </x:c>
      <x:c r="D792" s="6" t="str">
        <x:v>平</x:v>
      </x:c>
      <x:c r="E792" s="6" t="str">
        <x:v>ywij (A)</x:v>
      </x:c>
      <x:c r="F792" s="6" t="str">
        <x:v>上平聲四支; 上聲四紙</x:v>
      </x:c>
      <x:c r="G792" s="6" t="str">
        <x:v>Pingshui main list, Wikisource-derived DOCX</x:v>
      </x:c>
      <x:c r="H792" s="6" t="str">
        <x:v>1</x:v>
      </x:c>
      <x:c r="I792" s="6" t="str"/>
      <x:c r="J792" s="6" t="str">
        <x:f>IF(B792="","",IF(AND(ISNUMBER(SEARCH("平",B792)),OR(ISNUMBER(SEARCH("上",B792)),ISNUMBER(SEARCH("去",B792)),ISNUMBER(SEARCH("入",B792)))),"Ambiguous",IF(ISNUMBER(SEARCH("平",B792)),"平","仄")))</x:f>
        <x:v>平</x:v>
      </x:c>
      <x:c r="K792" s="6" t="str">
        <x:f>IF(D792="","",IF(AND(ISNUMBER(SEARCH("平",D792)),OR(ISNUMBER(SEARCH("上",D792)),ISNUMBER(SEARCH("去",D792)),ISNUMBER(SEARCH("入",D792)))),"Ambiguous",IF(ISNUMBER(SEARCH("平",D792)),"平","仄")))</x:f>
        <x:v>平</x:v>
      </x:c>
      <x:c r="L792" s="7" t="str"/>
    </x:row>
    <x:row r="793">
      <x:c r="A793" s="5" t="str">
        <x:v>壞</x:v>
      </x:c>
      <x:c r="B793" s="6" t="str"/>
      <x:c r="C793" s="6" t="str">
        <x:f>IF(B793="","Needs decision","Ready")</x:f>
        <x:v>Needs decision</x:v>
      </x:c>
      <x:c r="D793" s="6" t="str">
        <x:v>上/去</x:v>
      </x:c>
      <x:c r="E793" s="6" t="str">
        <x:v>hweajH (C); hwojX (B); kweajH (C)</x:v>
      </x:c>
      <x:c r="F793" s="6" t="str">
        <x:v>上平聲十灰; 去聲十卦</x:v>
      </x:c>
      <x:c r="G793" s="6" t="str">
        <x:v>Pingshui main list, Wikisource-derived DOCX</x:v>
      </x:c>
      <x:c r="H793" s="6" t="str">
        <x:v>3</x:v>
      </x:c>
      <x:c r="I793" s="6" t="str"/>
      <x:c r="J793" s="6" t="str">
        <x:f>IF(B793="","",IF(AND(ISNUMBER(SEARCH("平",B793)),OR(ISNUMBER(SEARCH("上",B793)),ISNUMBER(SEARCH("去",B793)),ISNUMBER(SEARCH("入",B793)))),"Ambiguous",IF(ISNUMBER(SEARCH("平",B793)),"平","仄")))</x:f>
      </x:c>
      <x:c r="K793" s="6" t="str">
        <x:f>IF(D793="","",IF(AND(ISNUMBER(SEARCH("平",D793)),OR(ISNUMBER(SEARCH("上",D793)),ISNUMBER(SEARCH("去",D793)),ISNUMBER(SEARCH("入",D793)))),"Ambiguous",IF(ISNUMBER(SEARCH("平",D793)),"平","仄")))</x:f>
        <x:v>仄</x:v>
      </x:c>
      <x:c r="L793" s="7" t="str"/>
    </x:row>
    <x:row r="794">
      <x:c r="A794" s="5" t="str">
        <x:v>壠</x:v>
      </x:c>
      <x:c r="B794" s="6" t="str">
        <x:v>上</x:v>
      </x:c>
      <x:c r="C794" s="6" t="str">
        <x:f>IF(B794="","Needs decision","Ready")</x:f>
        <x:v>Ready</x:v>
      </x:c>
      <x:c r="D794" s="6" t="str">
        <x:v>上</x:v>
      </x:c>
      <x:c r="E794" s="6" t="str"/>
      <x:c r="F794" s="6" t="str"/>
      <x:c r="G794" s="6" t="str"/>
      <x:c r="H794" s="6" t="str">
        <x:v>0</x:v>
      </x:c>
      <x:c r="I794" s="6" t="str">
        <x:v>User correction 2026-09-08; added manually</x:v>
      </x:c>
      <x:c r="J794" s="6" t="str">
        <x:f>IF(B794="","",IF(AND(ISNUMBER(SEARCH("平",B794)),OR(ISNUMBER(SEARCH("上",B794)),ISNUMBER(SEARCH("去",B794)),ISNUMBER(SEARCH("入",B794)))),"Ambiguous",IF(ISNUMBER(SEARCH("平",B794)),"平","仄")))</x:f>
        <x:v>仄</x:v>
      </x:c>
      <x:c r="K794" s="6" t="str">
        <x:f>IF(D794="","",IF(AND(ISNUMBER(SEARCH("平",D794)),OR(ISNUMBER(SEARCH("上",D794)),ISNUMBER(SEARCH("去",D794)),ISNUMBER(SEARCH("入",D794)))),"Ambiguous",IF(ISNUMBER(SEARCH("平",D794)),"平","仄")))</x:f>
        <x:v>仄</x:v>
      </x:c>
      <x:c r="L794" s="7" t="str">
        <x:v>User correction</x:v>
      </x:c>
    </x:row>
    <x:row r="795">
      <x:c r="A795" s="5" t="str">
        <x:v>壤</x:v>
      </x:c>
      <x:c r="B795" s="6" t="str">
        <x:v>上</x:v>
      </x:c>
      <x:c r="C795" s="6" t="str">
        <x:f>IF(B795="","Needs decision","Ready")</x:f>
        <x:v>Ready</x:v>
      </x:c>
      <x:c r="D795" s="6" t="str">
        <x:v>上</x:v>
      </x:c>
      <x:c r="E795" s="6" t="str">
        <x:v>nyangX (B)</x:v>
      </x:c>
      <x:c r="F795" s="6" t="str">
        <x:v>上聲二十二養</x:v>
      </x:c>
      <x:c r="G795" s="6" t="str">
        <x:v>Pingshui main list, Wikisource-derived DOCX</x:v>
      </x:c>
      <x:c r="H795" s="6" t="str">
        <x:v>1</x:v>
      </x:c>
      <x:c r="I795" s="6" t="str"/>
      <x:c r="J795" s="6" t="str">
        <x:f>IF(B795="","",IF(AND(ISNUMBER(SEARCH("平",B795)),OR(ISNUMBER(SEARCH("上",B795)),ISNUMBER(SEARCH("去",B795)),ISNUMBER(SEARCH("入",B795)))),"Ambiguous",IF(ISNUMBER(SEARCH("平",B795)),"平","仄")))</x:f>
        <x:v>仄</x:v>
      </x:c>
      <x:c r="K795" s="6" t="str">
        <x:f>IF(D795="","",IF(AND(ISNUMBER(SEARCH("平",D795)),OR(ISNUMBER(SEARCH("上",D795)),ISNUMBER(SEARCH("去",D795)),ISNUMBER(SEARCH("入",D795)))),"Ambiguous",IF(ISNUMBER(SEARCH("平",D795)),"平","仄")))</x:f>
        <x:v>仄</x:v>
      </x:c>
      <x:c r="L795" s="7" t="str"/>
    </x:row>
    <x:row r="796">
      <x:c r="A796" s="5" t="str">
        <x:v>士</x:v>
      </x:c>
      <x:c r="B796" s="6" t="str">
        <x:v>上</x:v>
      </x:c>
      <x:c r="C796" s="6" t="str">
        <x:f>IF(B796="","Needs decision","Ready")</x:f>
        <x:v>Ready</x:v>
      </x:c>
      <x:c r="D796" s="6" t="str">
        <x:v>上</x:v>
      </x:c>
      <x:c r="E796" s="6" t="str">
        <x:v>dzriX (B)</x:v>
      </x:c>
      <x:c r="F796" s="6" t="str">
        <x:v>上聲四紙</x:v>
      </x:c>
      <x:c r="G796" s="6" t="str">
        <x:v>Pingshui main list, Wikisource-derived DOCX</x:v>
      </x:c>
      <x:c r="H796" s="6" t="str">
        <x:v>1</x:v>
      </x:c>
      <x:c r="I796" s="6" t="str"/>
      <x:c r="J796" s="6" t="str">
        <x:f>IF(B796="","",IF(AND(ISNUMBER(SEARCH("平",B796)),OR(ISNUMBER(SEARCH("上",B796)),ISNUMBER(SEARCH("去",B796)),ISNUMBER(SEARCH("入",B796)))),"Ambiguous",IF(ISNUMBER(SEARCH("平",B796)),"平","仄")))</x:f>
        <x:v>仄</x:v>
      </x:c>
      <x:c r="K796" s="6" t="str">
        <x:f>IF(D796="","",IF(AND(ISNUMBER(SEARCH("平",D796)),OR(ISNUMBER(SEARCH("上",D796)),ISNUMBER(SEARCH("去",D796)),ISNUMBER(SEARCH("入",D796)))),"Ambiguous",IF(ISNUMBER(SEARCH("平",D796)),"平","仄")))</x:f>
        <x:v>仄</x:v>
      </x:c>
      <x:c r="L796" s="7" t="str"/>
    </x:row>
    <x:row r="797">
      <x:c r="A797" s="5" t="str">
        <x:v>壬</x:v>
      </x:c>
      <x:c r="B797" s="6" t="str">
        <x:v>平</x:v>
      </x:c>
      <x:c r="C797" s="6" t="str">
        <x:f>IF(B797="","Needs decision","Ready")</x:f>
        <x:v>Ready</x:v>
      </x:c>
      <x:c r="D797" s="6" t="str">
        <x:v>平</x:v>
      </x:c>
      <x:c r="E797" s="6" t="str">
        <x:v>nyim (A)</x:v>
      </x:c>
      <x:c r="F797" s="6" t="str">
        <x:v>下平聲十二侵</x:v>
      </x:c>
      <x:c r="G797" s="6" t="str">
        <x:v>Pingshui main list, Wikisource-derived DOCX</x:v>
      </x:c>
      <x:c r="H797" s="6" t="str">
        <x:v>1</x:v>
      </x:c>
      <x:c r="I797" s="6" t="str"/>
      <x:c r="J797" s="6" t="str">
        <x:f>IF(B797="","",IF(AND(ISNUMBER(SEARCH("平",B797)),OR(ISNUMBER(SEARCH("上",B797)),ISNUMBER(SEARCH("去",B797)),ISNUMBER(SEARCH("入",B797)))),"Ambiguous",IF(ISNUMBER(SEARCH("平",B797)),"平","仄")))</x:f>
        <x:v>平</x:v>
      </x:c>
      <x:c r="K797" s="6" t="str">
        <x:f>IF(D797="","",IF(AND(ISNUMBER(SEARCH("平",D797)),OR(ISNUMBER(SEARCH("上",D797)),ISNUMBER(SEARCH("去",D797)),ISNUMBER(SEARCH("入",D797)))),"Ambiguous",IF(ISNUMBER(SEARCH("平",D797)),"平","仄")))</x:f>
        <x:v>平</x:v>
      </x:c>
      <x:c r="L797" s="7" t="str"/>
    </x:row>
    <x:row r="798">
      <x:c r="A798" s="5" t="str">
        <x:v>壯</x:v>
      </x:c>
      <x:c r="B798" s="6" t="str">
        <x:v>去</x:v>
      </x:c>
      <x:c r="C798" s="6" t="str">
        <x:f>IF(B798="","Needs decision","Ready")</x:f>
        <x:v>Ready</x:v>
      </x:c>
      <x:c r="D798" s="6" t="str">
        <x:v>去</x:v>
      </x:c>
      <x:c r="E798" s="6" t="str">
        <x:v>tsrjangH (C)</x:v>
      </x:c>
      <x:c r="F798" s="6" t="str">
        <x:v>去聲二十三漾</x:v>
      </x:c>
      <x:c r="G798" s="6" t="str">
        <x:v>Pingshui main list, Wikisource-derived DOCX</x:v>
      </x:c>
      <x:c r="H798" s="6" t="str">
        <x:v>1</x:v>
      </x:c>
      <x:c r="I798" s="6" t="str"/>
      <x:c r="J798" s="6" t="str">
        <x:f>IF(B798="","",IF(AND(ISNUMBER(SEARCH("平",B798)),OR(ISNUMBER(SEARCH("上",B798)),ISNUMBER(SEARCH("去",B798)),ISNUMBER(SEARCH("入",B798)))),"Ambiguous",IF(ISNUMBER(SEARCH("平",B798)),"平","仄")))</x:f>
        <x:v>仄</x:v>
      </x:c>
      <x:c r="K798" s="6" t="str">
        <x:f>IF(D798="","",IF(AND(ISNUMBER(SEARCH("平",D798)),OR(ISNUMBER(SEARCH("上",D798)),ISNUMBER(SEARCH("去",D798)),ISNUMBER(SEARCH("入",D798)))),"Ambiguous",IF(ISNUMBER(SEARCH("平",D798)),"平","仄")))</x:f>
        <x:v>仄</x:v>
      </x:c>
      <x:c r="L798" s="7" t="str"/>
    </x:row>
    <x:row r="799">
      <x:c r="A799" s="5" t="str">
        <x:v>壴</x:v>
      </x:c>
      <x:c r="B799" s="6" t="str">
        <x:v>去</x:v>
      </x:c>
      <x:c r="C799" s="6" t="str">
        <x:f>IF(B799="","Needs decision","Ready")</x:f>
        <x:v>Ready</x:v>
      </x:c>
      <x:c r="D799" s="6" t="str">
        <x:v>去</x:v>
      </x:c>
      <x:c r="E799" s="6" t="str">
        <x:v>trjuH (C)</x:v>
      </x:c>
      <x:c r="F799" s="6" t="str"/>
      <x:c r="G799" s="6" t="str"/>
      <x:c r="H799" s="6" t="str">
        <x:v>1</x:v>
      </x:c>
      <x:c r="I799" s="6" t="str"/>
      <x:c r="J799" s="6" t="str">
        <x:f>IF(B799="","",IF(AND(ISNUMBER(SEARCH("平",B799)),OR(ISNUMBER(SEARCH("上",B799)),ISNUMBER(SEARCH("去",B799)),ISNUMBER(SEARCH("入",B799)))),"Ambiguous",IF(ISNUMBER(SEARCH("平",B799)),"平","仄")))</x:f>
        <x:v>仄</x:v>
      </x:c>
      <x:c r="K799" s="6" t="str">
        <x:f>IF(D799="","",IF(AND(ISNUMBER(SEARCH("平",D799)),OR(ISNUMBER(SEARCH("上",D799)),ISNUMBER(SEARCH("去",D799)),ISNUMBER(SEARCH("入",D799)))),"Ambiguous",IF(ISNUMBER(SEARCH("平",D799)),"平","仄")))</x:f>
        <x:v>仄</x:v>
      </x:c>
      <x:c r="L799" s="7" t="str"/>
    </x:row>
    <x:row r="800">
      <x:c r="A800" s="5" t="str">
        <x:v>壹</x:v>
      </x:c>
      <x:c r="B800" s="6" t="str">
        <x:v>入</x:v>
      </x:c>
      <x:c r="C800" s="6" t="str">
        <x:f>IF(B800="","Needs decision","Ready")</x:f>
        <x:v>Ready</x:v>
      </x:c>
      <x:c r="D800" s="6" t="str">
        <x:v>入</x:v>
      </x:c>
      <x:c r="E800" s="6" t="str">
        <x:v>'jit (D)</x:v>
      </x:c>
      <x:c r="F800" s="6" t="str">
        <x:v>入聲四質</x:v>
      </x:c>
      <x:c r="G800" s="6" t="str">
        <x:v>Pingshui main list, Wikisource-derived DOCX</x:v>
      </x:c>
      <x:c r="H800" s="6" t="str">
        <x:v>1</x:v>
      </x:c>
      <x:c r="I800" s="6" t="str"/>
      <x:c r="J800" s="6" t="str">
        <x:f>IF(B800="","",IF(AND(ISNUMBER(SEARCH("平",B800)),OR(ISNUMBER(SEARCH("上",B800)),ISNUMBER(SEARCH("去",B800)),ISNUMBER(SEARCH("入",B800)))),"Ambiguous",IF(ISNUMBER(SEARCH("平",B800)),"平","仄")))</x:f>
        <x:v>仄</x:v>
      </x:c>
      <x:c r="K800" s="6" t="str">
        <x:f>IF(D800="","",IF(AND(ISNUMBER(SEARCH("平",D800)),OR(ISNUMBER(SEARCH("上",D800)),ISNUMBER(SEARCH("去",D800)),ISNUMBER(SEARCH("入",D800)))),"Ambiguous",IF(ISNUMBER(SEARCH("平",D800)),"平","仄")))</x:f>
        <x:v>仄</x:v>
      </x:c>
      <x:c r="L800" s="7" t="str"/>
    </x:row>
    <x:row r="801">
      <x:c r="A801" s="5" t="str">
        <x:v>壺</x:v>
      </x:c>
      <x:c r="B801" s="6" t="str">
        <x:v>平</x:v>
      </x:c>
      <x:c r="C801" s="6" t="str">
        <x:f>IF(B801="","Needs decision","Ready")</x:f>
        <x:v>Ready</x:v>
      </x:c>
      <x:c r="D801" s="6" t="str">
        <x:v>平</x:v>
      </x:c>
      <x:c r="E801" s="6" t="str">
        <x:v>hu (A)</x:v>
      </x:c>
      <x:c r="F801" s="6" t="str">
        <x:v>上平聲七虞</x:v>
      </x:c>
      <x:c r="G801" s="6" t="str">
        <x:v>Pingshui main list, Wikisource-derived DOCX</x:v>
      </x:c>
      <x:c r="H801" s="6" t="str">
        <x:v>1</x:v>
      </x:c>
      <x:c r="I801" s="6" t="str"/>
      <x:c r="J801" s="6" t="str">
        <x:f>IF(B801="","",IF(AND(ISNUMBER(SEARCH("平",B801)),OR(ISNUMBER(SEARCH("上",B801)),ISNUMBER(SEARCH("去",B801)),ISNUMBER(SEARCH("入",B801)))),"Ambiguous",IF(ISNUMBER(SEARCH("平",B801)),"平","仄")))</x:f>
        <x:v>平</x:v>
      </x:c>
      <x:c r="K801" s="6" t="str">
        <x:f>IF(D801="","",IF(AND(ISNUMBER(SEARCH("平",D801)),OR(ISNUMBER(SEARCH("上",D801)),ISNUMBER(SEARCH("去",D801)),ISNUMBER(SEARCH("入",D801)))),"Ambiguous",IF(ISNUMBER(SEARCH("平",D801)),"平","仄")))</x:f>
        <x:v>平</x:v>
      </x:c>
      <x:c r="L801" s="7" t="str"/>
    </x:row>
    <x:row r="802">
      <x:c r="A802" s="5" t="str">
        <x:v>壻</x:v>
      </x:c>
      <x:c r="B802" s="6" t="str">
        <x:v>去</x:v>
      </x:c>
      <x:c r="C802" s="6" t="str">
        <x:f>IF(B802="","Needs decision","Ready")</x:f>
        <x:v>Ready</x:v>
      </x:c>
      <x:c r="D802" s="6" t="str">
        <x:v>去</x:v>
      </x:c>
      <x:c r="E802" s="6" t="str">
        <x:v>sejH (C)</x:v>
      </x:c>
      <x:c r="F802" s="6" t="str"/>
      <x:c r="G802" s="6" t="str"/>
      <x:c r="H802" s="6" t="str">
        <x:v>1</x:v>
      </x:c>
      <x:c r="I802" s="6" t="str"/>
      <x:c r="J802" s="6" t="str">
        <x:f>IF(B802="","",IF(AND(ISNUMBER(SEARCH("平",B802)),OR(ISNUMBER(SEARCH("上",B802)),ISNUMBER(SEARCH("去",B802)),ISNUMBER(SEARCH("入",B802)))),"Ambiguous",IF(ISNUMBER(SEARCH("平",B802)),"平","仄")))</x:f>
        <x:v>仄</x:v>
      </x:c>
      <x:c r="K802" s="6" t="str">
        <x:f>IF(D802="","",IF(AND(ISNUMBER(SEARCH("平",D802)),OR(ISNUMBER(SEARCH("上",D802)),ISNUMBER(SEARCH("去",D802)),ISNUMBER(SEARCH("入",D802)))),"Ambiguous",IF(ISNUMBER(SEARCH("平",D802)),"平","仄")))</x:f>
        <x:v>仄</x:v>
      </x:c>
      <x:c r="L802" s="7" t="str"/>
    </x:row>
    <x:row r="803">
      <x:c r="A803" s="5" t="str">
        <x:v>壽</x:v>
      </x:c>
      <x:c r="B803" s="6" t="str">
        <x:v>上</x:v>
      </x:c>
      <x:c r="C803" s="6" t="str">
        <x:f>IF(B803="","Needs decision","Ready")</x:f>
        <x:v>Ready</x:v>
      </x:c>
      <x:c r="D803" s="6" t="str">
        <x:v>上/去</x:v>
      </x:c>
      <x:c r="E803" s="6" t="str">
        <x:v>dzyuwX (B); dzyuwH (C)</x:v>
      </x:c>
      <x:c r="F803" s="6" t="str">
        <x:v>上聲二十五有; 去聲二十六宥</x:v>
      </x:c>
      <x:c r="G803" s="6" t="str">
        <x:v>Pingshui main list, Wikisource-derived DOCX</x:v>
      </x:c>
      <x:c r="H803" s="6" t="str">
        <x:v>2</x:v>
      </x:c>
      <x:c r="I803" s="6" t="str">
        <x:v>User correction 2026-09-08</x:v>
      </x:c>
      <x:c r="J803" s="6" t="str">
        <x:f>IF(B803="","",IF(AND(ISNUMBER(SEARCH("平",B803)),OR(ISNUMBER(SEARCH("上",B803)),ISNUMBER(SEARCH("去",B803)),ISNUMBER(SEARCH("入",B803)))),"Ambiguous",IF(ISNUMBER(SEARCH("平",B803)),"平","仄")))</x:f>
        <x:v>仄</x:v>
      </x:c>
      <x:c r="K803" s="6" t="str">
        <x:f>IF(D803="","",IF(AND(ISNUMBER(SEARCH("平",D803)),OR(ISNUMBER(SEARCH("上",D803)),ISNUMBER(SEARCH("去",D803)),ISNUMBER(SEARCH("入",D803)))),"Ambiguous",IF(ISNUMBER(SEARCH("平",D803)),"平","仄")))</x:f>
        <x:v>仄</x:v>
      </x:c>
      <x:c r="L803" s="7" t="str"/>
    </x:row>
    <x:row r="804">
      <x:c r="A804" s="5" t="str">
        <x:v>夅</x:v>
      </x:c>
      <x:c r="B804" s="6" t="str">
        <x:v>平</x:v>
      </x:c>
      <x:c r="C804" s="6" t="str">
        <x:f>IF(B804="","Needs decision","Ready")</x:f>
        <x:v>Ready</x:v>
      </x:c>
      <x:c r="D804" s="6" t="str">
        <x:v>平</x:v>
      </x:c>
      <x:c r="E804" s="6" t="str">
        <x:v>haewng (A)</x:v>
      </x:c>
      <x:c r="F804" s="6" t="str"/>
      <x:c r="G804" s="6" t="str"/>
      <x:c r="H804" s="6" t="str">
        <x:v>1</x:v>
      </x:c>
      <x:c r="I804" s="6" t="str"/>
      <x:c r="J804" s="6" t="str">
        <x:f>IF(B804="","",IF(AND(ISNUMBER(SEARCH("平",B804)),OR(ISNUMBER(SEARCH("上",B804)),ISNUMBER(SEARCH("去",B804)),ISNUMBER(SEARCH("入",B804)))),"Ambiguous",IF(ISNUMBER(SEARCH("平",B804)),"平","仄")))</x:f>
        <x:v>平</x:v>
      </x:c>
      <x:c r="K804" s="6" t="str">
        <x:f>IF(D804="","",IF(AND(ISNUMBER(SEARCH("平",D804)),OR(ISNUMBER(SEARCH("上",D804)),ISNUMBER(SEARCH("去",D804)),ISNUMBER(SEARCH("入",D804)))),"Ambiguous",IF(ISNUMBER(SEARCH("平",D804)),"平","仄")))</x:f>
        <x:v>平</x:v>
      </x:c>
      <x:c r="L804" s="7" t="str"/>
    </x:row>
    <x:row r="805">
      <x:c r="A805" s="5" t="str">
        <x:v>夋</x:v>
      </x:c>
      <x:c r="B805" s="6" t="str">
        <x:v>平</x:v>
      </x:c>
      <x:c r="C805" s="6" t="str">
        <x:f>IF(B805="","Needs decision","Ready")</x:f>
        <x:v>Ready</x:v>
      </x:c>
      <x:c r="D805" s="6" t="str">
        <x:v>平</x:v>
      </x:c>
      <x:c r="E805" s="6" t="str">
        <x:v>tshwin (A)</x:v>
      </x:c>
      <x:c r="F805" s="6" t="str"/>
      <x:c r="G805" s="6" t="str"/>
      <x:c r="H805" s="6" t="str">
        <x:v>1</x:v>
      </x:c>
      <x:c r="I805" s="6" t="str"/>
      <x:c r="J805" s="6" t="str">
        <x:f>IF(B805="","",IF(AND(ISNUMBER(SEARCH("平",B805)),OR(ISNUMBER(SEARCH("上",B805)),ISNUMBER(SEARCH("去",B805)),ISNUMBER(SEARCH("入",B805)))),"Ambiguous",IF(ISNUMBER(SEARCH("平",B805)),"平","仄")))</x:f>
        <x:v>平</x:v>
      </x:c>
      <x:c r="K805" s="6" t="str">
        <x:f>IF(D805="","",IF(AND(ISNUMBER(SEARCH("平",D805)),OR(ISNUMBER(SEARCH("上",D805)),ISNUMBER(SEARCH("去",D805)),ISNUMBER(SEARCH("入",D805)))),"Ambiguous",IF(ISNUMBER(SEARCH("平",D805)),"平","仄")))</x:f>
        <x:v>平</x:v>
      </x:c>
      <x:c r="L805" s="7" t="str"/>
    </x:row>
    <x:row r="806">
      <x:c r="A806" s="5" t="str">
        <x:v>夌</x:v>
      </x:c>
      <x:c r="B806" s="6" t="str">
        <x:v>平</x:v>
      </x:c>
      <x:c r="C806" s="6" t="str">
        <x:f>IF(B806="","Needs decision","Ready")</x:f>
        <x:v>Ready</x:v>
      </x:c>
      <x:c r="D806" s="6" t="str">
        <x:v>平</x:v>
      </x:c>
      <x:c r="E806" s="6" t="str">
        <x:v>ling (A)</x:v>
      </x:c>
      <x:c r="F806" s="6" t="str">
        <x:v>下平聲十蒸</x:v>
      </x:c>
      <x:c r="G806" s="6" t="str">
        <x:v>Pingshui main list, Wikisource-derived DOCX</x:v>
      </x:c>
      <x:c r="H806" s="6" t="str">
        <x:v>1</x:v>
      </x:c>
      <x:c r="I806" s="6" t="str"/>
      <x:c r="J806" s="6" t="str">
        <x:f>IF(B806="","",IF(AND(ISNUMBER(SEARCH("平",B806)),OR(ISNUMBER(SEARCH("上",B806)),ISNUMBER(SEARCH("去",B806)),ISNUMBER(SEARCH("入",B806)))),"Ambiguous",IF(ISNUMBER(SEARCH("平",B806)),"平","仄")))</x:f>
        <x:v>平</x:v>
      </x:c>
      <x:c r="K806" s="6" t="str">
        <x:f>IF(D806="","",IF(AND(ISNUMBER(SEARCH("平",D806)),OR(ISNUMBER(SEARCH("上",D806)),ISNUMBER(SEARCH("去",D806)),ISNUMBER(SEARCH("入",D806)))),"Ambiguous",IF(ISNUMBER(SEARCH("平",D806)),"平","仄")))</x:f>
        <x:v>平</x:v>
      </x:c>
      <x:c r="L806" s="7" t="str"/>
    </x:row>
    <x:row r="807">
      <x:c r="A807" s="5" t="str">
        <x:v>复</x:v>
      </x:c>
      <x:c r="B807" s="6" t="str">
        <x:v>入</x:v>
      </x:c>
      <x:c r="C807" s="6" t="str">
        <x:f>IF(B807="","Needs decision","Ready")</x:f>
        <x:v>Ready</x:v>
      </x:c>
      <x:c r="D807" s="6" t="str">
        <x:v>入</x:v>
      </x:c>
      <x:c r="E807" s="6" t="str">
        <x:v>bjuwk (D)</x:v>
      </x:c>
      <x:c r="F807" s="6" t="str"/>
      <x:c r="G807" s="6" t="str"/>
      <x:c r="H807" s="6" t="str">
        <x:v>1</x:v>
      </x:c>
      <x:c r="I807" s="6" t="str"/>
      <x:c r="J807" s="6" t="str">
        <x:f>IF(B807="","",IF(AND(ISNUMBER(SEARCH("平",B807)),OR(ISNUMBER(SEARCH("上",B807)),ISNUMBER(SEARCH("去",B807)),ISNUMBER(SEARCH("入",B807)))),"Ambiguous",IF(ISNUMBER(SEARCH("平",B807)),"平","仄")))</x:f>
        <x:v>仄</x:v>
      </x:c>
      <x:c r="K807" s="6" t="str">
        <x:f>IF(D807="","",IF(AND(ISNUMBER(SEARCH("平",D807)),OR(ISNUMBER(SEARCH("上",D807)),ISNUMBER(SEARCH("去",D807)),ISNUMBER(SEARCH("入",D807)))),"Ambiguous",IF(ISNUMBER(SEARCH("平",D807)),"平","仄")))</x:f>
        <x:v>仄</x:v>
      </x:c>
      <x:c r="L807" s="7" t="str"/>
    </x:row>
    <x:row r="808">
      <x:c r="A808" s="5" t="str">
        <x:v>夏</x:v>
      </x:c>
      <x:c r="B808" s="6" t="str">
        <x:v>去</x:v>
      </x:c>
      <x:c r="C808" s="6" t="str">
        <x:f>IF(B808="","Needs decision","Ready")</x:f>
        <x:v>Ready</x:v>
      </x:c>
      <x:c r="D808" s="6" t="str">
        <x:v>上/去</x:v>
      </x:c>
      <x:c r="E808" s="6" t="str">
        <x:v>haeX (B); haeH (C)</x:v>
      </x:c>
      <x:c r="F808" s="6" t="str">
        <x:v>上聲二十一馬; 去聲二十二禡</x:v>
      </x:c>
      <x:c r="G808" s="6" t="str">
        <x:v>Pingshui main list, Wikisource-derived DOCX</x:v>
      </x:c>
      <x:c r="H808" s="6" t="str">
        <x:v>2</x:v>
      </x:c>
      <x:c r="I808" s="6" t="str">
        <x:v>User correction 2026-09-08</x:v>
      </x:c>
      <x:c r="J808" s="6" t="str">
        <x:f>IF(B808="","",IF(AND(ISNUMBER(SEARCH("平",B808)),OR(ISNUMBER(SEARCH("上",B808)),ISNUMBER(SEARCH("去",B808)),ISNUMBER(SEARCH("入",B808)))),"Ambiguous",IF(ISNUMBER(SEARCH("平",B808)),"平","仄")))</x:f>
        <x:v>仄</x:v>
      </x:c>
      <x:c r="K808" s="6" t="str">
        <x:f>IF(D808="","",IF(AND(ISNUMBER(SEARCH("平",D808)),OR(ISNUMBER(SEARCH("上",D808)),ISNUMBER(SEARCH("去",D808)),ISNUMBER(SEARCH("入",D808)))),"Ambiguous",IF(ISNUMBER(SEARCH("平",D808)),"平","仄")))</x:f>
        <x:v>仄</x:v>
      </x:c>
      <x:c r="L808" s="7" t="str"/>
    </x:row>
    <x:row r="809">
      <x:c r="A809" s="5" t="str">
        <x:v>夒</x:v>
      </x:c>
      <x:c r="B809" s="6" t="str">
        <x:v>平</x:v>
      </x:c>
      <x:c r="C809" s="6" t="str">
        <x:f>IF(B809="","Needs decision","Ready")</x:f>
        <x:v>Ready</x:v>
      </x:c>
      <x:c r="D809" s="6" t="str">
        <x:v>平</x:v>
      </x:c>
      <x:c r="E809" s="6" t="str">
        <x:v>naw (A)</x:v>
      </x:c>
      <x:c r="F809" s="6" t="str"/>
      <x:c r="G809" s="6" t="str"/>
      <x:c r="H809" s="6" t="str">
        <x:v>1</x:v>
      </x:c>
      <x:c r="I809" s="6" t="str"/>
      <x:c r="J809" s="6" t="str">
        <x:f>IF(B809="","",IF(AND(ISNUMBER(SEARCH("平",B809)),OR(ISNUMBER(SEARCH("上",B809)),ISNUMBER(SEARCH("去",B809)),ISNUMBER(SEARCH("入",B809)))),"Ambiguous",IF(ISNUMBER(SEARCH("平",B809)),"平","仄")))</x:f>
        <x:v>平</x:v>
      </x:c>
      <x:c r="K809" s="6" t="str">
        <x:f>IF(D809="","",IF(AND(ISNUMBER(SEARCH("平",D809)),OR(ISNUMBER(SEARCH("上",D809)),ISNUMBER(SEARCH("去",D809)),ISNUMBER(SEARCH("入",D809)))),"Ambiguous",IF(ISNUMBER(SEARCH("平",D809)),"平","仄")))</x:f>
        <x:v>平</x:v>
      </x:c>
      <x:c r="L809" s="7" t="str"/>
    </x:row>
    <x:row r="810">
      <x:c r="A810" s="5" t="str">
        <x:v>夔</x:v>
      </x:c>
      <x:c r="B810" s="6" t="str">
        <x:v>平</x:v>
      </x:c>
      <x:c r="C810" s="6" t="str">
        <x:f>IF(B810="","Needs decision","Ready")</x:f>
        <x:v>Ready</x:v>
      </x:c>
      <x:c r="D810" s="6" t="str">
        <x:v>平</x:v>
      </x:c>
      <x:c r="E810" s="6" t="str">
        <x:v>gwij [ɡwɨ̯i] (平)</x:v>
      </x:c>
      <x:c r="F810" s="6" t="str">
        <x:v>上平聲四支</x:v>
      </x:c>
      <x:c r="G810" s="6" t="str">
        <x:v>Pingshui main list, Wikisource-derived DOCX</x:v>
      </x:c>
      <x:c r="H810" s="6" t="str">
        <x:v>1</x:v>
      </x:c>
      <x:c r="I810" s="6" t="str">
        <x:v>Tang 300 gap; frequency 1; provisional from Xun Gong</x:v>
      </x:c>
      <x:c r="J810" s="6" t="str">
        <x:f>IF(B810="","",IF(AND(ISNUMBER(SEARCH("平",B810)),OR(ISNUMBER(SEARCH("上",B810)),ISNUMBER(SEARCH("去",B810)),ISNUMBER(SEARCH("入",B810)))),"Ambiguous",IF(ISNUMBER(SEARCH("平",B810)),"平","仄")))</x:f>
        <x:v>平</x:v>
      </x:c>
      <x:c r="K810" s="6" t="str">
        <x:f>IF(D810="","",IF(AND(ISNUMBER(SEARCH("平",D810)),OR(ISNUMBER(SEARCH("上",D810)),ISNUMBER(SEARCH("去",D810)),ISNUMBER(SEARCH("入",D810)))),"Ambiguous",IF(ISNUMBER(SEARCH("平",D810)),"平","仄")))</x:f>
        <x:v>平</x:v>
      </x:c>
      <x:c r="L810" s="7" t="str">
        <x:v>Xun Gong, Tang 300 gap fill</x:v>
      </x:c>
    </x:row>
    <x:row r="811">
      <x:c r="A811" s="5" t="str">
        <x:v>夕</x:v>
      </x:c>
      <x:c r="B811" s="6" t="str">
        <x:v>入</x:v>
      </x:c>
      <x:c r="C811" s="6" t="str">
        <x:f>IF(B811="","Needs decision","Ready")</x:f>
        <x:v>Ready</x:v>
      </x:c>
      <x:c r="D811" s="6" t="str">
        <x:v>入</x:v>
      </x:c>
      <x:c r="E811" s="6" t="str">
        <x:v>zjek (D)</x:v>
      </x:c>
      <x:c r="F811" s="6" t="str">
        <x:v>入聲十一陌</x:v>
      </x:c>
      <x:c r="G811" s="6" t="str">
        <x:v>Pingshui main list, Wikisource-derived DOCX</x:v>
      </x:c>
      <x:c r="H811" s="6" t="str">
        <x:v>1</x:v>
      </x:c>
      <x:c r="I811" s="6" t="str"/>
      <x:c r="J811" s="6" t="str">
        <x:f>IF(B811="","",IF(AND(ISNUMBER(SEARCH("平",B811)),OR(ISNUMBER(SEARCH("上",B811)),ISNUMBER(SEARCH("去",B811)),ISNUMBER(SEARCH("入",B811)))),"Ambiguous",IF(ISNUMBER(SEARCH("平",B811)),"平","仄")))</x:f>
        <x:v>仄</x:v>
      </x:c>
      <x:c r="K811" s="6" t="str">
        <x:f>IF(D811="","",IF(AND(ISNUMBER(SEARCH("平",D811)),OR(ISNUMBER(SEARCH("上",D811)),ISNUMBER(SEARCH("去",D811)),ISNUMBER(SEARCH("入",D811)))),"Ambiguous",IF(ISNUMBER(SEARCH("平",D811)),"平","仄")))</x:f>
        <x:v>仄</x:v>
      </x:c>
      <x:c r="L811" s="7" t="str"/>
    </x:row>
    <x:row r="812">
      <x:c r="A812" s="5" t="str">
        <x:v>外</x:v>
      </x:c>
      <x:c r="B812" s="6" t="str">
        <x:v>去</x:v>
      </x:c>
      <x:c r="C812" s="6" t="str">
        <x:f>IF(B812="","Needs decision","Ready")</x:f>
        <x:v>Ready</x:v>
      </x:c>
      <x:c r="D812" s="6" t="str">
        <x:v>去</x:v>
      </x:c>
      <x:c r="E812" s="6" t="str">
        <x:v>ngwajH (C)</x:v>
      </x:c>
      <x:c r="F812" s="6" t="str">
        <x:v>去聲九泰</x:v>
      </x:c>
      <x:c r="G812" s="6" t="str">
        <x:v>Pingshui main list, Wikisource-derived DOCX</x:v>
      </x:c>
      <x:c r="H812" s="6" t="str">
        <x:v>1</x:v>
      </x:c>
      <x:c r="I812" s="6" t="str"/>
      <x:c r="J812" s="6" t="str">
        <x:f>IF(B812="","",IF(AND(ISNUMBER(SEARCH("平",B812)),OR(ISNUMBER(SEARCH("上",B812)),ISNUMBER(SEARCH("去",B812)),ISNUMBER(SEARCH("入",B812)))),"Ambiguous",IF(ISNUMBER(SEARCH("平",B812)),"平","仄")))</x:f>
        <x:v>仄</x:v>
      </x:c>
      <x:c r="K812" s="6" t="str">
        <x:f>IF(D812="","",IF(AND(ISNUMBER(SEARCH("平",D812)),OR(ISNUMBER(SEARCH("上",D812)),ISNUMBER(SEARCH("去",D812)),ISNUMBER(SEARCH("入",D812)))),"Ambiguous",IF(ISNUMBER(SEARCH("平",D812)),"平","仄")))</x:f>
        <x:v>仄</x:v>
      </x:c>
      <x:c r="L812" s="7" t="str"/>
    </x:row>
    <x:row r="813">
      <x:c r="A813" s="5" t="str">
        <x:v>夗</x:v>
      </x:c>
      <x:c r="B813" s="6" t="str">
        <x:v>上</x:v>
      </x:c>
      <x:c r="C813" s="6" t="str">
        <x:f>IF(B813="","Needs decision","Ready")</x:f>
        <x:v>Ready</x:v>
      </x:c>
      <x:c r="D813" s="6" t="str">
        <x:v>上</x:v>
      </x:c>
      <x:c r="E813" s="6" t="str">
        <x:v>'jwonX (B)</x:v>
      </x:c>
      <x:c r="F813" s="6" t="str"/>
      <x:c r="G813" s="6" t="str"/>
      <x:c r="H813" s="6" t="str">
        <x:v>1</x:v>
      </x:c>
      <x:c r="I813" s="6" t="str"/>
      <x:c r="J813" s="6" t="str">
        <x:f>IF(B813="","",IF(AND(ISNUMBER(SEARCH("平",B813)),OR(ISNUMBER(SEARCH("上",B813)),ISNUMBER(SEARCH("去",B813)),ISNUMBER(SEARCH("入",B813)))),"Ambiguous",IF(ISNUMBER(SEARCH("平",B813)),"平","仄")))</x:f>
        <x:v>仄</x:v>
      </x:c>
      <x:c r="K813" s="6" t="str">
        <x:f>IF(D813="","",IF(AND(ISNUMBER(SEARCH("平",D813)),OR(ISNUMBER(SEARCH("上",D813)),ISNUMBER(SEARCH("去",D813)),ISNUMBER(SEARCH("入",D813)))),"Ambiguous",IF(ISNUMBER(SEARCH("平",D813)),"平","仄")))</x:f>
        <x:v>仄</x:v>
      </x:c>
      <x:c r="L813" s="7" t="str"/>
    </x:row>
    <x:row r="814">
      <x:c r="A814" s="5" t="str">
        <x:v>夙</x:v>
      </x:c>
      <x:c r="B814" s="6" t="str">
        <x:v>入</x:v>
      </x:c>
      <x:c r="C814" s="6" t="str">
        <x:f>IF(B814="","Needs decision","Ready")</x:f>
        <x:v>Ready</x:v>
      </x:c>
      <x:c r="D814" s="6" t="str">
        <x:v>入</x:v>
      </x:c>
      <x:c r="E814" s="6" t="str">
        <x:v>sjuwk (D)</x:v>
      </x:c>
      <x:c r="F814" s="6" t="str">
        <x:v>入聲一屋</x:v>
      </x:c>
      <x:c r="G814" s="6" t="str">
        <x:v>Pingshui main list, Wikisource-derived DOCX</x:v>
      </x:c>
      <x:c r="H814" s="6" t="str">
        <x:v>1</x:v>
      </x:c>
      <x:c r="I814" s="6" t="str"/>
      <x:c r="J814" s="6" t="str">
        <x:f>IF(B814="","",IF(AND(ISNUMBER(SEARCH("平",B814)),OR(ISNUMBER(SEARCH("上",B814)),ISNUMBER(SEARCH("去",B814)),ISNUMBER(SEARCH("入",B814)))),"Ambiguous",IF(ISNUMBER(SEARCH("平",B814)),"平","仄")))</x:f>
        <x:v>仄</x:v>
      </x:c>
      <x:c r="K814" s="6" t="str">
        <x:f>IF(D814="","",IF(AND(ISNUMBER(SEARCH("平",D814)),OR(ISNUMBER(SEARCH("上",D814)),ISNUMBER(SEARCH("去",D814)),ISNUMBER(SEARCH("入",D814)))),"Ambiguous",IF(ISNUMBER(SEARCH("平",D814)),"平","仄")))</x:f>
        <x:v>仄</x:v>
      </x:c>
      <x:c r="L814" s="7" t="str"/>
    </x:row>
    <x:row r="815">
      <x:c r="A815" s="5" t="str">
        <x:v>多</x:v>
      </x:c>
      <x:c r="B815" s="6" t="str">
        <x:v>平</x:v>
      </x:c>
      <x:c r="C815" s="6" t="str">
        <x:f>IF(B815="","Needs decision","Ready")</x:f>
        <x:v>Ready</x:v>
      </x:c>
      <x:c r="D815" s="6" t="str">
        <x:v>平</x:v>
      </x:c>
      <x:c r="E815" s="6" t="str">
        <x:v>ta (A)</x:v>
      </x:c>
      <x:c r="F815" s="6" t="str">
        <x:v>下平聲五歌</x:v>
      </x:c>
      <x:c r="G815" s="6" t="str">
        <x:v>Pingshui main list, Wikisource-derived DOCX</x:v>
      </x:c>
      <x:c r="H815" s="6" t="str">
        <x:v>1</x:v>
      </x:c>
      <x:c r="I815" s="6" t="str"/>
      <x:c r="J815" s="6" t="str">
        <x:f>IF(B815="","",IF(AND(ISNUMBER(SEARCH("平",B815)),OR(ISNUMBER(SEARCH("上",B815)),ISNUMBER(SEARCH("去",B815)),ISNUMBER(SEARCH("入",B815)))),"Ambiguous",IF(ISNUMBER(SEARCH("平",B815)),"平","仄")))</x:f>
        <x:v>平</x:v>
      </x:c>
      <x:c r="K815" s="6" t="str">
        <x:f>IF(D815="","",IF(AND(ISNUMBER(SEARCH("平",D815)),OR(ISNUMBER(SEARCH("上",D815)),ISNUMBER(SEARCH("去",D815)),ISNUMBER(SEARCH("入",D815)))),"Ambiguous",IF(ISNUMBER(SEARCH("平",D815)),"平","仄")))</x:f>
        <x:v>平</x:v>
      </x:c>
      <x:c r="L815" s="7" t="str"/>
    </x:row>
    <x:row r="816">
      <x:c r="A816" s="5" t="str">
        <x:v>夜</x:v>
      </x:c>
      <x:c r="B816" s="6" t="str">
        <x:v>去</x:v>
      </x:c>
      <x:c r="C816" s="6" t="str">
        <x:f>IF(B816="","Needs decision","Ready")</x:f>
        <x:v>Ready</x:v>
      </x:c>
      <x:c r="D816" s="6" t="str">
        <x:v>去</x:v>
      </x:c>
      <x:c r="E816" s="6" t="str">
        <x:v>yaeH (C)</x:v>
      </x:c>
      <x:c r="F816" s="6" t="str">
        <x:v>去聲二十二禡</x:v>
      </x:c>
      <x:c r="G816" s="6" t="str">
        <x:v>Pingshui main list, Wikisource-derived DOCX</x:v>
      </x:c>
      <x:c r="H816" s="6" t="str">
        <x:v>1</x:v>
      </x:c>
      <x:c r="I816" s="6" t="str"/>
      <x:c r="J816" s="6" t="str">
        <x:f>IF(B816="","",IF(AND(ISNUMBER(SEARCH("平",B816)),OR(ISNUMBER(SEARCH("上",B816)),ISNUMBER(SEARCH("去",B816)),ISNUMBER(SEARCH("入",B816)))),"Ambiguous",IF(ISNUMBER(SEARCH("平",B816)),"平","仄")))</x:f>
        <x:v>仄</x:v>
      </x:c>
      <x:c r="K816" s="6" t="str">
        <x:f>IF(D816="","",IF(AND(ISNUMBER(SEARCH("平",D816)),OR(ISNUMBER(SEARCH("上",D816)),ISNUMBER(SEARCH("去",D816)),ISNUMBER(SEARCH("入",D816)))),"Ambiguous",IF(ISNUMBER(SEARCH("平",D816)),"平","仄")))</x:f>
        <x:v>仄</x:v>
      </x:c>
      <x:c r="L816" s="7" t="str"/>
    </x:row>
    <x:row r="817">
      <x:c r="A817" s="5" t="str">
        <x:v>夢</x:v>
      </x:c>
      <x:c r="B817" s="6" t="str">
        <x:v>去</x:v>
      </x:c>
      <x:c r="C817" s="6" t="str">
        <x:f>IF(B817="","Needs decision","Ready")</x:f>
        <x:v>Ready</x:v>
      </x:c>
      <x:c r="D817" s="6" t="str">
        <x:v>去</x:v>
      </x:c>
      <x:c r="E817" s="6" t="str">
        <x:v>mjuwngH (C)</x:v>
      </x:c>
      <x:c r="F817" s="6" t="str">
        <x:v>上平聲一東; 去聲一送</x:v>
      </x:c>
      <x:c r="G817" s="6" t="str">
        <x:v>Pingshui main list, Wikisource-derived DOCX</x:v>
      </x:c>
      <x:c r="H817" s="6" t="str">
        <x:v>1</x:v>
      </x:c>
      <x:c r="I817" s="6" t="str"/>
      <x:c r="J817" s="6" t="str">
        <x:f>IF(B817="","",IF(AND(ISNUMBER(SEARCH("平",B817)),OR(ISNUMBER(SEARCH("上",B817)),ISNUMBER(SEARCH("去",B817)),ISNUMBER(SEARCH("入",B817)))),"Ambiguous",IF(ISNUMBER(SEARCH("平",B817)),"平","仄")))</x:f>
        <x:v>仄</x:v>
      </x:c>
      <x:c r="K817" s="6" t="str">
        <x:f>IF(D817="","",IF(AND(ISNUMBER(SEARCH("平",D817)),OR(ISNUMBER(SEARCH("上",D817)),ISNUMBER(SEARCH("去",D817)),ISNUMBER(SEARCH("入",D817)))),"Ambiguous",IF(ISNUMBER(SEARCH("平",D817)),"平","仄")))</x:f>
        <x:v>仄</x:v>
      </x:c>
      <x:c r="L817" s="7" t="str"/>
    </x:row>
    <x:row r="818">
      <x:c r="A818" s="5" t="str">
        <x:v>夤</x:v>
      </x:c>
      <x:c r="B818" s="6" t="str">
        <x:v>平</x:v>
      </x:c>
      <x:c r="C818" s="6" t="str">
        <x:f>IF(B818="","Needs decision","Ready")</x:f>
        <x:v>Ready</x:v>
      </x:c>
      <x:c r="D818" s="6" t="str">
        <x:v>平</x:v>
      </x:c>
      <x:c r="E818" s="6" t="str">
        <x:v>yin (A)</x:v>
      </x:c>
      <x:c r="F818" s="6" t="str">
        <x:v>上平聲十一真</x:v>
      </x:c>
      <x:c r="G818" s="6" t="str">
        <x:v>Pingshui main list, Wikisource-derived DOCX</x:v>
      </x:c>
      <x:c r="H818" s="6" t="str">
        <x:v>1</x:v>
      </x:c>
      <x:c r="I818" s="6" t="str"/>
      <x:c r="J818" s="6" t="str">
        <x:f>IF(B818="","",IF(AND(ISNUMBER(SEARCH("平",B818)),OR(ISNUMBER(SEARCH("上",B818)),ISNUMBER(SEARCH("去",B818)),ISNUMBER(SEARCH("入",B818)))),"Ambiguous",IF(ISNUMBER(SEARCH("平",B818)),"平","仄")))</x:f>
        <x:v>平</x:v>
      </x:c>
      <x:c r="K818" s="6" t="str">
        <x:f>IF(D818="","",IF(AND(ISNUMBER(SEARCH("平",D818)),OR(ISNUMBER(SEARCH("上",D818)),ISNUMBER(SEARCH("去",D818)),ISNUMBER(SEARCH("入",D818)))),"Ambiguous",IF(ISNUMBER(SEARCH("平",D818)),"平","仄")))</x:f>
        <x:v>平</x:v>
      </x:c>
      <x:c r="L818" s="7" t="str"/>
    </x:row>
    <x:row r="819">
      <x:c r="A819" s="5" t="str">
        <x:v>夥</x:v>
      </x:c>
      <x:c r="B819" s="6" t="str">
        <x:v>上</x:v>
      </x:c>
      <x:c r="C819" s="6" t="str">
        <x:f>IF(B819="","Needs decision","Ready")</x:f>
        <x:v>Ready</x:v>
      </x:c>
      <x:c r="D819" s="6" t="str">
        <x:v>上</x:v>
      </x:c>
      <x:c r="E819" s="6" t="str">
        <x:v>hwaX (B)</x:v>
      </x:c>
      <x:c r="F819" s="6" t="str">
        <x:v>上聲九蟹; 上聲二十哿</x:v>
      </x:c>
      <x:c r="G819" s="6" t="str">
        <x:v>Pingshui main list, Wikisource-derived DOCX</x:v>
      </x:c>
      <x:c r="H819" s="6" t="str">
        <x:v>1</x:v>
      </x:c>
      <x:c r="I819" s="6" t="str"/>
      <x:c r="J819" s="6" t="str">
        <x:f>IF(B819="","",IF(AND(ISNUMBER(SEARCH("平",B819)),OR(ISNUMBER(SEARCH("上",B819)),ISNUMBER(SEARCH("去",B819)),ISNUMBER(SEARCH("入",B819)))),"Ambiguous",IF(ISNUMBER(SEARCH("平",B819)),"平","仄")))</x:f>
        <x:v>仄</x:v>
      </x:c>
      <x:c r="K819" s="6" t="str">
        <x:f>IF(D819="","",IF(AND(ISNUMBER(SEARCH("平",D819)),OR(ISNUMBER(SEARCH("上",D819)),ISNUMBER(SEARCH("去",D819)),ISNUMBER(SEARCH("入",D819)))),"Ambiguous",IF(ISNUMBER(SEARCH("平",D819)),"平","仄")))</x:f>
        <x:v>仄</x:v>
      </x:c>
      <x:c r="L819" s="7" t="str"/>
    </x:row>
    <x:row r="820">
      <x:c r="A820" s="5" t="str">
        <x:v>大</x:v>
      </x:c>
      <x:c r="B820" s="6" t="str">
        <x:v>去</x:v>
      </x:c>
      <x:c r="C820" s="6" t="str">
        <x:f>IF(B820="","Needs decision","Ready")</x:f>
        <x:v>Ready</x:v>
      </x:c>
      <x:c r="D820" s="6" t="str">
        <x:v>去</x:v>
      </x:c>
      <x:c r="E820" s="6" t="str">
        <x:v>daH (C); dajH (C)</x:v>
      </x:c>
      <x:c r="F820" s="6" t="str">
        <x:v>去聲九泰; 去聲二十一箇</x:v>
      </x:c>
      <x:c r="G820" s="6" t="str">
        <x:v>Pingshui main list, Wikisource-derived DOCX</x:v>
      </x:c>
      <x:c r="H820" s="6" t="str">
        <x:v>2</x:v>
      </x:c>
      <x:c r="I820" s="6" t="str"/>
      <x:c r="J820" s="6" t="str">
        <x:f>IF(B820="","",IF(AND(ISNUMBER(SEARCH("平",B820)),OR(ISNUMBER(SEARCH("上",B820)),ISNUMBER(SEARCH("去",B820)),ISNUMBER(SEARCH("入",B820)))),"Ambiguous",IF(ISNUMBER(SEARCH("平",B820)),"平","仄")))</x:f>
        <x:v>仄</x:v>
      </x:c>
      <x:c r="K820" s="6" t="str">
        <x:f>IF(D820="","",IF(AND(ISNUMBER(SEARCH("平",D820)),OR(ISNUMBER(SEARCH("上",D820)),ISNUMBER(SEARCH("去",D820)),ISNUMBER(SEARCH("入",D820)))),"Ambiguous",IF(ISNUMBER(SEARCH("平",D820)),"平","仄")))</x:f>
        <x:v>仄</x:v>
      </x:c>
      <x:c r="L820" s="7" t="str"/>
    </x:row>
    <x:row r="821">
      <x:c r="A821" s="5" t="str">
        <x:v>夨</x:v>
      </x:c>
      <x:c r="B821" s="6" t="str">
        <x:v>入</x:v>
      </x:c>
      <x:c r="C821" s="6" t="str">
        <x:f>IF(B821="","Needs decision","Ready")</x:f>
        <x:v>Ready</x:v>
      </x:c>
      <x:c r="D821" s="6" t="str">
        <x:v>入</x:v>
      </x:c>
      <x:c r="E821" s="6" t="str">
        <x:v>tsrik (D)</x:v>
      </x:c>
      <x:c r="F821" s="6" t="str"/>
      <x:c r="G821" s="6" t="str"/>
      <x:c r="H821" s="6" t="str">
        <x:v>1</x:v>
      </x:c>
      <x:c r="I821" s="6" t="str"/>
      <x:c r="J821" s="6" t="str">
        <x:f>IF(B821="","",IF(AND(ISNUMBER(SEARCH("平",B821)),OR(ISNUMBER(SEARCH("上",B821)),ISNUMBER(SEARCH("去",B821)),ISNUMBER(SEARCH("入",B821)))),"Ambiguous",IF(ISNUMBER(SEARCH("平",B821)),"平","仄")))</x:f>
        <x:v>仄</x:v>
      </x:c>
      <x:c r="K821" s="6" t="str">
        <x:f>IF(D821="","",IF(AND(ISNUMBER(SEARCH("平",D821)),OR(ISNUMBER(SEARCH("上",D821)),ISNUMBER(SEARCH("去",D821)),ISNUMBER(SEARCH("入",D821)))),"Ambiguous",IF(ISNUMBER(SEARCH("平",D821)),"平","仄")))</x:f>
        <x:v>仄</x:v>
      </x:c>
      <x:c r="L821" s="7" t="str"/>
    </x:row>
    <x:row r="822">
      <x:c r="A822" s="5" t="str">
        <x:v>天</x:v>
      </x:c>
      <x:c r="B822" s="6" t="str">
        <x:v>平</x:v>
      </x:c>
      <x:c r="C822" s="6" t="str">
        <x:f>IF(B822="","Needs decision","Ready")</x:f>
        <x:v>Ready</x:v>
      </x:c>
      <x:c r="D822" s="6" t="str">
        <x:v>平</x:v>
      </x:c>
      <x:c r="E822" s="6" t="str">
        <x:v>then (A); xen (A)</x:v>
      </x:c>
      <x:c r="F822" s="6" t="str">
        <x:v>下平聲一先</x:v>
      </x:c>
      <x:c r="G822" s="6" t="str">
        <x:v>Pingshui main list, Wikisource-derived DOCX</x:v>
      </x:c>
      <x:c r="H822" s="6" t="str">
        <x:v>2</x:v>
      </x:c>
      <x:c r="I822" s="6" t="str"/>
      <x:c r="J822" s="6" t="str">
        <x:f>IF(B822="","",IF(AND(ISNUMBER(SEARCH("平",B822)),OR(ISNUMBER(SEARCH("上",B822)),ISNUMBER(SEARCH("去",B822)),ISNUMBER(SEARCH("入",B822)))),"Ambiguous",IF(ISNUMBER(SEARCH("平",B822)),"平","仄")))</x:f>
        <x:v>平</x:v>
      </x:c>
      <x:c r="K822" s="6" t="str">
        <x:f>IF(D822="","",IF(AND(ISNUMBER(SEARCH("平",D822)),OR(ISNUMBER(SEARCH("上",D822)),ISNUMBER(SEARCH("去",D822)),ISNUMBER(SEARCH("入",D822)))),"Ambiguous",IF(ISNUMBER(SEARCH("平",D822)),"平","仄")))</x:f>
        <x:v>平</x:v>
      </x:c>
      <x:c r="L822" s="7" t="str"/>
    </x:row>
    <x:row r="823">
      <x:c r="A823" s="5" t="str">
        <x:v>太</x:v>
      </x:c>
      <x:c r="B823" s="6" t="str">
        <x:v>去</x:v>
      </x:c>
      <x:c r="C823" s="6" t="str">
        <x:f>IF(B823="","Needs decision","Ready")</x:f>
        <x:v>Ready</x:v>
      </x:c>
      <x:c r="D823" s="6" t="str">
        <x:v>去</x:v>
      </x:c>
      <x:c r="E823" s="6" t="str">
        <x:v>thajH (C)</x:v>
      </x:c>
      <x:c r="F823" s="6" t="str">
        <x:v>去聲九泰</x:v>
      </x:c>
      <x:c r="G823" s="6" t="str">
        <x:v>Pingshui main list, Wikisource-derived DOCX</x:v>
      </x:c>
      <x:c r="H823" s="6" t="str">
        <x:v>1</x:v>
      </x:c>
      <x:c r="I823" s="6" t="str"/>
      <x:c r="J823" s="6" t="str">
        <x:f>IF(B823="","",IF(AND(ISNUMBER(SEARCH("平",B823)),OR(ISNUMBER(SEARCH("上",B823)),ISNUMBER(SEARCH("去",B823)),ISNUMBER(SEARCH("入",B823)))),"Ambiguous",IF(ISNUMBER(SEARCH("平",B823)),"平","仄")))</x:f>
        <x:v>仄</x:v>
      </x:c>
      <x:c r="K823" s="6" t="str">
        <x:f>IF(D823="","",IF(AND(ISNUMBER(SEARCH("平",D823)),OR(ISNUMBER(SEARCH("上",D823)),ISNUMBER(SEARCH("去",D823)),ISNUMBER(SEARCH("入",D823)))),"Ambiguous",IF(ISNUMBER(SEARCH("平",D823)),"平","仄")))</x:f>
        <x:v>仄</x:v>
      </x:c>
      <x:c r="L823" s="7" t="str"/>
    </x:row>
    <x:row r="824">
      <x:c r="A824" s="5" t="str">
        <x:v>夫</x:v>
      </x:c>
      <x:c r="B824" s="6" t="str">
        <x:v>平</x:v>
      </x:c>
      <x:c r="C824" s="6" t="str">
        <x:f>IF(B824="","Needs decision","Ready")</x:f>
        <x:v>Ready</x:v>
      </x:c>
      <x:c r="D824" s="6" t="str">
        <x:v>平</x:v>
      </x:c>
      <x:c r="E824" s="6" t="str">
        <x:v>pju (A); bju (A)</x:v>
      </x:c>
      <x:c r="F824" s="6" t="str">
        <x:v>上平聲七虞</x:v>
      </x:c>
      <x:c r="G824" s="6" t="str">
        <x:v>Pingshui main list, Wikisource-derived DOCX</x:v>
      </x:c>
      <x:c r="H824" s="6" t="str">
        <x:v>2</x:v>
      </x:c>
      <x:c r="I824" s="6" t="str"/>
      <x:c r="J824" s="6" t="str">
        <x:f>IF(B824="","",IF(AND(ISNUMBER(SEARCH("平",B824)),OR(ISNUMBER(SEARCH("上",B824)),ISNUMBER(SEARCH("去",B824)),ISNUMBER(SEARCH("入",B824)))),"Ambiguous",IF(ISNUMBER(SEARCH("平",B824)),"平","仄")))</x:f>
        <x:v>平</x:v>
      </x:c>
      <x:c r="K824" s="6" t="str">
        <x:f>IF(D824="","",IF(AND(ISNUMBER(SEARCH("平",D824)),OR(ISNUMBER(SEARCH("上",D824)),ISNUMBER(SEARCH("去",D824)),ISNUMBER(SEARCH("入",D824)))),"Ambiguous",IF(ISNUMBER(SEARCH("平",D824)),"平","仄")))</x:f>
        <x:v>平</x:v>
      </x:c>
      <x:c r="L824" s="7" t="str"/>
    </x:row>
    <x:row r="825">
      <x:c r="A825" s="5" t="str">
        <x:v>夬</x:v>
      </x:c>
      <x:c r="B825" s="6" t="str">
        <x:v>去</x:v>
      </x:c>
      <x:c r="C825" s="6" t="str">
        <x:f>IF(B825="","Needs decision","Ready")</x:f>
        <x:v>Ready</x:v>
      </x:c>
      <x:c r="D825" s="6" t="str">
        <x:v>去</x:v>
      </x:c>
      <x:c r="E825" s="6" t="str">
        <x:v>kwaejH (C)</x:v>
      </x:c>
      <x:c r="F825" s="6" t="str">
        <x:v>去聲十卦</x:v>
      </x:c>
      <x:c r="G825" s="6" t="str">
        <x:v>Pingshui main list, Wikisource-derived DOCX</x:v>
      </x:c>
      <x:c r="H825" s="6" t="str">
        <x:v>1</x:v>
      </x:c>
      <x:c r="I825" s="6" t="str"/>
      <x:c r="J825" s="6" t="str">
        <x:f>IF(B825="","",IF(AND(ISNUMBER(SEARCH("平",B825)),OR(ISNUMBER(SEARCH("上",B825)),ISNUMBER(SEARCH("去",B825)),ISNUMBER(SEARCH("入",B825)))),"Ambiguous",IF(ISNUMBER(SEARCH("平",B825)),"平","仄")))</x:f>
        <x:v>仄</x:v>
      </x:c>
      <x:c r="K825" s="6" t="str">
        <x:f>IF(D825="","",IF(AND(ISNUMBER(SEARCH("平",D825)),OR(ISNUMBER(SEARCH("上",D825)),ISNUMBER(SEARCH("去",D825)),ISNUMBER(SEARCH("入",D825)))),"Ambiguous",IF(ISNUMBER(SEARCH("平",D825)),"平","仄")))</x:f>
        <x:v>仄</x:v>
      </x:c>
      <x:c r="L825" s="7" t="str"/>
    </x:row>
    <x:row r="826">
      <x:c r="A826" s="5" t="str">
        <x:v>夭</x:v>
      </x:c>
      <x:c r="B826" s="6" t="str">
        <x:v>平</x:v>
      </x:c>
      <x:c r="C826" s="6" t="str">
        <x:f>IF(B826="","Needs decision","Ready")</x:f>
        <x:v>Ready</x:v>
      </x:c>
      <x:c r="D826" s="6" t="str">
        <x:v>平</x:v>
      </x:c>
      <x:c r="E826" s="6" t="str">
        <x:v>'jew (A)</x:v>
      </x:c>
      <x:c r="F826" s="6" t="str">
        <x:v>下平聲二蕭; 上聲十七篠; 上聲十九皓</x:v>
      </x:c>
      <x:c r="G826" s="6" t="str">
        <x:v>Pingshui main list, Wikisource-derived DOCX</x:v>
      </x:c>
      <x:c r="H826" s="6" t="str">
        <x:v>1</x:v>
      </x:c>
      <x:c r="I826" s="6" t="str"/>
      <x:c r="J826" s="6" t="str">
        <x:f>IF(B826="","",IF(AND(ISNUMBER(SEARCH("平",B826)),OR(ISNUMBER(SEARCH("上",B826)),ISNUMBER(SEARCH("去",B826)),ISNUMBER(SEARCH("入",B826)))),"Ambiguous",IF(ISNUMBER(SEARCH("平",B826)),"平","仄")))</x:f>
        <x:v>平</x:v>
      </x:c>
      <x:c r="K826" s="6" t="str">
        <x:f>IF(D826="","",IF(AND(ISNUMBER(SEARCH("平",D826)),OR(ISNUMBER(SEARCH("上",D826)),ISNUMBER(SEARCH("去",D826)),ISNUMBER(SEARCH("入",D826)))),"Ambiguous",IF(ISNUMBER(SEARCH("平",D826)),"平","仄")))</x:f>
        <x:v>平</x:v>
      </x:c>
      <x:c r="L826" s="7" t="str"/>
    </x:row>
    <x:row r="827">
      <x:c r="A827" s="5" t="str">
        <x:v>央</x:v>
      </x:c>
      <x:c r="B827" s="6" t="str">
        <x:v>平</x:v>
      </x:c>
      <x:c r="C827" s="6" t="str">
        <x:f>IF(B827="","Needs decision","Ready")</x:f>
        <x:v>Ready</x:v>
      </x:c>
      <x:c r="D827" s="6" t="str">
        <x:v>平</x:v>
      </x:c>
      <x:c r="E827" s="6" t="str">
        <x:v>'jang (A)</x:v>
      </x:c>
      <x:c r="F827" s="6" t="str">
        <x:v>下平聲七陽</x:v>
      </x:c>
      <x:c r="G827" s="6" t="str">
        <x:v>Pingshui main list, Wikisource-derived DOCX</x:v>
      </x:c>
      <x:c r="H827" s="6" t="str">
        <x:v>1</x:v>
      </x:c>
      <x:c r="I827" s="6" t="str"/>
      <x:c r="J827" s="6" t="str">
        <x:f>IF(B827="","",IF(AND(ISNUMBER(SEARCH("平",B827)),OR(ISNUMBER(SEARCH("上",B827)),ISNUMBER(SEARCH("去",B827)),ISNUMBER(SEARCH("入",B827)))),"Ambiguous",IF(ISNUMBER(SEARCH("平",B827)),"平","仄")))</x:f>
        <x:v>平</x:v>
      </x:c>
      <x:c r="K827" s="6" t="str">
        <x:f>IF(D827="","",IF(AND(ISNUMBER(SEARCH("平",D827)),OR(ISNUMBER(SEARCH("上",D827)),ISNUMBER(SEARCH("去",D827)),ISNUMBER(SEARCH("入",D827)))),"Ambiguous",IF(ISNUMBER(SEARCH("平",D827)),"平","仄")))</x:f>
        <x:v>平</x:v>
      </x:c>
      <x:c r="L827" s="7" t="str"/>
    </x:row>
    <x:row r="828">
      <x:c r="A828" s="5" t="str">
        <x:v>失</x:v>
      </x:c>
      <x:c r="B828" s="6" t="str">
        <x:v>入</x:v>
      </x:c>
      <x:c r="C828" s="6" t="str">
        <x:f>IF(B828="","Needs decision","Ready")</x:f>
        <x:v>Ready</x:v>
      </x:c>
      <x:c r="D828" s="6" t="str">
        <x:v>入</x:v>
      </x:c>
      <x:c r="E828" s="6" t="str">
        <x:v>syit (D)</x:v>
      </x:c>
      <x:c r="F828" s="6" t="str">
        <x:v>入聲四質</x:v>
      </x:c>
      <x:c r="G828" s="6" t="str">
        <x:v>Pingshui main list, Wikisource-derived DOCX</x:v>
      </x:c>
      <x:c r="H828" s="6" t="str">
        <x:v>1</x:v>
      </x:c>
      <x:c r="I828" s="6" t="str"/>
      <x:c r="J828" s="6" t="str">
        <x:f>IF(B828="","",IF(AND(ISNUMBER(SEARCH("平",B828)),OR(ISNUMBER(SEARCH("上",B828)),ISNUMBER(SEARCH("去",B828)),ISNUMBER(SEARCH("入",B828)))),"Ambiguous",IF(ISNUMBER(SEARCH("平",B828)),"平","仄")))</x:f>
        <x:v>仄</x:v>
      </x:c>
      <x:c r="K828" s="6" t="str">
        <x:f>IF(D828="","",IF(AND(ISNUMBER(SEARCH("平",D828)),OR(ISNUMBER(SEARCH("上",D828)),ISNUMBER(SEARCH("去",D828)),ISNUMBER(SEARCH("入",D828)))),"Ambiguous",IF(ISNUMBER(SEARCH("平",D828)),"平","仄")))</x:f>
        <x:v>仄</x:v>
      </x:c>
      <x:c r="L828" s="7" t="str"/>
    </x:row>
    <x:row r="829">
      <x:c r="A829" s="5" t="str">
        <x:v>夷</x:v>
      </x:c>
      <x:c r="B829" s="6" t="str">
        <x:v>平</x:v>
      </x:c>
      <x:c r="C829" s="6" t="str">
        <x:f>IF(B829="","Needs decision","Ready")</x:f>
        <x:v>Ready</x:v>
      </x:c>
      <x:c r="D829" s="6" t="str">
        <x:v>平</x:v>
      </x:c>
      <x:c r="E829" s="6" t="str">
        <x:v>yij (A)</x:v>
      </x:c>
      <x:c r="F829" s="6" t="str">
        <x:v>上平聲四支</x:v>
      </x:c>
      <x:c r="G829" s="6" t="str">
        <x:v>Pingshui main list, Wikisource-derived DOCX</x:v>
      </x:c>
      <x:c r="H829" s="6" t="str">
        <x:v>1</x:v>
      </x:c>
      <x:c r="I829" s="6" t="str"/>
      <x:c r="J829" s="6" t="str">
        <x:f>IF(B829="","",IF(AND(ISNUMBER(SEARCH("平",B829)),OR(ISNUMBER(SEARCH("上",B829)),ISNUMBER(SEARCH("去",B829)),ISNUMBER(SEARCH("入",B829)))),"Ambiguous",IF(ISNUMBER(SEARCH("平",B829)),"平","仄")))</x:f>
        <x:v>平</x:v>
      </x:c>
      <x:c r="K829" s="6" t="str">
        <x:f>IF(D829="","",IF(AND(ISNUMBER(SEARCH("平",D829)),OR(ISNUMBER(SEARCH("上",D829)),ISNUMBER(SEARCH("去",D829)),ISNUMBER(SEARCH("入",D829)))),"Ambiguous",IF(ISNUMBER(SEARCH("平",D829)),"平","仄")))</x:f>
        <x:v>平</x:v>
      </x:c>
      <x:c r="L829" s="7" t="str"/>
    </x:row>
    <x:row r="830">
      <x:c r="A830" s="5" t="str">
        <x:v>夸</x:v>
      </x:c>
      <x:c r="B830" s="6" t="str">
        <x:v>平</x:v>
      </x:c>
      <x:c r="C830" s="6" t="str">
        <x:f>IF(B830="","Needs decision","Ready")</x:f>
        <x:v>Ready</x:v>
      </x:c>
      <x:c r="D830" s="6" t="str">
        <x:v>平</x:v>
      </x:c>
      <x:c r="E830" s="6" t="str">
        <x:v>khwae (A)</x:v>
      </x:c>
      <x:c r="F830" s="6" t="str">
        <x:v>下平聲六麻</x:v>
      </x:c>
      <x:c r="G830" s="6" t="str">
        <x:v>Pingshui main list, Wikisource-derived DOCX</x:v>
      </x:c>
      <x:c r="H830" s="6" t="str">
        <x:v>1</x:v>
      </x:c>
      <x:c r="I830" s="6" t="str"/>
      <x:c r="J830" s="6" t="str">
        <x:f>IF(B830="","",IF(AND(ISNUMBER(SEARCH("平",B830)),OR(ISNUMBER(SEARCH("上",B830)),ISNUMBER(SEARCH("去",B830)),ISNUMBER(SEARCH("入",B830)))),"Ambiguous",IF(ISNUMBER(SEARCH("平",B830)),"平","仄")))</x:f>
        <x:v>平</x:v>
      </x:c>
      <x:c r="K830" s="6" t="str">
        <x:f>IF(D830="","",IF(AND(ISNUMBER(SEARCH("平",D830)),OR(ISNUMBER(SEARCH("上",D830)),ISNUMBER(SEARCH("去",D830)),ISNUMBER(SEARCH("入",D830)))),"Ambiguous",IF(ISNUMBER(SEARCH("平",D830)),"平","仄")))</x:f>
        <x:v>平</x:v>
      </x:c>
      <x:c r="L830" s="7" t="str"/>
    </x:row>
    <x:row r="831">
      <x:c r="A831" s="5" t="str">
        <x:v>夾</x:v>
      </x:c>
      <x:c r="B831" s="6" t="str">
        <x:v>入</x:v>
      </x:c>
      <x:c r="C831" s="6" t="str">
        <x:f>IF(B831="","Needs decision","Ready")</x:f>
        <x:v>Ready</x:v>
      </x:c>
      <x:c r="D831" s="6" t="str">
        <x:v>入</x:v>
      </x:c>
      <x:c r="E831" s="6" t="str">
        <x:v>keap (D)</x:v>
      </x:c>
      <x:c r="F831" s="6" t="str">
        <x:v>入聲十七洽</x:v>
      </x:c>
      <x:c r="G831" s="6" t="str">
        <x:v>Pingshui main list, Wikisource-derived DOCX</x:v>
      </x:c>
      <x:c r="H831" s="6" t="str">
        <x:v>1</x:v>
      </x:c>
      <x:c r="I831" s="6" t="str"/>
      <x:c r="J831" s="6" t="str">
        <x:f>IF(B831="","",IF(AND(ISNUMBER(SEARCH("平",B831)),OR(ISNUMBER(SEARCH("上",B831)),ISNUMBER(SEARCH("去",B831)),ISNUMBER(SEARCH("入",B831)))),"Ambiguous",IF(ISNUMBER(SEARCH("平",B831)),"平","仄")))</x:f>
        <x:v>仄</x:v>
      </x:c>
      <x:c r="K831" s="6" t="str">
        <x:f>IF(D831="","",IF(AND(ISNUMBER(SEARCH("平",D831)),OR(ISNUMBER(SEARCH("上",D831)),ISNUMBER(SEARCH("去",D831)),ISNUMBER(SEARCH("入",D831)))),"Ambiguous",IF(ISNUMBER(SEARCH("平",D831)),"平","仄")))</x:f>
        <x:v>仄</x:v>
      </x:c>
      <x:c r="L831" s="7" t="str"/>
    </x:row>
    <x:row r="832">
      <x:c r="A832" s="5" t="str">
        <x:v>奄</x:v>
      </x:c>
      <x:c r="B832" s="6" t="str">
        <x:v>上</x:v>
      </x:c>
      <x:c r="C832" s="6" t="str">
        <x:f>IF(B832="","Needs decision","Ready")</x:f>
        <x:v>Ready</x:v>
      </x:c>
      <x:c r="D832" s="6" t="str">
        <x:v>上</x:v>
      </x:c>
      <x:c r="E832" s="6" t="str">
        <x:v>'jemX (B)</x:v>
      </x:c>
      <x:c r="F832" s="6" t="str">
        <x:v>上聲二十八琰</x:v>
      </x:c>
      <x:c r="G832" s="6" t="str">
        <x:v>Pingshui main list, Wikisource-derived DOCX</x:v>
      </x:c>
      <x:c r="H832" s="6" t="str">
        <x:v>1</x:v>
      </x:c>
      <x:c r="I832" s="6" t="str"/>
      <x:c r="J832" s="6" t="str">
        <x:f>IF(B832="","",IF(AND(ISNUMBER(SEARCH("平",B832)),OR(ISNUMBER(SEARCH("上",B832)),ISNUMBER(SEARCH("去",B832)),ISNUMBER(SEARCH("入",B832)))),"Ambiguous",IF(ISNUMBER(SEARCH("平",B832)),"平","仄")))</x:f>
        <x:v>仄</x:v>
      </x:c>
      <x:c r="K832" s="6" t="str">
        <x:f>IF(D832="","",IF(AND(ISNUMBER(SEARCH("平",D832)),OR(ISNUMBER(SEARCH("上",D832)),ISNUMBER(SEARCH("去",D832)),ISNUMBER(SEARCH("入",D832)))),"Ambiguous",IF(ISNUMBER(SEARCH("平",D832)),"平","仄")))</x:f>
        <x:v>仄</x:v>
      </x:c>
      <x:c r="L832" s="7" t="str"/>
    </x:row>
    <x:row r="833">
      <x:c r="A833" s="5" t="str">
        <x:v>奇</x:v>
      </x:c>
      <x:c r="B833" s="6" t="str">
        <x:v>平</x:v>
      </x:c>
      <x:c r="C833" s="6" t="str">
        <x:f>IF(B833="","Needs decision","Ready")</x:f>
        <x:v>Ready</x:v>
      </x:c>
      <x:c r="D833" s="6" t="str">
        <x:v>平</x:v>
      </x:c>
      <x:c r="E833" s="6" t="str">
        <x:v>kje (A); gje (A)</x:v>
      </x:c>
      <x:c r="F833" s="6" t="str">
        <x:v>上平聲四支</x:v>
      </x:c>
      <x:c r="G833" s="6" t="str">
        <x:v>Pingshui main list, Wikisource-derived DOCX</x:v>
      </x:c>
      <x:c r="H833" s="6" t="str">
        <x:v>2</x:v>
      </x:c>
      <x:c r="I833" s="6" t="str"/>
      <x:c r="J833" s="6" t="str">
        <x:f>IF(B833="","",IF(AND(ISNUMBER(SEARCH("平",B833)),OR(ISNUMBER(SEARCH("上",B833)),ISNUMBER(SEARCH("去",B833)),ISNUMBER(SEARCH("入",B833)))),"Ambiguous",IF(ISNUMBER(SEARCH("平",B833)),"平","仄")))</x:f>
        <x:v>平</x:v>
      </x:c>
      <x:c r="K833" s="6" t="str">
        <x:f>IF(D833="","",IF(AND(ISNUMBER(SEARCH("平",D833)),OR(ISNUMBER(SEARCH("上",D833)),ISNUMBER(SEARCH("去",D833)),ISNUMBER(SEARCH("入",D833)))),"Ambiguous",IF(ISNUMBER(SEARCH("平",D833)),"平","仄")))</x:f>
        <x:v>平</x:v>
      </x:c>
      <x:c r="L833" s="7" t="str"/>
    </x:row>
    <x:row r="834">
      <x:c r="A834" s="5" t="str">
        <x:v>奈</x:v>
      </x:c>
      <x:c r="B834" s="6" t="str">
        <x:v>去</x:v>
      </x:c>
      <x:c r="C834" s="6" t="str">
        <x:f>IF(B834="","Needs decision","Ready")</x:f>
        <x:v>Ready</x:v>
      </x:c>
      <x:c r="D834" s="6" t="str">
        <x:v>去</x:v>
      </x:c>
      <x:c r="E834" s="6" t="str">
        <x:v>najH (C)</x:v>
      </x:c>
      <x:c r="F834" s="6" t="str">
        <x:v>去聲九泰; 去聲二十一箇</x:v>
      </x:c>
      <x:c r="G834" s="6" t="str">
        <x:v>Pingshui main list, Wikisource-derived DOCX</x:v>
      </x:c>
      <x:c r="H834" s="6" t="str">
        <x:v>1</x:v>
      </x:c>
      <x:c r="I834" s="6" t="str"/>
      <x:c r="J834" s="6" t="str">
        <x:f>IF(B834="","",IF(AND(ISNUMBER(SEARCH("平",B834)),OR(ISNUMBER(SEARCH("上",B834)),ISNUMBER(SEARCH("去",B834)),ISNUMBER(SEARCH("入",B834)))),"Ambiguous",IF(ISNUMBER(SEARCH("平",B834)),"平","仄")))</x:f>
        <x:v>仄</x:v>
      </x:c>
      <x:c r="K834" s="6" t="str">
        <x:f>IF(D834="","",IF(AND(ISNUMBER(SEARCH("平",D834)),OR(ISNUMBER(SEARCH("上",D834)),ISNUMBER(SEARCH("去",D834)),ISNUMBER(SEARCH("入",D834)))),"Ambiguous",IF(ISNUMBER(SEARCH("平",D834)),"平","仄")))</x:f>
        <x:v>仄</x:v>
      </x:c>
      <x:c r="L834" s="7" t="str"/>
    </x:row>
    <x:row r="835">
      <x:c r="A835" s="5" t="str">
        <x:v>奉</x:v>
      </x:c>
      <x:c r="B835" s="6" t="str">
        <x:v>上</x:v>
      </x:c>
      <x:c r="C835" s="6" t="str">
        <x:f>IF(B835="","Needs decision","Ready")</x:f>
        <x:v>Ready</x:v>
      </x:c>
      <x:c r="D835" s="6" t="str">
        <x:v>上</x:v>
      </x:c>
      <x:c r="E835" s="6" t="str">
        <x:v>bjowngX (B); phjowngX (B)</x:v>
      </x:c>
      <x:c r="F835" s="6" t="str">
        <x:v>上聲二腫</x:v>
      </x:c>
      <x:c r="G835" s="6" t="str">
        <x:v>Pingshui main list, Wikisource-derived DOCX</x:v>
      </x:c>
      <x:c r="H835" s="6" t="str">
        <x:v>2</x:v>
      </x:c>
      <x:c r="I835" s="6" t="str"/>
      <x:c r="J835" s="6" t="str">
        <x:f>IF(B835="","",IF(AND(ISNUMBER(SEARCH("平",B835)),OR(ISNUMBER(SEARCH("上",B835)),ISNUMBER(SEARCH("去",B835)),ISNUMBER(SEARCH("入",B835)))),"Ambiguous",IF(ISNUMBER(SEARCH("平",B835)),"平","仄")))</x:f>
        <x:v>仄</x:v>
      </x:c>
      <x:c r="K835" s="6" t="str">
        <x:f>IF(D835="","",IF(AND(ISNUMBER(SEARCH("平",D835)),OR(ISNUMBER(SEARCH("上",D835)),ISNUMBER(SEARCH("去",D835)),ISNUMBER(SEARCH("入",D835)))),"Ambiguous",IF(ISNUMBER(SEARCH("平",D835)),"平","仄")))</x:f>
        <x:v>仄</x:v>
      </x:c>
      <x:c r="L835" s="7" t="str"/>
    </x:row>
    <x:row r="836">
      <x:c r="A836" s="5" t="str">
        <x:v>奏</x:v>
      </x:c>
      <x:c r="B836" s="6" t="str">
        <x:v>去</x:v>
      </x:c>
      <x:c r="C836" s="6" t="str">
        <x:f>IF(B836="","Needs decision","Ready")</x:f>
        <x:v>Ready</x:v>
      </x:c>
      <x:c r="D836" s="6" t="str">
        <x:v>去</x:v>
      </x:c>
      <x:c r="E836" s="6" t="str">
        <x:v>tsuwH (C)</x:v>
      </x:c>
      <x:c r="F836" s="6" t="str">
        <x:v>去聲二十六宥</x:v>
      </x:c>
      <x:c r="G836" s="6" t="str">
        <x:v>Pingshui main list, Wikisource-derived DOCX</x:v>
      </x:c>
      <x:c r="H836" s="6" t="str">
        <x:v>1</x:v>
      </x:c>
      <x:c r="I836" s="6" t="str"/>
      <x:c r="J836" s="6" t="str">
        <x:f>IF(B836="","",IF(AND(ISNUMBER(SEARCH("平",B836)),OR(ISNUMBER(SEARCH("上",B836)),ISNUMBER(SEARCH("去",B836)),ISNUMBER(SEARCH("入",B836)))),"Ambiguous",IF(ISNUMBER(SEARCH("平",B836)),"平","仄")))</x:f>
        <x:v>仄</x:v>
      </x:c>
      <x:c r="K836" s="6" t="str">
        <x:f>IF(D836="","",IF(AND(ISNUMBER(SEARCH("平",D836)),OR(ISNUMBER(SEARCH("上",D836)),ISNUMBER(SEARCH("去",D836)),ISNUMBER(SEARCH("入",D836)))),"Ambiguous",IF(ISNUMBER(SEARCH("平",D836)),"平","仄")))</x:f>
        <x:v>仄</x:v>
      </x:c>
      <x:c r="L836" s="7" t="str"/>
    </x:row>
    <x:row r="837">
      <x:c r="A837" s="5" t="str">
        <x:v>契</x:v>
      </x:c>
      <x:c r="B837" s="6" t="str"/>
      <x:c r="C837" s="6" t="str">
        <x:f>IF(B837="","Needs decision","Ready")</x:f>
        <x:v>Needs decision</x:v>
      </x:c>
      <x:c r="D837" s="6" t="str">
        <x:v>去/入</x:v>
      </x:c>
      <x:c r="E837" s="6" t="str">
        <x:v>khejH (C); khet (D)</x:v>
      </x:c>
      <x:c r="F837" s="6" t="str">
        <x:v>去聲八霽; 入聲九屑</x:v>
      </x:c>
      <x:c r="G837" s="6" t="str">
        <x:v>Pingshui main list, Wikisource-derived DOCX</x:v>
      </x:c>
      <x:c r="H837" s="6" t="str">
        <x:v>2</x:v>
      </x:c>
      <x:c r="I837" s="6" t="str"/>
      <x:c r="J837" s="6" t="str">
        <x:f>IF(B837="","",IF(AND(ISNUMBER(SEARCH("平",B837)),OR(ISNUMBER(SEARCH("上",B837)),ISNUMBER(SEARCH("去",B837)),ISNUMBER(SEARCH("入",B837)))),"Ambiguous",IF(ISNUMBER(SEARCH("平",B837)),"平","仄")))</x:f>
      </x:c>
      <x:c r="K837" s="6" t="str">
        <x:f>IF(D837="","",IF(AND(ISNUMBER(SEARCH("平",D837)),OR(ISNUMBER(SEARCH("上",D837)),ISNUMBER(SEARCH("去",D837)),ISNUMBER(SEARCH("入",D837)))),"Ambiguous",IF(ISNUMBER(SEARCH("平",D837)),"平","仄")))</x:f>
        <x:v>仄</x:v>
      </x:c>
      <x:c r="L837" s="7" t="str"/>
    </x:row>
    <x:row r="838">
      <x:c r="A838" s="5" t="str">
        <x:v>奔</x:v>
      </x:c>
      <x:c r="B838" s="6" t="str">
        <x:v>平</x:v>
      </x:c>
      <x:c r="C838" s="6" t="str">
        <x:f>IF(B838="","Needs decision","Ready")</x:f>
        <x:v>Ready</x:v>
      </x:c>
      <x:c r="D838" s="6" t="str">
        <x:v>平</x:v>
      </x:c>
      <x:c r="E838" s="6" t="str">
        <x:v>pwon (A)</x:v>
      </x:c>
      <x:c r="F838" s="6" t="str">
        <x:v>上平聲十三元</x:v>
      </x:c>
      <x:c r="G838" s="6" t="str">
        <x:v>Pingshui main list, Wikisource-derived DOCX</x:v>
      </x:c>
      <x:c r="H838" s="6" t="str">
        <x:v>1</x:v>
      </x:c>
      <x:c r="I838" s="6" t="str"/>
      <x:c r="J838" s="6" t="str">
        <x:f>IF(B838="","",IF(AND(ISNUMBER(SEARCH("平",B838)),OR(ISNUMBER(SEARCH("上",B838)),ISNUMBER(SEARCH("去",B838)),ISNUMBER(SEARCH("入",B838)))),"Ambiguous",IF(ISNUMBER(SEARCH("平",B838)),"平","仄")))</x:f>
        <x:v>平</x:v>
      </x:c>
      <x:c r="K838" s="6" t="str">
        <x:f>IF(D838="","",IF(AND(ISNUMBER(SEARCH("平",D838)),OR(ISNUMBER(SEARCH("上",D838)),ISNUMBER(SEARCH("去",D838)),ISNUMBER(SEARCH("入",D838)))),"Ambiguous",IF(ISNUMBER(SEARCH("平",D838)),"平","仄")))</x:f>
        <x:v>平</x:v>
      </x:c>
      <x:c r="L838" s="7" t="str"/>
    </x:row>
    <x:row r="839">
      <x:c r="A839" s="5" t="str">
        <x:v>奕</x:v>
      </x:c>
      <x:c r="B839" s="6" t="str">
        <x:v>入</x:v>
      </x:c>
      <x:c r="C839" s="6" t="str">
        <x:f>IF(B839="","Needs decision","Ready")</x:f>
        <x:v>Ready</x:v>
      </x:c>
      <x:c r="D839" s="6" t="str">
        <x:v>入</x:v>
      </x:c>
      <x:c r="E839" s="6" t="str">
        <x:v>yek (D)</x:v>
      </x:c>
      <x:c r="F839" s="6" t="str">
        <x:v>入聲十一陌</x:v>
      </x:c>
      <x:c r="G839" s="6" t="str">
        <x:v>Pingshui main list, Wikisource-derived DOCX</x:v>
      </x:c>
      <x:c r="H839" s="6" t="str">
        <x:v>1</x:v>
      </x:c>
      <x:c r="I839" s="6" t="str"/>
      <x:c r="J839" s="6" t="str">
        <x:f>IF(B839="","",IF(AND(ISNUMBER(SEARCH("平",B839)),OR(ISNUMBER(SEARCH("上",B839)),ISNUMBER(SEARCH("去",B839)),ISNUMBER(SEARCH("入",B839)))),"Ambiguous",IF(ISNUMBER(SEARCH("平",B839)),"平","仄")))</x:f>
        <x:v>仄</x:v>
      </x:c>
      <x:c r="K839" s="6" t="str">
        <x:f>IF(D839="","",IF(AND(ISNUMBER(SEARCH("平",D839)),OR(ISNUMBER(SEARCH("上",D839)),ISNUMBER(SEARCH("去",D839)),ISNUMBER(SEARCH("入",D839)))),"Ambiguous",IF(ISNUMBER(SEARCH("平",D839)),"平","仄")))</x:f>
        <x:v>仄</x:v>
      </x:c>
      <x:c r="L839" s="7" t="str"/>
    </x:row>
    <x:row r="840">
      <x:c r="A840" s="5" t="str">
        <x:v>奚</x:v>
      </x:c>
      <x:c r="B840" s="6" t="str">
        <x:v>平</x:v>
      </x:c>
      <x:c r="C840" s="6" t="str">
        <x:f>IF(B840="","Needs decision","Ready")</x:f>
        <x:v>Ready</x:v>
      </x:c>
      <x:c r="D840" s="6" t="str">
        <x:v>平</x:v>
      </x:c>
      <x:c r="E840" s="6" t="str">
        <x:v>hej (A)</x:v>
      </x:c>
      <x:c r="F840" s="6" t="str">
        <x:v>上平聲八齊</x:v>
      </x:c>
      <x:c r="G840" s="6" t="str">
        <x:v>Pingshui main list, Wikisource-derived DOCX</x:v>
      </x:c>
      <x:c r="H840" s="6" t="str">
        <x:v>1</x:v>
      </x:c>
      <x:c r="I840" s="6" t="str"/>
      <x:c r="J840" s="6" t="str">
        <x:f>IF(B840="","",IF(AND(ISNUMBER(SEARCH("平",B840)),OR(ISNUMBER(SEARCH("上",B840)),ISNUMBER(SEARCH("去",B840)),ISNUMBER(SEARCH("入",B840)))),"Ambiguous",IF(ISNUMBER(SEARCH("平",B840)),"平","仄")))</x:f>
        <x:v>平</x:v>
      </x:c>
      <x:c r="K840" s="6" t="str">
        <x:f>IF(D840="","",IF(AND(ISNUMBER(SEARCH("平",D840)),OR(ISNUMBER(SEARCH("上",D840)),ISNUMBER(SEARCH("去",D840)),ISNUMBER(SEARCH("入",D840)))),"Ambiguous",IF(ISNUMBER(SEARCH("平",D840)),"平","仄")))</x:f>
        <x:v>平</x:v>
      </x:c>
      <x:c r="L840" s="7" t="str"/>
    </x:row>
    <x:row r="841">
      <x:c r="A841" s="5" t="str">
        <x:v>奠</x:v>
      </x:c>
      <x:c r="B841" s="6" t="str">
        <x:v>去</x:v>
      </x:c>
      <x:c r="C841" s="6" t="str">
        <x:f>IF(B841="","Needs decision","Ready")</x:f>
        <x:v>Ready</x:v>
      </x:c>
      <x:c r="D841" s="6" t="str">
        <x:v>去</x:v>
      </x:c>
      <x:c r="E841" s="6" t="str">
        <x:v>denH (C)</x:v>
      </x:c>
      <x:c r="F841" s="6" t="str">
        <x:v>去聲十七霰</x:v>
      </x:c>
      <x:c r="G841" s="6" t="str">
        <x:v>Pingshui main list, Wikisource-derived DOCX</x:v>
      </x:c>
      <x:c r="H841" s="6" t="str">
        <x:v>1</x:v>
      </x:c>
      <x:c r="I841" s="6" t="str"/>
      <x:c r="J841" s="6" t="str">
        <x:f>IF(B841="","",IF(AND(ISNUMBER(SEARCH("平",B841)),OR(ISNUMBER(SEARCH("上",B841)),ISNUMBER(SEARCH("去",B841)),ISNUMBER(SEARCH("入",B841)))),"Ambiguous",IF(ISNUMBER(SEARCH("平",B841)),"平","仄")))</x:f>
        <x:v>仄</x:v>
      </x:c>
      <x:c r="K841" s="6" t="str">
        <x:f>IF(D841="","",IF(AND(ISNUMBER(SEARCH("平",D841)),OR(ISNUMBER(SEARCH("上",D841)),ISNUMBER(SEARCH("去",D841)),ISNUMBER(SEARCH("入",D841)))),"Ambiguous",IF(ISNUMBER(SEARCH("平",D841)),"平","仄")))</x:f>
        <x:v>仄</x:v>
      </x:c>
      <x:c r="L841" s="7" t="str"/>
    </x:row>
    <x:row r="842">
      <x:c r="A842" s="5" t="str">
        <x:v>奢</x:v>
      </x:c>
      <x:c r="B842" s="6" t="str">
        <x:v>平</x:v>
      </x:c>
      <x:c r="C842" s="6" t="str">
        <x:f>IF(B842="","Needs decision","Ready")</x:f>
        <x:v>Ready</x:v>
      </x:c>
      <x:c r="D842" s="6" t="str">
        <x:v>平</x:v>
      </x:c>
      <x:c r="E842" s="6" t="str">
        <x:v>syae (A)</x:v>
      </x:c>
      <x:c r="F842" s="6" t="str">
        <x:v>下平聲六麻</x:v>
      </x:c>
      <x:c r="G842" s="6" t="str">
        <x:v>Pingshui main list, Wikisource-derived DOCX</x:v>
      </x:c>
      <x:c r="H842" s="6" t="str">
        <x:v>1</x:v>
      </x:c>
      <x:c r="I842" s="6" t="str"/>
      <x:c r="J842" s="6" t="str">
        <x:f>IF(B842="","",IF(AND(ISNUMBER(SEARCH("平",B842)),OR(ISNUMBER(SEARCH("上",B842)),ISNUMBER(SEARCH("去",B842)),ISNUMBER(SEARCH("入",B842)))),"Ambiguous",IF(ISNUMBER(SEARCH("平",B842)),"平","仄")))</x:f>
        <x:v>平</x:v>
      </x:c>
      <x:c r="K842" s="6" t="str">
        <x:f>IF(D842="","",IF(AND(ISNUMBER(SEARCH("平",D842)),OR(ISNUMBER(SEARCH("上",D842)),ISNUMBER(SEARCH("去",D842)),ISNUMBER(SEARCH("入",D842)))),"Ambiguous",IF(ISNUMBER(SEARCH("平",D842)),"平","仄")))</x:f>
        <x:v>平</x:v>
      </x:c>
      <x:c r="L842" s="7" t="str"/>
    </x:row>
    <x:row r="843">
      <x:c r="A843" s="5" t="str">
        <x:v>奧</x:v>
      </x:c>
      <x:c r="B843" s="6" t="str"/>
      <x:c r="C843" s="6" t="str">
        <x:f>IF(B843="","Needs decision","Ready")</x:f>
        <x:v>Needs decision</x:v>
      </x:c>
      <x:c r="D843" s="6" t="str">
        <x:v>去/入</x:v>
      </x:c>
      <x:c r="E843" s="6" t="str">
        <x:v>'awH (C); 'juwk (D)</x:v>
      </x:c>
      <x:c r="F843" s="6" t="str">
        <x:v>去聲二十號</x:v>
      </x:c>
      <x:c r="G843" s="6" t="str">
        <x:v>Pingshui main list, Wikisource-derived DOCX</x:v>
      </x:c>
      <x:c r="H843" s="6" t="str">
        <x:v>2</x:v>
      </x:c>
      <x:c r="I843" s="6" t="str"/>
      <x:c r="J843" s="6" t="str">
        <x:f>IF(B843="","",IF(AND(ISNUMBER(SEARCH("平",B843)),OR(ISNUMBER(SEARCH("上",B843)),ISNUMBER(SEARCH("去",B843)),ISNUMBER(SEARCH("入",B843)))),"Ambiguous",IF(ISNUMBER(SEARCH("平",B843)),"平","仄")))</x:f>
      </x:c>
      <x:c r="K843" s="6" t="str">
        <x:f>IF(D843="","",IF(AND(ISNUMBER(SEARCH("平",D843)),OR(ISNUMBER(SEARCH("上",D843)),ISNUMBER(SEARCH("去",D843)),ISNUMBER(SEARCH("入",D843)))),"Ambiguous",IF(ISNUMBER(SEARCH("平",D843)),"平","仄")))</x:f>
        <x:v>仄</x:v>
      </x:c>
      <x:c r="L843" s="7" t="str"/>
    </x:row>
    <x:row r="844">
      <x:c r="A844" s="5" t="str">
        <x:v>奪</x:v>
      </x:c>
      <x:c r="B844" s="6" t="str">
        <x:v>入</x:v>
      </x:c>
      <x:c r="C844" s="6" t="str">
        <x:f>IF(B844="","Needs decision","Ready")</x:f>
        <x:v>Ready</x:v>
      </x:c>
      <x:c r="D844" s="6" t="str">
        <x:v>入</x:v>
      </x:c>
      <x:c r="E844" s="6" t="str">
        <x:v>dwat (D)</x:v>
      </x:c>
      <x:c r="F844" s="6" t="str">
        <x:v>入聲七曷</x:v>
      </x:c>
      <x:c r="G844" s="6" t="str">
        <x:v>Pingshui main list, Wikisource-derived DOCX</x:v>
      </x:c>
      <x:c r="H844" s="6" t="str">
        <x:v>1</x:v>
      </x:c>
      <x:c r="I844" s="6" t="str"/>
      <x:c r="J844" s="6" t="str">
        <x:f>IF(B844="","",IF(AND(ISNUMBER(SEARCH("平",B844)),OR(ISNUMBER(SEARCH("上",B844)),ISNUMBER(SEARCH("去",B844)),ISNUMBER(SEARCH("入",B844)))),"Ambiguous",IF(ISNUMBER(SEARCH("平",B844)),"平","仄")))</x:f>
        <x:v>仄</x:v>
      </x:c>
      <x:c r="K844" s="6" t="str">
        <x:f>IF(D844="","",IF(AND(ISNUMBER(SEARCH("平",D844)),OR(ISNUMBER(SEARCH("上",D844)),ISNUMBER(SEARCH("去",D844)),ISNUMBER(SEARCH("入",D844)))),"Ambiguous",IF(ISNUMBER(SEARCH("平",D844)),"平","仄")))</x:f>
        <x:v>仄</x:v>
      </x:c>
      <x:c r="L844" s="7" t="str"/>
    </x:row>
    <x:row r="845">
      <x:c r="A845" s="5" t="str">
        <x:v>奬</x:v>
      </x:c>
      <x:c r="B845" s="6" t="str">
        <x:v>上</x:v>
      </x:c>
      <x:c r="C845" s="6" t="str">
        <x:f>IF(B845="","Needs decision","Ready")</x:f>
        <x:v>Ready</x:v>
      </x:c>
      <x:c r="D845" s="6" t="str">
        <x:v>上</x:v>
      </x:c>
      <x:c r="E845" s="6" t="str">
        <x:v>tsjangX (B)</x:v>
      </x:c>
      <x:c r="F845" s="6" t="str"/>
      <x:c r="G845" s="6" t="str"/>
      <x:c r="H845" s="6" t="str">
        <x:v>1</x:v>
      </x:c>
      <x:c r="I845" s="6" t="str"/>
      <x:c r="J845" s="6" t="str">
        <x:f>IF(B845="","",IF(AND(ISNUMBER(SEARCH("平",B845)),OR(ISNUMBER(SEARCH("上",B845)),ISNUMBER(SEARCH("去",B845)),ISNUMBER(SEARCH("入",B845)))),"Ambiguous",IF(ISNUMBER(SEARCH("平",B845)),"平","仄")))</x:f>
        <x:v>仄</x:v>
      </x:c>
      <x:c r="K845" s="6" t="str">
        <x:f>IF(D845="","",IF(AND(ISNUMBER(SEARCH("平",D845)),OR(ISNUMBER(SEARCH("上",D845)),ISNUMBER(SEARCH("去",D845)),ISNUMBER(SEARCH("入",D845)))),"Ambiguous",IF(ISNUMBER(SEARCH("平",D845)),"平","仄")))</x:f>
        <x:v>仄</x:v>
      </x:c>
      <x:c r="L845" s="7" t="str"/>
    </x:row>
    <x:row r="846">
      <x:c r="A846" s="5" t="str">
        <x:v>奭</x:v>
      </x:c>
      <x:c r="B846" s="6" t="str">
        <x:v>入</x:v>
      </x:c>
      <x:c r="C846" s="6" t="str">
        <x:f>IF(B846="","Needs decision","Ready")</x:f>
        <x:v>Ready</x:v>
      </x:c>
      <x:c r="D846" s="6" t="str">
        <x:v>入</x:v>
      </x:c>
      <x:c r="E846" s="6" t="str">
        <x:v>syek (D); xik (D)</x:v>
      </x:c>
      <x:c r="F846" s="6" t="str">
        <x:v>入聲十一陌</x:v>
      </x:c>
      <x:c r="G846" s="6" t="str">
        <x:v>Pingshui main list, Wikisource-derived DOCX</x:v>
      </x:c>
      <x:c r="H846" s="6" t="str">
        <x:v>2</x:v>
      </x:c>
      <x:c r="I846" s="6" t="str"/>
      <x:c r="J846" s="6" t="str">
        <x:f>IF(B846="","",IF(AND(ISNUMBER(SEARCH("平",B846)),OR(ISNUMBER(SEARCH("上",B846)),ISNUMBER(SEARCH("去",B846)),ISNUMBER(SEARCH("入",B846)))),"Ambiguous",IF(ISNUMBER(SEARCH("平",B846)),"平","仄")))</x:f>
        <x:v>仄</x:v>
      </x:c>
      <x:c r="K846" s="6" t="str">
        <x:f>IF(D846="","",IF(AND(ISNUMBER(SEARCH("平",D846)),OR(ISNUMBER(SEARCH("上",D846)),ISNUMBER(SEARCH("去",D846)),ISNUMBER(SEARCH("入",D846)))),"Ambiguous",IF(ISNUMBER(SEARCH("平",D846)),"平","仄")))</x:f>
        <x:v>仄</x:v>
      </x:c>
      <x:c r="L846" s="7" t="str"/>
    </x:row>
    <x:row r="847">
      <x:c r="A847" s="5" t="str">
        <x:v>奮</x:v>
      </x:c>
      <x:c r="B847" s="6" t="str">
        <x:v>去</x:v>
      </x:c>
      <x:c r="C847" s="6" t="str">
        <x:f>IF(B847="","Needs decision","Ready")</x:f>
        <x:v>Ready</x:v>
      </x:c>
      <x:c r="D847" s="6" t="str">
        <x:v>去</x:v>
      </x:c>
      <x:c r="E847" s="6" t="str">
        <x:v>pjunH (C)</x:v>
      </x:c>
      <x:c r="F847" s="6" t="str">
        <x:v>去聲十三問</x:v>
      </x:c>
      <x:c r="G847" s="6" t="str">
        <x:v>Pingshui main list, Wikisource-derived DOCX</x:v>
      </x:c>
      <x:c r="H847" s="6" t="str">
        <x:v>1</x:v>
      </x:c>
      <x:c r="I847" s="6" t="str"/>
      <x:c r="J847" s="6" t="str">
        <x:f>IF(B847="","",IF(AND(ISNUMBER(SEARCH("平",B847)),OR(ISNUMBER(SEARCH("上",B847)),ISNUMBER(SEARCH("去",B847)),ISNUMBER(SEARCH("入",B847)))),"Ambiguous",IF(ISNUMBER(SEARCH("平",B847)),"平","仄")))</x:f>
        <x:v>仄</x:v>
      </x:c>
      <x:c r="K847" s="6" t="str">
        <x:f>IF(D847="","",IF(AND(ISNUMBER(SEARCH("平",D847)),OR(ISNUMBER(SEARCH("上",D847)),ISNUMBER(SEARCH("去",D847)),ISNUMBER(SEARCH("入",D847)))),"Ambiguous",IF(ISNUMBER(SEARCH("平",D847)),"平","仄")))</x:f>
        <x:v>仄</x:v>
      </x:c>
      <x:c r="L847" s="7" t="str"/>
    </x:row>
    <x:row r="848">
      <x:c r="A848" s="5" t="str">
        <x:v>女</x:v>
      </x:c>
      <x:c r="B848" s="6" t="str">
        <x:v>上</x:v>
      </x:c>
      <x:c r="C848" s="6" t="str">
        <x:f>IF(B848="","Needs decision","Ready")</x:f>
        <x:v>Ready</x:v>
      </x:c>
      <x:c r="D848" s="6" t="str">
        <x:v>上/去</x:v>
      </x:c>
      <x:c r="E848" s="6" t="str">
        <x:v>nrjoX (B); nrjoH (C)</x:v>
      </x:c>
      <x:c r="F848" s="6" t="str">
        <x:v>上聲六語; 去聲六御</x:v>
      </x:c>
      <x:c r="G848" s="6" t="str">
        <x:v>Pingshui main list, Wikisource-derived DOCX</x:v>
      </x:c>
      <x:c r="H848" s="6" t="str">
        <x:v>2</x:v>
      </x:c>
      <x:c r="I848" s="6" t="str"/>
      <x:c r="J848" s="6" t="str">
        <x:f>IF(B848="","",IF(AND(ISNUMBER(SEARCH("平",B848)),OR(ISNUMBER(SEARCH("上",B848)),ISNUMBER(SEARCH("去",B848)),ISNUMBER(SEARCH("入",B848)))),"Ambiguous",IF(ISNUMBER(SEARCH("平",B848)),"平","仄")))</x:f>
        <x:v>仄</x:v>
      </x:c>
      <x:c r="K848" s="6" t="str">
        <x:f>IF(D848="","",IF(AND(ISNUMBER(SEARCH("平",D848)),OR(ISNUMBER(SEARCH("上",D848)),ISNUMBER(SEARCH("去",D848)),ISNUMBER(SEARCH("入",D848)))),"Ambiguous",IF(ISNUMBER(SEARCH("平",D848)),"平","仄")))</x:f>
        <x:v>仄</x:v>
      </x:c>
      <x:c r="L848" s="7" t="str"/>
    </x:row>
    <x:row r="849">
      <x:c r="A849" s="5" t="str">
        <x:v>奴</x:v>
      </x:c>
      <x:c r="B849" s="6" t="str">
        <x:v>平</x:v>
      </x:c>
      <x:c r="C849" s="6" t="str">
        <x:f>IF(B849="","Needs decision","Ready")</x:f>
        <x:v>Ready</x:v>
      </x:c>
      <x:c r="D849" s="6" t="str">
        <x:v>平</x:v>
      </x:c>
      <x:c r="E849" s="6" t="str">
        <x:v>nu (A)</x:v>
      </x:c>
      <x:c r="F849" s="6" t="str">
        <x:v>上平聲七虞</x:v>
      </x:c>
      <x:c r="G849" s="6" t="str">
        <x:v>Pingshui main list, Wikisource-derived DOCX</x:v>
      </x:c>
      <x:c r="H849" s="6" t="str">
        <x:v>1</x:v>
      </x:c>
      <x:c r="I849" s="6" t="str"/>
      <x:c r="J849" s="6" t="str">
        <x:f>IF(B849="","",IF(AND(ISNUMBER(SEARCH("平",B849)),OR(ISNUMBER(SEARCH("上",B849)),ISNUMBER(SEARCH("去",B849)),ISNUMBER(SEARCH("入",B849)))),"Ambiguous",IF(ISNUMBER(SEARCH("平",B849)),"平","仄")))</x:f>
        <x:v>平</x:v>
      </x:c>
      <x:c r="K849" s="6" t="str">
        <x:f>IF(D849="","",IF(AND(ISNUMBER(SEARCH("平",D849)),OR(ISNUMBER(SEARCH("上",D849)),ISNUMBER(SEARCH("去",D849)),ISNUMBER(SEARCH("入",D849)))),"Ambiguous",IF(ISNUMBER(SEARCH("平",D849)),"平","仄")))</x:f>
        <x:v>平</x:v>
      </x:c>
      <x:c r="L849" s="7" t="str"/>
    </x:row>
    <x:row r="850">
      <x:c r="A850" s="5" t="str">
        <x:v>奸</x:v>
      </x:c>
      <x:c r="B850" s="6" t="str">
        <x:v>平</x:v>
      </x:c>
      <x:c r="C850" s="6" t="str">
        <x:f>IF(B850="","Needs decision","Ready")</x:f>
        <x:v>Ready</x:v>
      </x:c>
      <x:c r="D850" s="6" t="str">
        <x:v>平</x:v>
      </x:c>
      <x:c r="E850" s="6" t="str">
        <x:v>kan (A)</x:v>
      </x:c>
      <x:c r="F850" s="6" t="str">
        <x:v>上平聲十四寒</x:v>
      </x:c>
      <x:c r="G850" s="6" t="str">
        <x:v>Pingshui main list, Wikisource-derived DOCX</x:v>
      </x:c>
      <x:c r="H850" s="6" t="str">
        <x:v>1</x:v>
      </x:c>
      <x:c r="I850" s="6" t="str"/>
      <x:c r="J850" s="6" t="str">
        <x:f>IF(B850="","",IF(AND(ISNUMBER(SEARCH("平",B850)),OR(ISNUMBER(SEARCH("上",B850)),ISNUMBER(SEARCH("去",B850)),ISNUMBER(SEARCH("入",B850)))),"Ambiguous",IF(ISNUMBER(SEARCH("平",B850)),"平","仄")))</x:f>
        <x:v>平</x:v>
      </x:c>
      <x:c r="K850" s="6" t="str">
        <x:f>IF(D850="","",IF(AND(ISNUMBER(SEARCH("平",D850)),OR(ISNUMBER(SEARCH("上",D850)),ISNUMBER(SEARCH("去",D850)),ISNUMBER(SEARCH("入",D850)))),"Ambiguous",IF(ISNUMBER(SEARCH("平",D850)),"平","仄")))</x:f>
        <x:v>平</x:v>
      </x:c>
      <x:c r="L850" s="7" t="str"/>
    </x:row>
    <x:row r="851">
      <x:c r="A851" s="5" t="str">
        <x:v>好</x:v>
      </x:c>
      <x:c r="B851" s="6" t="str"/>
      <x:c r="C851" s="6" t="str">
        <x:f>IF(B851="","Needs decision","Ready")</x:f>
        <x:v>Needs decision</x:v>
      </x:c>
      <x:c r="D851" s="6" t="str">
        <x:v>上/去</x:v>
      </x:c>
      <x:c r="E851" s="6" t="str">
        <x:v>xawX (B); xawH (C)</x:v>
      </x:c>
      <x:c r="F851" s="6" t="str">
        <x:v>上聲十九皓; 去聲二十號</x:v>
      </x:c>
      <x:c r="G851" s="6" t="str">
        <x:v>Pingshui main list, Wikisource-derived DOCX</x:v>
      </x:c>
      <x:c r="H851" s="6" t="str">
        <x:v>2</x:v>
      </x:c>
      <x:c r="I851" s="6" t="str"/>
      <x:c r="J851" s="6" t="str">
        <x:f>IF(B851="","",IF(AND(ISNUMBER(SEARCH("平",B851)),OR(ISNUMBER(SEARCH("上",B851)),ISNUMBER(SEARCH("去",B851)),ISNUMBER(SEARCH("入",B851)))),"Ambiguous",IF(ISNUMBER(SEARCH("平",B851)),"平","仄")))</x:f>
      </x:c>
      <x:c r="K851" s="6" t="str">
        <x:f>IF(D851="","",IF(AND(ISNUMBER(SEARCH("平",D851)),OR(ISNUMBER(SEARCH("上",D851)),ISNUMBER(SEARCH("去",D851)),ISNUMBER(SEARCH("入",D851)))),"Ambiguous",IF(ISNUMBER(SEARCH("平",D851)),"平","仄")))</x:f>
        <x:v>仄</x:v>
      </x:c>
      <x:c r="L851" s="7" t="str"/>
    </x:row>
    <x:row r="852">
      <x:c r="A852" s="5" t="str">
        <x:v>如</x:v>
      </x:c>
      <x:c r="B852" s="6" t="str">
        <x:v>平</x:v>
      </x:c>
      <x:c r="C852" s="6" t="str">
        <x:f>IF(B852="","Needs decision","Ready")</x:f>
        <x:v>Ready</x:v>
      </x:c>
      <x:c r="D852" s="6" t="str">
        <x:v>平</x:v>
      </x:c>
      <x:c r="E852" s="6" t="str">
        <x:v>nyo (A)</x:v>
      </x:c>
      <x:c r="F852" s="6" t="str">
        <x:v>上平聲六魚; 去聲六御</x:v>
      </x:c>
      <x:c r="G852" s="6" t="str">
        <x:v>Pingshui main list, Wikisource-derived DOCX</x:v>
      </x:c>
      <x:c r="H852" s="6" t="str">
        <x:v>1</x:v>
      </x:c>
      <x:c r="I852" s="6" t="str"/>
      <x:c r="J852" s="6" t="str">
        <x:f>IF(B852="","",IF(AND(ISNUMBER(SEARCH("平",B852)),OR(ISNUMBER(SEARCH("上",B852)),ISNUMBER(SEARCH("去",B852)),ISNUMBER(SEARCH("入",B852)))),"Ambiguous",IF(ISNUMBER(SEARCH("平",B852)),"平","仄")))</x:f>
        <x:v>平</x:v>
      </x:c>
      <x:c r="K852" s="6" t="str">
        <x:f>IF(D852="","",IF(AND(ISNUMBER(SEARCH("平",D852)),OR(ISNUMBER(SEARCH("上",D852)),ISNUMBER(SEARCH("去",D852)),ISNUMBER(SEARCH("入",D852)))),"Ambiguous",IF(ISNUMBER(SEARCH("平",D852)),"平","仄")))</x:f>
        <x:v>平</x:v>
      </x:c>
      <x:c r="L852" s="7" t="str"/>
    </x:row>
    <x:row r="853">
      <x:c r="A853" s="5" t="str">
        <x:v>妃</x:v>
      </x:c>
      <x:c r="B853" s="6" t="str">
        <x:v>平</x:v>
      </x:c>
      <x:c r="C853" s="6" t="str">
        <x:f>IF(B853="","Needs decision","Ready")</x:f>
        <x:v>Ready</x:v>
      </x:c>
      <x:c r="D853" s="6" t="str">
        <x:v>平</x:v>
      </x:c>
      <x:c r="E853" s="6" t="str">
        <x:v>phj+j (A)</x:v>
      </x:c>
      <x:c r="F853" s="6" t="str">
        <x:v>上平聲五微</x:v>
      </x:c>
      <x:c r="G853" s="6" t="str">
        <x:v>Pingshui main list, Wikisource-derived DOCX</x:v>
      </x:c>
      <x:c r="H853" s="6" t="str">
        <x:v>1</x:v>
      </x:c>
      <x:c r="I853" s="6" t="str"/>
      <x:c r="J853" s="6" t="str">
        <x:f>IF(B853="","",IF(AND(ISNUMBER(SEARCH("平",B853)),OR(ISNUMBER(SEARCH("上",B853)),ISNUMBER(SEARCH("去",B853)),ISNUMBER(SEARCH("入",B853)))),"Ambiguous",IF(ISNUMBER(SEARCH("平",B853)),"平","仄")))</x:f>
        <x:v>平</x:v>
      </x:c>
      <x:c r="K853" s="6" t="str">
        <x:f>IF(D853="","",IF(AND(ISNUMBER(SEARCH("平",D853)),OR(ISNUMBER(SEARCH("上",D853)),ISNUMBER(SEARCH("去",D853)),ISNUMBER(SEARCH("入",D853)))),"Ambiguous",IF(ISNUMBER(SEARCH("平",D853)),"平","仄")))</x:f>
        <x:v>平</x:v>
      </x:c>
      <x:c r="L853" s="7" t="str"/>
    </x:row>
    <x:row r="854">
      <x:c r="A854" s="5" t="str">
        <x:v>妄</x:v>
      </x:c>
      <x:c r="B854" s="6" t="str">
        <x:v>去</x:v>
      </x:c>
      <x:c r="C854" s="6" t="str">
        <x:f>IF(B854="","Needs decision","Ready")</x:f>
        <x:v>Ready</x:v>
      </x:c>
      <x:c r="D854" s="6" t="str">
        <x:v>去</x:v>
      </x:c>
      <x:c r="E854" s="6" t="str">
        <x:v>mjangH (C)</x:v>
      </x:c>
      <x:c r="F854" s="6" t="str">
        <x:v>去聲二十三漾</x:v>
      </x:c>
      <x:c r="G854" s="6" t="str">
        <x:v>Pingshui main list, Wikisource-derived DOCX</x:v>
      </x:c>
      <x:c r="H854" s="6" t="str">
        <x:v>1</x:v>
      </x:c>
      <x:c r="I854" s="6" t="str"/>
      <x:c r="J854" s="6" t="str">
        <x:f>IF(B854="","",IF(AND(ISNUMBER(SEARCH("平",B854)),OR(ISNUMBER(SEARCH("上",B854)),ISNUMBER(SEARCH("去",B854)),ISNUMBER(SEARCH("入",B854)))),"Ambiguous",IF(ISNUMBER(SEARCH("平",B854)),"平","仄")))</x:f>
        <x:v>仄</x:v>
      </x:c>
      <x:c r="K854" s="6" t="str">
        <x:f>IF(D854="","",IF(AND(ISNUMBER(SEARCH("平",D854)),OR(ISNUMBER(SEARCH("上",D854)),ISNUMBER(SEARCH("去",D854)),ISNUMBER(SEARCH("入",D854)))),"Ambiguous",IF(ISNUMBER(SEARCH("平",D854)),"平","仄")))</x:f>
        <x:v>仄</x:v>
      </x:c>
      <x:c r="L854" s="7" t="str"/>
    </x:row>
    <x:row r="855">
      <x:c r="A855" s="5" t="str">
        <x:v>妍</x:v>
      </x:c>
      <x:c r="B855" s="6" t="str">
        <x:v>平</x:v>
      </x:c>
      <x:c r="C855" s="6" t="str">
        <x:f>IF(B855="","Needs decision","Ready")</x:f>
        <x:v>Ready</x:v>
      </x:c>
      <x:c r="D855" s="6" t="str">
        <x:v>平</x:v>
      </x:c>
      <x:c r="E855" s="6" t="str">
        <x:v>ngen (A)</x:v>
      </x:c>
      <x:c r="F855" s="6" t="str">
        <x:v>下平聲一先</x:v>
      </x:c>
      <x:c r="G855" s="6" t="str">
        <x:v>Pingshui main list, Wikisource-derived DOCX</x:v>
      </x:c>
      <x:c r="H855" s="6" t="str">
        <x:v>1</x:v>
      </x:c>
      <x:c r="I855" s="6" t="str"/>
      <x:c r="J855" s="6" t="str">
        <x:f>IF(B855="","",IF(AND(ISNUMBER(SEARCH("平",B855)),OR(ISNUMBER(SEARCH("上",B855)),ISNUMBER(SEARCH("去",B855)),ISNUMBER(SEARCH("入",B855)))),"Ambiguous",IF(ISNUMBER(SEARCH("平",B855)),"平","仄")))</x:f>
        <x:v>平</x:v>
      </x:c>
      <x:c r="K855" s="6" t="str">
        <x:f>IF(D855="","",IF(AND(ISNUMBER(SEARCH("平",D855)),OR(ISNUMBER(SEARCH("上",D855)),ISNUMBER(SEARCH("去",D855)),ISNUMBER(SEARCH("入",D855)))),"Ambiguous",IF(ISNUMBER(SEARCH("平",D855)),"平","仄")))</x:f>
        <x:v>平</x:v>
      </x:c>
      <x:c r="L855" s="7" t="str"/>
    </x:row>
    <x:row r="856">
      <x:c r="A856" s="5" t="str">
        <x:v>妐</x:v>
      </x:c>
      <x:c r="B856" s="6" t="str">
        <x:v>平</x:v>
      </x:c>
      <x:c r="C856" s="6" t="str">
        <x:f>IF(B856="","Needs decision","Ready")</x:f>
        <x:v>Ready</x:v>
      </x:c>
      <x:c r="D856" s="6" t="str">
        <x:v>平</x:v>
      </x:c>
      <x:c r="E856" s="6" t="str">
        <x:v>tsyowng (A)</x:v>
      </x:c>
      <x:c r="F856" s="6" t="str"/>
      <x:c r="G856" s="6" t="str"/>
      <x:c r="H856" s="6" t="str">
        <x:v>1</x:v>
      </x:c>
      <x:c r="I856" s="6" t="str"/>
      <x:c r="J856" s="6" t="str">
        <x:f>IF(B856="","",IF(AND(ISNUMBER(SEARCH("平",B856)),OR(ISNUMBER(SEARCH("上",B856)),ISNUMBER(SEARCH("去",B856)),ISNUMBER(SEARCH("入",B856)))),"Ambiguous",IF(ISNUMBER(SEARCH("平",B856)),"平","仄")))</x:f>
        <x:v>平</x:v>
      </x:c>
      <x:c r="K856" s="6" t="str">
        <x:f>IF(D856="","",IF(AND(ISNUMBER(SEARCH("平",D856)),OR(ISNUMBER(SEARCH("上",D856)),ISNUMBER(SEARCH("去",D856)),ISNUMBER(SEARCH("入",D856)))),"Ambiguous",IF(ISNUMBER(SEARCH("平",D856)),"平","仄")))</x:f>
        <x:v>平</x:v>
      </x:c>
      <x:c r="L856" s="7" t="str"/>
    </x:row>
    <x:row r="857">
      <x:c r="A857" s="5" t="str">
        <x:v>妒</x:v>
      </x:c>
      <x:c r="B857" s="6" t="str">
        <x:v>去</x:v>
      </x:c>
      <x:c r="C857" s="6" t="str">
        <x:f>IF(B857="","Needs decision","Ready")</x:f>
        <x:v>Ready</x:v>
      </x:c>
      <x:c r="D857" s="6" t="str">
        <x:v>去</x:v>
      </x:c>
      <x:c r="E857" s="6" t="str">
        <x:v>tuH (C)</x:v>
      </x:c>
      <x:c r="F857" s="6" t="str">
        <x:v>去聲七遇</x:v>
      </x:c>
      <x:c r="G857" s="6" t="str">
        <x:v>Pingshui main list, Wikisource-derived DOCX</x:v>
      </x:c>
      <x:c r="H857" s="6" t="str">
        <x:v>1</x:v>
      </x:c>
      <x:c r="I857" s="6" t="str"/>
      <x:c r="J857" s="6" t="str">
        <x:f>IF(B857="","",IF(AND(ISNUMBER(SEARCH("平",B857)),OR(ISNUMBER(SEARCH("上",B857)),ISNUMBER(SEARCH("去",B857)),ISNUMBER(SEARCH("入",B857)))),"Ambiguous",IF(ISNUMBER(SEARCH("平",B857)),"平","仄")))</x:f>
        <x:v>仄</x:v>
      </x:c>
      <x:c r="K857" s="6" t="str">
        <x:f>IF(D857="","",IF(AND(ISNUMBER(SEARCH("平",D857)),OR(ISNUMBER(SEARCH("上",D857)),ISNUMBER(SEARCH("去",D857)),ISNUMBER(SEARCH("入",D857)))),"Ambiguous",IF(ISNUMBER(SEARCH("平",D857)),"平","仄")))</x:f>
        <x:v>仄</x:v>
      </x:c>
      <x:c r="L857" s="7" t="str"/>
    </x:row>
    <x:row r="858">
      <x:c r="A858" s="5" t="str">
        <x:v>妓</x:v>
      </x:c>
      <x:c r="B858" s="6" t="str"/>
      <x:c r="C858" s="6" t="str">
        <x:f>IF(B858="","Needs decision","Ready")</x:f>
        <x:v>Needs decision</x:v>
      </x:c>
      <x:c r="D858" s="6" t="str">
        <x:v>平/上</x:v>
      </x:c>
      <x:c r="E858" s="6" t="str">
        <x:v>gjeX [ɡɨ̯ieʔ] (上); kje [kɨ̯ie] (平)</x:v>
      </x:c>
      <x:c r="F858" s="6" t="str">
        <x:v>上聲四紙</x:v>
      </x:c>
      <x:c r="G858" s="6" t="str">
        <x:v>Pingshui main list, Wikisource-derived DOCX</x:v>
      </x:c>
      <x:c r="H858" s="6" t="str">
        <x:v>2</x:v>
      </x:c>
      <x:c r="I858" s="6" t="str">
        <x:v>Tang 300 gap; frequency 1; ambiguous in Xun Gong</x:v>
      </x:c>
      <x:c r="J858" s="6" t="str">
        <x:f>IF(B858="","",IF(AND(ISNUMBER(SEARCH("平",B858)),OR(ISNUMBER(SEARCH("上",B858)),ISNUMBER(SEARCH("去",B858)),ISNUMBER(SEARCH("入",B858)))),"Ambiguous",IF(ISNUMBER(SEARCH("平",B858)),"平","仄")))</x:f>
      </x:c>
      <x:c r="K858" s="6" t="str">
        <x:f>IF(D858="","",IF(AND(ISNUMBER(SEARCH("平",D858)),OR(ISNUMBER(SEARCH("上",D858)),ISNUMBER(SEARCH("去",D858)),ISNUMBER(SEARCH("入",D858)))),"Ambiguous",IF(ISNUMBER(SEARCH("平",D858)),"平","仄")))</x:f>
        <x:v>Ambiguous</x:v>
      </x:c>
      <x:c r="L858" s="7" t="str">
        <x:v>Xun Gong, Tang 300 gap fill</x:v>
      </x:c>
    </x:row>
    <x:row r="859">
      <x:c r="A859" s="5" t="str">
        <x:v>妖</x:v>
      </x:c>
      <x:c r="B859" s="6" t="str">
        <x:v>平</x:v>
      </x:c>
      <x:c r="C859" s="6" t="str">
        <x:f>IF(B859="","Needs decision","Ready")</x:f>
        <x:v>Ready</x:v>
      </x:c>
      <x:c r="D859" s="6" t="str">
        <x:v>平</x:v>
      </x:c>
      <x:c r="E859" s="6" t="str">
        <x:v>'jew [影開三B宵平] ʔɨ̯ew</x:v>
      </x:c>
      <x:c r="F859" s="6" t="str">
        <x:v>下平聲二蕭</x:v>
      </x:c>
      <x:c r="G859" s="6" t="str">
        <x:v>Pingshui main list, Wikisource-derived DOCX</x:v>
      </x:c>
      <x:c r="H859" s="6" t="str">
        <x:v>1</x:v>
      </x:c>
      <x:c r="I859" s="6" t="str">
        <x:v>Targeted preliminary fill from Xun Gong; review if uncertain</x:v>
      </x:c>
      <x:c r="J859" s="6" t="str">
        <x:f>IF(B859="","",IF(AND(ISNUMBER(SEARCH("平",B859)),OR(ISNUMBER(SEARCH("上",B859)),ISNUMBER(SEARCH("去",B859)),ISNUMBER(SEARCH("入",B859)))),"Ambiguous",IF(ISNUMBER(SEARCH("平",B859)),"平","仄")))</x:f>
        <x:v>平</x:v>
      </x:c>
      <x:c r="K859" s="6" t="str">
        <x:f>IF(D859="","",IF(AND(ISNUMBER(SEARCH("平",D859)),OR(ISNUMBER(SEARCH("上",D859)),ISNUMBER(SEARCH("去",D859)),ISNUMBER(SEARCH("入",D859)))),"Ambiguous",IF(ISNUMBER(SEARCH("平",D859)),"平","仄")))</x:f>
        <x:v>平</x:v>
      </x:c>
      <x:c r="L859" s="7" t="str">
        <x:v>Xun Gong character-readings.csv</x:v>
      </x:c>
    </x:row>
    <x:row r="860">
      <x:c r="A860" s="5" t="str">
        <x:v>妙</x:v>
      </x:c>
      <x:c r="B860" s="6" t="str">
        <x:v>去</x:v>
      </x:c>
      <x:c r="C860" s="6" t="str">
        <x:f>IF(B860="","Needs decision","Ready")</x:f>
        <x:v>Ready</x:v>
      </x:c>
      <x:c r="D860" s="6" t="str">
        <x:v>去</x:v>
      </x:c>
      <x:c r="E860" s="6" t="str">
        <x:v>mjiewH (C)</x:v>
      </x:c>
      <x:c r="F860" s="6" t="str">
        <x:v>去聲十八嘯</x:v>
      </x:c>
      <x:c r="G860" s="6" t="str">
        <x:v>Pingshui main list, Wikisource-derived DOCX</x:v>
      </x:c>
      <x:c r="H860" s="6" t="str">
        <x:v>1</x:v>
      </x:c>
      <x:c r="I860" s="6" t="str"/>
      <x:c r="J860" s="6" t="str">
        <x:f>IF(B860="","",IF(AND(ISNUMBER(SEARCH("平",B860)),OR(ISNUMBER(SEARCH("上",B860)),ISNUMBER(SEARCH("去",B860)),ISNUMBER(SEARCH("入",B860)))),"Ambiguous",IF(ISNUMBER(SEARCH("平",B860)),"平","仄")))</x:f>
        <x:v>仄</x:v>
      </x:c>
      <x:c r="K860" s="6" t="str">
        <x:f>IF(D860="","",IF(AND(ISNUMBER(SEARCH("平",D860)),OR(ISNUMBER(SEARCH("上",D860)),ISNUMBER(SEARCH("去",D860)),ISNUMBER(SEARCH("入",D860)))),"Ambiguous",IF(ISNUMBER(SEARCH("平",D860)),"平","仄")))</x:f>
        <x:v>仄</x:v>
      </x:c>
      <x:c r="L860" s="7" t="str"/>
    </x:row>
    <x:row r="861">
      <x:c r="A861" s="5" t="str">
        <x:v>妝</x:v>
      </x:c>
      <x:c r="B861" s="6" t="str">
        <x:v>平</x:v>
      </x:c>
      <x:c r="C861" s="6" t="str">
        <x:f>IF(B861="","Needs decision","Ready")</x:f>
        <x:v>Ready</x:v>
      </x:c>
      <x:c r="D861" s="6" t="str">
        <x:v>平</x:v>
      </x:c>
      <x:c r="E861" s="6" t="str">
        <x:v>tsrjang (A)</x:v>
      </x:c>
      <x:c r="F861" s="6" t="str">
        <x:v>下平聲七陽</x:v>
      </x:c>
      <x:c r="G861" s="6" t="str">
        <x:v>Pingshui main list, Wikisource-derived DOCX</x:v>
      </x:c>
      <x:c r="H861" s="6" t="str">
        <x:v>1</x:v>
      </x:c>
      <x:c r="I861" s="6" t="str"/>
      <x:c r="J861" s="6" t="str">
        <x:f>IF(B861="","",IF(AND(ISNUMBER(SEARCH("平",B861)),OR(ISNUMBER(SEARCH("上",B861)),ISNUMBER(SEARCH("去",B861)),ISNUMBER(SEARCH("入",B861)))),"Ambiguous",IF(ISNUMBER(SEARCH("平",B861)),"平","仄")))</x:f>
        <x:v>平</x:v>
      </x:c>
      <x:c r="K861" s="6" t="str">
        <x:f>IF(D861="","",IF(AND(ISNUMBER(SEARCH("平",D861)),OR(ISNUMBER(SEARCH("上",D861)),ISNUMBER(SEARCH("去",D861)),ISNUMBER(SEARCH("入",D861)))),"Ambiguous",IF(ISNUMBER(SEARCH("平",D861)),"平","仄")))</x:f>
        <x:v>平</x:v>
      </x:c>
      <x:c r="L861" s="7" t="str"/>
    </x:row>
    <x:row r="862">
      <x:c r="A862" s="5" t="str">
        <x:v>妣</x:v>
      </x:c>
      <x:c r="B862" s="6" t="str"/>
      <x:c r="C862" s="6" t="str">
        <x:f>IF(B862="","Needs decision","Ready")</x:f>
        <x:v>Needs decision</x:v>
      </x:c>
      <x:c r="D862" s="6" t="str">
        <x:v>上/去</x:v>
      </x:c>
      <x:c r="E862" s="6" t="str">
        <x:v>pjijX (B); pjijH (C)</x:v>
      </x:c>
      <x:c r="F862" s="6" t="str">
        <x:v>上聲四紙</x:v>
      </x:c>
      <x:c r="G862" s="6" t="str">
        <x:v>Pingshui main list, Wikisource-derived DOCX</x:v>
      </x:c>
      <x:c r="H862" s="6" t="str">
        <x:v>2</x:v>
      </x:c>
      <x:c r="I862" s="6" t="str"/>
      <x:c r="J862" s="6" t="str">
        <x:f>IF(B862="","",IF(AND(ISNUMBER(SEARCH("平",B862)),OR(ISNUMBER(SEARCH("上",B862)),ISNUMBER(SEARCH("去",B862)),ISNUMBER(SEARCH("入",B862)))),"Ambiguous",IF(ISNUMBER(SEARCH("平",B862)),"平","仄")))</x:f>
      </x:c>
      <x:c r="K862" s="6" t="str">
        <x:f>IF(D862="","",IF(AND(ISNUMBER(SEARCH("平",D862)),OR(ISNUMBER(SEARCH("上",D862)),ISNUMBER(SEARCH("去",D862)),ISNUMBER(SEARCH("入",D862)))),"Ambiguous",IF(ISNUMBER(SEARCH("平",D862)),"平","仄")))</x:f>
        <x:v>仄</x:v>
      </x:c>
      <x:c r="L862" s="7" t="str"/>
    </x:row>
    <x:row r="863">
      <x:c r="A863" s="5" t="str">
        <x:v>妤</x:v>
      </x:c>
      <x:c r="B863" s="6" t="str">
        <x:v>平</x:v>
      </x:c>
      <x:c r="C863" s="6" t="str">
        <x:f>IF(B863="","Needs decision","Ready")</x:f>
        <x:v>Ready</x:v>
      </x:c>
      <x:c r="D863" s="6" t="str">
        <x:v>平</x:v>
      </x:c>
      <x:c r="E863" s="6" t="str">
        <x:v>yo [jə] (平)</x:v>
      </x:c>
      <x:c r="F863" s="6" t="str">
        <x:v>上平聲六魚</x:v>
      </x:c>
      <x:c r="G863" s="6" t="str">
        <x:v>Pingshui main list, Wikisource-derived DOCX</x:v>
      </x:c>
      <x:c r="H863" s="6" t="str">
        <x:v>1</x:v>
      </x:c>
      <x:c r="I863" s="6" t="str">
        <x:v>Tang 300 gap; frequency 1; provisional from Xun Gong</x:v>
      </x:c>
      <x:c r="J863" s="6" t="str">
        <x:f>IF(B863="","",IF(AND(ISNUMBER(SEARCH("平",B863)),OR(ISNUMBER(SEARCH("上",B863)),ISNUMBER(SEARCH("去",B863)),ISNUMBER(SEARCH("入",B863)))),"Ambiguous",IF(ISNUMBER(SEARCH("平",B863)),"平","仄")))</x:f>
        <x:v>平</x:v>
      </x:c>
      <x:c r="K863" s="6" t="str">
        <x:f>IF(D863="","",IF(AND(ISNUMBER(SEARCH("平",D863)),OR(ISNUMBER(SEARCH("上",D863)),ISNUMBER(SEARCH("去",D863)),ISNUMBER(SEARCH("入",D863)))),"Ambiguous",IF(ISNUMBER(SEARCH("平",D863)),"平","仄")))</x:f>
        <x:v>平</x:v>
      </x:c>
      <x:c r="L863" s="7" t="str">
        <x:v>Xun Gong, Tang 300 gap fill</x:v>
      </x:c>
    </x:row>
    <x:row r="864">
      <x:c r="A864" s="5" t="str">
        <x:v>妥</x:v>
      </x:c>
      <x:c r="B864" s="6" t="str">
        <x:v>上</x:v>
      </x:c>
      <x:c r="C864" s="6" t="str">
        <x:f>IF(B864="","Needs decision","Ready")</x:f>
        <x:v>Ready</x:v>
      </x:c>
      <x:c r="D864" s="6" t="str">
        <x:v>上</x:v>
      </x:c>
      <x:c r="E864" s="6" t="str">
        <x:v>thwaX (B)</x:v>
      </x:c>
      <x:c r="F864" s="6" t="str">
        <x:v>上聲二十哿</x:v>
      </x:c>
      <x:c r="G864" s="6" t="str">
        <x:v>Pingshui main list, Wikisource-derived DOCX</x:v>
      </x:c>
      <x:c r="H864" s="6" t="str">
        <x:v>1</x:v>
      </x:c>
      <x:c r="I864" s="6" t="str"/>
      <x:c r="J864" s="6" t="str">
        <x:f>IF(B864="","",IF(AND(ISNUMBER(SEARCH("平",B864)),OR(ISNUMBER(SEARCH("上",B864)),ISNUMBER(SEARCH("去",B864)),ISNUMBER(SEARCH("入",B864)))),"Ambiguous",IF(ISNUMBER(SEARCH("平",B864)),"平","仄")))</x:f>
        <x:v>仄</x:v>
      </x:c>
      <x:c r="K864" s="6" t="str">
        <x:f>IF(D864="","",IF(AND(ISNUMBER(SEARCH("平",D864)),OR(ISNUMBER(SEARCH("上",D864)),ISNUMBER(SEARCH("去",D864)),ISNUMBER(SEARCH("入",D864)))),"Ambiguous",IF(ISNUMBER(SEARCH("平",D864)),"平","仄")))</x:f>
        <x:v>仄</x:v>
      </x:c>
      <x:c r="L864" s="7" t="str"/>
    </x:row>
    <x:row r="865">
      <x:c r="A865" s="5" t="str">
        <x:v>妨</x:v>
      </x:c>
      <x:c r="B865" s="6" t="str">
        <x:v>平</x:v>
      </x:c>
      <x:c r="C865" s="6" t="str">
        <x:f>IF(B865="","Needs decision","Ready")</x:f>
        <x:v>Ready</x:v>
      </x:c>
      <x:c r="D865" s="6" t="str">
        <x:v>平</x:v>
      </x:c>
      <x:c r="E865" s="6" t="str">
        <x:v>phjang (A)</x:v>
      </x:c>
      <x:c r="F865" s="6" t="str">
        <x:v>下平聲七陽; 去聲二十三漾</x:v>
      </x:c>
      <x:c r="G865" s="6" t="str">
        <x:v>Pingshui main list, Wikisource-derived DOCX</x:v>
      </x:c>
      <x:c r="H865" s="6" t="str">
        <x:v>1</x:v>
      </x:c>
      <x:c r="I865" s="6" t="str"/>
      <x:c r="J865" s="6" t="str">
        <x:f>IF(B865="","",IF(AND(ISNUMBER(SEARCH("平",B865)),OR(ISNUMBER(SEARCH("上",B865)),ISNUMBER(SEARCH("去",B865)),ISNUMBER(SEARCH("入",B865)))),"Ambiguous",IF(ISNUMBER(SEARCH("平",B865)),"平","仄")))</x:f>
        <x:v>平</x:v>
      </x:c>
      <x:c r="K865" s="6" t="str">
        <x:f>IF(D865="","",IF(AND(ISNUMBER(SEARCH("平",D865)),OR(ISNUMBER(SEARCH("上",D865)),ISNUMBER(SEARCH("去",D865)),ISNUMBER(SEARCH("入",D865)))),"Ambiguous",IF(ISNUMBER(SEARCH("平",D865)),"平","仄")))</x:f>
        <x:v>平</x:v>
      </x:c>
      <x:c r="L865" s="7" t="str"/>
    </x:row>
    <x:row r="866">
      <x:c r="A866" s="5" t="str">
        <x:v>妬</x:v>
      </x:c>
      <x:c r="B866" s="6" t="str">
        <x:v>去</x:v>
      </x:c>
      <x:c r="C866" s="6" t="str">
        <x:f>IF(B866="","Needs decision","Ready")</x:f>
        <x:v>Ready</x:v>
      </x:c>
      <x:c r="D866" s="6" t="str">
        <x:v>去</x:v>
      </x:c>
      <x:c r="E866" s="6" t="str">
        <x:v>tuH (C)</x:v>
      </x:c>
      <x:c r="F866" s="6" t="str"/>
      <x:c r="G866" s="6" t="str"/>
      <x:c r="H866" s="6" t="str">
        <x:v>1</x:v>
      </x:c>
      <x:c r="I866" s="6" t="str"/>
      <x:c r="J866" s="6" t="str">
        <x:f>IF(B866="","",IF(AND(ISNUMBER(SEARCH("平",B866)),OR(ISNUMBER(SEARCH("上",B866)),ISNUMBER(SEARCH("去",B866)),ISNUMBER(SEARCH("入",B866)))),"Ambiguous",IF(ISNUMBER(SEARCH("平",B866)),"平","仄")))</x:f>
        <x:v>仄</x:v>
      </x:c>
      <x:c r="K866" s="6" t="str">
        <x:f>IF(D866="","",IF(AND(ISNUMBER(SEARCH("平",D866)),OR(ISNUMBER(SEARCH("上",D866)),ISNUMBER(SEARCH("去",D866)),ISNUMBER(SEARCH("入",D866)))),"Ambiguous",IF(ISNUMBER(SEARCH("平",D866)),"平","仄")))</x:f>
        <x:v>仄</x:v>
      </x:c>
      <x:c r="L866" s="7" t="str"/>
    </x:row>
    <x:row r="867">
      <x:c r="A867" s="5" t="str">
        <x:v>妹</x:v>
      </x:c>
      <x:c r="B867" s="6" t="str">
        <x:v>去</x:v>
      </x:c>
      <x:c r="C867" s="6" t="str">
        <x:f>IF(B867="","Needs decision","Ready")</x:f>
        <x:v>Ready</x:v>
      </x:c>
      <x:c r="D867" s="6" t="str">
        <x:v>去</x:v>
      </x:c>
      <x:c r="E867" s="6" t="str">
        <x:v>mwojH (C)</x:v>
      </x:c>
      <x:c r="F867" s="6" t="str">
        <x:v>去聲十一隊</x:v>
      </x:c>
      <x:c r="G867" s="6" t="str">
        <x:v>Pingshui main list, Wikisource-derived DOCX</x:v>
      </x:c>
      <x:c r="H867" s="6" t="str">
        <x:v>1</x:v>
      </x:c>
      <x:c r="I867" s="6" t="str"/>
      <x:c r="J867" s="6" t="str">
        <x:f>IF(B867="","",IF(AND(ISNUMBER(SEARCH("平",B867)),OR(ISNUMBER(SEARCH("上",B867)),ISNUMBER(SEARCH("去",B867)),ISNUMBER(SEARCH("入",B867)))),"Ambiguous",IF(ISNUMBER(SEARCH("平",B867)),"平","仄")))</x:f>
        <x:v>仄</x:v>
      </x:c>
      <x:c r="K867" s="6" t="str">
        <x:f>IF(D867="","",IF(AND(ISNUMBER(SEARCH("平",D867)),OR(ISNUMBER(SEARCH("上",D867)),ISNUMBER(SEARCH("去",D867)),ISNUMBER(SEARCH("入",D867)))),"Ambiguous",IF(ISNUMBER(SEARCH("平",D867)),"平","仄")))</x:f>
        <x:v>仄</x:v>
      </x:c>
      <x:c r="L867" s="7" t="str"/>
    </x:row>
    <x:row r="868">
      <x:c r="A868" s="5" t="str">
        <x:v>妻</x:v>
      </x:c>
      <x:c r="B868" s="6" t="str">
        <x:v>平</x:v>
      </x:c>
      <x:c r="C868" s="6" t="str">
        <x:f>IF(B868="","Needs decision","Ready")</x:f>
        <x:v>Ready</x:v>
      </x:c>
      <x:c r="D868" s="6" t="str">
        <x:v>平/去</x:v>
      </x:c>
      <x:c r="E868" s="6" t="str">
        <x:v>tshej (A); tshejH (C)</x:v>
      </x:c>
      <x:c r="F868" s="6" t="str">
        <x:v>上平聲八齊; 去聲八霽</x:v>
      </x:c>
      <x:c r="G868" s="6" t="str">
        <x:v>Pingshui main list, Wikisource-derived DOCX</x:v>
      </x:c>
      <x:c r="H868" s="6" t="str">
        <x:v>2</x:v>
      </x:c>
      <x:c r="I868" s="6" t="str">
        <x:v>User workbook edit 2026-09-03</x:v>
      </x:c>
      <x:c r="J868" s="6" t="str">
        <x:f>IF(B868="","",IF(AND(ISNUMBER(SEARCH("平",B868)),OR(ISNUMBER(SEARCH("上",B868)),ISNUMBER(SEARCH("去",B868)),ISNUMBER(SEARCH("入",B868)))),"Ambiguous",IF(ISNUMBER(SEARCH("平",B868)),"平","仄")))</x:f>
        <x:v>平</x:v>
      </x:c>
      <x:c r="K868" s="6" t="str">
        <x:f>IF(D868="","",IF(AND(ISNUMBER(SEARCH("平",D868)),OR(ISNUMBER(SEARCH("上",D868)),ISNUMBER(SEARCH("去",D868)),ISNUMBER(SEARCH("入",D868)))),"Ambiguous",IF(ISNUMBER(SEARCH("平",D868)),"平","仄")))</x:f>
        <x:v>Ambiguous</x:v>
      </x:c>
      <x:c r="L868" s="7" t="str">
        <x:v>manual user correction</x:v>
      </x:c>
    </x:row>
    <x:row r="869">
      <x:c r="A869" s="5" t="str">
        <x:v>妾</x:v>
      </x:c>
      <x:c r="B869" s="6" t="str">
        <x:v>入</x:v>
      </x:c>
      <x:c r="C869" s="6" t="str">
        <x:f>IF(B869="","Needs decision","Ready")</x:f>
        <x:v>Ready</x:v>
      </x:c>
      <x:c r="D869" s="6" t="str">
        <x:v>入</x:v>
      </x:c>
      <x:c r="E869" s="6" t="str">
        <x:v>tshjep (D)</x:v>
      </x:c>
      <x:c r="F869" s="6" t="str">
        <x:v>入聲十六葉</x:v>
      </x:c>
      <x:c r="G869" s="6" t="str">
        <x:v>Pingshui main list, Wikisource-derived DOCX</x:v>
      </x:c>
      <x:c r="H869" s="6" t="str">
        <x:v>1</x:v>
      </x:c>
      <x:c r="I869" s="6" t="str"/>
      <x:c r="J869" s="6" t="str">
        <x:f>IF(B869="","",IF(AND(ISNUMBER(SEARCH("平",B869)),OR(ISNUMBER(SEARCH("上",B869)),ISNUMBER(SEARCH("去",B869)),ISNUMBER(SEARCH("入",B869)))),"Ambiguous",IF(ISNUMBER(SEARCH("平",B869)),"平","仄")))</x:f>
        <x:v>仄</x:v>
      </x:c>
      <x:c r="K869" s="6" t="str">
        <x:f>IF(D869="","",IF(AND(ISNUMBER(SEARCH("平",D869)),OR(ISNUMBER(SEARCH("上",D869)),ISNUMBER(SEARCH("去",D869)),ISNUMBER(SEARCH("入",D869)))),"Ambiguous",IF(ISNUMBER(SEARCH("平",D869)),"平","仄")))</x:f>
        <x:v>仄</x:v>
      </x:c>
      <x:c r="L869" s="7" t="str"/>
    </x:row>
    <x:row r="870">
      <x:c r="A870" s="5" t="str">
        <x:v>姆</x:v>
      </x:c>
      <x:c r="B870" s="6" t="str">
        <x:v>上</x:v>
      </x:c>
      <x:c r="C870" s="6" t="str">
        <x:f>IF(B870="","Needs decision","Ready")</x:f>
        <x:v>Ready</x:v>
      </x:c>
      <x:c r="D870" s="6" t="str">
        <x:v>上</x:v>
      </x:c>
      <x:c r="E870" s="6" t="str">
        <x:v>muwX (B)</x:v>
      </x:c>
      <x:c r="F870" s="6" t="str">
        <x:v>去聲二十六宥</x:v>
      </x:c>
      <x:c r="G870" s="6" t="str">
        <x:v>Pingshui main list, Wikisource-derived DOCX</x:v>
      </x:c>
      <x:c r="H870" s="6" t="str">
        <x:v>1</x:v>
      </x:c>
      <x:c r="I870" s="6" t="str"/>
      <x:c r="J870" s="6" t="str">
        <x:f>IF(B870="","",IF(AND(ISNUMBER(SEARCH("平",B870)),OR(ISNUMBER(SEARCH("上",B870)),ISNUMBER(SEARCH("去",B870)),ISNUMBER(SEARCH("入",B870)))),"Ambiguous",IF(ISNUMBER(SEARCH("平",B870)),"平","仄")))</x:f>
        <x:v>仄</x:v>
      </x:c>
      <x:c r="K870" s="6" t="str">
        <x:f>IF(D870="","",IF(AND(ISNUMBER(SEARCH("平",D870)),OR(ISNUMBER(SEARCH("上",D870)),ISNUMBER(SEARCH("去",D870)),ISNUMBER(SEARCH("入",D870)))),"Ambiguous",IF(ISNUMBER(SEARCH("平",D870)),"平","仄")))</x:f>
        <x:v>仄</x:v>
      </x:c>
      <x:c r="L870" s="7" t="str"/>
    </x:row>
    <x:row r="871">
      <x:c r="A871" s="5" t="str">
        <x:v>姊</x:v>
      </x:c>
      <x:c r="B871" s="6" t="str">
        <x:v>上</x:v>
      </x:c>
      <x:c r="C871" s="6" t="str">
        <x:f>IF(B871="","Needs decision","Ready")</x:f>
        <x:v>Ready</x:v>
      </x:c>
      <x:c r="D871" s="6" t="str">
        <x:v>上</x:v>
      </x:c>
      <x:c r="E871" s="6" t="str">
        <x:v>tsijX (B)</x:v>
      </x:c>
      <x:c r="F871" s="6" t="str">
        <x:v>上聲四紙</x:v>
      </x:c>
      <x:c r="G871" s="6" t="str">
        <x:v>Pingshui main list, Wikisource-derived DOCX</x:v>
      </x:c>
      <x:c r="H871" s="6" t="str">
        <x:v>1</x:v>
      </x:c>
      <x:c r="I871" s="6" t="str"/>
      <x:c r="J871" s="6" t="str">
        <x:f>IF(B871="","",IF(AND(ISNUMBER(SEARCH("平",B871)),OR(ISNUMBER(SEARCH("上",B871)),ISNUMBER(SEARCH("去",B871)),ISNUMBER(SEARCH("入",B871)))),"Ambiguous",IF(ISNUMBER(SEARCH("平",B871)),"平","仄")))</x:f>
        <x:v>仄</x:v>
      </x:c>
      <x:c r="K871" s="6" t="str">
        <x:f>IF(D871="","",IF(AND(ISNUMBER(SEARCH("平",D871)),OR(ISNUMBER(SEARCH("上",D871)),ISNUMBER(SEARCH("去",D871)),ISNUMBER(SEARCH("入",D871)))),"Ambiguous",IF(ISNUMBER(SEARCH("平",D871)),"平","仄")))</x:f>
        <x:v>仄</x:v>
      </x:c>
      <x:c r="L871" s="7" t="str"/>
    </x:row>
    <x:row r="872">
      <x:c r="A872" s="5" t="str">
        <x:v>始</x:v>
      </x:c>
      <x:c r="B872" s="6" t="str">
        <x:v>上</x:v>
      </x:c>
      <x:c r="C872" s="6" t="str">
        <x:f>IF(B872="","Needs decision","Ready")</x:f>
        <x:v>Ready</x:v>
      </x:c>
      <x:c r="D872" s="6" t="str">
        <x:v>上</x:v>
      </x:c>
      <x:c r="E872" s="6" t="str">
        <x:v>syiX (B)</x:v>
      </x:c>
      <x:c r="F872" s="6" t="str">
        <x:v>上聲四紙; 去聲四寘</x:v>
      </x:c>
      <x:c r="G872" s="6" t="str">
        <x:v>Pingshui main list, Wikisource-derived DOCX</x:v>
      </x:c>
      <x:c r="H872" s="6" t="str">
        <x:v>1</x:v>
      </x:c>
      <x:c r="I872" s="6" t="str"/>
      <x:c r="J872" s="6" t="str">
        <x:f>IF(B872="","",IF(AND(ISNUMBER(SEARCH("平",B872)),OR(ISNUMBER(SEARCH("上",B872)),ISNUMBER(SEARCH("去",B872)),ISNUMBER(SEARCH("入",B872)))),"Ambiguous",IF(ISNUMBER(SEARCH("平",B872)),"平","仄")))</x:f>
        <x:v>仄</x:v>
      </x:c>
      <x:c r="K872" s="6" t="str">
        <x:f>IF(D872="","",IF(AND(ISNUMBER(SEARCH("平",D872)),OR(ISNUMBER(SEARCH("上",D872)),ISNUMBER(SEARCH("去",D872)),ISNUMBER(SEARCH("入",D872)))),"Ambiguous",IF(ISNUMBER(SEARCH("平",D872)),"平","仄")))</x:f>
        <x:v>仄</x:v>
      </x:c>
      <x:c r="L872" s="7" t="str"/>
    </x:row>
    <x:row r="873">
      <x:c r="A873" s="5" t="str">
        <x:v>姑</x:v>
      </x:c>
      <x:c r="B873" s="6" t="str">
        <x:v>平</x:v>
      </x:c>
      <x:c r="C873" s="6" t="str">
        <x:f>IF(B873="","Needs decision","Ready")</x:f>
        <x:v>Ready</x:v>
      </x:c>
      <x:c r="D873" s="6" t="str">
        <x:v>平</x:v>
      </x:c>
      <x:c r="E873" s="6" t="str">
        <x:v>ku (A)</x:v>
      </x:c>
      <x:c r="F873" s="6" t="str">
        <x:v>上平聲七虞</x:v>
      </x:c>
      <x:c r="G873" s="6" t="str">
        <x:v>Pingshui main list, Wikisource-derived DOCX</x:v>
      </x:c>
      <x:c r="H873" s="6" t="str">
        <x:v>1</x:v>
      </x:c>
      <x:c r="I873" s="6" t="str"/>
      <x:c r="J873" s="6" t="str">
        <x:f>IF(B873="","",IF(AND(ISNUMBER(SEARCH("平",B873)),OR(ISNUMBER(SEARCH("上",B873)),ISNUMBER(SEARCH("去",B873)),ISNUMBER(SEARCH("入",B873)))),"Ambiguous",IF(ISNUMBER(SEARCH("平",B873)),"平","仄")))</x:f>
        <x:v>平</x:v>
      </x:c>
      <x:c r="K873" s="6" t="str">
        <x:f>IF(D873="","",IF(AND(ISNUMBER(SEARCH("平",D873)),OR(ISNUMBER(SEARCH("上",D873)),ISNUMBER(SEARCH("去",D873)),ISNUMBER(SEARCH("入",D873)))),"Ambiguous",IF(ISNUMBER(SEARCH("平",D873)),"平","仄")))</x:f>
        <x:v>平</x:v>
      </x:c>
      <x:c r="L873" s="7" t="str"/>
    </x:row>
    <x:row r="874">
      <x:c r="A874" s="5" t="str">
        <x:v>姓</x:v>
      </x:c>
      <x:c r="B874" s="6" t="str">
        <x:v>去</x:v>
      </x:c>
      <x:c r="C874" s="6" t="str">
        <x:f>IF(B874="","Needs decision","Ready")</x:f>
        <x:v>Ready</x:v>
      </x:c>
      <x:c r="D874" s="6" t="str">
        <x:v>去</x:v>
      </x:c>
      <x:c r="E874" s="6" t="str">
        <x:v>sjengH (C)</x:v>
      </x:c>
      <x:c r="F874" s="6" t="str">
        <x:v>去聲二十四敬</x:v>
      </x:c>
      <x:c r="G874" s="6" t="str">
        <x:v>Pingshui main list, Wikisource-derived DOCX</x:v>
      </x:c>
      <x:c r="H874" s="6" t="str">
        <x:v>1</x:v>
      </x:c>
      <x:c r="I874" s="6" t="str"/>
      <x:c r="J874" s="6" t="str">
        <x:f>IF(B874="","",IF(AND(ISNUMBER(SEARCH("平",B874)),OR(ISNUMBER(SEARCH("上",B874)),ISNUMBER(SEARCH("去",B874)),ISNUMBER(SEARCH("入",B874)))),"Ambiguous",IF(ISNUMBER(SEARCH("平",B874)),"平","仄")))</x:f>
        <x:v>仄</x:v>
      </x:c>
      <x:c r="K874" s="6" t="str">
        <x:f>IF(D874="","",IF(AND(ISNUMBER(SEARCH("平",D874)),OR(ISNUMBER(SEARCH("上",D874)),ISNUMBER(SEARCH("去",D874)),ISNUMBER(SEARCH("入",D874)))),"Ambiguous",IF(ISNUMBER(SEARCH("平",D874)),"平","仄")))</x:f>
        <x:v>仄</x:v>
      </x:c>
      <x:c r="L874" s="7" t="str"/>
    </x:row>
    <x:row r="875">
      <x:c r="A875" s="5" t="str">
        <x:v>委</x:v>
      </x:c>
      <x:c r="B875" s="6" t="str">
        <x:v>上</x:v>
      </x:c>
      <x:c r="C875" s="6" t="str">
        <x:f>IF(B875="","Needs decision","Ready")</x:f>
        <x:v>Ready</x:v>
      </x:c>
      <x:c r="D875" s="6" t="str">
        <x:v>平/上</x:v>
      </x:c>
      <x:c r="E875" s="6" t="str">
        <x:v>'jwe (A); 'jweX (B)</x:v>
      </x:c>
      <x:c r="F875" s="6" t="str">
        <x:v>上平聲四支; 上聲四紙</x:v>
      </x:c>
      <x:c r="G875" s="6" t="str">
        <x:v>Pingshui main list, Wikisource-derived DOCX</x:v>
      </x:c>
      <x:c r="H875" s="6" t="str">
        <x:v>2</x:v>
      </x:c>
      <x:c r="I875" s="6" t="str">
        <x:v>User workbook edit 2026-09-03</x:v>
      </x:c>
      <x:c r="J875" s="6" t="str">
        <x:f>IF(B875="","",IF(AND(ISNUMBER(SEARCH("平",B875)),OR(ISNUMBER(SEARCH("上",B875)),ISNUMBER(SEARCH("去",B875)),ISNUMBER(SEARCH("入",B875)))),"Ambiguous",IF(ISNUMBER(SEARCH("平",B875)),"平","仄")))</x:f>
        <x:v>仄</x:v>
      </x:c>
      <x:c r="K875" s="6" t="str">
        <x:f>IF(D875="","",IF(AND(ISNUMBER(SEARCH("平",D875)),OR(ISNUMBER(SEARCH("上",D875)),ISNUMBER(SEARCH("去",D875)),ISNUMBER(SEARCH("入",D875)))),"Ambiguous",IF(ISNUMBER(SEARCH("平",D875)),"平","仄")))</x:f>
        <x:v>Ambiguous</x:v>
      </x:c>
      <x:c r="L875" s="7" t="str">
        <x:v>manual user correction</x:v>
      </x:c>
    </x:row>
    <x:row r="876">
      <x:c r="A876" s="5" t="str">
        <x:v>姚</x:v>
      </x:c>
      <x:c r="B876" s="6" t="str">
        <x:v>平</x:v>
      </x:c>
      <x:c r="C876" s="6" t="str">
        <x:f>IF(B876="","Needs decision","Ready")</x:f>
        <x:v>Ready</x:v>
      </x:c>
      <x:c r="D876" s="6" t="str">
        <x:v>平</x:v>
      </x:c>
      <x:c r="E876" s="6" t="str"/>
      <x:c r="F876" s="6" t="str">
        <x:v>下平聲二蕭</x:v>
      </x:c>
      <x:c r="G876" s="6" t="str">
        <x:v>Pingshui main list, Wikisource-derived DOCX</x:v>
      </x:c>
      <x:c r="H876" s="6" t="str"/>
      <x:c r="I876" s="6" t="str">
        <x:v>Manual user correction/addition</x:v>
      </x:c>
      <x:c r="J876" s="6" t="str">
        <x:f>IF(B876="","",IF(AND(ISNUMBER(SEARCH("平",B876)),OR(ISNUMBER(SEARCH("上",B876)),ISNUMBER(SEARCH("去",B876)),ISNUMBER(SEARCH("入",B876)))),"Ambiguous",IF(ISNUMBER(SEARCH("平",B876)),"平","仄")))</x:f>
        <x:v>平</x:v>
      </x:c>
      <x:c r="K876" s="6" t="str">
        <x:f>IF(D876="","",IF(AND(ISNUMBER(SEARCH("平",D876)),OR(ISNUMBER(SEARCH("上",D876)),ISNUMBER(SEARCH("去",D876)),ISNUMBER(SEARCH("入",D876)))),"Ambiguous",IF(ISNUMBER(SEARCH("平",D876)),"平","仄")))</x:f>
        <x:v>平</x:v>
      </x:c>
      <x:c r="L876" s="7" t="str">
        <x:v>manual user correction</x:v>
      </x:c>
    </x:row>
    <x:row r="877">
      <x:c r="A877" s="5" t="str">
        <x:v>姜</x:v>
      </x:c>
      <x:c r="B877" s="6" t="str">
        <x:v>平</x:v>
      </x:c>
      <x:c r="C877" s="6" t="str">
        <x:f>IF(B877="","Needs decision","Ready")</x:f>
        <x:v>Ready</x:v>
      </x:c>
      <x:c r="D877" s="6" t="str">
        <x:v>平</x:v>
      </x:c>
      <x:c r="E877" s="6" t="str">
        <x:v>kjang (A)</x:v>
      </x:c>
      <x:c r="F877" s="6" t="str">
        <x:v>下平聲七陽</x:v>
      </x:c>
      <x:c r="G877" s="6" t="str">
        <x:v>Pingshui main list, Wikisource-derived DOCX</x:v>
      </x:c>
      <x:c r="H877" s="6" t="str">
        <x:v>1</x:v>
      </x:c>
      <x:c r="I877" s="6" t="str"/>
      <x:c r="J877" s="6" t="str">
        <x:f>IF(B877="","",IF(AND(ISNUMBER(SEARCH("平",B877)),OR(ISNUMBER(SEARCH("上",B877)),ISNUMBER(SEARCH("去",B877)),ISNUMBER(SEARCH("入",B877)))),"Ambiguous",IF(ISNUMBER(SEARCH("平",B877)),"平","仄")))</x:f>
        <x:v>平</x:v>
      </x:c>
      <x:c r="K877" s="6" t="str">
        <x:f>IF(D877="","",IF(AND(ISNUMBER(SEARCH("平",D877)),OR(ISNUMBER(SEARCH("上",D877)),ISNUMBER(SEARCH("去",D877)),ISNUMBER(SEARCH("入",D877)))),"Ambiguous",IF(ISNUMBER(SEARCH("平",D877)),"平","仄")))</x:f>
        <x:v>平</x:v>
      </x:c>
      <x:c r="L877" s="7" t="str"/>
    </x:row>
    <x:row r="878">
      <x:c r="A878" s="5" t="str">
        <x:v>姣</x:v>
      </x:c>
      <x:c r="B878" s="6" t="str">
        <x:v>上</x:v>
      </x:c>
      <x:c r="C878" s="6" t="str">
        <x:f>IF(B878="","Needs decision","Ready")</x:f>
        <x:v>Ready</x:v>
      </x:c>
      <x:c r="D878" s="6" t="str">
        <x:v>上</x:v>
      </x:c>
      <x:c r="E878" s="6" t="str"/>
      <x:c r="F878" s="6" t="str">
        <x:v>下平聲三肴; 上聲十八巧</x:v>
      </x:c>
      <x:c r="G878" s="6" t="str">
        <x:v>Pingshui main list, Wikisource-derived DOCX</x:v>
      </x:c>
      <x:c r="H878" s="6" t="str"/>
      <x:c r="I878" s="6" t="str">
        <x:v>Manual user correction/addition</x:v>
      </x:c>
      <x:c r="J878" s="6" t="str">
        <x:f>IF(B878="","",IF(AND(ISNUMBER(SEARCH("平",B878)),OR(ISNUMBER(SEARCH("上",B878)),ISNUMBER(SEARCH("去",B878)),ISNUMBER(SEARCH("入",B878)))),"Ambiguous",IF(ISNUMBER(SEARCH("平",B878)),"平","仄")))</x:f>
        <x:v>仄</x:v>
      </x:c>
      <x:c r="K878" s="6" t="str">
        <x:f>IF(D878="","",IF(AND(ISNUMBER(SEARCH("平",D878)),OR(ISNUMBER(SEARCH("上",D878)),ISNUMBER(SEARCH("去",D878)),ISNUMBER(SEARCH("入",D878)))),"Ambiguous",IF(ISNUMBER(SEARCH("平",D878)),"平","仄")))</x:f>
        <x:v>仄</x:v>
      </x:c>
      <x:c r="L878" s="7" t="str">
        <x:v>manual user correction</x:v>
      </x:c>
    </x:row>
    <x:row r="879">
      <x:c r="A879" s="5" t="str">
        <x:v>姥</x:v>
      </x:c>
      <x:c r="B879" s="6" t="str">
        <x:v>上</x:v>
      </x:c>
      <x:c r="C879" s="6" t="str">
        <x:f>IF(B879="","Needs decision","Ready")</x:f>
        <x:v>Ready</x:v>
      </x:c>
      <x:c r="D879" s="6" t="str">
        <x:v>上</x:v>
      </x:c>
      <x:c r="E879" s="6" t="str">
        <x:v>muX [m̙oʔ] (上)</x:v>
      </x:c>
      <x:c r="F879" s="6" t="str">
        <x:v>上聲七麌</x:v>
      </x:c>
      <x:c r="G879" s="6" t="str">
        <x:v>Pingshui main list, Wikisource-derived DOCX</x:v>
      </x:c>
      <x:c r="H879" s="6" t="str">
        <x:v>1</x:v>
      </x:c>
      <x:c r="I879" s="6" t="str">
        <x:v>Tang 300 gap; frequency 2; provisional from Xun Gong</x:v>
      </x:c>
      <x:c r="J879" s="6" t="str">
        <x:f>IF(B879="","",IF(AND(ISNUMBER(SEARCH("平",B879)),OR(ISNUMBER(SEARCH("上",B879)),ISNUMBER(SEARCH("去",B879)),ISNUMBER(SEARCH("入",B879)))),"Ambiguous",IF(ISNUMBER(SEARCH("平",B879)),"平","仄")))</x:f>
        <x:v>仄</x:v>
      </x:c>
      <x:c r="K879" s="6" t="str">
        <x:f>IF(D879="","",IF(AND(ISNUMBER(SEARCH("平",D879)),OR(ISNUMBER(SEARCH("上",D879)),ISNUMBER(SEARCH("去",D879)),ISNUMBER(SEARCH("入",D879)))),"Ambiguous",IF(ISNUMBER(SEARCH("平",D879)),"平","仄")))</x:f>
        <x:v>仄</x:v>
      </x:c>
      <x:c r="L879" s="7" t="str">
        <x:v>Xun Gong, Tang 300 gap fill</x:v>
      </x:c>
    </x:row>
    <x:row r="880">
      <x:c r="A880" s="5" t="str">
        <x:v>姦</x:v>
      </x:c>
      <x:c r="B880" s="6" t="str">
        <x:v>平</x:v>
      </x:c>
      <x:c r="C880" s="6" t="str">
        <x:f>IF(B880="","Needs decision","Ready")</x:f>
        <x:v>Ready</x:v>
      </x:c>
      <x:c r="D880" s="6" t="str">
        <x:v>平</x:v>
      </x:c>
      <x:c r="E880" s="6" t="str">
        <x:v>kaen (A)</x:v>
      </x:c>
      <x:c r="F880" s="6" t="str">
        <x:v>上平聲十五刪</x:v>
      </x:c>
      <x:c r="G880" s="6" t="str">
        <x:v>Pingshui main list, Wikisource-derived DOCX</x:v>
      </x:c>
      <x:c r="H880" s="6" t="str">
        <x:v>1</x:v>
      </x:c>
      <x:c r="I880" s="6" t="str"/>
      <x:c r="J880" s="6" t="str">
        <x:f>IF(B880="","",IF(AND(ISNUMBER(SEARCH("平",B880)),OR(ISNUMBER(SEARCH("上",B880)),ISNUMBER(SEARCH("去",B880)),ISNUMBER(SEARCH("入",B880)))),"Ambiguous",IF(ISNUMBER(SEARCH("平",B880)),"平","仄")))</x:f>
        <x:v>平</x:v>
      </x:c>
      <x:c r="K880" s="6" t="str">
        <x:f>IF(D880="","",IF(AND(ISNUMBER(SEARCH("平",D880)),OR(ISNUMBER(SEARCH("上",D880)),ISNUMBER(SEARCH("去",D880)),ISNUMBER(SEARCH("入",D880)))),"Ambiguous",IF(ISNUMBER(SEARCH("平",D880)),"平","仄")))</x:f>
        <x:v>平</x:v>
      </x:c>
      <x:c r="L880" s="7" t="str"/>
    </x:row>
    <x:row r="881">
      <x:c r="A881" s="5" t="str">
        <x:v>姨</x:v>
      </x:c>
      <x:c r="B881" s="6" t="str">
        <x:v>平</x:v>
      </x:c>
      <x:c r="C881" s="6" t="str">
        <x:f>IF(B881="","Needs decision","Ready")</x:f>
        <x:v>Ready</x:v>
      </x:c>
      <x:c r="D881" s="6" t="str">
        <x:v>平</x:v>
      </x:c>
      <x:c r="E881" s="6" t="str">
        <x:v>yij [ji] (平)</x:v>
      </x:c>
      <x:c r="F881" s="6" t="str">
        <x:v>上平聲四支</x:v>
      </x:c>
      <x:c r="G881" s="6" t="str">
        <x:v>Pingshui main list, Wikisource-derived DOCX</x:v>
      </x:c>
      <x:c r="H881" s="6" t="str">
        <x:v>1</x:v>
      </x:c>
      <x:c r="I881" s="6" t="str">
        <x:v>Tang 300 gap; frequency 1; provisional from Xun Gong</x:v>
      </x:c>
      <x:c r="J881" s="6" t="str">
        <x:f>IF(B881="","",IF(AND(ISNUMBER(SEARCH("平",B881)),OR(ISNUMBER(SEARCH("上",B881)),ISNUMBER(SEARCH("去",B881)),ISNUMBER(SEARCH("入",B881)))),"Ambiguous",IF(ISNUMBER(SEARCH("平",B881)),"平","仄")))</x:f>
        <x:v>平</x:v>
      </x:c>
      <x:c r="K881" s="6" t="str">
        <x:f>IF(D881="","",IF(AND(ISNUMBER(SEARCH("平",D881)),OR(ISNUMBER(SEARCH("上",D881)),ISNUMBER(SEARCH("去",D881)),ISNUMBER(SEARCH("入",D881)))),"Ambiguous",IF(ISNUMBER(SEARCH("平",D881)),"平","仄")))</x:f>
        <x:v>平</x:v>
      </x:c>
      <x:c r="L881" s="7" t="str">
        <x:v>Xun Gong, Tang 300 gap fill</x:v>
      </x:c>
    </x:row>
    <x:row r="882">
      <x:c r="A882" s="5" t="str">
        <x:v>姬</x:v>
      </x:c>
      <x:c r="B882" s="6" t="str">
        <x:v>平</x:v>
      </x:c>
      <x:c r="C882" s="6" t="str">
        <x:f>IF(B882="","Needs decision","Ready")</x:f>
        <x:v>Ready</x:v>
      </x:c>
      <x:c r="D882" s="6" t="str">
        <x:v>平</x:v>
      </x:c>
      <x:c r="E882" s="6" t="str">
        <x:v>ki (A)</x:v>
      </x:c>
      <x:c r="F882" s="6" t="str">
        <x:v>上平聲四支</x:v>
      </x:c>
      <x:c r="G882" s="6" t="str">
        <x:v>Pingshui main list, Wikisource-derived DOCX</x:v>
      </x:c>
      <x:c r="H882" s="6" t="str">
        <x:v>1</x:v>
      </x:c>
      <x:c r="I882" s="6" t="str"/>
      <x:c r="J882" s="6" t="str">
        <x:f>IF(B882="","",IF(AND(ISNUMBER(SEARCH("平",B882)),OR(ISNUMBER(SEARCH("上",B882)),ISNUMBER(SEARCH("去",B882)),ISNUMBER(SEARCH("入",B882)))),"Ambiguous",IF(ISNUMBER(SEARCH("平",B882)),"平","仄")))</x:f>
        <x:v>平</x:v>
      </x:c>
      <x:c r="K882" s="6" t="str">
        <x:f>IF(D882="","",IF(AND(ISNUMBER(SEARCH("平",D882)),OR(ISNUMBER(SEARCH("上",D882)),ISNUMBER(SEARCH("去",D882)),ISNUMBER(SEARCH("入",D882)))),"Ambiguous",IF(ISNUMBER(SEARCH("平",D882)),"平","仄")))</x:f>
        <x:v>平</x:v>
      </x:c>
      <x:c r="L882" s="7" t="str"/>
    </x:row>
    <x:row r="883">
      <x:c r="A883" s="5" t="str">
        <x:v>姺</x:v>
      </x:c>
      <x:c r="B883" s="6" t="str">
        <x:v>上</x:v>
      </x:c>
      <x:c r="C883" s="6" t="str">
        <x:f>IF(B883="","Needs decision","Ready")</x:f>
        <x:v>Ready</x:v>
      </x:c>
      <x:c r="D883" s="6" t="str">
        <x:v>上</x:v>
      </x:c>
      <x:c r="E883" s="6" t="str">
        <x:v>sejX (B)</x:v>
      </x:c>
      <x:c r="F883" s="6" t="str">
        <x:v>上平聲十一真; 上聲十六銑</x:v>
      </x:c>
      <x:c r="G883" s="6" t="str">
        <x:v>Pingshui main list, Wikisource-derived DOCX</x:v>
      </x:c>
      <x:c r="H883" s="6" t="str">
        <x:v>1</x:v>
      </x:c>
      <x:c r="I883" s="6" t="str"/>
      <x:c r="J883" s="6" t="str">
        <x:f>IF(B883="","",IF(AND(ISNUMBER(SEARCH("平",B883)),OR(ISNUMBER(SEARCH("上",B883)),ISNUMBER(SEARCH("去",B883)),ISNUMBER(SEARCH("入",B883)))),"Ambiguous",IF(ISNUMBER(SEARCH("平",B883)),"平","仄")))</x:f>
        <x:v>仄</x:v>
      </x:c>
      <x:c r="K883" s="6" t="str">
        <x:f>IF(D883="","",IF(AND(ISNUMBER(SEARCH("平",D883)),OR(ISNUMBER(SEARCH("上",D883)),ISNUMBER(SEARCH("去",D883)),ISNUMBER(SEARCH("入",D883)))),"Ambiguous",IF(ISNUMBER(SEARCH("平",D883)),"平","仄")))</x:f>
        <x:v>仄</x:v>
      </x:c>
      <x:c r="L883" s="7" t="str"/>
    </x:row>
    <x:row r="884">
      <x:c r="A884" s="5" t="str">
        <x:v>姿</x:v>
      </x:c>
      <x:c r="B884" s="6" t="str">
        <x:v>平</x:v>
      </x:c>
      <x:c r="C884" s="6" t="str">
        <x:f>IF(B884="","Needs decision","Ready")</x:f>
        <x:v>Ready</x:v>
      </x:c>
      <x:c r="D884" s="6" t="str">
        <x:v>平</x:v>
      </x:c>
      <x:c r="E884" s="6" t="str">
        <x:v>tsij [tsi] (平)</x:v>
      </x:c>
      <x:c r="F884" s="6" t="str">
        <x:v>上平聲四支</x:v>
      </x:c>
      <x:c r="G884" s="6" t="str">
        <x:v>Pingshui main list, Wikisource-derived DOCX</x:v>
      </x:c>
      <x:c r="H884" s="6" t="str">
        <x:v>1</x:v>
      </x:c>
      <x:c r="I884" s="6" t="str">
        <x:v>Tang 300 gap; frequency 4; provisional from Xun Gong</x:v>
      </x:c>
      <x:c r="J884" s="6" t="str">
        <x:f>IF(B884="","",IF(AND(ISNUMBER(SEARCH("平",B884)),OR(ISNUMBER(SEARCH("上",B884)),ISNUMBER(SEARCH("去",B884)),ISNUMBER(SEARCH("入",B884)))),"Ambiguous",IF(ISNUMBER(SEARCH("平",B884)),"平","仄")))</x:f>
        <x:v>平</x:v>
      </x:c>
      <x:c r="K884" s="6" t="str">
        <x:f>IF(D884="","",IF(AND(ISNUMBER(SEARCH("平",D884)),OR(ISNUMBER(SEARCH("上",D884)),ISNUMBER(SEARCH("去",D884)),ISNUMBER(SEARCH("入",D884)))),"Ambiguous",IF(ISNUMBER(SEARCH("平",D884)),"平","仄")))</x:f>
        <x:v>平</x:v>
      </x:c>
      <x:c r="L884" s="7" t="str">
        <x:v>Xun Gong, Tang 300 gap fill</x:v>
      </x:c>
    </x:row>
    <x:row r="885">
      <x:c r="A885" s="5" t="str">
        <x:v>威</x:v>
      </x:c>
      <x:c r="B885" s="6" t="str">
        <x:v>平</x:v>
      </x:c>
      <x:c r="C885" s="6" t="str">
        <x:f>IF(B885="","Needs decision","Ready")</x:f>
        <x:v>Ready</x:v>
      </x:c>
      <x:c r="D885" s="6" t="str">
        <x:v>平</x:v>
      </x:c>
      <x:c r="E885" s="6" t="str">
        <x:v>'jw+j (A)</x:v>
      </x:c>
      <x:c r="F885" s="6" t="str">
        <x:v>上平聲五微</x:v>
      </x:c>
      <x:c r="G885" s="6" t="str">
        <x:v>Pingshui main list, Wikisource-derived DOCX</x:v>
      </x:c>
      <x:c r="H885" s="6" t="str">
        <x:v>1</x:v>
      </x:c>
      <x:c r="I885" s="6" t="str"/>
      <x:c r="J885" s="6" t="str">
        <x:f>IF(B885="","",IF(AND(ISNUMBER(SEARCH("平",B885)),OR(ISNUMBER(SEARCH("上",B885)),ISNUMBER(SEARCH("去",B885)),ISNUMBER(SEARCH("入",B885)))),"Ambiguous",IF(ISNUMBER(SEARCH("平",B885)),"平","仄")))</x:f>
        <x:v>平</x:v>
      </x:c>
      <x:c r="K885" s="6" t="str">
        <x:f>IF(D885="","",IF(AND(ISNUMBER(SEARCH("平",D885)),OR(ISNUMBER(SEARCH("上",D885)),ISNUMBER(SEARCH("去",D885)),ISNUMBER(SEARCH("入",D885)))),"Ambiguous",IF(ISNUMBER(SEARCH("平",D885)),"平","仄")))</x:f>
        <x:v>平</x:v>
      </x:c>
      <x:c r="L885" s="7" t="str"/>
    </x:row>
    <x:row r="886">
      <x:c r="A886" s="5" t="str">
        <x:v>娉</x:v>
      </x:c>
      <x:c r="B886" s="6" t="str">
        <x:v>去</x:v>
      </x:c>
      <x:c r="C886" s="6" t="str">
        <x:f>IF(B886="","Needs decision","Ready")</x:f>
        <x:v>Ready</x:v>
      </x:c>
      <x:c r="D886" s="6" t="str">
        <x:v>去</x:v>
      </x:c>
      <x:c r="E886" s="6" t="str">
        <x:v>phjiengH (C)</x:v>
      </x:c>
      <x:c r="F886" s="6" t="str">
        <x:v>下平聲九青; 去聲二十四敬</x:v>
      </x:c>
      <x:c r="G886" s="6" t="str">
        <x:v>Pingshui main list, Wikisource-derived DOCX</x:v>
      </x:c>
      <x:c r="H886" s="6" t="str">
        <x:v>1</x:v>
      </x:c>
      <x:c r="I886" s="6" t="str"/>
      <x:c r="J886" s="6" t="str">
        <x:f>IF(B886="","",IF(AND(ISNUMBER(SEARCH("平",B886)),OR(ISNUMBER(SEARCH("上",B886)),ISNUMBER(SEARCH("去",B886)),ISNUMBER(SEARCH("入",B886)))),"Ambiguous",IF(ISNUMBER(SEARCH("平",B886)),"平","仄")))</x:f>
        <x:v>仄</x:v>
      </x:c>
      <x:c r="K886" s="6" t="str">
        <x:f>IF(D886="","",IF(AND(ISNUMBER(SEARCH("平",D886)),OR(ISNUMBER(SEARCH("上",D886)),ISNUMBER(SEARCH("去",D886)),ISNUMBER(SEARCH("入",D886)))),"Ambiguous",IF(ISNUMBER(SEARCH("平",D886)),"平","仄")))</x:f>
        <x:v>仄</x:v>
      </x:c>
      <x:c r="L886" s="7" t="str"/>
    </x:row>
    <x:row r="887">
      <x:c r="A887" s="5" t="str">
        <x:v>娑</x:v>
      </x:c>
      <x:c r="B887" s="6" t="str">
        <x:v>平</x:v>
      </x:c>
      <x:c r="C887" s="6" t="str">
        <x:f>IF(B887="","Needs decision","Ready")</x:f>
        <x:v>Ready</x:v>
      </x:c>
      <x:c r="D887" s="6" t="str">
        <x:v>平</x:v>
      </x:c>
      <x:c r="E887" s="6" t="str">
        <x:v>sa (A)</x:v>
      </x:c>
      <x:c r="F887" s="6" t="str">
        <x:v>下平聲五歌; 上聲二十哿</x:v>
      </x:c>
      <x:c r="G887" s="6" t="str">
        <x:v>Pingshui main list, Wikisource-derived DOCX</x:v>
      </x:c>
      <x:c r="H887" s="6" t="str">
        <x:v>1</x:v>
      </x:c>
      <x:c r="I887" s="6" t="str"/>
      <x:c r="J887" s="6" t="str">
        <x:f>IF(B887="","",IF(AND(ISNUMBER(SEARCH("平",B887)),OR(ISNUMBER(SEARCH("上",B887)),ISNUMBER(SEARCH("去",B887)),ISNUMBER(SEARCH("入",B887)))),"Ambiguous",IF(ISNUMBER(SEARCH("平",B887)),"平","仄")))</x:f>
        <x:v>平</x:v>
      </x:c>
      <x:c r="K887" s="6" t="str">
        <x:f>IF(D887="","",IF(AND(ISNUMBER(SEARCH("平",D887)),OR(ISNUMBER(SEARCH("上",D887)),ISNUMBER(SEARCH("去",D887)),ISNUMBER(SEARCH("入",D887)))),"Ambiguous",IF(ISNUMBER(SEARCH("平",D887)),"平","仄")))</x:f>
        <x:v>平</x:v>
      </x:c>
      <x:c r="L887" s="7" t="str"/>
    </x:row>
    <x:row r="888">
      <x:c r="A888" s="5" t="str">
        <x:v>娘</x:v>
      </x:c>
      <x:c r="B888" s="6" t="str">
        <x:v>平</x:v>
      </x:c>
      <x:c r="C888" s="6" t="str">
        <x:f>IF(B888="","Needs decision","Ready")</x:f>
        <x:v>Ready</x:v>
      </x:c>
      <x:c r="D888" s="6" t="str">
        <x:v>平</x:v>
      </x:c>
      <x:c r="E888" s="6" t="str">
        <x:v>nrjang [ɳjɑŋ] (平)</x:v>
      </x:c>
      <x:c r="F888" s="6" t="str">
        <x:v>下平聲七陽</x:v>
      </x:c>
      <x:c r="G888" s="6" t="str">
        <x:v>Pingshui main list, Wikisource-derived DOCX</x:v>
      </x:c>
      <x:c r="H888" s="6" t="str">
        <x:v>1</x:v>
      </x:c>
      <x:c r="I888" s="6" t="str">
        <x:v>Tang 300 gap; frequency 2; provisional from Xun Gong</x:v>
      </x:c>
      <x:c r="J888" s="6" t="str">
        <x:f>IF(B888="","",IF(AND(ISNUMBER(SEARCH("平",B888)),OR(ISNUMBER(SEARCH("上",B888)),ISNUMBER(SEARCH("去",B888)),ISNUMBER(SEARCH("入",B888)))),"Ambiguous",IF(ISNUMBER(SEARCH("平",B888)),"平","仄")))</x:f>
        <x:v>平</x:v>
      </x:c>
      <x:c r="K888" s="6" t="str">
        <x:f>IF(D888="","",IF(AND(ISNUMBER(SEARCH("平",D888)),OR(ISNUMBER(SEARCH("上",D888)),ISNUMBER(SEARCH("去",D888)),ISNUMBER(SEARCH("入",D888)))),"Ambiguous",IF(ISNUMBER(SEARCH("平",D888)),"平","仄")))</x:f>
        <x:v>平</x:v>
      </x:c>
      <x:c r="L888" s="7" t="str">
        <x:v>Xun Gong, Tang 300 gap fill</x:v>
      </x:c>
    </x:row>
    <x:row r="889">
      <x:c r="A889" s="5" t="str">
        <x:v>娛</x:v>
      </x:c>
      <x:c r="B889" s="6" t="str">
        <x:v>平</x:v>
      </x:c>
      <x:c r="C889" s="6" t="str">
        <x:f>IF(B889="","Needs decision","Ready")</x:f>
        <x:v>Ready</x:v>
      </x:c>
      <x:c r="D889" s="6" t="str">
        <x:v>平</x:v>
      </x:c>
      <x:c r="E889" s="6" t="str">
        <x:v>ngju (A)</x:v>
      </x:c>
      <x:c r="F889" s="6" t="str">
        <x:v>上平聲七虞</x:v>
      </x:c>
      <x:c r="G889" s="6" t="str">
        <x:v>Pingshui main list, Wikisource-derived DOCX</x:v>
      </x:c>
      <x:c r="H889" s="6" t="str">
        <x:v>1</x:v>
      </x:c>
      <x:c r="I889" s="6" t="str"/>
      <x:c r="J889" s="6" t="str">
        <x:f>IF(B889="","",IF(AND(ISNUMBER(SEARCH("平",B889)),OR(ISNUMBER(SEARCH("上",B889)),ISNUMBER(SEARCH("去",B889)),ISNUMBER(SEARCH("入",B889)))),"Ambiguous",IF(ISNUMBER(SEARCH("平",B889)),"平","仄")))</x:f>
        <x:v>平</x:v>
      </x:c>
      <x:c r="K889" s="6" t="str">
        <x:f>IF(D889="","",IF(AND(ISNUMBER(SEARCH("平",D889)),OR(ISNUMBER(SEARCH("上",D889)),ISNUMBER(SEARCH("去",D889)),ISNUMBER(SEARCH("入",D889)))),"Ambiguous",IF(ISNUMBER(SEARCH("平",D889)),"平","仄")))</x:f>
        <x:v>平</x:v>
      </x:c>
      <x:c r="L889" s="7" t="str"/>
    </x:row>
    <x:row r="890">
      <x:c r="A890" s="5" t="str">
        <x:v>娟</x:v>
      </x:c>
      <x:c r="B890" s="6" t="str">
        <x:v>平</x:v>
      </x:c>
      <x:c r="C890" s="6" t="str">
        <x:f>IF(B890="","Needs decision","Ready")</x:f>
        <x:v>Ready</x:v>
      </x:c>
      <x:c r="D890" s="6" t="str">
        <x:v>平</x:v>
      </x:c>
      <x:c r="E890" s="6" t="str">
        <x:v>'jwien [ʔjwen] (平)</x:v>
      </x:c>
      <x:c r="F890" s="6" t="str">
        <x:v>下平聲一先</x:v>
      </x:c>
      <x:c r="G890" s="6" t="str">
        <x:v>Pingshui main list, Wikisource-derived DOCX</x:v>
      </x:c>
      <x:c r="H890" s="6" t="str">
        <x:v>1</x:v>
      </x:c>
      <x:c r="I890" s="6" t="str">
        <x:v>Tang 300 gap; frequency 3; provisional from Xun Gong</x:v>
      </x:c>
      <x:c r="J890" s="6" t="str">
        <x:f>IF(B890="","",IF(AND(ISNUMBER(SEARCH("平",B890)),OR(ISNUMBER(SEARCH("上",B890)),ISNUMBER(SEARCH("去",B890)),ISNUMBER(SEARCH("入",B890)))),"Ambiguous",IF(ISNUMBER(SEARCH("平",B890)),"平","仄")))</x:f>
        <x:v>平</x:v>
      </x:c>
      <x:c r="K890" s="6" t="str">
        <x:f>IF(D890="","",IF(AND(ISNUMBER(SEARCH("平",D890)),OR(ISNUMBER(SEARCH("上",D890)),ISNUMBER(SEARCH("去",D890)),ISNUMBER(SEARCH("入",D890)))),"Ambiguous",IF(ISNUMBER(SEARCH("平",D890)),"平","仄")))</x:f>
        <x:v>平</x:v>
      </x:c>
      <x:c r="L890" s="7" t="str">
        <x:v>Xun Gong, Tang 300 gap fill</x:v>
      </x:c>
    </x:row>
    <x:row r="891">
      <x:c r="A891" s="5" t="str">
        <x:v>娠</x:v>
      </x:c>
      <x:c r="B891" s="6" t="str"/>
      <x:c r="C891" s="6" t="str">
        <x:f>IF(B891="","Needs decision","Ready")</x:f>
        <x:v>Needs decision</x:v>
      </x:c>
      <x:c r="D891" s="6" t="str">
        <x:v>平/去</x:v>
      </x:c>
      <x:c r="E891" s="6" t="str">
        <x:v>syin (A); tsyinH (C)</x:v>
      </x:c>
      <x:c r="F891" s="6" t="str">
        <x:v>上平聲十一真; 去聲十二震</x:v>
      </x:c>
      <x:c r="G891" s="6" t="str">
        <x:v>Pingshui main list, Wikisource-derived DOCX</x:v>
      </x:c>
      <x:c r="H891" s="6" t="str">
        <x:v>2</x:v>
      </x:c>
      <x:c r="I891" s="6" t="str"/>
      <x:c r="J891" s="6" t="str">
        <x:f>IF(B891="","",IF(AND(ISNUMBER(SEARCH("平",B891)),OR(ISNUMBER(SEARCH("上",B891)),ISNUMBER(SEARCH("去",B891)),ISNUMBER(SEARCH("入",B891)))),"Ambiguous",IF(ISNUMBER(SEARCH("平",B891)),"平","仄")))</x:f>
      </x:c>
      <x:c r="K891" s="6" t="str">
        <x:f>IF(D891="","",IF(AND(ISNUMBER(SEARCH("平",D891)),OR(ISNUMBER(SEARCH("上",D891)),ISNUMBER(SEARCH("去",D891)),ISNUMBER(SEARCH("入",D891)))),"Ambiguous",IF(ISNUMBER(SEARCH("平",D891)),"平","仄")))</x:f>
        <x:v>Ambiguous</x:v>
      </x:c>
      <x:c r="L891" s="7" t="str"/>
    </x:row>
    <x:row r="892">
      <x:c r="A892" s="5" t="str">
        <x:v>娣</x:v>
      </x:c>
      <x:c r="B892" s="6" t="str">
        <x:v>上</x:v>
      </x:c>
      <x:c r="C892" s="6" t="str">
        <x:f>IF(B892="","Needs decision","Ready")</x:f>
        <x:v>Ready</x:v>
      </x:c>
      <x:c r="D892" s="6" t="str">
        <x:v>上</x:v>
      </x:c>
      <x:c r="E892" s="6" t="str">
        <x:v>dejX (B)</x:v>
      </x:c>
      <x:c r="F892" s="6" t="str">
        <x:v>上聲八薺; 去聲八霽</x:v>
      </x:c>
      <x:c r="G892" s="6" t="str">
        <x:v>Pingshui main list, Wikisource-derived DOCX</x:v>
      </x:c>
      <x:c r="H892" s="6" t="str">
        <x:v>1</x:v>
      </x:c>
      <x:c r="I892" s="6" t="str"/>
      <x:c r="J892" s="6" t="str">
        <x:f>IF(B892="","",IF(AND(ISNUMBER(SEARCH("平",B892)),OR(ISNUMBER(SEARCH("上",B892)),ISNUMBER(SEARCH("去",B892)),ISNUMBER(SEARCH("入",B892)))),"Ambiguous",IF(ISNUMBER(SEARCH("平",B892)),"平","仄")))</x:f>
        <x:v>仄</x:v>
      </x:c>
      <x:c r="K892" s="6" t="str">
        <x:f>IF(D892="","",IF(AND(ISNUMBER(SEARCH("平",D892)),OR(ISNUMBER(SEARCH("上",D892)),ISNUMBER(SEARCH("去",D892)),ISNUMBER(SEARCH("入",D892)))),"Ambiguous",IF(ISNUMBER(SEARCH("平",D892)),"平","仄")))</x:f>
        <x:v>仄</x:v>
      </x:c>
      <x:c r="L892" s="7" t="str"/>
    </x:row>
    <x:row r="893">
      <x:c r="A893" s="5" t="str">
        <x:v>娥</x:v>
      </x:c>
      <x:c r="B893" s="6" t="str">
        <x:v>平</x:v>
      </x:c>
      <x:c r="C893" s="6" t="str">
        <x:f>IF(B893="","Needs decision","Ready")</x:f>
        <x:v>Ready</x:v>
      </x:c>
      <x:c r="D893" s="6" t="str">
        <x:v>平</x:v>
      </x:c>
      <x:c r="E893" s="6" t="str"/>
      <x:c r="F893" s="6" t="str">
        <x:v>下平聲五歌</x:v>
      </x:c>
      <x:c r="G893" s="6" t="str">
        <x:v>Pingshui main list, Wikisource-derived DOCX</x:v>
      </x:c>
      <x:c r="H893" s="6" t="str"/>
      <x:c r="I893" s="6" t="str">
        <x:v>Manual user correction/addition</x:v>
      </x:c>
      <x:c r="J893" s="6" t="str">
        <x:f>IF(B893="","",IF(AND(ISNUMBER(SEARCH("平",B893)),OR(ISNUMBER(SEARCH("上",B893)),ISNUMBER(SEARCH("去",B893)),ISNUMBER(SEARCH("入",B893)))),"Ambiguous",IF(ISNUMBER(SEARCH("平",B893)),"平","仄")))</x:f>
        <x:v>平</x:v>
      </x:c>
      <x:c r="K893" s="6" t="str">
        <x:f>IF(D893="","",IF(AND(ISNUMBER(SEARCH("平",D893)),OR(ISNUMBER(SEARCH("上",D893)),ISNUMBER(SEARCH("去",D893)),ISNUMBER(SEARCH("入",D893)))),"Ambiguous",IF(ISNUMBER(SEARCH("平",D893)),"平","仄")))</x:f>
        <x:v>平</x:v>
      </x:c>
      <x:c r="L893" s="7" t="str">
        <x:v>manual user correction</x:v>
      </x:c>
    </x:row>
    <x:row r="894">
      <x:c r="A894" s="5" t="str">
        <x:v>娵</x:v>
      </x:c>
      <x:c r="B894" s="6" t="str">
        <x:v>平</x:v>
      </x:c>
      <x:c r="C894" s="6" t="str">
        <x:f>IF(B894="","Needs decision","Ready")</x:f>
        <x:v>Ready</x:v>
      </x:c>
      <x:c r="D894" s="6" t="str">
        <x:v>平</x:v>
      </x:c>
      <x:c r="E894" s="6" t="str">
        <x:v>tsju (A)</x:v>
      </x:c>
      <x:c r="F894" s="6" t="str">
        <x:v>上平聲七虞</x:v>
      </x:c>
      <x:c r="G894" s="6" t="str">
        <x:v>Pingshui main list, Wikisource-derived DOCX</x:v>
      </x:c>
      <x:c r="H894" s="6" t="str">
        <x:v>1</x:v>
      </x:c>
      <x:c r="I894" s="6" t="str"/>
      <x:c r="J894" s="6" t="str">
        <x:f>IF(B894="","",IF(AND(ISNUMBER(SEARCH("平",B894)),OR(ISNUMBER(SEARCH("上",B894)),ISNUMBER(SEARCH("去",B894)),ISNUMBER(SEARCH("入",B894)))),"Ambiguous",IF(ISNUMBER(SEARCH("平",B894)),"平","仄")))</x:f>
        <x:v>平</x:v>
      </x:c>
      <x:c r="K894" s="6" t="str">
        <x:f>IF(D894="","",IF(AND(ISNUMBER(SEARCH("平",D894)),OR(ISNUMBER(SEARCH("上",D894)),ISNUMBER(SEARCH("去",D894)),ISNUMBER(SEARCH("入",D894)))),"Ambiguous",IF(ISNUMBER(SEARCH("平",D894)),"平","仄")))</x:f>
        <x:v>平</x:v>
      </x:c>
      <x:c r="L894" s="7" t="str"/>
    </x:row>
    <x:row r="895">
      <x:c r="A895" s="5" t="str">
        <x:v>娶</x:v>
      </x:c>
      <x:c r="B895" s="6" t="str">
        <x:v>去</x:v>
      </x:c>
      <x:c r="C895" s="6" t="str">
        <x:f>IF(B895="","Needs decision","Ready")</x:f>
        <x:v>Ready</x:v>
      </x:c>
      <x:c r="D895" s="6" t="str">
        <x:v>去</x:v>
      </x:c>
      <x:c r="E895" s="6" t="str">
        <x:v>tshjuH (C)</x:v>
      </x:c>
      <x:c r="F895" s="6" t="str">
        <x:v>去聲七遇</x:v>
      </x:c>
      <x:c r="G895" s="6" t="str">
        <x:v>Pingshui main list, Wikisource-derived DOCX</x:v>
      </x:c>
      <x:c r="H895" s="6" t="str">
        <x:v>1</x:v>
      </x:c>
      <x:c r="I895" s="6" t="str"/>
      <x:c r="J895" s="6" t="str">
        <x:f>IF(B895="","",IF(AND(ISNUMBER(SEARCH("平",B895)),OR(ISNUMBER(SEARCH("上",B895)),ISNUMBER(SEARCH("去",B895)),ISNUMBER(SEARCH("入",B895)))),"Ambiguous",IF(ISNUMBER(SEARCH("平",B895)),"平","仄")))</x:f>
        <x:v>仄</x:v>
      </x:c>
      <x:c r="K895" s="6" t="str">
        <x:f>IF(D895="","",IF(AND(ISNUMBER(SEARCH("平",D895)),OR(ISNUMBER(SEARCH("上",D895)),ISNUMBER(SEARCH("去",D895)),ISNUMBER(SEARCH("入",D895)))),"Ambiguous",IF(ISNUMBER(SEARCH("平",D895)),"平","仄")))</x:f>
        <x:v>仄</x:v>
      </x:c>
      <x:c r="L895" s="7" t="str"/>
    </x:row>
    <x:row r="896">
      <x:c r="A896" s="5" t="str">
        <x:v>婁</x:v>
      </x:c>
      <x:c r="B896" s="6" t="str">
        <x:v>平</x:v>
      </x:c>
      <x:c r="C896" s="6" t="str">
        <x:f>IF(B896="","Needs decision","Ready")</x:f>
        <x:v>Ready</x:v>
      </x:c>
      <x:c r="D896" s="6" t="str">
        <x:v>平</x:v>
      </x:c>
      <x:c r="E896" s="6" t="str">
        <x:v>lju (A)</x:v>
      </x:c>
      <x:c r="F896" s="6" t="str">
        <x:v>上平聲七虞; 下平聲十一尤</x:v>
      </x:c>
      <x:c r="G896" s="6" t="str">
        <x:v>Pingshui main list, Wikisource-derived DOCX</x:v>
      </x:c>
      <x:c r="H896" s="6" t="str">
        <x:v>1</x:v>
      </x:c>
      <x:c r="I896" s="6" t="str"/>
      <x:c r="J896" s="6" t="str">
        <x:f>IF(B896="","",IF(AND(ISNUMBER(SEARCH("平",B896)),OR(ISNUMBER(SEARCH("上",B896)),ISNUMBER(SEARCH("去",B896)),ISNUMBER(SEARCH("入",B896)))),"Ambiguous",IF(ISNUMBER(SEARCH("平",B896)),"平","仄")))</x:f>
        <x:v>平</x:v>
      </x:c>
      <x:c r="K896" s="6" t="str">
        <x:f>IF(D896="","",IF(AND(ISNUMBER(SEARCH("平",D896)),OR(ISNUMBER(SEARCH("上",D896)),ISNUMBER(SEARCH("去",D896)),ISNUMBER(SEARCH("入",D896)))),"Ambiguous",IF(ISNUMBER(SEARCH("平",D896)),"平","仄")))</x:f>
        <x:v>平</x:v>
      </x:c>
      <x:c r="L896" s="7" t="str"/>
    </x:row>
    <x:row r="897">
      <x:c r="A897" s="5" t="str">
        <x:v>婆</x:v>
      </x:c>
      <x:c r="B897" s="6" t="str">
        <x:v>平</x:v>
      </x:c>
      <x:c r="C897" s="6" t="str">
        <x:f>IF(B897="","Needs decision","Ready")</x:f>
        <x:v>Ready</x:v>
      </x:c>
      <x:c r="D897" s="6" t="str">
        <x:v>平</x:v>
      </x:c>
      <x:c r="E897" s="6" t="str">
        <x:v>ba (A)</x:v>
      </x:c>
      <x:c r="F897" s="6" t="str">
        <x:v>下平聲五歌</x:v>
      </x:c>
      <x:c r="G897" s="6" t="str">
        <x:v>Pingshui main list, Wikisource-derived DOCX</x:v>
      </x:c>
      <x:c r="H897" s="6" t="str">
        <x:v>1</x:v>
      </x:c>
      <x:c r="I897" s="6" t="str"/>
      <x:c r="J897" s="6" t="str">
        <x:f>IF(B897="","",IF(AND(ISNUMBER(SEARCH("平",B897)),OR(ISNUMBER(SEARCH("上",B897)),ISNUMBER(SEARCH("去",B897)),ISNUMBER(SEARCH("入",B897)))),"Ambiguous",IF(ISNUMBER(SEARCH("平",B897)),"平","仄")))</x:f>
        <x:v>平</x:v>
      </x:c>
      <x:c r="K897" s="6" t="str">
        <x:f>IF(D897="","",IF(AND(ISNUMBER(SEARCH("平",D897)),OR(ISNUMBER(SEARCH("上",D897)),ISNUMBER(SEARCH("去",D897)),ISNUMBER(SEARCH("入",D897)))),"Ambiguous",IF(ISNUMBER(SEARCH("平",D897)),"平","仄")))</x:f>
        <x:v>平</x:v>
      </x:c>
      <x:c r="L897" s="7" t="str"/>
    </x:row>
    <x:row r="898">
      <x:c r="A898" s="5" t="str">
        <x:v>婉</x:v>
      </x:c>
      <x:c r="B898" s="6" t="str">
        <x:v>上</x:v>
      </x:c>
      <x:c r="C898" s="6" t="str">
        <x:f>IF(B898="","Needs decision","Ready")</x:f>
        <x:v>Ready</x:v>
      </x:c>
      <x:c r="D898" s="6" t="str">
        <x:v>上</x:v>
      </x:c>
      <x:c r="E898" s="6" t="str">
        <x:v>'jwonX (B)</x:v>
      </x:c>
      <x:c r="F898" s="6" t="str">
        <x:v>上聲十三阮</x:v>
      </x:c>
      <x:c r="G898" s="6" t="str">
        <x:v>Pingshui main list, Wikisource-derived DOCX</x:v>
      </x:c>
      <x:c r="H898" s="6" t="str">
        <x:v>1</x:v>
      </x:c>
      <x:c r="I898" s="6" t="str"/>
      <x:c r="J898" s="6" t="str">
        <x:f>IF(B898="","",IF(AND(ISNUMBER(SEARCH("平",B898)),OR(ISNUMBER(SEARCH("上",B898)),ISNUMBER(SEARCH("去",B898)),ISNUMBER(SEARCH("入",B898)))),"Ambiguous",IF(ISNUMBER(SEARCH("平",B898)),"平","仄")))</x:f>
        <x:v>仄</x:v>
      </x:c>
      <x:c r="K898" s="6" t="str">
        <x:f>IF(D898="","",IF(AND(ISNUMBER(SEARCH("平",D898)),OR(ISNUMBER(SEARCH("上",D898)),ISNUMBER(SEARCH("去",D898)),ISNUMBER(SEARCH("入",D898)))),"Ambiguous",IF(ISNUMBER(SEARCH("平",D898)),"平","仄")))</x:f>
        <x:v>仄</x:v>
      </x:c>
      <x:c r="L898" s="7" t="str"/>
    </x:row>
    <x:row r="899">
      <x:c r="A899" s="5" t="str">
        <x:v>婕</x:v>
      </x:c>
      <x:c r="B899" s="6" t="str">
        <x:v>入</x:v>
      </x:c>
      <x:c r="C899" s="6" t="str">
        <x:f>IF(B899="","Needs decision","Ready")</x:f>
        <x:v>Ready</x:v>
      </x:c>
      <x:c r="D899" s="6" t="str">
        <x:v>入</x:v>
      </x:c>
      <x:c r="E899" s="6" t="str">
        <x:v>tsjep [tsjep] (入)</x:v>
      </x:c>
      <x:c r="F899" s="6" t="str">
        <x:v>入聲十六葉</x:v>
      </x:c>
      <x:c r="G899" s="6" t="str">
        <x:v>Pingshui main list, Wikisource-derived DOCX</x:v>
      </x:c>
      <x:c r="H899" s="6" t="str">
        <x:v>1</x:v>
      </x:c>
      <x:c r="I899" s="6" t="str">
        <x:v>Tang 300 gap; frequency 1; provisional from Xun Gong</x:v>
      </x:c>
      <x:c r="J899" s="6" t="str">
        <x:f>IF(B899="","",IF(AND(ISNUMBER(SEARCH("平",B899)),OR(ISNUMBER(SEARCH("上",B899)),ISNUMBER(SEARCH("去",B899)),ISNUMBER(SEARCH("入",B899)))),"Ambiguous",IF(ISNUMBER(SEARCH("平",B899)),"平","仄")))</x:f>
        <x:v>仄</x:v>
      </x:c>
      <x:c r="K899" s="6" t="str">
        <x:f>IF(D899="","",IF(AND(ISNUMBER(SEARCH("平",D899)),OR(ISNUMBER(SEARCH("上",D899)),ISNUMBER(SEARCH("去",D899)),ISNUMBER(SEARCH("入",D899)))),"Ambiguous",IF(ISNUMBER(SEARCH("平",D899)),"平","仄")))</x:f>
        <x:v>仄</x:v>
      </x:c>
      <x:c r="L899" s="7" t="str">
        <x:v>Xun Gong, Tang 300 gap fill</x:v>
      </x:c>
    </x:row>
    <x:row r="900">
      <x:c r="A900" s="5" t="str">
        <x:v>婚</x:v>
      </x:c>
      <x:c r="B900" s="6" t="str">
        <x:v>平</x:v>
      </x:c>
      <x:c r="C900" s="6" t="str">
        <x:f>IF(B900="","Needs decision","Ready")</x:f>
        <x:v>Ready</x:v>
      </x:c>
      <x:c r="D900" s="6" t="str">
        <x:v>平</x:v>
      </x:c>
      <x:c r="E900" s="6" t="str">
        <x:v>xwon (A)</x:v>
      </x:c>
      <x:c r="F900" s="6" t="str">
        <x:v>上平聲十三元</x:v>
      </x:c>
      <x:c r="G900" s="6" t="str">
        <x:v>Pingshui main list, Wikisource-derived DOCX</x:v>
      </x:c>
      <x:c r="H900" s="6" t="str">
        <x:v>1</x:v>
      </x:c>
      <x:c r="I900" s="6" t="str"/>
      <x:c r="J900" s="6" t="str">
        <x:f>IF(B900="","",IF(AND(ISNUMBER(SEARCH("平",B900)),OR(ISNUMBER(SEARCH("上",B900)),ISNUMBER(SEARCH("去",B900)),ISNUMBER(SEARCH("入",B900)))),"Ambiguous",IF(ISNUMBER(SEARCH("平",B900)),"平","仄")))</x:f>
        <x:v>平</x:v>
      </x:c>
      <x:c r="K900" s="6" t="str">
        <x:f>IF(D900="","",IF(AND(ISNUMBER(SEARCH("平",D900)),OR(ISNUMBER(SEARCH("上",D900)),ISNUMBER(SEARCH("去",D900)),ISNUMBER(SEARCH("入",D900)))),"Ambiguous",IF(ISNUMBER(SEARCH("平",D900)),"平","仄")))</x:f>
        <x:v>平</x:v>
      </x:c>
      <x:c r="L900" s="7" t="str"/>
    </x:row>
    <x:row r="901">
      <x:c r="A901" s="5" t="str">
        <x:v>婢</x:v>
      </x:c>
      <x:c r="B901" s="6" t="str">
        <x:v>上</x:v>
      </x:c>
      <x:c r="C901" s="6" t="str">
        <x:f>IF(B901="","Needs decision","Ready")</x:f>
        <x:v>Ready</x:v>
      </x:c>
      <x:c r="D901" s="6" t="str">
        <x:v>上</x:v>
      </x:c>
      <x:c r="E901" s="6" t="str">
        <x:v>bjieX (B)</x:v>
      </x:c>
      <x:c r="F901" s="6" t="str">
        <x:v>上聲四紙</x:v>
      </x:c>
      <x:c r="G901" s="6" t="str">
        <x:v>Pingshui main list, Wikisource-derived DOCX</x:v>
      </x:c>
      <x:c r="H901" s="6" t="str">
        <x:v>1</x:v>
      </x:c>
      <x:c r="I901" s="6" t="str"/>
      <x:c r="J901" s="6" t="str">
        <x:f>IF(B901="","",IF(AND(ISNUMBER(SEARCH("平",B901)),OR(ISNUMBER(SEARCH("上",B901)),ISNUMBER(SEARCH("去",B901)),ISNUMBER(SEARCH("入",B901)))),"Ambiguous",IF(ISNUMBER(SEARCH("平",B901)),"平","仄")))</x:f>
        <x:v>仄</x:v>
      </x:c>
      <x:c r="K901" s="6" t="str">
        <x:f>IF(D901="","",IF(AND(ISNUMBER(SEARCH("平",D901)),OR(ISNUMBER(SEARCH("上",D901)),ISNUMBER(SEARCH("去",D901)),ISNUMBER(SEARCH("入",D901)))),"Ambiguous",IF(ISNUMBER(SEARCH("平",D901)),"平","仄")))</x:f>
        <x:v>仄</x:v>
      </x:c>
      <x:c r="L901" s="7" t="str"/>
    </x:row>
    <x:row r="902">
      <x:c r="A902" s="5" t="str">
        <x:v>婦</x:v>
      </x:c>
      <x:c r="B902" s="6" t="str">
        <x:v>上</x:v>
      </x:c>
      <x:c r="C902" s="6" t="str">
        <x:f>IF(B902="","Needs decision","Ready")</x:f>
        <x:v>Ready</x:v>
      </x:c>
      <x:c r="D902" s="6" t="str">
        <x:v>上</x:v>
      </x:c>
      <x:c r="E902" s="6" t="str">
        <x:v>bjuwX (B)</x:v>
      </x:c>
      <x:c r="F902" s="6" t="str">
        <x:v>上聲二十五有</x:v>
      </x:c>
      <x:c r="G902" s="6" t="str">
        <x:v>Pingshui main list, Wikisource-derived DOCX</x:v>
      </x:c>
      <x:c r="H902" s="6" t="str">
        <x:v>1</x:v>
      </x:c>
      <x:c r="I902" s="6" t="str"/>
      <x:c r="J902" s="6" t="str">
        <x:f>IF(B902="","",IF(AND(ISNUMBER(SEARCH("平",B902)),OR(ISNUMBER(SEARCH("上",B902)),ISNUMBER(SEARCH("去",B902)),ISNUMBER(SEARCH("入",B902)))),"Ambiguous",IF(ISNUMBER(SEARCH("平",B902)),"平","仄")))</x:f>
        <x:v>仄</x:v>
      </x:c>
      <x:c r="K902" s="6" t="str">
        <x:f>IF(D902="","",IF(AND(ISNUMBER(SEARCH("平",D902)),OR(ISNUMBER(SEARCH("上",D902)),ISNUMBER(SEARCH("去",D902)),ISNUMBER(SEARCH("入",D902)))),"Ambiguous",IF(ISNUMBER(SEARCH("平",D902)),"平","仄")))</x:f>
        <x:v>仄</x:v>
      </x:c>
      <x:c r="L902" s="7" t="str"/>
    </x:row>
    <x:row r="903">
      <x:c r="A903" s="5" t="str">
        <x:v>婪</x:v>
      </x:c>
      <x:c r="B903" s="6" t="str">
        <x:v>平</x:v>
      </x:c>
      <x:c r="C903" s="6" t="str">
        <x:f>IF(B903="","Needs decision","Ready")</x:f>
        <x:v>Ready</x:v>
      </x:c>
      <x:c r="D903" s="6" t="str">
        <x:v>平</x:v>
      </x:c>
      <x:c r="E903" s="6" t="str">
        <x:v>lom (A)</x:v>
      </x:c>
      <x:c r="F903" s="6" t="str">
        <x:v>下平聲十三覃</x:v>
      </x:c>
      <x:c r="G903" s="6" t="str">
        <x:v>Pingshui main list, Wikisource-derived DOCX</x:v>
      </x:c>
      <x:c r="H903" s="6" t="str">
        <x:v>1</x:v>
      </x:c>
      <x:c r="I903" s="6" t="str"/>
      <x:c r="J903" s="6" t="str">
        <x:f>IF(B903="","",IF(AND(ISNUMBER(SEARCH("平",B903)),OR(ISNUMBER(SEARCH("上",B903)),ISNUMBER(SEARCH("去",B903)),ISNUMBER(SEARCH("入",B903)))),"Ambiguous",IF(ISNUMBER(SEARCH("平",B903)),"平","仄")))</x:f>
        <x:v>平</x:v>
      </x:c>
      <x:c r="K903" s="6" t="str">
        <x:f>IF(D903="","",IF(AND(ISNUMBER(SEARCH("平",D903)),OR(ISNUMBER(SEARCH("上",D903)),ISNUMBER(SEARCH("去",D903)),ISNUMBER(SEARCH("入",D903)))),"Ambiguous",IF(ISNUMBER(SEARCH("平",D903)),"平","仄")))</x:f>
        <x:v>平</x:v>
      </x:c>
      <x:c r="L903" s="7" t="str"/>
    </x:row>
    <x:row r="904">
      <x:c r="A904" s="5" t="str">
        <x:v>婬</x:v>
      </x:c>
      <x:c r="B904" s="6" t="str">
        <x:v>平</x:v>
      </x:c>
      <x:c r="C904" s="6" t="str">
        <x:f>IF(B904="","Needs decision","Ready")</x:f>
        <x:v>Ready</x:v>
      </x:c>
      <x:c r="D904" s="6" t="str">
        <x:v>平</x:v>
      </x:c>
      <x:c r="E904" s="6" t="str">
        <x:v>yim [以開三侵平] jim</x:v>
      </x:c>
      <x:c r="F904" s="6" t="str"/>
      <x:c r="G904" s="6" t="str"/>
      <x:c r="H904" s="6" t="str">
        <x:v>1</x:v>
      </x:c>
      <x:c r="I904" s="6" t="str">
        <x:v>Targeted preliminary fill from Xun Gong; review if uncertain</x:v>
      </x:c>
      <x:c r="J904" s="6" t="str">
        <x:f>IF(B904="","",IF(AND(ISNUMBER(SEARCH("平",B904)),OR(ISNUMBER(SEARCH("上",B904)),ISNUMBER(SEARCH("去",B904)),ISNUMBER(SEARCH("入",B904)))),"Ambiguous",IF(ISNUMBER(SEARCH("平",B904)),"平","仄")))</x:f>
        <x:v>平</x:v>
      </x:c>
      <x:c r="K904" s="6" t="str">
        <x:f>IF(D904="","",IF(AND(ISNUMBER(SEARCH("平",D904)),OR(ISNUMBER(SEARCH("上",D904)),ISNUMBER(SEARCH("去",D904)),ISNUMBER(SEARCH("入",D904)))),"Ambiguous",IF(ISNUMBER(SEARCH("平",D904)),"平","仄")))</x:f>
        <x:v>平</x:v>
      </x:c>
      <x:c r="L904" s="7" t="str">
        <x:v>Xun Gong character-readings.csv</x:v>
      </x:c>
    </x:row>
    <x:row r="905">
      <x:c r="A905" s="5" t="str">
        <x:v>媒</x:v>
      </x:c>
      <x:c r="B905" s="6" t="str">
        <x:v>平</x:v>
      </x:c>
      <x:c r="C905" s="6" t="str">
        <x:f>IF(B905="","Needs decision","Ready")</x:f>
        <x:v>Ready</x:v>
      </x:c>
      <x:c r="D905" s="6" t="str">
        <x:v>平</x:v>
      </x:c>
      <x:c r="E905" s="6" t="str">
        <x:v>mwoj (A)</x:v>
      </x:c>
      <x:c r="F905" s="6" t="str">
        <x:v>上平聲十灰</x:v>
      </x:c>
      <x:c r="G905" s="6" t="str">
        <x:v>Pingshui main list, Wikisource-derived DOCX</x:v>
      </x:c>
      <x:c r="H905" s="6" t="str">
        <x:v>1</x:v>
      </x:c>
      <x:c r="I905" s="6" t="str"/>
      <x:c r="J905" s="6" t="str">
        <x:f>IF(B905="","",IF(AND(ISNUMBER(SEARCH("平",B905)),OR(ISNUMBER(SEARCH("上",B905)),ISNUMBER(SEARCH("去",B905)),ISNUMBER(SEARCH("入",B905)))),"Ambiguous",IF(ISNUMBER(SEARCH("平",B905)),"平","仄")))</x:f>
        <x:v>平</x:v>
      </x:c>
      <x:c r="K905" s="6" t="str">
        <x:f>IF(D905="","",IF(AND(ISNUMBER(SEARCH("平",D905)),OR(ISNUMBER(SEARCH("上",D905)),ISNUMBER(SEARCH("去",D905)),ISNUMBER(SEARCH("入",D905)))),"Ambiguous",IF(ISNUMBER(SEARCH("平",D905)),"平","仄")))</x:f>
        <x:v>平</x:v>
      </x:c>
      <x:c r="L905" s="7" t="str"/>
    </x:row>
    <x:row r="906">
      <x:c r="A906" s="5" t="str">
        <x:v>媕</x:v>
      </x:c>
      <x:c r="B906" s="6" t="str"/>
      <x:c r="C906" s="6" t="str">
        <x:f>IF(B906="","Needs decision","Ready")</x:f>
        <x:v>Needs decision</x:v>
      </x:c>
      <x:c r="D906" s="6" t="str">
        <x:v>平/上/入</x:v>
      </x:c>
      <x:c r="E906" s="6" t="str">
        <x:v>'jemX [ʔɨ̯emʔ] (上); 'om [ʔ̙əm] (平); 'op [ʔ̙əp] (入)</x:v>
      </x:c>
      <x:c r="F906" s="6" t="str">
        <x:v>下平聲十三覃</x:v>
      </x:c>
      <x:c r="G906" s="6" t="str">
        <x:v>Pingshui main list, Wikisource-derived DOCX</x:v>
      </x:c>
      <x:c r="H906" s="6" t="str">
        <x:v>3</x:v>
      </x:c>
      <x:c r="I906" s="6" t="str">
        <x:v>Tang 300 gap; frequency 1; ambiguous in Xun Gong</x:v>
      </x:c>
      <x:c r="J906" s="6" t="str">
        <x:f>IF(B906="","",IF(AND(ISNUMBER(SEARCH("平",B906)),OR(ISNUMBER(SEARCH("上",B906)),ISNUMBER(SEARCH("去",B906)),ISNUMBER(SEARCH("入",B906)))),"Ambiguous",IF(ISNUMBER(SEARCH("平",B906)),"平","仄")))</x:f>
      </x:c>
      <x:c r="K906" s="6" t="str">
        <x:f>IF(D906="","",IF(AND(ISNUMBER(SEARCH("平",D906)),OR(ISNUMBER(SEARCH("上",D906)),ISNUMBER(SEARCH("去",D906)),ISNUMBER(SEARCH("入",D906)))),"Ambiguous",IF(ISNUMBER(SEARCH("平",D906)),"平","仄")))</x:f>
        <x:v>Ambiguous</x:v>
      </x:c>
      <x:c r="L906" s="7" t="str">
        <x:v>Xun Gong, Tang 300 gap fill</x:v>
      </x:c>
    </x:row>
    <x:row r="907">
      <x:c r="A907" s="5" t="str">
        <x:v>媚</x:v>
      </x:c>
      <x:c r="B907" s="6" t="str">
        <x:v>去</x:v>
      </x:c>
      <x:c r="C907" s="6" t="str">
        <x:f>IF(B907="","Needs decision","Ready")</x:f>
        <x:v>Ready</x:v>
      </x:c>
      <x:c r="D907" s="6" t="str">
        <x:v>去</x:v>
      </x:c>
      <x:c r="E907" s="6" t="str">
        <x:v>mijH (C)</x:v>
      </x:c>
      <x:c r="F907" s="6" t="str">
        <x:v>去聲四寘</x:v>
      </x:c>
      <x:c r="G907" s="6" t="str">
        <x:v>Pingshui main list, Wikisource-derived DOCX</x:v>
      </x:c>
      <x:c r="H907" s="6" t="str">
        <x:v>1</x:v>
      </x:c>
      <x:c r="I907" s="6" t="str"/>
      <x:c r="J907" s="6" t="str">
        <x:f>IF(B907="","",IF(AND(ISNUMBER(SEARCH("平",B907)),OR(ISNUMBER(SEARCH("上",B907)),ISNUMBER(SEARCH("去",B907)),ISNUMBER(SEARCH("入",B907)))),"Ambiguous",IF(ISNUMBER(SEARCH("平",B907)),"平","仄")))</x:f>
        <x:v>仄</x:v>
      </x:c>
      <x:c r="K907" s="6" t="str">
        <x:f>IF(D907="","",IF(AND(ISNUMBER(SEARCH("平",D907)),OR(ISNUMBER(SEARCH("上",D907)),ISNUMBER(SEARCH("去",D907)),ISNUMBER(SEARCH("入",D907)))),"Ambiguous",IF(ISNUMBER(SEARCH("平",D907)),"平","仄")))</x:f>
        <x:v>仄</x:v>
      </x:c>
      <x:c r="L907" s="7" t="str"/>
    </x:row>
    <x:row r="908">
      <x:c r="A908" s="5" t="str">
        <x:v>媛</x:v>
      </x:c>
      <x:c r="B908" s="6" t="str">
        <x:v>去</x:v>
      </x:c>
      <x:c r="C908" s="6" t="str">
        <x:f>IF(B908="","Needs decision","Ready")</x:f>
        <x:v>Ready</x:v>
      </x:c>
      <x:c r="D908" s="6" t="str">
        <x:v>去</x:v>
      </x:c>
      <x:c r="E908" s="6" t="str">
        <x:v>hjwenH (C)</x:v>
      </x:c>
      <x:c r="F908" s="6" t="str">
        <x:v>上平聲十三元</x:v>
      </x:c>
      <x:c r="G908" s="6" t="str">
        <x:v>Pingshui main list, Wikisource-derived DOCX</x:v>
      </x:c>
      <x:c r="H908" s="6" t="str">
        <x:v>1</x:v>
      </x:c>
      <x:c r="I908" s="6" t="str"/>
      <x:c r="J908" s="6" t="str">
        <x:f>IF(B908="","",IF(AND(ISNUMBER(SEARCH("平",B908)),OR(ISNUMBER(SEARCH("上",B908)),ISNUMBER(SEARCH("去",B908)),ISNUMBER(SEARCH("入",B908)))),"Ambiguous",IF(ISNUMBER(SEARCH("平",B908)),"平","仄")))</x:f>
        <x:v>仄</x:v>
      </x:c>
      <x:c r="K908" s="6" t="str">
        <x:f>IF(D908="","",IF(AND(ISNUMBER(SEARCH("平",D908)),OR(ISNUMBER(SEARCH("上",D908)),ISNUMBER(SEARCH("去",D908)),ISNUMBER(SEARCH("入",D908)))),"Ambiguous",IF(ISNUMBER(SEARCH("平",D908)),"平","仄")))</x:f>
        <x:v>仄</x:v>
      </x:c>
      <x:c r="L908" s="7" t="str"/>
    </x:row>
    <x:row r="909">
      <x:c r="A909" s="5" t="str">
        <x:v>媢</x:v>
      </x:c>
      <x:c r="B909" s="6" t="str">
        <x:v>去</x:v>
      </x:c>
      <x:c r="C909" s="6" t="str">
        <x:f>IF(B909="","Needs decision","Ready")</x:f>
        <x:v>Ready</x:v>
      </x:c>
      <x:c r="D909" s="6" t="str">
        <x:v>去</x:v>
      </x:c>
      <x:c r="E909" s="6" t="str">
        <x:v>mawH (C)</x:v>
      </x:c>
      <x:c r="F909" s="6" t="str">
        <x:v>去聲二十號</x:v>
      </x:c>
      <x:c r="G909" s="6" t="str">
        <x:v>Pingshui main list, Wikisource-derived DOCX</x:v>
      </x:c>
      <x:c r="H909" s="6" t="str">
        <x:v>1</x:v>
      </x:c>
      <x:c r="I909" s="6" t="str"/>
      <x:c r="J909" s="6" t="str">
        <x:f>IF(B909="","",IF(AND(ISNUMBER(SEARCH("平",B909)),OR(ISNUMBER(SEARCH("上",B909)),ISNUMBER(SEARCH("去",B909)),ISNUMBER(SEARCH("入",B909)))),"Ambiguous",IF(ISNUMBER(SEARCH("平",B909)),"平","仄")))</x:f>
        <x:v>仄</x:v>
      </x:c>
      <x:c r="K909" s="6" t="str">
        <x:f>IF(D909="","",IF(AND(ISNUMBER(SEARCH("平",D909)),OR(ISNUMBER(SEARCH("上",D909)),ISNUMBER(SEARCH("去",D909)),ISNUMBER(SEARCH("入",D909)))),"Ambiguous",IF(ISNUMBER(SEARCH("平",D909)),"平","仄")))</x:f>
        <x:v>仄</x:v>
      </x:c>
      <x:c r="L909" s="7" t="str"/>
    </x:row>
    <x:row r="910">
      <x:c r="A910" s="5" t="str">
        <x:v>媯</x:v>
      </x:c>
      <x:c r="B910" s="6" t="str">
        <x:v>平</x:v>
      </x:c>
      <x:c r="C910" s="6" t="str">
        <x:f>IF(B910="","Needs decision","Ready")</x:f>
        <x:v>Ready</x:v>
      </x:c>
      <x:c r="D910" s="6" t="str">
        <x:v>平</x:v>
      </x:c>
      <x:c r="E910" s="6" t="str">
        <x:v>kjwe (A)</x:v>
      </x:c>
      <x:c r="F910" s="6" t="str">
        <x:v>上平聲四支</x:v>
      </x:c>
      <x:c r="G910" s="6" t="str">
        <x:v>Pingshui main list, Wikisource-derived DOCX</x:v>
      </x:c>
      <x:c r="H910" s="6" t="str">
        <x:v>1</x:v>
      </x:c>
      <x:c r="I910" s="6" t="str"/>
      <x:c r="J910" s="6" t="str">
        <x:f>IF(B910="","",IF(AND(ISNUMBER(SEARCH("平",B910)),OR(ISNUMBER(SEARCH("上",B910)),ISNUMBER(SEARCH("去",B910)),ISNUMBER(SEARCH("入",B910)))),"Ambiguous",IF(ISNUMBER(SEARCH("平",B910)),"平","仄")))</x:f>
        <x:v>平</x:v>
      </x:c>
      <x:c r="K910" s="6" t="str">
        <x:f>IF(D910="","",IF(AND(ISNUMBER(SEARCH("平",D910)),OR(ISNUMBER(SEARCH("上",D910)),ISNUMBER(SEARCH("去",D910)),ISNUMBER(SEARCH("入",D910)))),"Ambiguous",IF(ISNUMBER(SEARCH("平",D910)),"平","仄")))</x:f>
        <x:v>平</x:v>
      </x:c>
      <x:c r="L910" s="7" t="str"/>
    </x:row>
    <x:row r="911">
      <x:c r="A911" s="5" t="str">
        <x:v>媱</x:v>
      </x:c>
      <x:c r="B911" s="6" t="str">
        <x:v>平</x:v>
      </x:c>
      <x:c r="C911" s="6" t="str">
        <x:f>IF(B911="","Needs decision","Ready")</x:f>
        <x:v>Ready</x:v>
      </x:c>
      <x:c r="D911" s="6" t="str">
        <x:v>平</x:v>
      </x:c>
      <x:c r="E911" s="6" t="str">
        <x:v>yew (A)</x:v>
      </x:c>
      <x:c r="F911" s="6" t="str"/>
      <x:c r="G911" s="6" t="str"/>
      <x:c r="H911" s="6" t="str">
        <x:v>1</x:v>
      </x:c>
      <x:c r="I911" s="6" t="str"/>
      <x:c r="J911" s="6" t="str">
        <x:f>IF(B911="","",IF(AND(ISNUMBER(SEARCH("平",B911)),OR(ISNUMBER(SEARCH("上",B911)),ISNUMBER(SEARCH("去",B911)),ISNUMBER(SEARCH("入",B911)))),"Ambiguous",IF(ISNUMBER(SEARCH("平",B911)),"平","仄")))</x:f>
        <x:v>平</x:v>
      </x:c>
      <x:c r="K911" s="6" t="str">
        <x:f>IF(D911="","",IF(AND(ISNUMBER(SEARCH("平",D911)),OR(ISNUMBER(SEARCH("上",D911)),ISNUMBER(SEARCH("去",D911)),ISNUMBER(SEARCH("入",D911)))),"Ambiguous",IF(ISNUMBER(SEARCH("平",D911)),"平","仄")))</x:f>
        <x:v>平</x:v>
      </x:c>
      <x:c r="L911" s="7" t="str"/>
    </x:row>
    <x:row r="912">
      <x:c r="A912" s="5" t="str">
        <x:v>媼</x:v>
      </x:c>
      <x:c r="B912" s="6" t="str">
        <x:v>上</x:v>
      </x:c>
      <x:c r="C912" s="6" t="str">
        <x:f>IF(B912="","Needs decision","Ready")</x:f>
        <x:v>Ready</x:v>
      </x:c>
      <x:c r="D912" s="6" t="str">
        <x:v>上</x:v>
      </x:c>
      <x:c r="E912" s="6" t="str">
        <x:v>'awX (B)</x:v>
      </x:c>
      <x:c r="F912" s="6" t="str">
        <x:v>上聲十九皓</x:v>
      </x:c>
      <x:c r="G912" s="6" t="str">
        <x:v>Pingshui main list, Wikisource-derived DOCX</x:v>
      </x:c>
      <x:c r="H912" s="6" t="str">
        <x:v>1</x:v>
      </x:c>
      <x:c r="I912" s="6" t="str"/>
      <x:c r="J912" s="6" t="str">
        <x:f>IF(B912="","",IF(AND(ISNUMBER(SEARCH("平",B912)),OR(ISNUMBER(SEARCH("上",B912)),ISNUMBER(SEARCH("去",B912)),ISNUMBER(SEARCH("入",B912)))),"Ambiguous",IF(ISNUMBER(SEARCH("平",B912)),"平","仄")))</x:f>
        <x:v>仄</x:v>
      </x:c>
      <x:c r="K912" s="6" t="str">
        <x:f>IF(D912="","",IF(AND(ISNUMBER(SEARCH("平",D912)),OR(ISNUMBER(SEARCH("上",D912)),ISNUMBER(SEARCH("去",D912)),ISNUMBER(SEARCH("入",D912)))),"Ambiguous",IF(ISNUMBER(SEARCH("平",D912)),"平","仄")))</x:f>
        <x:v>仄</x:v>
      </x:c>
      <x:c r="L912" s="7" t="str"/>
    </x:row>
    <x:row r="913">
      <x:c r="A913" s="5" t="str">
        <x:v>媾</x:v>
      </x:c>
      <x:c r="B913" s="6" t="str">
        <x:v>去</x:v>
      </x:c>
      <x:c r="C913" s="6" t="str">
        <x:f>IF(B913="","Needs decision","Ready")</x:f>
        <x:v>Ready</x:v>
      </x:c>
      <x:c r="D913" s="6" t="str">
        <x:v>去</x:v>
      </x:c>
      <x:c r="E913" s="6" t="str">
        <x:v>kuwH (C)</x:v>
      </x:c>
      <x:c r="F913" s="6" t="str">
        <x:v>去聲二十六宥</x:v>
      </x:c>
      <x:c r="G913" s="6" t="str">
        <x:v>Pingshui main list, Wikisource-derived DOCX</x:v>
      </x:c>
      <x:c r="H913" s="6" t="str">
        <x:v>1</x:v>
      </x:c>
      <x:c r="I913" s="6" t="str"/>
      <x:c r="J913" s="6" t="str">
        <x:f>IF(B913="","",IF(AND(ISNUMBER(SEARCH("平",B913)),OR(ISNUMBER(SEARCH("上",B913)),ISNUMBER(SEARCH("去",B913)),ISNUMBER(SEARCH("入",B913)))),"Ambiguous",IF(ISNUMBER(SEARCH("平",B913)),"平","仄")))</x:f>
        <x:v>仄</x:v>
      </x:c>
      <x:c r="K913" s="6" t="str">
        <x:f>IF(D913="","",IF(AND(ISNUMBER(SEARCH("平",D913)),OR(ISNUMBER(SEARCH("上",D913)),ISNUMBER(SEARCH("去",D913)),ISNUMBER(SEARCH("入",D913)))),"Ambiguous",IF(ISNUMBER(SEARCH("平",D913)),"平","仄")))</x:f>
        <x:v>仄</x:v>
      </x:c>
      <x:c r="L913" s="7" t="str"/>
    </x:row>
    <x:row r="914">
      <x:c r="A914" s="5" t="str">
        <x:v>嫁</x:v>
      </x:c>
      <x:c r="B914" s="6" t="str">
        <x:v>去</x:v>
      </x:c>
      <x:c r="C914" s="6" t="str">
        <x:f>IF(B914="","Needs decision","Ready")</x:f>
        <x:v>Ready</x:v>
      </x:c>
      <x:c r="D914" s="6" t="str">
        <x:v>去</x:v>
      </x:c>
      <x:c r="E914" s="6" t="str">
        <x:v>kaeH (C)</x:v>
      </x:c>
      <x:c r="F914" s="6" t="str">
        <x:v>去聲二十二禡</x:v>
      </x:c>
      <x:c r="G914" s="6" t="str">
        <x:v>Pingshui main list, Wikisource-derived DOCX</x:v>
      </x:c>
      <x:c r="H914" s="6" t="str">
        <x:v>1</x:v>
      </x:c>
      <x:c r="I914" s="6" t="str"/>
      <x:c r="J914" s="6" t="str">
        <x:f>IF(B914="","",IF(AND(ISNUMBER(SEARCH("平",B914)),OR(ISNUMBER(SEARCH("上",B914)),ISNUMBER(SEARCH("去",B914)),ISNUMBER(SEARCH("入",B914)))),"Ambiguous",IF(ISNUMBER(SEARCH("平",B914)),"平","仄")))</x:f>
        <x:v>仄</x:v>
      </x:c>
      <x:c r="K914" s="6" t="str">
        <x:f>IF(D914="","",IF(AND(ISNUMBER(SEARCH("平",D914)),OR(ISNUMBER(SEARCH("上",D914)),ISNUMBER(SEARCH("去",D914)),ISNUMBER(SEARCH("入",D914)))),"Ambiguous",IF(ISNUMBER(SEARCH("平",D914)),"平","仄")))</x:f>
        <x:v>仄</x:v>
      </x:c>
      <x:c r="L914" s="7" t="str"/>
    </x:row>
    <x:row r="915">
      <x:c r="A915" s="5" t="str">
        <x:v>嫋</x:v>
      </x:c>
      <x:c r="B915" s="6" t="str">
        <x:v>上</x:v>
      </x:c>
      <x:c r="C915" s="6" t="str">
        <x:f>IF(B915="","Needs decision","Ready")</x:f>
        <x:v>Ready</x:v>
      </x:c>
      <x:c r="D915" s="6" t="str">
        <x:v>上</x:v>
      </x:c>
      <x:c r="E915" s="6" t="str">
        <x:v>newX [n̙ewʔ] (上)</x:v>
      </x:c>
      <x:c r="F915" s="6" t="str">
        <x:v>上聲十七篠; 入聲十藥</x:v>
      </x:c>
      <x:c r="G915" s="6" t="str">
        <x:v>Pingshui main list, Wikisource-derived DOCX</x:v>
      </x:c>
      <x:c r="H915" s="6" t="str">
        <x:v>1</x:v>
      </x:c>
      <x:c r="I915" s="6" t="str">
        <x:v>Tang 300 gap; frequency 2; provisional from Xun Gong</x:v>
      </x:c>
      <x:c r="J915" s="6" t="str">
        <x:f>IF(B915="","",IF(AND(ISNUMBER(SEARCH("平",B915)),OR(ISNUMBER(SEARCH("上",B915)),ISNUMBER(SEARCH("去",B915)),ISNUMBER(SEARCH("入",B915)))),"Ambiguous",IF(ISNUMBER(SEARCH("平",B915)),"平","仄")))</x:f>
        <x:v>仄</x:v>
      </x:c>
      <x:c r="K915" s="6" t="str">
        <x:f>IF(D915="","",IF(AND(ISNUMBER(SEARCH("平",D915)),OR(ISNUMBER(SEARCH("上",D915)),ISNUMBER(SEARCH("去",D915)),ISNUMBER(SEARCH("入",D915)))),"Ambiguous",IF(ISNUMBER(SEARCH("平",D915)),"平","仄")))</x:f>
        <x:v>仄</x:v>
      </x:c>
      <x:c r="L915" s="7" t="str">
        <x:v>Xun Gong, Tang 300 gap fill</x:v>
      </x:c>
    </x:row>
    <x:row r="916">
      <x:c r="A916" s="5" t="str">
        <x:v>嫌</x:v>
      </x:c>
      <x:c r="B916" s="6" t="str">
        <x:v>平</x:v>
      </x:c>
      <x:c r="C916" s="6" t="str">
        <x:f>IF(B916="","Needs decision","Ready")</x:f>
        <x:v>Ready</x:v>
      </x:c>
      <x:c r="D916" s="6" t="str">
        <x:v>平</x:v>
      </x:c>
      <x:c r="E916" s="6" t="str">
        <x:v>hem (A)</x:v>
      </x:c>
      <x:c r="F916" s="6" t="str">
        <x:v>下平聲十四鹽</x:v>
      </x:c>
      <x:c r="G916" s="6" t="str">
        <x:v>Pingshui main list, Wikisource-derived DOCX</x:v>
      </x:c>
      <x:c r="H916" s="6" t="str">
        <x:v>1</x:v>
      </x:c>
      <x:c r="I916" s="6" t="str"/>
      <x:c r="J916" s="6" t="str">
        <x:f>IF(B916="","",IF(AND(ISNUMBER(SEARCH("平",B916)),OR(ISNUMBER(SEARCH("上",B916)),ISNUMBER(SEARCH("去",B916)),ISNUMBER(SEARCH("入",B916)))),"Ambiguous",IF(ISNUMBER(SEARCH("平",B916)),"平","仄")))</x:f>
        <x:v>平</x:v>
      </x:c>
      <x:c r="K916" s="6" t="str">
        <x:f>IF(D916="","",IF(AND(ISNUMBER(SEARCH("平",D916)),OR(ISNUMBER(SEARCH("上",D916)),ISNUMBER(SEARCH("去",D916)),ISNUMBER(SEARCH("入",D916)))),"Ambiguous",IF(ISNUMBER(SEARCH("平",D916)),"平","仄")))</x:f>
        <x:v>平</x:v>
      </x:c>
      <x:c r="L916" s="7" t="str"/>
    </x:row>
    <x:row r="917">
      <x:c r="A917" s="5" t="str">
        <x:v>嫡</x:v>
      </x:c>
      <x:c r="B917" s="6" t="str">
        <x:v>入</x:v>
      </x:c>
      <x:c r="C917" s="6" t="str">
        <x:f>IF(B917="","Needs decision","Ready")</x:f>
        <x:v>Ready</x:v>
      </x:c>
      <x:c r="D917" s="6" t="str">
        <x:v>入</x:v>
      </x:c>
      <x:c r="E917" s="6" t="str">
        <x:v>tek (D)</x:v>
      </x:c>
      <x:c r="F917" s="6" t="str">
        <x:v>入聲十二錫</x:v>
      </x:c>
      <x:c r="G917" s="6" t="str">
        <x:v>Pingshui main list, Wikisource-derived DOCX</x:v>
      </x:c>
      <x:c r="H917" s="6" t="str">
        <x:v>1</x:v>
      </x:c>
      <x:c r="I917" s="6" t="str"/>
      <x:c r="J917" s="6" t="str">
        <x:f>IF(B917="","",IF(AND(ISNUMBER(SEARCH("平",B917)),OR(ISNUMBER(SEARCH("上",B917)),ISNUMBER(SEARCH("去",B917)),ISNUMBER(SEARCH("入",B917)))),"Ambiguous",IF(ISNUMBER(SEARCH("平",B917)),"平","仄")))</x:f>
        <x:v>仄</x:v>
      </x:c>
      <x:c r="K917" s="6" t="str">
        <x:f>IF(D917="","",IF(AND(ISNUMBER(SEARCH("平",D917)),OR(ISNUMBER(SEARCH("上",D917)),ISNUMBER(SEARCH("去",D917)),ISNUMBER(SEARCH("入",D917)))),"Ambiguous",IF(ISNUMBER(SEARCH("平",D917)),"平","仄")))</x:f>
        <x:v>仄</x:v>
      </x:c>
      <x:c r="L917" s="7" t="str"/>
    </x:row>
    <x:row r="918">
      <x:c r="A918" s="5" t="str">
        <x:v>嬋</x:v>
      </x:c>
      <x:c r="B918" s="6" t="str">
        <x:v>平</x:v>
      </x:c>
      <x:c r="C918" s="6" t="str">
        <x:f>IF(B918="","Needs decision","Ready")</x:f>
        <x:v>Ready</x:v>
      </x:c>
      <x:c r="D918" s="6" t="str">
        <x:v>平</x:v>
      </x:c>
      <x:c r="E918" s="6" t="str">
        <x:v>dzyen [dʑen] (平)</x:v>
      </x:c>
      <x:c r="F918" s="6" t="str">
        <x:v>下平聲一先</x:v>
      </x:c>
      <x:c r="G918" s="6" t="str">
        <x:v>Pingshui main list, Wikisource-derived DOCX</x:v>
      </x:c>
      <x:c r="H918" s="6" t="str">
        <x:v>1</x:v>
      </x:c>
      <x:c r="I918" s="6" t="str">
        <x:v>Tang 300 gap; frequency 1; provisional from Xun Gong</x:v>
      </x:c>
      <x:c r="J918" s="6" t="str">
        <x:f>IF(B918="","",IF(AND(ISNUMBER(SEARCH("平",B918)),OR(ISNUMBER(SEARCH("上",B918)),ISNUMBER(SEARCH("去",B918)),ISNUMBER(SEARCH("入",B918)))),"Ambiguous",IF(ISNUMBER(SEARCH("平",B918)),"平","仄")))</x:f>
        <x:v>平</x:v>
      </x:c>
      <x:c r="K918" s="6" t="str">
        <x:f>IF(D918="","",IF(AND(ISNUMBER(SEARCH("平",D918)),OR(ISNUMBER(SEARCH("上",D918)),ISNUMBER(SEARCH("去",D918)),ISNUMBER(SEARCH("入",D918)))),"Ambiguous",IF(ISNUMBER(SEARCH("平",D918)),"平","仄")))</x:f>
        <x:v>平</x:v>
      </x:c>
      <x:c r="L918" s="7" t="str">
        <x:v>Xun Gong, Tang 300 gap fill</x:v>
      </x:c>
    </x:row>
    <x:row r="919">
      <x:c r="A919" s="5" t="str">
        <x:v>嬌</x:v>
      </x:c>
      <x:c r="B919" s="6" t="str"/>
      <x:c r="C919" s="6" t="str">
        <x:f>IF(B919="","Needs decision","Ready")</x:f>
        <x:v>Needs decision</x:v>
      </x:c>
      <x:c r="D919" s="6" t="str">
        <x:v>平/上</x:v>
      </x:c>
      <x:c r="E919" s="6" t="str">
        <x:v>gjew [ɡɨ̯ew] (平); kjew [kɨ̯ew] (平); kjewX [kɨ̯ewʔ] (上)</x:v>
      </x:c>
      <x:c r="F919" s="6" t="str">
        <x:v>下平聲二蕭; 上聲十七篠</x:v>
      </x:c>
      <x:c r="G919" s="6" t="str">
        <x:v>Pingshui main list, Wikisource-derived DOCX</x:v>
      </x:c>
      <x:c r="H919" s="6" t="str">
        <x:v>3</x:v>
      </x:c>
      <x:c r="I919" s="6" t="str">
        <x:v>Tang 300 gap; frequency 3; ambiguous in Xun Gong</x:v>
      </x:c>
      <x:c r="J919" s="6" t="str">
        <x:f>IF(B919="","",IF(AND(ISNUMBER(SEARCH("平",B919)),OR(ISNUMBER(SEARCH("上",B919)),ISNUMBER(SEARCH("去",B919)),ISNUMBER(SEARCH("入",B919)))),"Ambiguous",IF(ISNUMBER(SEARCH("平",B919)),"平","仄")))</x:f>
      </x:c>
      <x:c r="K919" s="6" t="str">
        <x:f>IF(D919="","",IF(AND(ISNUMBER(SEARCH("平",D919)),OR(ISNUMBER(SEARCH("上",D919)),ISNUMBER(SEARCH("去",D919)),ISNUMBER(SEARCH("入",D919)))),"Ambiguous",IF(ISNUMBER(SEARCH("平",D919)),"平","仄")))</x:f>
        <x:v>Ambiguous</x:v>
      </x:c>
      <x:c r="L919" s="7" t="str">
        <x:v>Xun Gong, Tang 300 gap fill</x:v>
      </x:c>
    </x:row>
    <x:row r="920">
      <x:c r="A920" s="5" t="str">
        <x:v>嬖</x:v>
      </x:c>
      <x:c r="B920" s="6" t="str">
        <x:v>去</x:v>
      </x:c>
      <x:c r="C920" s="6" t="str">
        <x:f>IF(B920="","Needs decision","Ready")</x:f>
        <x:v>Ready</x:v>
      </x:c>
      <x:c r="D920" s="6" t="str">
        <x:v>去</x:v>
      </x:c>
      <x:c r="E920" s="6" t="str">
        <x:v>pejH (C)</x:v>
      </x:c>
      <x:c r="F920" s="6" t="str">
        <x:v>去聲八霽</x:v>
      </x:c>
      <x:c r="G920" s="6" t="str">
        <x:v>Pingshui main list, Wikisource-derived DOCX</x:v>
      </x:c>
      <x:c r="H920" s="6" t="str">
        <x:v>1</x:v>
      </x:c>
      <x:c r="I920" s="6" t="str"/>
      <x:c r="J920" s="6" t="str">
        <x:f>IF(B920="","",IF(AND(ISNUMBER(SEARCH("平",B920)),OR(ISNUMBER(SEARCH("上",B920)),ISNUMBER(SEARCH("去",B920)),ISNUMBER(SEARCH("入",B920)))),"Ambiguous",IF(ISNUMBER(SEARCH("平",B920)),"平","仄")))</x:f>
        <x:v>仄</x:v>
      </x:c>
      <x:c r="K920" s="6" t="str">
        <x:f>IF(D920="","",IF(AND(ISNUMBER(SEARCH("平",D920)),OR(ISNUMBER(SEARCH("上",D920)),ISNUMBER(SEARCH("去",D920)),ISNUMBER(SEARCH("入",D920)))),"Ambiguous",IF(ISNUMBER(SEARCH("平",D920)),"平","仄")))</x:f>
        <x:v>仄</x:v>
      </x:c>
      <x:c r="L920" s="7" t="str"/>
    </x:row>
    <x:row r="921">
      <x:c r="A921" s="5" t="str">
        <x:v>嬪</x:v>
      </x:c>
      <x:c r="B921" s="6" t="str">
        <x:v>平</x:v>
      </x:c>
      <x:c r="C921" s="6" t="str">
        <x:f>IF(B921="","Needs decision","Ready")</x:f>
        <x:v>Ready</x:v>
      </x:c>
      <x:c r="D921" s="6" t="str">
        <x:v>平</x:v>
      </x:c>
      <x:c r="E921" s="6" t="str">
        <x:v>bjin [bjin] (平)</x:v>
      </x:c>
      <x:c r="F921" s="6" t="str">
        <x:v>上平聲十一真</x:v>
      </x:c>
      <x:c r="G921" s="6" t="str">
        <x:v>Pingshui main list, Wikisource-derived DOCX</x:v>
      </x:c>
      <x:c r="H921" s="6" t="str">
        <x:v>1</x:v>
      </x:c>
      <x:c r="I921" s="6" t="str">
        <x:v>Tang 300 gap; frequency 1; provisional from Xun Gong</x:v>
      </x:c>
      <x:c r="J921" s="6" t="str">
        <x:f>IF(B921="","",IF(AND(ISNUMBER(SEARCH("平",B921)),OR(ISNUMBER(SEARCH("上",B921)),ISNUMBER(SEARCH("去",B921)),ISNUMBER(SEARCH("入",B921)))),"Ambiguous",IF(ISNUMBER(SEARCH("平",B921)),"平","仄")))</x:f>
        <x:v>平</x:v>
      </x:c>
      <x:c r="K921" s="6" t="str">
        <x:f>IF(D921="","",IF(AND(ISNUMBER(SEARCH("平",D921)),OR(ISNUMBER(SEARCH("上",D921)),ISNUMBER(SEARCH("去",D921)),ISNUMBER(SEARCH("入",D921)))),"Ambiguous",IF(ISNUMBER(SEARCH("平",D921)),"平","仄")))</x:f>
        <x:v>平</x:v>
      </x:c>
      <x:c r="L921" s="7" t="str">
        <x:v>Xun Gong, Tang 300 gap fill</x:v>
      </x:c>
    </x:row>
    <x:row r="922">
      <x:c r="A922" s="5" t="str">
        <x:v>嬰</x:v>
      </x:c>
      <x:c r="B922" s="6" t="str">
        <x:v>平</x:v>
      </x:c>
      <x:c r="C922" s="6" t="str">
        <x:f>IF(B922="","Needs decision","Ready")</x:f>
        <x:v>Ready</x:v>
      </x:c>
      <x:c r="D922" s="6" t="str">
        <x:v>平</x:v>
      </x:c>
      <x:c r="E922" s="6" t="str">
        <x:v>'jieng (A)</x:v>
      </x:c>
      <x:c r="F922" s="6" t="str">
        <x:v>下平聲八庚</x:v>
      </x:c>
      <x:c r="G922" s="6" t="str">
        <x:v>Pingshui main list, Wikisource-derived DOCX</x:v>
      </x:c>
      <x:c r="H922" s="6" t="str">
        <x:v>1</x:v>
      </x:c>
      <x:c r="I922" s="6" t="str"/>
      <x:c r="J922" s="6" t="str">
        <x:f>IF(B922="","",IF(AND(ISNUMBER(SEARCH("平",B922)),OR(ISNUMBER(SEARCH("上",B922)),ISNUMBER(SEARCH("去",B922)),ISNUMBER(SEARCH("入",B922)))),"Ambiguous",IF(ISNUMBER(SEARCH("平",B922)),"平","仄")))</x:f>
        <x:v>平</x:v>
      </x:c>
      <x:c r="K922" s="6" t="str">
        <x:f>IF(D922="","",IF(AND(ISNUMBER(SEARCH("平",D922)),OR(ISNUMBER(SEARCH("上",D922)),ISNUMBER(SEARCH("去",D922)),ISNUMBER(SEARCH("入",D922)))),"Ambiguous",IF(ISNUMBER(SEARCH("平",D922)),"平","仄")))</x:f>
        <x:v>平</x:v>
      </x:c>
      <x:c r="L922" s="7" t="str"/>
    </x:row>
    <x:row r="923">
      <x:c r="A923" s="5" t="str">
        <x:v>嬴</x:v>
      </x:c>
      <x:c r="B923" s="6" t="str">
        <x:v>平</x:v>
      </x:c>
      <x:c r="C923" s="6" t="str">
        <x:f>IF(B923="","Needs decision","Ready")</x:f>
        <x:v>Ready</x:v>
      </x:c>
      <x:c r="D923" s="6" t="str">
        <x:v>平</x:v>
      </x:c>
      <x:c r="E923" s="6" t="str"/>
      <x:c r="F923" s="6" t="str">
        <x:v>下平聲八庚</x:v>
      </x:c>
      <x:c r="G923" s="6" t="str">
        <x:v>Pingshui main list, Wikisource-derived DOCX</x:v>
      </x:c>
      <x:c r="H923" s="6" t="str"/>
      <x:c r="I923" s="6" t="str">
        <x:v>Manual user correction/addition</x:v>
      </x:c>
      <x:c r="J923" s="6" t="str">
        <x:f>IF(B923="","",IF(AND(ISNUMBER(SEARCH("平",B923)),OR(ISNUMBER(SEARCH("上",B923)),ISNUMBER(SEARCH("去",B923)),ISNUMBER(SEARCH("入",B923)))),"Ambiguous",IF(ISNUMBER(SEARCH("平",B923)),"平","仄")))</x:f>
        <x:v>平</x:v>
      </x:c>
      <x:c r="K923" s="6" t="str">
        <x:f>IF(D923="","",IF(AND(ISNUMBER(SEARCH("平",D923)),OR(ISNUMBER(SEARCH("上",D923)),ISNUMBER(SEARCH("去",D923)),ISNUMBER(SEARCH("入",D923)))),"Ambiguous",IF(ISNUMBER(SEARCH("平",D923)),"平","仄")))</x:f>
        <x:v>平</x:v>
      </x:c>
      <x:c r="L923" s="7" t="str">
        <x:v>manual user correction</x:v>
      </x:c>
    </x:row>
    <x:row r="924">
      <x:c r="A924" s="5" t="str">
        <x:v>孌</x:v>
      </x:c>
      <x:c r="B924" s="6" t="str">
        <x:v>上</x:v>
      </x:c>
      <x:c r="C924" s="6" t="str">
        <x:f>IF(B924="","Needs decision","Ready")</x:f>
        <x:v>Ready</x:v>
      </x:c>
      <x:c r="D924" s="6" t="str">
        <x:v>上</x:v>
      </x:c>
      <x:c r="E924" s="6" t="str">
        <x:v>ljwenX (B)</x:v>
      </x:c>
      <x:c r="F924" s="6" t="str">
        <x:v>上聲十六銑; 去聲十七霰</x:v>
      </x:c>
      <x:c r="G924" s="6" t="str">
        <x:v>Pingshui main list, Wikisource-derived DOCX</x:v>
      </x:c>
      <x:c r="H924" s="6" t="str">
        <x:v>1</x:v>
      </x:c>
      <x:c r="I924" s="6" t="str"/>
      <x:c r="J924" s="6" t="str">
        <x:f>IF(B924="","",IF(AND(ISNUMBER(SEARCH("平",B924)),OR(ISNUMBER(SEARCH("上",B924)),ISNUMBER(SEARCH("去",B924)),ISNUMBER(SEARCH("入",B924)))),"Ambiguous",IF(ISNUMBER(SEARCH("平",B924)),"平","仄")))</x:f>
        <x:v>仄</x:v>
      </x:c>
      <x:c r="K924" s="6" t="str">
        <x:f>IF(D924="","",IF(AND(ISNUMBER(SEARCH("平",D924)),OR(ISNUMBER(SEARCH("上",D924)),ISNUMBER(SEARCH("去",D924)),ISNUMBER(SEARCH("入",D924)))),"Ambiguous",IF(ISNUMBER(SEARCH("平",D924)),"平","仄")))</x:f>
        <x:v>仄</x:v>
      </x:c>
      <x:c r="L924" s="7" t="str"/>
    </x:row>
    <x:row r="925">
      <x:c r="A925" s="5" t="str">
        <x:v>子</x:v>
      </x:c>
      <x:c r="B925" s="6" t="str">
        <x:v>上</x:v>
      </x:c>
      <x:c r="C925" s="6" t="str">
        <x:f>IF(B925="","Needs decision","Ready")</x:f>
        <x:v>Ready</x:v>
      </x:c>
      <x:c r="D925" s="6" t="str">
        <x:v>上</x:v>
      </x:c>
      <x:c r="E925" s="6" t="str">
        <x:v>tsiX (B)</x:v>
      </x:c>
      <x:c r="F925" s="6" t="str">
        <x:v>上聲四紙</x:v>
      </x:c>
      <x:c r="G925" s="6" t="str">
        <x:v>Pingshui main list, Wikisource-derived DOCX</x:v>
      </x:c>
      <x:c r="H925" s="6" t="str">
        <x:v>1</x:v>
      </x:c>
      <x:c r="I925" s="6" t="str"/>
      <x:c r="J925" s="6" t="str">
        <x:f>IF(B925="","",IF(AND(ISNUMBER(SEARCH("平",B925)),OR(ISNUMBER(SEARCH("上",B925)),ISNUMBER(SEARCH("去",B925)),ISNUMBER(SEARCH("入",B925)))),"Ambiguous",IF(ISNUMBER(SEARCH("平",B925)),"平","仄")))</x:f>
        <x:v>仄</x:v>
      </x:c>
      <x:c r="K925" s="6" t="str">
        <x:f>IF(D925="","",IF(AND(ISNUMBER(SEARCH("平",D925)),OR(ISNUMBER(SEARCH("上",D925)),ISNUMBER(SEARCH("去",D925)),ISNUMBER(SEARCH("入",D925)))),"Ambiguous",IF(ISNUMBER(SEARCH("平",D925)),"平","仄")))</x:f>
        <x:v>仄</x:v>
      </x:c>
      <x:c r="L925" s="7" t="str"/>
    </x:row>
    <x:row r="926">
      <x:c r="A926" s="5" t="str">
        <x:v>孔</x:v>
      </x:c>
      <x:c r="B926" s="6" t="str">
        <x:v>上</x:v>
      </x:c>
      <x:c r="C926" s="6" t="str">
        <x:f>IF(B926="","Needs decision","Ready")</x:f>
        <x:v>Ready</x:v>
      </x:c>
      <x:c r="D926" s="6" t="str">
        <x:v>上</x:v>
      </x:c>
      <x:c r="E926" s="6" t="str">
        <x:v>khuwngX (B)</x:v>
      </x:c>
      <x:c r="F926" s="6" t="str">
        <x:v>上聲一董</x:v>
      </x:c>
      <x:c r="G926" s="6" t="str">
        <x:v>Pingshui main list, Wikisource-derived DOCX</x:v>
      </x:c>
      <x:c r="H926" s="6" t="str">
        <x:v>1</x:v>
      </x:c>
      <x:c r="I926" s="6" t="str"/>
      <x:c r="J926" s="6" t="str">
        <x:f>IF(B926="","",IF(AND(ISNUMBER(SEARCH("平",B926)),OR(ISNUMBER(SEARCH("上",B926)),ISNUMBER(SEARCH("去",B926)),ISNUMBER(SEARCH("入",B926)))),"Ambiguous",IF(ISNUMBER(SEARCH("平",B926)),"平","仄")))</x:f>
        <x:v>仄</x:v>
      </x:c>
      <x:c r="K926" s="6" t="str">
        <x:f>IF(D926="","",IF(AND(ISNUMBER(SEARCH("平",D926)),OR(ISNUMBER(SEARCH("上",D926)),ISNUMBER(SEARCH("去",D926)),ISNUMBER(SEARCH("入",D926)))),"Ambiguous",IF(ISNUMBER(SEARCH("平",D926)),"平","仄")))</x:f>
        <x:v>仄</x:v>
      </x:c>
      <x:c r="L926" s="7" t="str"/>
    </x:row>
    <x:row r="927">
      <x:c r="A927" s="5" t="str">
        <x:v>孕</x:v>
      </x:c>
      <x:c r="B927" s="6" t="str">
        <x:v>去</x:v>
      </x:c>
      <x:c r="C927" s="6" t="str">
        <x:f>IF(B927="","Needs decision","Ready")</x:f>
        <x:v>Ready</x:v>
      </x:c>
      <x:c r="D927" s="6" t="str">
        <x:v>去</x:v>
      </x:c>
      <x:c r="E927" s="6" t="str">
        <x:v>yingH (C)</x:v>
      </x:c>
      <x:c r="F927" s="6" t="str">
        <x:v>去聲二十五徑</x:v>
      </x:c>
      <x:c r="G927" s="6" t="str">
        <x:v>Pingshui main list, Wikisource-derived DOCX</x:v>
      </x:c>
      <x:c r="H927" s="6" t="str">
        <x:v>1</x:v>
      </x:c>
      <x:c r="I927" s="6" t="str"/>
      <x:c r="J927" s="6" t="str">
        <x:f>IF(B927="","",IF(AND(ISNUMBER(SEARCH("平",B927)),OR(ISNUMBER(SEARCH("上",B927)),ISNUMBER(SEARCH("去",B927)),ISNUMBER(SEARCH("入",B927)))),"Ambiguous",IF(ISNUMBER(SEARCH("平",B927)),"平","仄")))</x:f>
        <x:v>仄</x:v>
      </x:c>
      <x:c r="K927" s="6" t="str">
        <x:f>IF(D927="","",IF(AND(ISNUMBER(SEARCH("平",D927)),OR(ISNUMBER(SEARCH("上",D927)),ISNUMBER(SEARCH("去",D927)),ISNUMBER(SEARCH("入",D927)))),"Ambiguous",IF(ISNUMBER(SEARCH("平",D927)),"平","仄")))</x:f>
        <x:v>仄</x:v>
      </x:c>
      <x:c r="L927" s="7" t="str"/>
    </x:row>
    <x:row r="928">
      <x:c r="A928" s="5" t="str">
        <x:v>字</x:v>
      </x:c>
      <x:c r="B928" s="6" t="str">
        <x:v>去</x:v>
      </x:c>
      <x:c r="C928" s="6" t="str">
        <x:f>IF(B928="","Needs decision","Ready")</x:f>
        <x:v>Ready</x:v>
      </x:c>
      <x:c r="D928" s="6" t="str">
        <x:v>去</x:v>
      </x:c>
      <x:c r="E928" s="6" t="str">
        <x:v>dziH (C)</x:v>
      </x:c>
      <x:c r="F928" s="6" t="str">
        <x:v>去聲四寘</x:v>
      </x:c>
      <x:c r="G928" s="6" t="str">
        <x:v>Pingshui main list, Wikisource-derived DOCX</x:v>
      </x:c>
      <x:c r="H928" s="6" t="str">
        <x:v>1</x:v>
      </x:c>
      <x:c r="I928" s="6" t="str"/>
      <x:c r="J928" s="6" t="str">
        <x:f>IF(B928="","",IF(AND(ISNUMBER(SEARCH("平",B928)),OR(ISNUMBER(SEARCH("上",B928)),ISNUMBER(SEARCH("去",B928)),ISNUMBER(SEARCH("入",B928)))),"Ambiguous",IF(ISNUMBER(SEARCH("平",B928)),"平","仄")))</x:f>
        <x:v>仄</x:v>
      </x:c>
      <x:c r="K928" s="6" t="str">
        <x:f>IF(D928="","",IF(AND(ISNUMBER(SEARCH("平",D928)),OR(ISNUMBER(SEARCH("上",D928)),ISNUMBER(SEARCH("去",D928)),ISNUMBER(SEARCH("入",D928)))),"Ambiguous",IF(ISNUMBER(SEARCH("平",D928)),"平","仄")))</x:f>
        <x:v>仄</x:v>
      </x:c>
      <x:c r="L928" s="7" t="str"/>
    </x:row>
    <x:row r="929">
      <x:c r="A929" s="5" t="str">
        <x:v>存</x:v>
      </x:c>
      <x:c r="B929" s="6" t="str">
        <x:v>平</x:v>
      </x:c>
      <x:c r="C929" s="6" t="str">
        <x:f>IF(B929="","Needs decision","Ready")</x:f>
        <x:v>Ready</x:v>
      </x:c>
      <x:c r="D929" s="6" t="str">
        <x:v>平</x:v>
      </x:c>
      <x:c r="E929" s="6" t="str">
        <x:v>dzwon (A)</x:v>
      </x:c>
      <x:c r="F929" s="6" t="str">
        <x:v>上平聲十三元</x:v>
      </x:c>
      <x:c r="G929" s="6" t="str">
        <x:v>Pingshui main list, Wikisource-derived DOCX</x:v>
      </x:c>
      <x:c r="H929" s="6" t="str">
        <x:v>1</x:v>
      </x:c>
      <x:c r="I929" s="6" t="str"/>
      <x:c r="J929" s="6" t="str">
        <x:f>IF(B929="","",IF(AND(ISNUMBER(SEARCH("平",B929)),OR(ISNUMBER(SEARCH("上",B929)),ISNUMBER(SEARCH("去",B929)),ISNUMBER(SEARCH("入",B929)))),"Ambiguous",IF(ISNUMBER(SEARCH("平",B929)),"平","仄")))</x:f>
        <x:v>平</x:v>
      </x:c>
      <x:c r="K929" s="6" t="str">
        <x:f>IF(D929="","",IF(AND(ISNUMBER(SEARCH("平",D929)),OR(ISNUMBER(SEARCH("上",D929)),ISNUMBER(SEARCH("去",D929)),ISNUMBER(SEARCH("入",D929)))),"Ambiguous",IF(ISNUMBER(SEARCH("平",D929)),"平","仄")))</x:f>
        <x:v>平</x:v>
      </x:c>
      <x:c r="L929" s="7" t="str"/>
    </x:row>
    <x:row r="930">
      <x:c r="A930" s="5" t="str">
        <x:v>孛</x:v>
      </x:c>
      <x:c r="B930" s="6" t="str"/>
      <x:c r="C930" s="6" t="str">
        <x:f>IF(B930="","Needs decision","Ready")</x:f>
        <x:v>Needs decision</x:v>
      </x:c>
      <x:c r="D930" s="6" t="str">
        <x:v>去/入</x:v>
      </x:c>
      <x:c r="E930" s="6" t="str">
        <x:v>bwojH (C); bwot (D)</x:v>
      </x:c>
      <x:c r="F930" s="6" t="str">
        <x:v>去聲十一隊; 入聲六月</x:v>
      </x:c>
      <x:c r="G930" s="6" t="str">
        <x:v>Pingshui main list, Wikisource-derived DOCX</x:v>
      </x:c>
      <x:c r="H930" s="6" t="str">
        <x:v>2</x:v>
      </x:c>
      <x:c r="I930" s="6" t="str"/>
      <x:c r="J930" s="6" t="str">
        <x:f>IF(B930="","",IF(AND(ISNUMBER(SEARCH("平",B930)),OR(ISNUMBER(SEARCH("上",B930)),ISNUMBER(SEARCH("去",B930)),ISNUMBER(SEARCH("入",B930)))),"Ambiguous",IF(ISNUMBER(SEARCH("平",B930)),"平","仄")))</x:f>
      </x:c>
      <x:c r="K930" s="6" t="str">
        <x:f>IF(D930="","",IF(AND(ISNUMBER(SEARCH("平",D930)),OR(ISNUMBER(SEARCH("上",D930)),ISNUMBER(SEARCH("去",D930)),ISNUMBER(SEARCH("入",D930)))),"Ambiguous",IF(ISNUMBER(SEARCH("平",D930)),"平","仄")))</x:f>
        <x:v>仄</x:v>
      </x:c>
      <x:c r="L930" s="7" t="str"/>
    </x:row>
    <x:row r="931">
      <x:c r="A931" s="5" t="str">
        <x:v>孝</x:v>
      </x:c>
      <x:c r="B931" s="6" t="str">
        <x:v>去</x:v>
      </x:c>
      <x:c r="C931" s="6" t="str">
        <x:f>IF(B931="","Needs decision","Ready")</x:f>
        <x:v>Ready</x:v>
      </x:c>
      <x:c r="D931" s="6" t="str">
        <x:v>去</x:v>
      </x:c>
      <x:c r="E931" s="6" t="str">
        <x:v>xaewH (C)</x:v>
      </x:c>
      <x:c r="F931" s="6" t="str">
        <x:v>去聲十九效</x:v>
      </x:c>
      <x:c r="G931" s="6" t="str">
        <x:v>Pingshui main list, Wikisource-derived DOCX</x:v>
      </x:c>
      <x:c r="H931" s="6" t="str">
        <x:v>1</x:v>
      </x:c>
      <x:c r="I931" s="6" t="str"/>
      <x:c r="J931" s="6" t="str">
        <x:f>IF(B931="","",IF(AND(ISNUMBER(SEARCH("平",B931)),OR(ISNUMBER(SEARCH("上",B931)),ISNUMBER(SEARCH("去",B931)),ISNUMBER(SEARCH("入",B931)))),"Ambiguous",IF(ISNUMBER(SEARCH("平",B931)),"平","仄")))</x:f>
        <x:v>仄</x:v>
      </x:c>
      <x:c r="K931" s="6" t="str">
        <x:f>IF(D931="","",IF(AND(ISNUMBER(SEARCH("平",D931)),OR(ISNUMBER(SEARCH("上",D931)),ISNUMBER(SEARCH("去",D931)),ISNUMBER(SEARCH("入",D931)))),"Ambiguous",IF(ISNUMBER(SEARCH("平",D931)),"平","仄")))</x:f>
        <x:v>仄</x:v>
      </x:c>
      <x:c r="L931" s="7" t="str"/>
    </x:row>
    <x:row r="932">
      <x:c r="A932" s="5" t="str">
        <x:v>孟</x:v>
      </x:c>
      <x:c r="B932" s="6" t="str">
        <x:v>去</x:v>
      </x:c>
      <x:c r="C932" s="6" t="str">
        <x:f>IF(B932="","Needs decision","Ready")</x:f>
        <x:v>Ready</x:v>
      </x:c>
      <x:c r="D932" s="6" t="str">
        <x:v>去</x:v>
      </x:c>
      <x:c r="E932" s="6" t="str">
        <x:v>maengH (C)</x:v>
      </x:c>
      <x:c r="F932" s="6" t="str">
        <x:v>去聲二十四敬</x:v>
      </x:c>
      <x:c r="G932" s="6" t="str">
        <x:v>Pingshui main list, Wikisource-derived DOCX</x:v>
      </x:c>
      <x:c r="H932" s="6" t="str">
        <x:v>1</x:v>
      </x:c>
      <x:c r="I932" s="6" t="str"/>
      <x:c r="J932" s="6" t="str">
        <x:f>IF(B932="","",IF(AND(ISNUMBER(SEARCH("平",B932)),OR(ISNUMBER(SEARCH("上",B932)),ISNUMBER(SEARCH("去",B932)),ISNUMBER(SEARCH("入",B932)))),"Ambiguous",IF(ISNUMBER(SEARCH("平",B932)),"平","仄")))</x:f>
        <x:v>仄</x:v>
      </x:c>
      <x:c r="K932" s="6" t="str">
        <x:f>IF(D932="","",IF(AND(ISNUMBER(SEARCH("平",D932)),OR(ISNUMBER(SEARCH("上",D932)),ISNUMBER(SEARCH("去",D932)),ISNUMBER(SEARCH("入",D932)))),"Ambiguous",IF(ISNUMBER(SEARCH("平",D932)),"平","仄")))</x:f>
        <x:v>仄</x:v>
      </x:c>
      <x:c r="L932" s="7" t="str"/>
    </x:row>
    <x:row r="933">
      <x:c r="A933" s="5" t="str">
        <x:v>季</x:v>
      </x:c>
      <x:c r="B933" s="6" t="str">
        <x:v>去</x:v>
      </x:c>
      <x:c r="C933" s="6" t="str">
        <x:f>IF(B933="","Needs decision","Ready")</x:f>
        <x:v>Ready</x:v>
      </x:c>
      <x:c r="D933" s="6" t="str">
        <x:v>去</x:v>
      </x:c>
      <x:c r="E933" s="6" t="str">
        <x:v>kjwijH (C)</x:v>
      </x:c>
      <x:c r="F933" s="6" t="str">
        <x:v>去聲四寘</x:v>
      </x:c>
      <x:c r="G933" s="6" t="str">
        <x:v>Pingshui main list, Wikisource-derived DOCX</x:v>
      </x:c>
      <x:c r="H933" s="6" t="str">
        <x:v>1</x:v>
      </x:c>
      <x:c r="I933" s="6" t="str"/>
      <x:c r="J933" s="6" t="str">
        <x:f>IF(B933="","",IF(AND(ISNUMBER(SEARCH("平",B933)),OR(ISNUMBER(SEARCH("上",B933)),ISNUMBER(SEARCH("去",B933)),ISNUMBER(SEARCH("入",B933)))),"Ambiguous",IF(ISNUMBER(SEARCH("平",B933)),"平","仄")))</x:f>
        <x:v>仄</x:v>
      </x:c>
      <x:c r="K933" s="6" t="str">
        <x:f>IF(D933="","",IF(AND(ISNUMBER(SEARCH("平",D933)),OR(ISNUMBER(SEARCH("上",D933)),ISNUMBER(SEARCH("去",D933)),ISNUMBER(SEARCH("入",D933)))),"Ambiguous",IF(ISNUMBER(SEARCH("平",D933)),"平","仄")))</x:f>
        <x:v>仄</x:v>
      </x:c>
      <x:c r="L933" s="7" t="str"/>
    </x:row>
    <x:row r="934">
      <x:c r="A934" s="5" t="str">
        <x:v>孤</x:v>
      </x:c>
      <x:c r="B934" s="6" t="str">
        <x:v>平</x:v>
      </x:c>
      <x:c r="C934" s="6" t="str">
        <x:f>IF(B934="","Needs decision","Ready")</x:f>
        <x:v>Ready</x:v>
      </x:c>
      <x:c r="D934" s="6" t="str">
        <x:v>平</x:v>
      </x:c>
      <x:c r="E934" s="6" t="str">
        <x:v>ku (A)</x:v>
      </x:c>
      <x:c r="F934" s="6" t="str">
        <x:v>上平聲七虞</x:v>
      </x:c>
      <x:c r="G934" s="6" t="str">
        <x:v>Pingshui main list, Wikisource-derived DOCX</x:v>
      </x:c>
      <x:c r="H934" s="6" t="str">
        <x:v>1</x:v>
      </x:c>
      <x:c r="I934" s="6" t="str"/>
      <x:c r="J934" s="6" t="str">
        <x:f>IF(B934="","",IF(AND(ISNUMBER(SEARCH("平",B934)),OR(ISNUMBER(SEARCH("上",B934)),ISNUMBER(SEARCH("去",B934)),ISNUMBER(SEARCH("入",B934)))),"Ambiguous",IF(ISNUMBER(SEARCH("平",B934)),"平","仄")))</x:f>
        <x:v>平</x:v>
      </x:c>
      <x:c r="K934" s="6" t="str">
        <x:f>IF(D934="","",IF(AND(ISNUMBER(SEARCH("平",D934)),OR(ISNUMBER(SEARCH("上",D934)),ISNUMBER(SEARCH("去",D934)),ISNUMBER(SEARCH("入",D934)))),"Ambiguous",IF(ISNUMBER(SEARCH("平",D934)),"平","仄")))</x:f>
        <x:v>平</x:v>
      </x:c>
      <x:c r="L934" s="7" t="str"/>
    </x:row>
    <x:row r="935">
      <x:c r="A935" s="5" t="str">
        <x:v>孩</x:v>
      </x:c>
      <x:c r="B935" s="6" t="str">
        <x:v>平</x:v>
      </x:c>
      <x:c r="C935" s="6" t="str">
        <x:f>IF(B935="","Needs decision","Ready")</x:f>
        <x:v>Ready</x:v>
      </x:c>
      <x:c r="D935" s="6" t="str">
        <x:v>平</x:v>
      </x:c>
      <x:c r="E935" s="6" t="str">
        <x:v>hoj (A)</x:v>
      </x:c>
      <x:c r="F935" s="6" t="str">
        <x:v>上平聲十灰</x:v>
      </x:c>
      <x:c r="G935" s="6" t="str">
        <x:v>Pingshui main list, Wikisource-derived DOCX</x:v>
      </x:c>
      <x:c r="H935" s="6" t="str">
        <x:v>1</x:v>
      </x:c>
      <x:c r="I935" s="6" t="str"/>
      <x:c r="J935" s="6" t="str">
        <x:f>IF(B935="","",IF(AND(ISNUMBER(SEARCH("平",B935)),OR(ISNUMBER(SEARCH("上",B935)),ISNUMBER(SEARCH("去",B935)),ISNUMBER(SEARCH("入",B935)))),"Ambiguous",IF(ISNUMBER(SEARCH("平",B935)),"平","仄")))</x:f>
        <x:v>平</x:v>
      </x:c>
      <x:c r="K935" s="6" t="str">
        <x:f>IF(D935="","",IF(AND(ISNUMBER(SEARCH("平",D935)),OR(ISNUMBER(SEARCH("上",D935)),ISNUMBER(SEARCH("去",D935)),ISNUMBER(SEARCH("入",D935)))),"Ambiguous",IF(ISNUMBER(SEARCH("平",D935)),"平","仄")))</x:f>
        <x:v>平</x:v>
      </x:c>
      <x:c r="L935" s="7" t="str"/>
    </x:row>
    <x:row r="936">
      <x:c r="A936" s="5" t="str">
        <x:v>孫</x:v>
      </x:c>
      <x:c r="B936" s="6" t="str">
        <x:v>平</x:v>
      </x:c>
      <x:c r="C936" s="6" t="str">
        <x:f>IF(B936="","Needs decision","Ready")</x:f>
        <x:v>Ready</x:v>
      </x:c>
      <x:c r="D936" s="6" t="str">
        <x:v>平</x:v>
      </x:c>
      <x:c r="E936" s="6" t="str">
        <x:v>swon (A)</x:v>
      </x:c>
      <x:c r="F936" s="6" t="str">
        <x:v>上平聲十三元</x:v>
      </x:c>
      <x:c r="G936" s="6" t="str">
        <x:v>Pingshui main list, Wikisource-derived DOCX</x:v>
      </x:c>
      <x:c r="H936" s="6" t="str">
        <x:v>1</x:v>
      </x:c>
      <x:c r="I936" s="6" t="str"/>
      <x:c r="J936" s="6" t="str">
        <x:f>IF(B936="","",IF(AND(ISNUMBER(SEARCH("平",B936)),OR(ISNUMBER(SEARCH("上",B936)),ISNUMBER(SEARCH("去",B936)),ISNUMBER(SEARCH("入",B936)))),"Ambiguous",IF(ISNUMBER(SEARCH("平",B936)),"平","仄")))</x:f>
        <x:v>平</x:v>
      </x:c>
      <x:c r="K936" s="6" t="str">
        <x:f>IF(D936="","",IF(AND(ISNUMBER(SEARCH("平",D936)),OR(ISNUMBER(SEARCH("上",D936)),ISNUMBER(SEARCH("去",D936)),ISNUMBER(SEARCH("入",D936)))),"Ambiguous",IF(ISNUMBER(SEARCH("平",D936)),"平","仄")))</x:f>
        <x:v>平</x:v>
      </x:c>
      <x:c r="L936" s="7" t="str"/>
    </x:row>
    <x:row r="937">
      <x:c r="A937" s="5" t="str">
        <x:v>孰</x:v>
      </x:c>
      <x:c r="B937" s="6" t="str">
        <x:v>入</x:v>
      </x:c>
      <x:c r="C937" s="6" t="str">
        <x:f>IF(B937="","Needs decision","Ready")</x:f>
        <x:v>Ready</x:v>
      </x:c>
      <x:c r="D937" s="6" t="str">
        <x:v>入</x:v>
      </x:c>
      <x:c r="E937" s="6" t="str">
        <x:v>dzyuwk (D)</x:v>
      </x:c>
      <x:c r="F937" s="6" t="str"/>
      <x:c r="G937" s="6" t="str"/>
      <x:c r="H937" s="6" t="str">
        <x:v>1</x:v>
      </x:c>
      <x:c r="I937" s="6" t="str"/>
      <x:c r="J937" s="6" t="str">
        <x:f>IF(B937="","",IF(AND(ISNUMBER(SEARCH("平",B937)),OR(ISNUMBER(SEARCH("上",B937)),ISNUMBER(SEARCH("去",B937)),ISNUMBER(SEARCH("入",B937)))),"Ambiguous",IF(ISNUMBER(SEARCH("平",B937)),"平","仄")))</x:f>
        <x:v>仄</x:v>
      </x:c>
      <x:c r="K937" s="6" t="str">
        <x:f>IF(D937="","",IF(AND(ISNUMBER(SEARCH("平",D937)),OR(ISNUMBER(SEARCH("上",D937)),ISNUMBER(SEARCH("去",D937)),ISNUMBER(SEARCH("入",D937)))),"Ambiguous",IF(ISNUMBER(SEARCH("平",D937)),"平","仄")))</x:f>
        <x:v>仄</x:v>
      </x:c>
      <x:c r="L937" s="7" t="str"/>
    </x:row>
    <x:row r="938">
      <x:c r="A938" s="5" t="str">
        <x:v>孱</x:v>
      </x:c>
      <x:c r="B938" s="6" t="str">
        <x:v>平</x:v>
      </x:c>
      <x:c r="C938" s="6" t="str">
        <x:f>IF(B938="","Needs decision","Ready")</x:f>
        <x:v>Ready</x:v>
      </x:c>
      <x:c r="D938" s="6" t="str">
        <x:v>平</x:v>
      </x:c>
      <x:c r="E938" s="6" t="str">
        <x:v>dzrean (A)</x:v>
      </x:c>
      <x:c r="F938" s="6" t="str">
        <x:v>上平聲十五刪; 下平聲一先</x:v>
      </x:c>
      <x:c r="G938" s="6" t="str">
        <x:v>Pingshui main list, Wikisource-derived DOCX</x:v>
      </x:c>
      <x:c r="H938" s="6" t="str">
        <x:v>1</x:v>
      </x:c>
      <x:c r="I938" s="6" t="str"/>
      <x:c r="J938" s="6" t="str">
        <x:f>IF(B938="","",IF(AND(ISNUMBER(SEARCH("平",B938)),OR(ISNUMBER(SEARCH("上",B938)),ISNUMBER(SEARCH("去",B938)),ISNUMBER(SEARCH("入",B938)))),"Ambiguous",IF(ISNUMBER(SEARCH("平",B938)),"平","仄")))</x:f>
        <x:v>平</x:v>
      </x:c>
      <x:c r="K938" s="6" t="str">
        <x:f>IF(D938="","",IF(AND(ISNUMBER(SEARCH("平",D938)),OR(ISNUMBER(SEARCH("上",D938)),ISNUMBER(SEARCH("去",D938)),ISNUMBER(SEARCH("入",D938)))),"Ambiguous",IF(ISNUMBER(SEARCH("平",D938)),"平","仄")))</x:f>
        <x:v>平</x:v>
      </x:c>
      <x:c r="L938" s="7" t="str"/>
    </x:row>
    <x:row r="939">
      <x:c r="A939" s="5" t="str">
        <x:v>學</x:v>
      </x:c>
      <x:c r="B939" s="6" t="str">
        <x:v>入</x:v>
      </x:c>
      <x:c r="C939" s="6" t="str">
        <x:f>IF(B939="","Needs decision","Ready")</x:f>
        <x:v>Ready</x:v>
      </x:c>
      <x:c r="D939" s="6" t="str">
        <x:v>入</x:v>
      </x:c>
      <x:c r="E939" s="6" t="str">
        <x:v>haewk (D)</x:v>
      </x:c>
      <x:c r="F939" s="6" t="str">
        <x:v>入聲三覺</x:v>
      </x:c>
      <x:c r="G939" s="6" t="str">
        <x:v>Pingshui main list, Wikisource-derived DOCX</x:v>
      </x:c>
      <x:c r="H939" s="6" t="str">
        <x:v>1</x:v>
      </x:c>
      <x:c r="I939" s="6" t="str"/>
      <x:c r="J939" s="6" t="str">
        <x:f>IF(B939="","",IF(AND(ISNUMBER(SEARCH("平",B939)),OR(ISNUMBER(SEARCH("上",B939)),ISNUMBER(SEARCH("去",B939)),ISNUMBER(SEARCH("入",B939)))),"Ambiguous",IF(ISNUMBER(SEARCH("平",B939)),"平","仄")))</x:f>
        <x:v>仄</x:v>
      </x:c>
      <x:c r="K939" s="6" t="str">
        <x:f>IF(D939="","",IF(AND(ISNUMBER(SEARCH("平",D939)),OR(ISNUMBER(SEARCH("上",D939)),ISNUMBER(SEARCH("去",D939)),ISNUMBER(SEARCH("入",D939)))),"Ambiguous",IF(ISNUMBER(SEARCH("平",D939)),"平","仄")))</x:f>
        <x:v>仄</x:v>
      </x:c>
      <x:c r="L939" s="7" t="str"/>
    </x:row>
    <x:row r="940">
      <x:c r="A940" s="5" t="str">
        <x:v>孺</x:v>
      </x:c>
      <x:c r="B940" s="6" t="str">
        <x:v>去</x:v>
      </x:c>
      <x:c r="C940" s="6" t="str">
        <x:f>IF(B940="","Needs decision","Ready")</x:f>
        <x:v>Ready</x:v>
      </x:c>
      <x:c r="D940" s="6" t="str">
        <x:v>去</x:v>
      </x:c>
      <x:c r="E940" s="6" t="str">
        <x:v>nyuH (C)</x:v>
      </x:c>
      <x:c r="F940" s="6" t="str">
        <x:v>去聲七遇</x:v>
      </x:c>
      <x:c r="G940" s="6" t="str">
        <x:v>Pingshui main list, Wikisource-derived DOCX</x:v>
      </x:c>
      <x:c r="H940" s="6" t="str">
        <x:v>1</x:v>
      </x:c>
      <x:c r="I940" s="6" t="str"/>
      <x:c r="J940" s="6" t="str">
        <x:f>IF(B940="","",IF(AND(ISNUMBER(SEARCH("平",B940)),OR(ISNUMBER(SEARCH("上",B940)),ISNUMBER(SEARCH("去",B940)),ISNUMBER(SEARCH("入",B940)))),"Ambiguous",IF(ISNUMBER(SEARCH("平",B940)),"平","仄")))</x:f>
        <x:v>仄</x:v>
      </x:c>
      <x:c r="K940" s="6" t="str">
        <x:f>IF(D940="","",IF(AND(ISNUMBER(SEARCH("平",D940)),OR(ISNUMBER(SEARCH("上",D940)),ISNUMBER(SEARCH("去",D940)),ISNUMBER(SEARCH("入",D940)))),"Ambiguous",IF(ISNUMBER(SEARCH("平",D940)),"平","仄")))</x:f>
        <x:v>仄</x:v>
      </x:c>
      <x:c r="L940" s="7" t="str"/>
    </x:row>
    <x:row r="941">
      <x:c r="A941" s="5" t="str">
        <x:v>孼</x:v>
      </x:c>
      <x:c r="B941" s="6" t="str">
        <x:v>入</x:v>
      </x:c>
      <x:c r="C941" s="6" t="str">
        <x:f>IF(B941="","Needs decision","Ready")</x:f>
        <x:v>Ready</x:v>
      </x:c>
      <x:c r="D941" s="6" t="str">
        <x:v>入</x:v>
      </x:c>
      <x:c r="E941" s="6" t="str">
        <x:v>ngjet (D)</x:v>
      </x:c>
      <x:c r="F941" s="6" t="str"/>
      <x:c r="G941" s="6" t="str"/>
      <x:c r="H941" s="6" t="str">
        <x:v>1</x:v>
      </x:c>
      <x:c r="I941" s="6" t="str"/>
      <x:c r="J941" s="6" t="str">
        <x:f>IF(B941="","",IF(AND(ISNUMBER(SEARCH("平",B941)),OR(ISNUMBER(SEARCH("上",B941)),ISNUMBER(SEARCH("去",B941)),ISNUMBER(SEARCH("入",B941)))),"Ambiguous",IF(ISNUMBER(SEARCH("平",B941)),"平","仄")))</x:f>
        <x:v>仄</x:v>
      </x:c>
      <x:c r="K941" s="6" t="str">
        <x:f>IF(D941="","",IF(AND(ISNUMBER(SEARCH("平",D941)),OR(ISNUMBER(SEARCH("上",D941)),ISNUMBER(SEARCH("去",D941)),ISNUMBER(SEARCH("入",D941)))),"Ambiguous",IF(ISNUMBER(SEARCH("平",D941)),"平","仄")))</x:f>
        <x:v>仄</x:v>
      </x:c>
      <x:c r="L941" s="7" t="str"/>
    </x:row>
    <x:row r="942">
      <x:c r="A942" s="5" t="str">
        <x:v>孿</x:v>
      </x:c>
      <x:c r="B942" s="6" t="str">
        <x:v>去</x:v>
      </x:c>
      <x:c r="C942" s="6" t="str">
        <x:f>IF(B942="","Needs decision","Ready")</x:f>
        <x:v>Ready</x:v>
      </x:c>
      <x:c r="D942" s="6" t="str">
        <x:v>去</x:v>
      </x:c>
      <x:c r="E942" s="6" t="str">
        <x:v>srjwenH (C); srwaenH (C)</x:v>
      </x:c>
      <x:c r="F942" s="6" t="str"/>
      <x:c r="G942" s="6" t="str"/>
      <x:c r="H942" s="6" t="str">
        <x:v>2</x:v>
      </x:c>
      <x:c r="I942" s="6" t="str"/>
      <x:c r="J942" s="6" t="str">
        <x:f>IF(B942="","",IF(AND(ISNUMBER(SEARCH("平",B942)),OR(ISNUMBER(SEARCH("上",B942)),ISNUMBER(SEARCH("去",B942)),ISNUMBER(SEARCH("入",B942)))),"Ambiguous",IF(ISNUMBER(SEARCH("平",B942)),"平","仄")))</x:f>
        <x:v>仄</x:v>
      </x:c>
      <x:c r="K942" s="6" t="str">
        <x:f>IF(D942="","",IF(AND(ISNUMBER(SEARCH("平",D942)),OR(ISNUMBER(SEARCH("上",D942)),ISNUMBER(SEARCH("去",D942)),ISNUMBER(SEARCH("入",D942)))),"Ambiguous",IF(ISNUMBER(SEARCH("平",D942)),"平","仄")))</x:f>
        <x:v>仄</x:v>
      </x:c>
      <x:c r="L942" s="7" t="str"/>
    </x:row>
    <x:row r="943">
      <x:c r="A943" s="5" t="str">
        <x:v>宀</x:v>
      </x:c>
      <x:c r="B943" s="6" t="str">
        <x:v>平</x:v>
      </x:c>
      <x:c r="C943" s="6" t="str">
        <x:f>IF(B943="","Needs decision","Ready")</x:f>
        <x:v>Ready</x:v>
      </x:c>
      <x:c r="D943" s="6" t="str">
        <x:v>平</x:v>
      </x:c>
      <x:c r="E943" s="6" t="str">
        <x:v>mjien (A)</x:v>
      </x:c>
      <x:c r="F943" s="6" t="str"/>
      <x:c r="G943" s="6" t="str"/>
      <x:c r="H943" s="6" t="str">
        <x:v>1</x:v>
      </x:c>
      <x:c r="I943" s="6" t="str"/>
      <x:c r="J943" s="6" t="str">
        <x:f>IF(B943="","",IF(AND(ISNUMBER(SEARCH("平",B943)),OR(ISNUMBER(SEARCH("上",B943)),ISNUMBER(SEARCH("去",B943)),ISNUMBER(SEARCH("入",B943)))),"Ambiguous",IF(ISNUMBER(SEARCH("平",B943)),"平","仄")))</x:f>
        <x:v>平</x:v>
      </x:c>
      <x:c r="K943" s="6" t="str">
        <x:f>IF(D943="","",IF(AND(ISNUMBER(SEARCH("平",D943)),OR(ISNUMBER(SEARCH("上",D943)),ISNUMBER(SEARCH("去",D943)),ISNUMBER(SEARCH("入",D943)))),"Ambiguous",IF(ISNUMBER(SEARCH("平",D943)),"平","仄")))</x:f>
        <x:v>平</x:v>
      </x:c>
      <x:c r="L943" s="7" t="str"/>
    </x:row>
    <x:row r="944">
      <x:c r="A944" s="5" t="str">
        <x:v>它</x:v>
      </x:c>
      <x:c r="B944" s="6" t="str">
        <x:v>平</x:v>
      </x:c>
      <x:c r="C944" s="6" t="str">
        <x:f>IF(B944="","Needs decision","Ready")</x:f>
        <x:v>Ready</x:v>
      </x:c>
      <x:c r="D944" s="6" t="str">
        <x:v>平</x:v>
      </x:c>
      <x:c r="E944" s="6" t="str">
        <x:v>tha (A)</x:v>
      </x:c>
      <x:c r="F944" s="6" t="str"/>
      <x:c r="G944" s="6" t="str"/>
      <x:c r="H944" s="6" t="str">
        <x:v>1</x:v>
      </x:c>
      <x:c r="I944" s="6" t="str"/>
      <x:c r="J944" s="6" t="str">
        <x:f>IF(B944="","",IF(AND(ISNUMBER(SEARCH("平",B944)),OR(ISNUMBER(SEARCH("上",B944)),ISNUMBER(SEARCH("去",B944)),ISNUMBER(SEARCH("入",B944)))),"Ambiguous",IF(ISNUMBER(SEARCH("平",B944)),"平","仄")))</x:f>
        <x:v>平</x:v>
      </x:c>
      <x:c r="K944" s="6" t="str">
        <x:f>IF(D944="","",IF(AND(ISNUMBER(SEARCH("平",D944)),OR(ISNUMBER(SEARCH("上",D944)),ISNUMBER(SEARCH("去",D944)),ISNUMBER(SEARCH("入",D944)))),"Ambiguous",IF(ISNUMBER(SEARCH("平",D944)),"平","仄")))</x:f>
        <x:v>平</x:v>
      </x:c>
      <x:c r="L944" s="7" t="str"/>
    </x:row>
    <x:row r="945">
      <x:c r="A945" s="5" t="str">
        <x:v>宅</x:v>
      </x:c>
      <x:c r="B945" s="6" t="str">
        <x:v>入</x:v>
      </x:c>
      <x:c r="C945" s="6" t="str">
        <x:f>IF(B945="","Needs decision","Ready")</x:f>
        <x:v>Ready</x:v>
      </x:c>
      <x:c r="D945" s="6" t="str">
        <x:v>入</x:v>
      </x:c>
      <x:c r="E945" s="6" t="str">
        <x:v>draek (D)</x:v>
      </x:c>
      <x:c r="F945" s="6" t="str">
        <x:v>入聲十一陌</x:v>
      </x:c>
      <x:c r="G945" s="6" t="str">
        <x:v>Pingshui main list, Wikisource-derived DOCX</x:v>
      </x:c>
      <x:c r="H945" s="6" t="str">
        <x:v>1</x:v>
      </x:c>
      <x:c r="I945" s="6" t="str"/>
      <x:c r="J945" s="6" t="str">
        <x:f>IF(B945="","",IF(AND(ISNUMBER(SEARCH("平",B945)),OR(ISNUMBER(SEARCH("上",B945)),ISNUMBER(SEARCH("去",B945)),ISNUMBER(SEARCH("入",B945)))),"Ambiguous",IF(ISNUMBER(SEARCH("平",B945)),"平","仄")))</x:f>
        <x:v>仄</x:v>
      </x:c>
      <x:c r="K945" s="6" t="str">
        <x:f>IF(D945="","",IF(AND(ISNUMBER(SEARCH("平",D945)),OR(ISNUMBER(SEARCH("上",D945)),ISNUMBER(SEARCH("去",D945)),ISNUMBER(SEARCH("入",D945)))),"Ambiguous",IF(ISNUMBER(SEARCH("平",D945)),"平","仄")))</x:f>
        <x:v>仄</x:v>
      </x:c>
      <x:c r="L945" s="7" t="str"/>
    </x:row>
    <x:row r="946">
      <x:c r="A946" s="5" t="str">
        <x:v>宇</x:v>
      </x:c>
      <x:c r="B946" s="6" t="str">
        <x:v>上</x:v>
      </x:c>
      <x:c r="C946" s="6" t="str">
        <x:f>IF(B946="","Needs decision","Ready")</x:f>
        <x:v>Ready</x:v>
      </x:c>
      <x:c r="D946" s="6" t="str">
        <x:v>上</x:v>
      </x:c>
      <x:c r="E946" s="6" t="str">
        <x:v>hjuX (B)</x:v>
      </x:c>
      <x:c r="F946" s="6" t="str">
        <x:v>上聲七麌</x:v>
      </x:c>
      <x:c r="G946" s="6" t="str">
        <x:v>Pingshui main list, Wikisource-derived DOCX</x:v>
      </x:c>
      <x:c r="H946" s="6" t="str">
        <x:v>1</x:v>
      </x:c>
      <x:c r="I946" s="6" t="str"/>
      <x:c r="J946" s="6" t="str">
        <x:f>IF(B946="","",IF(AND(ISNUMBER(SEARCH("平",B946)),OR(ISNUMBER(SEARCH("上",B946)),ISNUMBER(SEARCH("去",B946)),ISNUMBER(SEARCH("入",B946)))),"Ambiguous",IF(ISNUMBER(SEARCH("平",B946)),"平","仄")))</x:f>
        <x:v>仄</x:v>
      </x:c>
      <x:c r="K946" s="6" t="str">
        <x:f>IF(D946="","",IF(AND(ISNUMBER(SEARCH("平",D946)),OR(ISNUMBER(SEARCH("上",D946)),ISNUMBER(SEARCH("去",D946)),ISNUMBER(SEARCH("入",D946)))),"Ambiguous",IF(ISNUMBER(SEARCH("平",D946)),"平","仄")))</x:f>
        <x:v>仄</x:v>
      </x:c>
      <x:c r="L946" s="7" t="str"/>
    </x:row>
    <x:row r="947">
      <x:c r="A947" s="5" t="str">
        <x:v>守</x:v>
      </x:c>
      <x:c r="B947" s="6" t="str"/>
      <x:c r="C947" s="6" t="str">
        <x:f>IF(B947="","Needs decision","Ready")</x:f>
        <x:v>Needs decision</x:v>
      </x:c>
      <x:c r="D947" s="6" t="str">
        <x:v>上/去</x:v>
      </x:c>
      <x:c r="E947" s="6" t="str">
        <x:v>syuwX (B); syuwH (C)</x:v>
      </x:c>
      <x:c r="F947" s="6" t="str">
        <x:v>上聲二十五有; 去聲二十六宥</x:v>
      </x:c>
      <x:c r="G947" s="6" t="str">
        <x:v>Pingshui main list, Wikisource-derived DOCX</x:v>
      </x:c>
      <x:c r="H947" s="6" t="str">
        <x:v>2</x:v>
      </x:c>
      <x:c r="I947" s="6" t="str"/>
      <x:c r="J947" s="6" t="str">
        <x:f>IF(B947="","",IF(AND(ISNUMBER(SEARCH("平",B947)),OR(ISNUMBER(SEARCH("上",B947)),ISNUMBER(SEARCH("去",B947)),ISNUMBER(SEARCH("入",B947)))),"Ambiguous",IF(ISNUMBER(SEARCH("平",B947)),"平","仄")))</x:f>
      </x:c>
      <x:c r="K947" s="6" t="str">
        <x:f>IF(D947="","",IF(AND(ISNUMBER(SEARCH("平",D947)),OR(ISNUMBER(SEARCH("上",D947)),ISNUMBER(SEARCH("去",D947)),ISNUMBER(SEARCH("入",D947)))),"Ambiguous",IF(ISNUMBER(SEARCH("平",D947)),"平","仄")))</x:f>
        <x:v>仄</x:v>
      </x:c>
      <x:c r="L947" s="7" t="str"/>
    </x:row>
    <x:row r="948">
      <x:c r="A948" s="5" t="str">
        <x:v>安</x:v>
      </x:c>
      <x:c r="B948" s="6" t="str">
        <x:v>平</x:v>
      </x:c>
      <x:c r="C948" s="6" t="str">
        <x:f>IF(B948="","Needs decision","Ready")</x:f>
        <x:v>Ready</x:v>
      </x:c>
      <x:c r="D948" s="6" t="str">
        <x:v>平</x:v>
      </x:c>
      <x:c r="E948" s="6" t="str">
        <x:v>'an (A)</x:v>
      </x:c>
      <x:c r="F948" s="6" t="str">
        <x:v>上平聲十四寒</x:v>
      </x:c>
      <x:c r="G948" s="6" t="str">
        <x:v>Pingshui main list, Wikisource-derived DOCX</x:v>
      </x:c>
      <x:c r="H948" s="6" t="str">
        <x:v>1</x:v>
      </x:c>
      <x:c r="I948" s="6" t="str"/>
      <x:c r="J948" s="6" t="str">
        <x:f>IF(B948="","",IF(AND(ISNUMBER(SEARCH("平",B948)),OR(ISNUMBER(SEARCH("上",B948)),ISNUMBER(SEARCH("去",B948)),ISNUMBER(SEARCH("入",B948)))),"Ambiguous",IF(ISNUMBER(SEARCH("平",B948)),"平","仄")))</x:f>
        <x:v>平</x:v>
      </x:c>
      <x:c r="K948" s="6" t="str">
        <x:f>IF(D948="","",IF(AND(ISNUMBER(SEARCH("平",D948)),OR(ISNUMBER(SEARCH("上",D948)),ISNUMBER(SEARCH("去",D948)),ISNUMBER(SEARCH("入",D948)))),"Ambiguous",IF(ISNUMBER(SEARCH("平",D948)),"平","仄")))</x:f>
        <x:v>平</x:v>
      </x:c>
      <x:c r="L948" s="7" t="str"/>
    </x:row>
    <x:row r="949">
      <x:c r="A949" s="5" t="str">
        <x:v>宋</x:v>
      </x:c>
      <x:c r="B949" s="6" t="str">
        <x:v>去</x:v>
      </x:c>
      <x:c r="C949" s="6" t="str">
        <x:f>IF(B949="","Needs decision","Ready")</x:f>
        <x:v>Ready</x:v>
      </x:c>
      <x:c r="D949" s="6" t="str">
        <x:v>去</x:v>
      </x:c>
      <x:c r="E949" s="6" t="str">
        <x:v>sowngH (C)</x:v>
      </x:c>
      <x:c r="F949" s="6" t="str">
        <x:v>去聲二宋</x:v>
      </x:c>
      <x:c r="G949" s="6" t="str">
        <x:v>Pingshui main list, Wikisource-derived DOCX</x:v>
      </x:c>
      <x:c r="H949" s="6" t="str">
        <x:v>1</x:v>
      </x:c>
      <x:c r="I949" s="6" t="str"/>
      <x:c r="J949" s="6" t="str">
        <x:f>IF(B949="","",IF(AND(ISNUMBER(SEARCH("平",B949)),OR(ISNUMBER(SEARCH("上",B949)),ISNUMBER(SEARCH("去",B949)),ISNUMBER(SEARCH("入",B949)))),"Ambiguous",IF(ISNUMBER(SEARCH("平",B949)),"平","仄")))</x:f>
        <x:v>仄</x:v>
      </x:c>
      <x:c r="K949" s="6" t="str">
        <x:f>IF(D949="","",IF(AND(ISNUMBER(SEARCH("平",D949)),OR(ISNUMBER(SEARCH("上",D949)),ISNUMBER(SEARCH("去",D949)),ISNUMBER(SEARCH("入",D949)))),"Ambiguous",IF(ISNUMBER(SEARCH("平",D949)),"平","仄")))</x:f>
        <x:v>仄</x:v>
      </x:c>
      <x:c r="L949" s="7" t="str"/>
    </x:row>
    <x:row r="950">
      <x:c r="A950" s="5" t="str">
        <x:v>完</x:v>
      </x:c>
      <x:c r="B950" s="6" t="str">
        <x:v>平</x:v>
      </x:c>
      <x:c r="C950" s="6" t="str">
        <x:f>IF(B950="","Needs decision","Ready")</x:f>
        <x:v>Ready</x:v>
      </x:c>
      <x:c r="D950" s="6" t="str">
        <x:v>平</x:v>
      </x:c>
      <x:c r="E950" s="6" t="str">
        <x:v>hwan (A)</x:v>
      </x:c>
      <x:c r="F950" s="6" t="str">
        <x:v>上平聲十四寒</x:v>
      </x:c>
      <x:c r="G950" s="6" t="str">
        <x:v>Pingshui main list, Wikisource-derived DOCX</x:v>
      </x:c>
      <x:c r="H950" s="6" t="str">
        <x:v>1</x:v>
      </x:c>
      <x:c r="I950" s="6" t="str"/>
      <x:c r="J950" s="6" t="str">
        <x:f>IF(B950="","",IF(AND(ISNUMBER(SEARCH("平",B950)),OR(ISNUMBER(SEARCH("上",B950)),ISNUMBER(SEARCH("去",B950)),ISNUMBER(SEARCH("入",B950)))),"Ambiguous",IF(ISNUMBER(SEARCH("平",B950)),"平","仄")))</x:f>
        <x:v>平</x:v>
      </x:c>
      <x:c r="K950" s="6" t="str">
        <x:f>IF(D950="","",IF(AND(ISNUMBER(SEARCH("平",D950)),OR(ISNUMBER(SEARCH("上",D950)),ISNUMBER(SEARCH("去",D950)),ISNUMBER(SEARCH("入",D950)))),"Ambiguous",IF(ISNUMBER(SEARCH("平",D950)),"平","仄")))</x:f>
        <x:v>平</x:v>
      </x:c>
      <x:c r="L950" s="7" t="str"/>
    </x:row>
    <x:row r="951">
      <x:c r="A951" s="5" t="str">
        <x:v>宏</x:v>
      </x:c>
      <x:c r="B951" s="6" t="str">
        <x:v>平</x:v>
      </x:c>
      <x:c r="C951" s="6" t="str">
        <x:f>IF(B951="","Needs decision","Ready")</x:f>
        <x:v>Ready</x:v>
      </x:c>
      <x:c r="D951" s="6" t="str">
        <x:v>平</x:v>
      </x:c>
      <x:c r="E951" s="6" t="str">
        <x:v>hweang (A)</x:v>
      </x:c>
      <x:c r="F951" s="6" t="str">
        <x:v>下平聲八庚</x:v>
      </x:c>
      <x:c r="G951" s="6" t="str">
        <x:v>Pingshui main list, Wikisource-derived DOCX</x:v>
      </x:c>
      <x:c r="H951" s="6" t="str">
        <x:v>1</x:v>
      </x:c>
      <x:c r="I951" s="6" t="str"/>
      <x:c r="J951" s="6" t="str">
        <x:f>IF(B951="","",IF(AND(ISNUMBER(SEARCH("平",B951)),OR(ISNUMBER(SEARCH("上",B951)),ISNUMBER(SEARCH("去",B951)),ISNUMBER(SEARCH("入",B951)))),"Ambiguous",IF(ISNUMBER(SEARCH("平",B951)),"平","仄")))</x:f>
        <x:v>平</x:v>
      </x:c>
      <x:c r="K951" s="6" t="str">
        <x:f>IF(D951="","",IF(AND(ISNUMBER(SEARCH("平",D951)),OR(ISNUMBER(SEARCH("上",D951)),ISNUMBER(SEARCH("去",D951)),ISNUMBER(SEARCH("入",D951)))),"Ambiguous",IF(ISNUMBER(SEARCH("平",D951)),"平","仄")))</x:f>
        <x:v>平</x:v>
      </x:c>
      <x:c r="L951" s="7" t="str"/>
    </x:row>
    <x:row r="952">
      <x:c r="A952" s="5" t="str">
        <x:v>宓</x:v>
      </x:c>
      <x:c r="B952" s="6" t="str">
        <x:v>入</x:v>
      </x:c>
      <x:c r="C952" s="6" t="str">
        <x:f>IF(B952="","Needs decision","Ready")</x:f>
        <x:v>Ready</x:v>
      </x:c>
      <x:c r="D952" s="6" t="str">
        <x:v>入</x:v>
      </x:c>
      <x:c r="E952" s="6" t="str">
        <x:v>mit [mɨ̯it] (入); mjit [mjit] (入)</x:v>
      </x:c>
      <x:c r="F952" s="6" t="str"/>
      <x:c r="G952" s="6" t="str"/>
      <x:c r="H952" s="6" t="str">
        <x:v>2</x:v>
      </x:c>
      <x:c r="I952" s="6" t="str">
        <x:v>Tang 300 gap; frequency 1; provisional from Xun Gong</x:v>
      </x:c>
      <x:c r="J952" s="6" t="str">
        <x:f>IF(B952="","",IF(AND(ISNUMBER(SEARCH("平",B952)),OR(ISNUMBER(SEARCH("上",B952)),ISNUMBER(SEARCH("去",B952)),ISNUMBER(SEARCH("入",B952)))),"Ambiguous",IF(ISNUMBER(SEARCH("平",B952)),"平","仄")))</x:f>
        <x:v>仄</x:v>
      </x:c>
      <x:c r="K952" s="6" t="str">
        <x:f>IF(D952="","",IF(AND(ISNUMBER(SEARCH("平",D952)),OR(ISNUMBER(SEARCH("上",D952)),ISNUMBER(SEARCH("去",D952)),ISNUMBER(SEARCH("入",D952)))),"Ambiguous",IF(ISNUMBER(SEARCH("平",D952)),"平","仄")))</x:f>
        <x:v>仄</x:v>
      </x:c>
      <x:c r="L952" s="7" t="str">
        <x:v>Xun Gong, Tang 300 gap fill</x:v>
      </x:c>
    </x:row>
    <x:row r="953">
      <x:c r="A953" s="5" t="str">
        <x:v>宗</x:v>
      </x:c>
      <x:c r="B953" s="6" t="str">
        <x:v>平</x:v>
      </x:c>
      <x:c r="C953" s="6" t="str">
        <x:f>IF(B953="","Needs decision","Ready")</x:f>
        <x:v>Ready</x:v>
      </x:c>
      <x:c r="D953" s="6" t="str">
        <x:v>平</x:v>
      </x:c>
      <x:c r="E953" s="6" t="str">
        <x:v>tsowng (A)</x:v>
      </x:c>
      <x:c r="F953" s="6" t="str">
        <x:v>上平聲二冬</x:v>
      </x:c>
      <x:c r="G953" s="6" t="str">
        <x:v>Pingshui main list, Wikisource-derived DOCX</x:v>
      </x:c>
      <x:c r="H953" s="6" t="str">
        <x:v>1</x:v>
      </x:c>
      <x:c r="I953" s="6" t="str"/>
      <x:c r="J953" s="6" t="str">
        <x:f>IF(B953="","",IF(AND(ISNUMBER(SEARCH("平",B953)),OR(ISNUMBER(SEARCH("上",B953)),ISNUMBER(SEARCH("去",B953)),ISNUMBER(SEARCH("入",B953)))),"Ambiguous",IF(ISNUMBER(SEARCH("平",B953)),"平","仄")))</x:f>
        <x:v>平</x:v>
      </x:c>
      <x:c r="K953" s="6" t="str">
        <x:f>IF(D953="","",IF(AND(ISNUMBER(SEARCH("平",D953)),OR(ISNUMBER(SEARCH("上",D953)),ISNUMBER(SEARCH("去",D953)),ISNUMBER(SEARCH("入",D953)))),"Ambiguous",IF(ISNUMBER(SEARCH("平",D953)),"平","仄")))</x:f>
        <x:v>平</x:v>
      </x:c>
      <x:c r="L953" s="7" t="str"/>
    </x:row>
    <x:row r="954">
      <x:c r="A954" s="5" t="str">
        <x:v>官</x:v>
      </x:c>
      <x:c r="B954" s="6" t="str">
        <x:v>平</x:v>
      </x:c>
      <x:c r="C954" s="6" t="str">
        <x:f>IF(B954="","Needs decision","Ready")</x:f>
        <x:v>Ready</x:v>
      </x:c>
      <x:c r="D954" s="6" t="str">
        <x:v>平</x:v>
      </x:c>
      <x:c r="E954" s="6" t="str">
        <x:v>kwan (A)</x:v>
      </x:c>
      <x:c r="F954" s="6" t="str">
        <x:v>上平聲十四寒</x:v>
      </x:c>
      <x:c r="G954" s="6" t="str">
        <x:v>Pingshui main list, Wikisource-derived DOCX</x:v>
      </x:c>
      <x:c r="H954" s="6" t="str">
        <x:v>1</x:v>
      </x:c>
      <x:c r="I954" s="6" t="str"/>
      <x:c r="J954" s="6" t="str">
        <x:f>IF(B954="","",IF(AND(ISNUMBER(SEARCH("平",B954)),OR(ISNUMBER(SEARCH("上",B954)),ISNUMBER(SEARCH("去",B954)),ISNUMBER(SEARCH("入",B954)))),"Ambiguous",IF(ISNUMBER(SEARCH("平",B954)),"平","仄")))</x:f>
        <x:v>平</x:v>
      </x:c>
      <x:c r="K954" s="6" t="str">
        <x:f>IF(D954="","",IF(AND(ISNUMBER(SEARCH("平",D954)),OR(ISNUMBER(SEARCH("上",D954)),ISNUMBER(SEARCH("去",D954)),ISNUMBER(SEARCH("入",D954)))),"Ambiguous",IF(ISNUMBER(SEARCH("平",D954)),"平","仄")))</x:f>
        <x:v>平</x:v>
      </x:c>
      <x:c r="L954" s="7" t="str"/>
    </x:row>
    <x:row r="955">
      <x:c r="A955" s="5" t="str">
        <x:v>宙</x:v>
      </x:c>
      <x:c r="B955" s="6" t="str">
        <x:v>去</x:v>
      </x:c>
      <x:c r="C955" s="6" t="str">
        <x:f>IF(B955="","Needs decision","Ready")</x:f>
        <x:v>Ready</x:v>
      </x:c>
      <x:c r="D955" s="6" t="str">
        <x:v>去</x:v>
      </x:c>
      <x:c r="E955" s="6" t="str">
        <x:v>drjuwH [ɖjuh] (去)</x:v>
      </x:c>
      <x:c r="F955" s="6" t="str">
        <x:v>去聲二十六宥</x:v>
      </x:c>
      <x:c r="G955" s="6" t="str">
        <x:v>Pingshui main list, Wikisource-derived DOCX</x:v>
      </x:c>
      <x:c r="H955" s="6" t="str">
        <x:v>1</x:v>
      </x:c>
      <x:c r="I955" s="6" t="str">
        <x:v>Tang 300 gap; frequency 1; provisional from Xun Gong</x:v>
      </x:c>
      <x:c r="J955" s="6" t="str">
        <x:f>IF(B955="","",IF(AND(ISNUMBER(SEARCH("平",B955)),OR(ISNUMBER(SEARCH("上",B955)),ISNUMBER(SEARCH("去",B955)),ISNUMBER(SEARCH("入",B955)))),"Ambiguous",IF(ISNUMBER(SEARCH("平",B955)),"平","仄")))</x:f>
        <x:v>仄</x:v>
      </x:c>
      <x:c r="K955" s="6" t="str">
        <x:f>IF(D955="","",IF(AND(ISNUMBER(SEARCH("平",D955)),OR(ISNUMBER(SEARCH("上",D955)),ISNUMBER(SEARCH("去",D955)),ISNUMBER(SEARCH("入",D955)))),"Ambiguous",IF(ISNUMBER(SEARCH("平",D955)),"平","仄")))</x:f>
        <x:v>仄</x:v>
      </x:c>
      <x:c r="L955" s="7" t="str">
        <x:v>Xun Gong, Tang 300 gap fill</x:v>
      </x:c>
    </x:row>
    <x:row r="956">
      <x:c r="A956" s="5" t="str">
        <x:v>定</x:v>
      </x:c>
      <x:c r="B956" s="6" t="str">
        <x:v>去</x:v>
      </x:c>
      <x:c r="C956" s="6" t="str">
        <x:f>IF(B956="","Needs decision","Ready")</x:f>
        <x:v>Ready</x:v>
      </x:c>
      <x:c r="D956" s="6" t="str">
        <x:v>去</x:v>
      </x:c>
      <x:c r="E956" s="6" t="str">
        <x:v>dengH (C); tengH (C)</x:v>
      </x:c>
      <x:c r="F956" s="6" t="str">
        <x:v>去聲二十五徑</x:v>
      </x:c>
      <x:c r="G956" s="6" t="str">
        <x:v>Pingshui main list, Wikisource-derived DOCX</x:v>
      </x:c>
      <x:c r="H956" s="6" t="str">
        <x:v>2</x:v>
      </x:c>
      <x:c r="I956" s="6" t="str"/>
      <x:c r="J956" s="6" t="str">
        <x:f>IF(B956="","",IF(AND(ISNUMBER(SEARCH("平",B956)),OR(ISNUMBER(SEARCH("上",B956)),ISNUMBER(SEARCH("去",B956)),ISNUMBER(SEARCH("入",B956)))),"Ambiguous",IF(ISNUMBER(SEARCH("平",B956)),"平","仄")))</x:f>
        <x:v>仄</x:v>
      </x:c>
      <x:c r="K956" s="6" t="str">
        <x:f>IF(D956="","",IF(AND(ISNUMBER(SEARCH("平",D956)),OR(ISNUMBER(SEARCH("上",D956)),ISNUMBER(SEARCH("去",D956)),ISNUMBER(SEARCH("入",D956)))),"Ambiguous",IF(ISNUMBER(SEARCH("平",D956)),"平","仄")))</x:f>
        <x:v>仄</x:v>
      </x:c>
      <x:c r="L956" s="7" t="str"/>
    </x:row>
    <x:row r="957">
      <x:c r="A957" s="5" t="str">
        <x:v>宛</x:v>
      </x:c>
      <x:c r="B957" s="6" t="str">
        <x:v>上</x:v>
      </x:c>
      <x:c r="C957" s="6" t="str">
        <x:f>IF(B957="","Needs decision","Ready")</x:f>
        <x:v>Ready</x:v>
      </x:c>
      <x:c r="D957" s="6" t="str">
        <x:v>上</x:v>
      </x:c>
      <x:c r="E957" s="6" t="str">
        <x:v>'jwonX (B)</x:v>
      </x:c>
      <x:c r="F957" s="6" t="str">
        <x:v>上平聲十三元; 上聲十三阮</x:v>
      </x:c>
      <x:c r="G957" s="6" t="str">
        <x:v>Pingshui main list, Wikisource-derived DOCX</x:v>
      </x:c>
      <x:c r="H957" s="6" t="str">
        <x:v>1</x:v>
      </x:c>
      <x:c r="I957" s="6" t="str"/>
      <x:c r="J957" s="6" t="str">
        <x:f>IF(B957="","",IF(AND(ISNUMBER(SEARCH("平",B957)),OR(ISNUMBER(SEARCH("上",B957)),ISNUMBER(SEARCH("去",B957)),ISNUMBER(SEARCH("入",B957)))),"Ambiguous",IF(ISNUMBER(SEARCH("平",B957)),"平","仄")))</x:f>
        <x:v>仄</x:v>
      </x:c>
      <x:c r="K957" s="6" t="str">
        <x:f>IF(D957="","",IF(AND(ISNUMBER(SEARCH("平",D957)),OR(ISNUMBER(SEARCH("上",D957)),ISNUMBER(SEARCH("去",D957)),ISNUMBER(SEARCH("入",D957)))),"Ambiguous",IF(ISNUMBER(SEARCH("平",D957)),"平","仄")))</x:f>
        <x:v>仄</x:v>
      </x:c>
      <x:c r="L957" s="7" t="str"/>
    </x:row>
    <x:row r="958">
      <x:c r="A958" s="5" t="str">
        <x:v>宜</x:v>
      </x:c>
      <x:c r="B958" s="6" t="str">
        <x:v>平</x:v>
      </x:c>
      <x:c r="C958" s="6" t="str">
        <x:f>IF(B958="","Needs decision","Ready")</x:f>
        <x:v>Ready</x:v>
      </x:c>
      <x:c r="D958" s="6" t="str">
        <x:v>平</x:v>
      </x:c>
      <x:c r="E958" s="6" t="str">
        <x:v>ngje (A)</x:v>
      </x:c>
      <x:c r="F958" s="6" t="str">
        <x:v>上平聲四支</x:v>
      </x:c>
      <x:c r="G958" s="6" t="str">
        <x:v>Pingshui main list, Wikisource-derived DOCX</x:v>
      </x:c>
      <x:c r="H958" s="6" t="str">
        <x:v>1</x:v>
      </x:c>
      <x:c r="I958" s="6" t="str"/>
      <x:c r="J958" s="6" t="str">
        <x:f>IF(B958="","",IF(AND(ISNUMBER(SEARCH("平",B958)),OR(ISNUMBER(SEARCH("上",B958)),ISNUMBER(SEARCH("去",B958)),ISNUMBER(SEARCH("入",B958)))),"Ambiguous",IF(ISNUMBER(SEARCH("平",B958)),"平","仄")))</x:f>
        <x:v>平</x:v>
      </x:c>
      <x:c r="K958" s="6" t="str">
        <x:f>IF(D958="","",IF(AND(ISNUMBER(SEARCH("平",D958)),OR(ISNUMBER(SEARCH("上",D958)),ISNUMBER(SEARCH("去",D958)),ISNUMBER(SEARCH("入",D958)))),"Ambiguous",IF(ISNUMBER(SEARCH("平",D958)),"平","仄")))</x:f>
        <x:v>平</x:v>
      </x:c>
      <x:c r="L958" s="7" t="str"/>
    </x:row>
    <x:row r="959">
      <x:c r="A959" s="5" t="str">
        <x:v>客</x:v>
      </x:c>
      <x:c r="B959" s="6" t="str">
        <x:v>入</x:v>
      </x:c>
      <x:c r="C959" s="6" t="str">
        <x:f>IF(B959="","Needs decision","Ready")</x:f>
        <x:v>Ready</x:v>
      </x:c>
      <x:c r="D959" s="6" t="str">
        <x:v>入</x:v>
      </x:c>
      <x:c r="E959" s="6" t="str">
        <x:v>khaek (D)</x:v>
      </x:c>
      <x:c r="F959" s="6" t="str">
        <x:v>入聲十一陌</x:v>
      </x:c>
      <x:c r="G959" s="6" t="str">
        <x:v>Pingshui main list, Wikisource-derived DOCX</x:v>
      </x:c>
      <x:c r="H959" s="6" t="str">
        <x:v>1</x:v>
      </x:c>
      <x:c r="I959" s="6" t="str"/>
      <x:c r="J959" s="6" t="str">
        <x:f>IF(B959="","",IF(AND(ISNUMBER(SEARCH("平",B959)),OR(ISNUMBER(SEARCH("上",B959)),ISNUMBER(SEARCH("去",B959)),ISNUMBER(SEARCH("入",B959)))),"Ambiguous",IF(ISNUMBER(SEARCH("平",B959)),"平","仄")))</x:f>
        <x:v>仄</x:v>
      </x:c>
      <x:c r="K959" s="6" t="str">
        <x:f>IF(D959="","",IF(AND(ISNUMBER(SEARCH("平",D959)),OR(ISNUMBER(SEARCH("上",D959)),ISNUMBER(SEARCH("去",D959)),ISNUMBER(SEARCH("入",D959)))),"Ambiguous",IF(ISNUMBER(SEARCH("平",D959)),"平","仄")))</x:f>
        <x:v>仄</x:v>
      </x:c>
      <x:c r="L959" s="7" t="str"/>
    </x:row>
    <x:row r="960">
      <x:c r="A960" s="5" t="str">
        <x:v>宣</x:v>
      </x:c>
      <x:c r="B960" s="6" t="str">
        <x:v>平</x:v>
      </x:c>
      <x:c r="C960" s="6" t="str">
        <x:f>IF(B960="","Needs decision","Ready")</x:f>
        <x:v>Ready</x:v>
      </x:c>
      <x:c r="D960" s="6" t="str">
        <x:v>平</x:v>
      </x:c>
      <x:c r="E960" s="6" t="str">
        <x:v>sjwen (A)</x:v>
      </x:c>
      <x:c r="F960" s="6" t="str">
        <x:v>下平聲一先</x:v>
      </x:c>
      <x:c r="G960" s="6" t="str">
        <x:v>Pingshui main list, Wikisource-derived DOCX</x:v>
      </x:c>
      <x:c r="H960" s="6" t="str">
        <x:v>1</x:v>
      </x:c>
      <x:c r="I960" s="6" t="str"/>
      <x:c r="J960" s="6" t="str">
        <x:f>IF(B960="","",IF(AND(ISNUMBER(SEARCH("平",B960)),OR(ISNUMBER(SEARCH("上",B960)),ISNUMBER(SEARCH("去",B960)),ISNUMBER(SEARCH("入",B960)))),"Ambiguous",IF(ISNUMBER(SEARCH("平",B960)),"平","仄")))</x:f>
        <x:v>平</x:v>
      </x:c>
      <x:c r="K960" s="6" t="str">
        <x:f>IF(D960="","",IF(AND(ISNUMBER(SEARCH("平",D960)),OR(ISNUMBER(SEARCH("上",D960)),ISNUMBER(SEARCH("去",D960)),ISNUMBER(SEARCH("入",D960)))),"Ambiguous",IF(ISNUMBER(SEARCH("平",D960)),"平","仄")))</x:f>
        <x:v>平</x:v>
      </x:c>
      <x:c r="L960" s="7" t="str"/>
    </x:row>
    <x:row r="961">
      <x:c r="A961" s="5" t="str">
        <x:v>室</x:v>
      </x:c>
      <x:c r="B961" s="6" t="str">
        <x:v>入</x:v>
      </x:c>
      <x:c r="C961" s="6" t="str">
        <x:f>IF(B961="","Needs decision","Ready")</x:f>
        <x:v>Ready</x:v>
      </x:c>
      <x:c r="D961" s="6" t="str">
        <x:v>入</x:v>
      </x:c>
      <x:c r="E961" s="6" t="str">
        <x:v>syit (D)</x:v>
      </x:c>
      <x:c r="F961" s="6" t="str">
        <x:v>入聲四質</x:v>
      </x:c>
      <x:c r="G961" s="6" t="str">
        <x:v>Pingshui main list, Wikisource-derived DOCX</x:v>
      </x:c>
      <x:c r="H961" s="6" t="str">
        <x:v>1</x:v>
      </x:c>
      <x:c r="I961" s="6" t="str"/>
      <x:c r="J961" s="6" t="str">
        <x:f>IF(B961="","",IF(AND(ISNUMBER(SEARCH("平",B961)),OR(ISNUMBER(SEARCH("上",B961)),ISNUMBER(SEARCH("去",B961)),ISNUMBER(SEARCH("入",B961)))),"Ambiguous",IF(ISNUMBER(SEARCH("平",B961)),"平","仄")))</x:f>
        <x:v>仄</x:v>
      </x:c>
      <x:c r="K961" s="6" t="str">
        <x:f>IF(D961="","",IF(AND(ISNUMBER(SEARCH("平",D961)),OR(ISNUMBER(SEARCH("上",D961)),ISNUMBER(SEARCH("去",D961)),ISNUMBER(SEARCH("入",D961)))),"Ambiguous",IF(ISNUMBER(SEARCH("平",D961)),"平","仄")))</x:f>
        <x:v>仄</x:v>
      </x:c>
      <x:c r="L961" s="7" t="str"/>
    </x:row>
    <x:row r="962">
      <x:c r="A962" s="5" t="str">
        <x:v>宦</x:v>
      </x:c>
      <x:c r="B962" s="6" t="str">
        <x:v>去</x:v>
      </x:c>
      <x:c r="C962" s="6" t="str">
        <x:f>IF(B962="","Needs decision","Ready")</x:f>
        <x:v>Ready</x:v>
      </x:c>
      <x:c r="D962" s="6" t="str">
        <x:v>去</x:v>
      </x:c>
      <x:c r="E962" s="6" t="str">
        <x:v>hwaenH (C)</x:v>
      </x:c>
      <x:c r="F962" s="6" t="str">
        <x:v>上平聲四支; 去聲十六諫</x:v>
      </x:c>
      <x:c r="G962" s="6" t="str">
        <x:v>Pingshui main list, Wikisource-derived DOCX</x:v>
      </x:c>
      <x:c r="H962" s="6" t="str">
        <x:v>1</x:v>
      </x:c>
      <x:c r="I962" s="6" t="str"/>
      <x:c r="J962" s="6" t="str">
        <x:f>IF(B962="","",IF(AND(ISNUMBER(SEARCH("平",B962)),OR(ISNUMBER(SEARCH("上",B962)),ISNUMBER(SEARCH("去",B962)),ISNUMBER(SEARCH("入",B962)))),"Ambiguous",IF(ISNUMBER(SEARCH("平",B962)),"平","仄")))</x:f>
        <x:v>仄</x:v>
      </x:c>
      <x:c r="K962" s="6" t="str">
        <x:f>IF(D962="","",IF(AND(ISNUMBER(SEARCH("平",D962)),OR(ISNUMBER(SEARCH("上",D962)),ISNUMBER(SEARCH("去",D962)),ISNUMBER(SEARCH("入",D962)))),"Ambiguous",IF(ISNUMBER(SEARCH("平",D962)),"平","仄")))</x:f>
        <x:v>仄</x:v>
      </x:c>
      <x:c r="L962" s="7" t="str"/>
    </x:row>
    <x:row r="963">
      <x:c r="A963" s="5" t="str">
        <x:v>宮</x:v>
      </x:c>
      <x:c r="B963" s="6" t="str">
        <x:v>平</x:v>
      </x:c>
      <x:c r="C963" s="6" t="str">
        <x:f>IF(B963="","Needs decision","Ready")</x:f>
        <x:v>Ready</x:v>
      </x:c>
      <x:c r="D963" s="6" t="str">
        <x:v>平</x:v>
      </x:c>
      <x:c r="E963" s="6" t="str">
        <x:v>kjuwng (A)</x:v>
      </x:c>
      <x:c r="F963" s="6" t="str">
        <x:v>上平聲一東</x:v>
      </x:c>
      <x:c r="G963" s="6" t="str">
        <x:v>Pingshui main list, Wikisource-derived DOCX</x:v>
      </x:c>
      <x:c r="H963" s="6" t="str">
        <x:v>1</x:v>
      </x:c>
      <x:c r="I963" s="6" t="str"/>
      <x:c r="J963" s="6" t="str">
        <x:f>IF(B963="","",IF(AND(ISNUMBER(SEARCH("平",B963)),OR(ISNUMBER(SEARCH("上",B963)),ISNUMBER(SEARCH("去",B963)),ISNUMBER(SEARCH("入",B963)))),"Ambiguous",IF(ISNUMBER(SEARCH("平",B963)),"平","仄")))</x:f>
        <x:v>平</x:v>
      </x:c>
      <x:c r="K963" s="6" t="str">
        <x:f>IF(D963="","",IF(AND(ISNUMBER(SEARCH("平",D963)),OR(ISNUMBER(SEARCH("上",D963)),ISNUMBER(SEARCH("去",D963)),ISNUMBER(SEARCH("入",D963)))),"Ambiguous",IF(ISNUMBER(SEARCH("平",D963)),"平","仄")))</x:f>
        <x:v>平</x:v>
      </x:c>
      <x:c r="L963" s="7" t="str"/>
    </x:row>
    <x:row r="964">
      <x:c r="A964" s="5" t="str">
        <x:v>宰</x:v>
      </x:c>
      <x:c r="B964" s="6" t="str">
        <x:v>上</x:v>
      </x:c>
      <x:c r="C964" s="6" t="str">
        <x:f>IF(B964="","Needs decision","Ready")</x:f>
        <x:v>Ready</x:v>
      </x:c>
      <x:c r="D964" s="6" t="str">
        <x:v>上</x:v>
      </x:c>
      <x:c r="E964" s="6" t="str">
        <x:v>tsojX (B)</x:v>
      </x:c>
      <x:c r="F964" s="6" t="str">
        <x:v>上聲十賄</x:v>
      </x:c>
      <x:c r="G964" s="6" t="str">
        <x:v>Pingshui main list, Wikisource-derived DOCX</x:v>
      </x:c>
      <x:c r="H964" s="6" t="str">
        <x:v>1</x:v>
      </x:c>
      <x:c r="I964" s="6" t="str"/>
      <x:c r="J964" s="6" t="str">
        <x:f>IF(B964="","",IF(AND(ISNUMBER(SEARCH("平",B964)),OR(ISNUMBER(SEARCH("上",B964)),ISNUMBER(SEARCH("去",B964)),ISNUMBER(SEARCH("入",B964)))),"Ambiguous",IF(ISNUMBER(SEARCH("平",B964)),"平","仄")))</x:f>
        <x:v>仄</x:v>
      </x:c>
      <x:c r="K964" s="6" t="str">
        <x:f>IF(D964="","",IF(AND(ISNUMBER(SEARCH("平",D964)),OR(ISNUMBER(SEARCH("上",D964)),ISNUMBER(SEARCH("去",D964)),ISNUMBER(SEARCH("入",D964)))),"Ambiguous",IF(ISNUMBER(SEARCH("平",D964)),"平","仄")))</x:f>
        <x:v>仄</x:v>
      </x:c>
      <x:c r="L964" s="7" t="str"/>
    </x:row>
    <x:row r="965">
      <x:c r="A965" s="5" t="str">
        <x:v>害</x:v>
      </x:c>
      <x:c r="B965" s="6" t="str">
        <x:v>去</x:v>
      </x:c>
      <x:c r="C965" s="6" t="str">
        <x:f>IF(B965="","Needs decision","Ready")</x:f>
        <x:v>Ready</x:v>
      </x:c>
      <x:c r="D965" s="6" t="str">
        <x:v>去</x:v>
      </x:c>
      <x:c r="E965" s="6" t="str">
        <x:v>hajH (C)</x:v>
      </x:c>
      <x:c r="F965" s="6" t="str">
        <x:v>去聲九泰</x:v>
      </x:c>
      <x:c r="G965" s="6" t="str">
        <x:v>Pingshui main list, Wikisource-derived DOCX</x:v>
      </x:c>
      <x:c r="H965" s="6" t="str">
        <x:v>1</x:v>
      </x:c>
      <x:c r="I965" s="6" t="str"/>
      <x:c r="J965" s="6" t="str">
        <x:f>IF(B965="","",IF(AND(ISNUMBER(SEARCH("平",B965)),OR(ISNUMBER(SEARCH("上",B965)),ISNUMBER(SEARCH("去",B965)),ISNUMBER(SEARCH("入",B965)))),"Ambiguous",IF(ISNUMBER(SEARCH("平",B965)),"平","仄")))</x:f>
        <x:v>仄</x:v>
      </x:c>
      <x:c r="K965" s="6" t="str">
        <x:f>IF(D965="","",IF(AND(ISNUMBER(SEARCH("平",D965)),OR(ISNUMBER(SEARCH("上",D965)),ISNUMBER(SEARCH("去",D965)),ISNUMBER(SEARCH("入",D965)))),"Ambiguous",IF(ISNUMBER(SEARCH("平",D965)),"平","仄")))</x:f>
        <x:v>仄</x:v>
      </x:c>
      <x:c r="L965" s="7" t="str"/>
    </x:row>
    <x:row r="966">
      <x:c r="A966" s="5" t="str">
        <x:v>宴</x:v>
      </x:c>
      <x:c r="B966" s="6" t="str">
        <x:v>去</x:v>
      </x:c>
      <x:c r="C966" s="6" t="str">
        <x:f>IF(B966="","Needs decision","Ready")</x:f>
        <x:v>Ready</x:v>
      </x:c>
      <x:c r="D966" s="6" t="str">
        <x:v>去</x:v>
      </x:c>
      <x:c r="E966" s="6" t="str">
        <x:v>'enH (C)</x:v>
      </x:c>
      <x:c r="F966" s="6" t="str">
        <x:v>上聲十六銑; 去聲十七霰</x:v>
      </x:c>
      <x:c r="G966" s="6" t="str">
        <x:v>Pingshui main list, Wikisource-derived DOCX</x:v>
      </x:c>
      <x:c r="H966" s="6" t="str">
        <x:v>1</x:v>
      </x:c>
      <x:c r="I966" s="6" t="str"/>
      <x:c r="J966" s="6" t="str">
        <x:f>IF(B966="","",IF(AND(ISNUMBER(SEARCH("平",B966)),OR(ISNUMBER(SEARCH("上",B966)),ISNUMBER(SEARCH("去",B966)),ISNUMBER(SEARCH("入",B966)))),"Ambiguous",IF(ISNUMBER(SEARCH("平",B966)),"平","仄")))</x:f>
        <x:v>仄</x:v>
      </x:c>
      <x:c r="K966" s="6" t="str">
        <x:f>IF(D966="","",IF(AND(ISNUMBER(SEARCH("平",D966)),OR(ISNUMBER(SEARCH("上",D966)),ISNUMBER(SEARCH("去",D966)),ISNUMBER(SEARCH("入",D966)))),"Ambiguous",IF(ISNUMBER(SEARCH("平",D966)),"平","仄")))</x:f>
        <x:v>仄</x:v>
      </x:c>
      <x:c r="L966" s="7" t="str"/>
    </x:row>
    <x:row r="967">
      <x:c r="A967" s="5" t="str">
        <x:v>宵</x:v>
      </x:c>
      <x:c r="B967" s="6" t="str">
        <x:v>平</x:v>
      </x:c>
      <x:c r="C967" s="6" t="str">
        <x:f>IF(B967="","Needs decision","Ready")</x:f>
        <x:v>Ready</x:v>
      </x:c>
      <x:c r="D967" s="6" t="str">
        <x:v>平</x:v>
      </x:c>
      <x:c r="E967" s="6" t="str">
        <x:v>sjew (A)</x:v>
      </x:c>
      <x:c r="F967" s="6" t="str">
        <x:v>下平聲二蕭</x:v>
      </x:c>
      <x:c r="G967" s="6" t="str">
        <x:v>Pingshui main list, Wikisource-derived DOCX</x:v>
      </x:c>
      <x:c r="H967" s="6" t="str">
        <x:v>1</x:v>
      </x:c>
      <x:c r="I967" s="6" t="str"/>
      <x:c r="J967" s="6" t="str">
        <x:f>IF(B967="","",IF(AND(ISNUMBER(SEARCH("平",B967)),OR(ISNUMBER(SEARCH("上",B967)),ISNUMBER(SEARCH("去",B967)),ISNUMBER(SEARCH("入",B967)))),"Ambiguous",IF(ISNUMBER(SEARCH("平",B967)),"平","仄")))</x:f>
        <x:v>平</x:v>
      </x:c>
      <x:c r="K967" s="6" t="str">
        <x:f>IF(D967="","",IF(AND(ISNUMBER(SEARCH("平",D967)),OR(ISNUMBER(SEARCH("上",D967)),ISNUMBER(SEARCH("去",D967)),ISNUMBER(SEARCH("入",D967)))),"Ambiguous",IF(ISNUMBER(SEARCH("平",D967)),"平","仄")))</x:f>
        <x:v>平</x:v>
      </x:c>
      <x:c r="L967" s="7" t="str"/>
    </x:row>
    <x:row r="968">
      <x:c r="A968" s="5" t="str">
        <x:v>家</x:v>
      </x:c>
      <x:c r="B968" s="6" t="str">
        <x:v>平</x:v>
      </x:c>
      <x:c r="C968" s="6" t="str">
        <x:f>IF(B968="","Needs decision","Ready")</x:f>
        <x:v>Ready</x:v>
      </x:c>
      <x:c r="D968" s="6" t="str">
        <x:v>平</x:v>
      </x:c>
      <x:c r="E968" s="6" t="str">
        <x:v>kae (A)</x:v>
      </x:c>
      <x:c r="F968" s="6" t="str">
        <x:v>下平聲六麻</x:v>
      </x:c>
      <x:c r="G968" s="6" t="str">
        <x:v>Pingshui main list, Wikisource-derived DOCX</x:v>
      </x:c>
      <x:c r="H968" s="6" t="str">
        <x:v>1</x:v>
      </x:c>
      <x:c r="I968" s="6" t="str"/>
      <x:c r="J968" s="6" t="str">
        <x:f>IF(B968="","",IF(AND(ISNUMBER(SEARCH("平",B968)),OR(ISNUMBER(SEARCH("上",B968)),ISNUMBER(SEARCH("去",B968)),ISNUMBER(SEARCH("入",B968)))),"Ambiguous",IF(ISNUMBER(SEARCH("平",B968)),"平","仄")))</x:f>
        <x:v>平</x:v>
      </x:c>
      <x:c r="K968" s="6" t="str">
        <x:f>IF(D968="","",IF(AND(ISNUMBER(SEARCH("平",D968)),OR(ISNUMBER(SEARCH("上",D968)),ISNUMBER(SEARCH("去",D968)),ISNUMBER(SEARCH("入",D968)))),"Ambiguous",IF(ISNUMBER(SEARCH("平",D968)),"平","仄")))</x:f>
        <x:v>平</x:v>
      </x:c>
      <x:c r="L968" s="7" t="str"/>
    </x:row>
    <x:row r="969">
      <x:c r="A969" s="5" t="str">
        <x:v>宸</x:v>
      </x:c>
      <x:c r="B969" s="6" t="str">
        <x:v>平</x:v>
      </x:c>
      <x:c r="C969" s="6" t="str">
        <x:f>IF(B969="","Needs decision","Ready")</x:f>
        <x:v>Ready</x:v>
      </x:c>
      <x:c r="D969" s="6" t="str">
        <x:v>平</x:v>
      </x:c>
      <x:c r="E969" s="6" t="str"/>
      <x:c r="F969" s="6" t="str">
        <x:v>上平聲十一真</x:v>
      </x:c>
      <x:c r="G969" s="6" t="str">
        <x:v>Pingshui main list, Wikisource-derived DOCX</x:v>
      </x:c>
      <x:c r="H969" s="6" t="str"/>
      <x:c r="I969" s="6" t="str">
        <x:v>Manual user correction/addition</x:v>
      </x:c>
      <x:c r="J969" s="6" t="str">
        <x:f>IF(B969="","",IF(AND(ISNUMBER(SEARCH("平",B969)),OR(ISNUMBER(SEARCH("上",B969)),ISNUMBER(SEARCH("去",B969)),ISNUMBER(SEARCH("入",B969)))),"Ambiguous",IF(ISNUMBER(SEARCH("平",B969)),"平","仄")))</x:f>
        <x:v>平</x:v>
      </x:c>
      <x:c r="K969" s="6" t="str">
        <x:f>IF(D969="","",IF(AND(ISNUMBER(SEARCH("平",D969)),OR(ISNUMBER(SEARCH("上",D969)),ISNUMBER(SEARCH("去",D969)),ISNUMBER(SEARCH("入",D969)))),"Ambiguous",IF(ISNUMBER(SEARCH("平",D969)),"平","仄")))</x:f>
        <x:v>平</x:v>
      </x:c>
      <x:c r="L969" s="7" t="str">
        <x:v>manual user correction</x:v>
      </x:c>
    </x:row>
    <x:row r="970">
      <x:c r="A970" s="5" t="str">
        <x:v>容</x:v>
      </x:c>
      <x:c r="B970" s="6" t="str">
        <x:v>平</x:v>
      </x:c>
      <x:c r="C970" s="6" t="str">
        <x:f>IF(B970="","Needs decision","Ready")</x:f>
        <x:v>Ready</x:v>
      </x:c>
      <x:c r="D970" s="6" t="str">
        <x:v>平</x:v>
      </x:c>
      <x:c r="E970" s="6" t="str">
        <x:v>yowng (A)</x:v>
      </x:c>
      <x:c r="F970" s="6" t="str">
        <x:v>上平聲二冬</x:v>
      </x:c>
      <x:c r="G970" s="6" t="str">
        <x:v>Pingshui main list, Wikisource-derived DOCX</x:v>
      </x:c>
      <x:c r="H970" s="6" t="str">
        <x:v>1</x:v>
      </x:c>
      <x:c r="I970" s="6" t="str"/>
      <x:c r="J970" s="6" t="str">
        <x:f>IF(B970="","",IF(AND(ISNUMBER(SEARCH("平",B970)),OR(ISNUMBER(SEARCH("上",B970)),ISNUMBER(SEARCH("去",B970)),ISNUMBER(SEARCH("入",B970)))),"Ambiguous",IF(ISNUMBER(SEARCH("平",B970)),"平","仄")))</x:f>
        <x:v>平</x:v>
      </x:c>
      <x:c r="K970" s="6" t="str">
        <x:f>IF(D970="","",IF(AND(ISNUMBER(SEARCH("平",D970)),OR(ISNUMBER(SEARCH("上",D970)),ISNUMBER(SEARCH("去",D970)),ISNUMBER(SEARCH("入",D970)))),"Ambiguous",IF(ISNUMBER(SEARCH("平",D970)),"平","仄")))</x:f>
        <x:v>平</x:v>
      </x:c>
      <x:c r="L970" s="7" t="str"/>
    </x:row>
    <x:row r="971">
      <x:c r="A971" s="5" t="str">
        <x:v>宿</x:v>
      </x:c>
      <x:c r="B971" s="6" t="str">
        <x:v>入</x:v>
      </x:c>
      <x:c r="C971" s="6" t="str">
        <x:f>IF(B971="","Needs decision","Ready")</x:f>
        <x:v>Ready</x:v>
      </x:c>
      <x:c r="D971" s="6" t="str">
        <x:v>去/入</x:v>
      </x:c>
      <x:c r="E971" s="6" t="str">
        <x:v>sjuwk (D); sjuwH (C)</x:v>
      </x:c>
      <x:c r="F971" s="6" t="str">
        <x:v>去聲二十六宥; 入聲一屋</x:v>
      </x:c>
      <x:c r="G971" s="6" t="str">
        <x:v>Pingshui main list, Wikisource-derived DOCX</x:v>
      </x:c>
      <x:c r="H971" s="6" t="str">
        <x:v>2</x:v>
      </x:c>
      <x:c r="I971" s="6" t="str">
        <x:v>User workbook edit 2026-09-03</x:v>
      </x:c>
      <x:c r="J971" s="6" t="str">
        <x:f>IF(B971="","",IF(AND(ISNUMBER(SEARCH("平",B971)),OR(ISNUMBER(SEARCH("上",B971)),ISNUMBER(SEARCH("去",B971)),ISNUMBER(SEARCH("入",B971)))),"Ambiguous",IF(ISNUMBER(SEARCH("平",B971)),"平","仄")))</x:f>
        <x:v>仄</x:v>
      </x:c>
      <x:c r="K971" s="6" t="str">
        <x:f>IF(D971="","",IF(AND(ISNUMBER(SEARCH("平",D971)),OR(ISNUMBER(SEARCH("上",D971)),ISNUMBER(SEARCH("去",D971)),ISNUMBER(SEARCH("入",D971)))),"Ambiguous",IF(ISNUMBER(SEARCH("平",D971)),"平","仄")))</x:f>
        <x:v>仄</x:v>
      </x:c>
      <x:c r="L971" s="7" t="str">
        <x:v>manual user correction</x:v>
      </x:c>
    </x:row>
    <x:row r="972">
      <x:c r="A972" s="5" t="str">
        <x:v>寂</x:v>
      </x:c>
      <x:c r="B972" s="6" t="str">
        <x:v>入</x:v>
      </x:c>
      <x:c r="C972" s="6" t="str">
        <x:f>IF(B972="","Needs decision","Ready")</x:f>
        <x:v>Ready</x:v>
      </x:c>
      <x:c r="D972" s="6" t="str">
        <x:v>入</x:v>
      </x:c>
      <x:c r="E972" s="6" t="str">
        <x:v>dzek (D)</x:v>
      </x:c>
      <x:c r="F972" s="6" t="str">
        <x:v>入聲十二錫</x:v>
      </x:c>
      <x:c r="G972" s="6" t="str">
        <x:v>Pingshui main list, Wikisource-derived DOCX</x:v>
      </x:c>
      <x:c r="H972" s="6" t="str">
        <x:v>1</x:v>
      </x:c>
      <x:c r="I972" s="6" t="str"/>
      <x:c r="J972" s="6" t="str">
        <x:f>IF(B972="","",IF(AND(ISNUMBER(SEARCH("平",B972)),OR(ISNUMBER(SEARCH("上",B972)),ISNUMBER(SEARCH("去",B972)),ISNUMBER(SEARCH("入",B972)))),"Ambiguous",IF(ISNUMBER(SEARCH("平",B972)),"平","仄")))</x:f>
        <x:v>仄</x:v>
      </x:c>
      <x:c r="K972" s="6" t="str">
        <x:f>IF(D972="","",IF(AND(ISNUMBER(SEARCH("平",D972)),OR(ISNUMBER(SEARCH("上",D972)),ISNUMBER(SEARCH("去",D972)),ISNUMBER(SEARCH("入",D972)))),"Ambiguous",IF(ISNUMBER(SEARCH("平",D972)),"平","仄")))</x:f>
        <x:v>仄</x:v>
      </x:c>
      <x:c r="L972" s="7" t="str"/>
    </x:row>
    <x:row r="973">
      <x:c r="A973" s="5" t="str">
        <x:v>寄</x:v>
      </x:c>
      <x:c r="B973" s="6" t="str">
        <x:v>去</x:v>
      </x:c>
      <x:c r="C973" s="6" t="str">
        <x:f>IF(B973="","Needs decision","Ready")</x:f>
        <x:v>Ready</x:v>
      </x:c>
      <x:c r="D973" s="6" t="str">
        <x:v>去</x:v>
      </x:c>
      <x:c r="E973" s="6" t="str">
        <x:v>kjeH (C)</x:v>
      </x:c>
      <x:c r="F973" s="6" t="str">
        <x:v>去聲四寘</x:v>
      </x:c>
      <x:c r="G973" s="6" t="str">
        <x:v>Pingshui main list, Wikisource-derived DOCX</x:v>
      </x:c>
      <x:c r="H973" s="6" t="str">
        <x:v>1</x:v>
      </x:c>
      <x:c r="I973" s="6" t="str"/>
      <x:c r="J973" s="6" t="str">
        <x:f>IF(B973="","",IF(AND(ISNUMBER(SEARCH("平",B973)),OR(ISNUMBER(SEARCH("上",B973)),ISNUMBER(SEARCH("去",B973)),ISNUMBER(SEARCH("入",B973)))),"Ambiguous",IF(ISNUMBER(SEARCH("平",B973)),"平","仄")))</x:f>
        <x:v>仄</x:v>
      </x:c>
      <x:c r="K973" s="6" t="str">
        <x:f>IF(D973="","",IF(AND(ISNUMBER(SEARCH("平",D973)),OR(ISNUMBER(SEARCH("上",D973)),ISNUMBER(SEARCH("去",D973)),ISNUMBER(SEARCH("入",D973)))),"Ambiguous",IF(ISNUMBER(SEARCH("平",D973)),"平","仄")))</x:f>
        <x:v>仄</x:v>
      </x:c>
      <x:c r="L973" s="7" t="str"/>
    </x:row>
    <x:row r="974">
      <x:c r="A974" s="5" t="str">
        <x:v>寅</x:v>
      </x:c>
      <x:c r="B974" s="6" t="str">
        <x:v>平</x:v>
      </x:c>
      <x:c r="C974" s="6" t="str">
        <x:f>IF(B974="","Needs decision","Ready")</x:f>
        <x:v>Ready</x:v>
      </x:c>
      <x:c r="D974" s="6" t="str">
        <x:v>平</x:v>
      </x:c>
      <x:c r="E974" s="6" t="str">
        <x:v>yij (A); yin (A)</x:v>
      </x:c>
      <x:c r="F974" s="6" t="str">
        <x:v>上平聲四支; 上平聲十一真</x:v>
      </x:c>
      <x:c r="G974" s="6" t="str">
        <x:v>Pingshui main list, Wikisource-derived DOCX</x:v>
      </x:c>
      <x:c r="H974" s="6" t="str">
        <x:v>2</x:v>
      </x:c>
      <x:c r="I974" s="6" t="str"/>
      <x:c r="J974" s="6" t="str">
        <x:f>IF(B974="","",IF(AND(ISNUMBER(SEARCH("平",B974)),OR(ISNUMBER(SEARCH("上",B974)),ISNUMBER(SEARCH("去",B974)),ISNUMBER(SEARCH("入",B974)))),"Ambiguous",IF(ISNUMBER(SEARCH("平",B974)),"平","仄")))</x:f>
        <x:v>平</x:v>
      </x:c>
      <x:c r="K974" s="6" t="str">
        <x:f>IF(D974="","",IF(AND(ISNUMBER(SEARCH("平",D974)),OR(ISNUMBER(SEARCH("上",D974)),ISNUMBER(SEARCH("去",D974)),ISNUMBER(SEARCH("入",D974)))),"Ambiguous",IF(ISNUMBER(SEARCH("平",D974)),"平","仄")))</x:f>
        <x:v>平</x:v>
      </x:c>
      <x:c r="L974" s="7" t="str"/>
    </x:row>
    <x:row r="975">
      <x:c r="A975" s="5" t="str">
        <x:v>密</x:v>
      </x:c>
      <x:c r="B975" s="6" t="str">
        <x:v>入</x:v>
      </x:c>
      <x:c r="C975" s="6" t="str">
        <x:f>IF(B975="","Needs decision","Ready")</x:f>
        <x:v>Ready</x:v>
      </x:c>
      <x:c r="D975" s="6" t="str">
        <x:v>入</x:v>
      </x:c>
      <x:c r="E975" s="6" t="str">
        <x:v>mit (D)</x:v>
      </x:c>
      <x:c r="F975" s="6" t="str">
        <x:v>入聲四質</x:v>
      </x:c>
      <x:c r="G975" s="6" t="str">
        <x:v>Pingshui main list, Wikisource-derived DOCX</x:v>
      </x:c>
      <x:c r="H975" s="6" t="str">
        <x:v>1</x:v>
      </x:c>
      <x:c r="I975" s="6" t="str"/>
      <x:c r="J975" s="6" t="str">
        <x:f>IF(B975="","",IF(AND(ISNUMBER(SEARCH("平",B975)),OR(ISNUMBER(SEARCH("上",B975)),ISNUMBER(SEARCH("去",B975)),ISNUMBER(SEARCH("入",B975)))),"Ambiguous",IF(ISNUMBER(SEARCH("平",B975)),"平","仄")))</x:f>
        <x:v>仄</x:v>
      </x:c>
      <x:c r="K975" s="6" t="str">
        <x:f>IF(D975="","",IF(AND(ISNUMBER(SEARCH("平",D975)),OR(ISNUMBER(SEARCH("上",D975)),ISNUMBER(SEARCH("去",D975)),ISNUMBER(SEARCH("入",D975)))),"Ambiguous",IF(ISNUMBER(SEARCH("平",D975)),"平","仄")))</x:f>
        <x:v>仄</x:v>
      </x:c>
      <x:c r="L975" s="7" t="str"/>
    </x:row>
    <x:row r="976">
      <x:c r="A976" s="5" t="str">
        <x:v>寇</x:v>
      </x:c>
      <x:c r="B976" s="6" t="str">
        <x:v>去</x:v>
      </x:c>
      <x:c r="C976" s="6" t="str">
        <x:f>IF(B976="","Needs decision","Ready")</x:f>
        <x:v>Ready</x:v>
      </x:c>
      <x:c r="D976" s="6" t="str">
        <x:v>去</x:v>
      </x:c>
      <x:c r="E976" s="6" t="str">
        <x:v>khuwH (C)</x:v>
      </x:c>
      <x:c r="F976" s="6" t="str">
        <x:v>去聲二十六宥</x:v>
      </x:c>
      <x:c r="G976" s="6" t="str">
        <x:v>Pingshui main list, Wikisource-derived DOCX</x:v>
      </x:c>
      <x:c r="H976" s="6" t="str">
        <x:v>1</x:v>
      </x:c>
      <x:c r="I976" s="6" t="str"/>
      <x:c r="J976" s="6" t="str">
        <x:f>IF(B976="","",IF(AND(ISNUMBER(SEARCH("平",B976)),OR(ISNUMBER(SEARCH("上",B976)),ISNUMBER(SEARCH("去",B976)),ISNUMBER(SEARCH("入",B976)))),"Ambiguous",IF(ISNUMBER(SEARCH("平",B976)),"平","仄")))</x:f>
        <x:v>仄</x:v>
      </x:c>
      <x:c r="K976" s="6" t="str">
        <x:f>IF(D976="","",IF(AND(ISNUMBER(SEARCH("平",D976)),OR(ISNUMBER(SEARCH("上",D976)),ISNUMBER(SEARCH("去",D976)),ISNUMBER(SEARCH("入",D976)))),"Ambiguous",IF(ISNUMBER(SEARCH("平",D976)),"平","仄")))</x:f>
        <x:v>仄</x:v>
      </x:c>
      <x:c r="L976" s="7" t="str"/>
    </x:row>
    <x:row r="977">
      <x:c r="A977" s="5" t="str">
        <x:v>富</x:v>
      </x:c>
      <x:c r="B977" s="6" t="str">
        <x:v>去</x:v>
      </x:c>
      <x:c r="C977" s="6" t="str">
        <x:f>IF(B977="","Needs decision","Ready")</x:f>
        <x:v>Ready</x:v>
      </x:c>
      <x:c r="D977" s="6" t="str">
        <x:v>去</x:v>
      </x:c>
      <x:c r="E977" s="6" t="str">
        <x:v>pjuwH (C)</x:v>
      </x:c>
      <x:c r="F977" s="6" t="str">
        <x:v>去聲二十六宥</x:v>
      </x:c>
      <x:c r="G977" s="6" t="str">
        <x:v>Pingshui main list, Wikisource-derived DOCX</x:v>
      </x:c>
      <x:c r="H977" s="6" t="str">
        <x:v>1</x:v>
      </x:c>
      <x:c r="I977" s="6" t="str"/>
      <x:c r="J977" s="6" t="str">
        <x:f>IF(B977="","",IF(AND(ISNUMBER(SEARCH("平",B977)),OR(ISNUMBER(SEARCH("上",B977)),ISNUMBER(SEARCH("去",B977)),ISNUMBER(SEARCH("入",B977)))),"Ambiguous",IF(ISNUMBER(SEARCH("平",B977)),"平","仄")))</x:f>
        <x:v>仄</x:v>
      </x:c>
      <x:c r="K977" s="6" t="str">
        <x:f>IF(D977="","",IF(AND(ISNUMBER(SEARCH("平",D977)),OR(ISNUMBER(SEARCH("上",D977)),ISNUMBER(SEARCH("去",D977)),ISNUMBER(SEARCH("入",D977)))),"Ambiguous",IF(ISNUMBER(SEARCH("平",D977)),"平","仄")))</x:f>
        <x:v>仄</x:v>
      </x:c>
      <x:c r="L977" s="7" t="str"/>
    </x:row>
    <x:row r="978">
      <x:c r="A978" s="5" t="str">
        <x:v>寐</x:v>
      </x:c>
      <x:c r="B978" s="6" t="str">
        <x:v>去</x:v>
      </x:c>
      <x:c r="C978" s="6" t="str">
        <x:f>IF(B978="","Needs decision","Ready")</x:f>
        <x:v>Ready</x:v>
      </x:c>
      <x:c r="D978" s="6" t="str">
        <x:v>去</x:v>
      </x:c>
      <x:c r="E978" s="6" t="str">
        <x:v>mjijH (C)</x:v>
      </x:c>
      <x:c r="F978" s="6" t="str">
        <x:v>去聲四寘</x:v>
      </x:c>
      <x:c r="G978" s="6" t="str">
        <x:v>Pingshui main list, Wikisource-derived DOCX</x:v>
      </x:c>
      <x:c r="H978" s="6" t="str">
        <x:v>1</x:v>
      </x:c>
      <x:c r="I978" s="6" t="str"/>
      <x:c r="J978" s="6" t="str">
        <x:f>IF(B978="","",IF(AND(ISNUMBER(SEARCH("平",B978)),OR(ISNUMBER(SEARCH("上",B978)),ISNUMBER(SEARCH("去",B978)),ISNUMBER(SEARCH("入",B978)))),"Ambiguous",IF(ISNUMBER(SEARCH("平",B978)),"平","仄")))</x:f>
        <x:v>仄</x:v>
      </x:c>
      <x:c r="K978" s="6" t="str">
        <x:f>IF(D978="","",IF(AND(ISNUMBER(SEARCH("平",D978)),OR(ISNUMBER(SEARCH("上",D978)),ISNUMBER(SEARCH("去",D978)),ISNUMBER(SEARCH("入",D978)))),"Ambiguous",IF(ISNUMBER(SEARCH("平",D978)),"平","仄")))</x:f>
        <x:v>仄</x:v>
      </x:c>
      <x:c r="L978" s="7" t="str"/>
    </x:row>
    <x:row r="979">
      <x:c r="A979" s="5" t="str">
        <x:v>寒</x:v>
      </x:c>
      <x:c r="B979" s="6" t="str">
        <x:v>平</x:v>
      </x:c>
      <x:c r="C979" s="6" t="str">
        <x:f>IF(B979="","Needs decision","Ready")</x:f>
        <x:v>Ready</x:v>
      </x:c>
      <x:c r="D979" s="6" t="str">
        <x:v>平</x:v>
      </x:c>
      <x:c r="E979" s="6" t="str">
        <x:v>han (A)</x:v>
      </x:c>
      <x:c r="F979" s="6" t="str">
        <x:v>上平聲十四寒</x:v>
      </x:c>
      <x:c r="G979" s="6" t="str">
        <x:v>Pingshui main list, Wikisource-derived DOCX</x:v>
      </x:c>
      <x:c r="H979" s="6" t="str">
        <x:v>1</x:v>
      </x:c>
      <x:c r="I979" s="6" t="str"/>
      <x:c r="J979" s="6" t="str">
        <x:f>IF(B979="","",IF(AND(ISNUMBER(SEARCH("平",B979)),OR(ISNUMBER(SEARCH("上",B979)),ISNUMBER(SEARCH("去",B979)),ISNUMBER(SEARCH("入",B979)))),"Ambiguous",IF(ISNUMBER(SEARCH("平",B979)),"平","仄")))</x:f>
        <x:v>平</x:v>
      </x:c>
      <x:c r="K979" s="6" t="str">
        <x:f>IF(D979="","",IF(AND(ISNUMBER(SEARCH("平",D979)),OR(ISNUMBER(SEARCH("上",D979)),ISNUMBER(SEARCH("去",D979)),ISNUMBER(SEARCH("入",D979)))),"Ambiguous",IF(ISNUMBER(SEARCH("平",D979)),"平","仄")))</x:f>
        <x:v>平</x:v>
      </x:c>
      <x:c r="L979" s="7" t="str"/>
    </x:row>
    <x:row r="980">
      <x:c r="A980" s="5" t="str">
        <x:v>寓</x:v>
      </x:c>
      <x:c r="B980" s="6" t="str">
        <x:v>去</x:v>
      </x:c>
      <x:c r="C980" s="6" t="str">
        <x:f>IF(B980="","Needs decision","Ready")</x:f>
        <x:v>Ready</x:v>
      </x:c>
      <x:c r="D980" s="6" t="str">
        <x:v>去</x:v>
      </x:c>
      <x:c r="E980" s="6" t="str">
        <x:v>ngjuH (C)</x:v>
      </x:c>
      <x:c r="F980" s="6" t="str">
        <x:v>去聲七遇</x:v>
      </x:c>
      <x:c r="G980" s="6" t="str">
        <x:v>Pingshui main list, Wikisource-derived DOCX</x:v>
      </x:c>
      <x:c r="H980" s="6" t="str">
        <x:v>1</x:v>
      </x:c>
      <x:c r="I980" s="6" t="str"/>
      <x:c r="J980" s="6" t="str">
        <x:f>IF(B980="","",IF(AND(ISNUMBER(SEARCH("平",B980)),OR(ISNUMBER(SEARCH("上",B980)),ISNUMBER(SEARCH("去",B980)),ISNUMBER(SEARCH("入",B980)))),"Ambiguous",IF(ISNUMBER(SEARCH("平",B980)),"平","仄")))</x:f>
        <x:v>仄</x:v>
      </x:c>
      <x:c r="K980" s="6" t="str">
        <x:f>IF(D980="","",IF(AND(ISNUMBER(SEARCH("平",D980)),OR(ISNUMBER(SEARCH("上",D980)),ISNUMBER(SEARCH("去",D980)),ISNUMBER(SEARCH("入",D980)))),"Ambiguous",IF(ISNUMBER(SEARCH("平",D980)),"平","仄")))</x:f>
        <x:v>仄</x:v>
      </x:c>
      <x:c r="L980" s="7" t="str"/>
    </x:row>
    <x:row r="981">
      <x:c r="A981" s="5" t="str">
        <x:v>寘</x:v>
      </x:c>
      <x:c r="B981" s="6" t="str">
        <x:v>去</x:v>
      </x:c>
      <x:c r="C981" s="6" t="str">
        <x:f>IF(B981="","Needs decision","Ready")</x:f>
        <x:v>Ready</x:v>
      </x:c>
      <x:c r="D981" s="6" t="str">
        <x:v>去</x:v>
      </x:c>
      <x:c r="E981" s="6" t="str">
        <x:v>tsyeH (C)</x:v>
      </x:c>
      <x:c r="F981" s="6" t="str">
        <x:v>去聲四寘</x:v>
      </x:c>
      <x:c r="G981" s="6" t="str">
        <x:v>Pingshui main list, Wikisource-derived DOCX</x:v>
      </x:c>
      <x:c r="H981" s="6" t="str">
        <x:v>1</x:v>
      </x:c>
      <x:c r="I981" s="6" t="str"/>
      <x:c r="J981" s="6" t="str">
        <x:f>IF(B981="","",IF(AND(ISNUMBER(SEARCH("平",B981)),OR(ISNUMBER(SEARCH("上",B981)),ISNUMBER(SEARCH("去",B981)),ISNUMBER(SEARCH("入",B981)))),"Ambiguous",IF(ISNUMBER(SEARCH("平",B981)),"平","仄")))</x:f>
        <x:v>仄</x:v>
      </x:c>
      <x:c r="K981" s="6" t="str">
        <x:f>IF(D981="","",IF(AND(ISNUMBER(SEARCH("平",D981)),OR(ISNUMBER(SEARCH("上",D981)),ISNUMBER(SEARCH("去",D981)),ISNUMBER(SEARCH("入",D981)))),"Ambiguous",IF(ISNUMBER(SEARCH("平",D981)),"平","仄")))</x:f>
        <x:v>仄</x:v>
      </x:c>
      <x:c r="L981" s="7" t="str"/>
    </x:row>
    <x:row r="982">
      <x:c r="A982" s="5" t="str">
        <x:v>寞</x:v>
      </x:c>
      <x:c r="B982" s="6" t="str">
        <x:v>入</x:v>
      </x:c>
      <x:c r="C982" s="6" t="str">
        <x:f>IF(B982="","Needs decision","Ready")</x:f>
        <x:v>Ready</x:v>
      </x:c>
      <x:c r="D982" s="6" t="str">
        <x:v>入</x:v>
      </x:c>
      <x:c r="E982" s="6" t="str">
        <x:v>mak [m̙ɑk] (入)</x:v>
      </x:c>
      <x:c r="F982" s="6" t="str"/>
      <x:c r="G982" s="6" t="str"/>
      <x:c r="H982" s="6" t="str">
        <x:v>1</x:v>
      </x:c>
      <x:c r="I982" s="6" t="str">
        <x:v>Tang 300 gap; frequency 8; provisional from Xun Gong</x:v>
      </x:c>
      <x:c r="J982" s="6" t="str">
        <x:f>IF(B982="","",IF(AND(ISNUMBER(SEARCH("平",B982)),OR(ISNUMBER(SEARCH("上",B982)),ISNUMBER(SEARCH("去",B982)),ISNUMBER(SEARCH("入",B982)))),"Ambiguous",IF(ISNUMBER(SEARCH("平",B982)),"平","仄")))</x:f>
        <x:v>仄</x:v>
      </x:c>
      <x:c r="K982" s="6" t="str">
        <x:f>IF(D982="","",IF(AND(ISNUMBER(SEARCH("平",D982)),OR(ISNUMBER(SEARCH("上",D982)),ISNUMBER(SEARCH("去",D982)),ISNUMBER(SEARCH("入",D982)))),"Ambiguous",IF(ISNUMBER(SEARCH("平",D982)),"平","仄")))</x:f>
        <x:v>仄</x:v>
      </x:c>
      <x:c r="L982" s="7" t="str">
        <x:v>Xun Gong, Tang 300 gap fill</x:v>
      </x:c>
    </x:row>
    <x:row r="983">
      <x:c r="A983" s="5" t="str">
        <x:v>察</x:v>
      </x:c>
      <x:c r="B983" s="6" t="str">
        <x:v>入</x:v>
      </x:c>
      <x:c r="C983" s="6" t="str">
        <x:f>IF(B983="","Needs decision","Ready")</x:f>
        <x:v>Ready</x:v>
      </x:c>
      <x:c r="D983" s="6" t="str">
        <x:v>入</x:v>
      </x:c>
      <x:c r="E983" s="6" t="str">
        <x:v>tsrheat (D)</x:v>
      </x:c>
      <x:c r="F983" s="6" t="str">
        <x:v>入聲八黠</x:v>
      </x:c>
      <x:c r="G983" s="6" t="str">
        <x:v>Pingshui main list, Wikisource-derived DOCX</x:v>
      </x:c>
      <x:c r="H983" s="6" t="str">
        <x:v>1</x:v>
      </x:c>
      <x:c r="I983" s="6" t="str"/>
      <x:c r="J983" s="6" t="str">
        <x:f>IF(B983="","",IF(AND(ISNUMBER(SEARCH("平",B983)),OR(ISNUMBER(SEARCH("上",B983)),ISNUMBER(SEARCH("去",B983)),ISNUMBER(SEARCH("入",B983)))),"Ambiguous",IF(ISNUMBER(SEARCH("平",B983)),"平","仄")))</x:f>
        <x:v>仄</x:v>
      </x:c>
      <x:c r="K983" s="6" t="str">
        <x:f>IF(D983="","",IF(AND(ISNUMBER(SEARCH("平",D983)),OR(ISNUMBER(SEARCH("上",D983)),ISNUMBER(SEARCH("去",D983)),ISNUMBER(SEARCH("入",D983)))),"Ambiguous",IF(ISNUMBER(SEARCH("平",D983)),"平","仄")))</x:f>
        <x:v>仄</x:v>
      </x:c>
      <x:c r="L983" s="7" t="str"/>
    </x:row>
    <x:row r="984">
      <x:c r="A984" s="5" t="str">
        <x:v>寡</x:v>
      </x:c>
      <x:c r="B984" s="6" t="str">
        <x:v>上</x:v>
      </x:c>
      <x:c r="C984" s="6" t="str">
        <x:f>IF(B984="","Needs decision","Ready")</x:f>
        <x:v>Ready</x:v>
      </x:c>
      <x:c r="D984" s="6" t="str">
        <x:v>上</x:v>
      </x:c>
      <x:c r="E984" s="6" t="str">
        <x:v>kwaeX (B)</x:v>
      </x:c>
      <x:c r="F984" s="6" t="str">
        <x:v>上聲二十一馬</x:v>
      </x:c>
      <x:c r="G984" s="6" t="str">
        <x:v>Pingshui main list, Wikisource-derived DOCX</x:v>
      </x:c>
      <x:c r="H984" s="6" t="str">
        <x:v>1</x:v>
      </x:c>
      <x:c r="I984" s="6" t="str"/>
      <x:c r="J984" s="6" t="str">
        <x:f>IF(B984="","",IF(AND(ISNUMBER(SEARCH("平",B984)),OR(ISNUMBER(SEARCH("上",B984)),ISNUMBER(SEARCH("去",B984)),ISNUMBER(SEARCH("入",B984)))),"Ambiguous",IF(ISNUMBER(SEARCH("平",B984)),"平","仄")))</x:f>
        <x:v>仄</x:v>
      </x:c>
      <x:c r="K984" s="6" t="str">
        <x:f>IF(D984="","",IF(AND(ISNUMBER(SEARCH("平",D984)),OR(ISNUMBER(SEARCH("上",D984)),ISNUMBER(SEARCH("去",D984)),ISNUMBER(SEARCH("入",D984)))),"Ambiguous",IF(ISNUMBER(SEARCH("平",D984)),"平","仄")))</x:f>
        <x:v>仄</x:v>
      </x:c>
      <x:c r="L984" s="7" t="str"/>
    </x:row>
    <x:row r="985">
      <x:c r="A985" s="5" t="str">
        <x:v>寢</x:v>
      </x:c>
      <x:c r="B985" s="6" t="str">
        <x:v>上</x:v>
      </x:c>
      <x:c r="C985" s="6" t="str">
        <x:f>IF(B985="","Needs decision","Ready")</x:f>
        <x:v>Ready</x:v>
      </x:c>
      <x:c r="D985" s="6" t="str">
        <x:v>上</x:v>
      </x:c>
      <x:c r="E985" s="6" t="str">
        <x:v>tshimX (B)</x:v>
      </x:c>
      <x:c r="F985" s="6" t="str">
        <x:v>上聲二十六寢</x:v>
      </x:c>
      <x:c r="G985" s="6" t="str">
        <x:v>Pingshui main list, Wikisource-derived DOCX</x:v>
      </x:c>
      <x:c r="H985" s="6" t="str">
        <x:v>1</x:v>
      </x:c>
      <x:c r="I985" s="6" t="str"/>
      <x:c r="J985" s="6" t="str">
        <x:f>IF(B985="","",IF(AND(ISNUMBER(SEARCH("平",B985)),OR(ISNUMBER(SEARCH("上",B985)),ISNUMBER(SEARCH("去",B985)),ISNUMBER(SEARCH("入",B985)))),"Ambiguous",IF(ISNUMBER(SEARCH("平",B985)),"平","仄")))</x:f>
        <x:v>仄</x:v>
      </x:c>
      <x:c r="K985" s="6" t="str">
        <x:f>IF(D985="","",IF(AND(ISNUMBER(SEARCH("平",D985)),OR(ISNUMBER(SEARCH("上",D985)),ISNUMBER(SEARCH("去",D985)),ISNUMBER(SEARCH("入",D985)))),"Ambiguous",IF(ISNUMBER(SEARCH("平",D985)),"平","仄")))</x:f>
        <x:v>仄</x:v>
      </x:c>
      <x:c r="L985" s="7" t="str"/>
    </x:row>
    <x:row r="986">
      <x:c r="A986" s="5" t="str">
        <x:v>寤</x:v>
      </x:c>
      <x:c r="B986" s="6" t="str">
        <x:v>去</x:v>
      </x:c>
      <x:c r="C986" s="6" t="str">
        <x:f>IF(B986="","Needs decision","Ready")</x:f>
        <x:v>Ready</x:v>
      </x:c>
      <x:c r="D986" s="6" t="str">
        <x:v>去</x:v>
      </x:c>
      <x:c r="E986" s="6" t="str">
        <x:v>nguH (C)</x:v>
      </x:c>
      <x:c r="F986" s="6" t="str">
        <x:v>去聲七遇</x:v>
      </x:c>
      <x:c r="G986" s="6" t="str">
        <x:v>Pingshui main list, Wikisource-derived DOCX</x:v>
      </x:c>
      <x:c r="H986" s="6" t="str">
        <x:v>1</x:v>
      </x:c>
      <x:c r="I986" s="6" t="str"/>
      <x:c r="J986" s="6" t="str">
        <x:f>IF(B986="","",IF(AND(ISNUMBER(SEARCH("平",B986)),OR(ISNUMBER(SEARCH("上",B986)),ISNUMBER(SEARCH("去",B986)),ISNUMBER(SEARCH("入",B986)))),"Ambiguous",IF(ISNUMBER(SEARCH("平",B986)),"平","仄")))</x:f>
        <x:v>仄</x:v>
      </x:c>
      <x:c r="K986" s="6" t="str">
        <x:f>IF(D986="","",IF(AND(ISNUMBER(SEARCH("平",D986)),OR(ISNUMBER(SEARCH("上",D986)),ISNUMBER(SEARCH("去",D986)),ISNUMBER(SEARCH("入",D986)))),"Ambiguous",IF(ISNUMBER(SEARCH("平",D986)),"平","仄")))</x:f>
        <x:v>仄</x:v>
      </x:c>
      <x:c r="L986" s="7" t="str"/>
    </x:row>
    <x:row r="987">
      <x:c r="A987" s="5" t="str">
        <x:v>寥</x:v>
      </x:c>
      <x:c r="B987" s="6" t="str">
        <x:v>平</x:v>
      </x:c>
      <x:c r="C987" s="6" t="str">
        <x:f>IF(B987="","Needs decision","Ready")</x:f>
        <x:v>Ready</x:v>
      </x:c>
      <x:c r="D987" s="6" t="str">
        <x:v>平</x:v>
      </x:c>
      <x:c r="E987" s="6" t="str"/>
      <x:c r="F987" s="6" t="str">
        <x:v>下平聲二蕭</x:v>
      </x:c>
      <x:c r="G987" s="6" t="str">
        <x:v>Pingshui main list, Wikisource-derived DOCX</x:v>
      </x:c>
      <x:c r="H987" s="6" t="str"/>
      <x:c r="I987" s="6" t="str">
        <x:v>Manual user correction/addition</x:v>
      </x:c>
      <x:c r="J987" s="6" t="str">
        <x:f>IF(B987="","",IF(AND(ISNUMBER(SEARCH("平",B987)),OR(ISNUMBER(SEARCH("上",B987)),ISNUMBER(SEARCH("去",B987)),ISNUMBER(SEARCH("入",B987)))),"Ambiguous",IF(ISNUMBER(SEARCH("平",B987)),"平","仄")))</x:f>
        <x:v>平</x:v>
      </x:c>
      <x:c r="K987" s="6" t="str">
        <x:f>IF(D987="","",IF(AND(ISNUMBER(SEARCH("平",D987)),OR(ISNUMBER(SEARCH("上",D987)),ISNUMBER(SEARCH("去",D987)),ISNUMBER(SEARCH("入",D987)))),"Ambiguous",IF(ISNUMBER(SEARCH("平",D987)),"平","仄")))</x:f>
        <x:v>平</x:v>
      </x:c>
      <x:c r="L987" s="7" t="str">
        <x:v>manual user correction</x:v>
      </x:c>
    </x:row>
    <x:row r="988">
      <x:c r="A988" s="5" t="str">
        <x:v>實</x:v>
      </x:c>
      <x:c r="B988" s="6" t="str">
        <x:v>入</x:v>
      </x:c>
      <x:c r="C988" s="6" t="str">
        <x:f>IF(B988="","Needs decision","Ready")</x:f>
        <x:v>Ready</x:v>
      </x:c>
      <x:c r="D988" s="6" t="str">
        <x:v>入</x:v>
      </x:c>
      <x:c r="E988" s="6" t="str">
        <x:v>zyit (D)</x:v>
      </x:c>
      <x:c r="F988" s="6" t="str">
        <x:v>入聲四質</x:v>
      </x:c>
      <x:c r="G988" s="6" t="str">
        <x:v>Pingshui main list, Wikisource-derived DOCX</x:v>
      </x:c>
      <x:c r="H988" s="6" t="str">
        <x:v>1</x:v>
      </x:c>
      <x:c r="I988" s="6" t="str"/>
      <x:c r="J988" s="6" t="str">
        <x:f>IF(B988="","",IF(AND(ISNUMBER(SEARCH("平",B988)),OR(ISNUMBER(SEARCH("上",B988)),ISNUMBER(SEARCH("去",B988)),ISNUMBER(SEARCH("入",B988)))),"Ambiguous",IF(ISNUMBER(SEARCH("平",B988)),"平","仄")))</x:f>
        <x:v>仄</x:v>
      </x:c>
      <x:c r="K988" s="6" t="str">
        <x:f>IF(D988="","",IF(AND(ISNUMBER(SEARCH("平",D988)),OR(ISNUMBER(SEARCH("上",D988)),ISNUMBER(SEARCH("去",D988)),ISNUMBER(SEARCH("入",D988)))),"Ambiguous",IF(ISNUMBER(SEARCH("平",D988)),"平","仄")))</x:f>
        <x:v>仄</x:v>
      </x:c>
      <x:c r="L988" s="7" t="str"/>
    </x:row>
    <x:row r="989">
      <x:c r="A989" s="5" t="str">
        <x:v>寧</x:v>
      </x:c>
      <x:c r="B989" s="6" t="str">
        <x:v>平</x:v>
      </x:c>
      <x:c r="C989" s="6" t="str">
        <x:f>IF(B989="","Needs decision","Ready")</x:f>
        <x:v>Ready</x:v>
      </x:c>
      <x:c r="D989" s="6" t="str">
        <x:v>平</x:v>
      </x:c>
      <x:c r="E989" s="6" t="str">
        <x:v>neng (A)</x:v>
      </x:c>
      <x:c r="F989" s="6" t="str">
        <x:v>下平聲九青; 上聲六語</x:v>
      </x:c>
      <x:c r="G989" s="6" t="str">
        <x:v>Pingshui main list, Wikisource-derived DOCX</x:v>
      </x:c>
      <x:c r="H989" s="6" t="str">
        <x:v>1</x:v>
      </x:c>
      <x:c r="I989" s="6" t="str"/>
      <x:c r="J989" s="6" t="str">
        <x:f>IF(B989="","",IF(AND(ISNUMBER(SEARCH("平",B989)),OR(ISNUMBER(SEARCH("上",B989)),ISNUMBER(SEARCH("去",B989)),ISNUMBER(SEARCH("入",B989)))),"Ambiguous",IF(ISNUMBER(SEARCH("平",B989)),"平","仄")))</x:f>
        <x:v>平</x:v>
      </x:c>
      <x:c r="K989" s="6" t="str">
        <x:f>IF(D989="","",IF(AND(ISNUMBER(SEARCH("平",D989)),OR(ISNUMBER(SEARCH("上",D989)),ISNUMBER(SEARCH("去",D989)),ISNUMBER(SEARCH("入",D989)))),"Ambiguous",IF(ISNUMBER(SEARCH("平",D989)),"平","仄")))</x:f>
        <x:v>平</x:v>
      </x:c>
      <x:c r="L989" s="7" t="str"/>
    </x:row>
    <x:row r="990">
      <x:c r="A990" s="5" t="str">
        <x:v>審</x:v>
      </x:c>
      <x:c r="B990" s="6" t="str">
        <x:v>上</x:v>
      </x:c>
      <x:c r="C990" s="6" t="str">
        <x:f>IF(B990="","Needs decision","Ready")</x:f>
        <x:v>Ready</x:v>
      </x:c>
      <x:c r="D990" s="6" t="str">
        <x:v>上</x:v>
      </x:c>
      <x:c r="E990" s="6" t="str">
        <x:v>syimX (B)</x:v>
      </x:c>
      <x:c r="F990" s="6" t="str">
        <x:v>上聲二十六寢</x:v>
      </x:c>
      <x:c r="G990" s="6" t="str">
        <x:v>Pingshui main list, Wikisource-derived DOCX</x:v>
      </x:c>
      <x:c r="H990" s="6" t="str">
        <x:v>1</x:v>
      </x:c>
      <x:c r="I990" s="6" t="str"/>
      <x:c r="J990" s="6" t="str">
        <x:f>IF(B990="","",IF(AND(ISNUMBER(SEARCH("平",B990)),OR(ISNUMBER(SEARCH("上",B990)),ISNUMBER(SEARCH("去",B990)),ISNUMBER(SEARCH("入",B990)))),"Ambiguous",IF(ISNUMBER(SEARCH("平",B990)),"平","仄")))</x:f>
        <x:v>仄</x:v>
      </x:c>
      <x:c r="K990" s="6" t="str">
        <x:f>IF(D990="","",IF(AND(ISNUMBER(SEARCH("平",D990)),OR(ISNUMBER(SEARCH("上",D990)),ISNUMBER(SEARCH("去",D990)),ISNUMBER(SEARCH("入",D990)))),"Ambiguous",IF(ISNUMBER(SEARCH("平",D990)),"平","仄")))</x:f>
        <x:v>仄</x:v>
      </x:c>
      <x:c r="L990" s="7" t="str"/>
    </x:row>
    <x:row r="991">
      <x:c r="A991" s="5" t="str">
        <x:v>寫</x:v>
      </x:c>
      <x:c r="B991" s="6" t="str">
        <x:v>上</x:v>
      </x:c>
      <x:c r="C991" s="6" t="str">
        <x:f>IF(B991="","Needs decision","Ready")</x:f>
        <x:v>Ready</x:v>
      </x:c>
      <x:c r="D991" s="6" t="str">
        <x:v>上</x:v>
      </x:c>
      <x:c r="E991" s="6" t="str">
        <x:v>sjaeX (B)</x:v>
      </x:c>
      <x:c r="F991" s="6" t="str">
        <x:v>上聲二十一馬</x:v>
      </x:c>
      <x:c r="G991" s="6" t="str">
        <x:v>Pingshui main list, Wikisource-derived DOCX</x:v>
      </x:c>
      <x:c r="H991" s="6" t="str">
        <x:v>1</x:v>
      </x:c>
      <x:c r="I991" s="6" t="str"/>
      <x:c r="J991" s="6" t="str">
        <x:f>IF(B991="","",IF(AND(ISNUMBER(SEARCH("平",B991)),OR(ISNUMBER(SEARCH("上",B991)),ISNUMBER(SEARCH("去",B991)),ISNUMBER(SEARCH("入",B991)))),"Ambiguous",IF(ISNUMBER(SEARCH("平",B991)),"平","仄")))</x:f>
        <x:v>仄</x:v>
      </x:c>
      <x:c r="K991" s="6" t="str">
        <x:f>IF(D991="","",IF(AND(ISNUMBER(SEARCH("平",D991)),OR(ISNUMBER(SEARCH("上",D991)),ISNUMBER(SEARCH("去",D991)),ISNUMBER(SEARCH("入",D991)))),"Ambiguous",IF(ISNUMBER(SEARCH("平",D991)),"平","仄")))</x:f>
        <x:v>仄</x:v>
      </x:c>
      <x:c r="L991" s="7" t="str"/>
    </x:row>
    <x:row r="992">
      <x:c r="A992" s="5" t="str">
        <x:v>寬</x:v>
      </x:c>
      <x:c r="B992" s="6" t="str">
        <x:v>平</x:v>
      </x:c>
      <x:c r="C992" s="6" t="str">
        <x:f>IF(B992="","Needs decision","Ready")</x:f>
        <x:v>Ready</x:v>
      </x:c>
      <x:c r="D992" s="6" t="str">
        <x:v>平</x:v>
      </x:c>
      <x:c r="E992" s="6" t="str">
        <x:v>khwan (A)</x:v>
      </x:c>
      <x:c r="F992" s="6" t="str">
        <x:v>上平聲十四寒</x:v>
      </x:c>
      <x:c r="G992" s="6" t="str">
        <x:v>Pingshui main list, Wikisource-derived DOCX</x:v>
      </x:c>
      <x:c r="H992" s="6" t="str">
        <x:v>1</x:v>
      </x:c>
      <x:c r="I992" s="6" t="str"/>
      <x:c r="J992" s="6" t="str">
        <x:f>IF(B992="","",IF(AND(ISNUMBER(SEARCH("平",B992)),OR(ISNUMBER(SEARCH("上",B992)),ISNUMBER(SEARCH("去",B992)),ISNUMBER(SEARCH("入",B992)))),"Ambiguous",IF(ISNUMBER(SEARCH("平",B992)),"平","仄")))</x:f>
        <x:v>平</x:v>
      </x:c>
      <x:c r="K992" s="6" t="str">
        <x:f>IF(D992="","",IF(AND(ISNUMBER(SEARCH("平",D992)),OR(ISNUMBER(SEARCH("上",D992)),ISNUMBER(SEARCH("去",D992)),ISNUMBER(SEARCH("入",D992)))),"Ambiguous",IF(ISNUMBER(SEARCH("平",D992)),"平","仄")))</x:f>
        <x:v>平</x:v>
      </x:c>
      <x:c r="L992" s="7" t="str"/>
    </x:row>
    <x:row r="993">
      <x:c r="A993" s="5" t="str">
        <x:v>寰</x:v>
      </x:c>
      <x:c r="B993" s="6" t="str">
        <x:v>平</x:v>
      </x:c>
      <x:c r="C993" s="6" t="str">
        <x:f>IF(B993="","Needs decision","Ready")</x:f>
        <x:v>Ready</x:v>
      </x:c>
      <x:c r="D993" s="6" t="str">
        <x:v>平</x:v>
      </x:c>
      <x:c r="E993" s="6" t="str"/>
      <x:c r="F993" s="6" t="str"/>
      <x:c r="G993" s="6" t="str"/>
      <x:c r="H993" s="6" t="str"/>
      <x:c r="I993" s="6" t="str">
        <x:v>Manual user correction/addition</x:v>
      </x:c>
      <x:c r="J993" s="6" t="str">
        <x:f>IF(B993="","",IF(AND(ISNUMBER(SEARCH("平",B993)),OR(ISNUMBER(SEARCH("上",B993)),ISNUMBER(SEARCH("去",B993)),ISNUMBER(SEARCH("入",B993)))),"Ambiguous",IF(ISNUMBER(SEARCH("平",B993)),"平","仄")))</x:f>
        <x:v>平</x:v>
      </x:c>
      <x:c r="K993" s="6" t="str">
        <x:f>IF(D993="","",IF(AND(ISNUMBER(SEARCH("平",D993)),OR(ISNUMBER(SEARCH("上",D993)),ISNUMBER(SEARCH("去",D993)),ISNUMBER(SEARCH("入",D993)))),"Ambiguous",IF(ISNUMBER(SEARCH("平",D993)),"平","仄")))</x:f>
        <x:v>平</x:v>
      </x:c>
      <x:c r="L993" s="7" t="str">
        <x:v>manual user correction</x:v>
      </x:c>
    </x:row>
    <x:row r="994">
      <x:c r="A994" s="5" t="str">
        <x:v>寵</x:v>
      </x:c>
      <x:c r="B994" s="6" t="str">
        <x:v>上</x:v>
      </x:c>
      <x:c r="C994" s="6" t="str">
        <x:f>IF(B994="","Needs decision","Ready")</x:f>
        <x:v>Ready</x:v>
      </x:c>
      <x:c r="D994" s="6" t="str">
        <x:v>上</x:v>
      </x:c>
      <x:c r="E994" s="6" t="str">
        <x:v>trhjowngX (B)</x:v>
      </x:c>
      <x:c r="F994" s="6" t="str">
        <x:v>上聲二腫</x:v>
      </x:c>
      <x:c r="G994" s="6" t="str">
        <x:v>Pingshui main list, Wikisource-derived DOCX</x:v>
      </x:c>
      <x:c r="H994" s="6" t="str">
        <x:v>1</x:v>
      </x:c>
      <x:c r="I994" s="6" t="str"/>
      <x:c r="J994" s="6" t="str">
        <x:f>IF(B994="","",IF(AND(ISNUMBER(SEARCH("平",B994)),OR(ISNUMBER(SEARCH("上",B994)),ISNUMBER(SEARCH("去",B994)),ISNUMBER(SEARCH("入",B994)))),"Ambiguous",IF(ISNUMBER(SEARCH("平",B994)),"平","仄")))</x:f>
        <x:v>仄</x:v>
      </x:c>
      <x:c r="K994" s="6" t="str">
        <x:f>IF(D994="","",IF(AND(ISNUMBER(SEARCH("平",D994)),OR(ISNUMBER(SEARCH("上",D994)),ISNUMBER(SEARCH("去",D994)),ISNUMBER(SEARCH("入",D994)))),"Ambiguous",IF(ISNUMBER(SEARCH("平",D994)),"平","仄")))</x:f>
        <x:v>仄</x:v>
      </x:c>
      <x:c r="L994" s="7" t="str"/>
    </x:row>
    <x:row r="995">
      <x:c r="A995" s="5" t="str">
        <x:v>寶</x:v>
      </x:c>
      <x:c r="B995" s="6" t="str">
        <x:v>上</x:v>
      </x:c>
      <x:c r="C995" s="6" t="str">
        <x:f>IF(B995="","Needs decision","Ready")</x:f>
        <x:v>Ready</x:v>
      </x:c>
      <x:c r="D995" s="6" t="str">
        <x:v>上</x:v>
      </x:c>
      <x:c r="E995" s="6" t="str">
        <x:v>pawX (B)</x:v>
      </x:c>
      <x:c r="F995" s="6" t="str">
        <x:v>上聲十九皓</x:v>
      </x:c>
      <x:c r="G995" s="6" t="str">
        <x:v>Pingshui main list, Wikisource-derived DOCX</x:v>
      </x:c>
      <x:c r="H995" s="6" t="str">
        <x:v>1</x:v>
      </x:c>
      <x:c r="I995" s="6" t="str"/>
      <x:c r="J995" s="6" t="str">
        <x:f>IF(B995="","",IF(AND(ISNUMBER(SEARCH("平",B995)),OR(ISNUMBER(SEARCH("上",B995)),ISNUMBER(SEARCH("去",B995)),ISNUMBER(SEARCH("入",B995)))),"Ambiguous",IF(ISNUMBER(SEARCH("平",B995)),"平","仄")))</x:f>
        <x:v>仄</x:v>
      </x:c>
      <x:c r="K995" s="6" t="str">
        <x:f>IF(D995="","",IF(AND(ISNUMBER(SEARCH("平",D995)),OR(ISNUMBER(SEARCH("上",D995)),ISNUMBER(SEARCH("去",D995)),ISNUMBER(SEARCH("入",D995)))),"Ambiguous",IF(ISNUMBER(SEARCH("平",D995)),"平","仄")))</x:f>
        <x:v>仄</x:v>
      </x:c>
      <x:c r="L995" s="7" t="str"/>
    </x:row>
    <x:row r="996">
      <x:c r="A996" s="5" t="str">
        <x:v>寸</x:v>
      </x:c>
      <x:c r="B996" s="6" t="str">
        <x:v>去</x:v>
      </x:c>
      <x:c r="C996" s="6" t="str">
        <x:f>IF(B996="","Needs decision","Ready")</x:f>
        <x:v>Ready</x:v>
      </x:c>
      <x:c r="D996" s="6" t="str">
        <x:v>去</x:v>
      </x:c>
      <x:c r="E996" s="6" t="str">
        <x:v>tshwonH (C)</x:v>
      </x:c>
      <x:c r="F996" s="6" t="str">
        <x:v>去聲十四願</x:v>
      </x:c>
      <x:c r="G996" s="6" t="str">
        <x:v>Pingshui main list, Wikisource-derived DOCX</x:v>
      </x:c>
      <x:c r="H996" s="6" t="str">
        <x:v>1</x:v>
      </x:c>
      <x:c r="I996" s="6" t="str"/>
      <x:c r="J996" s="6" t="str">
        <x:f>IF(B996="","",IF(AND(ISNUMBER(SEARCH("平",B996)),OR(ISNUMBER(SEARCH("上",B996)),ISNUMBER(SEARCH("去",B996)),ISNUMBER(SEARCH("入",B996)))),"Ambiguous",IF(ISNUMBER(SEARCH("平",B996)),"平","仄")))</x:f>
        <x:v>仄</x:v>
      </x:c>
      <x:c r="K996" s="6" t="str">
        <x:f>IF(D996="","",IF(AND(ISNUMBER(SEARCH("平",D996)),OR(ISNUMBER(SEARCH("上",D996)),ISNUMBER(SEARCH("去",D996)),ISNUMBER(SEARCH("入",D996)))),"Ambiguous",IF(ISNUMBER(SEARCH("平",D996)),"平","仄")))</x:f>
        <x:v>仄</x:v>
      </x:c>
      <x:c r="L996" s="7" t="str"/>
    </x:row>
    <x:row r="997">
      <x:c r="A997" s="5" t="str">
        <x:v>寺</x:v>
      </x:c>
      <x:c r="B997" s="6" t="str">
        <x:v>去</x:v>
      </x:c>
      <x:c r="C997" s="6" t="str">
        <x:f>IF(B997="","Needs decision","Ready")</x:f>
        <x:v>Ready</x:v>
      </x:c>
      <x:c r="D997" s="6" t="str">
        <x:v>去</x:v>
      </x:c>
      <x:c r="E997" s="6" t="str">
        <x:v>ziH (C)</x:v>
      </x:c>
      <x:c r="F997" s="6" t="str">
        <x:v>去聲四寘</x:v>
      </x:c>
      <x:c r="G997" s="6" t="str">
        <x:v>Pingshui main list, Wikisource-derived DOCX</x:v>
      </x:c>
      <x:c r="H997" s="6" t="str">
        <x:v>1</x:v>
      </x:c>
      <x:c r="I997" s="6" t="str"/>
      <x:c r="J997" s="6" t="str">
        <x:f>IF(B997="","",IF(AND(ISNUMBER(SEARCH("平",B997)),OR(ISNUMBER(SEARCH("上",B997)),ISNUMBER(SEARCH("去",B997)),ISNUMBER(SEARCH("入",B997)))),"Ambiguous",IF(ISNUMBER(SEARCH("平",B997)),"平","仄")))</x:f>
        <x:v>仄</x:v>
      </x:c>
      <x:c r="K997" s="6" t="str">
        <x:f>IF(D997="","",IF(AND(ISNUMBER(SEARCH("平",D997)),OR(ISNUMBER(SEARCH("上",D997)),ISNUMBER(SEARCH("去",D997)),ISNUMBER(SEARCH("入",D997)))),"Ambiguous",IF(ISNUMBER(SEARCH("平",D997)),"平","仄")))</x:f>
        <x:v>仄</x:v>
      </x:c>
      <x:c r="L997" s="7" t="str"/>
    </x:row>
    <x:row r="998">
      <x:c r="A998" s="5" t="str">
        <x:v>封</x:v>
      </x:c>
      <x:c r="B998" s="6" t="str">
        <x:v>平</x:v>
      </x:c>
      <x:c r="C998" s="6" t="str">
        <x:f>IF(B998="","Needs decision","Ready")</x:f>
        <x:v>Ready</x:v>
      </x:c>
      <x:c r="D998" s="6" t="str">
        <x:v>平</x:v>
      </x:c>
      <x:c r="E998" s="6" t="str">
        <x:v>pjowng (A)</x:v>
      </x:c>
      <x:c r="F998" s="6" t="str">
        <x:v>上平聲二冬; 去聲二宋</x:v>
      </x:c>
      <x:c r="G998" s="6" t="str">
        <x:v>Pingshui main list, Wikisource-derived DOCX</x:v>
      </x:c>
      <x:c r="H998" s="6" t="str">
        <x:v>1</x:v>
      </x:c>
      <x:c r="I998" s="6" t="str"/>
      <x:c r="J998" s="6" t="str">
        <x:f>IF(B998="","",IF(AND(ISNUMBER(SEARCH("平",B998)),OR(ISNUMBER(SEARCH("上",B998)),ISNUMBER(SEARCH("去",B998)),ISNUMBER(SEARCH("入",B998)))),"Ambiguous",IF(ISNUMBER(SEARCH("平",B998)),"平","仄")))</x:f>
        <x:v>平</x:v>
      </x:c>
      <x:c r="K998" s="6" t="str">
        <x:f>IF(D998="","",IF(AND(ISNUMBER(SEARCH("平",D998)),OR(ISNUMBER(SEARCH("上",D998)),ISNUMBER(SEARCH("去",D998)),ISNUMBER(SEARCH("入",D998)))),"Ambiguous",IF(ISNUMBER(SEARCH("平",D998)),"平","仄")))</x:f>
        <x:v>平</x:v>
      </x:c>
      <x:c r="L998" s="7" t="str"/>
    </x:row>
    <x:row r="999">
      <x:c r="A999" s="5" t="str">
        <x:v>射</x:v>
      </x:c>
      <x:c r="B999" s="6" t="str"/>
      <x:c r="C999" s="6" t="str">
        <x:f>IF(B999="","Needs decision","Ready")</x:f>
        <x:v>Needs decision</x:v>
      </x:c>
      <x:c r="D999" s="6" t="str">
        <x:v>去/入</x:v>
      </x:c>
      <x:c r="E999" s="6" t="str">
        <x:v>zyaeH (C); zyek (D)</x:v>
      </x:c>
      <x:c r="F999" s="6" t="str">
        <x:v>去聲二十二禡; 入聲十一陌</x:v>
      </x:c>
      <x:c r="G999" s="6" t="str">
        <x:v>Pingshui main list, Wikisource-derived DOCX</x:v>
      </x:c>
      <x:c r="H999" s="6" t="str">
        <x:v>2</x:v>
      </x:c>
      <x:c r="I999" s="6" t="str"/>
      <x:c r="J999" s="6" t="str">
        <x:f>IF(B999="","",IF(AND(ISNUMBER(SEARCH("平",B999)),OR(ISNUMBER(SEARCH("上",B999)),ISNUMBER(SEARCH("去",B999)),ISNUMBER(SEARCH("入",B999)))),"Ambiguous",IF(ISNUMBER(SEARCH("平",B999)),"平","仄")))</x:f>
      </x:c>
      <x:c r="K999" s="6" t="str">
        <x:f>IF(D999="","",IF(AND(ISNUMBER(SEARCH("平",D999)),OR(ISNUMBER(SEARCH("上",D999)),ISNUMBER(SEARCH("去",D999)),ISNUMBER(SEARCH("入",D999)))),"Ambiguous",IF(ISNUMBER(SEARCH("平",D999)),"平","仄")))</x:f>
        <x:v>仄</x:v>
      </x:c>
      <x:c r="L999" s="7" t="str"/>
    </x:row>
    <x:row r="1000">
      <x:c r="A1000" s="5" t="str">
        <x:v>將</x:v>
      </x:c>
      <x:c r="B1000" s="6" t="str"/>
      <x:c r="C1000" s="6" t="str">
        <x:f>IF(B1000="","Needs decision","Ready")</x:f>
        <x:v>Needs decision</x:v>
      </x:c>
      <x:c r="D1000" s="6" t="str">
        <x:v>平/去</x:v>
      </x:c>
      <x:c r="E1000" s="6" t="str">
        <x:v>tsjang (A); tsjangH (C)</x:v>
      </x:c>
      <x:c r="F1000" s="6" t="str">
        <x:v>下平聲七陽; 去聲二十三漾</x:v>
      </x:c>
      <x:c r="G1000" s="6" t="str">
        <x:v>Pingshui main list, Wikisource-derived DOCX</x:v>
      </x:c>
      <x:c r="H1000" s="6" t="str">
        <x:v>2</x:v>
      </x:c>
      <x:c r="I1000" s="6" t="str"/>
      <x:c r="J1000" s="6" t="str">
        <x:f>IF(B1000="","",IF(AND(ISNUMBER(SEARCH("平",B1000)),OR(ISNUMBER(SEARCH("上",B1000)),ISNUMBER(SEARCH("去",B1000)),ISNUMBER(SEARCH("入",B1000)))),"Ambiguous",IF(ISNUMBER(SEARCH("平",B1000)),"平","仄")))</x:f>
      </x:c>
      <x:c r="K1000" s="6" t="str">
        <x:f>IF(D1000="","",IF(AND(ISNUMBER(SEARCH("平",D1000)),OR(ISNUMBER(SEARCH("上",D1000)),ISNUMBER(SEARCH("去",D1000)),ISNUMBER(SEARCH("入",D1000)))),"Ambiguous",IF(ISNUMBER(SEARCH("平",D1000)),"平","仄")))</x:f>
        <x:v>Ambiguous</x:v>
      </x:c>
      <x:c r="L1000" s="7" t="str"/>
    </x:row>
    <x:row r="1001">
      <x:c r="A1001" s="5" t="str">
        <x:v>專</x:v>
      </x:c>
      <x:c r="B1001" s="6" t="str">
        <x:v>平</x:v>
      </x:c>
      <x:c r="C1001" s="6" t="str">
        <x:f>IF(B1001="","Needs decision","Ready")</x:f>
        <x:v>Ready</x:v>
      </x:c>
      <x:c r="D1001" s="6" t="str">
        <x:v>平</x:v>
      </x:c>
      <x:c r="E1001" s="6" t="str">
        <x:v>tsywen (A)</x:v>
      </x:c>
      <x:c r="F1001" s="6" t="str">
        <x:v>下平聲一先</x:v>
      </x:c>
      <x:c r="G1001" s="6" t="str">
        <x:v>Pingshui main list, Wikisource-derived DOCX</x:v>
      </x:c>
      <x:c r="H1001" s="6" t="str">
        <x:v>1</x:v>
      </x:c>
      <x:c r="I1001" s="6" t="str"/>
      <x:c r="J1001" s="6" t="str">
        <x:f>IF(B1001="","",IF(AND(ISNUMBER(SEARCH("平",B1001)),OR(ISNUMBER(SEARCH("上",B1001)),ISNUMBER(SEARCH("去",B1001)),ISNUMBER(SEARCH("入",B1001)))),"Ambiguous",IF(ISNUMBER(SEARCH("平",B1001)),"平","仄")))</x:f>
        <x:v>平</x:v>
      </x:c>
      <x:c r="K1001" s="6" t="str">
        <x:f>IF(D1001="","",IF(AND(ISNUMBER(SEARCH("平",D1001)),OR(ISNUMBER(SEARCH("上",D1001)),ISNUMBER(SEARCH("去",D1001)),ISNUMBER(SEARCH("入",D1001)))),"Ambiguous",IF(ISNUMBER(SEARCH("平",D1001)),"平","仄")))</x:f>
        <x:v>平</x:v>
      </x:c>
      <x:c r="L1001" s="7" t="str"/>
    </x:row>
    <x:row r="1002">
      <x:c r="A1002" s="5" t="str">
        <x:v>尉</x:v>
      </x:c>
      <x:c r="B1002" s="6" t="str"/>
      <x:c r="C1002" s="6" t="str">
        <x:f>IF(B1002="","Needs decision","Ready")</x:f>
        <x:v>Needs decision</x:v>
      </x:c>
      <x:c r="D1002" s="6" t="str">
        <x:v>去/入</x:v>
      </x:c>
      <x:c r="E1002" s="6" t="str">
        <x:v>'jut [ʔɨ̯ut] (入); 'jw+jH [ʔwɨjh] (去)</x:v>
      </x:c>
      <x:c r="F1002" s="6" t="str">
        <x:v>去聲五未; 入聲五物</x:v>
      </x:c>
      <x:c r="G1002" s="6" t="str">
        <x:v>Pingshui main list, Wikisource-derived DOCX</x:v>
      </x:c>
      <x:c r="H1002" s="6" t="str">
        <x:v>2</x:v>
      </x:c>
      <x:c r="I1002" s="6" t="str">
        <x:v>Tang 300 gap; frequency 1; ambiguous in Xun Gong</x:v>
      </x:c>
      <x:c r="J1002" s="6" t="str">
        <x:f>IF(B1002="","",IF(AND(ISNUMBER(SEARCH("平",B1002)),OR(ISNUMBER(SEARCH("上",B1002)),ISNUMBER(SEARCH("去",B1002)),ISNUMBER(SEARCH("入",B1002)))),"Ambiguous",IF(ISNUMBER(SEARCH("平",B1002)),"平","仄")))</x:f>
      </x:c>
      <x:c r="K1002" s="6" t="str">
        <x:f>IF(D1002="","",IF(AND(ISNUMBER(SEARCH("平",D1002)),OR(ISNUMBER(SEARCH("上",D1002)),ISNUMBER(SEARCH("去",D1002)),ISNUMBER(SEARCH("入",D1002)))),"Ambiguous",IF(ISNUMBER(SEARCH("平",D1002)),"平","仄")))</x:f>
        <x:v>仄</x:v>
      </x:c>
      <x:c r="L1002" s="7" t="str">
        <x:v>Xun Gong, Tang 300 gap fill</x:v>
      </x:c>
    </x:row>
    <x:row r="1003">
      <x:c r="A1003" s="5" t="str">
        <x:v>尊</x:v>
      </x:c>
      <x:c r="B1003" s="6" t="str">
        <x:v>平</x:v>
      </x:c>
      <x:c r="C1003" s="6" t="str">
        <x:f>IF(B1003="","Needs decision","Ready")</x:f>
        <x:v>Ready</x:v>
      </x:c>
      <x:c r="D1003" s="6" t="str">
        <x:v>平</x:v>
      </x:c>
      <x:c r="E1003" s="6" t="str">
        <x:v>tswon (A)</x:v>
      </x:c>
      <x:c r="F1003" s="6" t="str">
        <x:v>上平聲十三元</x:v>
      </x:c>
      <x:c r="G1003" s="6" t="str">
        <x:v>Pingshui main list, Wikisource-derived DOCX</x:v>
      </x:c>
      <x:c r="H1003" s="6" t="str">
        <x:v>1</x:v>
      </x:c>
      <x:c r="I1003" s="6" t="str"/>
      <x:c r="J1003" s="6" t="str">
        <x:f>IF(B1003="","",IF(AND(ISNUMBER(SEARCH("平",B1003)),OR(ISNUMBER(SEARCH("上",B1003)),ISNUMBER(SEARCH("去",B1003)),ISNUMBER(SEARCH("入",B1003)))),"Ambiguous",IF(ISNUMBER(SEARCH("平",B1003)),"平","仄")))</x:f>
        <x:v>平</x:v>
      </x:c>
      <x:c r="K1003" s="6" t="str">
        <x:f>IF(D1003="","",IF(AND(ISNUMBER(SEARCH("平",D1003)),OR(ISNUMBER(SEARCH("上",D1003)),ISNUMBER(SEARCH("去",D1003)),ISNUMBER(SEARCH("入",D1003)))),"Ambiguous",IF(ISNUMBER(SEARCH("平",D1003)),"平","仄")))</x:f>
        <x:v>平</x:v>
      </x:c>
      <x:c r="L1003" s="7" t="str"/>
    </x:row>
    <x:row r="1004">
      <x:c r="A1004" s="5" t="str">
        <x:v>尋</x:v>
      </x:c>
      <x:c r="B1004" s="6" t="str">
        <x:v>平</x:v>
      </x:c>
      <x:c r="C1004" s="6" t="str">
        <x:f>IF(B1004="","Needs decision","Ready")</x:f>
        <x:v>Ready</x:v>
      </x:c>
      <x:c r="D1004" s="6" t="str">
        <x:v>平</x:v>
      </x:c>
      <x:c r="E1004" s="6" t="str">
        <x:v>zim (A)</x:v>
      </x:c>
      <x:c r="F1004" s="6" t="str">
        <x:v>下平聲十二侵</x:v>
      </x:c>
      <x:c r="G1004" s="6" t="str">
        <x:v>Pingshui main list, Wikisource-derived DOCX</x:v>
      </x:c>
      <x:c r="H1004" s="6" t="str">
        <x:v>1</x:v>
      </x:c>
      <x:c r="I1004" s="6" t="str"/>
      <x:c r="J1004" s="6" t="str">
        <x:f>IF(B1004="","",IF(AND(ISNUMBER(SEARCH("平",B1004)),OR(ISNUMBER(SEARCH("上",B1004)),ISNUMBER(SEARCH("去",B1004)),ISNUMBER(SEARCH("入",B1004)))),"Ambiguous",IF(ISNUMBER(SEARCH("平",B1004)),"平","仄")))</x:f>
        <x:v>平</x:v>
      </x:c>
      <x:c r="K1004" s="6" t="str">
        <x:f>IF(D1004="","",IF(AND(ISNUMBER(SEARCH("平",D1004)),OR(ISNUMBER(SEARCH("上",D1004)),ISNUMBER(SEARCH("去",D1004)),ISNUMBER(SEARCH("入",D1004)))),"Ambiguous",IF(ISNUMBER(SEARCH("平",D1004)),"平","仄")))</x:f>
        <x:v>平</x:v>
      </x:c>
      <x:c r="L1004" s="7" t="str"/>
    </x:row>
    <x:row r="1005">
      <x:c r="A1005" s="5" t="str">
        <x:v>尌</x:v>
      </x:c>
      <x:c r="B1005" s="6" t="str">
        <x:v>去</x:v>
      </x:c>
      <x:c r="C1005" s="6" t="str">
        <x:f>IF(B1005="","Needs decision","Ready")</x:f>
        <x:v>Ready</x:v>
      </x:c>
      <x:c r="D1005" s="6" t="str">
        <x:v>去</x:v>
      </x:c>
      <x:c r="E1005" s="6" t="str">
        <x:v>dzyuH (C)</x:v>
      </x:c>
      <x:c r="F1005" s="6" t="str"/>
      <x:c r="G1005" s="6" t="str"/>
      <x:c r="H1005" s="6" t="str">
        <x:v>1</x:v>
      </x:c>
      <x:c r="I1005" s="6" t="str"/>
      <x:c r="J1005" s="6" t="str">
        <x:f>IF(B1005="","",IF(AND(ISNUMBER(SEARCH("平",B1005)),OR(ISNUMBER(SEARCH("上",B1005)),ISNUMBER(SEARCH("去",B1005)),ISNUMBER(SEARCH("入",B1005)))),"Ambiguous",IF(ISNUMBER(SEARCH("平",B1005)),"平","仄")))</x:f>
        <x:v>仄</x:v>
      </x:c>
      <x:c r="K1005" s="6" t="str">
        <x:f>IF(D1005="","",IF(AND(ISNUMBER(SEARCH("平",D1005)),OR(ISNUMBER(SEARCH("上",D1005)),ISNUMBER(SEARCH("去",D1005)),ISNUMBER(SEARCH("入",D1005)))),"Ambiguous",IF(ISNUMBER(SEARCH("平",D1005)),"平","仄")))</x:f>
        <x:v>仄</x:v>
      </x:c>
      <x:c r="L1005" s="7" t="str"/>
    </x:row>
    <x:row r="1006">
      <x:c r="A1006" s="5" t="str">
        <x:v>對</x:v>
      </x:c>
      <x:c r="B1006" s="6" t="str">
        <x:v>去</x:v>
      </x:c>
      <x:c r="C1006" s="6" t="str">
        <x:f>IF(B1006="","Needs decision","Ready")</x:f>
        <x:v>Ready</x:v>
      </x:c>
      <x:c r="D1006" s="6" t="str">
        <x:v>去</x:v>
      </x:c>
      <x:c r="E1006" s="6" t="str">
        <x:v>twojH (C)</x:v>
      </x:c>
      <x:c r="F1006" s="6" t="str">
        <x:v>去聲十一隊</x:v>
      </x:c>
      <x:c r="G1006" s="6" t="str">
        <x:v>Pingshui main list, Wikisource-derived DOCX</x:v>
      </x:c>
      <x:c r="H1006" s="6" t="str">
        <x:v>1</x:v>
      </x:c>
      <x:c r="I1006" s="6" t="str"/>
      <x:c r="J1006" s="6" t="str">
        <x:f>IF(B1006="","",IF(AND(ISNUMBER(SEARCH("平",B1006)),OR(ISNUMBER(SEARCH("上",B1006)),ISNUMBER(SEARCH("去",B1006)),ISNUMBER(SEARCH("入",B1006)))),"Ambiguous",IF(ISNUMBER(SEARCH("平",B1006)),"平","仄")))</x:f>
        <x:v>仄</x:v>
      </x:c>
      <x:c r="K1006" s="6" t="str">
        <x:f>IF(D1006="","",IF(AND(ISNUMBER(SEARCH("平",D1006)),OR(ISNUMBER(SEARCH("上",D1006)),ISNUMBER(SEARCH("去",D1006)),ISNUMBER(SEARCH("入",D1006)))),"Ambiguous",IF(ISNUMBER(SEARCH("平",D1006)),"平","仄")))</x:f>
        <x:v>仄</x:v>
      </x:c>
      <x:c r="L1006" s="7" t="str"/>
    </x:row>
    <x:row r="1007">
      <x:c r="A1007" s="5" t="str">
        <x:v>導</x:v>
      </x:c>
      <x:c r="B1007" s="6" t="str">
        <x:v>去</x:v>
      </x:c>
      <x:c r="C1007" s="6" t="str">
        <x:f>IF(B1007="","Needs decision","Ready")</x:f>
        <x:v>Ready</x:v>
      </x:c>
      <x:c r="D1007" s="6" t="str">
        <x:v>去</x:v>
      </x:c>
      <x:c r="E1007" s="6" t="str">
        <x:v>dawH (C)</x:v>
      </x:c>
      <x:c r="F1007" s="6" t="str">
        <x:v>去聲二十號</x:v>
      </x:c>
      <x:c r="G1007" s="6" t="str">
        <x:v>Pingshui main list, Wikisource-derived DOCX</x:v>
      </x:c>
      <x:c r="H1007" s="6" t="str">
        <x:v>1</x:v>
      </x:c>
      <x:c r="I1007" s="6" t="str"/>
      <x:c r="J1007" s="6" t="str">
        <x:f>IF(B1007="","",IF(AND(ISNUMBER(SEARCH("平",B1007)),OR(ISNUMBER(SEARCH("上",B1007)),ISNUMBER(SEARCH("去",B1007)),ISNUMBER(SEARCH("入",B1007)))),"Ambiguous",IF(ISNUMBER(SEARCH("平",B1007)),"平","仄")))</x:f>
        <x:v>仄</x:v>
      </x:c>
      <x:c r="K1007" s="6" t="str">
        <x:f>IF(D1007="","",IF(AND(ISNUMBER(SEARCH("平",D1007)),OR(ISNUMBER(SEARCH("上",D1007)),ISNUMBER(SEARCH("去",D1007)),ISNUMBER(SEARCH("入",D1007)))),"Ambiguous",IF(ISNUMBER(SEARCH("平",D1007)),"平","仄")))</x:f>
        <x:v>仄</x:v>
      </x:c>
      <x:c r="L1007" s="7" t="str"/>
    </x:row>
    <x:row r="1008">
      <x:c r="A1008" s="5" t="str">
        <x:v>小</x:v>
      </x:c>
      <x:c r="B1008" s="6" t="str">
        <x:v>上</x:v>
      </x:c>
      <x:c r="C1008" s="6" t="str">
        <x:f>IF(B1008="","Needs decision","Ready")</x:f>
        <x:v>Ready</x:v>
      </x:c>
      <x:c r="D1008" s="6" t="str">
        <x:v>上</x:v>
      </x:c>
      <x:c r="E1008" s="6" t="str">
        <x:v>sjewX (B)</x:v>
      </x:c>
      <x:c r="F1008" s="6" t="str">
        <x:v>上聲十七篠</x:v>
      </x:c>
      <x:c r="G1008" s="6" t="str">
        <x:v>Pingshui main list, Wikisource-derived DOCX</x:v>
      </x:c>
      <x:c r="H1008" s="6" t="str">
        <x:v>1</x:v>
      </x:c>
      <x:c r="I1008" s="6" t="str"/>
      <x:c r="J1008" s="6" t="str">
        <x:f>IF(B1008="","",IF(AND(ISNUMBER(SEARCH("平",B1008)),OR(ISNUMBER(SEARCH("上",B1008)),ISNUMBER(SEARCH("去",B1008)),ISNUMBER(SEARCH("入",B1008)))),"Ambiguous",IF(ISNUMBER(SEARCH("平",B1008)),"平","仄")))</x:f>
        <x:v>仄</x:v>
      </x:c>
      <x:c r="K1008" s="6" t="str">
        <x:f>IF(D1008="","",IF(AND(ISNUMBER(SEARCH("平",D1008)),OR(ISNUMBER(SEARCH("上",D1008)),ISNUMBER(SEARCH("去",D1008)),ISNUMBER(SEARCH("入",D1008)))),"Ambiguous",IF(ISNUMBER(SEARCH("平",D1008)),"平","仄")))</x:f>
        <x:v>仄</x:v>
      </x:c>
      <x:c r="L1008" s="7" t="str"/>
    </x:row>
    <x:row r="1009">
      <x:c r="A1009" s="5" t="str">
        <x:v>少</x:v>
      </x:c>
      <x:c r="B1009" s="6" t="str"/>
      <x:c r="C1009" s="6" t="str">
        <x:f>IF(B1009="","Needs decision","Ready")</x:f>
        <x:v>Needs decision</x:v>
      </x:c>
      <x:c r="D1009" s="6" t="str">
        <x:v>上/去</x:v>
      </x:c>
      <x:c r="E1009" s="6" t="str">
        <x:v>syewX (B); syewH (C)</x:v>
      </x:c>
      <x:c r="F1009" s="6" t="str">
        <x:v>上聲十七篠; 去聲十八嘯</x:v>
      </x:c>
      <x:c r="G1009" s="6" t="str">
        <x:v>Pingshui main list, Wikisource-derived DOCX</x:v>
      </x:c>
      <x:c r="H1009" s="6" t="str">
        <x:v>2</x:v>
      </x:c>
      <x:c r="I1009" s="6" t="str"/>
      <x:c r="J1009" s="6" t="str">
        <x:f>IF(B1009="","",IF(AND(ISNUMBER(SEARCH("平",B1009)),OR(ISNUMBER(SEARCH("上",B1009)),ISNUMBER(SEARCH("去",B1009)),ISNUMBER(SEARCH("入",B1009)))),"Ambiguous",IF(ISNUMBER(SEARCH("平",B1009)),"平","仄")))</x:f>
      </x:c>
      <x:c r="K1009" s="6" t="str">
        <x:f>IF(D1009="","",IF(AND(ISNUMBER(SEARCH("平",D1009)),OR(ISNUMBER(SEARCH("上",D1009)),ISNUMBER(SEARCH("去",D1009)),ISNUMBER(SEARCH("入",D1009)))),"Ambiguous",IF(ISNUMBER(SEARCH("平",D1009)),"平","仄")))</x:f>
        <x:v>仄</x:v>
      </x:c>
      <x:c r="L1009" s="7" t="str"/>
    </x:row>
    <x:row r="1010">
      <x:c r="A1010" s="5" t="str">
        <x:v>尔</x:v>
      </x:c>
      <x:c r="B1010" s="6" t="str">
        <x:v>上</x:v>
      </x:c>
      <x:c r="C1010" s="6" t="str">
        <x:f>IF(B1010="","Needs decision","Ready")</x:f>
        <x:v>Ready</x:v>
      </x:c>
      <x:c r="D1010" s="6" t="str">
        <x:v>上</x:v>
      </x:c>
      <x:c r="E1010" s="6" t="str">
        <x:v>nyeX (B)</x:v>
      </x:c>
      <x:c r="F1010" s="6" t="str"/>
      <x:c r="G1010" s="6" t="str"/>
      <x:c r="H1010" s="6" t="str">
        <x:v>1</x:v>
      </x:c>
      <x:c r="I1010" s="6" t="str"/>
      <x:c r="J1010" s="6" t="str">
        <x:f>IF(B1010="","",IF(AND(ISNUMBER(SEARCH("平",B1010)),OR(ISNUMBER(SEARCH("上",B1010)),ISNUMBER(SEARCH("去",B1010)),ISNUMBER(SEARCH("入",B1010)))),"Ambiguous",IF(ISNUMBER(SEARCH("平",B1010)),"平","仄")))</x:f>
        <x:v>仄</x:v>
      </x:c>
      <x:c r="K1010" s="6" t="str">
        <x:f>IF(D1010="","",IF(AND(ISNUMBER(SEARCH("平",D1010)),OR(ISNUMBER(SEARCH("上",D1010)),ISNUMBER(SEARCH("去",D1010)),ISNUMBER(SEARCH("入",D1010)))),"Ambiguous",IF(ISNUMBER(SEARCH("平",D1010)),"平","仄")))</x:f>
        <x:v>仄</x:v>
      </x:c>
      <x:c r="L1010" s="7" t="str"/>
    </x:row>
    <x:row r="1011">
      <x:c r="A1011" s="5" t="str">
        <x:v>尗</x:v>
      </x:c>
      <x:c r="B1011" s="6" t="str">
        <x:v>入</x:v>
      </x:c>
      <x:c r="C1011" s="6" t="str">
        <x:f>IF(B1011="","Needs decision","Ready")</x:f>
        <x:v>Ready</x:v>
      </x:c>
      <x:c r="D1011" s="6" t="str">
        <x:v>入</x:v>
      </x:c>
      <x:c r="E1011" s="6" t="str">
        <x:v>syuwk (D)</x:v>
      </x:c>
      <x:c r="F1011" s="6" t="str"/>
      <x:c r="G1011" s="6" t="str"/>
      <x:c r="H1011" s="6" t="str">
        <x:v>1</x:v>
      </x:c>
      <x:c r="I1011" s="6" t="str"/>
      <x:c r="J1011" s="6" t="str">
        <x:f>IF(B1011="","",IF(AND(ISNUMBER(SEARCH("平",B1011)),OR(ISNUMBER(SEARCH("上",B1011)),ISNUMBER(SEARCH("去",B1011)),ISNUMBER(SEARCH("入",B1011)))),"Ambiguous",IF(ISNUMBER(SEARCH("平",B1011)),"平","仄")))</x:f>
        <x:v>仄</x:v>
      </x:c>
      <x:c r="K1011" s="6" t="str">
        <x:f>IF(D1011="","",IF(AND(ISNUMBER(SEARCH("平",D1011)),OR(ISNUMBER(SEARCH("上",D1011)),ISNUMBER(SEARCH("去",D1011)),ISNUMBER(SEARCH("入",D1011)))),"Ambiguous",IF(ISNUMBER(SEARCH("平",D1011)),"平","仄")))</x:f>
        <x:v>仄</x:v>
      </x:c>
      <x:c r="L1011" s="7" t="str"/>
    </x:row>
    <x:row r="1012">
      <x:c r="A1012" s="5" t="str">
        <x:v>尚</x:v>
      </x:c>
      <x:c r="B1012" s="6" t="str">
        <x:v>去</x:v>
      </x:c>
      <x:c r="C1012" s="6" t="str">
        <x:f>IF(B1012="","Needs decision","Ready")</x:f>
        <x:v>Ready</x:v>
      </x:c>
      <x:c r="D1012" s="6" t="str">
        <x:v>去</x:v>
      </x:c>
      <x:c r="E1012" s="6" t="str">
        <x:v>dzyangH (C)</x:v>
      </x:c>
      <x:c r="F1012" s="6" t="str">
        <x:v>去聲二十三漾</x:v>
      </x:c>
      <x:c r="G1012" s="6" t="str">
        <x:v>Pingshui main list, Wikisource-derived DOCX</x:v>
      </x:c>
      <x:c r="H1012" s="6" t="str">
        <x:v>1</x:v>
      </x:c>
      <x:c r="I1012" s="6" t="str"/>
      <x:c r="J1012" s="6" t="str">
        <x:f>IF(B1012="","",IF(AND(ISNUMBER(SEARCH("平",B1012)),OR(ISNUMBER(SEARCH("上",B1012)),ISNUMBER(SEARCH("去",B1012)),ISNUMBER(SEARCH("入",B1012)))),"Ambiguous",IF(ISNUMBER(SEARCH("平",B1012)),"平","仄")))</x:f>
        <x:v>仄</x:v>
      </x:c>
      <x:c r="K1012" s="6" t="str">
        <x:f>IF(D1012="","",IF(AND(ISNUMBER(SEARCH("平",D1012)),OR(ISNUMBER(SEARCH("上",D1012)),ISNUMBER(SEARCH("去",D1012)),ISNUMBER(SEARCH("入",D1012)))),"Ambiguous",IF(ISNUMBER(SEARCH("平",D1012)),"平","仄")))</x:f>
        <x:v>仄</x:v>
      </x:c>
      <x:c r="L1012" s="7" t="str"/>
    </x:row>
    <x:row r="1013">
      <x:c r="A1013" s="5" t="str">
        <x:v>尞</x:v>
      </x:c>
      <x:c r="B1013" s="6" t="str">
        <x:v>去</x:v>
      </x:c>
      <x:c r="C1013" s="6" t="str">
        <x:f>IF(B1013="","Needs decision","Ready")</x:f>
        <x:v>Ready</x:v>
      </x:c>
      <x:c r="D1013" s="6" t="str">
        <x:v>去</x:v>
      </x:c>
      <x:c r="E1013" s="6" t="str">
        <x:v>ljewH (C)</x:v>
      </x:c>
      <x:c r="F1013" s="6" t="str"/>
      <x:c r="G1013" s="6" t="str"/>
      <x:c r="H1013" s="6" t="str">
        <x:v>1</x:v>
      </x:c>
      <x:c r="I1013" s="6" t="str"/>
      <x:c r="J1013" s="6" t="str">
        <x:f>IF(B1013="","",IF(AND(ISNUMBER(SEARCH("平",B1013)),OR(ISNUMBER(SEARCH("上",B1013)),ISNUMBER(SEARCH("去",B1013)),ISNUMBER(SEARCH("入",B1013)))),"Ambiguous",IF(ISNUMBER(SEARCH("平",B1013)),"平","仄")))</x:f>
        <x:v>仄</x:v>
      </x:c>
      <x:c r="K1013" s="6" t="str">
        <x:f>IF(D1013="","",IF(AND(ISNUMBER(SEARCH("平",D1013)),OR(ISNUMBER(SEARCH("上",D1013)),ISNUMBER(SEARCH("去",D1013)),ISNUMBER(SEARCH("入",D1013)))),"Ambiguous",IF(ISNUMBER(SEARCH("平",D1013)),"平","仄")))</x:f>
        <x:v>仄</x:v>
      </x:c>
      <x:c r="L1013" s="7" t="str"/>
    </x:row>
    <x:row r="1014">
      <x:c r="A1014" s="5" t="str">
        <x:v>尤</x:v>
      </x:c>
      <x:c r="B1014" s="6" t="str">
        <x:v>平</x:v>
      </x:c>
      <x:c r="C1014" s="6" t="str">
        <x:f>IF(B1014="","Needs decision","Ready")</x:f>
        <x:v>Ready</x:v>
      </x:c>
      <x:c r="D1014" s="6" t="str">
        <x:v>平</x:v>
      </x:c>
      <x:c r="E1014" s="6" t="str">
        <x:v>hjuw (A)</x:v>
      </x:c>
      <x:c r="F1014" s="6" t="str">
        <x:v>下平聲十一尤</x:v>
      </x:c>
      <x:c r="G1014" s="6" t="str">
        <x:v>Pingshui main list, Wikisource-derived DOCX</x:v>
      </x:c>
      <x:c r="H1014" s="6" t="str">
        <x:v>1</x:v>
      </x:c>
      <x:c r="I1014" s="6" t="str"/>
      <x:c r="J1014" s="6" t="str">
        <x:f>IF(B1014="","",IF(AND(ISNUMBER(SEARCH("平",B1014)),OR(ISNUMBER(SEARCH("上",B1014)),ISNUMBER(SEARCH("去",B1014)),ISNUMBER(SEARCH("入",B1014)))),"Ambiguous",IF(ISNUMBER(SEARCH("平",B1014)),"平","仄")))</x:f>
        <x:v>平</x:v>
      </x:c>
      <x:c r="K1014" s="6" t="str">
        <x:f>IF(D1014="","",IF(AND(ISNUMBER(SEARCH("平",D1014)),OR(ISNUMBER(SEARCH("上",D1014)),ISNUMBER(SEARCH("去",D1014)),ISNUMBER(SEARCH("入",D1014)))),"Ambiguous",IF(ISNUMBER(SEARCH("平",D1014)),"平","仄")))</x:f>
        <x:v>平</x:v>
      </x:c>
      <x:c r="L1014" s="7" t="str"/>
    </x:row>
    <x:row r="1015">
      <x:c r="A1015" s="5" t="str">
        <x:v>尨</x:v>
      </x:c>
      <x:c r="B1015" s="6" t="str">
        <x:v>平</x:v>
      </x:c>
      <x:c r="C1015" s="6" t="str">
        <x:f>IF(B1015="","Needs decision","Ready")</x:f>
        <x:v>Ready</x:v>
      </x:c>
      <x:c r="D1015" s="6" t="str">
        <x:v>平</x:v>
      </x:c>
      <x:c r="E1015" s="6" t="str">
        <x:v>maewng (A)</x:v>
      </x:c>
      <x:c r="F1015" s="6" t="str">
        <x:v>上平聲三江</x:v>
      </x:c>
      <x:c r="G1015" s="6" t="str">
        <x:v>Pingshui main list, Wikisource-derived DOCX</x:v>
      </x:c>
      <x:c r="H1015" s="6" t="str">
        <x:v>1</x:v>
      </x:c>
      <x:c r="I1015" s="6" t="str"/>
      <x:c r="J1015" s="6" t="str">
        <x:f>IF(B1015="","",IF(AND(ISNUMBER(SEARCH("平",B1015)),OR(ISNUMBER(SEARCH("上",B1015)),ISNUMBER(SEARCH("去",B1015)),ISNUMBER(SEARCH("入",B1015)))),"Ambiguous",IF(ISNUMBER(SEARCH("平",B1015)),"平","仄")))</x:f>
        <x:v>平</x:v>
      </x:c>
      <x:c r="K1015" s="6" t="str">
        <x:f>IF(D1015="","",IF(AND(ISNUMBER(SEARCH("平",D1015)),OR(ISNUMBER(SEARCH("上",D1015)),ISNUMBER(SEARCH("去",D1015)),ISNUMBER(SEARCH("入",D1015)))),"Ambiguous",IF(ISNUMBER(SEARCH("平",D1015)),"平","仄")))</x:f>
        <x:v>平</x:v>
      </x:c>
      <x:c r="L1015" s="7" t="str"/>
    </x:row>
    <x:row r="1016">
      <x:c r="A1016" s="5" t="str">
        <x:v>尪</x:v>
      </x:c>
      <x:c r="B1016" s="6" t="str">
        <x:v>平</x:v>
      </x:c>
      <x:c r="C1016" s="6" t="str">
        <x:f>IF(B1016="","Needs decision","Ready")</x:f>
        <x:v>Ready</x:v>
      </x:c>
      <x:c r="D1016" s="6" t="str">
        <x:v>平</x:v>
      </x:c>
      <x:c r="E1016" s="6" t="str">
        <x:v>'wang (A)</x:v>
      </x:c>
      <x:c r="F1016" s="6" t="str"/>
      <x:c r="G1016" s="6" t="str"/>
      <x:c r="H1016" s="6" t="str">
        <x:v>1</x:v>
      </x:c>
      <x:c r="I1016" s="6" t="str"/>
      <x:c r="J1016" s="6" t="str">
        <x:f>IF(B1016="","",IF(AND(ISNUMBER(SEARCH("平",B1016)),OR(ISNUMBER(SEARCH("上",B1016)),ISNUMBER(SEARCH("去",B1016)),ISNUMBER(SEARCH("入",B1016)))),"Ambiguous",IF(ISNUMBER(SEARCH("平",B1016)),"平","仄")))</x:f>
        <x:v>平</x:v>
      </x:c>
      <x:c r="K1016" s="6" t="str">
        <x:f>IF(D1016="","",IF(AND(ISNUMBER(SEARCH("平",D1016)),OR(ISNUMBER(SEARCH("上",D1016)),ISNUMBER(SEARCH("去",D1016)),ISNUMBER(SEARCH("入",D1016)))),"Ambiguous",IF(ISNUMBER(SEARCH("平",D1016)),"平","仄")))</x:f>
        <x:v>平</x:v>
      </x:c>
      <x:c r="L1016" s="7" t="str"/>
    </x:row>
    <x:row r="1017">
      <x:c r="A1017" s="5" t="str">
        <x:v>就</x:v>
      </x:c>
      <x:c r="B1017" s="6" t="str">
        <x:v>去</x:v>
      </x:c>
      <x:c r="C1017" s="6" t="str">
        <x:f>IF(B1017="","Needs decision","Ready")</x:f>
        <x:v>Ready</x:v>
      </x:c>
      <x:c r="D1017" s="6" t="str">
        <x:v>去</x:v>
      </x:c>
      <x:c r="E1017" s="6" t="str">
        <x:v>dzjuwH (C)</x:v>
      </x:c>
      <x:c r="F1017" s="6" t="str">
        <x:v>去聲二十六宥; 入聲一屋</x:v>
      </x:c>
      <x:c r="G1017" s="6" t="str">
        <x:v>Pingshui main list, Wikisource-derived DOCX</x:v>
      </x:c>
      <x:c r="H1017" s="6" t="str">
        <x:v>1</x:v>
      </x:c>
      <x:c r="I1017" s="6" t="str"/>
      <x:c r="J1017" s="6" t="str">
        <x:f>IF(B1017="","",IF(AND(ISNUMBER(SEARCH("平",B1017)),OR(ISNUMBER(SEARCH("上",B1017)),ISNUMBER(SEARCH("去",B1017)),ISNUMBER(SEARCH("入",B1017)))),"Ambiguous",IF(ISNUMBER(SEARCH("平",B1017)),"平","仄")))</x:f>
        <x:v>仄</x:v>
      </x:c>
      <x:c r="K1017" s="6" t="str">
        <x:f>IF(D1017="","",IF(AND(ISNUMBER(SEARCH("平",D1017)),OR(ISNUMBER(SEARCH("上",D1017)),ISNUMBER(SEARCH("去",D1017)),ISNUMBER(SEARCH("入",D1017)))),"Ambiguous",IF(ISNUMBER(SEARCH("平",D1017)),"平","仄")))</x:f>
        <x:v>仄</x:v>
      </x:c>
      <x:c r="L1017" s="7" t="str"/>
    </x:row>
    <x:row r="1018">
      <x:c r="A1018" s="5" t="str">
        <x:v>尸</x:v>
      </x:c>
      <x:c r="B1018" s="6" t="str">
        <x:v>平</x:v>
      </x:c>
      <x:c r="C1018" s="6" t="str">
        <x:f>IF(B1018="","Needs decision","Ready")</x:f>
        <x:v>Ready</x:v>
      </x:c>
      <x:c r="D1018" s="6" t="str">
        <x:v>平</x:v>
      </x:c>
      <x:c r="E1018" s="6" t="str">
        <x:v>syij (A)</x:v>
      </x:c>
      <x:c r="F1018" s="6" t="str"/>
      <x:c r="G1018" s="6" t="str"/>
      <x:c r="H1018" s="6" t="str">
        <x:v>1</x:v>
      </x:c>
      <x:c r="I1018" s="6" t="str"/>
      <x:c r="J1018" s="6" t="str">
        <x:f>IF(B1018="","",IF(AND(ISNUMBER(SEARCH("平",B1018)),OR(ISNUMBER(SEARCH("上",B1018)),ISNUMBER(SEARCH("去",B1018)),ISNUMBER(SEARCH("入",B1018)))),"Ambiguous",IF(ISNUMBER(SEARCH("平",B1018)),"平","仄")))</x:f>
        <x:v>平</x:v>
      </x:c>
      <x:c r="K1018" s="6" t="str">
        <x:f>IF(D1018="","",IF(AND(ISNUMBER(SEARCH("平",D1018)),OR(ISNUMBER(SEARCH("上",D1018)),ISNUMBER(SEARCH("去",D1018)),ISNUMBER(SEARCH("入",D1018)))),"Ambiguous",IF(ISNUMBER(SEARCH("平",D1018)),"平","仄")))</x:f>
        <x:v>平</x:v>
      </x:c>
      <x:c r="L1018" s="7" t="str"/>
    </x:row>
    <x:row r="1019">
      <x:c r="A1019" s="5" t="str">
        <x:v>尹</x:v>
      </x:c>
      <x:c r="B1019" s="6" t="str">
        <x:v>上</x:v>
      </x:c>
      <x:c r="C1019" s="6" t="str">
        <x:f>IF(B1019="","Needs decision","Ready")</x:f>
        <x:v>Ready</x:v>
      </x:c>
      <x:c r="D1019" s="6" t="str">
        <x:v>上</x:v>
      </x:c>
      <x:c r="E1019" s="6" t="str">
        <x:v>ywinX (B)</x:v>
      </x:c>
      <x:c r="F1019" s="6" t="str">
        <x:v>上聲十一軫</x:v>
      </x:c>
      <x:c r="G1019" s="6" t="str">
        <x:v>Pingshui main list, Wikisource-derived DOCX</x:v>
      </x:c>
      <x:c r="H1019" s="6" t="str">
        <x:v>1</x:v>
      </x:c>
      <x:c r="I1019" s="6" t="str"/>
      <x:c r="J1019" s="6" t="str">
        <x:f>IF(B1019="","",IF(AND(ISNUMBER(SEARCH("平",B1019)),OR(ISNUMBER(SEARCH("上",B1019)),ISNUMBER(SEARCH("去",B1019)),ISNUMBER(SEARCH("入",B1019)))),"Ambiguous",IF(ISNUMBER(SEARCH("平",B1019)),"平","仄")))</x:f>
        <x:v>仄</x:v>
      </x:c>
      <x:c r="K1019" s="6" t="str">
        <x:f>IF(D1019="","",IF(AND(ISNUMBER(SEARCH("平",D1019)),OR(ISNUMBER(SEARCH("上",D1019)),ISNUMBER(SEARCH("去",D1019)),ISNUMBER(SEARCH("入",D1019)))),"Ambiguous",IF(ISNUMBER(SEARCH("平",D1019)),"平","仄")))</x:f>
        <x:v>仄</x:v>
      </x:c>
      <x:c r="L1019" s="7" t="str"/>
    </x:row>
    <x:row r="1020">
      <x:c r="A1020" s="5" t="str">
        <x:v>尺</x:v>
      </x:c>
      <x:c r="B1020" s="6" t="str">
        <x:v>入</x:v>
      </x:c>
      <x:c r="C1020" s="6" t="str">
        <x:f>IF(B1020="","Needs decision","Ready")</x:f>
        <x:v>Ready</x:v>
      </x:c>
      <x:c r="D1020" s="6" t="str">
        <x:v>入</x:v>
      </x:c>
      <x:c r="E1020" s="6" t="str">
        <x:v>tsyhek (D)</x:v>
      </x:c>
      <x:c r="F1020" s="6" t="str">
        <x:v>入聲十一陌</x:v>
      </x:c>
      <x:c r="G1020" s="6" t="str">
        <x:v>Pingshui main list, Wikisource-derived DOCX</x:v>
      </x:c>
      <x:c r="H1020" s="6" t="str">
        <x:v>1</x:v>
      </x:c>
      <x:c r="I1020" s="6" t="str"/>
      <x:c r="J1020" s="6" t="str">
        <x:f>IF(B1020="","",IF(AND(ISNUMBER(SEARCH("平",B1020)),OR(ISNUMBER(SEARCH("上",B1020)),ISNUMBER(SEARCH("去",B1020)),ISNUMBER(SEARCH("入",B1020)))),"Ambiguous",IF(ISNUMBER(SEARCH("平",B1020)),"平","仄")))</x:f>
        <x:v>仄</x:v>
      </x:c>
      <x:c r="K1020" s="6" t="str">
        <x:f>IF(D1020="","",IF(AND(ISNUMBER(SEARCH("平",D1020)),OR(ISNUMBER(SEARCH("上",D1020)),ISNUMBER(SEARCH("去",D1020)),ISNUMBER(SEARCH("入",D1020)))),"Ambiguous",IF(ISNUMBER(SEARCH("平",D1020)),"平","仄")))</x:f>
        <x:v>仄</x:v>
      </x:c>
      <x:c r="L1020" s="7" t="str"/>
    </x:row>
    <x:row r="1021">
      <x:c r="A1021" s="5" t="str">
        <x:v>尻</x:v>
      </x:c>
      <x:c r="B1021" s="6" t="str">
        <x:v>平</x:v>
      </x:c>
      <x:c r="C1021" s="6" t="str">
        <x:f>IF(B1021="","Needs decision","Ready")</x:f>
        <x:v>Ready</x:v>
      </x:c>
      <x:c r="D1021" s="6" t="str">
        <x:v>平</x:v>
      </x:c>
      <x:c r="E1021" s="6" t="str">
        <x:v>khaw (A)</x:v>
      </x:c>
      <x:c r="F1021" s="6" t="str">
        <x:v>下平聲四豪</x:v>
      </x:c>
      <x:c r="G1021" s="6" t="str">
        <x:v>Pingshui main list, Wikisource-derived DOCX</x:v>
      </x:c>
      <x:c r="H1021" s="6" t="str">
        <x:v>1</x:v>
      </x:c>
      <x:c r="I1021" s="6" t="str"/>
      <x:c r="J1021" s="6" t="str">
        <x:f>IF(B1021="","",IF(AND(ISNUMBER(SEARCH("平",B1021)),OR(ISNUMBER(SEARCH("上",B1021)),ISNUMBER(SEARCH("去",B1021)),ISNUMBER(SEARCH("入",B1021)))),"Ambiguous",IF(ISNUMBER(SEARCH("平",B1021)),"平","仄")))</x:f>
        <x:v>平</x:v>
      </x:c>
      <x:c r="K1021" s="6" t="str">
        <x:f>IF(D1021="","",IF(AND(ISNUMBER(SEARCH("平",D1021)),OR(ISNUMBER(SEARCH("上",D1021)),ISNUMBER(SEARCH("去",D1021)),ISNUMBER(SEARCH("入",D1021)))),"Ambiguous",IF(ISNUMBER(SEARCH("平",D1021)),"平","仄")))</x:f>
        <x:v>平</x:v>
      </x:c>
      <x:c r="L1021" s="7" t="str"/>
    </x:row>
    <x:row r="1022">
      <x:c r="A1022" s="5" t="str">
        <x:v>尼</x:v>
      </x:c>
      <x:c r="B1022" s="6" t="str"/>
      <x:c r="C1022" s="6" t="str">
        <x:f>IF(B1022="","Needs decision","Ready")</x:f>
        <x:v>Needs decision</x:v>
      </x:c>
      <x:c r="D1022" s="6" t="str">
        <x:v>平/上/去</x:v>
      </x:c>
      <x:c r="E1022" s="6" t="str">
        <x:v>nejX (B); nejH (C); nrij (A)</x:v>
      </x:c>
      <x:c r="F1022" s="6" t="str">
        <x:v>上平聲四支; 入聲四質</x:v>
      </x:c>
      <x:c r="G1022" s="6" t="str">
        <x:v>Pingshui main list, Wikisource-derived DOCX</x:v>
      </x:c>
      <x:c r="H1022" s="6" t="str">
        <x:v>3</x:v>
      </x:c>
      <x:c r="I1022" s="6" t="str"/>
      <x:c r="J1022" s="6" t="str">
        <x:f>IF(B1022="","",IF(AND(ISNUMBER(SEARCH("平",B1022)),OR(ISNUMBER(SEARCH("上",B1022)),ISNUMBER(SEARCH("去",B1022)),ISNUMBER(SEARCH("入",B1022)))),"Ambiguous",IF(ISNUMBER(SEARCH("平",B1022)),"平","仄")))</x:f>
      </x:c>
      <x:c r="K1022" s="6" t="str">
        <x:f>IF(D1022="","",IF(AND(ISNUMBER(SEARCH("平",D1022)),OR(ISNUMBER(SEARCH("上",D1022)),ISNUMBER(SEARCH("去",D1022)),ISNUMBER(SEARCH("入",D1022)))),"Ambiguous",IF(ISNUMBER(SEARCH("平",D1022)),"平","仄")))</x:f>
        <x:v>Ambiguous</x:v>
      </x:c>
      <x:c r="L1022" s="7" t="str"/>
    </x:row>
    <x:row r="1023">
      <x:c r="A1023" s="5" t="str">
        <x:v>尾</x:v>
      </x:c>
      <x:c r="B1023" s="6" t="str">
        <x:v>上</x:v>
      </x:c>
      <x:c r="C1023" s="6" t="str">
        <x:f>IF(B1023="","Needs decision","Ready")</x:f>
        <x:v>Ready</x:v>
      </x:c>
      <x:c r="D1023" s="6" t="str">
        <x:v>上</x:v>
      </x:c>
      <x:c r="E1023" s="6" t="str">
        <x:v>mj+jX (B)</x:v>
      </x:c>
      <x:c r="F1023" s="6" t="str">
        <x:v>上聲五尾</x:v>
      </x:c>
      <x:c r="G1023" s="6" t="str">
        <x:v>Pingshui main list, Wikisource-derived DOCX</x:v>
      </x:c>
      <x:c r="H1023" s="6" t="str">
        <x:v>1</x:v>
      </x:c>
      <x:c r="I1023" s="6" t="str"/>
      <x:c r="J1023" s="6" t="str">
        <x:f>IF(B1023="","",IF(AND(ISNUMBER(SEARCH("平",B1023)),OR(ISNUMBER(SEARCH("上",B1023)),ISNUMBER(SEARCH("去",B1023)),ISNUMBER(SEARCH("入",B1023)))),"Ambiguous",IF(ISNUMBER(SEARCH("平",B1023)),"平","仄")))</x:f>
        <x:v>仄</x:v>
      </x:c>
      <x:c r="K1023" s="6" t="str">
        <x:f>IF(D1023="","",IF(AND(ISNUMBER(SEARCH("平",D1023)),OR(ISNUMBER(SEARCH("上",D1023)),ISNUMBER(SEARCH("去",D1023)),ISNUMBER(SEARCH("入",D1023)))),"Ambiguous",IF(ISNUMBER(SEARCH("平",D1023)),"平","仄")))</x:f>
        <x:v>仄</x:v>
      </x:c>
      <x:c r="L1023" s="7" t="str"/>
    </x:row>
    <x:row r="1024">
      <x:c r="A1024" s="5" t="str">
        <x:v>尿</x:v>
      </x:c>
      <x:c r="B1024" s="6" t="str">
        <x:v>去</x:v>
      </x:c>
      <x:c r="C1024" s="6" t="str">
        <x:f>IF(B1024="","Needs decision","Ready")</x:f>
        <x:v>Ready</x:v>
      </x:c>
      <x:c r="D1024" s="6" t="str">
        <x:v>去</x:v>
      </x:c>
      <x:c r="E1024" s="6" t="str">
        <x:v>newH (C)</x:v>
      </x:c>
      <x:c r="F1024" s="6" t="str">
        <x:v>去聲十八嘯</x:v>
      </x:c>
      <x:c r="G1024" s="6" t="str">
        <x:v>Pingshui main list, Wikisource-derived DOCX</x:v>
      </x:c>
      <x:c r="H1024" s="6" t="str">
        <x:v>1</x:v>
      </x:c>
      <x:c r="I1024" s="6" t="str"/>
      <x:c r="J1024" s="6" t="str">
        <x:f>IF(B1024="","",IF(AND(ISNUMBER(SEARCH("平",B1024)),OR(ISNUMBER(SEARCH("上",B1024)),ISNUMBER(SEARCH("去",B1024)),ISNUMBER(SEARCH("入",B1024)))),"Ambiguous",IF(ISNUMBER(SEARCH("平",B1024)),"平","仄")))</x:f>
        <x:v>仄</x:v>
      </x:c>
      <x:c r="K1024" s="6" t="str">
        <x:f>IF(D1024="","",IF(AND(ISNUMBER(SEARCH("平",D1024)),OR(ISNUMBER(SEARCH("上",D1024)),ISNUMBER(SEARCH("去",D1024)),ISNUMBER(SEARCH("入",D1024)))),"Ambiguous",IF(ISNUMBER(SEARCH("平",D1024)),"平","仄")))</x:f>
        <x:v>仄</x:v>
      </x:c>
      <x:c r="L1024" s="7" t="str"/>
    </x:row>
    <x:row r="1025">
      <x:c r="A1025" s="5" t="str">
        <x:v>局</x:v>
      </x:c>
      <x:c r="B1025" s="6" t="str">
        <x:v>入</x:v>
      </x:c>
      <x:c r="C1025" s="6" t="str">
        <x:f>IF(B1025="","Needs decision","Ready")</x:f>
        <x:v>Ready</x:v>
      </x:c>
      <x:c r="D1025" s="6" t="str">
        <x:v>入</x:v>
      </x:c>
      <x:c r="E1025" s="6" t="str">
        <x:v>gjowk (D)</x:v>
      </x:c>
      <x:c r="F1025" s="6" t="str">
        <x:v>入聲二沃</x:v>
      </x:c>
      <x:c r="G1025" s="6" t="str">
        <x:v>Pingshui main list, Wikisource-derived DOCX</x:v>
      </x:c>
      <x:c r="H1025" s="6" t="str">
        <x:v>1</x:v>
      </x:c>
      <x:c r="I1025" s="6" t="str"/>
      <x:c r="J1025" s="6" t="str">
        <x:f>IF(B1025="","",IF(AND(ISNUMBER(SEARCH("平",B1025)),OR(ISNUMBER(SEARCH("上",B1025)),ISNUMBER(SEARCH("去",B1025)),ISNUMBER(SEARCH("入",B1025)))),"Ambiguous",IF(ISNUMBER(SEARCH("平",B1025)),"平","仄")))</x:f>
        <x:v>仄</x:v>
      </x:c>
      <x:c r="K1025" s="6" t="str">
        <x:f>IF(D1025="","",IF(AND(ISNUMBER(SEARCH("平",D1025)),OR(ISNUMBER(SEARCH("上",D1025)),ISNUMBER(SEARCH("去",D1025)),ISNUMBER(SEARCH("入",D1025)))),"Ambiguous",IF(ISNUMBER(SEARCH("平",D1025)),"平","仄")))</x:f>
        <x:v>仄</x:v>
      </x:c>
      <x:c r="L1025" s="7" t="str"/>
    </x:row>
    <x:row r="1026">
      <x:c r="A1026" s="5" t="str">
        <x:v>居</x:v>
      </x:c>
      <x:c r="B1026" s="6" t="str">
        <x:v>平</x:v>
      </x:c>
      <x:c r="C1026" s="6" t="str">
        <x:f>IF(B1026="","Needs decision","Ready")</x:f>
        <x:v>Ready</x:v>
      </x:c>
      <x:c r="D1026" s="6" t="str">
        <x:v>平/去</x:v>
      </x:c>
      <x:c r="E1026" s="6" t="str">
        <x:v>kjo (A); kjoH (C)</x:v>
      </x:c>
      <x:c r="F1026" s="6" t="str">
        <x:v>上平聲四支; 上平聲六魚</x:v>
      </x:c>
      <x:c r="G1026" s="6" t="str">
        <x:v>Pingshui main list, Wikisource-derived DOCX</x:v>
      </x:c>
      <x:c r="H1026" s="6" t="str">
        <x:v>2</x:v>
      </x:c>
      <x:c r="I1026" s="6" t="str">
        <x:v>User workbook edit 2026-09-03</x:v>
      </x:c>
      <x:c r="J1026" s="6" t="str">
        <x:f>IF(B1026="","",IF(AND(ISNUMBER(SEARCH("平",B1026)),OR(ISNUMBER(SEARCH("上",B1026)),ISNUMBER(SEARCH("去",B1026)),ISNUMBER(SEARCH("入",B1026)))),"Ambiguous",IF(ISNUMBER(SEARCH("平",B1026)),"平","仄")))</x:f>
        <x:v>平</x:v>
      </x:c>
      <x:c r="K1026" s="6" t="str">
        <x:f>IF(D1026="","",IF(AND(ISNUMBER(SEARCH("平",D1026)),OR(ISNUMBER(SEARCH("上",D1026)),ISNUMBER(SEARCH("去",D1026)),ISNUMBER(SEARCH("入",D1026)))),"Ambiguous",IF(ISNUMBER(SEARCH("平",D1026)),"平","仄")))</x:f>
        <x:v>Ambiguous</x:v>
      </x:c>
      <x:c r="L1026" s="7" t="str">
        <x:v>manual user correction</x:v>
      </x:c>
    </x:row>
    <x:row r="1027">
      <x:c r="A1027" s="5" t="str">
        <x:v>屆</x:v>
      </x:c>
      <x:c r="B1027" s="6" t="str">
        <x:v>去</x:v>
      </x:c>
      <x:c r="C1027" s="6" t="str">
        <x:f>IF(B1027="","Needs decision","Ready")</x:f>
        <x:v>Ready</x:v>
      </x:c>
      <x:c r="D1027" s="6" t="str">
        <x:v>去</x:v>
      </x:c>
      <x:c r="E1027" s="6" t="str">
        <x:v>keajH (C)</x:v>
      </x:c>
      <x:c r="F1027" s="6" t="str">
        <x:v>去聲十卦</x:v>
      </x:c>
      <x:c r="G1027" s="6" t="str">
        <x:v>Pingshui main list, Wikisource-derived DOCX</x:v>
      </x:c>
      <x:c r="H1027" s="6" t="str">
        <x:v>1</x:v>
      </x:c>
      <x:c r="I1027" s="6" t="str"/>
      <x:c r="J1027" s="6" t="str">
        <x:f>IF(B1027="","",IF(AND(ISNUMBER(SEARCH("平",B1027)),OR(ISNUMBER(SEARCH("上",B1027)),ISNUMBER(SEARCH("去",B1027)),ISNUMBER(SEARCH("入",B1027)))),"Ambiguous",IF(ISNUMBER(SEARCH("平",B1027)),"平","仄")))</x:f>
        <x:v>仄</x:v>
      </x:c>
      <x:c r="K1027" s="6" t="str">
        <x:f>IF(D1027="","",IF(AND(ISNUMBER(SEARCH("平",D1027)),OR(ISNUMBER(SEARCH("上",D1027)),ISNUMBER(SEARCH("去",D1027)),ISNUMBER(SEARCH("入",D1027)))),"Ambiguous",IF(ISNUMBER(SEARCH("平",D1027)),"平","仄")))</x:f>
        <x:v>仄</x:v>
      </x:c>
      <x:c r="L1027" s="7" t="str"/>
    </x:row>
    <x:row r="1028">
      <x:c r="A1028" s="5" t="str">
        <x:v>屈</x:v>
      </x:c>
      <x:c r="B1028" s="6" t="str">
        <x:v>入</x:v>
      </x:c>
      <x:c r="C1028" s="6" t="str">
        <x:f>IF(B1028="","Needs decision","Ready")</x:f>
        <x:v>Ready</x:v>
      </x:c>
      <x:c r="D1028" s="6" t="str">
        <x:v>入</x:v>
      </x:c>
      <x:c r="E1028" s="6" t="str">
        <x:v>khjut (D)</x:v>
      </x:c>
      <x:c r="F1028" s="6" t="str">
        <x:v>入聲五物</x:v>
      </x:c>
      <x:c r="G1028" s="6" t="str">
        <x:v>Pingshui main list, Wikisource-derived DOCX</x:v>
      </x:c>
      <x:c r="H1028" s="6" t="str">
        <x:v>1</x:v>
      </x:c>
      <x:c r="I1028" s="6" t="str"/>
      <x:c r="J1028" s="6" t="str">
        <x:f>IF(B1028="","",IF(AND(ISNUMBER(SEARCH("平",B1028)),OR(ISNUMBER(SEARCH("上",B1028)),ISNUMBER(SEARCH("去",B1028)),ISNUMBER(SEARCH("入",B1028)))),"Ambiguous",IF(ISNUMBER(SEARCH("平",B1028)),"平","仄")))</x:f>
        <x:v>仄</x:v>
      </x:c>
      <x:c r="K1028" s="6" t="str">
        <x:f>IF(D1028="","",IF(AND(ISNUMBER(SEARCH("平",D1028)),OR(ISNUMBER(SEARCH("上",D1028)),ISNUMBER(SEARCH("去",D1028)),ISNUMBER(SEARCH("入",D1028)))),"Ambiguous",IF(ISNUMBER(SEARCH("平",D1028)),"平","仄")))</x:f>
        <x:v>仄</x:v>
      </x:c>
      <x:c r="L1028" s="7" t="str"/>
    </x:row>
    <x:row r="1029">
      <x:c r="A1029" s="5" t="str">
        <x:v>屋</x:v>
      </x:c>
      <x:c r="B1029" s="6" t="str">
        <x:v>入</x:v>
      </x:c>
      <x:c r="C1029" s="6" t="str">
        <x:f>IF(B1029="","Needs decision","Ready")</x:f>
        <x:v>Ready</x:v>
      </x:c>
      <x:c r="D1029" s="6" t="str">
        <x:v>入</x:v>
      </x:c>
      <x:c r="E1029" s="6" t="str">
        <x:v>'uwk (D)</x:v>
      </x:c>
      <x:c r="F1029" s="6" t="str">
        <x:v>入聲一屋</x:v>
      </x:c>
      <x:c r="G1029" s="6" t="str">
        <x:v>Pingshui main list, Wikisource-derived DOCX</x:v>
      </x:c>
      <x:c r="H1029" s="6" t="str">
        <x:v>1</x:v>
      </x:c>
      <x:c r="I1029" s="6" t="str"/>
      <x:c r="J1029" s="6" t="str">
        <x:f>IF(B1029="","",IF(AND(ISNUMBER(SEARCH("平",B1029)),OR(ISNUMBER(SEARCH("上",B1029)),ISNUMBER(SEARCH("去",B1029)),ISNUMBER(SEARCH("入",B1029)))),"Ambiguous",IF(ISNUMBER(SEARCH("平",B1029)),"平","仄")))</x:f>
        <x:v>仄</x:v>
      </x:c>
      <x:c r="K1029" s="6" t="str">
        <x:f>IF(D1029="","",IF(AND(ISNUMBER(SEARCH("平",D1029)),OR(ISNUMBER(SEARCH("上",D1029)),ISNUMBER(SEARCH("去",D1029)),ISNUMBER(SEARCH("入",D1029)))),"Ambiguous",IF(ISNUMBER(SEARCH("平",D1029)),"平","仄")))</x:f>
        <x:v>仄</x:v>
      </x:c>
      <x:c r="L1029" s="7" t="str"/>
    </x:row>
    <x:row r="1030">
      <x:c r="A1030" s="5" t="str">
        <x:v>屍</x:v>
      </x:c>
      <x:c r="B1030" s="6" t="str">
        <x:v>平</x:v>
      </x:c>
      <x:c r="C1030" s="6" t="str">
        <x:f>IF(B1030="","Needs decision","Ready")</x:f>
        <x:v>Ready</x:v>
      </x:c>
      <x:c r="D1030" s="6" t="str">
        <x:v>平</x:v>
      </x:c>
      <x:c r="E1030" s="6" t="str">
        <x:v>syij (A)</x:v>
      </x:c>
      <x:c r="F1030" s="6" t="str">
        <x:v>上平聲四支</x:v>
      </x:c>
      <x:c r="G1030" s="6" t="str">
        <x:v>Pingshui main list, Wikisource-derived DOCX</x:v>
      </x:c>
      <x:c r="H1030" s="6" t="str">
        <x:v>1</x:v>
      </x:c>
      <x:c r="I1030" s="6" t="str"/>
      <x:c r="J1030" s="6" t="str">
        <x:f>IF(B1030="","",IF(AND(ISNUMBER(SEARCH("平",B1030)),OR(ISNUMBER(SEARCH("上",B1030)),ISNUMBER(SEARCH("去",B1030)),ISNUMBER(SEARCH("入",B1030)))),"Ambiguous",IF(ISNUMBER(SEARCH("平",B1030)),"平","仄")))</x:f>
        <x:v>平</x:v>
      </x:c>
      <x:c r="K1030" s="6" t="str">
        <x:f>IF(D1030="","",IF(AND(ISNUMBER(SEARCH("平",D1030)),OR(ISNUMBER(SEARCH("上",D1030)),ISNUMBER(SEARCH("去",D1030)),ISNUMBER(SEARCH("入",D1030)))),"Ambiguous",IF(ISNUMBER(SEARCH("平",D1030)),"平","仄")))</x:f>
        <x:v>平</x:v>
      </x:c>
      <x:c r="L1030" s="7" t="str"/>
    </x:row>
    <x:row r="1031">
      <x:c r="A1031" s="5" t="str">
        <x:v>屎</x:v>
      </x:c>
      <x:c r="B1031" s="6" t="str"/>
      <x:c r="C1031" s="6" t="str">
        <x:f>IF(B1031="","Needs decision","Ready")</x:f>
        <x:v>Needs decision</x:v>
      </x:c>
      <x:c r="D1031" s="6" t="str">
        <x:v>平/上</x:v>
      </x:c>
      <x:c r="E1031" s="6" t="str">
        <x:v>syijX (B); xjij (A)</x:v>
      </x:c>
      <x:c r="F1031" s="6" t="str"/>
      <x:c r="G1031" s="6" t="str"/>
      <x:c r="H1031" s="6" t="str">
        <x:v>2</x:v>
      </x:c>
      <x:c r="I1031" s="6" t="str"/>
      <x:c r="J1031" s="6" t="str">
        <x:f>IF(B1031="","",IF(AND(ISNUMBER(SEARCH("平",B1031)),OR(ISNUMBER(SEARCH("上",B1031)),ISNUMBER(SEARCH("去",B1031)),ISNUMBER(SEARCH("入",B1031)))),"Ambiguous",IF(ISNUMBER(SEARCH("平",B1031)),"平","仄")))</x:f>
      </x:c>
      <x:c r="K1031" s="6" t="str">
        <x:f>IF(D1031="","",IF(AND(ISNUMBER(SEARCH("平",D1031)),OR(ISNUMBER(SEARCH("上",D1031)),ISNUMBER(SEARCH("去",D1031)),ISNUMBER(SEARCH("入",D1031)))),"Ambiguous",IF(ISNUMBER(SEARCH("平",D1031)),"平","仄")))</x:f>
        <x:v>Ambiguous</x:v>
      </x:c>
      <x:c r="L1031" s="7" t="str"/>
    </x:row>
    <x:row r="1032">
      <x:c r="A1032" s="5" t="str">
        <x:v>屏</x:v>
      </x:c>
      <x:c r="B1032" s="6" t="str">
        <x:v>平</x:v>
      </x:c>
      <x:c r="C1032" s="6" t="str">
        <x:f>IF(B1032="","Needs decision","Ready")</x:f>
        <x:v>Ready</x:v>
      </x:c>
      <x:c r="D1032" s="6" t="str">
        <x:v>平</x:v>
      </x:c>
      <x:c r="E1032" s="6" t="str">
        <x:v>beng (A)</x:v>
      </x:c>
      <x:c r="F1032" s="6" t="str">
        <x:v>下平聲九青; 上聲二十三梗</x:v>
      </x:c>
      <x:c r="G1032" s="6" t="str">
        <x:v>Pingshui main list, Wikisource-derived DOCX</x:v>
      </x:c>
      <x:c r="H1032" s="6" t="str">
        <x:v>1</x:v>
      </x:c>
      <x:c r="I1032" s="6" t="str"/>
      <x:c r="J1032" s="6" t="str">
        <x:f>IF(B1032="","",IF(AND(ISNUMBER(SEARCH("平",B1032)),OR(ISNUMBER(SEARCH("上",B1032)),ISNUMBER(SEARCH("去",B1032)),ISNUMBER(SEARCH("入",B1032)))),"Ambiguous",IF(ISNUMBER(SEARCH("平",B1032)),"平","仄")))</x:f>
        <x:v>平</x:v>
      </x:c>
      <x:c r="K1032" s="6" t="str">
        <x:f>IF(D1032="","",IF(AND(ISNUMBER(SEARCH("平",D1032)),OR(ISNUMBER(SEARCH("上",D1032)),ISNUMBER(SEARCH("去",D1032)),ISNUMBER(SEARCH("入",D1032)))),"Ambiguous",IF(ISNUMBER(SEARCH("平",D1032)),"平","仄")))</x:f>
        <x:v>平</x:v>
      </x:c>
      <x:c r="L1032" s="7" t="str"/>
    </x:row>
    <x:row r="1033">
      <x:c r="A1033" s="5" t="str">
        <x:v>屐</x:v>
      </x:c>
      <x:c r="B1033" s="6" t="str">
        <x:v>入</x:v>
      </x:c>
      <x:c r="C1033" s="6" t="str">
        <x:f>IF(B1033="","Needs decision","Ready")</x:f>
        <x:v>Ready</x:v>
      </x:c>
      <x:c r="D1033" s="6" t="str">
        <x:v>入</x:v>
      </x:c>
      <x:c r="E1033" s="6" t="str">
        <x:v>gjaek (D)</x:v>
      </x:c>
      <x:c r="F1033" s="6" t="str">
        <x:v>入聲十一陌</x:v>
      </x:c>
      <x:c r="G1033" s="6" t="str">
        <x:v>Pingshui main list, Wikisource-derived DOCX</x:v>
      </x:c>
      <x:c r="H1033" s="6" t="str">
        <x:v>1</x:v>
      </x:c>
      <x:c r="I1033" s="6" t="str"/>
      <x:c r="J1033" s="6" t="str">
        <x:f>IF(B1033="","",IF(AND(ISNUMBER(SEARCH("平",B1033)),OR(ISNUMBER(SEARCH("上",B1033)),ISNUMBER(SEARCH("去",B1033)),ISNUMBER(SEARCH("入",B1033)))),"Ambiguous",IF(ISNUMBER(SEARCH("平",B1033)),"平","仄")))</x:f>
        <x:v>仄</x:v>
      </x:c>
      <x:c r="K1033" s="6" t="str">
        <x:f>IF(D1033="","",IF(AND(ISNUMBER(SEARCH("平",D1033)),OR(ISNUMBER(SEARCH("上",D1033)),ISNUMBER(SEARCH("去",D1033)),ISNUMBER(SEARCH("入",D1033)))),"Ambiguous",IF(ISNUMBER(SEARCH("平",D1033)),"平","仄")))</x:f>
        <x:v>仄</x:v>
      </x:c>
      <x:c r="L1033" s="7" t="str"/>
    </x:row>
    <x:row r="1034">
      <x:c r="A1034" s="5" t="str">
        <x:v>屑</x:v>
      </x:c>
      <x:c r="B1034" s="6" t="str">
        <x:v>入</x:v>
      </x:c>
      <x:c r="C1034" s="6" t="str">
        <x:f>IF(B1034="","Needs decision","Ready")</x:f>
        <x:v>Ready</x:v>
      </x:c>
      <x:c r="D1034" s="6" t="str">
        <x:v>入</x:v>
      </x:c>
      <x:c r="E1034" s="6" t="str">
        <x:v>set (D)</x:v>
      </x:c>
      <x:c r="F1034" s="6" t="str">
        <x:v>入聲九屑</x:v>
      </x:c>
      <x:c r="G1034" s="6" t="str">
        <x:v>Pingshui main list, Wikisource-derived DOCX</x:v>
      </x:c>
      <x:c r="H1034" s="6" t="str">
        <x:v>1</x:v>
      </x:c>
      <x:c r="I1034" s="6" t="str"/>
      <x:c r="J1034" s="6" t="str">
        <x:f>IF(B1034="","",IF(AND(ISNUMBER(SEARCH("平",B1034)),OR(ISNUMBER(SEARCH("上",B1034)),ISNUMBER(SEARCH("去",B1034)),ISNUMBER(SEARCH("入",B1034)))),"Ambiguous",IF(ISNUMBER(SEARCH("平",B1034)),"平","仄")))</x:f>
        <x:v>仄</x:v>
      </x:c>
      <x:c r="K1034" s="6" t="str">
        <x:f>IF(D1034="","",IF(AND(ISNUMBER(SEARCH("平",D1034)),OR(ISNUMBER(SEARCH("上",D1034)),ISNUMBER(SEARCH("去",D1034)),ISNUMBER(SEARCH("入",D1034)))),"Ambiguous",IF(ISNUMBER(SEARCH("平",D1034)),"平","仄")))</x:f>
        <x:v>仄</x:v>
      </x:c>
      <x:c r="L1034" s="7" t="str"/>
    </x:row>
    <x:row r="1035">
      <x:c r="A1035" s="5" t="str">
        <x:v>展</x:v>
      </x:c>
      <x:c r="B1035" s="6" t="str">
        <x:v>上</x:v>
      </x:c>
      <x:c r="C1035" s="6" t="str">
        <x:f>IF(B1035="","Needs decision","Ready")</x:f>
        <x:v>Ready</x:v>
      </x:c>
      <x:c r="D1035" s="6" t="str">
        <x:v>上/去</x:v>
      </x:c>
      <x:c r="E1035" s="6" t="str">
        <x:v>trjenX (B); trjenH (C)</x:v>
      </x:c>
      <x:c r="F1035" s="6" t="str">
        <x:v>上聲十六銑</x:v>
      </x:c>
      <x:c r="G1035" s="6" t="str">
        <x:v>Pingshui main list, Wikisource-derived DOCX</x:v>
      </x:c>
      <x:c r="H1035" s="6" t="str">
        <x:v>2</x:v>
      </x:c>
      <x:c r="I1035" s="6" t="str">
        <x:v>User correction 2026-09-08</x:v>
      </x:c>
      <x:c r="J1035" s="6" t="str">
        <x:f>IF(B1035="","",IF(AND(ISNUMBER(SEARCH("平",B1035)),OR(ISNUMBER(SEARCH("上",B1035)),ISNUMBER(SEARCH("去",B1035)),ISNUMBER(SEARCH("入",B1035)))),"Ambiguous",IF(ISNUMBER(SEARCH("平",B1035)),"平","仄")))</x:f>
        <x:v>仄</x:v>
      </x:c>
      <x:c r="K1035" s="6" t="str">
        <x:f>IF(D1035="","",IF(AND(ISNUMBER(SEARCH("平",D1035)),OR(ISNUMBER(SEARCH("上",D1035)),ISNUMBER(SEARCH("去",D1035)),ISNUMBER(SEARCH("入",D1035)))),"Ambiguous",IF(ISNUMBER(SEARCH("平",D1035)),"平","仄")))</x:f>
        <x:v>仄</x:v>
      </x:c>
      <x:c r="L1035" s="7" t="str"/>
    </x:row>
    <x:row r="1036">
      <x:c r="A1036" s="5" t="str">
        <x:v>屖</x:v>
      </x:c>
      <x:c r="B1036" s="6" t="str">
        <x:v>平</x:v>
      </x:c>
      <x:c r="C1036" s="6" t="str">
        <x:f>IF(B1036="","Needs decision","Ready")</x:f>
        <x:v>Ready</x:v>
      </x:c>
      <x:c r="D1036" s="6" t="str">
        <x:v>平</x:v>
      </x:c>
      <x:c r="E1036" s="6" t="str">
        <x:v>sej (A)</x:v>
      </x:c>
      <x:c r="F1036" s="6" t="str"/>
      <x:c r="G1036" s="6" t="str"/>
      <x:c r="H1036" s="6" t="str">
        <x:v>1</x:v>
      </x:c>
      <x:c r="I1036" s="6" t="str"/>
      <x:c r="J1036" s="6" t="str">
        <x:f>IF(B1036="","",IF(AND(ISNUMBER(SEARCH("平",B1036)),OR(ISNUMBER(SEARCH("上",B1036)),ISNUMBER(SEARCH("去",B1036)),ISNUMBER(SEARCH("入",B1036)))),"Ambiguous",IF(ISNUMBER(SEARCH("平",B1036)),"平","仄")))</x:f>
        <x:v>平</x:v>
      </x:c>
      <x:c r="K1036" s="6" t="str">
        <x:f>IF(D1036="","",IF(AND(ISNUMBER(SEARCH("平",D1036)),OR(ISNUMBER(SEARCH("上",D1036)),ISNUMBER(SEARCH("去",D1036)),ISNUMBER(SEARCH("入",D1036)))),"Ambiguous",IF(ISNUMBER(SEARCH("平",D1036)),"平","仄")))</x:f>
        <x:v>平</x:v>
      </x:c>
      <x:c r="L1036" s="7" t="str"/>
    </x:row>
    <x:row r="1037">
      <x:c r="A1037" s="5" t="str">
        <x:v>屠</x:v>
      </x:c>
      <x:c r="B1037" s="6" t="str">
        <x:v>平</x:v>
      </x:c>
      <x:c r="C1037" s="6" t="str">
        <x:f>IF(B1037="","Needs decision","Ready")</x:f>
        <x:v>Ready</x:v>
      </x:c>
      <x:c r="D1037" s="6" t="str">
        <x:v>平</x:v>
      </x:c>
      <x:c r="E1037" s="6" t="str">
        <x:v>du (A)</x:v>
      </x:c>
      <x:c r="F1037" s="6" t="str">
        <x:v>上平聲六魚; 上平聲七虞</x:v>
      </x:c>
      <x:c r="G1037" s="6" t="str">
        <x:v>Pingshui main list, Wikisource-derived DOCX</x:v>
      </x:c>
      <x:c r="H1037" s="6" t="str">
        <x:v>1</x:v>
      </x:c>
      <x:c r="I1037" s="6" t="str"/>
      <x:c r="J1037" s="6" t="str">
        <x:f>IF(B1037="","",IF(AND(ISNUMBER(SEARCH("平",B1037)),OR(ISNUMBER(SEARCH("上",B1037)),ISNUMBER(SEARCH("去",B1037)),ISNUMBER(SEARCH("入",B1037)))),"Ambiguous",IF(ISNUMBER(SEARCH("平",B1037)),"平","仄")))</x:f>
        <x:v>平</x:v>
      </x:c>
      <x:c r="K1037" s="6" t="str">
        <x:f>IF(D1037="","",IF(AND(ISNUMBER(SEARCH("平",D1037)),OR(ISNUMBER(SEARCH("上",D1037)),ISNUMBER(SEARCH("去",D1037)),ISNUMBER(SEARCH("入",D1037)))),"Ambiguous",IF(ISNUMBER(SEARCH("平",D1037)),"平","仄")))</x:f>
        <x:v>平</x:v>
      </x:c>
      <x:c r="L1037" s="7" t="str"/>
    </x:row>
    <x:row r="1038">
      <x:c r="A1038" s="5" t="str">
        <x:v>屢</x:v>
      </x:c>
      <x:c r="B1038" s="6" t="str">
        <x:v>去</x:v>
      </x:c>
      <x:c r="C1038" s="6" t="str">
        <x:f>IF(B1038="","Needs decision","Ready")</x:f>
        <x:v>Ready</x:v>
      </x:c>
      <x:c r="D1038" s="6" t="str">
        <x:v>去</x:v>
      </x:c>
      <x:c r="E1038" s="6" t="str">
        <x:v>ljuH (C)</x:v>
      </x:c>
      <x:c r="F1038" s="6" t="str">
        <x:v>去聲七遇</x:v>
      </x:c>
      <x:c r="G1038" s="6" t="str">
        <x:v>Pingshui main list, Wikisource-derived DOCX</x:v>
      </x:c>
      <x:c r="H1038" s="6" t="str">
        <x:v>1</x:v>
      </x:c>
      <x:c r="I1038" s="6" t="str"/>
      <x:c r="J1038" s="6" t="str">
        <x:f>IF(B1038="","",IF(AND(ISNUMBER(SEARCH("平",B1038)),OR(ISNUMBER(SEARCH("上",B1038)),ISNUMBER(SEARCH("去",B1038)),ISNUMBER(SEARCH("入",B1038)))),"Ambiguous",IF(ISNUMBER(SEARCH("平",B1038)),"平","仄")))</x:f>
        <x:v>仄</x:v>
      </x:c>
      <x:c r="K1038" s="6" t="str">
        <x:f>IF(D1038="","",IF(AND(ISNUMBER(SEARCH("平",D1038)),OR(ISNUMBER(SEARCH("上",D1038)),ISNUMBER(SEARCH("去",D1038)),ISNUMBER(SEARCH("入",D1038)))),"Ambiguous",IF(ISNUMBER(SEARCH("平",D1038)),"平","仄")))</x:f>
        <x:v>仄</x:v>
      </x:c>
      <x:c r="L1038" s="7" t="str"/>
    </x:row>
    <x:row r="1039">
      <x:c r="A1039" s="5" t="str">
        <x:v>層</x:v>
      </x:c>
      <x:c r="B1039" s="6" t="str">
        <x:v>平</x:v>
      </x:c>
      <x:c r="C1039" s="6" t="str">
        <x:f>IF(B1039="","Needs decision","Ready")</x:f>
        <x:v>Ready</x:v>
      </x:c>
      <x:c r="D1039" s="6" t="str">
        <x:v>平</x:v>
      </x:c>
      <x:c r="E1039" s="6" t="str">
        <x:v>dzong (A)</x:v>
      </x:c>
      <x:c r="F1039" s="6" t="str">
        <x:v>下平聲十蒸</x:v>
      </x:c>
      <x:c r="G1039" s="6" t="str">
        <x:v>Pingshui main list, Wikisource-derived DOCX</x:v>
      </x:c>
      <x:c r="H1039" s="6" t="str">
        <x:v>1</x:v>
      </x:c>
      <x:c r="I1039" s="6" t="str"/>
      <x:c r="J1039" s="6" t="str">
        <x:f>IF(B1039="","",IF(AND(ISNUMBER(SEARCH("平",B1039)),OR(ISNUMBER(SEARCH("上",B1039)),ISNUMBER(SEARCH("去",B1039)),ISNUMBER(SEARCH("入",B1039)))),"Ambiguous",IF(ISNUMBER(SEARCH("平",B1039)),"平","仄")))</x:f>
        <x:v>平</x:v>
      </x:c>
      <x:c r="K1039" s="6" t="str">
        <x:f>IF(D1039="","",IF(AND(ISNUMBER(SEARCH("平",D1039)),OR(ISNUMBER(SEARCH("上",D1039)),ISNUMBER(SEARCH("去",D1039)),ISNUMBER(SEARCH("入",D1039)))),"Ambiguous",IF(ISNUMBER(SEARCH("平",D1039)),"平","仄")))</x:f>
        <x:v>平</x:v>
      </x:c>
      <x:c r="L1039" s="7" t="str"/>
    </x:row>
    <x:row r="1040">
      <x:c r="A1040" s="5" t="str">
        <x:v>履</x:v>
      </x:c>
      <x:c r="B1040" s="6" t="str">
        <x:v>上</x:v>
      </x:c>
      <x:c r="C1040" s="6" t="str">
        <x:f>IF(B1040="","Needs decision","Ready")</x:f>
        <x:v>Ready</x:v>
      </x:c>
      <x:c r="D1040" s="6" t="str">
        <x:v>上</x:v>
      </x:c>
      <x:c r="E1040" s="6" t="str">
        <x:v>lijX (B)</x:v>
      </x:c>
      <x:c r="F1040" s="6" t="str">
        <x:v>上聲四紙</x:v>
      </x:c>
      <x:c r="G1040" s="6" t="str">
        <x:v>Pingshui main list, Wikisource-derived DOCX</x:v>
      </x:c>
      <x:c r="H1040" s="6" t="str">
        <x:v>1</x:v>
      </x:c>
      <x:c r="I1040" s="6" t="str"/>
      <x:c r="J1040" s="6" t="str">
        <x:f>IF(B1040="","",IF(AND(ISNUMBER(SEARCH("平",B1040)),OR(ISNUMBER(SEARCH("上",B1040)),ISNUMBER(SEARCH("去",B1040)),ISNUMBER(SEARCH("入",B1040)))),"Ambiguous",IF(ISNUMBER(SEARCH("平",B1040)),"平","仄")))</x:f>
        <x:v>仄</x:v>
      </x:c>
      <x:c r="K1040" s="6" t="str">
        <x:f>IF(D1040="","",IF(AND(ISNUMBER(SEARCH("平",D1040)),OR(ISNUMBER(SEARCH("上",D1040)),ISNUMBER(SEARCH("去",D1040)),ISNUMBER(SEARCH("入",D1040)))),"Ambiguous",IF(ISNUMBER(SEARCH("平",D1040)),"平","仄")))</x:f>
        <x:v>仄</x:v>
      </x:c>
      <x:c r="L1040" s="7" t="str"/>
    </x:row>
    <x:row r="1041">
      <x:c r="A1041" s="5" t="str">
        <x:v>屧</x:v>
      </x:c>
      <x:c r="B1041" s="6" t="str">
        <x:v>入</x:v>
      </x:c>
      <x:c r="C1041" s="6" t="str">
        <x:f>IF(B1041="","Needs decision","Ready")</x:f>
        <x:v>Ready</x:v>
      </x:c>
      <x:c r="D1041" s="6" t="str">
        <x:v>入</x:v>
      </x:c>
      <x:c r="E1041" s="6" t="str">
        <x:v>sep (D)</x:v>
      </x:c>
      <x:c r="F1041" s="6" t="str">
        <x:v>入聲十六葉</x:v>
      </x:c>
      <x:c r="G1041" s="6" t="str">
        <x:v>Pingshui main list, Wikisource-derived DOCX</x:v>
      </x:c>
      <x:c r="H1041" s="6" t="str">
        <x:v>1</x:v>
      </x:c>
      <x:c r="I1041" s="6" t="str"/>
      <x:c r="J1041" s="6" t="str">
        <x:f>IF(B1041="","",IF(AND(ISNUMBER(SEARCH("平",B1041)),OR(ISNUMBER(SEARCH("上",B1041)),ISNUMBER(SEARCH("去",B1041)),ISNUMBER(SEARCH("入",B1041)))),"Ambiguous",IF(ISNUMBER(SEARCH("平",B1041)),"平","仄")))</x:f>
        <x:v>仄</x:v>
      </x:c>
      <x:c r="K1041" s="6" t="str">
        <x:f>IF(D1041="","",IF(AND(ISNUMBER(SEARCH("平",D1041)),OR(ISNUMBER(SEARCH("上",D1041)),ISNUMBER(SEARCH("去",D1041)),ISNUMBER(SEARCH("入",D1041)))),"Ambiguous",IF(ISNUMBER(SEARCH("平",D1041)),"平","仄")))</x:f>
        <x:v>仄</x:v>
      </x:c>
      <x:c r="L1041" s="7" t="str"/>
    </x:row>
    <x:row r="1042">
      <x:c r="A1042" s="5" t="str">
        <x:v>屨</x:v>
      </x:c>
      <x:c r="B1042" s="6" t="str">
        <x:v>去</x:v>
      </x:c>
      <x:c r="C1042" s="6" t="str">
        <x:f>IF(B1042="","Needs decision","Ready")</x:f>
        <x:v>Ready</x:v>
      </x:c>
      <x:c r="D1042" s="6" t="str">
        <x:v>去</x:v>
      </x:c>
      <x:c r="E1042" s="6" t="str">
        <x:v>kjuH (C)</x:v>
      </x:c>
      <x:c r="F1042" s="6" t="str">
        <x:v>去聲七遇</x:v>
      </x:c>
      <x:c r="G1042" s="6" t="str">
        <x:v>Pingshui main list, Wikisource-derived DOCX</x:v>
      </x:c>
      <x:c r="H1042" s="6" t="str">
        <x:v>1</x:v>
      </x:c>
      <x:c r="I1042" s="6" t="str"/>
      <x:c r="J1042" s="6" t="str">
        <x:f>IF(B1042="","",IF(AND(ISNUMBER(SEARCH("平",B1042)),OR(ISNUMBER(SEARCH("上",B1042)),ISNUMBER(SEARCH("去",B1042)),ISNUMBER(SEARCH("入",B1042)))),"Ambiguous",IF(ISNUMBER(SEARCH("平",B1042)),"平","仄")))</x:f>
        <x:v>仄</x:v>
      </x:c>
      <x:c r="K1042" s="6" t="str">
        <x:f>IF(D1042="","",IF(AND(ISNUMBER(SEARCH("平",D1042)),OR(ISNUMBER(SEARCH("上",D1042)),ISNUMBER(SEARCH("去",D1042)),ISNUMBER(SEARCH("入",D1042)))),"Ambiguous",IF(ISNUMBER(SEARCH("平",D1042)),"平","仄")))</x:f>
        <x:v>仄</x:v>
      </x:c>
      <x:c r="L1042" s="7" t="str"/>
    </x:row>
    <x:row r="1043">
      <x:c r="A1043" s="5" t="str">
        <x:v>屬</x:v>
      </x:c>
      <x:c r="B1043" s="6" t="str">
        <x:v>入</x:v>
      </x:c>
      <x:c r="C1043" s="6" t="str">
        <x:f>IF(B1043="","Needs decision","Ready")</x:f>
        <x:v>Ready</x:v>
      </x:c>
      <x:c r="D1043" s="6" t="str">
        <x:v>入</x:v>
      </x:c>
      <x:c r="E1043" s="6" t="str">
        <x:v>dzyowk (D); tsyowk (D)</x:v>
      </x:c>
      <x:c r="F1043" s="6" t="str">
        <x:v>去聲七遇; 入聲二沃</x:v>
      </x:c>
      <x:c r="G1043" s="6" t="str">
        <x:v>Pingshui main list, Wikisource-derived DOCX</x:v>
      </x:c>
      <x:c r="H1043" s="6" t="str">
        <x:v>2</x:v>
      </x:c>
      <x:c r="I1043" s="6" t="str"/>
      <x:c r="J1043" s="6" t="str">
        <x:f>IF(B1043="","",IF(AND(ISNUMBER(SEARCH("平",B1043)),OR(ISNUMBER(SEARCH("上",B1043)),ISNUMBER(SEARCH("去",B1043)),ISNUMBER(SEARCH("入",B1043)))),"Ambiguous",IF(ISNUMBER(SEARCH("平",B1043)),"平","仄")))</x:f>
        <x:v>仄</x:v>
      </x:c>
      <x:c r="K1043" s="6" t="str">
        <x:f>IF(D1043="","",IF(AND(ISNUMBER(SEARCH("平",D1043)),OR(ISNUMBER(SEARCH("上",D1043)),ISNUMBER(SEARCH("去",D1043)),ISNUMBER(SEARCH("入",D1043)))),"Ambiguous",IF(ISNUMBER(SEARCH("平",D1043)),"平","仄")))</x:f>
        <x:v>仄</x:v>
      </x:c>
      <x:c r="L1043" s="7" t="str"/>
    </x:row>
    <x:row r="1044">
      <x:c r="A1044" s="5" t="str">
        <x:v>屯</x:v>
      </x:c>
      <x:c r="B1044" s="6" t="str">
        <x:v>平</x:v>
      </x:c>
      <x:c r="C1044" s="6" t="str">
        <x:f>IF(B1044="","Needs decision","Ready")</x:f>
        <x:v>Ready</x:v>
      </x:c>
      <x:c r="D1044" s="6" t="str">
        <x:v>平</x:v>
      </x:c>
      <x:c r="E1044" s="6" t="str">
        <x:v>dwon (A); trwin (A)</x:v>
      </x:c>
      <x:c r="F1044" s="6" t="str">
        <x:v>上平聲十一真; 上平聲十三元</x:v>
      </x:c>
      <x:c r="G1044" s="6" t="str">
        <x:v>Pingshui main list, Wikisource-derived DOCX</x:v>
      </x:c>
      <x:c r="H1044" s="6" t="str">
        <x:v>2</x:v>
      </x:c>
      <x:c r="I1044" s="6" t="str"/>
      <x:c r="J1044" s="6" t="str">
        <x:f>IF(B1044="","",IF(AND(ISNUMBER(SEARCH("平",B1044)),OR(ISNUMBER(SEARCH("上",B1044)),ISNUMBER(SEARCH("去",B1044)),ISNUMBER(SEARCH("入",B1044)))),"Ambiguous",IF(ISNUMBER(SEARCH("平",B1044)),"平","仄")))</x:f>
        <x:v>平</x:v>
      </x:c>
      <x:c r="K1044" s="6" t="str">
        <x:f>IF(D1044="","",IF(AND(ISNUMBER(SEARCH("平",D1044)),OR(ISNUMBER(SEARCH("上",D1044)),ISNUMBER(SEARCH("去",D1044)),ISNUMBER(SEARCH("入",D1044)))),"Ambiguous",IF(ISNUMBER(SEARCH("平",D1044)),"平","仄")))</x:f>
        <x:v>平</x:v>
      </x:c>
      <x:c r="L1044" s="7" t="str"/>
    </x:row>
    <x:row r="1045">
      <x:c r="A1045" s="5" t="str">
        <x:v>屰</x:v>
      </x:c>
      <x:c r="B1045" s="6" t="str">
        <x:v>入</x:v>
      </x:c>
      <x:c r="C1045" s="6" t="str">
        <x:f>IF(B1045="","Needs decision","Ready")</x:f>
        <x:v>Ready</x:v>
      </x:c>
      <x:c r="D1045" s="6" t="str">
        <x:v>入</x:v>
      </x:c>
      <x:c r="E1045" s="6" t="str">
        <x:v>ngjaek (D)</x:v>
      </x:c>
      <x:c r="F1045" s="6" t="str"/>
      <x:c r="G1045" s="6" t="str"/>
      <x:c r="H1045" s="6" t="str">
        <x:v>1</x:v>
      </x:c>
      <x:c r="I1045" s="6" t="str"/>
      <x:c r="J1045" s="6" t="str">
        <x:f>IF(B1045="","",IF(AND(ISNUMBER(SEARCH("平",B1045)),OR(ISNUMBER(SEARCH("上",B1045)),ISNUMBER(SEARCH("去",B1045)),ISNUMBER(SEARCH("入",B1045)))),"Ambiguous",IF(ISNUMBER(SEARCH("平",B1045)),"平","仄")))</x:f>
        <x:v>仄</x:v>
      </x:c>
      <x:c r="K1045" s="6" t="str">
        <x:f>IF(D1045="","",IF(AND(ISNUMBER(SEARCH("平",D1045)),OR(ISNUMBER(SEARCH("上",D1045)),ISNUMBER(SEARCH("去",D1045)),ISNUMBER(SEARCH("入",D1045)))),"Ambiguous",IF(ISNUMBER(SEARCH("平",D1045)),"平","仄")))</x:f>
        <x:v>仄</x:v>
      </x:c>
      <x:c r="L1045" s="7" t="str"/>
    </x:row>
    <x:row r="1046">
      <x:c r="A1046" s="5" t="str">
        <x:v>山</x:v>
      </x:c>
      <x:c r="B1046" s="6" t="str">
        <x:v>平</x:v>
      </x:c>
      <x:c r="C1046" s="6" t="str">
        <x:f>IF(B1046="","Needs decision","Ready")</x:f>
        <x:v>Ready</x:v>
      </x:c>
      <x:c r="D1046" s="6" t="str">
        <x:v>平</x:v>
      </x:c>
      <x:c r="E1046" s="6" t="str">
        <x:v>srean (A)</x:v>
      </x:c>
      <x:c r="F1046" s="6" t="str">
        <x:v>上平聲十五刪</x:v>
      </x:c>
      <x:c r="G1046" s="6" t="str">
        <x:v>Pingshui main list, Wikisource-derived DOCX</x:v>
      </x:c>
      <x:c r="H1046" s="6" t="str">
        <x:v>1</x:v>
      </x:c>
      <x:c r="I1046" s="6" t="str"/>
      <x:c r="J1046" s="6" t="str">
        <x:f>IF(B1046="","",IF(AND(ISNUMBER(SEARCH("平",B1046)),OR(ISNUMBER(SEARCH("上",B1046)),ISNUMBER(SEARCH("去",B1046)),ISNUMBER(SEARCH("入",B1046)))),"Ambiguous",IF(ISNUMBER(SEARCH("平",B1046)),"平","仄")))</x:f>
        <x:v>平</x:v>
      </x:c>
      <x:c r="K1046" s="6" t="str">
        <x:f>IF(D1046="","",IF(AND(ISNUMBER(SEARCH("平",D1046)),OR(ISNUMBER(SEARCH("上",D1046)),ISNUMBER(SEARCH("去",D1046)),ISNUMBER(SEARCH("入",D1046)))),"Ambiguous",IF(ISNUMBER(SEARCH("平",D1046)),"平","仄")))</x:f>
        <x:v>平</x:v>
      </x:c>
      <x:c r="L1046" s="7" t="str"/>
    </x:row>
    <x:row r="1047">
      <x:c r="A1047" s="5" t="str">
        <x:v>屹</x:v>
      </x:c>
      <x:c r="B1047" s="6" t="str">
        <x:v>入</x:v>
      </x:c>
      <x:c r="C1047" s="6" t="str">
        <x:f>IF(B1047="","Needs decision","Ready")</x:f>
        <x:v>Ready</x:v>
      </x:c>
      <x:c r="D1047" s="6" t="str">
        <x:v>入</x:v>
      </x:c>
      <x:c r="E1047" s="6" t="str">
        <x:v>ngj+t [ŋɨt] (入)</x:v>
      </x:c>
      <x:c r="F1047" s="6" t="str">
        <x:v>入聲五物</x:v>
      </x:c>
      <x:c r="G1047" s="6" t="str">
        <x:v>Pingshui main list, Wikisource-derived DOCX</x:v>
      </x:c>
      <x:c r="H1047" s="6" t="str">
        <x:v>1</x:v>
      </x:c>
      <x:c r="I1047" s="6" t="str">
        <x:v>Tang 300 gap; frequency 1; provisional from Xun Gong</x:v>
      </x:c>
      <x:c r="J1047" s="6" t="str">
        <x:f>IF(B1047="","",IF(AND(ISNUMBER(SEARCH("平",B1047)),OR(ISNUMBER(SEARCH("上",B1047)),ISNUMBER(SEARCH("去",B1047)),ISNUMBER(SEARCH("入",B1047)))),"Ambiguous",IF(ISNUMBER(SEARCH("平",B1047)),"平","仄")))</x:f>
        <x:v>仄</x:v>
      </x:c>
      <x:c r="K1047" s="6" t="str">
        <x:f>IF(D1047="","",IF(AND(ISNUMBER(SEARCH("平",D1047)),OR(ISNUMBER(SEARCH("上",D1047)),ISNUMBER(SEARCH("去",D1047)),ISNUMBER(SEARCH("入",D1047)))),"Ambiguous",IF(ISNUMBER(SEARCH("平",D1047)),"平","仄")))</x:f>
        <x:v>仄</x:v>
      </x:c>
      <x:c r="L1047" s="7" t="str">
        <x:v>Xun Gong, Tang 300 gap fill</x:v>
      </x:c>
    </x:row>
    <x:row r="1048">
      <x:c r="A1048" s="5" t="str">
        <x:v>岊</x:v>
      </x:c>
      <x:c r="B1048" s="6" t="str">
        <x:v>入</x:v>
      </x:c>
      <x:c r="C1048" s="6" t="str">
        <x:f>IF(B1048="","Needs decision","Ready")</x:f>
        <x:v>Ready</x:v>
      </x:c>
      <x:c r="D1048" s="6" t="str">
        <x:v>入</x:v>
      </x:c>
      <x:c r="E1048" s="6" t="str"/>
      <x:c r="F1048" s="6" t="str">
        <x:v>入聲九屑</x:v>
      </x:c>
      <x:c r="G1048" s="6" t="str">
        <x:v>Pingshui main list, Wikisource-derived DOCX</x:v>
      </x:c>
      <x:c r="H1048" s="6" t="str">
        <x:v>0</x:v>
      </x:c>
      <x:c r="I1048" s="6" t="str">
        <x:v>User correction 2026-09-08; added manually</x:v>
      </x:c>
      <x:c r="J1048" s="6" t="str">
        <x:f>IF(B1048="","",IF(AND(ISNUMBER(SEARCH("平",B1048)),OR(ISNUMBER(SEARCH("上",B1048)),ISNUMBER(SEARCH("去",B1048)),ISNUMBER(SEARCH("入",B1048)))),"Ambiguous",IF(ISNUMBER(SEARCH("平",B1048)),"平","仄")))</x:f>
        <x:v>仄</x:v>
      </x:c>
      <x:c r="K1048" s="6" t="str">
        <x:f>IF(D1048="","",IF(AND(ISNUMBER(SEARCH("平",D1048)),OR(ISNUMBER(SEARCH("上",D1048)),ISNUMBER(SEARCH("去",D1048)),ISNUMBER(SEARCH("入",D1048)))),"Ambiguous",IF(ISNUMBER(SEARCH("平",D1048)),"平","仄")))</x:f>
        <x:v>仄</x:v>
      </x:c>
      <x:c r="L1048" s="7" t="str">
        <x:v>User correction</x:v>
      </x:c>
    </x:row>
    <x:row r="1049">
      <x:c r="A1049" s="5" t="str">
        <x:v>岐</x:v>
      </x:c>
      <x:c r="B1049" s="6" t="str">
        <x:v>平</x:v>
      </x:c>
      <x:c r="C1049" s="6" t="str">
        <x:f>IF(B1049="","Needs decision","Ready")</x:f>
        <x:v>Ready</x:v>
      </x:c>
      <x:c r="D1049" s="6" t="str">
        <x:v>平</x:v>
      </x:c>
      <x:c r="E1049" s="6" t="str">
        <x:v>gjie [羣開三A支平] ɡjie</x:v>
      </x:c>
      <x:c r="F1049" s="6" t="str">
        <x:v>上平聲四支</x:v>
      </x:c>
      <x:c r="G1049" s="6" t="str">
        <x:v>Pingshui main list, Wikisource-derived DOCX</x:v>
      </x:c>
      <x:c r="H1049" s="6" t="str">
        <x:v>1</x:v>
      </x:c>
      <x:c r="I1049" s="6" t="str">
        <x:v>Targeted preliminary fill from Xun Gong; review if uncertain</x:v>
      </x:c>
      <x:c r="J1049" s="6" t="str">
        <x:f>IF(B1049="","",IF(AND(ISNUMBER(SEARCH("平",B1049)),OR(ISNUMBER(SEARCH("上",B1049)),ISNUMBER(SEARCH("去",B1049)),ISNUMBER(SEARCH("入",B1049)))),"Ambiguous",IF(ISNUMBER(SEARCH("平",B1049)),"平","仄")))</x:f>
        <x:v>平</x:v>
      </x:c>
      <x:c r="K1049" s="6" t="str">
        <x:f>IF(D1049="","",IF(AND(ISNUMBER(SEARCH("平",D1049)),OR(ISNUMBER(SEARCH("上",D1049)),ISNUMBER(SEARCH("去",D1049)),ISNUMBER(SEARCH("入",D1049)))),"Ambiguous",IF(ISNUMBER(SEARCH("平",D1049)),"平","仄")))</x:f>
        <x:v>平</x:v>
      </x:c>
      <x:c r="L1049" s="7" t="str">
        <x:v>Xun Gong character-readings.csv</x:v>
      </x:c>
    </x:row>
    <x:row r="1050">
      <x:c r="A1050" s="5" t="str">
        <x:v>岑</x:v>
      </x:c>
      <x:c r="B1050" s="6" t="str">
        <x:v>平</x:v>
      </x:c>
      <x:c r="C1050" s="6" t="str">
        <x:f>IF(B1050="","Needs decision","Ready")</x:f>
        <x:v>Ready</x:v>
      </x:c>
      <x:c r="D1050" s="6" t="str">
        <x:v>平</x:v>
      </x:c>
      <x:c r="E1050" s="6" t="str">
        <x:v>dzrim [dʐɨ̯im] (平)</x:v>
      </x:c>
      <x:c r="F1050" s="6" t="str">
        <x:v>下平聲十二侵</x:v>
      </x:c>
      <x:c r="G1050" s="6" t="str">
        <x:v>Pingshui main list, Wikisource-derived DOCX</x:v>
      </x:c>
      <x:c r="H1050" s="6" t="str">
        <x:v>1</x:v>
      </x:c>
      <x:c r="I1050" s="6" t="str">
        <x:v>Tang 300 gap; frequency 1; provisional from Xun Gong</x:v>
      </x:c>
      <x:c r="J1050" s="6" t="str">
        <x:f>IF(B1050="","",IF(AND(ISNUMBER(SEARCH("平",B1050)),OR(ISNUMBER(SEARCH("上",B1050)),ISNUMBER(SEARCH("去",B1050)),ISNUMBER(SEARCH("入",B1050)))),"Ambiguous",IF(ISNUMBER(SEARCH("平",B1050)),"平","仄")))</x:f>
        <x:v>平</x:v>
      </x:c>
      <x:c r="K1050" s="6" t="str">
        <x:f>IF(D1050="","",IF(AND(ISNUMBER(SEARCH("平",D1050)),OR(ISNUMBER(SEARCH("上",D1050)),ISNUMBER(SEARCH("去",D1050)),ISNUMBER(SEARCH("入",D1050)))),"Ambiguous",IF(ISNUMBER(SEARCH("平",D1050)),"平","仄")))</x:f>
        <x:v>平</x:v>
      </x:c>
      <x:c r="L1050" s="7" t="str">
        <x:v>Xun Gong, Tang 300 gap fill</x:v>
      </x:c>
    </x:row>
    <x:row r="1051">
      <x:c r="A1051" s="5" t="str">
        <x:v>岡</x:v>
      </x:c>
      <x:c r="B1051" s="6" t="str">
        <x:v>平</x:v>
      </x:c>
      <x:c r="C1051" s="6" t="str">
        <x:f>IF(B1051="","Needs decision","Ready")</x:f>
        <x:v>Ready</x:v>
      </x:c>
      <x:c r="D1051" s="6" t="str">
        <x:v>平</x:v>
      </x:c>
      <x:c r="E1051" s="6" t="str">
        <x:v>kang [見開一唐平] qɑŋ</x:v>
      </x:c>
      <x:c r="F1051" s="6" t="str">
        <x:v>下平聲七陽</x:v>
      </x:c>
      <x:c r="G1051" s="6" t="str">
        <x:v>Pingshui main list, Wikisource-derived DOCX</x:v>
      </x:c>
      <x:c r="H1051" s="6" t="str">
        <x:v>1</x:v>
      </x:c>
      <x:c r="I1051" s="6" t="str">
        <x:v>Targeted preliminary fill from Xun Gong; review if uncertain</x:v>
      </x:c>
      <x:c r="J1051" s="6" t="str">
        <x:f>IF(B1051="","",IF(AND(ISNUMBER(SEARCH("平",B1051)),OR(ISNUMBER(SEARCH("上",B1051)),ISNUMBER(SEARCH("去",B1051)),ISNUMBER(SEARCH("入",B1051)))),"Ambiguous",IF(ISNUMBER(SEARCH("平",B1051)),"平","仄")))</x:f>
        <x:v>平</x:v>
      </x:c>
      <x:c r="K1051" s="6" t="str">
        <x:f>IF(D1051="","",IF(AND(ISNUMBER(SEARCH("平",D1051)),OR(ISNUMBER(SEARCH("上",D1051)),ISNUMBER(SEARCH("去",D1051)),ISNUMBER(SEARCH("入",D1051)))),"Ambiguous",IF(ISNUMBER(SEARCH("平",D1051)),"平","仄")))</x:f>
        <x:v>平</x:v>
      </x:c>
      <x:c r="L1051" s="7" t="str">
        <x:v>Xun Gong character-readings.csv</x:v>
      </x:c>
    </x:row>
    <x:row r="1052">
      <x:c r="A1052" s="5" t="str">
        <x:v>岧</x:v>
      </x:c>
      <x:c r="B1052" s="6" t="str">
        <x:v>平</x:v>
      </x:c>
      <x:c r="C1052" s="6" t="str">
        <x:f>IF(B1052="","Needs decision","Ready")</x:f>
        <x:v>Ready</x:v>
      </x:c>
      <x:c r="D1052" s="6" t="str">
        <x:v>平</x:v>
      </x:c>
      <x:c r="E1052" s="6" t="str">
        <x:v>dew [d̙ew] (平)</x:v>
      </x:c>
      <x:c r="F1052" s="6" t="str"/>
      <x:c r="G1052" s="6" t="str"/>
      <x:c r="H1052" s="6" t="str">
        <x:v>1</x:v>
      </x:c>
      <x:c r="I1052" s="6" t="str">
        <x:v>Tang 300 gap; frequency 1; provisional from Xun Gong</x:v>
      </x:c>
      <x:c r="J1052" s="6" t="str">
        <x:f>IF(B1052="","",IF(AND(ISNUMBER(SEARCH("平",B1052)),OR(ISNUMBER(SEARCH("上",B1052)),ISNUMBER(SEARCH("去",B1052)),ISNUMBER(SEARCH("入",B1052)))),"Ambiguous",IF(ISNUMBER(SEARCH("平",B1052)),"平","仄")))</x:f>
        <x:v>平</x:v>
      </x:c>
      <x:c r="K1052" s="6" t="str">
        <x:f>IF(D1052="","",IF(AND(ISNUMBER(SEARCH("平",D1052)),OR(ISNUMBER(SEARCH("上",D1052)),ISNUMBER(SEARCH("去",D1052)),ISNUMBER(SEARCH("入",D1052)))),"Ambiguous",IF(ISNUMBER(SEARCH("平",D1052)),"平","仄")))</x:f>
        <x:v>平</x:v>
      </x:c>
      <x:c r="L1052" s="7" t="str">
        <x:v>Xun Gong, Tang 300 gap fill</x:v>
      </x:c>
    </x:row>
    <x:row r="1053">
      <x:c r="A1053" s="5" t="str">
        <x:v>岨</x:v>
      </x:c>
      <x:c r="B1053" s="6" t="str">
        <x:v>平</x:v>
      </x:c>
      <x:c r="C1053" s="6" t="str">
        <x:f>IF(B1053="","Needs decision","Ready")</x:f>
        <x:v>Ready</x:v>
      </x:c>
      <x:c r="D1053" s="6" t="str">
        <x:v>平</x:v>
      </x:c>
      <x:c r="E1053" s="6" t="str">
        <x:v>tshjo (A)</x:v>
      </x:c>
      <x:c r="F1053" s="6" t="str"/>
      <x:c r="G1053" s="6" t="str"/>
      <x:c r="H1053" s="6" t="str">
        <x:v>1</x:v>
      </x:c>
      <x:c r="I1053" s="6" t="str"/>
      <x:c r="J1053" s="6" t="str">
        <x:f>IF(B1053="","",IF(AND(ISNUMBER(SEARCH("平",B1053)),OR(ISNUMBER(SEARCH("上",B1053)),ISNUMBER(SEARCH("去",B1053)),ISNUMBER(SEARCH("入",B1053)))),"Ambiguous",IF(ISNUMBER(SEARCH("平",B1053)),"平","仄")))</x:f>
        <x:v>平</x:v>
      </x:c>
      <x:c r="K1053" s="6" t="str">
        <x:f>IF(D1053="","",IF(AND(ISNUMBER(SEARCH("平",D1053)),OR(ISNUMBER(SEARCH("上",D1053)),ISNUMBER(SEARCH("去",D1053)),ISNUMBER(SEARCH("入",D1053)))),"Ambiguous",IF(ISNUMBER(SEARCH("平",D1053)),"平","仄")))</x:f>
        <x:v>平</x:v>
      </x:c>
      <x:c r="L1053" s="7" t="str"/>
    </x:row>
    <x:row r="1054">
      <x:c r="A1054" s="5" t="str">
        <x:v>岫</x:v>
      </x:c>
      <x:c r="B1054" s="6" t="str">
        <x:v>去</x:v>
      </x:c>
      <x:c r="C1054" s="6" t="str">
        <x:f>IF(B1054="","Needs decision","Ready")</x:f>
        <x:v>Ready</x:v>
      </x:c>
      <x:c r="D1054" s="6" t="str">
        <x:v>去</x:v>
      </x:c>
      <x:c r="E1054" s="6" t="str"/>
      <x:c r="F1054" s="6" t="str">
        <x:v>去聲二十六宥</x:v>
      </x:c>
      <x:c r="G1054" s="6" t="str">
        <x:v>Pingshui main list, Wikisource-derived DOCX</x:v>
      </x:c>
      <x:c r="H1054" s="6" t="str"/>
      <x:c r="I1054" s="6" t="str">
        <x:v>Manual user correction/addition</x:v>
      </x:c>
      <x:c r="J1054" s="6" t="str">
        <x:f>IF(B1054="","",IF(AND(ISNUMBER(SEARCH("平",B1054)),OR(ISNUMBER(SEARCH("上",B1054)),ISNUMBER(SEARCH("去",B1054)),ISNUMBER(SEARCH("入",B1054)))),"Ambiguous",IF(ISNUMBER(SEARCH("平",B1054)),"平","仄")))</x:f>
        <x:v>仄</x:v>
      </x:c>
      <x:c r="K1054" s="6" t="str">
        <x:f>IF(D1054="","",IF(AND(ISNUMBER(SEARCH("平",D1054)),OR(ISNUMBER(SEARCH("上",D1054)),ISNUMBER(SEARCH("去",D1054)),ISNUMBER(SEARCH("入",D1054)))),"Ambiguous",IF(ISNUMBER(SEARCH("平",D1054)),"平","仄")))</x:f>
        <x:v>仄</x:v>
      </x:c>
      <x:c r="L1054" s="7" t="str">
        <x:v>manual user correction</x:v>
      </x:c>
    </x:row>
    <x:row r="1055">
      <x:c r="A1055" s="5" t="str">
        <x:v>岱</x:v>
      </x:c>
      <x:c r="B1055" s="6" t="str">
        <x:v>去</x:v>
      </x:c>
      <x:c r="C1055" s="6" t="str">
        <x:f>IF(B1055="","Needs decision","Ready")</x:f>
        <x:v>Ready</x:v>
      </x:c>
      <x:c r="D1055" s="6" t="str">
        <x:v>去</x:v>
      </x:c>
      <x:c r="E1055" s="6" t="str">
        <x:v>dojH [d̙əjh] (去)</x:v>
      </x:c>
      <x:c r="F1055" s="6" t="str">
        <x:v>去聲十一隊</x:v>
      </x:c>
      <x:c r="G1055" s="6" t="str">
        <x:v>Pingshui main list, Wikisource-derived DOCX</x:v>
      </x:c>
      <x:c r="H1055" s="6" t="str">
        <x:v>1</x:v>
      </x:c>
      <x:c r="I1055" s="6" t="str">
        <x:v>Tang 300 gap; frequency 1; provisional from Xun Gong</x:v>
      </x:c>
      <x:c r="J1055" s="6" t="str">
        <x:f>IF(B1055="","",IF(AND(ISNUMBER(SEARCH("平",B1055)),OR(ISNUMBER(SEARCH("上",B1055)),ISNUMBER(SEARCH("去",B1055)),ISNUMBER(SEARCH("入",B1055)))),"Ambiguous",IF(ISNUMBER(SEARCH("平",B1055)),"平","仄")))</x:f>
        <x:v>仄</x:v>
      </x:c>
      <x:c r="K1055" s="6" t="str">
        <x:f>IF(D1055="","",IF(AND(ISNUMBER(SEARCH("平",D1055)),OR(ISNUMBER(SEARCH("上",D1055)),ISNUMBER(SEARCH("去",D1055)),ISNUMBER(SEARCH("入",D1055)))),"Ambiguous",IF(ISNUMBER(SEARCH("平",D1055)),"平","仄")))</x:f>
        <x:v>仄</x:v>
      </x:c>
      <x:c r="L1055" s="7" t="str">
        <x:v>Xun Gong, Tang 300 gap fill</x:v>
      </x:c>
    </x:row>
    <x:row r="1056">
      <x:c r="A1056" s="5" t="str">
        <x:v>岳</x:v>
      </x:c>
      <x:c r="B1056" s="6" t="str">
        <x:v>入</x:v>
      </x:c>
      <x:c r="C1056" s="6" t="str">
        <x:f>IF(B1056="","Needs decision","Ready")</x:f>
        <x:v>Ready</x:v>
      </x:c>
      <x:c r="D1056" s="6" t="str">
        <x:v>入</x:v>
      </x:c>
      <x:c r="E1056" s="6" t="str">
        <x:v>ngaewk (D)</x:v>
      </x:c>
      <x:c r="F1056" s="6" t="str"/>
      <x:c r="G1056" s="6" t="str"/>
      <x:c r="H1056" s="6" t="str">
        <x:v>1</x:v>
      </x:c>
      <x:c r="I1056" s="6" t="str"/>
      <x:c r="J1056" s="6" t="str">
        <x:f>IF(B1056="","",IF(AND(ISNUMBER(SEARCH("平",B1056)),OR(ISNUMBER(SEARCH("上",B1056)),ISNUMBER(SEARCH("去",B1056)),ISNUMBER(SEARCH("入",B1056)))),"Ambiguous",IF(ISNUMBER(SEARCH("平",B1056)),"平","仄")))</x:f>
        <x:v>仄</x:v>
      </x:c>
      <x:c r="K1056" s="6" t="str">
        <x:f>IF(D1056="","",IF(AND(ISNUMBER(SEARCH("平",D1056)),OR(ISNUMBER(SEARCH("上",D1056)),ISNUMBER(SEARCH("去",D1056)),ISNUMBER(SEARCH("入",D1056)))),"Ambiguous",IF(ISNUMBER(SEARCH("平",D1056)),"平","仄")))</x:f>
        <x:v>仄</x:v>
      </x:c>
      <x:c r="L1056" s="7" t="str"/>
    </x:row>
    <x:row r="1057">
      <x:c r="A1057" s="5" t="str">
        <x:v>岸</x:v>
      </x:c>
      <x:c r="B1057" s="6" t="str">
        <x:v>去</x:v>
      </x:c>
      <x:c r="C1057" s="6" t="str">
        <x:f>IF(B1057="","Needs decision","Ready")</x:f>
        <x:v>Ready</x:v>
      </x:c>
      <x:c r="D1057" s="6" t="str">
        <x:v>去</x:v>
      </x:c>
      <x:c r="E1057" s="6" t="str">
        <x:v>nganH (C)</x:v>
      </x:c>
      <x:c r="F1057" s="6" t="str">
        <x:v>去聲十五翰</x:v>
      </x:c>
      <x:c r="G1057" s="6" t="str">
        <x:v>Pingshui main list, Wikisource-derived DOCX</x:v>
      </x:c>
      <x:c r="H1057" s="6" t="str">
        <x:v>1</x:v>
      </x:c>
      <x:c r="I1057" s="6" t="str"/>
      <x:c r="J1057" s="6" t="str">
        <x:f>IF(B1057="","",IF(AND(ISNUMBER(SEARCH("平",B1057)),OR(ISNUMBER(SEARCH("上",B1057)),ISNUMBER(SEARCH("去",B1057)),ISNUMBER(SEARCH("入",B1057)))),"Ambiguous",IF(ISNUMBER(SEARCH("平",B1057)),"平","仄")))</x:f>
        <x:v>仄</x:v>
      </x:c>
      <x:c r="K1057" s="6" t="str">
        <x:f>IF(D1057="","",IF(AND(ISNUMBER(SEARCH("平",D1057)),OR(ISNUMBER(SEARCH("上",D1057)),ISNUMBER(SEARCH("去",D1057)),ISNUMBER(SEARCH("入",D1057)))),"Ambiguous",IF(ISNUMBER(SEARCH("平",D1057)),"平","仄")))</x:f>
        <x:v>仄</x:v>
      </x:c>
      <x:c r="L1057" s="7" t="str"/>
    </x:row>
    <x:row r="1058">
      <x:c r="A1058" s="5" t="str">
        <x:v>峨</x:v>
      </x:c>
      <x:c r="B1058" s="6" t="str">
        <x:v>平</x:v>
      </x:c>
      <x:c r="C1058" s="6" t="str">
        <x:f>IF(B1058="","Needs decision","Ready")</x:f>
        <x:v>Ready</x:v>
      </x:c>
      <x:c r="D1058" s="6" t="str">
        <x:v>平</x:v>
      </x:c>
      <x:c r="E1058" s="6" t="str">
        <x:v>nga [ɴɑ] (平)</x:v>
      </x:c>
      <x:c r="F1058" s="6" t="str">
        <x:v>下平聲五歌; 上聲二十哿</x:v>
      </x:c>
      <x:c r="G1058" s="6" t="str">
        <x:v>Pingshui main list, Wikisource-derived DOCX</x:v>
      </x:c>
      <x:c r="H1058" s="6" t="str">
        <x:v>1</x:v>
      </x:c>
      <x:c r="I1058" s="6" t="str">
        <x:v>Tang 300 gap; frequency 4; provisional from Xun Gong</x:v>
      </x:c>
      <x:c r="J1058" s="6" t="str">
        <x:f>IF(B1058="","",IF(AND(ISNUMBER(SEARCH("平",B1058)),OR(ISNUMBER(SEARCH("上",B1058)),ISNUMBER(SEARCH("去",B1058)),ISNUMBER(SEARCH("入",B1058)))),"Ambiguous",IF(ISNUMBER(SEARCH("平",B1058)),"平","仄")))</x:f>
        <x:v>平</x:v>
      </x:c>
      <x:c r="K1058" s="6" t="str">
        <x:f>IF(D1058="","",IF(AND(ISNUMBER(SEARCH("平",D1058)),OR(ISNUMBER(SEARCH("上",D1058)),ISNUMBER(SEARCH("去",D1058)),ISNUMBER(SEARCH("入",D1058)))),"Ambiguous",IF(ISNUMBER(SEARCH("平",D1058)),"平","仄")))</x:f>
        <x:v>平</x:v>
      </x:c>
      <x:c r="L1058" s="7" t="str">
        <x:v>Xun Gong, Tang 300 gap fill</x:v>
      </x:c>
    </x:row>
    <x:row r="1059">
      <x:c r="A1059" s="5" t="str">
        <x:v>峯</x:v>
      </x:c>
      <x:c r="B1059" s="6" t="str">
        <x:v>平</x:v>
      </x:c>
      <x:c r="C1059" s="6" t="str">
        <x:f>IF(B1059="","Needs decision","Ready")</x:f>
        <x:v>Ready</x:v>
      </x:c>
      <x:c r="D1059" s="6" t="str">
        <x:v>平</x:v>
      </x:c>
      <x:c r="E1059" s="6" t="str"/>
      <x:c r="F1059" s="6" t="str"/>
      <x:c r="G1059" s="6" t="str"/>
      <x:c r="H1059" s="6" t="str"/>
      <x:c r="I1059" s="6" t="str">
        <x:v>Manual user correction/addition</x:v>
      </x:c>
      <x:c r="J1059" s="6" t="str">
        <x:f>IF(B1059="","",IF(AND(ISNUMBER(SEARCH("平",B1059)),OR(ISNUMBER(SEARCH("上",B1059)),ISNUMBER(SEARCH("去",B1059)),ISNUMBER(SEARCH("入",B1059)))),"Ambiguous",IF(ISNUMBER(SEARCH("平",B1059)),"平","仄")))</x:f>
        <x:v>平</x:v>
      </x:c>
      <x:c r="K1059" s="6" t="str">
        <x:f>IF(D1059="","",IF(AND(ISNUMBER(SEARCH("平",D1059)),OR(ISNUMBER(SEARCH("上",D1059)),ISNUMBER(SEARCH("去",D1059)),ISNUMBER(SEARCH("入",D1059)))),"Ambiguous",IF(ISNUMBER(SEARCH("平",D1059)),"平","仄")))</x:f>
        <x:v>平</x:v>
      </x:c>
      <x:c r="L1059" s="7" t="str">
        <x:v>manual user correction</x:v>
      </x:c>
    </x:row>
    <x:row r="1060">
      <x:c r="A1060" s="5" t="str">
        <x:v>峰</x:v>
      </x:c>
      <x:c r="B1060" s="6" t="str">
        <x:v>平</x:v>
      </x:c>
      <x:c r="C1060" s="6" t="str">
        <x:f>IF(B1060="","Needs decision","Ready")</x:f>
        <x:v>Ready</x:v>
      </x:c>
      <x:c r="D1060" s="6" t="str">
        <x:v>平</x:v>
      </x:c>
      <x:c r="E1060" s="6" t="str">
        <x:v>variant of 峯</x:v>
      </x:c>
      <x:c r="F1060" s="6" t="str">
        <x:v>上平聲二冬</x:v>
      </x:c>
      <x:c r="G1060" s="6" t="str">
        <x:v>Pingshui main list, Wikisource-derived DOCX</x:v>
      </x:c>
      <x:c r="H1060" s="6" t="str"/>
      <x:c r="I1060" s="6" t="str">
        <x:v>Manual user correction/addition: variant of 峯</x:v>
      </x:c>
      <x:c r="J1060" s="6" t="str">
        <x:f>IF(B1060="","",IF(AND(ISNUMBER(SEARCH("平",B1060)),OR(ISNUMBER(SEARCH("上",B1060)),ISNUMBER(SEARCH("去",B1060)),ISNUMBER(SEARCH("入",B1060)))),"Ambiguous",IF(ISNUMBER(SEARCH("平",B1060)),"平","仄")))</x:f>
        <x:v>平</x:v>
      </x:c>
      <x:c r="K1060" s="6" t="str">
        <x:f>IF(D1060="","",IF(AND(ISNUMBER(SEARCH("平",D1060)),OR(ISNUMBER(SEARCH("上",D1060)),ISNUMBER(SEARCH("去",D1060)),ISNUMBER(SEARCH("入",D1060)))),"Ambiguous",IF(ISNUMBER(SEARCH("平",D1060)),"平","仄")))</x:f>
        <x:v>平</x:v>
      </x:c>
      <x:c r="L1060" s="7" t="str">
        <x:v>manual user correction</x:v>
      </x:c>
    </x:row>
    <x:row r="1061">
      <x:c r="A1061" s="5" t="str">
        <x:v>島</x:v>
      </x:c>
      <x:c r="B1061" s="6" t="str">
        <x:v>上</x:v>
      </x:c>
      <x:c r="C1061" s="6" t="str">
        <x:f>IF(B1061="","Needs decision","Ready")</x:f>
        <x:v>Ready</x:v>
      </x:c>
      <x:c r="D1061" s="6" t="str">
        <x:v>上</x:v>
      </x:c>
      <x:c r="E1061" s="6" t="str">
        <x:v>tawX (B)</x:v>
      </x:c>
      <x:c r="F1061" s="6" t="str">
        <x:v>上聲十九皓</x:v>
      </x:c>
      <x:c r="G1061" s="6" t="str">
        <x:v>Pingshui main list, Wikisource-derived DOCX</x:v>
      </x:c>
      <x:c r="H1061" s="6" t="str">
        <x:v>1</x:v>
      </x:c>
      <x:c r="I1061" s="6" t="str"/>
      <x:c r="J1061" s="6" t="str">
        <x:f>IF(B1061="","",IF(AND(ISNUMBER(SEARCH("平",B1061)),OR(ISNUMBER(SEARCH("上",B1061)),ISNUMBER(SEARCH("去",B1061)),ISNUMBER(SEARCH("入",B1061)))),"Ambiguous",IF(ISNUMBER(SEARCH("平",B1061)),"平","仄")))</x:f>
        <x:v>仄</x:v>
      </x:c>
      <x:c r="K1061" s="6" t="str">
        <x:f>IF(D1061="","",IF(AND(ISNUMBER(SEARCH("平",D1061)),OR(ISNUMBER(SEARCH("上",D1061)),ISNUMBER(SEARCH("去",D1061)),ISNUMBER(SEARCH("入",D1061)))),"Ambiguous",IF(ISNUMBER(SEARCH("平",D1061)),"平","仄")))</x:f>
        <x:v>仄</x:v>
      </x:c>
      <x:c r="L1061" s="7" t="str"/>
    </x:row>
    <x:row r="1062">
      <x:c r="A1062" s="5" t="str">
        <x:v>峻</x:v>
      </x:c>
      <x:c r="B1062" s="6" t="str">
        <x:v>去</x:v>
      </x:c>
      <x:c r="C1062" s="6" t="str">
        <x:f>IF(B1062="","Needs decision","Ready")</x:f>
        <x:v>Ready</x:v>
      </x:c>
      <x:c r="D1062" s="6" t="str">
        <x:v>去</x:v>
      </x:c>
      <x:c r="E1062" s="6" t="str"/>
      <x:c r="F1062" s="6" t="str">
        <x:v>去聲十二震</x:v>
      </x:c>
      <x:c r="G1062" s="6" t="str">
        <x:v>Pingshui main list, Wikisource-derived DOCX</x:v>
      </x:c>
      <x:c r="H1062" s="6" t="str">
        <x:v>0</x:v>
      </x:c>
      <x:c r="I1062" s="6" t="str">
        <x:v>User correction 2026-09-08; added manually</x:v>
      </x:c>
      <x:c r="J1062" s="6" t="str">
        <x:f>IF(B1062="","",IF(AND(ISNUMBER(SEARCH("平",B1062)),OR(ISNUMBER(SEARCH("上",B1062)),ISNUMBER(SEARCH("去",B1062)),ISNUMBER(SEARCH("入",B1062)))),"Ambiguous",IF(ISNUMBER(SEARCH("平",B1062)),"平","仄")))</x:f>
        <x:v>仄</x:v>
      </x:c>
      <x:c r="K1062" s="6" t="str">
        <x:f>IF(D1062="","",IF(AND(ISNUMBER(SEARCH("平",D1062)),OR(ISNUMBER(SEARCH("上",D1062)),ISNUMBER(SEARCH("去",D1062)),ISNUMBER(SEARCH("入",D1062)))),"Ambiguous",IF(ISNUMBER(SEARCH("平",D1062)),"平","仄")))</x:f>
        <x:v>仄</x:v>
      </x:c>
      <x:c r="L1062" s="7" t="str">
        <x:v>User correction</x:v>
      </x:c>
    </x:row>
    <x:row r="1063">
      <x:c r="A1063" s="5" t="str">
        <x:v>峽</x:v>
      </x:c>
      <x:c r="B1063" s="6" t="str">
        <x:v>入</x:v>
      </x:c>
      <x:c r="C1063" s="6" t="str">
        <x:f>IF(B1063="","Needs decision","Ready")</x:f>
        <x:v>Ready</x:v>
      </x:c>
      <x:c r="D1063" s="6" t="str">
        <x:v>入</x:v>
      </x:c>
      <x:c r="E1063" s="6" t="str">
        <x:v>heap (D)</x:v>
      </x:c>
      <x:c r="F1063" s="6" t="str">
        <x:v>入聲十七洽</x:v>
      </x:c>
      <x:c r="G1063" s="6" t="str">
        <x:v>Pingshui main list, Wikisource-derived DOCX</x:v>
      </x:c>
      <x:c r="H1063" s="6" t="str">
        <x:v>1</x:v>
      </x:c>
      <x:c r="I1063" s="6" t="str"/>
      <x:c r="J1063" s="6" t="str">
        <x:f>IF(B1063="","",IF(AND(ISNUMBER(SEARCH("平",B1063)),OR(ISNUMBER(SEARCH("上",B1063)),ISNUMBER(SEARCH("去",B1063)),ISNUMBER(SEARCH("入",B1063)))),"Ambiguous",IF(ISNUMBER(SEARCH("平",B1063)),"平","仄")))</x:f>
        <x:v>仄</x:v>
      </x:c>
      <x:c r="K1063" s="6" t="str">
        <x:f>IF(D1063="","",IF(AND(ISNUMBER(SEARCH("平",D1063)),OR(ISNUMBER(SEARCH("上",D1063)),ISNUMBER(SEARCH("去",D1063)),ISNUMBER(SEARCH("入",D1063)))),"Ambiguous",IF(ISNUMBER(SEARCH("平",D1063)),"平","仄")))</x:f>
        <x:v>仄</x:v>
      </x:c>
      <x:c r="L1063" s="7" t="str"/>
    </x:row>
    <x:row r="1064">
      <x:c r="A1064" s="5" t="str">
        <x:v>崇</x:v>
      </x:c>
      <x:c r="B1064" s="6" t="str">
        <x:v>平</x:v>
      </x:c>
      <x:c r="C1064" s="6" t="str">
        <x:f>IF(B1064="","Needs decision","Ready")</x:f>
        <x:v>Ready</x:v>
      </x:c>
      <x:c r="D1064" s="6" t="str">
        <x:v>平</x:v>
      </x:c>
      <x:c r="E1064" s="6" t="str">
        <x:v>dzrjuwng (A)</x:v>
      </x:c>
      <x:c r="F1064" s="6" t="str">
        <x:v>上平聲一東</x:v>
      </x:c>
      <x:c r="G1064" s="6" t="str">
        <x:v>Pingshui main list, Wikisource-derived DOCX</x:v>
      </x:c>
      <x:c r="H1064" s="6" t="str">
        <x:v>1</x:v>
      </x:c>
      <x:c r="I1064" s="6" t="str"/>
      <x:c r="J1064" s="6" t="str">
        <x:f>IF(B1064="","",IF(AND(ISNUMBER(SEARCH("平",B1064)),OR(ISNUMBER(SEARCH("上",B1064)),ISNUMBER(SEARCH("去",B1064)),ISNUMBER(SEARCH("入",B1064)))),"Ambiguous",IF(ISNUMBER(SEARCH("平",B1064)),"平","仄")))</x:f>
        <x:v>平</x:v>
      </x:c>
      <x:c r="K1064" s="6" t="str">
        <x:f>IF(D1064="","",IF(AND(ISNUMBER(SEARCH("平",D1064)),OR(ISNUMBER(SEARCH("上",D1064)),ISNUMBER(SEARCH("去",D1064)),ISNUMBER(SEARCH("入",D1064)))),"Ambiguous",IF(ISNUMBER(SEARCH("平",D1064)),"平","仄")))</x:f>
        <x:v>平</x:v>
      </x:c>
      <x:c r="L1064" s="7" t="str"/>
    </x:row>
    <x:row r="1065">
      <x:c r="A1065" s="5" t="str">
        <x:v>崎</x:v>
      </x:c>
      <x:c r="B1065" s="6" t="str">
        <x:v>平</x:v>
      </x:c>
      <x:c r="C1065" s="6" t="str">
        <x:f>IF(B1065="","Needs decision","Ready")</x:f>
        <x:v>Ready</x:v>
      </x:c>
      <x:c r="D1065" s="6" t="str">
        <x:v>平</x:v>
      </x:c>
      <x:c r="E1065" s="6" t="str"/>
      <x:c r="F1065" s="6" t="str">
        <x:v>上平聲四支</x:v>
      </x:c>
      <x:c r="G1065" s="6" t="str">
        <x:v>Pingshui main list, Wikisource-derived DOCX</x:v>
      </x:c>
      <x:c r="H1065" s="6" t="str">
        <x:v>0</x:v>
      </x:c>
      <x:c r="I1065" s="6" t="str">
        <x:v>User correction 2026-09-08; added manually</x:v>
      </x:c>
      <x:c r="J1065" s="6" t="str">
        <x:f>IF(B1065="","",IF(AND(ISNUMBER(SEARCH("平",B1065)),OR(ISNUMBER(SEARCH("上",B1065)),ISNUMBER(SEARCH("去",B1065)),ISNUMBER(SEARCH("入",B1065)))),"Ambiguous",IF(ISNUMBER(SEARCH("平",B1065)),"平","仄")))</x:f>
        <x:v>平</x:v>
      </x:c>
      <x:c r="K1065" s="6" t="str">
        <x:f>IF(D1065="","",IF(AND(ISNUMBER(SEARCH("平",D1065)),OR(ISNUMBER(SEARCH("上",D1065)),ISNUMBER(SEARCH("去",D1065)),ISNUMBER(SEARCH("入",D1065)))),"Ambiguous",IF(ISNUMBER(SEARCH("平",D1065)),"平","仄")))</x:f>
        <x:v>平</x:v>
      </x:c>
      <x:c r="L1065" s="7" t="str">
        <x:v>User correction</x:v>
      </x:c>
    </x:row>
    <x:row r="1066">
      <x:c r="A1066" s="5" t="str">
        <x:v>崔</x:v>
      </x:c>
      <x:c r="B1066" s="6" t="str">
        <x:v>平</x:v>
      </x:c>
      <x:c r="C1066" s="6" t="str">
        <x:f>IF(B1066="","Needs decision","Ready")</x:f>
        <x:v>Ready</x:v>
      </x:c>
      <x:c r="D1066" s="6" t="str">
        <x:v>平</x:v>
      </x:c>
      <x:c r="E1066" s="6" t="str">
        <x:v>dzwoj (A)</x:v>
      </x:c>
      <x:c r="F1066" s="6" t="str">
        <x:v>上平聲十灰</x:v>
      </x:c>
      <x:c r="G1066" s="6" t="str">
        <x:v>Pingshui main list, Wikisource-derived DOCX</x:v>
      </x:c>
      <x:c r="H1066" s="6" t="str">
        <x:v>1</x:v>
      </x:c>
      <x:c r="I1066" s="6" t="str"/>
      <x:c r="J1066" s="6" t="str">
        <x:f>IF(B1066="","",IF(AND(ISNUMBER(SEARCH("平",B1066)),OR(ISNUMBER(SEARCH("上",B1066)),ISNUMBER(SEARCH("去",B1066)),ISNUMBER(SEARCH("入",B1066)))),"Ambiguous",IF(ISNUMBER(SEARCH("平",B1066)),"平","仄")))</x:f>
        <x:v>平</x:v>
      </x:c>
      <x:c r="K1066" s="6" t="str">
        <x:f>IF(D1066="","",IF(AND(ISNUMBER(SEARCH("平",D1066)),OR(ISNUMBER(SEARCH("上",D1066)),ISNUMBER(SEARCH("去",D1066)),ISNUMBER(SEARCH("入",D1066)))),"Ambiguous",IF(ISNUMBER(SEARCH("平",D1066)),"平","仄")))</x:f>
        <x:v>平</x:v>
      </x:c>
      <x:c r="L1066" s="7" t="str"/>
    </x:row>
    <x:row r="1067">
      <x:c r="A1067" s="5" t="str">
        <x:v>崖</x:v>
      </x:c>
      <x:c r="B1067" s="6" t="str">
        <x:v>平</x:v>
      </x:c>
      <x:c r="C1067" s="6" t="str">
        <x:f>IF(B1067="","Needs decision","Ready")</x:f>
        <x:v>Ready</x:v>
      </x:c>
      <x:c r="D1067" s="6" t="str">
        <x:v>平</x:v>
      </x:c>
      <x:c r="E1067" s="6" t="str">
        <x:v>ngea (A)</x:v>
      </x:c>
      <x:c r="F1067" s="6" t="str"/>
      <x:c r="G1067" s="6" t="str"/>
      <x:c r="H1067" s="6" t="str">
        <x:v>1</x:v>
      </x:c>
      <x:c r="I1067" s="6" t="str"/>
      <x:c r="J1067" s="6" t="str">
        <x:f>IF(B1067="","",IF(AND(ISNUMBER(SEARCH("平",B1067)),OR(ISNUMBER(SEARCH("上",B1067)),ISNUMBER(SEARCH("去",B1067)),ISNUMBER(SEARCH("入",B1067)))),"Ambiguous",IF(ISNUMBER(SEARCH("平",B1067)),"平","仄")))</x:f>
        <x:v>平</x:v>
      </x:c>
      <x:c r="K1067" s="6" t="str">
        <x:f>IF(D1067="","",IF(AND(ISNUMBER(SEARCH("平",D1067)),OR(ISNUMBER(SEARCH("上",D1067)),ISNUMBER(SEARCH("去",D1067)),ISNUMBER(SEARCH("入",D1067)))),"Ambiguous",IF(ISNUMBER(SEARCH("平",D1067)),"平","仄")))</x:f>
        <x:v>平</x:v>
      </x:c>
      <x:c r="L1067" s="7" t="str"/>
    </x:row>
    <x:row r="1068">
      <x:c r="A1068" s="5" t="str">
        <x:v>崝</x:v>
      </x:c>
      <x:c r="B1068" s="6" t="str">
        <x:v>平</x:v>
      </x:c>
      <x:c r="C1068" s="6" t="str">
        <x:f>IF(B1068="","Needs decision","Ready")</x:f>
        <x:v>Ready</x:v>
      </x:c>
      <x:c r="D1068" s="6" t="str">
        <x:v>平</x:v>
      </x:c>
      <x:c r="E1068" s="6" t="str"/>
      <x:c r="F1068" s="6" t="str"/>
      <x:c r="G1068" s="6" t="str"/>
      <x:c r="H1068" s="6" t="str"/>
      <x:c r="I1068" s="6" t="str">
        <x:v>Manual user correction/addition</x:v>
      </x:c>
      <x:c r="J1068" s="6" t="str">
        <x:f>IF(B1068="","",IF(AND(ISNUMBER(SEARCH("平",B1068)),OR(ISNUMBER(SEARCH("上",B1068)),ISNUMBER(SEARCH("去",B1068)),ISNUMBER(SEARCH("入",B1068)))),"Ambiguous",IF(ISNUMBER(SEARCH("平",B1068)),"平","仄")))</x:f>
        <x:v>平</x:v>
      </x:c>
      <x:c r="K1068" s="6" t="str">
        <x:f>IF(D1068="","",IF(AND(ISNUMBER(SEARCH("平",D1068)),OR(ISNUMBER(SEARCH("上",D1068)),ISNUMBER(SEARCH("去",D1068)),ISNUMBER(SEARCH("入",D1068)))),"Ambiguous",IF(ISNUMBER(SEARCH("平",D1068)),"平","仄")))</x:f>
        <x:v>平</x:v>
      </x:c>
      <x:c r="L1068" s="7" t="str">
        <x:v>manual user correction</x:v>
      </x:c>
    </x:row>
    <x:row r="1069">
      <x:c r="A1069" s="5" t="str">
        <x:v>崟</x:v>
      </x:c>
      <x:c r="B1069" s="6" t="str">
        <x:v>平</x:v>
      </x:c>
      <x:c r="C1069" s="6" t="str">
        <x:f>IF(B1069="","Needs decision","Ready")</x:f>
        <x:v>Ready</x:v>
      </x:c>
      <x:c r="D1069" s="6" t="str">
        <x:v>平</x:v>
      </x:c>
      <x:c r="E1069" s="6" t="str"/>
      <x:c r="F1069" s="6" t="str"/>
      <x:c r="G1069" s="6" t="str"/>
      <x:c r="H1069" s="6" t="str">
        <x:v>0</x:v>
      </x:c>
      <x:c r="I1069" s="6" t="str">
        <x:v>User correction 2026-09-08; added manually</x:v>
      </x:c>
      <x:c r="J1069" s="6" t="str">
        <x:f>IF(B1069="","",IF(AND(ISNUMBER(SEARCH("平",B1069)),OR(ISNUMBER(SEARCH("上",B1069)),ISNUMBER(SEARCH("去",B1069)),ISNUMBER(SEARCH("入",B1069)))),"Ambiguous",IF(ISNUMBER(SEARCH("平",B1069)),"平","仄")))</x:f>
        <x:v>平</x:v>
      </x:c>
      <x:c r="K1069" s="6" t="str">
        <x:f>IF(D1069="","",IF(AND(ISNUMBER(SEARCH("平",D1069)),OR(ISNUMBER(SEARCH("上",D1069)),ISNUMBER(SEARCH("去",D1069)),ISNUMBER(SEARCH("入",D1069)))),"Ambiguous",IF(ISNUMBER(SEARCH("平",D1069)),"平","仄")))</x:f>
        <x:v>平</x:v>
      </x:c>
      <x:c r="L1069" s="7" t="str">
        <x:v>User correction</x:v>
      </x:c>
    </x:row>
    <x:row r="1070">
      <x:c r="A1070" s="5" t="str">
        <x:v>崢</x:v>
      </x:c>
      <x:c r="B1070" s="6" t="str">
        <x:v>平</x:v>
      </x:c>
      <x:c r="C1070" s="6" t="str">
        <x:f>IF(B1070="","Needs decision","Ready")</x:f>
        <x:v>Ready</x:v>
      </x:c>
      <x:c r="D1070" s="6" t="str">
        <x:v>平</x:v>
      </x:c>
      <x:c r="E1070" s="6" t="str">
        <x:v>dzreang (A)</x:v>
      </x:c>
      <x:c r="F1070" s="6" t="str">
        <x:v>下平聲八庚</x:v>
      </x:c>
      <x:c r="G1070" s="6" t="str">
        <x:v>Pingshui main list, Wikisource-derived DOCX</x:v>
      </x:c>
      <x:c r="H1070" s="6" t="str">
        <x:v>1</x:v>
      </x:c>
      <x:c r="I1070" s="6" t="str"/>
      <x:c r="J1070" s="6" t="str">
        <x:f>IF(B1070="","",IF(AND(ISNUMBER(SEARCH("平",B1070)),OR(ISNUMBER(SEARCH("上",B1070)),ISNUMBER(SEARCH("去",B1070)),ISNUMBER(SEARCH("入",B1070)))),"Ambiguous",IF(ISNUMBER(SEARCH("平",B1070)),"平","仄")))</x:f>
        <x:v>平</x:v>
      </x:c>
      <x:c r="K1070" s="6" t="str">
        <x:f>IF(D1070="","",IF(AND(ISNUMBER(SEARCH("平",D1070)),OR(ISNUMBER(SEARCH("上",D1070)),ISNUMBER(SEARCH("去",D1070)),ISNUMBER(SEARCH("入",D1070)))),"Ambiguous",IF(ISNUMBER(SEARCH("平",D1070)),"平","仄")))</x:f>
        <x:v>平</x:v>
      </x:c>
      <x:c r="L1070" s="7" t="str"/>
    </x:row>
    <x:row r="1071">
      <x:c r="A1071" s="5" t="str">
        <x:v>崤</x:v>
      </x:c>
      <x:c r="B1071" s="6" t="str">
        <x:v>平</x:v>
      </x:c>
      <x:c r="C1071" s="6" t="str">
        <x:f>IF(B1071="","Needs decision","Ready")</x:f>
        <x:v>Ready</x:v>
      </x:c>
      <x:c r="D1071" s="6" t="str">
        <x:v>平</x:v>
      </x:c>
      <x:c r="E1071" s="6" t="str"/>
      <x:c r="F1071" s="6" t="str">
        <x:v>下平聲三肴</x:v>
      </x:c>
      <x:c r="G1071" s="6" t="str">
        <x:v>Pingshui main list, Wikisource-derived DOCX</x:v>
      </x:c>
      <x:c r="H1071" s="6" t="str">
        <x:v>0</x:v>
      </x:c>
      <x:c r="I1071" s="6" t="str">
        <x:v>User correction 2026-09-08; added manually</x:v>
      </x:c>
      <x:c r="J1071" s="6" t="str">
        <x:f>IF(B1071="","",IF(AND(ISNUMBER(SEARCH("平",B1071)),OR(ISNUMBER(SEARCH("上",B1071)),ISNUMBER(SEARCH("去",B1071)),ISNUMBER(SEARCH("入",B1071)))),"Ambiguous",IF(ISNUMBER(SEARCH("平",B1071)),"平","仄")))</x:f>
        <x:v>平</x:v>
      </x:c>
      <x:c r="K1071" s="6" t="str">
        <x:f>IF(D1071="","",IF(AND(ISNUMBER(SEARCH("平",D1071)),OR(ISNUMBER(SEARCH("上",D1071)),ISNUMBER(SEARCH("去",D1071)),ISNUMBER(SEARCH("入",D1071)))),"Ambiguous",IF(ISNUMBER(SEARCH("平",D1071)),"平","仄")))</x:f>
        <x:v>平</x:v>
      </x:c>
      <x:c r="L1071" s="7" t="str">
        <x:v>User correction</x:v>
      </x:c>
    </x:row>
    <x:row r="1072">
      <x:c r="A1072" s="5" t="str">
        <x:v>崦</x:v>
      </x:c>
      <x:c r="B1072" s="6" t="str">
        <x:v>平</x:v>
      </x:c>
      <x:c r="C1072" s="6" t="str">
        <x:f>IF(B1072="","Needs decision","Ready")</x:f>
        <x:v>Ready</x:v>
      </x:c>
      <x:c r="D1072" s="6" t="str">
        <x:v>平</x:v>
      </x:c>
      <x:c r="E1072" s="6" t="str">
        <x:v>'jem [ʔɨ̯em] (平)</x:v>
      </x:c>
      <x:c r="F1072" s="6" t="str">
        <x:v>下平聲十四鹽</x:v>
      </x:c>
      <x:c r="G1072" s="6" t="str">
        <x:v>Pingshui main list, Wikisource-derived DOCX</x:v>
      </x:c>
      <x:c r="H1072" s="6" t="str">
        <x:v>1</x:v>
      </x:c>
      <x:c r="I1072" s="6" t="str">
        <x:v>Tang 300 gap; frequency 1; provisional from Xun Gong</x:v>
      </x:c>
      <x:c r="J1072" s="6" t="str">
        <x:f>IF(B1072="","",IF(AND(ISNUMBER(SEARCH("平",B1072)),OR(ISNUMBER(SEARCH("上",B1072)),ISNUMBER(SEARCH("去",B1072)),ISNUMBER(SEARCH("入",B1072)))),"Ambiguous",IF(ISNUMBER(SEARCH("平",B1072)),"平","仄")))</x:f>
        <x:v>平</x:v>
      </x:c>
      <x:c r="K1072" s="6" t="str">
        <x:f>IF(D1072="","",IF(AND(ISNUMBER(SEARCH("平",D1072)),OR(ISNUMBER(SEARCH("上",D1072)),ISNUMBER(SEARCH("去",D1072)),ISNUMBER(SEARCH("入",D1072)))),"Ambiguous",IF(ISNUMBER(SEARCH("平",D1072)),"平","仄")))</x:f>
        <x:v>平</x:v>
      </x:c>
      <x:c r="L1072" s="7" t="str">
        <x:v>Xun Gong, Tang 300 gap fill</x:v>
      </x:c>
    </x:row>
    <x:row r="1073">
      <x:c r="A1073" s="5" t="str">
        <x:v>崧</x:v>
      </x:c>
      <x:c r="B1073" s="6" t="str">
        <x:v>平</x:v>
      </x:c>
      <x:c r="C1073" s="6" t="str">
        <x:f>IF(B1073="","Needs decision","Ready")</x:f>
        <x:v>Ready</x:v>
      </x:c>
      <x:c r="D1073" s="6" t="str">
        <x:v>平</x:v>
      </x:c>
      <x:c r="E1073" s="6" t="str">
        <x:v>sjuwng (A)</x:v>
      </x:c>
      <x:c r="F1073" s="6" t="str">
        <x:v>上平聲一東</x:v>
      </x:c>
      <x:c r="G1073" s="6" t="str">
        <x:v>Pingshui main list, Wikisource-derived DOCX</x:v>
      </x:c>
      <x:c r="H1073" s="6" t="str">
        <x:v>1</x:v>
      </x:c>
      <x:c r="I1073" s="6" t="str"/>
      <x:c r="J1073" s="6" t="str">
        <x:f>IF(B1073="","",IF(AND(ISNUMBER(SEARCH("平",B1073)),OR(ISNUMBER(SEARCH("上",B1073)),ISNUMBER(SEARCH("去",B1073)),ISNUMBER(SEARCH("入",B1073)))),"Ambiguous",IF(ISNUMBER(SEARCH("平",B1073)),"平","仄")))</x:f>
        <x:v>平</x:v>
      </x:c>
      <x:c r="K1073" s="6" t="str">
        <x:f>IF(D1073="","",IF(AND(ISNUMBER(SEARCH("平",D1073)),OR(ISNUMBER(SEARCH("上",D1073)),ISNUMBER(SEARCH("去",D1073)),ISNUMBER(SEARCH("入",D1073)))),"Ambiguous",IF(ISNUMBER(SEARCH("平",D1073)),"平","仄")))</x:f>
        <x:v>平</x:v>
      </x:c>
      <x:c r="L1073" s="7" t="str"/>
    </x:row>
    <x:row r="1074">
      <x:c r="A1074" s="5" t="str">
        <x:v>崩</x:v>
      </x:c>
      <x:c r="B1074" s="6" t="str">
        <x:v>平</x:v>
      </x:c>
      <x:c r="C1074" s="6" t="str">
        <x:f>IF(B1074="","Needs decision","Ready")</x:f>
        <x:v>Ready</x:v>
      </x:c>
      <x:c r="D1074" s="6" t="str">
        <x:v>平</x:v>
      </x:c>
      <x:c r="E1074" s="6" t="str">
        <x:v>pong (A)</x:v>
      </x:c>
      <x:c r="F1074" s="6" t="str">
        <x:v>下平聲十蒸</x:v>
      </x:c>
      <x:c r="G1074" s="6" t="str">
        <x:v>Pingshui main list, Wikisource-derived DOCX</x:v>
      </x:c>
      <x:c r="H1074" s="6" t="str">
        <x:v>1</x:v>
      </x:c>
      <x:c r="I1074" s="6" t="str"/>
      <x:c r="J1074" s="6" t="str">
        <x:f>IF(B1074="","",IF(AND(ISNUMBER(SEARCH("平",B1074)),OR(ISNUMBER(SEARCH("上",B1074)),ISNUMBER(SEARCH("去",B1074)),ISNUMBER(SEARCH("入",B1074)))),"Ambiguous",IF(ISNUMBER(SEARCH("平",B1074)),"平","仄")))</x:f>
        <x:v>平</x:v>
      </x:c>
      <x:c r="K1074" s="6" t="str">
        <x:f>IF(D1074="","",IF(AND(ISNUMBER(SEARCH("平",D1074)),OR(ISNUMBER(SEARCH("上",D1074)),ISNUMBER(SEARCH("去",D1074)),ISNUMBER(SEARCH("入",D1074)))),"Ambiguous",IF(ISNUMBER(SEARCH("平",D1074)),"平","仄")))</x:f>
        <x:v>平</x:v>
      </x:c>
      <x:c r="L1074" s="7" t="str"/>
    </x:row>
    <x:row r="1075">
      <x:c r="A1075" s="5" t="str">
        <x:v>崴</x:v>
      </x:c>
      <x:c r="B1075" s="6" t="str">
        <x:v>平</x:v>
      </x:c>
      <x:c r="C1075" s="6" t="str">
        <x:f>IF(B1075="","Needs decision","Ready")</x:f>
        <x:v>Ready</x:v>
      </x:c>
      <x:c r="D1075" s="6" t="str">
        <x:v>平</x:v>
      </x:c>
      <x:c r="E1075" s="6" t="str">
        <x:v>'weaj (A)</x:v>
      </x:c>
      <x:c r="F1075" s="6" t="str"/>
      <x:c r="G1075" s="6" t="str"/>
      <x:c r="H1075" s="6" t="str">
        <x:v>1</x:v>
      </x:c>
      <x:c r="I1075" s="6" t="str"/>
      <x:c r="J1075" s="6" t="str">
        <x:f>IF(B1075="","",IF(AND(ISNUMBER(SEARCH("平",B1075)),OR(ISNUMBER(SEARCH("上",B1075)),ISNUMBER(SEARCH("去",B1075)),ISNUMBER(SEARCH("入",B1075)))),"Ambiguous",IF(ISNUMBER(SEARCH("平",B1075)),"平","仄")))</x:f>
        <x:v>平</x:v>
      </x:c>
      <x:c r="K1075" s="6" t="str">
        <x:f>IF(D1075="","",IF(AND(ISNUMBER(SEARCH("平",D1075)),OR(ISNUMBER(SEARCH("上",D1075)),ISNUMBER(SEARCH("去",D1075)),ISNUMBER(SEARCH("入",D1075)))),"Ambiguous",IF(ISNUMBER(SEARCH("平",D1075)),"平","仄")))</x:f>
        <x:v>平</x:v>
      </x:c>
      <x:c r="L1075" s="7" t="str"/>
    </x:row>
    <x:row r="1076">
      <x:c r="A1076" s="5" t="str">
        <x:v>崿</x:v>
      </x:c>
      <x:c r="B1076" s="6" t="str">
        <x:v>入</x:v>
      </x:c>
      <x:c r="C1076" s="6" t="str">
        <x:f>IF(B1076="","Needs decision","Ready")</x:f>
        <x:v>Ready</x:v>
      </x:c>
      <x:c r="D1076" s="6" t="str">
        <x:v>入</x:v>
      </x:c>
      <x:c r="E1076" s="6" t="str"/>
      <x:c r="F1076" s="6" t="str">
        <x:v>入聲十藥</x:v>
      </x:c>
      <x:c r="G1076" s="6" t="str">
        <x:v>Pingshui main list, Wikisource-derived DOCX</x:v>
      </x:c>
      <x:c r="H1076" s="6" t="str">
        <x:v>0</x:v>
      </x:c>
      <x:c r="I1076" s="6" t="str">
        <x:v>User correction 2026-09-08; added manually</x:v>
      </x:c>
      <x:c r="J1076" s="6" t="str">
        <x:f>IF(B1076="","",IF(AND(ISNUMBER(SEARCH("平",B1076)),OR(ISNUMBER(SEARCH("上",B1076)),ISNUMBER(SEARCH("去",B1076)),ISNUMBER(SEARCH("入",B1076)))),"Ambiguous",IF(ISNUMBER(SEARCH("平",B1076)),"平","仄")))</x:f>
        <x:v>仄</x:v>
      </x:c>
      <x:c r="K1076" s="6" t="str">
        <x:f>IF(D1076="","",IF(AND(ISNUMBER(SEARCH("平",D1076)),OR(ISNUMBER(SEARCH("上",D1076)),ISNUMBER(SEARCH("去",D1076)),ISNUMBER(SEARCH("入",D1076)))),"Ambiguous",IF(ISNUMBER(SEARCH("平",D1076)),"平","仄")))</x:f>
        <x:v>仄</x:v>
      </x:c>
      <x:c r="L1076" s="7" t="str">
        <x:v>User correction</x:v>
      </x:c>
    </x:row>
    <x:row r="1077">
      <x:c r="A1077" s="5" t="str">
        <x:v>嵋</x:v>
      </x:c>
      <x:c r="B1077" s="6" t="str">
        <x:v>平</x:v>
      </x:c>
      <x:c r="C1077" s="6" t="str">
        <x:f>IF(B1077="","Needs decision","Ready")</x:f>
        <x:v>Ready</x:v>
      </x:c>
      <x:c r="D1077" s="6" t="str">
        <x:v>平</x:v>
      </x:c>
      <x:c r="E1077" s="6" t="str">
        <x:v>mij [mɨ̯i] (平)</x:v>
      </x:c>
      <x:c r="F1077" s="6" t="str">
        <x:v>上平聲四支</x:v>
      </x:c>
      <x:c r="G1077" s="6" t="str">
        <x:v>Pingshui main list, Wikisource-derived DOCX</x:v>
      </x:c>
      <x:c r="H1077" s="6" t="str">
        <x:v>1</x:v>
      </x:c>
      <x:c r="I1077" s="6" t="str">
        <x:v>Tang 300 gap; frequency 1; provisional from Xun Gong</x:v>
      </x:c>
      <x:c r="J1077" s="6" t="str">
        <x:f>IF(B1077="","",IF(AND(ISNUMBER(SEARCH("平",B1077)),OR(ISNUMBER(SEARCH("上",B1077)),ISNUMBER(SEARCH("去",B1077)),ISNUMBER(SEARCH("入",B1077)))),"Ambiguous",IF(ISNUMBER(SEARCH("平",B1077)),"平","仄")))</x:f>
        <x:v>平</x:v>
      </x:c>
      <x:c r="K1077" s="6" t="str">
        <x:f>IF(D1077="","",IF(AND(ISNUMBER(SEARCH("平",D1077)),OR(ISNUMBER(SEARCH("上",D1077)),ISNUMBER(SEARCH("去",D1077)),ISNUMBER(SEARCH("入",D1077)))),"Ambiguous",IF(ISNUMBER(SEARCH("平",D1077)),"平","仄")))</x:f>
        <x:v>平</x:v>
      </x:c>
      <x:c r="L1077" s="7" t="str">
        <x:v>Xun Gong, Tang 300 gap fill</x:v>
      </x:c>
    </x:row>
    <x:row r="1078">
      <x:c r="A1078" s="5" t="str">
        <x:v>嵩</x:v>
      </x:c>
      <x:c r="B1078" s="6" t="str">
        <x:v>平</x:v>
      </x:c>
      <x:c r="C1078" s="6" t="str">
        <x:f>IF(B1078="","Needs decision","Ready")</x:f>
        <x:v>Ready</x:v>
      </x:c>
      <x:c r="D1078" s="6" t="str">
        <x:v>平</x:v>
      </x:c>
      <x:c r="E1078" s="6" t="str">
        <x:v>sjuwng (A)</x:v>
      </x:c>
      <x:c r="F1078" s="6" t="str">
        <x:v>上平聲一東</x:v>
      </x:c>
      <x:c r="G1078" s="6" t="str">
        <x:v>Pingshui main list, Wikisource-derived DOCX</x:v>
      </x:c>
      <x:c r="H1078" s="6" t="str">
        <x:v>1</x:v>
      </x:c>
      <x:c r="I1078" s="6" t="str"/>
      <x:c r="J1078" s="6" t="str">
        <x:f>IF(B1078="","",IF(AND(ISNUMBER(SEARCH("平",B1078)),OR(ISNUMBER(SEARCH("上",B1078)),ISNUMBER(SEARCH("去",B1078)),ISNUMBER(SEARCH("入",B1078)))),"Ambiguous",IF(ISNUMBER(SEARCH("平",B1078)),"平","仄")))</x:f>
        <x:v>平</x:v>
      </x:c>
      <x:c r="K1078" s="6" t="str">
        <x:f>IF(D1078="","",IF(AND(ISNUMBER(SEARCH("平",D1078)),OR(ISNUMBER(SEARCH("上",D1078)),ISNUMBER(SEARCH("去",D1078)),ISNUMBER(SEARCH("入",D1078)))),"Ambiguous",IF(ISNUMBER(SEARCH("平",D1078)),"平","仄")))</x:f>
        <x:v>平</x:v>
      </x:c>
      <x:c r="L1078" s="7" t="str"/>
    </x:row>
    <x:row r="1079">
      <x:c r="A1079" s="5" t="str">
        <x:v>嵬</x:v>
      </x:c>
      <x:c r="B1079" s="6" t="str"/>
      <x:c r="C1079" s="6" t="str">
        <x:f>IF(B1079="","Needs decision","Ready")</x:f>
        <x:v>Needs decision</x:v>
      </x:c>
      <x:c r="D1079" s="6" t="str">
        <x:v>平/上</x:v>
      </x:c>
      <x:c r="E1079" s="6" t="str">
        <x:v>ngwoj (A); ngwojX (B)</x:v>
      </x:c>
      <x:c r="F1079" s="6" t="str">
        <x:v>上平聲十灰; 上聲十賄</x:v>
      </x:c>
      <x:c r="G1079" s="6" t="str">
        <x:v>Pingshui main list, Wikisource-derived DOCX</x:v>
      </x:c>
      <x:c r="H1079" s="6" t="str">
        <x:v>2</x:v>
      </x:c>
      <x:c r="I1079" s="6" t="str"/>
      <x:c r="J1079" s="6" t="str">
        <x:f>IF(B1079="","",IF(AND(ISNUMBER(SEARCH("平",B1079)),OR(ISNUMBER(SEARCH("上",B1079)),ISNUMBER(SEARCH("去",B1079)),ISNUMBER(SEARCH("入",B1079)))),"Ambiguous",IF(ISNUMBER(SEARCH("平",B1079)),"平","仄")))</x:f>
      </x:c>
      <x:c r="K1079" s="6" t="str">
        <x:f>IF(D1079="","",IF(AND(ISNUMBER(SEARCH("平",D1079)),OR(ISNUMBER(SEARCH("上",D1079)),ISNUMBER(SEARCH("去",D1079)),ISNUMBER(SEARCH("入",D1079)))),"Ambiguous",IF(ISNUMBER(SEARCH("平",D1079)),"平","仄")))</x:f>
        <x:v>Ambiguous</x:v>
      </x:c>
      <x:c r="L1079" s="7" t="str"/>
    </x:row>
    <x:row r="1080">
      <x:c r="A1080" s="5" t="str">
        <x:v>嵯</x:v>
      </x:c>
      <x:c r="B1080" s="6" t="str">
        <x:v>平</x:v>
      </x:c>
      <x:c r="C1080" s="6" t="str">
        <x:f>IF(B1080="","Needs decision","Ready")</x:f>
        <x:v>Ready</x:v>
      </x:c>
      <x:c r="D1080" s="6" t="str">
        <x:v>平</x:v>
      </x:c>
      <x:c r="E1080" s="6" t="str">
        <x:v>dza [d̙z̙ɑ] (平); tsrhje [tʂʰɨ̯ie] (平)</x:v>
      </x:c>
      <x:c r="F1080" s="6" t="str">
        <x:v>上平聲四支; 下平聲五歌</x:v>
      </x:c>
      <x:c r="G1080" s="6" t="str">
        <x:v>Pingshui main list, Wikisource-derived DOCX</x:v>
      </x:c>
      <x:c r="H1080" s="6" t="str">
        <x:v>2</x:v>
      </x:c>
      <x:c r="I1080" s="6" t="str">
        <x:v>Tang 300 gap; frequency 1; provisional from Xun Gong</x:v>
      </x:c>
      <x:c r="J1080" s="6" t="str">
        <x:f>IF(B1080="","",IF(AND(ISNUMBER(SEARCH("平",B1080)),OR(ISNUMBER(SEARCH("上",B1080)),ISNUMBER(SEARCH("去",B1080)),ISNUMBER(SEARCH("入",B1080)))),"Ambiguous",IF(ISNUMBER(SEARCH("平",B1080)),"平","仄")))</x:f>
        <x:v>平</x:v>
      </x:c>
      <x:c r="K1080" s="6" t="str">
        <x:f>IF(D1080="","",IF(AND(ISNUMBER(SEARCH("平",D1080)),OR(ISNUMBER(SEARCH("上",D1080)),ISNUMBER(SEARCH("去",D1080)),ISNUMBER(SEARCH("入",D1080)))),"Ambiguous",IF(ISNUMBER(SEARCH("平",D1080)),"平","仄")))</x:f>
        <x:v>平</x:v>
      </x:c>
      <x:c r="L1080" s="7" t="str">
        <x:v>Xun Gong, Tang 300 gap fill</x:v>
      </x:c>
    </x:row>
    <x:row r="1081">
      <x:c r="A1081" s="5" t="str">
        <x:v>嶂</x:v>
      </x:c>
      <x:c r="B1081" s="6" t="str">
        <x:v>去</x:v>
      </x:c>
      <x:c r="C1081" s="6" t="str">
        <x:f>IF(B1081="","Needs decision","Ready")</x:f>
        <x:v>Ready</x:v>
      </x:c>
      <x:c r="D1081" s="6" t="str">
        <x:v>去</x:v>
      </x:c>
      <x:c r="E1081" s="6" t="str"/>
      <x:c r="F1081" s="6" t="str">
        <x:v>去聲二十三漾</x:v>
      </x:c>
      <x:c r="G1081" s="6" t="str">
        <x:v>Pingshui main list, Wikisource-derived DOCX</x:v>
      </x:c>
      <x:c r="H1081" s="6" t="str">
        <x:v>0</x:v>
      </x:c>
      <x:c r="I1081" s="6" t="str">
        <x:v>User correction 2026-09-08; added manually</x:v>
      </x:c>
      <x:c r="J1081" s="6" t="str">
        <x:f>IF(B1081="","",IF(AND(ISNUMBER(SEARCH("平",B1081)),OR(ISNUMBER(SEARCH("上",B1081)),ISNUMBER(SEARCH("去",B1081)),ISNUMBER(SEARCH("入",B1081)))),"Ambiguous",IF(ISNUMBER(SEARCH("平",B1081)),"平","仄")))</x:f>
        <x:v>仄</x:v>
      </x:c>
      <x:c r="K1081" s="6" t="str">
        <x:f>IF(D1081="","",IF(AND(ISNUMBER(SEARCH("平",D1081)),OR(ISNUMBER(SEARCH("上",D1081)),ISNUMBER(SEARCH("去",D1081)),ISNUMBER(SEARCH("入",D1081)))),"Ambiguous",IF(ISNUMBER(SEARCH("平",D1081)),"平","仄")))</x:f>
        <x:v>仄</x:v>
      </x:c>
      <x:c r="L1081" s="7" t="str">
        <x:v>User correction</x:v>
      </x:c>
    </x:row>
    <x:row r="1082">
      <x:c r="A1082" s="5" t="str">
        <x:v>嶇</x:v>
      </x:c>
      <x:c r="B1082" s="6" t="str">
        <x:v>平</x:v>
      </x:c>
      <x:c r="C1082" s="6" t="str">
        <x:f>IF(B1082="","Needs decision","Ready")</x:f>
        <x:v>Ready</x:v>
      </x:c>
      <x:c r="D1082" s="6" t="str">
        <x:v>平</x:v>
      </x:c>
      <x:c r="E1082" s="6" t="str"/>
      <x:c r="F1082" s="6" t="str">
        <x:v>上平聲七虞</x:v>
      </x:c>
      <x:c r="G1082" s="6" t="str">
        <x:v>Pingshui main list, Wikisource-derived DOCX</x:v>
      </x:c>
      <x:c r="H1082" s="6" t="str"/>
      <x:c r="I1082" s="6" t="str">
        <x:v>Manual user correction/addition</x:v>
      </x:c>
      <x:c r="J1082" s="6" t="str">
        <x:f>IF(B1082="","",IF(AND(ISNUMBER(SEARCH("平",B1082)),OR(ISNUMBER(SEARCH("上",B1082)),ISNUMBER(SEARCH("去",B1082)),ISNUMBER(SEARCH("入",B1082)))),"Ambiguous",IF(ISNUMBER(SEARCH("平",B1082)),"平","仄")))</x:f>
        <x:v>平</x:v>
      </x:c>
      <x:c r="K1082" s="6" t="str">
        <x:f>IF(D1082="","",IF(AND(ISNUMBER(SEARCH("平",D1082)),OR(ISNUMBER(SEARCH("上",D1082)),ISNUMBER(SEARCH("去",D1082)),ISNUMBER(SEARCH("入",D1082)))),"Ambiguous",IF(ISNUMBER(SEARCH("平",D1082)),"平","仄")))</x:f>
        <x:v>平</x:v>
      </x:c>
      <x:c r="L1082" s="7" t="str">
        <x:v>manual user correction</x:v>
      </x:c>
    </x:row>
    <x:row r="1083">
      <x:c r="A1083" s="5" t="str">
        <x:v>嶒</x:v>
      </x:c>
      <x:c r="B1083" s="6" t="str">
        <x:v>平</x:v>
      </x:c>
      <x:c r="C1083" s="6" t="str">
        <x:f>IF(B1083="","Needs decision","Ready")</x:f>
        <x:v>Ready</x:v>
      </x:c>
      <x:c r="D1083" s="6" t="str">
        <x:v>平</x:v>
      </x:c>
      <x:c r="E1083" s="6" t="str"/>
      <x:c r="F1083" s="6" t="str"/>
      <x:c r="G1083" s="6" t="str"/>
      <x:c r="H1083" s="6" t="str">
        <x:v>0</x:v>
      </x:c>
      <x:c r="I1083" s="6" t="str">
        <x:v>User correction 2026-09-08; added manually</x:v>
      </x:c>
      <x:c r="J1083" s="6" t="str">
        <x:f>IF(B1083="","",IF(AND(ISNUMBER(SEARCH("平",B1083)),OR(ISNUMBER(SEARCH("上",B1083)),ISNUMBER(SEARCH("去",B1083)),ISNUMBER(SEARCH("入",B1083)))),"Ambiguous",IF(ISNUMBER(SEARCH("平",B1083)),"平","仄")))</x:f>
        <x:v>平</x:v>
      </x:c>
      <x:c r="K1083" s="6" t="str">
        <x:f>IF(D1083="","",IF(AND(ISNUMBER(SEARCH("平",D1083)),OR(ISNUMBER(SEARCH("上",D1083)),ISNUMBER(SEARCH("去",D1083)),ISNUMBER(SEARCH("入",D1083)))),"Ambiguous",IF(ISNUMBER(SEARCH("平",D1083)),"平","仄")))</x:f>
        <x:v>平</x:v>
      </x:c>
      <x:c r="L1083" s="7" t="str">
        <x:v>User correction</x:v>
      </x:c>
    </x:row>
    <x:row r="1084">
      <x:c r="A1084" s="5" t="str">
        <x:v>嶝</x:v>
      </x:c>
      <x:c r="B1084" s="6" t="str">
        <x:v>去</x:v>
      </x:c>
      <x:c r="C1084" s="6" t="str">
        <x:f>IF(B1084="","Needs decision","Ready")</x:f>
        <x:v>Ready</x:v>
      </x:c>
      <x:c r="D1084" s="6" t="str">
        <x:v>去</x:v>
      </x:c>
      <x:c r="E1084" s="6" t="str"/>
      <x:c r="F1084" s="6" t="str">
        <x:v>去聲二十五徑</x:v>
      </x:c>
      <x:c r="G1084" s="6" t="str">
        <x:v>Pingshui main list, Wikisource-derived DOCX</x:v>
      </x:c>
      <x:c r="H1084" s="6" t="str">
        <x:v>0</x:v>
      </x:c>
      <x:c r="I1084" s="6" t="str">
        <x:v>User correction 2026-09-08; added manually</x:v>
      </x:c>
      <x:c r="J1084" s="6" t="str">
        <x:f>IF(B1084="","",IF(AND(ISNUMBER(SEARCH("平",B1084)),OR(ISNUMBER(SEARCH("上",B1084)),ISNUMBER(SEARCH("去",B1084)),ISNUMBER(SEARCH("入",B1084)))),"Ambiguous",IF(ISNUMBER(SEARCH("平",B1084)),"平","仄")))</x:f>
        <x:v>仄</x:v>
      </x:c>
      <x:c r="K1084" s="6" t="str">
        <x:f>IF(D1084="","",IF(AND(ISNUMBER(SEARCH("平",D1084)),OR(ISNUMBER(SEARCH("上",D1084)),ISNUMBER(SEARCH("去",D1084)),ISNUMBER(SEARCH("入",D1084)))),"Ambiguous",IF(ISNUMBER(SEARCH("平",D1084)),"平","仄")))</x:f>
        <x:v>仄</x:v>
      </x:c>
      <x:c r="L1084" s="7" t="str">
        <x:v>User correction</x:v>
      </x:c>
    </x:row>
    <x:row r="1085">
      <x:c r="A1085" s="5" t="str">
        <x:v>嶠</x:v>
      </x:c>
      <x:c r="B1085" s="6" t="str">
        <x:v>平</x:v>
      </x:c>
      <x:c r="C1085" s="6" t="str">
        <x:f>IF(B1085="","Needs decision","Ready")</x:f>
        <x:v>Ready</x:v>
      </x:c>
      <x:c r="D1085" s="6" t="str">
        <x:v>平</x:v>
      </x:c>
      <x:c r="E1085" s="6" t="str"/>
      <x:c r="F1085" s="6" t="str">
        <x:v>下平聲二蕭; 去聲十八嘯</x:v>
      </x:c>
      <x:c r="G1085" s="6" t="str">
        <x:v>Pingshui main list, Wikisource-derived DOCX</x:v>
      </x:c>
      <x:c r="H1085" s="6" t="str">
        <x:v>0</x:v>
      </x:c>
      <x:c r="I1085" s="6" t="str">
        <x:v>User correction 2026-09-08; added manually</x:v>
      </x:c>
      <x:c r="J1085" s="6" t="str">
        <x:f>IF(B1085="","",IF(AND(ISNUMBER(SEARCH("平",B1085)),OR(ISNUMBER(SEARCH("上",B1085)),ISNUMBER(SEARCH("去",B1085)),ISNUMBER(SEARCH("入",B1085)))),"Ambiguous",IF(ISNUMBER(SEARCH("平",B1085)),"平","仄")))</x:f>
        <x:v>平</x:v>
      </x:c>
      <x:c r="K1085" s="6" t="str">
        <x:f>IF(D1085="","",IF(AND(ISNUMBER(SEARCH("平",D1085)),OR(ISNUMBER(SEARCH("上",D1085)),ISNUMBER(SEARCH("去",D1085)),ISNUMBER(SEARCH("入",D1085)))),"Ambiguous",IF(ISNUMBER(SEARCH("平",D1085)),"平","仄")))</x:f>
        <x:v>平</x:v>
      </x:c>
      <x:c r="L1085" s="7" t="str">
        <x:v>User correction</x:v>
      </x:c>
    </x:row>
    <x:row r="1086">
      <x:c r="A1086" s="5" t="str">
        <x:v>嶢</x:v>
      </x:c>
      <x:c r="B1086" s="6" t="str">
        <x:v>平</x:v>
      </x:c>
      <x:c r="C1086" s="6" t="str">
        <x:f>IF(B1086="","Needs decision","Ready")</x:f>
        <x:v>Ready</x:v>
      </x:c>
      <x:c r="D1086" s="6" t="str">
        <x:v>平</x:v>
      </x:c>
      <x:c r="E1086" s="6" t="str">
        <x:v>ngew [ɴew] (平)</x:v>
      </x:c>
      <x:c r="F1086" s="6" t="str">
        <x:v>下平聲二蕭</x:v>
      </x:c>
      <x:c r="G1086" s="6" t="str">
        <x:v>Pingshui main list, Wikisource-derived DOCX</x:v>
      </x:c>
      <x:c r="H1086" s="6" t="str">
        <x:v>1</x:v>
      </x:c>
      <x:c r="I1086" s="6" t="str">
        <x:v>Tang 300 gap; frequency 1; provisional from Xun Gong</x:v>
      </x:c>
      <x:c r="J1086" s="6" t="str">
        <x:f>IF(B1086="","",IF(AND(ISNUMBER(SEARCH("平",B1086)),OR(ISNUMBER(SEARCH("上",B1086)),ISNUMBER(SEARCH("去",B1086)),ISNUMBER(SEARCH("入",B1086)))),"Ambiguous",IF(ISNUMBER(SEARCH("平",B1086)),"平","仄")))</x:f>
        <x:v>平</x:v>
      </x:c>
      <x:c r="K1086" s="6" t="str">
        <x:f>IF(D1086="","",IF(AND(ISNUMBER(SEARCH("平",D1086)),OR(ISNUMBER(SEARCH("上",D1086)),ISNUMBER(SEARCH("去",D1086)),ISNUMBER(SEARCH("入",D1086)))),"Ambiguous",IF(ISNUMBER(SEARCH("平",D1086)),"平","仄")))</x:f>
        <x:v>平</x:v>
      </x:c>
      <x:c r="L1086" s="7" t="str">
        <x:v>Xun Gong, Tang 300 gap fill</x:v>
      </x:c>
    </x:row>
    <x:row r="1087">
      <x:c r="A1087" s="5" t="str">
        <x:v>嶮</x:v>
      </x:c>
      <x:c r="B1087" s="6" t="str">
        <x:v>上</x:v>
      </x:c>
      <x:c r="C1087" s="6" t="str">
        <x:f>IF(B1087="","Needs decision","Ready")</x:f>
        <x:v>Ready</x:v>
      </x:c>
      <x:c r="D1087" s="6" t="str">
        <x:v>上</x:v>
      </x:c>
      <x:c r="E1087" s="6" t="str"/>
      <x:c r="F1087" s="6" t="str"/>
      <x:c r="G1087" s="6" t="str"/>
      <x:c r="H1087" s="6" t="str"/>
      <x:c r="I1087" s="6" t="str">
        <x:v>Manual user correction/addition</x:v>
      </x:c>
      <x:c r="J1087" s="6" t="str">
        <x:f>IF(B1087="","",IF(AND(ISNUMBER(SEARCH("平",B1087)),OR(ISNUMBER(SEARCH("上",B1087)),ISNUMBER(SEARCH("去",B1087)),ISNUMBER(SEARCH("入",B1087)))),"Ambiguous",IF(ISNUMBER(SEARCH("平",B1087)),"平","仄")))</x:f>
        <x:v>仄</x:v>
      </x:c>
      <x:c r="K1087" s="6" t="str">
        <x:f>IF(D1087="","",IF(AND(ISNUMBER(SEARCH("平",D1087)),OR(ISNUMBER(SEARCH("上",D1087)),ISNUMBER(SEARCH("去",D1087)),ISNUMBER(SEARCH("入",D1087)))),"Ambiguous",IF(ISNUMBER(SEARCH("平",D1087)),"平","仄")))</x:f>
        <x:v>仄</x:v>
      </x:c>
      <x:c r="L1087" s="7" t="str">
        <x:v>manual user correction</x:v>
      </x:c>
    </x:row>
    <x:row r="1088">
      <x:c r="A1088" s="5" t="str">
        <x:v>嶸</x:v>
      </x:c>
      <x:c r="B1088" s="6" t="str">
        <x:v>平</x:v>
      </x:c>
      <x:c r="C1088" s="6" t="str">
        <x:f>IF(B1088="","Needs decision","Ready")</x:f>
        <x:v>Ready</x:v>
      </x:c>
      <x:c r="D1088" s="6" t="str">
        <x:v>平</x:v>
      </x:c>
      <x:c r="E1088" s="6" t="str">
        <x:v>hjwaeng (A); hweang (A)</x:v>
      </x:c>
      <x:c r="F1088" s="6" t="str">
        <x:v>下平聲八庚</x:v>
      </x:c>
      <x:c r="G1088" s="6" t="str">
        <x:v>Pingshui main list, Wikisource-derived DOCX</x:v>
      </x:c>
      <x:c r="H1088" s="6" t="str">
        <x:v>2</x:v>
      </x:c>
      <x:c r="I1088" s="6" t="str"/>
      <x:c r="J1088" s="6" t="str">
        <x:f>IF(B1088="","",IF(AND(ISNUMBER(SEARCH("平",B1088)),OR(ISNUMBER(SEARCH("上",B1088)),ISNUMBER(SEARCH("去",B1088)),ISNUMBER(SEARCH("入",B1088)))),"Ambiguous",IF(ISNUMBER(SEARCH("平",B1088)),"平","仄")))</x:f>
        <x:v>平</x:v>
      </x:c>
      <x:c r="K1088" s="6" t="str">
        <x:f>IF(D1088="","",IF(AND(ISNUMBER(SEARCH("平",D1088)),OR(ISNUMBER(SEARCH("上",D1088)),ISNUMBER(SEARCH("去",D1088)),ISNUMBER(SEARCH("入",D1088)))),"Ambiguous",IF(ISNUMBER(SEARCH("平",D1088)),"平","仄")))</x:f>
        <x:v>平</x:v>
      </x:c>
      <x:c r="L1088" s="7" t="str"/>
    </x:row>
    <x:row r="1089">
      <x:c r="A1089" s="5" t="str">
        <x:v>嶺</x:v>
      </x:c>
      <x:c r="B1089" s="6" t="str">
        <x:v>上</x:v>
      </x:c>
      <x:c r="C1089" s="6" t="str">
        <x:f>IF(B1089="","Needs decision","Ready")</x:f>
        <x:v>Ready</x:v>
      </x:c>
      <x:c r="D1089" s="6" t="str">
        <x:v>上</x:v>
      </x:c>
      <x:c r="E1089" s="6" t="str"/>
      <x:c r="F1089" s="6" t="str">
        <x:v>上聲二十三梗</x:v>
      </x:c>
      <x:c r="G1089" s="6" t="str">
        <x:v>Pingshui main list, Wikisource-derived DOCX</x:v>
      </x:c>
      <x:c r="H1089" s="6" t="str"/>
      <x:c r="I1089" s="6" t="str">
        <x:v>Manual user correction/addition</x:v>
      </x:c>
      <x:c r="J1089" s="6" t="str">
        <x:f>IF(B1089="","",IF(AND(ISNUMBER(SEARCH("平",B1089)),OR(ISNUMBER(SEARCH("上",B1089)),ISNUMBER(SEARCH("去",B1089)),ISNUMBER(SEARCH("入",B1089)))),"Ambiguous",IF(ISNUMBER(SEARCH("平",B1089)),"平","仄")))</x:f>
        <x:v>仄</x:v>
      </x:c>
      <x:c r="K1089" s="6" t="str">
        <x:f>IF(D1089="","",IF(AND(ISNUMBER(SEARCH("平",D1089)),OR(ISNUMBER(SEARCH("上",D1089)),ISNUMBER(SEARCH("去",D1089)),ISNUMBER(SEARCH("入",D1089)))),"Ambiguous",IF(ISNUMBER(SEARCH("平",D1089)),"平","仄")))</x:f>
        <x:v>仄</x:v>
      </x:c>
      <x:c r="L1089" s="7" t="str">
        <x:v>manual user correction</x:v>
      </x:c>
    </x:row>
    <x:row r="1090">
      <x:c r="A1090" s="5" t="str">
        <x:v>嶽</x:v>
      </x:c>
      <x:c r="B1090" s="6" t="str">
        <x:v>入</x:v>
      </x:c>
      <x:c r="C1090" s="6" t="str">
        <x:f>IF(B1090="","Needs decision","Ready")</x:f>
        <x:v>Ready</x:v>
      </x:c>
      <x:c r="D1090" s="6" t="str">
        <x:v>入</x:v>
      </x:c>
      <x:c r="E1090" s="6" t="str">
        <x:v>ngaewk (D)</x:v>
      </x:c>
      <x:c r="F1090" s="6" t="str">
        <x:v>入聲三覺</x:v>
      </x:c>
      <x:c r="G1090" s="6" t="str">
        <x:v>Pingshui main list, Wikisource-derived DOCX</x:v>
      </x:c>
      <x:c r="H1090" s="6" t="str">
        <x:v>1</x:v>
      </x:c>
      <x:c r="I1090" s="6" t="str"/>
      <x:c r="J1090" s="6" t="str">
        <x:f>IF(B1090="","",IF(AND(ISNUMBER(SEARCH("平",B1090)),OR(ISNUMBER(SEARCH("上",B1090)),ISNUMBER(SEARCH("去",B1090)),ISNUMBER(SEARCH("入",B1090)))),"Ambiguous",IF(ISNUMBER(SEARCH("平",B1090)),"平","仄")))</x:f>
        <x:v>仄</x:v>
      </x:c>
      <x:c r="K1090" s="6" t="str">
        <x:f>IF(D1090="","",IF(AND(ISNUMBER(SEARCH("平",D1090)),OR(ISNUMBER(SEARCH("上",D1090)),ISNUMBER(SEARCH("去",D1090)),ISNUMBER(SEARCH("入",D1090)))),"Ambiguous",IF(ISNUMBER(SEARCH("平",D1090)),"平","仄")))</x:f>
        <x:v>仄</x:v>
      </x:c>
      <x:c r="L1090" s="7" t="str"/>
    </x:row>
    <x:row r="1091">
      <x:c r="A1091" s="5" t="str">
        <x:v>巉</x:v>
      </x:c>
      <x:c r="B1091" s="6" t="str">
        <x:v>平</x:v>
      </x:c>
      <x:c r="C1091" s="6" t="str">
        <x:f>IF(B1091="","Needs decision","Ready")</x:f>
        <x:v>Ready</x:v>
      </x:c>
      <x:c r="D1091" s="6" t="str">
        <x:v>平</x:v>
      </x:c>
      <x:c r="E1091" s="6" t="str"/>
      <x:c r="F1091" s="6" t="str">
        <x:v>下平聲十五咸; 上聲二十九豏</x:v>
      </x:c>
      <x:c r="G1091" s="6" t="str">
        <x:v>Pingshui main list, Wikisource-derived DOCX</x:v>
      </x:c>
      <x:c r="H1091" s="6" t="str"/>
      <x:c r="I1091" s="6" t="str">
        <x:v>Manual user correction/addition</x:v>
      </x:c>
      <x:c r="J1091" s="6" t="str">
        <x:f>IF(B1091="","",IF(AND(ISNUMBER(SEARCH("平",B1091)),OR(ISNUMBER(SEARCH("上",B1091)),ISNUMBER(SEARCH("去",B1091)),ISNUMBER(SEARCH("入",B1091)))),"Ambiguous",IF(ISNUMBER(SEARCH("平",B1091)),"平","仄")))</x:f>
        <x:v>平</x:v>
      </x:c>
      <x:c r="K1091" s="6" t="str">
        <x:f>IF(D1091="","",IF(AND(ISNUMBER(SEARCH("平",D1091)),OR(ISNUMBER(SEARCH("上",D1091)),ISNUMBER(SEARCH("去",D1091)),ISNUMBER(SEARCH("入",D1091)))),"Ambiguous",IF(ISNUMBER(SEARCH("平",D1091)),"平","仄")))</x:f>
        <x:v>平</x:v>
      </x:c>
      <x:c r="L1091" s="7" t="str">
        <x:v>manual user correction</x:v>
      </x:c>
    </x:row>
    <x:row r="1092">
      <x:c r="A1092" s="5" t="str">
        <x:v>巍</x:v>
      </x:c>
      <x:c r="B1092" s="6" t="str">
        <x:v>平</x:v>
      </x:c>
      <x:c r="C1092" s="6" t="str">
        <x:f>IF(B1092="","Needs decision","Ready")</x:f>
        <x:v>Ready</x:v>
      </x:c>
      <x:c r="D1092" s="6" t="str">
        <x:v>平</x:v>
      </x:c>
      <x:c r="E1092" s="6" t="str">
        <x:v>ngjw+j (A)</x:v>
      </x:c>
      <x:c r="F1092" s="6" t="str">
        <x:v>上平聲五微</x:v>
      </x:c>
      <x:c r="G1092" s="6" t="str">
        <x:v>Pingshui main list, Wikisource-derived DOCX</x:v>
      </x:c>
      <x:c r="H1092" s="6" t="str">
        <x:v>1</x:v>
      </x:c>
      <x:c r="I1092" s="6" t="str"/>
      <x:c r="J1092" s="6" t="str">
        <x:f>IF(B1092="","",IF(AND(ISNUMBER(SEARCH("平",B1092)),OR(ISNUMBER(SEARCH("上",B1092)),ISNUMBER(SEARCH("去",B1092)),ISNUMBER(SEARCH("入",B1092)))),"Ambiguous",IF(ISNUMBER(SEARCH("平",B1092)),"平","仄")))</x:f>
        <x:v>平</x:v>
      </x:c>
      <x:c r="K1092" s="6" t="str">
        <x:f>IF(D1092="","",IF(AND(ISNUMBER(SEARCH("平",D1092)),OR(ISNUMBER(SEARCH("上",D1092)),ISNUMBER(SEARCH("去",D1092)),ISNUMBER(SEARCH("入",D1092)))),"Ambiguous",IF(ISNUMBER(SEARCH("平",D1092)),"平","仄")))</x:f>
        <x:v>平</x:v>
      </x:c>
      <x:c r="L1092" s="7" t="str"/>
    </x:row>
    <x:row r="1093">
      <x:c r="A1093" s="5" t="str">
        <x:v>巒</x:v>
      </x:c>
      <x:c r="B1093" s="6" t="str">
        <x:v>平</x:v>
      </x:c>
      <x:c r="C1093" s="6" t="str">
        <x:f>IF(B1093="","Needs decision","Ready")</x:f>
        <x:v>Ready</x:v>
      </x:c>
      <x:c r="D1093" s="6" t="str">
        <x:v>平</x:v>
      </x:c>
      <x:c r="E1093" s="6" t="str">
        <x:v>lwan [l̙wɑn] (平)</x:v>
      </x:c>
      <x:c r="F1093" s="6" t="str">
        <x:v>上平聲十四寒</x:v>
      </x:c>
      <x:c r="G1093" s="6" t="str">
        <x:v>Pingshui main list, Wikisource-derived DOCX</x:v>
      </x:c>
      <x:c r="H1093" s="6" t="str">
        <x:v>1</x:v>
      </x:c>
      <x:c r="I1093" s="6" t="str">
        <x:v>Tang 300 gap; frequency 2; provisional from Xun Gong</x:v>
      </x:c>
      <x:c r="J1093" s="6" t="str">
        <x:f>IF(B1093="","",IF(AND(ISNUMBER(SEARCH("平",B1093)),OR(ISNUMBER(SEARCH("上",B1093)),ISNUMBER(SEARCH("去",B1093)),ISNUMBER(SEARCH("入",B1093)))),"Ambiguous",IF(ISNUMBER(SEARCH("平",B1093)),"平","仄")))</x:f>
        <x:v>平</x:v>
      </x:c>
      <x:c r="K1093" s="6" t="str">
        <x:f>IF(D1093="","",IF(AND(ISNUMBER(SEARCH("平",D1093)),OR(ISNUMBER(SEARCH("上",D1093)),ISNUMBER(SEARCH("去",D1093)),ISNUMBER(SEARCH("入",D1093)))),"Ambiguous",IF(ISNUMBER(SEARCH("平",D1093)),"平","仄")))</x:f>
        <x:v>平</x:v>
      </x:c>
      <x:c r="L1093" s="7" t="str">
        <x:v>Xun Gong, Tang 300 gap fill</x:v>
      </x:c>
    </x:row>
    <x:row r="1094">
      <x:c r="A1094" s="5" t="str">
        <x:v>巔</x:v>
      </x:c>
      <x:c r="B1094" s="6" t="str">
        <x:v>平</x:v>
      </x:c>
      <x:c r="C1094" s="6" t="str">
        <x:f>IF(B1094="","Needs decision","Ready")</x:f>
        <x:v>Ready</x:v>
      </x:c>
      <x:c r="D1094" s="6" t="str">
        <x:v>平</x:v>
      </x:c>
      <x:c r="E1094" s="6" t="str"/>
      <x:c r="F1094" s="6" t="str">
        <x:v>下平聲一先</x:v>
      </x:c>
      <x:c r="G1094" s="6" t="str">
        <x:v>Pingshui main list, Wikisource-derived DOCX</x:v>
      </x:c>
      <x:c r="H1094" s="6" t="str"/>
      <x:c r="I1094" s="6" t="str">
        <x:v>Manual user correction/addition</x:v>
      </x:c>
      <x:c r="J1094" s="6" t="str">
        <x:f>IF(B1094="","",IF(AND(ISNUMBER(SEARCH("平",B1094)),OR(ISNUMBER(SEARCH("上",B1094)),ISNUMBER(SEARCH("去",B1094)),ISNUMBER(SEARCH("入",B1094)))),"Ambiguous",IF(ISNUMBER(SEARCH("平",B1094)),"平","仄")))</x:f>
        <x:v>平</x:v>
      </x:c>
      <x:c r="K1094" s="6" t="str">
        <x:f>IF(D1094="","",IF(AND(ISNUMBER(SEARCH("平",D1094)),OR(ISNUMBER(SEARCH("上",D1094)),ISNUMBER(SEARCH("去",D1094)),ISNUMBER(SEARCH("入",D1094)))),"Ambiguous",IF(ISNUMBER(SEARCH("平",D1094)),"平","仄")))</x:f>
        <x:v>平</x:v>
      </x:c>
      <x:c r="L1094" s="7" t="str">
        <x:v>manual user correction</x:v>
      </x:c>
    </x:row>
    <x:row r="1095">
      <x:c r="A1095" s="5" t="str">
        <x:v>巖</x:v>
      </x:c>
      <x:c r="B1095" s="6" t="str">
        <x:v>平</x:v>
      </x:c>
      <x:c r="C1095" s="6" t="str">
        <x:f>IF(B1095="","Needs decision","Ready")</x:f>
        <x:v>Ready</x:v>
      </x:c>
      <x:c r="D1095" s="6" t="str">
        <x:v>平</x:v>
      </x:c>
      <x:c r="E1095" s="6" t="str">
        <x:v>ngaem (A)</x:v>
      </x:c>
      <x:c r="F1095" s="6" t="str">
        <x:v>下平聲十五咸</x:v>
      </x:c>
      <x:c r="G1095" s="6" t="str">
        <x:v>Pingshui main list, Wikisource-derived DOCX</x:v>
      </x:c>
      <x:c r="H1095" s="6" t="str">
        <x:v>1</x:v>
      </x:c>
      <x:c r="I1095" s="6" t="str"/>
      <x:c r="J1095" s="6" t="str">
        <x:f>IF(B1095="","",IF(AND(ISNUMBER(SEARCH("平",B1095)),OR(ISNUMBER(SEARCH("上",B1095)),ISNUMBER(SEARCH("去",B1095)),ISNUMBER(SEARCH("入",B1095)))),"Ambiguous",IF(ISNUMBER(SEARCH("平",B1095)),"平","仄")))</x:f>
        <x:v>平</x:v>
      </x:c>
      <x:c r="K1095" s="6" t="str">
        <x:f>IF(D1095="","",IF(AND(ISNUMBER(SEARCH("平",D1095)),OR(ISNUMBER(SEARCH("上",D1095)),ISNUMBER(SEARCH("去",D1095)),ISNUMBER(SEARCH("入",D1095)))),"Ambiguous",IF(ISNUMBER(SEARCH("平",D1095)),"平","仄")))</x:f>
        <x:v>平</x:v>
      </x:c>
      <x:c r="L1095" s="7" t="str"/>
    </x:row>
    <x:row r="1096">
      <x:c r="A1096" s="5" t="str">
        <x:v>巘</x:v>
      </x:c>
      <x:c r="B1096" s="6" t="str">
        <x:v>上</x:v>
      </x:c>
      <x:c r="C1096" s="6" t="str">
        <x:f>IF(B1096="","Needs decision","Ready")</x:f>
        <x:v>Ready</x:v>
      </x:c>
      <x:c r="D1096" s="6" t="str">
        <x:v>上</x:v>
      </x:c>
      <x:c r="E1096" s="6" t="str">
        <x:v>ngjenX (B); ngjonX (B)</x:v>
      </x:c>
      <x:c r="F1096" s="6" t="str">
        <x:v>上聲十三阮; 上聲十六銑</x:v>
      </x:c>
      <x:c r="G1096" s="6" t="str">
        <x:v>Pingshui main list, Wikisource-derived DOCX</x:v>
      </x:c>
      <x:c r="H1096" s="6" t="str">
        <x:v>2</x:v>
      </x:c>
      <x:c r="I1096" s="6" t="str"/>
      <x:c r="J1096" s="6" t="str">
        <x:f>IF(B1096="","",IF(AND(ISNUMBER(SEARCH("平",B1096)),OR(ISNUMBER(SEARCH("上",B1096)),ISNUMBER(SEARCH("去",B1096)),ISNUMBER(SEARCH("入",B1096)))),"Ambiguous",IF(ISNUMBER(SEARCH("平",B1096)),"平","仄")))</x:f>
        <x:v>仄</x:v>
      </x:c>
      <x:c r="K1096" s="6" t="str">
        <x:f>IF(D1096="","",IF(AND(ISNUMBER(SEARCH("平",D1096)),OR(ISNUMBER(SEARCH("上",D1096)),ISNUMBER(SEARCH("去",D1096)),ISNUMBER(SEARCH("入",D1096)))),"Ambiguous",IF(ISNUMBER(SEARCH("平",D1096)),"平","仄")))</x:f>
        <x:v>仄</x:v>
      </x:c>
      <x:c r="L1096" s="7" t="str"/>
    </x:row>
    <x:row r="1097">
      <x:c r="A1097" s="5" t="str">
        <x:v>巛</x:v>
      </x:c>
      <x:c r="B1097" s="6" t="str">
        <x:v>平</x:v>
      </x:c>
      <x:c r="C1097" s="6" t="str">
        <x:f>IF(B1097="","Needs decision","Ready")</x:f>
        <x:v>Ready</x:v>
      </x:c>
      <x:c r="D1097" s="6" t="str">
        <x:v>平</x:v>
      </x:c>
      <x:c r="E1097" s="6" t="str">
        <x:v>tsyhwen (A)</x:v>
      </x:c>
      <x:c r="F1097" s="6" t="str"/>
      <x:c r="G1097" s="6" t="str"/>
      <x:c r="H1097" s="6" t="str">
        <x:v>1</x:v>
      </x:c>
      <x:c r="I1097" s="6" t="str"/>
      <x:c r="J1097" s="6" t="str">
        <x:f>IF(B1097="","",IF(AND(ISNUMBER(SEARCH("平",B1097)),OR(ISNUMBER(SEARCH("上",B1097)),ISNUMBER(SEARCH("去",B1097)),ISNUMBER(SEARCH("入",B1097)))),"Ambiguous",IF(ISNUMBER(SEARCH("平",B1097)),"平","仄")))</x:f>
        <x:v>平</x:v>
      </x:c>
      <x:c r="K1097" s="6" t="str">
        <x:f>IF(D1097="","",IF(AND(ISNUMBER(SEARCH("平",D1097)),OR(ISNUMBER(SEARCH("上",D1097)),ISNUMBER(SEARCH("去",D1097)),ISNUMBER(SEARCH("入",D1097)))),"Ambiguous",IF(ISNUMBER(SEARCH("平",D1097)),"平","仄")))</x:f>
        <x:v>平</x:v>
      </x:c>
      <x:c r="L1097" s="7" t="str"/>
    </x:row>
    <x:row r="1098">
      <x:c r="A1098" s="5" t="str">
        <x:v>巜</x:v>
      </x:c>
      <x:c r="B1098" s="6" t="str">
        <x:v>去</x:v>
      </x:c>
      <x:c r="C1098" s="6" t="str">
        <x:f>IF(B1098="","Needs decision","Ready")</x:f>
        <x:v>Ready</x:v>
      </x:c>
      <x:c r="D1098" s="6" t="str">
        <x:v>去</x:v>
      </x:c>
      <x:c r="E1098" s="6" t="str">
        <x:v>kwajH (C)</x:v>
      </x:c>
      <x:c r="F1098" s="6" t="str"/>
      <x:c r="G1098" s="6" t="str"/>
      <x:c r="H1098" s="6" t="str">
        <x:v>1</x:v>
      </x:c>
      <x:c r="I1098" s="6" t="str"/>
      <x:c r="J1098" s="6" t="str">
        <x:f>IF(B1098="","",IF(AND(ISNUMBER(SEARCH("平",B1098)),OR(ISNUMBER(SEARCH("上",B1098)),ISNUMBER(SEARCH("去",B1098)),ISNUMBER(SEARCH("入",B1098)))),"Ambiguous",IF(ISNUMBER(SEARCH("平",B1098)),"平","仄")))</x:f>
        <x:v>仄</x:v>
      </x:c>
      <x:c r="K1098" s="6" t="str">
        <x:f>IF(D1098="","",IF(AND(ISNUMBER(SEARCH("平",D1098)),OR(ISNUMBER(SEARCH("上",D1098)),ISNUMBER(SEARCH("去",D1098)),ISNUMBER(SEARCH("入",D1098)))),"Ambiguous",IF(ISNUMBER(SEARCH("平",D1098)),"平","仄")))</x:f>
        <x:v>仄</x:v>
      </x:c>
      <x:c r="L1098" s="7" t="str"/>
    </x:row>
    <x:row r="1099">
      <x:c r="A1099" s="5" t="str">
        <x:v>川</x:v>
      </x:c>
      <x:c r="B1099" s="6" t="str">
        <x:v>平</x:v>
      </x:c>
      <x:c r="C1099" s="6" t="str">
        <x:f>IF(B1099="","Needs decision","Ready")</x:f>
        <x:v>Ready</x:v>
      </x:c>
      <x:c r="D1099" s="6" t="str">
        <x:v>平</x:v>
      </x:c>
      <x:c r="E1099" s="6" t="str">
        <x:v>tsyhwen (A)</x:v>
      </x:c>
      <x:c r="F1099" s="6" t="str">
        <x:v>下平聲一先</x:v>
      </x:c>
      <x:c r="G1099" s="6" t="str">
        <x:v>Pingshui main list, Wikisource-derived DOCX</x:v>
      </x:c>
      <x:c r="H1099" s="6" t="str">
        <x:v>1</x:v>
      </x:c>
      <x:c r="I1099" s="6" t="str"/>
      <x:c r="J1099" s="6" t="str">
        <x:f>IF(B1099="","",IF(AND(ISNUMBER(SEARCH("平",B1099)),OR(ISNUMBER(SEARCH("上",B1099)),ISNUMBER(SEARCH("去",B1099)),ISNUMBER(SEARCH("入",B1099)))),"Ambiguous",IF(ISNUMBER(SEARCH("平",B1099)),"平","仄")))</x:f>
        <x:v>平</x:v>
      </x:c>
      <x:c r="K1099" s="6" t="str">
        <x:f>IF(D1099="","",IF(AND(ISNUMBER(SEARCH("平",D1099)),OR(ISNUMBER(SEARCH("上",D1099)),ISNUMBER(SEARCH("去",D1099)),ISNUMBER(SEARCH("入",D1099)))),"Ambiguous",IF(ISNUMBER(SEARCH("平",D1099)),"平","仄")))</x:f>
        <x:v>平</x:v>
      </x:c>
      <x:c r="L1099" s="7" t="str"/>
    </x:row>
    <x:row r="1100">
      <x:c r="A1100" s="5" t="str">
        <x:v>州</x:v>
      </x:c>
      <x:c r="B1100" s="6" t="str">
        <x:v>平</x:v>
      </x:c>
      <x:c r="C1100" s="6" t="str">
        <x:f>IF(B1100="","Needs decision","Ready")</x:f>
        <x:v>Ready</x:v>
      </x:c>
      <x:c r="D1100" s="6" t="str">
        <x:v>平</x:v>
      </x:c>
      <x:c r="E1100" s="6" t="str">
        <x:v>tsyuw (A)</x:v>
      </x:c>
      <x:c r="F1100" s="6" t="str">
        <x:v>下平聲十一尤</x:v>
      </x:c>
      <x:c r="G1100" s="6" t="str">
        <x:v>Pingshui main list, Wikisource-derived DOCX</x:v>
      </x:c>
      <x:c r="H1100" s="6" t="str">
        <x:v>1</x:v>
      </x:c>
      <x:c r="I1100" s="6" t="str"/>
      <x:c r="J1100" s="6" t="str">
        <x:f>IF(B1100="","",IF(AND(ISNUMBER(SEARCH("平",B1100)),OR(ISNUMBER(SEARCH("上",B1100)),ISNUMBER(SEARCH("去",B1100)),ISNUMBER(SEARCH("入",B1100)))),"Ambiguous",IF(ISNUMBER(SEARCH("平",B1100)),"平","仄")))</x:f>
        <x:v>平</x:v>
      </x:c>
      <x:c r="K1100" s="6" t="str">
        <x:f>IF(D1100="","",IF(AND(ISNUMBER(SEARCH("平",D1100)),OR(ISNUMBER(SEARCH("上",D1100)),ISNUMBER(SEARCH("去",D1100)),ISNUMBER(SEARCH("入",D1100)))),"Ambiguous",IF(ISNUMBER(SEARCH("平",D1100)),"平","仄")))</x:f>
        <x:v>平</x:v>
      </x:c>
      <x:c r="L1100" s="7" t="str"/>
    </x:row>
    <x:row r="1101">
      <x:c r="A1101" s="5" t="str">
        <x:v>巟</x:v>
      </x:c>
      <x:c r="B1101" s="6" t="str">
        <x:v>平</x:v>
      </x:c>
      <x:c r="C1101" s="6" t="str">
        <x:f>IF(B1101="","Needs decision","Ready")</x:f>
        <x:v>Ready</x:v>
      </x:c>
      <x:c r="D1101" s="6" t="str">
        <x:v>平</x:v>
      </x:c>
      <x:c r="E1101" s="6" t="str">
        <x:v>xwang (A)</x:v>
      </x:c>
      <x:c r="F1101" s="6" t="str"/>
      <x:c r="G1101" s="6" t="str"/>
      <x:c r="H1101" s="6" t="str">
        <x:v>1</x:v>
      </x:c>
      <x:c r="I1101" s="6" t="str"/>
      <x:c r="J1101" s="6" t="str">
        <x:f>IF(B1101="","",IF(AND(ISNUMBER(SEARCH("平",B1101)),OR(ISNUMBER(SEARCH("上",B1101)),ISNUMBER(SEARCH("去",B1101)),ISNUMBER(SEARCH("入",B1101)))),"Ambiguous",IF(ISNUMBER(SEARCH("平",B1101)),"平","仄")))</x:f>
        <x:v>平</x:v>
      </x:c>
      <x:c r="K1101" s="6" t="str">
        <x:f>IF(D1101="","",IF(AND(ISNUMBER(SEARCH("平",D1101)),OR(ISNUMBER(SEARCH("上",D1101)),ISNUMBER(SEARCH("去",D1101)),ISNUMBER(SEARCH("入",D1101)))),"Ambiguous",IF(ISNUMBER(SEARCH("平",D1101)),"平","仄")))</x:f>
        <x:v>平</x:v>
      </x:c>
      <x:c r="L1101" s="7" t="str"/>
    </x:row>
    <x:row r="1102">
      <x:c r="A1102" s="5" t="str">
        <x:v>巠</x:v>
      </x:c>
      <x:c r="B1102" s="6" t="str">
        <x:v>平</x:v>
      </x:c>
      <x:c r="C1102" s="6" t="str">
        <x:f>IF(B1102="","Needs decision","Ready")</x:f>
        <x:v>Ready</x:v>
      </x:c>
      <x:c r="D1102" s="6" t="str">
        <x:v>平</x:v>
      </x:c>
      <x:c r="E1102" s="6" t="str">
        <x:v>keng (A)</x:v>
      </x:c>
      <x:c r="F1102" s="6" t="str"/>
      <x:c r="G1102" s="6" t="str"/>
      <x:c r="H1102" s="6" t="str">
        <x:v>1</x:v>
      </x:c>
      <x:c r="I1102" s="6" t="str"/>
      <x:c r="J1102" s="6" t="str">
        <x:f>IF(B1102="","",IF(AND(ISNUMBER(SEARCH("平",B1102)),OR(ISNUMBER(SEARCH("上",B1102)),ISNUMBER(SEARCH("去",B1102)),ISNUMBER(SEARCH("入",B1102)))),"Ambiguous",IF(ISNUMBER(SEARCH("平",B1102)),"平","仄")))</x:f>
        <x:v>平</x:v>
      </x:c>
      <x:c r="K1102" s="6" t="str">
        <x:f>IF(D1102="","",IF(AND(ISNUMBER(SEARCH("平",D1102)),OR(ISNUMBER(SEARCH("上",D1102)),ISNUMBER(SEARCH("去",D1102)),ISNUMBER(SEARCH("入",D1102)))),"Ambiguous",IF(ISNUMBER(SEARCH("平",D1102)),"平","仄")))</x:f>
        <x:v>平</x:v>
      </x:c>
      <x:c r="L1102" s="7" t="str"/>
    </x:row>
    <x:row r="1103">
      <x:c r="A1103" s="5" t="str">
        <x:v>巡</x:v>
      </x:c>
      <x:c r="B1103" s="6" t="str">
        <x:v>平</x:v>
      </x:c>
      <x:c r="C1103" s="6" t="str">
        <x:f>IF(B1103="","Needs decision","Ready")</x:f>
        <x:v>Ready</x:v>
      </x:c>
      <x:c r="D1103" s="6" t="str">
        <x:v>平</x:v>
      </x:c>
      <x:c r="E1103" s="6" t="str">
        <x:v>zwin (A)</x:v>
      </x:c>
      <x:c r="F1103" s="6" t="str">
        <x:v>上平聲十一真</x:v>
      </x:c>
      <x:c r="G1103" s="6" t="str">
        <x:v>Pingshui main list, Wikisource-derived DOCX</x:v>
      </x:c>
      <x:c r="H1103" s="6" t="str">
        <x:v>1</x:v>
      </x:c>
      <x:c r="I1103" s="6" t="str"/>
      <x:c r="J1103" s="6" t="str">
        <x:f>IF(B1103="","",IF(AND(ISNUMBER(SEARCH("平",B1103)),OR(ISNUMBER(SEARCH("上",B1103)),ISNUMBER(SEARCH("去",B1103)),ISNUMBER(SEARCH("入",B1103)))),"Ambiguous",IF(ISNUMBER(SEARCH("平",B1103)),"平","仄")))</x:f>
        <x:v>平</x:v>
      </x:c>
      <x:c r="K1103" s="6" t="str">
        <x:f>IF(D1103="","",IF(AND(ISNUMBER(SEARCH("平",D1103)),OR(ISNUMBER(SEARCH("上",D1103)),ISNUMBER(SEARCH("去",D1103)),ISNUMBER(SEARCH("入",D1103)))),"Ambiguous",IF(ISNUMBER(SEARCH("平",D1103)),"平","仄")))</x:f>
        <x:v>平</x:v>
      </x:c>
      <x:c r="L1103" s="7" t="str"/>
    </x:row>
    <x:row r="1104">
      <x:c r="A1104" s="5" t="str">
        <x:v>巢</x:v>
      </x:c>
      <x:c r="B1104" s="6" t="str">
        <x:v>平</x:v>
      </x:c>
      <x:c r="C1104" s="6" t="str">
        <x:f>IF(B1104="","Needs decision","Ready")</x:f>
        <x:v>Ready</x:v>
      </x:c>
      <x:c r="D1104" s="6" t="str">
        <x:v>平</x:v>
      </x:c>
      <x:c r="E1104" s="6" t="str">
        <x:v>dzraew (A)</x:v>
      </x:c>
      <x:c r="F1104" s="6" t="str">
        <x:v>下平聲三肴</x:v>
      </x:c>
      <x:c r="G1104" s="6" t="str">
        <x:v>Pingshui main list, Wikisource-derived DOCX</x:v>
      </x:c>
      <x:c r="H1104" s="6" t="str">
        <x:v>1</x:v>
      </x:c>
      <x:c r="I1104" s="6" t="str"/>
      <x:c r="J1104" s="6" t="str">
        <x:f>IF(B1104="","",IF(AND(ISNUMBER(SEARCH("平",B1104)),OR(ISNUMBER(SEARCH("上",B1104)),ISNUMBER(SEARCH("去",B1104)),ISNUMBER(SEARCH("入",B1104)))),"Ambiguous",IF(ISNUMBER(SEARCH("平",B1104)),"平","仄")))</x:f>
        <x:v>平</x:v>
      </x:c>
      <x:c r="K1104" s="6" t="str">
        <x:f>IF(D1104="","",IF(AND(ISNUMBER(SEARCH("平",D1104)),OR(ISNUMBER(SEARCH("上",D1104)),ISNUMBER(SEARCH("去",D1104)),ISNUMBER(SEARCH("入",D1104)))),"Ambiguous",IF(ISNUMBER(SEARCH("平",D1104)),"平","仄")))</x:f>
        <x:v>平</x:v>
      </x:c>
      <x:c r="L1104" s="7" t="str"/>
    </x:row>
    <x:row r="1105">
      <x:c r="A1105" s="5" t="str">
        <x:v>工</x:v>
      </x:c>
      <x:c r="B1105" s="6" t="str">
        <x:v>平</x:v>
      </x:c>
      <x:c r="C1105" s="6" t="str">
        <x:f>IF(B1105="","Needs decision","Ready")</x:f>
        <x:v>Ready</x:v>
      </x:c>
      <x:c r="D1105" s="6" t="str">
        <x:v>平</x:v>
      </x:c>
      <x:c r="E1105" s="6" t="str">
        <x:v>kuwng (A)</x:v>
      </x:c>
      <x:c r="F1105" s="6" t="str">
        <x:v>上平聲一東</x:v>
      </x:c>
      <x:c r="G1105" s="6" t="str">
        <x:v>Pingshui main list, Wikisource-derived DOCX</x:v>
      </x:c>
      <x:c r="H1105" s="6" t="str">
        <x:v>1</x:v>
      </x:c>
      <x:c r="I1105" s="6" t="str"/>
      <x:c r="J1105" s="6" t="str">
        <x:f>IF(B1105="","",IF(AND(ISNUMBER(SEARCH("平",B1105)),OR(ISNUMBER(SEARCH("上",B1105)),ISNUMBER(SEARCH("去",B1105)),ISNUMBER(SEARCH("入",B1105)))),"Ambiguous",IF(ISNUMBER(SEARCH("平",B1105)),"平","仄")))</x:f>
        <x:v>平</x:v>
      </x:c>
      <x:c r="K1105" s="6" t="str">
        <x:f>IF(D1105="","",IF(AND(ISNUMBER(SEARCH("平",D1105)),OR(ISNUMBER(SEARCH("上",D1105)),ISNUMBER(SEARCH("去",D1105)),ISNUMBER(SEARCH("入",D1105)))),"Ambiguous",IF(ISNUMBER(SEARCH("平",D1105)),"平","仄")))</x:f>
        <x:v>平</x:v>
      </x:c>
      <x:c r="L1105" s="7" t="str"/>
    </x:row>
    <x:row r="1106">
      <x:c r="A1106" s="5" t="str">
        <x:v>左</x:v>
      </x:c>
      <x:c r="B1106" s="6" t="str">
        <x:v>上</x:v>
      </x:c>
      <x:c r="C1106" s="6" t="str">
        <x:f>IF(B1106="","Needs decision","Ready")</x:f>
        <x:v>Ready</x:v>
      </x:c>
      <x:c r="D1106" s="6" t="str">
        <x:v>上/去</x:v>
      </x:c>
      <x:c r="E1106" s="6" t="str">
        <x:v>tsaX (B); tsaH (C)</x:v>
      </x:c>
      <x:c r="F1106" s="6" t="str">
        <x:v>上聲二十哿; 去聲二十一箇</x:v>
      </x:c>
      <x:c r="G1106" s="6" t="str">
        <x:v>Pingshui main list, Wikisource-derived DOCX</x:v>
      </x:c>
      <x:c r="H1106" s="6" t="str">
        <x:v>2</x:v>
      </x:c>
      <x:c r="I1106" s="6" t="str"/>
      <x:c r="J1106" s="6" t="str">
        <x:f>IF(B1106="","",IF(AND(ISNUMBER(SEARCH("平",B1106)),OR(ISNUMBER(SEARCH("上",B1106)),ISNUMBER(SEARCH("去",B1106)),ISNUMBER(SEARCH("入",B1106)))),"Ambiguous",IF(ISNUMBER(SEARCH("平",B1106)),"平","仄")))</x:f>
        <x:v>仄</x:v>
      </x:c>
      <x:c r="K1106" s="6" t="str">
        <x:f>IF(D1106="","",IF(AND(ISNUMBER(SEARCH("平",D1106)),OR(ISNUMBER(SEARCH("上",D1106)),ISNUMBER(SEARCH("去",D1106)),ISNUMBER(SEARCH("入",D1106)))),"Ambiguous",IF(ISNUMBER(SEARCH("平",D1106)),"平","仄")))</x:f>
        <x:v>仄</x:v>
      </x:c>
      <x:c r="L1106" s="7" t="str"/>
    </x:row>
    <x:row r="1107">
      <x:c r="A1107" s="5" t="str">
        <x:v>巧</x:v>
      </x:c>
      <x:c r="B1107" s="6" t="str">
        <x:v>上</x:v>
      </x:c>
      <x:c r="C1107" s="6" t="str">
        <x:f>IF(B1107="","Needs decision","Ready")</x:f>
        <x:v>Ready</x:v>
      </x:c>
      <x:c r="D1107" s="6" t="str">
        <x:v>上</x:v>
      </x:c>
      <x:c r="E1107" s="6" t="str">
        <x:v>khaewX (B)</x:v>
      </x:c>
      <x:c r="F1107" s="6" t="str">
        <x:v>上聲十八巧</x:v>
      </x:c>
      <x:c r="G1107" s="6" t="str">
        <x:v>Pingshui main list, Wikisource-derived DOCX</x:v>
      </x:c>
      <x:c r="H1107" s="6" t="str">
        <x:v>1</x:v>
      </x:c>
      <x:c r="I1107" s="6" t="str"/>
      <x:c r="J1107" s="6" t="str">
        <x:f>IF(B1107="","",IF(AND(ISNUMBER(SEARCH("平",B1107)),OR(ISNUMBER(SEARCH("上",B1107)),ISNUMBER(SEARCH("去",B1107)),ISNUMBER(SEARCH("入",B1107)))),"Ambiguous",IF(ISNUMBER(SEARCH("平",B1107)),"平","仄")))</x:f>
        <x:v>仄</x:v>
      </x:c>
      <x:c r="K1107" s="6" t="str">
        <x:f>IF(D1107="","",IF(AND(ISNUMBER(SEARCH("平",D1107)),OR(ISNUMBER(SEARCH("上",D1107)),ISNUMBER(SEARCH("去",D1107)),ISNUMBER(SEARCH("入",D1107)))),"Ambiguous",IF(ISNUMBER(SEARCH("平",D1107)),"平","仄")))</x:f>
        <x:v>仄</x:v>
      </x:c>
      <x:c r="L1107" s="7" t="str"/>
    </x:row>
    <x:row r="1108">
      <x:c r="A1108" s="5" t="str">
        <x:v>巨</x:v>
      </x:c>
      <x:c r="B1108" s="6" t="str">
        <x:v>上</x:v>
      </x:c>
      <x:c r="C1108" s="6" t="str">
        <x:f>IF(B1108="","Needs decision","Ready")</x:f>
        <x:v>Ready</x:v>
      </x:c>
      <x:c r="D1108" s="6" t="str">
        <x:v>上</x:v>
      </x:c>
      <x:c r="E1108" s="6" t="str">
        <x:v>gjoX [羣開三C魚上] ɡɨ̯əʔ</x:v>
      </x:c>
      <x:c r="F1108" s="6" t="str">
        <x:v>上聲六語</x:v>
      </x:c>
      <x:c r="G1108" s="6" t="str">
        <x:v>Pingshui main list, Wikisource-derived DOCX</x:v>
      </x:c>
      <x:c r="H1108" s="6" t="str">
        <x:v>1</x:v>
      </x:c>
      <x:c r="I1108" s="6" t="str">
        <x:v>Targeted preliminary fill from Xun Gong; review if uncertain</x:v>
      </x:c>
      <x:c r="J1108" s="6" t="str">
        <x:f>IF(B1108="","",IF(AND(ISNUMBER(SEARCH("平",B1108)),OR(ISNUMBER(SEARCH("上",B1108)),ISNUMBER(SEARCH("去",B1108)),ISNUMBER(SEARCH("入",B1108)))),"Ambiguous",IF(ISNUMBER(SEARCH("平",B1108)),"平","仄")))</x:f>
        <x:v>仄</x:v>
      </x:c>
      <x:c r="K1108" s="6" t="str">
        <x:f>IF(D1108="","",IF(AND(ISNUMBER(SEARCH("平",D1108)),OR(ISNUMBER(SEARCH("上",D1108)),ISNUMBER(SEARCH("去",D1108)),ISNUMBER(SEARCH("入",D1108)))),"Ambiguous",IF(ISNUMBER(SEARCH("平",D1108)),"平","仄")))</x:f>
        <x:v>仄</x:v>
      </x:c>
      <x:c r="L1108" s="7" t="str">
        <x:v>Xun Gong character-readings.csv</x:v>
      </x:c>
    </x:row>
    <x:row r="1109">
      <x:c r="A1109" s="5" t="str">
        <x:v>巫</x:v>
      </x:c>
      <x:c r="B1109" s="6" t="str">
        <x:v>平</x:v>
      </x:c>
      <x:c r="C1109" s="6" t="str">
        <x:f>IF(B1109="","Needs decision","Ready")</x:f>
        <x:v>Ready</x:v>
      </x:c>
      <x:c r="D1109" s="6" t="str">
        <x:v>平</x:v>
      </x:c>
      <x:c r="E1109" s="6" t="str">
        <x:v>mju (A)</x:v>
      </x:c>
      <x:c r="F1109" s="6" t="str">
        <x:v>上平聲七虞</x:v>
      </x:c>
      <x:c r="G1109" s="6" t="str">
        <x:v>Pingshui main list, Wikisource-derived DOCX</x:v>
      </x:c>
      <x:c r="H1109" s="6" t="str">
        <x:v>1</x:v>
      </x:c>
      <x:c r="I1109" s="6" t="str"/>
      <x:c r="J1109" s="6" t="str">
        <x:f>IF(B1109="","",IF(AND(ISNUMBER(SEARCH("平",B1109)),OR(ISNUMBER(SEARCH("上",B1109)),ISNUMBER(SEARCH("去",B1109)),ISNUMBER(SEARCH("入",B1109)))),"Ambiguous",IF(ISNUMBER(SEARCH("平",B1109)),"平","仄")))</x:f>
        <x:v>平</x:v>
      </x:c>
      <x:c r="K1109" s="6" t="str">
        <x:f>IF(D1109="","",IF(AND(ISNUMBER(SEARCH("平",D1109)),OR(ISNUMBER(SEARCH("上",D1109)),ISNUMBER(SEARCH("去",D1109)),ISNUMBER(SEARCH("入",D1109)))),"Ambiguous",IF(ISNUMBER(SEARCH("平",D1109)),"平","仄")))</x:f>
        <x:v>平</x:v>
      </x:c>
      <x:c r="L1109" s="7" t="str"/>
    </x:row>
    <x:row r="1110">
      <x:c r="A1110" s="5" t="str">
        <x:v>差</x:v>
      </x:c>
      <x:c r="B1110" s="6" t="str">
        <x:v>平</x:v>
      </x:c>
      <x:c r="C1110" s="6" t="str">
        <x:f>IF(B1110="","Needs decision","Ready")</x:f>
        <x:v>Ready</x:v>
      </x:c>
      <x:c r="D1110" s="6" t="str">
        <x:v>平</x:v>
      </x:c>
      <x:c r="E1110" s="6" t="str">
        <x:v>tsrhae (A); tsrhea (A); tsrheaj (A); tsrhje (A); tsha (A)</x:v>
      </x:c>
      <x:c r="F1110" s="6" t="str">
        <x:v>上平聲四支; 上平聲九佳; 下平聲六麻</x:v>
      </x:c>
      <x:c r="G1110" s="6" t="str">
        <x:v>Pingshui main list, Wikisource-derived DOCX</x:v>
      </x:c>
      <x:c r="H1110" s="6" t="str">
        <x:v>5</x:v>
      </x:c>
      <x:c r="I1110" s="6" t="str"/>
      <x:c r="J1110" s="6" t="str">
        <x:f>IF(B1110="","",IF(AND(ISNUMBER(SEARCH("平",B1110)),OR(ISNUMBER(SEARCH("上",B1110)),ISNUMBER(SEARCH("去",B1110)),ISNUMBER(SEARCH("入",B1110)))),"Ambiguous",IF(ISNUMBER(SEARCH("平",B1110)),"平","仄")))</x:f>
        <x:v>平</x:v>
      </x:c>
      <x:c r="K1110" s="6" t="str">
        <x:f>IF(D1110="","",IF(AND(ISNUMBER(SEARCH("平",D1110)),OR(ISNUMBER(SEARCH("上",D1110)),ISNUMBER(SEARCH("去",D1110)),ISNUMBER(SEARCH("入",D1110)))),"Ambiguous",IF(ISNUMBER(SEARCH("平",D1110)),"平","仄")))</x:f>
        <x:v>平</x:v>
      </x:c>
      <x:c r="L1110" s="7" t="str"/>
    </x:row>
    <x:row r="1111">
      <x:c r="A1111" s="5" t="str">
        <x:v>己</x:v>
      </x:c>
      <x:c r="B1111" s="6" t="str">
        <x:v>上</x:v>
      </x:c>
      <x:c r="C1111" s="6" t="str">
        <x:f>IF(B1111="","Needs decision","Ready")</x:f>
        <x:v>Ready</x:v>
      </x:c>
      <x:c r="D1111" s="6" t="str">
        <x:v>上</x:v>
      </x:c>
      <x:c r="E1111" s="6" t="str">
        <x:v>kiX (B)</x:v>
      </x:c>
      <x:c r="F1111" s="6" t="str">
        <x:v>上聲四紙</x:v>
      </x:c>
      <x:c r="G1111" s="6" t="str">
        <x:v>Pingshui main list, Wikisource-derived DOCX</x:v>
      </x:c>
      <x:c r="H1111" s="6" t="str">
        <x:v>1</x:v>
      </x:c>
      <x:c r="I1111" s="6" t="str"/>
      <x:c r="J1111" s="6" t="str">
        <x:f>IF(B1111="","",IF(AND(ISNUMBER(SEARCH("平",B1111)),OR(ISNUMBER(SEARCH("上",B1111)),ISNUMBER(SEARCH("去",B1111)),ISNUMBER(SEARCH("入",B1111)))),"Ambiguous",IF(ISNUMBER(SEARCH("平",B1111)),"平","仄")))</x:f>
        <x:v>仄</x:v>
      </x:c>
      <x:c r="K1111" s="6" t="str">
        <x:f>IF(D1111="","",IF(AND(ISNUMBER(SEARCH("平",D1111)),OR(ISNUMBER(SEARCH("上",D1111)),ISNUMBER(SEARCH("去",D1111)),ISNUMBER(SEARCH("入",D1111)))),"Ambiguous",IF(ISNUMBER(SEARCH("平",D1111)),"平","仄")))</x:f>
        <x:v>仄</x:v>
      </x:c>
      <x:c r="L1111" s="7" t="str"/>
    </x:row>
    <x:row r="1112">
      <x:c r="A1112" s="5" t="str">
        <x:v>已</x:v>
      </x:c>
      <x:c r="B1112" s="6" t="str">
        <x:v>上</x:v>
      </x:c>
      <x:c r="C1112" s="6" t="str">
        <x:f>IF(B1112="","Needs decision","Ready")</x:f>
        <x:v>Ready</x:v>
      </x:c>
      <x:c r="D1112" s="6" t="str">
        <x:v>上</x:v>
      </x:c>
      <x:c r="E1112" s="6" t="str">
        <x:v>yiX (B)</x:v>
      </x:c>
      <x:c r="F1112" s="6" t="str">
        <x:v>上聲四紙</x:v>
      </x:c>
      <x:c r="G1112" s="6" t="str">
        <x:v>Pingshui main list, Wikisource-derived DOCX</x:v>
      </x:c>
      <x:c r="H1112" s="6" t="str">
        <x:v>1</x:v>
      </x:c>
      <x:c r="I1112" s="6" t="str"/>
      <x:c r="J1112" s="6" t="str">
        <x:f>IF(B1112="","",IF(AND(ISNUMBER(SEARCH("平",B1112)),OR(ISNUMBER(SEARCH("上",B1112)),ISNUMBER(SEARCH("去",B1112)),ISNUMBER(SEARCH("入",B1112)))),"Ambiguous",IF(ISNUMBER(SEARCH("平",B1112)),"平","仄")))</x:f>
        <x:v>仄</x:v>
      </x:c>
      <x:c r="K1112" s="6" t="str">
        <x:f>IF(D1112="","",IF(AND(ISNUMBER(SEARCH("平",D1112)),OR(ISNUMBER(SEARCH("上",D1112)),ISNUMBER(SEARCH("去",D1112)),ISNUMBER(SEARCH("入",D1112)))),"Ambiguous",IF(ISNUMBER(SEARCH("平",D1112)),"平","仄")))</x:f>
        <x:v>仄</x:v>
      </x:c>
      <x:c r="L1112" s="7" t="str"/>
    </x:row>
    <x:row r="1113">
      <x:c r="A1113" s="5" t="str">
        <x:v>巳</x:v>
      </x:c>
      <x:c r="B1113" s="6" t="str">
        <x:v>上</x:v>
      </x:c>
      <x:c r="C1113" s="6" t="str">
        <x:f>IF(B1113="","Needs decision","Ready")</x:f>
        <x:v>Ready</x:v>
      </x:c>
      <x:c r="D1113" s="6" t="str">
        <x:v>上</x:v>
      </x:c>
      <x:c r="E1113" s="6" t="str">
        <x:v>ziX (B)</x:v>
      </x:c>
      <x:c r="F1113" s="6" t="str">
        <x:v>上聲四紙</x:v>
      </x:c>
      <x:c r="G1113" s="6" t="str">
        <x:v>Pingshui main list, Wikisource-derived DOCX</x:v>
      </x:c>
      <x:c r="H1113" s="6" t="str">
        <x:v>1</x:v>
      </x:c>
      <x:c r="I1113" s="6" t="str"/>
      <x:c r="J1113" s="6" t="str">
        <x:f>IF(B1113="","",IF(AND(ISNUMBER(SEARCH("平",B1113)),OR(ISNUMBER(SEARCH("上",B1113)),ISNUMBER(SEARCH("去",B1113)),ISNUMBER(SEARCH("入",B1113)))),"Ambiguous",IF(ISNUMBER(SEARCH("平",B1113)),"平","仄")))</x:f>
        <x:v>仄</x:v>
      </x:c>
      <x:c r="K1113" s="6" t="str">
        <x:f>IF(D1113="","",IF(AND(ISNUMBER(SEARCH("平",D1113)),OR(ISNUMBER(SEARCH("上",D1113)),ISNUMBER(SEARCH("去",D1113)),ISNUMBER(SEARCH("入",D1113)))),"Ambiguous",IF(ISNUMBER(SEARCH("平",D1113)),"平","仄")))</x:f>
        <x:v>仄</x:v>
      </x:c>
      <x:c r="L1113" s="7" t="str"/>
    </x:row>
    <x:row r="1114">
      <x:c r="A1114" s="5" t="str">
        <x:v>巴</x:v>
      </x:c>
      <x:c r="B1114" s="6" t="str">
        <x:v>平</x:v>
      </x:c>
      <x:c r="C1114" s="6" t="str">
        <x:f>IF(B1114="","Needs decision","Ready")</x:f>
        <x:v>Ready</x:v>
      </x:c>
      <x:c r="D1114" s="6" t="str">
        <x:v>平</x:v>
      </x:c>
      <x:c r="E1114" s="6" t="str">
        <x:v>pae (A)</x:v>
      </x:c>
      <x:c r="F1114" s="6" t="str">
        <x:v>下平聲六麻</x:v>
      </x:c>
      <x:c r="G1114" s="6" t="str">
        <x:v>Pingshui main list, Wikisource-derived DOCX</x:v>
      </x:c>
      <x:c r="H1114" s="6" t="str">
        <x:v>1</x:v>
      </x:c>
      <x:c r="I1114" s="6" t="str"/>
      <x:c r="J1114" s="6" t="str">
        <x:f>IF(B1114="","",IF(AND(ISNUMBER(SEARCH("平",B1114)),OR(ISNUMBER(SEARCH("上",B1114)),ISNUMBER(SEARCH("去",B1114)),ISNUMBER(SEARCH("入",B1114)))),"Ambiguous",IF(ISNUMBER(SEARCH("平",B1114)),"平","仄")))</x:f>
        <x:v>平</x:v>
      </x:c>
      <x:c r="K1114" s="6" t="str">
        <x:f>IF(D1114="","",IF(AND(ISNUMBER(SEARCH("平",D1114)),OR(ISNUMBER(SEARCH("上",D1114)),ISNUMBER(SEARCH("去",D1114)),ISNUMBER(SEARCH("入",D1114)))),"Ambiguous",IF(ISNUMBER(SEARCH("平",D1114)),"平","仄")))</x:f>
        <x:v>平</x:v>
      </x:c>
      <x:c r="L1114" s="7" t="str"/>
    </x:row>
    <x:row r="1115">
      <x:c r="A1115" s="5" t="str">
        <x:v>巷</x:v>
      </x:c>
      <x:c r="B1115" s="6" t="str">
        <x:v>去</x:v>
      </x:c>
      <x:c r="C1115" s="6" t="str">
        <x:f>IF(B1115="","Needs decision","Ready")</x:f>
        <x:v>Ready</x:v>
      </x:c>
      <x:c r="D1115" s="6" t="str">
        <x:v>去</x:v>
      </x:c>
      <x:c r="E1115" s="6" t="str">
        <x:v>haewngH (C)</x:v>
      </x:c>
      <x:c r="F1115" s="6" t="str">
        <x:v>去聲三絳</x:v>
      </x:c>
      <x:c r="G1115" s="6" t="str">
        <x:v>Pingshui main list, Wikisource-derived DOCX</x:v>
      </x:c>
      <x:c r="H1115" s="6" t="str">
        <x:v>1</x:v>
      </x:c>
      <x:c r="I1115" s="6" t="str"/>
      <x:c r="J1115" s="6" t="str">
        <x:f>IF(B1115="","",IF(AND(ISNUMBER(SEARCH("平",B1115)),OR(ISNUMBER(SEARCH("上",B1115)),ISNUMBER(SEARCH("去",B1115)),ISNUMBER(SEARCH("入",B1115)))),"Ambiguous",IF(ISNUMBER(SEARCH("平",B1115)),"平","仄")))</x:f>
        <x:v>仄</x:v>
      </x:c>
      <x:c r="K1115" s="6" t="str">
        <x:f>IF(D1115="","",IF(AND(ISNUMBER(SEARCH("平",D1115)),OR(ISNUMBER(SEARCH("上",D1115)),ISNUMBER(SEARCH("去",D1115)),ISNUMBER(SEARCH("入",D1115)))),"Ambiguous",IF(ISNUMBER(SEARCH("平",D1115)),"平","仄")))</x:f>
        <x:v>仄</x:v>
      </x:c>
      <x:c r="L1115" s="7" t="str"/>
    </x:row>
    <x:row r="1116">
      <x:c r="A1116" s="5" t="str">
        <x:v>巾</x:v>
      </x:c>
      <x:c r="B1116" s="6" t="str">
        <x:v>平</x:v>
      </x:c>
      <x:c r="C1116" s="6" t="str">
        <x:f>IF(B1116="","Needs decision","Ready")</x:f>
        <x:v>Ready</x:v>
      </x:c>
      <x:c r="D1116" s="6" t="str">
        <x:v>平</x:v>
      </x:c>
      <x:c r="E1116" s="6" t="str">
        <x:v>kin (A)</x:v>
      </x:c>
      <x:c r="F1116" s="6" t="str">
        <x:v>上平聲十一真</x:v>
      </x:c>
      <x:c r="G1116" s="6" t="str">
        <x:v>Pingshui main list, Wikisource-derived DOCX</x:v>
      </x:c>
      <x:c r="H1116" s="6" t="str">
        <x:v>1</x:v>
      </x:c>
      <x:c r="I1116" s="6" t="str"/>
      <x:c r="J1116" s="6" t="str">
        <x:f>IF(B1116="","",IF(AND(ISNUMBER(SEARCH("平",B1116)),OR(ISNUMBER(SEARCH("上",B1116)),ISNUMBER(SEARCH("去",B1116)),ISNUMBER(SEARCH("入",B1116)))),"Ambiguous",IF(ISNUMBER(SEARCH("平",B1116)),"平","仄")))</x:f>
        <x:v>平</x:v>
      </x:c>
      <x:c r="K1116" s="6" t="str">
        <x:f>IF(D1116="","",IF(AND(ISNUMBER(SEARCH("平",D1116)),OR(ISNUMBER(SEARCH("上",D1116)),ISNUMBER(SEARCH("去",D1116)),ISNUMBER(SEARCH("入",D1116)))),"Ambiguous",IF(ISNUMBER(SEARCH("平",D1116)),"平","仄")))</x:f>
        <x:v>平</x:v>
      </x:c>
      <x:c r="L1116" s="7" t="str"/>
    </x:row>
    <x:row r="1117">
      <x:c r="A1117" s="5" t="str">
        <x:v>帀</x:v>
      </x:c>
      <x:c r="B1117" s="6" t="str">
        <x:v>入</x:v>
      </x:c>
      <x:c r="C1117" s="6" t="str">
        <x:f>IF(B1117="","Needs decision","Ready")</x:f>
        <x:v>Ready</x:v>
      </x:c>
      <x:c r="D1117" s="6" t="str">
        <x:v>入</x:v>
      </x:c>
      <x:c r="E1117" s="6" t="str">
        <x:v>tsop (D)</x:v>
      </x:c>
      <x:c r="F1117" s="6" t="str"/>
      <x:c r="G1117" s="6" t="str"/>
      <x:c r="H1117" s="6" t="str">
        <x:v>1</x:v>
      </x:c>
      <x:c r="I1117" s="6" t="str"/>
      <x:c r="J1117" s="6" t="str">
        <x:f>IF(B1117="","",IF(AND(ISNUMBER(SEARCH("平",B1117)),OR(ISNUMBER(SEARCH("上",B1117)),ISNUMBER(SEARCH("去",B1117)),ISNUMBER(SEARCH("入",B1117)))),"Ambiguous",IF(ISNUMBER(SEARCH("平",B1117)),"平","仄")))</x:f>
        <x:v>仄</x:v>
      </x:c>
      <x:c r="K1117" s="6" t="str">
        <x:f>IF(D1117="","",IF(AND(ISNUMBER(SEARCH("平",D1117)),OR(ISNUMBER(SEARCH("上",D1117)),ISNUMBER(SEARCH("去",D1117)),ISNUMBER(SEARCH("入",D1117)))),"Ambiguous",IF(ISNUMBER(SEARCH("平",D1117)),"平","仄")))</x:f>
        <x:v>仄</x:v>
      </x:c>
      <x:c r="L1117" s="7" t="str"/>
    </x:row>
    <x:row r="1118">
      <x:c r="A1118" s="5" t="str">
        <x:v>市</x:v>
      </x:c>
      <x:c r="B1118" s="6" t="str">
        <x:v>上</x:v>
      </x:c>
      <x:c r="C1118" s="6" t="str">
        <x:f>IF(B1118="","Needs decision","Ready")</x:f>
        <x:v>Ready</x:v>
      </x:c>
      <x:c r="D1118" s="6" t="str">
        <x:v>上</x:v>
      </x:c>
      <x:c r="E1118" s="6" t="str">
        <x:v>dzyiX (B)</x:v>
      </x:c>
      <x:c r="F1118" s="6" t="str">
        <x:v>上聲四紙</x:v>
      </x:c>
      <x:c r="G1118" s="6" t="str">
        <x:v>Pingshui main list, Wikisource-derived DOCX</x:v>
      </x:c>
      <x:c r="H1118" s="6" t="str">
        <x:v>1</x:v>
      </x:c>
      <x:c r="I1118" s="6" t="str"/>
      <x:c r="J1118" s="6" t="str">
        <x:f>IF(B1118="","",IF(AND(ISNUMBER(SEARCH("平",B1118)),OR(ISNUMBER(SEARCH("上",B1118)),ISNUMBER(SEARCH("去",B1118)),ISNUMBER(SEARCH("入",B1118)))),"Ambiguous",IF(ISNUMBER(SEARCH("平",B1118)),"平","仄")))</x:f>
        <x:v>仄</x:v>
      </x:c>
      <x:c r="K1118" s="6" t="str">
        <x:f>IF(D1118="","",IF(AND(ISNUMBER(SEARCH("平",D1118)),OR(ISNUMBER(SEARCH("上",D1118)),ISNUMBER(SEARCH("去",D1118)),ISNUMBER(SEARCH("入",D1118)))),"Ambiguous",IF(ISNUMBER(SEARCH("平",D1118)),"平","仄")))</x:f>
        <x:v>仄</x:v>
      </x:c>
      <x:c r="L1118" s="7" t="str"/>
    </x:row>
    <x:row r="1119">
      <x:c r="A1119" s="5" t="str">
        <x:v>布</x:v>
      </x:c>
      <x:c r="B1119" s="6" t="str">
        <x:v>去</x:v>
      </x:c>
      <x:c r="C1119" s="6" t="str">
        <x:f>IF(B1119="","Needs decision","Ready")</x:f>
        <x:v>Ready</x:v>
      </x:c>
      <x:c r="D1119" s="6" t="str">
        <x:v>去</x:v>
      </x:c>
      <x:c r="E1119" s="6" t="str">
        <x:v>puH (C)</x:v>
      </x:c>
      <x:c r="F1119" s="6" t="str">
        <x:v>去聲七遇</x:v>
      </x:c>
      <x:c r="G1119" s="6" t="str">
        <x:v>Pingshui main list, Wikisource-derived DOCX</x:v>
      </x:c>
      <x:c r="H1119" s="6" t="str">
        <x:v>1</x:v>
      </x:c>
      <x:c r="I1119" s="6" t="str"/>
      <x:c r="J1119" s="6" t="str">
        <x:f>IF(B1119="","",IF(AND(ISNUMBER(SEARCH("平",B1119)),OR(ISNUMBER(SEARCH("上",B1119)),ISNUMBER(SEARCH("去",B1119)),ISNUMBER(SEARCH("入",B1119)))),"Ambiguous",IF(ISNUMBER(SEARCH("平",B1119)),"平","仄")))</x:f>
        <x:v>仄</x:v>
      </x:c>
      <x:c r="K1119" s="6" t="str">
        <x:f>IF(D1119="","",IF(AND(ISNUMBER(SEARCH("平",D1119)),OR(ISNUMBER(SEARCH("上",D1119)),ISNUMBER(SEARCH("去",D1119)),ISNUMBER(SEARCH("入",D1119)))),"Ambiguous",IF(ISNUMBER(SEARCH("平",D1119)),"平","仄")))</x:f>
        <x:v>仄</x:v>
      </x:c>
      <x:c r="L1119" s="7" t="str"/>
    </x:row>
    <x:row r="1120">
      <x:c r="A1120" s="5" t="str">
        <x:v>帆</x:v>
      </x:c>
      <x:c r="B1120" s="6" t="str"/>
      <x:c r="C1120" s="6" t="str">
        <x:f>IF(B1120="","Needs decision","Ready")</x:f>
        <x:v>Needs decision</x:v>
      </x:c>
      <x:c r="D1120" s="6" t="str">
        <x:v>平/去</x:v>
      </x:c>
      <x:c r="E1120" s="6" t="str">
        <x:v>bjom [bɨ̯əm] (平); bjomH [bɨ̯əmh] (去)</x:v>
      </x:c>
      <x:c r="F1120" s="6" t="str">
        <x:v>下平聲十五咸; 去聲三十陷</x:v>
      </x:c>
      <x:c r="G1120" s="6" t="str">
        <x:v>Pingshui main list, Wikisource-derived DOCX</x:v>
      </x:c>
      <x:c r="H1120" s="6" t="str">
        <x:v>2</x:v>
      </x:c>
      <x:c r="I1120" s="6" t="str">
        <x:v>Tang 300 gap; frequency 12; ambiguous in Xun Gong</x:v>
      </x:c>
      <x:c r="J1120" s="6" t="str">
        <x:f>IF(B1120="","",IF(AND(ISNUMBER(SEARCH("平",B1120)),OR(ISNUMBER(SEARCH("上",B1120)),ISNUMBER(SEARCH("去",B1120)),ISNUMBER(SEARCH("入",B1120)))),"Ambiguous",IF(ISNUMBER(SEARCH("平",B1120)),"平","仄")))</x:f>
      </x:c>
      <x:c r="K1120" s="6" t="str">
        <x:f>IF(D1120="","",IF(AND(ISNUMBER(SEARCH("平",D1120)),OR(ISNUMBER(SEARCH("上",D1120)),ISNUMBER(SEARCH("去",D1120)),ISNUMBER(SEARCH("入",D1120)))),"Ambiguous",IF(ISNUMBER(SEARCH("平",D1120)),"平","仄")))</x:f>
        <x:v>Ambiguous</x:v>
      </x:c>
      <x:c r="L1120" s="7" t="str">
        <x:v>Xun Gong, Tang 300 gap fill</x:v>
      </x:c>
    </x:row>
    <x:row r="1121">
      <x:c r="A1121" s="5" t="str">
        <x:v>希</x:v>
      </x:c>
      <x:c r="B1121" s="6" t="str">
        <x:v>平</x:v>
      </x:c>
      <x:c r="C1121" s="6" t="str">
        <x:f>IF(B1121="","Needs decision","Ready")</x:f>
        <x:v>Ready</x:v>
      </x:c>
      <x:c r="D1121" s="6" t="str">
        <x:v>平</x:v>
      </x:c>
      <x:c r="E1121" s="6" t="str">
        <x:v>xj+j (A)</x:v>
      </x:c>
      <x:c r="F1121" s="6" t="str">
        <x:v>上平聲五微</x:v>
      </x:c>
      <x:c r="G1121" s="6" t="str">
        <x:v>Pingshui main list, Wikisource-derived DOCX</x:v>
      </x:c>
      <x:c r="H1121" s="6" t="str">
        <x:v>1</x:v>
      </x:c>
      <x:c r="I1121" s="6" t="str"/>
      <x:c r="J1121" s="6" t="str">
        <x:f>IF(B1121="","",IF(AND(ISNUMBER(SEARCH("平",B1121)),OR(ISNUMBER(SEARCH("上",B1121)),ISNUMBER(SEARCH("去",B1121)),ISNUMBER(SEARCH("入",B1121)))),"Ambiguous",IF(ISNUMBER(SEARCH("平",B1121)),"平","仄")))</x:f>
        <x:v>平</x:v>
      </x:c>
      <x:c r="K1121" s="6" t="str">
        <x:f>IF(D1121="","",IF(AND(ISNUMBER(SEARCH("平",D1121)),OR(ISNUMBER(SEARCH("上",D1121)),ISNUMBER(SEARCH("去",D1121)),ISNUMBER(SEARCH("入",D1121)))),"Ambiguous",IF(ISNUMBER(SEARCH("平",D1121)),"平","仄")))</x:f>
        <x:v>平</x:v>
      </x:c>
      <x:c r="L1121" s="7" t="str"/>
    </x:row>
    <x:row r="1122">
      <x:c r="A1122" s="5" t="str">
        <x:v>帖</x:v>
      </x:c>
      <x:c r="B1122" s="6" t="str">
        <x:v>入</x:v>
      </x:c>
      <x:c r="C1122" s="6" t="str">
        <x:f>IF(B1122="","Needs decision","Ready")</x:f>
        <x:v>Ready</x:v>
      </x:c>
      <x:c r="D1122" s="6" t="str">
        <x:v>入</x:v>
      </x:c>
      <x:c r="E1122" s="6" t="str">
        <x:v>thep [t̙ʰep] (入)</x:v>
      </x:c>
      <x:c r="F1122" s="6" t="str">
        <x:v>入聲十六葉</x:v>
      </x:c>
      <x:c r="G1122" s="6" t="str">
        <x:v>Pingshui main list, Wikisource-derived DOCX</x:v>
      </x:c>
      <x:c r="H1122" s="6" t="str">
        <x:v>1</x:v>
      </x:c>
      <x:c r="I1122" s="6" t="str">
        <x:v>Tang 300 gap; frequency 1; provisional from Xun Gong</x:v>
      </x:c>
      <x:c r="J1122" s="6" t="str">
        <x:f>IF(B1122="","",IF(AND(ISNUMBER(SEARCH("平",B1122)),OR(ISNUMBER(SEARCH("上",B1122)),ISNUMBER(SEARCH("去",B1122)),ISNUMBER(SEARCH("入",B1122)))),"Ambiguous",IF(ISNUMBER(SEARCH("平",B1122)),"平","仄")))</x:f>
        <x:v>仄</x:v>
      </x:c>
      <x:c r="K1122" s="6" t="str">
        <x:f>IF(D1122="","",IF(AND(ISNUMBER(SEARCH("平",D1122)),OR(ISNUMBER(SEARCH("上",D1122)),ISNUMBER(SEARCH("去",D1122)),ISNUMBER(SEARCH("入",D1122)))),"Ambiguous",IF(ISNUMBER(SEARCH("平",D1122)),"平","仄")))</x:f>
        <x:v>仄</x:v>
      </x:c>
      <x:c r="L1122" s="7" t="str">
        <x:v>Xun Gong, Tang 300 gap fill</x:v>
      </x:c>
    </x:row>
    <x:row r="1123">
      <x:c r="A1123" s="5" t="str">
        <x:v>帚</x:v>
      </x:c>
      <x:c r="B1123" s="6" t="str">
        <x:v>上</x:v>
      </x:c>
      <x:c r="C1123" s="6" t="str">
        <x:f>IF(B1123="","Needs decision","Ready")</x:f>
        <x:v>Ready</x:v>
      </x:c>
      <x:c r="D1123" s="6" t="str">
        <x:v>上</x:v>
      </x:c>
      <x:c r="E1123" s="6" t="str">
        <x:v>tsyuwX (B)</x:v>
      </x:c>
      <x:c r="F1123" s="6" t="str">
        <x:v>上聲二十五有</x:v>
      </x:c>
      <x:c r="G1123" s="6" t="str">
        <x:v>Pingshui main list, Wikisource-derived DOCX</x:v>
      </x:c>
      <x:c r="H1123" s="6" t="str">
        <x:v>1</x:v>
      </x:c>
      <x:c r="I1123" s="6" t="str"/>
      <x:c r="J1123" s="6" t="str">
        <x:f>IF(B1123="","",IF(AND(ISNUMBER(SEARCH("平",B1123)),OR(ISNUMBER(SEARCH("上",B1123)),ISNUMBER(SEARCH("去",B1123)),ISNUMBER(SEARCH("入",B1123)))),"Ambiguous",IF(ISNUMBER(SEARCH("平",B1123)),"平","仄")))</x:f>
        <x:v>仄</x:v>
      </x:c>
      <x:c r="K1123" s="6" t="str">
        <x:f>IF(D1123="","",IF(AND(ISNUMBER(SEARCH("平",D1123)),OR(ISNUMBER(SEARCH("上",D1123)),ISNUMBER(SEARCH("去",D1123)),ISNUMBER(SEARCH("入",D1123)))),"Ambiguous",IF(ISNUMBER(SEARCH("平",D1123)),"平","仄")))</x:f>
        <x:v>仄</x:v>
      </x:c>
      <x:c r="L1123" s="7" t="str"/>
    </x:row>
    <x:row r="1124">
      <x:c r="A1124" s="5" t="str">
        <x:v>帛</x:v>
      </x:c>
      <x:c r="B1124" s="6" t="str">
        <x:v>入</x:v>
      </x:c>
      <x:c r="C1124" s="6" t="str">
        <x:f>IF(B1124="","Needs decision","Ready")</x:f>
        <x:v>Ready</x:v>
      </x:c>
      <x:c r="D1124" s="6" t="str">
        <x:v>入</x:v>
      </x:c>
      <x:c r="E1124" s="6" t="str">
        <x:v>baek (D)</x:v>
      </x:c>
      <x:c r="F1124" s="6" t="str">
        <x:v>入聲十一陌</x:v>
      </x:c>
      <x:c r="G1124" s="6" t="str">
        <x:v>Pingshui main list, Wikisource-derived DOCX</x:v>
      </x:c>
      <x:c r="H1124" s="6" t="str">
        <x:v>1</x:v>
      </x:c>
      <x:c r="I1124" s="6" t="str"/>
      <x:c r="J1124" s="6" t="str">
        <x:f>IF(B1124="","",IF(AND(ISNUMBER(SEARCH("平",B1124)),OR(ISNUMBER(SEARCH("上",B1124)),ISNUMBER(SEARCH("去",B1124)),ISNUMBER(SEARCH("入",B1124)))),"Ambiguous",IF(ISNUMBER(SEARCH("平",B1124)),"平","仄")))</x:f>
        <x:v>仄</x:v>
      </x:c>
      <x:c r="K1124" s="6" t="str">
        <x:f>IF(D1124="","",IF(AND(ISNUMBER(SEARCH("平",D1124)),OR(ISNUMBER(SEARCH("上",D1124)),ISNUMBER(SEARCH("去",D1124)),ISNUMBER(SEARCH("入",D1124)))),"Ambiguous",IF(ISNUMBER(SEARCH("平",D1124)),"平","仄")))</x:f>
        <x:v>仄</x:v>
      </x:c>
      <x:c r="L1124" s="7" t="str"/>
    </x:row>
    <x:row r="1125">
      <x:c r="A1125" s="5" t="str">
        <x:v>帝</x:v>
      </x:c>
      <x:c r="B1125" s="6" t="str">
        <x:v>去</x:v>
      </x:c>
      <x:c r="C1125" s="6" t="str">
        <x:f>IF(B1125="","Needs decision","Ready")</x:f>
        <x:v>Ready</x:v>
      </x:c>
      <x:c r="D1125" s="6" t="str">
        <x:v>去</x:v>
      </x:c>
      <x:c r="E1125" s="6" t="str">
        <x:v>tejH (C)</x:v>
      </x:c>
      <x:c r="F1125" s="6" t="str">
        <x:v>去聲八霽</x:v>
      </x:c>
      <x:c r="G1125" s="6" t="str">
        <x:v>Pingshui main list, Wikisource-derived DOCX</x:v>
      </x:c>
      <x:c r="H1125" s="6" t="str">
        <x:v>1</x:v>
      </x:c>
      <x:c r="I1125" s="6" t="str"/>
      <x:c r="J1125" s="6" t="str">
        <x:f>IF(B1125="","",IF(AND(ISNUMBER(SEARCH("平",B1125)),OR(ISNUMBER(SEARCH("上",B1125)),ISNUMBER(SEARCH("去",B1125)),ISNUMBER(SEARCH("入",B1125)))),"Ambiguous",IF(ISNUMBER(SEARCH("平",B1125)),"平","仄")))</x:f>
        <x:v>仄</x:v>
      </x:c>
      <x:c r="K1125" s="6" t="str">
        <x:f>IF(D1125="","",IF(AND(ISNUMBER(SEARCH("平",D1125)),OR(ISNUMBER(SEARCH("上",D1125)),ISNUMBER(SEARCH("去",D1125)),ISNUMBER(SEARCH("入",D1125)))),"Ambiguous",IF(ISNUMBER(SEARCH("平",D1125)),"平","仄")))</x:f>
        <x:v>仄</x:v>
      </x:c>
      <x:c r="L1125" s="7" t="str"/>
    </x:row>
    <x:row r="1126">
      <x:c r="A1126" s="5" t="str">
        <x:v>帥</x:v>
      </x:c>
      <x:c r="B1126" s="6" t="str">
        <x:v>去</x:v>
      </x:c>
      <x:c r="C1126" s="6" t="str">
        <x:f>IF(B1126="","Needs decision","Ready")</x:f>
        <x:v>Ready</x:v>
      </x:c>
      <x:c r="D1126" s="6" t="str">
        <x:v>去</x:v>
      </x:c>
      <x:c r="E1126" s="6" t="str">
        <x:v>srwijH (C)</x:v>
      </x:c>
      <x:c r="F1126" s="6" t="str">
        <x:v>入聲四質</x:v>
      </x:c>
      <x:c r="G1126" s="6" t="str">
        <x:v>Pingshui main list, Wikisource-derived DOCX</x:v>
      </x:c>
      <x:c r="H1126" s="6" t="str">
        <x:v>1</x:v>
      </x:c>
      <x:c r="I1126" s="6" t="str"/>
      <x:c r="J1126" s="6" t="str">
        <x:f>IF(B1126="","",IF(AND(ISNUMBER(SEARCH("平",B1126)),OR(ISNUMBER(SEARCH("上",B1126)),ISNUMBER(SEARCH("去",B1126)),ISNUMBER(SEARCH("入",B1126)))),"Ambiguous",IF(ISNUMBER(SEARCH("平",B1126)),"平","仄")))</x:f>
        <x:v>仄</x:v>
      </x:c>
      <x:c r="K1126" s="6" t="str">
        <x:f>IF(D1126="","",IF(AND(ISNUMBER(SEARCH("平",D1126)),OR(ISNUMBER(SEARCH("上",D1126)),ISNUMBER(SEARCH("去",D1126)),ISNUMBER(SEARCH("入",D1126)))),"Ambiguous",IF(ISNUMBER(SEARCH("平",D1126)),"平","仄")))</x:f>
        <x:v>仄</x:v>
      </x:c>
      <x:c r="L1126" s="7" t="str"/>
    </x:row>
    <x:row r="1127">
      <x:c r="A1127" s="5" t="str">
        <x:v>帨</x:v>
      </x:c>
      <x:c r="B1127" s="6" t="str">
        <x:v>去</x:v>
      </x:c>
      <x:c r="C1127" s="6" t="str">
        <x:f>IF(B1127="","Needs decision","Ready")</x:f>
        <x:v>Ready</x:v>
      </x:c>
      <x:c r="D1127" s="6" t="str">
        <x:v>去</x:v>
      </x:c>
      <x:c r="E1127" s="6" t="str">
        <x:v>sywejH (C); tshjwejH (C)</x:v>
      </x:c>
      <x:c r="F1127" s="6" t="str">
        <x:v>去聲八霽</x:v>
      </x:c>
      <x:c r="G1127" s="6" t="str">
        <x:v>Pingshui main list, Wikisource-derived DOCX</x:v>
      </x:c>
      <x:c r="H1127" s="6" t="str">
        <x:v>2</x:v>
      </x:c>
      <x:c r="I1127" s="6" t="str"/>
      <x:c r="J1127" s="6" t="str">
        <x:f>IF(B1127="","",IF(AND(ISNUMBER(SEARCH("平",B1127)),OR(ISNUMBER(SEARCH("上",B1127)),ISNUMBER(SEARCH("去",B1127)),ISNUMBER(SEARCH("入",B1127)))),"Ambiguous",IF(ISNUMBER(SEARCH("平",B1127)),"平","仄")))</x:f>
        <x:v>仄</x:v>
      </x:c>
      <x:c r="K1127" s="6" t="str">
        <x:f>IF(D1127="","",IF(AND(ISNUMBER(SEARCH("平",D1127)),OR(ISNUMBER(SEARCH("上",D1127)),ISNUMBER(SEARCH("去",D1127)),ISNUMBER(SEARCH("入",D1127)))),"Ambiguous",IF(ISNUMBER(SEARCH("平",D1127)),"平","仄")))</x:f>
        <x:v>仄</x:v>
      </x:c>
      <x:c r="L1127" s="7" t="str"/>
    </x:row>
    <x:row r="1128">
      <x:c r="A1128" s="5" t="str">
        <x:v>師</x:v>
      </x:c>
      <x:c r="B1128" s="6" t="str">
        <x:v>平</x:v>
      </x:c>
      <x:c r="C1128" s="6" t="str">
        <x:f>IF(B1128="","Needs decision","Ready")</x:f>
        <x:v>Ready</x:v>
      </x:c>
      <x:c r="D1128" s="6" t="str">
        <x:v>平</x:v>
      </x:c>
      <x:c r="E1128" s="6" t="str">
        <x:v>srij (A)</x:v>
      </x:c>
      <x:c r="F1128" s="6" t="str">
        <x:v>上平聲四支; 去聲四寘</x:v>
      </x:c>
      <x:c r="G1128" s="6" t="str">
        <x:v>Pingshui main list, Wikisource-derived DOCX</x:v>
      </x:c>
      <x:c r="H1128" s="6" t="str">
        <x:v>1</x:v>
      </x:c>
      <x:c r="I1128" s="6" t="str"/>
      <x:c r="J1128" s="6" t="str">
        <x:f>IF(B1128="","",IF(AND(ISNUMBER(SEARCH("平",B1128)),OR(ISNUMBER(SEARCH("上",B1128)),ISNUMBER(SEARCH("去",B1128)),ISNUMBER(SEARCH("入",B1128)))),"Ambiguous",IF(ISNUMBER(SEARCH("平",B1128)),"平","仄")))</x:f>
        <x:v>平</x:v>
      </x:c>
      <x:c r="K1128" s="6" t="str">
        <x:f>IF(D1128="","",IF(AND(ISNUMBER(SEARCH("平",D1128)),OR(ISNUMBER(SEARCH("上",D1128)),ISNUMBER(SEARCH("去",D1128)),ISNUMBER(SEARCH("入",D1128)))),"Ambiguous",IF(ISNUMBER(SEARCH("平",D1128)),"平","仄")))</x:f>
        <x:v>平</x:v>
      </x:c>
      <x:c r="L1128" s="7" t="str"/>
    </x:row>
    <x:row r="1129">
      <x:c r="A1129" s="5" t="str">
        <x:v>席</x:v>
      </x:c>
      <x:c r="B1129" s="6" t="str">
        <x:v>入</x:v>
      </x:c>
      <x:c r="C1129" s="6" t="str">
        <x:f>IF(B1129="","Needs decision","Ready")</x:f>
        <x:v>Ready</x:v>
      </x:c>
      <x:c r="D1129" s="6" t="str">
        <x:v>入</x:v>
      </x:c>
      <x:c r="E1129" s="6" t="str">
        <x:v>zjek (D)</x:v>
      </x:c>
      <x:c r="F1129" s="6" t="str">
        <x:v>入聲十一陌</x:v>
      </x:c>
      <x:c r="G1129" s="6" t="str">
        <x:v>Pingshui main list, Wikisource-derived DOCX</x:v>
      </x:c>
      <x:c r="H1129" s="6" t="str">
        <x:v>1</x:v>
      </x:c>
      <x:c r="I1129" s="6" t="str"/>
      <x:c r="J1129" s="6" t="str">
        <x:f>IF(B1129="","",IF(AND(ISNUMBER(SEARCH("平",B1129)),OR(ISNUMBER(SEARCH("上",B1129)),ISNUMBER(SEARCH("去",B1129)),ISNUMBER(SEARCH("入",B1129)))),"Ambiguous",IF(ISNUMBER(SEARCH("平",B1129)),"平","仄")))</x:f>
        <x:v>仄</x:v>
      </x:c>
      <x:c r="K1129" s="6" t="str">
        <x:f>IF(D1129="","",IF(AND(ISNUMBER(SEARCH("平",D1129)),OR(ISNUMBER(SEARCH("上",D1129)),ISNUMBER(SEARCH("去",D1129)),ISNUMBER(SEARCH("入",D1129)))),"Ambiguous",IF(ISNUMBER(SEARCH("平",D1129)),"平","仄")))</x:f>
        <x:v>仄</x:v>
      </x:c>
      <x:c r="L1129" s="7" t="str"/>
    </x:row>
    <x:row r="1130">
      <x:c r="A1130" s="5" t="str">
        <x:v>帳</x:v>
      </x:c>
      <x:c r="B1130" s="6" t="str">
        <x:v>去</x:v>
      </x:c>
      <x:c r="C1130" s="6" t="str">
        <x:f>IF(B1130="","Needs decision","Ready")</x:f>
        <x:v>Ready</x:v>
      </x:c>
      <x:c r="D1130" s="6" t="str">
        <x:v>去</x:v>
      </x:c>
      <x:c r="E1130" s="6" t="str">
        <x:v>trjangH (C)</x:v>
      </x:c>
      <x:c r="F1130" s="6" t="str">
        <x:v>去聲二十三漾</x:v>
      </x:c>
      <x:c r="G1130" s="6" t="str">
        <x:v>Pingshui main list, Wikisource-derived DOCX</x:v>
      </x:c>
      <x:c r="H1130" s="6" t="str">
        <x:v>1</x:v>
      </x:c>
      <x:c r="I1130" s="6" t="str"/>
      <x:c r="J1130" s="6" t="str">
        <x:f>IF(B1130="","",IF(AND(ISNUMBER(SEARCH("平",B1130)),OR(ISNUMBER(SEARCH("上",B1130)),ISNUMBER(SEARCH("去",B1130)),ISNUMBER(SEARCH("入",B1130)))),"Ambiguous",IF(ISNUMBER(SEARCH("平",B1130)),"平","仄")))</x:f>
        <x:v>仄</x:v>
      </x:c>
      <x:c r="K1130" s="6" t="str">
        <x:f>IF(D1130="","",IF(AND(ISNUMBER(SEARCH("平",D1130)),OR(ISNUMBER(SEARCH("上",D1130)),ISNUMBER(SEARCH("去",D1130)),ISNUMBER(SEARCH("入",D1130)))),"Ambiguous",IF(ISNUMBER(SEARCH("平",D1130)),"平","仄")))</x:f>
        <x:v>仄</x:v>
      </x:c>
      <x:c r="L1130" s="7" t="str"/>
    </x:row>
    <x:row r="1131">
      <x:c r="A1131" s="5" t="str">
        <x:v>帶</x:v>
      </x:c>
      <x:c r="B1131" s="6" t="str">
        <x:v>去</x:v>
      </x:c>
      <x:c r="C1131" s="6" t="str">
        <x:f>IF(B1131="","Needs decision","Ready")</x:f>
        <x:v>Ready</x:v>
      </x:c>
      <x:c r="D1131" s="6" t="str">
        <x:v>去</x:v>
      </x:c>
      <x:c r="E1131" s="6" t="str">
        <x:v>tajH (C)</x:v>
      </x:c>
      <x:c r="F1131" s="6" t="str">
        <x:v>去聲九泰</x:v>
      </x:c>
      <x:c r="G1131" s="6" t="str">
        <x:v>Pingshui main list, Wikisource-derived DOCX</x:v>
      </x:c>
      <x:c r="H1131" s="6" t="str">
        <x:v>1</x:v>
      </x:c>
      <x:c r="I1131" s="6" t="str"/>
      <x:c r="J1131" s="6" t="str">
        <x:f>IF(B1131="","",IF(AND(ISNUMBER(SEARCH("平",B1131)),OR(ISNUMBER(SEARCH("上",B1131)),ISNUMBER(SEARCH("去",B1131)),ISNUMBER(SEARCH("入",B1131)))),"Ambiguous",IF(ISNUMBER(SEARCH("平",B1131)),"平","仄")))</x:f>
        <x:v>仄</x:v>
      </x:c>
      <x:c r="K1131" s="6" t="str">
        <x:f>IF(D1131="","",IF(AND(ISNUMBER(SEARCH("平",D1131)),OR(ISNUMBER(SEARCH("上",D1131)),ISNUMBER(SEARCH("去",D1131)),ISNUMBER(SEARCH("入",D1131)))),"Ambiguous",IF(ISNUMBER(SEARCH("平",D1131)),"平","仄")))</x:f>
        <x:v>仄</x:v>
      </x:c>
      <x:c r="L1131" s="7" t="str"/>
    </x:row>
    <x:row r="1132">
      <x:c r="A1132" s="5" t="str">
        <x:v>帷</x:v>
      </x:c>
      <x:c r="B1132" s="6" t="str">
        <x:v>平</x:v>
      </x:c>
      <x:c r="C1132" s="6" t="str">
        <x:f>IF(B1132="","Needs decision","Ready")</x:f>
        <x:v>Ready</x:v>
      </x:c>
      <x:c r="D1132" s="6" t="str">
        <x:v>平</x:v>
      </x:c>
      <x:c r="E1132" s="6" t="str">
        <x:v>hwij (A)</x:v>
      </x:c>
      <x:c r="F1132" s="6" t="str">
        <x:v>上平聲四支</x:v>
      </x:c>
      <x:c r="G1132" s="6" t="str">
        <x:v>Pingshui main list, Wikisource-derived DOCX</x:v>
      </x:c>
      <x:c r="H1132" s="6" t="str">
        <x:v>1</x:v>
      </x:c>
      <x:c r="I1132" s="6" t="str"/>
      <x:c r="J1132" s="6" t="str">
        <x:f>IF(B1132="","",IF(AND(ISNUMBER(SEARCH("平",B1132)),OR(ISNUMBER(SEARCH("上",B1132)),ISNUMBER(SEARCH("去",B1132)),ISNUMBER(SEARCH("入",B1132)))),"Ambiguous",IF(ISNUMBER(SEARCH("平",B1132)),"平","仄")))</x:f>
        <x:v>平</x:v>
      </x:c>
      <x:c r="K1132" s="6" t="str">
        <x:f>IF(D1132="","",IF(AND(ISNUMBER(SEARCH("平",D1132)),OR(ISNUMBER(SEARCH("上",D1132)),ISNUMBER(SEARCH("去",D1132)),ISNUMBER(SEARCH("入",D1132)))),"Ambiguous",IF(ISNUMBER(SEARCH("平",D1132)),"平","仄")))</x:f>
        <x:v>平</x:v>
      </x:c>
      <x:c r="L1132" s="7" t="str"/>
    </x:row>
    <x:row r="1133">
      <x:c r="A1133" s="5" t="str">
        <x:v>常</x:v>
      </x:c>
      <x:c r="B1133" s="6" t="str">
        <x:v>平</x:v>
      </x:c>
      <x:c r="C1133" s="6" t="str">
        <x:f>IF(B1133="","Needs decision","Ready")</x:f>
        <x:v>Ready</x:v>
      </x:c>
      <x:c r="D1133" s="6" t="str">
        <x:v>平</x:v>
      </x:c>
      <x:c r="E1133" s="6" t="str">
        <x:v>dzyang (A)</x:v>
      </x:c>
      <x:c r="F1133" s="6" t="str">
        <x:v>下平聲七陽</x:v>
      </x:c>
      <x:c r="G1133" s="6" t="str">
        <x:v>Pingshui main list, Wikisource-derived DOCX</x:v>
      </x:c>
      <x:c r="H1133" s="6" t="str">
        <x:v>1</x:v>
      </x:c>
      <x:c r="I1133" s="6" t="str"/>
      <x:c r="J1133" s="6" t="str">
        <x:f>IF(B1133="","",IF(AND(ISNUMBER(SEARCH("平",B1133)),OR(ISNUMBER(SEARCH("上",B1133)),ISNUMBER(SEARCH("去",B1133)),ISNUMBER(SEARCH("入",B1133)))),"Ambiguous",IF(ISNUMBER(SEARCH("平",B1133)),"平","仄")))</x:f>
        <x:v>平</x:v>
      </x:c>
      <x:c r="K1133" s="6" t="str">
        <x:f>IF(D1133="","",IF(AND(ISNUMBER(SEARCH("平",D1133)),OR(ISNUMBER(SEARCH("上",D1133)),ISNUMBER(SEARCH("去",D1133)),ISNUMBER(SEARCH("入",D1133)))),"Ambiguous",IF(ISNUMBER(SEARCH("平",D1133)),"平","仄")))</x:f>
        <x:v>平</x:v>
      </x:c>
      <x:c r="L1133" s="7" t="str"/>
    </x:row>
    <x:row r="1134">
      <x:c r="A1134" s="5" t="str">
        <x:v>帽</x:v>
      </x:c>
      <x:c r="B1134" s="6" t="str">
        <x:v>去</x:v>
      </x:c>
      <x:c r="C1134" s="6" t="str">
        <x:f>IF(B1134="","Needs decision","Ready")</x:f>
        <x:v>Ready</x:v>
      </x:c>
      <x:c r="D1134" s="6" t="str">
        <x:v>去</x:v>
      </x:c>
      <x:c r="E1134" s="6" t="str">
        <x:v>mawH (C)</x:v>
      </x:c>
      <x:c r="F1134" s="6" t="str">
        <x:v>去聲二十號</x:v>
      </x:c>
      <x:c r="G1134" s="6" t="str">
        <x:v>Pingshui main list, Wikisource-derived DOCX</x:v>
      </x:c>
      <x:c r="H1134" s="6" t="str">
        <x:v>1</x:v>
      </x:c>
      <x:c r="I1134" s="6" t="str"/>
      <x:c r="J1134" s="6" t="str">
        <x:f>IF(B1134="","",IF(AND(ISNUMBER(SEARCH("平",B1134)),OR(ISNUMBER(SEARCH("上",B1134)),ISNUMBER(SEARCH("去",B1134)),ISNUMBER(SEARCH("入",B1134)))),"Ambiguous",IF(ISNUMBER(SEARCH("平",B1134)),"平","仄")))</x:f>
        <x:v>仄</x:v>
      </x:c>
      <x:c r="K1134" s="6" t="str">
        <x:f>IF(D1134="","",IF(AND(ISNUMBER(SEARCH("平",D1134)),OR(ISNUMBER(SEARCH("上",D1134)),ISNUMBER(SEARCH("去",D1134)),ISNUMBER(SEARCH("入",D1134)))),"Ambiguous",IF(ISNUMBER(SEARCH("平",D1134)),"平","仄")))</x:f>
        <x:v>仄</x:v>
      </x:c>
      <x:c r="L1134" s="7" t="str"/>
    </x:row>
    <x:row r="1135">
      <x:c r="A1135" s="5" t="str">
        <x:v>幃</x:v>
      </x:c>
      <x:c r="B1135" s="6" t="str">
        <x:v>平</x:v>
      </x:c>
      <x:c r="C1135" s="6" t="str">
        <x:f>IF(B1135="","Needs decision","Ready")</x:f>
        <x:v>Ready</x:v>
      </x:c>
      <x:c r="D1135" s="6" t="str">
        <x:v>平</x:v>
      </x:c>
      <x:c r="E1135" s="6" t="str">
        <x:v>hjw+j [wɨj] (平)</x:v>
      </x:c>
      <x:c r="F1135" s="6" t="str">
        <x:v>上平聲五微</x:v>
      </x:c>
      <x:c r="G1135" s="6" t="str">
        <x:v>Pingshui main list, Wikisource-derived DOCX</x:v>
      </x:c>
      <x:c r="H1135" s="6" t="str">
        <x:v>1</x:v>
      </x:c>
      <x:c r="I1135" s="6" t="str">
        <x:v>Tang 300 gap; frequency 3; provisional from Xun Gong</x:v>
      </x:c>
      <x:c r="J1135" s="6" t="str">
        <x:f>IF(B1135="","",IF(AND(ISNUMBER(SEARCH("平",B1135)),OR(ISNUMBER(SEARCH("上",B1135)),ISNUMBER(SEARCH("去",B1135)),ISNUMBER(SEARCH("入",B1135)))),"Ambiguous",IF(ISNUMBER(SEARCH("平",B1135)),"平","仄")))</x:f>
        <x:v>平</x:v>
      </x:c>
      <x:c r="K1135" s="6" t="str">
        <x:f>IF(D1135="","",IF(AND(ISNUMBER(SEARCH("平",D1135)),OR(ISNUMBER(SEARCH("上",D1135)),ISNUMBER(SEARCH("去",D1135)),ISNUMBER(SEARCH("入",D1135)))),"Ambiguous",IF(ISNUMBER(SEARCH("平",D1135)),"平","仄")))</x:f>
        <x:v>平</x:v>
      </x:c>
      <x:c r="L1135" s="7" t="str">
        <x:v>Xun Gong, Tang 300 gap fill</x:v>
      </x:c>
    </x:row>
    <x:row r="1136">
      <x:c r="A1136" s="5" t="str">
        <x:v>幄</x:v>
      </x:c>
      <x:c r="B1136" s="6" t="str">
        <x:v>入</x:v>
      </x:c>
      <x:c r="C1136" s="6" t="str">
        <x:f>IF(B1136="","Needs decision","Ready")</x:f>
        <x:v>Ready</x:v>
      </x:c>
      <x:c r="D1136" s="6" t="str">
        <x:v>入</x:v>
      </x:c>
      <x:c r="E1136" s="6" t="str"/>
      <x:c r="F1136" s="6" t="str">
        <x:v>入聲三覺</x:v>
      </x:c>
      <x:c r="G1136" s="6" t="str">
        <x:v>Pingshui main list, Wikisource-derived DOCX</x:v>
      </x:c>
      <x:c r="H1136" s="6" t="str"/>
      <x:c r="I1136" s="6" t="str">
        <x:v>Manual user correction/addition</x:v>
      </x:c>
      <x:c r="J1136" s="6" t="str">
        <x:f>IF(B1136="","",IF(AND(ISNUMBER(SEARCH("平",B1136)),OR(ISNUMBER(SEARCH("上",B1136)),ISNUMBER(SEARCH("去",B1136)),ISNUMBER(SEARCH("入",B1136)))),"Ambiguous",IF(ISNUMBER(SEARCH("平",B1136)),"平","仄")))</x:f>
        <x:v>仄</x:v>
      </x:c>
      <x:c r="K1136" s="6" t="str">
        <x:f>IF(D1136="","",IF(AND(ISNUMBER(SEARCH("平",D1136)),OR(ISNUMBER(SEARCH("上",D1136)),ISNUMBER(SEARCH("去",D1136)),ISNUMBER(SEARCH("入",D1136)))),"Ambiguous",IF(ISNUMBER(SEARCH("平",D1136)),"平","仄")))</x:f>
        <x:v>仄</x:v>
      </x:c>
      <x:c r="L1136" s="7" t="str">
        <x:v>manual user correction</x:v>
      </x:c>
    </x:row>
    <x:row r="1137">
      <x:c r="A1137" s="5" t="str">
        <x:v>幅</x:v>
      </x:c>
      <x:c r="B1137" s="6" t="str">
        <x:v>入</x:v>
      </x:c>
      <x:c r="C1137" s="6" t="str">
        <x:f>IF(B1137="","Needs decision","Ready")</x:f>
        <x:v>Ready</x:v>
      </x:c>
      <x:c r="D1137" s="6" t="str">
        <x:v>入</x:v>
      </x:c>
      <x:c r="E1137" s="6" t="str">
        <x:v>pik (D); pjuwk (D)</x:v>
      </x:c>
      <x:c r="F1137" s="6" t="str">
        <x:v>入聲一屋; 入聲十三職</x:v>
      </x:c>
      <x:c r="G1137" s="6" t="str">
        <x:v>Pingshui main list, Wikisource-derived DOCX</x:v>
      </x:c>
      <x:c r="H1137" s="6" t="str">
        <x:v>2</x:v>
      </x:c>
      <x:c r="I1137" s="6" t="str"/>
      <x:c r="J1137" s="6" t="str">
        <x:f>IF(B1137="","",IF(AND(ISNUMBER(SEARCH("平",B1137)),OR(ISNUMBER(SEARCH("上",B1137)),ISNUMBER(SEARCH("去",B1137)),ISNUMBER(SEARCH("入",B1137)))),"Ambiguous",IF(ISNUMBER(SEARCH("平",B1137)),"平","仄")))</x:f>
        <x:v>仄</x:v>
      </x:c>
      <x:c r="K1137" s="6" t="str">
        <x:f>IF(D1137="","",IF(AND(ISNUMBER(SEARCH("平",D1137)),OR(ISNUMBER(SEARCH("上",D1137)),ISNUMBER(SEARCH("去",D1137)),ISNUMBER(SEARCH("入",D1137)))),"Ambiguous",IF(ISNUMBER(SEARCH("平",D1137)),"平","仄")))</x:f>
        <x:v>仄</x:v>
      </x:c>
      <x:c r="L1137" s="7" t="str"/>
    </x:row>
    <x:row r="1138">
      <x:c r="A1138" s="5" t="str">
        <x:v>幌</x:v>
      </x:c>
      <x:c r="B1138" s="6" t="str">
        <x:v>上</x:v>
      </x:c>
      <x:c r="C1138" s="6" t="str">
        <x:f>IF(B1138="","Needs decision","Ready")</x:f>
        <x:v>Ready</x:v>
      </x:c>
      <x:c r="D1138" s="6" t="str">
        <x:v>上</x:v>
      </x:c>
      <x:c r="E1138" s="6" t="str">
        <x:v>hwangX [ʁwɑŋʔ] (上)</x:v>
      </x:c>
      <x:c r="F1138" s="6" t="str">
        <x:v>上聲二十二養</x:v>
      </x:c>
      <x:c r="G1138" s="6" t="str">
        <x:v>Pingshui main list, Wikisource-derived DOCX</x:v>
      </x:c>
      <x:c r="H1138" s="6" t="str">
        <x:v>1</x:v>
      </x:c>
      <x:c r="I1138" s="6" t="str">
        <x:v>Tang 300 gap; frequency 1; provisional from Xun Gong</x:v>
      </x:c>
      <x:c r="J1138" s="6" t="str">
        <x:f>IF(B1138="","",IF(AND(ISNUMBER(SEARCH("平",B1138)),OR(ISNUMBER(SEARCH("上",B1138)),ISNUMBER(SEARCH("去",B1138)),ISNUMBER(SEARCH("入",B1138)))),"Ambiguous",IF(ISNUMBER(SEARCH("平",B1138)),"平","仄")))</x:f>
        <x:v>仄</x:v>
      </x:c>
      <x:c r="K1138" s="6" t="str">
        <x:f>IF(D1138="","",IF(AND(ISNUMBER(SEARCH("平",D1138)),OR(ISNUMBER(SEARCH("上",D1138)),ISNUMBER(SEARCH("去",D1138)),ISNUMBER(SEARCH("入",D1138)))),"Ambiguous",IF(ISNUMBER(SEARCH("平",D1138)),"平","仄")))</x:f>
        <x:v>仄</x:v>
      </x:c>
      <x:c r="L1138" s="7" t="str">
        <x:v>Xun Gong, Tang 300 gap fill</x:v>
      </x:c>
    </x:row>
    <x:row r="1139">
      <x:c r="A1139" s="5" t="str">
        <x:v>幔</x:v>
      </x:c>
      <x:c r="B1139" s="6" t="str">
        <x:v>去</x:v>
      </x:c>
      <x:c r="C1139" s="6" t="str">
        <x:f>IF(B1139="","Needs decision","Ready")</x:f>
        <x:v>Ready</x:v>
      </x:c>
      <x:c r="D1139" s="6" t="str">
        <x:v>去</x:v>
      </x:c>
      <x:c r="E1139" s="6" t="str">
        <x:v>manH (C)</x:v>
      </x:c>
      <x:c r="F1139" s="6" t="str">
        <x:v>去聲十五翰</x:v>
      </x:c>
      <x:c r="G1139" s="6" t="str">
        <x:v>Pingshui main list, Wikisource-derived DOCX</x:v>
      </x:c>
      <x:c r="H1139" s="6" t="str">
        <x:v>1</x:v>
      </x:c>
      <x:c r="I1139" s="6" t="str"/>
      <x:c r="J1139" s="6" t="str">
        <x:f>IF(B1139="","",IF(AND(ISNUMBER(SEARCH("平",B1139)),OR(ISNUMBER(SEARCH("上",B1139)),ISNUMBER(SEARCH("去",B1139)),ISNUMBER(SEARCH("入",B1139)))),"Ambiguous",IF(ISNUMBER(SEARCH("平",B1139)),"平","仄")))</x:f>
        <x:v>仄</x:v>
      </x:c>
      <x:c r="K1139" s="6" t="str">
        <x:f>IF(D1139="","",IF(AND(ISNUMBER(SEARCH("平",D1139)),OR(ISNUMBER(SEARCH("上",D1139)),ISNUMBER(SEARCH("去",D1139)),ISNUMBER(SEARCH("入",D1139)))),"Ambiguous",IF(ISNUMBER(SEARCH("平",D1139)),"平","仄")))</x:f>
        <x:v>仄</x:v>
      </x:c>
      <x:c r="L1139" s="7" t="str"/>
    </x:row>
    <x:row r="1140">
      <x:c r="A1140" s="5" t="str">
        <x:v>幕</x:v>
      </x:c>
      <x:c r="B1140" s="6" t="str">
        <x:v>入</x:v>
      </x:c>
      <x:c r="C1140" s="6" t="str">
        <x:f>IF(B1140="","Needs decision","Ready")</x:f>
        <x:v>Ready</x:v>
      </x:c>
      <x:c r="D1140" s="6" t="str">
        <x:v>入</x:v>
      </x:c>
      <x:c r="E1140" s="6" t="str">
        <x:v>mak (D)</x:v>
      </x:c>
      <x:c r="F1140" s="6" t="str">
        <x:v>入聲十藥</x:v>
      </x:c>
      <x:c r="G1140" s="6" t="str">
        <x:v>Pingshui main list, Wikisource-derived DOCX</x:v>
      </x:c>
      <x:c r="H1140" s="6" t="str">
        <x:v>1</x:v>
      </x:c>
      <x:c r="I1140" s="6" t="str"/>
      <x:c r="J1140" s="6" t="str">
        <x:f>IF(B1140="","",IF(AND(ISNUMBER(SEARCH("平",B1140)),OR(ISNUMBER(SEARCH("上",B1140)),ISNUMBER(SEARCH("去",B1140)),ISNUMBER(SEARCH("入",B1140)))),"Ambiguous",IF(ISNUMBER(SEARCH("平",B1140)),"平","仄")))</x:f>
        <x:v>仄</x:v>
      </x:c>
      <x:c r="K1140" s="6" t="str">
        <x:f>IF(D1140="","",IF(AND(ISNUMBER(SEARCH("平",D1140)),OR(ISNUMBER(SEARCH("上",D1140)),ISNUMBER(SEARCH("去",D1140)),ISNUMBER(SEARCH("入",D1140)))),"Ambiguous",IF(ISNUMBER(SEARCH("平",D1140)),"平","仄")))</x:f>
        <x:v>仄</x:v>
      </x:c>
      <x:c r="L1140" s="7" t="str"/>
    </x:row>
    <x:row r="1141">
      <x:c r="A1141" s="5" t="str">
        <x:v>幘</x:v>
      </x:c>
      <x:c r="B1141" s="6" t="str">
        <x:v>入</x:v>
      </x:c>
      <x:c r="C1141" s="6" t="str">
        <x:f>IF(B1141="","Needs decision","Ready")</x:f>
        <x:v>Ready</x:v>
      </x:c>
      <x:c r="D1141" s="6" t="str">
        <x:v>入</x:v>
      </x:c>
      <x:c r="E1141" s="6" t="str">
        <x:v>tsreak [tʂeˤk] (入)</x:v>
      </x:c>
      <x:c r="F1141" s="6" t="str">
        <x:v>入聲十一陌</x:v>
      </x:c>
      <x:c r="G1141" s="6" t="str">
        <x:v>Pingshui main list, Wikisource-derived DOCX</x:v>
      </x:c>
      <x:c r="H1141" s="6" t="str">
        <x:v>1</x:v>
      </x:c>
      <x:c r="I1141" s="6" t="str">
        <x:v>Tang 300 gap; frequency 1; provisional from Xun Gong</x:v>
      </x:c>
      <x:c r="J1141" s="6" t="str">
        <x:f>IF(B1141="","",IF(AND(ISNUMBER(SEARCH("平",B1141)),OR(ISNUMBER(SEARCH("上",B1141)),ISNUMBER(SEARCH("去",B1141)),ISNUMBER(SEARCH("入",B1141)))),"Ambiguous",IF(ISNUMBER(SEARCH("平",B1141)),"平","仄")))</x:f>
        <x:v>仄</x:v>
      </x:c>
      <x:c r="K1141" s="6" t="str">
        <x:f>IF(D1141="","",IF(AND(ISNUMBER(SEARCH("平",D1141)),OR(ISNUMBER(SEARCH("上",D1141)),ISNUMBER(SEARCH("去",D1141)),ISNUMBER(SEARCH("入",D1141)))),"Ambiguous",IF(ISNUMBER(SEARCH("平",D1141)),"平","仄")))</x:f>
        <x:v>仄</x:v>
      </x:c>
      <x:c r="L1141" s="7" t="str">
        <x:v>Xun Gong, Tang 300 gap fill</x:v>
      </x:c>
    </x:row>
    <x:row r="1142">
      <x:c r="A1142" s="5" t="str">
        <x:v>幞</x:v>
      </x:c>
      <x:c r="B1142" s="6" t="str">
        <x:v>入</x:v>
      </x:c>
      <x:c r="C1142" s="6" t="str">
        <x:f>IF(B1142="","Needs decision","Ready")</x:f>
        <x:v>Ready</x:v>
      </x:c>
      <x:c r="D1142" s="6" t="str">
        <x:v>入</x:v>
      </x:c>
      <x:c r="E1142" s="6" t="str">
        <x:v>bjowk (D)</x:v>
      </x:c>
      <x:c r="F1142" s="6" t="str"/>
      <x:c r="G1142" s="6" t="str"/>
      <x:c r="H1142" s="6" t="str">
        <x:v>1</x:v>
      </x:c>
      <x:c r="I1142" s="6" t="str"/>
      <x:c r="J1142" s="6" t="str">
        <x:f>IF(B1142="","",IF(AND(ISNUMBER(SEARCH("平",B1142)),OR(ISNUMBER(SEARCH("上",B1142)),ISNUMBER(SEARCH("去",B1142)),ISNUMBER(SEARCH("入",B1142)))),"Ambiguous",IF(ISNUMBER(SEARCH("平",B1142)),"平","仄")))</x:f>
        <x:v>仄</x:v>
      </x:c>
      <x:c r="K1142" s="6" t="str">
        <x:f>IF(D1142="","",IF(AND(ISNUMBER(SEARCH("平",D1142)),OR(ISNUMBER(SEARCH("上",D1142)),ISNUMBER(SEARCH("去",D1142)),ISNUMBER(SEARCH("入",D1142)))),"Ambiguous",IF(ISNUMBER(SEARCH("平",D1142)),"平","仄")))</x:f>
        <x:v>仄</x:v>
      </x:c>
      <x:c r="L1142" s="7" t="str"/>
    </x:row>
    <x:row r="1143">
      <x:c r="A1143" s="5" t="str">
        <x:v>幠</x:v>
      </x:c>
      <x:c r="B1143" s="6" t="str">
        <x:v>平</x:v>
      </x:c>
      <x:c r="C1143" s="6" t="str">
        <x:f>IF(B1143="","Needs decision","Ready")</x:f>
        <x:v>Ready</x:v>
      </x:c>
      <x:c r="D1143" s="6" t="str">
        <x:v>平</x:v>
      </x:c>
      <x:c r="E1143" s="6" t="str">
        <x:v>xu (A)</x:v>
      </x:c>
      <x:c r="F1143" s="6" t="str">
        <x:v>上平聲七虞</x:v>
      </x:c>
      <x:c r="G1143" s="6" t="str">
        <x:v>Pingshui main list, Wikisource-derived DOCX</x:v>
      </x:c>
      <x:c r="H1143" s="6" t="str">
        <x:v>1</x:v>
      </x:c>
      <x:c r="I1143" s="6" t="str"/>
      <x:c r="J1143" s="6" t="str">
        <x:f>IF(B1143="","",IF(AND(ISNUMBER(SEARCH("平",B1143)),OR(ISNUMBER(SEARCH("上",B1143)),ISNUMBER(SEARCH("去",B1143)),ISNUMBER(SEARCH("入",B1143)))),"Ambiguous",IF(ISNUMBER(SEARCH("平",B1143)),"平","仄")))</x:f>
        <x:v>平</x:v>
      </x:c>
      <x:c r="K1143" s="6" t="str">
        <x:f>IF(D1143="","",IF(AND(ISNUMBER(SEARCH("平",D1143)),OR(ISNUMBER(SEARCH("上",D1143)),ISNUMBER(SEARCH("去",D1143)),ISNUMBER(SEARCH("入",D1143)))),"Ambiguous",IF(ISNUMBER(SEARCH("平",D1143)),"平","仄")))</x:f>
        <x:v>平</x:v>
      </x:c>
      <x:c r="L1143" s="7" t="str"/>
    </x:row>
    <x:row r="1144">
      <x:c r="A1144" s="5" t="str">
        <x:v>幢</x:v>
      </x:c>
      <x:c r="B1144" s="6" t="str">
        <x:v>平</x:v>
      </x:c>
      <x:c r="C1144" s="6" t="str">
        <x:f>IF(B1144="","Needs decision","Ready")</x:f>
        <x:v>Ready</x:v>
      </x:c>
      <x:c r="D1144" s="6" t="str">
        <x:v>平</x:v>
      </x:c>
      <x:c r="E1144" s="6" t="str">
        <x:v>draewng (A)</x:v>
      </x:c>
      <x:c r="F1144" s="6" t="str">
        <x:v>上平聲三江; 去聲三絳</x:v>
      </x:c>
      <x:c r="G1144" s="6" t="str">
        <x:v>Pingshui main list, Wikisource-derived DOCX</x:v>
      </x:c>
      <x:c r="H1144" s="6" t="str">
        <x:v>1</x:v>
      </x:c>
      <x:c r="I1144" s="6" t="str"/>
      <x:c r="J1144" s="6" t="str">
        <x:f>IF(B1144="","",IF(AND(ISNUMBER(SEARCH("平",B1144)),OR(ISNUMBER(SEARCH("上",B1144)),ISNUMBER(SEARCH("去",B1144)),ISNUMBER(SEARCH("入",B1144)))),"Ambiguous",IF(ISNUMBER(SEARCH("平",B1144)),"平","仄")))</x:f>
        <x:v>平</x:v>
      </x:c>
      <x:c r="K1144" s="6" t="str">
        <x:f>IF(D1144="","",IF(AND(ISNUMBER(SEARCH("平",D1144)),OR(ISNUMBER(SEARCH("上",D1144)),ISNUMBER(SEARCH("去",D1144)),ISNUMBER(SEARCH("入",D1144)))),"Ambiguous",IF(ISNUMBER(SEARCH("平",D1144)),"平","仄")))</x:f>
        <x:v>平</x:v>
      </x:c>
      <x:c r="L1144" s="7" t="str"/>
    </x:row>
    <x:row r="1145">
      <x:c r="A1145" s="5" t="str">
        <x:v>幣</x:v>
      </x:c>
      <x:c r="B1145" s="6" t="str">
        <x:v>去</x:v>
      </x:c>
      <x:c r="C1145" s="6" t="str">
        <x:f>IF(B1145="","Needs decision","Ready")</x:f>
        <x:v>Ready</x:v>
      </x:c>
      <x:c r="D1145" s="6" t="str">
        <x:v>去</x:v>
      </x:c>
      <x:c r="E1145" s="6" t="str">
        <x:v>bjiejH (C)</x:v>
      </x:c>
      <x:c r="F1145" s="6" t="str">
        <x:v>去聲八霽</x:v>
      </x:c>
      <x:c r="G1145" s="6" t="str">
        <x:v>Pingshui main list, Wikisource-derived DOCX</x:v>
      </x:c>
      <x:c r="H1145" s="6" t="str">
        <x:v>1</x:v>
      </x:c>
      <x:c r="I1145" s="6" t="str"/>
      <x:c r="J1145" s="6" t="str">
        <x:f>IF(B1145="","",IF(AND(ISNUMBER(SEARCH("平",B1145)),OR(ISNUMBER(SEARCH("上",B1145)),ISNUMBER(SEARCH("去",B1145)),ISNUMBER(SEARCH("入",B1145)))),"Ambiguous",IF(ISNUMBER(SEARCH("平",B1145)),"平","仄")))</x:f>
        <x:v>仄</x:v>
      </x:c>
      <x:c r="K1145" s="6" t="str">
        <x:f>IF(D1145="","",IF(AND(ISNUMBER(SEARCH("平",D1145)),OR(ISNUMBER(SEARCH("上",D1145)),ISNUMBER(SEARCH("去",D1145)),ISNUMBER(SEARCH("入",D1145)))),"Ambiguous",IF(ISNUMBER(SEARCH("平",D1145)),"平","仄")))</x:f>
        <x:v>仄</x:v>
      </x:c>
      <x:c r="L1145" s="7" t="str"/>
    </x:row>
    <x:row r="1146">
      <x:c r="A1146" s="5" t="str">
        <x:v>幦</x:v>
      </x:c>
      <x:c r="B1146" s="6" t="str">
        <x:v>入</x:v>
      </x:c>
      <x:c r="C1146" s="6" t="str">
        <x:f>IF(B1146="","Needs decision","Ready")</x:f>
        <x:v>Ready</x:v>
      </x:c>
      <x:c r="D1146" s="6" t="str">
        <x:v>入</x:v>
      </x:c>
      <x:c r="E1146" s="6" t="str">
        <x:v>mek (D)</x:v>
      </x:c>
      <x:c r="F1146" s="6" t="str"/>
      <x:c r="G1146" s="6" t="str"/>
      <x:c r="H1146" s="6" t="str">
        <x:v>1</x:v>
      </x:c>
      <x:c r="I1146" s="6" t="str"/>
      <x:c r="J1146" s="6" t="str">
        <x:f>IF(B1146="","",IF(AND(ISNUMBER(SEARCH("平",B1146)),OR(ISNUMBER(SEARCH("上",B1146)),ISNUMBER(SEARCH("去",B1146)),ISNUMBER(SEARCH("入",B1146)))),"Ambiguous",IF(ISNUMBER(SEARCH("平",B1146)),"平","仄")))</x:f>
        <x:v>仄</x:v>
      </x:c>
      <x:c r="K1146" s="6" t="str">
        <x:f>IF(D1146="","",IF(AND(ISNUMBER(SEARCH("平",D1146)),OR(ISNUMBER(SEARCH("上",D1146)),ISNUMBER(SEARCH("去",D1146)),ISNUMBER(SEARCH("入",D1146)))),"Ambiguous",IF(ISNUMBER(SEARCH("平",D1146)),"平","仄")))</x:f>
        <x:v>仄</x:v>
      </x:c>
      <x:c r="L1146" s="7" t="str"/>
    </x:row>
    <x:row r="1147">
      <x:c r="A1147" s="5" t="str">
        <x:v>幨</x:v>
      </x:c>
      <x:c r="B1147" s="6" t="str"/>
      <x:c r="C1147" s="6" t="str">
        <x:f>IF(B1147="","Needs decision","Ready")</x:f>
        <x:v>Needs decision</x:v>
      </x:c>
      <x:c r="D1147" s="6" t="str">
        <x:v>平/去</x:v>
      </x:c>
      <x:c r="E1147" s="6" t="str">
        <x:v>tsyhem (A); tsyhemH (C)</x:v>
      </x:c>
      <x:c r="F1147" s="6" t="str">
        <x:v>下平聲十四鹽; 去聲二十九豔</x:v>
      </x:c>
      <x:c r="G1147" s="6" t="str">
        <x:v>Pingshui main list, Wikisource-derived DOCX</x:v>
      </x:c>
      <x:c r="H1147" s="6" t="str">
        <x:v>2</x:v>
      </x:c>
      <x:c r="I1147" s="6" t="str"/>
      <x:c r="J1147" s="6" t="str">
        <x:f>IF(B1147="","",IF(AND(ISNUMBER(SEARCH("平",B1147)),OR(ISNUMBER(SEARCH("上",B1147)),ISNUMBER(SEARCH("去",B1147)),ISNUMBER(SEARCH("入",B1147)))),"Ambiguous",IF(ISNUMBER(SEARCH("平",B1147)),"平","仄")))</x:f>
      </x:c>
      <x:c r="K1147" s="6" t="str">
        <x:f>IF(D1147="","",IF(AND(ISNUMBER(SEARCH("平",D1147)),OR(ISNUMBER(SEARCH("上",D1147)),ISNUMBER(SEARCH("去",D1147)),ISNUMBER(SEARCH("入",D1147)))),"Ambiguous",IF(ISNUMBER(SEARCH("平",D1147)),"平","仄")))</x:f>
        <x:v>Ambiguous</x:v>
      </x:c>
      <x:c r="L1147" s="7" t="str"/>
    </x:row>
    <x:row r="1148">
      <x:c r="A1148" s="5" t="str">
        <x:v>幬</x:v>
      </x:c>
      <x:c r="B1148" s="6" t="str">
        <x:v>平</x:v>
      </x:c>
      <x:c r="C1148" s="6" t="str">
        <x:f>IF(B1148="","Needs decision","Ready")</x:f>
        <x:v>Ready</x:v>
      </x:c>
      <x:c r="D1148" s="6" t="str">
        <x:v>平</x:v>
      </x:c>
      <x:c r="E1148" s="6" t="str"/>
      <x:c r="F1148" s="6" t="str">
        <x:v>下平聲十一尤</x:v>
      </x:c>
      <x:c r="G1148" s="6" t="str">
        <x:v>Pingshui main list, Wikisource-derived DOCX</x:v>
      </x:c>
      <x:c r="H1148" s="6" t="str">
        <x:v>0</x:v>
      </x:c>
      <x:c r="I1148" s="6" t="str">
        <x:v>User correction 2026-09-08; added manually</x:v>
      </x:c>
      <x:c r="J1148" s="6" t="str">
        <x:f>IF(B1148="","",IF(AND(ISNUMBER(SEARCH("平",B1148)),OR(ISNUMBER(SEARCH("上",B1148)),ISNUMBER(SEARCH("去",B1148)),ISNUMBER(SEARCH("入",B1148)))),"Ambiguous",IF(ISNUMBER(SEARCH("平",B1148)),"平","仄")))</x:f>
        <x:v>平</x:v>
      </x:c>
      <x:c r="K1148" s="6" t="str">
        <x:f>IF(D1148="","",IF(AND(ISNUMBER(SEARCH("平",D1148)),OR(ISNUMBER(SEARCH("上",D1148)),ISNUMBER(SEARCH("去",D1148)),ISNUMBER(SEARCH("入",D1148)))),"Ambiguous",IF(ISNUMBER(SEARCH("平",D1148)),"平","仄")))</x:f>
        <x:v>平</x:v>
      </x:c>
      <x:c r="L1148" s="7" t="str">
        <x:v>User correction</x:v>
      </x:c>
    </x:row>
    <x:row r="1149">
      <x:c r="A1149" s="5" t="str">
        <x:v>幭</x:v>
      </x:c>
      <x:c r="B1149" s="6" t="str">
        <x:v>入</x:v>
      </x:c>
      <x:c r="C1149" s="6" t="str">
        <x:f>IF(B1149="","Needs decision","Ready")</x:f>
        <x:v>Ready</x:v>
      </x:c>
      <x:c r="D1149" s="6" t="str">
        <x:v>入</x:v>
      </x:c>
      <x:c r="E1149" s="6" t="str">
        <x:v>met (D)</x:v>
      </x:c>
      <x:c r="F1149" s="6" t="str"/>
      <x:c r="G1149" s="6" t="str"/>
      <x:c r="H1149" s="6" t="str">
        <x:v>1</x:v>
      </x:c>
      <x:c r="I1149" s="6" t="str"/>
      <x:c r="J1149" s="6" t="str">
        <x:f>IF(B1149="","",IF(AND(ISNUMBER(SEARCH("平",B1149)),OR(ISNUMBER(SEARCH("上",B1149)),ISNUMBER(SEARCH("去",B1149)),ISNUMBER(SEARCH("入",B1149)))),"Ambiguous",IF(ISNUMBER(SEARCH("平",B1149)),"平","仄")))</x:f>
        <x:v>仄</x:v>
      </x:c>
      <x:c r="K1149" s="6" t="str">
        <x:f>IF(D1149="","",IF(AND(ISNUMBER(SEARCH("平",D1149)),OR(ISNUMBER(SEARCH("上",D1149)),ISNUMBER(SEARCH("去",D1149)),ISNUMBER(SEARCH("入",D1149)))),"Ambiguous",IF(ISNUMBER(SEARCH("平",D1149)),"平","仄")))</x:f>
        <x:v>仄</x:v>
      </x:c>
      <x:c r="L1149" s="7" t="str"/>
    </x:row>
    <x:row r="1150">
      <x:c r="A1150" s="5" t="str">
        <x:v>干</x:v>
      </x:c>
      <x:c r="B1150" s="6" t="str">
        <x:v>平</x:v>
      </x:c>
      <x:c r="C1150" s="6" t="str">
        <x:f>IF(B1150="","Needs decision","Ready")</x:f>
        <x:v>Ready</x:v>
      </x:c>
      <x:c r="D1150" s="6" t="str">
        <x:v>平</x:v>
      </x:c>
      <x:c r="E1150" s="6" t="str">
        <x:v>kan (A)</x:v>
      </x:c>
      <x:c r="F1150" s="6" t="str">
        <x:v>上平聲十四寒</x:v>
      </x:c>
      <x:c r="G1150" s="6" t="str">
        <x:v>Pingshui main list, Wikisource-derived DOCX</x:v>
      </x:c>
      <x:c r="H1150" s="6" t="str">
        <x:v>1</x:v>
      </x:c>
      <x:c r="I1150" s="6" t="str"/>
      <x:c r="J1150" s="6" t="str">
        <x:f>IF(B1150="","",IF(AND(ISNUMBER(SEARCH("平",B1150)),OR(ISNUMBER(SEARCH("上",B1150)),ISNUMBER(SEARCH("去",B1150)),ISNUMBER(SEARCH("入",B1150)))),"Ambiguous",IF(ISNUMBER(SEARCH("平",B1150)),"平","仄")))</x:f>
        <x:v>平</x:v>
      </x:c>
      <x:c r="K1150" s="6" t="str">
        <x:f>IF(D1150="","",IF(AND(ISNUMBER(SEARCH("平",D1150)),OR(ISNUMBER(SEARCH("上",D1150)),ISNUMBER(SEARCH("去",D1150)),ISNUMBER(SEARCH("入",D1150)))),"Ambiguous",IF(ISNUMBER(SEARCH("平",D1150)),"平","仄")))</x:f>
        <x:v>平</x:v>
      </x:c>
      <x:c r="L1150" s="7" t="str"/>
    </x:row>
    <x:row r="1151">
      <x:c r="A1151" s="5" t="str">
        <x:v>平</x:v>
      </x:c>
      <x:c r="B1151" s="6" t="str">
        <x:v>平</x:v>
      </x:c>
      <x:c r="C1151" s="6" t="str">
        <x:f>IF(B1151="","Needs decision","Ready")</x:f>
        <x:v>Ready</x:v>
      </x:c>
      <x:c r="D1151" s="6" t="str">
        <x:v>平</x:v>
      </x:c>
      <x:c r="E1151" s="6" t="str">
        <x:v>bjien (A); bjaeng (A)</x:v>
      </x:c>
      <x:c r="F1151" s="6" t="str">
        <x:v>下平聲一先; 下平聲八庚</x:v>
      </x:c>
      <x:c r="G1151" s="6" t="str">
        <x:v>Pingshui main list, Wikisource-derived DOCX</x:v>
      </x:c>
      <x:c r="H1151" s="6" t="str">
        <x:v>2</x:v>
      </x:c>
      <x:c r="I1151" s="6" t="str"/>
      <x:c r="J1151" s="6" t="str">
        <x:f>IF(B1151="","",IF(AND(ISNUMBER(SEARCH("平",B1151)),OR(ISNUMBER(SEARCH("上",B1151)),ISNUMBER(SEARCH("去",B1151)),ISNUMBER(SEARCH("入",B1151)))),"Ambiguous",IF(ISNUMBER(SEARCH("平",B1151)),"平","仄")))</x:f>
        <x:v>平</x:v>
      </x:c>
      <x:c r="K1151" s="6" t="str">
        <x:f>IF(D1151="","",IF(AND(ISNUMBER(SEARCH("平",D1151)),OR(ISNUMBER(SEARCH("上",D1151)),ISNUMBER(SEARCH("去",D1151)),ISNUMBER(SEARCH("入",D1151)))),"Ambiguous",IF(ISNUMBER(SEARCH("平",D1151)),"平","仄")))</x:f>
        <x:v>平</x:v>
      </x:c>
      <x:c r="L1151" s="7" t="str"/>
    </x:row>
    <x:row r="1152">
      <x:c r="A1152" s="5" t="str">
        <x:v>年</x:v>
      </x:c>
      <x:c r="B1152" s="6" t="str">
        <x:v>平</x:v>
      </x:c>
      <x:c r="C1152" s="6" t="str">
        <x:f>IF(B1152="","Needs decision","Ready")</x:f>
        <x:v>Ready</x:v>
      </x:c>
      <x:c r="D1152" s="6" t="str">
        <x:v>平</x:v>
      </x:c>
      <x:c r="E1152" s="6" t="str">
        <x:v>nen (A)</x:v>
      </x:c>
      <x:c r="F1152" s="6" t="str">
        <x:v>下平聲一先</x:v>
      </x:c>
      <x:c r="G1152" s="6" t="str">
        <x:v>Pingshui main list, Wikisource-derived DOCX</x:v>
      </x:c>
      <x:c r="H1152" s="6" t="str">
        <x:v>1</x:v>
      </x:c>
      <x:c r="I1152" s="6" t="str"/>
      <x:c r="J1152" s="6" t="str">
        <x:f>IF(B1152="","",IF(AND(ISNUMBER(SEARCH("平",B1152)),OR(ISNUMBER(SEARCH("上",B1152)),ISNUMBER(SEARCH("去",B1152)),ISNUMBER(SEARCH("入",B1152)))),"Ambiguous",IF(ISNUMBER(SEARCH("平",B1152)),"平","仄")))</x:f>
        <x:v>平</x:v>
      </x:c>
      <x:c r="K1152" s="6" t="str">
        <x:f>IF(D1152="","",IF(AND(ISNUMBER(SEARCH("平",D1152)),OR(ISNUMBER(SEARCH("上",D1152)),ISNUMBER(SEARCH("去",D1152)),ISNUMBER(SEARCH("入",D1152)))),"Ambiguous",IF(ISNUMBER(SEARCH("平",D1152)),"平","仄")))</x:f>
        <x:v>平</x:v>
      </x:c>
      <x:c r="L1152" s="7" t="str"/>
    </x:row>
    <x:row r="1153">
      <x:c r="A1153" s="5" t="str">
        <x:v>幵</x:v>
      </x:c>
      <x:c r="B1153" s="6" t="str">
        <x:v>平</x:v>
      </x:c>
      <x:c r="C1153" s="6" t="str">
        <x:f>IF(B1153="","Needs decision","Ready")</x:f>
        <x:v>Ready</x:v>
      </x:c>
      <x:c r="D1153" s="6" t="str">
        <x:v>平</x:v>
      </x:c>
      <x:c r="E1153" s="6" t="str">
        <x:v>ken (A)</x:v>
      </x:c>
      <x:c r="F1153" s="6" t="str">
        <x:v>下平聲一先</x:v>
      </x:c>
      <x:c r="G1153" s="6" t="str">
        <x:v>Pingshui main list, Wikisource-derived DOCX</x:v>
      </x:c>
      <x:c r="H1153" s="6" t="str">
        <x:v>1</x:v>
      </x:c>
      <x:c r="I1153" s="6" t="str"/>
      <x:c r="J1153" s="6" t="str">
        <x:f>IF(B1153="","",IF(AND(ISNUMBER(SEARCH("平",B1153)),OR(ISNUMBER(SEARCH("上",B1153)),ISNUMBER(SEARCH("去",B1153)),ISNUMBER(SEARCH("入",B1153)))),"Ambiguous",IF(ISNUMBER(SEARCH("平",B1153)),"平","仄")))</x:f>
        <x:v>平</x:v>
      </x:c>
      <x:c r="K1153" s="6" t="str">
        <x:f>IF(D1153="","",IF(AND(ISNUMBER(SEARCH("平",D1153)),OR(ISNUMBER(SEARCH("上",D1153)),ISNUMBER(SEARCH("去",D1153)),ISNUMBER(SEARCH("入",D1153)))),"Ambiguous",IF(ISNUMBER(SEARCH("平",D1153)),"平","仄")))</x:f>
        <x:v>平</x:v>
      </x:c>
      <x:c r="L1153" s="7" t="str"/>
    </x:row>
    <x:row r="1154">
      <x:c r="A1154" s="5" t="str">
        <x:v>并</x:v>
      </x:c>
      <x:c r="B1154" s="6" t="str">
        <x:v>去</x:v>
      </x:c>
      <x:c r="C1154" s="6" t="str">
        <x:f>IF(B1154="","Needs decision","Ready")</x:f>
        <x:v>Ready</x:v>
      </x:c>
      <x:c r="D1154" s="6" t="str">
        <x:v>平/去</x:v>
      </x:c>
      <x:c r="E1154" s="6" t="str">
        <x:v>pjieng (A); pjiengH (C)</x:v>
      </x:c>
      <x:c r="F1154" s="6" t="str"/>
      <x:c r="G1154" s="6" t="str"/>
      <x:c r="H1154" s="6" t="str">
        <x:v>2</x:v>
      </x:c>
      <x:c r="I1154" s="6" t="str">
        <x:v>User workbook edit 2026-09-03</x:v>
      </x:c>
      <x:c r="J1154" s="6" t="str">
        <x:f>IF(B1154="","",IF(AND(ISNUMBER(SEARCH("平",B1154)),OR(ISNUMBER(SEARCH("上",B1154)),ISNUMBER(SEARCH("去",B1154)),ISNUMBER(SEARCH("入",B1154)))),"Ambiguous",IF(ISNUMBER(SEARCH("平",B1154)),"平","仄")))</x:f>
        <x:v>仄</x:v>
      </x:c>
      <x:c r="K1154" s="6" t="str">
        <x:f>IF(D1154="","",IF(AND(ISNUMBER(SEARCH("平",D1154)),OR(ISNUMBER(SEARCH("上",D1154)),ISNUMBER(SEARCH("去",D1154)),ISNUMBER(SEARCH("入",D1154)))),"Ambiguous",IF(ISNUMBER(SEARCH("平",D1154)),"平","仄")))</x:f>
        <x:v>Ambiguous</x:v>
      </x:c>
      <x:c r="L1154" s="7" t="str">
        <x:v>manual user correction</x:v>
      </x:c>
    </x:row>
    <x:row r="1155">
      <x:c r="A1155" s="5" t="str">
        <x:v>幷</x:v>
      </x:c>
      <x:c r="B1155" s="6" t="str">
        <x:v>上</x:v>
      </x:c>
      <x:c r="C1155" s="6" t="str">
        <x:f>IF(B1155="","Needs decision","Ready")</x:f>
        <x:v>Ready</x:v>
      </x:c>
      <x:c r="D1155" s="6" t="str">
        <x:v>上</x:v>
      </x:c>
      <x:c r="E1155" s="6" t="str"/>
      <x:c r="F1155" s="6" t="str"/>
      <x:c r="G1155" s="6" t="str"/>
      <x:c r="H1155" s="6" t="str"/>
      <x:c r="I1155" s="6" t="str">
        <x:v>Manual user correction/addition</x:v>
      </x:c>
      <x:c r="J1155" s="6" t="str">
        <x:f>IF(B1155="","",IF(AND(ISNUMBER(SEARCH("平",B1155)),OR(ISNUMBER(SEARCH("上",B1155)),ISNUMBER(SEARCH("去",B1155)),ISNUMBER(SEARCH("入",B1155)))),"Ambiguous",IF(ISNUMBER(SEARCH("平",B1155)),"平","仄")))</x:f>
        <x:v>仄</x:v>
      </x:c>
      <x:c r="K1155" s="6" t="str">
        <x:f>IF(D1155="","",IF(AND(ISNUMBER(SEARCH("平",D1155)),OR(ISNUMBER(SEARCH("上",D1155)),ISNUMBER(SEARCH("去",D1155)),ISNUMBER(SEARCH("入",D1155)))),"Ambiguous",IF(ISNUMBER(SEARCH("平",D1155)),"平","仄")))</x:f>
        <x:v>仄</x:v>
      </x:c>
      <x:c r="L1155" s="7" t="str">
        <x:v>manual user correction</x:v>
      </x:c>
    </x:row>
    <x:row r="1156">
      <x:c r="A1156" s="5" t="str">
        <x:v>幸</x:v>
      </x:c>
      <x:c r="B1156" s="6" t="str">
        <x:v>上</x:v>
      </x:c>
      <x:c r="C1156" s="6" t="str">
        <x:f>IF(B1156="","Needs decision","Ready")</x:f>
        <x:v>Ready</x:v>
      </x:c>
      <x:c r="D1156" s="6" t="str">
        <x:v>上</x:v>
      </x:c>
      <x:c r="E1156" s="6" t="str">
        <x:v>heangX (B)</x:v>
      </x:c>
      <x:c r="F1156" s="6" t="str">
        <x:v>上聲二十三梗</x:v>
      </x:c>
      <x:c r="G1156" s="6" t="str">
        <x:v>Pingshui main list, Wikisource-derived DOCX</x:v>
      </x:c>
      <x:c r="H1156" s="6" t="str">
        <x:v>1</x:v>
      </x:c>
      <x:c r="I1156" s="6" t="str"/>
      <x:c r="J1156" s="6" t="str">
        <x:f>IF(B1156="","",IF(AND(ISNUMBER(SEARCH("平",B1156)),OR(ISNUMBER(SEARCH("上",B1156)),ISNUMBER(SEARCH("去",B1156)),ISNUMBER(SEARCH("入",B1156)))),"Ambiguous",IF(ISNUMBER(SEARCH("平",B1156)),"平","仄")))</x:f>
        <x:v>仄</x:v>
      </x:c>
      <x:c r="K1156" s="6" t="str">
        <x:f>IF(D1156="","",IF(AND(ISNUMBER(SEARCH("平",D1156)),OR(ISNUMBER(SEARCH("上",D1156)),ISNUMBER(SEARCH("去",D1156)),ISNUMBER(SEARCH("入",D1156)))),"Ambiguous",IF(ISNUMBER(SEARCH("平",D1156)),"平","仄")))</x:f>
        <x:v>仄</x:v>
      </x:c>
      <x:c r="L1156" s="7" t="str"/>
    </x:row>
    <x:row r="1157">
      <x:c r="A1157" s="5" t="str">
        <x:v>幹</x:v>
      </x:c>
      <x:c r="B1157" s="6" t="str">
        <x:v>去</x:v>
      </x:c>
      <x:c r="C1157" s="6" t="str">
        <x:f>IF(B1157="","Needs decision","Ready")</x:f>
        <x:v>Ready</x:v>
      </x:c>
      <x:c r="D1157" s="6" t="str">
        <x:v>去</x:v>
      </x:c>
      <x:c r="E1157" s="6" t="str">
        <x:v>kanH (C)</x:v>
      </x:c>
      <x:c r="F1157" s="6" t="str">
        <x:v>去聲十五翰</x:v>
      </x:c>
      <x:c r="G1157" s="6" t="str">
        <x:v>Pingshui main list, Wikisource-derived DOCX</x:v>
      </x:c>
      <x:c r="H1157" s="6" t="str">
        <x:v>1</x:v>
      </x:c>
      <x:c r="I1157" s="6" t="str"/>
      <x:c r="J1157" s="6" t="str">
        <x:f>IF(B1157="","",IF(AND(ISNUMBER(SEARCH("平",B1157)),OR(ISNUMBER(SEARCH("上",B1157)),ISNUMBER(SEARCH("去",B1157)),ISNUMBER(SEARCH("入",B1157)))),"Ambiguous",IF(ISNUMBER(SEARCH("平",B1157)),"平","仄")))</x:f>
        <x:v>仄</x:v>
      </x:c>
      <x:c r="K1157" s="6" t="str">
        <x:f>IF(D1157="","",IF(AND(ISNUMBER(SEARCH("平",D1157)),OR(ISNUMBER(SEARCH("上",D1157)),ISNUMBER(SEARCH("去",D1157)),ISNUMBER(SEARCH("入",D1157)))),"Ambiguous",IF(ISNUMBER(SEARCH("平",D1157)),"平","仄")))</x:f>
        <x:v>仄</x:v>
      </x:c>
      <x:c r="L1157" s="7" t="str"/>
    </x:row>
    <x:row r="1158">
      <x:c r="A1158" s="5" t="str">
        <x:v>幺</x:v>
      </x:c>
      <x:c r="B1158" s="6" t="str">
        <x:v>平</x:v>
      </x:c>
      <x:c r="C1158" s="6" t="str">
        <x:f>IF(B1158="","Needs decision","Ready")</x:f>
        <x:v>Ready</x:v>
      </x:c>
      <x:c r="D1158" s="6" t="str">
        <x:v>平</x:v>
      </x:c>
      <x:c r="E1158" s="6" t="str">
        <x:v>'ew (A)</x:v>
      </x:c>
      <x:c r="F1158" s="6" t="str"/>
      <x:c r="G1158" s="6" t="str"/>
      <x:c r="H1158" s="6" t="str">
        <x:v>1</x:v>
      </x:c>
      <x:c r="I1158" s="6" t="str"/>
      <x:c r="J1158" s="6" t="str">
        <x:f>IF(B1158="","",IF(AND(ISNUMBER(SEARCH("平",B1158)),OR(ISNUMBER(SEARCH("上",B1158)),ISNUMBER(SEARCH("去",B1158)),ISNUMBER(SEARCH("入",B1158)))),"Ambiguous",IF(ISNUMBER(SEARCH("平",B1158)),"平","仄")))</x:f>
        <x:v>平</x:v>
      </x:c>
      <x:c r="K1158" s="6" t="str">
        <x:f>IF(D1158="","",IF(AND(ISNUMBER(SEARCH("平",D1158)),OR(ISNUMBER(SEARCH("上",D1158)),ISNUMBER(SEARCH("去",D1158)),ISNUMBER(SEARCH("入",D1158)))),"Ambiguous",IF(ISNUMBER(SEARCH("平",D1158)),"平","仄")))</x:f>
        <x:v>平</x:v>
      </x:c>
      <x:c r="L1158" s="7" t="str"/>
    </x:row>
    <x:row r="1159">
      <x:c r="A1159" s="5" t="str">
        <x:v>幼</x:v>
      </x:c>
      <x:c r="B1159" s="6" t="str">
        <x:v>去</x:v>
      </x:c>
      <x:c r="C1159" s="6" t="str">
        <x:f>IF(B1159="","Needs decision","Ready")</x:f>
        <x:v>Ready</x:v>
      </x:c>
      <x:c r="D1159" s="6" t="str">
        <x:v>去</x:v>
      </x:c>
      <x:c r="E1159" s="6" t="str">
        <x:v>'jiwH (C)</x:v>
      </x:c>
      <x:c r="F1159" s="6" t="str">
        <x:v>去聲二十六宥</x:v>
      </x:c>
      <x:c r="G1159" s="6" t="str">
        <x:v>Pingshui main list, Wikisource-derived DOCX</x:v>
      </x:c>
      <x:c r="H1159" s="6" t="str">
        <x:v>1</x:v>
      </x:c>
      <x:c r="I1159" s="6" t="str"/>
      <x:c r="J1159" s="6" t="str">
        <x:f>IF(B1159="","",IF(AND(ISNUMBER(SEARCH("平",B1159)),OR(ISNUMBER(SEARCH("上",B1159)),ISNUMBER(SEARCH("去",B1159)),ISNUMBER(SEARCH("入",B1159)))),"Ambiguous",IF(ISNUMBER(SEARCH("平",B1159)),"平","仄")))</x:f>
        <x:v>仄</x:v>
      </x:c>
      <x:c r="K1159" s="6" t="str">
        <x:f>IF(D1159="","",IF(AND(ISNUMBER(SEARCH("平",D1159)),OR(ISNUMBER(SEARCH("上",D1159)),ISNUMBER(SEARCH("去",D1159)),ISNUMBER(SEARCH("入",D1159)))),"Ambiguous",IF(ISNUMBER(SEARCH("平",D1159)),"平","仄")))</x:f>
        <x:v>仄</x:v>
      </x:c>
      <x:c r="L1159" s="7" t="str"/>
    </x:row>
    <x:row r="1160">
      <x:c r="A1160" s="5" t="str">
        <x:v>幽</x:v>
      </x:c>
      <x:c r="B1160" s="6" t="str">
        <x:v>平</x:v>
      </x:c>
      <x:c r="C1160" s="6" t="str">
        <x:f>IF(B1160="","Needs decision","Ready")</x:f>
        <x:v>Ready</x:v>
      </x:c>
      <x:c r="D1160" s="6" t="str">
        <x:v>平</x:v>
      </x:c>
      <x:c r="E1160" s="6" t="str">
        <x:v>'jiw (A)</x:v>
      </x:c>
      <x:c r="F1160" s="6" t="str">
        <x:v>下平聲十一尤</x:v>
      </x:c>
      <x:c r="G1160" s="6" t="str">
        <x:v>Pingshui main list, Wikisource-derived DOCX</x:v>
      </x:c>
      <x:c r="H1160" s="6" t="str">
        <x:v>1</x:v>
      </x:c>
      <x:c r="I1160" s="6" t="str"/>
      <x:c r="J1160" s="6" t="str">
        <x:f>IF(B1160="","",IF(AND(ISNUMBER(SEARCH("平",B1160)),OR(ISNUMBER(SEARCH("上",B1160)),ISNUMBER(SEARCH("去",B1160)),ISNUMBER(SEARCH("入",B1160)))),"Ambiguous",IF(ISNUMBER(SEARCH("平",B1160)),"平","仄")))</x:f>
        <x:v>平</x:v>
      </x:c>
      <x:c r="K1160" s="6" t="str">
        <x:f>IF(D1160="","",IF(AND(ISNUMBER(SEARCH("平",D1160)),OR(ISNUMBER(SEARCH("上",D1160)),ISNUMBER(SEARCH("去",D1160)),ISNUMBER(SEARCH("入",D1160)))),"Ambiguous",IF(ISNUMBER(SEARCH("平",D1160)),"平","仄")))</x:f>
        <x:v>平</x:v>
      </x:c>
      <x:c r="L1160" s="7" t="str"/>
    </x:row>
    <x:row r="1161">
      <x:c r="A1161" s="5" t="str">
        <x:v>幾</x:v>
      </x:c>
      <x:c r="B1161" s="6" t="str"/>
      <x:c r="C1161" s="6" t="str">
        <x:f>IF(B1161="","Needs decision","Ready")</x:f>
        <x:v>Needs decision</x:v>
      </x:c>
      <x:c r="D1161" s="6" t="str">
        <x:v>平/上</x:v>
      </x:c>
      <x:c r="E1161" s="6" t="str">
        <x:v>kj+j (A); kj+jX (B)</x:v>
      </x:c>
      <x:c r="F1161" s="6" t="str">
        <x:v>上平聲五微; 上聲四紙; 上聲五尾; 去聲四寘</x:v>
      </x:c>
      <x:c r="G1161" s="6" t="str">
        <x:v>Pingshui main list, Wikisource-derived DOCX</x:v>
      </x:c>
      <x:c r="H1161" s="6" t="str">
        <x:v>2</x:v>
      </x:c>
      <x:c r="I1161" s="6" t="str"/>
      <x:c r="J1161" s="6" t="str">
        <x:f>IF(B1161="","",IF(AND(ISNUMBER(SEARCH("平",B1161)),OR(ISNUMBER(SEARCH("上",B1161)),ISNUMBER(SEARCH("去",B1161)),ISNUMBER(SEARCH("入",B1161)))),"Ambiguous",IF(ISNUMBER(SEARCH("平",B1161)),"平","仄")))</x:f>
      </x:c>
      <x:c r="K1161" s="6" t="str">
        <x:f>IF(D1161="","",IF(AND(ISNUMBER(SEARCH("平",D1161)),OR(ISNUMBER(SEARCH("上",D1161)),ISNUMBER(SEARCH("去",D1161)),ISNUMBER(SEARCH("入",D1161)))),"Ambiguous",IF(ISNUMBER(SEARCH("平",D1161)),"平","仄")))</x:f>
        <x:v>Ambiguous</x:v>
      </x:c>
      <x:c r="L1161" s="7" t="str"/>
    </x:row>
    <x:row r="1162">
      <x:c r="A1162" s="5" t="str">
        <x:v>庇</x:v>
      </x:c>
      <x:c r="B1162" s="6" t="str"/>
      <x:c r="C1162" s="6" t="str">
        <x:f>IF(B1162="","Needs decision","Ready")</x:f>
        <x:v>Needs decision</x:v>
      </x:c>
      <x:c r="D1162" s="6" t="str">
        <x:v>平/去</x:v>
      </x:c>
      <x:c r="E1162" s="6" t="str">
        <x:v>pjij (A); pjijH (C)</x:v>
      </x:c>
      <x:c r="F1162" s="6" t="str">
        <x:v>去聲四寘</x:v>
      </x:c>
      <x:c r="G1162" s="6" t="str">
        <x:v>Pingshui main list, Wikisource-derived DOCX</x:v>
      </x:c>
      <x:c r="H1162" s="6" t="str">
        <x:v>2</x:v>
      </x:c>
      <x:c r="I1162" s="6" t="str"/>
      <x:c r="J1162" s="6" t="str">
        <x:f>IF(B1162="","",IF(AND(ISNUMBER(SEARCH("平",B1162)),OR(ISNUMBER(SEARCH("上",B1162)),ISNUMBER(SEARCH("去",B1162)),ISNUMBER(SEARCH("入",B1162)))),"Ambiguous",IF(ISNUMBER(SEARCH("平",B1162)),"平","仄")))</x:f>
      </x:c>
      <x:c r="K1162" s="6" t="str">
        <x:f>IF(D1162="","",IF(AND(ISNUMBER(SEARCH("平",D1162)),OR(ISNUMBER(SEARCH("上",D1162)),ISNUMBER(SEARCH("去",D1162)),ISNUMBER(SEARCH("入",D1162)))),"Ambiguous",IF(ISNUMBER(SEARCH("平",D1162)),"平","仄")))</x:f>
        <x:v>Ambiguous</x:v>
      </x:c>
      <x:c r="L1162" s="7" t="str"/>
    </x:row>
    <x:row r="1163">
      <x:c r="A1163" s="5" t="str">
        <x:v>床</x:v>
      </x:c>
      <x:c r="B1163" s="6" t="str">
        <x:v>平</x:v>
      </x:c>
      <x:c r="C1163" s="6" t="str">
        <x:f>IF(B1163="","Needs decision","Ready")</x:f>
        <x:v>Ready</x:v>
      </x:c>
      <x:c r="D1163" s="6" t="str">
        <x:v>平</x:v>
      </x:c>
      <x:c r="E1163" s="6" t="str">
        <x:v>dzrjang [dʐɨ̯ɑŋ] (平)</x:v>
      </x:c>
      <x:c r="F1163" s="6" t="str">
        <x:v>下平聲七陽</x:v>
      </x:c>
      <x:c r="G1163" s="6" t="str">
        <x:v>Pingshui main list, Wikisource-derived DOCX</x:v>
      </x:c>
      <x:c r="H1163" s="6" t="str">
        <x:v>1</x:v>
      </x:c>
      <x:c r="I1163" s="6" t="str">
        <x:v>Tang 300 gap; frequency 7; provisional from Xun Gong</x:v>
      </x:c>
      <x:c r="J1163" s="6" t="str">
        <x:f>IF(B1163="","",IF(AND(ISNUMBER(SEARCH("平",B1163)),OR(ISNUMBER(SEARCH("上",B1163)),ISNUMBER(SEARCH("去",B1163)),ISNUMBER(SEARCH("入",B1163)))),"Ambiguous",IF(ISNUMBER(SEARCH("平",B1163)),"平","仄")))</x:f>
        <x:v>平</x:v>
      </x:c>
      <x:c r="K1163" s="6" t="str">
        <x:f>IF(D1163="","",IF(AND(ISNUMBER(SEARCH("平",D1163)),OR(ISNUMBER(SEARCH("上",D1163)),ISNUMBER(SEARCH("去",D1163)),ISNUMBER(SEARCH("入",D1163)))),"Ambiguous",IF(ISNUMBER(SEARCH("平",D1163)),"平","仄")))</x:f>
        <x:v>平</x:v>
      </x:c>
      <x:c r="L1163" s="7" t="str">
        <x:v>Xun Gong, Tang 300 gap fill</x:v>
      </x:c>
    </x:row>
    <x:row r="1164">
      <x:c r="A1164" s="5" t="str">
        <x:v>庌</x:v>
      </x:c>
      <x:c r="B1164" s="6" t="str">
        <x:v>上</x:v>
      </x:c>
      <x:c r="C1164" s="6" t="str">
        <x:f>IF(B1164="","Needs decision","Ready")</x:f>
        <x:v>Ready</x:v>
      </x:c>
      <x:c r="D1164" s="6" t="str">
        <x:v>上</x:v>
      </x:c>
      <x:c r="E1164" s="6" t="str">
        <x:v>ngaeX (B)</x:v>
      </x:c>
      <x:c r="F1164" s="6" t="str">
        <x:v>上聲二十一馬</x:v>
      </x:c>
      <x:c r="G1164" s="6" t="str">
        <x:v>Pingshui main list, Wikisource-derived DOCX</x:v>
      </x:c>
      <x:c r="H1164" s="6" t="str">
        <x:v>1</x:v>
      </x:c>
      <x:c r="I1164" s="6" t="str"/>
      <x:c r="J1164" s="6" t="str">
        <x:f>IF(B1164="","",IF(AND(ISNUMBER(SEARCH("平",B1164)),OR(ISNUMBER(SEARCH("上",B1164)),ISNUMBER(SEARCH("去",B1164)),ISNUMBER(SEARCH("入",B1164)))),"Ambiguous",IF(ISNUMBER(SEARCH("平",B1164)),"平","仄")))</x:f>
        <x:v>仄</x:v>
      </x:c>
      <x:c r="K1164" s="6" t="str">
        <x:f>IF(D1164="","",IF(AND(ISNUMBER(SEARCH("平",D1164)),OR(ISNUMBER(SEARCH("上",D1164)),ISNUMBER(SEARCH("去",D1164)),ISNUMBER(SEARCH("入",D1164)))),"Ambiguous",IF(ISNUMBER(SEARCH("平",D1164)),"平","仄")))</x:f>
        <x:v>仄</x:v>
      </x:c>
      <x:c r="L1164" s="7" t="str"/>
    </x:row>
    <x:row r="1165">
      <x:c r="A1165" s="5" t="str">
        <x:v>序</x:v>
      </x:c>
      <x:c r="B1165" s="6" t="str">
        <x:v>上</x:v>
      </x:c>
      <x:c r="C1165" s="6" t="str">
        <x:f>IF(B1165="","Needs decision","Ready")</x:f>
        <x:v>Ready</x:v>
      </x:c>
      <x:c r="D1165" s="6" t="str">
        <x:v>上</x:v>
      </x:c>
      <x:c r="E1165" s="6" t="str">
        <x:v>zjoX (B)</x:v>
      </x:c>
      <x:c r="F1165" s="6" t="str">
        <x:v>上聲六語</x:v>
      </x:c>
      <x:c r="G1165" s="6" t="str">
        <x:v>Pingshui main list, Wikisource-derived DOCX</x:v>
      </x:c>
      <x:c r="H1165" s="6" t="str">
        <x:v>1</x:v>
      </x:c>
      <x:c r="I1165" s="6" t="str"/>
      <x:c r="J1165" s="6" t="str">
        <x:f>IF(B1165="","",IF(AND(ISNUMBER(SEARCH("平",B1165)),OR(ISNUMBER(SEARCH("上",B1165)),ISNUMBER(SEARCH("去",B1165)),ISNUMBER(SEARCH("入",B1165)))),"Ambiguous",IF(ISNUMBER(SEARCH("平",B1165)),"平","仄")))</x:f>
        <x:v>仄</x:v>
      </x:c>
      <x:c r="K1165" s="6" t="str">
        <x:f>IF(D1165="","",IF(AND(ISNUMBER(SEARCH("平",D1165)),OR(ISNUMBER(SEARCH("上",D1165)),ISNUMBER(SEARCH("去",D1165)),ISNUMBER(SEARCH("入",D1165)))),"Ambiguous",IF(ISNUMBER(SEARCH("平",D1165)),"平","仄")))</x:f>
        <x:v>仄</x:v>
      </x:c>
      <x:c r="L1165" s="7" t="str"/>
    </x:row>
    <x:row r="1166">
      <x:c r="A1166" s="5" t="str">
        <x:v>底</x:v>
      </x:c>
      <x:c r="B1166" s="6" t="str">
        <x:v>上</x:v>
      </x:c>
      <x:c r="C1166" s="6" t="str">
        <x:f>IF(B1166="","Needs decision","Ready")</x:f>
        <x:v>Ready</x:v>
      </x:c>
      <x:c r="D1166" s="6" t="str">
        <x:v>上</x:v>
      </x:c>
      <x:c r="E1166" s="6" t="str">
        <x:v>tejX (B)</x:v>
      </x:c>
      <x:c r="F1166" s="6" t="str">
        <x:v>上聲四紙; 上聲八薺</x:v>
      </x:c>
      <x:c r="G1166" s="6" t="str">
        <x:v>Pingshui main list, Wikisource-derived DOCX</x:v>
      </x:c>
      <x:c r="H1166" s="6" t="str">
        <x:v>1</x:v>
      </x:c>
      <x:c r="I1166" s="6" t="str"/>
      <x:c r="J1166" s="6" t="str">
        <x:f>IF(B1166="","",IF(AND(ISNUMBER(SEARCH("平",B1166)),OR(ISNUMBER(SEARCH("上",B1166)),ISNUMBER(SEARCH("去",B1166)),ISNUMBER(SEARCH("入",B1166)))),"Ambiguous",IF(ISNUMBER(SEARCH("平",B1166)),"平","仄")))</x:f>
        <x:v>仄</x:v>
      </x:c>
      <x:c r="K1166" s="6" t="str">
        <x:f>IF(D1166="","",IF(AND(ISNUMBER(SEARCH("平",D1166)),OR(ISNUMBER(SEARCH("上",D1166)),ISNUMBER(SEARCH("去",D1166)),ISNUMBER(SEARCH("入",D1166)))),"Ambiguous",IF(ISNUMBER(SEARCH("平",D1166)),"平","仄")))</x:f>
        <x:v>仄</x:v>
      </x:c>
      <x:c r="L1166" s="7" t="str"/>
    </x:row>
    <x:row r="1167">
      <x:c r="A1167" s="5" t="str">
        <x:v>店</x:v>
      </x:c>
      <x:c r="B1167" s="6" t="str">
        <x:v>去</x:v>
      </x:c>
      <x:c r="C1167" s="6" t="str">
        <x:f>IF(B1167="","Needs decision","Ready")</x:f>
        <x:v>Ready</x:v>
      </x:c>
      <x:c r="D1167" s="6" t="str">
        <x:v>去</x:v>
      </x:c>
      <x:c r="E1167" s="6" t="str">
        <x:v>temH (C)</x:v>
      </x:c>
      <x:c r="F1167" s="6" t="str">
        <x:v>去聲二十九豔</x:v>
      </x:c>
      <x:c r="G1167" s="6" t="str">
        <x:v>Pingshui main list, Wikisource-derived DOCX</x:v>
      </x:c>
      <x:c r="H1167" s="6" t="str">
        <x:v>1</x:v>
      </x:c>
      <x:c r="I1167" s="6" t="str"/>
      <x:c r="J1167" s="6" t="str">
        <x:f>IF(B1167="","",IF(AND(ISNUMBER(SEARCH("平",B1167)),OR(ISNUMBER(SEARCH("上",B1167)),ISNUMBER(SEARCH("去",B1167)),ISNUMBER(SEARCH("入",B1167)))),"Ambiguous",IF(ISNUMBER(SEARCH("平",B1167)),"平","仄")))</x:f>
        <x:v>仄</x:v>
      </x:c>
      <x:c r="K1167" s="6" t="str">
        <x:f>IF(D1167="","",IF(AND(ISNUMBER(SEARCH("平",D1167)),OR(ISNUMBER(SEARCH("上",D1167)),ISNUMBER(SEARCH("去",D1167)),ISNUMBER(SEARCH("入",D1167)))),"Ambiguous",IF(ISNUMBER(SEARCH("平",D1167)),"平","仄")))</x:f>
        <x:v>仄</x:v>
      </x:c>
      <x:c r="L1167" s="7" t="str"/>
    </x:row>
    <x:row r="1168">
      <x:c r="A1168" s="5" t="str">
        <x:v>庚</x:v>
      </x:c>
      <x:c r="B1168" s="6" t="str">
        <x:v>平</x:v>
      </x:c>
      <x:c r="C1168" s="6" t="str">
        <x:f>IF(B1168="","Needs decision","Ready")</x:f>
        <x:v>Ready</x:v>
      </x:c>
      <x:c r="D1168" s="6" t="str">
        <x:v>平</x:v>
      </x:c>
      <x:c r="E1168" s="6" t="str">
        <x:v>kaeng (A)</x:v>
      </x:c>
      <x:c r="F1168" s="6" t="str">
        <x:v>下平聲八庚</x:v>
      </x:c>
      <x:c r="G1168" s="6" t="str">
        <x:v>Pingshui main list, Wikisource-derived DOCX</x:v>
      </x:c>
      <x:c r="H1168" s="6" t="str">
        <x:v>1</x:v>
      </x:c>
      <x:c r="I1168" s="6" t="str"/>
      <x:c r="J1168" s="6" t="str">
        <x:f>IF(B1168="","",IF(AND(ISNUMBER(SEARCH("平",B1168)),OR(ISNUMBER(SEARCH("上",B1168)),ISNUMBER(SEARCH("去",B1168)),ISNUMBER(SEARCH("入",B1168)))),"Ambiguous",IF(ISNUMBER(SEARCH("平",B1168)),"平","仄")))</x:f>
        <x:v>平</x:v>
      </x:c>
      <x:c r="K1168" s="6" t="str">
        <x:f>IF(D1168="","",IF(AND(ISNUMBER(SEARCH("平",D1168)),OR(ISNUMBER(SEARCH("上",D1168)),ISNUMBER(SEARCH("去",D1168)),ISNUMBER(SEARCH("入",D1168)))),"Ambiguous",IF(ISNUMBER(SEARCH("平",D1168)),"平","仄")))</x:f>
        <x:v>平</x:v>
      </x:c>
      <x:c r="L1168" s="7" t="str"/>
    </x:row>
    <x:row r="1169">
      <x:c r="A1169" s="5" t="str">
        <x:v>府</x:v>
      </x:c>
      <x:c r="B1169" s="6" t="str">
        <x:v>上</x:v>
      </x:c>
      <x:c r="C1169" s="6" t="str">
        <x:f>IF(B1169="","Needs decision","Ready")</x:f>
        <x:v>Ready</x:v>
      </x:c>
      <x:c r="D1169" s="6" t="str">
        <x:v>上</x:v>
      </x:c>
      <x:c r="E1169" s="6" t="str">
        <x:v>pjuX (B)</x:v>
      </x:c>
      <x:c r="F1169" s="6" t="str">
        <x:v>上聲七麌</x:v>
      </x:c>
      <x:c r="G1169" s="6" t="str">
        <x:v>Pingshui main list, Wikisource-derived DOCX</x:v>
      </x:c>
      <x:c r="H1169" s="6" t="str">
        <x:v>1</x:v>
      </x:c>
      <x:c r="I1169" s="6" t="str"/>
      <x:c r="J1169" s="6" t="str">
        <x:f>IF(B1169="","",IF(AND(ISNUMBER(SEARCH("平",B1169)),OR(ISNUMBER(SEARCH("上",B1169)),ISNUMBER(SEARCH("去",B1169)),ISNUMBER(SEARCH("入",B1169)))),"Ambiguous",IF(ISNUMBER(SEARCH("平",B1169)),"平","仄")))</x:f>
        <x:v>仄</x:v>
      </x:c>
      <x:c r="K1169" s="6" t="str">
        <x:f>IF(D1169="","",IF(AND(ISNUMBER(SEARCH("平",D1169)),OR(ISNUMBER(SEARCH("上",D1169)),ISNUMBER(SEARCH("去",D1169)),ISNUMBER(SEARCH("入",D1169)))),"Ambiguous",IF(ISNUMBER(SEARCH("平",D1169)),"平","仄")))</x:f>
        <x:v>仄</x:v>
      </x:c>
      <x:c r="L1169" s="7" t="str"/>
    </x:row>
    <x:row r="1170">
      <x:c r="A1170" s="5" t="str">
        <x:v>庠</x:v>
      </x:c>
      <x:c r="B1170" s="6" t="str">
        <x:v>平</x:v>
      </x:c>
      <x:c r="C1170" s="6" t="str">
        <x:f>IF(B1170="","Needs decision","Ready")</x:f>
        <x:v>Ready</x:v>
      </x:c>
      <x:c r="D1170" s="6" t="str">
        <x:v>平</x:v>
      </x:c>
      <x:c r="E1170" s="6" t="str">
        <x:v>zjang (A)</x:v>
      </x:c>
      <x:c r="F1170" s="6" t="str">
        <x:v>下平聲七陽</x:v>
      </x:c>
      <x:c r="G1170" s="6" t="str">
        <x:v>Pingshui main list, Wikisource-derived DOCX</x:v>
      </x:c>
      <x:c r="H1170" s="6" t="str">
        <x:v>1</x:v>
      </x:c>
      <x:c r="I1170" s="6" t="str"/>
      <x:c r="J1170" s="6" t="str">
        <x:f>IF(B1170="","",IF(AND(ISNUMBER(SEARCH("平",B1170)),OR(ISNUMBER(SEARCH("上",B1170)),ISNUMBER(SEARCH("去",B1170)),ISNUMBER(SEARCH("入",B1170)))),"Ambiguous",IF(ISNUMBER(SEARCH("平",B1170)),"平","仄")))</x:f>
        <x:v>平</x:v>
      </x:c>
      <x:c r="K1170" s="6" t="str">
        <x:f>IF(D1170="","",IF(AND(ISNUMBER(SEARCH("平",D1170)),OR(ISNUMBER(SEARCH("上",D1170)),ISNUMBER(SEARCH("去",D1170)),ISNUMBER(SEARCH("入",D1170)))),"Ambiguous",IF(ISNUMBER(SEARCH("平",D1170)),"平","仄")))</x:f>
        <x:v>平</x:v>
      </x:c>
      <x:c r="L1170" s="7" t="str"/>
    </x:row>
    <x:row r="1171">
      <x:c r="A1171" s="5" t="str">
        <x:v>度</x:v>
      </x:c>
      <x:c r="B1171" s="6" t="str"/>
      <x:c r="C1171" s="6" t="str">
        <x:f>IF(B1171="","Needs decision","Ready")</x:f>
        <x:v>Needs decision</x:v>
      </x:c>
      <x:c r="D1171" s="6" t="str">
        <x:v>去/入</x:v>
      </x:c>
      <x:c r="E1171" s="6" t="str">
        <x:v>duH (C); dak (D)</x:v>
      </x:c>
      <x:c r="F1171" s="6" t="str">
        <x:v>去聲七遇; 入聲十藥</x:v>
      </x:c>
      <x:c r="G1171" s="6" t="str">
        <x:v>Pingshui main list, Wikisource-derived DOCX</x:v>
      </x:c>
      <x:c r="H1171" s="6" t="str">
        <x:v>2</x:v>
      </x:c>
      <x:c r="I1171" s="6" t="str"/>
      <x:c r="J1171" s="6" t="str">
        <x:f>IF(B1171="","",IF(AND(ISNUMBER(SEARCH("平",B1171)),OR(ISNUMBER(SEARCH("上",B1171)),ISNUMBER(SEARCH("去",B1171)),ISNUMBER(SEARCH("入",B1171)))),"Ambiguous",IF(ISNUMBER(SEARCH("平",B1171)),"平","仄")))</x:f>
      </x:c>
      <x:c r="K1171" s="6" t="str">
        <x:f>IF(D1171="","",IF(AND(ISNUMBER(SEARCH("平",D1171)),OR(ISNUMBER(SEARCH("上",D1171)),ISNUMBER(SEARCH("去",D1171)),ISNUMBER(SEARCH("入",D1171)))),"Ambiguous",IF(ISNUMBER(SEARCH("平",D1171)),"平","仄")))</x:f>
        <x:v>仄</x:v>
      </x:c>
      <x:c r="L1171" s="7" t="str"/>
    </x:row>
    <x:row r="1172">
      <x:c r="A1172" s="5" t="str">
        <x:v>座</x:v>
      </x:c>
      <x:c r="B1172" s="6" t="str">
        <x:v>去</x:v>
      </x:c>
      <x:c r="C1172" s="6" t="str">
        <x:f>IF(B1172="","Needs decision","Ready")</x:f>
        <x:v>Ready</x:v>
      </x:c>
      <x:c r="D1172" s="6" t="str">
        <x:v>去</x:v>
      </x:c>
      <x:c r="E1172" s="6" t="str">
        <x:v>dzwaH (C)</x:v>
      </x:c>
      <x:c r="F1172" s="6" t="str">
        <x:v>去聲二十一箇</x:v>
      </x:c>
      <x:c r="G1172" s="6" t="str">
        <x:v>Pingshui main list, Wikisource-derived DOCX</x:v>
      </x:c>
      <x:c r="H1172" s="6" t="str">
        <x:v>1</x:v>
      </x:c>
      <x:c r="I1172" s="6" t="str"/>
      <x:c r="J1172" s="6" t="str">
        <x:f>IF(B1172="","",IF(AND(ISNUMBER(SEARCH("平",B1172)),OR(ISNUMBER(SEARCH("上",B1172)),ISNUMBER(SEARCH("去",B1172)),ISNUMBER(SEARCH("入",B1172)))),"Ambiguous",IF(ISNUMBER(SEARCH("平",B1172)),"平","仄")))</x:f>
        <x:v>仄</x:v>
      </x:c>
      <x:c r="K1172" s="6" t="str">
        <x:f>IF(D1172="","",IF(AND(ISNUMBER(SEARCH("平",D1172)),OR(ISNUMBER(SEARCH("上",D1172)),ISNUMBER(SEARCH("去",D1172)),ISNUMBER(SEARCH("入",D1172)))),"Ambiguous",IF(ISNUMBER(SEARCH("平",D1172)),"平","仄")))</x:f>
        <x:v>仄</x:v>
      </x:c>
      <x:c r="L1172" s="7" t="str"/>
    </x:row>
    <x:row r="1173">
      <x:c r="A1173" s="5" t="str">
        <x:v>庫</x:v>
      </x:c>
      <x:c r="B1173" s="6" t="str">
        <x:v>去</x:v>
      </x:c>
      <x:c r="C1173" s="6" t="str">
        <x:f>IF(B1173="","Needs decision","Ready")</x:f>
        <x:v>Ready</x:v>
      </x:c>
      <x:c r="D1173" s="6" t="str">
        <x:v>去</x:v>
      </x:c>
      <x:c r="E1173" s="6" t="str">
        <x:v>khuH (C)</x:v>
      </x:c>
      <x:c r="F1173" s="6" t="str">
        <x:v>去聲七遇</x:v>
      </x:c>
      <x:c r="G1173" s="6" t="str">
        <x:v>Pingshui main list, Wikisource-derived DOCX</x:v>
      </x:c>
      <x:c r="H1173" s="6" t="str">
        <x:v>1</x:v>
      </x:c>
      <x:c r="I1173" s="6" t="str"/>
      <x:c r="J1173" s="6" t="str">
        <x:f>IF(B1173="","",IF(AND(ISNUMBER(SEARCH("平",B1173)),OR(ISNUMBER(SEARCH("上",B1173)),ISNUMBER(SEARCH("去",B1173)),ISNUMBER(SEARCH("入",B1173)))),"Ambiguous",IF(ISNUMBER(SEARCH("平",B1173)),"平","仄")))</x:f>
        <x:v>仄</x:v>
      </x:c>
      <x:c r="K1173" s="6" t="str">
        <x:f>IF(D1173="","",IF(AND(ISNUMBER(SEARCH("平",D1173)),OR(ISNUMBER(SEARCH("上",D1173)),ISNUMBER(SEARCH("去",D1173)),ISNUMBER(SEARCH("入",D1173)))),"Ambiguous",IF(ISNUMBER(SEARCH("平",D1173)),"平","仄")))</x:f>
        <x:v>仄</x:v>
      </x:c>
      <x:c r="L1173" s="7" t="str"/>
    </x:row>
    <x:row r="1174">
      <x:c r="A1174" s="5" t="str">
        <x:v>庭</x:v>
      </x:c>
      <x:c r="B1174" s="6" t="str">
        <x:v>平</x:v>
      </x:c>
      <x:c r="C1174" s="6" t="str">
        <x:f>IF(B1174="","Needs decision","Ready")</x:f>
        <x:v>Ready</x:v>
      </x:c>
      <x:c r="D1174" s="6" t="str">
        <x:v>平</x:v>
      </x:c>
      <x:c r="E1174" s="6" t="str">
        <x:v>deng [定開四青平] d̙eŋ</x:v>
      </x:c>
      <x:c r="F1174" s="6" t="str">
        <x:v>下平聲九青; 去聲二十五徑</x:v>
      </x:c>
      <x:c r="G1174" s="6" t="str">
        <x:v>Pingshui main list, Wikisource-derived DOCX</x:v>
      </x:c>
      <x:c r="H1174" s="6" t="str">
        <x:v>1</x:v>
      </x:c>
      <x:c r="I1174" s="6" t="str">
        <x:v>Targeted preliminary fill from Xun Gong; review if uncertain</x:v>
      </x:c>
      <x:c r="J1174" s="6" t="str">
        <x:f>IF(B1174="","",IF(AND(ISNUMBER(SEARCH("平",B1174)),OR(ISNUMBER(SEARCH("上",B1174)),ISNUMBER(SEARCH("去",B1174)),ISNUMBER(SEARCH("入",B1174)))),"Ambiguous",IF(ISNUMBER(SEARCH("平",B1174)),"平","仄")))</x:f>
        <x:v>平</x:v>
      </x:c>
      <x:c r="K1174" s="6" t="str">
        <x:f>IF(D1174="","",IF(AND(ISNUMBER(SEARCH("平",D1174)),OR(ISNUMBER(SEARCH("上",D1174)),ISNUMBER(SEARCH("去",D1174)),ISNUMBER(SEARCH("入",D1174)))),"Ambiguous",IF(ISNUMBER(SEARCH("平",D1174)),"平","仄")))</x:f>
        <x:v>平</x:v>
      </x:c>
      <x:c r="L1174" s="7" t="str">
        <x:v>Xun Gong character-readings.csv</x:v>
      </x:c>
    </x:row>
    <x:row r="1175">
      <x:c r="A1175" s="5" t="str">
        <x:v>庳</x:v>
      </x:c>
      <x:c r="B1175" s="6" t="str">
        <x:v>上</x:v>
      </x:c>
      <x:c r="C1175" s="6" t="str">
        <x:f>IF(B1175="","Needs decision","Ready")</x:f>
        <x:v>Ready</x:v>
      </x:c>
      <x:c r="D1175" s="6" t="str">
        <x:v>上</x:v>
      </x:c>
      <x:c r="E1175" s="6" t="str">
        <x:v>bjieX (B)</x:v>
      </x:c>
      <x:c r="F1175" s="6" t="str">
        <x:v>上平聲四支; 上聲四紙; 去聲四寘</x:v>
      </x:c>
      <x:c r="G1175" s="6" t="str">
        <x:v>Pingshui main list, Wikisource-derived DOCX</x:v>
      </x:c>
      <x:c r="H1175" s="6" t="str">
        <x:v>1</x:v>
      </x:c>
      <x:c r="I1175" s="6" t="str"/>
      <x:c r="J1175" s="6" t="str">
        <x:f>IF(B1175="","",IF(AND(ISNUMBER(SEARCH("平",B1175)),OR(ISNUMBER(SEARCH("上",B1175)),ISNUMBER(SEARCH("去",B1175)),ISNUMBER(SEARCH("入",B1175)))),"Ambiguous",IF(ISNUMBER(SEARCH("平",B1175)),"平","仄")))</x:f>
        <x:v>仄</x:v>
      </x:c>
      <x:c r="K1175" s="6" t="str">
        <x:f>IF(D1175="","",IF(AND(ISNUMBER(SEARCH("平",D1175)),OR(ISNUMBER(SEARCH("上",D1175)),ISNUMBER(SEARCH("去",D1175)),ISNUMBER(SEARCH("入",D1175)))),"Ambiguous",IF(ISNUMBER(SEARCH("平",D1175)),"平","仄")))</x:f>
        <x:v>仄</x:v>
      </x:c>
      <x:c r="L1175" s="7" t="str"/>
    </x:row>
    <x:row r="1176">
      <x:c r="A1176" s="5" t="str">
        <x:v>庶</x:v>
      </x:c>
      <x:c r="B1176" s="6" t="str">
        <x:v>去</x:v>
      </x:c>
      <x:c r="C1176" s="6" t="str">
        <x:f>IF(B1176="","Needs decision","Ready")</x:f>
        <x:v>Ready</x:v>
      </x:c>
      <x:c r="D1176" s="6" t="str">
        <x:v>去</x:v>
      </x:c>
      <x:c r="E1176" s="6" t="str">
        <x:v>syoH (C)</x:v>
      </x:c>
      <x:c r="F1176" s="6" t="str">
        <x:v>去聲六御</x:v>
      </x:c>
      <x:c r="G1176" s="6" t="str">
        <x:v>Pingshui main list, Wikisource-derived DOCX</x:v>
      </x:c>
      <x:c r="H1176" s="6" t="str">
        <x:v>1</x:v>
      </x:c>
      <x:c r="I1176" s="6" t="str"/>
      <x:c r="J1176" s="6" t="str">
        <x:f>IF(B1176="","",IF(AND(ISNUMBER(SEARCH("平",B1176)),OR(ISNUMBER(SEARCH("上",B1176)),ISNUMBER(SEARCH("去",B1176)),ISNUMBER(SEARCH("入",B1176)))),"Ambiguous",IF(ISNUMBER(SEARCH("平",B1176)),"平","仄")))</x:f>
        <x:v>仄</x:v>
      </x:c>
      <x:c r="K1176" s="6" t="str">
        <x:f>IF(D1176="","",IF(AND(ISNUMBER(SEARCH("平",D1176)),OR(ISNUMBER(SEARCH("上",D1176)),ISNUMBER(SEARCH("去",D1176)),ISNUMBER(SEARCH("入",D1176)))),"Ambiguous",IF(ISNUMBER(SEARCH("平",D1176)),"平","仄")))</x:f>
        <x:v>仄</x:v>
      </x:c>
      <x:c r="L1176" s="7" t="str"/>
    </x:row>
    <x:row r="1177">
      <x:c r="A1177" s="5" t="str">
        <x:v>康</x:v>
      </x:c>
      <x:c r="B1177" s="6" t="str">
        <x:v>平</x:v>
      </x:c>
      <x:c r="C1177" s="6" t="str">
        <x:f>IF(B1177="","Needs decision","Ready")</x:f>
        <x:v>Ready</x:v>
      </x:c>
      <x:c r="D1177" s="6" t="str">
        <x:v>平</x:v>
      </x:c>
      <x:c r="E1177" s="6" t="str">
        <x:v>khang (A); thang (A)</x:v>
      </x:c>
      <x:c r="F1177" s="6" t="str">
        <x:v>下平聲七陽</x:v>
      </x:c>
      <x:c r="G1177" s="6" t="str">
        <x:v>Pingshui main list, Wikisource-derived DOCX</x:v>
      </x:c>
      <x:c r="H1177" s="6" t="str">
        <x:v>2</x:v>
      </x:c>
      <x:c r="I1177" s="6" t="str"/>
      <x:c r="J1177" s="6" t="str">
        <x:f>IF(B1177="","",IF(AND(ISNUMBER(SEARCH("平",B1177)),OR(ISNUMBER(SEARCH("上",B1177)),ISNUMBER(SEARCH("去",B1177)),ISNUMBER(SEARCH("入",B1177)))),"Ambiguous",IF(ISNUMBER(SEARCH("平",B1177)),"平","仄")))</x:f>
        <x:v>平</x:v>
      </x:c>
      <x:c r="K1177" s="6" t="str">
        <x:f>IF(D1177="","",IF(AND(ISNUMBER(SEARCH("平",D1177)),OR(ISNUMBER(SEARCH("上",D1177)),ISNUMBER(SEARCH("去",D1177)),ISNUMBER(SEARCH("入",D1177)))),"Ambiguous",IF(ISNUMBER(SEARCH("平",D1177)),"平","仄")))</x:f>
        <x:v>平</x:v>
      </x:c>
      <x:c r="L1177" s="7" t="str"/>
    </x:row>
    <x:row r="1178">
      <x:c r="A1178" s="5" t="str">
        <x:v>庸</x:v>
      </x:c>
      <x:c r="B1178" s="6" t="str">
        <x:v>平</x:v>
      </x:c>
      <x:c r="C1178" s="6" t="str">
        <x:f>IF(B1178="","Needs decision","Ready")</x:f>
        <x:v>Ready</x:v>
      </x:c>
      <x:c r="D1178" s="6" t="str">
        <x:v>平</x:v>
      </x:c>
      <x:c r="E1178" s="6" t="str">
        <x:v>yowng (A)</x:v>
      </x:c>
      <x:c r="F1178" s="6" t="str">
        <x:v>上平聲二冬</x:v>
      </x:c>
      <x:c r="G1178" s="6" t="str">
        <x:v>Pingshui main list, Wikisource-derived DOCX</x:v>
      </x:c>
      <x:c r="H1178" s="6" t="str">
        <x:v>1</x:v>
      </x:c>
      <x:c r="I1178" s="6" t="str"/>
      <x:c r="J1178" s="6" t="str">
        <x:f>IF(B1178="","",IF(AND(ISNUMBER(SEARCH("平",B1178)),OR(ISNUMBER(SEARCH("上",B1178)),ISNUMBER(SEARCH("去",B1178)),ISNUMBER(SEARCH("入",B1178)))),"Ambiguous",IF(ISNUMBER(SEARCH("平",B1178)),"平","仄")))</x:f>
        <x:v>平</x:v>
      </x:c>
      <x:c r="K1178" s="6" t="str">
        <x:f>IF(D1178="","",IF(AND(ISNUMBER(SEARCH("平",D1178)),OR(ISNUMBER(SEARCH("上",D1178)),ISNUMBER(SEARCH("去",D1178)),ISNUMBER(SEARCH("入",D1178)))),"Ambiguous",IF(ISNUMBER(SEARCH("平",D1178)),"平","仄")))</x:f>
        <x:v>平</x:v>
      </x:c>
      <x:c r="L1178" s="7" t="str"/>
    </x:row>
    <x:row r="1179">
      <x:c r="A1179" s="5" t="str">
        <x:v>庾</x:v>
      </x:c>
      <x:c r="B1179" s="6" t="str">
        <x:v>上</x:v>
      </x:c>
      <x:c r="C1179" s="6" t="str">
        <x:f>IF(B1179="","Needs decision","Ready")</x:f>
        <x:v>Ready</x:v>
      </x:c>
      <x:c r="D1179" s="6" t="str">
        <x:v>上</x:v>
      </x:c>
      <x:c r="E1179" s="6" t="str">
        <x:v>yuX (B)</x:v>
      </x:c>
      <x:c r="F1179" s="6" t="str">
        <x:v>上聲七麌</x:v>
      </x:c>
      <x:c r="G1179" s="6" t="str">
        <x:v>Pingshui main list, Wikisource-derived DOCX</x:v>
      </x:c>
      <x:c r="H1179" s="6" t="str">
        <x:v>1</x:v>
      </x:c>
      <x:c r="I1179" s="6" t="str"/>
      <x:c r="J1179" s="6" t="str">
        <x:f>IF(B1179="","",IF(AND(ISNUMBER(SEARCH("平",B1179)),OR(ISNUMBER(SEARCH("上",B1179)),ISNUMBER(SEARCH("去",B1179)),ISNUMBER(SEARCH("入",B1179)))),"Ambiguous",IF(ISNUMBER(SEARCH("平",B1179)),"平","仄")))</x:f>
        <x:v>仄</x:v>
      </x:c>
      <x:c r="K1179" s="6" t="str">
        <x:f>IF(D1179="","",IF(AND(ISNUMBER(SEARCH("平",D1179)),OR(ISNUMBER(SEARCH("上",D1179)),ISNUMBER(SEARCH("去",D1179)),ISNUMBER(SEARCH("入",D1179)))),"Ambiguous",IF(ISNUMBER(SEARCH("平",D1179)),"平","仄")))</x:f>
        <x:v>仄</x:v>
      </x:c>
      <x:c r="L1179" s="7" t="str"/>
    </x:row>
    <x:row r="1180">
      <x:c r="A1180" s="5" t="str">
        <x:v>廁</x:v>
      </x:c>
      <x:c r="B1180" s="6" t="str">
        <x:v>去</x:v>
      </x:c>
      <x:c r="C1180" s="6" t="str">
        <x:f>IF(B1180="","Needs decision","Ready")</x:f>
        <x:v>Ready</x:v>
      </x:c>
      <x:c r="D1180" s="6" t="str">
        <x:v>去</x:v>
      </x:c>
      <x:c r="E1180" s="6" t="str">
        <x:v>tsrhiH (C)</x:v>
      </x:c>
      <x:c r="F1180" s="6" t="str">
        <x:v>去聲四寘</x:v>
      </x:c>
      <x:c r="G1180" s="6" t="str">
        <x:v>Pingshui main list, Wikisource-derived DOCX</x:v>
      </x:c>
      <x:c r="H1180" s="6" t="str">
        <x:v>1</x:v>
      </x:c>
      <x:c r="I1180" s="6" t="str"/>
      <x:c r="J1180" s="6" t="str">
        <x:f>IF(B1180="","",IF(AND(ISNUMBER(SEARCH("平",B1180)),OR(ISNUMBER(SEARCH("上",B1180)),ISNUMBER(SEARCH("去",B1180)),ISNUMBER(SEARCH("入",B1180)))),"Ambiguous",IF(ISNUMBER(SEARCH("平",B1180)),"平","仄")))</x:f>
        <x:v>仄</x:v>
      </x:c>
      <x:c r="K1180" s="6" t="str">
        <x:f>IF(D1180="","",IF(AND(ISNUMBER(SEARCH("平",D1180)),OR(ISNUMBER(SEARCH("上",D1180)),ISNUMBER(SEARCH("去",D1180)),ISNUMBER(SEARCH("入",D1180)))),"Ambiguous",IF(ISNUMBER(SEARCH("平",D1180)),"平","仄")))</x:f>
        <x:v>仄</x:v>
      </x:c>
      <x:c r="L1180" s="7" t="str"/>
    </x:row>
    <x:row r="1181">
      <x:c r="A1181" s="5" t="str">
        <x:v>廂</x:v>
      </x:c>
      <x:c r="B1181" s="6" t="str">
        <x:v>平</x:v>
      </x:c>
      <x:c r="C1181" s="6" t="str">
        <x:f>IF(B1181="","Needs decision","Ready")</x:f>
        <x:v>Ready</x:v>
      </x:c>
      <x:c r="D1181" s="6" t="str">
        <x:v>平</x:v>
      </x:c>
      <x:c r="E1181" s="6" t="str">
        <x:v>sjang [sjɑŋ] (平)</x:v>
      </x:c>
      <x:c r="F1181" s="6" t="str">
        <x:v>下平聲七陽</x:v>
      </x:c>
      <x:c r="G1181" s="6" t="str">
        <x:v>Pingshui main list, Wikisource-derived DOCX</x:v>
      </x:c>
      <x:c r="H1181" s="6" t="str">
        <x:v>1</x:v>
      </x:c>
      <x:c r="I1181" s="6" t="str">
        <x:v>Tang 300 gap; frequency 1; provisional from Xun Gong</x:v>
      </x:c>
      <x:c r="J1181" s="6" t="str">
        <x:f>IF(B1181="","",IF(AND(ISNUMBER(SEARCH("平",B1181)),OR(ISNUMBER(SEARCH("上",B1181)),ISNUMBER(SEARCH("去",B1181)),ISNUMBER(SEARCH("入",B1181)))),"Ambiguous",IF(ISNUMBER(SEARCH("平",B1181)),"平","仄")))</x:f>
        <x:v>平</x:v>
      </x:c>
      <x:c r="K1181" s="6" t="str">
        <x:f>IF(D1181="","",IF(AND(ISNUMBER(SEARCH("平",D1181)),OR(ISNUMBER(SEARCH("上",D1181)),ISNUMBER(SEARCH("去",D1181)),ISNUMBER(SEARCH("入",D1181)))),"Ambiguous",IF(ISNUMBER(SEARCH("平",D1181)),"平","仄")))</x:f>
        <x:v>平</x:v>
      </x:c>
      <x:c r="L1181" s="7" t="str">
        <x:v>Xun Gong, Tang 300 gap fill</x:v>
      </x:c>
    </x:row>
    <x:row r="1182">
      <x:c r="A1182" s="5" t="str">
        <x:v>廄</x:v>
      </x:c>
      <x:c r="B1182" s="6" t="str">
        <x:v>去</x:v>
      </x:c>
      <x:c r="C1182" s="6" t="str">
        <x:f>IF(B1182="","Needs decision","Ready")</x:f>
        <x:v>Ready</x:v>
      </x:c>
      <x:c r="D1182" s="6" t="str">
        <x:v>去</x:v>
      </x:c>
      <x:c r="E1182" s="6" t="str">
        <x:v>kjuwH (C)</x:v>
      </x:c>
      <x:c r="F1182" s="6" t="str">
        <x:v>去聲二十六宥</x:v>
      </x:c>
      <x:c r="G1182" s="6" t="str">
        <x:v>Pingshui main list, Wikisource-derived DOCX</x:v>
      </x:c>
      <x:c r="H1182" s="6" t="str">
        <x:v>1</x:v>
      </x:c>
      <x:c r="I1182" s="6" t="str"/>
      <x:c r="J1182" s="6" t="str">
        <x:f>IF(B1182="","",IF(AND(ISNUMBER(SEARCH("平",B1182)),OR(ISNUMBER(SEARCH("上",B1182)),ISNUMBER(SEARCH("去",B1182)),ISNUMBER(SEARCH("入",B1182)))),"Ambiguous",IF(ISNUMBER(SEARCH("平",B1182)),"平","仄")))</x:f>
        <x:v>仄</x:v>
      </x:c>
      <x:c r="K1182" s="6" t="str">
        <x:f>IF(D1182="","",IF(AND(ISNUMBER(SEARCH("平",D1182)),OR(ISNUMBER(SEARCH("上",D1182)),ISNUMBER(SEARCH("去",D1182)),ISNUMBER(SEARCH("入",D1182)))),"Ambiguous",IF(ISNUMBER(SEARCH("平",D1182)),"平","仄")))</x:f>
        <x:v>仄</x:v>
      </x:c>
      <x:c r="L1182" s="7" t="str"/>
    </x:row>
    <x:row r="1183">
      <x:c r="A1183" s="5" t="str">
        <x:v>廈</x:v>
      </x:c>
      <x:c r="B1183" s="6" t="str">
        <x:v>上</x:v>
      </x:c>
      <x:c r="C1183" s="6" t="str">
        <x:f>IF(B1183="","Needs decision","Ready")</x:f>
        <x:v>Ready</x:v>
      </x:c>
      <x:c r="D1183" s="6" t="str">
        <x:v>上</x:v>
      </x:c>
      <x:c r="E1183" s="6" t="str">
        <x:v>haeX (B)</x:v>
      </x:c>
      <x:c r="F1183" s="6" t="str">
        <x:v>上聲二十一馬</x:v>
      </x:c>
      <x:c r="G1183" s="6" t="str">
        <x:v>Pingshui main list, Wikisource-derived DOCX</x:v>
      </x:c>
      <x:c r="H1183" s="6" t="str">
        <x:v>1</x:v>
      </x:c>
      <x:c r="I1183" s="6" t="str"/>
      <x:c r="J1183" s="6" t="str">
        <x:f>IF(B1183="","",IF(AND(ISNUMBER(SEARCH("平",B1183)),OR(ISNUMBER(SEARCH("上",B1183)),ISNUMBER(SEARCH("去",B1183)),ISNUMBER(SEARCH("入",B1183)))),"Ambiguous",IF(ISNUMBER(SEARCH("平",B1183)),"平","仄")))</x:f>
        <x:v>仄</x:v>
      </x:c>
      <x:c r="K1183" s="6" t="str">
        <x:f>IF(D1183="","",IF(AND(ISNUMBER(SEARCH("平",D1183)),OR(ISNUMBER(SEARCH("上",D1183)),ISNUMBER(SEARCH("去",D1183)),ISNUMBER(SEARCH("入",D1183)))),"Ambiguous",IF(ISNUMBER(SEARCH("平",D1183)),"平","仄")))</x:f>
        <x:v>仄</x:v>
      </x:c>
      <x:c r="L1183" s="7" t="str"/>
    </x:row>
    <x:row r="1184">
      <x:c r="A1184" s="5" t="str">
        <x:v>廉</x:v>
      </x:c>
      <x:c r="B1184" s="6" t="str">
        <x:v>平</x:v>
      </x:c>
      <x:c r="C1184" s="6" t="str">
        <x:f>IF(B1184="","Needs decision","Ready")</x:f>
        <x:v>Ready</x:v>
      </x:c>
      <x:c r="D1184" s="6" t="str">
        <x:v>平</x:v>
      </x:c>
      <x:c r="E1184" s="6" t="str">
        <x:v>ljem (A)</x:v>
      </x:c>
      <x:c r="F1184" s="6" t="str">
        <x:v>下平聲十四鹽</x:v>
      </x:c>
      <x:c r="G1184" s="6" t="str">
        <x:v>Pingshui main list, Wikisource-derived DOCX</x:v>
      </x:c>
      <x:c r="H1184" s="6" t="str">
        <x:v>1</x:v>
      </x:c>
      <x:c r="I1184" s="6" t="str"/>
      <x:c r="J1184" s="6" t="str">
        <x:f>IF(B1184="","",IF(AND(ISNUMBER(SEARCH("平",B1184)),OR(ISNUMBER(SEARCH("上",B1184)),ISNUMBER(SEARCH("去",B1184)),ISNUMBER(SEARCH("入",B1184)))),"Ambiguous",IF(ISNUMBER(SEARCH("平",B1184)),"平","仄")))</x:f>
        <x:v>平</x:v>
      </x:c>
      <x:c r="K1184" s="6" t="str">
        <x:f>IF(D1184="","",IF(AND(ISNUMBER(SEARCH("平",D1184)),OR(ISNUMBER(SEARCH("上",D1184)),ISNUMBER(SEARCH("去",D1184)),ISNUMBER(SEARCH("入",D1184)))),"Ambiguous",IF(ISNUMBER(SEARCH("平",D1184)),"平","仄")))</x:f>
        <x:v>平</x:v>
      </x:c>
      <x:c r="L1184" s="7" t="str"/>
    </x:row>
    <x:row r="1185">
      <x:c r="A1185" s="5" t="str">
        <x:v>廊</x:v>
      </x:c>
      <x:c r="B1185" s="6" t="str">
        <x:v>平</x:v>
      </x:c>
      <x:c r="C1185" s="6" t="str">
        <x:f>IF(B1185="","Needs decision","Ready")</x:f>
        <x:v>Ready</x:v>
      </x:c>
      <x:c r="D1185" s="6" t="str">
        <x:v>平</x:v>
      </x:c>
      <x:c r="E1185" s="6" t="str">
        <x:v>lang (A)</x:v>
      </x:c>
      <x:c r="F1185" s="6" t="str">
        <x:v>下平聲七陽</x:v>
      </x:c>
      <x:c r="G1185" s="6" t="str">
        <x:v>Pingshui main list, Wikisource-derived DOCX</x:v>
      </x:c>
      <x:c r="H1185" s="6" t="str">
        <x:v>1</x:v>
      </x:c>
      <x:c r="I1185" s="6" t="str"/>
      <x:c r="J1185" s="6" t="str">
        <x:f>IF(B1185="","",IF(AND(ISNUMBER(SEARCH("平",B1185)),OR(ISNUMBER(SEARCH("上",B1185)),ISNUMBER(SEARCH("去",B1185)),ISNUMBER(SEARCH("入",B1185)))),"Ambiguous",IF(ISNUMBER(SEARCH("平",B1185)),"平","仄")))</x:f>
        <x:v>平</x:v>
      </x:c>
      <x:c r="K1185" s="6" t="str">
        <x:f>IF(D1185="","",IF(AND(ISNUMBER(SEARCH("平",D1185)),OR(ISNUMBER(SEARCH("上",D1185)),ISNUMBER(SEARCH("去",D1185)),ISNUMBER(SEARCH("入",D1185)))),"Ambiguous",IF(ISNUMBER(SEARCH("平",D1185)),"平","仄")))</x:f>
        <x:v>平</x:v>
      </x:c>
      <x:c r="L1185" s="7" t="str"/>
    </x:row>
    <x:row r="1186">
      <x:c r="A1186" s="5" t="str">
        <x:v>廌</x:v>
      </x:c>
      <x:c r="B1186" s="6" t="str">
        <x:v>上</x:v>
      </x:c>
      <x:c r="C1186" s="6" t="str">
        <x:f>IF(B1186="","Needs decision","Ready")</x:f>
        <x:v>Ready</x:v>
      </x:c>
      <x:c r="D1186" s="6" t="str">
        <x:v>上</x:v>
      </x:c>
      <x:c r="E1186" s="6" t="str">
        <x:v>dreaX (B)</x:v>
      </x:c>
      <x:c r="F1186" s="6" t="str">
        <x:v>上聲四紙; 上聲九蟹</x:v>
      </x:c>
      <x:c r="G1186" s="6" t="str">
        <x:v>Pingshui main list, Wikisource-derived DOCX</x:v>
      </x:c>
      <x:c r="H1186" s="6" t="str">
        <x:v>1</x:v>
      </x:c>
      <x:c r="I1186" s="6" t="str"/>
      <x:c r="J1186" s="6" t="str">
        <x:f>IF(B1186="","",IF(AND(ISNUMBER(SEARCH("平",B1186)),OR(ISNUMBER(SEARCH("上",B1186)),ISNUMBER(SEARCH("去",B1186)),ISNUMBER(SEARCH("入",B1186)))),"Ambiguous",IF(ISNUMBER(SEARCH("平",B1186)),"平","仄")))</x:f>
        <x:v>仄</x:v>
      </x:c>
      <x:c r="K1186" s="6" t="str">
        <x:f>IF(D1186="","",IF(AND(ISNUMBER(SEARCH("平",D1186)),OR(ISNUMBER(SEARCH("上",D1186)),ISNUMBER(SEARCH("去",D1186)),ISNUMBER(SEARCH("入",D1186)))),"Ambiguous",IF(ISNUMBER(SEARCH("平",D1186)),"平","仄")))</x:f>
        <x:v>仄</x:v>
      </x:c>
      <x:c r="L1186" s="7" t="str"/>
    </x:row>
    <x:row r="1187">
      <x:c r="A1187" s="5" t="str">
        <x:v>廓</x:v>
      </x:c>
      <x:c r="B1187" s="6" t="str">
        <x:v>入</x:v>
      </x:c>
      <x:c r="C1187" s="6" t="str">
        <x:f>IF(B1187="","Needs decision","Ready")</x:f>
        <x:v>Ready</x:v>
      </x:c>
      <x:c r="D1187" s="6" t="str">
        <x:v>入</x:v>
      </x:c>
      <x:c r="E1187" s="6" t="str">
        <x:v>khwak (D)</x:v>
      </x:c>
      <x:c r="F1187" s="6" t="str">
        <x:v>入聲十藥</x:v>
      </x:c>
      <x:c r="G1187" s="6" t="str">
        <x:v>Pingshui main list, Wikisource-derived DOCX</x:v>
      </x:c>
      <x:c r="H1187" s="6" t="str">
        <x:v>1</x:v>
      </x:c>
      <x:c r="I1187" s="6" t="str"/>
      <x:c r="J1187" s="6" t="str">
        <x:f>IF(B1187="","",IF(AND(ISNUMBER(SEARCH("平",B1187)),OR(ISNUMBER(SEARCH("上",B1187)),ISNUMBER(SEARCH("去",B1187)),ISNUMBER(SEARCH("入",B1187)))),"Ambiguous",IF(ISNUMBER(SEARCH("平",B1187)),"平","仄")))</x:f>
        <x:v>仄</x:v>
      </x:c>
      <x:c r="K1187" s="6" t="str">
        <x:f>IF(D1187="","",IF(AND(ISNUMBER(SEARCH("平",D1187)),OR(ISNUMBER(SEARCH("上",D1187)),ISNUMBER(SEARCH("去",D1187)),ISNUMBER(SEARCH("入",D1187)))),"Ambiguous",IF(ISNUMBER(SEARCH("平",D1187)),"平","仄")))</x:f>
        <x:v>仄</x:v>
      </x:c>
      <x:c r="L1187" s="7" t="str"/>
    </x:row>
    <x:row r="1188">
      <x:c r="A1188" s="5" t="str">
        <x:v>廚</x:v>
      </x:c>
      <x:c r="B1188" s="6" t="str">
        <x:v>平</x:v>
      </x:c>
      <x:c r="C1188" s="6" t="str">
        <x:f>IF(B1188="","Needs decision","Ready")</x:f>
        <x:v>Ready</x:v>
      </x:c>
      <x:c r="D1188" s="6" t="str">
        <x:v>平</x:v>
      </x:c>
      <x:c r="E1188" s="6" t="str">
        <x:v>drju (A)</x:v>
      </x:c>
      <x:c r="F1188" s="6" t="str">
        <x:v>上平聲七虞</x:v>
      </x:c>
      <x:c r="G1188" s="6" t="str">
        <x:v>Pingshui main list, Wikisource-derived DOCX</x:v>
      </x:c>
      <x:c r="H1188" s="6" t="str">
        <x:v>1</x:v>
      </x:c>
      <x:c r="I1188" s="6" t="str"/>
      <x:c r="J1188" s="6" t="str">
        <x:f>IF(B1188="","",IF(AND(ISNUMBER(SEARCH("平",B1188)),OR(ISNUMBER(SEARCH("上",B1188)),ISNUMBER(SEARCH("去",B1188)),ISNUMBER(SEARCH("入",B1188)))),"Ambiguous",IF(ISNUMBER(SEARCH("平",B1188)),"平","仄")))</x:f>
        <x:v>平</x:v>
      </x:c>
      <x:c r="K1188" s="6" t="str">
        <x:f>IF(D1188="","",IF(AND(ISNUMBER(SEARCH("平",D1188)),OR(ISNUMBER(SEARCH("上",D1188)),ISNUMBER(SEARCH("去",D1188)),ISNUMBER(SEARCH("入",D1188)))),"Ambiguous",IF(ISNUMBER(SEARCH("平",D1188)),"平","仄")))</x:f>
        <x:v>平</x:v>
      </x:c>
      <x:c r="L1188" s="7" t="str"/>
    </x:row>
    <x:row r="1189">
      <x:c r="A1189" s="5" t="str">
        <x:v>廛</x:v>
      </x:c>
      <x:c r="B1189" s="6" t="str">
        <x:v>平</x:v>
      </x:c>
      <x:c r="C1189" s="6" t="str">
        <x:f>IF(B1189="","Needs decision","Ready")</x:f>
        <x:v>Ready</x:v>
      </x:c>
      <x:c r="D1189" s="6" t="str">
        <x:v>平</x:v>
      </x:c>
      <x:c r="E1189" s="6" t="str">
        <x:v>drjen (A)</x:v>
      </x:c>
      <x:c r="F1189" s="6" t="str">
        <x:v>下平聲一先</x:v>
      </x:c>
      <x:c r="G1189" s="6" t="str">
        <x:v>Pingshui main list, Wikisource-derived DOCX</x:v>
      </x:c>
      <x:c r="H1189" s="6" t="str">
        <x:v>1</x:v>
      </x:c>
      <x:c r="I1189" s="6" t="str"/>
      <x:c r="J1189" s="6" t="str">
        <x:f>IF(B1189="","",IF(AND(ISNUMBER(SEARCH("平",B1189)),OR(ISNUMBER(SEARCH("上",B1189)),ISNUMBER(SEARCH("去",B1189)),ISNUMBER(SEARCH("入",B1189)))),"Ambiguous",IF(ISNUMBER(SEARCH("平",B1189)),"平","仄")))</x:f>
        <x:v>平</x:v>
      </x:c>
      <x:c r="K1189" s="6" t="str">
        <x:f>IF(D1189="","",IF(AND(ISNUMBER(SEARCH("平",D1189)),OR(ISNUMBER(SEARCH("上",D1189)),ISNUMBER(SEARCH("去",D1189)),ISNUMBER(SEARCH("入",D1189)))),"Ambiguous",IF(ISNUMBER(SEARCH("平",D1189)),"平","仄")))</x:f>
        <x:v>平</x:v>
      </x:c>
      <x:c r="L1189" s="7" t="str"/>
    </x:row>
    <x:row r="1190">
      <x:c r="A1190" s="5" t="str">
        <x:v>廝</x:v>
      </x:c>
      <x:c r="B1190" s="6" t="str">
        <x:v>平</x:v>
      </x:c>
      <x:c r="C1190" s="6" t="str">
        <x:f>IF(B1190="","Needs decision","Ready")</x:f>
        <x:v>Ready</x:v>
      </x:c>
      <x:c r="D1190" s="6" t="str">
        <x:v>平</x:v>
      </x:c>
      <x:c r="E1190" s="6" t="str">
        <x:v>sje [sie] (平)</x:v>
      </x:c>
      <x:c r="F1190" s="6" t="str">
        <x:v>上平聲四支</x:v>
      </x:c>
      <x:c r="G1190" s="6" t="str">
        <x:v>Pingshui main list, Wikisource-derived DOCX</x:v>
      </x:c>
      <x:c r="H1190" s="6" t="str">
        <x:v>1</x:v>
      </x:c>
      <x:c r="I1190" s="6" t="str">
        <x:v>Tang 300 gap; frequency 1; provisional from Xun Gong</x:v>
      </x:c>
      <x:c r="J1190" s="6" t="str">
        <x:f>IF(B1190="","",IF(AND(ISNUMBER(SEARCH("平",B1190)),OR(ISNUMBER(SEARCH("上",B1190)),ISNUMBER(SEARCH("去",B1190)),ISNUMBER(SEARCH("入",B1190)))),"Ambiguous",IF(ISNUMBER(SEARCH("平",B1190)),"平","仄")))</x:f>
        <x:v>平</x:v>
      </x:c>
      <x:c r="K1190" s="6" t="str">
        <x:f>IF(D1190="","",IF(AND(ISNUMBER(SEARCH("平",D1190)),OR(ISNUMBER(SEARCH("上",D1190)),ISNUMBER(SEARCH("去",D1190)),ISNUMBER(SEARCH("入",D1190)))),"Ambiguous",IF(ISNUMBER(SEARCH("平",D1190)),"平","仄")))</x:f>
        <x:v>平</x:v>
      </x:c>
      <x:c r="L1190" s="7" t="str">
        <x:v>Xun Gong, Tang 300 gap fill</x:v>
      </x:c>
    </x:row>
    <x:row r="1191">
      <x:c r="A1191" s="5" t="str">
        <x:v>廟</x:v>
      </x:c>
      <x:c r="B1191" s="6" t="str">
        <x:v>去</x:v>
      </x:c>
      <x:c r="C1191" s="6" t="str">
        <x:f>IF(B1191="","Needs decision","Ready")</x:f>
        <x:v>Ready</x:v>
      </x:c>
      <x:c r="D1191" s="6" t="str">
        <x:v>去</x:v>
      </x:c>
      <x:c r="E1191" s="6" t="str">
        <x:v>mjewH (C)</x:v>
      </x:c>
      <x:c r="F1191" s="6" t="str">
        <x:v>去聲十八嘯</x:v>
      </x:c>
      <x:c r="G1191" s="6" t="str">
        <x:v>Pingshui main list, Wikisource-derived DOCX</x:v>
      </x:c>
      <x:c r="H1191" s="6" t="str">
        <x:v>1</x:v>
      </x:c>
      <x:c r="I1191" s="6" t="str"/>
      <x:c r="J1191" s="6" t="str">
        <x:f>IF(B1191="","",IF(AND(ISNUMBER(SEARCH("平",B1191)),OR(ISNUMBER(SEARCH("上",B1191)),ISNUMBER(SEARCH("去",B1191)),ISNUMBER(SEARCH("入",B1191)))),"Ambiguous",IF(ISNUMBER(SEARCH("平",B1191)),"平","仄")))</x:f>
        <x:v>仄</x:v>
      </x:c>
      <x:c r="K1191" s="6" t="str">
        <x:f>IF(D1191="","",IF(AND(ISNUMBER(SEARCH("平",D1191)),OR(ISNUMBER(SEARCH("上",D1191)),ISNUMBER(SEARCH("去",D1191)),ISNUMBER(SEARCH("入",D1191)))),"Ambiguous",IF(ISNUMBER(SEARCH("平",D1191)),"平","仄")))</x:f>
        <x:v>仄</x:v>
      </x:c>
      <x:c r="L1191" s="7" t="str"/>
    </x:row>
    <x:row r="1192">
      <x:c r="A1192" s="5" t="str">
        <x:v>廢</x:v>
      </x:c>
      <x:c r="B1192" s="6" t="str">
        <x:v>去</x:v>
      </x:c>
      <x:c r="C1192" s="6" t="str">
        <x:f>IF(B1192="","Needs decision","Ready")</x:f>
        <x:v>Ready</x:v>
      </x:c>
      <x:c r="D1192" s="6" t="str">
        <x:v>去</x:v>
      </x:c>
      <x:c r="E1192" s="6" t="str">
        <x:v>pjojH (C)</x:v>
      </x:c>
      <x:c r="F1192" s="6" t="str">
        <x:v>去聲十一隊</x:v>
      </x:c>
      <x:c r="G1192" s="6" t="str">
        <x:v>Pingshui main list, Wikisource-derived DOCX</x:v>
      </x:c>
      <x:c r="H1192" s="6" t="str">
        <x:v>1</x:v>
      </x:c>
      <x:c r="I1192" s="6" t="str"/>
      <x:c r="J1192" s="6" t="str">
        <x:f>IF(B1192="","",IF(AND(ISNUMBER(SEARCH("平",B1192)),OR(ISNUMBER(SEARCH("上",B1192)),ISNUMBER(SEARCH("去",B1192)),ISNUMBER(SEARCH("入",B1192)))),"Ambiguous",IF(ISNUMBER(SEARCH("平",B1192)),"平","仄")))</x:f>
        <x:v>仄</x:v>
      </x:c>
      <x:c r="K1192" s="6" t="str">
        <x:f>IF(D1192="","",IF(AND(ISNUMBER(SEARCH("平",D1192)),OR(ISNUMBER(SEARCH("上",D1192)),ISNUMBER(SEARCH("去",D1192)),ISNUMBER(SEARCH("入",D1192)))),"Ambiguous",IF(ISNUMBER(SEARCH("平",D1192)),"平","仄")))</x:f>
        <x:v>仄</x:v>
      </x:c>
      <x:c r="L1192" s="7" t="str"/>
    </x:row>
    <x:row r="1193">
      <x:c r="A1193" s="5" t="str">
        <x:v>廣</x:v>
      </x:c>
      <x:c r="B1193" s="6" t="str">
        <x:v>上</x:v>
      </x:c>
      <x:c r="C1193" s="6" t="str">
        <x:f>IF(B1193="","Needs decision","Ready")</x:f>
        <x:v>Ready</x:v>
      </x:c>
      <x:c r="D1193" s="6" t="str">
        <x:v>上/去</x:v>
      </x:c>
      <x:c r="E1193" s="6" t="str">
        <x:v>kwangX (B); kwangH (C)</x:v>
      </x:c>
      <x:c r="F1193" s="6" t="str">
        <x:v>上聲二十二養; 去聲二十三漾</x:v>
      </x:c>
      <x:c r="G1193" s="6" t="str">
        <x:v>Pingshui main list, Wikisource-derived DOCX</x:v>
      </x:c>
      <x:c r="H1193" s="6" t="str">
        <x:v>2</x:v>
      </x:c>
      <x:c r="I1193" s="6" t="str">
        <x:v>User workbook edit 2026-09-03</x:v>
      </x:c>
      <x:c r="J1193" s="6" t="str">
        <x:f>IF(B1193="","",IF(AND(ISNUMBER(SEARCH("平",B1193)),OR(ISNUMBER(SEARCH("上",B1193)),ISNUMBER(SEARCH("去",B1193)),ISNUMBER(SEARCH("入",B1193)))),"Ambiguous",IF(ISNUMBER(SEARCH("平",B1193)),"平","仄")))</x:f>
        <x:v>仄</x:v>
      </x:c>
      <x:c r="K1193" s="6" t="str">
        <x:f>IF(D1193="","",IF(AND(ISNUMBER(SEARCH("平",D1193)),OR(ISNUMBER(SEARCH("上",D1193)),ISNUMBER(SEARCH("去",D1193)),ISNUMBER(SEARCH("入",D1193)))),"Ambiguous",IF(ISNUMBER(SEARCH("平",D1193)),"平","仄")))</x:f>
        <x:v>仄</x:v>
      </x:c>
      <x:c r="L1193" s="7" t="str">
        <x:v>manual user correction</x:v>
      </x:c>
    </x:row>
    <x:row r="1194">
      <x:c r="A1194" s="5" t="str">
        <x:v>廩</x:v>
      </x:c>
      <x:c r="B1194" s="6" t="str">
        <x:v>上</x:v>
      </x:c>
      <x:c r="C1194" s="6" t="str">
        <x:f>IF(B1194="","Needs decision","Ready")</x:f>
        <x:v>Ready</x:v>
      </x:c>
      <x:c r="D1194" s="6" t="str">
        <x:v>上</x:v>
      </x:c>
      <x:c r="E1194" s="6" t="str">
        <x:v>limX (B)</x:v>
      </x:c>
      <x:c r="F1194" s="6" t="str">
        <x:v>上聲二十六寢</x:v>
      </x:c>
      <x:c r="G1194" s="6" t="str">
        <x:v>Pingshui main list, Wikisource-derived DOCX</x:v>
      </x:c>
      <x:c r="H1194" s="6" t="str">
        <x:v>1</x:v>
      </x:c>
      <x:c r="I1194" s="6" t="str"/>
      <x:c r="J1194" s="6" t="str">
        <x:f>IF(B1194="","",IF(AND(ISNUMBER(SEARCH("平",B1194)),OR(ISNUMBER(SEARCH("上",B1194)),ISNUMBER(SEARCH("去",B1194)),ISNUMBER(SEARCH("入",B1194)))),"Ambiguous",IF(ISNUMBER(SEARCH("平",B1194)),"平","仄")))</x:f>
        <x:v>仄</x:v>
      </x:c>
      <x:c r="K1194" s="6" t="str">
        <x:f>IF(D1194="","",IF(AND(ISNUMBER(SEARCH("平",D1194)),OR(ISNUMBER(SEARCH("上",D1194)),ISNUMBER(SEARCH("去",D1194)),ISNUMBER(SEARCH("入",D1194)))),"Ambiguous",IF(ISNUMBER(SEARCH("平",D1194)),"平","仄")))</x:f>
        <x:v>仄</x:v>
      </x:c>
      <x:c r="L1194" s="7" t="str"/>
    </x:row>
    <x:row r="1195">
      <x:c r="A1195" s="5" t="str">
        <x:v>廬</x:v>
      </x:c>
      <x:c r="B1195" s="6" t="str">
        <x:v>平</x:v>
      </x:c>
      <x:c r="C1195" s="6" t="str">
        <x:f>IF(B1195="","Needs decision","Ready")</x:f>
        <x:v>Ready</x:v>
      </x:c>
      <x:c r="D1195" s="6" t="str">
        <x:v>平</x:v>
      </x:c>
      <x:c r="E1195" s="6" t="str">
        <x:v>ljo (A)</x:v>
      </x:c>
      <x:c r="F1195" s="6" t="str">
        <x:v>上平聲六魚</x:v>
      </x:c>
      <x:c r="G1195" s="6" t="str">
        <x:v>Pingshui main list, Wikisource-derived DOCX</x:v>
      </x:c>
      <x:c r="H1195" s="6" t="str">
        <x:v>1</x:v>
      </x:c>
      <x:c r="I1195" s="6" t="str"/>
      <x:c r="J1195" s="6" t="str">
        <x:f>IF(B1195="","",IF(AND(ISNUMBER(SEARCH("平",B1195)),OR(ISNUMBER(SEARCH("上",B1195)),ISNUMBER(SEARCH("去",B1195)),ISNUMBER(SEARCH("入",B1195)))),"Ambiguous",IF(ISNUMBER(SEARCH("平",B1195)),"平","仄")))</x:f>
        <x:v>平</x:v>
      </x:c>
      <x:c r="K1195" s="6" t="str">
        <x:f>IF(D1195="","",IF(AND(ISNUMBER(SEARCH("平",D1195)),OR(ISNUMBER(SEARCH("上",D1195)),ISNUMBER(SEARCH("去",D1195)),ISNUMBER(SEARCH("入",D1195)))),"Ambiguous",IF(ISNUMBER(SEARCH("平",D1195)),"平","仄")))</x:f>
        <x:v>平</x:v>
      </x:c>
      <x:c r="L1195" s="7" t="str"/>
    </x:row>
    <x:row r="1196">
      <x:c r="A1196" s="5" t="str">
        <x:v>廱</x:v>
      </x:c>
      <x:c r="B1196" s="6" t="str">
        <x:v>平</x:v>
      </x:c>
      <x:c r="C1196" s="6" t="str">
        <x:f>IF(B1196="","Needs decision","Ready")</x:f>
        <x:v>Ready</x:v>
      </x:c>
      <x:c r="D1196" s="6" t="str">
        <x:v>平</x:v>
      </x:c>
      <x:c r="E1196" s="6" t="str"/>
      <x:c r="F1196" s="6" t="str">
        <x:v>上平聲二冬</x:v>
      </x:c>
      <x:c r="G1196" s="6" t="str">
        <x:v>Pingshui main list, Wikisource-derived DOCX</x:v>
      </x:c>
      <x:c r="H1196" s="6" t="str"/>
      <x:c r="I1196" s="6" t="str">
        <x:v>Manual user correction/addition</x:v>
      </x:c>
      <x:c r="J1196" s="6" t="str">
        <x:f>IF(B1196="","",IF(AND(ISNUMBER(SEARCH("平",B1196)),OR(ISNUMBER(SEARCH("上",B1196)),ISNUMBER(SEARCH("去",B1196)),ISNUMBER(SEARCH("入",B1196)))),"Ambiguous",IF(ISNUMBER(SEARCH("平",B1196)),"平","仄")))</x:f>
        <x:v>平</x:v>
      </x:c>
      <x:c r="K1196" s="6" t="str">
        <x:f>IF(D1196="","",IF(AND(ISNUMBER(SEARCH("平",D1196)),OR(ISNUMBER(SEARCH("上",D1196)),ISNUMBER(SEARCH("去",D1196)),ISNUMBER(SEARCH("入",D1196)))),"Ambiguous",IF(ISNUMBER(SEARCH("平",D1196)),"平","仄")))</x:f>
        <x:v>平</x:v>
      </x:c>
      <x:c r="L1196" s="7" t="str">
        <x:v>manual user correction</x:v>
      </x:c>
    </x:row>
    <x:row r="1197">
      <x:c r="A1197" s="5" t="str">
        <x:v>延</x:v>
      </x:c>
      <x:c r="B1197" s="6" t="str">
        <x:v>平</x:v>
      </x:c>
      <x:c r="C1197" s="6" t="str">
        <x:f>IF(B1197="","Needs decision","Ready")</x:f>
        <x:v>Ready</x:v>
      </x:c>
      <x:c r="D1197" s="6" t="str">
        <x:v>平</x:v>
      </x:c>
      <x:c r="E1197" s="6" t="str">
        <x:v>yen (A)</x:v>
      </x:c>
      <x:c r="F1197" s="6" t="str">
        <x:v>下平聲一先</x:v>
      </x:c>
      <x:c r="G1197" s="6" t="str">
        <x:v>Pingshui main list, Wikisource-derived DOCX</x:v>
      </x:c>
      <x:c r="H1197" s="6" t="str">
        <x:v>1</x:v>
      </x:c>
      <x:c r="I1197" s="6" t="str"/>
      <x:c r="J1197" s="6" t="str">
        <x:f>IF(B1197="","",IF(AND(ISNUMBER(SEARCH("平",B1197)),OR(ISNUMBER(SEARCH("上",B1197)),ISNUMBER(SEARCH("去",B1197)),ISNUMBER(SEARCH("入",B1197)))),"Ambiguous",IF(ISNUMBER(SEARCH("平",B1197)),"平","仄")))</x:f>
        <x:v>平</x:v>
      </x:c>
      <x:c r="K1197" s="6" t="str">
        <x:f>IF(D1197="","",IF(AND(ISNUMBER(SEARCH("平",D1197)),OR(ISNUMBER(SEARCH("上",D1197)),ISNUMBER(SEARCH("去",D1197)),ISNUMBER(SEARCH("入",D1197)))),"Ambiguous",IF(ISNUMBER(SEARCH("平",D1197)),"平","仄")))</x:f>
        <x:v>平</x:v>
      </x:c>
      <x:c r="L1197" s="7" t="str"/>
    </x:row>
    <x:row r="1198">
      <x:c r="A1198" s="5" t="str">
        <x:v>廷</x:v>
      </x:c>
      <x:c r="B1198" s="6" t="str">
        <x:v>平</x:v>
      </x:c>
      <x:c r="C1198" s="6" t="str">
        <x:f>IF(B1198="","Needs decision","Ready")</x:f>
        <x:v>Ready</x:v>
      </x:c>
      <x:c r="D1198" s="6" t="str">
        <x:v>平</x:v>
      </x:c>
      <x:c r="E1198" s="6" t="str">
        <x:v>deng (A)</x:v>
      </x:c>
      <x:c r="F1198" s="6" t="str">
        <x:v>去聲二十五徑</x:v>
      </x:c>
      <x:c r="G1198" s="6" t="str">
        <x:v>Pingshui main list, Wikisource-derived DOCX</x:v>
      </x:c>
      <x:c r="H1198" s="6" t="str">
        <x:v>1</x:v>
      </x:c>
      <x:c r="I1198" s="6" t="str"/>
      <x:c r="J1198" s="6" t="str">
        <x:f>IF(B1198="","",IF(AND(ISNUMBER(SEARCH("平",B1198)),OR(ISNUMBER(SEARCH("上",B1198)),ISNUMBER(SEARCH("去",B1198)),ISNUMBER(SEARCH("入",B1198)))),"Ambiguous",IF(ISNUMBER(SEARCH("平",B1198)),"平","仄")))</x:f>
        <x:v>平</x:v>
      </x:c>
      <x:c r="K1198" s="6" t="str">
        <x:f>IF(D1198="","",IF(AND(ISNUMBER(SEARCH("平",D1198)),OR(ISNUMBER(SEARCH("上",D1198)),ISNUMBER(SEARCH("去",D1198)),ISNUMBER(SEARCH("入",D1198)))),"Ambiguous",IF(ISNUMBER(SEARCH("平",D1198)),"平","仄")))</x:f>
        <x:v>平</x:v>
      </x:c>
      <x:c r="L1198" s="7" t="str"/>
    </x:row>
    <x:row r="1199">
      <x:c r="A1199" s="5" t="str">
        <x:v>建</x:v>
      </x:c>
      <x:c r="B1199" s="6" t="str">
        <x:v>去</x:v>
      </x:c>
      <x:c r="C1199" s="6" t="str">
        <x:f>IF(B1199="","Needs decision","Ready")</x:f>
        <x:v>Ready</x:v>
      </x:c>
      <x:c r="D1199" s="6" t="str">
        <x:v>去</x:v>
      </x:c>
      <x:c r="E1199" s="6" t="str">
        <x:v>kjonH (C)</x:v>
      </x:c>
      <x:c r="F1199" s="6" t="str">
        <x:v>去聲十四願</x:v>
      </x:c>
      <x:c r="G1199" s="6" t="str">
        <x:v>Pingshui main list, Wikisource-derived DOCX</x:v>
      </x:c>
      <x:c r="H1199" s="6" t="str">
        <x:v>1</x:v>
      </x:c>
      <x:c r="I1199" s="6" t="str"/>
      <x:c r="J1199" s="6" t="str">
        <x:f>IF(B1199="","",IF(AND(ISNUMBER(SEARCH("平",B1199)),OR(ISNUMBER(SEARCH("上",B1199)),ISNUMBER(SEARCH("去",B1199)),ISNUMBER(SEARCH("入",B1199)))),"Ambiguous",IF(ISNUMBER(SEARCH("平",B1199)),"平","仄")))</x:f>
        <x:v>仄</x:v>
      </x:c>
      <x:c r="K1199" s="6" t="str">
        <x:f>IF(D1199="","",IF(AND(ISNUMBER(SEARCH("平",D1199)),OR(ISNUMBER(SEARCH("上",D1199)),ISNUMBER(SEARCH("去",D1199)),ISNUMBER(SEARCH("入",D1199)))),"Ambiguous",IF(ISNUMBER(SEARCH("平",D1199)),"平","仄")))</x:f>
        <x:v>仄</x:v>
      </x:c>
      <x:c r="L1199" s="7" t="str"/>
    </x:row>
    <x:row r="1200">
      <x:c r="A1200" s="5" t="str">
        <x:v>廼</x:v>
      </x:c>
      <x:c r="B1200" s="6" t="str">
        <x:v>上</x:v>
      </x:c>
      <x:c r="C1200" s="6" t="str">
        <x:f>IF(B1200="","Needs decision","Ready")</x:f>
        <x:v>Ready</x:v>
      </x:c>
      <x:c r="D1200" s="6" t="str">
        <x:v>上</x:v>
      </x:c>
      <x:c r="E1200" s="6" t="str">
        <x:v>nojX (B)</x:v>
      </x:c>
      <x:c r="F1200" s="6" t="str"/>
      <x:c r="G1200" s="6" t="str"/>
      <x:c r="H1200" s="6" t="str">
        <x:v>1</x:v>
      </x:c>
      <x:c r="I1200" s="6" t="str"/>
      <x:c r="J1200" s="6" t="str">
        <x:f>IF(B1200="","",IF(AND(ISNUMBER(SEARCH("平",B1200)),OR(ISNUMBER(SEARCH("上",B1200)),ISNUMBER(SEARCH("去",B1200)),ISNUMBER(SEARCH("入",B1200)))),"Ambiguous",IF(ISNUMBER(SEARCH("平",B1200)),"平","仄")))</x:f>
        <x:v>仄</x:v>
      </x:c>
      <x:c r="K1200" s="6" t="str">
        <x:f>IF(D1200="","",IF(AND(ISNUMBER(SEARCH("平",D1200)),OR(ISNUMBER(SEARCH("上",D1200)),ISNUMBER(SEARCH("去",D1200)),ISNUMBER(SEARCH("入",D1200)))),"Ambiguous",IF(ISNUMBER(SEARCH("平",D1200)),"平","仄")))</x:f>
        <x:v>仄</x:v>
      </x:c>
      <x:c r="L1200" s="7" t="str"/>
    </x:row>
    <x:row r="1201">
      <x:c r="A1201" s="5" t="str">
        <x:v>廾</x:v>
      </x:c>
      <x:c r="B1201" s="6" t="str">
        <x:v>上</x:v>
      </x:c>
      <x:c r="C1201" s="6" t="str">
        <x:f>IF(B1201="","Needs decision","Ready")</x:f>
        <x:v>Ready</x:v>
      </x:c>
      <x:c r="D1201" s="6" t="str">
        <x:v>上</x:v>
      </x:c>
      <x:c r="E1201" s="6" t="str">
        <x:v>kjowngX (B)</x:v>
      </x:c>
      <x:c r="F1201" s="6" t="str"/>
      <x:c r="G1201" s="6" t="str"/>
      <x:c r="H1201" s="6" t="str">
        <x:v>1</x:v>
      </x:c>
      <x:c r="I1201" s="6" t="str"/>
      <x:c r="J1201" s="6" t="str">
        <x:f>IF(B1201="","",IF(AND(ISNUMBER(SEARCH("平",B1201)),OR(ISNUMBER(SEARCH("上",B1201)),ISNUMBER(SEARCH("去",B1201)),ISNUMBER(SEARCH("入",B1201)))),"Ambiguous",IF(ISNUMBER(SEARCH("平",B1201)),"平","仄")))</x:f>
        <x:v>仄</x:v>
      </x:c>
      <x:c r="K1201" s="6" t="str">
        <x:f>IF(D1201="","",IF(AND(ISNUMBER(SEARCH("平",D1201)),OR(ISNUMBER(SEARCH("上",D1201)),ISNUMBER(SEARCH("去",D1201)),ISNUMBER(SEARCH("入",D1201)))),"Ambiguous",IF(ISNUMBER(SEARCH("平",D1201)),"平","仄")))</x:f>
        <x:v>仄</x:v>
      </x:c>
      <x:c r="L1201" s="7" t="str"/>
    </x:row>
    <x:row r="1202">
      <x:c r="A1202" s="5" t="str">
        <x:v>弁</x:v>
      </x:c>
      <x:c r="B1202" s="6" t="str">
        <x:v>去</x:v>
      </x:c>
      <x:c r="C1202" s="6" t="str">
        <x:f>IF(B1202="","Needs decision","Ready")</x:f>
        <x:v>Ready</x:v>
      </x:c>
      <x:c r="D1202" s="6" t="str">
        <x:v>去</x:v>
      </x:c>
      <x:c r="E1202" s="6" t="str">
        <x:v>bjenH (C)</x:v>
      </x:c>
      <x:c r="F1202" s="6" t="str">
        <x:v>上平聲十四寒; 去聲十七霰</x:v>
      </x:c>
      <x:c r="G1202" s="6" t="str">
        <x:v>Pingshui main list, Wikisource-derived DOCX</x:v>
      </x:c>
      <x:c r="H1202" s="6" t="str">
        <x:v>1</x:v>
      </x:c>
      <x:c r="I1202" s="6" t="str"/>
      <x:c r="J1202" s="6" t="str">
        <x:f>IF(B1202="","",IF(AND(ISNUMBER(SEARCH("平",B1202)),OR(ISNUMBER(SEARCH("上",B1202)),ISNUMBER(SEARCH("去",B1202)),ISNUMBER(SEARCH("入",B1202)))),"Ambiguous",IF(ISNUMBER(SEARCH("平",B1202)),"平","仄")))</x:f>
        <x:v>仄</x:v>
      </x:c>
      <x:c r="K1202" s="6" t="str">
        <x:f>IF(D1202="","",IF(AND(ISNUMBER(SEARCH("平",D1202)),OR(ISNUMBER(SEARCH("上",D1202)),ISNUMBER(SEARCH("去",D1202)),ISNUMBER(SEARCH("入",D1202)))),"Ambiguous",IF(ISNUMBER(SEARCH("平",D1202)),"平","仄")))</x:f>
        <x:v>仄</x:v>
      </x:c>
      <x:c r="L1202" s="7" t="str"/>
    </x:row>
    <x:row r="1203">
      <x:c r="A1203" s="5" t="str">
        <x:v>异</x:v>
      </x:c>
      <x:c r="B1203" s="6" t="str">
        <x:v>去</x:v>
      </x:c>
      <x:c r="C1203" s="6" t="str">
        <x:f>IF(B1203="","Needs decision","Ready")</x:f>
        <x:v>Ready</x:v>
      </x:c>
      <x:c r="D1203" s="6" t="str">
        <x:v>去</x:v>
      </x:c>
      <x:c r="E1203" s="6" t="str">
        <x:v>yiH (C)</x:v>
      </x:c>
      <x:c r="F1203" s="6" t="str"/>
      <x:c r="G1203" s="6" t="str"/>
      <x:c r="H1203" s="6" t="str">
        <x:v>1</x:v>
      </x:c>
      <x:c r="I1203" s="6" t="str"/>
      <x:c r="J1203" s="6" t="str">
        <x:f>IF(B1203="","",IF(AND(ISNUMBER(SEARCH("平",B1203)),OR(ISNUMBER(SEARCH("上",B1203)),ISNUMBER(SEARCH("去",B1203)),ISNUMBER(SEARCH("入",B1203)))),"Ambiguous",IF(ISNUMBER(SEARCH("平",B1203)),"平","仄")))</x:f>
        <x:v>仄</x:v>
      </x:c>
      <x:c r="K1203" s="6" t="str">
        <x:f>IF(D1203="","",IF(AND(ISNUMBER(SEARCH("平",D1203)),OR(ISNUMBER(SEARCH("上",D1203)),ISNUMBER(SEARCH("去",D1203)),ISNUMBER(SEARCH("入",D1203)))),"Ambiguous",IF(ISNUMBER(SEARCH("平",D1203)),"平","仄")))</x:f>
        <x:v>仄</x:v>
      </x:c>
      <x:c r="L1203" s="7" t="str"/>
    </x:row>
    <x:row r="1204">
      <x:c r="A1204" s="5" t="str">
        <x:v>弃</x:v>
      </x:c>
      <x:c r="B1204" s="6" t="str">
        <x:v>去</x:v>
      </x:c>
      <x:c r="C1204" s="6" t="str">
        <x:f>IF(B1204="","Needs decision","Ready")</x:f>
        <x:v>Ready</x:v>
      </x:c>
      <x:c r="D1204" s="6" t="str">
        <x:v>去</x:v>
      </x:c>
      <x:c r="E1204" s="6" t="str">
        <x:v>khjijH (C)</x:v>
      </x:c>
      <x:c r="F1204" s="6" t="str"/>
      <x:c r="G1204" s="6" t="str"/>
      <x:c r="H1204" s="6" t="str">
        <x:v>1</x:v>
      </x:c>
      <x:c r="I1204" s="6" t="str"/>
      <x:c r="J1204" s="6" t="str">
        <x:f>IF(B1204="","",IF(AND(ISNUMBER(SEARCH("平",B1204)),OR(ISNUMBER(SEARCH("上",B1204)),ISNUMBER(SEARCH("去",B1204)),ISNUMBER(SEARCH("入",B1204)))),"Ambiguous",IF(ISNUMBER(SEARCH("平",B1204)),"平","仄")))</x:f>
        <x:v>仄</x:v>
      </x:c>
      <x:c r="K1204" s="6" t="str">
        <x:f>IF(D1204="","",IF(AND(ISNUMBER(SEARCH("平",D1204)),OR(ISNUMBER(SEARCH("上",D1204)),ISNUMBER(SEARCH("去",D1204)),ISNUMBER(SEARCH("入",D1204)))),"Ambiguous",IF(ISNUMBER(SEARCH("平",D1204)),"平","仄")))</x:f>
        <x:v>仄</x:v>
      </x:c>
      <x:c r="L1204" s="7" t="str"/>
    </x:row>
    <x:row r="1205">
      <x:c r="A1205" s="5" t="str">
        <x:v>弄</x:v>
      </x:c>
      <x:c r="B1205" s="6" t="str">
        <x:v>去</x:v>
      </x:c>
      <x:c r="C1205" s="6" t="str">
        <x:f>IF(B1205="","Needs decision","Ready")</x:f>
        <x:v>Ready</x:v>
      </x:c>
      <x:c r="D1205" s="6" t="str">
        <x:v>去</x:v>
      </x:c>
      <x:c r="E1205" s="6" t="str">
        <x:v>luwngH (C)</x:v>
      </x:c>
      <x:c r="F1205" s="6" t="str">
        <x:v>去聲一送</x:v>
      </x:c>
      <x:c r="G1205" s="6" t="str">
        <x:v>Pingshui main list, Wikisource-derived DOCX</x:v>
      </x:c>
      <x:c r="H1205" s="6" t="str">
        <x:v>1</x:v>
      </x:c>
      <x:c r="I1205" s="6" t="str"/>
      <x:c r="J1205" s="6" t="str">
        <x:f>IF(B1205="","",IF(AND(ISNUMBER(SEARCH("平",B1205)),OR(ISNUMBER(SEARCH("上",B1205)),ISNUMBER(SEARCH("去",B1205)),ISNUMBER(SEARCH("入",B1205)))),"Ambiguous",IF(ISNUMBER(SEARCH("平",B1205)),"平","仄")))</x:f>
        <x:v>仄</x:v>
      </x:c>
      <x:c r="K1205" s="6" t="str">
        <x:f>IF(D1205="","",IF(AND(ISNUMBER(SEARCH("平",D1205)),OR(ISNUMBER(SEARCH("上",D1205)),ISNUMBER(SEARCH("去",D1205)),ISNUMBER(SEARCH("入",D1205)))),"Ambiguous",IF(ISNUMBER(SEARCH("平",D1205)),"平","仄")))</x:f>
        <x:v>仄</x:v>
      </x:c>
      <x:c r="L1205" s="7" t="str"/>
    </x:row>
    <x:row r="1206">
      <x:c r="A1206" s="5" t="str">
        <x:v>弈</x:v>
      </x:c>
      <x:c r="B1206" s="6" t="str">
        <x:v>入</x:v>
      </x:c>
      <x:c r="C1206" s="6" t="str">
        <x:f>IF(B1206="","Needs decision","Ready")</x:f>
        <x:v>Ready</x:v>
      </x:c>
      <x:c r="D1206" s="6" t="str">
        <x:v>入</x:v>
      </x:c>
      <x:c r="E1206" s="6" t="str">
        <x:v>yek (D)</x:v>
      </x:c>
      <x:c r="F1206" s="6" t="str">
        <x:v>入聲十一陌</x:v>
      </x:c>
      <x:c r="G1206" s="6" t="str">
        <x:v>Pingshui main list, Wikisource-derived DOCX</x:v>
      </x:c>
      <x:c r="H1206" s="6" t="str">
        <x:v>1</x:v>
      </x:c>
      <x:c r="I1206" s="6" t="str"/>
      <x:c r="J1206" s="6" t="str">
        <x:f>IF(B1206="","",IF(AND(ISNUMBER(SEARCH("平",B1206)),OR(ISNUMBER(SEARCH("上",B1206)),ISNUMBER(SEARCH("去",B1206)),ISNUMBER(SEARCH("入",B1206)))),"Ambiguous",IF(ISNUMBER(SEARCH("平",B1206)),"平","仄")))</x:f>
        <x:v>仄</x:v>
      </x:c>
      <x:c r="K1206" s="6" t="str">
        <x:f>IF(D1206="","",IF(AND(ISNUMBER(SEARCH("平",D1206)),OR(ISNUMBER(SEARCH("上",D1206)),ISNUMBER(SEARCH("去",D1206)),ISNUMBER(SEARCH("入",D1206)))),"Ambiguous",IF(ISNUMBER(SEARCH("平",D1206)),"平","仄")))</x:f>
        <x:v>仄</x:v>
      </x:c>
      <x:c r="L1206" s="7" t="str"/>
    </x:row>
    <x:row r="1207">
      <x:c r="A1207" s="5" t="str">
        <x:v>弋</x:v>
      </x:c>
      <x:c r="B1207" s="6" t="str">
        <x:v>入</x:v>
      </x:c>
      <x:c r="C1207" s="6" t="str">
        <x:f>IF(B1207="","Needs decision","Ready")</x:f>
        <x:v>Ready</x:v>
      </x:c>
      <x:c r="D1207" s="6" t="str">
        <x:v>入</x:v>
      </x:c>
      <x:c r="E1207" s="6" t="str">
        <x:v>yik (D)</x:v>
      </x:c>
      <x:c r="F1207" s="6" t="str">
        <x:v>入聲十三職</x:v>
      </x:c>
      <x:c r="G1207" s="6" t="str">
        <x:v>Pingshui main list, Wikisource-derived DOCX</x:v>
      </x:c>
      <x:c r="H1207" s="6" t="str">
        <x:v>1</x:v>
      </x:c>
      <x:c r="I1207" s="6" t="str"/>
      <x:c r="J1207" s="6" t="str">
        <x:f>IF(B1207="","",IF(AND(ISNUMBER(SEARCH("平",B1207)),OR(ISNUMBER(SEARCH("上",B1207)),ISNUMBER(SEARCH("去",B1207)),ISNUMBER(SEARCH("入",B1207)))),"Ambiguous",IF(ISNUMBER(SEARCH("平",B1207)),"平","仄")))</x:f>
        <x:v>仄</x:v>
      </x:c>
      <x:c r="K1207" s="6" t="str">
        <x:f>IF(D1207="","",IF(AND(ISNUMBER(SEARCH("平",D1207)),OR(ISNUMBER(SEARCH("上",D1207)),ISNUMBER(SEARCH("去",D1207)),ISNUMBER(SEARCH("入",D1207)))),"Ambiguous",IF(ISNUMBER(SEARCH("平",D1207)),"平","仄")))</x:f>
        <x:v>仄</x:v>
      </x:c>
      <x:c r="L1207" s="7" t="str"/>
    </x:row>
    <x:row r="1208">
      <x:c r="A1208" s="5" t="str">
        <x:v>式</x:v>
      </x:c>
      <x:c r="B1208" s="6" t="str">
        <x:v>入</x:v>
      </x:c>
      <x:c r="C1208" s="6" t="str">
        <x:f>IF(B1208="","Needs decision","Ready")</x:f>
        <x:v>Ready</x:v>
      </x:c>
      <x:c r="D1208" s="6" t="str">
        <x:v>入</x:v>
      </x:c>
      <x:c r="E1208" s="6" t="str">
        <x:v>syik (D)</x:v>
      </x:c>
      <x:c r="F1208" s="6" t="str">
        <x:v>入聲十三職</x:v>
      </x:c>
      <x:c r="G1208" s="6" t="str">
        <x:v>Pingshui main list, Wikisource-derived DOCX</x:v>
      </x:c>
      <x:c r="H1208" s="6" t="str">
        <x:v>1</x:v>
      </x:c>
      <x:c r="I1208" s="6" t="str"/>
      <x:c r="J1208" s="6" t="str">
        <x:f>IF(B1208="","",IF(AND(ISNUMBER(SEARCH("平",B1208)),OR(ISNUMBER(SEARCH("上",B1208)),ISNUMBER(SEARCH("去",B1208)),ISNUMBER(SEARCH("入",B1208)))),"Ambiguous",IF(ISNUMBER(SEARCH("平",B1208)),"平","仄")))</x:f>
        <x:v>仄</x:v>
      </x:c>
      <x:c r="K1208" s="6" t="str">
        <x:f>IF(D1208="","",IF(AND(ISNUMBER(SEARCH("平",D1208)),OR(ISNUMBER(SEARCH("上",D1208)),ISNUMBER(SEARCH("去",D1208)),ISNUMBER(SEARCH("入",D1208)))),"Ambiguous",IF(ISNUMBER(SEARCH("平",D1208)),"平","仄")))</x:f>
        <x:v>仄</x:v>
      </x:c>
      <x:c r="L1208" s="7" t="str"/>
    </x:row>
    <x:row r="1209">
      <x:c r="A1209" s="5" t="str">
        <x:v>弒</x:v>
      </x:c>
      <x:c r="B1209" s="6" t="str">
        <x:v>去</x:v>
      </x:c>
      <x:c r="C1209" s="6" t="str">
        <x:f>IF(B1209="","Needs decision","Ready")</x:f>
        <x:v>Ready</x:v>
      </x:c>
      <x:c r="D1209" s="6" t="str">
        <x:v>去</x:v>
      </x:c>
      <x:c r="E1209" s="6" t="str">
        <x:v>syiH (C)</x:v>
      </x:c>
      <x:c r="F1209" s="6" t="str"/>
      <x:c r="G1209" s="6" t="str"/>
      <x:c r="H1209" s="6" t="str">
        <x:v>1</x:v>
      </x:c>
      <x:c r="I1209" s="6" t="str"/>
      <x:c r="J1209" s="6" t="str">
        <x:f>IF(B1209="","",IF(AND(ISNUMBER(SEARCH("平",B1209)),OR(ISNUMBER(SEARCH("上",B1209)),ISNUMBER(SEARCH("去",B1209)),ISNUMBER(SEARCH("入",B1209)))),"Ambiguous",IF(ISNUMBER(SEARCH("平",B1209)),"平","仄")))</x:f>
        <x:v>仄</x:v>
      </x:c>
      <x:c r="K1209" s="6" t="str">
        <x:f>IF(D1209="","",IF(AND(ISNUMBER(SEARCH("平",D1209)),OR(ISNUMBER(SEARCH("上",D1209)),ISNUMBER(SEARCH("去",D1209)),ISNUMBER(SEARCH("入",D1209)))),"Ambiguous",IF(ISNUMBER(SEARCH("平",D1209)),"平","仄")))</x:f>
        <x:v>仄</x:v>
      </x:c>
      <x:c r="L1209" s="7" t="str"/>
    </x:row>
    <x:row r="1210">
      <x:c r="A1210" s="5" t="str">
        <x:v>弓</x:v>
      </x:c>
      <x:c r="B1210" s="6" t="str">
        <x:v>平</x:v>
      </x:c>
      <x:c r="C1210" s="6" t="str">
        <x:f>IF(B1210="","Needs decision","Ready")</x:f>
        <x:v>Ready</x:v>
      </x:c>
      <x:c r="D1210" s="6" t="str">
        <x:v>平</x:v>
      </x:c>
      <x:c r="E1210" s="6" t="str">
        <x:v>kjuwng (A)</x:v>
      </x:c>
      <x:c r="F1210" s="6" t="str">
        <x:v>上平聲一東</x:v>
      </x:c>
      <x:c r="G1210" s="6" t="str">
        <x:v>Pingshui main list, Wikisource-derived DOCX</x:v>
      </x:c>
      <x:c r="H1210" s="6" t="str">
        <x:v>1</x:v>
      </x:c>
      <x:c r="I1210" s="6" t="str"/>
      <x:c r="J1210" s="6" t="str">
        <x:f>IF(B1210="","",IF(AND(ISNUMBER(SEARCH("平",B1210)),OR(ISNUMBER(SEARCH("上",B1210)),ISNUMBER(SEARCH("去",B1210)),ISNUMBER(SEARCH("入",B1210)))),"Ambiguous",IF(ISNUMBER(SEARCH("平",B1210)),"平","仄")))</x:f>
        <x:v>平</x:v>
      </x:c>
      <x:c r="K1210" s="6" t="str">
        <x:f>IF(D1210="","",IF(AND(ISNUMBER(SEARCH("平",D1210)),OR(ISNUMBER(SEARCH("上",D1210)),ISNUMBER(SEARCH("去",D1210)),ISNUMBER(SEARCH("入",D1210)))),"Ambiguous",IF(ISNUMBER(SEARCH("平",D1210)),"平","仄")))</x:f>
        <x:v>平</x:v>
      </x:c>
      <x:c r="L1210" s="7" t="str"/>
    </x:row>
    <x:row r="1211">
      <x:c r="A1211" s="5" t="str">
        <x:v>弔</x:v>
      </x:c>
      <x:c r="B1211" s="6" t="str">
        <x:v>去</x:v>
      </x:c>
      <x:c r="C1211" s="6" t="str">
        <x:f>IF(B1211="","Needs decision","Ready")</x:f>
        <x:v>Ready</x:v>
      </x:c>
      <x:c r="D1211" s="6" t="str">
        <x:v>去/入</x:v>
      </x:c>
      <x:c r="E1211" s="6" t="str">
        <x:v>tek (D); tewH (C)</x:v>
      </x:c>
      <x:c r="F1211" s="6" t="str">
        <x:v>去聲十八嘯; 入聲十二錫</x:v>
      </x:c>
      <x:c r="G1211" s="6" t="str">
        <x:v>Pingshui main list, Wikisource-derived DOCX</x:v>
      </x:c>
      <x:c r="H1211" s="6" t="str">
        <x:v>2</x:v>
      </x:c>
      <x:c r="I1211" s="6" t="str"/>
      <x:c r="J1211" s="6" t="str">
        <x:f>IF(B1211="","",IF(AND(ISNUMBER(SEARCH("平",B1211)),OR(ISNUMBER(SEARCH("上",B1211)),ISNUMBER(SEARCH("去",B1211)),ISNUMBER(SEARCH("入",B1211)))),"Ambiguous",IF(ISNUMBER(SEARCH("平",B1211)),"平","仄")))</x:f>
        <x:v>仄</x:v>
      </x:c>
      <x:c r="K1211" s="6" t="str">
        <x:f>IF(D1211="","",IF(AND(ISNUMBER(SEARCH("平",D1211)),OR(ISNUMBER(SEARCH("上",D1211)),ISNUMBER(SEARCH("去",D1211)),ISNUMBER(SEARCH("入",D1211)))),"Ambiguous",IF(ISNUMBER(SEARCH("平",D1211)),"平","仄")))</x:f>
        <x:v>仄</x:v>
      </x:c>
      <x:c r="L1211" s="7" t="str"/>
    </x:row>
    <x:row r="1212">
      <x:c r="A1212" s="5" t="str">
        <x:v>引</x:v>
      </x:c>
      <x:c r="B1212" s="6" t="str">
        <x:v>上</x:v>
      </x:c>
      <x:c r="C1212" s="6" t="str">
        <x:f>IF(B1212="","Needs decision","Ready")</x:f>
        <x:v>Ready</x:v>
      </x:c>
      <x:c r="D1212" s="6" t="str">
        <x:v>上/去</x:v>
      </x:c>
      <x:c r="E1212" s="6" t="str">
        <x:v>yinX (B); yinH (C)</x:v>
      </x:c>
      <x:c r="F1212" s="6" t="str">
        <x:v>上聲十一軫; 去聲十二震</x:v>
      </x:c>
      <x:c r="G1212" s="6" t="str">
        <x:v>Pingshui main list, Wikisource-derived DOCX</x:v>
      </x:c>
      <x:c r="H1212" s="6" t="str">
        <x:v>2</x:v>
      </x:c>
      <x:c r="I1212" s="6" t="str"/>
      <x:c r="J1212" s="6" t="str">
        <x:f>IF(B1212="","",IF(AND(ISNUMBER(SEARCH("平",B1212)),OR(ISNUMBER(SEARCH("上",B1212)),ISNUMBER(SEARCH("去",B1212)),ISNUMBER(SEARCH("入",B1212)))),"Ambiguous",IF(ISNUMBER(SEARCH("平",B1212)),"平","仄")))</x:f>
        <x:v>仄</x:v>
      </x:c>
      <x:c r="K1212" s="6" t="str">
        <x:f>IF(D1212="","",IF(AND(ISNUMBER(SEARCH("平",D1212)),OR(ISNUMBER(SEARCH("上",D1212)),ISNUMBER(SEARCH("去",D1212)),ISNUMBER(SEARCH("入",D1212)))),"Ambiguous",IF(ISNUMBER(SEARCH("平",D1212)),"平","仄")))</x:f>
        <x:v>仄</x:v>
      </x:c>
      <x:c r="L1212" s="7" t="str"/>
    </x:row>
    <x:row r="1213">
      <x:c r="A1213" s="5" t="str">
        <x:v>弗</x:v>
      </x:c>
      <x:c r="B1213" s="6" t="str">
        <x:v>入</x:v>
      </x:c>
      <x:c r="C1213" s="6" t="str">
        <x:f>IF(B1213="","Needs decision","Ready")</x:f>
        <x:v>Ready</x:v>
      </x:c>
      <x:c r="D1213" s="6" t="str">
        <x:v>入</x:v>
      </x:c>
      <x:c r="E1213" s="6" t="str">
        <x:v>pjut (D)</x:v>
      </x:c>
      <x:c r="F1213" s="6" t="str">
        <x:v>入聲五物</x:v>
      </x:c>
      <x:c r="G1213" s="6" t="str">
        <x:v>Pingshui main list, Wikisource-derived DOCX</x:v>
      </x:c>
      <x:c r="H1213" s="6" t="str">
        <x:v>1</x:v>
      </x:c>
      <x:c r="I1213" s="6" t="str"/>
      <x:c r="J1213" s="6" t="str">
        <x:f>IF(B1213="","",IF(AND(ISNUMBER(SEARCH("平",B1213)),OR(ISNUMBER(SEARCH("上",B1213)),ISNUMBER(SEARCH("去",B1213)),ISNUMBER(SEARCH("入",B1213)))),"Ambiguous",IF(ISNUMBER(SEARCH("平",B1213)),"平","仄")))</x:f>
        <x:v>仄</x:v>
      </x:c>
      <x:c r="K1213" s="6" t="str">
        <x:f>IF(D1213="","",IF(AND(ISNUMBER(SEARCH("平",D1213)),OR(ISNUMBER(SEARCH("上",D1213)),ISNUMBER(SEARCH("去",D1213)),ISNUMBER(SEARCH("入",D1213)))),"Ambiguous",IF(ISNUMBER(SEARCH("平",D1213)),"平","仄")))</x:f>
        <x:v>仄</x:v>
      </x:c>
      <x:c r="L1213" s="7" t="str"/>
    </x:row>
    <x:row r="1214">
      <x:c r="A1214" s="5" t="str">
        <x:v>弘</x:v>
      </x:c>
      <x:c r="B1214" s="6" t="str">
        <x:v>平</x:v>
      </x:c>
      <x:c r="C1214" s="6" t="str">
        <x:f>IF(B1214="","Needs decision","Ready")</x:f>
        <x:v>Ready</x:v>
      </x:c>
      <x:c r="D1214" s="6" t="str">
        <x:v>平</x:v>
      </x:c>
      <x:c r="E1214" s="6" t="str">
        <x:v>hwong (A)</x:v>
      </x:c>
      <x:c r="F1214" s="6" t="str">
        <x:v>下平聲十蒸</x:v>
      </x:c>
      <x:c r="G1214" s="6" t="str">
        <x:v>Pingshui main list, Wikisource-derived DOCX</x:v>
      </x:c>
      <x:c r="H1214" s="6" t="str">
        <x:v>1</x:v>
      </x:c>
      <x:c r="I1214" s="6" t="str"/>
      <x:c r="J1214" s="6" t="str">
        <x:f>IF(B1214="","",IF(AND(ISNUMBER(SEARCH("平",B1214)),OR(ISNUMBER(SEARCH("上",B1214)),ISNUMBER(SEARCH("去",B1214)),ISNUMBER(SEARCH("入",B1214)))),"Ambiguous",IF(ISNUMBER(SEARCH("平",B1214)),"平","仄")))</x:f>
        <x:v>平</x:v>
      </x:c>
      <x:c r="K1214" s="6" t="str">
        <x:f>IF(D1214="","",IF(AND(ISNUMBER(SEARCH("平",D1214)),OR(ISNUMBER(SEARCH("上",D1214)),ISNUMBER(SEARCH("去",D1214)),ISNUMBER(SEARCH("入",D1214)))),"Ambiguous",IF(ISNUMBER(SEARCH("平",D1214)),"平","仄")))</x:f>
        <x:v>平</x:v>
      </x:c>
      <x:c r="L1214" s="7" t="str"/>
    </x:row>
    <x:row r="1215">
      <x:c r="A1215" s="5" t="str">
        <x:v>弛</x:v>
      </x:c>
      <x:c r="B1215" s="6" t="str">
        <x:v>上</x:v>
      </x:c>
      <x:c r="C1215" s="6" t="str">
        <x:f>IF(B1215="","Needs decision","Ready")</x:f>
        <x:v>Ready</x:v>
      </x:c>
      <x:c r="D1215" s="6" t="str">
        <x:v>上</x:v>
      </x:c>
      <x:c r="E1215" s="6" t="str">
        <x:v>syeX (B)</x:v>
      </x:c>
      <x:c r="F1215" s="6" t="str">
        <x:v>上聲四紙</x:v>
      </x:c>
      <x:c r="G1215" s="6" t="str">
        <x:v>Pingshui main list, Wikisource-derived DOCX</x:v>
      </x:c>
      <x:c r="H1215" s="6" t="str">
        <x:v>1</x:v>
      </x:c>
      <x:c r="I1215" s="6" t="str"/>
      <x:c r="J1215" s="6" t="str">
        <x:f>IF(B1215="","",IF(AND(ISNUMBER(SEARCH("平",B1215)),OR(ISNUMBER(SEARCH("上",B1215)),ISNUMBER(SEARCH("去",B1215)),ISNUMBER(SEARCH("入",B1215)))),"Ambiguous",IF(ISNUMBER(SEARCH("平",B1215)),"平","仄")))</x:f>
        <x:v>仄</x:v>
      </x:c>
      <x:c r="K1215" s="6" t="str">
        <x:f>IF(D1215="","",IF(AND(ISNUMBER(SEARCH("平",D1215)),OR(ISNUMBER(SEARCH("上",D1215)),ISNUMBER(SEARCH("去",D1215)),ISNUMBER(SEARCH("入",D1215)))),"Ambiguous",IF(ISNUMBER(SEARCH("平",D1215)),"平","仄")))</x:f>
        <x:v>仄</x:v>
      </x:c>
      <x:c r="L1215" s="7" t="str"/>
    </x:row>
    <x:row r="1216">
      <x:c r="A1216" s="5" t="str">
        <x:v>弟</x:v>
      </x:c>
      <x:c r="B1216" s="6" t="str">
        <x:v>上</x:v>
      </x:c>
      <x:c r="C1216" s="6" t="str">
        <x:f>IF(B1216="","Needs decision","Ready")</x:f>
        <x:v>Ready</x:v>
      </x:c>
      <x:c r="D1216" s="6" t="str">
        <x:v>上</x:v>
      </x:c>
      <x:c r="E1216" s="6" t="str">
        <x:v>dejX (B)</x:v>
      </x:c>
      <x:c r="F1216" s="6" t="str">
        <x:v>上聲八薺; 去聲八霽</x:v>
      </x:c>
      <x:c r="G1216" s="6" t="str">
        <x:v>Pingshui main list, Wikisource-derived DOCX</x:v>
      </x:c>
      <x:c r="H1216" s="6" t="str">
        <x:v>1</x:v>
      </x:c>
      <x:c r="I1216" s="6" t="str"/>
      <x:c r="J1216" s="6" t="str">
        <x:f>IF(B1216="","",IF(AND(ISNUMBER(SEARCH("平",B1216)),OR(ISNUMBER(SEARCH("上",B1216)),ISNUMBER(SEARCH("去",B1216)),ISNUMBER(SEARCH("入",B1216)))),"Ambiguous",IF(ISNUMBER(SEARCH("平",B1216)),"平","仄")))</x:f>
        <x:v>仄</x:v>
      </x:c>
      <x:c r="K1216" s="6" t="str">
        <x:f>IF(D1216="","",IF(AND(ISNUMBER(SEARCH("平",D1216)),OR(ISNUMBER(SEARCH("上",D1216)),ISNUMBER(SEARCH("去",D1216)),ISNUMBER(SEARCH("入",D1216)))),"Ambiguous",IF(ISNUMBER(SEARCH("平",D1216)),"平","仄")))</x:f>
        <x:v>仄</x:v>
      </x:c>
      <x:c r="L1216" s="7" t="str"/>
    </x:row>
    <x:row r="1217">
      <x:c r="A1217" s="5" t="str">
        <x:v>弦</x:v>
      </x:c>
      <x:c r="B1217" s="6" t="str">
        <x:v>平</x:v>
      </x:c>
      <x:c r="C1217" s="6" t="str">
        <x:f>IF(B1217="","Needs decision","Ready")</x:f>
        <x:v>Ready</x:v>
      </x:c>
      <x:c r="D1217" s="6" t="str">
        <x:v>平</x:v>
      </x:c>
      <x:c r="E1217" s="6" t="str">
        <x:v>hen (A)</x:v>
      </x:c>
      <x:c r="F1217" s="6" t="str">
        <x:v>下平聲一先</x:v>
      </x:c>
      <x:c r="G1217" s="6" t="str">
        <x:v>Pingshui main list, Wikisource-derived DOCX</x:v>
      </x:c>
      <x:c r="H1217" s="6" t="str">
        <x:v>1</x:v>
      </x:c>
      <x:c r="I1217" s="6" t="str"/>
      <x:c r="J1217" s="6" t="str">
        <x:f>IF(B1217="","",IF(AND(ISNUMBER(SEARCH("平",B1217)),OR(ISNUMBER(SEARCH("上",B1217)),ISNUMBER(SEARCH("去",B1217)),ISNUMBER(SEARCH("入",B1217)))),"Ambiguous",IF(ISNUMBER(SEARCH("平",B1217)),"平","仄")))</x:f>
        <x:v>平</x:v>
      </x:c>
      <x:c r="K1217" s="6" t="str">
        <x:f>IF(D1217="","",IF(AND(ISNUMBER(SEARCH("平",D1217)),OR(ISNUMBER(SEARCH("上",D1217)),ISNUMBER(SEARCH("去",D1217)),ISNUMBER(SEARCH("入",D1217)))),"Ambiguous",IF(ISNUMBER(SEARCH("平",D1217)),"平","仄")))</x:f>
        <x:v>平</x:v>
      </x:c>
      <x:c r="L1217" s="7" t="str"/>
    </x:row>
    <x:row r="1218">
      <x:c r="A1218" s="5" t="str">
        <x:v>弧</x:v>
      </x:c>
      <x:c r="B1218" s="6" t="str">
        <x:v>平</x:v>
      </x:c>
      <x:c r="C1218" s="6" t="str">
        <x:f>IF(B1218="","Needs decision","Ready")</x:f>
        <x:v>Ready</x:v>
      </x:c>
      <x:c r="D1218" s="6" t="str">
        <x:v>平</x:v>
      </x:c>
      <x:c r="E1218" s="6" t="str">
        <x:v>hu (A)</x:v>
      </x:c>
      <x:c r="F1218" s="6" t="str">
        <x:v>上平聲七虞</x:v>
      </x:c>
      <x:c r="G1218" s="6" t="str">
        <x:v>Pingshui main list, Wikisource-derived DOCX</x:v>
      </x:c>
      <x:c r="H1218" s="6" t="str">
        <x:v>1</x:v>
      </x:c>
      <x:c r="I1218" s="6" t="str"/>
      <x:c r="J1218" s="6" t="str">
        <x:f>IF(B1218="","",IF(AND(ISNUMBER(SEARCH("平",B1218)),OR(ISNUMBER(SEARCH("上",B1218)),ISNUMBER(SEARCH("去",B1218)),ISNUMBER(SEARCH("入",B1218)))),"Ambiguous",IF(ISNUMBER(SEARCH("平",B1218)),"平","仄")))</x:f>
        <x:v>平</x:v>
      </x:c>
      <x:c r="K1218" s="6" t="str">
        <x:f>IF(D1218="","",IF(AND(ISNUMBER(SEARCH("平",D1218)),OR(ISNUMBER(SEARCH("上",D1218)),ISNUMBER(SEARCH("去",D1218)),ISNUMBER(SEARCH("入",D1218)))),"Ambiguous",IF(ISNUMBER(SEARCH("平",D1218)),"平","仄")))</x:f>
        <x:v>平</x:v>
      </x:c>
      <x:c r="L1218" s="7" t="str"/>
    </x:row>
    <x:row r="1219">
      <x:c r="A1219" s="5" t="str">
        <x:v>弩</x:v>
      </x:c>
      <x:c r="B1219" s="6" t="str">
        <x:v>上</x:v>
      </x:c>
      <x:c r="C1219" s="6" t="str">
        <x:f>IF(B1219="","Needs decision","Ready")</x:f>
        <x:v>Ready</x:v>
      </x:c>
      <x:c r="D1219" s="6" t="str">
        <x:v>上</x:v>
      </x:c>
      <x:c r="E1219" s="6" t="str">
        <x:v>nuX (B)</x:v>
      </x:c>
      <x:c r="F1219" s="6" t="str">
        <x:v>上聲七麌</x:v>
      </x:c>
      <x:c r="G1219" s="6" t="str">
        <x:v>Pingshui main list, Wikisource-derived DOCX</x:v>
      </x:c>
      <x:c r="H1219" s="6" t="str">
        <x:v>1</x:v>
      </x:c>
      <x:c r="I1219" s="6" t="str"/>
      <x:c r="J1219" s="6" t="str">
        <x:f>IF(B1219="","",IF(AND(ISNUMBER(SEARCH("平",B1219)),OR(ISNUMBER(SEARCH("上",B1219)),ISNUMBER(SEARCH("去",B1219)),ISNUMBER(SEARCH("入",B1219)))),"Ambiguous",IF(ISNUMBER(SEARCH("平",B1219)),"平","仄")))</x:f>
        <x:v>仄</x:v>
      </x:c>
      <x:c r="K1219" s="6" t="str">
        <x:f>IF(D1219="","",IF(AND(ISNUMBER(SEARCH("平",D1219)),OR(ISNUMBER(SEARCH("上",D1219)),ISNUMBER(SEARCH("去",D1219)),ISNUMBER(SEARCH("入",D1219)))),"Ambiguous",IF(ISNUMBER(SEARCH("平",D1219)),"平","仄")))</x:f>
        <x:v>仄</x:v>
      </x:c>
      <x:c r="L1219" s="7" t="str"/>
    </x:row>
    <x:row r="1220">
      <x:c r="A1220" s="5" t="str">
        <x:v>弭</x:v>
      </x:c>
      <x:c r="B1220" s="6" t="str">
        <x:v>上</x:v>
      </x:c>
      <x:c r="C1220" s="6" t="str">
        <x:f>IF(B1220="","Needs decision","Ready")</x:f>
        <x:v>Ready</x:v>
      </x:c>
      <x:c r="D1220" s="6" t="str">
        <x:v>上</x:v>
      </x:c>
      <x:c r="E1220" s="6" t="str">
        <x:v>mjieX (B)</x:v>
      </x:c>
      <x:c r="F1220" s="6" t="str">
        <x:v>上聲四紙</x:v>
      </x:c>
      <x:c r="G1220" s="6" t="str">
        <x:v>Pingshui main list, Wikisource-derived DOCX</x:v>
      </x:c>
      <x:c r="H1220" s="6" t="str">
        <x:v>1</x:v>
      </x:c>
      <x:c r="I1220" s="6" t="str"/>
      <x:c r="J1220" s="6" t="str">
        <x:f>IF(B1220="","",IF(AND(ISNUMBER(SEARCH("平",B1220)),OR(ISNUMBER(SEARCH("上",B1220)),ISNUMBER(SEARCH("去",B1220)),ISNUMBER(SEARCH("入",B1220)))),"Ambiguous",IF(ISNUMBER(SEARCH("平",B1220)),"平","仄")))</x:f>
        <x:v>仄</x:v>
      </x:c>
      <x:c r="K1220" s="6" t="str">
        <x:f>IF(D1220="","",IF(AND(ISNUMBER(SEARCH("平",D1220)),OR(ISNUMBER(SEARCH("上",D1220)),ISNUMBER(SEARCH("去",D1220)),ISNUMBER(SEARCH("入",D1220)))),"Ambiguous",IF(ISNUMBER(SEARCH("平",D1220)),"平","仄")))</x:f>
        <x:v>仄</x:v>
      </x:c>
      <x:c r="L1220" s="7" t="str"/>
    </x:row>
    <x:row r="1221">
      <x:c r="A1221" s="5" t="str">
        <x:v>弱</x:v>
      </x:c>
      <x:c r="B1221" s="6" t="str">
        <x:v>入</x:v>
      </x:c>
      <x:c r="C1221" s="6" t="str">
        <x:f>IF(B1221="","Needs decision","Ready")</x:f>
        <x:v>Ready</x:v>
      </x:c>
      <x:c r="D1221" s="6" t="str">
        <x:v>入</x:v>
      </x:c>
      <x:c r="E1221" s="6" t="str">
        <x:v>nyak (D)</x:v>
      </x:c>
      <x:c r="F1221" s="6" t="str">
        <x:v>入聲十藥</x:v>
      </x:c>
      <x:c r="G1221" s="6" t="str">
        <x:v>Pingshui main list, Wikisource-derived DOCX</x:v>
      </x:c>
      <x:c r="H1221" s="6" t="str">
        <x:v>1</x:v>
      </x:c>
      <x:c r="I1221" s="6" t="str"/>
      <x:c r="J1221" s="6" t="str">
        <x:f>IF(B1221="","",IF(AND(ISNUMBER(SEARCH("平",B1221)),OR(ISNUMBER(SEARCH("上",B1221)),ISNUMBER(SEARCH("去",B1221)),ISNUMBER(SEARCH("入",B1221)))),"Ambiguous",IF(ISNUMBER(SEARCH("平",B1221)),"平","仄")))</x:f>
        <x:v>仄</x:v>
      </x:c>
      <x:c r="K1221" s="6" t="str">
        <x:f>IF(D1221="","",IF(AND(ISNUMBER(SEARCH("平",D1221)),OR(ISNUMBER(SEARCH("上",D1221)),ISNUMBER(SEARCH("去",D1221)),ISNUMBER(SEARCH("入",D1221)))),"Ambiguous",IF(ISNUMBER(SEARCH("平",D1221)),"平","仄")))</x:f>
        <x:v>仄</x:v>
      </x:c>
      <x:c r="L1221" s="7" t="str"/>
    </x:row>
    <x:row r="1222">
      <x:c r="A1222" s="5" t="str">
        <x:v>張</x:v>
      </x:c>
      <x:c r="B1222" s="6" t="str">
        <x:v>平</x:v>
      </x:c>
      <x:c r="C1222" s="6" t="str">
        <x:f>IF(B1222="","Needs decision","Ready")</x:f>
        <x:v>Ready</x:v>
      </x:c>
      <x:c r="D1222" s="6" t="str">
        <x:v>平</x:v>
      </x:c>
      <x:c r="E1222" s="6" t="str">
        <x:v>trjang (A)</x:v>
      </x:c>
      <x:c r="F1222" s="6" t="str">
        <x:v>下平聲七陽; 去聲二十三漾</x:v>
      </x:c>
      <x:c r="G1222" s="6" t="str">
        <x:v>Pingshui main list, Wikisource-derived DOCX</x:v>
      </x:c>
      <x:c r="H1222" s="6" t="str">
        <x:v>1</x:v>
      </x:c>
      <x:c r="I1222" s="6" t="str"/>
      <x:c r="J1222" s="6" t="str">
        <x:f>IF(B1222="","",IF(AND(ISNUMBER(SEARCH("平",B1222)),OR(ISNUMBER(SEARCH("上",B1222)),ISNUMBER(SEARCH("去",B1222)),ISNUMBER(SEARCH("入",B1222)))),"Ambiguous",IF(ISNUMBER(SEARCH("平",B1222)),"平","仄")))</x:f>
        <x:v>平</x:v>
      </x:c>
      <x:c r="K1222" s="6" t="str">
        <x:f>IF(D1222="","",IF(AND(ISNUMBER(SEARCH("平",D1222)),OR(ISNUMBER(SEARCH("上",D1222)),ISNUMBER(SEARCH("去",D1222)),ISNUMBER(SEARCH("入",D1222)))),"Ambiguous",IF(ISNUMBER(SEARCH("平",D1222)),"平","仄")))</x:f>
        <x:v>平</x:v>
      </x:c>
      <x:c r="L1222" s="7" t="str"/>
    </x:row>
    <x:row r="1223">
      <x:c r="A1223" s="5" t="str">
        <x:v>強</x:v>
      </x:c>
      <x:c r="B1223" s="6" t="str">
        <x:v>平</x:v>
      </x:c>
      <x:c r="C1223" s="6" t="str">
        <x:f>IF(B1223="","Needs decision","Ready")</x:f>
        <x:v>Ready</x:v>
      </x:c>
      <x:c r="D1223" s="6" t="str">
        <x:v>平</x:v>
      </x:c>
      <x:c r="E1223" s="6" t="str">
        <x:v>gjang [羣開三C陽平] ɡɨ̯ɑŋ</x:v>
      </x:c>
      <x:c r="F1223" s="6" t="str">
        <x:v>下平聲七陽</x:v>
      </x:c>
      <x:c r="G1223" s="6" t="str">
        <x:v>Pingshui main list, Wikisource-derived DOCX</x:v>
      </x:c>
      <x:c r="H1223" s="6" t="str">
        <x:v>1</x:v>
      </x:c>
      <x:c r="I1223" s="6" t="str">
        <x:v>Targeted preliminary fill from Xun Gong; review if uncertain</x:v>
      </x:c>
      <x:c r="J1223" s="6" t="str">
        <x:f>IF(B1223="","",IF(AND(ISNUMBER(SEARCH("平",B1223)),OR(ISNUMBER(SEARCH("上",B1223)),ISNUMBER(SEARCH("去",B1223)),ISNUMBER(SEARCH("入",B1223)))),"Ambiguous",IF(ISNUMBER(SEARCH("平",B1223)),"平","仄")))</x:f>
        <x:v>平</x:v>
      </x:c>
      <x:c r="K1223" s="6" t="str">
        <x:f>IF(D1223="","",IF(AND(ISNUMBER(SEARCH("平",D1223)),OR(ISNUMBER(SEARCH("上",D1223)),ISNUMBER(SEARCH("去",D1223)),ISNUMBER(SEARCH("入",D1223)))),"Ambiguous",IF(ISNUMBER(SEARCH("平",D1223)),"平","仄")))</x:f>
        <x:v>平</x:v>
      </x:c>
      <x:c r="L1223" s="7" t="str">
        <x:v>Xun Gong character-readings.csv</x:v>
      </x:c>
    </x:row>
    <x:row r="1224">
      <x:c r="A1224" s="5" t="str">
        <x:v>强</x:v>
      </x:c>
      <x:c r="B1224" s="6" t="str"/>
      <x:c r="C1224" s="6" t="str">
        <x:f>IF(B1224="","Needs decision","Ready")</x:f>
        <x:v>Needs decision</x:v>
      </x:c>
      <x:c r="D1224" s="6" t="str">
        <x:v>平/上</x:v>
      </x:c>
      <x:c r="E1224" s="6" t="str">
        <x:v>gjang (A); gjangX (B)</x:v>
      </x:c>
      <x:c r="F1224" s="6" t="str"/>
      <x:c r="G1224" s="6" t="str"/>
      <x:c r="H1224" s="6" t="str">
        <x:v>2</x:v>
      </x:c>
      <x:c r="I1224" s="6" t="str"/>
      <x:c r="J1224" s="6" t="str">
        <x:f>IF(B1224="","",IF(AND(ISNUMBER(SEARCH("平",B1224)),OR(ISNUMBER(SEARCH("上",B1224)),ISNUMBER(SEARCH("去",B1224)),ISNUMBER(SEARCH("入",B1224)))),"Ambiguous",IF(ISNUMBER(SEARCH("平",B1224)),"平","仄")))</x:f>
      </x:c>
      <x:c r="K1224" s="6" t="str">
        <x:f>IF(D1224="","",IF(AND(ISNUMBER(SEARCH("平",D1224)),OR(ISNUMBER(SEARCH("上",D1224)),ISNUMBER(SEARCH("去",D1224)),ISNUMBER(SEARCH("入",D1224)))),"Ambiguous",IF(ISNUMBER(SEARCH("平",D1224)),"平","仄")))</x:f>
        <x:v>Ambiguous</x:v>
      </x:c>
      <x:c r="L1224" s="7" t="str"/>
    </x:row>
    <x:row r="1225">
      <x:c r="A1225" s="5" t="str">
        <x:v>彀</x:v>
      </x:c>
      <x:c r="B1225" s="6" t="str">
        <x:v>去</x:v>
      </x:c>
      <x:c r="C1225" s="6" t="str">
        <x:f>IF(B1225="","Needs decision","Ready")</x:f>
        <x:v>Ready</x:v>
      </x:c>
      <x:c r="D1225" s="6" t="str">
        <x:v>去</x:v>
      </x:c>
      <x:c r="E1225" s="6" t="str">
        <x:v>kuwH (C)</x:v>
      </x:c>
      <x:c r="F1225" s="6" t="str"/>
      <x:c r="G1225" s="6" t="str"/>
      <x:c r="H1225" s="6" t="str">
        <x:v>1</x:v>
      </x:c>
      <x:c r="I1225" s="6" t="str"/>
      <x:c r="J1225" s="6" t="str">
        <x:f>IF(B1225="","",IF(AND(ISNUMBER(SEARCH("平",B1225)),OR(ISNUMBER(SEARCH("上",B1225)),ISNUMBER(SEARCH("去",B1225)),ISNUMBER(SEARCH("入",B1225)))),"Ambiguous",IF(ISNUMBER(SEARCH("平",B1225)),"平","仄")))</x:f>
        <x:v>仄</x:v>
      </x:c>
      <x:c r="K1225" s="6" t="str">
        <x:f>IF(D1225="","",IF(AND(ISNUMBER(SEARCH("平",D1225)),OR(ISNUMBER(SEARCH("上",D1225)),ISNUMBER(SEARCH("去",D1225)),ISNUMBER(SEARCH("入",D1225)))),"Ambiguous",IF(ISNUMBER(SEARCH("平",D1225)),"平","仄")))</x:f>
        <x:v>仄</x:v>
      </x:c>
      <x:c r="L1225" s="7" t="str"/>
    </x:row>
    <x:row r="1226">
      <x:c r="A1226" s="5" t="str">
        <x:v>彃</x:v>
      </x:c>
      <x:c r="B1226" s="6" t="str">
        <x:v>入</x:v>
      </x:c>
      <x:c r="C1226" s="6" t="str">
        <x:f>IF(B1226="","Needs decision","Ready")</x:f>
        <x:v>Ready</x:v>
      </x:c>
      <x:c r="D1226" s="6" t="str">
        <x:v>入</x:v>
      </x:c>
      <x:c r="E1226" s="6" t="str">
        <x:v>pjit (D)</x:v>
      </x:c>
      <x:c r="F1226" s="6" t="str"/>
      <x:c r="G1226" s="6" t="str"/>
      <x:c r="H1226" s="6" t="str">
        <x:v>1</x:v>
      </x:c>
      <x:c r="I1226" s="6" t="str"/>
      <x:c r="J1226" s="6" t="str">
        <x:f>IF(B1226="","",IF(AND(ISNUMBER(SEARCH("平",B1226)),OR(ISNUMBER(SEARCH("上",B1226)),ISNUMBER(SEARCH("去",B1226)),ISNUMBER(SEARCH("入",B1226)))),"Ambiguous",IF(ISNUMBER(SEARCH("平",B1226)),"平","仄")))</x:f>
        <x:v>仄</x:v>
      </x:c>
      <x:c r="K1226" s="6" t="str">
        <x:f>IF(D1226="","",IF(AND(ISNUMBER(SEARCH("平",D1226)),OR(ISNUMBER(SEARCH("上",D1226)),ISNUMBER(SEARCH("去",D1226)),ISNUMBER(SEARCH("入",D1226)))),"Ambiguous",IF(ISNUMBER(SEARCH("平",D1226)),"平","仄")))</x:f>
        <x:v>仄</x:v>
      </x:c>
      <x:c r="L1226" s="7" t="str"/>
    </x:row>
    <x:row r="1227">
      <x:c r="A1227" s="5" t="str">
        <x:v>彈</x:v>
      </x:c>
      <x:c r="B1227" s="6" t="str"/>
      <x:c r="C1227" s="6" t="str">
        <x:f>IF(B1227="","Needs decision","Ready")</x:f>
        <x:v>Needs decision</x:v>
      </x:c>
      <x:c r="D1227" s="6" t="str">
        <x:v>平/去</x:v>
      </x:c>
      <x:c r="E1227" s="6" t="str">
        <x:v>danH (C); dan (A)</x:v>
      </x:c>
      <x:c r="F1227" s="6" t="str">
        <x:v>上平聲十四寒; 去聲十五翰</x:v>
      </x:c>
      <x:c r="G1227" s="6" t="str">
        <x:v>Pingshui main list, Wikisource-derived DOCX</x:v>
      </x:c>
      <x:c r="H1227" s="6" t="str">
        <x:v>2</x:v>
      </x:c>
      <x:c r="I1227" s="6" t="str"/>
      <x:c r="J1227" s="6" t="str">
        <x:f>IF(B1227="","",IF(AND(ISNUMBER(SEARCH("平",B1227)),OR(ISNUMBER(SEARCH("上",B1227)),ISNUMBER(SEARCH("去",B1227)),ISNUMBER(SEARCH("入",B1227)))),"Ambiguous",IF(ISNUMBER(SEARCH("平",B1227)),"平","仄")))</x:f>
      </x:c>
      <x:c r="K1227" s="6" t="str">
        <x:f>IF(D1227="","",IF(AND(ISNUMBER(SEARCH("平",D1227)),OR(ISNUMBER(SEARCH("上",D1227)),ISNUMBER(SEARCH("去",D1227)),ISNUMBER(SEARCH("入",D1227)))),"Ambiguous",IF(ISNUMBER(SEARCH("平",D1227)),"平","仄")))</x:f>
        <x:v>Ambiguous</x:v>
      </x:c>
      <x:c r="L1227" s="7" t="str"/>
    </x:row>
    <x:row r="1228">
      <x:c r="A1228" s="5" t="str">
        <x:v>彊</x:v>
      </x:c>
      <x:c r="B1228" s="6" t="str">
        <x:v>平</x:v>
      </x:c>
      <x:c r="C1228" s="6" t="str">
        <x:f>IF(B1228="","Needs decision","Ready")</x:f>
        <x:v>Ready</x:v>
      </x:c>
      <x:c r="D1228" s="6" t="str">
        <x:v>平</x:v>
      </x:c>
      <x:c r="E1228" s="6" t="str">
        <x:v>gjang (A)</x:v>
      </x:c>
      <x:c r="F1228" s="6" t="str">
        <x:v>上聲二十二養</x:v>
      </x:c>
      <x:c r="G1228" s="6" t="str">
        <x:v>Pingshui main list, Wikisource-derived DOCX</x:v>
      </x:c>
      <x:c r="H1228" s="6" t="str">
        <x:v>1</x:v>
      </x:c>
      <x:c r="I1228" s="6" t="str"/>
      <x:c r="J1228" s="6" t="str">
        <x:f>IF(B1228="","",IF(AND(ISNUMBER(SEARCH("平",B1228)),OR(ISNUMBER(SEARCH("上",B1228)),ISNUMBER(SEARCH("去",B1228)),ISNUMBER(SEARCH("入",B1228)))),"Ambiguous",IF(ISNUMBER(SEARCH("平",B1228)),"平","仄")))</x:f>
        <x:v>平</x:v>
      </x:c>
      <x:c r="K1228" s="6" t="str">
        <x:f>IF(D1228="","",IF(AND(ISNUMBER(SEARCH("平",D1228)),OR(ISNUMBER(SEARCH("上",D1228)),ISNUMBER(SEARCH("去",D1228)),ISNUMBER(SEARCH("入",D1228)))),"Ambiguous",IF(ISNUMBER(SEARCH("平",D1228)),"平","仄")))</x:f>
        <x:v>平</x:v>
      </x:c>
      <x:c r="L1228" s="7" t="str"/>
    </x:row>
    <x:row r="1229">
      <x:c r="A1229" s="5" t="str">
        <x:v>彌</x:v>
      </x:c>
      <x:c r="B1229" s="6" t="str">
        <x:v>平</x:v>
      </x:c>
      <x:c r="C1229" s="6" t="str">
        <x:f>IF(B1229="","Needs decision","Ready")</x:f>
        <x:v>Ready</x:v>
      </x:c>
      <x:c r="D1229" s="6" t="str">
        <x:v>平/上</x:v>
      </x:c>
      <x:c r="E1229" s="6" t="str">
        <x:v>mjie (A); mjieX (B)</x:v>
      </x:c>
      <x:c r="F1229" s="6" t="str">
        <x:v>上平聲四支</x:v>
      </x:c>
      <x:c r="G1229" s="6" t="str">
        <x:v>Pingshui main list, Wikisource-derived DOCX</x:v>
      </x:c>
      <x:c r="H1229" s="6" t="str">
        <x:v>2</x:v>
      </x:c>
      <x:c r="I1229" s="6" t="str"/>
      <x:c r="J1229" s="6" t="str">
        <x:f>IF(B1229="","",IF(AND(ISNUMBER(SEARCH("平",B1229)),OR(ISNUMBER(SEARCH("上",B1229)),ISNUMBER(SEARCH("去",B1229)),ISNUMBER(SEARCH("入",B1229)))),"Ambiguous",IF(ISNUMBER(SEARCH("平",B1229)),"平","仄")))</x:f>
        <x:v>平</x:v>
      </x:c>
      <x:c r="K1229" s="6" t="str">
        <x:f>IF(D1229="","",IF(AND(ISNUMBER(SEARCH("平",D1229)),OR(ISNUMBER(SEARCH("上",D1229)),ISNUMBER(SEARCH("去",D1229)),ISNUMBER(SEARCH("入",D1229)))),"Ambiguous",IF(ISNUMBER(SEARCH("平",D1229)),"平","仄")))</x:f>
        <x:v>Ambiguous</x:v>
      </x:c>
      <x:c r="L1229" s="7" t="str"/>
    </x:row>
    <x:row r="1230">
      <x:c r="A1230" s="5" t="str">
        <x:v>彔</x:v>
      </x:c>
      <x:c r="B1230" s="6" t="str">
        <x:v>入</x:v>
      </x:c>
      <x:c r="C1230" s="6" t="str">
        <x:f>IF(B1230="","Needs decision","Ready")</x:f>
        <x:v>Ready</x:v>
      </x:c>
      <x:c r="D1230" s="6" t="str">
        <x:v>入</x:v>
      </x:c>
      <x:c r="E1230" s="6" t="str">
        <x:v>luwk (D)</x:v>
      </x:c>
      <x:c r="F1230" s="6" t="str"/>
      <x:c r="G1230" s="6" t="str"/>
      <x:c r="H1230" s="6" t="str">
        <x:v>1</x:v>
      </x:c>
      <x:c r="I1230" s="6" t="str"/>
      <x:c r="J1230" s="6" t="str">
        <x:f>IF(B1230="","",IF(AND(ISNUMBER(SEARCH("平",B1230)),OR(ISNUMBER(SEARCH("上",B1230)),ISNUMBER(SEARCH("去",B1230)),ISNUMBER(SEARCH("入",B1230)))),"Ambiguous",IF(ISNUMBER(SEARCH("平",B1230)),"平","仄")))</x:f>
        <x:v>仄</x:v>
      </x:c>
      <x:c r="K1230" s="6" t="str">
        <x:f>IF(D1230="","",IF(AND(ISNUMBER(SEARCH("平",D1230)),OR(ISNUMBER(SEARCH("上",D1230)),ISNUMBER(SEARCH("去",D1230)),ISNUMBER(SEARCH("入",D1230)))),"Ambiguous",IF(ISNUMBER(SEARCH("平",D1230)),"平","仄")))</x:f>
        <x:v>仄</x:v>
      </x:c>
      <x:c r="L1230" s="7" t="str"/>
    </x:row>
    <x:row r="1231">
      <x:c r="A1231" s="5" t="str">
        <x:v>彖</x:v>
      </x:c>
      <x:c r="B1231" s="6" t="str">
        <x:v>去</x:v>
      </x:c>
      <x:c r="C1231" s="6" t="str">
        <x:f>IF(B1231="","Needs decision","Ready")</x:f>
        <x:v>Ready</x:v>
      </x:c>
      <x:c r="D1231" s="6" t="str">
        <x:v>去</x:v>
      </x:c>
      <x:c r="E1231" s="6" t="str">
        <x:v>thwanH (C)</x:v>
      </x:c>
      <x:c r="F1231" s="6" t="str">
        <x:v>去聲十五翰</x:v>
      </x:c>
      <x:c r="G1231" s="6" t="str">
        <x:v>Pingshui main list, Wikisource-derived DOCX</x:v>
      </x:c>
      <x:c r="H1231" s="6" t="str">
        <x:v>1</x:v>
      </x:c>
      <x:c r="I1231" s="6" t="str"/>
      <x:c r="J1231" s="6" t="str">
        <x:f>IF(B1231="","",IF(AND(ISNUMBER(SEARCH("平",B1231)),OR(ISNUMBER(SEARCH("上",B1231)),ISNUMBER(SEARCH("去",B1231)),ISNUMBER(SEARCH("入",B1231)))),"Ambiguous",IF(ISNUMBER(SEARCH("平",B1231)),"平","仄")))</x:f>
        <x:v>仄</x:v>
      </x:c>
      <x:c r="K1231" s="6" t="str">
        <x:f>IF(D1231="","",IF(AND(ISNUMBER(SEARCH("平",D1231)),OR(ISNUMBER(SEARCH("上",D1231)),ISNUMBER(SEARCH("去",D1231)),ISNUMBER(SEARCH("入",D1231)))),"Ambiguous",IF(ISNUMBER(SEARCH("平",D1231)),"平","仄")))</x:f>
        <x:v>仄</x:v>
      </x:c>
      <x:c r="L1231" s="7" t="str"/>
    </x:row>
    <x:row r="1232">
      <x:c r="A1232" s="5" t="str">
        <x:v>彗</x:v>
      </x:c>
      <x:c r="B1232" s="6" t="str">
        <x:v>去</x:v>
      </x:c>
      <x:c r="C1232" s="6" t="str">
        <x:f>IF(B1232="","Needs decision","Ready")</x:f>
        <x:v>Ready</x:v>
      </x:c>
      <x:c r="D1232" s="6" t="str">
        <x:v>去</x:v>
      </x:c>
      <x:c r="E1232" s="6" t="str">
        <x:v>zjwejH (C)</x:v>
      </x:c>
      <x:c r="F1232" s="6" t="str">
        <x:v>去聲四寘; 去聲八霽</x:v>
      </x:c>
      <x:c r="G1232" s="6" t="str">
        <x:v>Pingshui main list, Wikisource-derived DOCX</x:v>
      </x:c>
      <x:c r="H1232" s="6" t="str">
        <x:v>1</x:v>
      </x:c>
      <x:c r="I1232" s="6" t="str"/>
      <x:c r="J1232" s="6" t="str">
        <x:f>IF(B1232="","",IF(AND(ISNUMBER(SEARCH("平",B1232)),OR(ISNUMBER(SEARCH("上",B1232)),ISNUMBER(SEARCH("去",B1232)),ISNUMBER(SEARCH("入",B1232)))),"Ambiguous",IF(ISNUMBER(SEARCH("平",B1232)),"平","仄")))</x:f>
        <x:v>仄</x:v>
      </x:c>
      <x:c r="K1232" s="6" t="str">
        <x:f>IF(D1232="","",IF(AND(ISNUMBER(SEARCH("平",D1232)),OR(ISNUMBER(SEARCH("上",D1232)),ISNUMBER(SEARCH("去",D1232)),ISNUMBER(SEARCH("入",D1232)))),"Ambiguous",IF(ISNUMBER(SEARCH("平",D1232)),"平","仄")))</x:f>
        <x:v>仄</x:v>
      </x:c>
      <x:c r="L1232" s="7" t="str"/>
    </x:row>
    <x:row r="1233">
      <x:c r="A1233" s="5" t="str">
        <x:v>彘</x:v>
      </x:c>
      <x:c r="B1233" s="6" t="str">
        <x:v>去</x:v>
      </x:c>
      <x:c r="C1233" s="6" t="str">
        <x:f>IF(B1233="","Needs decision","Ready")</x:f>
        <x:v>Ready</x:v>
      </x:c>
      <x:c r="D1233" s="6" t="str">
        <x:v>去</x:v>
      </x:c>
      <x:c r="E1233" s="6" t="str">
        <x:v>drjejH (C)</x:v>
      </x:c>
      <x:c r="F1233" s="6" t="str">
        <x:v>去聲八霽</x:v>
      </x:c>
      <x:c r="G1233" s="6" t="str">
        <x:v>Pingshui main list, Wikisource-derived DOCX</x:v>
      </x:c>
      <x:c r="H1233" s="6" t="str">
        <x:v>1</x:v>
      </x:c>
      <x:c r="I1233" s="6" t="str"/>
      <x:c r="J1233" s="6" t="str">
        <x:f>IF(B1233="","",IF(AND(ISNUMBER(SEARCH("平",B1233)),OR(ISNUMBER(SEARCH("上",B1233)),ISNUMBER(SEARCH("去",B1233)),ISNUMBER(SEARCH("入",B1233)))),"Ambiguous",IF(ISNUMBER(SEARCH("平",B1233)),"平","仄")))</x:f>
        <x:v>仄</x:v>
      </x:c>
      <x:c r="K1233" s="6" t="str">
        <x:f>IF(D1233="","",IF(AND(ISNUMBER(SEARCH("平",D1233)),OR(ISNUMBER(SEARCH("上",D1233)),ISNUMBER(SEARCH("去",D1233)),ISNUMBER(SEARCH("入",D1233)))),"Ambiguous",IF(ISNUMBER(SEARCH("平",D1233)),"平","仄")))</x:f>
        <x:v>仄</x:v>
      </x:c>
      <x:c r="L1233" s="7" t="str"/>
    </x:row>
    <x:row r="1234">
      <x:c r="A1234" s="5" t="str">
        <x:v>彝</x:v>
      </x:c>
      <x:c r="B1234" s="6" t="str">
        <x:v>平</x:v>
      </x:c>
      <x:c r="C1234" s="6" t="str">
        <x:f>IF(B1234="","Needs decision","Ready")</x:f>
        <x:v>Ready</x:v>
      </x:c>
      <x:c r="D1234" s="6" t="str">
        <x:v>平</x:v>
      </x:c>
      <x:c r="E1234" s="6" t="str">
        <x:v>yij (A)</x:v>
      </x:c>
      <x:c r="F1234" s="6" t="str">
        <x:v>上平聲四支</x:v>
      </x:c>
      <x:c r="G1234" s="6" t="str">
        <x:v>Pingshui main list, Wikisource-derived DOCX</x:v>
      </x:c>
      <x:c r="H1234" s="6" t="str">
        <x:v>1</x:v>
      </x:c>
      <x:c r="I1234" s="6" t="str"/>
      <x:c r="J1234" s="6" t="str">
        <x:f>IF(B1234="","",IF(AND(ISNUMBER(SEARCH("平",B1234)),OR(ISNUMBER(SEARCH("上",B1234)),ISNUMBER(SEARCH("去",B1234)),ISNUMBER(SEARCH("入",B1234)))),"Ambiguous",IF(ISNUMBER(SEARCH("平",B1234)),"平","仄")))</x:f>
        <x:v>平</x:v>
      </x:c>
      <x:c r="K1234" s="6" t="str">
        <x:f>IF(D1234="","",IF(AND(ISNUMBER(SEARCH("平",D1234)),OR(ISNUMBER(SEARCH("上",D1234)),ISNUMBER(SEARCH("去",D1234)),ISNUMBER(SEARCH("入",D1234)))),"Ambiguous",IF(ISNUMBER(SEARCH("平",D1234)),"平","仄")))</x:f>
        <x:v>平</x:v>
      </x:c>
      <x:c r="L1234" s="7" t="str"/>
    </x:row>
    <x:row r="1235">
      <x:c r="A1235" s="5" t="str">
        <x:v>彡</x:v>
      </x:c>
      <x:c r="B1235" s="6" t="str">
        <x:v>平</x:v>
      </x:c>
      <x:c r="C1235" s="6" t="str">
        <x:f>IF(B1235="","Needs decision","Ready")</x:f>
        <x:v>Ready</x:v>
      </x:c>
      <x:c r="D1235" s="6" t="str">
        <x:v>平</x:v>
      </x:c>
      <x:c r="E1235" s="6" t="str">
        <x:v>yuwng (A)</x:v>
      </x:c>
      <x:c r="F1235" s="6" t="str"/>
      <x:c r="G1235" s="6" t="str"/>
      <x:c r="H1235" s="6" t="str">
        <x:v>1</x:v>
      </x:c>
      <x:c r="I1235" s="6" t="str"/>
      <x:c r="J1235" s="6" t="str">
        <x:f>IF(B1235="","",IF(AND(ISNUMBER(SEARCH("平",B1235)),OR(ISNUMBER(SEARCH("上",B1235)),ISNUMBER(SEARCH("去",B1235)),ISNUMBER(SEARCH("入",B1235)))),"Ambiguous",IF(ISNUMBER(SEARCH("平",B1235)),"平","仄")))</x:f>
        <x:v>平</x:v>
      </x:c>
      <x:c r="K1235" s="6" t="str">
        <x:f>IF(D1235="","",IF(AND(ISNUMBER(SEARCH("平",D1235)),OR(ISNUMBER(SEARCH("上",D1235)),ISNUMBER(SEARCH("去",D1235)),ISNUMBER(SEARCH("入",D1235)))),"Ambiguous",IF(ISNUMBER(SEARCH("平",D1235)),"平","仄")))</x:f>
        <x:v>平</x:v>
      </x:c>
      <x:c r="L1235" s="7" t="str"/>
    </x:row>
    <x:row r="1236">
      <x:c r="A1236" s="5" t="str">
        <x:v>形</x:v>
      </x:c>
      <x:c r="B1236" s="6" t="str">
        <x:v>平</x:v>
      </x:c>
      <x:c r="C1236" s="6" t="str">
        <x:f>IF(B1236="","Needs decision","Ready")</x:f>
        <x:v>Ready</x:v>
      </x:c>
      <x:c r="D1236" s="6" t="str">
        <x:v>平</x:v>
      </x:c>
      <x:c r="E1236" s="6" t="str">
        <x:v>heng (A)</x:v>
      </x:c>
      <x:c r="F1236" s="6" t="str">
        <x:v>下平聲九青</x:v>
      </x:c>
      <x:c r="G1236" s="6" t="str">
        <x:v>Pingshui main list, Wikisource-derived DOCX</x:v>
      </x:c>
      <x:c r="H1236" s="6" t="str">
        <x:v>1</x:v>
      </x:c>
      <x:c r="I1236" s="6" t="str"/>
      <x:c r="J1236" s="6" t="str">
        <x:f>IF(B1236="","",IF(AND(ISNUMBER(SEARCH("平",B1236)),OR(ISNUMBER(SEARCH("上",B1236)),ISNUMBER(SEARCH("去",B1236)),ISNUMBER(SEARCH("入",B1236)))),"Ambiguous",IF(ISNUMBER(SEARCH("平",B1236)),"平","仄")))</x:f>
        <x:v>平</x:v>
      </x:c>
      <x:c r="K1236" s="6" t="str">
        <x:f>IF(D1236="","",IF(AND(ISNUMBER(SEARCH("平",D1236)),OR(ISNUMBER(SEARCH("上",D1236)),ISNUMBER(SEARCH("去",D1236)),ISNUMBER(SEARCH("入",D1236)))),"Ambiguous",IF(ISNUMBER(SEARCH("平",D1236)),"平","仄")))</x:f>
        <x:v>平</x:v>
      </x:c>
      <x:c r="L1236" s="7" t="str"/>
    </x:row>
    <x:row r="1237">
      <x:c r="A1237" s="5" t="str">
        <x:v>彤</x:v>
      </x:c>
      <x:c r="B1237" s="6" t="str">
        <x:v>平</x:v>
      </x:c>
      <x:c r="C1237" s="6" t="str">
        <x:f>IF(B1237="","Needs decision","Ready")</x:f>
        <x:v>Ready</x:v>
      </x:c>
      <x:c r="D1237" s="6" t="str">
        <x:v>平</x:v>
      </x:c>
      <x:c r="E1237" s="6" t="str">
        <x:v>downg (A)</x:v>
      </x:c>
      <x:c r="F1237" s="6" t="str">
        <x:v>上平聲二冬</x:v>
      </x:c>
      <x:c r="G1237" s="6" t="str">
        <x:v>Pingshui main list, Wikisource-derived DOCX</x:v>
      </x:c>
      <x:c r="H1237" s="6" t="str">
        <x:v>1</x:v>
      </x:c>
      <x:c r="I1237" s="6" t="str"/>
      <x:c r="J1237" s="6" t="str">
        <x:f>IF(B1237="","",IF(AND(ISNUMBER(SEARCH("平",B1237)),OR(ISNUMBER(SEARCH("上",B1237)),ISNUMBER(SEARCH("去",B1237)),ISNUMBER(SEARCH("入",B1237)))),"Ambiguous",IF(ISNUMBER(SEARCH("平",B1237)),"平","仄")))</x:f>
        <x:v>平</x:v>
      </x:c>
      <x:c r="K1237" s="6" t="str">
        <x:f>IF(D1237="","",IF(AND(ISNUMBER(SEARCH("平",D1237)),OR(ISNUMBER(SEARCH("上",D1237)),ISNUMBER(SEARCH("去",D1237)),ISNUMBER(SEARCH("入",D1237)))),"Ambiguous",IF(ISNUMBER(SEARCH("平",D1237)),"平","仄")))</x:f>
        <x:v>平</x:v>
      </x:c>
      <x:c r="L1237" s="7" t="str"/>
    </x:row>
    <x:row r="1238">
      <x:c r="A1238" s="5" t="str">
        <x:v>彥</x:v>
      </x:c>
      <x:c r="B1238" s="6" t="str">
        <x:v>去</x:v>
      </x:c>
      <x:c r="C1238" s="6" t="str">
        <x:f>IF(B1238="","Needs decision","Ready")</x:f>
        <x:v>Ready</x:v>
      </x:c>
      <x:c r="D1238" s="6" t="str">
        <x:v>去</x:v>
      </x:c>
      <x:c r="E1238" s="6" t="str">
        <x:v>ngjenH (C)</x:v>
      </x:c>
      <x:c r="F1238" s="6" t="str">
        <x:v>去聲十七霰</x:v>
      </x:c>
      <x:c r="G1238" s="6" t="str">
        <x:v>Pingshui main list, Wikisource-derived DOCX</x:v>
      </x:c>
      <x:c r="H1238" s="6" t="str">
        <x:v>1</x:v>
      </x:c>
      <x:c r="I1238" s="6" t="str"/>
      <x:c r="J1238" s="6" t="str">
        <x:f>IF(B1238="","",IF(AND(ISNUMBER(SEARCH("平",B1238)),OR(ISNUMBER(SEARCH("上",B1238)),ISNUMBER(SEARCH("去",B1238)),ISNUMBER(SEARCH("入",B1238)))),"Ambiguous",IF(ISNUMBER(SEARCH("平",B1238)),"平","仄")))</x:f>
        <x:v>仄</x:v>
      </x:c>
      <x:c r="K1238" s="6" t="str">
        <x:f>IF(D1238="","",IF(AND(ISNUMBER(SEARCH("平",D1238)),OR(ISNUMBER(SEARCH("上",D1238)),ISNUMBER(SEARCH("去",D1238)),ISNUMBER(SEARCH("入",D1238)))),"Ambiguous",IF(ISNUMBER(SEARCH("平",D1238)),"平","仄")))</x:f>
        <x:v>仄</x:v>
      </x:c>
      <x:c r="L1238" s="7" t="str"/>
    </x:row>
    <x:row r="1239">
      <x:c r="A1239" s="5" t="str">
        <x:v>彧</x:v>
      </x:c>
      <x:c r="B1239" s="6" t="str">
        <x:v>入</x:v>
      </x:c>
      <x:c r="C1239" s="6" t="str">
        <x:f>IF(B1239="","Needs decision","Ready")</x:f>
        <x:v>Ready</x:v>
      </x:c>
      <x:c r="D1239" s="6" t="str">
        <x:v>入</x:v>
      </x:c>
      <x:c r="E1239" s="6" t="str">
        <x:v>'juwk (D)</x:v>
      </x:c>
      <x:c r="F1239" s="6" t="str">
        <x:v>入聲一屋</x:v>
      </x:c>
      <x:c r="G1239" s="6" t="str">
        <x:v>Pingshui main list, Wikisource-derived DOCX</x:v>
      </x:c>
      <x:c r="H1239" s="6" t="str">
        <x:v>1</x:v>
      </x:c>
      <x:c r="I1239" s="6" t="str"/>
      <x:c r="J1239" s="6" t="str">
        <x:f>IF(B1239="","",IF(AND(ISNUMBER(SEARCH("平",B1239)),OR(ISNUMBER(SEARCH("上",B1239)),ISNUMBER(SEARCH("去",B1239)),ISNUMBER(SEARCH("入",B1239)))),"Ambiguous",IF(ISNUMBER(SEARCH("平",B1239)),"平","仄")))</x:f>
        <x:v>仄</x:v>
      </x:c>
      <x:c r="K1239" s="6" t="str">
        <x:f>IF(D1239="","",IF(AND(ISNUMBER(SEARCH("平",D1239)),OR(ISNUMBER(SEARCH("上",D1239)),ISNUMBER(SEARCH("去",D1239)),ISNUMBER(SEARCH("入",D1239)))),"Ambiguous",IF(ISNUMBER(SEARCH("平",D1239)),"平","仄")))</x:f>
        <x:v>仄</x:v>
      </x:c>
      <x:c r="L1239" s="7" t="str"/>
    </x:row>
    <x:row r="1240">
      <x:c r="A1240" s="5" t="str">
        <x:v>彩</x:v>
      </x:c>
      <x:c r="B1240" s="6" t="str">
        <x:v>上</x:v>
      </x:c>
      <x:c r="C1240" s="6" t="str">
        <x:f>IF(B1240="","Needs decision","Ready")</x:f>
        <x:v>Ready</x:v>
      </x:c>
      <x:c r="D1240" s="6" t="str">
        <x:v>上</x:v>
      </x:c>
      <x:c r="E1240" s="6" t="str">
        <x:v>tshojX (B)</x:v>
      </x:c>
      <x:c r="F1240" s="6" t="str">
        <x:v>上聲十賄</x:v>
      </x:c>
      <x:c r="G1240" s="6" t="str">
        <x:v>Pingshui main list, Wikisource-derived DOCX</x:v>
      </x:c>
      <x:c r="H1240" s="6" t="str">
        <x:v>1</x:v>
      </x:c>
      <x:c r="I1240" s="6" t="str"/>
      <x:c r="J1240" s="6" t="str">
        <x:f>IF(B1240="","",IF(AND(ISNUMBER(SEARCH("平",B1240)),OR(ISNUMBER(SEARCH("上",B1240)),ISNUMBER(SEARCH("去",B1240)),ISNUMBER(SEARCH("入",B1240)))),"Ambiguous",IF(ISNUMBER(SEARCH("平",B1240)),"平","仄")))</x:f>
        <x:v>仄</x:v>
      </x:c>
      <x:c r="K1240" s="6" t="str">
        <x:f>IF(D1240="","",IF(AND(ISNUMBER(SEARCH("平",D1240)),OR(ISNUMBER(SEARCH("上",D1240)),ISNUMBER(SEARCH("去",D1240)),ISNUMBER(SEARCH("入",D1240)))),"Ambiguous",IF(ISNUMBER(SEARCH("平",D1240)),"平","仄")))</x:f>
        <x:v>仄</x:v>
      </x:c>
      <x:c r="L1240" s="7" t="str"/>
    </x:row>
    <x:row r="1241">
      <x:c r="A1241" s="5" t="str">
        <x:v>彫</x:v>
      </x:c>
      <x:c r="B1241" s="6" t="str">
        <x:v>平</x:v>
      </x:c>
      <x:c r="C1241" s="6" t="str">
        <x:f>IF(B1241="","Needs decision","Ready")</x:f>
        <x:v>Ready</x:v>
      </x:c>
      <x:c r="D1241" s="6" t="str">
        <x:v>平</x:v>
      </x:c>
      <x:c r="E1241" s="6" t="str">
        <x:v>tew (A)</x:v>
      </x:c>
      <x:c r="F1241" s="6" t="str">
        <x:v>下平聲二蕭</x:v>
      </x:c>
      <x:c r="G1241" s="6" t="str">
        <x:v>Pingshui main list, Wikisource-derived DOCX</x:v>
      </x:c>
      <x:c r="H1241" s="6" t="str">
        <x:v>1</x:v>
      </x:c>
      <x:c r="I1241" s="6" t="str"/>
      <x:c r="J1241" s="6" t="str">
        <x:f>IF(B1241="","",IF(AND(ISNUMBER(SEARCH("平",B1241)),OR(ISNUMBER(SEARCH("上",B1241)),ISNUMBER(SEARCH("去",B1241)),ISNUMBER(SEARCH("入",B1241)))),"Ambiguous",IF(ISNUMBER(SEARCH("平",B1241)),"平","仄")))</x:f>
        <x:v>平</x:v>
      </x:c>
      <x:c r="K1241" s="6" t="str">
        <x:f>IF(D1241="","",IF(AND(ISNUMBER(SEARCH("平",D1241)),OR(ISNUMBER(SEARCH("上",D1241)),ISNUMBER(SEARCH("去",D1241)),ISNUMBER(SEARCH("入",D1241)))),"Ambiguous",IF(ISNUMBER(SEARCH("平",D1241)),"平","仄")))</x:f>
        <x:v>平</x:v>
      </x:c>
      <x:c r="L1241" s="7" t="str"/>
    </x:row>
    <x:row r="1242">
      <x:c r="A1242" s="5" t="str">
        <x:v>彭</x:v>
      </x:c>
      <x:c r="B1242" s="6" t="str">
        <x:v>平</x:v>
      </x:c>
      <x:c r="C1242" s="6" t="str">
        <x:f>IF(B1242="","Needs decision","Ready")</x:f>
        <x:v>Ready</x:v>
      </x:c>
      <x:c r="D1242" s="6" t="str">
        <x:v>平</x:v>
      </x:c>
      <x:c r="E1242" s="6" t="str">
        <x:v>baeng (A)</x:v>
      </x:c>
      <x:c r="F1242" s="6" t="str">
        <x:v>下平聲七陽; 下平聲八庚</x:v>
      </x:c>
      <x:c r="G1242" s="6" t="str">
        <x:v>Pingshui main list, Wikisource-derived DOCX</x:v>
      </x:c>
      <x:c r="H1242" s="6" t="str">
        <x:v>1</x:v>
      </x:c>
      <x:c r="I1242" s="6" t="str"/>
      <x:c r="J1242" s="6" t="str">
        <x:f>IF(B1242="","",IF(AND(ISNUMBER(SEARCH("平",B1242)),OR(ISNUMBER(SEARCH("上",B1242)),ISNUMBER(SEARCH("去",B1242)),ISNUMBER(SEARCH("入",B1242)))),"Ambiguous",IF(ISNUMBER(SEARCH("平",B1242)),"平","仄")))</x:f>
        <x:v>平</x:v>
      </x:c>
      <x:c r="K1242" s="6" t="str">
        <x:f>IF(D1242="","",IF(AND(ISNUMBER(SEARCH("平",D1242)),OR(ISNUMBER(SEARCH("上",D1242)),ISNUMBER(SEARCH("去",D1242)),ISNUMBER(SEARCH("入",D1242)))),"Ambiguous",IF(ISNUMBER(SEARCH("平",D1242)),"平","仄")))</x:f>
        <x:v>平</x:v>
      </x:c>
      <x:c r="L1242" s="7" t="str"/>
    </x:row>
    <x:row r="1243">
      <x:c r="A1243" s="5" t="str">
        <x:v>影</x:v>
      </x:c>
      <x:c r="B1243" s="6" t="str">
        <x:v>上</x:v>
      </x:c>
      <x:c r="C1243" s="6" t="str">
        <x:f>IF(B1243="","Needs decision","Ready")</x:f>
        <x:v>Ready</x:v>
      </x:c>
      <x:c r="D1243" s="6" t="str">
        <x:v>上</x:v>
      </x:c>
      <x:c r="E1243" s="6" t="str">
        <x:v>'jaengX (B)</x:v>
      </x:c>
      <x:c r="F1243" s="6" t="str">
        <x:v>上聲二十三梗</x:v>
      </x:c>
      <x:c r="G1243" s="6" t="str">
        <x:v>Pingshui main list, Wikisource-derived DOCX</x:v>
      </x:c>
      <x:c r="H1243" s="6" t="str">
        <x:v>1</x:v>
      </x:c>
      <x:c r="I1243" s="6" t="str"/>
      <x:c r="J1243" s="6" t="str">
        <x:f>IF(B1243="","",IF(AND(ISNUMBER(SEARCH("平",B1243)),OR(ISNUMBER(SEARCH("上",B1243)),ISNUMBER(SEARCH("去",B1243)),ISNUMBER(SEARCH("入",B1243)))),"Ambiguous",IF(ISNUMBER(SEARCH("平",B1243)),"平","仄")))</x:f>
        <x:v>仄</x:v>
      </x:c>
      <x:c r="K1243" s="6" t="str">
        <x:f>IF(D1243="","",IF(AND(ISNUMBER(SEARCH("平",D1243)),OR(ISNUMBER(SEARCH("上",D1243)),ISNUMBER(SEARCH("去",D1243)),ISNUMBER(SEARCH("入",D1243)))),"Ambiguous",IF(ISNUMBER(SEARCH("平",D1243)),"平","仄")))</x:f>
        <x:v>仄</x:v>
      </x:c>
      <x:c r="L1243" s="7" t="str"/>
    </x:row>
    <x:row r="1244">
      <x:c r="A1244" s="5" t="str">
        <x:v>彷</x:v>
      </x:c>
      <x:c r="B1244" s="6" t="str">
        <x:v>平</x:v>
      </x:c>
      <x:c r="C1244" s="6" t="str">
        <x:f>IF(B1244="","Needs decision","Ready")</x:f>
        <x:v>Ready</x:v>
      </x:c>
      <x:c r="D1244" s="6" t="str">
        <x:v>平</x:v>
      </x:c>
      <x:c r="E1244" s="6" t="str">
        <x:v>bang (A)</x:v>
      </x:c>
      <x:c r="F1244" s="6" t="str">
        <x:v>下平聲七陽</x:v>
      </x:c>
      <x:c r="G1244" s="6" t="str">
        <x:v>Pingshui main list, Wikisource-derived DOCX</x:v>
      </x:c>
      <x:c r="H1244" s="6" t="str">
        <x:v>1</x:v>
      </x:c>
      <x:c r="I1244" s="6" t="str"/>
      <x:c r="J1244" s="6" t="str">
        <x:f>IF(B1244="","",IF(AND(ISNUMBER(SEARCH("平",B1244)),OR(ISNUMBER(SEARCH("上",B1244)),ISNUMBER(SEARCH("去",B1244)),ISNUMBER(SEARCH("入",B1244)))),"Ambiguous",IF(ISNUMBER(SEARCH("平",B1244)),"平","仄")))</x:f>
        <x:v>平</x:v>
      </x:c>
      <x:c r="K1244" s="6" t="str">
        <x:f>IF(D1244="","",IF(AND(ISNUMBER(SEARCH("平",D1244)),OR(ISNUMBER(SEARCH("上",D1244)),ISNUMBER(SEARCH("去",D1244)),ISNUMBER(SEARCH("入",D1244)))),"Ambiguous",IF(ISNUMBER(SEARCH("平",D1244)),"平","仄")))</x:f>
        <x:v>平</x:v>
      </x:c>
      <x:c r="L1244" s="7" t="str"/>
    </x:row>
    <x:row r="1245">
      <x:c r="A1245" s="5" t="str">
        <x:v>役</x:v>
      </x:c>
      <x:c r="B1245" s="6" t="str">
        <x:v>入</x:v>
      </x:c>
      <x:c r="C1245" s="6" t="str">
        <x:f>IF(B1245="","Needs decision","Ready")</x:f>
        <x:v>Ready</x:v>
      </x:c>
      <x:c r="D1245" s="6" t="str">
        <x:v>入</x:v>
      </x:c>
      <x:c r="E1245" s="6" t="str">
        <x:v>ywek (D)</x:v>
      </x:c>
      <x:c r="F1245" s="6" t="str">
        <x:v>入聲十一陌</x:v>
      </x:c>
      <x:c r="G1245" s="6" t="str">
        <x:v>Pingshui main list, Wikisource-derived DOCX</x:v>
      </x:c>
      <x:c r="H1245" s="6" t="str">
        <x:v>1</x:v>
      </x:c>
      <x:c r="I1245" s="6" t="str"/>
      <x:c r="J1245" s="6" t="str">
        <x:f>IF(B1245="","",IF(AND(ISNUMBER(SEARCH("平",B1245)),OR(ISNUMBER(SEARCH("上",B1245)),ISNUMBER(SEARCH("去",B1245)),ISNUMBER(SEARCH("入",B1245)))),"Ambiguous",IF(ISNUMBER(SEARCH("平",B1245)),"平","仄")))</x:f>
        <x:v>仄</x:v>
      </x:c>
      <x:c r="K1245" s="6" t="str">
        <x:f>IF(D1245="","",IF(AND(ISNUMBER(SEARCH("平",D1245)),OR(ISNUMBER(SEARCH("上",D1245)),ISNUMBER(SEARCH("去",D1245)),ISNUMBER(SEARCH("入",D1245)))),"Ambiguous",IF(ISNUMBER(SEARCH("平",D1245)),"平","仄")))</x:f>
        <x:v>仄</x:v>
      </x:c>
      <x:c r="L1245" s="7" t="str"/>
    </x:row>
    <x:row r="1246">
      <x:c r="A1246" s="5" t="str">
        <x:v>彼</x:v>
      </x:c>
      <x:c r="B1246" s="6" t="str">
        <x:v>上</x:v>
      </x:c>
      <x:c r="C1246" s="6" t="str">
        <x:f>IF(B1246="","Needs decision","Ready")</x:f>
        <x:v>Ready</x:v>
      </x:c>
      <x:c r="D1246" s="6" t="str">
        <x:v>上</x:v>
      </x:c>
      <x:c r="E1246" s="6" t="str">
        <x:v>pjeX (B)</x:v>
      </x:c>
      <x:c r="F1246" s="6" t="str">
        <x:v>上聲四紙</x:v>
      </x:c>
      <x:c r="G1246" s="6" t="str">
        <x:v>Pingshui main list, Wikisource-derived DOCX</x:v>
      </x:c>
      <x:c r="H1246" s="6" t="str">
        <x:v>1</x:v>
      </x:c>
      <x:c r="I1246" s="6" t="str"/>
      <x:c r="J1246" s="6" t="str">
        <x:f>IF(B1246="","",IF(AND(ISNUMBER(SEARCH("平",B1246)),OR(ISNUMBER(SEARCH("上",B1246)),ISNUMBER(SEARCH("去",B1246)),ISNUMBER(SEARCH("入",B1246)))),"Ambiguous",IF(ISNUMBER(SEARCH("平",B1246)),"平","仄")))</x:f>
        <x:v>仄</x:v>
      </x:c>
      <x:c r="K1246" s="6" t="str">
        <x:f>IF(D1246="","",IF(AND(ISNUMBER(SEARCH("平",D1246)),OR(ISNUMBER(SEARCH("上",D1246)),ISNUMBER(SEARCH("去",D1246)),ISNUMBER(SEARCH("入",D1246)))),"Ambiguous",IF(ISNUMBER(SEARCH("平",D1246)),"平","仄")))</x:f>
        <x:v>仄</x:v>
      </x:c>
      <x:c r="L1246" s="7" t="str"/>
    </x:row>
    <x:row r="1247">
      <x:c r="A1247" s="5" t="str">
        <x:v>彿</x:v>
      </x:c>
      <x:c r="B1247" s="6" t="str">
        <x:v>入</x:v>
      </x:c>
      <x:c r="C1247" s="6" t="str">
        <x:f>IF(B1247="","Needs decision","Ready")</x:f>
        <x:v>Ready</x:v>
      </x:c>
      <x:c r="D1247" s="6" t="str">
        <x:v>入</x:v>
      </x:c>
      <x:c r="E1247" s="6" t="str">
        <x:v>phjut (D)</x:v>
      </x:c>
      <x:c r="F1247" s="6" t="str"/>
      <x:c r="G1247" s="6" t="str"/>
      <x:c r="H1247" s="6" t="str">
        <x:v>1</x:v>
      </x:c>
      <x:c r="I1247" s="6" t="str"/>
      <x:c r="J1247" s="6" t="str">
        <x:f>IF(B1247="","",IF(AND(ISNUMBER(SEARCH("平",B1247)),OR(ISNUMBER(SEARCH("上",B1247)),ISNUMBER(SEARCH("去",B1247)),ISNUMBER(SEARCH("入",B1247)))),"Ambiguous",IF(ISNUMBER(SEARCH("平",B1247)),"平","仄")))</x:f>
        <x:v>仄</x:v>
      </x:c>
      <x:c r="K1247" s="6" t="str">
        <x:f>IF(D1247="","",IF(AND(ISNUMBER(SEARCH("平",D1247)),OR(ISNUMBER(SEARCH("上",D1247)),ISNUMBER(SEARCH("去",D1247)),ISNUMBER(SEARCH("入",D1247)))),"Ambiguous",IF(ISNUMBER(SEARCH("平",D1247)),"平","仄")))</x:f>
        <x:v>仄</x:v>
      </x:c>
      <x:c r="L1247" s="7" t="str"/>
    </x:row>
    <x:row r="1248">
      <x:c r="A1248" s="5" t="str">
        <x:v>往</x:v>
      </x:c>
      <x:c r="B1248" s="6" t="str">
        <x:v>上</x:v>
      </x:c>
      <x:c r="C1248" s="6" t="str">
        <x:f>IF(B1248="","Needs decision","Ready")</x:f>
        <x:v>Ready</x:v>
      </x:c>
      <x:c r="D1248" s="6" t="str">
        <x:v>上</x:v>
      </x:c>
      <x:c r="E1248" s="6" t="str">
        <x:v>hjwangX (B)</x:v>
      </x:c>
      <x:c r="F1248" s="6" t="str"/>
      <x:c r="G1248" s="6" t="str"/>
      <x:c r="H1248" s="6" t="str">
        <x:v>1</x:v>
      </x:c>
      <x:c r="I1248" s="6" t="str"/>
      <x:c r="J1248" s="6" t="str">
        <x:f>IF(B1248="","",IF(AND(ISNUMBER(SEARCH("平",B1248)),OR(ISNUMBER(SEARCH("上",B1248)),ISNUMBER(SEARCH("去",B1248)),ISNUMBER(SEARCH("入",B1248)))),"Ambiguous",IF(ISNUMBER(SEARCH("平",B1248)),"平","仄")))</x:f>
        <x:v>仄</x:v>
      </x:c>
      <x:c r="K1248" s="6" t="str">
        <x:f>IF(D1248="","",IF(AND(ISNUMBER(SEARCH("平",D1248)),OR(ISNUMBER(SEARCH("上",D1248)),ISNUMBER(SEARCH("去",D1248)),ISNUMBER(SEARCH("入",D1248)))),"Ambiguous",IF(ISNUMBER(SEARCH("平",D1248)),"平","仄")))</x:f>
        <x:v>仄</x:v>
      </x:c>
      <x:c r="L1248" s="7" t="str"/>
    </x:row>
    <x:row r="1249">
      <x:c r="A1249" s="5" t="str">
        <x:v>征</x:v>
      </x:c>
      <x:c r="B1249" s="6" t="str">
        <x:v>平</x:v>
      </x:c>
      <x:c r="C1249" s="6" t="str">
        <x:f>IF(B1249="","Needs decision","Ready")</x:f>
        <x:v>Ready</x:v>
      </x:c>
      <x:c r="D1249" s="6" t="str">
        <x:v>平</x:v>
      </x:c>
      <x:c r="E1249" s="6" t="str">
        <x:v>tsyeng (A)</x:v>
      </x:c>
      <x:c r="F1249" s="6" t="str">
        <x:v>下平聲八庚</x:v>
      </x:c>
      <x:c r="G1249" s="6" t="str">
        <x:v>Pingshui main list, Wikisource-derived DOCX</x:v>
      </x:c>
      <x:c r="H1249" s="6" t="str">
        <x:v>1</x:v>
      </x:c>
      <x:c r="I1249" s="6" t="str"/>
      <x:c r="J1249" s="6" t="str">
        <x:f>IF(B1249="","",IF(AND(ISNUMBER(SEARCH("平",B1249)),OR(ISNUMBER(SEARCH("上",B1249)),ISNUMBER(SEARCH("去",B1249)),ISNUMBER(SEARCH("入",B1249)))),"Ambiguous",IF(ISNUMBER(SEARCH("平",B1249)),"平","仄")))</x:f>
        <x:v>平</x:v>
      </x:c>
      <x:c r="K1249" s="6" t="str">
        <x:f>IF(D1249="","",IF(AND(ISNUMBER(SEARCH("平",D1249)),OR(ISNUMBER(SEARCH("上",D1249)),ISNUMBER(SEARCH("去",D1249)),ISNUMBER(SEARCH("入",D1249)))),"Ambiguous",IF(ISNUMBER(SEARCH("平",D1249)),"平","仄")))</x:f>
        <x:v>平</x:v>
      </x:c>
      <x:c r="L1249" s="7" t="str"/>
    </x:row>
    <x:row r="1250">
      <x:c r="A1250" s="5" t="str">
        <x:v>徂</x:v>
      </x:c>
      <x:c r="B1250" s="6" t="str">
        <x:v>平</x:v>
      </x:c>
      <x:c r="C1250" s="6" t="str">
        <x:f>IF(B1250="","Needs decision","Ready")</x:f>
        <x:v>Ready</x:v>
      </x:c>
      <x:c r="D1250" s="6" t="str">
        <x:v>平</x:v>
      </x:c>
      <x:c r="E1250" s="6" t="str">
        <x:v>dzu (A)</x:v>
      </x:c>
      <x:c r="F1250" s="6" t="str">
        <x:v>上平聲七虞</x:v>
      </x:c>
      <x:c r="G1250" s="6" t="str">
        <x:v>Pingshui main list, Wikisource-derived DOCX</x:v>
      </x:c>
      <x:c r="H1250" s="6" t="str">
        <x:v>1</x:v>
      </x:c>
      <x:c r="I1250" s="6" t="str"/>
      <x:c r="J1250" s="6" t="str">
        <x:f>IF(B1250="","",IF(AND(ISNUMBER(SEARCH("平",B1250)),OR(ISNUMBER(SEARCH("上",B1250)),ISNUMBER(SEARCH("去",B1250)),ISNUMBER(SEARCH("入",B1250)))),"Ambiguous",IF(ISNUMBER(SEARCH("平",B1250)),"平","仄")))</x:f>
        <x:v>平</x:v>
      </x:c>
      <x:c r="K1250" s="6" t="str">
        <x:f>IF(D1250="","",IF(AND(ISNUMBER(SEARCH("平",D1250)),OR(ISNUMBER(SEARCH("上",D1250)),ISNUMBER(SEARCH("去",D1250)),ISNUMBER(SEARCH("入",D1250)))),"Ambiguous",IF(ISNUMBER(SEARCH("平",D1250)),"平","仄")))</x:f>
        <x:v>平</x:v>
      </x:c>
      <x:c r="L1250" s="7" t="str"/>
    </x:row>
    <x:row r="1251">
      <x:c r="A1251" s="5" t="str">
        <x:v>待</x:v>
      </x:c>
      <x:c r="B1251" s="6" t="str">
        <x:v>上</x:v>
      </x:c>
      <x:c r="C1251" s="6" t="str">
        <x:f>IF(B1251="","Needs decision","Ready")</x:f>
        <x:v>Ready</x:v>
      </x:c>
      <x:c r="D1251" s="6" t="str">
        <x:v>上</x:v>
      </x:c>
      <x:c r="E1251" s="6" t="str">
        <x:v>dojX (B)</x:v>
      </x:c>
      <x:c r="F1251" s="6" t="str">
        <x:v>上聲十賄</x:v>
      </x:c>
      <x:c r="G1251" s="6" t="str">
        <x:v>Pingshui main list, Wikisource-derived DOCX</x:v>
      </x:c>
      <x:c r="H1251" s="6" t="str">
        <x:v>1</x:v>
      </x:c>
      <x:c r="I1251" s="6" t="str"/>
      <x:c r="J1251" s="6" t="str">
        <x:f>IF(B1251="","",IF(AND(ISNUMBER(SEARCH("平",B1251)),OR(ISNUMBER(SEARCH("上",B1251)),ISNUMBER(SEARCH("去",B1251)),ISNUMBER(SEARCH("入",B1251)))),"Ambiguous",IF(ISNUMBER(SEARCH("平",B1251)),"平","仄")))</x:f>
        <x:v>仄</x:v>
      </x:c>
      <x:c r="K1251" s="6" t="str">
        <x:f>IF(D1251="","",IF(AND(ISNUMBER(SEARCH("平",D1251)),OR(ISNUMBER(SEARCH("上",D1251)),ISNUMBER(SEARCH("去",D1251)),ISNUMBER(SEARCH("入",D1251)))),"Ambiguous",IF(ISNUMBER(SEARCH("平",D1251)),"平","仄")))</x:f>
        <x:v>仄</x:v>
      </x:c>
      <x:c r="L1251" s="7" t="str"/>
    </x:row>
    <x:row r="1252">
      <x:c r="A1252" s="5" t="str">
        <x:v>徇</x:v>
      </x:c>
      <x:c r="B1252" s="6" t="str">
        <x:v>去</x:v>
      </x:c>
      <x:c r="C1252" s="6" t="str">
        <x:f>IF(B1252="","Needs decision","Ready")</x:f>
        <x:v>Ready</x:v>
      </x:c>
      <x:c r="D1252" s="6" t="str">
        <x:v>去</x:v>
      </x:c>
      <x:c r="E1252" s="6" t="str">
        <x:v>zwinH (C)</x:v>
      </x:c>
      <x:c r="F1252" s="6" t="str">
        <x:v>去聲十二震</x:v>
      </x:c>
      <x:c r="G1252" s="6" t="str">
        <x:v>Pingshui main list, Wikisource-derived DOCX</x:v>
      </x:c>
      <x:c r="H1252" s="6" t="str">
        <x:v>1</x:v>
      </x:c>
      <x:c r="I1252" s="6" t="str"/>
      <x:c r="J1252" s="6" t="str">
        <x:f>IF(B1252="","",IF(AND(ISNUMBER(SEARCH("平",B1252)),OR(ISNUMBER(SEARCH("上",B1252)),ISNUMBER(SEARCH("去",B1252)),ISNUMBER(SEARCH("入",B1252)))),"Ambiguous",IF(ISNUMBER(SEARCH("平",B1252)),"平","仄")))</x:f>
        <x:v>仄</x:v>
      </x:c>
      <x:c r="K1252" s="6" t="str">
        <x:f>IF(D1252="","",IF(AND(ISNUMBER(SEARCH("平",D1252)),OR(ISNUMBER(SEARCH("上",D1252)),ISNUMBER(SEARCH("去",D1252)),ISNUMBER(SEARCH("入",D1252)))),"Ambiguous",IF(ISNUMBER(SEARCH("平",D1252)),"平","仄")))</x:f>
        <x:v>仄</x:v>
      </x:c>
      <x:c r="L1252" s="7" t="str"/>
    </x:row>
    <x:row r="1253">
      <x:c r="A1253" s="5" t="str">
        <x:v>徊</x:v>
      </x:c>
      <x:c r="B1253" s="6" t="str">
        <x:v>平</x:v>
      </x:c>
      <x:c r="C1253" s="6" t="str">
        <x:f>IF(B1253="","Needs decision","Ready")</x:f>
        <x:v>Ready</x:v>
      </x:c>
      <x:c r="D1253" s="6" t="str">
        <x:v>平</x:v>
      </x:c>
      <x:c r="E1253" s="6" t="str"/>
      <x:c r="F1253" s="6" t="str">
        <x:v>上平聲十灰</x:v>
      </x:c>
      <x:c r="G1253" s="6" t="str">
        <x:v>Pingshui main list, Wikisource-derived DOCX</x:v>
      </x:c>
      <x:c r="H1253" s="6" t="str"/>
      <x:c r="I1253" s="6" t="str">
        <x:v>Manual user correction/addition</x:v>
      </x:c>
      <x:c r="J1253" s="6" t="str">
        <x:f>IF(B1253="","",IF(AND(ISNUMBER(SEARCH("平",B1253)),OR(ISNUMBER(SEARCH("上",B1253)),ISNUMBER(SEARCH("去",B1253)),ISNUMBER(SEARCH("入",B1253)))),"Ambiguous",IF(ISNUMBER(SEARCH("平",B1253)),"平","仄")))</x:f>
        <x:v>平</x:v>
      </x:c>
      <x:c r="K1253" s="6" t="str">
        <x:f>IF(D1253="","",IF(AND(ISNUMBER(SEARCH("平",D1253)),OR(ISNUMBER(SEARCH("上",D1253)),ISNUMBER(SEARCH("去",D1253)),ISNUMBER(SEARCH("入",D1253)))),"Ambiguous",IF(ISNUMBER(SEARCH("平",D1253)),"平","仄")))</x:f>
        <x:v>平</x:v>
      </x:c>
      <x:c r="L1253" s="7" t="str">
        <x:v>manual user correction</x:v>
      </x:c>
    </x:row>
    <x:row r="1254">
      <x:c r="A1254" s="5" t="str">
        <x:v>律</x:v>
      </x:c>
      <x:c r="B1254" s="6" t="str">
        <x:v>入</x:v>
      </x:c>
      <x:c r="C1254" s="6" t="str">
        <x:f>IF(B1254="","Needs decision","Ready")</x:f>
        <x:v>Ready</x:v>
      </x:c>
      <x:c r="D1254" s="6" t="str">
        <x:v>入</x:v>
      </x:c>
      <x:c r="E1254" s="6" t="str">
        <x:v>lwit (D)</x:v>
      </x:c>
      <x:c r="F1254" s="6" t="str">
        <x:v>入聲四質</x:v>
      </x:c>
      <x:c r="G1254" s="6" t="str">
        <x:v>Pingshui main list, Wikisource-derived DOCX</x:v>
      </x:c>
      <x:c r="H1254" s="6" t="str">
        <x:v>1</x:v>
      </x:c>
      <x:c r="I1254" s="6" t="str"/>
      <x:c r="J1254" s="6" t="str">
        <x:f>IF(B1254="","",IF(AND(ISNUMBER(SEARCH("平",B1254)),OR(ISNUMBER(SEARCH("上",B1254)),ISNUMBER(SEARCH("去",B1254)),ISNUMBER(SEARCH("入",B1254)))),"Ambiguous",IF(ISNUMBER(SEARCH("平",B1254)),"平","仄")))</x:f>
        <x:v>仄</x:v>
      </x:c>
      <x:c r="K1254" s="6" t="str">
        <x:f>IF(D1254="","",IF(AND(ISNUMBER(SEARCH("平",D1254)),OR(ISNUMBER(SEARCH("上",D1254)),ISNUMBER(SEARCH("去",D1254)),ISNUMBER(SEARCH("入",D1254)))),"Ambiguous",IF(ISNUMBER(SEARCH("平",D1254)),"平","仄")))</x:f>
        <x:v>仄</x:v>
      </x:c>
      <x:c r="L1254" s="7" t="str"/>
    </x:row>
    <x:row r="1255">
      <x:c r="A1255" s="5" t="str">
        <x:v>後</x:v>
      </x:c>
      <x:c r="B1255" s="6" t="str">
        <x:v>上</x:v>
      </x:c>
      <x:c r="C1255" s="6" t="str">
        <x:f>IF(B1255="","Needs decision","Ready")</x:f>
        <x:v>Ready</x:v>
      </x:c>
      <x:c r="D1255" s="6" t="str">
        <x:v>上/去</x:v>
      </x:c>
      <x:c r="E1255" s="6" t="str">
        <x:v>huwX (B); huwH (C)</x:v>
      </x:c>
      <x:c r="F1255" s="6" t="str">
        <x:v>上聲二十五有; 去聲二十六宥</x:v>
      </x:c>
      <x:c r="G1255" s="6" t="str">
        <x:v>Pingshui main list, Wikisource-derived DOCX</x:v>
      </x:c>
      <x:c r="H1255" s="6" t="str">
        <x:v>2</x:v>
      </x:c>
      <x:c r="I1255" s="6" t="str">
        <x:v>User correction 2026-09-08</x:v>
      </x:c>
      <x:c r="J1255" s="6" t="str">
        <x:f>IF(B1255="","",IF(AND(ISNUMBER(SEARCH("平",B1255)),OR(ISNUMBER(SEARCH("上",B1255)),ISNUMBER(SEARCH("去",B1255)),ISNUMBER(SEARCH("入",B1255)))),"Ambiguous",IF(ISNUMBER(SEARCH("平",B1255)),"平","仄")))</x:f>
        <x:v>仄</x:v>
      </x:c>
      <x:c r="K1255" s="6" t="str">
        <x:f>IF(D1255="","",IF(AND(ISNUMBER(SEARCH("平",D1255)),OR(ISNUMBER(SEARCH("上",D1255)),ISNUMBER(SEARCH("去",D1255)),ISNUMBER(SEARCH("入",D1255)))),"Ambiguous",IF(ISNUMBER(SEARCH("平",D1255)),"平","仄")))</x:f>
        <x:v>仄</x:v>
      </x:c>
      <x:c r="L1255" s="7" t="str"/>
    </x:row>
    <x:row r="1256">
      <x:c r="A1256" s="5" t="str">
        <x:v>徐</x:v>
      </x:c>
      <x:c r="B1256" s="6" t="str">
        <x:v>平</x:v>
      </x:c>
      <x:c r="C1256" s="6" t="str">
        <x:f>IF(B1256="","Needs decision","Ready")</x:f>
        <x:v>Ready</x:v>
      </x:c>
      <x:c r="D1256" s="6" t="str">
        <x:v>平</x:v>
      </x:c>
      <x:c r="E1256" s="6" t="str">
        <x:v>zjo (A)</x:v>
      </x:c>
      <x:c r="F1256" s="6" t="str">
        <x:v>上平聲六魚</x:v>
      </x:c>
      <x:c r="G1256" s="6" t="str">
        <x:v>Pingshui main list, Wikisource-derived DOCX</x:v>
      </x:c>
      <x:c r="H1256" s="6" t="str">
        <x:v>1</x:v>
      </x:c>
      <x:c r="I1256" s="6" t="str"/>
      <x:c r="J1256" s="6" t="str">
        <x:f>IF(B1256="","",IF(AND(ISNUMBER(SEARCH("平",B1256)),OR(ISNUMBER(SEARCH("上",B1256)),ISNUMBER(SEARCH("去",B1256)),ISNUMBER(SEARCH("入",B1256)))),"Ambiguous",IF(ISNUMBER(SEARCH("平",B1256)),"平","仄")))</x:f>
        <x:v>平</x:v>
      </x:c>
      <x:c r="K1256" s="6" t="str">
        <x:f>IF(D1256="","",IF(AND(ISNUMBER(SEARCH("平",D1256)),OR(ISNUMBER(SEARCH("上",D1256)),ISNUMBER(SEARCH("去",D1256)),ISNUMBER(SEARCH("入",D1256)))),"Ambiguous",IF(ISNUMBER(SEARCH("平",D1256)),"平","仄")))</x:f>
        <x:v>平</x:v>
      </x:c>
      <x:c r="L1256" s="7" t="str"/>
    </x:row>
    <x:row r="1257">
      <x:c r="A1257" s="5" t="str">
        <x:v>徑</x:v>
      </x:c>
      <x:c r="B1257" s="6" t="str">
        <x:v>去</x:v>
      </x:c>
      <x:c r="C1257" s="6" t="str">
        <x:f>IF(B1257="","Needs decision","Ready")</x:f>
        <x:v>Ready</x:v>
      </x:c>
      <x:c r="D1257" s="6" t="str">
        <x:v>去</x:v>
      </x:c>
      <x:c r="E1257" s="6" t="str">
        <x:v>kengH (C)</x:v>
      </x:c>
      <x:c r="F1257" s="6" t="str">
        <x:v>去聲二十五徑</x:v>
      </x:c>
      <x:c r="G1257" s="6" t="str">
        <x:v>Pingshui main list, Wikisource-derived DOCX</x:v>
      </x:c>
      <x:c r="H1257" s="6" t="str">
        <x:v>1</x:v>
      </x:c>
      <x:c r="I1257" s="6" t="str"/>
      <x:c r="J1257" s="6" t="str">
        <x:f>IF(B1257="","",IF(AND(ISNUMBER(SEARCH("平",B1257)),OR(ISNUMBER(SEARCH("上",B1257)),ISNUMBER(SEARCH("去",B1257)),ISNUMBER(SEARCH("入",B1257)))),"Ambiguous",IF(ISNUMBER(SEARCH("平",B1257)),"平","仄")))</x:f>
        <x:v>仄</x:v>
      </x:c>
      <x:c r="K1257" s="6" t="str">
        <x:f>IF(D1257="","",IF(AND(ISNUMBER(SEARCH("平",D1257)),OR(ISNUMBER(SEARCH("上",D1257)),ISNUMBER(SEARCH("去",D1257)),ISNUMBER(SEARCH("入",D1257)))),"Ambiguous",IF(ISNUMBER(SEARCH("平",D1257)),"平","仄")))</x:f>
        <x:v>仄</x:v>
      </x:c>
      <x:c r="L1257" s="7" t="str"/>
    </x:row>
    <x:row r="1258">
      <x:c r="A1258" s="5" t="str">
        <x:v>徒</x:v>
      </x:c>
      <x:c r="B1258" s="6" t="str">
        <x:v>平</x:v>
      </x:c>
      <x:c r="C1258" s="6" t="str">
        <x:f>IF(B1258="","Needs decision","Ready")</x:f>
        <x:v>Ready</x:v>
      </x:c>
      <x:c r="D1258" s="6" t="str">
        <x:v>平</x:v>
      </x:c>
      <x:c r="E1258" s="6" t="str">
        <x:v>du (A)</x:v>
      </x:c>
      <x:c r="F1258" s="6" t="str">
        <x:v>上平聲七虞</x:v>
      </x:c>
      <x:c r="G1258" s="6" t="str">
        <x:v>Pingshui main list, Wikisource-derived DOCX</x:v>
      </x:c>
      <x:c r="H1258" s="6" t="str">
        <x:v>1</x:v>
      </x:c>
      <x:c r="I1258" s="6" t="str"/>
      <x:c r="J1258" s="6" t="str">
        <x:f>IF(B1258="","",IF(AND(ISNUMBER(SEARCH("平",B1258)),OR(ISNUMBER(SEARCH("上",B1258)),ISNUMBER(SEARCH("去",B1258)),ISNUMBER(SEARCH("入",B1258)))),"Ambiguous",IF(ISNUMBER(SEARCH("平",B1258)),"平","仄")))</x:f>
        <x:v>平</x:v>
      </x:c>
      <x:c r="K1258" s="6" t="str">
        <x:f>IF(D1258="","",IF(AND(ISNUMBER(SEARCH("平",D1258)),OR(ISNUMBER(SEARCH("上",D1258)),ISNUMBER(SEARCH("去",D1258)),ISNUMBER(SEARCH("入",D1258)))),"Ambiguous",IF(ISNUMBER(SEARCH("平",D1258)),"平","仄")))</x:f>
        <x:v>平</x:v>
      </x:c>
      <x:c r="L1258" s="7" t="str"/>
    </x:row>
    <x:row r="1259">
      <x:c r="A1259" s="5" t="str">
        <x:v>得</x:v>
      </x:c>
      <x:c r="B1259" s="6" t="str">
        <x:v>入</x:v>
      </x:c>
      <x:c r="C1259" s="6" t="str">
        <x:f>IF(B1259="","Needs decision","Ready")</x:f>
        <x:v>Ready</x:v>
      </x:c>
      <x:c r="D1259" s="6" t="str">
        <x:v>入</x:v>
      </x:c>
      <x:c r="E1259" s="6" t="str">
        <x:v>tok (D)</x:v>
      </x:c>
      <x:c r="F1259" s="6" t="str">
        <x:v>入聲十三職</x:v>
      </x:c>
      <x:c r="G1259" s="6" t="str">
        <x:v>Pingshui main list, Wikisource-derived DOCX</x:v>
      </x:c>
      <x:c r="H1259" s="6" t="str">
        <x:v>1</x:v>
      </x:c>
      <x:c r="I1259" s="6" t="str"/>
      <x:c r="J1259" s="6" t="str">
        <x:f>IF(B1259="","",IF(AND(ISNUMBER(SEARCH("平",B1259)),OR(ISNUMBER(SEARCH("上",B1259)),ISNUMBER(SEARCH("去",B1259)),ISNUMBER(SEARCH("入",B1259)))),"Ambiguous",IF(ISNUMBER(SEARCH("平",B1259)),"平","仄")))</x:f>
        <x:v>仄</x:v>
      </x:c>
      <x:c r="K1259" s="6" t="str">
        <x:f>IF(D1259="","",IF(AND(ISNUMBER(SEARCH("平",D1259)),OR(ISNUMBER(SEARCH("上",D1259)),ISNUMBER(SEARCH("去",D1259)),ISNUMBER(SEARCH("入",D1259)))),"Ambiguous",IF(ISNUMBER(SEARCH("平",D1259)),"平","仄")))</x:f>
        <x:v>仄</x:v>
      </x:c>
      <x:c r="L1259" s="7" t="str"/>
    </x:row>
    <x:row r="1260">
      <x:c r="A1260" s="5" t="str">
        <x:v>徘</x:v>
      </x:c>
      <x:c r="B1260" s="6" t="str">
        <x:v>平</x:v>
      </x:c>
      <x:c r="C1260" s="6" t="str">
        <x:f>IF(B1260="","Needs decision","Ready")</x:f>
        <x:v>Ready</x:v>
      </x:c>
      <x:c r="D1260" s="6" t="str">
        <x:v>平</x:v>
      </x:c>
      <x:c r="E1260" s="6" t="str"/>
      <x:c r="F1260" s="6" t="str"/>
      <x:c r="G1260" s="6" t="str"/>
      <x:c r="H1260" s="6" t="str"/>
      <x:c r="I1260" s="6" t="str">
        <x:v>Manual user correction/addition</x:v>
      </x:c>
      <x:c r="J1260" s="6" t="str">
        <x:f>IF(B1260="","",IF(AND(ISNUMBER(SEARCH("平",B1260)),OR(ISNUMBER(SEARCH("上",B1260)),ISNUMBER(SEARCH("去",B1260)),ISNUMBER(SEARCH("入",B1260)))),"Ambiguous",IF(ISNUMBER(SEARCH("平",B1260)),"平","仄")))</x:f>
        <x:v>平</x:v>
      </x:c>
      <x:c r="K1260" s="6" t="str">
        <x:f>IF(D1260="","",IF(AND(ISNUMBER(SEARCH("平",D1260)),OR(ISNUMBER(SEARCH("上",D1260)),ISNUMBER(SEARCH("去",D1260)),ISNUMBER(SEARCH("入",D1260)))),"Ambiguous",IF(ISNUMBER(SEARCH("平",D1260)),"平","仄")))</x:f>
        <x:v>平</x:v>
      </x:c>
      <x:c r="L1260" s="7" t="str">
        <x:v>manual user correction</x:v>
      </x:c>
    </x:row>
    <x:row r="1261">
      <x:c r="A1261" s="5" t="str">
        <x:v>徙</x:v>
      </x:c>
      <x:c r="B1261" s="6" t="str">
        <x:v>上</x:v>
      </x:c>
      <x:c r="C1261" s="6" t="str">
        <x:f>IF(B1261="","Needs decision","Ready")</x:f>
        <x:v>Ready</x:v>
      </x:c>
      <x:c r="D1261" s="6" t="str">
        <x:v>上</x:v>
      </x:c>
      <x:c r="E1261" s="6" t="str">
        <x:v>sjeX (B)</x:v>
      </x:c>
      <x:c r="F1261" s="6" t="str">
        <x:v>上聲四紙</x:v>
      </x:c>
      <x:c r="G1261" s="6" t="str">
        <x:v>Pingshui main list, Wikisource-derived DOCX</x:v>
      </x:c>
      <x:c r="H1261" s="6" t="str">
        <x:v>1</x:v>
      </x:c>
      <x:c r="I1261" s="6" t="str"/>
      <x:c r="J1261" s="6" t="str">
        <x:f>IF(B1261="","",IF(AND(ISNUMBER(SEARCH("平",B1261)),OR(ISNUMBER(SEARCH("上",B1261)),ISNUMBER(SEARCH("去",B1261)),ISNUMBER(SEARCH("入",B1261)))),"Ambiguous",IF(ISNUMBER(SEARCH("平",B1261)),"平","仄")))</x:f>
        <x:v>仄</x:v>
      </x:c>
      <x:c r="K1261" s="6" t="str">
        <x:f>IF(D1261="","",IF(AND(ISNUMBER(SEARCH("平",D1261)),OR(ISNUMBER(SEARCH("上",D1261)),ISNUMBER(SEARCH("去",D1261)),ISNUMBER(SEARCH("入",D1261)))),"Ambiguous",IF(ISNUMBER(SEARCH("平",D1261)),"平","仄")))</x:f>
        <x:v>仄</x:v>
      </x:c>
      <x:c r="L1261" s="7" t="str"/>
    </x:row>
    <x:row r="1262">
      <x:c r="A1262" s="5" t="str">
        <x:v>從</x:v>
      </x:c>
      <x:c r="B1262" s="6" t="str">
        <x:v>平</x:v>
      </x:c>
      <x:c r="C1262" s="6" t="str">
        <x:f>IF(B1262="","Needs decision","Ready")</x:f>
        <x:v>Ready</x:v>
      </x:c>
      <x:c r="D1262" s="6" t="str">
        <x:v>平/去</x:v>
      </x:c>
      <x:c r="E1262" s="6" t="str">
        <x:v>dzjowng (A); tsjowng (A); dzjowngH (C)</x:v>
      </x:c>
      <x:c r="F1262" s="6" t="str">
        <x:v>上平聲二冬; 去聲二宋</x:v>
      </x:c>
      <x:c r="G1262" s="6" t="str">
        <x:v>Pingshui main list, Wikisource-derived DOCX</x:v>
      </x:c>
      <x:c r="H1262" s="6" t="str">
        <x:v>3</x:v>
      </x:c>
      <x:c r="I1262" s="6" t="str"/>
      <x:c r="J1262" s="6" t="str">
        <x:f>IF(B1262="","",IF(AND(ISNUMBER(SEARCH("平",B1262)),OR(ISNUMBER(SEARCH("上",B1262)),ISNUMBER(SEARCH("去",B1262)),ISNUMBER(SEARCH("入",B1262)))),"Ambiguous",IF(ISNUMBER(SEARCH("平",B1262)),"平","仄")))</x:f>
        <x:v>平</x:v>
      </x:c>
      <x:c r="K1262" s="6" t="str">
        <x:f>IF(D1262="","",IF(AND(ISNUMBER(SEARCH("平",D1262)),OR(ISNUMBER(SEARCH("上",D1262)),ISNUMBER(SEARCH("去",D1262)),ISNUMBER(SEARCH("入",D1262)))),"Ambiguous",IF(ISNUMBER(SEARCH("平",D1262)),"平","仄")))</x:f>
        <x:v>Ambiguous</x:v>
      </x:c>
      <x:c r="L1262" s="7" t="str"/>
    </x:row>
    <x:row r="1263">
      <x:c r="A1263" s="5" t="str">
        <x:v>徠</x:v>
      </x:c>
      <x:c r="B1263" s="6" t="str">
        <x:v>平</x:v>
      </x:c>
      <x:c r="C1263" s="6" t="str">
        <x:f>IF(B1263="","Needs decision","Ready")</x:f>
        <x:v>Ready</x:v>
      </x:c>
      <x:c r="D1263" s="6" t="str">
        <x:v>平</x:v>
      </x:c>
      <x:c r="E1263" s="6" t="str"/>
      <x:c r="F1263" s="6" t="str">
        <x:v>上平聲十灰; 去聲十一隊</x:v>
      </x:c>
      <x:c r="G1263" s="6" t="str">
        <x:v>Pingshui main list, Wikisource-derived DOCX</x:v>
      </x:c>
      <x:c r="H1263" s="6" t="str"/>
      <x:c r="I1263" s="6" t="str">
        <x:v>Manual user correction/addition</x:v>
      </x:c>
      <x:c r="J1263" s="6" t="str">
        <x:f>IF(B1263="","",IF(AND(ISNUMBER(SEARCH("平",B1263)),OR(ISNUMBER(SEARCH("上",B1263)),ISNUMBER(SEARCH("去",B1263)),ISNUMBER(SEARCH("入",B1263)))),"Ambiguous",IF(ISNUMBER(SEARCH("平",B1263)),"平","仄")))</x:f>
        <x:v>平</x:v>
      </x:c>
      <x:c r="K1263" s="6" t="str">
        <x:f>IF(D1263="","",IF(AND(ISNUMBER(SEARCH("平",D1263)),OR(ISNUMBER(SEARCH("上",D1263)),ISNUMBER(SEARCH("去",D1263)),ISNUMBER(SEARCH("入",D1263)))),"Ambiguous",IF(ISNUMBER(SEARCH("平",D1263)),"平","仄")))</x:f>
        <x:v>平</x:v>
      </x:c>
      <x:c r="L1263" s="7" t="str">
        <x:v>manual user correction</x:v>
      </x:c>
    </x:row>
    <x:row r="1264">
      <x:c r="A1264" s="5" t="str">
        <x:v>御</x:v>
      </x:c>
      <x:c r="B1264" s="6" t="str">
        <x:v>去</x:v>
      </x:c>
      <x:c r="C1264" s="6" t="str">
        <x:f>IF(B1264="","Needs decision","Ready")</x:f>
        <x:v>Ready</x:v>
      </x:c>
      <x:c r="D1264" s="6" t="str">
        <x:v>上/去</x:v>
      </x:c>
      <x:c r="E1264" s="6" t="str">
        <x:v>ngjoX (B); ngjoH (C)</x:v>
      </x:c>
      <x:c r="F1264" s="6" t="str">
        <x:v>去聲六御</x:v>
      </x:c>
      <x:c r="G1264" s="6" t="str">
        <x:v>Pingshui main list, Wikisource-derived DOCX</x:v>
      </x:c>
      <x:c r="H1264" s="6" t="str">
        <x:v>2</x:v>
      </x:c>
      <x:c r="I1264" s="6" t="str">
        <x:v>User correction 2026-09-08</x:v>
      </x:c>
      <x:c r="J1264" s="6" t="str">
        <x:f>IF(B1264="","",IF(AND(ISNUMBER(SEARCH("平",B1264)),OR(ISNUMBER(SEARCH("上",B1264)),ISNUMBER(SEARCH("去",B1264)),ISNUMBER(SEARCH("入",B1264)))),"Ambiguous",IF(ISNUMBER(SEARCH("平",B1264)),"平","仄")))</x:f>
        <x:v>仄</x:v>
      </x:c>
      <x:c r="K1264" s="6" t="str">
        <x:f>IF(D1264="","",IF(AND(ISNUMBER(SEARCH("平",D1264)),OR(ISNUMBER(SEARCH("上",D1264)),ISNUMBER(SEARCH("去",D1264)),ISNUMBER(SEARCH("入",D1264)))),"Ambiguous",IF(ISNUMBER(SEARCH("平",D1264)),"平","仄")))</x:f>
        <x:v>仄</x:v>
      </x:c>
      <x:c r="L1264" s="7" t="str"/>
    </x:row>
    <x:row r="1265">
      <x:c r="A1265" s="5" t="str">
        <x:v>徧</x:v>
      </x:c>
      <x:c r="B1265" s="6" t="str">
        <x:v>去</x:v>
      </x:c>
      <x:c r="C1265" s="6" t="str">
        <x:f>IF(B1265="","Needs decision","Ready")</x:f>
        <x:v>Ready</x:v>
      </x:c>
      <x:c r="D1265" s="6" t="str">
        <x:v>去</x:v>
      </x:c>
      <x:c r="E1265" s="6" t="str">
        <x:v>penH (C)</x:v>
      </x:c>
      <x:c r="F1265" s="6" t="str"/>
      <x:c r="G1265" s="6" t="str"/>
      <x:c r="H1265" s="6" t="str">
        <x:v>1</x:v>
      </x:c>
      <x:c r="I1265" s="6" t="str"/>
      <x:c r="J1265" s="6" t="str">
        <x:f>IF(B1265="","",IF(AND(ISNUMBER(SEARCH("平",B1265)),OR(ISNUMBER(SEARCH("上",B1265)),ISNUMBER(SEARCH("去",B1265)),ISNUMBER(SEARCH("入",B1265)))),"Ambiguous",IF(ISNUMBER(SEARCH("平",B1265)),"平","仄")))</x:f>
        <x:v>仄</x:v>
      </x:c>
      <x:c r="K1265" s="6" t="str">
        <x:f>IF(D1265="","",IF(AND(ISNUMBER(SEARCH("平",D1265)),OR(ISNUMBER(SEARCH("上",D1265)),ISNUMBER(SEARCH("去",D1265)),ISNUMBER(SEARCH("入",D1265)))),"Ambiguous",IF(ISNUMBER(SEARCH("平",D1265)),"平","仄")))</x:f>
        <x:v>仄</x:v>
      </x:c>
      <x:c r="L1265" s="7" t="str"/>
    </x:row>
    <x:row r="1266">
      <x:c r="A1266" s="5" t="str">
        <x:v>徨</x:v>
      </x:c>
      <x:c r="B1266" s="6" t="str">
        <x:v>平</x:v>
      </x:c>
      <x:c r="C1266" s="6" t="str">
        <x:f>IF(B1266="","Needs decision","Ready")</x:f>
        <x:v>Ready</x:v>
      </x:c>
      <x:c r="D1266" s="6" t="str">
        <x:v>平</x:v>
      </x:c>
      <x:c r="E1266" s="6" t="str">
        <x:v>hwang (A)</x:v>
      </x:c>
      <x:c r="F1266" s="6" t="str">
        <x:v>下平聲七陽</x:v>
      </x:c>
      <x:c r="G1266" s="6" t="str">
        <x:v>Pingshui main list, Wikisource-derived DOCX</x:v>
      </x:c>
      <x:c r="H1266" s="6" t="str">
        <x:v>1</x:v>
      </x:c>
      <x:c r="I1266" s="6" t="str"/>
      <x:c r="J1266" s="6" t="str">
        <x:f>IF(B1266="","",IF(AND(ISNUMBER(SEARCH("平",B1266)),OR(ISNUMBER(SEARCH("上",B1266)),ISNUMBER(SEARCH("去",B1266)),ISNUMBER(SEARCH("入",B1266)))),"Ambiguous",IF(ISNUMBER(SEARCH("平",B1266)),"平","仄")))</x:f>
        <x:v>平</x:v>
      </x:c>
      <x:c r="K1266" s="6" t="str">
        <x:f>IF(D1266="","",IF(AND(ISNUMBER(SEARCH("平",D1266)),OR(ISNUMBER(SEARCH("上",D1266)),ISNUMBER(SEARCH("去",D1266)),ISNUMBER(SEARCH("入",D1266)))),"Ambiguous",IF(ISNUMBER(SEARCH("平",D1266)),"平","仄")))</x:f>
        <x:v>平</x:v>
      </x:c>
      <x:c r="L1266" s="7" t="str"/>
    </x:row>
    <x:row r="1267">
      <x:c r="A1267" s="5" t="str">
        <x:v>復</x:v>
      </x:c>
      <x:c r="B1267" s="6" t="str"/>
      <x:c r="C1267" s="6" t="str">
        <x:f>IF(B1267="","Needs decision","Ready")</x:f>
        <x:v>Needs decision</x:v>
      </x:c>
      <x:c r="D1267" s="6" t="str">
        <x:v>去/入</x:v>
      </x:c>
      <x:c r="E1267" s="6" t="str">
        <x:v>bjuwH (C); bjuwk (D)</x:v>
      </x:c>
      <x:c r="F1267" s="6" t="str">
        <x:v>去聲二十六宥; 入聲一屋</x:v>
      </x:c>
      <x:c r="G1267" s="6" t="str">
        <x:v>Pingshui main list, Wikisource-derived DOCX</x:v>
      </x:c>
      <x:c r="H1267" s="6" t="str">
        <x:v>2</x:v>
      </x:c>
      <x:c r="I1267" s="6" t="str"/>
      <x:c r="J1267" s="6" t="str">
        <x:f>IF(B1267="","",IF(AND(ISNUMBER(SEARCH("平",B1267)),OR(ISNUMBER(SEARCH("上",B1267)),ISNUMBER(SEARCH("去",B1267)),ISNUMBER(SEARCH("入",B1267)))),"Ambiguous",IF(ISNUMBER(SEARCH("平",B1267)),"平","仄")))</x:f>
      </x:c>
      <x:c r="K1267" s="6" t="str">
        <x:f>IF(D1267="","",IF(AND(ISNUMBER(SEARCH("平",D1267)),OR(ISNUMBER(SEARCH("上",D1267)),ISNUMBER(SEARCH("去",D1267)),ISNUMBER(SEARCH("入",D1267)))),"Ambiguous",IF(ISNUMBER(SEARCH("平",D1267)),"平","仄")))</x:f>
        <x:v>仄</x:v>
      </x:c>
      <x:c r="L1267" s="7" t="str"/>
    </x:row>
    <x:row r="1268">
      <x:c r="A1268" s="5" t="str">
        <x:v>循</x:v>
      </x:c>
      <x:c r="B1268" s="6" t="str">
        <x:v>平</x:v>
      </x:c>
      <x:c r="C1268" s="6" t="str">
        <x:f>IF(B1268="","Needs decision","Ready")</x:f>
        <x:v>Ready</x:v>
      </x:c>
      <x:c r="D1268" s="6" t="str">
        <x:v>平</x:v>
      </x:c>
      <x:c r="E1268" s="6" t="str">
        <x:v>zwin (A)</x:v>
      </x:c>
      <x:c r="F1268" s="6" t="str">
        <x:v>上平聲十一真</x:v>
      </x:c>
      <x:c r="G1268" s="6" t="str">
        <x:v>Pingshui main list, Wikisource-derived DOCX</x:v>
      </x:c>
      <x:c r="H1268" s="6" t="str">
        <x:v>1</x:v>
      </x:c>
      <x:c r="I1268" s="6" t="str"/>
      <x:c r="J1268" s="6" t="str">
        <x:f>IF(B1268="","",IF(AND(ISNUMBER(SEARCH("平",B1268)),OR(ISNUMBER(SEARCH("上",B1268)),ISNUMBER(SEARCH("去",B1268)),ISNUMBER(SEARCH("入",B1268)))),"Ambiguous",IF(ISNUMBER(SEARCH("平",B1268)),"平","仄")))</x:f>
        <x:v>平</x:v>
      </x:c>
      <x:c r="K1268" s="6" t="str">
        <x:f>IF(D1268="","",IF(AND(ISNUMBER(SEARCH("平",D1268)),OR(ISNUMBER(SEARCH("上",D1268)),ISNUMBER(SEARCH("去",D1268)),ISNUMBER(SEARCH("入",D1268)))),"Ambiguous",IF(ISNUMBER(SEARCH("平",D1268)),"平","仄")))</x:f>
        <x:v>平</x:v>
      </x:c>
      <x:c r="L1268" s="7" t="str"/>
    </x:row>
    <x:row r="1269">
      <x:c r="A1269" s="5" t="str">
        <x:v>徬</x:v>
      </x:c>
      <x:c r="B1269" s="6" t="str">
        <x:v>平</x:v>
      </x:c>
      <x:c r="C1269" s="6" t="str">
        <x:f>IF(B1269="","Needs decision","Ready")</x:f>
        <x:v>Ready</x:v>
      </x:c>
      <x:c r="D1269" s="6" t="str">
        <x:v>平</x:v>
      </x:c>
      <x:c r="E1269" s="6" t="str">
        <x:v>bang (A)</x:v>
      </x:c>
      <x:c r="F1269" s="6" t="str">
        <x:v>去聲二十三漾</x:v>
      </x:c>
      <x:c r="G1269" s="6" t="str">
        <x:v>Pingshui main list, Wikisource-derived DOCX</x:v>
      </x:c>
      <x:c r="H1269" s="6" t="str">
        <x:v>1</x:v>
      </x:c>
      <x:c r="I1269" s="6" t="str"/>
      <x:c r="J1269" s="6" t="str">
        <x:f>IF(B1269="","",IF(AND(ISNUMBER(SEARCH("平",B1269)),OR(ISNUMBER(SEARCH("上",B1269)),ISNUMBER(SEARCH("去",B1269)),ISNUMBER(SEARCH("入",B1269)))),"Ambiguous",IF(ISNUMBER(SEARCH("平",B1269)),"平","仄")))</x:f>
        <x:v>平</x:v>
      </x:c>
      <x:c r="K1269" s="6" t="str">
        <x:f>IF(D1269="","",IF(AND(ISNUMBER(SEARCH("平",D1269)),OR(ISNUMBER(SEARCH("上",D1269)),ISNUMBER(SEARCH("去",D1269)),ISNUMBER(SEARCH("入",D1269)))),"Ambiguous",IF(ISNUMBER(SEARCH("平",D1269)),"平","仄")))</x:f>
        <x:v>平</x:v>
      </x:c>
      <x:c r="L1269" s="7" t="str"/>
    </x:row>
    <x:row r="1270">
      <x:c r="A1270" s="5" t="str">
        <x:v>徭</x:v>
      </x:c>
      <x:c r="B1270" s="6" t="str">
        <x:v>平</x:v>
      </x:c>
      <x:c r="C1270" s="6" t="str">
        <x:f>IF(B1270="","Needs decision","Ready")</x:f>
        <x:v>Ready</x:v>
      </x:c>
      <x:c r="D1270" s="6" t="str">
        <x:v>平</x:v>
      </x:c>
      <x:c r="E1270" s="6" t="str">
        <x:v>yew (A)</x:v>
      </x:c>
      <x:c r="F1270" s="6" t="str"/>
      <x:c r="G1270" s="6" t="str"/>
      <x:c r="H1270" s="6" t="str">
        <x:v>1</x:v>
      </x:c>
      <x:c r="I1270" s="6" t="str"/>
      <x:c r="J1270" s="6" t="str">
        <x:f>IF(B1270="","",IF(AND(ISNUMBER(SEARCH("平",B1270)),OR(ISNUMBER(SEARCH("上",B1270)),ISNUMBER(SEARCH("去",B1270)),ISNUMBER(SEARCH("入",B1270)))),"Ambiguous",IF(ISNUMBER(SEARCH("平",B1270)),"平","仄")))</x:f>
        <x:v>平</x:v>
      </x:c>
      <x:c r="K1270" s="6" t="str">
        <x:f>IF(D1270="","",IF(AND(ISNUMBER(SEARCH("平",D1270)),OR(ISNUMBER(SEARCH("上",D1270)),ISNUMBER(SEARCH("去",D1270)),ISNUMBER(SEARCH("入",D1270)))),"Ambiguous",IF(ISNUMBER(SEARCH("平",D1270)),"平","仄")))</x:f>
        <x:v>平</x:v>
      </x:c>
      <x:c r="L1270" s="7" t="str"/>
    </x:row>
    <x:row r="1271">
      <x:c r="A1271" s="5" t="str">
        <x:v>微</x:v>
      </x:c>
      <x:c r="B1271" s="6" t="str">
        <x:v>平</x:v>
      </x:c>
      <x:c r="C1271" s="6" t="str">
        <x:f>IF(B1271="","Needs decision","Ready")</x:f>
        <x:v>Ready</x:v>
      </x:c>
      <x:c r="D1271" s="6" t="str">
        <x:v>平</x:v>
      </x:c>
      <x:c r="E1271" s="6" t="str">
        <x:v>mj+j (A)</x:v>
      </x:c>
      <x:c r="F1271" s="6" t="str">
        <x:v>上平聲五微</x:v>
      </x:c>
      <x:c r="G1271" s="6" t="str">
        <x:v>Pingshui main list, Wikisource-derived DOCX</x:v>
      </x:c>
      <x:c r="H1271" s="6" t="str">
        <x:v>1</x:v>
      </x:c>
      <x:c r="I1271" s="6" t="str"/>
      <x:c r="J1271" s="6" t="str">
        <x:f>IF(B1271="","",IF(AND(ISNUMBER(SEARCH("平",B1271)),OR(ISNUMBER(SEARCH("上",B1271)),ISNUMBER(SEARCH("去",B1271)),ISNUMBER(SEARCH("入",B1271)))),"Ambiguous",IF(ISNUMBER(SEARCH("平",B1271)),"平","仄")))</x:f>
        <x:v>平</x:v>
      </x:c>
      <x:c r="K1271" s="6" t="str">
        <x:f>IF(D1271="","",IF(AND(ISNUMBER(SEARCH("平",D1271)),OR(ISNUMBER(SEARCH("上",D1271)),ISNUMBER(SEARCH("去",D1271)),ISNUMBER(SEARCH("入",D1271)))),"Ambiguous",IF(ISNUMBER(SEARCH("平",D1271)),"平","仄")))</x:f>
        <x:v>平</x:v>
      </x:c>
      <x:c r="L1271" s="7" t="str"/>
    </x:row>
    <x:row r="1272">
      <x:c r="A1272" s="5" t="str">
        <x:v>徵</x:v>
      </x:c>
      <x:c r="B1272" s="6" t="str">
        <x:v>平</x:v>
      </x:c>
      <x:c r="C1272" s="6" t="str">
        <x:f>IF(B1272="","Needs decision","Ready")</x:f>
        <x:v>Ready</x:v>
      </x:c>
      <x:c r="D1272" s="6" t="str">
        <x:v>平</x:v>
      </x:c>
      <x:c r="E1272" s="6" t="str">
        <x:v>tring (A)</x:v>
      </x:c>
      <x:c r="F1272" s="6" t="str">
        <x:v>下平聲十蒸; 上聲四紙</x:v>
      </x:c>
      <x:c r="G1272" s="6" t="str">
        <x:v>Pingshui main list, Wikisource-derived DOCX</x:v>
      </x:c>
      <x:c r="H1272" s="6" t="str">
        <x:v>1</x:v>
      </x:c>
      <x:c r="I1272" s="6" t="str"/>
      <x:c r="J1272" s="6" t="str">
        <x:f>IF(B1272="","",IF(AND(ISNUMBER(SEARCH("平",B1272)),OR(ISNUMBER(SEARCH("上",B1272)),ISNUMBER(SEARCH("去",B1272)),ISNUMBER(SEARCH("入",B1272)))),"Ambiguous",IF(ISNUMBER(SEARCH("平",B1272)),"平","仄")))</x:f>
        <x:v>平</x:v>
      </x:c>
      <x:c r="K1272" s="6" t="str">
        <x:f>IF(D1272="","",IF(AND(ISNUMBER(SEARCH("平",D1272)),OR(ISNUMBER(SEARCH("上",D1272)),ISNUMBER(SEARCH("去",D1272)),ISNUMBER(SEARCH("入",D1272)))),"Ambiguous",IF(ISNUMBER(SEARCH("平",D1272)),"平","仄")))</x:f>
        <x:v>平</x:v>
      </x:c>
      <x:c r="L1272" s="7" t="str"/>
    </x:row>
    <x:row r="1273">
      <x:c r="A1273" s="5" t="str">
        <x:v>德</x:v>
      </x:c>
      <x:c r="B1273" s="6" t="str">
        <x:v>入</x:v>
      </x:c>
      <x:c r="C1273" s="6" t="str">
        <x:f>IF(B1273="","Needs decision","Ready")</x:f>
        <x:v>Ready</x:v>
      </x:c>
      <x:c r="D1273" s="6" t="str">
        <x:v>入</x:v>
      </x:c>
      <x:c r="E1273" s="6" t="str">
        <x:v>tok (D)</x:v>
      </x:c>
      <x:c r="F1273" s="6" t="str">
        <x:v>去聲四寘; 入聲十三職</x:v>
      </x:c>
      <x:c r="G1273" s="6" t="str">
        <x:v>Pingshui main list, Wikisource-derived DOCX</x:v>
      </x:c>
      <x:c r="H1273" s="6" t="str">
        <x:v>1</x:v>
      </x:c>
      <x:c r="I1273" s="6" t="str"/>
      <x:c r="J1273" s="6" t="str">
        <x:f>IF(B1273="","",IF(AND(ISNUMBER(SEARCH("平",B1273)),OR(ISNUMBER(SEARCH("上",B1273)),ISNUMBER(SEARCH("去",B1273)),ISNUMBER(SEARCH("入",B1273)))),"Ambiguous",IF(ISNUMBER(SEARCH("平",B1273)),"平","仄")))</x:f>
        <x:v>仄</x:v>
      </x:c>
      <x:c r="K1273" s="6" t="str">
        <x:f>IF(D1273="","",IF(AND(ISNUMBER(SEARCH("平",D1273)),OR(ISNUMBER(SEARCH("上",D1273)),ISNUMBER(SEARCH("去",D1273)),ISNUMBER(SEARCH("入",D1273)))),"Ambiguous",IF(ISNUMBER(SEARCH("平",D1273)),"平","仄")))</x:f>
        <x:v>仄</x:v>
      </x:c>
      <x:c r="L1273" s="7" t="str"/>
    </x:row>
    <x:row r="1274">
      <x:c r="A1274" s="5" t="str">
        <x:v>徹</x:v>
      </x:c>
      <x:c r="B1274" s="6" t="str">
        <x:v>入</x:v>
      </x:c>
      <x:c r="C1274" s="6" t="str">
        <x:f>IF(B1274="","Needs decision","Ready")</x:f>
        <x:v>Ready</x:v>
      </x:c>
      <x:c r="D1274" s="6" t="str">
        <x:v>入</x:v>
      </x:c>
      <x:c r="E1274" s="6" t="str">
        <x:v>drjet (D); trhjet (D)</x:v>
      </x:c>
      <x:c r="F1274" s="6" t="str">
        <x:v>入聲九屑</x:v>
      </x:c>
      <x:c r="G1274" s="6" t="str">
        <x:v>Pingshui main list, Wikisource-derived DOCX</x:v>
      </x:c>
      <x:c r="H1274" s="6" t="str">
        <x:v>2</x:v>
      </x:c>
      <x:c r="I1274" s="6" t="str"/>
      <x:c r="J1274" s="6" t="str">
        <x:f>IF(B1274="","",IF(AND(ISNUMBER(SEARCH("平",B1274)),OR(ISNUMBER(SEARCH("上",B1274)),ISNUMBER(SEARCH("去",B1274)),ISNUMBER(SEARCH("入",B1274)))),"Ambiguous",IF(ISNUMBER(SEARCH("平",B1274)),"平","仄")))</x:f>
        <x:v>仄</x:v>
      </x:c>
      <x:c r="K1274" s="6" t="str">
        <x:f>IF(D1274="","",IF(AND(ISNUMBER(SEARCH("平",D1274)),OR(ISNUMBER(SEARCH("上",D1274)),ISNUMBER(SEARCH("去",D1274)),ISNUMBER(SEARCH("入",D1274)))),"Ambiguous",IF(ISNUMBER(SEARCH("平",D1274)),"平","仄")))</x:f>
        <x:v>仄</x:v>
      </x:c>
      <x:c r="L1274" s="7" t="str"/>
    </x:row>
    <x:row r="1275">
      <x:c r="A1275" s="5" t="str">
        <x:v>徼</x:v>
      </x:c>
      <x:c r="B1275" s="6" t="str"/>
      <x:c r="C1275" s="6" t="str">
        <x:f>IF(B1275="","Needs decision","Ready")</x:f>
        <x:v>Needs decision</x:v>
      </x:c>
      <x:c r="D1275" s="6" t="str">
        <x:v>平/去</x:v>
      </x:c>
      <x:c r="E1275" s="6" t="str">
        <x:v>kew (A); kewH (C)</x:v>
      </x:c>
      <x:c r="F1275" s="6" t="str">
        <x:v>下平聲二蕭; 去聲十八嘯</x:v>
      </x:c>
      <x:c r="G1275" s="6" t="str">
        <x:v>Pingshui main list, Wikisource-derived DOCX</x:v>
      </x:c>
      <x:c r="H1275" s="6" t="str">
        <x:v>2</x:v>
      </x:c>
      <x:c r="I1275" s="6" t="str"/>
      <x:c r="J1275" s="6" t="str">
        <x:f>IF(B1275="","",IF(AND(ISNUMBER(SEARCH("平",B1275)),OR(ISNUMBER(SEARCH("上",B1275)),ISNUMBER(SEARCH("去",B1275)),ISNUMBER(SEARCH("入",B1275)))),"Ambiguous",IF(ISNUMBER(SEARCH("平",B1275)),"平","仄")))</x:f>
      </x:c>
      <x:c r="K1275" s="6" t="str">
        <x:f>IF(D1275="","",IF(AND(ISNUMBER(SEARCH("平",D1275)),OR(ISNUMBER(SEARCH("上",D1275)),ISNUMBER(SEARCH("去",D1275)),ISNUMBER(SEARCH("入",D1275)))),"Ambiguous",IF(ISNUMBER(SEARCH("平",D1275)),"平","仄")))</x:f>
        <x:v>Ambiguous</x:v>
      </x:c>
      <x:c r="L1275" s="7" t="str"/>
    </x:row>
    <x:row r="1276">
      <x:c r="A1276" s="5" t="str">
        <x:v>徽</x:v>
      </x:c>
      <x:c r="B1276" s="6" t="str">
        <x:v>平</x:v>
      </x:c>
      <x:c r="C1276" s="6" t="str">
        <x:f>IF(B1276="","Needs decision","Ready")</x:f>
        <x:v>Ready</x:v>
      </x:c>
      <x:c r="D1276" s="6" t="str">
        <x:v>平</x:v>
      </x:c>
      <x:c r="E1276" s="6" t="str">
        <x:v>xjw+j (A)</x:v>
      </x:c>
      <x:c r="F1276" s="6" t="str">
        <x:v>上平聲五微</x:v>
      </x:c>
      <x:c r="G1276" s="6" t="str">
        <x:v>Pingshui main list, Wikisource-derived DOCX</x:v>
      </x:c>
      <x:c r="H1276" s="6" t="str">
        <x:v>1</x:v>
      </x:c>
      <x:c r="I1276" s="6" t="str"/>
      <x:c r="J1276" s="6" t="str">
        <x:f>IF(B1276="","",IF(AND(ISNUMBER(SEARCH("平",B1276)),OR(ISNUMBER(SEARCH("上",B1276)),ISNUMBER(SEARCH("去",B1276)),ISNUMBER(SEARCH("入",B1276)))),"Ambiguous",IF(ISNUMBER(SEARCH("平",B1276)),"平","仄")))</x:f>
        <x:v>平</x:v>
      </x:c>
      <x:c r="K1276" s="6" t="str">
        <x:f>IF(D1276="","",IF(AND(ISNUMBER(SEARCH("平",D1276)),OR(ISNUMBER(SEARCH("上",D1276)),ISNUMBER(SEARCH("去",D1276)),ISNUMBER(SEARCH("入",D1276)))),"Ambiguous",IF(ISNUMBER(SEARCH("平",D1276)),"平","仄")))</x:f>
        <x:v>平</x:v>
      </x:c>
      <x:c r="L1276" s="7" t="str"/>
    </x:row>
    <x:row r="1277">
      <x:c r="A1277" s="5" t="str">
        <x:v>心</x:v>
      </x:c>
      <x:c r="B1277" s="6" t="str">
        <x:v>平</x:v>
      </x:c>
      <x:c r="C1277" s="6" t="str">
        <x:f>IF(B1277="","Needs decision","Ready")</x:f>
        <x:v>Ready</x:v>
      </x:c>
      <x:c r="D1277" s="6" t="str">
        <x:v>平</x:v>
      </x:c>
      <x:c r="E1277" s="6" t="str">
        <x:v>sim (A)</x:v>
      </x:c>
      <x:c r="F1277" s="6" t="str">
        <x:v>下平聲十二侵</x:v>
      </x:c>
      <x:c r="G1277" s="6" t="str">
        <x:v>Pingshui main list, Wikisource-derived DOCX</x:v>
      </x:c>
      <x:c r="H1277" s="6" t="str">
        <x:v>1</x:v>
      </x:c>
      <x:c r="I1277" s="6" t="str"/>
      <x:c r="J1277" s="6" t="str">
        <x:f>IF(B1277="","",IF(AND(ISNUMBER(SEARCH("平",B1277)),OR(ISNUMBER(SEARCH("上",B1277)),ISNUMBER(SEARCH("去",B1277)),ISNUMBER(SEARCH("入",B1277)))),"Ambiguous",IF(ISNUMBER(SEARCH("平",B1277)),"平","仄")))</x:f>
        <x:v>平</x:v>
      </x:c>
      <x:c r="K1277" s="6" t="str">
        <x:f>IF(D1277="","",IF(AND(ISNUMBER(SEARCH("平",D1277)),OR(ISNUMBER(SEARCH("上",D1277)),ISNUMBER(SEARCH("去",D1277)),ISNUMBER(SEARCH("入",D1277)))),"Ambiguous",IF(ISNUMBER(SEARCH("平",D1277)),"平","仄")))</x:f>
        <x:v>平</x:v>
      </x:c>
      <x:c r="L1277" s="7" t="str"/>
    </x:row>
    <x:row r="1278">
      <x:c r="A1278" s="5" t="str">
        <x:v>必</x:v>
      </x:c>
      <x:c r="B1278" s="6" t="str">
        <x:v>入</x:v>
      </x:c>
      <x:c r="C1278" s="6" t="str">
        <x:f>IF(B1278="","Needs decision","Ready")</x:f>
        <x:v>Ready</x:v>
      </x:c>
      <x:c r="D1278" s="6" t="str">
        <x:v>入</x:v>
      </x:c>
      <x:c r="E1278" s="6" t="str">
        <x:v>pjit (D)</x:v>
      </x:c>
      <x:c r="F1278" s="6" t="str">
        <x:v>入聲四質</x:v>
      </x:c>
      <x:c r="G1278" s="6" t="str">
        <x:v>Pingshui main list, Wikisource-derived DOCX</x:v>
      </x:c>
      <x:c r="H1278" s="6" t="str">
        <x:v>1</x:v>
      </x:c>
      <x:c r="I1278" s="6" t="str"/>
      <x:c r="J1278" s="6" t="str">
        <x:f>IF(B1278="","",IF(AND(ISNUMBER(SEARCH("平",B1278)),OR(ISNUMBER(SEARCH("上",B1278)),ISNUMBER(SEARCH("去",B1278)),ISNUMBER(SEARCH("入",B1278)))),"Ambiguous",IF(ISNUMBER(SEARCH("平",B1278)),"平","仄")))</x:f>
        <x:v>仄</x:v>
      </x:c>
      <x:c r="K1278" s="6" t="str">
        <x:f>IF(D1278="","",IF(AND(ISNUMBER(SEARCH("平",D1278)),OR(ISNUMBER(SEARCH("上",D1278)),ISNUMBER(SEARCH("去",D1278)),ISNUMBER(SEARCH("入",D1278)))),"Ambiguous",IF(ISNUMBER(SEARCH("平",D1278)),"平","仄")))</x:f>
        <x:v>仄</x:v>
      </x:c>
      <x:c r="L1278" s="7" t="str"/>
    </x:row>
    <x:row r="1279">
      <x:c r="A1279" s="5" t="str">
        <x:v>忌</x:v>
      </x:c>
      <x:c r="B1279" s="6" t="str">
        <x:v>去</x:v>
      </x:c>
      <x:c r="C1279" s="6" t="str">
        <x:f>IF(B1279="","Needs decision","Ready")</x:f>
        <x:v>Ready</x:v>
      </x:c>
      <x:c r="D1279" s="6" t="str">
        <x:v>去</x:v>
      </x:c>
      <x:c r="E1279" s="6" t="str">
        <x:v>giH (C)</x:v>
      </x:c>
      <x:c r="F1279" s="6" t="str">
        <x:v>去聲四寘</x:v>
      </x:c>
      <x:c r="G1279" s="6" t="str">
        <x:v>Pingshui main list, Wikisource-derived DOCX</x:v>
      </x:c>
      <x:c r="H1279" s="6" t="str">
        <x:v>1</x:v>
      </x:c>
      <x:c r="I1279" s="6" t="str"/>
      <x:c r="J1279" s="6" t="str">
        <x:f>IF(B1279="","",IF(AND(ISNUMBER(SEARCH("平",B1279)),OR(ISNUMBER(SEARCH("上",B1279)),ISNUMBER(SEARCH("去",B1279)),ISNUMBER(SEARCH("入",B1279)))),"Ambiguous",IF(ISNUMBER(SEARCH("平",B1279)),"平","仄")))</x:f>
        <x:v>仄</x:v>
      </x:c>
      <x:c r="K1279" s="6" t="str">
        <x:f>IF(D1279="","",IF(AND(ISNUMBER(SEARCH("平",D1279)),OR(ISNUMBER(SEARCH("上",D1279)),ISNUMBER(SEARCH("去",D1279)),ISNUMBER(SEARCH("入",D1279)))),"Ambiguous",IF(ISNUMBER(SEARCH("平",D1279)),"平","仄")))</x:f>
        <x:v>仄</x:v>
      </x:c>
      <x:c r="L1279" s="7" t="str"/>
    </x:row>
    <x:row r="1280">
      <x:c r="A1280" s="5" t="str">
        <x:v>忍</x:v>
      </x:c>
      <x:c r="B1280" s="6" t="str">
        <x:v>上</x:v>
      </x:c>
      <x:c r="C1280" s="6" t="str">
        <x:f>IF(B1280="","Needs decision","Ready")</x:f>
        <x:v>Ready</x:v>
      </x:c>
      <x:c r="D1280" s="6" t="str">
        <x:v>上</x:v>
      </x:c>
      <x:c r="E1280" s="6" t="str">
        <x:v>nyinX (B)</x:v>
      </x:c>
      <x:c r="F1280" s="6" t="str">
        <x:v>上聲十一軫</x:v>
      </x:c>
      <x:c r="G1280" s="6" t="str">
        <x:v>Pingshui main list, Wikisource-derived DOCX</x:v>
      </x:c>
      <x:c r="H1280" s="6" t="str">
        <x:v>1</x:v>
      </x:c>
      <x:c r="I1280" s="6" t="str"/>
      <x:c r="J1280" s="6" t="str">
        <x:f>IF(B1280="","",IF(AND(ISNUMBER(SEARCH("平",B1280)),OR(ISNUMBER(SEARCH("上",B1280)),ISNUMBER(SEARCH("去",B1280)),ISNUMBER(SEARCH("入",B1280)))),"Ambiguous",IF(ISNUMBER(SEARCH("平",B1280)),"平","仄")))</x:f>
        <x:v>仄</x:v>
      </x:c>
      <x:c r="K1280" s="6" t="str">
        <x:f>IF(D1280="","",IF(AND(ISNUMBER(SEARCH("平",D1280)),OR(ISNUMBER(SEARCH("上",D1280)),ISNUMBER(SEARCH("去",D1280)),ISNUMBER(SEARCH("入",D1280)))),"Ambiguous",IF(ISNUMBER(SEARCH("平",D1280)),"平","仄")))</x:f>
        <x:v>仄</x:v>
      </x:c>
      <x:c r="L1280" s="7" t="str"/>
    </x:row>
    <x:row r="1281">
      <x:c r="A1281" s="5" t="str">
        <x:v>忒</x:v>
      </x:c>
      <x:c r="B1281" s="6" t="str">
        <x:v>入</x:v>
      </x:c>
      <x:c r="C1281" s="6" t="str">
        <x:f>IF(B1281="","Needs decision","Ready")</x:f>
        <x:v>Ready</x:v>
      </x:c>
      <x:c r="D1281" s="6" t="str">
        <x:v>入</x:v>
      </x:c>
      <x:c r="E1281" s="6" t="str">
        <x:v>thok (D)</x:v>
      </x:c>
      <x:c r="F1281" s="6" t="str">
        <x:v>入聲十三職</x:v>
      </x:c>
      <x:c r="G1281" s="6" t="str">
        <x:v>Pingshui main list, Wikisource-derived DOCX</x:v>
      </x:c>
      <x:c r="H1281" s="6" t="str">
        <x:v>1</x:v>
      </x:c>
      <x:c r="I1281" s="6" t="str"/>
      <x:c r="J1281" s="6" t="str">
        <x:f>IF(B1281="","",IF(AND(ISNUMBER(SEARCH("平",B1281)),OR(ISNUMBER(SEARCH("上",B1281)),ISNUMBER(SEARCH("去",B1281)),ISNUMBER(SEARCH("入",B1281)))),"Ambiguous",IF(ISNUMBER(SEARCH("平",B1281)),"平","仄")))</x:f>
        <x:v>仄</x:v>
      </x:c>
      <x:c r="K1281" s="6" t="str">
        <x:f>IF(D1281="","",IF(AND(ISNUMBER(SEARCH("平",D1281)),OR(ISNUMBER(SEARCH("上",D1281)),ISNUMBER(SEARCH("去",D1281)),ISNUMBER(SEARCH("入",D1281)))),"Ambiguous",IF(ISNUMBER(SEARCH("平",D1281)),"平","仄")))</x:f>
        <x:v>仄</x:v>
      </x:c>
      <x:c r="L1281" s="7" t="str"/>
    </x:row>
    <x:row r="1282">
      <x:c r="A1282" s="5" t="str">
        <x:v>忖</x:v>
      </x:c>
      <x:c r="B1282" s="6" t="str">
        <x:v>上</x:v>
      </x:c>
      <x:c r="C1282" s="6" t="str">
        <x:f>IF(B1282="","Needs decision","Ready")</x:f>
        <x:v>Ready</x:v>
      </x:c>
      <x:c r="D1282" s="6" t="str">
        <x:v>上</x:v>
      </x:c>
      <x:c r="E1282" s="6" t="str">
        <x:v>tshwonX (B)</x:v>
      </x:c>
      <x:c r="F1282" s="6" t="str"/>
      <x:c r="G1282" s="6" t="str"/>
      <x:c r="H1282" s="6" t="str">
        <x:v>1</x:v>
      </x:c>
      <x:c r="I1282" s="6" t="str"/>
      <x:c r="J1282" s="6" t="str">
        <x:f>IF(B1282="","",IF(AND(ISNUMBER(SEARCH("平",B1282)),OR(ISNUMBER(SEARCH("上",B1282)),ISNUMBER(SEARCH("去",B1282)),ISNUMBER(SEARCH("入",B1282)))),"Ambiguous",IF(ISNUMBER(SEARCH("平",B1282)),"平","仄")))</x:f>
        <x:v>仄</x:v>
      </x:c>
      <x:c r="K1282" s="6" t="str">
        <x:f>IF(D1282="","",IF(AND(ISNUMBER(SEARCH("平",D1282)),OR(ISNUMBER(SEARCH("上",D1282)),ISNUMBER(SEARCH("去",D1282)),ISNUMBER(SEARCH("入",D1282)))),"Ambiguous",IF(ISNUMBER(SEARCH("平",D1282)),"平","仄")))</x:f>
        <x:v>仄</x:v>
      </x:c>
      <x:c r="L1282" s="7" t="str"/>
    </x:row>
    <x:row r="1283">
      <x:c r="A1283" s="5" t="str">
        <x:v>志</x:v>
      </x:c>
      <x:c r="B1283" s="6" t="str">
        <x:v>去</x:v>
      </x:c>
      <x:c r="C1283" s="6" t="str">
        <x:f>IF(B1283="","Needs decision","Ready")</x:f>
        <x:v>Ready</x:v>
      </x:c>
      <x:c r="D1283" s="6" t="str">
        <x:v>去</x:v>
      </x:c>
      <x:c r="E1283" s="6" t="str">
        <x:v>tsyiH (C)</x:v>
      </x:c>
      <x:c r="F1283" s="6" t="str">
        <x:v>去聲四寘</x:v>
      </x:c>
      <x:c r="G1283" s="6" t="str">
        <x:v>Pingshui main list, Wikisource-derived DOCX</x:v>
      </x:c>
      <x:c r="H1283" s="6" t="str">
        <x:v>1</x:v>
      </x:c>
      <x:c r="I1283" s="6" t="str"/>
      <x:c r="J1283" s="6" t="str">
        <x:f>IF(B1283="","",IF(AND(ISNUMBER(SEARCH("平",B1283)),OR(ISNUMBER(SEARCH("上",B1283)),ISNUMBER(SEARCH("去",B1283)),ISNUMBER(SEARCH("入",B1283)))),"Ambiguous",IF(ISNUMBER(SEARCH("平",B1283)),"平","仄")))</x:f>
        <x:v>仄</x:v>
      </x:c>
      <x:c r="K1283" s="6" t="str">
        <x:f>IF(D1283="","",IF(AND(ISNUMBER(SEARCH("平",D1283)),OR(ISNUMBER(SEARCH("上",D1283)),ISNUMBER(SEARCH("去",D1283)),ISNUMBER(SEARCH("入",D1283)))),"Ambiguous",IF(ISNUMBER(SEARCH("平",D1283)),"平","仄")))</x:f>
        <x:v>仄</x:v>
      </x:c>
      <x:c r="L1283" s="7" t="str"/>
    </x:row>
    <x:row r="1284">
      <x:c r="A1284" s="5" t="str">
        <x:v>忘</x:v>
      </x:c>
      <x:c r="B1284" s="6" t="str">
        <x:v>去</x:v>
      </x:c>
      <x:c r="C1284" s="6" t="str">
        <x:f>IF(B1284="","Needs decision","Ready")</x:f>
        <x:v>Ready</x:v>
      </x:c>
      <x:c r="D1284" s="6" t="str">
        <x:v>平/去</x:v>
      </x:c>
      <x:c r="E1284" s="6" t="str">
        <x:v>mjang (A); mjangH (C)</x:v>
      </x:c>
      <x:c r="F1284" s="6" t="str">
        <x:v>下平聲七陽; 去聲二十三漾</x:v>
      </x:c>
      <x:c r="G1284" s="6" t="str">
        <x:v>Pingshui main list, Wikisource-derived DOCX</x:v>
      </x:c>
      <x:c r="H1284" s="6" t="str">
        <x:v>2</x:v>
      </x:c>
      <x:c r="I1284" s="6" t="str"/>
      <x:c r="J1284" s="6" t="str">
        <x:f>IF(B1284="","",IF(AND(ISNUMBER(SEARCH("平",B1284)),OR(ISNUMBER(SEARCH("上",B1284)),ISNUMBER(SEARCH("去",B1284)),ISNUMBER(SEARCH("入",B1284)))),"Ambiguous",IF(ISNUMBER(SEARCH("平",B1284)),"平","仄")))</x:f>
        <x:v>仄</x:v>
      </x:c>
      <x:c r="K1284" s="6" t="str">
        <x:f>IF(D1284="","",IF(AND(ISNUMBER(SEARCH("平",D1284)),OR(ISNUMBER(SEARCH("上",D1284)),ISNUMBER(SEARCH("去",D1284)),ISNUMBER(SEARCH("入",D1284)))),"Ambiguous",IF(ISNUMBER(SEARCH("平",D1284)),"平","仄")))</x:f>
        <x:v>Ambiguous</x:v>
      </x:c>
      <x:c r="L1284" s="7" t="str"/>
    </x:row>
    <x:row r="1285">
      <x:c r="A1285" s="5" t="str">
        <x:v>忙</x:v>
      </x:c>
      <x:c r="B1285" s="6" t="str">
        <x:v>平</x:v>
      </x:c>
      <x:c r="C1285" s="6" t="str">
        <x:f>IF(B1285="","Needs decision","Ready")</x:f>
        <x:v>Ready</x:v>
      </x:c>
      <x:c r="D1285" s="6" t="str">
        <x:v>平</x:v>
      </x:c>
      <x:c r="E1285" s="6" t="str">
        <x:v>mang (A)</x:v>
      </x:c>
      <x:c r="F1285" s="6" t="str">
        <x:v>下平聲七陽</x:v>
      </x:c>
      <x:c r="G1285" s="6" t="str">
        <x:v>Pingshui main list, Wikisource-derived DOCX</x:v>
      </x:c>
      <x:c r="H1285" s="6" t="str">
        <x:v>1</x:v>
      </x:c>
      <x:c r="I1285" s="6" t="str"/>
      <x:c r="J1285" s="6" t="str">
        <x:f>IF(B1285="","",IF(AND(ISNUMBER(SEARCH("平",B1285)),OR(ISNUMBER(SEARCH("上",B1285)),ISNUMBER(SEARCH("去",B1285)),ISNUMBER(SEARCH("入",B1285)))),"Ambiguous",IF(ISNUMBER(SEARCH("平",B1285)),"平","仄")))</x:f>
        <x:v>平</x:v>
      </x:c>
      <x:c r="K1285" s="6" t="str">
        <x:f>IF(D1285="","",IF(AND(ISNUMBER(SEARCH("平",D1285)),OR(ISNUMBER(SEARCH("上",D1285)),ISNUMBER(SEARCH("去",D1285)),ISNUMBER(SEARCH("入",D1285)))),"Ambiguous",IF(ISNUMBER(SEARCH("平",D1285)),"平","仄")))</x:f>
        <x:v>平</x:v>
      </x:c>
      <x:c r="L1285" s="7" t="str"/>
    </x:row>
    <x:row r="1286">
      <x:c r="A1286" s="5" t="str">
        <x:v>忝</x:v>
      </x:c>
      <x:c r="B1286" s="6" t="str"/>
      <x:c r="C1286" s="6" t="str">
        <x:f>IF(B1286="","Needs decision","Ready")</x:f>
        <x:v>Needs decision</x:v>
      </x:c>
      <x:c r="D1286" s="6" t="str">
        <x:v>上/去</x:v>
      </x:c>
      <x:c r="E1286" s="6" t="str">
        <x:v>themX (B); themH (C)</x:v>
      </x:c>
      <x:c r="F1286" s="6" t="str">
        <x:v>上聲二十八琰; 去聲二十九豔</x:v>
      </x:c>
      <x:c r="G1286" s="6" t="str">
        <x:v>Pingshui main list, Wikisource-derived DOCX</x:v>
      </x:c>
      <x:c r="H1286" s="6" t="str">
        <x:v>2</x:v>
      </x:c>
      <x:c r="I1286" s="6" t="str"/>
      <x:c r="J1286" s="6" t="str">
        <x:f>IF(B1286="","",IF(AND(ISNUMBER(SEARCH("平",B1286)),OR(ISNUMBER(SEARCH("上",B1286)),ISNUMBER(SEARCH("去",B1286)),ISNUMBER(SEARCH("入",B1286)))),"Ambiguous",IF(ISNUMBER(SEARCH("平",B1286)),"平","仄")))</x:f>
      </x:c>
      <x:c r="K1286" s="6" t="str">
        <x:f>IF(D1286="","",IF(AND(ISNUMBER(SEARCH("平",D1286)),OR(ISNUMBER(SEARCH("上",D1286)),ISNUMBER(SEARCH("去",D1286)),ISNUMBER(SEARCH("入",D1286)))),"Ambiguous",IF(ISNUMBER(SEARCH("平",D1286)),"平","仄")))</x:f>
        <x:v>仄</x:v>
      </x:c>
      <x:c r="L1286" s="7" t="str"/>
    </x:row>
    <x:row r="1287">
      <x:c r="A1287" s="5" t="str">
        <x:v>忠</x:v>
      </x:c>
      <x:c r="B1287" s="6" t="str">
        <x:v>平</x:v>
      </x:c>
      <x:c r="C1287" s="6" t="str">
        <x:f>IF(B1287="","Needs decision","Ready")</x:f>
        <x:v>Ready</x:v>
      </x:c>
      <x:c r="D1287" s="6" t="str">
        <x:v>平</x:v>
      </x:c>
      <x:c r="E1287" s="6" t="str">
        <x:v>trjuwng (A)</x:v>
      </x:c>
      <x:c r="F1287" s="6" t="str">
        <x:v>上平聲一東</x:v>
      </x:c>
      <x:c r="G1287" s="6" t="str">
        <x:v>Pingshui main list, Wikisource-derived DOCX</x:v>
      </x:c>
      <x:c r="H1287" s="6" t="str">
        <x:v>1</x:v>
      </x:c>
      <x:c r="I1287" s="6" t="str"/>
      <x:c r="J1287" s="6" t="str">
        <x:f>IF(B1287="","",IF(AND(ISNUMBER(SEARCH("平",B1287)),OR(ISNUMBER(SEARCH("上",B1287)),ISNUMBER(SEARCH("去",B1287)),ISNUMBER(SEARCH("入",B1287)))),"Ambiguous",IF(ISNUMBER(SEARCH("平",B1287)),"平","仄")))</x:f>
        <x:v>平</x:v>
      </x:c>
      <x:c r="K1287" s="6" t="str">
        <x:f>IF(D1287="","",IF(AND(ISNUMBER(SEARCH("平",D1287)),OR(ISNUMBER(SEARCH("上",D1287)),ISNUMBER(SEARCH("去",D1287)),ISNUMBER(SEARCH("入",D1287)))),"Ambiguous",IF(ISNUMBER(SEARCH("平",D1287)),"平","仄")))</x:f>
        <x:v>平</x:v>
      </x:c>
      <x:c r="L1287" s="7" t="str"/>
    </x:row>
    <x:row r="1288">
      <x:c r="A1288" s="5" t="str">
        <x:v>忡</x:v>
      </x:c>
      <x:c r="B1288" s="6" t="str">
        <x:v>平</x:v>
      </x:c>
      <x:c r="C1288" s="6" t="str">
        <x:f>IF(B1288="","Needs decision","Ready")</x:f>
        <x:v>Ready</x:v>
      </x:c>
      <x:c r="D1288" s="6" t="str">
        <x:v>平</x:v>
      </x:c>
      <x:c r="E1288" s="6" t="str">
        <x:v>trhjuwng (A)</x:v>
      </x:c>
      <x:c r="F1288" s="6" t="str">
        <x:v>上平聲一東</x:v>
      </x:c>
      <x:c r="G1288" s="6" t="str">
        <x:v>Pingshui main list, Wikisource-derived DOCX</x:v>
      </x:c>
      <x:c r="H1288" s="6" t="str">
        <x:v>1</x:v>
      </x:c>
      <x:c r="I1288" s="6" t="str"/>
      <x:c r="J1288" s="6" t="str">
        <x:f>IF(B1288="","",IF(AND(ISNUMBER(SEARCH("平",B1288)),OR(ISNUMBER(SEARCH("上",B1288)),ISNUMBER(SEARCH("去",B1288)),ISNUMBER(SEARCH("入",B1288)))),"Ambiguous",IF(ISNUMBER(SEARCH("平",B1288)),"平","仄")))</x:f>
        <x:v>平</x:v>
      </x:c>
      <x:c r="K1288" s="6" t="str">
        <x:f>IF(D1288="","",IF(AND(ISNUMBER(SEARCH("平",D1288)),OR(ISNUMBER(SEARCH("上",D1288)),ISNUMBER(SEARCH("去",D1288)),ISNUMBER(SEARCH("入",D1288)))),"Ambiguous",IF(ISNUMBER(SEARCH("平",D1288)),"平","仄")))</x:f>
        <x:v>平</x:v>
      </x:c>
      <x:c r="L1288" s="7" t="str"/>
    </x:row>
    <x:row r="1289">
      <x:c r="A1289" s="5" t="str">
        <x:v>忤</x:v>
      </x:c>
      <x:c r="B1289" s="6" t="str">
        <x:v>去</x:v>
      </x:c>
      <x:c r="C1289" s="6" t="str">
        <x:f>IF(B1289="","Needs decision","Ready")</x:f>
        <x:v>Ready</x:v>
      </x:c>
      <x:c r="D1289" s="6" t="str">
        <x:v>去</x:v>
      </x:c>
      <x:c r="E1289" s="6" t="str"/>
      <x:c r="F1289" s="6" t="str">
        <x:v>去聲七遇</x:v>
      </x:c>
      <x:c r="G1289" s="6" t="str">
        <x:v>Pingshui main list, Wikisource-derived DOCX</x:v>
      </x:c>
      <x:c r="H1289" s="6" t="str">
        <x:v>0</x:v>
      </x:c>
      <x:c r="I1289" s="6" t="str">
        <x:v>User correction 2026-09-08; added manually</x:v>
      </x:c>
      <x:c r="J1289" s="6" t="str">
        <x:f>IF(B1289="","",IF(AND(ISNUMBER(SEARCH("平",B1289)),OR(ISNUMBER(SEARCH("上",B1289)),ISNUMBER(SEARCH("去",B1289)),ISNUMBER(SEARCH("入",B1289)))),"Ambiguous",IF(ISNUMBER(SEARCH("平",B1289)),"平","仄")))</x:f>
        <x:v>仄</x:v>
      </x:c>
      <x:c r="K1289" s="6" t="str">
        <x:f>IF(D1289="","",IF(AND(ISNUMBER(SEARCH("平",D1289)),OR(ISNUMBER(SEARCH("上",D1289)),ISNUMBER(SEARCH("去",D1289)),ISNUMBER(SEARCH("入",D1289)))),"Ambiguous",IF(ISNUMBER(SEARCH("平",D1289)),"平","仄")))</x:f>
        <x:v>仄</x:v>
      </x:c>
      <x:c r="L1289" s="7" t="str">
        <x:v>User correction</x:v>
      </x:c>
    </x:row>
    <x:row r="1290">
      <x:c r="A1290" s="5" t="str">
        <x:v>快</x:v>
      </x:c>
      <x:c r="B1290" s="6" t="str">
        <x:v>去</x:v>
      </x:c>
      <x:c r="C1290" s="6" t="str">
        <x:f>IF(B1290="","Needs decision","Ready")</x:f>
        <x:v>Ready</x:v>
      </x:c>
      <x:c r="D1290" s="6" t="str">
        <x:v>去</x:v>
      </x:c>
      <x:c r="E1290" s="6" t="str">
        <x:v>khwaejH (C)</x:v>
      </x:c>
      <x:c r="F1290" s="6" t="str">
        <x:v>去聲十卦</x:v>
      </x:c>
      <x:c r="G1290" s="6" t="str">
        <x:v>Pingshui main list, Wikisource-derived DOCX</x:v>
      </x:c>
      <x:c r="H1290" s="6" t="str">
        <x:v>1</x:v>
      </x:c>
      <x:c r="I1290" s="6" t="str"/>
      <x:c r="J1290" s="6" t="str">
        <x:f>IF(B1290="","",IF(AND(ISNUMBER(SEARCH("平",B1290)),OR(ISNUMBER(SEARCH("上",B1290)),ISNUMBER(SEARCH("去",B1290)),ISNUMBER(SEARCH("入",B1290)))),"Ambiguous",IF(ISNUMBER(SEARCH("平",B1290)),"平","仄")))</x:f>
        <x:v>仄</x:v>
      </x:c>
      <x:c r="K1290" s="6" t="str">
        <x:f>IF(D1290="","",IF(AND(ISNUMBER(SEARCH("平",D1290)),OR(ISNUMBER(SEARCH("上",D1290)),ISNUMBER(SEARCH("去",D1290)),ISNUMBER(SEARCH("入",D1290)))),"Ambiguous",IF(ISNUMBER(SEARCH("平",D1290)),"平","仄")))</x:f>
        <x:v>仄</x:v>
      </x:c>
      <x:c r="L1290" s="7" t="str"/>
    </x:row>
    <x:row r="1291">
      <x:c r="A1291" s="5" t="str">
        <x:v>忱</x:v>
      </x:c>
      <x:c r="B1291" s="6" t="str">
        <x:v>平</x:v>
      </x:c>
      <x:c r="C1291" s="6" t="str">
        <x:f>IF(B1291="","Needs decision","Ready")</x:f>
        <x:v>Ready</x:v>
      </x:c>
      <x:c r="D1291" s="6" t="str">
        <x:v>平</x:v>
      </x:c>
      <x:c r="E1291" s="6" t="str">
        <x:v>dzyim (A)</x:v>
      </x:c>
      <x:c r="F1291" s="6" t="str">
        <x:v>下平聲十二侵</x:v>
      </x:c>
      <x:c r="G1291" s="6" t="str">
        <x:v>Pingshui main list, Wikisource-derived DOCX</x:v>
      </x:c>
      <x:c r="H1291" s="6" t="str">
        <x:v>1</x:v>
      </x:c>
      <x:c r="I1291" s="6" t="str"/>
      <x:c r="J1291" s="6" t="str">
        <x:f>IF(B1291="","",IF(AND(ISNUMBER(SEARCH("平",B1291)),OR(ISNUMBER(SEARCH("上",B1291)),ISNUMBER(SEARCH("去",B1291)),ISNUMBER(SEARCH("入",B1291)))),"Ambiguous",IF(ISNUMBER(SEARCH("平",B1291)),"平","仄")))</x:f>
        <x:v>平</x:v>
      </x:c>
      <x:c r="K1291" s="6" t="str">
        <x:f>IF(D1291="","",IF(AND(ISNUMBER(SEARCH("平",D1291)),OR(ISNUMBER(SEARCH("上",D1291)),ISNUMBER(SEARCH("去",D1291)),ISNUMBER(SEARCH("入",D1291)))),"Ambiguous",IF(ISNUMBER(SEARCH("平",D1291)),"平","仄")))</x:f>
        <x:v>平</x:v>
      </x:c>
      <x:c r="L1291" s="7" t="str"/>
    </x:row>
    <x:row r="1292">
      <x:c r="A1292" s="5" t="str">
        <x:v>念</x:v>
      </x:c>
      <x:c r="B1292" s="6" t="str">
        <x:v>去</x:v>
      </x:c>
      <x:c r="C1292" s="6" t="str">
        <x:f>IF(B1292="","Needs decision","Ready")</x:f>
        <x:v>Ready</x:v>
      </x:c>
      <x:c r="D1292" s="6" t="str">
        <x:v>去</x:v>
      </x:c>
      <x:c r="E1292" s="6" t="str">
        <x:v>nemH (C)</x:v>
      </x:c>
      <x:c r="F1292" s="6" t="str">
        <x:v>去聲二十九豔</x:v>
      </x:c>
      <x:c r="G1292" s="6" t="str">
        <x:v>Pingshui main list, Wikisource-derived DOCX</x:v>
      </x:c>
      <x:c r="H1292" s="6" t="str">
        <x:v>1</x:v>
      </x:c>
      <x:c r="I1292" s="6" t="str"/>
      <x:c r="J1292" s="6" t="str">
        <x:f>IF(B1292="","",IF(AND(ISNUMBER(SEARCH("平",B1292)),OR(ISNUMBER(SEARCH("上",B1292)),ISNUMBER(SEARCH("去",B1292)),ISNUMBER(SEARCH("入",B1292)))),"Ambiguous",IF(ISNUMBER(SEARCH("平",B1292)),"平","仄")))</x:f>
        <x:v>仄</x:v>
      </x:c>
      <x:c r="K1292" s="6" t="str">
        <x:f>IF(D1292="","",IF(AND(ISNUMBER(SEARCH("平",D1292)),OR(ISNUMBER(SEARCH("上",D1292)),ISNUMBER(SEARCH("去",D1292)),ISNUMBER(SEARCH("入",D1292)))),"Ambiguous",IF(ISNUMBER(SEARCH("平",D1292)),"平","仄")))</x:f>
        <x:v>仄</x:v>
      </x:c>
      <x:c r="L1292" s="7" t="str"/>
    </x:row>
    <x:row r="1293">
      <x:c r="A1293" s="5" t="str">
        <x:v>忻</x:v>
      </x:c>
      <x:c r="B1293" s="6" t="str">
        <x:v>平</x:v>
      </x:c>
      <x:c r="C1293" s="6" t="str">
        <x:f>IF(B1293="","Needs decision","Ready")</x:f>
        <x:v>Ready</x:v>
      </x:c>
      <x:c r="D1293" s="6" t="str">
        <x:v>平</x:v>
      </x:c>
      <x:c r="E1293" s="6" t="str">
        <x:v>xj+n [曉開三C殷平] xɨn</x:v>
      </x:c>
      <x:c r="F1293" s="6" t="str"/>
      <x:c r="G1293" s="6" t="str"/>
      <x:c r="H1293" s="6" t="str">
        <x:v>1</x:v>
      </x:c>
      <x:c r="I1293" s="6" t="str">
        <x:v>Targeted preliminary fill from Xun Gong; review if uncertain</x:v>
      </x:c>
      <x:c r="J1293" s="6" t="str">
        <x:f>IF(B1293="","",IF(AND(ISNUMBER(SEARCH("平",B1293)),OR(ISNUMBER(SEARCH("上",B1293)),ISNUMBER(SEARCH("去",B1293)),ISNUMBER(SEARCH("入",B1293)))),"Ambiguous",IF(ISNUMBER(SEARCH("平",B1293)),"平","仄")))</x:f>
        <x:v>平</x:v>
      </x:c>
      <x:c r="K1293" s="6" t="str">
        <x:f>IF(D1293="","",IF(AND(ISNUMBER(SEARCH("平",D1293)),OR(ISNUMBER(SEARCH("上",D1293)),ISNUMBER(SEARCH("去",D1293)),ISNUMBER(SEARCH("入",D1293)))),"Ambiguous",IF(ISNUMBER(SEARCH("平",D1293)),"平","仄")))</x:f>
        <x:v>平</x:v>
      </x:c>
      <x:c r="L1293" s="7" t="str">
        <x:v>Xun Gong character-readings.csv</x:v>
      </x:c>
    </x:row>
    <x:row r="1294">
      <x:c r="A1294" s="5" t="str">
        <x:v>忽</x:v>
      </x:c>
      <x:c r="B1294" s="6" t="str">
        <x:v>入</x:v>
      </x:c>
      <x:c r="C1294" s="6" t="str">
        <x:f>IF(B1294="","Needs decision","Ready")</x:f>
        <x:v>Ready</x:v>
      </x:c>
      <x:c r="D1294" s="6" t="str">
        <x:v>入</x:v>
      </x:c>
      <x:c r="E1294" s="6" t="str">
        <x:v>xwot (D)</x:v>
      </x:c>
      <x:c r="F1294" s="6" t="str">
        <x:v>入聲六月</x:v>
      </x:c>
      <x:c r="G1294" s="6" t="str">
        <x:v>Pingshui main list, Wikisource-derived DOCX</x:v>
      </x:c>
      <x:c r="H1294" s="6" t="str">
        <x:v>1</x:v>
      </x:c>
      <x:c r="I1294" s="6" t="str"/>
      <x:c r="J1294" s="6" t="str">
        <x:f>IF(B1294="","",IF(AND(ISNUMBER(SEARCH("平",B1294)),OR(ISNUMBER(SEARCH("上",B1294)),ISNUMBER(SEARCH("去",B1294)),ISNUMBER(SEARCH("入",B1294)))),"Ambiguous",IF(ISNUMBER(SEARCH("平",B1294)),"平","仄")))</x:f>
        <x:v>仄</x:v>
      </x:c>
      <x:c r="K1294" s="6" t="str">
        <x:f>IF(D1294="","",IF(AND(ISNUMBER(SEARCH("平",D1294)),OR(ISNUMBER(SEARCH("上",D1294)),ISNUMBER(SEARCH("去",D1294)),ISNUMBER(SEARCH("入",D1294)))),"Ambiguous",IF(ISNUMBER(SEARCH("平",D1294)),"平","仄")))</x:f>
        <x:v>仄</x:v>
      </x:c>
      <x:c r="L1294" s="7" t="str"/>
    </x:row>
    <x:row r="1295">
      <x:c r="A1295" s="5" t="str">
        <x:v>怒</x:v>
      </x:c>
      <x:c r="B1295" s="6" t="str">
        <x:v>去</x:v>
      </x:c>
      <x:c r="C1295" s="6" t="str">
        <x:f>IF(B1295="","Needs decision","Ready")</x:f>
        <x:v>Ready</x:v>
      </x:c>
      <x:c r="D1295" s="6" t="str">
        <x:v>上/去</x:v>
      </x:c>
      <x:c r="E1295" s="6" t="str">
        <x:v>nuX (B); nuH (C)</x:v>
      </x:c>
      <x:c r="F1295" s="6" t="str">
        <x:v>上聲七麌; 去聲七遇</x:v>
      </x:c>
      <x:c r="G1295" s="6" t="str">
        <x:v>Pingshui main list, Wikisource-derived DOCX</x:v>
      </x:c>
      <x:c r="H1295" s="6" t="str">
        <x:v>2</x:v>
      </x:c>
      <x:c r="I1295" s="6" t="str"/>
      <x:c r="J1295" s="6" t="str">
        <x:f>IF(B1295="","",IF(AND(ISNUMBER(SEARCH("平",B1295)),OR(ISNUMBER(SEARCH("上",B1295)),ISNUMBER(SEARCH("去",B1295)),ISNUMBER(SEARCH("入",B1295)))),"Ambiguous",IF(ISNUMBER(SEARCH("平",B1295)),"平","仄")))</x:f>
        <x:v>仄</x:v>
      </x:c>
      <x:c r="K1295" s="6" t="str">
        <x:f>IF(D1295="","",IF(AND(ISNUMBER(SEARCH("平",D1295)),OR(ISNUMBER(SEARCH("上",D1295)),ISNUMBER(SEARCH("去",D1295)),ISNUMBER(SEARCH("入",D1295)))),"Ambiguous",IF(ISNUMBER(SEARCH("平",D1295)),"平","仄")))</x:f>
        <x:v>仄</x:v>
      </x:c>
      <x:c r="L1295" s="7" t="str"/>
    </x:row>
    <x:row r="1296">
      <x:c r="A1296" s="5" t="str">
        <x:v>怕</x:v>
      </x:c>
      <x:c r="B1296" s="6" t="str"/>
      <x:c r="C1296" s="6" t="str">
        <x:f>IF(B1296="","Needs decision","Ready")</x:f>
        <x:v>Needs decision</x:v>
      </x:c>
      <x:c r="D1296" s="6" t="str">
        <x:v>去/入</x:v>
      </x:c>
      <x:c r="E1296" s="6" t="str">
        <x:v>phaeH [p̙ʰaˤh] (去); phaek [p̙ʰaˤk] (入)</x:v>
      </x:c>
      <x:c r="F1296" s="6" t="str">
        <x:v>去聲二十二禡</x:v>
      </x:c>
      <x:c r="G1296" s="6" t="str">
        <x:v>Pingshui main list, Wikisource-derived DOCX</x:v>
      </x:c>
      <x:c r="H1296" s="6" t="str">
        <x:v>2</x:v>
      </x:c>
      <x:c r="I1296" s="6" t="str">
        <x:v>Tang 300 gap; frequency 1; ambiguous in Xun Gong</x:v>
      </x:c>
      <x:c r="J1296" s="6" t="str">
        <x:f>IF(B1296="","",IF(AND(ISNUMBER(SEARCH("平",B1296)),OR(ISNUMBER(SEARCH("上",B1296)),ISNUMBER(SEARCH("去",B1296)),ISNUMBER(SEARCH("入",B1296)))),"Ambiguous",IF(ISNUMBER(SEARCH("平",B1296)),"平","仄")))</x:f>
      </x:c>
      <x:c r="K1296" s="6" t="str">
        <x:f>IF(D1296="","",IF(AND(ISNUMBER(SEARCH("平",D1296)),OR(ISNUMBER(SEARCH("上",D1296)),ISNUMBER(SEARCH("去",D1296)),ISNUMBER(SEARCH("入",D1296)))),"Ambiguous",IF(ISNUMBER(SEARCH("平",D1296)),"平","仄")))</x:f>
        <x:v>仄</x:v>
      </x:c>
      <x:c r="L1296" s="7" t="str">
        <x:v>Xun Gong, Tang 300 gap fill</x:v>
      </x:c>
    </x:row>
    <x:row r="1297">
      <x:c r="A1297" s="5" t="str">
        <x:v>怖</x:v>
      </x:c>
      <x:c r="B1297" s="6" t="str">
        <x:v>去</x:v>
      </x:c>
      <x:c r="C1297" s="6" t="str">
        <x:f>IF(B1297="","Needs decision","Ready")</x:f>
        <x:v>Ready</x:v>
      </x:c>
      <x:c r="D1297" s="6" t="str">
        <x:v>去</x:v>
      </x:c>
      <x:c r="E1297" s="6" t="str">
        <x:v>phuH [滂一模去] p̙ʰoh</x:v>
      </x:c>
      <x:c r="F1297" s="6" t="str">
        <x:v>去聲七遇</x:v>
      </x:c>
      <x:c r="G1297" s="6" t="str">
        <x:v>Pingshui main list, Wikisource-derived DOCX</x:v>
      </x:c>
      <x:c r="H1297" s="6" t="str">
        <x:v>1</x:v>
      </x:c>
      <x:c r="I1297" s="6" t="str">
        <x:v>Targeted preliminary fill from Xun Gong; review if uncertain</x:v>
      </x:c>
      <x:c r="J1297" s="6" t="str">
        <x:f>IF(B1297="","",IF(AND(ISNUMBER(SEARCH("平",B1297)),OR(ISNUMBER(SEARCH("上",B1297)),ISNUMBER(SEARCH("去",B1297)),ISNUMBER(SEARCH("入",B1297)))),"Ambiguous",IF(ISNUMBER(SEARCH("平",B1297)),"平","仄")))</x:f>
        <x:v>仄</x:v>
      </x:c>
      <x:c r="K1297" s="6" t="str">
        <x:f>IF(D1297="","",IF(AND(ISNUMBER(SEARCH("平",D1297)),OR(ISNUMBER(SEARCH("上",D1297)),ISNUMBER(SEARCH("去",D1297)),ISNUMBER(SEARCH("入",D1297)))),"Ambiguous",IF(ISNUMBER(SEARCH("平",D1297)),"平","仄")))</x:f>
        <x:v>仄</x:v>
      </x:c>
      <x:c r="L1297" s="7" t="str">
        <x:v>Xun Gong character-readings.csv</x:v>
      </x:c>
    </x:row>
    <x:row r="1298">
      <x:c r="A1298" s="5" t="str">
        <x:v>怗</x:v>
      </x:c>
      <x:c r="B1298" s="6" t="str">
        <x:v>入</x:v>
      </x:c>
      <x:c r="C1298" s="6" t="str">
        <x:f>IF(B1298="","Needs decision","Ready")</x:f>
        <x:v>Ready</x:v>
      </x:c>
      <x:c r="D1298" s="6" t="str">
        <x:v>入</x:v>
      </x:c>
      <x:c r="E1298" s="6" t="str">
        <x:v>thep (D)</x:v>
      </x:c>
      <x:c r="F1298" s="6" t="str"/>
      <x:c r="G1298" s="6" t="str"/>
      <x:c r="H1298" s="6" t="str">
        <x:v>1</x:v>
      </x:c>
      <x:c r="I1298" s="6" t="str"/>
      <x:c r="J1298" s="6" t="str">
        <x:f>IF(B1298="","",IF(AND(ISNUMBER(SEARCH("平",B1298)),OR(ISNUMBER(SEARCH("上",B1298)),ISNUMBER(SEARCH("去",B1298)),ISNUMBER(SEARCH("入",B1298)))),"Ambiguous",IF(ISNUMBER(SEARCH("平",B1298)),"平","仄")))</x:f>
        <x:v>仄</x:v>
      </x:c>
      <x:c r="K1298" s="6" t="str">
        <x:f>IF(D1298="","",IF(AND(ISNUMBER(SEARCH("平",D1298)),OR(ISNUMBER(SEARCH("上",D1298)),ISNUMBER(SEARCH("去",D1298)),ISNUMBER(SEARCH("入",D1298)))),"Ambiguous",IF(ISNUMBER(SEARCH("平",D1298)),"平","仄")))</x:f>
        <x:v>仄</x:v>
      </x:c>
      <x:c r="L1298" s="7" t="str"/>
    </x:row>
    <x:row r="1299">
      <x:c r="A1299" s="5" t="str">
        <x:v>怛</x:v>
      </x:c>
      <x:c r="B1299" s="6" t="str">
        <x:v>入</x:v>
      </x:c>
      <x:c r="C1299" s="6" t="str">
        <x:f>IF(B1299="","Needs decision","Ready")</x:f>
        <x:v>Ready</x:v>
      </x:c>
      <x:c r="D1299" s="6" t="str">
        <x:v>入</x:v>
      </x:c>
      <x:c r="E1299" s="6" t="str">
        <x:v>tat (D)</x:v>
      </x:c>
      <x:c r="F1299" s="6" t="str">
        <x:v>入聲七曷</x:v>
      </x:c>
      <x:c r="G1299" s="6" t="str">
        <x:v>Pingshui main list, Wikisource-derived DOCX</x:v>
      </x:c>
      <x:c r="H1299" s="6" t="str">
        <x:v>1</x:v>
      </x:c>
      <x:c r="I1299" s="6" t="str"/>
      <x:c r="J1299" s="6" t="str">
        <x:f>IF(B1299="","",IF(AND(ISNUMBER(SEARCH("平",B1299)),OR(ISNUMBER(SEARCH("上",B1299)),ISNUMBER(SEARCH("去",B1299)),ISNUMBER(SEARCH("入",B1299)))),"Ambiguous",IF(ISNUMBER(SEARCH("平",B1299)),"平","仄")))</x:f>
        <x:v>仄</x:v>
      </x:c>
      <x:c r="K1299" s="6" t="str">
        <x:f>IF(D1299="","",IF(AND(ISNUMBER(SEARCH("平",D1299)),OR(ISNUMBER(SEARCH("上",D1299)),ISNUMBER(SEARCH("去",D1299)),ISNUMBER(SEARCH("入",D1299)))),"Ambiguous",IF(ISNUMBER(SEARCH("平",D1299)),"平","仄")))</x:f>
        <x:v>仄</x:v>
      </x:c>
      <x:c r="L1299" s="7" t="str"/>
    </x:row>
    <x:row r="1300">
      <x:c r="A1300" s="5" t="str">
        <x:v>思</x:v>
      </x:c>
      <x:c r="B1300" s="6" t="str">
        <x:v>平</x:v>
      </x:c>
      <x:c r="C1300" s="6" t="str">
        <x:f>IF(B1300="","Needs decision","Ready")</x:f>
        <x:v>Ready</x:v>
      </x:c>
      <x:c r="D1300" s="6" t="str">
        <x:v>平</x:v>
      </x:c>
      <x:c r="E1300" s="6" t="str">
        <x:v>si (A)</x:v>
      </x:c>
      <x:c r="F1300" s="6" t="str">
        <x:v>上平聲四支; 去聲四寘</x:v>
      </x:c>
      <x:c r="G1300" s="6" t="str">
        <x:v>Pingshui main list, Wikisource-derived DOCX</x:v>
      </x:c>
      <x:c r="H1300" s="6" t="str">
        <x:v>1</x:v>
      </x:c>
      <x:c r="I1300" s="6" t="str"/>
      <x:c r="J1300" s="6" t="str">
        <x:f>IF(B1300="","",IF(AND(ISNUMBER(SEARCH("平",B1300)),OR(ISNUMBER(SEARCH("上",B1300)),ISNUMBER(SEARCH("去",B1300)),ISNUMBER(SEARCH("入",B1300)))),"Ambiguous",IF(ISNUMBER(SEARCH("平",B1300)),"平","仄")))</x:f>
        <x:v>平</x:v>
      </x:c>
      <x:c r="K1300" s="6" t="str">
        <x:f>IF(D1300="","",IF(AND(ISNUMBER(SEARCH("平",D1300)),OR(ISNUMBER(SEARCH("上",D1300)),ISNUMBER(SEARCH("去",D1300)),ISNUMBER(SEARCH("入",D1300)))),"Ambiguous",IF(ISNUMBER(SEARCH("平",D1300)),"平","仄")))</x:f>
        <x:v>平</x:v>
      </x:c>
      <x:c r="L1300" s="7" t="str"/>
    </x:row>
    <x:row r="1301">
      <x:c r="A1301" s="5" t="str">
        <x:v>怠</x:v>
      </x:c>
      <x:c r="B1301" s="6" t="str">
        <x:v>上</x:v>
      </x:c>
      <x:c r="C1301" s="6" t="str">
        <x:f>IF(B1301="","Needs decision","Ready")</x:f>
        <x:v>Ready</x:v>
      </x:c>
      <x:c r="D1301" s="6" t="str">
        <x:v>上</x:v>
      </x:c>
      <x:c r="E1301" s="6" t="str">
        <x:v>dojX (B)</x:v>
      </x:c>
      <x:c r="F1301" s="6" t="str">
        <x:v>上聲十賄</x:v>
      </x:c>
      <x:c r="G1301" s="6" t="str">
        <x:v>Pingshui main list, Wikisource-derived DOCX</x:v>
      </x:c>
      <x:c r="H1301" s="6" t="str">
        <x:v>1</x:v>
      </x:c>
      <x:c r="I1301" s="6" t="str"/>
      <x:c r="J1301" s="6" t="str">
        <x:f>IF(B1301="","",IF(AND(ISNUMBER(SEARCH("平",B1301)),OR(ISNUMBER(SEARCH("上",B1301)),ISNUMBER(SEARCH("去",B1301)),ISNUMBER(SEARCH("入",B1301)))),"Ambiguous",IF(ISNUMBER(SEARCH("平",B1301)),"平","仄")))</x:f>
        <x:v>仄</x:v>
      </x:c>
      <x:c r="K1301" s="6" t="str">
        <x:f>IF(D1301="","",IF(AND(ISNUMBER(SEARCH("平",D1301)),OR(ISNUMBER(SEARCH("上",D1301)),ISNUMBER(SEARCH("去",D1301)),ISNUMBER(SEARCH("入",D1301)))),"Ambiguous",IF(ISNUMBER(SEARCH("平",D1301)),"平","仄")))</x:f>
        <x:v>仄</x:v>
      </x:c>
      <x:c r="L1301" s="7" t="str"/>
    </x:row>
    <x:row r="1302">
      <x:c r="A1302" s="5" t="str">
        <x:v>怡</x:v>
      </x:c>
      <x:c r="B1302" s="6" t="str">
        <x:v>平</x:v>
      </x:c>
      <x:c r="C1302" s="6" t="str">
        <x:f>IF(B1302="","Needs decision","Ready")</x:f>
        <x:v>Ready</x:v>
      </x:c>
      <x:c r="D1302" s="6" t="str">
        <x:v>平</x:v>
      </x:c>
      <x:c r="E1302" s="6" t="str">
        <x:v>yi (A)</x:v>
      </x:c>
      <x:c r="F1302" s="6" t="str">
        <x:v>上平聲四支</x:v>
      </x:c>
      <x:c r="G1302" s="6" t="str">
        <x:v>Pingshui main list, Wikisource-derived DOCX</x:v>
      </x:c>
      <x:c r="H1302" s="6" t="str">
        <x:v>1</x:v>
      </x:c>
      <x:c r="I1302" s="6" t="str"/>
      <x:c r="J1302" s="6" t="str">
        <x:f>IF(B1302="","",IF(AND(ISNUMBER(SEARCH("平",B1302)),OR(ISNUMBER(SEARCH("上",B1302)),ISNUMBER(SEARCH("去",B1302)),ISNUMBER(SEARCH("入",B1302)))),"Ambiguous",IF(ISNUMBER(SEARCH("平",B1302)),"平","仄")))</x:f>
        <x:v>平</x:v>
      </x:c>
      <x:c r="K1302" s="6" t="str">
        <x:f>IF(D1302="","",IF(AND(ISNUMBER(SEARCH("平",D1302)),OR(ISNUMBER(SEARCH("上",D1302)),ISNUMBER(SEARCH("去",D1302)),ISNUMBER(SEARCH("入",D1302)))),"Ambiguous",IF(ISNUMBER(SEARCH("平",D1302)),"平","仄")))</x:f>
        <x:v>平</x:v>
      </x:c>
      <x:c r="L1302" s="7" t="str"/>
    </x:row>
    <x:row r="1303">
      <x:c r="A1303" s="5" t="str">
        <x:v>急</x:v>
      </x:c>
      <x:c r="B1303" s="6" t="str">
        <x:v>入</x:v>
      </x:c>
      <x:c r="C1303" s="6" t="str">
        <x:f>IF(B1303="","Needs decision","Ready")</x:f>
        <x:v>Ready</x:v>
      </x:c>
      <x:c r="D1303" s="6" t="str">
        <x:v>入</x:v>
      </x:c>
      <x:c r="E1303" s="6" t="str">
        <x:v>kip (D)</x:v>
      </x:c>
      <x:c r="F1303" s="6" t="str">
        <x:v>入聲十四緝</x:v>
      </x:c>
      <x:c r="G1303" s="6" t="str">
        <x:v>Pingshui main list, Wikisource-derived DOCX</x:v>
      </x:c>
      <x:c r="H1303" s="6" t="str">
        <x:v>1</x:v>
      </x:c>
      <x:c r="I1303" s="6" t="str"/>
      <x:c r="J1303" s="6" t="str">
        <x:f>IF(B1303="","",IF(AND(ISNUMBER(SEARCH("平",B1303)),OR(ISNUMBER(SEARCH("上",B1303)),ISNUMBER(SEARCH("去",B1303)),ISNUMBER(SEARCH("入",B1303)))),"Ambiguous",IF(ISNUMBER(SEARCH("平",B1303)),"平","仄")))</x:f>
        <x:v>仄</x:v>
      </x:c>
      <x:c r="K1303" s="6" t="str">
        <x:f>IF(D1303="","",IF(AND(ISNUMBER(SEARCH("平",D1303)),OR(ISNUMBER(SEARCH("上",D1303)),ISNUMBER(SEARCH("去",D1303)),ISNUMBER(SEARCH("入",D1303)))),"Ambiguous",IF(ISNUMBER(SEARCH("平",D1303)),"平","仄")))</x:f>
        <x:v>仄</x:v>
      </x:c>
      <x:c r="L1303" s="7" t="str"/>
    </x:row>
    <x:row r="1304">
      <x:c r="A1304" s="5" t="str">
        <x:v>怦</x:v>
      </x:c>
      <x:c r="B1304" s="6" t="str">
        <x:v>平</x:v>
      </x:c>
      <x:c r="C1304" s="6" t="str">
        <x:f>IF(B1304="","Needs decision","Ready")</x:f>
        <x:v>Ready</x:v>
      </x:c>
      <x:c r="D1304" s="6" t="str">
        <x:v>平</x:v>
      </x:c>
      <x:c r="E1304" s="6" t="str"/>
      <x:c r="F1304" s="6" t="str">
        <x:v>下平聲八庚</x:v>
      </x:c>
      <x:c r="G1304" s="6" t="str">
        <x:v>Pingshui main list, Wikisource-derived DOCX</x:v>
      </x:c>
      <x:c r="H1304" s="6" t="str"/>
      <x:c r="I1304" s="6" t="str">
        <x:v>Manual user correction/addition</x:v>
      </x:c>
      <x:c r="J1304" s="6" t="str">
        <x:f>IF(B1304="","",IF(AND(ISNUMBER(SEARCH("平",B1304)),OR(ISNUMBER(SEARCH("上",B1304)),ISNUMBER(SEARCH("去",B1304)),ISNUMBER(SEARCH("入",B1304)))),"Ambiguous",IF(ISNUMBER(SEARCH("平",B1304)),"平","仄")))</x:f>
        <x:v>平</x:v>
      </x:c>
      <x:c r="K1304" s="6" t="str">
        <x:f>IF(D1304="","",IF(AND(ISNUMBER(SEARCH("平",D1304)),OR(ISNUMBER(SEARCH("上",D1304)),ISNUMBER(SEARCH("去",D1304)),ISNUMBER(SEARCH("入",D1304)))),"Ambiguous",IF(ISNUMBER(SEARCH("平",D1304)),"平","仄")))</x:f>
        <x:v>平</x:v>
      </x:c>
      <x:c r="L1304" s="7" t="str">
        <x:v>manual user correction</x:v>
      </x:c>
    </x:row>
    <x:row r="1305">
      <x:c r="A1305" s="5" t="str">
        <x:v>性</x:v>
      </x:c>
      <x:c r="B1305" s="6" t="str">
        <x:v>去</x:v>
      </x:c>
      <x:c r="C1305" s="6" t="str">
        <x:f>IF(B1305="","Needs decision","Ready")</x:f>
        <x:v>Ready</x:v>
      </x:c>
      <x:c r="D1305" s="6" t="str">
        <x:v>去</x:v>
      </x:c>
      <x:c r="E1305" s="6" t="str">
        <x:v>sjengH (C)</x:v>
      </x:c>
      <x:c r="F1305" s="6" t="str">
        <x:v>去聲二十四敬</x:v>
      </x:c>
      <x:c r="G1305" s="6" t="str">
        <x:v>Pingshui main list, Wikisource-derived DOCX</x:v>
      </x:c>
      <x:c r="H1305" s="6" t="str">
        <x:v>1</x:v>
      </x:c>
      <x:c r="I1305" s="6" t="str"/>
      <x:c r="J1305" s="6" t="str">
        <x:f>IF(B1305="","",IF(AND(ISNUMBER(SEARCH("平",B1305)),OR(ISNUMBER(SEARCH("上",B1305)),ISNUMBER(SEARCH("去",B1305)),ISNUMBER(SEARCH("入",B1305)))),"Ambiguous",IF(ISNUMBER(SEARCH("平",B1305)),"平","仄")))</x:f>
        <x:v>仄</x:v>
      </x:c>
      <x:c r="K1305" s="6" t="str">
        <x:f>IF(D1305="","",IF(AND(ISNUMBER(SEARCH("平",D1305)),OR(ISNUMBER(SEARCH("上",D1305)),ISNUMBER(SEARCH("去",D1305)),ISNUMBER(SEARCH("入",D1305)))),"Ambiguous",IF(ISNUMBER(SEARCH("平",D1305)),"平","仄")))</x:f>
        <x:v>仄</x:v>
      </x:c>
      <x:c r="L1305" s="7" t="str"/>
    </x:row>
    <x:row r="1306">
      <x:c r="A1306" s="5" t="str">
        <x:v>怨</x:v>
      </x:c>
      <x:c r="B1306" s="6" t="str">
        <x:v>去</x:v>
      </x:c>
      <x:c r="C1306" s="6" t="str">
        <x:f>IF(B1306="","Needs decision","Ready")</x:f>
        <x:v>Ready</x:v>
      </x:c>
      <x:c r="D1306" s="6" t="str">
        <x:v>去</x:v>
      </x:c>
      <x:c r="E1306" s="6" t="str">
        <x:v>'jwonH (C)</x:v>
      </x:c>
      <x:c r="F1306" s="6" t="str">
        <x:v>上平聲十三元; 去聲十四願</x:v>
      </x:c>
      <x:c r="G1306" s="6" t="str">
        <x:v>Pingshui main list, Wikisource-derived DOCX</x:v>
      </x:c>
      <x:c r="H1306" s="6" t="str">
        <x:v>1</x:v>
      </x:c>
      <x:c r="I1306" s="6" t="str"/>
      <x:c r="J1306" s="6" t="str">
        <x:f>IF(B1306="","",IF(AND(ISNUMBER(SEARCH("平",B1306)),OR(ISNUMBER(SEARCH("上",B1306)),ISNUMBER(SEARCH("去",B1306)),ISNUMBER(SEARCH("入",B1306)))),"Ambiguous",IF(ISNUMBER(SEARCH("平",B1306)),"平","仄")))</x:f>
        <x:v>仄</x:v>
      </x:c>
      <x:c r="K1306" s="6" t="str">
        <x:f>IF(D1306="","",IF(AND(ISNUMBER(SEARCH("平",D1306)),OR(ISNUMBER(SEARCH("上",D1306)),ISNUMBER(SEARCH("去",D1306)),ISNUMBER(SEARCH("入",D1306)))),"Ambiguous",IF(ISNUMBER(SEARCH("平",D1306)),"平","仄")))</x:f>
        <x:v>仄</x:v>
      </x:c>
      <x:c r="L1306" s="7" t="str"/>
    </x:row>
    <x:row r="1307">
      <x:c r="A1307" s="5" t="str">
        <x:v>怩</x:v>
      </x:c>
      <x:c r="B1307" s="6" t="str">
        <x:v>平</x:v>
      </x:c>
      <x:c r="C1307" s="6" t="str">
        <x:f>IF(B1307="","Needs decision","Ready")</x:f>
        <x:v>Ready</x:v>
      </x:c>
      <x:c r="D1307" s="6" t="str">
        <x:v>平</x:v>
      </x:c>
      <x:c r="E1307" s="6" t="str">
        <x:v>nrij (A)</x:v>
      </x:c>
      <x:c r="F1307" s="6" t="str">
        <x:v>上平聲四支</x:v>
      </x:c>
      <x:c r="G1307" s="6" t="str">
        <x:v>Pingshui main list, Wikisource-derived DOCX</x:v>
      </x:c>
      <x:c r="H1307" s="6" t="str">
        <x:v>1</x:v>
      </x:c>
      <x:c r="I1307" s="6" t="str"/>
      <x:c r="J1307" s="6" t="str">
        <x:f>IF(B1307="","",IF(AND(ISNUMBER(SEARCH("平",B1307)),OR(ISNUMBER(SEARCH("上",B1307)),ISNUMBER(SEARCH("去",B1307)),ISNUMBER(SEARCH("入",B1307)))),"Ambiguous",IF(ISNUMBER(SEARCH("平",B1307)),"平","仄")))</x:f>
        <x:v>平</x:v>
      </x:c>
      <x:c r="K1307" s="6" t="str">
        <x:f>IF(D1307="","",IF(AND(ISNUMBER(SEARCH("平",D1307)),OR(ISNUMBER(SEARCH("上",D1307)),ISNUMBER(SEARCH("去",D1307)),ISNUMBER(SEARCH("入",D1307)))),"Ambiguous",IF(ISNUMBER(SEARCH("平",D1307)),"平","仄")))</x:f>
        <x:v>平</x:v>
      </x:c>
      <x:c r="L1307" s="7" t="str"/>
    </x:row>
    <x:row r="1308">
      <x:c r="A1308" s="5" t="str">
        <x:v>怪</x:v>
      </x:c>
      <x:c r="B1308" s="6" t="str">
        <x:v>去</x:v>
      </x:c>
      <x:c r="C1308" s="6" t="str">
        <x:f>IF(B1308="","Needs decision","Ready")</x:f>
        <x:v>Ready</x:v>
      </x:c>
      <x:c r="D1308" s="6" t="str">
        <x:v>去</x:v>
      </x:c>
      <x:c r="E1308" s="6" t="str">
        <x:v>kweajH (C)</x:v>
      </x:c>
      <x:c r="F1308" s="6" t="str">
        <x:v>去聲十卦</x:v>
      </x:c>
      <x:c r="G1308" s="6" t="str">
        <x:v>Pingshui main list, Wikisource-derived DOCX</x:v>
      </x:c>
      <x:c r="H1308" s="6" t="str">
        <x:v>1</x:v>
      </x:c>
      <x:c r="I1308" s="6" t="str"/>
      <x:c r="J1308" s="6" t="str">
        <x:f>IF(B1308="","",IF(AND(ISNUMBER(SEARCH("平",B1308)),OR(ISNUMBER(SEARCH("上",B1308)),ISNUMBER(SEARCH("去",B1308)),ISNUMBER(SEARCH("入",B1308)))),"Ambiguous",IF(ISNUMBER(SEARCH("平",B1308)),"平","仄")))</x:f>
        <x:v>仄</x:v>
      </x:c>
      <x:c r="K1308" s="6" t="str">
        <x:f>IF(D1308="","",IF(AND(ISNUMBER(SEARCH("平",D1308)),OR(ISNUMBER(SEARCH("上",D1308)),ISNUMBER(SEARCH("去",D1308)),ISNUMBER(SEARCH("入",D1308)))),"Ambiguous",IF(ISNUMBER(SEARCH("平",D1308)),"平","仄")))</x:f>
        <x:v>仄</x:v>
      </x:c>
      <x:c r="L1308" s="7" t="str"/>
    </x:row>
    <x:row r="1309">
      <x:c r="A1309" s="5" t="str">
        <x:v>怫</x:v>
      </x:c>
      <x:c r="B1309" s="6" t="str"/>
      <x:c r="C1309" s="6" t="str">
        <x:f>IF(B1309="","Needs decision","Ready")</x:f>
        <x:v>Needs decision</x:v>
      </x:c>
      <x:c r="D1309" s="6" t="str">
        <x:v>去/入</x:v>
      </x:c>
      <x:c r="E1309" s="6" t="str">
        <x:v>bj+jH (C); bjut (D)</x:v>
      </x:c>
      <x:c r="F1309" s="6" t="str">
        <x:v>入聲五物</x:v>
      </x:c>
      <x:c r="G1309" s="6" t="str">
        <x:v>Pingshui main list, Wikisource-derived DOCX</x:v>
      </x:c>
      <x:c r="H1309" s="6" t="str">
        <x:v>2</x:v>
      </x:c>
      <x:c r="I1309" s="6" t="str"/>
      <x:c r="J1309" s="6" t="str">
        <x:f>IF(B1309="","",IF(AND(ISNUMBER(SEARCH("平",B1309)),OR(ISNUMBER(SEARCH("上",B1309)),ISNUMBER(SEARCH("去",B1309)),ISNUMBER(SEARCH("入",B1309)))),"Ambiguous",IF(ISNUMBER(SEARCH("平",B1309)),"平","仄")))</x:f>
      </x:c>
      <x:c r="K1309" s="6" t="str">
        <x:f>IF(D1309="","",IF(AND(ISNUMBER(SEARCH("平",D1309)),OR(ISNUMBER(SEARCH("上",D1309)),ISNUMBER(SEARCH("去",D1309)),ISNUMBER(SEARCH("入",D1309)))),"Ambiguous",IF(ISNUMBER(SEARCH("平",D1309)),"平","仄")))</x:f>
        <x:v>仄</x:v>
      </x:c>
      <x:c r="L1309" s="7" t="str"/>
    </x:row>
    <x:row r="1310">
      <x:c r="A1310" s="5" t="str">
        <x:v>怯</x:v>
      </x:c>
      <x:c r="B1310" s="6" t="str">
        <x:v>入</x:v>
      </x:c>
      <x:c r="C1310" s="6" t="str">
        <x:f>IF(B1310="","Needs decision","Ready")</x:f>
        <x:v>Ready</x:v>
      </x:c>
      <x:c r="D1310" s="6" t="str">
        <x:v>入</x:v>
      </x:c>
      <x:c r="E1310" s="6" t="str">
        <x:v>khjaep [kʰɨ̯əp] (入)</x:v>
      </x:c>
      <x:c r="F1310" s="6" t="str">
        <x:v>入聲十七洽</x:v>
      </x:c>
      <x:c r="G1310" s="6" t="str">
        <x:v>Pingshui main list, Wikisource-derived DOCX</x:v>
      </x:c>
      <x:c r="H1310" s="6" t="str">
        <x:v>1</x:v>
      </x:c>
      <x:c r="I1310" s="6" t="str">
        <x:v>Tang 300 gap; frequency 2; provisional from Xun Gong</x:v>
      </x:c>
      <x:c r="J1310" s="6" t="str">
        <x:f>IF(B1310="","",IF(AND(ISNUMBER(SEARCH("平",B1310)),OR(ISNUMBER(SEARCH("上",B1310)),ISNUMBER(SEARCH("去",B1310)),ISNUMBER(SEARCH("入",B1310)))),"Ambiguous",IF(ISNUMBER(SEARCH("平",B1310)),"平","仄")))</x:f>
        <x:v>仄</x:v>
      </x:c>
      <x:c r="K1310" s="6" t="str">
        <x:f>IF(D1310="","",IF(AND(ISNUMBER(SEARCH("平",D1310)),OR(ISNUMBER(SEARCH("上",D1310)),ISNUMBER(SEARCH("去",D1310)),ISNUMBER(SEARCH("入",D1310)))),"Ambiguous",IF(ISNUMBER(SEARCH("平",D1310)),"平","仄")))</x:f>
        <x:v>仄</x:v>
      </x:c>
      <x:c r="L1310" s="7" t="str">
        <x:v>Xun Gong, Tang 300 gap fill</x:v>
      </x:c>
    </x:row>
    <x:row r="1311">
      <x:c r="A1311" s="5" t="str">
        <x:v>怳</x:v>
      </x:c>
      <x:c r="B1311" s="6" t="str">
        <x:v>上</x:v>
      </x:c>
      <x:c r="C1311" s="6" t="str">
        <x:f>IF(B1311="","Needs decision","Ready")</x:f>
        <x:v>Ready</x:v>
      </x:c>
      <x:c r="D1311" s="6" t="str">
        <x:v>上</x:v>
      </x:c>
      <x:c r="E1311" s="6" t="str"/>
      <x:c r="F1311" s="6" t="str">
        <x:v>上聲二十二養</x:v>
      </x:c>
      <x:c r="G1311" s="6" t="str">
        <x:v>Pingshui main list, Wikisource-derived DOCX</x:v>
      </x:c>
      <x:c r="H1311" s="6" t="str"/>
      <x:c r="I1311" s="6" t="str">
        <x:v>Manual user correction/addition</x:v>
      </x:c>
      <x:c r="J1311" s="6" t="str">
        <x:f>IF(B1311="","",IF(AND(ISNUMBER(SEARCH("平",B1311)),OR(ISNUMBER(SEARCH("上",B1311)),ISNUMBER(SEARCH("去",B1311)),ISNUMBER(SEARCH("入",B1311)))),"Ambiguous",IF(ISNUMBER(SEARCH("平",B1311)),"平","仄")))</x:f>
        <x:v>仄</x:v>
      </x:c>
      <x:c r="K1311" s="6" t="str">
        <x:f>IF(D1311="","",IF(AND(ISNUMBER(SEARCH("平",D1311)),OR(ISNUMBER(SEARCH("上",D1311)),ISNUMBER(SEARCH("去",D1311)),ISNUMBER(SEARCH("入",D1311)))),"Ambiguous",IF(ISNUMBER(SEARCH("平",D1311)),"平","仄")))</x:f>
        <x:v>仄</x:v>
      </x:c>
      <x:c r="L1311" s="7" t="str">
        <x:v>manual user correction</x:v>
      </x:c>
    </x:row>
    <x:row r="1312">
      <x:c r="A1312" s="5" t="str">
        <x:v>恁</x:v>
      </x:c>
      <x:c r="B1312" s="6" t="str">
        <x:v>上</x:v>
      </x:c>
      <x:c r="C1312" s="6" t="str">
        <x:f>IF(B1312="","Needs decision","Ready")</x:f>
        <x:v>Ready</x:v>
      </x:c>
      <x:c r="D1312" s="6" t="str">
        <x:v>上</x:v>
      </x:c>
      <x:c r="E1312" s="6" t="str">
        <x:v>nyimX (B)</x:v>
      </x:c>
      <x:c r="F1312" s="6" t="str">
        <x:v>上聲二十六寢</x:v>
      </x:c>
      <x:c r="G1312" s="6" t="str">
        <x:v>Pingshui main list, Wikisource-derived DOCX</x:v>
      </x:c>
      <x:c r="H1312" s="6" t="str">
        <x:v>1</x:v>
      </x:c>
      <x:c r="I1312" s="6" t="str"/>
      <x:c r="J1312" s="6" t="str">
        <x:f>IF(B1312="","",IF(AND(ISNUMBER(SEARCH("平",B1312)),OR(ISNUMBER(SEARCH("上",B1312)),ISNUMBER(SEARCH("去",B1312)),ISNUMBER(SEARCH("入",B1312)))),"Ambiguous",IF(ISNUMBER(SEARCH("平",B1312)),"平","仄")))</x:f>
        <x:v>仄</x:v>
      </x:c>
      <x:c r="K1312" s="6" t="str">
        <x:f>IF(D1312="","",IF(AND(ISNUMBER(SEARCH("平",D1312)),OR(ISNUMBER(SEARCH("上",D1312)),ISNUMBER(SEARCH("去",D1312)),ISNUMBER(SEARCH("入",D1312)))),"Ambiguous",IF(ISNUMBER(SEARCH("平",D1312)),"平","仄")))</x:f>
        <x:v>仄</x:v>
      </x:c>
      <x:c r="L1312" s="7" t="str"/>
    </x:row>
    <x:row r="1313">
      <x:c r="A1313" s="5" t="str">
        <x:v>恃</x:v>
      </x:c>
      <x:c r="B1313" s="6" t="str">
        <x:v>上</x:v>
      </x:c>
      <x:c r="C1313" s="6" t="str">
        <x:f>IF(B1313="","Needs decision","Ready")</x:f>
        <x:v>Ready</x:v>
      </x:c>
      <x:c r="D1313" s="6" t="str">
        <x:v>上</x:v>
      </x:c>
      <x:c r="E1313" s="6" t="str">
        <x:v>dzyiX (B)</x:v>
      </x:c>
      <x:c r="F1313" s="6" t="str">
        <x:v>上聲四紙</x:v>
      </x:c>
      <x:c r="G1313" s="6" t="str">
        <x:v>Pingshui main list, Wikisource-derived DOCX</x:v>
      </x:c>
      <x:c r="H1313" s="6" t="str">
        <x:v>1</x:v>
      </x:c>
      <x:c r="I1313" s="6" t="str"/>
      <x:c r="J1313" s="6" t="str">
        <x:f>IF(B1313="","",IF(AND(ISNUMBER(SEARCH("平",B1313)),OR(ISNUMBER(SEARCH("上",B1313)),ISNUMBER(SEARCH("去",B1313)),ISNUMBER(SEARCH("入",B1313)))),"Ambiguous",IF(ISNUMBER(SEARCH("平",B1313)),"平","仄")))</x:f>
        <x:v>仄</x:v>
      </x:c>
      <x:c r="K1313" s="6" t="str">
        <x:f>IF(D1313="","",IF(AND(ISNUMBER(SEARCH("平",D1313)),OR(ISNUMBER(SEARCH("上",D1313)),ISNUMBER(SEARCH("去",D1313)),ISNUMBER(SEARCH("入",D1313)))),"Ambiguous",IF(ISNUMBER(SEARCH("平",D1313)),"平","仄")))</x:f>
        <x:v>仄</x:v>
      </x:c>
      <x:c r="L1313" s="7" t="str"/>
    </x:row>
    <x:row r="1314">
      <x:c r="A1314" s="5" t="str">
        <x:v>恆</x:v>
      </x:c>
      <x:c r="B1314" s="6" t="str">
        <x:v>平</x:v>
      </x:c>
      <x:c r="C1314" s="6" t="str">
        <x:f>IF(B1314="","Needs decision","Ready")</x:f>
        <x:v>Ready</x:v>
      </x:c>
      <x:c r="D1314" s="6" t="str">
        <x:v>平</x:v>
      </x:c>
      <x:c r="E1314" s="6" t="str">
        <x:v>hong (A)</x:v>
      </x:c>
      <x:c r="F1314" s="6" t="str">
        <x:v>下平聲十蒸</x:v>
      </x:c>
      <x:c r="G1314" s="6" t="str">
        <x:v>Pingshui main list, Wikisource-derived DOCX</x:v>
      </x:c>
      <x:c r="H1314" s="6" t="str">
        <x:v>1</x:v>
      </x:c>
      <x:c r="I1314" s="6" t="str"/>
      <x:c r="J1314" s="6" t="str">
        <x:f>IF(B1314="","",IF(AND(ISNUMBER(SEARCH("平",B1314)),OR(ISNUMBER(SEARCH("上",B1314)),ISNUMBER(SEARCH("去",B1314)),ISNUMBER(SEARCH("入",B1314)))),"Ambiguous",IF(ISNUMBER(SEARCH("平",B1314)),"平","仄")))</x:f>
        <x:v>平</x:v>
      </x:c>
      <x:c r="K1314" s="6" t="str">
        <x:f>IF(D1314="","",IF(AND(ISNUMBER(SEARCH("平",D1314)),OR(ISNUMBER(SEARCH("上",D1314)),ISNUMBER(SEARCH("去",D1314)),ISNUMBER(SEARCH("入",D1314)))),"Ambiguous",IF(ISNUMBER(SEARCH("平",D1314)),"平","仄")))</x:f>
        <x:v>平</x:v>
      </x:c>
      <x:c r="L1314" s="7" t="str"/>
    </x:row>
    <x:row r="1315">
      <x:c r="A1315" s="5" t="str">
        <x:v>恐</x:v>
      </x:c>
      <x:c r="B1315" s="6" t="str">
        <x:v>上</x:v>
      </x:c>
      <x:c r="C1315" s="6" t="str">
        <x:f>IF(B1315="","Needs decision","Ready")</x:f>
        <x:v>Ready</x:v>
      </x:c>
      <x:c r="D1315" s="6" t="str">
        <x:v>上</x:v>
      </x:c>
      <x:c r="E1315" s="6" t="str">
        <x:v>khjowngX (B)</x:v>
      </x:c>
      <x:c r="F1315" s="6" t="str">
        <x:v>上聲二腫</x:v>
      </x:c>
      <x:c r="G1315" s="6" t="str">
        <x:v>Pingshui main list, Wikisource-derived DOCX</x:v>
      </x:c>
      <x:c r="H1315" s="6" t="str">
        <x:v>1</x:v>
      </x:c>
      <x:c r="I1315" s="6" t="str"/>
      <x:c r="J1315" s="6" t="str">
        <x:f>IF(B1315="","",IF(AND(ISNUMBER(SEARCH("平",B1315)),OR(ISNUMBER(SEARCH("上",B1315)),ISNUMBER(SEARCH("去",B1315)),ISNUMBER(SEARCH("入",B1315)))),"Ambiguous",IF(ISNUMBER(SEARCH("平",B1315)),"平","仄")))</x:f>
        <x:v>仄</x:v>
      </x:c>
      <x:c r="K1315" s="6" t="str">
        <x:f>IF(D1315="","",IF(AND(ISNUMBER(SEARCH("平",D1315)),OR(ISNUMBER(SEARCH("上",D1315)),ISNUMBER(SEARCH("去",D1315)),ISNUMBER(SEARCH("入",D1315)))),"Ambiguous",IF(ISNUMBER(SEARCH("平",D1315)),"平","仄")))</x:f>
        <x:v>仄</x:v>
      </x:c>
      <x:c r="L1315" s="7" t="str"/>
    </x:row>
    <x:row r="1316">
      <x:c r="A1316" s="5" t="str">
        <x:v>恒</x:v>
      </x:c>
      <x:c r="B1316" s="6" t="str">
        <x:v>平</x:v>
      </x:c>
      <x:c r="C1316" s="6" t="str">
        <x:f>IF(B1316="","Needs decision","Ready")</x:f>
        <x:v>Ready</x:v>
      </x:c>
      <x:c r="D1316" s="6" t="str"/>
      <x:c r="E1316" s="6" t="str"/>
      <x:c r="F1316" s="6" t="str"/>
      <x:c r="G1316" s="6" t="str"/>
      <x:c r="H1316" s="6" t="str"/>
      <x:c r="I1316" s="6" t="str"/>
      <x:c r="J1316" s="6" t="str">
        <x:f>IF(B1316="","",IF(AND(ISNUMBER(SEARCH("平",B1316)),OR(ISNUMBER(SEARCH("上",B1316)),ISNUMBER(SEARCH("去",B1316)),ISNUMBER(SEARCH("入",B1316)))),"Ambiguous",IF(ISNUMBER(SEARCH("平",B1316)),"平","仄")))</x:f>
        <x:v>平</x:v>
      </x:c>
      <x:c r="K1316" s="6" t="str">
        <x:f>IF(D1316="","",IF(AND(ISNUMBER(SEARCH("平",D1316)),OR(ISNUMBER(SEARCH("上",D1316)),ISNUMBER(SEARCH("去",D1316)),ISNUMBER(SEARCH("入",D1316)))),"Ambiguous",IF(ISNUMBER(SEARCH("平",D1316)),"平","仄")))</x:f>
      </x:c>
      <x:c r="L1316" s="7" t="str"/>
    </x:row>
    <x:row r="1317">
      <x:c r="A1317" s="5" t="str">
        <x:v>恕</x:v>
      </x:c>
      <x:c r="B1317" s="6" t="str">
        <x:v>去</x:v>
      </x:c>
      <x:c r="C1317" s="6" t="str">
        <x:f>IF(B1317="","Needs decision","Ready")</x:f>
        <x:v>Ready</x:v>
      </x:c>
      <x:c r="D1317" s="6" t="str">
        <x:v>去</x:v>
      </x:c>
      <x:c r="E1317" s="6" t="str">
        <x:v>syoH (C)</x:v>
      </x:c>
      <x:c r="F1317" s="6" t="str">
        <x:v>去聲六御</x:v>
      </x:c>
      <x:c r="G1317" s="6" t="str">
        <x:v>Pingshui main list, Wikisource-derived DOCX</x:v>
      </x:c>
      <x:c r="H1317" s="6" t="str">
        <x:v>1</x:v>
      </x:c>
      <x:c r="I1317" s="6" t="str"/>
      <x:c r="J1317" s="6" t="str">
        <x:f>IF(B1317="","",IF(AND(ISNUMBER(SEARCH("平",B1317)),OR(ISNUMBER(SEARCH("上",B1317)),ISNUMBER(SEARCH("去",B1317)),ISNUMBER(SEARCH("入",B1317)))),"Ambiguous",IF(ISNUMBER(SEARCH("平",B1317)),"平","仄")))</x:f>
        <x:v>仄</x:v>
      </x:c>
      <x:c r="K1317" s="6" t="str">
        <x:f>IF(D1317="","",IF(AND(ISNUMBER(SEARCH("平",D1317)),OR(ISNUMBER(SEARCH("上",D1317)),ISNUMBER(SEARCH("去",D1317)),ISNUMBER(SEARCH("入",D1317)))),"Ambiguous",IF(ISNUMBER(SEARCH("平",D1317)),"平","仄")))</x:f>
        <x:v>仄</x:v>
      </x:c>
      <x:c r="L1317" s="7" t="str"/>
    </x:row>
    <x:row r="1318">
      <x:c r="A1318" s="5" t="str">
        <x:v>恚</x:v>
      </x:c>
      <x:c r="B1318" s="6" t="str">
        <x:v>去</x:v>
      </x:c>
      <x:c r="C1318" s="6" t="str">
        <x:f>IF(B1318="","Needs decision","Ready")</x:f>
        <x:v>Ready</x:v>
      </x:c>
      <x:c r="D1318" s="6" t="str">
        <x:v>去</x:v>
      </x:c>
      <x:c r="E1318" s="6" t="str">
        <x:v>'jwieH [影合三A支去] ʔjwieh</x:v>
      </x:c>
      <x:c r="F1318" s="6" t="str">
        <x:v>去聲四寘</x:v>
      </x:c>
      <x:c r="G1318" s="6" t="str">
        <x:v>Pingshui main list, Wikisource-derived DOCX</x:v>
      </x:c>
      <x:c r="H1318" s="6" t="str">
        <x:v>1</x:v>
      </x:c>
      <x:c r="I1318" s="6" t="str">
        <x:v>Targeted preliminary fill from Xun Gong; review if uncertain</x:v>
      </x:c>
      <x:c r="J1318" s="6" t="str">
        <x:f>IF(B1318="","",IF(AND(ISNUMBER(SEARCH("平",B1318)),OR(ISNUMBER(SEARCH("上",B1318)),ISNUMBER(SEARCH("去",B1318)),ISNUMBER(SEARCH("入",B1318)))),"Ambiguous",IF(ISNUMBER(SEARCH("平",B1318)),"平","仄")))</x:f>
        <x:v>仄</x:v>
      </x:c>
      <x:c r="K1318" s="6" t="str">
        <x:f>IF(D1318="","",IF(AND(ISNUMBER(SEARCH("平",D1318)),OR(ISNUMBER(SEARCH("上",D1318)),ISNUMBER(SEARCH("去",D1318)),ISNUMBER(SEARCH("入",D1318)))),"Ambiguous",IF(ISNUMBER(SEARCH("平",D1318)),"平","仄")))</x:f>
        <x:v>仄</x:v>
      </x:c>
      <x:c r="L1318" s="7" t="str">
        <x:v>Xun Gong character-readings.csv</x:v>
      </x:c>
    </x:row>
    <x:row r="1319">
      <x:c r="A1319" s="5" t="str">
        <x:v>恢</x:v>
      </x:c>
      <x:c r="B1319" s="6" t="str">
        <x:v>平</x:v>
      </x:c>
      <x:c r="C1319" s="6" t="str">
        <x:f>IF(B1319="","Needs decision","Ready")</x:f>
        <x:v>Ready</x:v>
      </x:c>
      <x:c r="D1319" s="6" t="str">
        <x:v>平</x:v>
      </x:c>
      <x:c r="E1319" s="6" t="str">
        <x:v>khwoj [qʰwəj] (平)</x:v>
      </x:c>
      <x:c r="F1319" s="6" t="str">
        <x:v>上平聲十灰</x:v>
      </x:c>
      <x:c r="G1319" s="6" t="str">
        <x:v>Pingshui main list, Wikisource-derived DOCX</x:v>
      </x:c>
      <x:c r="H1319" s="6" t="str">
        <x:v>1</x:v>
      </x:c>
      <x:c r="I1319" s="6" t="str">
        <x:v>Tang 300 gap; frequency 2; provisional from Xun Gong</x:v>
      </x:c>
      <x:c r="J1319" s="6" t="str">
        <x:f>IF(B1319="","",IF(AND(ISNUMBER(SEARCH("平",B1319)),OR(ISNUMBER(SEARCH("上",B1319)),ISNUMBER(SEARCH("去",B1319)),ISNUMBER(SEARCH("入",B1319)))),"Ambiguous",IF(ISNUMBER(SEARCH("平",B1319)),"平","仄")))</x:f>
        <x:v>平</x:v>
      </x:c>
      <x:c r="K1319" s="6" t="str">
        <x:f>IF(D1319="","",IF(AND(ISNUMBER(SEARCH("平",D1319)),OR(ISNUMBER(SEARCH("上",D1319)),ISNUMBER(SEARCH("去",D1319)),ISNUMBER(SEARCH("入",D1319)))),"Ambiguous",IF(ISNUMBER(SEARCH("平",D1319)),"平","仄")))</x:f>
        <x:v>平</x:v>
      </x:c>
      <x:c r="L1319" s="7" t="str">
        <x:v>Xun Gong, Tang 300 gap fill</x:v>
      </x:c>
    </x:row>
    <x:row r="1320">
      <x:c r="A1320" s="5" t="str">
        <x:v>恣</x:v>
      </x:c>
      <x:c r="B1320" s="6" t="str">
        <x:v>去</x:v>
      </x:c>
      <x:c r="C1320" s="6" t="str">
        <x:f>IF(B1320="","Needs decision","Ready")</x:f>
        <x:v>Ready</x:v>
      </x:c>
      <x:c r="D1320" s="6" t="str">
        <x:v>去</x:v>
      </x:c>
      <x:c r="E1320" s="6" t="str">
        <x:v>tsijH (C)</x:v>
      </x:c>
      <x:c r="F1320" s="6" t="str">
        <x:v>去聲四寘</x:v>
      </x:c>
      <x:c r="G1320" s="6" t="str">
        <x:v>Pingshui main list, Wikisource-derived DOCX</x:v>
      </x:c>
      <x:c r="H1320" s="6" t="str">
        <x:v>1</x:v>
      </x:c>
      <x:c r="I1320" s="6" t="str"/>
      <x:c r="J1320" s="6" t="str">
        <x:f>IF(B1320="","",IF(AND(ISNUMBER(SEARCH("平",B1320)),OR(ISNUMBER(SEARCH("上",B1320)),ISNUMBER(SEARCH("去",B1320)),ISNUMBER(SEARCH("入",B1320)))),"Ambiguous",IF(ISNUMBER(SEARCH("平",B1320)),"平","仄")))</x:f>
        <x:v>仄</x:v>
      </x:c>
      <x:c r="K1320" s="6" t="str">
        <x:f>IF(D1320="","",IF(AND(ISNUMBER(SEARCH("平",D1320)),OR(ISNUMBER(SEARCH("上",D1320)),ISNUMBER(SEARCH("去",D1320)),ISNUMBER(SEARCH("入",D1320)))),"Ambiguous",IF(ISNUMBER(SEARCH("平",D1320)),"平","仄")))</x:f>
        <x:v>仄</x:v>
      </x:c>
      <x:c r="L1320" s="7" t="str"/>
    </x:row>
    <x:row r="1321">
      <x:c r="A1321" s="5" t="str">
        <x:v>恤</x:v>
      </x:c>
      <x:c r="B1321" s="6" t="str">
        <x:v>入</x:v>
      </x:c>
      <x:c r="C1321" s="6" t="str">
        <x:f>IF(B1321="","Needs decision","Ready")</x:f>
        <x:v>Ready</x:v>
      </x:c>
      <x:c r="D1321" s="6" t="str">
        <x:v>入</x:v>
      </x:c>
      <x:c r="E1321" s="6" t="str">
        <x:v>swit (D)</x:v>
      </x:c>
      <x:c r="F1321" s="6" t="str">
        <x:v>入聲四質</x:v>
      </x:c>
      <x:c r="G1321" s="6" t="str">
        <x:v>Pingshui main list, Wikisource-derived DOCX</x:v>
      </x:c>
      <x:c r="H1321" s="6" t="str">
        <x:v>1</x:v>
      </x:c>
      <x:c r="I1321" s="6" t="str"/>
      <x:c r="J1321" s="6" t="str">
        <x:f>IF(B1321="","",IF(AND(ISNUMBER(SEARCH("平",B1321)),OR(ISNUMBER(SEARCH("上",B1321)),ISNUMBER(SEARCH("去",B1321)),ISNUMBER(SEARCH("入",B1321)))),"Ambiguous",IF(ISNUMBER(SEARCH("平",B1321)),"平","仄")))</x:f>
        <x:v>仄</x:v>
      </x:c>
      <x:c r="K1321" s="6" t="str">
        <x:f>IF(D1321="","",IF(AND(ISNUMBER(SEARCH("平",D1321)),OR(ISNUMBER(SEARCH("上",D1321)),ISNUMBER(SEARCH("去",D1321)),ISNUMBER(SEARCH("入",D1321)))),"Ambiguous",IF(ISNUMBER(SEARCH("平",D1321)),"平","仄")))</x:f>
        <x:v>仄</x:v>
      </x:c>
      <x:c r="L1321" s="7" t="str"/>
    </x:row>
    <x:row r="1322">
      <x:c r="A1322" s="5" t="str">
        <x:v>恥</x:v>
      </x:c>
      <x:c r="B1322" s="6" t="str">
        <x:v>上</x:v>
      </x:c>
      <x:c r="C1322" s="6" t="str">
        <x:f>IF(B1322="","Needs decision","Ready")</x:f>
        <x:v>Ready</x:v>
      </x:c>
      <x:c r="D1322" s="6" t="str">
        <x:v>上</x:v>
      </x:c>
      <x:c r="E1322" s="6" t="str">
        <x:v>trhiX (B)</x:v>
      </x:c>
      <x:c r="F1322" s="6" t="str">
        <x:v>上聲四紙; 入聲八黠</x:v>
      </x:c>
      <x:c r="G1322" s="6" t="str">
        <x:v>Pingshui main list, Wikisource-derived DOCX</x:v>
      </x:c>
      <x:c r="H1322" s="6" t="str">
        <x:v>1</x:v>
      </x:c>
      <x:c r="I1322" s="6" t="str"/>
      <x:c r="J1322" s="6" t="str">
        <x:f>IF(B1322="","",IF(AND(ISNUMBER(SEARCH("平",B1322)),OR(ISNUMBER(SEARCH("上",B1322)),ISNUMBER(SEARCH("去",B1322)),ISNUMBER(SEARCH("入",B1322)))),"Ambiguous",IF(ISNUMBER(SEARCH("平",B1322)),"平","仄")))</x:f>
        <x:v>仄</x:v>
      </x:c>
      <x:c r="K1322" s="6" t="str">
        <x:f>IF(D1322="","",IF(AND(ISNUMBER(SEARCH("平",D1322)),OR(ISNUMBER(SEARCH("上",D1322)),ISNUMBER(SEARCH("去",D1322)),ISNUMBER(SEARCH("入",D1322)))),"Ambiguous",IF(ISNUMBER(SEARCH("平",D1322)),"平","仄")))</x:f>
        <x:v>仄</x:v>
      </x:c>
      <x:c r="L1322" s="7" t="str"/>
    </x:row>
    <x:row r="1323">
      <x:c r="A1323" s="5" t="str">
        <x:v>恨</x:v>
      </x:c>
      <x:c r="B1323" s="6" t="str">
        <x:v>去</x:v>
      </x:c>
      <x:c r="C1323" s="6" t="str">
        <x:f>IF(B1323="","Needs decision","Ready")</x:f>
        <x:v>Ready</x:v>
      </x:c>
      <x:c r="D1323" s="6" t="str">
        <x:v>去</x:v>
      </x:c>
      <x:c r="E1323" s="6" t="str">
        <x:v>honH (C)</x:v>
      </x:c>
      <x:c r="F1323" s="6" t="str">
        <x:v>去聲十四願</x:v>
      </x:c>
      <x:c r="G1323" s="6" t="str">
        <x:v>Pingshui main list, Wikisource-derived DOCX</x:v>
      </x:c>
      <x:c r="H1323" s="6" t="str">
        <x:v>1</x:v>
      </x:c>
      <x:c r="I1323" s="6" t="str"/>
      <x:c r="J1323" s="6" t="str">
        <x:f>IF(B1323="","",IF(AND(ISNUMBER(SEARCH("平",B1323)),OR(ISNUMBER(SEARCH("上",B1323)),ISNUMBER(SEARCH("去",B1323)),ISNUMBER(SEARCH("入",B1323)))),"Ambiguous",IF(ISNUMBER(SEARCH("平",B1323)),"平","仄")))</x:f>
        <x:v>仄</x:v>
      </x:c>
      <x:c r="K1323" s="6" t="str">
        <x:f>IF(D1323="","",IF(AND(ISNUMBER(SEARCH("平",D1323)),OR(ISNUMBER(SEARCH("上",D1323)),ISNUMBER(SEARCH("去",D1323)),ISNUMBER(SEARCH("入",D1323)))),"Ambiguous",IF(ISNUMBER(SEARCH("平",D1323)),"平","仄")))</x:f>
        <x:v>仄</x:v>
      </x:c>
      <x:c r="L1323" s="7" t="str"/>
    </x:row>
    <x:row r="1324">
      <x:c r="A1324" s="5" t="str">
        <x:v>恩</x:v>
      </x:c>
      <x:c r="B1324" s="6" t="str">
        <x:v>平</x:v>
      </x:c>
      <x:c r="C1324" s="6" t="str">
        <x:f>IF(B1324="","Needs decision","Ready")</x:f>
        <x:v>Ready</x:v>
      </x:c>
      <x:c r="D1324" s="6" t="str">
        <x:v>平</x:v>
      </x:c>
      <x:c r="E1324" s="6" t="str">
        <x:v>'on (A)</x:v>
      </x:c>
      <x:c r="F1324" s="6" t="str">
        <x:v>上平聲十三元</x:v>
      </x:c>
      <x:c r="G1324" s="6" t="str">
        <x:v>Pingshui main list, Wikisource-derived DOCX</x:v>
      </x:c>
      <x:c r="H1324" s="6" t="str">
        <x:v>1</x:v>
      </x:c>
      <x:c r="I1324" s="6" t="str"/>
      <x:c r="J1324" s="6" t="str">
        <x:f>IF(B1324="","",IF(AND(ISNUMBER(SEARCH("平",B1324)),OR(ISNUMBER(SEARCH("上",B1324)),ISNUMBER(SEARCH("去",B1324)),ISNUMBER(SEARCH("入",B1324)))),"Ambiguous",IF(ISNUMBER(SEARCH("平",B1324)),"平","仄")))</x:f>
        <x:v>平</x:v>
      </x:c>
      <x:c r="K1324" s="6" t="str">
        <x:f>IF(D1324="","",IF(AND(ISNUMBER(SEARCH("平",D1324)),OR(ISNUMBER(SEARCH("上",D1324)),ISNUMBER(SEARCH("去",D1324)),ISNUMBER(SEARCH("入",D1324)))),"Ambiguous",IF(ISNUMBER(SEARCH("平",D1324)),"平","仄")))</x:f>
        <x:v>平</x:v>
      </x:c>
      <x:c r="L1324" s="7" t="str"/>
    </x:row>
    <x:row r="1325">
      <x:c r="A1325" s="5" t="str">
        <x:v>恭</x:v>
      </x:c>
      <x:c r="B1325" s="6" t="str">
        <x:v>平</x:v>
      </x:c>
      <x:c r="C1325" s="6" t="str">
        <x:f>IF(B1325="","Needs decision","Ready")</x:f>
        <x:v>Ready</x:v>
      </x:c>
      <x:c r="D1325" s="6" t="str">
        <x:v>平</x:v>
      </x:c>
      <x:c r="E1325" s="6" t="str">
        <x:v>kjowng (A)</x:v>
      </x:c>
      <x:c r="F1325" s="6" t="str">
        <x:v>上平聲二冬</x:v>
      </x:c>
      <x:c r="G1325" s="6" t="str">
        <x:v>Pingshui main list, Wikisource-derived DOCX</x:v>
      </x:c>
      <x:c r="H1325" s="6" t="str">
        <x:v>1</x:v>
      </x:c>
      <x:c r="I1325" s="6" t="str"/>
      <x:c r="J1325" s="6" t="str">
        <x:f>IF(B1325="","",IF(AND(ISNUMBER(SEARCH("平",B1325)),OR(ISNUMBER(SEARCH("上",B1325)),ISNUMBER(SEARCH("去",B1325)),ISNUMBER(SEARCH("入",B1325)))),"Ambiguous",IF(ISNUMBER(SEARCH("平",B1325)),"平","仄")))</x:f>
        <x:v>平</x:v>
      </x:c>
      <x:c r="K1325" s="6" t="str">
        <x:f>IF(D1325="","",IF(AND(ISNUMBER(SEARCH("平",D1325)),OR(ISNUMBER(SEARCH("上",D1325)),ISNUMBER(SEARCH("去",D1325)),ISNUMBER(SEARCH("入",D1325)))),"Ambiguous",IF(ISNUMBER(SEARCH("平",D1325)),"平","仄")))</x:f>
        <x:v>平</x:v>
      </x:c>
      <x:c r="L1325" s="7" t="str"/>
    </x:row>
    <x:row r="1326">
      <x:c r="A1326" s="5" t="str">
        <x:v>息</x:v>
      </x:c>
      <x:c r="B1326" s="6" t="str">
        <x:v>入</x:v>
      </x:c>
      <x:c r="C1326" s="6" t="str">
        <x:f>IF(B1326="","Needs decision","Ready")</x:f>
        <x:v>Ready</x:v>
      </x:c>
      <x:c r="D1326" s="6" t="str">
        <x:v>入</x:v>
      </x:c>
      <x:c r="E1326" s="6" t="str">
        <x:v>sik (D)</x:v>
      </x:c>
      <x:c r="F1326" s="6" t="str">
        <x:v>入聲十三職</x:v>
      </x:c>
      <x:c r="G1326" s="6" t="str">
        <x:v>Pingshui main list, Wikisource-derived DOCX</x:v>
      </x:c>
      <x:c r="H1326" s="6" t="str">
        <x:v>1</x:v>
      </x:c>
      <x:c r="I1326" s="6" t="str"/>
      <x:c r="J1326" s="6" t="str">
        <x:f>IF(B1326="","",IF(AND(ISNUMBER(SEARCH("平",B1326)),OR(ISNUMBER(SEARCH("上",B1326)),ISNUMBER(SEARCH("去",B1326)),ISNUMBER(SEARCH("入",B1326)))),"Ambiguous",IF(ISNUMBER(SEARCH("平",B1326)),"平","仄")))</x:f>
        <x:v>仄</x:v>
      </x:c>
      <x:c r="K1326" s="6" t="str">
        <x:f>IF(D1326="","",IF(AND(ISNUMBER(SEARCH("平",D1326)),OR(ISNUMBER(SEARCH("上",D1326)),ISNUMBER(SEARCH("去",D1326)),ISNUMBER(SEARCH("入",D1326)))),"Ambiguous",IF(ISNUMBER(SEARCH("平",D1326)),"平","仄")))</x:f>
        <x:v>仄</x:v>
      </x:c>
      <x:c r="L1326" s="7" t="str"/>
    </x:row>
    <x:row r="1327">
      <x:c r="A1327" s="5" t="str">
        <x:v>悁</x:v>
      </x:c>
      <x:c r="B1327" s="6" t="str">
        <x:v>平</x:v>
      </x:c>
      <x:c r="C1327" s="6" t="str">
        <x:f>IF(B1327="","Needs decision","Ready")</x:f>
        <x:v>Ready</x:v>
      </x:c>
      <x:c r="D1327" s="6" t="str">
        <x:v>平</x:v>
      </x:c>
      <x:c r="E1327" s="6" t="str">
        <x:v>'jwien (A)</x:v>
      </x:c>
      <x:c r="F1327" s="6" t="str">
        <x:v>下平聲一先</x:v>
      </x:c>
      <x:c r="G1327" s="6" t="str">
        <x:v>Pingshui main list, Wikisource-derived DOCX</x:v>
      </x:c>
      <x:c r="H1327" s="6" t="str">
        <x:v>1</x:v>
      </x:c>
      <x:c r="I1327" s="6" t="str"/>
      <x:c r="J1327" s="6" t="str">
        <x:f>IF(B1327="","",IF(AND(ISNUMBER(SEARCH("平",B1327)),OR(ISNUMBER(SEARCH("上",B1327)),ISNUMBER(SEARCH("去",B1327)),ISNUMBER(SEARCH("入",B1327)))),"Ambiguous",IF(ISNUMBER(SEARCH("平",B1327)),"平","仄")))</x:f>
        <x:v>平</x:v>
      </x:c>
      <x:c r="K1327" s="6" t="str">
        <x:f>IF(D1327="","",IF(AND(ISNUMBER(SEARCH("平",D1327)),OR(ISNUMBER(SEARCH("上",D1327)),ISNUMBER(SEARCH("去",D1327)),ISNUMBER(SEARCH("入",D1327)))),"Ambiguous",IF(ISNUMBER(SEARCH("平",D1327)),"平","仄")))</x:f>
        <x:v>平</x:v>
      </x:c>
      <x:c r="L1327" s="7" t="str"/>
    </x:row>
    <x:row r="1328">
      <x:c r="A1328" s="5" t="str">
        <x:v>悄</x:v>
      </x:c>
      <x:c r="B1328" s="6" t="str">
        <x:v>上</x:v>
      </x:c>
      <x:c r="C1328" s="6" t="str">
        <x:f>IF(B1328="","Needs decision","Ready")</x:f>
        <x:v>Ready</x:v>
      </x:c>
      <x:c r="D1328" s="6" t="str">
        <x:v>上</x:v>
      </x:c>
      <x:c r="E1328" s="6" t="str">
        <x:v>tshjewX [tsʰjewʔ] (上)</x:v>
      </x:c>
      <x:c r="F1328" s="6" t="str">
        <x:v>上聲十七篠</x:v>
      </x:c>
      <x:c r="G1328" s="6" t="str">
        <x:v>Pingshui main list, Wikisource-derived DOCX</x:v>
      </x:c>
      <x:c r="H1328" s="6" t="str">
        <x:v>1</x:v>
      </x:c>
      <x:c r="I1328" s="6" t="str">
        <x:v>Tang 300 gap; frequency 3; provisional from Xun Gong</x:v>
      </x:c>
      <x:c r="J1328" s="6" t="str">
        <x:f>IF(B1328="","",IF(AND(ISNUMBER(SEARCH("平",B1328)),OR(ISNUMBER(SEARCH("上",B1328)),ISNUMBER(SEARCH("去",B1328)),ISNUMBER(SEARCH("入",B1328)))),"Ambiguous",IF(ISNUMBER(SEARCH("平",B1328)),"平","仄")))</x:f>
        <x:v>仄</x:v>
      </x:c>
      <x:c r="K1328" s="6" t="str">
        <x:f>IF(D1328="","",IF(AND(ISNUMBER(SEARCH("平",D1328)),OR(ISNUMBER(SEARCH("上",D1328)),ISNUMBER(SEARCH("去",D1328)),ISNUMBER(SEARCH("入",D1328)))),"Ambiguous",IF(ISNUMBER(SEARCH("平",D1328)),"平","仄")))</x:f>
        <x:v>仄</x:v>
      </x:c>
      <x:c r="L1328" s="7" t="str">
        <x:v>Xun Gong, Tang 300 gap fill</x:v>
      </x:c>
    </x:row>
    <x:row r="1329">
      <x:c r="A1329" s="5" t="str">
        <x:v>悅</x:v>
      </x:c>
      <x:c r="B1329" s="6" t="str">
        <x:v>入</x:v>
      </x:c>
      <x:c r="C1329" s="6" t="str">
        <x:f>IF(B1329="","Needs decision","Ready")</x:f>
        <x:v>Ready</x:v>
      </x:c>
      <x:c r="D1329" s="6" t="str">
        <x:v>入</x:v>
      </x:c>
      <x:c r="E1329" s="6" t="str">
        <x:v>ywet [以合三仙入] jwet</x:v>
      </x:c>
      <x:c r="F1329" s="6" t="str">
        <x:v>入聲九屑</x:v>
      </x:c>
      <x:c r="G1329" s="6" t="str">
        <x:v>Pingshui main list, Wikisource-derived DOCX</x:v>
      </x:c>
      <x:c r="H1329" s="6" t="str">
        <x:v>1</x:v>
      </x:c>
      <x:c r="I1329" s="6" t="str">
        <x:v>Targeted preliminary fill from Xun Gong; review if uncertain</x:v>
      </x:c>
      <x:c r="J1329" s="6" t="str">
        <x:f>IF(B1329="","",IF(AND(ISNUMBER(SEARCH("平",B1329)),OR(ISNUMBER(SEARCH("上",B1329)),ISNUMBER(SEARCH("去",B1329)),ISNUMBER(SEARCH("入",B1329)))),"Ambiguous",IF(ISNUMBER(SEARCH("平",B1329)),"平","仄")))</x:f>
        <x:v>仄</x:v>
      </x:c>
      <x:c r="K1329" s="6" t="str">
        <x:f>IF(D1329="","",IF(AND(ISNUMBER(SEARCH("平",D1329)),OR(ISNUMBER(SEARCH("上",D1329)),ISNUMBER(SEARCH("去",D1329)),ISNUMBER(SEARCH("入",D1329)))),"Ambiguous",IF(ISNUMBER(SEARCH("平",D1329)),"平","仄")))</x:f>
        <x:v>仄</x:v>
      </x:c>
      <x:c r="L1329" s="7" t="str">
        <x:v>Xun Gong character-readings.csv</x:v>
      </x:c>
    </x:row>
    <x:row r="1330">
      <x:c r="A1330" s="5" t="str">
        <x:v>悉</x:v>
      </x:c>
      <x:c r="B1330" s="6" t="str">
        <x:v>入</x:v>
      </x:c>
      <x:c r="C1330" s="6" t="str">
        <x:f>IF(B1330="","Needs decision","Ready")</x:f>
        <x:v>Ready</x:v>
      </x:c>
      <x:c r="D1330" s="6" t="str">
        <x:v>入</x:v>
      </x:c>
      <x:c r="E1330" s="6" t="str">
        <x:v>sit (D)</x:v>
      </x:c>
      <x:c r="F1330" s="6" t="str">
        <x:v>入聲四質</x:v>
      </x:c>
      <x:c r="G1330" s="6" t="str">
        <x:v>Pingshui main list, Wikisource-derived DOCX</x:v>
      </x:c>
      <x:c r="H1330" s="6" t="str">
        <x:v>1</x:v>
      </x:c>
      <x:c r="I1330" s="6" t="str"/>
      <x:c r="J1330" s="6" t="str">
        <x:f>IF(B1330="","",IF(AND(ISNUMBER(SEARCH("平",B1330)),OR(ISNUMBER(SEARCH("上",B1330)),ISNUMBER(SEARCH("去",B1330)),ISNUMBER(SEARCH("入",B1330)))),"Ambiguous",IF(ISNUMBER(SEARCH("平",B1330)),"平","仄")))</x:f>
        <x:v>仄</x:v>
      </x:c>
      <x:c r="K1330" s="6" t="str">
        <x:f>IF(D1330="","",IF(AND(ISNUMBER(SEARCH("平",D1330)),OR(ISNUMBER(SEARCH("上",D1330)),ISNUMBER(SEARCH("去",D1330)),ISNUMBER(SEARCH("入",D1330)))),"Ambiguous",IF(ISNUMBER(SEARCH("平",D1330)),"平","仄")))</x:f>
        <x:v>仄</x:v>
      </x:c>
      <x:c r="L1330" s="7" t="str"/>
    </x:row>
    <x:row r="1331">
      <x:c r="A1331" s="5" t="str">
        <x:v>悊</x:v>
      </x:c>
      <x:c r="B1331" s="6" t="str">
        <x:v>入</x:v>
      </x:c>
      <x:c r="C1331" s="6" t="str">
        <x:f>IF(B1331="","Needs decision","Ready")</x:f>
        <x:v>Ready</x:v>
      </x:c>
      <x:c r="D1331" s="6" t="str">
        <x:v>入</x:v>
      </x:c>
      <x:c r="E1331" s="6" t="str">
        <x:v>trjet (D)</x:v>
      </x:c>
      <x:c r="F1331" s="6" t="str"/>
      <x:c r="G1331" s="6" t="str"/>
      <x:c r="H1331" s="6" t="str">
        <x:v>1</x:v>
      </x:c>
      <x:c r="I1331" s="6" t="str"/>
      <x:c r="J1331" s="6" t="str">
        <x:f>IF(B1331="","",IF(AND(ISNUMBER(SEARCH("平",B1331)),OR(ISNUMBER(SEARCH("上",B1331)),ISNUMBER(SEARCH("去",B1331)),ISNUMBER(SEARCH("入",B1331)))),"Ambiguous",IF(ISNUMBER(SEARCH("平",B1331)),"平","仄")))</x:f>
        <x:v>仄</x:v>
      </x:c>
      <x:c r="K1331" s="6" t="str">
        <x:f>IF(D1331="","",IF(AND(ISNUMBER(SEARCH("平",D1331)),OR(ISNUMBER(SEARCH("上",D1331)),ISNUMBER(SEARCH("去",D1331)),ISNUMBER(SEARCH("入",D1331)))),"Ambiguous",IF(ISNUMBER(SEARCH("平",D1331)),"平","仄")))</x:f>
        <x:v>仄</x:v>
      </x:c>
      <x:c r="L1331" s="7" t="str"/>
    </x:row>
    <x:row r="1332">
      <x:c r="A1332" s="5" t="str">
        <x:v>悋</x:v>
      </x:c>
      <x:c r="B1332" s="6" t="str">
        <x:v>去</x:v>
      </x:c>
      <x:c r="C1332" s="6" t="str">
        <x:f>IF(B1332="","Needs decision","Ready")</x:f>
        <x:v>Ready</x:v>
      </x:c>
      <x:c r="D1332" s="6" t="str">
        <x:v>去</x:v>
      </x:c>
      <x:c r="E1332" s="6" t="str"/>
      <x:c r="F1332" s="6" t="str"/>
      <x:c r="G1332" s="6" t="str"/>
      <x:c r="H1332" s="6" t="str">
        <x:v>0</x:v>
      </x:c>
      <x:c r="I1332" s="6" t="str">
        <x:v>User correction 2026-09-08; added manually</x:v>
      </x:c>
      <x:c r="J1332" s="6" t="str">
        <x:f>IF(B1332="","",IF(AND(ISNUMBER(SEARCH("平",B1332)),OR(ISNUMBER(SEARCH("上",B1332)),ISNUMBER(SEARCH("去",B1332)),ISNUMBER(SEARCH("入",B1332)))),"Ambiguous",IF(ISNUMBER(SEARCH("平",B1332)),"平","仄")))</x:f>
        <x:v>仄</x:v>
      </x:c>
      <x:c r="K1332" s="6" t="str">
        <x:f>IF(D1332="","",IF(AND(ISNUMBER(SEARCH("平",D1332)),OR(ISNUMBER(SEARCH("上",D1332)),ISNUMBER(SEARCH("去",D1332)),ISNUMBER(SEARCH("入",D1332)))),"Ambiguous",IF(ISNUMBER(SEARCH("平",D1332)),"平","仄")))</x:f>
        <x:v>仄</x:v>
      </x:c>
      <x:c r="L1332" s="7" t="str">
        <x:v>User correction</x:v>
      </x:c>
    </x:row>
    <x:row r="1333">
      <x:c r="A1333" s="5" t="str">
        <x:v>悔</x:v>
      </x:c>
      <x:c r="B1333" s="6" t="str">
        <x:v>上</x:v>
      </x:c>
      <x:c r="C1333" s="6" t="str">
        <x:f>IF(B1333="","Needs decision","Ready")</x:f>
        <x:v>Ready</x:v>
      </x:c>
      <x:c r="D1333" s="6" t="str">
        <x:v>上</x:v>
      </x:c>
      <x:c r="E1333" s="6" t="str">
        <x:v>xwojX (B)</x:v>
      </x:c>
      <x:c r="F1333" s="6" t="str">
        <x:v>上聲十賄; 去聲十一隊</x:v>
      </x:c>
      <x:c r="G1333" s="6" t="str">
        <x:v>Pingshui main list, Wikisource-derived DOCX</x:v>
      </x:c>
      <x:c r="H1333" s="6" t="str">
        <x:v>1</x:v>
      </x:c>
      <x:c r="I1333" s="6" t="str"/>
      <x:c r="J1333" s="6" t="str">
        <x:f>IF(B1333="","",IF(AND(ISNUMBER(SEARCH("平",B1333)),OR(ISNUMBER(SEARCH("上",B1333)),ISNUMBER(SEARCH("去",B1333)),ISNUMBER(SEARCH("入",B1333)))),"Ambiguous",IF(ISNUMBER(SEARCH("平",B1333)),"平","仄")))</x:f>
        <x:v>仄</x:v>
      </x:c>
      <x:c r="K1333" s="6" t="str">
        <x:f>IF(D1333="","",IF(AND(ISNUMBER(SEARCH("平",D1333)),OR(ISNUMBER(SEARCH("上",D1333)),ISNUMBER(SEARCH("去",D1333)),ISNUMBER(SEARCH("入",D1333)))),"Ambiguous",IF(ISNUMBER(SEARCH("平",D1333)),"平","仄")))</x:f>
        <x:v>仄</x:v>
      </x:c>
      <x:c r="L1333" s="7" t="str"/>
    </x:row>
    <x:row r="1334">
      <x:c r="A1334" s="5" t="str">
        <x:v>悖</x:v>
      </x:c>
      <x:c r="B1334" s="6" t="str"/>
      <x:c r="C1334" s="6" t="str">
        <x:f>IF(B1334="","Needs decision","Ready")</x:f>
        <x:v>Needs decision</x:v>
      </x:c>
      <x:c r="D1334" s="6" t="str">
        <x:v>去/入</x:v>
      </x:c>
      <x:c r="E1334" s="6" t="str">
        <x:v>bwojH (C); bwot (D)</x:v>
      </x:c>
      <x:c r="F1334" s="6" t="str">
        <x:v>去聲十一隊; 入聲六月</x:v>
      </x:c>
      <x:c r="G1334" s="6" t="str">
        <x:v>Pingshui main list, Wikisource-derived DOCX</x:v>
      </x:c>
      <x:c r="H1334" s="6" t="str">
        <x:v>2</x:v>
      </x:c>
      <x:c r="I1334" s="6" t="str"/>
      <x:c r="J1334" s="6" t="str">
        <x:f>IF(B1334="","",IF(AND(ISNUMBER(SEARCH("平",B1334)),OR(ISNUMBER(SEARCH("上",B1334)),ISNUMBER(SEARCH("去",B1334)),ISNUMBER(SEARCH("入",B1334)))),"Ambiguous",IF(ISNUMBER(SEARCH("平",B1334)),"平","仄")))</x:f>
      </x:c>
      <x:c r="K1334" s="6" t="str">
        <x:f>IF(D1334="","",IF(AND(ISNUMBER(SEARCH("平",D1334)),OR(ISNUMBER(SEARCH("上",D1334)),ISNUMBER(SEARCH("去",D1334)),ISNUMBER(SEARCH("入",D1334)))),"Ambiguous",IF(ISNUMBER(SEARCH("平",D1334)),"平","仄")))</x:f>
        <x:v>仄</x:v>
      </x:c>
      <x:c r="L1334" s="7" t="str"/>
    </x:row>
    <x:row r="1335">
      <x:c r="A1335" s="5" t="str">
        <x:v>悟</x:v>
      </x:c>
      <x:c r="B1335" s="6" t="str">
        <x:v>去</x:v>
      </x:c>
      <x:c r="C1335" s="6" t="str">
        <x:f>IF(B1335="","Needs decision","Ready")</x:f>
        <x:v>Ready</x:v>
      </x:c>
      <x:c r="D1335" s="6" t="str">
        <x:v>去</x:v>
      </x:c>
      <x:c r="E1335" s="6" t="str">
        <x:v>nguH (C)</x:v>
      </x:c>
      <x:c r="F1335" s="6" t="str">
        <x:v>去聲七遇</x:v>
      </x:c>
      <x:c r="G1335" s="6" t="str">
        <x:v>Pingshui main list, Wikisource-derived DOCX</x:v>
      </x:c>
      <x:c r="H1335" s="6" t="str">
        <x:v>1</x:v>
      </x:c>
      <x:c r="I1335" s="6" t="str"/>
      <x:c r="J1335" s="6" t="str">
        <x:f>IF(B1335="","",IF(AND(ISNUMBER(SEARCH("平",B1335)),OR(ISNUMBER(SEARCH("上",B1335)),ISNUMBER(SEARCH("去",B1335)),ISNUMBER(SEARCH("入",B1335)))),"Ambiguous",IF(ISNUMBER(SEARCH("平",B1335)),"平","仄")))</x:f>
        <x:v>仄</x:v>
      </x:c>
      <x:c r="K1335" s="6" t="str">
        <x:f>IF(D1335="","",IF(AND(ISNUMBER(SEARCH("平",D1335)),OR(ISNUMBER(SEARCH("上",D1335)),ISNUMBER(SEARCH("去",D1335)),ISNUMBER(SEARCH("入",D1335)))),"Ambiguous",IF(ISNUMBER(SEARCH("平",D1335)),"平","仄")))</x:f>
        <x:v>仄</x:v>
      </x:c>
      <x:c r="L1335" s="7" t="str"/>
    </x:row>
    <x:row r="1336">
      <x:c r="A1336" s="5" t="str">
        <x:v>悠</x:v>
      </x:c>
      <x:c r="B1336" s="6" t="str">
        <x:v>平</x:v>
      </x:c>
      <x:c r="C1336" s="6" t="str">
        <x:f>IF(B1336="","Needs decision","Ready")</x:f>
        <x:v>Ready</x:v>
      </x:c>
      <x:c r="D1336" s="6" t="str">
        <x:v>平</x:v>
      </x:c>
      <x:c r="E1336" s="6" t="str">
        <x:v>yuw (A)</x:v>
      </x:c>
      <x:c r="F1336" s="6" t="str">
        <x:v>下平聲十一尤</x:v>
      </x:c>
      <x:c r="G1336" s="6" t="str">
        <x:v>Pingshui main list, Wikisource-derived DOCX</x:v>
      </x:c>
      <x:c r="H1336" s="6" t="str">
        <x:v>1</x:v>
      </x:c>
      <x:c r="I1336" s="6" t="str"/>
      <x:c r="J1336" s="6" t="str">
        <x:f>IF(B1336="","",IF(AND(ISNUMBER(SEARCH("平",B1336)),OR(ISNUMBER(SEARCH("上",B1336)),ISNUMBER(SEARCH("去",B1336)),ISNUMBER(SEARCH("入",B1336)))),"Ambiguous",IF(ISNUMBER(SEARCH("平",B1336)),"平","仄")))</x:f>
        <x:v>平</x:v>
      </x:c>
      <x:c r="K1336" s="6" t="str">
        <x:f>IF(D1336="","",IF(AND(ISNUMBER(SEARCH("平",D1336)),OR(ISNUMBER(SEARCH("上",D1336)),ISNUMBER(SEARCH("去",D1336)),ISNUMBER(SEARCH("入",D1336)))),"Ambiguous",IF(ISNUMBER(SEARCH("平",D1336)),"平","仄")))</x:f>
        <x:v>平</x:v>
      </x:c>
      <x:c r="L1336" s="7" t="str"/>
    </x:row>
    <x:row r="1337">
      <x:c r="A1337" s="5" t="str">
        <x:v>患</x:v>
      </x:c>
      <x:c r="B1337" s="6" t="str">
        <x:v>去</x:v>
      </x:c>
      <x:c r="C1337" s="6" t="str">
        <x:f>IF(B1337="","Needs decision","Ready")</x:f>
        <x:v>Ready</x:v>
      </x:c>
      <x:c r="D1337" s="6" t="str">
        <x:v>去</x:v>
      </x:c>
      <x:c r="E1337" s="6" t="str">
        <x:v>hwaenH (C)</x:v>
      </x:c>
      <x:c r="F1337" s="6" t="str">
        <x:v>上平聲十五刪; 去聲十六諫</x:v>
      </x:c>
      <x:c r="G1337" s="6" t="str">
        <x:v>Pingshui main list, Wikisource-derived DOCX</x:v>
      </x:c>
      <x:c r="H1337" s="6" t="str">
        <x:v>1</x:v>
      </x:c>
      <x:c r="I1337" s="6" t="str"/>
      <x:c r="J1337" s="6" t="str">
        <x:f>IF(B1337="","",IF(AND(ISNUMBER(SEARCH("平",B1337)),OR(ISNUMBER(SEARCH("上",B1337)),ISNUMBER(SEARCH("去",B1337)),ISNUMBER(SEARCH("入",B1337)))),"Ambiguous",IF(ISNUMBER(SEARCH("平",B1337)),"平","仄")))</x:f>
        <x:v>仄</x:v>
      </x:c>
      <x:c r="K1337" s="6" t="str">
        <x:f>IF(D1337="","",IF(AND(ISNUMBER(SEARCH("平",D1337)),OR(ISNUMBER(SEARCH("上",D1337)),ISNUMBER(SEARCH("去",D1337)),ISNUMBER(SEARCH("入",D1337)))),"Ambiguous",IF(ISNUMBER(SEARCH("平",D1337)),"平","仄")))</x:f>
        <x:v>仄</x:v>
      </x:c>
      <x:c r="L1337" s="7" t="str"/>
    </x:row>
    <x:row r="1338">
      <x:c r="A1338" s="5" t="str">
        <x:v>悦</x:v>
      </x:c>
      <x:c r="B1338" s="6" t="str">
        <x:v>入</x:v>
      </x:c>
      <x:c r="C1338" s="6" t="str">
        <x:f>IF(B1338="","Needs decision","Ready")</x:f>
        <x:v>Ready</x:v>
      </x:c>
      <x:c r="D1338" s="6" t="str">
        <x:v>入</x:v>
      </x:c>
      <x:c r="E1338" s="6" t="str">
        <x:v>ywet (D)</x:v>
      </x:c>
      <x:c r="F1338" s="6" t="str"/>
      <x:c r="G1338" s="6" t="str"/>
      <x:c r="H1338" s="6" t="str">
        <x:v>1</x:v>
      </x:c>
      <x:c r="I1338" s="6" t="str"/>
      <x:c r="J1338" s="6" t="str">
        <x:f>IF(B1338="","",IF(AND(ISNUMBER(SEARCH("平",B1338)),OR(ISNUMBER(SEARCH("上",B1338)),ISNUMBER(SEARCH("去",B1338)),ISNUMBER(SEARCH("入",B1338)))),"Ambiguous",IF(ISNUMBER(SEARCH("平",B1338)),"平","仄")))</x:f>
        <x:v>仄</x:v>
      </x:c>
      <x:c r="K1338" s="6" t="str">
        <x:f>IF(D1338="","",IF(AND(ISNUMBER(SEARCH("平",D1338)),OR(ISNUMBER(SEARCH("上",D1338)),ISNUMBER(SEARCH("去",D1338)),ISNUMBER(SEARCH("入",D1338)))),"Ambiguous",IF(ISNUMBER(SEARCH("平",D1338)),"平","仄")))</x:f>
        <x:v>仄</x:v>
      </x:c>
      <x:c r="L1338" s="7" t="str"/>
    </x:row>
    <x:row r="1339">
      <x:c r="A1339" s="5" t="str">
        <x:v>悲</x:v>
      </x:c>
      <x:c r="B1339" s="6" t="str">
        <x:v>平</x:v>
      </x:c>
      <x:c r="C1339" s="6" t="str">
        <x:f>IF(B1339="","Needs decision","Ready")</x:f>
        <x:v>Ready</x:v>
      </x:c>
      <x:c r="D1339" s="6" t="str">
        <x:v>平</x:v>
      </x:c>
      <x:c r="E1339" s="6" t="str">
        <x:v>pij (A)</x:v>
      </x:c>
      <x:c r="F1339" s="6" t="str">
        <x:v>上平聲四支</x:v>
      </x:c>
      <x:c r="G1339" s="6" t="str">
        <x:v>Pingshui main list, Wikisource-derived DOCX</x:v>
      </x:c>
      <x:c r="H1339" s="6" t="str">
        <x:v>1</x:v>
      </x:c>
      <x:c r="I1339" s="6" t="str"/>
      <x:c r="J1339" s="6" t="str">
        <x:f>IF(B1339="","",IF(AND(ISNUMBER(SEARCH("平",B1339)),OR(ISNUMBER(SEARCH("上",B1339)),ISNUMBER(SEARCH("去",B1339)),ISNUMBER(SEARCH("入",B1339)))),"Ambiguous",IF(ISNUMBER(SEARCH("平",B1339)),"平","仄")))</x:f>
        <x:v>平</x:v>
      </x:c>
      <x:c r="K1339" s="6" t="str">
        <x:f>IF(D1339="","",IF(AND(ISNUMBER(SEARCH("平",D1339)),OR(ISNUMBER(SEARCH("上",D1339)),ISNUMBER(SEARCH("去",D1339)),ISNUMBER(SEARCH("入",D1339)))),"Ambiguous",IF(ISNUMBER(SEARCH("平",D1339)),"平","仄")))</x:f>
        <x:v>平</x:v>
      </x:c>
      <x:c r="L1339" s="7" t="str"/>
    </x:row>
    <x:row r="1340">
      <x:c r="A1340" s="5" t="str">
        <x:v>悴</x:v>
      </x:c>
      <x:c r="B1340" s="6" t="str">
        <x:v>去</x:v>
      </x:c>
      <x:c r="C1340" s="6" t="str">
        <x:f>IF(B1340="","Needs decision","Ready")</x:f>
        <x:v>Ready</x:v>
      </x:c>
      <x:c r="D1340" s="6" t="str">
        <x:v>去</x:v>
      </x:c>
      <x:c r="E1340" s="6" t="str">
        <x:v>dzwijH [dzjwih] (去)</x:v>
      </x:c>
      <x:c r="F1340" s="6" t="str"/>
      <x:c r="G1340" s="6" t="str"/>
      <x:c r="H1340" s="6" t="str">
        <x:v>1</x:v>
      </x:c>
      <x:c r="I1340" s="6" t="str">
        <x:v>Tang 300 gap; frequency 1; provisional from Xun Gong</x:v>
      </x:c>
      <x:c r="J1340" s="6" t="str">
        <x:f>IF(B1340="","",IF(AND(ISNUMBER(SEARCH("平",B1340)),OR(ISNUMBER(SEARCH("上",B1340)),ISNUMBER(SEARCH("去",B1340)),ISNUMBER(SEARCH("入",B1340)))),"Ambiguous",IF(ISNUMBER(SEARCH("平",B1340)),"平","仄")))</x:f>
        <x:v>仄</x:v>
      </x:c>
      <x:c r="K1340" s="6" t="str">
        <x:f>IF(D1340="","",IF(AND(ISNUMBER(SEARCH("平",D1340)),OR(ISNUMBER(SEARCH("上",D1340)),ISNUMBER(SEARCH("去",D1340)),ISNUMBER(SEARCH("入",D1340)))),"Ambiguous",IF(ISNUMBER(SEARCH("平",D1340)),"平","仄")))</x:f>
        <x:v>仄</x:v>
      </x:c>
      <x:c r="L1340" s="7" t="str">
        <x:v>Xun Gong, Tang 300 gap fill</x:v>
      </x:c>
    </x:row>
    <x:row r="1341">
      <x:c r="A1341" s="5" t="str">
        <x:v>悵</x:v>
      </x:c>
      <x:c r="B1341" s="6" t="str">
        <x:v>去</x:v>
      </x:c>
      <x:c r="C1341" s="6" t="str">
        <x:f>IF(B1341="","Needs decision","Ready")</x:f>
        <x:v>Ready</x:v>
      </x:c>
      <x:c r="D1341" s="6" t="str">
        <x:v>去</x:v>
      </x:c>
      <x:c r="E1341" s="6" t="str">
        <x:v>trhjangH (C)</x:v>
      </x:c>
      <x:c r="F1341" s="6" t="str">
        <x:v>去聲二十三漾</x:v>
      </x:c>
      <x:c r="G1341" s="6" t="str">
        <x:v>Pingshui main list, Wikisource-derived DOCX</x:v>
      </x:c>
      <x:c r="H1341" s="6" t="str">
        <x:v>1</x:v>
      </x:c>
      <x:c r="I1341" s="6" t="str"/>
      <x:c r="J1341" s="6" t="str">
        <x:f>IF(B1341="","",IF(AND(ISNUMBER(SEARCH("平",B1341)),OR(ISNUMBER(SEARCH("上",B1341)),ISNUMBER(SEARCH("去",B1341)),ISNUMBER(SEARCH("入",B1341)))),"Ambiguous",IF(ISNUMBER(SEARCH("平",B1341)),"平","仄")))</x:f>
        <x:v>仄</x:v>
      </x:c>
      <x:c r="K1341" s="6" t="str">
        <x:f>IF(D1341="","",IF(AND(ISNUMBER(SEARCH("平",D1341)),OR(ISNUMBER(SEARCH("上",D1341)),ISNUMBER(SEARCH("去",D1341)),ISNUMBER(SEARCH("入",D1341)))),"Ambiguous",IF(ISNUMBER(SEARCH("平",D1341)),"平","仄")))</x:f>
        <x:v>仄</x:v>
      </x:c>
      <x:c r="L1341" s="7" t="str"/>
    </x:row>
    <x:row r="1342">
      <x:c r="A1342" s="5" t="str">
        <x:v>悸</x:v>
      </x:c>
      <x:c r="B1342" s="6" t="str">
        <x:v>去</x:v>
      </x:c>
      <x:c r="C1342" s="6" t="str">
        <x:f>IF(B1342="","Needs decision","Ready")</x:f>
        <x:v>Ready</x:v>
      </x:c>
      <x:c r="D1342" s="6" t="str">
        <x:v>去</x:v>
      </x:c>
      <x:c r="E1342" s="6" t="str">
        <x:v>gjwijH (C)</x:v>
      </x:c>
      <x:c r="F1342" s="6" t="str">
        <x:v>去聲四寘</x:v>
      </x:c>
      <x:c r="G1342" s="6" t="str">
        <x:v>Pingshui main list, Wikisource-derived DOCX</x:v>
      </x:c>
      <x:c r="H1342" s="6" t="str">
        <x:v>1</x:v>
      </x:c>
      <x:c r="I1342" s="6" t="str"/>
      <x:c r="J1342" s="6" t="str">
        <x:f>IF(B1342="","",IF(AND(ISNUMBER(SEARCH("平",B1342)),OR(ISNUMBER(SEARCH("上",B1342)),ISNUMBER(SEARCH("去",B1342)),ISNUMBER(SEARCH("入",B1342)))),"Ambiguous",IF(ISNUMBER(SEARCH("平",B1342)),"平","仄")))</x:f>
        <x:v>仄</x:v>
      </x:c>
      <x:c r="K1342" s="6" t="str">
        <x:f>IF(D1342="","",IF(AND(ISNUMBER(SEARCH("平",D1342)),OR(ISNUMBER(SEARCH("上",D1342)),ISNUMBER(SEARCH("去",D1342)),ISNUMBER(SEARCH("入",D1342)))),"Ambiguous",IF(ISNUMBER(SEARCH("平",D1342)),"平","仄")))</x:f>
        <x:v>仄</x:v>
      </x:c>
      <x:c r="L1342" s="7" t="str"/>
    </x:row>
    <x:row r="1343">
      <x:c r="A1343" s="5" t="str">
        <x:v>悼</x:v>
      </x:c>
      <x:c r="B1343" s="6" t="str">
        <x:v>去</x:v>
      </x:c>
      <x:c r="C1343" s="6" t="str">
        <x:f>IF(B1343="","Needs decision","Ready")</x:f>
        <x:v>Ready</x:v>
      </x:c>
      <x:c r="D1343" s="6" t="str">
        <x:v>去</x:v>
      </x:c>
      <x:c r="E1343" s="6" t="str">
        <x:v>dawH (C)</x:v>
      </x:c>
      <x:c r="F1343" s="6" t="str">
        <x:v>去聲二十號</x:v>
      </x:c>
      <x:c r="G1343" s="6" t="str">
        <x:v>Pingshui main list, Wikisource-derived DOCX</x:v>
      </x:c>
      <x:c r="H1343" s="6" t="str">
        <x:v>1</x:v>
      </x:c>
      <x:c r="I1343" s="6" t="str"/>
      <x:c r="J1343" s="6" t="str">
        <x:f>IF(B1343="","",IF(AND(ISNUMBER(SEARCH("平",B1343)),OR(ISNUMBER(SEARCH("上",B1343)),ISNUMBER(SEARCH("去",B1343)),ISNUMBER(SEARCH("入",B1343)))),"Ambiguous",IF(ISNUMBER(SEARCH("平",B1343)),"平","仄")))</x:f>
        <x:v>仄</x:v>
      </x:c>
      <x:c r="K1343" s="6" t="str">
        <x:f>IF(D1343="","",IF(AND(ISNUMBER(SEARCH("平",D1343)),OR(ISNUMBER(SEARCH("上",D1343)),ISNUMBER(SEARCH("去",D1343)),ISNUMBER(SEARCH("入",D1343)))),"Ambiguous",IF(ISNUMBER(SEARCH("平",D1343)),"平","仄")))</x:f>
        <x:v>仄</x:v>
      </x:c>
      <x:c r="L1343" s="7" t="str"/>
    </x:row>
    <x:row r="1344">
      <x:c r="A1344" s="5" t="str">
        <x:v>悽</x:v>
      </x:c>
      <x:c r="B1344" s="6" t="str">
        <x:v>平</x:v>
      </x:c>
      <x:c r="C1344" s="6" t="str">
        <x:f>IF(B1344="","Needs decision","Ready")</x:f>
        <x:v>Ready</x:v>
      </x:c>
      <x:c r="D1344" s="6" t="str">
        <x:v>平</x:v>
      </x:c>
      <x:c r="E1344" s="6" t="str">
        <x:v>tshej [t̙s̙ʰej] (平)</x:v>
      </x:c>
      <x:c r="F1344" s="6" t="str">
        <x:v>上平聲八齊</x:v>
      </x:c>
      <x:c r="G1344" s="6" t="str">
        <x:v>Pingshui main list, Wikisource-derived DOCX</x:v>
      </x:c>
      <x:c r="H1344" s="6" t="str">
        <x:v>1</x:v>
      </x:c>
      <x:c r="I1344" s="6" t="str">
        <x:v>Tang 300 gap; frequency 2; provisional from Xun Gong</x:v>
      </x:c>
      <x:c r="J1344" s="6" t="str">
        <x:f>IF(B1344="","",IF(AND(ISNUMBER(SEARCH("平",B1344)),OR(ISNUMBER(SEARCH("上",B1344)),ISNUMBER(SEARCH("去",B1344)),ISNUMBER(SEARCH("入",B1344)))),"Ambiguous",IF(ISNUMBER(SEARCH("平",B1344)),"平","仄")))</x:f>
        <x:v>平</x:v>
      </x:c>
      <x:c r="K1344" s="6" t="str">
        <x:f>IF(D1344="","",IF(AND(ISNUMBER(SEARCH("平",D1344)),OR(ISNUMBER(SEARCH("上",D1344)),ISNUMBER(SEARCH("去",D1344)),ISNUMBER(SEARCH("入",D1344)))),"Ambiguous",IF(ISNUMBER(SEARCH("平",D1344)),"平","仄")))</x:f>
        <x:v>平</x:v>
      </x:c>
      <x:c r="L1344" s="7" t="str">
        <x:v>Xun Gong, Tang 300 gap fill</x:v>
      </x:c>
    </x:row>
    <x:row r="1345">
      <x:c r="A1345" s="5" t="str">
        <x:v>情</x:v>
      </x:c>
      <x:c r="B1345" s="6" t="str">
        <x:v>平</x:v>
      </x:c>
      <x:c r="C1345" s="6" t="str">
        <x:f>IF(B1345="","Needs decision","Ready")</x:f>
        <x:v>Ready</x:v>
      </x:c>
      <x:c r="D1345" s="6" t="str">
        <x:v>平</x:v>
      </x:c>
      <x:c r="E1345" s="6" t="str">
        <x:v>dzjeng (A)</x:v>
      </x:c>
      <x:c r="F1345" s="6" t="str">
        <x:v>下平聲八庚</x:v>
      </x:c>
      <x:c r="G1345" s="6" t="str">
        <x:v>Pingshui main list, Wikisource-derived DOCX</x:v>
      </x:c>
      <x:c r="H1345" s="6" t="str">
        <x:v>1</x:v>
      </x:c>
      <x:c r="I1345" s="6" t="str"/>
      <x:c r="J1345" s="6" t="str">
        <x:f>IF(B1345="","",IF(AND(ISNUMBER(SEARCH("平",B1345)),OR(ISNUMBER(SEARCH("上",B1345)),ISNUMBER(SEARCH("去",B1345)),ISNUMBER(SEARCH("入",B1345)))),"Ambiguous",IF(ISNUMBER(SEARCH("平",B1345)),"平","仄")))</x:f>
        <x:v>平</x:v>
      </x:c>
      <x:c r="K1345" s="6" t="str">
        <x:f>IF(D1345="","",IF(AND(ISNUMBER(SEARCH("平",D1345)),OR(ISNUMBER(SEARCH("上",D1345)),ISNUMBER(SEARCH("去",D1345)),ISNUMBER(SEARCH("入",D1345)))),"Ambiguous",IF(ISNUMBER(SEARCH("平",D1345)),"平","仄")))</x:f>
        <x:v>平</x:v>
      </x:c>
      <x:c r="L1345" s="7" t="str"/>
    </x:row>
    <x:row r="1346">
      <x:c r="A1346" s="5" t="str">
        <x:v>惆</x:v>
      </x:c>
      <x:c r="B1346" s="6" t="str">
        <x:v>平</x:v>
      </x:c>
      <x:c r="C1346" s="6" t="str">
        <x:f>IF(B1346="","Needs decision","Ready")</x:f>
        <x:v>Ready</x:v>
      </x:c>
      <x:c r="D1346" s="6" t="str">
        <x:v>平</x:v>
      </x:c>
      <x:c r="E1346" s="6" t="str"/>
      <x:c r="F1346" s="6" t="str">
        <x:v>下平聲十一尤</x:v>
      </x:c>
      <x:c r="G1346" s="6" t="str">
        <x:v>Pingshui main list, Wikisource-derived DOCX</x:v>
      </x:c>
      <x:c r="H1346" s="6" t="str"/>
      <x:c r="I1346" s="6" t="str">
        <x:v>Manual user correction/addition</x:v>
      </x:c>
      <x:c r="J1346" s="6" t="str">
        <x:f>IF(B1346="","",IF(AND(ISNUMBER(SEARCH("平",B1346)),OR(ISNUMBER(SEARCH("上",B1346)),ISNUMBER(SEARCH("去",B1346)),ISNUMBER(SEARCH("入",B1346)))),"Ambiguous",IF(ISNUMBER(SEARCH("平",B1346)),"平","仄")))</x:f>
        <x:v>平</x:v>
      </x:c>
      <x:c r="K1346" s="6" t="str">
        <x:f>IF(D1346="","",IF(AND(ISNUMBER(SEARCH("平",D1346)),OR(ISNUMBER(SEARCH("上",D1346)),ISNUMBER(SEARCH("去",D1346)),ISNUMBER(SEARCH("入",D1346)))),"Ambiguous",IF(ISNUMBER(SEARCH("平",D1346)),"平","仄")))</x:f>
        <x:v>平</x:v>
      </x:c>
      <x:c r="L1346" s="7" t="str">
        <x:v>manual user correction</x:v>
      </x:c>
    </x:row>
    <x:row r="1347">
      <x:c r="A1347" s="5" t="str">
        <x:v>惋</x:v>
      </x:c>
      <x:c r="B1347" s="6" t="str">
        <x:v>去</x:v>
      </x:c>
      <x:c r="C1347" s="6" t="str">
        <x:f>IF(B1347="","Needs decision","Ready")</x:f>
        <x:v>Ready</x:v>
      </x:c>
      <x:c r="D1347" s="6" t="str">
        <x:v>去</x:v>
      </x:c>
      <x:c r="E1347" s="6" t="str">
        <x:v>'wanH [ʔ̙wɑnh] (去)</x:v>
      </x:c>
      <x:c r="F1347" s="6" t="str">
        <x:v>去聲十五翰</x:v>
      </x:c>
      <x:c r="G1347" s="6" t="str">
        <x:v>Pingshui main list, Wikisource-derived DOCX</x:v>
      </x:c>
      <x:c r="H1347" s="6" t="str">
        <x:v>1</x:v>
      </x:c>
      <x:c r="I1347" s="6" t="str">
        <x:v>Tang 300 gap; frequency 1; provisional from Xun Gong</x:v>
      </x:c>
      <x:c r="J1347" s="6" t="str">
        <x:f>IF(B1347="","",IF(AND(ISNUMBER(SEARCH("平",B1347)),OR(ISNUMBER(SEARCH("上",B1347)),ISNUMBER(SEARCH("去",B1347)),ISNUMBER(SEARCH("入",B1347)))),"Ambiguous",IF(ISNUMBER(SEARCH("平",B1347)),"平","仄")))</x:f>
        <x:v>仄</x:v>
      </x:c>
      <x:c r="K1347" s="6" t="str">
        <x:f>IF(D1347="","",IF(AND(ISNUMBER(SEARCH("平",D1347)),OR(ISNUMBER(SEARCH("上",D1347)),ISNUMBER(SEARCH("去",D1347)),ISNUMBER(SEARCH("入",D1347)))),"Ambiguous",IF(ISNUMBER(SEARCH("平",D1347)),"平","仄")))</x:f>
        <x:v>仄</x:v>
      </x:c>
      <x:c r="L1347" s="7" t="str">
        <x:v>Xun Gong, Tang 300 gap fill</x:v>
      </x:c>
    </x:row>
    <x:row r="1348">
      <x:c r="A1348" s="5" t="str">
        <x:v>惑</x:v>
      </x:c>
      <x:c r="B1348" s="6" t="str">
        <x:v>入</x:v>
      </x:c>
      <x:c r="C1348" s="6" t="str">
        <x:f>IF(B1348="","Needs decision","Ready")</x:f>
        <x:v>Ready</x:v>
      </x:c>
      <x:c r="D1348" s="6" t="str">
        <x:v>入</x:v>
      </x:c>
      <x:c r="E1348" s="6" t="str">
        <x:v>hwok (D)</x:v>
      </x:c>
      <x:c r="F1348" s="6" t="str">
        <x:v>入聲十三職</x:v>
      </x:c>
      <x:c r="G1348" s="6" t="str">
        <x:v>Pingshui main list, Wikisource-derived DOCX</x:v>
      </x:c>
      <x:c r="H1348" s="6" t="str">
        <x:v>1</x:v>
      </x:c>
      <x:c r="I1348" s="6" t="str"/>
      <x:c r="J1348" s="6" t="str">
        <x:f>IF(B1348="","",IF(AND(ISNUMBER(SEARCH("平",B1348)),OR(ISNUMBER(SEARCH("上",B1348)),ISNUMBER(SEARCH("去",B1348)),ISNUMBER(SEARCH("入",B1348)))),"Ambiguous",IF(ISNUMBER(SEARCH("平",B1348)),"平","仄")))</x:f>
        <x:v>仄</x:v>
      </x:c>
      <x:c r="K1348" s="6" t="str">
        <x:f>IF(D1348="","",IF(AND(ISNUMBER(SEARCH("平",D1348)),OR(ISNUMBER(SEARCH("上",D1348)),ISNUMBER(SEARCH("去",D1348)),ISNUMBER(SEARCH("入",D1348)))),"Ambiguous",IF(ISNUMBER(SEARCH("平",D1348)),"平","仄")))</x:f>
        <x:v>仄</x:v>
      </x:c>
      <x:c r="L1348" s="7" t="str"/>
    </x:row>
    <x:row r="1349">
      <x:c r="A1349" s="5" t="str">
        <x:v>惕</x:v>
      </x:c>
      <x:c r="B1349" s="6" t="str">
        <x:v>入</x:v>
      </x:c>
      <x:c r="C1349" s="6" t="str">
        <x:f>IF(B1349="","Needs decision","Ready")</x:f>
        <x:v>Ready</x:v>
      </x:c>
      <x:c r="D1349" s="6" t="str">
        <x:v>入</x:v>
      </x:c>
      <x:c r="E1349" s="6" t="str">
        <x:v>thek (D)</x:v>
      </x:c>
      <x:c r="F1349" s="6" t="str"/>
      <x:c r="G1349" s="6" t="str"/>
      <x:c r="H1349" s="6" t="str">
        <x:v>1</x:v>
      </x:c>
      <x:c r="I1349" s="6" t="str"/>
      <x:c r="J1349" s="6" t="str">
        <x:f>IF(B1349="","",IF(AND(ISNUMBER(SEARCH("平",B1349)),OR(ISNUMBER(SEARCH("上",B1349)),ISNUMBER(SEARCH("去",B1349)),ISNUMBER(SEARCH("入",B1349)))),"Ambiguous",IF(ISNUMBER(SEARCH("平",B1349)),"平","仄")))</x:f>
        <x:v>仄</x:v>
      </x:c>
      <x:c r="K1349" s="6" t="str">
        <x:f>IF(D1349="","",IF(AND(ISNUMBER(SEARCH("平",D1349)),OR(ISNUMBER(SEARCH("上",D1349)),ISNUMBER(SEARCH("去",D1349)),ISNUMBER(SEARCH("入",D1349)))),"Ambiguous",IF(ISNUMBER(SEARCH("平",D1349)),"平","仄")))</x:f>
        <x:v>仄</x:v>
      </x:c>
      <x:c r="L1349" s="7" t="str"/>
    </x:row>
    <x:row r="1350">
      <x:c r="A1350" s="5" t="str">
        <x:v>惘</x:v>
      </x:c>
      <x:c r="B1350" s="6" t="str">
        <x:v>上</x:v>
      </x:c>
      <x:c r="C1350" s="6" t="str">
        <x:f>IF(B1350="","Needs decision","Ready")</x:f>
        <x:v>Ready</x:v>
      </x:c>
      <x:c r="D1350" s="6" t="str">
        <x:v>上</x:v>
      </x:c>
      <x:c r="E1350" s="6" t="str">
        <x:v>mjangX (B)</x:v>
      </x:c>
      <x:c r="F1350" s="6" t="str">
        <x:v>上聲二十二養</x:v>
      </x:c>
      <x:c r="G1350" s="6" t="str">
        <x:v>Pingshui main list, Wikisource-derived DOCX</x:v>
      </x:c>
      <x:c r="H1350" s="6" t="str">
        <x:v>1</x:v>
      </x:c>
      <x:c r="I1350" s="6" t="str"/>
      <x:c r="J1350" s="6" t="str">
        <x:f>IF(B1350="","",IF(AND(ISNUMBER(SEARCH("平",B1350)),OR(ISNUMBER(SEARCH("上",B1350)),ISNUMBER(SEARCH("去",B1350)),ISNUMBER(SEARCH("入",B1350)))),"Ambiguous",IF(ISNUMBER(SEARCH("平",B1350)),"平","仄")))</x:f>
        <x:v>仄</x:v>
      </x:c>
      <x:c r="K1350" s="6" t="str">
        <x:f>IF(D1350="","",IF(AND(ISNUMBER(SEARCH("平",D1350)),OR(ISNUMBER(SEARCH("上",D1350)),ISNUMBER(SEARCH("去",D1350)),ISNUMBER(SEARCH("入",D1350)))),"Ambiguous",IF(ISNUMBER(SEARCH("平",D1350)),"平","仄")))</x:f>
        <x:v>仄</x:v>
      </x:c>
      <x:c r="L1350" s="7" t="str"/>
    </x:row>
    <x:row r="1351">
      <x:c r="A1351" s="5" t="str">
        <x:v>惚</x:v>
      </x:c>
      <x:c r="B1351" s="6" t="str">
        <x:v>入</x:v>
      </x:c>
      <x:c r="C1351" s="6" t="str">
        <x:f>IF(B1351="","Needs decision","Ready")</x:f>
        <x:v>Ready</x:v>
      </x:c>
      <x:c r="D1351" s="6" t="str">
        <x:v>入</x:v>
      </x:c>
      <x:c r="E1351" s="6" t="str">
        <x:v>xwot (D)</x:v>
      </x:c>
      <x:c r="F1351" s="6" t="str">
        <x:v>入聲六月</x:v>
      </x:c>
      <x:c r="G1351" s="6" t="str">
        <x:v>Pingshui main list, Wikisource-derived DOCX</x:v>
      </x:c>
      <x:c r="H1351" s="6" t="str">
        <x:v>1</x:v>
      </x:c>
      <x:c r="I1351" s="6" t="str"/>
      <x:c r="J1351" s="6" t="str">
        <x:f>IF(B1351="","",IF(AND(ISNUMBER(SEARCH("平",B1351)),OR(ISNUMBER(SEARCH("上",B1351)),ISNUMBER(SEARCH("去",B1351)),ISNUMBER(SEARCH("入",B1351)))),"Ambiguous",IF(ISNUMBER(SEARCH("平",B1351)),"平","仄")))</x:f>
        <x:v>仄</x:v>
      </x:c>
      <x:c r="K1351" s="6" t="str">
        <x:f>IF(D1351="","",IF(AND(ISNUMBER(SEARCH("平",D1351)),OR(ISNUMBER(SEARCH("上",D1351)),ISNUMBER(SEARCH("去",D1351)),ISNUMBER(SEARCH("入",D1351)))),"Ambiguous",IF(ISNUMBER(SEARCH("平",D1351)),"平","仄")))</x:f>
        <x:v>仄</x:v>
      </x:c>
      <x:c r="L1351" s="7" t="str"/>
    </x:row>
    <x:row r="1352">
      <x:c r="A1352" s="5" t="str">
        <x:v>惜</x:v>
      </x:c>
      <x:c r="B1352" s="6" t="str">
        <x:v>入</x:v>
      </x:c>
      <x:c r="C1352" s="6" t="str">
        <x:f>IF(B1352="","Needs decision","Ready")</x:f>
        <x:v>Ready</x:v>
      </x:c>
      <x:c r="D1352" s="6" t="str">
        <x:v>入</x:v>
      </x:c>
      <x:c r="E1352" s="6" t="str">
        <x:v>sjek (D)</x:v>
      </x:c>
      <x:c r="F1352" s="6" t="str">
        <x:v>入聲十一陌</x:v>
      </x:c>
      <x:c r="G1352" s="6" t="str">
        <x:v>Pingshui main list, Wikisource-derived DOCX</x:v>
      </x:c>
      <x:c r="H1352" s="6" t="str">
        <x:v>1</x:v>
      </x:c>
      <x:c r="I1352" s="6" t="str"/>
      <x:c r="J1352" s="6" t="str">
        <x:f>IF(B1352="","",IF(AND(ISNUMBER(SEARCH("平",B1352)),OR(ISNUMBER(SEARCH("上",B1352)),ISNUMBER(SEARCH("去",B1352)),ISNUMBER(SEARCH("入",B1352)))),"Ambiguous",IF(ISNUMBER(SEARCH("平",B1352)),"平","仄")))</x:f>
        <x:v>仄</x:v>
      </x:c>
      <x:c r="K1352" s="6" t="str">
        <x:f>IF(D1352="","",IF(AND(ISNUMBER(SEARCH("平",D1352)),OR(ISNUMBER(SEARCH("上",D1352)),ISNUMBER(SEARCH("去",D1352)),ISNUMBER(SEARCH("入",D1352)))),"Ambiguous",IF(ISNUMBER(SEARCH("平",D1352)),"平","仄")))</x:f>
        <x:v>仄</x:v>
      </x:c>
      <x:c r="L1352" s="7" t="str"/>
    </x:row>
    <x:row r="1353">
      <x:c r="A1353" s="5" t="str">
        <x:v>惝</x:v>
      </x:c>
      <x:c r="B1353" s="6" t="str">
        <x:v>上</x:v>
      </x:c>
      <x:c r="C1353" s="6" t="str">
        <x:f>IF(B1353="","Needs decision","Ready")</x:f>
        <x:v>Ready</x:v>
      </x:c>
      <x:c r="D1353" s="6" t="str">
        <x:v>上</x:v>
      </x:c>
      <x:c r="E1353" s="6" t="str">
        <x:v>tsyhangX (B)</x:v>
      </x:c>
      <x:c r="F1353" s="6" t="str"/>
      <x:c r="G1353" s="6" t="str"/>
      <x:c r="H1353" s="6" t="str">
        <x:v>1</x:v>
      </x:c>
      <x:c r="I1353" s="6" t="str"/>
      <x:c r="J1353" s="6" t="str">
        <x:f>IF(B1353="","",IF(AND(ISNUMBER(SEARCH("平",B1353)),OR(ISNUMBER(SEARCH("上",B1353)),ISNUMBER(SEARCH("去",B1353)),ISNUMBER(SEARCH("入",B1353)))),"Ambiguous",IF(ISNUMBER(SEARCH("平",B1353)),"平","仄")))</x:f>
        <x:v>仄</x:v>
      </x:c>
      <x:c r="K1353" s="6" t="str">
        <x:f>IF(D1353="","",IF(AND(ISNUMBER(SEARCH("平",D1353)),OR(ISNUMBER(SEARCH("上",D1353)),ISNUMBER(SEARCH("去",D1353)),ISNUMBER(SEARCH("入",D1353)))),"Ambiguous",IF(ISNUMBER(SEARCH("平",D1353)),"平","仄")))</x:f>
        <x:v>仄</x:v>
      </x:c>
      <x:c r="L1353" s="7" t="str"/>
    </x:row>
    <x:row r="1354">
      <x:c r="A1354" s="5" t="str">
        <x:v>惟</x:v>
      </x:c>
      <x:c r="B1354" s="6" t="str">
        <x:v>平</x:v>
      </x:c>
      <x:c r="C1354" s="6" t="str">
        <x:f>IF(B1354="","Needs decision","Ready")</x:f>
        <x:v>Ready</x:v>
      </x:c>
      <x:c r="D1354" s="6" t="str">
        <x:v>平</x:v>
      </x:c>
      <x:c r="E1354" s="6" t="str">
        <x:v>ywij (A)</x:v>
      </x:c>
      <x:c r="F1354" s="6" t="str">
        <x:v>上平聲四支</x:v>
      </x:c>
      <x:c r="G1354" s="6" t="str">
        <x:v>Pingshui main list, Wikisource-derived DOCX</x:v>
      </x:c>
      <x:c r="H1354" s="6" t="str">
        <x:v>1</x:v>
      </x:c>
      <x:c r="I1354" s="6" t="str"/>
      <x:c r="J1354" s="6" t="str">
        <x:f>IF(B1354="","",IF(AND(ISNUMBER(SEARCH("平",B1354)),OR(ISNUMBER(SEARCH("上",B1354)),ISNUMBER(SEARCH("去",B1354)),ISNUMBER(SEARCH("入",B1354)))),"Ambiguous",IF(ISNUMBER(SEARCH("平",B1354)),"平","仄")))</x:f>
        <x:v>平</x:v>
      </x:c>
      <x:c r="K1354" s="6" t="str">
        <x:f>IF(D1354="","",IF(AND(ISNUMBER(SEARCH("平",D1354)),OR(ISNUMBER(SEARCH("上",D1354)),ISNUMBER(SEARCH("去",D1354)),ISNUMBER(SEARCH("入",D1354)))),"Ambiguous",IF(ISNUMBER(SEARCH("平",D1354)),"平","仄")))</x:f>
        <x:v>平</x:v>
      </x:c>
      <x:c r="L1354" s="7" t="str"/>
    </x:row>
    <x:row r="1355">
      <x:c r="A1355" s="5" t="str">
        <x:v>惠</x:v>
      </x:c>
      <x:c r="B1355" s="6" t="str">
        <x:v>去</x:v>
      </x:c>
      <x:c r="C1355" s="6" t="str">
        <x:f>IF(B1355="","Needs decision","Ready")</x:f>
        <x:v>Ready</x:v>
      </x:c>
      <x:c r="D1355" s="6" t="str">
        <x:v>去</x:v>
      </x:c>
      <x:c r="E1355" s="6" t="str">
        <x:v>hwejH (C)</x:v>
      </x:c>
      <x:c r="F1355" s="6" t="str">
        <x:v>去聲八霽</x:v>
      </x:c>
      <x:c r="G1355" s="6" t="str">
        <x:v>Pingshui main list, Wikisource-derived DOCX</x:v>
      </x:c>
      <x:c r="H1355" s="6" t="str">
        <x:v>1</x:v>
      </x:c>
      <x:c r="I1355" s="6" t="str"/>
      <x:c r="J1355" s="6" t="str">
        <x:f>IF(B1355="","",IF(AND(ISNUMBER(SEARCH("平",B1355)),OR(ISNUMBER(SEARCH("上",B1355)),ISNUMBER(SEARCH("去",B1355)),ISNUMBER(SEARCH("入",B1355)))),"Ambiguous",IF(ISNUMBER(SEARCH("平",B1355)),"平","仄")))</x:f>
        <x:v>仄</x:v>
      </x:c>
      <x:c r="K1355" s="6" t="str">
        <x:f>IF(D1355="","",IF(AND(ISNUMBER(SEARCH("平",D1355)),OR(ISNUMBER(SEARCH("上",D1355)),ISNUMBER(SEARCH("去",D1355)),ISNUMBER(SEARCH("入",D1355)))),"Ambiguous",IF(ISNUMBER(SEARCH("平",D1355)),"平","仄")))</x:f>
        <x:v>仄</x:v>
      </x:c>
      <x:c r="L1355" s="7" t="str"/>
    </x:row>
    <x:row r="1356">
      <x:c r="A1356" s="5" t="str">
        <x:v>惡</x:v>
      </x:c>
      <x:c r="B1356" s="6" t="str"/>
      <x:c r="C1356" s="6" t="str">
        <x:f>IF(B1356="","Needs decision","Ready")</x:f>
        <x:v>Needs decision</x:v>
      </x:c>
      <x:c r="D1356" s="6" t="str">
        <x:v>去/入</x:v>
      </x:c>
      <x:c r="E1356" s="6" t="str">
        <x:v>'ak (D); 'uH (C)</x:v>
      </x:c>
      <x:c r="F1356" s="6" t="str">
        <x:v>上平聲七虞; 去聲七遇; 入聲十藥</x:v>
      </x:c>
      <x:c r="G1356" s="6" t="str">
        <x:v>Pingshui main list, Wikisource-derived DOCX</x:v>
      </x:c>
      <x:c r="H1356" s="6" t="str">
        <x:v>2</x:v>
      </x:c>
      <x:c r="I1356" s="6" t="str"/>
      <x:c r="J1356" s="6" t="str">
        <x:f>IF(B1356="","",IF(AND(ISNUMBER(SEARCH("平",B1356)),OR(ISNUMBER(SEARCH("上",B1356)),ISNUMBER(SEARCH("去",B1356)),ISNUMBER(SEARCH("入",B1356)))),"Ambiguous",IF(ISNUMBER(SEARCH("平",B1356)),"平","仄")))</x:f>
      </x:c>
      <x:c r="K1356" s="6" t="str">
        <x:f>IF(D1356="","",IF(AND(ISNUMBER(SEARCH("平",D1356)),OR(ISNUMBER(SEARCH("上",D1356)),ISNUMBER(SEARCH("去",D1356)),ISNUMBER(SEARCH("入",D1356)))),"Ambiguous",IF(ISNUMBER(SEARCH("平",D1356)),"平","仄")))</x:f>
        <x:v>仄</x:v>
      </x:c>
      <x:c r="L1356" s="7" t="str"/>
    </x:row>
    <x:row r="1357">
      <x:c r="A1357" s="5" t="str">
        <x:v>惰</x:v>
      </x:c>
      <x:c r="B1357" s="6" t="str">
        <x:v>上</x:v>
      </x:c>
      <x:c r="C1357" s="6" t="str">
        <x:f>IF(B1357="","Needs decision","Ready")</x:f>
        <x:v>Ready</x:v>
      </x:c>
      <x:c r="D1357" s="6" t="str">
        <x:v>上</x:v>
      </x:c>
      <x:c r="E1357" s="6" t="str">
        <x:v>dwaX (B)</x:v>
      </x:c>
      <x:c r="F1357" s="6" t="str">
        <x:v>上聲二十哿; 去聲二十一箇</x:v>
      </x:c>
      <x:c r="G1357" s="6" t="str">
        <x:v>Pingshui main list, Wikisource-derived DOCX</x:v>
      </x:c>
      <x:c r="H1357" s="6" t="str">
        <x:v>1</x:v>
      </x:c>
      <x:c r="I1357" s="6" t="str"/>
      <x:c r="J1357" s="6" t="str">
        <x:f>IF(B1357="","",IF(AND(ISNUMBER(SEARCH("平",B1357)),OR(ISNUMBER(SEARCH("上",B1357)),ISNUMBER(SEARCH("去",B1357)),ISNUMBER(SEARCH("入",B1357)))),"Ambiguous",IF(ISNUMBER(SEARCH("平",B1357)),"平","仄")))</x:f>
        <x:v>仄</x:v>
      </x:c>
      <x:c r="K1357" s="6" t="str">
        <x:f>IF(D1357="","",IF(AND(ISNUMBER(SEARCH("平",D1357)),OR(ISNUMBER(SEARCH("上",D1357)),ISNUMBER(SEARCH("去",D1357)),ISNUMBER(SEARCH("入",D1357)))),"Ambiguous",IF(ISNUMBER(SEARCH("平",D1357)),"平","仄")))</x:f>
        <x:v>仄</x:v>
      </x:c>
      <x:c r="L1357" s="7" t="str"/>
    </x:row>
    <x:row r="1358">
      <x:c r="A1358" s="5" t="str">
        <x:v>惱</x:v>
      </x:c>
      <x:c r="B1358" s="6" t="str">
        <x:v>上</x:v>
      </x:c>
      <x:c r="C1358" s="6" t="str">
        <x:f>IF(B1358="","Needs decision","Ready")</x:f>
        <x:v>Ready</x:v>
      </x:c>
      <x:c r="D1358" s="6" t="str"/>
      <x:c r="E1358" s="6" t="str"/>
      <x:c r="F1358" s="6" t="str">
        <x:v>上聲十九皓</x:v>
      </x:c>
      <x:c r="G1358" s="6" t="str">
        <x:v>Pingshui main list, Wikisource-derived DOCX</x:v>
      </x:c>
      <x:c r="H1358" s="6" t="str"/>
      <x:c r="I1358" s="6" t="str"/>
      <x:c r="J1358" s="6" t="str">
        <x:f>IF(B1358="","",IF(AND(ISNUMBER(SEARCH("平",B1358)),OR(ISNUMBER(SEARCH("上",B1358)),ISNUMBER(SEARCH("去",B1358)),ISNUMBER(SEARCH("入",B1358)))),"Ambiguous",IF(ISNUMBER(SEARCH("平",B1358)),"平","仄")))</x:f>
        <x:v>仄</x:v>
      </x:c>
      <x:c r="K1358" s="6" t="str">
        <x:f>IF(D1358="","",IF(AND(ISNUMBER(SEARCH("平",D1358)),OR(ISNUMBER(SEARCH("上",D1358)),ISNUMBER(SEARCH("去",D1358)),ISNUMBER(SEARCH("入",D1358)))),"Ambiguous",IF(ISNUMBER(SEARCH("平",D1358)),"平","仄")))</x:f>
      </x:c>
      <x:c r="L1358" s="7" t="str"/>
    </x:row>
    <x:row r="1359">
      <x:c r="A1359" s="5" t="str">
        <x:v>想</x:v>
      </x:c>
      <x:c r="B1359" s="6" t="str">
        <x:v>上</x:v>
      </x:c>
      <x:c r="C1359" s="6" t="str">
        <x:f>IF(B1359="","Needs decision","Ready")</x:f>
        <x:v>Ready</x:v>
      </x:c>
      <x:c r="D1359" s="6" t="str">
        <x:v>上</x:v>
      </x:c>
      <x:c r="E1359" s="6" t="str">
        <x:v>sjangX (B)</x:v>
      </x:c>
      <x:c r="F1359" s="6" t="str">
        <x:v>上聲二十二養</x:v>
      </x:c>
      <x:c r="G1359" s="6" t="str">
        <x:v>Pingshui main list, Wikisource-derived DOCX</x:v>
      </x:c>
      <x:c r="H1359" s="6" t="str">
        <x:v>1</x:v>
      </x:c>
      <x:c r="I1359" s="6" t="str"/>
      <x:c r="J1359" s="6" t="str">
        <x:f>IF(B1359="","",IF(AND(ISNUMBER(SEARCH("平",B1359)),OR(ISNUMBER(SEARCH("上",B1359)),ISNUMBER(SEARCH("去",B1359)),ISNUMBER(SEARCH("入",B1359)))),"Ambiguous",IF(ISNUMBER(SEARCH("平",B1359)),"平","仄")))</x:f>
        <x:v>仄</x:v>
      </x:c>
      <x:c r="K1359" s="6" t="str">
        <x:f>IF(D1359="","",IF(AND(ISNUMBER(SEARCH("平",D1359)),OR(ISNUMBER(SEARCH("上",D1359)),ISNUMBER(SEARCH("去",D1359)),ISNUMBER(SEARCH("入",D1359)))),"Ambiguous",IF(ISNUMBER(SEARCH("平",D1359)),"平","仄")))</x:f>
        <x:v>仄</x:v>
      </x:c>
      <x:c r="L1359" s="7" t="str"/>
    </x:row>
    <x:row r="1360">
      <x:c r="A1360" s="5" t="str">
        <x:v>惹</x:v>
      </x:c>
      <x:c r="B1360" s="6" t="str"/>
      <x:c r="C1360" s="6" t="str">
        <x:f>IF(B1360="","Needs decision","Ready")</x:f>
        <x:v>Needs decision</x:v>
      </x:c>
      <x:c r="D1360" s="6" t="str">
        <x:v>上/入</x:v>
      </x:c>
      <x:c r="E1360" s="6" t="str">
        <x:v>nyaeX [ɲaʔ] (上); nyak [ɲɑk] (入)</x:v>
      </x:c>
      <x:c r="F1360" s="6" t="str">
        <x:v>上聲二十一馬</x:v>
      </x:c>
      <x:c r="G1360" s="6" t="str">
        <x:v>Pingshui main list, Wikisource-derived DOCX</x:v>
      </x:c>
      <x:c r="H1360" s="6" t="str">
        <x:v>2</x:v>
      </x:c>
      <x:c r="I1360" s="6" t="str">
        <x:v>Tang 300 gap; frequency 1; ambiguous in Xun Gong</x:v>
      </x:c>
      <x:c r="J1360" s="6" t="str">
        <x:f>IF(B1360="","",IF(AND(ISNUMBER(SEARCH("平",B1360)),OR(ISNUMBER(SEARCH("上",B1360)),ISNUMBER(SEARCH("去",B1360)),ISNUMBER(SEARCH("入",B1360)))),"Ambiguous",IF(ISNUMBER(SEARCH("平",B1360)),"平","仄")))</x:f>
      </x:c>
      <x:c r="K1360" s="6" t="str">
        <x:f>IF(D1360="","",IF(AND(ISNUMBER(SEARCH("平",D1360)),OR(ISNUMBER(SEARCH("上",D1360)),ISNUMBER(SEARCH("去",D1360)),ISNUMBER(SEARCH("入",D1360)))),"Ambiguous",IF(ISNUMBER(SEARCH("平",D1360)),"平","仄")))</x:f>
        <x:v>仄</x:v>
      </x:c>
      <x:c r="L1360" s="7" t="str">
        <x:v>Xun Gong, Tang 300 gap fill</x:v>
      </x:c>
    </x:row>
    <x:row r="1361">
      <x:c r="A1361" s="5" t="str">
        <x:v>惻</x:v>
      </x:c>
      <x:c r="B1361" s="6" t="str">
        <x:v>入</x:v>
      </x:c>
      <x:c r="C1361" s="6" t="str">
        <x:f>IF(B1361="","Needs decision","Ready")</x:f>
        <x:v>Ready</x:v>
      </x:c>
      <x:c r="D1361" s="6" t="str">
        <x:v>入</x:v>
      </x:c>
      <x:c r="E1361" s="6" t="str">
        <x:v>tsrhik [tʂʰɨk] (入)</x:v>
      </x:c>
      <x:c r="F1361" s="6" t="str">
        <x:v>入聲十三職</x:v>
      </x:c>
      <x:c r="G1361" s="6" t="str">
        <x:v>Pingshui main list, Wikisource-derived DOCX</x:v>
      </x:c>
      <x:c r="H1361" s="6" t="str">
        <x:v>1</x:v>
      </x:c>
      <x:c r="I1361" s="6" t="str">
        <x:v>Tang 300 gap; frequency 2; provisional from Xun Gong</x:v>
      </x:c>
      <x:c r="J1361" s="6" t="str">
        <x:f>IF(B1361="","",IF(AND(ISNUMBER(SEARCH("平",B1361)),OR(ISNUMBER(SEARCH("上",B1361)),ISNUMBER(SEARCH("去",B1361)),ISNUMBER(SEARCH("入",B1361)))),"Ambiguous",IF(ISNUMBER(SEARCH("平",B1361)),"平","仄")))</x:f>
        <x:v>仄</x:v>
      </x:c>
      <x:c r="K1361" s="6" t="str">
        <x:f>IF(D1361="","",IF(AND(ISNUMBER(SEARCH("平",D1361)),OR(ISNUMBER(SEARCH("上",D1361)),ISNUMBER(SEARCH("去",D1361)),ISNUMBER(SEARCH("入",D1361)))),"Ambiguous",IF(ISNUMBER(SEARCH("平",D1361)),"平","仄")))</x:f>
        <x:v>仄</x:v>
      </x:c>
      <x:c r="L1361" s="7" t="str">
        <x:v>Xun Gong, Tang 300 gap fill</x:v>
      </x:c>
    </x:row>
    <x:row r="1362">
      <x:c r="A1362" s="5" t="str">
        <x:v>愁</x:v>
      </x:c>
      <x:c r="B1362" s="6" t="str">
        <x:v>平</x:v>
      </x:c>
      <x:c r="C1362" s="6" t="str">
        <x:f>IF(B1362="","Needs decision","Ready")</x:f>
        <x:v>Ready</x:v>
      </x:c>
      <x:c r="D1362" s="6" t="str">
        <x:v>平</x:v>
      </x:c>
      <x:c r="E1362" s="6" t="str">
        <x:v>dzrjuw (A)</x:v>
      </x:c>
      <x:c r="F1362" s="6" t="str">
        <x:v>下平聲十一尤</x:v>
      </x:c>
      <x:c r="G1362" s="6" t="str">
        <x:v>Pingshui main list, Wikisource-derived DOCX</x:v>
      </x:c>
      <x:c r="H1362" s="6" t="str">
        <x:v>1</x:v>
      </x:c>
      <x:c r="I1362" s="6" t="str"/>
      <x:c r="J1362" s="6" t="str">
        <x:f>IF(B1362="","",IF(AND(ISNUMBER(SEARCH("平",B1362)),OR(ISNUMBER(SEARCH("上",B1362)),ISNUMBER(SEARCH("去",B1362)),ISNUMBER(SEARCH("入",B1362)))),"Ambiguous",IF(ISNUMBER(SEARCH("平",B1362)),"平","仄")))</x:f>
        <x:v>平</x:v>
      </x:c>
      <x:c r="K1362" s="6" t="str">
        <x:f>IF(D1362="","",IF(AND(ISNUMBER(SEARCH("平",D1362)),OR(ISNUMBER(SEARCH("上",D1362)),ISNUMBER(SEARCH("去",D1362)),ISNUMBER(SEARCH("入",D1362)))),"Ambiguous",IF(ISNUMBER(SEARCH("平",D1362)),"平","仄")))</x:f>
        <x:v>平</x:v>
      </x:c>
      <x:c r="L1362" s="7" t="str"/>
    </x:row>
    <x:row r="1363">
      <x:c r="A1363" s="5" t="str">
        <x:v>愆</x:v>
      </x:c>
      <x:c r="B1363" s="6" t="str">
        <x:v>平</x:v>
      </x:c>
      <x:c r="C1363" s="6" t="str">
        <x:f>IF(B1363="","Needs decision","Ready")</x:f>
        <x:v>Ready</x:v>
      </x:c>
      <x:c r="D1363" s="6" t="str">
        <x:v>平</x:v>
      </x:c>
      <x:c r="E1363" s="6" t="str">
        <x:v>khjen (A)</x:v>
      </x:c>
      <x:c r="F1363" s="6" t="str">
        <x:v>下平聲一先</x:v>
      </x:c>
      <x:c r="G1363" s="6" t="str">
        <x:v>Pingshui main list, Wikisource-derived DOCX</x:v>
      </x:c>
      <x:c r="H1363" s="6" t="str">
        <x:v>1</x:v>
      </x:c>
      <x:c r="I1363" s="6" t="str"/>
      <x:c r="J1363" s="6" t="str">
        <x:f>IF(B1363="","",IF(AND(ISNUMBER(SEARCH("平",B1363)),OR(ISNUMBER(SEARCH("上",B1363)),ISNUMBER(SEARCH("去",B1363)),ISNUMBER(SEARCH("入",B1363)))),"Ambiguous",IF(ISNUMBER(SEARCH("平",B1363)),"平","仄")))</x:f>
        <x:v>平</x:v>
      </x:c>
      <x:c r="K1363" s="6" t="str">
        <x:f>IF(D1363="","",IF(AND(ISNUMBER(SEARCH("平",D1363)),OR(ISNUMBER(SEARCH("上",D1363)),ISNUMBER(SEARCH("去",D1363)),ISNUMBER(SEARCH("入",D1363)))),"Ambiguous",IF(ISNUMBER(SEARCH("平",D1363)),"平","仄")))</x:f>
        <x:v>平</x:v>
      </x:c>
      <x:c r="L1363" s="7" t="str"/>
    </x:row>
    <x:row r="1364">
      <x:c r="A1364" s="5" t="str">
        <x:v>愈</x:v>
      </x:c>
      <x:c r="B1364" s="6" t="str">
        <x:v>上</x:v>
      </x:c>
      <x:c r="C1364" s="6" t="str">
        <x:f>IF(B1364="","Needs decision","Ready")</x:f>
        <x:v>Ready</x:v>
      </x:c>
      <x:c r="D1364" s="6" t="str">
        <x:v>上</x:v>
      </x:c>
      <x:c r="E1364" s="6" t="str">
        <x:v>yuX (B)</x:v>
      </x:c>
      <x:c r="F1364" s="6" t="str">
        <x:v>上聲七麌</x:v>
      </x:c>
      <x:c r="G1364" s="6" t="str">
        <x:v>Pingshui main list, Wikisource-derived DOCX</x:v>
      </x:c>
      <x:c r="H1364" s="6" t="str">
        <x:v>1</x:v>
      </x:c>
      <x:c r="I1364" s="6" t="str"/>
      <x:c r="J1364" s="6" t="str">
        <x:f>IF(B1364="","",IF(AND(ISNUMBER(SEARCH("平",B1364)),OR(ISNUMBER(SEARCH("上",B1364)),ISNUMBER(SEARCH("去",B1364)),ISNUMBER(SEARCH("入",B1364)))),"Ambiguous",IF(ISNUMBER(SEARCH("平",B1364)),"平","仄")))</x:f>
        <x:v>仄</x:v>
      </x:c>
      <x:c r="K1364" s="6" t="str">
        <x:f>IF(D1364="","",IF(AND(ISNUMBER(SEARCH("平",D1364)),OR(ISNUMBER(SEARCH("上",D1364)),ISNUMBER(SEARCH("去",D1364)),ISNUMBER(SEARCH("入",D1364)))),"Ambiguous",IF(ISNUMBER(SEARCH("平",D1364)),"平","仄")))</x:f>
        <x:v>仄</x:v>
      </x:c>
      <x:c r="L1364" s="7" t="str"/>
    </x:row>
    <x:row r="1365">
      <x:c r="A1365" s="5" t="str">
        <x:v>愉</x:v>
      </x:c>
      <x:c r="B1365" s="6" t="str">
        <x:v>平</x:v>
      </x:c>
      <x:c r="C1365" s="6" t="str">
        <x:f>IF(B1365="","Needs decision","Ready")</x:f>
        <x:v>Ready</x:v>
      </x:c>
      <x:c r="D1365" s="6" t="str">
        <x:v>平</x:v>
      </x:c>
      <x:c r="E1365" s="6" t="str">
        <x:v>yu (A)</x:v>
      </x:c>
      <x:c r="F1365" s="6" t="str">
        <x:v>上平聲七虞</x:v>
      </x:c>
      <x:c r="G1365" s="6" t="str">
        <x:v>Pingshui main list, Wikisource-derived DOCX</x:v>
      </x:c>
      <x:c r="H1365" s="6" t="str">
        <x:v>1</x:v>
      </x:c>
      <x:c r="I1365" s="6" t="str"/>
      <x:c r="J1365" s="6" t="str">
        <x:f>IF(B1365="","",IF(AND(ISNUMBER(SEARCH("平",B1365)),OR(ISNUMBER(SEARCH("上",B1365)),ISNUMBER(SEARCH("去",B1365)),ISNUMBER(SEARCH("入",B1365)))),"Ambiguous",IF(ISNUMBER(SEARCH("平",B1365)),"平","仄")))</x:f>
        <x:v>平</x:v>
      </x:c>
      <x:c r="K1365" s="6" t="str">
        <x:f>IF(D1365="","",IF(AND(ISNUMBER(SEARCH("平",D1365)),OR(ISNUMBER(SEARCH("上",D1365)),ISNUMBER(SEARCH("去",D1365)),ISNUMBER(SEARCH("入",D1365)))),"Ambiguous",IF(ISNUMBER(SEARCH("平",D1365)),"平","仄")))</x:f>
        <x:v>平</x:v>
      </x:c>
      <x:c r="L1365" s="7" t="str"/>
    </x:row>
    <x:row r="1366">
      <x:c r="A1366" s="5" t="str">
        <x:v>愍</x:v>
      </x:c>
      <x:c r="B1366" s="6" t="str">
        <x:v>上</x:v>
      </x:c>
      <x:c r="C1366" s="6" t="str">
        <x:f>IF(B1366="","Needs decision","Ready")</x:f>
        <x:v>Ready</x:v>
      </x:c>
      <x:c r="D1366" s="6" t="str">
        <x:v>上</x:v>
      </x:c>
      <x:c r="E1366" s="6" t="str">
        <x:v>minX [明三B真上] mɨ̯inʔ</x:v>
      </x:c>
      <x:c r="F1366" s="6" t="str">
        <x:v>上聲十一軫</x:v>
      </x:c>
      <x:c r="G1366" s="6" t="str">
        <x:v>Pingshui main list, Wikisource-derived DOCX</x:v>
      </x:c>
      <x:c r="H1366" s="6" t="str">
        <x:v>1</x:v>
      </x:c>
      <x:c r="I1366" s="6" t="str">
        <x:v>Targeted preliminary fill from Xun Gong; review if uncertain</x:v>
      </x:c>
      <x:c r="J1366" s="6" t="str">
        <x:f>IF(B1366="","",IF(AND(ISNUMBER(SEARCH("平",B1366)),OR(ISNUMBER(SEARCH("上",B1366)),ISNUMBER(SEARCH("去",B1366)),ISNUMBER(SEARCH("入",B1366)))),"Ambiguous",IF(ISNUMBER(SEARCH("平",B1366)),"平","仄")))</x:f>
        <x:v>仄</x:v>
      </x:c>
      <x:c r="K1366" s="6" t="str">
        <x:f>IF(D1366="","",IF(AND(ISNUMBER(SEARCH("平",D1366)),OR(ISNUMBER(SEARCH("上",D1366)),ISNUMBER(SEARCH("去",D1366)),ISNUMBER(SEARCH("入",D1366)))),"Ambiguous",IF(ISNUMBER(SEARCH("平",D1366)),"平","仄")))</x:f>
        <x:v>仄</x:v>
      </x:c>
      <x:c r="L1366" s="7" t="str">
        <x:v>Xun Gong character-readings.csv</x:v>
      </x:c>
    </x:row>
    <x:row r="1367">
      <x:c r="A1367" s="5" t="str">
        <x:v>意</x:v>
      </x:c>
      <x:c r="B1367" s="6" t="str">
        <x:v>去</x:v>
      </x:c>
      <x:c r="C1367" s="6" t="str">
        <x:f>IF(B1367="","Needs decision","Ready")</x:f>
        <x:v>Ready</x:v>
      </x:c>
      <x:c r="D1367" s="6" t="str">
        <x:v>去</x:v>
      </x:c>
      <x:c r="E1367" s="6" t="str">
        <x:v>'iH (C)</x:v>
      </x:c>
      <x:c r="F1367" s="6" t="str">
        <x:v>去聲四寘; 入聲十三職</x:v>
      </x:c>
      <x:c r="G1367" s="6" t="str">
        <x:v>Pingshui main list, Wikisource-derived DOCX</x:v>
      </x:c>
      <x:c r="H1367" s="6" t="str">
        <x:v>1</x:v>
      </x:c>
      <x:c r="I1367" s="6" t="str"/>
      <x:c r="J1367" s="6" t="str">
        <x:f>IF(B1367="","",IF(AND(ISNUMBER(SEARCH("平",B1367)),OR(ISNUMBER(SEARCH("上",B1367)),ISNUMBER(SEARCH("去",B1367)),ISNUMBER(SEARCH("入",B1367)))),"Ambiguous",IF(ISNUMBER(SEARCH("平",B1367)),"平","仄")))</x:f>
        <x:v>仄</x:v>
      </x:c>
      <x:c r="K1367" s="6" t="str">
        <x:f>IF(D1367="","",IF(AND(ISNUMBER(SEARCH("平",D1367)),OR(ISNUMBER(SEARCH("上",D1367)),ISNUMBER(SEARCH("去",D1367)),ISNUMBER(SEARCH("入",D1367)))),"Ambiguous",IF(ISNUMBER(SEARCH("平",D1367)),"平","仄")))</x:f>
        <x:v>仄</x:v>
      </x:c>
      <x:c r="L1367" s="7" t="str"/>
    </x:row>
    <x:row r="1368">
      <x:c r="A1368" s="5" t="str">
        <x:v>愒</x:v>
      </x:c>
      <x:c r="B1368" s="6" t="str">
        <x:v>入</x:v>
      </x:c>
      <x:c r="C1368" s="6" t="str">
        <x:f>IF(B1368="","Needs decision","Ready")</x:f>
        <x:v>Ready</x:v>
      </x:c>
      <x:c r="D1368" s="6" t="str">
        <x:v>入</x:v>
      </x:c>
      <x:c r="E1368" s="6" t="str">
        <x:v>khjet (D)</x:v>
      </x:c>
      <x:c r="F1368" s="6" t="str">
        <x:v>去聲八霽; 去聲九泰</x:v>
      </x:c>
      <x:c r="G1368" s="6" t="str">
        <x:v>Pingshui main list, Wikisource-derived DOCX</x:v>
      </x:c>
      <x:c r="H1368" s="6" t="str">
        <x:v>1</x:v>
      </x:c>
      <x:c r="I1368" s="6" t="str"/>
      <x:c r="J1368" s="6" t="str">
        <x:f>IF(B1368="","",IF(AND(ISNUMBER(SEARCH("平",B1368)),OR(ISNUMBER(SEARCH("上",B1368)),ISNUMBER(SEARCH("去",B1368)),ISNUMBER(SEARCH("入",B1368)))),"Ambiguous",IF(ISNUMBER(SEARCH("平",B1368)),"平","仄")))</x:f>
        <x:v>仄</x:v>
      </x:c>
      <x:c r="K1368" s="6" t="str">
        <x:f>IF(D1368="","",IF(AND(ISNUMBER(SEARCH("平",D1368)),OR(ISNUMBER(SEARCH("上",D1368)),ISNUMBER(SEARCH("去",D1368)),ISNUMBER(SEARCH("入",D1368)))),"Ambiguous",IF(ISNUMBER(SEARCH("平",D1368)),"平","仄")))</x:f>
        <x:v>仄</x:v>
      </x:c>
      <x:c r="L1368" s="7" t="str"/>
    </x:row>
    <x:row r="1369">
      <x:c r="A1369" s="5" t="str">
        <x:v>愓</x:v>
      </x:c>
      <x:c r="B1369" s="6" t="str"/>
      <x:c r="C1369" s="6" t="str">
        <x:f>IF(B1369="","Needs decision","Ready")</x:f>
        <x:v>Needs decision</x:v>
      </x:c>
      <x:c r="D1369" s="6" t="str">
        <x:v>平/上</x:v>
      </x:c>
      <x:c r="E1369" s="6" t="str">
        <x:v>dangX (B); syang (A)</x:v>
      </x:c>
      <x:c r="F1369" s="6" t="str">
        <x:v>入聲十二錫</x:v>
      </x:c>
      <x:c r="G1369" s="6" t="str">
        <x:v>Pingshui main list, Wikisource-derived DOCX</x:v>
      </x:c>
      <x:c r="H1369" s="6" t="str">
        <x:v>2</x:v>
      </x:c>
      <x:c r="I1369" s="6" t="str"/>
      <x:c r="J1369" s="6" t="str">
        <x:f>IF(B1369="","",IF(AND(ISNUMBER(SEARCH("平",B1369)),OR(ISNUMBER(SEARCH("上",B1369)),ISNUMBER(SEARCH("去",B1369)),ISNUMBER(SEARCH("入",B1369)))),"Ambiguous",IF(ISNUMBER(SEARCH("平",B1369)),"平","仄")))</x:f>
      </x:c>
      <x:c r="K1369" s="6" t="str">
        <x:f>IF(D1369="","",IF(AND(ISNUMBER(SEARCH("平",D1369)),OR(ISNUMBER(SEARCH("上",D1369)),ISNUMBER(SEARCH("去",D1369)),ISNUMBER(SEARCH("入",D1369)))),"Ambiguous",IF(ISNUMBER(SEARCH("平",D1369)),"平","仄")))</x:f>
        <x:v>Ambiguous</x:v>
      </x:c>
      <x:c r="L1369" s="7" t="str"/>
    </x:row>
    <x:row r="1370">
      <x:c r="A1370" s="5" t="str">
        <x:v>愔</x:v>
      </x:c>
      <x:c r="B1370" s="6" t="str">
        <x:v>平</x:v>
      </x:c>
      <x:c r="C1370" s="6" t="str">
        <x:f>IF(B1370="","Needs decision","Ready")</x:f>
        <x:v>Ready</x:v>
      </x:c>
      <x:c r="D1370" s="6" t="str">
        <x:v>平</x:v>
      </x:c>
      <x:c r="E1370" s="6" t="str">
        <x:v>'jim (A)</x:v>
      </x:c>
      <x:c r="F1370" s="6" t="str">
        <x:v>下平聲十二侵</x:v>
      </x:c>
      <x:c r="G1370" s="6" t="str">
        <x:v>Pingshui main list, Wikisource-derived DOCX</x:v>
      </x:c>
      <x:c r="H1370" s="6" t="str">
        <x:v>1</x:v>
      </x:c>
      <x:c r="I1370" s="6" t="str"/>
      <x:c r="J1370" s="6" t="str">
        <x:f>IF(B1370="","",IF(AND(ISNUMBER(SEARCH("平",B1370)),OR(ISNUMBER(SEARCH("上",B1370)),ISNUMBER(SEARCH("去",B1370)),ISNUMBER(SEARCH("入",B1370)))),"Ambiguous",IF(ISNUMBER(SEARCH("平",B1370)),"平","仄")))</x:f>
        <x:v>平</x:v>
      </x:c>
      <x:c r="K1370" s="6" t="str">
        <x:f>IF(D1370="","",IF(AND(ISNUMBER(SEARCH("平",D1370)),OR(ISNUMBER(SEARCH("上",D1370)),ISNUMBER(SEARCH("去",D1370)),ISNUMBER(SEARCH("入",D1370)))),"Ambiguous",IF(ISNUMBER(SEARCH("平",D1370)),"平","仄")))</x:f>
        <x:v>平</x:v>
      </x:c>
      <x:c r="L1370" s="7" t="str"/>
    </x:row>
    <x:row r="1371">
      <x:c r="A1371" s="5" t="str">
        <x:v>愕</x:v>
      </x:c>
      <x:c r="B1371" s="6" t="str">
        <x:v>入</x:v>
      </x:c>
      <x:c r="C1371" s="6" t="str">
        <x:f>IF(B1371="","Needs decision","Ready")</x:f>
        <x:v>Ready</x:v>
      </x:c>
      <x:c r="D1371" s="6" t="str">
        <x:v>入</x:v>
      </x:c>
      <x:c r="E1371" s="6" t="str">
        <x:v>ngak (D)</x:v>
      </x:c>
      <x:c r="F1371" s="6" t="str">
        <x:v>入聲十藥</x:v>
      </x:c>
      <x:c r="G1371" s="6" t="str">
        <x:v>Pingshui main list, Wikisource-derived DOCX</x:v>
      </x:c>
      <x:c r="H1371" s="6" t="str">
        <x:v>1</x:v>
      </x:c>
      <x:c r="I1371" s="6" t="str"/>
      <x:c r="J1371" s="6" t="str">
        <x:f>IF(B1371="","",IF(AND(ISNUMBER(SEARCH("平",B1371)),OR(ISNUMBER(SEARCH("上",B1371)),ISNUMBER(SEARCH("去",B1371)),ISNUMBER(SEARCH("入",B1371)))),"Ambiguous",IF(ISNUMBER(SEARCH("平",B1371)),"平","仄")))</x:f>
        <x:v>仄</x:v>
      </x:c>
      <x:c r="K1371" s="6" t="str">
        <x:f>IF(D1371="","",IF(AND(ISNUMBER(SEARCH("平",D1371)),OR(ISNUMBER(SEARCH("上",D1371)),ISNUMBER(SEARCH("去",D1371)),ISNUMBER(SEARCH("入",D1371)))),"Ambiguous",IF(ISNUMBER(SEARCH("平",D1371)),"平","仄")))</x:f>
        <x:v>仄</x:v>
      </x:c>
      <x:c r="L1371" s="7" t="str"/>
    </x:row>
    <x:row r="1372">
      <x:c r="A1372" s="5" t="str">
        <x:v>愚</x:v>
      </x:c>
      <x:c r="B1372" s="6" t="str">
        <x:v>平</x:v>
      </x:c>
      <x:c r="C1372" s="6" t="str">
        <x:f>IF(B1372="","Needs decision","Ready")</x:f>
        <x:v>Ready</x:v>
      </x:c>
      <x:c r="D1372" s="6" t="str"/>
      <x:c r="E1372" s="6" t="str"/>
      <x:c r="F1372" s="6" t="str">
        <x:v>上平聲七虞</x:v>
      </x:c>
      <x:c r="G1372" s="6" t="str">
        <x:v>Pingshui main list, Wikisource-derived DOCX</x:v>
      </x:c>
      <x:c r="H1372" s="6" t="str"/>
      <x:c r="I1372" s="6" t="str"/>
      <x:c r="J1372" s="6" t="str">
        <x:f>IF(B1372="","",IF(AND(ISNUMBER(SEARCH("平",B1372)),OR(ISNUMBER(SEARCH("上",B1372)),ISNUMBER(SEARCH("去",B1372)),ISNUMBER(SEARCH("入",B1372)))),"Ambiguous",IF(ISNUMBER(SEARCH("平",B1372)),"平","仄")))</x:f>
        <x:v>平</x:v>
      </x:c>
      <x:c r="K1372" s="6" t="str">
        <x:f>IF(D1372="","",IF(AND(ISNUMBER(SEARCH("平",D1372)),OR(ISNUMBER(SEARCH("上",D1372)),ISNUMBER(SEARCH("去",D1372)),ISNUMBER(SEARCH("入",D1372)))),"Ambiguous",IF(ISNUMBER(SEARCH("平",D1372)),"平","仄")))</x:f>
      </x:c>
      <x:c r="L1372" s="7" t="str"/>
    </x:row>
    <x:row r="1373">
      <x:c r="A1373" s="5" t="str">
        <x:v>愛</x:v>
      </x:c>
      <x:c r="B1373" s="6" t="str">
        <x:v>去</x:v>
      </x:c>
      <x:c r="C1373" s="6" t="str">
        <x:f>IF(B1373="","Needs decision","Ready")</x:f>
        <x:v>Ready</x:v>
      </x:c>
      <x:c r="D1373" s="6" t="str">
        <x:v>去</x:v>
      </x:c>
      <x:c r="E1373" s="6" t="str">
        <x:v>'ojH (C)</x:v>
      </x:c>
      <x:c r="F1373" s="6" t="str">
        <x:v>去聲十一隊</x:v>
      </x:c>
      <x:c r="G1373" s="6" t="str">
        <x:v>Pingshui main list, Wikisource-derived DOCX</x:v>
      </x:c>
      <x:c r="H1373" s="6" t="str">
        <x:v>1</x:v>
      </x:c>
      <x:c r="I1373" s="6" t="str"/>
      <x:c r="J1373" s="6" t="str">
        <x:f>IF(B1373="","",IF(AND(ISNUMBER(SEARCH("平",B1373)),OR(ISNUMBER(SEARCH("上",B1373)),ISNUMBER(SEARCH("去",B1373)),ISNUMBER(SEARCH("入",B1373)))),"Ambiguous",IF(ISNUMBER(SEARCH("平",B1373)),"平","仄")))</x:f>
        <x:v>仄</x:v>
      </x:c>
      <x:c r="K1373" s="6" t="str">
        <x:f>IF(D1373="","",IF(AND(ISNUMBER(SEARCH("平",D1373)),OR(ISNUMBER(SEARCH("上",D1373)),ISNUMBER(SEARCH("去",D1373)),ISNUMBER(SEARCH("入",D1373)))),"Ambiguous",IF(ISNUMBER(SEARCH("平",D1373)),"平","仄")))</x:f>
        <x:v>仄</x:v>
      </x:c>
      <x:c r="L1373" s="7" t="str"/>
    </x:row>
    <x:row r="1374">
      <x:c r="A1374" s="5" t="str">
        <x:v>感</x:v>
      </x:c>
      <x:c r="B1374" s="6" t="str">
        <x:v>上</x:v>
      </x:c>
      <x:c r="C1374" s="6" t="str">
        <x:f>IF(B1374="","Needs decision","Ready")</x:f>
        <x:v>Ready</x:v>
      </x:c>
      <x:c r="D1374" s="6" t="str">
        <x:v>上</x:v>
      </x:c>
      <x:c r="E1374" s="6" t="str">
        <x:v>komX (B)</x:v>
      </x:c>
      <x:c r="F1374" s="6" t="str">
        <x:v>上聲二十七感</x:v>
      </x:c>
      <x:c r="G1374" s="6" t="str">
        <x:v>Pingshui main list, Wikisource-derived DOCX</x:v>
      </x:c>
      <x:c r="H1374" s="6" t="str">
        <x:v>1</x:v>
      </x:c>
      <x:c r="I1374" s="6" t="str"/>
      <x:c r="J1374" s="6" t="str">
        <x:f>IF(B1374="","",IF(AND(ISNUMBER(SEARCH("平",B1374)),OR(ISNUMBER(SEARCH("上",B1374)),ISNUMBER(SEARCH("去",B1374)),ISNUMBER(SEARCH("入",B1374)))),"Ambiguous",IF(ISNUMBER(SEARCH("平",B1374)),"平","仄")))</x:f>
        <x:v>仄</x:v>
      </x:c>
      <x:c r="K1374" s="6" t="str">
        <x:f>IF(D1374="","",IF(AND(ISNUMBER(SEARCH("平",D1374)),OR(ISNUMBER(SEARCH("上",D1374)),ISNUMBER(SEARCH("去",D1374)),ISNUMBER(SEARCH("入",D1374)))),"Ambiguous",IF(ISNUMBER(SEARCH("平",D1374)),"平","仄")))</x:f>
        <x:v>仄</x:v>
      </x:c>
      <x:c r="L1374" s="7" t="str"/>
    </x:row>
    <x:row r="1375">
      <x:c r="A1375" s="5" t="str">
        <x:v>愠</x:v>
      </x:c>
      <x:c r="B1375" s="6" t="str">
        <x:v>去</x:v>
      </x:c>
      <x:c r="C1375" s="6" t="str">
        <x:f>IF(B1375="","Needs decision","Ready")</x:f>
        <x:v>Ready</x:v>
      </x:c>
      <x:c r="D1375" s="6" t="str">
        <x:v>去</x:v>
      </x:c>
      <x:c r="E1375" s="6" t="str">
        <x:v>'junH (C)</x:v>
      </x:c>
      <x:c r="F1375" s="6" t="str"/>
      <x:c r="G1375" s="6" t="str"/>
      <x:c r="H1375" s="6" t="str">
        <x:v>1</x:v>
      </x:c>
      <x:c r="I1375" s="6" t="str"/>
      <x:c r="J1375" s="6" t="str">
        <x:f>IF(B1375="","",IF(AND(ISNUMBER(SEARCH("平",B1375)),OR(ISNUMBER(SEARCH("上",B1375)),ISNUMBER(SEARCH("去",B1375)),ISNUMBER(SEARCH("入",B1375)))),"Ambiguous",IF(ISNUMBER(SEARCH("平",B1375)),"平","仄")))</x:f>
        <x:v>仄</x:v>
      </x:c>
      <x:c r="K1375" s="6" t="str">
        <x:f>IF(D1375="","",IF(AND(ISNUMBER(SEARCH("平",D1375)),OR(ISNUMBER(SEARCH("上",D1375)),ISNUMBER(SEARCH("去",D1375)),ISNUMBER(SEARCH("入",D1375)))),"Ambiguous",IF(ISNUMBER(SEARCH("平",D1375)),"平","仄")))</x:f>
        <x:v>仄</x:v>
      </x:c>
      <x:c r="L1375" s="7" t="str"/>
    </x:row>
    <x:row r="1376">
      <x:c r="A1376" s="5" t="str">
        <x:v>愧</x:v>
      </x:c>
      <x:c r="B1376" s="6" t="str">
        <x:v>去</x:v>
      </x:c>
      <x:c r="C1376" s="6" t="str">
        <x:f>IF(B1376="","Needs decision","Ready")</x:f>
        <x:v>Ready</x:v>
      </x:c>
      <x:c r="D1376" s="6" t="str">
        <x:v>去</x:v>
      </x:c>
      <x:c r="E1376" s="6" t="str">
        <x:v>kwijH (C)</x:v>
      </x:c>
      <x:c r="F1376" s="6" t="str"/>
      <x:c r="G1376" s="6" t="str"/>
      <x:c r="H1376" s="6" t="str">
        <x:v>1</x:v>
      </x:c>
      <x:c r="I1376" s="6" t="str"/>
      <x:c r="J1376" s="6" t="str">
        <x:f>IF(B1376="","",IF(AND(ISNUMBER(SEARCH("平",B1376)),OR(ISNUMBER(SEARCH("上",B1376)),ISNUMBER(SEARCH("去",B1376)),ISNUMBER(SEARCH("入",B1376)))),"Ambiguous",IF(ISNUMBER(SEARCH("平",B1376)),"平","仄")))</x:f>
        <x:v>仄</x:v>
      </x:c>
      <x:c r="K1376" s="6" t="str">
        <x:f>IF(D1376="","",IF(AND(ISNUMBER(SEARCH("平",D1376)),OR(ISNUMBER(SEARCH("上",D1376)),ISNUMBER(SEARCH("去",D1376)),ISNUMBER(SEARCH("入",D1376)))),"Ambiguous",IF(ISNUMBER(SEARCH("平",D1376)),"平","仄")))</x:f>
        <x:v>仄</x:v>
      </x:c>
      <x:c r="L1376" s="7" t="str"/>
    </x:row>
    <x:row r="1377">
      <x:c r="A1377" s="5" t="str">
        <x:v>愬</x:v>
      </x:c>
      <x:c r="B1377" s="6" t="str">
        <x:v>去</x:v>
      </x:c>
      <x:c r="C1377" s="6" t="str">
        <x:f>IF(B1377="","Needs decision","Ready")</x:f>
        <x:v>Ready</x:v>
      </x:c>
      <x:c r="D1377" s="6" t="str">
        <x:v>去</x:v>
      </x:c>
      <x:c r="E1377" s="6" t="str">
        <x:v>suH (C)</x:v>
      </x:c>
      <x:c r="F1377" s="6" t="str">
        <x:v>入聲十一陌</x:v>
      </x:c>
      <x:c r="G1377" s="6" t="str">
        <x:v>Pingshui main list, Wikisource-derived DOCX</x:v>
      </x:c>
      <x:c r="H1377" s="6" t="str">
        <x:v>1</x:v>
      </x:c>
      <x:c r="I1377" s="6" t="str"/>
      <x:c r="J1377" s="6" t="str">
        <x:f>IF(B1377="","",IF(AND(ISNUMBER(SEARCH("平",B1377)),OR(ISNUMBER(SEARCH("上",B1377)),ISNUMBER(SEARCH("去",B1377)),ISNUMBER(SEARCH("入",B1377)))),"Ambiguous",IF(ISNUMBER(SEARCH("平",B1377)),"平","仄")))</x:f>
        <x:v>仄</x:v>
      </x:c>
      <x:c r="K1377" s="6" t="str">
        <x:f>IF(D1377="","",IF(AND(ISNUMBER(SEARCH("平",D1377)),OR(ISNUMBER(SEARCH("上",D1377)),ISNUMBER(SEARCH("去",D1377)),ISNUMBER(SEARCH("入",D1377)))),"Ambiguous",IF(ISNUMBER(SEARCH("平",D1377)),"平","仄")))</x:f>
        <x:v>仄</x:v>
      </x:c>
      <x:c r="L1377" s="7" t="str"/>
    </x:row>
    <x:row r="1378">
      <x:c r="A1378" s="5" t="str">
        <x:v>愴</x:v>
      </x:c>
      <x:c r="B1378" s="6" t="str"/>
      <x:c r="C1378" s="6" t="str">
        <x:f>IF(B1378="","Needs decision","Ready")</x:f>
        <x:v>Needs decision</x:v>
      </x:c>
      <x:c r="D1378" s="6" t="str">
        <x:v>上/去</x:v>
      </x:c>
      <x:c r="E1378" s="6" t="str">
        <x:v>tsrhjangH [tʂʰɨ̯ɑŋh] (去); tsrhjangX [tʂʰɨ̯ɑŋʔ] (上)</x:v>
      </x:c>
      <x:c r="F1378" s="6" t="str">
        <x:v>去聲二十三漾</x:v>
      </x:c>
      <x:c r="G1378" s="6" t="str">
        <x:v>Pingshui main list, Wikisource-derived DOCX</x:v>
      </x:c>
      <x:c r="H1378" s="6" t="str">
        <x:v>2</x:v>
      </x:c>
      <x:c r="I1378" s="6" t="str">
        <x:v>Tang 300 gap; frequency 1; ambiguous in Xun Gong</x:v>
      </x:c>
      <x:c r="J1378" s="6" t="str">
        <x:f>IF(B1378="","",IF(AND(ISNUMBER(SEARCH("平",B1378)),OR(ISNUMBER(SEARCH("上",B1378)),ISNUMBER(SEARCH("去",B1378)),ISNUMBER(SEARCH("入",B1378)))),"Ambiguous",IF(ISNUMBER(SEARCH("平",B1378)),"平","仄")))</x:f>
      </x:c>
      <x:c r="K1378" s="6" t="str">
        <x:f>IF(D1378="","",IF(AND(ISNUMBER(SEARCH("平",D1378)),OR(ISNUMBER(SEARCH("上",D1378)),ISNUMBER(SEARCH("去",D1378)),ISNUMBER(SEARCH("入",D1378)))),"Ambiguous",IF(ISNUMBER(SEARCH("平",D1378)),"平","仄")))</x:f>
        <x:v>仄</x:v>
      </x:c>
      <x:c r="L1378" s="7" t="str">
        <x:v>Xun Gong, Tang 300 gap fill</x:v>
      </x:c>
    </x:row>
    <x:row r="1379">
      <x:c r="A1379" s="5" t="str">
        <x:v>愷</x:v>
      </x:c>
      <x:c r="B1379" s="6" t="str">
        <x:v>上</x:v>
      </x:c>
      <x:c r="C1379" s="6" t="str">
        <x:f>IF(B1379="","Needs decision","Ready")</x:f>
        <x:v>Ready</x:v>
      </x:c>
      <x:c r="D1379" s="6" t="str">
        <x:v>上</x:v>
      </x:c>
      <x:c r="E1379" s="6" t="str">
        <x:v>khojX (B)</x:v>
      </x:c>
      <x:c r="F1379" s="6" t="str">
        <x:v>上聲十賄</x:v>
      </x:c>
      <x:c r="G1379" s="6" t="str">
        <x:v>Pingshui main list, Wikisource-derived DOCX</x:v>
      </x:c>
      <x:c r="H1379" s="6" t="str">
        <x:v>1</x:v>
      </x:c>
      <x:c r="I1379" s="6" t="str"/>
      <x:c r="J1379" s="6" t="str">
        <x:f>IF(B1379="","",IF(AND(ISNUMBER(SEARCH("平",B1379)),OR(ISNUMBER(SEARCH("上",B1379)),ISNUMBER(SEARCH("去",B1379)),ISNUMBER(SEARCH("入",B1379)))),"Ambiguous",IF(ISNUMBER(SEARCH("平",B1379)),"平","仄")))</x:f>
        <x:v>仄</x:v>
      </x:c>
      <x:c r="K1379" s="6" t="str">
        <x:f>IF(D1379="","",IF(AND(ISNUMBER(SEARCH("平",D1379)),OR(ISNUMBER(SEARCH("上",D1379)),ISNUMBER(SEARCH("去",D1379)),ISNUMBER(SEARCH("入",D1379)))),"Ambiguous",IF(ISNUMBER(SEARCH("平",D1379)),"平","仄")))</x:f>
        <x:v>仄</x:v>
      </x:c>
      <x:c r="L1379" s="7" t="str"/>
    </x:row>
    <x:row r="1380">
      <x:c r="A1380" s="5" t="str">
        <x:v>愾</x:v>
      </x:c>
      <x:c r="B1380" s="6" t="str">
        <x:v>去</x:v>
      </x:c>
      <x:c r="C1380" s="6" t="str">
        <x:f>IF(B1380="","Needs decision","Ready")</x:f>
        <x:v>Ready</x:v>
      </x:c>
      <x:c r="D1380" s="6" t="str">
        <x:v>去</x:v>
      </x:c>
      <x:c r="E1380" s="6" t="str">
        <x:v>xj+jH (C)</x:v>
      </x:c>
      <x:c r="F1380" s="6" t="str">
        <x:v>去聲五未; 去聲十一隊</x:v>
      </x:c>
      <x:c r="G1380" s="6" t="str">
        <x:v>Pingshui main list, Wikisource-derived DOCX</x:v>
      </x:c>
      <x:c r="H1380" s="6" t="str">
        <x:v>1</x:v>
      </x:c>
      <x:c r="I1380" s="6" t="str"/>
      <x:c r="J1380" s="6" t="str">
        <x:f>IF(B1380="","",IF(AND(ISNUMBER(SEARCH("平",B1380)),OR(ISNUMBER(SEARCH("上",B1380)),ISNUMBER(SEARCH("去",B1380)),ISNUMBER(SEARCH("入",B1380)))),"Ambiguous",IF(ISNUMBER(SEARCH("平",B1380)),"平","仄")))</x:f>
        <x:v>仄</x:v>
      </x:c>
      <x:c r="K1380" s="6" t="str">
        <x:f>IF(D1380="","",IF(AND(ISNUMBER(SEARCH("平",D1380)),OR(ISNUMBER(SEARCH("上",D1380)),ISNUMBER(SEARCH("去",D1380)),ISNUMBER(SEARCH("入",D1380)))),"Ambiguous",IF(ISNUMBER(SEARCH("平",D1380)),"平","仄")))</x:f>
        <x:v>仄</x:v>
      </x:c>
      <x:c r="L1380" s="7" t="str"/>
    </x:row>
    <x:row r="1381">
      <x:c r="A1381" s="5" t="str">
        <x:v>慄</x:v>
      </x:c>
      <x:c r="B1381" s="6" t="str">
        <x:v>入</x:v>
      </x:c>
      <x:c r="C1381" s="6" t="str">
        <x:f>IF(B1381="","Needs decision","Ready")</x:f>
        <x:v>Ready</x:v>
      </x:c>
      <x:c r="D1381" s="6" t="str">
        <x:v>入</x:v>
      </x:c>
      <x:c r="E1381" s="6" t="str"/>
      <x:c r="F1381" s="6" t="str">
        <x:v>入聲四質</x:v>
      </x:c>
      <x:c r="G1381" s="6" t="str">
        <x:v>Pingshui main list, Wikisource-derived DOCX</x:v>
      </x:c>
      <x:c r="H1381" s="6" t="str"/>
      <x:c r="I1381" s="6" t="str">
        <x:v>Manual user correction/addition</x:v>
      </x:c>
      <x:c r="J1381" s="6" t="str">
        <x:f>IF(B1381="","",IF(AND(ISNUMBER(SEARCH("平",B1381)),OR(ISNUMBER(SEARCH("上",B1381)),ISNUMBER(SEARCH("去",B1381)),ISNUMBER(SEARCH("入",B1381)))),"Ambiguous",IF(ISNUMBER(SEARCH("平",B1381)),"平","仄")))</x:f>
        <x:v>仄</x:v>
      </x:c>
      <x:c r="K1381" s="6" t="str">
        <x:f>IF(D1381="","",IF(AND(ISNUMBER(SEARCH("平",D1381)),OR(ISNUMBER(SEARCH("上",D1381)),ISNUMBER(SEARCH("去",D1381)),ISNUMBER(SEARCH("入",D1381)))),"Ambiguous",IF(ISNUMBER(SEARCH("平",D1381)),"平","仄")))</x:f>
        <x:v>仄</x:v>
      </x:c>
      <x:c r="L1381" s="7" t="str">
        <x:v>manual user correction</x:v>
      </x:c>
    </x:row>
    <x:row r="1382">
      <x:c r="A1382" s="5" t="str">
        <x:v>慇</x:v>
      </x:c>
      <x:c r="B1382" s="6" t="str">
        <x:v>平</x:v>
      </x:c>
      <x:c r="C1382" s="6" t="str">
        <x:f>IF(B1382="","Needs decision","Ready")</x:f>
        <x:v>Ready</x:v>
      </x:c>
      <x:c r="D1382" s="6" t="str">
        <x:v>平</x:v>
      </x:c>
      <x:c r="E1382" s="6" t="str">
        <x:v>'j+n (A)</x:v>
      </x:c>
      <x:c r="F1382" s="6" t="str">
        <x:v>上平聲十二文</x:v>
      </x:c>
      <x:c r="G1382" s="6" t="str">
        <x:v>Pingshui main list, Wikisource-derived DOCX</x:v>
      </x:c>
      <x:c r="H1382" s="6" t="str">
        <x:v>1</x:v>
      </x:c>
      <x:c r="I1382" s="6" t="str"/>
      <x:c r="J1382" s="6" t="str">
        <x:f>IF(B1382="","",IF(AND(ISNUMBER(SEARCH("平",B1382)),OR(ISNUMBER(SEARCH("上",B1382)),ISNUMBER(SEARCH("去",B1382)),ISNUMBER(SEARCH("入",B1382)))),"Ambiguous",IF(ISNUMBER(SEARCH("平",B1382)),"平","仄")))</x:f>
        <x:v>平</x:v>
      </x:c>
      <x:c r="K1382" s="6" t="str">
        <x:f>IF(D1382="","",IF(AND(ISNUMBER(SEARCH("平",D1382)),OR(ISNUMBER(SEARCH("上",D1382)),ISNUMBER(SEARCH("去",D1382)),ISNUMBER(SEARCH("入",D1382)))),"Ambiguous",IF(ISNUMBER(SEARCH("平",D1382)),"平","仄")))</x:f>
        <x:v>平</x:v>
      </x:c>
      <x:c r="L1382" s="7" t="str"/>
    </x:row>
    <x:row r="1383">
      <x:c r="A1383" s="5" t="str">
        <x:v>慈</x:v>
      </x:c>
      <x:c r="B1383" s="6" t="str">
        <x:v>平</x:v>
      </x:c>
      <x:c r="C1383" s="6" t="str">
        <x:f>IF(B1383="","Needs decision","Ready")</x:f>
        <x:v>Ready</x:v>
      </x:c>
      <x:c r="D1383" s="6" t="str">
        <x:v>平</x:v>
      </x:c>
      <x:c r="E1383" s="6" t="str">
        <x:v>dzi (A)</x:v>
      </x:c>
      <x:c r="F1383" s="6" t="str">
        <x:v>上平聲四支</x:v>
      </x:c>
      <x:c r="G1383" s="6" t="str">
        <x:v>Pingshui main list, Wikisource-derived DOCX</x:v>
      </x:c>
      <x:c r="H1383" s="6" t="str">
        <x:v>1</x:v>
      </x:c>
      <x:c r="I1383" s="6" t="str"/>
      <x:c r="J1383" s="6" t="str">
        <x:f>IF(B1383="","",IF(AND(ISNUMBER(SEARCH("平",B1383)),OR(ISNUMBER(SEARCH("上",B1383)),ISNUMBER(SEARCH("去",B1383)),ISNUMBER(SEARCH("入",B1383)))),"Ambiguous",IF(ISNUMBER(SEARCH("平",B1383)),"平","仄")))</x:f>
        <x:v>平</x:v>
      </x:c>
      <x:c r="K1383" s="6" t="str">
        <x:f>IF(D1383="","",IF(AND(ISNUMBER(SEARCH("平",D1383)),OR(ISNUMBER(SEARCH("上",D1383)),ISNUMBER(SEARCH("去",D1383)),ISNUMBER(SEARCH("入",D1383)))),"Ambiguous",IF(ISNUMBER(SEARCH("平",D1383)),"平","仄")))</x:f>
        <x:v>平</x:v>
      </x:c>
      <x:c r="L1383" s="7" t="str"/>
    </x:row>
    <x:row r="1384">
      <x:c r="A1384" s="5" t="str">
        <x:v>慉</x:v>
      </x:c>
      <x:c r="B1384" s="6" t="str">
        <x:v>入</x:v>
      </x:c>
      <x:c r="C1384" s="6" t="str">
        <x:f>IF(B1384="","Needs decision","Ready")</x:f>
        <x:v>Ready</x:v>
      </x:c>
      <x:c r="D1384" s="6" t="str">
        <x:v>入</x:v>
      </x:c>
      <x:c r="E1384" s="6" t="str">
        <x:v>xjuwk (D)</x:v>
      </x:c>
      <x:c r="F1384" s="6" t="str">
        <x:v>入聲一屋</x:v>
      </x:c>
      <x:c r="G1384" s="6" t="str">
        <x:v>Pingshui main list, Wikisource-derived DOCX</x:v>
      </x:c>
      <x:c r="H1384" s="6" t="str">
        <x:v>1</x:v>
      </x:c>
      <x:c r="I1384" s="6" t="str"/>
      <x:c r="J1384" s="6" t="str">
        <x:f>IF(B1384="","",IF(AND(ISNUMBER(SEARCH("平",B1384)),OR(ISNUMBER(SEARCH("上",B1384)),ISNUMBER(SEARCH("去",B1384)),ISNUMBER(SEARCH("入",B1384)))),"Ambiguous",IF(ISNUMBER(SEARCH("平",B1384)),"平","仄")))</x:f>
        <x:v>仄</x:v>
      </x:c>
      <x:c r="K1384" s="6" t="str">
        <x:f>IF(D1384="","",IF(AND(ISNUMBER(SEARCH("平",D1384)),OR(ISNUMBER(SEARCH("上",D1384)),ISNUMBER(SEARCH("去",D1384)),ISNUMBER(SEARCH("入",D1384)))),"Ambiguous",IF(ISNUMBER(SEARCH("平",D1384)),"平","仄")))</x:f>
        <x:v>仄</x:v>
      </x:c>
      <x:c r="L1384" s="7" t="str"/>
    </x:row>
    <x:row r="1385">
      <x:c r="A1385" s="5" t="str">
        <x:v>態</x:v>
      </x:c>
      <x:c r="B1385" s="6" t="str">
        <x:v>去</x:v>
      </x:c>
      <x:c r="C1385" s="6" t="str">
        <x:f>IF(B1385="","Needs decision","Ready")</x:f>
        <x:v>Ready</x:v>
      </x:c>
      <x:c r="D1385" s="6" t="str">
        <x:v>去</x:v>
      </x:c>
      <x:c r="E1385" s="6" t="str">
        <x:v>thojH (C)</x:v>
      </x:c>
      <x:c r="F1385" s="6" t="str">
        <x:v>去聲十一隊</x:v>
      </x:c>
      <x:c r="G1385" s="6" t="str">
        <x:v>Pingshui main list, Wikisource-derived DOCX</x:v>
      </x:c>
      <x:c r="H1385" s="6" t="str">
        <x:v>1</x:v>
      </x:c>
      <x:c r="I1385" s="6" t="str"/>
      <x:c r="J1385" s="6" t="str">
        <x:f>IF(B1385="","",IF(AND(ISNUMBER(SEARCH("平",B1385)),OR(ISNUMBER(SEARCH("上",B1385)),ISNUMBER(SEARCH("去",B1385)),ISNUMBER(SEARCH("入",B1385)))),"Ambiguous",IF(ISNUMBER(SEARCH("平",B1385)),"平","仄")))</x:f>
        <x:v>仄</x:v>
      </x:c>
      <x:c r="K1385" s="6" t="str">
        <x:f>IF(D1385="","",IF(AND(ISNUMBER(SEARCH("平",D1385)),OR(ISNUMBER(SEARCH("上",D1385)),ISNUMBER(SEARCH("去",D1385)),ISNUMBER(SEARCH("入",D1385)))),"Ambiguous",IF(ISNUMBER(SEARCH("平",D1385)),"平","仄")))</x:f>
        <x:v>仄</x:v>
      </x:c>
      <x:c r="L1385" s="7" t="str"/>
    </x:row>
    <x:row r="1386">
      <x:c r="A1386" s="5" t="str">
        <x:v>慌</x:v>
      </x:c>
      <x:c r="B1386" s="6" t="str">
        <x:v>上</x:v>
      </x:c>
      <x:c r="C1386" s="6" t="str">
        <x:f>IF(B1386="","Needs decision","Ready")</x:f>
        <x:v>Ready</x:v>
      </x:c>
      <x:c r="D1386" s="6" t="str">
        <x:v>上</x:v>
      </x:c>
      <x:c r="E1386" s="6" t="str">
        <x:v>xwangX (B)</x:v>
      </x:c>
      <x:c r="F1386" s="6" t="str">
        <x:v>上聲二十二養</x:v>
      </x:c>
      <x:c r="G1386" s="6" t="str">
        <x:v>Pingshui main list, Wikisource-derived DOCX</x:v>
      </x:c>
      <x:c r="H1386" s="6" t="str">
        <x:v>1</x:v>
      </x:c>
      <x:c r="I1386" s="6" t="str"/>
      <x:c r="J1386" s="6" t="str">
        <x:f>IF(B1386="","",IF(AND(ISNUMBER(SEARCH("平",B1386)),OR(ISNUMBER(SEARCH("上",B1386)),ISNUMBER(SEARCH("去",B1386)),ISNUMBER(SEARCH("入",B1386)))),"Ambiguous",IF(ISNUMBER(SEARCH("平",B1386)),"平","仄")))</x:f>
        <x:v>仄</x:v>
      </x:c>
      <x:c r="K1386" s="6" t="str">
        <x:f>IF(D1386="","",IF(AND(ISNUMBER(SEARCH("平",D1386)),OR(ISNUMBER(SEARCH("上",D1386)),ISNUMBER(SEARCH("去",D1386)),ISNUMBER(SEARCH("入",D1386)))),"Ambiguous",IF(ISNUMBER(SEARCH("平",D1386)),"平","仄")))</x:f>
        <x:v>仄</x:v>
      </x:c>
      <x:c r="L1386" s="7" t="str"/>
    </x:row>
    <x:row r="1387">
      <x:c r="A1387" s="5" t="str">
        <x:v>慎</x:v>
      </x:c>
      <x:c r="B1387" s="6" t="str">
        <x:v>去</x:v>
      </x:c>
      <x:c r="C1387" s="6" t="str">
        <x:f>IF(B1387="","Needs decision","Ready")</x:f>
        <x:v>Ready</x:v>
      </x:c>
      <x:c r="D1387" s="6" t="str">
        <x:v>去</x:v>
      </x:c>
      <x:c r="E1387" s="6" t="str">
        <x:v>dzyinH (C)</x:v>
      </x:c>
      <x:c r="F1387" s="6" t="str">
        <x:v>去聲十二震</x:v>
      </x:c>
      <x:c r="G1387" s="6" t="str">
        <x:v>Pingshui main list, Wikisource-derived DOCX</x:v>
      </x:c>
      <x:c r="H1387" s="6" t="str">
        <x:v>1</x:v>
      </x:c>
      <x:c r="I1387" s="6" t="str"/>
      <x:c r="J1387" s="6" t="str">
        <x:f>IF(B1387="","",IF(AND(ISNUMBER(SEARCH("平",B1387)),OR(ISNUMBER(SEARCH("上",B1387)),ISNUMBER(SEARCH("去",B1387)),ISNUMBER(SEARCH("入",B1387)))),"Ambiguous",IF(ISNUMBER(SEARCH("平",B1387)),"平","仄")))</x:f>
        <x:v>仄</x:v>
      </x:c>
      <x:c r="K1387" s="6" t="str">
        <x:f>IF(D1387="","",IF(AND(ISNUMBER(SEARCH("平",D1387)),OR(ISNUMBER(SEARCH("上",D1387)),ISNUMBER(SEARCH("去",D1387)),ISNUMBER(SEARCH("入",D1387)))),"Ambiguous",IF(ISNUMBER(SEARCH("平",D1387)),"平","仄")))</x:f>
        <x:v>仄</x:v>
      </x:c>
      <x:c r="L1387" s="7" t="str"/>
    </x:row>
    <x:row r="1388">
      <x:c r="A1388" s="5" t="str">
        <x:v>慕</x:v>
      </x:c>
      <x:c r="B1388" s="6" t="str">
        <x:v>去</x:v>
      </x:c>
      <x:c r="C1388" s="6" t="str">
        <x:f>IF(B1388="","Needs decision","Ready")</x:f>
        <x:v>Ready</x:v>
      </x:c>
      <x:c r="D1388" s="6" t="str">
        <x:v>去</x:v>
      </x:c>
      <x:c r="E1388" s="6" t="str">
        <x:v>muH (C)</x:v>
      </x:c>
      <x:c r="F1388" s="6" t="str">
        <x:v>去聲七遇</x:v>
      </x:c>
      <x:c r="G1388" s="6" t="str">
        <x:v>Pingshui main list, Wikisource-derived DOCX</x:v>
      </x:c>
      <x:c r="H1388" s="6" t="str">
        <x:v>1</x:v>
      </x:c>
      <x:c r="I1388" s="6" t="str"/>
      <x:c r="J1388" s="6" t="str">
        <x:f>IF(B1388="","",IF(AND(ISNUMBER(SEARCH("平",B1388)),OR(ISNUMBER(SEARCH("上",B1388)),ISNUMBER(SEARCH("去",B1388)),ISNUMBER(SEARCH("入",B1388)))),"Ambiguous",IF(ISNUMBER(SEARCH("平",B1388)),"平","仄")))</x:f>
        <x:v>仄</x:v>
      </x:c>
      <x:c r="K1388" s="6" t="str">
        <x:f>IF(D1388="","",IF(AND(ISNUMBER(SEARCH("平",D1388)),OR(ISNUMBER(SEARCH("上",D1388)),ISNUMBER(SEARCH("去",D1388)),ISNUMBER(SEARCH("入",D1388)))),"Ambiguous",IF(ISNUMBER(SEARCH("平",D1388)),"平","仄")))</x:f>
        <x:v>仄</x:v>
      </x:c>
      <x:c r="L1388" s="7" t="str"/>
    </x:row>
    <x:row r="1389">
      <x:c r="A1389" s="5" t="str">
        <x:v>慘</x:v>
      </x:c>
      <x:c r="B1389" s="6" t="str">
        <x:v>上</x:v>
      </x:c>
      <x:c r="C1389" s="6" t="str">
        <x:f>IF(B1389="","Needs decision","Ready")</x:f>
        <x:v>Ready</x:v>
      </x:c>
      <x:c r="D1389" s="6" t="str">
        <x:v>上</x:v>
      </x:c>
      <x:c r="E1389" s="6" t="str">
        <x:v>tshomX [t̙s̙ʰəmʔ] (上)</x:v>
      </x:c>
      <x:c r="F1389" s="6" t="str">
        <x:v>上聲二十七感</x:v>
      </x:c>
      <x:c r="G1389" s="6" t="str">
        <x:v>Pingshui main list, Wikisource-derived DOCX</x:v>
      </x:c>
      <x:c r="H1389" s="6" t="str">
        <x:v>1</x:v>
      </x:c>
      <x:c r="I1389" s="6" t="str">
        <x:v>Tang 300 gap; frequency 5; provisional from Xun Gong</x:v>
      </x:c>
      <x:c r="J1389" s="6" t="str">
        <x:f>IF(B1389="","",IF(AND(ISNUMBER(SEARCH("平",B1389)),OR(ISNUMBER(SEARCH("上",B1389)),ISNUMBER(SEARCH("去",B1389)),ISNUMBER(SEARCH("入",B1389)))),"Ambiguous",IF(ISNUMBER(SEARCH("平",B1389)),"平","仄")))</x:f>
        <x:v>仄</x:v>
      </x:c>
      <x:c r="K1389" s="6" t="str">
        <x:f>IF(D1389="","",IF(AND(ISNUMBER(SEARCH("平",D1389)),OR(ISNUMBER(SEARCH("上",D1389)),ISNUMBER(SEARCH("去",D1389)),ISNUMBER(SEARCH("入",D1389)))),"Ambiguous",IF(ISNUMBER(SEARCH("平",D1389)),"平","仄")))</x:f>
        <x:v>仄</x:v>
      </x:c>
      <x:c r="L1389" s="7" t="str">
        <x:v>Xun Gong, Tang 300 gap fill</x:v>
      </x:c>
    </x:row>
    <x:row r="1390">
      <x:c r="A1390" s="5" t="str">
        <x:v>慙</x:v>
      </x:c>
      <x:c r="B1390" s="6" t="str">
        <x:v>平</x:v>
      </x:c>
      <x:c r="C1390" s="6" t="str">
        <x:f>IF(B1390="","Needs decision","Ready")</x:f>
        <x:v>Ready</x:v>
      </x:c>
      <x:c r="D1390" s="6" t="str">
        <x:v>平</x:v>
      </x:c>
      <x:c r="E1390" s="6" t="str">
        <x:v>dzam (A)</x:v>
      </x:c>
      <x:c r="F1390" s="6" t="str"/>
      <x:c r="G1390" s="6" t="str"/>
      <x:c r="H1390" s="6" t="str">
        <x:v>1</x:v>
      </x:c>
      <x:c r="I1390" s="6" t="str"/>
      <x:c r="J1390" s="6" t="str">
        <x:f>IF(B1390="","",IF(AND(ISNUMBER(SEARCH("平",B1390)),OR(ISNUMBER(SEARCH("上",B1390)),ISNUMBER(SEARCH("去",B1390)),ISNUMBER(SEARCH("入",B1390)))),"Ambiguous",IF(ISNUMBER(SEARCH("平",B1390)),"平","仄")))</x:f>
        <x:v>平</x:v>
      </x:c>
      <x:c r="K1390" s="6" t="str">
        <x:f>IF(D1390="","",IF(AND(ISNUMBER(SEARCH("平",D1390)),OR(ISNUMBER(SEARCH("上",D1390)),ISNUMBER(SEARCH("去",D1390)),ISNUMBER(SEARCH("入",D1390)))),"Ambiguous",IF(ISNUMBER(SEARCH("平",D1390)),"平","仄")))</x:f>
        <x:v>平</x:v>
      </x:c>
      <x:c r="L1390" s="7" t="str"/>
    </x:row>
    <x:row r="1391">
      <x:c r="A1391" s="5" t="str">
        <x:v>慚</x:v>
      </x:c>
      <x:c r="B1391" s="6" t="str">
        <x:v>平</x:v>
      </x:c>
      <x:c r="C1391" s="6" t="str">
        <x:f>IF(B1391="","Needs decision","Ready")</x:f>
        <x:v>Ready</x:v>
      </x:c>
      <x:c r="D1391" s="6" t="str">
        <x:v>平</x:v>
      </x:c>
      <x:c r="E1391" s="6" t="str">
        <x:v>dzam (A)</x:v>
      </x:c>
      <x:c r="F1391" s="6" t="str"/>
      <x:c r="G1391" s="6" t="str"/>
      <x:c r="H1391" s="6" t="str">
        <x:v>1</x:v>
      </x:c>
      <x:c r="I1391" s="6" t="str"/>
      <x:c r="J1391" s="6" t="str">
        <x:f>IF(B1391="","",IF(AND(ISNUMBER(SEARCH("平",B1391)),OR(ISNUMBER(SEARCH("上",B1391)),ISNUMBER(SEARCH("去",B1391)),ISNUMBER(SEARCH("入",B1391)))),"Ambiguous",IF(ISNUMBER(SEARCH("平",B1391)),"平","仄")))</x:f>
        <x:v>平</x:v>
      </x:c>
      <x:c r="K1391" s="6" t="str">
        <x:f>IF(D1391="","",IF(AND(ISNUMBER(SEARCH("平",D1391)),OR(ISNUMBER(SEARCH("上",D1391)),ISNUMBER(SEARCH("去",D1391)),ISNUMBER(SEARCH("入",D1391)))),"Ambiguous",IF(ISNUMBER(SEARCH("平",D1391)),"平","仄")))</x:f>
        <x:v>平</x:v>
      </x:c>
      <x:c r="L1391" s="7" t="str"/>
    </x:row>
    <x:row r="1392">
      <x:c r="A1392" s="5" t="str">
        <x:v>慝</x:v>
      </x:c>
      <x:c r="B1392" s="6" t="str">
        <x:v>入</x:v>
      </x:c>
      <x:c r="C1392" s="6" t="str">
        <x:f>IF(B1392="","Needs decision","Ready")</x:f>
        <x:v>Ready</x:v>
      </x:c>
      <x:c r="D1392" s="6" t="str">
        <x:v>入</x:v>
      </x:c>
      <x:c r="E1392" s="6" t="str">
        <x:v>thok (D)</x:v>
      </x:c>
      <x:c r="F1392" s="6" t="str">
        <x:v>入聲十三職</x:v>
      </x:c>
      <x:c r="G1392" s="6" t="str">
        <x:v>Pingshui main list, Wikisource-derived DOCX</x:v>
      </x:c>
      <x:c r="H1392" s="6" t="str">
        <x:v>1</x:v>
      </x:c>
      <x:c r="I1392" s="6" t="str"/>
      <x:c r="J1392" s="6" t="str">
        <x:f>IF(B1392="","",IF(AND(ISNUMBER(SEARCH("平",B1392)),OR(ISNUMBER(SEARCH("上",B1392)),ISNUMBER(SEARCH("去",B1392)),ISNUMBER(SEARCH("入",B1392)))),"Ambiguous",IF(ISNUMBER(SEARCH("平",B1392)),"平","仄")))</x:f>
        <x:v>仄</x:v>
      </x:c>
      <x:c r="K1392" s="6" t="str">
        <x:f>IF(D1392="","",IF(AND(ISNUMBER(SEARCH("平",D1392)),OR(ISNUMBER(SEARCH("上",D1392)),ISNUMBER(SEARCH("去",D1392)),ISNUMBER(SEARCH("入",D1392)))),"Ambiguous",IF(ISNUMBER(SEARCH("平",D1392)),"平","仄")))</x:f>
        <x:v>仄</x:v>
      </x:c>
      <x:c r="L1392" s="7" t="str"/>
    </x:row>
    <x:row r="1393">
      <x:c r="A1393" s="5" t="str">
        <x:v>慟</x:v>
      </x:c>
      <x:c r="B1393" s="6" t="str">
        <x:v>去</x:v>
      </x:c>
      <x:c r="C1393" s="6" t="str">
        <x:f>IF(B1393="","Needs decision","Ready")</x:f>
        <x:v>Ready</x:v>
      </x:c>
      <x:c r="D1393" s="6" t="str">
        <x:v>去</x:v>
      </x:c>
      <x:c r="E1393" s="6" t="str">
        <x:v>duwngH (C)</x:v>
      </x:c>
      <x:c r="F1393" s="6" t="str">
        <x:v>去聲一送</x:v>
      </x:c>
      <x:c r="G1393" s="6" t="str">
        <x:v>Pingshui main list, Wikisource-derived DOCX</x:v>
      </x:c>
      <x:c r="H1393" s="6" t="str">
        <x:v>1</x:v>
      </x:c>
      <x:c r="I1393" s="6" t="str"/>
      <x:c r="J1393" s="6" t="str">
        <x:f>IF(B1393="","",IF(AND(ISNUMBER(SEARCH("平",B1393)),OR(ISNUMBER(SEARCH("上",B1393)),ISNUMBER(SEARCH("去",B1393)),ISNUMBER(SEARCH("入",B1393)))),"Ambiguous",IF(ISNUMBER(SEARCH("平",B1393)),"平","仄")))</x:f>
        <x:v>仄</x:v>
      </x:c>
      <x:c r="K1393" s="6" t="str">
        <x:f>IF(D1393="","",IF(AND(ISNUMBER(SEARCH("平",D1393)),OR(ISNUMBER(SEARCH("上",D1393)),ISNUMBER(SEARCH("去",D1393)),ISNUMBER(SEARCH("入",D1393)))),"Ambiguous",IF(ISNUMBER(SEARCH("平",D1393)),"平","仄")))</x:f>
        <x:v>仄</x:v>
      </x:c>
      <x:c r="L1393" s="7" t="str"/>
    </x:row>
    <x:row r="1394">
      <x:c r="A1394" s="5" t="str">
        <x:v>慢</x:v>
      </x:c>
      <x:c r="B1394" s="6" t="str">
        <x:v>去</x:v>
      </x:c>
      <x:c r="C1394" s="6" t="str">
        <x:f>IF(B1394="","Needs decision","Ready")</x:f>
        <x:v>Ready</x:v>
      </x:c>
      <x:c r="D1394" s="6" t="str">
        <x:v>去</x:v>
      </x:c>
      <x:c r="E1394" s="6" t="str">
        <x:v>maenH (C)</x:v>
      </x:c>
      <x:c r="F1394" s="6" t="str">
        <x:v>去聲十六諫</x:v>
      </x:c>
      <x:c r="G1394" s="6" t="str">
        <x:v>Pingshui main list, Wikisource-derived DOCX</x:v>
      </x:c>
      <x:c r="H1394" s="6" t="str">
        <x:v>1</x:v>
      </x:c>
      <x:c r="I1394" s="6" t="str"/>
      <x:c r="J1394" s="6" t="str">
        <x:f>IF(B1394="","",IF(AND(ISNUMBER(SEARCH("平",B1394)),OR(ISNUMBER(SEARCH("上",B1394)),ISNUMBER(SEARCH("去",B1394)),ISNUMBER(SEARCH("入",B1394)))),"Ambiguous",IF(ISNUMBER(SEARCH("平",B1394)),"平","仄")))</x:f>
        <x:v>仄</x:v>
      </x:c>
      <x:c r="K1394" s="6" t="str">
        <x:f>IF(D1394="","",IF(AND(ISNUMBER(SEARCH("平",D1394)),OR(ISNUMBER(SEARCH("上",D1394)),ISNUMBER(SEARCH("去",D1394)),ISNUMBER(SEARCH("入",D1394)))),"Ambiguous",IF(ISNUMBER(SEARCH("平",D1394)),"平","仄")))</x:f>
        <x:v>仄</x:v>
      </x:c>
      <x:c r="L1394" s="7" t="str"/>
    </x:row>
    <x:row r="1395">
      <x:c r="A1395" s="5" t="str">
        <x:v>慣</x:v>
      </x:c>
      <x:c r="B1395" s="6" t="str">
        <x:v>去</x:v>
      </x:c>
      <x:c r="C1395" s="6" t="str">
        <x:f>IF(B1395="","Needs decision","Ready")</x:f>
        <x:v>Ready</x:v>
      </x:c>
      <x:c r="D1395" s="6" t="str">
        <x:v>去</x:v>
      </x:c>
      <x:c r="E1395" s="6" t="str">
        <x:v>kwaenH (C)</x:v>
      </x:c>
      <x:c r="F1395" s="6" t="str">
        <x:v>去聲十六諫</x:v>
      </x:c>
      <x:c r="G1395" s="6" t="str">
        <x:v>Pingshui main list, Wikisource-derived DOCX</x:v>
      </x:c>
      <x:c r="H1395" s="6" t="str">
        <x:v>1</x:v>
      </x:c>
      <x:c r="I1395" s="6" t="str"/>
      <x:c r="J1395" s="6" t="str">
        <x:f>IF(B1395="","",IF(AND(ISNUMBER(SEARCH("平",B1395)),OR(ISNUMBER(SEARCH("上",B1395)),ISNUMBER(SEARCH("去",B1395)),ISNUMBER(SEARCH("入",B1395)))),"Ambiguous",IF(ISNUMBER(SEARCH("平",B1395)),"平","仄")))</x:f>
        <x:v>仄</x:v>
      </x:c>
      <x:c r="K1395" s="6" t="str">
        <x:f>IF(D1395="","",IF(AND(ISNUMBER(SEARCH("平",D1395)),OR(ISNUMBER(SEARCH("上",D1395)),ISNUMBER(SEARCH("去",D1395)),ISNUMBER(SEARCH("入",D1395)))),"Ambiguous",IF(ISNUMBER(SEARCH("平",D1395)),"平","仄")))</x:f>
        <x:v>仄</x:v>
      </x:c>
      <x:c r="L1395" s="7" t="str"/>
    </x:row>
    <x:row r="1396">
      <x:c r="A1396" s="5" t="str">
        <x:v>慧</x:v>
      </x:c>
      <x:c r="B1396" s="6" t="str">
        <x:v>去</x:v>
      </x:c>
      <x:c r="C1396" s="6" t="str">
        <x:f>IF(B1396="","Needs decision","Ready")</x:f>
        <x:v>Ready</x:v>
      </x:c>
      <x:c r="D1396" s="6" t="str">
        <x:v>去</x:v>
      </x:c>
      <x:c r="E1396" s="6" t="str">
        <x:v>hwejH (C)</x:v>
      </x:c>
      <x:c r="F1396" s="6" t="str">
        <x:v>去聲八霽</x:v>
      </x:c>
      <x:c r="G1396" s="6" t="str">
        <x:v>Pingshui main list, Wikisource-derived DOCX</x:v>
      </x:c>
      <x:c r="H1396" s="6" t="str">
        <x:v>1</x:v>
      </x:c>
      <x:c r="I1396" s="6" t="str"/>
      <x:c r="J1396" s="6" t="str">
        <x:f>IF(B1396="","",IF(AND(ISNUMBER(SEARCH("平",B1396)),OR(ISNUMBER(SEARCH("上",B1396)),ISNUMBER(SEARCH("去",B1396)),ISNUMBER(SEARCH("入",B1396)))),"Ambiguous",IF(ISNUMBER(SEARCH("平",B1396)),"平","仄")))</x:f>
        <x:v>仄</x:v>
      </x:c>
      <x:c r="K1396" s="6" t="str">
        <x:f>IF(D1396="","",IF(AND(ISNUMBER(SEARCH("平",D1396)),OR(ISNUMBER(SEARCH("上",D1396)),ISNUMBER(SEARCH("去",D1396)),ISNUMBER(SEARCH("入",D1396)))),"Ambiguous",IF(ISNUMBER(SEARCH("平",D1396)),"平","仄")))</x:f>
        <x:v>仄</x:v>
      </x:c>
      <x:c r="L1396" s="7" t="str"/>
    </x:row>
    <x:row r="1397">
      <x:c r="A1397" s="5" t="str">
        <x:v>慨</x:v>
      </x:c>
      <x:c r="B1397" s="6" t="str">
        <x:v>去</x:v>
      </x:c>
      <x:c r="C1397" s="6" t="str">
        <x:f>IF(B1397="","Needs decision","Ready")</x:f>
        <x:v>Ready</x:v>
      </x:c>
      <x:c r="D1397" s="6" t="str">
        <x:v>去</x:v>
      </x:c>
      <x:c r="E1397" s="6" t="str">
        <x:v>khojH (C)</x:v>
      </x:c>
      <x:c r="F1397" s="6" t="str">
        <x:v>去聲十一隊</x:v>
      </x:c>
      <x:c r="G1397" s="6" t="str">
        <x:v>Pingshui main list, Wikisource-derived DOCX</x:v>
      </x:c>
      <x:c r="H1397" s="6" t="str">
        <x:v>1</x:v>
      </x:c>
      <x:c r="I1397" s="6" t="str"/>
      <x:c r="J1397" s="6" t="str">
        <x:f>IF(B1397="","",IF(AND(ISNUMBER(SEARCH("平",B1397)),OR(ISNUMBER(SEARCH("上",B1397)),ISNUMBER(SEARCH("去",B1397)),ISNUMBER(SEARCH("入",B1397)))),"Ambiguous",IF(ISNUMBER(SEARCH("平",B1397)),"平","仄")))</x:f>
        <x:v>仄</x:v>
      </x:c>
      <x:c r="K1397" s="6" t="str">
        <x:f>IF(D1397="","",IF(AND(ISNUMBER(SEARCH("平",D1397)),OR(ISNUMBER(SEARCH("上",D1397)),ISNUMBER(SEARCH("去",D1397)),ISNUMBER(SEARCH("入",D1397)))),"Ambiguous",IF(ISNUMBER(SEARCH("平",D1397)),"平","仄")))</x:f>
        <x:v>仄</x:v>
      </x:c>
      <x:c r="L1397" s="7" t="str"/>
    </x:row>
    <x:row r="1398">
      <x:c r="A1398" s="5" t="str">
        <x:v>慬</x:v>
      </x:c>
      <x:c r="B1398" s="6" t="str">
        <x:v>平</x:v>
      </x:c>
      <x:c r="C1398" s="6" t="str">
        <x:f>IF(B1398="","Needs decision","Ready")</x:f>
        <x:v>Ready</x:v>
      </x:c>
      <x:c r="D1398" s="6" t="str">
        <x:v>平</x:v>
      </x:c>
      <x:c r="E1398" s="6" t="str">
        <x:v>gj+n (A)</x:v>
      </x:c>
      <x:c r="F1398" s="6" t="str">
        <x:v>上平聲十二文</x:v>
      </x:c>
      <x:c r="G1398" s="6" t="str">
        <x:v>Pingshui main list, Wikisource-derived DOCX</x:v>
      </x:c>
      <x:c r="H1398" s="6" t="str">
        <x:v>1</x:v>
      </x:c>
      <x:c r="I1398" s="6" t="str"/>
      <x:c r="J1398" s="6" t="str">
        <x:f>IF(B1398="","",IF(AND(ISNUMBER(SEARCH("平",B1398)),OR(ISNUMBER(SEARCH("上",B1398)),ISNUMBER(SEARCH("去",B1398)),ISNUMBER(SEARCH("入",B1398)))),"Ambiguous",IF(ISNUMBER(SEARCH("平",B1398)),"平","仄")))</x:f>
        <x:v>平</x:v>
      </x:c>
      <x:c r="K1398" s="6" t="str">
        <x:f>IF(D1398="","",IF(AND(ISNUMBER(SEARCH("平",D1398)),OR(ISNUMBER(SEARCH("上",D1398)),ISNUMBER(SEARCH("去",D1398)),ISNUMBER(SEARCH("入",D1398)))),"Ambiguous",IF(ISNUMBER(SEARCH("平",D1398)),"平","仄")))</x:f>
        <x:v>平</x:v>
      </x:c>
      <x:c r="L1398" s="7" t="str"/>
    </x:row>
    <x:row r="1399">
      <x:c r="A1399" s="5" t="str">
        <x:v>慮</x:v>
      </x:c>
      <x:c r="B1399" s="6" t="str">
        <x:v>去</x:v>
      </x:c>
      <x:c r="C1399" s="6" t="str">
        <x:f>IF(B1399="","Needs decision","Ready")</x:f>
        <x:v>Ready</x:v>
      </x:c>
      <x:c r="D1399" s="6" t="str">
        <x:v>去</x:v>
      </x:c>
      <x:c r="E1399" s="6" t="str">
        <x:v>ljoH (C)</x:v>
      </x:c>
      <x:c r="F1399" s="6" t="str">
        <x:v>去聲六御</x:v>
      </x:c>
      <x:c r="G1399" s="6" t="str">
        <x:v>Pingshui main list, Wikisource-derived DOCX</x:v>
      </x:c>
      <x:c r="H1399" s="6" t="str">
        <x:v>1</x:v>
      </x:c>
      <x:c r="I1399" s="6" t="str"/>
      <x:c r="J1399" s="6" t="str">
        <x:f>IF(B1399="","",IF(AND(ISNUMBER(SEARCH("平",B1399)),OR(ISNUMBER(SEARCH("上",B1399)),ISNUMBER(SEARCH("去",B1399)),ISNUMBER(SEARCH("入",B1399)))),"Ambiguous",IF(ISNUMBER(SEARCH("平",B1399)),"平","仄")))</x:f>
        <x:v>仄</x:v>
      </x:c>
      <x:c r="K1399" s="6" t="str">
        <x:f>IF(D1399="","",IF(AND(ISNUMBER(SEARCH("平",D1399)),OR(ISNUMBER(SEARCH("上",D1399)),ISNUMBER(SEARCH("去",D1399)),ISNUMBER(SEARCH("入",D1399)))),"Ambiguous",IF(ISNUMBER(SEARCH("平",D1399)),"平","仄")))</x:f>
        <x:v>仄</x:v>
      </x:c>
      <x:c r="L1399" s="7" t="str"/>
    </x:row>
    <x:row r="1400">
      <x:c r="A1400" s="5" t="str">
        <x:v>慰</x:v>
      </x:c>
      <x:c r="B1400" s="6" t="str">
        <x:v>去</x:v>
      </x:c>
      <x:c r="C1400" s="6" t="str">
        <x:f>IF(B1400="","Needs decision","Ready")</x:f>
        <x:v>Ready</x:v>
      </x:c>
      <x:c r="D1400" s="6" t="str">
        <x:v>去</x:v>
      </x:c>
      <x:c r="E1400" s="6" t="str">
        <x:v>'jw+jH (C)</x:v>
      </x:c>
      <x:c r="F1400" s="6" t="str">
        <x:v>去聲五未</x:v>
      </x:c>
      <x:c r="G1400" s="6" t="str">
        <x:v>Pingshui main list, Wikisource-derived DOCX</x:v>
      </x:c>
      <x:c r="H1400" s="6" t="str">
        <x:v>1</x:v>
      </x:c>
      <x:c r="I1400" s="6" t="str"/>
      <x:c r="J1400" s="6" t="str">
        <x:f>IF(B1400="","",IF(AND(ISNUMBER(SEARCH("平",B1400)),OR(ISNUMBER(SEARCH("上",B1400)),ISNUMBER(SEARCH("去",B1400)),ISNUMBER(SEARCH("入",B1400)))),"Ambiguous",IF(ISNUMBER(SEARCH("平",B1400)),"平","仄")))</x:f>
        <x:v>仄</x:v>
      </x:c>
      <x:c r="K1400" s="6" t="str">
        <x:f>IF(D1400="","",IF(AND(ISNUMBER(SEARCH("平",D1400)),OR(ISNUMBER(SEARCH("上",D1400)),ISNUMBER(SEARCH("去",D1400)),ISNUMBER(SEARCH("入",D1400)))),"Ambiguous",IF(ISNUMBER(SEARCH("平",D1400)),"平","仄")))</x:f>
        <x:v>仄</x:v>
      </x:c>
      <x:c r="L1400" s="7" t="str"/>
    </x:row>
    <x:row r="1401">
      <x:c r="A1401" s="5" t="str">
        <x:v>慵</x:v>
      </x:c>
      <x:c r="B1401" s="6" t="str">
        <x:v>平</x:v>
      </x:c>
      <x:c r="C1401" s="6" t="str">
        <x:f>IF(B1401="","Needs decision","Ready")</x:f>
        <x:v>Ready</x:v>
      </x:c>
      <x:c r="D1401" s="6" t="str">
        <x:v>平</x:v>
      </x:c>
      <x:c r="E1401" s="6" t="str">
        <x:v>dzyowng [dʑoŋ] (平)</x:v>
      </x:c>
      <x:c r="F1401" s="6" t="str">
        <x:v>上平聲二冬</x:v>
      </x:c>
      <x:c r="G1401" s="6" t="str">
        <x:v>Pingshui main list, Wikisource-derived DOCX</x:v>
      </x:c>
      <x:c r="H1401" s="6" t="str">
        <x:v>1</x:v>
      </x:c>
      <x:c r="I1401" s="6" t="str">
        <x:v>Tang 300 gap; frequency 1; provisional from Xun Gong</x:v>
      </x:c>
      <x:c r="J1401" s="6" t="str">
        <x:f>IF(B1401="","",IF(AND(ISNUMBER(SEARCH("平",B1401)),OR(ISNUMBER(SEARCH("上",B1401)),ISNUMBER(SEARCH("去",B1401)),ISNUMBER(SEARCH("入",B1401)))),"Ambiguous",IF(ISNUMBER(SEARCH("平",B1401)),"平","仄")))</x:f>
        <x:v>平</x:v>
      </x:c>
      <x:c r="K1401" s="6" t="str">
        <x:f>IF(D1401="","",IF(AND(ISNUMBER(SEARCH("平",D1401)),OR(ISNUMBER(SEARCH("上",D1401)),ISNUMBER(SEARCH("去",D1401)),ISNUMBER(SEARCH("入",D1401)))),"Ambiguous",IF(ISNUMBER(SEARCH("平",D1401)),"平","仄")))</x:f>
        <x:v>平</x:v>
      </x:c>
      <x:c r="L1401" s="7" t="str">
        <x:v>Xun Gong, Tang 300 gap fill</x:v>
      </x:c>
    </x:row>
    <x:row r="1402">
      <x:c r="A1402" s="5" t="str">
        <x:v>慶</x:v>
      </x:c>
      <x:c r="B1402" s="6" t="str">
        <x:v>去</x:v>
      </x:c>
      <x:c r="C1402" s="6" t="str">
        <x:f>IF(B1402="","Needs decision","Ready")</x:f>
        <x:v>Ready</x:v>
      </x:c>
      <x:c r="D1402" s="6" t="str">
        <x:v>去</x:v>
      </x:c>
      <x:c r="E1402" s="6" t="str">
        <x:v>khjaengH (C)</x:v>
      </x:c>
      <x:c r="F1402" s="6" t="str">
        <x:v>下平聲七陽; 去聲二十四敬</x:v>
      </x:c>
      <x:c r="G1402" s="6" t="str">
        <x:v>Pingshui main list, Wikisource-derived DOCX</x:v>
      </x:c>
      <x:c r="H1402" s="6" t="str">
        <x:v>1</x:v>
      </x:c>
      <x:c r="I1402" s="6" t="str"/>
      <x:c r="J1402" s="6" t="str">
        <x:f>IF(B1402="","",IF(AND(ISNUMBER(SEARCH("平",B1402)),OR(ISNUMBER(SEARCH("上",B1402)),ISNUMBER(SEARCH("去",B1402)),ISNUMBER(SEARCH("入",B1402)))),"Ambiguous",IF(ISNUMBER(SEARCH("平",B1402)),"平","仄")))</x:f>
        <x:v>仄</x:v>
      </x:c>
      <x:c r="K1402" s="6" t="str">
        <x:f>IF(D1402="","",IF(AND(ISNUMBER(SEARCH("平",D1402)),OR(ISNUMBER(SEARCH("上",D1402)),ISNUMBER(SEARCH("去",D1402)),ISNUMBER(SEARCH("入",D1402)))),"Ambiguous",IF(ISNUMBER(SEARCH("平",D1402)),"平","仄")))</x:f>
        <x:v>仄</x:v>
      </x:c>
      <x:c r="L1402" s="7" t="str"/>
    </x:row>
    <x:row r="1403">
      <x:c r="A1403" s="5" t="str">
        <x:v>慹</x:v>
      </x:c>
      <x:c r="B1403" s="6" t="str">
        <x:v>入</x:v>
      </x:c>
      <x:c r="C1403" s="6" t="str">
        <x:f>IF(B1403="","Needs decision","Ready")</x:f>
        <x:v>Ready</x:v>
      </x:c>
      <x:c r="D1403" s="6" t="str">
        <x:v>入</x:v>
      </x:c>
      <x:c r="E1403" s="6" t="str">
        <x:v>nep (D); tsyep (D); tsyip (D)</x:v>
      </x:c>
      <x:c r="F1403" s="6" t="str"/>
      <x:c r="G1403" s="6" t="str"/>
      <x:c r="H1403" s="6" t="str">
        <x:v>3</x:v>
      </x:c>
      <x:c r="I1403" s="6" t="str"/>
      <x:c r="J1403" s="6" t="str">
        <x:f>IF(B1403="","",IF(AND(ISNUMBER(SEARCH("平",B1403)),OR(ISNUMBER(SEARCH("上",B1403)),ISNUMBER(SEARCH("去",B1403)),ISNUMBER(SEARCH("入",B1403)))),"Ambiguous",IF(ISNUMBER(SEARCH("平",B1403)),"平","仄")))</x:f>
        <x:v>仄</x:v>
      </x:c>
      <x:c r="K1403" s="6" t="str">
        <x:f>IF(D1403="","",IF(AND(ISNUMBER(SEARCH("平",D1403)),OR(ISNUMBER(SEARCH("上",D1403)),ISNUMBER(SEARCH("去",D1403)),ISNUMBER(SEARCH("入",D1403)))),"Ambiguous",IF(ISNUMBER(SEARCH("平",D1403)),"平","仄")))</x:f>
        <x:v>仄</x:v>
      </x:c>
      <x:c r="L1403" s="7" t="str"/>
    </x:row>
    <x:row r="1404">
      <x:c r="A1404" s="5" t="str">
        <x:v>慼</x:v>
      </x:c>
      <x:c r="B1404" s="6" t="str">
        <x:v>入</x:v>
      </x:c>
      <x:c r="C1404" s="6" t="str">
        <x:f>IF(B1404="","Needs decision","Ready")</x:f>
        <x:v>Ready</x:v>
      </x:c>
      <x:c r="D1404" s="6" t="str">
        <x:v>入</x:v>
      </x:c>
      <x:c r="E1404" s="6" t="str">
        <x:v>tshek (D)</x:v>
      </x:c>
      <x:c r="F1404" s="6" t="str">
        <x:v>入聲十二錫</x:v>
      </x:c>
      <x:c r="G1404" s="6" t="str">
        <x:v>Pingshui main list, Wikisource-derived DOCX</x:v>
      </x:c>
      <x:c r="H1404" s="6" t="str">
        <x:v>1</x:v>
      </x:c>
      <x:c r="I1404" s="6" t="str"/>
      <x:c r="J1404" s="6" t="str">
        <x:f>IF(B1404="","",IF(AND(ISNUMBER(SEARCH("平",B1404)),OR(ISNUMBER(SEARCH("上",B1404)),ISNUMBER(SEARCH("去",B1404)),ISNUMBER(SEARCH("入",B1404)))),"Ambiguous",IF(ISNUMBER(SEARCH("平",B1404)),"平","仄")))</x:f>
        <x:v>仄</x:v>
      </x:c>
      <x:c r="K1404" s="6" t="str">
        <x:f>IF(D1404="","",IF(AND(ISNUMBER(SEARCH("平",D1404)),OR(ISNUMBER(SEARCH("上",D1404)),ISNUMBER(SEARCH("去",D1404)),ISNUMBER(SEARCH("入",D1404)))),"Ambiguous",IF(ISNUMBER(SEARCH("平",D1404)),"平","仄")))</x:f>
        <x:v>仄</x:v>
      </x:c>
      <x:c r="L1404" s="7" t="str"/>
    </x:row>
    <x:row r="1405">
      <x:c r="A1405" s="5" t="str">
        <x:v>憂</x:v>
      </x:c>
      <x:c r="B1405" s="6" t="str">
        <x:v>平</x:v>
      </x:c>
      <x:c r="C1405" s="6" t="str">
        <x:f>IF(B1405="","Needs decision","Ready")</x:f>
        <x:v>Ready</x:v>
      </x:c>
      <x:c r="D1405" s="6" t="str">
        <x:v>平</x:v>
      </x:c>
      <x:c r="E1405" s="6" t="str">
        <x:v>'juw (A)</x:v>
      </x:c>
      <x:c r="F1405" s="6" t="str">
        <x:v>下平聲十一尤</x:v>
      </x:c>
      <x:c r="G1405" s="6" t="str">
        <x:v>Pingshui main list, Wikisource-derived DOCX</x:v>
      </x:c>
      <x:c r="H1405" s="6" t="str">
        <x:v>1</x:v>
      </x:c>
      <x:c r="I1405" s="6" t="str"/>
      <x:c r="J1405" s="6" t="str">
        <x:f>IF(B1405="","",IF(AND(ISNUMBER(SEARCH("平",B1405)),OR(ISNUMBER(SEARCH("上",B1405)),ISNUMBER(SEARCH("去",B1405)),ISNUMBER(SEARCH("入",B1405)))),"Ambiguous",IF(ISNUMBER(SEARCH("平",B1405)),"平","仄")))</x:f>
        <x:v>平</x:v>
      </x:c>
      <x:c r="K1405" s="6" t="str">
        <x:f>IF(D1405="","",IF(AND(ISNUMBER(SEARCH("平",D1405)),OR(ISNUMBER(SEARCH("上",D1405)),ISNUMBER(SEARCH("去",D1405)),ISNUMBER(SEARCH("入",D1405)))),"Ambiguous",IF(ISNUMBER(SEARCH("平",D1405)),"平","仄")))</x:f>
        <x:v>平</x:v>
      </x:c>
      <x:c r="L1405" s="7" t="str"/>
    </x:row>
    <x:row r="1406">
      <x:c r="A1406" s="5" t="str">
        <x:v>憃</x:v>
      </x:c>
      <x:c r="B1406" s="6" t="str">
        <x:v>平</x:v>
      </x:c>
      <x:c r="C1406" s="6" t="str">
        <x:f>IF(B1406="","Needs decision","Ready")</x:f>
        <x:v>Ready</x:v>
      </x:c>
      <x:c r="D1406" s="6" t="str">
        <x:v>平</x:v>
      </x:c>
      <x:c r="E1406" s="6" t="str">
        <x:v>syowng (A); trhaewng (A)</x:v>
      </x:c>
      <x:c r="F1406" s="6" t="str">
        <x:v>上平聲二冬; 上平聲三江</x:v>
      </x:c>
      <x:c r="G1406" s="6" t="str">
        <x:v>Pingshui main list, Wikisource-derived DOCX</x:v>
      </x:c>
      <x:c r="H1406" s="6" t="str">
        <x:v>2</x:v>
      </x:c>
      <x:c r="I1406" s="6" t="str"/>
      <x:c r="J1406" s="6" t="str">
        <x:f>IF(B1406="","",IF(AND(ISNUMBER(SEARCH("平",B1406)),OR(ISNUMBER(SEARCH("上",B1406)),ISNUMBER(SEARCH("去",B1406)),ISNUMBER(SEARCH("入",B1406)))),"Ambiguous",IF(ISNUMBER(SEARCH("平",B1406)),"平","仄")))</x:f>
        <x:v>平</x:v>
      </x:c>
      <x:c r="K1406" s="6" t="str">
        <x:f>IF(D1406="","",IF(AND(ISNUMBER(SEARCH("平",D1406)),OR(ISNUMBER(SEARCH("上",D1406)),ISNUMBER(SEARCH("去",D1406)),ISNUMBER(SEARCH("入",D1406)))),"Ambiguous",IF(ISNUMBER(SEARCH("平",D1406)),"平","仄")))</x:f>
        <x:v>平</x:v>
      </x:c>
      <x:c r="L1406" s="7" t="str"/>
    </x:row>
    <x:row r="1407">
      <x:c r="A1407" s="5" t="str">
        <x:v>憍</x:v>
      </x:c>
      <x:c r="B1407" s="6" t="str">
        <x:v>平</x:v>
      </x:c>
      <x:c r="C1407" s="6" t="str">
        <x:f>IF(B1407="","Needs decision","Ready")</x:f>
        <x:v>Ready</x:v>
      </x:c>
      <x:c r="D1407" s="6" t="str">
        <x:v>平</x:v>
      </x:c>
      <x:c r="E1407" s="6" t="str">
        <x:v>kjew [見開三B宵平] kɨ̯ew</x:v>
      </x:c>
      <x:c r="F1407" s="6" t="str"/>
      <x:c r="G1407" s="6" t="str"/>
      <x:c r="H1407" s="6" t="str">
        <x:v>1</x:v>
      </x:c>
      <x:c r="I1407" s="6" t="str">
        <x:v>Targeted preliminary fill from Xun Gong; review if uncertain</x:v>
      </x:c>
      <x:c r="J1407" s="6" t="str">
        <x:f>IF(B1407="","",IF(AND(ISNUMBER(SEARCH("平",B1407)),OR(ISNUMBER(SEARCH("上",B1407)),ISNUMBER(SEARCH("去",B1407)),ISNUMBER(SEARCH("入",B1407)))),"Ambiguous",IF(ISNUMBER(SEARCH("平",B1407)),"平","仄")))</x:f>
        <x:v>平</x:v>
      </x:c>
      <x:c r="K1407" s="6" t="str">
        <x:f>IF(D1407="","",IF(AND(ISNUMBER(SEARCH("平",D1407)),OR(ISNUMBER(SEARCH("上",D1407)),ISNUMBER(SEARCH("去",D1407)),ISNUMBER(SEARCH("入",D1407)))),"Ambiguous",IF(ISNUMBER(SEARCH("平",D1407)),"平","仄")))</x:f>
        <x:v>平</x:v>
      </x:c>
      <x:c r="L1407" s="7" t="str">
        <x:v>Xun Gong character-readings.csv</x:v>
      </x:c>
    </x:row>
    <x:row r="1408">
      <x:c r="A1408" s="5" t="str">
        <x:v>憎</x:v>
      </x:c>
      <x:c r="B1408" s="6" t="str">
        <x:v>平</x:v>
      </x:c>
      <x:c r="C1408" s="6" t="str">
        <x:f>IF(B1408="","Needs decision","Ready")</x:f>
        <x:v>Ready</x:v>
      </x:c>
      <x:c r="D1408" s="6" t="str">
        <x:v>平</x:v>
      </x:c>
      <x:c r="E1408" s="6" t="str">
        <x:v>tsong (A)</x:v>
      </x:c>
      <x:c r="F1408" s="6" t="str">
        <x:v>下平聲十蒸</x:v>
      </x:c>
      <x:c r="G1408" s="6" t="str">
        <x:v>Pingshui main list, Wikisource-derived DOCX</x:v>
      </x:c>
      <x:c r="H1408" s="6" t="str">
        <x:v>1</x:v>
      </x:c>
      <x:c r="I1408" s="6" t="str"/>
      <x:c r="J1408" s="6" t="str">
        <x:f>IF(B1408="","",IF(AND(ISNUMBER(SEARCH("平",B1408)),OR(ISNUMBER(SEARCH("上",B1408)),ISNUMBER(SEARCH("去",B1408)),ISNUMBER(SEARCH("入",B1408)))),"Ambiguous",IF(ISNUMBER(SEARCH("平",B1408)),"平","仄")))</x:f>
        <x:v>平</x:v>
      </x:c>
      <x:c r="K1408" s="6" t="str">
        <x:f>IF(D1408="","",IF(AND(ISNUMBER(SEARCH("平",D1408)),OR(ISNUMBER(SEARCH("上",D1408)),ISNUMBER(SEARCH("去",D1408)),ISNUMBER(SEARCH("入",D1408)))),"Ambiguous",IF(ISNUMBER(SEARCH("平",D1408)),"平","仄")))</x:f>
        <x:v>平</x:v>
      </x:c>
      <x:c r="L1408" s="7" t="str"/>
    </x:row>
    <x:row r="1409">
      <x:c r="A1409" s="5" t="str">
        <x:v>憐</x:v>
      </x:c>
      <x:c r="B1409" s="6" t="str">
        <x:v>平</x:v>
      </x:c>
      <x:c r="C1409" s="6" t="str">
        <x:f>IF(B1409="","Needs decision","Ready")</x:f>
        <x:v>Ready</x:v>
      </x:c>
      <x:c r="D1409" s="6" t="str">
        <x:v>平</x:v>
      </x:c>
      <x:c r="E1409" s="6" t="str">
        <x:v>len (A)</x:v>
      </x:c>
      <x:c r="F1409" s="6" t="str">
        <x:v>下平聲一先</x:v>
      </x:c>
      <x:c r="G1409" s="6" t="str">
        <x:v>Pingshui main list, Wikisource-derived DOCX</x:v>
      </x:c>
      <x:c r="H1409" s="6" t="str">
        <x:v>1</x:v>
      </x:c>
      <x:c r="I1409" s="6" t="str"/>
      <x:c r="J1409" s="6" t="str">
        <x:f>IF(B1409="","",IF(AND(ISNUMBER(SEARCH("平",B1409)),OR(ISNUMBER(SEARCH("上",B1409)),ISNUMBER(SEARCH("去",B1409)),ISNUMBER(SEARCH("入",B1409)))),"Ambiguous",IF(ISNUMBER(SEARCH("平",B1409)),"平","仄")))</x:f>
        <x:v>平</x:v>
      </x:c>
      <x:c r="K1409" s="6" t="str">
        <x:f>IF(D1409="","",IF(AND(ISNUMBER(SEARCH("平",D1409)),OR(ISNUMBER(SEARCH("上",D1409)),ISNUMBER(SEARCH("去",D1409)),ISNUMBER(SEARCH("入",D1409)))),"Ambiguous",IF(ISNUMBER(SEARCH("平",D1409)),"平","仄")))</x:f>
        <x:v>平</x:v>
      </x:c>
      <x:c r="L1409" s="7" t="str"/>
    </x:row>
    <x:row r="1410">
      <x:c r="A1410" s="5" t="str">
        <x:v>憑</x:v>
      </x:c>
      <x:c r="B1410" s="6" t="str">
        <x:v>平</x:v>
      </x:c>
      <x:c r="C1410" s="6" t="str">
        <x:f>IF(B1410="","Needs decision","Ready")</x:f>
        <x:v>Ready</x:v>
      </x:c>
      <x:c r="D1410" s="6" t="str">
        <x:v>平</x:v>
      </x:c>
      <x:c r="E1410" s="6" t="str">
        <x:v>bing (A)</x:v>
      </x:c>
      <x:c r="F1410" s="6" t="str">
        <x:v>下平聲十蒸</x:v>
      </x:c>
      <x:c r="G1410" s="6" t="str">
        <x:v>Pingshui main list, Wikisource-derived DOCX</x:v>
      </x:c>
      <x:c r="H1410" s="6" t="str">
        <x:v>1</x:v>
      </x:c>
      <x:c r="I1410" s="6" t="str"/>
      <x:c r="J1410" s="6" t="str">
        <x:f>IF(B1410="","",IF(AND(ISNUMBER(SEARCH("平",B1410)),OR(ISNUMBER(SEARCH("上",B1410)),ISNUMBER(SEARCH("去",B1410)),ISNUMBER(SEARCH("入",B1410)))),"Ambiguous",IF(ISNUMBER(SEARCH("平",B1410)),"平","仄")))</x:f>
        <x:v>平</x:v>
      </x:c>
      <x:c r="K1410" s="6" t="str">
        <x:f>IF(D1410="","",IF(AND(ISNUMBER(SEARCH("平",D1410)),OR(ISNUMBER(SEARCH("上",D1410)),ISNUMBER(SEARCH("去",D1410)),ISNUMBER(SEARCH("入",D1410)))),"Ambiguous",IF(ISNUMBER(SEARCH("平",D1410)),"平","仄")))</x:f>
        <x:v>平</x:v>
      </x:c>
      <x:c r="L1410" s="7" t="str"/>
    </x:row>
    <x:row r="1411">
      <x:c r="A1411" s="5" t="str">
        <x:v>憔</x:v>
      </x:c>
      <x:c r="B1411" s="6" t="str">
        <x:v>平</x:v>
      </x:c>
      <x:c r="C1411" s="6" t="str">
        <x:f>IF(B1411="","Needs decision","Ready")</x:f>
        <x:v>Ready</x:v>
      </x:c>
      <x:c r="D1411" s="6" t="str">
        <x:v>平</x:v>
      </x:c>
      <x:c r="E1411" s="6" t="str">
        <x:v>dzjew [dzjew] (平)</x:v>
      </x:c>
      <x:c r="F1411" s="6" t="str">
        <x:v>下平聲二蕭</x:v>
      </x:c>
      <x:c r="G1411" s="6" t="str">
        <x:v>Pingshui main list, Wikisource-derived DOCX</x:v>
      </x:c>
      <x:c r="H1411" s="6" t="str">
        <x:v>1</x:v>
      </x:c>
      <x:c r="I1411" s="6" t="str">
        <x:v>Tang 300 gap; frequency 1; provisional from Xun Gong</x:v>
      </x:c>
      <x:c r="J1411" s="6" t="str">
        <x:f>IF(B1411="","",IF(AND(ISNUMBER(SEARCH("平",B1411)),OR(ISNUMBER(SEARCH("上",B1411)),ISNUMBER(SEARCH("去",B1411)),ISNUMBER(SEARCH("入",B1411)))),"Ambiguous",IF(ISNUMBER(SEARCH("平",B1411)),"平","仄")))</x:f>
        <x:v>平</x:v>
      </x:c>
      <x:c r="K1411" s="6" t="str">
        <x:f>IF(D1411="","",IF(AND(ISNUMBER(SEARCH("平",D1411)),OR(ISNUMBER(SEARCH("上",D1411)),ISNUMBER(SEARCH("去",D1411)),ISNUMBER(SEARCH("入",D1411)))),"Ambiguous",IF(ISNUMBER(SEARCH("平",D1411)),"平","仄")))</x:f>
        <x:v>平</x:v>
      </x:c>
      <x:c r="L1411" s="7" t="str">
        <x:v>Xun Gong, Tang 300 gap fill</x:v>
      </x:c>
    </x:row>
    <x:row r="1412">
      <x:c r="A1412" s="5" t="str">
        <x:v>憤</x:v>
      </x:c>
      <x:c r="B1412" s="6" t="str">
        <x:v>上</x:v>
      </x:c>
      <x:c r="C1412" s="6" t="str">
        <x:f>IF(B1412="","Needs decision","Ready")</x:f>
        <x:v>Ready</x:v>
      </x:c>
      <x:c r="D1412" s="6" t="str">
        <x:v>上</x:v>
      </x:c>
      <x:c r="E1412" s="6" t="str">
        <x:v>bjunX (B)</x:v>
      </x:c>
      <x:c r="F1412" s="6" t="str">
        <x:v>上聲十二吻</x:v>
      </x:c>
      <x:c r="G1412" s="6" t="str">
        <x:v>Pingshui main list, Wikisource-derived DOCX</x:v>
      </x:c>
      <x:c r="H1412" s="6" t="str">
        <x:v>1</x:v>
      </x:c>
      <x:c r="I1412" s="6" t="str"/>
      <x:c r="J1412" s="6" t="str">
        <x:f>IF(B1412="","",IF(AND(ISNUMBER(SEARCH("平",B1412)),OR(ISNUMBER(SEARCH("上",B1412)),ISNUMBER(SEARCH("去",B1412)),ISNUMBER(SEARCH("入",B1412)))),"Ambiguous",IF(ISNUMBER(SEARCH("平",B1412)),"平","仄")))</x:f>
        <x:v>仄</x:v>
      </x:c>
      <x:c r="K1412" s="6" t="str">
        <x:f>IF(D1412="","",IF(AND(ISNUMBER(SEARCH("平",D1412)),OR(ISNUMBER(SEARCH("上",D1412)),ISNUMBER(SEARCH("去",D1412)),ISNUMBER(SEARCH("入",D1412)))),"Ambiguous",IF(ISNUMBER(SEARCH("平",D1412)),"平","仄")))</x:f>
        <x:v>仄</x:v>
      </x:c>
      <x:c r="L1412" s="7" t="str"/>
    </x:row>
    <x:row r="1413">
      <x:c r="A1413" s="5" t="str">
        <x:v>憩</x:v>
      </x:c>
      <x:c r="B1413" s="6" t="str">
        <x:v>去</x:v>
      </x:c>
      <x:c r="C1413" s="6" t="str">
        <x:f>IF(B1413="","Needs decision","Ready")</x:f>
        <x:v>Ready</x:v>
      </x:c>
      <x:c r="D1413" s="6" t="str">
        <x:v>去</x:v>
      </x:c>
      <x:c r="E1413" s="6" t="str">
        <x:v>khjejH (C)</x:v>
      </x:c>
      <x:c r="F1413" s="6" t="str">
        <x:v>去聲八霽</x:v>
      </x:c>
      <x:c r="G1413" s="6" t="str">
        <x:v>Pingshui main list, Wikisource-derived DOCX</x:v>
      </x:c>
      <x:c r="H1413" s="6" t="str">
        <x:v>1</x:v>
      </x:c>
      <x:c r="I1413" s="6" t="str"/>
      <x:c r="J1413" s="6" t="str">
        <x:f>IF(B1413="","",IF(AND(ISNUMBER(SEARCH("平",B1413)),OR(ISNUMBER(SEARCH("上",B1413)),ISNUMBER(SEARCH("去",B1413)),ISNUMBER(SEARCH("入",B1413)))),"Ambiguous",IF(ISNUMBER(SEARCH("平",B1413)),"平","仄")))</x:f>
        <x:v>仄</x:v>
      </x:c>
      <x:c r="K1413" s="6" t="str">
        <x:f>IF(D1413="","",IF(AND(ISNUMBER(SEARCH("平",D1413)),OR(ISNUMBER(SEARCH("上",D1413)),ISNUMBER(SEARCH("去",D1413)),ISNUMBER(SEARCH("入",D1413)))),"Ambiguous",IF(ISNUMBER(SEARCH("平",D1413)),"平","仄")))</x:f>
        <x:v>仄</x:v>
      </x:c>
      <x:c r="L1413" s="7" t="str"/>
    </x:row>
    <x:row r="1414">
      <x:c r="A1414" s="5" t="str">
        <x:v>憫</x:v>
      </x:c>
      <x:c r="B1414" s="6" t="str">
        <x:v>上</x:v>
      </x:c>
      <x:c r="C1414" s="6" t="str">
        <x:f>IF(B1414="","Needs decision","Ready")</x:f>
        <x:v>Ready</x:v>
      </x:c>
      <x:c r="D1414" s="6" t="str">
        <x:v>上</x:v>
      </x:c>
      <x:c r="E1414" s="6" t="str">
        <x:v>minX (B)</x:v>
      </x:c>
      <x:c r="F1414" s="6" t="str">
        <x:v>上聲十一軫</x:v>
      </x:c>
      <x:c r="G1414" s="6" t="str">
        <x:v>Pingshui main list, Wikisource-derived DOCX</x:v>
      </x:c>
      <x:c r="H1414" s="6" t="str">
        <x:v>1</x:v>
      </x:c>
      <x:c r="I1414" s="6" t="str"/>
      <x:c r="J1414" s="6" t="str">
        <x:f>IF(B1414="","",IF(AND(ISNUMBER(SEARCH("平",B1414)),OR(ISNUMBER(SEARCH("上",B1414)),ISNUMBER(SEARCH("去",B1414)),ISNUMBER(SEARCH("入",B1414)))),"Ambiguous",IF(ISNUMBER(SEARCH("平",B1414)),"平","仄")))</x:f>
        <x:v>仄</x:v>
      </x:c>
      <x:c r="K1414" s="6" t="str">
        <x:f>IF(D1414="","",IF(AND(ISNUMBER(SEARCH("平",D1414)),OR(ISNUMBER(SEARCH("上",D1414)),ISNUMBER(SEARCH("去",D1414)),ISNUMBER(SEARCH("入",D1414)))),"Ambiguous",IF(ISNUMBER(SEARCH("平",D1414)),"平","仄")))</x:f>
        <x:v>仄</x:v>
      </x:c>
      <x:c r="L1414" s="7" t="str"/>
    </x:row>
    <x:row r="1415">
      <x:c r="A1415" s="5" t="str">
        <x:v>憯</x:v>
      </x:c>
      <x:c r="B1415" s="6" t="str">
        <x:v>上</x:v>
      </x:c>
      <x:c r="C1415" s="6" t="str">
        <x:f>IF(B1415="","Needs decision","Ready")</x:f>
        <x:v>Ready</x:v>
      </x:c>
      <x:c r="D1415" s="6" t="str">
        <x:v>上</x:v>
      </x:c>
      <x:c r="E1415" s="6" t="str"/>
      <x:c r="F1415" s="6" t="str">
        <x:v>上聲二十七感</x:v>
      </x:c>
      <x:c r="G1415" s="6" t="str">
        <x:v>Pingshui main list, Wikisource-derived DOCX</x:v>
      </x:c>
      <x:c r="H1415" s="6" t="str"/>
      <x:c r="I1415" s="6" t="str">
        <x:v>Manual user correction/addition</x:v>
      </x:c>
      <x:c r="J1415" s="6" t="str">
        <x:f>IF(B1415="","",IF(AND(ISNUMBER(SEARCH("平",B1415)),OR(ISNUMBER(SEARCH("上",B1415)),ISNUMBER(SEARCH("去",B1415)),ISNUMBER(SEARCH("入",B1415)))),"Ambiguous",IF(ISNUMBER(SEARCH("平",B1415)),"平","仄")))</x:f>
        <x:v>仄</x:v>
      </x:c>
      <x:c r="K1415" s="6" t="str">
        <x:f>IF(D1415="","",IF(AND(ISNUMBER(SEARCH("平",D1415)),OR(ISNUMBER(SEARCH("上",D1415)),ISNUMBER(SEARCH("去",D1415)),ISNUMBER(SEARCH("入",D1415)))),"Ambiguous",IF(ISNUMBER(SEARCH("平",D1415)),"平","仄")))</x:f>
        <x:v>仄</x:v>
      </x:c>
      <x:c r="L1415" s="7" t="str">
        <x:v>manual user correction</x:v>
      </x:c>
    </x:row>
    <x:row r="1416">
      <x:c r="A1416" s="5" t="str">
        <x:v>憲</x:v>
      </x:c>
      <x:c r="B1416" s="6" t="str">
        <x:v>去</x:v>
      </x:c>
      <x:c r="C1416" s="6" t="str">
        <x:f>IF(B1416="","Needs decision","Ready")</x:f>
        <x:v>Ready</x:v>
      </x:c>
      <x:c r="D1416" s="6" t="str">
        <x:v>去</x:v>
      </x:c>
      <x:c r="E1416" s="6" t="str">
        <x:v>xjonH (C)</x:v>
      </x:c>
      <x:c r="F1416" s="6" t="str">
        <x:v>去聲十四願</x:v>
      </x:c>
      <x:c r="G1416" s="6" t="str">
        <x:v>Pingshui main list, Wikisource-derived DOCX</x:v>
      </x:c>
      <x:c r="H1416" s="6" t="str">
        <x:v>1</x:v>
      </x:c>
      <x:c r="I1416" s="6" t="str"/>
      <x:c r="J1416" s="6" t="str">
        <x:f>IF(B1416="","",IF(AND(ISNUMBER(SEARCH("平",B1416)),OR(ISNUMBER(SEARCH("上",B1416)),ISNUMBER(SEARCH("去",B1416)),ISNUMBER(SEARCH("入",B1416)))),"Ambiguous",IF(ISNUMBER(SEARCH("平",B1416)),"平","仄")))</x:f>
        <x:v>仄</x:v>
      </x:c>
      <x:c r="K1416" s="6" t="str">
        <x:f>IF(D1416="","",IF(AND(ISNUMBER(SEARCH("平",D1416)),OR(ISNUMBER(SEARCH("上",D1416)),ISNUMBER(SEARCH("去",D1416)),ISNUMBER(SEARCH("入",D1416)))),"Ambiguous",IF(ISNUMBER(SEARCH("平",D1416)),"平","仄")))</x:f>
        <x:v>仄</x:v>
      </x:c>
      <x:c r="L1416" s="7" t="str"/>
    </x:row>
    <x:row r="1417">
      <x:c r="A1417" s="5" t="str">
        <x:v>憶</x:v>
      </x:c>
      <x:c r="B1417" s="6" t="str">
        <x:v>入</x:v>
      </x:c>
      <x:c r="C1417" s="6" t="str">
        <x:f>IF(B1417="","Needs decision","Ready")</x:f>
        <x:v>Ready</x:v>
      </x:c>
      <x:c r="D1417" s="6" t="str">
        <x:v>入</x:v>
      </x:c>
      <x:c r="E1417" s="6" t="str">
        <x:v>'ik (D)</x:v>
      </x:c>
      <x:c r="F1417" s="6" t="str">
        <x:v>入聲十三職</x:v>
      </x:c>
      <x:c r="G1417" s="6" t="str">
        <x:v>Pingshui main list, Wikisource-derived DOCX</x:v>
      </x:c>
      <x:c r="H1417" s="6" t="str">
        <x:v>1</x:v>
      </x:c>
      <x:c r="I1417" s="6" t="str"/>
      <x:c r="J1417" s="6" t="str">
        <x:f>IF(B1417="","",IF(AND(ISNUMBER(SEARCH("平",B1417)),OR(ISNUMBER(SEARCH("上",B1417)),ISNUMBER(SEARCH("去",B1417)),ISNUMBER(SEARCH("入",B1417)))),"Ambiguous",IF(ISNUMBER(SEARCH("平",B1417)),"平","仄")))</x:f>
        <x:v>仄</x:v>
      </x:c>
      <x:c r="K1417" s="6" t="str">
        <x:f>IF(D1417="","",IF(AND(ISNUMBER(SEARCH("平",D1417)),OR(ISNUMBER(SEARCH("上",D1417)),ISNUMBER(SEARCH("去",D1417)),ISNUMBER(SEARCH("入",D1417)))),"Ambiguous",IF(ISNUMBER(SEARCH("平",D1417)),"平","仄")))</x:f>
        <x:v>仄</x:v>
      </x:c>
      <x:c r="L1417" s="7" t="str"/>
    </x:row>
    <x:row r="1418">
      <x:c r="A1418" s="5" t="str">
        <x:v>憺</x:v>
      </x:c>
      <x:c r="B1418" s="6" t="str">
        <x:v>上</x:v>
      </x:c>
      <x:c r="C1418" s="6" t="str">
        <x:f>IF(B1418="","Needs decision","Ready")</x:f>
        <x:v>Ready</x:v>
      </x:c>
      <x:c r="D1418" s="6" t="str">
        <x:v>上</x:v>
      </x:c>
      <x:c r="E1418" s="6" t="str">
        <x:v>damX (B)</x:v>
      </x:c>
      <x:c r="F1418" s="6" t="str">
        <x:v>上聲二十七感; 去聲二十八勘</x:v>
      </x:c>
      <x:c r="G1418" s="6" t="str">
        <x:v>Pingshui main list, Wikisource-derived DOCX</x:v>
      </x:c>
      <x:c r="H1418" s="6" t="str">
        <x:v>1</x:v>
      </x:c>
      <x:c r="I1418" s="6" t="str"/>
      <x:c r="J1418" s="6" t="str">
        <x:f>IF(B1418="","",IF(AND(ISNUMBER(SEARCH("平",B1418)),OR(ISNUMBER(SEARCH("上",B1418)),ISNUMBER(SEARCH("去",B1418)),ISNUMBER(SEARCH("入",B1418)))),"Ambiguous",IF(ISNUMBER(SEARCH("平",B1418)),"平","仄")))</x:f>
        <x:v>仄</x:v>
      </x:c>
      <x:c r="K1418" s="6" t="str">
        <x:f>IF(D1418="","",IF(AND(ISNUMBER(SEARCH("平",D1418)),OR(ISNUMBER(SEARCH("上",D1418)),ISNUMBER(SEARCH("去",D1418)),ISNUMBER(SEARCH("入",D1418)))),"Ambiguous",IF(ISNUMBER(SEARCH("平",D1418)),"平","仄")))</x:f>
        <x:v>仄</x:v>
      </x:c>
      <x:c r="L1418" s="7" t="str"/>
    </x:row>
    <x:row r="1419">
      <x:c r="A1419" s="5" t="str">
        <x:v>憾</x:v>
      </x:c>
      <x:c r="B1419" s="6" t="str">
        <x:v>去</x:v>
      </x:c>
      <x:c r="C1419" s="6" t="str">
        <x:f>IF(B1419="","Needs decision","Ready")</x:f>
        <x:v>Ready</x:v>
      </x:c>
      <x:c r="D1419" s="6" t="str">
        <x:v>去</x:v>
      </x:c>
      <x:c r="E1419" s="6" t="str">
        <x:v>homH (C)</x:v>
      </x:c>
      <x:c r="F1419" s="6" t="str">
        <x:v>去聲二十八勘</x:v>
      </x:c>
      <x:c r="G1419" s="6" t="str">
        <x:v>Pingshui main list, Wikisource-derived DOCX</x:v>
      </x:c>
      <x:c r="H1419" s="6" t="str">
        <x:v>1</x:v>
      </x:c>
      <x:c r="I1419" s="6" t="str"/>
      <x:c r="J1419" s="6" t="str">
        <x:f>IF(B1419="","",IF(AND(ISNUMBER(SEARCH("平",B1419)),OR(ISNUMBER(SEARCH("上",B1419)),ISNUMBER(SEARCH("去",B1419)),ISNUMBER(SEARCH("入",B1419)))),"Ambiguous",IF(ISNUMBER(SEARCH("平",B1419)),"平","仄")))</x:f>
        <x:v>仄</x:v>
      </x:c>
      <x:c r="K1419" s="6" t="str">
        <x:f>IF(D1419="","",IF(AND(ISNUMBER(SEARCH("平",D1419)),OR(ISNUMBER(SEARCH("上",D1419)),ISNUMBER(SEARCH("去",D1419)),ISNUMBER(SEARCH("入",D1419)))),"Ambiguous",IF(ISNUMBER(SEARCH("平",D1419)),"平","仄")))</x:f>
        <x:v>仄</x:v>
      </x:c>
      <x:c r="L1419" s="7" t="str"/>
    </x:row>
    <x:row r="1420">
      <x:c r="A1420" s="5" t="str">
        <x:v>懃</x:v>
      </x:c>
      <x:c r="B1420" s="6" t="str">
        <x:v>平</x:v>
      </x:c>
      <x:c r="C1420" s="6" t="str">
        <x:f>IF(B1420="","Needs decision","Ready")</x:f>
        <x:v>Ready</x:v>
      </x:c>
      <x:c r="D1420" s="6" t="str">
        <x:v>平</x:v>
      </x:c>
      <x:c r="E1420" s="6" t="str">
        <x:v>gj+n (A)</x:v>
      </x:c>
      <x:c r="F1420" s="6" t="str">
        <x:v>上平聲十二文</x:v>
      </x:c>
      <x:c r="G1420" s="6" t="str">
        <x:v>Pingshui main list, Wikisource-derived DOCX</x:v>
      </x:c>
      <x:c r="H1420" s="6" t="str">
        <x:v>1</x:v>
      </x:c>
      <x:c r="I1420" s="6" t="str"/>
      <x:c r="J1420" s="6" t="str">
        <x:f>IF(B1420="","",IF(AND(ISNUMBER(SEARCH("平",B1420)),OR(ISNUMBER(SEARCH("上",B1420)),ISNUMBER(SEARCH("去",B1420)),ISNUMBER(SEARCH("入",B1420)))),"Ambiguous",IF(ISNUMBER(SEARCH("平",B1420)),"平","仄")))</x:f>
        <x:v>平</x:v>
      </x:c>
      <x:c r="K1420" s="6" t="str">
        <x:f>IF(D1420="","",IF(AND(ISNUMBER(SEARCH("平",D1420)),OR(ISNUMBER(SEARCH("上",D1420)),ISNUMBER(SEARCH("去",D1420)),ISNUMBER(SEARCH("入",D1420)))),"Ambiguous",IF(ISNUMBER(SEARCH("平",D1420)),"平","仄")))</x:f>
        <x:v>平</x:v>
      </x:c>
      <x:c r="L1420" s="7" t="str"/>
    </x:row>
    <x:row r="1421">
      <x:c r="A1421" s="5" t="str">
        <x:v>懈</x:v>
      </x:c>
      <x:c r="B1421" s="6" t="str">
        <x:v>去</x:v>
      </x:c>
      <x:c r="C1421" s="6" t="str">
        <x:f>IF(B1421="","Needs decision","Ready")</x:f>
        <x:v>Ready</x:v>
      </x:c>
      <x:c r="D1421" s="6" t="str">
        <x:v>去</x:v>
      </x:c>
      <x:c r="E1421" s="6" t="str">
        <x:v>keaH [見開二佳去] qeˤh</x:v>
      </x:c>
      <x:c r="F1421" s="6" t="str">
        <x:v>去聲十卦</x:v>
      </x:c>
      <x:c r="G1421" s="6" t="str">
        <x:v>Pingshui main list, Wikisource-derived DOCX</x:v>
      </x:c>
      <x:c r="H1421" s="6" t="str">
        <x:v>1</x:v>
      </x:c>
      <x:c r="I1421" s="6" t="str">
        <x:v>Targeted preliminary fill from Xun Gong; review if uncertain</x:v>
      </x:c>
      <x:c r="J1421" s="6" t="str">
        <x:f>IF(B1421="","",IF(AND(ISNUMBER(SEARCH("平",B1421)),OR(ISNUMBER(SEARCH("上",B1421)),ISNUMBER(SEARCH("去",B1421)),ISNUMBER(SEARCH("入",B1421)))),"Ambiguous",IF(ISNUMBER(SEARCH("平",B1421)),"平","仄")))</x:f>
        <x:v>仄</x:v>
      </x:c>
      <x:c r="K1421" s="6" t="str">
        <x:f>IF(D1421="","",IF(AND(ISNUMBER(SEARCH("平",D1421)),OR(ISNUMBER(SEARCH("上",D1421)),ISNUMBER(SEARCH("去",D1421)),ISNUMBER(SEARCH("入",D1421)))),"Ambiguous",IF(ISNUMBER(SEARCH("平",D1421)),"平","仄")))</x:f>
        <x:v>仄</x:v>
      </x:c>
      <x:c r="L1421" s="7" t="str">
        <x:v>Xun Gong character-readings.csv</x:v>
      </x:c>
    </x:row>
    <x:row r="1422">
      <x:c r="A1422" s="5" t="str">
        <x:v>應</x:v>
      </x:c>
      <x:c r="B1422" s="6" t="str">
        <x:v>平</x:v>
      </x:c>
      <x:c r="C1422" s="6" t="str">
        <x:f>IF(B1422="","Needs decision","Ready")</x:f>
        <x:v>Ready</x:v>
      </x:c>
      <x:c r="D1422" s="6" t="str">
        <x:v>平</x:v>
      </x:c>
      <x:c r="E1422" s="6" t="str">
        <x:v>'ing (A)</x:v>
      </x:c>
      <x:c r="F1422" s="6" t="str">
        <x:v>下平聲十蒸; 去聲二十五徑</x:v>
      </x:c>
      <x:c r="G1422" s="6" t="str">
        <x:v>Pingshui main list, Wikisource-derived DOCX</x:v>
      </x:c>
      <x:c r="H1422" s="6" t="str">
        <x:v>1</x:v>
      </x:c>
      <x:c r="I1422" s="6" t="str"/>
      <x:c r="J1422" s="6" t="str">
        <x:f>IF(B1422="","",IF(AND(ISNUMBER(SEARCH("平",B1422)),OR(ISNUMBER(SEARCH("上",B1422)),ISNUMBER(SEARCH("去",B1422)),ISNUMBER(SEARCH("入",B1422)))),"Ambiguous",IF(ISNUMBER(SEARCH("平",B1422)),"平","仄")))</x:f>
        <x:v>平</x:v>
      </x:c>
      <x:c r="K1422" s="6" t="str">
        <x:f>IF(D1422="","",IF(AND(ISNUMBER(SEARCH("平",D1422)),OR(ISNUMBER(SEARCH("上",D1422)),ISNUMBER(SEARCH("去",D1422)),ISNUMBER(SEARCH("入",D1422)))),"Ambiguous",IF(ISNUMBER(SEARCH("平",D1422)),"平","仄")))</x:f>
        <x:v>平</x:v>
      </x:c>
      <x:c r="L1422" s="7" t="str"/>
    </x:row>
    <x:row r="1423">
      <x:c r="A1423" s="5" t="str">
        <x:v>懟</x:v>
      </x:c>
      <x:c r="B1423" s="6" t="str">
        <x:v>去</x:v>
      </x:c>
      <x:c r="C1423" s="6" t="str">
        <x:f>IF(B1423="","Needs decision","Ready")</x:f>
        <x:v>Ready</x:v>
      </x:c>
      <x:c r="D1423" s="6" t="str">
        <x:v>去</x:v>
      </x:c>
      <x:c r="E1423" s="6" t="str">
        <x:v>drwijH (C)</x:v>
      </x:c>
      <x:c r="F1423" s="6" t="str">
        <x:v>去聲四寘</x:v>
      </x:c>
      <x:c r="G1423" s="6" t="str">
        <x:v>Pingshui main list, Wikisource-derived DOCX</x:v>
      </x:c>
      <x:c r="H1423" s="6" t="str">
        <x:v>1</x:v>
      </x:c>
      <x:c r="I1423" s="6" t="str"/>
      <x:c r="J1423" s="6" t="str">
        <x:f>IF(B1423="","",IF(AND(ISNUMBER(SEARCH("平",B1423)),OR(ISNUMBER(SEARCH("上",B1423)),ISNUMBER(SEARCH("去",B1423)),ISNUMBER(SEARCH("入",B1423)))),"Ambiguous",IF(ISNUMBER(SEARCH("平",B1423)),"平","仄")))</x:f>
        <x:v>仄</x:v>
      </x:c>
      <x:c r="K1423" s="6" t="str">
        <x:f>IF(D1423="","",IF(AND(ISNUMBER(SEARCH("平",D1423)),OR(ISNUMBER(SEARCH("上",D1423)),ISNUMBER(SEARCH("去",D1423)),ISNUMBER(SEARCH("入",D1423)))),"Ambiguous",IF(ISNUMBER(SEARCH("平",D1423)),"平","仄")))</x:f>
        <x:v>仄</x:v>
      </x:c>
      <x:c r="L1423" s="7" t="str"/>
    </x:row>
    <x:row r="1424">
      <x:c r="A1424" s="5" t="str">
        <x:v>懠</x:v>
      </x:c>
      <x:c r="B1424" s="6" t="str"/>
      <x:c r="C1424" s="6" t="str">
        <x:f>IF(B1424="","Needs decision","Ready")</x:f>
        <x:v>Needs decision</x:v>
      </x:c>
      <x:c r="D1424" s="6" t="str">
        <x:v>平/去</x:v>
      </x:c>
      <x:c r="E1424" s="6" t="str">
        <x:v>dzej (A); dzejH (C)</x:v>
      </x:c>
      <x:c r="F1424" s="6" t="str">
        <x:v>上平聲八齊; 去聲八霽</x:v>
      </x:c>
      <x:c r="G1424" s="6" t="str">
        <x:v>Pingshui main list, Wikisource-derived DOCX</x:v>
      </x:c>
      <x:c r="H1424" s="6" t="str">
        <x:v>2</x:v>
      </x:c>
      <x:c r="I1424" s="6" t="str"/>
      <x:c r="J1424" s="6" t="str">
        <x:f>IF(B1424="","",IF(AND(ISNUMBER(SEARCH("平",B1424)),OR(ISNUMBER(SEARCH("上",B1424)),ISNUMBER(SEARCH("去",B1424)),ISNUMBER(SEARCH("入",B1424)))),"Ambiguous",IF(ISNUMBER(SEARCH("平",B1424)),"平","仄")))</x:f>
      </x:c>
      <x:c r="K1424" s="6" t="str">
        <x:f>IF(D1424="","",IF(AND(ISNUMBER(SEARCH("平",D1424)),OR(ISNUMBER(SEARCH("上",D1424)),ISNUMBER(SEARCH("去",D1424)),ISNUMBER(SEARCH("入",D1424)))),"Ambiguous",IF(ISNUMBER(SEARCH("平",D1424)),"平","仄")))</x:f>
        <x:v>Ambiguous</x:v>
      </x:c>
      <x:c r="L1424" s="7" t="str"/>
    </x:row>
    <x:row r="1425">
      <x:c r="A1425" s="5" t="str">
        <x:v>懣</x:v>
      </x:c>
      <x:c r="B1425" s="6" t="str">
        <x:v>上</x:v>
      </x:c>
      <x:c r="C1425" s="6" t="str">
        <x:f>IF(B1425="","Needs decision","Ready")</x:f>
        <x:v>Ready</x:v>
      </x:c>
      <x:c r="D1425" s="6" t="str">
        <x:v>上</x:v>
      </x:c>
      <x:c r="E1425" s="6" t="str">
        <x:v>manX (B)</x:v>
      </x:c>
      <x:c r="F1425" s="6" t="str">
        <x:v>上聲十四旱</x:v>
      </x:c>
      <x:c r="G1425" s="6" t="str">
        <x:v>Pingshui main list, Wikisource-derived DOCX</x:v>
      </x:c>
      <x:c r="H1425" s="6" t="str">
        <x:v>1</x:v>
      </x:c>
      <x:c r="I1425" s="6" t="str"/>
      <x:c r="J1425" s="6" t="str">
        <x:f>IF(B1425="","",IF(AND(ISNUMBER(SEARCH("平",B1425)),OR(ISNUMBER(SEARCH("上",B1425)),ISNUMBER(SEARCH("去",B1425)),ISNUMBER(SEARCH("入",B1425)))),"Ambiguous",IF(ISNUMBER(SEARCH("平",B1425)),"平","仄")))</x:f>
        <x:v>仄</x:v>
      </x:c>
      <x:c r="K1425" s="6" t="str">
        <x:f>IF(D1425="","",IF(AND(ISNUMBER(SEARCH("平",D1425)),OR(ISNUMBER(SEARCH("上",D1425)),ISNUMBER(SEARCH("去",D1425)),ISNUMBER(SEARCH("入",D1425)))),"Ambiguous",IF(ISNUMBER(SEARCH("平",D1425)),"平","仄")))</x:f>
        <x:v>仄</x:v>
      </x:c>
      <x:c r="L1425" s="7" t="str"/>
    </x:row>
    <x:row r="1426">
      <x:c r="A1426" s="5" t="str">
        <x:v>懲</x:v>
      </x:c>
      <x:c r="B1426" s="6" t="str">
        <x:v>平</x:v>
      </x:c>
      <x:c r="C1426" s="6" t="str">
        <x:f>IF(B1426="","Needs decision","Ready")</x:f>
        <x:v>Ready</x:v>
      </x:c>
      <x:c r="D1426" s="6" t="str">
        <x:v>平</x:v>
      </x:c>
      <x:c r="E1426" s="6" t="str">
        <x:v>dring (A)</x:v>
      </x:c>
      <x:c r="F1426" s="6" t="str">
        <x:v>下平聲十蒸</x:v>
      </x:c>
      <x:c r="G1426" s="6" t="str">
        <x:v>Pingshui main list, Wikisource-derived DOCX</x:v>
      </x:c>
      <x:c r="H1426" s="6" t="str">
        <x:v>1</x:v>
      </x:c>
      <x:c r="I1426" s="6" t="str"/>
      <x:c r="J1426" s="6" t="str">
        <x:f>IF(B1426="","",IF(AND(ISNUMBER(SEARCH("平",B1426)),OR(ISNUMBER(SEARCH("上",B1426)),ISNUMBER(SEARCH("去",B1426)),ISNUMBER(SEARCH("入",B1426)))),"Ambiguous",IF(ISNUMBER(SEARCH("平",B1426)),"平","仄")))</x:f>
        <x:v>平</x:v>
      </x:c>
      <x:c r="K1426" s="6" t="str">
        <x:f>IF(D1426="","",IF(AND(ISNUMBER(SEARCH("平",D1426)),OR(ISNUMBER(SEARCH("上",D1426)),ISNUMBER(SEARCH("去",D1426)),ISNUMBER(SEARCH("入",D1426)))),"Ambiguous",IF(ISNUMBER(SEARCH("平",D1426)),"平","仄")))</x:f>
        <x:v>平</x:v>
      </x:c>
      <x:c r="L1426" s="7" t="str"/>
    </x:row>
    <x:row r="1427">
      <x:c r="A1427" s="5" t="str">
        <x:v>懶</x:v>
      </x:c>
      <x:c r="B1427" s="6" t="str">
        <x:v>上</x:v>
      </x:c>
      <x:c r="C1427" s="6" t="str">
        <x:f>IF(B1427="","Needs decision","Ready")</x:f>
        <x:v>Ready</x:v>
      </x:c>
      <x:c r="D1427" s="6" t="str">
        <x:v>上</x:v>
      </x:c>
      <x:c r="E1427" s="6" t="str">
        <x:v>lanX (B)</x:v>
      </x:c>
      <x:c r="F1427" s="6" t="str"/>
      <x:c r="G1427" s="6" t="str"/>
      <x:c r="H1427" s="6" t="str">
        <x:v>1</x:v>
      </x:c>
      <x:c r="I1427" s="6" t="str"/>
      <x:c r="J1427" s="6" t="str">
        <x:f>IF(B1427="","",IF(AND(ISNUMBER(SEARCH("平",B1427)),OR(ISNUMBER(SEARCH("上",B1427)),ISNUMBER(SEARCH("去",B1427)),ISNUMBER(SEARCH("入",B1427)))),"Ambiguous",IF(ISNUMBER(SEARCH("平",B1427)),"平","仄")))</x:f>
        <x:v>仄</x:v>
      </x:c>
      <x:c r="K1427" s="6" t="str">
        <x:f>IF(D1427="","",IF(AND(ISNUMBER(SEARCH("平",D1427)),OR(ISNUMBER(SEARCH("上",D1427)),ISNUMBER(SEARCH("去",D1427)),ISNUMBER(SEARCH("入",D1427)))),"Ambiguous",IF(ISNUMBER(SEARCH("平",D1427)),"平","仄")))</x:f>
        <x:v>仄</x:v>
      </x:c>
      <x:c r="L1427" s="7" t="str"/>
    </x:row>
    <x:row r="1428">
      <x:c r="A1428" s="5" t="str">
        <x:v>懷</x:v>
      </x:c>
      <x:c r="B1428" s="6" t="str">
        <x:v>平</x:v>
      </x:c>
      <x:c r="C1428" s="6" t="str">
        <x:f>IF(B1428="","Needs decision","Ready")</x:f>
        <x:v>Ready</x:v>
      </x:c>
      <x:c r="D1428" s="6" t="str">
        <x:v>平</x:v>
      </x:c>
      <x:c r="E1428" s="6" t="str">
        <x:v>hweaj (A)</x:v>
      </x:c>
      <x:c r="F1428" s="6" t="str">
        <x:v>上平聲九佳</x:v>
      </x:c>
      <x:c r="G1428" s="6" t="str">
        <x:v>Pingshui main list, Wikisource-derived DOCX</x:v>
      </x:c>
      <x:c r="H1428" s="6" t="str">
        <x:v>1</x:v>
      </x:c>
      <x:c r="I1428" s="6" t="str"/>
      <x:c r="J1428" s="6" t="str">
        <x:f>IF(B1428="","",IF(AND(ISNUMBER(SEARCH("平",B1428)),OR(ISNUMBER(SEARCH("上",B1428)),ISNUMBER(SEARCH("去",B1428)),ISNUMBER(SEARCH("入",B1428)))),"Ambiguous",IF(ISNUMBER(SEARCH("平",B1428)),"平","仄")))</x:f>
        <x:v>平</x:v>
      </x:c>
      <x:c r="K1428" s="6" t="str">
        <x:f>IF(D1428="","",IF(AND(ISNUMBER(SEARCH("平",D1428)),OR(ISNUMBER(SEARCH("上",D1428)),ISNUMBER(SEARCH("去",D1428)),ISNUMBER(SEARCH("入",D1428)))),"Ambiguous",IF(ISNUMBER(SEARCH("平",D1428)),"平","仄")))</x:f>
        <x:v>平</x:v>
      </x:c>
      <x:c r="L1428" s="7" t="str"/>
    </x:row>
    <x:row r="1429">
      <x:c r="A1429" s="5" t="str">
        <x:v>懸</x:v>
      </x:c>
      <x:c r="B1429" s="6" t="str">
        <x:v>平</x:v>
      </x:c>
      <x:c r="C1429" s="6" t="str">
        <x:f>IF(B1429="","Needs decision","Ready")</x:f>
        <x:v>Ready</x:v>
      </x:c>
      <x:c r="D1429" s="6" t="str">
        <x:v>平</x:v>
      </x:c>
      <x:c r="E1429" s="6" t="str">
        <x:v>hwen (A)</x:v>
      </x:c>
      <x:c r="F1429" s="6" t="str"/>
      <x:c r="G1429" s="6" t="str"/>
      <x:c r="H1429" s="6" t="str">
        <x:v>1</x:v>
      </x:c>
      <x:c r="I1429" s="6" t="str"/>
      <x:c r="J1429" s="6" t="str">
        <x:f>IF(B1429="","",IF(AND(ISNUMBER(SEARCH("平",B1429)),OR(ISNUMBER(SEARCH("上",B1429)),ISNUMBER(SEARCH("去",B1429)),ISNUMBER(SEARCH("入",B1429)))),"Ambiguous",IF(ISNUMBER(SEARCH("平",B1429)),"平","仄")))</x:f>
        <x:v>平</x:v>
      </x:c>
      <x:c r="K1429" s="6" t="str">
        <x:f>IF(D1429="","",IF(AND(ISNUMBER(SEARCH("平",D1429)),OR(ISNUMBER(SEARCH("上",D1429)),ISNUMBER(SEARCH("去",D1429)),ISNUMBER(SEARCH("入",D1429)))),"Ambiguous",IF(ISNUMBER(SEARCH("平",D1429)),"平","仄")))</x:f>
        <x:v>平</x:v>
      </x:c>
      <x:c r="L1429" s="7" t="str"/>
    </x:row>
    <x:row r="1430">
      <x:c r="A1430" s="5" t="str">
        <x:v>懼</x:v>
      </x:c>
      <x:c r="B1430" s="6" t="str">
        <x:v>去</x:v>
      </x:c>
      <x:c r="C1430" s="6" t="str">
        <x:f>IF(B1430="","Needs decision","Ready")</x:f>
        <x:v>Ready</x:v>
      </x:c>
      <x:c r="D1430" s="6" t="str">
        <x:v>去</x:v>
      </x:c>
      <x:c r="E1430" s="6" t="str">
        <x:v>gjuH (C)</x:v>
      </x:c>
      <x:c r="F1430" s="6" t="str">
        <x:v>去聲七遇</x:v>
      </x:c>
      <x:c r="G1430" s="6" t="str">
        <x:v>Pingshui main list, Wikisource-derived DOCX</x:v>
      </x:c>
      <x:c r="H1430" s="6" t="str">
        <x:v>1</x:v>
      </x:c>
      <x:c r="I1430" s="6" t="str"/>
      <x:c r="J1430" s="6" t="str">
        <x:f>IF(B1430="","",IF(AND(ISNUMBER(SEARCH("平",B1430)),OR(ISNUMBER(SEARCH("上",B1430)),ISNUMBER(SEARCH("去",B1430)),ISNUMBER(SEARCH("入",B1430)))),"Ambiguous",IF(ISNUMBER(SEARCH("平",B1430)),"平","仄")))</x:f>
        <x:v>仄</x:v>
      </x:c>
      <x:c r="K1430" s="6" t="str">
        <x:f>IF(D1430="","",IF(AND(ISNUMBER(SEARCH("平",D1430)),OR(ISNUMBER(SEARCH("上",D1430)),ISNUMBER(SEARCH("去",D1430)),ISNUMBER(SEARCH("入",D1430)))),"Ambiguous",IF(ISNUMBER(SEARCH("平",D1430)),"平","仄")))</x:f>
        <x:v>仄</x:v>
      </x:c>
      <x:c r="L1430" s="7" t="str"/>
    </x:row>
    <x:row r="1431">
      <x:c r="A1431" s="5" t="str">
        <x:v>懽</x:v>
      </x:c>
      <x:c r="B1431" s="6" t="str">
        <x:v>平</x:v>
      </x:c>
      <x:c r="C1431" s="6" t="str">
        <x:f>IF(B1431="","Needs decision","Ready")</x:f>
        <x:v>Ready</x:v>
      </x:c>
      <x:c r="D1431" s="6" t="str">
        <x:v>平</x:v>
      </x:c>
      <x:c r="E1431" s="6" t="str">
        <x:v>xwan (A)</x:v>
      </x:c>
      <x:c r="F1431" s="6" t="str"/>
      <x:c r="G1431" s="6" t="str"/>
      <x:c r="H1431" s="6" t="str">
        <x:v>1</x:v>
      </x:c>
      <x:c r="I1431" s="6" t="str"/>
      <x:c r="J1431" s="6" t="str">
        <x:f>IF(B1431="","",IF(AND(ISNUMBER(SEARCH("平",B1431)),OR(ISNUMBER(SEARCH("上",B1431)),ISNUMBER(SEARCH("去",B1431)),ISNUMBER(SEARCH("入",B1431)))),"Ambiguous",IF(ISNUMBER(SEARCH("平",B1431)),"平","仄")))</x:f>
        <x:v>平</x:v>
      </x:c>
      <x:c r="K1431" s="6" t="str">
        <x:f>IF(D1431="","",IF(AND(ISNUMBER(SEARCH("平",D1431)),OR(ISNUMBER(SEARCH("上",D1431)),ISNUMBER(SEARCH("去",D1431)),ISNUMBER(SEARCH("入",D1431)))),"Ambiguous",IF(ISNUMBER(SEARCH("平",D1431)),"平","仄")))</x:f>
        <x:v>平</x:v>
      </x:c>
      <x:c r="L1431" s="7" t="str"/>
    </x:row>
    <x:row r="1432">
      <x:c r="A1432" s="5" t="str">
        <x:v>懾</x:v>
      </x:c>
      <x:c r="B1432" s="6" t="str">
        <x:v>入</x:v>
      </x:c>
      <x:c r="C1432" s="6" t="str">
        <x:f>IF(B1432="","Needs decision","Ready")</x:f>
        <x:v>Ready</x:v>
      </x:c>
      <x:c r="D1432" s="6" t="str">
        <x:v>入</x:v>
      </x:c>
      <x:c r="E1432" s="6" t="str">
        <x:v>tsyep (D)</x:v>
      </x:c>
      <x:c r="F1432" s="6" t="str">
        <x:v>入聲十六葉</x:v>
      </x:c>
      <x:c r="G1432" s="6" t="str">
        <x:v>Pingshui main list, Wikisource-derived DOCX</x:v>
      </x:c>
      <x:c r="H1432" s="6" t="str">
        <x:v>1</x:v>
      </x:c>
      <x:c r="I1432" s="6" t="str"/>
      <x:c r="J1432" s="6" t="str">
        <x:f>IF(B1432="","",IF(AND(ISNUMBER(SEARCH("平",B1432)),OR(ISNUMBER(SEARCH("上",B1432)),ISNUMBER(SEARCH("去",B1432)),ISNUMBER(SEARCH("入",B1432)))),"Ambiguous",IF(ISNUMBER(SEARCH("平",B1432)),"平","仄")))</x:f>
        <x:v>仄</x:v>
      </x:c>
      <x:c r="K1432" s="6" t="str">
        <x:f>IF(D1432="","",IF(AND(ISNUMBER(SEARCH("平",D1432)),OR(ISNUMBER(SEARCH("上",D1432)),ISNUMBER(SEARCH("去",D1432)),ISNUMBER(SEARCH("入",D1432)))),"Ambiguous",IF(ISNUMBER(SEARCH("平",D1432)),"平","仄")))</x:f>
        <x:v>仄</x:v>
      </x:c>
      <x:c r="L1432" s="7" t="str"/>
    </x:row>
    <x:row r="1433">
      <x:c r="A1433" s="5" t="str">
        <x:v>懿</x:v>
      </x:c>
      <x:c r="B1433" s="6" t="str">
        <x:v>去</x:v>
      </x:c>
      <x:c r="C1433" s="6" t="str">
        <x:f>IF(B1433="","Needs decision","Ready")</x:f>
        <x:v>Ready</x:v>
      </x:c>
      <x:c r="D1433" s="6" t="str">
        <x:v>去</x:v>
      </x:c>
      <x:c r="E1433" s="6" t="str">
        <x:v>'ijH (C)</x:v>
      </x:c>
      <x:c r="F1433" s="6" t="str">
        <x:v>去聲四寘</x:v>
      </x:c>
      <x:c r="G1433" s="6" t="str">
        <x:v>Pingshui main list, Wikisource-derived DOCX</x:v>
      </x:c>
      <x:c r="H1433" s="6" t="str">
        <x:v>1</x:v>
      </x:c>
      <x:c r="I1433" s="6" t="str"/>
      <x:c r="J1433" s="6" t="str">
        <x:f>IF(B1433="","",IF(AND(ISNUMBER(SEARCH("平",B1433)),OR(ISNUMBER(SEARCH("上",B1433)),ISNUMBER(SEARCH("去",B1433)),ISNUMBER(SEARCH("入",B1433)))),"Ambiguous",IF(ISNUMBER(SEARCH("平",B1433)),"平","仄")))</x:f>
        <x:v>仄</x:v>
      </x:c>
      <x:c r="K1433" s="6" t="str">
        <x:f>IF(D1433="","",IF(AND(ISNUMBER(SEARCH("平",D1433)),OR(ISNUMBER(SEARCH("上",D1433)),ISNUMBER(SEARCH("去",D1433)),ISNUMBER(SEARCH("入",D1433)))),"Ambiguous",IF(ISNUMBER(SEARCH("平",D1433)),"平","仄")))</x:f>
        <x:v>仄</x:v>
      </x:c>
      <x:c r="L1433" s="7" t="str"/>
    </x:row>
    <x:row r="1434">
      <x:c r="A1434" s="5" t="str">
        <x:v>戀</x:v>
      </x:c>
      <x:c r="B1434" s="6" t="str">
        <x:v>去</x:v>
      </x:c>
      <x:c r="C1434" s="6" t="str">
        <x:f>IF(B1434="","Needs decision","Ready")</x:f>
        <x:v>Ready</x:v>
      </x:c>
      <x:c r="D1434" s="6" t="str">
        <x:v>去</x:v>
      </x:c>
      <x:c r="E1434" s="6" t="str">
        <x:v>ljwenH (C)</x:v>
      </x:c>
      <x:c r="F1434" s="6" t="str">
        <x:v>去聲十七霰</x:v>
      </x:c>
      <x:c r="G1434" s="6" t="str">
        <x:v>Pingshui main list, Wikisource-derived DOCX</x:v>
      </x:c>
      <x:c r="H1434" s="6" t="str">
        <x:v>1</x:v>
      </x:c>
      <x:c r="I1434" s="6" t="str"/>
      <x:c r="J1434" s="6" t="str">
        <x:f>IF(B1434="","",IF(AND(ISNUMBER(SEARCH("平",B1434)),OR(ISNUMBER(SEARCH("上",B1434)),ISNUMBER(SEARCH("去",B1434)),ISNUMBER(SEARCH("入",B1434)))),"Ambiguous",IF(ISNUMBER(SEARCH("平",B1434)),"平","仄")))</x:f>
        <x:v>仄</x:v>
      </x:c>
      <x:c r="K1434" s="6" t="str">
        <x:f>IF(D1434="","",IF(AND(ISNUMBER(SEARCH("平",D1434)),OR(ISNUMBER(SEARCH("上",D1434)),ISNUMBER(SEARCH("去",D1434)),ISNUMBER(SEARCH("入",D1434)))),"Ambiguous",IF(ISNUMBER(SEARCH("平",D1434)),"平","仄")))</x:f>
        <x:v>仄</x:v>
      </x:c>
      <x:c r="L1434" s="7" t="str"/>
    </x:row>
    <x:row r="1435">
      <x:c r="A1435" s="5" t="str">
        <x:v>戁</x:v>
      </x:c>
      <x:c r="B1435" s="6" t="str">
        <x:v>上</x:v>
      </x:c>
      <x:c r="C1435" s="6" t="str">
        <x:f>IF(B1435="","Needs decision","Ready")</x:f>
        <x:v>Ready</x:v>
      </x:c>
      <x:c r="D1435" s="6" t="str">
        <x:v>上</x:v>
      </x:c>
      <x:c r="E1435" s="6" t="str">
        <x:v>nraenX (B)</x:v>
      </x:c>
      <x:c r="F1435" s="6" t="str">
        <x:v>上聲十五潸</x:v>
      </x:c>
      <x:c r="G1435" s="6" t="str">
        <x:v>Pingshui main list, Wikisource-derived DOCX</x:v>
      </x:c>
      <x:c r="H1435" s="6" t="str">
        <x:v>1</x:v>
      </x:c>
      <x:c r="I1435" s="6" t="str"/>
      <x:c r="J1435" s="6" t="str">
        <x:f>IF(B1435="","",IF(AND(ISNUMBER(SEARCH("平",B1435)),OR(ISNUMBER(SEARCH("上",B1435)),ISNUMBER(SEARCH("去",B1435)),ISNUMBER(SEARCH("入",B1435)))),"Ambiguous",IF(ISNUMBER(SEARCH("平",B1435)),"平","仄")))</x:f>
        <x:v>仄</x:v>
      </x:c>
      <x:c r="K1435" s="6" t="str">
        <x:f>IF(D1435="","",IF(AND(ISNUMBER(SEARCH("平",D1435)),OR(ISNUMBER(SEARCH("上",D1435)),ISNUMBER(SEARCH("去",D1435)),ISNUMBER(SEARCH("入",D1435)))),"Ambiguous",IF(ISNUMBER(SEARCH("平",D1435)),"平","仄")))</x:f>
        <x:v>仄</x:v>
      </x:c>
      <x:c r="L1435" s="7" t="str"/>
    </x:row>
    <x:row r="1436">
      <x:c r="A1436" s="5" t="str">
        <x:v>戈</x:v>
      </x:c>
      <x:c r="B1436" s="6" t="str">
        <x:v>平</x:v>
      </x:c>
      <x:c r="C1436" s="6" t="str">
        <x:f>IF(B1436="","Needs decision","Ready")</x:f>
        <x:v>Ready</x:v>
      </x:c>
      <x:c r="D1436" s="6" t="str">
        <x:v>平</x:v>
      </x:c>
      <x:c r="E1436" s="6" t="str">
        <x:v>kwa (A)</x:v>
      </x:c>
      <x:c r="F1436" s="6" t="str">
        <x:v>下平聲五歌</x:v>
      </x:c>
      <x:c r="G1436" s="6" t="str">
        <x:v>Pingshui main list, Wikisource-derived DOCX</x:v>
      </x:c>
      <x:c r="H1436" s="6" t="str">
        <x:v>1</x:v>
      </x:c>
      <x:c r="I1436" s="6" t="str"/>
      <x:c r="J1436" s="6" t="str">
        <x:f>IF(B1436="","",IF(AND(ISNUMBER(SEARCH("平",B1436)),OR(ISNUMBER(SEARCH("上",B1436)),ISNUMBER(SEARCH("去",B1436)),ISNUMBER(SEARCH("入",B1436)))),"Ambiguous",IF(ISNUMBER(SEARCH("平",B1436)),"平","仄")))</x:f>
        <x:v>平</x:v>
      </x:c>
      <x:c r="K1436" s="6" t="str">
        <x:f>IF(D1436="","",IF(AND(ISNUMBER(SEARCH("平",D1436)),OR(ISNUMBER(SEARCH("上",D1436)),ISNUMBER(SEARCH("去",D1436)),ISNUMBER(SEARCH("入",D1436)))),"Ambiguous",IF(ISNUMBER(SEARCH("平",D1436)),"平","仄")))</x:f>
        <x:v>平</x:v>
      </x:c>
      <x:c r="L1436" s="7" t="str"/>
    </x:row>
    <x:row r="1437">
      <x:c r="A1437" s="5" t="str">
        <x:v>戉</x:v>
      </x:c>
      <x:c r="B1437" s="6" t="str">
        <x:v>入</x:v>
      </x:c>
      <x:c r="C1437" s="6" t="str">
        <x:f>IF(B1437="","Needs decision","Ready")</x:f>
        <x:v>Ready</x:v>
      </x:c>
      <x:c r="D1437" s="6" t="str">
        <x:v>入</x:v>
      </x:c>
      <x:c r="E1437" s="6" t="str">
        <x:v>hjwot (D)</x:v>
      </x:c>
      <x:c r="F1437" s="6" t="str"/>
      <x:c r="G1437" s="6" t="str"/>
      <x:c r="H1437" s="6" t="str">
        <x:v>1</x:v>
      </x:c>
      <x:c r="I1437" s="6" t="str"/>
      <x:c r="J1437" s="6" t="str">
        <x:f>IF(B1437="","",IF(AND(ISNUMBER(SEARCH("平",B1437)),OR(ISNUMBER(SEARCH("上",B1437)),ISNUMBER(SEARCH("去",B1437)),ISNUMBER(SEARCH("入",B1437)))),"Ambiguous",IF(ISNUMBER(SEARCH("平",B1437)),"平","仄")))</x:f>
        <x:v>仄</x:v>
      </x:c>
      <x:c r="K1437" s="6" t="str">
        <x:f>IF(D1437="","",IF(AND(ISNUMBER(SEARCH("平",D1437)),OR(ISNUMBER(SEARCH("上",D1437)),ISNUMBER(SEARCH("去",D1437)),ISNUMBER(SEARCH("入",D1437)))),"Ambiguous",IF(ISNUMBER(SEARCH("平",D1437)),"平","仄")))</x:f>
        <x:v>仄</x:v>
      </x:c>
      <x:c r="L1437" s="7" t="str"/>
    </x:row>
    <x:row r="1438">
      <x:c r="A1438" s="5" t="str">
        <x:v>戊</x:v>
      </x:c>
      <x:c r="B1438" s="6" t="str">
        <x:v>去</x:v>
      </x:c>
      <x:c r="C1438" s="6" t="str">
        <x:f>IF(B1438="","Needs decision","Ready")</x:f>
        <x:v>Ready</x:v>
      </x:c>
      <x:c r="D1438" s="6" t="str">
        <x:v>去</x:v>
      </x:c>
      <x:c r="E1438" s="6" t="str">
        <x:v>muwH (C)</x:v>
      </x:c>
      <x:c r="F1438" s="6" t="str">
        <x:v>去聲二十六宥</x:v>
      </x:c>
      <x:c r="G1438" s="6" t="str">
        <x:v>Pingshui main list, Wikisource-derived DOCX</x:v>
      </x:c>
      <x:c r="H1438" s="6" t="str">
        <x:v>1</x:v>
      </x:c>
      <x:c r="I1438" s="6" t="str"/>
      <x:c r="J1438" s="6" t="str">
        <x:f>IF(B1438="","",IF(AND(ISNUMBER(SEARCH("平",B1438)),OR(ISNUMBER(SEARCH("上",B1438)),ISNUMBER(SEARCH("去",B1438)),ISNUMBER(SEARCH("入",B1438)))),"Ambiguous",IF(ISNUMBER(SEARCH("平",B1438)),"平","仄")))</x:f>
        <x:v>仄</x:v>
      </x:c>
      <x:c r="K1438" s="6" t="str">
        <x:f>IF(D1438="","",IF(AND(ISNUMBER(SEARCH("平",D1438)),OR(ISNUMBER(SEARCH("上",D1438)),ISNUMBER(SEARCH("去",D1438)),ISNUMBER(SEARCH("入",D1438)))),"Ambiguous",IF(ISNUMBER(SEARCH("平",D1438)),"平","仄")))</x:f>
        <x:v>仄</x:v>
      </x:c>
      <x:c r="L1438" s="7" t="str"/>
    </x:row>
    <x:row r="1439">
      <x:c r="A1439" s="5" t="str">
        <x:v>戌</x:v>
      </x:c>
      <x:c r="B1439" s="6" t="str">
        <x:v>入</x:v>
      </x:c>
      <x:c r="C1439" s="6" t="str">
        <x:f>IF(B1439="","Needs decision","Ready")</x:f>
        <x:v>Ready</x:v>
      </x:c>
      <x:c r="D1439" s="6" t="str">
        <x:v>入</x:v>
      </x:c>
      <x:c r="E1439" s="6" t="str">
        <x:v>swit (D)</x:v>
      </x:c>
      <x:c r="F1439" s="6" t="str"/>
      <x:c r="G1439" s="6" t="str"/>
      <x:c r="H1439" s="6" t="str">
        <x:v>1</x:v>
      </x:c>
      <x:c r="I1439" s="6" t="str"/>
      <x:c r="J1439" s="6" t="str">
        <x:f>IF(B1439="","",IF(AND(ISNUMBER(SEARCH("平",B1439)),OR(ISNUMBER(SEARCH("上",B1439)),ISNUMBER(SEARCH("去",B1439)),ISNUMBER(SEARCH("入",B1439)))),"Ambiguous",IF(ISNUMBER(SEARCH("平",B1439)),"平","仄")))</x:f>
        <x:v>仄</x:v>
      </x:c>
      <x:c r="K1439" s="6" t="str">
        <x:f>IF(D1439="","",IF(AND(ISNUMBER(SEARCH("平",D1439)),OR(ISNUMBER(SEARCH("上",D1439)),ISNUMBER(SEARCH("去",D1439)),ISNUMBER(SEARCH("入",D1439)))),"Ambiguous",IF(ISNUMBER(SEARCH("平",D1439)),"平","仄")))</x:f>
        <x:v>仄</x:v>
      </x:c>
      <x:c r="L1439" s="7" t="str"/>
    </x:row>
    <x:row r="1440">
      <x:c r="A1440" s="5" t="str">
        <x:v>戍</x:v>
      </x:c>
      <x:c r="B1440" s="6" t="str">
        <x:v>去</x:v>
      </x:c>
      <x:c r="C1440" s="6" t="str">
        <x:f>IF(B1440="","Needs decision","Ready")</x:f>
        <x:v>Ready</x:v>
      </x:c>
      <x:c r="D1440" s="6" t="str">
        <x:v>去</x:v>
      </x:c>
      <x:c r="E1440" s="6" t="str">
        <x:v>syuH (C)</x:v>
      </x:c>
      <x:c r="F1440" s="6" t="str">
        <x:v>去聲七遇; 入聲四質</x:v>
      </x:c>
      <x:c r="G1440" s="6" t="str">
        <x:v>Pingshui main list, Wikisource-derived DOCX</x:v>
      </x:c>
      <x:c r="H1440" s="6" t="str">
        <x:v>1</x:v>
      </x:c>
      <x:c r="I1440" s="6" t="str"/>
      <x:c r="J1440" s="6" t="str">
        <x:f>IF(B1440="","",IF(AND(ISNUMBER(SEARCH("平",B1440)),OR(ISNUMBER(SEARCH("上",B1440)),ISNUMBER(SEARCH("去",B1440)),ISNUMBER(SEARCH("入",B1440)))),"Ambiguous",IF(ISNUMBER(SEARCH("平",B1440)),"平","仄")))</x:f>
        <x:v>仄</x:v>
      </x:c>
      <x:c r="K1440" s="6" t="str">
        <x:f>IF(D1440="","",IF(AND(ISNUMBER(SEARCH("平",D1440)),OR(ISNUMBER(SEARCH("上",D1440)),ISNUMBER(SEARCH("去",D1440)),ISNUMBER(SEARCH("入",D1440)))),"Ambiguous",IF(ISNUMBER(SEARCH("平",D1440)),"平","仄")))</x:f>
        <x:v>仄</x:v>
      </x:c>
      <x:c r="L1440" s="7" t="str"/>
    </x:row>
    <x:row r="1441">
      <x:c r="A1441" s="5" t="str">
        <x:v>戎</x:v>
      </x:c>
      <x:c r="B1441" s="6" t="str">
        <x:v>平</x:v>
      </x:c>
      <x:c r="C1441" s="6" t="str">
        <x:f>IF(B1441="","Needs decision","Ready")</x:f>
        <x:v>Ready</x:v>
      </x:c>
      <x:c r="D1441" s="6" t="str">
        <x:v>平</x:v>
      </x:c>
      <x:c r="E1441" s="6" t="str">
        <x:v>nyuwng (A)</x:v>
      </x:c>
      <x:c r="F1441" s="6" t="str">
        <x:v>上平聲一東</x:v>
      </x:c>
      <x:c r="G1441" s="6" t="str">
        <x:v>Pingshui main list, Wikisource-derived DOCX</x:v>
      </x:c>
      <x:c r="H1441" s="6" t="str">
        <x:v>1</x:v>
      </x:c>
      <x:c r="I1441" s="6" t="str"/>
      <x:c r="J1441" s="6" t="str">
        <x:f>IF(B1441="","",IF(AND(ISNUMBER(SEARCH("平",B1441)),OR(ISNUMBER(SEARCH("上",B1441)),ISNUMBER(SEARCH("去",B1441)),ISNUMBER(SEARCH("入",B1441)))),"Ambiguous",IF(ISNUMBER(SEARCH("平",B1441)),"平","仄")))</x:f>
        <x:v>平</x:v>
      </x:c>
      <x:c r="K1441" s="6" t="str">
        <x:f>IF(D1441="","",IF(AND(ISNUMBER(SEARCH("平",D1441)),OR(ISNUMBER(SEARCH("上",D1441)),ISNUMBER(SEARCH("去",D1441)),ISNUMBER(SEARCH("入",D1441)))),"Ambiguous",IF(ISNUMBER(SEARCH("平",D1441)),"平","仄")))</x:f>
        <x:v>平</x:v>
      </x:c>
      <x:c r="L1441" s="7" t="str"/>
    </x:row>
    <x:row r="1442">
      <x:c r="A1442" s="5" t="str">
        <x:v>成</x:v>
      </x:c>
      <x:c r="B1442" s="6" t="str">
        <x:v>平</x:v>
      </x:c>
      <x:c r="C1442" s="6" t="str">
        <x:f>IF(B1442="","Needs decision","Ready")</x:f>
        <x:v>Ready</x:v>
      </x:c>
      <x:c r="D1442" s="6" t="str">
        <x:v>平</x:v>
      </x:c>
      <x:c r="E1442" s="6" t="str">
        <x:v>dzyeng (A)</x:v>
      </x:c>
      <x:c r="F1442" s="6" t="str">
        <x:v>下平聲八庚</x:v>
      </x:c>
      <x:c r="G1442" s="6" t="str">
        <x:v>Pingshui main list, Wikisource-derived DOCX</x:v>
      </x:c>
      <x:c r="H1442" s="6" t="str">
        <x:v>1</x:v>
      </x:c>
      <x:c r="I1442" s="6" t="str"/>
      <x:c r="J1442" s="6" t="str">
        <x:f>IF(B1442="","",IF(AND(ISNUMBER(SEARCH("平",B1442)),OR(ISNUMBER(SEARCH("上",B1442)),ISNUMBER(SEARCH("去",B1442)),ISNUMBER(SEARCH("入",B1442)))),"Ambiguous",IF(ISNUMBER(SEARCH("平",B1442)),"平","仄")))</x:f>
        <x:v>平</x:v>
      </x:c>
      <x:c r="K1442" s="6" t="str">
        <x:f>IF(D1442="","",IF(AND(ISNUMBER(SEARCH("平",D1442)),OR(ISNUMBER(SEARCH("上",D1442)),ISNUMBER(SEARCH("去",D1442)),ISNUMBER(SEARCH("入",D1442)))),"Ambiguous",IF(ISNUMBER(SEARCH("平",D1442)),"平","仄")))</x:f>
        <x:v>平</x:v>
      </x:c>
      <x:c r="L1442" s="7" t="str"/>
    </x:row>
    <x:row r="1443">
      <x:c r="A1443" s="5" t="str">
        <x:v>我</x:v>
      </x:c>
      <x:c r="B1443" s="6" t="str">
        <x:v>上</x:v>
      </x:c>
      <x:c r="C1443" s="6" t="str">
        <x:f>IF(B1443="","Needs decision","Ready")</x:f>
        <x:v>Ready</x:v>
      </x:c>
      <x:c r="D1443" s="6" t="str">
        <x:v>上</x:v>
      </x:c>
      <x:c r="E1443" s="6" t="str">
        <x:v>ngaX (B)</x:v>
      </x:c>
      <x:c r="F1443" s="6" t="str">
        <x:v>上聲二十哿</x:v>
      </x:c>
      <x:c r="G1443" s="6" t="str">
        <x:v>Pingshui main list, Wikisource-derived DOCX</x:v>
      </x:c>
      <x:c r="H1443" s="6" t="str">
        <x:v>1</x:v>
      </x:c>
      <x:c r="I1443" s="6" t="str"/>
      <x:c r="J1443" s="6" t="str">
        <x:f>IF(B1443="","",IF(AND(ISNUMBER(SEARCH("平",B1443)),OR(ISNUMBER(SEARCH("上",B1443)),ISNUMBER(SEARCH("去",B1443)),ISNUMBER(SEARCH("入",B1443)))),"Ambiguous",IF(ISNUMBER(SEARCH("平",B1443)),"平","仄")))</x:f>
        <x:v>仄</x:v>
      </x:c>
      <x:c r="K1443" s="6" t="str">
        <x:f>IF(D1443="","",IF(AND(ISNUMBER(SEARCH("平",D1443)),OR(ISNUMBER(SEARCH("上",D1443)),ISNUMBER(SEARCH("去",D1443)),ISNUMBER(SEARCH("入",D1443)))),"Ambiguous",IF(ISNUMBER(SEARCH("平",D1443)),"平","仄")))</x:f>
        <x:v>仄</x:v>
      </x:c>
      <x:c r="L1443" s="7" t="str"/>
    </x:row>
    <x:row r="1444">
      <x:c r="A1444" s="5" t="str">
        <x:v>戒</x:v>
      </x:c>
      <x:c r="B1444" s="6" t="str">
        <x:v>去</x:v>
      </x:c>
      <x:c r="C1444" s="6" t="str">
        <x:f>IF(B1444="","Needs decision","Ready")</x:f>
        <x:v>Ready</x:v>
      </x:c>
      <x:c r="D1444" s="6" t="str">
        <x:v>去</x:v>
      </x:c>
      <x:c r="E1444" s="6" t="str">
        <x:v>keajH (C)</x:v>
      </x:c>
      <x:c r="F1444" s="6" t="str">
        <x:v>去聲十卦</x:v>
      </x:c>
      <x:c r="G1444" s="6" t="str">
        <x:v>Pingshui main list, Wikisource-derived DOCX</x:v>
      </x:c>
      <x:c r="H1444" s="6" t="str">
        <x:v>1</x:v>
      </x:c>
      <x:c r="I1444" s="6" t="str"/>
      <x:c r="J1444" s="6" t="str">
        <x:f>IF(B1444="","",IF(AND(ISNUMBER(SEARCH("平",B1444)),OR(ISNUMBER(SEARCH("上",B1444)),ISNUMBER(SEARCH("去",B1444)),ISNUMBER(SEARCH("入",B1444)))),"Ambiguous",IF(ISNUMBER(SEARCH("平",B1444)),"平","仄")))</x:f>
        <x:v>仄</x:v>
      </x:c>
      <x:c r="K1444" s="6" t="str">
        <x:f>IF(D1444="","",IF(AND(ISNUMBER(SEARCH("平",D1444)),OR(ISNUMBER(SEARCH("上",D1444)),ISNUMBER(SEARCH("去",D1444)),ISNUMBER(SEARCH("入",D1444)))),"Ambiguous",IF(ISNUMBER(SEARCH("平",D1444)),"平","仄")))</x:f>
        <x:v>仄</x:v>
      </x:c>
      <x:c r="L1444" s="7" t="str"/>
    </x:row>
    <x:row r="1445">
      <x:c r="A1445" s="5" t="str">
        <x:v>戔</x:v>
      </x:c>
      <x:c r="B1445" s="6" t="str">
        <x:v>平</x:v>
      </x:c>
      <x:c r="C1445" s="6" t="str">
        <x:f>IF(B1445="","Needs decision","Ready")</x:f>
        <x:v>Ready</x:v>
      </x:c>
      <x:c r="D1445" s="6" t="str">
        <x:v>平</x:v>
      </x:c>
      <x:c r="E1445" s="6" t="str">
        <x:v>dzan (A)</x:v>
      </x:c>
      <x:c r="F1445" s="6" t="str">
        <x:v>下平聲一先</x:v>
      </x:c>
      <x:c r="G1445" s="6" t="str">
        <x:v>Pingshui main list, Wikisource-derived DOCX</x:v>
      </x:c>
      <x:c r="H1445" s="6" t="str">
        <x:v>1</x:v>
      </x:c>
      <x:c r="I1445" s="6" t="str"/>
      <x:c r="J1445" s="6" t="str">
        <x:f>IF(B1445="","",IF(AND(ISNUMBER(SEARCH("平",B1445)),OR(ISNUMBER(SEARCH("上",B1445)),ISNUMBER(SEARCH("去",B1445)),ISNUMBER(SEARCH("入",B1445)))),"Ambiguous",IF(ISNUMBER(SEARCH("平",B1445)),"平","仄")))</x:f>
        <x:v>平</x:v>
      </x:c>
      <x:c r="K1445" s="6" t="str">
        <x:f>IF(D1445="","",IF(AND(ISNUMBER(SEARCH("平",D1445)),OR(ISNUMBER(SEARCH("上",D1445)),ISNUMBER(SEARCH("去",D1445)),ISNUMBER(SEARCH("入",D1445)))),"Ambiguous",IF(ISNUMBER(SEARCH("平",D1445)),"平","仄")))</x:f>
        <x:v>平</x:v>
      </x:c>
      <x:c r="L1445" s="7" t="str"/>
    </x:row>
    <x:row r="1446">
      <x:c r="A1446" s="5" t="str">
        <x:v>或</x:v>
      </x:c>
      <x:c r="B1446" s="6" t="str">
        <x:v>入</x:v>
      </x:c>
      <x:c r="C1446" s="6" t="str">
        <x:f>IF(B1446="","Needs decision","Ready")</x:f>
        <x:v>Ready</x:v>
      </x:c>
      <x:c r="D1446" s="6" t="str">
        <x:v>入</x:v>
      </x:c>
      <x:c r="E1446" s="6" t="str">
        <x:v>hwok (D); hwik (D)</x:v>
      </x:c>
      <x:c r="F1446" s="6" t="str">
        <x:v>入聲十三職</x:v>
      </x:c>
      <x:c r="G1446" s="6" t="str">
        <x:v>Pingshui main list, Wikisource-derived DOCX</x:v>
      </x:c>
      <x:c r="H1446" s="6" t="str">
        <x:v>2</x:v>
      </x:c>
      <x:c r="I1446" s="6" t="str"/>
      <x:c r="J1446" s="6" t="str">
        <x:f>IF(B1446="","",IF(AND(ISNUMBER(SEARCH("平",B1446)),OR(ISNUMBER(SEARCH("上",B1446)),ISNUMBER(SEARCH("去",B1446)),ISNUMBER(SEARCH("入",B1446)))),"Ambiguous",IF(ISNUMBER(SEARCH("平",B1446)),"平","仄")))</x:f>
        <x:v>仄</x:v>
      </x:c>
      <x:c r="K1446" s="6" t="str">
        <x:f>IF(D1446="","",IF(AND(ISNUMBER(SEARCH("平",D1446)),OR(ISNUMBER(SEARCH("上",D1446)),ISNUMBER(SEARCH("去",D1446)),ISNUMBER(SEARCH("入",D1446)))),"Ambiguous",IF(ISNUMBER(SEARCH("平",D1446)),"平","仄")))</x:f>
        <x:v>仄</x:v>
      </x:c>
      <x:c r="L1446" s="7" t="str"/>
    </x:row>
    <x:row r="1447">
      <x:c r="A1447" s="5" t="str">
        <x:v>戚</x:v>
      </x:c>
      <x:c r="B1447" s="6" t="str">
        <x:v>入</x:v>
      </x:c>
      <x:c r="C1447" s="6" t="str">
        <x:f>IF(B1447="","Needs decision","Ready")</x:f>
        <x:v>Ready</x:v>
      </x:c>
      <x:c r="D1447" s="6" t="str">
        <x:v>入</x:v>
      </x:c>
      <x:c r="E1447" s="6" t="str">
        <x:v>tshek (D)</x:v>
      </x:c>
      <x:c r="F1447" s="6" t="str">
        <x:v>入聲十二錫</x:v>
      </x:c>
      <x:c r="G1447" s="6" t="str">
        <x:v>Pingshui main list, Wikisource-derived DOCX</x:v>
      </x:c>
      <x:c r="H1447" s="6" t="str">
        <x:v>1</x:v>
      </x:c>
      <x:c r="I1447" s="6" t="str"/>
      <x:c r="J1447" s="6" t="str">
        <x:f>IF(B1447="","",IF(AND(ISNUMBER(SEARCH("平",B1447)),OR(ISNUMBER(SEARCH("上",B1447)),ISNUMBER(SEARCH("去",B1447)),ISNUMBER(SEARCH("入",B1447)))),"Ambiguous",IF(ISNUMBER(SEARCH("平",B1447)),"平","仄")))</x:f>
        <x:v>仄</x:v>
      </x:c>
      <x:c r="K1447" s="6" t="str">
        <x:f>IF(D1447="","",IF(AND(ISNUMBER(SEARCH("平",D1447)),OR(ISNUMBER(SEARCH("上",D1447)),ISNUMBER(SEARCH("去",D1447)),ISNUMBER(SEARCH("入",D1447)))),"Ambiguous",IF(ISNUMBER(SEARCH("平",D1447)),"平","仄")))</x:f>
        <x:v>仄</x:v>
      </x:c>
      <x:c r="L1447" s="7" t="str"/>
    </x:row>
    <x:row r="1448">
      <x:c r="A1448" s="5" t="str">
        <x:v>戛</x:v>
      </x:c>
      <x:c r="B1448" s="6" t="str">
        <x:v>入</x:v>
      </x:c>
      <x:c r="C1448" s="6" t="str">
        <x:f>IF(B1448="","Needs decision","Ready")</x:f>
        <x:v>Ready</x:v>
      </x:c>
      <x:c r="D1448" s="6" t="str">
        <x:v>入</x:v>
      </x:c>
      <x:c r="E1448" s="6" t="str">
        <x:v>keat (D)</x:v>
      </x:c>
      <x:c r="F1448" s="6" t="str">
        <x:v>入聲八黠</x:v>
      </x:c>
      <x:c r="G1448" s="6" t="str">
        <x:v>Pingshui main list, Wikisource-derived DOCX</x:v>
      </x:c>
      <x:c r="H1448" s="6" t="str">
        <x:v>1</x:v>
      </x:c>
      <x:c r="I1448" s="6" t="str"/>
      <x:c r="J1448" s="6" t="str">
        <x:f>IF(B1448="","",IF(AND(ISNUMBER(SEARCH("平",B1448)),OR(ISNUMBER(SEARCH("上",B1448)),ISNUMBER(SEARCH("去",B1448)),ISNUMBER(SEARCH("入",B1448)))),"Ambiguous",IF(ISNUMBER(SEARCH("平",B1448)),"平","仄")))</x:f>
        <x:v>仄</x:v>
      </x:c>
      <x:c r="K1448" s="6" t="str">
        <x:f>IF(D1448="","",IF(AND(ISNUMBER(SEARCH("平",D1448)),OR(ISNUMBER(SEARCH("上",D1448)),ISNUMBER(SEARCH("去",D1448)),ISNUMBER(SEARCH("入",D1448)))),"Ambiguous",IF(ISNUMBER(SEARCH("平",D1448)),"平","仄")))</x:f>
        <x:v>仄</x:v>
      </x:c>
      <x:c r="L1448" s="7" t="str"/>
    </x:row>
    <x:row r="1449">
      <x:c r="A1449" s="5" t="str">
        <x:v>戟</x:v>
      </x:c>
      <x:c r="B1449" s="6" t="str">
        <x:v>入</x:v>
      </x:c>
      <x:c r="C1449" s="6" t="str">
        <x:f>IF(B1449="","Needs decision","Ready")</x:f>
        <x:v>Ready</x:v>
      </x:c>
      <x:c r="D1449" s="6" t="str">
        <x:v>入</x:v>
      </x:c>
      <x:c r="E1449" s="6" t="str">
        <x:v>kjaek (D)</x:v>
      </x:c>
      <x:c r="F1449" s="6" t="str">
        <x:v>入聲十一陌</x:v>
      </x:c>
      <x:c r="G1449" s="6" t="str">
        <x:v>Pingshui main list, Wikisource-derived DOCX</x:v>
      </x:c>
      <x:c r="H1449" s="6" t="str">
        <x:v>1</x:v>
      </x:c>
      <x:c r="I1449" s="6" t="str"/>
      <x:c r="J1449" s="6" t="str">
        <x:f>IF(B1449="","",IF(AND(ISNUMBER(SEARCH("平",B1449)),OR(ISNUMBER(SEARCH("上",B1449)),ISNUMBER(SEARCH("去",B1449)),ISNUMBER(SEARCH("入",B1449)))),"Ambiguous",IF(ISNUMBER(SEARCH("平",B1449)),"平","仄")))</x:f>
        <x:v>仄</x:v>
      </x:c>
      <x:c r="K1449" s="6" t="str">
        <x:f>IF(D1449="","",IF(AND(ISNUMBER(SEARCH("平",D1449)),OR(ISNUMBER(SEARCH("上",D1449)),ISNUMBER(SEARCH("去",D1449)),ISNUMBER(SEARCH("入",D1449)))),"Ambiguous",IF(ISNUMBER(SEARCH("平",D1449)),"平","仄")))</x:f>
        <x:v>仄</x:v>
      </x:c>
      <x:c r="L1449" s="7" t="str"/>
    </x:row>
    <x:row r="1450">
      <x:c r="A1450" s="5" t="str">
        <x:v>戠</x:v>
      </x:c>
      <x:c r="B1450" s="6" t="str">
        <x:v>入</x:v>
      </x:c>
      <x:c r="C1450" s="6" t="str">
        <x:f>IF(B1450="","Needs decision","Ready")</x:f>
        <x:v>Ready</x:v>
      </x:c>
      <x:c r="D1450" s="6" t="str">
        <x:v>入</x:v>
      </x:c>
      <x:c r="E1450" s="6" t="str">
        <x:v>tsyik (D)</x:v>
      </x:c>
      <x:c r="F1450" s="6" t="str"/>
      <x:c r="G1450" s="6" t="str"/>
      <x:c r="H1450" s="6" t="str">
        <x:v>1</x:v>
      </x:c>
      <x:c r="I1450" s="6" t="str"/>
      <x:c r="J1450" s="6" t="str">
        <x:f>IF(B1450="","",IF(AND(ISNUMBER(SEARCH("平",B1450)),OR(ISNUMBER(SEARCH("上",B1450)),ISNUMBER(SEARCH("去",B1450)),ISNUMBER(SEARCH("入",B1450)))),"Ambiguous",IF(ISNUMBER(SEARCH("平",B1450)),"平","仄")))</x:f>
        <x:v>仄</x:v>
      </x:c>
      <x:c r="K1450" s="6" t="str">
        <x:f>IF(D1450="","",IF(AND(ISNUMBER(SEARCH("平",D1450)),OR(ISNUMBER(SEARCH("上",D1450)),ISNUMBER(SEARCH("去",D1450)),ISNUMBER(SEARCH("入",D1450)))),"Ambiguous",IF(ISNUMBER(SEARCH("平",D1450)),"平","仄")))</x:f>
        <x:v>仄</x:v>
      </x:c>
      <x:c r="L1450" s="7" t="str"/>
    </x:row>
    <x:row r="1451">
      <x:c r="A1451" s="5" t="str">
        <x:v>戡</x:v>
      </x:c>
      <x:c r="B1451" s="6" t="str">
        <x:v>平</x:v>
      </x:c>
      <x:c r="C1451" s="6" t="str">
        <x:f>IF(B1451="","Needs decision","Ready")</x:f>
        <x:v>Ready</x:v>
      </x:c>
      <x:c r="D1451" s="6" t="str">
        <x:v>平</x:v>
      </x:c>
      <x:c r="E1451" s="6" t="str">
        <x:v>khom (A)</x:v>
      </x:c>
      <x:c r="F1451" s="6" t="str">
        <x:v>下平聲十三覃</x:v>
      </x:c>
      <x:c r="G1451" s="6" t="str">
        <x:v>Pingshui main list, Wikisource-derived DOCX</x:v>
      </x:c>
      <x:c r="H1451" s="6" t="str">
        <x:v>1</x:v>
      </x:c>
      <x:c r="I1451" s="6" t="str"/>
      <x:c r="J1451" s="6" t="str">
        <x:f>IF(B1451="","",IF(AND(ISNUMBER(SEARCH("平",B1451)),OR(ISNUMBER(SEARCH("上",B1451)),ISNUMBER(SEARCH("去",B1451)),ISNUMBER(SEARCH("入",B1451)))),"Ambiguous",IF(ISNUMBER(SEARCH("平",B1451)),"平","仄")))</x:f>
        <x:v>平</x:v>
      </x:c>
      <x:c r="K1451" s="6" t="str">
        <x:f>IF(D1451="","",IF(AND(ISNUMBER(SEARCH("平",D1451)),OR(ISNUMBER(SEARCH("上",D1451)),ISNUMBER(SEARCH("去",D1451)),ISNUMBER(SEARCH("入",D1451)))),"Ambiguous",IF(ISNUMBER(SEARCH("平",D1451)),"平","仄")))</x:f>
        <x:v>平</x:v>
      </x:c>
      <x:c r="L1451" s="7" t="str"/>
    </x:row>
    <x:row r="1452">
      <x:c r="A1452" s="5" t="str">
        <x:v>戣</x:v>
      </x:c>
      <x:c r="B1452" s="6" t="str">
        <x:v>平</x:v>
      </x:c>
      <x:c r="C1452" s="6" t="str">
        <x:f>IF(B1452="","Needs decision","Ready")</x:f>
        <x:v>Ready</x:v>
      </x:c>
      <x:c r="D1452" s="6" t="str">
        <x:v>平</x:v>
      </x:c>
      <x:c r="E1452" s="6" t="str">
        <x:v>gwij (A)</x:v>
      </x:c>
      <x:c r="F1452" s="6" t="str">
        <x:v>上平聲四支</x:v>
      </x:c>
      <x:c r="G1452" s="6" t="str">
        <x:v>Pingshui main list, Wikisource-derived DOCX</x:v>
      </x:c>
      <x:c r="H1452" s="6" t="str">
        <x:v>1</x:v>
      </x:c>
      <x:c r="I1452" s="6" t="str"/>
      <x:c r="J1452" s="6" t="str">
        <x:f>IF(B1452="","",IF(AND(ISNUMBER(SEARCH("平",B1452)),OR(ISNUMBER(SEARCH("上",B1452)),ISNUMBER(SEARCH("去",B1452)),ISNUMBER(SEARCH("入",B1452)))),"Ambiguous",IF(ISNUMBER(SEARCH("平",B1452)),"平","仄")))</x:f>
        <x:v>平</x:v>
      </x:c>
      <x:c r="K1452" s="6" t="str">
        <x:f>IF(D1452="","",IF(AND(ISNUMBER(SEARCH("平",D1452)),OR(ISNUMBER(SEARCH("上",D1452)),ISNUMBER(SEARCH("去",D1452)),ISNUMBER(SEARCH("入",D1452)))),"Ambiguous",IF(ISNUMBER(SEARCH("平",D1452)),"平","仄")))</x:f>
        <x:v>平</x:v>
      </x:c>
      <x:c r="L1452" s="7" t="str"/>
    </x:row>
    <x:row r="1453">
      <x:c r="A1453" s="5" t="str">
        <x:v>截</x:v>
      </x:c>
      <x:c r="B1453" s="6" t="str">
        <x:v>入</x:v>
      </x:c>
      <x:c r="C1453" s="6" t="str">
        <x:f>IF(B1453="","Needs decision","Ready")</x:f>
        <x:v>Ready</x:v>
      </x:c>
      <x:c r="D1453" s="6" t="str">
        <x:v>入</x:v>
      </x:c>
      <x:c r="E1453" s="6" t="str">
        <x:v>dzet (D)</x:v>
      </x:c>
      <x:c r="F1453" s="6" t="str">
        <x:v>入聲九屑</x:v>
      </x:c>
      <x:c r="G1453" s="6" t="str">
        <x:v>Pingshui main list, Wikisource-derived DOCX</x:v>
      </x:c>
      <x:c r="H1453" s="6" t="str">
        <x:v>1</x:v>
      </x:c>
      <x:c r="I1453" s="6" t="str"/>
      <x:c r="J1453" s="6" t="str">
        <x:f>IF(B1453="","",IF(AND(ISNUMBER(SEARCH("平",B1453)),OR(ISNUMBER(SEARCH("上",B1453)),ISNUMBER(SEARCH("去",B1453)),ISNUMBER(SEARCH("入",B1453)))),"Ambiguous",IF(ISNUMBER(SEARCH("平",B1453)),"平","仄")))</x:f>
        <x:v>仄</x:v>
      </x:c>
      <x:c r="K1453" s="6" t="str">
        <x:f>IF(D1453="","",IF(AND(ISNUMBER(SEARCH("平",D1453)),OR(ISNUMBER(SEARCH("上",D1453)),ISNUMBER(SEARCH("去",D1453)),ISNUMBER(SEARCH("入",D1453)))),"Ambiguous",IF(ISNUMBER(SEARCH("平",D1453)),"平","仄")))</x:f>
        <x:v>仄</x:v>
      </x:c>
      <x:c r="L1453" s="7" t="str"/>
    </x:row>
    <x:row r="1454">
      <x:c r="A1454" s="5" t="str">
        <x:v>戮</x:v>
      </x:c>
      <x:c r="B1454" s="6" t="str">
        <x:v>入</x:v>
      </x:c>
      <x:c r="C1454" s="6" t="str">
        <x:f>IF(B1454="","Needs decision","Ready")</x:f>
        <x:v>Ready</x:v>
      </x:c>
      <x:c r="D1454" s="6" t="str">
        <x:v>入</x:v>
      </x:c>
      <x:c r="E1454" s="6" t="str">
        <x:v>ljuwk (D)</x:v>
      </x:c>
      <x:c r="F1454" s="6" t="str">
        <x:v>入聲一屋</x:v>
      </x:c>
      <x:c r="G1454" s="6" t="str">
        <x:v>Pingshui main list, Wikisource-derived DOCX</x:v>
      </x:c>
      <x:c r="H1454" s="6" t="str">
        <x:v>1</x:v>
      </x:c>
      <x:c r="I1454" s="6" t="str"/>
      <x:c r="J1454" s="6" t="str">
        <x:f>IF(B1454="","",IF(AND(ISNUMBER(SEARCH("平",B1454)),OR(ISNUMBER(SEARCH("上",B1454)),ISNUMBER(SEARCH("去",B1454)),ISNUMBER(SEARCH("入",B1454)))),"Ambiguous",IF(ISNUMBER(SEARCH("平",B1454)),"平","仄")))</x:f>
        <x:v>仄</x:v>
      </x:c>
      <x:c r="K1454" s="6" t="str">
        <x:f>IF(D1454="","",IF(AND(ISNUMBER(SEARCH("平",D1454)),OR(ISNUMBER(SEARCH("上",D1454)),ISNUMBER(SEARCH("去",D1454)),ISNUMBER(SEARCH("入",D1454)))),"Ambiguous",IF(ISNUMBER(SEARCH("平",D1454)),"平","仄")))</x:f>
        <x:v>仄</x:v>
      </x:c>
      <x:c r="L1454" s="7" t="str"/>
    </x:row>
    <x:row r="1455">
      <x:c r="A1455" s="5" t="str">
        <x:v>戰</x:v>
      </x:c>
      <x:c r="B1455" s="6" t="str">
        <x:v>去</x:v>
      </x:c>
      <x:c r="C1455" s="6" t="str">
        <x:f>IF(B1455="","Needs decision","Ready")</x:f>
        <x:v>Ready</x:v>
      </x:c>
      <x:c r="D1455" s="6" t="str">
        <x:v>去</x:v>
      </x:c>
      <x:c r="E1455" s="6" t="str">
        <x:v>tsyenH (C)</x:v>
      </x:c>
      <x:c r="F1455" s="6" t="str">
        <x:v>去聲十七霰</x:v>
      </x:c>
      <x:c r="G1455" s="6" t="str">
        <x:v>Pingshui main list, Wikisource-derived DOCX</x:v>
      </x:c>
      <x:c r="H1455" s="6" t="str">
        <x:v>1</x:v>
      </x:c>
      <x:c r="I1455" s="6" t="str"/>
      <x:c r="J1455" s="6" t="str">
        <x:f>IF(B1455="","",IF(AND(ISNUMBER(SEARCH("平",B1455)),OR(ISNUMBER(SEARCH("上",B1455)),ISNUMBER(SEARCH("去",B1455)),ISNUMBER(SEARCH("入",B1455)))),"Ambiguous",IF(ISNUMBER(SEARCH("平",B1455)),"平","仄")))</x:f>
        <x:v>仄</x:v>
      </x:c>
      <x:c r="K1455" s="6" t="str">
        <x:f>IF(D1455="","",IF(AND(ISNUMBER(SEARCH("平",D1455)),OR(ISNUMBER(SEARCH("上",D1455)),ISNUMBER(SEARCH("去",D1455)),ISNUMBER(SEARCH("入",D1455)))),"Ambiguous",IF(ISNUMBER(SEARCH("平",D1455)),"平","仄")))</x:f>
        <x:v>仄</x:v>
      </x:c>
      <x:c r="L1455" s="7" t="str"/>
    </x:row>
    <x:row r="1456">
      <x:c r="A1456" s="5" t="str">
        <x:v>戲</x:v>
      </x:c>
      <x:c r="B1456" s="6" t="str">
        <x:v>去</x:v>
      </x:c>
      <x:c r="C1456" s="6" t="str">
        <x:f>IF(B1456="","Needs decision","Ready")</x:f>
        <x:v>Ready</x:v>
      </x:c>
      <x:c r="D1456" s="6" t="str">
        <x:v>去</x:v>
      </x:c>
      <x:c r="E1456" s="6" t="str">
        <x:v>xjeH (C)</x:v>
      </x:c>
      <x:c r="F1456" s="6" t="str">
        <x:v>上平聲四支; 去聲四寘</x:v>
      </x:c>
      <x:c r="G1456" s="6" t="str">
        <x:v>Pingshui main list, Wikisource-derived DOCX</x:v>
      </x:c>
      <x:c r="H1456" s="6" t="str">
        <x:v>1</x:v>
      </x:c>
      <x:c r="I1456" s="6" t="str"/>
      <x:c r="J1456" s="6" t="str">
        <x:f>IF(B1456="","",IF(AND(ISNUMBER(SEARCH("平",B1456)),OR(ISNUMBER(SEARCH("上",B1456)),ISNUMBER(SEARCH("去",B1456)),ISNUMBER(SEARCH("入",B1456)))),"Ambiguous",IF(ISNUMBER(SEARCH("平",B1456)),"平","仄")))</x:f>
        <x:v>仄</x:v>
      </x:c>
      <x:c r="K1456" s="6" t="str">
        <x:f>IF(D1456="","",IF(AND(ISNUMBER(SEARCH("平",D1456)),OR(ISNUMBER(SEARCH("上",D1456)),ISNUMBER(SEARCH("去",D1456)),ISNUMBER(SEARCH("入",D1456)))),"Ambiguous",IF(ISNUMBER(SEARCH("平",D1456)),"平","仄")))</x:f>
        <x:v>仄</x:v>
      </x:c>
      <x:c r="L1456" s="7" t="str"/>
    </x:row>
    <x:row r="1457">
      <x:c r="A1457" s="5" t="str">
        <x:v>戴</x:v>
      </x:c>
      <x:c r="B1457" s="6" t="str">
        <x:v>去</x:v>
      </x:c>
      <x:c r="C1457" s="6" t="str">
        <x:f>IF(B1457="","Needs decision","Ready")</x:f>
        <x:v>Ready</x:v>
      </x:c>
      <x:c r="D1457" s="6" t="str">
        <x:v>去</x:v>
      </x:c>
      <x:c r="E1457" s="6" t="str">
        <x:v>tojH (C)</x:v>
      </x:c>
      <x:c r="F1457" s="6" t="str">
        <x:v>去聲十一隊</x:v>
      </x:c>
      <x:c r="G1457" s="6" t="str">
        <x:v>Pingshui main list, Wikisource-derived DOCX</x:v>
      </x:c>
      <x:c r="H1457" s="6" t="str">
        <x:v>1</x:v>
      </x:c>
      <x:c r="I1457" s="6" t="str"/>
      <x:c r="J1457" s="6" t="str">
        <x:f>IF(B1457="","",IF(AND(ISNUMBER(SEARCH("平",B1457)),OR(ISNUMBER(SEARCH("上",B1457)),ISNUMBER(SEARCH("去",B1457)),ISNUMBER(SEARCH("入",B1457)))),"Ambiguous",IF(ISNUMBER(SEARCH("平",B1457)),"平","仄")))</x:f>
        <x:v>仄</x:v>
      </x:c>
      <x:c r="K1457" s="6" t="str">
        <x:f>IF(D1457="","",IF(AND(ISNUMBER(SEARCH("平",D1457)),OR(ISNUMBER(SEARCH("上",D1457)),ISNUMBER(SEARCH("去",D1457)),ISNUMBER(SEARCH("入",D1457)))),"Ambiguous",IF(ISNUMBER(SEARCH("平",D1457)),"平","仄")))</x:f>
        <x:v>仄</x:v>
      </x:c>
      <x:c r="L1457" s="7" t="str"/>
    </x:row>
    <x:row r="1458">
      <x:c r="A1458" s="5" t="str">
        <x:v>戶</x:v>
      </x:c>
      <x:c r="B1458" s="6" t="str">
        <x:v>上</x:v>
      </x:c>
      <x:c r="C1458" s="6" t="str">
        <x:f>IF(B1458="","Needs decision","Ready")</x:f>
        <x:v>Ready</x:v>
      </x:c>
      <x:c r="D1458" s="6" t="str">
        <x:v>上</x:v>
      </x:c>
      <x:c r="E1458" s="6" t="str">
        <x:v>huX (B)</x:v>
      </x:c>
      <x:c r="F1458" s="6" t="str">
        <x:v>上聲七麌</x:v>
      </x:c>
      <x:c r="G1458" s="6" t="str">
        <x:v>Pingshui main list, Wikisource-derived DOCX</x:v>
      </x:c>
      <x:c r="H1458" s="6" t="str">
        <x:v>1</x:v>
      </x:c>
      <x:c r="I1458" s="6" t="str"/>
      <x:c r="J1458" s="6" t="str">
        <x:f>IF(B1458="","",IF(AND(ISNUMBER(SEARCH("平",B1458)),OR(ISNUMBER(SEARCH("上",B1458)),ISNUMBER(SEARCH("去",B1458)),ISNUMBER(SEARCH("入",B1458)))),"Ambiguous",IF(ISNUMBER(SEARCH("平",B1458)),"平","仄")))</x:f>
        <x:v>仄</x:v>
      </x:c>
      <x:c r="K1458" s="6" t="str">
        <x:f>IF(D1458="","",IF(AND(ISNUMBER(SEARCH("平",D1458)),OR(ISNUMBER(SEARCH("上",D1458)),ISNUMBER(SEARCH("去",D1458)),ISNUMBER(SEARCH("入",D1458)))),"Ambiguous",IF(ISNUMBER(SEARCH("平",D1458)),"平","仄")))</x:f>
        <x:v>仄</x:v>
      </x:c>
      <x:c r="L1458" s="7" t="str"/>
    </x:row>
    <x:row r="1459">
      <x:c r="A1459" s="5" t="str">
        <x:v>戹</x:v>
      </x:c>
      <x:c r="B1459" s="6" t="str">
        <x:v>入</x:v>
      </x:c>
      <x:c r="C1459" s="6" t="str">
        <x:f>IF(B1459="","Needs decision","Ready")</x:f>
        <x:v>Ready</x:v>
      </x:c>
      <x:c r="D1459" s="6" t="str">
        <x:v>入</x:v>
      </x:c>
      <x:c r="E1459" s="6" t="str">
        <x:v>'eak (D)</x:v>
      </x:c>
      <x:c r="F1459" s="6" t="str"/>
      <x:c r="G1459" s="6" t="str"/>
      <x:c r="H1459" s="6" t="str">
        <x:v>1</x:v>
      </x:c>
      <x:c r="I1459" s="6" t="str"/>
      <x:c r="J1459" s="6" t="str">
        <x:f>IF(B1459="","",IF(AND(ISNUMBER(SEARCH("平",B1459)),OR(ISNUMBER(SEARCH("上",B1459)),ISNUMBER(SEARCH("去",B1459)),ISNUMBER(SEARCH("入",B1459)))),"Ambiguous",IF(ISNUMBER(SEARCH("平",B1459)),"平","仄")))</x:f>
        <x:v>仄</x:v>
      </x:c>
      <x:c r="K1459" s="6" t="str">
        <x:f>IF(D1459="","",IF(AND(ISNUMBER(SEARCH("平",D1459)),OR(ISNUMBER(SEARCH("上",D1459)),ISNUMBER(SEARCH("去",D1459)),ISNUMBER(SEARCH("入",D1459)))),"Ambiguous",IF(ISNUMBER(SEARCH("平",D1459)),"平","仄")))</x:f>
        <x:v>仄</x:v>
      </x:c>
      <x:c r="L1459" s="7" t="str"/>
    </x:row>
    <x:row r="1460">
      <x:c r="A1460" s="5" t="str">
        <x:v>戾</x:v>
      </x:c>
      <x:c r="B1460" s="6" t="str">
        <x:v>去</x:v>
      </x:c>
      <x:c r="C1460" s="6" t="str">
        <x:f>IF(B1460="","Needs decision","Ready")</x:f>
        <x:v>Ready</x:v>
      </x:c>
      <x:c r="D1460" s="6" t="str">
        <x:v>去</x:v>
      </x:c>
      <x:c r="E1460" s="6" t="str">
        <x:v>lejH (C)</x:v>
      </x:c>
      <x:c r="F1460" s="6" t="str">
        <x:v>去聲八霽</x:v>
      </x:c>
      <x:c r="G1460" s="6" t="str">
        <x:v>Pingshui main list, Wikisource-derived DOCX</x:v>
      </x:c>
      <x:c r="H1460" s="6" t="str">
        <x:v>1</x:v>
      </x:c>
      <x:c r="I1460" s="6" t="str"/>
      <x:c r="J1460" s="6" t="str">
        <x:f>IF(B1460="","",IF(AND(ISNUMBER(SEARCH("平",B1460)),OR(ISNUMBER(SEARCH("上",B1460)),ISNUMBER(SEARCH("去",B1460)),ISNUMBER(SEARCH("入",B1460)))),"Ambiguous",IF(ISNUMBER(SEARCH("平",B1460)),"平","仄")))</x:f>
        <x:v>仄</x:v>
      </x:c>
      <x:c r="K1460" s="6" t="str">
        <x:f>IF(D1460="","",IF(AND(ISNUMBER(SEARCH("平",D1460)),OR(ISNUMBER(SEARCH("上",D1460)),ISNUMBER(SEARCH("去",D1460)),ISNUMBER(SEARCH("入",D1460)))),"Ambiguous",IF(ISNUMBER(SEARCH("平",D1460)),"平","仄")))</x:f>
        <x:v>仄</x:v>
      </x:c>
      <x:c r="L1460" s="7" t="str"/>
    </x:row>
    <x:row r="1461">
      <x:c r="A1461" s="5" t="str">
        <x:v>房</x:v>
      </x:c>
      <x:c r="B1461" s="6" t="str">
        <x:v>平</x:v>
      </x:c>
      <x:c r="C1461" s="6" t="str">
        <x:f>IF(B1461="","Needs decision","Ready")</x:f>
        <x:v>Ready</x:v>
      </x:c>
      <x:c r="D1461" s="6" t="str">
        <x:v>平</x:v>
      </x:c>
      <x:c r="E1461" s="6" t="str">
        <x:v>bjang (A)</x:v>
      </x:c>
      <x:c r="F1461" s="6" t="str">
        <x:v>下平聲七陽</x:v>
      </x:c>
      <x:c r="G1461" s="6" t="str">
        <x:v>Pingshui main list, Wikisource-derived DOCX</x:v>
      </x:c>
      <x:c r="H1461" s="6" t="str">
        <x:v>1</x:v>
      </x:c>
      <x:c r="I1461" s="6" t="str"/>
      <x:c r="J1461" s="6" t="str">
        <x:f>IF(B1461="","",IF(AND(ISNUMBER(SEARCH("平",B1461)),OR(ISNUMBER(SEARCH("上",B1461)),ISNUMBER(SEARCH("去",B1461)),ISNUMBER(SEARCH("入",B1461)))),"Ambiguous",IF(ISNUMBER(SEARCH("平",B1461)),"平","仄")))</x:f>
        <x:v>平</x:v>
      </x:c>
      <x:c r="K1461" s="6" t="str">
        <x:f>IF(D1461="","",IF(AND(ISNUMBER(SEARCH("平",D1461)),OR(ISNUMBER(SEARCH("上",D1461)),ISNUMBER(SEARCH("去",D1461)),ISNUMBER(SEARCH("入",D1461)))),"Ambiguous",IF(ISNUMBER(SEARCH("平",D1461)),"平","仄")))</x:f>
        <x:v>平</x:v>
      </x:c>
      <x:c r="L1461" s="7" t="str"/>
    </x:row>
    <x:row r="1462">
      <x:c r="A1462" s="5" t="str">
        <x:v>所</x:v>
      </x:c>
      <x:c r="B1462" s="6" t="str">
        <x:v>上</x:v>
      </x:c>
      <x:c r="C1462" s="6" t="str">
        <x:f>IF(B1462="","Needs decision","Ready")</x:f>
        <x:v>Ready</x:v>
      </x:c>
      <x:c r="D1462" s="6" t="str">
        <x:v>上</x:v>
      </x:c>
      <x:c r="E1462" s="6" t="str">
        <x:v>srjoX (B); xuX (B)</x:v>
      </x:c>
      <x:c r="F1462" s="6" t="str">
        <x:v>上聲六語</x:v>
      </x:c>
      <x:c r="G1462" s="6" t="str">
        <x:v>Pingshui main list, Wikisource-derived DOCX</x:v>
      </x:c>
      <x:c r="H1462" s="6" t="str">
        <x:v>2</x:v>
      </x:c>
      <x:c r="I1462" s="6" t="str"/>
      <x:c r="J1462" s="6" t="str">
        <x:f>IF(B1462="","",IF(AND(ISNUMBER(SEARCH("平",B1462)),OR(ISNUMBER(SEARCH("上",B1462)),ISNUMBER(SEARCH("去",B1462)),ISNUMBER(SEARCH("入",B1462)))),"Ambiguous",IF(ISNUMBER(SEARCH("平",B1462)),"平","仄")))</x:f>
        <x:v>仄</x:v>
      </x:c>
      <x:c r="K1462" s="6" t="str">
        <x:f>IF(D1462="","",IF(AND(ISNUMBER(SEARCH("平",D1462)),OR(ISNUMBER(SEARCH("上",D1462)),ISNUMBER(SEARCH("去",D1462)),ISNUMBER(SEARCH("入",D1462)))),"Ambiguous",IF(ISNUMBER(SEARCH("平",D1462)),"平","仄")))</x:f>
        <x:v>仄</x:v>
      </x:c>
      <x:c r="L1462" s="7" t="str"/>
    </x:row>
    <x:row r="1463">
      <x:c r="A1463" s="5" t="str">
        <x:v>扁</x:v>
      </x:c>
      <x:c r="B1463" s="6" t="str">
        <x:v>上</x:v>
      </x:c>
      <x:c r="C1463" s="6" t="str">
        <x:f>IF(B1463="","Needs decision","Ready")</x:f>
        <x:v>Ready</x:v>
      </x:c>
      <x:c r="D1463" s="6" t="str">
        <x:v>上</x:v>
      </x:c>
      <x:c r="E1463" s="6" t="str">
        <x:v>penX (B)</x:v>
      </x:c>
      <x:c r="F1463" s="6" t="str">
        <x:v>下平聲一先; 上聲十六銑</x:v>
      </x:c>
      <x:c r="G1463" s="6" t="str">
        <x:v>Pingshui main list, Wikisource-derived DOCX</x:v>
      </x:c>
      <x:c r="H1463" s="6" t="str">
        <x:v>1</x:v>
      </x:c>
      <x:c r="I1463" s="6" t="str"/>
      <x:c r="J1463" s="6" t="str">
        <x:f>IF(B1463="","",IF(AND(ISNUMBER(SEARCH("平",B1463)),OR(ISNUMBER(SEARCH("上",B1463)),ISNUMBER(SEARCH("去",B1463)),ISNUMBER(SEARCH("入",B1463)))),"Ambiguous",IF(ISNUMBER(SEARCH("平",B1463)),"平","仄")))</x:f>
        <x:v>仄</x:v>
      </x:c>
      <x:c r="K1463" s="6" t="str">
        <x:f>IF(D1463="","",IF(AND(ISNUMBER(SEARCH("平",D1463)),OR(ISNUMBER(SEARCH("上",D1463)),ISNUMBER(SEARCH("去",D1463)),ISNUMBER(SEARCH("入",D1463)))),"Ambiguous",IF(ISNUMBER(SEARCH("平",D1463)),"平","仄")))</x:f>
        <x:v>仄</x:v>
      </x:c>
      <x:c r="L1463" s="7" t="str"/>
    </x:row>
    <x:row r="1464">
      <x:c r="A1464" s="5" t="str">
        <x:v>扃</x:v>
      </x:c>
      <x:c r="B1464" s="6" t="str">
        <x:v>平</x:v>
      </x:c>
      <x:c r="C1464" s="6" t="str">
        <x:f>IF(B1464="","Needs decision","Ready")</x:f>
        <x:v>Ready</x:v>
      </x:c>
      <x:c r="D1464" s="6" t="str">
        <x:v>平</x:v>
      </x:c>
      <x:c r="E1464" s="6" t="str">
        <x:v>kweng (A)</x:v>
      </x:c>
      <x:c r="F1464" s="6" t="str">
        <x:v>下平聲九青</x:v>
      </x:c>
      <x:c r="G1464" s="6" t="str">
        <x:v>Pingshui main list, Wikisource-derived DOCX</x:v>
      </x:c>
      <x:c r="H1464" s="6" t="str">
        <x:v>1</x:v>
      </x:c>
      <x:c r="I1464" s="6" t="str"/>
      <x:c r="J1464" s="6" t="str">
        <x:f>IF(B1464="","",IF(AND(ISNUMBER(SEARCH("平",B1464)),OR(ISNUMBER(SEARCH("上",B1464)),ISNUMBER(SEARCH("去",B1464)),ISNUMBER(SEARCH("入",B1464)))),"Ambiguous",IF(ISNUMBER(SEARCH("平",B1464)),"平","仄")))</x:f>
        <x:v>平</x:v>
      </x:c>
      <x:c r="K1464" s="6" t="str">
        <x:f>IF(D1464="","",IF(AND(ISNUMBER(SEARCH("平",D1464)),OR(ISNUMBER(SEARCH("上",D1464)),ISNUMBER(SEARCH("去",D1464)),ISNUMBER(SEARCH("入",D1464)))),"Ambiguous",IF(ISNUMBER(SEARCH("平",D1464)),"平","仄")))</x:f>
        <x:v>平</x:v>
      </x:c>
      <x:c r="L1464" s="7" t="str"/>
    </x:row>
    <x:row r="1465">
      <x:c r="A1465" s="5" t="str">
        <x:v>扇</x:v>
      </x:c>
      <x:c r="B1465" s="6" t="str">
        <x:v>去</x:v>
      </x:c>
      <x:c r="C1465" s="6" t="str">
        <x:f>IF(B1465="","Needs decision","Ready")</x:f>
        <x:v>Ready</x:v>
      </x:c>
      <x:c r="D1465" s="6" t="str">
        <x:v>去</x:v>
      </x:c>
      <x:c r="E1465" s="6" t="str">
        <x:v>syenH (C)</x:v>
      </x:c>
      <x:c r="F1465" s="6" t="str">
        <x:v>下平聲一先; 去聲十七霰</x:v>
      </x:c>
      <x:c r="G1465" s="6" t="str">
        <x:v>Pingshui main list, Wikisource-derived DOCX</x:v>
      </x:c>
      <x:c r="H1465" s="6" t="str">
        <x:v>1</x:v>
      </x:c>
      <x:c r="I1465" s="6" t="str"/>
      <x:c r="J1465" s="6" t="str">
        <x:f>IF(B1465="","",IF(AND(ISNUMBER(SEARCH("平",B1465)),OR(ISNUMBER(SEARCH("上",B1465)),ISNUMBER(SEARCH("去",B1465)),ISNUMBER(SEARCH("入",B1465)))),"Ambiguous",IF(ISNUMBER(SEARCH("平",B1465)),"平","仄")))</x:f>
        <x:v>仄</x:v>
      </x:c>
      <x:c r="K1465" s="6" t="str">
        <x:f>IF(D1465="","",IF(AND(ISNUMBER(SEARCH("平",D1465)),OR(ISNUMBER(SEARCH("上",D1465)),ISNUMBER(SEARCH("去",D1465)),ISNUMBER(SEARCH("入",D1465)))),"Ambiguous",IF(ISNUMBER(SEARCH("平",D1465)),"平","仄")))</x:f>
        <x:v>仄</x:v>
      </x:c>
      <x:c r="L1465" s="7" t="str"/>
    </x:row>
    <x:row r="1466">
      <x:c r="A1466" s="5" t="str">
        <x:v>扈</x:v>
      </x:c>
      <x:c r="B1466" s="6" t="str">
        <x:v>上</x:v>
      </x:c>
      <x:c r="C1466" s="6" t="str">
        <x:f>IF(B1466="","Needs decision","Ready")</x:f>
        <x:v>Ready</x:v>
      </x:c>
      <x:c r="D1466" s="6" t="str">
        <x:v>上</x:v>
      </x:c>
      <x:c r="E1466" s="6" t="str">
        <x:v>huX (B)</x:v>
      </x:c>
      <x:c r="F1466" s="6" t="str">
        <x:v>上聲七麌</x:v>
      </x:c>
      <x:c r="G1466" s="6" t="str">
        <x:v>Pingshui main list, Wikisource-derived DOCX</x:v>
      </x:c>
      <x:c r="H1466" s="6" t="str">
        <x:v>1</x:v>
      </x:c>
      <x:c r="I1466" s="6" t="str"/>
      <x:c r="J1466" s="6" t="str">
        <x:f>IF(B1466="","",IF(AND(ISNUMBER(SEARCH("平",B1466)),OR(ISNUMBER(SEARCH("上",B1466)),ISNUMBER(SEARCH("去",B1466)),ISNUMBER(SEARCH("入",B1466)))),"Ambiguous",IF(ISNUMBER(SEARCH("平",B1466)),"平","仄")))</x:f>
        <x:v>仄</x:v>
      </x:c>
      <x:c r="K1466" s="6" t="str">
        <x:f>IF(D1466="","",IF(AND(ISNUMBER(SEARCH("平",D1466)),OR(ISNUMBER(SEARCH("上",D1466)),ISNUMBER(SEARCH("去",D1466)),ISNUMBER(SEARCH("入",D1466)))),"Ambiguous",IF(ISNUMBER(SEARCH("平",D1466)),"平","仄")))</x:f>
        <x:v>仄</x:v>
      </x:c>
      <x:c r="L1466" s="7" t="str"/>
    </x:row>
    <x:row r="1467">
      <x:c r="A1467" s="5" t="str">
        <x:v>扉</x:v>
      </x:c>
      <x:c r="B1467" s="6" t="str">
        <x:v>平</x:v>
      </x:c>
      <x:c r="C1467" s="6" t="str">
        <x:f>IF(B1467="","Needs decision","Ready")</x:f>
        <x:v>Ready</x:v>
      </x:c>
      <x:c r="D1467" s="6" t="str">
        <x:v>平</x:v>
      </x:c>
      <x:c r="E1467" s="6" t="str">
        <x:v>pj+j (A)</x:v>
      </x:c>
      <x:c r="F1467" s="6" t="str">
        <x:v>上平聲五微</x:v>
      </x:c>
      <x:c r="G1467" s="6" t="str">
        <x:v>Pingshui main list, Wikisource-derived DOCX</x:v>
      </x:c>
      <x:c r="H1467" s="6" t="str">
        <x:v>1</x:v>
      </x:c>
      <x:c r="I1467" s="6" t="str"/>
      <x:c r="J1467" s="6" t="str">
        <x:f>IF(B1467="","",IF(AND(ISNUMBER(SEARCH("平",B1467)),OR(ISNUMBER(SEARCH("上",B1467)),ISNUMBER(SEARCH("去",B1467)),ISNUMBER(SEARCH("入",B1467)))),"Ambiguous",IF(ISNUMBER(SEARCH("平",B1467)),"平","仄")))</x:f>
        <x:v>平</x:v>
      </x:c>
      <x:c r="K1467" s="6" t="str">
        <x:f>IF(D1467="","",IF(AND(ISNUMBER(SEARCH("平",D1467)),OR(ISNUMBER(SEARCH("上",D1467)),ISNUMBER(SEARCH("去",D1467)),ISNUMBER(SEARCH("入",D1467)))),"Ambiguous",IF(ISNUMBER(SEARCH("平",D1467)),"平","仄")))</x:f>
        <x:v>平</x:v>
      </x:c>
      <x:c r="L1467" s="7" t="str"/>
    </x:row>
    <x:row r="1468">
      <x:c r="A1468" s="5" t="str">
        <x:v>手</x:v>
      </x:c>
      <x:c r="B1468" s="6" t="str">
        <x:v>上</x:v>
      </x:c>
      <x:c r="C1468" s="6" t="str">
        <x:f>IF(B1468="","Needs decision","Ready")</x:f>
        <x:v>Ready</x:v>
      </x:c>
      <x:c r="D1468" s="6" t="str">
        <x:v>上</x:v>
      </x:c>
      <x:c r="E1468" s="6" t="str">
        <x:v>syuwX (B)</x:v>
      </x:c>
      <x:c r="F1468" s="6" t="str">
        <x:v>上聲二十五有</x:v>
      </x:c>
      <x:c r="G1468" s="6" t="str">
        <x:v>Pingshui main list, Wikisource-derived DOCX</x:v>
      </x:c>
      <x:c r="H1468" s="6" t="str">
        <x:v>1</x:v>
      </x:c>
      <x:c r="I1468" s="6" t="str"/>
      <x:c r="J1468" s="6" t="str">
        <x:f>IF(B1468="","",IF(AND(ISNUMBER(SEARCH("平",B1468)),OR(ISNUMBER(SEARCH("上",B1468)),ISNUMBER(SEARCH("去",B1468)),ISNUMBER(SEARCH("入",B1468)))),"Ambiguous",IF(ISNUMBER(SEARCH("平",B1468)),"平","仄")))</x:f>
        <x:v>仄</x:v>
      </x:c>
      <x:c r="K1468" s="6" t="str">
        <x:f>IF(D1468="","",IF(AND(ISNUMBER(SEARCH("平",D1468)),OR(ISNUMBER(SEARCH("上",D1468)),ISNUMBER(SEARCH("去",D1468)),ISNUMBER(SEARCH("入",D1468)))),"Ambiguous",IF(ISNUMBER(SEARCH("平",D1468)),"平","仄")))</x:f>
        <x:v>仄</x:v>
      </x:c>
      <x:c r="L1468" s="7" t="str"/>
    </x:row>
    <x:row r="1469">
      <x:c r="A1469" s="5" t="str">
        <x:v>才</x:v>
      </x:c>
      <x:c r="B1469" s="6" t="str">
        <x:v>平</x:v>
      </x:c>
      <x:c r="C1469" s="6" t="str">
        <x:f>IF(B1469="","Needs decision","Ready")</x:f>
        <x:v>Ready</x:v>
      </x:c>
      <x:c r="D1469" s="6" t="str">
        <x:v>平</x:v>
      </x:c>
      <x:c r="E1469" s="6" t="str">
        <x:v>dzoj (A)</x:v>
      </x:c>
      <x:c r="F1469" s="6" t="str">
        <x:v>上平聲十灰</x:v>
      </x:c>
      <x:c r="G1469" s="6" t="str">
        <x:v>Pingshui main list, Wikisource-derived DOCX</x:v>
      </x:c>
      <x:c r="H1469" s="6" t="str">
        <x:v>1</x:v>
      </x:c>
      <x:c r="I1469" s="6" t="str"/>
      <x:c r="J1469" s="6" t="str">
        <x:f>IF(B1469="","",IF(AND(ISNUMBER(SEARCH("平",B1469)),OR(ISNUMBER(SEARCH("上",B1469)),ISNUMBER(SEARCH("去",B1469)),ISNUMBER(SEARCH("入",B1469)))),"Ambiguous",IF(ISNUMBER(SEARCH("平",B1469)),"平","仄")))</x:f>
        <x:v>平</x:v>
      </x:c>
      <x:c r="K1469" s="6" t="str">
        <x:f>IF(D1469="","",IF(AND(ISNUMBER(SEARCH("平",D1469)),OR(ISNUMBER(SEARCH("上",D1469)),ISNUMBER(SEARCH("去",D1469)),ISNUMBER(SEARCH("入",D1469)))),"Ambiguous",IF(ISNUMBER(SEARCH("平",D1469)),"平","仄")))</x:f>
        <x:v>平</x:v>
      </x:c>
      <x:c r="L1469" s="7" t="str"/>
    </x:row>
    <x:row r="1470">
      <x:c r="A1470" s="5" t="str">
        <x:v>打</x:v>
      </x:c>
      <x:c r="B1470" s="6" t="str">
        <x:v>上</x:v>
      </x:c>
      <x:c r="C1470" s="6" t="str">
        <x:f>IF(B1470="","Needs decision","Ready")</x:f>
        <x:v>Ready</x:v>
      </x:c>
      <x:c r="D1470" s="6" t="str">
        <x:v>上</x:v>
      </x:c>
      <x:c r="E1470" s="6" t="str">
        <x:v>taengX [t̙aˤŋʔ] (上); tengX [t̙eŋʔ] (上)</x:v>
      </x:c>
      <x:c r="F1470" s="6" t="str">
        <x:v>上聲二十三梗</x:v>
      </x:c>
      <x:c r="G1470" s="6" t="str">
        <x:v>Pingshui main list, Wikisource-derived DOCX</x:v>
      </x:c>
      <x:c r="H1470" s="6" t="str">
        <x:v>2</x:v>
      </x:c>
      <x:c r="I1470" s="6" t="str">
        <x:v>Tang 300 gap; frequency 1; provisional from Xun Gong</x:v>
      </x:c>
      <x:c r="J1470" s="6" t="str">
        <x:f>IF(B1470="","",IF(AND(ISNUMBER(SEARCH("平",B1470)),OR(ISNUMBER(SEARCH("上",B1470)),ISNUMBER(SEARCH("去",B1470)),ISNUMBER(SEARCH("入",B1470)))),"Ambiguous",IF(ISNUMBER(SEARCH("平",B1470)),"平","仄")))</x:f>
        <x:v>仄</x:v>
      </x:c>
      <x:c r="K1470" s="6" t="str">
        <x:f>IF(D1470="","",IF(AND(ISNUMBER(SEARCH("平",D1470)),OR(ISNUMBER(SEARCH("上",D1470)),ISNUMBER(SEARCH("去",D1470)),ISNUMBER(SEARCH("入",D1470)))),"Ambiguous",IF(ISNUMBER(SEARCH("平",D1470)),"平","仄")))</x:f>
        <x:v>仄</x:v>
      </x:c>
      <x:c r="L1470" s="7" t="str">
        <x:v>Xun Gong, Tang 300 gap fill</x:v>
      </x:c>
    </x:row>
    <x:row r="1471">
      <x:c r="A1471" s="5" t="str">
        <x:v>扞</x:v>
      </x:c>
      <x:c r="B1471" s="6" t="str">
        <x:v>去</x:v>
      </x:c>
      <x:c r="C1471" s="6" t="str">
        <x:f>IF(B1471="","Needs decision","Ready")</x:f>
        <x:v>Ready</x:v>
      </x:c>
      <x:c r="D1471" s="6" t="str">
        <x:v>去</x:v>
      </x:c>
      <x:c r="E1471" s="6" t="str">
        <x:v>hanH (C)</x:v>
      </x:c>
      <x:c r="F1471" s="6" t="str">
        <x:v>去聲十五翰</x:v>
      </x:c>
      <x:c r="G1471" s="6" t="str">
        <x:v>Pingshui main list, Wikisource-derived DOCX</x:v>
      </x:c>
      <x:c r="H1471" s="6" t="str">
        <x:v>1</x:v>
      </x:c>
      <x:c r="I1471" s="6" t="str"/>
      <x:c r="J1471" s="6" t="str">
        <x:f>IF(B1471="","",IF(AND(ISNUMBER(SEARCH("平",B1471)),OR(ISNUMBER(SEARCH("上",B1471)),ISNUMBER(SEARCH("去",B1471)),ISNUMBER(SEARCH("入",B1471)))),"Ambiguous",IF(ISNUMBER(SEARCH("平",B1471)),"平","仄")))</x:f>
        <x:v>仄</x:v>
      </x:c>
      <x:c r="K1471" s="6" t="str">
        <x:f>IF(D1471="","",IF(AND(ISNUMBER(SEARCH("平",D1471)),OR(ISNUMBER(SEARCH("上",D1471)),ISNUMBER(SEARCH("去",D1471)),ISNUMBER(SEARCH("入",D1471)))),"Ambiguous",IF(ISNUMBER(SEARCH("平",D1471)),"平","仄")))</x:f>
        <x:v>仄</x:v>
      </x:c>
      <x:c r="L1471" s="7" t="str"/>
    </x:row>
    <x:row r="1472">
      <x:c r="A1472" s="5" t="str">
        <x:v>扱</x:v>
      </x:c>
      <x:c r="B1472" s="6" t="str">
        <x:v>入</x:v>
      </x:c>
      <x:c r="C1472" s="6" t="str">
        <x:f>IF(B1472="","Needs decision","Ready")</x:f>
        <x:v>Ready</x:v>
      </x:c>
      <x:c r="D1472" s="6" t="str">
        <x:v>入</x:v>
      </x:c>
      <x:c r="E1472" s="6" t="str">
        <x:v>tsrheap (D)</x:v>
      </x:c>
      <x:c r="F1472" s="6" t="str">
        <x:v>入聲十七洽</x:v>
      </x:c>
      <x:c r="G1472" s="6" t="str">
        <x:v>Pingshui main list, Wikisource-derived DOCX</x:v>
      </x:c>
      <x:c r="H1472" s="6" t="str">
        <x:v>1</x:v>
      </x:c>
      <x:c r="I1472" s="6" t="str"/>
      <x:c r="J1472" s="6" t="str">
        <x:f>IF(B1472="","",IF(AND(ISNUMBER(SEARCH("平",B1472)),OR(ISNUMBER(SEARCH("上",B1472)),ISNUMBER(SEARCH("去",B1472)),ISNUMBER(SEARCH("入",B1472)))),"Ambiguous",IF(ISNUMBER(SEARCH("平",B1472)),"平","仄")))</x:f>
        <x:v>仄</x:v>
      </x:c>
      <x:c r="K1472" s="6" t="str">
        <x:f>IF(D1472="","",IF(AND(ISNUMBER(SEARCH("平",D1472)),OR(ISNUMBER(SEARCH("上",D1472)),ISNUMBER(SEARCH("去",D1472)),ISNUMBER(SEARCH("入",D1472)))),"Ambiguous",IF(ISNUMBER(SEARCH("平",D1472)),"平","仄")))</x:f>
        <x:v>仄</x:v>
      </x:c>
      <x:c r="L1472" s="7" t="str"/>
    </x:row>
    <x:row r="1473">
      <x:c r="A1473" s="5" t="str">
        <x:v>扳</x:v>
      </x:c>
      <x:c r="B1473" s="6" t="str">
        <x:v>平</x:v>
      </x:c>
      <x:c r="C1473" s="6" t="str">
        <x:f>IF(B1473="","Needs decision","Ready")</x:f>
        <x:v>Ready</x:v>
      </x:c>
      <x:c r="D1473" s="6" t="str">
        <x:v>平</x:v>
      </x:c>
      <x:c r="E1473" s="6" t="str">
        <x:v>paen (A)</x:v>
      </x:c>
      <x:c r="F1473" s="6" t="str">
        <x:v>上平聲十五刪</x:v>
      </x:c>
      <x:c r="G1473" s="6" t="str">
        <x:v>Pingshui main list, Wikisource-derived DOCX</x:v>
      </x:c>
      <x:c r="H1473" s="6" t="str">
        <x:v>1</x:v>
      </x:c>
      <x:c r="I1473" s="6" t="str"/>
      <x:c r="J1473" s="6" t="str">
        <x:f>IF(B1473="","",IF(AND(ISNUMBER(SEARCH("平",B1473)),OR(ISNUMBER(SEARCH("上",B1473)),ISNUMBER(SEARCH("去",B1473)),ISNUMBER(SEARCH("入",B1473)))),"Ambiguous",IF(ISNUMBER(SEARCH("平",B1473)),"平","仄")))</x:f>
        <x:v>平</x:v>
      </x:c>
      <x:c r="K1473" s="6" t="str">
        <x:f>IF(D1473="","",IF(AND(ISNUMBER(SEARCH("平",D1473)),OR(ISNUMBER(SEARCH("上",D1473)),ISNUMBER(SEARCH("去",D1473)),ISNUMBER(SEARCH("入",D1473)))),"Ambiguous",IF(ISNUMBER(SEARCH("平",D1473)),"平","仄")))</x:f>
        <x:v>平</x:v>
      </x:c>
      <x:c r="L1473" s="7" t="str"/>
    </x:row>
    <x:row r="1474">
      <x:c r="A1474" s="5" t="str">
        <x:v>扶</x:v>
      </x:c>
      <x:c r="B1474" s="6" t="str">
        <x:v>平</x:v>
      </x:c>
      <x:c r="C1474" s="6" t="str">
        <x:f>IF(B1474="","Needs decision","Ready")</x:f>
        <x:v>Ready</x:v>
      </x:c>
      <x:c r="D1474" s="6" t="str">
        <x:v>平</x:v>
      </x:c>
      <x:c r="E1474" s="6" t="str">
        <x:v>bju (A)</x:v>
      </x:c>
      <x:c r="F1474" s="6" t="str">
        <x:v>上平聲七虞</x:v>
      </x:c>
      <x:c r="G1474" s="6" t="str">
        <x:v>Pingshui main list, Wikisource-derived DOCX</x:v>
      </x:c>
      <x:c r="H1474" s="6" t="str">
        <x:v>1</x:v>
      </x:c>
      <x:c r="I1474" s="6" t="str"/>
      <x:c r="J1474" s="6" t="str">
        <x:f>IF(B1474="","",IF(AND(ISNUMBER(SEARCH("平",B1474)),OR(ISNUMBER(SEARCH("上",B1474)),ISNUMBER(SEARCH("去",B1474)),ISNUMBER(SEARCH("入",B1474)))),"Ambiguous",IF(ISNUMBER(SEARCH("平",B1474)),"平","仄")))</x:f>
        <x:v>平</x:v>
      </x:c>
      <x:c r="K1474" s="6" t="str">
        <x:f>IF(D1474="","",IF(AND(ISNUMBER(SEARCH("平",D1474)),OR(ISNUMBER(SEARCH("上",D1474)),ISNUMBER(SEARCH("去",D1474)),ISNUMBER(SEARCH("入",D1474)))),"Ambiguous",IF(ISNUMBER(SEARCH("平",D1474)),"平","仄")))</x:f>
        <x:v>平</x:v>
      </x:c>
      <x:c r="L1474" s="7" t="str"/>
    </x:row>
    <x:row r="1475">
      <x:c r="A1475" s="5" t="str">
        <x:v>承</x:v>
      </x:c>
      <x:c r="B1475" s="6" t="str">
        <x:v>平</x:v>
      </x:c>
      <x:c r="C1475" s="6" t="str">
        <x:f>IF(B1475="","Needs decision","Ready")</x:f>
        <x:v>Ready</x:v>
      </x:c>
      <x:c r="D1475" s="6" t="str">
        <x:v>平</x:v>
      </x:c>
      <x:c r="E1475" s="6" t="str">
        <x:v>dzying (A)</x:v>
      </x:c>
      <x:c r="F1475" s="6" t="str">
        <x:v>下平聲十蒸</x:v>
      </x:c>
      <x:c r="G1475" s="6" t="str">
        <x:v>Pingshui main list, Wikisource-derived DOCX</x:v>
      </x:c>
      <x:c r="H1475" s="6" t="str">
        <x:v>1</x:v>
      </x:c>
      <x:c r="I1475" s="6" t="str"/>
      <x:c r="J1475" s="6" t="str">
        <x:f>IF(B1475="","",IF(AND(ISNUMBER(SEARCH("平",B1475)),OR(ISNUMBER(SEARCH("上",B1475)),ISNUMBER(SEARCH("去",B1475)),ISNUMBER(SEARCH("入",B1475)))),"Ambiguous",IF(ISNUMBER(SEARCH("平",B1475)),"平","仄")))</x:f>
        <x:v>平</x:v>
      </x:c>
      <x:c r="K1475" s="6" t="str">
        <x:f>IF(D1475="","",IF(AND(ISNUMBER(SEARCH("平",D1475)),OR(ISNUMBER(SEARCH("上",D1475)),ISNUMBER(SEARCH("去",D1475)),ISNUMBER(SEARCH("入",D1475)))),"Ambiguous",IF(ISNUMBER(SEARCH("平",D1475)),"平","仄")))</x:f>
        <x:v>平</x:v>
      </x:c>
      <x:c r="L1475" s="7" t="str"/>
    </x:row>
    <x:row r="1476">
      <x:c r="A1476" s="5" t="str">
        <x:v>技</x:v>
      </x:c>
      <x:c r="B1476" s="6" t="str">
        <x:v>上</x:v>
      </x:c>
      <x:c r="C1476" s="6" t="str">
        <x:f>IF(B1476="","Needs decision","Ready")</x:f>
        <x:v>Ready</x:v>
      </x:c>
      <x:c r="D1476" s="6" t="str">
        <x:v>上</x:v>
      </x:c>
      <x:c r="E1476" s="6" t="str">
        <x:v>gjeX (B)</x:v>
      </x:c>
      <x:c r="F1476" s="6" t="str">
        <x:v>上聲四紙</x:v>
      </x:c>
      <x:c r="G1476" s="6" t="str">
        <x:v>Pingshui main list, Wikisource-derived DOCX</x:v>
      </x:c>
      <x:c r="H1476" s="6" t="str">
        <x:v>1</x:v>
      </x:c>
      <x:c r="I1476" s="6" t="str"/>
      <x:c r="J1476" s="6" t="str">
        <x:f>IF(B1476="","",IF(AND(ISNUMBER(SEARCH("平",B1476)),OR(ISNUMBER(SEARCH("上",B1476)),ISNUMBER(SEARCH("去",B1476)),ISNUMBER(SEARCH("入",B1476)))),"Ambiguous",IF(ISNUMBER(SEARCH("平",B1476)),"平","仄")))</x:f>
        <x:v>仄</x:v>
      </x:c>
      <x:c r="K1476" s="6" t="str">
        <x:f>IF(D1476="","",IF(AND(ISNUMBER(SEARCH("平",D1476)),OR(ISNUMBER(SEARCH("上",D1476)),ISNUMBER(SEARCH("去",D1476)),ISNUMBER(SEARCH("入",D1476)))),"Ambiguous",IF(ISNUMBER(SEARCH("平",D1476)),"平","仄")))</x:f>
        <x:v>仄</x:v>
      </x:c>
      <x:c r="L1476" s="7" t="str"/>
    </x:row>
    <x:row r="1477">
      <x:c r="A1477" s="5" t="str">
        <x:v>把</x:v>
      </x:c>
      <x:c r="B1477" s="6" t="str">
        <x:v>上</x:v>
      </x:c>
      <x:c r="C1477" s="6" t="str">
        <x:f>IF(B1477="","Needs decision","Ready")</x:f>
        <x:v>Ready</x:v>
      </x:c>
      <x:c r="D1477" s="6" t="str">
        <x:v>上</x:v>
      </x:c>
      <x:c r="E1477" s="6" t="str">
        <x:v>paeX (B)</x:v>
      </x:c>
      <x:c r="F1477" s="6" t="str">
        <x:v>上聲二十一馬</x:v>
      </x:c>
      <x:c r="G1477" s="6" t="str">
        <x:v>Pingshui main list, Wikisource-derived DOCX</x:v>
      </x:c>
      <x:c r="H1477" s="6" t="str">
        <x:v>1</x:v>
      </x:c>
      <x:c r="I1477" s="6" t="str"/>
      <x:c r="J1477" s="6" t="str">
        <x:f>IF(B1477="","",IF(AND(ISNUMBER(SEARCH("平",B1477)),OR(ISNUMBER(SEARCH("上",B1477)),ISNUMBER(SEARCH("去",B1477)),ISNUMBER(SEARCH("入",B1477)))),"Ambiguous",IF(ISNUMBER(SEARCH("平",B1477)),"平","仄")))</x:f>
        <x:v>仄</x:v>
      </x:c>
      <x:c r="K1477" s="6" t="str">
        <x:f>IF(D1477="","",IF(AND(ISNUMBER(SEARCH("平",D1477)),OR(ISNUMBER(SEARCH("上",D1477)),ISNUMBER(SEARCH("去",D1477)),ISNUMBER(SEARCH("入",D1477)))),"Ambiguous",IF(ISNUMBER(SEARCH("平",D1477)),"平","仄")))</x:f>
        <x:v>仄</x:v>
      </x:c>
      <x:c r="L1477" s="7" t="str"/>
    </x:row>
    <x:row r="1478">
      <x:c r="A1478" s="5" t="str">
        <x:v>抍</x:v>
      </x:c>
      <x:c r="B1478" s="6" t="str">
        <x:v>上</x:v>
      </x:c>
      <x:c r="C1478" s="6" t="str">
        <x:f>IF(B1478="","Needs decision","Ready")</x:f>
        <x:v>Ready</x:v>
      </x:c>
      <x:c r="D1478" s="6" t="str">
        <x:v>上</x:v>
      </x:c>
      <x:c r="E1478" s="6" t="str">
        <x:v>tsyingX (B)</x:v>
      </x:c>
      <x:c r="F1478" s="6" t="str"/>
      <x:c r="G1478" s="6" t="str"/>
      <x:c r="H1478" s="6" t="str">
        <x:v>1</x:v>
      </x:c>
      <x:c r="I1478" s="6" t="str"/>
      <x:c r="J1478" s="6" t="str">
        <x:f>IF(B1478="","",IF(AND(ISNUMBER(SEARCH("平",B1478)),OR(ISNUMBER(SEARCH("上",B1478)),ISNUMBER(SEARCH("去",B1478)),ISNUMBER(SEARCH("入",B1478)))),"Ambiguous",IF(ISNUMBER(SEARCH("平",B1478)),"平","仄")))</x:f>
        <x:v>仄</x:v>
      </x:c>
      <x:c r="K1478" s="6" t="str">
        <x:f>IF(D1478="","",IF(AND(ISNUMBER(SEARCH("平",D1478)),OR(ISNUMBER(SEARCH("上",D1478)),ISNUMBER(SEARCH("去",D1478)),ISNUMBER(SEARCH("入",D1478)))),"Ambiguous",IF(ISNUMBER(SEARCH("平",D1478)),"平","仄")))</x:f>
        <x:v>仄</x:v>
      </x:c>
      <x:c r="L1478" s="7" t="str"/>
    </x:row>
    <x:row r="1479">
      <x:c r="A1479" s="5" t="str">
        <x:v>抑</x:v>
      </x:c>
      <x:c r="B1479" s="6" t="str">
        <x:v>入</x:v>
      </x:c>
      <x:c r="C1479" s="6" t="str">
        <x:f>IF(B1479="","Needs decision","Ready")</x:f>
        <x:v>Ready</x:v>
      </x:c>
      <x:c r="D1479" s="6" t="str">
        <x:v>入</x:v>
      </x:c>
      <x:c r="E1479" s="6" t="str">
        <x:v>'ik (D)</x:v>
      </x:c>
      <x:c r="F1479" s="6" t="str">
        <x:v>入聲十三職</x:v>
      </x:c>
      <x:c r="G1479" s="6" t="str">
        <x:v>Pingshui main list, Wikisource-derived DOCX</x:v>
      </x:c>
      <x:c r="H1479" s="6" t="str">
        <x:v>1</x:v>
      </x:c>
      <x:c r="I1479" s="6" t="str"/>
      <x:c r="J1479" s="6" t="str">
        <x:f>IF(B1479="","",IF(AND(ISNUMBER(SEARCH("平",B1479)),OR(ISNUMBER(SEARCH("上",B1479)),ISNUMBER(SEARCH("去",B1479)),ISNUMBER(SEARCH("入",B1479)))),"Ambiguous",IF(ISNUMBER(SEARCH("平",B1479)),"平","仄")))</x:f>
        <x:v>仄</x:v>
      </x:c>
      <x:c r="K1479" s="6" t="str">
        <x:f>IF(D1479="","",IF(AND(ISNUMBER(SEARCH("平",D1479)),OR(ISNUMBER(SEARCH("上",D1479)),ISNUMBER(SEARCH("去",D1479)),ISNUMBER(SEARCH("入",D1479)))),"Ambiguous",IF(ISNUMBER(SEARCH("平",D1479)),"平","仄")))</x:f>
        <x:v>仄</x:v>
      </x:c>
      <x:c r="L1479" s="7" t="str"/>
    </x:row>
    <x:row r="1480">
      <x:c r="A1480" s="5" t="str">
        <x:v>抒</x:v>
      </x:c>
      <x:c r="B1480" s="6" t="str">
        <x:v>上</x:v>
      </x:c>
      <x:c r="C1480" s="6" t="str">
        <x:f>IF(B1480="","Needs decision","Ready")</x:f>
        <x:v>Ready</x:v>
      </x:c>
      <x:c r="D1480" s="6" t="str">
        <x:v>上</x:v>
      </x:c>
      <x:c r="E1480" s="6" t="str">
        <x:v>zyoX (B)</x:v>
      </x:c>
      <x:c r="F1480" s="6" t="str"/>
      <x:c r="G1480" s="6" t="str"/>
      <x:c r="H1480" s="6" t="str">
        <x:v>1</x:v>
      </x:c>
      <x:c r="I1480" s="6" t="str"/>
      <x:c r="J1480" s="6" t="str">
        <x:f>IF(B1480="","",IF(AND(ISNUMBER(SEARCH("平",B1480)),OR(ISNUMBER(SEARCH("上",B1480)),ISNUMBER(SEARCH("去",B1480)),ISNUMBER(SEARCH("入",B1480)))),"Ambiguous",IF(ISNUMBER(SEARCH("平",B1480)),"平","仄")))</x:f>
        <x:v>仄</x:v>
      </x:c>
      <x:c r="K1480" s="6" t="str">
        <x:f>IF(D1480="","",IF(AND(ISNUMBER(SEARCH("平",D1480)),OR(ISNUMBER(SEARCH("上",D1480)),ISNUMBER(SEARCH("去",D1480)),ISNUMBER(SEARCH("入",D1480)))),"Ambiguous",IF(ISNUMBER(SEARCH("平",D1480)),"平","仄")))</x:f>
        <x:v>仄</x:v>
      </x:c>
      <x:c r="L1480" s="7" t="str"/>
    </x:row>
    <x:row r="1481">
      <x:c r="A1481" s="5" t="str">
        <x:v>抓</x:v>
      </x:c>
      <x:c r="B1481" s="6" t="str">
        <x:v>平</x:v>
      </x:c>
      <x:c r="C1481" s="6" t="str">
        <x:f>IF(B1481="","Needs decision","Ready")</x:f>
        <x:v>Ready</x:v>
      </x:c>
      <x:c r="D1481" s="6" t="str">
        <x:v>平/上</x:v>
      </x:c>
      <x:c r="E1481" s="6" t="str">
        <x:v>tsraew (A); tsraewX (B)</x:v>
      </x:c>
      <x:c r="F1481" s="6" t="str">
        <x:v>下平聲三肴</x:v>
      </x:c>
      <x:c r="G1481" s="6" t="str">
        <x:v>Pingshui main list, Wikisource-derived DOCX</x:v>
      </x:c>
      <x:c r="H1481" s="6" t="str">
        <x:v>2</x:v>
      </x:c>
      <x:c r="I1481" s="6" t="str"/>
      <x:c r="J1481" s="6" t="str">
        <x:f>IF(B1481="","",IF(AND(ISNUMBER(SEARCH("平",B1481)),OR(ISNUMBER(SEARCH("上",B1481)),ISNUMBER(SEARCH("去",B1481)),ISNUMBER(SEARCH("入",B1481)))),"Ambiguous",IF(ISNUMBER(SEARCH("平",B1481)),"平","仄")))</x:f>
        <x:v>平</x:v>
      </x:c>
      <x:c r="K1481" s="6" t="str">
        <x:f>IF(D1481="","",IF(AND(ISNUMBER(SEARCH("平",D1481)),OR(ISNUMBER(SEARCH("上",D1481)),ISNUMBER(SEARCH("去",D1481)),ISNUMBER(SEARCH("入",D1481)))),"Ambiguous",IF(ISNUMBER(SEARCH("平",D1481)),"平","仄")))</x:f>
        <x:v>Ambiguous</x:v>
      </x:c>
      <x:c r="L1481" s="7" t="str"/>
    </x:row>
    <x:row r="1482">
      <x:c r="A1482" s="5" t="str">
        <x:v>投</x:v>
      </x:c>
      <x:c r="B1482" s="6" t="str">
        <x:v>平</x:v>
      </x:c>
      <x:c r="C1482" s="6" t="str">
        <x:f>IF(B1482="","Needs decision","Ready")</x:f>
        <x:v>Ready</x:v>
      </x:c>
      <x:c r="D1482" s="6" t="str">
        <x:v>平</x:v>
      </x:c>
      <x:c r="E1482" s="6" t="str">
        <x:v>duw (A)</x:v>
      </x:c>
      <x:c r="F1482" s="6" t="str">
        <x:v>下平聲十一尤</x:v>
      </x:c>
      <x:c r="G1482" s="6" t="str">
        <x:v>Pingshui main list, Wikisource-derived DOCX</x:v>
      </x:c>
      <x:c r="H1482" s="6" t="str">
        <x:v>1</x:v>
      </x:c>
      <x:c r="I1482" s="6" t="str"/>
      <x:c r="J1482" s="6" t="str">
        <x:f>IF(B1482="","",IF(AND(ISNUMBER(SEARCH("平",B1482)),OR(ISNUMBER(SEARCH("上",B1482)),ISNUMBER(SEARCH("去",B1482)),ISNUMBER(SEARCH("入",B1482)))),"Ambiguous",IF(ISNUMBER(SEARCH("平",B1482)),"平","仄")))</x:f>
        <x:v>平</x:v>
      </x:c>
      <x:c r="K1482" s="6" t="str">
        <x:f>IF(D1482="","",IF(AND(ISNUMBER(SEARCH("平",D1482)),OR(ISNUMBER(SEARCH("上",D1482)),ISNUMBER(SEARCH("去",D1482)),ISNUMBER(SEARCH("入",D1482)))),"Ambiguous",IF(ISNUMBER(SEARCH("平",D1482)),"平","仄")))</x:f>
        <x:v>平</x:v>
      </x:c>
      <x:c r="L1482" s="7" t="str"/>
    </x:row>
    <x:row r="1483">
      <x:c r="A1483" s="5" t="str">
        <x:v>抗</x:v>
      </x:c>
      <x:c r="B1483" s="6" t="str">
        <x:v>去</x:v>
      </x:c>
      <x:c r="C1483" s="6" t="str">
        <x:f>IF(B1483="","Needs decision","Ready")</x:f>
        <x:v>Ready</x:v>
      </x:c>
      <x:c r="D1483" s="6" t="str">
        <x:v>去</x:v>
      </x:c>
      <x:c r="E1483" s="6" t="str">
        <x:v>khangH (C)</x:v>
      </x:c>
      <x:c r="F1483" s="6" t="str">
        <x:v>去聲二十三漾</x:v>
      </x:c>
      <x:c r="G1483" s="6" t="str">
        <x:v>Pingshui main list, Wikisource-derived DOCX</x:v>
      </x:c>
      <x:c r="H1483" s="6" t="str">
        <x:v>1</x:v>
      </x:c>
      <x:c r="I1483" s="6" t="str"/>
      <x:c r="J1483" s="6" t="str">
        <x:f>IF(B1483="","",IF(AND(ISNUMBER(SEARCH("平",B1483)),OR(ISNUMBER(SEARCH("上",B1483)),ISNUMBER(SEARCH("去",B1483)),ISNUMBER(SEARCH("入",B1483)))),"Ambiguous",IF(ISNUMBER(SEARCH("平",B1483)),"平","仄")))</x:f>
        <x:v>仄</x:v>
      </x:c>
      <x:c r="K1483" s="6" t="str">
        <x:f>IF(D1483="","",IF(AND(ISNUMBER(SEARCH("平",D1483)),OR(ISNUMBER(SEARCH("上",D1483)),ISNUMBER(SEARCH("去",D1483)),ISNUMBER(SEARCH("入",D1483)))),"Ambiguous",IF(ISNUMBER(SEARCH("平",D1483)),"平","仄")))</x:f>
        <x:v>仄</x:v>
      </x:c>
      <x:c r="L1483" s="7" t="str"/>
    </x:row>
    <x:row r="1484">
      <x:c r="A1484" s="5" t="str">
        <x:v>折</x:v>
      </x:c>
      <x:c r="B1484" s="6" t="str">
        <x:v>入</x:v>
      </x:c>
      <x:c r="C1484" s="6" t="str">
        <x:f>IF(B1484="","Needs decision","Ready")</x:f>
        <x:v>Ready</x:v>
      </x:c>
      <x:c r="D1484" s="6" t="str">
        <x:v>去/入</x:v>
      </x:c>
      <x:c r="E1484" s="6" t="str">
        <x:v>dejH (C); dzyet (D); tsyet (D)</x:v>
      </x:c>
      <x:c r="F1484" s="6" t="str">
        <x:v>上平聲八齊; 入聲九屑</x:v>
      </x:c>
      <x:c r="G1484" s="6" t="str">
        <x:v>Pingshui main list, Wikisource-derived DOCX</x:v>
      </x:c>
      <x:c r="H1484" s="6" t="str">
        <x:v>3</x:v>
      </x:c>
      <x:c r="I1484" s="6" t="str"/>
      <x:c r="J1484" s="6" t="str">
        <x:f>IF(B1484="","",IF(AND(ISNUMBER(SEARCH("平",B1484)),OR(ISNUMBER(SEARCH("上",B1484)),ISNUMBER(SEARCH("去",B1484)),ISNUMBER(SEARCH("入",B1484)))),"Ambiguous",IF(ISNUMBER(SEARCH("平",B1484)),"平","仄")))</x:f>
        <x:v>仄</x:v>
      </x:c>
      <x:c r="K1484" s="6" t="str">
        <x:f>IF(D1484="","",IF(AND(ISNUMBER(SEARCH("平",D1484)),OR(ISNUMBER(SEARCH("上",D1484)),ISNUMBER(SEARCH("去",D1484)),ISNUMBER(SEARCH("入",D1484)))),"Ambiguous",IF(ISNUMBER(SEARCH("平",D1484)),"平","仄")))</x:f>
        <x:v>仄</x:v>
      </x:c>
      <x:c r="L1484" s="7" t="str"/>
    </x:row>
    <x:row r="1485">
      <x:c r="A1485" s="5" t="str">
        <x:v>披</x:v>
      </x:c>
      <x:c r="B1485" s="6" t="str">
        <x:v>平</x:v>
      </x:c>
      <x:c r="C1485" s="6" t="str">
        <x:f>IF(B1485="","Needs decision","Ready")</x:f>
        <x:v>Ready</x:v>
      </x:c>
      <x:c r="D1485" s="6" t="str">
        <x:v>平</x:v>
      </x:c>
      <x:c r="E1485" s="6" t="str">
        <x:v>phje (A)</x:v>
      </x:c>
      <x:c r="F1485" s="6" t="str">
        <x:v>上平聲四支</x:v>
      </x:c>
      <x:c r="G1485" s="6" t="str">
        <x:v>Pingshui main list, Wikisource-derived DOCX</x:v>
      </x:c>
      <x:c r="H1485" s="6" t="str">
        <x:v>1</x:v>
      </x:c>
      <x:c r="I1485" s="6" t="str"/>
      <x:c r="J1485" s="6" t="str">
        <x:f>IF(B1485="","",IF(AND(ISNUMBER(SEARCH("平",B1485)),OR(ISNUMBER(SEARCH("上",B1485)),ISNUMBER(SEARCH("去",B1485)),ISNUMBER(SEARCH("入",B1485)))),"Ambiguous",IF(ISNUMBER(SEARCH("平",B1485)),"平","仄")))</x:f>
        <x:v>平</x:v>
      </x:c>
      <x:c r="K1485" s="6" t="str">
        <x:f>IF(D1485="","",IF(AND(ISNUMBER(SEARCH("平",D1485)),OR(ISNUMBER(SEARCH("上",D1485)),ISNUMBER(SEARCH("去",D1485)),ISNUMBER(SEARCH("入",D1485)))),"Ambiguous",IF(ISNUMBER(SEARCH("平",D1485)),"平","仄")))</x:f>
        <x:v>平</x:v>
      </x:c>
      <x:c r="L1485" s="7" t="str"/>
    </x:row>
    <x:row r="1486">
      <x:c r="A1486" s="5" t="str">
        <x:v>抱</x:v>
      </x:c>
      <x:c r="B1486" s="6" t="str">
        <x:v>上</x:v>
      </x:c>
      <x:c r="C1486" s="6" t="str">
        <x:f>IF(B1486="","Needs decision","Ready")</x:f>
        <x:v>Ready</x:v>
      </x:c>
      <x:c r="D1486" s="6" t="str">
        <x:v>上</x:v>
      </x:c>
      <x:c r="E1486" s="6" t="str">
        <x:v>bawX (B)</x:v>
      </x:c>
      <x:c r="F1486" s="6" t="str">
        <x:v>上聲十九皓</x:v>
      </x:c>
      <x:c r="G1486" s="6" t="str">
        <x:v>Pingshui main list, Wikisource-derived DOCX</x:v>
      </x:c>
      <x:c r="H1486" s="6" t="str">
        <x:v>1</x:v>
      </x:c>
      <x:c r="I1486" s="6" t="str"/>
      <x:c r="J1486" s="6" t="str">
        <x:f>IF(B1486="","",IF(AND(ISNUMBER(SEARCH("平",B1486)),OR(ISNUMBER(SEARCH("上",B1486)),ISNUMBER(SEARCH("去",B1486)),ISNUMBER(SEARCH("入",B1486)))),"Ambiguous",IF(ISNUMBER(SEARCH("平",B1486)),"平","仄")))</x:f>
        <x:v>仄</x:v>
      </x:c>
      <x:c r="K1486" s="6" t="str">
        <x:f>IF(D1486="","",IF(AND(ISNUMBER(SEARCH("平",D1486)),OR(ISNUMBER(SEARCH("上",D1486)),ISNUMBER(SEARCH("去",D1486)),ISNUMBER(SEARCH("入",D1486)))),"Ambiguous",IF(ISNUMBER(SEARCH("平",D1486)),"平","仄")))</x:f>
        <x:v>仄</x:v>
      </x:c>
      <x:c r="L1486" s="7" t="str"/>
    </x:row>
    <x:row r="1487">
      <x:c r="A1487" s="5" t="str">
        <x:v>抴</x:v>
      </x:c>
      <x:c r="B1487" s="6" t="str">
        <x:v>入</x:v>
      </x:c>
      <x:c r="C1487" s="6" t="str">
        <x:f>IF(B1487="","Needs decision","Ready")</x:f>
        <x:v>Ready</x:v>
      </x:c>
      <x:c r="D1487" s="6" t="str">
        <x:v>入</x:v>
      </x:c>
      <x:c r="E1487" s="6" t="str">
        <x:v>yet (D)</x:v>
      </x:c>
      <x:c r="F1487" s="6" t="str"/>
      <x:c r="G1487" s="6" t="str"/>
      <x:c r="H1487" s="6" t="str">
        <x:v>1</x:v>
      </x:c>
      <x:c r="I1487" s="6" t="str"/>
      <x:c r="J1487" s="6" t="str">
        <x:f>IF(B1487="","",IF(AND(ISNUMBER(SEARCH("平",B1487)),OR(ISNUMBER(SEARCH("上",B1487)),ISNUMBER(SEARCH("去",B1487)),ISNUMBER(SEARCH("入",B1487)))),"Ambiguous",IF(ISNUMBER(SEARCH("平",B1487)),"平","仄")))</x:f>
        <x:v>仄</x:v>
      </x:c>
      <x:c r="K1487" s="6" t="str">
        <x:f>IF(D1487="","",IF(AND(ISNUMBER(SEARCH("平",D1487)),OR(ISNUMBER(SEARCH("上",D1487)),ISNUMBER(SEARCH("去",D1487)),ISNUMBER(SEARCH("入",D1487)))),"Ambiguous",IF(ISNUMBER(SEARCH("平",D1487)),"平","仄")))</x:f>
        <x:v>仄</x:v>
      </x:c>
      <x:c r="L1487" s="7" t="str"/>
    </x:row>
    <x:row r="1488">
      <x:c r="A1488" s="5" t="str">
        <x:v>抵</x:v>
      </x:c>
      <x:c r="B1488" s="6" t="str">
        <x:v>上</x:v>
      </x:c>
      <x:c r="C1488" s="6" t="str">
        <x:f>IF(B1488="","Needs decision","Ready")</x:f>
        <x:v>Ready</x:v>
      </x:c>
      <x:c r="D1488" s="6" t="str">
        <x:v>上</x:v>
      </x:c>
      <x:c r="E1488" s="6" t="str">
        <x:v>tejX (B)</x:v>
      </x:c>
      <x:c r="F1488" s="6" t="str">
        <x:v>上聲四紙; 上聲八薺</x:v>
      </x:c>
      <x:c r="G1488" s="6" t="str">
        <x:v>Pingshui main list, Wikisource-derived DOCX</x:v>
      </x:c>
      <x:c r="H1488" s="6" t="str">
        <x:v>1</x:v>
      </x:c>
      <x:c r="I1488" s="6" t="str"/>
      <x:c r="J1488" s="6" t="str">
        <x:f>IF(B1488="","",IF(AND(ISNUMBER(SEARCH("平",B1488)),OR(ISNUMBER(SEARCH("上",B1488)),ISNUMBER(SEARCH("去",B1488)),ISNUMBER(SEARCH("入",B1488)))),"Ambiguous",IF(ISNUMBER(SEARCH("平",B1488)),"平","仄")))</x:f>
        <x:v>仄</x:v>
      </x:c>
      <x:c r="K1488" s="6" t="str">
        <x:f>IF(D1488="","",IF(AND(ISNUMBER(SEARCH("平",D1488)),OR(ISNUMBER(SEARCH("上",D1488)),ISNUMBER(SEARCH("去",D1488)),ISNUMBER(SEARCH("入",D1488)))),"Ambiguous",IF(ISNUMBER(SEARCH("平",D1488)),"平","仄")))</x:f>
        <x:v>仄</x:v>
      </x:c>
      <x:c r="L1488" s="7" t="str"/>
    </x:row>
    <x:row r="1489">
      <x:c r="A1489" s="5" t="str">
        <x:v>抹</x:v>
      </x:c>
      <x:c r="B1489" s="6" t="str">
        <x:v>入</x:v>
      </x:c>
      <x:c r="C1489" s="6" t="str">
        <x:f>IF(B1489="","Needs decision","Ready")</x:f>
        <x:v>Ready</x:v>
      </x:c>
      <x:c r="D1489" s="6" t="str">
        <x:v>入</x:v>
      </x:c>
      <x:c r="E1489" s="6" t="str">
        <x:v>mat [m̙ɑt] (入)</x:v>
      </x:c>
      <x:c r="F1489" s="6" t="str">
        <x:v>入聲七曷</x:v>
      </x:c>
      <x:c r="G1489" s="6" t="str">
        <x:v>Pingshui main list, Wikisource-derived DOCX</x:v>
      </x:c>
      <x:c r="H1489" s="6" t="str">
        <x:v>1</x:v>
      </x:c>
      <x:c r="I1489" s="6" t="str">
        <x:v>Tang 300 gap; frequency 1; provisional from Xun Gong</x:v>
      </x:c>
      <x:c r="J1489" s="6" t="str">
        <x:f>IF(B1489="","",IF(AND(ISNUMBER(SEARCH("平",B1489)),OR(ISNUMBER(SEARCH("上",B1489)),ISNUMBER(SEARCH("去",B1489)),ISNUMBER(SEARCH("入",B1489)))),"Ambiguous",IF(ISNUMBER(SEARCH("平",B1489)),"平","仄")))</x:f>
        <x:v>仄</x:v>
      </x:c>
      <x:c r="K1489" s="6" t="str">
        <x:f>IF(D1489="","",IF(AND(ISNUMBER(SEARCH("平",D1489)),OR(ISNUMBER(SEARCH("上",D1489)),ISNUMBER(SEARCH("去",D1489)),ISNUMBER(SEARCH("入",D1489)))),"Ambiguous",IF(ISNUMBER(SEARCH("平",D1489)),"平","仄")))</x:f>
        <x:v>仄</x:v>
      </x:c>
      <x:c r="L1489" s="7" t="str">
        <x:v>Xun Gong, Tang 300 gap fill</x:v>
      </x:c>
    </x:row>
    <x:row r="1490">
      <x:c r="A1490" s="5" t="str">
        <x:v>押</x:v>
      </x:c>
      <x:c r="B1490" s="6" t="str">
        <x:v>入</x:v>
      </x:c>
      <x:c r="C1490" s="6" t="str">
        <x:f>IF(B1490="","Needs decision","Ready")</x:f>
        <x:v>Ready</x:v>
      </x:c>
      <x:c r="D1490" s="6" t="str">
        <x:v>入</x:v>
      </x:c>
      <x:c r="E1490" s="6" t="str">
        <x:v>'aep (D)</x:v>
      </x:c>
      <x:c r="F1490" s="6" t="str">
        <x:v>入聲十七洽</x:v>
      </x:c>
      <x:c r="G1490" s="6" t="str">
        <x:v>Pingshui main list, Wikisource-derived DOCX</x:v>
      </x:c>
      <x:c r="H1490" s="6" t="str">
        <x:v>1</x:v>
      </x:c>
      <x:c r="I1490" s="6" t="str"/>
      <x:c r="J1490" s="6" t="str">
        <x:f>IF(B1490="","",IF(AND(ISNUMBER(SEARCH("平",B1490)),OR(ISNUMBER(SEARCH("上",B1490)),ISNUMBER(SEARCH("去",B1490)),ISNUMBER(SEARCH("入",B1490)))),"Ambiguous",IF(ISNUMBER(SEARCH("平",B1490)),"平","仄")))</x:f>
        <x:v>仄</x:v>
      </x:c>
      <x:c r="K1490" s="6" t="str">
        <x:f>IF(D1490="","",IF(AND(ISNUMBER(SEARCH("平",D1490)),OR(ISNUMBER(SEARCH("上",D1490)),ISNUMBER(SEARCH("去",D1490)),ISNUMBER(SEARCH("入",D1490)))),"Ambiguous",IF(ISNUMBER(SEARCH("平",D1490)),"平","仄")))</x:f>
        <x:v>仄</x:v>
      </x:c>
      <x:c r="L1490" s="7" t="str"/>
    </x:row>
    <x:row r="1491">
      <x:c r="A1491" s="5" t="str">
        <x:v>抽</x:v>
      </x:c>
      <x:c r="B1491" s="6" t="str">
        <x:v>平</x:v>
      </x:c>
      <x:c r="C1491" s="6" t="str">
        <x:f>IF(B1491="","Needs decision","Ready")</x:f>
        <x:v>Ready</x:v>
      </x:c>
      <x:c r="D1491" s="6" t="str">
        <x:v>平</x:v>
      </x:c>
      <x:c r="E1491" s="6" t="str">
        <x:v>trhjuw (A)</x:v>
      </x:c>
      <x:c r="F1491" s="6" t="str">
        <x:v>下平聲十一尤</x:v>
      </x:c>
      <x:c r="G1491" s="6" t="str">
        <x:v>Pingshui main list, Wikisource-derived DOCX</x:v>
      </x:c>
      <x:c r="H1491" s="6" t="str">
        <x:v>1</x:v>
      </x:c>
      <x:c r="I1491" s="6" t="str"/>
      <x:c r="J1491" s="6" t="str">
        <x:f>IF(B1491="","",IF(AND(ISNUMBER(SEARCH("平",B1491)),OR(ISNUMBER(SEARCH("上",B1491)),ISNUMBER(SEARCH("去",B1491)),ISNUMBER(SEARCH("入",B1491)))),"Ambiguous",IF(ISNUMBER(SEARCH("平",B1491)),"平","仄")))</x:f>
        <x:v>平</x:v>
      </x:c>
      <x:c r="K1491" s="6" t="str">
        <x:f>IF(D1491="","",IF(AND(ISNUMBER(SEARCH("平",D1491)),OR(ISNUMBER(SEARCH("上",D1491)),ISNUMBER(SEARCH("去",D1491)),ISNUMBER(SEARCH("入",D1491)))),"Ambiguous",IF(ISNUMBER(SEARCH("平",D1491)),"平","仄")))</x:f>
        <x:v>平</x:v>
      </x:c>
      <x:c r="L1491" s="7" t="str"/>
    </x:row>
    <x:row r="1492">
      <x:c r="A1492" s="5" t="str">
        <x:v>拂</x:v>
      </x:c>
      <x:c r="B1492" s="6" t="str">
        <x:v>入</x:v>
      </x:c>
      <x:c r="C1492" s="6" t="str">
        <x:f>IF(B1492="","Needs decision","Ready")</x:f>
        <x:v>Ready</x:v>
      </x:c>
      <x:c r="D1492" s="6" t="str">
        <x:v>入</x:v>
      </x:c>
      <x:c r="E1492" s="6" t="str">
        <x:v>phjut (D)</x:v>
      </x:c>
      <x:c r="F1492" s="6" t="str">
        <x:v>入聲五物</x:v>
      </x:c>
      <x:c r="G1492" s="6" t="str">
        <x:v>Pingshui main list, Wikisource-derived DOCX</x:v>
      </x:c>
      <x:c r="H1492" s="6" t="str">
        <x:v>1</x:v>
      </x:c>
      <x:c r="I1492" s="6" t="str"/>
      <x:c r="J1492" s="6" t="str">
        <x:f>IF(B1492="","",IF(AND(ISNUMBER(SEARCH("平",B1492)),OR(ISNUMBER(SEARCH("上",B1492)),ISNUMBER(SEARCH("去",B1492)),ISNUMBER(SEARCH("入",B1492)))),"Ambiguous",IF(ISNUMBER(SEARCH("平",B1492)),"平","仄")))</x:f>
        <x:v>仄</x:v>
      </x:c>
      <x:c r="K1492" s="6" t="str">
        <x:f>IF(D1492="","",IF(AND(ISNUMBER(SEARCH("平",D1492)),OR(ISNUMBER(SEARCH("上",D1492)),ISNUMBER(SEARCH("去",D1492)),ISNUMBER(SEARCH("入",D1492)))),"Ambiguous",IF(ISNUMBER(SEARCH("平",D1492)),"平","仄")))</x:f>
        <x:v>仄</x:v>
      </x:c>
      <x:c r="L1492" s="7" t="str"/>
    </x:row>
    <x:row r="1493">
      <x:c r="A1493" s="5" t="str">
        <x:v>拄</x:v>
      </x:c>
      <x:c r="B1493" s="6" t="str">
        <x:v>上</x:v>
      </x:c>
      <x:c r="C1493" s="6" t="str">
        <x:f>IF(B1493="","Needs decision","Ready")</x:f>
        <x:v>Ready</x:v>
      </x:c>
      <x:c r="D1493" s="6" t="str">
        <x:v>上</x:v>
      </x:c>
      <x:c r="E1493" s="6" t="str">
        <x:v>trjuX (B)</x:v>
      </x:c>
      <x:c r="F1493" s="6" t="str">
        <x:v>上聲七麌</x:v>
      </x:c>
      <x:c r="G1493" s="6" t="str">
        <x:v>Pingshui main list, Wikisource-derived DOCX</x:v>
      </x:c>
      <x:c r="H1493" s="6" t="str">
        <x:v>1</x:v>
      </x:c>
      <x:c r="I1493" s="6" t="str"/>
      <x:c r="J1493" s="6" t="str">
        <x:f>IF(B1493="","",IF(AND(ISNUMBER(SEARCH("平",B1493)),OR(ISNUMBER(SEARCH("上",B1493)),ISNUMBER(SEARCH("去",B1493)),ISNUMBER(SEARCH("入",B1493)))),"Ambiguous",IF(ISNUMBER(SEARCH("平",B1493)),"平","仄")))</x:f>
        <x:v>仄</x:v>
      </x:c>
      <x:c r="K1493" s="6" t="str">
        <x:f>IF(D1493="","",IF(AND(ISNUMBER(SEARCH("平",D1493)),OR(ISNUMBER(SEARCH("上",D1493)),ISNUMBER(SEARCH("去",D1493)),ISNUMBER(SEARCH("入",D1493)))),"Ambiguous",IF(ISNUMBER(SEARCH("平",D1493)),"平","仄")))</x:f>
        <x:v>仄</x:v>
      </x:c>
      <x:c r="L1493" s="7" t="str"/>
    </x:row>
    <x:row r="1494">
      <x:c r="A1494" s="5" t="str">
        <x:v>拆</x:v>
      </x:c>
      <x:c r="B1494" s="6" t="str">
        <x:v>入</x:v>
      </x:c>
      <x:c r="C1494" s="6" t="str">
        <x:f>IF(B1494="","Needs decision","Ready")</x:f>
        <x:v>Ready</x:v>
      </x:c>
      <x:c r="D1494" s="6" t="str">
        <x:v>入</x:v>
      </x:c>
      <x:c r="E1494" s="6" t="str">
        <x:v>trhaek (D)</x:v>
      </x:c>
      <x:c r="F1494" s="6" t="str"/>
      <x:c r="G1494" s="6" t="str"/>
      <x:c r="H1494" s="6" t="str">
        <x:v>1</x:v>
      </x:c>
      <x:c r="I1494" s="6" t="str"/>
      <x:c r="J1494" s="6" t="str">
        <x:f>IF(B1494="","",IF(AND(ISNUMBER(SEARCH("平",B1494)),OR(ISNUMBER(SEARCH("上",B1494)),ISNUMBER(SEARCH("去",B1494)),ISNUMBER(SEARCH("入",B1494)))),"Ambiguous",IF(ISNUMBER(SEARCH("平",B1494)),"平","仄")))</x:f>
        <x:v>仄</x:v>
      </x:c>
      <x:c r="K1494" s="6" t="str">
        <x:f>IF(D1494="","",IF(AND(ISNUMBER(SEARCH("平",D1494)),OR(ISNUMBER(SEARCH("上",D1494)),ISNUMBER(SEARCH("去",D1494)),ISNUMBER(SEARCH("入",D1494)))),"Ambiguous",IF(ISNUMBER(SEARCH("平",D1494)),"平","仄")))</x:f>
        <x:v>仄</x:v>
      </x:c>
      <x:c r="L1494" s="7" t="str"/>
    </x:row>
    <x:row r="1495">
      <x:c r="A1495" s="5" t="str">
        <x:v>拉</x:v>
      </x:c>
      <x:c r="B1495" s="6" t="str">
        <x:v>入</x:v>
      </x:c>
      <x:c r="C1495" s="6" t="str">
        <x:f>IF(B1495="","Needs decision","Ready")</x:f>
        <x:v>Ready</x:v>
      </x:c>
      <x:c r="D1495" s="6" t="str">
        <x:v>入</x:v>
      </x:c>
      <x:c r="E1495" s="6" t="str">
        <x:v>lop (D)</x:v>
      </x:c>
      <x:c r="F1495" s="6" t="str">
        <x:v>入聲十五合</x:v>
      </x:c>
      <x:c r="G1495" s="6" t="str">
        <x:v>Pingshui main list, Wikisource-derived DOCX</x:v>
      </x:c>
      <x:c r="H1495" s="6" t="str">
        <x:v>1</x:v>
      </x:c>
      <x:c r="I1495" s="6" t="str"/>
      <x:c r="J1495" s="6" t="str">
        <x:f>IF(B1495="","",IF(AND(ISNUMBER(SEARCH("平",B1495)),OR(ISNUMBER(SEARCH("上",B1495)),ISNUMBER(SEARCH("去",B1495)),ISNUMBER(SEARCH("入",B1495)))),"Ambiguous",IF(ISNUMBER(SEARCH("平",B1495)),"平","仄")))</x:f>
        <x:v>仄</x:v>
      </x:c>
      <x:c r="K1495" s="6" t="str">
        <x:f>IF(D1495="","",IF(AND(ISNUMBER(SEARCH("平",D1495)),OR(ISNUMBER(SEARCH("上",D1495)),ISNUMBER(SEARCH("去",D1495)),ISNUMBER(SEARCH("入",D1495)))),"Ambiguous",IF(ISNUMBER(SEARCH("平",D1495)),"平","仄")))</x:f>
        <x:v>仄</x:v>
      </x:c>
      <x:c r="L1495" s="7" t="str"/>
    </x:row>
    <x:row r="1496">
      <x:c r="A1496" s="5" t="str">
        <x:v>拍</x:v>
      </x:c>
      <x:c r="B1496" s="6" t="str">
        <x:v>入</x:v>
      </x:c>
      <x:c r="C1496" s="6" t="str">
        <x:f>IF(B1496="","Needs decision","Ready")</x:f>
        <x:v>Ready</x:v>
      </x:c>
      <x:c r="D1496" s="6" t="str">
        <x:v>入</x:v>
      </x:c>
      <x:c r="E1496" s="6" t="str">
        <x:v>phaek (D)</x:v>
      </x:c>
      <x:c r="F1496" s="6" t="str">
        <x:v>入聲十一陌</x:v>
      </x:c>
      <x:c r="G1496" s="6" t="str">
        <x:v>Pingshui main list, Wikisource-derived DOCX</x:v>
      </x:c>
      <x:c r="H1496" s="6" t="str">
        <x:v>1</x:v>
      </x:c>
      <x:c r="I1496" s="6" t="str"/>
      <x:c r="J1496" s="6" t="str">
        <x:f>IF(B1496="","",IF(AND(ISNUMBER(SEARCH("平",B1496)),OR(ISNUMBER(SEARCH("上",B1496)),ISNUMBER(SEARCH("去",B1496)),ISNUMBER(SEARCH("入",B1496)))),"Ambiguous",IF(ISNUMBER(SEARCH("平",B1496)),"平","仄")))</x:f>
        <x:v>仄</x:v>
      </x:c>
      <x:c r="K1496" s="6" t="str">
        <x:f>IF(D1496="","",IF(AND(ISNUMBER(SEARCH("平",D1496)),OR(ISNUMBER(SEARCH("上",D1496)),ISNUMBER(SEARCH("去",D1496)),ISNUMBER(SEARCH("入",D1496)))),"Ambiguous",IF(ISNUMBER(SEARCH("平",D1496)),"平","仄")))</x:f>
        <x:v>仄</x:v>
      </x:c>
      <x:c r="L1496" s="7" t="str"/>
    </x:row>
    <x:row r="1497">
      <x:c r="A1497" s="5" t="str">
        <x:v>拏</x:v>
      </x:c>
      <x:c r="B1497" s="6" t="str">
        <x:v>平</x:v>
      </x:c>
      <x:c r="C1497" s="6" t="str">
        <x:f>IF(B1497="","Needs decision","Ready")</x:f>
        <x:v>Ready</x:v>
      </x:c>
      <x:c r="D1497" s="6" t="str">
        <x:v>平</x:v>
      </x:c>
      <x:c r="E1497" s="6" t="str">
        <x:v>nrae (A)</x:v>
      </x:c>
      <x:c r="F1497" s="6" t="str">
        <x:v>下平聲六麻</x:v>
      </x:c>
      <x:c r="G1497" s="6" t="str">
        <x:v>Pingshui main list, Wikisource-derived DOCX</x:v>
      </x:c>
      <x:c r="H1497" s="6" t="str">
        <x:v>1</x:v>
      </x:c>
      <x:c r="I1497" s="6" t="str"/>
      <x:c r="J1497" s="6" t="str">
        <x:f>IF(B1497="","",IF(AND(ISNUMBER(SEARCH("平",B1497)),OR(ISNUMBER(SEARCH("上",B1497)),ISNUMBER(SEARCH("去",B1497)),ISNUMBER(SEARCH("入",B1497)))),"Ambiguous",IF(ISNUMBER(SEARCH("平",B1497)),"平","仄")))</x:f>
        <x:v>平</x:v>
      </x:c>
      <x:c r="K1497" s="6" t="str">
        <x:f>IF(D1497="","",IF(AND(ISNUMBER(SEARCH("平",D1497)),OR(ISNUMBER(SEARCH("上",D1497)),ISNUMBER(SEARCH("去",D1497)),ISNUMBER(SEARCH("入",D1497)))),"Ambiguous",IF(ISNUMBER(SEARCH("平",D1497)),"平","仄")))</x:f>
        <x:v>平</x:v>
      </x:c>
      <x:c r="L1497" s="7" t="str"/>
    </x:row>
    <x:row r="1498">
      <x:c r="A1498" s="5" t="str">
        <x:v>拒</x:v>
      </x:c>
      <x:c r="B1498" s="6" t="str">
        <x:v>上</x:v>
      </x:c>
      <x:c r="C1498" s="6" t="str">
        <x:f>IF(B1498="","Needs decision","Ready")</x:f>
        <x:v>Ready</x:v>
      </x:c>
      <x:c r="D1498" s="6" t="str">
        <x:v>上</x:v>
      </x:c>
      <x:c r="E1498" s="6" t="str"/>
      <x:c r="F1498" s="6" t="str">
        <x:v>上聲六語</x:v>
      </x:c>
      <x:c r="G1498" s="6" t="str">
        <x:v>Pingshui main list, Wikisource-derived DOCX</x:v>
      </x:c>
      <x:c r="H1498" s="6" t="str">
        <x:v>0</x:v>
      </x:c>
      <x:c r="I1498" s="6" t="str">
        <x:v>User correction 2026-09-08; added manually</x:v>
      </x:c>
      <x:c r="J1498" s="6" t="str">
        <x:f>IF(B1498="","",IF(AND(ISNUMBER(SEARCH("平",B1498)),OR(ISNUMBER(SEARCH("上",B1498)),ISNUMBER(SEARCH("去",B1498)),ISNUMBER(SEARCH("入",B1498)))),"Ambiguous",IF(ISNUMBER(SEARCH("平",B1498)),"平","仄")))</x:f>
        <x:v>仄</x:v>
      </x:c>
      <x:c r="K1498" s="6" t="str">
        <x:f>IF(D1498="","",IF(AND(ISNUMBER(SEARCH("平",D1498)),OR(ISNUMBER(SEARCH("上",D1498)),ISNUMBER(SEARCH("去",D1498)),ISNUMBER(SEARCH("入",D1498)))),"Ambiguous",IF(ISNUMBER(SEARCH("平",D1498)),"平","仄")))</x:f>
        <x:v>仄</x:v>
      </x:c>
      <x:c r="L1498" s="7" t="str">
        <x:v>User correction</x:v>
      </x:c>
    </x:row>
    <x:row r="1499">
      <x:c r="A1499" s="5" t="str">
        <x:v>拔</x:v>
      </x:c>
      <x:c r="B1499" s="6" t="str"/>
      <x:c r="C1499" s="6" t="str">
        <x:f>IF(B1499="","Needs decision","Ready")</x:f>
        <x:v>Needs decision</x:v>
      </x:c>
      <x:c r="D1499" s="6" t="str">
        <x:v>去/入</x:v>
      </x:c>
      <x:c r="E1499" s="6" t="str">
        <x:v>beat (D); bajH (C)</x:v>
      </x:c>
      <x:c r="F1499" s="6" t="str">
        <x:v>去聲十一隊; 入聲七曷; 入聲八黠</x:v>
      </x:c>
      <x:c r="G1499" s="6" t="str">
        <x:v>Pingshui main list, Wikisource-derived DOCX</x:v>
      </x:c>
      <x:c r="H1499" s="6" t="str">
        <x:v>2</x:v>
      </x:c>
      <x:c r="I1499" s="6" t="str"/>
      <x:c r="J1499" s="6" t="str">
        <x:f>IF(B1499="","",IF(AND(ISNUMBER(SEARCH("平",B1499)),OR(ISNUMBER(SEARCH("上",B1499)),ISNUMBER(SEARCH("去",B1499)),ISNUMBER(SEARCH("入",B1499)))),"Ambiguous",IF(ISNUMBER(SEARCH("平",B1499)),"平","仄")))</x:f>
      </x:c>
      <x:c r="K1499" s="6" t="str">
        <x:f>IF(D1499="","",IF(AND(ISNUMBER(SEARCH("平",D1499)),OR(ISNUMBER(SEARCH("上",D1499)),ISNUMBER(SEARCH("去",D1499)),ISNUMBER(SEARCH("入",D1499)))),"Ambiguous",IF(ISNUMBER(SEARCH("平",D1499)),"平","仄")))</x:f>
        <x:v>仄</x:v>
      </x:c>
      <x:c r="L1499" s="7" t="str"/>
    </x:row>
    <x:row r="1500">
      <x:c r="A1500" s="5" t="str">
        <x:v>拖</x:v>
      </x:c>
      <x:c r="B1500" s="6" t="str">
        <x:v>平</x:v>
      </x:c>
      <x:c r="C1500" s="6" t="str">
        <x:f>IF(B1500="","Needs decision","Ready")</x:f>
        <x:v>Ready</x:v>
      </x:c>
      <x:c r="D1500" s="6" t="str">
        <x:v>平</x:v>
      </x:c>
      <x:c r="E1500" s="6" t="str">
        <x:v>tha (A)</x:v>
      </x:c>
      <x:c r="F1500" s="6" t="str"/>
      <x:c r="G1500" s="6" t="str"/>
      <x:c r="H1500" s="6" t="str">
        <x:v>1</x:v>
      </x:c>
      <x:c r="I1500" s="6" t="str"/>
      <x:c r="J1500" s="6" t="str">
        <x:f>IF(B1500="","",IF(AND(ISNUMBER(SEARCH("平",B1500)),OR(ISNUMBER(SEARCH("上",B1500)),ISNUMBER(SEARCH("去",B1500)),ISNUMBER(SEARCH("入",B1500)))),"Ambiguous",IF(ISNUMBER(SEARCH("平",B1500)),"平","仄")))</x:f>
        <x:v>平</x:v>
      </x:c>
      <x:c r="K1500" s="6" t="str">
        <x:f>IF(D1500="","",IF(AND(ISNUMBER(SEARCH("平",D1500)),OR(ISNUMBER(SEARCH("上",D1500)),ISNUMBER(SEARCH("去",D1500)),ISNUMBER(SEARCH("入",D1500)))),"Ambiguous",IF(ISNUMBER(SEARCH("平",D1500)),"平","仄")))</x:f>
        <x:v>平</x:v>
      </x:c>
      <x:c r="L1500" s="7" t="str"/>
    </x:row>
    <x:row r="1501">
      <x:c r="A1501" s="5" t="str">
        <x:v>拙</x:v>
      </x:c>
      <x:c r="B1501" s="6" t="str">
        <x:v>入</x:v>
      </x:c>
      <x:c r="C1501" s="6" t="str">
        <x:f>IF(B1501="","Needs decision","Ready")</x:f>
        <x:v>Ready</x:v>
      </x:c>
      <x:c r="D1501" s="6" t="str">
        <x:v>入</x:v>
      </x:c>
      <x:c r="E1501" s="6" t="str">
        <x:v>tsywet (D)</x:v>
      </x:c>
      <x:c r="F1501" s="6" t="str">
        <x:v>入聲九屑</x:v>
      </x:c>
      <x:c r="G1501" s="6" t="str">
        <x:v>Pingshui main list, Wikisource-derived DOCX</x:v>
      </x:c>
      <x:c r="H1501" s="6" t="str">
        <x:v>1</x:v>
      </x:c>
      <x:c r="I1501" s="6" t="str"/>
      <x:c r="J1501" s="6" t="str">
        <x:f>IF(B1501="","",IF(AND(ISNUMBER(SEARCH("平",B1501)),OR(ISNUMBER(SEARCH("上",B1501)),ISNUMBER(SEARCH("去",B1501)),ISNUMBER(SEARCH("入",B1501)))),"Ambiguous",IF(ISNUMBER(SEARCH("平",B1501)),"平","仄")))</x:f>
        <x:v>仄</x:v>
      </x:c>
      <x:c r="K1501" s="6" t="str">
        <x:f>IF(D1501="","",IF(AND(ISNUMBER(SEARCH("平",D1501)),OR(ISNUMBER(SEARCH("上",D1501)),ISNUMBER(SEARCH("去",D1501)),ISNUMBER(SEARCH("入",D1501)))),"Ambiguous",IF(ISNUMBER(SEARCH("平",D1501)),"平","仄")))</x:f>
        <x:v>仄</x:v>
      </x:c>
      <x:c r="L1501" s="7" t="str"/>
    </x:row>
    <x:row r="1502">
      <x:c r="A1502" s="5" t="str">
        <x:v>招</x:v>
      </x:c>
      <x:c r="B1502" s="6" t="str">
        <x:v>平</x:v>
      </x:c>
      <x:c r="C1502" s="6" t="str">
        <x:f>IF(B1502="","Needs decision","Ready")</x:f>
        <x:v>Ready</x:v>
      </x:c>
      <x:c r="D1502" s="6" t="str">
        <x:v>平</x:v>
      </x:c>
      <x:c r="E1502" s="6" t="str"/>
      <x:c r="F1502" s="6" t="str">
        <x:v>下平聲二蕭</x:v>
      </x:c>
      <x:c r="G1502" s="6" t="str">
        <x:v>Pingshui main list, Wikisource-derived DOCX</x:v>
      </x:c>
      <x:c r="H1502" s="6" t="str"/>
      <x:c r="I1502" s="6" t="str">
        <x:v>Manual user correction/addition</x:v>
      </x:c>
      <x:c r="J1502" s="6" t="str">
        <x:f>IF(B1502="","",IF(AND(ISNUMBER(SEARCH("平",B1502)),OR(ISNUMBER(SEARCH("上",B1502)),ISNUMBER(SEARCH("去",B1502)),ISNUMBER(SEARCH("入",B1502)))),"Ambiguous",IF(ISNUMBER(SEARCH("平",B1502)),"平","仄")))</x:f>
        <x:v>平</x:v>
      </x:c>
      <x:c r="K1502" s="6" t="str">
        <x:f>IF(D1502="","",IF(AND(ISNUMBER(SEARCH("平",D1502)),OR(ISNUMBER(SEARCH("上",D1502)),ISNUMBER(SEARCH("去",D1502)),ISNUMBER(SEARCH("入",D1502)))),"Ambiguous",IF(ISNUMBER(SEARCH("平",D1502)),"平","仄")))</x:f>
        <x:v>平</x:v>
      </x:c>
      <x:c r="L1502" s="7" t="str">
        <x:v>manual user correction</x:v>
      </x:c>
    </x:row>
    <x:row r="1503">
      <x:c r="A1503" s="5" t="str">
        <x:v>拜</x:v>
      </x:c>
      <x:c r="B1503" s="6" t="str">
        <x:v>去</x:v>
      </x:c>
      <x:c r="C1503" s="6" t="str">
        <x:f>IF(B1503="","Needs decision","Ready")</x:f>
        <x:v>Ready</x:v>
      </x:c>
      <x:c r="D1503" s="6" t="str">
        <x:v>去</x:v>
      </x:c>
      <x:c r="E1503" s="6" t="str">
        <x:v>peajH (C)</x:v>
      </x:c>
      <x:c r="F1503" s="6" t="str">
        <x:v>去聲十卦</x:v>
      </x:c>
      <x:c r="G1503" s="6" t="str">
        <x:v>Pingshui main list, Wikisource-derived DOCX</x:v>
      </x:c>
      <x:c r="H1503" s="6" t="str">
        <x:v>1</x:v>
      </x:c>
      <x:c r="I1503" s="6" t="str"/>
      <x:c r="J1503" s="6" t="str">
        <x:f>IF(B1503="","",IF(AND(ISNUMBER(SEARCH("平",B1503)),OR(ISNUMBER(SEARCH("上",B1503)),ISNUMBER(SEARCH("去",B1503)),ISNUMBER(SEARCH("入",B1503)))),"Ambiguous",IF(ISNUMBER(SEARCH("平",B1503)),"平","仄")))</x:f>
        <x:v>仄</x:v>
      </x:c>
      <x:c r="K1503" s="6" t="str">
        <x:f>IF(D1503="","",IF(AND(ISNUMBER(SEARCH("平",D1503)),OR(ISNUMBER(SEARCH("上",D1503)),ISNUMBER(SEARCH("去",D1503)),ISNUMBER(SEARCH("入",D1503)))),"Ambiguous",IF(ISNUMBER(SEARCH("平",D1503)),"平","仄")))</x:f>
        <x:v>仄</x:v>
      </x:c>
      <x:c r="L1503" s="7" t="str"/>
    </x:row>
    <x:row r="1504">
      <x:c r="A1504" s="5" t="str">
        <x:v>拭</x:v>
      </x:c>
      <x:c r="B1504" s="6" t="str">
        <x:v>入</x:v>
      </x:c>
      <x:c r="C1504" s="6" t="str">
        <x:f>IF(B1504="","Needs decision","Ready")</x:f>
        <x:v>Ready</x:v>
      </x:c>
      <x:c r="D1504" s="6" t="str">
        <x:v>入</x:v>
      </x:c>
      <x:c r="E1504" s="6" t="str">
        <x:v>syik (D)</x:v>
      </x:c>
      <x:c r="F1504" s="6" t="str">
        <x:v>入聲十三職</x:v>
      </x:c>
      <x:c r="G1504" s="6" t="str">
        <x:v>Pingshui main list, Wikisource-derived DOCX</x:v>
      </x:c>
      <x:c r="H1504" s="6" t="str">
        <x:v>1</x:v>
      </x:c>
      <x:c r="I1504" s="6" t="str"/>
      <x:c r="J1504" s="6" t="str">
        <x:f>IF(B1504="","",IF(AND(ISNUMBER(SEARCH("平",B1504)),OR(ISNUMBER(SEARCH("上",B1504)),ISNUMBER(SEARCH("去",B1504)),ISNUMBER(SEARCH("入",B1504)))),"Ambiguous",IF(ISNUMBER(SEARCH("平",B1504)),"平","仄")))</x:f>
        <x:v>仄</x:v>
      </x:c>
      <x:c r="K1504" s="6" t="str">
        <x:f>IF(D1504="","",IF(AND(ISNUMBER(SEARCH("平",D1504)),OR(ISNUMBER(SEARCH("上",D1504)),ISNUMBER(SEARCH("去",D1504)),ISNUMBER(SEARCH("入",D1504)))),"Ambiguous",IF(ISNUMBER(SEARCH("平",D1504)),"平","仄")))</x:f>
        <x:v>仄</x:v>
      </x:c>
      <x:c r="L1504" s="7" t="str"/>
    </x:row>
    <x:row r="1505">
      <x:c r="A1505" s="5" t="str">
        <x:v>拮</x:v>
      </x:c>
      <x:c r="B1505" s="6" t="str">
        <x:v>入</x:v>
      </x:c>
      <x:c r="C1505" s="6" t="str">
        <x:f>IF(B1505="","Needs decision","Ready")</x:f>
        <x:v>Ready</x:v>
      </x:c>
      <x:c r="D1505" s="6" t="str">
        <x:v>入</x:v>
      </x:c>
      <x:c r="E1505" s="6" t="str">
        <x:v>ket (D)</x:v>
      </x:c>
      <x:c r="F1505" s="6" t="str">
        <x:v>入聲四質; 入聲九屑</x:v>
      </x:c>
      <x:c r="G1505" s="6" t="str">
        <x:v>Pingshui main list, Wikisource-derived DOCX</x:v>
      </x:c>
      <x:c r="H1505" s="6" t="str">
        <x:v>1</x:v>
      </x:c>
      <x:c r="I1505" s="6" t="str"/>
      <x:c r="J1505" s="6" t="str">
        <x:f>IF(B1505="","",IF(AND(ISNUMBER(SEARCH("平",B1505)),OR(ISNUMBER(SEARCH("上",B1505)),ISNUMBER(SEARCH("去",B1505)),ISNUMBER(SEARCH("入",B1505)))),"Ambiguous",IF(ISNUMBER(SEARCH("平",B1505)),"平","仄")))</x:f>
        <x:v>仄</x:v>
      </x:c>
      <x:c r="K1505" s="6" t="str">
        <x:f>IF(D1505="","",IF(AND(ISNUMBER(SEARCH("平",D1505)),OR(ISNUMBER(SEARCH("上",D1505)),ISNUMBER(SEARCH("去",D1505)),ISNUMBER(SEARCH("入",D1505)))),"Ambiguous",IF(ISNUMBER(SEARCH("平",D1505)),"平","仄")))</x:f>
        <x:v>仄</x:v>
      </x:c>
      <x:c r="L1505" s="7" t="str"/>
    </x:row>
    <x:row r="1506">
      <x:c r="A1506" s="5" t="str">
        <x:v>拯</x:v>
      </x:c>
      <x:c r="B1506" s="6" t="str">
        <x:v>上</x:v>
      </x:c>
      <x:c r="C1506" s="6" t="str">
        <x:f>IF(B1506="","Needs decision","Ready")</x:f>
        <x:v>Ready</x:v>
      </x:c>
      <x:c r="D1506" s="6" t="str">
        <x:v>上</x:v>
      </x:c>
      <x:c r="E1506" s="6" t="str">
        <x:v>tsyingX (B)</x:v>
      </x:c>
      <x:c r="F1506" s="6" t="str">
        <x:v>上聲二十四迥</x:v>
      </x:c>
      <x:c r="G1506" s="6" t="str">
        <x:v>Pingshui main list, Wikisource-derived DOCX</x:v>
      </x:c>
      <x:c r="H1506" s="6" t="str">
        <x:v>1</x:v>
      </x:c>
      <x:c r="I1506" s="6" t="str"/>
      <x:c r="J1506" s="6" t="str">
        <x:f>IF(B1506="","",IF(AND(ISNUMBER(SEARCH("平",B1506)),OR(ISNUMBER(SEARCH("上",B1506)),ISNUMBER(SEARCH("去",B1506)),ISNUMBER(SEARCH("入",B1506)))),"Ambiguous",IF(ISNUMBER(SEARCH("平",B1506)),"平","仄")))</x:f>
        <x:v>仄</x:v>
      </x:c>
      <x:c r="K1506" s="6" t="str">
        <x:f>IF(D1506="","",IF(AND(ISNUMBER(SEARCH("平",D1506)),OR(ISNUMBER(SEARCH("上",D1506)),ISNUMBER(SEARCH("去",D1506)),ISNUMBER(SEARCH("入",D1506)))),"Ambiguous",IF(ISNUMBER(SEARCH("平",D1506)),"平","仄")))</x:f>
        <x:v>仄</x:v>
      </x:c>
      <x:c r="L1506" s="7" t="str"/>
    </x:row>
    <x:row r="1507">
      <x:c r="A1507" s="5" t="str">
        <x:v>拱</x:v>
      </x:c>
      <x:c r="B1507" s="6" t="str">
        <x:v>上</x:v>
      </x:c>
      <x:c r="C1507" s="6" t="str">
        <x:f>IF(B1507="","Needs decision","Ready")</x:f>
        <x:v>Ready</x:v>
      </x:c>
      <x:c r="D1507" s="6" t="str">
        <x:v>上</x:v>
      </x:c>
      <x:c r="E1507" s="6" t="str">
        <x:v>kjowngX (B)</x:v>
      </x:c>
      <x:c r="F1507" s="6" t="str">
        <x:v>上聲二腫</x:v>
      </x:c>
      <x:c r="G1507" s="6" t="str">
        <x:v>Pingshui main list, Wikisource-derived DOCX</x:v>
      </x:c>
      <x:c r="H1507" s="6" t="str">
        <x:v>1</x:v>
      </x:c>
      <x:c r="I1507" s="6" t="str"/>
      <x:c r="J1507" s="6" t="str">
        <x:f>IF(B1507="","",IF(AND(ISNUMBER(SEARCH("平",B1507)),OR(ISNUMBER(SEARCH("上",B1507)),ISNUMBER(SEARCH("去",B1507)),ISNUMBER(SEARCH("入",B1507)))),"Ambiguous",IF(ISNUMBER(SEARCH("平",B1507)),"平","仄")))</x:f>
        <x:v>仄</x:v>
      </x:c>
      <x:c r="K1507" s="6" t="str">
        <x:f>IF(D1507="","",IF(AND(ISNUMBER(SEARCH("平",D1507)),OR(ISNUMBER(SEARCH("上",D1507)),ISNUMBER(SEARCH("去",D1507)),ISNUMBER(SEARCH("入",D1507)))),"Ambiguous",IF(ISNUMBER(SEARCH("平",D1507)),"平","仄")))</x:f>
        <x:v>仄</x:v>
      </x:c>
      <x:c r="L1507" s="7" t="str"/>
    </x:row>
    <x:row r="1508">
      <x:c r="A1508" s="5" t="str">
        <x:v>拲</x:v>
      </x:c>
      <x:c r="B1508" s="6" t="str">
        <x:v>上</x:v>
      </x:c>
      <x:c r="C1508" s="6" t="str">
        <x:f>IF(B1508="","Needs decision","Ready")</x:f>
        <x:v>Ready</x:v>
      </x:c>
      <x:c r="D1508" s="6" t="str">
        <x:v>上</x:v>
      </x:c>
      <x:c r="E1508" s="6" t="str">
        <x:v>kjowngX (B)</x:v>
      </x:c>
      <x:c r="F1508" s="6" t="str">
        <x:v>上聲二腫</x:v>
      </x:c>
      <x:c r="G1508" s="6" t="str">
        <x:v>Pingshui main list, Wikisource-derived DOCX</x:v>
      </x:c>
      <x:c r="H1508" s="6" t="str">
        <x:v>1</x:v>
      </x:c>
      <x:c r="I1508" s="6" t="str"/>
      <x:c r="J1508" s="6" t="str">
        <x:f>IF(B1508="","",IF(AND(ISNUMBER(SEARCH("平",B1508)),OR(ISNUMBER(SEARCH("上",B1508)),ISNUMBER(SEARCH("去",B1508)),ISNUMBER(SEARCH("入",B1508)))),"Ambiguous",IF(ISNUMBER(SEARCH("平",B1508)),"平","仄")))</x:f>
        <x:v>仄</x:v>
      </x:c>
      <x:c r="K1508" s="6" t="str">
        <x:f>IF(D1508="","",IF(AND(ISNUMBER(SEARCH("平",D1508)),OR(ISNUMBER(SEARCH("上",D1508)),ISNUMBER(SEARCH("去",D1508)),ISNUMBER(SEARCH("入",D1508)))),"Ambiguous",IF(ISNUMBER(SEARCH("平",D1508)),"平","仄")))</x:f>
        <x:v>仄</x:v>
      </x:c>
      <x:c r="L1508" s="7" t="str"/>
    </x:row>
    <x:row r="1509">
      <x:c r="A1509" s="5" t="str">
        <x:v>拳</x:v>
      </x:c>
      <x:c r="B1509" s="6" t="str">
        <x:v>平</x:v>
      </x:c>
      <x:c r="C1509" s="6" t="str">
        <x:f>IF(B1509="","Needs decision","Ready")</x:f>
        <x:v>Ready</x:v>
      </x:c>
      <x:c r="D1509" s="6" t="str">
        <x:v>平</x:v>
      </x:c>
      <x:c r="E1509" s="6" t="str">
        <x:v>gjwen (A)</x:v>
      </x:c>
      <x:c r="F1509" s="6" t="str">
        <x:v>下平聲一先</x:v>
      </x:c>
      <x:c r="G1509" s="6" t="str">
        <x:v>Pingshui main list, Wikisource-derived DOCX</x:v>
      </x:c>
      <x:c r="H1509" s="6" t="str">
        <x:v>1</x:v>
      </x:c>
      <x:c r="I1509" s="6" t="str"/>
      <x:c r="J1509" s="6" t="str">
        <x:f>IF(B1509="","",IF(AND(ISNUMBER(SEARCH("平",B1509)),OR(ISNUMBER(SEARCH("上",B1509)),ISNUMBER(SEARCH("去",B1509)),ISNUMBER(SEARCH("入",B1509)))),"Ambiguous",IF(ISNUMBER(SEARCH("平",B1509)),"平","仄")))</x:f>
        <x:v>平</x:v>
      </x:c>
      <x:c r="K1509" s="6" t="str">
        <x:f>IF(D1509="","",IF(AND(ISNUMBER(SEARCH("平",D1509)),OR(ISNUMBER(SEARCH("上",D1509)),ISNUMBER(SEARCH("去",D1509)),ISNUMBER(SEARCH("入",D1509)))),"Ambiguous",IF(ISNUMBER(SEARCH("平",D1509)),"平","仄")))</x:f>
        <x:v>平</x:v>
      </x:c>
      <x:c r="L1509" s="7" t="str"/>
    </x:row>
    <x:row r="1510">
      <x:c r="A1510" s="5" t="str">
        <x:v>拾</x:v>
      </x:c>
      <x:c r="B1510" s="6" t="str">
        <x:v>入</x:v>
      </x:c>
      <x:c r="C1510" s="6" t="str">
        <x:f>IF(B1510="","Needs decision","Ready")</x:f>
        <x:v>Ready</x:v>
      </x:c>
      <x:c r="D1510" s="6" t="str">
        <x:v>入</x:v>
      </x:c>
      <x:c r="E1510" s="6" t="str">
        <x:v>dzyip (D)</x:v>
      </x:c>
      <x:c r="F1510" s="6" t="str">
        <x:v>入聲十四緝</x:v>
      </x:c>
      <x:c r="G1510" s="6" t="str">
        <x:v>Pingshui main list, Wikisource-derived DOCX</x:v>
      </x:c>
      <x:c r="H1510" s="6" t="str">
        <x:v>1</x:v>
      </x:c>
      <x:c r="I1510" s="6" t="str"/>
      <x:c r="J1510" s="6" t="str">
        <x:f>IF(B1510="","",IF(AND(ISNUMBER(SEARCH("平",B1510)),OR(ISNUMBER(SEARCH("上",B1510)),ISNUMBER(SEARCH("去",B1510)),ISNUMBER(SEARCH("入",B1510)))),"Ambiguous",IF(ISNUMBER(SEARCH("平",B1510)),"平","仄")))</x:f>
        <x:v>仄</x:v>
      </x:c>
      <x:c r="K1510" s="6" t="str">
        <x:f>IF(D1510="","",IF(AND(ISNUMBER(SEARCH("平",D1510)),OR(ISNUMBER(SEARCH("上",D1510)),ISNUMBER(SEARCH("去",D1510)),ISNUMBER(SEARCH("入",D1510)))),"Ambiguous",IF(ISNUMBER(SEARCH("平",D1510)),"平","仄")))</x:f>
        <x:v>仄</x:v>
      </x:c>
      <x:c r="L1510" s="7" t="str"/>
    </x:row>
    <x:row r="1511">
      <x:c r="A1511" s="5" t="str">
        <x:v>持</x:v>
      </x:c>
      <x:c r="B1511" s="6" t="str">
        <x:v>平</x:v>
      </x:c>
      <x:c r="C1511" s="6" t="str">
        <x:f>IF(B1511="","Needs decision","Ready")</x:f>
        <x:v>Ready</x:v>
      </x:c>
      <x:c r="D1511" s="6" t="str">
        <x:v>平</x:v>
      </x:c>
      <x:c r="E1511" s="6" t="str">
        <x:v>dri (A)</x:v>
      </x:c>
      <x:c r="F1511" s="6" t="str">
        <x:v>上平聲四支</x:v>
      </x:c>
      <x:c r="G1511" s="6" t="str">
        <x:v>Pingshui main list, Wikisource-derived DOCX</x:v>
      </x:c>
      <x:c r="H1511" s="6" t="str">
        <x:v>1</x:v>
      </x:c>
      <x:c r="I1511" s="6" t="str"/>
      <x:c r="J1511" s="6" t="str">
        <x:f>IF(B1511="","",IF(AND(ISNUMBER(SEARCH("平",B1511)),OR(ISNUMBER(SEARCH("上",B1511)),ISNUMBER(SEARCH("去",B1511)),ISNUMBER(SEARCH("入",B1511)))),"Ambiguous",IF(ISNUMBER(SEARCH("平",B1511)),"平","仄")))</x:f>
        <x:v>平</x:v>
      </x:c>
      <x:c r="K1511" s="6" t="str">
        <x:f>IF(D1511="","",IF(AND(ISNUMBER(SEARCH("平",D1511)),OR(ISNUMBER(SEARCH("上",D1511)),ISNUMBER(SEARCH("去",D1511)),ISNUMBER(SEARCH("入",D1511)))),"Ambiguous",IF(ISNUMBER(SEARCH("平",D1511)),"平","仄")))</x:f>
        <x:v>平</x:v>
      </x:c>
      <x:c r="L1511" s="7" t="str"/>
    </x:row>
    <x:row r="1512">
      <x:c r="A1512" s="5" t="str">
        <x:v>挂</x:v>
      </x:c>
      <x:c r="B1512" s="6" t="str">
        <x:v>去</x:v>
      </x:c>
      <x:c r="C1512" s="6" t="str">
        <x:f>IF(B1512="","Needs decision","Ready")</x:f>
        <x:v>Ready</x:v>
      </x:c>
      <x:c r="D1512" s="6" t="str">
        <x:v>去</x:v>
      </x:c>
      <x:c r="E1512" s="6" t="str">
        <x:v>kweaH (C)</x:v>
      </x:c>
      <x:c r="F1512" s="6" t="str"/>
      <x:c r="G1512" s="6" t="str"/>
      <x:c r="H1512" s="6" t="str">
        <x:v>1</x:v>
      </x:c>
      <x:c r="I1512" s="6" t="str"/>
      <x:c r="J1512" s="6" t="str">
        <x:f>IF(B1512="","",IF(AND(ISNUMBER(SEARCH("平",B1512)),OR(ISNUMBER(SEARCH("上",B1512)),ISNUMBER(SEARCH("去",B1512)),ISNUMBER(SEARCH("入",B1512)))),"Ambiguous",IF(ISNUMBER(SEARCH("平",B1512)),"平","仄")))</x:f>
        <x:v>仄</x:v>
      </x:c>
      <x:c r="K1512" s="6" t="str">
        <x:f>IF(D1512="","",IF(AND(ISNUMBER(SEARCH("平",D1512)),OR(ISNUMBER(SEARCH("上",D1512)),ISNUMBER(SEARCH("去",D1512)),ISNUMBER(SEARCH("入",D1512)))),"Ambiguous",IF(ISNUMBER(SEARCH("平",D1512)),"平","仄")))</x:f>
        <x:v>仄</x:v>
      </x:c>
      <x:c r="L1512" s="7" t="str"/>
    </x:row>
    <x:row r="1513">
      <x:c r="A1513" s="5" t="str">
        <x:v>指</x:v>
      </x:c>
      <x:c r="B1513" s="6" t="str">
        <x:v>上</x:v>
      </x:c>
      <x:c r="C1513" s="6" t="str">
        <x:f>IF(B1513="","Needs decision","Ready")</x:f>
        <x:v>Ready</x:v>
      </x:c>
      <x:c r="D1513" s="6" t="str">
        <x:v>上</x:v>
      </x:c>
      <x:c r="E1513" s="6" t="str">
        <x:v>tsyijX (B)</x:v>
      </x:c>
      <x:c r="F1513" s="6" t="str">
        <x:v>上聲四紙</x:v>
      </x:c>
      <x:c r="G1513" s="6" t="str">
        <x:v>Pingshui main list, Wikisource-derived DOCX</x:v>
      </x:c>
      <x:c r="H1513" s="6" t="str">
        <x:v>1</x:v>
      </x:c>
      <x:c r="I1513" s="6" t="str"/>
      <x:c r="J1513" s="6" t="str">
        <x:f>IF(B1513="","",IF(AND(ISNUMBER(SEARCH("平",B1513)),OR(ISNUMBER(SEARCH("上",B1513)),ISNUMBER(SEARCH("去",B1513)),ISNUMBER(SEARCH("入",B1513)))),"Ambiguous",IF(ISNUMBER(SEARCH("平",B1513)),"平","仄")))</x:f>
        <x:v>仄</x:v>
      </x:c>
      <x:c r="K1513" s="6" t="str">
        <x:f>IF(D1513="","",IF(AND(ISNUMBER(SEARCH("平",D1513)),OR(ISNUMBER(SEARCH("上",D1513)),ISNUMBER(SEARCH("去",D1513)),ISNUMBER(SEARCH("入",D1513)))),"Ambiguous",IF(ISNUMBER(SEARCH("平",D1513)),"平","仄")))</x:f>
        <x:v>仄</x:v>
      </x:c>
      <x:c r="L1513" s="7" t="str"/>
    </x:row>
    <x:row r="1514">
      <x:c r="A1514" s="5" t="str">
        <x:v>按</x:v>
      </x:c>
      <x:c r="B1514" s="6" t="str">
        <x:v>去</x:v>
      </x:c>
      <x:c r="C1514" s="6" t="str">
        <x:f>IF(B1514="","Needs decision","Ready")</x:f>
        <x:v>Ready</x:v>
      </x:c>
      <x:c r="D1514" s="6" t="str">
        <x:v>去</x:v>
      </x:c>
      <x:c r="E1514" s="6" t="str">
        <x:v>'anH (C)</x:v>
      </x:c>
      <x:c r="F1514" s="6" t="str">
        <x:v>去聲十五翰</x:v>
      </x:c>
      <x:c r="G1514" s="6" t="str">
        <x:v>Pingshui main list, Wikisource-derived DOCX</x:v>
      </x:c>
      <x:c r="H1514" s="6" t="str">
        <x:v>1</x:v>
      </x:c>
      <x:c r="I1514" s="6" t="str"/>
      <x:c r="J1514" s="6" t="str">
        <x:f>IF(B1514="","",IF(AND(ISNUMBER(SEARCH("平",B1514)),OR(ISNUMBER(SEARCH("上",B1514)),ISNUMBER(SEARCH("去",B1514)),ISNUMBER(SEARCH("入",B1514)))),"Ambiguous",IF(ISNUMBER(SEARCH("平",B1514)),"平","仄")))</x:f>
        <x:v>仄</x:v>
      </x:c>
      <x:c r="K1514" s="6" t="str">
        <x:f>IF(D1514="","",IF(AND(ISNUMBER(SEARCH("平",D1514)),OR(ISNUMBER(SEARCH("上",D1514)),ISNUMBER(SEARCH("去",D1514)),ISNUMBER(SEARCH("入",D1514)))),"Ambiguous",IF(ISNUMBER(SEARCH("平",D1514)),"平","仄")))</x:f>
        <x:v>仄</x:v>
      </x:c>
      <x:c r="L1514" s="7" t="str"/>
    </x:row>
    <x:row r="1515">
      <x:c r="A1515" s="5" t="str">
        <x:v>挐</x:v>
      </x:c>
      <x:c r="B1515" s="6" t="str">
        <x:v>平</x:v>
      </x:c>
      <x:c r="C1515" s="6" t="str">
        <x:f>IF(B1515="","Needs decision","Ready")</x:f>
        <x:v>Ready</x:v>
      </x:c>
      <x:c r="D1515" s="6" t="str">
        <x:v>平</x:v>
      </x:c>
      <x:c r="E1515" s="6" t="str">
        <x:v>nrae (A)</x:v>
      </x:c>
      <x:c r="F1515" s="6" t="str">
        <x:v>上平聲六魚</x:v>
      </x:c>
      <x:c r="G1515" s="6" t="str">
        <x:v>Pingshui main list, Wikisource-derived DOCX</x:v>
      </x:c>
      <x:c r="H1515" s="6" t="str">
        <x:v>1</x:v>
      </x:c>
      <x:c r="I1515" s="6" t="str"/>
      <x:c r="J1515" s="6" t="str">
        <x:f>IF(B1515="","",IF(AND(ISNUMBER(SEARCH("平",B1515)),OR(ISNUMBER(SEARCH("上",B1515)),ISNUMBER(SEARCH("去",B1515)),ISNUMBER(SEARCH("入",B1515)))),"Ambiguous",IF(ISNUMBER(SEARCH("平",B1515)),"平","仄")))</x:f>
        <x:v>平</x:v>
      </x:c>
      <x:c r="K1515" s="6" t="str">
        <x:f>IF(D1515="","",IF(AND(ISNUMBER(SEARCH("平",D1515)),OR(ISNUMBER(SEARCH("上",D1515)),ISNUMBER(SEARCH("去",D1515)),ISNUMBER(SEARCH("入",D1515)))),"Ambiguous",IF(ISNUMBER(SEARCH("平",D1515)),"平","仄")))</x:f>
        <x:v>平</x:v>
      </x:c>
      <x:c r="L1515" s="7" t="str"/>
    </x:row>
    <x:row r="1516">
      <x:c r="A1516" s="5" t="str">
        <x:v>挑</x:v>
      </x:c>
      <x:c r="B1516" s="6" t="str">
        <x:v>上</x:v>
      </x:c>
      <x:c r="C1516" s="6" t="str">
        <x:f>IF(B1516="","Needs decision","Ready")</x:f>
        <x:v>Ready</x:v>
      </x:c>
      <x:c r="D1516" s="6" t="str">
        <x:v>平/上</x:v>
      </x:c>
      <x:c r="E1516" s="6" t="str">
        <x:v>thew (A); dewX (B)</x:v>
      </x:c>
      <x:c r="F1516" s="6" t="str">
        <x:v>下平聲二蕭; 下平聲四豪; 上聲十七篠</x:v>
      </x:c>
      <x:c r="G1516" s="6" t="str">
        <x:v>Pingshui main list, Wikisource-derived DOCX</x:v>
      </x:c>
      <x:c r="H1516" s="6" t="str">
        <x:v>2</x:v>
      </x:c>
      <x:c r="I1516" s="6" t="str"/>
      <x:c r="J1516" s="6" t="str">
        <x:f>IF(B1516="","",IF(AND(ISNUMBER(SEARCH("平",B1516)),OR(ISNUMBER(SEARCH("上",B1516)),ISNUMBER(SEARCH("去",B1516)),ISNUMBER(SEARCH("入",B1516)))),"Ambiguous",IF(ISNUMBER(SEARCH("平",B1516)),"平","仄")))</x:f>
        <x:v>仄</x:v>
      </x:c>
      <x:c r="K1516" s="6" t="str">
        <x:f>IF(D1516="","",IF(AND(ISNUMBER(SEARCH("平",D1516)),OR(ISNUMBER(SEARCH("上",D1516)),ISNUMBER(SEARCH("去",D1516)),ISNUMBER(SEARCH("入",D1516)))),"Ambiguous",IF(ISNUMBER(SEARCH("平",D1516)),"平","仄")))</x:f>
        <x:v>Ambiguous</x:v>
      </x:c>
      <x:c r="L1516" s="7" t="str"/>
    </x:row>
    <x:row r="1517">
      <x:c r="A1517" s="5" t="str">
        <x:v>振</x:v>
      </x:c>
      <x:c r="B1517" s="6" t="str">
        <x:v>去</x:v>
      </x:c>
      <x:c r="C1517" s="6" t="str">
        <x:f>IF(B1517="","Needs decision","Ready")</x:f>
        <x:v>Ready</x:v>
      </x:c>
      <x:c r="D1517" s="6" t="str">
        <x:v>平/去</x:v>
      </x:c>
      <x:c r="E1517" s="6" t="str">
        <x:v>tsyin (A); tsyinH (C)</x:v>
      </x:c>
      <x:c r="F1517" s="6" t="str">
        <x:v>上平聲十一真; 去聲十二震</x:v>
      </x:c>
      <x:c r="G1517" s="6" t="str">
        <x:v>Pingshui main list, Wikisource-derived DOCX</x:v>
      </x:c>
      <x:c r="H1517" s="6" t="str">
        <x:v>2</x:v>
      </x:c>
      <x:c r="I1517" s="6" t="str"/>
      <x:c r="J1517" s="6" t="str">
        <x:f>IF(B1517="","",IF(AND(ISNUMBER(SEARCH("平",B1517)),OR(ISNUMBER(SEARCH("上",B1517)),ISNUMBER(SEARCH("去",B1517)),ISNUMBER(SEARCH("入",B1517)))),"Ambiguous",IF(ISNUMBER(SEARCH("平",B1517)),"平","仄")))</x:f>
        <x:v>仄</x:v>
      </x:c>
      <x:c r="K1517" s="6" t="str">
        <x:f>IF(D1517="","",IF(AND(ISNUMBER(SEARCH("平",D1517)),OR(ISNUMBER(SEARCH("上",D1517)),ISNUMBER(SEARCH("去",D1517)),ISNUMBER(SEARCH("入",D1517)))),"Ambiguous",IF(ISNUMBER(SEARCH("平",D1517)),"平","仄")))</x:f>
        <x:v>Ambiguous</x:v>
      </x:c>
      <x:c r="L1517" s="7" t="str"/>
    </x:row>
    <x:row r="1518">
      <x:c r="A1518" s="5" t="str">
        <x:v>挲</x:v>
      </x:c>
      <x:c r="B1518" s="6" t="str">
        <x:v>平</x:v>
      </x:c>
      <x:c r="C1518" s="6" t="str">
        <x:f>IF(B1518="","Needs decision","Ready")</x:f>
        <x:v>Ready</x:v>
      </x:c>
      <x:c r="D1518" s="6" t="str">
        <x:v>平</x:v>
      </x:c>
      <x:c r="E1518" s="6" t="str">
        <x:v>sa [s̙ɑ] (平)</x:v>
      </x:c>
      <x:c r="F1518" s="6" t="str"/>
      <x:c r="G1518" s="6" t="str"/>
      <x:c r="H1518" s="6" t="str">
        <x:v>1</x:v>
      </x:c>
      <x:c r="I1518" s="6" t="str">
        <x:v>Tang 300 gap; frequency 1; provisional from Xun Gong</x:v>
      </x:c>
      <x:c r="J1518" s="6" t="str">
        <x:f>IF(B1518="","",IF(AND(ISNUMBER(SEARCH("平",B1518)),OR(ISNUMBER(SEARCH("上",B1518)),ISNUMBER(SEARCH("去",B1518)),ISNUMBER(SEARCH("入",B1518)))),"Ambiguous",IF(ISNUMBER(SEARCH("平",B1518)),"平","仄")))</x:f>
        <x:v>平</x:v>
      </x:c>
      <x:c r="K1518" s="6" t="str">
        <x:f>IF(D1518="","",IF(AND(ISNUMBER(SEARCH("平",D1518)),OR(ISNUMBER(SEARCH("上",D1518)),ISNUMBER(SEARCH("去",D1518)),ISNUMBER(SEARCH("入",D1518)))),"Ambiguous",IF(ISNUMBER(SEARCH("平",D1518)),"平","仄")))</x:f>
        <x:v>平</x:v>
      </x:c>
      <x:c r="L1518" s="7" t="str">
        <x:v>Xun Gong, Tang 300 gap fill</x:v>
      </x:c>
    </x:row>
    <x:row r="1519">
      <x:c r="A1519" s="5" t="str">
        <x:v>挹</x:v>
      </x:c>
      <x:c r="B1519" s="6" t="str">
        <x:v>入</x:v>
      </x:c>
      <x:c r="C1519" s="6" t="str">
        <x:f>IF(B1519="","Needs decision","Ready")</x:f>
        <x:v>Ready</x:v>
      </x:c>
      <x:c r="D1519" s="6" t="str">
        <x:v>入</x:v>
      </x:c>
      <x:c r="E1519" s="6" t="str">
        <x:v>'jip (D)</x:v>
      </x:c>
      <x:c r="F1519" s="6" t="str">
        <x:v>入聲十四緝</x:v>
      </x:c>
      <x:c r="G1519" s="6" t="str">
        <x:v>Pingshui main list, Wikisource-derived DOCX</x:v>
      </x:c>
      <x:c r="H1519" s="6" t="str">
        <x:v>1</x:v>
      </x:c>
      <x:c r="I1519" s="6" t="str"/>
      <x:c r="J1519" s="6" t="str">
        <x:f>IF(B1519="","",IF(AND(ISNUMBER(SEARCH("平",B1519)),OR(ISNUMBER(SEARCH("上",B1519)),ISNUMBER(SEARCH("去",B1519)),ISNUMBER(SEARCH("入",B1519)))),"Ambiguous",IF(ISNUMBER(SEARCH("平",B1519)),"平","仄")))</x:f>
        <x:v>仄</x:v>
      </x:c>
      <x:c r="K1519" s="6" t="str">
        <x:f>IF(D1519="","",IF(AND(ISNUMBER(SEARCH("平",D1519)),OR(ISNUMBER(SEARCH("上",D1519)),ISNUMBER(SEARCH("去",D1519)),ISNUMBER(SEARCH("入",D1519)))),"Ambiguous",IF(ISNUMBER(SEARCH("平",D1519)),"平","仄")))</x:f>
        <x:v>仄</x:v>
      </x:c>
      <x:c r="L1519" s="7" t="str"/>
    </x:row>
    <x:row r="1520">
      <x:c r="A1520" s="5" t="str">
        <x:v>挺</x:v>
      </x:c>
      <x:c r="B1520" s="6" t="str">
        <x:v>上</x:v>
      </x:c>
      <x:c r="C1520" s="6" t="str">
        <x:f>IF(B1520="","Needs decision","Ready")</x:f>
        <x:v>Ready</x:v>
      </x:c>
      <x:c r="D1520" s="6" t="str">
        <x:v>上</x:v>
      </x:c>
      <x:c r="E1520" s="6" t="str">
        <x:v>thengX (B)</x:v>
      </x:c>
      <x:c r="F1520" s="6" t="str">
        <x:v>上聲二十四迥</x:v>
      </x:c>
      <x:c r="G1520" s="6" t="str">
        <x:v>Pingshui main list, Wikisource-derived DOCX</x:v>
      </x:c>
      <x:c r="H1520" s="6" t="str">
        <x:v>1</x:v>
      </x:c>
      <x:c r="I1520" s="6" t="str"/>
      <x:c r="J1520" s="6" t="str">
        <x:f>IF(B1520="","",IF(AND(ISNUMBER(SEARCH("平",B1520)),OR(ISNUMBER(SEARCH("上",B1520)),ISNUMBER(SEARCH("去",B1520)),ISNUMBER(SEARCH("入",B1520)))),"Ambiguous",IF(ISNUMBER(SEARCH("平",B1520)),"平","仄")))</x:f>
        <x:v>仄</x:v>
      </x:c>
      <x:c r="K1520" s="6" t="str">
        <x:f>IF(D1520="","",IF(AND(ISNUMBER(SEARCH("平",D1520)),OR(ISNUMBER(SEARCH("上",D1520)),ISNUMBER(SEARCH("去",D1520)),ISNUMBER(SEARCH("入",D1520)))),"Ambiguous",IF(ISNUMBER(SEARCH("平",D1520)),"平","仄")))</x:f>
        <x:v>仄</x:v>
      </x:c>
      <x:c r="L1520" s="7" t="str"/>
    </x:row>
    <x:row r="1521">
      <x:c r="A1521" s="5" t="str">
        <x:v>挽</x:v>
      </x:c>
      <x:c r="B1521" s="6" t="str">
        <x:v>上</x:v>
      </x:c>
      <x:c r="C1521" s="6" t="str">
        <x:f>IF(B1521="","Needs decision","Ready")</x:f>
        <x:v>Ready</x:v>
      </x:c>
      <x:c r="D1521" s="6" t="str">
        <x:v>上</x:v>
      </x:c>
      <x:c r="E1521" s="6" t="str"/>
      <x:c r="F1521" s="6" t="str"/>
      <x:c r="G1521" s="6" t="str"/>
      <x:c r="H1521" s="6" t="str"/>
      <x:c r="I1521" s="6" t="str">
        <x:v>Manual user correction/addition</x:v>
      </x:c>
      <x:c r="J1521" s="6" t="str">
        <x:f>IF(B1521="","",IF(AND(ISNUMBER(SEARCH("平",B1521)),OR(ISNUMBER(SEARCH("上",B1521)),ISNUMBER(SEARCH("去",B1521)),ISNUMBER(SEARCH("入",B1521)))),"Ambiguous",IF(ISNUMBER(SEARCH("平",B1521)),"平","仄")))</x:f>
        <x:v>仄</x:v>
      </x:c>
      <x:c r="K1521" s="6" t="str">
        <x:f>IF(D1521="","",IF(AND(ISNUMBER(SEARCH("平",D1521)),OR(ISNUMBER(SEARCH("上",D1521)),ISNUMBER(SEARCH("去",D1521)),ISNUMBER(SEARCH("入",D1521)))),"Ambiguous",IF(ISNUMBER(SEARCH("平",D1521)),"平","仄")))</x:f>
        <x:v>仄</x:v>
      </x:c>
      <x:c r="L1521" s="7" t="str">
        <x:v>manual user correction</x:v>
      </x:c>
    </x:row>
    <x:row r="1522">
      <x:c r="A1522" s="5" t="str">
        <x:v>挾</x:v>
      </x:c>
      <x:c r="B1522" s="6" t="str">
        <x:v>入</x:v>
      </x:c>
      <x:c r="C1522" s="6" t="str">
        <x:f>IF(B1522="","Needs decision","Ready")</x:f>
        <x:v>Ready</x:v>
      </x:c>
      <x:c r="D1522" s="6" t="str">
        <x:v>入</x:v>
      </x:c>
      <x:c r="E1522" s="6" t="str">
        <x:v>hep (D); tsep (D)</x:v>
      </x:c>
      <x:c r="F1522" s="6" t="str">
        <x:v>入聲十六葉</x:v>
      </x:c>
      <x:c r="G1522" s="6" t="str">
        <x:v>Pingshui main list, Wikisource-derived DOCX</x:v>
      </x:c>
      <x:c r="H1522" s="6" t="str">
        <x:v>2</x:v>
      </x:c>
      <x:c r="I1522" s="6" t="str"/>
      <x:c r="J1522" s="6" t="str">
        <x:f>IF(B1522="","",IF(AND(ISNUMBER(SEARCH("平",B1522)),OR(ISNUMBER(SEARCH("上",B1522)),ISNUMBER(SEARCH("去",B1522)),ISNUMBER(SEARCH("入",B1522)))),"Ambiguous",IF(ISNUMBER(SEARCH("平",B1522)),"平","仄")))</x:f>
        <x:v>仄</x:v>
      </x:c>
      <x:c r="K1522" s="6" t="str">
        <x:f>IF(D1522="","",IF(AND(ISNUMBER(SEARCH("平",D1522)),OR(ISNUMBER(SEARCH("上",D1522)),ISNUMBER(SEARCH("去",D1522)),ISNUMBER(SEARCH("入",D1522)))),"Ambiguous",IF(ISNUMBER(SEARCH("平",D1522)),"平","仄")))</x:f>
        <x:v>仄</x:v>
      </x:c>
      <x:c r="L1522" s="7" t="str"/>
    </x:row>
    <x:row r="1523">
      <x:c r="A1523" s="5" t="str">
        <x:v>捉</x:v>
      </x:c>
      <x:c r="B1523" s="6" t="str">
        <x:v>入</x:v>
      </x:c>
      <x:c r="C1523" s="6" t="str">
        <x:f>IF(B1523="","Needs decision","Ready")</x:f>
        <x:v>Ready</x:v>
      </x:c>
      <x:c r="D1523" s="6" t="str">
        <x:v>入</x:v>
      </x:c>
      <x:c r="E1523" s="6" t="str">
        <x:v>tsraewk (D)</x:v>
      </x:c>
      <x:c r="F1523" s="6" t="str"/>
      <x:c r="G1523" s="6" t="str"/>
      <x:c r="H1523" s="6" t="str">
        <x:v>1</x:v>
      </x:c>
      <x:c r="I1523" s="6" t="str"/>
      <x:c r="J1523" s="6" t="str">
        <x:f>IF(B1523="","",IF(AND(ISNUMBER(SEARCH("平",B1523)),OR(ISNUMBER(SEARCH("上",B1523)),ISNUMBER(SEARCH("去",B1523)),ISNUMBER(SEARCH("入",B1523)))),"Ambiguous",IF(ISNUMBER(SEARCH("平",B1523)),"平","仄")))</x:f>
        <x:v>仄</x:v>
      </x:c>
      <x:c r="K1523" s="6" t="str">
        <x:f>IF(D1523="","",IF(AND(ISNUMBER(SEARCH("平",D1523)),OR(ISNUMBER(SEARCH("上",D1523)),ISNUMBER(SEARCH("去",D1523)),ISNUMBER(SEARCH("入",D1523)))),"Ambiguous",IF(ISNUMBER(SEARCH("平",D1523)),"平","仄")))</x:f>
        <x:v>仄</x:v>
      </x:c>
      <x:c r="L1523" s="7" t="str"/>
    </x:row>
    <x:row r="1524">
      <x:c r="A1524" s="5" t="str">
        <x:v>捋</x:v>
      </x:c>
      <x:c r="B1524" s="6" t="str">
        <x:v>入</x:v>
      </x:c>
      <x:c r="C1524" s="6" t="str">
        <x:f>IF(B1524="","Needs decision","Ready")</x:f>
        <x:v>Ready</x:v>
      </x:c>
      <x:c r="D1524" s="6" t="str">
        <x:v>入</x:v>
      </x:c>
      <x:c r="E1524" s="6" t="str">
        <x:v>lwat (D)</x:v>
      </x:c>
      <x:c r="F1524" s="6" t="str">
        <x:v>入聲七曷</x:v>
      </x:c>
      <x:c r="G1524" s="6" t="str">
        <x:v>Pingshui main list, Wikisource-derived DOCX</x:v>
      </x:c>
      <x:c r="H1524" s="6" t="str">
        <x:v>1</x:v>
      </x:c>
      <x:c r="I1524" s="6" t="str"/>
      <x:c r="J1524" s="6" t="str">
        <x:f>IF(B1524="","",IF(AND(ISNUMBER(SEARCH("平",B1524)),OR(ISNUMBER(SEARCH("上",B1524)),ISNUMBER(SEARCH("去",B1524)),ISNUMBER(SEARCH("入",B1524)))),"Ambiguous",IF(ISNUMBER(SEARCH("平",B1524)),"平","仄")))</x:f>
        <x:v>仄</x:v>
      </x:c>
      <x:c r="K1524" s="6" t="str">
        <x:f>IF(D1524="","",IF(AND(ISNUMBER(SEARCH("平",D1524)),OR(ISNUMBER(SEARCH("上",D1524)),ISNUMBER(SEARCH("去",D1524)),ISNUMBER(SEARCH("入",D1524)))),"Ambiguous",IF(ISNUMBER(SEARCH("平",D1524)),"平","仄")))</x:f>
        <x:v>仄</x:v>
      </x:c>
      <x:c r="L1524" s="7" t="str"/>
    </x:row>
    <x:row r="1525">
      <x:c r="A1525" s="5" t="str">
        <x:v>捍</x:v>
      </x:c>
      <x:c r="B1525" s="6" t="str">
        <x:v>去</x:v>
      </x:c>
      <x:c r="C1525" s="6" t="str">
        <x:f>IF(B1525="","Needs decision","Ready")</x:f>
        <x:v>Ready</x:v>
      </x:c>
      <x:c r="D1525" s="6" t="str">
        <x:v>去</x:v>
      </x:c>
      <x:c r="E1525" s="6" t="str">
        <x:v>hanH (C)</x:v>
      </x:c>
      <x:c r="F1525" s="6" t="str"/>
      <x:c r="G1525" s="6" t="str"/>
      <x:c r="H1525" s="6" t="str">
        <x:v>1</x:v>
      </x:c>
      <x:c r="I1525" s="6" t="str"/>
      <x:c r="J1525" s="6" t="str">
        <x:f>IF(B1525="","",IF(AND(ISNUMBER(SEARCH("平",B1525)),OR(ISNUMBER(SEARCH("上",B1525)),ISNUMBER(SEARCH("去",B1525)),ISNUMBER(SEARCH("入",B1525)))),"Ambiguous",IF(ISNUMBER(SEARCH("平",B1525)),"平","仄")))</x:f>
        <x:v>仄</x:v>
      </x:c>
      <x:c r="K1525" s="6" t="str">
        <x:f>IF(D1525="","",IF(AND(ISNUMBER(SEARCH("平",D1525)),OR(ISNUMBER(SEARCH("上",D1525)),ISNUMBER(SEARCH("去",D1525)),ISNUMBER(SEARCH("入",D1525)))),"Ambiguous",IF(ISNUMBER(SEARCH("平",D1525)),"平","仄")))</x:f>
        <x:v>仄</x:v>
      </x:c>
      <x:c r="L1525" s="7" t="str"/>
    </x:row>
    <x:row r="1526">
      <x:c r="A1526" s="5" t="str">
        <x:v>捎</x:v>
      </x:c>
      <x:c r="B1526" s="6" t="str">
        <x:v>平</x:v>
      </x:c>
      <x:c r="C1526" s="6" t="str">
        <x:f>IF(B1526="","Needs decision","Ready")</x:f>
        <x:v>Ready</x:v>
      </x:c>
      <x:c r="D1526" s="6" t="str">
        <x:v>平</x:v>
      </x:c>
      <x:c r="E1526" s="6" t="str">
        <x:v>sew (A)</x:v>
      </x:c>
      <x:c r="F1526" s="6" t="str">
        <x:v>下平聲三肴</x:v>
      </x:c>
      <x:c r="G1526" s="6" t="str">
        <x:v>Pingshui main list, Wikisource-derived DOCX</x:v>
      </x:c>
      <x:c r="H1526" s="6" t="str">
        <x:v>1</x:v>
      </x:c>
      <x:c r="I1526" s="6" t="str"/>
      <x:c r="J1526" s="6" t="str">
        <x:f>IF(B1526="","",IF(AND(ISNUMBER(SEARCH("平",B1526)),OR(ISNUMBER(SEARCH("上",B1526)),ISNUMBER(SEARCH("去",B1526)),ISNUMBER(SEARCH("入",B1526)))),"Ambiguous",IF(ISNUMBER(SEARCH("平",B1526)),"平","仄")))</x:f>
        <x:v>平</x:v>
      </x:c>
      <x:c r="K1526" s="6" t="str">
        <x:f>IF(D1526="","",IF(AND(ISNUMBER(SEARCH("平",D1526)),OR(ISNUMBER(SEARCH("上",D1526)),ISNUMBER(SEARCH("去",D1526)),ISNUMBER(SEARCH("入",D1526)))),"Ambiguous",IF(ISNUMBER(SEARCH("平",D1526)),"平","仄")))</x:f>
        <x:v>平</x:v>
      </x:c>
      <x:c r="L1526" s="7" t="str"/>
    </x:row>
    <x:row r="1527">
      <x:c r="A1527" s="5" t="str">
        <x:v>捐</x:v>
      </x:c>
      <x:c r="B1527" s="6" t="str">
        <x:v>平</x:v>
      </x:c>
      <x:c r="C1527" s="6" t="str">
        <x:f>IF(B1527="","Needs decision","Ready")</x:f>
        <x:v>Ready</x:v>
      </x:c>
      <x:c r="D1527" s="6" t="str">
        <x:v>平</x:v>
      </x:c>
      <x:c r="E1527" s="6" t="str">
        <x:v>ywen (A)</x:v>
      </x:c>
      <x:c r="F1527" s="6" t="str">
        <x:v>下平聲一先</x:v>
      </x:c>
      <x:c r="G1527" s="6" t="str">
        <x:v>Pingshui main list, Wikisource-derived DOCX</x:v>
      </x:c>
      <x:c r="H1527" s="6" t="str">
        <x:v>1</x:v>
      </x:c>
      <x:c r="I1527" s="6" t="str"/>
      <x:c r="J1527" s="6" t="str">
        <x:f>IF(B1527="","",IF(AND(ISNUMBER(SEARCH("平",B1527)),OR(ISNUMBER(SEARCH("上",B1527)),ISNUMBER(SEARCH("去",B1527)),ISNUMBER(SEARCH("入",B1527)))),"Ambiguous",IF(ISNUMBER(SEARCH("平",B1527)),"平","仄")))</x:f>
        <x:v>平</x:v>
      </x:c>
      <x:c r="K1527" s="6" t="str">
        <x:f>IF(D1527="","",IF(AND(ISNUMBER(SEARCH("平",D1527)),OR(ISNUMBER(SEARCH("上",D1527)),ISNUMBER(SEARCH("去",D1527)),ISNUMBER(SEARCH("入",D1527)))),"Ambiguous",IF(ISNUMBER(SEARCH("平",D1527)),"平","仄")))</x:f>
        <x:v>平</x:v>
      </x:c>
      <x:c r="L1527" s="7" t="str"/>
    </x:row>
    <x:row r="1528">
      <x:c r="A1528" s="5" t="str">
        <x:v>捝</x:v>
      </x:c>
      <x:c r="B1528" s="6" t="str">
        <x:v>入</x:v>
      </x:c>
      <x:c r="C1528" s="6" t="str">
        <x:f>IF(B1528="","Needs decision","Ready")</x:f>
        <x:v>Ready</x:v>
      </x:c>
      <x:c r="D1528" s="6" t="str">
        <x:v>入</x:v>
      </x:c>
      <x:c r="E1528" s="6" t="str">
        <x:v>thwat (D)</x:v>
      </x:c>
      <x:c r="F1528" s="6" t="str"/>
      <x:c r="G1528" s="6" t="str"/>
      <x:c r="H1528" s="6" t="str">
        <x:v>1</x:v>
      </x:c>
      <x:c r="I1528" s="6" t="str"/>
      <x:c r="J1528" s="6" t="str">
        <x:f>IF(B1528="","",IF(AND(ISNUMBER(SEARCH("平",B1528)),OR(ISNUMBER(SEARCH("上",B1528)),ISNUMBER(SEARCH("去",B1528)),ISNUMBER(SEARCH("入",B1528)))),"Ambiguous",IF(ISNUMBER(SEARCH("平",B1528)),"平","仄")))</x:f>
        <x:v>仄</x:v>
      </x:c>
      <x:c r="K1528" s="6" t="str">
        <x:f>IF(D1528="","",IF(AND(ISNUMBER(SEARCH("平",D1528)),OR(ISNUMBER(SEARCH("上",D1528)),ISNUMBER(SEARCH("去",D1528)),ISNUMBER(SEARCH("入",D1528)))),"Ambiguous",IF(ISNUMBER(SEARCH("平",D1528)),"平","仄")))</x:f>
        <x:v>仄</x:v>
      </x:c>
      <x:c r="L1528" s="7" t="str"/>
    </x:row>
    <x:row r="1529">
      <x:c r="A1529" s="5" t="str">
        <x:v>捧</x:v>
      </x:c>
      <x:c r="B1529" s="6" t="str">
        <x:v>上</x:v>
      </x:c>
      <x:c r="C1529" s="6" t="str">
        <x:f>IF(B1529="","Needs decision","Ready")</x:f>
        <x:v>Ready</x:v>
      </x:c>
      <x:c r="D1529" s="6" t="str">
        <x:v>上</x:v>
      </x:c>
      <x:c r="E1529" s="6" t="str">
        <x:v>phjowngX [pʰɨ̯oŋʔ] (上)</x:v>
      </x:c>
      <x:c r="F1529" s="6" t="str"/>
      <x:c r="G1529" s="6" t="str"/>
      <x:c r="H1529" s="6" t="str">
        <x:v>1</x:v>
      </x:c>
      <x:c r="I1529" s="6" t="str">
        <x:v>Tang 300 gap; frequency 1; provisional from Xun Gong</x:v>
      </x:c>
      <x:c r="J1529" s="6" t="str">
        <x:f>IF(B1529="","",IF(AND(ISNUMBER(SEARCH("平",B1529)),OR(ISNUMBER(SEARCH("上",B1529)),ISNUMBER(SEARCH("去",B1529)),ISNUMBER(SEARCH("入",B1529)))),"Ambiguous",IF(ISNUMBER(SEARCH("平",B1529)),"平","仄")))</x:f>
        <x:v>仄</x:v>
      </x:c>
      <x:c r="K1529" s="6" t="str">
        <x:f>IF(D1529="","",IF(AND(ISNUMBER(SEARCH("平",D1529)),OR(ISNUMBER(SEARCH("上",D1529)),ISNUMBER(SEARCH("去",D1529)),ISNUMBER(SEARCH("入",D1529)))),"Ambiguous",IF(ISNUMBER(SEARCH("平",D1529)),"平","仄")))</x:f>
        <x:v>仄</x:v>
      </x:c>
      <x:c r="L1529" s="7" t="str">
        <x:v>Xun Gong, Tang 300 gap fill</x:v>
      </x:c>
    </x:row>
    <x:row r="1530">
      <x:c r="A1530" s="5" t="str">
        <x:v>捨</x:v>
      </x:c>
      <x:c r="B1530" s="6" t="str">
        <x:v>上</x:v>
      </x:c>
      <x:c r="C1530" s="6" t="str">
        <x:f>IF(B1530="","Needs decision","Ready")</x:f>
        <x:v>Ready</x:v>
      </x:c>
      <x:c r="D1530" s="6" t="str">
        <x:v>上</x:v>
      </x:c>
      <x:c r="E1530" s="6" t="str">
        <x:v>syaeX (B)</x:v>
      </x:c>
      <x:c r="F1530" s="6" t="str">
        <x:v>上聲二十一馬</x:v>
      </x:c>
      <x:c r="G1530" s="6" t="str">
        <x:v>Pingshui main list, Wikisource-derived DOCX</x:v>
      </x:c>
      <x:c r="H1530" s="6" t="str">
        <x:v>1</x:v>
      </x:c>
      <x:c r="I1530" s="6" t="str"/>
      <x:c r="J1530" s="6" t="str">
        <x:f>IF(B1530="","",IF(AND(ISNUMBER(SEARCH("平",B1530)),OR(ISNUMBER(SEARCH("上",B1530)),ISNUMBER(SEARCH("去",B1530)),ISNUMBER(SEARCH("入",B1530)))),"Ambiguous",IF(ISNUMBER(SEARCH("平",B1530)),"平","仄")))</x:f>
        <x:v>仄</x:v>
      </x:c>
      <x:c r="K1530" s="6" t="str">
        <x:f>IF(D1530="","",IF(AND(ISNUMBER(SEARCH("平",D1530)),OR(ISNUMBER(SEARCH("上",D1530)),ISNUMBER(SEARCH("去",D1530)),ISNUMBER(SEARCH("入",D1530)))),"Ambiguous",IF(ISNUMBER(SEARCH("平",D1530)),"平","仄")))</x:f>
        <x:v>仄</x:v>
      </x:c>
      <x:c r="L1530" s="7" t="str"/>
    </x:row>
    <x:row r="1531">
      <x:c r="A1531" s="5" t="str">
        <x:v>捫</x:v>
      </x:c>
      <x:c r="B1531" s="6" t="str">
        <x:v>平</x:v>
      </x:c>
      <x:c r="C1531" s="6" t="str">
        <x:f>IF(B1531="","Needs decision","Ready")</x:f>
        <x:v>Ready</x:v>
      </x:c>
      <x:c r="D1531" s="6" t="str">
        <x:v>平</x:v>
      </x:c>
      <x:c r="E1531" s="6" t="str">
        <x:v>mwon (A)</x:v>
      </x:c>
      <x:c r="F1531" s="6" t="str">
        <x:v>上平聲十三元</x:v>
      </x:c>
      <x:c r="G1531" s="6" t="str">
        <x:v>Pingshui main list, Wikisource-derived DOCX</x:v>
      </x:c>
      <x:c r="H1531" s="6" t="str">
        <x:v>1</x:v>
      </x:c>
      <x:c r="I1531" s="6" t="str"/>
      <x:c r="J1531" s="6" t="str">
        <x:f>IF(B1531="","",IF(AND(ISNUMBER(SEARCH("平",B1531)),OR(ISNUMBER(SEARCH("上",B1531)),ISNUMBER(SEARCH("去",B1531)),ISNUMBER(SEARCH("入",B1531)))),"Ambiguous",IF(ISNUMBER(SEARCH("平",B1531)),"平","仄")))</x:f>
        <x:v>平</x:v>
      </x:c>
      <x:c r="K1531" s="6" t="str">
        <x:f>IF(D1531="","",IF(AND(ISNUMBER(SEARCH("平",D1531)),OR(ISNUMBER(SEARCH("上",D1531)),ISNUMBER(SEARCH("去",D1531)),ISNUMBER(SEARCH("入",D1531)))),"Ambiguous",IF(ISNUMBER(SEARCH("平",D1531)),"平","仄")))</x:f>
        <x:v>平</x:v>
      </x:c>
      <x:c r="L1531" s="7" t="str"/>
    </x:row>
    <x:row r="1532">
      <x:c r="A1532" s="5" t="str">
        <x:v>捲</x:v>
      </x:c>
      <x:c r="B1532" s="6" t="str"/>
      <x:c r="C1532" s="6" t="str">
        <x:f>IF(B1532="","Needs decision","Ready")</x:f>
        <x:v>Needs decision</x:v>
      </x:c>
      <x:c r="D1532" s="6" t="str">
        <x:v>平/上/去</x:v>
      </x:c>
      <x:c r="E1532" s="6" t="str">
        <x:v>gjwen [ɡwɨ̯en] (平); kjwenH [kwɨ̯enh] (去); kjwenX [kwɨ̯enʔ] (上)</x:v>
      </x:c>
      <x:c r="F1532" s="6" t="str"/>
      <x:c r="G1532" s="6" t="str"/>
      <x:c r="H1532" s="6" t="str">
        <x:v>3</x:v>
      </x:c>
      <x:c r="I1532" s="6" t="str">
        <x:v>Tang 300 gap; frequency 5; ambiguous in Xun Gong</x:v>
      </x:c>
      <x:c r="J1532" s="6" t="str">
        <x:f>IF(B1532="","",IF(AND(ISNUMBER(SEARCH("平",B1532)),OR(ISNUMBER(SEARCH("上",B1532)),ISNUMBER(SEARCH("去",B1532)),ISNUMBER(SEARCH("入",B1532)))),"Ambiguous",IF(ISNUMBER(SEARCH("平",B1532)),"平","仄")))</x:f>
      </x:c>
      <x:c r="K1532" s="6" t="str">
        <x:f>IF(D1532="","",IF(AND(ISNUMBER(SEARCH("平",D1532)),OR(ISNUMBER(SEARCH("上",D1532)),ISNUMBER(SEARCH("去",D1532)),ISNUMBER(SEARCH("入",D1532)))),"Ambiguous",IF(ISNUMBER(SEARCH("平",D1532)),"平","仄")))</x:f>
        <x:v>Ambiguous</x:v>
      </x:c>
      <x:c r="L1532" s="7" t="str">
        <x:v>Xun Gong, Tang 300 gap fill</x:v>
      </x:c>
    </x:row>
    <x:row r="1533">
      <x:c r="A1533" s="5" t="str">
        <x:v>捶</x:v>
      </x:c>
      <x:c r="B1533" s="6" t="str">
        <x:v>上</x:v>
      </x:c>
      <x:c r="C1533" s="6" t="str">
        <x:f>IF(B1533="","Needs decision","Ready")</x:f>
        <x:v>Ready</x:v>
      </x:c>
      <x:c r="D1533" s="6" t="str">
        <x:v>上</x:v>
      </x:c>
      <x:c r="E1533" s="6" t="str">
        <x:v>tsyweX (B)</x:v>
      </x:c>
      <x:c r="F1533" s="6" t="str">
        <x:v>上聲四紙</x:v>
      </x:c>
      <x:c r="G1533" s="6" t="str">
        <x:v>Pingshui main list, Wikisource-derived DOCX</x:v>
      </x:c>
      <x:c r="H1533" s="6" t="str">
        <x:v>1</x:v>
      </x:c>
      <x:c r="I1533" s="6" t="str"/>
      <x:c r="J1533" s="6" t="str">
        <x:f>IF(B1533="","",IF(AND(ISNUMBER(SEARCH("平",B1533)),OR(ISNUMBER(SEARCH("上",B1533)),ISNUMBER(SEARCH("去",B1533)),ISNUMBER(SEARCH("入",B1533)))),"Ambiguous",IF(ISNUMBER(SEARCH("平",B1533)),"平","仄")))</x:f>
        <x:v>仄</x:v>
      </x:c>
      <x:c r="K1533" s="6" t="str">
        <x:f>IF(D1533="","",IF(AND(ISNUMBER(SEARCH("平",D1533)),OR(ISNUMBER(SEARCH("上",D1533)),ISNUMBER(SEARCH("去",D1533)),ISNUMBER(SEARCH("入",D1533)))),"Ambiguous",IF(ISNUMBER(SEARCH("平",D1533)),"平","仄")))</x:f>
        <x:v>仄</x:v>
      </x:c>
      <x:c r="L1533" s="7" t="str"/>
    </x:row>
    <x:row r="1534">
      <x:c r="A1534" s="5" t="str">
        <x:v>捷</x:v>
      </x:c>
      <x:c r="B1534" s="6" t="str">
        <x:v>入</x:v>
      </x:c>
      <x:c r="C1534" s="6" t="str">
        <x:f>IF(B1534="","Needs decision","Ready")</x:f>
        <x:v>Ready</x:v>
      </x:c>
      <x:c r="D1534" s="6" t="str">
        <x:v>入</x:v>
      </x:c>
      <x:c r="E1534" s="6" t="str">
        <x:v>dzjep (D)</x:v>
      </x:c>
      <x:c r="F1534" s="6" t="str">
        <x:v>入聲十六葉</x:v>
      </x:c>
      <x:c r="G1534" s="6" t="str">
        <x:v>Pingshui main list, Wikisource-derived DOCX</x:v>
      </x:c>
      <x:c r="H1534" s="6" t="str">
        <x:v>1</x:v>
      </x:c>
      <x:c r="I1534" s="6" t="str"/>
      <x:c r="J1534" s="6" t="str">
        <x:f>IF(B1534="","",IF(AND(ISNUMBER(SEARCH("平",B1534)),OR(ISNUMBER(SEARCH("上",B1534)),ISNUMBER(SEARCH("去",B1534)),ISNUMBER(SEARCH("入",B1534)))),"Ambiguous",IF(ISNUMBER(SEARCH("平",B1534)),"平","仄")))</x:f>
        <x:v>仄</x:v>
      </x:c>
      <x:c r="K1534" s="6" t="str">
        <x:f>IF(D1534="","",IF(AND(ISNUMBER(SEARCH("平",D1534)),OR(ISNUMBER(SEARCH("上",D1534)),ISNUMBER(SEARCH("去",D1534)),ISNUMBER(SEARCH("入",D1534)))),"Ambiguous",IF(ISNUMBER(SEARCH("平",D1534)),"平","仄")))</x:f>
        <x:v>仄</x:v>
      </x:c>
      <x:c r="L1534" s="7" t="str"/>
    </x:row>
    <x:row r="1535">
      <x:c r="A1535" s="5" t="str">
        <x:v>掃</x:v>
      </x:c>
      <x:c r="B1535" s="6" t="str">
        <x:v>上</x:v>
      </x:c>
      <x:c r="C1535" s="6" t="str">
        <x:f>IF(B1535="","Needs decision","Ready")</x:f>
        <x:v>Ready</x:v>
      </x:c>
      <x:c r="D1535" s="6" t="str">
        <x:v>上</x:v>
      </x:c>
      <x:c r="E1535" s="6" t="str"/>
      <x:c r="F1535" s="6" t="str"/>
      <x:c r="G1535" s="6" t="str"/>
      <x:c r="H1535" s="6" t="str"/>
      <x:c r="I1535" s="6" t="str">
        <x:v>Manual user correction/addition</x:v>
      </x:c>
      <x:c r="J1535" s="6" t="str">
        <x:f>IF(B1535="","",IF(AND(ISNUMBER(SEARCH("平",B1535)),OR(ISNUMBER(SEARCH("上",B1535)),ISNUMBER(SEARCH("去",B1535)),ISNUMBER(SEARCH("入",B1535)))),"Ambiguous",IF(ISNUMBER(SEARCH("平",B1535)),"平","仄")))</x:f>
        <x:v>仄</x:v>
      </x:c>
      <x:c r="K1535" s="6" t="str">
        <x:f>IF(D1535="","",IF(AND(ISNUMBER(SEARCH("平",D1535)),OR(ISNUMBER(SEARCH("上",D1535)),ISNUMBER(SEARCH("去",D1535)),ISNUMBER(SEARCH("入",D1535)))),"Ambiguous",IF(ISNUMBER(SEARCH("平",D1535)),"平","仄")))</x:f>
        <x:v>仄</x:v>
      </x:c>
      <x:c r="L1535" s="7" t="str">
        <x:v>manual user correction</x:v>
      </x:c>
    </x:row>
    <x:row r="1536">
      <x:c r="A1536" s="5" t="str">
        <x:v>掇</x:v>
      </x:c>
      <x:c r="B1536" s="6" t="str">
        <x:v>入</x:v>
      </x:c>
      <x:c r="C1536" s="6" t="str">
        <x:f>IF(B1536="","Needs decision","Ready")</x:f>
        <x:v>Ready</x:v>
      </x:c>
      <x:c r="D1536" s="6" t="str">
        <x:v>入</x:v>
      </x:c>
      <x:c r="E1536" s="6" t="str">
        <x:v>trjwet (D); twat (D)</x:v>
      </x:c>
      <x:c r="F1536" s="6" t="str">
        <x:v>入聲七曷; 入聲九屑</x:v>
      </x:c>
      <x:c r="G1536" s="6" t="str">
        <x:v>Pingshui main list, Wikisource-derived DOCX</x:v>
      </x:c>
      <x:c r="H1536" s="6" t="str">
        <x:v>2</x:v>
      </x:c>
      <x:c r="I1536" s="6" t="str"/>
      <x:c r="J1536" s="6" t="str">
        <x:f>IF(B1536="","",IF(AND(ISNUMBER(SEARCH("平",B1536)),OR(ISNUMBER(SEARCH("上",B1536)),ISNUMBER(SEARCH("去",B1536)),ISNUMBER(SEARCH("入",B1536)))),"Ambiguous",IF(ISNUMBER(SEARCH("平",B1536)),"平","仄")))</x:f>
        <x:v>仄</x:v>
      </x:c>
      <x:c r="K1536" s="6" t="str">
        <x:f>IF(D1536="","",IF(AND(ISNUMBER(SEARCH("平",D1536)),OR(ISNUMBER(SEARCH("上",D1536)),ISNUMBER(SEARCH("去",D1536)),ISNUMBER(SEARCH("入",D1536)))),"Ambiguous",IF(ISNUMBER(SEARCH("平",D1536)),"平","仄")))</x:f>
        <x:v>仄</x:v>
      </x:c>
      <x:c r="L1536" s="7" t="str"/>
    </x:row>
    <x:row r="1537">
      <x:c r="A1537" s="5" t="str">
        <x:v>授</x:v>
      </x:c>
      <x:c r="B1537" s="6" t="str">
        <x:v>去</x:v>
      </x:c>
      <x:c r="C1537" s="6" t="str">
        <x:f>IF(B1537="","Needs decision","Ready")</x:f>
        <x:v>Ready</x:v>
      </x:c>
      <x:c r="D1537" s="6" t="str">
        <x:v>去</x:v>
      </x:c>
      <x:c r="E1537" s="6" t="str">
        <x:v>dzyuwH (C)</x:v>
      </x:c>
      <x:c r="F1537" s="6" t="str">
        <x:v>去聲十七霰; 去聲二十六宥</x:v>
      </x:c>
      <x:c r="G1537" s="6" t="str">
        <x:v>Pingshui main list, Wikisource-derived DOCX</x:v>
      </x:c>
      <x:c r="H1537" s="6" t="str">
        <x:v>1</x:v>
      </x:c>
      <x:c r="I1537" s="6" t="str"/>
      <x:c r="J1537" s="6" t="str">
        <x:f>IF(B1537="","",IF(AND(ISNUMBER(SEARCH("平",B1537)),OR(ISNUMBER(SEARCH("上",B1537)),ISNUMBER(SEARCH("去",B1537)),ISNUMBER(SEARCH("入",B1537)))),"Ambiguous",IF(ISNUMBER(SEARCH("平",B1537)),"平","仄")))</x:f>
        <x:v>仄</x:v>
      </x:c>
      <x:c r="K1537" s="6" t="str">
        <x:f>IF(D1537="","",IF(AND(ISNUMBER(SEARCH("平",D1537)),OR(ISNUMBER(SEARCH("上",D1537)),ISNUMBER(SEARCH("去",D1537)),ISNUMBER(SEARCH("入",D1537)))),"Ambiguous",IF(ISNUMBER(SEARCH("平",D1537)),"平","仄")))</x:f>
        <x:v>仄</x:v>
      </x:c>
      <x:c r="L1537" s="7" t="str"/>
    </x:row>
    <x:row r="1538">
      <x:c r="A1538" s="5" t="str">
        <x:v>掌</x:v>
      </x:c>
      <x:c r="B1538" s="6" t="str">
        <x:v>上</x:v>
      </x:c>
      <x:c r="C1538" s="6" t="str">
        <x:f>IF(B1538="","Needs decision","Ready")</x:f>
        <x:v>Ready</x:v>
      </x:c>
      <x:c r="D1538" s="6" t="str">
        <x:v>上</x:v>
      </x:c>
      <x:c r="E1538" s="6" t="str">
        <x:v>tsyangX (B)</x:v>
      </x:c>
      <x:c r="F1538" s="6" t="str">
        <x:v>上聲二十二養</x:v>
      </x:c>
      <x:c r="G1538" s="6" t="str">
        <x:v>Pingshui main list, Wikisource-derived DOCX</x:v>
      </x:c>
      <x:c r="H1538" s="6" t="str">
        <x:v>1</x:v>
      </x:c>
      <x:c r="I1538" s="6" t="str"/>
      <x:c r="J1538" s="6" t="str">
        <x:f>IF(B1538="","",IF(AND(ISNUMBER(SEARCH("平",B1538)),OR(ISNUMBER(SEARCH("上",B1538)),ISNUMBER(SEARCH("去",B1538)),ISNUMBER(SEARCH("入",B1538)))),"Ambiguous",IF(ISNUMBER(SEARCH("平",B1538)),"平","仄")))</x:f>
        <x:v>仄</x:v>
      </x:c>
      <x:c r="K1538" s="6" t="str">
        <x:f>IF(D1538="","",IF(AND(ISNUMBER(SEARCH("平",D1538)),OR(ISNUMBER(SEARCH("上",D1538)),ISNUMBER(SEARCH("去",D1538)),ISNUMBER(SEARCH("入",D1538)))),"Ambiguous",IF(ISNUMBER(SEARCH("平",D1538)),"平","仄")))</x:f>
        <x:v>仄</x:v>
      </x:c>
      <x:c r="L1538" s="7" t="str"/>
    </x:row>
    <x:row r="1539">
      <x:c r="A1539" s="5" t="str">
        <x:v>掎</x:v>
      </x:c>
      <x:c r="B1539" s="6" t="str"/>
      <x:c r="C1539" s="6" t="str">
        <x:f>IF(B1539="","Needs decision","Ready")</x:f>
        <x:v>Needs decision</x:v>
      </x:c>
      <x:c r="D1539" s="6" t="str">
        <x:v>平/上/去</x:v>
      </x:c>
      <x:c r="E1539" s="6" t="str">
        <x:v>khjeH [kʰɨ̯ieh] (去); kje [kɨ̯ie] (平); kjeX [kɨ̯ieʔ] (上)</x:v>
      </x:c>
      <x:c r="F1539" s="6" t="str">
        <x:v>上聲四紙; 去聲四寘</x:v>
      </x:c>
      <x:c r="G1539" s="6" t="str">
        <x:v>Pingshui main list, Wikisource-derived DOCX</x:v>
      </x:c>
      <x:c r="H1539" s="6" t="str">
        <x:v>3</x:v>
      </x:c>
      <x:c r="I1539" s="6" t="str">
        <x:v>Tang 300 gap; frequency 1; ambiguous in Xun Gong</x:v>
      </x:c>
      <x:c r="J1539" s="6" t="str">
        <x:f>IF(B1539="","",IF(AND(ISNUMBER(SEARCH("平",B1539)),OR(ISNUMBER(SEARCH("上",B1539)),ISNUMBER(SEARCH("去",B1539)),ISNUMBER(SEARCH("入",B1539)))),"Ambiguous",IF(ISNUMBER(SEARCH("平",B1539)),"平","仄")))</x:f>
      </x:c>
      <x:c r="K1539" s="6" t="str">
        <x:f>IF(D1539="","",IF(AND(ISNUMBER(SEARCH("平",D1539)),OR(ISNUMBER(SEARCH("上",D1539)),ISNUMBER(SEARCH("去",D1539)),ISNUMBER(SEARCH("入",D1539)))),"Ambiguous",IF(ISNUMBER(SEARCH("平",D1539)),"平","仄")))</x:f>
        <x:v>Ambiguous</x:v>
      </x:c>
      <x:c r="L1539" s="7" t="str">
        <x:v>Xun Gong, Tang 300 gap fill</x:v>
      </x:c>
    </x:row>
    <x:row r="1540">
      <x:c r="A1540" s="5" t="str">
        <x:v>排</x:v>
      </x:c>
      <x:c r="B1540" s="6" t="str">
        <x:v>平</x:v>
      </x:c>
      <x:c r="C1540" s="6" t="str">
        <x:f>IF(B1540="","Needs decision","Ready")</x:f>
        <x:v>Ready</x:v>
      </x:c>
      <x:c r="D1540" s="6" t="str">
        <x:v>平</x:v>
      </x:c>
      <x:c r="E1540" s="6" t="str">
        <x:v>beaj (A)</x:v>
      </x:c>
      <x:c r="F1540" s="6" t="str">
        <x:v>上平聲九佳</x:v>
      </x:c>
      <x:c r="G1540" s="6" t="str">
        <x:v>Pingshui main list, Wikisource-derived DOCX</x:v>
      </x:c>
      <x:c r="H1540" s="6" t="str">
        <x:v>1</x:v>
      </x:c>
      <x:c r="I1540" s="6" t="str"/>
      <x:c r="J1540" s="6" t="str">
        <x:f>IF(B1540="","",IF(AND(ISNUMBER(SEARCH("平",B1540)),OR(ISNUMBER(SEARCH("上",B1540)),ISNUMBER(SEARCH("去",B1540)),ISNUMBER(SEARCH("入",B1540)))),"Ambiguous",IF(ISNUMBER(SEARCH("平",B1540)),"平","仄")))</x:f>
        <x:v>平</x:v>
      </x:c>
      <x:c r="K1540" s="6" t="str">
        <x:f>IF(D1540="","",IF(AND(ISNUMBER(SEARCH("平",D1540)),OR(ISNUMBER(SEARCH("上",D1540)),ISNUMBER(SEARCH("去",D1540)),ISNUMBER(SEARCH("入",D1540)))),"Ambiguous",IF(ISNUMBER(SEARCH("平",D1540)),"平","仄")))</x:f>
        <x:v>平</x:v>
      </x:c>
      <x:c r="L1540" s="7" t="str"/>
    </x:row>
    <x:row r="1541">
      <x:c r="A1541" s="5" t="str">
        <x:v>掖</x:v>
      </x:c>
      <x:c r="B1541" s="6" t="str">
        <x:v>入</x:v>
      </x:c>
      <x:c r="C1541" s="6" t="str">
        <x:f>IF(B1541="","Needs decision","Ready")</x:f>
        <x:v>Ready</x:v>
      </x:c>
      <x:c r="D1541" s="6" t="str">
        <x:v>入</x:v>
      </x:c>
      <x:c r="E1541" s="6" t="str">
        <x:v>yek (D)</x:v>
      </x:c>
      <x:c r="F1541" s="6" t="str">
        <x:v>入聲十一陌</x:v>
      </x:c>
      <x:c r="G1541" s="6" t="str">
        <x:v>Pingshui main list, Wikisource-derived DOCX</x:v>
      </x:c>
      <x:c r="H1541" s="6" t="str">
        <x:v>1</x:v>
      </x:c>
      <x:c r="I1541" s="6" t="str"/>
      <x:c r="J1541" s="6" t="str">
        <x:f>IF(B1541="","",IF(AND(ISNUMBER(SEARCH("平",B1541)),OR(ISNUMBER(SEARCH("上",B1541)),ISNUMBER(SEARCH("去",B1541)),ISNUMBER(SEARCH("入",B1541)))),"Ambiguous",IF(ISNUMBER(SEARCH("平",B1541)),"平","仄")))</x:f>
        <x:v>仄</x:v>
      </x:c>
      <x:c r="K1541" s="6" t="str">
        <x:f>IF(D1541="","",IF(AND(ISNUMBER(SEARCH("平",D1541)),OR(ISNUMBER(SEARCH("上",D1541)),ISNUMBER(SEARCH("去",D1541)),ISNUMBER(SEARCH("入",D1541)))),"Ambiguous",IF(ISNUMBER(SEARCH("平",D1541)),"平","仄")))</x:f>
        <x:v>仄</x:v>
      </x:c>
      <x:c r="L1541" s="7" t="str"/>
    </x:row>
    <x:row r="1542">
      <x:c r="A1542" s="5" t="str">
        <x:v>掘</x:v>
      </x:c>
      <x:c r="B1542" s="6" t="str">
        <x:v>入</x:v>
      </x:c>
      <x:c r="C1542" s="6" t="str">
        <x:f>IF(B1542="","Needs decision","Ready")</x:f>
        <x:v>Ready</x:v>
      </x:c>
      <x:c r="D1542" s="6" t="str">
        <x:v>入</x:v>
      </x:c>
      <x:c r="E1542" s="6" t="str">
        <x:v>gjut (D); gjwot (D)</x:v>
      </x:c>
      <x:c r="F1542" s="6" t="str">
        <x:v>入聲五物; 入聲六月</x:v>
      </x:c>
      <x:c r="G1542" s="6" t="str">
        <x:v>Pingshui main list, Wikisource-derived DOCX</x:v>
      </x:c>
      <x:c r="H1542" s="6" t="str">
        <x:v>2</x:v>
      </x:c>
      <x:c r="I1542" s="6" t="str"/>
      <x:c r="J1542" s="6" t="str">
        <x:f>IF(B1542="","",IF(AND(ISNUMBER(SEARCH("平",B1542)),OR(ISNUMBER(SEARCH("上",B1542)),ISNUMBER(SEARCH("去",B1542)),ISNUMBER(SEARCH("入",B1542)))),"Ambiguous",IF(ISNUMBER(SEARCH("平",B1542)),"平","仄")))</x:f>
        <x:v>仄</x:v>
      </x:c>
      <x:c r="K1542" s="6" t="str">
        <x:f>IF(D1542="","",IF(AND(ISNUMBER(SEARCH("平",D1542)),OR(ISNUMBER(SEARCH("上",D1542)),ISNUMBER(SEARCH("去",D1542)),ISNUMBER(SEARCH("入",D1542)))),"Ambiguous",IF(ISNUMBER(SEARCH("平",D1542)),"平","仄")))</x:f>
        <x:v>仄</x:v>
      </x:c>
      <x:c r="L1542" s="7" t="str"/>
    </x:row>
    <x:row r="1543">
      <x:c r="A1543" s="5" t="str">
        <x:v>掛</x:v>
      </x:c>
      <x:c r="B1543" s="6" t="str">
        <x:v>去</x:v>
      </x:c>
      <x:c r="C1543" s="6" t="str">
        <x:f>IF(B1543="","Needs decision","Ready")</x:f>
        <x:v>Ready</x:v>
      </x:c>
      <x:c r="D1543" s="6" t="str">
        <x:v>去</x:v>
      </x:c>
      <x:c r="E1543" s="6" t="str">
        <x:v>kweaH [qweˤh] (去)</x:v>
      </x:c>
      <x:c r="F1543" s="6" t="str">
        <x:v>去聲十卦</x:v>
      </x:c>
      <x:c r="G1543" s="6" t="str">
        <x:v>Pingshui main list, Wikisource-derived DOCX</x:v>
      </x:c>
      <x:c r="H1543" s="6" t="str">
        <x:v>1</x:v>
      </x:c>
      <x:c r="I1543" s="6" t="str">
        <x:v>Tang 300 gap; frequency 1; provisional from Xun Gong</x:v>
      </x:c>
      <x:c r="J1543" s="6" t="str">
        <x:f>IF(B1543="","",IF(AND(ISNUMBER(SEARCH("平",B1543)),OR(ISNUMBER(SEARCH("上",B1543)),ISNUMBER(SEARCH("去",B1543)),ISNUMBER(SEARCH("入",B1543)))),"Ambiguous",IF(ISNUMBER(SEARCH("平",B1543)),"平","仄")))</x:f>
        <x:v>仄</x:v>
      </x:c>
      <x:c r="K1543" s="6" t="str">
        <x:f>IF(D1543="","",IF(AND(ISNUMBER(SEARCH("平",D1543)),OR(ISNUMBER(SEARCH("上",D1543)),ISNUMBER(SEARCH("去",D1543)),ISNUMBER(SEARCH("入",D1543)))),"Ambiguous",IF(ISNUMBER(SEARCH("平",D1543)),"平","仄")))</x:f>
        <x:v>仄</x:v>
      </x:c>
      <x:c r="L1543" s="7" t="str">
        <x:v>Xun Gong, Tang 300 gap fill</x:v>
      </x:c>
    </x:row>
    <x:row r="1544">
      <x:c r="A1544" s="5" t="str">
        <x:v>採</x:v>
      </x:c>
      <x:c r="B1544" s="6" t="str">
        <x:v>上</x:v>
      </x:c>
      <x:c r="C1544" s="6" t="str">
        <x:f>IF(B1544="","Needs decision","Ready")</x:f>
        <x:v>Ready</x:v>
      </x:c>
      <x:c r="D1544" s="6" t="str">
        <x:v>上</x:v>
      </x:c>
      <x:c r="E1544" s="6" t="str">
        <x:v>tshojX (B)</x:v>
      </x:c>
      <x:c r="F1544" s="6" t="str">
        <x:v>上聲十賄; 去聲十一隊</x:v>
      </x:c>
      <x:c r="G1544" s="6" t="str">
        <x:v>Pingshui main list, Wikisource-derived DOCX</x:v>
      </x:c>
      <x:c r="H1544" s="6" t="str">
        <x:v>1</x:v>
      </x:c>
      <x:c r="I1544" s="6" t="str"/>
      <x:c r="J1544" s="6" t="str">
        <x:f>IF(B1544="","",IF(AND(ISNUMBER(SEARCH("平",B1544)),OR(ISNUMBER(SEARCH("上",B1544)),ISNUMBER(SEARCH("去",B1544)),ISNUMBER(SEARCH("入",B1544)))),"Ambiguous",IF(ISNUMBER(SEARCH("平",B1544)),"平","仄")))</x:f>
        <x:v>仄</x:v>
      </x:c>
      <x:c r="K1544" s="6" t="str">
        <x:f>IF(D1544="","",IF(AND(ISNUMBER(SEARCH("平",D1544)),OR(ISNUMBER(SEARCH("上",D1544)),ISNUMBER(SEARCH("去",D1544)),ISNUMBER(SEARCH("入",D1544)))),"Ambiguous",IF(ISNUMBER(SEARCH("平",D1544)),"平","仄")))</x:f>
        <x:v>仄</x:v>
      </x:c>
      <x:c r="L1544" s="7" t="str"/>
    </x:row>
    <x:row r="1545">
      <x:c r="A1545" s="5" t="str">
        <x:v>探</x:v>
      </x:c>
      <x:c r="B1545" s="6" t="str">
        <x:v>平</x:v>
      </x:c>
      <x:c r="C1545" s="6" t="str">
        <x:f>IF(B1545="","Needs decision","Ready")</x:f>
        <x:v>Ready</x:v>
      </x:c>
      <x:c r="D1545" s="6" t="str">
        <x:v>平</x:v>
      </x:c>
      <x:c r="E1545" s="6" t="str">
        <x:v>thom (A)</x:v>
      </x:c>
      <x:c r="F1545" s="6" t="str">
        <x:v>下平聲十三覃</x:v>
      </x:c>
      <x:c r="G1545" s="6" t="str">
        <x:v>Pingshui main list, Wikisource-derived DOCX</x:v>
      </x:c>
      <x:c r="H1545" s="6" t="str">
        <x:v>1</x:v>
      </x:c>
      <x:c r="I1545" s="6" t="str"/>
      <x:c r="J1545" s="6" t="str">
        <x:f>IF(B1545="","",IF(AND(ISNUMBER(SEARCH("平",B1545)),OR(ISNUMBER(SEARCH("上",B1545)),ISNUMBER(SEARCH("去",B1545)),ISNUMBER(SEARCH("入",B1545)))),"Ambiguous",IF(ISNUMBER(SEARCH("平",B1545)),"平","仄")))</x:f>
        <x:v>平</x:v>
      </x:c>
      <x:c r="K1545" s="6" t="str">
        <x:f>IF(D1545="","",IF(AND(ISNUMBER(SEARCH("平",D1545)),OR(ISNUMBER(SEARCH("上",D1545)),ISNUMBER(SEARCH("去",D1545)),ISNUMBER(SEARCH("入",D1545)))),"Ambiguous",IF(ISNUMBER(SEARCH("平",D1545)),"平","仄")))</x:f>
        <x:v>平</x:v>
      </x:c>
      <x:c r="L1545" s="7" t="str"/>
    </x:row>
    <x:row r="1546">
      <x:c r="A1546" s="5" t="str">
        <x:v>掣</x:v>
      </x:c>
      <x:c r="B1546" s="6" t="str"/>
      <x:c r="C1546" s="6" t="str">
        <x:f>IF(B1546="","Needs decision","Ready")</x:f>
        <x:v>Needs decision</x:v>
      </x:c>
      <x:c r="D1546" s="6" t="str">
        <x:v>去/入</x:v>
      </x:c>
      <x:c r="E1546" s="6" t="str">
        <x:v>tsyhejH [tɕʰejh] (去); tsyhet [tɕʰet] (入)</x:v>
      </x:c>
      <x:c r="F1546" s="6" t="str">
        <x:v>去聲八霽; 入聲九屑</x:v>
      </x:c>
      <x:c r="G1546" s="6" t="str">
        <x:v>Pingshui main list, Wikisource-derived DOCX</x:v>
      </x:c>
      <x:c r="H1546" s="6" t="str">
        <x:v>2</x:v>
      </x:c>
      <x:c r="I1546" s="6" t="str">
        <x:v>Tang 300 gap; frequency 1; ambiguous in Xun Gong</x:v>
      </x:c>
      <x:c r="J1546" s="6" t="str">
        <x:f>IF(B1546="","",IF(AND(ISNUMBER(SEARCH("平",B1546)),OR(ISNUMBER(SEARCH("上",B1546)),ISNUMBER(SEARCH("去",B1546)),ISNUMBER(SEARCH("入",B1546)))),"Ambiguous",IF(ISNUMBER(SEARCH("平",B1546)),"平","仄")))</x:f>
      </x:c>
      <x:c r="K1546" s="6" t="str">
        <x:f>IF(D1546="","",IF(AND(ISNUMBER(SEARCH("平",D1546)),OR(ISNUMBER(SEARCH("上",D1546)),ISNUMBER(SEARCH("去",D1546)),ISNUMBER(SEARCH("入",D1546)))),"Ambiguous",IF(ISNUMBER(SEARCH("平",D1546)),"平","仄")))</x:f>
        <x:v>仄</x:v>
      </x:c>
      <x:c r="L1546" s="7" t="str">
        <x:v>Xun Gong, Tang 300 gap fill</x:v>
      </x:c>
    </x:row>
    <x:row r="1547">
      <x:c r="A1547" s="5" t="str">
        <x:v>接</x:v>
      </x:c>
      <x:c r="B1547" s="6" t="str">
        <x:v>入</x:v>
      </x:c>
      <x:c r="C1547" s="6" t="str">
        <x:f>IF(B1547="","Needs decision","Ready")</x:f>
        <x:v>Ready</x:v>
      </x:c>
      <x:c r="D1547" s="6" t="str">
        <x:v>入</x:v>
      </x:c>
      <x:c r="E1547" s="6" t="str">
        <x:v>tsjep (D)</x:v>
      </x:c>
      <x:c r="F1547" s="6" t="str">
        <x:v>入聲十六葉</x:v>
      </x:c>
      <x:c r="G1547" s="6" t="str">
        <x:v>Pingshui main list, Wikisource-derived DOCX</x:v>
      </x:c>
      <x:c r="H1547" s="6" t="str">
        <x:v>1</x:v>
      </x:c>
      <x:c r="I1547" s="6" t="str"/>
      <x:c r="J1547" s="6" t="str">
        <x:f>IF(B1547="","",IF(AND(ISNUMBER(SEARCH("平",B1547)),OR(ISNUMBER(SEARCH("上",B1547)),ISNUMBER(SEARCH("去",B1547)),ISNUMBER(SEARCH("入",B1547)))),"Ambiguous",IF(ISNUMBER(SEARCH("平",B1547)),"平","仄")))</x:f>
        <x:v>仄</x:v>
      </x:c>
      <x:c r="K1547" s="6" t="str">
        <x:f>IF(D1547="","",IF(AND(ISNUMBER(SEARCH("平",D1547)),OR(ISNUMBER(SEARCH("上",D1547)),ISNUMBER(SEARCH("去",D1547)),ISNUMBER(SEARCH("入",D1547)))),"Ambiguous",IF(ISNUMBER(SEARCH("平",D1547)),"平","仄")))</x:f>
        <x:v>仄</x:v>
      </x:c>
      <x:c r="L1547" s="7" t="str"/>
    </x:row>
    <x:row r="1548">
      <x:c r="A1548" s="5" t="str">
        <x:v>控</x:v>
      </x:c>
      <x:c r="B1548" s="6" t="str">
        <x:v>去</x:v>
      </x:c>
      <x:c r="C1548" s="6" t="str">
        <x:f>IF(B1548="","Needs decision","Ready")</x:f>
        <x:v>Ready</x:v>
      </x:c>
      <x:c r="D1548" s="6" t="str">
        <x:v>去</x:v>
      </x:c>
      <x:c r="E1548" s="6" t="str">
        <x:v>khuwngH (C)</x:v>
      </x:c>
      <x:c r="F1548" s="6" t="str">
        <x:v>去聲一送</x:v>
      </x:c>
      <x:c r="G1548" s="6" t="str">
        <x:v>Pingshui main list, Wikisource-derived DOCX</x:v>
      </x:c>
      <x:c r="H1548" s="6" t="str">
        <x:v>1</x:v>
      </x:c>
      <x:c r="I1548" s="6" t="str"/>
      <x:c r="J1548" s="6" t="str">
        <x:f>IF(B1548="","",IF(AND(ISNUMBER(SEARCH("平",B1548)),OR(ISNUMBER(SEARCH("上",B1548)),ISNUMBER(SEARCH("去",B1548)),ISNUMBER(SEARCH("入",B1548)))),"Ambiguous",IF(ISNUMBER(SEARCH("平",B1548)),"平","仄")))</x:f>
        <x:v>仄</x:v>
      </x:c>
      <x:c r="K1548" s="6" t="str">
        <x:f>IF(D1548="","",IF(AND(ISNUMBER(SEARCH("平",D1548)),OR(ISNUMBER(SEARCH("上",D1548)),ISNUMBER(SEARCH("去",D1548)),ISNUMBER(SEARCH("入",D1548)))),"Ambiguous",IF(ISNUMBER(SEARCH("平",D1548)),"平","仄")))</x:f>
        <x:v>仄</x:v>
      </x:c>
      <x:c r="L1548" s="7" t="str"/>
    </x:row>
    <x:row r="1549">
      <x:c r="A1549" s="5" t="str">
        <x:v>推</x:v>
      </x:c>
      <x:c r="B1549" s="6" t="str">
        <x:v>平</x:v>
      </x:c>
      <x:c r="C1549" s="6" t="str">
        <x:f>IF(B1549="","Needs decision","Ready")</x:f>
        <x:v>Ready</x:v>
      </x:c>
      <x:c r="D1549" s="6" t="str">
        <x:v>平</x:v>
      </x:c>
      <x:c r="E1549" s="6" t="str">
        <x:v>thwoj (A)</x:v>
      </x:c>
      <x:c r="F1549" s="6" t="str">
        <x:v>上平聲四支; 上平聲十灰</x:v>
      </x:c>
      <x:c r="G1549" s="6" t="str">
        <x:v>Pingshui main list, Wikisource-derived DOCX</x:v>
      </x:c>
      <x:c r="H1549" s="6" t="str">
        <x:v>1</x:v>
      </x:c>
      <x:c r="I1549" s="6" t="str"/>
      <x:c r="J1549" s="6" t="str">
        <x:f>IF(B1549="","",IF(AND(ISNUMBER(SEARCH("平",B1549)),OR(ISNUMBER(SEARCH("上",B1549)),ISNUMBER(SEARCH("去",B1549)),ISNUMBER(SEARCH("入",B1549)))),"Ambiguous",IF(ISNUMBER(SEARCH("平",B1549)),"平","仄")))</x:f>
        <x:v>平</x:v>
      </x:c>
      <x:c r="K1549" s="6" t="str">
        <x:f>IF(D1549="","",IF(AND(ISNUMBER(SEARCH("平",D1549)),OR(ISNUMBER(SEARCH("上",D1549)),ISNUMBER(SEARCH("去",D1549)),ISNUMBER(SEARCH("入",D1549)))),"Ambiguous",IF(ISNUMBER(SEARCH("平",D1549)),"平","仄")))</x:f>
        <x:v>平</x:v>
      </x:c>
      <x:c r="L1549" s="7" t="str"/>
    </x:row>
    <x:row r="1550">
      <x:c r="A1550" s="5" t="str">
        <x:v>掩</x:v>
      </x:c>
      <x:c r="B1550" s="6" t="str">
        <x:v>上</x:v>
      </x:c>
      <x:c r="C1550" s="6" t="str">
        <x:f>IF(B1550="","Needs decision","Ready")</x:f>
        <x:v>Ready</x:v>
      </x:c>
      <x:c r="D1550" s="6" t="str">
        <x:v>上</x:v>
      </x:c>
      <x:c r="E1550" s="6" t="str"/>
      <x:c r="F1550" s="6" t="str">
        <x:v>上聲二十八琰</x:v>
      </x:c>
      <x:c r="G1550" s="6" t="str">
        <x:v>Pingshui main list, Wikisource-derived DOCX</x:v>
      </x:c>
      <x:c r="H1550" s="6" t="str"/>
      <x:c r="I1550" s="6" t="str">
        <x:v>Manual user correction/addition</x:v>
      </x:c>
      <x:c r="J1550" s="6" t="str">
        <x:f>IF(B1550="","",IF(AND(ISNUMBER(SEARCH("平",B1550)),OR(ISNUMBER(SEARCH("上",B1550)),ISNUMBER(SEARCH("去",B1550)),ISNUMBER(SEARCH("入",B1550)))),"Ambiguous",IF(ISNUMBER(SEARCH("平",B1550)),"平","仄")))</x:f>
        <x:v>仄</x:v>
      </x:c>
      <x:c r="K1550" s="6" t="str">
        <x:f>IF(D1550="","",IF(AND(ISNUMBER(SEARCH("平",D1550)),OR(ISNUMBER(SEARCH("上",D1550)),ISNUMBER(SEARCH("去",D1550)),ISNUMBER(SEARCH("入",D1550)))),"Ambiguous",IF(ISNUMBER(SEARCH("平",D1550)),"平","仄")))</x:f>
        <x:v>仄</x:v>
      </x:c>
      <x:c r="L1550" s="7" t="str">
        <x:v>manual user correction</x:v>
      </x:c>
    </x:row>
    <x:row r="1551">
      <x:c r="A1551" s="5" t="str">
        <x:v>措</x:v>
      </x:c>
      <x:c r="B1551" s="6" t="str">
        <x:v>去</x:v>
      </x:c>
      <x:c r="C1551" s="6" t="str">
        <x:f>IF(B1551="","Needs decision","Ready")</x:f>
        <x:v>Ready</x:v>
      </x:c>
      <x:c r="D1551" s="6" t="str">
        <x:v>去</x:v>
      </x:c>
      <x:c r="E1551" s="6" t="str">
        <x:v>tshuH (C)</x:v>
      </x:c>
      <x:c r="F1551" s="6" t="str">
        <x:v>去聲七遇</x:v>
      </x:c>
      <x:c r="G1551" s="6" t="str">
        <x:v>Pingshui main list, Wikisource-derived DOCX</x:v>
      </x:c>
      <x:c r="H1551" s="6" t="str">
        <x:v>1</x:v>
      </x:c>
      <x:c r="I1551" s="6" t="str"/>
      <x:c r="J1551" s="6" t="str">
        <x:f>IF(B1551="","",IF(AND(ISNUMBER(SEARCH("平",B1551)),OR(ISNUMBER(SEARCH("上",B1551)),ISNUMBER(SEARCH("去",B1551)),ISNUMBER(SEARCH("入",B1551)))),"Ambiguous",IF(ISNUMBER(SEARCH("平",B1551)),"平","仄")))</x:f>
        <x:v>仄</x:v>
      </x:c>
      <x:c r="K1551" s="6" t="str">
        <x:f>IF(D1551="","",IF(AND(ISNUMBER(SEARCH("平",D1551)),OR(ISNUMBER(SEARCH("上",D1551)),ISNUMBER(SEARCH("去",D1551)),ISNUMBER(SEARCH("入",D1551)))),"Ambiguous",IF(ISNUMBER(SEARCH("平",D1551)),"平","仄")))</x:f>
        <x:v>仄</x:v>
      </x:c>
      <x:c r="L1551" s="7" t="str"/>
    </x:row>
    <x:row r="1552">
      <x:c r="A1552" s="5" t="str">
        <x:v>掫</x:v>
      </x:c>
      <x:c r="B1552" s="6" t="str"/>
      <x:c r="C1552" s="6" t="str">
        <x:f>IF(B1552="","Needs decision","Ready")</x:f>
        <x:v>Needs decision</x:v>
      </x:c>
      <x:c r="D1552" s="6" t="str">
        <x:v>平/上</x:v>
      </x:c>
      <x:c r="E1552" s="6" t="str">
        <x:v>tsju (A); tsrjuw (A); tsrjuwX (B)</x:v>
      </x:c>
      <x:c r="F1552" s="6" t="str">
        <x:v>下平聲十一尤; 上聲二十五有</x:v>
      </x:c>
      <x:c r="G1552" s="6" t="str">
        <x:v>Pingshui main list, Wikisource-derived DOCX</x:v>
      </x:c>
      <x:c r="H1552" s="6" t="str">
        <x:v>3</x:v>
      </x:c>
      <x:c r="I1552" s="6" t="str"/>
      <x:c r="J1552" s="6" t="str">
        <x:f>IF(B1552="","",IF(AND(ISNUMBER(SEARCH("平",B1552)),OR(ISNUMBER(SEARCH("上",B1552)),ISNUMBER(SEARCH("去",B1552)),ISNUMBER(SEARCH("入",B1552)))),"Ambiguous",IF(ISNUMBER(SEARCH("平",B1552)),"平","仄")))</x:f>
      </x:c>
      <x:c r="K1552" s="6" t="str">
        <x:f>IF(D1552="","",IF(AND(ISNUMBER(SEARCH("平",D1552)),OR(ISNUMBER(SEARCH("上",D1552)),ISNUMBER(SEARCH("去",D1552)),ISNUMBER(SEARCH("入",D1552)))),"Ambiguous",IF(ISNUMBER(SEARCH("平",D1552)),"平","仄")))</x:f>
        <x:v>Ambiguous</x:v>
      </x:c>
      <x:c r="L1552" s="7" t="str"/>
    </x:row>
    <x:row r="1553">
      <x:c r="A1553" s="5" t="str">
        <x:v>掬</x:v>
      </x:c>
      <x:c r="B1553" s="6" t="str">
        <x:v>入</x:v>
      </x:c>
      <x:c r="C1553" s="6" t="str">
        <x:f>IF(B1553="","Needs decision","Ready")</x:f>
        <x:v>Ready</x:v>
      </x:c>
      <x:c r="D1553" s="6" t="str">
        <x:v>入</x:v>
      </x:c>
      <x:c r="E1553" s="6" t="str">
        <x:v>kjuwk [kɨ̯uk] (入)</x:v>
      </x:c>
      <x:c r="F1553" s="6" t="str">
        <x:v>入聲一屋</x:v>
      </x:c>
      <x:c r="G1553" s="6" t="str">
        <x:v>Pingshui main list, Wikisource-derived DOCX</x:v>
      </x:c>
      <x:c r="H1553" s="6" t="str">
        <x:v>1</x:v>
      </x:c>
      <x:c r="I1553" s="6" t="str">
        <x:v>Tang 300 gap; frequency 1; provisional from Xun Gong</x:v>
      </x:c>
      <x:c r="J1553" s="6" t="str">
        <x:f>IF(B1553="","",IF(AND(ISNUMBER(SEARCH("平",B1553)),OR(ISNUMBER(SEARCH("上",B1553)),ISNUMBER(SEARCH("去",B1553)),ISNUMBER(SEARCH("入",B1553)))),"Ambiguous",IF(ISNUMBER(SEARCH("平",B1553)),"平","仄")))</x:f>
        <x:v>仄</x:v>
      </x:c>
      <x:c r="K1553" s="6" t="str">
        <x:f>IF(D1553="","",IF(AND(ISNUMBER(SEARCH("平",D1553)),OR(ISNUMBER(SEARCH("上",D1553)),ISNUMBER(SEARCH("去",D1553)),ISNUMBER(SEARCH("入",D1553)))),"Ambiguous",IF(ISNUMBER(SEARCH("平",D1553)),"平","仄")))</x:f>
        <x:v>仄</x:v>
      </x:c>
      <x:c r="L1553" s="7" t="str">
        <x:v>Xun Gong, Tang 300 gap fill</x:v>
      </x:c>
    </x:row>
    <x:row r="1554">
      <x:c r="A1554" s="5" t="str">
        <x:v>掾</x:v>
      </x:c>
      <x:c r="B1554" s="6" t="str">
        <x:v>去</x:v>
      </x:c>
      <x:c r="C1554" s="6" t="str">
        <x:f>IF(B1554="","Needs decision","Ready")</x:f>
        <x:v>Ready</x:v>
      </x:c>
      <x:c r="D1554" s="6" t="str">
        <x:v>去</x:v>
      </x:c>
      <x:c r="E1554" s="6" t="str">
        <x:v>ywenH [jwenh] (去)</x:v>
      </x:c>
      <x:c r="F1554" s="6" t="str">
        <x:v>去聲十七霰</x:v>
      </x:c>
      <x:c r="G1554" s="6" t="str">
        <x:v>Pingshui main list, Wikisource-derived DOCX</x:v>
      </x:c>
      <x:c r="H1554" s="6" t="str">
        <x:v>1</x:v>
      </x:c>
      <x:c r="I1554" s="6" t="str">
        <x:v>Tang 300 gap; frequency 1; provisional from Xun Gong</x:v>
      </x:c>
      <x:c r="J1554" s="6" t="str">
        <x:f>IF(B1554="","",IF(AND(ISNUMBER(SEARCH("平",B1554)),OR(ISNUMBER(SEARCH("上",B1554)),ISNUMBER(SEARCH("去",B1554)),ISNUMBER(SEARCH("入",B1554)))),"Ambiguous",IF(ISNUMBER(SEARCH("平",B1554)),"平","仄")))</x:f>
        <x:v>仄</x:v>
      </x:c>
      <x:c r="K1554" s="6" t="str">
        <x:f>IF(D1554="","",IF(AND(ISNUMBER(SEARCH("平",D1554)),OR(ISNUMBER(SEARCH("上",D1554)),ISNUMBER(SEARCH("去",D1554)),ISNUMBER(SEARCH("入",D1554)))),"Ambiguous",IF(ISNUMBER(SEARCH("平",D1554)),"平","仄")))</x:f>
        <x:v>仄</x:v>
      </x:c>
      <x:c r="L1554" s="7" t="str">
        <x:v>Xun Gong, Tang 300 gap fill</x:v>
      </x:c>
    </x:row>
    <x:row r="1555">
      <x:c r="A1555" s="5" t="str">
        <x:v>揀</x:v>
      </x:c>
      <x:c r="B1555" s="6" t="str">
        <x:v>上</x:v>
      </x:c>
      <x:c r="C1555" s="6" t="str">
        <x:f>IF(B1555="","Needs decision","Ready")</x:f>
        <x:v>Ready</x:v>
      </x:c>
      <x:c r="D1555" s="6" t="str">
        <x:v>上</x:v>
      </x:c>
      <x:c r="E1555" s="6" t="str">
        <x:v>keanX (B)</x:v>
      </x:c>
      <x:c r="F1555" s="6" t="str">
        <x:v>上聲十五潸; 去聲十七霰</x:v>
      </x:c>
      <x:c r="G1555" s="6" t="str">
        <x:v>Pingshui main list, Wikisource-derived DOCX</x:v>
      </x:c>
      <x:c r="H1555" s="6" t="str">
        <x:v>1</x:v>
      </x:c>
      <x:c r="I1555" s="6" t="str"/>
      <x:c r="J1555" s="6" t="str">
        <x:f>IF(B1555="","",IF(AND(ISNUMBER(SEARCH("平",B1555)),OR(ISNUMBER(SEARCH("上",B1555)),ISNUMBER(SEARCH("去",B1555)),ISNUMBER(SEARCH("入",B1555)))),"Ambiguous",IF(ISNUMBER(SEARCH("平",B1555)),"平","仄")))</x:f>
        <x:v>仄</x:v>
      </x:c>
      <x:c r="K1555" s="6" t="str">
        <x:f>IF(D1555="","",IF(AND(ISNUMBER(SEARCH("平",D1555)),OR(ISNUMBER(SEARCH("上",D1555)),ISNUMBER(SEARCH("去",D1555)),ISNUMBER(SEARCH("入",D1555)))),"Ambiguous",IF(ISNUMBER(SEARCH("平",D1555)),"平","仄")))</x:f>
        <x:v>仄</x:v>
      </x:c>
      <x:c r="L1555" s="7" t="str"/>
    </x:row>
    <x:row r="1556">
      <x:c r="A1556" s="5" t="str">
        <x:v>揆</x:v>
      </x:c>
      <x:c r="B1556" s="6" t="str">
        <x:v>上</x:v>
      </x:c>
      <x:c r="C1556" s="6" t="str">
        <x:f>IF(B1556="","Needs decision","Ready")</x:f>
        <x:v>Ready</x:v>
      </x:c>
      <x:c r="D1556" s="6" t="str">
        <x:v>上</x:v>
      </x:c>
      <x:c r="E1556" s="6" t="str">
        <x:v>gjwijX (B)</x:v>
      </x:c>
      <x:c r="F1556" s="6" t="str">
        <x:v>上聲四紙</x:v>
      </x:c>
      <x:c r="G1556" s="6" t="str">
        <x:v>Pingshui main list, Wikisource-derived DOCX</x:v>
      </x:c>
      <x:c r="H1556" s="6" t="str">
        <x:v>1</x:v>
      </x:c>
      <x:c r="I1556" s="6" t="str"/>
      <x:c r="J1556" s="6" t="str">
        <x:f>IF(B1556="","",IF(AND(ISNUMBER(SEARCH("平",B1556)),OR(ISNUMBER(SEARCH("上",B1556)),ISNUMBER(SEARCH("去",B1556)),ISNUMBER(SEARCH("入",B1556)))),"Ambiguous",IF(ISNUMBER(SEARCH("平",B1556)),"平","仄")))</x:f>
        <x:v>仄</x:v>
      </x:c>
      <x:c r="K1556" s="6" t="str">
        <x:f>IF(D1556="","",IF(AND(ISNUMBER(SEARCH("平",D1556)),OR(ISNUMBER(SEARCH("上",D1556)),ISNUMBER(SEARCH("去",D1556)),ISNUMBER(SEARCH("入",D1556)))),"Ambiguous",IF(ISNUMBER(SEARCH("平",D1556)),"平","仄")))</x:f>
        <x:v>仄</x:v>
      </x:c>
      <x:c r="L1556" s="7" t="str"/>
    </x:row>
    <x:row r="1557">
      <x:c r="A1557" s="5" t="str">
        <x:v>提</x:v>
      </x:c>
      <x:c r="B1557" s="6" t="str">
        <x:v>平</x:v>
      </x:c>
      <x:c r="C1557" s="6" t="str">
        <x:f>IF(B1557="","Needs decision","Ready")</x:f>
        <x:v>Ready</x:v>
      </x:c>
      <x:c r="D1557" s="6" t="str">
        <x:v>平</x:v>
      </x:c>
      <x:c r="E1557" s="6" t="str">
        <x:v>dej (A)</x:v>
      </x:c>
      <x:c r="F1557" s="6" t="str">
        <x:v>上平聲四支; 上平聲八齊</x:v>
      </x:c>
      <x:c r="G1557" s="6" t="str">
        <x:v>Pingshui main list, Wikisource-derived DOCX</x:v>
      </x:c>
      <x:c r="H1557" s="6" t="str">
        <x:v>1</x:v>
      </x:c>
      <x:c r="I1557" s="6" t="str"/>
      <x:c r="J1557" s="6" t="str">
        <x:f>IF(B1557="","",IF(AND(ISNUMBER(SEARCH("平",B1557)),OR(ISNUMBER(SEARCH("上",B1557)),ISNUMBER(SEARCH("去",B1557)),ISNUMBER(SEARCH("入",B1557)))),"Ambiguous",IF(ISNUMBER(SEARCH("平",B1557)),"平","仄")))</x:f>
        <x:v>平</x:v>
      </x:c>
      <x:c r="K1557" s="6" t="str">
        <x:f>IF(D1557="","",IF(AND(ISNUMBER(SEARCH("平",D1557)),OR(ISNUMBER(SEARCH("上",D1557)),ISNUMBER(SEARCH("去",D1557)),ISNUMBER(SEARCH("入",D1557)))),"Ambiguous",IF(ISNUMBER(SEARCH("平",D1557)),"平","仄")))</x:f>
        <x:v>平</x:v>
      </x:c>
      <x:c r="L1557" s="7" t="str"/>
    </x:row>
    <x:row r="1558">
      <x:c r="A1558" s="5" t="str">
        <x:v>插</x:v>
      </x:c>
      <x:c r="B1558" s="6" t="str">
        <x:v>入</x:v>
      </x:c>
      <x:c r="C1558" s="6" t="str">
        <x:f>IF(B1558="","Needs decision","Ready")</x:f>
        <x:v>Ready</x:v>
      </x:c>
      <x:c r="D1558" s="6" t="str">
        <x:v>入</x:v>
      </x:c>
      <x:c r="E1558" s="6" t="str">
        <x:v>tsrheap (D)</x:v>
      </x:c>
      <x:c r="F1558" s="6" t="str">
        <x:v>入聲十七洽</x:v>
      </x:c>
      <x:c r="G1558" s="6" t="str">
        <x:v>Pingshui main list, Wikisource-derived DOCX</x:v>
      </x:c>
      <x:c r="H1558" s="6" t="str">
        <x:v>1</x:v>
      </x:c>
      <x:c r="I1558" s="6" t="str"/>
      <x:c r="J1558" s="6" t="str">
        <x:f>IF(B1558="","",IF(AND(ISNUMBER(SEARCH("平",B1558)),OR(ISNUMBER(SEARCH("上",B1558)),ISNUMBER(SEARCH("去",B1558)),ISNUMBER(SEARCH("入",B1558)))),"Ambiguous",IF(ISNUMBER(SEARCH("平",B1558)),"平","仄")))</x:f>
        <x:v>仄</x:v>
      </x:c>
      <x:c r="K1558" s="6" t="str">
        <x:f>IF(D1558="","",IF(AND(ISNUMBER(SEARCH("平",D1558)),OR(ISNUMBER(SEARCH("上",D1558)),ISNUMBER(SEARCH("去",D1558)),ISNUMBER(SEARCH("入",D1558)))),"Ambiguous",IF(ISNUMBER(SEARCH("平",D1558)),"平","仄")))</x:f>
        <x:v>仄</x:v>
      </x:c>
      <x:c r="L1558" s="7" t="str"/>
    </x:row>
    <x:row r="1559">
      <x:c r="A1559" s="5" t="str">
        <x:v>揔</x:v>
      </x:c>
      <x:c r="B1559" s="6" t="str"/>
      <x:c r="C1559" s="6" t="str">
        <x:f>IF(B1559="","Needs decision","Ready")</x:f>
        <x:v>Needs decision</x:v>
      </x:c>
      <x:c r="D1559" s="6" t="str">
        <x:v>平/上</x:v>
      </x:c>
      <x:c r="E1559" s="6" t="str">
        <x:v>tsuwng (A); tsuwngX (B)</x:v>
      </x:c>
      <x:c r="F1559" s="6" t="str"/>
      <x:c r="G1559" s="6" t="str"/>
      <x:c r="H1559" s="6" t="str">
        <x:v>2</x:v>
      </x:c>
      <x:c r="I1559" s="6" t="str"/>
      <x:c r="J1559" s="6" t="str">
        <x:f>IF(B1559="","",IF(AND(ISNUMBER(SEARCH("平",B1559)),OR(ISNUMBER(SEARCH("上",B1559)),ISNUMBER(SEARCH("去",B1559)),ISNUMBER(SEARCH("入",B1559)))),"Ambiguous",IF(ISNUMBER(SEARCH("平",B1559)),"平","仄")))</x:f>
      </x:c>
      <x:c r="K1559" s="6" t="str">
        <x:f>IF(D1559="","",IF(AND(ISNUMBER(SEARCH("平",D1559)),OR(ISNUMBER(SEARCH("上",D1559)),ISNUMBER(SEARCH("去",D1559)),ISNUMBER(SEARCH("入",D1559)))),"Ambiguous",IF(ISNUMBER(SEARCH("平",D1559)),"平","仄")))</x:f>
        <x:v>Ambiguous</x:v>
      </x:c>
      <x:c r="L1559" s="7" t="str"/>
    </x:row>
    <x:row r="1560">
      <x:c r="A1560" s="5" t="str">
        <x:v>揖</x:v>
      </x:c>
      <x:c r="B1560" s="6" t="str">
        <x:v>入</x:v>
      </x:c>
      <x:c r="C1560" s="6" t="str">
        <x:f>IF(B1560="","Needs decision","Ready")</x:f>
        <x:v>Ready</x:v>
      </x:c>
      <x:c r="D1560" s="6" t="str">
        <x:v>入</x:v>
      </x:c>
      <x:c r="E1560" s="6" t="str">
        <x:v>tsip (D); 'jip (D)</x:v>
      </x:c>
      <x:c r="F1560" s="6" t="str">
        <x:v>入聲十四緝</x:v>
      </x:c>
      <x:c r="G1560" s="6" t="str">
        <x:v>Pingshui main list, Wikisource-derived DOCX</x:v>
      </x:c>
      <x:c r="H1560" s="6" t="str">
        <x:v>2</x:v>
      </x:c>
      <x:c r="I1560" s="6" t="str"/>
      <x:c r="J1560" s="6" t="str">
        <x:f>IF(B1560="","",IF(AND(ISNUMBER(SEARCH("平",B1560)),OR(ISNUMBER(SEARCH("上",B1560)),ISNUMBER(SEARCH("去",B1560)),ISNUMBER(SEARCH("入",B1560)))),"Ambiguous",IF(ISNUMBER(SEARCH("平",B1560)),"平","仄")))</x:f>
        <x:v>仄</x:v>
      </x:c>
      <x:c r="K1560" s="6" t="str">
        <x:f>IF(D1560="","",IF(AND(ISNUMBER(SEARCH("平",D1560)),OR(ISNUMBER(SEARCH("上",D1560)),ISNUMBER(SEARCH("去",D1560)),ISNUMBER(SEARCH("入",D1560)))),"Ambiguous",IF(ISNUMBER(SEARCH("平",D1560)),"平","仄")))</x:f>
        <x:v>仄</x:v>
      </x:c>
      <x:c r="L1560" s="7" t="str"/>
    </x:row>
    <x:row r="1561">
      <x:c r="A1561" s="5" t="str">
        <x:v>揚</x:v>
      </x:c>
      <x:c r="B1561" s="6" t="str">
        <x:v>平</x:v>
      </x:c>
      <x:c r="C1561" s="6" t="str">
        <x:f>IF(B1561="","Needs decision","Ready")</x:f>
        <x:v>Ready</x:v>
      </x:c>
      <x:c r="D1561" s="6" t="str">
        <x:v>平</x:v>
      </x:c>
      <x:c r="E1561" s="6" t="str">
        <x:v>yang (A)</x:v>
      </x:c>
      <x:c r="F1561" s="6" t="str">
        <x:v>下平聲七陽</x:v>
      </x:c>
      <x:c r="G1561" s="6" t="str">
        <x:v>Pingshui main list, Wikisource-derived DOCX</x:v>
      </x:c>
      <x:c r="H1561" s="6" t="str">
        <x:v>1</x:v>
      </x:c>
      <x:c r="I1561" s="6" t="str"/>
      <x:c r="J1561" s="6" t="str">
        <x:f>IF(B1561="","",IF(AND(ISNUMBER(SEARCH("平",B1561)),OR(ISNUMBER(SEARCH("上",B1561)),ISNUMBER(SEARCH("去",B1561)),ISNUMBER(SEARCH("入",B1561)))),"Ambiguous",IF(ISNUMBER(SEARCH("平",B1561)),"平","仄")))</x:f>
        <x:v>平</x:v>
      </x:c>
      <x:c r="K1561" s="6" t="str">
        <x:f>IF(D1561="","",IF(AND(ISNUMBER(SEARCH("平",D1561)),OR(ISNUMBER(SEARCH("上",D1561)),ISNUMBER(SEARCH("去",D1561)),ISNUMBER(SEARCH("入",D1561)))),"Ambiguous",IF(ISNUMBER(SEARCH("平",D1561)),"平","仄")))</x:f>
        <x:v>平</x:v>
      </x:c>
      <x:c r="L1561" s="7" t="str"/>
    </x:row>
    <x:row r="1562">
      <x:c r="A1562" s="5" t="str">
        <x:v>換</x:v>
      </x:c>
      <x:c r="B1562" s="6" t="str">
        <x:v>去</x:v>
      </x:c>
      <x:c r="C1562" s="6" t="str">
        <x:f>IF(B1562="","Needs decision","Ready")</x:f>
        <x:v>Ready</x:v>
      </x:c>
      <x:c r="D1562" s="6" t="str">
        <x:v>去</x:v>
      </x:c>
      <x:c r="E1562" s="6" t="str">
        <x:v>hwanH (C)</x:v>
      </x:c>
      <x:c r="F1562" s="6" t="str">
        <x:v>去聲十五翰</x:v>
      </x:c>
      <x:c r="G1562" s="6" t="str">
        <x:v>Pingshui main list, Wikisource-derived DOCX</x:v>
      </x:c>
      <x:c r="H1562" s="6" t="str">
        <x:v>1</x:v>
      </x:c>
      <x:c r="I1562" s="6" t="str"/>
      <x:c r="J1562" s="6" t="str">
        <x:f>IF(B1562="","",IF(AND(ISNUMBER(SEARCH("平",B1562)),OR(ISNUMBER(SEARCH("上",B1562)),ISNUMBER(SEARCH("去",B1562)),ISNUMBER(SEARCH("入",B1562)))),"Ambiguous",IF(ISNUMBER(SEARCH("平",B1562)),"平","仄")))</x:f>
        <x:v>仄</x:v>
      </x:c>
      <x:c r="K1562" s="6" t="str">
        <x:f>IF(D1562="","",IF(AND(ISNUMBER(SEARCH("平",D1562)),OR(ISNUMBER(SEARCH("上",D1562)),ISNUMBER(SEARCH("去",D1562)),ISNUMBER(SEARCH("入",D1562)))),"Ambiguous",IF(ISNUMBER(SEARCH("平",D1562)),"平","仄")))</x:f>
        <x:v>仄</x:v>
      </x:c>
      <x:c r="L1562" s="7" t="str"/>
    </x:row>
    <x:row r="1563">
      <x:c r="A1563" s="5" t="str">
        <x:v>揠</x:v>
      </x:c>
      <x:c r="B1563" s="6" t="str">
        <x:v>入</x:v>
      </x:c>
      <x:c r="C1563" s="6" t="str">
        <x:f>IF(B1563="","Needs decision","Ready")</x:f>
        <x:v>Ready</x:v>
      </x:c>
      <x:c r="D1563" s="6" t="str">
        <x:v>入</x:v>
      </x:c>
      <x:c r="E1563" s="6" t="str">
        <x:v>'eat (D)</x:v>
      </x:c>
      <x:c r="F1563" s="6" t="str">
        <x:v>入聲八黠</x:v>
      </x:c>
      <x:c r="G1563" s="6" t="str">
        <x:v>Pingshui main list, Wikisource-derived DOCX</x:v>
      </x:c>
      <x:c r="H1563" s="6" t="str">
        <x:v>1</x:v>
      </x:c>
      <x:c r="I1563" s="6" t="str"/>
      <x:c r="J1563" s="6" t="str">
        <x:f>IF(B1563="","",IF(AND(ISNUMBER(SEARCH("平",B1563)),OR(ISNUMBER(SEARCH("上",B1563)),ISNUMBER(SEARCH("去",B1563)),ISNUMBER(SEARCH("入",B1563)))),"Ambiguous",IF(ISNUMBER(SEARCH("平",B1563)),"平","仄")))</x:f>
        <x:v>仄</x:v>
      </x:c>
      <x:c r="K1563" s="6" t="str">
        <x:f>IF(D1563="","",IF(AND(ISNUMBER(SEARCH("平",D1563)),OR(ISNUMBER(SEARCH("上",D1563)),ISNUMBER(SEARCH("去",D1563)),ISNUMBER(SEARCH("入",D1563)))),"Ambiguous",IF(ISNUMBER(SEARCH("平",D1563)),"平","仄")))</x:f>
        <x:v>仄</x:v>
      </x:c>
      <x:c r="L1563" s="7" t="str"/>
    </x:row>
    <x:row r="1564">
      <x:c r="A1564" s="5" t="str">
        <x:v>握</x:v>
      </x:c>
      <x:c r="B1564" s="6" t="str">
        <x:v>入</x:v>
      </x:c>
      <x:c r="C1564" s="6" t="str">
        <x:f>IF(B1564="","Needs decision","Ready")</x:f>
        <x:v>Ready</x:v>
      </x:c>
      <x:c r="D1564" s="6" t="str">
        <x:v>入</x:v>
      </x:c>
      <x:c r="E1564" s="6" t="str">
        <x:v>'aewk [影二江入] ʔ̙oˤk</x:v>
      </x:c>
      <x:c r="F1564" s="6" t="str">
        <x:v>入聲三覺</x:v>
      </x:c>
      <x:c r="G1564" s="6" t="str">
        <x:v>Pingshui main list, Wikisource-derived DOCX</x:v>
      </x:c>
      <x:c r="H1564" s="6" t="str">
        <x:v>1</x:v>
      </x:c>
      <x:c r="I1564" s="6" t="str">
        <x:v>Targeted preliminary fill from Xun Gong; review if uncertain</x:v>
      </x:c>
      <x:c r="J1564" s="6" t="str">
        <x:f>IF(B1564="","",IF(AND(ISNUMBER(SEARCH("平",B1564)),OR(ISNUMBER(SEARCH("上",B1564)),ISNUMBER(SEARCH("去",B1564)),ISNUMBER(SEARCH("入",B1564)))),"Ambiguous",IF(ISNUMBER(SEARCH("平",B1564)),"平","仄")))</x:f>
        <x:v>仄</x:v>
      </x:c>
      <x:c r="K1564" s="6" t="str">
        <x:f>IF(D1564="","",IF(AND(ISNUMBER(SEARCH("平",D1564)),OR(ISNUMBER(SEARCH("上",D1564)),ISNUMBER(SEARCH("去",D1564)),ISNUMBER(SEARCH("入",D1564)))),"Ambiguous",IF(ISNUMBER(SEARCH("平",D1564)),"平","仄")))</x:f>
        <x:v>仄</x:v>
      </x:c>
      <x:c r="L1564" s="7" t="str">
        <x:v>Xun Gong character-readings.csv</x:v>
      </x:c>
    </x:row>
    <x:row r="1565">
      <x:c r="A1565" s="5" t="str">
        <x:v>揣</x:v>
      </x:c>
      <x:c r="B1565" s="6" t="str">
        <x:v>上</x:v>
      </x:c>
      <x:c r="C1565" s="6" t="str">
        <x:f>IF(B1565="","Needs decision","Ready")</x:f>
        <x:v>Ready</x:v>
      </x:c>
      <x:c r="D1565" s="6" t="str">
        <x:v>上</x:v>
      </x:c>
      <x:c r="E1565" s="6" t="str">
        <x:v>tsrhjweX (B)</x:v>
      </x:c>
      <x:c r="F1565" s="6" t="str">
        <x:v>上聲四紙; 上聲二十哿</x:v>
      </x:c>
      <x:c r="G1565" s="6" t="str">
        <x:v>Pingshui main list, Wikisource-derived DOCX</x:v>
      </x:c>
      <x:c r="H1565" s="6" t="str">
        <x:v>1</x:v>
      </x:c>
      <x:c r="I1565" s="6" t="str"/>
      <x:c r="J1565" s="6" t="str">
        <x:f>IF(B1565="","",IF(AND(ISNUMBER(SEARCH("平",B1565)),OR(ISNUMBER(SEARCH("上",B1565)),ISNUMBER(SEARCH("去",B1565)),ISNUMBER(SEARCH("入",B1565)))),"Ambiguous",IF(ISNUMBER(SEARCH("平",B1565)),"平","仄")))</x:f>
        <x:v>仄</x:v>
      </x:c>
      <x:c r="K1565" s="6" t="str">
        <x:f>IF(D1565="","",IF(AND(ISNUMBER(SEARCH("平",D1565)),OR(ISNUMBER(SEARCH("上",D1565)),ISNUMBER(SEARCH("去",D1565)),ISNUMBER(SEARCH("入",D1565)))),"Ambiguous",IF(ISNUMBER(SEARCH("平",D1565)),"平","仄")))</x:f>
        <x:v>仄</x:v>
      </x:c>
      <x:c r="L1565" s="7" t="str"/>
    </x:row>
    <x:row r="1566">
      <x:c r="A1566" s="5" t="str">
        <x:v>揭</x:v>
      </x:c>
      <x:c r="B1566" s="6" t="str"/>
      <x:c r="C1566" s="6" t="str">
        <x:f>IF(B1566="","Needs decision","Ready")</x:f>
        <x:v>Needs decision</x:v>
      </x:c>
      <x:c r="D1566" s="6" t="str">
        <x:v>去/入</x:v>
      </x:c>
      <x:c r="E1566" s="6" t="str">
        <x:v>gjet (D); gjot (D); khjejH (C); khjet (D); kjot (D)</x:v>
      </x:c>
      <x:c r="F1566" s="6" t="str">
        <x:v>去聲八霽; 入聲九屑</x:v>
      </x:c>
      <x:c r="G1566" s="6" t="str">
        <x:v>Pingshui main list, Wikisource-derived DOCX</x:v>
      </x:c>
      <x:c r="H1566" s="6" t="str">
        <x:v>5</x:v>
      </x:c>
      <x:c r="I1566" s="6" t="str"/>
      <x:c r="J1566" s="6" t="str">
        <x:f>IF(B1566="","",IF(AND(ISNUMBER(SEARCH("平",B1566)),OR(ISNUMBER(SEARCH("上",B1566)),ISNUMBER(SEARCH("去",B1566)),ISNUMBER(SEARCH("入",B1566)))),"Ambiguous",IF(ISNUMBER(SEARCH("平",B1566)),"平","仄")))</x:f>
      </x:c>
      <x:c r="K1566" s="6" t="str">
        <x:f>IF(D1566="","",IF(AND(ISNUMBER(SEARCH("平",D1566)),OR(ISNUMBER(SEARCH("上",D1566)),ISNUMBER(SEARCH("去",D1566)),ISNUMBER(SEARCH("入",D1566)))),"Ambiguous",IF(ISNUMBER(SEARCH("平",D1566)),"平","仄")))</x:f>
        <x:v>仄</x:v>
      </x:c>
      <x:c r="L1566" s="7" t="str"/>
    </x:row>
    <x:row r="1567">
      <x:c r="A1567" s="5" t="str">
        <x:v>揮</x:v>
      </x:c>
      <x:c r="B1567" s="6" t="str">
        <x:v>平</x:v>
      </x:c>
      <x:c r="C1567" s="6" t="str">
        <x:f>IF(B1567="","Needs decision","Ready")</x:f>
        <x:v>Ready</x:v>
      </x:c>
      <x:c r="D1567" s="6" t="str">
        <x:v>平</x:v>
      </x:c>
      <x:c r="E1567" s="6" t="str">
        <x:v>xjw+j (A)</x:v>
      </x:c>
      <x:c r="F1567" s="6" t="str">
        <x:v>上平聲五微</x:v>
      </x:c>
      <x:c r="G1567" s="6" t="str">
        <x:v>Pingshui main list, Wikisource-derived DOCX</x:v>
      </x:c>
      <x:c r="H1567" s="6" t="str">
        <x:v>1</x:v>
      </x:c>
      <x:c r="I1567" s="6" t="str"/>
      <x:c r="J1567" s="6" t="str">
        <x:f>IF(B1567="","",IF(AND(ISNUMBER(SEARCH("平",B1567)),OR(ISNUMBER(SEARCH("上",B1567)),ISNUMBER(SEARCH("去",B1567)),ISNUMBER(SEARCH("入",B1567)))),"Ambiguous",IF(ISNUMBER(SEARCH("平",B1567)),"平","仄")))</x:f>
        <x:v>平</x:v>
      </x:c>
      <x:c r="K1567" s="6" t="str">
        <x:f>IF(D1567="","",IF(AND(ISNUMBER(SEARCH("平",D1567)),OR(ISNUMBER(SEARCH("上",D1567)),ISNUMBER(SEARCH("去",D1567)),ISNUMBER(SEARCH("入",D1567)))),"Ambiguous",IF(ISNUMBER(SEARCH("平",D1567)),"平","仄")))</x:f>
        <x:v>平</x:v>
      </x:c>
      <x:c r="L1567" s="7" t="str"/>
    </x:row>
    <x:row r="1568">
      <x:c r="A1568" s="5" t="str">
        <x:v>援</x:v>
      </x:c>
      <x:c r="B1568" s="6" t="str">
        <x:v>平</x:v>
      </x:c>
      <x:c r="C1568" s="6" t="str">
        <x:f>IF(B1568="","Needs decision","Ready")</x:f>
        <x:v>Ready</x:v>
      </x:c>
      <x:c r="D1568" s="6" t="str">
        <x:v>平</x:v>
      </x:c>
      <x:c r="E1568" s="6" t="str">
        <x:v>hjwon (A)</x:v>
      </x:c>
      <x:c r="F1568" s="6" t="str">
        <x:v>上平聲十三元</x:v>
      </x:c>
      <x:c r="G1568" s="6" t="str">
        <x:v>Pingshui main list, Wikisource-derived DOCX</x:v>
      </x:c>
      <x:c r="H1568" s="6" t="str">
        <x:v>1</x:v>
      </x:c>
      <x:c r="I1568" s="6" t="str"/>
      <x:c r="J1568" s="6" t="str">
        <x:f>IF(B1568="","",IF(AND(ISNUMBER(SEARCH("平",B1568)),OR(ISNUMBER(SEARCH("上",B1568)),ISNUMBER(SEARCH("去",B1568)),ISNUMBER(SEARCH("入",B1568)))),"Ambiguous",IF(ISNUMBER(SEARCH("平",B1568)),"平","仄")))</x:f>
        <x:v>平</x:v>
      </x:c>
      <x:c r="K1568" s="6" t="str">
        <x:f>IF(D1568="","",IF(AND(ISNUMBER(SEARCH("平",D1568)),OR(ISNUMBER(SEARCH("上",D1568)),ISNUMBER(SEARCH("去",D1568)),ISNUMBER(SEARCH("入",D1568)))),"Ambiguous",IF(ISNUMBER(SEARCH("平",D1568)),"平","仄")))</x:f>
        <x:v>平</x:v>
      </x:c>
      <x:c r="L1568" s="7" t="str"/>
    </x:row>
    <x:row r="1569">
      <x:c r="A1569" s="5" t="str">
        <x:v>搌</x:v>
      </x:c>
      <x:c r="B1569" s="6" t="str">
        <x:v>上</x:v>
      </x:c>
      <x:c r="C1569" s="6" t="str">
        <x:f>IF(B1569="","Needs decision","Ready")</x:f>
        <x:v>Ready</x:v>
      </x:c>
      <x:c r="D1569" s="6" t="str">
        <x:v>上</x:v>
      </x:c>
      <x:c r="E1569" s="6" t="str">
        <x:v>trjenX (B)</x:v>
      </x:c>
      <x:c r="F1569" s="6" t="str"/>
      <x:c r="G1569" s="6" t="str"/>
      <x:c r="H1569" s="6" t="str">
        <x:v>1</x:v>
      </x:c>
      <x:c r="I1569" s="6" t="str"/>
      <x:c r="J1569" s="6" t="str">
        <x:f>IF(B1569="","",IF(AND(ISNUMBER(SEARCH("平",B1569)),OR(ISNUMBER(SEARCH("上",B1569)),ISNUMBER(SEARCH("去",B1569)),ISNUMBER(SEARCH("入",B1569)))),"Ambiguous",IF(ISNUMBER(SEARCH("平",B1569)),"平","仄")))</x:f>
        <x:v>仄</x:v>
      </x:c>
      <x:c r="K1569" s="6" t="str">
        <x:f>IF(D1569="","",IF(AND(ISNUMBER(SEARCH("平",D1569)),OR(ISNUMBER(SEARCH("上",D1569)),ISNUMBER(SEARCH("去",D1569)),ISNUMBER(SEARCH("入",D1569)))),"Ambiguous",IF(ISNUMBER(SEARCH("平",D1569)),"平","仄")))</x:f>
        <x:v>仄</x:v>
      </x:c>
      <x:c r="L1569" s="7" t="str"/>
    </x:row>
    <x:row r="1570">
      <x:c r="A1570" s="5" t="str">
        <x:v>損</x:v>
      </x:c>
      <x:c r="B1570" s="6" t="str">
        <x:v>上</x:v>
      </x:c>
      <x:c r="C1570" s="6" t="str">
        <x:f>IF(B1570="","Needs decision","Ready")</x:f>
        <x:v>Ready</x:v>
      </x:c>
      <x:c r="D1570" s="6" t="str">
        <x:v>上</x:v>
      </x:c>
      <x:c r="E1570" s="6" t="str">
        <x:v>swonX (B)</x:v>
      </x:c>
      <x:c r="F1570" s="6" t="str">
        <x:v>上聲十三阮</x:v>
      </x:c>
      <x:c r="G1570" s="6" t="str">
        <x:v>Pingshui main list, Wikisource-derived DOCX</x:v>
      </x:c>
      <x:c r="H1570" s="6" t="str">
        <x:v>1</x:v>
      </x:c>
      <x:c r="I1570" s="6" t="str"/>
      <x:c r="J1570" s="6" t="str">
        <x:f>IF(B1570="","",IF(AND(ISNUMBER(SEARCH("平",B1570)),OR(ISNUMBER(SEARCH("上",B1570)),ISNUMBER(SEARCH("去",B1570)),ISNUMBER(SEARCH("入",B1570)))),"Ambiguous",IF(ISNUMBER(SEARCH("平",B1570)),"平","仄")))</x:f>
        <x:v>仄</x:v>
      </x:c>
      <x:c r="K1570" s="6" t="str">
        <x:f>IF(D1570="","",IF(AND(ISNUMBER(SEARCH("平",D1570)),OR(ISNUMBER(SEARCH("上",D1570)),ISNUMBER(SEARCH("去",D1570)),ISNUMBER(SEARCH("入",D1570)))),"Ambiguous",IF(ISNUMBER(SEARCH("平",D1570)),"平","仄")))</x:f>
        <x:v>仄</x:v>
      </x:c>
      <x:c r="L1570" s="7" t="str"/>
    </x:row>
    <x:row r="1571">
      <x:c r="A1571" s="5" t="str">
        <x:v>搏</x:v>
      </x:c>
      <x:c r="B1571" s="6" t="str"/>
      <x:c r="C1571" s="6" t="str">
        <x:f>IF(B1571="","Needs decision","Ready")</x:f>
        <x:v>Needs decision</x:v>
      </x:c>
      <x:c r="D1571" s="6" t="str">
        <x:v>去/入</x:v>
      </x:c>
      <x:c r="E1571" s="6" t="str">
        <x:v>pak (D); pjuH (C)</x:v>
      </x:c>
      <x:c r="F1571" s="6" t="str">
        <x:v>入聲十藥</x:v>
      </x:c>
      <x:c r="G1571" s="6" t="str">
        <x:v>Pingshui main list, Wikisource-derived DOCX</x:v>
      </x:c>
      <x:c r="H1571" s="6" t="str">
        <x:v>2</x:v>
      </x:c>
      <x:c r="I1571" s="6" t="str"/>
      <x:c r="J1571" s="6" t="str">
        <x:f>IF(B1571="","",IF(AND(ISNUMBER(SEARCH("平",B1571)),OR(ISNUMBER(SEARCH("上",B1571)),ISNUMBER(SEARCH("去",B1571)),ISNUMBER(SEARCH("入",B1571)))),"Ambiguous",IF(ISNUMBER(SEARCH("平",B1571)),"平","仄")))</x:f>
      </x:c>
      <x:c r="K1571" s="6" t="str">
        <x:f>IF(D1571="","",IF(AND(ISNUMBER(SEARCH("平",D1571)),OR(ISNUMBER(SEARCH("上",D1571)),ISNUMBER(SEARCH("去",D1571)),ISNUMBER(SEARCH("入",D1571)))),"Ambiguous",IF(ISNUMBER(SEARCH("平",D1571)),"平","仄")))</x:f>
        <x:v>仄</x:v>
      </x:c>
      <x:c r="L1571" s="7" t="str"/>
    </x:row>
    <x:row r="1572">
      <x:c r="A1572" s="5" t="str">
        <x:v>搔</x:v>
      </x:c>
      <x:c r="B1572" s="6" t="str">
        <x:v>平</x:v>
      </x:c>
      <x:c r="C1572" s="6" t="str">
        <x:f>IF(B1572="","Needs decision","Ready")</x:f>
        <x:v>Ready</x:v>
      </x:c>
      <x:c r="D1572" s="6" t="str">
        <x:v>平</x:v>
      </x:c>
      <x:c r="E1572" s="6" t="str">
        <x:v>saw (A)</x:v>
      </x:c>
      <x:c r="F1572" s="6" t="str">
        <x:v>下平聲四豪</x:v>
      </x:c>
      <x:c r="G1572" s="6" t="str">
        <x:v>Pingshui main list, Wikisource-derived DOCX</x:v>
      </x:c>
      <x:c r="H1572" s="6" t="str">
        <x:v>1</x:v>
      </x:c>
      <x:c r="I1572" s="6" t="str"/>
      <x:c r="J1572" s="6" t="str">
        <x:f>IF(B1572="","",IF(AND(ISNUMBER(SEARCH("平",B1572)),OR(ISNUMBER(SEARCH("上",B1572)),ISNUMBER(SEARCH("去",B1572)),ISNUMBER(SEARCH("入",B1572)))),"Ambiguous",IF(ISNUMBER(SEARCH("平",B1572)),"平","仄")))</x:f>
        <x:v>平</x:v>
      </x:c>
      <x:c r="K1572" s="6" t="str">
        <x:f>IF(D1572="","",IF(AND(ISNUMBER(SEARCH("平",D1572)),OR(ISNUMBER(SEARCH("上",D1572)),ISNUMBER(SEARCH("去",D1572)),ISNUMBER(SEARCH("入",D1572)))),"Ambiguous",IF(ISNUMBER(SEARCH("平",D1572)),"平","仄")))</x:f>
        <x:v>平</x:v>
      </x:c>
      <x:c r="L1572" s="7" t="str"/>
    </x:row>
    <x:row r="1573">
      <x:c r="A1573" s="5" t="str">
        <x:v>搖</x:v>
      </x:c>
      <x:c r="B1573" s="6" t="str">
        <x:v>平</x:v>
      </x:c>
      <x:c r="C1573" s="6" t="str">
        <x:f>IF(B1573="","Needs decision","Ready")</x:f>
        <x:v>Ready</x:v>
      </x:c>
      <x:c r="D1573" s="6" t="str">
        <x:v>平</x:v>
      </x:c>
      <x:c r="E1573" s="6" t="str">
        <x:v>yew (A)</x:v>
      </x:c>
      <x:c r="F1573" s="6" t="str">
        <x:v>下平聲二蕭; 去聲十八嘯</x:v>
      </x:c>
      <x:c r="G1573" s="6" t="str">
        <x:v>Pingshui main list, Wikisource-derived DOCX</x:v>
      </x:c>
      <x:c r="H1573" s="6" t="str">
        <x:v>1</x:v>
      </x:c>
      <x:c r="I1573" s="6" t="str"/>
      <x:c r="J1573" s="6" t="str">
        <x:f>IF(B1573="","",IF(AND(ISNUMBER(SEARCH("平",B1573)),OR(ISNUMBER(SEARCH("上",B1573)),ISNUMBER(SEARCH("去",B1573)),ISNUMBER(SEARCH("入",B1573)))),"Ambiguous",IF(ISNUMBER(SEARCH("平",B1573)),"平","仄")))</x:f>
        <x:v>平</x:v>
      </x:c>
      <x:c r="K1573" s="6" t="str">
        <x:f>IF(D1573="","",IF(AND(ISNUMBER(SEARCH("平",D1573)),OR(ISNUMBER(SEARCH("上",D1573)),ISNUMBER(SEARCH("去",D1573)),ISNUMBER(SEARCH("入",D1573)))),"Ambiguous",IF(ISNUMBER(SEARCH("平",D1573)),"平","仄")))</x:f>
        <x:v>平</x:v>
      </x:c>
      <x:c r="L1573" s="7" t="str"/>
    </x:row>
    <x:row r="1574">
      <x:c r="A1574" s="5" t="str">
        <x:v>搗</x:v>
      </x:c>
      <x:c r="B1574" s="6" t="str">
        <x:v>上</x:v>
      </x:c>
      <x:c r="C1574" s="6" t="str">
        <x:f>IF(B1574="","Needs decision","Ready")</x:f>
        <x:v>Ready</x:v>
      </x:c>
      <x:c r="D1574" s="6" t="str">
        <x:v>上</x:v>
      </x:c>
      <x:c r="E1574" s="6" t="str"/>
      <x:c r="F1574" s="6" t="str"/>
      <x:c r="G1574" s="6" t="str"/>
      <x:c r="H1574" s="6" t="str"/>
      <x:c r="I1574" s="6" t="str">
        <x:v>Manual user correction/addition</x:v>
      </x:c>
      <x:c r="J1574" s="6" t="str">
        <x:f>IF(B1574="","",IF(AND(ISNUMBER(SEARCH("平",B1574)),OR(ISNUMBER(SEARCH("上",B1574)),ISNUMBER(SEARCH("去",B1574)),ISNUMBER(SEARCH("入",B1574)))),"Ambiguous",IF(ISNUMBER(SEARCH("平",B1574)),"平","仄")))</x:f>
        <x:v>仄</x:v>
      </x:c>
      <x:c r="K1574" s="6" t="str">
        <x:f>IF(D1574="","",IF(AND(ISNUMBER(SEARCH("平",D1574)),OR(ISNUMBER(SEARCH("上",D1574)),ISNUMBER(SEARCH("去",D1574)),ISNUMBER(SEARCH("入",D1574)))),"Ambiguous",IF(ISNUMBER(SEARCH("平",D1574)),"平","仄")))</x:f>
        <x:v>仄</x:v>
      </x:c>
      <x:c r="L1574" s="7" t="str">
        <x:v>manual user correction</x:v>
      </x:c>
    </x:row>
    <x:row r="1575">
      <x:c r="A1575" s="5" t="str">
        <x:v>搜</x:v>
      </x:c>
      <x:c r="B1575" s="6" t="str">
        <x:v>平</x:v>
      </x:c>
      <x:c r="C1575" s="6" t="str">
        <x:f>IF(B1575="","Needs decision","Ready")</x:f>
        <x:v>Ready</x:v>
      </x:c>
      <x:c r="D1575" s="6" t="str">
        <x:v>平</x:v>
      </x:c>
      <x:c r="E1575" s="6" t="str">
        <x:v>srjuw (A)</x:v>
      </x:c>
      <x:c r="F1575" s="6" t="str">
        <x:v>下平聲十一尤</x:v>
      </x:c>
      <x:c r="G1575" s="6" t="str">
        <x:v>Pingshui main list, Wikisource-derived DOCX</x:v>
      </x:c>
      <x:c r="H1575" s="6" t="str">
        <x:v>1</x:v>
      </x:c>
      <x:c r="I1575" s="6" t="str"/>
      <x:c r="J1575" s="6" t="str">
        <x:f>IF(B1575="","",IF(AND(ISNUMBER(SEARCH("平",B1575)),OR(ISNUMBER(SEARCH("上",B1575)),ISNUMBER(SEARCH("去",B1575)),ISNUMBER(SEARCH("入",B1575)))),"Ambiguous",IF(ISNUMBER(SEARCH("平",B1575)),"平","仄")))</x:f>
        <x:v>平</x:v>
      </x:c>
      <x:c r="K1575" s="6" t="str">
        <x:f>IF(D1575="","",IF(AND(ISNUMBER(SEARCH("平",D1575)),OR(ISNUMBER(SEARCH("上",D1575)),ISNUMBER(SEARCH("去",D1575)),ISNUMBER(SEARCH("入",D1575)))),"Ambiguous",IF(ISNUMBER(SEARCH("平",D1575)),"平","仄")))</x:f>
        <x:v>平</x:v>
      </x:c>
      <x:c r="L1575" s="7" t="str"/>
    </x:row>
    <x:row r="1576">
      <x:c r="A1576" s="5" t="str">
        <x:v>搤</x:v>
      </x:c>
      <x:c r="B1576" s="6" t="str">
        <x:v>入</x:v>
      </x:c>
      <x:c r="C1576" s="6" t="str">
        <x:f>IF(B1576="","Needs decision","Ready")</x:f>
        <x:v>Ready</x:v>
      </x:c>
      <x:c r="D1576" s="6" t="str">
        <x:v>入</x:v>
      </x:c>
      <x:c r="E1576" s="6" t="str">
        <x:v>'eak (D)</x:v>
      </x:c>
      <x:c r="F1576" s="6" t="str">
        <x:v>入聲十一陌</x:v>
      </x:c>
      <x:c r="G1576" s="6" t="str">
        <x:v>Pingshui main list, Wikisource-derived DOCX</x:v>
      </x:c>
      <x:c r="H1576" s="6" t="str">
        <x:v>1</x:v>
      </x:c>
      <x:c r="I1576" s="6" t="str"/>
      <x:c r="J1576" s="6" t="str">
        <x:f>IF(B1576="","",IF(AND(ISNUMBER(SEARCH("平",B1576)),OR(ISNUMBER(SEARCH("上",B1576)),ISNUMBER(SEARCH("去",B1576)),ISNUMBER(SEARCH("入",B1576)))),"Ambiguous",IF(ISNUMBER(SEARCH("平",B1576)),"平","仄")))</x:f>
        <x:v>仄</x:v>
      </x:c>
      <x:c r="K1576" s="6" t="str">
        <x:f>IF(D1576="","",IF(AND(ISNUMBER(SEARCH("平",D1576)),OR(ISNUMBER(SEARCH("上",D1576)),ISNUMBER(SEARCH("去",D1576)),ISNUMBER(SEARCH("入",D1576)))),"Ambiguous",IF(ISNUMBER(SEARCH("平",D1576)),"平","仄")))</x:f>
        <x:v>仄</x:v>
      </x:c>
      <x:c r="L1576" s="7" t="str"/>
    </x:row>
    <x:row r="1577">
      <x:c r="A1577" s="5" t="str">
        <x:v>搥</x:v>
      </x:c>
      <x:c r="B1577" s="6" t="str">
        <x:v>平</x:v>
      </x:c>
      <x:c r="C1577" s="6" t="str">
        <x:f>IF(B1577="","Needs decision","Ready")</x:f>
        <x:v>Ready</x:v>
      </x:c>
      <x:c r="D1577" s="6" t="str">
        <x:v>平</x:v>
      </x:c>
      <x:c r="E1577" s="6" t="str">
        <x:v>twoj [t̙wəj] (平)</x:v>
      </x:c>
      <x:c r="F1577" s="6" t="str"/>
      <x:c r="G1577" s="6" t="str"/>
      <x:c r="H1577" s="6" t="str">
        <x:v>1</x:v>
      </x:c>
      <x:c r="I1577" s="6" t="str">
        <x:v>Tang 300 gap; frequency 1; provisional from Xun Gong</x:v>
      </x:c>
      <x:c r="J1577" s="6" t="str">
        <x:f>IF(B1577="","",IF(AND(ISNUMBER(SEARCH("平",B1577)),OR(ISNUMBER(SEARCH("上",B1577)),ISNUMBER(SEARCH("去",B1577)),ISNUMBER(SEARCH("入",B1577)))),"Ambiguous",IF(ISNUMBER(SEARCH("平",B1577)),"平","仄")))</x:f>
        <x:v>平</x:v>
      </x:c>
      <x:c r="K1577" s="6" t="str">
        <x:f>IF(D1577="","",IF(AND(ISNUMBER(SEARCH("平",D1577)),OR(ISNUMBER(SEARCH("上",D1577)),ISNUMBER(SEARCH("去",D1577)),ISNUMBER(SEARCH("入",D1577)))),"Ambiguous",IF(ISNUMBER(SEARCH("平",D1577)),"平","仄")))</x:f>
        <x:v>平</x:v>
      </x:c>
      <x:c r="L1577" s="7" t="str">
        <x:v>Xun Gong, Tang 300 gap fill</x:v>
      </x:c>
    </x:row>
    <x:row r="1578">
      <x:c r="A1578" s="5" t="str">
        <x:v>搬</x:v>
      </x:c>
      <x:c r="B1578" s="6" t="str">
        <x:v>平</x:v>
      </x:c>
      <x:c r="C1578" s="6" t="str">
        <x:f>IF(B1578="","Needs decision","Ready")</x:f>
        <x:v>Ready</x:v>
      </x:c>
      <x:c r="D1578" s="6" t="str">
        <x:v>平</x:v>
      </x:c>
      <x:c r="E1578" s="6" t="str">
        <x:v>pan (A)</x:v>
      </x:c>
      <x:c r="F1578" s="6" t="str"/>
      <x:c r="G1578" s="6" t="str"/>
      <x:c r="H1578" s="6" t="str">
        <x:v>1</x:v>
      </x:c>
      <x:c r="I1578" s="6" t="str"/>
      <x:c r="J1578" s="6" t="str">
        <x:f>IF(B1578="","",IF(AND(ISNUMBER(SEARCH("平",B1578)),OR(ISNUMBER(SEARCH("上",B1578)),ISNUMBER(SEARCH("去",B1578)),ISNUMBER(SEARCH("入",B1578)))),"Ambiguous",IF(ISNUMBER(SEARCH("平",B1578)),"平","仄")))</x:f>
        <x:v>平</x:v>
      </x:c>
      <x:c r="K1578" s="6" t="str">
        <x:f>IF(D1578="","",IF(AND(ISNUMBER(SEARCH("平",D1578)),OR(ISNUMBER(SEARCH("上",D1578)),ISNUMBER(SEARCH("去",D1578)),ISNUMBER(SEARCH("入",D1578)))),"Ambiguous",IF(ISNUMBER(SEARCH("平",D1578)),"平","仄")))</x:f>
        <x:v>平</x:v>
      </x:c>
      <x:c r="L1578" s="7" t="str"/>
    </x:row>
    <x:row r="1579">
      <x:c r="A1579" s="5" t="str">
        <x:v>搰</x:v>
      </x:c>
      <x:c r="B1579" s="6" t="str">
        <x:v>入</x:v>
      </x:c>
      <x:c r="C1579" s="6" t="str">
        <x:f>IF(B1579="","Needs decision","Ready")</x:f>
        <x:v>Ready</x:v>
      </x:c>
      <x:c r="D1579" s="6" t="str">
        <x:v>入</x:v>
      </x:c>
      <x:c r="E1579" s="6" t="str">
        <x:v>hwot (D)</x:v>
      </x:c>
      <x:c r="F1579" s="6" t="str">
        <x:v>入聲六月</x:v>
      </x:c>
      <x:c r="G1579" s="6" t="str">
        <x:v>Pingshui main list, Wikisource-derived DOCX</x:v>
      </x:c>
      <x:c r="H1579" s="6" t="str">
        <x:v>1</x:v>
      </x:c>
      <x:c r="I1579" s="6" t="str"/>
      <x:c r="J1579" s="6" t="str">
        <x:f>IF(B1579="","",IF(AND(ISNUMBER(SEARCH("平",B1579)),OR(ISNUMBER(SEARCH("上",B1579)),ISNUMBER(SEARCH("去",B1579)),ISNUMBER(SEARCH("入",B1579)))),"Ambiguous",IF(ISNUMBER(SEARCH("平",B1579)),"平","仄")))</x:f>
        <x:v>仄</x:v>
      </x:c>
      <x:c r="K1579" s="6" t="str">
        <x:f>IF(D1579="","",IF(AND(ISNUMBER(SEARCH("平",D1579)),OR(ISNUMBER(SEARCH("上",D1579)),ISNUMBER(SEARCH("去",D1579)),ISNUMBER(SEARCH("入",D1579)))),"Ambiguous",IF(ISNUMBER(SEARCH("平",D1579)),"平","仄")))</x:f>
        <x:v>仄</x:v>
      </x:c>
      <x:c r="L1579" s="7" t="str"/>
    </x:row>
    <x:row r="1580">
      <x:c r="A1580" s="5" t="str">
        <x:v>搴</x:v>
      </x:c>
      <x:c r="B1580" s="6" t="str">
        <x:v>平</x:v>
      </x:c>
      <x:c r="C1580" s="6" t="str">
        <x:f>IF(B1580="","Needs decision","Ready")</x:f>
        <x:v>Ready</x:v>
      </x:c>
      <x:c r="D1580" s="6" t="str">
        <x:v>平</x:v>
      </x:c>
      <x:c r="E1580" s="6" t="str"/>
      <x:c r="F1580" s="6" t="str">
        <x:v>上聲十六銑</x:v>
      </x:c>
      <x:c r="G1580" s="6" t="str">
        <x:v>Pingshui main list, Wikisource-derived DOCX</x:v>
      </x:c>
      <x:c r="H1580" s="6" t="str"/>
      <x:c r="I1580" s="6" t="str">
        <x:v>Manual user correction/addition</x:v>
      </x:c>
      <x:c r="J1580" s="6" t="str">
        <x:f>IF(B1580="","",IF(AND(ISNUMBER(SEARCH("平",B1580)),OR(ISNUMBER(SEARCH("上",B1580)),ISNUMBER(SEARCH("去",B1580)),ISNUMBER(SEARCH("入",B1580)))),"Ambiguous",IF(ISNUMBER(SEARCH("平",B1580)),"平","仄")))</x:f>
        <x:v>平</x:v>
      </x:c>
      <x:c r="K1580" s="6" t="str">
        <x:f>IF(D1580="","",IF(AND(ISNUMBER(SEARCH("平",D1580)),OR(ISNUMBER(SEARCH("上",D1580)),ISNUMBER(SEARCH("去",D1580)),ISNUMBER(SEARCH("入",D1580)))),"Ambiguous",IF(ISNUMBER(SEARCH("平",D1580)),"平","仄")))</x:f>
        <x:v>平</x:v>
      </x:c>
      <x:c r="L1580" s="7" t="str">
        <x:v>manual user correction</x:v>
      </x:c>
    </x:row>
    <x:row r="1581">
      <x:c r="A1581" s="5" t="str">
        <x:v>摋</x:v>
      </x:c>
      <x:c r="B1581" s="6" t="str">
        <x:v>入</x:v>
      </x:c>
      <x:c r="C1581" s="6" t="str">
        <x:f>IF(B1581="","Needs decision","Ready")</x:f>
        <x:v>Ready</x:v>
      </x:c>
      <x:c r="D1581" s="6" t="str">
        <x:v>入</x:v>
      </x:c>
      <x:c r="E1581" s="6" t="str">
        <x:v>sat (D)</x:v>
      </x:c>
      <x:c r="F1581" s="6" t="str">
        <x:v>入聲七曷</x:v>
      </x:c>
      <x:c r="G1581" s="6" t="str">
        <x:v>Pingshui main list, Wikisource-derived DOCX</x:v>
      </x:c>
      <x:c r="H1581" s="6" t="str">
        <x:v>1</x:v>
      </x:c>
      <x:c r="I1581" s="6" t="str"/>
      <x:c r="J1581" s="6" t="str">
        <x:f>IF(B1581="","",IF(AND(ISNUMBER(SEARCH("平",B1581)),OR(ISNUMBER(SEARCH("上",B1581)),ISNUMBER(SEARCH("去",B1581)),ISNUMBER(SEARCH("入",B1581)))),"Ambiguous",IF(ISNUMBER(SEARCH("平",B1581)),"平","仄")))</x:f>
        <x:v>仄</x:v>
      </x:c>
      <x:c r="K1581" s="6" t="str">
        <x:f>IF(D1581="","",IF(AND(ISNUMBER(SEARCH("平",D1581)),OR(ISNUMBER(SEARCH("上",D1581)),ISNUMBER(SEARCH("去",D1581)),ISNUMBER(SEARCH("入",D1581)))),"Ambiguous",IF(ISNUMBER(SEARCH("平",D1581)),"平","仄")))</x:f>
        <x:v>仄</x:v>
      </x:c>
      <x:c r="L1581" s="7" t="str"/>
    </x:row>
    <x:row r="1582">
      <x:c r="A1582" s="5" t="str">
        <x:v>摎</x:v>
      </x:c>
      <x:c r="B1582" s="6" t="str">
        <x:v>平</x:v>
      </x:c>
      <x:c r="C1582" s="6" t="str">
        <x:f>IF(B1582="","Needs decision","Ready")</x:f>
        <x:v>Ready</x:v>
      </x:c>
      <x:c r="D1582" s="6" t="str">
        <x:v>平</x:v>
      </x:c>
      <x:c r="E1582" s="6" t="str">
        <x:v>kjiw (A); ljuw (A)</x:v>
      </x:c>
      <x:c r="F1582" s="6" t="str">
        <x:v>下平聲三肴; 下平聲十一尤</x:v>
      </x:c>
      <x:c r="G1582" s="6" t="str">
        <x:v>Pingshui main list, Wikisource-derived DOCX</x:v>
      </x:c>
      <x:c r="H1582" s="6" t="str">
        <x:v>2</x:v>
      </x:c>
      <x:c r="I1582" s="6" t="str"/>
      <x:c r="J1582" s="6" t="str">
        <x:f>IF(B1582="","",IF(AND(ISNUMBER(SEARCH("平",B1582)),OR(ISNUMBER(SEARCH("上",B1582)),ISNUMBER(SEARCH("去",B1582)),ISNUMBER(SEARCH("入",B1582)))),"Ambiguous",IF(ISNUMBER(SEARCH("平",B1582)),"平","仄")))</x:f>
        <x:v>平</x:v>
      </x:c>
      <x:c r="K1582" s="6" t="str">
        <x:f>IF(D1582="","",IF(AND(ISNUMBER(SEARCH("平",D1582)),OR(ISNUMBER(SEARCH("上",D1582)),ISNUMBER(SEARCH("去",D1582)),ISNUMBER(SEARCH("入",D1582)))),"Ambiguous",IF(ISNUMBER(SEARCH("平",D1582)),"平","仄")))</x:f>
        <x:v>平</x:v>
      </x:c>
      <x:c r="L1582" s="7" t="str"/>
    </x:row>
    <x:row r="1583">
      <x:c r="A1583" s="5" t="str">
        <x:v>摐</x:v>
      </x:c>
      <x:c r="B1583" s="6" t="str">
        <x:v>平</x:v>
      </x:c>
      <x:c r="C1583" s="6" t="str">
        <x:f>IF(B1583="","Needs decision","Ready")</x:f>
        <x:v>Ready</x:v>
      </x:c>
      <x:c r="D1583" s="6" t="str">
        <x:v>平</x:v>
      </x:c>
      <x:c r="E1583" s="6" t="str">
        <x:v>tshjowng [tsʰjoŋ] (平); tsrhaewng [tʂʰoˤŋ] (平)</x:v>
      </x:c>
      <x:c r="F1583" s="6" t="str"/>
      <x:c r="G1583" s="6" t="str"/>
      <x:c r="H1583" s="6" t="str">
        <x:v>2</x:v>
      </x:c>
      <x:c r="I1583" s="6" t="str">
        <x:v>Tang 300 gap; frequency 1; provisional from Xun Gong</x:v>
      </x:c>
      <x:c r="J1583" s="6" t="str">
        <x:f>IF(B1583="","",IF(AND(ISNUMBER(SEARCH("平",B1583)),OR(ISNUMBER(SEARCH("上",B1583)),ISNUMBER(SEARCH("去",B1583)),ISNUMBER(SEARCH("入",B1583)))),"Ambiguous",IF(ISNUMBER(SEARCH("平",B1583)),"平","仄")))</x:f>
        <x:v>平</x:v>
      </x:c>
      <x:c r="K1583" s="6" t="str">
        <x:f>IF(D1583="","",IF(AND(ISNUMBER(SEARCH("平",D1583)),OR(ISNUMBER(SEARCH("上",D1583)),ISNUMBER(SEARCH("去",D1583)),ISNUMBER(SEARCH("入",D1583)))),"Ambiguous",IF(ISNUMBER(SEARCH("平",D1583)),"平","仄")))</x:f>
        <x:v>平</x:v>
      </x:c>
      <x:c r="L1583" s="7" t="str">
        <x:v>Xun Gong, Tang 300 gap fill</x:v>
      </x:c>
    </x:row>
    <x:row r="1584">
      <x:c r="A1584" s="5" t="str">
        <x:v>摘</x:v>
      </x:c>
      <x:c r="B1584" s="6" t="str">
        <x:v>入</x:v>
      </x:c>
      <x:c r="C1584" s="6" t="str">
        <x:f>IF(B1584="","Needs decision","Ready")</x:f>
        <x:v>Ready</x:v>
      </x:c>
      <x:c r="D1584" s="6" t="str">
        <x:v>入</x:v>
      </x:c>
      <x:c r="E1584" s="6" t="str">
        <x:v>treak (D)</x:v>
      </x:c>
      <x:c r="F1584" s="6" t="str">
        <x:v>入聲十一陌; 入聲十二錫</x:v>
      </x:c>
      <x:c r="G1584" s="6" t="str">
        <x:v>Pingshui main list, Wikisource-derived DOCX</x:v>
      </x:c>
      <x:c r="H1584" s="6" t="str">
        <x:v>1</x:v>
      </x:c>
      <x:c r="I1584" s="6" t="str"/>
      <x:c r="J1584" s="6" t="str">
        <x:f>IF(B1584="","",IF(AND(ISNUMBER(SEARCH("平",B1584)),OR(ISNUMBER(SEARCH("上",B1584)),ISNUMBER(SEARCH("去",B1584)),ISNUMBER(SEARCH("入",B1584)))),"Ambiguous",IF(ISNUMBER(SEARCH("平",B1584)),"平","仄")))</x:f>
        <x:v>仄</x:v>
      </x:c>
      <x:c r="K1584" s="6" t="str">
        <x:f>IF(D1584="","",IF(AND(ISNUMBER(SEARCH("平",D1584)),OR(ISNUMBER(SEARCH("上",D1584)),ISNUMBER(SEARCH("去",D1584)),ISNUMBER(SEARCH("入",D1584)))),"Ambiguous",IF(ISNUMBER(SEARCH("平",D1584)),"平","仄")))</x:f>
        <x:v>仄</x:v>
      </x:c>
      <x:c r="L1584" s="7" t="str"/>
    </x:row>
    <x:row r="1585">
      <x:c r="A1585" s="5" t="str">
        <x:v>摜</x:v>
      </x:c>
      <x:c r="B1585" s="6" t="str">
        <x:v>去</x:v>
      </x:c>
      <x:c r="C1585" s="6" t="str">
        <x:f>IF(B1585="","Needs decision","Ready")</x:f>
        <x:v>Ready</x:v>
      </x:c>
      <x:c r="D1585" s="6" t="str">
        <x:v>去</x:v>
      </x:c>
      <x:c r="E1585" s="6" t="str">
        <x:v>kwaenH (C)</x:v>
      </x:c>
      <x:c r="F1585" s="6" t="str"/>
      <x:c r="G1585" s="6" t="str"/>
      <x:c r="H1585" s="6" t="str">
        <x:v>1</x:v>
      </x:c>
      <x:c r="I1585" s="6" t="str"/>
      <x:c r="J1585" s="6" t="str">
        <x:f>IF(B1585="","",IF(AND(ISNUMBER(SEARCH("平",B1585)),OR(ISNUMBER(SEARCH("上",B1585)),ISNUMBER(SEARCH("去",B1585)),ISNUMBER(SEARCH("入",B1585)))),"Ambiguous",IF(ISNUMBER(SEARCH("平",B1585)),"平","仄")))</x:f>
        <x:v>仄</x:v>
      </x:c>
      <x:c r="K1585" s="6" t="str">
        <x:f>IF(D1585="","",IF(AND(ISNUMBER(SEARCH("平",D1585)),OR(ISNUMBER(SEARCH("上",D1585)),ISNUMBER(SEARCH("去",D1585)),ISNUMBER(SEARCH("入",D1585)))),"Ambiguous",IF(ISNUMBER(SEARCH("平",D1585)),"平","仄")))</x:f>
        <x:v>仄</x:v>
      </x:c>
      <x:c r="L1585" s="7" t="str"/>
    </x:row>
    <x:row r="1586">
      <x:c r="A1586" s="5" t="str">
        <x:v>摧</x:v>
      </x:c>
      <x:c r="B1586" s="6" t="str">
        <x:v>平</x:v>
      </x:c>
      <x:c r="C1586" s="6" t="str">
        <x:f>IF(B1586="","Needs decision","Ready")</x:f>
        <x:v>Ready</x:v>
      </x:c>
      <x:c r="D1586" s="6" t="str">
        <x:v>平</x:v>
      </x:c>
      <x:c r="E1586" s="6" t="str">
        <x:v>dzwoj [從合一灰平] d̙z̙wəj</x:v>
      </x:c>
      <x:c r="F1586" s="6" t="str">
        <x:v>上平聲十灰</x:v>
      </x:c>
      <x:c r="G1586" s="6" t="str">
        <x:v>Pingshui main list, Wikisource-derived DOCX</x:v>
      </x:c>
      <x:c r="H1586" s="6" t="str">
        <x:v>1</x:v>
      </x:c>
      <x:c r="I1586" s="6" t="str">
        <x:v>Targeted preliminary fill from Xun Gong; review if uncertain</x:v>
      </x:c>
      <x:c r="J1586" s="6" t="str">
        <x:f>IF(B1586="","",IF(AND(ISNUMBER(SEARCH("平",B1586)),OR(ISNUMBER(SEARCH("上",B1586)),ISNUMBER(SEARCH("去",B1586)),ISNUMBER(SEARCH("入",B1586)))),"Ambiguous",IF(ISNUMBER(SEARCH("平",B1586)),"平","仄")))</x:f>
        <x:v>平</x:v>
      </x:c>
      <x:c r="K1586" s="6" t="str">
        <x:f>IF(D1586="","",IF(AND(ISNUMBER(SEARCH("平",D1586)),OR(ISNUMBER(SEARCH("上",D1586)),ISNUMBER(SEARCH("去",D1586)),ISNUMBER(SEARCH("入",D1586)))),"Ambiguous",IF(ISNUMBER(SEARCH("平",D1586)),"平","仄")))</x:f>
        <x:v>平</x:v>
      </x:c>
      <x:c r="L1586" s="7" t="str">
        <x:v>Xun Gong character-readings.csv</x:v>
      </x:c>
    </x:row>
    <x:row r="1587">
      <x:c r="A1587" s="5" t="str">
        <x:v>摩</x:v>
      </x:c>
      <x:c r="B1587" s="6" t="str"/>
      <x:c r="C1587" s="6" t="str">
        <x:f>IF(B1587="","Needs decision","Ready")</x:f>
        <x:v>Needs decision</x:v>
      </x:c>
      <x:c r="D1587" s="6" t="str">
        <x:v>平/去</x:v>
      </x:c>
      <x:c r="E1587" s="6" t="str">
        <x:v>ma [m̙ɑ] (平); maH [m̙ɑh] (去)</x:v>
      </x:c>
      <x:c r="F1587" s="6" t="str"/>
      <x:c r="G1587" s="6" t="str"/>
      <x:c r="H1587" s="6" t="str">
        <x:v>2</x:v>
      </x:c>
      <x:c r="I1587" s="6" t="str">
        <x:v>Tang 300 gap; frequency 2; ambiguous in Xun Gong</x:v>
      </x:c>
      <x:c r="J1587" s="6" t="str">
        <x:f>IF(B1587="","",IF(AND(ISNUMBER(SEARCH("平",B1587)),OR(ISNUMBER(SEARCH("上",B1587)),ISNUMBER(SEARCH("去",B1587)),ISNUMBER(SEARCH("入",B1587)))),"Ambiguous",IF(ISNUMBER(SEARCH("平",B1587)),"平","仄")))</x:f>
      </x:c>
      <x:c r="K1587" s="6" t="str">
        <x:f>IF(D1587="","",IF(AND(ISNUMBER(SEARCH("平",D1587)),OR(ISNUMBER(SEARCH("上",D1587)),ISNUMBER(SEARCH("去",D1587)),ISNUMBER(SEARCH("入",D1587)))),"Ambiguous",IF(ISNUMBER(SEARCH("平",D1587)),"平","仄")))</x:f>
        <x:v>Ambiguous</x:v>
      </x:c>
      <x:c r="L1587" s="7" t="str">
        <x:v>Xun Gong, Tang 300 gap fill</x:v>
      </x:c>
    </x:row>
    <x:row r="1588">
      <x:c r="A1588" s="5" t="str">
        <x:v>摭</x:v>
      </x:c>
      <x:c r="B1588" s="6" t="str">
        <x:v>入</x:v>
      </x:c>
      <x:c r="C1588" s="6" t="str">
        <x:f>IF(B1588="","Needs decision","Ready")</x:f>
        <x:v>Ready</x:v>
      </x:c>
      <x:c r="D1588" s="6" t="str">
        <x:v>入</x:v>
      </x:c>
      <x:c r="E1588" s="6" t="str">
        <x:v>tsyek (D)</x:v>
      </x:c>
      <x:c r="F1588" s="6" t="str">
        <x:v>入聲十一陌</x:v>
      </x:c>
      <x:c r="G1588" s="6" t="str">
        <x:v>Pingshui main list, Wikisource-derived DOCX</x:v>
      </x:c>
      <x:c r="H1588" s="6" t="str">
        <x:v>1</x:v>
      </x:c>
      <x:c r="I1588" s="6" t="str"/>
      <x:c r="J1588" s="6" t="str">
        <x:f>IF(B1588="","",IF(AND(ISNUMBER(SEARCH("平",B1588)),OR(ISNUMBER(SEARCH("上",B1588)),ISNUMBER(SEARCH("去",B1588)),ISNUMBER(SEARCH("入",B1588)))),"Ambiguous",IF(ISNUMBER(SEARCH("平",B1588)),"平","仄")))</x:f>
        <x:v>仄</x:v>
      </x:c>
      <x:c r="K1588" s="6" t="str">
        <x:f>IF(D1588="","",IF(AND(ISNUMBER(SEARCH("平",D1588)),OR(ISNUMBER(SEARCH("上",D1588)),ISNUMBER(SEARCH("去",D1588)),ISNUMBER(SEARCH("入",D1588)))),"Ambiguous",IF(ISNUMBER(SEARCH("平",D1588)),"平","仄")))</x:f>
        <x:v>仄</x:v>
      </x:c>
      <x:c r="L1588" s="7" t="str"/>
    </x:row>
    <x:row r="1589">
      <x:c r="A1589" s="5" t="str">
        <x:v>摯</x:v>
      </x:c>
      <x:c r="B1589" s="6" t="str">
        <x:v>去</x:v>
      </x:c>
      <x:c r="C1589" s="6" t="str">
        <x:f>IF(B1589="","Needs decision","Ready")</x:f>
        <x:v>Ready</x:v>
      </x:c>
      <x:c r="D1589" s="6" t="str">
        <x:v>去</x:v>
      </x:c>
      <x:c r="E1589" s="6" t="str">
        <x:v>tsyijH (C)</x:v>
      </x:c>
      <x:c r="F1589" s="6" t="str">
        <x:v>去聲四寘</x:v>
      </x:c>
      <x:c r="G1589" s="6" t="str">
        <x:v>Pingshui main list, Wikisource-derived DOCX</x:v>
      </x:c>
      <x:c r="H1589" s="6" t="str">
        <x:v>1</x:v>
      </x:c>
      <x:c r="I1589" s="6" t="str"/>
      <x:c r="J1589" s="6" t="str">
        <x:f>IF(B1589="","",IF(AND(ISNUMBER(SEARCH("平",B1589)),OR(ISNUMBER(SEARCH("上",B1589)),ISNUMBER(SEARCH("去",B1589)),ISNUMBER(SEARCH("入",B1589)))),"Ambiguous",IF(ISNUMBER(SEARCH("平",B1589)),"平","仄")))</x:f>
        <x:v>仄</x:v>
      </x:c>
      <x:c r="K1589" s="6" t="str">
        <x:f>IF(D1589="","",IF(AND(ISNUMBER(SEARCH("平",D1589)),OR(ISNUMBER(SEARCH("上",D1589)),ISNUMBER(SEARCH("去",D1589)),ISNUMBER(SEARCH("入",D1589)))),"Ambiguous",IF(ISNUMBER(SEARCH("平",D1589)),"平","仄")))</x:f>
        <x:v>仄</x:v>
      </x:c>
      <x:c r="L1589" s="7" t="str"/>
    </x:row>
    <x:row r="1590">
      <x:c r="A1590" s="5" t="str">
        <x:v>摵</x:v>
      </x:c>
      <x:c r="B1590" s="6" t="str">
        <x:v>入</x:v>
      </x:c>
      <x:c r="C1590" s="6" t="str">
        <x:f>IF(B1590="","Needs decision","Ready")</x:f>
        <x:v>Ready</x:v>
      </x:c>
      <x:c r="D1590" s="6" t="str">
        <x:v>入</x:v>
      </x:c>
      <x:c r="E1590" s="6" t="str">
        <x:v>sreak [ʂeˤk] (入); srjuwk [ʂɨ̯uk] (入); tsjuwk [tsjuk] (入)</x:v>
      </x:c>
      <x:c r="F1590" s="6" t="str">
        <x:v>入聲一屋</x:v>
      </x:c>
      <x:c r="G1590" s="6" t="str">
        <x:v>Pingshui main list, Wikisource-derived DOCX</x:v>
      </x:c>
      <x:c r="H1590" s="6" t="str">
        <x:v>3</x:v>
      </x:c>
      <x:c r="I1590" s="6" t="str">
        <x:v>Tang 300 gap; frequency 2; provisional from Xun Gong</x:v>
      </x:c>
      <x:c r="J1590" s="6" t="str">
        <x:f>IF(B1590="","",IF(AND(ISNUMBER(SEARCH("平",B1590)),OR(ISNUMBER(SEARCH("上",B1590)),ISNUMBER(SEARCH("去",B1590)),ISNUMBER(SEARCH("入",B1590)))),"Ambiguous",IF(ISNUMBER(SEARCH("平",B1590)),"平","仄")))</x:f>
        <x:v>仄</x:v>
      </x:c>
      <x:c r="K1590" s="6" t="str">
        <x:f>IF(D1590="","",IF(AND(ISNUMBER(SEARCH("平",D1590)),OR(ISNUMBER(SEARCH("上",D1590)),ISNUMBER(SEARCH("去",D1590)),ISNUMBER(SEARCH("入",D1590)))),"Ambiguous",IF(ISNUMBER(SEARCH("平",D1590)),"平","仄")))</x:f>
        <x:v>仄</x:v>
      </x:c>
      <x:c r="L1590" s="7" t="str">
        <x:v>Xun Gong, Tang 300 gap fill</x:v>
      </x:c>
    </x:row>
    <x:row r="1591">
      <x:c r="A1591" s="5" t="str">
        <x:v>摶</x:v>
      </x:c>
      <x:c r="B1591" s="6" t="str">
        <x:v>平</x:v>
      </x:c>
      <x:c r="C1591" s="6" t="str">
        <x:f>IF(B1591="","Needs decision","Ready")</x:f>
        <x:v>Ready</x:v>
      </x:c>
      <x:c r="D1591" s="6" t="str">
        <x:v>平</x:v>
      </x:c>
      <x:c r="E1591" s="6" t="str">
        <x:v>dwan (A)</x:v>
      </x:c>
      <x:c r="F1591" s="6" t="str">
        <x:v>上平聲十四寒</x:v>
      </x:c>
      <x:c r="G1591" s="6" t="str">
        <x:v>Pingshui main list, Wikisource-derived DOCX</x:v>
      </x:c>
      <x:c r="H1591" s="6" t="str">
        <x:v>1</x:v>
      </x:c>
      <x:c r="I1591" s="6" t="str"/>
      <x:c r="J1591" s="6" t="str">
        <x:f>IF(B1591="","",IF(AND(ISNUMBER(SEARCH("平",B1591)),OR(ISNUMBER(SEARCH("上",B1591)),ISNUMBER(SEARCH("去",B1591)),ISNUMBER(SEARCH("入",B1591)))),"Ambiguous",IF(ISNUMBER(SEARCH("平",B1591)),"平","仄")))</x:f>
        <x:v>平</x:v>
      </x:c>
      <x:c r="K1591" s="6" t="str">
        <x:f>IF(D1591="","",IF(AND(ISNUMBER(SEARCH("平",D1591)),OR(ISNUMBER(SEARCH("上",D1591)),ISNUMBER(SEARCH("去",D1591)),ISNUMBER(SEARCH("入",D1591)))),"Ambiguous",IF(ISNUMBER(SEARCH("平",D1591)),"平","仄")))</x:f>
        <x:v>平</x:v>
      </x:c>
      <x:c r="L1591" s="7" t="str"/>
    </x:row>
    <x:row r="1592">
      <x:c r="A1592" s="5" t="str">
        <x:v>摻</x:v>
      </x:c>
      <x:c r="B1592" s="6" t="str"/>
      <x:c r="C1592" s="6" t="str">
        <x:f>IF(B1592="","Needs decision","Ready")</x:f>
        <x:v>Needs decision</x:v>
      </x:c>
      <x:c r="D1592" s="6" t="str">
        <x:v>平/上</x:v>
      </x:c>
      <x:c r="E1592" s="6" t="str">
        <x:v>sream [ʂeˤm] (平); sreamX [ʂeˤmʔ] (上)</x:v>
      </x:c>
      <x:c r="F1592" s="6" t="str">
        <x:v>下平聲四豪; 下平聲十五咸; 上聲二十九豏</x:v>
      </x:c>
      <x:c r="G1592" s="6" t="str">
        <x:v>Pingshui main list, Wikisource-derived DOCX</x:v>
      </x:c>
      <x:c r="H1592" s="6" t="str">
        <x:v>2</x:v>
      </x:c>
      <x:c r="I1592" s="6" t="str">
        <x:v>Tang 300 gap; frequency 1; ambiguous in Xun Gong</x:v>
      </x:c>
      <x:c r="J1592" s="6" t="str">
        <x:f>IF(B1592="","",IF(AND(ISNUMBER(SEARCH("平",B1592)),OR(ISNUMBER(SEARCH("上",B1592)),ISNUMBER(SEARCH("去",B1592)),ISNUMBER(SEARCH("入",B1592)))),"Ambiguous",IF(ISNUMBER(SEARCH("平",B1592)),"平","仄")))</x:f>
      </x:c>
      <x:c r="K1592" s="6" t="str">
        <x:f>IF(D1592="","",IF(AND(ISNUMBER(SEARCH("平",D1592)),OR(ISNUMBER(SEARCH("上",D1592)),ISNUMBER(SEARCH("去",D1592)),ISNUMBER(SEARCH("入",D1592)))),"Ambiguous",IF(ISNUMBER(SEARCH("平",D1592)),"平","仄")))</x:f>
        <x:v>Ambiguous</x:v>
      </x:c>
      <x:c r="L1592" s="7" t="str">
        <x:v>Xun Gong, Tang 300 gap fill</x:v>
      </x:c>
    </x:row>
    <x:row r="1593">
      <x:c r="A1593" s="5" t="str">
        <x:v>摽</x:v>
      </x:c>
      <x:c r="B1593" s="6" t="str"/>
      <x:c r="C1593" s="6" t="str">
        <x:f>IF(B1593="","Needs decision","Ready")</x:f>
        <x:v>Needs decision</x:v>
      </x:c>
      <x:c r="D1593" s="6" t="str">
        <x:v>平/上</x:v>
      </x:c>
      <x:c r="E1593" s="6" t="str">
        <x:v>bjiewX (B); phaew (A); phew (A)</x:v>
      </x:c>
      <x:c r="F1593" s="6" t="str">
        <x:v>下平聲二蕭; 上聲十七篠; 去聲十八嘯</x:v>
      </x:c>
      <x:c r="G1593" s="6" t="str">
        <x:v>Pingshui main list, Wikisource-derived DOCX</x:v>
      </x:c>
      <x:c r="H1593" s="6" t="str">
        <x:v>3</x:v>
      </x:c>
      <x:c r="I1593" s="6" t="str"/>
      <x:c r="J1593" s="6" t="str">
        <x:f>IF(B1593="","",IF(AND(ISNUMBER(SEARCH("平",B1593)),OR(ISNUMBER(SEARCH("上",B1593)),ISNUMBER(SEARCH("去",B1593)),ISNUMBER(SEARCH("入",B1593)))),"Ambiguous",IF(ISNUMBER(SEARCH("平",B1593)),"平","仄")))</x:f>
      </x:c>
      <x:c r="K1593" s="6" t="str">
        <x:f>IF(D1593="","",IF(AND(ISNUMBER(SEARCH("平",D1593)),OR(ISNUMBER(SEARCH("上",D1593)),ISNUMBER(SEARCH("去",D1593)),ISNUMBER(SEARCH("入",D1593)))),"Ambiguous",IF(ISNUMBER(SEARCH("平",D1593)),"平","仄")))</x:f>
        <x:v>Ambiguous</x:v>
      </x:c>
      <x:c r="L1593" s="7" t="str"/>
    </x:row>
    <x:row r="1594">
      <x:c r="A1594" s="5" t="str">
        <x:v>撅</x:v>
      </x:c>
      <x:c r="B1594" s="6" t="str">
        <x:v>去</x:v>
      </x:c>
      <x:c r="C1594" s="6" t="str">
        <x:f>IF(B1594="","Needs decision","Ready")</x:f>
        <x:v>Ready</x:v>
      </x:c>
      <x:c r="D1594" s="6" t="str">
        <x:v>去</x:v>
      </x:c>
      <x:c r="E1594" s="6" t="str">
        <x:v>kjwejH (C)</x:v>
      </x:c>
      <x:c r="F1594" s="6" t="str">
        <x:v>入聲六月</x:v>
      </x:c>
      <x:c r="G1594" s="6" t="str">
        <x:v>Pingshui main list, Wikisource-derived DOCX</x:v>
      </x:c>
      <x:c r="H1594" s="6" t="str">
        <x:v>1</x:v>
      </x:c>
      <x:c r="I1594" s="6" t="str"/>
      <x:c r="J1594" s="6" t="str">
        <x:f>IF(B1594="","",IF(AND(ISNUMBER(SEARCH("平",B1594)),OR(ISNUMBER(SEARCH("上",B1594)),ISNUMBER(SEARCH("去",B1594)),ISNUMBER(SEARCH("入",B1594)))),"Ambiguous",IF(ISNUMBER(SEARCH("平",B1594)),"平","仄")))</x:f>
        <x:v>仄</x:v>
      </x:c>
      <x:c r="K1594" s="6" t="str">
        <x:f>IF(D1594="","",IF(AND(ISNUMBER(SEARCH("平",D1594)),OR(ISNUMBER(SEARCH("上",D1594)),ISNUMBER(SEARCH("去",D1594)),ISNUMBER(SEARCH("入",D1594)))),"Ambiguous",IF(ISNUMBER(SEARCH("平",D1594)),"平","仄")))</x:f>
        <x:v>仄</x:v>
      </x:c>
      <x:c r="L1594" s="7" t="str"/>
    </x:row>
    <x:row r="1595">
      <x:c r="A1595" s="5" t="str">
        <x:v>撓</x:v>
      </x:c>
      <x:c r="B1595" s="6" t="str">
        <x:v>上</x:v>
      </x:c>
      <x:c r="C1595" s="6" t="str">
        <x:f>IF(B1595="","Needs decision","Ready")</x:f>
        <x:v>Ready</x:v>
      </x:c>
      <x:c r="D1595" s="6" t="str">
        <x:v>上</x:v>
      </x:c>
      <x:c r="E1595" s="6" t="str">
        <x:v>nraewX (B)</x:v>
      </x:c>
      <x:c r="F1595" s="6" t="str">
        <x:v>下平聲四豪; 上聲十八巧</x:v>
      </x:c>
      <x:c r="G1595" s="6" t="str">
        <x:v>Pingshui main list, Wikisource-derived DOCX</x:v>
      </x:c>
      <x:c r="H1595" s="6" t="str">
        <x:v>1</x:v>
      </x:c>
      <x:c r="I1595" s="6" t="str"/>
      <x:c r="J1595" s="6" t="str">
        <x:f>IF(B1595="","",IF(AND(ISNUMBER(SEARCH("平",B1595)),OR(ISNUMBER(SEARCH("上",B1595)),ISNUMBER(SEARCH("去",B1595)),ISNUMBER(SEARCH("入",B1595)))),"Ambiguous",IF(ISNUMBER(SEARCH("平",B1595)),"平","仄")))</x:f>
        <x:v>仄</x:v>
      </x:c>
      <x:c r="K1595" s="6" t="str">
        <x:f>IF(D1595="","",IF(AND(ISNUMBER(SEARCH("平",D1595)),OR(ISNUMBER(SEARCH("上",D1595)),ISNUMBER(SEARCH("去",D1595)),ISNUMBER(SEARCH("入",D1595)))),"Ambiguous",IF(ISNUMBER(SEARCH("平",D1595)),"平","仄")))</x:f>
        <x:v>仄</x:v>
      </x:c>
      <x:c r="L1595" s="7" t="str"/>
    </x:row>
    <x:row r="1596">
      <x:c r="A1596" s="5" t="str">
        <x:v>撚</x:v>
      </x:c>
      <x:c r="B1596" s="6" t="str">
        <x:v>上</x:v>
      </x:c>
      <x:c r="C1596" s="6" t="str">
        <x:f>IF(B1596="","Needs decision","Ready")</x:f>
        <x:v>Ready</x:v>
      </x:c>
      <x:c r="D1596" s="6" t="str">
        <x:v>上</x:v>
      </x:c>
      <x:c r="E1596" s="6" t="str">
        <x:v>nenX [n̙enʔ] (上)</x:v>
      </x:c>
      <x:c r="F1596" s="6" t="str">
        <x:v>上聲十六銑</x:v>
      </x:c>
      <x:c r="G1596" s="6" t="str">
        <x:v>Pingshui main list, Wikisource-derived DOCX</x:v>
      </x:c>
      <x:c r="H1596" s="6" t="str">
        <x:v>1</x:v>
      </x:c>
      <x:c r="I1596" s="6" t="str">
        <x:v>Tang 300 gap; frequency 1; provisional from Xun Gong</x:v>
      </x:c>
      <x:c r="J1596" s="6" t="str">
        <x:f>IF(B1596="","",IF(AND(ISNUMBER(SEARCH("平",B1596)),OR(ISNUMBER(SEARCH("上",B1596)),ISNUMBER(SEARCH("去",B1596)),ISNUMBER(SEARCH("入",B1596)))),"Ambiguous",IF(ISNUMBER(SEARCH("平",B1596)),"平","仄")))</x:f>
        <x:v>仄</x:v>
      </x:c>
      <x:c r="K1596" s="6" t="str">
        <x:f>IF(D1596="","",IF(AND(ISNUMBER(SEARCH("平",D1596)),OR(ISNUMBER(SEARCH("上",D1596)),ISNUMBER(SEARCH("去",D1596)),ISNUMBER(SEARCH("入",D1596)))),"Ambiguous",IF(ISNUMBER(SEARCH("平",D1596)),"平","仄")))</x:f>
        <x:v>仄</x:v>
      </x:c>
      <x:c r="L1596" s="7" t="str">
        <x:v>Xun Gong, Tang 300 gap fill</x:v>
      </x:c>
    </x:row>
    <x:row r="1597">
      <x:c r="A1597" s="5" t="str">
        <x:v>撜</x:v>
      </x:c>
      <x:c r="B1597" s="6" t="str">
        <x:v>上</x:v>
      </x:c>
      <x:c r="C1597" s="6" t="str">
        <x:f>IF(B1597="","Needs decision","Ready")</x:f>
        <x:v>Ready</x:v>
      </x:c>
      <x:c r="D1597" s="6" t="str">
        <x:v>上</x:v>
      </x:c>
      <x:c r="E1597" s="6" t="str">
        <x:v>tsyingX (B)</x:v>
      </x:c>
      <x:c r="F1597" s="6" t="str"/>
      <x:c r="G1597" s="6" t="str"/>
      <x:c r="H1597" s="6" t="str">
        <x:v>1</x:v>
      </x:c>
      <x:c r="I1597" s="6" t="str"/>
      <x:c r="J1597" s="6" t="str">
        <x:f>IF(B1597="","",IF(AND(ISNUMBER(SEARCH("平",B1597)),OR(ISNUMBER(SEARCH("上",B1597)),ISNUMBER(SEARCH("去",B1597)),ISNUMBER(SEARCH("入",B1597)))),"Ambiguous",IF(ISNUMBER(SEARCH("平",B1597)),"平","仄")))</x:f>
        <x:v>仄</x:v>
      </x:c>
      <x:c r="K1597" s="6" t="str">
        <x:f>IF(D1597="","",IF(AND(ISNUMBER(SEARCH("平",D1597)),OR(ISNUMBER(SEARCH("上",D1597)),ISNUMBER(SEARCH("去",D1597)),ISNUMBER(SEARCH("入",D1597)))),"Ambiguous",IF(ISNUMBER(SEARCH("平",D1597)),"平","仄")))</x:f>
        <x:v>仄</x:v>
      </x:c>
      <x:c r="L1597" s="7" t="str"/>
    </x:row>
    <x:row r="1598">
      <x:c r="A1598" s="5" t="str">
        <x:v>撝</x:v>
      </x:c>
      <x:c r="B1598" s="6" t="str">
        <x:v>平</x:v>
      </x:c>
      <x:c r="C1598" s="6" t="str">
        <x:f>IF(B1598="","Needs decision","Ready")</x:f>
        <x:v>Ready</x:v>
      </x:c>
      <x:c r="D1598" s="6" t="str">
        <x:v>平</x:v>
      </x:c>
      <x:c r="E1598" s="6" t="str">
        <x:v>xjwe [xwɨ̯ie] (平)</x:v>
      </x:c>
      <x:c r="F1598" s="6" t="str">
        <x:v>上平聲四支</x:v>
      </x:c>
      <x:c r="G1598" s="6" t="str">
        <x:v>Pingshui main list, Wikisource-derived DOCX</x:v>
      </x:c>
      <x:c r="H1598" s="6" t="str">
        <x:v>1</x:v>
      </x:c>
      <x:c r="I1598" s="6" t="str">
        <x:v>Tang 300 gap; frequency 1; provisional from Xun Gong</x:v>
      </x:c>
      <x:c r="J1598" s="6" t="str">
        <x:f>IF(B1598="","",IF(AND(ISNUMBER(SEARCH("平",B1598)),OR(ISNUMBER(SEARCH("上",B1598)),ISNUMBER(SEARCH("去",B1598)),ISNUMBER(SEARCH("入",B1598)))),"Ambiguous",IF(ISNUMBER(SEARCH("平",B1598)),"平","仄")))</x:f>
        <x:v>平</x:v>
      </x:c>
      <x:c r="K1598" s="6" t="str">
        <x:f>IF(D1598="","",IF(AND(ISNUMBER(SEARCH("平",D1598)),OR(ISNUMBER(SEARCH("上",D1598)),ISNUMBER(SEARCH("去",D1598)),ISNUMBER(SEARCH("入",D1598)))),"Ambiguous",IF(ISNUMBER(SEARCH("平",D1598)),"平","仄")))</x:f>
        <x:v>平</x:v>
      </x:c>
      <x:c r="L1598" s="7" t="str">
        <x:v>Xun Gong, Tang 300 gap fill</x:v>
      </x:c>
    </x:row>
    <x:row r="1599">
      <x:c r="A1599" s="5" t="str">
        <x:v>撞</x:v>
      </x:c>
      <x:c r="B1599" s="6" t="str"/>
      <x:c r="C1599" s="6" t="str">
        <x:f>IF(B1599="","Needs decision","Ready")</x:f>
        <x:v>Needs decision</x:v>
      </x:c>
      <x:c r="D1599" s="6" t="str">
        <x:v>平/去</x:v>
      </x:c>
      <x:c r="E1599" s="6" t="str">
        <x:v>draewng (A); draewngH (C)</x:v>
      </x:c>
      <x:c r="F1599" s="6" t="str">
        <x:v>上平聲三江; 去聲三絳</x:v>
      </x:c>
      <x:c r="G1599" s="6" t="str">
        <x:v>Pingshui main list, Wikisource-derived DOCX</x:v>
      </x:c>
      <x:c r="H1599" s="6" t="str">
        <x:v>2</x:v>
      </x:c>
      <x:c r="I1599" s="6" t="str"/>
      <x:c r="J1599" s="6" t="str">
        <x:f>IF(B1599="","",IF(AND(ISNUMBER(SEARCH("平",B1599)),OR(ISNUMBER(SEARCH("上",B1599)),ISNUMBER(SEARCH("去",B1599)),ISNUMBER(SEARCH("入",B1599)))),"Ambiguous",IF(ISNUMBER(SEARCH("平",B1599)),"平","仄")))</x:f>
      </x:c>
      <x:c r="K1599" s="6" t="str">
        <x:f>IF(D1599="","",IF(AND(ISNUMBER(SEARCH("平",D1599)),OR(ISNUMBER(SEARCH("上",D1599)),ISNUMBER(SEARCH("去",D1599)),ISNUMBER(SEARCH("入",D1599)))),"Ambiguous",IF(ISNUMBER(SEARCH("平",D1599)),"平","仄")))</x:f>
        <x:v>Ambiguous</x:v>
      </x:c>
      <x:c r="L1599" s="7" t="str"/>
    </x:row>
    <x:row r="1600">
      <x:c r="A1600" s="5" t="str">
        <x:v>撤</x:v>
      </x:c>
      <x:c r="B1600" s="6" t="str">
        <x:v>入</x:v>
      </x:c>
      <x:c r="C1600" s="6" t="str">
        <x:f>IF(B1600="","Needs decision","Ready")</x:f>
        <x:v>Ready</x:v>
      </x:c>
      <x:c r="D1600" s="6" t="str">
        <x:v>入</x:v>
      </x:c>
      <x:c r="E1600" s="6" t="str">
        <x:v>drjet (D); trhjet (D)</x:v>
      </x:c>
      <x:c r="F1600" s="6" t="str">
        <x:v>入聲九屑</x:v>
      </x:c>
      <x:c r="G1600" s="6" t="str">
        <x:v>Pingshui main list, Wikisource-derived DOCX</x:v>
      </x:c>
      <x:c r="H1600" s="6" t="str">
        <x:v>2</x:v>
      </x:c>
      <x:c r="I1600" s="6" t="str"/>
      <x:c r="J1600" s="6" t="str">
        <x:f>IF(B1600="","",IF(AND(ISNUMBER(SEARCH("平",B1600)),OR(ISNUMBER(SEARCH("上",B1600)),ISNUMBER(SEARCH("去",B1600)),ISNUMBER(SEARCH("入",B1600)))),"Ambiguous",IF(ISNUMBER(SEARCH("平",B1600)),"平","仄")))</x:f>
        <x:v>仄</x:v>
      </x:c>
      <x:c r="K1600" s="6" t="str">
        <x:f>IF(D1600="","",IF(AND(ISNUMBER(SEARCH("平",D1600)),OR(ISNUMBER(SEARCH("上",D1600)),ISNUMBER(SEARCH("去",D1600)),ISNUMBER(SEARCH("入",D1600)))),"Ambiguous",IF(ISNUMBER(SEARCH("平",D1600)),"平","仄")))</x:f>
        <x:v>仄</x:v>
      </x:c>
      <x:c r="L1600" s="7" t="str"/>
    </x:row>
    <x:row r="1601">
      <x:c r="A1601" s="5" t="str">
        <x:v>撥</x:v>
      </x:c>
      <x:c r="B1601" s="6" t="str">
        <x:v>入</x:v>
      </x:c>
      <x:c r="C1601" s="6" t="str">
        <x:f>IF(B1601="","Needs decision","Ready")</x:f>
        <x:v>Ready</x:v>
      </x:c>
      <x:c r="D1601" s="6" t="str">
        <x:v>入</x:v>
      </x:c>
      <x:c r="E1601" s="6" t="str">
        <x:v>pat (D)</x:v>
      </x:c>
      <x:c r="F1601" s="6" t="str">
        <x:v>入聲七曷</x:v>
      </x:c>
      <x:c r="G1601" s="6" t="str">
        <x:v>Pingshui main list, Wikisource-derived DOCX</x:v>
      </x:c>
      <x:c r="H1601" s="6" t="str">
        <x:v>1</x:v>
      </x:c>
      <x:c r="I1601" s="6" t="str"/>
      <x:c r="J1601" s="6" t="str">
        <x:f>IF(B1601="","",IF(AND(ISNUMBER(SEARCH("平",B1601)),OR(ISNUMBER(SEARCH("上",B1601)),ISNUMBER(SEARCH("去",B1601)),ISNUMBER(SEARCH("入",B1601)))),"Ambiguous",IF(ISNUMBER(SEARCH("平",B1601)),"平","仄")))</x:f>
        <x:v>仄</x:v>
      </x:c>
      <x:c r="K1601" s="6" t="str">
        <x:f>IF(D1601="","",IF(AND(ISNUMBER(SEARCH("平",D1601)),OR(ISNUMBER(SEARCH("上",D1601)),ISNUMBER(SEARCH("去",D1601)),ISNUMBER(SEARCH("入",D1601)))),"Ambiguous",IF(ISNUMBER(SEARCH("平",D1601)),"平","仄")))</x:f>
        <x:v>仄</x:v>
      </x:c>
      <x:c r="L1601" s="7" t="str"/>
    </x:row>
    <x:row r="1602">
      <x:c r="A1602" s="5" t="str">
        <x:v>撫</x:v>
      </x:c>
      <x:c r="B1602" s="6" t="str">
        <x:v>上</x:v>
      </x:c>
      <x:c r="C1602" s="6" t="str">
        <x:f>IF(B1602="","Needs decision","Ready")</x:f>
        <x:v>Ready</x:v>
      </x:c>
      <x:c r="D1602" s="6" t="str">
        <x:v>上</x:v>
      </x:c>
      <x:c r="E1602" s="6" t="str">
        <x:v>phjuX (B)</x:v>
      </x:c>
      <x:c r="F1602" s="6" t="str">
        <x:v>上聲七麌</x:v>
      </x:c>
      <x:c r="G1602" s="6" t="str">
        <x:v>Pingshui main list, Wikisource-derived DOCX</x:v>
      </x:c>
      <x:c r="H1602" s="6" t="str">
        <x:v>1</x:v>
      </x:c>
      <x:c r="I1602" s="6" t="str"/>
      <x:c r="J1602" s="6" t="str">
        <x:f>IF(B1602="","",IF(AND(ISNUMBER(SEARCH("平",B1602)),OR(ISNUMBER(SEARCH("上",B1602)),ISNUMBER(SEARCH("去",B1602)),ISNUMBER(SEARCH("入",B1602)))),"Ambiguous",IF(ISNUMBER(SEARCH("平",B1602)),"平","仄")))</x:f>
        <x:v>仄</x:v>
      </x:c>
      <x:c r="K1602" s="6" t="str">
        <x:f>IF(D1602="","",IF(AND(ISNUMBER(SEARCH("平",D1602)),OR(ISNUMBER(SEARCH("上",D1602)),ISNUMBER(SEARCH("去",D1602)),ISNUMBER(SEARCH("入",D1602)))),"Ambiguous",IF(ISNUMBER(SEARCH("平",D1602)),"平","仄")))</x:f>
        <x:v>仄</x:v>
      </x:c>
      <x:c r="L1602" s="7" t="str"/>
    </x:row>
    <x:row r="1603">
      <x:c r="A1603" s="5" t="str">
        <x:v>播</x:v>
      </x:c>
      <x:c r="B1603" s="6" t="str">
        <x:v>去</x:v>
      </x:c>
      <x:c r="C1603" s="6" t="str">
        <x:f>IF(B1603="","Needs decision","Ready")</x:f>
        <x:v>Ready</x:v>
      </x:c>
      <x:c r="D1603" s="6" t="str">
        <x:v>去</x:v>
      </x:c>
      <x:c r="E1603" s="6" t="str">
        <x:v>paH (C)</x:v>
      </x:c>
      <x:c r="F1603" s="6" t="str">
        <x:v>去聲二十一箇</x:v>
      </x:c>
      <x:c r="G1603" s="6" t="str">
        <x:v>Pingshui main list, Wikisource-derived DOCX</x:v>
      </x:c>
      <x:c r="H1603" s="6" t="str">
        <x:v>1</x:v>
      </x:c>
      <x:c r="I1603" s="6" t="str"/>
      <x:c r="J1603" s="6" t="str">
        <x:f>IF(B1603="","",IF(AND(ISNUMBER(SEARCH("平",B1603)),OR(ISNUMBER(SEARCH("上",B1603)),ISNUMBER(SEARCH("去",B1603)),ISNUMBER(SEARCH("入",B1603)))),"Ambiguous",IF(ISNUMBER(SEARCH("平",B1603)),"平","仄")))</x:f>
        <x:v>仄</x:v>
      </x:c>
      <x:c r="K1603" s="6" t="str">
        <x:f>IF(D1603="","",IF(AND(ISNUMBER(SEARCH("平",D1603)),OR(ISNUMBER(SEARCH("上",D1603)),ISNUMBER(SEARCH("去",D1603)),ISNUMBER(SEARCH("入",D1603)))),"Ambiguous",IF(ISNUMBER(SEARCH("平",D1603)),"平","仄")))</x:f>
        <x:v>仄</x:v>
      </x:c>
      <x:c r="L1603" s="7" t="str"/>
    </x:row>
    <x:row r="1604">
      <x:c r="A1604" s="5" t="str">
        <x:v>撮</x:v>
      </x:c>
      <x:c r="B1604" s="6" t="str">
        <x:v>入</x:v>
      </x:c>
      <x:c r="C1604" s="6" t="str">
        <x:f>IF(B1604="","Needs decision","Ready")</x:f>
        <x:v>Ready</x:v>
      </x:c>
      <x:c r="D1604" s="6" t="str">
        <x:v>入</x:v>
      </x:c>
      <x:c r="E1604" s="6" t="str">
        <x:v>tshwat (D)</x:v>
      </x:c>
      <x:c r="F1604" s="6" t="str">
        <x:v>入聲七曷</x:v>
      </x:c>
      <x:c r="G1604" s="6" t="str">
        <x:v>Pingshui main list, Wikisource-derived DOCX</x:v>
      </x:c>
      <x:c r="H1604" s="6" t="str">
        <x:v>1</x:v>
      </x:c>
      <x:c r="I1604" s="6" t="str"/>
      <x:c r="J1604" s="6" t="str">
        <x:f>IF(B1604="","",IF(AND(ISNUMBER(SEARCH("平",B1604)),OR(ISNUMBER(SEARCH("上",B1604)),ISNUMBER(SEARCH("去",B1604)),ISNUMBER(SEARCH("入",B1604)))),"Ambiguous",IF(ISNUMBER(SEARCH("平",B1604)),"平","仄")))</x:f>
        <x:v>仄</x:v>
      </x:c>
      <x:c r="K1604" s="6" t="str">
        <x:f>IF(D1604="","",IF(AND(ISNUMBER(SEARCH("平",D1604)),OR(ISNUMBER(SEARCH("上",D1604)),ISNUMBER(SEARCH("去",D1604)),ISNUMBER(SEARCH("入",D1604)))),"Ambiguous",IF(ISNUMBER(SEARCH("平",D1604)),"平","仄")))</x:f>
        <x:v>仄</x:v>
      </x:c>
      <x:c r="L1604" s="7" t="str"/>
    </x:row>
    <x:row r="1605">
      <x:c r="A1605" s="5" t="str">
        <x:v>撰</x:v>
      </x:c>
      <x:c r="B1605" s="6" t="str">
        <x:v>上</x:v>
      </x:c>
      <x:c r="C1605" s="6" t="str">
        <x:f>IF(B1605="","Needs decision","Ready")</x:f>
        <x:v>Ready</x:v>
      </x:c>
      <x:c r="D1605" s="6" t="str">
        <x:v>上</x:v>
      </x:c>
      <x:c r="E1605" s="6" t="str">
        <x:v>dzrjwenX (B)</x:v>
      </x:c>
      <x:c r="F1605" s="6" t="str">
        <x:v>上聲十五潸; 上聲十六銑</x:v>
      </x:c>
      <x:c r="G1605" s="6" t="str">
        <x:v>Pingshui main list, Wikisource-derived DOCX</x:v>
      </x:c>
      <x:c r="H1605" s="6" t="str">
        <x:v>1</x:v>
      </x:c>
      <x:c r="I1605" s="6" t="str"/>
      <x:c r="J1605" s="6" t="str">
        <x:f>IF(B1605="","",IF(AND(ISNUMBER(SEARCH("平",B1605)),OR(ISNUMBER(SEARCH("上",B1605)),ISNUMBER(SEARCH("去",B1605)),ISNUMBER(SEARCH("入",B1605)))),"Ambiguous",IF(ISNUMBER(SEARCH("平",B1605)),"平","仄")))</x:f>
        <x:v>仄</x:v>
      </x:c>
      <x:c r="K1605" s="6" t="str">
        <x:f>IF(D1605="","",IF(AND(ISNUMBER(SEARCH("平",D1605)),OR(ISNUMBER(SEARCH("上",D1605)),ISNUMBER(SEARCH("去",D1605)),ISNUMBER(SEARCH("入",D1605)))),"Ambiguous",IF(ISNUMBER(SEARCH("平",D1605)),"平","仄")))</x:f>
        <x:v>仄</x:v>
      </x:c>
      <x:c r="L1605" s="7" t="str"/>
    </x:row>
    <x:row r="1606">
      <x:c r="A1606" s="5" t="str">
        <x:v>撲</x:v>
      </x:c>
      <x:c r="B1606" s="6" t="str">
        <x:v>入</x:v>
      </x:c>
      <x:c r="C1606" s="6" t="str">
        <x:f>IF(B1606="","Needs decision","Ready")</x:f>
        <x:v>Ready</x:v>
      </x:c>
      <x:c r="D1606" s="6" t="str">
        <x:v>入</x:v>
      </x:c>
      <x:c r="E1606" s="6" t="str">
        <x:v>phuwk (D)</x:v>
      </x:c>
      <x:c r="F1606" s="6" t="str">
        <x:v>入聲一屋</x:v>
      </x:c>
      <x:c r="G1606" s="6" t="str">
        <x:v>Pingshui main list, Wikisource-derived DOCX</x:v>
      </x:c>
      <x:c r="H1606" s="6" t="str">
        <x:v>1</x:v>
      </x:c>
      <x:c r="I1606" s="6" t="str"/>
      <x:c r="J1606" s="6" t="str">
        <x:f>IF(B1606="","",IF(AND(ISNUMBER(SEARCH("平",B1606)),OR(ISNUMBER(SEARCH("上",B1606)),ISNUMBER(SEARCH("去",B1606)),ISNUMBER(SEARCH("入",B1606)))),"Ambiguous",IF(ISNUMBER(SEARCH("平",B1606)),"平","仄")))</x:f>
        <x:v>仄</x:v>
      </x:c>
      <x:c r="K1606" s="6" t="str">
        <x:f>IF(D1606="","",IF(AND(ISNUMBER(SEARCH("平",D1606)),OR(ISNUMBER(SEARCH("上",D1606)),ISNUMBER(SEARCH("去",D1606)),ISNUMBER(SEARCH("入",D1606)))),"Ambiguous",IF(ISNUMBER(SEARCH("平",D1606)),"平","仄")))</x:f>
        <x:v>仄</x:v>
      </x:c>
      <x:c r="L1606" s="7" t="str"/>
    </x:row>
    <x:row r="1607">
      <x:c r="A1607" s="5" t="str">
        <x:v>撼</x:v>
      </x:c>
      <x:c r="B1607" s="6" t="str">
        <x:v>上</x:v>
      </x:c>
      <x:c r="C1607" s="6" t="str">
        <x:f>IF(B1607="","Needs decision","Ready")</x:f>
        <x:v>Ready</x:v>
      </x:c>
      <x:c r="D1607" s="6" t="str">
        <x:v>上</x:v>
      </x:c>
      <x:c r="E1607" s="6" t="str">
        <x:v>homX [ʁəmʔ] (上)</x:v>
      </x:c>
      <x:c r="F1607" s="6" t="str">
        <x:v>上聲二十七感</x:v>
      </x:c>
      <x:c r="G1607" s="6" t="str">
        <x:v>Pingshui main list, Wikisource-derived DOCX</x:v>
      </x:c>
      <x:c r="H1607" s="6" t="str">
        <x:v>1</x:v>
      </x:c>
      <x:c r="I1607" s="6" t="str">
        <x:v>Tang 300 gap; frequency 1; provisional from Xun Gong</x:v>
      </x:c>
      <x:c r="J1607" s="6" t="str">
        <x:f>IF(B1607="","",IF(AND(ISNUMBER(SEARCH("平",B1607)),OR(ISNUMBER(SEARCH("上",B1607)),ISNUMBER(SEARCH("去",B1607)),ISNUMBER(SEARCH("入",B1607)))),"Ambiguous",IF(ISNUMBER(SEARCH("平",B1607)),"平","仄")))</x:f>
        <x:v>仄</x:v>
      </x:c>
      <x:c r="K1607" s="6" t="str">
        <x:f>IF(D1607="","",IF(AND(ISNUMBER(SEARCH("平",D1607)),OR(ISNUMBER(SEARCH("上",D1607)),ISNUMBER(SEARCH("去",D1607)),ISNUMBER(SEARCH("入",D1607)))),"Ambiguous",IF(ISNUMBER(SEARCH("平",D1607)),"平","仄")))</x:f>
        <x:v>仄</x:v>
      </x:c>
      <x:c r="L1607" s="7" t="str">
        <x:v>Xun Gong, Tang 300 gap fill</x:v>
      </x:c>
    </x:row>
    <x:row r="1608">
      <x:c r="A1608" s="5" t="str">
        <x:v>擁</x:v>
      </x:c>
      <x:c r="B1608" s="6" t="str">
        <x:v>上</x:v>
      </x:c>
      <x:c r="C1608" s="6" t="str">
        <x:f>IF(B1608="","Needs decision","Ready")</x:f>
        <x:v>Ready</x:v>
      </x:c>
      <x:c r="D1608" s="6" t="str">
        <x:v>上</x:v>
      </x:c>
      <x:c r="E1608" s="6" t="str">
        <x:v>'jowngX [影三C鍾上] ʔɨ̯oŋʔ</x:v>
      </x:c>
      <x:c r="F1608" s="6" t="str">
        <x:v>上聲二腫</x:v>
      </x:c>
      <x:c r="G1608" s="6" t="str">
        <x:v>Pingshui main list, Wikisource-derived DOCX</x:v>
      </x:c>
      <x:c r="H1608" s="6" t="str">
        <x:v>1</x:v>
      </x:c>
      <x:c r="I1608" s="6" t="str">
        <x:v>Targeted preliminary fill from Xun Gong; review if uncertain</x:v>
      </x:c>
      <x:c r="J1608" s="6" t="str">
        <x:f>IF(B1608="","",IF(AND(ISNUMBER(SEARCH("平",B1608)),OR(ISNUMBER(SEARCH("上",B1608)),ISNUMBER(SEARCH("去",B1608)),ISNUMBER(SEARCH("入",B1608)))),"Ambiguous",IF(ISNUMBER(SEARCH("平",B1608)),"平","仄")))</x:f>
        <x:v>仄</x:v>
      </x:c>
      <x:c r="K1608" s="6" t="str">
        <x:f>IF(D1608="","",IF(AND(ISNUMBER(SEARCH("平",D1608)),OR(ISNUMBER(SEARCH("上",D1608)),ISNUMBER(SEARCH("去",D1608)),ISNUMBER(SEARCH("入",D1608)))),"Ambiguous",IF(ISNUMBER(SEARCH("平",D1608)),"平","仄")))</x:f>
        <x:v>仄</x:v>
      </x:c>
      <x:c r="L1608" s="7" t="str">
        <x:v>Xun Gong character-readings.csv</x:v>
      </x:c>
    </x:row>
    <x:row r="1609">
      <x:c r="A1609" s="5" t="str">
        <x:v>擅</x:v>
      </x:c>
      <x:c r="B1609" s="6" t="str">
        <x:v>去</x:v>
      </x:c>
      <x:c r="C1609" s="6" t="str">
        <x:f>IF(B1609="","Needs decision","Ready")</x:f>
        <x:v>Ready</x:v>
      </x:c>
      <x:c r="D1609" s="6" t="str">
        <x:v>去</x:v>
      </x:c>
      <x:c r="E1609" s="6" t="str">
        <x:v>dzyenH (C)</x:v>
      </x:c>
      <x:c r="F1609" s="6" t="str">
        <x:v>去聲十七霰</x:v>
      </x:c>
      <x:c r="G1609" s="6" t="str">
        <x:v>Pingshui main list, Wikisource-derived DOCX</x:v>
      </x:c>
      <x:c r="H1609" s="6" t="str">
        <x:v>1</x:v>
      </x:c>
      <x:c r="I1609" s="6" t="str"/>
      <x:c r="J1609" s="6" t="str">
        <x:f>IF(B1609="","",IF(AND(ISNUMBER(SEARCH("平",B1609)),OR(ISNUMBER(SEARCH("上",B1609)),ISNUMBER(SEARCH("去",B1609)),ISNUMBER(SEARCH("入",B1609)))),"Ambiguous",IF(ISNUMBER(SEARCH("平",B1609)),"平","仄")))</x:f>
        <x:v>仄</x:v>
      </x:c>
      <x:c r="K1609" s="6" t="str">
        <x:f>IF(D1609="","",IF(AND(ISNUMBER(SEARCH("平",D1609)),OR(ISNUMBER(SEARCH("上",D1609)),ISNUMBER(SEARCH("去",D1609)),ISNUMBER(SEARCH("入",D1609)))),"Ambiguous",IF(ISNUMBER(SEARCH("平",D1609)),"平","仄")))</x:f>
        <x:v>仄</x:v>
      </x:c>
      <x:c r="L1609" s="7" t="str"/>
    </x:row>
    <x:row r="1610">
      <x:c r="A1610" s="5" t="str">
        <x:v>擇</x:v>
      </x:c>
      <x:c r="B1610" s="6" t="str">
        <x:v>入</x:v>
      </x:c>
      <x:c r="C1610" s="6" t="str">
        <x:f>IF(B1610="","Needs decision","Ready")</x:f>
        <x:v>Ready</x:v>
      </x:c>
      <x:c r="D1610" s="6" t="str">
        <x:v>入</x:v>
      </x:c>
      <x:c r="E1610" s="6" t="str"/>
      <x:c r="F1610" s="6" t="str">
        <x:v>入聲十一陌</x:v>
      </x:c>
      <x:c r="G1610" s="6" t="str">
        <x:v>Pingshui main list, Wikisource-derived DOCX</x:v>
      </x:c>
      <x:c r="H1610" s="6" t="str"/>
      <x:c r="I1610" s="6" t="str">
        <x:v>Manual user correction/addition</x:v>
      </x:c>
      <x:c r="J1610" s="6" t="str">
        <x:f>IF(B1610="","",IF(AND(ISNUMBER(SEARCH("平",B1610)),OR(ISNUMBER(SEARCH("上",B1610)),ISNUMBER(SEARCH("去",B1610)),ISNUMBER(SEARCH("入",B1610)))),"Ambiguous",IF(ISNUMBER(SEARCH("平",B1610)),"平","仄")))</x:f>
        <x:v>仄</x:v>
      </x:c>
      <x:c r="K1610" s="6" t="str">
        <x:f>IF(D1610="","",IF(AND(ISNUMBER(SEARCH("平",D1610)),OR(ISNUMBER(SEARCH("上",D1610)),ISNUMBER(SEARCH("去",D1610)),ISNUMBER(SEARCH("入",D1610)))),"Ambiguous",IF(ISNUMBER(SEARCH("平",D1610)),"平","仄")))</x:f>
        <x:v>仄</x:v>
      </x:c>
      <x:c r="L1610" s="7" t="str">
        <x:v>manual user correction</x:v>
      </x:c>
    </x:row>
    <x:row r="1611">
      <x:c r="A1611" s="5" t="str">
        <x:v>擊</x:v>
      </x:c>
      <x:c r="B1611" s="6" t="str">
        <x:v>入</x:v>
      </x:c>
      <x:c r="C1611" s="6" t="str">
        <x:f>IF(B1611="","Needs decision","Ready")</x:f>
        <x:v>Ready</x:v>
      </x:c>
      <x:c r="D1611" s="6" t="str">
        <x:v>入</x:v>
      </x:c>
      <x:c r="E1611" s="6" t="str">
        <x:v>kek (D)</x:v>
      </x:c>
      <x:c r="F1611" s="6" t="str">
        <x:v>入聲十二錫</x:v>
      </x:c>
      <x:c r="G1611" s="6" t="str">
        <x:v>Pingshui main list, Wikisource-derived DOCX</x:v>
      </x:c>
      <x:c r="H1611" s="6" t="str">
        <x:v>1</x:v>
      </x:c>
      <x:c r="I1611" s="6" t="str"/>
      <x:c r="J1611" s="6" t="str">
        <x:f>IF(B1611="","",IF(AND(ISNUMBER(SEARCH("平",B1611)),OR(ISNUMBER(SEARCH("上",B1611)),ISNUMBER(SEARCH("去",B1611)),ISNUMBER(SEARCH("入",B1611)))),"Ambiguous",IF(ISNUMBER(SEARCH("平",B1611)),"平","仄")))</x:f>
        <x:v>仄</x:v>
      </x:c>
      <x:c r="K1611" s="6" t="str">
        <x:f>IF(D1611="","",IF(AND(ISNUMBER(SEARCH("平",D1611)),OR(ISNUMBER(SEARCH("上",D1611)),ISNUMBER(SEARCH("去",D1611)),ISNUMBER(SEARCH("入",D1611)))),"Ambiguous",IF(ISNUMBER(SEARCH("平",D1611)),"平","仄")))</x:f>
        <x:v>仄</x:v>
      </x:c>
      <x:c r="L1611" s="7" t="str"/>
    </x:row>
    <x:row r="1612">
      <x:c r="A1612" s="5" t="str">
        <x:v>操</x:v>
      </x:c>
      <x:c r="B1612" s="6" t="str"/>
      <x:c r="C1612" s="6" t="str">
        <x:f>IF(B1612="","Needs decision","Ready")</x:f>
        <x:v>Needs decision</x:v>
      </x:c>
      <x:c r="D1612" s="6" t="str">
        <x:v>上/去</x:v>
      </x:c>
      <x:c r="E1612" s="6" t="str">
        <x:v>tshawX (B); tshawH (C)</x:v>
      </x:c>
      <x:c r="F1612" s="6" t="str">
        <x:v>下平聲四豪; 去聲二十號</x:v>
      </x:c>
      <x:c r="G1612" s="6" t="str">
        <x:v>Pingshui main list, Wikisource-derived DOCX</x:v>
      </x:c>
      <x:c r="H1612" s="6" t="str">
        <x:v>2</x:v>
      </x:c>
      <x:c r="I1612" s="6" t="str"/>
      <x:c r="J1612" s="6" t="str">
        <x:f>IF(B1612="","",IF(AND(ISNUMBER(SEARCH("平",B1612)),OR(ISNUMBER(SEARCH("上",B1612)),ISNUMBER(SEARCH("去",B1612)),ISNUMBER(SEARCH("入",B1612)))),"Ambiguous",IF(ISNUMBER(SEARCH("平",B1612)),"平","仄")))</x:f>
      </x:c>
      <x:c r="K1612" s="6" t="str">
        <x:f>IF(D1612="","",IF(AND(ISNUMBER(SEARCH("平",D1612)),OR(ISNUMBER(SEARCH("上",D1612)),ISNUMBER(SEARCH("去",D1612)),ISNUMBER(SEARCH("入",D1612)))),"Ambiguous",IF(ISNUMBER(SEARCH("平",D1612)),"平","仄")))</x:f>
        <x:v>仄</x:v>
      </x:c>
      <x:c r="L1612" s="7" t="str"/>
    </x:row>
    <x:row r="1613">
      <x:c r="A1613" s="5" t="str">
        <x:v>擎</x:v>
      </x:c>
      <x:c r="B1613" s="6" t="str">
        <x:v>平</x:v>
      </x:c>
      <x:c r="C1613" s="6" t="str">
        <x:f>IF(B1613="","Needs decision","Ready")</x:f>
        <x:v>Ready</x:v>
      </x:c>
      <x:c r="D1613" s="6" t="str">
        <x:v>平</x:v>
      </x:c>
      <x:c r="E1613" s="6" t="str"/>
      <x:c r="F1613" s="6" t="str">
        <x:v>下平聲八庚</x:v>
      </x:c>
      <x:c r="G1613" s="6" t="str">
        <x:v>Pingshui main list, Wikisource-derived DOCX</x:v>
      </x:c>
      <x:c r="H1613" s="6" t="str"/>
      <x:c r="I1613" s="6" t="str">
        <x:v>Manual user correction/addition</x:v>
      </x:c>
      <x:c r="J1613" s="6" t="str">
        <x:f>IF(B1613="","",IF(AND(ISNUMBER(SEARCH("平",B1613)),OR(ISNUMBER(SEARCH("上",B1613)),ISNUMBER(SEARCH("去",B1613)),ISNUMBER(SEARCH("入",B1613)))),"Ambiguous",IF(ISNUMBER(SEARCH("平",B1613)),"平","仄")))</x:f>
        <x:v>平</x:v>
      </x:c>
      <x:c r="K1613" s="6" t="str">
        <x:f>IF(D1613="","",IF(AND(ISNUMBER(SEARCH("平",D1613)),OR(ISNUMBER(SEARCH("上",D1613)),ISNUMBER(SEARCH("去",D1613)),ISNUMBER(SEARCH("入",D1613)))),"Ambiguous",IF(ISNUMBER(SEARCH("平",D1613)),"平","仄")))</x:f>
        <x:v>平</x:v>
      </x:c>
      <x:c r="L1613" s="7" t="str">
        <x:v>manual user correction</x:v>
      </x:c>
    </x:row>
    <x:row r="1614">
      <x:c r="A1614" s="5" t="str">
        <x:v>擐</x:v>
      </x:c>
      <x:c r="B1614" s="6" t="str">
        <x:v>去</x:v>
      </x:c>
      <x:c r="C1614" s="6" t="str">
        <x:f>IF(B1614="","Needs decision","Ready")</x:f>
        <x:v>Ready</x:v>
      </x:c>
      <x:c r="D1614" s="6" t="str">
        <x:v>去</x:v>
      </x:c>
      <x:c r="E1614" s="6" t="str">
        <x:v>hwaenH (C)</x:v>
      </x:c>
      <x:c r="F1614" s="6" t="str">
        <x:v>上平聲十五刪; 去聲十六諫</x:v>
      </x:c>
      <x:c r="G1614" s="6" t="str">
        <x:v>Pingshui main list, Wikisource-derived DOCX</x:v>
      </x:c>
      <x:c r="H1614" s="6" t="str">
        <x:v>1</x:v>
      </x:c>
      <x:c r="I1614" s="6" t="str"/>
      <x:c r="J1614" s="6" t="str">
        <x:f>IF(B1614="","",IF(AND(ISNUMBER(SEARCH("平",B1614)),OR(ISNUMBER(SEARCH("上",B1614)),ISNUMBER(SEARCH("去",B1614)),ISNUMBER(SEARCH("入",B1614)))),"Ambiguous",IF(ISNUMBER(SEARCH("平",B1614)),"平","仄")))</x:f>
        <x:v>仄</x:v>
      </x:c>
      <x:c r="K1614" s="6" t="str">
        <x:f>IF(D1614="","",IF(AND(ISNUMBER(SEARCH("平",D1614)),OR(ISNUMBER(SEARCH("上",D1614)),ISNUMBER(SEARCH("去",D1614)),ISNUMBER(SEARCH("入",D1614)))),"Ambiguous",IF(ISNUMBER(SEARCH("平",D1614)),"平","仄")))</x:f>
        <x:v>仄</x:v>
      </x:c>
      <x:c r="L1614" s="7" t="str"/>
    </x:row>
    <x:row r="1615">
      <x:c r="A1615" s="5" t="str">
        <x:v>擒</x:v>
      </x:c>
      <x:c r="B1615" s="6" t="str">
        <x:v>平</x:v>
      </x:c>
      <x:c r="C1615" s="6" t="str">
        <x:f>IF(B1615="","Needs decision","Ready")</x:f>
        <x:v>Ready</x:v>
      </x:c>
      <x:c r="D1615" s="6" t="str">
        <x:v>平</x:v>
      </x:c>
      <x:c r="E1615" s="6" t="str">
        <x:v>gim (A)</x:v>
      </x:c>
      <x:c r="F1615" s="6" t="str">
        <x:v>下平聲十二侵</x:v>
      </x:c>
      <x:c r="G1615" s="6" t="str">
        <x:v>Pingshui main list, Wikisource-derived DOCX</x:v>
      </x:c>
      <x:c r="H1615" s="6" t="str">
        <x:v>1</x:v>
      </x:c>
      <x:c r="I1615" s="6" t="str"/>
      <x:c r="J1615" s="6" t="str">
        <x:f>IF(B1615="","",IF(AND(ISNUMBER(SEARCH("平",B1615)),OR(ISNUMBER(SEARCH("上",B1615)),ISNUMBER(SEARCH("去",B1615)),ISNUMBER(SEARCH("入",B1615)))),"Ambiguous",IF(ISNUMBER(SEARCH("平",B1615)),"平","仄")))</x:f>
        <x:v>平</x:v>
      </x:c>
      <x:c r="K1615" s="6" t="str">
        <x:f>IF(D1615="","",IF(AND(ISNUMBER(SEARCH("平",D1615)),OR(ISNUMBER(SEARCH("上",D1615)),ISNUMBER(SEARCH("去",D1615)),ISNUMBER(SEARCH("入",D1615)))),"Ambiguous",IF(ISNUMBER(SEARCH("平",D1615)),"平","仄")))</x:f>
        <x:v>平</x:v>
      </x:c>
      <x:c r="L1615" s="7" t="str"/>
    </x:row>
    <x:row r="1616">
      <x:c r="A1616" s="5" t="str">
        <x:v>擔</x:v>
      </x:c>
      <x:c r="B1616" s="6" t="str"/>
      <x:c r="C1616" s="6" t="str">
        <x:f>IF(B1616="","Needs decision","Ready")</x:f>
        <x:v>Needs decision</x:v>
      </x:c>
      <x:c r="D1616" s="6" t="str">
        <x:v>平/去</x:v>
      </x:c>
      <x:c r="E1616" s="6" t="str">
        <x:v>tam (A); tamH (C)</x:v>
      </x:c>
      <x:c r="F1616" s="6" t="str">
        <x:v>下平聲十三覃; 去聲二十八勘</x:v>
      </x:c>
      <x:c r="G1616" s="6" t="str">
        <x:v>Pingshui main list, Wikisource-derived DOCX</x:v>
      </x:c>
      <x:c r="H1616" s="6" t="str">
        <x:v>2</x:v>
      </x:c>
      <x:c r="I1616" s="6" t="str"/>
      <x:c r="J1616" s="6" t="str">
        <x:f>IF(B1616="","",IF(AND(ISNUMBER(SEARCH("平",B1616)),OR(ISNUMBER(SEARCH("上",B1616)),ISNUMBER(SEARCH("去",B1616)),ISNUMBER(SEARCH("入",B1616)))),"Ambiguous",IF(ISNUMBER(SEARCH("平",B1616)),"平","仄")))</x:f>
      </x:c>
      <x:c r="K1616" s="6" t="str">
        <x:f>IF(D1616="","",IF(AND(ISNUMBER(SEARCH("平",D1616)),OR(ISNUMBER(SEARCH("上",D1616)),ISNUMBER(SEARCH("去",D1616)),ISNUMBER(SEARCH("入",D1616)))),"Ambiguous",IF(ISNUMBER(SEARCH("平",D1616)),"平","仄")))</x:f>
        <x:v>Ambiguous</x:v>
      </x:c>
      <x:c r="L1616" s="7" t="str"/>
    </x:row>
    <x:row r="1617">
      <x:c r="A1617" s="5" t="str">
        <x:v>擗</x:v>
      </x:c>
      <x:c r="B1617" s="6" t="str">
        <x:v>入</x:v>
      </x:c>
      <x:c r="C1617" s="6" t="str">
        <x:f>IF(B1617="","Needs decision","Ready")</x:f>
        <x:v>Ready</x:v>
      </x:c>
      <x:c r="D1617" s="6" t="str">
        <x:v>入</x:v>
      </x:c>
      <x:c r="E1617" s="6" t="str">
        <x:v>bjiek (D)</x:v>
      </x:c>
      <x:c r="F1617" s="6" t="str">
        <x:v>入聲十一陌</x:v>
      </x:c>
      <x:c r="G1617" s="6" t="str">
        <x:v>Pingshui main list, Wikisource-derived DOCX</x:v>
      </x:c>
      <x:c r="H1617" s="6" t="str">
        <x:v>1</x:v>
      </x:c>
      <x:c r="I1617" s="6" t="str"/>
      <x:c r="J1617" s="6" t="str">
        <x:f>IF(B1617="","",IF(AND(ISNUMBER(SEARCH("平",B1617)),OR(ISNUMBER(SEARCH("上",B1617)),ISNUMBER(SEARCH("去",B1617)),ISNUMBER(SEARCH("入",B1617)))),"Ambiguous",IF(ISNUMBER(SEARCH("平",B1617)),"平","仄")))</x:f>
        <x:v>仄</x:v>
      </x:c>
      <x:c r="K1617" s="6" t="str">
        <x:f>IF(D1617="","",IF(AND(ISNUMBER(SEARCH("平",D1617)),OR(ISNUMBER(SEARCH("上",D1617)),ISNUMBER(SEARCH("去",D1617)),ISNUMBER(SEARCH("入",D1617)))),"Ambiguous",IF(ISNUMBER(SEARCH("平",D1617)),"平","仄")))</x:f>
        <x:v>仄</x:v>
      </x:c>
      <x:c r="L1617" s="7" t="str"/>
    </x:row>
    <x:row r="1618">
      <x:c r="A1618" s="5" t="str">
        <x:v>擘</x:v>
      </x:c>
      <x:c r="B1618" s="6" t="str">
        <x:v>入</x:v>
      </x:c>
      <x:c r="C1618" s="6" t="str">
        <x:f>IF(B1618="","Needs decision","Ready")</x:f>
        <x:v>Ready</x:v>
      </x:c>
      <x:c r="D1618" s="6" t="str">
        <x:v>入</x:v>
      </x:c>
      <x:c r="E1618" s="6" t="str">
        <x:v>peak (D)</x:v>
      </x:c>
      <x:c r="F1618" s="6" t="str">
        <x:v>入聲十一陌</x:v>
      </x:c>
      <x:c r="G1618" s="6" t="str">
        <x:v>Pingshui main list, Wikisource-derived DOCX</x:v>
      </x:c>
      <x:c r="H1618" s="6" t="str">
        <x:v>1</x:v>
      </x:c>
      <x:c r="I1618" s="6" t="str"/>
      <x:c r="J1618" s="6" t="str">
        <x:f>IF(B1618="","",IF(AND(ISNUMBER(SEARCH("平",B1618)),OR(ISNUMBER(SEARCH("上",B1618)),ISNUMBER(SEARCH("去",B1618)),ISNUMBER(SEARCH("入",B1618)))),"Ambiguous",IF(ISNUMBER(SEARCH("平",B1618)),"平","仄")))</x:f>
        <x:v>仄</x:v>
      </x:c>
      <x:c r="K1618" s="6" t="str">
        <x:f>IF(D1618="","",IF(AND(ISNUMBER(SEARCH("平",D1618)),OR(ISNUMBER(SEARCH("上",D1618)),ISNUMBER(SEARCH("去",D1618)),ISNUMBER(SEARCH("入",D1618)))),"Ambiguous",IF(ISNUMBER(SEARCH("平",D1618)),"平","仄")))</x:f>
        <x:v>仄</x:v>
      </x:c>
      <x:c r="L1618" s="7" t="str"/>
    </x:row>
    <x:row r="1619">
      <x:c r="A1619" s="5" t="str">
        <x:v>據</x:v>
      </x:c>
      <x:c r="B1619" s="6" t="str">
        <x:v>去</x:v>
      </x:c>
      <x:c r="C1619" s="6" t="str">
        <x:f>IF(B1619="","Needs decision","Ready")</x:f>
        <x:v>Ready</x:v>
      </x:c>
      <x:c r="D1619" s="6" t="str">
        <x:v>去</x:v>
      </x:c>
      <x:c r="E1619" s="6" t="str">
        <x:v>kjoH (C)</x:v>
      </x:c>
      <x:c r="F1619" s="6" t="str">
        <x:v>上平聲六魚; 去聲六御</x:v>
      </x:c>
      <x:c r="G1619" s="6" t="str">
        <x:v>Pingshui main list, Wikisource-derived DOCX</x:v>
      </x:c>
      <x:c r="H1619" s="6" t="str">
        <x:v>1</x:v>
      </x:c>
      <x:c r="I1619" s="6" t="str"/>
      <x:c r="J1619" s="6" t="str">
        <x:f>IF(B1619="","",IF(AND(ISNUMBER(SEARCH("平",B1619)),OR(ISNUMBER(SEARCH("上",B1619)),ISNUMBER(SEARCH("去",B1619)),ISNUMBER(SEARCH("入",B1619)))),"Ambiguous",IF(ISNUMBER(SEARCH("平",B1619)),"平","仄")))</x:f>
        <x:v>仄</x:v>
      </x:c>
      <x:c r="K1619" s="6" t="str">
        <x:f>IF(D1619="","",IF(AND(ISNUMBER(SEARCH("平",D1619)),OR(ISNUMBER(SEARCH("上",D1619)),ISNUMBER(SEARCH("去",D1619)),ISNUMBER(SEARCH("入",D1619)))),"Ambiguous",IF(ISNUMBER(SEARCH("平",D1619)),"平","仄")))</x:f>
        <x:v>仄</x:v>
      </x:c>
      <x:c r="L1619" s="7" t="str"/>
    </x:row>
    <x:row r="1620">
      <x:c r="A1620" s="5" t="str">
        <x:v>擢</x:v>
      </x:c>
      <x:c r="B1620" s="6" t="str">
        <x:v>入</x:v>
      </x:c>
      <x:c r="C1620" s="6" t="str">
        <x:f>IF(B1620="","Needs decision","Ready")</x:f>
        <x:v>Ready</x:v>
      </x:c>
      <x:c r="D1620" s="6" t="str">
        <x:v>入</x:v>
      </x:c>
      <x:c r="E1620" s="6" t="str">
        <x:v>draewk (D)</x:v>
      </x:c>
      <x:c r="F1620" s="6" t="str">
        <x:v>入聲三覺</x:v>
      </x:c>
      <x:c r="G1620" s="6" t="str">
        <x:v>Pingshui main list, Wikisource-derived DOCX</x:v>
      </x:c>
      <x:c r="H1620" s="6" t="str">
        <x:v>1</x:v>
      </x:c>
      <x:c r="I1620" s="6" t="str"/>
      <x:c r="J1620" s="6" t="str">
        <x:f>IF(B1620="","",IF(AND(ISNUMBER(SEARCH("平",B1620)),OR(ISNUMBER(SEARCH("上",B1620)),ISNUMBER(SEARCH("去",B1620)),ISNUMBER(SEARCH("入",B1620)))),"Ambiguous",IF(ISNUMBER(SEARCH("平",B1620)),"平","仄")))</x:f>
        <x:v>仄</x:v>
      </x:c>
      <x:c r="K1620" s="6" t="str">
        <x:f>IF(D1620="","",IF(AND(ISNUMBER(SEARCH("平",D1620)),OR(ISNUMBER(SEARCH("上",D1620)),ISNUMBER(SEARCH("去",D1620)),ISNUMBER(SEARCH("入",D1620)))),"Ambiguous",IF(ISNUMBER(SEARCH("平",D1620)),"平","仄")))</x:f>
        <x:v>仄</x:v>
      </x:c>
      <x:c r="L1620" s="7" t="str"/>
    </x:row>
    <x:row r="1621">
      <x:c r="A1621" s="5" t="str">
        <x:v>擣</x:v>
      </x:c>
      <x:c r="B1621" s="6" t="str">
        <x:v>上</x:v>
      </x:c>
      <x:c r="C1621" s="6" t="str">
        <x:f>IF(B1621="","Needs decision","Ready")</x:f>
        <x:v>Ready</x:v>
      </x:c>
      <x:c r="D1621" s="6" t="str">
        <x:v>上</x:v>
      </x:c>
      <x:c r="E1621" s="6" t="str">
        <x:v>tawX (B)</x:v>
      </x:c>
      <x:c r="F1621" s="6" t="str">
        <x:v>上聲十九皓</x:v>
      </x:c>
      <x:c r="G1621" s="6" t="str">
        <x:v>Pingshui main list, Wikisource-derived DOCX</x:v>
      </x:c>
      <x:c r="H1621" s="6" t="str">
        <x:v>1</x:v>
      </x:c>
      <x:c r="I1621" s="6" t="str"/>
      <x:c r="J1621" s="6" t="str">
        <x:f>IF(B1621="","",IF(AND(ISNUMBER(SEARCH("平",B1621)),OR(ISNUMBER(SEARCH("上",B1621)),ISNUMBER(SEARCH("去",B1621)),ISNUMBER(SEARCH("入",B1621)))),"Ambiguous",IF(ISNUMBER(SEARCH("平",B1621)),"平","仄")))</x:f>
        <x:v>仄</x:v>
      </x:c>
      <x:c r="K1621" s="6" t="str">
        <x:f>IF(D1621="","",IF(AND(ISNUMBER(SEARCH("平",D1621)),OR(ISNUMBER(SEARCH("上",D1621)),ISNUMBER(SEARCH("去",D1621)),ISNUMBER(SEARCH("入",D1621)))),"Ambiguous",IF(ISNUMBER(SEARCH("平",D1621)),"平","仄")))</x:f>
        <x:v>仄</x:v>
      </x:c>
      <x:c r="L1621" s="7" t="str"/>
    </x:row>
    <x:row r="1622">
      <x:c r="A1622" s="5" t="str">
        <x:v>擬</x:v>
      </x:c>
      <x:c r="B1622" s="6" t="str">
        <x:v>上</x:v>
      </x:c>
      <x:c r="C1622" s="6" t="str">
        <x:f>IF(B1622="","Needs decision","Ready")</x:f>
        <x:v>Ready</x:v>
      </x:c>
      <x:c r="D1622" s="6" t="str">
        <x:v>上</x:v>
      </x:c>
      <x:c r="E1622" s="6" t="str">
        <x:v>ngiX (B)</x:v>
      </x:c>
      <x:c r="F1622" s="6" t="str">
        <x:v>上聲四紙</x:v>
      </x:c>
      <x:c r="G1622" s="6" t="str">
        <x:v>Pingshui main list, Wikisource-derived DOCX</x:v>
      </x:c>
      <x:c r="H1622" s="6" t="str">
        <x:v>1</x:v>
      </x:c>
      <x:c r="I1622" s="6" t="str"/>
      <x:c r="J1622" s="6" t="str">
        <x:f>IF(B1622="","",IF(AND(ISNUMBER(SEARCH("平",B1622)),OR(ISNUMBER(SEARCH("上",B1622)),ISNUMBER(SEARCH("去",B1622)),ISNUMBER(SEARCH("入",B1622)))),"Ambiguous",IF(ISNUMBER(SEARCH("平",B1622)),"平","仄")))</x:f>
        <x:v>仄</x:v>
      </x:c>
      <x:c r="K1622" s="6" t="str">
        <x:f>IF(D1622="","",IF(AND(ISNUMBER(SEARCH("平",D1622)),OR(ISNUMBER(SEARCH("上",D1622)),ISNUMBER(SEARCH("去",D1622)),ISNUMBER(SEARCH("入",D1622)))),"Ambiguous",IF(ISNUMBER(SEARCH("平",D1622)),"平","仄")))</x:f>
        <x:v>仄</x:v>
      </x:c>
      <x:c r="L1622" s="7" t="str"/>
    </x:row>
    <x:row r="1623">
      <x:c r="A1623" s="5" t="str">
        <x:v>擭</x:v>
      </x:c>
      <x:c r="B1623" s="6" t="str"/>
      <x:c r="C1623" s="6" t="str">
        <x:f>IF(B1623="","Needs decision","Ready")</x:f>
        <x:v>Needs decision</x:v>
      </x:c>
      <x:c r="D1623" s="6" t="str">
        <x:v>去/入</x:v>
      </x:c>
      <x:c r="E1623" s="6" t="str">
        <x:v>hwaeH (C); 'waek (D)</x:v>
      </x:c>
      <x:c r="F1623" s="6" t="str"/>
      <x:c r="G1623" s="6" t="str"/>
      <x:c r="H1623" s="6" t="str">
        <x:v>2</x:v>
      </x:c>
      <x:c r="I1623" s="6" t="str"/>
      <x:c r="J1623" s="6" t="str">
        <x:f>IF(B1623="","",IF(AND(ISNUMBER(SEARCH("平",B1623)),OR(ISNUMBER(SEARCH("上",B1623)),ISNUMBER(SEARCH("去",B1623)),ISNUMBER(SEARCH("入",B1623)))),"Ambiguous",IF(ISNUMBER(SEARCH("平",B1623)),"平","仄")))</x:f>
      </x:c>
      <x:c r="K1623" s="6" t="str">
        <x:f>IF(D1623="","",IF(AND(ISNUMBER(SEARCH("平",D1623)),OR(ISNUMBER(SEARCH("上",D1623)),ISNUMBER(SEARCH("去",D1623)),ISNUMBER(SEARCH("入",D1623)))),"Ambiguous",IF(ISNUMBER(SEARCH("平",D1623)),"平","仄")))</x:f>
        <x:v>仄</x:v>
      </x:c>
      <x:c r="L1623" s="7" t="str"/>
    </x:row>
    <x:row r="1624">
      <x:c r="A1624" s="5" t="str">
        <x:v>擲</x:v>
      </x:c>
      <x:c r="B1624" s="6" t="str">
        <x:v>入</x:v>
      </x:c>
      <x:c r="C1624" s="6" t="str">
        <x:f>IF(B1624="","Needs decision","Ready")</x:f>
        <x:v>Ready</x:v>
      </x:c>
      <x:c r="D1624" s="6" t="str">
        <x:v>入</x:v>
      </x:c>
      <x:c r="E1624" s="6" t="str">
        <x:v>drjek [ɖjak] (入)</x:v>
      </x:c>
      <x:c r="F1624" s="6" t="str">
        <x:v>入聲十一陌</x:v>
      </x:c>
      <x:c r="G1624" s="6" t="str">
        <x:v>Pingshui main list, Wikisource-derived DOCX</x:v>
      </x:c>
      <x:c r="H1624" s="6" t="str">
        <x:v>1</x:v>
      </x:c>
      <x:c r="I1624" s="6" t="str">
        <x:v>Tang 300 gap; frequency 2; provisional from Xun Gong</x:v>
      </x:c>
      <x:c r="J1624" s="6" t="str">
        <x:f>IF(B1624="","",IF(AND(ISNUMBER(SEARCH("平",B1624)),OR(ISNUMBER(SEARCH("上",B1624)),ISNUMBER(SEARCH("去",B1624)),ISNUMBER(SEARCH("入",B1624)))),"Ambiguous",IF(ISNUMBER(SEARCH("平",B1624)),"平","仄")))</x:f>
        <x:v>仄</x:v>
      </x:c>
      <x:c r="K1624" s="6" t="str">
        <x:f>IF(D1624="","",IF(AND(ISNUMBER(SEARCH("平",D1624)),OR(ISNUMBER(SEARCH("上",D1624)),ISNUMBER(SEARCH("去",D1624)),ISNUMBER(SEARCH("入",D1624)))),"Ambiguous",IF(ISNUMBER(SEARCH("平",D1624)),"平","仄")))</x:f>
        <x:v>仄</x:v>
      </x:c>
      <x:c r="L1624" s="7" t="str">
        <x:v>Xun Gong, Tang 300 gap fill</x:v>
      </x:c>
    </x:row>
    <x:row r="1625">
      <x:c r="A1625" s="5" t="str">
        <x:v>擴</x:v>
      </x:c>
      <x:c r="B1625" s="6" t="str">
        <x:v>入</x:v>
      </x:c>
      <x:c r="C1625" s="6" t="str">
        <x:f>IF(B1625="","Needs decision","Ready")</x:f>
        <x:v>Ready</x:v>
      </x:c>
      <x:c r="D1625" s="6" t="str">
        <x:v>入</x:v>
      </x:c>
      <x:c r="E1625" s="6" t="str">
        <x:v>khwak (D)</x:v>
      </x:c>
      <x:c r="F1625" s="6" t="str"/>
      <x:c r="G1625" s="6" t="str"/>
      <x:c r="H1625" s="6" t="str">
        <x:v>1</x:v>
      </x:c>
      <x:c r="I1625" s="6" t="str"/>
      <x:c r="J1625" s="6" t="str">
        <x:f>IF(B1625="","",IF(AND(ISNUMBER(SEARCH("平",B1625)),OR(ISNUMBER(SEARCH("上",B1625)),ISNUMBER(SEARCH("去",B1625)),ISNUMBER(SEARCH("入",B1625)))),"Ambiguous",IF(ISNUMBER(SEARCH("平",B1625)),"平","仄")))</x:f>
        <x:v>仄</x:v>
      </x:c>
      <x:c r="K1625" s="6" t="str">
        <x:f>IF(D1625="","",IF(AND(ISNUMBER(SEARCH("平",D1625)),OR(ISNUMBER(SEARCH("上",D1625)),ISNUMBER(SEARCH("去",D1625)),ISNUMBER(SEARCH("入",D1625)))),"Ambiguous",IF(ISNUMBER(SEARCH("平",D1625)),"平","仄")))</x:f>
        <x:v>仄</x:v>
      </x:c>
      <x:c r="L1625" s="7" t="str"/>
    </x:row>
    <x:row r="1626">
      <x:c r="A1626" s="5" t="str">
        <x:v>擷</x:v>
      </x:c>
      <x:c r="B1626" s="6" t="str">
        <x:v>入</x:v>
      </x:c>
      <x:c r="C1626" s="6" t="str">
        <x:f>IF(B1626="","Needs decision","Ready")</x:f>
        <x:v>Ready</x:v>
      </x:c>
      <x:c r="D1626" s="6" t="str">
        <x:v>入</x:v>
      </x:c>
      <x:c r="E1626" s="6" t="str">
        <x:v>het (D)</x:v>
      </x:c>
      <x:c r="F1626" s="6" t="str">
        <x:v>入聲九屑</x:v>
      </x:c>
      <x:c r="G1626" s="6" t="str">
        <x:v>Pingshui main list, Wikisource-derived DOCX</x:v>
      </x:c>
      <x:c r="H1626" s="6" t="str">
        <x:v>1</x:v>
      </x:c>
      <x:c r="I1626" s="6" t="str"/>
      <x:c r="J1626" s="6" t="str">
        <x:f>IF(B1626="","",IF(AND(ISNUMBER(SEARCH("平",B1626)),OR(ISNUMBER(SEARCH("上",B1626)),ISNUMBER(SEARCH("去",B1626)),ISNUMBER(SEARCH("入",B1626)))),"Ambiguous",IF(ISNUMBER(SEARCH("平",B1626)),"平","仄")))</x:f>
        <x:v>仄</x:v>
      </x:c>
      <x:c r="K1626" s="6" t="str">
        <x:f>IF(D1626="","",IF(AND(ISNUMBER(SEARCH("平",D1626)),OR(ISNUMBER(SEARCH("上",D1626)),ISNUMBER(SEARCH("去",D1626)),ISNUMBER(SEARCH("入",D1626)))),"Ambiguous",IF(ISNUMBER(SEARCH("平",D1626)),"平","仄")))</x:f>
        <x:v>仄</x:v>
      </x:c>
      <x:c r="L1626" s="7" t="str"/>
    </x:row>
    <x:row r="1627">
      <x:c r="A1627" s="5" t="str">
        <x:v>擾</x:v>
      </x:c>
      <x:c r="B1627" s="6" t="str">
        <x:v>上</x:v>
      </x:c>
      <x:c r="C1627" s="6" t="str">
        <x:f>IF(B1627="","Needs decision","Ready")</x:f>
        <x:v>Ready</x:v>
      </x:c>
      <x:c r="D1627" s="6" t="str">
        <x:v>上</x:v>
      </x:c>
      <x:c r="E1627" s="6" t="str"/>
      <x:c r="F1627" s="6" t="str">
        <x:v>上聲十七篠</x:v>
      </x:c>
      <x:c r="G1627" s="6" t="str">
        <x:v>Pingshui main list, Wikisource-derived DOCX</x:v>
      </x:c>
      <x:c r="H1627" s="6" t="str"/>
      <x:c r="I1627" s="6" t="str">
        <x:v>Manual user correction/addition</x:v>
      </x:c>
      <x:c r="J1627" s="6" t="str">
        <x:f>IF(B1627="","",IF(AND(ISNUMBER(SEARCH("平",B1627)),OR(ISNUMBER(SEARCH("上",B1627)),ISNUMBER(SEARCH("去",B1627)),ISNUMBER(SEARCH("入",B1627)))),"Ambiguous",IF(ISNUMBER(SEARCH("平",B1627)),"平","仄")))</x:f>
        <x:v>仄</x:v>
      </x:c>
      <x:c r="K1627" s="6" t="str">
        <x:f>IF(D1627="","",IF(AND(ISNUMBER(SEARCH("平",D1627)),OR(ISNUMBER(SEARCH("上",D1627)),ISNUMBER(SEARCH("去",D1627)),ISNUMBER(SEARCH("入",D1627)))),"Ambiguous",IF(ISNUMBER(SEARCH("平",D1627)),"平","仄")))</x:f>
        <x:v>仄</x:v>
      </x:c>
      <x:c r="L1627" s="7" t="str">
        <x:v>manual user correction</x:v>
      </x:c>
    </x:row>
    <x:row r="1628">
      <x:c r="A1628" s="5" t="str">
        <x:v>攀</x:v>
      </x:c>
      <x:c r="B1628" s="6" t="str">
        <x:v>平</x:v>
      </x:c>
      <x:c r="C1628" s="6" t="str">
        <x:f>IF(B1628="","Needs decision","Ready")</x:f>
        <x:v>Ready</x:v>
      </x:c>
      <x:c r="D1628" s="6" t="str">
        <x:v>平</x:v>
      </x:c>
      <x:c r="E1628" s="6" t="str">
        <x:v>phaen (A)</x:v>
      </x:c>
      <x:c r="F1628" s="6" t="str">
        <x:v>上平聲十五刪</x:v>
      </x:c>
      <x:c r="G1628" s="6" t="str">
        <x:v>Pingshui main list, Wikisource-derived DOCX</x:v>
      </x:c>
      <x:c r="H1628" s="6" t="str">
        <x:v>1</x:v>
      </x:c>
      <x:c r="I1628" s="6" t="str"/>
      <x:c r="J1628" s="6" t="str">
        <x:f>IF(B1628="","",IF(AND(ISNUMBER(SEARCH("平",B1628)),OR(ISNUMBER(SEARCH("上",B1628)),ISNUMBER(SEARCH("去",B1628)),ISNUMBER(SEARCH("入",B1628)))),"Ambiguous",IF(ISNUMBER(SEARCH("平",B1628)),"平","仄")))</x:f>
        <x:v>平</x:v>
      </x:c>
      <x:c r="K1628" s="6" t="str">
        <x:f>IF(D1628="","",IF(AND(ISNUMBER(SEARCH("平",D1628)),OR(ISNUMBER(SEARCH("上",D1628)),ISNUMBER(SEARCH("去",D1628)),ISNUMBER(SEARCH("入",D1628)))),"Ambiguous",IF(ISNUMBER(SEARCH("平",D1628)),"平","仄")))</x:f>
        <x:v>平</x:v>
      </x:c>
      <x:c r="L1628" s="7" t="str"/>
    </x:row>
    <x:row r="1629">
      <x:c r="A1629" s="5" t="str">
        <x:v>攄</x:v>
      </x:c>
      <x:c r="B1629" s="6" t="str">
        <x:v>平</x:v>
      </x:c>
      <x:c r="C1629" s="6" t="str">
        <x:f>IF(B1629="","Needs decision","Ready")</x:f>
        <x:v>Ready</x:v>
      </x:c>
      <x:c r="D1629" s="6" t="str">
        <x:v>平</x:v>
      </x:c>
      <x:c r="E1629" s="6" t="str">
        <x:v>trhjo (A)</x:v>
      </x:c>
      <x:c r="F1629" s="6" t="str">
        <x:v>上平聲六魚</x:v>
      </x:c>
      <x:c r="G1629" s="6" t="str">
        <x:v>Pingshui main list, Wikisource-derived DOCX</x:v>
      </x:c>
      <x:c r="H1629" s="6" t="str">
        <x:v>1</x:v>
      </x:c>
      <x:c r="I1629" s="6" t="str"/>
      <x:c r="J1629" s="6" t="str">
        <x:f>IF(B1629="","",IF(AND(ISNUMBER(SEARCH("平",B1629)),OR(ISNUMBER(SEARCH("上",B1629)),ISNUMBER(SEARCH("去",B1629)),ISNUMBER(SEARCH("入",B1629)))),"Ambiguous",IF(ISNUMBER(SEARCH("平",B1629)),"平","仄")))</x:f>
        <x:v>平</x:v>
      </x:c>
      <x:c r="K1629" s="6" t="str">
        <x:f>IF(D1629="","",IF(AND(ISNUMBER(SEARCH("平",D1629)),OR(ISNUMBER(SEARCH("上",D1629)),ISNUMBER(SEARCH("去",D1629)),ISNUMBER(SEARCH("入",D1629)))),"Ambiguous",IF(ISNUMBER(SEARCH("平",D1629)),"平","仄")))</x:f>
        <x:v>平</x:v>
      </x:c>
      <x:c r="L1629" s="7" t="str"/>
    </x:row>
    <x:row r="1630">
      <x:c r="A1630" s="5" t="str">
        <x:v>攏</x:v>
      </x:c>
      <x:c r="B1630" s="6" t="str">
        <x:v>上</x:v>
      </x:c>
      <x:c r="C1630" s="6" t="str">
        <x:f>IF(B1630="","Needs decision","Ready")</x:f>
        <x:v>Ready</x:v>
      </x:c>
      <x:c r="D1630" s="6" t="str">
        <x:v>上</x:v>
      </x:c>
      <x:c r="E1630" s="6" t="str">
        <x:v>luwngX [l̙uŋʔ] (上)</x:v>
      </x:c>
      <x:c r="F1630" s="6" t="str">
        <x:v>上聲一董</x:v>
      </x:c>
      <x:c r="G1630" s="6" t="str">
        <x:v>Pingshui main list, Wikisource-derived DOCX</x:v>
      </x:c>
      <x:c r="H1630" s="6" t="str">
        <x:v>1</x:v>
      </x:c>
      <x:c r="I1630" s="6" t="str">
        <x:v>Tang 300 gap; frequency 1; provisional from Xun Gong</x:v>
      </x:c>
      <x:c r="J1630" s="6" t="str">
        <x:f>IF(B1630="","",IF(AND(ISNUMBER(SEARCH("平",B1630)),OR(ISNUMBER(SEARCH("上",B1630)),ISNUMBER(SEARCH("去",B1630)),ISNUMBER(SEARCH("入",B1630)))),"Ambiguous",IF(ISNUMBER(SEARCH("平",B1630)),"平","仄")))</x:f>
        <x:v>仄</x:v>
      </x:c>
      <x:c r="K1630" s="6" t="str">
        <x:f>IF(D1630="","",IF(AND(ISNUMBER(SEARCH("平",D1630)),OR(ISNUMBER(SEARCH("上",D1630)),ISNUMBER(SEARCH("去",D1630)),ISNUMBER(SEARCH("入",D1630)))),"Ambiguous",IF(ISNUMBER(SEARCH("平",D1630)),"平","仄")))</x:f>
        <x:v>仄</x:v>
      </x:c>
      <x:c r="L1630" s="7" t="str">
        <x:v>Xun Gong, Tang 300 gap fill</x:v>
      </x:c>
    </x:row>
    <x:row r="1631">
      <x:c r="A1631" s="5" t="str">
        <x:v>攔</x:v>
      </x:c>
      <x:c r="B1631" s="6" t="str">
        <x:v>平</x:v>
      </x:c>
      <x:c r="C1631" s="6" t="str">
        <x:f>IF(B1631="","Needs decision","Ready")</x:f>
        <x:v>Ready</x:v>
      </x:c>
      <x:c r="D1631" s="6" t="str">
        <x:v>平</x:v>
      </x:c>
      <x:c r="E1631" s="6" t="str">
        <x:v>lan [l̙ɑn] (平)</x:v>
      </x:c>
      <x:c r="F1631" s="6" t="str">
        <x:v>上平聲十四寒</x:v>
      </x:c>
      <x:c r="G1631" s="6" t="str">
        <x:v>Pingshui main list, Wikisource-derived DOCX</x:v>
      </x:c>
      <x:c r="H1631" s="6" t="str">
        <x:v>1</x:v>
      </x:c>
      <x:c r="I1631" s="6" t="str">
        <x:v>Tang 300 gap; frequency 1; provisional from Xun Gong</x:v>
      </x:c>
      <x:c r="J1631" s="6" t="str">
        <x:f>IF(B1631="","",IF(AND(ISNUMBER(SEARCH("平",B1631)),OR(ISNUMBER(SEARCH("上",B1631)),ISNUMBER(SEARCH("去",B1631)),ISNUMBER(SEARCH("入",B1631)))),"Ambiguous",IF(ISNUMBER(SEARCH("平",B1631)),"平","仄")))</x:f>
        <x:v>平</x:v>
      </x:c>
      <x:c r="K1631" s="6" t="str">
        <x:f>IF(D1631="","",IF(AND(ISNUMBER(SEARCH("平",D1631)),OR(ISNUMBER(SEARCH("上",D1631)),ISNUMBER(SEARCH("去",D1631)),ISNUMBER(SEARCH("入",D1631)))),"Ambiguous",IF(ISNUMBER(SEARCH("平",D1631)),"平","仄")))</x:f>
        <x:v>平</x:v>
      </x:c>
      <x:c r="L1631" s="7" t="str">
        <x:v>Xun Gong, Tang 300 gap fill</x:v>
      </x:c>
    </x:row>
    <x:row r="1632">
      <x:c r="A1632" s="5" t="str">
        <x:v>攘</x:v>
      </x:c>
      <x:c r="B1632" s="6" t="str"/>
      <x:c r="C1632" s="6" t="str">
        <x:f>IF(B1632="","Needs decision","Ready")</x:f>
        <x:v>Needs decision</x:v>
      </x:c>
      <x:c r="D1632" s="6" t="str">
        <x:v>平/上</x:v>
      </x:c>
      <x:c r="E1632" s="6" t="str">
        <x:v>nyang (A); nyangX (B)</x:v>
      </x:c>
      <x:c r="F1632" s="6" t="str">
        <x:v>下平聲七陽; 上聲二十二養</x:v>
      </x:c>
      <x:c r="G1632" s="6" t="str">
        <x:v>Pingshui main list, Wikisource-derived DOCX</x:v>
      </x:c>
      <x:c r="H1632" s="6" t="str">
        <x:v>2</x:v>
      </x:c>
      <x:c r="I1632" s="6" t="str"/>
      <x:c r="J1632" s="6" t="str">
        <x:f>IF(B1632="","",IF(AND(ISNUMBER(SEARCH("平",B1632)),OR(ISNUMBER(SEARCH("上",B1632)),ISNUMBER(SEARCH("去",B1632)),ISNUMBER(SEARCH("入",B1632)))),"Ambiguous",IF(ISNUMBER(SEARCH("平",B1632)),"平","仄")))</x:f>
      </x:c>
      <x:c r="K1632" s="6" t="str">
        <x:f>IF(D1632="","",IF(AND(ISNUMBER(SEARCH("平",D1632)),OR(ISNUMBER(SEARCH("上",D1632)),ISNUMBER(SEARCH("去",D1632)),ISNUMBER(SEARCH("入",D1632)))),"Ambiguous",IF(ISNUMBER(SEARCH("平",D1632)),"平","仄")))</x:f>
        <x:v>Ambiguous</x:v>
      </x:c>
      <x:c r="L1632" s="7" t="str"/>
    </x:row>
    <x:row r="1633">
      <x:c r="A1633" s="5" t="str">
        <x:v>攜</x:v>
      </x:c>
      <x:c r="B1633" s="6" t="str">
        <x:v>平</x:v>
      </x:c>
      <x:c r="C1633" s="6" t="str">
        <x:f>IF(B1633="","Needs decision","Ready")</x:f>
        <x:v>Ready</x:v>
      </x:c>
      <x:c r="D1633" s="6" t="str">
        <x:v>平</x:v>
      </x:c>
      <x:c r="E1633" s="6" t="str">
        <x:v>hwej [ʁwej] (平)</x:v>
      </x:c>
      <x:c r="F1633" s="6" t="str">
        <x:v>上平聲八齊</x:v>
      </x:c>
      <x:c r="G1633" s="6" t="str">
        <x:v>Pingshui main list, Wikisource-derived DOCX</x:v>
      </x:c>
      <x:c r="H1633" s="6" t="str">
        <x:v>1</x:v>
      </x:c>
      <x:c r="I1633" s="6" t="str">
        <x:v>Tang 300 gap; frequency 1; provisional from Xun Gong</x:v>
      </x:c>
      <x:c r="J1633" s="6" t="str">
        <x:f>IF(B1633="","",IF(AND(ISNUMBER(SEARCH("平",B1633)),OR(ISNUMBER(SEARCH("上",B1633)),ISNUMBER(SEARCH("去",B1633)),ISNUMBER(SEARCH("入",B1633)))),"Ambiguous",IF(ISNUMBER(SEARCH("平",B1633)),"平","仄")))</x:f>
        <x:v>平</x:v>
      </x:c>
      <x:c r="K1633" s="6" t="str">
        <x:f>IF(D1633="","",IF(AND(ISNUMBER(SEARCH("平",D1633)),OR(ISNUMBER(SEARCH("上",D1633)),ISNUMBER(SEARCH("去",D1633)),ISNUMBER(SEARCH("入",D1633)))),"Ambiguous",IF(ISNUMBER(SEARCH("平",D1633)),"平","仄")))</x:f>
        <x:v>平</x:v>
      </x:c>
      <x:c r="L1633" s="7" t="str">
        <x:v>Xun Gong, Tang 300 gap fill</x:v>
      </x:c>
    </x:row>
    <x:row r="1634">
      <x:c r="A1634" s="5" t="str">
        <x:v>攝</x:v>
      </x:c>
      <x:c r="B1634" s="6" t="str">
        <x:v>入</x:v>
      </x:c>
      <x:c r="C1634" s="6" t="str">
        <x:f>IF(B1634="","Needs decision","Ready")</x:f>
        <x:v>Ready</x:v>
      </x:c>
      <x:c r="D1634" s="6" t="str">
        <x:v>入</x:v>
      </x:c>
      <x:c r="E1634" s="6" t="str">
        <x:v>syep (D)</x:v>
      </x:c>
      <x:c r="F1634" s="6" t="str">
        <x:v>入聲十六葉</x:v>
      </x:c>
      <x:c r="G1634" s="6" t="str">
        <x:v>Pingshui main list, Wikisource-derived DOCX</x:v>
      </x:c>
      <x:c r="H1634" s="6" t="str">
        <x:v>1</x:v>
      </x:c>
      <x:c r="I1634" s="6" t="str"/>
      <x:c r="J1634" s="6" t="str">
        <x:f>IF(B1634="","",IF(AND(ISNUMBER(SEARCH("平",B1634)),OR(ISNUMBER(SEARCH("上",B1634)),ISNUMBER(SEARCH("去",B1634)),ISNUMBER(SEARCH("入",B1634)))),"Ambiguous",IF(ISNUMBER(SEARCH("平",B1634)),"平","仄")))</x:f>
        <x:v>仄</x:v>
      </x:c>
      <x:c r="K1634" s="6" t="str">
        <x:f>IF(D1634="","",IF(AND(ISNUMBER(SEARCH("平",D1634)),OR(ISNUMBER(SEARCH("上",D1634)),ISNUMBER(SEARCH("去",D1634)),ISNUMBER(SEARCH("入",D1634)))),"Ambiguous",IF(ISNUMBER(SEARCH("平",D1634)),"平","仄")))</x:f>
        <x:v>仄</x:v>
      </x:c>
      <x:c r="L1634" s="7" t="str"/>
    </x:row>
    <x:row r="1635">
      <x:c r="A1635" s="5" t="str">
        <x:v>攢</x:v>
      </x:c>
      <x:c r="B1635" s="6" t="str">
        <x:v>去</x:v>
      </x:c>
      <x:c r="C1635" s="6" t="str">
        <x:f>IF(B1635="","Needs decision","Ready")</x:f>
        <x:v>Ready</x:v>
      </x:c>
      <x:c r="D1635" s="6" t="str">
        <x:v>去</x:v>
      </x:c>
      <x:c r="E1635" s="6" t="str">
        <x:v>dzwanH [d̙z̙wɑnh] (去); tsanH [t̙s̙ɑnh] (去)</x:v>
      </x:c>
      <x:c r="F1635" s="6" t="str">
        <x:v>上平聲十四寒</x:v>
      </x:c>
      <x:c r="G1635" s="6" t="str">
        <x:v>Pingshui main list, Wikisource-derived DOCX</x:v>
      </x:c>
      <x:c r="H1635" s="6" t="str">
        <x:v>2</x:v>
      </x:c>
      <x:c r="I1635" s="6" t="str">
        <x:v>Tang 300 gap; frequency 1; provisional from Xun Gong</x:v>
      </x:c>
      <x:c r="J1635" s="6" t="str">
        <x:f>IF(B1635="","",IF(AND(ISNUMBER(SEARCH("平",B1635)),OR(ISNUMBER(SEARCH("上",B1635)),ISNUMBER(SEARCH("去",B1635)),ISNUMBER(SEARCH("入",B1635)))),"Ambiguous",IF(ISNUMBER(SEARCH("平",B1635)),"平","仄")))</x:f>
        <x:v>仄</x:v>
      </x:c>
      <x:c r="K1635" s="6" t="str">
        <x:f>IF(D1635="","",IF(AND(ISNUMBER(SEARCH("平",D1635)),OR(ISNUMBER(SEARCH("上",D1635)),ISNUMBER(SEARCH("去",D1635)),ISNUMBER(SEARCH("入",D1635)))),"Ambiguous",IF(ISNUMBER(SEARCH("平",D1635)),"平","仄")))</x:f>
        <x:v>仄</x:v>
      </x:c>
      <x:c r="L1635" s="7" t="str">
        <x:v>Xun Gong, Tang 300 gap fill</x:v>
      </x:c>
    </x:row>
    <x:row r="1636">
      <x:c r="A1636" s="5" t="str">
        <x:v>攩</x:v>
      </x:c>
      <x:c r="B1636" s="6" t="str">
        <x:v>上</x:v>
      </x:c>
      <x:c r="C1636" s="6" t="str">
        <x:f>IF(B1636="","Needs decision","Ready")</x:f>
        <x:v>Ready</x:v>
      </x:c>
      <x:c r="D1636" s="6" t="str">
        <x:v>上</x:v>
      </x:c>
      <x:c r="E1636" s="6" t="str">
        <x:v>thangX (B)</x:v>
      </x:c>
      <x:c r="F1636" s="6" t="str"/>
      <x:c r="G1636" s="6" t="str"/>
      <x:c r="H1636" s="6" t="str">
        <x:v>1</x:v>
      </x:c>
      <x:c r="I1636" s="6" t="str"/>
      <x:c r="J1636" s="6" t="str">
        <x:f>IF(B1636="","",IF(AND(ISNUMBER(SEARCH("平",B1636)),OR(ISNUMBER(SEARCH("上",B1636)),ISNUMBER(SEARCH("去",B1636)),ISNUMBER(SEARCH("入",B1636)))),"Ambiguous",IF(ISNUMBER(SEARCH("平",B1636)),"平","仄")))</x:f>
        <x:v>仄</x:v>
      </x:c>
      <x:c r="K1636" s="6" t="str">
        <x:f>IF(D1636="","",IF(AND(ISNUMBER(SEARCH("平",D1636)),OR(ISNUMBER(SEARCH("上",D1636)),ISNUMBER(SEARCH("去",D1636)),ISNUMBER(SEARCH("入",D1636)))),"Ambiguous",IF(ISNUMBER(SEARCH("平",D1636)),"平","仄")))</x:f>
        <x:v>仄</x:v>
      </x:c>
      <x:c r="L1636" s="7" t="str"/>
    </x:row>
    <x:row r="1637">
      <x:c r="A1637" s="5" t="str">
        <x:v>攪</x:v>
      </x:c>
      <x:c r="B1637" s="6" t="str">
        <x:v>上</x:v>
      </x:c>
      <x:c r="C1637" s="6" t="str">
        <x:f>IF(B1637="","Needs decision","Ready")</x:f>
        <x:v>Ready</x:v>
      </x:c>
      <x:c r="D1637" s="6" t="str">
        <x:v>上</x:v>
      </x:c>
      <x:c r="E1637" s="6" t="str">
        <x:v>kaewX (B)</x:v>
      </x:c>
      <x:c r="F1637" s="6" t="str">
        <x:v>上聲十八巧</x:v>
      </x:c>
      <x:c r="G1637" s="6" t="str">
        <x:v>Pingshui main list, Wikisource-derived DOCX</x:v>
      </x:c>
      <x:c r="H1637" s="6" t="str">
        <x:v>1</x:v>
      </x:c>
      <x:c r="I1637" s="6" t="str"/>
      <x:c r="J1637" s="6" t="str">
        <x:f>IF(B1637="","",IF(AND(ISNUMBER(SEARCH("平",B1637)),OR(ISNUMBER(SEARCH("上",B1637)),ISNUMBER(SEARCH("去",B1637)),ISNUMBER(SEARCH("入",B1637)))),"Ambiguous",IF(ISNUMBER(SEARCH("平",B1637)),"平","仄")))</x:f>
        <x:v>仄</x:v>
      </x:c>
      <x:c r="K1637" s="6" t="str">
        <x:f>IF(D1637="","",IF(AND(ISNUMBER(SEARCH("平",D1637)),OR(ISNUMBER(SEARCH("上",D1637)),ISNUMBER(SEARCH("去",D1637)),ISNUMBER(SEARCH("入",D1637)))),"Ambiguous",IF(ISNUMBER(SEARCH("平",D1637)),"平","仄")))</x:f>
        <x:v>仄</x:v>
      </x:c>
      <x:c r="L1637" s="7" t="str"/>
    </x:row>
    <x:row r="1638">
      <x:c r="A1638" s="5" t="str">
        <x:v>攫</x:v>
      </x:c>
      <x:c r="B1638" s="6" t="str">
        <x:v>入</x:v>
      </x:c>
      <x:c r="C1638" s="6" t="str">
        <x:f>IF(B1638="","Needs decision","Ready")</x:f>
        <x:v>Ready</x:v>
      </x:c>
      <x:c r="D1638" s="6" t="str">
        <x:v>入</x:v>
      </x:c>
      <x:c r="E1638" s="6" t="str">
        <x:v>kjwak (D)</x:v>
      </x:c>
      <x:c r="F1638" s="6" t="str">
        <x:v>入聲十藥</x:v>
      </x:c>
      <x:c r="G1638" s="6" t="str">
        <x:v>Pingshui main list, Wikisource-derived DOCX</x:v>
      </x:c>
      <x:c r="H1638" s="6" t="str">
        <x:v>1</x:v>
      </x:c>
      <x:c r="I1638" s="6" t="str"/>
      <x:c r="J1638" s="6" t="str">
        <x:f>IF(B1638="","",IF(AND(ISNUMBER(SEARCH("平",B1638)),OR(ISNUMBER(SEARCH("上",B1638)),ISNUMBER(SEARCH("去",B1638)),ISNUMBER(SEARCH("入",B1638)))),"Ambiguous",IF(ISNUMBER(SEARCH("平",B1638)),"平","仄")))</x:f>
        <x:v>仄</x:v>
      </x:c>
      <x:c r="K1638" s="6" t="str">
        <x:f>IF(D1638="","",IF(AND(ISNUMBER(SEARCH("平",D1638)),OR(ISNUMBER(SEARCH("上",D1638)),ISNUMBER(SEARCH("去",D1638)),ISNUMBER(SEARCH("入",D1638)))),"Ambiguous",IF(ISNUMBER(SEARCH("平",D1638)),"平","仄")))</x:f>
        <x:v>仄</x:v>
      </x:c>
      <x:c r="L1638" s="7" t="str"/>
    </x:row>
    <x:row r="1639">
      <x:c r="A1639" s="5" t="str">
        <x:v>攬</x:v>
      </x:c>
      <x:c r="B1639" s="6" t="str">
        <x:v>上</x:v>
      </x:c>
      <x:c r="C1639" s="6" t="str">
        <x:f>IF(B1639="","Needs decision","Ready")</x:f>
        <x:v>Ready</x:v>
      </x:c>
      <x:c r="D1639" s="6" t="str">
        <x:v>上</x:v>
      </x:c>
      <x:c r="E1639" s="6" t="str">
        <x:v>lamX [l̙ɑmʔ] (上)</x:v>
      </x:c>
      <x:c r="F1639" s="6" t="str"/>
      <x:c r="G1639" s="6" t="str"/>
      <x:c r="H1639" s="6" t="str">
        <x:v>1</x:v>
      </x:c>
      <x:c r="I1639" s="6" t="str">
        <x:v>Tang 300 gap; frequency 1; provisional from Xun Gong</x:v>
      </x:c>
      <x:c r="J1639" s="6" t="str">
        <x:f>IF(B1639="","",IF(AND(ISNUMBER(SEARCH("平",B1639)),OR(ISNUMBER(SEARCH("上",B1639)),ISNUMBER(SEARCH("去",B1639)),ISNUMBER(SEARCH("入",B1639)))),"Ambiguous",IF(ISNUMBER(SEARCH("平",B1639)),"平","仄")))</x:f>
        <x:v>仄</x:v>
      </x:c>
      <x:c r="K1639" s="6" t="str">
        <x:f>IF(D1639="","",IF(AND(ISNUMBER(SEARCH("平",D1639)),OR(ISNUMBER(SEARCH("上",D1639)),ISNUMBER(SEARCH("去",D1639)),ISNUMBER(SEARCH("入",D1639)))),"Ambiguous",IF(ISNUMBER(SEARCH("平",D1639)),"平","仄")))</x:f>
        <x:v>仄</x:v>
      </x:c>
      <x:c r="L1639" s="7" t="str">
        <x:v>Xun Gong, Tang 300 gap fill</x:v>
      </x:c>
    </x:row>
    <x:row r="1640">
      <x:c r="A1640" s="5" t="str">
        <x:v>支</x:v>
      </x:c>
      <x:c r="B1640" s="6" t="str">
        <x:v>平</x:v>
      </x:c>
      <x:c r="C1640" s="6" t="str">
        <x:f>IF(B1640="","Needs decision","Ready")</x:f>
        <x:v>Ready</x:v>
      </x:c>
      <x:c r="D1640" s="6" t="str">
        <x:v>平</x:v>
      </x:c>
      <x:c r="E1640" s="6" t="str">
        <x:v>tsye (A)</x:v>
      </x:c>
      <x:c r="F1640" s="6" t="str">
        <x:v>上平聲四支</x:v>
      </x:c>
      <x:c r="G1640" s="6" t="str">
        <x:v>Pingshui main list, Wikisource-derived DOCX</x:v>
      </x:c>
      <x:c r="H1640" s="6" t="str">
        <x:v>1</x:v>
      </x:c>
      <x:c r="I1640" s="6" t="str"/>
      <x:c r="J1640" s="6" t="str">
        <x:f>IF(B1640="","",IF(AND(ISNUMBER(SEARCH("平",B1640)),OR(ISNUMBER(SEARCH("上",B1640)),ISNUMBER(SEARCH("去",B1640)),ISNUMBER(SEARCH("入",B1640)))),"Ambiguous",IF(ISNUMBER(SEARCH("平",B1640)),"平","仄")))</x:f>
        <x:v>平</x:v>
      </x:c>
      <x:c r="K1640" s="6" t="str">
        <x:f>IF(D1640="","",IF(AND(ISNUMBER(SEARCH("平",D1640)),OR(ISNUMBER(SEARCH("上",D1640)),ISNUMBER(SEARCH("去",D1640)),ISNUMBER(SEARCH("入",D1640)))),"Ambiguous",IF(ISNUMBER(SEARCH("平",D1640)),"平","仄")))</x:f>
        <x:v>平</x:v>
      </x:c>
      <x:c r="L1640" s="7" t="str"/>
    </x:row>
    <x:row r="1641">
      <x:c r="A1641" s="5" t="str">
        <x:v>收</x:v>
      </x:c>
      <x:c r="B1641" s="6" t="str">
        <x:v>平</x:v>
      </x:c>
      <x:c r="C1641" s="6" t="str">
        <x:f>IF(B1641="","Needs decision","Ready")</x:f>
        <x:v>Ready</x:v>
      </x:c>
      <x:c r="D1641" s="6" t="str">
        <x:v>平</x:v>
      </x:c>
      <x:c r="E1641" s="6" t="str">
        <x:v>syuw (A)</x:v>
      </x:c>
      <x:c r="F1641" s="6" t="str">
        <x:v>下平聲十一尤; 去聲二十六宥</x:v>
      </x:c>
      <x:c r="G1641" s="6" t="str">
        <x:v>Pingshui main list, Wikisource-derived DOCX</x:v>
      </x:c>
      <x:c r="H1641" s="6" t="str">
        <x:v>1</x:v>
      </x:c>
      <x:c r="I1641" s="6" t="str"/>
      <x:c r="J1641" s="6" t="str">
        <x:f>IF(B1641="","",IF(AND(ISNUMBER(SEARCH("平",B1641)),OR(ISNUMBER(SEARCH("上",B1641)),ISNUMBER(SEARCH("去",B1641)),ISNUMBER(SEARCH("入",B1641)))),"Ambiguous",IF(ISNUMBER(SEARCH("平",B1641)),"平","仄")))</x:f>
        <x:v>平</x:v>
      </x:c>
      <x:c r="K1641" s="6" t="str">
        <x:f>IF(D1641="","",IF(AND(ISNUMBER(SEARCH("平",D1641)),OR(ISNUMBER(SEARCH("上",D1641)),ISNUMBER(SEARCH("去",D1641)),ISNUMBER(SEARCH("入",D1641)))),"Ambiguous",IF(ISNUMBER(SEARCH("平",D1641)),"平","仄")))</x:f>
        <x:v>平</x:v>
      </x:c>
      <x:c r="L1641" s="7" t="str"/>
    </x:row>
    <x:row r="1642">
      <x:c r="A1642" s="5" t="str">
        <x:v>攸</x:v>
      </x:c>
      <x:c r="B1642" s="6" t="str">
        <x:v>平</x:v>
      </x:c>
      <x:c r="C1642" s="6" t="str">
        <x:f>IF(B1642="","Needs decision","Ready")</x:f>
        <x:v>Ready</x:v>
      </x:c>
      <x:c r="D1642" s="6" t="str">
        <x:v>平</x:v>
      </x:c>
      <x:c r="E1642" s="6" t="str">
        <x:v>yuw (A)</x:v>
      </x:c>
      <x:c r="F1642" s="6" t="str">
        <x:v>下平聲十一尤</x:v>
      </x:c>
      <x:c r="G1642" s="6" t="str">
        <x:v>Pingshui main list, Wikisource-derived DOCX</x:v>
      </x:c>
      <x:c r="H1642" s="6" t="str">
        <x:v>1</x:v>
      </x:c>
      <x:c r="I1642" s="6" t="str"/>
      <x:c r="J1642" s="6" t="str">
        <x:f>IF(B1642="","",IF(AND(ISNUMBER(SEARCH("平",B1642)),OR(ISNUMBER(SEARCH("上",B1642)),ISNUMBER(SEARCH("去",B1642)),ISNUMBER(SEARCH("入",B1642)))),"Ambiguous",IF(ISNUMBER(SEARCH("平",B1642)),"平","仄")))</x:f>
        <x:v>平</x:v>
      </x:c>
      <x:c r="K1642" s="6" t="str">
        <x:f>IF(D1642="","",IF(AND(ISNUMBER(SEARCH("平",D1642)),OR(ISNUMBER(SEARCH("上",D1642)),ISNUMBER(SEARCH("去",D1642)),ISNUMBER(SEARCH("入",D1642)))),"Ambiguous",IF(ISNUMBER(SEARCH("平",D1642)),"平","仄")))</x:f>
        <x:v>平</x:v>
      </x:c>
      <x:c r="L1642" s="7" t="str"/>
    </x:row>
    <x:row r="1643">
      <x:c r="A1643" s="5" t="str">
        <x:v>改</x:v>
      </x:c>
      <x:c r="B1643" s="6" t="str">
        <x:v>上</x:v>
      </x:c>
      <x:c r="C1643" s="6" t="str">
        <x:f>IF(B1643="","Needs decision","Ready")</x:f>
        <x:v>Ready</x:v>
      </x:c>
      <x:c r="D1643" s="6" t="str">
        <x:v>上</x:v>
      </x:c>
      <x:c r="E1643" s="6" t="str">
        <x:v>kojX (B)</x:v>
      </x:c>
      <x:c r="F1643" s="6" t="str">
        <x:v>上聲十賄</x:v>
      </x:c>
      <x:c r="G1643" s="6" t="str">
        <x:v>Pingshui main list, Wikisource-derived DOCX</x:v>
      </x:c>
      <x:c r="H1643" s="6" t="str">
        <x:v>1</x:v>
      </x:c>
      <x:c r="I1643" s="6" t="str"/>
      <x:c r="J1643" s="6" t="str">
        <x:f>IF(B1643="","",IF(AND(ISNUMBER(SEARCH("平",B1643)),OR(ISNUMBER(SEARCH("上",B1643)),ISNUMBER(SEARCH("去",B1643)),ISNUMBER(SEARCH("入",B1643)))),"Ambiguous",IF(ISNUMBER(SEARCH("平",B1643)),"平","仄")))</x:f>
        <x:v>仄</x:v>
      </x:c>
      <x:c r="K1643" s="6" t="str">
        <x:f>IF(D1643="","",IF(AND(ISNUMBER(SEARCH("平",D1643)),OR(ISNUMBER(SEARCH("上",D1643)),ISNUMBER(SEARCH("去",D1643)),ISNUMBER(SEARCH("入",D1643)))),"Ambiguous",IF(ISNUMBER(SEARCH("平",D1643)),"平","仄")))</x:f>
        <x:v>仄</x:v>
      </x:c>
      <x:c r="L1643" s="7" t="str"/>
    </x:row>
    <x:row r="1644">
      <x:c r="A1644" s="5" t="str">
        <x:v>攺</x:v>
      </x:c>
      <x:c r="B1644" s="6" t="str">
        <x:v>上</x:v>
      </x:c>
      <x:c r="C1644" s="6" t="str">
        <x:f>IF(B1644="","Needs decision","Ready")</x:f>
        <x:v>Ready</x:v>
      </x:c>
      <x:c r="D1644" s="6" t="str">
        <x:v>上</x:v>
      </x:c>
      <x:c r="E1644" s="6" t="str">
        <x:v>kojX (B)</x:v>
      </x:c>
      <x:c r="F1644" s="6" t="str"/>
      <x:c r="G1644" s="6" t="str"/>
      <x:c r="H1644" s="6" t="str">
        <x:v>1</x:v>
      </x:c>
      <x:c r="I1644" s="6" t="str"/>
      <x:c r="J1644" s="6" t="str">
        <x:f>IF(B1644="","",IF(AND(ISNUMBER(SEARCH("平",B1644)),OR(ISNUMBER(SEARCH("上",B1644)),ISNUMBER(SEARCH("去",B1644)),ISNUMBER(SEARCH("入",B1644)))),"Ambiguous",IF(ISNUMBER(SEARCH("平",B1644)),"平","仄")))</x:f>
        <x:v>仄</x:v>
      </x:c>
      <x:c r="K1644" s="6" t="str">
        <x:f>IF(D1644="","",IF(AND(ISNUMBER(SEARCH("平",D1644)),OR(ISNUMBER(SEARCH("上",D1644)),ISNUMBER(SEARCH("去",D1644)),ISNUMBER(SEARCH("入",D1644)))),"Ambiguous",IF(ISNUMBER(SEARCH("平",D1644)),"平","仄")))</x:f>
        <x:v>仄</x:v>
      </x:c>
      <x:c r="L1644" s="7" t="str"/>
    </x:row>
    <x:row r="1645">
      <x:c r="A1645" s="5" t="str">
        <x:v>攻</x:v>
      </x:c>
      <x:c r="B1645" s="6" t="str">
        <x:v>平</x:v>
      </x:c>
      <x:c r="C1645" s="6" t="str">
        <x:f>IF(B1645="","Needs decision","Ready")</x:f>
        <x:v>Ready</x:v>
      </x:c>
      <x:c r="D1645" s="6" t="str">
        <x:v>平</x:v>
      </x:c>
      <x:c r="E1645" s="6" t="str">
        <x:v>kuwng (A)</x:v>
      </x:c>
      <x:c r="F1645" s="6" t="str">
        <x:v>上平聲一東</x:v>
      </x:c>
      <x:c r="G1645" s="6" t="str">
        <x:v>Pingshui main list, Wikisource-derived DOCX</x:v>
      </x:c>
      <x:c r="H1645" s="6" t="str">
        <x:v>1</x:v>
      </x:c>
      <x:c r="I1645" s="6" t="str"/>
      <x:c r="J1645" s="6" t="str">
        <x:f>IF(B1645="","",IF(AND(ISNUMBER(SEARCH("平",B1645)),OR(ISNUMBER(SEARCH("上",B1645)),ISNUMBER(SEARCH("去",B1645)),ISNUMBER(SEARCH("入",B1645)))),"Ambiguous",IF(ISNUMBER(SEARCH("平",B1645)),"平","仄")))</x:f>
        <x:v>平</x:v>
      </x:c>
      <x:c r="K1645" s="6" t="str">
        <x:f>IF(D1645="","",IF(AND(ISNUMBER(SEARCH("平",D1645)),OR(ISNUMBER(SEARCH("上",D1645)),ISNUMBER(SEARCH("去",D1645)),ISNUMBER(SEARCH("入",D1645)))),"Ambiguous",IF(ISNUMBER(SEARCH("平",D1645)),"平","仄")))</x:f>
        <x:v>平</x:v>
      </x:c>
      <x:c r="L1645" s="7" t="str"/>
    </x:row>
    <x:row r="1646">
      <x:c r="A1646" s="5" t="str">
        <x:v>放</x:v>
      </x:c>
      <x:c r="B1646" s="6" t="str">
        <x:v>去</x:v>
      </x:c>
      <x:c r="C1646" s="6" t="str">
        <x:f>IF(B1646="","Needs decision","Ready")</x:f>
        <x:v>Ready</x:v>
      </x:c>
      <x:c r="D1646" s="6" t="str">
        <x:v>上/去</x:v>
      </x:c>
      <x:c r="E1646" s="6" t="str">
        <x:v>pjangX (B); pjangH (C)</x:v>
      </x:c>
      <x:c r="F1646" s="6" t="str">
        <x:v>上聲二十二養; 去聲二十三漾</x:v>
      </x:c>
      <x:c r="G1646" s="6" t="str">
        <x:v>Pingshui main list, Wikisource-derived DOCX</x:v>
      </x:c>
      <x:c r="H1646" s="6" t="str">
        <x:v>2</x:v>
      </x:c>
      <x:c r="I1646" s="6" t="str"/>
      <x:c r="J1646" s="6" t="str">
        <x:f>IF(B1646="","",IF(AND(ISNUMBER(SEARCH("平",B1646)),OR(ISNUMBER(SEARCH("上",B1646)),ISNUMBER(SEARCH("去",B1646)),ISNUMBER(SEARCH("入",B1646)))),"Ambiguous",IF(ISNUMBER(SEARCH("平",B1646)),"平","仄")))</x:f>
        <x:v>仄</x:v>
      </x:c>
      <x:c r="K1646" s="6" t="str">
        <x:f>IF(D1646="","",IF(AND(ISNUMBER(SEARCH("平",D1646)),OR(ISNUMBER(SEARCH("上",D1646)),ISNUMBER(SEARCH("去",D1646)),ISNUMBER(SEARCH("入",D1646)))),"Ambiguous",IF(ISNUMBER(SEARCH("平",D1646)),"平","仄")))</x:f>
        <x:v>仄</x:v>
      </x:c>
      <x:c r="L1646" s="7" t="str"/>
    </x:row>
    <x:row r="1647">
      <x:c r="A1647" s="5" t="str">
        <x:v>政</x:v>
      </x:c>
      <x:c r="B1647" s="6" t="str">
        <x:v>去</x:v>
      </x:c>
      <x:c r="C1647" s="6" t="str">
        <x:f>IF(B1647="","Needs decision","Ready")</x:f>
        <x:v>Ready</x:v>
      </x:c>
      <x:c r="D1647" s="6" t="str">
        <x:v>去</x:v>
      </x:c>
      <x:c r="E1647" s="6" t="str">
        <x:v>tsyengH (C)</x:v>
      </x:c>
      <x:c r="F1647" s="6" t="str">
        <x:v>去聲二十四敬</x:v>
      </x:c>
      <x:c r="G1647" s="6" t="str">
        <x:v>Pingshui main list, Wikisource-derived DOCX</x:v>
      </x:c>
      <x:c r="H1647" s="6" t="str">
        <x:v>1</x:v>
      </x:c>
      <x:c r="I1647" s="6" t="str"/>
      <x:c r="J1647" s="6" t="str">
        <x:f>IF(B1647="","",IF(AND(ISNUMBER(SEARCH("平",B1647)),OR(ISNUMBER(SEARCH("上",B1647)),ISNUMBER(SEARCH("去",B1647)),ISNUMBER(SEARCH("入",B1647)))),"Ambiguous",IF(ISNUMBER(SEARCH("平",B1647)),"平","仄")))</x:f>
        <x:v>仄</x:v>
      </x:c>
      <x:c r="K1647" s="6" t="str">
        <x:f>IF(D1647="","",IF(AND(ISNUMBER(SEARCH("平",D1647)),OR(ISNUMBER(SEARCH("上",D1647)),ISNUMBER(SEARCH("去",D1647)),ISNUMBER(SEARCH("入",D1647)))),"Ambiguous",IF(ISNUMBER(SEARCH("平",D1647)),"平","仄")))</x:f>
        <x:v>仄</x:v>
      </x:c>
      <x:c r="L1647" s="7" t="str"/>
    </x:row>
    <x:row r="1648">
      <x:c r="A1648" s="5" t="str">
        <x:v>故</x:v>
      </x:c>
      <x:c r="B1648" s="6" t="str">
        <x:v>去</x:v>
      </x:c>
      <x:c r="C1648" s="6" t="str">
        <x:f>IF(B1648="","Needs decision","Ready")</x:f>
        <x:v>Ready</x:v>
      </x:c>
      <x:c r="D1648" s="6" t="str">
        <x:v>去</x:v>
      </x:c>
      <x:c r="E1648" s="6" t="str">
        <x:v>kuH (C)</x:v>
      </x:c>
      <x:c r="F1648" s="6" t="str">
        <x:v>去聲七遇</x:v>
      </x:c>
      <x:c r="G1648" s="6" t="str">
        <x:v>Pingshui main list, Wikisource-derived DOCX</x:v>
      </x:c>
      <x:c r="H1648" s="6" t="str">
        <x:v>1</x:v>
      </x:c>
      <x:c r="I1648" s="6" t="str"/>
      <x:c r="J1648" s="6" t="str">
        <x:f>IF(B1648="","",IF(AND(ISNUMBER(SEARCH("平",B1648)),OR(ISNUMBER(SEARCH("上",B1648)),ISNUMBER(SEARCH("去",B1648)),ISNUMBER(SEARCH("入",B1648)))),"Ambiguous",IF(ISNUMBER(SEARCH("平",B1648)),"平","仄")))</x:f>
        <x:v>仄</x:v>
      </x:c>
      <x:c r="K1648" s="6" t="str">
        <x:f>IF(D1648="","",IF(AND(ISNUMBER(SEARCH("平",D1648)),OR(ISNUMBER(SEARCH("上",D1648)),ISNUMBER(SEARCH("去",D1648)),ISNUMBER(SEARCH("入",D1648)))),"Ambiguous",IF(ISNUMBER(SEARCH("平",D1648)),"平","仄")))</x:f>
        <x:v>仄</x:v>
      </x:c>
      <x:c r="L1648" s="7" t="str"/>
    </x:row>
    <x:row r="1649">
      <x:c r="A1649" s="5" t="str">
        <x:v>效</x:v>
      </x:c>
      <x:c r="B1649" s="6" t="str">
        <x:v>去</x:v>
      </x:c>
      <x:c r="C1649" s="6" t="str">
        <x:f>IF(B1649="","Needs decision","Ready")</x:f>
        <x:v>Ready</x:v>
      </x:c>
      <x:c r="D1649" s="6" t="str">
        <x:v>去</x:v>
      </x:c>
      <x:c r="E1649" s="6" t="str">
        <x:v>haewH (C)</x:v>
      </x:c>
      <x:c r="F1649" s="6" t="str">
        <x:v>去聲十九效</x:v>
      </x:c>
      <x:c r="G1649" s="6" t="str">
        <x:v>Pingshui main list, Wikisource-derived DOCX</x:v>
      </x:c>
      <x:c r="H1649" s="6" t="str">
        <x:v>1</x:v>
      </x:c>
      <x:c r="I1649" s="6" t="str"/>
      <x:c r="J1649" s="6" t="str">
        <x:f>IF(B1649="","",IF(AND(ISNUMBER(SEARCH("平",B1649)),OR(ISNUMBER(SEARCH("上",B1649)),ISNUMBER(SEARCH("去",B1649)),ISNUMBER(SEARCH("入",B1649)))),"Ambiguous",IF(ISNUMBER(SEARCH("平",B1649)),"平","仄")))</x:f>
        <x:v>仄</x:v>
      </x:c>
      <x:c r="K1649" s="6" t="str">
        <x:f>IF(D1649="","",IF(AND(ISNUMBER(SEARCH("平",D1649)),OR(ISNUMBER(SEARCH("上",D1649)),ISNUMBER(SEARCH("去",D1649)),ISNUMBER(SEARCH("入",D1649)))),"Ambiguous",IF(ISNUMBER(SEARCH("平",D1649)),"平","仄")))</x:f>
        <x:v>仄</x:v>
      </x:c>
      <x:c r="L1649" s="7" t="str"/>
    </x:row>
    <x:row r="1650">
      <x:c r="A1650" s="5" t="str">
        <x:v>敉</x:v>
      </x:c>
      <x:c r="B1650" s="6" t="str">
        <x:v>上</x:v>
      </x:c>
      <x:c r="C1650" s="6" t="str">
        <x:f>IF(B1650="","Needs decision","Ready")</x:f>
        <x:v>Ready</x:v>
      </x:c>
      <x:c r="D1650" s="6" t="str">
        <x:v>上</x:v>
      </x:c>
      <x:c r="E1650" s="6" t="str">
        <x:v>mjieX (B)</x:v>
      </x:c>
      <x:c r="F1650" s="6" t="str">
        <x:v>上聲四紙</x:v>
      </x:c>
      <x:c r="G1650" s="6" t="str">
        <x:v>Pingshui main list, Wikisource-derived DOCX</x:v>
      </x:c>
      <x:c r="H1650" s="6" t="str">
        <x:v>1</x:v>
      </x:c>
      <x:c r="I1650" s="6" t="str"/>
      <x:c r="J1650" s="6" t="str">
        <x:f>IF(B1650="","",IF(AND(ISNUMBER(SEARCH("平",B1650)),OR(ISNUMBER(SEARCH("上",B1650)),ISNUMBER(SEARCH("去",B1650)),ISNUMBER(SEARCH("入",B1650)))),"Ambiguous",IF(ISNUMBER(SEARCH("平",B1650)),"平","仄")))</x:f>
        <x:v>仄</x:v>
      </x:c>
      <x:c r="K1650" s="6" t="str">
        <x:f>IF(D1650="","",IF(AND(ISNUMBER(SEARCH("平",D1650)),OR(ISNUMBER(SEARCH("上",D1650)),ISNUMBER(SEARCH("去",D1650)),ISNUMBER(SEARCH("入",D1650)))),"Ambiguous",IF(ISNUMBER(SEARCH("平",D1650)),"平","仄")))</x:f>
        <x:v>仄</x:v>
      </x:c>
      <x:c r="L1650" s="7" t="str"/>
    </x:row>
    <x:row r="1651">
      <x:c r="A1651" s="5" t="str">
        <x:v>敎</x:v>
      </x:c>
      <x:c r="B1651" s="6" t="str"/>
      <x:c r="C1651" s="6" t="str">
        <x:f>IF(B1651="","Needs decision","Ready")</x:f>
        <x:v>Needs decision</x:v>
      </x:c>
      <x:c r="D1651" s="6" t="str">
        <x:v>平/去</x:v>
      </x:c>
      <x:c r="E1651" s="6" t="str">
        <x:v>kaewH [見開二肴去] qaˤwh; kaew [見開二肴平] qaˤw</x:v>
      </x:c>
      <x:c r="F1651" s="6" t="str"/>
      <x:c r="G1651" s="6" t="str"/>
      <x:c r="H1651" s="6" t="str">
        <x:v>2</x:v>
      </x:c>
      <x:c r="I1651" s="6" t="str">
        <x:v>Targeted preliminary fill from Xun Gong; review if uncertain (looked up under 教)</x:v>
      </x:c>
      <x:c r="J1651" s="6" t="str">
        <x:f>IF(B1651="","",IF(AND(ISNUMBER(SEARCH("平",B1651)),OR(ISNUMBER(SEARCH("上",B1651)),ISNUMBER(SEARCH("去",B1651)),ISNUMBER(SEARCH("入",B1651)))),"Ambiguous",IF(ISNUMBER(SEARCH("平",B1651)),"平","仄")))</x:f>
      </x:c>
      <x:c r="K1651" s="6" t="str">
        <x:f>IF(D1651="","",IF(AND(ISNUMBER(SEARCH("平",D1651)),OR(ISNUMBER(SEARCH("上",D1651)),ISNUMBER(SEARCH("去",D1651)),ISNUMBER(SEARCH("入",D1651)))),"Ambiguous",IF(ISNUMBER(SEARCH("平",D1651)),"平","仄")))</x:f>
        <x:v>Ambiguous</x:v>
      </x:c>
      <x:c r="L1651" s="7" t="str">
        <x:v>Xun Gong character-readings.csv</x:v>
      </x:c>
    </x:row>
    <x:row r="1652">
      <x:c r="A1652" s="5" t="str">
        <x:v>敏</x:v>
      </x:c>
      <x:c r="B1652" s="6" t="str">
        <x:v>上</x:v>
      </x:c>
      <x:c r="C1652" s="6" t="str">
        <x:f>IF(B1652="","Needs decision","Ready")</x:f>
        <x:v>Ready</x:v>
      </x:c>
      <x:c r="D1652" s="6" t="str">
        <x:v>上</x:v>
      </x:c>
      <x:c r="E1652" s="6" t="str">
        <x:v>minX (B)</x:v>
      </x:c>
      <x:c r="F1652" s="6" t="str">
        <x:v>上聲十一軫</x:v>
      </x:c>
      <x:c r="G1652" s="6" t="str">
        <x:v>Pingshui main list, Wikisource-derived DOCX</x:v>
      </x:c>
      <x:c r="H1652" s="6" t="str">
        <x:v>1</x:v>
      </x:c>
      <x:c r="I1652" s="6" t="str"/>
      <x:c r="J1652" s="6" t="str">
        <x:f>IF(B1652="","",IF(AND(ISNUMBER(SEARCH("平",B1652)),OR(ISNUMBER(SEARCH("上",B1652)),ISNUMBER(SEARCH("去",B1652)),ISNUMBER(SEARCH("入",B1652)))),"Ambiguous",IF(ISNUMBER(SEARCH("平",B1652)),"平","仄")))</x:f>
        <x:v>仄</x:v>
      </x:c>
      <x:c r="K1652" s="6" t="str">
        <x:f>IF(D1652="","",IF(AND(ISNUMBER(SEARCH("平",D1652)),OR(ISNUMBER(SEARCH("上",D1652)),ISNUMBER(SEARCH("去",D1652)),ISNUMBER(SEARCH("入",D1652)))),"Ambiguous",IF(ISNUMBER(SEARCH("平",D1652)),"平","仄")))</x:f>
        <x:v>仄</x:v>
      </x:c>
      <x:c r="L1652" s="7" t="str"/>
    </x:row>
    <x:row r="1653">
      <x:c r="A1653" s="5" t="str">
        <x:v>救</x:v>
      </x:c>
      <x:c r="B1653" s="6" t="str">
        <x:v>去</x:v>
      </x:c>
      <x:c r="C1653" s="6" t="str">
        <x:f>IF(B1653="","Needs decision","Ready")</x:f>
        <x:v>Ready</x:v>
      </x:c>
      <x:c r="D1653" s="6" t="str">
        <x:v>去</x:v>
      </x:c>
      <x:c r="E1653" s="6" t="str">
        <x:v>kjuwH (C)</x:v>
      </x:c>
      <x:c r="F1653" s="6" t="str">
        <x:v>去聲二十六宥</x:v>
      </x:c>
      <x:c r="G1653" s="6" t="str">
        <x:v>Pingshui main list, Wikisource-derived DOCX</x:v>
      </x:c>
      <x:c r="H1653" s="6" t="str">
        <x:v>1</x:v>
      </x:c>
      <x:c r="I1653" s="6" t="str"/>
      <x:c r="J1653" s="6" t="str">
        <x:f>IF(B1653="","",IF(AND(ISNUMBER(SEARCH("平",B1653)),OR(ISNUMBER(SEARCH("上",B1653)),ISNUMBER(SEARCH("去",B1653)),ISNUMBER(SEARCH("入",B1653)))),"Ambiguous",IF(ISNUMBER(SEARCH("平",B1653)),"平","仄")))</x:f>
        <x:v>仄</x:v>
      </x:c>
      <x:c r="K1653" s="6" t="str">
        <x:f>IF(D1653="","",IF(AND(ISNUMBER(SEARCH("平",D1653)),OR(ISNUMBER(SEARCH("上",D1653)),ISNUMBER(SEARCH("去",D1653)),ISNUMBER(SEARCH("入",D1653)))),"Ambiguous",IF(ISNUMBER(SEARCH("平",D1653)),"平","仄")))</x:f>
        <x:v>仄</x:v>
      </x:c>
      <x:c r="L1653" s="7" t="str"/>
    </x:row>
    <x:row r="1654">
      <x:c r="A1654" s="5" t="str">
        <x:v>敖</x:v>
      </x:c>
      <x:c r="B1654" s="6" t="str">
        <x:v>平</x:v>
      </x:c>
      <x:c r="C1654" s="6" t="str">
        <x:f>IF(B1654="","Needs decision","Ready")</x:f>
        <x:v>Ready</x:v>
      </x:c>
      <x:c r="D1654" s="6" t="str">
        <x:v>平</x:v>
      </x:c>
      <x:c r="E1654" s="6" t="str">
        <x:v>ngaw (A)</x:v>
      </x:c>
      <x:c r="F1654" s="6" t="str">
        <x:v>下平聲四豪</x:v>
      </x:c>
      <x:c r="G1654" s="6" t="str">
        <x:v>Pingshui main list, Wikisource-derived DOCX</x:v>
      </x:c>
      <x:c r="H1654" s="6" t="str">
        <x:v>1</x:v>
      </x:c>
      <x:c r="I1654" s="6" t="str"/>
      <x:c r="J1654" s="6" t="str">
        <x:f>IF(B1654="","",IF(AND(ISNUMBER(SEARCH("平",B1654)),OR(ISNUMBER(SEARCH("上",B1654)),ISNUMBER(SEARCH("去",B1654)),ISNUMBER(SEARCH("入",B1654)))),"Ambiguous",IF(ISNUMBER(SEARCH("平",B1654)),"平","仄")))</x:f>
        <x:v>平</x:v>
      </x:c>
      <x:c r="K1654" s="6" t="str">
        <x:f>IF(D1654="","",IF(AND(ISNUMBER(SEARCH("平",D1654)),OR(ISNUMBER(SEARCH("上",D1654)),ISNUMBER(SEARCH("去",D1654)),ISNUMBER(SEARCH("入",D1654)))),"Ambiguous",IF(ISNUMBER(SEARCH("平",D1654)),"平","仄")))</x:f>
        <x:v>平</x:v>
      </x:c>
      <x:c r="L1654" s="7" t="str"/>
    </x:row>
    <x:row r="1655">
      <x:c r="A1655" s="5" t="str">
        <x:v>敗</x:v>
      </x:c>
      <x:c r="B1655" s="6" t="str">
        <x:v>去</x:v>
      </x:c>
      <x:c r="C1655" s="6" t="str">
        <x:f>IF(B1655="","Needs decision","Ready")</x:f>
        <x:v>Ready</x:v>
      </x:c>
      <x:c r="D1655" s="6" t="str">
        <x:v>去</x:v>
      </x:c>
      <x:c r="E1655" s="6" t="str">
        <x:v>baejH (C); paejH (C)</x:v>
      </x:c>
      <x:c r="F1655" s="6" t="str">
        <x:v>去聲十卦</x:v>
      </x:c>
      <x:c r="G1655" s="6" t="str">
        <x:v>Pingshui main list, Wikisource-derived DOCX</x:v>
      </x:c>
      <x:c r="H1655" s="6" t="str">
        <x:v>2</x:v>
      </x:c>
      <x:c r="I1655" s="6" t="str"/>
      <x:c r="J1655" s="6" t="str">
        <x:f>IF(B1655="","",IF(AND(ISNUMBER(SEARCH("平",B1655)),OR(ISNUMBER(SEARCH("上",B1655)),ISNUMBER(SEARCH("去",B1655)),ISNUMBER(SEARCH("入",B1655)))),"Ambiguous",IF(ISNUMBER(SEARCH("平",B1655)),"平","仄")))</x:f>
        <x:v>仄</x:v>
      </x:c>
      <x:c r="K1655" s="6" t="str">
        <x:f>IF(D1655="","",IF(AND(ISNUMBER(SEARCH("平",D1655)),OR(ISNUMBER(SEARCH("上",D1655)),ISNUMBER(SEARCH("去",D1655)),ISNUMBER(SEARCH("入",D1655)))),"Ambiguous",IF(ISNUMBER(SEARCH("平",D1655)),"平","仄")))</x:f>
        <x:v>仄</x:v>
      </x:c>
      <x:c r="L1655" s="7" t="str"/>
    </x:row>
    <x:row r="1656">
      <x:c r="A1656" s="5" t="str">
        <x:v>敘</x:v>
      </x:c>
      <x:c r="B1656" s="6" t="str">
        <x:v>上</x:v>
      </x:c>
      <x:c r="C1656" s="6" t="str">
        <x:f>IF(B1656="","Needs decision","Ready")</x:f>
        <x:v>Ready</x:v>
      </x:c>
      <x:c r="D1656" s="6" t="str">
        <x:v>上</x:v>
      </x:c>
      <x:c r="E1656" s="6" t="str">
        <x:v>zjoX (B)</x:v>
      </x:c>
      <x:c r="F1656" s="6" t="str">
        <x:v>上聲六語</x:v>
      </x:c>
      <x:c r="G1656" s="6" t="str">
        <x:v>Pingshui main list, Wikisource-derived DOCX</x:v>
      </x:c>
      <x:c r="H1656" s="6" t="str">
        <x:v>1</x:v>
      </x:c>
      <x:c r="I1656" s="6" t="str"/>
      <x:c r="J1656" s="6" t="str">
        <x:f>IF(B1656="","",IF(AND(ISNUMBER(SEARCH("平",B1656)),OR(ISNUMBER(SEARCH("上",B1656)),ISNUMBER(SEARCH("去",B1656)),ISNUMBER(SEARCH("入",B1656)))),"Ambiguous",IF(ISNUMBER(SEARCH("平",B1656)),"平","仄")))</x:f>
        <x:v>仄</x:v>
      </x:c>
      <x:c r="K1656" s="6" t="str">
        <x:f>IF(D1656="","",IF(AND(ISNUMBER(SEARCH("平",D1656)),OR(ISNUMBER(SEARCH("上",D1656)),ISNUMBER(SEARCH("去",D1656)),ISNUMBER(SEARCH("入",D1656)))),"Ambiguous",IF(ISNUMBER(SEARCH("平",D1656)),"平","仄")))</x:f>
        <x:v>仄</x:v>
      </x:c>
      <x:c r="L1656" s="7" t="str"/>
    </x:row>
    <x:row r="1657">
      <x:c r="A1657" s="5" t="str">
        <x:v>教</x:v>
      </x:c>
      <x:c r="B1657" s="6" t="str"/>
      <x:c r="C1657" s="6" t="str">
        <x:f>IF(B1657="","Needs decision","Ready")</x:f>
        <x:v>Needs decision</x:v>
      </x:c>
      <x:c r="D1657" s="6" t="str">
        <x:v>平/去</x:v>
      </x:c>
      <x:c r="E1657" s="6" t="str">
        <x:v>kaew (A); kaewH (C)</x:v>
      </x:c>
      <x:c r="F1657" s="6" t="str">
        <x:v>下平聲三肴; 去聲十九效</x:v>
      </x:c>
      <x:c r="G1657" s="6" t="str">
        <x:v>Pingshui main list, Wikisource-derived DOCX</x:v>
      </x:c>
      <x:c r="H1657" s="6" t="str">
        <x:v>2</x:v>
      </x:c>
      <x:c r="I1657" s="6" t="str"/>
      <x:c r="J1657" s="6" t="str">
        <x:f>IF(B1657="","",IF(AND(ISNUMBER(SEARCH("平",B1657)),OR(ISNUMBER(SEARCH("上",B1657)),ISNUMBER(SEARCH("去",B1657)),ISNUMBER(SEARCH("入",B1657)))),"Ambiguous",IF(ISNUMBER(SEARCH("平",B1657)),"平","仄")))</x:f>
      </x:c>
      <x:c r="K1657" s="6" t="str">
        <x:f>IF(D1657="","",IF(AND(ISNUMBER(SEARCH("平",D1657)),OR(ISNUMBER(SEARCH("上",D1657)),ISNUMBER(SEARCH("去",D1657)),ISNUMBER(SEARCH("入",D1657)))),"Ambiguous",IF(ISNUMBER(SEARCH("平",D1657)),"平","仄")))</x:f>
        <x:v>Ambiguous</x:v>
      </x:c>
      <x:c r="L1657" s="7" t="str"/>
    </x:row>
    <x:row r="1658">
      <x:c r="A1658" s="5" t="str">
        <x:v>敝</x:v>
      </x:c>
      <x:c r="B1658" s="6" t="str">
        <x:v>去</x:v>
      </x:c>
      <x:c r="C1658" s="6" t="str">
        <x:f>IF(B1658="","Needs decision","Ready")</x:f>
        <x:v>Ready</x:v>
      </x:c>
      <x:c r="D1658" s="6" t="str">
        <x:v>去</x:v>
      </x:c>
      <x:c r="E1658" s="6" t="str">
        <x:v>bjiejH (C)</x:v>
      </x:c>
      <x:c r="F1658" s="6" t="str">
        <x:v>去聲八霽</x:v>
      </x:c>
      <x:c r="G1658" s="6" t="str">
        <x:v>Pingshui main list, Wikisource-derived DOCX</x:v>
      </x:c>
      <x:c r="H1658" s="6" t="str">
        <x:v>1</x:v>
      </x:c>
      <x:c r="I1658" s="6" t="str"/>
      <x:c r="J1658" s="6" t="str">
        <x:f>IF(B1658="","",IF(AND(ISNUMBER(SEARCH("平",B1658)),OR(ISNUMBER(SEARCH("上",B1658)),ISNUMBER(SEARCH("去",B1658)),ISNUMBER(SEARCH("入",B1658)))),"Ambiguous",IF(ISNUMBER(SEARCH("平",B1658)),"平","仄")))</x:f>
        <x:v>仄</x:v>
      </x:c>
      <x:c r="K1658" s="6" t="str">
        <x:f>IF(D1658="","",IF(AND(ISNUMBER(SEARCH("平",D1658)),OR(ISNUMBER(SEARCH("上",D1658)),ISNUMBER(SEARCH("去",D1658)),ISNUMBER(SEARCH("入",D1658)))),"Ambiguous",IF(ISNUMBER(SEARCH("平",D1658)),"平","仄")))</x:f>
        <x:v>仄</x:v>
      </x:c>
      <x:c r="L1658" s="7" t="str"/>
    </x:row>
    <x:row r="1659">
      <x:c r="A1659" s="5" t="str">
        <x:v>敞</x:v>
      </x:c>
      <x:c r="B1659" s="6" t="str">
        <x:v>上</x:v>
      </x:c>
      <x:c r="C1659" s="6" t="str">
        <x:f>IF(B1659="","Needs decision","Ready")</x:f>
        <x:v>Ready</x:v>
      </x:c>
      <x:c r="D1659" s="6" t="str">
        <x:v>上</x:v>
      </x:c>
      <x:c r="E1659" s="6" t="str">
        <x:v>tsyhangX (B)</x:v>
      </x:c>
      <x:c r="F1659" s="6" t="str">
        <x:v>上聲二十二養</x:v>
      </x:c>
      <x:c r="G1659" s="6" t="str">
        <x:v>Pingshui main list, Wikisource-derived DOCX</x:v>
      </x:c>
      <x:c r="H1659" s="6" t="str">
        <x:v>1</x:v>
      </x:c>
      <x:c r="I1659" s="6" t="str"/>
      <x:c r="J1659" s="6" t="str">
        <x:f>IF(B1659="","",IF(AND(ISNUMBER(SEARCH("平",B1659)),OR(ISNUMBER(SEARCH("上",B1659)),ISNUMBER(SEARCH("去",B1659)),ISNUMBER(SEARCH("入",B1659)))),"Ambiguous",IF(ISNUMBER(SEARCH("平",B1659)),"平","仄")))</x:f>
        <x:v>仄</x:v>
      </x:c>
      <x:c r="K1659" s="6" t="str">
        <x:f>IF(D1659="","",IF(AND(ISNUMBER(SEARCH("平",D1659)),OR(ISNUMBER(SEARCH("上",D1659)),ISNUMBER(SEARCH("去",D1659)),ISNUMBER(SEARCH("入",D1659)))),"Ambiguous",IF(ISNUMBER(SEARCH("平",D1659)),"平","仄")))</x:f>
        <x:v>仄</x:v>
      </x:c>
      <x:c r="L1659" s="7" t="str"/>
    </x:row>
    <x:row r="1660">
      <x:c r="A1660" s="5" t="str">
        <x:v>敢</x:v>
      </x:c>
      <x:c r="B1660" s="6" t="str">
        <x:v>上</x:v>
      </x:c>
      <x:c r="C1660" s="6" t="str">
        <x:f>IF(B1660="","Needs decision","Ready")</x:f>
        <x:v>Ready</x:v>
      </x:c>
      <x:c r="D1660" s="6" t="str">
        <x:v>上</x:v>
      </x:c>
      <x:c r="E1660" s="6" t="str">
        <x:v>kamX (B)</x:v>
      </x:c>
      <x:c r="F1660" s="6" t="str">
        <x:v>上聲二十七感</x:v>
      </x:c>
      <x:c r="G1660" s="6" t="str">
        <x:v>Pingshui main list, Wikisource-derived DOCX</x:v>
      </x:c>
      <x:c r="H1660" s="6" t="str">
        <x:v>1</x:v>
      </x:c>
      <x:c r="I1660" s="6" t="str"/>
      <x:c r="J1660" s="6" t="str">
        <x:f>IF(B1660="","",IF(AND(ISNUMBER(SEARCH("平",B1660)),OR(ISNUMBER(SEARCH("上",B1660)),ISNUMBER(SEARCH("去",B1660)),ISNUMBER(SEARCH("入",B1660)))),"Ambiguous",IF(ISNUMBER(SEARCH("平",B1660)),"平","仄")))</x:f>
        <x:v>仄</x:v>
      </x:c>
      <x:c r="K1660" s="6" t="str">
        <x:f>IF(D1660="","",IF(AND(ISNUMBER(SEARCH("平",D1660)),OR(ISNUMBER(SEARCH("上",D1660)),ISNUMBER(SEARCH("去",D1660)),ISNUMBER(SEARCH("入",D1660)))),"Ambiguous",IF(ISNUMBER(SEARCH("平",D1660)),"平","仄")))</x:f>
        <x:v>仄</x:v>
      </x:c>
      <x:c r="L1660" s="7" t="str"/>
    </x:row>
    <x:row r="1661">
      <x:c r="A1661" s="5" t="str">
        <x:v>散</x:v>
      </x:c>
      <x:c r="B1661" s="6" t="str">
        <x:v>去</x:v>
      </x:c>
      <x:c r="C1661" s="6" t="str">
        <x:f>IF(B1661="","Needs decision","Ready")</x:f>
        <x:v>Ready</x:v>
      </x:c>
      <x:c r="D1661" s="6" t="str">
        <x:v>上/去</x:v>
      </x:c>
      <x:c r="E1661" s="6" t="str">
        <x:v>sanX (B); sanH (C)</x:v>
      </x:c>
      <x:c r="F1661" s="6" t="str">
        <x:v>上聲十四旱; 去聲十五翰</x:v>
      </x:c>
      <x:c r="G1661" s="6" t="str">
        <x:v>Pingshui main list, Wikisource-derived DOCX</x:v>
      </x:c>
      <x:c r="H1661" s="6" t="str">
        <x:v>2</x:v>
      </x:c>
      <x:c r="I1661" s="6" t="str">
        <x:v>Manual user correction/addition</x:v>
      </x:c>
      <x:c r="J1661" s="6" t="str">
        <x:f>IF(B1661="","",IF(AND(ISNUMBER(SEARCH("平",B1661)),OR(ISNUMBER(SEARCH("上",B1661)),ISNUMBER(SEARCH("去",B1661)),ISNUMBER(SEARCH("入",B1661)))),"Ambiguous",IF(ISNUMBER(SEARCH("平",B1661)),"平","仄")))</x:f>
        <x:v>仄</x:v>
      </x:c>
      <x:c r="K1661" s="6" t="str">
        <x:f>IF(D1661="","",IF(AND(ISNUMBER(SEARCH("平",D1661)),OR(ISNUMBER(SEARCH("上",D1661)),ISNUMBER(SEARCH("去",D1661)),ISNUMBER(SEARCH("入",D1661)))),"Ambiguous",IF(ISNUMBER(SEARCH("平",D1661)),"平","仄")))</x:f>
        <x:v>仄</x:v>
      </x:c>
      <x:c r="L1661" s="7" t="str">
        <x:v>manual user correction</x:v>
      </x:c>
    </x:row>
    <x:row r="1662">
      <x:c r="A1662" s="5" t="str">
        <x:v>敦</x:v>
      </x:c>
      <x:c r="B1662" s="6" t="str">
        <x:v>平</x:v>
      </x:c>
      <x:c r="C1662" s="6" t="str">
        <x:f>IF(B1662="","Needs decision","Ready")</x:f>
        <x:v>Ready</x:v>
      </x:c>
      <x:c r="D1662" s="6" t="str">
        <x:v>平</x:v>
      </x:c>
      <x:c r="E1662" s="6" t="str">
        <x:v>twoj (A); twon (A)</x:v>
      </x:c>
      <x:c r="F1662" s="6" t="str">
        <x:v>上平聲十三元; 上平聲十四寒; 去聲十一隊; 去聲十四願</x:v>
      </x:c>
      <x:c r="G1662" s="6" t="str">
        <x:v>Pingshui main list, Wikisource-derived DOCX</x:v>
      </x:c>
      <x:c r="H1662" s="6" t="str">
        <x:v>2</x:v>
      </x:c>
      <x:c r="I1662" s="6" t="str"/>
      <x:c r="J1662" s="6" t="str">
        <x:f>IF(B1662="","",IF(AND(ISNUMBER(SEARCH("平",B1662)),OR(ISNUMBER(SEARCH("上",B1662)),ISNUMBER(SEARCH("去",B1662)),ISNUMBER(SEARCH("入",B1662)))),"Ambiguous",IF(ISNUMBER(SEARCH("平",B1662)),"平","仄")))</x:f>
        <x:v>平</x:v>
      </x:c>
      <x:c r="K1662" s="6" t="str">
        <x:f>IF(D1662="","",IF(AND(ISNUMBER(SEARCH("平",D1662)),OR(ISNUMBER(SEARCH("上",D1662)),ISNUMBER(SEARCH("去",D1662)),ISNUMBER(SEARCH("入",D1662)))),"Ambiguous",IF(ISNUMBER(SEARCH("平",D1662)),"平","仄")))</x:f>
        <x:v>平</x:v>
      </x:c>
      <x:c r="L1662" s="7" t="str"/>
    </x:row>
    <x:row r="1663">
      <x:c r="A1663" s="5" t="str">
        <x:v>敬</x:v>
      </x:c>
      <x:c r="B1663" s="6" t="str">
        <x:v>去</x:v>
      </x:c>
      <x:c r="C1663" s="6" t="str">
        <x:f>IF(B1663="","Needs decision","Ready")</x:f>
        <x:v>Ready</x:v>
      </x:c>
      <x:c r="D1663" s="6" t="str">
        <x:v>去</x:v>
      </x:c>
      <x:c r="E1663" s="6" t="str">
        <x:v>kjaengH (C)</x:v>
      </x:c>
      <x:c r="F1663" s="6" t="str">
        <x:v>去聲二十四敬</x:v>
      </x:c>
      <x:c r="G1663" s="6" t="str">
        <x:v>Pingshui main list, Wikisource-derived DOCX</x:v>
      </x:c>
      <x:c r="H1663" s="6" t="str">
        <x:v>1</x:v>
      </x:c>
      <x:c r="I1663" s="6" t="str"/>
      <x:c r="J1663" s="6" t="str">
        <x:f>IF(B1663="","",IF(AND(ISNUMBER(SEARCH("平",B1663)),OR(ISNUMBER(SEARCH("上",B1663)),ISNUMBER(SEARCH("去",B1663)),ISNUMBER(SEARCH("入",B1663)))),"Ambiguous",IF(ISNUMBER(SEARCH("平",B1663)),"平","仄")))</x:f>
        <x:v>仄</x:v>
      </x:c>
      <x:c r="K1663" s="6" t="str">
        <x:f>IF(D1663="","",IF(AND(ISNUMBER(SEARCH("平",D1663)),OR(ISNUMBER(SEARCH("上",D1663)),ISNUMBER(SEARCH("去",D1663)),ISNUMBER(SEARCH("入",D1663)))),"Ambiguous",IF(ISNUMBER(SEARCH("平",D1663)),"平","仄")))</x:f>
        <x:v>仄</x:v>
      </x:c>
      <x:c r="L1663" s="7" t="str"/>
    </x:row>
    <x:row r="1664">
      <x:c r="A1664" s="5" t="str">
        <x:v>敲</x:v>
      </x:c>
      <x:c r="B1664" s="6" t="str"/>
      <x:c r="C1664" s="6" t="str">
        <x:f>IF(B1664="","Needs decision","Ready")</x:f>
        <x:v>Needs decision</x:v>
      </x:c>
      <x:c r="D1664" s="6" t="str">
        <x:v>平/去</x:v>
      </x:c>
      <x:c r="E1664" s="6" t="str">
        <x:v>khaew [qʰaˤw] (平); khaewH [qʰaˤwh] (去)</x:v>
      </x:c>
      <x:c r="F1664" s="6" t="str">
        <x:v>下平聲三肴; 去聲十九效</x:v>
      </x:c>
      <x:c r="G1664" s="6" t="str">
        <x:v>Pingshui main list, Wikisource-derived DOCX</x:v>
      </x:c>
      <x:c r="H1664" s="6" t="str">
        <x:v>2</x:v>
      </x:c>
      <x:c r="I1664" s="6" t="str">
        <x:v>Tang 300 gap; frequency 2; ambiguous in Xun Gong</x:v>
      </x:c>
      <x:c r="J1664" s="6" t="str">
        <x:f>IF(B1664="","",IF(AND(ISNUMBER(SEARCH("平",B1664)),OR(ISNUMBER(SEARCH("上",B1664)),ISNUMBER(SEARCH("去",B1664)),ISNUMBER(SEARCH("入",B1664)))),"Ambiguous",IF(ISNUMBER(SEARCH("平",B1664)),"平","仄")))</x:f>
      </x:c>
      <x:c r="K1664" s="6" t="str">
        <x:f>IF(D1664="","",IF(AND(ISNUMBER(SEARCH("平",D1664)),OR(ISNUMBER(SEARCH("上",D1664)),ISNUMBER(SEARCH("去",D1664)),ISNUMBER(SEARCH("入",D1664)))),"Ambiguous",IF(ISNUMBER(SEARCH("平",D1664)),"平","仄")))</x:f>
        <x:v>Ambiguous</x:v>
      </x:c>
      <x:c r="L1664" s="7" t="str">
        <x:v>Xun Gong, Tang 300 gap fill</x:v>
      </x:c>
    </x:row>
    <x:row r="1665">
      <x:c r="A1665" s="5" t="str">
        <x:v>整</x:v>
      </x:c>
      <x:c r="B1665" s="6" t="str">
        <x:v>上</x:v>
      </x:c>
      <x:c r="C1665" s="6" t="str">
        <x:f>IF(B1665="","Needs decision","Ready")</x:f>
        <x:v>Ready</x:v>
      </x:c>
      <x:c r="D1665" s="6" t="str">
        <x:v>上</x:v>
      </x:c>
      <x:c r="E1665" s="6" t="str">
        <x:v>tsyengX (B)</x:v>
      </x:c>
      <x:c r="F1665" s="6" t="str">
        <x:v>上聲二十三梗</x:v>
      </x:c>
      <x:c r="G1665" s="6" t="str">
        <x:v>Pingshui main list, Wikisource-derived DOCX</x:v>
      </x:c>
      <x:c r="H1665" s="6" t="str">
        <x:v>1</x:v>
      </x:c>
      <x:c r="I1665" s="6" t="str"/>
      <x:c r="J1665" s="6" t="str">
        <x:f>IF(B1665="","",IF(AND(ISNUMBER(SEARCH("平",B1665)),OR(ISNUMBER(SEARCH("上",B1665)),ISNUMBER(SEARCH("去",B1665)),ISNUMBER(SEARCH("入",B1665)))),"Ambiguous",IF(ISNUMBER(SEARCH("平",B1665)),"平","仄")))</x:f>
        <x:v>仄</x:v>
      </x:c>
      <x:c r="K1665" s="6" t="str">
        <x:f>IF(D1665="","",IF(AND(ISNUMBER(SEARCH("平",D1665)),OR(ISNUMBER(SEARCH("上",D1665)),ISNUMBER(SEARCH("去",D1665)),ISNUMBER(SEARCH("入",D1665)))),"Ambiguous",IF(ISNUMBER(SEARCH("平",D1665)),"平","仄")))</x:f>
        <x:v>仄</x:v>
      </x:c>
      <x:c r="L1665" s="7" t="str"/>
    </x:row>
    <x:row r="1666">
      <x:c r="A1666" s="5" t="str">
        <x:v>敵</x:v>
      </x:c>
      <x:c r="B1666" s="6" t="str">
        <x:v>入</x:v>
      </x:c>
      <x:c r="C1666" s="6" t="str">
        <x:f>IF(B1666="","Needs decision","Ready")</x:f>
        <x:v>Ready</x:v>
      </x:c>
      <x:c r="D1666" s="6" t="str">
        <x:v>入</x:v>
      </x:c>
      <x:c r="E1666" s="6" t="str">
        <x:v>dek (D)</x:v>
      </x:c>
      <x:c r="F1666" s="6" t="str">
        <x:v>入聲十二錫</x:v>
      </x:c>
      <x:c r="G1666" s="6" t="str">
        <x:v>Pingshui main list, Wikisource-derived DOCX</x:v>
      </x:c>
      <x:c r="H1666" s="6" t="str">
        <x:v>1</x:v>
      </x:c>
      <x:c r="I1666" s="6" t="str"/>
      <x:c r="J1666" s="6" t="str">
        <x:f>IF(B1666="","",IF(AND(ISNUMBER(SEARCH("平",B1666)),OR(ISNUMBER(SEARCH("上",B1666)),ISNUMBER(SEARCH("去",B1666)),ISNUMBER(SEARCH("入",B1666)))),"Ambiguous",IF(ISNUMBER(SEARCH("平",B1666)),"平","仄")))</x:f>
        <x:v>仄</x:v>
      </x:c>
      <x:c r="K1666" s="6" t="str">
        <x:f>IF(D1666="","",IF(AND(ISNUMBER(SEARCH("平",D1666)),OR(ISNUMBER(SEARCH("上",D1666)),ISNUMBER(SEARCH("去",D1666)),ISNUMBER(SEARCH("入",D1666)))),"Ambiguous",IF(ISNUMBER(SEARCH("平",D1666)),"平","仄")))</x:f>
        <x:v>仄</x:v>
      </x:c>
      <x:c r="L1666" s="7" t="str"/>
    </x:row>
    <x:row r="1667">
      <x:c r="A1667" s="5" t="str">
        <x:v>敷</x:v>
      </x:c>
      <x:c r="B1667" s="6" t="str">
        <x:v>平</x:v>
      </x:c>
      <x:c r="C1667" s="6" t="str">
        <x:f>IF(B1667="","Needs decision","Ready")</x:f>
        <x:v>Ready</x:v>
      </x:c>
      <x:c r="D1667" s="6" t="str">
        <x:v>平</x:v>
      </x:c>
      <x:c r="E1667" s="6" t="str">
        <x:v>phju (A)</x:v>
      </x:c>
      <x:c r="F1667" s="6" t="str">
        <x:v>上平聲七虞</x:v>
      </x:c>
      <x:c r="G1667" s="6" t="str">
        <x:v>Pingshui main list, Wikisource-derived DOCX</x:v>
      </x:c>
      <x:c r="H1667" s="6" t="str">
        <x:v>1</x:v>
      </x:c>
      <x:c r="I1667" s="6" t="str"/>
      <x:c r="J1667" s="6" t="str">
        <x:f>IF(B1667="","",IF(AND(ISNUMBER(SEARCH("平",B1667)),OR(ISNUMBER(SEARCH("上",B1667)),ISNUMBER(SEARCH("去",B1667)),ISNUMBER(SEARCH("入",B1667)))),"Ambiguous",IF(ISNUMBER(SEARCH("平",B1667)),"平","仄")))</x:f>
        <x:v>平</x:v>
      </x:c>
      <x:c r="K1667" s="6" t="str">
        <x:f>IF(D1667="","",IF(AND(ISNUMBER(SEARCH("平",D1667)),OR(ISNUMBER(SEARCH("上",D1667)),ISNUMBER(SEARCH("去",D1667)),ISNUMBER(SEARCH("入",D1667)))),"Ambiguous",IF(ISNUMBER(SEARCH("平",D1667)),"平","仄")))</x:f>
        <x:v>平</x:v>
      </x:c>
      <x:c r="L1667" s="7" t="str"/>
    </x:row>
    <x:row r="1668">
      <x:c r="A1668" s="5" t="str">
        <x:v>數</x:v>
      </x:c>
      <x:c r="B1668" s="6" t="str"/>
      <x:c r="C1668" s="6" t="str">
        <x:f>IF(B1668="","Needs decision","Ready")</x:f>
        <x:v>Needs decision</x:v>
      </x:c>
      <x:c r="D1668" s="6" t="str">
        <x:v>上/去/入</x:v>
      </x:c>
      <x:c r="E1668" s="6" t="str">
        <x:v>srjuX (B); srjuH (C); sraewk (D)</x:v>
      </x:c>
      <x:c r="F1668" s="6" t="str">
        <x:v>上聲七麌; 去聲七遇; 入聲三覺</x:v>
      </x:c>
      <x:c r="G1668" s="6" t="str">
        <x:v>Pingshui main list, Wikisource-derived DOCX</x:v>
      </x:c>
      <x:c r="H1668" s="6" t="str">
        <x:v>3</x:v>
      </x:c>
      <x:c r="I1668" s="6" t="str"/>
      <x:c r="J1668" s="6" t="str">
        <x:f>IF(B1668="","",IF(AND(ISNUMBER(SEARCH("平",B1668)),OR(ISNUMBER(SEARCH("上",B1668)),ISNUMBER(SEARCH("去",B1668)),ISNUMBER(SEARCH("入",B1668)))),"Ambiguous",IF(ISNUMBER(SEARCH("平",B1668)),"平","仄")))</x:f>
      </x:c>
      <x:c r="K1668" s="6" t="str">
        <x:f>IF(D1668="","",IF(AND(ISNUMBER(SEARCH("平",D1668)),OR(ISNUMBER(SEARCH("上",D1668)),ISNUMBER(SEARCH("去",D1668)),ISNUMBER(SEARCH("入",D1668)))),"Ambiguous",IF(ISNUMBER(SEARCH("平",D1668)),"平","仄")))</x:f>
        <x:v>仄</x:v>
      </x:c>
      <x:c r="L1668" s="7" t="str"/>
    </x:row>
    <x:row r="1669">
      <x:c r="A1669" s="5" t="str">
        <x:v>敻</x:v>
      </x:c>
      <x:c r="B1669" s="6" t="str">
        <x:v>去</x:v>
      </x:c>
      <x:c r="C1669" s="6" t="str">
        <x:f>IF(B1669="","Needs decision","Ready")</x:f>
        <x:v>Ready</x:v>
      </x:c>
      <x:c r="D1669" s="6" t="str">
        <x:v>去</x:v>
      </x:c>
      <x:c r="E1669" s="6" t="str"/>
      <x:c r="F1669" s="6" t="str">
        <x:v>去聲二十四敬</x:v>
      </x:c>
      <x:c r="G1669" s="6" t="str">
        <x:v>Pingshui main list, Wikisource-derived DOCX</x:v>
      </x:c>
      <x:c r="H1669" s="6" t="str"/>
      <x:c r="I1669" s="6" t="str">
        <x:v>Manual user correction/addition</x:v>
      </x:c>
      <x:c r="J1669" s="6" t="str">
        <x:f>IF(B1669="","",IF(AND(ISNUMBER(SEARCH("平",B1669)),OR(ISNUMBER(SEARCH("上",B1669)),ISNUMBER(SEARCH("去",B1669)),ISNUMBER(SEARCH("入",B1669)))),"Ambiguous",IF(ISNUMBER(SEARCH("平",B1669)),"平","仄")))</x:f>
        <x:v>仄</x:v>
      </x:c>
      <x:c r="K1669" s="6" t="str">
        <x:f>IF(D1669="","",IF(AND(ISNUMBER(SEARCH("平",D1669)),OR(ISNUMBER(SEARCH("上",D1669)),ISNUMBER(SEARCH("去",D1669)),ISNUMBER(SEARCH("入",D1669)))),"Ambiguous",IF(ISNUMBER(SEARCH("平",D1669)),"平","仄")))</x:f>
        <x:v>仄</x:v>
      </x:c>
      <x:c r="L1669" s="7" t="str">
        <x:v>manual user correction</x:v>
      </x:c>
    </x:row>
    <x:row r="1670">
      <x:c r="A1670" s="5" t="str">
        <x:v>斂</x:v>
      </x:c>
      <x:c r="B1670" s="6" t="str">
        <x:v>上</x:v>
      </x:c>
      <x:c r="C1670" s="6" t="str">
        <x:f>IF(B1670="","Needs decision","Ready")</x:f>
        <x:v>Ready</x:v>
      </x:c>
      <x:c r="D1670" s="6" t="str">
        <x:v>上/去</x:v>
      </x:c>
      <x:c r="E1670" s="6" t="str">
        <x:v>ljemX (B); ljemH (C)</x:v>
      </x:c>
      <x:c r="F1670" s="6" t="str">
        <x:v>上聲二十八琰</x:v>
      </x:c>
      <x:c r="G1670" s="6" t="str">
        <x:v>Pingshui main list, Wikisource-derived DOCX</x:v>
      </x:c>
      <x:c r="H1670" s="6" t="str">
        <x:v>2</x:v>
      </x:c>
      <x:c r="I1670" s="6" t="str">
        <x:v>User correction 2026-09-08</x:v>
      </x:c>
      <x:c r="J1670" s="6" t="str">
        <x:f>IF(B1670="","",IF(AND(ISNUMBER(SEARCH("平",B1670)),OR(ISNUMBER(SEARCH("上",B1670)),ISNUMBER(SEARCH("去",B1670)),ISNUMBER(SEARCH("入",B1670)))),"Ambiguous",IF(ISNUMBER(SEARCH("平",B1670)),"平","仄")))</x:f>
        <x:v>仄</x:v>
      </x:c>
      <x:c r="K1670" s="6" t="str">
        <x:f>IF(D1670="","",IF(AND(ISNUMBER(SEARCH("平",D1670)),OR(ISNUMBER(SEARCH("上",D1670)),ISNUMBER(SEARCH("去",D1670)),ISNUMBER(SEARCH("入",D1670)))),"Ambiguous",IF(ISNUMBER(SEARCH("平",D1670)),"平","仄")))</x:f>
        <x:v>仄</x:v>
      </x:c>
      <x:c r="L1670" s="7" t="str"/>
    </x:row>
    <x:row r="1671">
      <x:c r="A1671" s="5" t="str">
        <x:v>斃</x:v>
      </x:c>
      <x:c r="B1671" s="6" t="str">
        <x:v>去</x:v>
      </x:c>
      <x:c r="C1671" s="6" t="str">
        <x:f>IF(B1671="","Needs decision","Ready")</x:f>
        <x:v>Ready</x:v>
      </x:c>
      <x:c r="D1671" s="6" t="str">
        <x:v>去</x:v>
      </x:c>
      <x:c r="E1671" s="6" t="str">
        <x:v>bjiejH (C)</x:v>
      </x:c>
      <x:c r="F1671" s="6" t="str">
        <x:v>去聲八霽</x:v>
      </x:c>
      <x:c r="G1671" s="6" t="str">
        <x:v>Pingshui main list, Wikisource-derived DOCX</x:v>
      </x:c>
      <x:c r="H1671" s="6" t="str">
        <x:v>1</x:v>
      </x:c>
      <x:c r="I1671" s="6" t="str"/>
      <x:c r="J1671" s="6" t="str">
        <x:f>IF(B1671="","",IF(AND(ISNUMBER(SEARCH("平",B1671)),OR(ISNUMBER(SEARCH("上",B1671)),ISNUMBER(SEARCH("去",B1671)),ISNUMBER(SEARCH("入",B1671)))),"Ambiguous",IF(ISNUMBER(SEARCH("平",B1671)),"平","仄")))</x:f>
        <x:v>仄</x:v>
      </x:c>
      <x:c r="K1671" s="6" t="str">
        <x:f>IF(D1671="","",IF(AND(ISNUMBER(SEARCH("平",D1671)),OR(ISNUMBER(SEARCH("上",D1671)),ISNUMBER(SEARCH("去",D1671)),ISNUMBER(SEARCH("入",D1671)))),"Ambiguous",IF(ISNUMBER(SEARCH("平",D1671)),"平","仄")))</x:f>
        <x:v>仄</x:v>
      </x:c>
      <x:c r="L1671" s="7" t="str"/>
    </x:row>
    <x:row r="1672">
      <x:c r="A1672" s="5" t="str">
        <x:v>斆</x:v>
      </x:c>
      <x:c r="B1672" s="6" t="str">
        <x:v>去</x:v>
      </x:c>
      <x:c r="C1672" s="6" t="str">
        <x:f>IF(B1672="","Needs decision","Ready")</x:f>
        <x:v>Ready</x:v>
      </x:c>
      <x:c r="D1672" s="6" t="str">
        <x:v>去</x:v>
      </x:c>
      <x:c r="E1672" s="6" t="str">
        <x:v>haewH (C)</x:v>
      </x:c>
      <x:c r="F1672" s="6" t="str"/>
      <x:c r="G1672" s="6" t="str"/>
      <x:c r="H1672" s="6" t="str">
        <x:v>1</x:v>
      </x:c>
      <x:c r="I1672" s="6" t="str"/>
      <x:c r="J1672" s="6" t="str">
        <x:f>IF(B1672="","",IF(AND(ISNUMBER(SEARCH("平",B1672)),OR(ISNUMBER(SEARCH("上",B1672)),ISNUMBER(SEARCH("去",B1672)),ISNUMBER(SEARCH("入",B1672)))),"Ambiguous",IF(ISNUMBER(SEARCH("平",B1672)),"平","仄")))</x:f>
        <x:v>仄</x:v>
      </x:c>
      <x:c r="K1672" s="6" t="str">
        <x:f>IF(D1672="","",IF(AND(ISNUMBER(SEARCH("平",D1672)),OR(ISNUMBER(SEARCH("上",D1672)),ISNUMBER(SEARCH("去",D1672)),ISNUMBER(SEARCH("入",D1672)))),"Ambiguous",IF(ISNUMBER(SEARCH("平",D1672)),"平","仄")))</x:f>
        <x:v>仄</x:v>
      </x:c>
      <x:c r="L1672" s="7" t="str"/>
    </x:row>
    <x:row r="1673">
      <x:c r="A1673" s="5" t="str">
        <x:v>文</x:v>
      </x:c>
      <x:c r="B1673" s="6" t="str">
        <x:v>平</x:v>
      </x:c>
      <x:c r="C1673" s="6" t="str">
        <x:f>IF(B1673="","Needs decision","Ready")</x:f>
        <x:v>Ready</x:v>
      </x:c>
      <x:c r="D1673" s="6" t="str">
        <x:v>平</x:v>
      </x:c>
      <x:c r="E1673" s="6" t="str">
        <x:v>mjun (A)</x:v>
      </x:c>
      <x:c r="F1673" s="6" t="str">
        <x:v>上平聲十二文</x:v>
      </x:c>
      <x:c r="G1673" s="6" t="str">
        <x:v>Pingshui main list, Wikisource-derived DOCX</x:v>
      </x:c>
      <x:c r="H1673" s="6" t="str">
        <x:v>1</x:v>
      </x:c>
      <x:c r="I1673" s="6" t="str"/>
      <x:c r="J1673" s="6" t="str">
        <x:f>IF(B1673="","",IF(AND(ISNUMBER(SEARCH("平",B1673)),OR(ISNUMBER(SEARCH("上",B1673)),ISNUMBER(SEARCH("去",B1673)),ISNUMBER(SEARCH("入",B1673)))),"Ambiguous",IF(ISNUMBER(SEARCH("平",B1673)),"平","仄")))</x:f>
        <x:v>平</x:v>
      </x:c>
      <x:c r="K1673" s="6" t="str">
        <x:f>IF(D1673="","",IF(AND(ISNUMBER(SEARCH("平",D1673)),OR(ISNUMBER(SEARCH("上",D1673)),ISNUMBER(SEARCH("去",D1673)),ISNUMBER(SEARCH("入",D1673)))),"Ambiguous",IF(ISNUMBER(SEARCH("平",D1673)),"平","仄")))</x:f>
        <x:v>平</x:v>
      </x:c>
      <x:c r="L1673" s="7" t="str"/>
    </x:row>
    <x:row r="1674">
      <x:c r="A1674" s="5" t="str">
        <x:v>斑</x:v>
      </x:c>
      <x:c r="B1674" s="6" t="str">
        <x:v>平</x:v>
      </x:c>
      <x:c r="C1674" s="6" t="str">
        <x:f>IF(B1674="","Needs decision","Ready")</x:f>
        <x:v>Ready</x:v>
      </x:c>
      <x:c r="D1674" s="6" t="str">
        <x:v>平</x:v>
      </x:c>
      <x:c r="E1674" s="6" t="str">
        <x:v>paen (A)</x:v>
      </x:c>
      <x:c r="F1674" s="6" t="str">
        <x:v>上平聲十五刪</x:v>
      </x:c>
      <x:c r="G1674" s="6" t="str">
        <x:v>Pingshui main list, Wikisource-derived DOCX</x:v>
      </x:c>
      <x:c r="H1674" s="6" t="str">
        <x:v>1</x:v>
      </x:c>
      <x:c r="I1674" s="6" t="str"/>
      <x:c r="J1674" s="6" t="str">
        <x:f>IF(B1674="","",IF(AND(ISNUMBER(SEARCH("平",B1674)),OR(ISNUMBER(SEARCH("上",B1674)),ISNUMBER(SEARCH("去",B1674)),ISNUMBER(SEARCH("入",B1674)))),"Ambiguous",IF(ISNUMBER(SEARCH("平",B1674)),"平","仄")))</x:f>
        <x:v>平</x:v>
      </x:c>
      <x:c r="K1674" s="6" t="str">
        <x:f>IF(D1674="","",IF(AND(ISNUMBER(SEARCH("平",D1674)),OR(ISNUMBER(SEARCH("上",D1674)),ISNUMBER(SEARCH("去",D1674)),ISNUMBER(SEARCH("入",D1674)))),"Ambiguous",IF(ISNUMBER(SEARCH("平",D1674)),"平","仄")))</x:f>
        <x:v>平</x:v>
      </x:c>
      <x:c r="L1674" s="7" t="str"/>
    </x:row>
    <x:row r="1675">
      <x:c r="A1675" s="5" t="str">
        <x:v>斗</x:v>
      </x:c>
      <x:c r="B1675" s="6" t="str">
        <x:v>上</x:v>
      </x:c>
      <x:c r="C1675" s="6" t="str">
        <x:f>IF(B1675="","Needs decision","Ready")</x:f>
        <x:v>Ready</x:v>
      </x:c>
      <x:c r="D1675" s="6" t="str">
        <x:v>上</x:v>
      </x:c>
      <x:c r="E1675" s="6" t="str">
        <x:v>tuwX (B); tsyuX (B)</x:v>
      </x:c>
      <x:c r="F1675" s="6" t="str"/>
      <x:c r="G1675" s="6" t="str"/>
      <x:c r="H1675" s="6" t="str">
        <x:v>2</x:v>
      </x:c>
      <x:c r="I1675" s="6" t="str"/>
      <x:c r="J1675" s="6" t="str">
        <x:f>IF(B1675="","",IF(AND(ISNUMBER(SEARCH("平",B1675)),OR(ISNUMBER(SEARCH("上",B1675)),ISNUMBER(SEARCH("去",B1675)),ISNUMBER(SEARCH("入",B1675)))),"Ambiguous",IF(ISNUMBER(SEARCH("平",B1675)),"平","仄")))</x:f>
        <x:v>仄</x:v>
      </x:c>
      <x:c r="K1675" s="6" t="str">
        <x:f>IF(D1675="","",IF(AND(ISNUMBER(SEARCH("平",D1675)),OR(ISNUMBER(SEARCH("上",D1675)),ISNUMBER(SEARCH("去",D1675)),ISNUMBER(SEARCH("入",D1675)))),"Ambiguous",IF(ISNUMBER(SEARCH("平",D1675)),"平","仄")))</x:f>
        <x:v>仄</x:v>
      </x:c>
      <x:c r="L1675" s="7" t="str"/>
    </x:row>
    <x:row r="1676">
      <x:c r="A1676" s="5" t="str">
        <x:v>料</x:v>
      </x:c>
      <x:c r="B1676" s="6" t="str">
        <x:v>去</x:v>
      </x:c>
      <x:c r="C1676" s="6" t="str">
        <x:f>IF(B1676="","Needs decision","Ready")</x:f>
        <x:v>Ready</x:v>
      </x:c>
      <x:c r="D1676" s="6" t="str">
        <x:v>去</x:v>
      </x:c>
      <x:c r="E1676" s="6" t="str">
        <x:v>lewH (C)</x:v>
      </x:c>
      <x:c r="F1676" s="6" t="str">
        <x:v>下平聲二蕭; 去聲十八嘯</x:v>
      </x:c>
      <x:c r="G1676" s="6" t="str">
        <x:v>Pingshui main list, Wikisource-derived DOCX</x:v>
      </x:c>
      <x:c r="H1676" s="6" t="str">
        <x:v>1</x:v>
      </x:c>
      <x:c r="I1676" s="6" t="str"/>
      <x:c r="J1676" s="6" t="str">
        <x:f>IF(B1676="","",IF(AND(ISNUMBER(SEARCH("平",B1676)),OR(ISNUMBER(SEARCH("上",B1676)),ISNUMBER(SEARCH("去",B1676)),ISNUMBER(SEARCH("入",B1676)))),"Ambiguous",IF(ISNUMBER(SEARCH("平",B1676)),"平","仄")))</x:f>
        <x:v>仄</x:v>
      </x:c>
      <x:c r="K1676" s="6" t="str">
        <x:f>IF(D1676="","",IF(AND(ISNUMBER(SEARCH("平",D1676)),OR(ISNUMBER(SEARCH("上",D1676)),ISNUMBER(SEARCH("去",D1676)),ISNUMBER(SEARCH("入",D1676)))),"Ambiguous",IF(ISNUMBER(SEARCH("平",D1676)),"平","仄")))</x:f>
        <x:v>仄</x:v>
      </x:c>
      <x:c r="L1676" s="7" t="str"/>
    </x:row>
    <x:row r="1677">
      <x:c r="A1677" s="5" t="str">
        <x:v>斜</x:v>
      </x:c>
      <x:c r="B1677" s="6" t="str">
        <x:v>平</x:v>
      </x:c>
      <x:c r="C1677" s="6" t="str">
        <x:f>IF(B1677="","Needs decision","Ready")</x:f>
        <x:v>Ready</x:v>
      </x:c>
      <x:c r="D1677" s="6" t="str">
        <x:v>平</x:v>
      </x:c>
      <x:c r="E1677" s="6" t="str"/>
      <x:c r="F1677" s="6" t="str">
        <x:v>下平聲六麻</x:v>
      </x:c>
      <x:c r="G1677" s="6" t="str">
        <x:v>Pingshui main list, Wikisource-derived DOCX</x:v>
      </x:c>
      <x:c r="H1677" s="6" t="str"/>
      <x:c r="I1677" s="6" t="str">
        <x:v>Manual user correction/addition</x:v>
      </x:c>
      <x:c r="J1677" s="6" t="str">
        <x:f>IF(B1677="","",IF(AND(ISNUMBER(SEARCH("平",B1677)),OR(ISNUMBER(SEARCH("上",B1677)),ISNUMBER(SEARCH("去",B1677)),ISNUMBER(SEARCH("入",B1677)))),"Ambiguous",IF(ISNUMBER(SEARCH("平",B1677)),"平","仄")))</x:f>
        <x:v>平</x:v>
      </x:c>
      <x:c r="K1677" s="6" t="str">
        <x:f>IF(D1677="","",IF(AND(ISNUMBER(SEARCH("平",D1677)),OR(ISNUMBER(SEARCH("上",D1677)),ISNUMBER(SEARCH("去",D1677)),ISNUMBER(SEARCH("入",D1677)))),"Ambiguous",IF(ISNUMBER(SEARCH("平",D1677)),"平","仄")))</x:f>
        <x:v>平</x:v>
      </x:c>
      <x:c r="L1677" s="7" t="str">
        <x:v>manual user correction</x:v>
      </x:c>
    </x:row>
    <x:row r="1678">
      <x:c r="A1678" s="5" t="str">
        <x:v>斝</x:v>
      </x:c>
      <x:c r="B1678" s="6" t="str">
        <x:v>上</x:v>
      </x:c>
      <x:c r="C1678" s="6" t="str">
        <x:f>IF(B1678="","Needs decision","Ready")</x:f>
        <x:v>Ready</x:v>
      </x:c>
      <x:c r="D1678" s="6" t="str">
        <x:v>上</x:v>
      </x:c>
      <x:c r="E1678" s="6" t="str">
        <x:v>kaeX (B)</x:v>
      </x:c>
      <x:c r="F1678" s="6" t="str">
        <x:v>上聲二十一馬</x:v>
      </x:c>
      <x:c r="G1678" s="6" t="str">
        <x:v>Pingshui main list, Wikisource-derived DOCX</x:v>
      </x:c>
      <x:c r="H1678" s="6" t="str">
        <x:v>1</x:v>
      </x:c>
      <x:c r="I1678" s="6" t="str"/>
      <x:c r="J1678" s="6" t="str">
        <x:f>IF(B1678="","",IF(AND(ISNUMBER(SEARCH("平",B1678)),OR(ISNUMBER(SEARCH("上",B1678)),ISNUMBER(SEARCH("去",B1678)),ISNUMBER(SEARCH("入",B1678)))),"Ambiguous",IF(ISNUMBER(SEARCH("平",B1678)),"平","仄")))</x:f>
        <x:v>仄</x:v>
      </x:c>
      <x:c r="K1678" s="6" t="str">
        <x:f>IF(D1678="","",IF(AND(ISNUMBER(SEARCH("平",D1678)),OR(ISNUMBER(SEARCH("上",D1678)),ISNUMBER(SEARCH("去",D1678)),ISNUMBER(SEARCH("入",D1678)))),"Ambiguous",IF(ISNUMBER(SEARCH("平",D1678)),"平","仄")))</x:f>
        <x:v>仄</x:v>
      </x:c>
      <x:c r="L1678" s="7" t="str"/>
    </x:row>
    <x:row r="1679">
      <x:c r="A1679" s="5" t="str">
        <x:v>斟</x:v>
      </x:c>
      <x:c r="B1679" s="6" t="str">
        <x:v>平</x:v>
      </x:c>
      <x:c r="C1679" s="6" t="str">
        <x:f>IF(B1679="","Needs decision","Ready")</x:f>
        <x:v>Ready</x:v>
      </x:c>
      <x:c r="D1679" s="6" t="str">
        <x:v>平</x:v>
      </x:c>
      <x:c r="E1679" s="6" t="str">
        <x:v>tsyim (A)</x:v>
      </x:c>
      <x:c r="F1679" s="6" t="str">
        <x:v>下平聲十二侵</x:v>
      </x:c>
      <x:c r="G1679" s="6" t="str">
        <x:v>Pingshui main list, Wikisource-derived DOCX</x:v>
      </x:c>
      <x:c r="H1679" s="6" t="str">
        <x:v>1</x:v>
      </x:c>
      <x:c r="I1679" s="6" t="str"/>
      <x:c r="J1679" s="6" t="str">
        <x:f>IF(B1679="","",IF(AND(ISNUMBER(SEARCH("平",B1679)),OR(ISNUMBER(SEARCH("上",B1679)),ISNUMBER(SEARCH("去",B1679)),ISNUMBER(SEARCH("入",B1679)))),"Ambiguous",IF(ISNUMBER(SEARCH("平",B1679)),"平","仄")))</x:f>
        <x:v>平</x:v>
      </x:c>
      <x:c r="K1679" s="6" t="str">
        <x:f>IF(D1679="","",IF(AND(ISNUMBER(SEARCH("平",D1679)),OR(ISNUMBER(SEARCH("上",D1679)),ISNUMBER(SEARCH("去",D1679)),ISNUMBER(SEARCH("入",D1679)))),"Ambiguous",IF(ISNUMBER(SEARCH("平",D1679)),"平","仄")))</x:f>
        <x:v>平</x:v>
      </x:c>
      <x:c r="L1679" s="7" t="str"/>
    </x:row>
    <x:row r="1680">
      <x:c r="A1680" s="5" t="str">
        <x:v>斤</x:v>
      </x:c>
      <x:c r="B1680" s="6" t="str">
        <x:v>平</x:v>
      </x:c>
      <x:c r="C1680" s="6" t="str">
        <x:f>IF(B1680="","Needs decision","Ready")</x:f>
        <x:v>Ready</x:v>
      </x:c>
      <x:c r="D1680" s="6" t="str">
        <x:v>平</x:v>
      </x:c>
      <x:c r="E1680" s="6" t="str">
        <x:v>kj+n (A)</x:v>
      </x:c>
      <x:c r="F1680" s="6" t="str">
        <x:v>上平聲十二文; 去聲十三問</x:v>
      </x:c>
      <x:c r="G1680" s="6" t="str">
        <x:v>Pingshui main list, Wikisource-derived DOCX</x:v>
      </x:c>
      <x:c r="H1680" s="6" t="str">
        <x:v>1</x:v>
      </x:c>
      <x:c r="I1680" s="6" t="str"/>
      <x:c r="J1680" s="6" t="str">
        <x:f>IF(B1680="","",IF(AND(ISNUMBER(SEARCH("平",B1680)),OR(ISNUMBER(SEARCH("上",B1680)),ISNUMBER(SEARCH("去",B1680)),ISNUMBER(SEARCH("入",B1680)))),"Ambiguous",IF(ISNUMBER(SEARCH("平",B1680)),"平","仄")))</x:f>
        <x:v>平</x:v>
      </x:c>
      <x:c r="K1680" s="6" t="str">
        <x:f>IF(D1680="","",IF(AND(ISNUMBER(SEARCH("平",D1680)),OR(ISNUMBER(SEARCH("上",D1680)),ISNUMBER(SEARCH("去",D1680)),ISNUMBER(SEARCH("入",D1680)))),"Ambiguous",IF(ISNUMBER(SEARCH("平",D1680)),"平","仄")))</x:f>
        <x:v>平</x:v>
      </x:c>
      <x:c r="L1680" s="7" t="str"/>
    </x:row>
    <x:row r="1681">
      <x:c r="A1681" s="5" t="str">
        <x:v>斥</x:v>
      </x:c>
      <x:c r="B1681" s="6" t="str">
        <x:v>入</x:v>
      </x:c>
      <x:c r="C1681" s="6" t="str">
        <x:f>IF(B1681="","Needs decision","Ready")</x:f>
        <x:v>Ready</x:v>
      </x:c>
      <x:c r="D1681" s="6" t="str">
        <x:v>入</x:v>
      </x:c>
      <x:c r="E1681" s="6" t="str">
        <x:v>tsyhek (D)</x:v>
      </x:c>
      <x:c r="F1681" s="6" t="str">
        <x:v>入聲十一陌</x:v>
      </x:c>
      <x:c r="G1681" s="6" t="str">
        <x:v>Pingshui main list, Wikisource-derived DOCX</x:v>
      </x:c>
      <x:c r="H1681" s="6" t="str">
        <x:v>1</x:v>
      </x:c>
      <x:c r="I1681" s="6" t="str"/>
      <x:c r="J1681" s="6" t="str">
        <x:f>IF(B1681="","",IF(AND(ISNUMBER(SEARCH("平",B1681)),OR(ISNUMBER(SEARCH("上",B1681)),ISNUMBER(SEARCH("去",B1681)),ISNUMBER(SEARCH("入",B1681)))),"Ambiguous",IF(ISNUMBER(SEARCH("平",B1681)),"平","仄")))</x:f>
        <x:v>仄</x:v>
      </x:c>
      <x:c r="K1681" s="6" t="str">
        <x:f>IF(D1681="","",IF(AND(ISNUMBER(SEARCH("平",D1681)),OR(ISNUMBER(SEARCH("上",D1681)),ISNUMBER(SEARCH("去",D1681)),ISNUMBER(SEARCH("入",D1681)))),"Ambiguous",IF(ISNUMBER(SEARCH("平",D1681)),"平","仄")))</x:f>
        <x:v>仄</x:v>
      </x:c>
      <x:c r="L1681" s="7" t="str"/>
    </x:row>
    <x:row r="1682">
      <x:c r="A1682" s="5" t="str">
        <x:v>斧</x:v>
      </x:c>
      <x:c r="B1682" s="6" t="str">
        <x:v>上</x:v>
      </x:c>
      <x:c r="C1682" s="6" t="str">
        <x:f>IF(B1682="","Needs decision","Ready")</x:f>
        <x:v>Ready</x:v>
      </x:c>
      <x:c r="D1682" s="6" t="str">
        <x:v>上</x:v>
      </x:c>
      <x:c r="E1682" s="6" t="str">
        <x:v>pjuX (B)</x:v>
      </x:c>
      <x:c r="F1682" s="6" t="str">
        <x:v>上聲七麌</x:v>
      </x:c>
      <x:c r="G1682" s="6" t="str">
        <x:v>Pingshui main list, Wikisource-derived DOCX</x:v>
      </x:c>
      <x:c r="H1682" s="6" t="str">
        <x:v>1</x:v>
      </x:c>
      <x:c r="I1682" s="6" t="str"/>
      <x:c r="J1682" s="6" t="str">
        <x:f>IF(B1682="","",IF(AND(ISNUMBER(SEARCH("平",B1682)),OR(ISNUMBER(SEARCH("上",B1682)),ISNUMBER(SEARCH("去",B1682)),ISNUMBER(SEARCH("入",B1682)))),"Ambiguous",IF(ISNUMBER(SEARCH("平",B1682)),"平","仄")))</x:f>
        <x:v>仄</x:v>
      </x:c>
      <x:c r="K1682" s="6" t="str">
        <x:f>IF(D1682="","",IF(AND(ISNUMBER(SEARCH("平",D1682)),OR(ISNUMBER(SEARCH("上",D1682)),ISNUMBER(SEARCH("去",D1682)),ISNUMBER(SEARCH("入",D1682)))),"Ambiguous",IF(ISNUMBER(SEARCH("平",D1682)),"平","仄")))</x:f>
        <x:v>仄</x:v>
      </x:c>
      <x:c r="L1682" s="7" t="str"/>
    </x:row>
    <x:row r="1683">
      <x:c r="A1683" s="5" t="str">
        <x:v>斫</x:v>
      </x:c>
      <x:c r="B1683" s="6" t="str">
        <x:v>入</x:v>
      </x:c>
      <x:c r="C1683" s="6" t="str">
        <x:f>IF(B1683="","Needs decision","Ready")</x:f>
        <x:v>Ready</x:v>
      </x:c>
      <x:c r="D1683" s="6" t="str">
        <x:v>入</x:v>
      </x:c>
      <x:c r="E1683" s="6" t="str">
        <x:v>tsyak (D)</x:v>
      </x:c>
      <x:c r="F1683" s="6" t="str">
        <x:v>入聲十藥</x:v>
      </x:c>
      <x:c r="G1683" s="6" t="str">
        <x:v>Pingshui main list, Wikisource-derived DOCX</x:v>
      </x:c>
      <x:c r="H1683" s="6" t="str">
        <x:v>1</x:v>
      </x:c>
      <x:c r="I1683" s="6" t="str"/>
      <x:c r="J1683" s="6" t="str">
        <x:f>IF(B1683="","",IF(AND(ISNUMBER(SEARCH("平",B1683)),OR(ISNUMBER(SEARCH("上",B1683)),ISNUMBER(SEARCH("去",B1683)),ISNUMBER(SEARCH("入",B1683)))),"Ambiguous",IF(ISNUMBER(SEARCH("平",B1683)),"平","仄")))</x:f>
        <x:v>仄</x:v>
      </x:c>
      <x:c r="K1683" s="6" t="str">
        <x:f>IF(D1683="","",IF(AND(ISNUMBER(SEARCH("平",D1683)),OR(ISNUMBER(SEARCH("上",D1683)),ISNUMBER(SEARCH("去",D1683)),ISNUMBER(SEARCH("入",D1683)))),"Ambiguous",IF(ISNUMBER(SEARCH("平",D1683)),"平","仄")))</x:f>
        <x:v>仄</x:v>
      </x:c>
      <x:c r="L1683" s="7" t="str"/>
    </x:row>
    <x:row r="1684">
      <x:c r="A1684" s="5" t="str">
        <x:v>斬</x:v>
      </x:c>
      <x:c r="B1684" s="6" t="str">
        <x:v>上</x:v>
      </x:c>
      <x:c r="C1684" s="6" t="str">
        <x:f>IF(B1684="","Needs decision","Ready")</x:f>
        <x:v>Ready</x:v>
      </x:c>
      <x:c r="D1684" s="6" t="str">
        <x:v>上</x:v>
      </x:c>
      <x:c r="E1684" s="6" t="str">
        <x:v>tsreamX (B)</x:v>
      </x:c>
      <x:c r="F1684" s="6" t="str">
        <x:v>上聲二十九豏</x:v>
      </x:c>
      <x:c r="G1684" s="6" t="str">
        <x:v>Pingshui main list, Wikisource-derived DOCX</x:v>
      </x:c>
      <x:c r="H1684" s="6" t="str">
        <x:v>1</x:v>
      </x:c>
      <x:c r="I1684" s="6" t="str"/>
      <x:c r="J1684" s="6" t="str">
        <x:f>IF(B1684="","",IF(AND(ISNUMBER(SEARCH("平",B1684)),OR(ISNUMBER(SEARCH("上",B1684)),ISNUMBER(SEARCH("去",B1684)),ISNUMBER(SEARCH("入",B1684)))),"Ambiguous",IF(ISNUMBER(SEARCH("平",B1684)),"平","仄")))</x:f>
        <x:v>仄</x:v>
      </x:c>
      <x:c r="K1684" s="6" t="str">
        <x:f>IF(D1684="","",IF(AND(ISNUMBER(SEARCH("平",D1684)),OR(ISNUMBER(SEARCH("上",D1684)),ISNUMBER(SEARCH("去",D1684)),ISNUMBER(SEARCH("入",D1684)))),"Ambiguous",IF(ISNUMBER(SEARCH("平",D1684)),"平","仄")))</x:f>
        <x:v>仄</x:v>
      </x:c>
      <x:c r="L1684" s="7" t="str"/>
    </x:row>
    <x:row r="1685">
      <x:c r="A1685" s="5" t="str">
        <x:v>斮</x:v>
      </x:c>
      <x:c r="B1685" s="6" t="str">
        <x:v>入</x:v>
      </x:c>
      <x:c r="C1685" s="6" t="str">
        <x:f>IF(B1685="","Needs decision","Ready")</x:f>
        <x:v>Ready</x:v>
      </x:c>
      <x:c r="D1685" s="6" t="str">
        <x:v>入</x:v>
      </x:c>
      <x:c r="E1685" s="6" t="str">
        <x:v>tsraewk (D); tsrjak (D)</x:v>
      </x:c>
      <x:c r="F1685" s="6" t="str">
        <x:v>入聲三覺; 入聲十藥</x:v>
      </x:c>
      <x:c r="G1685" s="6" t="str">
        <x:v>Pingshui main list, Wikisource-derived DOCX</x:v>
      </x:c>
      <x:c r="H1685" s="6" t="str">
        <x:v>2</x:v>
      </x:c>
      <x:c r="I1685" s="6" t="str"/>
      <x:c r="J1685" s="6" t="str">
        <x:f>IF(B1685="","",IF(AND(ISNUMBER(SEARCH("平",B1685)),OR(ISNUMBER(SEARCH("上",B1685)),ISNUMBER(SEARCH("去",B1685)),ISNUMBER(SEARCH("入",B1685)))),"Ambiguous",IF(ISNUMBER(SEARCH("平",B1685)),"平","仄")))</x:f>
        <x:v>仄</x:v>
      </x:c>
      <x:c r="K1685" s="6" t="str">
        <x:f>IF(D1685="","",IF(AND(ISNUMBER(SEARCH("平",D1685)),OR(ISNUMBER(SEARCH("上",D1685)),ISNUMBER(SEARCH("去",D1685)),ISNUMBER(SEARCH("入",D1685)))),"Ambiguous",IF(ISNUMBER(SEARCH("平",D1685)),"平","仄")))</x:f>
        <x:v>仄</x:v>
      </x:c>
      <x:c r="L1685" s="7" t="str"/>
    </x:row>
    <x:row r="1686">
      <x:c r="A1686" s="5" t="str">
        <x:v>斯</x:v>
      </x:c>
      <x:c r="B1686" s="6" t="str">
        <x:v>平</x:v>
      </x:c>
      <x:c r="C1686" s="6" t="str">
        <x:f>IF(B1686="","Needs decision","Ready")</x:f>
        <x:v>Ready</x:v>
      </x:c>
      <x:c r="D1686" s="6" t="str">
        <x:v>平</x:v>
      </x:c>
      <x:c r="E1686" s="6" t="str">
        <x:v>sje (A)</x:v>
      </x:c>
      <x:c r="F1686" s="6" t="str">
        <x:v>上平聲四支</x:v>
      </x:c>
      <x:c r="G1686" s="6" t="str">
        <x:v>Pingshui main list, Wikisource-derived DOCX</x:v>
      </x:c>
      <x:c r="H1686" s="6" t="str">
        <x:v>1</x:v>
      </x:c>
      <x:c r="I1686" s="6" t="str"/>
      <x:c r="J1686" s="6" t="str">
        <x:f>IF(B1686="","",IF(AND(ISNUMBER(SEARCH("平",B1686)),OR(ISNUMBER(SEARCH("上",B1686)),ISNUMBER(SEARCH("去",B1686)),ISNUMBER(SEARCH("入",B1686)))),"Ambiguous",IF(ISNUMBER(SEARCH("平",B1686)),"平","仄")))</x:f>
        <x:v>平</x:v>
      </x:c>
      <x:c r="K1686" s="6" t="str">
        <x:f>IF(D1686="","",IF(AND(ISNUMBER(SEARCH("平",D1686)),OR(ISNUMBER(SEARCH("上",D1686)),ISNUMBER(SEARCH("去",D1686)),ISNUMBER(SEARCH("入",D1686)))),"Ambiguous",IF(ISNUMBER(SEARCH("平",D1686)),"平","仄")))</x:f>
        <x:v>平</x:v>
      </x:c>
      <x:c r="L1686" s="7" t="str"/>
    </x:row>
    <x:row r="1687">
      <x:c r="A1687" s="5" t="str">
        <x:v>新</x:v>
      </x:c>
      <x:c r="B1687" s="6" t="str">
        <x:v>平</x:v>
      </x:c>
      <x:c r="C1687" s="6" t="str">
        <x:f>IF(B1687="","Needs decision","Ready")</x:f>
        <x:v>Ready</x:v>
      </x:c>
      <x:c r="D1687" s="6" t="str">
        <x:v>平</x:v>
      </x:c>
      <x:c r="E1687" s="6" t="str">
        <x:v>sin (A)</x:v>
      </x:c>
      <x:c r="F1687" s="6" t="str">
        <x:v>上平聲十一真</x:v>
      </x:c>
      <x:c r="G1687" s="6" t="str">
        <x:v>Pingshui main list, Wikisource-derived DOCX</x:v>
      </x:c>
      <x:c r="H1687" s="6" t="str">
        <x:v>1</x:v>
      </x:c>
      <x:c r="I1687" s="6" t="str"/>
      <x:c r="J1687" s="6" t="str">
        <x:f>IF(B1687="","",IF(AND(ISNUMBER(SEARCH("平",B1687)),OR(ISNUMBER(SEARCH("上",B1687)),ISNUMBER(SEARCH("去",B1687)),ISNUMBER(SEARCH("入",B1687)))),"Ambiguous",IF(ISNUMBER(SEARCH("平",B1687)),"平","仄")))</x:f>
        <x:v>平</x:v>
      </x:c>
      <x:c r="K1687" s="6" t="str">
        <x:f>IF(D1687="","",IF(AND(ISNUMBER(SEARCH("平",D1687)),OR(ISNUMBER(SEARCH("上",D1687)),ISNUMBER(SEARCH("去",D1687)),ISNUMBER(SEARCH("入",D1687)))),"Ambiguous",IF(ISNUMBER(SEARCH("平",D1687)),"平","仄")))</x:f>
        <x:v>平</x:v>
      </x:c>
      <x:c r="L1687" s="7" t="str"/>
    </x:row>
    <x:row r="1688">
      <x:c r="A1688" s="5" t="str">
        <x:v>斲</x:v>
      </x:c>
      <x:c r="B1688" s="6" t="str">
        <x:v>入</x:v>
      </x:c>
      <x:c r="C1688" s="6" t="str">
        <x:f>IF(B1688="","Needs decision","Ready")</x:f>
        <x:v>Ready</x:v>
      </x:c>
      <x:c r="D1688" s="6" t="str">
        <x:v>入</x:v>
      </x:c>
      <x:c r="E1688" s="6" t="str">
        <x:v>traewk (D)</x:v>
      </x:c>
      <x:c r="F1688" s="6" t="str">
        <x:v>入聲三覺</x:v>
      </x:c>
      <x:c r="G1688" s="6" t="str">
        <x:v>Pingshui main list, Wikisource-derived DOCX</x:v>
      </x:c>
      <x:c r="H1688" s="6" t="str">
        <x:v>1</x:v>
      </x:c>
      <x:c r="I1688" s="6" t="str"/>
      <x:c r="J1688" s="6" t="str">
        <x:f>IF(B1688="","",IF(AND(ISNUMBER(SEARCH("平",B1688)),OR(ISNUMBER(SEARCH("上",B1688)),ISNUMBER(SEARCH("去",B1688)),ISNUMBER(SEARCH("入",B1688)))),"Ambiguous",IF(ISNUMBER(SEARCH("平",B1688)),"平","仄")))</x:f>
        <x:v>仄</x:v>
      </x:c>
      <x:c r="K1688" s="6" t="str">
        <x:f>IF(D1688="","",IF(AND(ISNUMBER(SEARCH("平",D1688)),OR(ISNUMBER(SEARCH("上",D1688)),ISNUMBER(SEARCH("去",D1688)),ISNUMBER(SEARCH("入",D1688)))),"Ambiguous",IF(ISNUMBER(SEARCH("平",D1688)),"平","仄")))</x:f>
        <x:v>仄</x:v>
      </x:c>
      <x:c r="L1688" s="7" t="str"/>
    </x:row>
    <x:row r="1689">
      <x:c r="A1689" s="5" t="str">
        <x:v>斷</x:v>
      </x:c>
      <x:c r="B1689" s="6" t="str"/>
      <x:c r="C1689" s="6" t="str">
        <x:f>IF(B1689="","Needs decision","Ready")</x:f>
        <x:v>Needs decision</x:v>
      </x:c>
      <x:c r="D1689" s="6" t="str">
        <x:v>上/去</x:v>
      </x:c>
      <x:c r="E1689" s="6" t="str">
        <x:v>dwanX (B); twanX (B); twanH (C)</x:v>
      </x:c>
      <x:c r="F1689" s="6" t="str">
        <x:v>上聲十四旱; 去聲十五翰</x:v>
      </x:c>
      <x:c r="G1689" s="6" t="str">
        <x:v>Pingshui main list, Wikisource-derived DOCX</x:v>
      </x:c>
      <x:c r="H1689" s="6" t="str">
        <x:v>3</x:v>
      </x:c>
      <x:c r="I1689" s="6" t="str"/>
      <x:c r="J1689" s="6" t="str">
        <x:f>IF(B1689="","",IF(AND(ISNUMBER(SEARCH("平",B1689)),OR(ISNUMBER(SEARCH("上",B1689)),ISNUMBER(SEARCH("去",B1689)),ISNUMBER(SEARCH("入",B1689)))),"Ambiguous",IF(ISNUMBER(SEARCH("平",B1689)),"平","仄")))</x:f>
      </x:c>
      <x:c r="K1689" s="6" t="str">
        <x:f>IF(D1689="","",IF(AND(ISNUMBER(SEARCH("平",D1689)),OR(ISNUMBER(SEARCH("上",D1689)),ISNUMBER(SEARCH("去",D1689)),ISNUMBER(SEARCH("入",D1689)))),"Ambiguous",IF(ISNUMBER(SEARCH("平",D1689)),"平","仄")))</x:f>
        <x:v>仄</x:v>
      </x:c>
      <x:c r="L1689" s="7" t="str"/>
    </x:row>
    <x:row r="1690">
      <x:c r="A1690" s="5" t="str">
        <x:v>方</x:v>
      </x:c>
      <x:c r="B1690" s="6" t="str">
        <x:v>平</x:v>
      </x:c>
      <x:c r="C1690" s="6" t="str">
        <x:f>IF(B1690="","Needs decision","Ready")</x:f>
        <x:v>Ready</x:v>
      </x:c>
      <x:c r="D1690" s="6" t="str">
        <x:v>平</x:v>
      </x:c>
      <x:c r="E1690" s="6" t="str">
        <x:v>pjang (A)</x:v>
      </x:c>
      <x:c r="F1690" s="6" t="str">
        <x:v>下平聲七陽</x:v>
      </x:c>
      <x:c r="G1690" s="6" t="str">
        <x:v>Pingshui main list, Wikisource-derived DOCX</x:v>
      </x:c>
      <x:c r="H1690" s="6" t="str">
        <x:v>1</x:v>
      </x:c>
      <x:c r="I1690" s="6" t="str"/>
      <x:c r="J1690" s="6" t="str">
        <x:f>IF(B1690="","",IF(AND(ISNUMBER(SEARCH("平",B1690)),OR(ISNUMBER(SEARCH("上",B1690)),ISNUMBER(SEARCH("去",B1690)),ISNUMBER(SEARCH("入",B1690)))),"Ambiguous",IF(ISNUMBER(SEARCH("平",B1690)),"平","仄")))</x:f>
        <x:v>平</x:v>
      </x:c>
      <x:c r="K1690" s="6" t="str">
        <x:f>IF(D1690="","",IF(AND(ISNUMBER(SEARCH("平",D1690)),OR(ISNUMBER(SEARCH("上",D1690)),ISNUMBER(SEARCH("去",D1690)),ISNUMBER(SEARCH("入",D1690)))),"Ambiguous",IF(ISNUMBER(SEARCH("平",D1690)),"平","仄")))</x:f>
        <x:v>平</x:v>
      </x:c>
      <x:c r="L1690" s="7" t="str"/>
    </x:row>
    <x:row r="1691">
      <x:c r="A1691" s="5" t="str">
        <x:v>於</x:v>
      </x:c>
      <x:c r="B1691" s="6" t="str">
        <x:v>平</x:v>
      </x:c>
      <x:c r="C1691" s="6" t="str">
        <x:f>IF(B1691="","Needs decision","Ready")</x:f>
        <x:v>Ready</x:v>
      </x:c>
      <x:c r="D1691" s="6" t="str">
        <x:v>平</x:v>
      </x:c>
      <x:c r="E1691" s="6" t="str">
        <x:v>'u (A); 'jo (A)</x:v>
      </x:c>
      <x:c r="F1691" s="6" t="str">
        <x:v>上平聲六魚; 上平聲七虞</x:v>
      </x:c>
      <x:c r="G1691" s="6" t="str">
        <x:v>Pingshui main list, Wikisource-derived DOCX</x:v>
      </x:c>
      <x:c r="H1691" s="6" t="str">
        <x:v>2</x:v>
      </x:c>
      <x:c r="I1691" s="6" t="str"/>
      <x:c r="J1691" s="6" t="str">
        <x:f>IF(B1691="","",IF(AND(ISNUMBER(SEARCH("平",B1691)),OR(ISNUMBER(SEARCH("上",B1691)),ISNUMBER(SEARCH("去",B1691)),ISNUMBER(SEARCH("入",B1691)))),"Ambiguous",IF(ISNUMBER(SEARCH("平",B1691)),"平","仄")))</x:f>
        <x:v>平</x:v>
      </x:c>
      <x:c r="K1691" s="6" t="str">
        <x:f>IF(D1691="","",IF(AND(ISNUMBER(SEARCH("平",D1691)),OR(ISNUMBER(SEARCH("上",D1691)),ISNUMBER(SEARCH("去",D1691)),ISNUMBER(SEARCH("入",D1691)))),"Ambiguous",IF(ISNUMBER(SEARCH("平",D1691)),"平","仄")))</x:f>
        <x:v>平</x:v>
      </x:c>
      <x:c r="L1691" s="7" t="str"/>
    </x:row>
    <x:row r="1692">
      <x:c r="A1692" s="5" t="str">
        <x:v>施</x:v>
      </x:c>
      <x:c r="B1692" s="6" t="str">
        <x:v>平</x:v>
      </x:c>
      <x:c r="C1692" s="6" t="str">
        <x:f>IF(B1692="","Needs decision","Ready")</x:f>
        <x:v>Ready</x:v>
      </x:c>
      <x:c r="D1692" s="6" t="str">
        <x:v>平</x:v>
      </x:c>
      <x:c r="E1692" s="6" t="str">
        <x:v>sye (A)</x:v>
      </x:c>
      <x:c r="F1692" s="6" t="str">
        <x:v>上平聲四支; 去聲四寘</x:v>
      </x:c>
      <x:c r="G1692" s="6" t="str">
        <x:v>Pingshui main list, Wikisource-derived DOCX</x:v>
      </x:c>
      <x:c r="H1692" s="6" t="str">
        <x:v>1</x:v>
      </x:c>
      <x:c r="I1692" s="6" t="str"/>
      <x:c r="J1692" s="6" t="str">
        <x:f>IF(B1692="","",IF(AND(ISNUMBER(SEARCH("平",B1692)),OR(ISNUMBER(SEARCH("上",B1692)),ISNUMBER(SEARCH("去",B1692)),ISNUMBER(SEARCH("入",B1692)))),"Ambiguous",IF(ISNUMBER(SEARCH("平",B1692)),"平","仄")))</x:f>
        <x:v>平</x:v>
      </x:c>
      <x:c r="K1692" s="6" t="str">
        <x:f>IF(D1692="","",IF(AND(ISNUMBER(SEARCH("平",D1692)),OR(ISNUMBER(SEARCH("上",D1692)),ISNUMBER(SEARCH("去",D1692)),ISNUMBER(SEARCH("入",D1692)))),"Ambiguous",IF(ISNUMBER(SEARCH("平",D1692)),"平","仄")))</x:f>
        <x:v>平</x:v>
      </x:c>
      <x:c r="L1692" s="7" t="str"/>
    </x:row>
    <x:row r="1693">
      <x:c r="A1693" s="5" t="str">
        <x:v>斿</x:v>
      </x:c>
      <x:c r="B1693" s="6" t="str">
        <x:v>平</x:v>
      </x:c>
      <x:c r="C1693" s="6" t="str">
        <x:f>IF(B1693="","Needs decision","Ready")</x:f>
        <x:v>Ready</x:v>
      </x:c>
      <x:c r="D1693" s="6" t="str">
        <x:v>平</x:v>
      </x:c>
      <x:c r="E1693" s="6" t="str">
        <x:v>yuw (A)</x:v>
      </x:c>
      <x:c r="F1693" s="6" t="str">
        <x:v>下平聲十一尤</x:v>
      </x:c>
      <x:c r="G1693" s="6" t="str">
        <x:v>Pingshui main list, Wikisource-derived DOCX</x:v>
      </x:c>
      <x:c r="H1693" s="6" t="str">
        <x:v>1</x:v>
      </x:c>
      <x:c r="I1693" s="6" t="str"/>
      <x:c r="J1693" s="6" t="str">
        <x:f>IF(B1693="","",IF(AND(ISNUMBER(SEARCH("平",B1693)),OR(ISNUMBER(SEARCH("上",B1693)),ISNUMBER(SEARCH("去",B1693)),ISNUMBER(SEARCH("入",B1693)))),"Ambiguous",IF(ISNUMBER(SEARCH("平",B1693)),"平","仄")))</x:f>
        <x:v>平</x:v>
      </x:c>
      <x:c r="K1693" s="6" t="str">
        <x:f>IF(D1693="","",IF(AND(ISNUMBER(SEARCH("平",D1693)),OR(ISNUMBER(SEARCH("上",D1693)),ISNUMBER(SEARCH("去",D1693)),ISNUMBER(SEARCH("入",D1693)))),"Ambiguous",IF(ISNUMBER(SEARCH("平",D1693)),"平","仄")))</x:f>
        <x:v>平</x:v>
      </x:c>
      <x:c r="L1693" s="7" t="str"/>
    </x:row>
    <x:row r="1694">
      <x:c r="A1694" s="5" t="str">
        <x:v>旁</x:v>
      </x:c>
      <x:c r="B1694" s="6" t="str">
        <x:v>平</x:v>
      </x:c>
      <x:c r="C1694" s="6" t="str">
        <x:f>IF(B1694="","Needs decision","Ready")</x:f>
        <x:v>Ready</x:v>
      </x:c>
      <x:c r="D1694" s="6" t="str">
        <x:v>平</x:v>
      </x:c>
      <x:c r="E1694" s="6" t="str">
        <x:v>bang (A)</x:v>
      </x:c>
      <x:c r="F1694" s="6" t="str"/>
      <x:c r="G1694" s="6" t="str"/>
      <x:c r="H1694" s="6" t="str">
        <x:v>1</x:v>
      </x:c>
      <x:c r="I1694" s="6" t="str"/>
      <x:c r="J1694" s="6" t="str">
        <x:f>IF(B1694="","",IF(AND(ISNUMBER(SEARCH("平",B1694)),OR(ISNUMBER(SEARCH("上",B1694)),ISNUMBER(SEARCH("去",B1694)),ISNUMBER(SEARCH("入",B1694)))),"Ambiguous",IF(ISNUMBER(SEARCH("平",B1694)),"平","仄")))</x:f>
        <x:v>平</x:v>
      </x:c>
      <x:c r="K1694" s="6" t="str">
        <x:f>IF(D1694="","",IF(AND(ISNUMBER(SEARCH("平",D1694)),OR(ISNUMBER(SEARCH("上",D1694)),ISNUMBER(SEARCH("去",D1694)),ISNUMBER(SEARCH("入",D1694)))),"Ambiguous",IF(ISNUMBER(SEARCH("平",D1694)),"平","仄")))</x:f>
        <x:v>平</x:v>
      </x:c>
      <x:c r="L1694" s="7" t="str"/>
    </x:row>
    <x:row r="1695">
      <x:c r="A1695" s="5" t="str">
        <x:v>旂</x:v>
      </x:c>
      <x:c r="B1695" s="6" t="str">
        <x:v>平</x:v>
      </x:c>
      <x:c r="C1695" s="6" t="str">
        <x:f>IF(B1695="","Needs decision","Ready")</x:f>
        <x:v>Ready</x:v>
      </x:c>
      <x:c r="D1695" s="6" t="str">
        <x:v>平</x:v>
      </x:c>
      <x:c r="E1695" s="6" t="str">
        <x:v>gj+j (A)</x:v>
      </x:c>
      <x:c r="F1695" s="6" t="str">
        <x:v>上平聲五微</x:v>
      </x:c>
      <x:c r="G1695" s="6" t="str">
        <x:v>Pingshui main list, Wikisource-derived DOCX</x:v>
      </x:c>
      <x:c r="H1695" s="6" t="str">
        <x:v>1</x:v>
      </x:c>
      <x:c r="I1695" s="6" t="str"/>
      <x:c r="J1695" s="6" t="str">
        <x:f>IF(B1695="","",IF(AND(ISNUMBER(SEARCH("平",B1695)),OR(ISNUMBER(SEARCH("上",B1695)),ISNUMBER(SEARCH("去",B1695)),ISNUMBER(SEARCH("入",B1695)))),"Ambiguous",IF(ISNUMBER(SEARCH("平",B1695)),"平","仄")))</x:f>
        <x:v>平</x:v>
      </x:c>
      <x:c r="K1695" s="6" t="str">
        <x:f>IF(D1695="","",IF(AND(ISNUMBER(SEARCH("平",D1695)),OR(ISNUMBER(SEARCH("上",D1695)),ISNUMBER(SEARCH("去",D1695)),ISNUMBER(SEARCH("入",D1695)))),"Ambiguous",IF(ISNUMBER(SEARCH("平",D1695)),"平","仄")))</x:f>
        <x:v>平</x:v>
      </x:c>
      <x:c r="L1695" s="7" t="str"/>
    </x:row>
    <x:row r="1696">
      <x:c r="A1696" s="5" t="str">
        <x:v>旃</x:v>
      </x:c>
      <x:c r="B1696" s="6" t="str">
        <x:v>平</x:v>
      </x:c>
      <x:c r="C1696" s="6" t="str">
        <x:f>IF(B1696="","Needs decision","Ready")</x:f>
        <x:v>Ready</x:v>
      </x:c>
      <x:c r="D1696" s="6" t="str">
        <x:v>平</x:v>
      </x:c>
      <x:c r="E1696" s="6" t="str">
        <x:v>tsyen [tɕen] (平)</x:v>
      </x:c>
      <x:c r="F1696" s="6" t="str">
        <x:v>下平聲一先</x:v>
      </x:c>
      <x:c r="G1696" s="6" t="str">
        <x:v>Pingshui main list, Wikisource-derived DOCX</x:v>
      </x:c>
      <x:c r="H1696" s="6" t="str">
        <x:v>1</x:v>
      </x:c>
      <x:c r="I1696" s="6" t="str">
        <x:v>Tang 300 gap; frequency 1; provisional from Xun Gong</x:v>
      </x:c>
      <x:c r="J1696" s="6" t="str">
        <x:f>IF(B1696="","",IF(AND(ISNUMBER(SEARCH("平",B1696)),OR(ISNUMBER(SEARCH("上",B1696)),ISNUMBER(SEARCH("去",B1696)),ISNUMBER(SEARCH("入",B1696)))),"Ambiguous",IF(ISNUMBER(SEARCH("平",B1696)),"平","仄")))</x:f>
        <x:v>平</x:v>
      </x:c>
      <x:c r="K1696" s="6" t="str">
        <x:f>IF(D1696="","",IF(AND(ISNUMBER(SEARCH("平",D1696)),OR(ISNUMBER(SEARCH("上",D1696)),ISNUMBER(SEARCH("去",D1696)),ISNUMBER(SEARCH("入",D1696)))),"Ambiguous",IF(ISNUMBER(SEARCH("平",D1696)),"平","仄")))</x:f>
        <x:v>平</x:v>
      </x:c>
      <x:c r="L1696" s="7" t="str">
        <x:v>Xun Gong, Tang 300 gap fill</x:v>
      </x:c>
    </x:row>
    <x:row r="1697">
      <x:c r="A1697" s="5" t="str">
        <x:v>旄</x:v>
      </x:c>
      <x:c r="B1697" s="6" t="str">
        <x:v>平</x:v>
      </x:c>
      <x:c r="C1697" s="6" t="str">
        <x:f>IF(B1697="","Needs decision","Ready")</x:f>
        <x:v>Ready</x:v>
      </x:c>
      <x:c r="D1697" s="6" t="str">
        <x:v>平</x:v>
      </x:c>
      <x:c r="E1697" s="6" t="str">
        <x:v>maw (A)</x:v>
      </x:c>
      <x:c r="F1697" s="6" t="str">
        <x:v>下平聲四豪; 去聲二十號</x:v>
      </x:c>
      <x:c r="G1697" s="6" t="str">
        <x:v>Pingshui main list, Wikisource-derived DOCX</x:v>
      </x:c>
      <x:c r="H1697" s="6" t="str">
        <x:v>1</x:v>
      </x:c>
      <x:c r="I1697" s="6" t="str"/>
      <x:c r="J1697" s="6" t="str">
        <x:f>IF(B1697="","",IF(AND(ISNUMBER(SEARCH("平",B1697)),OR(ISNUMBER(SEARCH("上",B1697)),ISNUMBER(SEARCH("去",B1697)),ISNUMBER(SEARCH("入",B1697)))),"Ambiguous",IF(ISNUMBER(SEARCH("平",B1697)),"平","仄")))</x:f>
        <x:v>平</x:v>
      </x:c>
      <x:c r="K1697" s="6" t="str">
        <x:f>IF(D1697="","",IF(AND(ISNUMBER(SEARCH("平",D1697)),OR(ISNUMBER(SEARCH("上",D1697)),ISNUMBER(SEARCH("去",D1697)),ISNUMBER(SEARCH("入",D1697)))),"Ambiguous",IF(ISNUMBER(SEARCH("平",D1697)),"平","仄")))</x:f>
        <x:v>平</x:v>
      </x:c>
      <x:c r="L1697" s="7" t="str"/>
    </x:row>
    <x:row r="1698">
      <x:c r="A1698" s="5" t="str">
        <x:v>旅</x:v>
      </x:c>
      <x:c r="B1698" s="6" t="str">
        <x:v>上</x:v>
      </x:c>
      <x:c r="C1698" s="6" t="str">
        <x:f>IF(B1698="","Needs decision","Ready")</x:f>
        <x:v>Ready</x:v>
      </x:c>
      <x:c r="D1698" s="6" t="str">
        <x:v>上</x:v>
      </x:c>
      <x:c r="E1698" s="6" t="str">
        <x:v>ljoX (B)</x:v>
      </x:c>
      <x:c r="F1698" s="6" t="str">
        <x:v>上聲六語</x:v>
      </x:c>
      <x:c r="G1698" s="6" t="str">
        <x:v>Pingshui main list, Wikisource-derived DOCX</x:v>
      </x:c>
      <x:c r="H1698" s="6" t="str">
        <x:v>1</x:v>
      </x:c>
      <x:c r="I1698" s="6" t="str"/>
      <x:c r="J1698" s="6" t="str">
        <x:f>IF(B1698="","",IF(AND(ISNUMBER(SEARCH("平",B1698)),OR(ISNUMBER(SEARCH("上",B1698)),ISNUMBER(SEARCH("去",B1698)),ISNUMBER(SEARCH("入",B1698)))),"Ambiguous",IF(ISNUMBER(SEARCH("平",B1698)),"平","仄")))</x:f>
        <x:v>仄</x:v>
      </x:c>
      <x:c r="K1698" s="6" t="str">
        <x:f>IF(D1698="","",IF(AND(ISNUMBER(SEARCH("平",D1698)),OR(ISNUMBER(SEARCH("上",D1698)),ISNUMBER(SEARCH("去",D1698)),ISNUMBER(SEARCH("入",D1698)))),"Ambiguous",IF(ISNUMBER(SEARCH("平",D1698)),"平","仄")))</x:f>
        <x:v>仄</x:v>
      </x:c>
      <x:c r="L1698" s="7" t="str"/>
    </x:row>
    <x:row r="1699">
      <x:c r="A1699" s="5" t="str">
        <x:v>旆</x:v>
      </x:c>
      <x:c r="B1699" s="6" t="str">
        <x:v>去</x:v>
      </x:c>
      <x:c r="C1699" s="6" t="str">
        <x:f>IF(B1699="","Needs decision","Ready")</x:f>
        <x:v>Ready</x:v>
      </x:c>
      <x:c r="D1699" s="6" t="str">
        <x:v>去</x:v>
      </x:c>
      <x:c r="E1699" s="6" t="str">
        <x:v>bajH [b̙ɑjh] (去)</x:v>
      </x:c>
      <x:c r="F1699" s="6" t="str"/>
      <x:c r="G1699" s="6" t="str"/>
      <x:c r="H1699" s="6" t="str">
        <x:v>1</x:v>
      </x:c>
      <x:c r="I1699" s="6" t="str">
        <x:v>Tang 300 gap; frequency 1; provisional from Xun Gong</x:v>
      </x:c>
      <x:c r="J1699" s="6" t="str">
        <x:f>IF(B1699="","",IF(AND(ISNUMBER(SEARCH("平",B1699)),OR(ISNUMBER(SEARCH("上",B1699)),ISNUMBER(SEARCH("去",B1699)),ISNUMBER(SEARCH("入",B1699)))),"Ambiguous",IF(ISNUMBER(SEARCH("平",B1699)),"平","仄")))</x:f>
        <x:v>仄</x:v>
      </x:c>
      <x:c r="K1699" s="6" t="str">
        <x:f>IF(D1699="","",IF(AND(ISNUMBER(SEARCH("平",D1699)),OR(ISNUMBER(SEARCH("上",D1699)),ISNUMBER(SEARCH("去",D1699)),ISNUMBER(SEARCH("入",D1699)))),"Ambiguous",IF(ISNUMBER(SEARCH("平",D1699)),"平","仄")))</x:f>
        <x:v>仄</x:v>
      </x:c>
      <x:c r="L1699" s="7" t="str">
        <x:v>Xun Gong, Tang 300 gap fill</x:v>
      </x:c>
    </x:row>
    <x:row r="1700">
      <x:c r="A1700" s="5" t="str">
        <x:v>旊</x:v>
      </x:c>
      <x:c r="B1700" s="6" t="str">
        <x:v>上</x:v>
      </x:c>
      <x:c r="C1700" s="6" t="str">
        <x:f>IF(B1700="","Needs decision","Ready")</x:f>
        <x:v>Ready</x:v>
      </x:c>
      <x:c r="D1700" s="6" t="str">
        <x:v>上</x:v>
      </x:c>
      <x:c r="E1700" s="6" t="str">
        <x:v>pjangX (B)</x:v>
      </x:c>
      <x:c r="F1700" s="6" t="str"/>
      <x:c r="G1700" s="6" t="str"/>
      <x:c r="H1700" s="6" t="str">
        <x:v>1</x:v>
      </x:c>
      <x:c r="I1700" s="6" t="str"/>
      <x:c r="J1700" s="6" t="str">
        <x:f>IF(B1700="","",IF(AND(ISNUMBER(SEARCH("平",B1700)),OR(ISNUMBER(SEARCH("上",B1700)),ISNUMBER(SEARCH("去",B1700)),ISNUMBER(SEARCH("入",B1700)))),"Ambiguous",IF(ISNUMBER(SEARCH("平",B1700)),"平","仄")))</x:f>
        <x:v>仄</x:v>
      </x:c>
      <x:c r="K1700" s="6" t="str">
        <x:f>IF(D1700="","",IF(AND(ISNUMBER(SEARCH("平",D1700)),OR(ISNUMBER(SEARCH("上",D1700)),ISNUMBER(SEARCH("去",D1700)),ISNUMBER(SEARCH("入",D1700)))),"Ambiguous",IF(ISNUMBER(SEARCH("平",D1700)),"平","仄")))</x:f>
        <x:v>仄</x:v>
      </x:c>
      <x:c r="L1700" s="7" t="str"/>
    </x:row>
    <x:row r="1701">
      <x:c r="A1701" s="5" t="str">
        <x:v>旋</x:v>
      </x:c>
      <x:c r="B1701" s="6" t="str">
        <x:v>平</x:v>
      </x:c>
      <x:c r="C1701" s="6" t="str">
        <x:f>IF(B1701="","Needs decision","Ready")</x:f>
        <x:v>Ready</x:v>
      </x:c>
      <x:c r="D1701" s="6" t="str">
        <x:v>平/去</x:v>
      </x:c>
      <x:c r="E1701" s="6" t="str">
        <x:v>zjwen (A); zjwenH (C)</x:v>
      </x:c>
      <x:c r="F1701" s="6" t="str">
        <x:v>下平聲一先; 去聲十七霰</x:v>
      </x:c>
      <x:c r="G1701" s="6" t="str">
        <x:v>Pingshui main list, Wikisource-derived DOCX</x:v>
      </x:c>
      <x:c r="H1701" s="6" t="str">
        <x:v>2</x:v>
      </x:c>
      <x:c r="I1701" s="6" t="str">
        <x:v>User workbook edit 2026-09-03</x:v>
      </x:c>
      <x:c r="J1701" s="6" t="str">
        <x:f>IF(B1701="","",IF(AND(ISNUMBER(SEARCH("平",B1701)),OR(ISNUMBER(SEARCH("上",B1701)),ISNUMBER(SEARCH("去",B1701)),ISNUMBER(SEARCH("入",B1701)))),"Ambiguous",IF(ISNUMBER(SEARCH("平",B1701)),"平","仄")))</x:f>
        <x:v>平</x:v>
      </x:c>
      <x:c r="K1701" s="6" t="str">
        <x:f>IF(D1701="","",IF(AND(ISNUMBER(SEARCH("平",D1701)),OR(ISNUMBER(SEARCH("上",D1701)),ISNUMBER(SEARCH("去",D1701)),ISNUMBER(SEARCH("入",D1701)))),"Ambiguous",IF(ISNUMBER(SEARCH("平",D1701)),"平","仄")))</x:f>
        <x:v>Ambiguous</x:v>
      </x:c>
      <x:c r="L1701" s="7" t="str">
        <x:v>manual user correction</x:v>
      </x:c>
    </x:row>
    <x:row r="1702">
      <x:c r="A1702" s="5" t="str">
        <x:v>旌</x:v>
      </x:c>
      <x:c r="B1702" s="6" t="str">
        <x:v>平</x:v>
      </x:c>
      <x:c r="C1702" s="6" t="str">
        <x:f>IF(B1702="","Needs decision","Ready")</x:f>
        <x:v>Ready</x:v>
      </x:c>
      <x:c r="D1702" s="6" t="str">
        <x:v>平</x:v>
      </x:c>
      <x:c r="E1702" s="6" t="str">
        <x:v>tsjeng (A)</x:v>
      </x:c>
      <x:c r="F1702" s="6" t="str">
        <x:v>下平聲八庚</x:v>
      </x:c>
      <x:c r="G1702" s="6" t="str">
        <x:v>Pingshui main list, Wikisource-derived DOCX</x:v>
      </x:c>
      <x:c r="H1702" s="6" t="str">
        <x:v>1</x:v>
      </x:c>
      <x:c r="I1702" s="6" t="str"/>
      <x:c r="J1702" s="6" t="str">
        <x:f>IF(B1702="","",IF(AND(ISNUMBER(SEARCH("平",B1702)),OR(ISNUMBER(SEARCH("上",B1702)),ISNUMBER(SEARCH("去",B1702)),ISNUMBER(SEARCH("入",B1702)))),"Ambiguous",IF(ISNUMBER(SEARCH("平",B1702)),"平","仄")))</x:f>
        <x:v>平</x:v>
      </x:c>
      <x:c r="K1702" s="6" t="str">
        <x:f>IF(D1702="","",IF(AND(ISNUMBER(SEARCH("平",D1702)),OR(ISNUMBER(SEARCH("上",D1702)),ISNUMBER(SEARCH("去",D1702)),ISNUMBER(SEARCH("入",D1702)))),"Ambiguous",IF(ISNUMBER(SEARCH("平",D1702)),"平","仄")))</x:f>
        <x:v>平</x:v>
      </x:c>
      <x:c r="L1702" s="7" t="str"/>
    </x:row>
    <x:row r="1703">
      <x:c r="A1703" s="5" t="str">
        <x:v>族</x:v>
      </x:c>
      <x:c r="B1703" s="6" t="str">
        <x:v>入</x:v>
      </x:c>
      <x:c r="C1703" s="6" t="str">
        <x:f>IF(B1703="","Needs decision","Ready")</x:f>
        <x:v>Ready</x:v>
      </x:c>
      <x:c r="D1703" s="6" t="str">
        <x:v>入</x:v>
      </x:c>
      <x:c r="E1703" s="6" t="str">
        <x:v>dzuwk (D)</x:v>
      </x:c>
      <x:c r="F1703" s="6" t="str">
        <x:v>入聲一屋</x:v>
      </x:c>
      <x:c r="G1703" s="6" t="str">
        <x:v>Pingshui main list, Wikisource-derived DOCX</x:v>
      </x:c>
      <x:c r="H1703" s="6" t="str">
        <x:v>1</x:v>
      </x:c>
      <x:c r="I1703" s="6" t="str"/>
      <x:c r="J1703" s="6" t="str">
        <x:f>IF(B1703="","",IF(AND(ISNUMBER(SEARCH("平",B1703)),OR(ISNUMBER(SEARCH("上",B1703)),ISNUMBER(SEARCH("去",B1703)),ISNUMBER(SEARCH("入",B1703)))),"Ambiguous",IF(ISNUMBER(SEARCH("平",B1703)),"平","仄")))</x:f>
        <x:v>仄</x:v>
      </x:c>
      <x:c r="K1703" s="6" t="str">
        <x:f>IF(D1703="","",IF(AND(ISNUMBER(SEARCH("平",D1703)),OR(ISNUMBER(SEARCH("上",D1703)),ISNUMBER(SEARCH("去",D1703)),ISNUMBER(SEARCH("入",D1703)))),"Ambiguous",IF(ISNUMBER(SEARCH("平",D1703)),"平","仄")))</x:f>
        <x:v>仄</x:v>
      </x:c>
      <x:c r="L1703" s="7" t="str"/>
    </x:row>
    <x:row r="1704">
      <x:c r="A1704" s="5" t="str">
        <x:v>旒</x:v>
      </x:c>
      <x:c r="B1704" s="6" t="str">
        <x:v>平</x:v>
      </x:c>
      <x:c r="C1704" s="6" t="str">
        <x:f>IF(B1704="","Needs decision","Ready")</x:f>
        <x:v>Ready</x:v>
      </x:c>
      <x:c r="D1704" s="6" t="str">
        <x:v>平</x:v>
      </x:c>
      <x:c r="E1704" s="6" t="str">
        <x:v>ljuw (A)</x:v>
      </x:c>
      <x:c r="F1704" s="6" t="str">
        <x:v>下平聲十一尤</x:v>
      </x:c>
      <x:c r="G1704" s="6" t="str">
        <x:v>Pingshui main list, Wikisource-derived DOCX</x:v>
      </x:c>
      <x:c r="H1704" s="6" t="str">
        <x:v>1</x:v>
      </x:c>
      <x:c r="I1704" s="6" t="str"/>
      <x:c r="J1704" s="6" t="str">
        <x:f>IF(B1704="","",IF(AND(ISNUMBER(SEARCH("平",B1704)),OR(ISNUMBER(SEARCH("上",B1704)),ISNUMBER(SEARCH("去",B1704)),ISNUMBER(SEARCH("入",B1704)))),"Ambiguous",IF(ISNUMBER(SEARCH("平",B1704)),"平","仄")))</x:f>
        <x:v>平</x:v>
      </x:c>
      <x:c r="K1704" s="6" t="str">
        <x:f>IF(D1704="","",IF(AND(ISNUMBER(SEARCH("平",D1704)),OR(ISNUMBER(SEARCH("上",D1704)),ISNUMBER(SEARCH("去",D1704)),ISNUMBER(SEARCH("入",D1704)))),"Ambiguous",IF(ISNUMBER(SEARCH("平",D1704)),"平","仄")))</x:f>
        <x:v>平</x:v>
      </x:c>
      <x:c r="L1704" s="7" t="str"/>
    </x:row>
    <x:row r="1705">
      <x:c r="A1705" s="5" t="str">
        <x:v>旗</x:v>
      </x:c>
      <x:c r="B1705" s="6" t="str">
        <x:v>平</x:v>
      </x:c>
      <x:c r="C1705" s="6" t="str">
        <x:f>IF(B1705="","Needs decision","Ready")</x:f>
        <x:v>Ready</x:v>
      </x:c>
      <x:c r="D1705" s="6" t="str">
        <x:v>平</x:v>
      </x:c>
      <x:c r="E1705" s="6" t="str">
        <x:v>gi (A)</x:v>
      </x:c>
      <x:c r="F1705" s="6" t="str">
        <x:v>上平聲四支</x:v>
      </x:c>
      <x:c r="G1705" s="6" t="str">
        <x:v>Pingshui main list, Wikisource-derived DOCX</x:v>
      </x:c>
      <x:c r="H1705" s="6" t="str">
        <x:v>1</x:v>
      </x:c>
      <x:c r="I1705" s="6" t="str"/>
      <x:c r="J1705" s="6" t="str">
        <x:f>IF(B1705="","",IF(AND(ISNUMBER(SEARCH("平",B1705)),OR(ISNUMBER(SEARCH("上",B1705)),ISNUMBER(SEARCH("去",B1705)),ISNUMBER(SEARCH("入",B1705)))),"Ambiguous",IF(ISNUMBER(SEARCH("平",B1705)),"平","仄")))</x:f>
        <x:v>平</x:v>
      </x:c>
      <x:c r="K1705" s="6" t="str">
        <x:f>IF(D1705="","",IF(AND(ISNUMBER(SEARCH("平",D1705)),OR(ISNUMBER(SEARCH("上",D1705)),ISNUMBER(SEARCH("去",D1705)),ISNUMBER(SEARCH("入",D1705)))),"Ambiguous",IF(ISNUMBER(SEARCH("平",D1705)),"平","仄")))</x:f>
        <x:v>平</x:v>
      </x:c>
      <x:c r="L1705" s="7" t="str"/>
    </x:row>
    <x:row r="1706">
      <x:c r="A1706" s="5" t="str">
        <x:v>旛</x:v>
      </x:c>
      <x:c r="B1706" s="6" t="str">
        <x:v>平</x:v>
      </x:c>
      <x:c r="C1706" s="6" t="str">
        <x:f>IF(B1706="","Needs decision","Ready")</x:f>
        <x:v>Ready</x:v>
      </x:c>
      <x:c r="D1706" s="6" t="str">
        <x:v>平</x:v>
      </x:c>
      <x:c r="E1706" s="6" t="str">
        <x:v>bjon [bɨ̯ən] (平); phjon [pʰɨ̯ən] (平)</x:v>
      </x:c>
      <x:c r="F1706" s="6" t="str">
        <x:v>上平聲十三元</x:v>
      </x:c>
      <x:c r="G1706" s="6" t="str">
        <x:v>Pingshui main list, Wikisource-derived DOCX</x:v>
      </x:c>
      <x:c r="H1706" s="6" t="str">
        <x:v>2</x:v>
      </x:c>
      <x:c r="I1706" s="6" t="str">
        <x:v>Tang 300 gap; frequency 1; provisional from Xun Gong</x:v>
      </x:c>
      <x:c r="J1706" s="6" t="str">
        <x:f>IF(B1706="","",IF(AND(ISNUMBER(SEARCH("平",B1706)),OR(ISNUMBER(SEARCH("上",B1706)),ISNUMBER(SEARCH("去",B1706)),ISNUMBER(SEARCH("入",B1706)))),"Ambiguous",IF(ISNUMBER(SEARCH("平",B1706)),"平","仄")))</x:f>
        <x:v>平</x:v>
      </x:c>
      <x:c r="K1706" s="6" t="str">
        <x:f>IF(D1706="","",IF(AND(ISNUMBER(SEARCH("平",D1706)),OR(ISNUMBER(SEARCH("上",D1706)),ISNUMBER(SEARCH("去",D1706)),ISNUMBER(SEARCH("入",D1706)))),"Ambiguous",IF(ISNUMBER(SEARCH("平",D1706)),"平","仄")))</x:f>
        <x:v>平</x:v>
      </x:c>
      <x:c r="L1706" s="7" t="str">
        <x:v>Xun Gong, Tang 300 gap fill</x:v>
      </x:c>
    </x:row>
    <x:row r="1707">
      <x:c r="A1707" s="5" t="str">
        <x:v>无</x:v>
      </x:c>
      <x:c r="B1707" s="6" t="str">
        <x:v>平</x:v>
      </x:c>
      <x:c r="C1707" s="6" t="str">
        <x:f>IF(B1707="","Needs decision","Ready")</x:f>
        <x:v>Ready</x:v>
      </x:c>
      <x:c r="D1707" s="6" t="str">
        <x:v>平</x:v>
      </x:c>
      <x:c r="E1707" s="6" t="str">
        <x:v>mju (A)</x:v>
      </x:c>
      <x:c r="F1707" s="6" t="str"/>
      <x:c r="G1707" s="6" t="str"/>
      <x:c r="H1707" s="6" t="str">
        <x:v>1</x:v>
      </x:c>
      <x:c r="I1707" s="6" t="str"/>
      <x:c r="J1707" s="6" t="str">
        <x:f>IF(B1707="","",IF(AND(ISNUMBER(SEARCH("平",B1707)),OR(ISNUMBER(SEARCH("上",B1707)),ISNUMBER(SEARCH("去",B1707)),ISNUMBER(SEARCH("入",B1707)))),"Ambiguous",IF(ISNUMBER(SEARCH("平",B1707)),"平","仄")))</x:f>
        <x:v>平</x:v>
      </x:c>
      <x:c r="K1707" s="6" t="str">
        <x:f>IF(D1707="","",IF(AND(ISNUMBER(SEARCH("平",D1707)),OR(ISNUMBER(SEARCH("上",D1707)),ISNUMBER(SEARCH("去",D1707)),ISNUMBER(SEARCH("入",D1707)))),"Ambiguous",IF(ISNUMBER(SEARCH("平",D1707)),"平","仄")))</x:f>
        <x:v>平</x:v>
      </x:c>
      <x:c r="L1707" s="7" t="str"/>
    </x:row>
    <x:row r="1708">
      <x:c r="A1708" s="5" t="str">
        <x:v>既</x:v>
      </x:c>
      <x:c r="B1708" s="6" t="str">
        <x:v>去</x:v>
      </x:c>
      <x:c r="C1708" s="6" t="str">
        <x:f>IF(B1708="","Needs decision","Ready")</x:f>
        <x:v>Ready</x:v>
      </x:c>
      <x:c r="D1708" s="6" t="str">
        <x:v>去</x:v>
      </x:c>
      <x:c r="E1708" s="6" t="str">
        <x:v>kj+jH (C)</x:v>
      </x:c>
      <x:c r="F1708" s="6" t="str">
        <x:v>去聲五未</x:v>
      </x:c>
      <x:c r="G1708" s="6" t="str">
        <x:v>Pingshui main list, Wikisource-derived DOCX</x:v>
      </x:c>
      <x:c r="H1708" s="6" t="str">
        <x:v>1</x:v>
      </x:c>
      <x:c r="I1708" s="6" t="str"/>
      <x:c r="J1708" s="6" t="str">
        <x:f>IF(B1708="","",IF(AND(ISNUMBER(SEARCH("平",B1708)),OR(ISNUMBER(SEARCH("上",B1708)),ISNUMBER(SEARCH("去",B1708)),ISNUMBER(SEARCH("入",B1708)))),"Ambiguous",IF(ISNUMBER(SEARCH("平",B1708)),"平","仄")))</x:f>
        <x:v>仄</x:v>
      </x:c>
      <x:c r="K1708" s="6" t="str">
        <x:f>IF(D1708="","",IF(AND(ISNUMBER(SEARCH("平",D1708)),OR(ISNUMBER(SEARCH("上",D1708)),ISNUMBER(SEARCH("去",D1708)),ISNUMBER(SEARCH("入",D1708)))),"Ambiguous",IF(ISNUMBER(SEARCH("平",D1708)),"平","仄")))</x:f>
        <x:v>仄</x:v>
      </x:c>
      <x:c r="L1708" s="7" t="str"/>
    </x:row>
    <x:row r="1709">
      <x:c r="A1709" s="5" t="str">
        <x:v>旣</x:v>
      </x:c>
      <x:c r="B1709" s="6" t="str">
        <x:v>去</x:v>
      </x:c>
      <x:c r="C1709" s="6" t="str">
        <x:f>IF(B1709="","Needs decision","Ready")</x:f>
        <x:v>Ready</x:v>
      </x:c>
      <x:c r="D1709" s="6" t="str">
        <x:v>去</x:v>
      </x:c>
      <x:c r="E1709" s="6" t="str">
        <x:v>kj+jH [見開三C微去] kɨjh</x:v>
      </x:c>
      <x:c r="F1709" s="6" t="str"/>
      <x:c r="G1709" s="6" t="str"/>
      <x:c r="H1709" s="6" t="str">
        <x:v>1</x:v>
      </x:c>
      <x:c r="I1709" s="6" t="str">
        <x:v>Targeted preliminary fill from Xun Gong; review if uncertain (looked up under 既)</x:v>
      </x:c>
      <x:c r="J1709" s="6" t="str">
        <x:f>IF(B1709="","",IF(AND(ISNUMBER(SEARCH("平",B1709)),OR(ISNUMBER(SEARCH("上",B1709)),ISNUMBER(SEARCH("去",B1709)),ISNUMBER(SEARCH("入",B1709)))),"Ambiguous",IF(ISNUMBER(SEARCH("平",B1709)),"平","仄")))</x:f>
        <x:v>仄</x:v>
      </x:c>
      <x:c r="K1709" s="6" t="str">
        <x:f>IF(D1709="","",IF(AND(ISNUMBER(SEARCH("平",D1709)),OR(ISNUMBER(SEARCH("上",D1709)),ISNUMBER(SEARCH("去",D1709)),ISNUMBER(SEARCH("入",D1709)))),"Ambiguous",IF(ISNUMBER(SEARCH("平",D1709)),"平","仄")))</x:f>
        <x:v>仄</x:v>
      </x:c>
      <x:c r="L1709" s="7" t="str">
        <x:v>Xun Gong character-readings.csv</x:v>
      </x:c>
    </x:row>
    <x:row r="1710">
      <x:c r="A1710" s="5" t="str">
        <x:v>日</x:v>
      </x:c>
      <x:c r="B1710" s="6" t="str">
        <x:v>入</x:v>
      </x:c>
      <x:c r="C1710" s="6" t="str">
        <x:f>IF(B1710="","Needs decision","Ready")</x:f>
        <x:v>Ready</x:v>
      </x:c>
      <x:c r="D1710" s="6" t="str">
        <x:v>入</x:v>
      </x:c>
      <x:c r="E1710" s="6" t="str">
        <x:v>nyit (D)</x:v>
      </x:c>
      <x:c r="F1710" s="6" t="str">
        <x:v>入聲四質</x:v>
      </x:c>
      <x:c r="G1710" s="6" t="str">
        <x:v>Pingshui main list, Wikisource-derived DOCX</x:v>
      </x:c>
      <x:c r="H1710" s="6" t="str">
        <x:v>1</x:v>
      </x:c>
      <x:c r="I1710" s="6" t="str"/>
      <x:c r="J1710" s="6" t="str">
        <x:f>IF(B1710="","",IF(AND(ISNUMBER(SEARCH("平",B1710)),OR(ISNUMBER(SEARCH("上",B1710)),ISNUMBER(SEARCH("去",B1710)),ISNUMBER(SEARCH("入",B1710)))),"Ambiguous",IF(ISNUMBER(SEARCH("平",B1710)),"平","仄")))</x:f>
        <x:v>仄</x:v>
      </x:c>
      <x:c r="K1710" s="6" t="str">
        <x:f>IF(D1710="","",IF(AND(ISNUMBER(SEARCH("平",D1710)),OR(ISNUMBER(SEARCH("上",D1710)),ISNUMBER(SEARCH("去",D1710)),ISNUMBER(SEARCH("入",D1710)))),"Ambiguous",IF(ISNUMBER(SEARCH("平",D1710)),"平","仄")))</x:f>
        <x:v>仄</x:v>
      </x:c>
      <x:c r="L1710" s="7" t="str"/>
    </x:row>
    <x:row r="1711">
      <x:c r="A1711" s="5" t="str">
        <x:v>旦</x:v>
      </x:c>
      <x:c r="B1711" s="6" t="str">
        <x:v>去</x:v>
      </x:c>
      <x:c r="C1711" s="6" t="str">
        <x:f>IF(B1711="","Needs decision","Ready")</x:f>
        <x:v>Ready</x:v>
      </x:c>
      <x:c r="D1711" s="6" t="str">
        <x:v>去</x:v>
      </x:c>
      <x:c r="E1711" s="6" t="str">
        <x:v>tanH (C)</x:v>
      </x:c>
      <x:c r="F1711" s="6" t="str">
        <x:v>去聲十五翰</x:v>
      </x:c>
      <x:c r="G1711" s="6" t="str">
        <x:v>Pingshui main list, Wikisource-derived DOCX</x:v>
      </x:c>
      <x:c r="H1711" s="6" t="str">
        <x:v>1</x:v>
      </x:c>
      <x:c r="I1711" s="6" t="str"/>
      <x:c r="J1711" s="6" t="str">
        <x:f>IF(B1711="","",IF(AND(ISNUMBER(SEARCH("平",B1711)),OR(ISNUMBER(SEARCH("上",B1711)),ISNUMBER(SEARCH("去",B1711)),ISNUMBER(SEARCH("入",B1711)))),"Ambiguous",IF(ISNUMBER(SEARCH("平",B1711)),"平","仄")))</x:f>
        <x:v>仄</x:v>
      </x:c>
      <x:c r="K1711" s="6" t="str">
        <x:f>IF(D1711="","",IF(AND(ISNUMBER(SEARCH("平",D1711)),OR(ISNUMBER(SEARCH("上",D1711)),ISNUMBER(SEARCH("去",D1711)),ISNUMBER(SEARCH("入",D1711)))),"Ambiguous",IF(ISNUMBER(SEARCH("平",D1711)),"平","仄")))</x:f>
        <x:v>仄</x:v>
      </x:c>
      <x:c r="L1711" s="7" t="str"/>
    </x:row>
    <x:row r="1712">
      <x:c r="A1712" s="5" t="str">
        <x:v>旨</x:v>
      </x:c>
      <x:c r="B1712" s="6" t="str">
        <x:v>上</x:v>
      </x:c>
      <x:c r="C1712" s="6" t="str">
        <x:f>IF(B1712="","Needs decision","Ready")</x:f>
        <x:v>Ready</x:v>
      </x:c>
      <x:c r="D1712" s="6" t="str">
        <x:v>上</x:v>
      </x:c>
      <x:c r="E1712" s="6" t="str">
        <x:v>tsyijX (B)</x:v>
      </x:c>
      <x:c r="F1712" s="6" t="str">
        <x:v>上聲四紙</x:v>
      </x:c>
      <x:c r="G1712" s="6" t="str">
        <x:v>Pingshui main list, Wikisource-derived DOCX</x:v>
      </x:c>
      <x:c r="H1712" s="6" t="str">
        <x:v>1</x:v>
      </x:c>
      <x:c r="I1712" s="6" t="str"/>
      <x:c r="J1712" s="6" t="str">
        <x:f>IF(B1712="","",IF(AND(ISNUMBER(SEARCH("平",B1712)),OR(ISNUMBER(SEARCH("上",B1712)),ISNUMBER(SEARCH("去",B1712)),ISNUMBER(SEARCH("入",B1712)))),"Ambiguous",IF(ISNUMBER(SEARCH("平",B1712)),"平","仄")))</x:f>
        <x:v>仄</x:v>
      </x:c>
      <x:c r="K1712" s="6" t="str">
        <x:f>IF(D1712="","",IF(AND(ISNUMBER(SEARCH("平",D1712)),OR(ISNUMBER(SEARCH("上",D1712)),ISNUMBER(SEARCH("去",D1712)),ISNUMBER(SEARCH("入",D1712)))),"Ambiguous",IF(ISNUMBER(SEARCH("平",D1712)),"平","仄")))</x:f>
        <x:v>仄</x:v>
      </x:c>
      <x:c r="L1712" s="7" t="str"/>
    </x:row>
    <x:row r="1713">
      <x:c r="A1713" s="5" t="str">
        <x:v>早</x:v>
      </x:c>
      <x:c r="B1713" s="6" t="str">
        <x:v>上</x:v>
      </x:c>
      <x:c r="C1713" s="6" t="str">
        <x:f>IF(B1713="","Needs decision","Ready")</x:f>
        <x:v>Ready</x:v>
      </x:c>
      <x:c r="D1713" s="6" t="str">
        <x:v>上</x:v>
      </x:c>
      <x:c r="E1713" s="6" t="str">
        <x:v>tsawX (B)</x:v>
      </x:c>
      <x:c r="F1713" s="6" t="str">
        <x:v>上聲十九皓</x:v>
      </x:c>
      <x:c r="G1713" s="6" t="str">
        <x:v>Pingshui main list, Wikisource-derived DOCX</x:v>
      </x:c>
      <x:c r="H1713" s="6" t="str">
        <x:v>1</x:v>
      </x:c>
      <x:c r="I1713" s="6" t="str"/>
      <x:c r="J1713" s="6" t="str">
        <x:f>IF(B1713="","",IF(AND(ISNUMBER(SEARCH("平",B1713)),OR(ISNUMBER(SEARCH("上",B1713)),ISNUMBER(SEARCH("去",B1713)),ISNUMBER(SEARCH("入",B1713)))),"Ambiguous",IF(ISNUMBER(SEARCH("平",B1713)),"平","仄")))</x:f>
        <x:v>仄</x:v>
      </x:c>
      <x:c r="K1713" s="6" t="str">
        <x:f>IF(D1713="","",IF(AND(ISNUMBER(SEARCH("平",D1713)),OR(ISNUMBER(SEARCH("上",D1713)),ISNUMBER(SEARCH("去",D1713)),ISNUMBER(SEARCH("入",D1713)))),"Ambiguous",IF(ISNUMBER(SEARCH("平",D1713)),"平","仄")))</x:f>
        <x:v>仄</x:v>
      </x:c>
      <x:c r="L1713" s="7" t="str"/>
    </x:row>
    <x:row r="1714">
      <x:c r="A1714" s="5" t="str">
        <x:v>旬</x:v>
      </x:c>
      <x:c r="B1714" s="6" t="str">
        <x:v>平</x:v>
      </x:c>
      <x:c r="C1714" s="6" t="str">
        <x:f>IF(B1714="","Needs decision","Ready")</x:f>
        <x:v>Ready</x:v>
      </x:c>
      <x:c r="D1714" s="6" t="str">
        <x:v>平</x:v>
      </x:c>
      <x:c r="E1714" s="6" t="str">
        <x:v>zwin (A)</x:v>
      </x:c>
      <x:c r="F1714" s="6" t="str">
        <x:v>上平聲十一真</x:v>
      </x:c>
      <x:c r="G1714" s="6" t="str">
        <x:v>Pingshui main list, Wikisource-derived DOCX</x:v>
      </x:c>
      <x:c r="H1714" s="6" t="str">
        <x:v>1</x:v>
      </x:c>
      <x:c r="I1714" s="6" t="str"/>
      <x:c r="J1714" s="6" t="str">
        <x:f>IF(B1714="","",IF(AND(ISNUMBER(SEARCH("平",B1714)),OR(ISNUMBER(SEARCH("上",B1714)),ISNUMBER(SEARCH("去",B1714)),ISNUMBER(SEARCH("入",B1714)))),"Ambiguous",IF(ISNUMBER(SEARCH("平",B1714)),"平","仄")))</x:f>
        <x:v>平</x:v>
      </x:c>
      <x:c r="K1714" s="6" t="str">
        <x:f>IF(D1714="","",IF(AND(ISNUMBER(SEARCH("平",D1714)),OR(ISNUMBER(SEARCH("上",D1714)),ISNUMBER(SEARCH("去",D1714)),ISNUMBER(SEARCH("入",D1714)))),"Ambiguous",IF(ISNUMBER(SEARCH("平",D1714)),"平","仄")))</x:f>
        <x:v>平</x:v>
      </x:c>
      <x:c r="L1714" s="7" t="str"/>
    </x:row>
    <x:row r="1715">
      <x:c r="A1715" s="5" t="str">
        <x:v>旭</x:v>
      </x:c>
      <x:c r="B1715" s="6" t="str">
        <x:v>入</x:v>
      </x:c>
      <x:c r="C1715" s="6" t="str">
        <x:f>IF(B1715="","Needs decision","Ready")</x:f>
        <x:v>Ready</x:v>
      </x:c>
      <x:c r="D1715" s="6" t="str">
        <x:v>入</x:v>
      </x:c>
      <x:c r="E1715" s="6" t="str"/>
      <x:c r="F1715" s="6" t="str">
        <x:v>入聲二沃</x:v>
      </x:c>
      <x:c r="G1715" s="6" t="str">
        <x:v>Pingshui main list, Wikisource-derived DOCX</x:v>
      </x:c>
      <x:c r="H1715" s="6" t="str"/>
      <x:c r="I1715" s="6" t="str">
        <x:v>Manual user correction/addition</x:v>
      </x:c>
      <x:c r="J1715" s="6" t="str">
        <x:f>IF(B1715="","",IF(AND(ISNUMBER(SEARCH("平",B1715)),OR(ISNUMBER(SEARCH("上",B1715)),ISNUMBER(SEARCH("去",B1715)),ISNUMBER(SEARCH("入",B1715)))),"Ambiguous",IF(ISNUMBER(SEARCH("平",B1715)),"平","仄")))</x:f>
        <x:v>仄</x:v>
      </x:c>
      <x:c r="K1715" s="6" t="str">
        <x:f>IF(D1715="","",IF(AND(ISNUMBER(SEARCH("平",D1715)),OR(ISNUMBER(SEARCH("上",D1715)),ISNUMBER(SEARCH("去",D1715)),ISNUMBER(SEARCH("入",D1715)))),"Ambiguous",IF(ISNUMBER(SEARCH("平",D1715)),"平","仄")))</x:f>
        <x:v>仄</x:v>
      </x:c>
      <x:c r="L1715" s="7" t="str">
        <x:v>manual user correction</x:v>
      </x:c>
    </x:row>
    <x:row r="1716">
      <x:c r="A1716" s="5" t="str">
        <x:v>旱</x:v>
      </x:c>
      <x:c r="B1716" s="6" t="str">
        <x:v>上</x:v>
      </x:c>
      <x:c r="C1716" s="6" t="str">
        <x:f>IF(B1716="","Needs decision","Ready")</x:f>
        <x:v>Ready</x:v>
      </x:c>
      <x:c r="D1716" s="6" t="str">
        <x:v>上</x:v>
      </x:c>
      <x:c r="E1716" s="6" t="str">
        <x:v>hanX (B)</x:v>
      </x:c>
      <x:c r="F1716" s="6" t="str">
        <x:v>上聲十四旱</x:v>
      </x:c>
      <x:c r="G1716" s="6" t="str">
        <x:v>Pingshui main list, Wikisource-derived DOCX</x:v>
      </x:c>
      <x:c r="H1716" s="6" t="str">
        <x:v>1</x:v>
      </x:c>
      <x:c r="I1716" s="6" t="str"/>
      <x:c r="J1716" s="6" t="str">
        <x:f>IF(B1716="","",IF(AND(ISNUMBER(SEARCH("平",B1716)),OR(ISNUMBER(SEARCH("上",B1716)),ISNUMBER(SEARCH("去",B1716)),ISNUMBER(SEARCH("入",B1716)))),"Ambiguous",IF(ISNUMBER(SEARCH("平",B1716)),"平","仄")))</x:f>
        <x:v>仄</x:v>
      </x:c>
      <x:c r="K1716" s="6" t="str">
        <x:f>IF(D1716="","",IF(AND(ISNUMBER(SEARCH("平",D1716)),OR(ISNUMBER(SEARCH("上",D1716)),ISNUMBER(SEARCH("去",D1716)),ISNUMBER(SEARCH("入",D1716)))),"Ambiguous",IF(ISNUMBER(SEARCH("平",D1716)),"平","仄")))</x:f>
        <x:v>仄</x:v>
      </x:c>
      <x:c r="L1716" s="7" t="str"/>
    </x:row>
    <x:row r="1717">
      <x:c r="A1717" s="5" t="str">
        <x:v>旻</x:v>
      </x:c>
      <x:c r="B1717" s="6" t="str">
        <x:v>平</x:v>
      </x:c>
      <x:c r="C1717" s="6" t="str">
        <x:f>IF(B1717="","Needs decision","Ready")</x:f>
        <x:v>Ready</x:v>
      </x:c>
      <x:c r="D1717" s="6" t="str">
        <x:v>平</x:v>
      </x:c>
      <x:c r="E1717" s="6" t="str">
        <x:v>min (A)</x:v>
      </x:c>
      <x:c r="F1717" s="6" t="str">
        <x:v>上平聲十一真</x:v>
      </x:c>
      <x:c r="G1717" s="6" t="str">
        <x:v>Pingshui main list, Wikisource-derived DOCX</x:v>
      </x:c>
      <x:c r="H1717" s="6" t="str">
        <x:v>1</x:v>
      </x:c>
      <x:c r="I1717" s="6" t="str"/>
      <x:c r="J1717" s="6" t="str">
        <x:f>IF(B1717="","",IF(AND(ISNUMBER(SEARCH("平",B1717)),OR(ISNUMBER(SEARCH("上",B1717)),ISNUMBER(SEARCH("去",B1717)),ISNUMBER(SEARCH("入",B1717)))),"Ambiguous",IF(ISNUMBER(SEARCH("平",B1717)),"平","仄")))</x:f>
        <x:v>平</x:v>
      </x:c>
      <x:c r="K1717" s="6" t="str">
        <x:f>IF(D1717="","",IF(AND(ISNUMBER(SEARCH("平",D1717)),OR(ISNUMBER(SEARCH("上",D1717)),ISNUMBER(SEARCH("去",D1717)),ISNUMBER(SEARCH("入",D1717)))),"Ambiguous",IF(ISNUMBER(SEARCH("平",D1717)),"平","仄")))</x:f>
        <x:v>平</x:v>
      </x:c>
      <x:c r="L1717" s="7" t="str"/>
    </x:row>
    <x:row r="1718">
      <x:c r="A1718" s="5" t="str">
        <x:v>昂</x:v>
      </x:c>
      <x:c r="B1718" s="6" t="str">
        <x:v>平</x:v>
      </x:c>
      <x:c r="C1718" s="6" t="str">
        <x:f>IF(B1718="","Needs decision","Ready")</x:f>
        <x:v>Ready</x:v>
      </x:c>
      <x:c r="D1718" s="6" t="str">
        <x:v>平</x:v>
      </x:c>
      <x:c r="E1718" s="6" t="str">
        <x:v>ngang [ɴɑŋ] (平)</x:v>
      </x:c>
      <x:c r="F1718" s="6" t="str"/>
      <x:c r="G1718" s="6" t="str"/>
      <x:c r="H1718" s="6" t="str">
        <x:v>1</x:v>
      </x:c>
      <x:c r="I1718" s="6" t="str">
        <x:v>Tang 300 gap; frequency 1; provisional from Xun Gong</x:v>
      </x:c>
      <x:c r="J1718" s="6" t="str">
        <x:f>IF(B1718="","",IF(AND(ISNUMBER(SEARCH("平",B1718)),OR(ISNUMBER(SEARCH("上",B1718)),ISNUMBER(SEARCH("去",B1718)),ISNUMBER(SEARCH("入",B1718)))),"Ambiguous",IF(ISNUMBER(SEARCH("平",B1718)),"平","仄")))</x:f>
        <x:v>平</x:v>
      </x:c>
      <x:c r="K1718" s="6" t="str">
        <x:f>IF(D1718="","",IF(AND(ISNUMBER(SEARCH("平",D1718)),OR(ISNUMBER(SEARCH("上",D1718)),ISNUMBER(SEARCH("去",D1718)),ISNUMBER(SEARCH("入",D1718)))),"Ambiguous",IF(ISNUMBER(SEARCH("平",D1718)),"平","仄")))</x:f>
        <x:v>平</x:v>
      </x:c>
      <x:c r="L1718" s="7" t="str">
        <x:v>Xun Gong, Tang 300 gap fill</x:v>
      </x:c>
    </x:row>
    <x:row r="1719">
      <x:c r="A1719" s="5" t="str">
        <x:v>昃</x:v>
      </x:c>
      <x:c r="B1719" s="6" t="str">
        <x:v>入</x:v>
      </x:c>
      <x:c r="C1719" s="6" t="str">
        <x:f>IF(B1719="","Needs decision","Ready")</x:f>
        <x:v>Ready</x:v>
      </x:c>
      <x:c r="D1719" s="6" t="str">
        <x:v>入</x:v>
      </x:c>
      <x:c r="E1719" s="6" t="str">
        <x:v>tsrik (D)</x:v>
      </x:c>
      <x:c r="F1719" s="6" t="str">
        <x:v>入聲十三職</x:v>
      </x:c>
      <x:c r="G1719" s="6" t="str">
        <x:v>Pingshui main list, Wikisource-derived DOCX</x:v>
      </x:c>
      <x:c r="H1719" s="6" t="str">
        <x:v>1</x:v>
      </x:c>
      <x:c r="I1719" s="6" t="str"/>
      <x:c r="J1719" s="6" t="str">
        <x:f>IF(B1719="","",IF(AND(ISNUMBER(SEARCH("平",B1719)),OR(ISNUMBER(SEARCH("上",B1719)),ISNUMBER(SEARCH("去",B1719)),ISNUMBER(SEARCH("入",B1719)))),"Ambiguous",IF(ISNUMBER(SEARCH("平",B1719)),"平","仄")))</x:f>
        <x:v>仄</x:v>
      </x:c>
      <x:c r="K1719" s="6" t="str">
        <x:f>IF(D1719="","",IF(AND(ISNUMBER(SEARCH("平",D1719)),OR(ISNUMBER(SEARCH("上",D1719)),ISNUMBER(SEARCH("去",D1719)),ISNUMBER(SEARCH("入",D1719)))),"Ambiguous",IF(ISNUMBER(SEARCH("平",D1719)),"平","仄")))</x:f>
        <x:v>仄</x:v>
      </x:c>
      <x:c r="L1719" s="7" t="str"/>
    </x:row>
    <x:row r="1720">
      <x:c r="A1720" s="5" t="str">
        <x:v>昆</x:v>
      </x:c>
      <x:c r="B1720" s="6" t="str">
        <x:v>平</x:v>
      </x:c>
      <x:c r="C1720" s="6" t="str">
        <x:f>IF(B1720="","Needs decision","Ready")</x:f>
        <x:v>Ready</x:v>
      </x:c>
      <x:c r="D1720" s="6" t="str">
        <x:v>平</x:v>
      </x:c>
      <x:c r="E1720" s="6" t="str">
        <x:v>kwon (A)</x:v>
      </x:c>
      <x:c r="F1720" s="6" t="str">
        <x:v>上平聲十三元</x:v>
      </x:c>
      <x:c r="G1720" s="6" t="str">
        <x:v>Pingshui main list, Wikisource-derived DOCX</x:v>
      </x:c>
      <x:c r="H1720" s="6" t="str">
        <x:v>1</x:v>
      </x:c>
      <x:c r="I1720" s="6" t="str"/>
      <x:c r="J1720" s="6" t="str">
        <x:f>IF(B1720="","",IF(AND(ISNUMBER(SEARCH("平",B1720)),OR(ISNUMBER(SEARCH("上",B1720)),ISNUMBER(SEARCH("去",B1720)),ISNUMBER(SEARCH("入",B1720)))),"Ambiguous",IF(ISNUMBER(SEARCH("平",B1720)),"平","仄")))</x:f>
        <x:v>平</x:v>
      </x:c>
      <x:c r="K1720" s="6" t="str">
        <x:f>IF(D1720="","",IF(AND(ISNUMBER(SEARCH("平",D1720)),OR(ISNUMBER(SEARCH("上",D1720)),ISNUMBER(SEARCH("去",D1720)),ISNUMBER(SEARCH("入",D1720)))),"Ambiguous",IF(ISNUMBER(SEARCH("平",D1720)),"平","仄")))</x:f>
        <x:v>平</x:v>
      </x:c>
      <x:c r="L1720" s="7" t="str"/>
    </x:row>
    <x:row r="1721">
      <x:c r="A1721" s="5" t="str">
        <x:v>昉</x:v>
      </x:c>
      <x:c r="B1721" s="6" t="str">
        <x:v>上</x:v>
      </x:c>
      <x:c r="C1721" s="6" t="str">
        <x:f>IF(B1721="","Needs decision","Ready")</x:f>
        <x:v>Ready</x:v>
      </x:c>
      <x:c r="D1721" s="6" t="str">
        <x:v>上</x:v>
      </x:c>
      <x:c r="E1721" s="6" t="str">
        <x:v>pjangX (B)</x:v>
      </x:c>
      <x:c r="F1721" s="6" t="str">
        <x:v>上聲二十二養</x:v>
      </x:c>
      <x:c r="G1721" s="6" t="str">
        <x:v>Pingshui main list, Wikisource-derived DOCX</x:v>
      </x:c>
      <x:c r="H1721" s="6" t="str">
        <x:v>1</x:v>
      </x:c>
      <x:c r="I1721" s="6" t="str"/>
      <x:c r="J1721" s="6" t="str">
        <x:f>IF(B1721="","",IF(AND(ISNUMBER(SEARCH("平",B1721)),OR(ISNUMBER(SEARCH("上",B1721)),ISNUMBER(SEARCH("去",B1721)),ISNUMBER(SEARCH("入",B1721)))),"Ambiguous",IF(ISNUMBER(SEARCH("平",B1721)),"平","仄")))</x:f>
        <x:v>仄</x:v>
      </x:c>
      <x:c r="K1721" s="6" t="str">
        <x:f>IF(D1721="","",IF(AND(ISNUMBER(SEARCH("平",D1721)),OR(ISNUMBER(SEARCH("上",D1721)),ISNUMBER(SEARCH("去",D1721)),ISNUMBER(SEARCH("入",D1721)))),"Ambiguous",IF(ISNUMBER(SEARCH("平",D1721)),"平","仄")))</x:f>
        <x:v>仄</x:v>
      </x:c>
      <x:c r="L1721" s="7" t="str"/>
    </x:row>
    <x:row r="1722">
      <x:c r="A1722" s="5" t="str">
        <x:v>昊</x:v>
      </x:c>
      <x:c r="B1722" s="6" t="str">
        <x:v>上</x:v>
      </x:c>
      <x:c r="C1722" s="6" t="str">
        <x:f>IF(B1722="","Needs decision","Ready")</x:f>
        <x:v>Ready</x:v>
      </x:c>
      <x:c r="D1722" s="6" t="str">
        <x:v>上</x:v>
      </x:c>
      <x:c r="E1722" s="6" t="str">
        <x:v>hawX [匣開一豪上] ʁəwʔ</x:v>
      </x:c>
      <x:c r="F1722" s="6" t="str">
        <x:v>上聲十九皓</x:v>
      </x:c>
      <x:c r="G1722" s="6" t="str">
        <x:v>Pingshui main list, Wikisource-derived DOCX</x:v>
      </x:c>
      <x:c r="H1722" s="6" t="str">
        <x:v>1</x:v>
      </x:c>
      <x:c r="I1722" s="6" t="str">
        <x:v>Targeted preliminary fill from Xun Gong; review if uncertain</x:v>
      </x:c>
      <x:c r="J1722" s="6" t="str">
        <x:f>IF(B1722="","",IF(AND(ISNUMBER(SEARCH("平",B1722)),OR(ISNUMBER(SEARCH("上",B1722)),ISNUMBER(SEARCH("去",B1722)),ISNUMBER(SEARCH("入",B1722)))),"Ambiguous",IF(ISNUMBER(SEARCH("平",B1722)),"平","仄")))</x:f>
        <x:v>仄</x:v>
      </x:c>
      <x:c r="K1722" s="6" t="str">
        <x:f>IF(D1722="","",IF(AND(ISNUMBER(SEARCH("平",D1722)),OR(ISNUMBER(SEARCH("上",D1722)),ISNUMBER(SEARCH("去",D1722)),ISNUMBER(SEARCH("入",D1722)))),"Ambiguous",IF(ISNUMBER(SEARCH("平",D1722)),"平","仄")))</x:f>
        <x:v>仄</x:v>
      </x:c>
      <x:c r="L1722" s="7" t="str">
        <x:v>Xun Gong character-readings.csv</x:v>
      </x:c>
    </x:row>
    <x:row r="1723">
      <x:c r="A1723" s="5" t="str">
        <x:v>昌</x:v>
      </x:c>
      <x:c r="B1723" s="6" t="str">
        <x:v>平</x:v>
      </x:c>
      <x:c r="C1723" s="6" t="str">
        <x:f>IF(B1723="","Needs decision","Ready")</x:f>
        <x:v>Ready</x:v>
      </x:c>
      <x:c r="D1723" s="6" t="str">
        <x:v>平</x:v>
      </x:c>
      <x:c r="E1723" s="6" t="str">
        <x:v>tsyhang [昌開三陽平] tɕʰɑŋ</x:v>
      </x:c>
      <x:c r="F1723" s="6" t="str">
        <x:v>下平聲七陽</x:v>
      </x:c>
      <x:c r="G1723" s="6" t="str">
        <x:v>Pingshui main list, Wikisource-derived DOCX</x:v>
      </x:c>
      <x:c r="H1723" s="6" t="str">
        <x:v>1</x:v>
      </x:c>
      <x:c r="I1723" s="6" t="str">
        <x:v>Targeted preliminary fill from Xun Gong; review if uncertain</x:v>
      </x:c>
      <x:c r="J1723" s="6" t="str">
        <x:f>IF(B1723="","",IF(AND(ISNUMBER(SEARCH("平",B1723)),OR(ISNUMBER(SEARCH("上",B1723)),ISNUMBER(SEARCH("去",B1723)),ISNUMBER(SEARCH("入",B1723)))),"Ambiguous",IF(ISNUMBER(SEARCH("平",B1723)),"平","仄")))</x:f>
        <x:v>平</x:v>
      </x:c>
      <x:c r="K1723" s="6" t="str">
        <x:f>IF(D1723="","",IF(AND(ISNUMBER(SEARCH("平",D1723)),OR(ISNUMBER(SEARCH("上",D1723)),ISNUMBER(SEARCH("去",D1723)),ISNUMBER(SEARCH("入",D1723)))),"Ambiguous",IF(ISNUMBER(SEARCH("平",D1723)),"平","仄")))</x:f>
        <x:v>平</x:v>
      </x:c>
      <x:c r="L1723" s="7" t="str">
        <x:v>Xun Gong character-readings.csv</x:v>
      </x:c>
    </x:row>
    <x:row r="1724">
      <x:c r="A1724" s="5" t="str">
        <x:v>明</x:v>
      </x:c>
      <x:c r="B1724" s="6" t="str">
        <x:v>平</x:v>
      </x:c>
      <x:c r="C1724" s="6" t="str">
        <x:f>IF(B1724="","Needs decision","Ready")</x:f>
        <x:v>Ready</x:v>
      </x:c>
      <x:c r="D1724" s="6" t="str">
        <x:v>平</x:v>
      </x:c>
      <x:c r="E1724" s="6" t="str">
        <x:v>mjaeng (A)</x:v>
      </x:c>
      <x:c r="F1724" s="6" t="str">
        <x:v>下平聲八庚</x:v>
      </x:c>
      <x:c r="G1724" s="6" t="str">
        <x:v>Pingshui main list, Wikisource-derived DOCX</x:v>
      </x:c>
      <x:c r="H1724" s="6" t="str">
        <x:v>1</x:v>
      </x:c>
      <x:c r="I1724" s="6" t="str"/>
      <x:c r="J1724" s="6" t="str">
        <x:f>IF(B1724="","",IF(AND(ISNUMBER(SEARCH("平",B1724)),OR(ISNUMBER(SEARCH("上",B1724)),ISNUMBER(SEARCH("去",B1724)),ISNUMBER(SEARCH("入",B1724)))),"Ambiguous",IF(ISNUMBER(SEARCH("平",B1724)),"平","仄")))</x:f>
        <x:v>平</x:v>
      </x:c>
      <x:c r="K1724" s="6" t="str">
        <x:f>IF(D1724="","",IF(AND(ISNUMBER(SEARCH("平",D1724)),OR(ISNUMBER(SEARCH("上",D1724)),ISNUMBER(SEARCH("去",D1724)),ISNUMBER(SEARCH("入",D1724)))),"Ambiguous",IF(ISNUMBER(SEARCH("平",D1724)),"平","仄")))</x:f>
        <x:v>平</x:v>
      </x:c>
      <x:c r="L1724" s="7" t="str"/>
    </x:row>
    <x:row r="1725">
      <x:c r="A1725" s="5" t="str">
        <x:v>昏</x:v>
      </x:c>
      <x:c r="B1725" s="6" t="str">
        <x:v>平</x:v>
      </x:c>
      <x:c r="C1725" s="6" t="str">
        <x:f>IF(B1725="","Needs decision","Ready")</x:f>
        <x:v>Ready</x:v>
      </x:c>
      <x:c r="D1725" s="6" t="str">
        <x:v>平</x:v>
      </x:c>
      <x:c r="E1725" s="6" t="str">
        <x:v>xwon (A)</x:v>
      </x:c>
      <x:c r="F1725" s="6" t="str">
        <x:v>上平聲十三元</x:v>
      </x:c>
      <x:c r="G1725" s="6" t="str">
        <x:v>Pingshui main list, Wikisource-derived DOCX</x:v>
      </x:c>
      <x:c r="H1725" s="6" t="str">
        <x:v>1</x:v>
      </x:c>
      <x:c r="I1725" s="6" t="str"/>
      <x:c r="J1725" s="6" t="str">
        <x:f>IF(B1725="","",IF(AND(ISNUMBER(SEARCH("平",B1725)),OR(ISNUMBER(SEARCH("上",B1725)),ISNUMBER(SEARCH("去",B1725)),ISNUMBER(SEARCH("入",B1725)))),"Ambiguous",IF(ISNUMBER(SEARCH("平",B1725)),"平","仄")))</x:f>
        <x:v>平</x:v>
      </x:c>
      <x:c r="K1725" s="6" t="str">
        <x:f>IF(D1725="","",IF(AND(ISNUMBER(SEARCH("平",D1725)),OR(ISNUMBER(SEARCH("上",D1725)),ISNUMBER(SEARCH("去",D1725)),ISNUMBER(SEARCH("入",D1725)))),"Ambiguous",IF(ISNUMBER(SEARCH("平",D1725)),"平","仄")))</x:f>
        <x:v>平</x:v>
      </x:c>
      <x:c r="L1725" s="7" t="str"/>
    </x:row>
    <x:row r="1726">
      <x:c r="A1726" s="5" t="str">
        <x:v>易</x:v>
      </x:c>
      <x:c r="B1726" s="6" t="str"/>
      <x:c r="C1726" s="6" t="str">
        <x:f>IF(B1726="","Needs decision","Ready")</x:f>
        <x:v>Needs decision</x:v>
      </x:c>
      <x:c r="D1726" s="6" t="str">
        <x:v>去/入</x:v>
      </x:c>
      <x:c r="E1726" s="6" t="str">
        <x:v>yeH (C); yek (D)</x:v>
      </x:c>
      <x:c r="F1726" s="6" t="str">
        <x:v>去聲四寘; 入聲十一陌</x:v>
      </x:c>
      <x:c r="G1726" s="6" t="str">
        <x:v>Pingshui main list, Wikisource-derived DOCX</x:v>
      </x:c>
      <x:c r="H1726" s="6" t="str">
        <x:v>2</x:v>
      </x:c>
      <x:c r="I1726" s="6" t="str"/>
      <x:c r="J1726" s="6" t="str">
        <x:f>IF(B1726="","",IF(AND(ISNUMBER(SEARCH("平",B1726)),OR(ISNUMBER(SEARCH("上",B1726)),ISNUMBER(SEARCH("去",B1726)),ISNUMBER(SEARCH("入",B1726)))),"Ambiguous",IF(ISNUMBER(SEARCH("平",B1726)),"平","仄")))</x:f>
      </x:c>
      <x:c r="K1726" s="6" t="str">
        <x:f>IF(D1726="","",IF(AND(ISNUMBER(SEARCH("平",D1726)),OR(ISNUMBER(SEARCH("上",D1726)),ISNUMBER(SEARCH("去",D1726)),ISNUMBER(SEARCH("入",D1726)))),"Ambiguous",IF(ISNUMBER(SEARCH("平",D1726)),"平","仄")))</x:f>
        <x:v>仄</x:v>
      </x:c>
      <x:c r="L1726" s="7" t="str"/>
    </x:row>
    <x:row r="1727">
      <x:c r="A1727" s="5" t="str">
        <x:v>昔</x:v>
      </x:c>
      <x:c r="B1727" s="6" t="str">
        <x:v>入</x:v>
      </x:c>
      <x:c r="C1727" s="6" t="str">
        <x:f>IF(B1727="","Needs decision","Ready")</x:f>
        <x:v>Ready</x:v>
      </x:c>
      <x:c r="D1727" s="6" t="str">
        <x:v>入</x:v>
      </x:c>
      <x:c r="E1727" s="6" t="str">
        <x:v>sjek (D)</x:v>
      </x:c>
      <x:c r="F1727" s="6" t="str">
        <x:v>入聲十藥; 入聲十一陌</x:v>
      </x:c>
      <x:c r="G1727" s="6" t="str">
        <x:v>Pingshui main list, Wikisource-derived DOCX</x:v>
      </x:c>
      <x:c r="H1727" s="6" t="str">
        <x:v>1</x:v>
      </x:c>
      <x:c r="I1727" s="6" t="str"/>
      <x:c r="J1727" s="6" t="str">
        <x:f>IF(B1727="","",IF(AND(ISNUMBER(SEARCH("平",B1727)),OR(ISNUMBER(SEARCH("上",B1727)),ISNUMBER(SEARCH("去",B1727)),ISNUMBER(SEARCH("入",B1727)))),"Ambiguous",IF(ISNUMBER(SEARCH("平",B1727)),"平","仄")))</x:f>
        <x:v>仄</x:v>
      </x:c>
      <x:c r="K1727" s="6" t="str">
        <x:f>IF(D1727="","",IF(AND(ISNUMBER(SEARCH("平",D1727)),OR(ISNUMBER(SEARCH("上",D1727)),ISNUMBER(SEARCH("去",D1727)),ISNUMBER(SEARCH("入",D1727)))),"Ambiguous",IF(ISNUMBER(SEARCH("平",D1727)),"平","仄")))</x:f>
        <x:v>仄</x:v>
      </x:c>
      <x:c r="L1727" s="7" t="str"/>
    </x:row>
    <x:row r="1728">
      <x:c r="A1728" s="5" t="str">
        <x:v>昕</x:v>
      </x:c>
      <x:c r="B1728" s="6" t="str">
        <x:v>平</x:v>
      </x:c>
      <x:c r="C1728" s="6" t="str">
        <x:f>IF(B1728="","Needs decision","Ready")</x:f>
        <x:v>Ready</x:v>
      </x:c>
      <x:c r="D1728" s="6" t="str">
        <x:v>平</x:v>
      </x:c>
      <x:c r="E1728" s="6" t="str">
        <x:v>xj+n (A)</x:v>
      </x:c>
      <x:c r="F1728" s="6" t="str">
        <x:v>上平聲十二文</x:v>
      </x:c>
      <x:c r="G1728" s="6" t="str">
        <x:v>Pingshui main list, Wikisource-derived DOCX</x:v>
      </x:c>
      <x:c r="H1728" s="6" t="str">
        <x:v>1</x:v>
      </x:c>
      <x:c r="I1728" s="6" t="str"/>
      <x:c r="J1728" s="6" t="str">
        <x:f>IF(B1728="","",IF(AND(ISNUMBER(SEARCH("平",B1728)),OR(ISNUMBER(SEARCH("上",B1728)),ISNUMBER(SEARCH("去",B1728)),ISNUMBER(SEARCH("入",B1728)))),"Ambiguous",IF(ISNUMBER(SEARCH("平",B1728)),"平","仄")))</x:f>
        <x:v>平</x:v>
      </x:c>
      <x:c r="K1728" s="6" t="str">
        <x:f>IF(D1728="","",IF(AND(ISNUMBER(SEARCH("平",D1728)),OR(ISNUMBER(SEARCH("上",D1728)),ISNUMBER(SEARCH("去",D1728)),ISNUMBER(SEARCH("入",D1728)))),"Ambiguous",IF(ISNUMBER(SEARCH("平",D1728)),"平","仄")))</x:f>
        <x:v>平</x:v>
      </x:c>
      <x:c r="L1728" s="7" t="str"/>
    </x:row>
    <x:row r="1729">
      <x:c r="A1729" s="5" t="str">
        <x:v>昜</x:v>
      </x:c>
      <x:c r="B1729" s="6" t="str">
        <x:v>平</x:v>
      </x:c>
      <x:c r="C1729" s="6" t="str">
        <x:f>IF(B1729="","Needs decision","Ready")</x:f>
        <x:v>Ready</x:v>
      </x:c>
      <x:c r="D1729" s="6" t="str">
        <x:v>平</x:v>
      </x:c>
      <x:c r="E1729" s="6" t="str">
        <x:v>yang (A)</x:v>
      </x:c>
      <x:c r="F1729" s="6" t="str"/>
      <x:c r="G1729" s="6" t="str"/>
      <x:c r="H1729" s="6" t="str">
        <x:v>1</x:v>
      </x:c>
      <x:c r="I1729" s="6" t="str"/>
      <x:c r="J1729" s="6" t="str">
        <x:f>IF(B1729="","",IF(AND(ISNUMBER(SEARCH("平",B1729)),OR(ISNUMBER(SEARCH("上",B1729)),ISNUMBER(SEARCH("去",B1729)),ISNUMBER(SEARCH("入",B1729)))),"Ambiguous",IF(ISNUMBER(SEARCH("平",B1729)),"平","仄")))</x:f>
        <x:v>平</x:v>
      </x:c>
      <x:c r="K1729" s="6" t="str">
        <x:f>IF(D1729="","",IF(AND(ISNUMBER(SEARCH("平",D1729)),OR(ISNUMBER(SEARCH("上",D1729)),ISNUMBER(SEARCH("去",D1729)),ISNUMBER(SEARCH("入",D1729)))),"Ambiguous",IF(ISNUMBER(SEARCH("平",D1729)),"平","仄")))</x:f>
        <x:v>平</x:v>
      </x:c>
      <x:c r="L1729" s="7" t="str"/>
    </x:row>
    <x:row r="1730">
      <x:c r="A1730" s="5" t="str">
        <x:v>星</x:v>
      </x:c>
      <x:c r="B1730" s="6" t="str">
        <x:v>平</x:v>
      </x:c>
      <x:c r="C1730" s="6" t="str">
        <x:f>IF(B1730="","Needs decision","Ready")</x:f>
        <x:v>Ready</x:v>
      </x:c>
      <x:c r="D1730" s="6" t="str">
        <x:v>平</x:v>
      </x:c>
      <x:c r="E1730" s="6" t="str">
        <x:v>seng (A)</x:v>
      </x:c>
      <x:c r="F1730" s="6" t="str">
        <x:v>下平聲九青</x:v>
      </x:c>
      <x:c r="G1730" s="6" t="str">
        <x:v>Pingshui main list, Wikisource-derived DOCX</x:v>
      </x:c>
      <x:c r="H1730" s="6" t="str">
        <x:v>1</x:v>
      </x:c>
      <x:c r="I1730" s="6" t="str"/>
      <x:c r="J1730" s="6" t="str">
        <x:f>IF(B1730="","",IF(AND(ISNUMBER(SEARCH("平",B1730)),OR(ISNUMBER(SEARCH("上",B1730)),ISNUMBER(SEARCH("去",B1730)),ISNUMBER(SEARCH("入",B1730)))),"Ambiguous",IF(ISNUMBER(SEARCH("平",B1730)),"平","仄")))</x:f>
        <x:v>平</x:v>
      </x:c>
      <x:c r="K1730" s="6" t="str">
        <x:f>IF(D1730="","",IF(AND(ISNUMBER(SEARCH("平",D1730)),OR(ISNUMBER(SEARCH("上",D1730)),ISNUMBER(SEARCH("去",D1730)),ISNUMBER(SEARCH("入",D1730)))),"Ambiguous",IF(ISNUMBER(SEARCH("平",D1730)),"平","仄")))</x:f>
        <x:v>平</x:v>
      </x:c>
      <x:c r="L1730" s="7" t="str"/>
    </x:row>
    <x:row r="1731">
      <x:c r="A1731" s="5" t="str">
        <x:v>映</x:v>
      </x:c>
      <x:c r="B1731" s="6" t="str">
        <x:v>去</x:v>
      </x:c>
      <x:c r="C1731" s="6" t="str">
        <x:f>IF(B1731="","Needs decision","Ready")</x:f>
        <x:v>Ready</x:v>
      </x:c>
      <x:c r="D1731" s="6" t="str">
        <x:v>上/去</x:v>
      </x:c>
      <x:c r="E1731" s="6" t="str"/>
      <x:c r="F1731" s="6" t="str">
        <x:v>去聲二十四敬</x:v>
      </x:c>
      <x:c r="G1731" s="6" t="str">
        <x:v>Pingshui main list, Wikisource-derived DOCX</x:v>
      </x:c>
      <x:c r="H1731" s="6" t="str"/>
      <x:c r="I1731" s="6" t="str">
        <x:v>Manual user correction/addition; ambiguous 上/去; User correction 2026-09-08</x:v>
      </x:c>
      <x:c r="J1731" s="6" t="str">
        <x:f>IF(B1731="","",IF(AND(ISNUMBER(SEARCH("平",B1731)),OR(ISNUMBER(SEARCH("上",B1731)),ISNUMBER(SEARCH("去",B1731)),ISNUMBER(SEARCH("入",B1731)))),"Ambiguous",IF(ISNUMBER(SEARCH("平",B1731)),"平","仄")))</x:f>
        <x:v>仄</x:v>
      </x:c>
      <x:c r="K1731" s="6" t="str">
        <x:f>IF(D1731="","",IF(AND(ISNUMBER(SEARCH("平",D1731)),OR(ISNUMBER(SEARCH("上",D1731)),ISNUMBER(SEARCH("去",D1731)),ISNUMBER(SEARCH("入",D1731)))),"Ambiguous",IF(ISNUMBER(SEARCH("平",D1731)),"平","仄")))</x:f>
        <x:v>仄</x:v>
      </x:c>
      <x:c r="L1731" s="7" t="str">
        <x:v>manual user correction</x:v>
      </x:c>
    </x:row>
    <x:row r="1732">
      <x:c r="A1732" s="5" t="str">
        <x:v>春</x:v>
      </x:c>
      <x:c r="B1732" s="6" t="str">
        <x:v>平</x:v>
      </x:c>
      <x:c r="C1732" s="6" t="str">
        <x:f>IF(B1732="","Needs decision","Ready")</x:f>
        <x:v>Ready</x:v>
      </x:c>
      <x:c r="D1732" s="6" t="str">
        <x:v>平</x:v>
      </x:c>
      <x:c r="E1732" s="6" t="str">
        <x:v>tsyhwin (A)</x:v>
      </x:c>
      <x:c r="F1732" s="6" t="str">
        <x:v>上平聲十一真</x:v>
      </x:c>
      <x:c r="G1732" s="6" t="str">
        <x:v>Pingshui main list, Wikisource-derived DOCX</x:v>
      </x:c>
      <x:c r="H1732" s="6" t="str">
        <x:v>1</x:v>
      </x:c>
      <x:c r="I1732" s="6" t="str"/>
      <x:c r="J1732" s="6" t="str">
        <x:f>IF(B1732="","",IF(AND(ISNUMBER(SEARCH("平",B1732)),OR(ISNUMBER(SEARCH("上",B1732)),ISNUMBER(SEARCH("去",B1732)),ISNUMBER(SEARCH("入",B1732)))),"Ambiguous",IF(ISNUMBER(SEARCH("平",B1732)),"平","仄")))</x:f>
        <x:v>平</x:v>
      </x:c>
      <x:c r="K1732" s="6" t="str">
        <x:f>IF(D1732="","",IF(AND(ISNUMBER(SEARCH("平",D1732)),OR(ISNUMBER(SEARCH("上",D1732)),ISNUMBER(SEARCH("去",D1732)),ISNUMBER(SEARCH("入",D1732)))),"Ambiguous",IF(ISNUMBER(SEARCH("平",D1732)),"平","仄")))</x:f>
        <x:v>平</x:v>
      </x:c>
      <x:c r="L1732" s="7" t="str"/>
    </x:row>
    <x:row r="1733">
      <x:c r="A1733" s="5" t="str">
        <x:v>昧</x:v>
      </x:c>
      <x:c r="B1733" s="6" t="str">
        <x:v>去</x:v>
      </x:c>
      <x:c r="C1733" s="6" t="str">
        <x:f>IF(B1733="","Needs decision","Ready")</x:f>
        <x:v>Ready</x:v>
      </x:c>
      <x:c r="D1733" s="6" t="str">
        <x:v>去</x:v>
      </x:c>
      <x:c r="E1733" s="6" t="str">
        <x:v>mwojH (C)</x:v>
      </x:c>
      <x:c r="F1733" s="6" t="str">
        <x:v>去聲九泰; 去聲十一隊</x:v>
      </x:c>
      <x:c r="G1733" s="6" t="str">
        <x:v>Pingshui main list, Wikisource-derived DOCX</x:v>
      </x:c>
      <x:c r="H1733" s="6" t="str">
        <x:v>1</x:v>
      </x:c>
      <x:c r="I1733" s="6" t="str"/>
      <x:c r="J1733" s="6" t="str">
        <x:f>IF(B1733="","",IF(AND(ISNUMBER(SEARCH("平",B1733)),OR(ISNUMBER(SEARCH("上",B1733)),ISNUMBER(SEARCH("去",B1733)),ISNUMBER(SEARCH("入",B1733)))),"Ambiguous",IF(ISNUMBER(SEARCH("平",B1733)),"平","仄")))</x:f>
        <x:v>仄</x:v>
      </x:c>
      <x:c r="K1733" s="6" t="str">
        <x:f>IF(D1733="","",IF(AND(ISNUMBER(SEARCH("平",D1733)),OR(ISNUMBER(SEARCH("上",D1733)),ISNUMBER(SEARCH("去",D1733)),ISNUMBER(SEARCH("入",D1733)))),"Ambiguous",IF(ISNUMBER(SEARCH("平",D1733)),"平","仄")))</x:f>
        <x:v>仄</x:v>
      </x:c>
      <x:c r="L1733" s="7" t="str"/>
    </x:row>
    <x:row r="1734">
      <x:c r="A1734" s="5" t="str">
        <x:v>昨</x:v>
      </x:c>
      <x:c r="B1734" s="6" t="str">
        <x:v>入</x:v>
      </x:c>
      <x:c r="C1734" s="6" t="str">
        <x:f>IF(B1734="","Needs decision","Ready")</x:f>
        <x:v>Ready</x:v>
      </x:c>
      <x:c r="D1734" s="6" t="str">
        <x:v>入</x:v>
      </x:c>
      <x:c r="E1734" s="6" t="str">
        <x:v>dzak (D)</x:v>
      </x:c>
      <x:c r="F1734" s="6" t="str">
        <x:v>入聲十藥</x:v>
      </x:c>
      <x:c r="G1734" s="6" t="str">
        <x:v>Pingshui main list, Wikisource-derived DOCX</x:v>
      </x:c>
      <x:c r="H1734" s="6" t="str">
        <x:v>1</x:v>
      </x:c>
      <x:c r="I1734" s="6" t="str"/>
      <x:c r="J1734" s="6" t="str">
        <x:f>IF(B1734="","",IF(AND(ISNUMBER(SEARCH("平",B1734)),OR(ISNUMBER(SEARCH("上",B1734)),ISNUMBER(SEARCH("去",B1734)),ISNUMBER(SEARCH("入",B1734)))),"Ambiguous",IF(ISNUMBER(SEARCH("平",B1734)),"平","仄")))</x:f>
        <x:v>仄</x:v>
      </x:c>
      <x:c r="K1734" s="6" t="str">
        <x:f>IF(D1734="","",IF(AND(ISNUMBER(SEARCH("平",D1734)),OR(ISNUMBER(SEARCH("上",D1734)),ISNUMBER(SEARCH("去",D1734)),ISNUMBER(SEARCH("入",D1734)))),"Ambiguous",IF(ISNUMBER(SEARCH("平",D1734)),"平","仄")))</x:f>
        <x:v>仄</x:v>
      </x:c>
      <x:c r="L1734" s="7" t="str"/>
    </x:row>
    <x:row r="1735">
      <x:c r="A1735" s="5" t="str">
        <x:v>昭</x:v>
      </x:c>
      <x:c r="B1735" s="6" t="str">
        <x:v>平</x:v>
      </x:c>
      <x:c r="C1735" s="6" t="str">
        <x:f>IF(B1735="","Needs decision","Ready")</x:f>
        <x:v>Ready</x:v>
      </x:c>
      <x:c r="D1735" s="6" t="str">
        <x:v>平</x:v>
      </x:c>
      <x:c r="E1735" s="6" t="str">
        <x:v>tsyew (A)</x:v>
      </x:c>
      <x:c r="F1735" s="6" t="str">
        <x:v>下平聲二蕭; 上聲十七篠</x:v>
      </x:c>
      <x:c r="G1735" s="6" t="str">
        <x:v>Pingshui main list, Wikisource-derived DOCX</x:v>
      </x:c>
      <x:c r="H1735" s="6" t="str">
        <x:v>1</x:v>
      </x:c>
      <x:c r="I1735" s="6" t="str"/>
      <x:c r="J1735" s="6" t="str">
        <x:f>IF(B1735="","",IF(AND(ISNUMBER(SEARCH("平",B1735)),OR(ISNUMBER(SEARCH("上",B1735)),ISNUMBER(SEARCH("去",B1735)),ISNUMBER(SEARCH("入",B1735)))),"Ambiguous",IF(ISNUMBER(SEARCH("平",B1735)),"平","仄")))</x:f>
        <x:v>平</x:v>
      </x:c>
      <x:c r="K1735" s="6" t="str">
        <x:f>IF(D1735="","",IF(AND(ISNUMBER(SEARCH("平",D1735)),OR(ISNUMBER(SEARCH("上",D1735)),ISNUMBER(SEARCH("去",D1735)),ISNUMBER(SEARCH("入",D1735)))),"Ambiguous",IF(ISNUMBER(SEARCH("平",D1735)),"平","仄")))</x:f>
        <x:v>平</x:v>
      </x:c>
      <x:c r="L1735" s="7" t="str"/>
    </x:row>
    <x:row r="1736">
      <x:c r="A1736" s="5" t="str">
        <x:v>是</x:v>
      </x:c>
      <x:c r="B1736" s="6" t="str">
        <x:v>上</x:v>
      </x:c>
      <x:c r="C1736" s="6" t="str">
        <x:f>IF(B1736="","Needs decision","Ready")</x:f>
        <x:v>Ready</x:v>
      </x:c>
      <x:c r="D1736" s="6" t="str">
        <x:v>上</x:v>
      </x:c>
      <x:c r="E1736" s="6" t="str">
        <x:v>dzyeX (B)</x:v>
      </x:c>
      <x:c r="F1736" s="6" t="str">
        <x:v>上聲四紙</x:v>
      </x:c>
      <x:c r="G1736" s="6" t="str">
        <x:v>Pingshui main list, Wikisource-derived DOCX</x:v>
      </x:c>
      <x:c r="H1736" s="6" t="str">
        <x:v>1</x:v>
      </x:c>
      <x:c r="I1736" s="6" t="str"/>
      <x:c r="J1736" s="6" t="str">
        <x:f>IF(B1736="","",IF(AND(ISNUMBER(SEARCH("平",B1736)),OR(ISNUMBER(SEARCH("上",B1736)),ISNUMBER(SEARCH("去",B1736)),ISNUMBER(SEARCH("入",B1736)))),"Ambiguous",IF(ISNUMBER(SEARCH("平",B1736)),"平","仄")))</x:f>
        <x:v>仄</x:v>
      </x:c>
      <x:c r="K1736" s="6" t="str">
        <x:f>IF(D1736="","",IF(AND(ISNUMBER(SEARCH("平",D1736)),OR(ISNUMBER(SEARCH("上",D1736)),ISNUMBER(SEARCH("去",D1736)),ISNUMBER(SEARCH("入",D1736)))),"Ambiguous",IF(ISNUMBER(SEARCH("平",D1736)),"平","仄")))</x:f>
        <x:v>仄</x:v>
      </x:c>
      <x:c r="L1736" s="7" t="str"/>
    </x:row>
    <x:row r="1737">
      <x:c r="A1737" s="5" t="str">
        <x:v>昱</x:v>
      </x:c>
      <x:c r="B1737" s="6" t="str">
        <x:v>入</x:v>
      </x:c>
      <x:c r="C1737" s="6" t="str">
        <x:f>IF(B1737="","Needs decision","Ready")</x:f>
        <x:v>Ready</x:v>
      </x:c>
      <x:c r="D1737" s="6" t="str">
        <x:v>入</x:v>
      </x:c>
      <x:c r="E1737" s="6" t="str">
        <x:v>yuwk (D)</x:v>
      </x:c>
      <x:c r="F1737" s="6" t="str">
        <x:v>入聲一屋</x:v>
      </x:c>
      <x:c r="G1737" s="6" t="str">
        <x:v>Pingshui main list, Wikisource-derived DOCX</x:v>
      </x:c>
      <x:c r="H1737" s="6" t="str">
        <x:v>1</x:v>
      </x:c>
      <x:c r="I1737" s="6" t="str"/>
      <x:c r="J1737" s="6" t="str">
        <x:f>IF(B1737="","",IF(AND(ISNUMBER(SEARCH("平",B1737)),OR(ISNUMBER(SEARCH("上",B1737)),ISNUMBER(SEARCH("去",B1737)),ISNUMBER(SEARCH("入",B1737)))),"Ambiguous",IF(ISNUMBER(SEARCH("平",B1737)),"平","仄")))</x:f>
        <x:v>仄</x:v>
      </x:c>
      <x:c r="K1737" s="6" t="str">
        <x:f>IF(D1737="","",IF(AND(ISNUMBER(SEARCH("平",D1737)),OR(ISNUMBER(SEARCH("上",D1737)),ISNUMBER(SEARCH("去",D1737)),ISNUMBER(SEARCH("入",D1737)))),"Ambiguous",IF(ISNUMBER(SEARCH("平",D1737)),"平","仄")))</x:f>
        <x:v>仄</x:v>
      </x:c>
      <x:c r="L1737" s="7" t="str"/>
    </x:row>
    <x:row r="1738">
      <x:c r="A1738" s="5" t="str">
        <x:v>昲</x:v>
      </x:c>
      <x:c r="B1738" s="6" t="str">
        <x:v>去</x:v>
      </x:c>
      <x:c r="C1738" s="6" t="str">
        <x:f>IF(B1738="","Needs decision","Ready")</x:f>
        <x:v>Ready</x:v>
      </x:c>
      <x:c r="D1738" s="6" t="str">
        <x:v>去</x:v>
      </x:c>
      <x:c r="E1738" s="6" t="str">
        <x:v>phj+jH (C)</x:v>
      </x:c>
      <x:c r="F1738" s="6" t="str"/>
      <x:c r="G1738" s="6" t="str"/>
      <x:c r="H1738" s="6" t="str">
        <x:v>1</x:v>
      </x:c>
      <x:c r="I1738" s="6" t="str"/>
      <x:c r="J1738" s="6" t="str">
        <x:f>IF(B1738="","",IF(AND(ISNUMBER(SEARCH("平",B1738)),OR(ISNUMBER(SEARCH("上",B1738)),ISNUMBER(SEARCH("去",B1738)),ISNUMBER(SEARCH("入",B1738)))),"Ambiguous",IF(ISNUMBER(SEARCH("平",B1738)),"平","仄")))</x:f>
        <x:v>仄</x:v>
      </x:c>
      <x:c r="K1738" s="6" t="str">
        <x:f>IF(D1738="","",IF(AND(ISNUMBER(SEARCH("平",D1738)),OR(ISNUMBER(SEARCH("上",D1738)),ISNUMBER(SEARCH("去",D1738)),ISNUMBER(SEARCH("入",D1738)))),"Ambiguous",IF(ISNUMBER(SEARCH("平",D1738)),"平","仄")))</x:f>
        <x:v>仄</x:v>
      </x:c>
      <x:c r="L1738" s="7" t="str"/>
    </x:row>
    <x:row r="1739">
      <x:c r="A1739" s="5" t="str">
        <x:v>昴</x:v>
      </x:c>
      <x:c r="B1739" s="6" t="str">
        <x:v>上</x:v>
      </x:c>
      <x:c r="C1739" s="6" t="str">
        <x:f>IF(B1739="","Needs decision","Ready")</x:f>
        <x:v>Ready</x:v>
      </x:c>
      <x:c r="D1739" s="6" t="str">
        <x:v>上</x:v>
      </x:c>
      <x:c r="E1739" s="6" t="str">
        <x:v>maewX (B)</x:v>
      </x:c>
      <x:c r="F1739" s="6" t="str">
        <x:v>下平聲七陽; 上聲十八巧</x:v>
      </x:c>
      <x:c r="G1739" s="6" t="str">
        <x:v>Pingshui main list, Wikisource-derived DOCX</x:v>
      </x:c>
      <x:c r="H1739" s="6" t="str">
        <x:v>1</x:v>
      </x:c>
      <x:c r="I1739" s="6" t="str"/>
      <x:c r="J1739" s="6" t="str">
        <x:f>IF(B1739="","",IF(AND(ISNUMBER(SEARCH("平",B1739)),OR(ISNUMBER(SEARCH("上",B1739)),ISNUMBER(SEARCH("去",B1739)),ISNUMBER(SEARCH("入",B1739)))),"Ambiguous",IF(ISNUMBER(SEARCH("平",B1739)),"平","仄")))</x:f>
        <x:v>仄</x:v>
      </x:c>
      <x:c r="K1739" s="6" t="str">
        <x:f>IF(D1739="","",IF(AND(ISNUMBER(SEARCH("平",D1739)),OR(ISNUMBER(SEARCH("上",D1739)),ISNUMBER(SEARCH("去",D1739)),ISNUMBER(SEARCH("入",D1739)))),"Ambiguous",IF(ISNUMBER(SEARCH("平",D1739)),"平","仄")))</x:f>
        <x:v>仄</x:v>
      </x:c>
      <x:c r="L1739" s="7" t="str"/>
    </x:row>
    <x:row r="1740">
      <x:c r="A1740" s="5" t="str">
        <x:v>昵</x:v>
      </x:c>
      <x:c r="B1740" s="6" t="str">
        <x:v>入</x:v>
      </x:c>
      <x:c r="C1740" s="6" t="str">
        <x:f>IF(B1740="","Needs decision","Ready")</x:f>
        <x:v>Ready</x:v>
      </x:c>
      <x:c r="D1740" s="6" t="str">
        <x:v>入</x:v>
      </x:c>
      <x:c r="E1740" s="6" t="str">
        <x:v>nrit (D)</x:v>
      </x:c>
      <x:c r="F1740" s="6" t="str"/>
      <x:c r="G1740" s="6" t="str"/>
      <x:c r="H1740" s="6" t="str">
        <x:v>1</x:v>
      </x:c>
      <x:c r="I1740" s="6" t="str"/>
      <x:c r="J1740" s="6" t="str">
        <x:f>IF(B1740="","",IF(AND(ISNUMBER(SEARCH("平",B1740)),OR(ISNUMBER(SEARCH("上",B1740)),ISNUMBER(SEARCH("去",B1740)),ISNUMBER(SEARCH("入",B1740)))),"Ambiguous",IF(ISNUMBER(SEARCH("平",B1740)),"平","仄")))</x:f>
        <x:v>仄</x:v>
      </x:c>
      <x:c r="K1740" s="6" t="str">
        <x:f>IF(D1740="","",IF(AND(ISNUMBER(SEARCH("平",D1740)),OR(ISNUMBER(SEARCH("上",D1740)),ISNUMBER(SEARCH("去",D1740)),ISNUMBER(SEARCH("入",D1740)))),"Ambiguous",IF(ISNUMBER(SEARCH("平",D1740)),"平","仄")))</x:f>
        <x:v>仄</x:v>
      </x:c>
      <x:c r="L1740" s="7" t="str"/>
    </x:row>
    <x:row r="1741">
      <x:c r="A1741" s="5" t="str">
        <x:v>時</x:v>
      </x:c>
      <x:c r="B1741" s="6" t="str">
        <x:v>平</x:v>
      </x:c>
      <x:c r="C1741" s="6" t="str">
        <x:f>IF(B1741="","Needs decision","Ready")</x:f>
        <x:v>Ready</x:v>
      </x:c>
      <x:c r="D1741" s="6" t="str">
        <x:v>平</x:v>
      </x:c>
      <x:c r="E1741" s="6" t="str">
        <x:v>dzyi (A)</x:v>
      </x:c>
      <x:c r="F1741" s="6" t="str">
        <x:v>上平聲四支</x:v>
      </x:c>
      <x:c r="G1741" s="6" t="str">
        <x:v>Pingshui main list, Wikisource-derived DOCX</x:v>
      </x:c>
      <x:c r="H1741" s="6" t="str">
        <x:v>1</x:v>
      </x:c>
      <x:c r="I1741" s="6" t="str"/>
      <x:c r="J1741" s="6" t="str">
        <x:f>IF(B1741="","",IF(AND(ISNUMBER(SEARCH("平",B1741)),OR(ISNUMBER(SEARCH("上",B1741)),ISNUMBER(SEARCH("去",B1741)),ISNUMBER(SEARCH("入",B1741)))),"Ambiguous",IF(ISNUMBER(SEARCH("平",B1741)),"平","仄")))</x:f>
        <x:v>平</x:v>
      </x:c>
      <x:c r="K1741" s="6" t="str">
        <x:f>IF(D1741="","",IF(AND(ISNUMBER(SEARCH("平",D1741)),OR(ISNUMBER(SEARCH("上",D1741)),ISNUMBER(SEARCH("去",D1741)),ISNUMBER(SEARCH("入",D1741)))),"Ambiguous",IF(ISNUMBER(SEARCH("平",D1741)),"平","仄")))</x:f>
        <x:v>平</x:v>
      </x:c>
      <x:c r="L1741" s="7" t="str"/>
    </x:row>
    <x:row r="1742">
      <x:c r="A1742" s="5" t="str">
        <x:v>晅</x:v>
      </x:c>
      <x:c r="B1742" s="6" t="str">
        <x:v>上</x:v>
      </x:c>
      <x:c r="C1742" s="6" t="str">
        <x:f>IF(B1742="","Needs decision","Ready")</x:f>
        <x:v>Ready</x:v>
      </x:c>
      <x:c r="D1742" s="6" t="str">
        <x:v>上</x:v>
      </x:c>
      <x:c r="E1742" s="6" t="str">
        <x:v>xjwonX (B)</x:v>
      </x:c>
      <x:c r="F1742" s="6" t="str">
        <x:v>上平聲十三元</x:v>
      </x:c>
      <x:c r="G1742" s="6" t="str">
        <x:v>Pingshui main list, Wikisource-derived DOCX</x:v>
      </x:c>
      <x:c r="H1742" s="6" t="str">
        <x:v>1</x:v>
      </x:c>
      <x:c r="I1742" s="6" t="str"/>
      <x:c r="J1742" s="6" t="str">
        <x:f>IF(B1742="","",IF(AND(ISNUMBER(SEARCH("平",B1742)),OR(ISNUMBER(SEARCH("上",B1742)),ISNUMBER(SEARCH("去",B1742)),ISNUMBER(SEARCH("入",B1742)))),"Ambiguous",IF(ISNUMBER(SEARCH("平",B1742)),"平","仄")))</x:f>
        <x:v>仄</x:v>
      </x:c>
      <x:c r="K1742" s="6" t="str">
        <x:f>IF(D1742="","",IF(AND(ISNUMBER(SEARCH("平",D1742)),OR(ISNUMBER(SEARCH("上",D1742)),ISNUMBER(SEARCH("去",D1742)),ISNUMBER(SEARCH("入",D1742)))),"Ambiguous",IF(ISNUMBER(SEARCH("平",D1742)),"平","仄")))</x:f>
        <x:v>仄</x:v>
      </x:c>
      <x:c r="L1742" s="7" t="str"/>
    </x:row>
    <x:row r="1743">
      <x:c r="A1743" s="5" t="str">
        <x:v>晉</x:v>
      </x:c>
      <x:c r="B1743" s="6" t="str">
        <x:v>去</x:v>
      </x:c>
      <x:c r="C1743" s="6" t="str">
        <x:f>IF(B1743="","Needs decision","Ready")</x:f>
        <x:v>Ready</x:v>
      </x:c>
      <x:c r="D1743" s="6" t="str">
        <x:v>去</x:v>
      </x:c>
      <x:c r="E1743" s="6" t="str">
        <x:v>tsinH (C)</x:v>
      </x:c>
      <x:c r="F1743" s="6" t="str">
        <x:v>去聲十二震</x:v>
      </x:c>
      <x:c r="G1743" s="6" t="str">
        <x:v>Pingshui main list, Wikisource-derived DOCX</x:v>
      </x:c>
      <x:c r="H1743" s="6" t="str">
        <x:v>1</x:v>
      </x:c>
      <x:c r="I1743" s="6" t="str"/>
      <x:c r="J1743" s="6" t="str">
        <x:f>IF(B1743="","",IF(AND(ISNUMBER(SEARCH("平",B1743)),OR(ISNUMBER(SEARCH("上",B1743)),ISNUMBER(SEARCH("去",B1743)),ISNUMBER(SEARCH("入",B1743)))),"Ambiguous",IF(ISNUMBER(SEARCH("平",B1743)),"平","仄")))</x:f>
        <x:v>仄</x:v>
      </x:c>
      <x:c r="K1743" s="6" t="str">
        <x:f>IF(D1743="","",IF(AND(ISNUMBER(SEARCH("平",D1743)),OR(ISNUMBER(SEARCH("上",D1743)),ISNUMBER(SEARCH("去",D1743)),ISNUMBER(SEARCH("入",D1743)))),"Ambiguous",IF(ISNUMBER(SEARCH("平",D1743)),"平","仄")))</x:f>
        <x:v>仄</x:v>
      </x:c>
      <x:c r="L1743" s="7" t="str"/>
    </x:row>
    <x:row r="1744">
      <x:c r="A1744" s="5" t="str">
        <x:v>晏</x:v>
      </x:c>
      <x:c r="B1744" s="6" t="str">
        <x:v>去</x:v>
      </x:c>
      <x:c r="C1744" s="6" t="str">
        <x:f>IF(B1744="","Needs decision","Ready")</x:f>
        <x:v>Ready</x:v>
      </x:c>
      <x:c r="D1744" s="6" t="str">
        <x:v>去</x:v>
      </x:c>
      <x:c r="E1744" s="6" t="str">
        <x:v>'aenH (C); 'enH (C)</x:v>
      </x:c>
      <x:c r="F1744" s="6" t="str">
        <x:v>去聲十五翰; 去聲十六諫</x:v>
      </x:c>
      <x:c r="G1744" s="6" t="str">
        <x:v>Pingshui main list, Wikisource-derived DOCX</x:v>
      </x:c>
      <x:c r="H1744" s="6" t="str">
        <x:v>2</x:v>
      </x:c>
      <x:c r="I1744" s="6" t="str"/>
      <x:c r="J1744" s="6" t="str">
        <x:f>IF(B1744="","",IF(AND(ISNUMBER(SEARCH("平",B1744)),OR(ISNUMBER(SEARCH("上",B1744)),ISNUMBER(SEARCH("去",B1744)),ISNUMBER(SEARCH("入",B1744)))),"Ambiguous",IF(ISNUMBER(SEARCH("平",B1744)),"平","仄")))</x:f>
        <x:v>仄</x:v>
      </x:c>
      <x:c r="K1744" s="6" t="str">
        <x:f>IF(D1744="","",IF(AND(ISNUMBER(SEARCH("平",D1744)),OR(ISNUMBER(SEARCH("上",D1744)),ISNUMBER(SEARCH("去",D1744)),ISNUMBER(SEARCH("入",D1744)))),"Ambiguous",IF(ISNUMBER(SEARCH("平",D1744)),"平","仄")))</x:f>
        <x:v>仄</x:v>
      </x:c>
      <x:c r="L1744" s="7" t="str"/>
    </x:row>
    <x:row r="1745">
      <x:c r="A1745" s="5" t="str">
        <x:v>晚</x:v>
      </x:c>
      <x:c r="B1745" s="6" t="str">
        <x:v>上</x:v>
      </x:c>
      <x:c r="C1745" s="6" t="str">
        <x:f>IF(B1745="","Needs decision","Ready")</x:f>
        <x:v>Ready</x:v>
      </x:c>
      <x:c r="D1745" s="6" t="str">
        <x:v>上</x:v>
      </x:c>
      <x:c r="E1745" s="6" t="str">
        <x:v>mjonX (B)</x:v>
      </x:c>
      <x:c r="F1745" s="6" t="str">
        <x:v>上聲十三阮</x:v>
      </x:c>
      <x:c r="G1745" s="6" t="str">
        <x:v>Pingshui main list, Wikisource-derived DOCX</x:v>
      </x:c>
      <x:c r="H1745" s="6" t="str">
        <x:v>1</x:v>
      </x:c>
      <x:c r="I1745" s="6" t="str"/>
      <x:c r="J1745" s="6" t="str">
        <x:f>IF(B1745="","",IF(AND(ISNUMBER(SEARCH("平",B1745)),OR(ISNUMBER(SEARCH("上",B1745)),ISNUMBER(SEARCH("去",B1745)),ISNUMBER(SEARCH("入",B1745)))),"Ambiguous",IF(ISNUMBER(SEARCH("平",B1745)),"平","仄")))</x:f>
        <x:v>仄</x:v>
      </x:c>
      <x:c r="K1745" s="6" t="str">
        <x:f>IF(D1745="","",IF(AND(ISNUMBER(SEARCH("平",D1745)),OR(ISNUMBER(SEARCH("上",D1745)),ISNUMBER(SEARCH("去",D1745)),ISNUMBER(SEARCH("入",D1745)))),"Ambiguous",IF(ISNUMBER(SEARCH("平",D1745)),"平","仄")))</x:f>
        <x:v>仄</x:v>
      </x:c>
      <x:c r="L1745" s="7" t="str"/>
    </x:row>
    <x:row r="1746">
      <x:c r="A1746" s="5" t="str">
        <x:v>晝</x:v>
      </x:c>
      <x:c r="B1746" s="6" t="str">
        <x:v>去</x:v>
      </x:c>
      <x:c r="C1746" s="6" t="str">
        <x:f>IF(B1746="","Needs decision","Ready")</x:f>
        <x:v>Ready</x:v>
      </x:c>
      <x:c r="D1746" s="6" t="str">
        <x:v>去</x:v>
      </x:c>
      <x:c r="E1746" s="6" t="str">
        <x:v>trjuwH (C)</x:v>
      </x:c>
      <x:c r="F1746" s="6" t="str">
        <x:v>去聲二十六宥</x:v>
      </x:c>
      <x:c r="G1746" s="6" t="str">
        <x:v>Pingshui main list, Wikisource-derived DOCX</x:v>
      </x:c>
      <x:c r="H1746" s="6" t="str">
        <x:v>1</x:v>
      </x:c>
      <x:c r="I1746" s="6" t="str"/>
      <x:c r="J1746" s="6" t="str">
        <x:f>IF(B1746="","",IF(AND(ISNUMBER(SEARCH("平",B1746)),OR(ISNUMBER(SEARCH("上",B1746)),ISNUMBER(SEARCH("去",B1746)),ISNUMBER(SEARCH("入",B1746)))),"Ambiguous",IF(ISNUMBER(SEARCH("平",B1746)),"平","仄")))</x:f>
        <x:v>仄</x:v>
      </x:c>
      <x:c r="K1746" s="6" t="str">
        <x:f>IF(D1746="","",IF(AND(ISNUMBER(SEARCH("平",D1746)),OR(ISNUMBER(SEARCH("上",D1746)),ISNUMBER(SEARCH("去",D1746)),ISNUMBER(SEARCH("入",D1746)))),"Ambiguous",IF(ISNUMBER(SEARCH("平",D1746)),"平","仄")))</x:f>
        <x:v>仄</x:v>
      </x:c>
      <x:c r="L1746" s="7" t="str"/>
    </x:row>
    <x:row r="1747">
      <x:c r="A1747" s="5" t="str">
        <x:v>晞</x:v>
      </x:c>
      <x:c r="B1747" s="6" t="str">
        <x:v>平</x:v>
      </x:c>
      <x:c r="C1747" s="6" t="str">
        <x:f>IF(B1747="","Needs decision","Ready")</x:f>
        <x:v>Ready</x:v>
      </x:c>
      <x:c r="D1747" s="6" t="str">
        <x:v>平</x:v>
      </x:c>
      <x:c r="E1747" s="6" t="str"/>
      <x:c r="F1747" s="6" t="str">
        <x:v>上平聲五微</x:v>
      </x:c>
      <x:c r="G1747" s="6" t="str">
        <x:v>Pingshui main list, Wikisource-derived DOCX</x:v>
      </x:c>
      <x:c r="H1747" s="6" t="str">
        <x:v>0</x:v>
      </x:c>
      <x:c r="I1747" s="6" t="str">
        <x:v>User correction 2026-09-08; added manually</x:v>
      </x:c>
      <x:c r="J1747" s="6" t="str">
        <x:f>IF(B1747="","",IF(AND(ISNUMBER(SEARCH("平",B1747)),OR(ISNUMBER(SEARCH("上",B1747)),ISNUMBER(SEARCH("去",B1747)),ISNUMBER(SEARCH("入",B1747)))),"Ambiguous",IF(ISNUMBER(SEARCH("平",B1747)),"平","仄")))</x:f>
        <x:v>平</x:v>
      </x:c>
      <x:c r="K1747" s="6" t="str">
        <x:f>IF(D1747="","",IF(AND(ISNUMBER(SEARCH("平",D1747)),OR(ISNUMBER(SEARCH("上",D1747)),ISNUMBER(SEARCH("去",D1747)),ISNUMBER(SEARCH("入",D1747)))),"Ambiguous",IF(ISNUMBER(SEARCH("平",D1747)),"平","仄")))</x:f>
        <x:v>平</x:v>
      </x:c>
      <x:c r="L1747" s="7" t="str">
        <x:v>User correction</x:v>
      </x:c>
    </x:row>
    <x:row r="1748">
      <x:c r="A1748" s="5" t="str">
        <x:v>晢</x:v>
      </x:c>
      <x:c r="B1748" s="6" t="str"/>
      <x:c r="C1748" s="6" t="str">
        <x:f>IF(B1748="","Needs decision","Ready")</x:f>
        <x:v>Needs decision</x:v>
      </x:c>
      <x:c r="D1748" s="6" t="str">
        <x:v>去/入</x:v>
      </x:c>
      <x:c r="E1748" s="6" t="str">
        <x:v>tsyejH (C); tsyet (D)</x:v>
      </x:c>
      <x:c r="F1748" s="6" t="str">
        <x:v>去聲八霽</x:v>
      </x:c>
      <x:c r="G1748" s="6" t="str">
        <x:v>Pingshui main list, Wikisource-derived DOCX</x:v>
      </x:c>
      <x:c r="H1748" s="6" t="str">
        <x:v>2</x:v>
      </x:c>
      <x:c r="I1748" s="6" t="str"/>
      <x:c r="J1748" s="6" t="str">
        <x:f>IF(B1748="","",IF(AND(ISNUMBER(SEARCH("平",B1748)),OR(ISNUMBER(SEARCH("上",B1748)),ISNUMBER(SEARCH("去",B1748)),ISNUMBER(SEARCH("入",B1748)))),"Ambiguous",IF(ISNUMBER(SEARCH("平",B1748)),"平","仄")))</x:f>
      </x:c>
      <x:c r="K1748" s="6" t="str">
        <x:f>IF(D1748="","",IF(AND(ISNUMBER(SEARCH("平",D1748)),OR(ISNUMBER(SEARCH("上",D1748)),ISNUMBER(SEARCH("去",D1748)),ISNUMBER(SEARCH("入",D1748)))),"Ambiguous",IF(ISNUMBER(SEARCH("平",D1748)),"平","仄")))</x:f>
        <x:v>仄</x:v>
      </x:c>
      <x:c r="L1748" s="7" t="str"/>
    </x:row>
    <x:row r="1749">
      <x:c r="A1749" s="5" t="str">
        <x:v>晤</x:v>
      </x:c>
      <x:c r="B1749" s="6" t="str">
        <x:v>去</x:v>
      </x:c>
      <x:c r="C1749" s="6" t="str">
        <x:f>IF(B1749="","Needs decision","Ready")</x:f>
        <x:v>Ready</x:v>
      </x:c>
      <x:c r="D1749" s="6" t="str">
        <x:v>去</x:v>
      </x:c>
      <x:c r="E1749" s="6" t="str">
        <x:v>nguH (C)</x:v>
      </x:c>
      <x:c r="F1749" s="6" t="str">
        <x:v>去聲七遇</x:v>
      </x:c>
      <x:c r="G1749" s="6" t="str">
        <x:v>Pingshui main list, Wikisource-derived DOCX</x:v>
      </x:c>
      <x:c r="H1749" s="6" t="str">
        <x:v>1</x:v>
      </x:c>
      <x:c r="I1749" s="6" t="str"/>
      <x:c r="J1749" s="6" t="str">
        <x:f>IF(B1749="","",IF(AND(ISNUMBER(SEARCH("平",B1749)),OR(ISNUMBER(SEARCH("上",B1749)),ISNUMBER(SEARCH("去",B1749)),ISNUMBER(SEARCH("入",B1749)))),"Ambiguous",IF(ISNUMBER(SEARCH("平",B1749)),"平","仄")))</x:f>
        <x:v>仄</x:v>
      </x:c>
      <x:c r="K1749" s="6" t="str">
        <x:f>IF(D1749="","",IF(AND(ISNUMBER(SEARCH("平",D1749)),OR(ISNUMBER(SEARCH("上",D1749)),ISNUMBER(SEARCH("去",D1749)),ISNUMBER(SEARCH("入",D1749)))),"Ambiguous",IF(ISNUMBER(SEARCH("平",D1749)),"平","仄")))</x:f>
        <x:v>仄</x:v>
      </x:c>
      <x:c r="L1749" s="7" t="str"/>
    </x:row>
    <x:row r="1750">
      <x:c r="A1750" s="5" t="str">
        <x:v>晦</x:v>
      </x:c>
      <x:c r="B1750" s="6" t="str">
        <x:v>去</x:v>
      </x:c>
      <x:c r="C1750" s="6" t="str">
        <x:f>IF(B1750="","Needs decision","Ready")</x:f>
        <x:v>Ready</x:v>
      </x:c>
      <x:c r="D1750" s="6" t="str">
        <x:v>去</x:v>
      </x:c>
      <x:c r="E1750" s="6" t="str">
        <x:v>xwojH (C)</x:v>
      </x:c>
      <x:c r="F1750" s="6" t="str">
        <x:v>去聲十一隊</x:v>
      </x:c>
      <x:c r="G1750" s="6" t="str">
        <x:v>Pingshui main list, Wikisource-derived DOCX</x:v>
      </x:c>
      <x:c r="H1750" s="6" t="str">
        <x:v>1</x:v>
      </x:c>
      <x:c r="I1750" s="6" t="str"/>
      <x:c r="J1750" s="6" t="str">
        <x:f>IF(B1750="","",IF(AND(ISNUMBER(SEARCH("平",B1750)),OR(ISNUMBER(SEARCH("上",B1750)),ISNUMBER(SEARCH("去",B1750)),ISNUMBER(SEARCH("入",B1750)))),"Ambiguous",IF(ISNUMBER(SEARCH("平",B1750)),"平","仄")))</x:f>
        <x:v>仄</x:v>
      </x:c>
      <x:c r="K1750" s="6" t="str">
        <x:f>IF(D1750="","",IF(AND(ISNUMBER(SEARCH("平",D1750)),OR(ISNUMBER(SEARCH("上",D1750)),ISNUMBER(SEARCH("去",D1750)),ISNUMBER(SEARCH("入",D1750)))),"Ambiguous",IF(ISNUMBER(SEARCH("平",D1750)),"平","仄")))</x:f>
        <x:v>仄</x:v>
      </x:c>
      <x:c r="L1750" s="7" t="str"/>
    </x:row>
    <x:row r="1751">
      <x:c r="A1751" s="5" t="str">
        <x:v>晨</x:v>
      </x:c>
      <x:c r="B1751" s="6" t="str">
        <x:v>平</x:v>
      </x:c>
      <x:c r="C1751" s="6" t="str">
        <x:f>IF(B1751="","Needs decision","Ready")</x:f>
        <x:v>Ready</x:v>
      </x:c>
      <x:c r="D1751" s="6" t="str">
        <x:v>平</x:v>
      </x:c>
      <x:c r="E1751" s="6" t="str">
        <x:v>dzyin (A); zyin (A)</x:v>
      </x:c>
      <x:c r="F1751" s="6" t="str">
        <x:v>上平聲十一真</x:v>
      </x:c>
      <x:c r="G1751" s="6" t="str">
        <x:v>Pingshui main list, Wikisource-derived DOCX</x:v>
      </x:c>
      <x:c r="H1751" s="6" t="str">
        <x:v>2</x:v>
      </x:c>
      <x:c r="I1751" s="6" t="str"/>
      <x:c r="J1751" s="6" t="str">
        <x:f>IF(B1751="","",IF(AND(ISNUMBER(SEARCH("平",B1751)),OR(ISNUMBER(SEARCH("上",B1751)),ISNUMBER(SEARCH("去",B1751)),ISNUMBER(SEARCH("入",B1751)))),"Ambiguous",IF(ISNUMBER(SEARCH("平",B1751)),"平","仄")))</x:f>
        <x:v>平</x:v>
      </x:c>
      <x:c r="K1751" s="6" t="str">
        <x:f>IF(D1751="","",IF(AND(ISNUMBER(SEARCH("平",D1751)),OR(ISNUMBER(SEARCH("上",D1751)),ISNUMBER(SEARCH("去",D1751)),ISNUMBER(SEARCH("入",D1751)))),"Ambiguous",IF(ISNUMBER(SEARCH("平",D1751)),"平","仄")))</x:f>
        <x:v>平</x:v>
      </x:c>
      <x:c r="L1751" s="7" t="str"/>
    </x:row>
    <x:row r="1752">
      <x:c r="A1752" s="5" t="str">
        <x:v>普</x:v>
      </x:c>
      <x:c r="B1752" s="6" t="str">
        <x:v>上</x:v>
      </x:c>
      <x:c r="C1752" s="6" t="str">
        <x:f>IF(B1752="","Needs decision","Ready")</x:f>
        <x:v>Ready</x:v>
      </x:c>
      <x:c r="D1752" s="6" t="str">
        <x:v>上</x:v>
      </x:c>
      <x:c r="E1752" s="6" t="str"/>
      <x:c r="F1752" s="6" t="str">
        <x:v>上聲七麌</x:v>
      </x:c>
      <x:c r="G1752" s="6" t="str">
        <x:v>Pingshui main list, Wikisource-derived DOCX</x:v>
      </x:c>
      <x:c r="H1752" s="6" t="str"/>
      <x:c r="I1752" s="6" t="str">
        <x:v>Manual user correction/addition</x:v>
      </x:c>
      <x:c r="J1752" s="6" t="str">
        <x:f>IF(B1752="","",IF(AND(ISNUMBER(SEARCH("平",B1752)),OR(ISNUMBER(SEARCH("上",B1752)),ISNUMBER(SEARCH("去",B1752)),ISNUMBER(SEARCH("入",B1752)))),"Ambiguous",IF(ISNUMBER(SEARCH("平",B1752)),"平","仄")))</x:f>
        <x:v>仄</x:v>
      </x:c>
      <x:c r="K1752" s="6" t="str">
        <x:f>IF(D1752="","",IF(AND(ISNUMBER(SEARCH("平",D1752)),OR(ISNUMBER(SEARCH("上",D1752)),ISNUMBER(SEARCH("去",D1752)),ISNUMBER(SEARCH("入",D1752)))),"Ambiguous",IF(ISNUMBER(SEARCH("平",D1752)),"平","仄")))</x:f>
        <x:v>仄</x:v>
      </x:c>
      <x:c r="L1752" s="7" t="str">
        <x:v>manual user correction</x:v>
      </x:c>
    </x:row>
    <x:row r="1753">
      <x:c r="A1753" s="5" t="str">
        <x:v>景</x:v>
      </x:c>
      <x:c r="B1753" s="6" t="str">
        <x:v>上</x:v>
      </x:c>
      <x:c r="C1753" s="6" t="str">
        <x:f>IF(B1753="","Needs decision","Ready")</x:f>
        <x:v>Ready</x:v>
      </x:c>
      <x:c r="D1753" s="6" t="str">
        <x:v>上</x:v>
      </x:c>
      <x:c r="E1753" s="6" t="str">
        <x:v>kjaengX (B)</x:v>
      </x:c>
      <x:c r="F1753" s="6" t="str">
        <x:v>上聲二十三梗</x:v>
      </x:c>
      <x:c r="G1753" s="6" t="str">
        <x:v>Pingshui main list, Wikisource-derived DOCX</x:v>
      </x:c>
      <x:c r="H1753" s="6" t="str">
        <x:v>1</x:v>
      </x:c>
      <x:c r="I1753" s="6" t="str"/>
      <x:c r="J1753" s="6" t="str">
        <x:f>IF(B1753="","",IF(AND(ISNUMBER(SEARCH("平",B1753)),OR(ISNUMBER(SEARCH("上",B1753)),ISNUMBER(SEARCH("去",B1753)),ISNUMBER(SEARCH("入",B1753)))),"Ambiguous",IF(ISNUMBER(SEARCH("平",B1753)),"平","仄")))</x:f>
        <x:v>仄</x:v>
      </x:c>
      <x:c r="K1753" s="6" t="str">
        <x:f>IF(D1753="","",IF(AND(ISNUMBER(SEARCH("平",D1753)),OR(ISNUMBER(SEARCH("上",D1753)),ISNUMBER(SEARCH("去",D1753)),ISNUMBER(SEARCH("入",D1753)))),"Ambiguous",IF(ISNUMBER(SEARCH("平",D1753)),"平","仄")))</x:f>
        <x:v>仄</x:v>
      </x:c>
      <x:c r="L1753" s="7" t="str"/>
    </x:row>
    <x:row r="1754">
      <x:c r="A1754" s="5" t="str">
        <x:v>晳</x:v>
      </x:c>
      <x:c r="B1754" s="6" t="str">
        <x:v>入</x:v>
      </x:c>
      <x:c r="C1754" s="6" t="str">
        <x:f>IF(B1754="","Needs decision","Ready")</x:f>
        <x:v>Ready</x:v>
      </x:c>
      <x:c r="D1754" s="6" t="str">
        <x:v>入</x:v>
      </x:c>
      <x:c r="E1754" s="6" t="str">
        <x:v>sek (D)</x:v>
      </x:c>
      <x:c r="F1754" s="6" t="str"/>
      <x:c r="G1754" s="6" t="str"/>
      <x:c r="H1754" s="6" t="str">
        <x:v>1</x:v>
      </x:c>
      <x:c r="I1754" s="6" t="str"/>
      <x:c r="J1754" s="6" t="str">
        <x:f>IF(B1754="","",IF(AND(ISNUMBER(SEARCH("平",B1754)),OR(ISNUMBER(SEARCH("上",B1754)),ISNUMBER(SEARCH("去",B1754)),ISNUMBER(SEARCH("入",B1754)))),"Ambiguous",IF(ISNUMBER(SEARCH("平",B1754)),"平","仄")))</x:f>
        <x:v>仄</x:v>
      </x:c>
      <x:c r="K1754" s="6" t="str">
        <x:f>IF(D1754="","",IF(AND(ISNUMBER(SEARCH("平",D1754)),OR(ISNUMBER(SEARCH("上",D1754)),ISNUMBER(SEARCH("去",D1754)),ISNUMBER(SEARCH("入",D1754)))),"Ambiguous",IF(ISNUMBER(SEARCH("平",D1754)),"平","仄")))</x:f>
        <x:v>仄</x:v>
      </x:c>
      <x:c r="L1754" s="7" t="str"/>
    </x:row>
    <x:row r="1755">
      <x:c r="A1755" s="5" t="str">
        <x:v>晴</x:v>
      </x:c>
      <x:c r="B1755" s="6" t="str">
        <x:v>平</x:v>
      </x:c>
      <x:c r="C1755" s="6" t="str">
        <x:f>IF(B1755="","Needs decision","Ready")</x:f>
        <x:v>Ready</x:v>
      </x:c>
      <x:c r="D1755" s="6" t="str">
        <x:v>平</x:v>
      </x:c>
      <x:c r="E1755" s="6" t="str">
        <x:v>dzjeng (A)</x:v>
      </x:c>
      <x:c r="F1755" s="6" t="str">
        <x:v>下平聲八庚</x:v>
      </x:c>
      <x:c r="G1755" s="6" t="str">
        <x:v>Pingshui main list, Wikisource-derived DOCX</x:v>
      </x:c>
      <x:c r="H1755" s="6" t="str">
        <x:v>1</x:v>
      </x:c>
      <x:c r="I1755" s="6" t="str"/>
      <x:c r="J1755" s="6" t="str">
        <x:f>IF(B1755="","",IF(AND(ISNUMBER(SEARCH("平",B1755)),OR(ISNUMBER(SEARCH("上",B1755)),ISNUMBER(SEARCH("去",B1755)),ISNUMBER(SEARCH("入",B1755)))),"Ambiguous",IF(ISNUMBER(SEARCH("平",B1755)),"平","仄")))</x:f>
        <x:v>平</x:v>
      </x:c>
      <x:c r="K1755" s="6" t="str">
        <x:f>IF(D1755="","",IF(AND(ISNUMBER(SEARCH("平",D1755)),OR(ISNUMBER(SEARCH("上",D1755)),ISNUMBER(SEARCH("去",D1755)),ISNUMBER(SEARCH("入",D1755)))),"Ambiguous",IF(ISNUMBER(SEARCH("平",D1755)),"平","仄")))</x:f>
        <x:v>平</x:v>
      </x:c>
      <x:c r="L1755" s="7" t="str"/>
    </x:row>
    <x:row r="1756">
      <x:c r="A1756" s="5" t="str">
        <x:v>晶</x:v>
      </x:c>
      <x:c r="B1756" s="6" t="str">
        <x:v>平</x:v>
      </x:c>
      <x:c r="C1756" s="6" t="str">
        <x:f>IF(B1756="","Needs decision","Ready")</x:f>
        <x:v>Ready</x:v>
      </x:c>
      <x:c r="D1756" s="6" t="str">
        <x:v>平</x:v>
      </x:c>
      <x:c r="E1756" s="6" t="str">
        <x:v>tsjeng (A)</x:v>
      </x:c>
      <x:c r="F1756" s="6" t="str">
        <x:v>下平聲八庚</x:v>
      </x:c>
      <x:c r="G1756" s="6" t="str">
        <x:v>Pingshui main list, Wikisource-derived DOCX</x:v>
      </x:c>
      <x:c r="H1756" s="6" t="str">
        <x:v>1</x:v>
      </x:c>
      <x:c r="I1756" s="6" t="str"/>
      <x:c r="J1756" s="6" t="str">
        <x:f>IF(B1756="","",IF(AND(ISNUMBER(SEARCH("平",B1756)),OR(ISNUMBER(SEARCH("上",B1756)),ISNUMBER(SEARCH("去",B1756)),ISNUMBER(SEARCH("入",B1756)))),"Ambiguous",IF(ISNUMBER(SEARCH("平",B1756)),"平","仄")))</x:f>
        <x:v>平</x:v>
      </x:c>
      <x:c r="K1756" s="6" t="str">
        <x:f>IF(D1756="","",IF(AND(ISNUMBER(SEARCH("平",D1756)),OR(ISNUMBER(SEARCH("上",D1756)),ISNUMBER(SEARCH("去",D1756)),ISNUMBER(SEARCH("入",D1756)))),"Ambiguous",IF(ISNUMBER(SEARCH("平",D1756)),"平","仄")))</x:f>
        <x:v>平</x:v>
      </x:c>
      <x:c r="L1756" s="7" t="str"/>
    </x:row>
    <x:row r="1757">
      <x:c r="A1757" s="5" t="str">
        <x:v>晷</x:v>
      </x:c>
      <x:c r="B1757" s="6" t="str">
        <x:v>上</x:v>
      </x:c>
      <x:c r="C1757" s="6" t="str">
        <x:f>IF(B1757="","Needs decision","Ready")</x:f>
        <x:v>Ready</x:v>
      </x:c>
      <x:c r="D1757" s="6" t="str">
        <x:v>上</x:v>
      </x:c>
      <x:c r="E1757" s="6" t="str">
        <x:v>kwijX [見合三B脂上] kwɨ̯iʔ</x:v>
      </x:c>
      <x:c r="F1757" s="6" t="str">
        <x:v>上聲四紙</x:v>
      </x:c>
      <x:c r="G1757" s="6" t="str">
        <x:v>Pingshui main list, Wikisource-derived DOCX</x:v>
      </x:c>
      <x:c r="H1757" s="6" t="str">
        <x:v>1</x:v>
      </x:c>
      <x:c r="I1757" s="6" t="str">
        <x:v>Targeted preliminary fill from Xun Gong; review if uncertain</x:v>
      </x:c>
      <x:c r="J1757" s="6" t="str">
        <x:f>IF(B1757="","",IF(AND(ISNUMBER(SEARCH("平",B1757)),OR(ISNUMBER(SEARCH("上",B1757)),ISNUMBER(SEARCH("去",B1757)),ISNUMBER(SEARCH("入",B1757)))),"Ambiguous",IF(ISNUMBER(SEARCH("平",B1757)),"平","仄")))</x:f>
        <x:v>仄</x:v>
      </x:c>
      <x:c r="K1757" s="6" t="str">
        <x:f>IF(D1757="","",IF(AND(ISNUMBER(SEARCH("平",D1757)),OR(ISNUMBER(SEARCH("上",D1757)),ISNUMBER(SEARCH("去",D1757)),ISNUMBER(SEARCH("入",D1757)))),"Ambiguous",IF(ISNUMBER(SEARCH("平",D1757)),"平","仄")))</x:f>
        <x:v>仄</x:v>
      </x:c>
      <x:c r="L1757" s="7" t="str">
        <x:v>Xun Gong character-readings.csv</x:v>
      </x:c>
    </x:row>
    <x:row r="1758">
      <x:c r="A1758" s="5" t="str">
        <x:v>智</x:v>
      </x:c>
      <x:c r="B1758" s="6" t="str">
        <x:v>去</x:v>
      </x:c>
      <x:c r="C1758" s="6" t="str">
        <x:f>IF(B1758="","Needs decision","Ready")</x:f>
        <x:v>Ready</x:v>
      </x:c>
      <x:c r="D1758" s="6" t="str">
        <x:v>去</x:v>
      </x:c>
      <x:c r="E1758" s="6" t="str">
        <x:v>trjeH (C)</x:v>
      </x:c>
      <x:c r="F1758" s="6" t="str">
        <x:v>去聲四寘</x:v>
      </x:c>
      <x:c r="G1758" s="6" t="str">
        <x:v>Pingshui main list, Wikisource-derived DOCX</x:v>
      </x:c>
      <x:c r="H1758" s="6" t="str">
        <x:v>1</x:v>
      </x:c>
      <x:c r="I1758" s="6" t="str"/>
      <x:c r="J1758" s="6" t="str">
        <x:f>IF(B1758="","",IF(AND(ISNUMBER(SEARCH("平",B1758)),OR(ISNUMBER(SEARCH("上",B1758)),ISNUMBER(SEARCH("去",B1758)),ISNUMBER(SEARCH("入",B1758)))),"Ambiguous",IF(ISNUMBER(SEARCH("平",B1758)),"平","仄")))</x:f>
        <x:v>仄</x:v>
      </x:c>
      <x:c r="K1758" s="6" t="str">
        <x:f>IF(D1758="","",IF(AND(ISNUMBER(SEARCH("平",D1758)),OR(ISNUMBER(SEARCH("上",D1758)),ISNUMBER(SEARCH("去",D1758)),ISNUMBER(SEARCH("入",D1758)))),"Ambiguous",IF(ISNUMBER(SEARCH("平",D1758)),"平","仄")))</x:f>
        <x:v>仄</x:v>
      </x:c>
      <x:c r="L1758" s="7" t="str"/>
    </x:row>
    <x:row r="1759">
      <x:c r="A1759" s="5" t="str">
        <x:v>晻</x:v>
      </x:c>
      <x:c r="B1759" s="6" t="str"/>
      <x:c r="C1759" s="6" t="str">
        <x:f>IF(B1759="","Needs decision","Ready")</x:f>
        <x:v>Needs decision</x:v>
      </x:c>
      <x:c r="D1759" s="6" t="str">
        <x:v>上/去</x:v>
      </x:c>
      <x:c r="E1759" s="6" t="str">
        <x:v>'omX (B); 'omH (C)</x:v>
      </x:c>
      <x:c r="F1759" s="6" t="str">
        <x:v>上聲二十七感</x:v>
      </x:c>
      <x:c r="G1759" s="6" t="str">
        <x:v>Pingshui main list, Wikisource-derived DOCX</x:v>
      </x:c>
      <x:c r="H1759" s="6" t="str">
        <x:v>2</x:v>
      </x:c>
      <x:c r="I1759" s="6" t="str"/>
      <x:c r="J1759" s="6" t="str">
        <x:f>IF(B1759="","",IF(AND(ISNUMBER(SEARCH("平",B1759)),OR(ISNUMBER(SEARCH("上",B1759)),ISNUMBER(SEARCH("去",B1759)),ISNUMBER(SEARCH("入",B1759)))),"Ambiguous",IF(ISNUMBER(SEARCH("平",B1759)),"平","仄")))</x:f>
      </x:c>
      <x:c r="K1759" s="6" t="str">
        <x:f>IF(D1759="","",IF(AND(ISNUMBER(SEARCH("平",D1759)),OR(ISNUMBER(SEARCH("上",D1759)),ISNUMBER(SEARCH("去",D1759)),ISNUMBER(SEARCH("入",D1759)))),"Ambiguous",IF(ISNUMBER(SEARCH("平",D1759)),"平","仄")))</x:f>
        <x:v>仄</x:v>
      </x:c>
      <x:c r="L1759" s="7" t="str"/>
    </x:row>
    <x:row r="1760">
      <x:c r="A1760" s="5" t="str">
        <x:v>晼</x:v>
      </x:c>
      <x:c r="B1760" s="6" t="str">
        <x:v>上</x:v>
      </x:c>
      <x:c r="C1760" s="6" t="str">
        <x:f>IF(B1760="","Needs decision","Ready")</x:f>
        <x:v>Ready</x:v>
      </x:c>
      <x:c r="D1760" s="6" t="str">
        <x:v>上</x:v>
      </x:c>
      <x:c r="E1760" s="6" t="str">
        <x:v>'jwonX [ʔwɨ̯ənʔ] (上)</x:v>
      </x:c>
      <x:c r="F1760" s="6" t="str">
        <x:v>上聲十三阮</x:v>
      </x:c>
      <x:c r="G1760" s="6" t="str">
        <x:v>Pingshui main list, Wikisource-derived DOCX</x:v>
      </x:c>
      <x:c r="H1760" s="6" t="str">
        <x:v>1</x:v>
      </x:c>
      <x:c r="I1760" s="6" t="str">
        <x:v>Tang 300 gap; frequency 1; provisional from Xun Gong</x:v>
      </x:c>
      <x:c r="J1760" s="6" t="str">
        <x:f>IF(B1760="","",IF(AND(ISNUMBER(SEARCH("平",B1760)),OR(ISNUMBER(SEARCH("上",B1760)),ISNUMBER(SEARCH("去",B1760)),ISNUMBER(SEARCH("入",B1760)))),"Ambiguous",IF(ISNUMBER(SEARCH("平",B1760)),"平","仄")))</x:f>
        <x:v>仄</x:v>
      </x:c>
      <x:c r="K1760" s="6" t="str">
        <x:f>IF(D1760="","",IF(AND(ISNUMBER(SEARCH("平",D1760)),OR(ISNUMBER(SEARCH("上",D1760)),ISNUMBER(SEARCH("去",D1760)),ISNUMBER(SEARCH("入",D1760)))),"Ambiguous",IF(ISNUMBER(SEARCH("平",D1760)),"平","仄")))</x:f>
        <x:v>仄</x:v>
      </x:c>
      <x:c r="L1760" s="7" t="str">
        <x:v>Xun Gong, Tang 300 gap fill</x:v>
      </x:c>
    </x:row>
    <x:row r="1761">
      <x:c r="A1761" s="5" t="str">
        <x:v>暇</x:v>
      </x:c>
      <x:c r="B1761" s="6" t="str">
        <x:v>去</x:v>
      </x:c>
      <x:c r="C1761" s="6" t="str">
        <x:f>IF(B1761="","Needs decision","Ready")</x:f>
        <x:v>Ready</x:v>
      </x:c>
      <x:c r="D1761" s="6" t="str">
        <x:v>去</x:v>
      </x:c>
      <x:c r="E1761" s="6" t="str">
        <x:v>haeH (C)</x:v>
      </x:c>
      <x:c r="F1761" s="6" t="str">
        <x:v>去聲二十二禡</x:v>
      </x:c>
      <x:c r="G1761" s="6" t="str">
        <x:v>Pingshui main list, Wikisource-derived DOCX</x:v>
      </x:c>
      <x:c r="H1761" s="6" t="str">
        <x:v>1</x:v>
      </x:c>
      <x:c r="I1761" s="6" t="str"/>
      <x:c r="J1761" s="6" t="str">
        <x:f>IF(B1761="","",IF(AND(ISNUMBER(SEARCH("平",B1761)),OR(ISNUMBER(SEARCH("上",B1761)),ISNUMBER(SEARCH("去",B1761)),ISNUMBER(SEARCH("入",B1761)))),"Ambiguous",IF(ISNUMBER(SEARCH("平",B1761)),"平","仄")))</x:f>
        <x:v>仄</x:v>
      </x:c>
      <x:c r="K1761" s="6" t="str">
        <x:f>IF(D1761="","",IF(AND(ISNUMBER(SEARCH("平",D1761)),OR(ISNUMBER(SEARCH("上",D1761)),ISNUMBER(SEARCH("去",D1761)),ISNUMBER(SEARCH("入",D1761)))),"Ambiguous",IF(ISNUMBER(SEARCH("平",D1761)),"平","仄")))</x:f>
        <x:v>仄</x:v>
      </x:c>
      <x:c r="L1761" s="7" t="str"/>
    </x:row>
    <x:row r="1762">
      <x:c r="A1762" s="5" t="str">
        <x:v>暉</x:v>
      </x:c>
      <x:c r="B1762" s="6" t="str">
        <x:v>平</x:v>
      </x:c>
      <x:c r="C1762" s="6" t="str">
        <x:f>IF(B1762="","Needs decision","Ready")</x:f>
        <x:v>Ready</x:v>
      </x:c>
      <x:c r="D1762" s="6" t="str">
        <x:v>平</x:v>
      </x:c>
      <x:c r="E1762" s="6" t="str">
        <x:v>xjw+j (A)</x:v>
      </x:c>
      <x:c r="F1762" s="6" t="str">
        <x:v>上平聲五微</x:v>
      </x:c>
      <x:c r="G1762" s="6" t="str">
        <x:v>Pingshui main list, Wikisource-derived DOCX</x:v>
      </x:c>
      <x:c r="H1762" s="6" t="str">
        <x:v>1</x:v>
      </x:c>
      <x:c r="I1762" s="6" t="str"/>
      <x:c r="J1762" s="6" t="str">
        <x:f>IF(B1762="","",IF(AND(ISNUMBER(SEARCH("平",B1762)),OR(ISNUMBER(SEARCH("上",B1762)),ISNUMBER(SEARCH("去",B1762)),ISNUMBER(SEARCH("入",B1762)))),"Ambiguous",IF(ISNUMBER(SEARCH("平",B1762)),"平","仄")))</x:f>
        <x:v>平</x:v>
      </x:c>
      <x:c r="K1762" s="6" t="str">
        <x:f>IF(D1762="","",IF(AND(ISNUMBER(SEARCH("平",D1762)),OR(ISNUMBER(SEARCH("上",D1762)),ISNUMBER(SEARCH("去",D1762)),ISNUMBER(SEARCH("入",D1762)))),"Ambiguous",IF(ISNUMBER(SEARCH("平",D1762)),"平","仄")))</x:f>
        <x:v>平</x:v>
      </x:c>
      <x:c r="L1762" s="7" t="str"/>
    </x:row>
    <x:row r="1763">
      <x:c r="A1763" s="5" t="str">
        <x:v>暑</x:v>
      </x:c>
      <x:c r="B1763" s="6" t="str">
        <x:v>上</x:v>
      </x:c>
      <x:c r="C1763" s="6" t="str">
        <x:f>IF(B1763="","Needs decision","Ready")</x:f>
        <x:v>Ready</x:v>
      </x:c>
      <x:c r="D1763" s="6" t="str">
        <x:v>上</x:v>
      </x:c>
      <x:c r="E1763" s="6" t="str">
        <x:v>syoX (B)</x:v>
      </x:c>
      <x:c r="F1763" s="6" t="str">
        <x:v>上聲六語</x:v>
      </x:c>
      <x:c r="G1763" s="6" t="str">
        <x:v>Pingshui main list, Wikisource-derived DOCX</x:v>
      </x:c>
      <x:c r="H1763" s="6" t="str">
        <x:v>1</x:v>
      </x:c>
      <x:c r="I1763" s="6" t="str"/>
      <x:c r="J1763" s="6" t="str">
        <x:f>IF(B1763="","",IF(AND(ISNUMBER(SEARCH("平",B1763)),OR(ISNUMBER(SEARCH("上",B1763)),ISNUMBER(SEARCH("去",B1763)),ISNUMBER(SEARCH("入",B1763)))),"Ambiguous",IF(ISNUMBER(SEARCH("平",B1763)),"平","仄")))</x:f>
        <x:v>仄</x:v>
      </x:c>
      <x:c r="K1763" s="6" t="str">
        <x:f>IF(D1763="","",IF(AND(ISNUMBER(SEARCH("平",D1763)),OR(ISNUMBER(SEARCH("上",D1763)),ISNUMBER(SEARCH("去",D1763)),ISNUMBER(SEARCH("入",D1763)))),"Ambiguous",IF(ISNUMBER(SEARCH("平",D1763)),"平","仄")))</x:f>
        <x:v>仄</x:v>
      </x:c>
      <x:c r="L1763" s="7" t="str"/>
    </x:row>
    <x:row r="1764">
      <x:c r="A1764" s="5" t="str">
        <x:v>暖</x:v>
      </x:c>
      <x:c r="B1764" s="6" t="str">
        <x:v>上</x:v>
      </x:c>
      <x:c r="C1764" s="6" t="str">
        <x:f>IF(B1764="","Needs decision","Ready")</x:f>
        <x:v>Ready</x:v>
      </x:c>
      <x:c r="D1764" s="6" t="str">
        <x:v>上</x:v>
      </x:c>
      <x:c r="E1764" s="6" t="str">
        <x:v>nwanX [n̙wɑnʔ] (上)</x:v>
      </x:c>
      <x:c r="F1764" s="6" t="str"/>
      <x:c r="G1764" s="6" t="str"/>
      <x:c r="H1764" s="6" t="str">
        <x:v>1</x:v>
      </x:c>
      <x:c r="I1764" s="6" t="str">
        <x:v>Tang 300 gap; frequency 6; provisional from Xun Gong</x:v>
      </x:c>
      <x:c r="J1764" s="6" t="str">
        <x:f>IF(B1764="","",IF(AND(ISNUMBER(SEARCH("平",B1764)),OR(ISNUMBER(SEARCH("上",B1764)),ISNUMBER(SEARCH("去",B1764)),ISNUMBER(SEARCH("入",B1764)))),"Ambiguous",IF(ISNUMBER(SEARCH("平",B1764)),"平","仄")))</x:f>
        <x:v>仄</x:v>
      </x:c>
      <x:c r="K1764" s="6" t="str">
        <x:f>IF(D1764="","",IF(AND(ISNUMBER(SEARCH("平",D1764)),OR(ISNUMBER(SEARCH("上",D1764)),ISNUMBER(SEARCH("去",D1764)),ISNUMBER(SEARCH("入",D1764)))),"Ambiguous",IF(ISNUMBER(SEARCH("平",D1764)),"平","仄")))</x:f>
        <x:v>仄</x:v>
      </x:c>
      <x:c r="L1764" s="7" t="str">
        <x:v>Xun Gong, Tang 300 gap fill</x:v>
      </x:c>
    </x:row>
    <x:row r="1765">
      <x:c r="A1765" s="5" t="str">
        <x:v>暗</x:v>
      </x:c>
      <x:c r="B1765" s="6" t="str">
        <x:v>去</x:v>
      </x:c>
      <x:c r="C1765" s="6" t="str">
        <x:f>IF(B1765="","Needs decision","Ready")</x:f>
        <x:v>Ready</x:v>
      </x:c>
      <x:c r="D1765" s="6" t="str">
        <x:v>去</x:v>
      </x:c>
      <x:c r="E1765" s="6" t="str">
        <x:v>'omH (C)</x:v>
      </x:c>
      <x:c r="F1765" s="6" t="str">
        <x:v>去聲二十八勘</x:v>
      </x:c>
      <x:c r="G1765" s="6" t="str">
        <x:v>Pingshui main list, Wikisource-derived DOCX</x:v>
      </x:c>
      <x:c r="H1765" s="6" t="str">
        <x:v>1</x:v>
      </x:c>
      <x:c r="I1765" s="6" t="str"/>
      <x:c r="J1765" s="6" t="str">
        <x:f>IF(B1765="","",IF(AND(ISNUMBER(SEARCH("平",B1765)),OR(ISNUMBER(SEARCH("上",B1765)),ISNUMBER(SEARCH("去",B1765)),ISNUMBER(SEARCH("入",B1765)))),"Ambiguous",IF(ISNUMBER(SEARCH("平",B1765)),"平","仄")))</x:f>
        <x:v>仄</x:v>
      </x:c>
      <x:c r="K1765" s="6" t="str">
        <x:f>IF(D1765="","",IF(AND(ISNUMBER(SEARCH("平",D1765)),OR(ISNUMBER(SEARCH("上",D1765)),ISNUMBER(SEARCH("去",D1765)),ISNUMBER(SEARCH("入",D1765)))),"Ambiguous",IF(ISNUMBER(SEARCH("平",D1765)),"平","仄")))</x:f>
        <x:v>仄</x:v>
      </x:c>
      <x:c r="L1765" s="7" t="str"/>
    </x:row>
    <x:row r="1766">
      <x:c r="A1766" s="5" t="str">
        <x:v>暝</x:v>
      </x:c>
      <x:c r="B1766" s="6" t="str">
        <x:v>平</x:v>
      </x:c>
      <x:c r="C1766" s="6" t="str">
        <x:f>IF(B1766="","Needs decision","Ready")</x:f>
        <x:v>Ready</x:v>
      </x:c>
      <x:c r="D1766" s="6" t="str">
        <x:v>平</x:v>
      </x:c>
      <x:c r="E1766" s="6" t="str"/>
      <x:c r="F1766" s="6" t="str">
        <x:v>下平聲九青; 去聲二十五徑</x:v>
      </x:c>
      <x:c r="G1766" s="6" t="str">
        <x:v>Pingshui main list, Wikisource-derived DOCX</x:v>
      </x:c>
      <x:c r="H1766" s="6" t="str"/>
      <x:c r="I1766" s="6" t="str">
        <x:v>Manual user correction/addition</x:v>
      </x:c>
      <x:c r="J1766" s="6" t="str">
        <x:f>IF(B1766="","",IF(AND(ISNUMBER(SEARCH("平",B1766)),OR(ISNUMBER(SEARCH("上",B1766)),ISNUMBER(SEARCH("去",B1766)),ISNUMBER(SEARCH("入",B1766)))),"Ambiguous",IF(ISNUMBER(SEARCH("平",B1766)),"平","仄")))</x:f>
        <x:v>平</x:v>
      </x:c>
      <x:c r="K1766" s="6" t="str">
        <x:f>IF(D1766="","",IF(AND(ISNUMBER(SEARCH("平",D1766)),OR(ISNUMBER(SEARCH("上",D1766)),ISNUMBER(SEARCH("去",D1766)),ISNUMBER(SEARCH("入",D1766)))),"Ambiguous",IF(ISNUMBER(SEARCH("平",D1766)),"平","仄")))</x:f>
        <x:v>平</x:v>
      </x:c>
      <x:c r="L1766" s="7" t="str">
        <x:v>manual user correction</x:v>
      </x:c>
    </x:row>
    <x:row r="1767">
      <x:c r="A1767" s="5" t="str">
        <x:v>暢</x:v>
      </x:c>
      <x:c r="B1767" s="6" t="str">
        <x:v>去</x:v>
      </x:c>
      <x:c r="C1767" s="6" t="str">
        <x:f>IF(B1767="","Needs decision","Ready")</x:f>
        <x:v>Ready</x:v>
      </x:c>
      <x:c r="D1767" s="6" t="str">
        <x:v>去</x:v>
      </x:c>
      <x:c r="E1767" s="6" t="str"/>
      <x:c r="F1767" s="6" t="str">
        <x:v>去聲二十三漾</x:v>
      </x:c>
      <x:c r="G1767" s="6" t="str">
        <x:v>Pingshui main list, Wikisource-derived DOCX</x:v>
      </x:c>
      <x:c r="H1767" s="6" t="str"/>
      <x:c r="I1767" s="6" t="str">
        <x:v>Manual user correction/addition</x:v>
      </x:c>
      <x:c r="J1767" s="6" t="str">
        <x:f>IF(B1767="","",IF(AND(ISNUMBER(SEARCH("平",B1767)),OR(ISNUMBER(SEARCH("上",B1767)),ISNUMBER(SEARCH("去",B1767)),ISNUMBER(SEARCH("入",B1767)))),"Ambiguous",IF(ISNUMBER(SEARCH("平",B1767)),"平","仄")))</x:f>
        <x:v>仄</x:v>
      </x:c>
      <x:c r="K1767" s="6" t="str">
        <x:f>IF(D1767="","",IF(AND(ISNUMBER(SEARCH("平",D1767)),OR(ISNUMBER(SEARCH("上",D1767)),ISNUMBER(SEARCH("去",D1767)),ISNUMBER(SEARCH("入",D1767)))),"Ambiguous",IF(ISNUMBER(SEARCH("平",D1767)),"平","仄")))</x:f>
        <x:v>仄</x:v>
      </x:c>
      <x:c r="L1767" s="7" t="str">
        <x:v>manual user correction</x:v>
      </x:c>
    </x:row>
    <x:row r="1768">
      <x:c r="A1768" s="5" t="str">
        <x:v>暨</x:v>
      </x:c>
      <x:c r="B1768" s="6" t="str">
        <x:v>去</x:v>
      </x:c>
      <x:c r="C1768" s="6" t="str">
        <x:f>IF(B1768="","Needs decision","Ready")</x:f>
        <x:v>Ready</x:v>
      </x:c>
      <x:c r="D1768" s="6" t="str">
        <x:v>去</x:v>
      </x:c>
      <x:c r="E1768" s="6" t="str">
        <x:v>gijH (C)</x:v>
      </x:c>
      <x:c r="F1768" s="6" t="str">
        <x:v>去聲四寘; 去聲五未</x:v>
      </x:c>
      <x:c r="G1768" s="6" t="str">
        <x:v>Pingshui main list, Wikisource-derived DOCX</x:v>
      </x:c>
      <x:c r="H1768" s="6" t="str">
        <x:v>1</x:v>
      </x:c>
      <x:c r="I1768" s="6" t="str"/>
      <x:c r="J1768" s="6" t="str">
        <x:f>IF(B1768="","",IF(AND(ISNUMBER(SEARCH("平",B1768)),OR(ISNUMBER(SEARCH("上",B1768)),ISNUMBER(SEARCH("去",B1768)),ISNUMBER(SEARCH("入",B1768)))),"Ambiguous",IF(ISNUMBER(SEARCH("平",B1768)),"平","仄")))</x:f>
        <x:v>仄</x:v>
      </x:c>
      <x:c r="K1768" s="6" t="str">
        <x:f>IF(D1768="","",IF(AND(ISNUMBER(SEARCH("平",D1768)),OR(ISNUMBER(SEARCH("上",D1768)),ISNUMBER(SEARCH("去",D1768)),ISNUMBER(SEARCH("入",D1768)))),"Ambiguous",IF(ISNUMBER(SEARCH("平",D1768)),"平","仄")))</x:f>
        <x:v>仄</x:v>
      </x:c>
      <x:c r="L1768" s="7" t="str"/>
    </x:row>
    <x:row r="1769">
      <x:c r="A1769" s="5" t="str">
        <x:v>暫</x:v>
      </x:c>
      <x:c r="B1769" s="6" t="str">
        <x:v>去</x:v>
      </x:c>
      <x:c r="C1769" s="6" t="str">
        <x:f>IF(B1769="","Needs decision","Ready")</x:f>
        <x:v>Ready</x:v>
      </x:c>
      <x:c r="D1769" s="6" t="str">
        <x:v>去</x:v>
      </x:c>
      <x:c r="E1769" s="6" t="str">
        <x:v>dzamH (C)</x:v>
      </x:c>
      <x:c r="F1769" s="6" t="str">
        <x:v>去聲二十八勘</x:v>
      </x:c>
      <x:c r="G1769" s="6" t="str">
        <x:v>Pingshui main list, Wikisource-derived DOCX</x:v>
      </x:c>
      <x:c r="H1769" s="6" t="str">
        <x:v>1</x:v>
      </x:c>
      <x:c r="I1769" s="6" t="str"/>
      <x:c r="J1769" s="6" t="str">
        <x:f>IF(B1769="","",IF(AND(ISNUMBER(SEARCH("平",B1769)),OR(ISNUMBER(SEARCH("上",B1769)),ISNUMBER(SEARCH("去",B1769)),ISNUMBER(SEARCH("入",B1769)))),"Ambiguous",IF(ISNUMBER(SEARCH("平",B1769)),"平","仄")))</x:f>
        <x:v>仄</x:v>
      </x:c>
      <x:c r="K1769" s="6" t="str">
        <x:f>IF(D1769="","",IF(AND(ISNUMBER(SEARCH("平",D1769)),OR(ISNUMBER(SEARCH("上",D1769)),ISNUMBER(SEARCH("去",D1769)),ISNUMBER(SEARCH("入",D1769)))),"Ambiguous",IF(ISNUMBER(SEARCH("平",D1769)),"平","仄")))</x:f>
        <x:v>仄</x:v>
      </x:c>
      <x:c r="L1769" s="7" t="str"/>
    </x:row>
    <x:row r="1770">
      <x:c r="A1770" s="5" t="str">
        <x:v>暮</x:v>
      </x:c>
      <x:c r="B1770" s="6" t="str">
        <x:v>去</x:v>
      </x:c>
      <x:c r="C1770" s="6" t="str">
        <x:f>IF(B1770="","Needs decision","Ready")</x:f>
        <x:v>Ready</x:v>
      </x:c>
      <x:c r="D1770" s="6" t="str">
        <x:v>去</x:v>
      </x:c>
      <x:c r="E1770" s="6" t="str"/>
      <x:c r="F1770" s="6" t="str">
        <x:v>去聲七遇</x:v>
      </x:c>
      <x:c r="G1770" s="6" t="str">
        <x:v>Pingshui main list, Wikisource-derived DOCX</x:v>
      </x:c>
      <x:c r="H1770" s="6" t="str"/>
      <x:c r="I1770" s="6" t="str">
        <x:v>Manual user correction/addition</x:v>
      </x:c>
      <x:c r="J1770" s="6" t="str">
        <x:f>IF(B1770="","",IF(AND(ISNUMBER(SEARCH("平",B1770)),OR(ISNUMBER(SEARCH("上",B1770)),ISNUMBER(SEARCH("去",B1770)),ISNUMBER(SEARCH("入",B1770)))),"Ambiguous",IF(ISNUMBER(SEARCH("平",B1770)),"平","仄")))</x:f>
        <x:v>仄</x:v>
      </x:c>
      <x:c r="K1770" s="6" t="str">
        <x:f>IF(D1770="","",IF(AND(ISNUMBER(SEARCH("平",D1770)),OR(ISNUMBER(SEARCH("上",D1770)),ISNUMBER(SEARCH("去",D1770)),ISNUMBER(SEARCH("入",D1770)))),"Ambiguous",IF(ISNUMBER(SEARCH("平",D1770)),"平","仄")))</x:f>
        <x:v>仄</x:v>
      </x:c>
      <x:c r="L1770" s="7" t="str">
        <x:v>manual user correction</x:v>
      </x:c>
    </x:row>
    <x:row r="1771">
      <x:c r="A1771" s="5" t="str">
        <x:v>暱</x:v>
      </x:c>
      <x:c r="B1771" s="6" t="str">
        <x:v>入</x:v>
      </x:c>
      <x:c r="C1771" s="6" t="str">
        <x:f>IF(B1771="","Needs decision","Ready")</x:f>
        <x:v>Ready</x:v>
      </x:c>
      <x:c r="D1771" s="6" t="str">
        <x:v>入</x:v>
      </x:c>
      <x:c r="E1771" s="6" t="str">
        <x:v>nrit (D)</x:v>
      </x:c>
      <x:c r="F1771" s="6" t="str">
        <x:v>入聲四質</x:v>
      </x:c>
      <x:c r="G1771" s="6" t="str">
        <x:v>Pingshui main list, Wikisource-derived DOCX</x:v>
      </x:c>
      <x:c r="H1771" s="6" t="str">
        <x:v>1</x:v>
      </x:c>
      <x:c r="I1771" s="6" t="str"/>
      <x:c r="J1771" s="6" t="str">
        <x:f>IF(B1771="","",IF(AND(ISNUMBER(SEARCH("平",B1771)),OR(ISNUMBER(SEARCH("上",B1771)),ISNUMBER(SEARCH("去",B1771)),ISNUMBER(SEARCH("入",B1771)))),"Ambiguous",IF(ISNUMBER(SEARCH("平",B1771)),"平","仄")))</x:f>
        <x:v>仄</x:v>
      </x:c>
      <x:c r="K1771" s="6" t="str">
        <x:f>IF(D1771="","",IF(AND(ISNUMBER(SEARCH("平",D1771)),OR(ISNUMBER(SEARCH("上",D1771)),ISNUMBER(SEARCH("去",D1771)),ISNUMBER(SEARCH("入",D1771)))),"Ambiguous",IF(ISNUMBER(SEARCH("平",D1771)),"平","仄")))</x:f>
        <x:v>仄</x:v>
      </x:c>
      <x:c r="L1771" s="7" t="str"/>
    </x:row>
    <x:row r="1772">
      <x:c r="A1772" s="5" t="str">
        <x:v>暴</x:v>
      </x:c>
      <x:c r="B1772" s="6" t="str"/>
      <x:c r="C1772" s="6" t="str">
        <x:f>IF(B1772="","Needs decision","Ready")</x:f>
        <x:v>Needs decision</x:v>
      </x:c>
      <x:c r="D1772" s="6" t="str">
        <x:v>去/入</x:v>
      </x:c>
      <x:c r="E1772" s="6" t="str">
        <x:v>bawH (C); buwk (D)</x:v>
      </x:c>
      <x:c r="F1772" s="6" t="str">
        <x:v>去聲二十號; 入聲一屋</x:v>
      </x:c>
      <x:c r="G1772" s="6" t="str">
        <x:v>Pingshui main list, Wikisource-derived DOCX</x:v>
      </x:c>
      <x:c r="H1772" s="6" t="str">
        <x:v>2</x:v>
      </x:c>
      <x:c r="I1772" s="6" t="str"/>
      <x:c r="J1772" s="6" t="str">
        <x:f>IF(B1772="","",IF(AND(ISNUMBER(SEARCH("平",B1772)),OR(ISNUMBER(SEARCH("上",B1772)),ISNUMBER(SEARCH("去",B1772)),ISNUMBER(SEARCH("入",B1772)))),"Ambiguous",IF(ISNUMBER(SEARCH("平",B1772)),"平","仄")))</x:f>
      </x:c>
      <x:c r="K1772" s="6" t="str">
        <x:f>IF(D1772="","",IF(AND(ISNUMBER(SEARCH("平",D1772)),OR(ISNUMBER(SEARCH("上",D1772)),ISNUMBER(SEARCH("去",D1772)),ISNUMBER(SEARCH("入",D1772)))),"Ambiguous",IF(ISNUMBER(SEARCH("平",D1772)),"平","仄")))</x:f>
        <x:v>仄</x:v>
      </x:c>
      <x:c r="L1772" s="7" t="str"/>
    </x:row>
    <x:row r="1773">
      <x:c r="A1773" s="5" t="str">
        <x:v>暵</x:v>
      </x:c>
      <x:c r="B1773" s="6" t="str"/>
      <x:c r="C1773" s="6" t="str">
        <x:f>IF(B1773="","Needs decision","Ready")</x:f>
        <x:v>Needs decision</x:v>
      </x:c>
      <x:c r="D1773" s="6" t="str">
        <x:v>上/去</x:v>
      </x:c>
      <x:c r="E1773" s="6" t="str">
        <x:v>xanX (B); xanH (C)</x:v>
      </x:c>
      <x:c r="F1773" s="6" t="str">
        <x:v>上聲十四旱; 去聲十五翰</x:v>
      </x:c>
      <x:c r="G1773" s="6" t="str">
        <x:v>Pingshui main list, Wikisource-derived DOCX</x:v>
      </x:c>
      <x:c r="H1773" s="6" t="str">
        <x:v>2</x:v>
      </x:c>
      <x:c r="I1773" s="6" t="str"/>
      <x:c r="J1773" s="6" t="str">
        <x:f>IF(B1773="","",IF(AND(ISNUMBER(SEARCH("平",B1773)),OR(ISNUMBER(SEARCH("上",B1773)),ISNUMBER(SEARCH("去",B1773)),ISNUMBER(SEARCH("入",B1773)))),"Ambiguous",IF(ISNUMBER(SEARCH("平",B1773)),"平","仄")))</x:f>
      </x:c>
      <x:c r="K1773" s="6" t="str">
        <x:f>IF(D1773="","",IF(AND(ISNUMBER(SEARCH("平",D1773)),OR(ISNUMBER(SEARCH("上",D1773)),ISNUMBER(SEARCH("去",D1773)),ISNUMBER(SEARCH("入",D1773)))),"Ambiguous",IF(ISNUMBER(SEARCH("平",D1773)),"平","仄")))</x:f>
        <x:v>仄</x:v>
      </x:c>
      <x:c r="L1773" s="7" t="str"/>
    </x:row>
    <x:row r="1774">
      <x:c r="A1774" s="5" t="str">
        <x:v>曀</x:v>
      </x:c>
      <x:c r="B1774" s="6" t="str">
        <x:v>上</x:v>
      </x:c>
      <x:c r="C1774" s="6" t="str">
        <x:f>IF(B1774="","Needs decision","Ready")</x:f>
        <x:v>Ready</x:v>
      </x:c>
      <x:c r="D1774" s="6" t="str">
        <x:v>上</x:v>
      </x:c>
      <x:c r="E1774" s="6" t="str"/>
      <x:c r="F1774" s="6" t="str">
        <x:v>去聲八霽</x:v>
      </x:c>
      <x:c r="G1774" s="6" t="str">
        <x:v>Pingshui main list, Wikisource-derived DOCX</x:v>
      </x:c>
      <x:c r="H1774" s="6" t="str">
        <x:v>0</x:v>
      </x:c>
      <x:c r="I1774" s="6" t="str">
        <x:v>User correction 2026-09-08; added manually</x:v>
      </x:c>
      <x:c r="J1774" s="6" t="str">
        <x:f>IF(B1774="","",IF(AND(ISNUMBER(SEARCH("平",B1774)),OR(ISNUMBER(SEARCH("上",B1774)),ISNUMBER(SEARCH("去",B1774)),ISNUMBER(SEARCH("入",B1774)))),"Ambiguous",IF(ISNUMBER(SEARCH("平",B1774)),"平","仄")))</x:f>
        <x:v>仄</x:v>
      </x:c>
      <x:c r="K1774" s="6" t="str">
        <x:f>IF(D1774="","",IF(AND(ISNUMBER(SEARCH("平",D1774)),OR(ISNUMBER(SEARCH("上",D1774)),ISNUMBER(SEARCH("去",D1774)),ISNUMBER(SEARCH("入",D1774)))),"Ambiguous",IF(ISNUMBER(SEARCH("平",D1774)),"平","仄")))</x:f>
        <x:v>仄</x:v>
      </x:c>
      <x:c r="L1774" s="7" t="str">
        <x:v>User correction</x:v>
      </x:c>
    </x:row>
    <x:row r="1775">
      <x:c r="A1775" s="5" t="str">
        <x:v>曆</x:v>
      </x:c>
      <x:c r="B1775" s="6" t="str">
        <x:v>入</x:v>
      </x:c>
      <x:c r="C1775" s="6" t="str">
        <x:f>IF(B1775="","Needs decision","Ready")</x:f>
        <x:v>Ready</x:v>
      </x:c>
      <x:c r="D1775" s="6" t="str">
        <x:v>入</x:v>
      </x:c>
      <x:c r="E1775" s="6" t="str">
        <x:v>lek (D)</x:v>
      </x:c>
      <x:c r="F1775" s="6" t="str">
        <x:v>入聲十二錫</x:v>
      </x:c>
      <x:c r="G1775" s="6" t="str">
        <x:v>Pingshui main list, Wikisource-derived DOCX</x:v>
      </x:c>
      <x:c r="H1775" s="6" t="str">
        <x:v>1</x:v>
      </x:c>
      <x:c r="I1775" s="6" t="str"/>
      <x:c r="J1775" s="6" t="str">
        <x:f>IF(B1775="","",IF(AND(ISNUMBER(SEARCH("平",B1775)),OR(ISNUMBER(SEARCH("上",B1775)),ISNUMBER(SEARCH("去",B1775)),ISNUMBER(SEARCH("入",B1775)))),"Ambiguous",IF(ISNUMBER(SEARCH("平",B1775)),"平","仄")))</x:f>
        <x:v>仄</x:v>
      </x:c>
      <x:c r="K1775" s="6" t="str">
        <x:f>IF(D1775="","",IF(AND(ISNUMBER(SEARCH("平",D1775)),OR(ISNUMBER(SEARCH("上",D1775)),ISNUMBER(SEARCH("去",D1775)),ISNUMBER(SEARCH("入",D1775)))),"Ambiguous",IF(ISNUMBER(SEARCH("平",D1775)),"平","仄")))</x:f>
        <x:v>仄</x:v>
      </x:c>
      <x:c r="L1775" s="7" t="str"/>
    </x:row>
    <x:row r="1776">
      <x:c r="A1776" s="5" t="str">
        <x:v>曇</x:v>
      </x:c>
      <x:c r="B1776" s="6" t="str">
        <x:v>平</x:v>
      </x:c>
      <x:c r="C1776" s="6" t="str">
        <x:f>IF(B1776="","Needs decision","Ready")</x:f>
        <x:v>Ready</x:v>
      </x:c>
      <x:c r="D1776" s="6" t="str">
        <x:v>平</x:v>
      </x:c>
      <x:c r="E1776" s="6" t="str"/>
      <x:c r="F1776" s="6" t="str">
        <x:v>下平聲十三覃</x:v>
      </x:c>
      <x:c r="G1776" s="6" t="str">
        <x:v>Pingshui main list, Wikisource-derived DOCX</x:v>
      </x:c>
      <x:c r="H1776" s="6" t="str"/>
      <x:c r="I1776" s="6" t="str">
        <x:v>Manual user correction/addition</x:v>
      </x:c>
      <x:c r="J1776" s="6" t="str">
        <x:f>IF(B1776="","",IF(AND(ISNUMBER(SEARCH("平",B1776)),OR(ISNUMBER(SEARCH("上",B1776)),ISNUMBER(SEARCH("去",B1776)),ISNUMBER(SEARCH("入",B1776)))),"Ambiguous",IF(ISNUMBER(SEARCH("平",B1776)),"平","仄")))</x:f>
        <x:v>平</x:v>
      </x:c>
      <x:c r="K1776" s="6" t="str">
        <x:f>IF(D1776="","",IF(AND(ISNUMBER(SEARCH("平",D1776)),OR(ISNUMBER(SEARCH("上",D1776)),ISNUMBER(SEARCH("去",D1776)),ISNUMBER(SEARCH("入",D1776)))),"Ambiguous",IF(ISNUMBER(SEARCH("平",D1776)),"平","仄")))</x:f>
        <x:v>平</x:v>
      </x:c>
      <x:c r="L1776" s="7" t="str">
        <x:v>manual user correction</x:v>
      </x:c>
    </x:row>
    <x:row r="1777">
      <x:c r="A1777" s="5" t="str">
        <x:v>曉</x:v>
      </x:c>
      <x:c r="B1777" s="6" t="str">
        <x:v>上</x:v>
      </x:c>
      <x:c r="C1777" s="6" t="str">
        <x:f>IF(B1777="","Needs decision","Ready")</x:f>
        <x:v>Ready</x:v>
      </x:c>
      <x:c r="D1777" s="6" t="str">
        <x:v>上</x:v>
      </x:c>
      <x:c r="E1777" s="6" t="str">
        <x:v>xewX (B)</x:v>
      </x:c>
      <x:c r="F1777" s="6" t="str">
        <x:v>上聲十七篠</x:v>
      </x:c>
      <x:c r="G1777" s="6" t="str">
        <x:v>Pingshui main list, Wikisource-derived DOCX</x:v>
      </x:c>
      <x:c r="H1777" s="6" t="str">
        <x:v>1</x:v>
      </x:c>
      <x:c r="I1777" s="6" t="str"/>
      <x:c r="J1777" s="6" t="str">
        <x:f>IF(B1777="","",IF(AND(ISNUMBER(SEARCH("平",B1777)),OR(ISNUMBER(SEARCH("上",B1777)),ISNUMBER(SEARCH("去",B1777)),ISNUMBER(SEARCH("入",B1777)))),"Ambiguous",IF(ISNUMBER(SEARCH("平",B1777)),"平","仄")))</x:f>
        <x:v>仄</x:v>
      </x:c>
      <x:c r="K1777" s="6" t="str">
        <x:f>IF(D1777="","",IF(AND(ISNUMBER(SEARCH("平",D1777)),OR(ISNUMBER(SEARCH("上",D1777)),ISNUMBER(SEARCH("去",D1777)),ISNUMBER(SEARCH("入",D1777)))),"Ambiguous",IF(ISNUMBER(SEARCH("平",D1777)),"平","仄")))</x:f>
        <x:v>仄</x:v>
      </x:c>
      <x:c r="L1777" s="7" t="str"/>
    </x:row>
    <x:row r="1778">
      <x:c r="A1778" s="5" t="str">
        <x:v>曏</x:v>
      </x:c>
      <x:c r="B1778" s="6" t="str"/>
      <x:c r="C1778" s="6" t="str">
        <x:f>IF(B1778="","Needs decision","Ready")</x:f>
        <x:v>Needs decision</x:v>
      </x:c>
      <x:c r="D1778" s="6" t="str">
        <x:v>上/去</x:v>
      </x:c>
      <x:c r="E1778" s="6" t="str">
        <x:v>syangX (B); syangH (C); xjangX (B); xjangH (C)</x:v>
      </x:c>
      <x:c r="F1778" s="6" t="str">
        <x:v>去聲二十三漾</x:v>
      </x:c>
      <x:c r="G1778" s="6" t="str">
        <x:v>Pingshui main list, Wikisource-derived DOCX</x:v>
      </x:c>
      <x:c r="H1778" s="6" t="str">
        <x:v>4</x:v>
      </x:c>
      <x:c r="I1778" s="6" t="str"/>
      <x:c r="J1778" s="6" t="str">
        <x:f>IF(B1778="","",IF(AND(ISNUMBER(SEARCH("平",B1778)),OR(ISNUMBER(SEARCH("上",B1778)),ISNUMBER(SEARCH("去",B1778)),ISNUMBER(SEARCH("入",B1778)))),"Ambiguous",IF(ISNUMBER(SEARCH("平",B1778)),"平","仄")))</x:f>
      </x:c>
      <x:c r="K1778" s="6" t="str">
        <x:f>IF(D1778="","",IF(AND(ISNUMBER(SEARCH("平",D1778)),OR(ISNUMBER(SEARCH("上",D1778)),ISNUMBER(SEARCH("去",D1778)),ISNUMBER(SEARCH("入",D1778)))),"Ambiguous",IF(ISNUMBER(SEARCH("平",D1778)),"平","仄")))</x:f>
        <x:v>仄</x:v>
      </x:c>
      <x:c r="L1778" s="7" t="str"/>
    </x:row>
    <x:row r="1779">
      <x:c r="A1779" s="5" t="str">
        <x:v>曖</x:v>
      </x:c>
      <x:c r="B1779" s="6" t="str">
        <x:v>去</x:v>
      </x:c>
      <x:c r="C1779" s="6" t="str">
        <x:f>IF(B1779="","Needs decision","Ready")</x:f>
        <x:v>Ready</x:v>
      </x:c>
      <x:c r="D1779" s="6" t="str">
        <x:v>去</x:v>
      </x:c>
      <x:c r="E1779" s="6" t="str"/>
      <x:c r="F1779" s="6" t="str">
        <x:v>去聲十一隊</x:v>
      </x:c>
      <x:c r="G1779" s="6" t="str">
        <x:v>Pingshui main list, Wikisource-derived DOCX</x:v>
      </x:c>
      <x:c r="H1779" s="6" t="str"/>
      <x:c r="I1779" s="6" t="str">
        <x:v>Manual user correction/addition</x:v>
      </x:c>
      <x:c r="J1779" s="6" t="str">
        <x:f>IF(B1779="","",IF(AND(ISNUMBER(SEARCH("平",B1779)),OR(ISNUMBER(SEARCH("上",B1779)),ISNUMBER(SEARCH("去",B1779)),ISNUMBER(SEARCH("入",B1779)))),"Ambiguous",IF(ISNUMBER(SEARCH("平",B1779)),"平","仄")))</x:f>
        <x:v>仄</x:v>
      </x:c>
      <x:c r="K1779" s="6" t="str">
        <x:f>IF(D1779="","",IF(AND(ISNUMBER(SEARCH("平",D1779)),OR(ISNUMBER(SEARCH("上",D1779)),ISNUMBER(SEARCH("去",D1779)),ISNUMBER(SEARCH("入",D1779)))),"Ambiguous",IF(ISNUMBER(SEARCH("平",D1779)),"平","仄")))</x:f>
        <x:v>仄</x:v>
      </x:c>
      <x:c r="L1779" s="7" t="str">
        <x:v>manual user correction</x:v>
      </x:c>
    </x:row>
    <x:row r="1780">
      <x:c r="A1780" s="5" t="str">
        <x:v>曙</x:v>
      </x:c>
      <x:c r="B1780" s="6" t="str">
        <x:v>去</x:v>
      </x:c>
      <x:c r="C1780" s="6" t="str">
        <x:f>IF(B1780="","Needs decision","Ready")</x:f>
        <x:v>Ready</x:v>
      </x:c>
      <x:c r="D1780" s="6" t="str">
        <x:v>去</x:v>
      </x:c>
      <x:c r="E1780" s="6" t="str">
        <x:v>dzyoH [dʑəh] (去)</x:v>
      </x:c>
      <x:c r="F1780" s="6" t="str">
        <x:v>去聲六御</x:v>
      </x:c>
      <x:c r="G1780" s="6" t="str">
        <x:v>Pingshui main list, Wikisource-derived DOCX</x:v>
      </x:c>
      <x:c r="H1780" s="6" t="str">
        <x:v>1</x:v>
      </x:c>
      <x:c r="I1780" s="6" t="str">
        <x:v>Tang 300 gap; frequency 9; provisional from Xun Gong</x:v>
      </x:c>
      <x:c r="J1780" s="6" t="str">
        <x:f>IF(B1780="","",IF(AND(ISNUMBER(SEARCH("平",B1780)),OR(ISNUMBER(SEARCH("上",B1780)),ISNUMBER(SEARCH("去",B1780)),ISNUMBER(SEARCH("入",B1780)))),"Ambiguous",IF(ISNUMBER(SEARCH("平",B1780)),"平","仄")))</x:f>
        <x:v>仄</x:v>
      </x:c>
      <x:c r="K1780" s="6" t="str">
        <x:f>IF(D1780="","",IF(AND(ISNUMBER(SEARCH("平",D1780)),OR(ISNUMBER(SEARCH("上",D1780)),ISNUMBER(SEARCH("去",D1780)),ISNUMBER(SEARCH("入",D1780)))),"Ambiguous",IF(ISNUMBER(SEARCH("平",D1780)),"平","仄")))</x:f>
        <x:v>仄</x:v>
      </x:c>
      <x:c r="L1780" s="7" t="str">
        <x:v>Xun Gong, Tang 300 gap fill</x:v>
      </x:c>
    </x:row>
    <x:row r="1781">
      <x:c r="A1781" s="5" t="str">
        <x:v>曜</x:v>
      </x:c>
      <x:c r="B1781" s="6" t="str">
        <x:v>去</x:v>
      </x:c>
      <x:c r="C1781" s="6" t="str">
        <x:f>IF(B1781="","Needs decision","Ready")</x:f>
        <x:v>Ready</x:v>
      </x:c>
      <x:c r="D1781" s="6" t="str">
        <x:v>去</x:v>
      </x:c>
      <x:c r="E1781" s="6" t="str">
        <x:v>yewH (C)</x:v>
      </x:c>
      <x:c r="F1781" s="6" t="str">
        <x:v>去聲十八嘯</x:v>
      </x:c>
      <x:c r="G1781" s="6" t="str">
        <x:v>Pingshui main list, Wikisource-derived DOCX</x:v>
      </x:c>
      <x:c r="H1781" s="6" t="str">
        <x:v>1</x:v>
      </x:c>
      <x:c r="I1781" s="6" t="str"/>
      <x:c r="J1781" s="6" t="str">
        <x:f>IF(B1781="","",IF(AND(ISNUMBER(SEARCH("平",B1781)),OR(ISNUMBER(SEARCH("上",B1781)),ISNUMBER(SEARCH("去",B1781)),ISNUMBER(SEARCH("入",B1781)))),"Ambiguous",IF(ISNUMBER(SEARCH("平",B1781)),"平","仄")))</x:f>
        <x:v>仄</x:v>
      </x:c>
      <x:c r="K1781" s="6" t="str">
        <x:f>IF(D1781="","",IF(AND(ISNUMBER(SEARCH("平",D1781)),OR(ISNUMBER(SEARCH("上",D1781)),ISNUMBER(SEARCH("去",D1781)),ISNUMBER(SEARCH("入",D1781)))),"Ambiguous",IF(ISNUMBER(SEARCH("平",D1781)),"平","仄")))</x:f>
        <x:v>仄</x:v>
      </x:c>
      <x:c r="L1781" s="7" t="str"/>
    </x:row>
    <x:row r="1782">
      <x:c r="A1782" s="5" t="str">
        <x:v>曝</x:v>
      </x:c>
      <x:c r="B1782" s="6" t="str">
        <x:v>入</x:v>
      </x:c>
      <x:c r="C1782" s="6" t="str">
        <x:f>IF(B1782="","Needs decision","Ready")</x:f>
        <x:v>Ready</x:v>
      </x:c>
      <x:c r="D1782" s="6" t="str">
        <x:v>入</x:v>
      </x:c>
      <x:c r="E1782" s="6" t="str">
        <x:v>buwk (D)</x:v>
      </x:c>
      <x:c r="F1782" s="6" t="str"/>
      <x:c r="G1782" s="6" t="str"/>
      <x:c r="H1782" s="6" t="str">
        <x:v>1</x:v>
      </x:c>
      <x:c r="I1782" s="6" t="str"/>
      <x:c r="J1782" s="6" t="str">
        <x:f>IF(B1782="","",IF(AND(ISNUMBER(SEARCH("平",B1782)),OR(ISNUMBER(SEARCH("上",B1782)),ISNUMBER(SEARCH("去",B1782)),ISNUMBER(SEARCH("入",B1782)))),"Ambiguous",IF(ISNUMBER(SEARCH("平",B1782)),"平","仄")))</x:f>
        <x:v>仄</x:v>
      </x:c>
      <x:c r="K1782" s="6" t="str">
        <x:f>IF(D1782="","",IF(AND(ISNUMBER(SEARCH("平",D1782)),OR(ISNUMBER(SEARCH("上",D1782)),ISNUMBER(SEARCH("去",D1782)),ISNUMBER(SEARCH("入",D1782)))),"Ambiguous",IF(ISNUMBER(SEARCH("平",D1782)),"平","仄")))</x:f>
        <x:v>仄</x:v>
      </x:c>
      <x:c r="L1782" s="7" t="str"/>
    </x:row>
    <x:row r="1783">
      <x:c r="A1783" s="5" t="str">
        <x:v>曠</x:v>
      </x:c>
      <x:c r="B1783" s="6" t="str">
        <x:v>去</x:v>
      </x:c>
      <x:c r="C1783" s="6" t="str">
        <x:f>IF(B1783="","Needs decision","Ready")</x:f>
        <x:v>Ready</x:v>
      </x:c>
      <x:c r="D1783" s="6" t="str">
        <x:v>去</x:v>
      </x:c>
      <x:c r="E1783" s="6" t="str">
        <x:v>khwangH (C)</x:v>
      </x:c>
      <x:c r="F1783" s="6" t="str">
        <x:v>去聲二十三漾</x:v>
      </x:c>
      <x:c r="G1783" s="6" t="str">
        <x:v>Pingshui main list, Wikisource-derived DOCX</x:v>
      </x:c>
      <x:c r="H1783" s="6" t="str">
        <x:v>1</x:v>
      </x:c>
      <x:c r="I1783" s="6" t="str"/>
      <x:c r="J1783" s="6" t="str">
        <x:f>IF(B1783="","",IF(AND(ISNUMBER(SEARCH("平",B1783)),OR(ISNUMBER(SEARCH("上",B1783)),ISNUMBER(SEARCH("去",B1783)),ISNUMBER(SEARCH("入",B1783)))),"Ambiguous",IF(ISNUMBER(SEARCH("平",B1783)),"平","仄")))</x:f>
        <x:v>仄</x:v>
      </x:c>
      <x:c r="K1783" s="6" t="str">
        <x:f>IF(D1783="","",IF(AND(ISNUMBER(SEARCH("平",D1783)),OR(ISNUMBER(SEARCH("上",D1783)),ISNUMBER(SEARCH("去",D1783)),ISNUMBER(SEARCH("入",D1783)))),"Ambiguous",IF(ISNUMBER(SEARCH("平",D1783)),"平","仄")))</x:f>
        <x:v>仄</x:v>
      </x:c>
      <x:c r="L1783" s="7" t="str"/>
    </x:row>
    <x:row r="1784">
      <x:c r="A1784" s="5" t="str">
        <x:v>曩</x:v>
      </x:c>
      <x:c r="B1784" s="6" t="str">
        <x:v>上</x:v>
      </x:c>
      <x:c r="C1784" s="6" t="str">
        <x:f>IF(B1784="","Needs decision","Ready")</x:f>
        <x:v>Ready</x:v>
      </x:c>
      <x:c r="D1784" s="6" t="str">
        <x:v>上</x:v>
      </x:c>
      <x:c r="E1784" s="6" t="str">
        <x:v>nangX (B)</x:v>
      </x:c>
      <x:c r="F1784" s="6" t="str">
        <x:v>上聲二十二養</x:v>
      </x:c>
      <x:c r="G1784" s="6" t="str">
        <x:v>Pingshui main list, Wikisource-derived DOCX</x:v>
      </x:c>
      <x:c r="H1784" s="6" t="str">
        <x:v>1</x:v>
      </x:c>
      <x:c r="I1784" s="6" t="str"/>
      <x:c r="J1784" s="6" t="str">
        <x:f>IF(B1784="","",IF(AND(ISNUMBER(SEARCH("平",B1784)),OR(ISNUMBER(SEARCH("上",B1784)),ISNUMBER(SEARCH("去",B1784)),ISNUMBER(SEARCH("入",B1784)))),"Ambiguous",IF(ISNUMBER(SEARCH("平",B1784)),"平","仄")))</x:f>
        <x:v>仄</x:v>
      </x:c>
      <x:c r="K1784" s="6" t="str">
        <x:f>IF(D1784="","",IF(AND(ISNUMBER(SEARCH("平",D1784)),OR(ISNUMBER(SEARCH("上",D1784)),ISNUMBER(SEARCH("去",D1784)),ISNUMBER(SEARCH("入",D1784)))),"Ambiguous",IF(ISNUMBER(SEARCH("平",D1784)),"平","仄")))</x:f>
        <x:v>仄</x:v>
      </x:c>
      <x:c r="L1784" s="7" t="str"/>
    </x:row>
    <x:row r="1785">
      <x:c r="A1785" s="5" t="str">
        <x:v>曬</x:v>
      </x:c>
      <x:c r="B1785" s="6" t="str">
        <x:v>去</x:v>
      </x:c>
      <x:c r="C1785" s="6" t="str">
        <x:f>IF(B1785="","Needs decision","Ready")</x:f>
        <x:v>Ready</x:v>
      </x:c>
      <x:c r="D1785" s="6" t="str">
        <x:v>去</x:v>
      </x:c>
      <x:c r="E1785" s="6" t="str">
        <x:v>sreaH (C)</x:v>
      </x:c>
      <x:c r="F1785" s="6" t="str">
        <x:v>去聲四寘; 去聲十卦</x:v>
      </x:c>
      <x:c r="G1785" s="6" t="str">
        <x:v>Pingshui main list, Wikisource-derived DOCX</x:v>
      </x:c>
      <x:c r="H1785" s="6" t="str">
        <x:v>1</x:v>
      </x:c>
      <x:c r="I1785" s="6" t="str"/>
      <x:c r="J1785" s="6" t="str">
        <x:f>IF(B1785="","",IF(AND(ISNUMBER(SEARCH("平",B1785)),OR(ISNUMBER(SEARCH("上",B1785)),ISNUMBER(SEARCH("去",B1785)),ISNUMBER(SEARCH("入",B1785)))),"Ambiguous",IF(ISNUMBER(SEARCH("平",B1785)),"平","仄")))</x:f>
        <x:v>仄</x:v>
      </x:c>
      <x:c r="K1785" s="6" t="str">
        <x:f>IF(D1785="","",IF(AND(ISNUMBER(SEARCH("平",D1785)),OR(ISNUMBER(SEARCH("上",D1785)),ISNUMBER(SEARCH("去",D1785)),ISNUMBER(SEARCH("入",D1785)))),"Ambiguous",IF(ISNUMBER(SEARCH("平",D1785)),"平","仄")))</x:f>
        <x:v>仄</x:v>
      </x:c>
      <x:c r="L1785" s="7" t="str"/>
    </x:row>
    <x:row r="1786">
      <x:c r="A1786" s="5" t="str">
        <x:v>曰</x:v>
      </x:c>
      <x:c r="B1786" s="6" t="str">
        <x:v>入</x:v>
      </x:c>
      <x:c r="C1786" s="6" t="str">
        <x:f>IF(B1786="","Needs decision","Ready")</x:f>
        <x:v>Ready</x:v>
      </x:c>
      <x:c r="D1786" s="6" t="str">
        <x:v>入</x:v>
      </x:c>
      <x:c r="E1786" s="6" t="str">
        <x:v>hjwot (D)</x:v>
      </x:c>
      <x:c r="F1786" s="6" t="str">
        <x:v>入聲六月</x:v>
      </x:c>
      <x:c r="G1786" s="6" t="str">
        <x:v>Pingshui main list, Wikisource-derived DOCX</x:v>
      </x:c>
      <x:c r="H1786" s="6" t="str">
        <x:v>1</x:v>
      </x:c>
      <x:c r="I1786" s="6" t="str"/>
      <x:c r="J1786" s="6" t="str">
        <x:f>IF(B1786="","",IF(AND(ISNUMBER(SEARCH("平",B1786)),OR(ISNUMBER(SEARCH("上",B1786)),ISNUMBER(SEARCH("去",B1786)),ISNUMBER(SEARCH("入",B1786)))),"Ambiguous",IF(ISNUMBER(SEARCH("平",B1786)),"平","仄")))</x:f>
        <x:v>仄</x:v>
      </x:c>
      <x:c r="K1786" s="6" t="str">
        <x:f>IF(D1786="","",IF(AND(ISNUMBER(SEARCH("平",D1786)),OR(ISNUMBER(SEARCH("上",D1786)),ISNUMBER(SEARCH("去",D1786)),ISNUMBER(SEARCH("入",D1786)))),"Ambiguous",IF(ISNUMBER(SEARCH("平",D1786)),"平","仄")))</x:f>
        <x:v>仄</x:v>
      </x:c>
      <x:c r="L1786" s="7" t="str"/>
    </x:row>
    <x:row r="1787">
      <x:c r="A1787" s="5" t="str">
        <x:v>曲</x:v>
      </x:c>
      <x:c r="B1787" s="6" t="str">
        <x:v>入</x:v>
      </x:c>
      <x:c r="C1787" s="6" t="str">
        <x:f>IF(B1787="","Needs decision","Ready")</x:f>
        <x:v>Ready</x:v>
      </x:c>
      <x:c r="D1787" s="6" t="str">
        <x:v>入</x:v>
      </x:c>
      <x:c r="E1787" s="6" t="str">
        <x:v>khjowk (D)</x:v>
      </x:c>
      <x:c r="F1787" s="6" t="str">
        <x:v>入聲二沃</x:v>
      </x:c>
      <x:c r="G1787" s="6" t="str">
        <x:v>Pingshui main list, Wikisource-derived DOCX</x:v>
      </x:c>
      <x:c r="H1787" s="6" t="str">
        <x:v>1</x:v>
      </x:c>
      <x:c r="I1787" s="6" t="str"/>
      <x:c r="J1787" s="6" t="str">
        <x:f>IF(B1787="","",IF(AND(ISNUMBER(SEARCH("平",B1787)),OR(ISNUMBER(SEARCH("上",B1787)),ISNUMBER(SEARCH("去",B1787)),ISNUMBER(SEARCH("入",B1787)))),"Ambiguous",IF(ISNUMBER(SEARCH("平",B1787)),"平","仄")))</x:f>
        <x:v>仄</x:v>
      </x:c>
      <x:c r="K1787" s="6" t="str">
        <x:f>IF(D1787="","",IF(AND(ISNUMBER(SEARCH("平",D1787)),OR(ISNUMBER(SEARCH("上",D1787)),ISNUMBER(SEARCH("去",D1787)),ISNUMBER(SEARCH("入",D1787)))),"Ambiguous",IF(ISNUMBER(SEARCH("平",D1787)),"平","仄")))</x:f>
        <x:v>仄</x:v>
      </x:c>
      <x:c r="L1787" s="7" t="str"/>
    </x:row>
    <x:row r="1788">
      <x:c r="A1788" s="5" t="str">
        <x:v>曳</x:v>
      </x:c>
      <x:c r="B1788" s="6" t="str">
        <x:v>去</x:v>
      </x:c>
      <x:c r="C1788" s="6" t="str">
        <x:f>IF(B1788="","Needs decision","Ready")</x:f>
        <x:v>Ready</x:v>
      </x:c>
      <x:c r="D1788" s="6" t="str">
        <x:v>去</x:v>
      </x:c>
      <x:c r="E1788" s="6" t="str">
        <x:v>yejH [jejh] (去)</x:v>
      </x:c>
      <x:c r="F1788" s="6" t="str">
        <x:v>去聲八霽</x:v>
      </x:c>
      <x:c r="G1788" s="6" t="str">
        <x:v>Pingshui main list, Wikisource-derived DOCX</x:v>
      </x:c>
      <x:c r="H1788" s="6" t="str">
        <x:v>1</x:v>
      </x:c>
      <x:c r="I1788" s="6" t="str">
        <x:v>Tang 300 gap; frequency 1; provisional from Xun Gong</x:v>
      </x:c>
      <x:c r="J1788" s="6" t="str">
        <x:f>IF(B1788="","",IF(AND(ISNUMBER(SEARCH("平",B1788)),OR(ISNUMBER(SEARCH("上",B1788)),ISNUMBER(SEARCH("去",B1788)),ISNUMBER(SEARCH("入",B1788)))),"Ambiguous",IF(ISNUMBER(SEARCH("平",B1788)),"平","仄")))</x:f>
        <x:v>仄</x:v>
      </x:c>
      <x:c r="K1788" s="6" t="str">
        <x:f>IF(D1788="","",IF(AND(ISNUMBER(SEARCH("平",D1788)),OR(ISNUMBER(SEARCH("上",D1788)),ISNUMBER(SEARCH("去",D1788)),ISNUMBER(SEARCH("入",D1788)))),"Ambiguous",IF(ISNUMBER(SEARCH("平",D1788)),"平","仄")))</x:f>
        <x:v>仄</x:v>
      </x:c>
      <x:c r="L1788" s="7" t="str">
        <x:v>Xun Gong, Tang 300 gap fill</x:v>
      </x:c>
    </x:row>
    <x:row r="1789">
      <x:c r="A1789" s="5" t="str">
        <x:v>更</x:v>
      </x:c>
      <x:c r="B1789" s="6" t="str"/>
      <x:c r="C1789" s="6" t="str">
        <x:f>IF(B1789="","Needs decision","Ready")</x:f>
        <x:v>Needs decision</x:v>
      </x:c>
      <x:c r="D1789" s="6" t="str">
        <x:v>平/去</x:v>
      </x:c>
      <x:c r="E1789" s="6" t="str">
        <x:v>kaeng (A); kaengH (C)</x:v>
      </x:c>
      <x:c r="F1789" s="6" t="str">
        <x:v>下平聲八庚; 去聲二十四敬</x:v>
      </x:c>
      <x:c r="G1789" s="6" t="str">
        <x:v>Pingshui main list, Wikisource-derived DOCX</x:v>
      </x:c>
      <x:c r="H1789" s="6" t="str">
        <x:v>2</x:v>
      </x:c>
      <x:c r="I1789" s="6" t="str"/>
      <x:c r="J1789" s="6" t="str">
        <x:f>IF(B1789="","",IF(AND(ISNUMBER(SEARCH("平",B1789)),OR(ISNUMBER(SEARCH("上",B1789)),ISNUMBER(SEARCH("去",B1789)),ISNUMBER(SEARCH("入",B1789)))),"Ambiguous",IF(ISNUMBER(SEARCH("平",B1789)),"平","仄")))</x:f>
      </x:c>
      <x:c r="K1789" s="6" t="str">
        <x:f>IF(D1789="","",IF(AND(ISNUMBER(SEARCH("平",D1789)),OR(ISNUMBER(SEARCH("上",D1789)),ISNUMBER(SEARCH("去",D1789)),ISNUMBER(SEARCH("入",D1789)))),"Ambiguous",IF(ISNUMBER(SEARCH("平",D1789)),"平","仄")))</x:f>
        <x:v>Ambiguous</x:v>
      </x:c>
      <x:c r="L1789" s="7" t="str"/>
    </x:row>
    <x:row r="1790">
      <x:c r="A1790" s="5" t="str">
        <x:v>曷</x:v>
      </x:c>
      <x:c r="B1790" s="6" t="str">
        <x:v>入</x:v>
      </x:c>
      <x:c r="C1790" s="6" t="str">
        <x:f>IF(B1790="","Needs decision","Ready")</x:f>
        <x:v>Ready</x:v>
      </x:c>
      <x:c r="D1790" s="6" t="str">
        <x:v>入</x:v>
      </x:c>
      <x:c r="E1790" s="6" t="str">
        <x:v>hat (D)</x:v>
      </x:c>
      <x:c r="F1790" s="6" t="str">
        <x:v>入聲七曷</x:v>
      </x:c>
      <x:c r="G1790" s="6" t="str">
        <x:v>Pingshui main list, Wikisource-derived DOCX</x:v>
      </x:c>
      <x:c r="H1790" s="6" t="str">
        <x:v>1</x:v>
      </x:c>
      <x:c r="I1790" s="6" t="str"/>
      <x:c r="J1790" s="6" t="str">
        <x:f>IF(B1790="","",IF(AND(ISNUMBER(SEARCH("平",B1790)),OR(ISNUMBER(SEARCH("上",B1790)),ISNUMBER(SEARCH("去",B1790)),ISNUMBER(SEARCH("入",B1790)))),"Ambiguous",IF(ISNUMBER(SEARCH("平",B1790)),"平","仄")))</x:f>
        <x:v>仄</x:v>
      </x:c>
      <x:c r="K1790" s="6" t="str">
        <x:f>IF(D1790="","",IF(AND(ISNUMBER(SEARCH("平",D1790)),OR(ISNUMBER(SEARCH("上",D1790)),ISNUMBER(SEARCH("去",D1790)),ISNUMBER(SEARCH("入",D1790)))),"Ambiguous",IF(ISNUMBER(SEARCH("平",D1790)),"平","仄")))</x:f>
        <x:v>仄</x:v>
      </x:c>
      <x:c r="L1790" s="7" t="str"/>
    </x:row>
    <x:row r="1791">
      <x:c r="A1791" s="5" t="str">
        <x:v>書</x:v>
      </x:c>
      <x:c r="B1791" s="6" t="str">
        <x:v>平</x:v>
      </x:c>
      <x:c r="C1791" s="6" t="str">
        <x:f>IF(B1791="","Needs decision","Ready")</x:f>
        <x:v>Ready</x:v>
      </x:c>
      <x:c r="D1791" s="6" t="str">
        <x:v>平</x:v>
      </x:c>
      <x:c r="E1791" s="6" t="str">
        <x:v>syo (A)</x:v>
      </x:c>
      <x:c r="F1791" s="6" t="str">
        <x:v>上平聲六魚</x:v>
      </x:c>
      <x:c r="G1791" s="6" t="str">
        <x:v>Pingshui main list, Wikisource-derived DOCX</x:v>
      </x:c>
      <x:c r="H1791" s="6" t="str">
        <x:v>1</x:v>
      </x:c>
      <x:c r="I1791" s="6" t="str"/>
      <x:c r="J1791" s="6" t="str">
        <x:f>IF(B1791="","",IF(AND(ISNUMBER(SEARCH("平",B1791)),OR(ISNUMBER(SEARCH("上",B1791)),ISNUMBER(SEARCH("去",B1791)),ISNUMBER(SEARCH("入",B1791)))),"Ambiguous",IF(ISNUMBER(SEARCH("平",B1791)),"平","仄")))</x:f>
        <x:v>平</x:v>
      </x:c>
      <x:c r="K1791" s="6" t="str">
        <x:f>IF(D1791="","",IF(AND(ISNUMBER(SEARCH("平",D1791)),OR(ISNUMBER(SEARCH("上",D1791)),ISNUMBER(SEARCH("去",D1791)),ISNUMBER(SEARCH("入",D1791)))),"Ambiguous",IF(ISNUMBER(SEARCH("平",D1791)),"平","仄")))</x:f>
        <x:v>平</x:v>
      </x:c>
      <x:c r="L1791" s="7" t="str"/>
    </x:row>
    <x:row r="1792">
      <x:c r="A1792" s="5" t="str">
        <x:v>曹</x:v>
      </x:c>
      <x:c r="B1792" s="6" t="str">
        <x:v>平</x:v>
      </x:c>
      <x:c r="C1792" s="6" t="str">
        <x:f>IF(B1792="","Needs decision","Ready")</x:f>
        <x:v>Ready</x:v>
      </x:c>
      <x:c r="D1792" s="6" t="str">
        <x:v>平</x:v>
      </x:c>
      <x:c r="E1792" s="6" t="str">
        <x:v>dzaw (A)</x:v>
      </x:c>
      <x:c r="F1792" s="6" t="str">
        <x:v>下平聲四豪</x:v>
      </x:c>
      <x:c r="G1792" s="6" t="str">
        <x:v>Pingshui main list, Wikisource-derived DOCX</x:v>
      </x:c>
      <x:c r="H1792" s="6" t="str">
        <x:v>1</x:v>
      </x:c>
      <x:c r="I1792" s="6" t="str"/>
      <x:c r="J1792" s="6" t="str">
        <x:f>IF(B1792="","",IF(AND(ISNUMBER(SEARCH("平",B1792)),OR(ISNUMBER(SEARCH("上",B1792)),ISNUMBER(SEARCH("去",B1792)),ISNUMBER(SEARCH("入",B1792)))),"Ambiguous",IF(ISNUMBER(SEARCH("平",B1792)),"平","仄")))</x:f>
        <x:v>平</x:v>
      </x:c>
      <x:c r="K1792" s="6" t="str">
        <x:f>IF(D1792="","",IF(AND(ISNUMBER(SEARCH("平",D1792)),OR(ISNUMBER(SEARCH("上",D1792)),ISNUMBER(SEARCH("去",D1792)),ISNUMBER(SEARCH("入",D1792)))),"Ambiguous",IF(ISNUMBER(SEARCH("平",D1792)),"平","仄")))</x:f>
        <x:v>平</x:v>
      </x:c>
      <x:c r="L1792" s="7" t="str"/>
    </x:row>
    <x:row r="1793">
      <x:c r="A1793" s="5" t="str">
        <x:v>曼</x:v>
      </x:c>
      <x:c r="B1793" s="6" t="str">
        <x:v>去</x:v>
      </x:c>
      <x:c r="C1793" s="6" t="str">
        <x:f>IF(B1793="","Needs decision","Ready")</x:f>
        <x:v>Ready</x:v>
      </x:c>
      <x:c r="D1793" s="6" t="str">
        <x:v>去</x:v>
      </x:c>
      <x:c r="E1793" s="6" t="str">
        <x:v>manH (C); mjonH (C)</x:v>
      </x:c>
      <x:c r="F1793" s="6" t="str">
        <x:v>上平聲十四寒; 去聲十四願</x:v>
      </x:c>
      <x:c r="G1793" s="6" t="str">
        <x:v>Pingshui main list, Wikisource-derived DOCX</x:v>
      </x:c>
      <x:c r="H1793" s="6" t="str">
        <x:v>2</x:v>
      </x:c>
      <x:c r="I1793" s="6" t="str"/>
      <x:c r="J1793" s="6" t="str">
        <x:f>IF(B1793="","",IF(AND(ISNUMBER(SEARCH("平",B1793)),OR(ISNUMBER(SEARCH("上",B1793)),ISNUMBER(SEARCH("去",B1793)),ISNUMBER(SEARCH("入",B1793)))),"Ambiguous",IF(ISNUMBER(SEARCH("平",B1793)),"平","仄")))</x:f>
        <x:v>仄</x:v>
      </x:c>
      <x:c r="K1793" s="6" t="str">
        <x:f>IF(D1793="","",IF(AND(ISNUMBER(SEARCH("平",D1793)),OR(ISNUMBER(SEARCH("上",D1793)),ISNUMBER(SEARCH("去",D1793)),ISNUMBER(SEARCH("入",D1793)))),"Ambiguous",IF(ISNUMBER(SEARCH("平",D1793)),"平","仄")))</x:f>
        <x:v>仄</x:v>
      </x:c>
      <x:c r="L1793" s="7" t="str"/>
    </x:row>
    <x:row r="1794">
      <x:c r="A1794" s="5" t="str">
        <x:v>曾</x:v>
      </x:c>
      <x:c r="B1794" s="6" t="str">
        <x:v>平</x:v>
      </x:c>
      <x:c r="C1794" s="6" t="str">
        <x:f>IF(B1794="","Needs decision","Ready")</x:f>
        <x:v>Ready</x:v>
      </x:c>
      <x:c r="D1794" s="6" t="str">
        <x:v>平</x:v>
      </x:c>
      <x:c r="E1794" s="6" t="str">
        <x:v>dzong (A); tsong (A)</x:v>
      </x:c>
      <x:c r="F1794" s="6" t="str">
        <x:v>下平聲十蒸</x:v>
      </x:c>
      <x:c r="G1794" s="6" t="str">
        <x:v>Pingshui main list, Wikisource-derived DOCX</x:v>
      </x:c>
      <x:c r="H1794" s="6" t="str">
        <x:v>2</x:v>
      </x:c>
      <x:c r="I1794" s="6" t="str"/>
      <x:c r="J1794" s="6" t="str">
        <x:f>IF(B1794="","",IF(AND(ISNUMBER(SEARCH("平",B1794)),OR(ISNUMBER(SEARCH("上",B1794)),ISNUMBER(SEARCH("去",B1794)),ISNUMBER(SEARCH("入",B1794)))),"Ambiguous",IF(ISNUMBER(SEARCH("平",B1794)),"平","仄")))</x:f>
        <x:v>平</x:v>
      </x:c>
      <x:c r="K1794" s="6" t="str">
        <x:f>IF(D1794="","",IF(AND(ISNUMBER(SEARCH("平",D1794)),OR(ISNUMBER(SEARCH("上",D1794)),ISNUMBER(SEARCH("去",D1794)),ISNUMBER(SEARCH("入",D1794)))),"Ambiguous",IF(ISNUMBER(SEARCH("平",D1794)),"平","仄")))</x:f>
        <x:v>平</x:v>
      </x:c>
      <x:c r="L1794" s="7" t="str"/>
    </x:row>
    <x:row r="1795">
      <x:c r="A1795" s="5" t="str">
        <x:v>替</x:v>
      </x:c>
      <x:c r="B1795" s="6" t="str">
        <x:v>去</x:v>
      </x:c>
      <x:c r="C1795" s="6" t="str">
        <x:f>IF(B1795="","Needs decision","Ready")</x:f>
        <x:v>Ready</x:v>
      </x:c>
      <x:c r="D1795" s="6" t="str">
        <x:v>去</x:v>
      </x:c>
      <x:c r="E1795" s="6" t="str">
        <x:v>thejH (C)</x:v>
      </x:c>
      <x:c r="F1795" s="6" t="str">
        <x:v>去聲八霽</x:v>
      </x:c>
      <x:c r="G1795" s="6" t="str">
        <x:v>Pingshui main list, Wikisource-derived DOCX</x:v>
      </x:c>
      <x:c r="H1795" s="6" t="str">
        <x:v>1</x:v>
      </x:c>
      <x:c r="I1795" s="6" t="str"/>
      <x:c r="J1795" s="6" t="str">
        <x:f>IF(B1795="","",IF(AND(ISNUMBER(SEARCH("平",B1795)),OR(ISNUMBER(SEARCH("上",B1795)),ISNUMBER(SEARCH("去",B1795)),ISNUMBER(SEARCH("入",B1795)))),"Ambiguous",IF(ISNUMBER(SEARCH("平",B1795)),"平","仄")))</x:f>
        <x:v>仄</x:v>
      </x:c>
      <x:c r="K1795" s="6" t="str">
        <x:f>IF(D1795="","",IF(AND(ISNUMBER(SEARCH("平",D1795)),OR(ISNUMBER(SEARCH("上",D1795)),ISNUMBER(SEARCH("去",D1795)),ISNUMBER(SEARCH("入",D1795)))),"Ambiguous",IF(ISNUMBER(SEARCH("平",D1795)),"平","仄")))</x:f>
        <x:v>仄</x:v>
      </x:c>
      <x:c r="L1795" s="7" t="str"/>
    </x:row>
    <x:row r="1796">
      <x:c r="A1796" s="5" t="str">
        <x:v>最</x:v>
      </x:c>
      <x:c r="B1796" s="6" t="str">
        <x:v>去</x:v>
      </x:c>
      <x:c r="C1796" s="6" t="str">
        <x:f>IF(B1796="","Needs decision","Ready")</x:f>
        <x:v>Ready</x:v>
      </x:c>
      <x:c r="D1796" s="6" t="str">
        <x:v>去</x:v>
      </x:c>
      <x:c r="E1796" s="6" t="str">
        <x:v>tswajH (C)</x:v>
      </x:c>
      <x:c r="F1796" s="6" t="str">
        <x:v>去聲九泰</x:v>
      </x:c>
      <x:c r="G1796" s="6" t="str">
        <x:v>Pingshui main list, Wikisource-derived DOCX</x:v>
      </x:c>
      <x:c r="H1796" s="6" t="str">
        <x:v>1</x:v>
      </x:c>
      <x:c r="I1796" s="6" t="str"/>
      <x:c r="J1796" s="6" t="str">
        <x:f>IF(B1796="","",IF(AND(ISNUMBER(SEARCH("平",B1796)),OR(ISNUMBER(SEARCH("上",B1796)),ISNUMBER(SEARCH("去",B1796)),ISNUMBER(SEARCH("入",B1796)))),"Ambiguous",IF(ISNUMBER(SEARCH("平",B1796)),"平","仄")))</x:f>
        <x:v>仄</x:v>
      </x:c>
      <x:c r="K1796" s="6" t="str">
        <x:f>IF(D1796="","",IF(AND(ISNUMBER(SEARCH("平",D1796)),OR(ISNUMBER(SEARCH("上",D1796)),ISNUMBER(SEARCH("去",D1796)),ISNUMBER(SEARCH("入",D1796)))),"Ambiguous",IF(ISNUMBER(SEARCH("平",D1796)),"平","仄")))</x:f>
        <x:v>仄</x:v>
      </x:c>
      <x:c r="L1796" s="7" t="str"/>
    </x:row>
    <x:row r="1797">
      <x:c r="A1797" s="5" t="str">
        <x:v>會</x:v>
      </x:c>
      <x:c r="B1797" s="6" t="str">
        <x:v>去</x:v>
      </x:c>
      <x:c r="C1797" s="6" t="str">
        <x:f>IF(B1797="","Needs decision","Ready")</x:f>
        <x:v>Ready</x:v>
      </x:c>
      <x:c r="D1797" s="6" t="str">
        <x:v>去</x:v>
      </x:c>
      <x:c r="E1797" s="6" t="str">
        <x:v>hwajH (C); kwajH (C)</x:v>
      </x:c>
      <x:c r="F1797" s="6" t="str">
        <x:v>去聲九泰</x:v>
      </x:c>
      <x:c r="G1797" s="6" t="str">
        <x:v>Pingshui main list, Wikisource-derived DOCX</x:v>
      </x:c>
      <x:c r="H1797" s="6" t="str">
        <x:v>2</x:v>
      </x:c>
      <x:c r="I1797" s="6" t="str"/>
      <x:c r="J1797" s="6" t="str">
        <x:f>IF(B1797="","",IF(AND(ISNUMBER(SEARCH("平",B1797)),OR(ISNUMBER(SEARCH("上",B1797)),ISNUMBER(SEARCH("去",B1797)),ISNUMBER(SEARCH("入",B1797)))),"Ambiguous",IF(ISNUMBER(SEARCH("平",B1797)),"平","仄")))</x:f>
        <x:v>仄</x:v>
      </x:c>
      <x:c r="K1797" s="6" t="str">
        <x:f>IF(D1797="","",IF(AND(ISNUMBER(SEARCH("平",D1797)),OR(ISNUMBER(SEARCH("上",D1797)),ISNUMBER(SEARCH("去",D1797)),ISNUMBER(SEARCH("入",D1797)))),"Ambiguous",IF(ISNUMBER(SEARCH("平",D1797)),"平","仄")))</x:f>
        <x:v>仄</x:v>
      </x:c>
      <x:c r="L1797" s="7" t="str"/>
    </x:row>
    <x:row r="1798">
      <x:c r="A1798" s="5" t="str">
        <x:v>朄</x:v>
      </x:c>
      <x:c r="B1798" s="6" t="str">
        <x:v>去</x:v>
      </x:c>
      <x:c r="C1798" s="6" t="str">
        <x:f>IF(B1798="","Needs decision","Ready")</x:f>
        <x:v>Ready</x:v>
      </x:c>
      <x:c r="D1798" s="6" t="str">
        <x:v>去</x:v>
      </x:c>
      <x:c r="E1798" s="6" t="str">
        <x:v>yinH (C)</x:v>
      </x:c>
      <x:c r="F1798" s="6" t="str"/>
      <x:c r="G1798" s="6" t="str"/>
      <x:c r="H1798" s="6" t="str">
        <x:v>1</x:v>
      </x:c>
      <x:c r="I1798" s="6" t="str"/>
      <x:c r="J1798" s="6" t="str">
        <x:f>IF(B1798="","",IF(AND(ISNUMBER(SEARCH("平",B1798)),OR(ISNUMBER(SEARCH("上",B1798)),ISNUMBER(SEARCH("去",B1798)),ISNUMBER(SEARCH("入",B1798)))),"Ambiguous",IF(ISNUMBER(SEARCH("平",B1798)),"平","仄")))</x:f>
        <x:v>仄</x:v>
      </x:c>
      <x:c r="K1798" s="6" t="str">
        <x:f>IF(D1798="","",IF(AND(ISNUMBER(SEARCH("平",D1798)),OR(ISNUMBER(SEARCH("上",D1798)),ISNUMBER(SEARCH("去",D1798)),ISNUMBER(SEARCH("入",D1798)))),"Ambiguous",IF(ISNUMBER(SEARCH("平",D1798)),"平","仄")))</x:f>
        <x:v>仄</x:v>
      </x:c>
      <x:c r="L1798" s="7" t="str"/>
    </x:row>
    <x:row r="1799">
      <x:c r="A1799" s="5" t="str">
        <x:v>月</x:v>
      </x:c>
      <x:c r="B1799" s="6" t="str">
        <x:v>入</x:v>
      </x:c>
      <x:c r="C1799" s="6" t="str">
        <x:f>IF(B1799="","Needs decision","Ready")</x:f>
        <x:v>Ready</x:v>
      </x:c>
      <x:c r="D1799" s="6" t="str">
        <x:v>入</x:v>
      </x:c>
      <x:c r="E1799" s="6" t="str">
        <x:v>ngjwot (D)</x:v>
      </x:c>
      <x:c r="F1799" s="6" t="str">
        <x:v>入聲六月</x:v>
      </x:c>
      <x:c r="G1799" s="6" t="str">
        <x:v>Pingshui main list, Wikisource-derived DOCX</x:v>
      </x:c>
      <x:c r="H1799" s="6" t="str">
        <x:v>1</x:v>
      </x:c>
      <x:c r="I1799" s="6" t="str"/>
      <x:c r="J1799" s="6" t="str">
        <x:f>IF(B1799="","",IF(AND(ISNUMBER(SEARCH("平",B1799)),OR(ISNUMBER(SEARCH("上",B1799)),ISNUMBER(SEARCH("去",B1799)),ISNUMBER(SEARCH("入",B1799)))),"Ambiguous",IF(ISNUMBER(SEARCH("平",B1799)),"平","仄")))</x:f>
        <x:v>仄</x:v>
      </x:c>
      <x:c r="K1799" s="6" t="str">
        <x:f>IF(D1799="","",IF(AND(ISNUMBER(SEARCH("平",D1799)),OR(ISNUMBER(SEARCH("上",D1799)),ISNUMBER(SEARCH("去",D1799)),ISNUMBER(SEARCH("入",D1799)))),"Ambiguous",IF(ISNUMBER(SEARCH("平",D1799)),"平","仄")))</x:f>
        <x:v>仄</x:v>
      </x:c>
      <x:c r="L1799" s="7" t="str"/>
    </x:row>
    <x:row r="1800">
      <x:c r="A1800" s="5" t="str">
        <x:v>有</x:v>
      </x:c>
      <x:c r="B1800" s="6" t="str">
        <x:v>上</x:v>
      </x:c>
      <x:c r="C1800" s="6" t="str">
        <x:f>IF(B1800="","Needs decision","Ready")</x:f>
        <x:v>Ready</x:v>
      </x:c>
      <x:c r="D1800" s="6" t="str">
        <x:v>上</x:v>
      </x:c>
      <x:c r="E1800" s="6" t="str">
        <x:v>hjuwX (B)</x:v>
      </x:c>
      <x:c r="F1800" s="6" t="str">
        <x:v>上聲二十五有</x:v>
      </x:c>
      <x:c r="G1800" s="6" t="str">
        <x:v>Pingshui main list, Wikisource-derived DOCX</x:v>
      </x:c>
      <x:c r="H1800" s="6" t="str">
        <x:v>1</x:v>
      </x:c>
      <x:c r="I1800" s="6" t="str"/>
      <x:c r="J1800" s="6" t="str">
        <x:f>IF(B1800="","",IF(AND(ISNUMBER(SEARCH("平",B1800)),OR(ISNUMBER(SEARCH("上",B1800)),ISNUMBER(SEARCH("去",B1800)),ISNUMBER(SEARCH("入",B1800)))),"Ambiguous",IF(ISNUMBER(SEARCH("平",B1800)),"平","仄")))</x:f>
        <x:v>仄</x:v>
      </x:c>
      <x:c r="K1800" s="6" t="str">
        <x:f>IF(D1800="","",IF(AND(ISNUMBER(SEARCH("平",D1800)),OR(ISNUMBER(SEARCH("上",D1800)),ISNUMBER(SEARCH("去",D1800)),ISNUMBER(SEARCH("入",D1800)))),"Ambiguous",IF(ISNUMBER(SEARCH("平",D1800)),"平","仄")))</x:f>
        <x:v>仄</x:v>
      </x:c>
      <x:c r="L1800" s="7" t="str"/>
    </x:row>
    <x:row r="1801">
      <x:c r="A1801" s="5" t="str">
        <x:v>朋</x:v>
      </x:c>
      <x:c r="B1801" s="6" t="str">
        <x:v>平</x:v>
      </x:c>
      <x:c r="C1801" s="6" t="str">
        <x:f>IF(B1801="","Needs decision","Ready")</x:f>
        <x:v>Ready</x:v>
      </x:c>
      <x:c r="D1801" s="6" t="str">
        <x:v>平</x:v>
      </x:c>
      <x:c r="E1801" s="6" t="str">
        <x:v>bong (A)</x:v>
      </x:c>
      <x:c r="F1801" s="6" t="str">
        <x:v>下平聲十蒸</x:v>
      </x:c>
      <x:c r="G1801" s="6" t="str">
        <x:v>Pingshui main list, Wikisource-derived DOCX</x:v>
      </x:c>
      <x:c r="H1801" s="6" t="str">
        <x:v>1</x:v>
      </x:c>
      <x:c r="I1801" s="6" t="str"/>
      <x:c r="J1801" s="6" t="str">
        <x:f>IF(B1801="","",IF(AND(ISNUMBER(SEARCH("平",B1801)),OR(ISNUMBER(SEARCH("上",B1801)),ISNUMBER(SEARCH("去",B1801)),ISNUMBER(SEARCH("入",B1801)))),"Ambiguous",IF(ISNUMBER(SEARCH("平",B1801)),"平","仄")))</x:f>
        <x:v>平</x:v>
      </x:c>
      <x:c r="K1801" s="6" t="str">
        <x:f>IF(D1801="","",IF(AND(ISNUMBER(SEARCH("平",D1801)),OR(ISNUMBER(SEARCH("上",D1801)),ISNUMBER(SEARCH("去",D1801)),ISNUMBER(SEARCH("入",D1801)))),"Ambiguous",IF(ISNUMBER(SEARCH("平",D1801)),"平","仄")))</x:f>
        <x:v>平</x:v>
      </x:c>
      <x:c r="L1801" s="7" t="str"/>
    </x:row>
    <x:row r="1802">
      <x:c r="A1802" s="5" t="str">
        <x:v>朌</x:v>
      </x:c>
      <x:c r="B1802" s="6" t="str">
        <x:v>平</x:v>
      </x:c>
      <x:c r="C1802" s="6" t="str">
        <x:f>IF(B1802="","Needs decision","Ready")</x:f>
        <x:v>Ready</x:v>
      </x:c>
      <x:c r="D1802" s="6" t="str">
        <x:v>平</x:v>
      </x:c>
      <x:c r="E1802" s="6" t="str">
        <x:v>paen (A)</x:v>
      </x:c>
      <x:c r="F1802" s="6" t="str"/>
      <x:c r="G1802" s="6" t="str"/>
      <x:c r="H1802" s="6" t="str">
        <x:v>1</x:v>
      </x:c>
      <x:c r="I1802" s="6" t="str"/>
      <x:c r="J1802" s="6" t="str">
        <x:f>IF(B1802="","",IF(AND(ISNUMBER(SEARCH("平",B1802)),OR(ISNUMBER(SEARCH("上",B1802)),ISNUMBER(SEARCH("去",B1802)),ISNUMBER(SEARCH("入",B1802)))),"Ambiguous",IF(ISNUMBER(SEARCH("平",B1802)),"平","仄")))</x:f>
        <x:v>平</x:v>
      </x:c>
      <x:c r="K1802" s="6" t="str">
        <x:f>IF(D1802="","",IF(AND(ISNUMBER(SEARCH("平",D1802)),OR(ISNUMBER(SEARCH("上",D1802)),ISNUMBER(SEARCH("去",D1802)),ISNUMBER(SEARCH("入",D1802)))),"Ambiguous",IF(ISNUMBER(SEARCH("平",D1802)),"平","仄")))</x:f>
        <x:v>平</x:v>
      </x:c>
      <x:c r="L1802" s="7" t="str"/>
    </x:row>
    <x:row r="1803">
      <x:c r="A1803" s="5" t="str">
        <x:v>服</x:v>
      </x:c>
      <x:c r="B1803" s="6" t="str">
        <x:v>入</x:v>
      </x:c>
      <x:c r="C1803" s="6" t="str">
        <x:f>IF(B1803="","Needs decision","Ready")</x:f>
        <x:v>Ready</x:v>
      </x:c>
      <x:c r="D1803" s="6" t="str">
        <x:v>上/入</x:v>
      </x:c>
      <x:c r="E1803" s="6" t="str">
        <x:v>bjuwk (D); bjuwX (B)</x:v>
      </x:c>
      <x:c r="F1803" s="6" t="str">
        <x:v>入聲一屋</x:v>
      </x:c>
      <x:c r="G1803" s="6" t="str">
        <x:v>Pingshui main list, Wikisource-derived DOCX</x:v>
      </x:c>
      <x:c r="H1803" s="6" t="str">
        <x:v>2</x:v>
      </x:c>
      <x:c r="I1803" s="6" t="str">
        <x:v>User workbook edit 2026-09-03</x:v>
      </x:c>
      <x:c r="J1803" s="6" t="str">
        <x:f>IF(B1803="","",IF(AND(ISNUMBER(SEARCH("平",B1803)),OR(ISNUMBER(SEARCH("上",B1803)),ISNUMBER(SEARCH("去",B1803)),ISNUMBER(SEARCH("入",B1803)))),"Ambiguous",IF(ISNUMBER(SEARCH("平",B1803)),"平","仄")))</x:f>
        <x:v>仄</x:v>
      </x:c>
      <x:c r="K1803" s="6" t="str">
        <x:f>IF(D1803="","",IF(AND(ISNUMBER(SEARCH("平",D1803)),OR(ISNUMBER(SEARCH("上",D1803)),ISNUMBER(SEARCH("去",D1803)),ISNUMBER(SEARCH("入",D1803)))),"Ambiguous",IF(ISNUMBER(SEARCH("平",D1803)),"平","仄")))</x:f>
        <x:v>仄</x:v>
      </x:c>
      <x:c r="L1803" s="7" t="str">
        <x:v>manual user correction</x:v>
      </x:c>
    </x:row>
    <x:row r="1804">
      <x:c r="A1804" s="5" t="str">
        <x:v>朏</x:v>
      </x:c>
      <x:c r="B1804" s="6" t="str">
        <x:v>上</x:v>
      </x:c>
      <x:c r="C1804" s="6" t="str">
        <x:f>IF(B1804="","Needs decision","Ready")</x:f>
        <x:v>Ready</x:v>
      </x:c>
      <x:c r="D1804" s="6" t="str">
        <x:v>上</x:v>
      </x:c>
      <x:c r="E1804" s="6" t="str">
        <x:v>phj+jX (B)</x:v>
      </x:c>
      <x:c r="F1804" s="6" t="str">
        <x:v>上聲五尾; 去聲十一隊; 入聲六月</x:v>
      </x:c>
      <x:c r="G1804" s="6" t="str">
        <x:v>Pingshui main list, Wikisource-derived DOCX</x:v>
      </x:c>
      <x:c r="H1804" s="6" t="str">
        <x:v>1</x:v>
      </x:c>
      <x:c r="I1804" s="6" t="str"/>
      <x:c r="J1804" s="6" t="str">
        <x:f>IF(B1804="","",IF(AND(ISNUMBER(SEARCH("平",B1804)),OR(ISNUMBER(SEARCH("上",B1804)),ISNUMBER(SEARCH("去",B1804)),ISNUMBER(SEARCH("入",B1804)))),"Ambiguous",IF(ISNUMBER(SEARCH("平",B1804)),"平","仄")))</x:f>
        <x:v>仄</x:v>
      </x:c>
      <x:c r="K1804" s="6" t="str">
        <x:f>IF(D1804="","",IF(AND(ISNUMBER(SEARCH("平",D1804)),OR(ISNUMBER(SEARCH("上",D1804)),ISNUMBER(SEARCH("去",D1804)),ISNUMBER(SEARCH("入",D1804)))),"Ambiguous",IF(ISNUMBER(SEARCH("平",D1804)),"平","仄")))</x:f>
        <x:v>仄</x:v>
      </x:c>
      <x:c r="L1804" s="7" t="str"/>
    </x:row>
    <x:row r="1805">
      <x:c r="A1805" s="5" t="str">
        <x:v>朔</x:v>
      </x:c>
      <x:c r="B1805" s="6" t="str">
        <x:v>入</x:v>
      </x:c>
      <x:c r="C1805" s="6" t="str">
        <x:f>IF(B1805="","Needs decision","Ready")</x:f>
        <x:v>Ready</x:v>
      </x:c>
      <x:c r="D1805" s="6" t="str">
        <x:v>入</x:v>
      </x:c>
      <x:c r="E1805" s="6" t="str">
        <x:v>sraewk (D)</x:v>
      </x:c>
      <x:c r="F1805" s="6" t="str">
        <x:v>入聲三覺</x:v>
      </x:c>
      <x:c r="G1805" s="6" t="str">
        <x:v>Pingshui main list, Wikisource-derived DOCX</x:v>
      </x:c>
      <x:c r="H1805" s="6" t="str">
        <x:v>1</x:v>
      </x:c>
      <x:c r="I1805" s="6" t="str"/>
      <x:c r="J1805" s="6" t="str">
        <x:f>IF(B1805="","",IF(AND(ISNUMBER(SEARCH("平",B1805)),OR(ISNUMBER(SEARCH("上",B1805)),ISNUMBER(SEARCH("去",B1805)),ISNUMBER(SEARCH("入",B1805)))),"Ambiguous",IF(ISNUMBER(SEARCH("平",B1805)),"平","仄")))</x:f>
        <x:v>仄</x:v>
      </x:c>
      <x:c r="K1805" s="6" t="str">
        <x:f>IF(D1805="","",IF(AND(ISNUMBER(SEARCH("平",D1805)),OR(ISNUMBER(SEARCH("上",D1805)),ISNUMBER(SEARCH("去",D1805)),ISNUMBER(SEARCH("入",D1805)))),"Ambiguous",IF(ISNUMBER(SEARCH("平",D1805)),"平","仄")))</x:f>
        <x:v>仄</x:v>
      </x:c>
      <x:c r="L1805" s="7" t="str"/>
    </x:row>
    <x:row r="1806">
      <x:c r="A1806" s="5" t="str">
        <x:v>朕</x:v>
      </x:c>
      <x:c r="B1806" s="6" t="str">
        <x:v>上</x:v>
      </x:c>
      <x:c r="C1806" s="6" t="str">
        <x:f>IF(B1806="","Needs decision","Ready")</x:f>
        <x:v>Ready</x:v>
      </x:c>
      <x:c r="D1806" s="6" t="str">
        <x:v>上</x:v>
      </x:c>
      <x:c r="E1806" s="6" t="str">
        <x:v>drimX (B)</x:v>
      </x:c>
      <x:c r="F1806" s="6" t="str">
        <x:v>上聲十一軫; 上聲二十六寢</x:v>
      </x:c>
      <x:c r="G1806" s="6" t="str">
        <x:v>Pingshui main list, Wikisource-derived DOCX</x:v>
      </x:c>
      <x:c r="H1806" s="6" t="str">
        <x:v>1</x:v>
      </x:c>
      <x:c r="I1806" s="6" t="str"/>
      <x:c r="J1806" s="6" t="str">
        <x:f>IF(B1806="","",IF(AND(ISNUMBER(SEARCH("平",B1806)),OR(ISNUMBER(SEARCH("上",B1806)),ISNUMBER(SEARCH("去",B1806)),ISNUMBER(SEARCH("入",B1806)))),"Ambiguous",IF(ISNUMBER(SEARCH("平",B1806)),"平","仄")))</x:f>
        <x:v>仄</x:v>
      </x:c>
      <x:c r="K1806" s="6" t="str">
        <x:f>IF(D1806="","",IF(AND(ISNUMBER(SEARCH("平",D1806)),OR(ISNUMBER(SEARCH("上",D1806)),ISNUMBER(SEARCH("去",D1806)),ISNUMBER(SEARCH("入",D1806)))),"Ambiguous",IF(ISNUMBER(SEARCH("平",D1806)),"平","仄")))</x:f>
        <x:v>仄</x:v>
      </x:c>
      <x:c r="L1806" s="7" t="str"/>
    </x:row>
    <x:row r="1807">
      <x:c r="A1807" s="5" t="str">
        <x:v>朗</x:v>
      </x:c>
      <x:c r="B1807" s="6" t="str">
        <x:v>上</x:v>
      </x:c>
      <x:c r="C1807" s="6" t="str">
        <x:f>IF(B1807="","Needs decision","Ready")</x:f>
        <x:v>Ready</x:v>
      </x:c>
      <x:c r="D1807" s="6" t="str">
        <x:v>上</x:v>
      </x:c>
      <x:c r="E1807" s="6" t="str">
        <x:v>langX (B)</x:v>
      </x:c>
      <x:c r="F1807" s="6" t="str">
        <x:v>上聲二十二養</x:v>
      </x:c>
      <x:c r="G1807" s="6" t="str">
        <x:v>Pingshui main list, Wikisource-derived DOCX</x:v>
      </x:c>
      <x:c r="H1807" s="6" t="str">
        <x:v>1</x:v>
      </x:c>
      <x:c r="I1807" s="6" t="str"/>
      <x:c r="J1807" s="6" t="str">
        <x:f>IF(B1807="","",IF(AND(ISNUMBER(SEARCH("平",B1807)),OR(ISNUMBER(SEARCH("上",B1807)),ISNUMBER(SEARCH("去",B1807)),ISNUMBER(SEARCH("入",B1807)))),"Ambiguous",IF(ISNUMBER(SEARCH("平",B1807)),"平","仄")))</x:f>
        <x:v>仄</x:v>
      </x:c>
      <x:c r="K1807" s="6" t="str">
        <x:f>IF(D1807="","",IF(AND(ISNUMBER(SEARCH("平",D1807)),OR(ISNUMBER(SEARCH("上",D1807)),ISNUMBER(SEARCH("去",D1807)),ISNUMBER(SEARCH("入",D1807)))),"Ambiguous",IF(ISNUMBER(SEARCH("平",D1807)),"平","仄")))</x:f>
        <x:v>仄</x:v>
      </x:c>
      <x:c r="L1807" s="7" t="str"/>
    </x:row>
    <x:row r="1808">
      <x:c r="A1808" s="5" t="str">
        <x:v>朘</x:v>
      </x:c>
      <x:c r="B1808" s="6" t="str">
        <x:v>平</x:v>
      </x:c>
      <x:c r="C1808" s="6" t="str">
        <x:f>IF(B1808="","Needs decision","Ready")</x:f>
        <x:v>Ready</x:v>
      </x:c>
      <x:c r="D1808" s="6" t="str">
        <x:v>平</x:v>
      </x:c>
      <x:c r="E1808" s="6" t="str">
        <x:v>tswoj (A)</x:v>
      </x:c>
      <x:c r="F1808" s="6" t="str">
        <x:v>下平聲一先</x:v>
      </x:c>
      <x:c r="G1808" s="6" t="str">
        <x:v>Pingshui main list, Wikisource-derived DOCX</x:v>
      </x:c>
      <x:c r="H1808" s="6" t="str">
        <x:v>1</x:v>
      </x:c>
      <x:c r="I1808" s="6" t="str"/>
      <x:c r="J1808" s="6" t="str">
        <x:f>IF(B1808="","",IF(AND(ISNUMBER(SEARCH("平",B1808)),OR(ISNUMBER(SEARCH("上",B1808)),ISNUMBER(SEARCH("去",B1808)),ISNUMBER(SEARCH("入",B1808)))),"Ambiguous",IF(ISNUMBER(SEARCH("平",B1808)),"平","仄")))</x:f>
        <x:v>平</x:v>
      </x:c>
      <x:c r="K1808" s="6" t="str">
        <x:f>IF(D1808="","",IF(AND(ISNUMBER(SEARCH("平",D1808)),OR(ISNUMBER(SEARCH("上",D1808)),ISNUMBER(SEARCH("去",D1808)),ISNUMBER(SEARCH("入",D1808)))),"Ambiguous",IF(ISNUMBER(SEARCH("平",D1808)),"平","仄")))</x:f>
        <x:v>平</x:v>
      </x:c>
      <x:c r="L1808" s="7" t="str"/>
    </x:row>
    <x:row r="1809">
      <x:c r="A1809" s="5" t="str">
        <x:v>望</x:v>
      </x:c>
      <x:c r="B1809" s="6" t="str">
        <x:v>去</x:v>
      </x:c>
      <x:c r="C1809" s="6" t="str">
        <x:f>IF(B1809="","Needs decision","Ready")</x:f>
        <x:v>Ready</x:v>
      </x:c>
      <x:c r="D1809" s="6" t="str">
        <x:v>平/去</x:v>
      </x:c>
      <x:c r="E1809" s="6" t="str">
        <x:v>mjang (A); mjangH (C)</x:v>
      </x:c>
      <x:c r="F1809" s="6" t="str">
        <x:v>下平聲七陽; 去聲二十三漾</x:v>
      </x:c>
      <x:c r="G1809" s="6" t="str">
        <x:v>Pingshui main list, Wikisource-derived DOCX</x:v>
      </x:c>
      <x:c r="H1809" s="6" t="str">
        <x:v>2</x:v>
      </x:c>
      <x:c r="I1809" s="6" t="str">
        <x:v>User workbook edit 2026-09-03</x:v>
      </x:c>
      <x:c r="J1809" s="6" t="str">
        <x:f>IF(B1809="","",IF(AND(ISNUMBER(SEARCH("平",B1809)),OR(ISNUMBER(SEARCH("上",B1809)),ISNUMBER(SEARCH("去",B1809)),ISNUMBER(SEARCH("入",B1809)))),"Ambiguous",IF(ISNUMBER(SEARCH("平",B1809)),"平","仄")))</x:f>
        <x:v>仄</x:v>
      </x:c>
      <x:c r="K1809" s="6" t="str">
        <x:f>IF(D1809="","",IF(AND(ISNUMBER(SEARCH("平",D1809)),OR(ISNUMBER(SEARCH("上",D1809)),ISNUMBER(SEARCH("去",D1809)),ISNUMBER(SEARCH("入",D1809)))),"Ambiguous",IF(ISNUMBER(SEARCH("平",D1809)),"平","仄")))</x:f>
        <x:v>Ambiguous</x:v>
      </x:c>
      <x:c r="L1809" s="7" t="str">
        <x:v>manual user correction</x:v>
      </x:c>
    </x:row>
    <x:row r="1810">
      <x:c r="A1810" s="5" t="str">
        <x:v>朝</x:v>
      </x:c>
      <x:c r="B1810" s="6" t="str">
        <x:v>平</x:v>
      </x:c>
      <x:c r="C1810" s="6" t="str">
        <x:f>IF(B1810="","Needs decision","Ready")</x:f>
        <x:v>Ready</x:v>
      </x:c>
      <x:c r="D1810" s="6" t="str">
        <x:v>平</x:v>
      </x:c>
      <x:c r="E1810" s="6" t="str">
        <x:v>drjew (A); trjew (A)</x:v>
      </x:c>
      <x:c r="F1810" s="6" t="str">
        <x:v>下平聲二蕭</x:v>
      </x:c>
      <x:c r="G1810" s="6" t="str">
        <x:v>Pingshui main list, Wikisource-derived DOCX</x:v>
      </x:c>
      <x:c r="H1810" s="6" t="str">
        <x:v>2</x:v>
      </x:c>
      <x:c r="I1810" s="6" t="str"/>
      <x:c r="J1810" s="6" t="str">
        <x:f>IF(B1810="","",IF(AND(ISNUMBER(SEARCH("平",B1810)),OR(ISNUMBER(SEARCH("上",B1810)),ISNUMBER(SEARCH("去",B1810)),ISNUMBER(SEARCH("入",B1810)))),"Ambiguous",IF(ISNUMBER(SEARCH("平",B1810)),"平","仄")))</x:f>
        <x:v>平</x:v>
      </x:c>
      <x:c r="K1810" s="6" t="str">
        <x:f>IF(D1810="","",IF(AND(ISNUMBER(SEARCH("平",D1810)),OR(ISNUMBER(SEARCH("上",D1810)),ISNUMBER(SEARCH("去",D1810)),ISNUMBER(SEARCH("入",D1810)))),"Ambiguous",IF(ISNUMBER(SEARCH("平",D1810)),"平","仄")))</x:f>
        <x:v>平</x:v>
      </x:c>
      <x:c r="L1810" s="7" t="str"/>
    </x:row>
    <x:row r="1811">
      <x:c r="A1811" s="5" t="str">
        <x:v>期</x:v>
      </x:c>
      <x:c r="B1811" s="6" t="str">
        <x:v>平</x:v>
      </x:c>
      <x:c r="C1811" s="6" t="str">
        <x:f>IF(B1811="","Needs decision","Ready")</x:f>
        <x:v>Ready</x:v>
      </x:c>
      <x:c r="D1811" s="6" t="str">
        <x:v>平</x:v>
      </x:c>
      <x:c r="E1811" s="6" t="str">
        <x:v>gi (A)</x:v>
      </x:c>
      <x:c r="F1811" s="6" t="str">
        <x:v>上平聲四支</x:v>
      </x:c>
      <x:c r="G1811" s="6" t="str">
        <x:v>Pingshui main list, Wikisource-derived DOCX</x:v>
      </x:c>
      <x:c r="H1811" s="6" t="str">
        <x:v>1</x:v>
      </x:c>
      <x:c r="I1811" s="6" t="str"/>
      <x:c r="J1811" s="6" t="str">
        <x:f>IF(B1811="","",IF(AND(ISNUMBER(SEARCH("平",B1811)),OR(ISNUMBER(SEARCH("上",B1811)),ISNUMBER(SEARCH("去",B1811)),ISNUMBER(SEARCH("入",B1811)))),"Ambiguous",IF(ISNUMBER(SEARCH("平",B1811)),"平","仄")))</x:f>
        <x:v>平</x:v>
      </x:c>
      <x:c r="K1811" s="6" t="str">
        <x:f>IF(D1811="","",IF(AND(ISNUMBER(SEARCH("平",D1811)),OR(ISNUMBER(SEARCH("上",D1811)),ISNUMBER(SEARCH("去",D1811)),ISNUMBER(SEARCH("入",D1811)))),"Ambiguous",IF(ISNUMBER(SEARCH("平",D1811)),"平","仄")))</x:f>
        <x:v>平</x:v>
      </x:c>
      <x:c r="L1811" s="7" t="str"/>
    </x:row>
    <x:row r="1812">
      <x:c r="A1812" s="5" t="str">
        <x:v>朧</x:v>
      </x:c>
      <x:c r="B1812" s="6" t="str">
        <x:v>平</x:v>
      </x:c>
      <x:c r="C1812" s="6" t="str">
        <x:f>IF(B1812="","Needs decision","Ready")</x:f>
        <x:v>Ready</x:v>
      </x:c>
      <x:c r="D1812" s="6" t="str">
        <x:v>平</x:v>
      </x:c>
      <x:c r="E1812" s="6" t="str">
        <x:v>luwng [l̙uŋ] (平)</x:v>
      </x:c>
      <x:c r="F1812" s="6" t="str">
        <x:v>上平聲一東</x:v>
      </x:c>
      <x:c r="G1812" s="6" t="str">
        <x:v>Pingshui main list, Wikisource-derived DOCX</x:v>
      </x:c>
      <x:c r="H1812" s="6" t="str">
        <x:v>1</x:v>
      </x:c>
      <x:c r="I1812" s="6" t="str">
        <x:v>Tang 300 gap; frequency 1; provisional from Xun Gong</x:v>
      </x:c>
      <x:c r="J1812" s="6" t="str">
        <x:f>IF(B1812="","",IF(AND(ISNUMBER(SEARCH("平",B1812)),OR(ISNUMBER(SEARCH("上",B1812)),ISNUMBER(SEARCH("去",B1812)),ISNUMBER(SEARCH("入",B1812)))),"Ambiguous",IF(ISNUMBER(SEARCH("平",B1812)),"平","仄")))</x:f>
        <x:v>平</x:v>
      </x:c>
      <x:c r="K1812" s="6" t="str">
        <x:f>IF(D1812="","",IF(AND(ISNUMBER(SEARCH("平",D1812)),OR(ISNUMBER(SEARCH("上",D1812)),ISNUMBER(SEARCH("去",D1812)),ISNUMBER(SEARCH("入",D1812)))),"Ambiguous",IF(ISNUMBER(SEARCH("平",D1812)),"平","仄")))</x:f>
        <x:v>平</x:v>
      </x:c>
      <x:c r="L1812" s="7" t="str">
        <x:v>Xun Gong, Tang 300 gap fill</x:v>
      </x:c>
    </x:row>
    <x:row r="1813">
      <x:c r="A1813" s="5" t="str">
        <x:v>木</x:v>
      </x:c>
      <x:c r="B1813" s="6" t="str">
        <x:v>入</x:v>
      </x:c>
      <x:c r="C1813" s="6" t="str">
        <x:f>IF(B1813="","Needs decision","Ready")</x:f>
        <x:v>Ready</x:v>
      </x:c>
      <x:c r="D1813" s="6" t="str">
        <x:v>入</x:v>
      </x:c>
      <x:c r="E1813" s="6" t="str">
        <x:v>muwk (D)</x:v>
      </x:c>
      <x:c r="F1813" s="6" t="str">
        <x:v>入聲一屋</x:v>
      </x:c>
      <x:c r="G1813" s="6" t="str">
        <x:v>Pingshui main list, Wikisource-derived DOCX</x:v>
      </x:c>
      <x:c r="H1813" s="6" t="str">
        <x:v>1</x:v>
      </x:c>
      <x:c r="I1813" s="6" t="str"/>
      <x:c r="J1813" s="6" t="str">
        <x:f>IF(B1813="","",IF(AND(ISNUMBER(SEARCH("平",B1813)),OR(ISNUMBER(SEARCH("上",B1813)),ISNUMBER(SEARCH("去",B1813)),ISNUMBER(SEARCH("入",B1813)))),"Ambiguous",IF(ISNUMBER(SEARCH("平",B1813)),"平","仄")))</x:f>
        <x:v>仄</x:v>
      </x:c>
      <x:c r="K1813" s="6" t="str">
        <x:f>IF(D1813="","",IF(AND(ISNUMBER(SEARCH("平",D1813)),OR(ISNUMBER(SEARCH("上",D1813)),ISNUMBER(SEARCH("去",D1813)),ISNUMBER(SEARCH("入",D1813)))),"Ambiguous",IF(ISNUMBER(SEARCH("平",D1813)),"平","仄")))</x:f>
        <x:v>仄</x:v>
      </x:c>
      <x:c r="L1813" s="7" t="str"/>
    </x:row>
    <x:row r="1814">
      <x:c r="A1814" s="5" t="str">
        <x:v>未</x:v>
      </x:c>
      <x:c r="B1814" s="6" t="str">
        <x:v>去</x:v>
      </x:c>
      <x:c r="C1814" s="6" t="str">
        <x:f>IF(B1814="","Needs decision","Ready")</x:f>
        <x:v>Ready</x:v>
      </x:c>
      <x:c r="D1814" s="6" t="str">
        <x:v>去</x:v>
      </x:c>
      <x:c r="E1814" s="6" t="str">
        <x:v>mj+jH (C)</x:v>
      </x:c>
      <x:c r="F1814" s="6" t="str">
        <x:v>去聲五未</x:v>
      </x:c>
      <x:c r="G1814" s="6" t="str">
        <x:v>Pingshui main list, Wikisource-derived DOCX</x:v>
      </x:c>
      <x:c r="H1814" s="6" t="str">
        <x:v>1</x:v>
      </x:c>
      <x:c r="I1814" s="6" t="str"/>
      <x:c r="J1814" s="6" t="str">
        <x:f>IF(B1814="","",IF(AND(ISNUMBER(SEARCH("平",B1814)),OR(ISNUMBER(SEARCH("上",B1814)),ISNUMBER(SEARCH("去",B1814)),ISNUMBER(SEARCH("入",B1814)))),"Ambiguous",IF(ISNUMBER(SEARCH("平",B1814)),"平","仄")))</x:f>
        <x:v>仄</x:v>
      </x:c>
      <x:c r="K1814" s="6" t="str">
        <x:f>IF(D1814="","",IF(AND(ISNUMBER(SEARCH("平",D1814)),OR(ISNUMBER(SEARCH("上",D1814)),ISNUMBER(SEARCH("去",D1814)),ISNUMBER(SEARCH("入",D1814)))),"Ambiguous",IF(ISNUMBER(SEARCH("平",D1814)),"平","仄")))</x:f>
        <x:v>仄</x:v>
      </x:c>
      <x:c r="L1814" s="7" t="str"/>
    </x:row>
    <x:row r="1815">
      <x:c r="A1815" s="5" t="str">
        <x:v>末</x:v>
      </x:c>
      <x:c r="B1815" s="6" t="str">
        <x:v>入</x:v>
      </x:c>
      <x:c r="C1815" s="6" t="str">
        <x:f>IF(B1815="","Needs decision","Ready")</x:f>
        <x:v>Ready</x:v>
      </x:c>
      <x:c r="D1815" s="6" t="str">
        <x:v>入</x:v>
      </x:c>
      <x:c r="E1815" s="6" t="str">
        <x:v>mat (D)</x:v>
      </x:c>
      <x:c r="F1815" s="6" t="str">
        <x:v>入聲七曷</x:v>
      </x:c>
      <x:c r="G1815" s="6" t="str">
        <x:v>Pingshui main list, Wikisource-derived DOCX</x:v>
      </x:c>
      <x:c r="H1815" s="6" t="str">
        <x:v>1</x:v>
      </x:c>
      <x:c r="I1815" s="6" t="str"/>
      <x:c r="J1815" s="6" t="str">
        <x:f>IF(B1815="","",IF(AND(ISNUMBER(SEARCH("平",B1815)),OR(ISNUMBER(SEARCH("上",B1815)),ISNUMBER(SEARCH("去",B1815)),ISNUMBER(SEARCH("入",B1815)))),"Ambiguous",IF(ISNUMBER(SEARCH("平",B1815)),"平","仄")))</x:f>
        <x:v>仄</x:v>
      </x:c>
      <x:c r="K1815" s="6" t="str">
        <x:f>IF(D1815="","",IF(AND(ISNUMBER(SEARCH("平",D1815)),OR(ISNUMBER(SEARCH("上",D1815)),ISNUMBER(SEARCH("去",D1815)),ISNUMBER(SEARCH("入",D1815)))),"Ambiguous",IF(ISNUMBER(SEARCH("平",D1815)),"平","仄")))</x:f>
        <x:v>仄</x:v>
      </x:c>
      <x:c r="L1815" s="7" t="str"/>
    </x:row>
    <x:row r="1816">
      <x:c r="A1816" s="5" t="str">
        <x:v>本</x:v>
      </x:c>
      <x:c r="B1816" s="6" t="str">
        <x:v>上</x:v>
      </x:c>
      <x:c r="C1816" s="6" t="str">
        <x:f>IF(B1816="","Needs decision","Ready")</x:f>
        <x:v>Ready</x:v>
      </x:c>
      <x:c r="D1816" s="6" t="str">
        <x:v>上</x:v>
      </x:c>
      <x:c r="E1816" s="6" t="str">
        <x:v>pwonX (B)</x:v>
      </x:c>
      <x:c r="F1816" s="6" t="str">
        <x:v>上聲十三阮</x:v>
      </x:c>
      <x:c r="G1816" s="6" t="str">
        <x:v>Pingshui main list, Wikisource-derived DOCX</x:v>
      </x:c>
      <x:c r="H1816" s="6" t="str">
        <x:v>1</x:v>
      </x:c>
      <x:c r="I1816" s="6" t="str"/>
      <x:c r="J1816" s="6" t="str">
        <x:f>IF(B1816="","",IF(AND(ISNUMBER(SEARCH("平",B1816)),OR(ISNUMBER(SEARCH("上",B1816)),ISNUMBER(SEARCH("去",B1816)),ISNUMBER(SEARCH("入",B1816)))),"Ambiguous",IF(ISNUMBER(SEARCH("平",B1816)),"平","仄")))</x:f>
        <x:v>仄</x:v>
      </x:c>
      <x:c r="K1816" s="6" t="str">
        <x:f>IF(D1816="","",IF(AND(ISNUMBER(SEARCH("平",D1816)),OR(ISNUMBER(SEARCH("上",D1816)),ISNUMBER(SEARCH("去",D1816)),ISNUMBER(SEARCH("入",D1816)))),"Ambiguous",IF(ISNUMBER(SEARCH("平",D1816)),"平","仄")))</x:f>
        <x:v>仄</x:v>
      </x:c>
      <x:c r="L1816" s="7" t="str"/>
    </x:row>
    <x:row r="1817">
      <x:c r="A1817" s="5" t="str">
        <x:v>札</x:v>
      </x:c>
      <x:c r="B1817" s="6" t="str">
        <x:v>入</x:v>
      </x:c>
      <x:c r="C1817" s="6" t="str">
        <x:f>IF(B1817="","Needs decision","Ready")</x:f>
        <x:v>Ready</x:v>
      </x:c>
      <x:c r="D1817" s="6" t="str">
        <x:v>入</x:v>
      </x:c>
      <x:c r="E1817" s="6" t="str">
        <x:v>tsreat (D)</x:v>
      </x:c>
      <x:c r="F1817" s="6" t="str">
        <x:v>入聲八黠</x:v>
      </x:c>
      <x:c r="G1817" s="6" t="str">
        <x:v>Pingshui main list, Wikisource-derived DOCX</x:v>
      </x:c>
      <x:c r="H1817" s="6" t="str">
        <x:v>1</x:v>
      </x:c>
      <x:c r="I1817" s="6" t="str"/>
      <x:c r="J1817" s="6" t="str">
        <x:f>IF(B1817="","",IF(AND(ISNUMBER(SEARCH("平",B1817)),OR(ISNUMBER(SEARCH("上",B1817)),ISNUMBER(SEARCH("去",B1817)),ISNUMBER(SEARCH("入",B1817)))),"Ambiguous",IF(ISNUMBER(SEARCH("平",B1817)),"平","仄")))</x:f>
        <x:v>仄</x:v>
      </x:c>
      <x:c r="K1817" s="6" t="str">
        <x:f>IF(D1817="","",IF(AND(ISNUMBER(SEARCH("平",D1817)),OR(ISNUMBER(SEARCH("上",D1817)),ISNUMBER(SEARCH("去",D1817)),ISNUMBER(SEARCH("入",D1817)))),"Ambiguous",IF(ISNUMBER(SEARCH("平",D1817)),"平","仄")))</x:f>
        <x:v>仄</x:v>
      </x:c>
      <x:c r="L1817" s="7" t="str"/>
    </x:row>
    <x:row r="1818">
      <x:c r="A1818" s="5" t="str">
        <x:v>朮</x:v>
      </x:c>
      <x:c r="B1818" s="6" t="str">
        <x:v>入</x:v>
      </x:c>
      <x:c r="C1818" s="6" t="str">
        <x:f>IF(B1818="","Needs decision","Ready")</x:f>
        <x:v>Ready</x:v>
      </x:c>
      <x:c r="D1818" s="6" t="str">
        <x:v>入</x:v>
      </x:c>
      <x:c r="E1818" s="6" t="str">
        <x:v>zywit (D)</x:v>
      </x:c>
      <x:c r="F1818" s="6" t="str">
        <x:v>入聲四質</x:v>
      </x:c>
      <x:c r="G1818" s="6" t="str">
        <x:v>Pingshui main list, Wikisource-derived DOCX</x:v>
      </x:c>
      <x:c r="H1818" s="6" t="str">
        <x:v>1</x:v>
      </x:c>
      <x:c r="I1818" s="6" t="str"/>
      <x:c r="J1818" s="6" t="str">
        <x:f>IF(B1818="","",IF(AND(ISNUMBER(SEARCH("平",B1818)),OR(ISNUMBER(SEARCH("上",B1818)),ISNUMBER(SEARCH("去",B1818)),ISNUMBER(SEARCH("入",B1818)))),"Ambiguous",IF(ISNUMBER(SEARCH("平",B1818)),"平","仄")))</x:f>
        <x:v>仄</x:v>
      </x:c>
      <x:c r="K1818" s="6" t="str">
        <x:f>IF(D1818="","",IF(AND(ISNUMBER(SEARCH("平",D1818)),OR(ISNUMBER(SEARCH("上",D1818)),ISNUMBER(SEARCH("去",D1818)),ISNUMBER(SEARCH("入",D1818)))),"Ambiguous",IF(ISNUMBER(SEARCH("平",D1818)),"平","仄")))</x:f>
        <x:v>仄</x:v>
      </x:c>
      <x:c r="L1818" s="7" t="str"/>
    </x:row>
    <x:row r="1819">
      <x:c r="A1819" s="5" t="str">
        <x:v>朱</x:v>
      </x:c>
      <x:c r="B1819" s="6" t="str">
        <x:v>平</x:v>
      </x:c>
      <x:c r="C1819" s="6" t="str">
        <x:f>IF(B1819="","Needs decision","Ready")</x:f>
        <x:v>Ready</x:v>
      </x:c>
      <x:c r="D1819" s="6" t="str">
        <x:v>平</x:v>
      </x:c>
      <x:c r="E1819" s="6" t="str">
        <x:v>tsyu (A)</x:v>
      </x:c>
      <x:c r="F1819" s="6" t="str">
        <x:v>上平聲七虞</x:v>
      </x:c>
      <x:c r="G1819" s="6" t="str">
        <x:v>Pingshui main list, Wikisource-derived DOCX</x:v>
      </x:c>
      <x:c r="H1819" s="6" t="str">
        <x:v>1</x:v>
      </x:c>
      <x:c r="I1819" s="6" t="str"/>
      <x:c r="J1819" s="6" t="str">
        <x:f>IF(B1819="","",IF(AND(ISNUMBER(SEARCH("平",B1819)),OR(ISNUMBER(SEARCH("上",B1819)),ISNUMBER(SEARCH("去",B1819)),ISNUMBER(SEARCH("入",B1819)))),"Ambiguous",IF(ISNUMBER(SEARCH("平",B1819)),"平","仄")))</x:f>
        <x:v>平</x:v>
      </x:c>
      <x:c r="K1819" s="6" t="str">
        <x:f>IF(D1819="","",IF(AND(ISNUMBER(SEARCH("平",D1819)),OR(ISNUMBER(SEARCH("上",D1819)),ISNUMBER(SEARCH("去",D1819)),ISNUMBER(SEARCH("入",D1819)))),"Ambiguous",IF(ISNUMBER(SEARCH("平",D1819)),"平","仄")))</x:f>
        <x:v>平</x:v>
      </x:c>
      <x:c r="L1819" s="7" t="str"/>
    </x:row>
    <x:row r="1820">
      <x:c r="A1820" s="5" t="str">
        <x:v>朵</x:v>
      </x:c>
      <x:c r="B1820" s="6" t="str">
        <x:v>上</x:v>
      </x:c>
      <x:c r="C1820" s="6" t="str">
        <x:f>IF(B1820="","Needs decision","Ready")</x:f>
        <x:v>Ready</x:v>
      </x:c>
      <x:c r="D1820" s="6" t="str">
        <x:v>上</x:v>
      </x:c>
      <x:c r="E1820" s="6" t="str">
        <x:v>twaX [t̙wɑʔ] (上)</x:v>
      </x:c>
      <x:c r="F1820" s="6" t="str">
        <x:v>上聲二十哿</x:v>
      </x:c>
      <x:c r="G1820" s="6" t="str">
        <x:v>Pingshui main list, Wikisource-derived DOCX</x:v>
      </x:c>
      <x:c r="H1820" s="6" t="str">
        <x:v>1</x:v>
      </x:c>
      <x:c r="I1820" s="6" t="str">
        <x:v>Tang 300 gap; frequency 1; provisional from Xun Gong</x:v>
      </x:c>
      <x:c r="J1820" s="6" t="str">
        <x:f>IF(B1820="","",IF(AND(ISNUMBER(SEARCH("平",B1820)),OR(ISNUMBER(SEARCH("上",B1820)),ISNUMBER(SEARCH("去",B1820)),ISNUMBER(SEARCH("入",B1820)))),"Ambiguous",IF(ISNUMBER(SEARCH("平",B1820)),"平","仄")))</x:f>
        <x:v>仄</x:v>
      </x:c>
      <x:c r="K1820" s="6" t="str">
        <x:f>IF(D1820="","",IF(AND(ISNUMBER(SEARCH("平",D1820)),OR(ISNUMBER(SEARCH("上",D1820)),ISNUMBER(SEARCH("去",D1820)),ISNUMBER(SEARCH("入",D1820)))),"Ambiguous",IF(ISNUMBER(SEARCH("平",D1820)),"平","仄")))</x:f>
        <x:v>仄</x:v>
      </x:c>
      <x:c r="L1820" s="7" t="str">
        <x:v>Xun Gong, Tang 300 gap fill</x:v>
      </x:c>
    </x:row>
    <x:row r="1821">
      <x:c r="A1821" s="5" t="str">
        <x:v>朸</x:v>
      </x:c>
      <x:c r="B1821" s="6" t="str">
        <x:v>入</x:v>
      </x:c>
      <x:c r="C1821" s="6" t="str">
        <x:f>IF(B1821="","Needs decision","Ready")</x:f>
        <x:v>Ready</x:v>
      </x:c>
      <x:c r="D1821" s="6" t="str">
        <x:v>入</x:v>
      </x:c>
      <x:c r="E1821" s="6" t="str">
        <x:v>kik (D)</x:v>
      </x:c>
      <x:c r="F1821" s="6" t="str"/>
      <x:c r="G1821" s="6" t="str"/>
      <x:c r="H1821" s="6" t="str">
        <x:v>1</x:v>
      </x:c>
      <x:c r="I1821" s="6" t="str"/>
      <x:c r="J1821" s="6" t="str">
        <x:f>IF(B1821="","",IF(AND(ISNUMBER(SEARCH("平",B1821)),OR(ISNUMBER(SEARCH("上",B1821)),ISNUMBER(SEARCH("去",B1821)),ISNUMBER(SEARCH("入",B1821)))),"Ambiguous",IF(ISNUMBER(SEARCH("平",B1821)),"平","仄")))</x:f>
        <x:v>仄</x:v>
      </x:c>
      <x:c r="K1821" s="6" t="str">
        <x:f>IF(D1821="","",IF(AND(ISNUMBER(SEARCH("平",D1821)),OR(ISNUMBER(SEARCH("上",D1821)),ISNUMBER(SEARCH("去",D1821)),ISNUMBER(SEARCH("入",D1821)))),"Ambiguous",IF(ISNUMBER(SEARCH("平",D1821)),"平","仄")))</x:f>
        <x:v>仄</x:v>
      </x:c>
      <x:c r="L1821" s="7" t="str"/>
    </x:row>
    <x:row r="1822">
      <x:c r="A1822" s="5" t="str">
        <x:v>机</x:v>
      </x:c>
      <x:c r="B1822" s="6" t="str">
        <x:v>上</x:v>
      </x:c>
      <x:c r="C1822" s="6" t="str">
        <x:f>IF(B1822="","Needs decision","Ready")</x:f>
        <x:v>Ready</x:v>
      </x:c>
      <x:c r="D1822" s="6" t="str">
        <x:v>上</x:v>
      </x:c>
      <x:c r="E1822" s="6" t="str">
        <x:v>kijX (B)</x:v>
      </x:c>
      <x:c r="F1822" s="6" t="str"/>
      <x:c r="G1822" s="6" t="str"/>
      <x:c r="H1822" s="6" t="str">
        <x:v>1</x:v>
      </x:c>
      <x:c r="I1822" s="6" t="str"/>
      <x:c r="J1822" s="6" t="str">
        <x:f>IF(B1822="","",IF(AND(ISNUMBER(SEARCH("平",B1822)),OR(ISNUMBER(SEARCH("上",B1822)),ISNUMBER(SEARCH("去",B1822)),ISNUMBER(SEARCH("入",B1822)))),"Ambiguous",IF(ISNUMBER(SEARCH("平",B1822)),"平","仄")))</x:f>
        <x:v>仄</x:v>
      </x:c>
      <x:c r="K1822" s="6" t="str">
        <x:f>IF(D1822="","",IF(AND(ISNUMBER(SEARCH("平",D1822)),OR(ISNUMBER(SEARCH("上",D1822)),ISNUMBER(SEARCH("去",D1822)),ISNUMBER(SEARCH("入",D1822)))),"Ambiguous",IF(ISNUMBER(SEARCH("平",D1822)),"平","仄")))</x:f>
        <x:v>仄</x:v>
      </x:c>
      <x:c r="L1822" s="7" t="str"/>
    </x:row>
    <x:row r="1823">
      <x:c r="A1823" s="5" t="str">
        <x:v>朽</x:v>
      </x:c>
      <x:c r="B1823" s="6" t="str">
        <x:v>上</x:v>
      </x:c>
      <x:c r="C1823" s="6" t="str">
        <x:f>IF(B1823="","Needs decision","Ready")</x:f>
        <x:v>Ready</x:v>
      </x:c>
      <x:c r="D1823" s="6" t="str">
        <x:v>上</x:v>
      </x:c>
      <x:c r="E1823" s="6" t="str">
        <x:v>xjuwX (B)</x:v>
      </x:c>
      <x:c r="F1823" s="6" t="str">
        <x:v>上聲二十五有</x:v>
      </x:c>
      <x:c r="G1823" s="6" t="str">
        <x:v>Pingshui main list, Wikisource-derived DOCX</x:v>
      </x:c>
      <x:c r="H1823" s="6" t="str">
        <x:v>1</x:v>
      </x:c>
      <x:c r="I1823" s="6" t="str"/>
      <x:c r="J1823" s="6" t="str">
        <x:f>IF(B1823="","",IF(AND(ISNUMBER(SEARCH("平",B1823)),OR(ISNUMBER(SEARCH("上",B1823)),ISNUMBER(SEARCH("去",B1823)),ISNUMBER(SEARCH("入",B1823)))),"Ambiguous",IF(ISNUMBER(SEARCH("平",B1823)),"平","仄")))</x:f>
        <x:v>仄</x:v>
      </x:c>
      <x:c r="K1823" s="6" t="str">
        <x:f>IF(D1823="","",IF(AND(ISNUMBER(SEARCH("平",D1823)),OR(ISNUMBER(SEARCH("上",D1823)),ISNUMBER(SEARCH("去",D1823)),ISNUMBER(SEARCH("入",D1823)))),"Ambiguous",IF(ISNUMBER(SEARCH("平",D1823)),"平","仄")))</x:f>
        <x:v>仄</x:v>
      </x:c>
      <x:c r="L1823" s="7" t="str"/>
    </x:row>
    <x:row r="1824">
      <x:c r="A1824" s="5" t="str">
        <x:v>朿</x:v>
      </x:c>
      <x:c r="B1824" s="6" t="str">
        <x:v>去</x:v>
      </x:c>
      <x:c r="C1824" s="6" t="str">
        <x:f>IF(B1824="","Needs decision","Ready")</x:f>
        <x:v>Ready</x:v>
      </x:c>
      <x:c r="D1824" s="6" t="str">
        <x:v>去</x:v>
      </x:c>
      <x:c r="E1824" s="6" t="str">
        <x:v>tshjeH (C)</x:v>
      </x:c>
      <x:c r="F1824" s="6" t="str"/>
      <x:c r="G1824" s="6" t="str"/>
      <x:c r="H1824" s="6" t="str">
        <x:v>1</x:v>
      </x:c>
      <x:c r="I1824" s="6" t="str"/>
      <x:c r="J1824" s="6" t="str">
        <x:f>IF(B1824="","",IF(AND(ISNUMBER(SEARCH("平",B1824)),OR(ISNUMBER(SEARCH("上",B1824)),ISNUMBER(SEARCH("去",B1824)),ISNUMBER(SEARCH("入",B1824)))),"Ambiguous",IF(ISNUMBER(SEARCH("平",B1824)),"平","仄")))</x:f>
        <x:v>仄</x:v>
      </x:c>
      <x:c r="K1824" s="6" t="str">
        <x:f>IF(D1824="","",IF(AND(ISNUMBER(SEARCH("平",D1824)),OR(ISNUMBER(SEARCH("上",D1824)),ISNUMBER(SEARCH("去",D1824)),ISNUMBER(SEARCH("入",D1824)))),"Ambiguous",IF(ISNUMBER(SEARCH("平",D1824)),"平","仄")))</x:f>
        <x:v>仄</x:v>
      </x:c>
      <x:c r="L1824" s="7" t="str"/>
    </x:row>
    <x:row r="1825">
      <x:c r="A1825" s="5" t="str">
        <x:v>杉</x:v>
      </x:c>
      <x:c r="B1825" s="6" t="str">
        <x:v>平</x:v>
      </x:c>
      <x:c r="C1825" s="6" t="str">
        <x:f>IF(B1825="","Needs decision","Ready")</x:f>
        <x:v>Ready</x:v>
      </x:c>
      <x:c r="D1825" s="6" t="str">
        <x:v>平</x:v>
      </x:c>
      <x:c r="E1825" s="6" t="str">
        <x:v>sream [ʂeˤm] (平)</x:v>
      </x:c>
      <x:c r="F1825" s="6" t="str">
        <x:v>下平聲十五咸</x:v>
      </x:c>
      <x:c r="G1825" s="6" t="str">
        <x:v>Pingshui main list, Wikisource-derived DOCX</x:v>
      </x:c>
      <x:c r="H1825" s="6" t="str">
        <x:v>1</x:v>
      </x:c>
      <x:c r="I1825" s="6" t="str">
        <x:v>Tang 300 gap; frequency 1; provisional from Xun Gong</x:v>
      </x:c>
      <x:c r="J1825" s="6" t="str">
        <x:f>IF(B1825="","",IF(AND(ISNUMBER(SEARCH("平",B1825)),OR(ISNUMBER(SEARCH("上",B1825)),ISNUMBER(SEARCH("去",B1825)),ISNUMBER(SEARCH("入",B1825)))),"Ambiguous",IF(ISNUMBER(SEARCH("平",B1825)),"平","仄")))</x:f>
        <x:v>平</x:v>
      </x:c>
      <x:c r="K1825" s="6" t="str">
        <x:f>IF(D1825="","",IF(AND(ISNUMBER(SEARCH("平",D1825)),OR(ISNUMBER(SEARCH("上",D1825)),ISNUMBER(SEARCH("去",D1825)),ISNUMBER(SEARCH("入",D1825)))),"Ambiguous",IF(ISNUMBER(SEARCH("平",D1825)),"平","仄")))</x:f>
        <x:v>平</x:v>
      </x:c>
      <x:c r="L1825" s="7" t="str">
        <x:v>Xun Gong, Tang 300 gap fill</x:v>
      </x:c>
    </x:row>
    <x:row r="1826">
      <x:c r="A1826" s="5" t="str">
        <x:v>李</x:v>
      </x:c>
      <x:c r="B1826" s="6" t="str">
        <x:v>上</x:v>
      </x:c>
      <x:c r="C1826" s="6" t="str">
        <x:f>IF(B1826="","Needs decision","Ready")</x:f>
        <x:v>Ready</x:v>
      </x:c>
      <x:c r="D1826" s="6" t="str">
        <x:v>上</x:v>
      </x:c>
      <x:c r="E1826" s="6" t="str">
        <x:v>liX (B)</x:v>
      </x:c>
      <x:c r="F1826" s="6" t="str">
        <x:v>上聲四紙</x:v>
      </x:c>
      <x:c r="G1826" s="6" t="str">
        <x:v>Pingshui main list, Wikisource-derived DOCX</x:v>
      </x:c>
      <x:c r="H1826" s="6" t="str">
        <x:v>1</x:v>
      </x:c>
      <x:c r="I1826" s="6" t="str"/>
      <x:c r="J1826" s="6" t="str">
        <x:f>IF(B1826="","",IF(AND(ISNUMBER(SEARCH("平",B1826)),OR(ISNUMBER(SEARCH("上",B1826)),ISNUMBER(SEARCH("去",B1826)),ISNUMBER(SEARCH("入",B1826)))),"Ambiguous",IF(ISNUMBER(SEARCH("平",B1826)),"平","仄")))</x:f>
        <x:v>仄</x:v>
      </x:c>
      <x:c r="K1826" s="6" t="str">
        <x:f>IF(D1826="","",IF(AND(ISNUMBER(SEARCH("平",D1826)),OR(ISNUMBER(SEARCH("上",D1826)),ISNUMBER(SEARCH("去",D1826)),ISNUMBER(SEARCH("入",D1826)))),"Ambiguous",IF(ISNUMBER(SEARCH("平",D1826)),"平","仄")))</x:f>
        <x:v>仄</x:v>
      </x:c>
      <x:c r="L1826" s="7" t="str"/>
    </x:row>
    <x:row r="1827">
      <x:c r="A1827" s="5" t="str">
        <x:v>杏</x:v>
      </x:c>
      <x:c r="B1827" s="6" t="str">
        <x:v>上</x:v>
      </x:c>
      <x:c r="C1827" s="6" t="str">
        <x:f>IF(B1827="","Needs decision","Ready")</x:f>
        <x:v>Ready</x:v>
      </x:c>
      <x:c r="D1827" s="6" t="str">
        <x:v>上</x:v>
      </x:c>
      <x:c r="E1827" s="6" t="str">
        <x:v>haengX (B)</x:v>
      </x:c>
      <x:c r="F1827" s="6" t="str">
        <x:v>上聲二十三梗</x:v>
      </x:c>
      <x:c r="G1827" s="6" t="str">
        <x:v>Pingshui main list, Wikisource-derived DOCX</x:v>
      </x:c>
      <x:c r="H1827" s="6" t="str">
        <x:v>1</x:v>
      </x:c>
      <x:c r="I1827" s="6" t="str"/>
      <x:c r="J1827" s="6" t="str">
        <x:f>IF(B1827="","",IF(AND(ISNUMBER(SEARCH("平",B1827)),OR(ISNUMBER(SEARCH("上",B1827)),ISNUMBER(SEARCH("去",B1827)),ISNUMBER(SEARCH("入",B1827)))),"Ambiguous",IF(ISNUMBER(SEARCH("平",B1827)),"平","仄")))</x:f>
        <x:v>仄</x:v>
      </x:c>
      <x:c r="K1827" s="6" t="str">
        <x:f>IF(D1827="","",IF(AND(ISNUMBER(SEARCH("平",D1827)),OR(ISNUMBER(SEARCH("上",D1827)),ISNUMBER(SEARCH("去",D1827)),ISNUMBER(SEARCH("入",D1827)))),"Ambiguous",IF(ISNUMBER(SEARCH("平",D1827)),"平","仄")))</x:f>
        <x:v>仄</x:v>
      </x:c>
      <x:c r="L1827" s="7" t="str"/>
    </x:row>
    <x:row r="1828">
      <x:c r="A1828" s="5" t="str">
        <x:v>材</x:v>
      </x:c>
      <x:c r="B1828" s="6" t="str">
        <x:v>平</x:v>
      </x:c>
      <x:c r="C1828" s="6" t="str">
        <x:f>IF(B1828="","Needs decision","Ready")</x:f>
        <x:v>Ready</x:v>
      </x:c>
      <x:c r="D1828" s="6" t="str">
        <x:v>平</x:v>
      </x:c>
      <x:c r="E1828" s="6" t="str">
        <x:v>dzoj (A)</x:v>
      </x:c>
      <x:c r="F1828" s="6" t="str">
        <x:v>上平聲十灰</x:v>
      </x:c>
      <x:c r="G1828" s="6" t="str">
        <x:v>Pingshui main list, Wikisource-derived DOCX</x:v>
      </x:c>
      <x:c r="H1828" s="6" t="str">
        <x:v>1</x:v>
      </x:c>
      <x:c r="I1828" s="6" t="str"/>
      <x:c r="J1828" s="6" t="str">
        <x:f>IF(B1828="","",IF(AND(ISNUMBER(SEARCH("平",B1828)),OR(ISNUMBER(SEARCH("上",B1828)),ISNUMBER(SEARCH("去",B1828)),ISNUMBER(SEARCH("入",B1828)))),"Ambiguous",IF(ISNUMBER(SEARCH("平",B1828)),"平","仄")))</x:f>
        <x:v>平</x:v>
      </x:c>
      <x:c r="K1828" s="6" t="str">
        <x:f>IF(D1828="","",IF(AND(ISNUMBER(SEARCH("平",D1828)),OR(ISNUMBER(SEARCH("上",D1828)),ISNUMBER(SEARCH("去",D1828)),ISNUMBER(SEARCH("入",D1828)))),"Ambiguous",IF(ISNUMBER(SEARCH("平",D1828)),"平","仄")))</x:f>
        <x:v>平</x:v>
      </x:c>
      <x:c r="L1828" s="7" t="str"/>
    </x:row>
    <x:row r="1829">
      <x:c r="A1829" s="5" t="str">
        <x:v>村</x:v>
      </x:c>
      <x:c r="B1829" s="6" t="str">
        <x:v>平</x:v>
      </x:c>
      <x:c r="C1829" s="6" t="str">
        <x:f>IF(B1829="","Needs decision","Ready")</x:f>
        <x:v>Ready</x:v>
      </x:c>
      <x:c r="D1829" s="6" t="str">
        <x:v>平</x:v>
      </x:c>
      <x:c r="E1829" s="6" t="str"/>
      <x:c r="F1829" s="6" t="str">
        <x:v>上平聲十三元</x:v>
      </x:c>
      <x:c r="G1829" s="6" t="str">
        <x:v>Pingshui main list, Wikisource-derived DOCX</x:v>
      </x:c>
      <x:c r="H1829" s="6" t="str"/>
      <x:c r="I1829" s="6" t="str">
        <x:v>Manual user correction/addition</x:v>
      </x:c>
      <x:c r="J1829" s="6" t="str">
        <x:f>IF(B1829="","",IF(AND(ISNUMBER(SEARCH("平",B1829)),OR(ISNUMBER(SEARCH("上",B1829)),ISNUMBER(SEARCH("去",B1829)),ISNUMBER(SEARCH("入",B1829)))),"Ambiguous",IF(ISNUMBER(SEARCH("平",B1829)),"平","仄")))</x:f>
        <x:v>平</x:v>
      </x:c>
      <x:c r="K1829" s="6" t="str">
        <x:f>IF(D1829="","",IF(AND(ISNUMBER(SEARCH("平",D1829)),OR(ISNUMBER(SEARCH("上",D1829)),ISNUMBER(SEARCH("去",D1829)),ISNUMBER(SEARCH("入",D1829)))),"Ambiguous",IF(ISNUMBER(SEARCH("平",D1829)),"平","仄")))</x:f>
        <x:v>平</x:v>
      </x:c>
      <x:c r="L1829" s="7" t="str">
        <x:v>manual user correction</x:v>
      </x:c>
    </x:row>
    <x:row r="1830">
      <x:c r="A1830" s="5" t="str">
        <x:v>杓</x:v>
      </x:c>
      <x:c r="B1830" s="6" t="str">
        <x:v>入</x:v>
      </x:c>
      <x:c r="C1830" s="6" t="str">
        <x:f>IF(B1830="","Needs decision","Ready")</x:f>
        <x:v>Ready</x:v>
      </x:c>
      <x:c r="D1830" s="6" t="str">
        <x:v>入</x:v>
      </x:c>
      <x:c r="E1830" s="6" t="str">
        <x:v>dzyak (D)</x:v>
      </x:c>
      <x:c r="F1830" s="6" t="str">
        <x:v>下平聲二蕭; 入聲十藥</x:v>
      </x:c>
      <x:c r="G1830" s="6" t="str">
        <x:v>Pingshui main list, Wikisource-derived DOCX</x:v>
      </x:c>
      <x:c r="H1830" s="6" t="str">
        <x:v>1</x:v>
      </x:c>
      <x:c r="I1830" s="6" t="str"/>
      <x:c r="J1830" s="6" t="str">
        <x:f>IF(B1830="","",IF(AND(ISNUMBER(SEARCH("平",B1830)),OR(ISNUMBER(SEARCH("上",B1830)),ISNUMBER(SEARCH("去",B1830)),ISNUMBER(SEARCH("入",B1830)))),"Ambiguous",IF(ISNUMBER(SEARCH("平",B1830)),"平","仄")))</x:f>
        <x:v>仄</x:v>
      </x:c>
      <x:c r="K1830" s="6" t="str">
        <x:f>IF(D1830="","",IF(AND(ISNUMBER(SEARCH("平",D1830)),OR(ISNUMBER(SEARCH("上",D1830)),ISNUMBER(SEARCH("去",D1830)),ISNUMBER(SEARCH("入",D1830)))),"Ambiguous",IF(ISNUMBER(SEARCH("平",D1830)),"平","仄")))</x:f>
        <x:v>仄</x:v>
      </x:c>
      <x:c r="L1830" s="7" t="str"/>
    </x:row>
    <x:row r="1831">
      <x:c r="A1831" s="5" t="str">
        <x:v>杕</x:v>
      </x:c>
      <x:c r="B1831" s="6" t="str">
        <x:v>去</x:v>
      </x:c>
      <x:c r="C1831" s="6" t="str">
        <x:f>IF(B1831="","Needs decision","Ready")</x:f>
        <x:v>Ready</x:v>
      </x:c>
      <x:c r="D1831" s="6" t="str">
        <x:v>去</x:v>
      </x:c>
      <x:c r="E1831" s="6" t="str">
        <x:v>dejH (C)</x:v>
      </x:c>
      <x:c r="F1831" s="6" t="str">
        <x:v>去聲八霽</x:v>
      </x:c>
      <x:c r="G1831" s="6" t="str">
        <x:v>Pingshui main list, Wikisource-derived DOCX</x:v>
      </x:c>
      <x:c r="H1831" s="6" t="str">
        <x:v>1</x:v>
      </x:c>
      <x:c r="I1831" s="6" t="str"/>
      <x:c r="J1831" s="6" t="str">
        <x:f>IF(B1831="","",IF(AND(ISNUMBER(SEARCH("平",B1831)),OR(ISNUMBER(SEARCH("上",B1831)),ISNUMBER(SEARCH("去",B1831)),ISNUMBER(SEARCH("入",B1831)))),"Ambiguous",IF(ISNUMBER(SEARCH("平",B1831)),"平","仄")))</x:f>
        <x:v>仄</x:v>
      </x:c>
      <x:c r="K1831" s="6" t="str">
        <x:f>IF(D1831="","",IF(AND(ISNUMBER(SEARCH("平",D1831)),OR(ISNUMBER(SEARCH("上",D1831)),ISNUMBER(SEARCH("去",D1831)),ISNUMBER(SEARCH("入",D1831)))),"Ambiguous",IF(ISNUMBER(SEARCH("平",D1831)),"平","仄")))</x:f>
        <x:v>仄</x:v>
      </x:c>
      <x:c r="L1831" s="7" t="str"/>
    </x:row>
    <x:row r="1832">
      <x:c r="A1832" s="5" t="str">
        <x:v>杖</x:v>
      </x:c>
      <x:c r="B1832" s="6" t="str">
        <x:v>上</x:v>
      </x:c>
      <x:c r="C1832" s="6" t="str">
        <x:f>IF(B1832="","Needs decision","Ready")</x:f>
        <x:v>Ready</x:v>
      </x:c>
      <x:c r="D1832" s="6" t="str">
        <x:v>上</x:v>
      </x:c>
      <x:c r="E1832" s="6" t="str">
        <x:v>drjangX [ɖjɑŋʔ] (上)</x:v>
      </x:c>
      <x:c r="F1832" s="6" t="str">
        <x:v>上聲二十二養</x:v>
      </x:c>
      <x:c r="G1832" s="6" t="str">
        <x:v>Pingshui main list, Wikisource-derived DOCX</x:v>
      </x:c>
      <x:c r="H1832" s="6" t="str">
        <x:v>1</x:v>
      </x:c>
      <x:c r="I1832" s="6" t="str">
        <x:v>Tang 300 gap; frequency 3; provisional from Xun Gong</x:v>
      </x:c>
      <x:c r="J1832" s="6" t="str">
        <x:f>IF(B1832="","",IF(AND(ISNUMBER(SEARCH("平",B1832)),OR(ISNUMBER(SEARCH("上",B1832)),ISNUMBER(SEARCH("去",B1832)),ISNUMBER(SEARCH("入",B1832)))),"Ambiguous",IF(ISNUMBER(SEARCH("平",B1832)),"平","仄")))</x:f>
        <x:v>仄</x:v>
      </x:c>
      <x:c r="K1832" s="6" t="str">
        <x:f>IF(D1832="","",IF(AND(ISNUMBER(SEARCH("平",D1832)),OR(ISNUMBER(SEARCH("上",D1832)),ISNUMBER(SEARCH("去",D1832)),ISNUMBER(SEARCH("入",D1832)))),"Ambiguous",IF(ISNUMBER(SEARCH("平",D1832)),"平","仄")))</x:f>
        <x:v>仄</x:v>
      </x:c>
      <x:c r="L1832" s="7" t="str">
        <x:v>Xun Gong, Tang 300 gap fill</x:v>
      </x:c>
    </x:row>
    <x:row r="1833">
      <x:c r="A1833" s="5" t="str">
        <x:v>杜</x:v>
      </x:c>
      <x:c r="B1833" s="6" t="str">
        <x:v>上</x:v>
      </x:c>
      <x:c r="C1833" s="6" t="str">
        <x:f>IF(B1833="","Needs decision","Ready")</x:f>
        <x:v>Ready</x:v>
      </x:c>
      <x:c r="D1833" s="6" t="str">
        <x:v>上</x:v>
      </x:c>
      <x:c r="E1833" s="6" t="str"/>
      <x:c r="F1833" s="6" t="str">
        <x:v>上聲七麌</x:v>
      </x:c>
      <x:c r="G1833" s="6" t="str">
        <x:v>Pingshui main list, Wikisource-derived DOCX</x:v>
      </x:c>
      <x:c r="H1833" s="6" t="str"/>
      <x:c r="I1833" s="6" t="str">
        <x:v>Manual user correction/addition</x:v>
      </x:c>
      <x:c r="J1833" s="6" t="str">
        <x:f>IF(B1833="","",IF(AND(ISNUMBER(SEARCH("平",B1833)),OR(ISNUMBER(SEARCH("上",B1833)),ISNUMBER(SEARCH("去",B1833)),ISNUMBER(SEARCH("入",B1833)))),"Ambiguous",IF(ISNUMBER(SEARCH("平",B1833)),"平","仄")))</x:f>
        <x:v>仄</x:v>
      </x:c>
      <x:c r="K1833" s="6" t="str">
        <x:f>IF(D1833="","",IF(AND(ISNUMBER(SEARCH("平",D1833)),OR(ISNUMBER(SEARCH("上",D1833)),ISNUMBER(SEARCH("去",D1833)),ISNUMBER(SEARCH("入",D1833)))),"Ambiguous",IF(ISNUMBER(SEARCH("平",D1833)),"平","仄")))</x:f>
        <x:v>仄</x:v>
      </x:c>
      <x:c r="L1833" s="7" t="str">
        <x:v>manual user correction</x:v>
      </x:c>
    </x:row>
    <x:row r="1834">
      <x:c r="A1834" s="5" t="str">
        <x:v>杞</x:v>
      </x:c>
      <x:c r="B1834" s="6" t="str">
        <x:v>上</x:v>
      </x:c>
      <x:c r="C1834" s="6" t="str">
        <x:f>IF(B1834="","Needs decision","Ready")</x:f>
        <x:v>Ready</x:v>
      </x:c>
      <x:c r="D1834" s="6" t="str">
        <x:v>上</x:v>
      </x:c>
      <x:c r="E1834" s="6" t="str">
        <x:v>khiX [kʰɨʔ] (上)</x:v>
      </x:c>
      <x:c r="F1834" s="6" t="str">
        <x:v>上聲四紙</x:v>
      </x:c>
      <x:c r="G1834" s="6" t="str">
        <x:v>Pingshui main list, Wikisource-derived DOCX</x:v>
      </x:c>
      <x:c r="H1834" s="6" t="str">
        <x:v>1</x:v>
      </x:c>
      <x:c r="I1834" s="6" t="str">
        <x:v>Tang 300 gap; frequency 1; provisional from Xun Gong</x:v>
      </x:c>
      <x:c r="J1834" s="6" t="str">
        <x:f>IF(B1834="","",IF(AND(ISNUMBER(SEARCH("平",B1834)),OR(ISNUMBER(SEARCH("上",B1834)),ISNUMBER(SEARCH("去",B1834)),ISNUMBER(SEARCH("入",B1834)))),"Ambiguous",IF(ISNUMBER(SEARCH("平",B1834)),"平","仄")))</x:f>
        <x:v>仄</x:v>
      </x:c>
      <x:c r="K1834" s="6" t="str">
        <x:f>IF(D1834="","",IF(AND(ISNUMBER(SEARCH("平",D1834)),OR(ISNUMBER(SEARCH("上",D1834)),ISNUMBER(SEARCH("去",D1834)),ISNUMBER(SEARCH("入",D1834)))),"Ambiguous",IF(ISNUMBER(SEARCH("平",D1834)),"平","仄")))</x:f>
        <x:v>仄</x:v>
      </x:c>
      <x:c r="L1834" s="7" t="str">
        <x:v>Xun Gong, Tang 300 gap fill</x:v>
      </x:c>
    </x:row>
    <x:row r="1835">
      <x:c r="A1835" s="5" t="str">
        <x:v>束</x:v>
      </x:c>
      <x:c r="B1835" s="6" t="str">
        <x:v>入</x:v>
      </x:c>
      <x:c r="C1835" s="6" t="str">
        <x:f>IF(B1835="","Needs decision","Ready")</x:f>
        <x:v>Ready</x:v>
      </x:c>
      <x:c r="D1835" s="6" t="str">
        <x:v>入</x:v>
      </x:c>
      <x:c r="E1835" s="6" t="str">
        <x:v>syowk (D)</x:v>
      </x:c>
      <x:c r="F1835" s="6" t="str">
        <x:v>入聲二沃</x:v>
      </x:c>
      <x:c r="G1835" s="6" t="str">
        <x:v>Pingshui main list, Wikisource-derived DOCX</x:v>
      </x:c>
      <x:c r="H1835" s="6" t="str">
        <x:v>1</x:v>
      </x:c>
      <x:c r="I1835" s="6" t="str"/>
      <x:c r="J1835" s="6" t="str">
        <x:f>IF(B1835="","",IF(AND(ISNUMBER(SEARCH("平",B1835)),OR(ISNUMBER(SEARCH("上",B1835)),ISNUMBER(SEARCH("去",B1835)),ISNUMBER(SEARCH("入",B1835)))),"Ambiguous",IF(ISNUMBER(SEARCH("平",B1835)),"平","仄")))</x:f>
        <x:v>仄</x:v>
      </x:c>
      <x:c r="K1835" s="6" t="str">
        <x:f>IF(D1835="","",IF(AND(ISNUMBER(SEARCH("平",D1835)),OR(ISNUMBER(SEARCH("上",D1835)),ISNUMBER(SEARCH("去",D1835)),ISNUMBER(SEARCH("入",D1835)))),"Ambiguous",IF(ISNUMBER(SEARCH("平",D1835)),"平","仄")))</x:f>
        <x:v>仄</x:v>
      </x:c>
      <x:c r="L1835" s="7" t="str"/>
    </x:row>
    <x:row r="1836">
      <x:c r="A1836" s="5" t="str">
        <x:v>杪</x:v>
      </x:c>
      <x:c r="B1836" s="6" t="str">
        <x:v>上</x:v>
      </x:c>
      <x:c r="C1836" s="6" t="str">
        <x:f>IF(B1836="","Needs decision","Ready")</x:f>
        <x:v>Ready</x:v>
      </x:c>
      <x:c r="D1836" s="6" t="str">
        <x:v>上</x:v>
      </x:c>
      <x:c r="E1836" s="6" t="str">
        <x:v>mjiewX (B)</x:v>
      </x:c>
      <x:c r="F1836" s="6" t="str">
        <x:v>上聲十七篠</x:v>
      </x:c>
      <x:c r="G1836" s="6" t="str">
        <x:v>Pingshui main list, Wikisource-derived DOCX</x:v>
      </x:c>
      <x:c r="H1836" s="6" t="str">
        <x:v>1</x:v>
      </x:c>
      <x:c r="I1836" s="6" t="str"/>
      <x:c r="J1836" s="6" t="str">
        <x:f>IF(B1836="","",IF(AND(ISNUMBER(SEARCH("平",B1836)),OR(ISNUMBER(SEARCH("上",B1836)),ISNUMBER(SEARCH("去",B1836)),ISNUMBER(SEARCH("入",B1836)))),"Ambiguous",IF(ISNUMBER(SEARCH("平",B1836)),"平","仄")))</x:f>
        <x:v>仄</x:v>
      </x:c>
      <x:c r="K1836" s="6" t="str">
        <x:f>IF(D1836="","",IF(AND(ISNUMBER(SEARCH("平",D1836)),OR(ISNUMBER(SEARCH("上",D1836)),ISNUMBER(SEARCH("去",D1836)),ISNUMBER(SEARCH("入",D1836)))),"Ambiguous",IF(ISNUMBER(SEARCH("平",D1836)),"平","仄")))</x:f>
        <x:v>仄</x:v>
      </x:c>
      <x:c r="L1836" s="7" t="str"/>
    </x:row>
    <x:row r="1837">
      <x:c r="A1837" s="5" t="str">
        <x:v>杭</x:v>
      </x:c>
      <x:c r="B1837" s="6" t="str">
        <x:v>平</x:v>
      </x:c>
      <x:c r="C1837" s="6" t="str">
        <x:f>IF(B1837="","Needs decision","Ready")</x:f>
        <x:v>Ready</x:v>
      </x:c>
      <x:c r="D1837" s="6" t="str">
        <x:v>平</x:v>
      </x:c>
      <x:c r="E1837" s="6" t="str">
        <x:v>hang (A)</x:v>
      </x:c>
      <x:c r="F1837" s="6" t="str">
        <x:v>下平聲七陽</x:v>
      </x:c>
      <x:c r="G1837" s="6" t="str">
        <x:v>Pingshui main list, Wikisource-derived DOCX</x:v>
      </x:c>
      <x:c r="H1837" s="6" t="str">
        <x:v>1</x:v>
      </x:c>
      <x:c r="I1837" s="6" t="str"/>
      <x:c r="J1837" s="6" t="str">
        <x:f>IF(B1837="","",IF(AND(ISNUMBER(SEARCH("平",B1837)),OR(ISNUMBER(SEARCH("上",B1837)),ISNUMBER(SEARCH("去",B1837)),ISNUMBER(SEARCH("入",B1837)))),"Ambiguous",IF(ISNUMBER(SEARCH("平",B1837)),"平","仄")))</x:f>
        <x:v>平</x:v>
      </x:c>
      <x:c r="K1837" s="6" t="str">
        <x:f>IF(D1837="","",IF(AND(ISNUMBER(SEARCH("平",D1837)),OR(ISNUMBER(SEARCH("上",D1837)),ISNUMBER(SEARCH("去",D1837)),ISNUMBER(SEARCH("入",D1837)))),"Ambiguous",IF(ISNUMBER(SEARCH("平",D1837)),"平","仄")))</x:f>
        <x:v>平</x:v>
      </x:c>
      <x:c r="L1837" s="7" t="str"/>
    </x:row>
    <x:row r="1838">
      <x:c r="A1838" s="5" t="str">
        <x:v>杯</x:v>
      </x:c>
      <x:c r="B1838" s="6" t="str">
        <x:v>平</x:v>
      </x:c>
      <x:c r="C1838" s="6" t="str">
        <x:f>IF(B1838="","Needs decision","Ready")</x:f>
        <x:v>Ready</x:v>
      </x:c>
      <x:c r="D1838" s="6" t="str">
        <x:v>平</x:v>
      </x:c>
      <x:c r="E1838" s="6" t="str">
        <x:v>pwoj (A)</x:v>
      </x:c>
      <x:c r="F1838" s="6" t="str">
        <x:v>上平聲十灰</x:v>
      </x:c>
      <x:c r="G1838" s="6" t="str">
        <x:v>Pingshui main list, Wikisource-derived DOCX</x:v>
      </x:c>
      <x:c r="H1838" s="6" t="str">
        <x:v>1</x:v>
      </x:c>
      <x:c r="I1838" s="6" t="str"/>
      <x:c r="J1838" s="6" t="str">
        <x:f>IF(B1838="","",IF(AND(ISNUMBER(SEARCH("平",B1838)),OR(ISNUMBER(SEARCH("上",B1838)),ISNUMBER(SEARCH("去",B1838)),ISNUMBER(SEARCH("入",B1838)))),"Ambiguous",IF(ISNUMBER(SEARCH("平",B1838)),"平","仄")))</x:f>
        <x:v>平</x:v>
      </x:c>
      <x:c r="K1838" s="6" t="str">
        <x:f>IF(D1838="","",IF(AND(ISNUMBER(SEARCH("平",D1838)),OR(ISNUMBER(SEARCH("上",D1838)),ISNUMBER(SEARCH("去",D1838)),ISNUMBER(SEARCH("入",D1838)))),"Ambiguous",IF(ISNUMBER(SEARCH("平",D1838)),"平","仄")))</x:f>
        <x:v>平</x:v>
      </x:c>
      <x:c r="L1838" s="7" t="str"/>
    </x:row>
    <x:row r="1839">
      <x:c r="A1839" s="5" t="str">
        <x:v>東</x:v>
      </x:c>
      <x:c r="B1839" s="6" t="str">
        <x:v>平</x:v>
      </x:c>
      <x:c r="C1839" s="6" t="str">
        <x:f>IF(B1839="","Needs decision","Ready")</x:f>
        <x:v>Ready</x:v>
      </x:c>
      <x:c r="D1839" s="6" t="str">
        <x:v>平</x:v>
      </x:c>
      <x:c r="E1839" s="6" t="str">
        <x:v>tuwng (A)</x:v>
      </x:c>
      <x:c r="F1839" s="6" t="str">
        <x:v>上平聲一東</x:v>
      </x:c>
      <x:c r="G1839" s="6" t="str">
        <x:v>Pingshui main list, Wikisource-derived DOCX</x:v>
      </x:c>
      <x:c r="H1839" s="6" t="str">
        <x:v>1</x:v>
      </x:c>
      <x:c r="I1839" s="6" t="str"/>
      <x:c r="J1839" s="6" t="str">
        <x:f>IF(B1839="","",IF(AND(ISNUMBER(SEARCH("平",B1839)),OR(ISNUMBER(SEARCH("上",B1839)),ISNUMBER(SEARCH("去",B1839)),ISNUMBER(SEARCH("入",B1839)))),"Ambiguous",IF(ISNUMBER(SEARCH("平",B1839)),"平","仄")))</x:f>
        <x:v>平</x:v>
      </x:c>
      <x:c r="K1839" s="6" t="str">
        <x:f>IF(D1839="","",IF(AND(ISNUMBER(SEARCH("平",D1839)),OR(ISNUMBER(SEARCH("上",D1839)),ISNUMBER(SEARCH("去",D1839)),ISNUMBER(SEARCH("入",D1839)))),"Ambiguous",IF(ISNUMBER(SEARCH("平",D1839)),"平","仄")))</x:f>
        <x:v>平</x:v>
      </x:c>
      <x:c r="L1839" s="7" t="str"/>
    </x:row>
    <x:row r="1840">
      <x:c r="A1840" s="5" t="str">
        <x:v>杲</x:v>
      </x:c>
      <x:c r="B1840" s="6" t="str">
        <x:v>上</x:v>
      </x:c>
      <x:c r="C1840" s="6" t="str">
        <x:f>IF(B1840="","Needs decision","Ready")</x:f>
        <x:v>Ready</x:v>
      </x:c>
      <x:c r="D1840" s="6" t="str">
        <x:v>上</x:v>
      </x:c>
      <x:c r="E1840" s="6" t="str">
        <x:v>kawX [qəwʔ] (上)</x:v>
      </x:c>
      <x:c r="F1840" s="6" t="str">
        <x:v>上聲十九皓</x:v>
      </x:c>
      <x:c r="G1840" s="6" t="str">
        <x:v>Pingshui main list, Wikisource-derived DOCX</x:v>
      </x:c>
      <x:c r="H1840" s="6" t="str">
        <x:v>1</x:v>
      </x:c>
      <x:c r="I1840" s="6" t="str">
        <x:v>Tang 300 gap; frequency 2; provisional from Xun Gong</x:v>
      </x:c>
      <x:c r="J1840" s="6" t="str">
        <x:f>IF(B1840="","",IF(AND(ISNUMBER(SEARCH("平",B1840)),OR(ISNUMBER(SEARCH("上",B1840)),ISNUMBER(SEARCH("去",B1840)),ISNUMBER(SEARCH("入",B1840)))),"Ambiguous",IF(ISNUMBER(SEARCH("平",B1840)),"平","仄")))</x:f>
        <x:v>仄</x:v>
      </x:c>
      <x:c r="K1840" s="6" t="str">
        <x:f>IF(D1840="","",IF(AND(ISNUMBER(SEARCH("平",D1840)),OR(ISNUMBER(SEARCH("上",D1840)),ISNUMBER(SEARCH("去",D1840)),ISNUMBER(SEARCH("入",D1840)))),"Ambiguous",IF(ISNUMBER(SEARCH("平",D1840)),"平","仄")))</x:f>
        <x:v>仄</x:v>
      </x:c>
      <x:c r="L1840" s="7" t="str">
        <x:v>Xun Gong, Tang 300 gap fill</x:v>
      </x:c>
    </x:row>
    <x:row r="1841">
      <x:c r="A1841" s="5" t="str">
        <x:v>杳</x:v>
      </x:c>
      <x:c r="B1841" s="6" t="str">
        <x:v>上</x:v>
      </x:c>
      <x:c r="C1841" s="6" t="str">
        <x:f>IF(B1841="","Needs decision","Ready")</x:f>
        <x:v>Ready</x:v>
      </x:c>
      <x:c r="D1841" s="6" t="str">
        <x:v>上</x:v>
      </x:c>
      <x:c r="E1841" s="6" t="str">
        <x:v>'ewX [ʔ̙ewʔ] (上)</x:v>
      </x:c>
      <x:c r="F1841" s="6" t="str">
        <x:v>上聲十七篠</x:v>
      </x:c>
      <x:c r="G1841" s="6" t="str">
        <x:v>Pingshui main list, Wikisource-derived DOCX</x:v>
      </x:c>
      <x:c r="H1841" s="6" t="str">
        <x:v>1</x:v>
      </x:c>
      <x:c r="I1841" s="6" t="str">
        <x:v>Tang 300 gap; frequency 2; provisional from Xun Gong</x:v>
      </x:c>
      <x:c r="J1841" s="6" t="str">
        <x:f>IF(B1841="","",IF(AND(ISNUMBER(SEARCH("平",B1841)),OR(ISNUMBER(SEARCH("上",B1841)),ISNUMBER(SEARCH("去",B1841)),ISNUMBER(SEARCH("入",B1841)))),"Ambiguous",IF(ISNUMBER(SEARCH("平",B1841)),"平","仄")))</x:f>
        <x:v>仄</x:v>
      </x:c>
      <x:c r="K1841" s="6" t="str">
        <x:f>IF(D1841="","",IF(AND(ISNUMBER(SEARCH("平",D1841)),OR(ISNUMBER(SEARCH("上",D1841)),ISNUMBER(SEARCH("去",D1841)),ISNUMBER(SEARCH("入",D1841)))),"Ambiguous",IF(ISNUMBER(SEARCH("平",D1841)),"平","仄")))</x:f>
        <x:v>仄</x:v>
      </x:c>
      <x:c r="L1841" s="7" t="str">
        <x:v>Xun Gong, Tang 300 gap fill</x:v>
      </x:c>
    </x:row>
    <x:row r="1842">
      <x:c r="A1842" s="5" t="str">
        <x:v>杵</x:v>
      </x:c>
      <x:c r="B1842" s="6" t="str">
        <x:v>上</x:v>
      </x:c>
      <x:c r="C1842" s="6" t="str">
        <x:f>IF(B1842="","Needs decision","Ready")</x:f>
        <x:v>Ready</x:v>
      </x:c>
      <x:c r="D1842" s="6" t="str">
        <x:v>上</x:v>
      </x:c>
      <x:c r="E1842" s="6" t="str">
        <x:v>tsyhoX (B)</x:v>
      </x:c>
      <x:c r="F1842" s="6" t="str">
        <x:v>上聲六語</x:v>
      </x:c>
      <x:c r="G1842" s="6" t="str">
        <x:v>Pingshui main list, Wikisource-derived DOCX</x:v>
      </x:c>
      <x:c r="H1842" s="6" t="str">
        <x:v>1</x:v>
      </x:c>
      <x:c r="I1842" s="6" t="str"/>
      <x:c r="J1842" s="6" t="str">
        <x:f>IF(B1842="","",IF(AND(ISNUMBER(SEARCH("平",B1842)),OR(ISNUMBER(SEARCH("上",B1842)),ISNUMBER(SEARCH("去",B1842)),ISNUMBER(SEARCH("入",B1842)))),"Ambiguous",IF(ISNUMBER(SEARCH("平",B1842)),"平","仄")))</x:f>
        <x:v>仄</x:v>
      </x:c>
      <x:c r="K1842" s="6" t="str">
        <x:f>IF(D1842="","",IF(AND(ISNUMBER(SEARCH("平",D1842)),OR(ISNUMBER(SEARCH("上",D1842)),ISNUMBER(SEARCH("去",D1842)),ISNUMBER(SEARCH("入",D1842)))),"Ambiguous",IF(ISNUMBER(SEARCH("平",D1842)),"平","仄")))</x:f>
        <x:v>仄</x:v>
      </x:c>
      <x:c r="L1842" s="7" t="str"/>
    </x:row>
    <x:row r="1843">
      <x:c r="A1843" s="5" t="str">
        <x:v>杻</x:v>
      </x:c>
      <x:c r="B1843" s="6" t="str">
        <x:v>上</x:v>
      </x:c>
      <x:c r="C1843" s="6" t="str">
        <x:f>IF(B1843="","Needs decision","Ready")</x:f>
        <x:v>Ready</x:v>
      </x:c>
      <x:c r="D1843" s="6" t="str">
        <x:v>上</x:v>
      </x:c>
      <x:c r="E1843" s="6" t="str">
        <x:v>trhjuwX (B)</x:v>
      </x:c>
      <x:c r="F1843" s="6" t="str">
        <x:v>上聲二十五有</x:v>
      </x:c>
      <x:c r="G1843" s="6" t="str">
        <x:v>Pingshui main list, Wikisource-derived DOCX</x:v>
      </x:c>
      <x:c r="H1843" s="6" t="str">
        <x:v>1</x:v>
      </x:c>
      <x:c r="I1843" s="6" t="str"/>
      <x:c r="J1843" s="6" t="str">
        <x:f>IF(B1843="","",IF(AND(ISNUMBER(SEARCH("平",B1843)),OR(ISNUMBER(SEARCH("上",B1843)),ISNUMBER(SEARCH("去",B1843)),ISNUMBER(SEARCH("入",B1843)))),"Ambiguous",IF(ISNUMBER(SEARCH("平",B1843)),"平","仄")))</x:f>
        <x:v>仄</x:v>
      </x:c>
      <x:c r="K1843" s="6" t="str">
        <x:f>IF(D1843="","",IF(AND(ISNUMBER(SEARCH("平",D1843)),OR(ISNUMBER(SEARCH("上",D1843)),ISNUMBER(SEARCH("去",D1843)),ISNUMBER(SEARCH("入",D1843)))),"Ambiguous",IF(ISNUMBER(SEARCH("平",D1843)),"平","仄")))</x:f>
        <x:v>仄</x:v>
      </x:c>
      <x:c r="L1843" s="7" t="str"/>
    </x:row>
    <x:row r="1844">
      <x:c r="A1844" s="5" t="str">
        <x:v>杽</x:v>
      </x:c>
      <x:c r="B1844" s="6" t="str">
        <x:v>上</x:v>
      </x:c>
      <x:c r="C1844" s="6" t="str">
        <x:f>IF(B1844="","Needs decision","Ready")</x:f>
        <x:v>Ready</x:v>
      </x:c>
      <x:c r="D1844" s="6" t="str">
        <x:v>上</x:v>
      </x:c>
      <x:c r="E1844" s="6" t="str">
        <x:v>trhjuwX (B)</x:v>
      </x:c>
      <x:c r="F1844" s="6" t="str"/>
      <x:c r="G1844" s="6" t="str"/>
      <x:c r="H1844" s="6" t="str">
        <x:v>1</x:v>
      </x:c>
      <x:c r="I1844" s="6" t="str"/>
      <x:c r="J1844" s="6" t="str">
        <x:f>IF(B1844="","",IF(AND(ISNUMBER(SEARCH("平",B1844)),OR(ISNUMBER(SEARCH("上",B1844)),ISNUMBER(SEARCH("去",B1844)),ISNUMBER(SEARCH("入",B1844)))),"Ambiguous",IF(ISNUMBER(SEARCH("平",B1844)),"平","仄")))</x:f>
        <x:v>仄</x:v>
      </x:c>
      <x:c r="K1844" s="6" t="str">
        <x:f>IF(D1844="","",IF(AND(ISNUMBER(SEARCH("平",D1844)),OR(ISNUMBER(SEARCH("上",D1844)),ISNUMBER(SEARCH("去",D1844)),ISNUMBER(SEARCH("入",D1844)))),"Ambiguous",IF(ISNUMBER(SEARCH("平",D1844)),"平","仄")))</x:f>
        <x:v>仄</x:v>
      </x:c>
      <x:c r="L1844" s="7" t="str"/>
    </x:row>
    <x:row r="1845">
      <x:c r="A1845" s="5" t="str">
        <x:v>松</x:v>
      </x:c>
      <x:c r="B1845" s="6" t="str">
        <x:v>平</x:v>
      </x:c>
      <x:c r="C1845" s="6" t="str">
        <x:f>IF(B1845="","Needs decision","Ready")</x:f>
        <x:v>Ready</x:v>
      </x:c>
      <x:c r="D1845" s="6" t="str">
        <x:v>平</x:v>
      </x:c>
      <x:c r="E1845" s="6" t="str">
        <x:v>zjowng (A)</x:v>
      </x:c>
      <x:c r="F1845" s="6" t="str">
        <x:v>上平聲二冬</x:v>
      </x:c>
      <x:c r="G1845" s="6" t="str">
        <x:v>Pingshui main list, Wikisource-derived DOCX</x:v>
      </x:c>
      <x:c r="H1845" s="6" t="str">
        <x:v>1</x:v>
      </x:c>
      <x:c r="I1845" s="6" t="str"/>
      <x:c r="J1845" s="6" t="str">
        <x:f>IF(B1845="","",IF(AND(ISNUMBER(SEARCH("平",B1845)),OR(ISNUMBER(SEARCH("上",B1845)),ISNUMBER(SEARCH("去",B1845)),ISNUMBER(SEARCH("入",B1845)))),"Ambiguous",IF(ISNUMBER(SEARCH("平",B1845)),"平","仄")))</x:f>
        <x:v>平</x:v>
      </x:c>
      <x:c r="K1845" s="6" t="str">
        <x:f>IF(D1845="","",IF(AND(ISNUMBER(SEARCH("平",D1845)),OR(ISNUMBER(SEARCH("上",D1845)),ISNUMBER(SEARCH("去",D1845)),ISNUMBER(SEARCH("入",D1845)))),"Ambiguous",IF(ISNUMBER(SEARCH("平",D1845)),"平","仄")))</x:f>
        <x:v>平</x:v>
      </x:c>
      <x:c r="L1845" s="7" t="str"/>
    </x:row>
    <x:row r="1846">
      <x:c r="A1846" s="5" t="str">
        <x:v>板</x:v>
      </x:c>
      <x:c r="B1846" s="6" t="str">
        <x:v>上</x:v>
      </x:c>
      <x:c r="C1846" s="6" t="str">
        <x:f>IF(B1846="","Needs decision","Ready")</x:f>
        <x:v>Ready</x:v>
      </x:c>
      <x:c r="D1846" s="6" t="str">
        <x:v>上</x:v>
      </x:c>
      <x:c r="E1846" s="6" t="str">
        <x:v>paenX (B)</x:v>
      </x:c>
      <x:c r="F1846" s="6" t="str"/>
      <x:c r="G1846" s="6" t="str"/>
      <x:c r="H1846" s="6" t="str">
        <x:v>1</x:v>
      </x:c>
      <x:c r="I1846" s="6" t="str"/>
      <x:c r="J1846" s="6" t="str">
        <x:f>IF(B1846="","",IF(AND(ISNUMBER(SEARCH("平",B1846)),OR(ISNUMBER(SEARCH("上",B1846)),ISNUMBER(SEARCH("去",B1846)),ISNUMBER(SEARCH("入",B1846)))),"Ambiguous",IF(ISNUMBER(SEARCH("平",B1846)),"平","仄")))</x:f>
        <x:v>仄</x:v>
      </x:c>
      <x:c r="K1846" s="6" t="str">
        <x:f>IF(D1846="","",IF(AND(ISNUMBER(SEARCH("平",D1846)),OR(ISNUMBER(SEARCH("上",D1846)),ISNUMBER(SEARCH("去",D1846)),ISNUMBER(SEARCH("入",D1846)))),"Ambiguous",IF(ISNUMBER(SEARCH("平",D1846)),"平","仄")))</x:f>
        <x:v>仄</x:v>
      </x:c>
      <x:c r="L1846" s="7" t="str"/>
    </x:row>
    <x:row r="1847">
      <x:c r="A1847" s="5" t="str">
        <x:v>枅</x:v>
      </x:c>
      <x:c r="B1847" s="6" t="str">
        <x:v>平</x:v>
      </x:c>
      <x:c r="C1847" s="6" t="str">
        <x:f>IF(B1847="","Needs decision","Ready")</x:f>
        <x:v>Ready</x:v>
      </x:c>
      <x:c r="D1847" s="6" t="str">
        <x:v>平</x:v>
      </x:c>
      <x:c r="E1847" s="6" t="str">
        <x:v>kej (A); ken (A)</x:v>
      </x:c>
      <x:c r="F1847" s="6" t="str">
        <x:v>上平聲八齊; 下平聲一先</x:v>
      </x:c>
      <x:c r="G1847" s="6" t="str">
        <x:v>Pingshui main list, Wikisource-derived DOCX</x:v>
      </x:c>
      <x:c r="H1847" s="6" t="str">
        <x:v>2</x:v>
      </x:c>
      <x:c r="I1847" s="6" t="str"/>
      <x:c r="J1847" s="6" t="str">
        <x:f>IF(B1847="","",IF(AND(ISNUMBER(SEARCH("平",B1847)),OR(ISNUMBER(SEARCH("上",B1847)),ISNUMBER(SEARCH("去",B1847)),ISNUMBER(SEARCH("入",B1847)))),"Ambiguous",IF(ISNUMBER(SEARCH("平",B1847)),"平","仄")))</x:f>
        <x:v>平</x:v>
      </x:c>
      <x:c r="K1847" s="6" t="str">
        <x:f>IF(D1847="","",IF(AND(ISNUMBER(SEARCH("平",D1847)),OR(ISNUMBER(SEARCH("上",D1847)),ISNUMBER(SEARCH("去",D1847)),ISNUMBER(SEARCH("入",D1847)))),"Ambiguous",IF(ISNUMBER(SEARCH("平",D1847)),"平","仄")))</x:f>
        <x:v>平</x:v>
      </x:c>
      <x:c r="L1847" s="7" t="str"/>
    </x:row>
    <x:row r="1848">
      <x:c r="A1848" s="5" t="str">
        <x:v>枉</x:v>
      </x:c>
      <x:c r="B1848" s="6" t="str">
        <x:v>上</x:v>
      </x:c>
      <x:c r="C1848" s="6" t="str">
        <x:f>IF(B1848="","Needs decision","Ready")</x:f>
        <x:v>Ready</x:v>
      </x:c>
      <x:c r="D1848" s="6" t="str">
        <x:v>上</x:v>
      </x:c>
      <x:c r="E1848" s="6" t="str">
        <x:v>'jwangX (B)</x:v>
      </x:c>
      <x:c r="F1848" s="6" t="str">
        <x:v>上聲二十二養</x:v>
      </x:c>
      <x:c r="G1848" s="6" t="str">
        <x:v>Pingshui main list, Wikisource-derived DOCX</x:v>
      </x:c>
      <x:c r="H1848" s="6" t="str">
        <x:v>1</x:v>
      </x:c>
      <x:c r="I1848" s="6" t="str"/>
      <x:c r="J1848" s="6" t="str">
        <x:f>IF(B1848="","",IF(AND(ISNUMBER(SEARCH("平",B1848)),OR(ISNUMBER(SEARCH("上",B1848)),ISNUMBER(SEARCH("去",B1848)),ISNUMBER(SEARCH("入",B1848)))),"Ambiguous",IF(ISNUMBER(SEARCH("平",B1848)),"平","仄")))</x:f>
        <x:v>仄</x:v>
      </x:c>
      <x:c r="K1848" s="6" t="str">
        <x:f>IF(D1848="","",IF(AND(ISNUMBER(SEARCH("平",D1848)),OR(ISNUMBER(SEARCH("上",D1848)),ISNUMBER(SEARCH("去",D1848)),ISNUMBER(SEARCH("入",D1848)))),"Ambiguous",IF(ISNUMBER(SEARCH("平",D1848)),"平","仄")))</x:f>
        <x:v>仄</x:v>
      </x:c>
      <x:c r="L1848" s="7" t="str"/>
    </x:row>
    <x:row r="1849">
      <x:c r="A1849" s="5" t="str">
        <x:v>枋</x:v>
      </x:c>
      <x:c r="B1849" s="6" t="str">
        <x:v>去</x:v>
      </x:c>
      <x:c r="C1849" s="6" t="str">
        <x:f>IF(B1849="","Needs decision","Ready")</x:f>
        <x:v>Ready</x:v>
      </x:c>
      <x:c r="D1849" s="6" t="str">
        <x:v>去</x:v>
      </x:c>
      <x:c r="E1849" s="6" t="str">
        <x:v>pjaengH (C)</x:v>
      </x:c>
      <x:c r="F1849" s="6" t="str">
        <x:v>下平聲七陽</x:v>
      </x:c>
      <x:c r="G1849" s="6" t="str">
        <x:v>Pingshui main list, Wikisource-derived DOCX</x:v>
      </x:c>
      <x:c r="H1849" s="6" t="str">
        <x:v>1</x:v>
      </x:c>
      <x:c r="I1849" s="6" t="str"/>
      <x:c r="J1849" s="6" t="str">
        <x:f>IF(B1849="","",IF(AND(ISNUMBER(SEARCH("平",B1849)),OR(ISNUMBER(SEARCH("上",B1849)),ISNUMBER(SEARCH("去",B1849)),ISNUMBER(SEARCH("入",B1849)))),"Ambiguous",IF(ISNUMBER(SEARCH("平",B1849)),"平","仄")))</x:f>
        <x:v>仄</x:v>
      </x:c>
      <x:c r="K1849" s="6" t="str">
        <x:f>IF(D1849="","",IF(AND(ISNUMBER(SEARCH("平",D1849)),OR(ISNUMBER(SEARCH("上",D1849)),ISNUMBER(SEARCH("去",D1849)),ISNUMBER(SEARCH("入",D1849)))),"Ambiguous",IF(ISNUMBER(SEARCH("平",D1849)),"平","仄")))</x:f>
        <x:v>仄</x:v>
      </x:c>
      <x:c r="L1849" s="7" t="str"/>
    </x:row>
    <x:row r="1850">
      <x:c r="A1850" s="5" t="str">
        <x:v>析</x:v>
      </x:c>
      <x:c r="B1850" s="6" t="str">
        <x:v>入</x:v>
      </x:c>
      <x:c r="C1850" s="6" t="str">
        <x:f>IF(B1850="","Needs decision","Ready")</x:f>
        <x:v>Ready</x:v>
      </x:c>
      <x:c r="D1850" s="6" t="str">
        <x:v>入</x:v>
      </x:c>
      <x:c r="E1850" s="6" t="str">
        <x:v>sek (D)</x:v>
      </x:c>
      <x:c r="F1850" s="6" t="str">
        <x:v>入聲十二錫</x:v>
      </x:c>
      <x:c r="G1850" s="6" t="str">
        <x:v>Pingshui main list, Wikisource-derived DOCX</x:v>
      </x:c>
      <x:c r="H1850" s="6" t="str">
        <x:v>1</x:v>
      </x:c>
      <x:c r="I1850" s="6" t="str"/>
      <x:c r="J1850" s="6" t="str">
        <x:f>IF(B1850="","",IF(AND(ISNUMBER(SEARCH("平",B1850)),OR(ISNUMBER(SEARCH("上",B1850)),ISNUMBER(SEARCH("去",B1850)),ISNUMBER(SEARCH("入",B1850)))),"Ambiguous",IF(ISNUMBER(SEARCH("平",B1850)),"平","仄")))</x:f>
        <x:v>仄</x:v>
      </x:c>
      <x:c r="K1850" s="6" t="str">
        <x:f>IF(D1850="","",IF(AND(ISNUMBER(SEARCH("平",D1850)),OR(ISNUMBER(SEARCH("上",D1850)),ISNUMBER(SEARCH("去",D1850)),ISNUMBER(SEARCH("入",D1850)))),"Ambiguous",IF(ISNUMBER(SEARCH("平",D1850)),"平","仄")))</x:f>
        <x:v>仄</x:v>
      </x:c>
      <x:c r="L1850" s="7" t="str"/>
    </x:row>
    <x:row r="1851">
      <x:c r="A1851" s="5" t="str">
        <x:v>枑</x:v>
      </x:c>
      <x:c r="B1851" s="6" t="str">
        <x:v>去</x:v>
      </x:c>
      <x:c r="C1851" s="6" t="str">
        <x:f>IF(B1851="","Needs decision","Ready")</x:f>
        <x:v>Ready</x:v>
      </x:c>
      <x:c r="D1851" s="6" t="str">
        <x:v>去</x:v>
      </x:c>
      <x:c r="E1851" s="6" t="str">
        <x:v>huH (C)</x:v>
      </x:c>
      <x:c r="F1851" s="6" t="str">
        <x:v>去聲七遇</x:v>
      </x:c>
      <x:c r="G1851" s="6" t="str">
        <x:v>Pingshui main list, Wikisource-derived DOCX</x:v>
      </x:c>
      <x:c r="H1851" s="6" t="str">
        <x:v>1</x:v>
      </x:c>
      <x:c r="I1851" s="6" t="str"/>
      <x:c r="J1851" s="6" t="str">
        <x:f>IF(B1851="","",IF(AND(ISNUMBER(SEARCH("平",B1851)),OR(ISNUMBER(SEARCH("上",B1851)),ISNUMBER(SEARCH("去",B1851)),ISNUMBER(SEARCH("入",B1851)))),"Ambiguous",IF(ISNUMBER(SEARCH("平",B1851)),"平","仄")))</x:f>
        <x:v>仄</x:v>
      </x:c>
      <x:c r="K1851" s="6" t="str">
        <x:f>IF(D1851="","",IF(AND(ISNUMBER(SEARCH("平",D1851)),OR(ISNUMBER(SEARCH("上",D1851)),ISNUMBER(SEARCH("去",D1851)),ISNUMBER(SEARCH("入",D1851)))),"Ambiguous",IF(ISNUMBER(SEARCH("平",D1851)),"平","仄")))</x:f>
        <x:v>仄</x:v>
      </x:c>
      <x:c r="L1851" s="7" t="str"/>
    </x:row>
    <x:row r="1852">
      <x:c r="A1852" s="5" t="str">
        <x:v>枕</x:v>
      </x:c>
      <x:c r="B1852" s="6" t="str"/>
      <x:c r="C1852" s="6" t="str">
        <x:f>IF(B1852="","Needs decision","Ready")</x:f>
        <x:v>Needs decision</x:v>
      </x:c>
      <x:c r="D1852" s="6" t="str">
        <x:v>上/去</x:v>
      </x:c>
      <x:c r="E1852" s="6" t="str">
        <x:v>tsyimX (B); tsyimH (C)</x:v>
      </x:c>
      <x:c r="F1852" s="6" t="str">
        <x:v>上聲二十六寢; 去聲二十七沁</x:v>
      </x:c>
      <x:c r="G1852" s="6" t="str">
        <x:v>Pingshui main list, Wikisource-derived DOCX</x:v>
      </x:c>
      <x:c r="H1852" s="6" t="str">
        <x:v>2</x:v>
      </x:c>
      <x:c r="I1852" s="6" t="str"/>
      <x:c r="J1852" s="6" t="str">
        <x:f>IF(B1852="","",IF(AND(ISNUMBER(SEARCH("平",B1852)),OR(ISNUMBER(SEARCH("上",B1852)),ISNUMBER(SEARCH("去",B1852)),ISNUMBER(SEARCH("入",B1852)))),"Ambiguous",IF(ISNUMBER(SEARCH("平",B1852)),"平","仄")))</x:f>
      </x:c>
      <x:c r="K1852" s="6" t="str">
        <x:f>IF(D1852="","",IF(AND(ISNUMBER(SEARCH("平",D1852)),OR(ISNUMBER(SEARCH("上",D1852)),ISNUMBER(SEARCH("去",D1852)),ISNUMBER(SEARCH("入",D1852)))),"Ambiguous",IF(ISNUMBER(SEARCH("平",D1852)),"平","仄")))</x:f>
        <x:v>仄</x:v>
      </x:c>
      <x:c r="L1852" s="7" t="str"/>
    </x:row>
    <x:row r="1853">
      <x:c r="A1853" s="5" t="str">
        <x:v>林</x:v>
      </x:c>
      <x:c r="B1853" s="6" t="str">
        <x:v>平</x:v>
      </x:c>
      <x:c r="C1853" s="6" t="str">
        <x:f>IF(B1853="","Needs decision","Ready")</x:f>
        <x:v>Ready</x:v>
      </x:c>
      <x:c r="D1853" s="6" t="str">
        <x:v>平</x:v>
      </x:c>
      <x:c r="E1853" s="6" t="str">
        <x:v>lim (A)</x:v>
      </x:c>
      <x:c r="F1853" s="6" t="str">
        <x:v>下平聲十二侵</x:v>
      </x:c>
      <x:c r="G1853" s="6" t="str">
        <x:v>Pingshui main list, Wikisource-derived DOCX</x:v>
      </x:c>
      <x:c r="H1853" s="6" t="str">
        <x:v>1</x:v>
      </x:c>
      <x:c r="I1853" s="6" t="str"/>
      <x:c r="J1853" s="6" t="str">
        <x:f>IF(B1853="","",IF(AND(ISNUMBER(SEARCH("平",B1853)),OR(ISNUMBER(SEARCH("上",B1853)),ISNUMBER(SEARCH("去",B1853)),ISNUMBER(SEARCH("入",B1853)))),"Ambiguous",IF(ISNUMBER(SEARCH("平",B1853)),"平","仄")))</x:f>
        <x:v>平</x:v>
      </x:c>
      <x:c r="K1853" s="6" t="str">
        <x:f>IF(D1853="","",IF(AND(ISNUMBER(SEARCH("平",D1853)),OR(ISNUMBER(SEARCH("上",D1853)),ISNUMBER(SEARCH("去",D1853)),ISNUMBER(SEARCH("入",D1853)))),"Ambiguous",IF(ISNUMBER(SEARCH("平",D1853)),"平","仄")))</x:f>
        <x:v>平</x:v>
      </x:c>
      <x:c r="L1853" s="7" t="str"/>
    </x:row>
    <x:row r="1854">
      <x:c r="A1854" s="5" t="str">
        <x:v>枚</x:v>
      </x:c>
      <x:c r="B1854" s="6" t="str">
        <x:v>平</x:v>
      </x:c>
      <x:c r="C1854" s="6" t="str">
        <x:f>IF(B1854="","Needs decision","Ready")</x:f>
        <x:v>Ready</x:v>
      </x:c>
      <x:c r="D1854" s="6" t="str">
        <x:v>平</x:v>
      </x:c>
      <x:c r="E1854" s="6" t="str">
        <x:v>mwoj (A)</x:v>
      </x:c>
      <x:c r="F1854" s="6" t="str">
        <x:v>上平聲十灰</x:v>
      </x:c>
      <x:c r="G1854" s="6" t="str">
        <x:v>Pingshui main list, Wikisource-derived DOCX</x:v>
      </x:c>
      <x:c r="H1854" s="6" t="str">
        <x:v>1</x:v>
      </x:c>
      <x:c r="I1854" s="6" t="str"/>
      <x:c r="J1854" s="6" t="str">
        <x:f>IF(B1854="","",IF(AND(ISNUMBER(SEARCH("平",B1854)),OR(ISNUMBER(SEARCH("上",B1854)),ISNUMBER(SEARCH("去",B1854)),ISNUMBER(SEARCH("入",B1854)))),"Ambiguous",IF(ISNUMBER(SEARCH("平",B1854)),"平","仄")))</x:f>
        <x:v>平</x:v>
      </x:c>
      <x:c r="K1854" s="6" t="str">
        <x:f>IF(D1854="","",IF(AND(ISNUMBER(SEARCH("平",D1854)),OR(ISNUMBER(SEARCH("上",D1854)),ISNUMBER(SEARCH("去",D1854)),ISNUMBER(SEARCH("入",D1854)))),"Ambiguous",IF(ISNUMBER(SEARCH("平",D1854)),"平","仄")))</x:f>
        <x:v>平</x:v>
      </x:c>
      <x:c r="L1854" s="7" t="str"/>
    </x:row>
    <x:row r="1855">
      <x:c r="A1855" s="5" t="str">
        <x:v>果</x:v>
      </x:c>
      <x:c r="B1855" s="6" t="str">
        <x:v>上</x:v>
      </x:c>
      <x:c r="C1855" s="6" t="str">
        <x:f>IF(B1855="","Needs decision","Ready")</x:f>
        <x:v>Ready</x:v>
      </x:c>
      <x:c r="D1855" s="6" t="str">
        <x:v>上</x:v>
      </x:c>
      <x:c r="E1855" s="6" t="str">
        <x:v>kwaX (B)</x:v>
      </x:c>
      <x:c r="F1855" s="6" t="str">
        <x:v>上聲二十哿</x:v>
      </x:c>
      <x:c r="G1855" s="6" t="str">
        <x:v>Pingshui main list, Wikisource-derived DOCX</x:v>
      </x:c>
      <x:c r="H1855" s="6" t="str">
        <x:v>1</x:v>
      </x:c>
      <x:c r="I1855" s="6" t="str"/>
      <x:c r="J1855" s="6" t="str">
        <x:f>IF(B1855="","",IF(AND(ISNUMBER(SEARCH("平",B1855)),OR(ISNUMBER(SEARCH("上",B1855)),ISNUMBER(SEARCH("去",B1855)),ISNUMBER(SEARCH("入",B1855)))),"Ambiguous",IF(ISNUMBER(SEARCH("平",B1855)),"平","仄")))</x:f>
        <x:v>仄</x:v>
      </x:c>
      <x:c r="K1855" s="6" t="str">
        <x:f>IF(D1855="","",IF(AND(ISNUMBER(SEARCH("平",D1855)),OR(ISNUMBER(SEARCH("上",D1855)),ISNUMBER(SEARCH("去",D1855)),ISNUMBER(SEARCH("入",D1855)))),"Ambiguous",IF(ISNUMBER(SEARCH("平",D1855)),"平","仄")))</x:f>
        <x:v>仄</x:v>
      </x:c>
      <x:c r="L1855" s="7" t="str"/>
    </x:row>
    <x:row r="1856">
      <x:c r="A1856" s="5" t="str">
        <x:v>枝</x:v>
      </x:c>
      <x:c r="B1856" s="6" t="str">
        <x:v>平</x:v>
      </x:c>
      <x:c r="C1856" s="6" t="str">
        <x:f>IF(B1856="","Needs decision","Ready")</x:f>
        <x:v>Ready</x:v>
      </x:c>
      <x:c r="D1856" s="6" t="str">
        <x:v>平</x:v>
      </x:c>
      <x:c r="E1856" s="6" t="str">
        <x:v>tsye (A)</x:v>
      </x:c>
      <x:c r="F1856" s="6" t="str">
        <x:v>上平聲四支</x:v>
      </x:c>
      <x:c r="G1856" s="6" t="str">
        <x:v>Pingshui main list, Wikisource-derived DOCX</x:v>
      </x:c>
      <x:c r="H1856" s="6" t="str">
        <x:v>1</x:v>
      </x:c>
      <x:c r="I1856" s="6" t="str"/>
      <x:c r="J1856" s="6" t="str">
        <x:f>IF(B1856="","",IF(AND(ISNUMBER(SEARCH("平",B1856)),OR(ISNUMBER(SEARCH("上",B1856)),ISNUMBER(SEARCH("去",B1856)),ISNUMBER(SEARCH("入",B1856)))),"Ambiguous",IF(ISNUMBER(SEARCH("平",B1856)),"平","仄")))</x:f>
        <x:v>平</x:v>
      </x:c>
      <x:c r="K1856" s="6" t="str">
        <x:f>IF(D1856="","",IF(AND(ISNUMBER(SEARCH("平",D1856)),OR(ISNUMBER(SEARCH("上",D1856)),ISNUMBER(SEARCH("去",D1856)),ISNUMBER(SEARCH("入",D1856)))),"Ambiguous",IF(ISNUMBER(SEARCH("平",D1856)),"平","仄")))</x:f>
        <x:v>平</x:v>
      </x:c>
      <x:c r="L1856" s="7" t="str"/>
    </x:row>
    <x:row r="1857">
      <x:c r="A1857" s="5" t="str">
        <x:v>枯</x:v>
      </x:c>
      <x:c r="B1857" s="6" t="str">
        <x:v>平</x:v>
      </x:c>
      <x:c r="C1857" s="6" t="str">
        <x:f>IF(B1857="","Needs decision","Ready")</x:f>
        <x:v>Ready</x:v>
      </x:c>
      <x:c r="D1857" s="6" t="str">
        <x:v>平</x:v>
      </x:c>
      <x:c r="E1857" s="6" t="str">
        <x:v>khu (A)</x:v>
      </x:c>
      <x:c r="F1857" s="6" t="str">
        <x:v>上平聲七虞</x:v>
      </x:c>
      <x:c r="G1857" s="6" t="str">
        <x:v>Pingshui main list, Wikisource-derived DOCX</x:v>
      </x:c>
      <x:c r="H1857" s="6" t="str">
        <x:v>1</x:v>
      </x:c>
      <x:c r="I1857" s="6" t="str"/>
      <x:c r="J1857" s="6" t="str">
        <x:f>IF(B1857="","",IF(AND(ISNUMBER(SEARCH("平",B1857)),OR(ISNUMBER(SEARCH("上",B1857)),ISNUMBER(SEARCH("去",B1857)),ISNUMBER(SEARCH("入",B1857)))),"Ambiguous",IF(ISNUMBER(SEARCH("平",B1857)),"平","仄")))</x:f>
        <x:v>平</x:v>
      </x:c>
      <x:c r="K1857" s="6" t="str">
        <x:f>IF(D1857="","",IF(AND(ISNUMBER(SEARCH("平",D1857)),OR(ISNUMBER(SEARCH("上",D1857)),ISNUMBER(SEARCH("去",D1857)),ISNUMBER(SEARCH("入",D1857)))),"Ambiguous",IF(ISNUMBER(SEARCH("平",D1857)),"平","仄")))</x:f>
        <x:v>平</x:v>
      </x:c>
      <x:c r="L1857" s="7" t="str"/>
    </x:row>
    <x:row r="1858">
      <x:c r="A1858" s="5" t="str">
        <x:v>枲</x:v>
      </x:c>
      <x:c r="B1858" s="6" t="str">
        <x:v>上</x:v>
      </x:c>
      <x:c r="C1858" s="6" t="str">
        <x:f>IF(B1858="","Needs decision","Ready")</x:f>
        <x:v>Ready</x:v>
      </x:c>
      <x:c r="D1858" s="6" t="str">
        <x:v>上</x:v>
      </x:c>
      <x:c r="E1858" s="6" t="str">
        <x:v>siX (B)</x:v>
      </x:c>
      <x:c r="F1858" s="6" t="str">
        <x:v>上聲四紙</x:v>
      </x:c>
      <x:c r="G1858" s="6" t="str">
        <x:v>Pingshui main list, Wikisource-derived DOCX</x:v>
      </x:c>
      <x:c r="H1858" s="6" t="str">
        <x:v>1</x:v>
      </x:c>
      <x:c r="I1858" s="6" t="str"/>
      <x:c r="J1858" s="6" t="str">
        <x:f>IF(B1858="","",IF(AND(ISNUMBER(SEARCH("平",B1858)),OR(ISNUMBER(SEARCH("上",B1858)),ISNUMBER(SEARCH("去",B1858)),ISNUMBER(SEARCH("入",B1858)))),"Ambiguous",IF(ISNUMBER(SEARCH("平",B1858)),"平","仄")))</x:f>
        <x:v>仄</x:v>
      </x:c>
      <x:c r="K1858" s="6" t="str">
        <x:f>IF(D1858="","",IF(AND(ISNUMBER(SEARCH("平",D1858)),OR(ISNUMBER(SEARCH("上",D1858)),ISNUMBER(SEARCH("去",D1858)),ISNUMBER(SEARCH("入",D1858)))),"Ambiguous",IF(ISNUMBER(SEARCH("平",D1858)),"平","仄")))</x:f>
        <x:v>仄</x:v>
      </x:c>
      <x:c r="L1858" s="7" t="str"/>
    </x:row>
    <x:row r="1859">
      <x:c r="A1859" s="5" t="str">
        <x:v>架</x:v>
      </x:c>
      <x:c r="B1859" s="6" t="str">
        <x:v>去</x:v>
      </x:c>
      <x:c r="C1859" s="6" t="str">
        <x:f>IF(B1859="","Needs decision","Ready")</x:f>
        <x:v>Ready</x:v>
      </x:c>
      <x:c r="D1859" s="6" t="str">
        <x:v>去</x:v>
      </x:c>
      <x:c r="E1859" s="6" t="str"/>
      <x:c r="F1859" s="6" t="str">
        <x:v>去聲二十二禡</x:v>
      </x:c>
      <x:c r="G1859" s="6" t="str">
        <x:v>Pingshui main list, Wikisource-derived DOCX</x:v>
      </x:c>
      <x:c r="H1859" s="6" t="str">
        <x:v>0</x:v>
      </x:c>
      <x:c r="I1859" s="6" t="str">
        <x:v>User correction 2026-09-08; added manually</x:v>
      </x:c>
      <x:c r="J1859" s="6" t="str">
        <x:f>IF(B1859="","",IF(AND(ISNUMBER(SEARCH("平",B1859)),OR(ISNUMBER(SEARCH("上",B1859)),ISNUMBER(SEARCH("去",B1859)),ISNUMBER(SEARCH("入",B1859)))),"Ambiguous",IF(ISNUMBER(SEARCH("平",B1859)),"平","仄")))</x:f>
        <x:v>仄</x:v>
      </x:c>
      <x:c r="K1859" s="6" t="str">
        <x:f>IF(D1859="","",IF(AND(ISNUMBER(SEARCH("平",D1859)),OR(ISNUMBER(SEARCH("上",D1859)),ISNUMBER(SEARCH("去",D1859)),ISNUMBER(SEARCH("入",D1859)))),"Ambiguous",IF(ISNUMBER(SEARCH("平",D1859)),"平","仄")))</x:f>
        <x:v>仄</x:v>
      </x:c>
      <x:c r="L1859" s="7" t="str">
        <x:v>User correction</x:v>
      </x:c>
    </x:row>
    <x:row r="1860">
      <x:c r="A1860" s="5" t="str">
        <x:v>枸</x:v>
      </x:c>
      <x:c r="B1860" s="6" t="str">
        <x:v>上</x:v>
      </x:c>
      <x:c r="C1860" s="6" t="str">
        <x:f>IF(B1860="","Needs decision","Ready")</x:f>
        <x:v>Ready</x:v>
      </x:c>
      <x:c r="D1860" s="6" t="str">
        <x:v>上</x:v>
      </x:c>
      <x:c r="E1860" s="6" t="str">
        <x:v>kjuX (B)</x:v>
      </x:c>
      <x:c r="F1860" s="6" t="str">
        <x:v>上平聲七虞; 上聲七麌; 上聲二十五有</x:v>
      </x:c>
      <x:c r="G1860" s="6" t="str">
        <x:v>Pingshui main list, Wikisource-derived DOCX</x:v>
      </x:c>
      <x:c r="H1860" s="6" t="str">
        <x:v>1</x:v>
      </x:c>
      <x:c r="I1860" s="6" t="str"/>
      <x:c r="J1860" s="6" t="str">
        <x:f>IF(B1860="","",IF(AND(ISNUMBER(SEARCH("平",B1860)),OR(ISNUMBER(SEARCH("上",B1860)),ISNUMBER(SEARCH("去",B1860)),ISNUMBER(SEARCH("入",B1860)))),"Ambiguous",IF(ISNUMBER(SEARCH("平",B1860)),"平","仄")))</x:f>
        <x:v>仄</x:v>
      </x:c>
      <x:c r="K1860" s="6" t="str">
        <x:f>IF(D1860="","",IF(AND(ISNUMBER(SEARCH("平",D1860)),OR(ISNUMBER(SEARCH("上",D1860)),ISNUMBER(SEARCH("去",D1860)),ISNUMBER(SEARCH("入",D1860)))),"Ambiguous",IF(ISNUMBER(SEARCH("平",D1860)),"平","仄")))</x:f>
        <x:v>仄</x:v>
      </x:c>
      <x:c r="L1860" s="7" t="str"/>
    </x:row>
    <x:row r="1861">
      <x:c r="A1861" s="5" t="str">
        <x:v>枹</x:v>
      </x:c>
      <x:c r="B1861" s="6" t="str">
        <x:v>平</x:v>
      </x:c>
      <x:c r="C1861" s="6" t="str">
        <x:f>IF(B1861="","Needs decision","Ready")</x:f>
        <x:v>Ready</x:v>
      </x:c>
      <x:c r="D1861" s="6" t="str">
        <x:v>平</x:v>
      </x:c>
      <x:c r="E1861" s="6" t="str">
        <x:v>bjuw (A)</x:v>
      </x:c>
      <x:c r="F1861" s="6" t="str">
        <x:v>上平聲七虞; 下平聲三肴; 下平聲十一尤</x:v>
      </x:c>
      <x:c r="G1861" s="6" t="str">
        <x:v>Pingshui main list, Wikisource-derived DOCX</x:v>
      </x:c>
      <x:c r="H1861" s="6" t="str">
        <x:v>1</x:v>
      </x:c>
      <x:c r="I1861" s="6" t="str"/>
      <x:c r="J1861" s="6" t="str">
        <x:f>IF(B1861="","",IF(AND(ISNUMBER(SEARCH("平",B1861)),OR(ISNUMBER(SEARCH("上",B1861)),ISNUMBER(SEARCH("去",B1861)),ISNUMBER(SEARCH("入",B1861)))),"Ambiguous",IF(ISNUMBER(SEARCH("平",B1861)),"平","仄")))</x:f>
        <x:v>平</x:v>
      </x:c>
      <x:c r="K1861" s="6" t="str">
        <x:f>IF(D1861="","",IF(AND(ISNUMBER(SEARCH("平",D1861)),OR(ISNUMBER(SEARCH("上",D1861)),ISNUMBER(SEARCH("去",D1861)),ISNUMBER(SEARCH("入",D1861)))),"Ambiguous",IF(ISNUMBER(SEARCH("平",D1861)),"平","仄")))</x:f>
        <x:v>平</x:v>
      </x:c>
      <x:c r="L1861" s="7" t="str"/>
    </x:row>
    <x:row r="1862">
      <x:c r="A1862" s="5" t="str">
        <x:v>枼</x:v>
      </x:c>
      <x:c r="B1862" s="6" t="str">
        <x:v>入</x:v>
      </x:c>
      <x:c r="C1862" s="6" t="str">
        <x:f>IF(B1862="","Needs decision","Ready")</x:f>
        <x:v>Ready</x:v>
      </x:c>
      <x:c r="D1862" s="6" t="str">
        <x:v>入</x:v>
      </x:c>
      <x:c r="E1862" s="6" t="str">
        <x:v>yep (D)</x:v>
      </x:c>
      <x:c r="F1862" s="6" t="str"/>
      <x:c r="G1862" s="6" t="str"/>
      <x:c r="H1862" s="6" t="str">
        <x:v>1</x:v>
      </x:c>
      <x:c r="I1862" s="6" t="str"/>
      <x:c r="J1862" s="6" t="str">
        <x:f>IF(B1862="","",IF(AND(ISNUMBER(SEARCH("平",B1862)),OR(ISNUMBER(SEARCH("上",B1862)),ISNUMBER(SEARCH("去",B1862)),ISNUMBER(SEARCH("入",B1862)))),"Ambiguous",IF(ISNUMBER(SEARCH("平",B1862)),"平","仄")))</x:f>
        <x:v>仄</x:v>
      </x:c>
      <x:c r="K1862" s="6" t="str">
        <x:f>IF(D1862="","",IF(AND(ISNUMBER(SEARCH("平",D1862)),OR(ISNUMBER(SEARCH("上",D1862)),ISNUMBER(SEARCH("去",D1862)),ISNUMBER(SEARCH("入",D1862)))),"Ambiguous",IF(ISNUMBER(SEARCH("平",D1862)),"平","仄")))</x:f>
        <x:v>仄</x:v>
      </x:c>
      <x:c r="L1862" s="7" t="str"/>
    </x:row>
    <x:row r="1863">
      <x:c r="A1863" s="5" t="str">
        <x:v>柄</x:v>
      </x:c>
      <x:c r="B1863" s="6" t="str">
        <x:v>去</x:v>
      </x:c>
      <x:c r="C1863" s="6" t="str">
        <x:f>IF(B1863="","Needs decision","Ready")</x:f>
        <x:v>Ready</x:v>
      </x:c>
      <x:c r="D1863" s="6" t="str">
        <x:v>去</x:v>
      </x:c>
      <x:c r="E1863" s="6" t="str">
        <x:v>pjaengH (C)</x:v>
      </x:c>
      <x:c r="F1863" s="6" t="str">
        <x:v>去聲二十四敬</x:v>
      </x:c>
      <x:c r="G1863" s="6" t="str">
        <x:v>Pingshui main list, Wikisource-derived DOCX</x:v>
      </x:c>
      <x:c r="H1863" s="6" t="str">
        <x:v>1</x:v>
      </x:c>
      <x:c r="I1863" s="6" t="str"/>
      <x:c r="J1863" s="6" t="str">
        <x:f>IF(B1863="","",IF(AND(ISNUMBER(SEARCH("平",B1863)),OR(ISNUMBER(SEARCH("上",B1863)),ISNUMBER(SEARCH("去",B1863)),ISNUMBER(SEARCH("入",B1863)))),"Ambiguous",IF(ISNUMBER(SEARCH("平",B1863)),"平","仄")))</x:f>
        <x:v>仄</x:v>
      </x:c>
      <x:c r="K1863" s="6" t="str">
        <x:f>IF(D1863="","",IF(AND(ISNUMBER(SEARCH("平",D1863)),OR(ISNUMBER(SEARCH("上",D1863)),ISNUMBER(SEARCH("去",D1863)),ISNUMBER(SEARCH("入",D1863)))),"Ambiguous",IF(ISNUMBER(SEARCH("平",D1863)),"平","仄")))</x:f>
        <x:v>仄</x:v>
      </x:c>
      <x:c r="L1863" s="7" t="str"/>
    </x:row>
    <x:row r="1864">
      <x:c r="A1864" s="5" t="str">
        <x:v>柅</x:v>
      </x:c>
      <x:c r="B1864" s="6" t="str"/>
      <x:c r="C1864" s="6" t="str">
        <x:f>IF(B1864="","Needs decision","Ready")</x:f>
        <x:v>Needs decision</x:v>
      </x:c>
      <x:c r="D1864" s="6" t="str">
        <x:v>上/去</x:v>
      </x:c>
      <x:c r="E1864" s="6" t="str">
        <x:v>nrijX (B); nrijH (C)</x:v>
      </x:c>
      <x:c r="F1864" s="6" t="str">
        <x:v>上平聲四支</x:v>
      </x:c>
      <x:c r="G1864" s="6" t="str">
        <x:v>Pingshui main list, Wikisource-derived DOCX</x:v>
      </x:c>
      <x:c r="H1864" s="6" t="str">
        <x:v>2</x:v>
      </x:c>
      <x:c r="I1864" s="6" t="str"/>
      <x:c r="J1864" s="6" t="str">
        <x:f>IF(B1864="","",IF(AND(ISNUMBER(SEARCH("平",B1864)),OR(ISNUMBER(SEARCH("上",B1864)),ISNUMBER(SEARCH("去",B1864)),ISNUMBER(SEARCH("入",B1864)))),"Ambiguous",IF(ISNUMBER(SEARCH("平",B1864)),"平","仄")))</x:f>
      </x:c>
      <x:c r="K1864" s="6" t="str">
        <x:f>IF(D1864="","",IF(AND(ISNUMBER(SEARCH("平",D1864)),OR(ISNUMBER(SEARCH("上",D1864)),ISNUMBER(SEARCH("去",D1864)),ISNUMBER(SEARCH("入",D1864)))),"Ambiguous",IF(ISNUMBER(SEARCH("平",D1864)),"平","仄")))</x:f>
        <x:v>仄</x:v>
      </x:c>
      <x:c r="L1864" s="7" t="str"/>
    </x:row>
    <x:row r="1865">
      <x:c r="A1865" s="5" t="str">
        <x:v>柈</x:v>
      </x:c>
      <x:c r="B1865" s="6" t="str">
        <x:v>平</x:v>
      </x:c>
      <x:c r="C1865" s="6" t="str">
        <x:f>IF(B1865="","Needs decision","Ready")</x:f>
        <x:v>Ready</x:v>
      </x:c>
      <x:c r="D1865" s="6" t="str">
        <x:v>平</x:v>
      </x:c>
      <x:c r="E1865" s="6" t="str"/>
      <x:c r="F1865" s="6" t="str"/>
      <x:c r="G1865" s="6" t="str"/>
      <x:c r="H1865" s="6" t="str">
        <x:v>0</x:v>
      </x:c>
      <x:c r="I1865" s="6" t="str">
        <x:v>User correction 2026-09-08; added manually</x:v>
      </x:c>
      <x:c r="J1865" s="6" t="str">
        <x:f>IF(B1865="","",IF(AND(ISNUMBER(SEARCH("平",B1865)),OR(ISNUMBER(SEARCH("上",B1865)),ISNUMBER(SEARCH("去",B1865)),ISNUMBER(SEARCH("入",B1865)))),"Ambiguous",IF(ISNUMBER(SEARCH("平",B1865)),"平","仄")))</x:f>
        <x:v>平</x:v>
      </x:c>
      <x:c r="K1865" s="6" t="str">
        <x:f>IF(D1865="","",IF(AND(ISNUMBER(SEARCH("平",D1865)),OR(ISNUMBER(SEARCH("上",D1865)),ISNUMBER(SEARCH("去",D1865)),ISNUMBER(SEARCH("入",D1865)))),"Ambiguous",IF(ISNUMBER(SEARCH("平",D1865)),"平","仄")))</x:f>
        <x:v>平</x:v>
      </x:c>
      <x:c r="L1865" s="7" t="str">
        <x:v>User correction</x:v>
      </x:c>
    </x:row>
    <x:row r="1866">
      <x:c r="A1866" s="5" t="str">
        <x:v>柏</x:v>
      </x:c>
      <x:c r="B1866" s="6" t="str">
        <x:v>入</x:v>
      </x:c>
      <x:c r="C1866" s="6" t="str">
        <x:f>IF(B1866="","Needs decision","Ready")</x:f>
        <x:v>Ready</x:v>
      </x:c>
      <x:c r="D1866" s="6" t="str">
        <x:v>入</x:v>
      </x:c>
      <x:c r="E1866" s="6" t="str">
        <x:v>paek (D)</x:v>
      </x:c>
      <x:c r="F1866" s="6" t="str">
        <x:v>入聲十一陌</x:v>
      </x:c>
      <x:c r="G1866" s="6" t="str">
        <x:v>Pingshui main list, Wikisource-derived DOCX</x:v>
      </x:c>
      <x:c r="H1866" s="6" t="str">
        <x:v>1</x:v>
      </x:c>
      <x:c r="I1866" s="6" t="str"/>
      <x:c r="J1866" s="6" t="str">
        <x:f>IF(B1866="","",IF(AND(ISNUMBER(SEARCH("平",B1866)),OR(ISNUMBER(SEARCH("上",B1866)),ISNUMBER(SEARCH("去",B1866)),ISNUMBER(SEARCH("入",B1866)))),"Ambiguous",IF(ISNUMBER(SEARCH("平",B1866)),"平","仄")))</x:f>
        <x:v>仄</x:v>
      </x:c>
      <x:c r="K1866" s="6" t="str">
        <x:f>IF(D1866="","",IF(AND(ISNUMBER(SEARCH("平",D1866)),OR(ISNUMBER(SEARCH("上",D1866)),ISNUMBER(SEARCH("去",D1866)),ISNUMBER(SEARCH("入",D1866)))),"Ambiguous",IF(ISNUMBER(SEARCH("平",D1866)),"平","仄")))</x:f>
        <x:v>仄</x:v>
      </x:c>
      <x:c r="L1866" s="7" t="str"/>
    </x:row>
    <x:row r="1867">
      <x:c r="A1867" s="5" t="str">
        <x:v>某</x:v>
      </x:c>
      <x:c r="B1867" s="6" t="str">
        <x:v>上</x:v>
      </x:c>
      <x:c r="C1867" s="6" t="str">
        <x:f>IF(B1867="","Needs decision","Ready")</x:f>
        <x:v>Ready</x:v>
      </x:c>
      <x:c r="D1867" s="6" t="str">
        <x:v>上</x:v>
      </x:c>
      <x:c r="E1867" s="6" t="str">
        <x:v>muwX (B)</x:v>
      </x:c>
      <x:c r="F1867" s="6" t="str">
        <x:v>上聲二十五有</x:v>
      </x:c>
      <x:c r="G1867" s="6" t="str">
        <x:v>Pingshui main list, Wikisource-derived DOCX</x:v>
      </x:c>
      <x:c r="H1867" s="6" t="str">
        <x:v>1</x:v>
      </x:c>
      <x:c r="I1867" s="6" t="str"/>
      <x:c r="J1867" s="6" t="str">
        <x:f>IF(B1867="","",IF(AND(ISNUMBER(SEARCH("平",B1867)),OR(ISNUMBER(SEARCH("上",B1867)),ISNUMBER(SEARCH("去",B1867)),ISNUMBER(SEARCH("入",B1867)))),"Ambiguous",IF(ISNUMBER(SEARCH("平",B1867)),"平","仄")))</x:f>
        <x:v>仄</x:v>
      </x:c>
      <x:c r="K1867" s="6" t="str">
        <x:f>IF(D1867="","",IF(AND(ISNUMBER(SEARCH("平",D1867)),OR(ISNUMBER(SEARCH("上",D1867)),ISNUMBER(SEARCH("去",D1867)),ISNUMBER(SEARCH("入",D1867)))),"Ambiguous",IF(ISNUMBER(SEARCH("平",D1867)),"平","仄")))</x:f>
        <x:v>仄</x:v>
      </x:c>
      <x:c r="L1867" s="7" t="str"/>
    </x:row>
    <x:row r="1868">
      <x:c r="A1868" s="5" t="str">
        <x:v>染</x:v>
      </x:c>
      <x:c r="B1868" s="6" t="str">
        <x:v>上</x:v>
      </x:c>
      <x:c r="C1868" s="6" t="str">
        <x:f>IF(B1868="","Needs decision","Ready")</x:f>
        <x:v>Ready</x:v>
      </x:c>
      <x:c r="D1868" s="6" t="str">
        <x:v>上</x:v>
      </x:c>
      <x:c r="E1868" s="6" t="str">
        <x:v>nyemX (B)</x:v>
      </x:c>
      <x:c r="F1868" s="6" t="str">
        <x:v>上聲二十八琰</x:v>
      </x:c>
      <x:c r="G1868" s="6" t="str">
        <x:v>Pingshui main list, Wikisource-derived DOCX</x:v>
      </x:c>
      <x:c r="H1868" s="6" t="str">
        <x:v>1</x:v>
      </x:c>
      <x:c r="I1868" s="6" t="str"/>
      <x:c r="J1868" s="6" t="str">
        <x:f>IF(B1868="","",IF(AND(ISNUMBER(SEARCH("平",B1868)),OR(ISNUMBER(SEARCH("上",B1868)),ISNUMBER(SEARCH("去",B1868)),ISNUMBER(SEARCH("入",B1868)))),"Ambiguous",IF(ISNUMBER(SEARCH("平",B1868)),"平","仄")))</x:f>
        <x:v>仄</x:v>
      </x:c>
      <x:c r="K1868" s="6" t="str">
        <x:f>IF(D1868="","",IF(AND(ISNUMBER(SEARCH("平",D1868)),OR(ISNUMBER(SEARCH("上",D1868)),ISNUMBER(SEARCH("去",D1868)),ISNUMBER(SEARCH("入",D1868)))),"Ambiguous",IF(ISNUMBER(SEARCH("平",D1868)),"平","仄")))</x:f>
        <x:v>仄</x:v>
      </x:c>
      <x:c r="L1868" s="7" t="str"/>
    </x:row>
    <x:row r="1869">
      <x:c r="A1869" s="5" t="str">
        <x:v>柔</x:v>
      </x:c>
      <x:c r="B1869" s="6" t="str">
        <x:v>平</x:v>
      </x:c>
      <x:c r="C1869" s="6" t="str">
        <x:f>IF(B1869="","Needs decision","Ready")</x:f>
        <x:v>Ready</x:v>
      </x:c>
      <x:c r="D1869" s="6" t="str">
        <x:v>平</x:v>
      </x:c>
      <x:c r="E1869" s="6" t="str">
        <x:v>nyuw (A)</x:v>
      </x:c>
      <x:c r="F1869" s="6" t="str">
        <x:v>下平聲十一尤</x:v>
      </x:c>
      <x:c r="G1869" s="6" t="str">
        <x:v>Pingshui main list, Wikisource-derived DOCX</x:v>
      </x:c>
      <x:c r="H1869" s="6" t="str">
        <x:v>1</x:v>
      </x:c>
      <x:c r="I1869" s="6" t="str"/>
      <x:c r="J1869" s="6" t="str">
        <x:f>IF(B1869="","",IF(AND(ISNUMBER(SEARCH("平",B1869)),OR(ISNUMBER(SEARCH("上",B1869)),ISNUMBER(SEARCH("去",B1869)),ISNUMBER(SEARCH("入",B1869)))),"Ambiguous",IF(ISNUMBER(SEARCH("平",B1869)),"平","仄")))</x:f>
        <x:v>平</x:v>
      </x:c>
      <x:c r="K1869" s="6" t="str">
        <x:f>IF(D1869="","",IF(AND(ISNUMBER(SEARCH("平",D1869)),OR(ISNUMBER(SEARCH("上",D1869)),ISNUMBER(SEARCH("去",D1869)),ISNUMBER(SEARCH("入",D1869)))),"Ambiguous",IF(ISNUMBER(SEARCH("平",D1869)),"平","仄")))</x:f>
        <x:v>平</x:v>
      </x:c>
      <x:c r="L1869" s="7" t="str"/>
    </x:row>
    <x:row r="1870">
      <x:c r="A1870" s="5" t="str">
        <x:v>柘</x:v>
      </x:c>
      <x:c r="B1870" s="6" t="str">
        <x:v>去</x:v>
      </x:c>
      <x:c r="C1870" s="6" t="str">
        <x:f>IF(B1870="","Needs decision","Ready")</x:f>
        <x:v>Ready</x:v>
      </x:c>
      <x:c r="D1870" s="6" t="str">
        <x:v>去</x:v>
      </x:c>
      <x:c r="E1870" s="6" t="str">
        <x:v>tsyaeH (C)</x:v>
      </x:c>
      <x:c r="F1870" s="6" t="str">
        <x:v>去聲二十二禡</x:v>
      </x:c>
      <x:c r="G1870" s="6" t="str">
        <x:v>Pingshui main list, Wikisource-derived DOCX</x:v>
      </x:c>
      <x:c r="H1870" s="6" t="str">
        <x:v>1</x:v>
      </x:c>
      <x:c r="I1870" s="6" t="str"/>
      <x:c r="J1870" s="6" t="str">
        <x:f>IF(B1870="","",IF(AND(ISNUMBER(SEARCH("平",B1870)),OR(ISNUMBER(SEARCH("上",B1870)),ISNUMBER(SEARCH("去",B1870)),ISNUMBER(SEARCH("入",B1870)))),"Ambiguous",IF(ISNUMBER(SEARCH("平",B1870)),"平","仄")))</x:f>
        <x:v>仄</x:v>
      </x:c>
      <x:c r="K1870" s="6" t="str">
        <x:f>IF(D1870="","",IF(AND(ISNUMBER(SEARCH("平",D1870)),OR(ISNUMBER(SEARCH("上",D1870)),ISNUMBER(SEARCH("去",D1870)),ISNUMBER(SEARCH("入",D1870)))),"Ambiguous",IF(ISNUMBER(SEARCH("平",D1870)),"平","仄")))</x:f>
        <x:v>仄</x:v>
      </x:c>
      <x:c r="L1870" s="7" t="str"/>
    </x:row>
    <x:row r="1871">
      <x:c r="A1871" s="5" t="str">
        <x:v>柙</x:v>
      </x:c>
      <x:c r="B1871" s="6" t="str">
        <x:v>入</x:v>
      </x:c>
      <x:c r="C1871" s="6" t="str">
        <x:f>IF(B1871="","Needs decision","Ready")</x:f>
        <x:v>Ready</x:v>
      </x:c>
      <x:c r="D1871" s="6" t="str">
        <x:v>入</x:v>
      </x:c>
      <x:c r="E1871" s="6" t="str">
        <x:v>haep (D)</x:v>
      </x:c>
      <x:c r="F1871" s="6" t="str">
        <x:v>入聲十七洽</x:v>
      </x:c>
      <x:c r="G1871" s="6" t="str">
        <x:v>Pingshui main list, Wikisource-derived DOCX</x:v>
      </x:c>
      <x:c r="H1871" s="6" t="str">
        <x:v>1</x:v>
      </x:c>
      <x:c r="I1871" s="6" t="str"/>
      <x:c r="J1871" s="6" t="str">
        <x:f>IF(B1871="","",IF(AND(ISNUMBER(SEARCH("平",B1871)),OR(ISNUMBER(SEARCH("上",B1871)),ISNUMBER(SEARCH("去",B1871)),ISNUMBER(SEARCH("入",B1871)))),"Ambiguous",IF(ISNUMBER(SEARCH("平",B1871)),"平","仄")))</x:f>
        <x:v>仄</x:v>
      </x:c>
      <x:c r="K1871" s="6" t="str">
        <x:f>IF(D1871="","",IF(AND(ISNUMBER(SEARCH("平",D1871)),OR(ISNUMBER(SEARCH("上",D1871)),ISNUMBER(SEARCH("去",D1871)),ISNUMBER(SEARCH("入",D1871)))),"Ambiguous",IF(ISNUMBER(SEARCH("平",D1871)),"平","仄")))</x:f>
        <x:v>仄</x:v>
      </x:c>
      <x:c r="L1871" s="7" t="str"/>
    </x:row>
    <x:row r="1872">
      <x:c r="A1872" s="5" t="str">
        <x:v>柞</x:v>
      </x:c>
      <x:c r="B1872" s="6" t="str">
        <x:v>入</x:v>
      </x:c>
      <x:c r="C1872" s="6" t="str">
        <x:f>IF(B1872="","Needs decision","Ready")</x:f>
        <x:v>Ready</x:v>
      </x:c>
      <x:c r="D1872" s="6" t="str">
        <x:v>入</x:v>
      </x:c>
      <x:c r="E1872" s="6" t="str">
        <x:v>tsraek (D)</x:v>
      </x:c>
      <x:c r="F1872" s="6" t="str">
        <x:v>入聲十藥; 入聲十一陌</x:v>
      </x:c>
      <x:c r="G1872" s="6" t="str">
        <x:v>Pingshui main list, Wikisource-derived DOCX</x:v>
      </x:c>
      <x:c r="H1872" s="6" t="str">
        <x:v>1</x:v>
      </x:c>
      <x:c r="I1872" s="6" t="str"/>
      <x:c r="J1872" s="6" t="str">
        <x:f>IF(B1872="","",IF(AND(ISNUMBER(SEARCH("平",B1872)),OR(ISNUMBER(SEARCH("上",B1872)),ISNUMBER(SEARCH("去",B1872)),ISNUMBER(SEARCH("入",B1872)))),"Ambiguous",IF(ISNUMBER(SEARCH("平",B1872)),"平","仄")))</x:f>
        <x:v>仄</x:v>
      </x:c>
      <x:c r="K1872" s="6" t="str">
        <x:f>IF(D1872="","",IF(AND(ISNUMBER(SEARCH("平",D1872)),OR(ISNUMBER(SEARCH("上",D1872)),ISNUMBER(SEARCH("去",D1872)),ISNUMBER(SEARCH("入",D1872)))),"Ambiguous",IF(ISNUMBER(SEARCH("平",D1872)),"平","仄")))</x:f>
        <x:v>仄</x:v>
      </x:c>
      <x:c r="L1872" s="7" t="str"/>
    </x:row>
    <x:row r="1873">
      <x:c r="A1873" s="5" t="str">
        <x:v>柤</x:v>
      </x:c>
      <x:c r="B1873" s="6" t="str">
        <x:v>平</x:v>
      </x:c>
      <x:c r="C1873" s="6" t="str">
        <x:f>IF(B1873="","Needs decision","Ready")</x:f>
        <x:v>Ready</x:v>
      </x:c>
      <x:c r="D1873" s="6" t="str">
        <x:v>平</x:v>
      </x:c>
      <x:c r="E1873" s="6" t="str">
        <x:v>tsrae (A)</x:v>
      </x:c>
      <x:c r="F1873" s="6" t="str"/>
      <x:c r="G1873" s="6" t="str"/>
      <x:c r="H1873" s="6" t="str">
        <x:v>1</x:v>
      </x:c>
      <x:c r="I1873" s="6" t="str"/>
      <x:c r="J1873" s="6" t="str">
        <x:f>IF(B1873="","",IF(AND(ISNUMBER(SEARCH("平",B1873)),OR(ISNUMBER(SEARCH("上",B1873)),ISNUMBER(SEARCH("去",B1873)),ISNUMBER(SEARCH("入",B1873)))),"Ambiguous",IF(ISNUMBER(SEARCH("平",B1873)),"平","仄")))</x:f>
        <x:v>平</x:v>
      </x:c>
      <x:c r="K1873" s="6" t="str">
        <x:f>IF(D1873="","",IF(AND(ISNUMBER(SEARCH("平",D1873)),OR(ISNUMBER(SEARCH("上",D1873)),ISNUMBER(SEARCH("去",D1873)),ISNUMBER(SEARCH("入",D1873)))),"Ambiguous",IF(ISNUMBER(SEARCH("平",D1873)),"平","仄")))</x:f>
        <x:v>平</x:v>
      </x:c>
      <x:c r="L1873" s="7" t="str"/>
    </x:row>
    <x:row r="1874">
      <x:c r="A1874" s="5" t="str">
        <x:v>柩</x:v>
      </x:c>
      <x:c r="B1874" s="6" t="str">
        <x:v>去</x:v>
      </x:c>
      <x:c r="C1874" s="6" t="str">
        <x:f>IF(B1874="","Needs decision","Ready")</x:f>
        <x:v>Ready</x:v>
      </x:c>
      <x:c r="D1874" s="6" t="str">
        <x:v>去</x:v>
      </x:c>
      <x:c r="E1874" s="6" t="str">
        <x:v>gjuwH (C)</x:v>
      </x:c>
      <x:c r="F1874" s="6" t="str">
        <x:v>去聲二十六宥</x:v>
      </x:c>
      <x:c r="G1874" s="6" t="str">
        <x:v>Pingshui main list, Wikisource-derived DOCX</x:v>
      </x:c>
      <x:c r="H1874" s="6" t="str">
        <x:v>1</x:v>
      </x:c>
      <x:c r="I1874" s="6" t="str"/>
      <x:c r="J1874" s="6" t="str">
        <x:f>IF(B1874="","",IF(AND(ISNUMBER(SEARCH("平",B1874)),OR(ISNUMBER(SEARCH("上",B1874)),ISNUMBER(SEARCH("去",B1874)),ISNUMBER(SEARCH("入",B1874)))),"Ambiguous",IF(ISNUMBER(SEARCH("平",B1874)),"平","仄")))</x:f>
        <x:v>仄</x:v>
      </x:c>
      <x:c r="K1874" s="6" t="str">
        <x:f>IF(D1874="","",IF(AND(ISNUMBER(SEARCH("平",D1874)),OR(ISNUMBER(SEARCH("上",D1874)),ISNUMBER(SEARCH("去",D1874)),ISNUMBER(SEARCH("入",D1874)))),"Ambiguous",IF(ISNUMBER(SEARCH("平",D1874)),"平","仄")))</x:f>
        <x:v>仄</x:v>
      </x:c>
      <x:c r="L1874" s="7" t="str"/>
    </x:row>
    <x:row r="1875">
      <x:c r="A1875" s="5" t="str">
        <x:v>柬</x:v>
      </x:c>
      <x:c r="B1875" s="6" t="str">
        <x:v>上</x:v>
      </x:c>
      <x:c r="C1875" s="6" t="str">
        <x:f>IF(B1875="","Needs decision","Ready")</x:f>
        <x:v>Ready</x:v>
      </x:c>
      <x:c r="D1875" s="6" t="str">
        <x:v>上</x:v>
      </x:c>
      <x:c r="E1875" s="6" t="str">
        <x:v>keanX (B)</x:v>
      </x:c>
      <x:c r="F1875" s="6" t="str">
        <x:v>上聲十五潸; 去聲十七霰</x:v>
      </x:c>
      <x:c r="G1875" s="6" t="str">
        <x:v>Pingshui main list, Wikisource-derived DOCX</x:v>
      </x:c>
      <x:c r="H1875" s="6" t="str">
        <x:v>1</x:v>
      </x:c>
      <x:c r="I1875" s="6" t="str"/>
      <x:c r="J1875" s="6" t="str">
        <x:f>IF(B1875="","",IF(AND(ISNUMBER(SEARCH("平",B1875)),OR(ISNUMBER(SEARCH("上",B1875)),ISNUMBER(SEARCH("去",B1875)),ISNUMBER(SEARCH("入",B1875)))),"Ambiguous",IF(ISNUMBER(SEARCH("平",B1875)),"平","仄")))</x:f>
        <x:v>仄</x:v>
      </x:c>
      <x:c r="K1875" s="6" t="str">
        <x:f>IF(D1875="","",IF(AND(ISNUMBER(SEARCH("平",D1875)),OR(ISNUMBER(SEARCH("上",D1875)),ISNUMBER(SEARCH("去",D1875)),ISNUMBER(SEARCH("入",D1875)))),"Ambiguous",IF(ISNUMBER(SEARCH("平",D1875)),"平","仄")))</x:f>
        <x:v>仄</x:v>
      </x:c>
      <x:c r="L1875" s="7" t="str"/>
    </x:row>
    <x:row r="1876">
      <x:c r="A1876" s="5" t="str">
        <x:v>柯</x:v>
      </x:c>
      <x:c r="B1876" s="6" t="str">
        <x:v>平</x:v>
      </x:c>
      <x:c r="C1876" s="6" t="str">
        <x:f>IF(B1876="","Needs decision","Ready")</x:f>
        <x:v>Ready</x:v>
      </x:c>
      <x:c r="D1876" s="6" t="str">
        <x:v>平</x:v>
      </x:c>
      <x:c r="E1876" s="6" t="str">
        <x:v>ka (A)</x:v>
      </x:c>
      <x:c r="F1876" s="6" t="str">
        <x:v>下平聲五歌</x:v>
      </x:c>
      <x:c r="G1876" s="6" t="str">
        <x:v>Pingshui main list, Wikisource-derived DOCX</x:v>
      </x:c>
      <x:c r="H1876" s="6" t="str">
        <x:v>1</x:v>
      </x:c>
      <x:c r="I1876" s="6" t="str"/>
      <x:c r="J1876" s="6" t="str">
        <x:f>IF(B1876="","",IF(AND(ISNUMBER(SEARCH("平",B1876)),OR(ISNUMBER(SEARCH("上",B1876)),ISNUMBER(SEARCH("去",B1876)),ISNUMBER(SEARCH("入",B1876)))),"Ambiguous",IF(ISNUMBER(SEARCH("平",B1876)),"平","仄")))</x:f>
        <x:v>平</x:v>
      </x:c>
      <x:c r="K1876" s="6" t="str">
        <x:f>IF(D1876="","",IF(AND(ISNUMBER(SEARCH("平",D1876)),OR(ISNUMBER(SEARCH("上",D1876)),ISNUMBER(SEARCH("去",D1876)),ISNUMBER(SEARCH("入",D1876)))),"Ambiguous",IF(ISNUMBER(SEARCH("平",D1876)),"平","仄")))</x:f>
        <x:v>平</x:v>
      </x:c>
      <x:c r="L1876" s="7" t="str"/>
    </x:row>
    <x:row r="1877">
      <x:c r="A1877" s="5" t="str">
        <x:v>柱</x:v>
      </x:c>
      <x:c r="B1877" s="6" t="str">
        <x:v>上</x:v>
      </x:c>
      <x:c r="C1877" s="6" t="str">
        <x:f>IF(B1877="","Needs decision","Ready")</x:f>
        <x:v>Ready</x:v>
      </x:c>
      <x:c r="D1877" s="6" t="str">
        <x:v>上</x:v>
      </x:c>
      <x:c r="E1877" s="6" t="str">
        <x:v>drjuX (B)</x:v>
      </x:c>
      <x:c r="F1877" s="6" t="str">
        <x:v>上聲七麌</x:v>
      </x:c>
      <x:c r="G1877" s="6" t="str">
        <x:v>Pingshui main list, Wikisource-derived DOCX</x:v>
      </x:c>
      <x:c r="H1877" s="6" t="str">
        <x:v>1</x:v>
      </x:c>
      <x:c r="I1877" s="6" t="str"/>
      <x:c r="J1877" s="6" t="str">
        <x:f>IF(B1877="","",IF(AND(ISNUMBER(SEARCH("平",B1877)),OR(ISNUMBER(SEARCH("上",B1877)),ISNUMBER(SEARCH("去",B1877)),ISNUMBER(SEARCH("入",B1877)))),"Ambiguous",IF(ISNUMBER(SEARCH("平",B1877)),"平","仄")))</x:f>
        <x:v>仄</x:v>
      </x:c>
      <x:c r="K1877" s="6" t="str">
        <x:f>IF(D1877="","",IF(AND(ISNUMBER(SEARCH("平",D1877)),OR(ISNUMBER(SEARCH("上",D1877)),ISNUMBER(SEARCH("去",D1877)),ISNUMBER(SEARCH("入",D1877)))),"Ambiguous",IF(ISNUMBER(SEARCH("平",D1877)),"平","仄")))</x:f>
        <x:v>仄</x:v>
      </x:c>
      <x:c r="L1877" s="7" t="str"/>
    </x:row>
    <x:row r="1878">
      <x:c r="A1878" s="5" t="str">
        <x:v>柲</x:v>
      </x:c>
      <x:c r="B1878" s="6" t="str">
        <x:v>入</x:v>
      </x:c>
      <x:c r="C1878" s="6" t="str">
        <x:f>IF(B1878="","Needs decision","Ready")</x:f>
        <x:v>Ready</x:v>
      </x:c>
      <x:c r="D1878" s="6" t="str">
        <x:v>入</x:v>
      </x:c>
      <x:c r="E1878" s="6" t="str">
        <x:v>pit (D)</x:v>
      </x:c>
      <x:c r="F1878" s="6" t="str">
        <x:v>去聲四寘</x:v>
      </x:c>
      <x:c r="G1878" s="6" t="str">
        <x:v>Pingshui main list, Wikisource-derived DOCX</x:v>
      </x:c>
      <x:c r="H1878" s="6" t="str">
        <x:v>1</x:v>
      </x:c>
      <x:c r="I1878" s="6" t="str"/>
      <x:c r="J1878" s="6" t="str">
        <x:f>IF(B1878="","",IF(AND(ISNUMBER(SEARCH("平",B1878)),OR(ISNUMBER(SEARCH("上",B1878)),ISNUMBER(SEARCH("去",B1878)),ISNUMBER(SEARCH("入",B1878)))),"Ambiguous",IF(ISNUMBER(SEARCH("平",B1878)),"平","仄")))</x:f>
        <x:v>仄</x:v>
      </x:c>
      <x:c r="K1878" s="6" t="str">
        <x:f>IF(D1878="","",IF(AND(ISNUMBER(SEARCH("平",D1878)),OR(ISNUMBER(SEARCH("上",D1878)),ISNUMBER(SEARCH("去",D1878)),ISNUMBER(SEARCH("入",D1878)))),"Ambiguous",IF(ISNUMBER(SEARCH("平",D1878)),"平","仄")))</x:f>
        <x:v>仄</x:v>
      </x:c>
      <x:c r="L1878" s="7" t="str"/>
    </x:row>
    <x:row r="1879">
      <x:c r="A1879" s="5" t="str">
        <x:v>柳</x:v>
      </x:c>
      <x:c r="B1879" s="6" t="str">
        <x:v>上</x:v>
      </x:c>
      <x:c r="C1879" s="6" t="str">
        <x:f>IF(B1879="","Needs decision","Ready")</x:f>
        <x:v>Ready</x:v>
      </x:c>
      <x:c r="D1879" s="6" t="str">
        <x:v>上</x:v>
      </x:c>
      <x:c r="E1879" s="6" t="str">
        <x:v>ljuwX (B)</x:v>
      </x:c>
      <x:c r="F1879" s="6" t="str">
        <x:v>上聲二十五有</x:v>
      </x:c>
      <x:c r="G1879" s="6" t="str">
        <x:v>Pingshui main list, Wikisource-derived DOCX</x:v>
      </x:c>
      <x:c r="H1879" s="6" t="str">
        <x:v>1</x:v>
      </x:c>
      <x:c r="I1879" s="6" t="str"/>
      <x:c r="J1879" s="6" t="str">
        <x:f>IF(B1879="","",IF(AND(ISNUMBER(SEARCH("平",B1879)),OR(ISNUMBER(SEARCH("上",B1879)),ISNUMBER(SEARCH("去",B1879)),ISNUMBER(SEARCH("入",B1879)))),"Ambiguous",IF(ISNUMBER(SEARCH("平",B1879)),"平","仄")))</x:f>
        <x:v>仄</x:v>
      </x:c>
      <x:c r="K1879" s="6" t="str">
        <x:f>IF(D1879="","",IF(AND(ISNUMBER(SEARCH("平",D1879)),OR(ISNUMBER(SEARCH("上",D1879)),ISNUMBER(SEARCH("去",D1879)),ISNUMBER(SEARCH("入",D1879)))),"Ambiguous",IF(ISNUMBER(SEARCH("平",D1879)),"平","仄")))</x:f>
        <x:v>仄</x:v>
      </x:c>
      <x:c r="L1879" s="7" t="str"/>
    </x:row>
    <x:row r="1880">
      <x:c r="A1880" s="5" t="str">
        <x:v>柴</x:v>
      </x:c>
      <x:c r="B1880" s="6" t="str">
        <x:v>平</x:v>
      </x:c>
      <x:c r="C1880" s="6" t="str">
        <x:f>IF(B1880="","Needs decision","Ready")</x:f>
        <x:v>Ready</x:v>
      </x:c>
      <x:c r="D1880" s="6" t="str">
        <x:v>平</x:v>
      </x:c>
      <x:c r="E1880" s="6" t="str">
        <x:v>dzrea (A)</x:v>
      </x:c>
      <x:c r="F1880" s="6" t="str">
        <x:v>上平聲九佳; 去聲四寘</x:v>
      </x:c>
      <x:c r="G1880" s="6" t="str">
        <x:v>Pingshui main list, Wikisource-derived DOCX</x:v>
      </x:c>
      <x:c r="H1880" s="6" t="str">
        <x:v>1</x:v>
      </x:c>
      <x:c r="I1880" s="6" t="str"/>
      <x:c r="J1880" s="6" t="str">
        <x:f>IF(B1880="","",IF(AND(ISNUMBER(SEARCH("平",B1880)),OR(ISNUMBER(SEARCH("上",B1880)),ISNUMBER(SEARCH("去",B1880)),ISNUMBER(SEARCH("入",B1880)))),"Ambiguous",IF(ISNUMBER(SEARCH("平",B1880)),"平","仄")))</x:f>
        <x:v>平</x:v>
      </x:c>
      <x:c r="K1880" s="6" t="str">
        <x:f>IF(D1880="","",IF(AND(ISNUMBER(SEARCH("平",D1880)),OR(ISNUMBER(SEARCH("上",D1880)),ISNUMBER(SEARCH("去",D1880)),ISNUMBER(SEARCH("入",D1880)))),"Ambiguous",IF(ISNUMBER(SEARCH("平",D1880)),"平","仄")))</x:f>
        <x:v>平</x:v>
      </x:c>
      <x:c r="L1880" s="7" t="str"/>
    </x:row>
    <x:row r="1881">
      <x:c r="A1881" s="5" t="str">
        <x:v>柿</x:v>
      </x:c>
      <x:c r="B1881" s="6" t="str">
        <x:v>上</x:v>
      </x:c>
      <x:c r="C1881" s="6" t="str">
        <x:f>IF(B1881="","Needs decision","Ready")</x:f>
        <x:v>Ready</x:v>
      </x:c>
      <x:c r="D1881" s="6" t="str">
        <x:v>上</x:v>
      </x:c>
      <x:c r="E1881" s="6" t="str">
        <x:v>dzrijX (B)</x:v>
      </x:c>
      <x:c r="F1881" s="6" t="str">
        <x:v>去聲十一隊</x:v>
      </x:c>
      <x:c r="G1881" s="6" t="str">
        <x:v>Pingshui main list, Wikisource-derived DOCX</x:v>
      </x:c>
      <x:c r="H1881" s="6" t="str">
        <x:v>1</x:v>
      </x:c>
      <x:c r="I1881" s="6" t="str"/>
      <x:c r="J1881" s="6" t="str">
        <x:f>IF(B1881="","",IF(AND(ISNUMBER(SEARCH("平",B1881)),OR(ISNUMBER(SEARCH("上",B1881)),ISNUMBER(SEARCH("去",B1881)),ISNUMBER(SEARCH("入",B1881)))),"Ambiguous",IF(ISNUMBER(SEARCH("平",B1881)),"平","仄")))</x:f>
        <x:v>仄</x:v>
      </x:c>
      <x:c r="K1881" s="6" t="str">
        <x:f>IF(D1881="","",IF(AND(ISNUMBER(SEARCH("平",D1881)),OR(ISNUMBER(SEARCH("上",D1881)),ISNUMBER(SEARCH("去",D1881)),ISNUMBER(SEARCH("入",D1881)))),"Ambiguous",IF(ISNUMBER(SEARCH("平",D1881)),"平","仄")))</x:f>
        <x:v>仄</x:v>
      </x:c>
      <x:c r="L1881" s="7" t="str"/>
    </x:row>
    <x:row r="1882">
      <x:c r="A1882" s="5" t="str">
        <x:v>栅</x:v>
      </x:c>
      <x:c r="B1882" s="6" t="str">
        <x:v>入</x:v>
      </x:c>
      <x:c r="C1882" s="6" t="str">
        <x:f>IF(B1882="","Needs decision","Ready")</x:f>
        <x:v>Ready</x:v>
      </x:c>
      <x:c r="D1882" s="6" t="str">
        <x:v>入</x:v>
      </x:c>
      <x:c r="E1882" s="6" t="str">
        <x:v>tsrheak (D)</x:v>
      </x:c>
      <x:c r="F1882" s="6" t="str"/>
      <x:c r="G1882" s="6" t="str"/>
      <x:c r="H1882" s="6" t="str">
        <x:v>1</x:v>
      </x:c>
      <x:c r="I1882" s="6" t="str"/>
      <x:c r="J1882" s="6" t="str">
        <x:f>IF(B1882="","",IF(AND(ISNUMBER(SEARCH("平",B1882)),OR(ISNUMBER(SEARCH("上",B1882)),ISNUMBER(SEARCH("去",B1882)),ISNUMBER(SEARCH("入",B1882)))),"Ambiguous",IF(ISNUMBER(SEARCH("平",B1882)),"平","仄")))</x:f>
        <x:v>仄</x:v>
      </x:c>
      <x:c r="K1882" s="6" t="str">
        <x:f>IF(D1882="","",IF(AND(ISNUMBER(SEARCH("平",D1882)),OR(ISNUMBER(SEARCH("上",D1882)),ISNUMBER(SEARCH("去",D1882)),ISNUMBER(SEARCH("入",D1882)))),"Ambiguous",IF(ISNUMBER(SEARCH("平",D1882)),"平","仄")))</x:f>
        <x:v>仄</x:v>
      </x:c>
      <x:c r="L1882" s="7" t="str"/>
    </x:row>
    <x:row r="1883">
      <x:c r="A1883" s="5" t="str">
        <x:v>栖</x:v>
      </x:c>
      <x:c r="B1883" s="6" t="str">
        <x:v>平</x:v>
      </x:c>
      <x:c r="C1883" s="6" t="str">
        <x:f>IF(B1883="","Needs decision","Ready")</x:f>
        <x:v>Ready</x:v>
      </x:c>
      <x:c r="D1883" s="6" t="str">
        <x:v>平</x:v>
      </x:c>
      <x:c r="E1883" s="6" t="str">
        <x:v>sej (A)</x:v>
      </x:c>
      <x:c r="F1883" s="6" t="str"/>
      <x:c r="G1883" s="6" t="str"/>
      <x:c r="H1883" s="6" t="str">
        <x:v>1</x:v>
      </x:c>
      <x:c r="I1883" s="6" t="str"/>
      <x:c r="J1883" s="6" t="str">
        <x:f>IF(B1883="","",IF(AND(ISNUMBER(SEARCH("平",B1883)),OR(ISNUMBER(SEARCH("上",B1883)),ISNUMBER(SEARCH("去",B1883)),ISNUMBER(SEARCH("入",B1883)))),"Ambiguous",IF(ISNUMBER(SEARCH("平",B1883)),"平","仄")))</x:f>
        <x:v>平</x:v>
      </x:c>
      <x:c r="K1883" s="6" t="str">
        <x:f>IF(D1883="","",IF(AND(ISNUMBER(SEARCH("平",D1883)),OR(ISNUMBER(SEARCH("上",D1883)),ISNUMBER(SEARCH("去",D1883)),ISNUMBER(SEARCH("入",D1883)))),"Ambiguous",IF(ISNUMBER(SEARCH("平",D1883)),"平","仄")))</x:f>
        <x:v>平</x:v>
      </x:c>
      <x:c r="L1883" s="7" t="str"/>
    </x:row>
    <x:row r="1884">
      <x:c r="A1884" s="5" t="str">
        <x:v>栗</x:v>
      </x:c>
      <x:c r="B1884" s="6" t="str">
        <x:v>入</x:v>
      </x:c>
      <x:c r="C1884" s="6" t="str">
        <x:f>IF(B1884="","Needs decision","Ready")</x:f>
        <x:v>Ready</x:v>
      </x:c>
      <x:c r="D1884" s="6" t="str">
        <x:v>入</x:v>
      </x:c>
      <x:c r="E1884" s="6" t="str">
        <x:v>lit (D)</x:v>
      </x:c>
      <x:c r="F1884" s="6" t="str">
        <x:v>入聲四質</x:v>
      </x:c>
      <x:c r="G1884" s="6" t="str">
        <x:v>Pingshui main list, Wikisource-derived DOCX</x:v>
      </x:c>
      <x:c r="H1884" s="6" t="str">
        <x:v>1</x:v>
      </x:c>
      <x:c r="I1884" s="6" t="str"/>
      <x:c r="J1884" s="6" t="str">
        <x:f>IF(B1884="","",IF(AND(ISNUMBER(SEARCH("平",B1884)),OR(ISNUMBER(SEARCH("上",B1884)),ISNUMBER(SEARCH("去",B1884)),ISNUMBER(SEARCH("入",B1884)))),"Ambiguous",IF(ISNUMBER(SEARCH("平",B1884)),"平","仄")))</x:f>
        <x:v>仄</x:v>
      </x:c>
      <x:c r="K1884" s="6" t="str">
        <x:f>IF(D1884="","",IF(AND(ISNUMBER(SEARCH("平",D1884)),OR(ISNUMBER(SEARCH("上",D1884)),ISNUMBER(SEARCH("去",D1884)),ISNUMBER(SEARCH("入",D1884)))),"Ambiguous",IF(ISNUMBER(SEARCH("平",D1884)),"平","仄")))</x:f>
        <x:v>仄</x:v>
      </x:c>
      <x:c r="L1884" s="7" t="str"/>
    </x:row>
    <x:row r="1885">
      <x:c r="A1885" s="5" t="str">
        <x:v>校</x:v>
      </x:c>
      <x:c r="B1885" s="6" t="str">
        <x:v>去</x:v>
      </x:c>
      <x:c r="C1885" s="6" t="str">
        <x:f>IF(B1885="","Needs decision","Ready")</x:f>
        <x:v>Ready</x:v>
      </x:c>
      <x:c r="D1885" s="6" t="str">
        <x:v>去</x:v>
      </x:c>
      <x:c r="E1885" s="6" t="str">
        <x:v>haewH [ʁaˤwh] (去); kaewH [qaˤwh] (去)</x:v>
      </x:c>
      <x:c r="F1885" s="6" t="str">
        <x:v>去聲十九效</x:v>
      </x:c>
      <x:c r="G1885" s="6" t="str">
        <x:v>Pingshui main list, Wikisource-derived DOCX</x:v>
      </x:c>
      <x:c r="H1885" s="6" t="str">
        <x:v>2</x:v>
      </x:c>
      <x:c r="I1885" s="6" t="str">
        <x:v>Tang 300 gap; frequency 1; provisional from Xun Gong</x:v>
      </x:c>
      <x:c r="J1885" s="6" t="str">
        <x:f>IF(B1885="","",IF(AND(ISNUMBER(SEARCH("平",B1885)),OR(ISNUMBER(SEARCH("上",B1885)),ISNUMBER(SEARCH("去",B1885)),ISNUMBER(SEARCH("入",B1885)))),"Ambiguous",IF(ISNUMBER(SEARCH("平",B1885)),"平","仄")))</x:f>
        <x:v>仄</x:v>
      </x:c>
      <x:c r="K1885" s="6" t="str">
        <x:f>IF(D1885="","",IF(AND(ISNUMBER(SEARCH("平",D1885)),OR(ISNUMBER(SEARCH("上",D1885)),ISNUMBER(SEARCH("去",D1885)),ISNUMBER(SEARCH("入",D1885)))),"Ambiguous",IF(ISNUMBER(SEARCH("平",D1885)),"平","仄")))</x:f>
        <x:v>仄</x:v>
      </x:c>
      <x:c r="L1885" s="7" t="str">
        <x:v>Xun Gong, Tang 300 gap fill</x:v>
      </x:c>
    </x:row>
    <x:row r="1886">
      <x:c r="A1886" s="5" t="str">
        <x:v>株</x:v>
      </x:c>
      <x:c r="B1886" s="6" t="str">
        <x:v>平</x:v>
      </x:c>
      <x:c r="C1886" s="6" t="str">
        <x:f>IF(B1886="","Needs decision","Ready")</x:f>
        <x:v>Ready</x:v>
      </x:c>
      <x:c r="D1886" s="6" t="str">
        <x:v>平</x:v>
      </x:c>
      <x:c r="E1886" s="6" t="str">
        <x:v>trju (A)</x:v>
      </x:c>
      <x:c r="F1886" s="6" t="str">
        <x:v>上平聲七虞</x:v>
      </x:c>
      <x:c r="G1886" s="6" t="str">
        <x:v>Pingshui main list, Wikisource-derived DOCX</x:v>
      </x:c>
      <x:c r="H1886" s="6" t="str">
        <x:v>1</x:v>
      </x:c>
      <x:c r="I1886" s="6" t="str"/>
      <x:c r="J1886" s="6" t="str">
        <x:f>IF(B1886="","",IF(AND(ISNUMBER(SEARCH("平",B1886)),OR(ISNUMBER(SEARCH("上",B1886)),ISNUMBER(SEARCH("去",B1886)),ISNUMBER(SEARCH("入",B1886)))),"Ambiguous",IF(ISNUMBER(SEARCH("平",B1886)),"平","仄")))</x:f>
        <x:v>平</x:v>
      </x:c>
      <x:c r="K1886" s="6" t="str">
        <x:f>IF(D1886="","",IF(AND(ISNUMBER(SEARCH("平",D1886)),OR(ISNUMBER(SEARCH("上",D1886)),ISNUMBER(SEARCH("去",D1886)),ISNUMBER(SEARCH("入",D1886)))),"Ambiguous",IF(ISNUMBER(SEARCH("平",D1886)),"平","仄")))</x:f>
        <x:v>平</x:v>
      </x:c>
      <x:c r="L1886" s="7" t="str"/>
    </x:row>
    <x:row r="1887">
      <x:c r="A1887" s="5" t="str">
        <x:v>栫</x:v>
      </x:c>
      <x:c r="B1887" s="6" t="str">
        <x:v>去</x:v>
      </x:c>
      <x:c r="C1887" s="6" t="str">
        <x:f>IF(B1887="","Needs decision","Ready")</x:f>
        <x:v>Ready</x:v>
      </x:c>
      <x:c r="D1887" s="6" t="str">
        <x:v>去</x:v>
      </x:c>
      <x:c r="E1887" s="6" t="str">
        <x:v>dzenH (C)</x:v>
      </x:c>
      <x:c r="F1887" s="6" t="str">
        <x:v>去聲十七霰</x:v>
      </x:c>
      <x:c r="G1887" s="6" t="str">
        <x:v>Pingshui main list, Wikisource-derived DOCX</x:v>
      </x:c>
      <x:c r="H1887" s="6" t="str">
        <x:v>1</x:v>
      </x:c>
      <x:c r="I1887" s="6" t="str"/>
      <x:c r="J1887" s="6" t="str">
        <x:f>IF(B1887="","",IF(AND(ISNUMBER(SEARCH("平",B1887)),OR(ISNUMBER(SEARCH("上",B1887)),ISNUMBER(SEARCH("去",B1887)),ISNUMBER(SEARCH("入",B1887)))),"Ambiguous",IF(ISNUMBER(SEARCH("平",B1887)),"平","仄")))</x:f>
        <x:v>仄</x:v>
      </x:c>
      <x:c r="K1887" s="6" t="str">
        <x:f>IF(D1887="","",IF(AND(ISNUMBER(SEARCH("平",D1887)),OR(ISNUMBER(SEARCH("上",D1887)),ISNUMBER(SEARCH("去",D1887)),ISNUMBER(SEARCH("入",D1887)))),"Ambiguous",IF(ISNUMBER(SEARCH("平",D1887)),"平","仄")))</x:f>
        <x:v>仄</x:v>
      </x:c>
      <x:c r="L1887" s="7" t="str"/>
    </x:row>
    <x:row r="1888">
      <x:c r="A1888" s="5" t="str">
        <x:v>核</x:v>
      </x:c>
      <x:c r="B1888" s="6" t="str">
        <x:v>入</x:v>
      </x:c>
      <x:c r="C1888" s="6" t="str">
        <x:f>IF(B1888="","Needs decision","Ready")</x:f>
        <x:v>Ready</x:v>
      </x:c>
      <x:c r="D1888" s="6" t="str">
        <x:v>入</x:v>
      </x:c>
      <x:c r="E1888" s="6" t="str">
        <x:v>heak (D)</x:v>
      </x:c>
      <x:c r="F1888" s="6" t="str">
        <x:v>入聲六月; 入聲十一陌</x:v>
      </x:c>
      <x:c r="G1888" s="6" t="str">
        <x:v>Pingshui main list, Wikisource-derived DOCX</x:v>
      </x:c>
      <x:c r="H1888" s="6" t="str">
        <x:v>1</x:v>
      </x:c>
      <x:c r="I1888" s="6" t="str"/>
      <x:c r="J1888" s="6" t="str">
        <x:f>IF(B1888="","",IF(AND(ISNUMBER(SEARCH("平",B1888)),OR(ISNUMBER(SEARCH("上",B1888)),ISNUMBER(SEARCH("去",B1888)),ISNUMBER(SEARCH("入",B1888)))),"Ambiguous",IF(ISNUMBER(SEARCH("平",B1888)),"平","仄")))</x:f>
        <x:v>仄</x:v>
      </x:c>
      <x:c r="K1888" s="6" t="str">
        <x:f>IF(D1888="","",IF(AND(ISNUMBER(SEARCH("平",D1888)),OR(ISNUMBER(SEARCH("上",D1888)),ISNUMBER(SEARCH("去",D1888)),ISNUMBER(SEARCH("入",D1888)))),"Ambiguous",IF(ISNUMBER(SEARCH("平",D1888)),"平","仄")))</x:f>
        <x:v>仄</x:v>
      </x:c>
      <x:c r="L1888" s="7" t="str"/>
    </x:row>
    <x:row r="1889">
      <x:c r="A1889" s="5" t="str">
        <x:v>根</x:v>
      </x:c>
      <x:c r="B1889" s="6" t="str">
        <x:v>平</x:v>
      </x:c>
      <x:c r="C1889" s="6" t="str">
        <x:f>IF(B1889="","Needs decision","Ready")</x:f>
        <x:v>Ready</x:v>
      </x:c>
      <x:c r="D1889" s="6" t="str">
        <x:v>平</x:v>
      </x:c>
      <x:c r="E1889" s="6" t="str">
        <x:v>kon (A)</x:v>
      </x:c>
      <x:c r="F1889" s="6" t="str">
        <x:v>上平聲十三元</x:v>
      </x:c>
      <x:c r="G1889" s="6" t="str">
        <x:v>Pingshui main list, Wikisource-derived DOCX</x:v>
      </x:c>
      <x:c r="H1889" s="6" t="str">
        <x:v>1</x:v>
      </x:c>
      <x:c r="I1889" s="6" t="str"/>
      <x:c r="J1889" s="6" t="str">
        <x:f>IF(B1889="","",IF(AND(ISNUMBER(SEARCH("平",B1889)),OR(ISNUMBER(SEARCH("上",B1889)),ISNUMBER(SEARCH("去",B1889)),ISNUMBER(SEARCH("入",B1889)))),"Ambiguous",IF(ISNUMBER(SEARCH("平",B1889)),"平","仄")))</x:f>
        <x:v>平</x:v>
      </x:c>
      <x:c r="K1889" s="6" t="str">
        <x:f>IF(D1889="","",IF(AND(ISNUMBER(SEARCH("平",D1889)),OR(ISNUMBER(SEARCH("上",D1889)),ISNUMBER(SEARCH("去",D1889)),ISNUMBER(SEARCH("入",D1889)))),"Ambiguous",IF(ISNUMBER(SEARCH("平",D1889)),"平","仄")))</x:f>
        <x:v>平</x:v>
      </x:c>
      <x:c r="L1889" s="7" t="str"/>
    </x:row>
    <x:row r="1890">
      <x:c r="A1890" s="5" t="str">
        <x:v>格</x:v>
      </x:c>
      <x:c r="B1890" s="6" t="str">
        <x:v>入</x:v>
      </x:c>
      <x:c r="C1890" s="6" t="str">
        <x:f>IF(B1890="","Needs decision","Ready")</x:f>
        <x:v>Ready</x:v>
      </x:c>
      <x:c r="D1890" s="6" t="str">
        <x:v>入</x:v>
      </x:c>
      <x:c r="E1890" s="6" t="str">
        <x:v>kaek (D)</x:v>
      </x:c>
      <x:c r="F1890" s="6" t="str">
        <x:v>入聲十藥; 入聲十一陌</x:v>
      </x:c>
      <x:c r="G1890" s="6" t="str">
        <x:v>Pingshui main list, Wikisource-derived DOCX</x:v>
      </x:c>
      <x:c r="H1890" s="6" t="str">
        <x:v>1</x:v>
      </x:c>
      <x:c r="I1890" s="6" t="str"/>
      <x:c r="J1890" s="6" t="str">
        <x:f>IF(B1890="","",IF(AND(ISNUMBER(SEARCH("平",B1890)),OR(ISNUMBER(SEARCH("上",B1890)),ISNUMBER(SEARCH("去",B1890)),ISNUMBER(SEARCH("入",B1890)))),"Ambiguous",IF(ISNUMBER(SEARCH("平",B1890)),"平","仄")))</x:f>
        <x:v>仄</x:v>
      </x:c>
      <x:c r="K1890" s="6" t="str">
        <x:f>IF(D1890="","",IF(AND(ISNUMBER(SEARCH("平",D1890)),OR(ISNUMBER(SEARCH("上",D1890)),ISNUMBER(SEARCH("去",D1890)),ISNUMBER(SEARCH("入",D1890)))),"Ambiguous",IF(ISNUMBER(SEARCH("平",D1890)),"平","仄")))</x:f>
        <x:v>仄</x:v>
      </x:c>
      <x:c r="L1890" s="7" t="str"/>
    </x:row>
    <x:row r="1891">
      <x:c r="A1891" s="5" t="str">
        <x:v>栽</x:v>
      </x:c>
      <x:c r="B1891" s="6" t="str">
        <x:v>平</x:v>
      </x:c>
      <x:c r="C1891" s="6" t="str">
        <x:f>IF(B1891="","Needs decision","Ready")</x:f>
        <x:v>Ready</x:v>
      </x:c>
      <x:c r="D1891" s="6" t="str">
        <x:v>平</x:v>
      </x:c>
      <x:c r="E1891" s="6" t="str">
        <x:v>tsoj (A)</x:v>
      </x:c>
      <x:c r="F1891" s="6" t="str">
        <x:v>上平聲十灰; 去聲十一隊</x:v>
      </x:c>
      <x:c r="G1891" s="6" t="str">
        <x:v>Pingshui main list, Wikisource-derived DOCX</x:v>
      </x:c>
      <x:c r="H1891" s="6" t="str">
        <x:v>1</x:v>
      </x:c>
      <x:c r="I1891" s="6" t="str"/>
      <x:c r="J1891" s="6" t="str">
        <x:f>IF(B1891="","",IF(AND(ISNUMBER(SEARCH("平",B1891)),OR(ISNUMBER(SEARCH("上",B1891)),ISNUMBER(SEARCH("去",B1891)),ISNUMBER(SEARCH("入",B1891)))),"Ambiguous",IF(ISNUMBER(SEARCH("平",B1891)),"平","仄")))</x:f>
        <x:v>平</x:v>
      </x:c>
      <x:c r="K1891" s="6" t="str">
        <x:f>IF(D1891="","",IF(AND(ISNUMBER(SEARCH("平",D1891)),OR(ISNUMBER(SEARCH("上",D1891)),ISNUMBER(SEARCH("去",D1891)),ISNUMBER(SEARCH("入",D1891)))),"Ambiguous",IF(ISNUMBER(SEARCH("平",D1891)),"平","仄")))</x:f>
        <x:v>平</x:v>
      </x:c>
      <x:c r="L1891" s="7" t="str"/>
    </x:row>
    <x:row r="1892">
      <x:c r="A1892" s="5" t="str">
        <x:v>桀</x:v>
      </x:c>
      <x:c r="B1892" s="6" t="str">
        <x:v>入</x:v>
      </x:c>
      <x:c r="C1892" s="6" t="str">
        <x:f>IF(B1892="","Needs decision","Ready")</x:f>
        <x:v>Ready</x:v>
      </x:c>
      <x:c r="D1892" s="6" t="str">
        <x:v>入</x:v>
      </x:c>
      <x:c r="E1892" s="6" t="str">
        <x:v>gjet (D); kjet (D)</x:v>
      </x:c>
      <x:c r="F1892" s="6" t="str">
        <x:v>入聲九屑</x:v>
      </x:c>
      <x:c r="G1892" s="6" t="str">
        <x:v>Pingshui main list, Wikisource-derived DOCX</x:v>
      </x:c>
      <x:c r="H1892" s="6" t="str">
        <x:v>2</x:v>
      </x:c>
      <x:c r="I1892" s="6" t="str"/>
      <x:c r="J1892" s="6" t="str">
        <x:f>IF(B1892="","",IF(AND(ISNUMBER(SEARCH("平",B1892)),OR(ISNUMBER(SEARCH("上",B1892)),ISNUMBER(SEARCH("去",B1892)),ISNUMBER(SEARCH("入",B1892)))),"Ambiguous",IF(ISNUMBER(SEARCH("平",B1892)),"平","仄")))</x:f>
        <x:v>仄</x:v>
      </x:c>
      <x:c r="K1892" s="6" t="str">
        <x:f>IF(D1892="","",IF(AND(ISNUMBER(SEARCH("平",D1892)),OR(ISNUMBER(SEARCH("上",D1892)),ISNUMBER(SEARCH("去",D1892)),ISNUMBER(SEARCH("入",D1892)))),"Ambiguous",IF(ISNUMBER(SEARCH("平",D1892)),"平","仄")))</x:f>
        <x:v>仄</x:v>
      </x:c>
      <x:c r="L1892" s="7" t="str"/>
    </x:row>
    <x:row r="1893">
      <x:c r="A1893" s="5" t="str">
        <x:v>桁</x:v>
      </x:c>
      <x:c r="B1893" s="6" t="str">
        <x:v>平</x:v>
      </x:c>
      <x:c r="C1893" s="6" t="str">
        <x:f>IF(B1893="","Needs decision","Ready")</x:f>
        <x:v>Ready</x:v>
      </x:c>
      <x:c r="D1893" s="6" t="str">
        <x:v>平</x:v>
      </x:c>
      <x:c r="E1893" s="6" t="str">
        <x:v>haeng (A)</x:v>
      </x:c>
      <x:c r="F1893" s="6" t="str">
        <x:v>下平聲七陽; 下平聲八庚; 去聲二十三漾</x:v>
      </x:c>
      <x:c r="G1893" s="6" t="str">
        <x:v>Pingshui main list, Wikisource-derived DOCX</x:v>
      </x:c>
      <x:c r="H1893" s="6" t="str">
        <x:v>1</x:v>
      </x:c>
      <x:c r="I1893" s="6" t="str"/>
      <x:c r="J1893" s="6" t="str">
        <x:f>IF(B1893="","",IF(AND(ISNUMBER(SEARCH("平",B1893)),OR(ISNUMBER(SEARCH("上",B1893)),ISNUMBER(SEARCH("去",B1893)),ISNUMBER(SEARCH("入",B1893)))),"Ambiguous",IF(ISNUMBER(SEARCH("平",B1893)),"平","仄")))</x:f>
        <x:v>平</x:v>
      </x:c>
      <x:c r="K1893" s="6" t="str">
        <x:f>IF(D1893="","",IF(AND(ISNUMBER(SEARCH("平",D1893)),OR(ISNUMBER(SEARCH("上",D1893)),ISNUMBER(SEARCH("去",D1893)),ISNUMBER(SEARCH("入",D1893)))),"Ambiguous",IF(ISNUMBER(SEARCH("平",D1893)),"平","仄")))</x:f>
        <x:v>平</x:v>
      </x:c>
      <x:c r="L1893" s="7" t="str"/>
    </x:row>
    <x:row r="1894">
      <x:c r="A1894" s="5" t="str">
        <x:v>桂</x:v>
      </x:c>
      <x:c r="B1894" s="6" t="str">
        <x:v>去</x:v>
      </x:c>
      <x:c r="C1894" s="6" t="str">
        <x:f>IF(B1894="","Needs decision","Ready")</x:f>
        <x:v>Ready</x:v>
      </x:c>
      <x:c r="D1894" s="6" t="str">
        <x:v>去</x:v>
      </x:c>
      <x:c r="E1894" s="6" t="str"/>
      <x:c r="F1894" s="6" t="str">
        <x:v>去聲八霽</x:v>
      </x:c>
      <x:c r="G1894" s="6" t="str">
        <x:v>Pingshui main list, Wikisource-derived DOCX</x:v>
      </x:c>
      <x:c r="H1894" s="6" t="str"/>
      <x:c r="I1894" s="6" t="str">
        <x:v>Manual user correction/addition</x:v>
      </x:c>
      <x:c r="J1894" s="6" t="str">
        <x:f>IF(B1894="","",IF(AND(ISNUMBER(SEARCH("平",B1894)),OR(ISNUMBER(SEARCH("上",B1894)),ISNUMBER(SEARCH("去",B1894)),ISNUMBER(SEARCH("入",B1894)))),"Ambiguous",IF(ISNUMBER(SEARCH("平",B1894)),"平","仄")))</x:f>
        <x:v>仄</x:v>
      </x:c>
      <x:c r="K1894" s="6" t="str">
        <x:f>IF(D1894="","",IF(AND(ISNUMBER(SEARCH("平",D1894)),OR(ISNUMBER(SEARCH("上",D1894)),ISNUMBER(SEARCH("去",D1894)),ISNUMBER(SEARCH("入",D1894)))),"Ambiguous",IF(ISNUMBER(SEARCH("平",D1894)),"平","仄")))</x:f>
        <x:v>仄</x:v>
      </x:c>
      <x:c r="L1894" s="7" t="str">
        <x:v>manual user correction</x:v>
      </x:c>
    </x:row>
    <x:row r="1895">
      <x:c r="A1895" s="5" t="str">
        <x:v>桃</x:v>
      </x:c>
      <x:c r="B1895" s="6" t="str">
        <x:v>平</x:v>
      </x:c>
      <x:c r="C1895" s="6" t="str">
        <x:f>IF(B1895="","Needs decision","Ready")</x:f>
        <x:v>Ready</x:v>
      </x:c>
      <x:c r="D1895" s="6" t="str">
        <x:v>平</x:v>
      </x:c>
      <x:c r="E1895" s="6" t="str">
        <x:v>daw (A)</x:v>
      </x:c>
      <x:c r="F1895" s="6" t="str">
        <x:v>下平聲四豪</x:v>
      </x:c>
      <x:c r="G1895" s="6" t="str">
        <x:v>Pingshui main list, Wikisource-derived DOCX</x:v>
      </x:c>
      <x:c r="H1895" s="6" t="str">
        <x:v>1</x:v>
      </x:c>
      <x:c r="I1895" s="6" t="str"/>
      <x:c r="J1895" s="6" t="str">
        <x:f>IF(B1895="","",IF(AND(ISNUMBER(SEARCH("平",B1895)),OR(ISNUMBER(SEARCH("上",B1895)),ISNUMBER(SEARCH("去",B1895)),ISNUMBER(SEARCH("入",B1895)))),"Ambiguous",IF(ISNUMBER(SEARCH("平",B1895)),"平","仄")))</x:f>
        <x:v>平</x:v>
      </x:c>
      <x:c r="K1895" s="6" t="str">
        <x:f>IF(D1895="","",IF(AND(ISNUMBER(SEARCH("平",D1895)),OR(ISNUMBER(SEARCH("上",D1895)),ISNUMBER(SEARCH("去",D1895)),ISNUMBER(SEARCH("入",D1895)))),"Ambiguous",IF(ISNUMBER(SEARCH("平",D1895)),"平","仄")))</x:f>
        <x:v>平</x:v>
      </x:c>
      <x:c r="L1895" s="7" t="str"/>
    </x:row>
    <x:row r="1896">
      <x:c r="A1896" s="5" t="str">
        <x:v>案</x:v>
      </x:c>
      <x:c r="B1896" s="6" t="str">
        <x:v>去</x:v>
      </x:c>
      <x:c r="C1896" s="6" t="str">
        <x:f>IF(B1896="","Needs decision","Ready")</x:f>
        <x:v>Ready</x:v>
      </x:c>
      <x:c r="D1896" s="6" t="str">
        <x:v>去</x:v>
      </x:c>
      <x:c r="E1896" s="6" t="str">
        <x:v>'anH (C)</x:v>
      </x:c>
      <x:c r="F1896" s="6" t="str">
        <x:v>去聲十五翰</x:v>
      </x:c>
      <x:c r="G1896" s="6" t="str">
        <x:v>Pingshui main list, Wikisource-derived DOCX</x:v>
      </x:c>
      <x:c r="H1896" s="6" t="str">
        <x:v>1</x:v>
      </x:c>
      <x:c r="I1896" s="6" t="str"/>
      <x:c r="J1896" s="6" t="str">
        <x:f>IF(B1896="","",IF(AND(ISNUMBER(SEARCH("平",B1896)),OR(ISNUMBER(SEARCH("上",B1896)),ISNUMBER(SEARCH("去",B1896)),ISNUMBER(SEARCH("入",B1896)))),"Ambiguous",IF(ISNUMBER(SEARCH("平",B1896)),"平","仄")))</x:f>
        <x:v>仄</x:v>
      </x:c>
      <x:c r="K1896" s="6" t="str">
        <x:f>IF(D1896="","",IF(AND(ISNUMBER(SEARCH("平",D1896)),OR(ISNUMBER(SEARCH("上",D1896)),ISNUMBER(SEARCH("去",D1896)),ISNUMBER(SEARCH("入",D1896)))),"Ambiguous",IF(ISNUMBER(SEARCH("平",D1896)),"平","仄")))</x:f>
        <x:v>仄</x:v>
      </x:c>
      <x:c r="L1896" s="7" t="str"/>
    </x:row>
    <x:row r="1897">
      <x:c r="A1897" s="5" t="str">
        <x:v>桌</x:v>
      </x:c>
      <x:c r="B1897" s="6" t="str">
        <x:v>入</x:v>
      </x:c>
      <x:c r="C1897" s="6" t="str">
        <x:f>IF(B1897="","Needs decision","Ready")</x:f>
        <x:v>Ready</x:v>
      </x:c>
      <x:c r="D1897" s="6" t="str">
        <x:v>入</x:v>
      </x:c>
      <x:c r="E1897" s="6" t="str">
        <x:v>traewk (D)</x:v>
      </x:c>
      <x:c r="F1897" s="6" t="str"/>
      <x:c r="G1897" s="6" t="str"/>
      <x:c r="H1897" s="6" t="str">
        <x:v>1</x:v>
      </x:c>
      <x:c r="I1897" s="6" t="str"/>
      <x:c r="J1897" s="6" t="str">
        <x:f>IF(B1897="","",IF(AND(ISNUMBER(SEARCH("平",B1897)),OR(ISNUMBER(SEARCH("上",B1897)),ISNUMBER(SEARCH("去",B1897)),ISNUMBER(SEARCH("入",B1897)))),"Ambiguous",IF(ISNUMBER(SEARCH("平",B1897)),"平","仄")))</x:f>
        <x:v>仄</x:v>
      </x:c>
      <x:c r="K1897" s="6" t="str">
        <x:f>IF(D1897="","",IF(AND(ISNUMBER(SEARCH("平",D1897)),OR(ISNUMBER(SEARCH("上",D1897)),ISNUMBER(SEARCH("去",D1897)),ISNUMBER(SEARCH("入",D1897)))),"Ambiguous",IF(ISNUMBER(SEARCH("平",D1897)),"平","仄")))</x:f>
        <x:v>仄</x:v>
      </x:c>
      <x:c r="L1897" s="7" t="str"/>
    </x:row>
    <x:row r="1898">
      <x:c r="A1898" s="5" t="str">
        <x:v>桐</x:v>
      </x:c>
      <x:c r="B1898" s="6" t="str">
        <x:v>平</x:v>
      </x:c>
      <x:c r="C1898" s="6" t="str">
        <x:f>IF(B1898="","Needs decision","Ready")</x:f>
        <x:v>Ready</x:v>
      </x:c>
      <x:c r="D1898" s="6" t="str">
        <x:v>平</x:v>
      </x:c>
      <x:c r="E1898" s="6" t="str">
        <x:v>duwng [d̙uŋ] (平)</x:v>
      </x:c>
      <x:c r="F1898" s="6" t="str">
        <x:v>上平聲一東</x:v>
      </x:c>
      <x:c r="G1898" s="6" t="str">
        <x:v>Pingshui main list, Wikisource-derived DOCX</x:v>
      </x:c>
      <x:c r="H1898" s="6" t="str">
        <x:v>1</x:v>
      </x:c>
      <x:c r="I1898" s="6" t="str">
        <x:v>Tang 300 gap; frequency 3; provisional from Xun Gong</x:v>
      </x:c>
      <x:c r="J1898" s="6" t="str">
        <x:f>IF(B1898="","",IF(AND(ISNUMBER(SEARCH("平",B1898)),OR(ISNUMBER(SEARCH("上",B1898)),ISNUMBER(SEARCH("去",B1898)),ISNUMBER(SEARCH("入",B1898)))),"Ambiguous",IF(ISNUMBER(SEARCH("平",B1898)),"平","仄")))</x:f>
        <x:v>平</x:v>
      </x:c>
      <x:c r="K1898" s="6" t="str">
        <x:f>IF(D1898="","",IF(AND(ISNUMBER(SEARCH("平",D1898)),OR(ISNUMBER(SEARCH("上",D1898)),ISNUMBER(SEARCH("去",D1898)),ISNUMBER(SEARCH("入",D1898)))),"Ambiguous",IF(ISNUMBER(SEARCH("平",D1898)),"平","仄")))</x:f>
        <x:v>平</x:v>
      </x:c>
      <x:c r="L1898" s="7" t="str">
        <x:v>Xun Gong, Tang 300 gap fill</x:v>
      </x:c>
    </x:row>
    <x:row r="1899">
      <x:c r="A1899" s="5" t="str">
        <x:v>桑</x:v>
      </x:c>
      <x:c r="B1899" s="6" t="str">
        <x:v>平</x:v>
      </x:c>
      <x:c r="C1899" s="6" t="str">
        <x:f>IF(B1899="","Needs decision","Ready")</x:f>
        <x:v>Ready</x:v>
      </x:c>
      <x:c r="D1899" s="6" t="str">
        <x:v>平</x:v>
      </x:c>
      <x:c r="E1899" s="6" t="str">
        <x:v>sang (A)</x:v>
      </x:c>
      <x:c r="F1899" s="6" t="str">
        <x:v>下平聲七陽</x:v>
      </x:c>
      <x:c r="G1899" s="6" t="str">
        <x:v>Pingshui main list, Wikisource-derived DOCX</x:v>
      </x:c>
      <x:c r="H1899" s="6" t="str">
        <x:v>1</x:v>
      </x:c>
      <x:c r="I1899" s="6" t="str"/>
      <x:c r="J1899" s="6" t="str">
        <x:f>IF(B1899="","",IF(AND(ISNUMBER(SEARCH("平",B1899)),OR(ISNUMBER(SEARCH("上",B1899)),ISNUMBER(SEARCH("去",B1899)),ISNUMBER(SEARCH("入",B1899)))),"Ambiguous",IF(ISNUMBER(SEARCH("平",B1899)),"平","仄")))</x:f>
        <x:v>平</x:v>
      </x:c>
      <x:c r="K1899" s="6" t="str">
        <x:f>IF(D1899="","",IF(AND(ISNUMBER(SEARCH("平",D1899)),OR(ISNUMBER(SEARCH("上",D1899)),ISNUMBER(SEARCH("去",D1899)),ISNUMBER(SEARCH("入",D1899)))),"Ambiguous",IF(ISNUMBER(SEARCH("平",D1899)),"平","仄")))</x:f>
        <x:v>平</x:v>
      </x:c>
      <x:c r="L1899" s="7" t="str"/>
    </x:row>
    <x:row r="1900">
      <x:c r="A1900" s="5" t="str">
        <x:v>桓</x:v>
      </x:c>
      <x:c r="B1900" s="6" t="str">
        <x:v>平</x:v>
      </x:c>
      <x:c r="C1900" s="6" t="str">
        <x:f>IF(B1900="","Needs decision","Ready")</x:f>
        <x:v>Ready</x:v>
      </x:c>
      <x:c r="D1900" s="6" t="str">
        <x:v>平</x:v>
      </x:c>
      <x:c r="E1900" s="6" t="str">
        <x:v>hwan (A)</x:v>
      </x:c>
      <x:c r="F1900" s="6" t="str">
        <x:v>上平聲十四寒</x:v>
      </x:c>
      <x:c r="G1900" s="6" t="str">
        <x:v>Pingshui main list, Wikisource-derived DOCX</x:v>
      </x:c>
      <x:c r="H1900" s="6" t="str">
        <x:v>1</x:v>
      </x:c>
      <x:c r="I1900" s="6" t="str"/>
      <x:c r="J1900" s="6" t="str">
        <x:f>IF(B1900="","",IF(AND(ISNUMBER(SEARCH("平",B1900)),OR(ISNUMBER(SEARCH("上",B1900)),ISNUMBER(SEARCH("去",B1900)),ISNUMBER(SEARCH("入",B1900)))),"Ambiguous",IF(ISNUMBER(SEARCH("平",B1900)),"平","仄")))</x:f>
        <x:v>平</x:v>
      </x:c>
      <x:c r="K1900" s="6" t="str">
        <x:f>IF(D1900="","",IF(AND(ISNUMBER(SEARCH("平",D1900)),OR(ISNUMBER(SEARCH("上",D1900)),ISNUMBER(SEARCH("去",D1900)),ISNUMBER(SEARCH("入",D1900)))),"Ambiguous",IF(ISNUMBER(SEARCH("平",D1900)),"平","仄")))</x:f>
        <x:v>平</x:v>
      </x:c>
      <x:c r="L1900" s="7" t="str"/>
    </x:row>
    <x:row r="1901">
      <x:c r="A1901" s="5" t="str">
        <x:v>桶</x:v>
      </x:c>
      <x:c r="B1901" s="6" t="str">
        <x:v>上</x:v>
      </x:c>
      <x:c r="C1901" s="6" t="str">
        <x:f>IF(B1901="","Needs decision","Ready")</x:f>
        <x:v>Ready</x:v>
      </x:c>
      <x:c r="D1901" s="6" t="str">
        <x:v>上</x:v>
      </x:c>
      <x:c r="E1901" s="6" t="str">
        <x:v>thuwngX (B)</x:v>
      </x:c>
      <x:c r="F1901" s="6" t="str">
        <x:v>上聲一董</x:v>
      </x:c>
      <x:c r="G1901" s="6" t="str">
        <x:v>Pingshui main list, Wikisource-derived DOCX</x:v>
      </x:c>
      <x:c r="H1901" s="6" t="str">
        <x:v>1</x:v>
      </x:c>
      <x:c r="I1901" s="6" t="str"/>
      <x:c r="J1901" s="6" t="str">
        <x:f>IF(B1901="","",IF(AND(ISNUMBER(SEARCH("平",B1901)),OR(ISNUMBER(SEARCH("上",B1901)),ISNUMBER(SEARCH("去",B1901)),ISNUMBER(SEARCH("入",B1901)))),"Ambiguous",IF(ISNUMBER(SEARCH("平",B1901)),"平","仄")))</x:f>
        <x:v>仄</x:v>
      </x:c>
      <x:c r="K1901" s="6" t="str">
        <x:f>IF(D1901="","",IF(AND(ISNUMBER(SEARCH("平",D1901)),OR(ISNUMBER(SEARCH("上",D1901)),ISNUMBER(SEARCH("去",D1901)),ISNUMBER(SEARCH("入",D1901)))),"Ambiguous",IF(ISNUMBER(SEARCH("平",D1901)),"平","仄")))</x:f>
        <x:v>仄</x:v>
      </x:c>
      <x:c r="L1901" s="7" t="str"/>
    </x:row>
    <x:row r="1902">
      <x:c r="A1902" s="5" t="str">
        <x:v>桼</x:v>
      </x:c>
      <x:c r="B1902" s="6" t="str">
        <x:v>入</x:v>
      </x:c>
      <x:c r="C1902" s="6" t="str">
        <x:f>IF(B1902="","Needs decision","Ready")</x:f>
        <x:v>Ready</x:v>
      </x:c>
      <x:c r="D1902" s="6" t="str">
        <x:v>入</x:v>
      </x:c>
      <x:c r="E1902" s="6" t="str">
        <x:v>tshit (D)</x:v>
      </x:c>
      <x:c r="F1902" s="6" t="str"/>
      <x:c r="G1902" s="6" t="str"/>
      <x:c r="H1902" s="6" t="str">
        <x:v>1</x:v>
      </x:c>
      <x:c r="I1902" s="6" t="str"/>
      <x:c r="J1902" s="6" t="str">
        <x:f>IF(B1902="","",IF(AND(ISNUMBER(SEARCH("平",B1902)),OR(ISNUMBER(SEARCH("上",B1902)),ISNUMBER(SEARCH("去",B1902)),ISNUMBER(SEARCH("入",B1902)))),"Ambiguous",IF(ISNUMBER(SEARCH("平",B1902)),"平","仄")))</x:f>
        <x:v>仄</x:v>
      </x:c>
      <x:c r="K1902" s="6" t="str">
        <x:f>IF(D1902="","",IF(AND(ISNUMBER(SEARCH("平",D1902)),OR(ISNUMBER(SEARCH("上",D1902)),ISNUMBER(SEARCH("去",D1902)),ISNUMBER(SEARCH("入",D1902)))),"Ambiguous",IF(ISNUMBER(SEARCH("平",D1902)),"平","仄")))</x:f>
        <x:v>仄</x:v>
      </x:c>
      <x:c r="L1902" s="7" t="str"/>
    </x:row>
    <x:row r="1903">
      <x:c r="A1903" s="5" t="str">
        <x:v>梁</x:v>
      </x:c>
      <x:c r="B1903" s="6" t="str">
        <x:v>平</x:v>
      </x:c>
      <x:c r="C1903" s="6" t="str">
        <x:f>IF(B1903="","Needs decision","Ready")</x:f>
        <x:v>Ready</x:v>
      </x:c>
      <x:c r="D1903" s="6" t="str">
        <x:v>平</x:v>
      </x:c>
      <x:c r="E1903" s="6" t="str">
        <x:v>ljang (A)</x:v>
      </x:c>
      <x:c r="F1903" s="6" t="str">
        <x:v>下平聲七陽</x:v>
      </x:c>
      <x:c r="G1903" s="6" t="str">
        <x:v>Pingshui main list, Wikisource-derived DOCX</x:v>
      </x:c>
      <x:c r="H1903" s="6" t="str">
        <x:v>1</x:v>
      </x:c>
      <x:c r="I1903" s="6" t="str"/>
      <x:c r="J1903" s="6" t="str">
        <x:f>IF(B1903="","",IF(AND(ISNUMBER(SEARCH("平",B1903)),OR(ISNUMBER(SEARCH("上",B1903)),ISNUMBER(SEARCH("去",B1903)),ISNUMBER(SEARCH("入",B1903)))),"Ambiguous",IF(ISNUMBER(SEARCH("平",B1903)),"平","仄")))</x:f>
        <x:v>平</x:v>
      </x:c>
      <x:c r="K1903" s="6" t="str">
        <x:f>IF(D1903="","",IF(AND(ISNUMBER(SEARCH("平",D1903)),OR(ISNUMBER(SEARCH("上",D1903)),ISNUMBER(SEARCH("去",D1903)),ISNUMBER(SEARCH("入",D1903)))),"Ambiguous",IF(ISNUMBER(SEARCH("平",D1903)),"平","仄")))</x:f>
        <x:v>平</x:v>
      </x:c>
      <x:c r="L1903" s="7" t="str"/>
    </x:row>
    <x:row r="1904">
      <x:c r="A1904" s="5" t="str">
        <x:v>梅</x:v>
      </x:c>
      <x:c r="B1904" s="6" t="str">
        <x:v>平</x:v>
      </x:c>
      <x:c r="C1904" s="6" t="str">
        <x:f>IF(B1904="","Needs decision","Ready")</x:f>
        <x:v>Ready</x:v>
      </x:c>
      <x:c r="D1904" s="6" t="str">
        <x:v>平</x:v>
      </x:c>
      <x:c r="E1904" s="6" t="str">
        <x:v>mwoj (A)</x:v>
      </x:c>
      <x:c r="F1904" s="6" t="str">
        <x:v>上平聲十灰</x:v>
      </x:c>
      <x:c r="G1904" s="6" t="str">
        <x:v>Pingshui main list, Wikisource-derived DOCX</x:v>
      </x:c>
      <x:c r="H1904" s="6" t="str">
        <x:v>1</x:v>
      </x:c>
      <x:c r="I1904" s="6" t="str"/>
      <x:c r="J1904" s="6" t="str">
        <x:f>IF(B1904="","",IF(AND(ISNUMBER(SEARCH("平",B1904)),OR(ISNUMBER(SEARCH("上",B1904)),ISNUMBER(SEARCH("去",B1904)),ISNUMBER(SEARCH("入",B1904)))),"Ambiguous",IF(ISNUMBER(SEARCH("平",B1904)),"平","仄")))</x:f>
        <x:v>平</x:v>
      </x:c>
      <x:c r="K1904" s="6" t="str">
        <x:f>IF(D1904="","",IF(AND(ISNUMBER(SEARCH("平",D1904)),OR(ISNUMBER(SEARCH("上",D1904)),ISNUMBER(SEARCH("去",D1904)),ISNUMBER(SEARCH("入",D1904)))),"Ambiguous",IF(ISNUMBER(SEARCH("平",D1904)),"平","仄")))</x:f>
        <x:v>平</x:v>
      </x:c>
      <x:c r="L1904" s="7" t="str"/>
    </x:row>
    <x:row r="1905">
      <x:c r="A1905" s="5" t="str">
        <x:v>梓</x:v>
      </x:c>
      <x:c r="B1905" s="6" t="str">
        <x:v>上</x:v>
      </x:c>
      <x:c r="C1905" s="6" t="str">
        <x:f>IF(B1905="","Needs decision","Ready")</x:f>
        <x:v>Ready</x:v>
      </x:c>
      <x:c r="D1905" s="6" t="str">
        <x:v>上</x:v>
      </x:c>
      <x:c r="E1905" s="6" t="str">
        <x:v>tsiX (B)</x:v>
      </x:c>
      <x:c r="F1905" s="6" t="str">
        <x:v>上聲四紙</x:v>
      </x:c>
      <x:c r="G1905" s="6" t="str">
        <x:v>Pingshui main list, Wikisource-derived DOCX</x:v>
      </x:c>
      <x:c r="H1905" s="6" t="str">
        <x:v>1</x:v>
      </x:c>
      <x:c r="I1905" s="6" t="str"/>
      <x:c r="J1905" s="6" t="str">
        <x:f>IF(B1905="","",IF(AND(ISNUMBER(SEARCH("平",B1905)),OR(ISNUMBER(SEARCH("上",B1905)),ISNUMBER(SEARCH("去",B1905)),ISNUMBER(SEARCH("入",B1905)))),"Ambiguous",IF(ISNUMBER(SEARCH("平",B1905)),"平","仄")))</x:f>
        <x:v>仄</x:v>
      </x:c>
      <x:c r="K1905" s="6" t="str">
        <x:f>IF(D1905="","",IF(AND(ISNUMBER(SEARCH("平",D1905)),OR(ISNUMBER(SEARCH("上",D1905)),ISNUMBER(SEARCH("去",D1905)),ISNUMBER(SEARCH("入",D1905)))),"Ambiguous",IF(ISNUMBER(SEARCH("平",D1905)),"平","仄")))</x:f>
        <x:v>仄</x:v>
      </x:c>
      <x:c r="L1905" s="7" t="str"/>
    </x:row>
    <x:row r="1906">
      <x:c r="A1906" s="5" t="str">
        <x:v>梔</x:v>
      </x:c>
      <x:c r="B1906" s="6" t="str">
        <x:v>平</x:v>
      </x:c>
      <x:c r="C1906" s="6" t="str">
        <x:f>IF(B1906="","Needs decision","Ready")</x:f>
        <x:v>Ready</x:v>
      </x:c>
      <x:c r="D1906" s="6" t="str">
        <x:v>平</x:v>
      </x:c>
      <x:c r="E1906" s="6" t="str">
        <x:v>tsye [tɕie] (平)</x:v>
      </x:c>
      <x:c r="F1906" s="6" t="str">
        <x:v>上平聲四支</x:v>
      </x:c>
      <x:c r="G1906" s="6" t="str">
        <x:v>Pingshui main list, Wikisource-derived DOCX</x:v>
      </x:c>
      <x:c r="H1906" s="6" t="str">
        <x:v>1</x:v>
      </x:c>
      <x:c r="I1906" s="6" t="str">
        <x:v>Tang 300 gap; frequency 1; provisional from Xun Gong</x:v>
      </x:c>
      <x:c r="J1906" s="6" t="str">
        <x:f>IF(B1906="","",IF(AND(ISNUMBER(SEARCH("平",B1906)),OR(ISNUMBER(SEARCH("上",B1906)),ISNUMBER(SEARCH("去",B1906)),ISNUMBER(SEARCH("入",B1906)))),"Ambiguous",IF(ISNUMBER(SEARCH("平",B1906)),"平","仄")))</x:f>
        <x:v>平</x:v>
      </x:c>
      <x:c r="K1906" s="6" t="str">
        <x:f>IF(D1906="","",IF(AND(ISNUMBER(SEARCH("平",D1906)),OR(ISNUMBER(SEARCH("上",D1906)),ISNUMBER(SEARCH("去",D1906)),ISNUMBER(SEARCH("入",D1906)))),"Ambiguous",IF(ISNUMBER(SEARCH("平",D1906)),"平","仄")))</x:f>
        <x:v>平</x:v>
      </x:c>
      <x:c r="L1906" s="7" t="str">
        <x:v>Xun Gong, Tang 300 gap fill</x:v>
      </x:c>
    </x:row>
    <x:row r="1907">
      <x:c r="A1907" s="5" t="str">
        <x:v>梗</x:v>
      </x:c>
      <x:c r="B1907" s="6" t="str">
        <x:v>上</x:v>
      </x:c>
      <x:c r="C1907" s="6" t="str">
        <x:f>IF(B1907="","Needs decision","Ready")</x:f>
        <x:v>Ready</x:v>
      </x:c>
      <x:c r="D1907" s="6" t="str">
        <x:v>上</x:v>
      </x:c>
      <x:c r="E1907" s="6" t="str">
        <x:v>kaengX (B)</x:v>
      </x:c>
      <x:c r="F1907" s="6" t="str">
        <x:v>上聲二十三梗</x:v>
      </x:c>
      <x:c r="G1907" s="6" t="str">
        <x:v>Pingshui main list, Wikisource-derived DOCX</x:v>
      </x:c>
      <x:c r="H1907" s="6" t="str">
        <x:v>1</x:v>
      </x:c>
      <x:c r="I1907" s="6" t="str"/>
      <x:c r="J1907" s="6" t="str">
        <x:f>IF(B1907="","",IF(AND(ISNUMBER(SEARCH("平",B1907)),OR(ISNUMBER(SEARCH("上",B1907)),ISNUMBER(SEARCH("去",B1907)),ISNUMBER(SEARCH("入",B1907)))),"Ambiguous",IF(ISNUMBER(SEARCH("平",B1907)),"平","仄")))</x:f>
        <x:v>仄</x:v>
      </x:c>
      <x:c r="K1907" s="6" t="str">
        <x:f>IF(D1907="","",IF(AND(ISNUMBER(SEARCH("平",D1907)),OR(ISNUMBER(SEARCH("上",D1907)),ISNUMBER(SEARCH("去",D1907)),ISNUMBER(SEARCH("入",D1907)))),"Ambiguous",IF(ISNUMBER(SEARCH("平",D1907)),"平","仄")))</x:f>
        <x:v>仄</x:v>
      </x:c>
      <x:c r="L1907" s="7" t="str"/>
    </x:row>
    <x:row r="1908">
      <x:c r="A1908" s="5" t="str">
        <x:v>梜</x:v>
      </x:c>
      <x:c r="B1908" s="6" t="str">
        <x:v>入</x:v>
      </x:c>
      <x:c r="C1908" s="6" t="str">
        <x:f>IF(B1908="","Needs decision","Ready")</x:f>
        <x:v>Ready</x:v>
      </x:c>
      <x:c r="D1908" s="6" t="str">
        <x:v>入</x:v>
      </x:c>
      <x:c r="E1908" s="6" t="str">
        <x:v>kaep (D); kep (D)</x:v>
      </x:c>
      <x:c r="F1908" s="6" t="str">
        <x:v>入聲十六葉</x:v>
      </x:c>
      <x:c r="G1908" s="6" t="str">
        <x:v>Pingshui main list, Wikisource-derived DOCX</x:v>
      </x:c>
      <x:c r="H1908" s="6" t="str">
        <x:v>2</x:v>
      </x:c>
      <x:c r="I1908" s="6" t="str"/>
      <x:c r="J1908" s="6" t="str">
        <x:f>IF(B1908="","",IF(AND(ISNUMBER(SEARCH("平",B1908)),OR(ISNUMBER(SEARCH("上",B1908)),ISNUMBER(SEARCH("去",B1908)),ISNUMBER(SEARCH("入",B1908)))),"Ambiguous",IF(ISNUMBER(SEARCH("平",B1908)),"平","仄")))</x:f>
        <x:v>仄</x:v>
      </x:c>
      <x:c r="K1908" s="6" t="str">
        <x:f>IF(D1908="","",IF(AND(ISNUMBER(SEARCH("平",D1908)),OR(ISNUMBER(SEARCH("上",D1908)),ISNUMBER(SEARCH("去",D1908)),ISNUMBER(SEARCH("入",D1908)))),"Ambiguous",IF(ISNUMBER(SEARCH("平",D1908)),"平","仄")))</x:f>
        <x:v>仄</x:v>
      </x:c>
      <x:c r="L1908" s="7" t="str"/>
    </x:row>
    <x:row r="1909">
      <x:c r="A1909" s="5" t="str">
        <x:v>條</x:v>
      </x:c>
      <x:c r="B1909" s="6" t="str">
        <x:v>平</x:v>
      </x:c>
      <x:c r="C1909" s="6" t="str">
        <x:f>IF(B1909="","Needs decision","Ready")</x:f>
        <x:v>Ready</x:v>
      </x:c>
      <x:c r="D1909" s="6" t="str">
        <x:v>平</x:v>
      </x:c>
      <x:c r="E1909" s="6" t="str">
        <x:v>dew (A)</x:v>
      </x:c>
      <x:c r="F1909" s="6" t="str">
        <x:v>下平聲二蕭</x:v>
      </x:c>
      <x:c r="G1909" s="6" t="str">
        <x:v>Pingshui main list, Wikisource-derived DOCX</x:v>
      </x:c>
      <x:c r="H1909" s="6" t="str">
        <x:v>1</x:v>
      </x:c>
      <x:c r="I1909" s="6" t="str"/>
      <x:c r="J1909" s="6" t="str">
        <x:f>IF(B1909="","",IF(AND(ISNUMBER(SEARCH("平",B1909)),OR(ISNUMBER(SEARCH("上",B1909)),ISNUMBER(SEARCH("去",B1909)),ISNUMBER(SEARCH("入",B1909)))),"Ambiguous",IF(ISNUMBER(SEARCH("平",B1909)),"平","仄")))</x:f>
        <x:v>平</x:v>
      </x:c>
      <x:c r="K1909" s="6" t="str">
        <x:f>IF(D1909="","",IF(AND(ISNUMBER(SEARCH("平",D1909)),OR(ISNUMBER(SEARCH("上",D1909)),ISNUMBER(SEARCH("去",D1909)),ISNUMBER(SEARCH("入",D1909)))),"Ambiguous",IF(ISNUMBER(SEARCH("平",D1909)),"平","仄")))</x:f>
        <x:v>平</x:v>
      </x:c>
      <x:c r="L1909" s="7" t="str"/>
    </x:row>
    <x:row r="1910">
      <x:c r="A1910" s="5" t="str">
        <x:v>梢</x:v>
      </x:c>
      <x:c r="B1910" s="6" t="str">
        <x:v>平</x:v>
      </x:c>
      <x:c r="C1910" s="6" t="str">
        <x:f>IF(B1910="","Needs decision","Ready")</x:f>
        <x:v>Ready</x:v>
      </x:c>
      <x:c r="D1910" s="6" t="str">
        <x:v>平</x:v>
      </x:c>
      <x:c r="E1910" s="6" t="str">
        <x:v>sraew [ʂaˤw] (平)</x:v>
      </x:c>
      <x:c r="F1910" s="6" t="str">
        <x:v>下平聲三肴</x:v>
      </x:c>
      <x:c r="G1910" s="6" t="str">
        <x:v>Pingshui main list, Wikisource-derived DOCX</x:v>
      </x:c>
      <x:c r="H1910" s="6" t="str">
        <x:v>1</x:v>
      </x:c>
      <x:c r="I1910" s="6" t="str">
        <x:v>Tang 300 gap; frequency 1; provisional from Xun Gong</x:v>
      </x:c>
      <x:c r="J1910" s="6" t="str">
        <x:f>IF(B1910="","",IF(AND(ISNUMBER(SEARCH("平",B1910)),OR(ISNUMBER(SEARCH("上",B1910)),ISNUMBER(SEARCH("去",B1910)),ISNUMBER(SEARCH("入",B1910)))),"Ambiguous",IF(ISNUMBER(SEARCH("平",B1910)),"平","仄")))</x:f>
        <x:v>平</x:v>
      </x:c>
      <x:c r="K1910" s="6" t="str">
        <x:f>IF(D1910="","",IF(AND(ISNUMBER(SEARCH("平",D1910)),OR(ISNUMBER(SEARCH("上",D1910)),ISNUMBER(SEARCH("去",D1910)),ISNUMBER(SEARCH("入",D1910)))),"Ambiguous",IF(ISNUMBER(SEARCH("平",D1910)),"平","仄")))</x:f>
        <x:v>平</x:v>
      </x:c>
      <x:c r="L1910" s="7" t="str">
        <x:v>Xun Gong, Tang 300 gap fill</x:v>
      </x:c>
    </x:row>
    <x:row r="1911">
      <x:c r="A1911" s="5" t="str">
        <x:v>梧</x:v>
      </x:c>
      <x:c r="B1911" s="6" t="str">
        <x:v>平</x:v>
      </x:c>
      <x:c r="C1911" s="6" t="str">
        <x:f>IF(B1911="","Needs decision","Ready")</x:f>
        <x:v>Ready</x:v>
      </x:c>
      <x:c r="D1911" s="6" t="str">
        <x:v>平</x:v>
      </x:c>
      <x:c r="E1911" s="6" t="str">
        <x:v>ngu [ɴo] (平)</x:v>
      </x:c>
      <x:c r="F1911" s="6" t="str">
        <x:v>上平聲七虞</x:v>
      </x:c>
      <x:c r="G1911" s="6" t="str">
        <x:v>Pingshui main list, Wikisource-derived DOCX</x:v>
      </x:c>
      <x:c r="H1911" s="6" t="str">
        <x:v>1</x:v>
      </x:c>
      <x:c r="I1911" s="6" t="str">
        <x:v>Tang 300 gap; frequency 3; provisional from Xun Gong</x:v>
      </x:c>
      <x:c r="J1911" s="6" t="str">
        <x:f>IF(B1911="","",IF(AND(ISNUMBER(SEARCH("平",B1911)),OR(ISNUMBER(SEARCH("上",B1911)),ISNUMBER(SEARCH("去",B1911)),ISNUMBER(SEARCH("入",B1911)))),"Ambiguous",IF(ISNUMBER(SEARCH("平",B1911)),"平","仄")))</x:f>
        <x:v>平</x:v>
      </x:c>
      <x:c r="K1911" s="6" t="str">
        <x:f>IF(D1911="","",IF(AND(ISNUMBER(SEARCH("平",D1911)),OR(ISNUMBER(SEARCH("上",D1911)),ISNUMBER(SEARCH("去",D1911)),ISNUMBER(SEARCH("入",D1911)))),"Ambiguous",IF(ISNUMBER(SEARCH("平",D1911)),"平","仄")))</x:f>
        <x:v>平</x:v>
      </x:c>
      <x:c r="L1911" s="7" t="str">
        <x:v>Xun Gong, Tang 300 gap fill</x:v>
      </x:c>
    </x:row>
    <x:row r="1912">
      <x:c r="A1912" s="5" t="str">
        <x:v>梨</x:v>
      </x:c>
      <x:c r="B1912" s="6" t="str">
        <x:v>平</x:v>
      </x:c>
      <x:c r="C1912" s="6" t="str">
        <x:f>IF(B1912="","Needs decision","Ready")</x:f>
        <x:v>Ready</x:v>
      </x:c>
      <x:c r="D1912" s="6" t="str">
        <x:v>平</x:v>
      </x:c>
      <x:c r="E1912" s="6" t="str">
        <x:v>lij [li] (平)</x:v>
      </x:c>
      <x:c r="F1912" s="6" t="str">
        <x:v>上平聲八齊</x:v>
      </x:c>
      <x:c r="G1912" s="6" t="str">
        <x:v>Pingshui main list, Wikisource-derived DOCX</x:v>
      </x:c>
      <x:c r="H1912" s="6" t="str">
        <x:v>1</x:v>
      </x:c>
      <x:c r="I1912" s="6" t="str">
        <x:v>Tang 300 gap; frequency 6; provisional from Xun Gong</x:v>
      </x:c>
      <x:c r="J1912" s="6" t="str">
        <x:f>IF(B1912="","",IF(AND(ISNUMBER(SEARCH("平",B1912)),OR(ISNUMBER(SEARCH("上",B1912)),ISNUMBER(SEARCH("去",B1912)),ISNUMBER(SEARCH("入",B1912)))),"Ambiguous",IF(ISNUMBER(SEARCH("平",B1912)),"平","仄")))</x:f>
        <x:v>平</x:v>
      </x:c>
      <x:c r="K1912" s="6" t="str">
        <x:f>IF(D1912="","",IF(AND(ISNUMBER(SEARCH("平",D1912)),OR(ISNUMBER(SEARCH("上",D1912)),ISNUMBER(SEARCH("去",D1912)),ISNUMBER(SEARCH("入",D1912)))),"Ambiguous",IF(ISNUMBER(SEARCH("平",D1912)),"平","仄")))</x:f>
        <x:v>平</x:v>
      </x:c>
      <x:c r="L1912" s="7" t="str">
        <x:v>Xun Gong, Tang 300 gap fill</x:v>
      </x:c>
    </x:row>
    <x:row r="1913">
      <x:c r="A1913" s="5" t="str">
        <x:v>梭</x:v>
      </x:c>
      <x:c r="B1913" s="6" t="str">
        <x:v>平</x:v>
      </x:c>
      <x:c r="C1913" s="6" t="str">
        <x:f>IF(B1913="","Needs decision","Ready")</x:f>
        <x:v>Ready</x:v>
      </x:c>
      <x:c r="D1913" s="6" t="str">
        <x:v>平</x:v>
      </x:c>
      <x:c r="E1913" s="6" t="str">
        <x:v>swa [s̙wɑ] (平)</x:v>
      </x:c>
      <x:c r="F1913" s="6" t="str">
        <x:v>下平聲五歌</x:v>
      </x:c>
      <x:c r="G1913" s="6" t="str">
        <x:v>Pingshui main list, Wikisource-derived DOCX</x:v>
      </x:c>
      <x:c r="H1913" s="6" t="str">
        <x:v>1</x:v>
      </x:c>
      <x:c r="I1913" s="6" t="str">
        <x:v>Tang 300 gap; frequency 1; provisional from Xun Gong</x:v>
      </x:c>
      <x:c r="J1913" s="6" t="str">
        <x:f>IF(B1913="","",IF(AND(ISNUMBER(SEARCH("平",B1913)),OR(ISNUMBER(SEARCH("上",B1913)),ISNUMBER(SEARCH("去",B1913)),ISNUMBER(SEARCH("入",B1913)))),"Ambiguous",IF(ISNUMBER(SEARCH("平",B1913)),"平","仄")))</x:f>
        <x:v>平</x:v>
      </x:c>
      <x:c r="K1913" s="6" t="str">
        <x:f>IF(D1913="","",IF(AND(ISNUMBER(SEARCH("平",D1913)),OR(ISNUMBER(SEARCH("上",D1913)),ISNUMBER(SEARCH("去",D1913)),ISNUMBER(SEARCH("入",D1913)))),"Ambiguous",IF(ISNUMBER(SEARCH("平",D1913)),"平","仄")))</x:f>
        <x:v>平</x:v>
      </x:c>
      <x:c r="L1913" s="7" t="str">
        <x:v>Xun Gong, Tang 300 gap fill</x:v>
      </x:c>
    </x:row>
    <x:row r="1914">
      <x:c r="A1914" s="5" t="str">
        <x:v>梯</x:v>
      </x:c>
      <x:c r="B1914" s="6" t="str">
        <x:v>平</x:v>
      </x:c>
      <x:c r="C1914" s="6" t="str">
        <x:f>IF(B1914="","Needs decision","Ready")</x:f>
        <x:v>Ready</x:v>
      </x:c>
      <x:c r="D1914" s="6" t="str">
        <x:v>平</x:v>
      </x:c>
      <x:c r="E1914" s="6" t="str">
        <x:v>thej (A)</x:v>
      </x:c>
      <x:c r="F1914" s="6" t="str">
        <x:v>上平聲八齊</x:v>
      </x:c>
      <x:c r="G1914" s="6" t="str">
        <x:v>Pingshui main list, Wikisource-derived DOCX</x:v>
      </x:c>
      <x:c r="H1914" s="6" t="str">
        <x:v>1</x:v>
      </x:c>
      <x:c r="I1914" s="6" t="str"/>
      <x:c r="J1914" s="6" t="str">
        <x:f>IF(B1914="","",IF(AND(ISNUMBER(SEARCH("平",B1914)),OR(ISNUMBER(SEARCH("上",B1914)),ISNUMBER(SEARCH("去",B1914)),ISNUMBER(SEARCH("入",B1914)))),"Ambiguous",IF(ISNUMBER(SEARCH("平",B1914)),"平","仄")))</x:f>
        <x:v>平</x:v>
      </x:c>
      <x:c r="K1914" s="6" t="str">
        <x:f>IF(D1914="","",IF(AND(ISNUMBER(SEARCH("平",D1914)),OR(ISNUMBER(SEARCH("上",D1914)),ISNUMBER(SEARCH("去",D1914)),ISNUMBER(SEARCH("入",D1914)))),"Ambiguous",IF(ISNUMBER(SEARCH("平",D1914)),"平","仄")))</x:f>
        <x:v>平</x:v>
      </x:c>
      <x:c r="L1914" s="7" t="str"/>
    </x:row>
    <x:row r="1915">
      <x:c r="A1915" s="5" t="str">
        <x:v>械</x:v>
      </x:c>
      <x:c r="B1915" s="6" t="str">
        <x:v>去</x:v>
      </x:c>
      <x:c r="C1915" s="6" t="str">
        <x:f>IF(B1915="","Needs decision","Ready")</x:f>
        <x:v>Ready</x:v>
      </x:c>
      <x:c r="D1915" s="6" t="str">
        <x:v>去</x:v>
      </x:c>
      <x:c r="E1915" s="6" t="str">
        <x:v>heajH (C)</x:v>
      </x:c>
      <x:c r="F1915" s="6" t="str">
        <x:v>去聲十卦</x:v>
      </x:c>
      <x:c r="G1915" s="6" t="str">
        <x:v>Pingshui main list, Wikisource-derived DOCX</x:v>
      </x:c>
      <x:c r="H1915" s="6" t="str">
        <x:v>1</x:v>
      </x:c>
      <x:c r="I1915" s="6" t="str"/>
      <x:c r="J1915" s="6" t="str">
        <x:f>IF(B1915="","",IF(AND(ISNUMBER(SEARCH("平",B1915)),OR(ISNUMBER(SEARCH("上",B1915)),ISNUMBER(SEARCH("去",B1915)),ISNUMBER(SEARCH("入",B1915)))),"Ambiguous",IF(ISNUMBER(SEARCH("平",B1915)),"平","仄")))</x:f>
        <x:v>仄</x:v>
      </x:c>
      <x:c r="K1915" s="6" t="str">
        <x:f>IF(D1915="","",IF(AND(ISNUMBER(SEARCH("平",D1915)),OR(ISNUMBER(SEARCH("上",D1915)),ISNUMBER(SEARCH("去",D1915)),ISNUMBER(SEARCH("入",D1915)))),"Ambiguous",IF(ISNUMBER(SEARCH("平",D1915)),"平","仄")))</x:f>
        <x:v>仄</x:v>
      </x:c>
      <x:c r="L1915" s="7" t="str"/>
    </x:row>
    <x:row r="1916">
      <x:c r="A1916" s="5" t="str">
        <x:v>梱</x:v>
      </x:c>
      <x:c r="B1916" s="6" t="str">
        <x:v>上</x:v>
      </x:c>
      <x:c r="C1916" s="6" t="str">
        <x:f>IF(B1916="","Needs decision","Ready")</x:f>
        <x:v>Ready</x:v>
      </x:c>
      <x:c r="D1916" s="6" t="str">
        <x:v>上</x:v>
      </x:c>
      <x:c r="E1916" s="6" t="str">
        <x:v>khwonX (B)</x:v>
      </x:c>
      <x:c r="F1916" s="6" t="str">
        <x:v>上聲十三阮</x:v>
      </x:c>
      <x:c r="G1916" s="6" t="str">
        <x:v>Pingshui main list, Wikisource-derived DOCX</x:v>
      </x:c>
      <x:c r="H1916" s="6" t="str">
        <x:v>1</x:v>
      </x:c>
      <x:c r="I1916" s="6" t="str"/>
      <x:c r="J1916" s="6" t="str">
        <x:f>IF(B1916="","",IF(AND(ISNUMBER(SEARCH("平",B1916)),OR(ISNUMBER(SEARCH("上",B1916)),ISNUMBER(SEARCH("去",B1916)),ISNUMBER(SEARCH("入",B1916)))),"Ambiguous",IF(ISNUMBER(SEARCH("平",B1916)),"平","仄")))</x:f>
        <x:v>仄</x:v>
      </x:c>
      <x:c r="K1916" s="6" t="str">
        <x:f>IF(D1916="","",IF(AND(ISNUMBER(SEARCH("平",D1916)),OR(ISNUMBER(SEARCH("上",D1916)),ISNUMBER(SEARCH("去",D1916)),ISNUMBER(SEARCH("入",D1916)))),"Ambiguous",IF(ISNUMBER(SEARCH("平",D1916)),"平","仄")))</x:f>
        <x:v>仄</x:v>
      </x:c>
      <x:c r="L1916" s="7" t="str"/>
    </x:row>
    <x:row r="1917">
      <x:c r="A1917" s="5" t="str">
        <x:v>梳</x:v>
      </x:c>
      <x:c r="B1917" s="6" t="str">
        <x:v>平</x:v>
      </x:c>
      <x:c r="C1917" s="6" t="str">
        <x:f>IF(B1917="","Needs decision","Ready")</x:f>
        <x:v>Ready</x:v>
      </x:c>
      <x:c r="D1917" s="6" t="str">
        <x:v>平</x:v>
      </x:c>
      <x:c r="E1917" s="6" t="str">
        <x:v>srjo (A)</x:v>
      </x:c>
      <x:c r="F1917" s="6" t="str">
        <x:v>上平聲六魚</x:v>
      </x:c>
      <x:c r="G1917" s="6" t="str">
        <x:v>Pingshui main list, Wikisource-derived DOCX</x:v>
      </x:c>
      <x:c r="H1917" s="6" t="str">
        <x:v>1</x:v>
      </x:c>
      <x:c r="I1917" s="6" t="str"/>
      <x:c r="J1917" s="6" t="str">
        <x:f>IF(B1917="","",IF(AND(ISNUMBER(SEARCH("平",B1917)),OR(ISNUMBER(SEARCH("上",B1917)),ISNUMBER(SEARCH("去",B1917)),ISNUMBER(SEARCH("入",B1917)))),"Ambiguous",IF(ISNUMBER(SEARCH("平",B1917)),"平","仄")))</x:f>
        <x:v>平</x:v>
      </x:c>
      <x:c r="K1917" s="6" t="str">
        <x:f>IF(D1917="","",IF(AND(ISNUMBER(SEARCH("平",D1917)),OR(ISNUMBER(SEARCH("上",D1917)),ISNUMBER(SEARCH("去",D1917)),ISNUMBER(SEARCH("入",D1917)))),"Ambiguous",IF(ISNUMBER(SEARCH("平",D1917)),"平","仄")))</x:f>
        <x:v>平</x:v>
      </x:c>
      <x:c r="L1917" s="7" t="str"/>
    </x:row>
    <x:row r="1918">
      <x:c r="A1918" s="5" t="str">
        <x:v>梵</x:v>
      </x:c>
      <x:c r="B1918" s="6" t="str">
        <x:v>去</x:v>
      </x:c>
      <x:c r="C1918" s="6" t="str">
        <x:f>IF(B1918="","Needs decision","Ready")</x:f>
        <x:v>Ready</x:v>
      </x:c>
      <x:c r="D1918" s="6" t="str">
        <x:v>平/去</x:v>
      </x:c>
      <x:c r="E1918" s="6" t="str">
        <x:v>bjomH [並三C凡去] bɨ̯əmh; bjuwng [並三C東平] bɨ̯uŋ</x:v>
      </x:c>
      <x:c r="F1918" s="6" t="str">
        <x:v>去聲三十陷</x:v>
      </x:c>
      <x:c r="G1918" s="6" t="str">
        <x:v>Pingshui main list, Wikisource-derived DOCX</x:v>
      </x:c>
      <x:c r="H1918" s="6" t="str">
        <x:v>2</x:v>
      </x:c>
      <x:c r="I1918" s="6" t="str">
        <x:v>Targeted preliminary fill from Xun Gong; review if uncertain; User workbook edit 2026-09-03</x:v>
      </x:c>
      <x:c r="J1918" s="6" t="str">
        <x:f>IF(B1918="","",IF(AND(ISNUMBER(SEARCH("平",B1918)),OR(ISNUMBER(SEARCH("上",B1918)),ISNUMBER(SEARCH("去",B1918)),ISNUMBER(SEARCH("入",B1918)))),"Ambiguous",IF(ISNUMBER(SEARCH("平",B1918)),"平","仄")))</x:f>
        <x:v>仄</x:v>
      </x:c>
      <x:c r="K1918" s="6" t="str">
        <x:f>IF(D1918="","",IF(AND(ISNUMBER(SEARCH("平",D1918)),OR(ISNUMBER(SEARCH("上",D1918)),ISNUMBER(SEARCH("去",D1918)),ISNUMBER(SEARCH("入",D1918)))),"Ambiguous",IF(ISNUMBER(SEARCH("平",D1918)),"平","仄")))</x:f>
        <x:v>Ambiguous</x:v>
      </x:c>
      <x:c r="L1918" s="7" t="str">
        <x:v>manual user correction</x:v>
      </x:c>
    </x:row>
    <x:row r="1919">
      <x:c r="A1919" s="5" t="str">
        <x:v>棃</x:v>
      </x:c>
      <x:c r="B1919" s="6" t="str">
        <x:v>平</x:v>
      </x:c>
      <x:c r="C1919" s="6" t="str">
        <x:f>IF(B1919="","Needs decision","Ready")</x:f>
        <x:v>Ready</x:v>
      </x:c>
      <x:c r="D1919" s="6" t="str">
        <x:v>平</x:v>
      </x:c>
      <x:c r="E1919" s="6" t="str">
        <x:v>lij (A)</x:v>
      </x:c>
      <x:c r="F1919" s="6" t="str"/>
      <x:c r="G1919" s="6" t="str"/>
      <x:c r="H1919" s="6" t="str">
        <x:v>1</x:v>
      </x:c>
      <x:c r="I1919" s="6" t="str"/>
      <x:c r="J1919" s="6" t="str">
        <x:f>IF(B1919="","",IF(AND(ISNUMBER(SEARCH("平",B1919)),OR(ISNUMBER(SEARCH("上",B1919)),ISNUMBER(SEARCH("去",B1919)),ISNUMBER(SEARCH("入",B1919)))),"Ambiguous",IF(ISNUMBER(SEARCH("平",B1919)),"平","仄")))</x:f>
        <x:v>平</x:v>
      </x:c>
      <x:c r="K1919" s="6" t="str">
        <x:f>IF(D1919="","",IF(AND(ISNUMBER(SEARCH("平",D1919)),OR(ISNUMBER(SEARCH("上",D1919)),ISNUMBER(SEARCH("去",D1919)),ISNUMBER(SEARCH("入",D1919)))),"Ambiguous",IF(ISNUMBER(SEARCH("平",D1919)),"平","仄")))</x:f>
        <x:v>平</x:v>
      </x:c>
      <x:c r="L1919" s="7" t="str"/>
    </x:row>
    <x:row r="1920">
      <x:c r="A1920" s="5" t="str">
        <x:v>棄</x:v>
      </x:c>
      <x:c r="B1920" s="6" t="str">
        <x:v>去</x:v>
      </x:c>
      <x:c r="C1920" s="6" t="str">
        <x:f>IF(B1920="","Needs decision","Ready")</x:f>
        <x:v>Ready</x:v>
      </x:c>
      <x:c r="D1920" s="6" t="str">
        <x:v>去</x:v>
      </x:c>
      <x:c r="E1920" s="6" t="str">
        <x:v>khjijH (C)</x:v>
      </x:c>
      <x:c r="F1920" s="6" t="str">
        <x:v>去聲四寘</x:v>
      </x:c>
      <x:c r="G1920" s="6" t="str">
        <x:v>Pingshui main list, Wikisource-derived DOCX</x:v>
      </x:c>
      <x:c r="H1920" s="6" t="str">
        <x:v>1</x:v>
      </x:c>
      <x:c r="I1920" s="6" t="str"/>
      <x:c r="J1920" s="6" t="str">
        <x:f>IF(B1920="","",IF(AND(ISNUMBER(SEARCH("平",B1920)),OR(ISNUMBER(SEARCH("上",B1920)),ISNUMBER(SEARCH("去",B1920)),ISNUMBER(SEARCH("入",B1920)))),"Ambiguous",IF(ISNUMBER(SEARCH("平",B1920)),"平","仄")))</x:f>
        <x:v>仄</x:v>
      </x:c>
      <x:c r="K1920" s="6" t="str">
        <x:f>IF(D1920="","",IF(AND(ISNUMBER(SEARCH("平",D1920)),OR(ISNUMBER(SEARCH("上",D1920)),ISNUMBER(SEARCH("去",D1920)),ISNUMBER(SEARCH("入",D1920)))),"Ambiguous",IF(ISNUMBER(SEARCH("平",D1920)),"平","仄")))</x:f>
        <x:v>仄</x:v>
      </x:c>
      <x:c r="L1920" s="7" t="str"/>
    </x:row>
    <x:row r="1921">
      <x:c r="A1921" s="5" t="str">
        <x:v>棅</x:v>
      </x:c>
      <x:c r="B1921" s="6" t="str">
        <x:v>去</x:v>
      </x:c>
      <x:c r="C1921" s="6" t="str">
        <x:f>IF(B1921="","Needs decision","Ready")</x:f>
        <x:v>Ready</x:v>
      </x:c>
      <x:c r="D1921" s="6" t="str">
        <x:v>去</x:v>
      </x:c>
      <x:c r="E1921" s="6" t="str">
        <x:v>pjaengH (C)</x:v>
      </x:c>
      <x:c r="F1921" s="6" t="str"/>
      <x:c r="G1921" s="6" t="str"/>
      <x:c r="H1921" s="6" t="str">
        <x:v>1</x:v>
      </x:c>
      <x:c r="I1921" s="6" t="str"/>
      <x:c r="J1921" s="6" t="str">
        <x:f>IF(B1921="","",IF(AND(ISNUMBER(SEARCH("平",B1921)),OR(ISNUMBER(SEARCH("上",B1921)),ISNUMBER(SEARCH("去",B1921)),ISNUMBER(SEARCH("入",B1921)))),"Ambiguous",IF(ISNUMBER(SEARCH("平",B1921)),"平","仄")))</x:f>
        <x:v>仄</x:v>
      </x:c>
      <x:c r="K1921" s="6" t="str">
        <x:f>IF(D1921="","",IF(AND(ISNUMBER(SEARCH("平",D1921)),OR(ISNUMBER(SEARCH("上",D1921)),ISNUMBER(SEARCH("去",D1921)),ISNUMBER(SEARCH("入",D1921)))),"Ambiguous",IF(ISNUMBER(SEARCH("平",D1921)),"平","仄")))</x:f>
        <x:v>仄</x:v>
      </x:c>
      <x:c r="L1921" s="7" t="str"/>
    </x:row>
    <x:row r="1922">
      <x:c r="A1922" s="5" t="str">
        <x:v>棋</x:v>
      </x:c>
      <x:c r="B1922" s="6" t="str">
        <x:v>平</x:v>
      </x:c>
      <x:c r="C1922" s="6" t="str">
        <x:f>IF(B1922="","Needs decision","Ready")</x:f>
        <x:v>Ready</x:v>
      </x:c>
      <x:c r="D1922" s="6" t="str">
        <x:v>平</x:v>
      </x:c>
      <x:c r="E1922" s="6" t="str">
        <x:v>gi (A)</x:v>
      </x:c>
      <x:c r="F1922" s="6" t="str">
        <x:v>上平聲四支</x:v>
      </x:c>
      <x:c r="G1922" s="6" t="str">
        <x:v>Pingshui main list, Wikisource-derived DOCX</x:v>
      </x:c>
      <x:c r="H1922" s="6" t="str">
        <x:v>1</x:v>
      </x:c>
      <x:c r="I1922" s="6" t="str"/>
      <x:c r="J1922" s="6" t="str">
        <x:f>IF(B1922="","",IF(AND(ISNUMBER(SEARCH("平",B1922)),OR(ISNUMBER(SEARCH("上",B1922)),ISNUMBER(SEARCH("去",B1922)),ISNUMBER(SEARCH("入",B1922)))),"Ambiguous",IF(ISNUMBER(SEARCH("平",B1922)),"平","仄")))</x:f>
        <x:v>平</x:v>
      </x:c>
      <x:c r="K1922" s="6" t="str">
        <x:f>IF(D1922="","",IF(AND(ISNUMBER(SEARCH("平",D1922)),OR(ISNUMBER(SEARCH("上",D1922)),ISNUMBER(SEARCH("去",D1922)),ISNUMBER(SEARCH("入",D1922)))),"Ambiguous",IF(ISNUMBER(SEARCH("平",D1922)),"平","仄")))</x:f>
        <x:v>平</x:v>
      </x:c>
      <x:c r="L1922" s="7" t="str"/>
    </x:row>
    <x:row r="1923">
      <x:c r="A1923" s="5" t="str">
        <x:v>棒</x:v>
      </x:c>
      <x:c r="B1923" s="6" t="str">
        <x:v>上</x:v>
      </x:c>
      <x:c r="C1923" s="6" t="str">
        <x:f>IF(B1923="","Needs decision","Ready")</x:f>
        <x:v>Ready</x:v>
      </x:c>
      <x:c r="D1923" s="6" t="str">
        <x:v>上</x:v>
      </x:c>
      <x:c r="E1923" s="6" t="str"/>
      <x:c r="F1923" s="6" t="str">
        <x:v>上聲三講</x:v>
      </x:c>
      <x:c r="G1923" s="6" t="str">
        <x:v>Pingshui main list, Wikisource-derived DOCX</x:v>
      </x:c>
      <x:c r="H1923" s="6" t="str"/>
      <x:c r="I1923" s="6" t="str">
        <x:v>Manual user correction/addition</x:v>
      </x:c>
      <x:c r="J1923" s="6" t="str">
        <x:f>IF(B1923="","",IF(AND(ISNUMBER(SEARCH("平",B1923)),OR(ISNUMBER(SEARCH("上",B1923)),ISNUMBER(SEARCH("去",B1923)),ISNUMBER(SEARCH("入",B1923)))),"Ambiguous",IF(ISNUMBER(SEARCH("平",B1923)),"平","仄")))</x:f>
        <x:v>仄</x:v>
      </x:c>
      <x:c r="K1923" s="6" t="str">
        <x:f>IF(D1923="","",IF(AND(ISNUMBER(SEARCH("平",D1923)),OR(ISNUMBER(SEARCH("上",D1923)),ISNUMBER(SEARCH("去",D1923)),ISNUMBER(SEARCH("入",D1923)))),"Ambiguous",IF(ISNUMBER(SEARCH("平",D1923)),"平","仄")))</x:f>
        <x:v>仄</x:v>
      </x:c>
      <x:c r="L1923" s="7" t="str">
        <x:v>manual user correction</x:v>
      </x:c>
    </x:row>
    <x:row r="1924">
      <x:c r="A1924" s="5" t="str">
        <x:v>棖</x:v>
      </x:c>
      <x:c r="B1924" s="6" t="str">
        <x:v>平</x:v>
      </x:c>
      <x:c r="C1924" s="6" t="str">
        <x:f>IF(B1924="","Needs decision","Ready")</x:f>
        <x:v>Ready</x:v>
      </x:c>
      <x:c r="D1924" s="6" t="str">
        <x:v>平</x:v>
      </x:c>
      <x:c r="E1924" s="6" t="str">
        <x:v>draeng (A)</x:v>
      </x:c>
      <x:c r="F1924" s="6" t="str">
        <x:v>下平聲八庚</x:v>
      </x:c>
      <x:c r="G1924" s="6" t="str">
        <x:v>Pingshui main list, Wikisource-derived DOCX</x:v>
      </x:c>
      <x:c r="H1924" s="6" t="str">
        <x:v>1</x:v>
      </x:c>
      <x:c r="I1924" s="6" t="str"/>
      <x:c r="J1924" s="6" t="str">
        <x:f>IF(B1924="","",IF(AND(ISNUMBER(SEARCH("平",B1924)),OR(ISNUMBER(SEARCH("上",B1924)),ISNUMBER(SEARCH("去",B1924)),ISNUMBER(SEARCH("入",B1924)))),"Ambiguous",IF(ISNUMBER(SEARCH("平",B1924)),"平","仄")))</x:f>
        <x:v>平</x:v>
      </x:c>
      <x:c r="K1924" s="6" t="str">
        <x:f>IF(D1924="","",IF(AND(ISNUMBER(SEARCH("平",D1924)),OR(ISNUMBER(SEARCH("上",D1924)),ISNUMBER(SEARCH("去",D1924)),ISNUMBER(SEARCH("入",D1924)))),"Ambiguous",IF(ISNUMBER(SEARCH("平",D1924)),"平","仄")))</x:f>
        <x:v>平</x:v>
      </x:c>
      <x:c r="L1924" s="7" t="str"/>
    </x:row>
    <x:row r="1925">
      <x:c r="A1925" s="5" t="str">
        <x:v>棗</x:v>
      </x:c>
      <x:c r="B1925" s="6" t="str">
        <x:v>上</x:v>
      </x:c>
      <x:c r="C1925" s="6" t="str">
        <x:f>IF(B1925="","Needs decision","Ready")</x:f>
        <x:v>Ready</x:v>
      </x:c>
      <x:c r="D1925" s="6" t="str">
        <x:v>上</x:v>
      </x:c>
      <x:c r="E1925" s="6" t="str">
        <x:v>tsawX (B)</x:v>
      </x:c>
      <x:c r="F1925" s="6" t="str">
        <x:v>上聲十九皓</x:v>
      </x:c>
      <x:c r="G1925" s="6" t="str">
        <x:v>Pingshui main list, Wikisource-derived DOCX</x:v>
      </x:c>
      <x:c r="H1925" s="6" t="str">
        <x:v>1</x:v>
      </x:c>
      <x:c r="I1925" s="6" t="str"/>
      <x:c r="J1925" s="6" t="str">
        <x:f>IF(B1925="","",IF(AND(ISNUMBER(SEARCH("平",B1925)),OR(ISNUMBER(SEARCH("上",B1925)),ISNUMBER(SEARCH("去",B1925)),ISNUMBER(SEARCH("入",B1925)))),"Ambiguous",IF(ISNUMBER(SEARCH("平",B1925)),"平","仄")))</x:f>
        <x:v>仄</x:v>
      </x:c>
      <x:c r="K1925" s="6" t="str">
        <x:f>IF(D1925="","",IF(AND(ISNUMBER(SEARCH("平",D1925)),OR(ISNUMBER(SEARCH("上",D1925)),ISNUMBER(SEARCH("去",D1925)),ISNUMBER(SEARCH("入",D1925)))),"Ambiguous",IF(ISNUMBER(SEARCH("平",D1925)),"平","仄")))</x:f>
        <x:v>仄</x:v>
      </x:c>
      <x:c r="L1925" s="7" t="str"/>
    </x:row>
    <x:row r="1926">
      <x:c r="A1926" s="5" t="str">
        <x:v>棘</x:v>
      </x:c>
      <x:c r="B1926" s="6" t="str">
        <x:v>入</x:v>
      </x:c>
      <x:c r="C1926" s="6" t="str">
        <x:f>IF(B1926="","Needs decision","Ready")</x:f>
        <x:v>Ready</x:v>
      </x:c>
      <x:c r="D1926" s="6" t="str">
        <x:v>入</x:v>
      </x:c>
      <x:c r="E1926" s="6" t="str">
        <x:v>kik (D)</x:v>
      </x:c>
      <x:c r="F1926" s="6" t="str">
        <x:v>入聲十三職</x:v>
      </x:c>
      <x:c r="G1926" s="6" t="str">
        <x:v>Pingshui main list, Wikisource-derived DOCX</x:v>
      </x:c>
      <x:c r="H1926" s="6" t="str">
        <x:v>1</x:v>
      </x:c>
      <x:c r="I1926" s="6" t="str"/>
      <x:c r="J1926" s="6" t="str">
        <x:f>IF(B1926="","",IF(AND(ISNUMBER(SEARCH("平",B1926)),OR(ISNUMBER(SEARCH("上",B1926)),ISNUMBER(SEARCH("去",B1926)),ISNUMBER(SEARCH("入",B1926)))),"Ambiguous",IF(ISNUMBER(SEARCH("平",B1926)),"平","仄")))</x:f>
        <x:v>仄</x:v>
      </x:c>
      <x:c r="K1926" s="6" t="str">
        <x:f>IF(D1926="","",IF(AND(ISNUMBER(SEARCH("平",D1926)),OR(ISNUMBER(SEARCH("上",D1926)),ISNUMBER(SEARCH("去",D1926)),ISNUMBER(SEARCH("入",D1926)))),"Ambiguous",IF(ISNUMBER(SEARCH("平",D1926)),"平","仄")))</x:f>
        <x:v>仄</x:v>
      </x:c>
      <x:c r="L1926" s="7" t="str"/>
    </x:row>
    <x:row r="1927">
      <x:c r="A1927" s="5" t="str">
        <x:v>棟</x:v>
      </x:c>
      <x:c r="B1927" s="6" t="str">
        <x:v>去</x:v>
      </x:c>
      <x:c r="C1927" s="6" t="str">
        <x:f>IF(B1927="","Needs decision","Ready")</x:f>
        <x:v>Ready</x:v>
      </x:c>
      <x:c r="D1927" s="6" t="str">
        <x:v>去</x:v>
      </x:c>
      <x:c r="E1927" s="6" t="str">
        <x:v>tuwngH [t̙uŋh] (去)</x:v>
      </x:c>
      <x:c r="F1927" s="6" t="str">
        <x:v>去聲一送</x:v>
      </x:c>
      <x:c r="G1927" s="6" t="str">
        <x:v>Pingshui main list, Wikisource-derived DOCX</x:v>
      </x:c>
      <x:c r="H1927" s="6" t="str">
        <x:v>1</x:v>
      </x:c>
      <x:c r="I1927" s="6" t="str">
        <x:v>Tang 300 gap; frequency 1; provisional from Xun Gong</x:v>
      </x:c>
      <x:c r="J1927" s="6" t="str">
        <x:f>IF(B1927="","",IF(AND(ISNUMBER(SEARCH("平",B1927)),OR(ISNUMBER(SEARCH("上",B1927)),ISNUMBER(SEARCH("去",B1927)),ISNUMBER(SEARCH("入",B1927)))),"Ambiguous",IF(ISNUMBER(SEARCH("平",B1927)),"平","仄")))</x:f>
        <x:v>仄</x:v>
      </x:c>
      <x:c r="K1927" s="6" t="str">
        <x:f>IF(D1927="","",IF(AND(ISNUMBER(SEARCH("平",D1927)),OR(ISNUMBER(SEARCH("上",D1927)),ISNUMBER(SEARCH("去",D1927)),ISNUMBER(SEARCH("入",D1927)))),"Ambiguous",IF(ISNUMBER(SEARCH("平",D1927)),"平","仄")))</x:f>
        <x:v>仄</x:v>
      </x:c>
      <x:c r="L1927" s="7" t="str">
        <x:v>Xun Gong, Tang 300 gap fill</x:v>
      </x:c>
    </x:row>
    <x:row r="1928">
      <x:c r="A1928" s="5" t="str">
        <x:v>棠</x:v>
      </x:c>
      <x:c r="B1928" s="6" t="str">
        <x:v>平</x:v>
      </x:c>
      <x:c r="C1928" s="6" t="str">
        <x:f>IF(B1928="","Needs decision","Ready")</x:f>
        <x:v>Ready</x:v>
      </x:c>
      <x:c r="D1928" s="6" t="str">
        <x:v>平</x:v>
      </x:c>
      <x:c r="E1928" s="6" t="str">
        <x:v>dang (A)</x:v>
      </x:c>
      <x:c r="F1928" s="6" t="str">
        <x:v>下平聲七陽</x:v>
      </x:c>
      <x:c r="G1928" s="6" t="str">
        <x:v>Pingshui main list, Wikisource-derived DOCX</x:v>
      </x:c>
      <x:c r="H1928" s="6" t="str">
        <x:v>1</x:v>
      </x:c>
      <x:c r="I1928" s="6" t="str"/>
      <x:c r="J1928" s="6" t="str">
        <x:f>IF(B1928="","",IF(AND(ISNUMBER(SEARCH("平",B1928)),OR(ISNUMBER(SEARCH("上",B1928)),ISNUMBER(SEARCH("去",B1928)),ISNUMBER(SEARCH("入",B1928)))),"Ambiguous",IF(ISNUMBER(SEARCH("平",B1928)),"平","仄")))</x:f>
        <x:v>平</x:v>
      </x:c>
      <x:c r="K1928" s="6" t="str">
        <x:f>IF(D1928="","",IF(AND(ISNUMBER(SEARCH("平",D1928)),OR(ISNUMBER(SEARCH("上",D1928)),ISNUMBER(SEARCH("去",D1928)),ISNUMBER(SEARCH("入",D1928)))),"Ambiguous",IF(ISNUMBER(SEARCH("平",D1928)),"平","仄")))</x:f>
        <x:v>平</x:v>
      </x:c>
      <x:c r="L1928" s="7" t="str"/>
    </x:row>
    <x:row r="1929">
      <x:c r="A1929" s="5" t="str">
        <x:v>棣</x:v>
      </x:c>
      <x:c r="B1929" s="6" t="str">
        <x:v>去</x:v>
      </x:c>
      <x:c r="C1929" s="6" t="str">
        <x:f>IF(B1929="","Needs decision","Ready")</x:f>
        <x:v>Ready</x:v>
      </x:c>
      <x:c r="D1929" s="6" t="str">
        <x:v>去</x:v>
      </x:c>
      <x:c r="E1929" s="6" t="str">
        <x:v>dejH (C)</x:v>
      </x:c>
      <x:c r="F1929" s="6" t="str">
        <x:v>去聲八霽</x:v>
      </x:c>
      <x:c r="G1929" s="6" t="str">
        <x:v>Pingshui main list, Wikisource-derived DOCX</x:v>
      </x:c>
      <x:c r="H1929" s="6" t="str">
        <x:v>1</x:v>
      </x:c>
      <x:c r="I1929" s="6" t="str"/>
      <x:c r="J1929" s="6" t="str">
        <x:f>IF(B1929="","",IF(AND(ISNUMBER(SEARCH("平",B1929)),OR(ISNUMBER(SEARCH("上",B1929)),ISNUMBER(SEARCH("去",B1929)),ISNUMBER(SEARCH("入",B1929)))),"Ambiguous",IF(ISNUMBER(SEARCH("平",B1929)),"平","仄")))</x:f>
        <x:v>仄</x:v>
      </x:c>
      <x:c r="K1929" s="6" t="str">
        <x:f>IF(D1929="","",IF(AND(ISNUMBER(SEARCH("平",D1929)),OR(ISNUMBER(SEARCH("上",D1929)),ISNUMBER(SEARCH("去",D1929)),ISNUMBER(SEARCH("入",D1929)))),"Ambiguous",IF(ISNUMBER(SEARCH("平",D1929)),"平","仄")))</x:f>
        <x:v>仄</x:v>
      </x:c>
      <x:c r="L1929" s="7" t="str"/>
    </x:row>
    <x:row r="1930">
      <x:c r="A1930" s="5" t="str">
        <x:v>棧</x:v>
      </x:c>
      <x:c r="B1930" s="6" t="str"/>
      <x:c r="C1930" s="6" t="str">
        <x:f>IF(B1930="","Needs decision","Ready")</x:f>
        <x:v>Needs decision</x:v>
      </x:c>
      <x:c r="D1930" s="6" t="str">
        <x:v>上/去</x:v>
      </x:c>
      <x:c r="E1930" s="6" t="str">
        <x:v>dzraenX (B); dzraenH (C); dzreanX (B)</x:v>
      </x:c>
      <x:c r="F1930" s="6" t="str">
        <x:v>上聲十五潸; 上聲十六銑; 去聲十六諫</x:v>
      </x:c>
      <x:c r="G1930" s="6" t="str">
        <x:v>Pingshui main list, Wikisource-derived DOCX</x:v>
      </x:c>
      <x:c r="H1930" s="6" t="str">
        <x:v>3</x:v>
      </x:c>
      <x:c r="I1930" s="6" t="str"/>
      <x:c r="J1930" s="6" t="str">
        <x:f>IF(B1930="","",IF(AND(ISNUMBER(SEARCH("平",B1930)),OR(ISNUMBER(SEARCH("上",B1930)),ISNUMBER(SEARCH("去",B1930)),ISNUMBER(SEARCH("入",B1930)))),"Ambiguous",IF(ISNUMBER(SEARCH("平",B1930)),"平","仄")))</x:f>
      </x:c>
      <x:c r="K1930" s="6" t="str">
        <x:f>IF(D1930="","",IF(AND(ISNUMBER(SEARCH("平",D1930)),OR(ISNUMBER(SEARCH("上",D1930)),ISNUMBER(SEARCH("去",D1930)),ISNUMBER(SEARCH("入",D1930)))),"Ambiguous",IF(ISNUMBER(SEARCH("平",D1930)),"平","仄")))</x:f>
        <x:v>仄</x:v>
      </x:c>
      <x:c r="L1930" s="7" t="str"/>
    </x:row>
    <x:row r="1931">
      <x:c r="A1931" s="5" t="str">
        <x:v>森</x:v>
      </x:c>
      <x:c r="B1931" s="6" t="str">
        <x:v>平</x:v>
      </x:c>
      <x:c r="C1931" s="6" t="str">
        <x:f>IF(B1931="","Needs decision","Ready")</x:f>
        <x:v>Ready</x:v>
      </x:c>
      <x:c r="D1931" s="6" t="str">
        <x:v>平</x:v>
      </x:c>
      <x:c r="E1931" s="6" t="str">
        <x:v>srim (A)</x:v>
      </x:c>
      <x:c r="F1931" s="6" t="str">
        <x:v>下平聲十二侵</x:v>
      </x:c>
      <x:c r="G1931" s="6" t="str">
        <x:v>Pingshui main list, Wikisource-derived DOCX</x:v>
      </x:c>
      <x:c r="H1931" s="6" t="str">
        <x:v>1</x:v>
      </x:c>
      <x:c r="I1931" s="6" t="str"/>
      <x:c r="J1931" s="6" t="str">
        <x:f>IF(B1931="","",IF(AND(ISNUMBER(SEARCH("平",B1931)),OR(ISNUMBER(SEARCH("上",B1931)),ISNUMBER(SEARCH("去",B1931)),ISNUMBER(SEARCH("入",B1931)))),"Ambiguous",IF(ISNUMBER(SEARCH("平",B1931)),"平","仄")))</x:f>
        <x:v>平</x:v>
      </x:c>
      <x:c r="K1931" s="6" t="str">
        <x:f>IF(D1931="","",IF(AND(ISNUMBER(SEARCH("平",D1931)),OR(ISNUMBER(SEARCH("上",D1931)),ISNUMBER(SEARCH("去",D1931)),ISNUMBER(SEARCH("入",D1931)))),"Ambiguous",IF(ISNUMBER(SEARCH("平",D1931)),"平","仄")))</x:f>
        <x:v>平</x:v>
      </x:c>
      <x:c r="L1931" s="7" t="str"/>
    </x:row>
    <x:row r="1932">
      <x:c r="A1932" s="5" t="str">
        <x:v>棰</x:v>
      </x:c>
      <x:c r="B1932" s="6" t="str">
        <x:v>平</x:v>
      </x:c>
      <x:c r="C1932" s="6" t="str">
        <x:f>IF(B1932="","Needs decision","Ready")</x:f>
        <x:v>Ready</x:v>
      </x:c>
      <x:c r="D1932" s="6" t="str">
        <x:v>平</x:v>
      </x:c>
      <x:c r="E1932" s="6" t="str"/>
      <x:c r="F1932" s="6" t="str"/>
      <x:c r="G1932" s="6" t="str"/>
      <x:c r="H1932" s="6" t="str">
        <x:v>0</x:v>
      </x:c>
      <x:c r="I1932" s="6" t="str">
        <x:v>User correction 2026-09-08; added manually</x:v>
      </x:c>
      <x:c r="J1932" s="6" t="str">
        <x:f>IF(B1932="","",IF(AND(ISNUMBER(SEARCH("平",B1932)),OR(ISNUMBER(SEARCH("上",B1932)),ISNUMBER(SEARCH("去",B1932)),ISNUMBER(SEARCH("入",B1932)))),"Ambiguous",IF(ISNUMBER(SEARCH("平",B1932)),"平","仄")))</x:f>
        <x:v>平</x:v>
      </x:c>
      <x:c r="K1932" s="6" t="str">
        <x:f>IF(D1932="","",IF(AND(ISNUMBER(SEARCH("平",D1932)),OR(ISNUMBER(SEARCH("上",D1932)),ISNUMBER(SEARCH("去",D1932)),ISNUMBER(SEARCH("入",D1932)))),"Ambiguous",IF(ISNUMBER(SEARCH("平",D1932)),"平","仄")))</x:f>
        <x:v>平</x:v>
      </x:c>
      <x:c r="L1932" s="7" t="str">
        <x:v>User correction</x:v>
      </x:c>
    </x:row>
    <x:row r="1933">
      <x:c r="A1933" s="5" t="str">
        <x:v>棲</x:v>
      </x:c>
      <x:c r="B1933" s="6" t="str">
        <x:v>平</x:v>
      </x:c>
      <x:c r="C1933" s="6" t="str">
        <x:f>IF(B1933="","Needs decision","Ready")</x:f>
        <x:v>Ready</x:v>
      </x:c>
      <x:c r="D1933" s="6" t="str">
        <x:v>平</x:v>
      </x:c>
      <x:c r="E1933" s="6" t="str">
        <x:v>sej (A)</x:v>
      </x:c>
      <x:c r="F1933" s="6" t="str">
        <x:v>上平聲八齊</x:v>
      </x:c>
      <x:c r="G1933" s="6" t="str">
        <x:v>Pingshui main list, Wikisource-derived DOCX</x:v>
      </x:c>
      <x:c r="H1933" s="6" t="str">
        <x:v>1</x:v>
      </x:c>
      <x:c r="I1933" s="6" t="str"/>
      <x:c r="J1933" s="6" t="str">
        <x:f>IF(B1933="","",IF(AND(ISNUMBER(SEARCH("平",B1933)),OR(ISNUMBER(SEARCH("上",B1933)),ISNUMBER(SEARCH("去",B1933)),ISNUMBER(SEARCH("入",B1933)))),"Ambiguous",IF(ISNUMBER(SEARCH("平",B1933)),"平","仄")))</x:f>
        <x:v>平</x:v>
      </x:c>
      <x:c r="K1933" s="6" t="str">
        <x:f>IF(D1933="","",IF(AND(ISNUMBER(SEARCH("平",D1933)),OR(ISNUMBER(SEARCH("上",D1933)),ISNUMBER(SEARCH("去",D1933)),ISNUMBER(SEARCH("入",D1933)))),"Ambiguous",IF(ISNUMBER(SEARCH("平",D1933)),"平","仄")))</x:f>
        <x:v>平</x:v>
      </x:c>
      <x:c r="L1933" s="7" t="str"/>
    </x:row>
    <x:row r="1934">
      <x:c r="A1934" s="5" t="str">
        <x:v>棹</x:v>
      </x:c>
      <x:c r="B1934" s="6" t="str">
        <x:v>去</x:v>
      </x:c>
      <x:c r="C1934" s="6" t="str">
        <x:f>IF(B1934="","Needs decision","Ready")</x:f>
        <x:v>Ready</x:v>
      </x:c>
      <x:c r="D1934" s="6" t="str">
        <x:v>去</x:v>
      </x:c>
      <x:c r="E1934" s="6" t="str">
        <x:v>draewH [ɖaˤwh] (去)</x:v>
      </x:c>
      <x:c r="F1934" s="6" t="str"/>
      <x:c r="G1934" s="6" t="str"/>
      <x:c r="H1934" s="6" t="str">
        <x:v>1</x:v>
      </x:c>
      <x:c r="I1934" s="6" t="str">
        <x:v>Tang 300 gap; frequency 3; provisional from Xun Gong</x:v>
      </x:c>
      <x:c r="J1934" s="6" t="str">
        <x:f>IF(B1934="","",IF(AND(ISNUMBER(SEARCH("平",B1934)),OR(ISNUMBER(SEARCH("上",B1934)),ISNUMBER(SEARCH("去",B1934)),ISNUMBER(SEARCH("入",B1934)))),"Ambiguous",IF(ISNUMBER(SEARCH("平",B1934)),"平","仄")))</x:f>
        <x:v>仄</x:v>
      </x:c>
      <x:c r="K1934" s="6" t="str">
        <x:f>IF(D1934="","",IF(AND(ISNUMBER(SEARCH("平",D1934)),OR(ISNUMBER(SEARCH("上",D1934)),ISNUMBER(SEARCH("去",D1934)),ISNUMBER(SEARCH("入",D1934)))),"Ambiguous",IF(ISNUMBER(SEARCH("平",D1934)),"平","仄")))</x:f>
        <x:v>仄</x:v>
      </x:c>
      <x:c r="L1934" s="7" t="str">
        <x:v>Xun Gong, Tang 300 gap fill</x:v>
      </x:c>
    </x:row>
    <x:row r="1935">
      <x:c r="A1935" s="5" t="str">
        <x:v>棺</x:v>
      </x:c>
      <x:c r="B1935" s="6" t="str">
        <x:v>平</x:v>
      </x:c>
      <x:c r="C1935" s="6" t="str">
        <x:f>IF(B1935="","Needs decision","Ready")</x:f>
        <x:v>Ready</x:v>
      </x:c>
      <x:c r="D1935" s="6" t="str">
        <x:v>平</x:v>
      </x:c>
      <x:c r="E1935" s="6" t="str">
        <x:v>kwan (A)</x:v>
      </x:c>
      <x:c r="F1935" s="6" t="str">
        <x:v>上平聲十四寒</x:v>
      </x:c>
      <x:c r="G1935" s="6" t="str">
        <x:v>Pingshui main list, Wikisource-derived DOCX</x:v>
      </x:c>
      <x:c r="H1935" s="6" t="str">
        <x:v>1</x:v>
      </x:c>
      <x:c r="I1935" s="6" t="str"/>
      <x:c r="J1935" s="6" t="str">
        <x:f>IF(B1935="","",IF(AND(ISNUMBER(SEARCH("平",B1935)),OR(ISNUMBER(SEARCH("上",B1935)),ISNUMBER(SEARCH("去",B1935)),ISNUMBER(SEARCH("入",B1935)))),"Ambiguous",IF(ISNUMBER(SEARCH("平",B1935)),"平","仄")))</x:f>
        <x:v>平</x:v>
      </x:c>
      <x:c r="K1935" s="6" t="str">
        <x:f>IF(D1935="","",IF(AND(ISNUMBER(SEARCH("平",D1935)),OR(ISNUMBER(SEARCH("上",D1935)),ISNUMBER(SEARCH("去",D1935)),ISNUMBER(SEARCH("入",D1935)))),"Ambiguous",IF(ISNUMBER(SEARCH("平",D1935)),"平","仄")))</x:f>
        <x:v>平</x:v>
      </x:c>
      <x:c r="L1935" s="7" t="str"/>
    </x:row>
    <x:row r="1936">
      <x:c r="A1936" s="5" t="str">
        <x:v>棼</x:v>
      </x:c>
      <x:c r="B1936" s="6" t="str">
        <x:v>平</x:v>
      </x:c>
      <x:c r="C1936" s="6" t="str">
        <x:f>IF(B1936="","Needs decision","Ready")</x:f>
        <x:v>Ready</x:v>
      </x:c>
      <x:c r="D1936" s="6" t="str">
        <x:v>平</x:v>
      </x:c>
      <x:c r="E1936" s="6" t="str"/>
      <x:c r="F1936" s="6" t="str">
        <x:v>上平聲十二文</x:v>
      </x:c>
      <x:c r="G1936" s="6" t="str">
        <x:v>Pingshui main list, Wikisource-derived DOCX</x:v>
      </x:c>
      <x:c r="H1936" s="6" t="str"/>
      <x:c r="I1936" s="6" t="str">
        <x:v>Manual user correction/addition</x:v>
      </x:c>
      <x:c r="J1936" s="6" t="str">
        <x:f>IF(B1936="","",IF(AND(ISNUMBER(SEARCH("平",B1936)),OR(ISNUMBER(SEARCH("上",B1936)),ISNUMBER(SEARCH("去",B1936)),ISNUMBER(SEARCH("入",B1936)))),"Ambiguous",IF(ISNUMBER(SEARCH("平",B1936)),"平","仄")))</x:f>
        <x:v>平</x:v>
      </x:c>
      <x:c r="K1936" s="6" t="str">
        <x:f>IF(D1936="","",IF(AND(ISNUMBER(SEARCH("平",D1936)),OR(ISNUMBER(SEARCH("上",D1936)),ISNUMBER(SEARCH("去",D1936)),ISNUMBER(SEARCH("入",D1936)))),"Ambiguous",IF(ISNUMBER(SEARCH("平",D1936)),"平","仄")))</x:f>
        <x:v>平</x:v>
      </x:c>
      <x:c r="L1936" s="7" t="str">
        <x:v>manual user correction</x:v>
      </x:c>
    </x:row>
    <x:row r="1937">
      <x:c r="A1937" s="5" t="str">
        <x:v>椄</x:v>
      </x:c>
      <x:c r="B1937" s="6" t="str">
        <x:v>入</x:v>
      </x:c>
      <x:c r="C1937" s="6" t="str">
        <x:f>IF(B1937="","Needs decision","Ready")</x:f>
        <x:v>Ready</x:v>
      </x:c>
      <x:c r="D1937" s="6" t="str">
        <x:v>入</x:v>
      </x:c>
      <x:c r="E1937" s="6" t="str">
        <x:v>tsjep (D)</x:v>
      </x:c>
      <x:c r="F1937" s="6" t="str">
        <x:v>入聲十六葉</x:v>
      </x:c>
      <x:c r="G1937" s="6" t="str">
        <x:v>Pingshui main list, Wikisource-derived DOCX</x:v>
      </x:c>
      <x:c r="H1937" s="6" t="str">
        <x:v>1</x:v>
      </x:c>
      <x:c r="I1937" s="6" t="str"/>
      <x:c r="J1937" s="6" t="str">
        <x:f>IF(B1937="","",IF(AND(ISNUMBER(SEARCH("平",B1937)),OR(ISNUMBER(SEARCH("上",B1937)),ISNUMBER(SEARCH("去",B1937)),ISNUMBER(SEARCH("入",B1937)))),"Ambiguous",IF(ISNUMBER(SEARCH("平",B1937)),"平","仄")))</x:f>
        <x:v>仄</x:v>
      </x:c>
      <x:c r="K1937" s="6" t="str">
        <x:f>IF(D1937="","",IF(AND(ISNUMBER(SEARCH("平",D1937)),OR(ISNUMBER(SEARCH("上",D1937)),ISNUMBER(SEARCH("去",D1937)),ISNUMBER(SEARCH("入",D1937)))),"Ambiguous",IF(ISNUMBER(SEARCH("平",D1937)),"平","仄")))</x:f>
        <x:v>仄</x:v>
      </x:c>
      <x:c r="L1937" s="7" t="str"/>
    </x:row>
    <x:row r="1938">
      <x:c r="A1938" s="5" t="str">
        <x:v>椅</x:v>
      </x:c>
      <x:c r="B1938" s="6" t="str">
        <x:v>上</x:v>
      </x:c>
      <x:c r="C1938" s="6" t="str">
        <x:f>IF(B1938="","Needs decision","Ready")</x:f>
        <x:v>Ready</x:v>
      </x:c>
      <x:c r="D1938" s="6" t="str">
        <x:v>上</x:v>
      </x:c>
      <x:c r="E1938" s="6" t="str">
        <x:v>'jeX (B)</x:v>
      </x:c>
      <x:c r="F1938" s="6" t="str">
        <x:v>上平聲四支</x:v>
      </x:c>
      <x:c r="G1938" s="6" t="str">
        <x:v>Pingshui main list, Wikisource-derived DOCX</x:v>
      </x:c>
      <x:c r="H1938" s="6" t="str">
        <x:v>1</x:v>
      </x:c>
      <x:c r="I1938" s="6" t="str"/>
      <x:c r="J1938" s="6" t="str">
        <x:f>IF(B1938="","",IF(AND(ISNUMBER(SEARCH("平",B1938)),OR(ISNUMBER(SEARCH("上",B1938)),ISNUMBER(SEARCH("去",B1938)),ISNUMBER(SEARCH("入",B1938)))),"Ambiguous",IF(ISNUMBER(SEARCH("平",B1938)),"平","仄")))</x:f>
        <x:v>仄</x:v>
      </x:c>
      <x:c r="K1938" s="6" t="str">
        <x:f>IF(D1938="","",IF(AND(ISNUMBER(SEARCH("平",D1938)),OR(ISNUMBER(SEARCH("上",D1938)),ISNUMBER(SEARCH("去",D1938)),ISNUMBER(SEARCH("入",D1938)))),"Ambiguous",IF(ISNUMBER(SEARCH("平",D1938)),"平","仄")))</x:f>
        <x:v>仄</x:v>
      </x:c>
      <x:c r="L1938" s="7" t="str"/>
    </x:row>
    <x:row r="1939">
      <x:c r="A1939" s="5" t="str">
        <x:v>植</x:v>
      </x:c>
      <x:c r="B1939" s="6" t="str">
        <x:v>入</x:v>
      </x:c>
      <x:c r="C1939" s="6" t="str">
        <x:f>IF(B1939="","Needs decision","Ready")</x:f>
        <x:v>Ready</x:v>
      </x:c>
      <x:c r="D1939" s="6" t="str">
        <x:v>去/入</x:v>
      </x:c>
      <x:c r="E1939" s="6" t="str">
        <x:v>driH (C); dzyik (D)</x:v>
      </x:c>
      <x:c r="F1939" s="6" t="str">
        <x:v>去聲四寘; 入聲十三職</x:v>
      </x:c>
      <x:c r="G1939" s="6" t="str">
        <x:v>Pingshui main list, Wikisource-derived DOCX</x:v>
      </x:c>
      <x:c r="H1939" s="6" t="str">
        <x:v>2</x:v>
      </x:c>
      <x:c r="I1939" s="6" t="str">
        <x:v>User workbook edit 2026-09-03</x:v>
      </x:c>
      <x:c r="J1939" s="6" t="str">
        <x:f>IF(B1939="","",IF(AND(ISNUMBER(SEARCH("平",B1939)),OR(ISNUMBER(SEARCH("上",B1939)),ISNUMBER(SEARCH("去",B1939)),ISNUMBER(SEARCH("入",B1939)))),"Ambiguous",IF(ISNUMBER(SEARCH("平",B1939)),"平","仄")))</x:f>
        <x:v>仄</x:v>
      </x:c>
      <x:c r="K1939" s="6" t="str">
        <x:f>IF(D1939="","",IF(AND(ISNUMBER(SEARCH("平",D1939)),OR(ISNUMBER(SEARCH("上",D1939)),ISNUMBER(SEARCH("去",D1939)),ISNUMBER(SEARCH("入",D1939)))),"Ambiguous",IF(ISNUMBER(SEARCH("平",D1939)),"平","仄")))</x:f>
        <x:v>仄</x:v>
      </x:c>
      <x:c r="L1939" s="7" t="str">
        <x:v>manual user correction</x:v>
      </x:c>
    </x:row>
    <x:row r="1940">
      <x:c r="A1940" s="5" t="str">
        <x:v>椎</x:v>
      </x:c>
      <x:c r="B1940" s="6" t="str">
        <x:v>平</x:v>
      </x:c>
      <x:c r="C1940" s="6" t="str">
        <x:f>IF(B1940="","Needs decision","Ready")</x:f>
        <x:v>Ready</x:v>
      </x:c>
      <x:c r="D1940" s="6" t="str">
        <x:v>平</x:v>
      </x:c>
      <x:c r="E1940" s="6" t="str">
        <x:v>drwij (A)</x:v>
      </x:c>
      <x:c r="F1940" s="6" t="str">
        <x:v>上平聲四支</x:v>
      </x:c>
      <x:c r="G1940" s="6" t="str">
        <x:v>Pingshui main list, Wikisource-derived DOCX</x:v>
      </x:c>
      <x:c r="H1940" s="6" t="str">
        <x:v>1</x:v>
      </x:c>
      <x:c r="I1940" s="6" t="str"/>
      <x:c r="J1940" s="6" t="str">
        <x:f>IF(B1940="","",IF(AND(ISNUMBER(SEARCH("平",B1940)),OR(ISNUMBER(SEARCH("上",B1940)),ISNUMBER(SEARCH("去",B1940)),ISNUMBER(SEARCH("入",B1940)))),"Ambiguous",IF(ISNUMBER(SEARCH("平",B1940)),"平","仄")))</x:f>
        <x:v>平</x:v>
      </x:c>
      <x:c r="K1940" s="6" t="str">
        <x:f>IF(D1940="","",IF(AND(ISNUMBER(SEARCH("平",D1940)),OR(ISNUMBER(SEARCH("上",D1940)),ISNUMBER(SEARCH("去",D1940)),ISNUMBER(SEARCH("入",D1940)))),"Ambiguous",IF(ISNUMBER(SEARCH("平",D1940)),"平","仄")))</x:f>
        <x:v>平</x:v>
      </x:c>
      <x:c r="L1940" s="7" t="str"/>
    </x:row>
    <x:row r="1941">
      <x:c r="A1941" s="5" t="str">
        <x:v>椒</x:v>
      </x:c>
      <x:c r="B1941" s="6" t="str">
        <x:v>平</x:v>
      </x:c>
      <x:c r="C1941" s="6" t="str">
        <x:f>IF(B1941="","Needs decision","Ready")</x:f>
        <x:v>Ready</x:v>
      </x:c>
      <x:c r="D1941" s="6" t="str">
        <x:v>平</x:v>
      </x:c>
      <x:c r="E1941" s="6" t="str">
        <x:v>tsew (A); tsjew (A)</x:v>
      </x:c>
      <x:c r="F1941" s="6" t="str">
        <x:v>下平聲二蕭</x:v>
      </x:c>
      <x:c r="G1941" s="6" t="str">
        <x:v>Pingshui main list, Wikisource-derived DOCX</x:v>
      </x:c>
      <x:c r="H1941" s="6" t="str">
        <x:v>2</x:v>
      </x:c>
      <x:c r="I1941" s="6" t="str"/>
      <x:c r="J1941" s="6" t="str">
        <x:f>IF(B1941="","",IF(AND(ISNUMBER(SEARCH("平",B1941)),OR(ISNUMBER(SEARCH("上",B1941)),ISNUMBER(SEARCH("去",B1941)),ISNUMBER(SEARCH("入",B1941)))),"Ambiguous",IF(ISNUMBER(SEARCH("平",B1941)),"平","仄")))</x:f>
        <x:v>平</x:v>
      </x:c>
      <x:c r="K1941" s="6" t="str">
        <x:f>IF(D1941="","",IF(AND(ISNUMBER(SEARCH("平",D1941)),OR(ISNUMBER(SEARCH("上",D1941)),ISNUMBER(SEARCH("去",D1941)),ISNUMBER(SEARCH("入",D1941)))),"Ambiguous",IF(ISNUMBER(SEARCH("平",D1941)),"平","仄")))</x:f>
        <x:v>平</x:v>
      </x:c>
      <x:c r="L1941" s="7" t="str"/>
    </x:row>
    <x:row r="1942">
      <x:c r="A1942" s="5" t="str">
        <x:v>椰</x:v>
      </x:c>
      <x:c r="B1942" s="6" t="str">
        <x:v>平</x:v>
      </x:c>
      <x:c r="C1942" s="6" t="str">
        <x:f>IF(B1942="","Needs decision","Ready")</x:f>
        <x:v>Ready</x:v>
      </x:c>
      <x:c r="D1942" s="6" t="str">
        <x:v>平</x:v>
      </x:c>
      <x:c r="E1942" s="6" t="str"/>
      <x:c r="F1942" s="6" t="str">
        <x:v>下平聲六麻</x:v>
      </x:c>
      <x:c r="G1942" s="6" t="str">
        <x:v>Pingshui main list, Wikisource-derived DOCX</x:v>
      </x:c>
      <x:c r="H1942" s="6" t="str">
        <x:v>0</x:v>
      </x:c>
      <x:c r="I1942" s="6" t="str">
        <x:v>User correction 2026-09-08; added manually</x:v>
      </x:c>
      <x:c r="J1942" s="6" t="str">
        <x:f>IF(B1942="","",IF(AND(ISNUMBER(SEARCH("平",B1942)),OR(ISNUMBER(SEARCH("上",B1942)),ISNUMBER(SEARCH("去",B1942)),ISNUMBER(SEARCH("入",B1942)))),"Ambiguous",IF(ISNUMBER(SEARCH("平",B1942)),"平","仄")))</x:f>
        <x:v>平</x:v>
      </x:c>
      <x:c r="K1942" s="6" t="str">
        <x:f>IF(D1942="","",IF(AND(ISNUMBER(SEARCH("平",D1942)),OR(ISNUMBER(SEARCH("上",D1942)),ISNUMBER(SEARCH("去",D1942)),ISNUMBER(SEARCH("入",D1942)))),"Ambiguous",IF(ISNUMBER(SEARCH("平",D1942)),"平","仄")))</x:f>
        <x:v>平</x:v>
      </x:c>
      <x:c r="L1942" s="7" t="str">
        <x:v>User correction</x:v>
      </x:c>
    </x:row>
    <x:row r="1943">
      <x:c r="A1943" s="5" t="str">
        <x:v>椹</x:v>
      </x:c>
      <x:c r="B1943" s="6" t="str">
        <x:v>平</x:v>
      </x:c>
      <x:c r="C1943" s="6" t="str">
        <x:f>IF(B1943="","Needs decision","Ready")</x:f>
        <x:v>Ready</x:v>
      </x:c>
      <x:c r="D1943" s="6" t="str">
        <x:v>平</x:v>
      </x:c>
      <x:c r="E1943" s="6" t="str">
        <x:v>trim (A)</x:v>
      </x:c>
      <x:c r="F1943" s="6" t="str">
        <x:v>下平聲十二侵</x:v>
      </x:c>
      <x:c r="G1943" s="6" t="str">
        <x:v>Pingshui main list, Wikisource-derived DOCX</x:v>
      </x:c>
      <x:c r="H1943" s="6" t="str">
        <x:v>1</x:v>
      </x:c>
      <x:c r="I1943" s="6" t="str"/>
      <x:c r="J1943" s="6" t="str">
        <x:f>IF(B1943="","",IF(AND(ISNUMBER(SEARCH("平",B1943)),OR(ISNUMBER(SEARCH("上",B1943)),ISNUMBER(SEARCH("去",B1943)),ISNUMBER(SEARCH("入",B1943)))),"Ambiguous",IF(ISNUMBER(SEARCH("平",B1943)),"平","仄")))</x:f>
        <x:v>平</x:v>
      </x:c>
      <x:c r="K1943" s="6" t="str">
        <x:f>IF(D1943="","",IF(AND(ISNUMBER(SEARCH("平",D1943)),OR(ISNUMBER(SEARCH("上",D1943)),ISNUMBER(SEARCH("去",D1943)),ISNUMBER(SEARCH("入",D1943)))),"Ambiguous",IF(ISNUMBER(SEARCH("平",D1943)),"平","仄")))</x:f>
        <x:v>平</x:v>
      </x:c>
      <x:c r="L1943" s="7" t="str"/>
    </x:row>
    <x:row r="1944">
      <x:c r="A1944" s="5" t="str">
        <x:v>椽</x:v>
      </x:c>
      <x:c r="B1944" s="6" t="str">
        <x:v>平</x:v>
      </x:c>
      <x:c r="C1944" s="6" t="str">
        <x:f>IF(B1944="","Needs decision","Ready")</x:f>
        <x:v>Ready</x:v>
      </x:c>
      <x:c r="D1944" s="6" t="str">
        <x:v>平</x:v>
      </x:c>
      <x:c r="E1944" s="6" t="str">
        <x:v>drjwen (A)</x:v>
      </x:c>
      <x:c r="F1944" s="6" t="str">
        <x:v>下平聲一先</x:v>
      </x:c>
      <x:c r="G1944" s="6" t="str">
        <x:v>Pingshui main list, Wikisource-derived DOCX</x:v>
      </x:c>
      <x:c r="H1944" s="6" t="str">
        <x:v>1</x:v>
      </x:c>
      <x:c r="I1944" s="6" t="str"/>
      <x:c r="J1944" s="6" t="str">
        <x:f>IF(B1944="","",IF(AND(ISNUMBER(SEARCH("平",B1944)),OR(ISNUMBER(SEARCH("上",B1944)),ISNUMBER(SEARCH("去",B1944)),ISNUMBER(SEARCH("入",B1944)))),"Ambiguous",IF(ISNUMBER(SEARCH("平",B1944)),"平","仄")))</x:f>
        <x:v>平</x:v>
      </x:c>
      <x:c r="K1944" s="6" t="str">
        <x:f>IF(D1944="","",IF(AND(ISNUMBER(SEARCH("平",D1944)),OR(ISNUMBER(SEARCH("上",D1944)),ISNUMBER(SEARCH("去",D1944)),ISNUMBER(SEARCH("入",D1944)))),"Ambiguous",IF(ISNUMBER(SEARCH("平",D1944)),"平","仄")))</x:f>
        <x:v>平</x:v>
      </x:c>
      <x:c r="L1944" s="7" t="str"/>
    </x:row>
    <x:row r="1945">
      <x:c r="A1945" s="5" t="str">
        <x:v>椿</x:v>
      </x:c>
      <x:c r="B1945" s="6" t="str">
        <x:v>平</x:v>
      </x:c>
      <x:c r="C1945" s="6" t="str">
        <x:f>IF(B1945="","Needs decision","Ready")</x:f>
        <x:v>Ready</x:v>
      </x:c>
      <x:c r="D1945" s="6" t="str">
        <x:v>平</x:v>
      </x:c>
      <x:c r="E1945" s="6" t="str"/>
      <x:c r="F1945" s="6" t="str">
        <x:v>上平聲十一真</x:v>
      </x:c>
      <x:c r="G1945" s="6" t="str">
        <x:v>Pingshui main list, Wikisource-derived DOCX</x:v>
      </x:c>
      <x:c r="H1945" s="6" t="str">
        <x:v>0</x:v>
      </x:c>
      <x:c r="I1945" s="6" t="str">
        <x:v>User correction 2026-09-08; added manually</x:v>
      </x:c>
      <x:c r="J1945" s="6" t="str">
        <x:f>IF(B1945="","",IF(AND(ISNUMBER(SEARCH("平",B1945)),OR(ISNUMBER(SEARCH("上",B1945)),ISNUMBER(SEARCH("去",B1945)),ISNUMBER(SEARCH("入",B1945)))),"Ambiguous",IF(ISNUMBER(SEARCH("平",B1945)),"平","仄")))</x:f>
        <x:v>平</x:v>
      </x:c>
      <x:c r="K1945" s="6" t="str">
        <x:f>IF(D1945="","",IF(AND(ISNUMBER(SEARCH("平",D1945)),OR(ISNUMBER(SEARCH("上",D1945)),ISNUMBER(SEARCH("去",D1945)),ISNUMBER(SEARCH("入",D1945)))),"Ambiguous",IF(ISNUMBER(SEARCH("平",D1945)),"平","仄")))</x:f>
        <x:v>平</x:v>
      </x:c>
      <x:c r="L1945" s="7" t="str">
        <x:v>User correction</x:v>
      </x:c>
    </x:row>
    <x:row r="1946">
      <x:c r="A1946" s="5" t="str">
        <x:v>楊</x:v>
      </x:c>
      <x:c r="B1946" s="6" t="str">
        <x:v>平</x:v>
      </x:c>
      <x:c r="C1946" s="6" t="str">
        <x:f>IF(B1946="","Needs decision","Ready")</x:f>
        <x:v>Ready</x:v>
      </x:c>
      <x:c r="D1946" s="6" t="str">
        <x:v>平</x:v>
      </x:c>
      <x:c r="E1946" s="6" t="str">
        <x:v>yang (A)</x:v>
      </x:c>
      <x:c r="F1946" s="6" t="str">
        <x:v>下平聲七陽</x:v>
      </x:c>
      <x:c r="G1946" s="6" t="str">
        <x:v>Pingshui main list, Wikisource-derived DOCX</x:v>
      </x:c>
      <x:c r="H1946" s="6" t="str">
        <x:v>1</x:v>
      </x:c>
      <x:c r="I1946" s="6" t="str"/>
      <x:c r="J1946" s="6" t="str">
        <x:f>IF(B1946="","",IF(AND(ISNUMBER(SEARCH("平",B1946)),OR(ISNUMBER(SEARCH("上",B1946)),ISNUMBER(SEARCH("去",B1946)),ISNUMBER(SEARCH("入",B1946)))),"Ambiguous",IF(ISNUMBER(SEARCH("平",B1946)),"平","仄")))</x:f>
        <x:v>平</x:v>
      </x:c>
      <x:c r="K1946" s="6" t="str">
        <x:f>IF(D1946="","",IF(AND(ISNUMBER(SEARCH("平",D1946)),OR(ISNUMBER(SEARCH("上",D1946)),ISNUMBER(SEARCH("去",D1946)),ISNUMBER(SEARCH("入",D1946)))),"Ambiguous",IF(ISNUMBER(SEARCH("平",D1946)),"平","仄")))</x:f>
        <x:v>平</x:v>
      </x:c>
      <x:c r="L1946" s="7" t="str"/>
    </x:row>
    <x:row r="1947">
      <x:c r="A1947" s="5" t="str">
        <x:v>楎</x:v>
      </x:c>
      <x:c r="B1947" s="6" t="str">
        <x:v>平</x:v>
      </x:c>
      <x:c r="C1947" s="6" t="str">
        <x:f>IF(B1947="","Needs decision","Ready")</x:f>
        <x:v>Ready</x:v>
      </x:c>
      <x:c r="D1947" s="6" t="str">
        <x:v>平</x:v>
      </x:c>
      <x:c r="E1947" s="6" t="str">
        <x:v>xjw+j (A); hwon (A)</x:v>
      </x:c>
      <x:c r="F1947" s="6" t="str">
        <x:v>上平聲五微</x:v>
      </x:c>
      <x:c r="G1947" s="6" t="str">
        <x:v>Pingshui main list, Wikisource-derived DOCX</x:v>
      </x:c>
      <x:c r="H1947" s="6" t="str">
        <x:v>2</x:v>
      </x:c>
      <x:c r="I1947" s="6" t="str"/>
      <x:c r="J1947" s="6" t="str">
        <x:f>IF(B1947="","",IF(AND(ISNUMBER(SEARCH("平",B1947)),OR(ISNUMBER(SEARCH("上",B1947)),ISNUMBER(SEARCH("去",B1947)),ISNUMBER(SEARCH("入",B1947)))),"Ambiguous",IF(ISNUMBER(SEARCH("平",B1947)),"平","仄")))</x:f>
        <x:v>平</x:v>
      </x:c>
      <x:c r="K1947" s="6" t="str">
        <x:f>IF(D1947="","",IF(AND(ISNUMBER(SEARCH("平",D1947)),OR(ISNUMBER(SEARCH("上",D1947)),ISNUMBER(SEARCH("去",D1947)),ISNUMBER(SEARCH("入",D1947)))),"Ambiguous",IF(ISNUMBER(SEARCH("平",D1947)),"平","仄")))</x:f>
        <x:v>平</x:v>
      </x:c>
      <x:c r="L1947" s="7" t="str"/>
    </x:row>
    <x:row r="1948">
      <x:c r="A1948" s="5" t="str">
        <x:v>楓</x:v>
      </x:c>
      <x:c r="B1948" s="6" t="str">
        <x:v>平</x:v>
      </x:c>
      <x:c r="C1948" s="6" t="str">
        <x:f>IF(B1948="","Needs decision","Ready")</x:f>
        <x:v>Ready</x:v>
      </x:c>
      <x:c r="D1948" s="6" t="str">
        <x:v>平</x:v>
      </x:c>
      <x:c r="E1948" s="6" t="str">
        <x:v>pjuwng [pɨ̯uŋ] (平)</x:v>
      </x:c>
      <x:c r="F1948" s="6" t="str">
        <x:v>上平聲一東</x:v>
      </x:c>
      <x:c r="G1948" s="6" t="str">
        <x:v>Pingshui main list, Wikisource-derived DOCX</x:v>
      </x:c>
      <x:c r="H1948" s="6" t="str">
        <x:v>1</x:v>
      </x:c>
      <x:c r="I1948" s="6" t="str">
        <x:v>Tang 300 gap; frequency 7; provisional from Xun Gong</x:v>
      </x:c>
      <x:c r="J1948" s="6" t="str">
        <x:f>IF(B1948="","",IF(AND(ISNUMBER(SEARCH("平",B1948)),OR(ISNUMBER(SEARCH("上",B1948)),ISNUMBER(SEARCH("去",B1948)),ISNUMBER(SEARCH("入",B1948)))),"Ambiguous",IF(ISNUMBER(SEARCH("平",B1948)),"平","仄")))</x:f>
        <x:v>平</x:v>
      </x:c>
      <x:c r="K1948" s="6" t="str">
        <x:f>IF(D1948="","",IF(AND(ISNUMBER(SEARCH("平",D1948)),OR(ISNUMBER(SEARCH("上",D1948)),ISNUMBER(SEARCH("去",D1948)),ISNUMBER(SEARCH("入",D1948)))),"Ambiguous",IF(ISNUMBER(SEARCH("平",D1948)),"平","仄")))</x:f>
        <x:v>平</x:v>
      </x:c>
      <x:c r="L1948" s="7" t="str">
        <x:v>Xun Gong, Tang 300 gap fill</x:v>
      </x:c>
    </x:row>
    <x:row r="1949">
      <x:c r="A1949" s="5" t="str">
        <x:v>楔</x:v>
      </x:c>
      <x:c r="B1949" s="6" t="str">
        <x:v>入</x:v>
      </x:c>
      <x:c r="C1949" s="6" t="str">
        <x:f>IF(B1949="","Needs decision","Ready")</x:f>
        <x:v>Ready</x:v>
      </x:c>
      <x:c r="D1949" s="6" t="str">
        <x:v>入</x:v>
      </x:c>
      <x:c r="E1949" s="6" t="str">
        <x:v>set (D)</x:v>
      </x:c>
      <x:c r="F1949" s="6" t="str">
        <x:v>入聲九屑</x:v>
      </x:c>
      <x:c r="G1949" s="6" t="str">
        <x:v>Pingshui main list, Wikisource-derived DOCX</x:v>
      </x:c>
      <x:c r="H1949" s="6" t="str">
        <x:v>1</x:v>
      </x:c>
      <x:c r="I1949" s="6" t="str"/>
      <x:c r="J1949" s="6" t="str">
        <x:f>IF(B1949="","",IF(AND(ISNUMBER(SEARCH("平",B1949)),OR(ISNUMBER(SEARCH("上",B1949)),ISNUMBER(SEARCH("去",B1949)),ISNUMBER(SEARCH("入",B1949)))),"Ambiguous",IF(ISNUMBER(SEARCH("平",B1949)),"平","仄")))</x:f>
        <x:v>仄</x:v>
      </x:c>
      <x:c r="K1949" s="6" t="str">
        <x:f>IF(D1949="","",IF(AND(ISNUMBER(SEARCH("平",D1949)),OR(ISNUMBER(SEARCH("上",D1949)),ISNUMBER(SEARCH("去",D1949)),ISNUMBER(SEARCH("入",D1949)))),"Ambiguous",IF(ISNUMBER(SEARCH("平",D1949)),"平","仄")))</x:f>
        <x:v>仄</x:v>
      </x:c>
      <x:c r="L1949" s="7" t="str"/>
    </x:row>
    <x:row r="1950">
      <x:c r="A1950" s="5" t="str">
        <x:v>楖</x:v>
      </x:c>
      <x:c r="B1950" s="6" t="str">
        <x:v>入</x:v>
      </x:c>
      <x:c r="C1950" s="6" t="str">
        <x:f>IF(B1950="","Needs decision","Ready")</x:f>
        <x:v>Ready</x:v>
      </x:c>
      <x:c r="D1950" s="6" t="str">
        <x:v>入</x:v>
      </x:c>
      <x:c r="E1950" s="6" t="str">
        <x:v>tsrit (D)</x:v>
      </x:c>
      <x:c r="F1950" s="6" t="str">
        <x:v>上聲二十二養</x:v>
      </x:c>
      <x:c r="G1950" s="6" t="str">
        <x:v>Pingshui main list, Wikisource-derived DOCX</x:v>
      </x:c>
      <x:c r="H1950" s="6" t="str">
        <x:v>1</x:v>
      </x:c>
      <x:c r="I1950" s="6" t="str"/>
      <x:c r="J1950" s="6" t="str">
        <x:f>IF(B1950="","",IF(AND(ISNUMBER(SEARCH("平",B1950)),OR(ISNUMBER(SEARCH("上",B1950)),ISNUMBER(SEARCH("去",B1950)),ISNUMBER(SEARCH("入",B1950)))),"Ambiguous",IF(ISNUMBER(SEARCH("平",B1950)),"平","仄")))</x:f>
        <x:v>仄</x:v>
      </x:c>
      <x:c r="K1950" s="6" t="str">
        <x:f>IF(D1950="","",IF(AND(ISNUMBER(SEARCH("平",D1950)),OR(ISNUMBER(SEARCH("上",D1950)),ISNUMBER(SEARCH("去",D1950)),ISNUMBER(SEARCH("入",D1950)))),"Ambiguous",IF(ISNUMBER(SEARCH("平",D1950)),"平","仄")))</x:f>
        <x:v>仄</x:v>
      </x:c>
      <x:c r="L1950" s="7" t="str"/>
    </x:row>
    <x:row r="1951">
      <x:c r="A1951" s="5" t="str">
        <x:v>楚</x:v>
      </x:c>
      <x:c r="B1951" s="6" t="str">
        <x:v>上</x:v>
      </x:c>
      <x:c r="C1951" s="6" t="str">
        <x:f>IF(B1951="","Needs decision","Ready")</x:f>
        <x:v>Ready</x:v>
      </x:c>
      <x:c r="D1951" s="6" t="str">
        <x:v>上</x:v>
      </x:c>
      <x:c r="E1951" s="6" t="str">
        <x:v>tsrhjoX (B)</x:v>
      </x:c>
      <x:c r="F1951" s="6" t="str">
        <x:v>上聲六語; 去聲六御</x:v>
      </x:c>
      <x:c r="G1951" s="6" t="str">
        <x:v>Pingshui main list, Wikisource-derived DOCX</x:v>
      </x:c>
      <x:c r="H1951" s="6" t="str">
        <x:v>1</x:v>
      </x:c>
      <x:c r="I1951" s="6" t="str"/>
      <x:c r="J1951" s="6" t="str">
        <x:f>IF(B1951="","",IF(AND(ISNUMBER(SEARCH("平",B1951)),OR(ISNUMBER(SEARCH("上",B1951)),ISNUMBER(SEARCH("去",B1951)),ISNUMBER(SEARCH("入",B1951)))),"Ambiguous",IF(ISNUMBER(SEARCH("平",B1951)),"平","仄")))</x:f>
        <x:v>仄</x:v>
      </x:c>
      <x:c r="K1951" s="6" t="str">
        <x:f>IF(D1951="","",IF(AND(ISNUMBER(SEARCH("平",D1951)),OR(ISNUMBER(SEARCH("上",D1951)),ISNUMBER(SEARCH("去",D1951)),ISNUMBER(SEARCH("入",D1951)))),"Ambiguous",IF(ISNUMBER(SEARCH("平",D1951)),"平","仄")))</x:f>
        <x:v>仄</x:v>
      </x:c>
      <x:c r="L1951" s="7" t="str"/>
    </x:row>
    <x:row r="1952">
      <x:c r="A1952" s="5" t="str">
        <x:v>楡</x:v>
      </x:c>
      <x:c r="B1952" s="6" t="str">
        <x:v>平</x:v>
      </x:c>
      <x:c r="C1952" s="6" t="str">
        <x:f>IF(B1952="","Needs decision","Ready")</x:f>
        <x:v>Ready</x:v>
      </x:c>
      <x:c r="D1952" s="6" t="str">
        <x:v>平</x:v>
      </x:c>
      <x:c r="E1952" s="6" t="str"/>
      <x:c r="F1952" s="6" t="str"/>
      <x:c r="G1952" s="6" t="str"/>
      <x:c r="H1952" s="6" t="str"/>
      <x:c r="I1952" s="6" t="str">
        <x:v>Manual user correction/addition</x:v>
      </x:c>
      <x:c r="J1952" s="6" t="str">
        <x:f>IF(B1952="","",IF(AND(ISNUMBER(SEARCH("平",B1952)),OR(ISNUMBER(SEARCH("上",B1952)),ISNUMBER(SEARCH("去",B1952)),ISNUMBER(SEARCH("入",B1952)))),"Ambiguous",IF(ISNUMBER(SEARCH("平",B1952)),"平","仄")))</x:f>
        <x:v>平</x:v>
      </x:c>
      <x:c r="K1952" s="6" t="str">
        <x:f>IF(D1952="","",IF(AND(ISNUMBER(SEARCH("平",D1952)),OR(ISNUMBER(SEARCH("上",D1952)),ISNUMBER(SEARCH("去",D1952)),ISNUMBER(SEARCH("入",D1952)))),"Ambiguous",IF(ISNUMBER(SEARCH("平",D1952)),"平","仄")))</x:f>
        <x:v>平</x:v>
      </x:c>
      <x:c r="L1952" s="7" t="str">
        <x:v>manual user correction</x:v>
      </x:c>
    </x:row>
    <x:row r="1953">
      <x:c r="A1953" s="5" t="str">
        <x:v>楫</x:v>
      </x:c>
      <x:c r="B1953" s="6" t="str">
        <x:v>入</x:v>
      </x:c>
      <x:c r="C1953" s="6" t="str">
        <x:f>IF(B1953="","Needs decision","Ready")</x:f>
        <x:v>Ready</x:v>
      </x:c>
      <x:c r="D1953" s="6" t="str">
        <x:v>入</x:v>
      </x:c>
      <x:c r="E1953" s="6" t="str">
        <x:v>tsjep (D)</x:v>
      </x:c>
      <x:c r="F1953" s="6" t="str">
        <x:v>入聲十六葉</x:v>
      </x:c>
      <x:c r="G1953" s="6" t="str">
        <x:v>Pingshui main list, Wikisource-derived DOCX</x:v>
      </x:c>
      <x:c r="H1953" s="6" t="str">
        <x:v>1</x:v>
      </x:c>
      <x:c r="I1953" s="6" t="str"/>
      <x:c r="J1953" s="6" t="str">
        <x:f>IF(B1953="","",IF(AND(ISNUMBER(SEARCH("平",B1953)),OR(ISNUMBER(SEARCH("上",B1953)),ISNUMBER(SEARCH("去",B1953)),ISNUMBER(SEARCH("入",B1953)))),"Ambiguous",IF(ISNUMBER(SEARCH("平",B1953)),"平","仄")))</x:f>
        <x:v>仄</x:v>
      </x:c>
      <x:c r="K1953" s="6" t="str">
        <x:f>IF(D1953="","",IF(AND(ISNUMBER(SEARCH("平",D1953)),OR(ISNUMBER(SEARCH("上",D1953)),ISNUMBER(SEARCH("去",D1953)),ISNUMBER(SEARCH("入",D1953)))),"Ambiguous",IF(ISNUMBER(SEARCH("平",D1953)),"平","仄")))</x:f>
        <x:v>仄</x:v>
      </x:c>
      <x:c r="L1953" s="7" t="str"/>
    </x:row>
    <x:row r="1954">
      <x:c r="A1954" s="5" t="str">
        <x:v>業</x:v>
      </x:c>
      <x:c r="B1954" s="6" t="str">
        <x:v>入</x:v>
      </x:c>
      <x:c r="C1954" s="6" t="str">
        <x:f>IF(B1954="","Needs decision","Ready")</x:f>
        <x:v>Ready</x:v>
      </x:c>
      <x:c r="D1954" s="6" t="str">
        <x:v>入</x:v>
      </x:c>
      <x:c r="E1954" s="6" t="str">
        <x:v>ngjaep (D)</x:v>
      </x:c>
      <x:c r="F1954" s="6" t="str">
        <x:v>入聲十七洽</x:v>
      </x:c>
      <x:c r="G1954" s="6" t="str">
        <x:v>Pingshui main list, Wikisource-derived DOCX</x:v>
      </x:c>
      <x:c r="H1954" s="6" t="str">
        <x:v>1</x:v>
      </x:c>
      <x:c r="I1954" s="6" t="str"/>
      <x:c r="J1954" s="6" t="str">
        <x:f>IF(B1954="","",IF(AND(ISNUMBER(SEARCH("平",B1954)),OR(ISNUMBER(SEARCH("上",B1954)),ISNUMBER(SEARCH("去",B1954)),ISNUMBER(SEARCH("入",B1954)))),"Ambiguous",IF(ISNUMBER(SEARCH("平",B1954)),"平","仄")))</x:f>
        <x:v>仄</x:v>
      </x:c>
      <x:c r="K1954" s="6" t="str">
        <x:f>IF(D1954="","",IF(AND(ISNUMBER(SEARCH("平",D1954)),OR(ISNUMBER(SEARCH("上",D1954)),ISNUMBER(SEARCH("去",D1954)),ISNUMBER(SEARCH("入",D1954)))),"Ambiguous",IF(ISNUMBER(SEARCH("平",D1954)),"平","仄")))</x:f>
        <x:v>仄</x:v>
      </x:c>
      <x:c r="L1954" s="7" t="str"/>
    </x:row>
    <x:row r="1955">
      <x:c r="A1955" s="5" t="str">
        <x:v>楯</x:v>
      </x:c>
      <x:c r="B1955" s="6" t="str">
        <x:v>上</x:v>
      </x:c>
      <x:c r="C1955" s="6" t="str">
        <x:f>IF(B1955="","Needs decision","Ready")</x:f>
        <x:v>Ready</x:v>
      </x:c>
      <x:c r="D1955" s="6" t="str">
        <x:v>上</x:v>
      </x:c>
      <x:c r="E1955" s="6" t="str">
        <x:v>zywinX (B)</x:v>
      </x:c>
      <x:c r="F1955" s="6" t="str">
        <x:v>上聲十一軫</x:v>
      </x:c>
      <x:c r="G1955" s="6" t="str">
        <x:v>Pingshui main list, Wikisource-derived DOCX</x:v>
      </x:c>
      <x:c r="H1955" s="6" t="str">
        <x:v>1</x:v>
      </x:c>
      <x:c r="I1955" s="6" t="str"/>
      <x:c r="J1955" s="6" t="str">
        <x:f>IF(B1955="","",IF(AND(ISNUMBER(SEARCH("平",B1955)),OR(ISNUMBER(SEARCH("上",B1955)),ISNUMBER(SEARCH("去",B1955)),ISNUMBER(SEARCH("入",B1955)))),"Ambiguous",IF(ISNUMBER(SEARCH("平",B1955)),"平","仄")))</x:f>
        <x:v>仄</x:v>
      </x:c>
      <x:c r="K1955" s="6" t="str">
        <x:f>IF(D1955="","",IF(AND(ISNUMBER(SEARCH("平",D1955)),OR(ISNUMBER(SEARCH("上",D1955)),ISNUMBER(SEARCH("去",D1955)),ISNUMBER(SEARCH("入",D1955)))),"Ambiguous",IF(ISNUMBER(SEARCH("平",D1955)),"平","仄")))</x:f>
        <x:v>仄</x:v>
      </x:c>
      <x:c r="L1955" s="7" t="str"/>
    </x:row>
    <x:row r="1956">
      <x:c r="A1956" s="5" t="str">
        <x:v>極</x:v>
      </x:c>
      <x:c r="B1956" s="6" t="str">
        <x:v>入</x:v>
      </x:c>
      <x:c r="C1956" s="6" t="str">
        <x:f>IF(B1956="","Needs decision","Ready")</x:f>
        <x:v>Ready</x:v>
      </x:c>
      <x:c r="D1956" s="6" t="str">
        <x:v>入</x:v>
      </x:c>
      <x:c r="E1956" s="6" t="str">
        <x:v>gik (D)</x:v>
      </x:c>
      <x:c r="F1956" s="6" t="str">
        <x:v>入聲十三職</x:v>
      </x:c>
      <x:c r="G1956" s="6" t="str">
        <x:v>Pingshui main list, Wikisource-derived DOCX</x:v>
      </x:c>
      <x:c r="H1956" s="6" t="str">
        <x:v>1</x:v>
      </x:c>
      <x:c r="I1956" s="6" t="str"/>
      <x:c r="J1956" s="6" t="str">
        <x:f>IF(B1956="","",IF(AND(ISNUMBER(SEARCH("平",B1956)),OR(ISNUMBER(SEARCH("上",B1956)),ISNUMBER(SEARCH("去",B1956)),ISNUMBER(SEARCH("入",B1956)))),"Ambiguous",IF(ISNUMBER(SEARCH("平",B1956)),"平","仄")))</x:f>
        <x:v>仄</x:v>
      </x:c>
      <x:c r="K1956" s="6" t="str">
        <x:f>IF(D1956="","",IF(AND(ISNUMBER(SEARCH("平",D1956)),OR(ISNUMBER(SEARCH("上",D1956)),ISNUMBER(SEARCH("去",D1956)),ISNUMBER(SEARCH("入",D1956)))),"Ambiguous",IF(ISNUMBER(SEARCH("平",D1956)),"平","仄")))</x:f>
        <x:v>仄</x:v>
      </x:c>
      <x:c r="L1956" s="7" t="str"/>
    </x:row>
    <x:row r="1957">
      <x:c r="A1957" s="5" t="str">
        <x:v>楸</x:v>
      </x:c>
      <x:c r="B1957" s="6" t="str">
        <x:v>平</x:v>
      </x:c>
      <x:c r="C1957" s="6" t="str">
        <x:f>IF(B1957="","Needs decision","Ready")</x:f>
        <x:v>Ready</x:v>
      </x:c>
      <x:c r="D1957" s="6" t="str">
        <x:v>平</x:v>
      </x:c>
      <x:c r="E1957" s="6" t="str">
        <x:v>tshjuw [tsʰju] (平)</x:v>
      </x:c>
      <x:c r="F1957" s="6" t="str">
        <x:v>下平聲十一尤</x:v>
      </x:c>
      <x:c r="G1957" s="6" t="str">
        <x:v>Pingshui main list, Wikisource-derived DOCX</x:v>
      </x:c>
      <x:c r="H1957" s="6" t="str">
        <x:v>1</x:v>
      </x:c>
      <x:c r="I1957" s="6" t="str">
        <x:v>Tang 300 gap; frequency 1; provisional from Xun Gong</x:v>
      </x:c>
      <x:c r="J1957" s="6" t="str">
        <x:f>IF(B1957="","",IF(AND(ISNUMBER(SEARCH("平",B1957)),OR(ISNUMBER(SEARCH("上",B1957)),ISNUMBER(SEARCH("去",B1957)),ISNUMBER(SEARCH("入",B1957)))),"Ambiguous",IF(ISNUMBER(SEARCH("平",B1957)),"平","仄")))</x:f>
        <x:v>平</x:v>
      </x:c>
      <x:c r="K1957" s="6" t="str">
        <x:f>IF(D1957="","",IF(AND(ISNUMBER(SEARCH("平",D1957)),OR(ISNUMBER(SEARCH("上",D1957)),ISNUMBER(SEARCH("去",D1957)),ISNUMBER(SEARCH("入",D1957)))),"Ambiguous",IF(ISNUMBER(SEARCH("平",D1957)),"平","仄")))</x:f>
        <x:v>平</x:v>
      </x:c>
      <x:c r="L1957" s="7" t="str">
        <x:v>Xun Gong, Tang 300 gap fill</x:v>
      </x:c>
    </x:row>
    <x:row r="1958">
      <x:c r="A1958" s="5" t="str">
        <x:v>楹</x:v>
      </x:c>
      <x:c r="B1958" s="6" t="str">
        <x:v>平</x:v>
      </x:c>
      <x:c r="C1958" s="6" t="str">
        <x:f>IF(B1958="","Needs decision","Ready")</x:f>
        <x:v>Ready</x:v>
      </x:c>
      <x:c r="D1958" s="6" t="str">
        <x:v>平</x:v>
      </x:c>
      <x:c r="E1958" s="6" t="str">
        <x:v>yeng (A)</x:v>
      </x:c>
      <x:c r="F1958" s="6" t="str">
        <x:v>下平聲八庚</x:v>
      </x:c>
      <x:c r="G1958" s="6" t="str">
        <x:v>Pingshui main list, Wikisource-derived DOCX</x:v>
      </x:c>
      <x:c r="H1958" s="6" t="str">
        <x:v>1</x:v>
      </x:c>
      <x:c r="I1958" s="6" t="str"/>
      <x:c r="J1958" s="6" t="str">
        <x:f>IF(B1958="","",IF(AND(ISNUMBER(SEARCH("平",B1958)),OR(ISNUMBER(SEARCH("上",B1958)),ISNUMBER(SEARCH("去",B1958)),ISNUMBER(SEARCH("入",B1958)))),"Ambiguous",IF(ISNUMBER(SEARCH("平",B1958)),"平","仄")))</x:f>
        <x:v>平</x:v>
      </x:c>
      <x:c r="K1958" s="6" t="str">
        <x:f>IF(D1958="","",IF(AND(ISNUMBER(SEARCH("平",D1958)),OR(ISNUMBER(SEARCH("上",D1958)),ISNUMBER(SEARCH("去",D1958)),ISNUMBER(SEARCH("入",D1958)))),"Ambiguous",IF(ISNUMBER(SEARCH("平",D1958)),"平","仄")))</x:f>
        <x:v>平</x:v>
      </x:c>
      <x:c r="L1958" s="7" t="str"/>
    </x:row>
    <x:row r="1959">
      <x:c r="A1959" s="5" t="str">
        <x:v>概</x:v>
      </x:c>
      <x:c r="B1959" s="6" t="str">
        <x:v>去</x:v>
      </x:c>
      <x:c r="C1959" s="6" t="str">
        <x:f>IF(B1959="","Needs decision","Ready")</x:f>
        <x:v>Ready</x:v>
      </x:c>
      <x:c r="D1959" s="6" t="str">
        <x:v>去</x:v>
      </x:c>
      <x:c r="E1959" s="6" t="str">
        <x:v>kojH (C)</x:v>
      </x:c>
      <x:c r="F1959" s="6" t="str">
        <x:v>去聲五未</x:v>
      </x:c>
      <x:c r="G1959" s="6" t="str">
        <x:v>Pingshui main list, Wikisource-derived DOCX</x:v>
      </x:c>
      <x:c r="H1959" s="6" t="str">
        <x:v>1</x:v>
      </x:c>
      <x:c r="I1959" s="6" t="str"/>
      <x:c r="J1959" s="6" t="str">
        <x:f>IF(B1959="","",IF(AND(ISNUMBER(SEARCH("平",B1959)),OR(ISNUMBER(SEARCH("上",B1959)),ISNUMBER(SEARCH("去",B1959)),ISNUMBER(SEARCH("入",B1959)))),"Ambiguous",IF(ISNUMBER(SEARCH("平",B1959)),"平","仄")))</x:f>
        <x:v>仄</x:v>
      </x:c>
      <x:c r="K1959" s="6" t="str">
        <x:f>IF(D1959="","",IF(AND(ISNUMBER(SEARCH("平",D1959)),OR(ISNUMBER(SEARCH("上",D1959)),ISNUMBER(SEARCH("去",D1959)),ISNUMBER(SEARCH("入",D1959)))),"Ambiguous",IF(ISNUMBER(SEARCH("平",D1959)),"平","仄")))</x:f>
        <x:v>仄</x:v>
      </x:c>
      <x:c r="L1959" s="7" t="str"/>
    </x:row>
    <x:row r="1960">
      <x:c r="A1960" s="5" t="str">
        <x:v>榆</x:v>
      </x:c>
      <x:c r="B1960" s="6" t="str">
        <x:v>平</x:v>
      </x:c>
      <x:c r="C1960" s="6" t="str">
        <x:f>IF(B1960="","Needs decision","Ready")</x:f>
        <x:v>Ready</x:v>
      </x:c>
      <x:c r="D1960" s="6" t="str">
        <x:v>平</x:v>
      </x:c>
      <x:c r="E1960" s="6" t="str">
        <x:v>yu (A)</x:v>
      </x:c>
      <x:c r="F1960" s="6" t="str">
        <x:v>上平聲七虞</x:v>
      </x:c>
      <x:c r="G1960" s="6" t="str">
        <x:v>Pingshui main list, Wikisource-derived DOCX</x:v>
      </x:c>
      <x:c r="H1960" s="6" t="str">
        <x:v>1</x:v>
      </x:c>
      <x:c r="I1960" s="6" t="str"/>
      <x:c r="J1960" s="6" t="str">
        <x:f>IF(B1960="","",IF(AND(ISNUMBER(SEARCH("平",B1960)),OR(ISNUMBER(SEARCH("上",B1960)),ISNUMBER(SEARCH("去",B1960)),ISNUMBER(SEARCH("入",B1960)))),"Ambiguous",IF(ISNUMBER(SEARCH("平",B1960)),"平","仄")))</x:f>
        <x:v>平</x:v>
      </x:c>
      <x:c r="K1960" s="6" t="str">
        <x:f>IF(D1960="","",IF(AND(ISNUMBER(SEARCH("平",D1960)),OR(ISNUMBER(SEARCH("上",D1960)),ISNUMBER(SEARCH("去",D1960)),ISNUMBER(SEARCH("入",D1960)))),"Ambiguous",IF(ISNUMBER(SEARCH("平",D1960)),"平","仄")))</x:f>
        <x:v>平</x:v>
      </x:c>
      <x:c r="L1960" s="7" t="str"/>
    </x:row>
    <x:row r="1961">
      <x:c r="A1961" s="5" t="str">
        <x:v>榛</x:v>
      </x:c>
      <x:c r="B1961" s="6" t="str">
        <x:v>平</x:v>
      </x:c>
      <x:c r="C1961" s="6" t="str">
        <x:f>IF(B1961="","Needs decision","Ready")</x:f>
        <x:v>Ready</x:v>
      </x:c>
      <x:c r="D1961" s="6" t="str">
        <x:v>平</x:v>
      </x:c>
      <x:c r="E1961" s="6" t="str">
        <x:v>tsrin (A)</x:v>
      </x:c>
      <x:c r="F1961" s="6" t="str">
        <x:v>上平聲十一真</x:v>
      </x:c>
      <x:c r="G1961" s="6" t="str">
        <x:v>Pingshui main list, Wikisource-derived DOCX</x:v>
      </x:c>
      <x:c r="H1961" s="6" t="str">
        <x:v>1</x:v>
      </x:c>
      <x:c r="I1961" s="6" t="str"/>
      <x:c r="J1961" s="6" t="str">
        <x:f>IF(B1961="","",IF(AND(ISNUMBER(SEARCH("平",B1961)),OR(ISNUMBER(SEARCH("上",B1961)),ISNUMBER(SEARCH("去",B1961)),ISNUMBER(SEARCH("入",B1961)))),"Ambiguous",IF(ISNUMBER(SEARCH("平",B1961)),"平","仄")))</x:f>
        <x:v>平</x:v>
      </x:c>
      <x:c r="K1961" s="6" t="str">
        <x:f>IF(D1961="","",IF(AND(ISNUMBER(SEARCH("平",D1961)),OR(ISNUMBER(SEARCH("上",D1961)),ISNUMBER(SEARCH("去",D1961)),ISNUMBER(SEARCH("入",D1961)))),"Ambiguous",IF(ISNUMBER(SEARCH("平",D1961)),"平","仄")))</x:f>
        <x:v>平</x:v>
      </x:c>
      <x:c r="L1961" s="7" t="str"/>
    </x:row>
    <x:row r="1962">
      <x:c r="A1962" s="5" t="str">
        <x:v>榜</x:v>
      </x:c>
      <x:c r="B1962" s="6" t="str">
        <x:v>去</x:v>
      </x:c>
      <x:c r="C1962" s="6" t="str">
        <x:f>IF(B1962="","Needs decision","Ready")</x:f>
        <x:v>Ready</x:v>
      </x:c>
      <x:c r="D1962" s="6" t="str">
        <x:v>去</x:v>
      </x:c>
      <x:c r="E1962" s="6" t="str">
        <x:v>paengH (C)</x:v>
      </x:c>
      <x:c r="F1962" s="6" t="str">
        <x:v>下平聲八庚; 上聲二十二養; 去聲二十四敬</x:v>
      </x:c>
      <x:c r="G1962" s="6" t="str">
        <x:v>Pingshui main list, Wikisource-derived DOCX</x:v>
      </x:c>
      <x:c r="H1962" s="6" t="str">
        <x:v>1</x:v>
      </x:c>
      <x:c r="I1962" s="6" t="str"/>
      <x:c r="J1962" s="6" t="str">
        <x:f>IF(B1962="","",IF(AND(ISNUMBER(SEARCH("平",B1962)),OR(ISNUMBER(SEARCH("上",B1962)),ISNUMBER(SEARCH("去",B1962)),ISNUMBER(SEARCH("入",B1962)))),"Ambiguous",IF(ISNUMBER(SEARCH("平",B1962)),"平","仄")))</x:f>
        <x:v>仄</x:v>
      </x:c>
      <x:c r="K1962" s="6" t="str">
        <x:f>IF(D1962="","",IF(AND(ISNUMBER(SEARCH("平",D1962)),OR(ISNUMBER(SEARCH("上",D1962)),ISNUMBER(SEARCH("去",D1962)),ISNUMBER(SEARCH("入",D1962)))),"Ambiguous",IF(ISNUMBER(SEARCH("平",D1962)),"平","仄")))</x:f>
        <x:v>仄</x:v>
      </x:c>
      <x:c r="L1962" s="7" t="str"/>
    </x:row>
    <x:row r="1963">
      <x:c r="A1963" s="5" t="str">
        <x:v>榭</x:v>
      </x:c>
      <x:c r="B1963" s="6" t="str">
        <x:v>去</x:v>
      </x:c>
      <x:c r="C1963" s="6" t="str">
        <x:f>IF(B1963="","Needs decision","Ready")</x:f>
        <x:v>Ready</x:v>
      </x:c>
      <x:c r="D1963" s="6" t="str">
        <x:v>去</x:v>
      </x:c>
      <x:c r="E1963" s="6" t="str"/>
      <x:c r="F1963" s="6" t="str">
        <x:v>去聲二十二禡</x:v>
      </x:c>
      <x:c r="G1963" s="6" t="str">
        <x:v>Pingshui main list, Wikisource-derived DOCX</x:v>
      </x:c>
      <x:c r="H1963" s="6" t="str">
        <x:v>0</x:v>
      </x:c>
      <x:c r="I1963" s="6" t="str">
        <x:v>User correction 2026-09-08; added manually</x:v>
      </x:c>
      <x:c r="J1963" s="6" t="str">
        <x:f>IF(B1963="","",IF(AND(ISNUMBER(SEARCH("平",B1963)),OR(ISNUMBER(SEARCH("上",B1963)),ISNUMBER(SEARCH("去",B1963)),ISNUMBER(SEARCH("入",B1963)))),"Ambiguous",IF(ISNUMBER(SEARCH("平",B1963)),"平","仄")))</x:f>
        <x:v>仄</x:v>
      </x:c>
      <x:c r="K1963" s="6" t="str">
        <x:f>IF(D1963="","",IF(AND(ISNUMBER(SEARCH("平",D1963)),OR(ISNUMBER(SEARCH("上",D1963)),ISNUMBER(SEARCH("去",D1963)),ISNUMBER(SEARCH("入",D1963)))),"Ambiguous",IF(ISNUMBER(SEARCH("平",D1963)),"平","仄")))</x:f>
        <x:v>仄</x:v>
      </x:c>
      <x:c r="L1963" s="7" t="str">
        <x:v>User correction</x:v>
      </x:c>
    </x:row>
    <x:row r="1964">
      <x:c r="A1964" s="5" t="str">
        <x:v>榮</x:v>
      </x:c>
      <x:c r="B1964" s="6" t="str">
        <x:v>平</x:v>
      </x:c>
      <x:c r="C1964" s="6" t="str">
        <x:f>IF(B1964="","Needs decision","Ready")</x:f>
        <x:v>Ready</x:v>
      </x:c>
      <x:c r="D1964" s="6" t="str">
        <x:v>平</x:v>
      </x:c>
      <x:c r="E1964" s="6" t="str">
        <x:v>hjwaeng (A)</x:v>
      </x:c>
      <x:c r="F1964" s="6" t="str">
        <x:v>下平聲八庚</x:v>
      </x:c>
      <x:c r="G1964" s="6" t="str">
        <x:v>Pingshui main list, Wikisource-derived DOCX</x:v>
      </x:c>
      <x:c r="H1964" s="6" t="str">
        <x:v>1</x:v>
      </x:c>
      <x:c r="I1964" s="6" t="str"/>
      <x:c r="J1964" s="6" t="str">
        <x:f>IF(B1964="","",IF(AND(ISNUMBER(SEARCH("平",B1964)),OR(ISNUMBER(SEARCH("上",B1964)),ISNUMBER(SEARCH("去",B1964)),ISNUMBER(SEARCH("入",B1964)))),"Ambiguous",IF(ISNUMBER(SEARCH("平",B1964)),"平","仄")))</x:f>
        <x:v>平</x:v>
      </x:c>
      <x:c r="K1964" s="6" t="str">
        <x:f>IF(D1964="","",IF(AND(ISNUMBER(SEARCH("平",D1964)),OR(ISNUMBER(SEARCH("上",D1964)),ISNUMBER(SEARCH("去",D1964)),ISNUMBER(SEARCH("入",D1964)))),"Ambiguous",IF(ISNUMBER(SEARCH("平",D1964)),"平","仄")))</x:f>
        <x:v>平</x:v>
      </x:c>
      <x:c r="L1964" s="7" t="str"/>
    </x:row>
    <x:row r="1965">
      <x:c r="A1965" s="5" t="str">
        <x:v>榴</x:v>
      </x:c>
      <x:c r="B1965" s="6" t="str">
        <x:v>平</x:v>
      </x:c>
      <x:c r="C1965" s="6" t="str">
        <x:f>IF(B1965="","Needs decision","Ready")</x:f>
        <x:v>Ready</x:v>
      </x:c>
      <x:c r="D1965" s="6" t="str">
        <x:v>平</x:v>
      </x:c>
      <x:c r="E1965" s="6" t="str">
        <x:v>ljuw [lju] (平)</x:v>
      </x:c>
      <x:c r="F1965" s="6" t="str">
        <x:v>下平聲十一尤</x:v>
      </x:c>
      <x:c r="G1965" s="6" t="str">
        <x:v>Pingshui main list, Wikisource-derived DOCX</x:v>
      </x:c>
      <x:c r="H1965" s="6" t="str">
        <x:v>1</x:v>
      </x:c>
      <x:c r="I1965" s="6" t="str">
        <x:v>Tang 300 gap; frequency 1; provisional from Xun Gong</x:v>
      </x:c>
      <x:c r="J1965" s="6" t="str">
        <x:f>IF(B1965="","",IF(AND(ISNUMBER(SEARCH("平",B1965)),OR(ISNUMBER(SEARCH("上",B1965)),ISNUMBER(SEARCH("去",B1965)),ISNUMBER(SEARCH("入",B1965)))),"Ambiguous",IF(ISNUMBER(SEARCH("平",B1965)),"平","仄")))</x:f>
        <x:v>平</x:v>
      </x:c>
      <x:c r="K1965" s="6" t="str">
        <x:f>IF(D1965="","",IF(AND(ISNUMBER(SEARCH("平",D1965)),OR(ISNUMBER(SEARCH("上",D1965)),ISNUMBER(SEARCH("去",D1965)),ISNUMBER(SEARCH("入",D1965)))),"Ambiguous",IF(ISNUMBER(SEARCH("平",D1965)),"平","仄")))</x:f>
        <x:v>平</x:v>
      </x:c>
      <x:c r="L1965" s="7" t="str">
        <x:v>Xun Gong, Tang 300 gap fill</x:v>
      </x:c>
    </x:row>
    <x:row r="1966">
      <x:c r="A1966" s="5" t="str">
        <x:v>榻</x:v>
      </x:c>
      <x:c r="B1966" s="6" t="str">
        <x:v>入</x:v>
      </x:c>
      <x:c r="C1966" s="6" t="str">
        <x:f>IF(B1966="","Needs decision","Ready")</x:f>
        <x:v>Ready</x:v>
      </x:c>
      <x:c r="D1966" s="6" t="str">
        <x:v>入</x:v>
      </x:c>
      <x:c r="E1966" s="6" t="str"/>
      <x:c r="F1966" s="6" t="str">
        <x:v>入聲十五合</x:v>
      </x:c>
      <x:c r="G1966" s="6" t="str">
        <x:v>Pingshui main list, Wikisource-derived DOCX</x:v>
      </x:c>
      <x:c r="H1966" s="6" t="str"/>
      <x:c r="I1966" s="6" t="str">
        <x:v>Manual user correction/addition</x:v>
      </x:c>
      <x:c r="J1966" s="6" t="str">
        <x:f>IF(B1966="","",IF(AND(ISNUMBER(SEARCH("平",B1966)),OR(ISNUMBER(SEARCH("上",B1966)),ISNUMBER(SEARCH("去",B1966)),ISNUMBER(SEARCH("入",B1966)))),"Ambiguous",IF(ISNUMBER(SEARCH("平",B1966)),"平","仄")))</x:f>
        <x:v>仄</x:v>
      </x:c>
      <x:c r="K1966" s="6" t="str">
        <x:f>IF(D1966="","",IF(AND(ISNUMBER(SEARCH("平",D1966)),OR(ISNUMBER(SEARCH("上",D1966)),ISNUMBER(SEARCH("去",D1966)),ISNUMBER(SEARCH("入",D1966)))),"Ambiguous",IF(ISNUMBER(SEARCH("平",D1966)),"平","仄")))</x:f>
        <x:v>仄</x:v>
      </x:c>
      <x:c r="L1966" s="7" t="str">
        <x:v>manual user correction</x:v>
      </x:c>
    </x:row>
    <x:row r="1967">
      <x:c r="A1967" s="5" t="str">
        <x:v>槁</x:v>
      </x:c>
      <x:c r="B1967" s="6" t="str">
        <x:v>上</x:v>
      </x:c>
      <x:c r="C1967" s="6" t="str">
        <x:f>IF(B1967="","Needs decision","Ready")</x:f>
        <x:v>Ready</x:v>
      </x:c>
      <x:c r="D1967" s="6" t="str">
        <x:v>上</x:v>
      </x:c>
      <x:c r="E1967" s="6" t="str"/>
      <x:c r="F1967" s="6" t="str">
        <x:v>上聲十九皓</x:v>
      </x:c>
      <x:c r="G1967" s="6" t="str">
        <x:v>Pingshui main list, Wikisource-derived DOCX</x:v>
      </x:c>
      <x:c r="H1967" s="6" t="str">
        <x:v>0</x:v>
      </x:c>
      <x:c r="I1967" s="6" t="str">
        <x:v>User correction 2026-09-08; added manually</x:v>
      </x:c>
      <x:c r="J1967" s="6" t="str">
        <x:f>IF(B1967="","",IF(AND(ISNUMBER(SEARCH("平",B1967)),OR(ISNUMBER(SEARCH("上",B1967)),ISNUMBER(SEARCH("去",B1967)),ISNUMBER(SEARCH("入",B1967)))),"Ambiguous",IF(ISNUMBER(SEARCH("平",B1967)),"平","仄")))</x:f>
        <x:v>仄</x:v>
      </x:c>
      <x:c r="K1967" s="6" t="str">
        <x:f>IF(D1967="","",IF(AND(ISNUMBER(SEARCH("平",D1967)),OR(ISNUMBER(SEARCH("上",D1967)),ISNUMBER(SEARCH("去",D1967)),ISNUMBER(SEARCH("入",D1967)))),"Ambiguous",IF(ISNUMBER(SEARCH("平",D1967)),"平","仄")))</x:f>
        <x:v>仄</x:v>
      </x:c>
      <x:c r="L1967" s="7" t="str">
        <x:v>User correction</x:v>
      </x:c>
    </x:row>
    <x:row r="1968">
      <x:c r="A1968" s="5" t="str">
        <x:v>槃</x:v>
      </x:c>
      <x:c r="B1968" s="6" t="str">
        <x:v>平</x:v>
      </x:c>
      <x:c r="C1968" s="6" t="str">
        <x:f>IF(B1968="","Needs decision","Ready")</x:f>
        <x:v>Ready</x:v>
      </x:c>
      <x:c r="D1968" s="6" t="str">
        <x:v>平</x:v>
      </x:c>
      <x:c r="E1968" s="6" t="str">
        <x:v>ban [並一寒平] b̙ɑn</x:v>
      </x:c>
      <x:c r="F1968" s="6" t="str"/>
      <x:c r="G1968" s="6" t="str"/>
      <x:c r="H1968" s="6" t="str">
        <x:v>1</x:v>
      </x:c>
      <x:c r="I1968" s="6" t="str">
        <x:v>Targeted preliminary fill from Xun Gong; review if uncertain</x:v>
      </x:c>
      <x:c r="J1968" s="6" t="str">
        <x:f>IF(B1968="","",IF(AND(ISNUMBER(SEARCH("平",B1968)),OR(ISNUMBER(SEARCH("上",B1968)),ISNUMBER(SEARCH("去",B1968)),ISNUMBER(SEARCH("入",B1968)))),"Ambiguous",IF(ISNUMBER(SEARCH("平",B1968)),"平","仄")))</x:f>
        <x:v>平</x:v>
      </x:c>
      <x:c r="K1968" s="6" t="str">
        <x:f>IF(D1968="","",IF(AND(ISNUMBER(SEARCH("平",D1968)),OR(ISNUMBER(SEARCH("上",D1968)),ISNUMBER(SEARCH("去",D1968)),ISNUMBER(SEARCH("入",D1968)))),"Ambiguous",IF(ISNUMBER(SEARCH("平",D1968)),"平","仄")))</x:f>
        <x:v>平</x:v>
      </x:c>
      <x:c r="L1968" s="7" t="str">
        <x:v>Xun Gong character-readings.csv</x:v>
      </x:c>
    </x:row>
    <x:row r="1969">
      <x:c r="A1969" s="5" t="str">
        <x:v>槈</x:v>
      </x:c>
      <x:c r="B1969" s="6" t="str">
        <x:v>去</x:v>
      </x:c>
      <x:c r="C1969" s="6" t="str">
        <x:f>IF(B1969="","Needs decision","Ready")</x:f>
        <x:v>Ready</x:v>
      </x:c>
      <x:c r="D1969" s="6" t="str">
        <x:v>去</x:v>
      </x:c>
      <x:c r="E1969" s="6" t="str">
        <x:v>nuwH (C)</x:v>
      </x:c>
      <x:c r="F1969" s="6" t="str"/>
      <x:c r="G1969" s="6" t="str"/>
      <x:c r="H1969" s="6" t="str">
        <x:v>1</x:v>
      </x:c>
      <x:c r="I1969" s="6" t="str"/>
      <x:c r="J1969" s="6" t="str">
        <x:f>IF(B1969="","",IF(AND(ISNUMBER(SEARCH("平",B1969)),OR(ISNUMBER(SEARCH("上",B1969)),ISNUMBER(SEARCH("去",B1969)),ISNUMBER(SEARCH("入",B1969)))),"Ambiguous",IF(ISNUMBER(SEARCH("平",B1969)),"平","仄")))</x:f>
        <x:v>仄</x:v>
      </x:c>
      <x:c r="K1969" s="6" t="str">
        <x:f>IF(D1969="","",IF(AND(ISNUMBER(SEARCH("平",D1969)),OR(ISNUMBER(SEARCH("上",D1969)),ISNUMBER(SEARCH("去",D1969)),ISNUMBER(SEARCH("入",D1969)))),"Ambiguous",IF(ISNUMBER(SEARCH("平",D1969)),"平","仄")))</x:f>
        <x:v>仄</x:v>
      </x:c>
      <x:c r="L1969" s="7" t="str"/>
    </x:row>
    <x:row r="1970">
      <x:c r="A1970" s="5" t="str">
        <x:v>構</x:v>
      </x:c>
      <x:c r="B1970" s="6" t="str">
        <x:v>去</x:v>
      </x:c>
      <x:c r="C1970" s="6" t="str">
        <x:f>IF(B1970="","Needs decision","Ready")</x:f>
        <x:v>Ready</x:v>
      </x:c>
      <x:c r="D1970" s="6" t="str">
        <x:v>去</x:v>
      </x:c>
      <x:c r="E1970" s="6" t="str"/>
      <x:c r="F1970" s="6" t="str">
        <x:v>去聲二十六宥</x:v>
      </x:c>
      <x:c r="G1970" s="6" t="str">
        <x:v>Pingshui main list, Wikisource-derived DOCX</x:v>
      </x:c>
      <x:c r="H1970" s="6" t="str"/>
      <x:c r="I1970" s="6" t="str">
        <x:v>Manual user correction/addition</x:v>
      </x:c>
      <x:c r="J1970" s="6" t="str">
        <x:f>IF(B1970="","",IF(AND(ISNUMBER(SEARCH("平",B1970)),OR(ISNUMBER(SEARCH("上",B1970)),ISNUMBER(SEARCH("去",B1970)),ISNUMBER(SEARCH("入",B1970)))),"Ambiguous",IF(ISNUMBER(SEARCH("平",B1970)),"平","仄")))</x:f>
        <x:v>仄</x:v>
      </x:c>
      <x:c r="K1970" s="6" t="str">
        <x:f>IF(D1970="","",IF(AND(ISNUMBER(SEARCH("平",D1970)),OR(ISNUMBER(SEARCH("上",D1970)),ISNUMBER(SEARCH("去",D1970)),ISNUMBER(SEARCH("入",D1970)))),"Ambiguous",IF(ISNUMBER(SEARCH("平",D1970)),"平","仄")))</x:f>
        <x:v>仄</x:v>
      </x:c>
      <x:c r="L1970" s="7" t="str">
        <x:v>manual user correction</x:v>
      </x:c>
    </x:row>
    <x:row r="1971">
      <x:c r="A1971" s="5" t="str">
        <x:v>槍</x:v>
      </x:c>
      <x:c r="B1971" s="6" t="str">
        <x:v>平</x:v>
      </x:c>
      <x:c r="C1971" s="6" t="str">
        <x:f>IF(B1971="","Needs decision","Ready")</x:f>
        <x:v>Ready</x:v>
      </x:c>
      <x:c r="D1971" s="6" t="str">
        <x:v>平</x:v>
      </x:c>
      <x:c r="E1971" s="6" t="str">
        <x:v>tshjang [tsʰjɑŋ] (平); tsrhaeng [tʂʰaˤŋ] (平)</x:v>
      </x:c>
      <x:c r="F1971" s="6" t="str">
        <x:v>下平聲七陽; 下平聲八庚</x:v>
      </x:c>
      <x:c r="G1971" s="6" t="str">
        <x:v>Pingshui main list, Wikisource-derived DOCX</x:v>
      </x:c>
      <x:c r="H1971" s="6" t="str">
        <x:v>2</x:v>
      </x:c>
      <x:c r="I1971" s="6" t="str">
        <x:v>Tang 300 gap; frequency 1; provisional from Xun Gong</x:v>
      </x:c>
      <x:c r="J1971" s="6" t="str">
        <x:f>IF(B1971="","",IF(AND(ISNUMBER(SEARCH("平",B1971)),OR(ISNUMBER(SEARCH("上",B1971)),ISNUMBER(SEARCH("去",B1971)),ISNUMBER(SEARCH("入",B1971)))),"Ambiguous",IF(ISNUMBER(SEARCH("平",B1971)),"平","仄")))</x:f>
        <x:v>平</x:v>
      </x:c>
      <x:c r="K1971" s="6" t="str">
        <x:f>IF(D1971="","",IF(AND(ISNUMBER(SEARCH("平",D1971)),OR(ISNUMBER(SEARCH("上",D1971)),ISNUMBER(SEARCH("去",D1971)),ISNUMBER(SEARCH("入",D1971)))),"Ambiguous",IF(ISNUMBER(SEARCH("平",D1971)),"平","仄")))</x:f>
        <x:v>平</x:v>
      </x:c>
      <x:c r="L1971" s="7" t="str">
        <x:v>Xun Gong, Tang 300 gap fill</x:v>
      </x:c>
    </x:row>
    <x:row r="1972">
      <x:c r="A1972" s="5" t="str">
        <x:v>槎</x:v>
      </x:c>
      <x:c r="B1972" s="6" t="str"/>
      <x:c r="C1972" s="6" t="str">
        <x:f>IF(B1972="","Needs decision","Ready")</x:f>
        <x:v>Needs decision</x:v>
      </x:c>
      <x:c r="D1972" s="6" t="str">
        <x:v>平/上</x:v>
      </x:c>
      <x:c r="E1972" s="6" t="str">
        <x:v>dzrae (A); dzraeX (B)</x:v>
      </x:c>
      <x:c r="F1972" s="6" t="str"/>
      <x:c r="G1972" s="6" t="str"/>
      <x:c r="H1972" s="6" t="str">
        <x:v>2</x:v>
      </x:c>
      <x:c r="I1972" s="6" t="str"/>
      <x:c r="J1972" s="6" t="str">
        <x:f>IF(B1972="","",IF(AND(ISNUMBER(SEARCH("平",B1972)),OR(ISNUMBER(SEARCH("上",B1972)),ISNUMBER(SEARCH("去",B1972)),ISNUMBER(SEARCH("入",B1972)))),"Ambiguous",IF(ISNUMBER(SEARCH("平",B1972)),"平","仄")))</x:f>
      </x:c>
      <x:c r="K1972" s="6" t="str">
        <x:f>IF(D1972="","",IF(AND(ISNUMBER(SEARCH("平",D1972)),OR(ISNUMBER(SEARCH("上",D1972)),ISNUMBER(SEARCH("去",D1972)),ISNUMBER(SEARCH("入",D1972)))),"Ambiguous",IF(ISNUMBER(SEARCH("平",D1972)),"平","仄")))</x:f>
        <x:v>Ambiguous</x:v>
      </x:c>
      <x:c r="L1972" s="7" t="str"/>
    </x:row>
    <x:row r="1973">
      <x:c r="A1973" s="5" t="str">
        <x:v>槐</x:v>
      </x:c>
      <x:c r="B1973" s="6" t="str">
        <x:v>平</x:v>
      </x:c>
      <x:c r="C1973" s="6" t="str">
        <x:f>IF(B1973="","Needs decision","Ready")</x:f>
        <x:v>Ready</x:v>
      </x:c>
      <x:c r="D1973" s="6" t="str">
        <x:v>平</x:v>
      </x:c>
      <x:c r="E1973" s="6" t="str">
        <x:v>hweaj (A); hwoj (A)</x:v>
      </x:c>
      <x:c r="F1973" s="6" t="str">
        <x:v>上平聲九佳; 上平聲十灰</x:v>
      </x:c>
      <x:c r="G1973" s="6" t="str">
        <x:v>Pingshui main list, Wikisource-derived DOCX</x:v>
      </x:c>
      <x:c r="H1973" s="6" t="str">
        <x:v>2</x:v>
      </x:c>
      <x:c r="I1973" s="6" t="str"/>
      <x:c r="J1973" s="6" t="str">
        <x:f>IF(B1973="","",IF(AND(ISNUMBER(SEARCH("平",B1973)),OR(ISNUMBER(SEARCH("上",B1973)),ISNUMBER(SEARCH("去",B1973)),ISNUMBER(SEARCH("入",B1973)))),"Ambiguous",IF(ISNUMBER(SEARCH("平",B1973)),"平","仄")))</x:f>
        <x:v>平</x:v>
      </x:c>
      <x:c r="K1973" s="6" t="str">
        <x:f>IF(D1973="","",IF(AND(ISNUMBER(SEARCH("平",D1973)),OR(ISNUMBER(SEARCH("上",D1973)),ISNUMBER(SEARCH("去",D1973)),ISNUMBER(SEARCH("入",D1973)))),"Ambiguous",IF(ISNUMBER(SEARCH("平",D1973)),"平","仄")))</x:f>
        <x:v>平</x:v>
      </x:c>
      <x:c r="L1973" s="7" t="str"/>
    </x:row>
    <x:row r="1974">
      <x:c r="A1974" s="5" t="str">
        <x:v>槨</x:v>
      </x:c>
      <x:c r="B1974" s="6" t="str">
        <x:v>入</x:v>
      </x:c>
      <x:c r="C1974" s="6" t="str">
        <x:f>IF(B1974="","Needs decision","Ready")</x:f>
        <x:v>Ready</x:v>
      </x:c>
      <x:c r="D1974" s="6" t="str">
        <x:v>入</x:v>
      </x:c>
      <x:c r="E1974" s="6" t="str">
        <x:v>kwak (D)</x:v>
      </x:c>
      <x:c r="F1974" s="6" t="str"/>
      <x:c r="G1974" s="6" t="str"/>
      <x:c r="H1974" s="6" t="str">
        <x:v>1</x:v>
      </x:c>
      <x:c r="I1974" s="6" t="str"/>
      <x:c r="J1974" s="6" t="str">
        <x:f>IF(B1974="","",IF(AND(ISNUMBER(SEARCH("平",B1974)),OR(ISNUMBER(SEARCH("上",B1974)),ISNUMBER(SEARCH("去",B1974)),ISNUMBER(SEARCH("入",B1974)))),"Ambiguous",IF(ISNUMBER(SEARCH("平",B1974)),"平","仄")))</x:f>
        <x:v>仄</x:v>
      </x:c>
      <x:c r="K1974" s="6" t="str">
        <x:f>IF(D1974="","",IF(AND(ISNUMBER(SEARCH("平",D1974)),OR(ISNUMBER(SEARCH("上",D1974)),ISNUMBER(SEARCH("去",D1974)),ISNUMBER(SEARCH("入",D1974)))),"Ambiguous",IF(ISNUMBER(SEARCH("平",D1974)),"平","仄")))</x:f>
        <x:v>仄</x:v>
      </x:c>
      <x:c r="L1974" s="7" t="str"/>
    </x:row>
    <x:row r="1975">
      <x:c r="A1975" s="5" t="str">
        <x:v>槮</x:v>
      </x:c>
      <x:c r="B1975" s="6" t="str">
        <x:v>平</x:v>
      </x:c>
      <x:c r="C1975" s="6" t="str">
        <x:f>IF(B1975="","Needs decision","Ready")</x:f>
        <x:v>Ready</x:v>
      </x:c>
      <x:c r="D1975" s="6" t="str">
        <x:v>平</x:v>
      </x:c>
      <x:c r="E1975" s="6" t="str">
        <x:v>tsrhim (A)</x:v>
      </x:c>
      <x:c r="F1975" s="6" t="str">
        <x:v>下平聲十二侵; 上聲二十七感</x:v>
      </x:c>
      <x:c r="G1975" s="6" t="str">
        <x:v>Pingshui main list, Wikisource-derived DOCX</x:v>
      </x:c>
      <x:c r="H1975" s="6" t="str">
        <x:v>1</x:v>
      </x:c>
      <x:c r="I1975" s="6" t="str"/>
      <x:c r="J1975" s="6" t="str">
        <x:f>IF(B1975="","",IF(AND(ISNUMBER(SEARCH("平",B1975)),OR(ISNUMBER(SEARCH("上",B1975)),ISNUMBER(SEARCH("去",B1975)),ISNUMBER(SEARCH("入",B1975)))),"Ambiguous",IF(ISNUMBER(SEARCH("平",B1975)),"平","仄")))</x:f>
        <x:v>平</x:v>
      </x:c>
      <x:c r="K1975" s="6" t="str">
        <x:f>IF(D1975="","",IF(AND(ISNUMBER(SEARCH("平",D1975)),OR(ISNUMBER(SEARCH("上",D1975)),ISNUMBER(SEARCH("去",D1975)),ISNUMBER(SEARCH("入",D1975)))),"Ambiguous",IF(ISNUMBER(SEARCH("平",D1975)),"平","仄")))</x:f>
        <x:v>平</x:v>
      </x:c>
      <x:c r="L1975" s="7" t="str"/>
    </x:row>
    <x:row r="1976">
      <x:c r="A1976" s="5" t="str">
        <x:v>槷</x:v>
      </x:c>
      <x:c r="B1976" s="6" t="str">
        <x:v>入</x:v>
      </x:c>
      <x:c r="C1976" s="6" t="str">
        <x:f>IF(B1976="","Needs decision","Ready")</x:f>
        <x:v>Ready</x:v>
      </x:c>
      <x:c r="D1976" s="6" t="str">
        <x:v>入</x:v>
      </x:c>
      <x:c r="E1976" s="6" t="str">
        <x:v>nget (D)</x:v>
      </x:c>
      <x:c r="F1976" s="6" t="str"/>
      <x:c r="G1976" s="6" t="str"/>
      <x:c r="H1976" s="6" t="str">
        <x:v>1</x:v>
      </x:c>
      <x:c r="I1976" s="6" t="str"/>
      <x:c r="J1976" s="6" t="str">
        <x:f>IF(B1976="","",IF(AND(ISNUMBER(SEARCH("平",B1976)),OR(ISNUMBER(SEARCH("上",B1976)),ISNUMBER(SEARCH("去",B1976)),ISNUMBER(SEARCH("入",B1976)))),"Ambiguous",IF(ISNUMBER(SEARCH("平",B1976)),"平","仄")))</x:f>
        <x:v>仄</x:v>
      </x:c>
      <x:c r="K1976" s="6" t="str">
        <x:f>IF(D1976="","",IF(AND(ISNUMBER(SEARCH("平",D1976)),OR(ISNUMBER(SEARCH("上",D1976)),ISNUMBER(SEARCH("去",D1976)),ISNUMBER(SEARCH("入",D1976)))),"Ambiguous",IF(ISNUMBER(SEARCH("平",D1976)),"平","仄")))</x:f>
        <x:v>仄</x:v>
      </x:c>
      <x:c r="L1976" s="7" t="str"/>
    </x:row>
    <x:row r="1977">
      <x:c r="A1977" s="5" t="str">
        <x:v>槿</x:v>
      </x:c>
      <x:c r="B1977" s="6" t="str">
        <x:v>上</x:v>
      </x:c>
      <x:c r="C1977" s="6" t="str">
        <x:f>IF(B1977="","Needs decision","Ready")</x:f>
        <x:v>Ready</x:v>
      </x:c>
      <x:c r="D1977" s="6" t="str">
        <x:v>上</x:v>
      </x:c>
      <x:c r="E1977" s="6" t="str">
        <x:v>kj+nX [kɨnʔ] (上)</x:v>
      </x:c>
      <x:c r="F1977" s="6" t="str">
        <x:v>上聲十二吻</x:v>
      </x:c>
      <x:c r="G1977" s="6" t="str">
        <x:v>Pingshui main list, Wikisource-derived DOCX</x:v>
      </x:c>
      <x:c r="H1977" s="6" t="str">
        <x:v>1</x:v>
      </x:c>
      <x:c r="I1977" s="6" t="str">
        <x:v>Tang 300 gap; frequency 1; provisional from Xun Gong</x:v>
      </x:c>
      <x:c r="J1977" s="6" t="str">
        <x:f>IF(B1977="","",IF(AND(ISNUMBER(SEARCH("平",B1977)),OR(ISNUMBER(SEARCH("上",B1977)),ISNUMBER(SEARCH("去",B1977)),ISNUMBER(SEARCH("入",B1977)))),"Ambiguous",IF(ISNUMBER(SEARCH("平",B1977)),"平","仄")))</x:f>
        <x:v>仄</x:v>
      </x:c>
      <x:c r="K1977" s="6" t="str">
        <x:f>IF(D1977="","",IF(AND(ISNUMBER(SEARCH("平",D1977)),OR(ISNUMBER(SEARCH("上",D1977)),ISNUMBER(SEARCH("去",D1977)),ISNUMBER(SEARCH("入",D1977)))),"Ambiguous",IF(ISNUMBER(SEARCH("平",D1977)),"平","仄")))</x:f>
        <x:v>仄</x:v>
      </x:c>
      <x:c r="L1977" s="7" t="str">
        <x:v>Xun Gong, Tang 300 gap fill</x:v>
      </x:c>
    </x:row>
    <x:row r="1978">
      <x:c r="A1978" s="5" t="str">
        <x:v>樂</x:v>
      </x:c>
      <x:c r="B1978" s="6" t="str">
        <x:v>入</x:v>
      </x:c>
      <x:c r="C1978" s="6" t="str">
        <x:f>IF(B1978="","Needs decision","Ready")</x:f>
        <x:v>Ready</x:v>
      </x:c>
      <x:c r="D1978" s="6" t="str">
        <x:v>去/入</x:v>
      </x:c>
      <x:c r="E1978" s="6" t="str">
        <x:v>lak (D); ngaewH (C); ngaewk (D)</x:v>
      </x:c>
      <x:c r="F1978" s="6" t="str">
        <x:v>去聲十九效; 入聲三覺; 入聲十藥</x:v>
      </x:c>
      <x:c r="G1978" s="6" t="str">
        <x:v>Pingshui main list, Wikisource-derived DOCX</x:v>
      </x:c>
      <x:c r="H1978" s="6" t="str">
        <x:v>3</x:v>
      </x:c>
      <x:c r="I1978" s="6" t="str">
        <x:v>User correction 2026-09-08</x:v>
      </x:c>
      <x:c r="J1978" s="6" t="str">
        <x:f>IF(B1978="","",IF(AND(ISNUMBER(SEARCH("平",B1978)),OR(ISNUMBER(SEARCH("上",B1978)),ISNUMBER(SEARCH("去",B1978)),ISNUMBER(SEARCH("入",B1978)))),"Ambiguous",IF(ISNUMBER(SEARCH("平",B1978)),"平","仄")))</x:f>
        <x:v>仄</x:v>
      </x:c>
      <x:c r="K1978" s="6" t="str">
        <x:f>IF(D1978="","",IF(AND(ISNUMBER(SEARCH("平",D1978)),OR(ISNUMBER(SEARCH("上",D1978)),ISNUMBER(SEARCH("去",D1978)),ISNUMBER(SEARCH("入",D1978)))),"Ambiguous",IF(ISNUMBER(SEARCH("平",D1978)),"平","仄")))</x:f>
        <x:v>仄</x:v>
      </x:c>
      <x:c r="L1978" s="7" t="str"/>
    </x:row>
    <x:row r="1979">
      <x:c r="A1979" s="5" t="str">
        <x:v>樓</x:v>
      </x:c>
      <x:c r="B1979" s="6" t="str">
        <x:v>平</x:v>
      </x:c>
      <x:c r="C1979" s="6" t="str">
        <x:f>IF(B1979="","Needs decision","Ready")</x:f>
        <x:v>Ready</x:v>
      </x:c>
      <x:c r="D1979" s="6" t="str">
        <x:v>平</x:v>
      </x:c>
      <x:c r="E1979" s="6" t="str">
        <x:v>luw [來一侯平] l̙u</x:v>
      </x:c>
      <x:c r="F1979" s="6" t="str">
        <x:v>下平聲十一尤</x:v>
      </x:c>
      <x:c r="G1979" s="6" t="str">
        <x:v>Pingshui main list, Wikisource-derived DOCX</x:v>
      </x:c>
      <x:c r="H1979" s="6" t="str">
        <x:v>1</x:v>
      </x:c>
      <x:c r="I1979" s="6" t="str">
        <x:v>Targeted preliminary fill from Xun Gong; review if uncertain</x:v>
      </x:c>
      <x:c r="J1979" s="6" t="str">
        <x:f>IF(B1979="","",IF(AND(ISNUMBER(SEARCH("平",B1979)),OR(ISNUMBER(SEARCH("上",B1979)),ISNUMBER(SEARCH("去",B1979)),ISNUMBER(SEARCH("入",B1979)))),"Ambiguous",IF(ISNUMBER(SEARCH("平",B1979)),"平","仄")))</x:f>
        <x:v>平</x:v>
      </x:c>
      <x:c r="K1979" s="6" t="str">
        <x:f>IF(D1979="","",IF(AND(ISNUMBER(SEARCH("平",D1979)),OR(ISNUMBER(SEARCH("上",D1979)),ISNUMBER(SEARCH("去",D1979)),ISNUMBER(SEARCH("入",D1979)))),"Ambiguous",IF(ISNUMBER(SEARCH("平",D1979)),"平","仄")))</x:f>
        <x:v>平</x:v>
      </x:c>
      <x:c r="L1979" s="7" t="str">
        <x:v>Xun Gong character-readings.csv</x:v>
      </x:c>
    </x:row>
    <x:row r="1980">
      <x:c r="A1980" s="5" t="str">
        <x:v>標</x:v>
      </x:c>
      <x:c r="B1980" s="6" t="str">
        <x:v>平</x:v>
      </x:c>
      <x:c r="C1980" s="6" t="str">
        <x:f>IF(B1980="","Needs decision","Ready")</x:f>
        <x:v>Ready</x:v>
      </x:c>
      <x:c r="D1980" s="6" t="str">
        <x:v>平/上</x:v>
      </x:c>
      <x:c r="E1980" s="6" t="str">
        <x:v>pjiew [pjew] (平); pjiewX [pjewʔ] (上)</x:v>
      </x:c>
      <x:c r="F1980" s="6" t="str">
        <x:v>下平聲二蕭; 上聲十七篠</x:v>
      </x:c>
      <x:c r="G1980" s="6" t="str">
        <x:v>Pingshui main list, Wikisource-derived DOCX</x:v>
      </x:c>
      <x:c r="H1980" s="6" t="str">
        <x:v>2</x:v>
      </x:c>
      <x:c r="I1980" s="6" t="str">
        <x:v>Tang 300 gap; frequency 1; ambiguous in Xun Gong; User workbook edit 2026-09-03</x:v>
      </x:c>
      <x:c r="J1980" s="6" t="str">
        <x:f>IF(B1980="","",IF(AND(ISNUMBER(SEARCH("平",B1980)),OR(ISNUMBER(SEARCH("上",B1980)),ISNUMBER(SEARCH("去",B1980)),ISNUMBER(SEARCH("入",B1980)))),"Ambiguous",IF(ISNUMBER(SEARCH("平",B1980)),"平","仄")))</x:f>
        <x:v>平</x:v>
      </x:c>
      <x:c r="K1980" s="6" t="str">
        <x:f>IF(D1980="","",IF(AND(ISNUMBER(SEARCH("平",D1980)),OR(ISNUMBER(SEARCH("上",D1980)),ISNUMBER(SEARCH("去",D1980)),ISNUMBER(SEARCH("入",D1980)))),"Ambiguous",IF(ISNUMBER(SEARCH("平",D1980)),"平","仄")))</x:f>
        <x:v>Ambiguous</x:v>
      </x:c>
      <x:c r="L1980" s="7" t="str">
        <x:v>manual user correction</x:v>
      </x:c>
    </x:row>
    <x:row r="1981">
      <x:c r="A1981" s="5" t="str">
        <x:v>樛</x:v>
      </x:c>
      <x:c r="B1981" s="6" t="str">
        <x:v>平</x:v>
      </x:c>
      <x:c r="C1981" s="6" t="str">
        <x:f>IF(B1981="","Needs decision","Ready")</x:f>
        <x:v>Ready</x:v>
      </x:c>
      <x:c r="D1981" s="6" t="str">
        <x:v>平</x:v>
      </x:c>
      <x:c r="E1981" s="6" t="str">
        <x:v>kjiw (A)</x:v>
      </x:c>
      <x:c r="F1981" s="6" t="str">
        <x:v>下平聲十一尤</x:v>
      </x:c>
      <x:c r="G1981" s="6" t="str">
        <x:v>Pingshui main list, Wikisource-derived DOCX</x:v>
      </x:c>
      <x:c r="H1981" s="6" t="str">
        <x:v>1</x:v>
      </x:c>
      <x:c r="I1981" s="6" t="str"/>
      <x:c r="J1981" s="6" t="str">
        <x:f>IF(B1981="","",IF(AND(ISNUMBER(SEARCH("平",B1981)),OR(ISNUMBER(SEARCH("上",B1981)),ISNUMBER(SEARCH("去",B1981)),ISNUMBER(SEARCH("入",B1981)))),"Ambiguous",IF(ISNUMBER(SEARCH("平",B1981)),"平","仄")))</x:f>
        <x:v>平</x:v>
      </x:c>
      <x:c r="K1981" s="6" t="str">
        <x:f>IF(D1981="","",IF(AND(ISNUMBER(SEARCH("平",D1981)),OR(ISNUMBER(SEARCH("上",D1981)),ISNUMBER(SEARCH("去",D1981)),ISNUMBER(SEARCH("入",D1981)))),"Ambiguous",IF(ISNUMBER(SEARCH("平",D1981)),"平","仄")))</x:f>
        <x:v>平</x:v>
      </x:c>
      <x:c r="L1981" s="7" t="str"/>
    </x:row>
    <x:row r="1982">
      <x:c r="A1982" s="5" t="str">
        <x:v>樞</x:v>
      </x:c>
      <x:c r="B1982" s="6" t="str">
        <x:v>平</x:v>
      </x:c>
      <x:c r="C1982" s="6" t="str">
        <x:f>IF(B1982="","Needs decision","Ready")</x:f>
        <x:v>Ready</x:v>
      </x:c>
      <x:c r="D1982" s="6" t="str">
        <x:v>平</x:v>
      </x:c>
      <x:c r="E1982" s="6" t="str">
        <x:v>'uw (A); tsyhu (A)</x:v>
      </x:c>
      <x:c r="F1982" s="6" t="str">
        <x:v>上平聲七虞</x:v>
      </x:c>
      <x:c r="G1982" s="6" t="str">
        <x:v>Pingshui main list, Wikisource-derived DOCX</x:v>
      </x:c>
      <x:c r="H1982" s="6" t="str">
        <x:v>2</x:v>
      </x:c>
      <x:c r="I1982" s="6" t="str"/>
      <x:c r="J1982" s="6" t="str">
        <x:f>IF(B1982="","",IF(AND(ISNUMBER(SEARCH("平",B1982)),OR(ISNUMBER(SEARCH("上",B1982)),ISNUMBER(SEARCH("去",B1982)),ISNUMBER(SEARCH("入",B1982)))),"Ambiguous",IF(ISNUMBER(SEARCH("平",B1982)),"平","仄")))</x:f>
        <x:v>平</x:v>
      </x:c>
      <x:c r="K1982" s="6" t="str">
        <x:f>IF(D1982="","",IF(AND(ISNUMBER(SEARCH("平",D1982)),OR(ISNUMBER(SEARCH("上",D1982)),ISNUMBER(SEARCH("去",D1982)),ISNUMBER(SEARCH("入",D1982)))),"Ambiguous",IF(ISNUMBER(SEARCH("平",D1982)),"平","仄")))</x:f>
        <x:v>平</x:v>
      </x:c>
      <x:c r="L1982" s="7" t="str"/>
    </x:row>
    <x:row r="1983">
      <x:c r="A1983" s="5" t="str">
        <x:v>模</x:v>
      </x:c>
      <x:c r="B1983" s="6" t="str">
        <x:v>平</x:v>
      </x:c>
      <x:c r="C1983" s="6" t="str">
        <x:f>IF(B1983="","Needs decision","Ready")</x:f>
        <x:v>Ready</x:v>
      </x:c>
      <x:c r="D1983" s="6" t="str">
        <x:v>平</x:v>
      </x:c>
      <x:c r="E1983" s="6" t="str">
        <x:v>mu (A)</x:v>
      </x:c>
      <x:c r="F1983" s="6" t="str">
        <x:v>上平聲七虞</x:v>
      </x:c>
      <x:c r="G1983" s="6" t="str">
        <x:v>Pingshui main list, Wikisource-derived DOCX</x:v>
      </x:c>
      <x:c r="H1983" s="6" t="str">
        <x:v>1</x:v>
      </x:c>
      <x:c r="I1983" s="6" t="str"/>
      <x:c r="J1983" s="6" t="str">
        <x:f>IF(B1983="","",IF(AND(ISNUMBER(SEARCH("平",B1983)),OR(ISNUMBER(SEARCH("上",B1983)),ISNUMBER(SEARCH("去",B1983)),ISNUMBER(SEARCH("入",B1983)))),"Ambiguous",IF(ISNUMBER(SEARCH("平",B1983)),"平","仄")))</x:f>
        <x:v>平</x:v>
      </x:c>
      <x:c r="K1983" s="6" t="str">
        <x:f>IF(D1983="","",IF(AND(ISNUMBER(SEARCH("平",D1983)),OR(ISNUMBER(SEARCH("上",D1983)),ISNUMBER(SEARCH("去",D1983)),ISNUMBER(SEARCH("入",D1983)))),"Ambiguous",IF(ISNUMBER(SEARCH("平",D1983)),"平","仄")))</x:f>
        <x:v>平</x:v>
      </x:c>
      <x:c r="L1983" s="7" t="str"/>
    </x:row>
    <x:row r="1984">
      <x:c r="A1984" s="5" t="str">
        <x:v>樴</x:v>
      </x:c>
      <x:c r="B1984" s="6" t="str">
        <x:v>入</x:v>
      </x:c>
      <x:c r="C1984" s="6" t="str">
        <x:f>IF(B1984="","Needs decision","Ready")</x:f>
        <x:v>Ready</x:v>
      </x:c>
      <x:c r="D1984" s="6" t="str">
        <x:v>入</x:v>
      </x:c>
      <x:c r="E1984" s="6" t="str">
        <x:v>tsyik (D)</x:v>
      </x:c>
      <x:c r="F1984" s="6" t="str">
        <x:v>入聲十三職</x:v>
      </x:c>
      <x:c r="G1984" s="6" t="str">
        <x:v>Pingshui main list, Wikisource-derived DOCX</x:v>
      </x:c>
      <x:c r="H1984" s="6" t="str">
        <x:v>1</x:v>
      </x:c>
      <x:c r="I1984" s="6" t="str"/>
      <x:c r="J1984" s="6" t="str">
        <x:f>IF(B1984="","",IF(AND(ISNUMBER(SEARCH("平",B1984)),OR(ISNUMBER(SEARCH("上",B1984)),ISNUMBER(SEARCH("去",B1984)),ISNUMBER(SEARCH("入",B1984)))),"Ambiguous",IF(ISNUMBER(SEARCH("平",B1984)),"平","仄")))</x:f>
        <x:v>仄</x:v>
      </x:c>
      <x:c r="K1984" s="6" t="str">
        <x:f>IF(D1984="","",IF(AND(ISNUMBER(SEARCH("平",D1984)),OR(ISNUMBER(SEARCH("上",D1984)),ISNUMBER(SEARCH("去",D1984)),ISNUMBER(SEARCH("入",D1984)))),"Ambiguous",IF(ISNUMBER(SEARCH("平",D1984)),"平","仄")))</x:f>
        <x:v>仄</x:v>
      </x:c>
      <x:c r="L1984" s="7" t="str"/>
    </x:row>
    <x:row r="1985">
      <x:c r="A1985" s="5" t="str">
        <x:v>樵</x:v>
      </x:c>
      <x:c r="B1985" s="6" t="str">
        <x:v>平</x:v>
      </x:c>
      <x:c r="C1985" s="6" t="str">
        <x:f>IF(B1985="","Needs decision","Ready")</x:f>
        <x:v>Ready</x:v>
      </x:c>
      <x:c r="D1985" s="6" t="str">
        <x:v>平</x:v>
      </x:c>
      <x:c r="E1985" s="6" t="str">
        <x:v>dzjew [dzjew] (平)</x:v>
      </x:c>
      <x:c r="F1985" s="6" t="str">
        <x:v>下平聲二蕭</x:v>
      </x:c>
      <x:c r="G1985" s="6" t="str">
        <x:v>Pingshui main list, Wikisource-derived DOCX</x:v>
      </x:c>
      <x:c r="H1985" s="6" t="str">
        <x:v>1</x:v>
      </x:c>
      <x:c r="I1985" s="6" t="str">
        <x:v>Tang 300 gap; frequency 6; provisional from Xun Gong</x:v>
      </x:c>
      <x:c r="J1985" s="6" t="str">
        <x:f>IF(B1985="","",IF(AND(ISNUMBER(SEARCH("平",B1985)),OR(ISNUMBER(SEARCH("上",B1985)),ISNUMBER(SEARCH("去",B1985)),ISNUMBER(SEARCH("入",B1985)))),"Ambiguous",IF(ISNUMBER(SEARCH("平",B1985)),"平","仄")))</x:f>
        <x:v>平</x:v>
      </x:c>
      <x:c r="K1985" s="6" t="str">
        <x:f>IF(D1985="","",IF(AND(ISNUMBER(SEARCH("平",D1985)),OR(ISNUMBER(SEARCH("上",D1985)),ISNUMBER(SEARCH("去",D1985)),ISNUMBER(SEARCH("入",D1985)))),"Ambiguous",IF(ISNUMBER(SEARCH("平",D1985)),"平","仄")))</x:f>
        <x:v>平</x:v>
      </x:c>
      <x:c r="L1985" s="7" t="str">
        <x:v>Xun Gong, Tang 300 gap fill</x:v>
      </x:c>
    </x:row>
    <x:row r="1986">
      <x:c r="A1986" s="5" t="str">
        <x:v>樸</x:v>
      </x:c>
      <x:c r="B1986" s="6" t="str">
        <x:v>入</x:v>
      </x:c>
      <x:c r="C1986" s="6" t="str">
        <x:f>IF(B1986="","Needs decision","Ready")</x:f>
        <x:v>Ready</x:v>
      </x:c>
      <x:c r="D1986" s="6" t="str">
        <x:v>入</x:v>
      </x:c>
      <x:c r="E1986" s="6" t="str">
        <x:v>phaewk (D)</x:v>
      </x:c>
      <x:c r="F1986" s="6" t="str">
        <x:v>入聲一屋; 入聲三覺</x:v>
      </x:c>
      <x:c r="G1986" s="6" t="str">
        <x:v>Pingshui main list, Wikisource-derived DOCX</x:v>
      </x:c>
      <x:c r="H1986" s="6" t="str">
        <x:v>1</x:v>
      </x:c>
      <x:c r="I1986" s="6" t="str"/>
      <x:c r="J1986" s="6" t="str">
        <x:f>IF(B1986="","",IF(AND(ISNUMBER(SEARCH("平",B1986)),OR(ISNUMBER(SEARCH("上",B1986)),ISNUMBER(SEARCH("去",B1986)),ISNUMBER(SEARCH("入",B1986)))),"Ambiguous",IF(ISNUMBER(SEARCH("平",B1986)),"平","仄")))</x:f>
        <x:v>仄</x:v>
      </x:c>
      <x:c r="K1986" s="6" t="str">
        <x:f>IF(D1986="","",IF(AND(ISNUMBER(SEARCH("平",D1986)),OR(ISNUMBER(SEARCH("上",D1986)),ISNUMBER(SEARCH("去",D1986)),ISNUMBER(SEARCH("入",D1986)))),"Ambiguous",IF(ISNUMBER(SEARCH("平",D1986)),"平","仄")))</x:f>
        <x:v>仄</x:v>
      </x:c>
      <x:c r="L1986" s="7" t="str"/>
    </x:row>
    <x:row r="1987">
      <x:c r="A1987" s="5" t="str">
        <x:v>樹</x:v>
      </x:c>
      <x:c r="B1987" s="6" t="str">
        <x:v>去</x:v>
      </x:c>
      <x:c r="C1987" s="6" t="str">
        <x:f>IF(B1987="","Needs decision","Ready")</x:f>
        <x:v>Ready</x:v>
      </x:c>
      <x:c r="D1987" s="6" t="str">
        <x:v>上/去</x:v>
      </x:c>
      <x:c r="E1987" s="6" t="str">
        <x:v>dzyuX (B); dzyuH (C)</x:v>
      </x:c>
      <x:c r="F1987" s="6" t="str">
        <x:v>上聲七麌; 去聲七遇</x:v>
      </x:c>
      <x:c r="G1987" s="6" t="str">
        <x:v>Pingshui main list, Wikisource-derived DOCX</x:v>
      </x:c>
      <x:c r="H1987" s="6" t="str">
        <x:v>2</x:v>
      </x:c>
      <x:c r="I1987" s="6" t="str">
        <x:v>User workbook edit 2026-09-03</x:v>
      </x:c>
      <x:c r="J1987" s="6" t="str">
        <x:f>IF(B1987="","",IF(AND(ISNUMBER(SEARCH("平",B1987)),OR(ISNUMBER(SEARCH("上",B1987)),ISNUMBER(SEARCH("去",B1987)),ISNUMBER(SEARCH("入",B1987)))),"Ambiguous",IF(ISNUMBER(SEARCH("平",B1987)),"平","仄")))</x:f>
        <x:v>仄</x:v>
      </x:c>
      <x:c r="K1987" s="6" t="str">
        <x:f>IF(D1987="","",IF(AND(ISNUMBER(SEARCH("平",D1987)),OR(ISNUMBER(SEARCH("上",D1987)),ISNUMBER(SEARCH("去",D1987)),ISNUMBER(SEARCH("入",D1987)))),"Ambiguous",IF(ISNUMBER(SEARCH("平",D1987)),"平","仄")))</x:f>
        <x:v>仄</x:v>
      </x:c>
      <x:c r="L1987" s="7" t="str">
        <x:v>manual user correction</x:v>
      </x:c>
    </x:row>
    <x:row r="1988">
      <x:c r="A1988" s="5" t="str">
        <x:v>樽</x:v>
      </x:c>
      <x:c r="B1988" s="6" t="str">
        <x:v>平</x:v>
      </x:c>
      <x:c r="C1988" s="6" t="str">
        <x:f>IF(B1988="","Needs decision","Ready")</x:f>
        <x:v>Ready</x:v>
      </x:c>
      <x:c r="D1988" s="6" t="str">
        <x:v>平</x:v>
      </x:c>
      <x:c r="E1988" s="6" t="str">
        <x:v>tswon (A)</x:v>
      </x:c>
      <x:c r="F1988" s="6" t="str"/>
      <x:c r="G1988" s="6" t="str"/>
      <x:c r="H1988" s="6" t="str">
        <x:v>1</x:v>
      </x:c>
      <x:c r="I1988" s="6" t="str"/>
      <x:c r="J1988" s="6" t="str">
        <x:f>IF(B1988="","",IF(AND(ISNUMBER(SEARCH("平",B1988)),OR(ISNUMBER(SEARCH("上",B1988)),ISNUMBER(SEARCH("去",B1988)),ISNUMBER(SEARCH("入",B1988)))),"Ambiguous",IF(ISNUMBER(SEARCH("平",B1988)),"平","仄")))</x:f>
        <x:v>平</x:v>
      </x:c>
      <x:c r="K1988" s="6" t="str">
        <x:f>IF(D1988="","",IF(AND(ISNUMBER(SEARCH("平",D1988)),OR(ISNUMBER(SEARCH("上",D1988)),ISNUMBER(SEARCH("去",D1988)),ISNUMBER(SEARCH("入",D1988)))),"Ambiguous",IF(ISNUMBER(SEARCH("平",D1988)),"平","仄")))</x:f>
        <x:v>平</x:v>
      </x:c>
      <x:c r="L1988" s="7" t="str"/>
    </x:row>
    <x:row r="1989">
      <x:c r="A1989" s="5" t="str">
        <x:v>橈</x:v>
      </x:c>
      <x:c r="B1989" s="6" t="str"/>
      <x:c r="C1989" s="6" t="str">
        <x:f>IF(B1989="","Needs decision","Ready")</x:f>
        <x:v>Needs decision</x:v>
      </x:c>
      <x:c r="D1989" s="6" t="str">
        <x:v>平/去</x:v>
      </x:c>
      <x:c r="E1989" s="6" t="str">
        <x:v>nraewH (C); nyew (A)</x:v>
      </x:c>
      <x:c r="F1989" s="6" t="str">
        <x:v>下平聲二蕭; 去聲十九效</x:v>
      </x:c>
      <x:c r="G1989" s="6" t="str">
        <x:v>Pingshui main list, Wikisource-derived DOCX</x:v>
      </x:c>
      <x:c r="H1989" s="6" t="str">
        <x:v>2</x:v>
      </x:c>
      <x:c r="I1989" s="6" t="str"/>
      <x:c r="J1989" s="6" t="str">
        <x:f>IF(B1989="","",IF(AND(ISNUMBER(SEARCH("平",B1989)),OR(ISNUMBER(SEARCH("上",B1989)),ISNUMBER(SEARCH("去",B1989)),ISNUMBER(SEARCH("入",B1989)))),"Ambiguous",IF(ISNUMBER(SEARCH("平",B1989)),"平","仄")))</x:f>
      </x:c>
      <x:c r="K1989" s="6" t="str">
        <x:f>IF(D1989="","",IF(AND(ISNUMBER(SEARCH("平",D1989)),OR(ISNUMBER(SEARCH("上",D1989)),ISNUMBER(SEARCH("去",D1989)),ISNUMBER(SEARCH("入",D1989)))),"Ambiguous",IF(ISNUMBER(SEARCH("平",D1989)),"平","仄")))</x:f>
        <x:v>Ambiguous</x:v>
      </x:c>
      <x:c r="L1989" s="7" t="str"/>
    </x:row>
    <x:row r="1990">
      <x:c r="A1990" s="5" t="str">
        <x:v>橋</x:v>
      </x:c>
      <x:c r="B1990" s="6" t="str">
        <x:v>平</x:v>
      </x:c>
      <x:c r="C1990" s="6" t="str">
        <x:f>IF(B1990="","Needs decision","Ready")</x:f>
        <x:v>Ready</x:v>
      </x:c>
      <x:c r="D1990" s="6" t="str">
        <x:v>平</x:v>
      </x:c>
      <x:c r="E1990" s="6" t="str">
        <x:v>gjew (A)</x:v>
      </x:c>
      <x:c r="F1990" s="6" t="str">
        <x:v>下平聲二蕭</x:v>
      </x:c>
      <x:c r="G1990" s="6" t="str">
        <x:v>Pingshui main list, Wikisource-derived DOCX</x:v>
      </x:c>
      <x:c r="H1990" s="6" t="str">
        <x:v>1</x:v>
      </x:c>
      <x:c r="I1990" s="6" t="str"/>
      <x:c r="J1990" s="6" t="str">
        <x:f>IF(B1990="","",IF(AND(ISNUMBER(SEARCH("平",B1990)),OR(ISNUMBER(SEARCH("上",B1990)),ISNUMBER(SEARCH("去",B1990)),ISNUMBER(SEARCH("入",B1990)))),"Ambiguous",IF(ISNUMBER(SEARCH("平",B1990)),"平","仄")))</x:f>
        <x:v>平</x:v>
      </x:c>
      <x:c r="K1990" s="6" t="str">
        <x:f>IF(D1990="","",IF(AND(ISNUMBER(SEARCH("平",D1990)),OR(ISNUMBER(SEARCH("上",D1990)),ISNUMBER(SEARCH("去",D1990)),ISNUMBER(SEARCH("入",D1990)))),"Ambiguous",IF(ISNUMBER(SEARCH("平",D1990)),"平","仄")))</x:f>
        <x:v>平</x:v>
      </x:c>
      <x:c r="L1990" s="7" t="str"/>
    </x:row>
    <x:row r="1991">
      <x:c r="A1991" s="5" t="str">
        <x:v>橐</x:v>
      </x:c>
      <x:c r="B1991" s="6" t="str">
        <x:v>入</x:v>
      </x:c>
      <x:c r="C1991" s="6" t="str">
        <x:f>IF(B1991="","Needs decision","Ready")</x:f>
        <x:v>Ready</x:v>
      </x:c>
      <x:c r="D1991" s="6" t="str">
        <x:v>入</x:v>
      </x:c>
      <x:c r="E1991" s="6" t="str">
        <x:v>thak (D)</x:v>
      </x:c>
      <x:c r="F1991" s="6" t="str">
        <x:v>入聲十藥</x:v>
      </x:c>
      <x:c r="G1991" s="6" t="str">
        <x:v>Pingshui main list, Wikisource-derived DOCX</x:v>
      </x:c>
      <x:c r="H1991" s="6" t="str">
        <x:v>1</x:v>
      </x:c>
      <x:c r="I1991" s="6" t="str"/>
      <x:c r="J1991" s="6" t="str">
        <x:f>IF(B1991="","",IF(AND(ISNUMBER(SEARCH("平",B1991)),OR(ISNUMBER(SEARCH("上",B1991)),ISNUMBER(SEARCH("去",B1991)),ISNUMBER(SEARCH("入",B1991)))),"Ambiguous",IF(ISNUMBER(SEARCH("平",B1991)),"平","仄")))</x:f>
        <x:v>仄</x:v>
      </x:c>
      <x:c r="K1991" s="6" t="str">
        <x:f>IF(D1991="","",IF(AND(ISNUMBER(SEARCH("平",D1991)),OR(ISNUMBER(SEARCH("上",D1991)),ISNUMBER(SEARCH("去",D1991)),ISNUMBER(SEARCH("入",D1991)))),"Ambiguous",IF(ISNUMBER(SEARCH("平",D1991)),"平","仄")))</x:f>
        <x:v>仄</x:v>
      </x:c>
      <x:c r="L1991" s="7" t="str"/>
    </x:row>
    <x:row r="1992">
      <x:c r="A1992" s="5" t="str">
        <x:v>橘</x:v>
      </x:c>
      <x:c r="B1992" s="6" t="str">
        <x:v>入</x:v>
      </x:c>
      <x:c r="C1992" s="6" t="str">
        <x:f>IF(B1992="","Needs decision","Ready")</x:f>
        <x:v>Ready</x:v>
      </x:c>
      <x:c r="D1992" s="6" t="str">
        <x:v>入</x:v>
      </x:c>
      <x:c r="E1992" s="6" t="str">
        <x:v>kjwit (D)</x:v>
      </x:c>
      <x:c r="F1992" s="6" t="str">
        <x:v>入聲四質</x:v>
      </x:c>
      <x:c r="G1992" s="6" t="str">
        <x:v>Pingshui main list, Wikisource-derived DOCX</x:v>
      </x:c>
      <x:c r="H1992" s="6" t="str">
        <x:v>1</x:v>
      </x:c>
      <x:c r="I1992" s="6" t="str"/>
      <x:c r="J1992" s="6" t="str">
        <x:f>IF(B1992="","",IF(AND(ISNUMBER(SEARCH("平",B1992)),OR(ISNUMBER(SEARCH("上",B1992)),ISNUMBER(SEARCH("去",B1992)),ISNUMBER(SEARCH("入",B1992)))),"Ambiguous",IF(ISNUMBER(SEARCH("平",B1992)),"平","仄")))</x:f>
        <x:v>仄</x:v>
      </x:c>
      <x:c r="K1992" s="6" t="str">
        <x:f>IF(D1992="","",IF(AND(ISNUMBER(SEARCH("平",D1992)),OR(ISNUMBER(SEARCH("上",D1992)),ISNUMBER(SEARCH("去",D1992)),ISNUMBER(SEARCH("入",D1992)))),"Ambiguous",IF(ISNUMBER(SEARCH("平",D1992)),"平","仄")))</x:f>
        <x:v>仄</x:v>
      </x:c>
      <x:c r="L1992" s="7" t="str"/>
    </x:row>
    <x:row r="1993">
      <x:c r="A1993" s="5" t="str">
        <x:v>橙</x:v>
      </x:c>
      <x:c r="B1993" s="6" t="str">
        <x:v>平</x:v>
      </x:c>
      <x:c r="C1993" s="6" t="str">
        <x:f>IF(B1993="","Needs decision","Ready")</x:f>
        <x:v>Ready</x:v>
      </x:c>
      <x:c r="D1993" s="6" t="str">
        <x:v>平</x:v>
      </x:c>
      <x:c r="E1993" s="6" t="str">
        <x:v>dreang (A)</x:v>
      </x:c>
      <x:c r="F1993" s="6" t="str">
        <x:v>下平聲八庚; 去聲二十五徑</x:v>
      </x:c>
      <x:c r="G1993" s="6" t="str">
        <x:v>Pingshui main list, Wikisource-derived DOCX</x:v>
      </x:c>
      <x:c r="H1993" s="6" t="str">
        <x:v>1</x:v>
      </x:c>
      <x:c r="I1993" s="6" t="str"/>
      <x:c r="J1993" s="6" t="str">
        <x:f>IF(B1993="","",IF(AND(ISNUMBER(SEARCH("平",B1993)),OR(ISNUMBER(SEARCH("上",B1993)),ISNUMBER(SEARCH("去",B1993)),ISNUMBER(SEARCH("入",B1993)))),"Ambiguous",IF(ISNUMBER(SEARCH("平",B1993)),"平","仄")))</x:f>
        <x:v>平</x:v>
      </x:c>
      <x:c r="K1993" s="6" t="str">
        <x:f>IF(D1993="","",IF(AND(ISNUMBER(SEARCH("平",D1993)),OR(ISNUMBER(SEARCH("上",D1993)),ISNUMBER(SEARCH("去",D1993)),ISNUMBER(SEARCH("入",D1993)))),"Ambiguous",IF(ISNUMBER(SEARCH("平",D1993)),"平","仄")))</x:f>
        <x:v>平</x:v>
      </x:c>
      <x:c r="L1993" s="7" t="str"/>
    </x:row>
    <x:row r="1994">
      <x:c r="A1994" s="5" t="str">
        <x:v>機</x:v>
      </x:c>
      <x:c r="B1994" s="6" t="str">
        <x:v>平</x:v>
      </x:c>
      <x:c r="C1994" s="6" t="str">
        <x:f>IF(B1994="","Needs decision","Ready")</x:f>
        <x:v>Ready</x:v>
      </x:c>
      <x:c r="D1994" s="6" t="str">
        <x:v>平</x:v>
      </x:c>
      <x:c r="E1994" s="6" t="str">
        <x:v>kj+j (A)</x:v>
      </x:c>
      <x:c r="F1994" s="6" t="str">
        <x:v>上平聲五微; 上聲四紙</x:v>
      </x:c>
      <x:c r="G1994" s="6" t="str">
        <x:v>Pingshui main list, Wikisource-derived DOCX</x:v>
      </x:c>
      <x:c r="H1994" s="6" t="str">
        <x:v>1</x:v>
      </x:c>
      <x:c r="I1994" s="6" t="str"/>
      <x:c r="J1994" s="6" t="str">
        <x:f>IF(B1994="","",IF(AND(ISNUMBER(SEARCH("平",B1994)),OR(ISNUMBER(SEARCH("上",B1994)),ISNUMBER(SEARCH("去",B1994)),ISNUMBER(SEARCH("入",B1994)))),"Ambiguous",IF(ISNUMBER(SEARCH("平",B1994)),"平","仄")))</x:f>
        <x:v>平</x:v>
      </x:c>
      <x:c r="K1994" s="6" t="str">
        <x:f>IF(D1994="","",IF(AND(ISNUMBER(SEARCH("平",D1994)),OR(ISNUMBER(SEARCH("上",D1994)),ISNUMBER(SEARCH("去",D1994)),ISNUMBER(SEARCH("入",D1994)))),"Ambiguous",IF(ISNUMBER(SEARCH("平",D1994)),"平","仄")))</x:f>
        <x:v>平</x:v>
      </x:c>
      <x:c r="L1994" s="7" t="str"/>
    </x:row>
    <x:row r="1995">
      <x:c r="A1995" s="5" t="str">
        <x:v>橡</x:v>
      </x:c>
      <x:c r="B1995" s="6" t="str">
        <x:v>上</x:v>
      </x:c>
      <x:c r="C1995" s="6" t="str">
        <x:f>IF(B1995="","Needs decision","Ready")</x:f>
        <x:v>Ready</x:v>
      </x:c>
      <x:c r="D1995" s="6" t="str">
        <x:v>上</x:v>
      </x:c>
      <x:c r="E1995" s="6" t="str">
        <x:v>zjangX (B)</x:v>
      </x:c>
      <x:c r="F1995" s="6" t="str">
        <x:v>上聲二十二養</x:v>
      </x:c>
      <x:c r="G1995" s="6" t="str">
        <x:v>Pingshui main list, Wikisource-derived DOCX</x:v>
      </x:c>
      <x:c r="H1995" s="6" t="str">
        <x:v>1</x:v>
      </x:c>
      <x:c r="I1995" s="6" t="str"/>
      <x:c r="J1995" s="6" t="str">
        <x:f>IF(B1995="","",IF(AND(ISNUMBER(SEARCH("平",B1995)),OR(ISNUMBER(SEARCH("上",B1995)),ISNUMBER(SEARCH("去",B1995)),ISNUMBER(SEARCH("入",B1995)))),"Ambiguous",IF(ISNUMBER(SEARCH("平",B1995)),"平","仄")))</x:f>
        <x:v>仄</x:v>
      </x:c>
      <x:c r="K1995" s="6" t="str">
        <x:f>IF(D1995="","",IF(AND(ISNUMBER(SEARCH("平",D1995)),OR(ISNUMBER(SEARCH("上",D1995)),ISNUMBER(SEARCH("去",D1995)),ISNUMBER(SEARCH("入",D1995)))),"Ambiguous",IF(ISNUMBER(SEARCH("平",D1995)),"平","仄")))</x:f>
        <x:v>仄</x:v>
      </x:c>
      <x:c r="L1995" s="7" t="str"/>
    </x:row>
    <x:row r="1996">
      <x:c r="A1996" s="5" t="str">
        <x:v>橢</x:v>
      </x:c>
      <x:c r="B1996" s="6" t="str">
        <x:v>上</x:v>
      </x:c>
      <x:c r="C1996" s="6" t="str">
        <x:f>IF(B1996="","Needs decision","Ready")</x:f>
        <x:v>Ready</x:v>
      </x:c>
      <x:c r="D1996" s="6" t="str">
        <x:v>上</x:v>
      </x:c>
      <x:c r="E1996" s="6" t="str">
        <x:v>thwaX (B)</x:v>
      </x:c>
      <x:c r="F1996" s="6" t="str">
        <x:v>上聲二十哿</x:v>
      </x:c>
      <x:c r="G1996" s="6" t="str">
        <x:v>Pingshui main list, Wikisource-derived DOCX</x:v>
      </x:c>
      <x:c r="H1996" s="6" t="str">
        <x:v>1</x:v>
      </x:c>
      <x:c r="I1996" s="6" t="str"/>
      <x:c r="J1996" s="6" t="str">
        <x:f>IF(B1996="","",IF(AND(ISNUMBER(SEARCH("平",B1996)),OR(ISNUMBER(SEARCH("上",B1996)),ISNUMBER(SEARCH("去",B1996)),ISNUMBER(SEARCH("入",B1996)))),"Ambiguous",IF(ISNUMBER(SEARCH("平",B1996)),"平","仄")))</x:f>
        <x:v>仄</x:v>
      </x:c>
      <x:c r="K1996" s="6" t="str">
        <x:f>IF(D1996="","",IF(AND(ISNUMBER(SEARCH("平",D1996)),OR(ISNUMBER(SEARCH("上",D1996)),ISNUMBER(SEARCH("去",D1996)),ISNUMBER(SEARCH("入",D1996)))),"Ambiguous",IF(ISNUMBER(SEARCH("平",D1996)),"平","仄")))</x:f>
        <x:v>仄</x:v>
      </x:c>
      <x:c r="L1996" s="7" t="str"/>
    </x:row>
    <x:row r="1997">
      <x:c r="A1997" s="5" t="str">
        <x:v>橦</x:v>
      </x:c>
      <x:c r="B1997" s="6" t="str">
        <x:v>平</x:v>
      </x:c>
      <x:c r="C1997" s="6" t="str">
        <x:f>IF(B1997="","Needs decision","Ready")</x:f>
        <x:v>Ready</x:v>
      </x:c>
      <x:c r="D1997" s="6" t="str">
        <x:v>平</x:v>
      </x:c>
      <x:c r="E1997" s="6" t="str">
        <x:v>draewng [ɖoˤŋ] (平); duwng [d̙uŋ] (平); tsyowng [tɕoŋ] (平)</x:v>
      </x:c>
      <x:c r="F1997" s="6" t="str">
        <x:v>上平聲二冬; 上平聲三江</x:v>
      </x:c>
      <x:c r="G1997" s="6" t="str">
        <x:v>Pingshui main list, Wikisource-derived DOCX</x:v>
      </x:c>
      <x:c r="H1997" s="6" t="str">
        <x:v>3</x:v>
      </x:c>
      <x:c r="I1997" s="6" t="str">
        <x:v>Tang 300 gap; frequency 1; provisional from Xun Gong</x:v>
      </x:c>
      <x:c r="J1997" s="6" t="str">
        <x:f>IF(B1997="","",IF(AND(ISNUMBER(SEARCH("平",B1997)),OR(ISNUMBER(SEARCH("上",B1997)),ISNUMBER(SEARCH("去",B1997)),ISNUMBER(SEARCH("入",B1997)))),"Ambiguous",IF(ISNUMBER(SEARCH("平",B1997)),"平","仄")))</x:f>
        <x:v>平</x:v>
      </x:c>
      <x:c r="K1997" s="6" t="str">
        <x:f>IF(D1997="","",IF(AND(ISNUMBER(SEARCH("平",D1997)),OR(ISNUMBER(SEARCH("上",D1997)),ISNUMBER(SEARCH("去",D1997)),ISNUMBER(SEARCH("入",D1997)))),"Ambiguous",IF(ISNUMBER(SEARCH("平",D1997)),"平","仄")))</x:f>
        <x:v>平</x:v>
      </x:c>
      <x:c r="L1997" s="7" t="str">
        <x:v>Xun Gong, Tang 300 gap fill</x:v>
      </x:c>
    </x:row>
    <x:row r="1998">
      <x:c r="A1998" s="5" t="str">
        <x:v>橫</x:v>
      </x:c>
      <x:c r="B1998" s="6" t="str">
        <x:v>平</x:v>
      </x:c>
      <x:c r="C1998" s="6" t="str">
        <x:f>IF(B1998="","Needs decision","Ready")</x:f>
        <x:v>Ready</x:v>
      </x:c>
      <x:c r="D1998" s="6" t="str">
        <x:v>平</x:v>
      </x:c>
      <x:c r="E1998" s="6" t="str">
        <x:v>hwaeng (A)</x:v>
      </x:c>
      <x:c r="F1998" s="6" t="str">
        <x:v>下平聲八庚; 去聲二十四敬</x:v>
      </x:c>
      <x:c r="G1998" s="6" t="str">
        <x:v>Pingshui main list, Wikisource-derived DOCX</x:v>
      </x:c>
      <x:c r="H1998" s="6" t="str">
        <x:v>1</x:v>
      </x:c>
      <x:c r="I1998" s="6" t="str"/>
      <x:c r="J1998" s="6" t="str">
        <x:f>IF(B1998="","",IF(AND(ISNUMBER(SEARCH("平",B1998)),OR(ISNUMBER(SEARCH("上",B1998)),ISNUMBER(SEARCH("去",B1998)),ISNUMBER(SEARCH("入",B1998)))),"Ambiguous",IF(ISNUMBER(SEARCH("平",B1998)),"平","仄")))</x:f>
        <x:v>平</x:v>
      </x:c>
      <x:c r="K1998" s="6" t="str">
        <x:f>IF(D1998="","",IF(AND(ISNUMBER(SEARCH("平",D1998)),OR(ISNUMBER(SEARCH("上",D1998)),ISNUMBER(SEARCH("去",D1998)),ISNUMBER(SEARCH("入",D1998)))),"Ambiguous",IF(ISNUMBER(SEARCH("平",D1998)),"平","仄")))</x:f>
        <x:v>平</x:v>
      </x:c>
      <x:c r="L1998" s="7" t="str"/>
    </x:row>
    <x:row r="1999">
      <x:c r="A1999" s="5" t="str">
        <x:v>檀</x:v>
      </x:c>
      <x:c r="B1999" s="6" t="str">
        <x:v>平</x:v>
      </x:c>
      <x:c r="C1999" s="6" t="str">
        <x:f>IF(B1999="","Needs decision","Ready")</x:f>
        <x:v>Ready</x:v>
      </x:c>
      <x:c r="D1999" s="6" t="str">
        <x:v>平</x:v>
      </x:c>
      <x:c r="E1999" s="6" t="str">
        <x:v>dan [定開一寒平] d̙ɑn</x:v>
      </x:c>
      <x:c r="F1999" s="6" t="str">
        <x:v>上平聲十四寒</x:v>
      </x:c>
      <x:c r="G1999" s="6" t="str">
        <x:v>Pingshui main list, Wikisource-derived DOCX</x:v>
      </x:c>
      <x:c r="H1999" s="6" t="str">
        <x:v>1</x:v>
      </x:c>
      <x:c r="I1999" s="6" t="str">
        <x:v>Targeted preliminary fill from Xun Gong; review if uncertain</x:v>
      </x:c>
      <x:c r="J1999" s="6" t="str">
        <x:f>IF(B1999="","",IF(AND(ISNUMBER(SEARCH("平",B1999)),OR(ISNUMBER(SEARCH("上",B1999)),ISNUMBER(SEARCH("去",B1999)),ISNUMBER(SEARCH("入",B1999)))),"Ambiguous",IF(ISNUMBER(SEARCH("平",B1999)),"平","仄")))</x:f>
        <x:v>平</x:v>
      </x:c>
      <x:c r="K1999" s="6" t="str">
        <x:f>IF(D1999="","",IF(AND(ISNUMBER(SEARCH("平",D1999)),OR(ISNUMBER(SEARCH("上",D1999)),ISNUMBER(SEARCH("去",D1999)),ISNUMBER(SEARCH("入",D1999)))),"Ambiguous",IF(ISNUMBER(SEARCH("平",D1999)),"平","仄")))</x:f>
        <x:v>平</x:v>
      </x:c>
      <x:c r="L1999" s="7" t="str">
        <x:v>Xun Gong character-readings.csv</x:v>
      </x:c>
    </x:row>
    <x:row r="2000">
      <x:c r="A2000" s="5" t="str">
        <x:v>檄</x:v>
      </x:c>
      <x:c r="B2000" s="6" t="str">
        <x:v>入</x:v>
      </x:c>
      <x:c r="C2000" s="6" t="str">
        <x:f>IF(B2000="","Needs decision","Ready")</x:f>
        <x:v>Ready</x:v>
      </x:c>
      <x:c r="D2000" s="6" t="str">
        <x:v>入</x:v>
      </x:c>
      <x:c r="E2000" s="6" t="str">
        <x:v>hek [ʁek] (入)</x:v>
      </x:c>
      <x:c r="F2000" s="6" t="str">
        <x:v>入聲十二錫</x:v>
      </x:c>
      <x:c r="G2000" s="6" t="str">
        <x:v>Pingshui main list, Wikisource-derived DOCX</x:v>
      </x:c>
      <x:c r="H2000" s="6" t="str">
        <x:v>1</x:v>
      </x:c>
      <x:c r="I2000" s="6" t="str">
        <x:v>Tang 300 gap; frequency 2; provisional from Xun Gong</x:v>
      </x:c>
      <x:c r="J2000" s="6" t="str">
        <x:f>IF(B2000="","",IF(AND(ISNUMBER(SEARCH("平",B2000)),OR(ISNUMBER(SEARCH("上",B2000)),ISNUMBER(SEARCH("去",B2000)),ISNUMBER(SEARCH("入",B2000)))),"Ambiguous",IF(ISNUMBER(SEARCH("平",B2000)),"平","仄")))</x:f>
        <x:v>仄</x:v>
      </x:c>
      <x:c r="K2000" s="6" t="str">
        <x:f>IF(D2000="","",IF(AND(ISNUMBER(SEARCH("平",D2000)),OR(ISNUMBER(SEARCH("上",D2000)),ISNUMBER(SEARCH("去",D2000)),ISNUMBER(SEARCH("入",D2000)))),"Ambiguous",IF(ISNUMBER(SEARCH("平",D2000)),"平","仄")))</x:f>
        <x:v>仄</x:v>
      </x:c>
      <x:c r="L2000" s="7" t="str">
        <x:v>Xun Gong, Tang 300 gap fill</x:v>
      </x:c>
    </x:row>
    <x:row r="2001">
      <x:c r="A2001" s="5" t="str">
        <x:v>檐</x:v>
      </x:c>
      <x:c r="B2001" s="6" t="str">
        <x:v>平</x:v>
      </x:c>
      <x:c r="C2001" s="6" t="str">
        <x:f>IF(B2001="","Needs decision","Ready")</x:f>
        <x:v>Ready</x:v>
      </x:c>
      <x:c r="D2001" s="6" t="str">
        <x:v>平</x:v>
      </x:c>
      <x:c r="E2001" s="6" t="str">
        <x:v>yem (A)</x:v>
      </x:c>
      <x:c r="F2001" s="6" t="str">
        <x:v>下平聲十四鹽</x:v>
      </x:c>
      <x:c r="G2001" s="6" t="str">
        <x:v>Pingshui main list, Wikisource-derived DOCX</x:v>
      </x:c>
      <x:c r="H2001" s="6" t="str">
        <x:v>1</x:v>
      </x:c>
      <x:c r="I2001" s="6" t="str"/>
      <x:c r="J2001" s="6" t="str">
        <x:f>IF(B2001="","",IF(AND(ISNUMBER(SEARCH("平",B2001)),OR(ISNUMBER(SEARCH("上",B2001)),ISNUMBER(SEARCH("去",B2001)),ISNUMBER(SEARCH("入",B2001)))),"Ambiguous",IF(ISNUMBER(SEARCH("平",B2001)),"平","仄")))</x:f>
        <x:v>平</x:v>
      </x:c>
      <x:c r="K2001" s="6" t="str">
        <x:f>IF(D2001="","",IF(AND(ISNUMBER(SEARCH("平",D2001)),OR(ISNUMBER(SEARCH("上",D2001)),ISNUMBER(SEARCH("去",D2001)),ISNUMBER(SEARCH("入",D2001)))),"Ambiguous",IF(ISNUMBER(SEARCH("平",D2001)),"平","仄")))</x:f>
        <x:v>平</x:v>
      </x:c>
      <x:c r="L2001" s="7" t="str"/>
    </x:row>
    <x:row r="2002">
      <x:c r="A2002" s="5" t="str">
        <x:v>檔</x:v>
      </x:c>
      <x:c r="B2002" s="6" t="str">
        <x:v>平</x:v>
      </x:c>
      <x:c r="C2002" s="6" t="str">
        <x:f>IF(B2002="","Needs decision","Ready")</x:f>
        <x:v>Ready</x:v>
      </x:c>
      <x:c r="D2002" s="6" t="str">
        <x:v>平</x:v>
      </x:c>
      <x:c r="E2002" s="6" t="str"/>
      <x:c r="F2002" s="6" t="str"/>
      <x:c r="G2002" s="6" t="str"/>
      <x:c r="H2002" s="6" t="str"/>
      <x:c r="I2002" s="6" t="str">
        <x:v>Manual user correction/addition</x:v>
      </x:c>
      <x:c r="J2002" s="6" t="str">
        <x:f>IF(B2002="","",IF(AND(ISNUMBER(SEARCH("平",B2002)),OR(ISNUMBER(SEARCH("上",B2002)),ISNUMBER(SEARCH("去",B2002)),ISNUMBER(SEARCH("入",B2002)))),"Ambiguous",IF(ISNUMBER(SEARCH("平",B2002)),"平","仄")))</x:f>
        <x:v>平</x:v>
      </x:c>
      <x:c r="K2002" s="6" t="str">
        <x:f>IF(D2002="","",IF(AND(ISNUMBER(SEARCH("平",D2002)),OR(ISNUMBER(SEARCH("上",D2002)),ISNUMBER(SEARCH("去",D2002)),ISNUMBER(SEARCH("入",D2002)))),"Ambiguous",IF(ISNUMBER(SEARCH("平",D2002)),"平","仄")))</x:f>
        <x:v>平</x:v>
      </x:c>
      <x:c r="L2002" s="7" t="str">
        <x:v>manual user correction</x:v>
      </x:c>
    </x:row>
    <x:row r="2003">
      <x:c r="A2003" s="5" t="str">
        <x:v>檖</x:v>
      </x:c>
      <x:c r="B2003" s="6" t="str">
        <x:v>去</x:v>
      </x:c>
      <x:c r="C2003" s="6" t="str">
        <x:f>IF(B2003="","Needs decision","Ready")</x:f>
        <x:v>Ready</x:v>
      </x:c>
      <x:c r="D2003" s="6" t="str">
        <x:v>去</x:v>
      </x:c>
      <x:c r="E2003" s="6" t="str">
        <x:v>zwijH (C)</x:v>
      </x:c>
      <x:c r="F2003" s="6" t="str">
        <x:v>去聲四寘</x:v>
      </x:c>
      <x:c r="G2003" s="6" t="str">
        <x:v>Pingshui main list, Wikisource-derived DOCX</x:v>
      </x:c>
      <x:c r="H2003" s="6" t="str">
        <x:v>1</x:v>
      </x:c>
      <x:c r="I2003" s="6" t="str"/>
      <x:c r="J2003" s="6" t="str">
        <x:f>IF(B2003="","",IF(AND(ISNUMBER(SEARCH("平",B2003)),OR(ISNUMBER(SEARCH("上",B2003)),ISNUMBER(SEARCH("去",B2003)),ISNUMBER(SEARCH("入",B2003)))),"Ambiguous",IF(ISNUMBER(SEARCH("平",B2003)),"平","仄")))</x:f>
        <x:v>仄</x:v>
      </x:c>
      <x:c r="K2003" s="6" t="str">
        <x:f>IF(D2003="","",IF(AND(ISNUMBER(SEARCH("平",D2003)),OR(ISNUMBER(SEARCH("上",D2003)),ISNUMBER(SEARCH("去",D2003)),ISNUMBER(SEARCH("入",D2003)))),"Ambiguous",IF(ISNUMBER(SEARCH("平",D2003)),"平","仄")))</x:f>
        <x:v>仄</x:v>
      </x:c>
      <x:c r="L2003" s="7" t="str"/>
    </x:row>
    <x:row r="2004">
      <x:c r="A2004" s="5" t="str">
        <x:v>檜</x:v>
      </x:c>
      <x:c r="B2004" s="6" t="str">
        <x:v>去</x:v>
      </x:c>
      <x:c r="C2004" s="6" t="str">
        <x:f>IF(B2004="","Needs decision","Ready")</x:f>
        <x:v>Ready</x:v>
      </x:c>
      <x:c r="D2004" s="6" t="str">
        <x:v>去</x:v>
      </x:c>
      <x:c r="E2004" s="6" t="str">
        <x:v>kwajH (C)</x:v>
      </x:c>
      <x:c r="F2004" s="6" t="str">
        <x:v>去聲九泰</x:v>
      </x:c>
      <x:c r="G2004" s="6" t="str">
        <x:v>Pingshui main list, Wikisource-derived DOCX</x:v>
      </x:c>
      <x:c r="H2004" s="6" t="str">
        <x:v>1</x:v>
      </x:c>
      <x:c r="I2004" s="6" t="str"/>
      <x:c r="J2004" s="6" t="str">
        <x:f>IF(B2004="","",IF(AND(ISNUMBER(SEARCH("平",B2004)),OR(ISNUMBER(SEARCH("上",B2004)),ISNUMBER(SEARCH("去",B2004)),ISNUMBER(SEARCH("入",B2004)))),"Ambiguous",IF(ISNUMBER(SEARCH("平",B2004)),"平","仄")))</x:f>
        <x:v>仄</x:v>
      </x:c>
      <x:c r="K2004" s="6" t="str">
        <x:f>IF(D2004="","",IF(AND(ISNUMBER(SEARCH("平",D2004)),OR(ISNUMBER(SEARCH("上",D2004)),ISNUMBER(SEARCH("去",D2004)),ISNUMBER(SEARCH("入",D2004)))),"Ambiguous",IF(ISNUMBER(SEARCH("平",D2004)),"平","仄")))</x:f>
        <x:v>仄</x:v>
      </x:c>
      <x:c r="L2004" s="7" t="str"/>
    </x:row>
    <x:row r="2005">
      <x:c r="A2005" s="5" t="str">
        <x:v>檟</x:v>
      </x:c>
      <x:c r="B2005" s="6" t="str">
        <x:v>上</x:v>
      </x:c>
      <x:c r="C2005" s="6" t="str">
        <x:f>IF(B2005="","Needs decision","Ready")</x:f>
        <x:v>Ready</x:v>
      </x:c>
      <x:c r="D2005" s="6" t="str">
        <x:v>上</x:v>
      </x:c>
      <x:c r="E2005" s="6" t="str"/>
      <x:c r="F2005" s="6" t="str">
        <x:v>上聲二十一馬</x:v>
      </x:c>
      <x:c r="G2005" s="6" t="str">
        <x:v>Pingshui main list, Wikisource-derived DOCX</x:v>
      </x:c>
      <x:c r="H2005" s="6" t="str">
        <x:v>0</x:v>
      </x:c>
      <x:c r="I2005" s="6" t="str">
        <x:v>User correction 2026-09-08; added manually</x:v>
      </x:c>
      <x:c r="J2005" s="6" t="str">
        <x:f>IF(B2005="","",IF(AND(ISNUMBER(SEARCH("平",B2005)),OR(ISNUMBER(SEARCH("上",B2005)),ISNUMBER(SEARCH("去",B2005)),ISNUMBER(SEARCH("入",B2005)))),"Ambiguous",IF(ISNUMBER(SEARCH("平",B2005)),"平","仄")))</x:f>
        <x:v>仄</x:v>
      </x:c>
      <x:c r="K2005" s="6" t="str">
        <x:f>IF(D2005="","",IF(AND(ISNUMBER(SEARCH("平",D2005)),OR(ISNUMBER(SEARCH("上",D2005)),ISNUMBER(SEARCH("去",D2005)),ISNUMBER(SEARCH("入",D2005)))),"Ambiguous",IF(ISNUMBER(SEARCH("平",D2005)),"平","仄")))</x:f>
        <x:v>仄</x:v>
      </x:c>
      <x:c r="L2005" s="7" t="str">
        <x:v>User correction</x:v>
      </x:c>
    </x:row>
    <x:row r="2006">
      <x:c r="A2006" s="5" t="str">
        <x:v>檡</x:v>
      </x:c>
      <x:c r="B2006" s="6" t="str">
        <x:v>入</x:v>
      </x:c>
      <x:c r="C2006" s="6" t="str">
        <x:f>IF(B2006="","Needs decision","Ready")</x:f>
        <x:v>Ready</x:v>
      </x:c>
      <x:c r="D2006" s="6" t="str">
        <x:v>入</x:v>
      </x:c>
      <x:c r="E2006" s="6" t="str">
        <x:v>syek (D)</x:v>
      </x:c>
      <x:c r="F2006" s="6" t="str"/>
      <x:c r="G2006" s="6" t="str"/>
      <x:c r="H2006" s="6" t="str">
        <x:v>1</x:v>
      </x:c>
      <x:c r="I2006" s="6" t="str"/>
      <x:c r="J2006" s="6" t="str">
        <x:f>IF(B2006="","",IF(AND(ISNUMBER(SEARCH("平",B2006)),OR(ISNUMBER(SEARCH("上",B2006)),ISNUMBER(SEARCH("去",B2006)),ISNUMBER(SEARCH("入",B2006)))),"Ambiguous",IF(ISNUMBER(SEARCH("平",B2006)),"平","仄")))</x:f>
        <x:v>仄</x:v>
      </x:c>
      <x:c r="K2006" s="6" t="str">
        <x:f>IF(D2006="","",IF(AND(ISNUMBER(SEARCH("平",D2006)),OR(ISNUMBER(SEARCH("上",D2006)),ISNUMBER(SEARCH("去",D2006)),ISNUMBER(SEARCH("入",D2006)))),"Ambiguous",IF(ISNUMBER(SEARCH("平",D2006)),"平","仄")))</x:f>
        <x:v>仄</x:v>
      </x:c>
      <x:c r="L2006" s="7" t="str"/>
    </x:row>
    <x:row r="2007">
      <x:c r="A2007" s="5" t="str">
        <x:v>檢</x:v>
      </x:c>
      <x:c r="B2007" s="6" t="str">
        <x:v>上</x:v>
      </x:c>
      <x:c r="C2007" s="6" t="str">
        <x:f>IF(B2007="","Needs decision","Ready")</x:f>
        <x:v>Ready</x:v>
      </x:c>
      <x:c r="D2007" s="6" t="str">
        <x:v>上</x:v>
      </x:c>
      <x:c r="E2007" s="6" t="str">
        <x:v>kjemX (B)</x:v>
      </x:c>
      <x:c r="F2007" s="6" t="str">
        <x:v>上聲二十八琰</x:v>
      </x:c>
      <x:c r="G2007" s="6" t="str">
        <x:v>Pingshui main list, Wikisource-derived DOCX</x:v>
      </x:c>
      <x:c r="H2007" s="6" t="str">
        <x:v>1</x:v>
      </x:c>
      <x:c r="I2007" s="6" t="str"/>
      <x:c r="J2007" s="6" t="str">
        <x:f>IF(B2007="","",IF(AND(ISNUMBER(SEARCH("平",B2007)),OR(ISNUMBER(SEARCH("上",B2007)),ISNUMBER(SEARCH("去",B2007)),ISNUMBER(SEARCH("入",B2007)))),"Ambiguous",IF(ISNUMBER(SEARCH("平",B2007)),"平","仄")))</x:f>
        <x:v>仄</x:v>
      </x:c>
      <x:c r="K2007" s="6" t="str">
        <x:f>IF(D2007="","",IF(AND(ISNUMBER(SEARCH("平",D2007)),OR(ISNUMBER(SEARCH("上",D2007)),ISNUMBER(SEARCH("去",D2007)),ISNUMBER(SEARCH("入",D2007)))),"Ambiguous",IF(ISNUMBER(SEARCH("平",D2007)),"平","仄")))</x:f>
        <x:v>仄</x:v>
      </x:c>
      <x:c r="L2007" s="7" t="str"/>
    </x:row>
    <x:row r="2008">
      <x:c r="A2008" s="5" t="str">
        <x:v>檣</x:v>
      </x:c>
      <x:c r="B2008" s="6" t="str">
        <x:v>平</x:v>
      </x:c>
      <x:c r="C2008" s="6" t="str">
        <x:f>IF(B2008="","Needs decision","Ready")</x:f>
        <x:v>Ready</x:v>
      </x:c>
      <x:c r="D2008" s="6" t="str">
        <x:v>平</x:v>
      </x:c>
      <x:c r="E2008" s="6" t="str">
        <x:v>dzjang [dzjɑŋ] (平)</x:v>
      </x:c>
      <x:c r="F2008" s="6" t="str">
        <x:v>下平聲七陽</x:v>
      </x:c>
      <x:c r="G2008" s="6" t="str">
        <x:v>Pingshui main list, Wikisource-derived DOCX</x:v>
      </x:c>
      <x:c r="H2008" s="6" t="str">
        <x:v>1</x:v>
      </x:c>
      <x:c r="I2008" s="6" t="str">
        <x:v>Tang 300 gap; frequency 1; provisional from Xun Gong</x:v>
      </x:c>
      <x:c r="J2008" s="6" t="str">
        <x:f>IF(B2008="","",IF(AND(ISNUMBER(SEARCH("平",B2008)),OR(ISNUMBER(SEARCH("上",B2008)),ISNUMBER(SEARCH("去",B2008)),ISNUMBER(SEARCH("入",B2008)))),"Ambiguous",IF(ISNUMBER(SEARCH("平",B2008)),"平","仄")))</x:f>
        <x:v>平</x:v>
      </x:c>
      <x:c r="K2008" s="6" t="str">
        <x:f>IF(D2008="","",IF(AND(ISNUMBER(SEARCH("平",D2008)),OR(ISNUMBER(SEARCH("上",D2008)),ISNUMBER(SEARCH("去",D2008)),ISNUMBER(SEARCH("入",D2008)))),"Ambiguous",IF(ISNUMBER(SEARCH("平",D2008)),"平","仄")))</x:f>
        <x:v>平</x:v>
      </x:c>
      <x:c r="L2008" s="7" t="str">
        <x:v>Xun Gong, Tang 300 gap fill</x:v>
      </x:c>
    </x:row>
    <x:row r="2009">
      <x:c r="A2009" s="5" t="str">
        <x:v>檻</x:v>
      </x:c>
      <x:c r="B2009" s="6" t="str">
        <x:v>上</x:v>
      </x:c>
      <x:c r="C2009" s="6" t="str">
        <x:f>IF(B2009="","Needs decision","Ready")</x:f>
        <x:v>Ready</x:v>
      </x:c>
      <x:c r="D2009" s="6" t="str">
        <x:v>上</x:v>
      </x:c>
      <x:c r="E2009" s="6" t="str">
        <x:v>haemX (B); hamX (B)</x:v>
      </x:c>
      <x:c r="F2009" s="6" t="str">
        <x:v>上聲二十九豏</x:v>
      </x:c>
      <x:c r="G2009" s="6" t="str">
        <x:v>Pingshui main list, Wikisource-derived DOCX</x:v>
      </x:c>
      <x:c r="H2009" s="6" t="str">
        <x:v>2</x:v>
      </x:c>
      <x:c r="I2009" s="6" t="str"/>
      <x:c r="J2009" s="6" t="str">
        <x:f>IF(B2009="","",IF(AND(ISNUMBER(SEARCH("平",B2009)),OR(ISNUMBER(SEARCH("上",B2009)),ISNUMBER(SEARCH("去",B2009)),ISNUMBER(SEARCH("入",B2009)))),"Ambiguous",IF(ISNUMBER(SEARCH("平",B2009)),"平","仄")))</x:f>
        <x:v>仄</x:v>
      </x:c>
      <x:c r="K2009" s="6" t="str">
        <x:f>IF(D2009="","",IF(AND(ISNUMBER(SEARCH("平",D2009)),OR(ISNUMBER(SEARCH("上",D2009)),ISNUMBER(SEARCH("去",D2009)),ISNUMBER(SEARCH("入",D2009)))),"Ambiguous",IF(ISNUMBER(SEARCH("平",D2009)),"平","仄")))</x:f>
        <x:v>仄</x:v>
      </x:c>
      <x:c r="L2009" s="7" t="str"/>
    </x:row>
    <x:row r="2010">
      <x:c r="A2010" s="5" t="str">
        <x:v>櫂</x:v>
      </x:c>
      <x:c r="B2010" s="6" t="str">
        <x:v>去</x:v>
      </x:c>
      <x:c r="C2010" s="6" t="str">
        <x:f>IF(B2010="","Needs decision","Ready")</x:f>
        <x:v>Ready</x:v>
      </x:c>
      <x:c r="D2010" s="6" t="str">
        <x:v>去</x:v>
      </x:c>
      <x:c r="E2010" s="6" t="str">
        <x:v>draewH (C)</x:v>
      </x:c>
      <x:c r="F2010" s="6" t="str">
        <x:v>去聲十九效; 入聲三覺</x:v>
      </x:c>
      <x:c r="G2010" s="6" t="str">
        <x:v>Pingshui main list, Wikisource-derived DOCX</x:v>
      </x:c>
      <x:c r="H2010" s="6" t="str">
        <x:v>1</x:v>
      </x:c>
      <x:c r="I2010" s="6" t="str"/>
      <x:c r="J2010" s="6" t="str">
        <x:f>IF(B2010="","",IF(AND(ISNUMBER(SEARCH("平",B2010)),OR(ISNUMBER(SEARCH("上",B2010)),ISNUMBER(SEARCH("去",B2010)),ISNUMBER(SEARCH("入",B2010)))),"Ambiguous",IF(ISNUMBER(SEARCH("平",B2010)),"平","仄")))</x:f>
        <x:v>仄</x:v>
      </x:c>
      <x:c r="K2010" s="6" t="str">
        <x:f>IF(D2010="","",IF(AND(ISNUMBER(SEARCH("平",D2010)),OR(ISNUMBER(SEARCH("上",D2010)),ISNUMBER(SEARCH("去",D2010)),ISNUMBER(SEARCH("入",D2010)))),"Ambiguous",IF(ISNUMBER(SEARCH("平",D2010)),"平","仄")))</x:f>
        <x:v>仄</x:v>
      </x:c>
      <x:c r="L2010" s="7" t="str"/>
    </x:row>
    <x:row r="2011">
      <x:c r="A2011" s="5" t="str">
        <x:v>櫃</x:v>
      </x:c>
      <x:c r="B2011" s="6" t="str">
        <x:v>去</x:v>
      </x:c>
      <x:c r="C2011" s="6" t="str">
        <x:f>IF(B2011="","Needs decision","Ready")</x:f>
        <x:v>Ready</x:v>
      </x:c>
      <x:c r="D2011" s="6" t="str">
        <x:v>去</x:v>
      </x:c>
      <x:c r="E2011" s="6" t="str">
        <x:v>gwijH (C)</x:v>
      </x:c>
      <x:c r="F2011" s="6" t="str">
        <x:v>上聲六語</x:v>
      </x:c>
      <x:c r="G2011" s="6" t="str">
        <x:v>Pingshui main list, Wikisource-derived DOCX</x:v>
      </x:c>
      <x:c r="H2011" s="6" t="str">
        <x:v>1</x:v>
      </x:c>
      <x:c r="I2011" s="6" t="str"/>
      <x:c r="J2011" s="6" t="str">
        <x:f>IF(B2011="","",IF(AND(ISNUMBER(SEARCH("平",B2011)),OR(ISNUMBER(SEARCH("上",B2011)),ISNUMBER(SEARCH("去",B2011)),ISNUMBER(SEARCH("入",B2011)))),"Ambiguous",IF(ISNUMBER(SEARCH("平",B2011)),"平","仄")))</x:f>
        <x:v>仄</x:v>
      </x:c>
      <x:c r="K2011" s="6" t="str">
        <x:f>IF(D2011="","",IF(AND(ISNUMBER(SEARCH("平",D2011)),OR(ISNUMBER(SEARCH("上",D2011)),ISNUMBER(SEARCH("去",D2011)),ISNUMBER(SEARCH("入",D2011)))),"Ambiguous",IF(ISNUMBER(SEARCH("平",D2011)),"平","仄")))</x:f>
        <x:v>仄</x:v>
      </x:c>
      <x:c r="L2011" s="7" t="str"/>
    </x:row>
    <x:row r="2012">
      <x:c r="A2012" s="5" t="str">
        <x:v>櫓</x:v>
      </x:c>
      <x:c r="B2012" s="6" t="str">
        <x:v>上</x:v>
      </x:c>
      <x:c r="C2012" s="6" t="str">
        <x:f>IF(B2012="","Needs decision","Ready")</x:f>
        <x:v>Ready</x:v>
      </x:c>
      <x:c r="D2012" s="6" t="str">
        <x:v>上</x:v>
      </x:c>
      <x:c r="E2012" s="6" t="str">
        <x:v>luX (B)</x:v>
      </x:c>
      <x:c r="F2012" s="6" t="str">
        <x:v>上聲七麌</x:v>
      </x:c>
      <x:c r="G2012" s="6" t="str">
        <x:v>Pingshui main list, Wikisource-derived DOCX</x:v>
      </x:c>
      <x:c r="H2012" s="6" t="str">
        <x:v>1</x:v>
      </x:c>
      <x:c r="I2012" s="6" t="str"/>
      <x:c r="J2012" s="6" t="str">
        <x:f>IF(B2012="","",IF(AND(ISNUMBER(SEARCH("平",B2012)),OR(ISNUMBER(SEARCH("上",B2012)),ISNUMBER(SEARCH("去",B2012)),ISNUMBER(SEARCH("入",B2012)))),"Ambiguous",IF(ISNUMBER(SEARCH("平",B2012)),"平","仄")))</x:f>
        <x:v>仄</x:v>
      </x:c>
      <x:c r="K2012" s="6" t="str">
        <x:f>IF(D2012="","",IF(AND(ISNUMBER(SEARCH("平",D2012)),OR(ISNUMBER(SEARCH("上",D2012)),ISNUMBER(SEARCH("去",D2012)),ISNUMBER(SEARCH("入",D2012)))),"Ambiguous",IF(ISNUMBER(SEARCH("平",D2012)),"平","仄")))</x:f>
        <x:v>仄</x:v>
      </x:c>
      <x:c r="L2012" s="7" t="str"/>
    </x:row>
    <x:row r="2013">
      <x:c r="A2013" s="5" t="str">
        <x:v>櫛</x:v>
      </x:c>
      <x:c r="B2013" s="6" t="str">
        <x:v>入</x:v>
      </x:c>
      <x:c r="C2013" s="6" t="str">
        <x:f>IF(B2013="","Needs decision","Ready")</x:f>
        <x:v>Ready</x:v>
      </x:c>
      <x:c r="D2013" s="6" t="str">
        <x:v>入</x:v>
      </x:c>
      <x:c r="E2013" s="6" t="str"/>
      <x:c r="F2013" s="6" t="str">
        <x:v>入聲四質</x:v>
      </x:c>
      <x:c r="G2013" s="6" t="str">
        <x:v>Pingshui main list, Wikisource-derived DOCX</x:v>
      </x:c>
      <x:c r="H2013" s="6" t="str">
        <x:v>0</x:v>
      </x:c>
      <x:c r="I2013" s="6" t="str">
        <x:v>User correction 2026-09-08; added manually</x:v>
      </x:c>
      <x:c r="J2013" s="6" t="str">
        <x:f>IF(B2013="","",IF(AND(ISNUMBER(SEARCH("平",B2013)),OR(ISNUMBER(SEARCH("上",B2013)),ISNUMBER(SEARCH("去",B2013)),ISNUMBER(SEARCH("入",B2013)))),"Ambiguous",IF(ISNUMBER(SEARCH("平",B2013)),"平","仄")))</x:f>
        <x:v>仄</x:v>
      </x:c>
      <x:c r="K2013" s="6" t="str">
        <x:f>IF(D2013="","",IF(AND(ISNUMBER(SEARCH("平",D2013)),OR(ISNUMBER(SEARCH("上",D2013)),ISNUMBER(SEARCH("去",D2013)),ISNUMBER(SEARCH("入",D2013)))),"Ambiguous",IF(ISNUMBER(SEARCH("平",D2013)),"平","仄")))</x:f>
        <x:v>仄</x:v>
      </x:c>
      <x:c r="L2013" s="7" t="str">
        <x:v>User correction</x:v>
      </x:c>
    </x:row>
    <x:row r="2014">
      <x:c r="A2014" s="5" t="str">
        <x:v>櫝</x:v>
      </x:c>
      <x:c r="B2014" s="6" t="str">
        <x:v>入</x:v>
      </x:c>
      <x:c r="C2014" s="6" t="str">
        <x:f>IF(B2014="","Needs decision","Ready")</x:f>
        <x:v>Ready</x:v>
      </x:c>
      <x:c r="D2014" s="6" t="str">
        <x:v>入</x:v>
      </x:c>
      <x:c r="E2014" s="6" t="str">
        <x:v>duwk (D)</x:v>
      </x:c>
      <x:c r="F2014" s="6" t="str">
        <x:v>入聲一屋</x:v>
      </x:c>
      <x:c r="G2014" s="6" t="str">
        <x:v>Pingshui main list, Wikisource-derived DOCX</x:v>
      </x:c>
      <x:c r="H2014" s="6" t="str">
        <x:v>1</x:v>
      </x:c>
      <x:c r="I2014" s="6" t="str"/>
      <x:c r="J2014" s="6" t="str">
        <x:f>IF(B2014="","",IF(AND(ISNUMBER(SEARCH("平",B2014)),OR(ISNUMBER(SEARCH("上",B2014)),ISNUMBER(SEARCH("去",B2014)),ISNUMBER(SEARCH("入",B2014)))),"Ambiguous",IF(ISNUMBER(SEARCH("平",B2014)),"平","仄")))</x:f>
        <x:v>仄</x:v>
      </x:c>
      <x:c r="K2014" s="6" t="str">
        <x:f>IF(D2014="","",IF(AND(ISNUMBER(SEARCH("平",D2014)),OR(ISNUMBER(SEARCH("上",D2014)),ISNUMBER(SEARCH("去",D2014)),ISNUMBER(SEARCH("入",D2014)))),"Ambiguous",IF(ISNUMBER(SEARCH("平",D2014)),"平","仄")))</x:f>
        <x:v>仄</x:v>
      </x:c>
      <x:c r="L2014" s="7" t="str"/>
    </x:row>
    <x:row r="2015">
      <x:c r="A2015" s="5" t="str">
        <x:v>櫟</x:v>
      </x:c>
      <x:c r="B2015" s="6" t="str">
        <x:v>入</x:v>
      </x:c>
      <x:c r="C2015" s="6" t="str">
        <x:f>IF(B2015="","Needs decision","Ready")</x:f>
        <x:v>Ready</x:v>
      </x:c>
      <x:c r="D2015" s="6" t="str">
        <x:v>入</x:v>
      </x:c>
      <x:c r="E2015" s="6" t="str">
        <x:v>lek (D)</x:v>
      </x:c>
      <x:c r="F2015" s="6" t="str">
        <x:v>入聲十二錫</x:v>
      </x:c>
      <x:c r="G2015" s="6" t="str">
        <x:v>Pingshui main list, Wikisource-derived DOCX</x:v>
      </x:c>
      <x:c r="H2015" s="6" t="str">
        <x:v>1</x:v>
      </x:c>
      <x:c r="I2015" s="6" t="str"/>
      <x:c r="J2015" s="6" t="str">
        <x:f>IF(B2015="","",IF(AND(ISNUMBER(SEARCH("平",B2015)),OR(ISNUMBER(SEARCH("上",B2015)),ISNUMBER(SEARCH("去",B2015)),ISNUMBER(SEARCH("入",B2015)))),"Ambiguous",IF(ISNUMBER(SEARCH("平",B2015)),"平","仄")))</x:f>
        <x:v>仄</x:v>
      </x:c>
      <x:c r="K2015" s="6" t="str">
        <x:f>IF(D2015="","",IF(AND(ISNUMBER(SEARCH("平",D2015)),OR(ISNUMBER(SEARCH("上",D2015)),ISNUMBER(SEARCH("去",D2015)),ISNUMBER(SEARCH("入",D2015)))),"Ambiguous",IF(ISNUMBER(SEARCH("平",D2015)),"平","仄")))</x:f>
        <x:v>仄</x:v>
      </x:c>
      <x:c r="L2015" s="7" t="str"/>
    </x:row>
    <x:row r="2016">
      <x:c r="A2016" s="5" t="str">
        <x:v>櫪</x:v>
      </x:c>
      <x:c r="B2016" s="6" t="str">
        <x:v>入</x:v>
      </x:c>
      <x:c r="C2016" s="6" t="str">
        <x:f>IF(B2016="","Needs decision","Ready")</x:f>
        <x:v>Ready</x:v>
      </x:c>
      <x:c r="D2016" s="6" t="str">
        <x:v>入</x:v>
      </x:c>
      <x:c r="E2016" s="6" t="str">
        <x:v>lek [l̙ek] (入)</x:v>
      </x:c>
      <x:c r="F2016" s="6" t="str">
        <x:v>入聲十二錫</x:v>
      </x:c>
      <x:c r="G2016" s="6" t="str">
        <x:v>Pingshui main list, Wikisource-derived DOCX</x:v>
      </x:c>
      <x:c r="H2016" s="6" t="str">
        <x:v>1</x:v>
      </x:c>
      <x:c r="I2016" s="6" t="str">
        <x:v>Tang 300 gap; frequency 1; provisional from Xun Gong</x:v>
      </x:c>
      <x:c r="J2016" s="6" t="str">
        <x:f>IF(B2016="","",IF(AND(ISNUMBER(SEARCH("平",B2016)),OR(ISNUMBER(SEARCH("上",B2016)),ISNUMBER(SEARCH("去",B2016)),ISNUMBER(SEARCH("入",B2016)))),"Ambiguous",IF(ISNUMBER(SEARCH("平",B2016)),"平","仄")))</x:f>
        <x:v>仄</x:v>
      </x:c>
      <x:c r="K2016" s="6" t="str">
        <x:f>IF(D2016="","",IF(AND(ISNUMBER(SEARCH("平",D2016)),OR(ISNUMBER(SEARCH("上",D2016)),ISNUMBER(SEARCH("去",D2016)),ISNUMBER(SEARCH("入",D2016)))),"Ambiguous",IF(ISNUMBER(SEARCH("平",D2016)),"平","仄")))</x:f>
        <x:v>仄</x:v>
      </x:c>
      <x:c r="L2016" s="7" t="str">
        <x:v>Xun Gong, Tang 300 gap fill</x:v>
      </x:c>
    </x:row>
    <x:row r="2017">
      <x:c r="A2017" s="5" t="str">
        <x:v>櫱</x:v>
      </x:c>
      <x:c r="B2017" s="6" t="str">
        <x:v>入</x:v>
      </x:c>
      <x:c r="C2017" s="6" t="str">
        <x:f>IF(B2017="","Needs decision","Ready")</x:f>
        <x:v>Ready</x:v>
      </x:c>
      <x:c r="D2017" s="6" t="str">
        <x:v>入</x:v>
      </x:c>
      <x:c r="E2017" s="6" t="str">
        <x:v>ngjet (D)</x:v>
      </x:c>
      <x:c r="F2017" s="6" t="str"/>
      <x:c r="G2017" s="6" t="str"/>
      <x:c r="H2017" s="6" t="str">
        <x:v>1</x:v>
      </x:c>
      <x:c r="I2017" s="6" t="str"/>
      <x:c r="J2017" s="6" t="str">
        <x:f>IF(B2017="","",IF(AND(ISNUMBER(SEARCH("平",B2017)),OR(ISNUMBER(SEARCH("上",B2017)),ISNUMBER(SEARCH("去",B2017)),ISNUMBER(SEARCH("入",B2017)))),"Ambiguous",IF(ISNUMBER(SEARCH("平",B2017)),"平","仄")))</x:f>
        <x:v>仄</x:v>
      </x:c>
      <x:c r="K2017" s="6" t="str">
        <x:f>IF(D2017="","",IF(AND(ISNUMBER(SEARCH("平",D2017)),OR(ISNUMBER(SEARCH("上",D2017)),ISNUMBER(SEARCH("去",D2017)),ISNUMBER(SEARCH("入",D2017)))),"Ambiguous",IF(ISNUMBER(SEARCH("平",D2017)),"平","仄")))</x:f>
        <x:v>仄</x:v>
      </x:c>
      <x:c r="L2017" s="7" t="str"/>
    </x:row>
    <x:row r="2018">
      <x:c r="A2018" s="5" t="str">
        <x:v>櫳</x:v>
      </x:c>
      <x:c r="B2018" s="6" t="str">
        <x:v>平</x:v>
      </x:c>
      <x:c r="C2018" s="6" t="str">
        <x:f>IF(B2018="","Needs decision","Ready")</x:f>
        <x:v>Ready</x:v>
      </x:c>
      <x:c r="D2018" s="6" t="str">
        <x:v>平</x:v>
      </x:c>
      <x:c r="E2018" s="6" t="str">
        <x:v>luwng [l̙uŋ] (平)</x:v>
      </x:c>
      <x:c r="F2018" s="6" t="str"/>
      <x:c r="G2018" s="6" t="str"/>
      <x:c r="H2018" s="6" t="str">
        <x:v>1</x:v>
      </x:c>
      <x:c r="I2018" s="6" t="str">
        <x:v>Tang 300 gap; frequency 1; provisional from Xun Gong</x:v>
      </x:c>
      <x:c r="J2018" s="6" t="str">
        <x:f>IF(B2018="","",IF(AND(ISNUMBER(SEARCH("平",B2018)),OR(ISNUMBER(SEARCH("上",B2018)),ISNUMBER(SEARCH("去",B2018)),ISNUMBER(SEARCH("入",B2018)))),"Ambiguous",IF(ISNUMBER(SEARCH("平",B2018)),"平","仄")))</x:f>
        <x:v>平</x:v>
      </x:c>
      <x:c r="K2018" s="6" t="str">
        <x:f>IF(D2018="","",IF(AND(ISNUMBER(SEARCH("平",D2018)),OR(ISNUMBER(SEARCH("上",D2018)),ISNUMBER(SEARCH("去",D2018)),ISNUMBER(SEARCH("入",D2018)))),"Ambiguous",IF(ISNUMBER(SEARCH("平",D2018)),"平","仄")))</x:f>
        <x:v>平</x:v>
      </x:c>
      <x:c r="L2018" s="7" t="str">
        <x:v>Xun Gong, Tang 300 gap fill</x:v>
      </x:c>
    </x:row>
    <x:row r="2019">
      <x:c r="A2019" s="5" t="str">
        <x:v>權</x:v>
      </x:c>
      <x:c r="B2019" s="6" t="str">
        <x:v>平</x:v>
      </x:c>
      <x:c r="C2019" s="6" t="str">
        <x:f>IF(B2019="","Needs decision","Ready")</x:f>
        <x:v>Ready</x:v>
      </x:c>
      <x:c r="D2019" s="6" t="str">
        <x:v>平</x:v>
      </x:c>
      <x:c r="E2019" s="6" t="str">
        <x:v>gjwen (A)</x:v>
      </x:c>
      <x:c r="F2019" s="6" t="str">
        <x:v>下平聲一先</x:v>
      </x:c>
      <x:c r="G2019" s="6" t="str">
        <x:v>Pingshui main list, Wikisource-derived DOCX</x:v>
      </x:c>
      <x:c r="H2019" s="6" t="str">
        <x:v>1</x:v>
      </x:c>
      <x:c r="I2019" s="6" t="str"/>
      <x:c r="J2019" s="6" t="str">
        <x:f>IF(B2019="","",IF(AND(ISNUMBER(SEARCH("平",B2019)),OR(ISNUMBER(SEARCH("上",B2019)),ISNUMBER(SEARCH("去",B2019)),ISNUMBER(SEARCH("入",B2019)))),"Ambiguous",IF(ISNUMBER(SEARCH("平",B2019)),"平","仄")))</x:f>
        <x:v>平</x:v>
      </x:c>
      <x:c r="K2019" s="6" t="str">
        <x:f>IF(D2019="","",IF(AND(ISNUMBER(SEARCH("平",D2019)),OR(ISNUMBER(SEARCH("上",D2019)),ISNUMBER(SEARCH("去",D2019)),ISNUMBER(SEARCH("入",D2019)))),"Ambiguous",IF(ISNUMBER(SEARCH("平",D2019)),"平","仄")))</x:f>
        <x:v>平</x:v>
      </x:c>
      <x:c r="L2019" s="7" t="str"/>
    </x:row>
    <x:row r="2020">
      <x:c r="A2020" s="5" t="str">
        <x:v>欒</x:v>
      </x:c>
      <x:c r="B2020" s="6" t="str">
        <x:v>平</x:v>
      </x:c>
      <x:c r="C2020" s="6" t="str">
        <x:f>IF(B2020="","Needs decision","Ready")</x:f>
        <x:v>Ready</x:v>
      </x:c>
      <x:c r="D2020" s="6" t="str">
        <x:v>平</x:v>
      </x:c>
      <x:c r="E2020" s="6" t="str">
        <x:v>lwan (A)</x:v>
      </x:c>
      <x:c r="F2020" s="6" t="str">
        <x:v>上平聲十四寒</x:v>
      </x:c>
      <x:c r="G2020" s="6" t="str">
        <x:v>Pingshui main list, Wikisource-derived DOCX</x:v>
      </x:c>
      <x:c r="H2020" s="6" t="str">
        <x:v>1</x:v>
      </x:c>
      <x:c r="I2020" s="6" t="str"/>
      <x:c r="J2020" s="6" t="str">
        <x:f>IF(B2020="","",IF(AND(ISNUMBER(SEARCH("平",B2020)),OR(ISNUMBER(SEARCH("上",B2020)),ISNUMBER(SEARCH("去",B2020)),ISNUMBER(SEARCH("入",B2020)))),"Ambiguous",IF(ISNUMBER(SEARCH("平",B2020)),"平","仄")))</x:f>
        <x:v>平</x:v>
      </x:c>
      <x:c r="K2020" s="6" t="str">
        <x:f>IF(D2020="","",IF(AND(ISNUMBER(SEARCH("平",D2020)),OR(ISNUMBER(SEARCH("上",D2020)),ISNUMBER(SEARCH("去",D2020)),ISNUMBER(SEARCH("入",D2020)))),"Ambiguous",IF(ISNUMBER(SEARCH("平",D2020)),"平","仄")))</x:f>
        <x:v>平</x:v>
      </x:c>
      <x:c r="L2020" s="7" t="str"/>
    </x:row>
    <x:row r="2021">
      <x:c r="A2021" s="5" t="str">
        <x:v>欠</x:v>
      </x:c>
      <x:c r="B2021" s="6" t="str">
        <x:v>去</x:v>
      </x:c>
      <x:c r="C2021" s="6" t="str">
        <x:f>IF(B2021="","Needs decision","Ready")</x:f>
        <x:v>Ready</x:v>
      </x:c>
      <x:c r="D2021" s="6" t="str">
        <x:v>去</x:v>
      </x:c>
      <x:c r="E2021" s="6" t="str">
        <x:v>khjomH (C)</x:v>
      </x:c>
      <x:c r="F2021" s="6" t="str">
        <x:v>去聲二十九豔; 去聲三十陷</x:v>
      </x:c>
      <x:c r="G2021" s="6" t="str">
        <x:v>Pingshui main list, Wikisource-derived DOCX</x:v>
      </x:c>
      <x:c r="H2021" s="6" t="str">
        <x:v>1</x:v>
      </x:c>
      <x:c r="I2021" s="6" t="str"/>
      <x:c r="J2021" s="6" t="str">
        <x:f>IF(B2021="","",IF(AND(ISNUMBER(SEARCH("平",B2021)),OR(ISNUMBER(SEARCH("上",B2021)),ISNUMBER(SEARCH("去",B2021)),ISNUMBER(SEARCH("入",B2021)))),"Ambiguous",IF(ISNUMBER(SEARCH("平",B2021)),"平","仄")))</x:f>
        <x:v>仄</x:v>
      </x:c>
      <x:c r="K2021" s="6" t="str">
        <x:f>IF(D2021="","",IF(AND(ISNUMBER(SEARCH("平",D2021)),OR(ISNUMBER(SEARCH("上",D2021)),ISNUMBER(SEARCH("去",D2021)),ISNUMBER(SEARCH("入",D2021)))),"Ambiguous",IF(ISNUMBER(SEARCH("平",D2021)),"平","仄")))</x:f>
        <x:v>仄</x:v>
      </x:c>
      <x:c r="L2021" s="7" t="str"/>
    </x:row>
    <x:row r="2022">
      <x:c r="A2022" s="5" t="str">
        <x:v>次</x:v>
      </x:c>
      <x:c r="B2022" s="6" t="str">
        <x:v>去</x:v>
      </x:c>
      <x:c r="C2022" s="6" t="str">
        <x:f>IF(B2022="","Needs decision","Ready")</x:f>
        <x:v>Ready</x:v>
      </x:c>
      <x:c r="D2022" s="6" t="str">
        <x:v>去</x:v>
      </x:c>
      <x:c r="E2022" s="6" t="str">
        <x:v>tshijH (C)</x:v>
      </x:c>
      <x:c r="F2022" s="6" t="str">
        <x:v>去聲四寘</x:v>
      </x:c>
      <x:c r="G2022" s="6" t="str">
        <x:v>Pingshui main list, Wikisource-derived DOCX</x:v>
      </x:c>
      <x:c r="H2022" s="6" t="str">
        <x:v>1</x:v>
      </x:c>
      <x:c r="I2022" s="6" t="str"/>
      <x:c r="J2022" s="6" t="str">
        <x:f>IF(B2022="","",IF(AND(ISNUMBER(SEARCH("平",B2022)),OR(ISNUMBER(SEARCH("上",B2022)),ISNUMBER(SEARCH("去",B2022)),ISNUMBER(SEARCH("入",B2022)))),"Ambiguous",IF(ISNUMBER(SEARCH("平",B2022)),"平","仄")))</x:f>
        <x:v>仄</x:v>
      </x:c>
      <x:c r="K2022" s="6" t="str">
        <x:f>IF(D2022="","",IF(AND(ISNUMBER(SEARCH("平",D2022)),OR(ISNUMBER(SEARCH("上",D2022)),ISNUMBER(SEARCH("去",D2022)),ISNUMBER(SEARCH("入",D2022)))),"Ambiguous",IF(ISNUMBER(SEARCH("平",D2022)),"平","仄")))</x:f>
        <x:v>仄</x:v>
      </x:c>
      <x:c r="L2022" s="7" t="str"/>
    </x:row>
    <x:row r="2023">
      <x:c r="A2023" s="5" t="str">
        <x:v>欣</x:v>
      </x:c>
      <x:c r="B2023" s="6" t="str">
        <x:v>平</x:v>
      </x:c>
      <x:c r="C2023" s="6" t="str">
        <x:f>IF(B2023="","Needs decision","Ready")</x:f>
        <x:v>Ready</x:v>
      </x:c>
      <x:c r="D2023" s="6" t="str">
        <x:v>平</x:v>
      </x:c>
      <x:c r="E2023" s="6" t="str">
        <x:v>xj+n (A)</x:v>
      </x:c>
      <x:c r="F2023" s="6" t="str">
        <x:v>上平聲十二文</x:v>
      </x:c>
      <x:c r="G2023" s="6" t="str">
        <x:v>Pingshui main list, Wikisource-derived DOCX</x:v>
      </x:c>
      <x:c r="H2023" s="6" t="str">
        <x:v>1</x:v>
      </x:c>
      <x:c r="I2023" s="6" t="str"/>
      <x:c r="J2023" s="6" t="str">
        <x:f>IF(B2023="","",IF(AND(ISNUMBER(SEARCH("平",B2023)),OR(ISNUMBER(SEARCH("上",B2023)),ISNUMBER(SEARCH("去",B2023)),ISNUMBER(SEARCH("入",B2023)))),"Ambiguous",IF(ISNUMBER(SEARCH("平",B2023)),"平","仄")))</x:f>
        <x:v>平</x:v>
      </x:c>
      <x:c r="K2023" s="6" t="str">
        <x:f>IF(D2023="","",IF(AND(ISNUMBER(SEARCH("平",D2023)),OR(ISNUMBER(SEARCH("上",D2023)),ISNUMBER(SEARCH("去",D2023)),ISNUMBER(SEARCH("入",D2023)))),"Ambiguous",IF(ISNUMBER(SEARCH("平",D2023)),"平","仄")))</x:f>
        <x:v>平</x:v>
      </x:c>
      <x:c r="L2023" s="7" t="str"/>
    </x:row>
    <x:row r="2024">
      <x:c r="A2024" s="5" t="str">
        <x:v>欬</x:v>
      </x:c>
      <x:c r="B2024" s="6" t="str">
        <x:v>去</x:v>
      </x:c>
      <x:c r="C2024" s="6" t="str">
        <x:f>IF(B2024="","Needs decision","Ready")</x:f>
        <x:v>Ready</x:v>
      </x:c>
      <x:c r="D2024" s="6" t="str">
        <x:v>去</x:v>
      </x:c>
      <x:c r="E2024" s="6" t="str">
        <x:v>khojH (C)</x:v>
      </x:c>
      <x:c r="F2024" s="6" t="str">
        <x:v>去聲四寘; 去聲十卦; 去聲十一隊</x:v>
      </x:c>
      <x:c r="G2024" s="6" t="str">
        <x:v>Pingshui main list, Wikisource-derived DOCX</x:v>
      </x:c>
      <x:c r="H2024" s="6" t="str">
        <x:v>1</x:v>
      </x:c>
      <x:c r="I2024" s="6" t="str"/>
      <x:c r="J2024" s="6" t="str">
        <x:f>IF(B2024="","",IF(AND(ISNUMBER(SEARCH("平",B2024)),OR(ISNUMBER(SEARCH("上",B2024)),ISNUMBER(SEARCH("去",B2024)),ISNUMBER(SEARCH("入",B2024)))),"Ambiguous",IF(ISNUMBER(SEARCH("平",B2024)),"平","仄")))</x:f>
        <x:v>仄</x:v>
      </x:c>
      <x:c r="K2024" s="6" t="str">
        <x:f>IF(D2024="","",IF(AND(ISNUMBER(SEARCH("平",D2024)),OR(ISNUMBER(SEARCH("上",D2024)),ISNUMBER(SEARCH("去",D2024)),ISNUMBER(SEARCH("入",D2024)))),"Ambiguous",IF(ISNUMBER(SEARCH("平",D2024)),"平","仄")))</x:f>
        <x:v>仄</x:v>
      </x:c>
      <x:c r="L2024" s="7" t="str"/>
    </x:row>
    <x:row r="2025">
      <x:c r="A2025" s="5" t="str">
        <x:v>欱</x:v>
      </x:c>
      <x:c r="B2025" s="6" t="str">
        <x:v>入</x:v>
      </x:c>
      <x:c r="C2025" s="6" t="str">
        <x:f>IF(B2025="","Needs decision","Ready")</x:f>
        <x:v>Ready</x:v>
      </x:c>
      <x:c r="D2025" s="6" t="str">
        <x:v>入</x:v>
      </x:c>
      <x:c r="E2025" s="6" t="str">
        <x:v>xop (D)</x:v>
      </x:c>
      <x:c r="F2025" s="6" t="str">
        <x:v>入聲十五合; 入聲十七洽</x:v>
      </x:c>
      <x:c r="G2025" s="6" t="str">
        <x:v>Pingshui main list, Wikisource-derived DOCX</x:v>
      </x:c>
      <x:c r="H2025" s="6" t="str">
        <x:v>1</x:v>
      </x:c>
      <x:c r="I2025" s="6" t="str"/>
      <x:c r="J2025" s="6" t="str">
        <x:f>IF(B2025="","",IF(AND(ISNUMBER(SEARCH("平",B2025)),OR(ISNUMBER(SEARCH("上",B2025)),ISNUMBER(SEARCH("去",B2025)),ISNUMBER(SEARCH("入",B2025)))),"Ambiguous",IF(ISNUMBER(SEARCH("平",B2025)),"平","仄")))</x:f>
        <x:v>仄</x:v>
      </x:c>
      <x:c r="K2025" s="6" t="str">
        <x:f>IF(D2025="","",IF(AND(ISNUMBER(SEARCH("平",D2025)),OR(ISNUMBER(SEARCH("上",D2025)),ISNUMBER(SEARCH("去",D2025)),ISNUMBER(SEARCH("入",D2025)))),"Ambiguous",IF(ISNUMBER(SEARCH("平",D2025)),"平","仄")))</x:f>
        <x:v>仄</x:v>
      </x:c>
      <x:c r="L2025" s="7" t="str"/>
    </x:row>
    <x:row r="2026">
      <x:c r="A2026" s="5" t="str">
        <x:v>欲</x:v>
      </x:c>
      <x:c r="B2026" s="6" t="str">
        <x:v>入</x:v>
      </x:c>
      <x:c r="C2026" s="6" t="str">
        <x:f>IF(B2026="","Needs decision","Ready")</x:f>
        <x:v>Ready</x:v>
      </x:c>
      <x:c r="D2026" s="6" t="str">
        <x:v>入</x:v>
      </x:c>
      <x:c r="E2026" s="6" t="str">
        <x:v>yowk (D)</x:v>
      </x:c>
      <x:c r="F2026" s="6" t="str">
        <x:v>入聲二沃</x:v>
      </x:c>
      <x:c r="G2026" s="6" t="str">
        <x:v>Pingshui main list, Wikisource-derived DOCX</x:v>
      </x:c>
      <x:c r="H2026" s="6" t="str">
        <x:v>1</x:v>
      </x:c>
      <x:c r="I2026" s="6" t="str"/>
      <x:c r="J2026" s="6" t="str">
        <x:f>IF(B2026="","",IF(AND(ISNUMBER(SEARCH("平",B2026)),OR(ISNUMBER(SEARCH("上",B2026)),ISNUMBER(SEARCH("去",B2026)),ISNUMBER(SEARCH("入",B2026)))),"Ambiguous",IF(ISNUMBER(SEARCH("平",B2026)),"平","仄")))</x:f>
        <x:v>仄</x:v>
      </x:c>
      <x:c r="K2026" s="6" t="str">
        <x:f>IF(D2026="","",IF(AND(ISNUMBER(SEARCH("平",D2026)),OR(ISNUMBER(SEARCH("上",D2026)),ISNUMBER(SEARCH("去",D2026)),ISNUMBER(SEARCH("入",D2026)))),"Ambiguous",IF(ISNUMBER(SEARCH("平",D2026)),"平","仄")))</x:f>
        <x:v>仄</x:v>
      </x:c>
      <x:c r="L2026" s="7" t="str"/>
    </x:row>
    <x:row r="2027">
      <x:c r="A2027" s="5" t="str">
        <x:v>欸</x:v>
      </x:c>
      <x:c r="B2027" s="6" t="str"/>
      <x:c r="C2027" s="6" t="str">
        <x:f>IF(B2027="","Needs decision","Ready")</x:f>
        <x:v>Needs decision</x:v>
      </x:c>
      <x:c r="D2027" s="6" t="str">
        <x:v>平/上/去</x:v>
      </x:c>
      <x:c r="E2027" s="6" t="str">
        <x:v>'oj [ʔ̙əj] (平); 'ojX [ʔ̙əjʔ] (上); xeajH [χeˤjh] (去)</x:v>
      </x:c>
      <x:c r="F2027" s="6" t="str">
        <x:v>上平聲十灰; 上聲十賄</x:v>
      </x:c>
      <x:c r="G2027" s="6" t="str">
        <x:v>Pingshui main list, Wikisource-derived DOCX</x:v>
      </x:c>
      <x:c r="H2027" s="6" t="str">
        <x:v>3</x:v>
      </x:c>
      <x:c r="I2027" s="6" t="str">
        <x:v>Tang 300 gap; frequency 1; ambiguous in Xun Gong</x:v>
      </x:c>
      <x:c r="J2027" s="6" t="str">
        <x:f>IF(B2027="","",IF(AND(ISNUMBER(SEARCH("平",B2027)),OR(ISNUMBER(SEARCH("上",B2027)),ISNUMBER(SEARCH("去",B2027)),ISNUMBER(SEARCH("入",B2027)))),"Ambiguous",IF(ISNUMBER(SEARCH("平",B2027)),"平","仄")))</x:f>
      </x:c>
      <x:c r="K2027" s="6" t="str">
        <x:f>IF(D2027="","",IF(AND(ISNUMBER(SEARCH("平",D2027)),OR(ISNUMBER(SEARCH("上",D2027)),ISNUMBER(SEARCH("去",D2027)),ISNUMBER(SEARCH("入",D2027)))),"Ambiguous",IF(ISNUMBER(SEARCH("平",D2027)),"平","仄")))</x:f>
        <x:v>Ambiguous</x:v>
      </x:c>
      <x:c r="L2027" s="7" t="str">
        <x:v>Xun Gong, Tang 300 gap fill</x:v>
      </x:c>
    </x:row>
    <x:row r="2028">
      <x:c r="A2028" s="5" t="str">
        <x:v>欺</x:v>
      </x:c>
      <x:c r="B2028" s="6" t="str">
        <x:v>平</x:v>
      </x:c>
      <x:c r="C2028" s="6" t="str">
        <x:f>IF(B2028="","Needs decision","Ready")</x:f>
        <x:v>Ready</x:v>
      </x:c>
      <x:c r="D2028" s="6" t="str">
        <x:v>平</x:v>
      </x:c>
      <x:c r="E2028" s="6" t="str">
        <x:v>khi (A)</x:v>
      </x:c>
      <x:c r="F2028" s="6" t="str">
        <x:v>上平聲四支</x:v>
      </x:c>
      <x:c r="G2028" s="6" t="str">
        <x:v>Pingshui main list, Wikisource-derived DOCX</x:v>
      </x:c>
      <x:c r="H2028" s="6" t="str">
        <x:v>1</x:v>
      </x:c>
      <x:c r="I2028" s="6" t="str"/>
      <x:c r="J2028" s="6" t="str">
        <x:f>IF(B2028="","",IF(AND(ISNUMBER(SEARCH("平",B2028)),OR(ISNUMBER(SEARCH("上",B2028)),ISNUMBER(SEARCH("去",B2028)),ISNUMBER(SEARCH("入",B2028)))),"Ambiguous",IF(ISNUMBER(SEARCH("平",B2028)),"平","仄")))</x:f>
        <x:v>平</x:v>
      </x:c>
      <x:c r="K2028" s="6" t="str">
        <x:f>IF(D2028="","",IF(AND(ISNUMBER(SEARCH("平",D2028)),OR(ISNUMBER(SEARCH("上",D2028)),ISNUMBER(SEARCH("去",D2028)),ISNUMBER(SEARCH("入",D2028)))),"Ambiguous",IF(ISNUMBER(SEARCH("平",D2028)),"平","仄")))</x:f>
        <x:v>平</x:v>
      </x:c>
      <x:c r="L2028" s="7" t="str"/>
    </x:row>
    <x:row r="2029">
      <x:c r="A2029" s="5" t="str">
        <x:v>欿</x:v>
      </x:c>
      <x:c r="B2029" s="6" t="str">
        <x:v>上</x:v>
      </x:c>
      <x:c r="C2029" s="6" t="str">
        <x:f>IF(B2029="","Needs decision","Ready")</x:f>
        <x:v>Ready</x:v>
      </x:c>
      <x:c r="D2029" s="6" t="str">
        <x:v>上</x:v>
      </x:c>
      <x:c r="E2029" s="6" t="str">
        <x:v>khomX (B)</x:v>
      </x:c>
      <x:c r="F2029" s="6" t="str">
        <x:v>上聲二十七感</x:v>
      </x:c>
      <x:c r="G2029" s="6" t="str">
        <x:v>Pingshui main list, Wikisource-derived DOCX</x:v>
      </x:c>
      <x:c r="H2029" s="6" t="str">
        <x:v>1</x:v>
      </x:c>
      <x:c r="I2029" s="6" t="str"/>
      <x:c r="J2029" s="6" t="str">
        <x:f>IF(B2029="","",IF(AND(ISNUMBER(SEARCH("平",B2029)),OR(ISNUMBER(SEARCH("上",B2029)),ISNUMBER(SEARCH("去",B2029)),ISNUMBER(SEARCH("入",B2029)))),"Ambiguous",IF(ISNUMBER(SEARCH("平",B2029)),"平","仄")))</x:f>
        <x:v>仄</x:v>
      </x:c>
      <x:c r="K2029" s="6" t="str">
        <x:f>IF(D2029="","",IF(AND(ISNUMBER(SEARCH("平",D2029)),OR(ISNUMBER(SEARCH("上",D2029)),ISNUMBER(SEARCH("去",D2029)),ISNUMBER(SEARCH("入",D2029)))),"Ambiguous",IF(ISNUMBER(SEARCH("平",D2029)),"平","仄")))</x:f>
        <x:v>仄</x:v>
      </x:c>
      <x:c r="L2029" s="7" t="str"/>
    </x:row>
    <x:row r="2030">
      <x:c r="A2030" s="5" t="str">
        <x:v>歃</x:v>
      </x:c>
      <x:c r="B2030" s="6" t="str">
        <x:v>入</x:v>
      </x:c>
      <x:c r="C2030" s="6" t="str">
        <x:f>IF(B2030="","Needs decision","Ready")</x:f>
        <x:v>Ready</x:v>
      </x:c>
      <x:c r="D2030" s="6" t="str">
        <x:v>入</x:v>
      </x:c>
      <x:c r="E2030" s="6" t="str">
        <x:v>sreap (D); srjep (D)</x:v>
      </x:c>
      <x:c r="F2030" s="6" t="str">
        <x:v>入聲十七洽</x:v>
      </x:c>
      <x:c r="G2030" s="6" t="str">
        <x:v>Pingshui main list, Wikisource-derived DOCX</x:v>
      </x:c>
      <x:c r="H2030" s="6" t="str">
        <x:v>2</x:v>
      </x:c>
      <x:c r="I2030" s="6" t="str"/>
      <x:c r="J2030" s="6" t="str">
        <x:f>IF(B2030="","",IF(AND(ISNUMBER(SEARCH("平",B2030)),OR(ISNUMBER(SEARCH("上",B2030)),ISNUMBER(SEARCH("去",B2030)),ISNUMBER(SEARCH("入",B2030)))),"Ambiguous",IF(ISNUMBER(SEARCH("平",B2030)),"平","仄")))</x:f>
        <x:v>仄</x:v>
      </x:c>
      <x:c r="K2030" s="6" t="str">
        <x:f>IF(D2030="","",IF(AND(ISNUMBER(SEARCH("平",D2030)),OR(ISNUMBER(SEARCH("上",D2030)),ISNUMBER(SEARCH("去",D2030)),ISNUMBER(SEARCH("入",D2030)))),"Ambiguous",IF(ISNUMBER(SEARCH("平",D2030)),"平","仄")))</x:f>
        <x:v>仄</x:v>
      </x:c>
      <x:c r="L2030" s="7" t="str"/>
    </x:row>
    <x:row r="2031">
      <x:c r="A2031" s="5" t="str">
        <x:v>歆</x:v>
      </x:c>
      <x:c r="B2031" s="6" t="str">
        <x:v>平</x:v>
      </x:c>
      <x:c r="C2031" s="6" t="str">
        <x:f>IF(B2031="","Needs decision","Ready")</x:f>
        <x:v>Ready</x:v>
      </x:c>
      <x:c r="D2031" s="6" t="str">
        <x:v>平</x:v>
      </x:c>
      <x:c r="E2031" s="6" t="str">
        <x:v>xim (A)</x:v>
      </x:c>
      <x:c r="F2031" s="6" t="str">
        <x:v>下平聲十二侵</x:v>
      </x:c>
      <x:c r="G2031" s="6" t="str">
        <x:v>Pingshui main list, Wikisource-derived DOCX</x:v>
      </x:c>
      <x:c r="H2031" s="6" t="str">
        <x:v>1</x:v>
      </x:c>
      <x:c r="I2031" s="6" t="str"/>
      <x:c r="J2031" s="6" t="str">
        <x:f>IF(B2031="","",IF(AND(ISNUMBER(SEARCH("平",B2031)),OR(ISNUMBER(SEARCH("上",B2031)),ISNUMBER(SEARCH("去",B2031)),ISNUMBER(SEARCH("入",B2031)))),"Ambiguous",IF(ISNUMBER(SEARCH("平",B2031)),"平","仄")))</x:f>
        <x:v>平</x:v>
      </x:c>
      <x:c r="K2031" s="6" t="str">
        <x:f>IF(D2031="","",IF(AND(ISNUMBER(SEARCH("平",D2031)),OR(ISNUMBER(SEARCH("上",D2031)),ISNUMBER(SEARCH("去",D2031)),ISNUMBER(SEARCH("入",D2031)))),"Ambiguous",IF(ISNUMBER(SEARCH("平",D2031)),"平","仄")))</x:f>
        <x:v>平</x:v>
      </x:c>
      <x:c r="L2031" s="7" t="str"/>
    </x:row>
    <x:row r="2032">
      <x:c r="A2032" s="5" t="str">
        <x:v>歇</x:v>
      </x:c>
      <x:c r="B2032" s="6" t="str">
        <x:v>入</x:v>
      </x:c>
      <x:c r="C2032" s="6" t="str">
        <x:f>IF(B2032="","Needs decision","Ready")</x:f>
        <x:v>Ready</x:v>
      </x:c>
      <x:c r="D2032" s="6" t="str">
        <x:v>入</x:v>
      </x:c>
      <x:c r="E2032" s="6" t="str">
        <x:v>xjot (D)</x:v>
      </x:c>
      <x:c r="F2032" s="6" t="str">
        <x:v>入聲六月</x:v>
      </x:c>
      <x:c r="G2032" s="6" t="str">
        <x:v>Pingshui main list, Wikisource-derived DOCX</x:v>
      </x:c>
      <x:c r="H2032" s="6" t="str">
        <x:v>1</x:v>
      </x:c>
      <x:c r="I2032" s="6" t="str"/>
      <x:c r="J2032" s="6" t="str">
        <x:f>IF(B2032="","",IF(AND(ISNUMBER(SEARCH("平",B2032)),OR(ISNUMBER(SEARCH("上",B2032)),ISNUMBER(SEARCH("去",B2032)),ISNUMBER(SEARCH("入",B2032)))),"Ambiguous",IF(ISNUMBER(SEARCH("平",B2032)),"平","仄")))</x:f>
        <x:v>仄</x:v>
      </x:c>
      <x:c r="K2032" s="6" t="str">
        <x:f>IF(D2032="","",IF(AND(ISNUMBER(SEARCH("平",D2032)),OR(ISNUMBER(SEARCH("上",D2032)),ISNUMBER(SEARCH("去",D2032)),ISNUMBER(SEARCH("入",D2032)))),"Ambiguous",IF(ISNUMBER(SEARCH("平",D2032)),"平","仄")))</x:f>
        <x:v>仄</x:v>
      </x:c>
      <x:c r="L2032" s="7" t="str"/>
    </x:row>
    <x:row r="2033">
      <x:c r="A2033" s="5" t="str">
        <x:v>歈</x:v>
      </x:c>
      <x:c r="B2033" s="6" t="str">
        <x:v>平</x:v>
      </x:c>
      <x:c r="C2033" s="6" t="str">
        <x:f>IF(B2033="","Needs decision","Ready")</x:f>
        <x:v>Ready</x:v>
      </x:c>
      <x:c r="D2033" s="6" t="str">
        <x:v>平</x:v>
      </x:c>
      <x:c r="E2033" s="6" t="str">
        <x:v>duw (A)</x:v>
      </x:c>
      <x:c r="F2033" s="6" t="str">
        <x:v>上平聲七虞</x:v>
      </x:c>
      <x:c r="G2033" s="6" t="str">
        <x:v>Pingshui main list, Wikisource-derived DOCX</x:v>
      </x:c>
      <x:c r="H2033" s="6" t="str">
        <x:v>1</x:v>
      </x:c>
      <x:c r="I2033" s="6" t="str"/>
      <x:c r="J2033" s="6" t="str">
        <x:f>IF(B2033="","",IF(AND(ISNUMBER(SEARCH("平",B2033)),OR(ISNUMBER(SEARCH("上",B2033)),ISNUMBER(SEARCH("去",B2033)),ISNUMBER(SEARCH("入",B2033)))),"Ambiguous",IF(ISNUMBER(SEARCH("平",B2033)),"平","仄")))</x:f>
        <x:v>平</x:v>
      </x:c>
      <x:c r="K2033" s="6" t="str">
        <x:f>IF(D2033="","",IF(AND(ISNUMBER(SEARCH("平",D2033)),OR(ISNUMBER(SEARCH("上",D2033)),ISNUMBER(SEARCH("去",D2033)),ISNUMBER(SEARCH("入",D2033)))),"Ambiguous",IF(ISNUMBER(SEARCH("平",D2033)),"平","仄")))</x:f>
        <x:v>平</x:v>
      </x:c>
      <x:c r="L2033" s="7" t="str"/>
    </x:row>
    <x:row r="2034">
      <x:c r="A2034" s="5" t="str">
        <x:v>歉</x:v>
      </x:c>
      <x:c r="B2034" s="6" t="str">
        <x:v>去</x:v>
      </x:c>
      <x:c r="C2034" s="6" t="str">
        <x:f>IF(B2034="","Needs decision","Ready")</x:f>
        <x:v>Ready</x:v>
      </x:c>
      <x:c r="D2034" s="6" t="str">
        <x:v>去</x:v>
      </x:c>
      <x:c r="E2034" s="6" t="str">
        <x:v>kheamH (C)</x:v>
      </x:c>
      <x:c r="F2034" s="6" t="str">
        <x:v>上聲二十八琰; 上聲二十九豏</x:v>
      </x:c>
      <x:c r="G2034" s="6" t="str">
        <x:v>Pingshui main list, Wikisource-derived DOCX</x:v>
      </x:c>
      <x:c r="H2034" s="6" t="str">
        <x:v>1</x:v>
      </x:c>
      <x:c r="I2034" s="6" t="str"/>
      <x:c r="J2034" s="6" t="str">
        <x:f>IF(B2034="","",IF(AND(ISNUMBER(SEARCH("平",B2034)),OR(ISNUMBER(SEARCH("上",B2034)),ISNUMBER(SEARCH("去",B2034)),ISNUMBER(SEARCH("入",B2034)))),"Ambiguous",IF(ISNUMBER(SEARCH("平",B2034)),"平","仄")))</x:f>
        <x:v>仄</x:v>
      </x:c>
      <x:c r="K2034" s="6" t="str">
        <x:f>IF(D2034="","",IF(AND(ISNUMBER(SEARCH("平",D2034)),OR(ISNUMBER(SEARCH("上",D2034)),ISNUMBER(SEARCH("去",D2034)),ISNUMBER(SEARCH("入",D2034)))),"Ambiguous",IF(ISNUMBER(SEARCH("平",D2034)),"平","仄")))</x:f>
        <x:v>仄</x:v>
      </x:c>
      <x:c r="L2034" s="7" t="str"/>
    </x:row>
    <x:row r="2035">
      <x:c r="A2035" s="5" t="str">
        <x:v>歌</x:v>
      </x:c>
      <x:c r="B2035" s="6" t="str">
        <x:v>平</x:v>
      </x:c>
      <x:c r="C2035" s="6" t="str">
        <x:f>IF(B2035="","Needs decision","Ready")</x:f>
        <x:v>Ready</x:v>
      </x:c>
      <x:c r="D2035" s="6" t="str">
        <x:v>平</x:v>
      </x:c>
      <x:c r="E2035" s="6" t="str">
        <x:v>ka (A)</x:v>
      </x:c>
      <x:c r="F2035" s="6" t="str">
        <x:v>下平聲五歌</x:v>
      </x:c>
      <x:c r="G2035" s="6" t="str">
        <x:v>Pingshui main list, Wikisource-derived DOCX</x:v>
      </x:c>
      <x:c r="H2035" s="6" t="str">
        <x:v>1</x:v>
      </x:c>
      <x:c r="I2035" s="6" t="str"/>
      <x:c r="J2035" s="6" t="str">
        <x:f>IF(B2035="","",IF(AND(ISNUMBER(SEARCH("平",B2035)),OR(ISNUMBER(SEARCH("上",B2035)),ISNUMBER(SEARCH("去",B2035)),ISNUMBER(SEARCH("入",B2035)))),"Ambiguous",IF(ISNUMBER(SEARCH("平",B2035)),"平","仄")))</x:f>
        <x:v>平</x:v>
      </x:c>
      <x:c r="K2035" s="6" t="str">
        <x:f>IF(D2035="","",IF(AND(ISNUMBER(SEARCH("平",D2035)),OR(ISNUMBER(SEARCH("上",D2035)),ISNUMBER(SEARCH("去",D2035)),ISNUMBER(SEARCH("入",D2035)))),"Ambiguous",IF(ISNUMBER(SEARCH("平",D2035)),"平","仄")))</x:f>
        <x:v>平</x:v>
      </x:c>
      <x:c r="L2035" s="7" t="str"/>
    </x:row>
    <x:row r="2036">
      <x:c r="A2036" s="5" t="str">
        <x:v>歎</x:v>
      </x:c>
      <x:c r="B2036" s="6" t="str">
        <x:v>平</x:v>
      </x:c>
      <x:c r="C2036" s="6" t="str">
        <x:f>IF(B2036="","Needs decision","Ready")</x:f>
        <x:v>Ready</x:v>
      </x:c>
      <x:c r="D2036" s="6" t="str">
        <x:v>平</x:v>
      </x:c>
      <x:c r="E2036" s="6" t="str">
        <x:v>than (A)</x:v>
      </x:c>
      <x:c r="F2036" s="6" t="str">
        <x:v>上平聲十四寒; 去聲十五翰</x:v>
      </x:c>
      <x:c r="G2036" s="6" t="str">
        <x:v>Pingshui main list, Wikisource-derived DOCX</x:v>
      </x:c>
      <x:c r="H2036" s="6" t="str">
        <x:v>1</x:v>
      </x:c>
      <x:c r="I2036" s="6" t="str"/>
      <x:c r="J2036" s="6" t="str">
        <x:f>IF(B2036="","",IF(AND(ISNUMBER(SEARCH("平",B2036)),OR(ISNUMBER(SEARCH("上",B2036)),ISNUMBER(SEARCH("去",B2036)),ISNUMBER(SEARCH("入",B2036)))),"Ambiguous",IF(ISNUMBER(SEARCH("平",B2036)),"平","仄")))</x:f>
        <x:v>平</x:v>
      </x:c>
      <x:c r="K2036" s="6" t="str">
        <x:f>IF(D2036="","",IF(AND(ISNUMBER(SEARCH("平",D2036)),OR(ISNUMBER(SEARCH("上",D2036)),ISNUMBER(SEARCH("去",D2036)),ISNUMBER(SEARCH("入",D2036)))),"Ambiguous",IF(ISNUMBER(SEARCH("平",D2036)),"平","仄")))</x:f>
        <x:v>平</x:v>
      </x:c>
      <x:c r="L2036" s="7" t="str"/>
    </x:row>
    <x:row r="2037">
      <x:c r="A2037" s="5" t="str">
        <x:v>歐</x:v>
      </x:c>
      <x:c r="B2037" s="6" t="str">
        <x:v>平</x:v>
      </x:c>
      <x:c r="C2037" s="6" t="str">
        <x:f>IF(B2037="","Needs decision","Ready")</x:f>
        <x:v>Ready</x:v>
      </x:c>
      <x:c r="D2037" s="6" t="str">
        <x:v>平</x:v>
      </x:c>
      <x:c r="E2037" s="6" t="str"/>
      <x:c r="F2037" s="6" t="str">
        <x:v>下平聲十一尤; 上聲二十五有</x:v>
      </x:c>
      <x:c r="G2037" s="6" t="str">
        <x:v>Pingshui main list, Wikisource-derived DOCX</x:v>
      </x:c>
      <x:c r="H2037" s="6" t="str"/>
      <x:c r="I2037" s="6" t="str">
        <x:v>Manual user correction/addition</x:v>
      </x:c>
      <x:c r="J2037" s="6" t="str">
        <x:f>IF(B2037="","",IF(AND(ISNUMBER(SEARCH("平",B2037)),OR(ISNUMBER(SEARCH("上",B2037)),ISNUMBER(SEARCH("去",B2037)),ISNUMBER(SEARCH("入",B2037)))),"Ambiguous",IF(ISNUMBER(SEARCH("平",B2037)),"平","仄")))</x:f>
        <x:v>平</x:v>
      </x:c>
      <x:c r="K2037" s="6" t="str">
        <x:f>IF(D2037="","",IF(AND(ISNUMBER(SEARCH("平",D2037)),OR(ISNUMBER(SEARCH("上",D2037)),ISNUMBER(SEARCH("去",D2037)),ISNUMBER(SEARCH("入",D2037)))),"Ambiguous",IF(ISNUMBER(SEARCH("平",D2037)),"平","仄")))</x:f>
        <x:v>平</x:v>
      </x:c>
      <x:c r="L2037" s="7" t="str">
        <x:v>manual user correction</x:v>
      </x:c>
    </x:row>
    <x:row r="2038">
      <x:c r="A2038" s="5" t="str">
        <x:v>歙</x:v>
      </x:c>
      <x:c r="B2038" s="6" t="str">
        <x:v>入</x:v>
      </x:c>
      <x:c r="C2038" s="6" t="str">
        <x:f>IF(B2038="","Needs decision","Ready")</x:f>
        <x:v>Ready</x:v>
      </x:c>
      <x:c r="D2038" s="6" t="str">
        <x:v>入</x:v>
      </x:c>
      <x:c r="E2038" s="6" t="str">
        <x:v>xip (D)</x:v>
      </x:c>
      <x:c r="F2038" s="6" t="str">
        <x:v>入聲十四緝; 入聲十六葉</x:v>
      </x:c>
      <x:c r="G2038" s="6" t="str">
        <x:v>Pingshui main list, Wikisource-derived DOCX</x:v>
      </x:c>
      <x:c r="H2038" s="6" t="str">
        <x:v>1</x:v>
      </x:c>
      <x:c r="I2038" s="6" t="str"/>
      <x:c r="J2038" s="6" t="str">
        <x:f>IF(B2038="","",IF(AND(ISNUMBER(SEARCH("平",B2038)),OR(ISNUMBER(SEARCH("上",B2038)),ISNUMBER(SEARCH("去",B2038)),ISNUMBER(SEARCH("入",B2038)))),"Ambiguous",IF(ISNUMBER(SEARCH("平",B2038)),"平","仄")))</x:f>
        <x:v>仄</x:v>
      </x:c>
      <x:c r="K2038" s="6" t="str">
        <x:f>IF(D2038="","",IF(AND(ISNUMBER(SEARCH("平",D2038)),OR(ISNUMBER(SEARCH("上",D2038)),ISNUMBER(SEARCH("去",D2038)),ISNUMBER(SEARCH("入",D2038)))),"Ambiguous",IF(ISNUMBER(SEARCH("平",D2038)),"平","仄")))</x:f>
        <x:v>仄</x:v>
      </x:c>
      <x:c r="L2038" s="7" t="str"/>
    </x:row>
    <x:row r="2039">
      <x:c r="A2039" s="5" t="str">
        <x:v>歛</x:v>
      </x:c>
      <x:c r="B2039" s="6" t="str">
        <x:v>平</x:v>
      </x:c>
      <x:c r="C2039" s="6" t="str">
        <x:f>IF(B2039="","Needs decision","Ready")</x:f>
        <x:v>Ready</x:v>
      </x:c>
      <x:c r="D2039" s="6" t="str">
        <x:v>平</x:v>
      </x:c>
      <x:c r="E2039" s="6" t="str">
        <x:v>xam [χɑm] (平)</x:v>
      </x:c>
      <x:c r="F2039" s="6" t="str">
        <x:v>去聲二十九豔</x:v>
      </x:c>
      <x:c r="G2039" s="6" t="str">
        <x:v>Pingshui main list, Wikisource-derived DOCX</x:v>
      </x:c>
      <x:c r="H2039" s="6" t="str">
        <x:v>1</x:v>
      </x:c>
      <x:c r="I2039" s="6" t="str">
        <x:v>Tang 300 gap; frequency 1; provisional from Xun Gong</x:v>
      </x:c>
      <x:c r="J2039" s="6" t="str">
        <x:f>IF(B2039="","",IF(AND(ISNUMBER(SEARCH("平",B2039)),OR(ISNUMBER(SEARCH("上",B2039)),ISNUMBER(SEARCH("去",B2039)),ISNUMBER(SEARCH("入",B2039)))),"Ambiguous",IF(ISNUMBER(SEARCH("平",B2039)),"平","仄")))</x:f>
        <x:v>平</x:v>
      </x:c>
      <x:c r="K2039" s="6" t="str">
        <x:f>IF(D2039="","",IF(AND(ISNUMBER(SEARCH("平",D2039)),OR(ISNUMBER(SEARCH("上",D2039)),ISNUMBER(SEARCH("去",D2039)),ISNUMBER(SEARCH("入",D2039)))),"Ambiguous",IF(ISNUMBER(SEARCH("平",D2039)),"平","仄")))</x:f>
        <x:v>平</x:v>
      </x:c>
      <x:c r="L2039" s="7" t="str">
        <x:v>Xun Gong, Tang 300 gap fill</x:v>
      </x:c>
    </x:row>
    <x:row r="2040">
      <x:c r="A2040" s="5" t="str">
        <x:v>歠</x:v>
      </x:c>
      <x:c r="B2040" s="6" t="str">
        <x:v>入</x:v>
      </x:c>
      <x:c r="C2040" s="6" t="str">
        <x:f>IF(B2040="","Needs decision","Ready")</x:f>
        <x:v>Ready</x:v>
      </x:c>
      <x:c r="D2040" s="6" t="str">
        <x:v>入</x:v>
      </x:c>
      <x:c r="E2040" s="6" t="str">
        <x:v>tsyhwet (D)</x:v>
      </x:c>
      <x:c r="F2040" s="6" t="str">
        <x:v>入聲九屑</x:v>
      </x:c>
      <x:c r="G2040" s="6" t="str">
        <x:v>Pingshui main list, Wikisource-derived DOCX</x:v>
      </x:c>
      <x:c r="H2040" s="6" t="str">
        <x:v>1</x:v>
      </x:c>
      <x:c r="I2040" s="6" t="str"/>
      <x:c r="J2040" s="6" t="str">
        <x:f>IF(B2040="","",IF(AND(ISNUMBER(SEARCH("平",B2040)),OR(ISNUMBER(SEARCH("上",B2040)),ISNUMBER(SEARCH("去",B2040)),ISNUMBER(SEARCH("入",B2040)))),"Ambiguous",IF(ISNUMBER(SEARCH("平",B2040)),"平","仄")))</x:f>
        <x:v>仄</x:v>
      </x:c>
      <x:c r="K2040" s="6" t="str">
        <x:f>IF(D2040="","",IF(AND(ISNUMBER(SEARCH("平",D2040)),OR(ISNUMBER(SEARCH("上",D2040)),ISNUMBER(SEARCH("去",D2040)),ISNUMBER(SEARCH("入",D2040)))),"Ambiguous",IF(ISNUMBER(SEARCH("平",D2040)),"平","仄")))</x:f>
        <x:v>仄</x:v>
      </x:c>
      <x:c r="L2040" s="7" t="str"/>
    </x:row>
    <x:row r="2041">
      <x:c r="A2041" s="5" t="str">
        <x:v>歡</x:v>
      </x:c>
      <x:c r="B2041" s="6" t="str">
        <x:v>平</x:v>
      </x:c>
      <x:c r="C2041" s="6" t="str">
        <x:f>IF(B2041="","Needs decision","Ready")</x:f>
        <x:v>Ready</x:v>
      </x:c>
      <x:c r="D2041" s="6" t="str">
        <x:v>平</x:v>
      </x:c>
      <x:c r="E2041" s="6" t="str">
        <x:v>xwan (A)</x:v>
      </x:c>
      <x:c r="F2041" s="6" t="str">
        <x:v>上平聲十四寒</x:v>
      </x:c>
      <x:c r="G2041" s="6" t="str">
        <x:v>Pingshui main list, Wikisource-derived DOCX</x:v>
      </x:c>
      <x:c r="H2041" s="6" t="str">
        <x:v>1</x:v>
      </x:c>
      <x:c r="I2041" s="6" t="str"/>
      <x:c r="J2041" s="6" t="str">
        <x:f>IF(B2041="","",IF(AND(ISNUMBER(SEARCH("平",B2041)),OR(ISNUMBER(SEARCH("上",B2041)),ISNUMBER(SEARCH("去",B2041)),ISNUMBER(SEARCH("入",B2041)))),"Ambiguous",IF(ISNUMBER(SEARCH("平",B2041)),"平","仄")))</x:f>
        <x:v>平</x:v>
      </x:c>
      <x:c r="K2041" s="6" t="str">
        <x:f>IF(D2041="","",IF(AND(ISNUMBER(SEARCH("平",D2041)),OR(ISNUMBER(SEARCH("上",D2041)),ISNUMBER(SEARCH("去",D2041)),ISNUMBER(SEARCH("入",D2041)))),"Ambiguous",IF(ISNUMBER(SEARCH("平",D2041)),"平","仄")))</x:f>
        <x:v>平</x:v>
      </x:c>
      <x:c r="L2041" s="7" t="str"/>
    </x:row>
    <x:row r="2042">
      <x:c r="A2042" s="5" t="str">
        <x:v>止</x:v>
      </x:c>
      <x:c r="B2042" s="6" t="str">
        <x:v>上</x:v>
      </x:c>
      <x:c r="C2042" s="6" t="str">
        <x:f>IF(B2042="","Needs decision","Ready")</x:f>
        <x:v>Ready</x:v>
      </x:c>
      <x:c r="D2042" s="6" t="str">
        <x:v>上</x:v>
      </x:c>
      <x:c r="E2042" s="6" t="str">
        <x:v>tsyiX (B)</x:v>
      </x:c>
      <x:c r="F2042" s="6" t="str">
        <x:v>上聲四紙</x:v>
      </x:c>
      <x:c r="G2042" s="6" t="str">
        <x:v>Pingshui main list, Wikisource-derived DOCX</x:v>
      </x:c>
      <x:c r="H2042" s="6" t="str">
        <x:v>1</x:v>
      </x:c>
      <x:c r="I2042" s="6" t="str"/>
      <x:c r="J2042" s="6" t="str">
        <x:f>IF(B2042="","",IF(AND(ISNUMBER(SEARCH("平",B2042)),OR(ISNUMBER(SEARCH("上",B2042)),ISNUMBER(SEARCH("去",B2042)),ISNUMBER(SEARCH("入",B2042)))),"Ambiguous",IF(ISNUMBER(SEARCH("平",B2042)),"平","仄")))</x:f>
        <x:v>仄</x:v>
      </x:c>
      <x:c r="K2042" s="6" t="str">
        <x:f>IF(D2042="","",IF(AND(ISNUMBER(SEARCH("平",D2042)),OR(ISNUMBER(SEARCH("上",D2042)),ISNUMBER(SEARCH("去",D2042)),ISNUMBER(SEARCH("入",D2042)))),"Ambiguous",IF(ISNUMBER(SEARCH("平",D2042)),"平","仄")))</x:f>
        <x:v>仄</x:v>
      </x:c>
      <x:c r="L2042" s="7" t="str"/>
    </x:row>
    <x:row r="2043">
      <x:c r="A2043" s="5" t="str">
        <x:v>正</x:v>
      </x:c>
      <x:c r="B2043" s="6" t="str">
        <x:v>去</x:v>
      </x:c>
      <x:c r="C2043" s="6" t="str">
        <x:f>IF(B2043="","Needs decision","Ready")</x:f>
        <x:v>Ready</x:v>
      </x:c>
      <x:c r="D2043" s="6" t="str">
        <x:v>平/去</x:v>
      </x:c>
      <x:c r="E2043" s="6" t="str">
        <x:v>tsyeng (A); tsyengH (C)</x:v>
      </x:c>
      <x:c r="F2043" s="6" t="str">
        <x:v>下平聲八庚; 去聲二十四敬</x:v>
      </x:c>
      <x:c r="G2043" s="6" t="str">
        <x:v>Pingshui main list, Wikisource-derived DOCX</x:v>
      </x:c>
      <x:c r="H2043" s="6" t="str">
        <x:v>2</x:v>
      </x:c>
      <x:c r="I2043" s="6" t="str">
        <x:v>User workbook edit 2026-09-03</x:v>
      </x:c>
      <x:c r="J2043" s="6" t="str">
        <x:f>IF(B2043="","",IF(AND(ISNUMBER(SEARCH("平",B2043)),OR(ISNUMBER(SEARCH("上",B2043)),ISNUMBER(SEARCH("去",B2043)),ISNUMBER(SEARCH("入",B2043)))),"Ambiguous",IF(ISNUMBER(SEARCH("平",B2043)),"平","仄")))</x:f>
        <x:v>仄</x:v>
      </x:c>
      <x:c r="K2043" s="6" t="str">
        <x:f>IF(D2043="","",IF(AND(ISNUMBER(SEARCH("平",D2043)),OR(ISNUMBER(SEARCH("上",D2043)),ISNUMBER(SEARCH("去",D2043)),ISNUMBER(SEARCH("入",D2043)))),"Ambiguous",IF(ISNUMBER(SEARCH("平",D2043)),"平","仄")))</x:f>
        <x:v>Ambiguous</x:v>
      </x:c>
      <x:c r="L2043" s="7" t="str">
        <x:v>manual user correction</x:v>
      </x:c>
    </x:row>
    <x:row r="2044">
      <x:c r="A2044" s="5" t="str">
        <x:v>此</x:v>
      </x:c>
      <x:c r="B2044" s="6" t="str">
        <x:v>上</x:v>
      </x:c>
      <x:c r="C2044" s="6" t="str">
        <x:f>IF(B2044="","Needs decision","Ready")</x:f>
        <x:v>Ready</x:v>
      </x:c>
      <x:c r="D2044" s="6" t="str">
        <x:v>上</x:v>
      </x:c>
      <x:c r="E2044" s="6" t="str">
        <x:v>tshjeX (B)</x:v>
      </x:c>
      <x:c r="F2044" s="6" t="str">
        <x:v>上聲四紙</x:v>
      </x:c>
      <x:c r="G2044" s="6" t="str">
        <x:v>Pingshui main list, Wikisource-derived DOCX</x:v>
      </x:c>
      <x:c r="H2044" s="6" t="str">
        <x:v>1</x:v>
      </x:c>
      <x:c r="I2044" s="6" t="str"/>
      <x:c r="J2044" s="6" t="str">
        <x:f>IF(B2044="","",IF(AND(ISNUMBER(SEARCH("平",B2044)),OR(ISNUMBER(SEARCH("上",B2044)),ISNUMBER(SEARCH("去",B2044)),ISNUMBER(SEARCH("入",B2044)))),"Ambiguous",IF(ISNUMBER(SEARCH("平",B2044)),"平","仄")))</x:f>
        <x:v>仄</x:v>
      </x:c>
      <x:c r="K2044" s="6" t="str">
        <x:f>IF(D2044="","",IF(AND(ISNUMBER(SEARCH("平",D2044)),OR(ISNUMBER(SEARCH("上",D2044)),ISNUMBER(SEARCH("去",D2044)),ISNUMBER(SEARCH("入",D2044)))),"Ambiguous",IF(ISNUMBER(SEARCH("平",D2044)),"平","仄")))</x:f>
        <x:v>仄</x:v>
      </x:c>
      <x:c r="L2044" s="7" t="str"/>
    </x:row>
    <x:row r="2045">
      <x:c r="A2045" s="5" t="str">
        <x:v>步</x:v>
      </x:c>
      <x:c r="B2045" s="6" t="str">
        <x:v>去</x:v>
      </x:c>
      <x:c r="C2045" s="6" t="str">
        <x:f>IF(B2045="","Needs decision","Ready")</x:f>
        <x:v>Ready</x:v>
      </x:c>
      <x:c r="D2045" s="6" t="str">
        <x:v>去</x:v>
      </x:c>
      <x:c r="E2045" s="6" t="str">
        <x:v>buH (C)</x:v>
      </x:c>
      <x:c r="F2045" s="6" t="str">
        <x:v>去聲七遇</x:v>
      </x:c>
      <x:c r="G2045" s="6" t="str">
        <x:v>Pingshui main list, Wikisource-derived DOCX</x:v>
      </x:c>
      <x:c r="H2045" s="6" t="str">
        <x:v>1</x:v>
      </x:c>
      <x:c r="I2045" s="6" t="str"/>
      <x:c r="J2045" s="6" t="str">
        <x:f>IF(B2045="","",IF(AND(ISNUMBER(SEARCH("平",B2045)),OR(ISNUMBER(SEARCH("上",B2045)),ISNUMBER(SEARCH("去",B2045)),ISNUMBER(SEARCH("入",B2045)))),"Ambiguous",IF(ISNUMBER(SEARCH("平",B2045)),"平","仄")))</x:f>
        <x:v>仄</x:v>
      </x:c>
      <x:c r="K2045" s="6" t="str">
        <x:f>IF(D2045="","",IF(AND(ISNUMBER(SEARCH("平",D2045)),OR(ISNUMBER(SEARCH("上",D2045)),ISNUMBER(SEARCH("去",D2045)),ISNUMBER(SEARCH("入",D2045)))),"Ambiguous",IF(ISNUMBER(SEARCH("平",D2045)),"平","仄")))</x:f>
        <x:v>仄</x:v>
      </x:c>
      <x:c r="L2045" s="7" t="str"/>
    </x:row>
    <x:row r="2046">
      <x:c r="A2046" s="5" t="str">
        <x:v>武</x:v>
      </x:c>
      <x:c r="B2046" s="6" t="str">
        <x:v>上</x:v>
      </x:c>
      <x:c r="C2046" s="6" t="str">
        <x:f>IF(B2046="","Needs decision","Ready")</x:f>
        <x:v>Ready</x:v>
      </x:c>
      <x:c r="D2046" s="6" t="str">
        <x:v>上</x:v>
      </x:c>
      <x:c r="E2046" s="6" t="str">
        <x:v>mjuX (B)</x:v>
      </x:c>
      <x:c r="F2046" s="6" t="str">
        <x:v>上聲七麌</x:v>
      </x:c>
      <x:c r="G2046" s="6" t="str">
        <x:v>Pingshui main list, Wikisource-derived DOCX</x:v>
      </x:c>
      <x:c r="H2046" s="6" t="str">
        <x:v>1</x:v>
      </x:c>
      <x:c r="I2046" s="6" t="str"/>
      <x:c r="J2046" s="6" t="str">
        <x:f>IF(B2046="","",IF(AND(ISNUMBER(SEARCH("平",B2046)),OR(ISNUMBER(SEARCH("上",B2046)),ISNUMBER(SEARCH("去",B2046)),ISNUMBER(SEARCH("入",B2046)))),"Ambiguous",IF(ISNUMBER(SEARCH("平",B2046)),"平","仄")))</x:f>
        <x:v>仄</x:v>
      </x:c>
      <x:c r="K2046" s="6" t="str">
        <x:f>IF(D2046="","",IF(AND(ISNUMBER(SEARCH("平",D2046)),OR(ISNUMBER(SEARCH("上",D2046)),ISNUMBER(SEARCH("去",D2046)),ISNUMBER(SEARCH("入",D2046)))),"Ambiguous",IF(ISNUMBER(SEARCH("平",D2046)),"平","仄")))</x:f>
        <x:v>仄</x:v>
      </x:c>
      <x:c r="L2046" s="7" t="str"/>
    </x:row>
    <x:row r="2047">
      <x:c r="A2047" s="5" t="str">
        <x:v>歧</x:v>
      </x:c>
      <x:c r="B2047" s="6" t="str">
        <x:v>平</x:v>
      </x:c>
      <x:c r="C2047" s="6" t="str">
        <x:f>IF(B2047="","Needs decision","Ready")</x:f>
        <x:v>Ready</x:v>
      </x:c>
      <x:c r="D2047" s="6" t="str">
        <x:v>平</x:v>
      </x:c>
      <x:c r="E2047" s="6" t="str">
        <x:v>gjie (A)</x:v>
      </x:c>
      <x:c r="F2047" s="6" t="str">
        <x:v>上平聲四支</x:v>
      </x:c>
      <x:c r="G2047" s="6" t="str">
        <x:v>Pingshui main list, Wikisource-derived DOCX</x:v>
      </x:c>
      <x:c r="H2047" s="6" t="str">
        <x:v>1</x:v>
      </x:c>
      <x:c r="I2047" s="6" t="str"/>
      <x:c r="J2047" s="6" t="str">
        <x:f>IF(B2047="","",IF(AND(ISNUMBER(SEARCH("平",B2047)),OR(ISNUMBER(SEARCH("上",B2047)),ISNUMBER(SEARCH("去",B2047)),ISNUMBER(SEARCH("入",B2047)))),"Ambiguous",IF(ISNUMBER(SEARCH("平",B2047)),"平","仄")))</x:f>
        <x:v>平</x:v>
      </x:c>
      <x:c r="K2047" s="6" t="str">
        <x:f>IF(D2047="","",IF(AND(ISNUMBER(SEARCH("平",D2047)),OR(ISNUMBER(SEARCH("上",D2047)),ISNUMBER(SEARCH("去",D2047)),ISNUMBER(SEARCH("入",D2047)))),"Ambiguous",IF(ISNUMBER(SEARCH("平",D2047)),"平","仄")))</x:f>
        <x:v>平</x:v>
      </x:c>
      <x:c r="L2047" s="7" t="str"/>
    </x:row>
    <x:row r="2048">
      <x:c r="A2048" s="5" t="str">
        <x:v>歲</x:v>
      </x:c>
      <x:c r="B2048" s="6" t="str">
        <x:v>去</x:v>
      </x:c>
      <x:c r="C2048" s="6" t="str">
        <x:f>IF(B2048="","Needs decision","Ready")</x:f>
        <x:v>Ready</x:v>
      </x:c>
      <x:c r="D2048" s="6" t="str">
        <x:v>去</x:v>
      </x:c>
      <x:c r="E2048" s="6" t="str">
        <x:v>sjwejH (C)</x:v>
      </x:c>
      <x:c r="F2048" s="6" t="str">
        <x:v>去聲八霽</x:v>
      </x:c>
      <x:c r="G2048" s="6" t="str">
        <x:v>Pingshui main list, Wikisource-derived DOCX</x:v>
      </x:c>
      <x:c r="H2048" s="6" t="str">
        <x:v>1</x:v>
      </x:c>
      <x:c r="I2048" s="6" t="str"/>
      <x:c r="J2048" s="6" t="str">
        <x:f>IF(B2048="","",IF(AND(ISNUMBER(SEARCH("平",B2048)),OR(ISNUMBER(SEARCH("上",B2048)),ISNUMBER(SEARCH("去",B2048)),ISNUMBER(SEARCH("入",B2048)))),"Ambiguous",IF(ISNUMBER(SEARCH("平",B2048)),"平","仄")))</x:f>
        <x:v>仄</x:v>
      </x:c>
      <x:c r="K2048" s="6" t="str">
        <x:f>IF(D2048="","",IF(AND(ISNUMBER(SEARCH("平",D2048)),OR(ISNUMBER(SEARCH("上",D2048)),ISNUMBER(SEARCH("去",D2048)),ISNUMBER(SEARCH("入",D2048)))),"Ambiguous",IF(ISNUMBER(SEARCH("平",D2048)),"平","仄")))</x:f>
        <x:v>仄</x:v>
      </x:c>
      <x:c r="L2048" s="7" t="str"/>
    </x:row>
    <x:row r="2049">
      <x:c r="A2049" s="5" t="str">
        <x:v>歷</x:v>
      </x:c>
      <x:c r="B2049" s="6" t="str">
        <x:v>入</x:v>
      </x:c>
      <x:c r="C2049" s="6" t="str">
        <x:f>IF(B2049="","Needs decision","Ready")</x:f>
        <x:v>Ready</x:v>
      </x:c>
      <x:c r="D2049" s="6" t="str">
        <x:v>入</x:v>
      </x:c>
      <x:c r="E2049" s="6" t="str">
        <x:v>lek (D)</x:v>
      </x:c>
      <x:c r="F2049" s="6" t="str">
        <x:v>入聲十二錫</x:v>
      </x:c>
      <x:c r="G2049" s="6" t="str">
        <x:v>Pingshui main list, Wikisource-derived DOCX</x:v>
      </x:c>
      <x:c r="H2049" s="6" t="str">
        <x:v>1</x:v>
      </x:c>
      <x:c r="I2049" s="6" t="str"/>
      <x:c r="J2049" s="6" t="str">
        <x:f>IF(B2049="","",IF(AND(ISNUMBER(SEARCH("平",B2049)),OR(ISNUMBER(SEARCH("上",B2049)),ISNUMBER(SEARCH("去",B2049)),ISNUMBER(SEARCH("入",B2049)))),"Ambiguous",IF(ISNUMBER(SEARCH("平",B2049)),"平","仄")))</x:f>
        <x:v>仄</x:v>
      </x:c>
      <x:c r="K2049" s="6" t="str">
        <x:f>IF(D2049="","",IF(AND(ISNUMBER(SEARCH("平",D2049)),OR(ISNUMBER(SEARCH("上",D2049)),ISNUMBER(SEARCH("去",D2049)),ISNUMBER(SEARCH("入",D2049)))),"Ambiguous",IF(ISNUMBER(SEARCH("平",D2049)),"平","仄")))</x:f>
        <x:v>仄</x:v>
      </x:c>
      <x:c r="L2049" s="7" t="str"/>
    </x:row>
    <x:row r="2050">
      <x:c r="A2050" s="5" t="str">
        <x:v>歸</x:v>
      </x:c>
      <x:c r="B2050" s="6" t="str">
        <x:v>平</x:v>
      </x:c>
      <x:c r="C2050" s="6" t="str">
        <x:f>IF(B2050="","Needs decision","Ready")</x:f>
        <x:v>Ready</x:v>
      </x:c>
      <x:c r="D2050" s="6" t="str">
        <x:v>平</x:v>
      </x:c>
      <x:c r="E2050" s="6" t="str">
        <x:v>kjw+j (A)</x:v>
      </x:c>
      <x:c r="F2050" s="6" t="str">
        <x:v>上平聲五微</x:v>
      </x:c>
      <x:c r="G2050" s="6" t="str">
        <x:v>Pingshui main list, Wikisource-derived DOCX</x:v>
      </x:c>
      <x:c r="H2050" s="6" t="str">
        <x:v>1</x:v>
      </x:c>
      <x:c r="I2050" s="6" t="str"/>
      <x:c r="J2050" s="6" t="str">
        <x:f>IF(B2050="","",IF(AND(ISNUMBER(SEARCH("平",B2050)),OR(ISNUMBER(SEARCH("上",B2050)),ISNUMBER(SEARCH("去",B2050)),ISNUMBER(SEARCH("入",B2050)))),"Ambiguous",IF(ISNUMBER(SEARCH("平",B2050)),"平","仄")))</x:f>
        <x:v>平</x:v>
      </x:c>
      <x:c r="K2050" s="6" t="str">
        <x:f>IF(D2050="","",IF(AND(ISNUMBER(SEARCH("平",D2050)),OR(ISNUMBER(SEARCH("上",D2050)),ISNUMBER(SEARCH("去",D2050)),ISNUMBER(SEARCH("入",D2050)))),"Ambiguous",IF(ISNUMBER(SEARCH("平",D2050)),"平","仄")))</x:f>
        <x:v>平</x:v>
      </x:c>
      <x:c r="L2050" s="7" t="str"/>
    </x:row>
    <x:row r="2051">
      <x:c r="A2051" s="5" t="str">
        <x:v>死</x:v>
      </x:c>
      <x:c r="B2051" s="6" t="str">
        <x:v>上</x:v>
      </x:c>
      <x:c r="C2051" s="6" t="str">
        <x:f>IF(B2051="","Needs decision","Ready")</x:f>
        <x:v>Ready</x:v>
      </x:c>
      <x:c r="D2051" s="6" t="str">
        <x:v>上</x:v>
      </x:c>
      <x:c r="E2051" s="6" t="str">
        <x:v>sijX (B)</x:v>
      </x:c>
      <x:c r="F2051" s="6" t="str">
        <x:v>上聲四紙</x:v>
      </x:c>
      <x:c r="G2051" s="6" t="str">
        <x:v>Pingshui main list, Wikisource-derived DOCX</x:v>
      </x:c>
      <x:c r="H2051" s="6" t="str">
        <x:v>1</x:v>
      </x:c>
      <x:c r="I2051" s="6" t="str"/>
      <x:c r="J2051" s="6" t="str">
        <x:f>IF(B2051="","",IF(AND(ISNUMBER(SEARCH("平",B2051)),OR(ISNUMBER(SEARCH("上",B2051)),ISNUMBER(SEARCH("去",B2051)),ISNUMBER(SEARCH("入",B2051)))),"Ambiguous",IF(ISNUMBER(SEARCH("平",B2051)),"平","仄")))</x:f>
        <x:v>仄</x:v>
      </x:c>
      <x:c r="K2051" s="6" t="str">
        <x:f>IF(D2051="","",IF(AND(ISNUMBER(SEARCH("平",D2051)),OR(ISNUMBER(SEARCH("上",D2051)),ISNUMBER(SEARCH("去",D2051)),ISNUMBER(SEARCH("入",D2051)))),"Ambiguous",IF(ISNUMBER(SEARCH("平",D2051)),"平","仄")))</x:f>
        <x:v>仄</x:v>
      </x:c>
      <x:c r="L2051" s="7" t="str"/>
    </x:row>
    <x:row r="2052">
      <x:c r="A2052" s="5" t="str">
        <x:v>歾</x:v>
      </x:c>
      <x:c r="B2052" s="6" t="str">
        <x:v>入</x:v>
      </x:c>
      <x:c r="C2052" s="6" t="str">
        <x:f>IF(B2052="","Needs decision","Ready")</x:f>
        <x:v>Ready</x:v>
      </x:c>
      <x:c r="D2052" s="6" t="str">
        <x:v>入</x:v>
      </x:c>
      <x:c r="E2052" s="6" t="str">
        <x:v>mwot (D)</x:v>
      </x:c>
      <x:c r="F2052" s="6" t="str"/>
      <x:c r="G2052" s="6" t="str"/>
      <x:c r="H2052" s="6" t="str">
        <x:v>1</x:v>
      </x:c>
      <x:c r="I2052" s="6" t="str"/>
      <x:c r="J2052" s="6" t="str">
        <x:f>IF(B2052="","",IF(AND(ISNUMBER(SEARCH("平",B2052)),OR(ISNUMBER(SEARCH("上",B2052)),ISNUMBER(SEARCH("去",B2052)),ISNUMBER(SEARCH("入",B2052)))),"Ambiguous",IF(ISNUMBER(SEARCH("平",B2052)),"平","仄")))</x:f>
        <x:v>仄</x:v>
      </x:c>
      <x:c r="K2052" s="6" t="str">
        <x:f>IF(D2052="","",IF(AND(ISNUMBER(SEARCH("平",D2052)),OR(ISNUMBER(SEARCH("上",D2052)),ISNUMBER(SEARCH("去",D2052)),ISNUMBER(SEARCH("入",D2052)))),"Ambiguous",IF(ISNUMBER(SEARCH("平",D2052)),"平","仄")))</x:f>
        <x:v>仄</x:v>
      </x:c>
      <x:c r="L2052" s="7" t="str"/>
    </x:row>
    <x:row r="2053">
      <x:c r="A2053" s="5" t="str">
        <x:v>歿</x:v>
      </x:c>
      <x:c r="B2053" s="6" t="str">
        <x:v>入</x:v>
      </x:c>
      <x:c r="C2053" s="6" t="str">
        <x:f>IF(B2053="","Needs decision","Ready")</x:f>
        <x:v>Ready</x:v>
      </x:c>
      <x:c r="D2053" s="6" t="str">
        <x:v>入</x:v>
      </x:c>
      <x:c r="E2053" s="6" t="str">
        <x:v>mwot (D)</x:v>
      </x:c>
      <x:c r="F2053" s="6" t="str">
        <x:v>入聲六月</x:v>
      </x:c>
      <x:c r="G2053" s="6" t="str">
        <x:v>Pingshui main list, Wikisource-derived DOCX</x:v>
      </x:c>
      <x:c r="H2053" s="6" t="str">
        <x:v>1</x:v>
      </x:c>
      <x:c r="I2053" s="6" t="str"/>
      <x:c r="J2053" s="6" t="str">
        <x:f>IF(B2053="","",IF(AND(ISNUMBER(SEARCH("平",B2053)),OR(ISNUMBER(SEARCH("上",B2053)),ISNUMBER(SEARCH("去",B2053)),ISNUMBER(SEARCH("入",B2053)))),"Ambiguous",IF(ISNUMBER(SEARCH("平",B2053)),"平","仄")))</x:f>
        <x:v>仄</x:v>
      </x:c>
      <x:c r="K2053" s="6" t="str">
        <x:f>IF(D2053="","",IF(AND(ISNUMBER(SEARCH("平",D2053)),OR(ISNUMBER(SEARCH("上",D2053)),ISNUMBER(SEARCH("去",D2053)),ISNUMBER(SEARCH("入",D2053)))),"Ambiguous",IF(ISNUMBER(SEARCH("平",D2053)),"平","仄")))</x:f>
        <x:v>仄</x:v>
      </x:c>
      <x:c r="L2053" s="7" t="str"/>
    </x:row>
    <x:row r="2054">
      <x:c r="A2054" s="5" t="str">
        <x:v>殃</x:v>
      </x:c>
      <x:c r="B2054" s="6" t="str">
        <x:v>平</x:v>
      </x:c>
      <x:c r="C2054" s="6" t="str">
        <x:f>IF(B2054="","Needs decision","Ready")</x:f>
        <x:v>Ready</x:v>
      </x:c>
      <x:c r="D2054" s="6" t="str">
        <x:v>平</x:v>
      </x:c>
      <x:c r="E2054" s="6" t="str">
        <x:v>'jang (A)</x:v>
      </x:c>
      <x:c r="F2054" s="6" t="str">
        <x:v>下平聲七陽</x:v>
      </x:c>
      <x:c r="G2054" s="6" t="str">
        <x:v>Pingshui main list, Wikisource-derived DOCX</x:v>
      </x:c>
      <x:c r="H2054" s="6" t="str">
        <x:v>1</x:v>
      </x:c>
      <x:c r="I2054" s="6" t="str"/>
      <x:c r="J2054" s="6" t="str">
        <x:f>IF(B2054="","",IF(AND(ISNUMBER(SEARCH("平",B2054)),OR(ISNUMBER(SEARCH("上",B2054)),ISNUMBER(SEARCH("去",B2054)),ISNUMBER(SEARCH("入",B2054)))),"Ambiguous",IF(ISNUMBER(SEARCH("平",B2054)),"平","仄")))</x:f>
        <x:v>平</x:v>
      </x:c>
      <x:c r="K2054" s="6" t="str">
        <x:f>IF(D2054="","",IF(AND(ISNUMBER(SEARCH("平",D2054)),OR(ISNUMBER(SEARCH("上",D2054)),ISNUMBER(SEARCH("去",D2054)),ISNUMBER(SEARCH("入",D2054)))),"Ambiguous",IF(ISNUMBER(SEARCH("平",D2054)),"平","仄")))</x:f>
        <x:v>平</x:v>
      </x:c>
      <x:c r="L2054" s="7" t="str"/>
    </x:row>
    <x:row r="2055">
      <x:c r="A2055" s="5" t="str">
        <x:v>殄</x:v>
      </x:c>
      <x:c r="B2055" s="6" t="str">
        <x:v>上</x:v>
      </x:c>
      <x:c r="C2055" s="6" t="str">
        <x:f>IF(B2055="","Needs decision","Ready")</x:f>
        <x:v>Ready</x:v>
      </x:c>
      <x:c r="D2055" s="6" t="str">
        <x:v>上</x:v>
      </x:c>
      <x:c r="E2055" s="6" t="str">
        <x:v>denX (B)</x:v>
      </x:c>
      <x:c r="F2055" s="6" t="str">
        <x:v>上聲十六銑</x:v>
      </x:c>
      <x:c r="G2055" s="6" t="str">
        <x:v>Pingshui main list, Wikisource-derived DOCX</x:v>
      </x:c>
      <x:c r="H2055" s="6" t="str">
        <x:v>1</x:v>
      </x:c>
      <x:c r="I2055" s="6" t="str"/>
      <x:c r="J2055" s="6" t="str">
        <x:f>IF(B2055="","",IF(AND(ISNUMBER(SEARCH("平",B2055)),OR(ISNUMBER(SEARCH("上",B2055)),ISNUMBER(SEARCH("去",B2055)),ISNUMBER(SEARCH("入",B2055)))),"Ambiguous",IF(ISNUMBER(SEARCH("平",B2055)),"平","仄")))</x:f>
        <x:v>仄</x:v>
      </x:c>
      <x:c r="K2055" s="6" t="str">
        <x:f>IF(D2055="","",IF(AND(ISNUMBER(SEARCH("平",D2055)),OR(ISNUMBER(SEARCH("上",D2055)),ISNUMBER(SEARCH("去",D2055)),ISNUMBER(SEARCH("入",D2055)))),"Ambiguous",IF(ISNUMBER(SEARCH("平",D2055)),"平","仄")))</x:f>
        <x:v>仄</x:v>
      </x:c>
      <x:c r="L2055" s="7" t="str"/>
    </x:row>
    <x:row r="2056">
      <x:c r="A2056" s="5" t="str">
        <x:v>殆</x:v>
      </x:c>
      <x:c r="B2056" s="6" t="str">
        <x:v>上</x:v>
      </x:c>
      <x:c r="C2056" s="6" t="str">
        <x:f>IF(B2056="","Needs decision","Ready")</x:f>
        <x:v>Ready</x:v>
      </x:c>
      <x:c r="D2056" s="6" t="str">
        <x:v>上</x:v>
      </x:c>
      <x:c r="E2056" s="6" t="str">
        <x:v>dojX (B)</x:v>
      </x:c>
      <x:c r="F2056" s="6" t="str">
        <x:v>上聲十賄</x:v>
      </x:c>
      <x:c r="G2056" s="6" t="str">
        <x:v>Pingshui main list, Wikisource-derived DOCX</x:v>
      </x:c>
      <x:c r="H2056" s="6" t="str">
        <x:v>1</x:v>
      </x:c>
      <x:c r="I2056" s="6" t="str"/>
      <x:c r="J2056" s="6" t="str">
        <x:f>IF(B2056="","",IF(AND(ISNUMBER(SEARCH("平",B2056)),OR(ISNUMBER(SEARCH("上",B2056)),ISNUMBER(SEARCH("去",B2056)),ISNUMBER(SEARCH("入",B2056)))),"Ambiguous",IF(ISNUMBER(SEARCH("平",B2056)),"平","仄")))</x:f>
        <x:v>仄</x:v>
      </x:c>
      <x:c r="K2056" s="6" t="str">
        <x:f>IF(D2056="","",IF(AND(ISNUMBER(SEARCH("平",D2056)),OR(ISNUMBER(SEARCH("上",D2056)),ISNUMBER(SEARCH("去",D2056)),ISNUMBER(SEARCH("入",D2056)))),"Ambiguous",IF(ISNUMBER(SEARCH("平",D2056)),"平","仄")))</x:f>
        <x:v>仄</x:v>
      </x:c>
      <x:c r="L2056" s="7" t="str"/>
    </x:row>
    <x:row r="2057">
      <x:c r="A2057" s="5" t="str">
        <x:v>殉</x:v>
      </x:c>
      <x:c r="B2057" s="6" t="str">
        <x:v>去</x:v>
      </x:c>
      <x:c r="C2057" s="6" t="str">
        <x:f>IF(B2057="","Needs decision","Ready")</x:f>
        <x:v>Ready</x:v>
      </x:c>
      <x:c r="D2057" s="6" t="str">
        <x:v>去</x:v>
      </x:c>
      <x:c r="E2057" s="6" t="str">
        <x:v>zwinH (C)</x:v>
      </x:c>
      <x:c r="F2057" s="6" t="str">
        <x:v>去聲十二震</x:v>
      </x:c>
      <x:c r="G2057" s="6" t="str">
        <x:v>Pingshui main list, Wikisource-derived DOCX</x:v>
      </x:c>
      <x:c r="H2057" s="6" t="str">
        <x:v>1</x:v>
      </x:c>
      <x:c r="I2057" s="6" t="str"/>
      <x:c r="J2057" s="6" t="str">
        <x:f>IF(B2057="","",IF(AND(ISNUMBER(SEARCH("平",B2057)),OR(ISNUMBER(SEARCH("上",B2057)),ISNUMBER(SEARCH("去",B2057)),ISNUMBER(SEARCH("入",B2057)))),"Ambiguous",IF(ISNUMBER(SEARCH("平",B2057)),"平","仄")))</x:f>
        <x:v>仄</x:v>
      </x:c>
      <x:c r="K2057" s="6" t="str">
        <x:f>IF(D2057="","",IF(AND(ISNUMBER(SEARCH("平",D2057)),OR(ISNUMBER(SEARCH("上",D2057)),ISNUMBER(SEARCH("去",D2057)),ISNUMBER(SEARCH("入",D2057)))),"Ambiguous",IF(ISNUMBER(SEARCH("平",D2057)),"平","仄")))</x:f>
        <x:v>仄</x:v>
      </x:c>
      <x:c r="L2057" s="7" t="str"/>
    </x:row>
    <x:row r="2058">
      <x:c r="A2058" s="5" t="str">
        <x:v>殊</x:v>
      </x:c>
      <x:c r="B2058" s="6" t="str">
        <x:v>平</x:v>
      </x:c>
      <x:c r="C2058" s="6" t="str">
        <x:f>IF(B2058="","Needs decision","Ready")</x:f>
        <x:v>Ready</x:v>
      </x:c>
      <x:c r="D2058" s="6" t="str">
        <x:v>平</x:v>
      </x:c>
      <x:c r="E2058" s="6" t="str">
        <x:v>dzyu (A)</x:v>
      </x:c>
      <x:c r="F2058" s="6" t="str">
        <x:v>上平聲七虞</x:v>
      </x:c>
      <x:c r="G2058" s="6" t="str">
        <x:v>Pingshui main list, Wikisource-derived DOCX</x:v>
      </x:c>
      <x:c r="H2058" s="6" t="str">
        <x:v>1</x:v>
      </x:c>
      <x:c r="I2058" s="6" t="str"/>
      <x:c r="J2058" s="6" t="str">
        <x:f>IF(B2058="","",IF(AND(ISNUMBER(SEARCH("平",B2058)),OR(ISNUMBER(SEARCH("上",B2058)),ISNUMBER(SEARCH("去",B2058)),ISNUMBER(SEARCH("入",B2058)))),"Ambiguous",IF(ISNUMBER(SEARCH("平",B2058)),"平","仄")))</x:f>
        <x:v>平</x:v>
      </x:c>
      <x:c r="K2058" s="6" t="str">
        <x:f>IF(D2058="","",IF(AND(ISNUMBER(SEARCH("平",D2058)),OR(ISNUMBER(SEARCH("上",D2058)),ISNUMBER(SEARCH("去",D2058)),ISNUMBER(SEARCH("入",D2058)))),"Ambiguous",IF(ISNUMBER(SEARCH("平",D2058)),"平","仄")))</x:f>
        <x:v>平</x:v>
      </x:c>
      <x:c r="L2058" s="7" t="str"/>
    </x:row>
    <x:row r="2059">
      <x:c r="A2059" s="5" t="str">
        <x:v>殖</x:v>
      </x:c>
      <x:c r="B2059" s="6" t="str">
        <x:v>入</x:v>
      </x:c>
      <x:c r="C2059" s="6" t="str">
        <x:f>IF(B2059="","Needs decision","Ready")</x:f>
        <x:v>Ready</x:v>
      </x:c>
      <x:c r="D2059" s="6" t="str">
        <x:v>入</x:v>
      </x:c>
      <x:c r="E2059" s="6" t="str">
        <x:v>dzyik (D)</x:v>
      </x:c>
      <x:c r="F2059" s="6" t="str">
        <x:v>入聲十三職</x:v>
      </x:c>
      <x:c r="G2059" s="6" t="str">
        <x:v>Pingshui main list, Wikisource-derived DOCX</x:v>
      </x:c>
      <x:c r="H2059" s="6" t="str">
        <x:v>1</x:v>
      </x:c>
      <x:c r="I2059" s="6" t="str"/>
      <x:c r="J2059" s="6" t="str">
        <x:f>IF(B2059="","",IF(AND(ISNUMBER(SEARCH("平",B2059)),OR(ISNUMBER(SEARCH("上",B2059)),ISNUMBER(SEARCH("去",B2059)),ISNUMBER(SEARCH("入",B2059)))),"Ambiguous",IF(ISNUMBER(SEARCH("平",B2059)),"平","仄")))</x:f>
        <x:v>仄</x:v>
      </x:c>
      <x:c r="K2059" s="6" t="str">
        <x:f>IF(D2059="","",IF(AND(ISNUMBER(SEARCH("平",D2059)),OR(ISNUMBER(SEARCH("上",D2059)),ISNUMBER(SEARCH("去",D2059)),ISNUMBER(SEARCH("入",D2059)))),"Ambiguous",IF(ISNUMBER(SEARCH("平",D2059)),"平","仄")))</x:f>
        <x:v>仄</x:v>
      </x:c>
      <x:c r="L2059" s="7" t="str"/>
    </x:row>
    <x:row r="2060">
      <x:c r="A2060" s="5" t="str">
        <x:v>殘</x:v>
      </x:c>
      <x:c r="B2060" s="6" t="str">
        <x:v>平</x:v>
      </x:c>
      <x:c r="C2060" s="6" t="str">
        <x:f>IF(B2060="","Needs decision","Ready")</x:f>
        <x:v>Ready</x:v>
      </x:c>
      <x:c r="D2060" s="6" t="str">
        <x:v>平</x:v>
      </x:c>
      <x:c r="E2060" s="6" t="str">
        <x:v>dzan (A)</x:v>
      </x:c>
      <x:c r="F2060" s="6" t="str">
        <x:v>上平聲十四寒</x:v>
      </x:c>
      <x:c r="G2060" s="6" t="str">
        <x:v>Pingshui main list, Wikisource-derived DOCX</x:v>
      </x:c>
      <x:c r="H2060" s="6" t="str">
        <x:v>1</x:v>
      </x:c>
      <x:c r="I2060" s="6" t="str"/>
      <x:c r="J2060" s="6" t="str">
        <x:f>IF(B2060="","",IF(AND(ISNUMBER(SEARCH("平",B2060)),OR(ISNUMBER(SEARCH("上",B2060)),ISNUMBER(SEARCH("去",B2060)),ISNUMBER(SEARCH("入",B2060)))),"Ambiguous",IF(ISNUMBER(SEARCH("平",B2060)),"平","仄")))</x:f>
        <x:v>平</x:v>
      </x:c>
      <x:c r="K2060" s="6" t="str">
        <x:f>IF(D2060="","",IF(AND(ISNUMBER(SEARCH("平",D2060)),OR(ISNUMBER(SEARCH("上",D2060)),ISNUMBER(SEARCH("去",D2060)),ISNUMBER(SEARCH("入",D2060)))),"Ambiguous",IF(ISNUMBER(SEARCH("平",D2060)),"平","仄")))</x:f>
        <x:v>平</x:v>
      </x:c>
      <x:c r="L2060" s="7" t="str"/>
    </x:row>
    <x:row r="2061">
      <x:c r="A2061" s="5" t="str">
        <x:v>殞</x:v>
      </x:c>
      <x:c r="B2061" s="6" t="str">
        <x:v>上</x:v>
      </x:c>
      <x:c r="C2061" s="6" t="str">
        <x:f>IF(B2061="","Needs decision","Ready")</x:f>
        <x:v>Ready</x:v>
      </x:c>
      <x:c r="D2061" s="6" t="str">
        <x:v>上</x:v>
      </x:c>
      <x:c r="E2061" s="6" t="str">
        <x:v>hwinX [wɨ̯inʔ] (上)</x:v>
      </x:c>
      <x:c r="F2061" s="6" t="str">
        <x:v>上聲十一軫</x:v>
      </x:c>
      <x:c r="G2061" s="6" t="str">
        <x:v>Pingshui main list, Wikisource-derived DOCX</x:v>
      </x:c>
      <x:c r="H2061" s="6" t="str">
        <x:v>1</x:v>
      </x:c>
      <x:c r="I2061" s="6" t="str">
        <x:v>Tang 300 gap; frequency 1; provisional from Xun Gong</x:v>
      </x:c>
      <x:c r="J2061" s="6" t="str">
        <x:f>IF(B2061="","",IF(AND(ISNUMBER(SEARCH("平",B2061)),OR(ISNUMBER(SEARCH("上",B2061)),ISNUMBER(SEARCH("去",B2061)),ISNUMBER(SEARCH("入",B2061)))),"Ambiguous",IF(ISNUMBER(SEARCH("平",B2061)),"平","仄")))</x:f>
        <x:v>仄</x:v>
      </x:c>
      <x:c r="K2061" s="6" t="str">
        <x:f>IF(D2061="","",IF(AND(ISNUMBER(SEARCH("平",D2061)),OR(ISNUMBER(SEARCH("上",D2061)),ISNUMBER(SEARCH("去",D2061)),ISNUMBER(SEARCH("入",D2061)))),"Ambiguous",IF(ISNUMBER(SEARCH("平",D2061)),"平","仄")))</x:f>
        <x:v>仄</x:v>
      </x:c>
      <x:c r="L2061" s="7" t="str">
        <x:v>Xun Gong, Tang 300 gap fill</x:v>
      </x:c>
    </x:row>
    <x:row r="2062">
      <x:c r="A2062" s="5" t="str">
        <x:v>殣</x:v>
      </x:c>
      <x:c r="B2062" s="6" t="str">
        <x:v>去</x:v>
      </x:c>
      <x:c r="C2062" s="6" t="str">
        <x:f>IF(B2062="","Needs decision","Ready")</x:f>
        <x:v>Ready</x:v>
      </x:c>
      <x:c r="D2062" s="6" t="str">
        <x:v>去</x:v>
      </x:c>
      <x:c r="E2062" s="6" t="str">
        <x:v>ginH (C)</x:v>
      </x:c>
      <x:c r="F2062" s="6" t="str">
        <x:v>去聲十二震</x:v>
      </x:c>
      <x:c r="G2062" s="6" t="str">
        <x:v>Pingshui main list, Wikisource-derived DOCX</x:v>
      </x:c>
      <x:c r="H2062" s="6" t="str">
        <x:v>1</x:v>
      </x:c>
      <x:c r="I2062" s="6" t="str"/>
      <x:c r="J2062" s="6" t="str">
        <x:f>IF(B2062="","",IF(AND(ISNUMBER(SEARCH("平",B2062)),OR(ISNUMBER(SEARCH("上",B2062)),ISNUMBER(SEARCH("去",B2062)),ISNUMBER(SEARCH("入",B2062)))),"Ambiguous",IF(ISNUMBER(SEARCH("平",B2062)),"平","仄")))</x:f>
        <x:v>仄</x:v>
      </x:c>
      <x:c r="K2062" s="6" t="str">
        <x:f>IF(D2062="","",IF(AND(ISNUMBER(SEARCH("平",D2062)),OR(ISNUMBER(SEARCH("上",D2062)),ISNUMBER(SEARCH("去",D2062)),ISNUMBER(SEARCH("入",D2062)))),"Ambiguous",IF(ISNUMBER(SEARCH("平",D2062)),"平","仄")))</x:f>
        <x:v>仄</x:v>
      </x:c>
      <x:c r="L2062" s="7" t="str"/>
    </x:row>
    <x:row r="2063">
      <x:c r="A2063" s="5" t="str">
        <x:v>殲</x:v>
      </x:c>
      <x:c r="B2063" s="6" t="str">
        <x:v>平</x:v>
      </x:c>
      <x:c r="C2063" s="6" t="str">
        <x:f>IF(B2063="","Needs decision","Ready")</x:f>
        <x:v>Ready</x:v>
      </x:c>
      <x:c r="D2063" s="6" t="str">
        <x:v>平</x:v>
      </x:c>
      <x:c r="E2063" s="6" t="str">
        <x:v>tsjem [tsjem] (平)</x:v>
      </x:c>
      <x:c r="F2063" s="6" t="str">
        <x:v>下平聲十四鹽</x:v>
      </x:c>
      <x:c r="G2063" s="6" t="str">
        <x:v>Pingshui main list, Wikisource-derived DOCX</x:v>
      </x:c>
      <x:c r="H2063" s="6" t="str">
        <x:v>1</x:v>
      </x:c>
      <x:c r="I2063" s="6" t="str">
        <x:v>Tang 300 gap; frequency 1; provisional from Xun Gong</x:v>
      </x:c>
      <x:c r="J2063" s="6" t="str">
        <x:f>IF(B2063="","",IF(AND(ISNUMBER(SEARCH("平",B2063)),OR(ISNUMBER(SEARCH("上",B2063)),ISNUMBER(SEARCH("去",B2063)),ISNUMBER(SEARCH("入",B2063)))),"Ambiguous",IF(ISNUMBER(SEARCH("平",B2063)),"平","仄")))</x:f>
        <x:v>平</x:v>
      </x:c>
      <x:c r="K2063" s="6" t="str">
        <x:f>IF(D2063="","",IF(AND(ISNUMBER(SEARCH("平",D2063)),OR(ISNUMBER(SEARCH("上",D2063)),ISNUMBER(SEARCH("去",D2063)),ISNUMBER(SEARCH("入",D2063)))),"Ambiguous",IF(ISNUMBER(SEARCH("平",D2063)),"平","仄")))</x:f>
        <x:v>平</x:v>
      </x:c>
      <x:c r="L2063" s="7" t="str">
        <x:v>Xun Gong, Tang 300 gap fill</x:v>
      </x:c>
    </x:row>
    <x:row r="2064">
      <x:c r="A2064" s="5" t="str">
        <x:v>殳</x:v>
      </x:c>
      <x:c r="B2064" s="6" t="str">
        <x:v>平</x:v>
      </x:c>
      <x:c r="C2064" s="6" t="str">
        <x:f>IF(B2064="","Needs decision","Ready")</x:f>
        <x:v>Ready</x:v>
      </x:c>
      <x:c r="D2064" s="6" t="str">
        <x:v>平</x:v>
      </x:c>
      <x:c r="E2064" s="6" t="str">
        <x:v>dzyu (A)</x:v>
      </x:c>
      <x:c r="F2064" s="6" t="str">
        <x:v>上平聲七虞</x:v>
      </x:c>
      <x:c r="G2064" s="6" t="str">
        <x:v>Pingshui main list, Wikisource-derived DOCX</x:v>
      </x:c>
      <x:c r="H2064" s="6" t="str">
        <x:v>1</x:v>
      </x:c>
      <x:c r="I2064" s="6" t="str"/>
      <x:c r="J2064" s="6" t="str">
        <x:f>IF(B2064="","",IF(AND(ISNUMBER(SEARCH("平",B2064)),OR(ISNUMBER(SEARCH("上",B2064)),ISNUMBER(SEARCH("去",B2064)),ISNUMBER(SEARCH("入",B2064)))),"Ambiguous",IF(ISNUMBER(SEARCH("平",B2064)),"平","仄")))</x:f>
        <x:v>平</x:v>
      </x:c>
      <x:c r="K2064" s="6" t="str">
        <x:f>IF(D2064="","",IF(AND(ISNUMBER(SEARCH("平",D2064)),OR(ISNUMBER(SEARCH("上",D2064)),ISNUMBER(SEARCH("去",D2064)),ISNUMBER(SEARCH("入",D2064)))),"Ambiguous",IF(ISNUMBER(SEARCH("平",D2064)),"平","仄")))</x:f>
        <x:v>平</x:v>
      </x:c>
      <x:c r="L2064" s="7" t="str"/>
    </x:row>
    <x:row r="2065">
      <x:c r="A2065" s="5" t="str">
        <x:v>段</x:v>
      </x:c>
      <x:c r="B2065" s="6" t="str">
        <x:v>去</x:v>
      </x:c>
      <x:c r="C2065" s="6" t="str">
        <x:f>IF(B2065="","Needs decision","Ready")</x:f>
        <x:v>Ready</x:v>
      </x:c>
      <x:c r="D2065" s="6" t="str">
        <x:v>去</x:v>
      </x:c>
      <x:c r="E2065" s="6" t="str">
        <x:v>twanH (C)</x:v>
      </x:c>
      <x:c r="F2065" s="6" t="str">
        <x:v>去聲十五翰</x:v>
      </x:c>
      <x:c r="G2065" s="6" t="str">
        <x:v>Pingshui main list, Wikisource-derived DOCX</x:v>
      </x:c>
      <x:c r="H2065" s="6" t="str">
        <x:v>1</x:v>
      </x:c>
      <x:c r="I2065" s="6" t="str"/>
      <x:c r="J2065" s="6" t="str">
        <x:f>IF(B2065="","",IF(AND(ISNUMBER(SEARCH("平",B2065)),OR(ISNUMBER(SEARCH("上",B2065)),ISNUMBER(SEARCH("去",B2065)),ISNUMBER(SEARCH("入",B2065)))),"Ambiguous",IF(ISNUMBER(SEARCH("平",B2065)),"平","仄")))</x:f>
        <x:v>仄</x:v>
      </x:c>
      <x:c r="K2065" s="6" t="str">
        <x:f>IF(D2065="","",IF(AND(ISNUMBER(SEARCH("平",D2065)),OR(ISNUMBER(SEARCH("上",D2065)),ISNUMBER(SEARCH("去",D2065)),ISNUMBER(SEARCH("入",D2065)))),"Ambiguous",IF(ISNUMBER(SEARCH("平",D2065)),"平","仄")))</x:f>
        <x:v>仄</x:v>
      </x:c>
      <x:c r="L2065" s="7" t="str"/>
    </x:row>
    <x:row r="2066">
      <x:c r="A2066" s="5" t="str">
        <x:v>殷</x:v>
      </x:c>
      <x:c r="B2066" s="6" t="str">
        <x:v>平</x:v>
      </x:c>
      <x:c r="C2066" s="6" t="str">
        <x:f>IF(B2066="","Needs decision","Ready")</x:f>
        <x:v>Ready</x:v>
      </x:c>
      <x:c r="D2066" s="6" t="str">
        <x:v>平</x:v>
      </x:c>
      <x:c r="E2066" s="6" t="str">
        <x:v>'ean (A); 'j+n (A)</x:v>
      </x:c>
      <x:c r="F2066" s="6" t="str">
        <x:v>上平聲十二文; 上平聲十五刪; 上聲十二吻</x:v>
      </x:c>
      <x:c r="G2066" s="6" t="str">
        <x:v>Pingshui main list, Wikisource-derived DOCX</x:v>
      </x:c>
      <x:c r="H2066" s="6" t="str">
        <x:v>2</x:v>
      </x:c>
      <x:c r="I2066" s="6" t="str"/>
      <x:c r="J2066" s="6" t="str">
        <x:f>IF(B2066="","",IF(AND(ISNUMBER(SEARCH("平",B2066)),OR(ISNUMBER(SEARCH("上",B2066)),ISNUMBER(SEARCH("去",B2066)),ISNUMBER(SEARCH("入",B2066)))),"Ambiguous",IF(ISNUMBER(SEARCH("平",B2066)),"平","仄")))</x:f>
        <x:v>平</x:v>
      </x:c>
      <x:c r="K2066" s="6" t="str">
        <x:f>IF(D2066="","",IF(AND(ISNUMBER(SEARCH("平",D2066)),OR(ISNUMBER(SEARCH("上",D2066)),ISNUMBER(SEARCH("去",D2066)),ISNUMBER(SEARCH("入",D2066)))),"Ambiguous",IF(ISNUMBER(SEARCH("平",D2066)),"平","仄")))</x:f>
        <x:v>平</x:v>
      </x:c>
      <x:c r="L2066" s="7" t="str"/>
    </x:row>
    <x:row r="2067">
      <x:c r="A2067" s="5" t="str">
        <x:v>殸</x:v>
      </x:c>
      <x:c r="B2067" s="6" t="str">
        <x:v>去</x:v>
      </x:c>
      <x:c r="C2067" s="6" t="str">
        <x:f>IF(B2067="","Needs decision","Ready")</x:f>
        <x:v>Ready</x:v>
      </x:c>
      <x:c r="D2067" s="6" t="str">
        <x:v>去</x:v>
      </x:c>
      <x:c r="E2067" s="6" t="str">
        <x:v>khengH (C)</x:v>
      </x:c>
      <x:c r="F2067" s="6" t="str"/>
      <x:c r="G2067" s="6" t="str"/>
      <x:c r="H2067" s="6" t="str">
        <x:v>1</x:v>
      </x:c>
      <x:c r="I2067" s="6" t="str"/>
      <x:c r="J2067" s="6" t="str">
        <x:f>IF(B2067="","",IF(AND(ISNUMBER(SEARCH("平",B2067)),OR(ISNUMBER(SEARCH("上",B2067)),ISNUMBER(SEARCH("去",B2067)),ISNUMBER(SEARCH("入",B2067)))),"Ambiguous",IF(ISNUMBER(SEARCH("平",B2067)),"平","仄")))</x:f>
        <x:v>仄</x:v>
      </x:c>
      <x:c r="K2067" s="6" t="str">
        <x:f>IF(D2067="","",IF(AND(ISNUMBER(SEARCH("平",D2067)),OR(ISNUMBER(SEARCH("上",D2067)),ISNUMBER(SEARCH("去",D2067)),ISNUMBER(SEARCH("入",D2067)))),"Ambiguous",IF(ISNUMBER(SEARCH("平",D2067)),"平","仄")))</x:f>
        <x:v>仄</x:v>
      </x:c>
      <x:c r="L2067" s="7" t="str"/>
    </x:row>
    <x:row r="2068">
      <x:c r="A2068" s="5" t="str">
        <x:v>殺</x:v>
      </x:c>
      <x:c r="B2068" s="6" t="str">
        <x:v>入</x:v>
      </x:c>
      <x:c r="C2068" s="6" t="str">
        <x:f>IF(B2068="","Needs decision","Ready")</x:f>
        <x:v>Ready</x:v>
      </x:c>
      <x:c r="D2068" s="6" t="str">
        <x:v>去/入</x:v>
      </x:c>
      <x:c r="E2068" s="6" t="str">
        <x:v>sreat (D); sreajH (C)</x:v>
      </x:c>
      <x:c r="F2068" s="6" t="str">
        <x:v>去聲十卦; 入聲八黠</x:v>
      </x:c>
      <x:c r="G2068" s="6" t="str">
        <x:v>Pingshui main list, Wikisource-derived DOCX</x:v>
      </x:c>
      <x:c r="H2068" s="6" t="str">
        <x:v>2</x:v>
      </x:c>
      <x:c r="I2068" s="6" t="str"/>
      <x:c r="J2068" s="6" t="str">
        <x:f>IF(B2068="","",IF(AND(ISNUMBER(SEARCH("平",B2068)),OR(ISNUMBER(SEARCH("上",B2068)),ISNUMBER(SEARCH("去",B2068)),ISNUMBER(SEARCH("入",B2068)))),"Ambiguous",IF(ISNUMBER(SEARCH("平",B2068)),"平","仄")))</x:f>
        <x:v>仄</x:v>
      </x:c>
      <x:c r="K2068" s="6" t="str">
        <x:f>IF(D2068="","",IF(AND(ISNUMBER(SEARCH("平",D2068)),OR(ISNUMBER(SEARCH("上",D2068)),ISNUMBER(SEARCH("去",D2068)),ISNUMBER(SEARCH("入",D2068)))),"Ambiguous",IF(ISNUMBER(SEARCH("平",D2068)),"平","仄")))</x:f>
        <x:v>仄</x:v>
      </x:c>
      <x:c r="L2068" s="7" t="str"/>
    </x:row>
    <x:row r="2069">
      <x:c r="A2069" s="5" t="str">
        <x:v>殼</x:v>
      </x:c>
      <x:c r="B2069" s="6" t="str">
        <x:v>入</x:v>
      </x:c>
      <x:c r="C2069" s="6" t="str">
        <x:f>IF(B2069="","Needs decision","Ready")</x:f>
        <x:v>Ready</x:v>
      </x:c>
      <x:c r="D2069" s="6" t="str">
        <x:v>入</x:v>
      </x:c>
      <x:c r="E2069" s="6" t="str">
        <x:v>khaewk (D)</x:v>
      </x:c>
      <x:c r="F2069" s="6" t="str">
        <x:v>入聲三覺</x:v>
      </x:c>
      <x:c r="G2069" s="6" t="str">
        <x:v>Pingshui main list, Wikisource-derived DOCX</x:v>
      </x:c>
      <x:c r="H2069" s="6" t="str">
        <x:v>1</x:v>
      </x:c>
      <x:c r="I2069" s="6" t="str"/>
      <x:c r="J2069" s="6" t="str">
        <x:f>IF(B2069="","",IF(AND(ISNUMBER(SEARCH("平",B2069)),OR(ISNUMBER(SEARCH("上",B2069)),ISNUMBER(SEARCH("去",B2069)),ISNUMBER(SEARCH("入",B2069)))),"Ambiguous",IF(ISNUMBER(SEARCH("平",B2069)),"平","仄")))</x:f>
        <x:v>仄</x:v>
      </x:c>
      <x:c r="K2069" s="6" t="str">
        <x:f>IF(D2069="","",IF(AND(ISNUMBER(SEARCH("平",D2069)),OR(ISNUMBER(SEARCH("上",D2069)),ISNUMBER(SEARCH("去",D2069)),ISNUMBER(SEARCH("入",D2069)))),"Ambiguous",IF(ISNUMBER(SEARCH("平",D2069)),"平","仄")))</x:f>
        <x:v>仄</x:v>
      </x:c>
      <x:c r="L2069" s="7" t="str"/>
    </x:row>
    <x:row r="2070">
      <x:c r="A2070" s="5" t="str">
        <x:v>殿</x:v>
      </x:c>
      <x:c r="B2070" s="6" t="str">
        <x:v>去</x:v>
      </x:c>
      <x:c r="C2070" s="6" t="str">
        <x:f>IF(B2070="","Needs decision","Ready")</x:f>
        <x:v>Ready</x:v>
      </x:c>
      <x:c r="D2070" s="6" t="str">
        <x:v>去</x:v>
      </x:c>
      <x:c r="E2070" s="6" t="str">
        <x:v>denH (C); tenH (C)</x:v>
      </x:c>
      <x:c r="F2070" s="6" t="str">
        <x:v>去聲十七霰</x:v>
      </x:c>
      <x:c r="G2070" s="6" t="str">
        <x:v>Pingshui main list, Wikisource-derived DOCX</x:v>
      </x:c>
      <x:c r="H2070" s="6" t="str">
        <x:v>2</x:v>
      </x:c>
      <x:c r="I2070" s="6" t="str"/>
      <x:c r="J2070" s="6" t="str">
        <x:f>IF(B2070="","",IF(AND(ISNUMBER(SEARCH("平",B2070)),OR(ISNUMBER(SEARCH("上",B2070)),ISNUMBER(SEARCH("去",B2070)),ISNUMBER(SEARCH("入",B2070)))),"Ambiguous",IF(ISNUMBER(SEARCH("平",B2070)),"平","仄")))</x:f>
        <x:v>仄</x:v>
      </x:c>
      <x:c r="K2070" s="6" t="str">
        <x:f>IF(D2070="","",IF(AND(ISNUMBER(SEARCH("平",D2070)),OR(ISNUMBER(SEARCH("上",D2070)),ISNUMBER(SEARCH("去",D2070)),ISNUMBER(SEARCH("入",D2070)))),"Ambiguous",IF(ISNUMBER(SEARCH("平",D2070)),"平","仄")))</x:f>
        <x:v>仄</x:v>
      </x:c>
      <x:c r="L2070" s="7" t="str"/>
    </x:row>
    <x:row r="2071">
      <x:c r="A2071" s="5" t="str">
        <x:v>毀</x:v>
      </x:c>
      <x:c r="B2071" s="6" t="str">
        <x:v>上</x:v>
      </x:c>
      <x:c r="C2071" s="6" t="str">
        <x:f>IF(B2071="","Needs decision","Ready")</x:f>
        <x:v>Ready</x:v>
      </x:c>
      <x:c r="D2071" s="6" t="str">
        <x:v>上</x:v>
      </x:c>
      <x:c r="E2071" s="6" t="str">
        <x:v>xjweX (B)</x:v>
      </x:c>
      <x:c r="F2071" s="6" t="str">
        <x:v>上聲四紙</x:v>
      </x:c>
      <x:c r="G2071" s="6" t="str">
        <x:v>Pingshui main list, Wikisource-derived DOCX</x:v>
      </x:c>
      <x:c r="H2071" s="6" t="str">
        <x:v>1</x:v>
      </x:c>
      <x:c r="I2071" s="6" t="str"/>
      <x:c r="J2071" s="6" t="str">
        <x:f>IF(B2071="","",IF(AND(ISNUMBER(SEARCH("平",B2071)),OR(ISNUMBER(SEARCH("上",B2071)),ISNUMBER(SEARCH("去",B2071)),ISNUMBER(SEARCH("入",B2071)))),"Ambiguous",IF(ISNUMBER(SEARCH("平",B2071)),"平","仄")))</x:f>
        <x:v>仄</x:v>
      </x:c>
      <x:c r="K2071" s="6" t="str">
        <x:f>IF(D2071="","",IF(AND(ISNUMBER(SEARCH("平",D2071)),OR(ISNUMBER(SEARCH("上",D2071)),ISNUMBER(SEARCH("去",D2071)),ISNUMBER(SEARCH("入",D2071)))),"Ambiguous",IF(ISNUMBER(SEARCH("平",D2071)),"平","仄")))</x:f>
        <x:v>仄</x:v>
      </x:c>
      <x:c r="L2071" s="7" t="str"/>
    </x:row>
    <x:row r="2072">
      <x:c r="A2072" s="5" t="str">
        <x:v>毅</x:v>
      </x:c>
      <x:c r="B2072" s="6" t="str">
        <x:v>去</x:v>
      </x:c>
      <x:c r="C2072" s="6" t="str">
        <x:f>IF(B2072="","Needs decision","Ready")</x:f>
        <x:v>Ready</x:v>
      </x:c>
      <x:c r="D2072" s="6" t="str">
        <x:v>去</x:v>
      </x:c>
      <x:c r="E2072" s="6" t="str">
        <x:v>ngj+jH (C)</x:v>
      </x:c>
      <x:c r="F2072" s="6" t="str">
        <x:v>去聲五未</x:v>
      </x:c>
      <x:c r="G2072" s="6" t="str">
        <x:v>Pingshui main list, Wikisource-derived DOCX</x:v>
      </x:c>
      <x:c r="H2072" s="6" t="str">
        <x:v>1</x:v>
      </x:c>
      <x:c r="I2072" s="6" t="str"/>
      <x:c r="J2072" s="6" t="str">
        <x:f>IF(B2072="","",IF(AND(ISNUMBER(SEARCH("平",B2072)),OR(ISNUMBER(SEARCH("上",B2072)),ISNUMBER(SEARCH("去",B2072)),ISNUMBER(SEARCH("入",B2072)))),"Ambiguous",IF(ISNUMBER(SEARCH("平",B2072)),"平","仄")))</x:f>
        <x:v>仄</x:v>
      </x:c>
      <x:c r="K2072" s="6" t="str">
        <x:f>IF(D2072="","",IF(AND(ISNUMBER(SEARCH("平",D2072)),OR(ISNUMBER(SEARCH("上",D2072)),ISNUMBER(SEARCH("去",D2072)),ISNUMBER(SEARCH("入",D2072)))),"Ambiguous",IF(ISNUMBER(SEARCH("平",D2072)),"平","仄")))</x:f>
        <x:v>仄</x:v>
      </x:c>
      <x:c r="L2072" s="7" t="str"/>
    </x:row>
    <x:row r="2073">
      <x:c r="A2073" s="5" t="str">
        <x:v>毋</x:v>
      </x:c>
      <x:c r="B2073" s="6" t="str">
        <x:v>平</x:v>
      </x:c>
      <x:c r="C2073" s="6" t="str">
        <x:f>IF(B2073="","Needs decision","Ready")</x:f>
        <x:v>Ready</x:v>
      </x:c>
      <x:c r="D2073" s="6" t="str">
        <x:v>平</x:v>
      </x:c>
      <x:c r="E2073" s="6" t="str">
        <x:v>mju (A)</x:v>
      </x:c>
      <x:c r="F2073" s="6" t="str">
        <x:v>上平聲七虞</x:v>
      </x:c>
      <x:c r="G2073" s="6" t="str">
        <x:v>Pingshui main list, Wikisource-derived DOCX</x:v>
      </x:c>
      <x:c r="H2073" s="6" t="str">
        <x:v>1</x:v>
      </x:c>
      <x:c r="I2073" s="6" t="str"/>
      <x:c r="J2073" s="6" t="str">
        <x:f>IF(B2073="","",IF(AND(ISNUMBER(SEARCH("平",B2073)),OR(ISNUMBER(SEARCH("上",B2073)),ISNUMBER(SEARCH("去",B2073)),ISNUMBER(SEARCH("入",B2073)))),"Ambiguous",IF(ISNUMBER(SEARCH("平",B2073)),"平","仄")))</x:f>
        <x:v>平</x:v>
      </x:c>
      <x:c r="K2073" s="6" t="str">
        <x:f>IF(D2073="","",IF(AND(ISNUMBER(SEARCH("平",D2073)),OR(ISNUMBER(SEARCH("上",D2073)),ISNUMBER(SEARCH("去",D2073)),ISNUMBER(SEARCH("入",D2073)))),"Ambiguous",IF(ISNUMBER(SEARCH("平",D2073)),"平","仄")))</x:f>
        <x:v>平</x:v>
      </x:c>
      <x:c r="L2073" s="7" t="str"/>
    </x:row>
    <x:row r="2074">
      <x:c r="A2074" s="5" t="str">
        <x:v>母</x:v>
      </x:c>
      <x:c r="B2074" s="6" t="str">
        <x:v>上</x:v>
      </x:c>
      <x:c r="C2074" s="6" t="str">
        <x:f>IF(B2074="","Needs decision","Ready")</x:f>
        <x:v>Ready</x:v>
      </x:c>
      <x:c r="D2074" s="6" t="str">
        <x:v>上</x:v>
      </x:c>
      <x:c r="E2074" s="6" t="str">
        <x:v>muwX (B)</x:v>
      </x:c>
      <x:c r="F2074" s="6" t="str">
        <x:v>上平聲七虞; 上聲二十五有</x:v>
      </x:c>
      <x:c r="G2074" s="6" t="str">
        <x:v>Pingshui main list, Wikisource-derived DOCX</x:v>
      </x:c>
      <x:c r="H2074" s="6" t="str">
        <x:v>1</x:v>
      </x:c>
      <x:c r="I2074" s="6" t="str"/>
      <x:c r="J2074" s="6" t="str">
        <x:f>IF(B2074="","",IF(AND(ISNUMBER(SEARCH("平",B2074)),OR(ISNUMBER(SEARCH("上",B2074)),ISNUMBER(SEARCH("去",B2074)),ISNUMBER(SEARCH("入",B2074)))),"Ambiguous",IF(ISNUMBER(SEARCH("平",B2074)),"平","仄")))</x:f>
        <x:v>仄</x:v>
      </x:c>
      <x:c r="K2074" s="6" t="str">
        <x:f>IF(D2074="","",IF(AND(ISNUMBER(SEARCH("平",D2074)),OR(ISNUMBER(SEARCH("上",D2074)),ISNUMBER(SEARCH("去",D2074)),ISNUMBER(SEARCH("入",D2074)))),"Ambiguous",IF(ISNUMBER(SEARCH("平",D2074)),"平","仄")))</x:f>
        <x:v>仄</x:v>
      </x:c>
      <x:c r="L2074" s="7" t="str"/>
    </x:row>
    <x:row r="2075">
      <x:c r="A2075" s="5" t="str">
        <x:v>每</x:v>
      </x:c>
      <x:c r="B2075" s="6" t="str">
        <x:v>上</x:v>
      </x:c>
      <x:c r="C2075" s="6" t="str">
        <x:f>IF(B2075="","Needs decision","Ready")</x:f>
        <x:v>Ready</x:v>
      </x:c>
      <x:c r="D2075" s="6" t="str">
        <x:v>上</x:v>
      </x:c>
      <x:c r="E2075" s="6" t="str">
        <x:v>mwojX (B)</x:v>
      </x:c>
      <x:c r="F2075" s="6" t="str">
        <x:v>上聲七麌; 上聲十賄</x:v>
      </x:c>
      <x:c r="G2075" s="6" t="str">
        <x:v>Pingshui main list, Wikisource-derived DOCX</x:v>
      </x:c>
      <x:c r="H2075" s="6" t="str">
        <x:v>1</x:v>
      </x:c>
      <x:c r="I2075" s="6" t="str"/>
      <x:c r="J2075" s="6" t="str">
        <x:f>IF(B2075="","",IF(AND(ISNUMBER(SEARCH("平",B2075)),OR(ISNUMBER(SEARCH("上",B2075)),ISNUMBER(SEARCH("去",B2075)),ISNUMBER(SEARCH("入",B2075)))),"Ambiguous",IF(ISNUMBER(SEARCH("平",B2075)),"平","仄")))</x:f>
        <x:v>仄</x:v>
      </x:c>
      <x:c r="K2075" s="6" t="str">
        <x:f>IF(D2075="","",IF(AND(ISNUMBER(SEARCH("平",D2075)),OR(ISNUMBER(SEARCH("上",D2075)),ISNUMBER(SEARCH("去",D2075)),ISNUMBER(SEARCH("入",D2075)))),"Ambiguous",IF(ISNUMBER(SEARCH("平",D2075)),"平","仄")))</x:f>
        <x:v>仄</x:v>
      </x:c>
      <x:c r="L2075" s="7" t="str"/>
    </x:row>
    <x:row r="2076">
      <x:c r="A2076" s="5" t="str">
        <x:v>毒</x:v>
      </x:c>
      <x:c r="B2076" s="6" t="str">
        <x:v>入</x:v>
      </x:c>
      <x:c r="C2076" s="6" t="str">
        <x:f>IF(B2076="","Needs decision","Ready")</x:f>
        <x:v>Ready</x:v>
      </x:c>
      <x:c r="D2076" s="6" t="str">
        <x:v>入</x:v>
      </x:c>
      <x:c r="E2076" s="6" t="str">
        <x:v>dowk (D)</x:v>
      </x:c>
      <x:c r="F2076" s="6" t="str">
        <x:v>入聲二沃</x:v>
      </x:c>
      <x:c r="G2076" s="6" t="str">
        <x:v>Pingshui main list, Wikisource-derived DOCX</x:v>
      </x:c>
      <x:c r="H2076" s="6" t="str">
        <x:v>1</x:v>
      </x:c>
      <x:c r="I2076" s="6" t="str"/>
      <x:c r="J2076" s="6" t="str">
        <x:f>IF(B2076="","",IF(AND(ISNUMBER(SEARCH("平",B2076)),OR(ISNUMBER(SEARCH("上",B2076)),ISNUMBER(SEARCH("去",B2076)),ISNUMBER(SEARCH("入",B2076)))),"Ambiguous",IF(ISNUMBER(SEARCH("平",B2076)),"平","仄")))</x:f>
        <x:v>仄</x:v>
      </x:c>
      <x:c r="K2076" s="6" t="str">
        <x:f>IF(D2076="","",IF(AND(ISNUMBER(SEARCH("平",D2076)),OR(ISNUMBER(SEARCH("上",D2076)),ISNUMBER(SEARCH("去",D2076)),ISNUMBER(SEARCH("入",D2076)))),"Ambiguous",IF(ISNUMBER(SEARCH("平",D2076)),"平","仄")))</x:f>
        <x:v>仄</x:v>
      </x:c>
      <x:c r="L2076" s="7" t="str"/>
    </x:row>
    <x:row r="2077">
      <x:c r="A2077" s="5" t="str">
        <x:v>毓</x:v>
      </x:c>
      <x:c r="B2077" s="6" t="str">
        <x:v>入</x:v>
      </x:c>
      <x:c r="C2077" s="6" t="str">
        <x:f>IF(B2077="","Needs decision","Ready")</x:f>
        <x:v>Ready</x:v>
      </x:c>
      <x:c r="D2077" s="6" t="str">
        <x:v>入</x:v>
      </x:c>
      <x:c r="E2077" s="6" t="str">
        <x:v>yuwk (D)</x:v>
      </x:c>
      <x:c r="F2077" s="6" t="str">
        <x:v>入聲一屋</x:v>
      </x:c>
      <x:c r="G2077" s="6" t="str">
        <x:v>Pingshui main list, Wikisource-derived DOCX</x:v>
      </x:c>
      <x:c r="H2077" s="6" t="str">
        <x:v>1</x:v>
      </x:c>
      <x:c r="I2077" s="6" t="str"/>
      <x:c r="J2077" s="6" t="str">
        <x:f>IF(B2077="","",IF(AND(ISNUMBER(SEARCH("平",B2077)),OR(ISNUMBER(SEARCH("上",B2077)),ISNUMBER(SEARCH("去",B2077)),ISNUMBER(SEARCH("入",B2077)))),"Ambiguous",IF(ISNUMBER(SEARCH("平",B2077)),"平","仄")))</x:f>
        <x:v>仄</x:v>
      </x:c>
      <x:c r="K2077" s="6" t="str">
        <x:f>IF(D2077="","",IF(AND(ISNUMBER(SEARCH("平",D2077)),OR(ISNUMBER(SEARCH("上",D2077)),ISNUMBER(SEARCH("去",D2077)),ISNUMBER(SEARCH("入",D2077)))),"Ambiguous",IF(ISNUMBER(SEARCH("平",D2077)),"平","仄")))</x:f>
        <x:v>仄</x:v>
      </x:c>
      <x:c r="L2077" s="7" t="str"/>
    </x:row>
    <x:row r="2078">
      <x:c r="A2078" s="5" t="str">
        <x:v>比</x:v>
      </x:c>
      <x:c r="B2078" s="6" t="str">
        <x:v>上</x:v>
      </x:c>
      <x:c r="C2078" s="6" t="str">
        <x:f>IF(B2078="","Needs decision","Ready")</x:f>
        <x:v>Ready</x:v>
      </x:c>
      <x:c r="D2078" s="6" t="str">
        <x:v>上/去</x:v>
      </x:c>
      <x:c r="E2078" s="6" t="str">
        <x:v>pjijX (B); pjijH (C)</x:v>
      </x:c>
      <x:c r="F2078" s="6" t="str">
        <x:v>上平聲四支; 上聲四紙; 去聲四寘</x:v>
      </x:c>
      <x:c r="G2078" s="6" t="str">
        <x:v>Pingshui main list, Wikisource-derived DOCX</x:v>
      </x:c>
      <x:c r="H2078" s="6" t="str">
        <x:v>2</x:v>
      </x:c>
      <x:c r="I2078" s="6" t="str"/>
      <x:c r="J2078" s="6" t="str">
        <x:f>IF(B2078="","",IF(AND(ISNUMBER(SEARCH("平",B2078)),OR(ISNUMBER(SEARCH("上",B2078)),ISNUMBER(SEARCH("去",B2078)),ISNUMBER(SEARCH("入",B2078)))),"Ambiguous",IF(ISNUMBER(SEARCH("平",B2078)),"平","仄")))</x:f>
        <x:v>仄</x:v>
      </x:c>
      <x:c r="K2078" s="6" t="str">
        <x:f>IF(D2078="","",IF(AND(ISNUMBER(SEARCH("平",D2078)),OR(ISNUMBER(SEARCH("上",D2078)),ISNUMBER(SEARCH("去",D2078)),ISNUMBER(SEARCH("入",D2078)))),"Ambiguous",IF(ISNUMBER(SEARCH("平",D2078)),"平","仄")))</x:f>
        <x:v>仄</x:v>
      </x:c>
      <x:c r="L2078" s="7" t="str"/>
    </x:row>
    <x:row r="2079">
      <x:c r="A2079" s="5" t="str">
        <x:v>毖</x:v>
      </x:c>
      <x:c r="B2079" s="6" t="str">
        <x:v>去</x:v>
      </x:c>
      <x:c r="C2079" s="6" t="str">
        <x:f>IF(B2079="","Needs decision","Ready")</x:f>
        <x:v>Ready</x:v>
      </x:c>
      <x:c r="D2079" s="6" t="str">
        <x:v>去</x:v>
      </x:c>
      <x:c r="E2079" s="6" t="str">
        <x:v>pijH (C)</x:v>
      </x:c>
      <x:c r="F2079" s="6" t="str">
        <x:v>去聲四寘</x:v>
      </x:c>
      <x:c r="G2079" s="6" t="str">
        <x:v>Pingshui main list, Wikisource-derived DOCX</x:v>
      </x:c>
      <x:c r="H2079" s="6" t="str">
        <x:v>1</x:v>
      </x:c>
      <x:c r="I2079" s="6" t="str"/>
      <x:c r="J2079" s="6" t="str">
        <x:f>IF(B2079="","",IF(AND(ISNUMBER(SEARCH("平",B2079)),OR(ISNUMBER(SEARCH("上",B2079)),ISNUMBER(SEARCH("去",B2079)),ISNUMBER(SEARCH("入",B2079)))),"Ambiguous",IF(ISNUMBER(SEARCH("平",B2079)),"平","仄")))</x:f>
        <x:v>仄</x:v>
      </x:c>
      <x:c r="K2079" s="6" t="str">
        <x:f>IF(D2079="","",IF(AND(ISNUMBER(SEARCH("平",D2079)),OR(ISNUMBER(SEARCH("上",D2079)),ISNUMBER(SEARCH("去",D2079)),ISNUMBER(SEARCH("入",D2079)))),"Ambiguous",IF(ISNUMBER(SEARCH("平",D2079)),"平","仄")))</x:f>
        <x:v>仄</x:v>
      </x:c>
      <x:c r="L2079" s="7" t="str"/>
    </x:row>
    <x:row r="2080">
      <x:c r="A2080" s="5" t="str">
        <x:v>毗</x:v>
      </x:c>
      <x:c r="B2080" s="6" t="str">
        <x:v>平</x:v>
      </x:c>
      <x:c r="C2080" s="6" t="str">
        <x:f>IF(B2080="","Needs decision","Ready")</x:f>
        <x:v>Ready</x:v>
      </x:c>
      <x:c r="D2080" s="6" t="str">
        <x:v>平</x:v>
      </x:c>
      <x:c r="E2080" s="6" t="str">
        <x:v>bjij (A)</x:v>
      </x:c>
      <x:c r="F2080" s="6" t="str">
        <x:v>上平聲四支</x:v>
      </x:c>
      <x:c r="G2080" s="6" t="str">
        <x:v>Pingshui main list, Wikisource-derived DOCX</x:v>
      </x:c>
      <x:c r="H2080" s="6" t="str">
        <x:v>1</x:v>
      </x:c>
      <x:c r="I2080" s="6" t="str"/>
      <x:c r="J2080" s="6" t="str">
        <x:f>IF(B2080="","",IF(AND(ISNUMBER(SEARCH("平",B2080)),OR(ISNUMBER(SEARCH("上",B2080)),ISNUMBER(SEARCH("去",B2080)),ISNUMBER(SEARCH("入",B2080)))),"Ambiguous",IF(ISNUMBER(SEARCH("平",B2080)),"平","仄")))</x:f>
        <x:v>平</x:v>
      </x:c>
      <x:c r="K2080" s="6" t="str">
        <x:f>IF(D2080="","",IF(AND(ISNUMBER(SEARCH("平",D2080)),OR(ISNUMBER(SEARCH("上",D2080)),ISNUMBER(SEARCH("去",D2080)),ISNUMBER(SEARCH("入",D2080)))),"Ambiguous",IF(ISNUMBER(SEARCH("平",D2080)),"平","仄")))</x:f>
        <x:v>平</x:v>
      </x:c>
      <x:c r="L2080" s="7" t="str"/>
    </x:row>
    <x:row r="2081">
      <x:c r="A2081" s="5" t="str">
        <x:v>毛</x:v>
      </x:c>
      <x:c r="B2081" s="6" t="str">
        <x:v>平</x:v>
      </x:c>
      <x:c r="C2081" s="6" t="str">
        <x:f>IF(B2081="","Needs decision","Ready")</x:f>
        <x:v>Ready</x:v>
      </x:c>
      <x:c r="D2081" s="6" t="str">
        <x:v>平</x:v>
      </x:c>
      <x:c r="E2081" s="6" t="str">
        <x:v>maw (A)</x:v>
      </x:c>
      <x:c r="F2081" s="6" t="str">
        <x:v>下平聲四豪</x:v>
      </x:c>
      <x:c r="G2081" s="6" t="str">
        <x:v>Pingshui main list, Wikisource-derived DOCX</x:v>
      </x:c>
      <x:c r="H2081" s="6" t="str">
        <x:v>1</x:v>
      </x:c>
      <x:c r="I2081" s="6" t="str"/>
      <x:c r="J2081" s="6" t="str">
        <x:f>IF(B2081="","",IF(AND(ISNUMBER(SEARCH("平",B2081)),OR(ISNUMBER(SEARCH("上",B2081)),ISNUMBER(SEARCH("去",B2081)),ISNUMBER(SEARCH("入",B2081)))),"Ambiguous",IF(ISNUMBER(SEARCH("平",B2081)),"平","仄")))</x:f>
        <x:v>平</x:v>
      </x:c>
      <x:c r="K2081" s="6" t="str">
        <x:f>IF(D2081="","",IF(AND(ISNUMBER(SEARCH("平",D2081)),OR(ISNUMBER(SEARCH("上",D2081)),ISNUMBER(SEARCH("去",D2081)),ISNUMBER(SEARCH("入",D2081)))),"Ambiguous",IF(ISNUMBER(SEARCH("平",D2081)),"平","仄")))</x:f>
        <x:v>平</x:v>
      </x:c>
      <x:c r="L2081" s="7" t="str"/>
    </x:row>
    <x:row r="2082">
      <x:c r="A2082" s="5" t="str">
        <x:v>毫</x:v>
      </x:c>
      <x:c r="B2082" s="6" t="str">
        <x:v>平</x:v>
      </x:c>
      <x:c r="C2082" s="6" t="str">
        <x:f>IF(B2082="","Needs decision","Ready")</x:f>
        <x:v>Ready</x:v>
      </x:c>
      <x:c r="D2082" s="6" t="str">
        <x:v>平</x:v>
      </x:c>
      <x:c r="E2082" s="6" t="str">
        <x:v>haw (A)</x:v>
      </x:c>
      <x:c r="F2082" s="6" t="str">
        <x:v>下平聲四豪</x:v>
      </x:c>
      <x:c r="G2082" s="6" t="str">
        <x:v>Pingshui main list, Wikisource-derived DOCX</x:v>
      </x:c>
      <x:c r="H2082" s="6" t="str">
        <x:v>1</x:v>
      </x:c>
      <x:c r="I2082" s="6" t="str"/>
      <x:c r="J2082" s="6" t="str">
        <x:f>IF(B2082="","",IF(AND(ISNUMBER(SEARCH("平",B2082)),OR(ISNUMBER(SEARCH("上",B2082)),ISNUMBER(SEARCH("去",B2082)),ISNUMBER(SEARCH("入",B2082)))),"Ambiguous",IF(ISNUMBER(SEARCH("平",B2082)),"平","仄")))</x:f>
        <x:v>平</x:v>
      </x:c>
      <x:c r="K2082" s="6" t="str">
        <x:f>IF(D2082="","",IF(AND(ISNUMBER(SEARCH("平",D2082)),OR(ISNUMBER(SEARCH("上",D2082)),ISNUMBER(SEARCH("去",D2082)),ISNUMBER(SEARCH("入",D2082)))),"Ambiguous",IF(ISNUMBER(SEARCH("平",D2082)),"平","仄")))</x:f>
        <x:v>平</x:v>
      </x:c>
      <x:c r="L2082" s="7" t="str"/>
    </x:row>
    <x:row r="2083">
      <x:c r="A2083" s="5" t="str">
        <x:v>毳</x:v>
      </x:c>
      <x:c r="B2083" s="6" t="str">
        <x:v>去</x:v>
      </x:c>
      <x:c r="C2083" s="6" t="str">
        <x:f>IF(B2083="","Needs decision","Ready")</x:f>
        <x:v>Ready</x:v>
      </x:c>
      <x:c r="D2083" s="6" t="str">
        <x:v>去</x:v>
      </x:c>
      <x:c r="E2083" s="6" t="str">
        <x:v>tshjwejH (C); tsrhjwejH (C)</x:v>
      </x:c>
      <x:c r="F2083" s="6" t="str">
        <x:v>去聲八霽</x:v>
      </x:c>
      <x:c r="G2083" s="6" t="str">
        <x:v>Pingshui main list, Wikisource-derived DOCX</x:v>
      </x:c>
      <x:c r="H2083" s="6" t="str">
        <x:v>2</x:v>
      </x:c>
      <x:c r="I2083" s="6" t="str"/>
      <x:c r="J2083" s="6" t="str">
        <x:f>IF(B2083="","",IF(AND(ISNUMBER(SEARCH("平",B2083)),OR(ISNUMBER(SEARCH("上",B2083)),ISNUMBER(SEARCH("去",B2083)),ISNUMBER(SEARCH("入",B2083)))),"Ambiguous",IF(ISNUMBER(SEARCH("平",B2083)),"平","仄")))</x:f>
        <x:v>仄</x:v>
      </x:c>
      <x:c r="K2083" s="6" t="str">
        <x:f>IF(D2083="","",IF(AND(ISNUMBER(SEARCH("平",D2083)),OR(ISNUMBER(SEARCH("上",D2083)),ISNUMBER(SEARCH("去",D2083)),ISNUMBER(SEARCH("入",D2083)))),"Ambiguous",IF(ISNUMBER(SEARCH("平",D2083)),"平","仄")))</x:f>
        <x:v>仄</x:v>
      </x:c>
      <x:c r="L2083" s="7" t="str"/>
    </x:row>
    <x:row r="2084">
      <x:c r="A2084" s="5" t="str">
        <x:v>氈</x:v>
      </x:c>
      <x:c r="B2084" s="6" t="str">
        <x:v>平</x:v>
      </x:c>
      <x:c r="C2084" s="6" t="str">
        <x:f>IF(B2084="","Needs decision","Ready")</x:f>
        <x:v>Ready</x:v>
      </x:c>
      <x:c r="D2084" s="6" t="str">
        <x:v>平</x:v>
      </x:c>
      <x:c r="E2084" s="6" t="str">
        <x:v>tsyen (A)</x:v>
      </x:c>
      <x:c r="F2084" s="6" t="str">
        <x:v>下平聲一先</x:v>
      </x:c>
      <x:c r="G2084" s="6" t="str">
        <x:v>Pingshui main list, Wikisource-derived DOCX</x:v>
      </x:c>
      <x:c r="H2084" s="6" t="str">
        <x:v>1</x:v>
      </x:c>
      <x:c r="I2084" s="6" t="str"/>
      <x:c r="J2084" s="6" t="str">
        <x:f>IF(B2084="","",IF(AND(ISNUMBER(SEARCH("平",B2084)),OR(ISNUMBER(SEARCH("上",B2084)),ISNUMBER(SEARCH("去",B2084)),ISNUMBER(SEARCH("入",B2084)))),"Ambiguous",IF(ISNUMBER(SEARCH("平",B2084)),"平","仄")))</x:f>
        <x:v>平</x:v>
      </x:c>
      <x:c r="K2084" s="6" t="str">
        <x:f>IF(D2084="","",IF(AND(ISNUMBER(SEARCH("平",D2084)),OR(ISNUMBER(SEARCH("上",D2084)),ISNUMBER(SEARCH("去",D2084)),ISNUMBER(SEARCH("入",D2084)))),"Ambiguous",IF(ISNUMBER(SEARCH("平",D2084)),"平","仄")))</x:f>
        <x:v>平</x:v>
      </x:c>
      <x:c r="L2084" s="7" t="str"/>
    </x:row>
    <x:row r="2085">
      <x:c r="A2085" s="5" t="str">
        <x:v>氏</x:v>
      </x:c>
      <x:c r="B2085" s="6" t="str">
        <x:v>上</x:v>
      </x:c>
      <x:c r="C2085" s="6" t="str">
        <x:f>IF(B2085="","Needs decision","Ready")</x:f>
        <x:v>Ready</x:v>
      </x:c>
      <x:c r="D2085" s="6" t="str">
        <x:v>上</x:v>
      </x:c>
      <x:c r="E2085" s="6" t="str">
        <x:v>dzyeX (B)</x:v>
      </x:c>
      <x:c r="F2085" s="6" t="str">
        <x:v>上平聲四支; 上聲四紙</x:v>
      </x:c>
      <x:c r="G2085" s="6" t="str">
        <x:v>Pingshui main list, Wikisource-derived DOCX</x:v>
      </x:c>
      <x:c r="H2085" s="6" t="str">
        <x:v>1</x:v>
      </x:c>
      <x:c r="I2085" s="6" t="str"/>
      <x:c r="J2085" s="6" t="str">
        <x:f>IF(B2085="","",IF(AND(ISNUMBER(SEARCH("平",B2085)),OR(ISNUMBER(SEARCH("上",B2085)),ISNUMBER(SEARCH("去",B2085)),ISNUMBER(SEARCH("入",B2085)))),"Ambiguous",IF(ISNUMBER(SEARCH("平",B2085)),"平","仄")))</x:f>
        <x:v>仄</x:v>
      </x:c>
      <x:c r="K2085" s="6" t="str">
        <x:f>IF(D2085="","",IF(AND(ISNUMBER(SEARCH("平",D2085)),OR(ISNUMBER(SEARCH("上",D2085)),ISNUMBER(SEARCH("去",D2085)),ISNUMBER(SEARCH("入",D2085)))),"Ambiguous",IF(ISNUMBER(SEARCH("平",D2085)),"平","仄")))</x:f>
        <x:v>仄</x:v>
      </x:c>
      <x:c r="L2085" s="7" t="str"/>
    </x:row>
    <x:row r="2086">
      <x:c r="A2086" s="5" t="str">
        <x:v>氐</x:v>
      </x:c>
      <x:c r="B2086" s="6" t="str"/>
      <x:c r="C2086" s="6" t="str">
        <x:f>IF(B2086="","Needs decision","Ready")</x:f>
        <x:v>Needs decision</x:v>
      </x:c>
      <x:c r="D2086" s="6" t="str">
        <x:v>平/上</x:v>
      </x:c>
      <x:c r="E2086" s="6" t="str">
        <x:v>tej (A); tejX (B)</x:v>
      </x:c>
      <x:c r="F2086" s="6" t="str">
        <x:v>上平聲八齊</x:v>
      </x:c>
      <x:c r="G2086" s="6" t="str">
        <x:v>Pingshui main list, Wikisource-derived DOCX</x:v>
      </x:c>
      <x:c r="H2086" s="6" t="str">
        <x:v>2</x:v>
      </x:c>
      <x:c r="I2086" s="6" t="str"/>
      <x:c r="J2086" s="6" t="str">
        <x:f>IF(B2086="","",IF(AND(ISNUMBER(SEARCH("平",B2086)),OR(ISNUMBER(SEARCH("上",B2086)),ISNUMBER(SEARCH("去",B2086)),ISNUMBER(SEARCH("入",B2086)))),"Ambiguous",IF(ISNUMBER(SEARCH("平",B2086)),"平","仄")))</x:f>
      </x:c>
      <x:c r="K2086" s="6" t="str">
        <x:f>IF(D2086="","",IF(AND(ISNUMBER(SEARCH("平",D2086)),OR(ISNUMBER(SEARCH("上",D2086)),ISNUMBER(SEARCH("去",D2086)),ISNUMBER(SEARCH("入",D2086)))),"Ambiguous",IF(ISNUMBER(SEARCH("平",D2086)),"平","仄")))</x:f>
        <x:v>Ambiguous</x:v>
      </x:c>
      <x:c r="L2086" s="7" t="str"/>
    </x:row>
    <x:row r="2087">
      <x:c r="A2087" s="5" t="str">
        <x:v>民</x:v>
      </x:c>
      <x:c r="B2087" s="6" t="str">
        <x:v>平</x:v>
      </x:c>
      <x:c r="C2087" s="6" t="str">
        <x:f>IF(B2087="","Needs decision","Ready")</x:f>
        <x:v>Ready</x:v>
      </x:c>
      <x:c r="D2087" s="6" t="str">
        <x:v>平</x:v>
      </x:c>
      <x:c r="E2087" s="6" t="str">
        <x:v>mjin (A)</x:v>
      </x:c>
      <x:c r="F2087" s="6" t="str">
        <x:v>上平聲十一真</x:v>
      </x:c>
      <x:c r="G2087" s="6" t="str">
        <x:v>Pingshui main list, Wikisource-derived DOCX</x:v>
      </x:c>
      <x:c r="H2087" s="6" t="str">
        <x:v>1</x:v>
      </x:c>
      <x:c r="I2087" s="6" t="str"/>
      <x:c r="J2087" s="6" t="str">
        <x:f>IF(B2087="","",IF(AND(ISNUMBER(SEARCH("平",B2087)),OR(ISNUMBER(SEARCH("上",B2087)),ISNUMBER(SEARCH("去",B2087)),ISNUMBER(SEARCH("入",B2087)))),"Ambiguous",IF(ISNUMBER(SEARCH("平",B2087)),"平","仄")))</x:f>
        <x:v>平</x:v>
      </x:c>
      <x:c r="K2087" s="6" t="str">
        <x:f>IF(D2087="","",IF(AND(ISNUMBER(SEARCH("平",D2087)),OR(ISNUMBER(SEARCH("上",D2087)),ISNUMBER(SEARCH("去",D2087)),ISNUMBER(SEARCH("入",D2087)))),"Ambiguous",IF(ISNUMBER(SEARCH("平",D2087)),"平","仄")))</x:f>
        <x:v>平</x:v>
      </x:c>
      <x:c r="L2087" s="7" t="str"/>
    </x:row>
    <x:row r="2088">
      <x:c r="A2088" s="5" t="str">
        <x:v>氓</x:v>
      </x:c>
      <x:c r="B2088" s="6" t="str">
        <x:v>平</x:v>
      </x:c>
      <x:c r="C2088" s="6" t="str">
        <x:f>IF(B2088="","Needs decision","Ready")</x:f>
        <x:v>Ready</x:v>
      </x:c>
      <x:c r="D2088" s="6" t="str">
        <x:v>平</x:v>
      </x:c>
      <x:c r="E2088" s="6" t="str">
        <x:v>meang (A)</x:v>
      </x:c>
      <x:c r="F2088" s="6" t="str">
        <x:v>下平聲八庚</x:v>
      </x:c>
      <x:c r="G2088" s="6" t="str">
        <x:v>Pingshui main list, Wikisource-derived DOCX</x:v>
      </x:c>
      <x:c r="H2088" s="6" t="str">
        <x:v>1</x:v>
      </x:c>
      <x:c r="I2088" s="6" t="str"/>
      <x:c r="J2088" s="6" t="str">
        <x:f>IF(B2088="","",IF(AND(ISNUMBER(SEARCH("平",B2088)),OR(ISNUMBER(SEARCH("上",B2088)),ISNUMBER(SEARCH("去",B2088)),ISNUMBER(SEARCH("入",B2088)))),"Ambiguous",IF(ISNUMBER(SEARCH("平",B2088)),"平","仄")))</x:f>
        <x:v>平</x:v>
      </x:c>
      <x:c r="K2088" s="6" t="str">
        <x:f>IF(D2088="","",IF(AND(ISNUMBER(SEARCH("平",D2088)),OR(ISNUMBER(SEARCH("上",D2088)),ISNUMBER(SEARCH("去",D2088)),ISNUMBER(SEARCH("入",D2088)))),"Ambiguous",IF(ISNUMBER(SEARCH("平",D2088)),"平","仄")))</x:f>
        <x:v>平</x:v>
      </x:c>
      <x:c r="L2088" s="7" t="str"/>
    </x:row>
    <x:row r="2089">
      <x:c r="A2089" s="5" t="str">
        <x:v>气</x:v>
      </x:c>
      <x:c r="B2089" s="6" t="str">
        <x:v>去</x:v>
      </x:c>
      <x:c r="C2089" s="6" t="str">
        <x:f>IF(B2089="","Needs decision","Ready")</x:f>
        <x:v>Ready</x:v>
      </x:c>
      <x:c r="D2089" s="6" t="str">
        <x:v>去</x:v>
      </x:c>
      <x:c r="E2089" s="6" t="str">
        <x:v>khj+jH (C)</x:v>
      </x:c>
      <x:c r="F2089" s="6" t="str"/>
      <x:c r="G2089" s="6" t="str"/>
      <x:c r="H2089" s="6" t="str">
        <x:v>1</x:v>
      </x:c>
      <x:c r="I2089" s="6" t="str"/>
      <x:c r="J2089" s="6" t="str">
        <x:f>IF(B2089="","",IF(AND(ISNUMBER(SEARCH("平",B2089)),OR(ISNUMBER(SEARCH("上",B2089)),ISNUMBER(SEARCH("去",B2089)),ISNUMBER(SEARCH("入",B2089)))),"Ambiguous",IF(ISNUMBER(SEARCH("平",B2089)),"平","仄")))</x:f>
        <x:v>仄</x:v>
      </x:c>
      <x:c r="K2089" s="6" t="str">
        <x:f>IF(D2089="","",IF(AND(ISNUMBER(SEARCH("平",D2089)),OR(ISNUMBER(SEARCH("上",D2089)),ISNUMBER(SEARCH("去",D2089)),ISNUMBER(SEARCH("入",D2089)))),"Ambiguous",IF(ISNUMBER(SEARCH("平",D2089)),"平","仄")))</x:f>
        <x:v>仄</x:v>
      </x:c>
      <x:c r="L2089" s="7" t="str"/>
    </x:row>
    <x:row r="2090">
      <x:c r="A2090" s="5" t="str">
        <x:v>氛</x:v>
      </x:c>
      <x:c r="B2090" s="6" t="str">
        <x:v>平</x:v>
      </x:c>
      <x:c r="C2090" s="6" t="str">
        <x:f>IF(B2090="","Needs decision","Ready")</x:f>
        <x:v>Ready</x:v>
      </x:c>
      <x:c r="D2090" s="6" t="str">
        <x:v>平</x:v>
      </x:c>
      <x:c r="E2090" s="6" t="str">
        <x:v>bjun [並三C文平] bɨ̯un; phjun [滂三C文平] pʰɨ̯un</x:v>
      </x:c>
      <x:c r="F2090" s="6" t="str">
        <x:v>上平聲十二文</x:v>
      </x:c>
      <x:c r="G2090" s="6" t="str">
        <x:v>Pingshui main list, Wikisource-derived DOCX</x:v>
      </x:c>
      <x:c r="H2090" s="6" t="str">
        <x:v>2</x:v>
      </x:c>
      <x:c r="I2090" s="6" t="str">
        <x:v>Targeted preliminary fill from Xun Gong; review if uncertain</x:v>
      </x:c>
      <x:c r="J2090" s="6" t="str">
        <x:f>IF(B2090="","",IF(AND(ISNUMBER(SEARCH("平",B2090)),OR(ISNUMBER(SEARCH("上",B2090)),ISNUMBER(SEARCH("去",B2090)),ISNUMBER(SEARCH("入",B2090)))),"Ambiguous",IF(ISNUMBER(SEARCH("平",B2090)),"平","仄")))</x:f>
        <x:v>平</x:v>
      </x:c>
      <x:c r="K2090" s="6" t="str">
        <x:f>IF(D2090="","",IF(AND(ISNUMBER(SEARCH("平",D2090)),OR(ISNUMBER(SEARCH("上",D2090)),ISNUMBER(SEARCH("去",D2090)),ISNUMBER(SEARCH("入",D2090)))),"Ambiguous",IF(ISNUMBER(SEARCH("平",D2090)),"平","仄")))</x:f>
        <x:v>平</x:v>
      </x:c>
      <x:c r="L2090" s="7" t="str">
        <x:v>Xun Gong character-readings.csv</x:v>
      </x:c>
    </x:row>
    <x:row r="2091">
      <x:c r="A2091" s="5" t="str">
        <x:v>氣</x:v>
      </x:c>
      <x:c r="B2091" s="6" t="str">
        <x:v>去</x:v>
      </x:c>
      <x:c r="C2091" s="6" t="str">
        <x:f>IF(B2091="","Needs decision","Ready")</x:f>
        <x:v>Ready</x:v>
      </x:c>
      <x:c r="D2091" s="6" t="str">
        <x:v>去</x:v>
      </x:c>
      <x:c r="E2091" s="6" t="str">
        <x:v>khj+jH (C); xj+jH (C)</x:v>
      </x:c>
      <x:c r="F2091" s="6" t="str">
        <x:v>去聲五未</x:v>
      </x:c>
      <x:c r="G2091" s="6" t="str">
        <x:v>Pingshui main list, Wikisource-derived DOCX</x:v>
      </x:c>
      <x:c r="H2091" s="6" t="str">
        <x:v>2</x:v>
      </x:c>
      <x:c r="I2091" s="6" t="str"/>
      <x:c r="J2091" s="6" t="str">
        <x:f>IF(B2091="","",IF(AND(ISNUMBER(SEARCH("平",B2091)),OR(ISNUMBER(SEARCH("上",B2091)),ISNUMBER(SEARCH("去",B2091)),ISNUMBER(SEARCH("入",B2091)))),"Ambiguous",IF(ISNUMBER(SEARCH("平",B2091)),"平","仄")))</x:f>
        <x:v>仄</x:v>
      </x:c>
      <x:c r="K2091" s="6" t="str">
        <x:f>IF(D2091="","",IF(AND(ISNUMBER(SEARCH("平",D2091)),OR(ISNUMBER(SEARCH("上",D2091)),ISNUMBER(SEARCH("去",D2091)),ISNUMBER(SEARCH("入",D2091)))),"Ambiguous",IF(ISNUMBER(SEARCH("平",D2091)),"平","仄")))</x:f>
        <x:v>仄</x:v>
      </x:c>
      <x:c r="L2091" s="7" t="str"/>
    </x:row>
    <x:row r="2092">
      <x:c r="A2092" s="5" t="str">
        <x:v>氳</x:v>
      </x:c>
      <x:c r="B2092" s="6" t="str">
        <x:v>平</x:v>
      </x:c>
      <x:c r="C2092" s="6" t="str">
        <x:f>IF(B2092="","Needs decision","Ready")</x:f>
        <x:v>Ready</x:v>
      </x:c>
      <x:c r="D2092" s="6" t="str">
        <x:v>平</x:v>
      </x:c>
      <x:c r="E2092" s="6" t="str">
        <x:v>'jun [影合三C文平] ʔɨ̯un</x:v>
      </x:c>
      <x:c r="F2092" s="6" t="str"/>
      <x:c r="G2092" s="6" t="str"/>
      <x:c r="H2092" s="6" t="str">
        <x:v>1</x:v>
      </x:c>
      <x:c r="I2092" s="6" t="str">
        <x:v>Targeted preliminary fill from Xun Gong; review if uncertain</x:v>
      </x:c>
      <x:c r="J2092" s="6" t="str">
        <x:f>IF(B2092="","",IF(AND(ISNUMBER(SEARCH("平",B2092)),OR(ISNUMBER(SEARCH("上",B2092)),ISNUMBER(SEARCH("去",B2092)),ISNUMBER(SEARCH("入",B2092)))),"Ambiguous",IF(ISNUMBER(SEARCH("平",B2092)),"平","仄")))</x:f>
        <x:v>平</x:v>
      </x:c>
      <x:c r="K2092" s="6" t="str">
        <x:f>IF(D2092="","",IF(AND(ISNUMBER(SEARCH("平",D2092)),OR(ISNUMBER(SEARCH("上",D2092)),ISNUMBER(SEARCH("去",D2092)),ISNUMBER(SEARCH("入",D2092)))),"Ambiguous",IF(ISNUMBER(SEARCH("平",D2092)),"平","仄")))</x:f>
        <x:v>平</x:v>
      </x:c>
      <x:c r="L2092" s="7" t="str">
        <x:v>Xun Gong character-readings.csv</x:v>
      </x:c>
    </x:row>
    <x:row r="2093">
      <x:c r="A2093" s="5" t="str">
        <x:v>水</x:v>
      </x:c>
      <x:c r="B2093" s="6" t="str">
        <x:v>上</x:v>
      </x:c>
      <x:c r="C2093" s="6" t="str">
        <x:f>IF(B2093="","Needs decision","Ready")</x:f>
        <x:v>Ready</x:v>
      </x:c>
      <x:c r="D2093" s="6" t="str">
        <x:v>上</x:v>
      </x:c>
      <x:c r="E2093" s="6" t="str">
        <x:v>sywijX (B)</x:v>
      </x:c>
      <x:c r="F2093" s="6" t="str">
        <x:v>上聲四紙</x:v>
      </x:c>
      <x:c r="G2093" s="6" t="str">
        <x:v>Pingshui main list, Wikisource-derived DOCX</x:v>
      </x:c>
      <x:c r="H2093" s="6" t="str">
        <x:v>1</x:v>
      </x:c>
      <x:c r="I2093" s="6" t="str"/>
      <x:c r="J2093" s="6" t="str">
        <x:f>IF(B2093="","",IF(AND(ISNUMBER(SEARCH("平",B2093)),OR(ISNUMBER(SEARCH("上",B2093)),ISNUMBER(SEARCH("去",B2093)),ISNUMBER(SEARCH("入",B2093)))),"Ambiguous",IF(ISNUMBER(SEARCH("平",B2093)),"平","仄")))</x:f>
        <x:v>仄</x:v>
      </x:c>
      <x:c r="K2093" s="6" t="str">
        <x:f>IF(D2093="","",IF(AND(ISNUMBER(SEARCH("平",D2093)),OR(ISNUMBER(SEARCH("上",D2093)),ISNUMBER(SEARCH("去",D2093)),ISNUMBER(SEARCH("入",D2093)))),"Ambiguous",IF(ISNUMBER(SEARCH("平",D2093)),"平","仄")))</x:f>
        <x:v>仄</x:v>
      </x:c>
      <x:c r="L2093" s="7" t="str"/>
    </x:row>
    <x:row r="2094">
      <x:c r="A2094" s="5" t="str">
        <x:v>氷</x:v>
      </x:c>
      <x:c r="B2094" s="6" t="str">
        <x:v>平</x:v>
      </x:c>
      <x:c r="C2094" s="6" t="str">
        <x:f>IF(B2094="","Needs decision","Ready")</x:f>
        <x:v>Ready</x:v>
      </x:c>
      <x:c r="D2094" s="6" t="str">
        <x:v>平</x:v>
      </x:c>
      <x:c r="E2094" s="6" t="str">
        <x:v>ping [幫三B蒸平] pɨŋ</x:v>
      </x:c>
      <x:c r="F2094" s="6" t="str"/>
      <x:c r="G2094" s="6" t="str"/>
      <x:c r="H2094" s="6" t="str">
        <x:v>1</x:v>
      </x:c>
      <x:c r="I2094" s="6" t="str">
        <x:v>Targeted preliminary fill from Xun Gong; review if uncertain (looked up under 冰)</x:v>
      </x:c>
      <x:c r="J2094" s="6" t="str">
        <x:f>IF(B2094="","",IF(AND(ISNUMBER(SEARCH("平",B2094)),OR(ISNUMBER(SEARCH("上",B2094)),ISNUMBER(SEARCH("去",B2094)),ISNUMBER(SEARCH("入",B2094)))),"Ambiguous",IF(ISNUMBER(SEARCH("平",B2094)),"平","仄")))</x:f>
        <x:v>平</x:v>
      </x:c>
      <x:c r="K2094" s="6" t="str">
        <x:f>IF(D2094="","",IF(AND(ISNUMBER(SEARCH("平",D2094)),OR(ISNUMBER(SEARCH("上",D2094)),ISNUMBER(SEARCH("去",D2094)),ISNUMBER(SEARCH("入",D2094)))),"Ambiguous",IF(ISNUMBER(SEARCH("平",D2094)),"平","仄")))</x:f>
        <x:v>平</x:v>
      </x:c>
      <x:c r="L2094" s="7" t="str">
        <x:v>Xun Gong character-readings.csv</x:v>
      </x:c>
    </x:row>
    <x:row r="2095">
      <x:c r="A2095" s="5" t="str">
        <x:v>永</x:v>
      </x:c>
      <x:c r="B2095" s="6" t="str">
        <x:v>上</x:v>
      </x:c>
      <x:c r="C2095" s="6" t="str">
        <x:f>IF(B2095="","Needs decision","Ready")</x:f>
        <x:v>Ready</x:v>
      </x:c>
      <x:c r="D2095" s="6" t="str">
        <x:v>上</x:v>
      </x:c>
      <x:c r="E2095" s="6" t="str">
        <x:v>hjwaengX (B)</x:v>
      </x:c>
      <x:c r="F2095" s="6" t="str">
        <x:v>上聲二十三梗</x:v>
      </x:c>
      <x:c r="G2095" s="6" t="str">
        <x:v>Pingshui main list, Wikisource-derived DOCX</x:v>
      </x:c>
      <x:c r="H2095" s="6" t="str">
        <x:v>1</x:v>
      </x:c>
      <x:c r="I2095" s="6" t="str"/>
      <x:c r="J2095" s="6" t="str">
        <x:f>IF(B2095="","",IF(AND(ISNUMBER(SEARCH("平",B2095)),OR(ISNUMBER(SEARCH("上",B2095)),ISNUMBER(SEARCH("去",B2095)),ISNUMBER(SEARCH("入",B2095)))),"Ambiguous",IF(ISNUMBER(SEARCH("平",B2095)),"平","仄")))</x:f>
        <x:v>仄</x:v>
      </x:c>
      <x:c r="K2095" s="6" t="str">
        <x:f>IF(D2095="","",IF(AND(ISNUMBER(SEARCH("平",D2095)),OR(ISNUMBER(SEARCH("上",D2095)),ISNUMBER(SEARCH("去",D2095)),ISNUMBER(SEARCH("入",D2095)))),"Ambiguous",IF(ISNUMBER(SEARCH("平",D2095)),"平","仄")))</x:f>
        <x:v>仄</x:v>
      </x:c>
      <x:c r="L2095" s="7" t="str"/>
    </x:row>
    <x:row r="2096">
      <x:c r="A2096" s="5" t="str">
        <x:v>氾</x:v>
      </x:c>
      <x:c r="B2096" s="6" t="str">
        <x:v>去</x:v>
      </x:c>
      <x:c r="C2096" s="6" t="str">
        <x:f>IF(B2096="","Needs decision","Ready")</x:f>
        <x:v>Ready</x:v>
      </x:c>
      <x:c r="D2096" s="6" t="str">
        <x:v>去</x:v>
      </x:c>
      <x:c r="E2096" s="6" t="str"/>
      <x:c r="F2096" s="6" t="str"/>
      <x:c r="G2096" s="6" t="str"/>
      <x:c r="H2096" s="6" t="str"/>
      <x:c r="I2096" s="6" t="str">
        <x:v>Manual user correction/addition</x:v>
      </x:c>
      <x:c r="J2096" s="6" t="str">
        <x:f>IF(B2096="","",IF(AND(ISNUMBER(SEARCH("平",B2096)),OR(ISNUMBER(SEARCH("上",B2096)),ISNUMBER(SEARCH("去",B2096)),ISNUMBER(SEARCH("入",B2096)))),"Ambiguous",IF(ISNUMBER(SEARCH("平",B2096)),"平","仄")))</x:f>
        <x:v>仄</x:v>
      </x:c>
      <x:c r="K2096" s="6" t="str">
        <x:f>IF(D2096="","",IF(AND(ISNUMBER(SEARCH("平",D2096)),OR(ISNUMBER(SEARCH("上",D2096)),ISNUMBER(SEARCH("去",D2096)),ISNUMBER(SEARCH("入",D2096)))),"Ambiguous",IF(ISNUMBER(SEARCH("平",D2096)),"平","仄")))</x:f>
        <x:v>仄</x:v>
      </x:c>
      <x:c r="L2096" s="7" t="str">
        <x:v>manual user correction</x:v>
      </x:c>
    </x:row>
    <x:row r="2097">
      <x:c r="A2097" s="5" t="str">
        <x:v>汀</x:v>
      </x:c>
      <x:c r="B2097" s="6" t="str">
        <x:v>平</x:v>
      </x:c>
      <x:c r="C2097" s="6" t="str">
        <x:f>IF(B2097="","Needs decision","Ready")</x:f>
        <x:v>Ready</x:v>
      </x:c>
      <x:c r="D2097" s="6" t="str">
        <x:v>平</x:v>
      </x:c>
      <x:c r="E2097" s="6" t="str">
        <x:v>theng (A)</x:v>
      </x:c>
      <x:c r="F2097" s="6" t="str">
        <x:v>下平聲九青</x:v>
      </x:c>
      <x:c r="G2097" s="6" t="str">
        <x:v>Pingshui main list, Wikisource-derived DOCX</x:v>
      </x:c>
      <x:c r="H2097" s="6" t="str">
        <x:v>1</x:v>
      </x:c>
      <x:c r="I2097" s="6" t="str"/>
      <x:c r="J2097" s="6" t="str">
        <x:f>IF(B2097="","",IF(AND(ISNUMBER(SEARCH("平",B2097)),OR(ISNUMBER(SEARCH("上",B2097)),ISNUMBER(SEARCH("去",B2097)),ISNUMBER(SEARCH("入",B2097)))),"Ambiguous",IF(ISNUMBER(SEARCH("平",B2097)),"平","仄")))</x:f>
        <x:v>平</x:v>
      </x:c>
      <x:c r="K2097" s="6" t="str">
        <x:f>IF(D2097="","",IF(AND(ISNUMBER(SEARCH("平",D2097)),OR(ISNUMBER(SEARCH("上",D2097)),ISNUMBER(SEARCH("去",D2097)),ISNUMBER(SEARCH("入",D2097)))),"Ambiguous",IF(ISNUMBER(SEARCH("平",D2097)),"平","仄")))</x:f>
        <x:v>平</x:v>
      </x:c>
      <x:c r="L2097" s="7" t="str"/>
    </x:row>
    <x:row r="2098">
      <x:c r="A2098" s="5" t="str">
        <x:v>汁</x:v>
      </x:c>
      <x:c r="B2098" s="6" t="str">
        <x:v>入</x:v>
      </x:c>
      <x:c r="C2098" s="6" t="str">
        <x:f>IF(B2098="","Needs decision","Ready")</x:f>
        <x:v>Ready</x:v>
      </x:c>
      <x:c r="D2098" s="6" t="str">
        <x:v>入</x:v>
      </x:c>
      <x:c r="E2098" s="6" t="str">
        <x:v>tsyip (D)</x:v>
      </x:c>
      <x:c r="F2098" s="6" t="str">
        <x:v>入聲十四緝</x:v>
      </x:c>
      <x:c r="G2098" s="6" t="str">
        <x:v>Pingshui main list, Wikisource-derived DOCX</x:v>
      </x:c>
      <x:c r="H2098" s="6" t="str">
        <x:v>1</x:v>
      </x:c>
      <x:c r="I2098" s="6" t="str"/>
      <x:c r="J2098" s="6" t="str">
        <x:f>IF(B2098="","",IF(AND(ISNUMBER(SEARCH("平",B2098)),OR(ISNUMBER(SEARCH("上",B2098)),ISNUMBER(SEARCH("去",B2098)),ISNUMBER(SEARCH("入",B2098)))),"Ambiguous",IF(ISNUMBER(SEARCH("平",B2098)),"平","仄")))</x:f>
        <x:v>仄</x:v>
      </x:c>
      <x:c r="K2098" s="6" t="str">
        <x:f>IF(D2098="","",IF(AND(ISNUMBER(SEARCH("平",D2098)),OR(ISNUMBER(SEARCH("上",D2098)),ISNUMBER(SEARCH("去",D2098)),ISNUMBER(SEARCH("入",D2098)))),"Ambiguous",IF(ISNUMBER(SEARCH("平",D2098)),"平","仄")))</x:f>
        <x:v>仄</x:v>
      </x:c>
      <x:c r="L2098" s="7" t="str"/>
    </x:row>
    <x:row r="2099">
      <x:c r="A2099" s="5" t="str">
        <x:v>求</x:v>
      </x:c>
      <x:c r="B2099" s="6" t="str">
        <x:v>平</x:v>
      </x:c>
      <x:c r="C2099" s="6" t="str">
        <x:f>IF(B2099="","Needs decision","Ready")</x:f>
        <x:v>Ready</x:v>
      </x:c>
      <x:c r="D2099" s="6" t="str">
        <x:v>平</x:v>
      </x:c>
      <x:c r="E2099" s="6" t="str">
        <x:v>gjuw (A)</x:v>
      </x:c>
      <x:c r="F2099" s="6" t="str">
        <x:v>下平聲十一尤</x:v>
      </x:c>
      <x:c r="G2099" s="6" t="str">
        <x:v>Pingshui main list, Wikisource-derived DOCX</x:v>
      </x:c>
      <x:c r="H2099" s="6" t="str">
        <x:v>1</x:v>
      </x:c>
      <x:c r="I2099" s="6" t="str"/>
      <x:c r="J2099" s="6" t="str">
        <x:f>IF(B2099="","",IF(AND(ISNUMBER(SEARCH("平",B2099)),OR(ISNUMBER(SEARCH("上",B2099)),ISNUMBER(SEARCH("去",B2099)),ISNUMBER(SEARCH("入",B2099)))),"Ambiguous",IF(ISNUMBER(SEARCH("平",B2099)),"平","仄")))</x:f>
        <x:v>平</x:v>
      </x:c>
      <x:c r="K2099" s="6" t="str">
        <x:f>IF(D2099="","",IF(AND(ISNUMBER(SEARCH("平",D2099)),OR(ISNUMBER(SEARCH("上",D2099)),ISNUMBER(SEARCH("去",D2099)),ISNUMBER(SEARCH("入",D2099)))),"Ambiguous",IF(ISNUMBER(SEARCH("平",D2099)),"平","仄")))</x:f>
        <x:v>平</x:v>
      </x:c>
      <x:c r="L2099" s="7" t="str"/>
    </x:row>
    <x:row r="2100">
      <x:c r="A2100" s="5" t="str">
        <x:v>汎</x:v>
      </x:c>
      <x:c r="B2100" s="6" t="str">
        <x:v>去</x:v>
      </x:c>
      <x:c r="C2100" s="6" t="str">
        <x:f>IF(B2100="","Needs decision","Ready")</x:f>
        <x:v>Ready</x:v>
      </x:c>
      <x:c r="D2100" s="6" t="str">
        <x:v>平/去</x:v>
      </x:c>
      <x:c r="E2100" s="6" t="str">
        <x:v>bjuwng (A)</x:v>
      </x:c>
      <x:c r="F2100" s="6" t="str">
        <x:v>上平聲一東; 去聲十二震; 去聲三十陷</x:v>
      </x:c>
      <x:c r="G2100" s="6" t="str">
        <x:v>Pingshui main list, Wikisource-derived DOCX</x:v>
      </x:c>
      <x:c r="H2100" s="6" t="str">
        <x:v>1</x:v>
      </x:c>
      <x:c r="I2100" s="6" t="str">
        <x:v>User correction 2026-09-08</x:v>
      </x:c>
      <x:c r="J2100" s="6" t="str">
        <x:f>IF(B2100="","",IF(AND(ISNUMBER(SEARCH("平",B2100)),OR(ISNUMBER(SEARCH("上",B2100)),ISNUMBER(SEARCH("去",B2100)),ISNUMBER(SEARCH("入",B2100)))),"Ambiguous",IF(ISNUMBER(SEARCH("平",B2100)),"平","仄")))</x:f>
        <x:v>仄</x:v>
      </x:c>
      <x:c r="K2100" s="6" t="str">
        <x:f>IF(D2100="","",IF(AND(ISNUMBER(SEARCH("平",D2100)),OR(ISNUMBER(SEARCH("上",D2100)),ISNUMBER(SEARCH("去",D2100)),ISNUMBER(SEARCH("入",D2100)))),"Ambiguous",IF(ISNUMBER(SEARCH("平",D2100)),"平","仄")))</x:f>
        <x:v>Ambiguous</x:v>
      </x:c>
      <x:c r="L2100" s="7" t="str"/>
    </x:row>
    <x:row r="2101">
      <x:c r="A2101" s="5" t="str">
        <x:v>汗</x:v>
      </x:c>
      <x:c r="B2101" s="6" t="str">
        <x:v>去</x:v>
      </x:c>
      <x:c r="C2101" s="6" t="str">
        <x:f>IF(B2101="","Needs decision","Ready")</x:f>
        <x:v>Ready</x:v>
      </x:c>
      <x:c r="D2101" s="6" t="str">
        <x:v>去</x:v>
      </x:c>
      <x:c r="E2101" s="6" t="str">
        <x:v>hanH (C)</x:v>
      </x:c>
      <x:c r="F2101" s="6" t="str">
        <x:v>上平聲十四寒; 去聲十五翰</x:v>
      </x:c>
      <x:c r="G2101" s="6" t="str">
        <x:v>Pingshui main list, Wikisource-derived DOCX</x:v>
      </x:c>
      <x:c r="H2101" s="6" t="str">
        <x:v>1</x:v>
      </x:c>
      <x:c r="I2101" s="6" t="str"/>
      <x:c r="J2101" s="6" t="str">
        <x:f>IF(B2101="","",IF(AND(ISNUMBER(SEARCH("平",B2101)),OR(ISNUMBER(SEARCH("上",B2101)),ISNUMBER(SEARCH("去",B2101)),ISNUMBER(SEARCH("入",B2101)))),"Ambiguous",IF(ISNUMBER(SEARCH("平",B2101)),"平","仄")))</x:f>
        <x:v>仄</x:v>
      </x:c>
      <x:c r="K2101" s="6" t="str">
        <x:f>IF(D2101="","",IF(AND(ISNUMBER(SEARCH("平",D2101)),OR(ISNUMBER(SEARCH("上",D2101)),ISNUMBER(SEARCH("去",D2101)),ISNUMBER(SEARCH("入",D2101)))),"Ambiguous",IF(ISNUMBER(SEARCH("平",D2101)),"平","仄")))</x:f>
        <x:v>仄</x:v>
      </x:c>
      <x:c r="L2101" s="7" t="str"/>
    </x:row>
    <x:row r="2102">
      <x:c r="A2102" s="5" t="str">
        <x:v>汙</x:v>
      </x:c>
      <x:c r="B2102" s="6" t="str">
        <x:v>平</x:v>
      </x:c>
      <x:c r="C2102" s="6" t="str">
        <x:f>IF(B2102="","Needs decision","Ready")</x:f>
        <x:v>Ready</x:v>
      </x:c>
      <x:c r="D2102" s="6" t="str">
        <x:v>平</x:v>
      </x:c>
      <x:c r="E2102" s="6" t="str">
        <x:v>'wae (A)</x:v>
      </x:c>
      <x:c r="F2102" s="6" t="str">
        <x:v>下平聲六麻; 去聲七遇</x:v>
      </x:c>
      <x:c r="G2102" s="6" t="str">
        <x:v>Pingshui main list, Wikisource-derived DOCX</x:v>
      </x:c>
      <x:c r="H2102" s="6" t="str">
        <x:v>1</x:v>
      </x:c>
      <x:c r="I2102" s="6" t="str"/>
      <x:c r="J2102" s="6" t="str">
        <x:f>IF(B2102="","",IF(AND(ISNUMBER(SEARCH("平",B2102)),OR(ISNUMBER(SEARCH("上",B2102)),ISNUMBER(SEARCH("去",B2102)),ISNUMBER(SEARCH("入",B2102)))),"Ambiguous",IF(ISNUMBER(SEARCH("平",B2102)),"平","仄")))</x:f>
        <x:v>平</x:v>
      </x:c>
      <x:c r="K2102" s="6" t="str">
        <x:f>IF(D2102="","",IF(AND(ISNUMBER(SEARCH("平",D2102)),OR(ISNUMBER(SEARCH("上",D2102)),ISNUMBER(SEARCH("去",D2102)),ISNUMBER(SEARCH("入",D2102)))),"Ambiguous",IF(ISNUMBER(SEARCH("平",D2102)),"平","仄")))</x:f>
        <x:v>平</x:v>
      </x:c>
      <x:c r="L2102" s="7" t="str"/>
    </x:row>
    <x:row r="2103">
      <x:c r="A2103" s="5" t="str">
        <x:v>汝</x:v>
      </x:c>
      <x:c r="B2103" s="6" t="str">
        <x:v>上</x:v>
      </x:c>
      <x:c r="C2103" s="6" t="str">
        <x:f>IF(B2103="","Needs decision","Ready")</x:f>
        <x:v>Ready</x:v>
      </x:c>
      <x:c r="D2103" s="6" t="str">
        <x:v>上</x:v>
      </x:c>
      <x:c r="E2103" s="6" t="str">
        <x:v>nyoX (B)</x:v>
      </x:c>
      <x:c r="F2103" s="6" t="str">
        <x:v>上聲六語</x:v>
      </x:c>
      <x:c r="G2103" s="6" t="str">
        <x:v>Pingshui main list, Wikisource-derived DOCX</x:v>
      </x:c>
      <x:c r="H2103" s="6" t="str">
        <x:v>1</x:v>
      </x:c>
      <x:c r="I2103" s="6" t="str"/>
      <x:c r="J2103" s="6" t="str">
        <x:f>IF(B2103="","",IF(AND(ISNUMBER(SEARCH("平",B2103)),OR(ISNUMBER(SEARCH("上",B2103)),ISNUMBER(SEARCH("去",B2103)),ISNUMBER(SEARCH("入",B2103)))),"Ambiguous",IF(ISNUMBER(SEARCH("平",B2103)),"平","仄")))</x:f>
        <x:v>仄</x:v>
      </x:c>
      <x:c r="K2103" s="6" t="str">
        <x:f>IF(D2103="","",IF(AND(ISNUMBER(SEARCH("平",D2103)),OR(ISNUMBER(SEARCH("上",D2103)),ISNUMBER(SEARCH("去",D2103)),ISNUMBER(SEARCH("入",D2103)))),"Ambiguous",IF(ISNUMBER(SEARCH("平",D2103)),"平","仄")))</x:f>
        <x:v>仄</x:v>
      </x:c>
      <x:c r="L2103" s="7" t="str"/>
    </x:row>
    <x:row r="2104">
      <x:c r="A2104" s="5" t="str">
        <x:v>江</x:v>
      </x:c>
      <x:c r="B2104" s="6" t="str">
        <x:v>平</x:v>
      </x:c>
      <x:c r="C2104" s="6" t="str">
        <x:f>IF(B2104="","Needs decision","Ready")</x:f>
        <x:v>Ready</x:v>
      </x:c>
      <x:c r="D2104" s="6" t="str">
        <x:v>平</x:v>
      </x:c>
      <x:c r="E2104" s="6" t="str">
        <x:v>kaewng (A)</x:v>
      </x:c>
      <x:c r="F2104" s="6" t="str">
        <x:v>上平聲三江</x:v>
      </x:c>
      <x:c r="G2104" s="6" t="str">
        <x:v>Pingshui main list, Wikisource-derived DOCX</x:v>
      </x:c>
      <x:c r="H2104" s="6" t="str">
        <x:v>1</x:v>
      </x:c>
      <x:c r="I2104" s="6" t="str"/>
      <x:c r="J2104" s="6" t="str">
        <x:f>IF(B2104="","",IF(AND(ISNUMBER(SEARCH("平",B2104)),OR(ISNUMBER(SEARCH("上",B2104)),ISNUMBER(SEARCH("去",B2104)),ISNUMBER(SEARCH("入",B2104)))),"Ambiguous",IF(ISNUMBER(SEARCH("平",B2104)),"平","仄")))</x:f>
        <x:v>平</x:v>
      </x:c>
      <x:c r="K2104" s="6" t="str">
        <x:f>IF(D2104="","",IF(AND(ISNUMBER(SEARCH("平",D2104)),OR(ISNUMBER(SEARCH("上",D2104)),ISNUMBER(SEARCH("去",D2104)),ISNUMBER(SEARCH("入",D2104)))),"Ambiguous",IF(ISNUMBER(SEARCH("平",D2104)),"平","仄")))</x:f>
        <x:v>平</x:v>
      </x:c>
      <x:c r="L2104" s="7" t="str"/>
    </x:row>
    <x:row r="2105">
      <x:c r="A2105" s="5" t="str">
        <x:v>池</x:v>
      </x:c>
      <x:c r="B2105" s="6" t="str">
        <x:v>平</x:v>
      </x:c>
      <x:c r="C2105" s="6" t="str">
        <x:f>IF(B2105="","Needs decision","Ready")</x:f>
        <x:v>Ready</x:v>
      </x:c>
      <x:c r="D2105" s="6" t="str">
        <x:v>平</x:v>
      </x:c>
      <x:c r="E2105" s="6" t="str">
        <x:v>drje (A)</x:v>
      </x:c>
      <x:c r="F2105" s="6" t="str">
        <x:v>上平聲四支</x:v>
      </x:c>
      <x:c r="G2105" s="6" t="str">
        <x:v>Pingshui main list, Wikisource-derived DOCX</x:v>
      </x:c>
      <x:c r="H2105" s="6" t="str">
        <x:v>1</x:v>
      </x:c>
      <x:c r="I2105" s="6" t="str"/>
      <x:c r="J2105" s="6" t="str">
        <x:f>IF(B2105="","",IF(AND(ISNUMBER(SEARCH("平",B2105)),OR(ISNUMBER(SEARCH("上",B2105)),ISNUMBER(SEARCH("去",B2105)),ISNUMBER(SEARCH("入",B2105)))),"Ambiguous",IF(ISNUMBER(SEARCH("平",B2105)),"平","仄")))</x:f>
        <x:v>平</x:v>
      </x:c>
      <x:c r="K2105" s="6" t="str">
        <x:f>IF(D2105="","",IF(AND(ISNUMBER(SEARCH("平",D2105)),OR(ISNUMBER(SEARCH("上",D2105)),ISNUMBER(SEARCH("去",D2105)),ISNUMBER(SEARCH("入",D2105)))),"Ambiguous",IF(ISNUMBER(SEARCH("平",D2105)),"平","仄")))</x:f>
        <x:v>平</x:v>
      </x:c>
      <x:c r="L2105" s="7" t="str"/>
    </x:row>
    <x:row r="2106">
      <x:c r="A2106" s="5" t="str">
        <x:v>污</x:v>
      </x:c>
      <x:c r="B2106" s="6" t="str">
        <x:v>平</x:v>
      </x:c>
      <x:c r="C2106" s="6" t="str">
        <x:f>IF(B2106="","Needs decision","Ready")</x:f>
        <x:v>Ready</x:v>
      </x:c>
      <x:c r="D2106" s="6" t="str">
        <x:v>平</x:v>
      </x:c>
      <x:c r="E2106" s="6" t="str">
        <x:v>'wae (A)</x:v>
      </x:c>
      <x:c r="F2106" s="6" t="str"/>
      <x:c r="G2106" s="6" t="str"/>
      <x:c r="H2106" s="6" t="str">
        <x:v>1</x:v>
      </x:c>
      <x:c r="I2106" s="6" t="str"/>
      <x:c r="J2106" s="6" t="str">
        <x:f>IF(B2106="","",IF(AND(ISNUMBER(SEARCH("平",B2106)),OR(ISNUMBER(SEARCH("上",B2106)),ISNUMBER(SEARCH("去",B2106)),ISNUMBER(SEARCH("入",B2106)))),"Ambiguous",IF(ISNUMBER(SEARCH("平",B2106)),"平","仄")))</x:f>
        <x:v>平</x:v>
      </x:c>
      <x:c r="K2106" s="6" t="str">
        <x:f>IF(D2106="","",IF(AND(ISNUMBER(SEARCH("平",D2106)),OR(ISNUMBER(SEARCH("上",D2106)),ISNUMBER(SEARCH("去",D2106)),ISNUMBER(SEARCH("入",D2106)))),"Ambiguous",IF(ISNUMBER(SEARCH("平",D2106)),"平","仄")))</x:f>
        <x:v>平</x:v>
      </x:c>
      <x:c r="L2106" s="7" t="str"/>
    </x:row>
    <x:row r="2107">
      <x:c r="A2107" s="5" t="str">
        <x:v>汧</x:v>
      </x:c>
      <x:c r="B2107" s="6" t="str">
        <x:v>平</x:v>
      </x:c>
      <x:c r="C2107" s="6" t="str">
        <x:f>IF(B2107="","Needs decision","Ready")</x:f>
        <x:v>Ready</x:v>
      </x:c>
      <x:c r="D2107" s="6" t="str">
        <x:v>平</x:v>
      </x:c>
      <x:c r="E2107" s="6" t="str"/>
      <x:c r="F2107" s="6" t="str">
        <x:v>下平聲一先; 去聲十七霰</x:v>
      </x:c>
      <x:c r="G2107" s="6" t="str">
        <x:v>Pingshui main list, Wikisource-derived DOCX</x:v>
      </x:c>
      <x:c r="H2107" s="6" t="str">
        <x:v>0</x:v>
      </x:c>
      <x:c r="I2107" s="6" t="str">
        <x:v>User correction 2026-09-08; added manually</x:v>
      </x:c>
      <x:c r="J2107" s="6" t="str">
        <x:f>IF(B2107="","",IF(AND(ISNUMBER(SEARCH("平",B2107)),OR(ISNUMBER(SEARCH("上",B2107)),ISNUMBER(SEARCH("去",B2107)),ISNUMBER(SEARCH("入",B2107)))),"Ambiguous",IF(ISNUMBER(SEARCH("平",B2107)),"平","仄")))</x:f>
        <x:v>平</x:v>
      </x:c>
      <x:c r="K2107" s="6" t="str">
        <x:f>IF(D2107="","",IF(AND(ISNUMBER(SEARCH("平",D2107)),OR(ISNUMBER(SEARCH("上",D2107)),ISNUMBER(SEARCH("去",D2107)),ISNUMBER(SEARCH("入",D2107)))),"Ambiguous",IF(ISNUMBER(SEARCH("平",D2107)),"平","仄")))</x:f>
        <x:v>平</x:v>
      </x:c>
      <x:c r="L2107" s="7" t="str">
        <x:v>User correction</x:v>
      </x:c>
    </x:row>
    <x:row r="2108">
      <x:c r="A2108" s="5" t="str">
        <x:v>汨</x:v>
      </x:c>
      <x:c r="B2108" s="6" t="str">
        <x:v>入</x:v>
      </x:c>
      <x:c r="C2108" s="6" t="str">
        <x:f>IF(B2108="","Needs decision","Ready")</x:f>
        <x:v>Ready</x:v>
      </x:c>
      <x:c r="D2108" s="6" t="str">
        <x:v>入</x:v>
      </x:c>
      <x:c r="E2108" s="6" t="str">
        <x:v>mek (D)</x:v>
      </x:c>
      <x:c r="F2108" s="6" t="str">
        <x:v>入聲四質; 入聲六月; 入聲十二錫</x:v>
      </x:c>
      <x:c r="G2108" s="6" t="str">
        <x:v>Pingshui main list, Wikisource-derived DOCX</x:v>
      </x:c>
      <x:c r="H2108" s="6" t="str">
        <x:v>1</x:v>
      </x:c>
      <x:c r="I2108" s="6" t="str"/>
      <x:c r="J2108" s="6" t="str">
        <x:f>IF(B2108="","",IF(AND(ISNUMBER(SEARCH("平",B2108)),OR(ISNUMBER(SEARCH("上",B2108)),ISNUMBER(SEARCH("去",B2108)),ISNUMBER(SEARCH("入",B2108)))),"Ambiguous",IF(ISNUMBER(SEARCH("平",B2108)),"平","仄")))</x:f>
        <x:v>仄</x:v>
      </x:c>
      <x:c r="K2108" s="6" t="str">
        <x:f>IF(D2108="","",IF(AND(ISNUMBER(SEARCH("平",D2108)),OR(ISNUMBER(SEARCH("上",D2108)),ISNUMBER(SEARCH("去",D2108)),ISNUMBER(SEARCH("入",D2108)))),"Ambiguous",IF(ISNUMBER(SEARCH("平",D2108)),"平","仄")))</x:f>
        <x:v>仄</x:v>
      </x:c>
      <x:c r="L2108" s="7" t="str"/>
    </x:row>
    <x:row r="2109">
      <x:c r="A2109" s="5" t="str">
        <x:v>汩</x:v>
      </x:c>
      <x:c r="B2109" s="6" t="str">
        <x:v>入</x:v>
      </x:c>
      <x:c r="C2109" s="6" t="str">
        <x:f>IF(B2109="","Needs decision","Ready")</x:f>
        <x:v>Ready</x:v>
      </x:c>
      <x:c r="D2109" s="6" t="str">
        <x:v>入</x:v>
      </x:c>
      <x:c r="E2109" s="6" t="str">
        <x:v>kwot (D); hwit (D)</x:v>
      </x:c>
      <x:c r="F2109" s="6" t="str">
        <x:v>入聲四質; 入聲六月; 入聲十二錫</x:v>
      </x:c>
      <x:c r="G2109" s="6" t="str">
        <x:v>Pingshui main list, Wikisource-derived DOCX</x:v>
      </x:c>
      <x:c r="H2109" s="6" t="str">
        <x:v>2</x:v>
      </x:c>
      <x:c r="I2109" s="6" t="str"/>
      <x:c r="J2109" s="6" t="str">
        <x:f>IF(B2109="","",IF(AND(ISNUMBER(SEARCH("平",B2109)),OR(ISNUMBER(SEARCH("上",B2109)),ISNUMBER(SEARCH("去",B2109)),ISNUMBER(SEARCH("入",B2109)))),"Ambiguous",IF(ISNUMBER(SEARCH("平",B2109)),"平","仄")))</x:f>
        <x:v>仄</x:v>
      </x:c>
      <x:c r="K2109" s="6" t="str">
        <x:f>IF(D2109="","",IF(AND(ISNUMBER(SEARCH("平",D2109)),OR(ISNUMBER(SEARCH("上",D2109)),ISNUMBER(SEARCH("去",D2109)),ISNUMBER(SEARCH("入",D2109)))),"Ambiguous",IF(ISNUMBER(SEARCH("平",D2109)),"平","仄")))</x:f>
        <x:v>仄</x:v>
      </x:c>
      <x:c r="L2109" s="7" t="str"/>
    </x:row>
    <x:row r="2110">
      <x:c r="A2110" s="5" t="str">
        <x:v>汪</x:v>
      </x:c>
      <x:c r="B2110" s="6" t="str">
        <x:v>平</x:v>
      </x:c>
      <x:c r="C2110" s="6" t="str">
        <x:f>IF(B2110="","Needs decision","Ready")</x:f>
        <x:v>Ready</x:v>
      </x:c>
      <x:c r="D2110" s="6" t="str">
        <x:v>平</x:v>
      </x:c>
      <x:c r="E2110" s="6" t="str">
        <x:v>'wang (A)</x:v>
      </x:c>
      <x:c r="F2110" s="6" t="str">
        <x:v>下平聲七陽</x:v>
      </x:c>
      <x:c r="G2110" s="6" t="str">
        <x:v>Pingshui main list, Wikisource-derived DOCX</x:v>
      </x:c>
      <x:c r="H2110" s="6" t="str">
        <x:v>1</x:v>
      </x:c>
      <x:c r="I2110" s="6" t="str"/>
      <x:c r="J2110" s="6" t="str">
        <x:f>IF(B2110="","",IF(AND(ISNUMBER(SEARCH("平",B2110)),OR(ISNUMBER(SEARCH("上",B2110)),ISNUMBER(SEARCH("去",B2110)),ISNUMBER(SEARCH("入",B2110)))),"Ambiguous",IF(ISNUMBER(SEARCH("平",B2110)),"平","仄")))</x:f>
        <x:v>平</x:v>
      </x:c>
      <x:c r="K2110" s="6" t="str">
        <x:f>IF(D2110="","",IF(AND(ISNUMBER(SEARCH("平",D2110)),OR(ISNUMBER(SEARCH("上",D2110)),ISNUMBER(SEARCH("去",D2110)),ISNUMBER(SEARCH("入",D2110)))),"Ambiguous",IF(ISNUMBER(SEARCH("平",D2110)),"平","仄")))</x:f>
        <x:v>平</x:v>
      </x:c>
      <x:c r="L2110" s="7" t="str"/>
    </x:row>
    <x:row r="2111">
      <x:c r="A2111" s="5" t="str">
        <x:v>汰</x:v>
      </x:c>
      <x:c r="B2111" s="6" t="str">
        <x:v>去</x:v>
      </x:c>
      <x:c r="C2111" s="6" t="str">
        <x:f>IF(B2111="","Needs decision","Ready")</x:f>
        <x:v>Ready</x:v>
      </x:c>
      <x:c r="D2111" s="6" t="str">
        <x:v>去</x:v>
      </x:c>
      <x:c r="E2111" s="6" t="str">
        <x:v>dajH (C)</x:v>
      </x:c>
      <x:c r="F2111" s="6" t="str">
        <x:v>去聲九泰</x:v>
      </x:c>
      <x:c r="G2111" s="6" t="str">
        <x:v>Pingshui main list, Wikisource-derived DOCX</x:v>
      </x:c>
      <x:c r="H2111" s="6" t="str">
        <x:v>1</x:v>
      </x:c>
      <x:c r="I2111" s="6" t="str"/>
      <x:c r="J2111" s="6" t="str">
        <x:f>IF(B2111="","",IF(AND(ISNUMBER(SEARCH("平",B2111)),OR(ISNUMBER(SEARCH("上",B2111)),ISNUMBER(SEARCH("去",B2111)),ISNUMBER(SEARCH("入",B2111)))),"Ambiguous",IF(ISNUMBER(SEARCH("平",B2111)),"平","仄")))</x:f>
        <x:v>仄</x:v>
      </x:c>
      <x:c r="K2111" s="6" t="str">
        <x:f>IF(D2111="","",IF(AND(ISNUMBER(SEARCH("平",D2111)),OR(ISNUMBER(SEARCH("上",D2111)),ISNUMBER(SEARCH("去",D2111)),ISNUMBER(SEARCH("入",D2111)))),"Ambiguous",IF(ISNUMBER(SEARCH("平",D2111)),"平","仄")))</x:f>
        <x:v>仄</x:v>
      </x:c>
      <x:c r="L2111" s="7" t="str"/>
    </x:row>
    <x:row r="2112">
      <x:c r="A2112" s="5" t="str">
        <x:v>汲</x:v>
      </x:c>
      <x:c r="B2112" s="6" t="str">
        <x:v>入</x:v>
      </x:c>
      <x:c r="C2112" s="6" t="str">
        <x:f>IF(B2112="","Needs decision","Ready")</x:f>
        <x:v>Ready</x:v>
      </x:c>
      <x:c r="D2112" s="6" t="str">
        <x:v>入</x:v>
      </x:c>
      <x:c r="E2112" s="6" t="str">
        <x:v>kip [kɨ̯ip] (入)</x:v>
      </x:c>
      <x:c r="F2112" s="6" t="str">
        <x:v>入聲十四緝</x:v>
      </x:c>
      <x:c r="G2112" s="6" t="str">
        <x:v>Pingshui main list, Wikisource-derived DOCX</x:v>
      </x:c>
      <x:c r="H2112" s="6" t="str">
        <x:v>1</x:v>
      </x:c>
      <x:c r="I2112" s="6" t="str">
        <x:v>Tang 300 gap; frequency 3; provisional from Xun Gong</x:v>
      </x:c>
      <x:c r="J2112" s="6" t="str">
        <x:f>IF(B2112="","",IF(AND(ISNUMBER(SEARCH("平",B2112)),OR(ISNUMBER(SEARCH("上",B2112)),ISNUMBER(SEARCH("去",B2112)),ISNUMBER(SEARCH("入",B2112)))),"Ambiguous",IF(ISNUMBER(SEARCH("平",B2112)),"平","仄")))</x:f>
        <x:v>仄</x:v>
      </x:c>
      <x:c r="K2112" s="6" t="str">
        <x:f>IF(D2112="","",IF(AND(ISNUMBER(SEARCH("平",D2112)),OR(ISNUMBER(SEARCH("上",D2112)),ISNUMBER(SEARCH("去",D2112)),ISNUMBER(SEARCH("入",D2112)))),"Ambiguous",IF(ISNUMBER(SEARCH("平",D2112)),"平","仄")))</x:f>
        <x:v>仄</x:v>
      </x:c>
      <x:c r="L2112" s="7" t="str">
        <x:v>Xun Gong, Tang 300 gap fill</x:v>
      </x:c>
    </x:row>
    <x:row r="2113">
      <x:c r="A2113" s="5" t="str">
        <x:v>汶</x:v>
      </x:c>
      <x:c r="B2113" s="6" t="str">
        <x:v>平</x:v>
      </x:c>
      <x:c r="C2113" s="6" t="str">
        <x:f>IF(B2113="","Needs decision","Ready")</x:f>
        <x:v>Ready</x:v>
      </x:c>
      <x:c r="D2113" s="6" t="str">
        <x:v>平</x:v>
      </x:c>
      <x:c r="E2113" s="6" t="str">
        <x:v>mwon (A)</x:v>
      </x:c>
      <x:c r="F2113" s="6" t="str">
        <x:v>去聲十三問</x:v>
      </x:c>
      <x:c r="G2113" s="6" t="str">
        <x:v>Pingshui main list, Wikisource-derived DOCX</x:v>
      </x:c>
      <x:c r="H2113" s="6" t="str">
        <x:v>1</x:v>
      </x:c>
      <x:c r="I2113" s="6" t="str"/>
      <x:c r="J2113" s="6" t="str">
        <x:f>IF(B2113="","",IF(AND(ISNUMBER(SEARCH("平",B2113)),OR(ISNUMBER(SEARCH("上",B2113)),ISNUMBER(SEARCH("去",B2113)),ISNUMBER(SEARCH("入",B2113)))),"Ambiguous",IF(ISNUMBER(SEARCH("平",B2113)),"平","仄")))</x:f>
        <x:v>平</x:v>
      </x:c>
      <x:c r="K2113" s="6" t="str">
        <x:f>IF(D2113="","",IF(AND(ISNUMBER(SEARCH("平",D2113)),OR(ISNUMBER(SEARCH("上",D2113)),ISNUMBER(SEARCH("去",D2113)),ISNUMBER(SEARCH("入",D2113)))),"Ambiguous",IF(ISNUMBER(SEARCH("平",D2113)),"平","仄")))</x:f>
        <x:v>平</x:v>
      </x:c>
      <x:c r="L2113" s="7" t="str"/>
    </x:row>
    <x:row r="2114">
      <x:c r="A2114" s="5" t="str">
        <x:v>決</x:v>
      </x:c>
      <x:c r="B2114" s="6" t="str">
        <x:v>入</x:v>
      </x:c>
      <x:c r="C2114" s="6" t="str">
        <x:f>IF(B2114="","Needs decision","Ready")</x:f>
        <x:v>Ready</x:v>
      </x:c>
      <x:c r="D2114" s="6" t="str">
        <x:v>入</x:v>
      </x:c>
      <x:c r="E2114" s="6" t="str">
        <x:v>kwet (D)</x:v>
      </x:c>
      <x:c r="F2114" s="6" t="str">
        <x:v>入聲九屑</x:v>
      </x:c>
      <x:c r="G2114" s="6" t="str">
        <x:v>Pingshui main list, Wikisource-derived DOCX</x:v>
      </x:c>
      <x:c r="H2114" s="6" t="str">
        <x:v>1</x:v>
      </x:c>
      <x:c r="I2114" s="6" t="str"/>
      <x:c r="J2114" s="6" t="str">
        <x:f>IF(B2114="","",IF(AND(ISNUMBER(SEARCH("平",B2114)),OR(ISNUMBER(SEARCH("上",B2114)),ISNUMBER(SEARCH("去",B2114)),ISNUMBER(SEARCH("入",B2114)))),"Ambiguous",IF(ISNUMBER(SEARCH("平",B2114)),"平","仄")))</x:f>
        <x:v>仄</x:v>
      </x:c>
      <x:c r="K2114" s="6" t="str">
        <x:f>IF(D2114="","",IF(AND(ISNUMBER(SEARCH("平",D2114)),OR(ISNUMBER(SEARCH("上",D2114)),ISNUMBER(SEARCH("去",D2114)),ISNUMBER(SEARCH("入",D2114)))),"Ambiguous",IF(ISNUMBER(SEARCH("平",D2114)),"平","仄")))</x:f>
        <x:v>仄</x:v>
      </x:c>
      <x:c r="L2114" s="7" t="str"/>
    </x:row>
    <x:row r="2115">
      <x:c r="A2115" s="5" t="str">
        <x:v>汾</x:v>
      </x:c>
      <x:c r="B2115" s="6" t="str">
        <x:v>平</x:v>
      </x:c>
      <x:c r="C2115" s="6" t="str">
        <x:f>IF(B2115="","Needs decision","Ready")</x:f>
        <x:v>Ready</x:v>
      </x:c>
      <x:c r="D2115" s="6" t="str">
        <x:v>平</x:v>
      </x:c>
      <x:c r="E2115" s="6" t="str"/>
      <x:c r="F2115" s="6" t="str">
        <x:v>上平聲十二文</x:v>
      </x:c>
      <x:c r="G2115" s="6" t="str">
        <x:v>Pingshui main list, Wikisource-derived DOCX</x:v>
      </x:c>
      <x:c r="H2115" s="6" t="str">
        <x:v>0</x:v>
      </x:c>
      <x:c r="I2115" s="6" t="str">
        <x:v>User correction 2026-09-08; added manually</x:v>
      </x:c>
      <x:c r="J2115" s="6" t="str">
        <x:f>IF(B2115="","",IF(AND(ISNUMBER(SEARCH("平",B2115)),OR(ISNUMBER(SEARCH("上",B2115)),ISNUMBER(SEARCH("去",B2115)),ISNUMBER(SEARCH("入",B2115)))),"Ambiguous",IF(ISNUMBER(SEARCH("平",B2115)),"平","仄")))</x:f>
        <x:v>平</x:v>
      </x:c>
      <x:c r="K2115" s="6" t="str">
        <x:f>IF(D2115="","",IF(AND(ISNUMBER(SEARCH("平",D2115)),OR(ISNUMBER(SEARCH("上",D2115)),ISNUMBER(SEARCH("去",D2115)),ISNUMBER(SEARCH("入",D2115)))),"Ambiguous",IF(ISNUMBER(SEARCH("平",D2115)),"平","仄")))</x:f>
        <x:v>平</x:v>
      </x:c>
      <x:c r="L2115" s="7" t="str">
        <x:v>User correction</x:v>
      </x:c>
    </x:row>
    <x:row r="2116">
      <x:c r="A2116" s="5" t="str">
        <x:v>沁</x:v>
      </x:c>
      <x:c r="B2116" s="6" t="str">
        <x:v>去</x:v>
      </x:c>
      <x:c r="C2116" s="6" t="str">
        <x:f>IF(B2116="","Needs decision","Ready")</x:f>
        <x:v>Ready</x:v>
      </x:c>
      <x:c r="D2116" s="6" t="str">
        <x:v>去</x:v>
      </x:c>
      <x:c r="E2116" s="6" t="str">
        <x:v>tshimH [tsʰimh] (去)</x:v>
      </x:c>
      <x:c r="F2116" s="6" t="str">
        <x:v>去聲二十七沁</x:v>
      </x:c>
      <x:c r="G2116" s="6" t="str">
        <x:v>Pingshui main list, Wikisource-derived DOCX</x:v>
      </x:c>
      <x:c r="H2116" s="6" t="str">
        <x:v>1</x:v>
      </x:c>
      <x:c r="I2116" s="6" t="str">
        <x:v>Tang 300 gap; frequency 5; provisional from Xun Gong</x:v>
      </x:c>
      <x:c r="J2116" s="6" t="str">
        <x:f>IF(B2116="","",IF(AND(ISNUMBER(SEARCH("平",B2116)),OR(ISNUMBER(SEARCH("上",B2116)),ISNUMBER(SEARCH("去",B2116)),ISNUMBER(SEARCH("入",B2116)))),"Ambiguous",IF(ISNUMBER(SEARCH("平",B2116)),"平","仄")))</x:f>
        <x:v>仄</x:v>
      </x:c>
      <x:c r="K2116" s="6" t="str">
        <x:f>IF(D2116="","",IF(AND(ISNUMBER(SEARCH("平",D2116)),OR(ISNUMBER(SEARCH("上",D2116)),ISNUMBER(SEARCH("去",D2116)),ISNUMBER(SEARCH("入",D2116)))),"Ambiguous",IF(ISNUMBER(SEARCH("平",D2116)),"平","仄")))</x:f>
        <x:v>仄</x:v>
      </x:c>
      <x:c r="L2116" s="7" t="str">
        <x:v>Xun Gong, Tang 300 gap fill</x:v>
      </x:c>
    </x:row>
    <x:row r="2117">
      <x:c r="A2117" s="5" t="str">
        <x:v>沂</x:v>
      </x:c>
      <x:c r="B2117" s="6" t="str">
        <x:v>平</x:v>
      </x:c>
      <x:c r="C2117" s="6" t="str">
        <x:f>IF(B2117="","Needs decision","Ready")</x:f>
        <x:v>Ready</x:v>
      </x:c>
      <x:c r="D2117" s="6" t="str">
        <x:v>平</x:v>
      </x:c>
      <x:c r="E2117" s="6" t="str">
        <x:v>ngj+j (A)</x:v>
      </x:c>
      <x:c r="F2117" s="6" t="str">
        <x:v>上平聲五微</x:v>
      </x:c>
      <x:c r="G2117" s="6" t="str">
        <x:v>Pingshui main list, Wikisource-derived DOCX</x:v>
      </x:c>
      <x:c r="H2117" s="6" t="str">
        <x:v>1</x:v>
      </x:c>
      <x:c r="I2117" s="6" t="str"/>
      <x:c r="J2117" s="6" t="str">
        <x:f>IF(B2117="","",IF(AND(ISNUMBER(SEARCH("平",B2117)),OR(ISNUMBER(SEARCH("上",B2117)),ISNUMBER(SEARCH("去",B2117)),ISNUMBER(SEARCH("入",B2117)))),"Ambiguous",IF(ISNUMBER(SEARCH("平",B2117)),"平","仄")))</x:f>
        <x:v>平</x:v>
      </x:c>
      <x:c r="K2117" s="6" t="str">
        <x:f>IF(D2117="","",IF(AND(ISNUMBER(SEARCH("平",D2117)),OR(ISNUMBER(SEARCH("上",D2117)),ISNUMBER(SEARCH("去",D2117)),ISNUMBER(SEARCH("入",D2117)))),"Ambiguous",IF(ISNUMBER(SEARCH("平",D2117)),"平","仄")))</x:f>
        <x:v>平</x:v>
      </x:c>
      <x:c r="L2117" s="7" t="str"/>
    </x:row>
    <x:row r="2118">
      <x:c r="A2118" s="5" t="str">
        <x:v>沃</x:v>
      </x:c>
      <x:c r="B2118" s="6" t="str">
        <x:v>入</x:v>
      </x:c>
      <x:c r="C2118" s="6" t="str">
        <x:f>IF(B2118="","Needs decision","Ready")</x:f>
        <x:v>Ready</x:v>
      </x:c>
      <x:c r="D2118" s="6" t="str">
        <x:v>入</x:v>
      </x:c>
      <x:c r="E2118" s="6" t="str">
        <x:v>'owk [影一冬入] ʔ̙ok</x:v>
      </x:c>
      <x:c r="F2118" s="6" t="str">
        <x:v>入聲二沃</x:v>
      </x:c>
      <x:c r="G2118" s="6" t="str">
        <x:v>Pingshui main list, Wikisource-derived DOCX</x:v>
      </x:c>
      <x:c r="H2118" s="6" t="str">
        <x:v>1</x:v>
      </x:c>
      <x:c r="I2118" s="6" t="str">
        <x:v>Targeted preliminary fill from Xun Gong; review if uncertain</x:v>
      </x:c>
      <x:c r="J2118" s="6" t="str">
        <x:f>IF(B2118="","",IF(AND(ISNUMBER(SEARCH("平",B2118)),OR(ISNUMBER(SEARCH("上",B2118)),ISNUMBER(SEARCH("去",B2118)),ISNUMBER(SEARCH("入",B2118)))),"Ambiguous",IF(ISNUMBER(SEARCH("平",B2118)),"平","仄")))</x:f>
        <x:v>仄</x:v>
      </x:c>
      <x:c r="K2118" s="6" t="str">
        <x:f>IF(D2118="","",IF(AND(ISNUMBER(SEARCH("平",D2118)),OR(ISNUMBER(SEARCH("上",D2118)),ISNUMBER(SEARCH("去",D2118)),ISNUMBER(SEARCH("入",D2118)))),"Ambiguous",IF(ISNUMBER(SEARCH("平",D2118)),"平","仄")))</x:f>
        <x:v>仄</x:v>
      </x:c>
      <x:c r="L2118" s="7" t="str">
        <x:v>Xun Gong character-readings.csv</x:v>
      </x:c>
    </x:row>
    <x:row r="2119">
      <x:c r="A2119" s="5" t="str">
        <x:v>沈</x:v>
      </x:c>
      <x:c r="B2119" s="6" t="str">
        <x:v>平</x:v>
      </x:c>
      <x:c r="C2119" s="6" t="str">
        <x:f>IF(B2119="","Needs decision","Ready")</x:f>
        <x:v>Ready</x:v>
      </x:c>
      <x:c r="D2119" s="6" t="str">
        <x:v>平/上/去</x:v>
      </x:c>
      <x:c r="E2119" s="6" t="str">
        <x:v>drim (A); drimH (C); syimX (B)</x:v>
      </x:c>
      <x:c r="F2119" s="6" t="str">
        <x:v>下平聲十二侵; 上聲二十六寢; 去聲二十七沁</x:v>
      </x:c>
      <x:c r="G2119" s="6" t="str">
        <x:v>Pingshui main list, Wikisource-derived DOCX</x:v>
      </x:c>
      <x:c r="H2119" s="6" t="str">
        <x:v>3</x:v>
      </x:c>
      <x:c r="I2119" s="6" t="str"/>
      <x:c r="J2119" s="6" t="str">
        <x:f>IF(B2119="","",IF(AND(ISNUMBER(SEARCH("平",B2119)),OR(ISNUMBER(SEARCH("上",B2119)),ISNUMBER(SEARCH("去",B2119)),ISNUMBER(SEARCH("入",B2119)))),"Ambiguous",IF(ISNUMBER(SEARCH("平",B2119)),"平","仄")))</x:f>
        <x:v>平</x:v>
      </x:c>
      <x:c r="K2119" s="6" t="str">
        <x:f>IF(D2119="","",IF(AND(ISNUMBER(SEARCH("平",D2119)),OR(ISNUMBER(SEARCH("上",D2119)),ISNUMBER(SEARCH("去",D2119)),ISNUMBER(SEARCH("入",D2119)))),"Ambiguous",IF(ISNUMBER(SEARCH("平",D2119)),"平","仄")))</x:f>
        <x:v>Ambiguous</x:v>
      </x:c>
      <x:c r="L2119" s="7" t="str"/>
    </x:row>
    <x:row r="2120">
      <x:c r="A2120" s="5" t="str">
        <x:v>沉</x:v>
      </x:c>
      <x:c r="B2120" s="6" t="str">
        <x:v>平</x:v>
      </x:c>
      <x:c r="C2120" s="6" t="str">
        <x:f>IF(B2120="","Needs decision","Ready")</x:f>
        <x:v>Ready</x:v>
      </x:c>
      <x:c r="D2120" s="6" t="str">
        <x:v>平</x:v>
      </x:c>
      <x:c r="E2120" s="6" t="str"/>
      <x:c r="F2120" s="6" t="str"/>
      <x:c r="G2120" s="6" t="str"/>
      <x:c r="H2120" s="6" t="str"/>
      <x:c r="I2120" s="6" t="str">
        <x:v>Manual user correction/addition</x:v>
      </x:c>
      <x:c r="J2120" s="6" t="str">
        <x:f>IF(B2120="","",IF(AND(ISNUMBER(SEARCH("平",B2120)),OR(ISNUMBER(SEARCH("上",B2120)),ISNUMBER(SEARCH("去",B2120)),ISNUMBER(SEARCH("入",B2120)))),"Ambiguous",IF(ISNUMBER(SEARCH("平",B2120)),"平","仄")))</x:f>
        <x:v>平</x:v>
      </x:c>
      <x:c r="K2120" s="6" t="str">
        <x:f>IF(D2120="","",IF(AND(ISNUMBER(SEARCH("平",D2120)),OR(ISNUMBER(SEARCH("上",D2120)),ISNUMBER(SEARCH("去",D2120)),ISNUMBER(SEARCH("入",D2120)))),"Ambiguous",IF(ISNUMBER(SEARCH("平",D2120)),"平","仄")))</x:f>
        <x:v>平</x:v>
      </x:c>
      <x:c r="L2120" s="7" t="str">
        <x:v>manual user correction</x:v>
      </x:c>
    </x:row>
    <x:row r="2121">
      <x:c r="A2121" s="5" t="str">
        <x:v>沍</x:v>
      </x:c>
      <x:c r="B2121" s="6" t="str">
        <x:v>去</x:v>
      </x:c>
      <x:c r="C2121" s="6" t="str">
        <x:f>IF(B2121="","Needs decision","Ready")</x:f>
        <x:v>Ready</x:v>
      </x:c>
      <x:c r="D2121" s="6" t="str">
        <x:v>去</x:v>
      </x:c>
      <x:c r="E2121" s="6" t="str">
        <x:v>huH (C)</x:v>
      </x:c>
      <x:c r="F2121" s="6" t="str">
        <x:v>去聲七遇</x:v>
      </x:c>
      <x:c r="G2121" s="6" t="str">
        <x:v>Pingshui main list, Wikisource-derived DOCX</x:v>
      </x:c>
      <x:c r="H2121" s="6" t="str">
        <x:v>1</x:v>
      </x:c>
      <x:c r="I2121" s="6" t="str"/>
      <x:c r="J2121" s="6" t="str">
        <x:f>IF(B2121="","",IF(AND(ISNUMBER(SEARCH("平",B2121)),OR(ISNUMBER(SEARCH("上",B2121)),ISNUMBER(SEARCH("去",B2121)),ISNUMBER(SEARCH("入",B2121)))),"Ambiguous",IF(ISNUMBER(SEARCH("平",B2121)),"平","仄")))</x:f>
        <x:v>仄</x:v>
      </x:c>
      <x:c r="K2121" s="6" t="str">
        <x:f>IF(D2121="","",IF(AND(ISNUMBER(SEARCH("平",D2121)),OR(ISNUMBER(SEARCH("上",D2121)),ISNUMBER(SEARCH("去",D2121)),ISNUMBER(SEARCH("入",D2121)))),"Ambiguous",IF(ISNUMBER(SEARCH("平",D2121)),"平","仄")))</x:f>
        <x:v>仄</x:v>
      </x:c>
      <x:c r="L2121" s="7" t="str"/>
    </x:row>
    <x:row r="2122">
      <x:c r="A2122" s="5" t="str">
        <x:v>沐</x:v>
      </x:c>
      <x:c r="B2122" s="6" t="str">
        <x:v>入</x:v>
      </x:c>
      <x:c r="C2122" s="6" t="str">
        <x:f>IF(B2122="","Needs decision","Ready")</x:f>
        <x:v>Ready</x:v>
      </x:c>
      <x:c r="D2122" s="6" t="str">
        <x:v>入</x:v>
      </x:c>
      <x:c r="E2122" s="6" t="str">
        <x:v>muwk [m̙uk] (入)</x:v>
      </x:c>
      <x:c r="F2122" s="6" t="str">
        <x:v>入聲一屋</x:v>
      </x:c>
      <x:c r="G2122" s="6" t="str">
        <x:v>Pingshui main list, Wikisource-derived DOCX</x:v>
      </x:c>
      <x:c r="H2122" s="6" t="str">
        <x:v>1</x:v>
      </x:c>
      <x:c r="I2122" s="6" t="str">
        <x:v>Tang 300 gap; frequency 2; provisional from Xun Gong</x:v>
      </x:c>
      <x:c r="J2122" s="6" t="str">
        <x:f>IF(B2122="","",IF(AND(ISNUMBER(SEARCH("平",B2122)),OR(ISNUMBER(SEARCH("上",B2122)),ISNUMBER(SEARCH("去",B2122)),ISNUMBER(SEARCH("入",B2122)))),"Ambiguous",IF(ISNUMBER(SEARCH("平",B2122)),"平","仄")))</x:f>
        <x:v>仄</x:v>
      </x:c>
      <x:c r="K2122" s="6" t="str">
        <x:f>IF(D2122="","",IF(AND(ISNUMBER(SEARCH("平",D2122)),OR(ISNUMBER(SEARCH("上",D2122)),ISNUMBER(SEARCH("去",D2122)),ISNUMBER(SEARCH("入",D2122)))),"Ambiguous",IF(ISNUMBER(SEARCH("平",D2122)),"平","仄")))</x:f>
        <x:v>仄</x:v>
      </x:c>
      <x:c r="L2122" s="7" t="str">
        <x:v>Xun Gong, Tang 300 gap fill</x:v>
      </x:c>
    </x:row>
    <x:row r="2123">
      <x:c r="A2123" s="5" t="str">
        <x:v>沒</x:v>
      </x:c>
      <x:c r="B2123" s="6" t="str">
        <x:v>入</x:v>
      </x:c>
      <x:c r="C2123" s="6" t="str">
        <x:f>IF(B2123="","Needs decision","Ready")</x:f>
        <x:v>Ready</x:v>
      </x:c>
      <x:c r="D2123" s="6" t="str">
        <x:v>入</x:v>
      </x:c>
      <x:c r="E2123" s="6" t="str">
        <x:v>mwot (D)</x:v>
      </x:c>
      <x:c r="F2123" s="6" t="str">
        <x:v>入聲六月</x:v>
      </x:c>
      <x:c r="G2123" s="6" t="str">
        <x:v>Pingshui main list, Wikisource-derived DOCX</x:v>
      </x:c>
      <x:c r="H2123" s="6" t="str">
        <x:v>1</x:v>
      </x:c>
      <x:c r="I2123" s="6" t="str"/>
      <x:c r="J2123" s="6" t="str">
        <x:f>IF(B2123="","",IF(AND(ISNUMBER(SEARCH("平",B2123)),OR(ISNUMBER(SEARCH("上",B2123)),ISNUMBER(SEARCH("去",B2123)),ISNUMBER(SEARCH("入",B2123)))),"Ambiguous",IF(ISNUMBER(SEARCH("平",B2123)),"平","仄")))</x:f>
        <x:v>仄</x:v>
      </x:c>
      <x:c r="K2123" s="6" t="str">
        <x:f>IF(D2123="","",IF(AND(ISNUMBER(SEARCH("平",D2123)),OR(ISNUMBER(SEARCH("上",D2123)),ISNUMBER(SEARCH("去",D2123)),ISNUMBER(SEARCH("入",D2123)))),"Ambiguous",IF(ISNUMBER(SEARCH("平",D2123)),"平","仄")))</x:f>
        <x:v>仄</x:v>
      </x:c>
      <x:c r="L2123" s="7" t="str"/>
    </x:row>
    <x:row r="2124">
      <x:c r="A2124" s="5" t="str">
        <x:v>沓</x:v>
      </x:c>
      <x:c r="B2124" s="6" t="str">
        <x:v>入</x:v>
      </x:c>
      <x:c r="C2124" s="6" t="str">
        <x:f>IF(B2124="","Needs decision","Ready")</x:f>
        <x:v>Ready</x:v>
      </x:c>
      <x:c r="D2124" s="6" t="str">
        <x:v>入</x:v>
      </x:c>
      <x:c r="E2124" s="6" t="str">
        <x:v>dop (D)</x:v>
      </x:c>
      <x:c r="F2124" s="6" t="str">
        <x:v>入聲十五合</x:v>
      </x:c>
      <x:c r="G2124" s="6" t="str">
        <x:v>Pingshui main list, Wikisource-derived DOCX</x:v>
      </x:c>
      <x:c r="H2124" s="6" t="str">
        <x:v>1</x:v>
      </x:c>
      <x:c r="I2124" s="6" t="str"/>
      <x:c r="J2124" s="6" t="str">
        <x:f>IF(B2124="","",IF(AND(ISNUMBER(SEARCH("平",B2124)),OR(ISNUMBER(SEARCH("上",B2124)),ISNUMBER(SEARCH("去",B2124)),ISNUMBER(SEARCH("入",B2124)))),"Ambiguous",IF(ISNUMBER(SEARCH("平",B2124)),"平","仄")))</x:f>
        <x:v>仄</x:v>
      </x:c>
      <x:c r="K2124" s="6" t="str">
        <x:f>IF(D2124="","",IF(AND(ISNUMBER(SEARCH("平",D2124)),OR(ISNUMBER(SEARCH("上",D2124)),ISNUMBER(SEARCH("去",D2124)),ISNUMBER(SEARCH("入",D2124)))),"Ambiguous",IF(ISNUMBER(SEARCH("平",D2124)),"平","仄")))</x:f>
        <x:v>仄</x:v>
      </x:c>
      <x:c r="L2124" s="7" t="str"/>
    </x:row>
    <x:row r="2125">
      <x:c r="A2125" s="5" t="str">
        <x:v>沔</x:v>
      </x:c>
      <x:c r="B2125" s="6" t="str">
        <x:v>上</x:v>
      </x:c>
      <x:c r="C2125" s="6" t="str">
        <x:f>IF(B2125="","Needs decision","Ready")</x:f>
        <x:v>Ready</x:v>
      </x:c>
      <x:c r="D2125" s="6" t="str">
        <x:v>上</x:v>
      </x:c>
      <x:c r="E2125" s="6" t="str">
        <x:v>mjienX (B)</x:v>
      </x:c>
      <x:c r="F2125" s="6" t="str">
        <x:v>上聲十六銑</x:v>
      </x:c>
      <x:c r="G2125" s="6" t="str">
        <x:v>Pingshui main list, Wikisource-derived DOCX</x:v>
      </x:c>
      <x:c r="H2125" s="6" t="str">
        <x:v>1</x:v>
      </x:c>
      <x:c r="I2125" s="6" t="str"/>
      <x:c r="J2125" s="6" t="str">
        <x:f>IF(B2125="","",IF(AND(ISNUMBER(SEARCH("平",B2125)),OR(ISNUMBER(SEARCH("上",B2125)),ISNUMBER(SEARCH("去",B2125)),ISNUMBER(SEARCH("入",B2125)))),"Ambiguous",IF(ISNUMBER(SEARCH("平",B2125)),"平","仄")))</x:f>
        <x:v>仄</x:v>
      </x:c>
      <x:c r="K2125" s="6" t="str">
        <x:f>IF(D2125="","",IF(AND(ISNUMBER(SEARCH("平",D2125)),OR(ISNUMBER(SEARCH("上",D2125)),ISNUMBER(SEARCH("去",D2125)),ISNUMBER(SEARCH("入",D2125)))),"Ambiguous",IF(ISNUMBER(SEARCH("平",D2125)),"平","仄")))</x:f>
        <x:v>仄</x:v>
      </x:c>
      <x:c r="L2125" s="7" t="str"/>
    </x:row>
    <x:row r="2126">
      <x:c r="A2126" s="5" t="str">
        <x:v>沖</x:v>
      </x:c>
      <x:c r="B2126" s="6" t="str">
        <x:v>平</x:v>
      </x:c>
      <x:c r="C2126" s="6" t="str">
        <x:f>IF(B2126="","Needs decision","Ready")</x:f>
        <x:v>Ready</x:v>
      </x:c>
      <x:c r="D2126" s="6" t="str">
        <x:v>平</x:v>
      </x:c>
      <x:c r="E2126" s="6" t="str">
        <x:v>drjuwng (A)</x:v>
      </x:c>
      <x:c r="F2126" s="6" t="str">
        <x:v>上平聲一東</x:v>
      </x:c>
      <x:c r="G2126" s="6" t="str">
        <x:v>Pingshui main list, Wikisource-derived DOCX</x:v>
      </x:c>
      <x:c r="H2126" s="6" t="str">
        <x:v>1</x:v>
      </x:c>
      <x:c r="I2126" s="6" t="str"/>
      <x:c r="J2126" s="6" t="str">
        <x:f>IF(B2126="","",IF(AND(ISNUMBER(SEARCH("平",B2126)),OR(ISNUMBER(SEARCH("上",B2126)),ISNUMBER(SEARCH("去",B2126)),ISNUMBER(SEARCH("入",B2126)))),"Ambiguous",IF(ISNUMBER(SEARCH("平",B2126)),"平","仄")))</x:f>
        <x:v>平</x:v>
      </x:c>
      <x:c r="K2126" s="6" t="str">
        <x:f>IF(D2126="","",IF(AND(ISNUMBER(SEARCH("平",D2126)),OR(ISNUMBER(SEARCH("上",D2126)),ISNUMBER(SEARCH("去",D2126)),ISNUMBER(SEARCH("入",D2126)))),"Ambiguous",IF(ISNUMBER(SEARCH("平",D2126)),"平","仄")))</x:f>
        <x:v>平</x:v>
      </x:c>
      <x:c r="L2126" s="7" t="str"/>
    </x:row>
    <x:row r="2127">
      <x:c r="A2127" s="5" t="str">
        <x:v>沙</x:v>
      </x:c>
      <x:c r="B2127" s="6" t="str">
        <x:v>平</x:v>
      </x:c>
      <x:c r="C2127" s="6" t="str">
        <x:f>IF(B2127="","Needs decision","Ready")</x:f>
        <x:v>Ready</x:v>
      </x:c>
      <x:c r="D2127" s="6" t="str">
        <x:v>平</x:v>
      </x:c>
      <x:c r="E2127" s="6" t="str">
        <x:v>srae (A)</x:v>
      </x:c>
      <x:c r="F2127" s="6" t="str">
        <x:v>下平聲六麻</x:v>
      </x:c>
      <x:c r="G2127" s="6" t="str">
        <x:v>Pingshui main list, Wikisource-derived DOCX</x:v>
      </x:c>
      <x:c r="H2127" s="6" t="str">
        <x:v>1</x:v>
      </x:c>
      <x:c r="I2127" s="6" t="str"/>
      <x:c r="J2127" s="6" t="str">
        <x:f>IF(B2127="","",IF(AND(ISNUMBER(SEARCH("平",B2127)),OR(ISNUMBER(SEARCH("上",B2127)),ISNUMBER(SEARCH("去",B2127)),ISNUMBER(SEARCH("入",B2127)))),"Ambiguous",IF(ISNUMBER(SEARCH("平",B2127)),"平","仄")))</x:f>
        <x:v>平</x:v>
      </x:c>
      <x:c r="K2127" s="6" t="str">
        <x:f>IF(D2127="","",IF(AND(ISNUMBER(SEARCH("平",D2127)),OR(ISNUMBER(SEARCH("上",D2127)),ISNUMBER(SEARCH("去",D2127)),ISNUMBER(SEARCH("入",D2127)))),"Ambiguous",IF(ISNUMBER(SEARCH("平",D2127)),"平","仄")))</x:f>
        <x:v>平</x:v>
      </x:c>
      <x:c r="L2127" s="7" t="str"/>
    </x:row>
    <x:row r="2128">
      <x:c r="A2128" s="5" t="str">
        <x:v>沝</x:v>
      </x:c>
      <x:c r="B2128" s="6" t="str">
        <x:v>上</x:v>
      </x:c>
      <x:c r="C2128" s="6" t="str">
        <x:f>IF(B2128="","Needs decision","Ready")</x:f>
        <x:v>Ready</x:v>
      </x:c>
      <x:c r="D2128" s="6" t="str">
        <x:v>上</x:v>
      </x:c>
      <x:c r="E2128" s="6" t="str">
        <x:v>tsywijX (B)</x:v>
      </x:c>
      <x:c r="F2128" s="6" t="str"/>
      <x:c r="G2128" s="6" t="str"/>
      <x:c r="H2128" s="6" t="str">
        <x:v>1</x:v>
      </x:c>
      <x:c r="I2128" s="6" t="str"/>
      <x:c r="J2128" s="6" t="str">
        <x:f>IF(B2128="","",IF(AND(ISNUMBER(SEARCH("平",B2128)),OR(ISNUMBER(SEARCH("上",B2128)),ISNUMBER(SEARCH("去",B2128)),ISNUMBER(SEARCH("入",B2128)))),"Ambiguous",IF(ISNUMBER(SEARCH("平",B2128)),"平","仄")))</x:f>
        <x:v>仄</x:v>
      </x:c>
      <x:c r="K2128" s="6" t="str">
        <x:f>IF(D2128="","",IF(AND(ISNUMBER(SEARCH("平",D2128)),OR(ISNUMBER(SEARCH("上",D2128)),ISNUMBER(SEARCH("去",D2128)),ISNUMBER(SEARCH("入",D2128)))),"Ambiguous",IF(ISNUMBER(SEARCH("平",D2128)),"平","仄")))</x:f>
        <x:v>仄</x:v>
      </x:c>
      <x:c r="L2128" s="7" t="str"/>
    </x:row>
    <x:row r="2129">
      <x:c r="A2129" s="5" t="str">
        <x:v>沫</x:v>
      </x:c>
      <x:c r="B2129" s="6" t="str">
        <x:v>入</x:v>
      </x:c>
      <x:c r="C2129" s="6" t="str">
        <x:f>IF(B2129="","Needs decision","Ready")</x:f>
        <x:v>Ready</x:v>
      </x:c>
      <x:c r="D2129" s="6" t="str">
        <x:v>入</x:v>
      </x:c>
      <x:c r="E2129" s="6" t="str">
        <x:v>mat (D)</x:v>
      </x:c>
      <x:c r="F2129" s="6" t="str">
        <x:v>入聲七曷</x:v>
      </x:c>
      <x:c r="G2129" s="6" t="str">
        <x:v>Pingshui main list, Wikisource-derived DOCX</x:v>
      </x:c>
      <x:c r="H2129" s="6" t="str">
        <x:v>1</x:v>
      </x:c>
      <x:c r="I2129" s="6" t="str"/>
      <x:c r="J2129" s="6" t="str">
        <x:f>IF(B2129="","",IF(AND(ISNUMBER(SEARCH("平",B2129)),OR(ISNUMBER(SEARCH("上",B2129)),ISNUMBER(SEARCH("去",B2129)),ISNUMBER(SEARCH("入",B2129)))),"Ambiguous",IF(ISNUMBER(SEARCH("平",B2129)),"平","仄")))</x:f>
        <x:v>仄</x:v>
      </x:c>
      <x:c r="K2129" s="6" t="str">
        <x:f>IF(D2129="","",IF(AND(ISNUMBER(SEARCH("平",D2129)),OR(ISNUMBER(SEARCH("上",D2129)),ISNUMBER(SEARCH("去",D2129)),ISNUMBER(SEARCH("入",D2129)))),"Ambiguous",IF(ISNUMBER(SEARCH("平",D2129)),"平","仄")))</x:f>
        <x:v>仄</x:v>
      </x:c>
      <x:c r="L2129" s="7" t="str"/>
    </x:row>
    <x:row r="2130">
      <x:c r="A2130" s="5" t="str">
        <x:v>沮</x:v>
      </x:c>
      <x:c r="B2130" s="6" t="str">
        <x:v>上</x:v>
      </x:c>
      <x:c r="C2130" s="6" t="str">
        <x:f>IF(B2130="","Needs decision","Ready")</x:f>
        <x:v>Ready</x:v>
      </x:c>
      <x:c r="D2130" s="6" t="str">
        <x:v>上</x:v>
      </x:c>
      <x:c r="E2130" s="6" t="str">
        <x:v>dzjoX (B)</x:v>
      </x:c>
      <x:c r="F2130" s="6" t="str">
        <x:v>上平聲六魚; 上聲六語; 去聲六御</x:v>
      </x:c>
      <x:c r="G2130" s="6" t="str">
        <x:v>Pingshui main list, Wikisource-derived DOCX</x:v>
      </x:c>
      <x:c r="H2130" s="6" t="str">
        <x:v>1</x:v>
      </x:c>
      <x:c r="I2130" s="6" t="str"/>
      <x:c r="J2130" s="6" t="str">
        <x:f>IF(B2130="","",IF(AND(ISNUMBER(SEARCH("平",B2130)),OR(ISNUMBER(SEARCH("上",B2130)),ISNUMBER(SEARCH("去",B2130)),ISNUMBER(SEARCH("入",B2130)))),"Ambiguous",IF(ISNUMBER(SEARCH("平",B2130)),"平","仄")))</x:f>
        <x:v>仄</x:v>
      </x:c>
      <x:c r="K2130" s="6" t="str">
        <x:f>IF(D2130="","",IF(AND(ISNUMBER(SEARCH("平",D2130)),OR(ISNUMBER(SEARCH("上",D2130)),ISNUMBER(SEARCH("去",D2130)),ISNUMBER(SEARCH("入",D2130)))),"Ambiguous",IF(ISNUMBER(SEARCH("平",D2130)),"平","仄")))</x:f>
        <x:v>仄</x:v>
      </x:c>
      <x:c r="L2130" s="7" t="str"/>
    </x:row>
    <x:row r="2131">
      <x:c r="A2131" s="5" t="str">
        <x:v>沱</x:v>
      </x:c>
      <x:c r="B2131" s="6" t="str">
        <x:v>平</x:v>
      </x:c>
      <x:c r="C2131" s="6" t="str">
        <x:f>IF(B2131="","Needs decision","Ready")</x:f>
        <x:v>Ready</x:v>
      </x:c>
      <x:c r="D2131" s="6" t="str">
        <x:v>平</x:v>
      </x:c>
      <x:c r="E2131" s="6" t="str">
        <x:v>da (A)</x:v>
      </x:c>
      <x:c r="F2131" s="6" t="str">
        <x:v>下平聲五歌; 上聲二十哿</x:v>
      </x:c>
      <x:c r="G2131" s="6" t="str">
        <x:v>Pingshui main list, Wikisource-derived DOCX</x:v>
      </x:c>
      <x:c r="H2131" s="6" t="str">
        <x:v>1</x:v>
      </x:c>
      <x:c r="I2131" s="6" t="str"/>
      <x:c r="J2131" s="6" t="str">
        <x:f>IF(B2131="","",IF(AND(ISNUMBER(SEARCH("平",B2131)),OR(ISNUMBER(SEARCH("上",B2131)),ISNUMBER(SEARCH("去",B2131)),ISNUMBER(SEARCH("入",B2131)))),"Ambiguous",IF(ISNUMBER(SEARCH("平",B2131)),"平","仄")))</x:f>
        <x:v>平</x:v>
      </x:c>
      <x:c r="K2131" s="6" t="str">
        <x:f>IF(D2131="","",IF(AND(ISNUMBER(SEARCH("平",D2131)),OR(ISNUMBER(SEARCH("上",D2131)),ISNUMBER(SEARCH("去",D2131)),ISNUMBER(SEARCH("入",D2131)))),"Ambiguous",IF(ISNUMBER(SEARCH("平",D2131)),"平","仄")))</x:f>
        <x:v>平</x:v>
      </x:c>
      <x:c r="L2131" s="7" t="str"/>
    </x:row>
    <x:row r="2132">
      <x:c r="A2132" s="5" t="str">
        <x:v>河</x:v>
      </x:c>
      <x:c r="B2132" s="6" t="str">
        <x:v>平</x:v>
      </x:c>
      <x:c r="C2132" s="6" t="str">
        <x:f>IF(B2132="","Needs decision","Ready")</x:f>
        <x:v>Ready</x:v>
      </x:c>
      <x:c r="D2132" s="6" t="str">
        <x:v>平</x:v>
      </x:c>
      <x:c r="E2132" s="6" t="str">
        <x:v>ha (A)</x:v>
      </x:c>
      <x:c r="F2132" s="6" t="str">
        <x:v>下平聲五歌</x:v>
      </x:c>
      <x:c r="G2132" s="6" t="str">
        <x:v>Pingshui main list, Wikisource-derived DOCX</x:v>
      </x:c>
      <x:c r="H2132" s="6" t="str">
        <x:v>1</x:v>
      </x:c>
      <x:c r="I2132" s="6" t="str"/>
      <x:c r="J2132" s="6" t="str">
        <x:f>IF(B2132="","",IF(AND(ISNUMBER(SEARCH("平",B2132)),OR(ISNUMBER(SEARCH("上",B2132)),ISNUMBER(SEARCH("去",B2132)),ISNUMBER(SEARCH("入",B2132)))),"Ambiguous",IF(ISNUMBER(SEARCH("平",B2132)),"平","仄")))</x:f>
        <x:v>平</x:v>
      </x:c>
      <x:c r="K2132" s="6" t="str">
        <x:f>IF(D2132="","",IF(AND(ISNUMBER(SEARCH("平",D2132)),OR(ISNUMBER(SEARCH("上",D2132)),ISNUMBER(SEARCH("去",D2132)),ISNUMBER(SEARCH("入",D2132)))),"Ambiguous",IF(ISNUMBER(SEARCH("平",D2132)),"平","仄")))</x:f>
        <x:v>平</x:v>
      </x:c>
      <x:c r="L2132" s="7" t="str"/>
    </x:row>
    <x:row r="2133">
      <x:c r="A2133" s="5" t="str">
        <x:v>沸</x:v>
      </x:c>
      <x:c r="B2133" s="6" t="str">
        <x:v>去</x:v>
      </x:c>
      <x:c r="C2133" s="6" t="str">
        <x:f>IF(B2133="","Needs decision","Ready")</x:f>
        <x:v>Ready</x:v>
      </x:c>
      <x:c r="D2133" s="6" t="str">
        <x:v>去</x:v>
      </x:c>
      <x:c r="E2133" s="6" t="str">
        <x:v>pj+jH (C)</x:v>
      </x:c>
      <x:c r="F2133" s="6" t="str">
        <x:v>去聲五未</x:v>
      </x:c>
      <x:c r="G2133" s="6" t="str">
        <x:v>Pingshui main list, Wikisource-derived DOCX</x:v>
      </x:c>
      <x:c r="H2133" s="6" t="str">
        <x:v>1</x:v>
      </x:c>
      <x:c r="I2133" s="6" t="str"/>
      <x:c r="J2133" s="6" t="str">
        <x:f>IF(B2133="","",IF(AND(ISNUMBER(SEARCH("平",B2133)),OR(ISNUMBER(SEARCH("上",B2133)),ISNUMBER(SEARCH("去",B2133)),ISNUMBER(SEARCH("入",B2133)))),"Ambiguous",IF(ISNUMBER(SEARCH("平",B2133)),"平","仄")))</x:f>
        <x:v>仄</x:v>
      </x:c>
      <x:c r="K2133" s="6" t="str">
        <x:f>IF(D2133="","",IF(AND(ISNUMBER(SEARCH("平",D2133)),OR(ISNUMBER(SEARCH("上",D2133)),ISNUMBER(SEARCH("去",D2133)),ISNUMBER(SEARCH("入",D2133)))),"Ambiguous",IF(ISNUMBER(SEARCH("平",D2133)),"平","仄")))</x:f>
        <x:v>仄</x:v>
      </x:c>
      <x:c r="L2133" s="7" t="str"/>
    </x:row>
    <x:row r="2134">
      <x:c r="A2134" s="5" t="str">
        <x:v>油</x:v>
      </x:c>
      <x:c r="B2134" s="6" t="str">
        <x:v>平</x:v>
      </x:c>
      <x:c r="C2134" s="6" t="str">
        <x:f>IF(B2134="","Needs decision","Ready")</x:f>
        <x:v>Ready</x:v>
      </x:c>
      <x:c r="D2134" s="6" t="str">
        <x:v>平</x:v>
      </x:c>
      <x:c r="E2134" s="6" t="str">
        <x:v>yuw (A)</x:v>
      </x:c>
      <x:c r="F2134" s="6" t="str">
        <x:v>下平聲十一尤; 去聲二十六宥</x:v>
      </x:c>
      <x:c r="G2134" s="6" t="str">
        <x:v>Pingshui main list, Wikisource-derived DOCX</x:v>
      </x:c>
      <x:c r="H2134" s="6" t="str">
        <x:v>1</x:v>
      </x:c>
      <x:c r="I2134" s="6" t="str"/>
      <x:c r="J2134" s="6" t="str">
        <x:f>IF(B2134="","",IF(AND(ISNUMBER(SEARCH("平",B2134)),OR(ISNUMBER(SEARCH("上",B2134)),ISNUMBER(SEARCH("去",B2134)),ISNUMBER(SEARCH("入",B2134)))),"Ambiguous",IF(ISNUMBER(SEARCH("平",B2134)),"平","仄")))</x:f>
        <x:v>平</x:v>
      </x:c>
      <x:c r="K2134" s="6" t="str">
        <x:f>IF(D2134="","",IF(AND(ISNUMBER(SEARCH("平",D2134)),OR(ISNUMBER(SEARCH("上",D2134)),ISNUMBER(SEARCH("去",D2134)),ISNUMBER(SEARCH("入",D2134)))),"Ambiguous",IF(ISNUMBER(SEARCH("平",D2134)),"平","仄")))</x:f>
        <x:v>平</x:v>
      </x:c>
      <x:c r="L2134" s="7" t="str"/>
    </x:row>
    <x:row r="2135">
      <x:c r="A2135" s="5" t="str">
        <x:v>治</x:v>
      </x:c>
      <x:c r="B2135" s="6" t="str">
        <x:v>去</x:v>
      </x:c>
      <x:c r="C2135" s="6" t="str">
        <x:f>IF(B2135="","Needs decision","Ready")</x:f>
        <x:v>Ready</x:v>
      </x:c>
      <x:c r="D2135" s="6" t="str">
        <x:v>平/去</x:v>
      </x:c>
      <x:c r="E2135" s="6" t="str">
        <x:v>dri (A); driH (C)</x:v>
      </x:c>
      <x:c r="F2135" s="6" t="str">
        <x:v>上平聲四支; 去聲四寘</x:v>
      </x:c>
      <x:c r="G2135" s="6" t="str">
        <x:v>Pingshui main list, Wikisource-derived DOCX</x:v>
      </x:c>
      <x:c r="H2135" s="6" t="str">
        <x:v>2</x:v>
      </x:c>
      <x:c r="I2135" s="6" t="str"/>
      <x:c r="J2135" s="6" t="str">
        <x:f>IF(B2135="","",IF(AND(ISNUMBER(SEARCH("平",B2135)),OR(ISNUMBER(SEARCH("上",B2135)),ISNUMBER(SEARCH("去",B2135)),ISNUMBER(SEARCH("入",B2135)))),"Ambiguous",IF(ISNUMBER(SEARCH("平",B2135)),"平","仄")))</x:f>
        <x:v>仄</x:v>
      </x:c>
      <x:c r="K2135" s="6" t="str">
        <x:f>IF(D2135="","",IF(AND(ISNUMBER(SEARCH("平",D2135)),OR(ISNUMBER(SEARCH("上",D2135)),ISNUMBER(SEARCH("去",D2135)),ISNUMBER(SEARCH("入",D2135)))),"Ambiguous",IF(ISNUMBER(SEARCH("平",D2135)),"平","仄")))</x:f>
        <x:v>Ambiguous</x:v>
      </x:c>
      <x:c r="L2135" s="7" t="str"/>
    </x:row>
    <x:row r="2136">
      <x:c r="A2136" s="5" t="str">
        <x:v>沼</x:v>
      </x:c>
      <x:c r="B2136" s="6" t="str">
        <x:v>上</x:v>
      </x:c>
      <x:c r="C2136" s="6" t="str">
        <x:f>IF(B2136="","Needs decision","Ready")</x:f>
        <x:v>Ready</x:v>
      </x:c>
      <x:c r="D2136" s="6" t="str">
        <x:v>上</x:v>
      </x:c>
      <x:c r="E2136" s="6" t="str">
        <x:v>tsyewX (B)</x:v>
      </x:c>
      <x:c r="F2136" s="6" t="str">
        <x:v>上聲十七篠</x:v>
      </x:c>
      <x:c r="G2136" s="6" t="str">
        <x:v>Pingshui main list, Wikisource-derived DOCX</x:v>
      </x:c>
      <x:c r="H2136" s="6" t="str">
        <x:v>1</x:v>
      </x:c>
      <x:c r="I2136" s="6" t="str"/>
      <x:c r="J2136" s="6" t="str">
        <x:f>IF(B2136="","",IF(AND(ISNUMBER(SEARCH("平",B2136)),OR(ISNUMBER(SEARCH("上",B2136)),ISNUMBER(SEARCH("去",B2136)),ISNUMBER(SEARCH("入",B2136)))),"Ambiguous",IF(ISNUMBER(SEARCH("平",B2136)),"平","仄")))</x:f>
        <x:v>仄</x:v>
      </x:c>
      <x:c r="K2136" s="6" t="str">
        <x:f>IF(D2136="","",IF(AND(ISNUMBER(SEARCH("平",D2136)),OR(ISNUMBER(SEARCH("上",D2136)),ISNUMBER(SEARCH("去",D2136)),ISNUMBER(SEARCH("入",D2136)))),"Ambiguous",IF(ISNUMBER(SEARCH("平",D2136)),"平","仄")))</x:f>
        <x:v>仄</x:v>
      </x:c>
      <x:c r="L2136" s="7" t="str"/>
    </x:row>
    <x:row r="2137">
      <x:c r="A2137" s="5" t="str">
        <x:v>沽</x:v>
      </x:c>
      <x:c r="B2137" s="6" t="str"/>
      <x:c r="C2137" s="6" t="str">
        <x:f>IF(B2137="","Needs decision","Ready")</x:f>
        <x:v>Needs decision</x:v>
      </x:c>
      <x:c r="D2137" s="6" t="str">
        <x:v>平/上/去</x:v>
      </x:c>
      <x:c r="E2137" s="6" t="str">
        <x:v>ku [qo] (平); kuH [qoh] (去); kuX [qoʔ] (上)</x:v>
      </x:c>
      <x:c r="F2137" s="6" t="str">
        <x:v>上平聲七虞</x:v>
      </x:c>
      <x:c r="G2137" s="6" t="str">
        <x:v>Pingshui main list, Wikisource-derived DOCX</x:v>
      </x:c>
      <x:c r="H2137" s="6" t="str">
        <x:v>3</x:v>
      </x:c>
      <x:c r="I2137" s="6" t="str">
        <x:v>Tang 300 gap; frequency 2; ambiguous in Xun Gong</x:v>
      </x:c>
      <x:c r="J2137" s="6" t="str">
        <x:f>IF(B2137="","",IF(AND(ISNUMBER(SEARCH("平",B2137)),OR(ISNUMBER(SEARCH("上",B2137)),ISNUMBER(SEARCH("去",B2137)),ISNUMBER(SEARCH("入",B2137)))),"Ambiguous",IF(ISNUMBER(SEARCH("平",B2137)),"平","仄")))</x:f>
      </x:c>
      <x:c r="K2137" s="6" t="str">
        <x:f>IF(D2137="","",IF(AND(ISNUMBER(SEARCH("平",D2137)),OR(ISNUMBER(SEARCH("上",D2137)),ISNUMBER(SEARCH("去",D2137)),ISNUMBER(SEARCH("入",D2137)))),"Ambiguous",IF(ISNUMBER(SEARCH("平",D2137)),"平","仄")))</x:f>
        <x:v>Ambiguous</x:v>
      </x:c>
      <x:c r="L2137" s="7" t="str">
        <x:v>Xun Gong, Tang 300 gap fill</x:v>
      </x:c>
    </x:row>
    <x:row r="2138">
      <x:c r="A2138" s="5" t="str">
        <x:v>沾</x:v>
      </x:c>
      <x:c r="B2138" s="6" t="str">
        <x:v>平</x:v>
      </x:c>
      <x:c r="C2138" s="6" t="str">
        <x:f>IF(B2138="","Needs decision","Ready")</x:f>
        <x:v>Ready</x:v>
      </x:c>
      <x:c r="D2138" s="6" t="str">
        <x:v>平</x:v>
      </x:c>
      <x:c r="E2138" s="6" t="str">
        <x:v>trjem (A)</x:v>
      </x:c>
      <x:c r="F2138" s="6" t="str">
        <x:v>下平聲十四鹽; 去聲二十九豔</x:v>
      </x:c>
      <x:c r="G2138" s="6" t="str">
        <x:v>Pingshui main list, Wikisource-derived DOCX</x:v>
      </x:c>
      <x:c r="H2138" s="6" t="str">
        <x:v>1</x:v>
      </x:c>
      <x:c r="I2138" s="6" t="str"/>
      <x:c r="J2138" s="6" t="str">
        <x:f>IF(B2138="","",IF(AND(ISNUMBER(SEARCH("平",B2138)),OR(ISNUMBER(SEARCH("上",B2138)),ISNUMBER(SEARCH("去",B2138)),ISNUMBER(SEARCH("入",B2138)))),"Ambiguous",IF(ISNUMBER(SEARCH("平",B2138)),"平","仄")))</x:f>
        <x:v>平</x:v>
      </x:c>
      <x:c r="K2138" s="6" t="str">
        <x:f>IF(D2138="","",IF(AND(ISNUMBER(SEARCH("平",D2138)),OR(ISNUMBER(SEARCH("上",D2138)),ISNUMBER(SEARCH("去",D2138)),ISNUMBER(SEARCH("入",D2138)))),"Ambiguous",IF(ISNUMBER(SEARCH("平",D2138)),"平","仄")))</x:f>
        <x:v>平</x:v>
      </x:c>
      <x:c r="L2138" s="7" t="str"/>
    </x:row>
    <x:row r="2139">
      <x:c r="A2139" s="5" t="str">
        <x:v>沿</x:v>
      </x:c>
      <x:c r="B2139" s="6" t="str">
        <x:v>平</x:v>
      </x:c>
      <x:c r="C2139" s="6" t="str">
        <x:f>IF(B2139="","Needs decision","Ready")</x:f>
        <x:v>Ready</x:v>
      </x:c>
      <x:c r="D2139" s="6" t="str">
        <x:v>平</x:v>
      </x:c>
      <x:c r="E2139" s="6" t="str">
        <x:v>ywen (A)</x:v>
      </x:c>
      <x:c r="F2139" s="6" t="str">
        <x:v>下平聲一先</x:v>
      </x:c>
      <x:c r="G2139" s="6" t="str">
        <x:v>Pingshui main list, Wikisource-derived DOCX</x:v>
      </x:c>
      <x:c r="H2139" s="6" t="str">
        <x:v>1</x:v>
      </x:c>
      <x:c r="I2139" s="6" t="str"/>
      <x:c r="J2139" s="6" t="str">
        <x:f>IF(B2139="","",IF(AND(ISNUMBER(SEARCH("平",B2139)),OR(ISNUMBER(SEARCH("上",B2139)),ISNUMBER(SEARCH("去",B2139)),ISNUMBER(SEARCH("入",B2139)))),"Ambiguous",IF(ISNUMBER(SEARCH("平",B2139)),"平","仄")))</x:f>
        <x:v>平</x:v>
      </x:c>
      <x:c r="K2139" s="6" t="str">
        <x:f>IF(D2139="","",IF(AND(ISNUMBER(SEARCH("平",D2139)),OR(ISNUMBER(SEARCH("上",D2139)),ISNUMBER(SEARCH("去",D2139)),ISNUMBER(SEARCH("入",D2139)))),"Ambiguous",IF(ISNUMBER(SEARCH("平",D2139)),"平","仄")))</x:f>
        <x:v>平</x:v>
      </x:c>
      <x:c r="L2139" s="7" t="str"/>
    </x:row>
    <x:row r="2140">
      <x:c r="A2140" s="5" t="str">
        <x:v>況</x:v>
      </x:c>
      <x:c r="B2140" s="6" t="str">
        <x:v>去</x:v>
      </x:c>
      <x:c r="C2140" s="6" t="str">
        <x:f>IF(B2140="","Needs decision","Ready")</x:f>
        <x:v>Ready</x:v>
      </x:c>
      <x:c r="D2140" s="6" t="str">
        <x:v>去</x:v>
      </x:c>
      <x:c r="E2140" s="6" t="str">
        <x:v>xjwangH (C)</x:v>
      </x:c>
      <x:c r="F2140" s="6" t="str">
        <x:v>去聲二十三漾</x:v>
      </x:c>
      <x:c r="G2140" s="6" t="str">
        <x:v>Pingshui main list, Wikisource-derived DOCX</x:v>
      </x:c>
      <x:c r="H2140" s="6" t="str">
        <x:v>1</x:v>
      </x:c>
      <x:c r="I2140" s="6" t="str"/>
      <x:c r="J2140" s="6" t="str">
        <x:f>IF(B2140="","",IF(AND(ISNUMBER(SEARCH("平",B2140)),OR(ISNUMBER(SEARCH("上",B2140)),ISNUMBER(SEARCH("去",B2140)),ISNUMBER(SEARCH("入",B2140)))),"Ambiguous",IF(ISNUMBER(SEARCH("平",B2140)),"平","仄")))</x:f>
        <x:v>仄</x:v>
      </x:c>
      <x:c r="K2140" s="6" t="str">
        <x:f>IF(D2140="","",IF(AND(ISNUMBER(SEARCH("平",D2140)),OR(ISNUMBER(SEARCH("上",D2140)),ISNUMBER(SEARCH("去",D2140)),ISNUMBER(SEARCH("入",D2140)))),"Ambiguous",IF(ISNUMBER(SEARCH("平",D2140)),"平","仄")))</x:f>
        <x:v>仄</x:v>
      </x:c>
      <x:c r="L2140" s="7" t="str"/>
    </x:row>
    <x:row r="2141">
      <x:c r="A2141" s="5" t="str">
        <x:v>泄</x:v>
      </x:c>
      <x:c r="B2141" s="6" t="str"/>
      <x:c r="C2141" s="6" t="str">
        <x:f>IF(B2141="","Needs decision","Ready")</x:f>
        <x:v>Needs decision</x:v>
      </x:c>
      <x:c r="D2141" s="6" t="str">
        <x:v>去/入</x:v>
      </x:c>
      <x:c r="E2141" s="6" t="str">
        <x:v>sjet (D); yejH (C)</x:v>
      </x:c>
      <x:c r="F2141" s="6" t="str">
        <x:v>去聲八霽; 入聲九屑</x:v>
      </x:c>
      <x:c r="G2141" s="6" t="str">
        <x:v>Pingshui main list, Wikisource-derived DOCX</x:v>
      </x:c>
      <x:c r="H2141" s="6" t="str">
        <x:v>2</x:v>
      </x:c>
      <x:c r="I2141" s="6" t="str"/>
      <x:c r="J2141" s="6" t="str">
        <x:f>IF(B2141="","",IF(AND(ISNUMBER(SEARCH("平",B2141)),OR(ISNUMBER(SEARCH("上",B2141)),ISNUMBER(SEARCH("去",B2141)),ISNUMBER(SEARCH("入",B2141)))),"Ambiguous",IF(ISNUMBER(SEARCH("平",B2141)),"平","仄")))</x:f>
      </x:c>
      <x:c r="K2141" s="6" t="str">
        <x:f>IF(D2141="","",IF(AND(ISNUMBER(SEARCH("平",D2141)),OR(ISNUMBER(SEARCH("上",D2141)),ISNUMBER(SEARCH("去",D2141)),ISNUMBER(SEARCH("入",D2141)))),"Ambiguous",IF(ISNUMBER(SEARCH("平",D2141)),"平","仄")))</x:f>
        <x:v>仄</x:v>
      </x:c>
      <x:c r="L2141" s="7" t="str"/>
    </x:row>
    <x:row r="2142">
      <x:c r="A2142" s="5" t="str">
        <x:v>泅</x:v>
      </x:c>
      <x:c r="B2142" s="6" t="str">
        <x:v>平</x:v>
      </x:c>
      <x:c r="C2142" s="6" t="str">
        <x:f>IF(B2142="","Needs decision","Ready")</x:f>
        <x:v>Ready</x:v>
      </x:c>
      <x:c r="D2142" s="6" t="str">
        <x:v>平</x:v>
      </x:c>
      <x:c r="E2142" s="6" t="str">
        <x:v>zjuw (A)</x:v>
      </x:c>
      <x:c r="F2142" s="6" t="str">
        <x:v>下平聲十一尤</x:v>
      </x:c>
      <x:c r="G2142" s="6" t="str">
        <x:v>Pingshui main list, Wikisource-derived DOCX</x:v>
      </x:c>
      <x:c r="H2142" s="6" t="str">
        <x:v>1</x:v>
      </x:c>
      <x:c r="I2142" s="6" t="str"/>
      <x:c r="J2142" s="6" t="str">
        <x:f>IF(B2142="","",IF(AND(ISNUMBER(SEARCH("平",B2142)),OR(ISNUMBER(SEARCH("上",B2142)),ISNUMBER(SEARCH("去",B2142)),ISNUMBER(SEARCH("入",B2142)))),"Ambiguous",IF(ISNUMBER(SEARCH("平",B2142)),"平","仄")))</x:f>
        <x:v>平</x:v>
      </x:c>
      <x:c r="K2142" s="6" t="str">
        <x:f>IF(D2142="","",IF(AND(ISNUMBER(SEARCH("平",D2142)),OR(ISNUMBER(SEARCH("上",D2142)),ISNUMBER(SEARCH("去",D2142)),ISNUMBER(SEARCH("入",D2142)))),"Ambiguous",IF(ISNUMBER(SEARCH("平",D2142)),"平","仄")))</x:f>
        <x:v>平</x:v>
      </x:c>
      <x:c r="L2142" s="7" t="str"/>
    </x:row>
    <x:row r="2143">
      <x:c r="A2143" s="5" t="str">
        <x:v>泉</x:v>
      </x:c>
      <x:c r="B2143" s="6" t="str">
        <x:v>平</x:v>
      </x:c>
      <x:c r="C2143" s="6" t="str">
        <x:f>IF(B2143="","Needs decision","Ready")</x:f>
        <x:v>Ready</x:v>
      </x:c>
      <x:c r="D2143" s="6" t="str">
        <x:v>平</x:v>
      </x:c>
      <x:c r="E2143" s="6" t="str">
        <x:v>dzjwen (A)</x:v>
      </x:c>
      <x:c r="F2143" s="6" t="str">
        <x:v>下平聲一先</x:v>
      </x:c>
      <x:c r="G2143" s="6" t="str">
        <x:v>Pingshui main list, Wikisource-derived DOCX</x:v>
      </x:c>
      <x:c r="H2143" s="6" t="str">
        <x:v>1</x:v>
      </x:c>
      <x:c r="I2143" s="6" t="str"/>
      <x:c r="J2143" s="6" t="str">
        <x:f>IF(B2143="","",IF(AND(ISNUMBER(SEARCH("平",B2143)),OR(ISNUMBER(SEARCH("上",B2143)),ISNUMBER(SEARCH("去",B2143)),ISNUMBER(SEARCH("入",B2143)))),"Ambiguous",IF(ISNUMBER(SEARCH("平",B2143)),"平","仄")))</x:f>
        <x:v>平</x:v>
      </x:c>
      <x:c r="K2143" s="6" t="str">
        <x:f>IF(D2143="","",IF(AND(ISNUMBER(SEARCH("平",D2143)),OR(ISNUMBER(SEARCH("上",D2143)),ISNUMBER(SEARCH("去",D2143)),ISNUMBER(SEARCH("入",D2143)))),"Ambiguous",IF(ISNUMBER(SEARCH("平",D2143)),"平","仄")))</x:f>
        <x:v>平</x:v>
      </x:c>
      <x:c r="L2143" s="7" t="str"/>
    </x:row>
    <x:row r="2144">
      <x:c r="A2144" s="5" t="str">
        <x:v>泊</x:v>
      </x:c>
      <x:c r="B2144" s="6" t="str">
        <x:v>入</x:v>
      </x:c>
      <x:c r="C2144" s="6" t="str">
        <x:f>IF(B2144="","Needs decision","Ready")</x:f>
        <x:v>Ready</x:v>
      </x:c>
      <x:c r="D2144" s="6" t="str">
        <x:v>入</x:v>
      </x:c>
      <x:c r="E2144" s="6" t="str">
        <x:v>bak (D)</x:v>
      </x:c>
      <x:c r="F2144" s="6" t="str">
        <x:v>入聲十藥</x:v>
      </x:c>
      <x:c r="G2144" s="6" t="str">
        <x:v>Pingshui main list, Wikisource-derived DOCX</x:v>
      </x:c>
      <x:c r="H2144" s="6" t="str">
        <x:v>1</x:v>
      </x:c>
      <x:c r="I2144" s="6" t="str"/>
      <x:c r="J2144" s="6" t="str">
        <x:f>IF(B2144="","",IF(AND(ISNUMBER(SEARCH("平",B2144)),OR(ISNUMBER(SEARCH("上",B2144)),ISNUMBER(SEARCH("去",B2144)),ISNUMBER(SEARCH("入",B2144)))),"Ambiguous",IF(ISNUMBER(SEARCH("平",B2144)),"平","仄")))</x:f>
        <x:v>仄</x:v>
      </x:c>
      <x:c r="K2144" s="6" t="str">
        <x:f>IF(D2144="","",IF(AND(ISNUMBER(SEARCH("平",D2144)),OR(ISNUMBER(SEARCH("上",D2144)),ISNUMBER(SEARCH("去",D2144)),ISNUMBER(SEARCH("入",D2144)))),"Ambiguous",IF(ISNUMBER(SEARCH("平",D2144)),"平","仄")))</x:f>
        <x:v>仄</x:v>
      </x:c>
      <x:c r="L2144" s="7" t="str"/>
    </x:row>
    <x:row r="2145">
      <x:c r="A2145" s="5" t="str">
        <x:v>法</x:v>
      </x:c>
      <x:c r="B2145" s="6" t="str">
        <x:v>入</x:v>
      </x:c>
      <x:c r="C2145" s="6" t="str">
        <x:f>IF(B2145="","Needs decision","Ready")</x:f>
        <x:v>Ready</x:v>
      </x:c>
      <x:c r="D2145" s="6" t="str">
        <x:v>入</x:v>
      </x:c>
      <x:c r="E2145" s="6" t="str">
        <x:v>pjop (D)</x:v>
      </x:c>
      <x:c r="F2145" s="6" t="str">
        <x:v>入聲十七洽</x:v>
      </x:c>
      <x:c r="G2145" s="6" t="str">
        <x:v>Pingshui main list, Wikisource-derived DOCX</x:v>
      </x:c>
      <x:c r="H2145" s="6" t="str">
        <x:v>1</x:v>
      </x:c>
      <x:c r="I2145" s="6" t="str"/>
      <x:c r="J2145" s="6" t="str">
        <x:f>IF(B2145="","",IF(AND(ISNUMBER(SEARCH("平",B2145)),OR(ISNUMBER(SEARCH("上",B2145)),ISNUMBER(SEARCH("去",B2145)),ISNUMBER(SEARCH("入",B2145)))),"Ambiguous",IF(ISNUMBER(SEARCH("平",B2145)),"平","仄")))</x:f>
        <x:v>仄</x:v>
      </x:c>
      <x:c r="K2145" s="6" t="str">
        <x:f>IF(D2145="","",IF(AND(ISNUMBER(SEARCH("平",D2145)),OR(ISNUMBER(SEARCH("上",D2145)),ISNUMBER(SEARCH("去",D2145)),ISNUMBER(SEARCH("入",D2145)))),"Ambiguous",IF(ISNUMBER(SEARCH("平",D2145)),"平","仄")))</x:f>
        <x:v>仄</x:v>
      </x:c>
      <x:c r="L2145" s="7" t="str"/>
    </x:row>
    <x:row r="2146">
      <x:c r="A2146" s="5" t="str">
        <x:v>泗</x:v>
      </x:c>
      <x:c r="B2146" s="6" t="str">
        <x:v>去</x:v>
      </x:c>
      <x:c r="C2146" s="6" t="str">
        <x:f>IF(B2146="","Needs decision","Ready")</x:f>
        <x:v>Ready</x:v>
      </x:c>
      <x:c r="D2146" s="6" t="str">
        <x:v>去</x:v>
      </x:c>
      <x:c r="E2146" s="6" t="str">
        <x:v>sijH [sih] (去)</x:v>
      </x:c>
      <x:c r="F2146" s="6" t="str">
        <x:v>去聲四寘</x:v>
      </x:c>
      <x:c r="G2146" s="6" t="str">
        <x:v>Pingshui main list, Wikisource-derived DOCX</x:v>
      </x:c>
      <x:c r="H2146" s="6" t="str">
        <x:v>1</x:v>
      </x:c>
      <x:c r="I2146" s="6" t="str">
        <x:v>Tang 300 gap; frequency 1; provisional from Xun Gong</x:v>
      </x:c>
      <x:c r="J2146" s="6" t="str">
        <x:f>IF(B2146="","",IF(AND(ISNUMBER(SEARCH("平",B2146)),OR(ISNUMBER(SEARCH("上",B2146)),ISNUMBER(SEARCH("去",B2146)),ISNUMBER(SEARCH("入",B2146)))),"Ambiguous",IF(ISNUMBER(SEARCH("平",B2146)),"平","仄")))</x:f>
        <x:v>仄</x:v>
      </x:c>
      <x:c r="K2146" s="6" t="str">
        <x:f>IF(D2146="","",IF(AND(ISNUMBER(SEARCH("平",D2146)),OR(ISNUMBER(SEARCH("上",D2146)),ISNUMBER(SEARCH("去",D2146)),ISNUMBER(SEARCH("入",D2146)))),"Ambiguous",IF(ISNUMBER(SEARCH("平",D2146)),"平","仄")))</x:f>
        <x:v>仄</x:v>
      </x:c>
      <x:c r="L2146" s="7" t="str">
        <x:v>Xun Gong, Tang 300 gap fill</x:v>
      </x:c>
    </x:row>
    <x:row r="2147">
      <x:c r="A2147" s="5" t="str">
        <x:v>泚</x:v>
      </x:c>
      <x:c r="B2147" s="6" t="str">
        <x:v>上</x:v>
      </x:c>
      <x:c r="C2147" s="6" t="str">
        <x:f>IF(B2147="","Needs decision","Ready")</x:f>
        <x:v>Ready</x:v>
      </x:c>
      <x:c r="D2147" s="6" t="str">
        <x:v>上</x:v>
      </x:c>
      <x:c r="E2147" s="6" t="str">
        <x:v>tshjeX (B)</x:v>
      </x:c>
      <x:c r="F2147" s="6" t="str">
        <x:v>上聲四紙; 上聲八薺</x:v>
      </x:c>
      <x:c r="G2147" s="6" t="str">
        <x:v>Pingshui main list, Wikisource-derived DOCX</x:v>
      </x:c>
      <x:c r="H2147" s="6" t="str">
        <x:v>1</x:v>
      </x:c>
      <x:c r="I2147" s="6" t="str"/>
      <x:c r="J2147" s="6" t="str">
        <x:f>IF(B2147="","",IF(AND(ISNUMBER(SEARCH("平",B2147)),OR(ISNUMBER(SEARCH("上",B2147)),ISNUMBER(SEARCH("去",B2147)),ISNUMBER(SEARCH("入",B2147)))),"Ambiguous",IF(ISNUMBER(SEARCH("平",B2147)),"平","仄")))</x:f>
        <x:v>仄</x:v>
      </x:c>
      <x:c r="K2147" s="6" t="str">
        <x:f>IF(D2147="","",IF(AND(ISNUMBER(SEARCH("平",D2147)),OR(ISNUMBER(SEARCH("上",D2147)),ISNUMBER(SEARCH("去",D2147)),ISNUMBER(SEARCH("入",D2147)))),"Ambiguous",IF(ISNUMBER(SEARCH("平",D2147)),"平","仄")))</x:f>
        <x:v>仄</x:v>
      </x:c>
      <x:c r="L2147" s="7" t="str"/>
    </x:row>
    <x:row r="2148">
      <x:c r="A2148" s="5" t="str">
        <x:v>泛</x:v>
      </x:c>
      <x:c r="B2148" s="6" t="str">
        <x:v>去</x:v>
      </x:c>
      <x:c r="C2148" s="6" t="str">
        <x:f>IF(B2148="","Needs decision","Ready")</x:f>
        <x:v>Ready</x:v>
      </x:c>
      <x:c r="D2148" s="6" t="str">
        <x:v>去</x:v>
      </x:c>
      <x:c r="E2148" s="6" t="str">
        <x:v>phjomH (C)</x:v>
      </x:c>
      <x:c r="F2148" s="6" t="str"/>
      <x:c r="G2148" s="6" t="str"/>
      <x:c r="H2148" s="6" t="str">
        <x:v>1</x:v>
      </x:c>
      <x:c r="I2148" s="6" t="str"/>
      <x:c r="J2148" s="6" t="str">
        <x:f>IF(B2148="","",IF(AND(ISNUMBER(SEARCH("平",B2148)),OR(ISNUMBER(SEARCH("上",B2148)),ISNUMBER(SEARCH("去",B2148)),ISNUMBER(SEARCH("入",B2148)))),"Ambiguous",IF(ISNUMBER(SEARCH("平",B2148)),"平","仄")))</x:f>
        <x:v>仄</x:v>
      </x:c>
      <x:c r="K2148" s="6" t="str">
        <x:f>IF(D2148="","",IF(AND(ISNUMBER(SEARCH("平",D2148)),OR(ISNUMBER(SEARCH("上",D2148)),ISNUMBER(SEARCH("去",D2148)),ISNUMBER(SEARCH("入",D2148)))),"Ambiguous",IF(ISNUMBER(SEARCH("平",D2148)),"平","仄")))</x:f>
        <x:v>仄</x:v>
      </x:c>
      <x:c r="L2148" s="7" t="str"/>
    </x:row>
    <x:row r="2149">
      <x:c r="A2149" s="5" t="str">
        <x:v>泝</x:v>
      </x:c>
      <x:c r="B2149" s="6" t="str">
        <x:v>去</x:v>
      </x:c>
      <x:c r="C2149" s="6" t="str">
        <x:f>IF(B2149="","Needs decision","Ready")</x:f>
        <x:v>Ready</x:v>
      </x:c>
      <x:c r="D2149" s="6" t="str">
        <x:v>去</x:v>
      </x:c>
      <x:c r="E2149" s="6" t="str">
        <x:v>suH (C)</x:v>
      </x:c>
      <x:c r="F2149" s="6" t="str">
        <x:v>去聲七遇</x:v>
      </x:c>
      <x:c r="G2149" s="6" t="str">
        <x:v>Pingshui main list, Wikisource-derived DOCX</x:v>
      </x:c>
      <x:c r="H2149" s="6" t="str">
        <x:v>1</x:v>
      </x:c>
      <x:c r="I2149" s="6" t="str"/>
      <x:c r="J2149" s="6" t="str">
        <x:f>IF(B2149="","",IF(AND(ISNUMBER(SEARCH("平",B2149)),OR(ISNUMBER(SEARCH("上",B2149)),ISNUMBER(SEARCH("去",B2149)),ISNUMBER(SEARCH("入",B2149)))),"Ambiguous",IF(ISNUMBER(SEARCH("平",B2149)),"平","仄")))</x:f>
        <x:v>仄</x:v>
      </x:c>
      <x:c r="K2149" s="6" t="str">
        <x:f>IF(D2149="","",IF(AND(ISNUMBER(SEARCH("平",D2149)),OR(ISNUMBER(SEARCH("上",D2149)),ISNUMBER(SEARCH("去",D2149)),ISNUMBER(SEARCH("入",D2149)))),"Ambiguous",IF(ISNUMBER(SEARCH("平",D2149)),"平","仄")))</x:f>
        <x:v>仄</x:v>
      </x:c>
      <x:c r="L2149" s="7" t="str"/>
    </x:row>
    <x:row r="2150">
      <x:c r="A2150" s="5" t="str">
        <x:v>泠</x:v>
      </x:c>
      <x:c r="B2150" s="6" t="str">
        <x:v>平</x:v>
      </x:c>
      <x:c r="C2150" s="6" t="str">
        <x:f>IF(B2150="","Needs decision","Ready")</x:f>
        <x:v>Ready</x:v>
      </x:c>
      <x:c r="D2150" s="6" t="str">
        <x:v>平</x:v>
      </x:c>
      <x:c r="E2150" s="6" t="str">
        <x:v>leng [l̙eŋ] (平)</x:v>
      </x:c>
      <x:c r="F2150" s="6" t="str">
        <x:v>下平聲九青</x:v>
      </x:c>
      <x:c r="G2150" s="6" t="str">
        <x:v>Pingshui main list, Wikisource-derived DOCX</x:v>
      </x:c>
      <x:c r="H2150" s="6" t="str">
        <x:v>1</x:v>
      </x:c>
      <x:c r="I2150" s="6" t="str">
        <x:v>Tang 300 gap; frequency 2; provisional from Xun Gong</x:v>
      </x:c>
      <x:c r="J2150" s="6" t="str">
        <x:f>IF(B2150="","",IF(AND(ISNUMBER(SEARCH("平",B2150)),OR(ISNUMBER(SEARCH("上",B2150)),ISNUMBER(SEARCH("去",B2150)),ISNUMBER(SEARCH("入",B2150)))),"Ambiguous",IF(ISNUMBER(SEARCH("平",B2150)),"平","仄")))</x:f>
        <x:v>平</x:v>
      </x:c>
      <x:c r="K2150" s="6" t="str">
        <x:f>IF(D2150="","",IF(AND(ISNUMBER(SEARCH("平",D2150)),OR(ISNUMBER(SEARCH("上",D2150)),ISNUMBER(SEARCH("去",D2150)),ISNUMBER(SEARCH("入",D2150)))),"Ambiguous",IF(ISNUMBER(SEARCH("平",D2150)),"平","仄")))</x:f>
        <x:v>平</x:v>
      </x:c>
      <x:c r="L2150" s="7" t="str">
        <x:v>Xun Gong, Tang 300 gap fill</x:v>
      </x:c>
    </x:row>
    <x:row r="2151">
      <x:c r="A2151" s="5" t="str">
        <x:v>波</x:v>
      </x:c>
      <x:c r="B2151" s="6" t="str">
        <x:v>平</x:v>
      </x:c>
      <x:c r="C2151" s="6" t="str">
        <x:f>IF(B2151="","Needs decision","Ready")</x:f>
        <x:v>Ready</x:v>
      </x:c>
      <x:c r="D2151" s="6" t="str">
        <x:v>平</x:v>
      </x:c>
      <x:c r="E2151" s="6" t="str">
        <x:v>pa (A)</x:v>
      </x:c>
      <x:c r="F2151" s="6" t="str">
        <x:v>下平聲五歌</x:v>
      </x:c>
      <x:c r="G2151" s="6" t="str">
        <x:v>Pingshui main list, Wikisource-derived DOCX</x:v>
      </x:c>
      <x:c r="H2151" s="6" t="str">
        <x:v>1</x:v>
      </x:c>
      <x:c r="I2151" s="6" t="str"/>
      <x:c r="J2151" s="6" t="str">
        <x:f>IF(B2151="","",IF(AND(ISNUMBER(SEARCH("平",B2151)),OR(ISNUMBER(SEARCH("上",B2151)),ISNUMBER(SEARCH("去",B2151)),ISNUMBER(SEARCH("入",B2151)))),"Ambiguous",IF(ISNUMBER(SEARCH("平",B2151)),"平","仄")))</x:f>
        <x:v>平</x:v>
      </x:c>
      <x:c r="K2151" s="6" t="str">
        <x:f>IF(D2151="","",IF(AND(ISNUMBER(SEARCH("平",D2151)),OR(ISNUMBER(SEARCH("上",D2151)),ISNUMBER(SEARCH("去",D2151)),ISNUMBER(SEARCH("入",D2151)))),"Ambiguous",IF(ISNUMBER(SEARCH("平",D2151)),"平","仄")))</x:f>
        <x:v>平</x:v>
      </x:c>
      <x:c r="L2151" s="7" t="str"/>
    </x:row>
    <x:row r="2152">
      <x:c r="A2152" s="5" t="str">
        <x:v>泣</x:v>
      </x:c>
      <x:c r="B2152" s="6" t="str">
        <x:v>入</x:v>
      </x:c>
      <x:c r="C2152" s="6" t="str">
        <x:f>IF(B2152="","Needs decision","Ready")</x:f>
        <x:v>Ready</x:v>
      </x:c>
      <x:c r="D2152" s="6" t="str">
        <x:v>入</x:v>
      </x:c>
      <x:c r="E2152" s="6" t="str">
        <x:v>khip (D)</x:v>
      </x:c>
      <x:c r="F2152" s="6" t="str">
        <x:v>入聲十四緝</x:v>
      </x:c>
      <x:c r="G2152" s="6" t="str">
        <x:v>Pingshui main list, Wikisource-derived DOCX</x:v>
      </x:c>
      <x:c r="H2152" s="6" t="str">
        <x:v>1</x:v>
      </x:c>
      <x:c r="I2152" s="6" t="str"/>
      <x:c r="J2152" s="6" t="str">
        <x:f>IF(B2152="","",IF(AND(ISNUMBER(SEARCH("平",B2152)),OR(ISNUMBER(SEARCH("上",B2152)),ISNUMBER(SEARCH("去",B2152)),ISNUMBER(SEARCH("入",B2152)))),"Ambiguous",IF(ISNUMBER(SEARCH("平",B2152)),"平","仄")))</x:f>
        <x:v>仄</x:v>
      </x:c>
      <x:c r="K2152" s="6" t="str">
        <x:f>IF(D2152="","",IF(AND(ISNUMBER(SEARCH("平",D2152)),OR(ISNUMBER(SEARCH("上",D2152)),ISNUMBER(SEARCH("去",D2152)),ISNUMBER(SEARCH("入",D2152)))),"Ambiguous",IF(ISNUMBER(SEARCH("平",D2152)),"平","仄")))</x:f>
        <x:v>仄</x:v>
      </x:c>
      <x:c r="L2152" s="7" t="str"/>
    </x:row>
    <x:row r="2153">
      <x:c r="A2153" s="5" t="str">
        <x:v>泥</x:v>
      </x:c>
      <x:c r="B2153" s="6" t="str">
        <x:v>平</x:v>
      </x:c>
      <x:c r="C2153" s="6" t="str">
        <x:f>IF(B2153="","Needs decision","Ready")</x:f>
        <x:v>Ready</x:v>
      </x:c>
      <x:c r="D2153" s="6" t="str">
        <x:v>平/去</x:v>
      </x:c>
      <x:c r="E2153" s="6" t="str">
        <x:v>nej (A); nejH (C)</x:v>
      </x:c>
      <x:c r="F2153" s="6" t="str">
        <x:v>上平聲八齊; 去聲八霽</x:v>
      </x:c>
      <x:c r="G2153" s="6" t="str">
        <x:v>Pingshui main list, Wikisource-derived DOCX</x:v>
      </x:c>
      <x:c r="H2153" s="6" t="str">
        <x:v>2</x:v>
      </x:c>
      <x:c r="I2153" s="6" t="str">
        <x:v>User workbook edit 2026-09-03</x:v>
      </x:c>
      <x:c r="J2153" s="6" t="str">
        <x:f>IF(B2153="","",IF(AND(ISNUMBER(SEARCH("平",B2153)),OR(ISNUMBER(SEARCH("上",B2153)),ISNUMBER(SEARCH("去",B2153)),ISNUMBER(SEARCH("入",B2153)))),"Ambiguous",IF(ISNUMBER(SEARCH("平",B2153)),"平","仄")))</x:f>
        <x:v>平</x:v>
      </x:c>
      <x:c r="K2153" s="6" t="str">
        <x:f>IF(D2153="","",IF(AND(ISNUMBER(SEARCH("平",D2153)),OR(ISNUMBER(SEARCH("上",D2153)),ISNUMBER(SEARCH("去",D2153)),ISNUMBER(SEARCH("入",D2153)))),"Ambiguous",IF(ISNUMBER(SEARCH("平",D2153)),"平","仄")))</x:f>
        <x:v>Ambiguous</x:v>
      </x:c>
      <x:c r="L2153" s="7" t="str">
        <x:v>manual user correction</x:v>
      </x:c>
    </x:row>
    <x:row r="2154">
      <x:c r="A2154" s="5" t="str">
        <x:v>注</x:v>
      </x:c>
      <x:c r="B2154" s="6" t="str">
        <x:v>去</x:v>
      </x:c>
      <x:c r="C2154" s="6" t="str">
        <x:f>IF(B2154="","Needs decision","Ready")</x:f>
        <x:v>Ready</x:v>
      </x:c>
      <x:c r="D2154" s="6" t="str">
        <x:v>去</x:v>
      </x:c>
      <x:c r="E2154" s="6" t="str">
        <x:v>trjuH (C)</x:v>
      </x:c>
      <x:c r="F2154" s="6" t="str">
        <x:v>去聲七遇</x:v>
      </x:c>
      <x:c r="G2154" s="6" t="str">
        <x:v>Pingshui main list, Wikisource-derived DOCX</x:v>
      </x:c>
      <x:c r="H2154" s="6" t="str">
        <x:v>1</x:v>
      </x:c>
      <x:c r="I2154" s="6" t="str"/>
      <x:c r="J2154" s="6" t="str">
        <x:f>IF(B2154="","",IF(AND(ISNUMBER(SEARCH("平",B2154)),OR(ISNUMBER(SEARCH("上",B2154)),ISNUMBER(SEARCH("去",B2154)),ISNUMBER(SEARCH("入",B2154)))),"Ambiguous",IF(ISNUMBER(SEARCH("平",B2154)),"平","仄")))</x:f>
        <x:v>仄</x:v>
      </x:c>
      <x:c r="K2154" s="6" t="str">
        <x:f>IF(D2154="","",IF(AND(ISNUMBER(SEARCH("平",D2154)),OR(ISNUMBER(SEARCH("上",D2154)),ISNUMBER(SEARCH("去",D2154)),ISNUMBER(SEARCH("入",D2154)))),"Ambiguous",IF(ISNUMBER(SEARCH("平",D2154)),"平","仄")))</x:f>
        <x:v>仄</x:v>
      </x:c>
      <x:c r="L2154" s="7" t="str"/>
    </x:row>
    <x:row r="2155">
      <x:c r="A2155" s="5" t="str">
        <x:v>泯</x:v>
      </x:c>
      <x:c r="B2155" s="6" t="str">
        <x:v>平</x:v>
      </x:c>
      <x:c r="C2155" s="6" t="str">
        <x:f>IF(B2155="","Needs decision","Ready")</x:f>
        <x:v>Ready</x:v>
      </x:c>
      <x:c r="D2155" s="6" t="str">
        <x:v>平</x:v>
      </x:c>
      <x:c r="E2155" s="6" t="str">
        <x:v>mjin (A)</x:v>
      </x:c>
      <x:c r="F2155" s="6" t="str">
        <x:v>上平聲十一真; 上聲十一軫</x:v>
      </x:c>
      <x:c r="G2155" s="6" t="str">
        <x:v>Pingshui main list, Wikisource-derived DOCX</x:v>
      </x:c>
      <x:c r="H2155" s="6" t="str">
        <x:v>1</x:v>
      </x:c>
      <x:c r="I2155" s="6" t="str"/>
      <x:c r="J2155" s="6" t="str">
        <x:f>IF(B2155="","",IF(AND(ISNUMBER(SEARCH("平",B2155)),OR(ISNUMBER(SEARCH("上",B2155)),ISNUMBER(SEARCH("去",B2155)),ISNUMBER(SEARCH("入",B2155)))),"Ambiguous",IF(ISNUMBER(SEARCH("平",B2155)),"平","仄")))</x:f>
        <x:v>平</x:v>
      </x:c>
      <x:c r="K2155" s="6" t="str">
        <x:f>IF(D2155="","",IF(AND(ISNUMBER(SEARCH("平",D2155)),OR(ISNUMBER(SEARCH("上",D2155)),ISNUMBER(SEARCH("去",D2155)),ISNUMBER(SEARCH("入",D2155)))),"Ambiguous",IF(ISNUMBER(SEARCH("平",D2155)),"平","仄")))</x:f>
        <x:v>平</x:v>
      </x:c>
      <x:c r="L2155" s="7" t="str"/>
    </x:row>
    <x:row r="2156">
      <x:c r="A2156" s="5" t="str">
        <x:v>泰</x:v>
      </x:c>
      <x:c r="B2156" s="6" t="str">
        <x:v>去</x:v>
      </x:c>
      <x:c r="C2156" s="6" t="str">
        <x:f>IF(B2156="","Needs decision","Ready")</x:f>
        <x:v>Ready</x:v>
      </x:c>
      <x:c r="D2156" s="6" t="str">
        <x:v>去</x:v>
      </x:c>
      <x:c r="E2156" s="6" t="str">
        <x:v>thajH (C)</x:v>
      </x:c>
      <x:c r="F2156" s="6" t="str">
        <x:v>去聲九泰</x:v>
      </x:c>
      <x:c r="G2156" s="6" t="str">
        <x:v>Pingshui main list, Wikisource-derived DOCX</x:v>
      </x:c>
      <x:c r="H2156" s="6" t="str">
        <x:v>1</x:v>
      </x:c>
      <x:c r="I2156" s="6" t="str"/>
      <x:c r="J2156" s="6" t="str">
        <x:f>IF(B2156="","",IF(AND(ISNUMBER(SEARCH("平",B2156)),OR(ISNUMBER(SEARCH("上",B2156)),ISNUMBER(SEARCH("去",B2156)),ISNUMBER(SEARCH("入",B2156)))),"Ambiguous",IF(ISNUMBER(SEARCH("平",B2156)),"平","仄")))</x:f>
        <x:v>仄</x:v>
      </x:c>
      <x:c r="K2156" s="6" t="str">
        <x:f>IF(D2156="","",IF(AND(ISNUMBER(SEARCH("平",D2156)),OR(ISNUMBER(SEARCH("上",D2156)),ISNUMBER(SEARCH("去",D2156)),ISNUMBER(SEARCH("入",D2156)))),"Ambiguous",IF(ISNUMBER(SEARCH("平",D2156)),"平","仄")))</x:f>
        <x:v>仄</x:v>
      </x:c>
      <x:c r="L2156" s="7" t="str"/>
    </x:row>
    <x:row r="2157">
      <x:c r="A2157" s="5" t="str">
        <x:v>泲</x:v>
      </x:c>
      <x:c r="B2157" s="6" t="str">
        <x:v>上</x:v>
      </x:c>
      <x:c r="C2157" s="6" t="str">
        <x:f>IF(B2157="","Needs decision","Ready")</x:f>
        <x:v>Ready</x:v>
      </x:c>
      <x:c r="D2157" s="6" t="str">
        <x:v>上</x:v>
      </x:c>
      <x:c r="E2157" s="6" t="str">
        <x:v>tsejX (B)</x:v>
      </x:c>
      <x:c r="F2157" s="6" t="str"/>
      <x:c r="G2157" s="6" t="str"/>
      <x:c r="H2157" s="6" t="str">
        <x:v>1</x:v>
      </x:c>
      <x:c r="I2157" s="6" t="str"/>
      <x:c r="J2157" s="6" t="str">
        <x:f>IF(B2157="","",IF(AND(ISNUMBER(SEARCH("平",B2157)),OR(ISNUMBER(SEARCH("上",B2157)),ISNUMBER(SEARCH("去",B2157)),ISNUMBER(SEARCH("入",B2157)))),"Ambiguous",IF(ISNUMBER(SEARCH("平",B2157)),"平","仄")))</x:f>
        <x:v>仄</x:v>
      </x:c>
      <x:c r="K2157" s="6" t="str">
        <x:f>IF(D2157="","",IF(AND(ISNUMBER(SEARCH("平",D2157)),OR(ISNUMBER(SEARCH("上",D2157)),ISNUMBER(SEARCH("去",D2157)),ISNUMBER(SEARCH("入",D2157)))),"Ambiguous",IF(ISNUMBER(SEARCH("平",D2157)),"平","仄")))</x:f>
        <x:v>仄</x:v>
      </x:c>
      <x:c r="L2157" s="7" t="str"/>
    </x:row>
    <x:row r="2158">
      <x:c r="A2158" s="5" t="str">
        <x:v>泳</x:v>
      </x:c>
      <x:c r="B2158" s="6" t="str">
        <x:v>去</x:v>
      </x:c>
      <x:c r="C2158" s="6" t="str">
        <x:f>IF(B2158="","Needs decision","Ready")</x:f>
        <x:v>Ready</x:v>
      </x:c>
      <x:c r="D2158" s="6" t="str">
        <x:v>去</x:v>
      </x:c>
      <x:c r="E2158" s="6" t="str">
        <x:v>hjwaengH (C)</x:v>
      </x:c>
      <x:c r="F2158" s="6" t="str">
        <x:v>去聲二十四敬</x:v>
      </x:c>
      <x:c r="G2158" s="6" t="str">
        <x:v>Pingshui main list, Wikisource-derived DOCX</x:v>
      </x:c>
      <x:c r="H2158" s="6" t="str">
        <x:v>1</x:v>
      </x:c>
      <x:c r="I2158" s="6" t="str"/>
      <x:c r="J2158" s="6" t="str">
        <x:f>IF(B2158="","",IF(AND(ISNUMBER(SEARCH("平",B2158)),OR(ISNUMBER(SEARCH("上",B2158)),ISNUMBER(SEARCH("去",B2158)),ISNUMBER(SEARCH("入",B2158)))),"Ambiguous",IF(ISNUMBER(SEARCH("平",B2158)),"平","仄")))</x:f>
        <x:v>仄</x:v>
      </x:c>
      <x:c r="K2158" s="6" t="str">
        <x:f>IF(D2158="","",IF(AND(ISNUMBER(SEARCH("平",D2158)),OR(ISNUMBER(SEARCH("上",D2158)),ISNUMBER(SEARCH("去",D2158)),ISNUMBER(SEARCH("入",D2158)))),"Ambiguous",IF(ISNUMBER(SEARCH("平",D2158)),"平","仄")))</x:f>
        <x:v>仄</x:v>
      </x:c>
      <x:c r="L2158" s="7" t="str"/>
    </x:row>
    <x:row r="2159">
      <x:c r="A2159" s="5" t="str">
        <x:v>洄</x:v>
      </x:c>
      <x:c r="B2159" s="6" t="str">
        <x:v>平</x:v>
      </x:c>
      <x:c r="C2159" s="6" t="str">
        <x:f>IF(B2159="","Needs decision","Ready")</x:f>
        <x:v>Ready</x:v>
      </x:c>
      <x:c r="D2159" s="6" t="str">
        <x:v>平</x:v>
      </x:c>
      <x:c r="E2159" s="6" t="str">
        <x:v>hwoj [ʁwəj] (平)</x:v>
      </x:c>
      <x:c r="F2159" s="6" t="str">
        <x:v>上平聲十灰</x:v>
      </x:c>
      <x:c r="G2159" s="6" t="str">
        <x:v>Pingshui main list, Wikisource-derived DOCX</x:v>
      </x:c>
      <x:c r="H2159" s="6" t="str">
        <x:v>1</x:v>
      </x:c>
      <x:c r="I2159" s="6" t="str">
        <x:v>Tang 300 gap; frequency 1; provisional from Xun Gong</x:v>
      </x:c>
      <x:c r="J2159" s="6" t="str">
        <x:f>IF(B2159="","",IF(AND(ISNUMBER(SEARCH("平",B2159)),OR(ISNUMBER(SEARCH("上",B2159)),ISNUMBER(SEARCH("去",B2159)),ISNUMBER(SEARCH("入",B2159)))),"Ambiguous",IF(ISNUMBER(SEARCH("平",B2159)),"平","仄")))</x:f>
        <x:v>平</x:v>
      </x:c>
      <x:c r="K2159" s="6" t="str">
        <x:f>IF(D2159="","",IF(AND(ISNUMBER(SEARCH("平",D2159)),OR(ISNUMBER(SEARCH("上",D2159)),ISNUMBER(SEARCH("去",D2159)),ISNUMBER(SEARCH("入",D2159)))),"Ambiguous",IF(ISNUMBER(SEARCH("平",D2159)),"平","仄")))</x:f>
        <x:v>平</x:v>
      </x:c>
      <x:c r="L2159" s="7" t="str">
        <x:v>Xun Gong, Tang 300 gap fill</x:v>
      </x:c>
    </x:row>
    <x:row r="2160">
      <x:c r="A2160" s="5" t="str">
        <x:v>洊</x:v>
      </x:c>
      <x:c r="B2160" s="6" t="str">
        <x:v>去</x:v>
      </x:c>
      <x:c r="C2160" s="6" t="str">
        <x:f>IF(B2160="","Needs decision","Ready")</x:f>
        <x:v>Ready</x:v>
      </x:c>
      <x:c r="D2160" s="6" t="str">
        <x:v>去</x:v>
      </x:c>
      <x:c r="E2160" s="6" t="str">
        <x:v>dzenH (C)</x:v>
      </x:c>
      <x:c r="F2160" s="6" t="str">
        <x:v>去聲十七霰</x:v>
      </x:c>
      <x:c r="G2160" s="6" t="str">
        <x:v>Pingshui main list, Wikisource-derived DOCX</x:v>
      </x:c>
      <x:c r="H2160" s="6" t="str">
        <x:v>1</x:v>
      </x:c>
      <x:c r="I2160" s="6" t="str"/>
      <x:c r="J2160" s="6" t="str">
        <x:f>IF(B2160="","",IF(AND(ISNUMBER(SEARCH("平",B2160)),OR(ISNUMBER(SEARCH("上",B2160)),ISNUMBER(SEARCH("去",B2160)),ISNUMBER(SEARCH("入",B2160)))),"Ambiguous",IF(ISNUMBER(SEARCH("平",B2160)),"平","仄")))</x:f>
        <x:v>仄</x:v>
      </x:c>
      <x:c r="K2160" s="6" t="str">
        <x:f>IF(D2160="","",IF(AND(ISNUMBER(SEARCH("平",D2160)),OR(ISNUMBER(SEARCH("上",D2160)),ISNUMBER(SEARCH("去",D2160)),ISNUMBER(SEARCH("入",D2160)))),"Ambiguous",IF(ISNUMBER(SEARCH("平",D2160)),"平","仄")))</x:f>
        <x:v>仄</x:v>
      </x:c>
      <x:c r="L2160" s="7" t="str"/>
    </x:row>
    <x:row r="2161">
      <x:c r="A2161" s="5" t="str">
        <x:v>洋</x:v>
      </x:c>
      <x:c r="B2161" s="6" t="str">
        <x:v>平</x:v>
      </x:c>
      <x:c r="C2161" s="6" t="str">
        <x:f>IF(B2161="","Needs decision","Ready")</x:f>
        <x:v>Ready</x:v>
      </x:c>
      <x:c r="D2161" s="6" t="str">
        <x:v>平</x:v>
      </x:c>
      <x:c r="E2161" s="6" t="str">
        <x:v>yang (A)</x:v>
      </x:c>
      <x:c r="F2161" s="6" t="str">
        <x:v>下平聲七陽</x:v>
      </x:c>
      <x:c r="G2161" s="6" t="str">
        <x:v>Pingshui main list, Wikisource-derived DOCX</x:v>
      </x:c>
      <x:c r="H2161" s="6" t="str">
        <x:v>1</x:v>
      </x:c>
      <x:c r="I2161" s="6" t="str"/>
      <x:c r="J2161" s="6" t="str">
        <x:f>IF(B2161="","",IF(AND(ISNUMBER(SEARCH("平",B2161)),OR(ISNUMBER(SEARCH("上",B2161)),ISNUMBER(SEARCH("去",B2161)),ISNUMBER(SEARCH("入",B2161)))),"Ambiguous",IF(ISNUMBER(SEARCH("平",B2161)),"平","仄")))</x:f>
        <x:v>平</x:v>
      </x:c>
      <x:c r="K2161" s="6" t="str">
        <x:f>IF(D2161="","",IF(AND(ISNUMBER(SEARCH("平",D2161)),OR(ISNUMBER(SEARCH("上",D2161)),ISNUMBER(SEARCH("去",D2161)),ISNUMBER(SEARCH("入",D2161)))),"Ambiguous",IF(ISNUMBER(SEARCH("平",D2161)),"平","仄")))</x:f>
        <x:v>平</x:v>
      </x:c>
      <x:c r="L2161" s="7" t="str"/>
    </x:row>
    <x:row r="2162">
      <x:c r="A2162" s="5" t="str">
        <x:v>洒</x:v>
      </x:c>
      <x:c r="B2162" s="6" t="str">
        <x:v>上</x:v>
      </x:c>
      <x:c r="C2162" s="6" t="str">
        <x:f>IF(B2162="","Needs decision","Ready")</x:f>
        <x:v>Ready</x:v>
      </x:c>
      <x:c r="D2162" s="6" t="str">
        <x:v>上</x:v>
      </x:c>
      <x:c r="E2162" s="6" t="str">
        <x:v>sreaX (B); sejX (B)</x:v>
      </x:c>
      <x:c r="F2162" s="6" t="str"/>
      <x:c r="G2162" s="6" t="str"/>
      <x:c r="H2162" s="6" t="str">
        <x:v>2</x:v>
      </x:c>
      <x:c r="I2162" s="6" t="str"/>
      <x:c r="J2162" s="6" t="str">
        <x:f>IF(B2162="","",IF(AND(ISNUMBER(SEARCH("平",B2162)),OR(ISNUMBER(SEARCH("上",B2162)),ISNUMBER(SEARCH("去",B2162)),ISNUMBER(SEARCH("入",B2162)))),"Ambiguous",IF(ISNUMBER(SEARCH("平",B2162)),"平","仄")))</x:f>
        <x:v>仄</x:v>
      </x:c>
      <x:c r="K2162" s="6" t="str">
        <x:f>IF(D2162="","",IF(AND(ISNUMBER(SEARCH("平",D2162)),OR(ISNUMBER(SEARCH("上",D2162)),ISNUMBER(SEARCH("去",D2162)),ISNUMBER(SEARCH("入",D2162)))),"Ambiguous",IF(ISNUMBER(SEARCH("平",D2162)),"平","仄")))</x:f>
        <x:v>仄</x:v>
      </x:c>
      <x:c r="L2162" s="7" t="str"/>
    </x:row>
    <x:row r="2163">
      <x:c r="A2163" s="5" t="str">
        <x:v>洗</x:v>
      </x:c>
      <x:c r="B2163" s="6" t="str">
        <x:v>上</x:v>
      </x:c>
      <x:c r="C2163" s="6" t="str">
        <x:f>IF(B2163="","Needs decision","Ready")</x:f>
        <x:v>Ready</x:v>
      </x:c>
      <x:c r="D2163" s="6" t="str">
        <x:v>上</x:v>
      </x:c>
      <x:c r="E2163" s="6" t="str">
        <x:v>sejX (B); senX (B)</x:v>
      </x:c>
      <x:c r="F2163" s="6" t="str">
        <x:v>上聲八薺; 上聲十六銑</x:v>
      </x:c>
      <x:c r="G2163" s="6" t="str">
        <x:v>Pingshui main list, Wikisource-derived DOCX</x:v>
      </x:c>
      <x:c r="H2163" s="6" t="str">
        <x:v>2</x:v>
      </x:c>
      <x:c r="I2163" s="6" t="str"/>
      <x:c r="J2163" s="6" t="str">
        <x:f>IF(B2163="","",IF(AND(ISNUMBER(SEARCH("平",B2163)),OR(ISNUMBER(SEARCH("上",B2163)),ISNUMBER(SEARCH("去",B2163)),ISNUMBER(SEARCH("入",B2163)))),"Ambiguous",IF(ISNUMBER(SEARCH("平",B2163)),"平","仄")))</x:f>
        <x:v>仄</x:v>
      </x:c>
      <x:c r="K2163" s="6" t="str">
        <x:f>IF(D2163="","",IF(AND(ISNUMBER(SEARCH("平",D2163)),OR(ISNUMBER(SEARCH("上",D2163)),ISNUMBER(SEARCH("去",D2163)),ISNUMBER(SEARCH("入",D2163)))),"Ambiguous",IF(ISNUMBER(SEARCH("平",D2163)),"平","仄")))</x:f>
        <x:v>仄</x:v>
      </x:c>
      <x:c r="L2163" s="7" t="str"/>
    </x:row>
    <x:row r="2164">
      <x:c r="A2164" s="5" t="str">
        <x:v>洛</x:v>
      </x:c>
      <x:c r="B2164" s="6" t="str">
        <x:v>入</x:v>
      </x:c>
      <x:c r="C2164" s="6" t="str">
        <x:f>IF(B2164="","Needs decision","Ready")</x:f>
        <x:v>Ready</x:v>
      </x:c>
      <x:c r="D2164" s="6" t="str">
        <x:v>入</x:v>
      </x:c>
      <x:c r="E2164" s="6" t="str">
        <x:v>lak [l̙ɑk] (入)</x:v>
      </x:c>
      <x:c r="F2164" s="6" t="str">
        <x:v>入聲十藥</x:v>
      </x:c>
      <x:c r="G2164" s="6" t="str">
        <x:v>Pingshui main list, Wikisource-derived DOCX</x:v>
      </x:c>
      <x:c r="H2164" s="6" t="str">
        <x:v>1</x:v>
      </x:c>
      <x:c r="I2164" s="6" t="str">
        <x:v>Tang 300 gap; frequency 7; provisional from Xun Gong</x:v>
      </x:c>
      <x:c r="J2164" s="6" t="str">
        <x:f>IF(B2164="","",IF(AND(ISNUMBER(SEARCH("平",B2164)),OR(ISNUMBER(SEARCH("上",B2164)),ISNUMBER(SEARCH("去",B2164)),ISNUMBER(SEARCH("入",B2164)))),"Ambiguous",IF(ISNUMBER(SEARCH("平",B2164)),"平","仄")))</x:f>
        <x:v>仄</x:v>
      </x:c>
      <x:c r="K2164" s="6" t="str">
        <x:f>IF(D2164="","",IF(AND(ISNUMBER(SEARCH("平",D2164)),OR(ISNUMBER(SEARCH("上",D2164)),ISNUMBER(SEARCH("去",D2164)),ISNUMBER(SEARCH("入",D2164)))),"Ambiguous",IF(ISNUMBER(SEARCH("平",D2164)),"平","仄")))</x:f>
        <x:v>仄</x:v>
      </x:c>
      <x:c r="L2164" s="7" t="str">
        <x:v>Xun Gong, Tang 300 gap fill</x:v>
      </x:c>
    </x:row>
    <x:row r="2165">
      <x:c r="A2165" s="5" t="str">
        <x:v>洞</x:v>
      </x:c>
      <x:c r="B2165" s="6" t="str">
        <x:v>去</x:v>
      </x:c>
      <x:c r="C2165" s="6" t="str">
        <x:f>IF(B2165="","Needs decision","Ready")</x:f>
        <x:v>Ready</x:v>
      </x:c>
      <x:c r="D2165" s="6" t="str">
        <x:v>平/去</x:v>
      </x:c>
      <x:c r="E2165" s="6" t="str">
        <x:v>duwngH [定一東去] d̙uŋh; duwng [定一東平] d̙uŋ</x:v>
      </x:c>
      <x:c r="F2165" s="6" t="str">
        <x:v>上聲一董; 去聲一送</x:v>
      </x:c>
      <x:c r="G2165" s="6" t="str">
        <x:v>Pingshui main list, Wikisource-derived DOCX</x:v>
      </x:c>
      <x:c r="H2165" s="6" t="str">
        <x:v>2</x:v>
      </x:c>
      <x:c r="I2165" s="6" t="str">
        <x:v>Targeted preliminary fill from Xun Gong; review if uncertain; User workbook edit 2026-09-03</x:v>
      </x:c>
      <x:c r="J2165" s="6" t="str">
        <x:f>IF(B2165="","",IF(AND(ISNUMBER(SEARCH("平",B2165)),OR(ISNUMBER(SEARCH("上",B2165)),ISNUMBER(SEARCH("去",B2165)),ISNUMBER(SEARCH("入",B2165)))),"Ambiguous",IF(ISNUMBER(SEARCH("平",B2165)),"平","仄")))</x:f>
        <x:v>仄</x:v>
      </x:c>
      <x:c r="K2165" s="6" t="str">
        <x:f>IF(D2165="","",IF(AND(ISNUMBER(SEARCH("平",D2165)),OR(ISNUMBER(SEARCH("上",D2165)),ISNUMBER(SEARCH("去",D2165)),ISNUMBER(SEARCH("入",D2165)))),"Ambiguous",IF(ISNUMBER(SEARCH("平",D2165)),"平","仄")))</x:f>
        <x:v>Ambiguous</x:v>
      </x:c>
      <x:c r="L2165" s="7" t="str">
        <x:v>manual user correction</x:v>
      </x:c>
    </x:row>
    <x:row r="2166">
      <x:c r="A2166" s="5" t="str">
        <x:v>洟</x:v>
      </x:c>
      <x:c r="B2166" s="6" t="str">
        <x:v>去</x:v>
      </x:c>
      <x:c r="C2166" s="6" t="str">
        <x:f>IF(B2166="","Needs decision","Ready")</x:f>
        <x:v>Ready</x:v>
      </x:c>
      <x:c r="D2166" s="6" t="str">
        <x:v>去</x:v>
      </x:c>
      <x:c r="E2166" s="6" t="str">
        <x:v>thejH (C)</x:v>
      </x:c>
      <x:c r="F2166" s="6" t="str">
        <x:v>上平聲四支</x:v>
      </x:c>
      <x:c r="G2166" s="6" t="str">
        <x:v>Pingshui main list, Wikisource-derived DOCX</x:v>
      </x:c>
      <x:c r="H2166" s="6" t="str">
        <x:v>1</x:v>
      </x:c>
      <x:c r="I2166" s="6" t="str"/>
      <x:c r="J2166" s="6" t="str">
        <x:f>IF(B2166="","",IF(AND(ISNUMBER(SEARCH("平",B2166)),OR(ISNUMBER(SEARCH("上",B2166)),ISNUMBER(SEARCH("去",B2166)),ISNUMBER(SEARCH("入",B2166)))),"Ambiguous",IF(ISNUMBER(SEARCH("平",B2166)),"平","仄")))</x:f>
        <x:v>仄</x:v>
      </x:c>
      <x:c r="K2166" s="6" t="str">
        <x:f>IF(D2166="","",IF(AND(ISNUMBER(SEARCH("平",D2166)),OR(ISNUMBER(SEARCH("上",D2166)),ISNUMBER(SEARCH("去",D2166)),ISNUMBER(SEARCH("入",D2166)))),"Ambiguous",IF(ISNUMBER(SEARCH("平",D2166)),"平","仄")))</x:f>
        <x:v>仄</x:v>
      </x:c>
      <x:c r="L2166" s="7" t="str"/>
    </x:row>
    <x:row r="2167">
      <x:c r="A2167" s="5" t="str">
        <x:v>津</x:v>
      </x:c>
      <x:c r="B2167" s="6" t="str">
        <x:v>平</x:v>
      </x:c>
      <x:c r="C2167" s="6" t="str">
        <x:f>IF(B2167="","Needs decision","Ready")</x:f>
        <x:v>Ready</x:v>
      </x:c>
      <x:c r="D2167" s="6" t="str">
        <x:v>平</x:v>
      </x:c>
      <x:c r="E2167" s="6" t="str">
        <x:v>tsin (A)</x:v>
      </x:c>
      <x:c r="F2167" s="6" t="str">
        <x:v>上平聲十一真</x:v>
      </x:c>
      <x:c r="G2167" s="6" t="str">
        <x:v>Pingshui main list, Wikisource-derived DOCX</x:v>
      </x:c>
      <x:c r="H2167" s="6" t="str">
        <x:v>1</x:v>
      </x:c>
      <x:c r="I2167" s="6" t="str"/>
      <x:c r="J2167" s="6" t="str">
        <x:f>IF(B2167="","",IF(AND(ISNUMBER(SEARCH("平",B2167)),OR(ISNUMBER(SEARCH("上",B2167)),ISNUMBER(SEARCH("去",B2167)),ISNUMBER(SEARCH("入",B2167)))),"Ambiguous",IF(ISNUMBER(SEARCH("平",B2167)),"平","仄")))</x:f>
        <x:v>平</x:v>
      </x:c>
      <x:c r="K2167" s="6" t="str">
        <x:f>IF(D2167="","",IF(AND(ISNUMBER(SEARCH("平",D2167)),OR(ISNUMBER(SEARCH("上",D2167)),ISNUMBER(SEARCH("去",D2167)),ISNUMBER(SEARCH("入",D2167)))),"Ambiguous",IF(ISNUMBER(SEARCH("平",D2167)),"平","仄")))</x:f>
        <x:v>平</x:v>
      </x:c>
      <x:c r="L2167" s="7" t="str"/>
    </x:row>
    <x:row r="2168">
      <x:c r="A2168" s="5" t="str">
        <x:v>洧</x:v>
      </x:c>
      <x:c r="B2168" s="6" t="str">
        <x:v>上</x:v>
      </x:c>
      <x:c r="C2168" s="6" t="str">
        <x:f>IF(B2168="","Needs decision","Ready")</x:f>
        <x:v>Ready</x:v>
      </x:c>
      <x:c r="D2168" s="6" t="str">
        <x:v>上</x:v>
      </x:c>
      <x:c r="E2168" s="6" t="str">
        <x:v>hwijX (B)</x:v>
      </x:c>
      <x:c r="F2168" s="6" t="str">
        <x:v>上聲四紙</x:v>
      </x:c>
      <x:c r="G2168" s="6" t="str">
        <x:v>Pingshui main list, Wikisource-derived DOCX</x:v>
      </x:c>
      <x:c r="H2168" s="6" t="str">
        <x:v>1</x:v>
      </x:c>
      <x:c r="I2168" s="6" t="str"/>
      <x:c r="J2168" s="6" t="str">
        <x:f>IF(B2168="","",IF(AND(ISNUMBER(SEARCH("平",B2168)),OR(ISNUMBER(SEARCH("上",B2168)),ISNUMBER(SEARCH("去",B2168)),ISNUMBER(SEARCH("入",B2168)))),"Ambiguous",IF(ISNUMBER(SEARCH("平",B2168)),"平","仄")))</x:f>
        <x:v>仄</x:v>
      </x:c>
      <x:c r="K2168" s="6" t="str">
        <x:f>IF(D2168="","",IF(AND(ISNUMBER(SEARCH("平",D2168)),OR(ISNUMBER(SEARCH("上",D2168)),ISNUMBER(SEARCH("去",D2168)),ISNUMBER(SEARCH("入",D2168)))),"Ambiguous",IF(ISNUMBER(SEARCH("平",D2168)),"平","仄")))</x:f>
        <x:v>仄</x:v>
      </x:c>
      <x:c r="L2168" s="7" t="str"/>
    </x:row>
    <x:row r="2169">
      <x:c r="A2169" s="5" t="str">
        <x:v>洪</x:v>
      </x:c>
      <x:c r="B2169" s="6" t="str">
        <x:v>平</x:v>
      </x:c>
      <x:c r="C2169" s="6" t="str">
        <x:f>IF(B2169="","Needs decision","Ready")</x:f>
        <x:v>Ready</x:v>
      </x:c>
      <x:c r="D2169" s="6" t="str">
        <x:v>平</x:v>
      </x:c>
      <x:c r="E2169" s="6" t="str"/>
      <x:c r="F2169" s="6" t="str">
        <x:v>上平聲一東</x:v>
      </x:c>
      <x:c r="G2169" s="6" t="str">
        <x:v>Pingshui main list, Wikisource-derived DOCX</x:v>
      </x:c>
      <x:c r="H2169" s="6" t="str">
        <x:v>0</x:v>
      </x:c>
      <x:c r="I2169" s="6" t="str">
        <x:v>User correction 2026-09-08; added manually</x:v>
      </x:c>
      <x:c r="J2169" s="6" t="str">
        <x:f>IF(B2169="","",IF(AND(ISNUMBER(SEARCH("平",B2169)),OR(ISNUMBER(SEARCH("上",B2169)),ISNUMBER(SEARCH("去",B2169)),ISNUMBER(SEARCH("入",B2169)))),"Ambiguous",IF(ISNUMBER(SEARCH("平",B2169)),"平","仄")))</x:f>
        <x:v>平</x:v>
      </x:c>
      <x:c r="K2169" s="6" t="str">
        <x:f>IF(D2169="","",IF(AND(ISNUMBER(SEARCH("平",D2169)),OR(ISNUMBER(SEARCH("上",D2169)),ISNUMBER(SEARCH("去",D2169)),ISNUMBER(SEARCH("入",D2169)))),"Ambiguous",IF(ISNUMBER(SEARCH("平",D2169)),"平","仄")))</x:f>
        <x:v>平</x:v>
      </x:c>
      <x:c r="L2169" s="7" t="str">
        <x:v>User correction</x:v>
      </x:c>
    </x:row>
    <x:row r="2170">
      <x:c r="A2170" s="5" t="str">
        <x:v>洫</x:v>
      </x:c>
      <x:c r="B2170" s="6" t="str">
        <x:v>入</x:v>
      </x:c>
      <x:c r="C2170" s="6" t="str">
        <x:f>IF(B2170="","Needs decision","Ready")</x:f>
        <x:v>Ready</x:v>
      </x:c>
      <x:c r="D2170" s="6" t="str">
        <x:v>入</x:v>
      </x:c>
      <x:c r="E2170" s="6" t="str">
        <x:v>xwik (D)</x:v>
      </x:c>
      <x:c r="F2170" s="6" t="str">
        <x:v>入聲十三職</x:v>
      </x:c>
      <x:c r="G2170" s="6" t="str">
        <x:v>Pingshui main list, Wikisource-derived DOCX</x:v>
      </x:c>
      <x:c r="H2170" s="6" t="str">
        <x:v>1</x:v>
      </x:c>
      <x:c r="I2170" s="6" t="str"/>
      <x:c r="J2170" s="6" t="str">
        <x:f>IF(B2170="","",IF(AND(ISNUMBER(SEARCH("平",B2170)),OR(ISNUMBER(SEARCH("上",B2170)),ISNUMBER(SEARCH("去",B2170)),ISNUMBER(SEARCH("入",B2170)))),"Ambiguous",IF(ISNUMBER(SEARCH("平",B2170)),"平","仄")))</x:f>
        <x:v>仄</x:v>
      </x:c>
      <x:c r="K2170" s="6" t="str">
        <x:f>IF(D2170="","",IF(AND(ISNUMBER(SEARCH("平",D2170)),OR(ISNUMBER(SEARCH("上",D2170)),ISNUMBER(SEARCH("去",D2170)),ISNUMBER(SEARCH("入",D2170)))),"Ambiguous",IF(ISNUMBER(SEARCH("平",D2170)),"平","仄")))</x:f>
        <x:v>仄</x:v>
      </x:c>
      <x:c r="L2170" s="7" t="str"/>
    </x:row>
    <x:row r="2171">
      <x:c r="A2171" s="5" t="str">
        <x:v>洮</x:v>
      </x:c>
      <x:c r="B2171" s="6" t="str">
        <x:v>平</x:v>
      </x:c>
      <x:c r="C2171" s="6" t="str">
        <x:f>IF(B2171="","Needs decision","Ready")</x:f>
        <x:v>Ready</x:v>
      </x:c>
      <x:c r="D2171" s="6" t="str">
        <x:v>平</x:v>
      </x:c>
      <x:c r="E2171" s="6" t="str">
        <x:v>thaw [t̙ʰəw] (平); yew [jew] (平)</x:v>
      </x:c>
      <x:c r="F2171" s="6" t="str">
        <x:v>下平聲四豪</x:v>
      </x:c>
      <x:c r="G2171" s="6" t="str">
        <x:v>Pingshui main list, Wikisource-derived DOCX</x:v>
      </x:c>
      <x:c r="H2171" s="6" t="str">
        <x:v>2</x:v>
      </x:c>
      <x:c r="I2171" s="6" t="str">
        <x:v>Tang 300 gap; frequency 3; provisional from Xun Gong</x:v>
      </x:c>
      <x:c r="J2171" s="6" t="str">
        <x:f>IF(B2171="","",IF(AND(ISNUMBER(SEARCH("平",B2171)),OR(ISNUMBER(SEARCH("上",B2171)),ISNUMBER(SEARCH("去",B2171)),ISNUMBER(SEARCH("入",B2171)))),"Ambiguous",IF(ISNUMBER(SEARCH("平",B2171)),"平","仄")))</x:f>
        <x:v>平</x:v>
      </x:c>
      <x:c r="K2171" s="6" t="str">
        <x:f>IF(D2171="","",IF(AND(ISNUMBER(SEARCH("平",D2171)),OR(ISNUMBER(SEARCH("上",D2171)),ISNUMBER(SEARCH("去",D2171)),ISNUMBER(SEARCH("入",D2171)))),"Ambiguous",IF(ISNUMBER(SEARCH("平",D2171)),"平","仄")))</x:f>
        <x:v>平</x:v>
      </x:c>
      <x:c r="L2171" s="7" t="str">
        <x:v>Xun Gong, Tang 300 gap fill</x:v>
      </x:c>
    </x:row>
    <x:row r="2172">
      <x:c r="A2172" s="5" t="str">
        <x:v>洲</x:v>
      </x:c>
      <x:c r="B2172" s="6" t="str">
        <x:v>平</x:v>
      </x:c>
      <x:c r="C2172" s="6" t="str">
        <x:f>IF(B2172="","Needs decision","Ready")</x:f>
        <x:v>Ready</x:v>
      </x:c>
      <x:c r="D2172" s="6" t="str">
        <x:v>平</x:v>
      </x:c>
      <x:c r="E2172" s="6" t="str">
        <x:v>tsyuw (A)</x:v>
      </x:c>
      <x:c r="F2172" s="6" t="str">
        <x:v>下平聲十一尤</x:v>
      </x:c>
      <x:c r="G2172" s="6" t="str">
        <x:v>Pingshui main list, Wikisource-derived DOCX</x:v>
      </x:c>
      <x:c r="H2172" s="6" t="str">
        <x:v>1</x:v>
      </x:c>
      <x:c r="I2172" s="6" t="str"/>
      <x:c r="J2172" s="6" t="str">
        <x:f>IF(B2172="","",IF(AND(ISNUMBER(SEARCH("平",B2172)),OR(ISNUMBER(SEARCH("上",B2172)),ISNUMBER(SEARCH("去",B2172)),ISNUMBER(SEARCH("入",B2172)))),"Ambiguous",IF(ISNUMBER(SEARCH("平",B2172)),"平","仄")))</x:f>
        <x:v>平</x:v>
      </x:c>
      <x:c r="K2172" s="6" t="str">
        <x:f>IF(D2172="","",IF(AND(ISNUMBER(SEARCH("平",D2172)),OR(ISNUMBER(SEARCH("上",D2172)),ISNUMBER(SEARCH("去",D2172)),ISNUMBER(SEARCH("入",D2172)))),"Ambiguous",IF(ISNUMBER(SEARCH("平",D2172)),"平","仄")))</x:f>
        <x:v>平</x:v>
      </x:c>
      <x:c r="L2172" s="7" t="str"/>
    </x:row>
    <x:row r="2173">
      <x:c r="A2173" s="5" t="str">
        <x:v>洳</x:v>
      </x:c>
      <x:c r="B2173" s="6" t="str"/>
      <x:c r="C2173" s="6" t="str">
        <x:f>IF(B2173="","Needs decision","Ready")</x:f>
        <x:v>Needs decision</x:v>
      </x:c>
      <x:c r="D2173" s="6" t="str">
        <x:v>平/去</x:v>
      </x:c>
      <x:c r="E2173" s="6" t="str">
        <x:v>nyo (A); nyoH (C)</x:v>
      </x:c>
      <x:c r="F2173" s="6" t="str">
        <x:v>上平聲六魚; 去聲六御</x:v>
      </x:c>
      <x:c r="G2173" s="6" t="str">
        <x:v>Pingshui main list, Wikisource-derived DOCX</x:v>
      </x:c>
      <x:c r="H2173" s="6" t="str">
        <x:v>2</x:v>
      </x:c>
      <x:c r="I2173" s="6" t="str"/>
      <x:c r="J2173" s="6" t="str">
        <x:f>IF(B2173="","",IF(AND(ISNUMBER(SEARCH("平",B2173)),OR(ISNUMBER(SEARCH("上",B2173)),ISNUMBER(SEARCH("去",B2173)),ISNUMBER(SEARCH("入",B2173)))),"Ambiguous",IF(ISNUMBER(SEARCH("平",B2173)),"平","仄")))</x:f>
      </x:c>
      <x:c r="K2173" s="6" t="str">
        <x:f>IF(D2173="","",IF(AND(ISNUMBER(SEARCH("平",D2173)),OR(ISNUMBER(SEARCH("上",D2173)),ISNUMBER(SEARCH("去",D2173)),ISNUMBER(SEARCH("入",D2173)))),"Ambiguous",IF(ISNUMBER(SEARCH("平",D2173)),"平","仄")))</x:f>
        <x:v>Ambiguous</x:v>
      </x:c>
      <x:c r="L2173" s="7" t="str"/>
    </x:row>
    <x:row r="2174">
      <x:c r="A2174" s="5" t="str">
        <x:v>洶</x:v>
      </x:c>
      <x:c r="B2174" s="6" t="str">
        <x:v>平</x:v>
      </x:c>
      <x:c r="C2174" s="6" t="str">
        <x:f>IF(B2174="","Needs decision","Ready")</x:f>
        <x:v>Ready</x:v>
      </x:c>
      <x:c r="D2174" s="6" t="str">
        <x:v>平</x:v>
      </x:c>
      <x:c r="E2174" s="6" t="str"/>
      <x:c r="F2174" s="6" t="str">
        <x:v>上平聲二冬; 上聲二腫</x:v>
      </x:c>
      <x:c r="G2174" s="6" t="str">
        <x:v>Pingshui main list, Wikisource-derived DOCX</x:v>
      </x:c>
      <x:c r="H2174" s="6" t="str"/>
      <x:c r="I2174" s="6" t="str">
        <x:v>Manual user correction/addition</x:v>
      </x:c>
      <x:c r="J2174" s="6" t="str">
        <x:f>IF(B2174="","",IF(AND(ISNUMBER(SEARCH("平",B2174)),OR(ISNUMBER(SEARCH("上",B2174)),ISNUMBER(SEARCH("去",B2174)),ISNUMBER(SEARCH("入",B2174)))),"Ambiguous",IF(ISNUMBER(SEARCH("平",B2174)),"平","仄")))</x:f>
        <x:v>平</x:v>
      </x:c>
      <x:c r="K2174" s="6" t="str">
        <x:f>IF(D2174="","",IF(AND(ISNUMBER(SEARCH("平",D2174)),OR(ISNUMBER(SEARCH("上",D2174)),ISNUMBER(SEARCH("去",D2174)),ISNUMBER(SEARCH("入",D2174)))),"Ambiguous",IF(ISNUMBER(SEARCH("平",D2174)),"平","仄")))</x:f>
        <x:v>平</x:v>
      </x:c>
      <x:c r="L2174" s="7" t="str">
        <x:v>manual user correction</x:v>
      </x:c>
    </x:row>
    <x:row r="2175">
      <x:c r="A2175" s="5" t="str">
        <x:v>洹</x:v>
      </x:c>
      <x:c r="B2175" s="6" t="str">
        <x:v>平</x:v>
      </x:c>
      <x:c r="C2175" s="6" t="str">
        <x:f>IF(B2175="","Needs decision","Ready")</x:f>
        <x:v>Ready</x:v>
      </x:c>
      <x:c r="D2175" s="6" t="str">
        <x:v>平</x:v>
      </x:c>
      <x:c r="E2175" s="6" t="str">
        <x:v>hjwon [云合三C元平] wɨ̯ən; hwan [匣合一寒平] ʁwɑn</x:v>
      </x:c>
      <x:c r="F2175" s="6" t="str">
        <x:v>上平聲十三元; 上平聲十四寒</x:v>
      </x:c>
      <x:c r="G2175" s="6" t="str">
        <x:v>Pingshui main list, Wikisource-derived DOCX</x:v>
      </x:c>
      <x:c r="H2175" s="6" t="str">
        <x:v>2</x:v>
      </x:c>
      <x:c r="I2175" s="6" t="str">
        <x:v>Targeted preliminary fill from Xun Gong; review if uncertain</x:v>
      </x:c>
      <x:c r="J2175" s="6" t="str">
        <x:f>IF(B2175="","",IF(AND(ISNUMBER(SEARCH("平",B2175)),OR(ISNUMBER(SEARCH("上",B2175)),ISNUMBER(SEARCH("去",B2175)),ISNUMBER(SEARCH("入",B2175)))),"Ambiguous",IF(ISNUMBER(SEARCH("平",B2175)),"平","仄")))</x:f>
        <x:v>平</x:v>
      </x:c>
      <x:c r="K2175" s="6" t="str">
        <x:f>IF(D2175="","",IF(AND(ISNUMBER(SEARCH("平",D2175)),OR(ISNUMBER(SEARCH("上",D2175)),ISNUMBER(SEARCH("去",D2175)),ISNUMBER(SEARCH("入",D2175)))),"Ambiguous",IF(ISNUMBER(SEARCH("平",D2175)),"平","仄")))</x:f>
        <x:v>平</x:v>
      </x:c>
      <x:c r="L2175" s="7" t="str">
        <x:v>Xun Gong character-readings.csv</x:v>
      </x:c>
    </x:row>
    <x:row r="2176">
      <x:c r="A2176" s="5" t="str">
        <x:v>活</x:v>
      </x:c>
      <x:c r="B2176" s="6" t="str">
        <x:v>入</x:v>
      </x:c>
      <x:c r="C2176" s="6" t="str">
        <x:f>IF(B2176="","Needs decision","Ready")</x:f>
        <x:v>Ready</x:v>
      </x:c>
      <x:c r="D2176" s="6" t="str">
        <x:v>入</x:v>
      </x:c>
      <x:c r="E2176" s="6" t="str">
        <x:v>hwat (D)</x:v>
      </x:c>
      <x:c r="F2176" s="6" t="str">
        <x:v>入聲七曷</x:v>
      </x:c>
      <x:c r="G2176" s="6" t="str">
        <x:v>Pingshui main list, Wikisource-derived DOCX</x:v>
      </x:c>
      <x:c r="H2176" s="6" t="str">
        <x:v>1</x:v>
      </x:c>
      <x:c r="I2176" s="6" t="str"/>
      <x:c r="J2176" s="6" t="str">
        <x:f>IF(B2176="","",IF(AND(ISNUMBER(SEARCH("平",B2176)),OR(ISNUMBER(SEARCH("上",B2176)),ISNUMBER(SEARCH("去",B2176)),ISNUMBER(SEARCH("入",B2176)))),"Ambiguous",IF(ISNUMBER(SEARCH("平",B2176)),"平","仄")))</x:f>
        <x:v>仄</x:v>
      </x:c>
      <x:c r="K2176" s="6" t="str">
        <x:f>IF(D2176="","",IF(AND(ISNUMBER(SEARCH("平",D2176)),OR(ISNUMBER(SEARCH("上",D2176)),ISNUMBER(SEARCH("去",D2176)),ISNUMBER(SEARCH("入",D2176)))),"Ambiguous",IF(ISNUMBER(SEARCH("平",D2176)),"平","仄")))</x:f>
        <x:v>仄</x:v>
      </x:c>
      <x:c r="L2176" s="7" t="str"/>
    </x:row>
    <x:row r="2177">
      <x:c r="A2177" s="5" t="str">
        <x:v>洽</x:v>
      </x:c>
      <x:c r="B2177" s="6" t="str">
        <x:v>入</x:v>
      </x:c>
      <x:c r="C2177" s="6" t="str">
        <x:f>IF(B2177="","Needs decision","Ready")</x:f>
        <x:v>Ready</x:v>
      </x:c>
      <x:c r="D2177" s="6" t="str">
        <x:v>入</x:v>
      </x:c>
      <x:c r="E2177" s="6" t="str">
        <x:v>heap (D)</x:v>
      </x:c>
      <x:c r="F2177" s="6" t="str">
        <x:v>入聲十七洽</x:v>
      </x:c>
      <x:c r="G2177" s="6" t="str">
        <x:v>Pingshui main list, Wikisource-derived DOCX</x:v>
      </x:c>
      <x:c r="H2177" s="6" t="str">
        <x:v>1</x:v>
      </x:c>
      <x:c r="I2177" s="6" t="str"/>
      <x:c r="J2177" s="6" t="str">
        <x:f>IF(B2177="","",IF(AND(ISNUMBER(SEARCH("平",B2177)),OR(ISNUMBER(SEARCH("上",B2177)),ISNUMBER(SEARCH("去",B2177)),ISNUMBER(SEARCH("入",B2177)))),"Ambiguous",IF(ISNUMBER(SEARCH("平",B2177)),"平","仄")))</x:f>
        <x:v>仄</x:v>
      </x:c>
      <x:c r="K2177" s="6" t="str">
        <x:f>IF(D2177="","",IF(AND(ISNUMBER(SEARCH("平",D2177)),OR(ISNUMBER(SEARCH("上",D2177)),ISNUMBER(SEARCH("去",D2177)),ISNUMBER(SEARCH("入",D2177)))),"Ambiguous",IF(ISNUMBER(SEARCH("平",D2177)),"平","仄")))</x:f>
        <x:v>仄</x:v>
      </x:c>
      <x:c r="L2177" s="7" t="str"/>
    </x:row>
    <x:row r="2178">
      <x:c r="A2178" s="5" t="str">
        <x:v>派</x:v>
      </x:c>
      <x:c r="B2178" s="6" t="str">
        <x:v>去</x:v>
      </x:c>
      <x:c r="C2178" s="6" t="str">
        <x:f>IF(B2178="","Needs decision","Ready")</x:f>
        <x:v>Ready</x:v>
      </x:c>
      <x:c r="D2178" s="6" t="str">
        <x:v>去</x:v>
      </x:c>
      <x:c r="E2178" s="6" t="str">
        <x:v>pheaH [p̙ʰeˤh] (去)</x:v>
      </x:c>
      <x:c r="F2178" s="6" t="str">
        <x:v>去聲十卦</x:v>
      </x:c>
      <x:c r="G2178" s="6" t="str">
        <x:v>Pingshui main list, Wikisource-derived DOCX</x:v>
      </x:c>
      <x:c r="H2178" s="6" t="str">
        <x:v>1</x:v>
      </x:c>
      <x:c r="I2178" s="6" t="str">
        <x:v>Tang 300 gap; frequency 1; provisional from Xun Gong</x:v>
      </x:c>
      <x:c r="J2178" s="6" t="str">
        <x:f>IF(B2178="","",IF(AND(ISNUMBER(SEARCH("平",B2178)),OR(ISNUMBER(SEARCH("上",B2178)),ISNUMBER(SEARCH("去",B2178)),ISNUMBER(SEARCH("入",B2178)))),"Ambiguous",IF(ISNUMBER(SEARCH("平",B2178)),"平","仄")))</x:f>
        <x:v>仄</x:v>
      </x:c>
      <x:c r="K2178" s="6" t="str">
        <x:f>IF(D2178="","",IF(AND(ISNUMBER(SEARCH("平",D2178)),OR(ISNUMBER(SEARCH("上",D2178)),ISNUMBER(SEARCH("去",D2178)),ISNUMBER(SEARCH("入",D2178)))),"Ambiguous",IF(ISNUMBER(SEARCH("平",D2178)),"平","仄")))</x:f>
        <x:v>仄</x:v>
      </x:c>
      <x:c r="L2178" s="7" t="str">
        <x:v>Xun Gong, Tang 300 gap fill</x:v>
      </x:c>
    </x:row>
    <x:row r="2179">
      <x:c r="A2179" s="5" t="str">
        <x:v>洿</x:v>
      </x:c>
      <x:c r="B2179" s="6" t="str">
        <x:v>平</x:v>
      </x:c>
      <x:c r="C2179" s="6" t="str">
        <x:f>IF(B2179="","Needs decision","Ready")</x:f>
        <x:v>Ready</x:v>
      </x:c>
      <x:c r="D2179" s="6" t="str">
        <x:v>平</x:v>
      </x:c>
      <x:c r="E2179" s="6" t="str">
        <x:v>'u (A)</x:v>
      </x:c>
      <x:c r="F2179" s="6" t="str"/>
      <x:c r="G2179" s="6" t="str"/>
      <x:c r="H2179" s="6" t="str">
        <x:v>1</x:v>
      </x:c>
      <x:c r="I2179" s="6" t="str"/>
      <x:c r="J2179" s="6" t="str">
        <x:f>IF(B2179="","",IF(AND(ISNUMBER(SEARCH("平",B2179)),OR(ISNUMBER(SEARCH("上",B2179)),ISNUMBER(SEARCH("去",B2179)),ISNUMBER(SEARCH("入",B2179)))),"Ambiguous",IF(ISNUMBER(SEARCH("平",B2179)),"平","仄")))</x:f>
        <x:v>平</x:v>
      </x:c>
      <x:c r="K2179" s="6" t="str">
        <x:f>IF(D2179="","",IF(AND(ISNUMBER(SEARCH("平",D2179)),OR(ISNUMBER(SEARCH("上",D2179)),ISNUMBER(SEARCH("去",D2179)),ISNUMBER(SEARCH("入",D2179)))),"Ambiguous",IF(ISNUMBER(SEARCH("平",D2179)),"平","仄")))</x:f>
        <x:v>平</x:v>
      </x:c>
      <x:c r="L2179" s="7" t="str"/>
    </x:row>
    <x:row r="2180">
      <x:c r="A2180" s="5" t="str">
        <x:v>流</x:v>
      </x:c>
      <x:c r="B2180" s="6" t="str">
        <x:v>平</x:v>
      </x:c>
      <x:c r="C2180" s="6" t="str">
        <x:f>IF(B2180="","Needs decision","Ready")</x:f>
        <x:v>Ready</x:v>
      </x:c>
      <x:c r="D2180" s="6" t="str">
        <x:v>平</x:v>
      </x:c>
      <x:c r="E2180" s="6" t="str">
        <x:v>ljuw (A)</x:v>
      </x:c>
      <x:c r="F2180" s="6" t="str">
        <x:v>下平聲十一尤</x:v>
      </x:c>
      <x:c r="G2180" s="6" t="str">
        <x:v>Pingshui main list, Wikisource-derived DOCX</x:v>
      </x:c>
      <x:c r="H2180" s="6" t="str">
        <x:v>1</x:v>
      </x:c>
      <x:c r="I2180" s="6" t="str"/>
      <x:c r="J2180" s="6" t="str">
        <x:f>IF(B2180="","",IF(AND(ISNUMBER(SEARCH("平",B2180)),OR(ISNUMBER(SEARCH("上",B2180)),ISNUMBER(SEARCH("去",B2180)),ISNUMBER(SEARCH("入",B2180)))),"Ambiguous",IF(ISNUMBER(SEARCH("平",B2180)),"平","仄")))</x:f>
        <x:v>平</x:v>
      </x:c>
      <x:c r="K2180" s="6" t="str">
        <x:f>IF(D2180="","",IF(AND(ISNUMBER(SEARCH("平",D2180)),OR(ISNUMBER(SEARCH("上",D2180)),ISNUMBER(SEARCH("去",D2180)),ISNUMBER(SEARCH("入",D2180)))),"Ambiguous",IF(ISNUMBER(SEARCH("平",D2180)),"平","仄")))</x:f>
        <x:v>平</x:v>
      </x:c>
      <x:c r="L2180" s="7" t="str"/>
    </x:row>
    <x:row r="2181">
      <x:c r="A2181" s="5" t="str">
        <x:v>浣</x:v>
      </x:c>
      <x:c r="B2181" s="6" t="str">
        <x:v>上</x:v>
      </x:c>
      <x:c r="C2181" s="6" t="str">
        <x:f>IF(B2181="","Needs decision","Ready")</x:f>
        <x:v>Ready</x:v>
      </x:c>
      <x:c r="D2181" s="6" t="str">
        <x:v>上</x:v>
      </x:c>
      <x:c r="E2181" s="6" t="str">
        <x:v>hwanX (B)</x:v>
      </x:c>
      <x:c r="F2181" s="6" t="str"/>
      <x:c r="G2181" s="6" t="str"/>
      <x:c r="H2181" s="6" t="str">
        <x:v>1</x:v>
      </x:c>
      <x:c r="I2181" s="6" t="str"/>
      <x:c r="J2181" s="6" t="str">
        <x:f>IF(B2181="","",IF(AND(ISNUMBER(SEARCH("平",B2181)),OR(ISNUMBER(SEARCH("上",B2181)),ISNUMBER(SEARCH("去",B2181)),ISNUMBER(SEARCH("入",B2181)))),"Ambiguous",IF(ISNUMBER(SEARCH("平",B2181)),"平","仄")))</x:f>
        <x:v>仄</x:v>
      </x:c>
      <x:c r="K2181" s="6" t="str">
        <x:f>IF(D2181="","",IF(AND(ISNUMBER(SEARCH("平",D2181)),OR(ISNUMBER(SEARCH("上",D2181)),ISNUMBER(SEARCH("去",D2181)),ISNUMBER(SEARCH("入",D2181)))),"Ambiguous",IF(ISNUMBER(SEARCH("平",D2181)),"平","仄")))</x:f>
        <x:v>仄</x:v>
      </x:c>
      <x:c r="L2181" s="7" t="str"/>
    </x:row>
    <x:row r="2182">
      <x:c r="A2182" s="5" t="str">
        <x:v>浥</x:v>
      </x:c>
      <x:c r="B2182" s="6" t="str">
        <x:v>入</x:v>
      </x:c>
      <x:c r="C2182" s="6" t="str">
        <x:f>IF(B2182="","Needs decision","Ready")</x:f>
        <x:v>Ready</x:v>
      </x:c>
      <x:c r="D2182" s="6" t="str">
        <x:v>入</x:v>
      </x:c>
      <x:c r="E2182" s="6" t="str">
        <x:v>'ip (D)</x:v>
      </x:c>
      <x:c r="F2182" s="6" t="str">
        <x:v>入聲十四緝</x:v>
      </x:c>
      <x:c r="G2182" s="6" t="str">
        <x:v>Pingshui main list, Wikisource-derived DOCX</x:v>
      </x:c>
      <x:c r="H2182" s="6" t="str">
        <x:v>1</x:v>
      </x:c>
      <x:c r="I2182" s="6" t="str"/>
      <x:c r="J2182" s="6" t="str">
        <x:f>IF(B2182="","",IF(AND(ISNUMBER(SEARCH("平",B2182)),OR(ISNUMBER(SEARCH("上",B2182)),ISNUMBER(SEARCH("去",B2182)),ISNUMBER(SEARCH("入",B2182)))),"Ambiguous",IF(ISNUMBER(SEARCH("平",B2182)),"平","仄")))</x:f>
        <x:v>仄</x:v>
      </x:c>
      <x:c r="K2182" s="6" t="str">
        <x:f>IF(D2182="","",IF(AND(ISNUMBER(SEARCH("平",D2182)),OR(ISNUMBER(SEARCH("上",D2182)),ISNUMBER(SEARCH("去",D2182)),ISNUMBER(SEARCH("入",D2182)))),"Ambiguous",IF(ISNUMBER(SEARCH("平",D2182)),"平","仄")))</x:f>
        <x:v>仄</x:v>
      </x:c>
      <x:c r="L2182" s="7" t="str"/>
    </x:row>
    <x:row r="2183">
      <x:c r="A2183" s="5" t="str">
        <x:v>浦</x:v>
      </x:c>
      <x:c r="B2183" s="6" t="str">
        <x:v>上</x:v>
      </x:c>
      <x:c r="C2183" s="6" t="str">
        <x:f>IF(B2183="","Needs decision","Ready")</x:f>
        <x:v>Ready</x:v>
      </x:c>
      <x:c r="D2183" s="6" t="str">
        <x:v>上</x:v>
      </x:c>
      <x:c r="E2183" s="6" t="str">
        <x:v>phuX (B)</x:v>
      </x:c>
      <x:c r="F2183" s="6" t="str">
        <x:v>上聲七麌</x:v>
      </x:c>
      <x:c r="G2183" s="6" t="str">
        <x:v>Pingshui main list, Wikisource-derived DOCX</x:v>
      </x:c>
      <x:c r="H2183" s="6" t="str">
        <x:v>1</x:v>
      </x:c>
      <x:c r="I2183" s="6" t="str"/>
      <x:c r="J2183" s="6" t="str">
        <x:f>IF(B2183="","",IF(AND(ISNUMBER(SEARCH("平",B2183)),OR(ISNUMBER(SEARCH("上",B2183)),ISNUMBER(SEARCH("去",B2183)),ISNUMBER(SEARCH("入",B2183)))),"Ambiguous",IF(ISNUMBER(SEARCH("平",B2183)),"平","仄")))</x:f>
        <x:v>仄</x:v>
      </x:c>
      <x:c r="K2183" s="6" t="str">
        <x:f>IF(D2183="","",IF(AND(ISNUMBER(SEARCH("平",D2183)),OR(ISNUMBER(SEARCH("上",D2183)),ISNUMBER(SEARCH("去",D2183)),ISNUMBER(SEARCH("入",D2183)))),"Ambiguous",IF(ISNUMBER(SEARCH("平",D2183)),"平","仄")))</x:f>
        <x:v>仄</x:v>
      </x:c>
      <x:c r="L2183" s="7" t="str"/>
    </x:row>
    <x:row r="2184">
      <x:c r="A2184" s="5" t="str">
        <x:v>浩</x:v>
      </x:c>
      <x:c r="B2184" s="6" t="str">
        <x:v>上</x:v>
      </x:c>
      <x:c r="C2184" s="6" t="str">
        <x:f>IF(B2184="","Needs decision","Ready")</x:f>
        <x:v>Ready</x:v>
      </x:c>
      <x:c r="D2184" s="6" t="str">
        <x:v>上</x:v>
      </x:c>
      <x:c r="E2184" s="6" t="str">
        <x:v>hawX (B)</x:v>
      </x:c>
      <x:c r="F2184" s="6" t="str">
        <x:v>上聲十九皓</x:v>
      </x:c>
      <x:c r="G2184" s="6" t="str">
        <x:v>Pingshui main list, Wikisource-derived DOCX</x:v>
      </x:c>
      <x:c r="H2184" s="6" t="str">
        <x:v>1</x:v>
      </x:c>
      <x:c r="I2184" s="6" t="str"/>
      <x:c r="J2184" s="6" t="str">
        <x:f>IF(B2184="","",IF(AND(ISNUMBER(SEARCH("平",B2184)),OR(ISNUMBER(SEARCH("上",B2184)),ISNUMBER(SEARCH("去",B2184)),ISNUMBER(SEARCH("入",B2184)))),"Ambiguous",IF(ISNUMBER(SEARCH("平",B2184)),"平","仄")))</x:f>
        <x:v>仄</x:v>
      </x:c>
      <x:c r="K2184" s="6" t="str">
        <x:f>IF(D2184="","",IF(AND(ISNUMBER(SEARCH("平",D2184)),OR(ISNUMBER(SEARCH("上",D2184)),ISNUMBER(SEARCH("去",D2184)),ISNUMBER(SEARCH("入",D2184)))),"Ambiguous",IF(ISNUMBER(SEARCH("平",D2184)),"平","仄")))</x:f>
        <x:v>仄</x:v>
      </x:c>
      <x:c r="L2184" s="7" t="str"/>
    </x:row>
    <x:row r="2185">
      <x:c r="A2185" s="5" t="str">
        <x:v>浪</x:v>
      </x:c>
      <x:c r="B2185" s="6" t="str">
        <x:v>平</x:v>
      </x:c>
      <x:c r="C2185" s="6" t="str">
        <x:f>IF(B2185="","Needs decision","Ready")</x:f>
        <x:v>Ready</x:v>
      </x:c>
      <x:c r="D2185" s="6" t="str">
        <x:v>平</x:v>
      </x:c>
      <x:c r="E2185" s="6" t="str">
        <x:v>lang (A)</x:v>
      </x:c>
      <x:c r="F2185" s="6" t="str">
        <x:v>下平聲七陽; 去聲二十三漾</x:v>
      </x:c>
      <x:c r="G2185" s="6" t="str">
        <x:v>Pingshui main list, Wikisource-derived DOCX</x:v>
      </x:c>
      <x:c r="H2185" s="6" t="str">
        <x:v>1</x:v>
      </x:c>
      <x:c r="I2185" s="6" t="str"/>
      <x:c r="J2185" s="6" t="str">
        <x:f>IF(B2185="","",IF(AND(ISNUMBER(SEARCH("平",B2185)),OR(ISNUMBER(SEARCH("上",B2185)),ISNUMBER(SEARCH("去",B2185)),ISNUMBER(SEARCH("入",B2185)))),"Ambiguous",IF(ISNUMBER(SEARCH("平",B2185)),"平","仄")))</x:f>
        <x:v>平</x:v>
      </x:c>
      <x:c r="K2185" s="6" t="str">
        <x:f>IF(D2185="","",IF(AND(ISNUMBER(SEARCH("平",D2185)),OR(ISNUMBER(SEARCH("上",D2185)),ISNUMBER(SEARCH("去",D2185)),ISNUMBER(SEARCH("入",D2185)))),"Ambiguous",IF(ISNUMBER(SEARCH("平",D2185)),"平","仄")))</x:f>
        <x:v>平</x:v>
      </x:c>
      <x:c r="L2185" s="7" t="str"/>
    </x:row>
    <x:row r="2186">
      <x:c r="A2186" s="5" t="str">
        <x:v>浮</x:v>
      </x:c>
      <x:c r="B2186" s="6" t="str">
        <x:v>平</x:v>
      </x:c>
      <x:c r="C2186" s="6" t="str">
        <x:f>IF(B2186="","Needs decision","Ready")</x:f>
        <x:v>Ready</x:v>
      </x:c>
      <x:c r="D2186" s="6" t="str">
        <x:v>平</x:v>
      </x:c>
      <x:c r="E2186" s="6" t="str">
        <x:v>bjuw (A)</x:v>
      </x:c>
      <x:c r="F2186" s="6" t="str">
        <x:v>下平聲十一尤</x:v>
      </x:c>
      <x:c r="G2186" s="6" t="str">
        <x:v>Pingshui main list, Wikisource-derived DOCX</x:v>
      </x:c>
      <x:c r="H2186" s="6" t="str">
        <x:v>1</x:v>
      </x:c>
      <x:c r="I2186" s="6" t="str"/>
      <x:c r="J2186" s="6" t="str">
        <x:f>IF(B2186="","",IF(AND(ISNUMBER(SEARCH("平",B2186)),OR(ISNUMBER(SEARCH("上",B2186)),ISNUMBER(SEARCH("去",B2186)),ISNUMBER(SEARCH("入",B2186)))),"Ambiguous",IF(ISNUMBER(SEARCH("平",B2186)),"平","仄")))</x:f>
        <x:v>平</x:v>
      </x:c>
      <x:c r="K2186" s="6" t="str">
        <x:f>IF(D2186="","",IF(AND(ISNUMBER(SEARCH("平",D2186)),OR(ISNUMBER(SEARCH("上",D2186)),ISNUMBER(SEARCH("去",D2186)),ISNUMBER(SEARCH("入",D2186)))),"Ambiguous",IF(ISNUMBER(SEARCH("平",D2186)),"平","仄")))</x:f>
        <x:v>平</x:v>
      </x:c>
      <x:c r="L2186" s="7" t="str"/>
    </x:row>
    <x:row r="2187">
      <x:c r="A2187" s="5" t="str">
        <x:v>浴</x:v>
      </x:c>
      <x:c r="B2187" s="6" t="str">
        <x:v>入</x:v>
      </x:c>
      <x:c r="C2187" s="6" t="str">
        <x:f>IF(B2187="","Needs decision","Ready")</x:f>
        <x:v>Ready</x:v>
      </x:c>
      <x:c r="D2187" s="6" t="str">
        <x:v>入</x:v>
      </x:c>
      <x:c r="E2187" s="6" t="str">
        <x:v>yowk [jok] (入)</x:v>
      </x:c>
      <x:c r="F2187" s="6" t="str">
        <x:v>入聲二沃</x:v>
      </x:c>
      <x:c r="G2187" s="6" t="str">
        <x:v>Pingshui main list, Wikisource-derived DOCX</x:v>
      </x:c>
      <x:c r="H2187" s="6" t="str">
        <x:v>1</x:v>
      </x:c>
      <x:c r="I2187" s="6" t="str">
        <x:v>Tang 300 gap; frequency 2; provisional from Xun Gong</x:v>
      </x:c>
      <x:c r="J2187" s="6" t="str">
        <x:f>IF(B2187="","",IF(AND(ISNUMBER(SEARCH("平",B2187)),OR(ISNUMBER(SEARCH("上",B2187)),ISNUMBER(SEARCH("去",B2187)),ISNUMBER(SEARCH("入",B2187)))),"Ambiguous",IF(ISNUMBER(SEARCH("平",B2187)),"平","仄")))</x:f>
        <x:v>仄</x:v>
      </x:c>
      <x:c r="K2187" s="6" t="str">
        <x:f>IF(D2187="","",IF(AND(ISNUMBER(SEARCH("平",D2187)),OR(ISNUMBER(SEARCH("上",D2187)),ISNUMBER(SEARCH("去",D2187)),ISNUMBER(SEARCH("入",D2187)))),"Ambiguous",IF(ISNUMBER(SEARCH("平",D2187)),"平","仄")))</x:f>
        <x:v>仄</x:v>
      </x:c>
      <x:c r="L2187" s="7" t="str">
        <x:v>Xun Gong, Tang 300 gap fill</x:v>
      </x:c>
    </x:row>
    <x:row r="2188">
      <x:c r="A2188" s="5" t="str">
        <x:v>海</x:v>
      </x:c>
      <x:c r="B2188" s="6" t="str">
        <x:v>上</x:v>
      </x:c>
      <x:c r="C2188" s="6" t="str">
        <x:f>IF(B2188="","Needs decision","Ready")</x:f>
        <x:v>Ready</x:v>
      </x:c>
      <x:c r="D2188" s="6" t="str">
        <x:v>上</x:v>
      </x:c>
      <x:c r="E2188" s="6" t="str">
        <x:v>xojX (B)</x:v>
      </x:c>
      <x:c r="F2188" s="6" t="str">
        <x:v>上聲十賄</x:v>
      </x:c>
      <x:c r="G2188" s="6" t="str">
        <x:v>Pingshui main list, Wikisource-derived DOCX</x:v>
      </x:c>
      <x:c r="H2188" s="6" t="str">
        <x:v>1</x:v>
      </x:c>
      <x:c r="I2188" s="6" t="str"/>
      <x:c r="J2188" s="6" t="str">
        <x:f>IF(B2188="","",IF(AND(ISNUMBER(SEARCH("平",B2188)),OR(ISNUMBER(SEARCH("上",B2188)),ISNUMBER(SEARCH("去",B2188)),ISNUMBER(SEARCH("入",B2188)))),"Ambiguous",IF(ISNUMBER(SEARCH("平",B2188)),"平","仄")))</x:f>
        <x:v>仄</x:v>
      </x:c>
      <x:c r="K2188" s="6" t="str">
        <x:f>IF(D2188="","",IF(AND(ISNUMBER(SEARCH("平",D2188)),OR(ISNUMBER(SEARCH("上",D2188)),ISNUMBER(SEARCH("去",D2188)),ISNUMBER(SEARCH("入",D2188)))),"Ambiguous",IF(ISNUMBER(SEARCH("平",D2188)),"平","仄")))</x:f>
        <x:v>仄</x:v>
      </x:c>
      <x:c r="L2188" s="7" t="str"/>
    </x:row>
    <x:row r="2189">
      <x:c r="A2189" s="5" t="str">
        <x:v>浸</x:v>
      </x:c>
      <x:c r="B2189" s="6" t="str">
        <x:v>平</x:v>
      </x:c>
      <x:c r="C2189" s="6" t="str">
        <x:f>IF(B2189="","Needs decision","Ready")</x:f>
        <x:v>Ready</x:v>
      </x:c>
      <x:c r="D2189" s="6" t="str">
        <x:v>平/去</x:v>
      </x:c>
      <x:c r="E2189" s="6" t="str">
        <x:v>tshim [tsʰim] (平); tsimH [tsimh] (去)</x:v>
      </x:c>
      <x:c r="F2189" s="6" t="str">
        <x:v>去聲二十七沁</x:v>
      </x:c>
      <x:c r="G2189" s="6" t="str">
        <x:v>Pingshui main list, Wikisource-derived DOCX</x:v>
      </x:c>
      <x:c r="H2189" s="6" t="str">
        <x:v>2</x:v>
      </x:c>
      <x:c r="I2189" s="6" t="str">
        <x:v>Tang 300 gap; frequency 1; ambiguous in Xun Gong; User workbook edit 2026-09-03</x:v>
      </x:c>
      <x:c r="J2189" s="6" t="str">
        <x:f>IF(B2189="","",IF(AND(ISNUMBER(SEARCH("平",B2189)),OR(ISNUMBER(SEARCH("上",B2189)),ISNUMBER(SEARCH("去",B2189)),ISNUMBER(SEARCH("入",B2189)))),"Ambiguous",IF(ISNUMBER(SEARCH("平",B2189)),"平","仄")))</x:f>
        <x:v>平</x:v>
      </x:c>
      <x:c r="K2189" s="6" t="str">
        <x:f>IF(D2189="","",IF(AND(ISNUMBER(SEARCH("平",D2189)),OR(ISNUMBER(SEARCH("上",D2189)),ISNUMBER(SEARCH("去",D2189)),ISNUMBER(SEARCH("入",D2189)))),"Ambiguous",IF(ISNUMBER(SEARCH("平",D2189)),"平","仄")))</x:f>
        <x:v>Ambiguous</x:v>
      </x:c>
      <x:c r="L2189" s="7" t="str">
        <x:v>manual user correction</x:v>
      </x:c>
    </x:row>
    <x:row r="2190">
      <x:c r="A2190" s="5" t="str">
        <x:v>浼</x:v>
      </x:c>
      <x:c r="B2190" s="6" t="str">
        <x:v>上</x:v>
      </x:c>
      <x:c r="C2190" s="6" t="str">
        <x:f>IF(B2190="","Needs decision","Ready")</x:f>
        <x:v>Ready</x:v>
      </x:c>
      <x:c r="D2190" s="6" t="str">
        <x:v>上</x:v>
      </x:c>
      <x:c r="E2190" s="6" t="str">
        <x:v>mwojX (B)</x:v>
      </x:c>
      <x:c r="F2190" s="6" t="str">
        <x:v>上聲十賄</x:v>
      </x:c>
      <x:c r="G2190" s="6" t="str">
        <x:v>Pingshui main list, Wikisource-derived DOCX</x:v>
      </x:c>
      <x:c r="H2190" s="6" t="str">
        <x:v>1</x:v>
      </x:c>
      <x:c r="I2190" s="6" t="str"/>
      <x:c r="J2190" s="6" t="str">
        <x:f>IF(B2190="","",IF(AND(ISNUMBER(SEARCH("平",B2190)),OR(ISNUMBER(SEARCH("上",B2190)),ISNUMBER(SEARCH("去",B2190)),ISNUMBER(SEARCH("入",B2190)))),"Ambiguous",IF(ISNUMBER(SEARCH("平",B2190)),"平","仄")))</x:f>
        <x:v>仄</x:v>
      </x:c>
      <x:c r="K2190" s="6" t="str">
        <x:f>IF(D2190="","",IF(AND(ISNUMBER(SEARCH("平",D2190)),OR(ISNUMBER(SEARCH("上",D2190)),ISNUMBER(SEARCH("去",D2190)),ISNUMBER(SEARCH("入",D2190)))),"Ambiguous",IF(ISNUMBER(SEARCH("平",D2190)),"平","仄")))</x:f>
        <x:v>仄</x:v>
      </x:c>
      <x:c r="L2190" s="7" t="str"/>
    </x:row>
    <x:row r="2191">
      <x:c r="A2191" s="5" t="str">
        <x:v>涂</x:v>
      </x:c>
      <x:c r="B2191" s="6" t="str">
        <x:v>平</x:v>
      </x:c>
      <x:c r="C2191" s="6" t="str">
        <x:f>IF(B2191="","Needs decision","Ready")</x:f>
        <x:v>Ready</x:v>
      </x:c>
      <x:c r="D2191" s="6" t="str">
        <x:v>平</x:v>
      </x:c>
      <x:c r="E2191" s="6" t="str">
        <x:v>du (A)</x:v>
      </x:c>
      <x:c r="F2191" s="6" t="str"/>
      <x:c r="G2191" s="6" t="str"/>
      <x:c r="H2191" s="6" t="str">
        <x:v>1</x:v>
      </x:c>
      <x:c r="I2191" s="6" t="str"/>
      <x:c r="J2191" s="6" t="str">
        <x:f>IF(B2191="","",IF(AND(ISNUMBER(SEARCH("平",B2191)),OR(ISNUMBER(SEARCH("上",B2191)),ISNUMBER(SEARCH("去",B2191)),ISNUMBER(SEARCH("入",B2191)))),"Ambiguous",IF(ISNUMBER(SEARCH("平",B2191)),"平","仄")))</x:f>
        <x:v>平</x:v>
      </x:c>
      <x:c r="K2191" s="6" t="str">
        <x:f>IF(D2191="","",IF(AND(ISNUMBER(SEARCH("平",D2191)),OR(ISNUMBER(SEARCH("上",D2191)),ISNUMBER(SEARCH("去",D2191)),ISNUMBER(SEARCH("入",D2191)))),"Ambiguous",IF(ISNUMBER(SEARCH("平",D2191)),"平","仄")))</x:f>
        <x:v>平</x:v>
      </x:c>
      <x:c r="L2191" s="7" t="str"/>
    </x:row>
    <x:row r="2192">
      <x:c r="A2192" s="5" t="str">
        <x:v>涅</x:v>
      </x:c>
      <x:c r="B2192" s="6" t="str">
        <x:v>入</x:v>
      </x:c>
      <x:c r="C2192" s="6" t="str">
        <x:f>IF(B2192="","Needs decision","Ready")</x:f>
        <x:v>Ready</x:v>
      </x:c>
      <x:c r="D2192" s="6" t="str">
        <x:v>入</x:v>
      </x:c>
      <x:c r="E2192" s="6" t="str">
        <x:v>net [泥開四先入] n̙et</x:v>
      </x:c>
      <x:c r="F2192" s="6" t="str">
        <x:v>入聲九屑</x:v>
      </x:c>
      <x:c r="G2192" s="6" t="str">
        <x:v>Pingshui main list, Wikisource-derived DOCX</x:v>
      </x:c>
      <x:c r="H2192" s="6" t="str">
        <x:v>1</x:v>
      </x:c>
      <x:c r="I2192" s="6" t="str">
        <x:v>Targeted preliminary fill from Xun Gong; review if uncertain</x:v>
      </x:c>
      <x:c r="J2192" s="6" t="str">
        <x:f>IF(B2192="","",IF(AND(ISNUMBER(SEARCH("平",B2192)),OR(ISNUMBER(SEARCH("上",B2192)),ISNUMBER(SEARCH("去",B2192)),ISNUMBER(SEARCH("入",B2192)))),"Ambiguous",IF(ISNUMBER(SEARCH("平",B2192)),"平","仄")))</x:f>
        <x:v>仄</x:v>
      </x:c>
      <x:c r="K2192" s="6" t="str">
        <x:f>IF(D2192="","",IF(AND(ISNUMBER(SEARCH("平",D2192)),OR(ISNUMBER(SEARCH("上",D2192)),ISNUMBER(SEARCH("去",D2192)),ISNUMBER(SEARCH("入",D2192)))),"Ambiguous",IF(ISNUMBER(SEARCH("平",D2192)),"平","仄")))</x:f>
        <x:v>仄</x:v>
      </x:c>
      <x:c r="L2192" s="7" t="str">
        <x:v>Xun Gong character-readings.csv</x:v>
      </x:c>
    </x:row>
    <x:row r="2193">
      <x:c r="A2193" s="5" t="str">
        <x:v>消</x:v>
      </x:c>
      <x:c r="B2193" s="6" t="str">
        <x:v>平</x:v>
      </x:c>
      <x:c r="C2193" s="6" t="str">
        <x:f>IF(B2193="","Needs decision","Ready")</x:f>
        <x:v>Ready</x:v>
      </x:c>
      <x:c r="D2193" s="6" t="str">
        <x:v>平</x:v>
      </x:c>
      <x:c r="E2193" s="6" t="str">
        <x:v>sjew (A)</x:v>
      </x:c>
      <x:c r="F2193" s="6" t="str">
        <x:v>下平聲二蕭</x:v>
      </x:c>
      <x:c r="G2193" s="6" t="str">
        <x:v>Pingshui main list, Wikisource-derived DOCX</x:v>
      </x:c>
      <x:c r="H2193" s="6" t="str">
        <x:v>1</x:v>
      </x:c>
      <x:c r="I2193" s="6" t="str"/>
      <x:c r="J2193" s="6" t="str">
        <x:f>IF(B2193="","",IF(AND(ISNUMBER(SEARCH("平",B2193)),OR(ISNUMBER(SEARCH("上",B2193)),ISNUMBER(SEARCH("去",B2193)),ISNUMBER(SEARCH("入",B2193)))),"Ambiguous",IF(ISNUMBER(SEARCH("平",B2193)),"平","仄")))</x:f>
        <x:v>平</x:v>
      </x:c>
      <x:c r="K2193" s="6" t="str">
        <x:f>IF(D2193="","",IF(AND(ISNUMBER(SEARCH("平",D2193)),OR(ISNUMBER(SEARCH("上",D2193)),ISNUMBER(SEARCH("去",D2193)),ISNUMBER(SEARCH("入",D2193)))),"Ambiguous",IF(ISNUMBER(SEARCH("平",D2193)),"平","仄")))</x:f>
        <x:v>平</x:v>
      </x:c>
      <x:c r="L2193" s="7" t="str"/>
    </x:row>
    <x:row r="2194">
      <x:c r="A2194" s="5" t="str">
        <x:v>涓</x:v>
      </x:c>
      <x:c r="B2194" s="6" t="str">
        <x:v>平</x:v>
      </x:c>
      <x:c r="C2194" s="6" t="str">
        <x:f>IF(B2194="","Needs decision","Ready")</x:f>
        <x:v>Ready</x:v>
      </x:c>
      <x:c r="D2194" s="6" t="str">
        <x:v>平</x:v>
      </x:c>
      <x:c r="E2194" s="6" t="str">
        <x:v>kwen [qwen] (平)</x:v>
      </x:c>
      <x:c r="F2194" s="6" t="str">
        <x:v>下平聲一先</x:v>
      </x:c>
      <x:c r="G2194" s="6" t="str">
        <x:v>Pingshui main list, Wikisource-derived DOCX</x:v>
      </x:c>
      <x:c r="H2194" s="6" t="str">
        <x:v>1</x:v>
      </x:c>
      <x:c r="I2194" s="6" t="str">
        <x:v>Tang 300 gap; frequency 1; provisional from Xun Gong</x:v>
      </x:c>
      <x:c r="J2194" s="6" t="str">
        <x:f>IF(B2194="","",IF(AND(ISNUMBER(SEARCH("平",B2194)),OR(ISNUMBER(SEARCH("上",B2194)),ISNUMBER(SEARCH("去",B2194)),ISNUMBER(SEARCH("入",B2194)))),"Ambiguous",IF(ISNUMBER(SEARCH("平",B2194)),"平","仄")))</x:f>
        <x:v>平</x:v>
      </x:c>
      <x:c r="K2194" s="6" t="str">
        <x:f>IF(D2194="","",IF(AND(ISNUMBER(SEARCH("平",D2194)),OR(ISNUMBER(SEARCH("上",D2194)),ISNUMBER(SEARCH("去",D2194)),ISNUMBER(SEARCH("入",D2194)))),"Ambiguous",IF(ISNUMBER(SEARCH("平",D2194)),"平","仄")))</x:f>
        <x:v>平</x:v>
      </x:c>
      <x:c r="L2194" s="7" t="str">
        <x:v>Xun Gong, Tang 300 gap fill</x:v>
      </x:c>
    </x:row>
    <x:row r="2195">
      <x:c r="A2195" s="5" t="str">
        <x:v>涕</x:v>
      </x:c>
      <x:c r="B2195" s="6" t="str"/>
      <x:c r="C2195" s="6" t="str">
        <x:f>IF(B2195="","Needs decision","Ready")</x:f>
        <x:v>Needs decision</x:v>
      </x:c>
      <x:c r="D2195" s="6" t="str">
        <x:v>上/去</x:v>
      </x:c>
      <x:c r="E2195" s="6" t="str">
        <x:v>thejX (B); thejH (C)</x:v>
      </x:c>
      <x:c r="F2195" s="6" t="str">
        <x:v>上聲八薺; 去聲八霽</x:v>
      </x:c>
      <x:c r="G2195" s="6" t="str">
        <x:v>Pingshui main list, Wikisource-derived DOCX</x:v>
      </x:c>
      <x:c r="H2195" s="6" t="str">
        <x:v>2</x:v>
      </x:c>
      <x:c r="I2195" s="6" t="str"/>
      <x:c r="J2195" s="6" t="str">
        <x:f>IF(B2195="","",IF(AND(ISNUMBER(SEARCH("平",B2195)),OR(ISNUMBER(SEARCH("上",B2195)),ISNUMBER(SEARCH("去",B2195)),ISNUMBER(SEARCH("入",B2195)))),"Ambiguous",IF(ISNUMBER(SEARCH("平",B2195)),"平","仄")))</x:f>
      </x:c>
      <x:c r="K2195" s="6" t="str">
        <x:f>IF(D2195="","",IF(AND(ISNUMBER(SEARCH("平",D2195)),OR(ISNUMBER(SEARCH("上",D2195)),ISNUMBER(SEARCH("去",D2195)),ISNUMBER(SEARCH("入",D2195)))),"Ambiguous",IF(ISNUMBER(SEARCH("平",D2195)),"平","仄")))</x:f>
        <x:v>仄</x:v>
      </x:c>
      <x:c r="L2195" s="7" t="str"/>
    </x:row>
    <x:row r="2196">
      <x:c r="A2196" s="5" t="str">
        <x:v>涯</x:v>
      </x:c>
      <x:c r="B2196" s="6" t="str">
        <x:v>平</x:v>
      </x:c>
      <x:c r="C2196" s="6" t="str">
        <x:f>IF(B2196="","Needs decision","Ready")</x:f>
        <x:v>Ready</x:v>
      </x:c>
      <x:c r="D2196" s="6" t="str">
        <x:v>平</x:v>
      </x:c>
      <x:c r="E2196" s="6" t="str">
        <x:v>ngea (A)</x:v>
      </x:c>
      <x:c r="F2196" s="6" t="str">
        <x:v>上平聲四支; 上平聲九佳; 下平聲六麻</x:v>
      </x:c>
      <x:c r="G2196" s="6" t="str">
        <x:v>Pingshui main list, Wikisource-derived DOCX</x:v>
      </x:c>
      <x:c r="H2196" s="6" t="str">
        <x:v>1</x:v>
      </x:c>
      <x:c r="I2196" s="6" t="str"/>
      <x:c r="J2196" s="6" t="str">
        <x:f>IF(B2196="","",IF(AND(ISNUMBER(SEARCH("平",B2196)),OR(ISNUMBER(SEARCH("上",B2196)),ISNUMBER(SEARCH("去",B2196)),ISNUMBER(SEARCH("入",B2196)))),"Ambiguous",IF(ISNUMBER(SEARCH("平",B2196)),"平","仄")))</x:f>
        <x:v>平</x:v>
      </x:c>
      <x:c r="K2196" s="6" t="str">
        <x:f>IF(D2196="","",IF(AND(ISNUMBER(SEARCH("平",D2196)),OR(ISNUMBER(SEARCH("上",D2196)),ISNUMBER(SEARCH("去",D2196)),ISNUMBER(SEARCH("入",D2196)))),"Ambiguous",IF(ISNUMBER(SEARCH("平",D2196)),"平","仄")))</x:f>
        <x:v>平</x:v>
      </x:c>
      <x:c r="L2196" s="7" t="str"/>
    </x:row>
    <x:row r="2197">
      <x:c r="A2197" s="5" t="str">
        <x:v>液</x:v>
      </x:c>
      <x:c r="B2197" s="6" t="str">
        <x:v>入</x:v>
      </x:c>
      <x:c r="C2197" s="6" t="str">
        <x:f>IF(B2197="","Needs decision","Ready")</x:f>
        <x:v>Ready</x:v>
      </x:c>
      <x:c r="D2197" s="6" t="str">
        <x:v>入</x:v>
      </x:c>
      <x:c r="E2197" s="6" t="str">
        <x:v>yek (D)</x:v>
      </x:c>
      <x:c r="F2197" s="6" t="str">
        <x:v>入聲十一陌</x:v>
      </x:c>
      <x:c r="G2197" s="6" t="str">
        <x:v>Pingshui main list, Wikisource-derived DOCX</x:v>
      </x:c>
      <x:c r="H2197" s="6" t="str">
        <x:v>1</x:v>
      </x:c>
      <x:c r="I2197" s="6" t="str"/>
      <x:c r="J2197" s="6" t="str">
        <x:f>IF(B2197="","",IF(AND(ISNUMBER(SEARCH("平",B2197)),OR(ISNUMBER(SEARCH("上",B2197)),ISNUMBER(SEARCH("去",B2197)),ISNUMBER(SEARCH("入",B2197)))),"Ambiguous",IF(ISNUMBER(SEARCH("平",B2197)),"平","仄")))</x:f>
        <x:v>仄</x:v>
      </x:c>
      <x:c r="K2197" s="6" t="str">
        <x:f>IF(D2197="","",IF(AND(ISNUMBER(SEARCH("平",D2197)),OR(ISNUMBER(SEARCH("上",D2197)),ISNUMBER(SEARCH("去",D2197)),ISNUMBER(SEARCH("入",D2197)))),"Ambiguous",IF(ISNUMBER(SEARCH("平",D2197)),"平","仄")))</x:f>
        <x:v>仄</x:v>
      </x:c>
      <x:c r="L2197" s="7" t="str"/>
    </x:row>
    <x:row r="2198">
      <x:c r="A2198" s="5" t="str">
        <x:v>涵</x:v>
      </x:c>
      <x:c r="B2198" s="6" t="str">
        <x:v>平</x:v>
      </x:c>
      <x:c r="C2198" s="6" t="str">
        <x:f>IF(B2198="","Needs decision","Ready")</x:f>
        <x:v>Ready</x:v>
      </x:c>
      <x:c r="D2198" s="6" t="str">
        <x:v>平</x:v>
      </x:c>
      <x:c r="E2198" s="6" t="str">
        <x:v>hom (A)</x:v>
      </x:c>
      <x:c r="F2198" s="6" t="str">
        <x:v>下平聲十三覃</x:v>
      </x:c>
      <x:c r="G2198" s="6" t="str">
        <x:v>Pingshui main list, Wikisource-derived DOCX</x:v>
      </x:c>
      <x:c r="H2198" s="6" t="str">
        <x:v>1</x:v>
      </x:c>
      <x:c r="I2198" s="6" t="str"/>
      <x:c r="J2198" s="6" t="str">
        <x:f>IF(B2198="","",IF(AND(ISNUMBER(SEARCH("平",B2198)),OR(ISNUMBER(SEARCH("上",B2198)),ISNUMBER(SEARCH("去",B2198)),ISNUMBER(SEARCH("入",B2198)))),"Ambiguous",IF(ISNUMBER(SEARCH("平",B2198)),"平","仄")))</x:f>
        <x:v>平</x:v>
      </x:c>
      <x:c r="K2198" s="6" t="str">
        <x:f>IF(D2198="","",IF(AND(ISNUMBER(SEARCH("平",D2198)),OR(ISNUMBER(SEARCH("上",D2198)),ISNUMBER(SEARCH("去",D2198)),ISNUMBER(SEARCH("入",D2198)))),"Ambiguous",IF(ISNUMBER(SEARCH("平",D2198)),"平","仄")))</x:f>
        <x:v>平</x:v>
      </x:c>
      <x:c r="L2198" s="7" t="str"/>
    </x:row>
    <x:row r="2199">
      <x:c r="A2199" s="5" t="str">
        <x:v>涼</x:v>
      </x:c>
      <x:c r="B2199" s="6" t="str">
        <x:v>平</x:v>
      </x:c>
      <x:c r="C2199" s="6" t="str">
        <x:f>IF(B2199="","Needs decision","Ready")</x:f>
        <x:v>Ready</x:v>
      </x:c>
      <x:c r="D2199" s="6" t="str">
        <x:v>平</x:v>
      </x:c>
      <x:c r="E2199" s="6" t="str">
        <x:v>ljang (A)</x:v>
      </x:c>
      <x:c r="F2199" s="6" t="str">
        <x:v>下平聲七陽</x:v>
      </x:c>
      <x:c r="G2199" s="6" t="str">
        <x:v>Pingshui main list, Wikisource-derived DOCX</x:v>
      </x:c>
      <x:c r="H2199" s="6" t="str">
        <x:v>1</x:v>
      </x:c>
      <x:c r="I2199" s="6" t="str"/>
      <x:c r="J2199" s="6" t="str">
        <x:f>IF(B2199="","",IF(AND(ISNUMBER(SEARCH("平",B2199)),OR(ISNUMBER(SEARCH("上",B2199)),ISNUMBER(SEARCH("去",B2199)),ISNUMBER(SEARCH("入",B2199)))),"Ambiguous",IF(ISNUMBER(SEARCH("平",B2199)),"平","仄")))</x:f>
        <x:v>平</x:v>
      </x:c>
      <x:c r="K2199" s="6" t="str">
        <x:f>IF(D2199="","",IF(AND(ISNUMBER(SEARCH("平",D2199)),OR(ISNUMBER(SEARCH("上",D2199)),ISNUMBER(SEARCH("去",D2199)),ISNUMBER(SEARCH("入",D2199)))),"Ambiguous",IF(ISNUMBER(SEARCH("平",D2199)),"平","仄")))</x:f>
        <x:v>平</x:v>
      </x:c>
      <x:c r="L2199" s="7" t="str"/>
    </x:row>
    <x:row r="2200">
      <x:c r="A2200" s="5" t="str">
        <x:v>淇</x:v>
      </x:c>
      <x:c r="B2200" s="6" t="str">
        <x:v>平</x:v>
      </x:c>
      <x:c r="C2200" s="6" t="str">
        <x:f>IF(B2200="","Needs decision","Ready")</x:f>
        <x:v>Ready</x:v>
      </x:c>
      <x:c r="D2200" s="6" t="str">
        <x:v>平</x:v>
      </x:c>
      <x:c r="E2200" s="6" t="str"/>
      <x:c r="F2200" s="6" t="str">
        <x:v>上平聲四支</x:v>
      </x:c>
      <x:c r="G2200" s="6" t="str">
        <x:v>Pingshui main list, Wikisource-derived DOCX</x:v>
      </x:c>
      <x:c r="H2200" s="6" t="str">
        <x:v>0</x:v>
      </x:c>
      <x:c r="I2200" s="6" t="str">
        <x:v>User correction 2026-09-08; added manually</x:v>
      </x:c>
      <x:c r="J2200" s="6" t="str">
        <x:f>IF(B2200="","",IF(AND(ISNUMBER(SEARCH("平",B2200)),OR(ISNUMBER(SEARCH("上",B2200)),ISNUMBER(SEARCH("去",B2200)),ISNUMBER(SEARCH("入",B2200)))),"Ambiguous",IF(ISNUMBER(SEARCH("平",B2200)),"平","仄")))</x:f>
        <x:v>平</x:v>
      </x:c>
      <x:c r="K2200" s="6" t="str">
        <x:f>IF(D2200="","",IF(AND(ISNUMBER(SEARCH("平",D2200)),OR(ISNUMBER(SEARCH("上",D2200)),ISNUMBER(SEARCH("去",D2200)),ISNUMBER(SEARCH("入",D2200)))),"Ambiguous",IF(ISNUMBER(SEARCH("平",D2200)),"平","仄")))</x:f>
        <x:v>平</x:v>
      </x:c>
      <x:c r="L2200" s="7" t="str">
        <x:v>User correction</x:v>
      </x:c>
    </x:row>
    <x:row r="2201">
      <x:c r="A2201" s="5" t="str">
        <x:v>淋</x:v>
      </x:c>
      <x:c r="B2201" s="6" t="str">
        <x:v>平</x:v>
      </x:c>
      <x:c r="C2201" s="6" t="str">
        <x:f>IF(B2201="","Needs decision","Ready")</x:f>
        <x:v>Ready</x:v>
      </x:c>
      <x:c r="D2201" s="6" t="str">
        <x:v>平</x:v>
      </x:c>
      <x:c r="E2201" s="6" t="str">
        <x:v>lim (A)</x:v>
      </x:c>
      <x:c r="F2201" s="6" t="str">
        <x:v>下平聲十二侵</x:v>
      </x:c>
      <x:c r="G2201" s="6" t="str">
        <x:v>Pingshui main list, Wikisource-derived DOCX</x:v>
      </x:c>
      <x:c r="H2201" s="6" t="str">
        <x:v>1</x:v>
      </x:c>
      <x:c r="I2201" s="6" t="str"/>
      <x:c r="J2201" s="6" t="str">
        <x:f>IF(B2201="","",IF(AND(ISNUMBER(SEARCH("平",B2201)),OR(ISNUMBER(SEARCH("上",B2201)),ISNUMBER(SEARCH("去",B2201)),ISNUMBER(SEARCH("入",B2201)))),"Ambiguous",IF(ISNUMBER(SEARCH("平",B2201)),"平","仄")))</x:f>
        <x:v>平</x:v>
      </x:c>
      <x:c r="K2201" s="6" t="str">
        <x:f>IF(D2201="","",IF(AND(ISNUMBER(SEARCH("平",D2201)),OR(ISNUMBER(SEARCH("上",D2201)),ISNUMBER(SEARCH("去",D2201)),ISNUMBER(SEARCH("入",D2201)))),"Ambiguous",IF(ISNUMBER(SEARCH("平",D2201)),"平","仄")))</x:f>
        <x:v>平</x:v>
      </x:c>
      <x:c r="L2201" s="7" t="str"/>
    </x:row>
    <x:row r="2202">
      <x:c r="A2202" s="5" t="str">
        <x:v>淑</x:v>
      </x:c>
      <x:c r="B2202" s="6" t="str">
        <x:v>入</x:v>
      </x:c>
      <x:c r="C2202" s="6" t="str">
        <x:f>IF(B2202="","Needs decision","Ready")</x:f>
        <x:v>Ready</x:v>
      </x:c>
      <x:c r="D2202" s="6" t="str">
        <x:v>入</x:v>
      </x:c>
      <x:c r="E2202" s="6" t="str">
        <x:v>dzyuwk (D)</x:v>
      </x:c>
      <x:c r="F2202" s="6" t="str">
        <x:v>入聲一屋</x:v>
      </x:c>
      <x:c r="G2202" s="6" t="str">
        <x:v>Pingshui main list, Wikisource-derived DOCX</x:v>
      </x:c>
      <x:c r="H2202" s="6" t="str">
        <x:v>1</x:v>
      </x:c>
      <x:c r="I2202" s="6" t="str"/>
      <x:c r="J2202" s="6" t="str">
        <x:f>IF(B2202="","",IF(AND(ISNUMBER(SEARCH("平",B2202)),OR(ISNUMBER(SEARCH("上",B2202)),ISNUMBER(SEARCH("去",B2202)),ISNUMBER(SEARCH("入",B2202)))),"Ambiguous",IF(ISNUMBER(SEARCH("平",B2202)),"平","仄")))</x:f>
        <x:v>仄</x:v>
      </x:c>
      <x:c r="K2202" s="6" t="str">
        <x:f>IF(D2202="","",IF(AND(ISNUMBER(SEARCH("平",D2202)),OR(ISNUMBER(SEARCH("上",D2202)),ISNUMBER(SEARCH("去",D2202)),ISNUMBER(SEARCH("入",D2202)))),"Ambiguous",IF(ISNUMBER(SEARCH("平",D2202)),"平","仄")))</x:f>
        <x:v>仄</x:v>
      </x:c>
      <x:c r="L2202" s="7" t="str"/>
    </x:row>
    <x:row r="2203">
      <x:c r="A2203" s="5" t="str">
        <x:v>淒</x:v>
      </x:c>
      <x:c r="B2203" s="6" t="str">
        <x:v>平</x:v>
      </x:c>
      <x:c r="C2203" s="6" t="str">
        <x:f>IF(B2203="","Needs decision","Ready")</x:f>
        <x:v>Ready</x:v>
      </x:c>
      <x:c r="D2203" s="6" t="str">
        <x:v>平</x:v>
      </x:c>
      <x:c r="E2203" s="6" t="str">
        <x:v>tshej [t̙s̙ʰej] (平)</x:v>
      </x:c>
      <x:c r="F2203" s="6" t="str">
        <x:v>上平聲八齊</x:v>
      </x:c>
      <x:c r="G2203" s="6" t="str">
        <x:v>Pingshui main list, Wikisource-derived DOCX</x:v>
      </x:c>
      <x:c r="H2203" s="6" t="str">
        <x:v>1</x:v>
      </x:c>
      <x:c r="I2203" s="6" t="str">
        <x:v>Tang 300 gap; frequency 9; provisional from Xun Gong</x:v>
      </x:c>
      <x:c r="J2203" s="6" t="str">
        <x:f>IF(B2203="","",IF(AND(ISNUMBER(SEARCH("平",B2203)),OR(ISNUMBER(SEARCH("上",B2203)),ISNUMBER(SEARCH("去",B2203)),ISNUMBER(SEARCH("入",B2203)))),"Ambiguous",IF(ISNUMBER(SEARCH("平",B2203)),"平","仄")))</x:f>
        <x:v>平</x:v>
      </x:c>
      <x:c r="K2203" s="6" t="str">
        <x:f>IF(D2203="","",IF(AND(ISNUMBER(SEARCH("平",D2203)),OR(ISNUMBER(SEARCH("上",D2203)),ISNUMBER(SEARCH("去",D2203)),ISNUMBER(SEARCH("入",D2203)))),"Ambiguous",IF(ISNUMBER(SEARCH("平",D2203)),"平","仄")))</x:f>
        <x:v>平</x:v>
      </x:c>
      <x:c r="L2203" s="7" t="str">
        <x:v>Xun Gong, Tang 300 gap fill</x:v>
      </x:c>
    </x:row>
    <x:row r="2204">
      <x:c r="A2204" s="5" t="str">
        <x:v>淚</x:v>
      </x:c>
      <x:c r="B2204" s="6" t="str">
        <x:v>去</x:v>
      </x:c>
      <x:c r="C2204" s="6" t="str">
        <x:f>IF(B2204="","Needs decision","Ready")</x:f>
        <x:v>Ready</x:v>
      </x:c>
      <x:c r="D2204" s="6" t="str">
        <x:v>去</x:v>
      </x:c>
      <x:c r="E2204" s="6" t="str">
        <x:v>lwijH (C)</x:v>
      </x:c>
      <x:c r="F2204" s="6" t="str">
        <x:v>去聲四寘</x:v>
      </x:c>
      <x:c r="G2204" s="6" t="str">
        <x:v>Pingshui main list, Wikisource-derived DOCX</x:v>
      </x:c>
      <x:c r="H2204" s="6" t="str">
        <x:v>1</x:v>
      </x:c>
      <x:c r="I2204" s="6" t="str"/>
      <x:c r="J2204" s="6" t="str">
        <x:f>IF(B2204="","",IF(AND(ISNUMBER(SEARCH("平",B2204)),OR(ISNUMBER(SEARCH("上",B2204)),ISNUMBER(SEARCH("去",B2204)),ISNUMBER(SEARCH("入",B2204)))),"Ambiguous",IF(ISNUMBER(SEARCH("平",B2204)),"平","仄")))</x:f>
        <x:v>仄</x:v>
      </x:c>
      <x:c r="K2204" s="6" t="str">
        <x:f>IF(D2204="","",IF(AND(ISNUMBER(SEARCH("平",D2204)),OR(ISNUMBER(SEARCH("上",D2204)),ISNUMBER(SEARCH("去",D2204)),ISNUMBER(SEARCH("入",D2204)))),"Ambiguous",IF(ISNUMBER(SEARCH("平",D2204)),"平","仄")))</x:f>
        <x:v>仄</x:v>
      </x:c>
      <x:c r="L2204" s="7" t="str"/>
    </x:row>
    <x:row r="2205">
      <x:c r="A2205" s="5" t="str">
        <x:v>淠</x:v>
      </x:c>
      <x:c r="B2205" s="6" t="str">
        <x:v>去</x:v>
      </x:c>
      <x:c r="C2205" s="6" t="str">
        <x:f>IF(B2205="","Needs decision","Ready")</x:f>
        <x:v>Ready</x:v>
      </x:c>
      <x:c r="D2205" s="6" t="str">
        <x:v>去</x:v>
      </x:c>
      <x:c r="E2205" s="6" t="str">
        <x:v>phejH (C)</x:v>
      </x:c>
      <x:c r="F2205" s="6" t="str">
        <x:v>去聲八霽</x:v>
      </x:c>
      <x:c r="G2205" s="6" t="str">
        <x:v>Pingshui main list, Wikisource-derived DOCX</x:v>
      </x:c>
      <x:c r="H2205" s="6" t="str">
        <x:v>1</x:v>
      </x:c>
      <x:c r="I2205" s="6" t="str"/>
      <x:c r="J2205" s="6" t="str">
        <x:f>IF(B2205="","",IF(AND(ISNUMBER(SEARCH("平",B2205)),OR(ISNUMBER(SEARCH("上",B2205)),ISNUMBER(SEARCH("去",B2205)),ISNUMBER(SEARCH("入",B2205)))),"Ambiguous",IF(ISNUMBER(SEARCH("平",B2205)),"平","仄")))</x:f>
        <x:v>仄</x:v>
      </x:c>
      <x:c r="K2205" s="6" t="str">
        <x:f>IF(D2205="","",IF(AND(ISNUMBER(SEARCH("平",D2205)),OR(ISNUMBER(SEARCH("上",D2205)),ISNUMBER(SEARCH("去",D2205)),ISNUMBER(SEARCH("入",D2205)))),"Ambiguous",IF(ISNUMBER(SEARCH("平",D2205)),"平","仄")))</x:f>
        <x:v>仄</x:v>
      </x:c>
      <x:c r="L2205" s="7" t="str"/>
    </x:row>
    <x:row r="2206">
      <x:c r="A2206" s="5" t="str">
        <x:v>淡</x:v>
      </x:c>
      <x:c r="B2206" s="6" t="str">
        <x:v>上</x:v>
      </x:c>
      <x:c r="C2206" s="6" t="str">
        <x:f>IF(B2206="","Needs decision","Ready")</x:f>
        <x:v>Ready</x:v>
      </x:c>
      <x:c r="D2206" s="6" t="str">
        <x:v>上</x:v>
      </x:c>
      <x:c r="E2206" s="6" t="str">
        <x:v>damX (B)</x:v>
      </x:c>
      <x:c r="F2206" s="6" t="str">
        <x:v>去聲二十八勘</x:v>
      </x:c>
      <x:c r="G2206" s="6" t="str">
        <x:v>Pingshui main list, Wikisource-derived DOCX</x:v>
      </x:c>
      <x:c r="H2206" s="6" t="str">
        <x:v>1</x:v>
      </x:c>
      <x:c r="I2206" s="6" t="str"/>
      <x:c r="J2206" s="6" t="str">
        <x:f>IF(B2206="","",IF(AND(ISNUMBER(SEARCH("平",B2206)),OR(ISNUMBER(SEARCH("上",B2206)),ISNUMBER(SEARCH("去",B2206)),ISNUMBER(SEARCH("入",B2206)))),"Ambiguous",IF(ISNUMBER(SEARCH("平",B2206)),"平","仄")))</x:f>
        <x:v>仄</x:v>
      </x:c>
      <x:c r="K2206" s="6" t="str">
        <x:f>IF(D2206="","",IF(AND(ISNUMBER(SEARCH("平",D2206)),OR(ISNUMBER(SEARCH("上",D2206)),ISNUMBER(SEARCH("去",D2206)),ISNUMBER(SEARCH("入",D2206)))),"Ambiguous",IF(ISNUMBER(SEARCH("平",D2206)),"平","仄")))</x:f>
        <x:v>仄</x:v>
      </x:c>
      <x:c r="L2206" s="7" t="str"/>
    </x:row>
    <x:row r="2207">
      <x:c r="A2207" s="5" t="str">
        <x:v>淢</x:v>
      </x:c>
      <x:c r="B2207" s="6" t="str">
        <x:v>入</x:v>
      </x:c>
      <x:c r="C2207" s="6" t="str">
        <x:f>IF(B2207="","Needs decision","Ready")</x:f>
        <x:v>Ready</x:v>
      </x:c>
      <x:c r="D2207" s="6" t="str">
        <x:v>入</x:v>
      </x:c>
      <x:c r="E2207" s="6" t="str">
        <x:v>xwik (D)</x:v>
      </x:c>
      <x:c r="F2207" s="6" t="str">
        <x:v>入聲十三職</x:v>
      </x:c>
      <x:c r="G2207" s="6" t="str">
        <x:v>Pingshui main list, Wikisource-derived DOCX</x:v>
      </x:c>
      <x:c r="H2207" s="6" t="str">
        <x:v>1</x:v>
      </x:c>
      <x:c r="I2207" s="6" t="str"/>
      <x:c r="J2207" s="6" t="str">
        <x:f>IF(B2207="","",IF(AND(ISNUMBER(SEARCH("平",B2207)),OR(ISNUMBER(SEARCH("上",B2207)),ISNUMBER(SEARCH("去",B2207)),ISNUMBER(SEARCH("入",B2207)))),"Ambiguous",IF(ISNUMBER(SEARCH("平",B2207)),"平","仄")))</x:f>
        <x:v>仄</x:v>
      </x:c>
      <x:c r="K2207" s="6" t="str">
        <x:f>IF(D2207="","",IF(AND(ISNUMBER(SEARCH("平",D2207)),OR(ISNUMBER(SEARCH("上",D2207)),ISNUMBER(SEARCH("去",D2207)),ISNUMBER(SEARCH("入",D2207)))),"Ambiguous",IF(ISNUMBER(SEARCH("平",D2207)),"平","仄")))</x:f>
        <x:v>仄</x:v>
      </x:c>
      <x:c r="L2207" s="7" t="str"/>
    </x:row>
    <x:row r="2208">
      <x:c r="A2208" s="5" t="str">
        <x:v>淥</x:v>
      </x:c>
      <x:c r="B2208" s="6" t="str">
        <x:v>入</x:v>
      </x:c>
      <x:c r="C2208" s="6" t="str">
        <x:f>IF(B2208="","Needs decision","Ready")</x:f>
        <x:v>Ready</x:v>
      </x:c>
      <x:c r="D2208" s="6" t="str">
        <x:v>入</x:v>
      </x:c>
      <x:c r="E2208" s="6" t="str">
        <x:v>ljowk [ljok] (入); luwk [l̙uk] (入)</x:v>
      </x:c>
      <x:c r="F2208" s="6" t="str">
        <x:v>入聲二沃</x:v>
      </x:c>
      <x:c r="G2208" s="6" t="str">
        <x:v>Pingshui main list, Wikisource-derived DOCX</x:v>
      </x:c>
      <x:c r="H2208" s="6" t="str">
        <x:v>2</x:v>
      </x:c>
      <x:c r="I2208" s="6" t="str">
        <x:v>Tang 300 gap; frequency 2; provisional from Xun Gong</x:v>
      </x:c>
      <x:c r="J2208" s="6" t="str">
        <x:f>IF(B2208="","",IF(AND(ISNUMBER(SEARCH("平",B2208)),OR(ISNUMBER(SEARCH("上",B2208)),ISNUMBER(SEARCH("去",B2208)),ISNUMBER(SEARCH("入",B2208)))),"Ambiguous",IF(ISNUMBER(SEARCH("平",B2208)),"平","仄")))</x:f>
        <x:v>仄</x:v>
      </x:c>
      <x:c r="K2208" s="6" t="str">
        <x:f>IF(D2208="","",IF(AND(ISNUMBER(SEARCH("平",D2208)),OR(ISNUMBER(SEARCH("上",D2208)),ISNUMBER(SEARCH("去",D2208)),ISNUMBER(SEARCH("入",D2208)))),"Ambiguous",IF(ISNUMBER(SEARCH("平",D2208)),"平","仄")))</x:f>
        <x:v>仄</x:v>
      </x:c>
      <x:c r="L2208" s="7" t="str">
        <x:v>Xun Gong, Tang 300 gap fill</x:v>
      </x:c>
    </x:row>
    <x:row r="2209">
      <x:c r="A2209" s="5" t="str">
        <x:v>淨</x:v>
      </x:c>
      <x:c r="B2209" s="6" t="str">
        <x:v>去</x:v>
      </x:c>
      <x:c r="C2209" s="6" t="str">
        <x:f>IF(B2209="","Needs decision","Ready")</x:f>
        <x:v>Ready</x:v>
      </x:c>
      <x:c r="D2209" s="6" t="str">
        <x:v>去</x:v>
      </x:c>
      <x:c r="E2209" s="6" t="str">
        <x:v>dzjengH (C)</x:v>
      </x:c>
      <x:c r="F2209" s="6" t="str">
        <x:v>去聲二十四敬</x:v>
      </x:c>
      <x:c r="G2209" s="6" t="str">
        <x:v>Pingshui main list, Wikisource-derived DOCX</x:v>
      </x:c>
      <x:c r="H2209" s="6" t="str">
        <x:v>1</x:v>
      </x:c>
      <x:c r="I2209" s="6" t="str"/>
      <x:c r="J2209" s="6" t="str">
        <x:f>IF(B2209="","",IF(AND(ISNUMBER(SEARCH("平",B2209)),OR(ISNUMBER(SEARCH("上",B2209)),ISNUMBER(SEARCH("去",B2209)),ISNUMBER(SEARCH("入",B2209)))),"Ambiguous",IF(ISNUMBER(SEARCH("平",B2209)),"平","仄")))</x:f>
        <x:v>仄</x:v>
      </x:c>
      <x:c r="K2209" s="6" t="str">
        <x:f>IF(D2209="","",IF(AND(ISNUMBER(SEARCH("平",D2209)),OR(ISNUMBER(SEARCH("上",D2209)),ISNUMBER(SEARCH("去",D2209)),ISNUMBER(SEARCH("入",D2209)))),"Ambiguous",IF(ISNUMBER(SEARCH("平",D2209)),"平","仄")))</x:f>
        <x:v>仄</x:v>
      </x:c>
      <x:c r="L2209" s="7" t="str"/>
    </x:row>
    <x:row r="2210">
      <x:c r="A2210" s="5" t="str">
        <x:v>淩</x:v>
      </x:c>
      <x:c r="B2210" s="6" t="str">
        <x:v>平</x:v>
      </x:c>
      <x:c r="C2210" s="6" t="str">
        <x:f>IF(B2210="","Needs decision","Ready")</x:f>
        <x:v>Ready</x:v>
      </x:c>
      <x:c r="D2210" s="6" t="str">
        <x:v>平</x:v>
      </x:c>
      <x:c r="E2210" s="6" t="str">
        <x:v>ling [ljɨŋ] (平)</x:v>
      </x:c>
      <x:c r="F2210" s="6" t="str">
        <x:v>下平聲十蒸</x:v>
      </x:c>
      <x:c r="G2210" s="6" t="str">
        <x:v>Pingshui main list, Wikisource-derived DOCX</x:v>
      </x:c>
      <x:c r="H2210" s="6" t="str">
        <x:v>1</x:v>
      </x:c>
      <x:c r="I2210" s="6" t="str">
        <x:v>Tang 300 gap; frequency 2; provisional from Xun Gong</x:v>
      </x:c>
      <x:c r="J2210" s="6" t="str">
        <x:f>IF(B2210="","",IF(AND(ISNUMBER(SEARCH("平",B2210)),OR(ISNUMBER(SEARCH("上",B2210)),ISNUMBER(SEARCH("去",B2210)),ISNUMBER(SEARCH("入",B2210)))),"Ambiguous",IF(ISNUMBER(SEARCH("平",B2210)),"平","仄")))</x:f>
        <x:v>平</x:v>
      </x:c>
      <x:c r="K2210" s="6" t="str">
        <x:f>IF(D2210="","",IF(AND(ISNUMBER(SEARCH("平",D2210)),OR(ISNUMBER(SEARCH("上",D2210)),ISNUMBER(SEARCH("去",D2210)),ISNUMBER(SEARCH("入",D2210)))),"Ambiguous",IF(ISNUMBER(SEARCH("平",D2210)),"平","仄")))</x:f>
        <x:v>平</x:v>
      </x:c>
      <x:c r="L2210" s="7" t="str">
        <x:v>Xun Gong, Tang 300 gap fill</x:v>
      </x:c>
    </x:row>
    <x:row r="2211">
      <x:c r="A2211" s="5" t="str">
        <x:v>淪</x:v>
      </x:c>
      <x:c r="B2211" s="6" t="str">
        <x:v>平</x:v>
      </x:c>
      <x:c r="C2211" s="6" t="str">
        <x:f>IF(B2211="","Needs decision","Ready")</x:f>
        <x:v>Ready</x:v>
      </x:c>
      <x:c r="D2211" s="6" t="str">
        <x:v>平</x:v>
      </x:c>
      <x:c r="E2211" s="6" t="str">
        <x:v>lwin [ljwin] (平)</x:v>
      </x:c>
      <x:c r="F2211" s="6" t="str">
        <x:v>上平聲十一真</x:v>
      </x:c>
      <x:c r="G2211" s="6" t="str">
        <x:v>Pingshui main list, Wikisource-derived DOCX</x:v>
      </x:c>
      <x:c r="H2211" s="6" t="str">
        <x:v>1</x:v>
      </x:c>
      <x:c r="I2211" s="6" t="str">
        <x:v>Tang 300 gap; frequency 1; provisional from Xun Gong</x:v>
      </x:c>
      <x:c r="J2211" s="6" t="str">
        <x:f>IF(B2211="","",IF(AND(ISNUMBER(SEARCH("平",B2211)),OR(ISNUMBER(SEARCH("上",B2211)),ISNUMBER(SEARCH("去",B2211)),ISNUMBER(SEARCH("入",B2211)))),"Ambiguous",IF(ISNUMBER(SEARCH("平",B2211)),"平","仄")))</x:f>
        <x:v>平</x:v>
      </x:c>
      <x:c r="K2211" s="6" t="str">
        <x:f>IF(D2211="","",IF(AND(ISNUMBER(SEARCH("平",D2211)),OR(ISNUMBER(SEARCH("上",D2211)),ISNUMBER(SEARCH("去",D2211)),ISNUMBER(SEARCH("入",D2211)))),"Ambiguous",IF(ISNUMBER(SEARCH("平",D2211)),"平","仄")))</x:f>
        <x:v>平</x:v>
      </x:c>
      <x:c r="L2211" s="7" t="str">
        <x:v>Xun Gong, Tang 300 gap fill</x:v>
      </x:c>
    </x:row>
    <x:row r="2212">
      <x:c r="A2212" s="5" t="str">
        <x:v>淫</x:v>
      </x:c>
      <x:c r="B2212" s="6" t="str">
        <x:v>平</x:v>
      </x:c>
      <x:c r="C2212" s="6" t="str">
        <x:f>IF(B2212="","Needs decision","Ready")</x:f>
        <x:v>Ready</x:v>
      </x:c>
      <x:c r="D2212" s="6" t="str">
        <x:v>平</x:v>
      </x:c>
      <x:c r="E2212" s="6" t="str">
        <x:v>yim (A)</x:v>
      </x:c>
      <x:c r="F2212" s="6" t="str">
        <x:v>下平聲十二侵</x:v>
      </x:c>
      <x:c r="G2212" s="6" t="str">
        <x:v>Pingshui main list, Wikisource-derived DOCX</x:v>
      </x:c>
      <x:c r="H2212" s="6" t="str">
        <x:v>1</x:v>
      </x:c>
      <x:c r="I2212" s="6" t="str"/>
      <x:c r="J2212" s="6" t="str">
        <x:f>IF(B2212="","",IF(AND(ISNUMBER(SEARCH("平",B2212)),OR(ISNUMBER(SEARCH("上",B2212)),ISNUMBER(SEARCH("去",B2212)),ISNUMBER(SEARCH("入",B2212)))),"Ambiguous",IF(ISNUMBER(SEARCH("平",B2212)),"平","仄")))</x:f>
        <x:v>平</x:v>
      </x:c>
      <x:c r="K2212" s="6" t="str">
        <x:f>IF(D2212="","",IF(AND(ISNUMBER(SEARCH("平",D2212)),OR(ISNUMBER(SEARCH("上",D2212)),ISNUMBER(SEARCH("去",D2212)),ISNUMBER(SEARCH("入",D2212)))),"Ambiguous",IF(ISNUMBER(SEARCH("平",D2212)),"平","仄")))</x:f>
        <x:v>平</x:v>
      </x:c>
      <x:c r="L2212" s="7" t="str"/>
    </x:row>
    <x:row r="2213">
      <x:c r="A2213" s="5" t="str">
        <x:v>淬</x:v>
      </x:c>
      <x:c r="B2213" s="6" t="str">
        <x:v>去</x:v>
      </x:c>
      <x:c r="C2213" s="6" t="str">
        <x:f>IF(B2213="","Needs decision","Ready")</x:f>
        <x:v>Ready</x:v>
      </x:c>
      <x:c r="D2213" s="6" t="str">
        <x:v>去</x:v>
      </x:c>
      <x:c r="E2213" s="6" t="str">
        <x:v>tshwojH (C)</x:v>
      </x:c>
      <x:c r="F2213" s="6" t="str">
        <x:v>去聲十一隊</x:v>
      </x:c>
      <x:c r="G2213" s="6" t="str">
        <x:v>Pingshui main list, Wikisource-derived DOCX</x:v>
      </x:c>
      <x:c r="H2213" s="6" t="str">
        <x:v>1</x:v>
      </x:c>
      <x:c r="I2213" s="6" t="str"/>
      <x:c r="J2213" s="6" t="str">
        <x:f>IF(B2213="","",IF(AND(ISNUMBER(SEARCH("平",B2213)),OR(ISNUMBER(SEARCH("上",B2213)),ISNUMBER(SEARCH("去",B2213)),ISNUMBER(SEARCH("入",B2213)))),"Ambiguous",IF(ISNUMBER(SEARCH("平",B2213)),"平","仄")))</x:f>
        <x:v>仄</x:v>
      </x:c>
      <x:c r="K2213" s="6" t="str">
        <x:f>IF(D2213="","",IF(AND(ISNUMBER(SEARCH("平",D2213)),OR(ISNUMBER(SEARCH("上",D2213)),ISNUMBER(SEARCH("去",D2213)),ISNUMBER(SEARCH("入",D2213)))),"Ambiguous",IF(ISNUMBER(SEARCH("平",D2213)),"平","仄")))</x:f>
        <x:v>仄</x:v>
      </x:c>
      <x:c r="L2213" s="7" t="str"/>
    </x:row>
    <x:row r="2214">
      <x:c r="A2214" s="5" t="str">
        <x:v>淮</x:v>
      </x:c>
      <x:c r="B2214" s="6" t="str">
        <x:v>平</x:v>
      </x:c>
      <x:c r="C2214" s="6" t="str">
        <x:f>IF(B2214="","Needs decision","Ready")</x:f>
        <x:v>Ready</x:v>
      </x:c>
      <x:c r="D2214" s="6" t="str">
        <x:v>平</x:v>
      </x:c>
      <x:c r="E2214" s="6" t="str">
        <x:v>hweaj (A)</x:v>
      </x:c>
      <x:c r="F2214" s="6" t="str">
        <x:v>上平聲九佳</x:v>
      </x:c>
      <x:c r="G2214" s="6" t="str">
        <x:v>Pingshui main list, Wikisource-derived DOCX</x:v>
      </x:c>
      <x:c r="H2214" s="6" t="str">
        <x:v>1</x:v>
      </x:c>
      <x:c r="I2214" s="6" t="str"/>
      <x:c r="J2214" s="6" t="str">
        <x:f>IF(B2214="","",IF(AND(ISNUMBER(SEARCH("平",B2214)),OR(ISNUMBER(SEARCH("上",B2214)),ISNUMBER(SEARCH("去",B2214)),ISNUMBER(SEARCH("入",B2214)))),"Ambiguous",IF(ISNUMBER(SEARCH("平",B2214)),"平","仄")))</x:f>
        <x:v>平</x:v>
      </x:c>
      <x:c r="K2214" s="6" t="str">
        <x:f>IF(D2214="","",IF(AND(ISNUMBER(SEARCH("平",D2214)),OR(ISNUMBER(SEARCH("上",D2214)),ISNUMBER(SEARCH("去",D2214)),ISNUMBER(SEARCH("入",D2214)))),"Ambiguous",IF(ISNUMBER(SEARCH("平",D2214)),"平","仄")))</x:f>
        <x:v>平</x:v>
      </x:c>
      <x:c r="L2214" s="7" t="str"/>
    </x:row>
    <x:row r="2215">
      <x:c r="A2215" s="5" t="str">
        <x:v>深</x:v>
      </x:c>
      <x:c r="B2215" s="6" t="str">
        <x:v>平</x:v>
      </x:c>
      <x:c r="C2215" s="6" t="str">
        <x:f>IF(B2215="","Needs decision","Ready")</x:f>
        <x:v>Ready</x:v>
      </x:c>
      <x:c r="D2215" s="6" t="str">
        <x:v>平/去</x:v>
      </x:c>
      <x:c r="E2215" s="6" t="str">
        <x:v>syim (A); syimH (C)</x:v>
      </x:c>
      <x:c r="F2215" s="6" t="str">
        <x:v>下平聲十二侵; 去聲二十七沁</x:v>
      </x:c>
      <x:c r="G2215" s="6" t="str">
        <x:v>Pingshui main list, Wikisource-derived DOCX</x:v>
      </x:c>
      <x:c r="H2215" s="6" t="str">
        <x:v>2</x:v>
      </x:c>
      <x:c r="I2215" s="6" t="str">
        <x:v>User workbook edit 2026-09-03</x:v>
      </x:c>
      <x:c r="J2215" s="6" t="str">
        <x:f>IF(B2215="","",IF(AND(ISNUMBER(SEARCH("平",B2215)),OR(ISNUMBER(SEARCH("上",B2215)),ISNUMBER(SEARCH("去",B2215)),ISNUMBER(SEARCH("入",B2215)))),"Ambiguous",IF(ISNUMBER(SEARCH("平",B2215)),"平","仄")))</x:f>
        <x:v>平</x:v>
      </x:c>
      <x:c r="K2215" s="6" t="str">
        <x:f>IF(D2215="","",IF(AND(ISNUMBER(SEARCH("平",D2215)),OR(ISNUMBER(SEARCH("上",D2215)),ISNUMBER(SEARCH("去",D2215)),ISNUMBER(SEARCH("入",D2215)))),"Ambiguous",IF(ISNUMBER(SEARCH("平",D2215)),"平","仄")))</x:f>
        <x:v>Ambiguous</x:v>
      </x:c>
      <x:c r="L2215" s="7" t="str">
        <x:v>manual user correction</x:v>
      </x:c>
    </x:row>
    <x:row r="2216">
      <x:c r="A2216" s="5" t="str">
        <x:v>淳</x:v>
      </x:c>
      <x:c r="B2216" s="6" t="str"/>
      <x:c r="C2216" s="6" t="str">
        <x:f>IF(B2216="","Needs decision","Ready")</x:f>
        <x:v>Needs decision</x:v>
      </x:c>
      <x:c r="D2216" s="6" t="str">
        <x:v>平/上</x:v>
      </x:c>
      <x:c r="E2216" s="6" t="str">
        <x:v>dzywin (A); tsywin (A); tsywinX (B)</x:v>
      </x:c>
      <x:c r="F2216" s="6" t="str">
        <x:v>上平聲十一真</x:v>
      </x:c>
      <x:c r="G2216" s="6" t="str">
        <x:v>Pingshui main list, Wikisource-derived DOCX</x:v>
      </x:c>
      <x:c r="H2216" s="6" t="str">
        <x:v>3</x:v>
      </x:c>
      <x:c r="I2216" s="6" t="str"/>
      <x:c r="J2216" s="6" t="str">
        <x:f>IF(B2216="","",IF(AND(ISNUMBER(SEARCH("平",B2216)),OR(ISNUMBER(SEARCH("上",B2216)),ISNUMBER(SEARCH("去",B2216)),ISNUMBER(SEARCH("入",B2216)))),"Ambiguous",IF(ISNUMBER(SEARCH("平",B2216)),"平","仄")))</x:f>
      </x:c>
      <x:c r="K2216" s="6" t="str">
        <x:f>IF(D2216="","",IF(AND(ISNUMBER(SEARCH("平",D2216)),OR(ISNUMBER(SEARCH("上",D2216)),ISNUMBER(SEARCH("去",D2216)),ISNUMBER(SEARCH("入",D2216)))),"Ambiguous",IF(ISNUMBER(SEARCH("平",D2216)),"平","仄")))</x:f>
        <x:v>Ambiguous</x:v>
      </x:c>
      <x:c r="L2216" s="7" t="str"/>
    </x:row>
    <x:row r="2217">
      <x:c r="A2217" s="5" t="str">
        <x:v>淵</x:v>
      </x:c>
      <x:c r="B2217" s="6" t="str">
        <x:v>平</x:v>
      </x:c>
      <x:c r="C2217" s="6" t="str">
        <x:f>IF(B2217="","Needs decision","Ready")</x:f>
        <x:v>Ready</x:v>
      </x:c>
      <x:c r="D2217" s="6" t="str">
        <x:v>平</x:v>
      </x:c>
      <x:c r="E2217" s="6" t="str">
        <x:v>'wen (A)</x:v>
      </x:c>
      <x:c r="F2217" s="6" t="str">
        <x:v>下平聲一先</x:v>
      </x:c>
      <x:c r="G2217" s="6" t="str">
        <x:v>Pingshui main list, Wikisource-derived DOCX</x:v>
      </x:c>
      <x:c r="H2217" s="6" t="str">
        <x:v>1</x:v>
      </x:c>
      <x:c r="I2217" s="6" t="str"/>
      <x:c r="J2217" s="6" t="str">
        <x:f>IF(B2217="","",IF(AND(ISNUMBER(SEARCH("平",B2217)),OR(ISNUMBER(SEARCH("上",B2217)),ISNUMBER(SEARCH("去",B2217)),ISNUMBER(SEARCH("入",B2217)))),"Ambiguous",IF(ISNUMBER(SEARCH("平",B2217)),"平","仄")))</x:f>
        <x:v>平</x:v>
      </x:c>
      <x:c r="K2217" s="6" t="str">
        <x:f>IF(D2217="","",IF(AND(ISNUMBER(SEARCH("平",D2217)),OR(ISNUMBER(SEARCH("上",D2217)),ISNUMBER(SEARCH("去",D2217)),ISNUMBER(SEARCH("入",D2217)))),"Ambiguous",IF(ISNUMBER(SEARCH("平",D2217)),"平","仄")))</x:f>
        <x:v>平</x:v>
      </x:c>
      <x:c r="L2217" s="7" t="str"/>
    </x:row>
    <x:row r="2218">
      <x:c r="A2218" s="5" t="str">
        <x:v>混</x:v>
      </x:c>
      <x:c r="B2218" s="6" t="str">
        <x:v>上</x:v>
      </x:c>
      <x:c r="C2218" s="6" t="str">
        <x:f>IF(B2218="","Needs decision","Ready")</x:f>
        <x:v>Ready</x:v>
      </x:c>
      <x:c r="D2218" s="6" t="str">
        <x:v>上</x:v>
      </x:c>
      <x:c r="E2218" s="6" t="str">
        <x:v>hwonX [ʁwənʔ] (上)</x:v>
      </x:c>
      <x:c r="F2218" s="6" t="str">
        <x:v>上聲十三阮</x:v>
      </x:c>
      <x:c r="G2218" s="6" t="str">
        <x:v>Pingshui main list, Wikisource-derived DOCX</x:v>
      </x:c>
      <x:c r="H2218" s="6" t="str">
        <x:v>1</x:v>
      </x:c>
      <x:c r="I2218" s="6" t="str">
        <x:v>Tang 300 gap; frequency 2; provisional from Xun Gong</x:v>
      </x:c>
      <x:c r="J2218" s="6" t="str">
        <x:f>IF(B2218="","",IF(AND(ISNUMBER(SEARCH("平",B2218)),OR(ISNUMBER(SEARCH("上",B2218)),ISNUMBER(SEARCH("去",B2218)),ISNUMBER(SEARCH("入",B2218)))),"Ambiguous",IF(ISNUMBER(SEARCH("平",B2218)),"平","仄")))</x:f>
        <x:v>仄</x:v>
      </x:c>
      <x:c r="K2218" s="6" t="str">
        <x:f>IF(D2218="","",IF(AND(ISNUMBER(SEARCH("平",D2218)),OR(ISNUMBER(SEARCH("上",D2218)),ISNUMBER(SEARCH("去",D2218)),ISNUMBER(SEARCH("入",D2218)))),"Ambiguous",IF(ISNUMBER(SEARCH("平",D2218)),"平","仄")))</x:f>
        <x:v>仄</x:v>
      </x:c>
      <x:c r="L2218" s="7" t="str">
        <x:v>Xun Gong, Tang 300 gap fill</x:v>
      </x:c>
    </x:row>
    <x:row r="2219">
      <x:c r="A2219" s="5" t="str">
        <x:v>淸</x:v>
      </x:c>
      <x:c r="B2219" s="6" t="str">
        <x:v>平</x:v>
      </x:c>
      <x:c r="C2219" s="6" t="str">
        <x:f>IF(B2219="","Needs decision","Ready")</x:f>
        <x:v>Ready</x:v>
      </x:c>
      <x:c r="D2219" s="6" t="str">
        <x:v>平</x:v>
      </x:c>
      <x:c r="E2219" s="6" t="str">
        <x:v>tshjeng [清開三清平] tsʰjaŋ</x:v>
      </x:c>
      <x:c r="F2219" s="6" t="str"/>
      <x:c r="G2219" s="6" t="str"/>
      <x:c r="H2219" s="6" t="str">
        <x:v>1</x:v>
      </x:c>
      <x:c r="I2219" s="6" t="str">
        <x:v>Targeted preliminary fill from Xun Gong; review if uncertain (looked up under 清)</x:v>
      </x:c>
      <x:c r="J2219" s="6" t="str">
        <x:f>IF(B2219="","",IF(AND(ISNUMBER(SEARCH("平",B2219)),OR(ISNUMBER(SEARCH("上",B2219)),ISNUMBER(SEARCH("去",B2219)),ISNUMBER(SEARCH("入",B2219)))),"Ambiguous",IF(ISNUMBER(SEARCH("平",B2219)),"平","仄")))</x:f>
        <x:v>平</x:v>
      </x:c>
      <x:c r="K2219" s="6" t="str">
        <x:f>IF(D2219="","",IF(AND(ISNUMBER(SEARCH("平",D2219)),OR(ISNUMBER(SEARCH("上",D2219)),ISNUMBER(SEARCH("去",D2219)),ISNUMBER(SEARCH("入",D2219)))),"Ambiguous",IF(ISNUMBER(SEARCH("平",D2219)),"平","仄")))</x:f>
        <x:v>平</x:v>
      </x:c>
      <x:c r="L2219" s="7" t="str">
        <x:v>Xun Gong character-readings.csv</x:v>
      </x:c>
    </x:row>
    <x:row r="2220">
      <x:c r="A2220" s="5" t="str">
        <x:v>淹</x:v>
      </x:c>
      <x:c r="B2220" s="6" t="str">
        <x:v>平</x:v>
      </x:c>
      <x:c r="C2220" s="6" t="str">
        <x:f>IF(B2220="","Needs decision","Ready")</x:f>
        <x:v>Ready</x:v>
      </x:c>
      <x:c r="D2220" s="6" t="str">
        <x:v>平</x:v>
      </x:c>
      <x:c r="E2220" s="6" t="str">
        <x:v>'jem (A)</x:v>
      </x:c>
      <x:c r="F2220" s="6" t="str">
        <x:v>下平聲十四鹽; 去聲三十陷</x:v>
      </x:c>
      <x:c r="G2220" s="6" t="str">
        <x:v>Pingshui main list, Wikisource-derived DOCX</x:v>
      </x:c>
      <x:c r="H2220" s="6" t="str">
        <x:v>1</x:v>
      </x:c>
      <x:c r="I2220" s="6" t="str"/>
      <x:c r="J2220" s="6" t="str">
        <x:f>IF(B2220="","",IF(AND(ISNUMBER(SEARCH("平",B2220)),OR(ISNUMBER(SEARCH("上",B2220)),ISNUMBER(SEARCH("去",B2220)),ISNUMBER(SEARCH("入",B2220)))),"Ambiguous",IF(ISNUMBER(SEARCH("平",B2220)),"平","仄")))</x:f>
        <x:v>平</x:v>
      </x:c>
      <x:c r="K2220" s="6" t="str">
        <x:f>IF(D2220="","",IF(AND(ISNUMBER(SEARCH("平",D2220)),OR(ISNUMBER(SEARCH("上",D2220)),ISNUMBER(SEARCH("去",D2220)),ISNUMBER(SEARCH("入",D2220)))),"Ambiguous",IF(ISNUMBER(SEARCH("平",D2220)),"平","仄")))</x:f>
        <x:v>平</x:v>
      </x:c>
      <x:c r="L2220" s="7" t="str"/>
    </x:row>
    <x:row r="2221">
      <x:c r="A2221" s="5" t="str">
        <x:v>淺</x:v>
      </x:c>
      <x:c r="B2221" s="6" t="str">
        <x:v>上</x:v>
      </x:c>
      <x:c r="C2221" s="6" t="str">
        <x:f>IF(B2221="","Needs decision","Ready")</x:f>
        <x:v>Ready</x:v>
      </x:c>
      <x:c r="D2221" s="6" t="str">
        <x:v>上</x:v>
      </x:c>
      <x:c r="E2221" s="6" t="str">
        <x:v>tshjenX (B)</x:v>
      </x:c>
      <x:c r="F2221" s="6" t="str">
        <x:v>上聲十六銑</x:v>
      </x:c>
      <x:c r="G2221" s="6" t="str">
        <x:v>Pingshui main list, Wikisource-derived DOCX</x:v>
      </x:c>
      <x:c r="H2221" s="6" t="str">
        <x:v>1</x:v>
      </x:c>
      <x:c r="I2221" s="6" t="str"/>
      <x:c r="J2221" s="6" t="str">
        <x:f>IF(B2221="","",IF(AND(ISNUMBER(SEARCH("平",B2221)),OR(ISNUMBER(SEARCH("上",B2221)),ISNUMBER(SEARCH("去",B2221)),ISNUMBER(SEARCH("入",B2221)))),"Ambiguous",IF(ISNUMBER(SEARCH("平",B2221)),"平","仄")))</x:f>
        <x:v>仄</x:v>
      </x:c>
      <x:c r="K2221" s="6" t="str">
        <x:f>IF(D2221="","",IF(AND(ISNUMBER(SEARCH("平",D2221)),OR(ISNUMBER(SEARCH("上",D2221)),ISNUMBER(SEARCH("去",D2221)),ISNUMBER(SEARCH("入",D2221)))),"Ambiguous",IF(ISNUMBER(SEARCH("平",D2221)),"平","仄")))</x:f>
        <x:v>仄</x:v>
      </x:c>
      <x:c r="L2221" s="7" t="str"/>
    </x:row>
    <x:row r="2222">
      <x:c r="A2222" s="5" t="str">
        <x:v>添</x:v>
      </x:c>
      <x:c r="B2222" s="6" t="str">
        <x:v>平</x:v>
      </x:c>
      <x:c r="C2222" s="6" t="str">
        <x:f>IF(B2222="","Needs decision","Ready")</x:f>
        <x:v>Ready</x:v>
      </x:c>
      <x:c r="D2222" s="6" t="str">
        <x:v>平</x:v>
      </x:c>
      <x:c r="E2222" s="6" t="str">
        <x:v>them (A)</x:v>
      </x:c>
      <x:c r="F2222" s="6" t="str">
        <x:v>下平聲十四鹽</x:v>
      </x:c>
      <x:c r="G2222" s="6" t="str">
        <x:v>Pingshui main list, Wikisource-derived DOCX</x:v>
      </x:c>
      <x:c r="H2222" s="6" t="str">
        <x:v>1</x:v>
      </x:c>
      <x:c r="I2222" s="6" t="str"/>
      <x:c r="J2222" s="6" t="str">
        <x:f>IF(B2222="","",IF(AND(ISNUMBER(SEARCH("平",B2222)),OR(ISNUMBER(SEARCH("上",B2222)),ISNUMBER(SEARCH("去",B2222)),ISNUMBER(SEARCH("入",B2222)))),"Ambiguous",IF(ISNUMBER(SEARCH("平",B2222)),"平","仄")))</x:f>
        <x:v>平</x:v>
      </x:c>
      <x:c r="K2222" s="6" t="str">
        <x:f>IF(D2222="","",IF(AND(ISNUMBER(SEARCH("平",D2222)),OR(ISNUMBER(SEARCH("上",D2222)),ISNUMBER(SEARCH("去",D2222)),ISNUMBER(SEARCH("入",D2222)))),"Ambiguous",IF(ISNUMBER(SEARCH("平",D2222)),"平","仄")))</x:f>
        <x:v>平</x:v>
      </x:c>
      <x:c r="L2222" s="7" t="str"/>
    </x:row>
    <x:row r="2223">
      <x:c r="A2223" s="5" t="str">
        <x:v>淼</x:v>
      </x:c>
      <x:c r="B2223" s="6" t="str">
        <x:v>上</x:v>
      </x:c>
      <x:c r="C2223" s="6" t="str">
        <x:f>IF(B2223="","Needs decision","Ready")</x:f>
        <x:v>Ready</x:v>
      </x:c>
      <x:c r="D2223" s="6" t="str">
        <x:v>上</x:v>
      </x:c>
      <x:c r="E2223" s="6" t="str">
        <x:v>mjiewX [mjewʔ] (上)</x:v>
      </x:c>
      <x:c r="F2223" s="6" t="str">
        <x:v>上聲十七篠</x:v>
      </x:c>
      <x:c r="G2223" s="6" t="str">
        <x:v>Pingshui main list, Wikisource-derived DOCX</x:v>
      </x:c>
      <x:c r="H2223" s="6" t="str">
        <x:v>1</x:v>
      </x:c>
      <x:c r="I2223" s="6" t="str">
        <x:v>Tang 300 gap; frequency 2; provisional from Xun Gong</x:v>
      </x:c>
      <x:c r="J2223" s="6" t="str">
        <x:f>IF(B2223="","",IF(AND(ISNUMBER(SEARCH("平",B2223)),OR(ISNUMBER(SEARCH("上",B2223)),ISNUMBER(SEARCH("去",B2223)),ISNUMBER(SEARCH("入",B2223)))),"Ambiguous",IF(ISNUMBER(SEARCH("平",B2223)),"平","仄")))</x:f>
        <x:v>仄</x:v>
      </x:c>
      <x:c r="K2223" s="6" t="str">
        <x:f>IF(D2223="","",IF(AND(ISNUMBER(SEARCH("平",D2223)),OR(ISNUMBER(SEARCH("上",D2223)),ISNUMBER(SEARCH("去",D2223)),ISNUMBER(SEARCH("入",D2223)))),"Ambiguous",IF(ISNUMBER(SEARCH("平",D2223)),"平","仄")))</x:f>
        <x:v>仄</x:v>
      </x:c>
      <x:c r="L2223" s="7" t="str">
        <x:v>Xun Gong, Tang 300 gap fill</x:v>
      </x:c>
    </x:row>
    <x:row r="2224">
      <x:c r="A2224" s="5" t="str">
        <x:v>清</x:v>
      </x:c>
      <x:c r="B2224" s="6" t="str">
        <x:v>平</x:v>
      </x:c>
      <x:c r="C2224" s="6" t="str">
        <x:f>IF(B2224="","Needs decision","Ready")</x:f>
        <x:v>Ready</x:v>
      </x:c>
      <x:c r="D2224" s="6" t="str">
        <x:v>平</x:v>
      </x:c>
      <x:c r="E2224" s="6" t="str">
        <x:v>tshjeng (A)</x:v>
      </x:c>
      <x:c r="F2224" s="6" t="str">
        <x:v>下平聲八庚</x:v>
      </x:c>
      <x:c r="G2224" s="6" t="str">
        <x:v>Pingshui main list, Wikisource-derived DOCX</x:v>
      </x:c>
      <x:c r="H2224" s="6" t="str">
        <x:v>1</x:v>
      </x:c>
      <x:c r="I2224" s="6" t="str"/>
      <x:c r="J2224" s="6" t="str">
        <x:f>IF(B2224="","",IF(AND(ISNUMBER(SEARCH("平",B2224)),OR(ISNUMBER(SEARCH("上",B2224)),ISNUMBER(SEARCH("去",B2224)),ISNUMBER(SEARCH("入",B2224)))),"Ambiguous",IF(ISNUMBER(SEARCH("平",B2224)),"平","仄")))</x:f>
        <x:v>平</x:v>
      </x:c>
      <x:c r="K2224" s="6" t="str">
        <x:f>IF(D2224="","",IF(AND(ISNUMBER(SEARCH("平",D2224)),OR(ISNUMBER(SEARCH("上",D2224)),ISNUMBER(SEARCH("去",D2224)),ISNUMBER(SEARCH("入",D2224)))),"Ambiguous",IF(ISNUMBER(SEARCH("平",D2224)),"平","仄")))</x:f>
        <x:v>平</x:v>
      </x:c>
      <x:c r="L2224" s="7" t="str"/>
    </x:row>
    <x:row r="2225">
      <x:c r="A2225" s="5" t="str">
        <x:v>渙</x:v>
      </x:c>
      <x:c r="B2225" s="6" t="str">
        <x:v>去</x:v>
      </x:c>
      <x:c r="C2225" s="6" t="str">
        <x:f>IF(B2225="","Needs decision","Ready")</x:f>
        <x:v>Ready</x:v>
      </x:c>
      <x:c r="D2225" s="6" t="str">
        <x:v>去</x:v>
      </x:c>
      <x:c r="E2225" s="6" t="str">
        <x:v>xwanH (C)</x:v>
      </x:c>
      <x:c r="F2225" s="6" t="str">
        <x:v>去聲十五翰</x:v>
      </x:c>
      <x:c r="G2225" s="6" t="str">
        <x:v>Pingshui main list, Wikisource-derived DOCX</x:v>
      </x:c>
      <x:c r="H2225" s="6" t="str">
        <x:v>1</x:v>
      </x:c>
      <x:c r="I2225" s="6" t="str"/>
      <x:c r="J2225" s="6" t="str">
        <x:f>IF(B2225="","",IF(AND(ISNUMBER(SEARCH("平",B2225)),OR(ISNUMBER(SEARCH("上",B2225)),ISNUMBER(SEARCH("去",B2225)),ISNUMBER(SEARCH("入",B2225)))),"Ambiguous",IF(ISNUMBER(SEARCH("平",B2225)),"平","仄")))</x:f>
        <x:v>仄</x:v>
      </x:c>
      <x:c r="K2225" s="6" t="str">
        <x:f>IF(D2225="","",IF(AND(ISNUMBER(SEARCH("平",D2225)),OR(ISNUMBER(SEARCH("上",D2225)),ISNUMBER(SEARCH("去",D2225)),ISNUMBER(SEARCH("入",D2225)))),"Ambiguous",IF(ISNUMBER(SEARCH("平",D2225)),"平","仄")))</x:f>
        <x:v>仄</x:v>
      </x:c>
      <x:c r="L2225" s="7" t="str"/>
    </x:row>
    <x:row r="2226">
      <x:c r="A2226" s="5" t="str">
        <x:v>渚</x:v>
      </x:c>
      <x:c r="B2226" s="6" t="str">
        <x:v>上</x:v>
      </x:c>
      <x:c r="C2226" s="6" t="str">
        <x:f>IF(B2226="","Needs decision","Ready")</x:f>
        <x:v>Ready</x:v>
      </x:c>
      <x:c r="D2226" s="6" t="str">
        <x:v>上</x:v>
      </x:c>
      <x:c r="E2226" s="6" t="str">
        <x:v>tsyoX (B)</x:v>
      </x:c>
      <x:c r="F2226" s="6" t="str">
        <x:v>上聲六語</x:v>
      </x:c>
      <x:c r="G2226" s="6" t="str">
        <x:v>Pingshui main list, Wikisource-derived DOCX</x:v>
      </x:c>
      <x:c r="H2226" s="6" t="str">
        <x:v>1</x:v>
      </x:c>
      <x:c r="I2226" s="6" t="str"/>
      <x:c r="J2226" s="6" t="str">
        <x:f>IF(B2226="","",IF(AND(ISNUMBER(SEARCH("平",B2226)),OR(ISNUMBER(SEARCH("上",B2226)),ISNUMBER(SEARCH("去",B2226)),ISNUMBER(SEARCH("入",B2226)))),"Ambiguous",IF(ISNUMBER(SEARCH("平",B2226)),"平","仄")))</x:f>
        <x:v>仄</x:v>
      </x:c>
      <x:c r="K2226" s="6" t="str">
        <x:f>IF(D2226="","",IF(AND(ISNUMBER(SEARCH("平",D2226)),OR(ISNUMBER(SEARCH("上",D2226)),ISNUMBER(SEARCH("去",D2226)),ISNUMBER(SEARCH("入",D2226)))),"Ambiguous",IF(ISNUMBER(SEARCH("平",D2226)),"平","仄")))</x:f>
        <x:v>仄</x:v>
      </x:c>
      <x:c r="L2226" s="7" t="str"/>
    </x:row>
    <x:row r="2227">
      <x:c r="A2227" s="5" t="str">
        <x:v>減</x:v>
      </x:c>
      <x:c r="B2227" s="6" t="str">
        <x:v>上</x:v>
      </x:c>
      <x:c r="C2227" s="6" t="str">
        <x:f>IF(B2227="","Needs decision","Ready")</x:f>
        <x:v>Ready</x:v>
      </x:c>
      <x:c r="D2227" s="6" t="str">
        <x:v>上</x:v>
      </x:c>
      <x:c r="E2227" s="6" t="str">
        <x:v>heamX (B); keamX (B)</x:v>
      </x:c>
      <x:c r="F2227" s="6" t="str">
        <x:v>上聲二十九豏</x:v>
      </x:c>
      <x:c r="G2227" s="6" t="str">
        <x:v>Pingshui main list, Wikisource-derived DOCX</x:v>
      </x:c>
      <x:c r="H2227" s="6" t="str">
        <x:v>2</x:v>
      </x:c>
      <x:c r="I2227" s="6" t="str"/>
      <x:c r="J2227" s="6" t="str">
        <x:f>IF(B2227="","",IF(AND(ISNUMBER(SEARCH("平",B2227)),OR(ISNUMBER(SEARCH("上",B2227)),ISNUMBER(SEARCH("去",B2227)),ISNUMBER(SEARCH("入",B2227)))),"Ambiguous",IF(ISNUMBER(SEARCH("平",B2227)),"平","仄")))</x:f>
        <x:v>仄</x:v>
      </x:c>
      <x:c r="K2227" s="6" t="str">
        <x:f>IF(D2227="","",IF(AND(ISNUMBER(SEARCH("平",D2227)),OR(ISNUMBER(SEARCH("上",D2227)),ISNUMBER(SEARCH("去",D2227)),ISNUMBER(SEARCH("入",D2227)))),"Ambiguous",IF(ISNUMBER(SEARCH("平",D2227)),"平","仄")))</x:f>
        <x:v>仄</x:v>
      </x:c>
      <x:c r="L2227" s="7" t="str"/>
    </x:row>
    <x:row r="2228">
      <x:c r="A2228" s="5" t="str">
        <x:v>渝</x:v>
      </x:c>
      <x:c r="B2228" s="6" t="str">
        <x:v>平</x:v>
      </x:c>
      <x:c r="C2228" s="6" t="str">
        <x:f>IF(B2228="","Needs decision","Ready")</x:f>
        <x:v>Ready</x:v>
      </x:c>
      <x:c r="D2228" s="6" t="str">
        <x:v>平</x:v>
      </x:c>
      <x:c r="E2228" s="6" t="str">
        <x:v>yu (A)</x:v>
      </x:c>
      <x:c r="F2228" s="6" t="str">
        <x:v>上平聲七虞</x:v>
      </x:c>
      <x:c r="G2228" s="6" t="str">
        <x:v>Pingshui main list, Wikisource-derived DOCX</x:v>
      </x:c>
      <x:c r="H2228" s="6" t="str">
        <x:v>1</x:v>
      </x:c>
      <x:c r="I2228" s="6" t="str"/>
      <x:c r="J2228" s="6" t="str">
        <x:f>IF(B2228="","",IF(AND(ISNUMBER(SEARCH("平",B2228)),OR(ISNUMBER(SEARCH("上",B2228)),ISNUMBER(SEARCH("去",B2228)),ISNUMBER(SEARCH("入",B2228)))),"Ambiguous",IF(ISNUMBER(SEARCH("平",B2228)),"平","仄")))</x:f>
        <x:v>平</x:v>
      </x:c>
      <x:c r="K2228" s="6" t="str">
        <x:f>IF(D2228="","",IF(AND(ISNUMBER(SEARCH("平",D2228)),OR(ISNUMBER(SEARCH("上",D2228)),ISNUMBER(SEARCH("去",D2228)),ISNUMBER(SEARCH("入",D2228)))),"Ambiguous",IF(ISNUMBER(SEARCH("平",D2228)),"平","仄")))</x:f>
        <x:v>平</x:v>
      </x:c>
      <x:c r="L2228" s="7" t="str"/>
    </x:row>
    <x:row r="2229">
      <x:c r="A2229" s="5" t="str">
        <x:v>渠</x:v>
      </x:c>
      <x:c r="B2229" s="6" t="str">
        <x:v>平</x:v>
      </x:c>
      <x:c r="C2229" s="6" t="str">
        <x:f>IF(B2229="","Needs decision","Ready")</x:f>
        <x:v>Ready</x:v>
      </x:c>
      <x:c r="D2229" s="6" t="str">
        <x:v>平</x:v>
      </x:c>
      <x:c r="E2229" s="6" t="str">
        <x:v>gjo (A)</x:v>
      </x:c>
      <x:c r="F2229" s="6" t="str">
        <x:v>上平聲六魚</x:v>
      </x:c>
      <x:c r="G2229" s="6" t="str">
        <x:v>Pingshui main list, Wikisource-derived DOCX</x:v>
      </x:c>
      <x:c r="H2229" s="6" t="str">
        <x:v>1</x:v>
      </x:c>
      <x:c r="I2229" s="6" t="str"/>
      <x:c r="J2229" s="6" t="str">
        <x:f>IF(B2229="","",IF(AND(ISNUMBER(SEARCH("平",B2229)),OR(ISNUMBER(SEARCH("上",B2229)),ISNUMBER(SEARCH("去",B2229)),ISNUMBER(SEARCH("入",B2229)))),"Ambiguous",IF(ISNUMBER(SEARCH("平",B2229)),"平","仄")))</x:f>
        <x:v>平</x:v>
      </x:c>
      <x:c r="K2229" s="6" t="str">
        <x:f>IF(D2229="","",IF(AND(ISNUMBER(SEARCH("平",D2229)),OR(ISNUMBER(SEARCH("上",D2229)),ISNUMBER(SEARCH("去",D2229)),ISNUMBER(SEARCH("入",D2229)))),"Ambiguous",IF(ISNUMBER(SEARCH("平",D2229)),"平","仄")))</x:f>
        <x:v>平</x:v>
      </x:c>
      <x:c r="L2229" s="7" t="str"/>
    </x:row>
    <x:row r="2230">
      <x:c r="A2230" s="5" t="str">
        <x:v>渡</x:v>
      </x:c>
      <x:c r="B2230" s="6" t="str">
        <x:v>去</x:v>
      </x:c>
      <x:c r="C2230" s="6" t="str">
        <x:f>IF(B2230="","Needs decision","Ready")</x:f>
        <x:v>Ready</x:v>
      </x:c>
      <x:c r="D2230" s="6" t="str">
        <x:v>去</x:v>
      </x:c>
      <x:c r="E2230" s="6" t="str">
        <x:v>duH (C)</x:v>
      </x:c>
      <x:c r="F2230" s="6" t="str">
        <x:v>去聲七遇</x:v>
      </x:c>
      <x:c r="G2230" s="6" t="str">
        <x:v>Pingshui main list, Wikisource-derived DOCX</x:v>
      </x:c>
      <x:c r="H2230" s="6" t="str">
        <x:v>1</x:v>
      </x:c>
      <x:c r="I2230" s="6" t="str"/>
      <x:c r="J2230" s="6" t="str">
        <x:f>IF(B2230="","",IF(AND(ISNUMBER(SEARCH("平",B2230)),OR(ISNUMBER(SEARCH("上",B2230)),ISNUMBER(SEARCH("去",B2230)),ISNUMBER(SEARCH("入",B2230)))),"Ambiguous",IF(ISNUMBER(SEARCH("平",B2230)),"平","仄")))</x:f>
        <x:v>仄</x:v>
      </x:c>
      <x:c r="K2230" s="6" t="str">
        <x:f>IF(D2230="","",IF(AND(ISNUMBER(SEARCH("平",D2230)),OR(ISNUMBER(SEARCH("上",D2230)),ISNUMBER(SEARCH("去",D2230)),ISNUMBER(SEARCH("入",D2230)))),"Ambiguous",IF(ISNUMBER(SEARCH("平",D2230)),"平","仄")))</x:f>
        <x:v>仄</x:v>
      </x:c>
      <x:c r="L2230" s="7" t="str"/>
    </x:row>
    <x:row r="2231">
      <x:c r="A2231" s="5" t="str">
        <x:v>渢</x:v>
      </x:c>
      <x:c r="B2231" s="6" t="str">
        <x:v>平</x:v>
      </x:c>
      <x:c r="C2231" s="6" t="str">
        <x:f>IF(B2231="","Needs decision","Ready")</x:f>
        <x:v>Ready</x:v>
      </x:c>
      <x:c r="D2231" s="6" t="str">
        <x:v>平</x:v>
      </x:c>
      <x:c r="E2231" s="6" t="str">
        <x:v>bjuwng [並三C東平] bɨ̯uŋ</x:v>
      </x:c>
      <x:c r="F2231" s="6" t="str">
        <x:v>上平聲一東</x:v>
      </x:c>
      <x:c r="G2231" s="6" t="str">
        <x:v>Pingshui main list, Wikisource-derived DOCX</x:v>
      </x:c>
      <x:c r="H2231" s="6" t="str">
        <x:v>1</x:v>
      </x:c>
      <x:c r="I2231" s="6" t="str">
        <x:v>Targeted preliminary fill from Xun Gong; review if uncertain</x:v>
      </x:c>
      <x:c r="J2231" s="6" t="str">
        <x:f>IF(B2231="","",IF(AND(ISNUMBER(SEARCH("平",B2231)),OR(ISNUMBER(SEARCH("上",B2231)),ISNUMBER(SEARCH("去",B2231)),ISNUMBER(SEARCH("入",B2231)))),"Ambiguous",IF(ISNUMBER(SEARCH("平",B2231)),"平","仄")))</x:f>
        <x:v>平</x:v>
      </x:c>
      <x:c r="K2231" s="6" t="str">
        <x:f>IF(D2231="","",IF(AND(ISNUMBER(SEARCH("平",D2231)),OR(ISNUMBER(SEARCH("上",D2231)),ISNUMBER(SEARCH("去",D2231)),ISNUMBER(SEARCH("入",D2231)))),"Ambiguous",IF(ISNUMBER(SEARCH("平",D2231)),"平","仄")))</x:f>
        <x:v>平</x:v>
      </x:c>
      <x:c r="L2231" s="7" t="str">
        <x:v>Xun Gong character-readings.csv</x:v>
      </x:c>
    </x:row>
    <x:row r="2232">
      <x:c r="A2232" s="5" t="str">
        <x:v>渥</x:v>
      </x:c>
      <x:c r="B2232" s="6" t="str">
        <x:v>入</x:v>
      </x:c>
      <x:c r="C2232" s="6" t="str">
        <x:f>IF(B2232="","Needs decision","Ready")</x:f>
        <x:v>Ready</x:v>
      </x:c>
      <x:c r="D2232" s="6" t="str">
        <x:v>入</x:v>
      </x:c>
      <x:c r="E2232" s="6" t="str">
        <x:v>'aewk (D)</x:v>
      </x:c>
      <x:c r="F2232" s="6" t="str">
        <x:v>入聲三覺</x:v>
      </x:c>
      <x:c r="G2232" s="6" t="str">
        <x:v>Pingshui main list, Wikisource-derived DOCX</x:v>
      </x:c>
      <x:c r="H2232" s="6" t="str">
        <x:v>1</x:v>
      </x:c>
      <x:c r="I2232" s="6" t="str"/>
      <x:c r="J2232" s="6" t="str">
        <x:f>IF(B2232="","",IF(AND(ISNUMBER(SEARCH("平",B2232)),OR(ISNUMBER(SEARCH("上",B2232)),ISNUMBER(SEARCH("去",B2232)),ISNUMBER(SEARCH("入",B2232)))),"Ambiguous",IF(ISNUMBER(SEARCH("平",B2232)),"平","仄")))</x:f>
        <x:v>仄</x:v>
      </x:c>
      <x:c r="K2232" s="6" t="str">
        <x:f>IF(D2232="","",IF(AND(ISNUMBER(SEARCH("平",D2232)),OR(ISNUMBER(SEARCH("上",D2232)),ISNUMBER(SEARCH("去",D2232)),ISNUMBER(SEARCH("入",D2232)))),"Ambiguous",IF(ISNUMBER(SEARCH("平",D2232)),"平","仄")))</x:f>
        <x:v>仄</x:v>
      </x:c>
      <x:c r="L2232" s="7" t="str"/>
    </x:row>
    <x:row r="2233">
      <x:c r="A2233" s="5" t="str">
        <x:v>温</x:v>
      </x:c>
      <x:c r="B2233" s="6" t="str">
        <x:v>平</x:v>
      </x:c>
      <x:c r="C2233" s="6" t="str">
        <x:f>IF(B2233="","Needs decision","Ready")</x:f>
        <x:v>Ready</x:v>
      </x:c>
      <x:c r="D2233" s="6" t="str">
        <x:v>平</x:v>
      </x:c>
      <x:c r="E2233" s="6" t="str">
        <x:v>'won (A)</x:v>
      </x:c>
      <x:c r="F2233" s="6" t="str"/>
      <x:c r="G2233" s="6" t="str"/>
      <x:c r="H2233" s="6" t="str">
        <x:v>1</x:v>
      </x:c>
      <x:c r="I2233" s="6" t="str"/>
      <x:c r="J2233" s="6" t="str">
        <x:f>IF(B2233="","",IF(AND(ISNUMBER(SEARCH("平",B2233)),OR(ISNUMBER(SEARCH("上",B2233)),ISNUMBER(SEARCH("去",B2233)),ISNUMBER(SEARCH("入",B2233)))),"Ambiguous",IF(ISNUMBER(SEARCH("平",B2233)),"平","仄")))</x:f>
        <x:v>平</x:v>
      </x:c>
      <x:c r="K2233" s="6" t="str">
        <x:f>IF(D2233="","",IF(AND(ISNUMBER(SEARCH("平",D2233)),OR(ISNUMBER(SEARCH("上",D2233)),ISNUMBER(SEARCH("去",D2233)),ISNUMBER(SEARCH("入",D2233)))),"Ambiguous",IF(ISNUMBER(SEARCH("平",D2233)),"平","仄")))</x:f>
        <x:v>平</x:v>
      </x:c>
      <x:c r="L2233" s="7" t="str"/>
    </x:row>
    <x:row r="2234">
      <x:c r="A2234" s="5" t="str">
        <x:v>測</x:v>
      </x:c>
      <x:c r="B2234" s="6" t="str">
        <x:v>入</x:v>
      </x:c>
      <x:c r="C2234" s="6" t="str">
        <x:f>IF(B2234="","Needs decision","Ready")</x:f>
        <x:v>Ready</x:v>
      </x:c>
      <x:c r="D2234" s="6" t="str">
        <x:v>入</x:v>
      </x:c>
      <x:c r="E2234" s="6" t="str">
        <x:v>tsrhik (D)</x:v>
      </x:c>
      <x:c r="F2234" s="6" t="str">
        <x:v>入聲十三職</x:v>
      </x:c>
      <x:c r="G2234" s="6" t="str">
        <x:v>Pingshui main list, Wikisource-derived DOCX</x:v>
      </x:c>
      <x:c r="H2234" s="6" t="str">
        <x:v>1</x:v>
      </x:c>
      <x:c r="I2234" s="6" t="str"/>
      <x:c r="J2234" s="6" t="str">
        <x:f>IF(B2234="","",IF(AND(ISNUMBER(SEARCH("平",B2234)),OR(ISNUMBER(SEARCH("上",B2234)),ISNUMBER(SEARCH("去",B2234)),ISNUMBER(SEARCH("入",B2234)))),"Ambiguous",IF(ISNUMBER(SEARCH("平",B2234)),"平","仄")))</x:f>
        <x:v>仄</x:v>
      </x:c>
      <x:c r="K2234" s="6" t="str">
        <x:f>IF(D2234="","",IF(AND(ISNUMBER(SEARCH("平",D2234)),OR(ISNUMBER(SEARCH("上",D2234)),ISNUMBER(SEARCH("去",D2234)),ISNUMBER(SEARCH("入",D2234)))),"Ambiguous",IF(ISNUMBER(SEARCH("平",D2234)),"平","仄")))</x:f>
        <x:v>仄</x:v>
      </x:c>
      <x:c r="L2234" s="7" t="str"/>
    </x:row>
    <x:row r="2235">
      <x:c r="A2235" s="5" t="str">
        <x:v>渭</x:v>
      </x:c>
      <x:c r="B2235" s="6" t="str">
        <x:v>去</x:v>
      </x:c>
      <x:c r="C2235" s="6" t="str">
        <x:f>IF(B2235="","Needs decision","Ready")</x:f>
        <x:v>Ready</x:v>
      </x:c>
      <x:c r="D2235" s="6" t="str">
        <x:v>去</x:v>
      </x:c>
      <x:c r="E2235" s="6" t="str">
        <x:v>hjw+jH [wɨjh] (去)</x:v>
      </x:c>
      <x:c r="F2235" s="6" t="str">
        <x:v>去聲五未</x:v>
      </x:c>
      <x:c r="G2235" s="6" t="str">
        <x:v>Pingshui main list, Wikisource-derived DOCX</x:v>
      </x:c>
      <x:c r="H2235" s="6" t="str">
        <x:v>1</x:v>
      </x:c>
      <x:c r="I2235" s="6" t="str">
        <x:v>Tang 300 gap; frequency 3; provisional from Xun Gong</x:v>
      </x:c>
      <x:c r="J2235" s="6" t="str">
        <x:f>IF(B2235="","",IF(AND(ISNUMBER(SEARCH("平",B2235)),OR(ISNUMBER(SEARCH("上",B2235)),ISNUMBER(SEARCH("去",B2235)),ISNUMBER(SEARCH("入",B2235)))),"Ambiguous",IF(ISNUMBER(SEARCH("平",B2235)),"平","仄")))</x:f>
        <x:v>仄</x:v>
      </x:c>
      <x:c r="K2235" s="6" t="str">
        <x:f>IF(D2235="","",IF(AND(ISNUMBER(SEARCH("平",D2235)),OR(ISNUMBER(SEARCH("上",D2235)),ISNUMBER(SEARCH("去",D2235)),ISNUMBER(SEARCH("入",D2235)))),"Ambiguous",IF(ISNUMBER(SEARCH("平",D2235)),"平","仄")))</x:f>
        <x:v>仄</x:v>
      </x:c>
      <x:c r="L2235" s="7" t="str">
        <x:v>Xun Gong, Tang 300 gap fill</x:v>
      </x:c>
    </x:row>
    <x:row r="2236">
      <x:c r="A2236" s="5" t="str">
        <x:v>渴</x:v>
      </x:c>
      <x:c r="B2236" s="6" t="str">
        <x:v>入</x:v>
      </x:c>
      <x:c r="C2236" s="6" t="str">
        <x:f>IF(B2236="","Needs decision","Ready")</x:f>
        <x:v>Ready</x:v>
      </x:c>
      <x:c r="D2236" s="6" t="str">
        <x:v>入</x:v>
      </x:c>
      <x:c r="E2236" s="6" t="str">
        <x:v>khat (D)</x:v>
      </x:c>
      <x:c r="F2236" s="6" t="str">
        <x:v>入聲七曷</x:v>
      </x:c>
      <x:c r="G2236" s="6" t="str">
        <x:v>Pingshui main list, Wikisource-derived DOCX</x:v>
      </x:c>
      <x:c r="H2236" s="6" t="str">
        <x:v>1</x:v>
      </x:c>
      <x:c r="I2236" s="6" t="str"/>
      <x:c r="J2236" s="6" t="str">
        <x:f>IF(B2236="","",IF(AND(ISNUMBER(SEARCH("平",B2236)),OR(ISNUMBER(SEARCH("上",B2236)),ISNUMBER(SEARCH("去",B2236)),ISNUMBER(SEARCH("入",B2236)))),"Ambiguous",IF(ISNUMBER(SEARCH("平",B2236)),"平","仄")))</x:f>
        <x:v>仄</x:v>
      </x:c>
      <x:c r="K2236" s="6" t="str">
        <x:f>IF(D2236="","",IF(AND(ISNUMBER(SEARCH("平",D2236)),OR(ISNUMBER(SEARCH("上",D2236)),ISNUMBER(SEARCH("去",D2236)),ISNUMBER(SEARCH("入",D2236)))),"Ambiguous",IF(ISNUMBER(SEARCH("平",D2236)),"平","仄")))</x:f>
        <x:v>仄</x:v>
      </x:c>
      <x:c r="L2236" s="7" t="str"/>
    </x:row>
    <x:row r="2237">
      <x:c r="A2237" s="5" t="str">
        <x:v>游</x:v>
      </x:c>
      <x:c r="B2237" s="6" t="str">
        <x:v>平</x:v>
      </x:c>
      <x:c r="C2237" s="6" t="str">
        <x:f>IF(B2237="","Needs decision","Ready")</x:f>
        <x:v>Ready</x:v>
      </x:c>
      <x:c r="D2237" s="6" t="str">
        <x:v>平</x:v>
      </x:c>
      <x:c r="E2237" s="6" t="str">
        <x:v>yuw (A)</x:v>
      </x:c>
      <x:c r="F2237" s="6" t="str">
        <x:v>下平聲十一尤</x:v>
      </x:c>
      <x:c r="G2237" s="6" t="str">
        <x:v>Pingshui main list, Wikisource-derived DOCX</x:v>
      </x:c>
      <x:c r="H2237" s="6" t="str">
        <x:v>1</x:v>
      </x:c>
      <x:c r="I2237" s="6" t="str"/>
      <x:c r="J2237" s="6" t="str">
        <x:f>IF(B2237="","",IF(AND(ISNUMBER(SEARCH("平",B2237)),OR(ISNUMBER(SEARCH("上",B2237)),ISNUMBER(SEARCH("去",B2237)),ISNUMBER(SEARCH("入",B2237)))),"Ambiguous",IF(ISNUMBER(SEARCH("平",B2237)),"平","仄")))</x:f>
        <x:v>平</x:v>
      </x:c>
      <x:c r="K2237" s="6" t="str">
        <x:f>IF(D2237="","",IF(AND(ISNUMBER(SEARCH("平",D2237)),OR(ISNUMBER(SEARCH("上",D2237)),ISNUMBER(SEARCH("去",D2237)),ISNUMBER(SEARCH("入",D2237)))),"Ambiguous",IF(ISNUMBER(SEARCH("平",D2237)),"平","仄")))</x:f>
        <x:v>平</x:v>
      </x:c>
      <x:c r="L2237" s="7" t="str"/>
    </x:row>
    <x:row r="2238">
      <x:c r="A2238" s="5" t="str">
        <x:v>渺</x:v>
      </x:c>
      <x:c r="B2238" s="6" t="str">
        <x:v>上</x:v>
      </x:c>
      <x:c r="C2238" s="6" t="str">
        <x:f>IF(B2238="","Needs decision","Ready")</x:f>
        <x:v>Ready</x:v>
      </x:c>
      <x:c r="D2238" s="6" t="str">
        <x:v>上</x:v>
      </x:c>
      <x:c r="E2238" s="6" t="str">
        <x:v>mjiewX (B)</x:v>
      </x:c>
      <x:c r="F2238" s="6" t="str">
        <x:v>上聲十七篠</x:v>
      </x:c>
      <x:c r="G2238" s="6" t="str">
        <x:v>Pingshui main list, Wikisource-derived DOCX</x:v>
      </x:c>
      <x:c r="H2238" s="6" t="str">
        <x:v>1</x:v>
      </x:c>
      <x:c r="I2238" s="6" t="str"/>
      <x:c r="J2238" s="6" t="str">
        <x:f>IF(B2238="","",IF(AND(ISNUMBER(SEARCH("平",B2238)),OR(ISNUMBER(SEARCH("上",B2238)),ISNUMBER(SEARCH("去",B2238)),ISNUMBER(SEARCH("入",B2238)))),"Ambiguous",IF(ISNUMBER(SEARCH("平",B2238)),"平","仄")))</x:f>
        <x:v>仄</x:v>
      </x:c>
      <x:c r="K2238" s="6" t="str">
        <x:f>IF(D2238="","",IF(AND(ISNUMBER(SEARCH("平",D2238)),OR(ISNUMBER(SEARCH("上",D2238)),ISNUMBER(SEARCH("去",D2238)),ISNUMBER(SEARCH("入",D2238)))),"Ambiguous",IF(ISNUMBER(SEARCH("平",D2238)),"平","仄")))</x:f>
        <x:v>仄</x:v>
      </x:c>
      <x:c r="L2238" s="7" t="str"/>
    </x:row>
    <x:row r="2239">
      <x:c r="A2239" s="5" t="str">
        <x:v>渾</x:v>
      </x:c>
      <x:c r="B2239" s="6" t="str"/>
      <x:c r="C2239" s="6" t="str">
        <x:f>IF(B2239="","Needs decision","Ready")</x:f>
        <x:v>Needs decision</x:v>
      </x:c>
      <x:c r="D2239" s="6" t="str">
        <x:v>平/上</x:v>
      </x:c>
      <x:c r="E2239" s="6" t="str">
        <x:v>hwon (A); hwonX (B)</x:v>
      </x:c>
      <x:c r="F2239" s="6" t="str">
        <x:v>上平聲十三元</x:v>
      </x:c>
      <x:c r="G2239" s="6" t="str">
        <x:v>Pingshui main list, Wikisource-derived DOCX</x:v>
      </x:c>
      <x:c r="H2239" s="6" t="str">
        <x:v>2</x:v>
      </x:c>
      <x:c r="I2239" s="6" t="str"/>
      <x:c r="J2239" s="6" t="str">
        <x:f>IF(B2239="","",IF(AND(ISNUMBER(SEARCH("平",B2239)),OR(ISNUMBER(SEARCH("上",B2239)),ISNUMBER(SEARCH("去",B2239)),ISNUMBER(SEARCH("入",B2239)))),"Ambiguous",IF(ISNUMBER(SEARCH("平",B2239)),"平","仄")))</x:f>
      </x:c>
      <x:c r="K2239" s="6" t="str">
        <x:f>IF(D2239="","",IF(AND(ISNUMBER(SEARCH("平",D2239)),OR(ISNUMBER(SEARCH("上",D2239)),ISNUMBER(SEARCH("去",D2239)),ISNUMBER(SEARCH("入",D2239)))),"Ambiguous",IF(ISNUMBER(SEARCH("平",D2239)),"平","仄")))</x:f>
        <x:v>Ambiguous</x:v>
      </x:c>
      <x:c r="L2239" s="7" t="str"/>
    </x:row>
    <x:row r="2240">
      <x:c r="A2240" s="5" t="str">
        <x:v>湆</x:v>
      </x:c>
      <x:c r="B2240" s="6" t="str">
        <x:v>入</x:v>
      </x:c>
      <x:c r="C2240" s="6" t="str">
        <x:f>IF(B2240="","Needs decision","Ready")</x:f>
        <x:v>Ready</x:v>
      </x:c>
      <x:c r="D2240" s="6" t="str">
        <x:v>入</x:v>
      </x:c>
      <x:c r="E2240" s="6" t="str">
        <x:v>khip (D)</x:v>
      </x:c>
      <x:c r="F2240" s="6" t="str"/>
      <x:c r="G2240" s="6" t="str"/>
      <x:c r="H2240" s="6" t="str">
        <x:v>1</x:v>
      </x:c>
      <x:c r="I2240" s="6" t="str"/>
      <x:c r="J2240" s="6" t="str">
        <x:f>IF(B2240="","",IF(AND(ISNUMBER(SEARCH("平",B2240)),OR(ISNUMBER(SEARCH("上",B2240)),ISNUMBER(SEARCH("去",B2240)),ISNUMBER(SEARCH("入",B2240)))),"Ambiguous",IF(ISNUMBER(SEARCH("平",B2240)),"平","仄")))</x:f>
        <x:v>仄</x:v>
      </x:c>
      <x:c r="K2240" s="6" t="str">
        <x:f>IF(D2240="","",IF(AND(ISNUMBER(SEARCH("平",D2240)),OR(ISNUMBER(SEARCH("上",D2240)),ISNUMBER(SEARCH("去",D2240)),ISNUMBER(SEARCH("入",D2240)))),"Ambiguous",IF(ISNUMBER(SEARCH("平",D2240)),"平","仄")))</x:f>
        <x:v>仄</x:v>
      </x:c>
      <x:c r="L2240" s="7" t="str"/>
    </x:row>
    <x:row r="2241">
      <x:c r="A2241" s="5" t="str">
        <x:v>湊</x:v>
      </x:c>
      <x:c r="B2241" s="6" t="str">
        <x:v>去</x:v>
      </x:c>
      <x:c r="C2241" s="6" t="str">
        <x:f>IF(B2241="","Needs decision","Ready")</x:f>
        <x:v>Ready</x:v>
      </x:c>
      <x:c r="D2241" s="6" t="str">
        <x:v>去</x:v>
      </x:c>
      <x:c r="E2241" s="6" t="str">
        <x:v>tshuwH [t̙s̙ʰuh] (去)</x:v>
      </x:c>
      <x:c r="F2241" s="6" t="str">
        <x:v>去聲二十六宥</x:v>
      </x:c>
      <x:c r="G2241" s="6" t="str">
        <x:v>Pingshui main list, Wikisource-derived DOCX</x:v>
      </x:c>
      <x:c r="H2241" s="6" t="str">
        <x:v>1</x:v>
      </x:c>
      <x:c r="I2241" s="6" t="str">
        <x:v>Tang 300 gap; frequency 1; provisional from Xun Gong</x:v>
      </x:c>
      <x:c r="J2241" s="6" t="str">
        <x:f>IF(B2241="","",IF(AND(ISNUMBER(SEARCH("平",B2241)),OR(ISNUMBER(SEARCH("上",B2241)),ISNUMBER(SEARCH("去",B2241)),ISNUMBER(SEARCH("入",B2241)))),"Ambiguous",IF(ISNUMBER(SEARCH("平",B2241)),"平","仄")))</x:f>
        <x:v>仄</x:v>
      </x:c>
      <x:c r="K2241" s="6" t="str">
        <x:f>IF(D2241="","",IF(AND(ISNUMBER(SEARCH("平",D2241)),OR(ISNUMBER(SEARCH("上",D2241)),ISNUMBER(SEARCH("去",D2241)),ISNUMBER(SEARCH("入",D2241)))),"Ambiguous",IF(ISNUMBER(SEARCH("平",D2241)),"平","仄")))</x:f>
        <x:v>仄</x:v>
      </x:c>
      <x:c r="L2241" s="7" t="str">
        <x:v>Xun Gong, Tang 300 gap fill</x:v>
      </x:c>
    </x:row>
    <x:row r="2242">
      <x:c r="A2242" s="5" t="str">
        <x:v>湍</x:v>
      </x:c>
      <x:c r="B2242" s="6" t="str">
        <x:v>平</x:v>
      </x:c>
      <x:c r="C2242" s="6" t="str">
        <x:f>IF(B2242="","Needs decision","Ready")</x:f>
        <x:v>Ready</x:v>
      </x:c>
      <x:c r="D2242" s="6" t="str">
        <x:v>平</x:v>
      </x:c>
      <x:c r="E2242" s="6" t="str">
        <x:v>thwan (A)</x:v>
      </x:c>
      <x:c r="F2242" s="6" t="str">
        <x:v>上平聲十四寒</x:v>
      </x:c>
      <x:c r="G2242" s="6" t="str">
        <x:v>Pingshui main list, Wikisource-derived DOCX</x:v>
      </x:c>
      <x:c r="H2242" s="6" t="str">
        <x:v>1</x:v>
      </x:c>
      <x:c r="I2242" s="6" t="str"/>
      <x:c r="J2242" s="6" t="str">
        <x:f>IF(B2242="","",IF(AND(ISNUMBER(SEARCH("平",B2242)),OR(ISNUMBER(SEARCH("上",B2242)),ISNUMBER(SEARCH("去",B2242)),ISNUMBER(SEARCH("入",B2242)))),"Ambiguous",IF(ISNUMBER(SEARCH("平",B2242)),"平","仄")))</x:f>
        <x:v>平</x:v>
      </x:c>
      <x:c r="K2242" s="6" t="str">
        <x:f>IF(D2242="","",IF(AND(ISNUMBER(SEARCH("平",D2242)),OR(ISNUMBER(SEARCH("上",D2242)),ISNUMBER(SEARCH("去",D2242)),ISNUMBER(SEARCH("入",D2242)))),"Ambiguous",IF(ISNUMBER(SEARCH("平",D2242)),"平","仄")))</x:f>
        <x:v>平</x:v>
      </x:c>
      <x:c r="L2242" s="7" t="str"/>
    </x:row>
    <x:row r="2243">
      <x:c r="A2243" s="5" t="str">
        <x:v>湎</x:v>
      </x:c>
      <x:c r="B2243" s="6" t="str">
        <x:v>上</x:v>
      </x:c>
      <x:c r="C2243" s="6" t="str">
        <x:f>IF(B2243="","Needs decision","Ready")</x:f>
        <x:v>Ready</x:v>
      </x:c>
      <x:c r="D2243" s="6" t="str">
        <x:v>上</x:v>
      </x:c>
      <x:c r="E2243" s="6" t="str">
        <x:v>mjienX (B)</x:v>
      </x:c>
      <x:c r="F2243" s="6" t="str">
        <x:v>上聲十六銑</x:v>
      </x:c>
      <x:c r="G2243" s="6" t="str">
        <x:v>Pingshui main list, Wikisource-derived DOCX</x:v>
      </x:c>
      <x:c r="H2243" s="6" t="str">
        <x:v>1</x:v>
      </x:c>
      <x:c r="I2243" s="6" t="str"/>
      <x:c r="J2243" s="6" t="str">
        <x:f>IF(B2243="","",IF(AND(ISNUMBER(SEARCH("平",B2243)),OR(ISNUMBER(SEARCH("上",B2243)),ISNUMBER(SEARCH("去",B2243)),ISNUMBER(SEARCH("入",B2243)))),"Ambiguous",IF(ISNUMBER(SEARCH("平",B2243)),"平","仄")))</x:f>
        <x:v>仄</x:v>
      </x:c>
      <x:c r="K2243" s="6" t="str">
        <x:f>IF(D2243="","",IF(AND(ISNUMBER(SEARCH("平",D2243)),OR(ISNUMBER(SEARCH("上",D2243)),ISNUMBER(SEARCH("去",D2243)),ISNUMBER(SEARCH("入",D2243)))),"Ambiguous",IF(ISNUMBER(SEARCH("平",D2243)),"平","仄")))</x:f>
        <x:v>仄</x:v>
      </x:c>
      <x:c r="L2243" s="7" t="str"/>
    </x:row>
    <x:row r="2244">
      <x:c r="A2244" s="5" t="str">
        <x:v>湑</x:v>
      </x:c>
      <x:c r="B2244" s="6" t="str">
        <x:v>上</x:v>
      </x:c>
      <x:c r="C2244" s="6" t="str">
        <x:f>IF(B2244="","Needs decision","Ready")</x:f>
        <x:v>Ready</x:v>
      </x:c>
      <x:c r="D2244" s="6" t="str">
        <x:v>上</x:v>
      </x:c>
      <x:c r="E2244" s="6" t="str">
        <x:v>sjoX (B)</x:v>
      </x:c>
      <x:c r="F2244" s="6" t="str">
        <x:v>上平聲六魚; 上聲六語</x:v>
      </x:c>
      <x:c r="G2244" s="6" t="str">
        <x:v>Pingshui main list, Wikisource-derived DOCX</x:v>
      </x:c>
      <x:c r="H2244" s="6" t="str">
        <x:v>1</x:v>
      </x:c>
      <x:c r="I2244" s="6" t="str"/>
      <x:c r="J2244" s="6" t="str">
        <x:f>IF(B2244="","",IF(AND(ISNUMBER(SEARCH("平",B2244)),OR(ISNUMBER(SEARCH("上",B2244)),ISNUMBER(SEARCH("去",B2244)),ISNUMBER(SEARCH("入",B2244)))),"Ambiguous",IF(ISNUMBER(SEARCH("平",B2244)),"平","仄")))</x:f>
        <x:v>仄</x:v>
      </x:c>
      <x:c r="K2244" s="6" t="str">
        <x:f>IF(D2244="","",IF(AND(ISNUMBER(SEARCH("平",D2244)),OR(ISNUMBER(SEARCH("上",D2244)),ISNUMBER(SEARCH("去",D2244)),ISNUMBER(SEARCH("入",D2244)))),"Ambiguous",IF(ISNUMBER(SEARCH("平",D2244)),"平","仄")))</x:f>
        <x:v>仄</x:v>
      </x:c>
      <x:c r="L2244" s="7" t="str"/>
    </x:row>
    <x:row r="2245">
      <x:c r="A2245" s="5" t="str">
        <x:v>湓</x:v>
      </x:c>
      <x:c r="B2245" s="6" t="str"/>
      <x:c r="C2245" s="6" t="str">
        <x:f>IF(B2245="","Needs decision","Ready")</x:f>
        <x:v>Needs decision</x:v>
      </x:c>
      <x:c r="D2245" s="6" t="str">
        <x:v>平/去</x:v>
      </x:c>
      <x:c r="E2245" s="6" t="str">
        <x:v>bwon [b̙wən] (平); phjunH [pʰɨ̯unh] (去); phwonH [p̙ʰwənh] (去)</x:v>
      </x:c>
      <x:c r="F2245" s="6" t="str">
        <x:v>上平聲十三元</x:v>
      </x:c>
      <x:c r="G2245" s="6" t="str">
        <x:v>Pingshui main list, Wikisource-derived DOCX</x:v>
      </x:c>
      <x:c r="H2245" s="6" t="str">
        <x:v>3</x:v>
      </x:c>
      <x:c r="I2245" s="6" t="str">
        <x:v>Tang 300 gap; frequency 1; ambiguous in Xun Gong</x:v>
      </x:c>
      <x:c r="J2245" s="6" t="str">
        <x:f>IF(B2245="","",IF(AND(ISNUMBER(SEARCH("平",B2245)),OR(ISNUMBER(SEARCH("上",B2245)),ISNUMBER(SEARCH("去",B2245)),ISNUMBER(SEARCH("入",B2245)))),"Ambiguous",IF(ISNUMBER(SEARCH("平",B2245)),"平","仄")))</x:f>
      </x:c>
      <x:c r="K2245" s="6" t="str">
        <x:f>IF(D2245="","",IF(AND(ISNUMBER(SEARCH("平",D2245)),OR(ISNUMBER(SEARCH("上",D2245)),ISNUMBER(SEARCH("去",D2245)),ISNUMBER(SEARCH("入",D2245)))),"Ambiguous",IF(ISNUMBER(SEARCH("平",D2245)),"平","仄")))</x:f>
        <x:v>Ambiguous</x:v>
      </x:c>
      <x:c r="L2245" s="7" t="str">
        <x:v>Xun Gong, Tang 300 gap fill</x:v>
      </x:c>
    </x:row>
    <x:row r="2246">
      <x:c r="A2246" s="5" t="str">
        <x:v>湖</x:v>
      </x:c>
      <x:c r="B2246" s="6" t="str">
        <x:v>平</x:v>
      </x:c>
      <x:c r="C2246" s="6" t="str">
        <x:f>IF(B2246="","Needs decision","Ready")</x:f>
        <x:v>Ready</x:v>
      </x:c>
      <x:c r="D2246" s="6" t="str">
        <x:v>平</x:v>
      </x:c>
      <x:c r="E2246" s="6" t="str">
        <x:v>hu (A)</x:v>
      </x:c>
      <x:c r="F2246" s="6" t="str">
        <x:v>上平聲七虞</x:v>
      </x:c>
      <x:c r="G2246" s="6" t="str">
        <x:v>Pingshui main list, Wikisource-derived DOCX</x:v>
      </x:c>
      <x:c r="H2246" s="6" t="str">
        <x:v>1</x:v>
      </x:c>
      <x:c r="I2246" s="6" t="str"/>
      <x:c r="J2246" s="6" t="str">
        <x:f>IF(B2246="","",IF(AND(ISNUMBER(SEARCH("平",B2246)),OR(ISNUMBER(SEARCH("上",B2246)),ISNUMBER(SEARCH("去",B2246)),ISNUMBER(SEARCH("入",B2246)))),"Ambiguous",IF(ISNUMBER(SEARCH("平",B2246)),"平","仄")))</x:f>
        <x:v>平</x:v>
      </x:c>
      <x:c r="K2246" s="6" t="str">
        <x:f>IF(D2246="","",IF(AND(ISNUMBER(SEARCH("平",D2246)),OR(ISNUMBER(SEARCH("上",D2246)),ISNUMBER(SEARCH("去",D2246)),ISNUMBER(SEARCH("入",D2246)))),"Ambiguous",IF(ISNUMBER(SEARCH("平",D2246)),"平","仄")))</x:f>
        <x:v>平</x:v>
      </x:c>
      <x:c r="L2246" s="7" t="str"/>
    </x:row>
    <x:row r="2247">
      <x:c r="A2247" s="5" t="str">
        <x:v>湘</x:v>
      </x:c>
      <x:c r="B2247" s="6" t="str">
        <x:v>平</x:v>
      </x:c>
      <x:c r="C2247" s="6" t="str">
        <x:f>IF(B2247="","Needs decision","Ready")</x:f>
        <x:v>Ready</x:v>
      </x:c>
      <x:c r="D2247" s="6" t="str">
        <x:v>平</x:v>
      </x:c>
      <x:c r="E2247" s="6" t="str"/>
      <x:c r="F2247" s="6" t="str">
        <x:v>下平聲七陽</x:v>
      </x:c>
      <x:c r="G2247" s="6" t="str">
        <x:v>Pingshui main list, Wikisource-derived DOCX</x:v>
      </x:c>
      <x:c r="H2247" s="6" t="str"/>
      <x:c r="I2247" s="6" t="str">
        <x:v>Manual user correction/addition</x:v>
      </x:c>
      <x:c r="J2247" s="6" t="str">
        <x:f>IF(B2247="","",IF(AND(ISNUMBER(SEARCH("平",B2247)),OR(ISNUMBER(SEARCH("上",B2247)),ISNUMBER(SEARCH("去",B2247)),ISNUMBER(SEARCH("入",B2247)))),"Ambiguous",IF(ISNUMBER(SEARCH("平",B2247)),"平","仄")))</x:f>
        <x:v>平</x:v>
      </x:c>
      <x:c r="K2247" s="6" t="str">
        <x:f>IF(D2247="","",IF(AND(ISNUMBER(SEARCH("平",D2247)),OR(ISNUMBER(SEARCH("上",D2247)),ISNUMBER(SEARCH("去",D2247)),ISNUMBER(SEARCH("入",D2247)))),"Ambiguous",IF(ISNUMBER(SEARCH("平",D2247)),"平","仄")))</x:f>
        <x:v>平</x:v>
      </x:c>
      <x:c r="L2247" s="7" t="str">
        <x:v>manual user correction</x:v>
      </x:c>
    </x:row>
    <x:row r="2248">
      <x:c r="A2248" s="5" t="str">
        <x:v>湛</x:v>
      </x:c>
      <x:c r="B2248" s="6" t="str">
        <x:v>上</x:v>
      </x:c>
      <x:c r="C2248" s="6" t="str">
        <x:f>IF(B2248="","Needs decision","Ready")</x:f>
        <x:v>Ready</x:v>
      </x:c>
      <x:c r="D2248" s="6" t="str">
        <x:v>平/上</x:v>
      </x:c>
      <x:c r="E2248" s="6" t="str">
        <x:v>tom [端開一覃平] t̙əm; dreamX [澄開二咸上] ɖeˤmʔ; drim [澄開三侵平] ɖim</x:v>
      </x:c>
      <x:c r="F2248" s="6" t="str">
        <x:v>下平聲十二侵; 下平聲十三覃; 上聲二十九豏</x:v>
      </x:c>
      <x:c r="G2248" s="6" t="str">
        <x:v>Pingshui main list, Wikisource-derived DOCX</x:v>
      </x:c>
      <x:c r="H2248" s="6" t="str">
        <x:v>3</x:v>
      </x:c>
      <x:c r="I2248" s="6" t="str">
        <x:v>Targeted preliminary fill from Xun Gong; review if uncertain</x:v>
      </x:c>
      <x:c r="J2248" s="6" t="str">
        <x:f>IF(B2248="","",IF(AND(ISNUMBER(SEARCH("平",B2248)),OR(ISNUMBER(SEARCH("上",B2248)),ISNUMBER(SEARCH("去",B2248)),ISNUMBER(SEARCH("入",B2248)))),"Ambiguous",IF(ISNUMBER(SEARCH("平",B2248)),"平","仄")))</x:f>
        <x:v>仄</x:v>
      </x:c>
      <x:c r="K2248" s="6" t="str">
        <x:f>IF(D2248="","",IF(AND(ISNUMBER(SEARCH("平",D2248)),OR(ISNUMBER(SEARCH("上",D2248)),ISNUMBER(SEARCH("去",D2248)),ISNUMBER(SEARCH("入",D2248)))),"Ambiguous",IF(ISNUMBER(SEARCH("平",D2248)),"平","仄")))</x:f>
        <x:v>Ambiguous</x:v>
      </x:c>
      <x:c r="L2248" s="7" t="str">
        <x:v>Xun Gong character-readings.csv</x:v>
      </x:c>
    </x:row>
    <x:row r="2249">
      <x:c r="A2249" s="5" t="str">
        <x:v>湝</x:v>
      </x:c>
      <x:c r="B2249" s="6" t="str">
        <x:v>平</x:v>
      </x:c>
      <x:c r="C2249" s="6" t="str">
        <x:f>IF(B2249="","Needs decision","Ready")</x:f>
        <x:v>Ready</x:v>
      </x:c>
      <x:c r="D2249" s="6" t="str">
        <x:v>平</x:v>
      </x:c>
      <x:c r="E2249" s="6" t="str">
        <x:v>heaj (A)</x:v>
      </x:c>
      <x:c r="F2249" s="6" t="str">
        <x:v>上平聲九佳</x:v>
      </x:c>
      <x:c r="G2249" s="6" t="str">
        <x:v>Pingshui main list, Wikisource-derived DOCX</x:v>
      </x:c>
      <x:c r="H2249" s="6" t="str">
        <x:v>1</x:v>
      </x:c>
      <x:c r="I2249" s="6" t="str"/>
      <x:c r="J2249" s="6" t="str">
        <x:f>IF(B2249="","",IF(AND(ISNUMBER(SEARCH("平",B2249)),OR(ISNUMBER(SEARCH("上",B2249)),ISNUMBER(SEARCH("去",B2249)),ISNUMBER(SEARCH("入",B2249)))),"Ambiguous",IF(ISNUMBER(SEARCH("平",B2249)),"平","仄")))</x:f>
        <x:v>平</x:v>
      </x:c>
      <x:c r="K2249" s="6" t="str">
        <x:f>IF(D2249="","",IF(AND(ISNUMBER(SEARCH("平",D2249)),OR(ISNUMBER(SEARCH("上",D2249)),ISNUMBER(SEARCH("去",D2249)),ISNUMBER(SEARCH("入",D2249)))),"Ambiguous",IF(ISNUMBER(SEARCH("平",D2249)),"平","仄")))</x:f>
        <x:v>平</x:v>
      </x:c>
      <x:c r="L2249" s="7" t="str"/>
    </x:row>
    <x:row r="2250">
      <x:c r="A2250" s="5" t="str">
        <x:v>湯</x:v>
      </x:c>
      <x:c r="B2250" s="6" t="str">
        <x:v>平</x:v>
      </x:c>
      <x:c r="C2250" s="6" t="str">
        <x:f>IF(B2250="","Needs decision","Ready")</x:f>
        <x:v>Ready</x:v>
      </x:c>
      <x:c r="D2250" s="6" t="str">
        <x:v>平</x:v>
      </x:c>
      <x:c r="E2250" s="6" t="str">
        <x:v>syang (A); thang (A)</x:v>
      </x:c>
      <x:c r="F2250" s="6" t="str">
        <x:v>下平聲七陽; 去聲二十三漾</x:v>
      </x:c>
      <x:c r="G2250" s="6" t="str">
        <x:v>Pingshui main list, Wikisource-derived DOCX</x:v>
      </x:c>
      <x:c r="H2250" s="6" t="str">
        <x:v>2</x:v>
      </x:c>
      <x:c r="I2250" s="6" t="str"/>
      <x:c r="J2250" s="6" t="str">
        <x:f>IF(B2250="","",IF(AND(ISNUMBER(SEARCH("平",B2250)),OR(ISNUMBER(SEARCH("上",B2250)),ISNUMBER(SEARCH("去",B2250)),ISNUMBER(SEARCH("入",B2250)))),"Ambiguous",IF(ISNUMBER(SEARCH("平",B2250)),"平","仄")))</x:f>
        <x:v>平</x:v>
      </x:c>
      <x:c r="K2250" s="6" t="str">
        <x:f>IF(D2250="","",IF(AND(ISNUMBER(SEARCH("平",D2250)),OR(ISNUMBER(SEARCH("上",D2250)),ISNUMBER(SEARCH("去",D2250)),ISNUMBER(SEARCH("入",D2250)))),"Ambiguous",IF(ISNUMBER(SEARCH("平",D2250)),"平","仄")))</x:f>
        <x:v>平</x:v>
      </x:c>
      <x:c r="L2250" s="7" t="str"/>
    </x:row>
    <x:row r="2251">
      <x:c r="A2251" s="5" t="str">
        <x:v>湲</x:v>
      </x:c>
      <x:c r="B2251" s="6" t="str">
        <x:v>平</x:v>
      </x:c>
      <x:c r="C2251" s="6" t="str">
        <x:f>IF(B2251="","Needs decision","Ready")</x:f>
        <x:v>Ready</x:v>
      </x:c>
      <x:c r="D2251" s="6" t="str">
        <x:v>平</x:v>
      </x:c>
      <x:c r="E2251" s="6" t="str"/>
      <x:c r="F2251" s="6" t="str">
        <x:v>上平聲十三元; 上平聲十五刪; 下平聲一先</x:v>
      </x:c>
      <x:c r="G2251" s="6" t="str">
        <x:v>Pingshui main list, Wikisource-derived DOCX</x:v>
      </x:c>
      <x:c r="H2251" s="6" t="str"/>
      <x:c r="I2251" s="6" t="str">
        <x:v>Manual user correction/addition</x:v>
      </x:c>
      <x:c r="J2251" s="6" t="str">
        <x:f>IF(B2251="","",IF(AND(ISNUMBER(SEARCH("平",B2251)),OR(ISNUMBER(SEARCH("上",B2251)),ISNUMBER(SEARCH("去",B2251)),ISNUMBER(SEARCH("入",B2251)))),"Ambiguous",IF(ISNUMBER(SEARCH("平",B2251)),"平","仄")))</x:f>
        <x:v>平</x:v>
      </x:c>
      <x:c r="K2251" s="6" t="str">
        <x:f>IF(D2251="","",IF(AND(ISNUMBER(SEARCH("平",D2251)),OR(ISNUMBER(SEARCH("上",D2251)),ISNUMBER(SEARCH("去",D2251)),ISNUMBER(SEARCH("入",D2251)))),"Ambiguous",IF(ISNUMBER(SEARCH("平",D2251)),"平","仄")))</x:f>
        <x:v>平</x:v>
      </x:c>
      <x:c r="L2251" s="7" t="str">
        <x:v>manual user correction</x:v>
      </x:c>
    </x:row>
    <x:row r="2252">
      <x:c r="A2252" s="5" t="str">
        <x:v>溉</x:v>
      </x:c>
      <x:c r="B2252" s="6" t="str">
        <x:v>去</x:v>
      </x:c>
      <x:c r="C2252" s="6" t="str">
        <x:f>IF(B2252="","Needs decision","Ready")</x:f>
        <x:v>Ready</x:v>
      </x:c>
      <x:c r="D2252" s="6" t="str">
        <x:v>去</x:v>
      </x:c>
      <x:c r="E2252" s="6" t="str">
        <x:v>kojH (C)</x:v>
      </x:c>
      <x:c r="F2252" s="6" t="str">
        <x:v>去聲五未; 去聲十一隊</x:v>
      </x:c>
      <x:c r="G2252" s="6" t="str">
        <x:v>Pingshui main list, Wikisource-derived DOCX</x:v>
      </x:c>
      <x:c r="H2252" s="6" t="str">
        <x:v>1</x:v>
      </x:c>
      <x:c r="I2252" s="6" t="str"/>
      <x:c r="J2252" s="6" t="str">
        <x:f>IF(B2252="","",IF(AND(ISNUMBER(SEARCH("平",B2252)),OR(ISNUMBER(SEARCH("上",B2252)),ISNUMBER(SEARCH("去",B2252)),ISNUMBER(SEARCH("入",B2252)))),"Ambiguous",IF(ISNUMBER(SEARCH("平",B2252)),"平","仄")))</x:f>
        <x:v>仄</x:v>
      </x:c>
      <x:c r="K2252" s="6" t="str">
        <x:f>IF(D2252="","",IF(AND(ISNUMBER(SEARCH("平",D2252)),OR(ISNUMBER(SEARCH("上",D2252)),ISNUMBER(SEARCH("去",D2252)),ISNUMBER(SEARCH("入",D2252)))),"Ambiguous",IF(ISNUMBER(SEARCH("平",D2252)),"平","仄")))</x:f>
        <x:v>仄</x:v>
      </x:c>
      <x:c r="L2252" s="7" t="str"/>
    </x:row>
    <x:row r="2253">
      <x:c r="A2253" s="5" t="str">
        <x:v>源</x:v>
      </x:c>
      <x:c r="B2253" s="6" t="str">
        <x:v>平</x:v>
      </x:c>
      <x:c r="C2253" s="6" t="str">
        <x:f>IF(B2253="","Needs decision","Ready")</x:f>
        <x:v>Ready</x:v>
      </x:c>
      <x:c r="D2253" s="6" t="str">
        <x:v>平</x:v>
      </x:c>
      <x:c r="E2253" s="6" t="str">
        <x:v>ngjwon (A)</x:v>
      </x:c>
      <x:c r="F2253" s="6" t="str">
        <x:v>上平聲十三元</x:v>
      </x:c>
      <x:c r="G2253" s="6" t="str">
        <x:v>Pingshui main list, Wikisource-derived DOCX</x:v>
      </x:c>
      <x:c r="H2253" s="6" t="str">
        <x:v>1</x:v>
      </x:c>
      <x:c r="I2253" s="6" t="str"/>
      <x:c r="J2253" s="6" t="str">
        <x:f>IF(B2253="","",IF(AND(ISNUMBER(SEARCH("平",B2253)),OR(ISNUMBER(SEARCH("上",B2253)),ISNUMBER(SEARCH("去",B2253)),ISNUMBER(SEARCH("入",B2253)))),"Ambiguous",IF(ISNUMBER(SEARCH("平",B2253)),"平","仄")))</x:f>
        <x:v>平</x:v>
      </x:c>
      <x:c r="K2253" s="6" t="str">
        <x:f>IF(D2253="","",IF(AND(ISNUMBER(SEARCH("平",D2253)),OR(ISNUMBER(SEARCH("上",D2253)),ISNUMBER(SEARCH("去",D2253)),ISNUMBER(SEARCH("入",D2253)))),"Ambiguous",IF(ISNUMBER(SEARCH("平",D2253)),"平","仄")))</x:f>
        <x:v>平</x:v>
      </x:c>
      <x:c r="L2253" s="7" t="str"/>
    </x:row>
    <x:row r="2254">
      <x:c r="A2254" s="5" t="str">
        <x:v>準</x:v>
      </x:c>
      <x:c r="B2254" s="6" t="str">
        <x:v>上</x:v>
      </x:c>
      <x:c r="C2254" s="6" t="str">
        <x:f>IF(B2254="","Needs decision","Ready")</x:f>
        <x:v>Ready</x:v>
      </x:c>
      <x:c r="D2254" s="6" t="str">
        <x:v>上</x:v>
      </x:c>
      <x:c r="E2254" s="6" t="str">
        <x:v>tsywinX (B)</x:v>
      </x:c>
      <x:c r="F2254" s="6" t="str">
        <x:v>上聲十一軫; 入聲九屑</x:v>
      </x:c>
      <x:c r="G2254" s="6" t="str">
        <x:v>Pingshui main list, Wikisource-derived DOCX</x:v>
      </x:c>
      <x:c r="H2254" s="6" t="str">
        <x:v>1</x:v>
      </x:c>
      <x:c r="I2254" s="6" t="str"/>
      <x:c r="J2254" s="6" t="str">
        <x:f>IF(B2254="","",IF(AND(ISNUMBER(SEARCH("平",B2254)),OR(ISNUMBER(SEARCH("上",B2254)),ISNUMBER(SEARCH("去",B2254)),ISNUMBER(SEARCH("入",B2254)))),"Ambiguous",IF(ISNUMBER(SEARCH("平",B2254)),"平","仄")))</x:f>
        <x:v>仄</x:v>
      </x:c>
      <x:c r="K2254" s="6" t="str">
        <x:f>IF(D2254="","",IF(AND(ISNUMBER(SEARCH("平",D2254)),OR(ISNUMBER(SEARCH("上",D2254)),ISNUMBER(SEARCH("去",D2254)),ISNUMBER(SEARCH("入",D2254)))),"Ambiguous",IF(ISNUMBER(SEARCH("平",D2254)),"平","仄")))</x:f>
        <x:v>仄</x:v>
      </x:c>
      <x:c r="L2254" s="7" t="str"/>
    </x:row>
    <x:row r="2255">
      <x:c r="A2255" s="5" t="str">
        <x:v>溜</x:v>
      </x:c>
      <x:c r="B2255" s="6" t="str">
        <x:v>去</x:v>
      </x:c>
      <x:c r="C2255" s="6" t="str">
        <x:f>IF(B2255="","Needs decision","Ready")</x:f>
        <x:v>Ready</x:v>
      </x:c>
      <x:c r="D2255" s="6" t="str">
        <x:v>去</x:v>
      </x:c>
      <x:c r="E2255" s="6" t="str">
        <x:v>ljuwH [ljuh] (去)</x:v>
      </x:c>
      <x:c r="F2255" s="6" t="str">
        <x:v>去聲二十六宥</x:v>
      </x:c>
      <x:c r="G2255" s="6" t="str">
        <x:v>Pingshui main list, Wikisource-derived DOCX</x:v>
      </x:c>
      <x:c r="H2255" s="6" t="str">
        <x:v>1</x:v>
      </x:c>
      <x:c r="I2255" s="6" t="str">
        <x:v>Tang 300 gap; frequency 1; provisional from Xun Gong</x:v>
      </x:c>
      <x:c r="J2255" s="6" t="str">
        <x:f>IF(B2255="","",IF(AND(ISNUMBER(SEARCH("平",B2255)),OR(ISNUMBER(SEARCH("上",B2255)),ISNUMBER(SEARCH("去",B2255)),ISNUMBER(SEARCH("入",B2255)))),"Ambiguous",IF(ISNUMBER(SEARCH("平",B2255)),"平","仄")))</x:f>
        <x:v>仄</x:v>
      </x:c>
      <x:c r="K2255" s="6" t="str">
        <x:f>IF(D2255="","",IF(AND(ISNUMBER(SEARCH("平",D2255)),OR(ISNUMBER(SEARCH("上",D2255)),ISNUMBER(SEARCH("去",D2255)),ISNUMBER(SEARCH("入",D2255)))),"Ambiguous",IF(ISNUMBER(SEARCH("平",D2255)),"平","仄")))</x:f>
        <x:v>仄</x:v>
      </x:c>
      <x:c r="L2255" s="7" t="str">
        <x:v>Xun Gong, Tang 300 gap fill</x:v>
      </x:c>
    </x:row>
    <x:row r="2256">
      <x:c r="A2256" s="5" t="str">
        <x:v>溝</x:v>
      </x:c>
      <x:c r="B2256" s="6" t="str">
        <x:v>平</x:v>
      </x:c>
      <x:c r="C2256" s="6" t="str">
        <x:f>IF(B2256="","Needs decision","Ready")</x:f>
        <x:v>Ready</x:v>
      </x:c>
      <x:c r="D2256" s="6" t="str">
        <x:v>平</x:v>
      </x:c>
      <x:c r="E2256" s="6" t="str">
        <x:v>kuw (A)</x:v>
      </x:c>
      <x:c r="F2256" s="6" t="str">
        <x:v>下平聲十一尤</x:v>
      </x:c>
      <x:c r="G2256" s="6" t="str">
        <x:v>Pingshui main list, Wikisource-derived DOCX</x:v>
      </x:c>
      <x:c r="H2256" s="6" t="str">
        <x:v>1</x:v>
      </x:c>
      <x:c r="I2256" s="6" t="str"/>
      <x:c r="J2256" s="6" t="str">
        <x:f>IF(B2256="","",IF(AND(ISNUMBER(SEARCH("平",B2256)),OR(ISNUMBER(SEARCH("上",B2256)),ISNUMBER(SEARCH("去",B2256)),ISNUMBER(SEARCH("入",B2256)))),"Ambiguous",IF(ISNUMBER(SEARCH("平",B2256)),"平","仄")))</x:f>
        <x:v>平</x:v>
      </x:c>
      <x:c r="K2256" s="6" t="str">
        <x:f>IF(D2256="","",IF(AND(ISNUMBER(SEARCH("平",D2256)),OR(ISNUMBER(SEARCH("上",D2256)),ISNUMBER(SEARCH("去",D2256)),ISNUMBER(SEARCH("入",D2256)))),"Ambiguous",IF(ISNUMBER(SEARCH("平",D2256)),"平","仄")))</x:f>
        <x:v>平</x:v>
      </x:c>
      <x:c r="L2256" s="7" t="str"/>
    </x:row>
    <x:row r="2257">
      <x:c r="A2257" s="5" t="str">
        <x:v>溢</x:v>
      </x:c>
      <x:c r="B2257" s="6" t="str">
        <x:v>入</x:v>
      </x:c>
      <x:c r="C2257" s="6" t="str">
        <x:f>IF(B2257="","Needs decision","Ready")</x:f>
        <x:v>Ready</x:v>
      </x:c>
      <x:c r="D2257" s="6" t="str">
        <x:v>入</x:v>
      </x:c>
      <x:c r="E2257" s="6" t="str">
        <x:v>yit (D)</x:v>
      </x:c>
      <x:c r="F2257" s="6" t="str">
        <x:v>入聲四質</x:v>
      </x:c>
      <x:c r="G2257" s="6" t="str">
        <x:v>Pingshui main list, Wikisource-derived DOCX</x:v>
      </x:c>
      <x:c r="H2257" s="6" t="str">
        <x:v>1</x:v>
      </x:c>
      <x:c r="I2257" s="6" t="str"/>
      <x:c r="J2257" s="6" t="str">
        <x:f>IF(B2257="","",IF(AND(ISNUMBER(SEARCH("平",B2257)),OR(ISNUMBER(SEARCH("上",B2257)),ISNUMBER(SEARCH("去",B2257)),ISNUMBER(SEARCH("入",B2257)))),"Ambiguous",IF(ISNUMBER(SEARCH("平",B2257)),"平","仄")))</x:f>
        <x:v>仄</x:v>
      </x:c>
      <x:c r="K2257" s="6" t="str">
        <x:f>IF(D2257="","",IF(AND(ISNUMBER(SEARCH("平",D2257)),OR(ISNUMBER(SEARCH("上",D2257)),ISNUMBER(SEARCH("去",D2257)),ISNUMBER(SEARCH("入",D2257)))),"Ambiguous",IF(ISNUMBER(SEARCH("平",D2257)),"平","仄")))</x:f>
        <x:v>仄</x:v>
      </x:c>
      <x:c r="L2257" s="7" t="str"/>
    </x:row>
    <x:row r="2258">
      <x:c r="A2258" s="5" t="str">
        <x:v>溥</x:v>
      </x:c>
      <x:c r="B2258" s="6" t="str">
        <x:v>上</x:v>
      </x:c>
      <x:c r="C2258" s="6" t="str">
        <x:f>IF(B2258="","Needs decision","Ready")</x:f>
        <x:v>Ready</x:v>
      </x:c>
      <x:c r="D2258" s="6" t="str">
        <x:v>上</x:v>
      </x:c>
      <x:c r="E2258" s="6" t="str"/>
      <x:c r="F2258" s="6" t="str">
        <x:v>上聲七麌</x:v>
      </x:c>
      <x:c r="G2258" s="6" t="str">
        <x:v>Pingshui main list, Wikisource-derived DOCX</x:v>
      </x:c>
      <x:c r="H2258" s="6" t="str"/>
      <x:c r="I2258" s="6" t="str">
        <x:v>Manual user correction/addition</x:v>
      </x:c>
      <x:c r="J2258" s="6" t="str">
        <x:f>IF(B2258="","",IF(AND(ISNUMBER(SEARCH("平",B2258)),OR(ISNUMBER(SEARCH("上",B2258)),ISNUMBER(SEARCH("去",B2258)),ISNUMBER(SEARCH("入",B2258)))),"Ambiguous",IF(ISNUMBER(SEARCH("平",B2258)),"平","仄")))</x:f>
        <x:v>仄</x:v>
      </x:c>
      <x:c r="K2258" s="6" t="str">
        <x:f>IF(D2258="","",IF(AND(ISNUMBER(SEARCH("平",D2258)),OR(ISNUMBER(SEARCH("上",D2258)),ISNUMBER(SEARCH("去",D2258)),ISNUMBER(SEARCH("入",D2258)))),"Ambiguous",IF(ISNUMBER(SEARCH("平",D2258)),"平","仄")))</x:f>
        <x:v>仄</x:v>
      </x:c>
      <x:c r="L2258" s="7" t="str">
        <x:v>manual user correction</x:v>
      </x:c>
    </x:row>
    <x:row r="2259">
      <x:c r="A2259" s="5" t="str">
        <x:v>溪</x:v>
      </x:c>
      <x:c r="B2259" s="6" t="str">
        <x:v>平</x:v>
      </x:c>
      <x:c r="C2259" s="6" t="str">
        <x:f>IF(B2259="","Needs decision","Ready")</x:f>
        <x:v>Ready</x:v>
      </x:c>
      <x:c r="D2259" s="6" t="str">
        <x:v>平</x:v>
      </x:c>
      <x:c r="E2259" s="6" t="str">
        <x:v>khej (A)</x:v>
      </x:c>
      <x:c r="F2259" s="6" t="str"/>
      <x:c r="G2259" s="6" t="str"/>
      <x:c r="H2259" s="6" t="str">
        <x:v>1</x:v>
      </x:c>
      <x:c r="I2259" s="6" t="str"/>
      <x:c r="J2259" s="6" t="str">
        <x:f>IF(B2259="","",IF(AND(ISNUMBER(SEARCH("平",B2259)),OR(ISNUMBER(SEARCH("上",B2259)),ISNUMBER(SEARCH("去",B2259)),ISNUMBER(SEARCH("入",B2259)))),"Ambiguous",IF(ISNUMBER(SEARCH("平",B2259)),"平","仄")))</x:f>
        <x:v>平</x:v>
      </x:c>
      <x:c r="K2259" s="6" t="str">
        <x:f>IF(D2259="","",IF(AND(ISNUMBER(SEARCH("平",D2259)),OR(ISNUMBER(SEARCH("上",D2259)),ISNUMBER(SEARCH("去",D2259)),ISNUMBER(SEARCH("入",D2259)))),"Ambiguous",IF(ISNUMBER(SEARCH("平",D2259)),"平","仄")))</x:f>
        <x:v>平</x:v>
      </x:c>
      <x:c r="L2259" s="7" t="str"/>
    </x:row>
    <x:row r="2260">
      <x:c r="A2260" s="5" t="str">
        <x:v>溫</x:v>
      </x:c>
      <x:c r="B2260" s="6" t="str">
        <x:v>平</x:v>
      </x:c>
      <x:c r="C2260" s="6" t="str">
        <x:f>IF(B2260="","Needs decision","Ready")</x:f>
        <x:v>Ready</x:v>
      </x:c>
      <x:c r="D2260" s="6" t="str">
        <x:v>平</x:v>
      </x:c>
      <x:c r="E2260" s="6" t="str">
        <x:v>'won [ʔ̙wən] (平)</x:v>
      </x:c>
      <x:c r="F2260" s="6" t="str">
        <x:v>上平聲十三元</x:v>
      </x:c>
      <x:c r="G2260" s="6" t="str">
        <x:v>Pingshui main list, Wikisource-derived DOCX</x:v>
      </x:c>
      <x:c r="H2260" s="6" t="str">
        <x:v>1</x:v>
      </x:c>
      <x:c r="I2260" s="6" t="str">
        <x:v>Tang 300 gap; frequency 1; provisional from Xun Gong</x:v>
      </x:c>
      <x:c r="J2260" s="6" t="str">
        <x:f>IF(B2260="","",IF(AND(ISNUMBER(SEARCH("平",B2260)),OR(ISNUMBER(SEARCH("上",B2260)),ISNUMBER(SEARCH("去",B2260)),ISNUMBER(SEARCH("入",B2260)))),"Ambiguous",IF(ISNUMBER(SEARCH("平",B2260)),"平","仄")))</x:f>
        <x:v>平</x:v>
      </x:c>
      <x:c r="K2260" s="6" t="str">
        <x:f>IF(D2260="","",IF(AND(ISNUMBER(SEARCH("平",D2260)),OR(ISNUMBER(SEARCH("上",D2260)),ISNUMBER(SEARCH("去",D2260)),ISNUMBER(SEARCH("入",D2260)))),"Ambiguous",IF(ISNUMBER(SEARCH("平",D2260)),"平","仄")))</x:f>
        <x:v>平</x:v>
      </x:c>
      <x:c r="L2260" s="7" t="str">
        <x:v>Xun Gong, Tang 300 gap fill</x:v>
      </x:c>
    </x:row>
    <x:row r="2261">
      <x:c r="A2261" s="5" t="str">
        <x:v>溶</x:v>
      </x:c>
      <x:c r="B2261" s="6" t="str">
        <x:v>平</x:v>
      </x:c>
      <x:c r="C2261" s="6" t="str">
        <x:f>IF(B2261="","Needs decision","Ready")</x:f>
        <x:v>Ready</x:v>
      </x:c>
      <x:c r="D2261" s="6" t="str">
        <x:v>平</x:v>
      </x:c>
      <x:c r="E2261" s="6" t="str"/>
      <x:c r="F2261" s="6" t="str">
        <x:v>上平聲二冬; 上聲二腫</x:v>
      </x:c>
      <x:c r="G2261" s="6" t="str">
        <x:v>Pingshui main list, Wikisource-derived DOCX</x:v>
      </x:c>
      <x:c r="H2261" s="6" t="str"/>
      <x:c r="I2261" s="6" t="str">
        <x:v>Manual user correction/addition</x:v>
      </x:c>
      <x:c r="J2261" s="6" t="str">
        <x:f>IF(B2261="","",IF(AND(ISNUMBER(SEARCH("平",B2261)),OR(ISNUMBER(SEARCH("上",B2261)),ISNUMBER(SEARCH("去",B2261)),ISNUMBER(SEARCH("入",B2261)))),"Ambiguous",IF(ISNUMBER(SEARCH("平",B2261)),"平","仄")))</x:f>
        <x:v>平</x:v>
      </x:c>
      <x:c r="K2261" s="6" t="str">
        <x:f>IF(D2261="","",IF(AND(ISNUMBER(SEARCH("平",D2261)),OR(ISNUMBER(SEARCH("上",D2261)),ISNUMBER(SEARCH("去",D2261)),ISNUMBER(SEARCH("入",D2261)))),"Ambiguous",IF(ISNUMBER(SEARCH("平",D2261)),"平","仄")))</x:f>
        <x:v>平</x:v>
      </x:c>
      <x:c r="L2261" s="7" t="str">
        <x:v>manual user correction</x:v>
      </x:c>
    </x:row>
    <x:row r="2262">
      <x:c r="A2262" s="5" t="str">
        <x:v>溺</x:v>
      </x:c>
      <x:c r="B2262" s="6" t="str">
        <x:v>去</x:v>
      </x:c>
      <x:c r="C2262" s="6" t="str">
        <x:f>IF(B2262="","Needs decision","Ready")</x:f>
        <x:v>Ready</x:v>
      </x:c>
      <x:c r="D2262" s="6" t="str">
        <x:v>去/入</x:v>
      </x:c>
      <x:c r="E2262" s="6" t="str">
        <x:v>nek (D); newH (C)</x:v>
      </x:c>
      <x:c r="F2262" s="6" t="str">
        <x:v>入聲十二錫</x:v>
      </x:c>
      <x:c r="G2262" s="6" t="str">
        <x:v>Pingshui main list, Wikisource-derived DOCX</x:v>
      </x:c>
      <x:c r="H2262" s="6" t="str">
        <x:v>2</x:v>
      </x:c>
      <x:c r="I2262" s="6" t="str"/>
      <x:c r="J2262" s="6" t="str">
        <x:f>IF(B2262="","",IF(AND(ISNUMBER(SEARCH("平",B2262)),OR(ISNUMBER(SEARCH("上",B2262)),ISNUMBER(SEARCH("去",B2262)),ISNUMBER(SEARCH("入",B2262)))),"Ambiguous",IF(ISNUMBER(SEARCH("平",B2262)),"平","仄")))</x:f>
        <x:v>仄</x:v>
      </x:c>
      <x:c r="K2262" s="6" t="str">
        <x:f>IF(D2262="","",IF(AND(ISNUMBER(SEARCH("平",D2262)),OR(ISNUMBER(SEARCH("上",D2262)),ISNUMBER(SEARCH("去",D2262)),ISNUMBER(SEARCH("入",D2262)))),"Ambiguous",IF(ISNUMBER(SEARCH("平",D2262)),"平","仄")))</x:f>
        <x:v>仄</x:v>
      </x:c>
      <x:c r="L2262" s="7" t="str"/>
    </x:row>
    <x:row r="2263">
      <x:c r="A2263" s="5" t="str">
        <x:v>溼</x:v>
      </x:c>
      <x:c r="B2263" s="6" t="str">
        <x:v>入</x:v>
      </x:c>
      <x:c r="C2263" s="6" t="str">
        <x:f>IF(B2263="","Needs decision","Ready")</x:f>
        <x:v>Ready</x:v>
      </x:c>
      <x:c r="D2263" s="6" t="str">
        <x:v>入</x:v>
      </x:c>
      <x:c r="E2263" s="6" t="str">
        <x:v>syip (D)</x:v>
      </x:c>
      <x:c r="F2263" s="6" t="str">
        <x:v>入聲十四緝</x:v>
      </x:c>
      <x:c r="G2263" s="6" t="str">
        <x:v>Pingshui main list, Wikisource-derived DOCX</x:v>
      </x:c>
      <x:c r="H2263" s="6" t="str">
        <x:v>1</x:v>
      </x:c>
      <x:c r="I2263" s="6" t="str"/>
      <x:c r="J2263" s="6" t="str">
        <x:f>IF(B2263="","",IF(AND(ISNUMBER(SEARCH("平",B2263)),OR(ISNUMBER(SEARCH("上",B2263)),ISNUMBER(SEARCH("去",B2263)),ISNUMBER(SEARCH("入",B2263)))),"Ambiguous",IF(ISNUMBER(SEARCH("平",B2263)),"平","仄")))</x:f>
        <x:v>仄</x:v>
      </x:c>
      <x:c r="K2263" s="6" t="str">
        <x:f>IF(D2263="","",IF(AND(ISNUMBER(SEARCH("平",D2263)),OR(ISNUMBER(SEARCH("上",D2263)),ISNUMBER(SEARCH("去",D2263)),ISNUMBER(SEARCH("入",D2263)))),"Ambiguous",IF(ISNUMBER(SEARCH("平",D2263)),"平","仄")))</x:f>
        <x:v>仄</x:v>
      </x:c>
      <x:c r="L2263" s="7" t="str"/>
    </x:row>
    <x:row r="2264">
      <x:c r="A2264" s="5" t="str">
        <x:v>溽</x:v>
      </x:c>
      <x:c r="B2264" s="6" t="str">
        <x:v>入</x:v>
      </x:c>
      <x:c r="C2264" s="6" t="str">
        <x:f>IF(B2264="","Needs decision","Ready")</x:f>
        <x:v>Ready</x:v>
      </x:c>
      <x:c r="D2264" s="6" t="str">
        <x:v>入</x:v>
      </x:c>
      <x:c r="E2264" s="6" t="str"/>
      <x:c r="F2264" s="6" t="str">
        <x:v>入聲二沃</x:v>
      </x:c>
      <x:c r="G2264" s="6" t="str">
        <x:v>Pingshui main list, Wikisource-derived DOCX</x:v>
      </x:c>
      <x:c r="H2264" s="6" t="str">
        <x:v>0</x:v>
      </x:c>
      <x:c r="I2264" s="6" t="str">
        <x:v>User correction 2026-09-08; added manually</x:v>
      </x:c>
      <x:c r="J2264" s="6" t="str">
        <x:f>IF(B2264="","",IF(AND(ISNUMBER(SEARCH("平",B2264)),OR(ISNUMBER(SEARCH("上",B2264)),ISNUMBER(SEARCH("去",B2264)),ISNUMBER(SEARCH("入",B2264)))),"Ambiguous",IF(ISNUMBER(SEARCH("平",B2264)),"平","仄")))</x:f>
        <x:v>仄</x:v>
      </x:c>
      <x:c r="K2264" s="6" t="str">
        <x:f>IF(D2264="","",IF(AND(ISNUMBER(SEARCH("平",D2264)),OR(ISNUMBER(SEARCH("上",D2264)),ISNUMBER(SEARCH("去",D2264)),ISNUMBER(SEARCH("入",D2264)))),"Ambiguous",IF(ISNUMBER(SEARCH("平",D2264)),"平","仄")))</x:f>
        <x:v>仄</x:v>
      </x:c>
      <x:c r="L2264" s="7" t="str">
        <x:v>User correction</x:v>
      </x:c>
    </x:row>
    <x:row r="2265">
      <x:c r="A2265" s="5" t="str">
        <x:v>滀</x:v>
      </x:c>
      <x:c r="B2265" s="6" t="str">
        <x:v>入</x:v>
      </x:c>
      <x:c r="C2265" s="6" t="str">
        <x:f>IF(B2265="","Needs decision","Ready")</x:f>
        <x:v>Ready</x:v>
      </x:c>
      <x:c r="D2265" s="6" t="str">
        <x:v>入</x:v>
      </x:c>
      <x:c r="E2265" s="6" t="str">
        <x:v>trhjuwk (D)</x:v>
      </x:c>
      <x:c r="F2265" s="6" t="str"/>
      <x:c r="G2265" s="6" t="str"/>
      <x:c r="H2265" s="6" t="str">
        <x:v>1</x:v>
      </x:c>
      <x:c r="I2265" s="6" t="str"/>
      <x:c r="J2265" s="6" t="str">
        <x:f>IF(B2265="","",IF(AND(ISNUMBER(SEARCH("平",B2265)),OR(ISNUMBER(SEARCH("上",B2265)),ISNUMBER(SEARCH("去",B2265)),ISNUMBER(SEARCH("入",B2265)))),"Ambiguous",IF(ISNUMBER(SEARCH("平",B2265)),"平","仄")))</x:f>
        <x:v>仄</x:v>
      </x:c>
      <x:c r="K2265" s="6" t="str">
        <x:f>IF(D2265="","",IF(AND(ISNUMBER(SEARCH("平",D2265)),OR(ISNUMBER(SEARCH("上",D2265)),ISNUMBER(SEARCH("去",D2265)),ISNUMBER(SEARCH("入",D2265)))),"Ambiguous",IF(ISNUMBER(SEARCH("平",D2265)),"平","仄")))</x:f>
        <x:v>仄</x:v>
      </x:c>
      <x:c r="L2265" s="7" t="str"/>
    </x:row>
    <x:row r="2266">
      <x:c r="A2266" s="5" t="str">
        <x:v>滂</x:v>
      </x:c>
      <x:c r="B2266" s="6" t="str">
        <x:v>平</x:v>
      </x:c>
      <x:c r="C2266" s="6" t="str">
        <x:f>IF(B2266="","Needs decision","Ready")</x:f>
        <x:v>Ready</x:v>
      </x:c>
      <x:c r="D2266" s="6" t="str">
        <x:v>平</x:v>
      </x:c>
      <x:c r="E2266" s="6" t="str"/>
      <x:c r="F2266" s="6" t="str">
        <x:v>下平聲七陽</x:v>
      </x:c>
      <x:c r="G2266" s="6" t="str">
        <x:v>Pingshui main list, Wikisource-derived DOCX</x:v>
      </x:c>
      <x:c r="H2266" s="6" t="str"/>
      <x:c r="I2266" s="6" t="str">
        <x:v>Manual user correction/addition</x:v>
      </x:c>
      <x:c r="J2266" s="6" t="str">
        <x:f>IF(B2266="","",IF(AND(ISNUMBER(SEARCH("平",B2266)),OR(ISNUMBER(SEARCH("上",B2266)),ISNUMBER(SEARCH("去",B2266)),ISNUMBER(SEARCH("入",B2266)))),"Ambiguous",IF(ISNUMBER(SEARCH("平",B2266)),"平","仄")))</x:f>
        <x:v>平</x:v>
      </x:c>
      <x:c r="K2266" s="6" t="str">
        <x:f>IF(D2266="","",IF(AND(ISNUMBER(SEARCH("平",D2266)),OR(ISNUMBER(SEARCH("上",D2266)),ISNUMBER(SEARCH("去",D2266)),ISNUMBER(SEARCH("入",D2266)))),"Ambiguous",IF(ISNUMBER(SEARCH("平",D2266)),"平","仄")))</x:f>
        <x:v>平</x:v>
      </x:c>
      <x:c r="L2266" s="7" t="str">
        <x:v>manual user correction</x:v>
      </x:c>
    </x:row>
    <x:row r="2267">
      <x:c r="A2267" s="5" t="str">
        <x:v>滄</x:v>
      </x:c>
      <x:c r="B2267" s="6" t="str">
        <x:v>平</x:v>
      </x:c>
      <x:c r="C2267" s="6" t="str">
        <x:f>IF(B2267="","Needs decision","Ready")</x:f>
        <x:v>Ready</x:v>
      </x:c>
      <x:c r="D2267" s="6" t="str">
        <x:v>平</x:v>
      </x:c>
      <x:c r="E2267" s="6" t="str">
        <x:v>tshang [t̙s̙ʰɑŋ] (平)</x:v>
      </x:c>
      <x:c r="F2267" s="6" t="str">
        <x:v>下平聲七陽</x:v>
      </x:c>
      <x:c r="G2267" s="6" t="str">
        <x:v>Pingshui main list, Wikisource-derived DOCX</x:v>
      </x:c>
      <x:c r="H2267" s="6" t="str">
        <x:v>1</x:v>
      </x:c>
      <x:c r="I2267" s="6" t="str">
        <x:v>Tang 300 gap; frequency 7; provisional from Xun Gong</x:v>
      </x:c>
      <x:c r="J2267" s="6" t="str">
        <x:f>IF(B2267="","",IF(AND(ISNUMBER(SEARCH("平",B2267)),OR(ISNUMBER(SEARCH("上",B2267)),ISNUMBER(SEARCH("去",B2267)),ISNUMBER(SEARCH("入",B2267)))),"Ambiguous",IF(ISNUMBER(SEARCH("平",B2267)),"平","仄")))</x:f>
        <x:v>平</x:v>
      </x:c>
      <x:c r="K2267" s="6" t="str">
        <x:f>IF(D2267="","",IF(AND(ISNUMBER(SEARCH("平",D2267)),OR(ISNUMBER(SEARCH("上",D2267)),ISNUMBER(SEARCH("去",D2267)),ISNUMBER(SEARCH("入",D2267)))),"Ambiguous",IF(ISNUMBER(SEARCH("平",D2267)),"平","仄")))</x:f>
        <x:v>平</x:v>
      </x:c>
      <x:c r="L2267" s="7" t="str">
        <x:v>Xun Gong, Tang 300 gap fill</x:v>
      </x:c>
    </x:row>
    <x:row r="2268">
      <x:c r="A2268" s="5" t="str">
        <x:v>滅</x:v>
      </x:c>
      <x:c r="B2268" s="6" t="str">
        <x:v>入</x:v>
      </x:c>
      <x:c r="C2268" s="6" t="str">
        <x:f>IF(B2268="","Needs decision","Ready")</x:f>
        <x:v>Ready</x:v>
      </x:c>
      <x:c r="D2268" s="6" t="str">
        <x:v>入</x:v>
      </x:c>
      <x:c r="E2268" s="6" t="str">
        <x:v>mjiet (D)</x:v>
      </x:c>
      <x:c r="F2268" s="6" t="str">
        <x:v>入聲九屑</x:v>
      </x:c>
      <x:c r="G2268" s="6" t="str">
        <x:v>Pingshui main list, Wikisource-derived DOCX</x:v>
      </x:c>
      <x:c r="H2268" s="6" t="str">
        <x:v>1</x:v>
      </x:c>
      <x:c r="I2268" s="6" t="str"/>
      <x:c r="J2268" s="6" t="str">
        <x:f>IF(B2268="","",IF(AND(ISNUMBER(SEARCH("平",B2268)),OR(ISNUMBER(SEARCH("上",B2268)),ISNUMBER(SEARCH("去",B2268)),ISNUMBER(SEARCH("入",B2268)))),"Ambiguous",IF(ISNUMBER(SEARCH("平",B2268)),"平","仄")))</x:f>
        <x:v>仄</x:v>
      </x:c>
      <x:c r="K2268" s="6" t="str">
        <x:f>IF(D2268="","",IF(AND(ISNUMBER(SEARCH("平",D2268)),OR(ISNUMBER(SEARCH("上",D2268)),ISNUMBER(SEARCH("去",D2268)),ISNUMBER(SEARCH("入",D2268)))),"Ambiguous",IF(ISNUMBER(SEARCH("平",D2268)),"平","仄")))</x:f>
        <x:v>仄</x:v>
      </x:c>
      <x:c r="L2268" s="7" t="str"/>
    </x:row>
    <x:row r="2269">
      <x:c r="A2269" s="5" t="str">
        <x:v>滋</x:v>
      </x:c>
      <x:c r="B2269" s="6" t="str">
        <x:v>平</x:v>
      </x:c>
      <x:c r="C2269" s="6" t="str">
        <x:f>IF(B2269="","Needs decision","Ready")</x:f>
        <x:v>Ready</x:v>
      </x:c>
      <x:c r="D2269" s="6" t="str">
        <x:v>平</x:v>
      </x:c>
      <x:c r="E2269" s="6" t="str">
        <x:v>tsi (A)</x:v>
      </x:c>
      <x:c r="F2269" s="6" t="str">
        <x:v>上平聲四支</x:v>
      </x:c>
      <x:c r="G2269" s="6" t="str">
        <x:v>Pingshui main list, Wikisource-derived DOCX</x:v>
      </x:c>
      <x:c r="H2269" s="6" t="str">
        <x:v>1</x:v>
      </x:c>
      <x:c r="I2269" s="6" t="str"/>
      <x:c r="J2269" s="6" t="str">
        <x:f>IF(B2269="","",IF(AND(ISNUMBER(SEARCH("平",B2269)),OR(ISNUMBER(SEARCH("上",B2269)),ISNUMBER(SEARCH("去",B2269)),ISNUMBER(SEARCH("入",B2269)))),"Ambiguous",IF(ISNUMBER(SEARCH("平",B2269)),"平","仄")))</x:f>
        <x:v>平</x:v>
      </x:c>
      <x:c r="K2269" s="6" t="str">
        <x:f>IF(D2269="","",IF(AND(ISNUMBER(SEARCH("平",D2269)),OR(ISNUMBER(SEARCH("上",D2269)),ISNUMBER(SEARCH("去",D2269)),ISNUMBER(SEARCH("入",D2269)))),"Ambiguous",IF(ISNUMBER(SEARCH("平",D2269)),"平","仄")))</x:f>
        <x:v>平</x:v>
      </x:c>
      <x:c r="L2269" s="7" t="str"/>
    </x:row>
    <x:row r="2270">
      <x:c r="A2270" s="5" t="str">
        <x:v>滌</x:v>
      </x:c>
      <x:c r="B2270" s="6" t="str">
        <x:v>入</x:v>
      </x:c>
      <x:c r="C2270" s="6" t="str">
        <x:f>IF(B2270="","Needs decision","Ready")</x:f>
        <x:v>Ready</x:v>
      </x:c>
      <x:c r="D2270" s="6" t="str">
        <x:v>入</x:v>
      </x:c>
      <x:c r="E2270" s="6" t="str">
        <x:v>dek (D)</x:v>
      </x:c>
      <x:c r="F2270" s="6" t="str">
        <x:v>入聲十二錫</x:v>
      </x:c>
      <x:c r="G2270" s="6" t="str">
        <x:v>Pingshui main list, Wikisource-derived DOCX</x:v>
      </x:c>
      <x:c r="H2270" s="6" t="str">
        <x:v>1</x:v>
      </x:c>
      <x:c r="I2270" s="6" t="str"/>
      <x:c r="J2270" s="6" t="str">
        <x:f>IF(B2270="","",IF(AND(ISNUMBER(SEARCH("平",B2270)),OR(ISNUMBER(SEARCH("上",B2270)),ISNUMBER(SEARCH("去",B2270)),ISNUMBER(SEARCH("入",B2270)))),"Ambiguous",IF(ISNUMBER(SEARCH("平",B2270)),"平","仄")))</x:f>
        <x:v>仄</x:v>
      </x:c>
      <x:c r="K2270" s="6" t="str">
        <x:f>IF(D2270="","",IF(AND(ISNUMBER(SEARCH("平",D2270)),OR(ISNUMBER(SEARCH("上",D2270)),ISNUMBER(SEARCH("去",D2270)),ISNUMBER(SEARCH("入",D2270)))),"Ambiguous",IF(ISNUMBER(SEARCH("平",D2270)),"平","仄")))</x:f>
        <x:v>仄</x:v>
      </x:c>
      <x:c r="L2270" s="7" t="str"/>
    </x:row>
    <x:row r="2271">
      <x:c r="A2271" s="5" t="str">
        <x:v>滑</x:v>
      </x:c>
      <x:c r="B2271" s="6" t="str">
        <x:v>入</x:v>
      </x:c>
      <x:c r="C2271" s="6" t="str">
        <x:f>IF(B2271="","Needs decision","Ready")</x:f>
        <x:v>Ready</x:v>
      </x:c>
      <x:c r="D2271" s="6" t="str">
        <x:v>入</x:v>
      </x:c>
      <x:c r="E2271" s="6" t="str">
        <x:v>hweat (D)</x:v>
      </x:c>
      <x:c r="F2271" s="6" t="str">
        <x:v>入聲六月; 入聲八黠</x:v>
      </x:c>
      <x:c r="G2271" s="6" t="str">
        <x:v>Pingshui main list, Wikisource-derived DOCX</x:v>
      </x:c>
      <x:c r="H2271" s="6" t="str">
        <x:v>1</x:v>
      </x:c>
      <x:c r="I2271" s="6" t="str"/>
      <x:c r="J2271" s="6" t="str">
        <x:f>IF(B2271="","",IF(AND(ISNUMBER(SEARCH("平",B2271)),OR(ISNUMBER(SEARCH("上",B2271)),ISNUMBER(SEARCH("去",B2271)),ISNUMBER(SEARCH("入",B2271)))),"Ambiguous",IF(ISNUMBER(SEARCH("平",B2271)),"平","仄")))</x:f>
        <x:v>仄</x:v>
      </x:c>
      <x:c r="K2271" s="6" t="str">
        <x:f>IF(D2271="","",IF(AND(ISNUMBER(SEARCH("平",D2271)),OR(ISNUMBER(SEARCH("上",D2271)),ISNUMBER(SEARCH("去",D2271)),ISNUMBER(SEARCH("入",D2271)))),"Ambiguous",IF(ISNUMBER(SEARCH("平",D2271)),"平","仄")))</x:f>
        <x:v>仄</x:v>
      </x:c>
      <x:c r="L2271" s="7" t="str"/>
    </x:row>
    <x:row r="2272">
      <x:c r="A2272" s="5" t="str">
        <x:v>滓</x:v>
      </x:c>
      <x:c r="B2272" s="6" t="str">
        <x:v>上</x:v>
      </x:c>
      <x:c r="C2272" s="6" t="str">
        <x:f>IF(B2272="","Needs decision","Ready")</x:f>
        <x:v>Ready</x:v>
      </x:c>
      <x:c r="D2272" s="6" t="str">
        <x:v>上</x:v>
      </x:c>
      <x:c r="E2272" s="6" t="str"/>
      <x:c r="F2272" s="6" t="str">
        <x:v>上聲四紙</x:v>
      </x:c>
      <x:c r="G2272" s="6" t="str">
        <x:v>Pingshui main list, Wikisource-derived DOCX</x:v>
      </x:c>
      <x:c r="H2272" s="6" t="str">
        <x:v>0</x:v>
      </x:c>
      <x:c r="I2272" s="6" t="str">
        <x:v>User correction 2026-09-08; added manually</x:v>
      </x:c>
      <x:c r="J2272" s="6" t="str">
        <x:f>IF(B2272="","",IF(AND(ISNUMBER(SEARCH("平",B2272)),OR(ISNUMBER(SEARCH("上",B2272)),ISNUMBER(SEARCH("去",B2272)),ISNUMBER(SEARCH("入",B2272)))),"Ambiguous",IF(ISNUMBER(SEARCH("平",B2272)),"平","仄")))</x:f>
        <x:v>仄</x:v>
      </x:c>
      <x:c r="K2272" s="6" t="str">
        <x:f>IF(D2272="","",IF(AND(ISNUMBER(SEARCH("平",D2272)),OR(ISNUMBER(SEARCH("上",D2272)),ISNUMBER(SEARCH("去",D2272)),ISNUMBER(SEARCH("入",D2272)))),"Ambiguous",IF(ISNUMBER(SEARCH("平",D2272)),"平","仄")))</x:f>
        <x:v>仄</x:v>
      </x:c>
      <x:c r="L2272" s="7" t="str">
        <x:v>User correction</x:v>
      </x:c>
    </x:row>
    <x:row r="2273">
      <x:c r="A2273" s="5" t="str">
        <x:v>滔</x:v>
      </x:c>
      <x:c r="B2273" s="6" t="str">
        <x:v>平</x:v>
      </x:c>
      <x:c r="C2273" s="6" t="str">
        <x:f>IF(B2273="","Needs decision","Ready")</x:f>
        <x:v>Ready</x:v>
      </x:c>
      <x:c r="D2273" s="6" t="str">
        <x:v>平</x:v>
      </x:c>
      <x:c r="E2273" s="6" t="str">
        <x:v>thaw (A)</x:v>
      </x:c>
      <x:c r="F2273" s="6" t="str">
        <x:v>下平聲四豪</x:v>
      </x:c>
      <x:c r="G2273" s="6" t="str">
        <x:v>Pingshui main list, Wikisource-derived DOCX</x:v>
      </x:c>
      <x:c r="H2273" s="6" t="str">
        <x:v>1</x:v>
      </x:c>
      <x:c r="I2273" s="6" t="str"/>
      <x:c r="J2273" s="6" t="str">
        <x:f>IF(B2273="","",IF(AND(ISNUMBER(SEARCH("平",B2273)),OR(ISNUMBER(SEARCH("上",B2273)),ISNUMBER(SEARCH("去",B2273)),ISNUMBER(SEARCH("入",B2273)))),"Ambiguous",IF(ISNUMBER(SEARCH("平",B2273)),"平","仄")))</x:f>
        <x:v>平</x:v>
      </x:c>
      <x:c r="K2273" s="6" t="str">
        <x:f>IF(D2273="","",IF(AND(ISNUMBER(SEARCH("平",D2273)),OR(ISNUMBER(SEARCH("上",D2273)),ISNUMBER(SEARCH("去",D2273)),ISNUMBER(SEARCH("入",D2273)))),"Ambiguous",IF(ISNUMBER(SEARCH("平",D2273)),"平","仄")))</x:f>
        <x:v>平</x:v>
      </x:c>
      <x:c r="L2273" s="7" t="str"/>
    </x:row>
    <x:row r="2274">
      <x:c r="A2274" s="5" t="str">
        <x:v>滕</x:v>
      </x:c>
      <x:c r="B2274" s="6" t="str">
        <x:v>平</x:v>
      </x:c>
      <x:c r="C2274" s="6" t="str">
        <x:f>IF(B2274="","Needs decision","Ready")</x:f>
        <x:v>Ready</x:v>
      </x:c>
      <x:c r="D2274" s="6" t="str">
        <x:v>平</x:v>
      </x:c>
      <x:c r="E2274" s="6" t="str"/>
      <x:c r="F2274" s="6" t="str">
        <x:v>下平聲十蒸</x:v>
      </x:c>
      <x:c r="G2274" s="6" t="str">
        <x:v>Pingshui main list, Wikisource-derived DOCX</x:v>
      </x:c>
      <x:c r="H2274" s="6" t="str">
        <x:v>0</x:v>
      </x:c>
      <x:c r="I2274" s="6" t="str">
        <x:v>User correction 2026-09-08; added manually</x:v>
      </x:c>
      <x:c r="J2274" s="6" t="str">
        <x:f>IF(B2274="","",IF(AND(ISNUMBER(SEARCH("平",B2274)),OR(ISNUMBER(SEARCH("上",B2274)),ISNUMBER(SEARCH("去",B2274)),ISNUMBER(SEARCH("入",B2274)))),"Ambiguous",IF(ISNUMBER(SEARCH("平",B2274)),"平","仄")))</x:f>
        <x:v>平</x:v>
      </x:c>
      <x:c r="K2274" s="6" t="str">
        <x:f>IF(D2274="","",IF(AND(ISNUMBER(SEARCH("平",D2274)),OR(ISNUMBER(SEARCH("上",D2274)),ISNUMBER(SEARCH("去",D2274)),ISNUMBER(SEARCH("入",D2274)))),"Ambiguous",IF(ISNUMBER(SEARCH("平",D2274)),"平","仄")))</x:f>
        <x:v>平</x:v>
      </x:c>
      <x:c r="L2274" s="7" t="str">
        <x:v>User correction</x:v>
      </x:c>
    </x:row>
    <x:row r="2275">
      <x:c r="A2275" s="5" t="str">
        <x:v>滯</x:v>
      </x:c>
      <x:c r="B2275" s="6" t="str">
        <x:v>去</x:v>
      </x:c>
      <x:c r="C2275" s="6" t="str">
        <x:f>IF(B2275="","Needs decision","Ready")</x:f>
        <x:v>Ready</x:v>
      </x:c>
      <x:c r="D2275" s="6" t="str">
        <x:v>去</x:v>
      </x:c>
      <x:c r="E2275" s="6" t="str">
        <x:v>drjejH (C)</x:v>
      </x:c>
      <x:c r="F2275" s="6" t="str">
        <x:v>去聲八霽</x:v>
      </x:c>
      <x:c r="G2275" s="6" t="str">
        <x:v>Pingshui main list, Wikisource-derived DOCX</x:v>
      </x:c>
      <x:c r="H2275" s="6" t="str">
        <x:v>1</x:v>
      </x:c>
      <x:c r="I2275" s="6" t="str"/>
      <x:c r="J2275" s="6" t="str">
        <x:f>IF(B2275="","",IF(AND(ISNUMBER(SEARCH("平",B2275)),OR(ISNUMBER(SEARCH("上",B2275)),ISNUMBER(SEARCH("去",B2275)),ISNUMBER(SEARCH("入",B2275)))),"Ambiguous",IF(ISNUMBER(SEARCH("平",B2275)),"平","仄")))</x:f>
        <x:v>仄</x:v>
      </x:c>
      <x:c r="K2275" s="6" t="str">
        <x:f>IF(D2275="","",IF(AND(ISNUMBER(SEARCH("平",D2275)),OR(ISNUMBER(SEARCH("上",D2275)),ISNUMBER(SEARCH("去",D2275)),ISNUMBER(SEARCH("入",D2275)))),"Ambiguous",IF(ISNUMBER(SEARCH("平",D2275)),"平","仄")))</x:f>
        <x:v>仄</x:v>
      </x:c>
      <x:c r="L2275" s="7" t="str"/>
    </x:row>
    <x:row r="2276">
      <x:c r="A2276" s="5" t="str">
        <x:v>滴</x:v>
      </x:c>
      <x:c r="B2276" s="6" t="str">
        <x:v>入</x:v>
      </x:c>
      <x:c r="C2276" s="6" t="str">
        <x:f>IF(B2276="","Needs decision","Ready")</x:f>
        <x:v>Ready</x:v>
      </x:c>
      <x:c r="D2276" s="6" t="str">
        <x:v>入</x:v>
      </x:c>
      <x:c r="E2276" s="6" t="str">
        <x:v>tek [t̙ek] (入)</x:v>
      </x:c>
      <x:c r="F2276" s="6" t="str">
        <x:v>入聲十二錫</x:v>
      </x:c>
      <x:c r="G2276" s="6" t="str">
        <x:v>Pingshui main list, Wikisource-derived DOCX</x:v>
      </x:c>
      <x:c r="H2276" s="6" t="str">
        <x:v>1</x:v>
      </x:c>
      <x:c r="I2276" s="6" t="str">
        <x:v>Tang 300 gap; frequency 3; provisional from Xun Gong</x:v>
      </x:c>
      <x:c r="J2276" s="6" t="str">
        <x:f>IF(B2276="","",IF(AND(ISNUMBER(SEARCH("平",B2276)),OR(ISNUMBER(SEARCH("上",B2276)),ISNUMBER(SEARCH("去",B2276)),ISNUMBER(SEARCH("入",B2276)))),"Ambiguous",IF(ISNUMBER(SEARCH("平",B2276)),"平","仄")))</x:f>
        <x:v>仄</x:v>
      </x:c>
      <x:c r="K2276" s="6" t="str">
        <x:f>IF(D2276="","",IF(AND(ISNUMBER(SEARCH("平",D2276)),OR(ISNUMBER(SEARCH("上",D2276)),ISNUMBER(SEARCH("去",D2276)),ISNUMBER(SEARCH("入",D2276)))),"Ambiguous",IF(ISNUMBER(SEARCH("平",D2276)),"平","仄")))</x:f>
        <x:v>仄</x:v>
      </x:c>
      <x:c r="L2276" s="7" t="str">
        <x:v>Xun Gong, Tang 300 gap fill</x:v>
      </x:c>
    </x:row>
    <x:row r="2277">
      <x:c r="A2277" s="5" t="str">
        <x:v>滸</x:v>
      </x:c>
      <x:c r="B2277" s="6" t="str">
        <x:v>上</x:v>
      </x:c>
      <x:c r="C2277" s="6" t="str">
        <x:f>IF(B2277="","Needs decision","Ready")</x:f>
        <x:v>Ready</x:v>
      </x:c>
      <x:c r="D2277" s="6" t="str">
        <x:v>上</x:v>
      </x:c>
      <x:c r="E2277" s="6" t="str">
        <x:v>xuX (B)</x:v>
      </x:c>
      <x:c r="F2277" s="6" t="str">
        <x:v>上聲七麌</x:v>
      </x:c>
      <x:c r="G2277" s="6" t="str">
        <x:v>Pingshui main list, Wikisource-derived DOCX</x:v>
      </x:c>
      <x:c r="H2277" s="6" t="str">
        <x:v>1</x:v>
      </x:c>
      <x:c r="I2277" s="6" t="str"/>
      <x:c r="J2277" s="6" t="str">
        <x:f>IF(B2277="","",IF(AND(ISNUMBER(SEARCH("平",B2277)),OR(ISNUMBER(SEARCH("上",B2277)),ISNUMBER(SEARCH("去",B2277)),ISNUMBER(SEARCH("入",B2277)))),"Ambiguous",IF(ISNUMBER(SEARCH("平",B2277)),"平","仄")))</x:f>
        <x:v>仄</x:v>
      </x:c>
      <x:c r="K2277" s="6" t="str">
        <x:f>IF(D2277="","",IF(AND(ISNUMBER(SEARCH("平",D2277)),OR(ISNUMBER(SEARCH("上",D2277)),ISNUMBER(SEARCH("去",D2277)),ISNUMBER(SEARCH("入",D2277)))),"Ambiguous",IF(ISNUMBER(SEARCH("平",D2277)),"平","仄")))</x:f>
        <x:v>仄</x:v>
      </x:c>
      <x:c r="L2277" s="7" t="str"/>
    </x:row>
    <x:row r="2278">
      <x:c r="A2278" s="5" t="str">
        <x:v>滿</x:v>
      </x:c>
      <x:c r="B2278" s="6" t="str">
        <x:v>上</x:v>
      </x:c>
      <x:c r="C2278" s="6" t="str">
        <x:f>IF(B2278="","Needs decision","Ready")</x:f>
        <x:v>Ready</x:v>
      </x:c>
      <x:c r="D2278" s="6" t="str">
        <x:v>上</x:v>
      </x:c>
      <x:c r="E2278" s="6" t="str">
        <x:v>manX (B)</x:v>
      </x:c>
      <x:c r="F2278" s="6" t="str">
        <x:v>上聲十四旱</x:v>
      </x:c>
      <x:c r="G2278" s="6" t="str">
        <x:v>Pingshui main list, Wikisource-derived DOCX</x:v>
      </x:c>
      <x:c r="H2278" s="6" t="str">
        <x:v>1</x:v>
      </x:c>
      <x:c r="I2278" s="6" t="str"/>
      <x:c r="J2278" s="6" t="str">
        <x:f>IF(B2278="","",IF(AND(ISNUMBER(SEARCH("平",B2278)),OR(ISNUMBER(SEARCH("上",B2278)),ISNUMBER(SEARCH("去",B2278)),ISNUMBER(SEARCH("入",B2278)))),"Ambiguous",IF(ISNUMBER(SEARCH("平",B2278)),"平","仄")))</x:f>
        <x:v>仄</x:v>
      </x:c>
      <x:c r="K2278" s="6" t="str">
        <x:f>IF(D2278="","",IF(AND(ISNUMBER(SEARCH("平",D2278)),OR(ISNUMBER(SEARCH("上",D2278)),ISNUMBER(SEARCH("去",D2278)),ISNUMBER(SEARCH("入",D2278)))),"Ambiguous",IF(ISNUMBER(SEARCH("平",D2278)),"平","仄")))</x:f>
        <x:v>仄</x:v>
      </x:c>
      <x:c r="L2278" s="7" t="str"/>
    </x:row>
    <x:row r="2279">
      <x:c r="A2279" s="5" t="str">
        <x:v>漁</x:v>
      </x:c>
      <x:c r="B2279" s="6" t="str">
        <x:v>平</x:v>
      </x:c>
      <x:c r="C2279" s="6" t="str">
        <x:f>IF(B2279="","Needs decision","Ready")</x:f>
        <x:v>Ready</x:v>
      </x:c>
      <x:c r="D2279" s="6" t="str">
        <x:v>平</x:v>
      </x:c>
      <x:c r="E2279" s="6" t="str">
        <x:v>ngjo (A)</x:v>
      </x:c>
      <x:c r="F2279" s="6" t="str">
        <x:v>上平聲六魚</x:v>
      </x:c>
      <x:c r="G2279" s="6" t="str">
        <x:v>Pingshui main list, Wikisource-derived DOCX</x:v>
      </x:c>
      <x:c r="H2279" s="6" t="str">
        <x:v>1</x:v>
      </x:c>
      <x:c r="I2279" s="6" t="str"/>
      <x:c r="J2279" s="6" t="str">
        <x:f>IF(B2279="","",IF(AND(ISNUMBER(SEARCH("平",B2279)),OR(ISNUMBER(SEARCH("上",B2279)),ISNUMBER(SEARCH("去",B2279)),ISNUMBER(SEARCH("入",B2279)))),"Ambiguous",IF(ISNUMBER(SEARCH("平",B2279)),"平","仄")))</x:f>
        <x:v>平</x:v>
      </x:c>
      <x:c r="K2279" s="6" t="str">
        <x:f>IF(D2279="","",IF(AND(ISNUMBER(SEARCH("平",D2279)),OR(ISNUMBER(SEARCH("上",D2279)),ISNUMBER(SEARCH("去",D2279)),ISNUMBER(SEARCH("入",D2279)))),"Ambiguous",IF(ISNUMBER(SEARCH("平",D2279)),"平","仄")))</x:f>
        <x:v>平</x:v>
      </x:c>
      <x:c r="L2279" s="7" t="str"/>
    </x:row>
    <x:row r="2280">
      <x:c r="A2280" s="5" t="str">
        <x:v>漂</x:v>
      </x:c>
      <x:c r="B2280" s="6" t="str">
        <x:v>平</x:v>
      </x:c>
      <x:c r="C2280" s="6" t="str">
        <x:f>IF(B2280="","Needs decision","Ready")</x:f>
        <x:v>Ready</x:v>
      </x:c>
      <x:c r="D2280" s="6" t="str">
        <x:v>平/去</x:v>
      </x:c>
      <x:c r="E2280" s="6" t="str">
        <x:v>phjiew [pʰjew] (平); phjiewH [pʰjewh] (去)</x:v>
      </x:c>
      <x:c r="F2280" s="6" t="str">
        <x:v>下平聲二蕭; 去聲十八嘯</x:v>
      </x:c>
      <x:c r="G2280" s="6" t="str">
        <x:v>Pingshui main list, Wikisource-derived DOCX</x:v>
      </x:c>
      <x:c r="H2280" s="6" t="str">
        <x:v>2</x:v>
      </x:c>
      <x:c r="I2280" s="6" t="str">
        <x:v>Tang 300 gap; frequency 2; ambiguous in Xun Gong</x:v>
      </x:c>
      <x:c r="J2280" s="6" t="str">
        <x:f>IF(B2280="","",IF(AND(ISNUMBER(SEARCH("平",B2280)),OR(ISNUMBER(SEARCH("上",B2280)),ISNUMBER(SEARCH("去",B2280)),ISNUMBER(SEARCH("入",B2280)))),"Ambiguous",IF(ISNUMBER(SEARCH("平",B2280)),"平","仄")))</x:f>
        <x:v>平</x:v>
      </x:c>
      <x:c r="K2280" s="6" t="str">
        <x:f>IF(D2280="","",IF(AND(ISNUMBER(SEARCH("平",D2280)),OR(ISNUMBER(SEARCH("上",D2280)),ISNUMBER(SEARCH("去",D2280)),ISNUMBER(SEARCH("入",D2280)))),"Ambiguous",IF(ISNUMBER(SEARCH("平",D2280)),"平","仄")))</x:f>
        <x:v>Ambiguous</x:v>
      </x:c>
      <x:c r="L2280" s="7" t="str">
        <x:v>Xun Gong, Tang 300 gap fill</x:v>
      </x:c>
    </x:row>
    <x:row r="2281">
      <x:c r="A2281" s="5" t="str">
        <x:v>漆</x:v>
      </x:c>
      <x:c r="B2281" s="6" t="str">
        <x:v>入</x:v>
      </x:c>
      <x:c r="C2281" s="6" t="str">
        <x:f>IF(B2281="","Needs decision","Ready")</x:f>
        <x:v>Ready</x:v>
      </x:c>
      <x:c r="D2281" s="6" t="str">
        <x:v>入</x:v>
      </x:c>
      <x:c r="E2281" s="6" t="str">
        <x:v>tshit (D)</x:v>
      </x:c>
      <x:c r="F2281" s="6" t="str">
        <x:v>入聲四質</x:v>
      </x:c>
      <x:c r="G2281" s="6" t="str">
        <x:v>Pingshui main list, Wikisource-derived DOCX</x:v>
      </x:c>
      <x:c r="H2281" s="6" t="str">
        <x:v>1</x:v>
      </x:c>
      <x:c r="I2281" s="6" t="str"/>
      <x:c r="J2281" s="6" t="str">
        <x:f>IF(B2281="","",IF(AND(ISNUMBER(SEARCH("平",B2281)),OR(ISNUMBER(SEARCH("上",B2281)),ISNUMBER(SEARCH("去",B2281)),ISNUMBER(SEARCH("入",B2281)))),"Ambiguous",IF(ISNUMBER(SEARCH("平",B2281)),"平","仄")))</x:f>
        <x:v>仄</x:v>
      </x:c>
      <x:c r="K2281" s="6" t="str">
        <x:f>IF(D2281="","",IF(AND(ISNUMBER(SEARCH("平",D2281)),OR(ISNUMBER(SEARCH("上",D2281)),ISNUMBER(SEARCH("去",D2281)),ISNUMBER(SEARCH("入",D2281)))),"Ambiguous",IF(ISNUMBER(SEARCH("平",D2281)),"平","仄")))</x:f>
        <x:v>仄</x:v>
      </x:c>
      <x:c r="L2281" s="7" t="str"/>
    </x:row>
    <x:row r="2282">
      <x:c r="A2282" s="5" t="str">
        <x:v>漏</x:v>
      </x:c>
      <x:c r="B2282" s="6" t="str">
        <x:v>去</x:v>
      </x:c>
      <x:c r="C2282" s="6" t="str">
        <x:f>IF(B2282="","Needs decision","Ready")</x:f>
        <x:v>Ready</x:v>
      </x:c>
      <x:c r="D2282" s="6" t="str">
        <x:v>去</x:v>
      </x:c>
      <x:c r="E2282" s="6" t="str">
        <x:v>luwH (C)</x:v>
      </x:c>
      <x:c r="F2282" s="6" t="str">
        <x:v>去聲二十六宥</x:v>
      </x:c>
      <x:c r="G2282" s="6" t="str">
        <x:v>Pingshui main list, Wikisource-derived DOCX</x:v>
      </x:c>
      <x:c r="H2282" s="6" t="str">
        <x:v>1</x:v>
      </x:c>
      <x:c r="I2282" s="6" t="str"/>
      <x:c r="J2282" s="6" t="str">
        <x:f>IF(B2282="","",IF(AND(ISNUMBER(SEARCH("平",B2282)),OR(ISNUMBER(SEARCH("上",B2282)),ISNUMBER(SEARCH("去",B2282)),ISNUMBER(SEARCH("入",B2282)))),"Ambiguous",IF(ISNUMBER(SEARCH("平",B2282)),"平","仄")))</x:f>
        <x:v>仄</x:v>
      </x:c>
      <x:c r="K2282" s="6" t="str">
        <x:f>IF(D2282="","",IF(AND(ISNUMBER(SEARCH("平",D2282)),OR(ISNUMBER(SEARCH("上",D2282)),ISNUMBER(SEARCH("去",D2282)),ISNUMBER(SEARCH("入",D2282)))),"Ambiguous",IF(ISNUMBER(SEARCH("平",D2282)),"平","仄")))</x:f>
        <x:v>仄</x:v>
      </x:c>
      <x:c r="L2282" s="7" t="str"/>
    </x:row>
    <x:row r="2283">
      <x:c r="A2283" s="5" t="str">
        <x:v>漓</x:v>
      </x:c>
      <x:c r="B2283" s="6" t="str">
        <x:v>平</x:v>
      </x:c>
      <x:c r="C2283" s="6" t="str">
        <x:f>IF(B2283="","Needs decision","Ready")</x:f>
        <x:v>Ready</x:v>
      </x:c>
      <x:c r="D2283" s="6" t="str">
        <x:v>平</x:v>
      </x:c>
      <x:c r="E2283" s="6" t="str">
        <x:v>lje [lie] (平)</x:v>
      </x:c>
      <x:c r="F2283" s="6" t="str">
        <x:v>上平聲四支</x:v>
      </x:c>
      <x:c r="G2283" s="6" t="str">
        <x:v>Pingshui main list, Wikisource-derived DOCX</x:v>
      </x:c>
      <x:c r="H2283" s="6" t="str">
        <x:v>1</x:v>
      </x:c>
      <x:c r="I2283" s="6" t="str">
        <x:v>Tang 300 gap; frequency 1; provisional from Xun Gong</x:v>
      </x:c>
      <x:c r="J2283" s="6" t="str">
        <x:f>IF(B2283="","",IF(AND(ISNUMBER(SEARCH("平",B2283)),OR(ISNUMBER(SEARCH("上",B2283)),ISNUMBER(SEARCH("去",B2283)),ISNUMBER(SEARCH("入",B2283)))),"Ambiguous",IF(ISNUMBER(SEARCH("平",B2283)),"平","仄")))</x:f>
        <x:v>平</x:v>
      </x:c>
      <x:c r="K2283" s="6" t="str">
        <x:f>IF(D2283="","",IF(AND(ISNUMBER(SEARCH("平",D2283)),OR(ISNUMBER(SEARCH("上",D2283)),ISNUMBER(SEARCH("去",D2283)),ISNUMBER(SEARCH("入",D2283)))),"Ambiguous",IF(ISNUMBER(SEARCH("平",D2283)),"平","仄")))</x:f>
        <x:v>平</x:v>
      </x:c>
      <x:c r="L2283" s="7" t="str">
        <x:v>Xun Gong, Tang 300 gap fill</x:v>
      </x:c>
    </x:row>
    <x:row r="2284">
      <x:c r="A2284" s="5" t="str">
        <x:v>演</x:v>
      </x:c>
      <x:c r="B2284" s="6" t="str">
        <x:v>上</x:v>
      </x:c>
      <x:c r="C2284" s="6" t="str">
        <x:f>IF(B2284="","Needs decision","Ready")</x:f>
        <x:v>Ready</x:v>
      </x:c>
      <x:c r="D2284" s="6" t="str">
        <x:v>上</x:v>
      </x:c>
      <x:c r="E2284" s="6" t="str">
        <x:v>yenX (B)</x:v>
      </x:c>
      <x:c r="F2284" s="6" t="str">
        <x:v>上聲十六銑</x:v>
      </x:c>
      <x:c r="G2284" s="6" t="str">
        <x:v>Pingshui main list, Wikisource-derived DOCX</x:v>
      </x:c>
      <x:c r="H2284" s="6" t="str">
        <x:v>1</x:v>
      </x:c>
      <x:c r="I2284" s="6" t="str"/>
      <x:c r="J2284" s="6" t="str">
        <x:f>IF(B2284="","",IF(AND(ISNUMBER(SEARCH("平",B2284)),OR(ISNUMBER(SEARCH("上",B2284)),ISNUMBER(SEARCH("去",B2284)),ISNUMBER(SEARCH("入",B2284)))),"Ambiguous",IF(ISNUMBER(SEARCH("平",B2284)),"平","仄")))</x:f>
        <x:v>仄</x:v>
      </x:c>
      <x:c r="K2284" s="6" t="str">
        <x:f>IF(D2284="","",IF(AND(ISNUMBER(SEARCH("平",D2284)),OR(ISNUMBER(SEARCH("上",D2284)),ISNUMBER(SEARCH("去",D2284)),ISNUMBER(SEARCH("入",D2284)))),"Ambiguous",IF(ISNUMBER(SEARCH("平",D2284)),"平","仄")))</x:f>
        <x:v>仄</x:v>
      </x:c>
      <x:c r="L2284" s="7" t="str"/>
    </x:row>
    <x:row r="2285">
      <x:c r="A2285" s="5" t="str">
        <x:v>漘</x:v>
      </x:c>
      <x:c r="B2285" s="6" t="str">
        <x:v>平</x:v>
      </x:c>
      <x:c r="C2285" s="6" t="str">
        <x:f>IF(B2285="","Needs decision","Ready")</x:f>
        <x:v>Ready</x:v>
      </x:c>
      <x:c r="D2285" s="6" t="str">
        <x:v>平</x:v>
      </x:c>
      <x:c r="E2285" s="6" t="str">
        <x:v>zywin (A)</x:v>
      </x:c>
      <x:c r="F2285" s="6" t="str">
        <x:v>上平聲十一真</x:v>
      </x:c>
      <x:c r="G2285" s="6" t="str">
        <x:v>Pingshui main list, Wikisource-derived DOCX</x:v>
      </x:c>
      <x:c r="H2285" s="6" t="str">
        <x:v>1</x:v>
      </x:c>
      <x:c r="I2285" s="6" t="str"/>
      <x:c r="J2285" s="6" t="str">
        <x:f>IF(B2285="","",IF(AND(ISNUMBER(SEARCH("平",B2285)),OR(ISNUMBER(SEARCH("上",B2285)),ISNUMBER(SEARCH("去",B2285)),ISNUMBER(SEARCH("入",B2285)))),"Ambiguous",IF(ISNUMBER(SEARCH("平",B2285)),"平","仄")))</x:f>
        <x:v>平</x:v>
      </x:c>
      <x:c r="K2285" s="6" t="str">
        <x:f>IF(D2285="","",IF(AND(ISNUMBER(SEARCH("平",D2285)),OR(ISNUMBER(SEARCH("上",D2285)),ISNUMBER(SEARCH("去",D2285)),ISNUMBER(SEARCH("入",D2285)))),"Ambiguous",IF(ISNUMBER(SEARCH("平",D2285)),"平","仄")))</x:f>
        <x:v>平</x:v>
      </x:c>
      <x:c r="L2285" s="7" t="str"/>
    </x:row>
    <x:row r="2286">
      <x:c r="A2286" s="5" t="str">
        <x:v>漠</x:v>
      </x:c>
      <x:c r="B2286" s="6" t="str">
        <x:v>入</x:v>
      </x:c>
      <x:c r="C2286" s="6" t="str">
        <x:f>IF(B2286="","Needs decision","Ready")</x:f>
        <x:v>Ready</x:v>
      </x:c>
      <x:c r="D2286" s="6" t="str">
        <x:v>入</x:v>
      </x:c>
      <x:c r="E2286" s="6" t="str">
        <x:v>mak [明一唐入] m̙ɑk</x:v>
      </x:c>
      <x:c r="F2286" s="6" t="str">
        <x:v>入聲十藥</x:v>
      </x:c>
      <x:c r="G2286" s="6" t="str">
        <x:v>Pingshui main list, Wikisource-derived DOCX</x:v>
      </x:c>
      <x:c r="H2286" s="6" t="str">
        <x:v>1</x:v>
      </x:c>
      <x:c r="I2286" s="6" t="str">
        <x:v>Targeted preliminary fill from Xun Gong; review if uncertain</x:v>
      </x:c>
      <x:c r="J2286" s="6" t="str">
        <x:f>IF(B2286="","",IF(AND(ISNUMBER(SEARCH("平",B2286)),OR(ISNUMBER(SEARCH("上",B2286)),ISNUMBER(SEARCH("去",B2286)),ISNUMBER(SEARCH("入",B2286)))),"Ambiguous",IF(ISNUMBER(SEARCH("平",B2286)),"平","仄")))</x:f>
        <x:v>仄</x:v>
      </x:c>
      <x:c r="K2286" s="6" t="str">
        <x:f>IF(D2286="","",IF(AND(ISNUMBER(SEARCH("平",D2286)),OR(ISNUMBER(SEARCH("上",D2286)),ISNUMBER(SEARCH("去",D2286)),ISNUMBER(SEARCH("入",D2286)))),"Ambiguous",IF(ISNUMBER(SEARCH("平",D2286)),"平","仄")))</x:f>
        <x:v>仄</x:v>
      </x:c>
      <x:c r="L2286" s="7" t="str">
        <x:v>Xun Gong character-readings.csv</x:v>
      </x:c>
    </x:row>
    <x:row r="2287">
      <x:c r="A2287" s="5" t="str">
        <x:v>漢</x:v>
      </x:c>
      <x:c r="B2287" s="6" t="str">
        <x:v>去</x:v>
      </x:c>
      <x:c r="C2287" s="6" t="str">
        <x:f>IF(B2287="","Needs decision","Ready")</x:f>
        <x:v>Ready</x:v>
      </x:c>
      <x:c r="D2287" s="6" t="str">
        <x:v>去</x:v>
      </x:c>
      <x:c r="E2287" s="6" t="str">
        <x:v>xanH (C)</x:v>
      </x:c>
      <x:c r="F2287" s="6" t="str">
        <x:v>去聲十五翰</x:v>
      </x:c>
      <x:c r="G2287" s="6" t="str">
        <x:v>Pingshui main list, Wikisource-derived DOCX</x:v>
      </x:c>
      <x:c r="H2287" s="6" t="str">
        <x:v>1</x:v>
      </x:c>
      <x:c r="I2287" s="6" t="str"/>
      <x:c r="J2287" s="6" t="str">
        <x:f>IF(B2287="","",IF(AND(ISNUMBER(SEARCH("平",B2287)),OR(ISNUMBER(SEARCH("上",B2287)),ISNUMBER(SEARCH("去",B2287)),ISNUMBER(SEARCH("入",B2287)))),"Ambiguous",IF(ISNUMBER(SEARCH("平",B2287)),"平","仄")))</x:f>
        <x:v>仄</x:v>
      </x:c>
      <x:c r="K2287" s="6" t="str">
        <x:f>IF(D2287="","",IF(AND(ISNUMBER(SEARCH("平",D2287)),OR(ISNUMBER(SEARCH("上",D2287)),ISNUMBER(SEARCH("去",D2287)),ISNUMBER(SEARCH("入",D2287)))),"Ambiguous",IF(ISNUMBER(SEARCH("平",D2287)),"平","仄")))</x:f>
        <x:v>仄</x:v>
      </x:c>
      <x:c r="L2287" s="7" t="str"/>
    </x:row>
    <x:row r="2288">
      <x:c r="A2288" s="5" t="str">
        <x:v>漣</x:v>
      </x:c>
      <x:c r="B2288" s="6" t="str">
        <x:v>平</x:v>
      </x:c>
      <x:c r="C2288" s="6" t="str">
        <x:f>IF(B2288="","Needs decision","Ready")</x:f>
        <x:v>Ready</x:v>
      </x:c>
      <x:c r="D2288" s="6" t="str">
        <x:v>平</x:v>
      </x:c>
      <x:c r="E2288" s="6" t="str">
        <x:v>ljen (A)</x:v>
      </x:c>
      <x:c r="F2288" s="6" t="str">
        <x:v>下平聲一先</x:v>
      </x:c>
      <x:c r="G2288" s="6" t="str">
        <x:v>Pingshui main list, Wikisource-derived DOCX</x:v>
      </x:c>
      <x:c r="H2288" s="6" t="str">
        <x:v>1</x:v>
      </x:c>
      <x:c r="I2288" s="6" t="str"/>
      <x:c r="J2288" s="6" t="str">
        <x:f>IF(B2288="","",IF(AND(ISNUMBER(SEARCH("平",B2288)),OR(ISNUMBER(SEARCH("上",B2288)),ISNUMBER(SEARCH("去",B2288)),ISNUMBER(SEARCH("入",B2288)))),"Ambiguous",IF(ISNUMBER(SEARCH("平",B2288)),"平","仄")))</x:f>
        <x:v>平</x:v>
      </x:c>
      <x:c r="K2288" s="6" t="str">
        <x:f>IF(D2288="","",IF(AND(ISNUMBER(SEARCH("平",D2288)),OR(ISNUMBER(SEARCH("上",D2288)),ISNUMBER(SEARCH("去",D2288)),ISNUMBER(SEARCH("入",D2288)))),"Ambiguous",IF(ISNUMBER(SEARCH("平",D2288)),"平","仄")))</x:f>
        <x:v>平</x:v>
      </x:c>
      <x:c r="L2288" s="7" t="str"/>
    </x:row>
    <x:row r="2289">
      <x:c r="A2289" s="5" t="str">
        <x:v>漧</x:v>
      </x:c>
      <x:c r="B2289" s="6" t="str">
        <x:v>平</x:v>
      </x:c>
      <x:c r="C2289" s="6" t="str">
        <x:f>IF(B2289="","Needs decision","Ready")</x:f>
        <x:v>Ready</x:v>
      </x:c>
      <x:c r="D2289" s="6" t="str">
        <x:v>平</x:v>
      </x:c>
      <x:c r="E2289" s="6" t="str">
        <x:v>kan (A)</x:v>
      </x:c>
      <x:c r="F2289" s="6" t="str"/>
      <x:c r="G2289" s="6" t="str"/>
      <x:c r="H2289" s="6" t="str">
        <x:v>1</x:v>
      </x:c>
      <x:c r="I2289" s="6" t="str"/>
      <x:c r="J2289" s="6" t="str">
        <x:f>IF(B2289="","",IF(AND(ISNUMBER(SEARCH("平",B2289)),OR(ISNUMBER(SEARCH("上",B2289)),ISNUMBER(SEARCH("去",B2289)),ISNUMBER(SEARCH("入",B2289)))),"Ambiguous",IF(ISNUMBER(SEARCH("平",B2289)),"平","仄")))</x:f>
        <x:v>平</x:v>
      </x:c>
      <x:c r="K2289" s="6" t="str">
        <x:f>IF(D2289="","",IF(AND(ISNUMBER(SEARCH("平",D2289)),OR(ISNUMBER(SEARCH("上",D2289)),ISNUMBER(SEARCH("去",D2289)),ISNUMBER(SEARCH("入",D2289)))),"Ambiguous",IF(ISNUMBER(SEARCH("平",D2289)),"平","仄")))</x:f>
        <x:v>平</x:v>
      </x:c>
      <x:c r="L2289" s="7" t="str"/>
    </x:row>
    <x:row r="2290">
      <x:c r="A2290" s="5" t="str">
        <x:v>漫</x:v>
      </x:c>
      <x:c r="B2290" s="6" t="str">
        <x:v>去</x:v>
      </x:c>
      <x:c r="C2290" s="6" t="str">
        <x:f>IF(B2290="","Needs decision","Ready")</x:f>
        <x:v>Ready</x:v>
      </x:c>
      <x:c r="D2290" s="6" t="str">
        <x:v>去</x:v>
      </x:c>
      <x:c r="E2290" s="6" t="str">
        <x:v>manH (C)</x:v>
      </x:c>
      <x:c r="F2290" s="6" t="str">
        <x:v>上平聲十四寒; 去聲十五翰</x:v>
      </x:c>
      <x:c r="G2290" s="6" t="str">
        <x:v>Pingshui main list, Wikisource-derived DOCX</x:v>
      </x:c>
      <x:c r="H2290" s="6" t="str">
        <x:v>1</x:v>
      </x:c>
      <x:c r="I2290" s="6" t="str"/>
      <x:c r="J2290" s="6" t="str">
        <x:f>IF(B2290="","",IF(AND(ISNUMBER(SEARCH("平",B2290)),OR(ISNUMBER(SEARCH("上",B2290)),ISNUMBER(SEARCH("去",B2290)),ISNUMBER(SEARCH("入",B2290)))),"Ambiguous",IF(ISNUMBER(SEARCH("平",B2290)),"平","仄")))</x:f>
        <x:v>仄</x:v>
      </x:c>
      <x:c r="K2290" s="6" t="str">
        <x:f>IF(D2290="","",IF(AND(ISNUMBER(SEARCH("平",D2290)),OR(ISNUMBER(SEARCH("上",D2290)),ISNUMBER(SEARCH("去",D2290)),ISNUMBER(SEARCH("入",D2290)))),"Ambiguous",IF(ISNUMBER(SEARCH("平",D2290)),"平","仄")))</x:f>
        <x:v>仄</x:v>
      </x:c>
      <x:c r="L2290" s="7" t="str"/>
    </x:row>
    <x:row r="2291">
      <x:c r="A2291" s="5" t="str">
        <x:v>漱</x:v>
      </x:c>
      <x:c r="B2291" s="6" t="str">
        <x:v>去</x:v>
      </x:c>
      <x:c r="C2291" s="6" t="str">
        <x:f>IF(B2291="","Needs decision","Ready")</x:f>
        <x:v>Ready</x:v>
      </x:c>
      <x:c r="D2291" s="6" t="str">
        <x:v>去</x:v>
      </x:c>
      <x:c r="E2291" s="6" t="str">
        <x:v>srjuwH (C)</x:v>
      </x:c>
      <x:c r="F2291" s="6" t="str">
        <x:v>去聲二十六宥</x:v>
      </x:c>
      <x:c r="G2291" s="6" t="str">
        <x:v>Pingshui main list, Wikisource-derived DOCX</x:v>
      </x:c>
      <x:c r="H2291" s="6" t="str">
        <x:v>1</x:v>
      </x:c>
      <x:c r="I2291" s="6" t="str"/>
      <x:c r="J2291" s="6" t="str">
        <x:f>IF(B2291="","",IF(AND(ISNUMBER(SEARCH("平",B2291)),OR(ISNUMBER(SEARCH("上",B2291)),ISNUMBER(SEARCH("去",B2291)),ISNUMBER(SEARCH("入",B2291)))),"Ambiguous",IF(ISNUMBER(SEARCH("平",B2291)),"平","仄")))</x:f>
        <x:v>仄</x:v>
      </x:c>
      <x:c r="K2291" s="6" t="str">
        <x:f>IF(D2291="","",IF(AND(ISNUMBER(SEARCH("平",D2291)),OR(ISNUMBER(SEARCH("上",D2291)),ISNUMBER(SEARCH("去",D2291)),ISNUMBER(SEARCH("入",D2291)))),"Ambiguous",IF(ISNUMBER(SEARCH("平",D2291)),"平","仄")))</x:f>
        <x:v>仄</x:v>
      </x:c>
      <x:c r="L2291" s="7" t="str"/>
    </x:row>
    <x:row r="2292">
      <x:c r="A2292" s="5" t="str">
        <x:v>漲</x:v>
      </x:c>
      <x:c r="B2292" s="6" t="str"/>
      <x:c r="C2292" s="6" t="str">
        <x:f>IF(B2292="","Needs decision","Ready")</x:f>
        <x:v>Needs decision</x:v>
      </x:c>
      <x:c r="D2292" s="6" t="str">
        <x:v>平/去</x:v>
      </x:c>
      <x:c r="E2292" s="6" t="str">
        <x:v>trjang [ʈjɑŋ] (平); trjangH [ʈjɑŋh] (去)</x:v>
      </x:c>
      <x:c r="F2292" s="6" t="str">
        <x:v>去聲二十三漾</x:v>
      </x:c>
      <x:c r="G2292" s="6" t="str">
        <x:v>Pingshui main list, Wikisource-derived DOCX</x:v>
      </x:c>
      <x:c r="H2292" s="6" t="str">
        <x:v>2</x:v>
      </x:c>
      <x:c r="I2292" s="6" t="str">
        <x:v>Tang 300 gap; frequency 1; ambiguous in Xun Gong</x:v>
      </x:c>
      <x:c r="J2292" s="6" t="str">
        <x:f>IF(B2292="","",IF(AND(ISNUMBER(SEARCH("平",B2292)),OR(ISNUMBER(SEARCH("上",B2292)),ISNUMBER(SEARCH("去",B2292)),ISNUMBER(SEARCH("入",B2292)))),"Ambiguous",IF(ISNUMBER(SEARCH("平",B2292)),"平","仄")))</x:f>
      </x:c>
      <x:c r="K2292" s="6" t="str">
        <x:f>IF(D2292="","",IF(AND(ISNUMBER(SEARCH("平",D2292)),OR(ISNUMBER(SEARCH("上",D2292)),ISNUMBER(SEARCH("去",D2292)),ISNUMBER(SEARCH("入",D2292)))),"Ambiguous",IF(ISNUMBER(SEARCH("平",D2292)),"平","仄")))</x:f>
        <x:v>Ambiguous</x:v>
      </x:c>
      <x:c r="L2292" s="7" t="str">
        <x:v>Xun Gong, Tang 300 gap fill</x:v>
      </x:c>
    </x:row>
    <x:row r="2293">
      <x:c r="A2293" s="5" t="str">
        <x:v>漳</x:v>
      </x:c>
      <x:c r="B2293" s="6" t="str">
        <x:v>平</x:v>
      </x:c>
      <x:c r="C2293" s="6" t="str">
        <x:f>IF(B2293="","Needs decision","Ready")</x:f>
        <x:v>Ready</x:v>
      </x:c>
      <x:c r="D2293" s="6" t="str">
        <x:v>平</x:v>
      </x:c>
      <x:c r="E2293" s="6" t="str"/>
      <x:c r="F2293" s="6" t="str">
        <x:v>下平聲七陽</x:v>
      </x:c>
      <x:c r="G2293" s="6" t="str">
        <x:v>Pingshui main list, Wikisource-derived DOCX</x:v>
      </x:c>
      <x:c r="H2293" s="6" t="str">
        <x:v>0</x:v>
      </x:c>
      <x:c r="I2293" s="6" t="str">
        <x:v>User correction 2026-09-08; added manually</x:v>
      </x:c>
      <x:c r="J2293" s="6" t="str">
        <x:f>IF(B2293="","",IF(AND(ISNUMBER(SEARCH("平",B2293)),OR(ISNUMBER(SEARCH("上",B2293)),ISNUMBER(SEARCH("去",B2293)),ISNUMBER(SEARCH("入",B2293)))),"Ambiguous",IF(ISNUMBER(SEARCH("平",B2293)),"平","仄")))</x:f>
        <x:v>平</x:v>
      </x:c>
      <x:c r="K2293" s="6" t="str">
        <x:f>IF(D2293="","",IF(AND(ISNUMBER(SEARCH("平",D2293)),OR(ISNUMBER(SEARCH("上",D2293)),ISNUMBER(SEARCH("去",D2293)),ISNUMBER(SEARCH("入",D2293)))),"Ambiguous",IF(ISNUMBER(SEARCH("平",D2293)),"平","仄")))</x:f>
        <x:v>平</x:v>
      </x:c>
      <x:c r="L2293" s="7" t="str">
        <x:v>User correction</x:v>
      </x:c>
    </x:row>
    <x:row r="2294">
      <x:c r="A2294" s="5" t="str">
        <x:v>漸</x:v>
      </x:c>
      <x:c r="B2294" s="6" t="str">
        <x:v>上</x:v>
      </x:c>
      <x:c r="C2294" s="6" t="str">
        <x:f>IF(B2294="","Needs decision","Ready")</x:f>
        <x:v>Ready</x:v>
      </x:c>
      <x:c r="D2294" s="6" t="str">
        <x:v>平/上</x:v>
      </x:c>
      <x:c r="E2294" s="6" t="str">
        <x:v>tsjem (A); dzjemX (B)</x:v>
      </x:c>
      <x:c r="F2294" s="6" t="str">
        <x:v>下平聲十四鹽; 上聲二十八琰</x:v>
      </x:c>
      <x:c r="G2294" s="6" t="str">
        <x:v>Pingshui main list, Wikisource-derived DOCX</x:v>
      </x:c>
      <x:c r="H2294" s="6" t="str">
        <x:v>2</x:v>
      </x:c>
      <x:c r="I2294" s="6" t="str">
        <x:v>Manual user correction/addition</x:v>
      </x:c>
      <x:c r="J2294" s="6" t="str">
        <x:f>IF(B2294="","",IF(AND(ISNUMBER(SEARCH("平",B2294)),OR(ISNUMBER(SEARCH("上",B2294)),ISNUMBER(SEARCH("去",B2294)),ISNUMBER(SEARCH("入",B2294)))),"Ambiguous",IF(ISNUMBER(SEARCH("平",B2294)),"平","仄")))</x:f>
        <x:v>仄</x:v>
      </x:c>
      <x:c r="K2294" s="6" t="str">
        <x:f>IF(D2294="","",IF(AND(ISNUMBER(SEARCH("平",D2294)),OR(ISNUMBER(SEARCH("上",D2294)),ISNUMBER(SEARCH("去",D2294)),ISNUMBER(SEARCH("入",D2294)))),"Ambiguous",IF(ISNUMBER(SEARCH("平",D2294)),"平","仄")))</x:f>
        <x:v>Ambiguous</x:v>
      </x:c>
      <x:c r="L2294" s="7" t="str">
        <x:v>manual user correction</x:v>
      </x:c>
    </x:row>
    <x:row r="2295">
      <x:c r="A2295" s="5" t="str">
        <x:v>漾</x:v>
      </x:c>
      <x:c r="B2295" s="6" t="str">
        <x:v>去</x:v>
      </x:c>
      <x:c r="C2295" s="6" t="str">
        <x:f>IF(B2295="","Needs decision","Ready")</x:f>
        <x:v>Ready</x:v>
      </x:c>
      <x:c r="D2295" s="6" t="str">
        <x:v>去</x:v>
      </x:c>
      <x:c r="E2295" s="6" t="str">
        <x:v>yangH [jɑŋh] (去)</x:v>
      </x:c>
      <x:c r="F2295" s="6" t="str">
        <x:v>去聲二十三漾</x:v>
      </x:c>
      <x:c r="G2295" s="6" t="str">
        <x:v>Pingshui main list, Wikisource-derived DOCX</x:v>
      </x:c>
      <x:c r="H2295" s="6" t="str">
        <x:v>1</x:v>
      </x:c>
      <x:c r="I2295" s="6" t="str">
        <x:v>Tang 300 gap; frequency 6; provisional from Xun Gong</x:v>
      </x:c>
      <x:c r="J2295" s="6" t="str">
        <x:f>IF(B2295="","",IF(AND(ISNUMBER(SEARCH("平",B2295)),OR(ISNUMBER(SEARCH("上",B2295)),ISNUMBER(SEARCH("去",B2295)),ISNUMBER(SEARCH("入",B2295)))),"Ambiguous",IF(ISNUMBER(SEARCH("平",B2295)),"平","仄")))</x:f>
        <x:v>仄</x:v>
      </x:c>
      <x:c r="K2295" s="6" t="str">
        <x:f>IF(D2295="","",IF(AND(ISNUMBER(SEARCH("平",D2295)),OR(ISNUMBER(SEARCH("上",D2295)),ISNUMBER(SEARCH("去",D2295)),ISNUMBER(SEARCH("入",D2295)))),"Ambiguous",IF(ISNUMBER(SEARCH("平",D2295)),"平","仄")))</x:f>
        <x:v>仄</x:v>
      </x:c>
      <x:c r="L2295" s="7" t="str">
        <x:v>Xun Gong, Tang 300 gap fill</x:v>
      </x:c>
    </x:row>
    <x:row r="2296">
      <x:c r="A2296" s="5" t="str">
        <x:v>漿</x:v>
      </x:c>
      <x:c r="B2296" s="6" t="str">
        <x:v>平</x:v>
      </x:c>
      <x:c r="C2296" s="6" t="str">
        <x:f>IF(B2296="","Needs decision","Ready")</x:f>
        <x:v>Ready</x:v>
      </x:c>
      <x:c r="D2296" s="6" t="str">
        <x:v>平</x:v>
      </x:c>
      <x:c r="E2296" s="6" t="str">
        <x:v>tsjang (A)</x:v>
      </x:c>
      <x:c r="F2296" s="6" t="str">
        <x:v>下平聲七陽</x:v>
      </x:c>
      <x:c r="G2296" s="6" t="str">
        <x:v>Pingshui main list, Wikisource-derived DOCX</x:v>
      </x:c>
      <x:c r="H2296" s="6" t="str">
        <x:v>1</x:v>
      </x:c>
      <x:c r="I2296" s="6" t="str"/>
      <x:c r="J2296" s="6" t="str">
        <x:f>IF(B2296="","",IF(AND(ISNUMBER(SEARCH("平",B2296)),OR(ISNUMBER(SEARCH("上",B2296)),ISNUMBER(SEARCH("去",B2296)),ISNUMBER(SEARCH("入",B2296)))),"Ambiguous",IF(ISNUMBER(SEARCH("平",B2296)),"平","仄")))</x:f>
        <x:v>平</x:v>
      </x:c>
      <x:c r="K2296" s="6" t="str">
        <x:f>IF(D2296="","",IF(AND(ISNUMBER(SEARCH("平",D2296)),OR(ISNUMBER(SEARCH("上",D2296)),ISNUMBER(SEARCH("去",D2296)),ISNUMBER(SEARCH("入",D2296)))),"Ambiguous",IF(ISNUMBER(SEARCH("平",D2296)),"平","仄")))</x:f>
        <x:v>平</x:v>
      </x:c>
      <x:c r="L2296" s="7" t="str"/>
    </x:row>
    <x:row r="2297">
      <x:c r="A2297" s="5" t="str">
        <x:v>潁</x:v>
      </x:c>
      <x:c r="B2297" s="6" t="str">
        <x:v>上</x:v>
      </x:c>
      <x:c r="C2297" s="6" t="str">
        <x:f>IF(B2297="","Needs decision","Ready")</x:f>
        <x:v>Ready</x:v>
      </x:c>
      <x:c r="D2297" s="6" t="str">
        <x:v>上</x:v>
      </x:c>
      <x:c r="E2297" s="6" t="str">
        <x:v>ywengX [jwaŋʔ] (上)</x:v>
      </x:c>
      <x:c r="F2297" s="6" t="str">
        <x:v>上聲二十三梗</x:v>
      </x:c>
      <x:c r="G2297" s="6" t="str">
        <x:v>Pingshui main list, Wikisource-derived DOCX</x:v>
      </x:c>
      <x:c r="H2297" s="6" t="str">
        <x:v>1</x:v>
      </x:c>
      <x:c r="I2297" s="6" t="str">
        <x:v>Tang 300 gap; frequency 3; provisional from Xun Gong</x:v>
      </x:c>
      <x:c r="J2297" s="6" t="str">
        <x:f>IF(B2297="","",IF(AND(ISNUMBER(SEARCH("平",B2297)),OR(ISNUMBER(SEARCH("上",B2297)),ISNUMBER(SEARCH("去",B2297)),ISNUMBER(SEARCH("入",B2297)))),"Ambiguous",IF(ISNUMBER(SEARCH("平",B2297)),"平","仄")))</x:f>
        <x:v>仄</x:v>
      </x:c>
      <x:c r="K2297" s="6" t="str">
        <x:f>IF(D2297="","",IF(AND(ISNUMBER(SEARCH("平",D2297)),OR(ISNUMBER(SEARCH("上",D2297)),ISNUMBER(SEARCH("去",D2297)),ISNUMBER(SEARCH("入",D2297)))),"Ambiguous",IF(ISNUMBER(SEARCH("平",D2297)),"平","仄")))</x:f>
        <x:v>仄</x:v>
      </x:c>
      <x:c r="L2297" s="7" t="str">
        <x:v>Xun Gong, Tang 300 gap fill</x:v>
      </x:c>
    </x:row>
    <x:row r="2298">
      <x:c r="A2298" s="5" t="str">
        <x:v>潔</x:v>
      </x:c>
      <x:c r="B2298" s="6" t="str">
        <x:v>入</x:v>
      </x:c>
      <x:c r="C2298" s="6" t="str">
        <x:f>IF(B2298="","Needs decision","Ready")</x:f>
        <x:v>Ready</x:v>
      </x:c>
      <x:c r="D2298" s="6" t="str">
        <x:v>入</x:v>
      </x:c>
      <x:c r="E2298" s="6" t="str">
        <x:v>ket (D)</x:v>
      </x:c>
      <x:c r="F2298" s="6" t="str">
        <x:v>入聲九屑</x:v>
      </x:c>
      <x:c r="G2298" s="6" t="str">
        <x:v>Pingshui main list, Wikisource-derived DOCX</x:v>
      </x:c>
      <x:c r="H2298" s="6" t="str">
        <x:v>1</x:v>
      </x:c>
      <x:c r="I2298" s="6" t="str"/>
      <x:c r="J2298" s="6" t="str">
        <x:f>IF(B2298="","",IF(AND(ISNUMBER(SEARCH("平",B2298)),OR(ISNUMBER(SEARCH("上",B2298)),ISNUMBER(SEARCH("去",B2298)),ISNUMBER(SEARCH("入",B2298)))),"Ambiguous",IF(ISNUMBER(SEARCH("平",B2298)),"平","仄")))</x:f>
        <x:v>仄</x:v>
      </x:c>
      <x:c r="K2298" s="6" t="str">
        <x:f>IF(D2298="","",IF(AND(ISNUMBER(SEARCH("平",D2298)),OR(ISNUMBER(SEARCH("上",D2298)),ISNUMBER(SEARCH("去",D2298)),ISNUMBER(SEARCH("入",D2298)))),"Ambiguous",IF(ISNUMBER(SEARCH("平",D2298)),"平","仄")))</x:f>
        <x:v>仄</x:v>
      </x:c>
      <x:c r="L2298" s="7" t="str"/>
    </x:row>
    <x:row r="2299">
      <x:c r="A2299" s="5" t="str">
        <x:v>潘</x:v>
      </x:c>
      <x:c r="B2299" s="6" t="str">
        <x:v>平</x:v>
      </x:c>
      <x:c r="C2299" s="6" t="str">
        <x:f>IF(B2299="","Needs decision","Ready")</x:f>
        <x:v>Ready</x:v>
      </x:c>
      <x:c r="D2299" s="6" t="str">
        <x:v>平</x:v>
      </x:c>
      <x:c r="E2299" s="6" t="str">
        <x:v>phan [p̙ʰɑn] (平)</x:v>
      </x:c>
      <x:c r="F2299" s="6" t="str">
        <x:v>上平聲十四寒</x:v>
      </x:c>
      <x:c r="G2299" s="6" t="str">
        <x:v>Pingshui main list, Wikisource-derived DOCX</x:v>
      </x:c>
      <x:c r="H2299" s="6" t="str">
        <x:v>1</x:v>
      </x:c>
      <x:c r="I2299" s="6" t="str">
        <x:v>Tang 300 gap; frequency 1; provisional from Xun Gong</x:v>
      </x:c>
      <x:c r="J2299" s="6" t="str">
        <x:f>IF(B2299="","",IF(AND(ISNUMBER(SEARCH("平",B2299)),OR(ISNUMBER(SEARCH("上",B2299)),ISNUMBER(SEARCH("去",B2299)),ISNUMBER(SEARCH("入",B2299)))),"Ambiguous",IF(ISNUMBER(SEARCH("平",B2299)),"平","仄")))</x:f>
        <x:v>平</x:v>
      </x:c>
      <x:c r="K2299" s="6" t="str">
        <x:f>IF(D2299="","",IF(AND(ISNUMBER(SEARCH("平",D2299)),OR(ISNUMBER(SEARCH("上",D2299)),ISNUMBER(SEARCH("去",D2299)),ISNUMBER(SEARCH("入",D2299)))),"Ambiguous",IF(ISNUMBER(SEARCH("平",D2299)),"平","仄")))</x:f>
        <x:v>平</x:v>
      </x:c>
      <x:c r="L2299" s="7" t="str">
        <x:v>Xun Gong, Tang 300 gap fill</x:v>
      </x:c>
    </x:row>
    <x:row r="2300">
      <x:c r="A2300" s="5" t="str">
        <x:v>潛</x:v>
      </x:c>
      <x:c r="B2300" s="6" t="str"/>
      <x:c r="C2300" s="6" t="str">
        <x:f>IF(B2300="","Needs decision","Ready")</x:f>
        <x:v>Needs decision</x:v>
      </x:c>
      <x:c r="D2300" s="6" t="str">
        <x:v>平/去</x:v>
      </x:c>
      <x:c r="E2300" s="6" t="str">
        <x:v>dzjem (A); dzjemH (C)</x:v>
      </x:c>
      <x:c r="F2300" s="6" t="str">
        <x:v>下平聲十四鹽; 去聲二十九豔</x:v>
      </x:c>
      <x:c r="G2300" s="6" t="str">
        <x:v>Pingshui main list, Wikisource-derived DOCX</x:v>
      </x:c>
      <x:c r="H2300" s="6" t="str">
        <x:v>2</x:v>
      </x:c>
      <x:c r="I2300" s="6" t="str"/>
      <x:c r="J2300" s="6" t="str">
        <x:f>IF(B2300="","",IF(AND(ISNUMBER(SEARCH("平",B2300)),OR(ISNUMBER(SEARCH("上",B2300)),ISNUMBER(SEARCH("去",B2300)),ISNUMBER(SEARCH("入",B2300)))),"Ambiguous",IF(ISNUMBER(SEARCH("平",B2300)),"平","仄")))</x:f>
      </x:c>
      <x:c r="K2300" s="6" t="str">
        <x:f>IF(D2300="","",IF(AND(ISNUMBER(SEARCH("平",D2300)),OR(ISNUMBER(SEARCH("上",D2300)),ISNUMBER(SEARCH("去",D2300)),ISNUMBER(SEARCH("入",D2300)))),"Ambiguous",IF(ISNUMBER(SEARCH("平",D2300)),"平","仄")))</x:f>
        <x:v>Ambiguous</x:v>
      </x:c>
      <x:c r="L2300" s="7" t="str"/>
    </x:row>
    <x:row r="2301">
      <x:c r="A2301" s="5" t="str">
        <x:v>潟</x:v>
      </x:c>
      <x:c r="B2301" s="6" t="str">
        <x:v>入</x:v>
      </x:c>
      <x:c r="C2301" s="6" t="str">
        <x:f>IF(B2301="","Needs decision","Ready")</x:f>
        <x:v>Ready</x:v>
      </x:c>
      <x:c r="D2301" s="6" t="str">
        <x:v>入</x:v>
      </x:c>
      <x:c r="E2301" s="6" t="str">
        <x:v>sjek (D)</x:v>
      </x:c>
      <x:c r="F2301" s="6" t="str">
        <x:v>入聲十一陌</x:v>
      </x:c>
      <x:c r="G2301" s="6" t="str">
        <x:v>Pingshui main list, Wikisource-derived DOCX</x:v>
      </x:c>
      <x:c r="H2301" s="6" t="str">
        <x:v>1</x:v>
      </x:c>
      <x:c r="I2301" s="6" t="str"/>
      <x:c r="J2301" s="6" t="str">
        <x:f>IF(B2301="","",IF(AND(ISNUMBER(SEARCH("平",B2301)),OR(ISNUMBER(SEARCH("上",B2301)),ISNUMBER(SEARCH("去",B2301)),ISNUMBER(SEARCH("入",B2301)))),"Ambiguous",IF(ISNUMBER(SEARCH("平",B2301)),"平","仄")))</x:f>
        <x:v>仄</x:v>
      </x:c>
      <x:c r="K2301" s="6" t="str">
        <x:f>IF(D2301="","",IF(AND(ISNUMBER(SEARCH("平",D2301)),OR(ISNUMBER(SEARCH("上",D2301)),ISNUMBER(SEARCH("去",D2301)),ISNUMBER(SEARCH("入",D2301)))),"Ambiguous",IF(ISNUMBER(SEARCH("平",D2301)),"平","仄")))</x:f>
        <x:v>仄</x:v>
      </x:c>
      <x:c r="L2301" s="7" t="str"/>
    </x:row>
    <x:row r="2302">
      <x:c r="A2302" s="5" t="str">
        <x:v>潢</x:v>
      </x:c>
      <x:c r="B2302" s="6" t="str"/>
      <x:c r="C2302" s="6" t="str">
        <x:f>IF(B2302="","Needs decision","Ready")</x:f>
        <x:v>Needs decision</x:v>
      </x:c>
      <x:c r="D2302" s="6" t="str">
        <x:v>平/去</x:v>
      </x:c>
      <x:c r="E2302" s="6" t="str">
        <x:v>hwang [ʁwɑŋ] (平); hwangH [ʁwɑŋh] (去)</x:v>
      </x:c>
      <x:c r="F2302" s="6" t="str">
        <x:v>下平聲七陽; 去聲二十三漾</x:v>
      </x:c>
      <x:c r="G2302" s="6" t="str">
        <x:v>Pingshui main list, Wikisource-derived DOCX</x:v>
      </x:c>
      <x:c r="H2302" s="6" t="str">
        <x:v>2</x:v>
      </x:c>
      <x:c r="I2302" s="6" t="str">
        <x:v>Tang 300 gap; frequency 1; ambiguous in Xun Gong</x:v>
      </x:c>
      <x:c r="J2302" s="6" t="str">
        <x:f>IF(B2302="","",IF(AND(ISNUMBER(SEARCH("平",B2302)),OR(ISNUMBER(SEARCH("上",B2302)),ISNUMBER(SEARCH("去",B2302)),ISNUMBER(SEARCH("入",B2302)))),"Ambiguous",IF(ISNUMBER(SEARCH("平",B2302)),"平","仄")))</x:f>
      </x:c>
      <x:c r="K2302" s="6" t="str">
        <x:f>IF(D2302="","",IF(AND(ISNUMBER(SEARCH("平",D2302)),OR(ISNUMBER(SEARCH("上",D2302)),ISNUMBER(SEARCH("去",D2302)),ISNUMBER(SEARCH("入",D2302)))),"Ambiguous",IF(ISNUMBER(SEARCH("平",D2302)),"平","仄")))</x:f>
        <x:v>Ambiguous</x:v>
      </x:c>
      <x:c r="L2302" s="7" t="str">
        <x:v>Xun Gong, Tang 300 gap fill</x:v>
      </x:c>
    </x:row>
    <x:row r="2303">
      <x:c r="A2303" s="5" t="str">
        <x:v>潤</x:v>
      </x:c>
      <x:c r="B2303" s="6" t="str">
        <x:v>去</x:v>
      </x:c>
      <x:c r="C2303" s="6" t="str">
        <x:f>IF(B2303="","Needs decision","Ready")</x:f>
        <x:v>Ready</x:v>
      </x:c>
      <x:c r="D2303" s="6" t="str">
        <x:v>去</x:v>
      </x:c>
      <x:c r="E2303" s="6" t="str"/>
      <x:c r="F2303" s="6" t="str">
        <x:v>去聲十二震</x:v>
      </x:c>
      <x:c r="G2303" s="6" t="str">
        <x:v>Pingshui main list, Wikisource-derived DOCX</x:v>
      </x:c>
      <x:c r="H2303" s="6" t="str">
        <x:v>0</x:v>
      </x:c>
      <x:c r="I2303" s="6" t="str">
        <x:v>User correction 2026-09-08; added manually</x:v>
      </x:c>
      <x:c r="J2303" s="6" t="str">
        <x:f>IF(B2303="","",IF(AND(ISNUMBER(SEARCH("平",B2303)),OR(ISNUMBER(SEARCH("上",B2303)),ISNUMBER(SEARCH("去",B2303)),ISNUMBER(SEARCH("入",B2303)))),"Ambiguous",IF(ISNUMBER(SEARCH("平",B2303)),"平","仄")))</x:f>
        <x:v>仄</x:v>
      </x:c>
      <x:c r="K2303" s="6" t="str">
        <x:f>IF(D2303="","",IF(AND(ISNUMBER(SEARCH("平",D2303)),OR(ISNUMBER(SEARCH("上",D2303)),ISNUMBER(SEARCH("去",D2303)),ISNUMBER(SEARCH("入",D2303)))),"Ambiguous",IF(ISNUMBER(SEARCH("平",D2303)),"平","仄")))</x:f>
        <x:v>仄</x:v>
      </x:c>
      <x:c r="L2303" s="7" t="str">
        <x:v>User correction</x:v>
      </x:c>
    </x:row>
    <x:row r="2304">
      <x:c r="A2304" s="5" t="str">
        <x:v>潦</x:v>
      </x:c>
      <x:c r="B2304" s="6" t="str"/>
      <x:c r="C2304" s="6" t="str">
        <x:f>IF(B2304="","Needs decision","Ready")</x:f>
        <x:v>Needs decision</x:v>
      </x:c>
      <x:c r="D2304" s="6" t="str">
        <x:v>上/去</x:v>
      </x:c>
      <x:c r="E2304" s="6" t="str">
        <x:v>lawH [l̙əwh] (去); lawX [l̙əwʔ] (上)</x:v>
      </x:c>
      <x:c r="F2304" s="6" t="str">
        <x:v>上聲十九皓</x:v>
      </x:c>
      <x:c r="G2304" s="6" t="str">
        <x:v>Pingshui main list, Wikisource-derived DOCX</x:v>
      </x:c>
      <x:c r="H2304" s="6" t="str">
        <x:v>2</x:v>
      </x:c>
      <x:c r="I2304" s="6" t="str">
        <x:v>Tang 300 gap; frequency 1; ambiguous in Xun Gong</x:v>
      </x:c>
      <x:c r="J2304" s="6" t="str">
        <x:f>IF(B2304="","",IF(AND(ISNUMBER(SEARCH("平",B2304)),OR(ISNUMBER(SEARCH("上",B2304)),ISNUMBER(SEARCH("去",B2304)),ISNUMBER(SEARCH("入",B2304)))),"Ambiguous",IF(ISNUMBER(SEARCH("平",B2304)),"平","仄")))</x:f>
      </x:c>
      <x:c r="K2304" s="6" t="str">
        <x:f>IF(D2304="","",IF(AND(ISNUMBER(SEARCH("平",D2304)),OR(ISNUMBER(SEARCH("上",D2304)),ISNUMBER(SEARCH("去",D2304)),ISNUMBER(SEARCH("入",D2304)))),"Ambiguous",IF(ISNUMBER(SEARCH("平",D2304)),"平","仄")))</x:f>
        <x:v>仄</x:v>
      </x:c>
      <x:c r="L2304" s="7" t="str">
        <x:v>Xun Gong, Tang 300 gap fill</x:v>
      </x:c>
    </x:row>
    <x:row r="2305">
      <x:c r="A2305" s="5" t="str">
        <x:v>潨</x:v>
      </x:c>
      <x:c r="B2305" s="6" t="str">
        <x:v>平</x:v>
      </x:c>
      <x:c r="C2305" s="6" t="str">
        <x:f>IF(B2305="","Needs decision","Ready")</x:f>
        <x:v>Ready</x:v>
      </x:c>
      <x:c r="D2305" s="6" t="str">
        <x:v>平</x:v>
      </x:c>
      <x:c r="E2305" s="6" t="str">
        <x:v>dzowng (A); tsyuwng (A)</x:v>
      </x:c>
      <x:c r="F2305" s="6" t="str"/>
      <x:c r="G2305" s="6" t="str"/>
      <x:c r="H2305" s="6" t="str">
        <x:v>2</x:v>
      </x:c>
      <x:c r="I2305" s="6" t="str"/>
      <x:c r="J2305" s="6" t="str">
        <x:f>IF(B2305="","",IF(AND(ISNUMBER(SEARCH("平",B2305)),OR(ISNUMBER(SEARCH("上",B2305)),ISNUMBER(SEARCH("去",B2305)),ISNUMBER(SEARCH("入",B2305)))),"Ambiguous",IF(ISNUMBER(SEARCH("平",B2305)),"平","仄")))</x:f>
        <x:v>平</x:v>
      </x:c>
      <x:c r="K2305" s="6" t="str">
        <x:f>IF(D2305="","",IF(AND(ISNUMBER(SEARCH("平",D2305)),OR(ISNUMBER(SEARCH("上",D2305)),ISNUMBER(SEARCH("去",D2305)),ISNUMBER(SEARCH("入",D2305)))),"Ambiguous",IF(ISNUMBER(SEARCH("平",D2305)),"平","仄")))</x:f>
        <x:v>平</x:v>
      </x:c>
      <x:c r="L2305" s="7" t="str"/>
    </x:row>
    <x:row r="2306">
      <x:c r="A2306" s="5" t="str">
        <x:v>潭</x:v>
      </x:c>
      <x:c r="B2306" s="6" t="str">
        <x:v>平</x:v>
      </x:c>
      <x:c r="C2306" s="6" t="str">
        <x:f>IF(B2306="","Needs decision","Ready")</x:f>
        <x:v>Ready</x:v>
      </x:c>
      <x:c r="D2306" s="6" t="str">
        <x:v>平</x:v>
      </x:c>
      <x:c r="E2306" s="6" t="str">
        <x:v>dom (A)</x:v>
      </x:c>
      <x:c r="F2306" s="6" t="str">
        <x:v>下平聲十三覃</x:v>
      </x:c>
      <x:c r="G2306" s="6" t="str">
        <x:v>Pingshui main list, Wikisource-derived DOCX</x:v>
      </x:c>
      <x:c r="H2306" s="6" t="str">
        <x:v>1</x:v>
      </x:c>
      <x:c r="I2306" s="6" t="str"/>
      <x:c r="J2306" s="6" t="str">
        <x:f>IF(B2306="","",IF(AND(ISNUMBER(SEARCH("平",B2306)),OR(ISNUMBER(SEARCH("上",B2306)),ISNUMBER(SEARCH("去",B2306)),ISNUMBER(SEARCH("入",B2306)))),"Ambiguous",IF(ISNUMBER(SEARCH("平",B2306)),"平","仄")))</x:f>
        <x:v>平</x:v>
      </x:c>
      <x:c r="K2306" s="6" t="str">
        <x:f>IF(D2306="","",IF(AND(ISNUMBER(SEARCH("平",D2306)),OR(ISNUMBER(SEARCH("上",D2306)),ISNUMBER(SEARCH("去",D2306)),ISNUMBER(SEARCH("入",D2306)))),"Ambiguous",IF(ISNUMBER(SEARCH("平",D2306)),"平","仄")))</x:f>
        <x:v>平</x:v>
      </x:c>
      <x:c r="L2306" s="7" t="str"/>
    </x:row>
    <x:row r="2307">
      <x:c r="A2307" s="5" t="str">
        <x:v>潮</x:v>
      </x:c>
      <x:c r="B2307" s="6" t="str">
        <x:v>平</x:v>
      </x:c>
      <x:c r="C2307" s="6" t="str">
        <x:f>IF(B2307="","Needs decision","Ready")</x:f>
        <x:v>Ready</x:v>
      </x:c>
      <x:c r="D2307" s="6" t="str">
        <x:v>平</x:v>
      </x:c>
      <x:c r="E2307" s="6" t="str">
        <x:v>drjew (A)</x:v>
      </x:c>
      <x:c r="F2307" s="6" t="str">
        <x:v>下平聲二蕭</x:v>
      </x:c>
      <x:c r="G2307" s="6" t="str">
        <x:v>Pingshui main list, Wikisource-derived DOCX</x:v>
      </x:c>
      <x:c r="H2307" s="6" t="str">
        <x:v>1</x:v>
      </x:c>
      <x:c r="I2307" s="6" t="str"/>
      <x:c r="J2307" s="6" t="str">
        <x:f>IF(B2307="","",IF(AND(ISNUMBER(SEARCH("平",B2307)),OR(ISNUMBER(SEARCH("上",B2307)),ISNUMBER(SEARCH("去",B2307)),ISNUMBER(SEARCH("入",B2307)))),"Ambiguous",IF(ISNUMBER(SEARCH("平",B2307)),"平","仄")))</x:f>
        <x:v>平</x:v>
      </x:c>
      <x:c r="K2307" s="6" t="str">
        <x:f>IF(D2307="","",IF(AND(ISNUMBER(SEARCH("平",D2307)),OR(ISNUMBER(SEARCH("上",D2307)),ISNUMBER(SEARCH("去",D2307)),ISNUMBER(SEARCH("入",D2307)))),"Ambiguous",IF(ISNUMBER(SEARCH("平",D2307)),"平","仄")))</x:f>
        <x:v>平</x:v>
      </x:c>
      <x:c r="L2307" s="7" t="str"/>
    </x:row>
    <x:row r="2308">
      <x:c r="A2308" s="5" t="str">
        <x:v>潯</x:v>
      </x:c>
      <x:c r="B2308" s="6" t="str">
        <x:v>平</x:v>
      </x:c>
      <x:c r="C2308" s="6" t="str">
        <x:f>IF(B2308="","Needs decision","Ready")</x:f>
        <x:v>Ready</x:v>
      </x:c>
      <x:c r="D2308" s="6" t="str">
        <x:v>平</x:v>
      </x:c>
      <x:c r="E2308" s="6" t="str">
        <x:v>zim [zim] (平)</x:v>
      </x:c>
      <x:c r="F2308" s="6" t="str">
        <x:v>下平聲十二侵</x:v>
      </x:c>
      <x:c r="G2308" s="6" t="str">
        <x:v>Pingshui main list, Wikisource-derived DOCX</x:v>
      </x:c>
      <x:c r="H2308" s="6" t="str">
        <x:v>1</x:v>
      </x:c>
      <x:c r="I2308" s="6" t="str">
        <x:v>Tang 300 gap; frequency 3; provisional from Xun Gong</x:v>
      </x:c>
      <x:c r="J2308" s="6" t="str">
        <x:f>IF(B2308="","",IF(AND(ISNUMBER(SEARCH("平",B2308)),OR(ISNUMBER(SEARCH("上",B2308)),ISNUMBER(SEARCH("去",B2308)),ISNUMBER(SEARCH("入",B2308)))),"Ambiguous",IF(ISNUMBER(SEARCH("平",B2308)),"平","仄")))</x:f>
        <x:v>平</x:v>
      </x:c>
      <x:c r="K2308" s="6" t="str">
        <x:f>IF(D2308="","",IF(AND(ISNUMBER(SEARCH("平",D2308)),OR(ISNUMBER(SEARCH("上",D2308)),ISNUMBER(SEARCH("去",D2308)),ISNUMBER(SEARCH("入",D2308)))),"Ambiguous",IF(ISNUMBER(SEARCH("平",D2308)),"平","仄")))</x:f>
        <x:v>平</x:v>
      </x:c>
      <x:c r="L2308" s="7" t="str">
        <x:v>Xun Gong, Tang 300 gap fill</x:v>
      </x:c>
    </x:row>
    <x:row r="2309">
      <x:c r="A2309" s="5" t="str">
        <x:v>潰</x:v>
      </x:c>
      <x:c r="B2309" s="6" t="str">
        <x:v>去</x:v>
      </x:c>
      <x:c r="C2309" s="6" t="str">
        <x:f>IF(B2309="","Needs decision","Ready")</x:f>
        <x:v>Ready</x:v>
      </x:c>
      <x:c r="D2309" s="6" t="str">
        <x:v>去</x:v>
      </x:c>
      <x:c r="E2309" s="6" t="str">
        <x:v>hwojH (C)</x:v>
      </x:c>
      <x:c r="F2309" s="6" t="str">
        <x:v>去聲十一隊</x:v>
      </x:c>
      <x:c r="G2309" s="6" t="str">
        <x:v>Pingshui main list, Wikisource-derived DOCX</x:v>
      </x:c>
      <x:c r="H2309" s="6" t="str">
        <x:v>1</x:v>
      </x:c>
      <x:c r="I2309" s="6" t="str"/>
      <x:c r="J2309" s="6" t="str">
        <x:f>IF(B2309="","",IF(AND(ISNUMBER(SEARCH("平",B2309)),OR(ISNUMBER(SEARCH("上",B2309)),ISNUMBER(SEARCH("去",B2309)),ISNUMBER(SEARCH("入",B2309)))),"Ambiguous",IF(ISNUMBER(SEARCH("平",B2309)),"平","仄")))</x:f>
        <x:v>仄</x:v>
      </x:c>
      <x:c r="K2309" s="6" t="str">
        <x:f>IF(D2309="","",IF(AND(ISNUMBER(SEARCH("平",D2309)),OR(ISNUMBER(SEARCH("上",D2309)),ISNUMBER(SEARCH("去",D2309)),ISNUMBER(SEARCH("入",D2309)))),"Ambiguous",IF(ISNUMBER(SEARCH("平",D2309)),"平","仄")))</x:f>
        <x:v>仄</x:v>
      </x:c>
      <x:c r="L2309" s="7" t="str"/>
    </x:row>
    <x:row r="2310">
      <x:c r="A2310" s="5" t="str">
        <x:v>潸</x:v>
      </x:c>
      <x:c r="B2310" s="6" t="str">
        <x:v>平</x:v>
      </x:c>
      <x:c r="C2310" s="6" t="str">
        <x:f>IF(B2310="","Needs decision","Ready")</x:f>
        <x:v>Ready</x:v>
      </x:c>
      <x:c r="D2310" s="6" t="str">
        <x:v>平</x:v>
      </x:c>
      <x:c r="E2310" s="6" t="str">
        <x:v>sraen (A); srean (A)</x:v>
      </x:c>
      <x:c r="F2310" s="6" t="str">
        <x:v>上平聲十五刪; 上聲十五潸</x:v>
      </x:c>
      <x:c r="G2310" s="6" t="str">
        <x:v>Pingshui main list, Wikisource-derived DOCX</x:v>
      </x:c>
      <x:c r="H2310" s="6" t="str">
        <x:v>2</x:v>
      </x:c>
      <x:c r="I2310" s="6" t="str"/>
      <x:c r="J2310" s="6" t="str">
        <x:f>IF(B2310="","",IF(AND(ISNUMBER(SEARCH("平",B2310)),OR(ISNUMBER(SEARCH("上",B2310)),ISNUMBER(SEARCH("去",B2310)),ISNUMBER(SEARCH("入",B2310)))),"Ambiguous",IF(ISNUMBER(SEARCH("平",B2310)),"平","仄")))</x:f>
        <x:v>平</x:v>
      </x:c>
      <x:c r="K2310" s="6" t="str">
        <x:f>IF(D2310="","",IF(AND(ISNUMBER(SEARCH("平",D2310)),OR(ISNUMBER(SEARCH("上",D2310)),ISNUMBER(SEARCH("去",D2310)),ISNUMBER(SEARCH("入",D2310)))),"Ambiguous",IF(ISNUMBER(SEARCH("平",D2310)),"平","仄")))</x:f>
        <x:v>平</x:v>
      </x:c>
      <x:c r="L2310" s="7" t="str"/>
    </x:row>
    <x:row r="2311">
      <x:c r="A2311" s="5" t="str">
        <x:v>潺</x:v>
      </x:c>
      <x:c r="B2311" s="6" t="str">
        <x:v>平</x:v>
      </x:c>
      <x:c r="C2311" s="6" t="str">
        <x:f>IF(B2311="","Needs decision","Ready")</x:f>
        <x:v>Ready</x:v>
      </x:c>
      <x:c r="D2311" s="6" t="str">
        <x:v>平</x:v>
      </x:c>
      <x:c r="E2311" s="6" t="str"/>
      <x:c r="F2311" s="6" t="str">
        <x:v>上平聲十五刪; 下平聲一先</x:v>
      </x:c>
      <x:c r="G2311" s="6" t="str">
        <x:v>Pingshui main list, Wikisource-derived DOCX</x:v>
      </x:c>
      <x:c r="H2311" s="6" t="str"/>
      <x:c r="I2311" s="6" t="str">
        <x:v>Manual user correction/addition</x:v>
      </x:c>
      <x:c r="J2311" s="6" t="str">
        <x:f>IF(B2311="","",IF(AND(ISNUMBER(SEARCH("平",B2311)),OR(ISNUMBER(SEARCH("上",B2311)),ISNUMBER(SEARCH("去",B2311)),ISNUMBER(SEARCH("入",B2311)))),"Ambiguous",IF(ISNUMBER(SEARCH("平",B2311)),"平","仄")))</x:f>
        <x:v>平</x:v>
      </x:c>
      <x:c r="K2311" s="6" t="str">
        <x:f>IF(D2311="","",IF(AND(ISNUMBER(SEARCH("平",D2311)),OR(ISNUMBER(SEARCH("上",D2311)),ISNUMBER(SEARCH("去",D2311)),ISNUMBER(SEARCH("入",D2311)))),"Ambiguous",IF(ISNUMBER(SEARCH("平",D2311)),"平","仄")))</x:f>
        <x:v>平</x:v>
      </x:c>
      <x:c r="L2311" s="7" t="str">
        <x:v>manual user correction</x:v>
      </x:c>
    </x:row>
    <x:row r="2312">
      <x:c r="A2312" s="5" t="str">
        <x:v>澀</x:v>
      </x:c>
      <x:c r="B2312" s="6" t="str">
        <x:v>入</x:v>
      </x:c>
      <x:c r="C2312" s="6" t="str">
        <x:f>IF(B2312="","Needs decision","Ready")</x:f>
        <x:v>Ready</x:v>
      </x:c>
      <x:c r="D2312" s="6" t="str">
        <x:v>入</x:v>
      </x:c>
      <x:c r="E2312" s="6" t="str">
        <x:v>srip [ʂɨ̯ip] (入)</x:v>
      </x:c>
      <x:c r="F2312" s="6" t="str"/>
      <x:c r="G2312" s="6" t="str"/>
      <x:c r="H2312" s="6" t="str">
        <x:v>1</x:v>
      </x:c>
      <x:c r="I2312" s="6" t="str">
        <x:v>Tang 300 gap; frequency 1; provisional from Xun Gong</x:v>
      </x:c>
      <x:c r="J2312" s="6" t="str">
        <x:f>IF(B2312="","",IF(AND(ISNUMBER(SEARCH("平",B2312)),OR(ISNUMBER(SEARCH("上",B2312)),ISNUMBER(SEARCH("去",B2312)),ISNUMBER(SEARCH("入",B2312)))),"Ambiguous",IF(ISNUMBER(SEARCH("平",B2312)),"平","仄")))</x:f>
        <x:v>仄</x:v>
      </x:c>
      <x:c r="K2312" s="6" t="str">
        <x:f>IF(D2312="","",IF(AND(ISNUMBER(SEARCH("平",D2312)),OR(ISNUMBER(SEARCH("上",D2312)),ISNUMBER(SEARCH("去",D2312)),ISNUMBER(SEARCH("入",D2312)))),"Ambiguous",IF(ISNUMBER(SEARCH("平",D2312)),"平","仄")))</x:f>
        <x:v>仄</x:v>
      </x:c>
      <x:c r="L2312" s="7" t="str">
        <x:v>Xun Gong, Tang 300 gap fill</x:v>
      </x:c>
    </x:row>
    <x:row r="2313">
      <x:c r="A2313" s="5" t="str">
        <x:v>澄</x:v>
      </x:c>
      <x:c r="B2313" s="6" t="str">
        <x:v>平</x:v>
      </x:c>
      <x:c r="C2313" s="6" t="str">
        <x:f>IF(B2313="","Needs decision","Ready")</x:f>
        <x:v>Ready</x:v>
      </x:c>
      <x:c r="D2313" s="6" t="str">
        <x:v>平</x:v>
      </x:c>
      <x:c r="E2313" s="6" t="str">
        <x:v>dring (A)</x:v>
      </x:c>
      <x:c r="F2313" s="6" t="str"/>
      <x:c r="G2313" s="6" t="str"/>
      <x:c r="H2313" s="6" t="str">
        <x:v>1</x:v>
      </x:c>
      <x:c r="I2313" s="6" t="str"/>
      <x:c r="J2313" s="6" t="str">
        <x:f>IF(B2313="","",IF(AND(ISNUMBER(SEARCH("平",B2313)),OR(ISNUMBER(SEARCH("上",B2313)),ISNUMBER(SEARCH("去",B2313)),ISNUMBER(SEARCH("入",B2313)))),"Ambiguous",IF(ISNUMBER(SEARCH("平",B2313)),"平","仄")))</x:f>
        <x:v>平</x:v>
      </x:c>
      <x:c r="K2313" s="6" t="str">
        <x:f>IF(D2313="","",IF(AND(ISNUMBER(SEARCH("平",D2313)),OR(ISNUMBER(SEARCH("上",D2313)),ISNUMBER(SEARCH("去",D2313)),ISNUMBER(SEARCH("入",D2313)))),"Ambiguous",IF(ISNUMBER(SEARCH("平",D2313)),"平","仄")))</x:f>
        <x:v>平</x:v>
      </x:c>
      <x:c r="L2313" s="7" t="str"/>
    </x:row>
    <x:row r="2314">
      <x:c r="A2314" s="5" t="str">
        <x:v>澈</x:v>
      </x:c>
      <x:c r="B2314" s="6" t="str">
        <x:v>入</x:v>
      </x:c>
      <x:c r="C2314" s="6" t="str">
        <x:f>IF(B2314="","Needs decision","Ready")</x:f>
        <x:v>Ready</x:v>
      </x:c>
      <x:c r="D2314" s="6" t="str">
        <x:v>入</x:v>
      </x:c>
      <x:c r="E2314" s="6" t="str">
        <x:v>drjet (D)</x:v>
      </x:c>
      <x:c r="F2314" s="6" t="str">
        <x:v>入聲九屑</x:v>
      </x:c>
      <x:c r="G2314" s="6" t="str">
        <x:v>Pingshui main list, Wikisource-derived DOCX</x:v>
      </x:c>
      <x:c r="H2314" s="6" t="str">
        <x:v>1</x:v>
      </x:c>
      <x:c r="I2314" s="6" t="str"/>
      <x:c r="J2314" s="6" t="str">
        <x:f>IF(B2314="","",IF(AND(ISNUMBER(SEARCH("平",B2314)),OR(ISNUMBER(SEARCH("上",B2314)),ISNUMBER(SEARCH("去",B2314)),ISNUMBER(SEARCH("入",B2314)))),"Ambiguous",IF(ISNUMBER(SEARCH("平",B2314)),"平","仄")))</x:f>
        <x:v>仄</x:v>
      </x:c>
      <x:c r="K2314" s="6" t="str">
        <x:f>IF(D2314="","",IF(AND(ISNUMBER(SEARCH("平",D2314)),OR(ISNUMBER(SEARCH("上",D2314)),ISNUMBER(SEARCH("去",D2314)),ISNUMBER(SEARCH("入",D2314)))),"Ambiguous",IF(ISNUMBER(SEARCH("平",D2314)),"平","仄")))</x:f>
        <x:v>仄</x:v>
      </x:c>
      <x:c r="L2314" s="7" t="str"/>
    </x:row>
    <x:row r="2315">
      <x:c r="A2315" s="5" t="str">
        <x:v>澒</x:v>
      </x:c>
      <x:c r="B2315" s="6" t="str">
        <x:v>上</x:v>
      </x:c>
      <x:c r="C2315" s="6" t="str">
        <x:f>IF(B2315="","Needs decision","Ready")</x:f>
        <x:v>Ready</x:v>
      </x:c>
      <x:c r="D2315" s="6" t="str">
        <x:v>上</x:v>
      </x:c>
      <x:c r="E2315" s="6" t="str">
        <x:v>huwngX [ʁuŋʔ] (上)</x:v>
      </x:c>
      <x:c r="F2315" s="6" t="str">
        <x:v>上聲一董</x:v>
      </x:c>
      <x:c r="G2315" s="6" t="str">
        <x:v>Pingshui main list, Wikisource-derived DOCX</x:v>
      </x:c>
      <x:c r="H2315" s="6" t="str">
        <x:v>1</x:v>
      </x:c>
      <x:c r="I2315" s="6" t="str">
        <x:v>Tang 300 gap; frequency 1; provisional from Xun Gong</x:v>
      </x:c>
      <x:c r="J2315" s="6" t="str">
        <x:f>IF(B2315="","",IF(AND(ISNUMBER(SEARCH("平",B2315)),OR(ISNUMBER(SEARCH("上",B2315)),ISNUMBER(SEARCH("去",B2315)),ISNUMBER(SEARCH("入",B2315)))),"Ambiguous",IF(ISNUMBER(SEARCH("平",B2315)),"平","仄")))</x:f>
        <x:v>仄</x:v>
      </x:c>
      <x:c r="K2315" s="6" t="str">
        <x:f>IF(D2315="","",IF(AND(ISNUMBER(SEARCH("平",D2315)),OR(ISNUMBER(SEARCH("上",D2315)),ISNUMBER(SEARCH("去",D2315)),ISNUMBER(SEARCH("入",D2315)))),"Ambiguous",IF(ISNUMBER(SEARCH("平",D2315)),"平","仄")))</x:f>
        <x:v>仄</x:v>
      </x:c>
      <x:c r="L2315" s="7" t="str">
        <x:v>Xun Gong, Tang 300 gap fill</x:v>
      </x:c>
    </x:row>
    <x:row r="2316">
      <x:c r="A2316" s="5" t="str">
        <x:v>澗</x:v>
      </x:c>
      <x:c r="B2316" s="6" t="str">
        <x:v>去</x:v>
      </x:c>
      <x:c r="C2316" s="6" t="str">
        <x:f>IF(B2316="","Needs decision","Ready")</x:f>
        <x:v>Ready</x:v>
      </x:c>
      <x:c r="D2316" s="6" t="str">
        <x:v>去</x:v>
      </x:c>
      <x:c r="E2316" s="6" t="str">
        <x:v>kaenH (C)</x:v>
      </x:c>
      <x:c r="F2316" s="6" t="str">
        <x:v>去聲十六諫</x:v>
      </x:c>
      <x:c r="G2316" s="6" t="str">
        <x:v>Pingshui main list, Wikisource-derived DOCX</x:v>
      </x:c>
      <x:c r="H2316" s="6" t="str">
        <x:v>1</x:v>
      </x:c>
      <x:c r="I2316" s="6" t="str"/>
      <x:c r="J2316" s="6" t="str">
        <x:f>IF(B2316="","",IF(AND(ISNUMBER(SEARCH("平",B2316)),OR(ISNUMBER(SEARCH("上",B2316)),ISNUMBER(SEARCH("去",B2316)),ISNUMBER(SEARCH("入",B2316)))),"Ambiguous",IF(ISNUMBER(SEARCH("平",B2316)),"平","仄")))</x:f>
        <x:v>仄</x:v>
      </x:c>
      <x:c r="K2316" s="6" t="str">
        <x:f>IF(D2316="","",IF(AND(ISNUMBER(SEARCH("平",D2316)),OR(ISNUMBER(SEARCH("上",D2316)),ISNUMBER(SEARCH("去",D2316)),ISNUMBER(SEARCH("入",D2316)))),"Ambiguous",IF(ISNUMBER(SEARCH("平",D2316)),"平","仄")))</x:f>
        <x:v>仄</x:v>
      </x:c>
      <x:c r="L2316" s="7" t="str"/>
    </x:row>
    <x:row r="2317">
      <x:c r="A2317" s="5" t="str">
        <x:v>澡</x:v>
      </x:c>
      <x:c r="B2317" s="6" t="str">
        <x:v>上</x:v>
      </x:c>
      <x:c r="C2317" s="6" t="str">
        <x:f>IF(B2317="","Needs decision","Ready")</x:f>
        <x:v>Ready</x:v>
      </x:c>
      <x:c r="D2317" s="6" t="str">
        <x:v>上</x:v>
      </x:c>
      <x:c r="E2317" s="6" t="str">
        <x:v>tsawX (B)</x:v>
      </x:c>
      <x:c r="F2317" s="6" t="str">
        <x:v>上聲十九皓</x:v>
      </x:c>
      <x:c r="G2317" s="6" t="str">
        <x:v>Pingshui main list, Wikisource-derived DOCX</x:v>
      </x:c>
      <x:c r="H2317" s="6" t="str">
        <x:v>1</x:v>
      </x:c>
      <x:c r="I2317" s="6" t="str"/>
      <x:c r="J2317" s="6" t="str">
        <x:f>IF(B2317="","",IF(AND(ISNUMBER(SEARCH("平",B2317)),OR(ISNUMBER(SEARCH("上",B2317)),ISNUMBER(SEARCH("去",B2317)),ISNUMBER(SEARCH("入",B2317)))),"Ambiguous",IF(ISNUMBER(SEARCH("平",B2317)),"平","仄")))</x:f>
        <x:v>仄</x:v>
      </x:c>
      <x:c r="K2317" s="6" t="str">
        <x:f>IF(D2317="","",IF(AND(ISNUMBER(SEARCH("平",D2317)),OR(ISNUMBER(SEARCH("上",D2317)),ISNUMBER(SEARCH("去",D2317)),ISNUMBER(SEARCH("入",D2317)))),"Ambiguous",IF(ISNUMBER(SEARCH("平",D2317)),"平","仄")))</x:f>
        <x:v>仄</x:v>
      </x:c>
      <x:c r="L2317" s="7" t="str"/>
    </x:row>
    <x:row r="2318">
      <x:c r="A2318" s="5" t="str">
        <x:v>澤</x:v>
      </x:c>
      <x:c r="B2318" s="6" t="str">
        <x:v>入</x:v>
      </x:c>
      <x:c r="C2318" s="6" t="str">
        <x:f>IF(B2318="","Needs decision","Ready")</x:f>
        <x:v>Ready</x:v>
      </x:c>
      <x:c r="D2318" s="6" t="str">
        <x:v>入</x:v>
      </x:c>
      <x:c r="E2318" s="6" t="str">
        <x:v>draek (D)</x:v>
      </x:c>
      <x:c r="F2318" s="6" t="str">
        <x:v>入聲十藥; 入聲十一陌</x:v>
      </x:c>
      <x:c r="G2318" s="6" t="str">
        <x:v>Pingshui main list, Wikisource-derived DOCX</x:v>
      </x:c>
      <x:c r="H2318" s="6" t="str">
        <x:v>1</x:v>
      </x:c>
      <x:c r="I2318" s="6" t="str"/>
      <x:c r="J2318" s="6" t="str">
        <x:f>IF(B2318="","",IF(AND(ISNUMBER(SEARCH("平",B2318)),OR(ISNUMBER(SEARCH("上",B2318)),ISNUMBER(SEARCH("去",B2318)),ISNUMBER(SEARCH("入",B2318)))),"Ambiguous",IF(ISNUMBER(SEARCH("平",B2318)),"平","仄")))</x:f>
        <x:v>仄</x:v>
      </x:c>
      <x:c r="K2318" s="6" t="str">
        <x:f>IF(D2318="","",IF(AND(ISNUMBER(SEARCH("平",D2318)),OR(ISNUMBER(SEARCH("上",D2318)),ISNUMBER(SEARCH("去",D2318)),ISNUMBER(SEARCH("入",D2318)))),"Ambiguous",IF(ISNUMBER(SEARCH("平",D2318)),"平","仄")))</x:f>
        <x:v>仄</x:v>
      </x:c>
      <x:c r="L2318" s="7" t="str"/>
    </x:row>
    <x:row r="2319">
      <x:c r="A2319" s="5" t="str">
        <x:v>澥</x:v>
      </x:c>
      <x:c r="B2319" s="6" t="str">
        <x:v>上</x:v>
      </x:c>
      <x:c r="C2319" s="6" t="str">
        <x:f>IF(B2319="","Needs decision","Ready")</x:f>
        <x:v>Ready</x:v>
      </x:c>
      <x:c r="D2319" s="6" t="str">
        <x:v>上</x:v>
      </x:c>
      <x:c r="E2319" s="6" t="str"/>
      <x:c r="F2319" s="6" t="str">
        <x:v>上聲九蟹</x:v>
      </x:c>
      <x:c r="G2319" s="6" t="str">
        <x:v>Pingshui main list, Wikisource-derived DOCX</x:v>
      </x:c>
      <x:c r="H2319" s="6" t="str">
        <x:v>0</x:v>
      </x:c>
      <x:c r="I2319" s="6" t="str">
        <x:v>User correction 2026-09-08; added manually</x:v>
      </x:c>
      <x:c r="J2319" s="6" t="str">
        <x:f>IF(B2319="","",IF(AND(ISNUMBER(SEARCH("平",B2319)),OR(ISNUMBER(SEARCH("上",B2319)),ISNUMBER(SEARCH("去",B2319)),ISNUMBER(SEARCH("入",B2319)))),"Ambiguous",IF(ISNUMBER(SEARCH("平",B2319)),"平","仄")))</x:f>
        <x:v>仄</x:v>
      </x:c>
      <x:c r="K2319" s="6" t="str">
        <x:f>IF(D2319="","",IF(AND(ISNUMBER(SEARCH("平",D2319)),OR(ISNUMBER(SEARCH("上",D2319)),ISNUMBER(SEARCH("去",D2319)),ISNUMBER(SEARCH("入",D2319)))),"Ambiguous",IF(ISNUMBER(SEARCH("平",D2319)),"平","仄")))</x:f>
        <x:v>仄</x:v>
      </x:c>
      <x:c r="L2319" s="7" t="str">
        <x:v>User correction</x:v>
      </x:c>
    </x:row>
    <x:row r="2320">
      <x:c r="A2320" s="5" t="str">
        <x:v>澦</x:v>
      </x:c>
      <x:c r="B2320" s="6" t="str">
        <x:v>去</x:v>
      </x:c>
      <x:c r="C2320" s="6" t="str">
        <x:f>IF(B2320="","Needs decision","Ready")</x:f>
        <x:v>Ready</x:v>
      </x:c>
      <x:c r="D2320" s="6" t="str">
        <x:v>去</x:v>
      </x:c>
      <x:c r="E2320" s="6" t="str">
        <x:v>yoH [jəh] (去)</x:v>
      </x:c>
      <x:c r="F2320" s="6" t="str">
        <x:v>去聲六御</x:v>
      </x:c>
      <x:c r="G2320" s="6" t="str">
        <x:v>Pingshui main list, Wikisource-derived DOCX</x:v>
      </x:c>
      <x:c r="H2320" s="6" t="str">
        <x:v>1</x:v>
      </x:c>
      <x:c r="I2320" s="6" t="str">
        <x:v>Tang 300 gap; frequency 1; provisional from Xun Gong</x:v>
      </x:c>
      <x:c r="J2320" s="6" t="str">
        <x:f>IF(B2320="","",IF(AND(ISNUMBER(SEARCH("平",B2320)),OR(ISNUMBER(SEARCH("上",B2320)),ISNUMBER(SEARCH("去",B2320)),ISNUMBER(SEARCH("入",B2320)))),"Ambiguous",IF(ISNUMBER(SEARCH("平",B2320)),"平","仄")))</x:f>
        <x:v>仄</x:v>
      </x:c>
      <x:c r="K2320" s="6" t="str">
        <x:f>IF(D2320="","",IF(AND(ISNUMBER(SEARCH("平",D2320)),OR(ISNUMBER(SEARCH("上",D2320)),ISNUMBER(SEARCH("去",D2320)),ISNUMBER(SEARCH("入",D2320)))),"Ambiguous",IF(ISNUMBER(SEARCH("平",D2320)),"平","仄")))</x:f>
        <x:v>仄</x:v>
      </x:c>
      <x:c r="L2320" s="7" t="str">
        <x:v>Xun Gong, Tang 300 gap fill</x:v>
      </x:c>
    </x:row>
    <x:row r="2321">
      <x:c r="A2321" s="5" t="str">
        <x:v>澮</x:v>
      </x:c>
      <x:c r="B2321" s="6" t="str">
        <x:v>去</x:v>
      </x:c>
      <x:c r="C2321" s="6" t="str">
        <x:f>IF(B2321="","Needs decision","Ready")</x:f>
        <x:v>Ready</x:v>
      </x:c>
      <x:c r="D2321" s="6" t="str">
        <x:v>去</x:v>
      </x:c>
      <x:c r="E2321" s="6" t="str">
        <x:v>kwajH (C)</x:v>
      </x:c>
      <x:c r="F2321" s="6" t="str">
        <x:v>去聲九泰</x:v>
      </x:c>
      <x:c r="G2321" s="6" t="str">
        <x:v>Pingshui main list, Wikisource-derived DOCX</x:v>
      </x:c>
      <x:c r="H2321" s="6" t="str">
        <x:v>1</x:v>
      </x:c>
      <x:c r="I2321" s="6" t="str"/>
      <x:c r="J2321" s="6" t="str">
        <x:f>IF(B2321="","",IF(AND(ISNUMBER(SEARCH("平",B2321)),OR(ISNUMBER(SEARCH("上",B2321)),ISNUMBER(SEARCH("去",B2321)),ISNUMBER(SEARCH("入",B2321)))),"Ambiguous",IF(ISNUMBER(SEARCH("平",B2321)),"平","仄")))</x:f>
        <x:v>仄</x:v>
      </x:c>
      <x:c r="K2321" s="6" t="str">
        <x:f>IF(D2321="","",IF(AND(ISNUMBER(SEARCH("平",D2321)),OR(ISNUMBER(SEARCH("上",D2321)),ISNUMBER(SEARCH("去",D2321)),ISNUMBER(SEARCH("入",D2321)))),"Ambiguous",IF(ISNUMBER(SEARCH("平",D2321)),"平","仄")))</x:f>
        <x:v>仄</x:v>
      </x:c>
      <x:c r="L2321" s="7" t="str"/>
    </x:row>
    <x:row r="2322">
      <x:c r="A2322" s="5" t="str">
        <x:v>澳</x:v>
      </x:c>
      <x:c r="B2322" s="6" t="str">
        <x:v>去</x:v>
      </x:c>
      <x:c r="C2322" s="6" t="str">
        <x:f>IF(B2322="","Needs decision","Ready")</x:f>
        <x:v>Ready</x:v>
      </x:c>
      <x:c r="D2322" s="6" t="str">
        <x:v>去</x:v>
      </x:c>
      <x:c r="E2322" s="6" t="str">
        <x:v>'awH (C)</x:v>
      </x:c>
      <x:c r="F2322" s="6" t="str">
        <x:v>去聲二十號; 入聲一屋</x:v>
      </x:c>
      <x:c r="G2322" s="6" t="str">
        <x:v>Pingshui main list, Wikisource-derived DOCX</x:v>
      </x:c>
      <x:c r="H2322" s="6" t="str">
        <x:v>1</x:v>
      </x:c>
      <x:c r="I2322" s="6" t="str"/>
      <x:c r="J2322" s="6" t="str">
        <x:f>IF(B2322="","",IF(AND(ISNUMBER(SEARCH("平",B2322)),OR(ISNUMBER(SEARCH("上",B2322)),ISNUMBER(SEARCH("去",B2322)),ISNUMBER(SEARCH("入",B2322)))),"Ambiguous",IF(ISNUMBER(SEARCH("平",B2322)),"平","仄")))</x:f>
        <x:v>仄</x:v>
      </x:c>
      <x:c r="K2322" s="6" t="str">
        <x:f>IF(D2322="","",IF(AND(ISNUMBER(SEARCH("平",D2322)),OR(ISNUMBER(SEARCH("上",D2322)),ISNUMBER(SEARCH("去",D2322)),ISNUMBER(SEARCH("入",D2322)))),"Ambiguous",IF(ISNUMBER(SEARCH("平",D2322)),"平","仄")))</x:f>
        <x:v>仄</x:v>
      </x:c>
      <x:c r="L2322" s="7" t="str"/>
    </x:row>
    <x:row r="2323">
      <x:c r="A2323" s="5" t="str">
        <x:v>澹</x:v>
      </x:c>
      <x:c r="B2323" s="6" t="str">
        <x:v>上</x:v>
      </x:c>
      <x:c r="C2323" s="6" t="str">
        <x:f>IF(B2323="","Needs decision","Ready")</x:f>
        <x:v>Ready</x:v>
      </x:c>
      <x:c r="D2323" s="6" t="str">
        <x:v>上</x:v>
      </x:c>
      <x:c r="E2323" s="6" t="str">
        <x:v>damX (B)</x:v>
      </x:c>
      <x:c r="F2323" s="6" t="str">
        <x:v>下平聲十三覃; 上聲二十七感; 去聲二十八勘</x:v>
      </x:c>
      <x:c r="G2323" s="6" t="str">
        <x:v>Pingshui main list, Wikisource-derived DOCX</x:v>
      </x:c>
      <x:c r="H2323" s="6" t="str">
        <x:v>1</x:v>
      </x:c>
      <x:c r="I2323" s="6" t="str"/>
      <x:c r="J2323" s="6" t="str">
        <x:f>IF(B2323="","",IF(AND(ISNUMBER(SEARCH("平",B2323)),OR(ISNUMBER(SEARCH("上",B2323)),ISNUMBER(SEARCH("去",B2323)),ISNUMBER(SEARCH("入",B2323)))),"Ambiguous",IF(ISNUMBER(SEARCH("平",B2323)),"平","仄")))</x:f>
        <x:v>仄</x:v>
      </x:c>
      <x:c r="K2323" s="6" t="str">
        <x:f>IF(D2323="","",IF(AND(ISNUMBER(SEARCH("平",D2323)),OR(ISNUMBER(SEARCH("上",D2323)),ISNUMBER(SEARCH("去",D2323)),ISNUMBER(SEARCH("入",D2323)))),"Ambiguous",IF(ISNUMBER(SEARCH("平",D2323)),"平","仄")))</x:f>
        <x:v>仄</x:v>
      </x:c>
      <x:c r="L2323" s="7" t="str"/>
    </x:row>
    <x:row r="2324">
      <x:c r="A2324" s="5" t="str">
        <x:v>激</x:v>
      </x:c>
      <x:c r="B2324" s="6" t="str">
        <x:v>入</x:v>
      </x:c>
      <x:c r="C2324" s="6" t="str">
        <x:f>IF(B2324="","Needs decision","Ready")</x:f>
        <x:v>Ready</x:v>
      </x:c>
      <x:c r="D2324" s="6" t="str">
        <x:v>入</x:v>
      </x:c>
      <x:c r="E2324" s="6" t="str">
        <x:v>kek (D)</x:v>
      </x:c>
      <x:c r="F2324" s="6" t="str">
        <x:v>入聲十二錫</x:v>
      </x:c>
      <x:c r="G2324" s="6" t="str">
        <x:v>Pingshui main list, Wikisource-derived DOCX</x:v>
      </x:c>
      <x:c r="H2324" s="6" t="str">
        <x:v>1</x:v>
      </x:c>
      <x:c r="I2324" s="6" t="str"/>
      <x:c r="J2324" s="6" t="str">
        <x:f>IF(B2324="","",IF(AND(ISNUMBER(SEARCH("平",B2324)),OR(ISNUMBER(SEARCH("上",B2324)),ISNUMBER(SEARCH("去",B2324)),ISNUMBER(SEARCH("入",B2324)))),"Ambiguous",IF(ISNUMBER(SEARCH("平",B2324)),"平","仄")))</x:f>
        <x:v>仄</x:v>
      </x:c>
      <x:c r="K2324" s="6" t="str">
        <x:f>IF(D2324="","",IF(AND(ISNUMBER(SEARCH("平",D2324)),OR(ISNUMBER(SEARCH("上",D2324)),ISNUMBER(SEARCH("去",D2324)),ISNUMBER(SEARCH("入",D2324)))),"Ambiguous",IF(ISNUMBER(SEARCH("平",D2324)),"平","仄")))</x:f>
        <x:v>仄</x:v>
      </x:c>
      <x:c r="L2324" s="7" t="str"/>
    </x:row>
    <x:row r="2325">
      <x:c r="A2325" s="5" t="str">
        <x:v>濁</x:v>
      </x:c>
      <x:c r="B2325" s="6" t="str">
        <x:v>入</x:v>
      </x:c>
      <x:c r="C2325" s="6" t="str">
        <x:f>IF(B2325="","Needs decision","Ready")</x:f>
        <x:v>Ready</x:v>
      </x:c>
      <x:c r="D2325" s="6" t="str">
        <x:v>入</x:v>
      </x:c>
      <x:c r="E2325" s="6" t="str">
        <x:v>draewk (D)</x:v>
      </x:c>
      <x:c r="F2325" s="6" t="str">
        <x:v>入聲三覺</x:v>
      </x:c>
      <x:c r="G2325" s="6" t="str">
        <x:v>Pingshui main list, Wikisource-derived DOCX</x:v>
      </x:c>
      <x:c r="H2325" s="6" t="str">
        <x:v>1</x:v>
      </x:c>
      <x:c r="I2325" s="6" t="str"/>
      <x:c r="J2325" s="6" t="str">
        <x:f>IF(B2325="","",IF(AND(ISNUMBER(SEARCH("平",B2325)),OR(ISNUMBER(SEARCH("上",B2325)),ISNUMBER(SEARCH("去",B2325)),ISNUMBER(SEARCH("入",B2325)))),"Ambiguous",IF(ISNUMBER(SEARCH("平",B2325)),"平","仄")))</x:f>
        <x:v>仄</x:v>
      </x:c>
      <x:c r="K2325" s="6" t="str">
        <x:f>IF(D2325="","",IF(AND(ISNUMBER(SEARCH("平",D2325)),OR(ISNUMBER(SEARCH("上",D2325)),ISNUMBER(SEARCH("去",D2325)),ISNUMBER(SEARCH("入",D2325)))),"Ambiguous",IF(ISNUMBER(SEARCH("平",D2325)),"平","仄")))</x:f>
        <x:v>仄</x:v>
      </x:c>
      <x:c r="L2325" s="7" t="str"/>
    </x:row>
    <x:row r="2326">
      <x:c r="A2326" s="5" t="str">
        <x:v>濃</x:v>
      </x:c>
      <x:c r="B2326" s="6" t="str">
        <x:v>平</x:v>
      </x:c>
      <x:c r="C2326" s="6" t="str">
        <x:f>IF(B2326="","Needs decision","Ready")</x:f>
        <x:v>Ready</x:v>
      </x:c>
      <x:c r="D2326" s="6" t="str">
        <x:v>平</x:v>
      </x:c>
      <x:c r="E2326" s="6" t="str">
        <x:v>nrjowng (A)</x:v>
      </x:c>
      <x:c r="F2326" s="6" t="str">
        <x:v>上平聲二冬</x:v>
      </x:c>
      <x:c r="G2326" s="6" t="str">
        <x:v>Pingshui main list, Wikisource-derived DOCX</x:v>
      </x:c>
      <x:c r="H2326" s="6" t="str">
        <x:v>1</x:v>
      </x:c>
      <x:c r="I2326" s="6" t="str"/>
      <x:c r="J2326" s="6" t="str">
        <x:f>IF(B2326="","",IF(AND(ISNUMBER(SEARCH("平",B2326)),OR(ISNUMBER(SEARCH("上",B2326)),ISNUMBER(SEARCH("去",B2326)),ISNUMBER(SEARCH("入",B2326)))),"Ambiguous",IF(ISNUMBER(SEARCH("平",B2326)),"平","仄")))</x:f>
        <x:v>平</x:v>
      </x:c>
      <x:c r="K2326" s="6" t="str">
        <x:f>IF(D2326="","",IF(AND(ISNUMBER(SEARCH("平",D2326)),OR(ISNUMBER(SEARCH("上",D2326)),ISNUMBER(SEARCH("去",D2326)),ISNUMBER(SEARCH("入",D2326)))),"Ambiguous",IF(ISNUMBER(SEARCH("平",D2326)),"平","仄")))</x:f>
        <x:v>平</x:v>
      </x:c>
      <x:c r="L2326" s="7" t="str"/>
    </x:row>
    <x:row r="2327">
      <x:c r="A2327" s="5" t="str">
        <x:v>濈</x:v>
      </x:c>
      <x:c r="B2327" s="6" t="str">
        <x:v>入</x:v>
      </x:c>
      <x:c r="C2327" s="6" t="str">
        <x:f>IF(B2327="","Needs decision","Ready")</x:f>
        <x:v>Ready</x:v>
      </x:c>
      <x:c r="D2327" s="6" t="str">
        <x:v>入</x:v>
      </x:c>
      <x:c r="E2327" s="6" t="str">
        <x:v>tsrip (D)</x:v>
      </x:c>
      <x:c r="F2327" s="6" t="str">
        <x:v>入聲十四緝</x:v>
      </x:c>
      <x:c r="G2327" s="6" t="str">
        <x:v>Pingshui main list, Wikisource-derived DOCX</x:v>
      </x:c>
      <x:c r="H2327" s="6" t="str">
        <x:v>1</x:v>
      </x:c>
      <x:c r="I2327" s="6" t="str"/>
      <x:c r="J2327" s="6" t="str">
        <x:f>IF(B2327="","",IF(AND(ISNUMBER(SEARCH("平",B2327)),OR(ISNUMBER(SEARCH("上",B2327)),ISNUMBER(SEARCH("去",B2327)),ISNUMBER(SEARCH("入",B2327)))),"Ambiguous",IF(ISNUMBER(SEARCH("平",B2327)),"平","仄")))</x:f>
        <x:v>仄</x:v>
      </x:c>
      <x:c r="K2327" s="6" t="str">
        <x:f>IF(D2327="","",IF(AND(ISNUMBER(SEARCH("平",D2327)),OR(ISNUMBER(SEARCH("上",D2327)),ISNUMBER(SEARCH("去",D2327)),ISNUMBER(SEARCH("入",D2327)))),"Ambiguous",IF(ISNUMBER(SEARCH("平",D2327)),"平","仄")))</x:f>
        <x:v>仄</x:v>
      </x:c>
      <x:c r="L2327" s="7" t="str"/>
    </x:row>
    <x:row r="2328">
      <x:c r="A2328" s="5" t="str">
        <x:v>濊</x:v>
      </x:c>
      <x:c r="B2328" s="6" t="str">
        <x:v>入</x:v>
      </x:c>
      <x:c r="C2328" s="6" t="str">
        <x:f>IF(B2328="","Needs decision","Ready")</x:f>
        <x:v>Ready</x:v>
      </x:c>
      <x:c r="D2328" s="6" t="str">
        <x:v>入</x:v>
      </x:c>
      <x:c r="E2328" s="6" t="str">
        <x:v>xwat (D)</x:v>
      </x:c>
      <x:c r="F2328" s="6" t="str">
        <x:v>去聲九泰; 入聲七曷</x:v>
      </x:c>
      <x:c r="G2328" s="6" t="str">
        <x:v>Pingshui main list, Wikisource-derived DOCX</x:v>
      </x:c>
      <x:c r="H2328" s="6" t="str">
        <x:v>1</x:v>
      </x:c>
      <x:c r="I2328" s="6" t="str"/>
      <x:c r="J2328" s="6" t="str">
        <x:f>IF(B2328="","",IF(AND(ISNUMBER(SEARCH("平",B2328)),OR(ISNUMBER(SEARCH("上",B2328)),ISNUMBER(SEARCH("去",B2328)),ISNUMBER(SEARCH("入",B2328)))),"Ambiguous",IF(ISNUMBER(SEARCH("平",B2328)),"平","仄")))</x:f>
        <x:v>仄</x:v>
      </x:c>
      <x:c r="K2328" s="6" t="str">
        <x:f>IF(D2328="","",IF(AND(ISNUMBER(SEARCH("平",D2328)),OR(ISNUMBER(SEARCH("上",D2328)),ISNUMBER(SEARCH("去",D2328)),ISNUMBER(SEARCH("入",D2328)))),"Ambiguous",IF(ISNUMBER(SEARCH("平",D2328)),"平","仄")))</x:f>
        <x:v>仄</x:v>
      </x:c>
      <x:c r="L2328" s="7" t="str"/>
    </x:row>
    <x:row r="2329">
      <x:c r="A2329" s="5" t="str">
        <x:v>濕</x:v>
      </x:c>
      <x:c r="B2329" s="6" t="str">
        <x:v>入</x:v>
      </x:c>
      <x:c r="C2329" s="6" t="str">
        <x:f>IF(B2329="","Needs decision","Ready")</x:f>
        <x:v>Ready</x:v>
      </x:c>
      <x:c r="D2329" s="6" t="str">
        <x:v>入</x:v>
      </x:c>
      <x:c r="E2329" s="6" t="str">
        <x:v>syip (D)</x:v>
      </x:c>
      <x:c r="F2329" s="6" t="str"/>
      <x:c r="G2329" s="6" t="str"/>
      <x:c r="H2329" s="6" t="str">
        <x:v>1</x:v>
      </x:c>
      <x:c r="I2329" s="6" t="str"/>
      <x:c r="J2329" s="6" t="str">
        <x:f>IF(B2329="","",IF(AND(ISNUMBER(SEARCH("平",B2329)),OR(ISNUMBER(SEARCH("上",B2329)),ISNUMBER(SEARCH("去",B2329)),ISNUMBER(SEARCH("入",B2329)))),"Ambiguous",IF(ISNUMBER(SEARCH("平",B2329)),"平","仄")))</x:f>
        <x:v>仄</x:v>
      </x:c>
      <x:c r="K2329" s="6" t="str">
        <x:f>IF(D2329="","",IF(AND(ISNUMBER(SEARCH("平",D2329)),OR(ISNUMBER(SEARCH("上",D2329)),ISNUMBER(SEARCH("去",D2329)),ISNUMBER(SEARCH("入",D2329)))),"Ambiguous",IF(ISNUMBER(SEARCH("平",D2329)),"平","仄")))</x:f>
        <x:v>仄</x:v>
      </x:c>
      <x:c r="L2329" s="7" t="str"/>
    </x:row>
    <x:row r="2330">
      <x:c r="A2330" s="5" t="str">
        <x:v>濛</x:v>
      </x:c>
      <x:c r="B2330" s="6" t="str">
        <x:v>平</x:v>
      </x:c>
      <x:c r="C2330" s="6" t="str">
        <x:f>IF(B2330="","Needs decision","Ready")</x:f>
        <x:v>Ready</x:v>
      </x:c>
      <x:c r="D2330" s="6" t="str">
        <x:v>平/上</x:v>
      </x:c>
      <x:c r="E2330" s="6" t="str">
        <x:v>muwng [m̙uŋ] (平); muwngX [m̙uŋʔ] (上)</x:v>
      </x:c>
      <x:c r="F2330" s="6" t="str">
        <x:v>上平聲一東</x:v>
      </x:c>
      <x:c r="G2330" s="6" t="str">
        <x:v>Pingshui main list, Wikisource-derived DOCX</x:v>
      </x:c>
      <x:c r="H2330" s="6" t="str">
        <x:v>2</x:v>
      </x:c>
      <x:c r="I2330" s="6" t="str">
        <x:v>Tang 300 gap; frequency 2; ambiguous in Xun Gong</x:v>
      </x:c>
      <x:c r="J2330" s="6" t="str">
        <x:f>IF(B2330="","",IF(AND(ISNUMBER(SEARCH("平",B2330)),OR(ISNUMBER(SEARCH("上",B2330)),ISNUMBER(SEARCH("去",B2330)),ISNUMBER(SEARCH("入",B2330)))),"Ambiguous",IF(ISNUMBER(SEARCH("平",B2330)),"平","仄")))</x:f>
        <x:v>平</x:v>
      </x:c>
      <x:c r="K2330" s="6" t="str">
        <x:f>IF(D2330="","",IF(AND(ISNUMBER(SEARCH("平",D2330)),OR(ISNUMBER(SEARCH("上",D2330)),ISNUMBER(SEARCH("去",D2330)),ISNUMBER(SEARCH("入",D2330)))),"Ambiguous",IF(ISNUMBER(SEARCH("平",D2330)),"平","仄")))</x:f>
        <x:v>Ambiguous</x:v>
      </x:c>
      <x:c r="L2330" s="7" t="str">
        <x:v>Xun Gong, Tang 300 gap fill</x:v>
      </x:c>
    </x:row>
    <x:row r="2331">
      <x:c r="A2331" s="5" t="str">
        <x:v>濟</x:v>
      </x:c>
      <x:c r="B2331" s="6" t="str">
        <x:v>去</x:v>
      </x:c>
      <x:c r="C2331" s="6" t="str">
        <x:f>IF(B2331="","Needs decision","Ready")</x:f>
        <x:v>Ready</x:v>
      </x:c>
      <x:c r="D2331" s="6" t="str">
        <x:v>上/去</x:v>
      </x:c>
      <x:c r="E2331" s="6" t="str">
        <x:v>tsejX (B); tsejH (C)</x:v>
      </x:c>
      <x:c r="F2331" s="6" t="str">
        <x:v>上聲八薺; 去聲八霽</x:v>
      </x:c>
      <x:c r="G2331" s="6" t="str">
        <x:v>Pingshui main list, Wikisource-derived DOCX</x:v>
      </x:c>
      <x:c r="H2331" s="6" t="str">
        <x:v>2</x:v>
      </x:c>
      <x:c r="I2331" s="6" t="str"/>
      <x:c r="J2331" s="6" t="str">
        <x:f>IF(B2331="","",IF(AND(ISNUMBER(SEARCH("平",B2331)),OR(ISNUMBER(SEARCH("上",B2331)),ISNUMBER(SEARCH("去",B2331)),ISNUMBER(SEARCH("入",B2331)))),"Ambiguous",IF(ISNUMBER(SEARCH("平",B2331)),"平","仄")))</x:f>
        <x:v>仄</x:v>
      </x:c>
      <x:c r="K2331" s="6" t="str">
        <x:f>IF(D2331="","",IF(AND(ISNUMBER(SEARCH("平",D2331)),OR(ISNUMBER(SEARCH("上",D2331)),ISNUMBER(SEARCH("去",D2331)),ISNUMBER(SEARCH("入",D2331)))),"Ambiguous",IF(ISNUMBER(SEARCH("平",D2331)),"平","仄")))</x:f>
        <x:v>仄</x:v>
      </x:c>
      <x:c r="L2331" s="7" t="str"/>
    </x:row>
    <x:row r="2332">
      <x:c r="A2332" s="5" t="str">
        <x:v>濡</x:v>
      </x:c>
      <x:c r="B2332" s="6" t="str">
        <x:v>平</x:v>
      </x:c>
      <x:c r="C2332" s="6" t="str">
        <x:f>IF(B2332="","Needs decision","Ready")</x:f>
        <x:v>Ready</x:v>
      </x:c>
      <x:c r="D2332" s="6" t="str">
        <x:v>平</x:v>
      </x:c>
      <x:c r="E2332" s="6" t="str">
        <x:v>nyu (A)</x:v>
      </x:c>
      <x:c r="F2332" s="6" t="str">
        <x:v>上平聲七虞</x:v>
      </x:c>
      <x:c r="G2332" s="6" t="str">
        <x:v>Pingshui main list, Wikisource-derived DOCX</x:v>
      </x:c>
      <x:c r="H2332" s="6" t="str">
        <x:v>1</x:v>
      </x:c>
      <x:c r="I2332" s="6" t="str"/>
      <x:c r="J2332" s="6" t="str">
        <x:f>IF(B2332="","",IF(AND(ISNUMBER(SEARCH("平",B2332)),OR(ISNUMBER(SEARCH("上",B2332)),ISNUMBER(SEARCH("去",B2332)),ISNUMBER(SEARCH("入",B2332)))),"Ambiguous",IF(ISNUMBER(SEARCH("平",B2332)),"平","仄")))</x:f>
        <x:v>平</x:v>
      </x:c>
      <x:c r="K2332" s="6" t="str">
        <x:f>IF(D2332="","",IF(AND(ISNUMBER(SEARCH("平",D2332)),OR(ISNUMBER(SEARCH("上",D2332)),ISNUMBER(SEARCH("去",D2332)),ISNUMBER(SEARCH("入",D2332)))),"Ambiguous",IF(ISNUMBER(SEARCH("平",D2332)),"平","仄")))</x:f>
        <x:v>平</x:v>
      </x:c>
      <x:c r="L2332" s="7" t="str"/>
    </x:row>
    <x:row r="2333">
      <x:c r="A2333" s="5" t="str">
        <x:v>濤</x:v>
      </x:c>
      <x:c r="B2333" s="6" t="str">
        <x:v>平</x:v>
      </x:c>
      <x:c r="C2333" s="6" t="str">
        <x:f>IF(B2333="","Needs decision","Ready")</x:f>
        <x:v>Ready</x:v>
      </x:c>
      <x:c r="D2333" s="6" t="str">
        <x:v>平</x:v>
      </x:c>
      <x:c r="E2333" s="6" t="str">
        <x:v>daw [d̙əw] (平)</x:v>
      </x:c>
      <x:c r="F2333" s="6" t="str">
        <x:v>下平聲四豪</x:v>
      </x:c>
      <x:c r="G2333" s="6" t="str">
        <x:v>Pingshui main list, Wikisource-derived DOCX</x:v>
      </x:c>
      <x:c r="H2333" s="6" t="str">
        <x:v>1</x:v>
      </x:c>
      <x:c r="I2333" s="6" t="str">
        <x:v>Tang 300 gap; frequency 2; provisional from Xun Gong</x:v>
      </x:c>
      <x:c r="J2333" s="6" t="str">
        <x:f>IF(B2333="","",IF(AND(ISNUMBER(SEARCH("平",B2333)),OR(ISNUMBER(SEARCH("上",B2333)),ISNUMBER(SEARCH("去",B2333)),ISNUMBER(SEARCH("入",B2333)))),"Ambiguous",IF(ISNUMBER(SEARCH("平",B2333)),"平","仄")))</x:f>
        <x:v>平</x:v>
      </x:c>
      <x:c r="K2333" s="6" t="str">
        <x:f>IF(D2333="","",IF(AND(ISNUMBER(SEARCH("平",D2333)),OR(ISNUMBER(SEARCH("上",D2333)),ISNUMBER(SEARCH("去",D2333)),ISNUMBER(SEARCH("入",D2333)))),"Ambiguous",IF(ISNUMBER(SEARCH("平",D2333)),"平","仄")))</x:f>
        <x:v>平</x:v>
      </x:c>
      <x:c r="L2333" s="7" t="str">
        <x:v>Xun Gong, Tang 300 gap fill</x:v>
      </x:c>
    </x:row>
    <x:row r="2334">
      <x:c r="A2334" s="5" t="str">
        <x:v>濫</x:v>
      </x:c>
      <x:c r="B2334" s="6" t="str">
        <x:v>去</x:v>
      </x:c>
      <x:c r="C2334" s="6" t="str">
        <x:f>IF(B2334="","Needs decision","Ready")</x:f>
        <x:v>Ready</x:v>
      </x:c>
      <x:c r="D2334" s="6" t="str">
        <x:v>上/去</x:v>
      </x:c>
      <x:c r="E2334" s="6" t="str"/>
      <x:c r="F2334" s="6" t="str">
        <x:v>上聲二十九豏; 去聲二十八勘</x:v>
      </x:c>
      <x:c r="G2334" s="6" t="str">
        <x:v>Pingshui main list, Wikisource-derived DOCX</x:v>
      </x:c>
      <x:c r="H2334" s="6" t="str"/>
      <x:c r="I2334" s="6" t="str">
        <x:v>Manual user correction/addition; ambiguous 上/去</x:v>
      </x:c>
      <x:c r="J2334" s="6" t="str">
        <x:f>IF(B2334="","",IF(AND(ISNUMBER(SEARCH("平",B2334)),OR(ISNUMBER(SEARCH("上",B2334)),ISNUMBER(SEARCH("去",B2334)),ISNUMBER(SEARCH("入",B2334)))),"Ambiguous",IF(ISNUMBER(SEARCH("平",B2334)),"平","仄")))</x:f>
        <x:v>仄</x:v>
      </x:c>
      <x:c r="K2334" s="6" t="str">
        <x:f>IF(D2334="","",IF(AND(ISNUMBER(SEARCH("平",D2334)),OR(ISNUMBER(SEARCH("上",D2334)),ISNUMBER(SEARCH("去",D2334)),ISNUMBER(SEARCH("入",D2334)))),"Ambiguous",IF(ISNUMBER(SEARCH("平",D2334)),"平","仄")))</x:f>
        <x:v>仄</x:v>
      </x:c>
      <x:c r="L2334" s="7" t="str">
        <x:v>manual user correction</x:v>
      </x:c>
    </x:row>
    <x:row r="2335">
      <x:c r="A2335" s="5" t="str">
        <x:v>濬</x:v>
      </x:c>
      <x:c r="B2335" s="6" t="str">
        <x:v>去</x:v>
      </x:c>
      <x:c r="C2335" s="6" t="str">
        <x:f>IF(B2335="","Needs decision","Ready")</x:f>
        <x:v>Ready</x:v>
      </x:c>
      <x:c r="D2335" s="6" t="str">
        <x:v>去</x:v>
      </x:c>
      <x:c r="E2335" s="6" t="str">
        <x:v>swinH (C)</x:v>
      </x:c>
      <x:c r="F2335" s="6" t="str">
        <x:v>去聲十二震</x:v>
      </x:c>
      <x:c r="G2335" s="6" t="str">
        <x:v>Pingshui main list, Wikisource-derived DOCX</x:v>
      </x:c>
      <x:c r="H2335" s="6" t="str">
        <x:v>1</x:v>
      </x:c>
      <x:c r="I2335" s="6" t="str"/>
      <x:c r="J2335" s="6" t="str">
        <x:f>IF(B2335="","",IF(AND(ISNUMBER(SEARCH("平",B2335)),OR(ISNUMBER(SEARCH("上",B2335)),ISNUMBER(SEARCH("去",B2335)),ISNUMBER(SEARCH("入",B2335)))),"Ambiguous",IF(ISNUMBER(SEARCH("平",B2335)),"平","仄")))</x:f>
        <x:v>仄</x:v>
      </x:c>
      <x:c r="K2335" s="6" t="str">
        <x:f>IF(D2335="","",IF(AND(ISNUMBER(SEARCH("平",D2335)),OR(ISNUMBER(SEARCH("上",D2335)),ISNUMBER(SEARCH("去",D2335)),ISNUMBER(SEARCH("入",D2335)))),"Ambiguous",IF(ISNUMBER(SEARCH("平",D2335)),"平","仄")))</x:f>
        <x:v>仄</x:v>
      </x:c>
      <x:c r="L2335" s="7" t="str"/>
    </x:row>
    <x:row r="2336">
      <x:c r="A2336" s="5" t="str">
        <x:v>濮</x:v>
      </x:c>
      <x:c r="B2336" s="6" t="str">
        <x:v>入</x:v>
      </x:c>
      <x:c r="C2336" s="6" t="str">
        <x:f>IF(B2336="","Needs decision","Ready")</x:f>
        <x:v>Ready</x:v>
      </x:c>
      <x:c r="D2336" s="6" t="str">
        <x:v>入</x:v>
      </x:c>
      <x:c r="E2336" s="6" t="str">
        <x:v>puwk (D)</x:v>
      </x:c>
      <x:c r="F2336" s="6" t="str">
        <x:v>入聲一屋</x:v>
      </x:c>
      <x:c r="G2336" s="6" t="str">
        <x:v>Pingshui main list, Wikisource-derived DOCX</x:v>
      </x:c>
      <x:c r="H2336" s="6" t="str">
        <x:v>1</x:v>
      </x:c>
      <x:c r="I2336" s="6" t="str"/>
      <x:c r="J2336" s="6" t="str">
        <x:f>IF(B2336="","",IF(AND(ISNUMBER(SEARCH("平",B2336)),OR(ISNUMBER(SEARCH("上",B2336)),ISNUMBER(SEARCH("去",B2336)),ISNUMBER(SEARCH("入",B2336)))),"Ambiguous",IF(ISNUMBER(SEARCH("平",B2336)),"平","仄")))</x:f>
        <x:v>仄</x:v>
      </x:c>
      <x:c r="K2336" s="6" t="str">
        <x:f>IF(D2336="","",IF(AND(ISNUMBER(SEARCH("平",D2336)),OR(ISNUMBER(SEARCH("上",D2336)),ISNUMBER(SEARCH("去",D2336)),ISNUMBER(SEARCH("入",D2336)))),"Ambiguous",IF(ISNUMBER(SEARCH("平",D2336)),"平","仄")))</x:f>
        <x:v>仄</x:v>
      </x:c>
      <x:c r="L2336" s="7" t="str"/>
    </x:row>
    <x:row r="2337">
      <x:c r="A2337" s="5" t="str">
        <x:v>濯</x:v>
      </x:c>
      <x:c r="B2337" s="6" t="str"/>
      <x:c r="C2337" s="6" t="str">
        <x:f>IF(B2337="","Needs decision","Ready")</x:f>
        <x:v>Needs decision</x:v>
      </x:c>
      <x:c r="D2337" s="6" t="str">
        <x:v>去/入</x:v>
      </x:c>
      <x:c r="E2337" s="6" t="str">
        <x:v>draewH (C); draewk (D)</x:v>
      </x:c>
      <x:c r="F2337" s="6" t="str">
        <x:v>入聲三覺</x:v>
      </x:c>
      <x:c r="G2337" s="6" t="str">
        <x:v>Pingshui main list, Wikisource-derived DOCX</x:v>
      </x:c>
      <x:c r="H2337" s="6" t="str">
        <x:v>2</x:v>
      </x:c>
      <x:c r="I2337" s="6" t="str"/>
      <x:c r="J2337" s="6" t="str">
        <x:f>IF(B2337="","",IF(AND(ISNUMBER(SEARCH("平",B2337)),OR(ISNUMBER(SEARCH("上",B2337)),ISNUMBER(SEARCH("去",B2337)),ISNUMBER(SEARCH("入",B2337)))),"Ambiguous",IF(ISNUMBER(SEARCH("平",B2337)),"平","仄")))</x:f>
      </x:c>
      <x:c r="K2337" s="6" t="str">
        <x:f>IF(D2337="","",IF(AND(ISNUMBER(SEARCH("平",D2337)),OR(ISNUMBER(SEARCH("上",D2337)),ISNUMBER(SEARCH("去",D2337)),ISNUMBER(SEARCH("入",D2337)))),"Ambiguous",IF(ISNUMBER(SEARCH("平",D2337)),"平","仄")))</x:f>
        <x:v>仄</x:v>
      </x:c>
      <x:c r="L2337" s="7" t="str"/>
    </x:row>
    <x:row r="2338">
      <x:c r="A2338" s="5" t="str">
        <x:v>濱</x:v>
      </x:c>
      <x:c r="B2338" s="6" t="str">
        <x:v>平</x:v>
      </x:c>
      <x:c r="C2338" s="6" t="str">
        <x:f>IF(B2338="","Needs decision","Ready")</x:f>
        <x:v>Ready</x:v>
      </x:c>
      <x:c r="D2338" s="6" t="str">
        <x:v>平</x:v>
      </x:c>
      <x:c r="E2338" s="6" t="str">
        <x:v>pjin [pjin] (平)</x:v>
      </x:c>
      <x:c r="F2338" s="6" t="str">
        <x:v>上平聲十一真</x:v>
      </x:c>
      <x:c r="G2338" s="6" t="str">
        <x:v>Pingshui main list, Wikisource-derived DOCX</x:v>
      </x:c>
      <x:c r="H2338" s="6" t="str">
        <x:v>1</x:v>
      </x:c>
      <x:c r="I2338" s="6" t="str">
        <x:v>Tang 300 gap; frequency 1; provisional from Xun Gong</x:v>
      </x:c>
      <x:c r="J2338" s="6" t="str">
        <x:f>IF(B2338="","",IF(AND(ISNUMBER(SEARCH("平",B2338)),OR(ISNUMBER(SEARCH("上",B2338)),ISNUMBER(SEARCH("去",B2338)),ISNUMBER(SEARCH("入",B2338)))),"Ambiguous",IF(ISNUMBER(SEARCH("平",B2338)),"平","仄")))</x:f>
        <x:v>平</x:v>
      </x:c>
      <x:c r="K2338" s="6" t="str">
        <x:f>IF(D2338="","",IF(AND(ISNUMBER(SEARCH("平",D2338)),OR(ISNUMBER(SEARCH("上",D2338)),ISNUMBER(SEARCH("去",D2338)),ISNUMBER(SEARCH("入",D2338)))),"Ambiguous",IF(ISNUMBER(SEARCH("平",D2338)),"平","仄")))</x:f>
        <x:v>平</x:v>
      </x:c>
      <x:c r="L2338" s="7" t="str">
        <x:v>Xun Gong, Tang 300 gap fill</x:v>
      </x:c>
    </x:row>
    <x:row r="2339">
      <x:c r="A2339" s="5" t="str">
        <x:v>濺</x:v>
      </x:c>
      <x:c r="B2339" s="6" t="str">
        <x:v>去</x:v>
      </x:c>
      <x:c r="C2339" s="6" t="str">
        <x:f>IF(B2339="","Needs decision","Ready")</x:f>
        <x:v>Ready</x:v>
      </x:c>
      <x:c r="D2339" s="6" t="str">
        <x:v>去</x:v>
      </x:c>
      <x:c r="E2339" s="6" t="str">
        <x:v>tsjenH (C)</x:v>
      </x:c>
      <x:c r="F2339" s="6" t="str">
        <x:v>下平聲一先; 去聲十七霰</x:v>
      </x:c>
      <x:c r="G2339" s="6" t="str">
        <x:v>Pingshui main list, Wikisource-derived DOCX</x:v>
      </x:c>
      <x:c r="H2339" s="6" t="str">
        <x:v>1</x:v>
      </x:c>
      <x:c r="I2339" s="6" t="str"/>
      <x:c r="J2339" s="6" t="str">
        <x:f>IF(B2339="","",IF(AND(ISNUMBER(SEARCH("平",B2339)),OR(ISNUMBER(SEARCH("上",B2339)),ISNUMBER(SEARCH("去",B2339)),ISNUMBER(SEARCH("入",B2339)))),"Ambiguous",IF(ISNUMBER(SEARCH("平",B2339)),"平","仄")))</x:f>
        <x:v>仄</x:v>
      </x:c>
      <x:c r="K2339" s="6" t="str">
        <x:f>IF(D2339="","",IF(AND(ISNUMBER(SEARCH("平",D2339)),OR(ISNUMBER(SEARCH("上",D2339)),ISNUMBER(SEARCH("去",D2339)),ISNUMBER(SEARCH("入",D2339)))),"Ambiguous",IF(ISNUMBER(SEARCH("平",D2339)),"平","仄")))</x:f>
        <x:v>仄</x:v>
      </x:c>
      <x:c r="L2339" s="7" t="str"/>
    </x:row>
    <x:row r="2340">
      <x:c r="A2340" s="5" t="str">
        <x:v>濼</x:v>
      </x:c>
      <x:c r="B2340" s="6" t="str">
        <x:v>入</x:v>
      </x:c>
      <x:c r="C2340" s="6" t="str">
        <x:f>IF(B2340="","Needs decision","Ready")</x:f>
        <x:v>Ready</x:v>
      </x:c>
      <x:c r="D2340" s="6" t="str">
        <x:v>入</x:v>
      </x:c>
      <x:c r="E2340" s="6" t="str">
        <x:v>lowk (D)</x:v>
      </x:c>
      <x:c r="F2340" s="6" t="str">
        <x:v>入聲十藥</x:v>
      </x:c>
      <x:c r="G2340" s="6" t="str">
        <x:v>Pingshui main list, Wikisource-derived DOCX</x:v>
      </x:c>
      <x:c r="H2340" s="6" t="str">
        <x:v>1</x:v>
      </x:c>
      <x:c r="I2340" s="6" t="str"/>
      <x:c r="J2340" s="6" t="str">
        <x:f>IF(B2340="","",IF(AND(ISNUMBER(SEARCH("平",B2340)),OR(ISNUMBER(SEARCH("上",B2340)),ISNUMBER(SEARCH("去",B2340)),ISNUMBER(SEARCH("入",B2340)))),"Ambiguous",IF(ISNUMBER(SEARCH("平",B2340)),"平","仄")))</x:f>
        <x:v>仄</x:v>
      </x:c>
      <x:c r="K2340" s="6" t="str">
        <x:f>IF(D2340="","",IF(AND(ISNUMBER(SEARCH("平",D2340)),OR(ISNUMBER(SEARCH("上",D2340)),ISNUMBER(SEARCH("去",D2340)),ISNUMBER(SEARCH("入",D2340)))),"Ambiguous",IF(ISNUMBER(SEARCH("平",D2340)),"平","仄")))</x:f>
        <x:v>仄</x:v>
      </x:c>
      <x:c r="L2340" s="7" t="str"/>
    </x:row>
    <x:row r="2341">
      <x:c r="A2341" s="5" t="str">
        <x:v>瀉</x:v>
      </x:c>
      <x:c r="B2341" s="6" t="str">
        <x:v>上</x:v>
      </x:c>
      <x:c r="C2341" s="6" t="str">
        <x:f>IF(B2341="","Needs decision","Ready")</x:f>
        <x:v>Ready</x:v>
      </x:c>
      <x:c r="D2341" s="6" t="str">
        <x:v>上</x:v>
      </x:c>
      <x:c r="E2341" s="6" t="str">
        <x:v>sjaeX (B)</x:v>
      </x:c>
      <x:c r="F2341" s="6" t="str">
        <x:v>上聲二十一馬; 去聲二十二禡</x:v>
      </x:c>
      <x:c r="G2341" s="6" t="str">
        <x:v>Pingshui main list, Wikisource-derived DOCX</x:v>
      </x:c>
      <x:c r="H2341" s="6" t="str">
        <x:v>1</x:v>
      </x:c>
      <x:c r="I2341" s="6" t="str"/>
      <x:c r="J2341" s="6" t="str">
        <x:f>IF(B2341="","",IF(AND(ISNUMBER(SEARCH("平",B2341)),OR(ISNUMBER(SEARCH("上",B2341)),ISNUMBER(SEARCH("去",B2341)),ISNUMBER(SEARCH("入",B2341)))),"Ambiguous",IF(ISNUMBER(SEARCH("平",B2341)),"平","仄")))</x:f>
        <x:v>仄</x:v>
      </x:c>
      <x:c r="K2341" s="6" t="str">
        <x:f>IF(D2341="","",IF(AND(ISNUMBER(SEARCH("平",D2341)),OR(ISNUMBER(SEARCH("上",D2341)),ISNUMBER(SEARCH("去",D2341)),ISNUMBER(SEARCH("入",D2341)))),"Ambiguous",IF(ISNUMBER(SEARCH("平",D2341)),"平","仄")))</x:f>
        <x:v>仄</x:v>
      </x:c>
      <x:c r="L2341" s="7" t="str"/>
    </x:row>
    <x:row r="2342">
      <x:c r="A2342" s="5" t="str">
        <x:v>瀋</x:v>
      </x:c>
      <x:c r="B2342" s="6" t="str">
        <x:v>上</x:v>
      </x:c>
      <x:c r="C2342" s="6" t="str">
        <x:f>IF(B2342="","Needs decision","Ready")</x:f>
        <x:v>Ready</x:v>
      </x:c>
      <x:c r="D2342" s="6" t="str">
        <x:v>上</x:v>
      </x:c>
      <x:c r="E2342" s="6" t="str">
        <x:v>tsyhimX (B)</x:v>
      </x:c>
      <x:c r="F2342" s="6" t="str">
        <x:v>上聲二十六寢</x:v>
      </x:c>
      <x:c r="G2342" s="6" t="str">
        <x:v>Pingshui main list, Wikisource-derived DOCX</x:v>
      </x:c>
      <x:c r="H2342" s="6" t="str">
        <x:v>1</x:v>
      </x:c>
      <x:c r="I2342" s="6" t="str"/>
      <x:c r="J2342" s="6" t="str">
        <x:f>IF(B2342="","",IF(AND(ISNUMBER(SEARCH("平",B2342)),OR(ISNUMBER(SEARCH("上",B2342)),ISNUMBER(SEARCH("去",B2342)),ISNUMBER(SEARCH("入",B2342)))),"Ambiguous",IF(ISNUMBER(SEARCH("平",B2342)),"平","仄")))</x:f>
        <x:v>仄</x:v>
      </x:c>
      <x:c r="K2342" s="6" t="str">
        <x:f>IF(D2342="","",IF(AND(ISNUMBER(SEARCH("平",D2342)),OR(ISNUMBER(SEARCH("上",D2342)),ISNUMBER(SEARCH("去",D2342)),ISNUMBER(SEARCH("入",D2342)))),"Ambiguous",IF(ISNUMBER(SEARCH("平",D2342)),"平","仄")))</x:f>
        <x:v>仄</x:v>
      </x:c>
      <x:c r="L2342" s="7" t="str"/>
    </x:row>
    <x:row r="2343">
      <x:c r="A2343" s="5" t="str">
        <x:v>瀑</x:v>
      </x:c>
      <x:c r="B2343" s="6" t="str">
        <x:v>入</x:v>
      </x:c>
      <x:c r="C2343" s="6" t="str">
        <x:f>IF(B2343="","Needs decision","Ready")</x:f>
        <x:v>Ready</x:v>
      </x:c>
      <x:c r="D2343" s="6" t="str">
        <x:v>入</x:v>
      </x:c>
      <x:c r="E2343" s="6" t="str">
        <x:v>buwk (D)</x:v>
      </x:c>
      <x:c r="F2343" s="6" t="str">
        <x:v>去聲二十號; 入聲一屋</x:v>
      </x:c>
      <x:c r="G2343" s="6" t="str">
        <x:v>Pingshui main list, Wikisource-derived DOCX</x:v>
      </x:c>
      <x:c r="H2343" s="6" t="str">
        <x:v>1</x:v>
      </x:c>
      <x:c r="I2343" s="6" t="str"/>
      <x:c r="J2343" s="6" t="str">
        <x:f>IF(B2343="","",IF(AND(ISNUMBER(SEARCH("平",B2343)),OR(ISNUMBER(SEARCH("上",B2343)),ISNUMBER(SEARCH("去",B2343)),ISNUMBER(SEARCH("入",B2343)))),"Ambiguous",IF(ISNUMBER(SEARCH("平",B2343)),"平","仄")))</x:f>
        <x:v>仄</x:v>
      </x:c>
      <x:c r="K2343" s="6" t="str">
        <x:f>IF(D2343="","",IF(AND(ISNUMBER(SEARCH("平",D2343)),OR(ISNUMBER(SEARCH("上",D2343)),ISNUMBER(SEARCH("去",D2343)),ISNUMBER(SEARCH("入",D2343)))),"Ambiguous",IF(ISNUMBER(SEARCH("平",D2343)),"平","仄")))</x:f>
        <x:v>仄</x:v>
      </x:c>
      <x:c r="L2343" s="7" t="str"/>
    </x:row>
    <x:row r="2344">
      <x:c r="A2344" s="5" t="str">
        <x:v>瀕</x:v>
      </x:c>
      <x:c r="B2344" s="6" t="str">
        <x:v>平</x:v>
      </x:c>
      <x:c r="C2344" s="6" t="str">
        <x:f>IF(B2344="","Needs decision","Ready")</x:f>
        <x:v>Ready</x:v>
      </x:c>
      <x:c r="D2344" s="6" t="str">
        <x:v>平</x:v>
      </x:c>
      <x:c r="E2344" s="6" t="str">
        <x:v>pjin (A)</x:v>
      </x:c>
      <x:c r="F2344" s="6" t="str">
        <x:v>上平聲十一真</x:v>
      </x:c>
      <x:c r="G2344" s="6" t="str">
        <x:v>Pingshui main list, Wikisource-derived DOCX</x:v>
      </x:c>
      <x:c r="H2344" s="6" t="str">
        <x:v>1</x:v>
      </x:c>
      <x:c r="I2344" s="6" t="str"/>
      <x:c r="J2344" s="6" t="str">
        <x:f>IF(B2344="","",IF(AND(ISNUMBER(SEARCH("平",B2344)),OR(ISNUMBER(SEARCH("上",B2344)),ISNUMBER(SEARCH("去",B2344)),ISNUMBER(SEARCH("入",B2344)))),"Ambiguous",IF(ISNUMBER(SEARCH("平",B2344)),"平","仄")))</x:f>
        <x:v>平</x:v>
      </x:c>
      <x:c r="K2344" s="6" t="str">
        <x:f>IF(D2344="","",IF(AND(ISNUMBER(SEARCH("平",D2344)),OR(ISNUMBER(SEARCH("上",D2344)),ISNUMBER(SEARCH("去",D2344)),ISNUMBER(SEARCH("入",D2344)))),"Ambiguous",IF(ISNUMBER(SEARCH("平",D2344)),"平","仄")))</x:f>
        <x:v>平</x:v>
      </x:c>
      <x:c r="L2344" s="7" t="str"/>
    </x:row>
    <x:row r="2345">
      <x:c r="A2345" s="5" t="str">
        <x:v>瀚</x:v>
      </x:c>
      <x:c r="B2345" s="6" t="str">
        <x:v>去</x:v>
      </x:c>
      <x:c r="C2345" s="6" t="str">
        <x:f>IF(B2345="","Needs decision","Ready")</x:f>
        <x:v>Ready</x:v>
      </x:c>
      <x:c r="D2345" s="6" t="str">
        <x:v>去</x:v>
      </x:c>
      <x:c r="E2345" s="6" t="str">
        <x:v>hanH [ʁɑnh] (去)</x:v>
      </x:c>
      <x:c r="F2345" s="6" t="str">
        <x:v>去聲十五翰</x:v>
      </x:c>
      <x:c r="G2345" s="6" t="str">
        <x:v>Pingshui main list, Wikisource-derived DOCX</x:v>
      </x:c>
      <x:c r="H2345" s="6" t="str">
        <x:v>1</x:v>
      </x:c>
      <x:c r="I2345" s="6" t="str">
        <x:v>Tang 300 gap; frequency 2; provisional from Xun Gong</x:v>
      </x:c>
      <x:c r="J2345" s="6" t="str">
        <x:f>IF(B2345="","",IF(AND(ISNUMBER(SEARCH("平",B2345)),OR(ISNUMBER(SEARCH("上",B2345)),ISNUMBER(SEARCH("去",B2345)),ISNUMBER(SEARCH("入",B2345)))),"Ambiguous",IF(ISNUMBER(SEARCH("平",B2345)),"平","仄")))</x:f>
        <x:v>仄</x:v>
      </x:c>
      <x:c r="K2345" s="6" t="str">
        <x:f>IF(D2345="","",IF(AND(ISNUMBER(SEARCH("平",D2345)),OR(ISNUMBER(SEARCH("上",D2345)),ISNUMBER(SEARCH("去",D2345)),ISNUMBER(SEARCH("入",D2345)))),"Ambiguous",IF(ISNUMBER(SEARCH("平",D2345)),"平","仄")))</x:f>
        <x:v>仄</x:v>
      </x:c>
      <x:c r="L2345" s="7" t="str">
        <x:v>Xun Gong, Tang 300 gap fill</x:v>
      </x:c>
    </x:row>
    <x:row r="2346">
      <x:c r="A2346" s="5" t="str">
        <x:v>瀛</x:v>
      </x:c>
      <x:c r="B2346" s="6" t="str">
        <x:v>平</x:v>
      </x:c>
      <x:c r="C2346" s="6" t="str">
        <x:f>IF(B2346="","Needs decision","Ready")</x:f>
        <x:v>Ready</x:v>
      </x:c>
      <x:c r="D2346" s="6" t="str">
        <x:v>平</x:v>
      </x:c>
      <x:c r="E2346" s="6" t="str"/>
      <x:c r="F2346" s="6" t="str">
        <x:v>下平聲八庚</x:v>
      </x:c>
      <x:c r="G2346" s="6" t="str">
        <x:v>Pingshui main list, Wikisource-derived DOCX</x:v>
      </x:c>
      <x:c r="H2346" s="6" t="str"/>
      <x:c r="I2346" s="6" t="str">
        <x:v>Manual user correction/addition</x:v>
      </x:c>
      <x:c r="J2346" s="6" t="str">
        <x:f>IF(B2346="","",IF(AND(ISNUMBER(SEARCH("平",B2346)),OR(ISNUMBER(SEARCH("上",B2346)),ISNUMBER(SEARCH("去",B2346)),ISNUMBER(SEARCH("入",B2346)))),"Ambiguous",IF(ISNUMBER(SEARCH("平",B2346)),"平","仄")))</x:f>
        <x:v>平</x:v>
      </x:c>
      <x:c r="K2346" s="6" t="str">
        <x:f>IF(D2346="","",IF(AND(ISNUMBER(SEARCH("平",D2346)),OR(ISNUMBER(SEARCH("上",D2346)),ISNUMBER(SEARCH("去",D2346)),ISNUMBER(SEARCH("入",D2346)))),"Ambiguous",IF(ISNUMBER(SEARCH("平",D2346)),"平","仄")))</x:f>
        <x:v>平</x:v>
      </x:c>
      <x:c r="L2346" s="7" t="str">
        <x:v>manual user correction</x:v>
      </x:c>
    </x:row>
    <x:row r="2347">
      <x:c r="A2347" s="5" t="str">
        <x:v>瀡</x:v>
      </x:c>
      <x:c r="B2347" s="6" t="str">
        <x:v>去</x:v>
      </x:c>
      <x:c r="C2347" s="6" t="str">
        <x:f>IF(B2347="","Needs decision","Ready")</x:f>
        <x:v>Ready</x:v>
      </x:c>
      <x:c r="D2347" s="6" t="str">
        <x:v>去</x:v>
      </x:c>
      <x:c r="E2347" s="6" t="str">
        <x:v>sjweH (C)</x:v>
      </x:c>
      <x:c r="F2347" s="6" t="str"/>
      <x:c r="G2347" s="6" t="str"/>
      <x:c r="H2347" s="6" t="str">
        <x:v>1</x:v>
      </x:c>
      <x:c r="I2347" s="6" t="str"/>
      <x:c r="J2347" s="6" t="str">
        <x:f>IF(B2347="","",IF(AND(ISNUMBER(SEARCH("平",B2347)),OR(ISNUMBER(SEARCH("上",B2347)),ISNUMBER(SEARCH("去",B2347)),ISNUMBER(SEARCH("入",B2347)))),"Ambiguous",IF(ISNUMBER(SEARCH("平",B2347)),"平","仄")))</x:f>
        <x:v>仄</x:v>
      </x:c>
      <x:c r="K2347" s="6" t="str">
        <x:f>IF(D2347="","",IF(AND(ISNUMBER(SEARCH("平",D2347)),OR(ISNUMBER(SEARCH("上",D2347)),ISNUMBER(SEARCH("去",D2347)),ISNUMBER(SEARCH("入",D2347)))),"Ambiguous",IF(ISNUMBER(SEARCH("平",D2347)),"平","仄")))</x:f>
        <x:v>仄</x:v>
      </x:c>
      <x:c r="L2347" s="7" t="str"/>
    </x:row>
    <x:row r="2348">
      <x:c r="A2348" s="5" t="str">
        <x:v>瀨</x:v>
      </x:c>
      <x:c r="B2348" s="6" t="str">
        <x:v>去</x:v>
      </x:c>
      <x:c r="C2348" s="6" t="str">
        <x:f>IF(B2348="","Needs decision","Ready")</x:f>
        <x:v>Ready</x:v>
      </x:c>
      <x:c r="D2348" s="6" t="str">
        <x:v>去</x:v>
      </x:c>
      <x:c r="E2348" s="6" t="str">
        <x:v>lajH (C)</x:v>
      </x:c>
      <x:c r="F2348" s="6" t="str">
        <x:v>去聲九泰</x:v>
      </x:c>
      <x:c r="G2348" s="6" t="str">
        <x:v>Pingshui main list, Wikisource-derived DOCX</x:v>
      </x:c>
      <x:c r="H2348" s="6" t="str">
        <x:v>1</x:v>
      </x:c>
      <x:c r="I2348" s="6" t="str"/>
      <x:c r="J2348" s="6" t="str">
        <x:f>IF(B2348="","",IF(AND(ISNUMBER(SEARCH("平",B2348)),OR(ISNUMBER(SEARCH("上",B2348)),ISNUMBER(SEARCH("去",B2348)),ISNUMBER(SEARCH("入",B2348)))),"Ambiguous",IF(ISNUMBER(SEARCH("平",B2348)),"平","仄")))</x:f>
        <x:v>仄</x:v>
      </x:c>
      <x:c r="K2348" s="6" t="str">
        <x:f>IF(D2348="","",IF(AND(ISNUMBER(SEARCH("平",D2348)),OR(ISNUMBER(SEARCH("上",D2348)),ISNUMBER(SEARCH("去",D2348)),ISNUMBER(SEARCH("入",D2348)))),"Ambiguous",IF(ISNUMBER(SEARCH("平",D2348)),"平","仄")))</x:f>
        <x:v>仄</x:v>
      </x:c>
      <x:c r="L2348" s="7" t="str"/>
    </x:row>
    <x:row r="2349">
      <x:c r="A2349" s="5" t="str">
        <x:v>瀰</x:v>
      </x:c>
      <x:c r="B2349" s="6" t="str"/>
      <x:c r="C2349" s="6" t="str">
        <x:f>IF(B2349="","Needs decision","Ready")</x:f>
        <x:v>Needs decision</x:v>
      </x:c>
      <x:c r="D2349" s="6" t="str">
        <x:v>平/上</x:v>
      </x:c>
      <x:c r="E2349" s="6" t="str">
        <x:v>mjie (A); mejX (B); mjieX (B)</x:v>
      </x:c>
      <x:c r="F2349" s="6" t="str">
        <x:v>上平聲四支; 上聲四紙; 上聲八薺</x:v>
      </x:c>
      <x:c r="G2349" s="6" t="str">
        <x:v>Pingshui main list, Wikisource-derived DOCX</x:v>
      </x:c>
      <x:c r="H2349" s="6" t="str">
        <x:v>3</x:v>
      </x:c>
      <x:c r="I2349" s="6" t="str"/>
      <x:c r="J2349" s="6" t="str">
        <x:f>IF(B2349="","",IF(AND(ISNUMBER(SEARCH("平",B2349)),OR(ISNUMBER(SEARCH("上",B2349)),ISNUMBER(SEARCH("去",B2349)),ISNUMBER(SEARCH("入",B2349)))),"Ambiguous",IF(ISNUMBER(SEARCH("平",B2349)),"平","仄")))</x:f>
      </x:c>
      <x:c r="K2349" s="6" t="str">
        <x:f>IF(D2349="","",IF(AND(ISNUMBER(SEARCH("平",D2349)),OR(ISNUMBER(SEARCH("上",D2349)),ISNUMBER(SEARCH("去",D2349)),ISNUMBER(SEARCH("入",D2349)))),"Ambiguous",IF(ISNUMBER(SEARCH("平",D2349)),"平","仄")))</x:f>
        <x:v>Ambiguous</x:v>
      </x:c>
      <x:c r="L2349" s="7" t="str"/>
    </x:row>
    <x:row r="2350">
      <x:c r="A2350" s="5" t="str">
        <x:v>瀾</x:v>
      </x:c>
      <x:c r="B2350" s="6" t="str">
        <x:v>平</x:v>
      </x:c>
      <x:c r="C2350" s="6" t="str">
        <x:f>IF(B2350="","Needs decision","Ready")</x:f>
        <x:v>Ready</x:v>
      </x:c>
      <x:c r="D2350" s="6" t="str">
        <x:v>平/去</x:v>
      </x:c>
      <x:c r="E2350" s="6" t="str">
        <x:v>lan [l̙ɑn] (平); lanH [l̙ɑnh] (去)</x:v>
      </x:c>
      <x:c r="F2350" s="6" t="str">
        <x:v>上平聲十四寒; 去聲十五翰</x:v>
      </x:c>
      <x:c r="G2350" s="6" t="str">
        <x:v>Pingshui main list, Wikisource-derived DOCX</x:v>
      </x:c>
      <x:c r="H2350" s="6" t="str">
        <x:v>2</x:v>
      </x:c>
      <x:c r="I2350" s="6" t="str">
        <x:v>Tang 300 gap; frequency 3; ambiguous in Xun Gong</x:v>
      </x:c>
      <x:c r="J2350" s="6" t="str">
        <x:f>IF(B2350="","",IF(AND(ISNUMBER(SEARCH("平",B2350)),OR(ISNUMBER(SEARCH("上",B2350)),ISNUMBER(SEARCH("去",B2350)),ISNUMBER(SEARCH("入",B2350)))),"Ambiguous",IF(ISNUMBER(SEARCH("平",B2350)),"平","仄")))</x:f>
        <x:v>平</x:v>
      </x:c>
      <x:c r="K2350" s="6" t="str">
        <x:f>IF(D2350="","",IF(AND(ISNUMBER(SEARCH("平",D2350)),OR(ISNUMBER(SEARCH("上",D2350)),ISNUMBER(SEARCH("去",D2350)),ISNUMBER(SEARCH("入",D2350)))),"Ambiguous",IF(ISNUMBER(SEARCH("平",D2350)),"平","仄")))</x:f>
        <x:v>Ambiguous</x:v>
      </x:c>
      <x:c r="L2350" s="7" t="str">
        <x:v>Xun Gong, Tang 300 gap fill</x:v>
      </x:c>
    </x:row>
    <x:row r="2351">
      <x:c r="A2351" s="5" t="str">
        <x:v>灋</x:v>
      </x:c>
      <x:c r="B2351" s="6" t="str">
        <x:v>入</x:v>
      </x:c>
      <x:c r="C2351" s="6" t="str">
        <x:f>IF(B2351="","Needs decision","Ready")</x:f>
        <x:v>Ready</x:v>
      </x:c>
      <x:c r="D2351" s="6" t="str">
        <x:v>入</x:v>
      </x:c>
      <x:c r="E2351" s="6" t="str">
        <x:v>pjop (D)</x:v>
      </x:c>
      <x:c r="F2351" s="6" t="str"/>
      <x:c r="G2351" s="6" t="str"/>
      <x:c r="H2351" s="6" t="str">
        <x:v>1</x:v>
      </x:c>
      <x:c r="I2351" s="6" t="str"/>
      <x:c r="J2351" s="6" t="str">
        <x:f>IF(B2351="","",IF(AND(ISNUMBER(SEARCH("平",B2351)),OR(ISNUMBER(SEARCH("上",B2351)),ISNUMBER(SEARCH("去",B2351)),ISNUMBER(SEARCH("入",B2351)))),"Ambiguous",IF(ISNUMBER(SEARCH("平",B2351)),"平","仄")))</x:f>
        <x:v>仄</x:v>
      </x:c>
      <x:c r="K2351" s="6" t="str">
        <x:f>IF(D2351="","",IF(AND(ISNUMBER(SEARCH("平",D2351)),OR(ISNUMBER(SEARCH("上",D2351)),ISNUMBER(SEARCH("去",D2351)),ISNUMBER(SEARCH("入",D2351)))),"Ambiguous",IF(ISNUMBER(SEARCH("平",D2351)),"平","仄")))</x:f>
        <x:v>仄</x:v>
      </x:c>
      <x:c r="L2351" s="7" t="str"/>
    </x:row>
    <x:row r="2352">
      <x:c r="A2352" s="5" t="str">
        <x:v>灌</x:v>
      </x:c>
      <x:c r="B2352" s="6" t="str">
        <x:v>去</x:v>
      </x:c>
      <x:c r="C2352" s="6" t="str">
        <x:f>IF(B2352="","Needs decision","Ready")</x:f>
        <x:v>Ready</x:v>
      </x:c>
      <x:c r="D2352" s="6" t="str">
        <x:v>去</x:v>
      </x:c>
      <x:c r="E2352" s="6" t="str">
        <x:v>kwanH (C)</x:v>
      </x:c>
      <x:c r="F2352" s="6" t="str">
        <x:v>去聲十五翰</x:v>
      </x:c>
      <x:c r="G2352" s="6" t="str">
        <x:v>Pingshui main list, Wikisource-derived DOCX</x:v>
      </x:c>
      <x:c r="H2352" s="6" t="str">
        <x:v>1</x:v>
      </x:c>
      <x:c r="I2352" s="6" t="str"/>
      <x:c r="J2352" s="6" t="str">
        <x:f>IF(B2352="","",IF(AND(ISNUMBER(SEARCH("平",B2352)),OR(ISNUMBER(SEARCH("上",B2352)),ISNUMBER(SEARCH("去",B2352)),ISNUMBER(SEARCH("入",B2352)))),"Ambiguous",IF(ISNUMBER(SEARCH("平",B2352)),"平","仄")))</x:f>
        <x:v>仄</x:v>
      </x:c>
      <x:c r="K2352" s="6" t="str">
        <x:f>IF(D2352="","",IF(AND(ISNUMBER(SEARCH("平",D2352)),OR(ISNUMBER(SEARCH("上",D2352)),ISNUMBER(SEARCH("去",D2352)),ISNUMBER(SEARCH("入",D2352)))),"Ambiguous",IF(ISNUMBER(SEARCH("平",D2352)),"平","仄")))</x:f>
        <x:v>仄</x:v>
      </x:c>
      <x:c r="L2352" s="7" t="str"/>
    </x:row>
    <x:row r="2353">
      <x:c r="A2353" s="5" t="str">
        <x:v>灑</x:v>
      </x:c>
      <x:c r="B2353" s="6" t="str"/>
      <x:c r="C2353" s="6" t="str">
        <x:f>IF(B2353="","Needs decision","Ready")</x:f>
        <x:v>Needs decision</x:v>
      </x:c>
      <x:c r="D2353" s="6" t="str">
        <x:v>上/去</x:v>
      </x:c>
      <x:c r="E2353" s="6" t="str">
        <x:v>sreaX (B); sreaH (C); srjeH (C); srjeX (B)</x:v>
      </x:c>
      <x:c r="F2353" s="6" t="str">
        <x:v>上聲九蟹; 上聲二十一馬</x:v>
      </x:c>
      <x:c r="G2353" s="6" t="str">
        <x:v>Pingshui main list, Wikisource-derived DOCX</x:v>
      </x:c>
      <x:c r="H2353" s="6" t="str">
        <x:v>4</x:v>
      </x:c>
      <x:c r="I2353" s="6" t="str"/>
      <x:c r="J2353" s="6" t="str">
        <x:f>IF(B2353="","",IF(AND(ISNUMBER(SEARCH("平",B2353)),OR(ISNUMBER(SEARCH("上",B2353)),ISNUMBER(SEARCH("去",B2353)),ISNUMBER(SEARCH("入",B2353)))),"Ambiguous",IF(ISNUMBER(SEARCH("平",B2353)),"平","仄")))</x:f>
      </x:c>
      <x:c r="K2353" s="6" t="str">
        <x:f>IF(D2353="","",IF(AND(ISNUMBER(SEARCH("平",D2353)),OR(ISNUMBER(SEARCH("上",D2353)),ISNUMBER(SEARCH("去",D2353)),ISNUMBER(SEARCH("入",D2353)))),"Ambiguous",IF(ISNUMBER(SEARCH("平",D2353)),"平","仄")))</x:f>
        <x:v>仄</x:v>
      </x:c>
      <x:c r="L2353" s="7" t="str"/>
    </x:row>
    <x:row r="2354">
      <x:c r="A2354" s="5" t="str">
        <x:v>灘</x:v>
      </x:c>
      <x:c r="B2354" s="6" t="str">
        <x:v>平</x:v>
      </x:c>
      <x:c r="C2354" s="6" t="str">
        <x:f>IF(B2354="","Needs decision","Ready")</x:f>
        <x:v>Ready</x:v>
      </x:c>
      <x:c r="D2354" s="6" t="str">
        <x:v>平</x:v>
      </x:c>
      <x:c r="E2354" s="6" t="str">
        <x:v>than (A)</x:v>
      </x:c>
      <x:c r="F2354" s="6" t="str">
        <x:v>上平聲十四寒; 去聲十五翰</x:v>
      </x:c>
      <x:c r="G2354" s="6" t="str">
        <x:v>Pingshui main list, Wikisource-derived DOCX</x:v>
      </x:c>
      <x:c r="H2354" s="6" t="str">
        <x:v>1</x:v>
      </x:c>
      <x:c r="I2354" s="6" t="str"/>
      <x:c r="J2354" s="6" t="str">
        <x:f>IF(B2354="","",IF(AND(ISNUMBER(SEARCH("平",B2354)),OR(ISNUMBER(SEARCH("上",B2354)),ISNUMBER(SEARCH("去",B2354)),ISNUMBER(SEARCH("入",B2354)))),"Ambiguous",IF(ISNUMBER(SEARCH("平",B2354)),"平","仄")))</x:f>
        <x:v>平</x:v>
      </x:c>
      <x:c r="K2354" s="6" t="str">
        <x:f>IF(D2354="","",IF(AND(ISNUMBER(SEARCH("平",D2354)),OR(ISNUMBER(SEARCH("上",D2354)),ISNUMBER(SEARCH("去",D2354)),ISNUMBER(SEARCH("入",D2354)))),"Ambiguous",IF(ISNUMBER(SEARCH("平",D2354)),"平","仄")))</x:f>
        <x:v>平</x:v>
      </x:c>
      <x:c r="L2354" s="7" t="str"/>
    </x:row>
    <x:row r="2355">
      <x:c r="A2355" s="5" t="str">
        <x:v>灞</x:v>
      </x:c>
      <x:c r="B2355" s="6" t="str">
        <x:v>去</x:v>
      </x:c>
      <x:c r="C2355" s="6" t="str">
        <x:f>IF(B2355="","Needs decision","Ready")</x:f>
        <x:v>Ready</x:v>
      </x:c>
      <x:c r="D2355" s="6" t="str">
        <x:v>去</x:v>
      </x:c>
      <x:c r="E2355" s="6" t="str">
        <x:v>paeH [p̙aˤh] (去)</x:v>
      </x:c>
      <x:c r="F2355" s="6" t="str">
        <x:v>去聲二十二禡</x:v>
      </x:c>
      <x:c r="G2355" s="6" t="str">
        <x:v>Pingshui main list, Wikisource-derived DOCX</x:v>
      </x:c>
      <x:c r="H2355" s="6" t="str">
        <x:v>1</x:v>
      </x:c>
      <x:c r="I2355" s="6" t="str">
        <x:v>Tang 300 gap; frequency 2; provisional from Xun Gong</x:v>
      </x:c>
      <x:c r="J2355" s="6" t="str">
        <x:f>IF(B2355="","",IF(AND(ISNUMBER(SEARCH("平",B2355)),OR(ISNUMBER(SEARCH("上",B2355)),ISNUMBER(SEARCH("去",B2355)),ISNUMBER(SEARCH("入",B2355)))),"Ambiguous",IF(ISNUMBER(SEARCH("平",B2355)),"平","仄")))</x:f>
        <x:v>仄</x:v>
      </x:c>
      <x:c r="K2355" s="6" t="str">
        <x:f>IF(D2355="","",IF(AND(ISNUMBER(SEARCH("平",D2355)),OR(ISNUMBER(SEARCH("上",D2355)),ISNUMBER(SEARCH("去",D2355)),ISNUMBER(SEARCH("入",D2355)))),"Ambiguous",IF(ISNUMBER(SEARCH("平",D2355)),"平","仄")))</x:f>
        <x:v>仄</x:v>
      </x:c>
      <x:c r="L2355" s="7" t="str">
        <x:v>Xun Gong, Tang 300 gap fill</x:v>
      </x:c>
    </x:row>
    <x:row r="2356">
      <x:c r="A2356" s="5" t="str">
        <x:v>灣</x:v>
      </x:c>
      <x:c r="B2356" s="6" t="str">
        <x:v>平</x:v>
      </x:c>
      <x:c r="C2356" s="6" t="str">
        <x:f>IF(B2356="","Needs decision","Ready")</x:f>
        <x:v>Ready</x:v>
      </x:c>
      <x:c r="D2356" s="6" t="str">
        <x:v>平</x:v>
      </x:c>
      <x:c r="E2356" s="6" t="str">
        <x:v>'waen [ʔ̙waˤn] (平)</x:v>
      </x:c>
      <x:c r="F2356" s="6" t="str">
        <x:v>上平聲十四寒</x:v>
      </x:c>
      <x:c r="G2356" s="6" t="str">
        <x:v>Pingshui main list, Wikisource-derived DOCX</x:v>
      </x:c>
      <x:c r="H2356" s="6" t="str">
        <x:v>1</x:v>
      </x:c>
      <x:c r="I2356" s="6" t="str">
        <x:v>Tang 300 gap; frequency 1; provisional from Xun Gong</x:v>
      </x:c>
      <x:c r="J2356" s="6" t="str">
        <x:f>IF(B2356="","",IF(AND(ISNUMBER(SEARCH("平",B2356)),OR(ISNUMBER(SEARCH("上",B2356)),ISNUMBER(SEARCH("去",B2356)),ISNUMBER(SEARCH("入",B2356)))),"Ambiguous",IF(ISNUMBER(SEARCH("平",B2356)),"平","仄")))</x:f>
        <x:v>平</x:v>
      </x:c>
      <x:c r="K2356" s="6" t="str">
        <x:f>IF(D2356="","",IF(AND(ISNUMBER(SEARCH("平",D2356)),OR(ISNUMBER(SEARCH("上",D2356)),ISNUMBER(SEARCH("去",D2356)),ISNUMBER(SEARCH("入",D2356)))),"Ambiguous",IF(ISNUMBER(SEARCH("平",D2356)),"平","仄")))</x:f>
        <x:v>平</x:v>
      </x:c>
      <x:c r="L2356" s="7" t="str">
        <x:v>Xun Gong, Tang 300 gap fill</x:v>
      </x:c>
    </x:row>
    <x:row r="2357">
      <x:c r="A2357" s="5" t="str">
        <x:v>灩</x:v>
      </x:c>
      <x:c r="B2357" s="6" t="str">
        <x:v>去</x:v>
      </x:c>
      <x:c r="C2357" s="6" t="str">
        <x:f>IF(B2357="","Needs decision","Ready")</x:f>
        <x:v>Ready</x:v>
      </x:c>
      <x:c r="D2357" s="6" t="str">
        <x:v>去</x:v>
      </x:c>
      <x:c r="E2357" s="6" t="str">
        <x:v>yemH [jemh] (去)</x:v>
      </x:c>
      <x:c r="F2357" s="6" t="str">
        <x:v>去聲二十九豔</x:v>
      </x:c>
      <x:c r="G2357" s="6" t="str">
        <x:v>Pingshui main list, Wikisource-derived DOCX</x:v>
      </x:c>
      <x:c r="H2357" s="6" t="str">
        <x:v>1</x:v>
      </x:c>
      <x:c r="I2357" s="6" t="str">
        <x:v>Tang 300 gap; frequency 1; provisional from Xun Gong</x:v>
      </x:c>
      <x:c r="J2357" s="6" t="str">
        <x:f>IF(B2357="","",IF(AND(ISNUMBER(SEARCH("平",B2357)),OR(ISNUMBER(SEARCH("上",B2357)),ISNUMBER(SEARCH("去",B2357)),ISNUMBER(SEARCH("入",B2357)))),"Ambiguous",IF(ISNUMBER(SEARCH("平",B2357)),"平","仄")))</x:f>
        <x:v>仄</x:v>
      </x:c>
      <x:c r="K2357" s="6" t="str">
        <x:f>IF(D2357="","",IF(AND(ISNUMBER(SEARCH("平",D2357)),OR(ISNUMBER(SEARCH("上",D2357)),ISNUMBER(SEARCH("去",D2357)),ISNUMBER(SEARCH("入",D2357)))),"Ambiguous",IF(ISNUMBER(SEARCH("平",D2357)),"平","仄")))</x:f>
        <x:v>仄</x:v>
      </x:c>
      <x:c r="L2357" s="7" t="str">
        <x:v>Xun Gong, Tang 300 gap fill</x:v>
      </x:c>
    </x:row>
    <x:row r="2358">
      <x:c r="A2358" s="5" t="str">
        <x:v>火</x:v>
      </x:c>
      <x:c r="B2358" s="6" t="str">
        <x:v>上</x:v>
      </x:c>
      <x:c r="C2358" s="6" t="str">
        <x:f>IF(B2358="","Needs decision","Ready")</x:f>
        <x:v>Ready</x:v>
      </x:c>
      <x:c r="D2358" s="6" t="str">
        <x:v>上</x:v>
      </x:c>
      <x:c r="E2358" s="6" t="str">
        <x:v>xwaX (B)</x:v>
      </x:c>
      <x:c r="F2358" s="6" t="str">
        <x:v>上聲二十哿</x:v>
      </x:c>
      <x:c r="G2358" s="6" t="str">
        <x:v>Pingshui main list, Wikisource-derived DOCX</x:v>
      </x:c>
      <x:c r="H2358" s="6" t="str">
        <x:v>1</x:v>
      </x:c>
      <x:c r="I2358" s="6" t="str"/>
      <x:c r="J2358" s="6" t="str">
        <x:f>IF(B2358="","",IF(AND(ISNUMBER(SEARCH("平",B2358)),OR(ISNUMBER(SEARCH("上",B2358)),ISNUMBER(SEARCH("去",B2358)),ISNUMBER(SEARCH("入",B2358)))),"Ambiguous",IF(ISNUMBER(SEARCH("平",B2358)),"平","仄")))</x:f>
        <x:v>仄</x:v>
      </x:c>
      <x:c r="K2358" s="6" t="str">
        <x:f>IF(D2358="","",IF(AND(ISNUMBER(SEARCH("平",D2358)),OR(ISNUMBER(SEARCH("上",D2358)),ISNUMBER(SEARCH("去",D2358)),ISNUMBER(SEARCH("入",D2358)))),"Ambiguous",IF(ISNUMBER(SEARCH("平",D2358)),"平","仄")))</x:f>
        <x:v>仄</x:v>
      </x:c>
      <x:c r="L2358" s="7" t="str"/>
    </x:row>
    <x:row r="2359">
      <x:c r="A2359" s="5" t="str">
        <x:v>灰</x:v>
      </x:c>
      <x:c r="B2359" s="6" t="str">
        <x:v>平</x:v>
      </x:c>
      <x:c r="C2359" s="6" t="str">
        <x:f>IF(B2359="","Needs decision","Ready")</x:f>
        <x:v>Ready</x:v>
      </x:c>
      <x:c r="D2359" s="6" t="str">
        <x:v>平</x:v>
      </x:c>
      <x:c r="E2359" s="6" t="str">
        <x:v>xwoj (A)</x:v>
      </x:c>
      <x:c r="F2359" s="6" t="str">
        <x:v>上平聲十灰</x:v>
      </x:c>
      <x:c r="G2359" s="6" t="str">
        <x:v>Pingshui main list, Wikisource-derived DOCX</x:v>
      </x:c>
      <x:c r="H2359" s="6" t="str">
        <x:v>1</x:v>
      </x:c>
      <x:c r="I2359" s="6" t="str"/>
      <x:c r="J2359" s="6" t="str">
        <x:f>IF(B2359="","",IF(AND(ISNUMBER(SEARCH("平",B2359)),OR(ISNUMBER(SEARCH("上",B2359)),ISNUMBER(SEARCH("去",B2359)),ISNUMBER(SEARCH("入",B2359)))),"Ambiguous",IF(ISNUMBER(SEARCH("平",B2359)),"平","仄")))</x:f>
        <x:v>平</x:v>
      </x:c>
      <x:c r="K2359" s="6" t="str">
        <x:f>IF(D2359="","",IF(AND(ISNUMBER(SEARCH("平",D2359)),OR(ISNUMBER(SEARCH("上",D2359)),ISNUMBER(SEARCH("去",D2359)),ISNUMBER(SEARCH("入",D2359)))),"Ambiguous",IF(ISNUMBER(SEARCH("平",D2359)),"平","仄")))</x:f>
        <x:v>平</x:v>
      </x:c>
      <x:c r="L2359" s="7" t="str"/>
    </x:row>
    <x:row r="2360">
      <x:c r="A2360" s="5" t="str">
        <x:v>灸</x:v>
      </x:c>
      <x:c r="B2360" s="6" t="str">
        <x:v>上</x:v>
      </x:c>
      <x:c r="C2360" s="6" t="str">
        <x:f>IF(B2360="","Needs decision","Ready")</x:f>
        <x:v>Ready</x:v>
      </x:c>
      <x:c r="D2360" s="6" t="str">
        <x:v>上</x:v>
      </x:c>
      <x:c r="E2360" s="6" t="str">
        <x:v>kjuwX (B)</x:v>
      </x:c>
      <x:c r="F2360" s="6" t="str"/>
      <x:c r="G2360" s="6" t="str"/>
      <x:c r="H2360" s="6" t="str">
        <x:v>1</x:v>
      </x:c>
      <x:c r="I2360" s="6" t="str"/>
      <x:c r="J2360" s="6" t="str">
        <x:f>IF(B2360="","",IF(AND(ISNUMBER(SEARCH("平",B2360)),OR(ISNUMBER(SEARCH("上",B2360)),ISNUMBER(SEARCH("去",B2360)),ISNUMBER(SEARCH("入",B2360)))),"Ambiguous",IF(ISNUMBER(SEARCH("平",B2360)),"平","仄")))</x:f>
        <x:v>仄</x:v>
      </x:c>
      <x:c r="K2360" s="6" t="str">
        <x:f>IF(D2360="","",IF(AND(ISNUMBER(SEARCH("平",D2360)),OR(ISNUMBER(SEARCH("上",D2360)),ISNUMBER(SEARCH("去",D2360)),ISNUMBER(SEARCH("入",D2360)))),"Ambiguous",IF(ISNUMBER(SEARCH("平",D2360)),"平","仄")))</x:f>
        <x:v>仄</x:v>
      </x:c>
      <x:c r="L2360" s="7" t="str"/>
    </x:row>
    <x:row r="2361">
      <x:c r="A2361" s="5" t="str">
        <x:v>灼</x:v>
      </x:c>
      <x:c r="B2361" s="6" t="str">
        <x:v>入</x:v>
      </x:c>
      <x:c r="C2361" s="6" t="str">
        <x:f>IF(B2361="","Needs decision","Ready")</x:f>
        <x:v>Ready</x:v>
      </x:c>
      <x:c r="D2361" s="6" t="str">
        <x:v>入</x:v>
      </x:c>
      <x:c r="E2361" s="6" t="str"/>
      <x:c r="F2361" s="6" t="str">
        <x:v>入聲十藥</x:v>
      </x:c>
      <x:c r="G2361" s="6" t="str">
        <x:v>Pingshui main list, Wikisource-derived DOCX</x:v>
      </x:c>
      <x:c r="H2361" s="6" t="str"/>
      <x:c r="I2361" s="6" t="str">
        <x:v>Manual user correction/addition</x:v>
      </x:c>
      <x:c r="J2361" s="6" t="str">
        <x:f>IF(B2361="","",IF(AND(ISNUMBER(SEARCH("平",B2361)),OR(ISNUMBER(SEARCH("上",B2361)),ISNUMBER(SEARCH("去",B2361)),ISNUMBER(SEARCH("入",B2361)))),"Ambiguous",IF(ISNUMBER(SEARCH("平",B2361)),"平","仄")))</x:f>
        <x:v>仄</x:v>
      </x:c>
      <x:c r="K2361" s="6" t="str">
        <x:f>IF(D2361="","",IF(AND(ISNUMBER(SEARCH("平",D2361)),OR(ISNUMBER(SEARCH("上",D2361)),ISNUMBER(SEARCH("去",D2361)),ISNUMBER(SEARCH("入",D2361)))),"Ambiguous",IF(ISNUMBER(SEARCH("平",D2361)),"平","仄")))</x:f>
        <x:v>仄</x:v>
      </x:c>
      <x:c r="L2361" s="7" t="str">
        <x:v>manual user correction</x:v>
      </x:c>
    </x:row>
    <x:row r="2362">
      <x:c r="A2362" s="5" t="str">
        <x:v>災</x:v>
      </x:c>
      <x:c r="B2362" s="6" t="str">
        <x:v>平</x:v>
      </x:c>
      <x:c r="C2362" s="6" t="str">
        <x:f>IF(B2362="","Needs decision","Ready")</x:f>
        <x:v>Ready</x:v>
      </x:c>
      <x:c r="D2362" s="6" t="str">
        <x:v>平</x:v>
      </x:c>
      <x:c r="E2362" s="6" t="str">
        <x:v>tsoj (A)</x:v>
      </x:c>
      <x:c r="F2362" s="6" t="str">
        <x:v>上平聲十灰</x:v>
      </x:c>
      <x:c r="G2362" s="6" t="str">
        <x:v>Pingshui main list, Wikisource-derived DOCX</x:v>
      </x:c>
      <x:c r="H2362" s="6" t="str">
        <x:v>1</x:v>
      </x:c>
      <x:c r="I2362" s="6" t="str"/>
      <x:c r="J2362" s="6" t="str">
        <x:f>IF(B2362="","",IF(AND(ISNUMBER(SEARCH("平",B2362)),OR(ISNUMBER(SEARCH("上",B2362)),ISNUMBER(SEARCH("去",B2362)),ISNUMBER(SEARCH("入",B2362)))),"Ambiguous",IF(ISNUMBER(SEARCH("平",B2362)),"平","仄")))</x:f>
        <x:v>平</x:v>
      </x:c>
      <x:c r="K2362" s="6" t="str">
        <x:f>IF(D2362="","",IF(AND(ISNUMBER(SEARCH("平",D2362)),OR(ISNUMBER(SEARCH("上",D2362)),ISNUMBER(SEARCH("去",D2362)),ISNUMBER(SEARCH("入",D2362)))),"Ambiguous",IF(ISNUMBER(SEARCH("平",D2362)),"平","仄")))</x:f>
        <x:v>平</x:v>
      </x:c>
      <x:c r="L2362" s="7" t="str"/>
    </x:row>
    <x:row r="2363">
      <x:c r="A2363" s="5" t="str">
        <x:v>灾</x:v>
      </x:c>
      <x:c r="B2363" s="6" t="str">
        <x:v>平</x:v>
      </x:c>
      <x:c r="C2363" s="6" t="str">
        <x:f>IF(B2363="","Needs decision","Ready")</x:f>
        <x:v>Ready</x:v>
      </x:c>
      <x:c r="D2363" s="6" t="str">
        <x:v>平</x:v>
      </x:c>
      <x:c r="E2363" s="6" t="str">
        <x:v>tsoj (A)</x:v>
      </x:c>
      <x:c r="F2363" s="6" t="str"/>
      <x:c r="G2363" s="6" t="str"/>
      <x:c r="H2363" s="6" t="str">
        <x:v>1</x:v>
      </x:c>
      <x:c r="I2363" s="6" t="str"/>
      <x:c r="J2363" s="6" t="str">
        <x:f>IF(B2363="","",IF(AND(ISNUMBER(SEARCH("平",B2363)),OR(ISNUMBER(SEARCH("上",B2363)),ISNUMBER(SEARCH("去",B2363)),ISNUMBER(SEARCH("入",B2363)))),"Ambiguous",IF(ISNUMBER(SEARCH("平",B2363)),"平","仄")))</x:f>
        <x:v>平</x:v>
      </x:c>
      <x:c r="K2363" s="6" t="str">
        <x:f>IF(D2363="","",IF(AND(ISNUMBER(SEARCH("平",D2363)),OR(ISNUMBER(SEARCH("上",D2363)),ISNUMBER(SEARCH("去",D2363)),ISNUMBER(SEARCH("入",D2363)))),"Ambiguous",IF(ISNUMBER(SEARCH("平",D2363)),"平","仄")))</x:f>
        <x:v>平</x:v>
      </x:c>
      <x:c r="L2363" s="7" t="str"/>
    </x:row>
    <x:row r="2364">
      <x:c r="A2364" s="5" t="str">
        <x:v>炊</x:v>
      </x:c>
      <x:c r="B2364" s="6" t="str">
        <x:v>平</x:v>
      </x:c>
      <x:c r="C2364" s="6" t="str">
        <x:f>IF(B2364="","Needs decision","Ready")</x:f>
        <x:v>Ready</x:v>
      </x:c>
      <x:c r="D2364" s="6" t="str">
        <x:v>平</x:v>
      </x:c>
      <x:c r="E2364" s="6" t="str">
        <x:v>tsyhwe [tɕʰwie] (平)</x:v>
      </x:c>
      <x:c r="F2364" s="6" t="str">
        <x:v>上平聲四支</x:v>
      </x:c>
      <x:c r="G2364" s="6" t="str">
        <x:v>Pingshui main list, Wikisource-derived DOCX</x:v>
      </x:c>
      <x:c r="H2364" s="6" t="str">
        <x:v>1</x:v>
      </x:c>
      <x:c r="I2364" s="6" t="str">
        <x:v>Tang 300 gap; frequency 2; provisional from Xun Gong</x:v>
      </x:c>
      <x:c r="J2364" s="6" t="str">
        <x:f>IF(B2364="","",IF(AND(ISNUMBER(SEARCH("平",B2364)),OR(ISNUMBER(SEARCH("上",B2364)),ISNUMBER(SEARCH("去",B2364)),ISNUMBER(SEARCH("入",B2364)))),"Ambiguous",IF(ISNUMBER(SEARCH("平",B2364)),"平","仄")))</x:f>
        <x:v>平</x:v>
      </x:c>
      <x:c r="K2364" s="6" t="str">
        <x:f>IF(D2364="","",IF(AND(ISNUMBER(SEARCH("平",D2364)),OR(ISNUMBER(SEARCH("上",D2364)),ISNUMBER(SEARCH("去",D2364)),ISNUMBER(SEARCH("入",D2364)))),"Ambiguous",IF(ISNUMBER(SEARCH("平",D2364)),"平","仄")))</x:f>
        <x:v>平</x:v>
      </x:c>
      <x:c r="L2364" s="7" t="str">
        <x:v>Xun Gong, Tang 300 gap fill</x:v>
      </x:c>
    </x:row>
    <x:row r="2365">
      <x:c r="A2365" s="5" t="str">
        <x:v>炎</x:v>
      </x:c>
      <x:c r="B2365" s="6" t="str">
        <x:v>平</x:v>
      </x:c>
      <x:c r="C2365" s="6" t="str">
        <x:f>IF(B2365="","Needs decision","Ready")</x:f>
        <x:v>Ready</x:v>
      </x:c>
      <x:c r="D2365" s="6" t="str">
        <x:v>平</x:v>
      </x:c>
      <x:c r="E2365" s="6" t="str">
        <x:v>hjem (A)</x:v>
      </x:c>
      <x:c r="F2365" s="6" t="str">
        <x:v>下平聲十四鹽</x:v>
      </x:c>
      <x:c r="G2365" s="6" t="str">
        <x:v>Pingshui main list, Wikisource-derived DOCX</x:v>
      </x:c>
      <x:c r="H2365" s="6" t="str">
        <x:v>1</x:v>
      </x:c>
      <x:c r="I2365" s="6" t="str"/>
      <x:c r="J2365" s="6" t="str">
        <x:f>IF(B2365="","",IF(AND(ISNUMBER(SEARCH("平",B2365)),OR(ISNUMBER(SEARCH("上",B2365)),ISNUMBER(SEARCH("去",B2365)),ISNUMBER(SEARCH("入",B2365)))),"Ambiguous",IF(ISNUMBER(SEARCH("平",B2365)),"平","仄")))</x:f>
        <x:v>平</x:v>
      </x:c>
      <x:c r="K2365" s="6" t="str">
        <x:f>IF(D2365="","",IF(AND(ISNUMBER(SEARCH("平",D2365)),OR(ISNUMBER(SEARCH("上",D2365)),ISNUMBER(SEARCH("去",D2365)),ISNUMBER(SEARCH("入",D2365)))),"Ambiguous",IF(ISNUMBER(SEARCH("平",D2365)),"平","仄")))</x:f>
        <x:v>平</x:v>
      </x:c>
      <x:c r="L2365" s="7" t="str"/>
    </x:row>
    <x:row r="2366">
      <x:c r="A2366" s="5" t="str">
        <x:v>炒</x:v>
      </x:c>
      <x:c r="B2366" s="6" t="str">
        <x:v>上</x:v>
      </x:c>
      <x:c r="C2366" s="6" t="str">
        <x:f>IF(B2366="","Needs decision","Ready")</x:f>
        <x:v>Ready</x:v>
      </x:c>
      <x:c r="D2366" s="6" t="str">
        <x:v>上</x:v>
      </x:c>
      <x:c r="E2366" s="6" t="str">
        <x:v>tsrhaewX (B)</x:v>
      </x:c>
      <x:c r="F2366" s="6" t="str">
        <x:v>上聲十八巧</x:v>
      </x:c>
      <x:c r="G2366" s="6" t="str">
        <x:v>Pingshui main list, Wikisource-derived DOCX</x:v>
      </x:c>
      <x:c r="H2366" s="6" t="str">
        <x:v>1</x:v>
      </x:c>
      <x:c r="I2366" s="6" t="str"/>
      <x:c r="J2366" s="6" t="str">
        <x:f>IF(B2366="","",IF(AND(ISNUMBER(SEARCH("平",B2366)),OR(ISNUMBER(SEARCH("上",B2366)),ISNUMBER(SEARCH("去",B2366)),ISNUMBER(SEARCH("入",B2366)))),"Ambiguous",IF(ISNUMBER(SEARCH("平",B2366)),"平","仄")))</x:f>
        <x:v>仄</x:v>
      </x:c>
      <x:c r="K2366" s="6" t="str">
        <x:f>IF(D2366="","",IF(AND(ISNUMBER(SEARCH("平",D2366)),OR(ISNUMBER(SEARCH("上",D2366)),ISNUMBER(SEARCH("去",D2366)),ISNUMBER(SEARCH("入",D2366)))),"Ambiguous",IF(ISNUMBER(SEARCH("平",D2366)),"平","仄")))</x:f>
        <x:v>仄</x:v>
      </x:c>
      <x:c r="L2366" s="7" t="str"/>
    </x:row>
    <x:row r="2367">
      <x:c r="A2367" s="5" t="str">
        <x:v>炙</x:v>
      </x:c>
      <x:c r="B2367" s="6" t="str"/>
      <x:c r="C2367" s="6" t="str">
        <x:f>IF(B2367="","Needs decision","Ready")</x:f>
        <x:v>Needs decision</x:v>
      </x:c>
      <x:c r="D2367" s="6" t="str">
        <x:v>去/入</x:v>
      </x:c>
      <x:c r="E2367" s="6" t="str">
        <x:v>tsyaeH (C); tsyek (D)</x:v>
      </x:c>
      <x:c r="F2367" s="6" t="str">
        <x:v>去聲二十二禡; 去聲二十六宥; 入聲十一陌</x:v>
      </x:c>
      <x:c r="G2367" s="6" t="str">
        <x:v>Pingshui main list, Wikisource-derived DOCX</x:v>
      </x:c>
      <x:c r="H2367" s="6" t="str">
        <x:v>2</x:v>
      </x:c>
      <x:c r="I2367" s="6" t="str"/>
      <x:c r="J2367" s="6" t="str">
        <x:f>IF(B2367="","",IF(AND(ISNUMBER(SEARCH("平",B2367)),OR(ISNUMBER(SEARCH("上",B2367)),ISNUMBER(SEARCH("去",B2367)),ISNUMBER(SEARCH("入",B2367)))),"Ambiguous",IF(ISNUMBER(SEARCH("平",B2367)),"平","仄")))</x:f>
      </x:c>
      <x:c r="K2367" s="6" t="str">
        <x:f>IF(D2367="","",IF(AND(ISNUMBER(SEARCH("平",D2367)),OR(ISNUMBER(SEARCH("上",D2367)),ISNUMBER(SEARCH("去",D2367)),ISNUMBER(SEARCH("入",D2367)))),"Ambiguous",IF(ISNUMBER(SEARCH("平",D2367)),"平","仄")))</x:f>
        <x:v>仄</x:v>
      </x:c>
      <x:c r="L2367" s="7" t="str"/>
    </x:row>
    <x:row r="2368">
      <x:c r="A2368" s="5" t="str">
        <x:v>炤</x:v>
      </x:c>
      <x:c r="B2368" s="6" t="str">
        <x:v>去</x:v>
      </x:c>
      <x:c r="C2368" s="6" t="str">
        <x:f>IF(B2368="","Needs decision","Ready")</x:f>
        <x:v>Ready</x:v>
      </x:c>
      <x:c r="D2368" s="6" t="str">
        <x:v>去</x:v>
      </x:c>
      <x:c r="E2368" s="6" t="str">
        <x:v>tsyewH (C)</x:v>
      </x:c>
      <x:c r="F2368" s="6" t="str"/>
      <x:c r="G2368" s="6" t="str"/>
      <x:c r="H2368" s="6" t="str">
        <x:v>1</x:v>
      </x:c>
      <x:c r="I2368" s="6" t="str"/>
      <x:c r="J2368" s="6" t="str">
        <x:f>IF(B2368="","",IF(AND(ISNUMBER(SEARCH("平",B2368)),OR(ISNUMBER(SEARCH("上",B2368)),ISNUMBER(SEARCH("去",B2368)),ISNUMBER(SEARCH("入",B2368)))),"Ambiguous",IF(ISNUMBER(SEARCH("平",B2368)),"平","仄")))</x:f>
        <x:v>仄</x:v>
      </x:c>
      <x:c r="K2368" s="6" t="str">
        <x:f>IF(D2368="","",IF(AND(ISNUMBER(SEARCH("平",D2368)),OR(ISNUMBER(SEARCH("上",D2368)),ISNUMBER(SEARCH("去",D2368)),ISNUMBER(SEARCH("入",D2368)))),"Ambiguous",IF(ISNUMBER(SEARCH("平",D2368)),"平","仄")))</x:f>
        <x:v>仄</x:v>
      </x:c>
      <x:c r="L2368" s="7" t="str"/>
    </x:row>
    <x:row r="2369">
      <x:c r="A2369" s="5" t="str">
        <x:v>炬</x:v>
      </x:c>
      <x:c r="B2369" s="6" t="str">
        <x:v>上</x:v>
      </x:c>
      <x:c r="C2369" s="6" t="str">
        <x:f>IF(B2369="","Needs decision","Ready")</x:f>
        <x:v>Ready</x:v>
      </x:c>
      <x:c r="D2369" s="6" t="str">
        <x:v>上</x:v>
      </x:c>
      <x:c r="E2369" s="6" t="str">
        <x:v>gjoX [ɡɨ̯əʔ] (上)</x:v>
      </x:c>
      <x:c r="F2369" s="6" t="str">
        <x:v>上聲六語</x:v>
      </x:c>
      <x:c r="G2369" s="6" t="str">
        <x:v>Pingshui main list, Wikisource-derived DOCX</x:v>
      </x:c>
      <x:c r="H2369" s="6" t="str">
        <x:v>1</x:v>
      </x:c>
      <x:c r="I2369" s="6" t="str">
        <x:v>Tang 300 gap; frequency 2; provisional from Xun Gong</x:v>
      </x:c>
      <x:c r="J2369" s="6" t="str">
        <x:f>IF(B2369="","",IF(AND(ISNUMBER(SEARCH("平",B2369)),OR(ISNUMBER(SEARCH("上",B2369)),ISNUMBER(SEARCH("去",B2369)),ISNUMBER(SEARCH("入",B2369)))),"Ambiguous",IF(ISNUMBER(SEARCH("平",B2369)),"平","仄")))</x:f>
        <x:v>仄</x:v>
      </x:c>
      <x:c r="K2369" s="6" t="str">
        <x:f>IF(D2369="","",IF(AND(ISNUMBER(SEARCH("平",D2369)),OR(ISNUMBER(SEARCH("上",D2369)),ISNUMBER(SEARCH("去",D2369)),ISNUMBER(SEARCH("入",D2369)))),"Ambiguous",IF(ISNUMBER(SEARCH("平",D2369)),"平","仄")))</x:f>
        <x:v>仄</x:v>
      </x:c>
      <x:c r="L2369" s="7" t="str">
        <x:v>Xun Gong, Tang 300 gap fill</x:v>
      </x:c>
    </x:row>
    <x:row r="2370">
      <x:c r="A2370" s="5" t="str">
        <x:v>炭</x:v>
      </x:c>
      <x:c r="B2370" s="6" t="str">
        <x:v>去</x:v>
      </x:c>
      <x:c r="C2370" s="6" t="str">
        <x:f>IF(B2370="","Needs decision","Ready")</x:f>
        <x:v>Ready</x:v>
      </x:c>
      <x:c r="D2370" s="6" t="str">
        <x:v>去</x:v>
      </x:c>
      <x:c r="E2370" s="6" t="str">
        <x:v>thanH (C)</x:v>
      </x:c>
      <x:c r="F2370" s="6" t="str">
        <x:v>去聲十五翰</x:v>
      </x:c>
      <x:c r="G2370" s="6" t="str">
        <x:v>Pingshui main list, Wikisource-derived DOCX</x:v>
      </x:c>
      <x:c r="H2370" s="6" t="str">
        <x:v>1</x:v>
      </x:c>
      <x:c r="I2370" s="6" t="str"/>
      <x:c r="J2370" s="6" t="str">
        <x:f>IF(B2370="","",IF(AND(ISNUMBER(SEARCH("平",B2370)),OR(ISNUMBER(SEARCH("上",B2370)),ISNUMBER(SEARCH("去",B2370)),ISNUMBER(SEARCH("入",B2370)))),"Ambiguous",IF(ISNUMBER(SEARCH("平",B2370)),"平","仄")))</x:f>
        <x:v>仄</x:v>
      </x:c>
      <x:c r="K2370" s="6" t="str">
        <x:f>IF(D2370="","",IF(AND(ISNUMBER(SEARCH("平",D2370)),OR(ISNUMBER(SEARCH("上",D2370)),ISNUMBER(SEARCH("去",D2370)),ISNUMBER(SEARCH("入",D2370)))),"Ambiguous",IF(ISNUMBER(SEARCH("平",D2370)),"平","仄")))</x:f>
        <x:v>仄</x:v>
      </x:c>
      <x:c r="L2370" s="7" t="str"/>
    </x:row>
    <x:row r="2371">
      <x:c r="A2371" s="5" t="str">
        <x:v>為</x:v>
      </x:c>
      <x:c r="B2371" s="6" t="str">
        <x:v>平</x:v>
      </x:c>
      <x:c r="C2371" s="6" t="str">
        <x:f>IF(B2371="","Needs decision","Ready")</x:f>
        <x:v>Ready</x:v>
      </x:c>
      <x:c r="D2371" s="6" t="str">
        <x:v>平/去</x:v>
      </x:c>
      <x:c r="E2371" s="6" t="str">
        <x:v>hjwe (A); hjweH (C)</x:v>
      </x:c>
      <x:c r="F2371" s="6" t="str">
        <x:v>上平聲四支; 去聲四寘</x:v>
      </x:c>
      <x:c r="G2371" s="6" t="str">
        <x:v>Pingshui main list, Wikisource-derived DOCX</x:v>
      </x:c>
      <x:c r="H2371" s="6" t="str">
        <x:v>2</x:v>
      </x:c>
      <x:c r="I2371" s="6" t="str">
        <x:v>User workbook edit 2026-09-03</x:v>
      </x:c>
      <x:c r="J2371" s="6" t="str">
        <x:f>IF(B2371="","",IF(AND(ISNUMBER(SEARCH("平",B2371)),OR(ISNUMBER(SEARCH("上",B2371)),ISNUMBER(SEARCH("去",B2371)),ISNUMBER(SEARCH("入",B2371)))),"Ambiguous",IF(ISNUMBER(SEARCH("平",B2371)),"平","仄")))</x:f>
        <x:v>平</x:v>
      </x:c>
      <x:c r="K2371" s="6" t="str">
        <x:f>IF(D2371="","",IF(AND(ISNUMBER(SEARCH("平",D2371)),OR(ISNUMBER(SEARCH("上",D2371)),ISNUMBER(SEARCH("去",D2371)),ISNUMBER(SEARCH("入",D2371)))),"Ambiguous",IF(ISNUMBER(SEARCH("平",D2371)),"平","仄")))</x:f>
        <x:v>Ambiguous</x:v>
      </x:c>
      <x:c r="L2371" s="7" t="str">
        <x:v>manual user correction</x:v>
      </x:c>
    </x:row>
    <x:row r="2372">
      <x:c r="A2372" s="5" t="str">
        <x:v>烈</x:v>
      </x:c>
      <x:c r="B2372" s="6" t="str">
        <x:v>入</x:v>
      </x:c>
      <x:c r="C2372" s="6" t="str">
        <x:f>IF(B2372="","Needs decision","Ready")</x:f>
        <x:v>Ready</x:v>
      </x:c>
      <x:c r="D2372" s="6" t="str">
        <x:v>入</x:v>
      </x:c>
      <x:c r="E2372" s="6" t="str">
        <x:v>ljet (D)</x:v>
      </x:c>
      <x:c r="F2372" s="6" t="str">
        <x:v>入聲九屑</x:v>
      </x:c>
      <x:c r="G2372" s="6" t="str">
        <x:v>Pingshui main list, Wikisource-derived DOCX</x:v>
      </x:c>
      <x:c r="H2372" s="6" t="str">
        <x:v>1</x:v>
      </x:c>
      <x:c r="I2372" s="6" t="str"/>
      <x:c r="J2372" s="6" t="str">
        <x:f>IF(B2372="","",IF(AND(ISNUMBER(SEARCH("平",B2372)),OR(ISNUMBER(SEARCH("上",B2372)),ISNUMBER(SEARCH("去",B2372)),ISNUMBER(SEARCH("入",B2372)))),"Ambiguous",IF(ISNUMBER(SEARCH("平",B2372)),"平","仄")))</x:f>
        <x:v>仄</x:v>
      </x:c>
      <x:c r="K2372" s="6" t="str">
        <x:f>IF(D2372="","",IF(AND(ISNUMBER(SEARCH("平",D2372)),OR(ISNUMBER(SEARCH("上",D2372)),ISNUMBER(SEARCH("去",D2372)),ISNUMBER(SEARCH("入",D2372)))),"Ambiguous",IF(ISNUMBER(SEARCH("平",D2372)),"平","仄")))</x:f>
        <x:v>仄</x:v>
      </x:c>
      <x:c r="L2372" s="7" t="str"/>
    </x:row>
    <x:row r="2373">
      <x:c r="A2373" s="5" t="str">
        <x:v>烏</x:v>
      </x:c>
      <x:c r="B2373" s="6" t="str">
        <x:v>平</x:v>
      </x:c>
      <x:c r="C2373" s="6" t="str">
        <x:f>IF(B2373="","Needs decision","Ready")</x:f>
        <x:v>Ready</x:v>
      </x:c>
      <x:c r="D2373" s="6" t="str">
        <x:v>平</x:v>
      </x:c>
      <x:c r="E2373" s="6" t="str">
        <x:v>'u (A)</x:v>
      </x:c>
      <x:c r="F2373" s="6" t="str">
        <x:v>上平聲七虞</x:v>
      </x:c>
      <x:c r="G2373" s="6" t="str">
        <x:v>Pingshui main list, Wikisource-derived DOCX</x:v>
      </x:c>
      <x:c r="H2373" s="6" t="str">
        <x:v>1</x:v>
      </x:c>
      <x:c r="I2373" s="6" t="str"/>
      <x:c r="J2373" s="6" t="str">
        <x:f>IF(B2373="","",IF(AND(ISNUMBER(SEARCH("平",B2373)),OR(ISNUMBER(SEARCH("上",B2373)),ISNUMBER(SEARCH("去",B2373)),ISNUMBER(SEARCH("入",B2373)))),"Ambiguous",IF(ISNUMBER(SEARCH("平",B2373)),"平","仄")))</x:f>
        <x:v>平</x:v>
      </x:c>
      <x:c r="K2373" s="6" t="str">
        <x:f>IF(D2373="","",IF(AND(ISNUMBER(SEARCH("平",D2373)),OR(ISNUMBER(SEARCH("上",D2373)),ISNUMBER(SEARCH("去",D2373)),ISNUMBER(SEARCH("入",D2373)))),"Ambiguous",IF(ISNUMBER(SEARCH("平",D2373)),"平","仄")))</x:f>
        <x:v>平</x:v>
      </x:c>
      <x:c r="L2373" s="7" t="str"/>
    </x:row>
    <x:row r="2374">
      <x:c r="A2374" s="5" t="str">
        <x:v>烕</x:v>
      </x:c>
      <x:c r="B2374" s="6" t="str">
        <x:v>入</x:v>
      </x:c>
      <x:c r="C2374" s="6" t="str">
        <x:f>IF(B2374="","Needs decision","Ready")</x:f>
        <x:v>Ready</x:v>
      </x:c>
      <x:c r="D2374" s="6" t="str">
        <x:v>入</x:v>
      </x:c>
      <x:c r="E2374" s="6" t="str">
        <x:v>xjwiet (D)</x:v>
      </x:c>
      <x:c r="F2374" s="6" t="str"/>
      <x:c r="G2374" s="6" t="str"/>
      <x:c r="H2374" s="6" t="str">
        <x:v>1</x:v>
      </x:c>
      <x:c r="I2374" s="6" t="str"/>
      <x:c r="J2374" s="6" t="str">
        <x:f>IF(B2374="","",IF(AND(ISNUMBER(SEARCH("平",B2374)),OR(ISNUMBER(SEARCH("上",B2374)),ISNUMBER(SEARCH("去",B2374)),ISNUMBER(SEARCH("入",B2374)))),"Ambiguous",IF(ISNUMBER(SEARCH("平",B2374)),"平","仄")))</x:f>
        <x:v>仄</x:v>
      </x:c>
      <x:c r="K2374" s="6" t="str">
        <x:f>IF(D2374="","",IF(AND(ISNUMBER(SEARCH("平",D2374)),OR(ISNUMBER(SEARCH("上",D2374)),ISNUMBER(SEARCH("去",D2374)),ISNUMBER(SEARCH("入",D2374)))),"Ambiguous",IF(ISNUMBER(SEARCH("平",D2374)),"平","仄")))</x:f>
        <x:v>仄</x:v>
      </x:c>
      <x:c r="L2374" s="7" t="str"/>
    </x:row>
    <x:row r="2375">
      <x:c r="A2375" s="5" t="str">
        <x:v>烖</x:v>
      </x:c>
      <x:c r="B2375" s="6" t="str">
        <x:v>平</x:v>
      </x:c>
      <x:c r="C2375" s="6" t="str">
        <x:f>IF(B2375="","Needs decision","Ready")</x:f>
        <x:v>Ready</x:v>
      </x:c>
      <x:c r="D2375" s="6" t="str">
        <x:v>平</x:v>
      </x:c>
      <x:c r="E2375" s="6" t="str">
        <x:v>tsoj (A)</x:v>
      </x:c>
      <x:c r="F2375" s="6" t="str"/>
      <x:c r="G2375" s="6" t="str"/>
      <x:c r="H2375" s="6" t="str">
        <x:v>1</x:v>
      </x:c>
      <x:c r="I2375" s="6" t="str"/>
      <x:c r="J2375" s="6" t="str">
        <x:f>IF(B2375="","",IF(AND(ISNUMBER(SEARCH("平",B2375)),OR(ISNUMBER(SEARCH("上",B2375)),ISNUMBER(SEARCH("去",B2375)),ISNUMBER(SEARCH("入",B2375)))),"Ambiguous",IF(ISNUMBER(SEARCH("平",B2375)),"平","仄")))</x:f>
        <x:v>平</x:v>
      </x:c>
      <x:c r="K2375" s="6" t="str">
        <x:f>IF(D2375="","",IF(AND(ISNUMBER(SEARCH("平",D2375)),OR(ISNUMBER(SEARCH("上",D2375)),ISNUMBER(SEARCH("去",D2375)),ISNUMBER(SEARCH("入",D2375)))),"Ambiguous",IF(ISNUMBER(SEARCH("平",D2375)),"平","仄")))</x:f>
        <x:v>平</x:v>
      </x:c>
      <x:c r="L2375" s="7" t="str"/>
    </x:row>
    <x:row r="2376">
      <x:c r="A2376" s="5" t="str">
        <x:v>烜</x:v>
      </x:c>
      <x:c r="B2376" s="6" t="str">
        <x:v>上</x:v>
      </x:c>
      <x:c r="C2376" s="6" t="str">
        <x:f>IF(B2376="","Needs decision","Ready")</x:f>
        <x:v>Ready</x:v>
      </x:c>
      <x:c r="D2376" s="6" t="str">
        <x:v>上</x:v>
      </x:c>
      <x:c r="E2376" s="6" t="str">
        <x:v>xjweX (B); xjwonX (B)</x:v>
      </x:c>
      <x:c r="F2376" s="6" t="str">
        <x:v>上聲十三阮</x:v>
      </x:c>
      <x:c r="G2376" s="6" t="str">
        <x:v>Pingshui main list, Wikisource-derived DOCX</x:v>
      </x:c>
      <x:c r="H2376" s="6" t="str">
        <x:v>2</x:v>
      </x:c>
      <x:c r="I2376" s="6" t="str"/>
      <x:c r="J2376" s="6" t="str">
        <x:f>IF(B2376="","",IF(AND(ISNUMBER(SEARCH("平",B2376)),OR(ISNUMBER(SEARCH("上",B2376)),ISNUMBER(SEARCH("去",B2376)),ISNUMBER(SEARCH("入",B2376)))),"Ambiguous",IF(ISNUMBER(SEARCH("平",B2376)),"平","仄")))</x:f>
        <x:v>仄</x:v>
      </x:c>
      <x:c r="K2376" s="6" t="str">
        <x:f>IF(D2376="","",IF(AND(ISNUMBER(SEARCH("平",D2376)),OR(ISNUMBER(SEARCH("上",D2376)),ISNUMBER(SEARCH("去",D2376)),ISNUMBER(SEARCH("入",D2376)))),"Ambiguous",IF(ISNUMBER(SEARCH("平",D2376)),"平","仄")))</x:f>
        <x:v>仄</x:v>
      </x:c>
      <x:c r="L2376" s="7" t="str"/>
    </x:row>
    <x:row r="2377">
      <x:c r="A2377" s="5" t="str">
        <x:v>烝</x:v>
      </x:c>
      <x:c r="B2377" s="6" t="str">
        <x:v>平</x:v>
      </x:c>
      <x:c r="C2377" s="6" t="str">
        <x:f>IF(B2377="","Needs decision","Ready")</x:f>
        <x:v>Ready</x:v>
      </x:c>
      <x:c r="D2377" s="6" t="str">
        <x:v>平</x:v>
      </x:c>
      <x:c r="E2377" s="6" t="str">
        <x:v>tsying (A)</x:v>
      </x:c>
      <x:c r="F2377" s="6" t="str">
        <x:v>下平聲十蒸; 去聲二十五徑</x:v>
      </x:c>
      <x:c r="G2377" s="6" t="str">
        <x:v>Pingshui main list, Wikisource-derived DOCX</x:v>
      </x:c>
      <x:c r="H2377" s="6" t="str">
        <x:v>1</x:v>
      </x:c>
      <x:c r="I2377" s="6" t="str"/>
      <x:c r="J2377" s="6" t="str">
        <x:f>IF(B2377="","",IF(AND(ISNUMBER(SEARCH("平",B2377)),OR(ISNUMBER(SEARCH("上",B2377)),ISNUMBER(SEARCH("去",B2377)),ISNUMBER(SEARCH("入",B2377)))),"Ambiguous",IF(ISNUMBER(SEARCH("平",B2377)),"平","仄")))</x:f>
        <x:v>平</x:v>
      </x:c>
      <x:c r="K2377" s="6" t="str">
        <x:f>IF(D2377="","",IF(AND(ISNUMBER(SEARCH("平",D2377)),OR(ISNUMBER(SEARCH("上",D2377)),ISNUMBER(SEARCH("去",D2377)),ISNUMBER(SEARCH("入",D2377)))),"Ambiguous",IF(ISNUMBER(SEARCH("平",D2377)),"平","仄")))</x:f>
        <x:v>平</x:v>
      </x:c>
      <x:c r="L2377" s="7" t="str"/>
    </x:row>
    <x:row r="2378">
      <x:c r="A2378" s="5" t="str">
        <x:v>烟</x:v>
      </x:c>
      <x:c r="B2378" s="6" t="str">
        <x:v>平</x:v>
      </x:c>
      <x:c r="C2378" s="6" t="str">
        <x:f>IF(B2378="","Needs decision","Ready")</x:f>
        <x:v>Ready</x:v>
      </x:c>
      <x:c r="D2378" s="6" t="str">
        <x:v>平</x:v>
      </x:c>
      <x:c r="E2378" s="6" t="str">
        <x:v>'en (A)</x:v>
      </x:c>
      <x:c r="F2378" s="6" t="str"/>
      <x:c r="G2378" s="6" t="str"/>
      <x:c r="H2378" s="6" t="str">
        <x:v>1</x:v>
      </x:c>
      <x:c r="I2378" s="6" t="str"/>
      <x:c r="J2378" s="6" t="str">
        <x:f>IF(B2378="","",IF(AND(ISNUMBER(SEARCH("平",B2378)),OR(ISNUMBER(SEARCH("上",B2378)),ISNUMBER(SEARCH("去",B2378)),ISNUMBER(SEARCH("入",B2378)))),"Ambiguous",IF(ISNUMBER(SEARCH("平",B2378)),"平","仄")))</x:f>
        <x:v>平</x:v>
      </x:c>
      <x:c r="K2378" s="6" t="str">
        <x:f>IF(D2378="","",IF(AND(ISNUMBER(SEARCH("平",D2378)),OR(ISNUMBER(SEARCH("上",D2378)),ISNUMBER(SEARCH("去",D2378)),ISNUMBER(SEARCH("入",D2378)))),"Ambiguous",IF(ISNUMBER(SEARCH("平",D2378)),"平","仄")))</x:f>
        <x:v>平</x:v>
      </x:c>
      <x:c r="L2378" s="7" t="str"/>
    </x:row>
    <x:row r="2379">
      <x:c r="A2379" s="5" t="str">
        <x:v>烹</x:v>
      </x:c>
      <x:c r="B2379" s="6" t="str">
        <x:v>平</x:v>
      </x:c>
      <x:c r="C2379" s="6" t="str">
        <x:f>IF(B2379="","Needs decision","Ready")</x:f>
        <x:v>Ready</x:v>
      </x:c>
      <x:c r="D2379" s="6" t="str">
        <x:v>平</x:v>
      </x:c>
      <x:c r="E2379" s="6" t="str">
        <x:v>phaeng (A)</x:v>
      </x:c>
      <x:c r="F2379" s="6" t="str">
        <x:v>下平聲八庚</x:v>
      </x:c>
      <x:c r="G2379" s="6" t="str">
        <x:v>Pingshui main list, Wikisource-derived DOCX</x:v>
      </x:c>
      <x:c r="H2379" s="6" t="str">
        <x:v>1</x:v>
      </x:c>
      <x:c r="I2379" s="6" t="str"/>
      <x:c r="J2379" s="6" t="str">
        <x:f>IF(B2379="","",IF(AND(ISNUMBER(SEARCH("平",B2379)),OR(ISNUMBER(SEARCH("上",B2379)),ISNUMBER(SEARCH("去",B2379)),ISNUMBER(SEARCH("入",B2379)))),"Ambiguous",IF(ISNUMBER(SEARCH("平",B2379)),"平","仄")))</x:f>
        <x:v>平</x:v>
      </x:c>
      <x:c r="K2379" s="6" t="str">
        <x:f>IF(D2379="","",IF(AND(ISNUMBER(SEARCH("平",D2379)),OR(ISNUMBER(SEARCH("上",D2379)),ISNUMBER(SEARCH("去",D2379)),ISNUMBER(SEARCH("入",D2379)))),"Ambiguous",IF(ISNUMBER(SEARCH("平",D2379)),"平","仄")))</x:f>
        <x:v>平</x:v>
      </x:c>
      <x:c r="L2379" s="7" t="str"/>
    </x:row>
    <x:row r="2380">
      <x:c r="A2380" s="5" t="str">
        <x:v>烽</x:v>
      </x:c>
      <x:c r="B2380" s="6" t="str">
        <x:v>平</x:v>
      </x:c>
      <x:c r="C2380" s="6" t="str">
        <x:f>IF(B2380="","Needs decision","Ready")</x:f>
        <x:v>Ready</x:v>
      </x:c>
      <x:c r="D2380" s="6" t="str">
        <x:v>平</x:v>
      </x:c>
      <x:c r="E2380" s="6" t="str"/>
      <x:c r="F2380" s="6" t="str">
        <x:v>上平聲二冬</x:v>
      </x:c>
      <x:c r="G2380" s="6" t="str">
        <x:v>Pingshui main list, Wikisource-derived DOCX</x:v>
      </x:c>
      <x:c r="H2380" s="6" t="str"/>
      <x:c r="I2380" s="6" t="str">
        <x:v>Manual user correction/addition</x:v>
      </x:c>
      <x:c r="J2380" s="6" t="str">
        <x:f>IF(B2380="","",IF(AND(ISNUMBER(SEARCH("平",B2380)),OR(ISNUMBER(SEARCH("上",B2380)),ISNUMBER(SEARCH("去",B2380)),ISNUMBER(SEARCH("入",B2380)))),"Ambiguous",IF(ISNUMBER(SEARCH("平",B2380)),"平","仄")))</x:f>
        <x:v>平</x:v>
      </x:c>
      <x:c r="K2380" s="6" t="str">
        <x:f>IF(D2380="","",IF(AND(ISNUMBER(SEARCH("平",D2380)),OR(ISNUMBER(SEARCH("上",D2380)),ISNUMBER(SEARCH("去",D2380)),ISNUMBER(SEARCH("入",D2380)))),"Ambiguous",IF(ISNUMBER(SEARCH("平",D2380)),"平","仄")))</x:f>
        <x:v>平</x:v>
      </x:c>
      <x:c r="L2380" s="7" t="str">
        <x:v>manual user correction</x:v>
      </x:c>
    </x:row>
    <x:row r="2381">
      <x:c r="A2381" s="5" t="str">
        <x:v>焉</x:v>
      </x:c>
      <x:c r="B2381" s="6" t="str">
        <x:v>平</x:v>
      </x:c>
      <x:c r="C2381" s="6" t="str">
        <x:f>IF(B2381="","Needs decision","Ready")</x:f>
        <x:v>Ready</x:v>
      </x:c>
      <x:c r="D2381" s="6" t="str">
        <x:v>平</x:v>
      </x:c>
      <x:c r="E2381" s="6" t="str">
        <x:v>'jen (A); hjen (A)</x:v>
      </x:c>
      <x:c r="F2381" s="6" t="str">
        <x:v>下平聲一先</x:v>
      </x:c>
      <x:c r="G2381" s="6" t="str">
        <x:v>Pingshui main list, Wikisource-derived DOCX</x:v>
      </x:c>
      <x:c r="H2381" s="6" t="str">
        <x:v>2</x:v>
      </x:c>
      <x:c r="I2381" s="6" t="str"/>
      <x:c r="J2381" s="6" t="str">
        <x:f>IF(B2381="","",IF(AND(ISNUMBER(SEARCH("平",B2381)),OR(ISNUMBER(SEARCH("上",B2381)),ISNUMBER(SEARCH("去",B2381)),ISNUMBER(SEARCH("入",B2381)))),"Ambiguous",IF(ISNUMBER(SEARCH("平",B2381)),"平","仄")))</x:f>
        <x:v>平</x:v>
      </x:c>
      <x:c r="K2381" s="6" t="str">
        <x:f>IF(D2381="","",IF(AND(ISNUMBER(SEARCH("平",D2381)),OR(ISNUMBER(SEARCH("上",D2381)),ISNUMBER(SEARCH("去",D2381)),ISNUMBER(SEARCH("入",D2381)))),"Ambiguous",IF(ISNUMBER(SEARCH("平",D2381)),"平","仄")))</x:f>
        <x:v>平</x:v>
      </x:c>
      <x:c r="L2381" s="7" t="str"/>
    </x:row>
    <x:row r="2382">
      <x:c r="A2382" s="5" t="str">
        <x:v>焙</x:v>
      </x:c>
      <x:c r="B2382" s="6" t="str">
        <x:v>去</x:v>
      </x:c>
      <x:c r="C2382" s="6" t="str">
        <x:f>IF(B2382="","Needs decision","Ready")</x:f>
        <x:v>Ready</x:v>
      </x:c>
      <x:c r="D2382" s="6" t="str">
        <x:v>去</x:v>
      </x:c>
      <x:c r="E2382" s="6" t="str">
        <x:v>bwojH (C)</x:v>
      </x:c>
      <x:c r="F2382" s="6" t="str">
        <x:v>去聲十一隊</x:v>
      </x:c>
      <x:c r="G2382" s="6" t="str">
        <x:v>Pingshui main list, Wikisource-derived DOCX</x:v>
      </x:c>
      <x:c r="H2382" s="6" t="str">
        <x:v>1</x:v>
      </x:c>
      <x:c r="I2382" s="6" t="str"/>
      <x:c r="J2382" s="6" t="str">
        <x:f>IF(B2382="","",IF(AND(ISNUMBER(SEARCH("平",B2382)),OR(ISNUMBER(SEARCH("上",B2382)),ISNUMBER(SEARCH("去",B2382)),ISNUMBER(SEARCH("入",B2382)))),"Ambiguous",IF(ISNUMBER(SEARCH("平",B2382)),"平","仄")))</x:f>
        <x:v>仄</x:v>
      </x:c>
      <x:c r="K2382" s="6" t="str">
        <x:f>IF(D2382="","",IF(AND(ISNUMBER(SEARCH("平",D2382)),OR(ISNUMBER(SEARCH("上",D2382)),ISNUMBER(SEARCH("去",D2382)),ISNUMBER(SEARCH("入",D2382)))),"Ambiguous",IF(ISNUMBER(SEARCH("平",D2382)),"平","仄")))</x:f>
        <x:v>仄</x:v>
      </x:c>
      <x:c r="L2382" s="7" t="str"/>
    </x:row>
    <x:row r="2383">
      <x:c r="A2383" s="5" t="str">
        <x:v>焚</x:v>
      </x:c>
      <x:c r="B2383" s="6" t="str">
        <x:v>平</x:v>
      </x:c>
      <x:c r="C2383" s="6" t="str">
        <x:f>IF(B2383="","Needs decision","Ready")</x:f>
        <x:v>Ready</x:v>
      </x:c>
      <x:c r="D2383" s="6" t="str">
        <x:v>平</x:v>
      </x:c>
      <x:c r="E2383" s="6" t="str">
        <x:v>bjun (A)</x:v>
      </x:c>
      <x:c r="F2383" s="6" t="str">
        <x:v>上平聲十二文</x:v>
      </x:c>
      <x:c r="G2383" s="6" t="str">
        <x:v>Pingshui main list, Wikisource-derived DOCX</x:v>
      </x:c>
      <x:c r="H2383" s="6" t="str">
        <x:v>1</x:v>
      </x:c>
      <x:c r="I2383" s="6" t="str"/>
      <x:c r="J2383" s="6" t="str">
        <x:f>IF(B2383="","",IF(AND(ISNUMBER(SEARCH("平",B2383)),OR(ISNUMBER(SEARCH("上",B2383)),ISNUMBER(SEARCH("去",B2383)),ISNUMBER(SEARCH("入",B2383)))),"Ambiguous",IF(ISNUMBER(SEARCH("平",B2383)),"平","仄")))</x:f>
        <x:v>平</x:v>
      </x:c>
      <x:c r="K2383" s="6" t="str">
        <x:f>IF(D2383="","",IF(AND(ISNUMBER(SEARCH("平",D2383)),OR(ISNUMBER(SEARCH("上",D2383)),ISNUMBER(SEARCH("去",D2383)),ISNUMBER(SEARCH("入",D2383)))),"Ambiguous",IF(ISNUMBER(SEARCH("平",D2383)),"平","仄")))</x:f>
        <x:v>平</x:v>
      </x:c>
      <x:c r="L2383" s="7" t="str"/>
    </x:row>
    <x:row r="2384">
      <x:c r="A2384" s="5" t="str">
        <x:v>焞</x:v>
      </x:c>
      <x:c r="B2384" s="6" t="str">
        <x:v>平</x:v>
      </x:c>
      <x:c r="C2384" s="6" t="str">
        <x:f>IF(B2384="","Needs decision","Ready")</x:f>
        <x:v>Ready</x:v>
      </x:c>
      <x:c r="D2384" s="6" t="str">
        <x:v>平</x:v>
      </x:c>
      <x:c r="E2384" s="6" t="str">
        <x:v>thwoj (A); thwon (A)</x:v>
      </x:c>
      <x:c r="F2384" s="6" t="str">
        <x:v>上平聲十灰; 上平聲十三元</x:v>
      </x:c>
      <x:c r="G2384" s="6" t="str">
        <x:v>Pingshui main list, Wikisource-derived DOCX</x:v>
      </x:c>
      <x:c r="H2384" s="6" t="str">
        <x:v>2</x:v>
      </x:c>
      <x:c r="I2384" s="6" t="str"/>
      <x:c r="J2384" s="6" t="str">
        <x:f>IF(B2384="","",IF(AND(ISNUMBER(SEARCH("平",B2384)),OR(ISNUMBER(SEARCH("上",B2384)),ISNUMBER(SEARCH("去",B2384)),ISNUMBER(SEARCH("入",B2384)))),"Ambiguous",IF(ISNUMBER(SEARCH("平",B2384)),"平","仄")))</x:f>
        <x:v>平</x:v>
      </x:c>
      <x:c r="K2384" s="6" t="str">
        <x:f>IF(D2384="","",IF(AND(ISNUMBER(SEARCH("平",D2384)),OR(ISNUMBER(SEARCH("上",D2384)),ISNUMBER(SEARCH("去",D2384)),ISNUMBER(SEARCH("入",D2384)))),"Ambiguous",IF(ISNUMBER(SEARCH("平",D2384)),"平","仄")))</x:f>
        <x:v>平</x:v>
      </x:c>
      <x:c r="L2384" s="7" t="str"/>
    </x:row>
    <x:row r="2385">
      <x:c r="A2385" s="5" t="str">
        <x:v>焠</x:v>
      </x:c>
      <x:c r="B2385" s="6" t="str">
        <x:v>去</x:v>
      </x:c>
      <x:c r="C2385" s="6" t="str">
        <x:f>IF(B2385="","Needs decision","Ready")</x:f>
        <x:v>Ready</x:v>
      </x:c>
      <x:c r="D2385" s="6" t="str">
        <x:v>去</x:v>
      </x:c>
      <x:c r="E2385" s="6" t="str">
        <x:v>tshwojH (C)</x:v>
      </x:c>
      <x:c r="F2385" s="6" t="str">
        <x:v>去聲十一隊</x:v>
      </x:c>
      <x:c r="G2385" s="6" t="str">
        <x:v>Pingshui main list, Wikisource-derived DOCX</x:v>
      </x:c>
      <x:c r="H2385" s="6" t="str">
        <x:v>1</x:v>
      </x:c>
      <x:c r="I2385" s="6" t="str"/>
      <x:c r="J2385" s="6" t="str">
        <x:f>IF(B2385="","",IF(AND(ISNUMBER(SEARCH("平",B2385)),OR(ISNUMBER(SEARCH("上",B2385)),ISNUMBER(SEARCH("去",B2385)),ISNUMBER(SEARCH("入",B2385)))),"Ambiguous",IF(ISNUMBER(SEARCH("平",B2385)),"平","仄")))</x:f>
        <x:v>仄</x:v>
      </x:c>
      <x:c r="K2385" s="6" t="str">
        <x:f>IF(D2385="","",IF(AND(ISNUMBER(SEARCH("平",D2385)),OR(ISNUMBER(SEARCH("上",D2385)),ISNUMBER(SEARCH("去",D2385)),ISNUMBER(SEARCH("入",D2385)))),"Ambiguous",IF(ISNUMBER(SEARCH("平",D2385)),"平","仄")))</x:f>
        <x:v>仄</x:v>
      </x:c>
      <x:c r="L2385" s="7" t="str"/>
    </x:row>
    <x:row r="2386">
      <x:c r="A2386" s="5" t="str">
        <x:v>無</x:v>
      </x:c>
      <x:c r="B2386" s="6" t="str">
        <x:v>平</x:v>
      </x:c>
      <x:c r="C2386" s="6" t="str">
        <x:f>IF(B2386="","Needs decision","Ready")</x:f>
        <x:v>Ready</x:v>
      </x:c>
      <x:c r="D2386" s="6" t="str">
        <x:v>平</x:v>
      </x:c>
      <x:c r="E2386" s="6" t="str">
        <x:v>mju (A)</x:v>
      </x:c>
      <x:c r="F2386" s="6" t="str">
        <x:v>上平聲七虞</x:v>
      </x:c>
      <x:c r="G2386" s="6" t="str">
        <x:v>Pingshui main list, Wikisource-derived DOCX</x:v>
      </x:c>
      <x:c r="H2386" s="6" t="str">
        <x:v>1</x:v>
      </x:c>
      <x:c r="I2386" s="6" t="str"/>
      <x:c r="J2386" s="6" t="str">
        <x:f>IF(B2386="","",IF(AND(ISNUMBER(SEARCH("平",B2386)),OR(ISNUMBER(SEARCH("上",B2386)),ISNUMBER(SEARCH("去",B2386)),ISNUMBER(SEARCH("入",B2386)))),"Ambiguous",IF(ISNUMBER(SEARCH("平",B2386)),"平","仄")))</x:f>
        <x:v>平</x:v>
      </x:c>
      <x:c r="K2386" s="6" t="str">
        <x:f>IF(D2386="","",IF(AND(ISNUMBER(SEARCH("平",D2386)),OR(ISNUMBER(SEARCH("上",D2386)),ISNUMBER(SEARCH("去",D2386)),ISNUMBER(SEARCH("入",D2386)))),"Ambiguous",IF(ISNUMBER(SEARCH("平",D2386)),"平","仄")))</x:f>
        <x:v>平</x:v>
      </x:c>
      <x:c r="L2386" s="7" t="str"/>
    </x:row>
    <x:row r="2387">
      <x:c r="A2387" s="5" t="str">
        <x:v>焦</x:v>
      </x:c>
      <x:c r="B2387" s="6" t="str">
        <x:v>平</x:v>
      </x:c>
      <x:c r="C2387" s="6" t="str">
        <x:f>IF(B2387="","Needs decision","Ready")</x:f>
        <x:v>Ready</x:v>
      </x:c>
      <x:c r="D2387" s="6" t="str">
        <x:v>平</x:v>
      </x:c>
      <x:c r="E2387" s="6" t="str">
        <x:v>tsjew (A)</x:v>
      </x:c>
      <x:c r="F2387" s="6" t="str">
        <x:v>下平聲二蕭</x:v>
      </x:c>
      <x:c r="G2387" s="6" t="str">
        <x:v>Pingshui main list, Wikisource-derived DOCX</x:v>
      </x:c>
      <x:c r="H2387" s="6" t="str">
        <x:v>1</x:v>
      </x:c>
      <x:c r="I2387" s="6" t="str"/>
      <x:c r="J2387" s="6" t="str">
        <x:f>IF(B2387="","",IF(AND(ISNUMBER(SEARCH("平",B2387)),OR(ISNUMBER(SEARCH("上",B2387)),ISNUMBER(SEARCH("去",B2387)),ISNUMBER(SEARCH("入",B2387)))),"Ambiguous",IF(ISNUMBER(SEARCH("平",B2387)),"平","仄")))</x:f>
        <x:v>平</x:v>
      </x:c>
      <x:c r="K2387" s="6" t="str">
        <x:f>IF(D2387="","",IF(AND(ISNUMBER(SEARCH("平",D2387)),OR(ISNUMBER(SEARCH("上",D2387)),ISNUMBER(SEARCH("去",D2387)),ISNUMBER(SEARCH("入",D2387)))),"Ambiguous",IF(ISNUMBER(SEARCH("平",D2387)),"平","仄")))</x:f>
        <x:v>平</x:v>
      </x:c>
      <x:c r="L2387" s="7" t="str"/>
    </x:row>
    <x:row r="2388">
      <x:c r="A2388" s="5" t="str">
        <x:v>焫</x:v>
      </x:c>
      <x:c r="B2388" s="6" t="str">
        <x:v>入</x:v>
      </x:c>
      <x:c r="C2388" s="6" t="str">
        <x:f>IF(B2388="","Needs decision","Ready")</x:f>
        <x:v>Ready</x:v>
      </x:c>
      <x:c r="D2388" s="6" t="str">
        <x:v>入</x:v>
      </x:c>
      <x:c r="E2388" s="6" t="str">
        <x:v>nywet (D)</x:v>
      </x:c>
      <x:c r="F2388" s="6" t="str"/>
      <x:c r="G2388" s="6" t="str"/>
      <x:c r="H2388" s="6" t="str">
        <x:v>1</x:v>
      </x:c>
      <x:c r="I2388" s="6" t="str"/>
      <x:c r="J2388" s="6" t="str">
        <x:f>IF(B2388="","",IF(AND(ISNUMBER(SEARCH("平",B2388)),OR(ISNUMBER(SEARCH("上",B2388)),ISNUMBER(SEARCH("去",B2388)),ISNUMBER(SEARCH("入",B2388)))),"Ambiguous",IF(ISNUMBER(SEARCH("平",B2388)),"平","仄")))</x:f>
        <x:v>仄</x:v>
      </x:c>
      <x:c r="K2388" s="6" t="str">
        <x:f>IF(D2388="","",IF(AND(ISNUMBER(SEARCH("平",D2388)),OR(ISNUMBER(SEARCH("上",D2388)),ISNUMBER(SEARCH("去",D2388)),ISNUMBER(SEARCH("入",D2388)))),"Ambiguous",IF(ISNUMBER(SEARCH("平",D2388)),"平","仄")))</x:f>
        <x:v>仄</x:v>
      </x:c>
      <x:c r="L2388" s="7" t="str"/>
    </x:row>
    <x:row r="2389">
      <x:c r="A2389" s="5" t="str">
        <x:v>焰</x:v>
      </x:c>
      <x:c r="B2389" s="6" t="str">
        <x:v>去</x:v>
      </x:c>
      <x:c r="C2389" s="6" t="str">
        <x:f>IF(B2389="","Needs decision","Ready")</x:f>
        <x:v>Ready</x:v>
      </x:c>
      <x:c r="D2389" s="6" t="str">
        <x:v>去</x:v>
      </x:c>
      <x:c r="E2389" s="6" t="str"/>
      <x:c r="F2389" s="6" t="str"/>
      <x:c r="G2389" s="6" t="str"/>
      <x:c r="H2389" s="6" t="str"/>
      <x:c r="I2389" s="6" t="str">
        <x:v>Manual user correction/addition</x:v>
      </x:c>
      <x:c r="J2389" s="6" t="str">
        <x:f>IF(B2389="","",IF(AND(ISNUMBER(SEARCH("平",B2389)),OR(ISNUMBER(SEARCH("上",B2389)),ISNUMBER(SEARCH("去",B2389)),ISNUMBER(SEARCH("入",B2389)))),"Ambiguous",IF(ISNUMBER(SEARCH("平",B2389)),"平","仄")))</x:f>
        <x:v>仄</x:v>
      </x:c>
      <x:c r="K2389" s="6" t="str">
        <x:f>IF(D2389="","",IF(AND(ISNUMBER(SEARCH("平",D2389)),OR(ISNUMBER(SEARCH("上",D2389)),ISNUMBER(SEARCH("去",D2389)),ISNUMBER(SEARCH("入",D2389)))),"Ambiguous",IF(ISNUMBER(SEARCH("平",D2389)),"平","仄")))</x:f>
        <x:v>仄</x:v>
      </x:c>
      <x:c r="L2389" s="7" t="str">
        <x:v>manual user correction</x:v>
      </x:c>
    </x:row>
    <x:row r="2390">
      <x:c r="A2390" s="5" t="str">
        <x:v>然</x:v>
      </x:c>
      <x:c r="B2390" s="6" t="str">
        <x:v>平</x:v>
      </x:c>
      <x:c r="C2390" s="6" t="str">
        <x:f>IF(B2390="","Needs decision","Ready")</x:f>
        <x:v>Ready</x:v>
      </x:c>
      <x:c r="D2390" s="6" t="str">
        <x:v>平</x:v>
      </x:c>
      <x:c r="E2390" s="6" t="str">
        <x:v>nyen (A)</x:v>
      </x:c>
      <x:c r="F2390" s="6" t="str">
        <x:v>下平聲一先</x:v>
      </x:c>
      <x:c r="G2390" s="6" t="str">
        <x:v>Pingshui main list, Wikisource-derived DOCX</x:v>
      </x:c>
      <x:c r="H2390" s="6" t="str">
        <x:v>1</x:v>
      </x:c>
      <x:c r="I2390" s="6" t="str"/>
      <x:c r="J2390" s="6" t="str">
        <x:f>IF(B2390="","",IF(AND(ISNUMBER(SEARCH("平",B2390)),OR(ISNUMBER(SEARCH("上",B2390)),ISNUMBER(SEARCH("去",B2390)),ISNUMBER(SEARCH("入",B2390)))),"Ambiguous",IF(ISNUMBER(SEARCH("平",B2390)),"平","仄")))</x:f>
        <x:v>平</x:v>
      </x:c>
      <x:c r="K2390" s="6" t="str">
        <x:f>IF(D2390="","",IF(AND(ISNUMBER(SEARCH("平",D2390)),OR(ISNUMBER(SEARCH("上",D2390)),ISNUMBER(SEARCH("去",D2390)),ISNUMBER(SEARCH("入",D2390)))),"Ambiguous",IF(ISNUMBER(SEARCH("平",D2390)),"平","仄")))</x:f>
        <x:v>平</x:v>
      </x:c>
      <x:c r="L2390" s="7" t="str"/>
    </x:row>
    <x:row r="2391">
      <x:c r="A2391" s="5" t="str">
        <x:v>煁</x:v>
      </x:c>
      <x:c r="B2391" s="6" t="str">
        <x:v>平</x:v>
      </x:c>
      <x:c r="C2391" s="6" t="str">
        <x:f>IF(B2391="","Needs decision","Ready")</x:f>
        <x:v>Ready</x:v>
      </x:c>
      <x:c r="D2391" s="6" t="str">
        <x:v>平</x:v>
      </x:c>
      <x:c r="E2391" s="6" t="str">
        <x:v>dzyim (A)</x:v>
      </x:c>
      <x:c r="F2391" s="6" t="str"/>
      <x:c r="G2391" s="6" t="str"/>
      <x:c r="H2391" s="6" t="str">
        <x:v>1</x:v>
      </x:c>
      <x:c r="I2391" s="6" t="str"/>
      <x:c r="J2391" s="6" t="str">
        <x:f>IF(B2391="","",IF(AND(ISNUMBER(SEARCH("平",B2391)),OR(ISNUMBER(SEARCH("上",B2391)),ISNUMBER(SEARCH("去",B2391)),ISNUMBER(SEARCH("入",B2391)))),"Ambiguous",IF(ISNUMBER(SEARCH("平",B2391)),"平","仄")))</x:f>
        <x:v>平</x:v>
      </x:c>
      <x:c r="K2391" s="6" t="str">
        <x:f>IF(D2391="","",IF(AND(ISNUMBER(SEARCH("平",D2391)),OR(ISNUMBER(SEARCH("上",D2391)),ISNUMBER(SEARCH("去",D2391)),ISNUMBER(SEARCH("入",D2391)))),"Ambiguous",IF(ISNUMBER(SEARCH("平",D2391)),"平","仄")))</x:f>
        <x:v>平</x:v>
      </x:c>
      <x:c r="L2391" s="7" t="str"/>
    </x:row>
    <x:row r="2392">
      <x:c r="A2392" s="5" t="str">
        <x:v>煇</x:v>
      </x:c>
      <x:c r="B2392" s="6" t="str">
        <x:v>平</x:v>
      </x:c>
      <x:c r="C2392" s="6" t="str">
        <x:f>IF(B2392="","Needs decision","Ready")</x:f>
        <x:v>Ready</x:v>
      </x:c>
      <x:c r="D2392" s="6" t="str">
        <x:v>平</x:v>
      </x:c>
      <x:c r="E2392" s="6" t="str">
        <x:v>xjw+j (A)</x:v>
      </x:c>
      <x:c r="F2392" s="6" t="str">
        <x:v>上平聲五微</x:v>
      </x:c>
      <x:c r="G2392" s="6" t="str">
        <x:v>Pingshui main list, Wikisource-derived DOCX</x:v>
      </x:c>
      <x:c r="H2392" s="6" t="str">
        <x:v>1</x:v>
      </x:c>
      <x:c r="I2392" s="6" t="str"/>
      <x:c r="J2392" s="6" t="str">
        <x:f>IF(B2392="","",IF(AND(ISNUMBER(SEARCH("平",B2392)),OR(ISNUMBER(SEARCH("上",B2392)),ISNUMBER(SEARCH("去",B2392)),ISNUMBER(SEARCH("入",B2392)))),"Ambiguous",IF(ISNUMBER(SEARCH("平",B2392)),"平","仄")))</x:f>
        <x:v>平</x:v>
      </x:c>
      <x:c r="K2392" s="6" t="str">
        <x:f>IF(D2392="","",IF(AND(ISNUMBER(SEARCH("平",D2392)),OR(ISNUMBER(SEARCH("上",D2392)),ISNUMBER(SEARCH("去",D2392)),ISNUMBER(SEARCH("入",D2392)))),"Ambiguous",IF(ISNUMBER(SEARCH("平",D2392)),"平","仄")))</x:f>
        <x:v>平</x:v>
      </x:c>
      <x:c r="L2392" s="7" t="str"/>
    </x:row>
    <x:row r="2393">
      <x:c r="A2393" s="5" t="str">
        <x:v>煌</x:v>
      </x:c>
      <x:c r="B2393" s="6" t="str">
        <x:v>平</x:v>
      </x:c>
      <x:c r="C2393" s="6" t="str">
        <x:f>IF(B2393="","Needs decision","Ready")</x:f>
        <x:v>Ready</x:v>
      </x:c>
      <x:c r="D2393" s="6" t="str">
        <x:v>平</x:v>
      </x:c>
      <x:c r="E2393" s="6" t="str">
        <x:v>hwang (A)</x:v>
      </x:c>
      <x:c r="F2393" s="6" t="str">
        <x:v>下平聲七陽</x:v>
      </x:c>
      <x:c r="G2393" s="6" t="str">
        <x:v>Pingshui main list, Wikisource-derived DOCX</x:v>
      </x:c>
      <x:c r="H2393" s="6" t="str">
        <x:v>1</x:v>
      </x:c>
      <x:c r="I2393" s="6" t="str"/>
      <x:c r="J2393" s="6" t="str">
        <x:f>IF(B2393="","",IF(AND(ISNUMBER(SEARCH("平",B2393)),OR(ISNUMBER(SEARCH("上",B2393)),ISNUMBER(SEARCH("去",B2393)),ISNUMBER(SEARCH("入",B2393)))),"Ambiguous",IF(ISNUMBER(SEARCH("平",B2393)),"平","仄")))</x:f>
        <x:v>平</x:v>
      </x:c>
      <x:c r="K2393" s="6" t="str">
        <x:f>IF(D2393="","",IF(AND(ISNUMBER(SEARCH("平",D2393)),OR(ISNUMBER(SEARCH("上",D2393)),ISNUMBER(SEARCH("去",D2393)),ISNUMBER(SEARCH("入",D2393)))),"Ambiguous",IF(ISNUMBER(SEARCH("平",D2393)),"平","仄")))</x:f>
        <x:v>平</x:v>
      </x:c>
      <x:c r="L2393" s="7" t="str"/>
    </x:row>
    <x:row r="2394">
      <x:c r="A2394" s="5" t="str">
        <x:v>煎</x:v>
      </x:c>
      <x:c r="B2394" s="6" t="str">
        <x:v>平</x:v>
      </x:c>
      <x:c r="C2394" s="6" t="str">
        <x:f>IF(B2394="","Needs decision","Ready")</x:f>
        <x:v>Ready</x:v>
      </x:c>
      <x:c r="D2394" s="6" t="str">
        <x:v>平/去</x:v>
      </x:c>
      <x:c r="E2394" s="6" t="str">
        <x:v>tsjenH [精開三仙去] tsjenh; tsjen [精開三仙平] tsjen</x:v>
      </x:c>
      <x:c r="F2394" s="6" t="str">
        <x:v>下平聲一先; 去聲十七霰</x:v>
      </x:c>
      <x:c r="G2394" s="6" t="str">
        <x:v>Pingshui main list, Wikisource-derived DOCX</x:v>
      </x:c>
      <x:c r="H2394" s="6" t="str">
        <x:v>2</x:v>
      </x:c>
      <x:c r="I2394" s="6" t="str">
        <x:v>Targeted preliminary fill from Xun Gong; review if uncertain</x:v>
      </x:c>
      <x:c r="J2394" s="6" t="str">
        <x:f>IF(B2394="","",IF(AND(ISNUMBER(SEARCH("平",B2394)),OR(ISNUMBER(SEARCH("上",B2394)),ISNUMBER(SEARCH("去",B2394)),ISNUMBER(SEARCH("入",B2394)))),"Ambiguous",IF(ISNUMBER(SEARCH("平",B2394)),"平","仄")))</x:f>
        <x:v>平</x:v>
      </x:c>
      <x:c r="K2394" s="6" t="str">
        <x:f>IF(D2394="","",IF(AND(ISNUMBER(SEARCH("平",D2394)),OR(ISNUMBER(SEARCH("上",D2394)),ISNUMBER(SEARCH("去",D2394)),ISNUMBER(SEARCH("入",D2394)))),"Ambiguous",IF(ISNUMBER(SEARCH("平",D2394)),"平","仄")))</x:f>
        <x:v>Ambiguous</x:v>
      </x:c>
      <x:c r="L2394" s="7" t="str">
        <x:v>Xun Gong character-readings.csv</x:v>
      </x:c>
    </x:row>
    <x:row r="2395">
      <x:c r="A2395" s="5" t="str">
        <x:v>煑</x:v>
      </x:c>
      <x:c r="B2395" s="6" t="str">
        <x:v>上</x:v>
      </x:c>
      <x:c r="C2395" s="6" t="str">
        <x:f>IF(B2395="","Needs decision","Ready")</x:f>
        <x:v>Ready</x:v>
      </x:c>
      <x:c r="D2395" s="6" t="str">
        <x:v>上</x:v>
      </x:c>
      <x:c r="E2395" s="6" t="str">
        <x:v>tsyoX (B)</x:v>
      </x:c>
      <x:c r="F2395" s="6" t="str"/>
      <x:c r="G2395" s="6" t="str"/>
      <x:c r="H2395" s="6" t="str">
        <x:v>1</x:v>
      </x:c>
      <x:c r="I2395" s="6" t="str"/>
      <x:c r="J2395" s="6" t="str">
        <x:f>IF(B2395="","",IF(AND(ISNUMBER(SEARCH("平",B2395)),OR(ISNUMBER(SEARCH("上",B2395)),ISNUMBER(SEARCH("去",B2395)),ISNUMBER(SEARCH("入",B2395)))),"Ambiguous",IF(ISNUMBER(SEARCH("平",B2395)),"平","仄")))</x:f>
        <x:v>仄</x:v>
      </x:c>
      <x:c r="K2395" s="6" t="str">
        <x:f>IF(D2395="","",IF(AND(ISNUMBER(SEARCH("平",D2395)),OR(ISNUMBER(SEARCH("上",D2395)),ISNUMBER(SEARCH("去",D2395)),ISNUMBER(SEARCH("入",D2395)))),"Ambiguous",IF(ISNUMBER(SEARCH("平",D2395)),"平","仄")))</x:f>
        <x:v>仄</x:v>
      </x:c>
      <x:c r="L2395" s="7" t="str"/>
    </x:row>
    <x:row r="2396">
      <x:c r="A2396" s="5" t="str">
        <x:v>煒</x:v>
      </x:c>
      <x:c r="B2396" s="6" t="str">
        <x:v>上</x:v>
      </x:c>
      <x:c r="C2396" s="6" t="str">
        <x:f>IF(B2396="","Needs decision","Ready")</x:f>
        <x:v>Ready</x:v>
      </x:c>
      <x:c r="D2396" s="6" t="str">
        <x:v>上</x:v>
      </x:c>
      <x:c r="E2396" s="6" t="str">
        <x:v>hjw+jX (B)</x:v>
      </x:c>
      <x:c r="F2396" s="6" t="str">
        <x:v>上聲五尾</x:v>
      </x:c>
      <x:c r="G2396" s="6" t="str">
        <x:v>Pingshui main list, Wikisource-derived DOCX</x:v>
      </x:c>
      <x:c r="H2396" s="6" t="str">
        <x:v>1</x:v>
      </x:c>
      <x:c r="I2396" s="6" t="str"/>
      <x:c r="J2396" s="6" t="str">
        <x:f>IF(B2396="","",IF(AND(ISNUMBER(SEARCH("平",B2396)),OR(ISNUMBER(SEARCH("上",B2396)),ISNUMBER(SEARCH("去",B2396)),ISNUMBER(SEARCH("入",B2396)))),"Ambiguous",IF(ISNUMBER(SEARCH("平",B2396)),"平","仄")))</x:f>
        <x:v>仄</x:v>
      </x:c>
      <x:c r="K2396" s="6" t="str">
        <x:f>IF(D2396="","",IF(AND(ISNUMBER(SEARCH("平",D2396)),OR(ISNUMBER(SEARCH("上",D2396)),ISNUMBER(SEARCH("去",D2396)),ISNUMBER(SEARCH("入",D2396)))),"Ambiguous",IF(ISNUMBER(SEARCH("平",D2396)),"平","仄")))</x:f>
        <x:v>仄</x:v>
      </x:c>
      <x:c r="L2396" s="7" t="str"/>
    </x:row>
    <x:row r="2397">
      <x:c r="A2397" s="5" t="str">
        <x:v>煖</x:v>
      </x:c>
      <x:c r="B2397" s="6" t="str">
        <x:v>平</x:v>
      </x:c>
      <x:c r="C2397" s="6" t="str">
        <x:f>IF(B2397="","Needs decision","Ready")</x:f>
        <x:v>Ready</x:v>
      </x:c>
      <x:c r="D2397" s="6" t="str">
        <x:v>平/上</x:v>
      </x:c>
      <x:c r="E2397" s="6" t="str">
        <x:v>nwanX [n̙wɑnʔ] (上); xjwon [xwɨ̯ən] (平)</x:v>
      </x:c>
      <x:c r="F2397" s="6" t="str">
        <x:v>上聲十四旱</x:v>
      </x:c>
      <x:c r="G2397" s="6" t="str">
        <x:v>Pingshui main list, Wikisource-derived DOCX</x:v>
      </x:c>
      <x:c r="H2397" s="6" t="str">
        <x:v>2</x:v>
      </x:c>
      <x:c r="I2397" s="6" t="str">
        <x:v>Tang 300 gap; frequency 1; ambiguous in Xun Gong</x:v>
      </x:c>
      <x:c r="J2397" s="6" t="str">
        <x:f>IF(B2397="","",IF(AND(ISNUMBER(SEARCH("平",B2397)),OR(ISNUMBER(SEARCH("上",B2397)),ISNUMBER(SEARCH("去",B2397)),ISNUMBER(SEARCH("入",B2397)))),"Ambiguous",IF(ISNUMBER(SEARCH("平",B2397)),"平","仄")))</x:f>
        <x:v>平</x:v>
      </x:c>
      <x:c r="K2397" s="6" t="str">
        <x:f>IF(D2397="","",IF(AND(ISNUMBER(SEARCH("平",D2397)),OR(ISNUMBER(SEARCH("上",D2397)),ISNUMBER(SEARCH("去",D2397)),ISNUMBER(SEARCH("入",D2397)))),"Ambiguous",IF(ISNUMBER(SEARCH("平",D2397)),"平","仄")))</x:f>
        <x:v>Ambiguous</x:v>
      </x:c>
      <x:c r="L2397" s="7" t="str">
        <x:v>Xun Gong, Tang 300 gap fill</x:v>
      </x:c>
    </x:row>
    <x:row r="2398">
      <x:c r="A2398" s="5" t="str">
        <x:v>煙</x:v>
      </x:c>
      <x:c r="B2398" s="6" t="str">
        <x:v>平</x:v>
      </x:c>
      <x:c r="C2398" s="6" t="str">
        <x:f>IF(B2398="","Needs decision","Ready")</x:f>
        <x:v>Ready</x:v>
      </x:c>
      <x:c r="D2398" s="6" t="str">
        <x:v>平</x:v>
      </x:c>
      <x:c r="E2398" s="6" t="str">
        <x:v>'en (A)</x:v>
      </x:c>
      <x:c r="F2398" s="6" t="str">
        <x:v>下平聲一先</x:v>
      </x:c>
      <x:c r="G2398" s="6" t="str">
        <x:v>Pingshui main list, Wikisource-derived DOCX</x:v>
      </x:c>
      <x:c r="H2398" s="6" t="str">
        <x:v>1</x:v>
      </x:c>
      <x:c r="I2398" s="6" t="str"/>
      <x:c r="J2398" s="6" t="str">
        <x:f>IF(B2398="","",IF(AND(ISNUMBER(SEARCH("平",B2398)),OR(ISNUMBER(SEARCH("上",B2398)),ISNUMBER(SEARCH("去",B2398)),ISNUMBER(SEARCH("入",B2398)))),"Ambiguous",IF(ISNUMBER(SEARCH("平",B2398)),"平","仄")))</x:f>
        <x:v>平</x:v>
      </x:c>
      <x:c r="K2398" s="6" t="str">
        <x:f>IF(D2398="","",IF(AND(ISNUMBER(SEARCH("平",D2398)),OR(ISNUMBER(SEARCH("上",D2398)),ISNUMBER(SEARCH("去",D2398)),ISNUMBER(SEARCH("入",D2398)))),"Ambiguous",IF(ISNUMBER(SEARCH("平",D2398)),"平","仄")))</x:f>
        <x:v>平</x:v>
      </x:c>
      <x:c r="L2398" s="7" t="str"/>
    </x:row>
    <x:row r="2399">
      <x:c r="A2399" s="5" t="str">
        <x:v>煜</x:v>
      </x:c>
      <x:c r="B2399" s="6" t="str">
        <x:v>入</x:v>
      </x:c>
      <x:c r="C2399" s="6" t="str">
        <x:f>IF(B2399="","Needs decision","Ready")</x:f>
        <x:v>Ready</x:v>
      </x:c>
      <x:c r="D2399" s="6" t="str">
        <x:v>入</x:v>
      </x:c>
      <x:c r="E2399" s="6" t="str">
        <x:v>yuwk (D)</x:v>
      </x:c>
      <x:c r="F2399" s="6" t="str">
        <x:v>入聲一屋</x:v>
      </x:c>
      <x:c r="G2399" s="6" t="str">
        <x:v>Pingshui main list, Wikisource-derived DOCX</x:v>
      </x:c>
      <x:c r="H2399" s="6" t="str">
        <x:v>1</x:v>
      </x:c>
      <x:c r="I2399" s="6" t="str"/>
      <x:c r="J2399" s="6" t="str">
        <x:f>IF(B2399="","",IF(AND(ISNUMBER(SEARCH("平",B2399)),OR(ISNUMBER(SEARCH("上",B2399)),ISNUMBER(SEARCH("去",B2399)),ISNUMBER(SEARCH("入",B2399)))),"Ambiguous",IF(ISNUMBER(SEARCH("平",B2399)),"平","仄")))</x:f>
        <x:v>仄</x:v>
      </x:c>
      <x:c r="K2399" s="6" t="str">
        <x:f>IF(D2399="","",IF(AND(ISNUMBER(SEARCH("平",D2399)),OR(ISNUMBER(SEARCH("上",D2399)),ISNUMBER(SEARCH("去",D2399)),ISNUMBER(SEARCH("入",D2399)))),"Ambiguous",IF(ISNUMBER(SEARCH("平",D2399)),"平","仄")))</x:f>
        <x:v>仄</x:v>
      </x:c>
      <x:c r="L2399" s="7" t="str"/>
    </x:row>
    <x:row r="2400">
      <x:c r="A2400" s="5" t="str">
        <x:v>煤</x:v>
      </x:c>
      <x:c r="B2400" s="6" t="str">
        <x:v>平</x:v>
      </x:c>
      <x:c r="C2400" s="6" t="str">
        <x:f>IF(B2400="","Needs decision","Ready")</x:f>
        <x:v>Ready</x:v>
      </x:c>
      <x:c r="D2400" s="6" t="str">
        <x:v>平</x:v>
      </x:c>
      <x:c r="E2400" s="6" t="str">
        <x:v>mwoj (A)</x:v>
      </x:c>
      <x:c r="F2400" s="6" t="str">
        <x:v>上平聲十灰</x:v>
      </x:c>
      <x:c r="G2400" s="6" t="str">
        <x:v>Pingshui main list, Wikisource-derived DOCX</x:v>
      </x:c>
      <x:c r="H2400" s="6" t="str">
        <x:v>1</x:v>
      </x:c>
      <x:c r="I2400" s="6" t="str"/>
      <x:c r="J2400" s="6" t="str">
        <x:f>IF(B2400="","",IF(AND(ISNUMBER(SEARCH("平",B2400)),OR(ISNUMBER(SEARCH("上",B2400)),ISNUMBER(SEARCH("去",B2400)),ISNUMBER(SEARCH("入",B2400)))),"Ambiguous",IF(ISNUMBER(SEARCH("平",B2400)),"平","仄")))</x:f>
        <x:v>平</x:v>
      </x:c>
      <x:c r="K2400" s="6" t="str">
        <x:f>IF(D2400="","",IF(AND(ISNUMBER(SEARCH("平",D2400)),OR(ISNUMBER(SEARCH("上",D2400)),ISNUMBER(SEARCH("去",D2400)),ISNUMBER(SEARCH("入",D2400)))),"Ambiguous",IF(ISNUMBER(SEARCH("平",D2400)),"平","仄")))</x:f>
        <x:v>平</x:v>
      </x:c>
      <x:c r="L2400" s="7" t="str"/>
    </x:row>
    <x:row r="2401">
      <x:c r="A2401" s="5" t="str">
        <x:v>煥</x:v>
      </x:c>
      <x:c r="B2401" s="6" t="str">
        <x:v>去</x:v>
      </x:c>
      <x:c r="C2401" s="6" t="str">
        <x:f>IF(B2401="","Needs decision","Ready")</x:f>
        <x:v>Ready</x:v>
      </x:c>
      <x:c r="D2401" s="6" t="str">
        <x:v>去</x:v>
      </x:c>
      <x:c r="E2401" s="6" t="str"/>
      <x:c r="F2401" s="6" t="str">
        <x:v>去聲十五翰</x:v>
      </x:c>
      <x:c r="G2401" s="6" t="str">
        <x:v>Pingshui main list, Wikisource-derived DOCX</x:v>
      </x:c>
      <x:c r="H2401" s="6" t="str"/>
      <x:c r="I2401" s="6" t="str">
        <x:v>Manual user correction/addition</x:v>
      </x:c>
      <x:c r="J2401" s="6" t="str">
        <x:f>IF(B2401="","",IF(AND(ISNUMBER(SEARCH("平",B2401)),OR(ISNUMBER(SEARCH("上",B2401)),ISNUMBER(SEARCH("去",B2401)),ISNUMBER(SEARCH("入",B2401)))),"Ambiguous",IF(ISNUMBER(SEARCH("平",B2401)),"平","仄")))</x:f>
        <x:v>仄</x:v>
      </x:c>
      <x:c r="K2401" s="6" t="str">
        <x:f>IF(D2401="","",IF(AND(ISNUMBER(SEARCH("平",D2401)),OR(ISNUMBER(SEARCH("上",D2401)),ISNUMBER(SEARCH("去",D2401)),ISNUMBER(SEARCH("入",D2401)))),"Ambiguous",IF(ISNUMBER(SEARCH("平",D2401)),"平","仄")))</x:f>
        <x:v>仄</x:v>
      </x:c>
      <x:c r="L2401" s="7" t="str">
        <x:v>manual user correction</x:v>
      </x:c>
    </x:row>
    <x:row r="2402">
      <x:c r="A2402" s="5" t="str">
        <x:v>照</x:v>
      </x:c>
      <x:c r="B2402" s="6" t="str">
        <x:v>去</x:v>
      </x:c>
      <x:c r="C2402" s="6" t="str">
        <x:f>IF(B2402="","Needs decision","Ready")</x:f>
        <x:v>Ready</x:v>
      </x:c>
      <x:c r="D2402" s="6" t="str">
        <x:v>去</x:v>
      </x:c>
      <x:c r="E2402" s="6" t="str">
        <x:v>tsyewH (C)</x:v>
      </x:c>
      <x:c r="F2402" s="6" t="str">
        <x:v>去聲十八嘯</x:v>
      </x:c>
      <x:c r="G2402" s="6" t="str">
        <x:v>Pingshui main list, Wikisource-derived DOCX</x:v>
      </x:c>
      <x:c r="H2402" s="6" t="str">
        <x:v>1</x:v>
      </x:c>
      <x:c r="I2402" s="6" t="str"/>
      <x:c r="J2402" s="6" t="str">
        <x:f>IF(B2402="","",IF(AND(ISNUMBER(SEARCH("平",B2402)),OR(ISNUMBER(SEARCH("上",B2402)),ISNUMBER(SEARCH("去",B2402)),ISNUMBER(SEARCH("入",B2402)))),"Ambiguous",IF(ISNUMBER(SEARCH("平",B2402)),"平","仄")))</x:f>
        <x:v>仄</x:v>
      </x:c>
      <x:c r="K2402" s="6" t="str">
        <x:f>IF(D2402="","",IF(AND(ISNUMBER(SEARCH("平",D2402)),OR(ISNUMBER(SEARCH("上",D2402)),ISNUMBER(SEARCH("去",D2402)),ISNUMBER(SEARCH("入",D2402)))),"Ambiguous",IF(ISNUMBER(SEARCH("平",D2402)),"平","仄")))</x:f>
        <x:v>仄</x:v>
      </x:c>
      <x:c r="L2402" s="7" t="str"/>
    </x:row>
    <x:row r="2403">
      <x:c r="A2403" s="5" t="str">
        <x:v>煩</x:v>
      </x:c>
      <x:c r="B2403" s="6" t="str">
        <x:v>平</x:v>
      </x:c>
      <x:c r="C2403" s="6" t="str">
        <x:f>IF(B2403="","Needs decision","Ready")</x:f>
        <x:v>Ready</x:v>
      </x:c>
      <x:c r="D2403" s="6" t="str">
        <x:v>平</x:v>
      </x:c>
      <x:c r="E2403" s="6" t="str">
        <x:v>bjon (A)</x:v>
      </x:c>
      <x:c r="F2403" s="6" t="str">
        <x:v>上平聲十三元</x:v>
      </x:c>
      <x:c r="G2403" s="6" t="str">
        <x:v>Pingshui main list, Wikisource-derived DOCX</x:v>
      </x:c>
      <x:c r="H2403" s="6" t="str">
        <x:v>1</x:v>
      </x:c>
      <x:c r="I2403" s="6" t="str"/>
      <x:c r="J2403" s="6" t="str">
        <x:f>IF(B2403="","",IF(AND(ISNUMBER(SEARCH("平",B2403)),OR(ISNUMBER(SEARCH("上",B2403)),ISNUMBER(SEARCH("去",B2403)),ISNUMBER(SEARCH("入",B2403)))),"Ambiguous",IF(ISNUMBER(SEARCH("平",B2403)),"平","仄")))</x:f>
        <x:v>平</x:v>
      </x:c>
      <x:c r="K2403" s="6" t="str">
        <x:f>IF(D2403="","",IF(AND(ISNUMBER(SEARCH("平",D2403)),OR(ISNUMBER(SEARCH("上",D2403)),ISNUMBER(SEARCH("去",D2403)),ISNUMBER(SEARCH("入",D2403)))),"Ambiguous",IF(ISNUMBER(SEARCH("平",D2403)),"平","仄")))</x:f>
        <x:v>平</x:v>
      </x:c>
      <x:c r="L2403" s="7" t="str"/>
    </x:row>
    <x:row r="2404">
      <x:c r="A2404" s="5" t="str">
        <x:v>煮</x:v>
      </x:c>
      <x:c r="B2404" s="6" t="str">
        <x:v>上</x:v>
      </x:c>
      <x:c r="C2404" s="6" t="str">
        <x:f>IF(B2404="","Needs decision","Ready")</x:f>
        <x:v>Ready</x:v>
      </x:c>
      <x:c r="D2404" s="6" t="str">
        <x:v>上</x:v>
      </x:c>
      <x:c r="E2404" s="6" t="str">
        <x:v>tsyoX (B)</x:v>
      </x:c>
      <x:c r="F2404" s="6" t="str">
        <x:v>上聲六語</x:v>
      </x:c>
      <x:c r="G2404" s="6" t="str">
        <x:v>Pingshui main list, Wikisource-derived DOCX</x:v>
      </x:c>
      <x:c r="H2404" s="6" t="str">
        <x:v>1</x:v>
      </x:c>
      <x:c r="I2404" s="6" t="str"/>
      <x:c r="J2404" s="6" t="str">
        <x:f>IF(B2404="","",IF(AND(ISNUMBER(SEARCH("平",B2404)),OR(ISNUMBER(SEARCH("上",B2404)),ISNUMBER(SEARCH("去",B2404)),ISNUMBER(SEARCH("入",B2404)))),"Ambiguous",IF(ISNUMBER(SEARCH("平",B2404)),"平","仄")))</x:f>
        <x:v>仄</x:v>
      </x:c>
      <x:c r="K2404" s="6" t="str">
        <x:f>IF(D2404="","",IF(AND(ISNUMBER(SEARCH("平",D2404)),OR(ISNUMBER(SEARCH("上",D2404)),ISNUMBER(SEARCH("去",D2404)),ISNUMBER(SEARCH("入",D2404)))),"Ambiguous",IF(ISNUMBER(SEARCH("平",D2404)),"平","仄")))</x:f>
        <x:v>仄</x:v>
      </x:c>
      <x:c r="L2404" s="7" t="str"/>
    </x:row>
    <x:row r="2405">
      <x:c r="A2405" s="5" t="str">
        <x:v>熄</x:v>
      </x:c>
      <x:c r="B2405" s="6" t="str">
        <x:v>入</x:v>
      </x:c>
      <x:c r="C2405" s="6" t="str">
        <x:f>IF(B2405="","Needs decision","Ready")</x:f>
        <x:v>Ready</x:v>
      </x:c>
      <x:c r="D2405" s="6" t="str">
        <x:v>入</x:v>
      </x:c>
      <x:c r="E2405" s="6" t="str">
        <x:v>sik (D)</x:v>
      </x:c>
      <x:c r="F2405" s="6" t="str">
        <x:v>入聲十三職</x:v>
      </x:c>
      <x:c r="G2405" s="6" t="str">
        <x:v>Pingshui main list, Wikisource-derived DOCX</x:v>
      </x:c>
      <x:c r="H2405" s="6" t="str">
        <x:v>1</x:v>
      </x:c>
      <x:c r="I2405" s="6" t="str"/>
      <x:c r="J2405" s="6" t="str">
        <x:f>IF(B2405="","",IF(AND(ISNUMBER(SEARCH("平",B2405)),OR(ISNUMBER(SEARCH("上",B2405)),ISNUMBER(SEARCH("去",B2405)),ISNUMBER(SEARCH("入",B2405)))),"Ambiguous",IF(ISNUMBER(SEARCH("平",B2405)),"平","仄")))</x:f>
        <x:v>仄</x:v>
      </x:c>
      <x:c r="K2405" s="6" t="str">
        <x:f>IF(D2405="","",IF(AND(ISNUMBER(SEARCH("平",D2405)),OR(ISNUMBER(SEARCH("上",D2405)),ISNUMBER(SEARCH("去",D2405)),ISNUMBER(SEARCH("入",D2405)))),"Ambiguous",IF(ISNUMBER(SEARCH("平",D2405)),"平","仄")))</x:f>
        <x:v>仄</x:v>
      </x:c>
      <x:c r="L2405" s="7" t="str"/>
    </x:row>
    <x:row r="2406">
      <x:c r="A2406" s="5" t="str">
        <x:v>熊</x:v>
      </x:c>
      <x:c r="B2406" s="6" t="str">
        <x:v>平</x:v>
      </x:c>
      <x:c r="C2406" s="6" t="str">
        <x:f>IF(B2406="","Needs decision","Ready")</x:f>
        <x:v>Ready</x:v>
      </x:c>
      <x:c r="D2406" s="6" t="str">
        <x:v>平</x:v>
      </x:c>
      <x:c r="E2406" s="6" t="str">
        <x:v>hjuwng (A)</x:v>
      </x:c>
      <x:c r="F2406" s="6" t="str">
        <x:v>上平聲一東</x:v>
      </x:c>
      <x:c r="G2406" s="6" t="str">
        <x:v>Pingshui main list, Wikisource-derived DOCX</x:v>
      </x:c>
      <x:c r="H2406" s="6" t="str">
        <x:v>1</x:v>
      </x:c>
      <x:c r="I2406" s="6" t="str"/>
      <x:c r="J2406" s="6" t="str">
        <x:f>IF(B2406="","",IF(AND(ISNUMBER(SEARCH("平",B2406)),OR(ISNUMBER(SEARCH("上",B2406)),ISNUMBER(SEARCH("去",B2406)),ISNUMBER(SEARCH("入",B2406)))),"Ambiguous",IF(ISNUMBER(SEARCH("平",B2406)),"平","仄")))</x:f>
        <x:v>平</x:v>
      </x:c>
      <x:c r="K2406" s="6" t="str">
        <x:f>IF(D2406="","",IF(AND(ISNUMBER(SEARCH("平",D2406)),OR(ISNUMBER(SEARCH("上",D2406)),ISNUMBER(SEARCH("去",D2406)),ISNUMBER(SEARCH("入",D2406)))),"Ambiguous",IF(ISNUMBER(SEARCH("平",D2406)),"平","仄")))</x:f>
        <x:v>平</x:v>
      </x:c>
      <x:c r="L2406" s="7" t="str"/>
    </x:row>
    <x:row r="2407">
      <x:c r="A2407" s="5" t="str">
        <x:v>熏</x:v>
      </x:c>
      <x:c r="B2407" s="6" t="str">
        <x:v>平</x:v>
      </x:c>
      <x:c r="C2407" s="6" t="str">
        <x:f>IF(B2407="","Needs decision","Ready")</x:f>
        <x:v>Ready</x:v>
      </x:c>
      <x:c r="D2407" s="6" t="str">
        <x:v>平</x:v>
      </x:c>
      <x:c r="E2407" s="6" t="str">
        <x:v>xjun (A)</x:v>
      </x:c>
      <x:c r="F2407" s="6" t="str">
        <x:v>上平聲十二文</x:v>
      </x:c>
      <x:c r="G2407" s="6" t="str">
        <x:v>Pingshui main list, Wikisource-derived DOCX</x:v>
      </x:c>
      <x:c r="H2407" s="6" t="str">
        <x:v>1</x:v>
      </x:c>
      <x:c r="I2407" s="6" t="str"/>
      <x:c r="J2407" s="6" t="str">
        <x:f>IF(B2407="","",IF(AND(ISNUMBER(SEARCH("平",B2407)),OR(ISNUMBER(SEARCH("上",B2407)),ISNUMBER(SEARCH("去",B2407)),ISNUMBER(SEARCH("入",B2407)))),"Ambiguous",IF(ISNUMBER(SEARCH("平",B2407)),"平","仄")))</x:f>
        <x:v>平</x:v>
      </x:c>
      <x:c r="K2407" s="6" t="str">
        <x:f>IF(D2407="","",IF(AND(ISNUMBER(SEARCH("平",D2407)),OR(ISNUMBER(SEARCH("上",D2407)),ISNUMBER(SEARCH("去",D2407)),ISNUMBER(SEARCH("入",D2407)))),"Ambiguous",IF(ISNUMBER(SEARCH("平",D2407)),"平","仄")))</x:f>
        <x:v>平</x:v>
      </x:c>
      <x:c r="L2407" s="7" t="str"/>
    </x:row>
    <x:row r="2408">
      <x:c r="A2408" s="5" t="str">
        <x:v>熒</x:v>
      </x:c>
      <x:c r="B2408" s="6" t="str">
        <x:v>平</x:v>
      </x:c>
      <x:c r="C2408" s="6" t="str">
        <x:f>IF(B2408="","Needs decision","Ready")</x:f>
        <x:v>Ready</x:v>
      </x:c>
      <x:c r="D2408" s="6" t="str">
        <x:v>平</x:v>
      </x:c>
      <x:c r="E2408" s="6" t="str">
        <x:v>hweng (A)</x:v>
      </x:c>
      <x:c r="F2408" s="6" t="str">
        <x:v>下平聲九青</x:v>
      </x:c>
      <x:c r="G2408" s="6" t="str">
        <x:v>Pingshui main list, Wikisource-derived DOCX</x:v>
      </x:c>
      <x:c r="H2408" s="6" t="str">
        <x:v>1</x:v>
      </x:c>
      <x:c r="I2408" s="6" t="str"/>
      <x:c r="J2408" s="6" t="str">
        <x:f>IF(B2408="","",IF(AND(ISNUMBER(SEARCH("平",B2408)),OR(ISNUMBER(SEARCH("上",B2408)),ISNUMBER(SEARCH("去",B2408)),ISNUMBER(SEARCH("入",B2408)))),"Ambiguous",IF(ISNUMBER(SEARCH("平",B2408)),"平","仄")))</x:f>
        <x:v>平</x:v>
      </x:c>
      <x:c r="K2408" s="6" t="str">
        <x:f>IF(D2408="","",IF(AND(ISNUMBER(SEARCH("平",D2408)),OR(ISNUMBER(SEARCH("上",D2408)),ISNUMBER(SEARCH("去",D2408)),ISNUMBER(SEARCH("入",D2408)))),"Ambiguous",IF(ISNUMBER(SEARCH("平",D2408)),"平","仄")))</x:f>
        <x:v>平</x:v>
      </x:c>
      <x:c r="L2408" s="7" t="str"/>
    </x:row>
    <x:row r="2409">
      <x:c r="A2409" s="5" t="str">
        <x:v>熙</x:v>
      </x:c>
      <x:c r="B2409" s="6" t="str">
        <x:v>平</x:v>
      </x:c>
      <x:c r="C2409" s="6" t="str">
        <x:f>IF(B2409="","Needs decision","Ready")</x:f>
        <x:v>Ready</x:v>
      </x:c>
      <x:c r="D2409" s="6" t="str">
        <x:v>平</x:v>
      </x:c>
      <x:c r="E2409" s="6" t="str">
        <x:v>xi (A)</x:v>
      </x:c>
      <x:c r="F2409" s="6" t="str">
        <x:v>上平聲四支</x:v>
      </x:c>
      <x:c r="G2409" s="6" t="str">
        <x:v>Pingshui main list, Wikisource-derived DOCX</x:v>
      </x:c>
      <x:c r="H2409" s="6" t="str">
        <x:v>1</x:v>
      </x:c>
      <x:c r="I2409" s="6" t="str"/>
      <x:c r="J2409" s="6" t="str">
        <x:f>IF(B2409="","",IF(AND(ISNUMBER(SEARCH("平",B2409)),OR(ISNUMBER(SEARCH("上",B2409)),ISNUMBER(SEARCH("去",B2409)),ISNUMBER(SEARCH("入",B2409)))),"Ambiguous",IF(ISNUMBER(SEARCH("平",B2409)),"平","仄")))</x:f>
        <x:v>平</x:v>
      </x:c>
      <x:c r="K2409" s="6" t="str">
        <x:f>IF(D2409="","",IF(AND(ISNUMBER(SEARCH("平",D2409)),OR(ISNUMBER(SEARCH("上",D2409)),ISNUMBER(SEARCH("去",D2409)),ISNUMBER(SEARCH("入",D2409)))),"Ambiguous",IF(ISNUMBER(SEARCH("平",D2409)),"平","仄")))</x:f>
        <x:v>平</x:v>
      </x:c>
      <x:c r="L2409" s="7" t="str"/>
    </x:row>
    <x:row r="2410">
      <x:c r="A2410" s="5" t="str">
        <x:v>熛</x:v>
      </x:c>
      <x:c r="B2410" s="6" t="str">
        <x:v>平</x:v>
      </x:c>
      <x:c r="C2410" s="6" t="str">
        <x:f>IF(B2410="","Needs decision","Ready")</x:f>
        <x:v>Ready</x:v>
      </x:c>
      <x:c r="D2410" s="6" t="str">
        <x:v>平</x:v>
      </x:c>
      <x:c r="E2410" s="6" t="str"/>
      <x:c r="F2410" s="6" t="str">
        <x:v>下平聲二蕭</x:v>
      </x:c>
      <x:c r="G2410" s="6" t="str">
        <x:v>Pingshui main list, Wikisource-derived DOCX</x:v>
      </x:c>
      <x:c r="H2410" s="6" t="str">
        <x:v>0</x:v>
      </x:c>
      <x:c r="I2410" s="6" t="str">
        <x:v>User correction 2026-09-08; added manually</x:v>
      </x:c>
      <x:c r="J2410" s="6" t="str">
        <x:f>IF(B2410="","",IF(AND(ISNUMBER(SEARCH("平",B2410)),OR(ISNUMBER(SEARCH("上",B2410)),ISNUMBER(SEARCH("去",B2410)),ISNUMBER(SEARCH("入",B2410)))),"Ambiguous",IF(ISNUMBER(SEARCH("平",B2410)),"平","仄")))</x:f>
        <x:v>平</x:v>
      </x:c>
      <x:c r="K2410" s="6" t="str">
        <x:f>IF(D2410="","",IF(AND(ISNUMBER(SEARCH("平",D2410)),OR(ISNUMBER(SEARCH("上",D2410)),ISNUMBER(SEARCH("去",D2410)),ISNUMBER(SEARCH("入",D2410)))),"Ambiguous",IF(ISNUMBER(SEARCH("平",D2410)),"平","仄")))</x:f>
        <x:v>平</x:v>
      </x:c>
      <x:c r="L2410" s="7" t="str">
        <x:v>User correction</x:v>
      </x:c>
    </x:row>
    <x:row r="2411">
      <x:c r="A2411" s="5" t="str">
        <x:v>熟</x:v>
      </x:c>
      <x:c r="B2411" s="6" t="str">
        <x:v>入</x:v>
      </x:c>
      <x:c r="C2411" s="6" t="str">
        <x:f>IF(B2411="","Needs decision","Ready")</x:f>
        <x:v>Ready</x:v>
      </x:c>
      <x:c r="D2411" s="6" t="str">
        <x:v>入</x:v>
      </x:c>
      <x:c r="E2411" s="6" t="str">
        <x:v>dzyuwk (D)</x:v>
      </x:c>
      <x:c r="F2411" s="6" t="str">
        <x:v>入聲一屋</x:v>
      </x:c>
      <x:c r="G2411" s="6" t="str">
        <x:v>Pingshui main list, Wikisource-derived DOCX</x:v>
      </x:c>
      <x:c r="H2411" s="6" t="str">
        <x:v>1</x:v>
      </x:c>
      <x:c r="I2411" s="6" t="str"/>
      <x:c r="J2411" s="6" t="str">
        <x:f>IF(B2411="","",IF(AND(ISNUMBER(SEARCH("平",B2411)),OR(ISNUMBER(SEARCH("上",B2411)),ISNUMBER(SEARCH("去",B2411)),ISNUMBER(SEARCH("入",B2411)))),"Ambiguous",IF(ISNUMBER(SEARCH("平",B2411)),"平","仄")))</x:f>
        <x:v>仄</x:v>
      </x:c>
      <x:c r="K2411" s="6" t="str">
        <x:f>IF(D2411="","",IF(AND(ISNUMBER(SEARCH("平",D2411)),OR(ISNUMBER(SEARCH("上",D2411)),ISNUMBER(SEARCH("去",D2411)),ISNUMBER(SEARCH("入",D2411)))),"Ambiguous",IF(ISNUMBER(SEARCH("平",D2411)),"平","仄")))</x:f>
        <x:v>仄</x:v>
      </x:c>
      <x:c r="L2411" s="7" t="str"/>
    </x:row>
    <x:row r="2412">
      <x:c r="A2412" s="5" t="str">
        <x:v>熬</x:v>
      </x:c>
      <x:c r="B2412" s="6" t="str">
        <x:v>平</x:v>
      </x:c>
      <x:c r="C2412" s="6" t="str">
        <x:f>IF(B2412="","Needs decision","Ready")</x:f>
        <x:v>Ready</x:v>
      </x:c>
      <x:c r="D2412" s="6" t="str">
        <x:v>平</x:v>
      </x:c>
      <x:c r="E2412" s="6" t="str">
        <x:v>ngaw (A)</x:v>
      </x:c>
      <x:c r="F2412" s="6" t="str">
        <x:v>下平聲四豪</x:v>
      </x:c>
      <x:c r="G2412" s="6" t="str">
        <x:v>Pingshui main list, Wikisource-derived DOCX</x:v>
      </x:c>
      <x:c r="H2412" s="6" t="str">
        <x:v>1</x:v>
      </x:c>
      <x:c r="I2412" s="6" t="str"/>
      <x:c r="J2412" s="6" t="str">
        <x:f>IF(B2412="","",IF(AND(ISNUMBER(SEARCH("平",B2412)),OR(ISNUMBER(SEARCH("上",B2412)),ISNUMBER(SEARCH("去",B2412)),ISNUMBER(SEARCH("入",B2412)))),"Ambiguous",IF(ISNUMBER(SEARCH("平",B2412)),"平","仄")))</x:f>
        <x:v>平</x:v>
      </x:c>
      <x:c r="K2412" s="6" t="str">
        <x:f>IF(D2412="","",IF(AND(ISNUMBER(SEARCH("平",D2412)),OR(ISNUMBER(SEARCH("上",D2412)),ISNUMBER(SEARCH("去",D2412)),ISNUMBER(SEARCH("入",D2412)))),"Ambiguous",IF(ISNUMBER(SEARCH("平",D2412)),"平","仄")))</x:f>
        <x:v>平</x:v>
      </x:c>
      <x:c r="L2412" s="7" t="str"/>
    </x:row>
    <x:row r="2413">
      <x:c r="A2413" s="5" t="str">
        <x:v>熯</x:v>
      </x:c>
      <x:c r="B2413" s="6" t="str">
        <x:v>上</x:v>
      </x:c>
      <x:c r="C2413" s="6" t="str">
        <x:f>IF(B2413="","Needs decision","Ready")</x:f>
        <x:v>Ready</x:v>
      </x:c>
      <x:c r="D2413" s="6" t="str">
        <x:v>上</x:v>
      </x:c>
      <x:c r="E2413" s="6" t="str">
        <x:v>nyenX (B)</x:v>
      </x:c>
      <x:c r="F2413" s="6" t="str"/>
      <x:c r="G2413" s="6" t="str"/>
      <x:c r="H2413" s="6" t="str">
        <x:v>1</x:v>
      </x:c>
      <x:c r="I2413" s="6" t="str"/>
      <x:c r="J2413" s="6" t="str">
        <x:f>IF(B2413="","",IF(AND(ISNUMBER(SEARCH("平",B2413)),OR(ISNUMBER(SEARCH("上",B2413)),ISNUMBER(SEARCH("去",B2413)),ISNUMBER(SEARCH("入",B2413)))),"Ambiguous",IF(ISNUMBER(SEARCH("平",B2413)),"平","仄")))</x:f>
        <x:v>仄</x:v>
      </x:c>
      <x:c r="K2413" s="6" t="str">
        <x:f>IF(D2413="","",IF(AND(ISNUMBER(SEARCH("平",D2413)),OR(ISNUMBER(SEARCH("上",D2413)),ISNUMBER(SEARCH("去",D2413)),ISNUMBER(SEARCH("入",D2413)))),"Ambiguous",IF(ISNUMBER(SEARCH("平",D2413)),"平","仄")))</x:f>
        <x:v>仄</x:v>
      </x:c>
      <x:c r="L2413" s="7" t="str"/>
    </x:row>
    <x:row r="2414">
      <x:c r="A2414" s="5" t="str">
        <x:v>熱</x:v>
      </x:c>
      <x:c r="B2414" s="6" t="str">
        <x:v>入</x:v>
      </x:c>
      <x:c r="C2414" s="6" t="str">
        <x:f>IF(B2414="","Needs decision","Ready")</x:f>
        <x:v>Ready</x:v>
      </x:c>
      <x:c r="D2414" s="6" t="str">
        <x:v>入</x:v>
      </x:c>
      <x:c r="E2414" s="6" t="str">
        <x:v>nyet (D)</x:v>
      </x:c>
      <x:c r="F2414" s="6" t="str">
        <x:v>入聲九屑</x:v>
      </x:c>
      <x:c r="G2414" s="6" t="str">
        <x:v>Pingshui main list, Wikisource-derived DOCX</x:v>
      </x:c>
      <x:c r="H2414" s="6" t="str">
        <x:v>1</x:v>
      </x:c>
      <x:c r="I2414" s="6" t="str"/>
      <x:c r="J2414" s="6" t="str">
        <x:f>IF(B2414="","",IF(AND(ISNUMBER(SEARCH("平",B2414)),OR(ISNUMBER(SEARCH("上",B2414)),ISNUMBER(SEARCH("去",B2414)),ISNUMBER(SEARCH("入",B2414)))),"Ambiguous",IF(ISNUMBER(SEARCH("平",B2414)),"平","仄")))</x:f>
        <x:v>仄</x:v>
      </x:c>
      <x:c r="K2414" s="6" t="str">
        <x:f>IF(D2414="","",IF(AND(ISNUMBER(SEARCH("平",D2414)),OR(ISNUMBER(SEARCH("上",D2414)),ISNUMBER(SEARCH("去",D2414)),ISNUMBER(SEARCH("入",D2414)))),"Ambiguous",IF(ISNUMBER(SEARCH("平",D2414)),"平","仄")))</x:f>
        <x:v>仄</x:v>
      </x:c>
      <x:c r="L2414" s="7" t="str"/>
    </x:row>
    <x:row r="2415">
      <x:c r="A2415" s="5" t="str">
        <x:v>熳</x:v>
      </x:c>
      <x:c r="B2415" s="6" t="str">
        <x:v>去</x:v>
      </x:c>
      <x:c r="C2415" s="6" t="str">
        <x:f>IF(B2415="","Needs decision","Ready")</x:f>
        <x:v>Ready</x:v>
      </x:c>
      <x:c r="D2415" s="6" t="str">
        <x:v>去</x:v>
      </x:c>
      <x:c r="E2415" s="6" t="str"/>
      <x:c r="F2415" s="6" t="str"/>
      <x:c r="G2415" s="6" t="str"/>
      <x:c r="H2415" s="6" t="str">
        <x:v>0</x:v>
      </x:c>
      <x:c r="I2415" s="6" t="str">
        <x:v>User correction 2026-09-08; added manually</x:v>
      </x:c>
      <x:c r="J2415" s="6" t="str">
        <x:f>IF(B2415="","",IF(AND(ISNUMBER(SEARCH("平",B2415)),OR(ISNUMBER(SEARCH("上",B2415)),ISNUMBER(SEARCH("去",B2415)),ISNUMBER(SEARCH("入",B2415)))),"Ambiguous",IF(ISNUMBER(SEARCH("平",B2415)),"平","仄")))</x:f>
        <x:v>仄</x:v>
      </x:c>
      <x:c r="K2415" s="6" t="str">
        <x:f>IF(D2415="","",IF(AND(ISNUMBER(SEARCH("平",D2415)),OR(ISNUMBER(SEARCH("上",D2415)),ISNUMBER(SEARCH("去",D2415)),ISNUMBER(SEARCH("入",D2415)))),"Ambiguous",IF(ISNUMBER(SEARCH("平",D2415)),"平","仄")))</x:f>
        <x:v>仄</x:v>
      </x:c>
      <x:c r="L2415" s="7" t="str">
        <x:v>User correction</x:v>
      </x:c>
    </x:row>
    <x:row r="2416">
      <x:c r="A2416" s="5" t="str">
        <x:v>熸</x:v>
      </x:c>
      <x:c r="B2416" s="6" t="str">
        <x:v>平</x:v>
      </x:c>
      <x:c r="C2416" s="6" t="str">
        <x:f>IF(B2416="","Needs decision","Ready")</x:f>
        <x:v>Ready</x:v>
      </x:c>
      <x:c r="D2416" s="6" t="str">
        <x:v>平</x:v>
      </x:c>
      <x:c r="E2416" s="6" t="str">
        <x:v>tsjem (A)</x:v>
      </x:c>
      <x:c r="F2416" s="6" t="str">
        <x:v>下平聲十四鹽</x:v>
      </x:c>
      <x:c r="G2416" s="6" t="str">
        <x:v>Pingshui main list, Wikisource-derived DOCX</x:v>
      </x:c>
      <x:c r="H2416" s="6" t="str">
        <x:v>1</x:v>
      </x:c>
      <x:c r="I2416" s="6" t="str"/>
      <x:c r="J2416" s="6" t="str">
        <x:f>IF(B2416="","",IF(AND(ISNUMBER(SEARCH("平",B2416)),OR(ISNUMBER(SEARCH("上",B2416)),ISNUMBER(SEARCH("去",B2416)),ISNUMBER(SEARCH("入",B2416)))),"Ambiguous",IF(ISNUMBER(SEARCH("平",B2416)),"平","仄")))</x:f>
        <x:v>平</x:v>
      </x:c>
      <x:c r="K2416" s="6" t="str">
        <x:f>IF(D2416="","",IF(AND(ISNUMBER(SEARCH("平",D2416)),OR(ISNUMBER(SEARCH("上",D2416)),ISNUMBER(SEARCH("去",D2416)),ISNUMBER(SEARCH("入",D2416)))),"Ambiguous",IF(ISNUMBER(SEARCH("平",D2416)),"平","仄")))</x:f>
        <x:v>平</x:v>
      </x:c>
      <x:c r="L2416" s="7" t="str"/>
    </x:row>
    <x:row r="2417">
      <x:c r="A2417" s="5" t="str">
        <x:v>熹</x:v>
      </x:c>
      <x:c r="B2417" s="6" t="str">
        <x:v>平</x:v>
      </x:c>
      <x:c r="C2417" s="6" t="str">
        <x:f>IF(B2417="","Needs decision","Ready")</x:f>
        <x:v>Ready</x:v>
      </x:c>
      <x:c r="D2417" s="6" t="str">
        <x:v>平</x:v>
      </x:c>
      <x:c r="E2417" s="6" t="str">
        <x:v>xi (A)</x:v>
      </x:c>
      <x:c r="F2417" s="6" t="str">
        <x:v>上平聲四支</x:v>
      </x:c>
      <x:c r="G2417" s="6" t="str">
        <x:v>Pingshui main list, Wikisource-derived DOCX</x:v>
      </x:c>
      <x:c r="H2417" s="6" t="str">
        <x:v>1</x:v>
      </x:c>
      <x:c r="I2417" s="6" t="str"/>
      <x:c r="J2417" s="6" t="str">
        <x:f>IF(B2417="","",IF(AND(ISNUMBER(SEARCH("平",B2417)),OR(ISNUMBER(SEARCH("上",B2417)),ISNUMBER(SEARCH("去",B2417)),ISNUMBER(SEARCH("入",B2417)))),"Ambiguous",IF(ISNUMBER(SEARCH("平",B2417)),"平","仄")))</x:f>
        <x:v>平</x:v>
      </x:c>
      <x:c r="K2417" s="6" t="str">
        <x:f>IF(D2417="","",IF(AND(ISNUMBER(SEARCH("平",D2417)),OR(ISNUMBER(SEARCH("上",D2417)),ISNUMBER(SEARCH("去",D2417)),ISNUMBER(SEARCH("入",D2417)))),"Ambiguous",IF(ISNUMBER(SEARCH("平",D2417)),"平","仄")))</x:f>
        <x:v>平</x:v>
      </x:c>
      <x:c r="L2417" s="7" t="str"/>
    </x:row>
    <x:row r="2418">
      <x:c r="A2418" s="5" t="str">
        <x:v>熾</x:v>
      </x:c>
      <x:c r="B2418" s="6" t="str">
        <x:v>去</x:v>
      </x:c>
      <x:c r="C2418" s="6" t="str">
        <x:f>IF(B2418="","Needs decision","Ready")</x:f>
        <x:v>Ready</x:v>
      </x:c>
      <x:c r="D2418" s="6" t="str">
        <x:v>去</x:v>
      </x:c>
      <x:c r="E2418" s="6" t="str">
        <x:v>tsyhiH (C)</x:v>
      </x:c>
      <x:c r="F2418" s="6" t="str">
        <x:v>去聲四寘</x:v>
      </x:c>
      <x:c r="G2418" s="6" t="str">
        <x:v>Pingshui main list, Wikisource-derived DOCX</x:v>
      </x:c>
      <x:c r="H2418" s="6" t="str">
        <x:v>1</x:v>
      </x:c>
      <x:c r="I2418" s="6" t="str"/>
      <x:c r="J2418" s="6" t="str">
        <x:f>IF(B2418="","",IF(AND(ISNUMBER(SEARCH("平",B2418)),OR(ISNUMBER(SEARCH("上",B2418)),ISNUMBER(SEARCH("去",B2418)),ISNUMBER(SEARCH("入",B2418)))),"Ambiguous",IF(ISNUMBER(SEARCH("平",B2418)),"平","仄")))</x:f>
        <x:v>仄</x:v>
      </x:c>
      <x:c r="K2418" s="6" t="str">
        <x:f>IF(D2418="","",IF(AND(ISNUMBER(SEARCH("平",D2418)),OR(ISNUMBER(SEARCH("上",D2418)),ISNUMBER(SEARCH("去",D2418)),ISNUMBER(SEARCH("入",D2418)))),"Ambiguous",IF(ISNUMBER(SEARCH("平",D2418)),"平","仄")))</x:f>
        <x:v>仄</x:v>
      </x:c>
      <x:c r="L2418" s="7" t="str"/>
    </x:row>
    <x:row r="2419">
      <x:c r="A2419" s="5" t="str">
        <x:v>燁</x:v>
      </x:c>
      <x:c r="B2419" s="6" t="str">
        <x:v>入</x:v>
      </x:c>
      <x:c r="C2419" s="6" t="str">
        <x:f>IF(B2419="","Needs decision","Ready")</x:f>
        <x:v>Ready</x:v>
      </x:c>
      <x:c r="D2419" s="6" t="str">
        <x:v>入</x:v>
      </x:c>
      <x:c r="E2419" s="6" t="str">
        <x:v>hip (D); hjep (D)</x:v>
      </x:c>
      <x:c r="F2419" s="6" t="str">
        <x:v>入聲十六葉</x:v>
      </x:c>
      <x:c r="G2419" s="6" t="str">
        <x:v>Pingshui main list, Wikisource-derived DOCX</x:v>
      </x:c>
      <x:c r="H2419" s="6" t="str">
        <x:v>2</x:v>
      </x:c>
      <x:c r="I2419" s="6" t="str"/>
      <x:c r="J2419" s="6" t="str">
        <x:f>IF(B2419="","",IF(AND(ISNUMBER(SEARCH("平",B2419)),OR(ISNUMBER(SEARCH("上",B2419)),ISNUMBER(SEARCH("去",B2419)),ISNUMBER(SEARCH("入",B2419)))),"Ambiguous",IF(ISNUMBER(SEARCH("平",B2419)),"平","仄")))</x:f>
        <x:v>仄</x:v>
      </x:c>
      <x:c r="K2419" s="6" t="str">
        <x:f>IF(D2419="","",IF(AND(ISNUMBER(SEARCH("平",D2419)),OR(ISNUMBER(SEARCH("上",D2419)),ISNUMBER(SEARCH("去",D2419)),ISNUMBER(SEARCH("入",D2419)))),"Ambiguous",IF(ISNUMBER(SEARCH("平",D2419)),"平","仄")))</x:f>
        <x:v>仄</x:v>
      </x:c>
      <x:c r="L2419" s="7" t="str"/>
    </x:row>
    <x:row r="2420">
      <x:c r="A2420" s="5" t="str">
        <x:v>燂</x:v>
      </x:c>
      <x:c r="B2420" s="6" t="str">
        <x:v>平</x:v>
      </x:c>
      <x:c r="C2420" s="6" t="str">
        <x:f>IF(B2420="","Needs decision","Ready")</x:f>
        <x:v>Ready</x:v>
      </x:c>
      <x:c r="D2420" s="6" t="str">
        <x:v>平</x:v>
      </x:c>
      <x:c r="E2420" s="6" t="str">
        <x:v>zjem (A); dom (A)</x:v>
      </x:c>
      <x:c r="F2420" s="6" t="str"/>
      <x:c r="G2420" s="6" t="str"/>
      <x:c r="H2420" s="6" t="str">
        <x:v>2</x:v>
      </x:c>
      <x:c r="I2420" s="6" t="str"/>
      <x:c r="J2420" s="6" t="str">
        <x:f>IF(B2420="","",IF(AND(ISNUMBER(SEARCH("平",B2420)),OR(ISNUMBER(SEARCH("上",B2420)),ISNUMBER(SEARCH("去",B2420)),ISNUMBER(SEARCH("入",B2420)))),"Ambiguous",IF(ISNUMBER(SEARCH("平",B2420)),"平","仄")))</x:f>
        <x:v>平</x:v>
      </x:c>
      <x:c r="K2420" s="6" t="str">
        <x:f>IF(D2420="","",IF(AND(ISNUMBER(SEARCH("平",D2420)),OR(ISNUMBER(SEARCH("上",D2420)),ISNUMBER(SEARCH("去",D2420)),ISNUMBER(SEARCH("入",D2420)))),"Ambiguous",IF(ISNUMBER(SEARCH("平",D2420)),"平","仄")))</x:f>
        <x:v>平</x:v>
      </x:c>
      <x:c r="L2420" s="7" t="str"/>
    </x:row>
    <x:row r="2421">
      <x:c r="A2421" s="5" t="str">
        <x:v>燃</x:v>
      </x:c>
      <x:c r="B2421" s="6" t="str">
        <x:v>平</x:v>
      </x:c>
      <x:c r="C2421" s="6" t="str">
        <x:f>IF(B2421="","Needs decision","Ready")</x:f>
        <x:v>Ready</x:v>
      </x:c>
      <x:c r="D2421" s="6" t="str">
        <x:v>平</x:v>
      </x:c>
      <x:c r="E2421" s="6" t="str">
        <x:v>nyen (A)</x:v>
      </x:c>
      <x:c r="F2421" s="6" t="str"/>
      <x:c r="G2421" s="6" t="str"/>
      <x:c r="H2421" s="6" t="str">
        <x:v>1</x:v>
      </x:c>
      <x:c r="I2421" s="6" t="str"/>
      <x:c r="J2421" s="6" t="str">
        <x:f>IF(B2421="","",IF(AND(ISNUMBER(SEARCH("平",B2421)),OR(ISNUMBER(SEARCH("上",B2421)),ISNUMBER(SEARCH("去",B2421)),ISNUMBER(SEARCH("入",B2421)))),"Ambiguous",IF(ISNUMBER(SEARCH("平",B2421)),"平","仄")))</x:f>
        <x:v>平</x:v>
      </x:c>
      <x:c r="K2421" s="6" t="str">
        <x:f>IF(D2421="","",IF(AND(ISNUMBER(SEARCH("平",D2421)),OR(ISNUMBER(SEARCH("上",D2421)),ISNUMBER(SEARCH("去",D2421)),ISNUMBER(SEARCH("入",D2421)))),"Ambiguous",IF(ISNUMBER(SEARCH("平",D2421)),"平","仄")))</x:f>
        <x:v>平</x:v>
      </x:c>
      <x:c r="L2421" s="7" t="str"/>
    </x:row>
    <x:row r="2422">
      <x:c r="A2422" s="5" t="str">
        <x:v>燄</x:v>
      </x:c>
      <x:c r="B2422" s="6" t="str">
        <x:v>上</x:v>
      </x:c>
      <x:c r="C2422" s="6" t="str">
        <x:f>IF(B2422="","Needs decision","Ready")</x:f>
        <x:v>Ready</x:v>
      </x:c>
      <x:c r="D2422" s="6" t="str">
        <x:v>上</x:v>
      </x:c>
      <x:c r="E2422" s="6" t="str">
        <x:v>yemX [jemʔ] (上)</x:v>
      </x:c>
      <x:c r="F2422" s="6" t="str">
        <x:v>上聲二十八琰</x:v>
      </x:c>
      <x:c r="G2422" s="6" t="str">
        <x:v>Pingshui main list, Wikisource-derived DOCX</x:v>
      </x:c>
      <x:c r="H2422" s="6" t="str">
        <x:v>1</x:v>
      </x:c>
      <x:c r="I2422" s="6" t="str">
        <x:v>Tang 300 gap; frequency 1; provisional from Xun Gong</x:v>
      </x:c>
      <x:c r="J2422" s="6" t="str">
        <x:f>IF(B2422="","",IF(AND(ISNUMBER(SEARCH("平",B2422)),OR(ISNUMBER(SEARCH("上",B2422)),ISNUMBER(SEARCH("去",B2422)),ISNUMBER(SEARCH("入",B2422)))),"Ambiguous",IF(ISNUMBER(SEARCH("平",B2422)),"平","仄")))</x:f>
        <x:v>仄</x:v>
      </x:c>
      <x:c r="K2422" s="6" t="str">
        <x:f>IF(D2422="","",IF(AND(ISNUMBER(SEARCH("平",D2422)),OR(ISNUMBER(SEARCH("上",D2422)),ISNUMBER(SEARCH("去",D2422)),ISNUMBER(SEARCH("入",D2422)))),"Ambiguous",IF(ISNUMBER(SEARCH("平",D2422)),"平","仄")))</x:f>
        <x:v>仄</x:v>
      </x:c>
      <x:c r="L2422" s="7" t="str">
        <x:v>Xun Gong, Tang 300 gap fill</x:v>
      </x:c>
    </x:row>
    <x:row r="2423">
      <x:c r="A2423" s="5" t="str">
        <x:v>燈</x:v>
      </x:c>
      <x:c r="B2423" s="6" t="str">
        <x:v>平</x:v>
      </x:c>
      <x:c r="C2423" s="6" t="str">
        <x:f>IF(B2423="","Needs decision","Ready")</x:f>
        <x:v>Ready</x:v>
      </x:c>
      <x:c r="D2423" s="6" t="str">
        <x:v>平</x:v>
      </x:c>
      <x:c r="E2423" s="6" t="str">
        <x:v>tong (A)</x:v>
      </x:c>
      <x:c r="F2423" s="6" t="str">
        <x:v>下平聲十蒸</x:v>
      </x:c>
      <x:c r="G2423" s="6" t="str">
        <x:v>Pingshui main list, Wikisource-derived DOCX</x:v>
      </x:c>
      <x:c r="H2423" s="6" t="str">
        <x:v>1</x:v>
      </x:c>
      <x:c r="I2423" s="6" t="str"/>
      <x:c r="J2423" s="6" t="str">
        <x:f>IF(B2423="","",IF(AND(ISNUMBER(SEARCH("平",B2423)),OR(ISNUMBER(SEARCH("上",B2423)),ISNUMBER(SEARCH("去",B2423)),ISNUMBER(SEARCH("入",B2423)))),"Ambiguous",IF(ISNUMBER(SEARCH("平",B2423)),"平","仄")))</x:f>
        <x:v>平</x:v>
      </x:c>
      <x:c r="K2423" s="6" t="str">
        <x:f>IF(D2423="","",IF(AND(ISNUMBER(SEARCH("平",D2423)),OR(ISNUMBER(SEARCH("上",D2423)),ISNUMBER(SEARCH("去",D2423)),ISNUMBER(SEARCH("入",D2423)))),"Ambiguous",IF(ISNUMBER(SEARCH("平",D2423)),"平","仄")))</x:f>
        <x:v>平</x:v>
      </x:c>
      <x:c r="L2423" s="7" t="str"/>
    </x:row>
    <x:row r="2424">
      <x:c r="A2424" s="5" t="str">
        <x:v>燎</x:v>
      </x:c>
      <x:c r="B2424" s="6" t="str"/>
      <x:c r="C2424" s="6" t="str">
        <x:f>IF(B2424="","Needs decision","Ready")</x:f>
        <x:v>Needs decision</x:v>
      </x:c>
      <x:c r="D2424" s="6" t="str">
        <x:v>平/上/去</x:v>
      </x:c>
      <x:c r="E2424" s="6" t="str">
        <x:v>ljew [ljew] (平); ljewH [ljewh] (去); ljewX [ljewʔ] (上)</x:v>
      </x:c>
      <x:c r="F2424" s="6" t="str">
        <x:v>下平聲二蕭; 上聲十七篠; 去聲十八嘯</x:v>
      </x:c>
      <x:c r="G2424" s="6" t="str">
        <x:v>Pingshui main list, Wikisource-derived DOCX</x:v>
      </x:c>
      <x:c r="H2424" s="6" t="str">
        <x:v>3</x:v>
      </x:c>
      <x:c r="I2424" s="6" t="str">
        <x:v>Tang 300 gap; frequency 1; ambiguous in Xun Gong</x:v>
      </x:c>
      <x:c r="J2424" s="6" t="str">
        <x:f>IF(B2424="","",IF(AND(ISNUMBER(SEARCH("平",B2424)),OR(ISNUMBER(SEARCH("上",B2424)),ISNUMBER(SEARCH("去",B2424)),ISNUMBER(SEARCH("入",B2424)))),"Ambiguous",IF(ISNUMBER(SEARCH("平",B2424)),"平","仄")))</x:f>
      </x:c>
      <x:c r="K2424" s="6" t="str">
        <x:f>IF(D2424="","",IF(AND(ISNUMBER(SEARCH("平",D2424)),OR(ISNUMBER(SEARCH("上",D2424)),ISNUMBER(SEARCH("去",D2424)),ISNUMBER(SEARCH("入",D2424)))),"Ambiguous",IF(ISNUMBER(SEARCH("平",D2424)),"平","仄")))</x:f>
        <x:v>Ambiguous</x:v>
      </x:c>
      <x:c r="L2424" s="7" t="str">
        <x:v>Xun Gong, Tang 300 gap fill</x:v>
      </x:c>
    </x:row>
    <x:row r="2425">
      <x:c r="A2425" s="5" t="str">
        <x:v>燒</x:v>
      </x:c>
      <x:c r="B2425" s="6" t="str">
        <x:v>平</x:v>
      </x:c>
      <x:c r="C2425" s="6" t="str">
        <x:f>IF(B2425="","Needs decision","Ready")</x:f>
        <x:v>Ready</x:v>
      </x:c>
      <x:c r="D2425" s="6" t="str">
        <x:v>平</x:v>
      </x:c>
      <x:c r="E2425" s="6" t="str">
        <x:v>syew (A)</x:v>
      </x:c>
      <x:c r="F2425" s="6" t="str">
        <x:v>下平聲二蕭; 去聲十八嘯</x:v>
      </x:c>
      <x:c r="G2425" s="6" t="str">
        <x:v>Pingshui main list, Wikisource-derived DOCX</x:v>
      </x:c>
      <x:c r="H2425" s="6" t="str">
        <x:v>1</x:v>
      </x:c>
      <x:c r="I2425" s="6" t="str"/>
      <x:c r="J2425" s="6" t="str">
        <x:f>IF(B2425="","",IF(AND(ISNUMBER(SEARCH("平",B2425)),OR(ISNUMBER(SEARCH("上",B2425)),ISNUMBER(SEARCH("去",B2425)),ISNUMBER(SEARCH("入",B2425)))),"Ambiguous",IF(ISNUMBER(SEARCH("平",B2425)),"平","仄")))</x:f>
        <x:v>平</x:v>
      </x:c>
      <x:c r="K2425" s="6" t="str">
        <x:f>IF(D2425="","",IF(AND(ISNUMBER(SEARCH("平",D2425)),OR(ISNUMBER(SEARCH("上",D2425)),ISNUMBER(SEARCH("去",D2425)),ISNUMBER(SEARCH("入",D2425)))),"Ambiguous",IF(ISNUMBER(SEARCH("平",D2425)),"平","仄")))</x:f>
        <x:v>平</x:v>
      </x:c>
      <x:c r="L2425" s="7" t="str"/>
    </x:row>
    <x:row r="2426">
      <x:c r="A2426" s="5" t="str">
        <x:v>燔</x:v>
      </x:c>
      <x:c r="B2426" s="6" t="str">
        <x:v>平</x:v>
      </x:c>
      <x:c r="C2426" s="6" t="str">
        <x:f>IF(B2426="","Needs decision","Ready")</x:f>
        <x:v>Ready</x:v>
      </x:c>
      <x:c r="D2426" s="6" t="str">
        <x:v>平</x:v>
      </x:c>
      <x:c r="E2426" s="6" t="str">
        <x:v>bjon (A)</x:v>
      </x:c>
      <x:c r="F2426" s="6" t="str">
        <x:v>上平聲十三元</x:v>
      </x:c>
      <x:c r="G2426" s="6" t="str">
        <x:v>Pingshui main list, Wikisource-derived DOCX</x:v>
      </x:c>
      <x:c r="H2426" s="6" t="str">
        <x:v>1</x:v>
      </x:c>
      <x:c r="I2426" s="6" t="str"/>
      <x:c r="J2426" s="6" t="str">
        <x:f>IF(B2426="","",IF(AND(ISNUMBER(SEARCH("平",B2426)),OR(ISNUMBER(SEARCH("上",B2426)),ISNUMBER(SEARCH("去",B2426)),ISNUMBER(SEARCH("入",B2426)))),"Ambiguous",IF(ISNUMBER(SEARCH("平",B2426)),"平","仄")))</x:f>
        <x:v>平</x:v>
      </x:c>
      <x:c r="K2426" s="6" t="str">
        <x:f>IF(D2426="","",IF(AND(ISNUMBER(SEARCH("平",D2426)),OR(ISNUMBER(SEARCH("上",D2426)),ISNUMBER(SEARCH("去",D2426)),ISNUMBER(SEARCH("入",D2426)))),"Ambiguous",IF(ISNUMBER(SEARCH("平",D2426)),"平","仄")))</x:f>
        <x:v>平</x:v>
      </x:c>
      <x:c r="L2426" s="7" t="str"/>
    </x:row>
    <x:row r="2427">
      <x:c r="A2427" s="5" t="str">
        <x:v>燕</x:v>
      </x:c>
      <x:c r="B2427" s="6" t="str">
        <x:v>去</x:v>
      </x:c>
      <x:c r="C2427" s="6" t="str">
        <x:f>IF(B2427="","Needs decision","Ready")</x:f>
        <x:v>Ready</x:v>
      </x:c>
      <x:c r="D2427" s="6" t="str">
        <x:v>去</x:v>
      </x:c>
      <x:c r="E2427" s="6" t="str">
        <x:v>'enH (C)</x:v>
      </x:c>
      <x:c r="F2427" s="6" t="str">
        <x:v>下平聲一先; 去聲十七霰</x:v>
      </x:c>
      <x:c r="G2427" s="6" t="str">
        <x:v>Pingshui main list, Wikisource-derived DOCX</x:v>
      </x:c>
      <x:c r="H2427" s="6" t="str">
        <x:v>1</x:v>
      </x:c>
      <x:c r="I2427" s="6" t="str"/>
      <x:c r="J2427" s="6" t="str">
        <x:f>IF(B2427="","",IF(AND(ISNUMBER(SEARCH("平",B2427)),OR(ISNUMBER(SEARCH("上",B2427)),ISNUMBER(SEARCH("去",B2427)),ISNUMBER(SEARCH("入",B2427)))),"Ambiguous",IF(ISNUMBER(SEARCH("平",B2427)),"平","仄")))</x:f>
        <x:v>仄</x:v>
      </x:c>
      <x:c r="K2427" s="6" t="str">
        <x:f>IF(D2427="","",IF(AND(ISNUMBER(SEARCH("平",D2427)),OR(ISNUMBER(SEARCH("上",D2427)),ISNUMBER(SEARCH("去",D2427)),ISNUMBER(SEARCH("入",D2427)))),"Ambiguous",IF(ISNUMBER(SEARCH("平",D2427)),"平","仄")))</x:f>
        <x:v>仄</x:v>
      </x:c>
      <x:c r="L2427" s="7" t="str"/>
    </x:row>
    <x:row r="2428">
      <x:c r="A2428" s="5" t="str">
        <x:v>營</x:v>
      </x:c>
      <x:c r="B2428" s="6" t="str">
        <x:v>平</x:v>
      </x:c>
      <x:c r="C2428" s="6" t="str">
        <x:f>IF(B2428="","Needs decision","Ready")</x:f>
        <x:v>Ready</x:v>
      </x:c>
      <x:c r="D2428" s="6" t="str">
        <x:v>平</x:v>
      </x:c>
      <x:c r="E2428" s="6" t="str">
        <x:v>yweng (A)</x:v>
      </x:c>
      <x:c r="F2428" s="6" t="str">
        <x:v>下平聲八庚</x:v>
      </x:c>
      <x:c r="G2428" s="6" t="str">
        <x:v>Pingshui main list, Wikisource-derived DOCX</x:v>
      </x:c>
      <x:c r="H2428" s="6" t="str">
        <x:v>1</x:v>
      </x:c>
      <x:c r="I2428" s="6" t="str"/>
      <x:c r="J2428" s="6" t="str">
        <x:f>IF(B2428="","",IF(AND(ISNUMBER(SEARCH("平",B2428)),OR(ISNUMBER(SEARCH("上",B2428)),ISNUMBER(SEARCH("去",B2428)),ISNUMBER(SEARCH("入",B2428)))),"Ambiguous",IF(ISNUMBER(SEARCH("平",B2428)),"平","仄")))</x:f>
        <x:v>平</x:v>
      </x:c>
      <x:c r="K2428" s="6" t="str">
        <x:f>IF(D2428="","",IF(AND(ISNUMBER(SEARCH("平",D2428)),OR(ISNUMBER(SEARCH("上",D2428)),ISNUMBER(SEARCH("去",D2428)),ISNUMBER(SEARCH("入",D2428)))),"Ambiguous",IF(ISNUMBER(SEARCH("平",D2428)),"平","仄")))</x:f>
        <x:v>平</x:v>
      </x:c>
      <x:c r="L2428" s="7" t="str"/>
    </x:row>
    <x:row r="2429">
      <x:c r="A2429" s="5" t="str">
        <x:v>燥</x:v>
      </x:c>
      <x:c r="B2429" s="6" t="str"/>
      <x:c r="C2429" s="6" t="str">
        <x:f>IF(B2429="","Needs decision","Ready")</x:f>
        <x:v>Needs decision</x:v>
      </x:c>
      <x:c r="D2429" s="6" t="str">
        <x:v>上/去</x:v>
      </x:c>
      <x:c r="E2429" s="6" t="str">
        <x:v>sawH (C); sawX (B)</x:v>
      </x:c>
      <x:c r="F2429" s="6" t="str">
        <x:v>上聲十九皓</x:v>
      </x:c>
      <x:c r="G2429" s="6" t="str">
        <x:v>Pingshui main list, Wikisource-derived DOCX</x:v>
      </x:c>
      <x:c r="H2429" s="6" t="str">
        <x:v>2</x:v>
      </x:c>
      <x:c r="I2429" s="6" t="str"/>
      <x:c r="J2429" s="6" t="str">
        <x:f>IF(B2429="","",IF(AND(ISNUMBER(SEARCH("平",B2429)),OR(ISNUMBER(SEARCH("上",B2429)),ISNUMBER(SEARCH("去",B2429)),ISNUMBER(SEARCH("入",B2429)))),"Ambiguous",IF(ISNUMBER(SEARCH("平",B2429)),"平","仄")))</x:f>
      </x:c>
      <x:c r="K2429" s="6" t="str">
        <x:f>IF(D2429="","",IF(AND(ISNUMBER(SEARCH("平",D2429)),OR(ISNUMBER(SEARCH("上",D2429)),ISNUMBER(SEARCH("去",D2429)),ISNUMBER(SEARCH("入",D2429)))),"Ambiguous",IF(ISNUMBER(SEARCH("平",D2429)),"平","仄")))</x:f>
        <x:v>仄</x:v>
      </x:c>
      <x:c r="L2429" s="7" t="str"/>
    </x:row>
    <x:row r="2430">
      <x:c r="A2430" s="5" t="str">
        <x:v>燧</x:v>
      </x:c>
      <x:c r="B2430" s="6" t="str">
        <x:v>去</x:v>
      </x:c>
      <x:c r="C2430" s="6" t="str">
        <x:f>IF(B2430="","Needs decision","Ready")</x:f>
        <x:v>Ready</x:v>
      </x:c>
      <x:c r="D2430" s="6" t="str">
        <x:v>去</x:v>
      </x:c>
      <x:c r="E2430" s="6" t="str"/>
      <x:c r="F2430" s="6" t="str">
        <x:v>去聲四寘</x:v>
      </x:c>
      <x:c r="G2430" s="6" t="str">
        <x:v>Pingshui main list, Wikisource-derived DOCX</x:v>
      </x:c>
      <x:c r="H2430" s="6" t="str"/>
      <x:c r="I2430" s="6" t="str">
        <x:v>Manual user correction/addition</x:v>
      </x:c>
      <x:c r="J2430" s="6" t="str">
        <x:f>IF(B2430="","",IF(AND(ISNUMBER(SEARCH("平",B2430)),OR(ISNUMBER(SEARCH("上",B2430)),ISNUMBER(SEARCH("去",B2430)),ISNUMBER(SEARCH("入",B2430)))),"Ambiguous",IF(ISNUMBER(SEARCH("平",B2430)),"平","仄")))</x:f>
        <x:v>仄</x:v>
      </x:c>
      <x:c r="K2430" s="6" t="str">
        <x:f>IF(D2430="","",IF(AND(ISNUMBER(SEARCH("平",D2430)),OR(ISNUMBER(SEARCH("上",D2430)),ISNUMBER(SEARCH("去",D2430)),ISNUMBER(SEARCH("入",D2430)))),"Ambiguous",IF(ISNUMBER(SEARCH("平",D2430)),"平","仄")))</x:f>
        <x:v>仄</x:v>
      </x:c>
      <x:c r="L2430" s="7" t="str">
        <x:v>manual user correction</x:v>
      </x:c>
    </x:row>
    <x:row r="2431">
      <x:c r="A2431" s="5" t="str">
        <x:v>燭</x:v>
      </x:c>
      <x:c r="B2431" s="6" t="str">
        <x:v>入</x:v>
      </x:c>
      <x:c r="C2431" s="6" t="str">
        <x:f>IF(B2431="","Needs decision","Ready")</x:f>
        <x:v>Ready</x:v>
      </x:c>
      <x:c r="D2431" s="6" t="str">
        <x:v>入</x:v>
      </x:c>
      <x:c r="E2431" s="6" t="str">
        <x:v>tsyowk (D)</x:v>
      </x:c>
      <x:c r="F2431" s="6" t="str">
        <x:v>入聲二沃</x:v>
      </x:c>
      <x:c r="G2431" s="6" t="str">
        <x:v>Pingshui main list, Wikisource-derived DOCX</x:v>
      </x:c>
      <x:c r="H2431" s="6" t="str">
        <x:v>1</x:v>
      </x:c>
      <x:c r="I2431" s="6" t="str"/>
      <x:c r="J2431" s="6" t="str">
        <x:f>IF(B2431="","",IF(AND(ISNUMBER(SEARCH("平",B2431)),OR(ISNUMBER(SEARCH("上",B2431)),ISNUMBER(SEARCH("去",B2431)),ISNUMBER(SEARCH("入",B2431)))),"Ambiguous",IF(ISNUMBER(SEARCH("平",B2431)),"平","仄")))</x:f>
        <x:v>仄</x:v>
      </x:c>
      <x:c r="K2431" s="6" t="str">
        <x:f>IF(D2431="","",IF(AND(ISNUMBER(SEARCH("平",D2431)),OR(ISNUMBER(SEARCH("上",D2431)),ISNUMBER(SEARCH("去",D2431)),ISNUMBER(SEARCH("入",D2431)))),"Ambiguous",IF(ISNUMBER(SEARCH("平",D2431)),"平","仄")))</x:f>
        <x:v>仄</x:v>
      </x:c>
      <x:c r="L2431" s="7" t="str"/>
    </x:row>
    <x:row r="2432">
      <x:c r="A2432" s="5" t="str">
        <x:v>燮</x:v>
      </x:c>
      <x:c r="B2432" s="6" t="str">
        <x:v>入</x:v>
      </x:c>
      <x:c r="C2432" s="6" t="str">
        <x:f>IF(B2432="","Needs decision","Ready")</x:f>
        <x:v>Ready</x:v>
      </x:c>
      <x:c r="D2432" s="6" t="str">
        <x:v>入</x:v>
      </x:c>
      <x:c r="E2432" s="6" t="str">
        <x:v>sep (D)</x:v>
      </x:c>
      <x:c r="F2432" s="6" t="str"/>
      <x:c r="G2432" s="6" t="str"/>
      <x:c r="H2432" s="6" t="str">
        <x:v>1</x:v>
      </x:c>
      <x:c r="I2432" s="6" t="str"/>
      <x:c r="J2432" s="6" t="str">
        <x:f>IF(B2432="","",IF(AND(ISNUMBER(SEARCH("平",B2432)),OR(ISNUMBER(SEARCH("上",B2432)),ISNUMBER(SEARCH("去",B2432)),ISNUMBER(SEARCH("入",B2432)))),"Ambiguous",IF(ISNUMBER(SEARCH("平",B2432)),"平","仄")))</x:f>
        <x:v>仄</x:v>
      </x:c>
      <x:c r="K2432" s="6" t="str">
        <x:f>IF(D2432="","",IF(AND(ISNUMBER(SEARCH("平",D2432)),OR(ISNUMBER(SEARCH("上",D2432)),ISNUMBER(SEARCH("去",D2432)),ISNUMBER(SEARCH("入",D2432)))),"Ambiguous",IF(ISNUMBER(SEARCH("平",D2432)),"平","仄")))</x:f>
        <x:v>仄</x:v>
      </x:c>
      <x:c r="L2432" s="7" t="str"/>
    </x:row>
    <x:row r="2433">
      <x:c r="A2433" s="5" t="str">
        <x:v>燼</x:v>
      </x:c>
      <x:c r="B2433" s="6" t="str">
        <x:v>去</x:v>
      </x:c>
      <x:c r="C2433" s="6" t="str">
        <x:f>IF(B2433="","Needs decision","Ready")</x:f>
        <x:v>Ready</x:v>
      </x:c>
      <x:c r="D2433" s="6" t="str">
        <x:v>去</x:v>
      </x:c>
      <x:c r="E2433" s="6" t="str">
        <x:v>dzinH (C)</x:v>
      </x:c>
      <x:c r="F2433" s="6" t="str">
        <x:v>去聲十二震</x:v>
      </x:c>
      <x:c r="G2433" s="6" t="str">
        <x:v>Pingshui main list, Wikisource-derived DOCX</x:v>
      </x:c>
      <x:c r="H2433" s="6" t="str">
        <x:v>1</x:v>
      </x:c>
      <x:c r="I2433" s="6" t="str"/>
      <x:c r="J2433" s="6" t="str">
        <x:f>IF(B2433="","",IF(AND(ISNUMBER(SEARCH("平",B2433)),OR(ISNUMBER(SEARCH("上",B2433)),ISNUMBER(SEARCH("去",B2433)),ISNUMBER(SEARCH("入",B2433)))),"Ambiguous",IF(ISNUMBER(SEARCH("平",B2433)),"平","仄")))</x:f>
        <x:v>仄</x:v>
      </x:c>
      <x:c r="K2433" s="6" t="str">
        <x:f>IF(D2433="","",IF(AND(ISNUMBER(SEARCH("平",D2433)),OR(ISNUMBER(SEARCH("上",D2433)),ISNUMBER(SEARCH("去",D2433)),ISNUMBER(SEARCH("入",D2433)))),"Ambiguous",IF(ISNUMBER(SEARCH("平",D2433)),"平","仄")))</x:f>
        <x:v>仄</x:v>
      </x:c>
      <x:c r="L2433" s="7" t="str"/>
    </x:row>
    <x:row r="2434">
      <x:c r="A2434" s="5" t="str">
        <x:v>燿</x:v>
      </x:c>
      <x:c r="B2434" s="6" t="str">
        <x:v>去</x:v>
      </x:c>
      <x:c r="C2434" s="6" t="str">
        <x:f>IF(B2434="","Needs decision","Ready")</x:f>
        <x:v>Ready</x:v>
      </x:c>
      <x:c r="D2434" s="6" t="str">
        <x:v>去</x:v>
      </x:c>
      <x:c r="E2434" s="6" t="str">
        <x:v>yewH (C)</x:v>
      </x:c>
      <x:c r="F2434" s="6" t="str">
        <x:v>去聲十八嘯</x:v>
      </x:c>
      <x:c r="G2434" s="6" t="str">
        <x:v>Pingshui main list, Wikisource-derived DOCX</x:v>
      </x:c>
      <x:c r="H2434" s="6" t="str">
        <x:v>1</x:v>
      </x:c>
      <x:c r="I2434" s="6" t="str"/>
      <x:c r="J2434" s="6" t="str">
        <x:f>IF(B2434="","",IF(AND(ISNUMBER(SEARCH("平",B2434)),OR(ISNUMBER(SEARCH("上",B2434)),ISNUMBER(SEARCH("去",B2434)),ISNUMBER(SEARCH("入",B2434)))),"Ambiguous",IF(ISNUMBER(SEARCH("平",B2434)),"平","仄")))</x:f>
        <x:v>仄</x:v>
      </x:c>
      <x:c r="K2434" s="6" t="str">
        <x:f>IF(D2434="","",IF(AND(ISNUMBER(SEARCH("平",D2434)),OR(ISNUMBER(SEARCH("上",D2434)),ISNUMBER(SEARCH("去",D2434)),ISNUMBER(SEARCH("入",D2434)))),"Ambiguous",IF(ISNUMBER(SEARCH("平",D2434)),"平","仄")))</x:f>
        <x:v>仄</x:v>
      </x:c>
      <x:c r="L2434" s="7" t="str"/>
    </x:row>
    <x:row r="2435">
      <x:c r="A2435" s="5" t="str">
        <x:v>爆</x:v>
      </x:c>
      <x:c r="B2435" s="6" t="str">
        <x:v>去</x:v>
      </x:c>
      <x:c r="C2435" s="6" t="str">
        <x:f>IF(B2435="","Needs decision","Ready")</x:f>
        <x:v>Ready</x:v>
      </x:c>
      <x:c r="D2435" s="6" t="str">
        <x:v>去</x:v>
      </x:c>
      <x:c r="E2435" s="6" t="str">
        <x:v>paewH (C)</x:v>
      </x:c>
      <x:c r="F2435" s="6" t="str">
        <x:v>去聲十九效; 入聲三覺</x:v>
      </x:c>
      <x:c r="G2435" s="6" t="str">
        <x:v>Pingshui main list, Wikisource-derived DOCX</x:v>
      </x:c>
      <x:c r="H2435" s="6" t="str">
        <x:v>1</x:v>
      </x:c>
      <x:c r="I2435" s="6" t="str"/>
      <x:c r="J2435" s="6" t="str">
        <x:f>IF(B2435="","",IF(AND(ISNUMBER(SEARCH("平",B2435)),OR(ISNUMBER(SEARCH("上",B2435)),ISNUMBER(SEARCH("去",B2435)),ISNUMBER(SEARCH("入",B2435)))),"Ambiguous",IF(ISNUMBER(SEARCH("平",B2435)),"平","仄")))</x:f>
        <x:v>仄</x:v>
      </x:c>
      <x:c r="K2435" s="6" t="str">
        <x:f>IF(D2435="","",IF(AND(ISNUMBER(SEARCH("平",D2435)),OR(ISNUMBER(SEARCH("上",D2435)),ISNUMBER(SEARCH("去",D2435)),ISNUMBER(SEARCH("入",D2435)))),"Ambiguous",IF(ISNUMBER(SEARCH("平",D2435)),"平","仄")))</x:f>
        <x:v>仄</x:v>
      </x:c>
      <x:c r="L2435" s="7" t="str"/>
    </x:row>
    <x:row r="2436">
      <x:c r="A2436" s="5" t="str">
        <x:v>爇</x:v>
      </x:c>
      <x:c r="B2436" s="6" t="str">
        <x:v>入</x:v>
      </x:c>
      <x:c r="C2436" s="6" t="str">
        <x:f>IF(B2436="","Needs decision","Ready")</x:f>
        <x:v>Ready</x:v>
      </x:c>
      <x:c r="D2436" s="6" t="str">
        <x:v>入</x:v>
      </x:c>
      <x:c r="E2436" s="6" t="str">
        <x:v>nywet (D)</x:v>
      </x:c>
      <x:c r="F2436" s="6" t="str">
        <x:v>入聲九屑</x:v>
      </x:c>
      <x:c r="G2436" s="6" t="str">
        <x:v>Pingshui main list, Wikisource-derived DOCX</x:v>
      </x:c>
      <x:c r="H2436" s="6" t="str">
        <x:v>1</x:v>
      </x:c>
      <x:c r="I2436" s="6" t="str"/>
      <x:c r="J2436" s="6" t="str">
        <x:f>IF(B2436="","",IF(AND(ISNUMBER(SEARCH("平",B2436)),OR(ISNUMBER(SEARCH("上",B2436)),ISNUMBER(SEARCH("去",B2436)),ISNUMBER(SEARCH("入",B2436)))),"Ambiguous",IF(ISNUMBER(SEARCH("平",B2436)),"平","仄")))</x:f>
        <x:v>仄</x:v>
      </x:c>
      <x:c r="K2436" s="6" t="str">
        <x:f>IF(D2436="","",IF(AND(ISNUMBER(SEARCH("平",D2436)),OR(ISNUMBER(SEARCH("上",D2436)),ISNUMBER(SEARCH("去",D2436)),ISNUMBER(SEARCH("入",D2436)))),"Ambiguous",IF(ISNUMBER(SEARCH("平",D2436)),"平","仄")))</x:f>
        <x:v>仄</x:v>
      </x:c>
      <x:c r="L2436" s="7" t="str"/>
    </x:row>
    <x:row r="2437">
      <x:c r="A2437" s="5" t="str">
        <x:v>爍</x:v>
      </x:c>
      <x:c r="B2437" s="6" t="str">
        <x:v>入</x:v>
      </x:c>
      <x:c r="C2437" s="6" t="str">
        <x:f>IF(B2437="","Needs decision","Ready")</x:f>
        <x:v>Ready</x:v>
      </x:c>
      <x:c r="D2437" s="6" t="str">
        <x:v>入</x:v>
      </x:c>
      <x:c r="E2437" s="6" t="str">
        <x:v>syak (D)</x:v>
      </x:c>
      <x:c r="F2437" s="6" t="str">
        <x:v>入聲十藥</x:v>
      </x:c>
      <x:c r="G2437" s="6" t="str">
        <x:v>Pingshui main list, Wikisource-derived DOCX</x:v>
      </x:c>
      <x:c r="H2437" s="6" t="str">
        <x:v>1</x:v>
      </x:c>
      <x:c r="I2437" s="6" t="str"/>
      <x:c r="J2437" s="6" t="str">
        <x:f>IF(B2437="","",IF(AND(ISNUMBER(SEARCH("平",B2437)),OR(ISNUMBER(SEARCH("上",B2437)),ISNUMBER(SEARCH("去",B2437)),ISNUMBER(SEARCH("入",B2437)))),"Ambiguous",IF(ISNUMBER(SEARCH("平",B2437)),"平","仄")))</x:f>
        <x:v>仄</x:v>
      </x:c>
      <x:c r="K2437" s="6" t="str">
        <x:f>IF(D2437="","",IF(AND(ISNUMBER(SEARCH("平",D2437)),OR(ISNUMBER(SEARCH("上",D2437)),ISNUMBER(SEARCH("去",D2437)),ISNUMBER(SEARCH("入",D2437)))),"Ambiguous",IF(ISNUMBER(SEARCH("平",D2437)),"平","仄")))</x:f>
        <x:v>仄</x:v>
      </x:c>
      <x:c r="L2437" s="7" t="str"/>
    </x:row>
    <x:row r="2438">
      <x:c r="A2438" s="5" t="str">
        <x:v>爐</x:v>
      </x:c>
      <x:c r="B2438" s="6" t="str">
        <x:v>平</x:v>
      </x:c>
      <x:c r="C2438" s="6" t="str">
        <x:f>IF(B2438="","Needs decision","Ready")</x:f>
        <x:v>Ready</x:v>
      </x:c>
      <x:c r="D2438" s="6" t="str">
        <x:v>平</x:v>
      </x:c>
      <x:c r="E2438" s="6" t="str">
        <x:v>lu (A)</x:v>
      </x:c>
      <x:c r="F2438" s="6" t="str"/>
      <x:c r="G2438" s="6" t="str"/>
      <x:c r="H2438" s="6" t="str">
        <x:v>1</x:v>
      </x:c>
      <x:c r="I2438" s="6" t="str"/>
      <x:c r="J2438" s="6" t="str">
        <x:f>IF(B2438="","",IF(AND(ISNUMBER(SEARCH("平",B2438)),OR(ISNUMBER(SEARCH("上",B2438)),ISNUMBER(SEARCH("去",B2438)),ISNUMBER(SEARCH("入",B2438)))),"Ambiguous",IF(ISNUMBER(SEARCH("平",B2438)),"平","仄")))</x:f>
        <x:v>平</x:v>
      </x:c>
      <x:c r="K2438" s="6" t="str">
        <x:f>IF(D2438="","",IF(AND(ISNUMBER(SEARCH("平",D2438)),OR(ISNUMBER(SEARCH("上",D2438)),ISNUMBER(SEARCH("去",D2438)),ISNUMBER(SEARCH("入",D2438)))),"Ambiguous",IF(ISNUMBER(SEARCH("平",D2438)),"平","仄")))</x:f>
        <x:v>平</x:v>
      </x:c>
      <x:c r="L2438" s="7" t="str"/>
    </x:row>
    <x:row r="2439">
      <x:c r="A2439" s="5" t="str">
        <x:v>爓</x:v>
      </x:c>
      <x:c r="B2439" s="6" t="str"/>
      <x:c r="C2439" s="6" t="str">
        <x:f>IF(B2439="","Needs decision","Ready")</x:f>
        <x:v>Needs decision</x:v>
      </x:c>
      <x:c r="D2439" s="6" t="str">
        <x:v>平/去</x:v>
      </x:c>
      <x:c r="E2439" s="6" t="str">
        <x:v>zim (A); yemH (C)</x:v>
      </x:c>
      <x:c r="F2439" s="6" t="str">
        <x:v>去聲二十九豔</x:v>
      </x:c>
      <x:c r="G2439" s="6" t="str">
        <x:v>Pingshui main list, Wikisource-derived DOCX</x:v>
      </x:c>
      <x:c r="H2439" s="6" t="str">
        <x:v>2</x:v>
      </x:c>
      <x:c r="I2439" s="6" t="str"/>
      <x:c r="J2439" s="6" t="str">
        <x:f>IF(B2439="","",IF(AND(ISNUMBER(SEARCH("平",B2439)),OR(ISNUMBER(SEARCH("上",B2439)),ISNUMBER(SEARCH("去",B2439)),ISNUMBER(SEARCH("入",B2439)))),"Ambiguous",IF(ISNUMBER(SEARCH("平",B2439)),"平","仄")))</x:f>
      </x:c>
      <x:c r="K2439" s="6" t="str">
        <x:f>IF(D2439="","",IF(AND(ISNUMBER(SEARCH("平",D2439)),OR(ISNUMBER(SEARCH("上",D2439)),ISNUMBER(SEARCH("去",D2439)),ISNUMBER(SEARCH("入",D2439)))),"Ambiguous",IF(ISNUMBER(SEARCH("平",D2439)),"平","仄")))</x:f>
        <x:v>Ambiguous</x:v>
      </x:c>
      <x:c r="L2439" s="7" t="str"/>
    </x:row>
    <x:row r="2440">
      <x:c r="A2440" s="5" t="str">
        <x:v>爗</x:v>
      </x:c>
      <x:c r="B2440" s="6" t="str">
        <x:v>入</x:v>
      </x:c>
      <x:c r="C2440" s="6" t="str">
        <x:f>IF(B2440="","Needs decision","Ready")</x:f>
        <x:v>Ready</x:v>
      </x:c>
      <x:c r="D2440" s="6" t="str">
        <x:v>入</x:v>
      </x:c>
      <x:c r="E2440" s="6" t="str">
        <x:v>hip (D); hjep (D)</x:v>
      </x:c>
      <x:c r="F2440" s="6" t="str"/>
      <x:c r="G2440" s="6" t="str"/>
      <x:c r="H2440" s="6" t="str">
        <x:v>2</x:v>
      </x:c>
      <x:c r="I2440" s="6" t="str"/>
      <x:c r="J2440" s="6" t="str">
        <x:f>IF(B2440="","",IF(AND(ISNUMBER(SEARCH("平",B2440)),OR(ISNUMBER(SEARCH("上",B2440)),ISNUMBER(SEARCH("去",B2440)),ISNUMBER(SEARCH("入",B2440)))),"Ambiguous",IF(ISNUMBER(SEARCH("平",B2440)),"平","仄")))</x:f>
        <x:v>仄</x:v>
      </x:c>
      <x:c r="K2440" s="6" t="str">
        <x:f>IF(D2440="","",IF(AND(ISNUMBER(SEARCH("平",D2440)),OR(ISNUMBER(SEARCH("上",D2440)),ISNUMBER(SEARCH("去",D2440)),ISNUMBER(SEARCH("入",D2440)))),"Ambiguous",IF(ISNUMBER(SEARCH("平",D2440)),"平","仄")))</x:f>
        <x:v>仄</x:v>
      </x:c>
      <x:c r="L2440" s="7" t="str"/>
    </x:row>
    <x:row r="2441">
      <x:c r="A2441" s="5" t="str">
        <x:v>爛</x:v>
      </x:c>
      <x:c r="B2441" s="6" t="str">
        <x:v>去</x:v>
      </x:c>
      <x:c r="C2441" s="6" t="str">
        <x:f>IF(B2441="","Needs decision","Ready")</x:f>
        <x:v>Ready</x:v>
      </x:c>
      <x:c r="D2441" s="6" t="str">
        <x:v>去</x:v>
      </x:c>
      <x:c r="E2441" s="6" t="str">
        <x:v>lanH (C)</x:v>
      </x:c>
      <x:c r="F2441" s="6" t="str">
        <x:v>去聲十五翰</x:v>
      </x:c>
      <x:c r="G2441" s="6" t="str">
        <x:v>Pingshui main list, Wikisource-derived DOCX</x:v>
      </x:c>
      <x:c r="H2441" s="6" t="str">
        <x:v>1</x:v>
      </x:c>
      <x:c r="I2441" s="6" t="str"/>
      <x:c r="J2441" s="6" t="str">
        <x:f>IF(B2441="","",IF(AND(ISNUMBER(SEARCH("平",B2441)),OR(ISNUMBER(SEARCH("上",B2441)),ISNUMBER(SEARCH("去",B2441)),ISNUMBER(SEARCH("入",B2441)))),"Ambiguous",IF(ISNUMBER(SEARCH("平",B2441)),"平","仄")))</x:f>
        <x:v>仄</x:v>
      </x:c>
      <x:c r="K2441" s="6" t="str">
        <x:f>IF(D2441="","",IF(AND(ISNUMBER(SEARCH("平",D2441)),OR(ISNUMBER(SEARCH("上",D2441)),ISNUMBER(SEARCH("去",D2441)),ISNUMBER(SEARCH("入",D2441)))),"Ambiguous",IF(ISNUMBER(SEARCH("平",D2441)),"平","仄")))</x:f>
        <x:v>仄</x:v>
      </x:c>
      <x:c r="L2441" s="7" t="str"/>
    </x:row>
    <x:row r="2442">
      <x:c r="A2442" s="5" t="str">
        <x:v>爤</x:v>
      </x:c>
      <x:c r="B2442" s="6" t="str">
        <x:v>去</x:v>
      </x:c>
      <x:c r="C2442" s="6" t="str">
        <x:f>IF(B2442="","Needs decision","Ready")</x:f>
        <x:v>Ready</x:v>
      </x:c>
      <x:c r="D2442" s="6" t="str">
        <x:v>去</x:v>
      </x:c>
      <x:c r="E2442" s="6" t="str">
        <x:v>lanH (C)</x:v>
      </x:c>
      <x:c r="F2442" s="6" t="str"/>
      <x:c r="G2442" s="6" t="str"/>
      <x:c r="H2442" s="6" t="str">
        <x:v>1</x:v>
      </x:c>
      <x:c r="I2442" s="6" t="str"/>
      <x:c r="J2442" s="6" t="str">
        <x:f>IF(B2442="","",IF(AND(ISNUMBER(SEARCH("平",B2442)),OR(ISNUMBER(SEARCH("上",B2442)),ISNUMBER(SEARCH("去",B2442)),ISNUMBER(SEARCH("入",B2442)))),"Ambiguous",IF(ISNUMBER(SEARCH("平",B2442)),"平","仄")))</x:f>
        <x:v>仄</x:v>
      </x:c>
      <x:c r="K2442" s="6" t="str">
        <x:f>IF(D2442="","",IF(AND(ISNUMBER(SEARCH("平",D2442)),OR(ISNUMBER(SEARCH("上",D2442)),ISNUMBER(SEARCH("去",D2442)),ISNUMBER(SEARCH("入",D2442)))),"Ambiguous",IF(ISNUMBER(SEARCH("平",D2442)),"平","仄")))</x:f>
        <x:v>仄</x:v>
      </x:c>
      <x:c r="L2442" s="7" t="str"/>
    </x:row>
    <x:row r="2443">
      <x:c r="A2443" s="5" t="str">
        <x:v>爪</x:v>
      </x:c>
      <x:c r="B2443" s="6" t="str">
        <x:v>上</x:v>
      </x:c>
      <x:c r="C2443" s="6" t="str">
        <x:f>IF(B2443="","Needs decision","Ready")</x:f>
        <x:v>Ready</x:v>
      </x:c>
      <x:c r="D2443" s="6" t="str">
        <x:v>上</x:v>
      </x:c>
      <x:c r="E2443" s="6" t="str">
        <x:v>tsraewX (B)</x:v>
      </x:c>
      <x:c r="F2443" s="6" t="str">
        <x:v>上聲十八巧</x:v>
      </x:c>
      <x:c r="G2443" s="6" t="str">
        <x:v>Pingshui main list, Wikisource-derived DOCX</x:v>
      </x:c>
      <x:c r="H2443" s="6" t="str">
        <x:v>1</x:v>
      </x:c>
      <x:c r="I2443" s="6" t="str"/>
      <x:c r="J2443" s="6" t="str">
        <x:f>IF(B2443="","",IF(AND(ISNUMBER(SEARCH("平",B2443)),OR(ISNUMBER(SEARCH("上",B2443)),ISNUMBER(SEARCH("去",B2443)),ISNUMBER(SEARCH("入",B2443)))),"Ambiguous",IF(ISNUMBER(SEARCH("平",B2443)),"平","仄")))</x:f>
        <x:v>仄</x:v>
      </x:c>
      <x:c r="K2443" s="6" t="str">
        <x:f>IF(D2443="","",IF(AND(ISNUMBER(SEARCH("平",D2443)),OR(ISNUMBER(SEARCH("上",D2443)),ISNUMBER(SEARCH("去",D2443)),ISNUMBER(SEARCH("入",D2443)))),"Ambiguous",IF(ISNUMBER(SEARCH("平",D2443)),"平","仄")))</x:f>
        <x:v>仄</x:v>
      </x:c>
      <x:c r="L2443" s="7" t="str"/>
    </x:row>
    <x:row r="2444">
      <x:c r="A2444" s="5" t="str">
        <x:v>爬</x:v>
      </x:c>
      <x:c r="B2444" s="6" t="str">
        <x:v>平</x:v>
      </x:c>
      <x:c r="C2444" s="6" t="str">
        <x:f>IF(B2444="","Needs decision","Ready")</x:f>
        <x:v>Ready</x:v>
      </x:c>
      <x:c r="D2444" s="6" t="str">
        <x:v>平</x:v>
      </x:c>
      <x:c r="E2444" s="6" t="str">
        <x:v>bae (A)</x:v>
      </x:c>
      <x:c r="F2444" s="6" t="str">
        <x:v>下平聲六麻</x:v>
      </x:c>
      <x:c r="G2444" s="6" t="str">
        <x:v>Pingshui main list, Wikisource-derived DOCX</x:v>
      </x:c>
      <x:c r="H2444" s="6" t="str">
        <x:v>1</x:v>
      </x:c>
      <x:c r="I2444" s="6" t="str"/>
      <x:c r="J2444" s="6" t="str">
        <x:f>IF(B2444="","",IF(AND(ISNUMBER(SEARCH("平",B2444)),OR(ISNUMBER(SEARCH("上",B2444)),ISNUMBER(SEARCH("去",B2444)),ISNUMBER(SEARCH("入",B2444)))),"Ambiguous",IF(ISNUMBER(SEARCH("平",B2444)),"平","仄")))</x:f>
        <x:v>平</x:v>
      </x:c>
      <x:c r="K2444" s="6" t="str">
        <x:f>IF(D2444="","",IF(AND(ISNUMBER(SEARCH("平",D2444)),OR(ISNUMBER(SEARCH("上",D2444)),ISNUMBER(SEARCH("去",D2444)),ISNUMBER(SEARCH("入",D2444)))),"Ambiguous",IF(ISNUMBER(SEARCH("平",D2444)),"平","仄")))</x:f>
        <x:v>平</x:v>
      </x:c>
      <x:c r="L2444" s="7" t="str"/>
    </x:row>
    <x:row r="2445">
      <x:c r="A2445" s="5" t="str">
        <x:v>爭</x:v>
      </x:c>
      <x:c r="B2445" s="6" t="str">
        <x:v>平</x:v>
      </x:c>
      <x:c r="C2445" s="6" t="str">
        <x:f>IF(B2445="","Needs decision","Ready")</x:f>
        <x:v>Ready</x:v>
      </x:c>
      <x:c r="D2445" s="6" t="str">
        <x:v>平</x:v>
      </x:c>
      <x:c r="E2445" s="6" t="str">
        <x:v>tsreang (A)</x:v>
      </x:c>
      <x:c r="F2445" s="6" t="str">
        <x:v>下平聲八庚</x:v>
      </x:c>
      <x:c r="G2445" s="6" t="str">
        <x:v>Pingshui main list, Wikisource-derived DOCX</x:v>
      </x:c>
      <x:c r="H2445" s="6" t="str">
        <x:v>1</x:v>
      </x:c>
      <x:c r="I2445" s="6" t="str"/>
      <x:c r="J2445" s="6" t="str">
        <x:f>IF(B2445="","",IF(AND(ISNUMBER(SEARCH("平",B2445)),OR(ISNUMBER(SEARCH("上",B2445)),ISNUMBER(SEARCH("去",B2445)),ISNUMBER(SEARCH("入",B2445)))),"Ambiguous",IF(ISNUMBER(SEARCH("平",B2445)),"平","仄")))</x:f>
        <x:v>平</x:v>
      </x:c>
      <x:c r="K2445" s="6" t="str">
        <x:f>IF(D2445="","",IF(AND(ISNUMBER(SEARCH("平",D2445)),OR(ISNUMBER(SEARCH("上",D2445)),ISNUMBER(SEARCH("去",D2445)),ISNUMBER(SEARCH("入",D2445)))),"Ambiguous",IF(ISNUMBER(SEARCH("平",D2445)),"平","仄")))</x:f>
        <x:v>平</x:v>
      </x:c>
      <x:c r="L2445" s="7" t="str"/>
    </x:row>
    <x:row r="2446">
      <x:c r="A2446" s="5" t="str">
        <x:v>爰</x:v>
      </x:c>
      <x:c r="B2446" s="6" t="str">
        <x:v>平</x:v>
      </x:c>
      <x:c r="C2446" s="6" t="str">
        <x:f>IF(B2446="","Needs decision","Ready")</x:f>
        <x:v>Ready</x:v>
      </x:c>
      <x:c r="D2446" s="6" t="str">
        <x:v>平</x:v>
      </x:c>
      <x:c r="E2446" s="6" t="str">
        <x:v>hjwon (A)</x:v>
      </x:c>
      <x:c r="F2446" s="6" t="str">
        <x:v>上平聲十三元</x:v>
      </x:c>
      <x:c r="G2446" s="6" t="str">
        <x:v>Pingshui main list, Wikisource-derived DOCX</x:v>
      </x:c>
      <x:c r="H2446" s="6" t="str">
        <x:v>1</x:v>
      </x:c>
      <x:c r="I2446" s="6" t="str"/>
      <x:c r="J2446" s="6" t="str">
        <x:f>IF(B2446="","",IF(AND(ISNUMBER(SEARCH("平",B2446)),OR(ISNUMBER(SEARCH("上",B2446)),ISNUMBER(SEARCH("去",B2446)),ISNUMBER(SEARCH("入",B2446)))),"Ambiguous",IF(ISNUMBER(SEARCH("平",B2446)),"平","仄")))</x:f>
        <x:v>平</x:v>
      </x:c>
      <x:c r="K2446" s="6" t="str">
        <x:f>IF(D2446="","",IF(AND(ISNUMBER(SEARCH("平",D2446)),OR(ISNUMBER(SEARCH("上",D2446)),ISNUMBER(SEARCH("去",D2446)),ISNUMBER(SEARCH("入",D2446)))),"Ambiguous",IF(ISNUMBER(SEARCH("平",D2446)),"平","仄")))</x:f>
        <x:v>平</x:v>
      </x:c>
      <x:c r="L2446" s="7" t="str"/>
    </x:row>
    <x:row r="2447">
      <x:c r="A2447" s="5" t="str">
        <x:v>爵</x:v>
      </x:c>
      <x:c r="B2447" s="6" t="str">
        <x:v>入</x:v>
      </x:c>
      <x:c r="C2447" s="6" t="str">
        <x:f>IF(B2447="","Needs decision","Ready")</x:f>
        <x:v>Ready</x:v>
      </x:c>
      <x:c r="D2447" s="6" t="str">
        <x:v>入</x:v>
      </x:c>
      <x:c r="E2447" s="6" t="str">
        <x:v>tsjak (D)</x:v>
      </x:c>
      <x:c r="F2447" s="6" t="str">
        <x:v>入聲十藥</x:v>
      </x:c>
      <x:c r="G2447" s="6" t="str">
        <x:v>Pingshui main list, Wikisource-derived DOCX</x:v>
      </x:c>
      <x:c r="H2447" s="6" t="str">
        <x:v>1</x:v>
      </x:c>
      <x:c r="I2447" s="6" t="str"/>
      <x:c r="J2447" s="6" t="str">
        <x:f>IF(B2447="","",IF(AND(ISNUMBER(SEARCH("平",B2447)),OR(ISNUMBER(SEARCH("上",B2447)),ISNUMBER(SEARCH("去",B2447)),ISNUMBER(SEARCH("入",B2447)))),"Ambiguous",IF(ISNUMBER(SEARCH("平",B2447)),"平","仄")))</x:f>
        <x:v>仄</x:v>
      </x:c>
      <x:c r="K2447" s="6" t="str">
        <x:f>IF(D2447="","",IF(AND(ISNUMBER(SEARCH("平",D2447)),OR(ISNUMBER(SEARCH("上",D2447)),ISNUMBER(SEARCH("去",D2447)),ISNUMBER(SEARCH("入",D2447)))),"Ambiguous",IF(ISNUMBER(SEARCH("平",D2447)),"平","仄")))</x:f>
        <x:v>仄</x:v>
      </x:c>
      <x:c r="L2447" s="7" t="str"/>
    </x:row>
    <x:row r="2448">
      <x:c r="A2448" s="5" t="str">
        <x:v>父</x:v>
      </x:c>
      <x:c r="B2448" s="6" t="str">
        <x:v>上</x:v>
      </x:c>
      <x:c r="C2448" s="6" t="str">
        <x:f>IF(B2448="","Needs decision","Ready")</x:f>
        <x:v>Ready</x:v>
      </x:c>
      <x:c r="D2448" s="6" t="str">
        <x:v>上</x:v>
      </x:c>
      <x:c r="E2448" s="6" t="str">
        <x:v>pjuX (B); bjuX (B)</x:v>
      </x:c>
      <x:c r="F2448" s="6" t="str">
        <x:v>上聲七麌</x:v>
      </x:c>
      <x:c r="G2448" s="6" t="str">
        <x:v>Pingshui main list, Wikisource-derived DOCX</x:v>
      </x:c>
      <x:c r="H2448" s="6" t="str">
        <x:v>2</x:v>
      </x:c>
      <x:c r="I2448" s="6" t="str"/>
      <x:c r="J2448" s="6" t="str">
        <x:f>IF(B2448="","",IF(AND(ISNUMBER(SEARCH("平",B2448)),OR(ISNUMBER(SEARCH("上",B2448)),ISNUMBER(SEARCH("去",B2448)),ISNUMBER(SEARCH("入",B2448)))),"Ambiguous",IF(ISNUMBER(SEARCH("平",B2448)),"平","仄")))</x:f>
        <x:v>仄</x:v>
      </x:c>
      <x:c r="K2448" s="6" t="str">
        <x:f>IF(D2448="","",IF(AND(ISNUMBER(SEARCH("平",D2448)),OR(ISNUMBER(SEARCH("上",D2448)),ISNUMBER(SEARCH("去",D2448)),ISNUMBER(SEARCH("入",D2448)))),"Ambiguous",IF(ISNUMBER(SEARCH("平",D2448)),"平","仄")))</x:f>
        <x:v>仄</x:v>
      </x:c>
      <x:c r="L2448" s="7" t="str"/>
    </x:row>
    <x:row r="2449">
      <x:c r="A2449" s="5" t="str">
        <x:v>爺</x:v>
      </x:c>
      <x:c r="B2449" s="6" t="str">
        <x:v>平</x:v>
      </x:c>
      <x:c r="C2449" s="6" t="str">
        <x:f>IF(B2449="","Needs decision","Ready")</x:f>
        <x:v>Ready</x:v>
      </x:c>
      <x:c r="D2449" s="6" t="str">
        <x:v>平</x:v>
      </x:c>
      <x:c r="E2449" s="6" t="str"/>
      <x:c r="F2449" s="6" t="str">
        <x:v>下平聲六麻</x:v>
      </x:c>
      <x:c r="G2449" s="6" t="str">
        <x:v>Pingshui main list, Wikisource-derived DOCX</x:v>
      </x:c>
      <x:c r="H2449" s="6" t="str"/>
      <x:c r="I2449" s="6" t="str">
        <x:v>Manual user correction/addition</x:v>
      </x:c>
      <x:c r="J2449" s="6" t="str">
        <x:f>IF(B2449="","",IF(AND(ISNUMBER(SEARCH("平",B2449)),OR(ISNUMBER(SEARCH("上",B2449)),ISNUMBER(SEARCH("去",B2449)),ISNUMBER(SEARCH("入",B2449)))),"Ambiguous",IF(ISNUMBER(SEARCH("平",B2449)),"平","仄")))</x:f>
        <x:v>平</x:v>
      </x:c>
      <x:c r="K2449" s="6" t="str">
        <x:f>IF(D2449="","",IF(AND(ISNUMBER(SEARCH("平",D2449)),OR(ISNUMBER(SEARCH("上",D2449)),ISNUMBER(SEARCH("去",D2449)),ISNUMBER(SEARCH("入",D2449)))),"Ambiguous",IF(ISNUMBER(SEARCH("平",D2449)),"平","仄")))</x:f>
        <x:v>平</x:v>
      </x:c>
      <x:c r="L2449" s="7" t="str">
        <x:v>manual user correction</x:v>
      </x:c>
    </x:row>
    <x:row r="2450">
      <x:c r="A2450" s="5" t="str">
        <x:v>爻</x:v>
      </x:c>
      <x:c r="B2450" s="6" t="str">
        <x:v>平</x:v>
      </x:c>
      <x:c r="C2450" s="6" t="str">
        <x:f>IF(B2450="","Needs decision","Ready")</x:f>
        <x:v>Ready</x:v>
      </x:c>
      <x:c r="D2450" s="6" t="str">
        <x:v>平</x:v>
      </x:c>
      <x:c r="E2450" s="6" t="str">
        <x:v>haew (A)</x:v>
      </x:c>
      <x:c r="F2450" s="6" t="str">
        <x:v>下平聲三肴</x:v>
      </x:c>
      <x:c r="G2450" s="6" t="str">
        <x:v>Pingshui main list, Wikisource-derived DOCX</x:v>
      </x:c>
      <x:c r="H2450" s="6" t="str">
        <x:v>1</x:v>
      </x:c>
      <x:c r="I2450" s="6" t="str"/>
      <x:c r="J2450" s="6" t="str">
        <x:f>IF(B2450="","",IF(AND(ISNUMBER(SEARCH("平",B2450)),OR(ISNUMBER(SEARCH("上",B2450)),ISNUMBER(SEARCH("去",B2450)),ISNUMBER(SEARCH("入",B2450)))),"Ambiguous",IF(ISNUMBER(SEARCH("平",B2450)),"平","仄")))</x:f>
        <x:v>平</x:v>
      </x:c>
      <x:c r="K2450" s="6" t="str">
        <x:f>IF(D2450="","",IF(AND(ISNUMBER(SEARCH("平",D2450)),OR(ISNUMBER(SEARCH("上",D2450)),ISNUMBER(SEARCH("去",D2450)),ISNUMBER(SEARCH("入",D2450)))),"Ambiguous",IF(ISNUMBER(SEARCH("平",D2450)),"平","仄")))</x:f>
        <x:v>平</x:v>
      </x:c>
      <x:c r="L2450" s="7" t="str"/>
    </x:row>
    <x:row r="2451">
      <x:c r="A2451" s="5" t="str">
        <x:v>爽</x:v>
      </x:c>
      <x:c r="B2451" s="6" t="str">
        <x:v>上</x:v>
      </x:c>
      <x:c r="C2451" s="6" t="str">
        <x:f>IF(B2451="","Needs decision","Ready")</x:f>
        <x:v>Ready</x:v>
      </x:c>
      <x:c r="D2451" s="6" t="str">
        <x:v>上</x:v>
      </x:c>
      <x:c r="E2451" s="6" t="str"/>
      <x:c r="F2451" s="6" t="str">
        <x:v>上聲二十二養</x:v>
      </x:c>
      <x:c r="G2451" s="6" t="str">
        <x:v>Pingshui main list, Wikisource-derived DOCX</x:v>
      </x:c>
      <x:c r="H2451" s="6" t="str"/>
      <x:c r="I2451" s="6" t="str">
        <x:v>Manual user correction/addition</x:v>
      </x:c>
      <x:c r="J2451" s="6" t="str">
        <x:f>IF(B2451="","",IF(AND(ISNUMBER(SEARCH("平",B2451)),OR(ISNUMBER(SEARCH("上",B2451)),ISNUMBER(SEARCH("去",B2451)),ISNUMBER(SEARCH("入",B2451)))),"Ambiguous",IF(ISNUMBER(SEARCH("平",B2451)),"平","仄")))</x:f>
        <x:v>仄</x:v>
      </x:c>
      <x:c r="K2451" s="6" t="str">
        <x:f>IF(D2451="","",IF(AND(ISNUMBER(SEARCH("平",D2451)),OR(ISNUMBER(SEARCH("上",D2451)),ISNUMBER(SEARCH("去",D2451)),ISNUMBER(SEARCH("入",D2451)))),"Ambiguous",IF(ISNUMBER(SEARCH("平",D2451)),"平","仄")))</x:f>
        <x:v>仄</x:v>
      </x:c>
      <x:c r="L2451" s="7" t="str">
        <x:v>manual user correction</x:v>
      </x:c>
    </x:row>
    <x:row r="2452">
      <x:c r="A2452" s="5" t="str">
        <x:v>爾</x:v>
      </x:c>
      <x:c r="B2452" s="6" t="str">
        <x:v>上</x:v>
      </x:c>
      <x:c r="C2452" s="6" t="str">
        <x:f>IF(B2452="","Needs decision","Ready")</x:f>
        <x:v>Ready</x:v>
      </x:c>
      <x:c r="D2452" s="6" t="str">
        <x:v>上</x:v>
      </x:c>
      <x:c r="E2452" s="6" t="str">
        <x:v>nejX (B); nyeX (B)</x:v>
      </x:c>
      <x:c r="F2452" s="6" t="str">
        <x:v>上聲四紙</x:v>
      </x:c>
      <x:c r="G2452" s="6" t="str">
        <x:v>Pingshui main list, Wikisource-derived DOCX</x:v>
      </x:c>
      <x:c r="H2452" s="6" t="str">
        <x:v>2</x:v>
      </x:c>
      <x:c r="I2452" s="6" t="str"/>
      <x:c r="J2452" s="6" t="str">
        <x:f>IF(B2452="","",IF(AND(ISNUMBER(SEARCH("平",B2452)),OR(ISNUMBER(SEARCH("上",B2452)),ISNUMBER(SEARCH("去",B2452)),ISNUMBER(SEARCH("入",B2452)))),"Ambiguous",IF(ISNUMBER(SEARCH("平",B2452)),"平","仄")))</x:f>
        <x:v>仄</x:v>
      </x:c>
      <x:c r="K2452" s="6" t="str">
        <x:f>IF(D2452="","",IF(AND(ISNUMBER(SEARCH("平",D2452)),OR(ISNUMBER(SEARCH("上",D2452)),ISNUMBER(SEARCH("去",D2452)),ISNUMBER(SEARCH("入",D2452)))),"Ambiguous",IF(ISNUMBER(SEARCH("平",D2452)),"平","仄")))</x:f>
        <x:v>仄</x:v>
      </x:c>
      <x:c r="L2452" s="7" t="str"/>
    </x:row>
    <x:row r="2453">
      <x:c r="A2453" s="5" t="str">
        <x:v>牀</x:v>
      </x:c>
      <x:c r="B2453" s="6" t="str">
        <x:v>平</x:v>
      </x:c>
      <x:c r="C2453" s="6" t="str">
        <x:f>IF(B2453="","Needs decision","Ready")</x:f>
        <x:v>Ready</x:v>
      </x:c>
      <x:c r="D2453" s="6" t="str">
        <x:v>平</x:v>
      </x:c>
      <x:c r="E2453" s="6" t="str">
        <x:v>dzrjang (A)</x:v>
      </x:c>
      <x:c r="F2453" s="6" t="str"/>
      <x:c r="G2453" s="6" t="str"/>
      <x:c r="H2453" s="6" t="str">
        <x:v>1</x:v>
      </x:c>
      <x:c r="I2453" s="6" t="str"/>
      <x:c r="J2453" s="6" t="str">
        <x:f>IF(B2453="","",IF(AND(ISNUMBER(SEARCH("平",B2453)),OR(ISNUMBER(SEARCH("上",B2453)),ISNUMBER(SEARCH("去",B2453)),ISNUMBER(SEARCH("入",B2453)))),"Ambiguous",IF(ISNUMBER(SEARCH("平",B2453)),"平","仄")))</x:f>
        <x:v>平</x:v>
      </x:c>
      <x:c r="K2453" s="6" t="str">
        <x:f>IF(D2453="","",IF(AND(ISNUMBER(SEARCH("平",D2453)),OR(ISNUMBER(SEARCH("上",D2453)),ISNUMBER(SEARCH("去",D2453)),ISNUMBER(SEARCH("入",D2453)))),"Ambiguous",IF(ISNUMBER(SEARCH("平",D2453)),"平","仄")))</x:f>
        <x:v>平</x:v>
      </x:c>
      <x:c r="L2453" s="7" t="str"/>
    </x:row>
    <x:row r="2454">
      <x:c r="A2454" s="5" t="str">
        <x:v>牆</x:v>
      </x:c>
      <x:c r="B2454" s="6" t="str">
        <x:v>平</x:v>
      </x:c>
      <x:c r="C2454" s="6" t="str">
        <x:f>IF(B2454="","Needs decision","Ready")</x:f>
        <x:v>Ready</x:v>
      </x:c>
      <x:c r="D2454" s="6" t="str">
        <x:v>平</x:v>
      </x:c>
      <x:c r="E2454" s="6" t="str"/>
      <x:c r="F2454" s="6" t="str">
        <x:v>下平聲七陽</x:v>
      </x:c>
      <x:c r="G2454" s="6" t="str">
        <x:v>Pingshui main list, Wikisource-derived DOCX</x:v>
      </x:c>
      <x:c r="H2454" s="6" t="str"/>
      <x:c r="I2454" s="6" t="str">
        <x:v>Manual user correction/addition</x:v>
      </x:c>
      <x:c r="J2454" s="6" t="str">
        <x:f>IF(B2454="","",IF(AND(ISNUMBER(SEARCH("平",B2454)),OR(ISNUMBER(SEARCH("上",B2454)),ISNUMBER(SEARCH("去",B2454)),ISNUMBER(SEARCH("入",B2454)))),"Ambiguous",IF(ISNUMBER(SEARCH("平",B2454)),"平","仄")))</x:f>
        <x:v>平</x:v>
      </x:c>
      <x:c r="K2454" s="6" t="str">
        <x:f>IF(D2454="","",IF(AND(ISNUMBER(SEARCH("平",D2454)),OR(ISNUMBER(SEARCH("上",D2454)),ISNUMBER(SEARCH("去",D2454)),ISNUMBER(SEARCH("入",D2454)))),"Ambiguous",IF(ISNUMBER(SEARCH("平",D2454)),"平","仄")))</x:f>
        <x:v>平</x:v>
      </x:c>
      <x:c r="L2454" s="7" t="str">
        <x:v>manual user correction</x:v>
      </x:c>
    </x:row>
    <x:row r="2455">
      <x:c r="A2455" s="5" t="str">
        <x:v>片</x:v>
      </x:c>
      <x:c r="B2455" s="6" t="str">
        <x:v>去</x:v>
      </x:c>
      <x:c r="C2455" s="6" t="str">
        <x:f>IF(B2455="","Needs decision","Ready")</x:f>
        <x:v>Ready</x:v>
      </x:c>
      <x:c r="D2455" s="6" t="str">
        <x:v>去</x:v>
      </x:c>
      <x:c r="E2455" s="6" t="str">
        <x:v>phenH (C)</x:v>
      </x:c>
      <x:c r="F2455" s="6" t="str">
        <x:v>去聲十七霰</x:v>
      </x:c>
      <x:c r="G2455" s="6" t="str">
        <x:v>Pingshui main list, Wikisource-derived DOCX</x:v>
      </x:c>
      <x:c r="H2455" s="6" t="str">
        <x:v>1</x:v>
      </x:c>
      <x:c r="I2455" s="6" t="str"/>
      <x:c r="J2455" s="6" t="str">
        <x:f>IF(B2455="","",IF(AND(ISNUMBER(SEARCH("平",B2455)),OR(ISNUMBER(SEARCH("上",B2455)),ISNUMBER(SEARCH("去",B2455)),ISNUMBER(SEARCH("入",B2455)))),"Ambiguous",IF(ISNUMBER(SEARCH("平",B2455)),"平","仄")))</x:f>
        <x:v>仄</x:v>
      </x:c>
      <x:c r="K2455" s="6" t="str">
        <x:f>IF(D2455="","",IF(AND(ISNUMBER(SEARCH("平",D2455)),OR(ISNUMBER(SEARCH("上",D2455)),ISNUMBER(SEARCH("去",D2455)),ISNUMBER(SEARCH("入",D2455)))),"Ambiguous",IF(ISNUMBER(SEARCH("平",D2455)),"平","仄")))</x:f>
        <x:v>仄</x:v>
      </x:c>
      <x:c r="L2455" s="7" t="str"/>
    </x:row>
    <x:row r="2456">
      <x:c r="A2456" s="5" t="str">
        <x:v>牖</x:v>
      </x:c>
      <x:c r="B2456" s="6" t="str">
        <x:v>上</x:v>
      </x:c>
      <x:c r="C2456" s="6" t="str">
        <x:f>IF(B2456="","Needs decision","Ready")</x:f>
        <x:v>Ready</x:v>
      </x:c>
      <x:c r="D2456" s="6" t="str">
        <x:v>上</x:v>
      </x:c>
      <x:c r="E2456" s="6" t="str">
        <x:v>yuwX (B)</x:v>
      </x:c>
      <x:c r="F2456" s="6" t="str">
        <x:v>上聲二十五有</x:v>
      </x:c>
      <x:c r="G2456" s="6" t="str">
        <x:v>Pingshui main list, Wikisource-derived DOCX</x:v>
      </x:c>
      <x:c r="H2456" s="6" t="str">
        <x:v>1</x:v>
      </x:c>
      <x:c r="I2456" s="6" t="str"/>
      <x:c r="J2456" s="6" t="str">
        <x:f>IF(B2456="","",IF(AND(ISNUMBER(SEARCH("平",B2456)),OR(ISNUMBER(SEARCH("上",B2456)),ISNUMBER(SEARCH("去",B2456)),ISNUMBER(SEARCH("入",B2456)))),"Ambiguous",IF(ISNUMBER(SEARCH("平",B2456)),"平","仄")))</x:f>
        <x:v>仄</x:v>
      </x:c>
      <x:c r="K2456" s="6" t="str">
        <x:f>IF(D2456="","",IF(AND(ISNUMBER(SEARCH("平",D2456)),OR(ISNUMBER(SEARCH("上",D2456)),ISNUMBER(SEARCH("去",D2456)),ISNUMBER(SEARCH("入",D2456)))),"Ambiguous",IF(ISNUMBER(SEARCH("平",D2456)),"平","仄")))</x:f>
        <x:v>仄</x:v>
      </x:c>
      <x:c r="L2456" s="7" t="str"/>
    </x:row>
    <x:row r="2457">
      <x:c r="A2457" s="5" t="str">
        <x:v>牘</x:v>
      </x:c>
      <x:c r="B2457" s="6" t="str">
        <x:v>入</x:v>
      </x:c>
      <x:c r="C2457" s="6" t="str">
        <x:f>IF(B2457="","Needs decision","Ready")</x:f>
        <x:v>Ready</x:v>
      </x:c>
      <x:c r="D2457" s="6" t="str">
        <x:v>入</x:v>
      </x:c>
      <x:c r="E2457" s="6" t="str">
        <x:v>duwk (D)</x:v>
      </x:c>
      <x:c r="F2457" s="6" t="str">
        <x:v>入聲一屋</x:v>
      </x:c>
      <x:c r="G2457" s="6" t="str">
        <x:v>Pingshui main list, Wikisource-derived DOCX</x:v>
      </x:c>
      <x:c r="H2457" s="6" t="str">
        <x:v>1</x:v>
      </x:c>
      <x:c r="I2457" s="6" t="str"/>
      <x:c r="J2457" s="6" t="str">
        <x:f>IF(B2457="","",IF(AND(ISNUMBER(SEARCH("平",B2457)),OR(ISNUMBER(SEARCH("上",B2457)),ISNUMBER(SEARCH("去",B2457)),ISNUMBER(SEARCH("入",B2457)))),"Ambiguous",IF(ISNUMBER(SEARCH("平",B2457)),"平","仄")))</x:f>
        <x:v>仄</x:v>
      </x:c>
      <x:c r="K2457" s="6" t="str">
        <x:f>IF(D2457="","",IF(AND(ISNUMBER(SEARCH("平",D2457)),OR(ISNUMBER(SEARCH("上",D2457)),ISNUMBER(SEARCH("去",D2457)),ISNUMBER(SEARCH("入",D2457)))),"Ambiguous",IF(ISNUMBER(SEARCH("平",D2457)),"平","仄")))</x:f>
        <x:v>仄</x:v>
      </x:c>
      <x:c r="L2457" s="7" t="str"/>
    </x:row>
    <x:row r="2458">
      <x:c r="A2458" s="5" t="str">
        <x:v>牙</x:v>
      </x:c>
      <x:c r="B2458" s="6" t="str">
        <x:v>平</x:v>
      </x:c>
      <x:c r="C2458" s="6" t="str">
        <x:f>IF(B2458="","Needs decision","Ready")</x:f>
        <x:v>Ready</x:v>
      </x:c>
      <x:c r="D2458" s="6" t="str">
        <x:v>平</x:v>
      </x:c>
      <x:c r="E2458" s="6" t="str">
        <x:v>ngae (A)</x:v>
      </x:c>
      <x:c r="F2458" s="6" t="str">
        <x:v>下平聲六麻</x:v>
      </x:c>
      <x:c r="G2458" s="6" t="str">
        <x:v>Pingshui main list, Wikisource-derived DOCX</x:v>
      </x:c>
      <x:c r="H2458" s="6" t="str">
        <x:v>1</x:v>
      </x:c>
      <x:c r="I2458" s="6" t="str"/>
      <x:c r="J2458" s="6" t="str">
        <x:f>IF(B2458="","",IF(AND(ISNUMBER(SEARCH("平",B2458)),OR(ISNUMBER(SEARCH("上",B2458)),ISNUMBER(SEARCH("去",B2458)),ISNUMBER(SEARCH("入",B2458)))),"Ambiguous",IF(ISNUMBER(SEARCH("平",B2458)),"平","仄")))</x:f>
        <x:v>平</x:v>
      </x:c>
      <x:c r="K2458" s="6" t="str">
        <x:f>IF(D2458="","",IF(AND(ISNUMBER(SEARCH("平",D2458)),OR(ISNUMBER(SEARCH("上",D2458)),ISNUMBER(SEARCH("去",D2458)),ISNUMBER(SEARCH("入",D2458)))),"Ambiguous",IF(ISNUMBER(SEARCH("平",D2458)),"平","仄")))</x:f>
        <x:v>平</x:v>
      </x:c>
      <x:c r="L2458" s="7" t="str"/>
    </x:row>
    <x:row r="2459">
      <x:c r="A2459" s="5" t="str">
        <x:v>牛</x:v>
      </x:c>
      <x:c r="B2459" s="6" t="str">
        <x:v>平</x:v>
      </x:c>
      <x:c r="C2459" s="6" t="str">
        <x:f>IF(B2459="","Needs decision","Ready")</x:f>
        <x:v>Ready</x:v>
      </x:c>
      <x:c r="D2459" s="6" t="str">
        <x:v>平</x:v>
      </x:c>
      <x:c r="E2459" s="6" t="str">
        <x:v>ngjuw (A)</x:v>
      </x:c>
      <x:c r="F2459" s="6" t="str">
        <x:v>下平聲十一尤</x:v>
      </x:c>
      <x:c r="G2459" s="6" t="str">
        <x:v>Pingshui main list, Wikisource-derived DOCX</x:v>
      </x:c>
      <x:c r="H2459" s="6" t="str">
        <x:v>1</x:v>
      </x:c>
      <x:c r="I2459" s="6" t="str"/>
      <x:c r="J2459" s="6" t="str">
        <x:f>IF(B2459="","",IF(AND(ISNUMBER(SEARCH("平",B2459)),OR(ISNUMBER(SEARCH("上",B2459)),ISNUMBER(SEARCH("去",B2459)),ISNUMBER(SEARCH("入",B2459)))),"Ambiguous",IF(ISNUMBER(SEARCH("平",B2459)),"平","仄")))</x:f>
        <x:v>平</x:v>
      </x:c>
      <x:c r="K2459" s="6" t="str">
        <x:f>IF(D2459="","",IF(AND(ISNUMBER(SEARCH("平",D2459)),OR(ISNUMBER(SEARCH("上",D2459)),ISNUMBER(SEARCH("去",D2459)),ISNUMBER(SEARCH("入",D2459)))),"Ambiguous",IF(ISNUMBER(SEARCH("平",D2459)),"平","仄")))</x:f>
        <x:v>平</x:v>
      </x:c>
      <x:c r="L2459" s="7" t="str"/>
    </x:row>
    <x:row r="2460">
      <x:c r="A2460" s="5" t="str">
        <x:v>牝</x:v>
      </x:c>
      <x:c r="B2460" s="6" t="str">
        <x:v>上</x:v>
      </x:c>
      <x:c r="C2460" s="6" t="str">
        <x:f>IF(B2460="","Needs decision","Ready")</x:f>
        <x:v>Ready</x:v>
      </x:c>
      <x:c r="D2460" s="6" t="str">
        <x:v>上</x:v>
      </x:c>
      <x:c r="E2460" s="6" t="str">
        <x:v>bjijX (B); bjinX (B)</x:v>
      </x:c>
      <x:c r="F2460" s="6" t="str">
        <x:v>上聲十一軫</x:v>
      </x:c>
      <x:c r="G2460" s="6" t="str">
        <x:v>Pingshui main list, Wikisource-derived DOCX</x:v>
      </x:c>
      <x:c r="H2460" s="6" t="str">
        <x:v>2</x:v>
      </x:c>
      <x:c r="I2460" s="6" t="str"/>
      <x:c r="J2460" s="6" t="str">
        <x:f>IF(B2460="","",IF(AND(ISNUMBER(SEARCH("平",B2460)),OR(ISNUMBER(SEARCH("上",B2460)),ISNUMBER(SEARCH("去",B2460)),ISNUMBER(SEARCH("入",B2460)))),"Ambiguous",IF(ISNUMBER(SEARCH("平",B2460)),"平","仄")))</x:f>
        <x:v>仄</x:v>
      </x:c>
      <x:c r="K2460" s="6" t="str">
        <x:f>IF(D2460="","",IF(AND(ISNUMBER(SEARCH("平",D2460)),OR(ISNUMBER(SEARCH("上",D2460)),ISNUMBER(SEARCH("去",D2460)),ISNUMBER(SEARCH("入",D2460)))),"Ambiguous",IF(ISNUMBER(SEARCH("平",D2460)),"平","仄")))</x:f>
        <x:v>仄</x:v>
      </x:c>
      <x:c r="L2460" s="7" t="str"/>
    </x:row>
    <x:row r="2461">
      <x:c r="A2461" s="5" t="str">
        <x:v>牡</x:v>
      </x:c>
      <x:c r="B2461" s="6" t="str">
        <x:v>上</x:v>
      </x:c>
      <x:c r="C2461" s="6" t="str">
        <x:f>IF(B2461="","Needs decision","Ready")</x:f>
        <x:v>Ready</x:v>
      </x:c>
      <x:c r="D2461" s="6" t="str">
        <x:v>上</x:v>
      </x:c>
      <x:c r="E2461" s="6" t="str">
        <x:v>muwX (B)</x:v>
      </x:c>
      <x:c r="F2461" s="6" t="str">
        <x:v>上聲二十五有</x:v>
      </x:c>
      <x:c r="G2461" s="6" t="str">
        <x:v>Pingshui main list, Wikisource-derived DOCX</x:v>
      </x:c>
      <x:c r="H2461" s="6" t="str">
        <x:v>1</x:v>
      </x:c>
      <x:c r="I2461" s="6" t="str"/>
      <x:c r="J2461" s="6" t="str">
        <x:f>IF(B2461="","",IF(AND(ISNUMBER(SEARCH("平",B2461)),OR(ISNUMBER(SEARCH("上",B2461)),ISNUMBER(SEARCH("去",B2461)),ISNUMBER(SEARCH("入",B2461)))),"Ambiguous",IF(ISNUMBER(SEARCH("平",B2461)),"平","仄")))</x:f>
        <x:v>仄</x:v>
      </x:c>
      <x:c r="K2461" s="6" t="str">
        <x:f>IF(D2461="","",IF(AND(ISNUMBER(SEARCH("平",D2461)),OR(ISNUMBER(SEARCH("上",D2461)),ISNUMBER(SEARCH("去",D2461)),ISNUMBER(SEARCH("入",D2461)))),"Ambiguous",IF(ISNUMBER(SEARCH("平",D2461)),"平","仄")))</x:f>
        <x:v>仄</x:v>
      </x:c>
      <x:c r="L2461" s="7" t="str"/>
    </x:row>
    <x:row r="2462">
      <x:c r="A2462" s="5" t="str">
        <x:v>牢</x:v>
      </x:c>
      <x:c r="B2462" s="6" t="str">
        <x:v>平</x:v>
      </x:c>
      <x:c r="C2462" s="6" t="str">
        <x:f>IF(B2462="","Needs decision","Ready")</x:f>
        <x:v>Ready</x:v>
      </x:c>
      <x:c r="D2462" s="6" t="str">
        <x:v>平</x:v>
      </x:c>
      <x:c r="E2462" s="6" t="str"/>
      <x:c r="F2462" s="6" t="str">
        <x:v>下平聲四豪</x:v>
      </x:c>
      <x:c r="G2462" s="6" t="str">
        <x:v>Pingshui main list, Wikisource-derived DOCX</x:v>
      </x:c>
      <x:c r="H2462" s="6" t="str"/>
      <x:c r="I2462" s="6" t="str">
        <x:v>Manual user correction/addition</x:v>
      </x:c>
      <x:c r="J2462" s="6" t="str">
        <x:f>IF(B2462="","",IF(AND(ISNUMBER(SEARCH("平",B2462)),OR(ISNUMBER(SEARCH("上",B2462)),ISNUMBER(SEARCH("去",B2462)),ISNUMBER(SEARCH("入",B2462)))),"Ambiguous",IF(ISNUMBER(SEARCH("平",B2462)),"平","仄")))</x:f>
        <x:v>平</x:v>
      </x:c>
      <x:c r="K2462" s="6" t="str">
        <x:f>IF(D2462="","",IF(AND(ISNUMBER(SEARCH("平",D2462)),OR(ISNUMBER(SEARCH("上",D2462)),ISNUMBER(SEARCH("去",D2462)),ISNUMBER(SEARCH("入",D2462)))),"Ambiguous",IF(ISNUMBER(SEARCH("平",D2462)),"平","仄")))</x:f>
        <x:v>平</x:v>
      </x:c>
      <x:c r="L2462" s="7" t="str">
        <x:v>manual user correction</x:v>
      </x:c>
    </x:row>
    <x:row r="2463">
      <x:c r="A2463" s="5" t="str">
        <x:v>牧</x:v>
      </x:c>
      <x:c r="B2463" s="6" t="str">
        <x:v>入</x:v>
      </x:c>
      <x:c r="C2463" s="6" t="str">
        <x:f>IF(B2463="","Needs decision","Ready")</x:f>
        <x:v>Ready</x:v>
      </x:c>
      <x:c r="D2463" s="6" t="str">
        <x:v>入</x:v>
      </x:c>
      <x:c r="E2463" s="6" t="str">
        <x:v>mjuwk (D)</x:v>
      </x:c>
      <x:c r="F2463" s="6" t="str">
        <x:v>入聲一屋</x:v>
      </x:c>
      <x:c r="G2463" s="6" t="str">
        <x:v>Pingshui main list, Wikisource-derived DOCX</x:v>
      </x:c>
      <x:c r="H2463" s="6" t="str">
        <x:v>1</x:v>
      </x:c>
      <x:c r="I2463" s="6" t="str"/>
      <x:c r="J2463" s="6" t="str">
        <x:f>IF(B2463="","",IF(AND(ISNUMBER(SEARCH("平",B2463)),OR(ISNUMBER(SEARCH("上",B2463)),ISNUMBER(SEARCH("去",B2463)),ISNUMBER(SEARCH("入",B2463)))),"Ambiguous",IF(ISNUMBER(SEARCH("平",B2463)),"平","仄")))</x:f>
        <x:v>仄</x:v>
      </x:c>
      <x:c r="K2463" s="6" t="str">
        <x:f>IF(D2463="","",IF(AND(ISNUMBER(SEARCH("平",D2463)),OR(ISNUMBER(SEARCH("上",D2463)),ISNUMBER(SEARCH("去",D2463)),ISNUMBER(SEARCH("入",D2463)))),"Ambiguous",IF(ISNUMBER(SEARCH("平",D2463)),"平","仄")))</x:f>
        <x:v>仄</x:v>
      </x:c>
      <x:c r="L2463" s="7" t="str"/>
    </x:row>
    <x:row r="2464">
      <x:c r="A2464" s="5" t="str">
        <x:v>物</x:v>
      </x:c>
      <x:c r="B2464" s="6" t="str">
        <x:v>入</x:v>
      </x:c>
      <x:c r="C2464" s="6" t="str">
        <x:f>IF(B2464="","Needs decision","Ready")</x:f>
        <x:v>Ready</x:v>
      </x:c>
      <x:c r="D2464" s="6" t="str">
        <x:v>入</x:v>
      </x:c>
      <x:c r="E2464" s="6" t="str">
        <x:v>mjut (D)</x:v>
      </x:c>
      <x:c r="F2464" s="6" t="str">
        <x:v>入聲五物</x:v>
      </x:c>
      <x:c r="G2464" s="6" t="str">
        <x:v>Pingshui main list, Wikisource-derived DOCX</x:v>
      </x:c>
      <x:c r="H2464" s="6" t="str">
        <x:v>1</x:v>
      </x:c>
      <x:c r="I2464" s="6" t="str"/>
      <x:c r="J2464" s="6" t="str">
        <x:f>IF(B2464="","",IF(AND(ISNUMBER(SEARCH("平",B2464)),OR(ISNUMBER(SEARCH("上",B2464)),ISNUMBER(SEARCH("去",B2464)),ISNUMBER(SEARCH("入",B2464)))),"Ambiguous",IF(ISNUMBER(SEARCH("平",B2464)),"平","仄")))</x:f>
        <x:v>仄</x:v>
      </x:c>
      <x:c r="K2464" s="6" t="str">
        <x:f>IF(D2464="","",IF(AND(ISNUMBER(SEARCH("平",D2464)),OR(ISNUMBER(SEARCH("上",D2464)),ISNUMBER(SEARCH("去",D2464)),ISNUMBER(SEARCH("入",D2464)))),"Ambiguous",IF(ISNUMBER(SEARCH("平",D2464)),"平","仄")))</x:f>
        <x:v>仄</x:v>
      </x:c>
      <x:c r="L2464" s="7" t="str"/>
    </x:row>
    <x:row r="2465">
      <x:c r="A2465" s="5" t="str">
        <x:v>牯</x:v>
      </x:c>
      <x:c r="B2465" s="6" t="str">
        <x:v>上</x:v>
      </x:c>
      <x:c r="C2465" s="6" t="str">
        <x:f>IF(B2465="","Needs decision","Ready")</x:f>
        <x:v>Ready</x:v>
      </x:c>
      <x:c r="D2465" s="6" t="str">
        <x:v>上</x:v>
      </x:c>
      <x:c r="E2465" s="6" t="str">
        <x:v>kuX (B)</x:v>
      </x:c>
      <x:c r="F2465" s="6" t="str">
        <x:v>上聲七麌</x:v>
      </x:c>
      <x:c r="G2465" s="6" t="str">
        <x:v>Pingshui main list, Wikisource-derived DOCX</x:v>
      </x:c>
      <x:c r="H2465" s="6" t="str">
        <x:v>1</x:v>
      </x:c>
      <x:c r="I2465" s="6" t="str"/>
      <x:c r="J2465" s="6" t="str">
        <x:f>IF(B2465="","",IF(AND(ISNUMBER(SEARCH("平",B2465)),OR(ISNUMBER(SEARCH("上",B2465)),ISNUMBER(SEARCH("去",B2465)),ISNUMBER(SEARCH("入",B2465)))),"Ambiguous",IF(ISNUMBER(SEARCH("平",B2465)),"平","仄")))</x:f>
        <x:v>仄</x:v>
      </x:c>
      <x:c r="K2465" s="6" t="str">
        <x:f>IF(D2465="","",IF(AND(ISNUMBER(SEARCH("平",D2465)),OR(ISNUMBER(SEARCH("上",D2465)),ISNUMBER(SEARCH("去",D2465)),ISNUMBER(SEARCH("入",D2465)))),"Ambiguous",IF(ISNUMBER(SEARCH("平",D2465)),"平","仄")))</x:f>
        <x:v>仄</x:v>
      </x:c>
      <x:c r="L2465" s="7" t="str"/>
    </x:row>
    <x:row r="2466">
      <x:c r="A2466" s="5" t="str">
        <x:v>特</x:v>
      </x:c>
      <x:c r="B2466" s="6" t="str">
        <x:v>入</x:v>
      </x:c>
      <x:c r="C2466" s="6" t="str">
        <x:f>IF(B2466="","Needs decision","Ready")</x:f>
        <x:v>Ready</x:v>
      </x:c>
      <x:c r="D2466" s="6" t="str">
        <x:v>入</x:v>
      </x:c>
      <x:c r="E2466" s="6" t="str">
        <x:v>dok (D)</x:v>
      </x:c>
      <x:c r="F2466" s="6" t="str">
        <x:v>入聲十三職</x:v>
      </x:c>
      <x:c r="G2466" s="6" t="str">
        <x:v>Pingshui main list, Wikisource-derived DOCX</x:v>
      </x:c>
      <x:c r="H2466" s="6" t="str">
        <x:v>1</x:v>
      </x:c>
      <x:c r="I2466" s="6" t="str"/>
      <x:c r="J2466" s="6" t="str">
        <x:f>IF(B2466="","",IF(AND(ISNUMBER(SEARCH("平",B2466)),OR(ISNUMBER(SEARCH("上",B2466)),ISNUMBER(SEARCH("去",B2466)),ISNUMBER(SEARCH("入",B2466)))),"Ambiguous",IF(ISNUMBER(SEARCH("平",B2466)),"平","仄")))</x:f>
        <x:v>仄</x:v>
      </x:c>
      <x:c r="K2466" s="6" t="str">
        <x:f>IF(D2466="","",IF(AND(ISNUMBER(SEARCH("平",D2466)),OR(ISNUMBER(SEARCH("上",D2466)),ISNUMBER(SEARCH("去",D2466)),ISNUMBER(SEARCH("入",D2466)))),"Ambiguous",IF(ISNUMBER(SEARCH("平",D2466)),"平","仄")))</x:f>
        <x:v>仄</x:v>
      </x:c>
      <x:c r="L2466" s="7" t="str"/>
    </x:row>
    <x:row r="2467">
      <x:c r="A2467" s="5" t="str">
        <x:v>牼</x:v>
      </x:c>
      <x:c r="B2467" s="6" t="str">
        <x:v>平</x:v>
      </x:c>
      <x:c r="C2467" s="6" t="str">
        <x:f>IF(B2467="","Needs decision","Ready")</x:f>
        <x:v>Ready</x:v>
      </x:c>
      <x:c r="D2467" s="6" t="str">
        <x:v>平</x:v>
      </x:c>
      <x:c r="E2467" s="6" t="str">
        <x:v>heang (A); kheang (A)</x:v>
      </x:c>
      <x:c r="F2467" s="6" t="str">
        <x:v>下平聲八庚</x:v>
      </x:c>
      <x:c r="G2467" s="6" t="str">
        <x:v>Pingshui main list, Wikisource-derived DOCX</x:v>
      </x:c>
      <x:c r="H2467" s="6" t="str">
        <x:v>2</x:v>
      </x:c>
      <x:c r="I2467" s="6" t="str"/>
      <x:c r="J2467" s="6" t="str">
        <x:f>IF(B2467="","",IF(AND(ISNUMBER(SEARCH("平",B2467)),OR(ISNUMBER(SEARCH("上",B2467)),ISNUMBER(SEARCH("去",B2467)),ISNUMBER(SEARCH("入",B2467)))),"Ambiguous",IF(ISNUMBER(SEARCH("平",B2467)),"平","仄")))</x:f>
        <x:v>平</x:v>
      </x:c>
      <x:c r="K2467" s="6" t="str">
        <x:f>IF(D2467="","",IF(AND(ISNUMBER(SEARCH("平",D2467)),OR(ISNUMBER(SEARCH("上",D2467)),ISNUMBER(SEARCH("去",D2467)),ISNUMBER(SEARCH("入",D2467)))),"Ambiguous",IF(ISNUMBER(SEARCH("平",D2467)),"平","仄")))</x:f>
        <x:v>平</x:v>
      </x:c>
      <x:c r="L2467" s="7" t="str"/>
    </x:row>
    <x:row r="2468">
      <x:c r="A2468" s="5" t="str">
        <x:v>牽</x:v>
      </x:c>
      <x:c r="B2468" s="6" t="str">
        <x:v>平</x:v>
      </x:c>
      <x:c r="C2468" s="6" t="str">
        <x:f>IF(B2468="","Needs decision","Ready")</x:f>
        <x:v>Ready</x:v>
      </x:c>
      <x:c r="D2468" s="6" t="str">
        <x:v>平</x:v>
      </x:c>
      <x:c r="E2468" s="6" t="str">
        <x:v>khen (A)</x:v>
      </x:c>
      <x:c r="F2468" s="6" t="str">
        <x:v>下平聲一先; 去聲十七霰</x:v>
      </x:c>
      <x:c r="G2468" s="6" t="str">
        <x:v>Pingshui main list, Wikisource-derived DOCX</x:v>
      </x:c>
      <x:c r="H2468" s="6" t="str">
        <x:v>1</x:v>
      </x:c>
      <x:c r="I2468" s="6" t="str"/>
      <x:c r="J2468" s="6" t="str">
        <x:f>IF(B2468="","",IF(AND(ISNUMBER(SEARCH("平",B2468)),OR(ISNUMBER(SEARCH("上",B2468)),ISNUMBER(SEARCH("去",B2468)),ISNUMBER(SEARCH("入",B2468)))),"Ambiguous",IF(ISNUMBER(SEARCH("平",B2468)),"平","仄")))</x:f>
        <x:v>平</x:v>
      </x:c>
      <x:c r="K2468" s="6" t="str">
        <x:f>IF(D2468="","",IF(AND(ISNUMBER(SEARCH("平",D2468)),OR(ISNUMBER(SEARCH("上",D2468)),ISNUMBER(SEARCH("去",D2468)),ISNUMBER(SEARCH("入",D2468)))),"Ambiguous",IF(ISNUMBER(SEARCH("平",D2468)),"平","仄")))</x:f>
        <x:v>平</x:v>
      </x:c>
      <x:c r="L2468" s="7" t="str"/>
    </x:row>
    <x:row r="2469">
      <x:c r="A2469" s="5" t="str">
        <x:v>犀</x:v>
      </x:c>
      <x:c r="B2469" s="6" t="str">
        <x:v>平</x:v>
      </x:c>
      <x:c r="C2469" s="6" t="str">
        <x:f>IF(B2469="","Needs decision","Ready")</x:f>
        <x:v>Ready</x:v>
      </x:c>
      <x:c r="D2469" s="6" t="str">
        <x:v>平</x:v>
      </x:c>
      <x:c r="E2469" s="6" t="str">
        <x:v>sej (A)</x:v>
      </x:c>
      <x:c r="F2469" s="6" t="str">
        <x:v>上平聲八齊</x:v>
      </x:c>
      <x:c r="G2469" s="6" t="str">
        <x:v>Pingshui main list, Wikisource-derived DOCX</x:v>
      </x:c>
      <x:c r="H2469" s="6" t="str">
        <x:v>1</x:v>
      </x:c>
      <x:c r="I2469" s="6" t="str"/>
      <x:c r="J2469" s="6" t="str">
        <x:f>IF(B2469="","",IF(AND(ISNUMBER(SEARCH("平",B2469)),OR(ISNUMBER(SEARCH("上",B2469)),ISNUMBER(SEARCH("去",B2469)),ISNUMBER(SEARCH("入",B2469)))),"Ambiguous",IF(ISNUMBER(SEARCH("平",B2469)),"平","仄")))</x:f>
        <x:v>平</x:v>
      </x:c>
      <x:c r="K2469" s="6" t="str">
        <x:f>IF(D2469="","",IF(AND(ISNUMBER(SEARCH("平",D2469)),OR(ISNUMBER(SEARCH("上",D2469)),ISNUMBER(SEARCH("去",D2469)),ISNUMBER(SEARCH("入",D2469)))),"Ambiguous",IF(ISNUMBER(SEARCH("平",D2469)),"平","仄")))</x:f>
        <x:v>平</x:v>
      </x:c>
      <x:c r="L2469" s="7" t="str"/>
    </x:row>
    <x:row r="2470">
      <x:c r="A2470" s="5" t="str">
        <x:v>犁</x:v>
      </x:c>
      <x:c r="B2470" s="6" t="str">
        <x:v>平</x:v>
      </x:c>
      <x:c r="C2470" s="6" t="str">
        <x:f>IF(B2470="","Needs decision","Ready")</x:f>
        <x:v>Ready</x:v>
      </x:c>
      <x:c r="D2470" s="6" t="str">
        <x:v>平</x:v>
      </x:c>
      <x:c r="E2470" s="6" t="str">
        <x:v>lej (A); lij (A)</x:v>
      </x:c>
      <x:c r="F2470" s="6" t="str"/>
      <x:c r="G2470" s="6" t="str"/>
      <x:c r="H2470" s="6" t="str">
        <x:v>2</x:v>
      </x:c>
      <x:c r="I2470" s="6" t="str"/>
      <x:c r="J2470" s="6" t="str">
        <x:f>IF(B2470="","",IF(AND(ISNUMBER(SEARCH("平",B2470)),OR(ISNUMBER(SEARCH("上",B2470)),ISNUMBER(SEARCH("去",B2470)),ISNUMBER(SEARCH("入",B2470)))),"Ambiguous",IF(ISNUMBER(SEARCH("平",B2470)),"平","仄")))</x:f>
        <x:v>平</x:v>
      </x:c>
      <x:c r="K2470" s="6" t="str">
        <x:f>IF(D2470="","",IF(AND(ISNUMBER(SEARCH("平",D2470)),OR(ISNUMBER(SEARCH("上",D2470)),ISNUMBER(SEARCH("去",D2470)),ISNUMBER(SEARCH("入",D2470)))),"Ambiguous",IF(ISNUMBER(SEARCH("平",D2470)),"平","仄")))</x:f>
        <x:v>平</x:v>
      </x:c>
      <x:c r="L2470" s="7" t="str"/>
    </x:row>
    <x:row r="2471">
      <x:c r="A2471" s="5" t="str">
        <x:v>犆</x:v>
      </x:c>
      <x:c r="B2471" s="6" t="str">
        <x:v>入</x:v>
      </x:c>
      <x:c r="C2471" s="6" t="str">
        <x:f>IF(B2471="","Needs decision","Ready")</x:f>
        <x:v>Ready</x:v>
      </x:c>
      <x:c r="D2471" s="6" t="str">
        <x:v>入</x:v>
      </x:c>
      <x:c r="E2471" s="6" t="str">
        <x:v>dok (D)</x:v>
      </x:c>
      <x:c r="F2471" s="6" t="str">
        <x:v>入聲十三職</x:v>
      </x:c>
      <x:c r="G2471" s="6" t="str">
        <x:v>Pingshui main list, Wikisource-derived DOCX</x:v>
      </x:c>
      <x:c r="H2471" s="6" t="str">
        <x:v>1</x:v>
      </x:c>
      <x:c r="I2471" s="6" t="str"/>
      <x:c r="J2471" s="6" t="str">
        <x:f>IF(B2471="","",IF(AND(ISNUMBER(SEARCH("平",B2471)),OR(ISNUMBER(SEARCH("上",B2471)),ISNUMBER(SEARCH("去",B2471)),ISNUMBER(SEARCH("入",B2471)))),"Ambiguous",IF(ISNUMBER(SEARCH("平",B2471)),"平","仄")))</x:f>
        <x:v>仄</x:v>
      </x:c>
      <x:c r="K2471" s="6" t="str">
        <x:f>IF(D2471="","",IF(AND(ISNUMBER(SEARCH("平",D2471)),OR(ISNUMBER(SEARCH("上",D2471)),ISNUMBER(SEARCH("去",D2471)),ISNUMBER(SEARCH("入",D2471)))),"Ambiguous",IF(ISNUMBER(SEARCH("平",D2471)),"平","仄")))</x:f>
        <x:v>仄</x:v>
      </x:c>
      <x:c r="L2471" s="7" t="str"/>
    </x:row>
    <x:row r="2472">
      <x:c r="A2472" s="5" t="str">
        <x:v>犒</x:v>
      </x:c>
      <x:c r="B2472" s="6" t="str">
        <x:v>去</x:v>
      </x:c>
      <x:c r="C2472" s="6" t="str">
        <x:f>IF(B2472="","Needs decision","Ready")</x:f>
        <x:v>Ready</x:v>
      </x:c>
      <x:c r="D2472" s="6" t="str">
        <x:v>去</x:v>
      </x:c>
      <x:c r="E2472" s="6" t="str">
        <x:v>khawH (C)</x:v>
      </x:c>
      <x:c r="F2472" s="6" t="str">
        <x:v>去聲二十號</x:v>
      </x:c>
      <x:c r="G2472" s="6" t="str">
        <x:v>Pingshui main list, Wikisource-derived DOCX</x:v>
      </x:c>
      <x:c r="H2472" s="6" t="str">
        <x:v>1</x:v>
      </x:c>
      <x:c r="I2472" s="6" t="str"/>
      <x:c r="J2472" s="6" t="str">
        <x:f>IF(B2472="","",IF(AND(ISNUMBER(SEARCH("平",B2472)),OR(ISNUMBER(SEARCH("上",B2472)),ISNUMBER(SEARCH("去",B2472)),ISNUMBER(SEARCH("入",B2472)))),"Ambiguous",IF(ISNUMBER(SEARCH("平",B2472)),"平","仄")))</x:f>
        <x:v>仄</x:v>
      </x:c>
      <x:c r="K2472" s="6" t="str">
        <x:f>IF(D2472="","",IF(AND(ISNUMBER(SEARCH("平",D2472)),OR(ISNUMBER(SEARCH("上",D2472)),ISNUMBER(SEARCH("去",D2472)),ISNUMBER(SEARCH("入",D2472)))),"Ambiguous",IF(ISNUMBER(SEARCH("平",D2472)),"平","仄")))</x:f>
        <x:v>仄</x:v>
      </x:c>
      <x:c r="L2472" s="7" t="str"/>
    </x:row>
    <x:row r="2473">
      <x:c r="A2473" s="5" t="str">
        <x:v>犖</x:v>
      </x:c>
      <x:c r="B2473" s="6" t="str">
        <x:v>入</x:v>
      </x:c>
      <x:c r="C2473" s="6" t="str">
        <x:f>IF(B2473="","Needs decision","Ready")</x:f>
        <x:v>Ready</x:v>
      </x:c>
      <x:c r="D2473" s="6" t="str">
        <x:v>入</x:v>
      </x:c>
      <x:c r="E2473" s="6" t="str">
        <x:v>laewk [l̙oˤk] (入)</x:v>
      </x:c>
      <x:c r="F2473" s="6" t="str">
        <x:v>入聲三覺</x:v>
      </x:c>
      <x:c r="G2473" s="6" t="str">
        <x:v>Pingshui main list, Wikisource-derived DOCX</x:v>
      </x:c>
      <x:c r="H2473" s="6" t="str">
        <x:v>1</x:v>
      </x:c>
      <x:c r="I2473" s="6" t="str">
        <x:v>Tang 300 gap; frequency 1; provisional from Xun Gong</x:v>
      </x:c>
      <x:c r="J2473" s="6" t="str">
        <x:f>IF(B2473="","",IF(AND(ISNUMBER(SEARCH("平",B2473)),OR(ISNUMBER(SEARCH("上",B2473)),ISNUMBER(SEARCH("去",B2473)),ISNUMBER(SEARCH("入",B2473)))),"Ambiguous",IF(ISNUMBER(SEARCH("平",B2473)),"平","仄")))</x:f>
        <x:v>仄</x:v>
      </x:c>
      <x:c r="K2473" s="6" t="str">
        <x:f>IF(D2473="","",IF(AND(ISNUMBER(SEARCH("平",D2473)),OR(ISNUMBER(SEARCH("上",D2473)),ISNUMBER(SEARCH("去",D2473)),ISNUMBER(SEARCH("入",D2473)))),"Ambiguous",IF(ISNUMBER(SEARCH("平",D2473)),"平","仄")))</x:f>
        <x:v>仄</x:v>
      </x:c>
      <x:c r="L2473" s="7" t="str">
        <x:v>Xun Gong, Tang 300 gap fill</x:v>
      </x:c>
    </x:row>
    <x:row r="2474">
      <x:c r="A2474" s="5" t="str">
        <x:v>犗</x:v>
      </x:c>
      <x:c r="B2474" s="6" t="str">
        <x:v>去</x:v>
      </x:c>
      <x:c r="C2474" s="6" t="str">
        <x:f>IF(B2474="","Needs decision","Ready")</x:f>
        <x:v>Ready</x:v>
      </x:c>
      <x:c r="D2474" s="6" t="str">
        <x:v>去</x:v>
      </x:c>
      <x:c r="E2474" s="6" t="str">
        <x:v>kaejH (C)</x:v>
      </x:c>
      <x:c r="F2474" s="6" t="str">
        <x:v>去聲十卦</x:v>
      </x:c>
      <x:c r="G2474" s="6" t="str">
        <x:v>Pingshui main list, Wikisource-derived DOCX</x:v>
      </x:c>
      <x:c r="H2474" s="6" t="str">
        <x:v>1</x:v>
      </x:c>
      <x:c r="I2474" s="6" t="str"/>
      <x:c r="J2474" s="6" t="str">
        <x:f>IF(B2474="","",IF(AND(ISNUMBER(SEARCH("平",B2474)),OR(ISNUMBER(SEARCH("上",B2474)),ISNUMBER(SEARCH("去",B2474)),ISNUMBER(SEARCH("入",B2474)))),"Ambiguous",IF(ISNUMBER(SEARCH("平",B2474)),"平","仄")))</x:f>
        <x:v>仄</x:v>
      </x:c>
      <x:c r="K2474" s="6" t="str">
        <x:f>IF(D2474="","",IF(AND(ISNUMBER(SEARCH("平",D2474)),OR(ISNUMBER(SEARCH("上",D2474)),ISNUMBER(SEARCH("去",D2474)),ISNUMBER(SEARCH("入",D2474)))),"Ambiguous",IF(ISNUMBER(SEARCH("平",D2474)),"平","仄")))</x:f>
        <x:v>仄</x:v>
      </x:c>
      <x:c r="L2474" s="7" t="str"/>
    </x:row>
    <x:row r="2475">
      <x:c r="A2475" s="5" t="str">
        <x:v>犢</x:v>
      </x:c>
      <x:c r="B2475" s="6" t="str">
        <x:v>入</x:v>
      </x:c>
      <x:c r="C2475" s="6" t="str">
        <x:f>IF(B2475="","Needs decision","Ready")</x:f>
        <x:v>Ready</x:v>
      </x:c>
      <x:c r="D2475" s="6" t="str">
        <x:v>入</x:v>
      </x:c>
      <x:c r="E2475" s="6" t="str">
        <x:v>duwk (D)</x:v>
      </x:c>
      <x:c r="F2475" s="6" t="str">
        <x:v>入聲一屋</x:v>
      </x:c>
      <x:c r="G2475" s="6" t="str">
        <x:v>Pingshui main list, Wikisource-derived DOCX</x:v>
      </x:c>
      <x:c r="H2475" s="6" t="str">
        <x:v>1</x:v>
      </x:c>
      <x:c r="I2475" s="6" t="str"/>
      <x:c r="J2475" s="6" t="str">
        <x:f>IF(B2475="","",IF(AND(ISNUMBER(SEARCH("平",B2475)),OR(ISNUMBER(SEARCH("上",B2475)),ISNUMBER(SEARCH("去",B2475)),ISNUMBER(SEARCH("入",B2475)))),"Ambiguous",IF(ISNUMBER(SEARCH("平",B2475)),"平","仄")))</x:f>
        <x:v>仄</x:v>
      </x:c>
      <x:c r="K2475" s="6" t="str">
        <x:f>IF(D2475="","",IF(AND(ISNUMBER(SEARCH("平",D2475)),OR(ISNUMBER(SEARCH("上",D2475)),ISNUMBER(SEARCH("去",D2475)),ISNUMBER(SEARCH("入",D2475)))),"Ambiguous",IF(ISNUMBER(SEARCH("平",D2475)),"平","仄")))</x:f>
        <x:v>仄</x:v>
      </x:c>
      <x:c r="L2475" s="7" t="str"/>
    </x:row>
    <x:row r="2476">
      <x:c r="A2476" s="5" t="str">
        <x:v>犧</x:v>
      </x:c>
      <x:c r="B2476" s="6" t="str">
        <x:v>平</x:v>
      </x:c>
      <x:c r="C2476" s="6" t="str">
        <x:f>IF(B2476="","Needs decision","Ready")</x:f>
        <x:v>Ready</x:v>
      </x:c>
      <x:c r="D2476" s="6" t="str">
        <x:v>平</x:v>
      </x:c>
      <x:c r="E2476" s="6" t="str">
        <x:v>xje (A)</x:v>
      </x:c>
      <x:c r="F2476" s="6" t="str">
        <x:v>上平聲四支</x:v>
      </x:c>
      <x:c r="G2476" s="6" t="str">
        <x:v>Pingshui main list, Wikisource-derived DOCX</x:v>
      </x:c>
      <x:c r="H2476" s="6" t="str">
        <x:v>1</x:v>
      </x:c>
      <x:c r="I2476" s="6" t="str"/>
      <x:c r="J2476" s="6" t="str">
        <x:f>IF(B2476="","",IF(AND(ISNUMBER(SEARCH("平",B2476)),OR(ISNUMBER(SEARCH("上",B2476)),ISNUMBER(SEARCH("去",B2476)),ISNUMBER(SEARCH("入",B2476)))),"Ambiguous",IF(ISNUMBER(SEARCH("平",B2476)),"平","仄")))</x:f>
        <x:v>平</x:v>
      </x:c>
      <x:c r="K2476" s="6" t="str">
        <x:f>IF(D2476="","",IF(AND(ISNUMBER(SEARCH("平",D2476)),OR(ISNUMBER(SEARCH("上",D2476)),ISNUMBER(SEARCH("去",D2476)),ISNUMBER(SEARCH("入",D2476)))),"Ambiguous",IF(ISNUMBER(SEARCH("平",D2476)),"平","仄")))</x:f>
        <x:v>平</x:v>
      </x:c>
      <x:c r="L2476" s="7" t="str"/>
    </x:row>
    <x:row r="2477">
      <x:c r="A2477" s="5" t="str">
        <x:v>犬</x:v>
      </x:c>
      <x:c r="B2477" s="6" t="str">
        <x:v>上</x:v>
      </x:c>
      <x:c r="C2477" s="6" t="str">
        <x:f>IF(B2477="","Needs decision","Ready")</x:f>
        <x:v>Ready</x:v>
      </x:c>
      <x:c r="D2477" s="6" t="str">
        <x:v>上</x:v>
      </x:c>
      <x:c r="E2477" s="6" t="str">
        <x:v>khwenX (B)</x:v>
      </x:c>
      <x:c r="F2477" s="6" t="str">
        <x:v>上聲十六銑</x:v>
      </x:c>
      <x:c r="G2477" s="6" t="str">
        <x:v>Pingshui main list, Wikisource-derived DOCX</x:v>
      </x:c>
      <x:c r="H2477" s="6" t="str">
        <x:v>1</x:v>
      </x:c>
      <x:c r="I2477" s="6" t="str"/>
      <x:c r="J2477" s="6" t="str">
        <x:f>IF(B2477="","",IF(AND(ISNUMBER(SEARCH("平",B2477)),OR(ISNUMBER(SEARCH("上",B2477)),ISNUMBER(SEARCH("去",B2477)),ISNUMBER(SEARCH("入",B2477)))),"Ambiguous",IF(ISNUMBER(SEARCH("平",B2477)),"平","仄")))</x:f>
        <x:v>仄</x:v>
      </x:c>
      <x:c r="K2477" s="6" t="str">
        <x:f>IF(D2477="","",IF(AND(ISNUMBER(SEARCH("平",D2477)),OR(ISNUMBER(SEARCH("上",D2477)),ISNUMBER(SEARCH("去",D2477)),ISNUMBER(SEARCH("入",D2477)))),"Ambiguous",IF(ISNUMBER(SEARCH("平",D2477)),"平","仄")))</x:f>
        <x:v>仄</x:v>
      </x:c>
      <x:c r="L2477" s="7" t="str"/>
    </x:row>
    <x:row r="2478">
      <x:c r="A2478" s="5" t="str">
        <x:v>犯</x:v>
      </x:c>
      <x:c r="B2478" s="6" t="str">
        <x:v>上</x:v>
      </x:c>
      <x:c r="C2478" s="6" t="str">
        <x:f>IF(B2478="","Needs decision","Ready")</x:f>
        <x:v>Ready</x:v>
      </x:c>
      <x:c r="D2478" s="6" t="str"/>
      <x:c r="E2478" s="6" t="str"/>
      <x:c r="F2478" s="6" t="str">
        <x:v>上聲二十九豏</x:v>
      </x:c>
      <x:c r="G2478" s="6" t="str">
        <x:v>Pingshui main list, Wikisource-derived DOCX</x:v>
      </x:c>
      <x:c r="H2478" s="6" t="str"/>
      <x:c r="I2478" s="6" t="str"/>
      <x:c r="J2478" s="6" t="str">
        <x:f>IF(B2478="","",IF(AND(ISNUMBER(SEARCH("平",B2478)),OR(ISNUMBER(SEARCH("上",B2478)),ISNUMBER(SEARCH("去",B2478)),ISNUMBER(SEARCH("入",B2478)))),"Ambiguous",IF(ISNUMBER(SEARCH("平",B2478)),"平","仄")))</x:f>
        <x:v>仄</x:v>
      </x:c>
      <x:c r="K2478" s="6" t="str">
        <x:f>IF(D2478="","",IF(AND(ISNUMBER(SEARCH("平",D2478)),OR(ISNUMBER(SEARCH("上",D2478)),ISNUMBER(SEARCH("去",D2478)),ISNUMBER(SEARCH("入",D2478)))),"Ambiguous",IF(ISNUMBER(SEARCH("平",D2478)),"平","仄")))</x:f>
      </x:c>
      <x:c r="L2478" s="7" t="str"/>
    </x:row>
    <x:row r="2479">
      <x:c r="A2479" s="5" t="str">
        <x:v>狀</x:v>
      </x:c>
      <x:c r="B2479" s="6" t="str">
        <x:v>去</x:v>
      </x:c>
      <x:c r="C2479" s="6" t="str">
        <x:f>IF(B2479="","Needs decision","Ready")</x:f>
        <x:v>Ready</x:v>
      </x:c>
      <x:c r="D2479" s="6" t="str">
        <x:v>去</x:v>
      </x:c>
      <x:c r="E2479" s="6" t="str">
        <x:v>dzrjangH (C)</x:v>
      </x:c>
      <x:c r="F2479" s="6" t="str">
        <x:v>去聲二十三漾</x:v>
      </x:c>
      <x:c r="G2479" s="6" t="str">
        <x:v>Pingshui main list, Wikisource-derived DOCX</x:v>
      </x:c>
      <x:c r="H2479" s="6" t="str">
        <x:v>1</x:v>
      </x:c>
      <x:c r="I2479" s="6" t="str"/>
      <x:c r="J2479" s="6" t="str">
        <x:f>IF(B2479="","",IF(AND(ISNUMBER(SEARCH("平",B2479)),OR(ISNUMBER(SEARCH("上",B2479)),ISNUMBER(SEARCH("去",B2479)),ISNUMBER(SEARCH("入",B2479)))),"Ambiguous",IF(ISNUMBER(SEARCH("平",B2479)),"平","仄")))</x:f>
        <x:v>仄</x:v>
      </x:c>
      <x:c r="K2479" s="6" t="str">
        <x:f>IF(D2479="","",IF(AND(ISNUMBER(SEARCH("平",D2479)),OR(ISNUMBER(SEARCH("上",D2479)),ISNUMBER(SEARCH("去",D2479)),ISNUMBER(SEARCH("入",D2479)))),"Ambiguous",IF(ISNUMBER(SEARCH("平",D2479)),"平","仄")))</x:f>
        <x:v>仄</x:v>
      </x:c>
      <x:c r="L2479" s="7" t="str"/>
    </x:row>
    <x:row r="2480">
      <x:c r="A2480" s="5" t="str">
        <x:v>狁</x:v>
      </x:c>
      <x:c r="B2480" s="6" t="str">
        <x:v>上</x:v>
      </x:c>
      <x:c r="C2480" s="6" t="str">
        <x:f>IF(B2480="","Needs decision","Ready")</x:f>
        <x:v>Ready</x:v>
      </x:c>
      <x:c r="D2480" s="6" t="str">
        <x:v>上</x:v>
      </x:c>
      <x:c r="E2480" s="6" t="str">
        <x:v>ywinX (B)</x:v>
      </x:c>
      <x:c r="F2480" s="6" t="str">
        <x:v>上聲十一軫</x:v>
      </x:c>
      <x:c r="G2480" s="6" t="str">
        <x:v>Pingshui main list, Wikisource-derived DOCX</x:v>
      </x:c>
      <x:c r="H2480" s="6" t="str">
        <x:v>1</x:v>
      </x:c>
      <x:c r="I2480" s="6" t="str"/>
      <x:c r="J2480" s="6" t="str">
        <x:f>IF(B2480="","",IF(AND(ISNUMBER(SEARCH("平",B2480)),OR(ISNUMBER(SEARCH("上",B2480)),ISNUMBER(SEARCH("去",B2480)),ISNUMBER(SEARCH("入",B2480)))),"Ambiguous",IF(ISNUMBER(SEARCH("平",B2480)),"平","仄")))</x:f>
        <x:v>仄</x:v>
      </x:c>
      <x:c r="K2480" s="6" t="str">
        <x:f>IF(D2480="","",IF(AND(ISNUMBER(SEARCH("平",D2480)),OR(ISNUMBER(SEARCH("上",D2480)),ISNUMBER(SEARCH("去",D2480)),ISNUMBER(SEARCH("入",D2480)))),"Ambiguous",IF(ISNUMBER(SEARCH("平",D2480)),"平","仄")))</x:f>
        <x:v>仄</x:v>
      </x:c>
      <x:c r="L2480" s="7" t="str"/>
    </x:row>
    <x:row r="2481">
      <x:c r="A2481" s="5" t="str">
        <x:v>狂</x:v>
      </x:c>
      <x:c r="B2481" s="6" t="str">
        <x:v>平</x:v>
      </x:c>
      <x:c r="C2481" s="6" t="str">
        <x:f>IF(B2481="","Needs decision","Ready")</x:f>
        <x:v>Ready</x:v>
      </x:c>
      <x:c r="D2481" s="6" t="str">
        <x:v>平</x:v>
      </x:c>
      <x:c r="E2481" s="6" t="str">
        <x:v>gjwang (A)</x:v>
      </x:c>
      <x:c r="F2481" s="6" t="str">
        <x:v>下平聲七陽</x:v>
      </x:c>
      <x:c r="G2481" s="6" t="str">
        <x:v>Pingshui main list, Wikisource-derived DOCX</x:v>
      </x:c>
      <x:c r="H2481" s="6" t="str">
        <x:v>1</x:v>
      </x:c>
      <x:c r="I2481" s="6" t="str"/>
      <x:c r="J2481" s="6" t="str">
        <x:f>IF(B2481="","",IF(AND(ISNUMBER(SEARCH("平",B2481)),OR(ISNUMBER(SEARCH("上",B2481)),ISNUMBER(SEARCH("去",B2481)),ISNUMBER(SEARCH("入",B2481)))),"Ambiguous",IF(ISNUMBER(SEARCH("平",B2481)),"平","仄")))</x:f>
        <x:v>平</x:v>
      </x:c>
      <x:c r="K2481" s="6" t="str">
        <x:f>IF(D2481="","",IF(AND(ISNUMBER(SEARCH("平",D2481)),OR(ISNUMBER(SEARCH("上",D2481)),ISNUMBER(SEARCH("去",D2481)),ISNUMBER(SEARCH("入",D2481)))),"Ambiguous",IF(ISNUMBER(SEARCH("平",D2481)),"平","仄")))</x:f>
        <x:v>平</x:v>
      </x:c>
      <x:c r="L2481" s="7" t="str"/>
    </x:row>
    <x:row r="2482">
      <x:c r="A2482" s="5" t="str">
        <x:v>狃</x:v>
      </x:c>
      <x:c r="B2482" s="6" t="str">
        <x:v>上</x:v>
      </x:c>
      <x:c r="C2482" s="6" t="str">
        <x:f>IF(B2482="","Needs decision","Ready")</x:f>
        <x:v>Ready</x:v>
      </x:c>
      <x:c r="D2482" s="6" t="str">
        <x:v>上</x:v>
      </x:c>
      <x:c r="E2482" s="6" t="str">
        <x:v>nrjuwX (B)</x:v>
      </x:c>
      <x:c r="F2482" s="6" t="str">
        <x:v>上聲二十五有; 去聲二十六宥</x:v>
      </x:c>
      <x:c r="G2482" s="6" t="str">
        <x:v>Pingshui main list, Wikisource-derived DOCX</x:v>
      </x:c>
      <x:c r="H2482" s="6" t="str">
        <x:v>1</x:v>
      </x:c>
      <x:c r="I2482" s="6" t="str"/>
      <x:c r="J2482" s="6" t="str">
        <x:f>IF(B2482="","",IF(AND(ISNUMBER(SEARCH("平",B2482)),OR(ISNUMBER(SEARCH("上",B2482)),ISNUMBER(SEARCH("去",B2482)),ISNUMBER(SEARCH("入",B2482)))),"Ambiguous",IF(ISNUMBER(SEARCH("平",B2482)),"平","仄")))</x:f>
        <x:v>仄</x:v>
      </x:c>
      <x:c r="K2482" s="6" t="str">
        <x:f>IF(D2482="","",IF(AND(ISNUMBER(SEARCH("平",D2482)),OR(ISNUMBER(SEARCH("上",D2482)),ISNUMBER(SEARCH("去",D2482)),ISNUMBER(SEARCH("入",D2482)))),"Ambiguous",IF(ISNUMBER(SEARCH("平",D2482)),"平","仄")))</x:f>
        <x:v>仄</x:v>
      </x:c>
      <x:c r="L2482" s="7" t="str"/>
    </x:row>
    <x:row r="2483">
      <x:c r="A2483" s="5" t="str">
        <x:v>狄</x:v>
      </x:c>
      <x:c r="B2483" s="6" t="str">
        <x:v>入</x:v>
      </x:c>
      <x:c r="C2483" s="6" t="str">
        <x:f>IF(B2483="","Needs decision","Ready")</x:f>
        <x:v>Ready</x:v>
      </x:c>
      <x:c r="D2483" s="6" t="str">
        <x:v>入</x:v>
      </x:c>
      <x:c r="E2483" s="6" t="str">
        <x:v>dek (D)</x:v>
      </x:c>
      <x:c r="F2483" s="6" t="str">
        <x:v>入聲十二錫</x:v>
      </x:c>
      <x:c r="G2483" s="6" t="str">
        <x:v>Pingshui main list, Wikisource-derived DOCX</x:v>
      </x:c>
      <x:c r="H2483" s="6" t="str">
        <x:v>1</x:v>
      </x:c>
      <x:c r="I2483" s="6" t="str"/>
      <x:c r="J2483" s="6" t="str">
        <x:f>IF(B2483="","",IF(AND(ISNUMBER(SEARCH("平",B2483)),OR(ISNUMBER(SEARCH("上",B2483)),ISNUMBER(SEARCH("去",B2483)),ISNUMBER(SEARCH("入",B2483)))),"Ambiguous",IF(ISNUMBER(SEARCH("平",B2483)),"平","仄")))</x:f>
        <x:v>仄</x:v>
      </x:c>
      <x:c r="K2483" s="6" t="str">
        <x:f>IF(D2483="","",IF(AND(ISNUMBER(SEARCH("平",D2483)),OR(ISNUMBER(SEARCH("上",D2483)),ISNUMBER(SEARCH("去",D2483)),ISNUMBER(SEARCH("入",D2483)))),"Ambiguous",IF(ISNUMBER(SEARCH("平",D2483)),"平","仄")))</x:f>
        <x:v>仄</x:v>
      </x:c>
      <x:c r="L2483" s="7" t="str"/>
    </x:row>
    <x:row r="2484">
      <x:c r="A2484" s="5" t="str">
        <x:v>狊</x:v>
      </x:c>
      <x:c r="B2484" s="6" t="str">
        <x:v>入</x:v>
      </x:c>
      <x:c r="C2484" s="6" t="str">
        <x:f>IF(B2484="","Needs decision","Ready")</x:f>
        <x:v>Ready</x:v>
      </x:c>
      <x:c r="D2484" s="6" t="str">
        <x:v>入</x:v>
      </x:c>
      <x:c r="E2484" s="6" t="str">
        <x:v>kwek (D)</x:v>
      </x:c>
      <x:c r="F2484" s="6" t="str"/>
      <x:c r="G2484" s="6" t="str"/>
      <x:c r="H2484" s="6" t="str">
        <x:v>1</x:v>
      </x:c>
      <x:c r="I2484" s="6" t="str"/>
      <x:c r="J2484" s="6" t="str">
        <x:f>IF(B2484="","",IF(AND(ISNUMBER(SEARCH("平",B2484)),OR(ISNUMBER(SEARCH("上",B2484)),ISNUMBER(SEARCH("去",B2484)),ISNUMBER(SEARCH("入",B2484)))),"Ambiguous",IF(ISNUMBER(SEARCH("平",B2484)),"平","仄")))</x:f>
        <x:v>仄</x:v>
      </x:c>
      <x:c r="K2484" s="6" t="str">
        <x:f>IF(D2484="","",IF(AND(ISNUMBER(SEARCH("平",D2484)),OR(ISNUMBER(SEARCH("上",D2484)),ISNUMBER(SEARCH("去",D2484)),ISNUMBER(SEARCH("入",D2484)))),"Ambiguous",IF(ISNUMBER(SEARCH("平",D2484)),"平","仄")))</x:f>
        <x:v>仄</x:v>
      </x:c>
      <x:c r="L2484" s="7" t="str"/>
    </x:row>
    <x:row r="2485">
      <x:c r="A2485" s="5" t="str">
        <x:v>狎</x:v>
      </x:c>
      <x:c r="B2485" s="6" t="str">
        <x:v>入</x:v>
      </x:c>
      <x:c r="C2485" s="6" t="str">
        <x:f>IF(B2485="","Needs decision","Ready")</x:f>
        <x:v>Ready</x:v>
      </x:c>
      <x:c r="D2485" s="6" t="str">
        <x:v>入</x:v>
      </x:c>
      <x:c r="E2485" s="6" t="str">
        <x:v>haep (D)</x:v>
      </x:c>
      <x:c r="F2485" s="6" t="str">
        <x:v>入聲十七洽</x:v>
      </x:c>
      <x:c r="G2485" s="6" t="str">
        <x:v>Pingshui main list, Wikisource-derived DOCX</x:v>
      </x:c>
      <x:c r="H2485" s="6" t="str">
        <x:v>1</x:v>
      </x:c>
      <x:c r="I2485" s="6" t="str"/>
      <x:c r="J2485" s="6" t="str">
        <x:f>IF(B2485="","",IF(AND(ISNUMBER(SEARCH("平",B2485)),OR(ISNUMBER(SEARCH("上",B2485)),ISNUMBER(SEARCH("去",B2485)),ISNUMBER(SEARCH("入",B2485)))),"Ambiguous",IF(ISNUMBER(SEARCH("平",B2485)),"平","仄")))</x:f>
        <x:v>仄</x:v>
      </x:c>
      <x:c r="K2485" s="6" t="str">
        <x:f>IF(D2485="","",IF(AND(ISNUMBER(SEARCH("平",D2485)),OR(ISNUMBER(SEARCH("上",D2485)),ISNUMBER(SEARCH("去",D2485)),ISNUMBER(SEARCH("入",D2485)))),"Ambiguous",IF(ISNUMBER(SEARCH("平",D2485)),"平","仄")))</x:f>
        <x:v>仄</x:v>
      </x:c>
      <x:c r="L2485" s="7" t="str"/>
    </x:row>
    <x:row r="2486">
      <x:c r="A2486" s="5" t="str">
        <x:v>狐</x:v>
      </x:c>
      <x:c r="B2486" s="6" t="str">
        <x:v>平</x:v>
      </x:c>
      <x:c r="C2486" s="6" t="str">
        <x:f>IF(B2486="","Needs decision","Ready")</x:f>
        <x:v>Ready</x:v>
      </x:c>
      <x:c r="D2486" s="6" t="str">
        <x:v>平</x:v>
      </x:c>
      <x:c r="E2486" s="6" t="str">
        <x:v>hu (A)</x:v>
      </x:c>
      <x:c r="F2486" s="6" t="str">
        <x:v>上平聲七虞</x:v>
      </x:c>
      <x:c r="G2486" s="6" t="str">
        <x:v>Pingshui main list, Wikisource-derived DOCX</x:v>
      </x:c>
      <x:c r="H2486" s="6" t="str">
        <x:v>1</x:v>
      </x:c>
      <x:c r="I2486" s="6" t="str"/>
      <x:c r="J2486" s="6" t="str">
        <x:f>IF(B2486="","",IF(AND(ISNUMBER(SEARCH("平",B2486)),OR(ISNUMBER(SEARCH("上",B2486)),ISNUMBER(SEARCH("去",B2486)),ISNUMBER(SEARCH("入",B2486)))),"Ambiguous",IF(ISNUMBER(SEARCH("平",B2486)),"平","仄")))</x:f>
        <x:v>平</x:v>
      </x:c>
      <x:c r="K2486" s="6" t="str">
        <x:f>IF(D2486="","",IF(AND(ISNUMBER(SEARCH("平",D2486)),OR(ISNUMBER(SEARCH("上",D2486)),ISNUMBER(SEARCH("去",D2486)),ISNUMBER(SEARCH("入",D2486)))),"Ambiguous",IF(ISNUMBER(SEARCH("平",D2486)),"平","仄")))</x:f>
        <x:v>平</x:v>
      </x:c>
      <x:c r="L2486" s="7" t="str"/>
    </x:row>
    <x:row r="2487">
      <x:c r="A2487" s="5" t="str">
        <x:v>狗</x:v>
      </x:c>
      <x:c r="B2487" s="6" t="str">
        <x:v>上</x:v>
      </x:c>
      <x:c r="C2487" s="6" t="str">
        <x:f>IF(B2487="","Needs decision","Ready")</x:f>
        <x:v>Ready</x:v>
      </x:c>
      <x:c r="D2487" s="6" t="str">
        <x:v>上</x:v>
      </x:c>
      <x:c r="E2487" s="6" t="str">
        <x:v>kuwX (B)</x:v>
      </x:c>
      <x:c r="F2487" s="6" t="str">
        <x:v>上聲二十五有</x:v>
      </x:c>
      <x:c r="G2487" s="6" t="str">
        <x:v>Pingshui main list, Wikisource-derived DOCX</x:v>
      </x:c>
      <x:c r="H2487" s="6" t="str">
        <x:v>1</x:v>
      </x:c>
      <x:c r="I2487" s="6" t="str"/>
      <x:c r="J2487" s="6" t="str">
        <x:f>IF(B2487="","",IF(AND(ISNUMBER(SEARCH("平",B2487)),OR(ISNUMBER(SEARCH("上",B2487)),ISNUMBER(SEARCH("去",B2487)),ISNUMBER(SEARCH("入",B2487)))),"Ambiguous",IF(ISNUMBER(SEARCH("平",B2487)),"平","仄")))</x:f>
        <x:v>仄</x:v>
      </x:c>
      <x:c r="K2487" s="6" t="str">
        <x:f>IF(D2487="","",IF(AND(ISNUMBER(SEARCH("平",D2487)),OR(ISNUMBER(SEARCH("上",D2487)),ISNUMBER(SEARCH("去",D2487)),ISNUMBER(SEARCH("入",D2487)))),"Ambiguous",IF(ISNUMBER(SEARCH("平",D2487)),"平","仄")))</x:f>
        <x:v>仄</x:v>
      </x:c>
      <x:c r="L2487" s="7" t="str"/>
    </x:row>
    <x:row r="2488">
      <x:c r="A2488" s="5" t="str">
        <x:v>狙</x:v>
      </x:c>
      <x:c r="B2488" s="6" t="str">
        <x:v>平</x:v>
      </x:c>
      <x:c r="C2488" s="6" t="str">
        <x:f>IF(B2488="","Needs decision","Ready")</x:f>
        <x:v>Ready</x:v>
      </x:c>
      <x:c r="D2488" s="6" t="str">
        <x:v>平</x:v>
      </x:c>
      <x:c r="E2488" s="6" t="str">
        <x:v>tshjo [tsʰjə] (平)</x:v>
      </x:c>
      <x:c r="F2488" s="6" t="str">
        <x:v>上平聲六魚; 去聲六御</x:v>
      </x:c>
      <x:c r="G2488" s="6" t="str">
        <x:v>Pingshui main list, Wikisource-derived DOCX</x:v>
      </x:c>
      <x:c r="H2488" s="6" t="str">
        <x:v>1</x:v>
      </x:c>
      <x:c r="I2488" s="6" t="str">
        <x:v>Tang 300 gap; frequency 1; provisional from Xun Gong</x:v>
      </x:c>
      <x:c r="J2488" s="6" t="str">
        <x:f>IF(B2488="","",IF(AND(ISNUMBER(SEARCH("平",B2488)),OR(ISNUMBER(SEARCH("上",B2488)),ISNUMBER(SEARCH("去",B2488)),ISNUMBER(SEARCH("入",B2488)))),"Ambiguous",IF(ISNUMBER(SEARCH("平",B2488)),"平","仄")))</x:f>
        <x:v>平</x:v>
      </x:c>
      <x:c r="K2488" s="6" t="str">
        <x:f>IF(D2488="","",IF(AND(ISNUMBER(SEARCH("平",D2488)),OR(ISNUMBER(SEARCH("上",D2488)),ISNUMBER(SEARCH("去",D2488)),ISNUMBER(SEARCH("入",D2488)))),"Ambiguous",IF(ISNUMBER(SEARCH("平",D2488)),"平","仄")))</x:f>
        <x:v>平</x:v>
      </x:c>
      <x:c r="L2488" s="7" t="str">
        <x:v>Xun Gong, Tang 300 gap fill</x:v>
      </x:c>
    </x:row>
    <x:row r="2489">
      <x:c r="A2489" s="5" t="str">
        <x:v>狩</x:v>
      </x:c>
      <x:c r="B2489" s="6" t="str">
        <x:v>去</x:v>
      </x:c>
      <x:c r="C2489" s="6" t="str">
        <x:f>IF(B2489="","Needs decision","Ready")</x:f>
        <x:v>Ready</x:v>
      </x:c>
      <x:c r="D2489" s="6" t="str">
        <x:v>去</x:v>
      </x:c>
      <x:c r="E2489" s="6" t="str">
        <x:v>syuwH (C)</x:v>
      </x:c>
      <x:c r="F2489" s="6" t="str">
        <x:v>去聲二十六宥</x:v>
      </x:c>
      <x:c r="G2489" s="6" t="str">
        <x:v>Pingshui main list, Wikisource-derived DOCX</x:v>
      </x:c>
      <x:c r="H2489" s="6" t="str">
        <x:v>1</x:v>
      </x:c>
      <x:c r="I2489" s="6" t="str"/>
      <x:c r="J2489" s="6" t="str">
        <x:f>IF(B2489="","",IF(AND(ISNUMBER(SEARCH("平",B2489)),OR(ISNUMBER(SEARCH("上",B2489)),ISNUMBER(SEARCH("去",B2489)),ISNUMBER(SEARCH("入",B2489)))),"Ambiguous",IF(ISNUMBER(SEARCH("平",B2489)),"平","仄")))</x:f>
        <x:v>仄</x:v>
      </x:c>
      <x:c r="K2489" s="6" t="str">
        <x:f>IF(D2489="","",IF(AND(ISNUMBER(SEARCH("平",D2489)),OR(ISNUMBER(SEARCH("上",D2489)),ISNUMBER(SEARCH("去",D2489)),ISNUMBER(SEARCH("入",D2489)))),"Ambiguous",IF(ISNUMBER(SEARCH("平",D2489)),"平","仄")))</x:f>
        <x:v>仄</x:v>
      </x:c>
      <x:c r="L2489" s="7" t="str"/>
    </x:row>
    <x:row r="2490">
      <x:c r="A2490" s="5" t="str">
        <x:v>狶</x:v>
      </x:c>
      <x:c r="B2490" s="6" t="str">
        <x:v>上</x:v>
      </x:c>
      <x:c r="C2490" s="6" t="str">
        <x:f>IF(B2490="","Needs decision","Ready")</x:f>
        <x:v>Ready</x:v>
      </x:c>
      <x:c r="D2490" s="6" t="str">
        <x:v>上</x:v>
      </x:c>
      <x:c r="E2490" s="6" t="str">
        <x:v>xj+jX (B)</x:v>
      </x:c>
      <x:c r="F2490" s="6" t="str"/>
      <x:c r="G2490" s="6" t="str"/>
      <x:c r="H2490" s="6" t="str">
        <x:v>1</x:v>
      </x:c>
      <x:c r="I2490" s="6" t="str"/>
      <x:c r="J2490" s="6" t="str">
        <x:f>IF(B2490="","",IF(AND(ISNUMBER(SEARCH("平",B2490)),OR(ISNUMBER(SEARCH("上",B2490)),ISNUMBER(SEARCH("去",B2490)),ISNUMBER(SEARCH("入",B2490)))),"Ambiguous",IF(ISNUMBER(SEARCH("平",B2490)),"平","仄")))</x:f>
        <x:v>仄</x:v>
      </x:c>
      <x:c r="K2490" s="6" t="str">
        <x:f>IF(D2490="","",IF(AND(ISNUMBER(SEARCH("平",D2490)),OR(ISNUMBER(SEARCH("上",D2490)),ISNUMBER(SEARCH("去",D2490)),ISNUMBER(SEARCH("入",D2490)))),"Ambiguous",IF(ISNUMBER(SEARCH("平",D2490)),"平","仄")))</x:f>
        <x:v>仄</x:v>
      </x:c>
      <x:c r="L2490" s="7" t="str"/>
    </x:row>
    <x:row r="2491">
      <x:c r="A2491" s="5" t="str">
        <x:v>狸</x:v>
      </x:c>
      <x:c r="B2491" s="6" t="str">
        <x:v>平</x:v>
      </x:c>
      <x:c r="C2491" s="6" t="str">
        <x:f>IF(B2491="","Needs decision","Ready")</x:f>
        <x:v>Ready</x:v>
      </x:c>
      <x:c r="D2491" s="6" t="str">
        <x:v>平</x:v>
      </x:c>
      <x:c r="E2491" s="6" t="str">
        <x:v>li (A)</x:v>
      </x:c>
      <x:c r="F2491" s="6" t="str"/>
      <x:c r="G2491" s="6" t="str"/>
      <x:c r="H2491" s="6" t="str">
        <x:v>1</x:v>
      </x:c>
      <x:c r="I2491" s="6" t="str"/>
      <x:c r="J2491" s="6" t="str">
        <x:f>IF(B2491="","",IF(AND(ISNUMBER(SEARCH("平",B2491)),OR(ISNUMBER(SEARCH("上",B2491)),ISNUMBER(SEARCH("去",B2491)),ISNUMBER(SEARCH("入",B2491)))),"Ambiguous",IF(ISNUMBER(SEARCH("平",B2491)),"平","仄")))</x:f>
        <x:v>平</x:v>
      </x:c>
      <x:c r="K2491" s="6" t="str">
        <x:f>IF(D2491="","",IF(AND(ISNUMBER(SEARCH("平",D2491)),OR(ISNUMBER(SEARCH("上",D2491)),ISNUMBER(SEARCH("去",D2491)),ISNUMBER(SEARCH("入",D2491)))),"Ambiguous",IF(ISNUMBER(SEARCH("平",D2491)),"平","仄")))</x:f>
        <x:v>平</x:v>
      </x:c>
      <x:c r="L2491" s="7" t="str"/>
    </x:row>
    <x:row r="2492">
      <x:c r="A2492" s="5" t="str">
        <x:v>狹</x:v>
      </x:c>
      <x:c r="B2492" s="6" t="str">
        <x:v>入</x:v>
      </x:c>
      <x:c r="C2492" s="6" t="str">
        <x:f>IF(B2492="","Needs decision","Ready")</x:f>
        <x:v>Ready</x:v>
      </x:c>
      <x:c r="D2492" s="6" t="str">
        <x:v>入</x:v>
      </x:c>
      <x:c r="E2492" s="6" t="str">
        <x:v>heap (D)</x:v>
      </x:c>
      <x:c r="F2492" s="6" t="str">
        <x:v>入聲十七洽</x:v>
      </x:c>
      <x:c r="G2492" s="6" t="str">
        <x:v>Pingshui main list, Wikisource-derived DOCX</x:v>
      </x:c>
      <x:c r="H2492" s="6" t="str">
        <x:v>1</x:v>
      </x:c>
      <x:c r="I2492" s="6" t="str"/>
      <x:c r="J2492" s="6" t="str">
        <x:f>IF(B2492="","",IF(AND(ISNUMBER(SEARCH("平",B2492)),OR(ISNUMBER(SEARCH("上",B2492)),ISNUMBER(SEARCH("去",B2492)),ISNUMBER(SEARCH("入",B2492)))),"Ambiguous",IF(ISNUMBER(SEARCH("平",B2492)),"平","仄")))</x:f>
        <x:v>仄</x:v>
      </x:c>
      <x:c r="K2492" s="6" t="str">
        <x:f>IF(D2492="","",IF(AND(ISNUMBER(SEARCH("平",D2492)),OR(ISNUMBER(SEARCH("上",D2492)),ISNUMBER(SEARCH("去",D2492)),ISNUMBER(SEARCH("入",D2492)))),"Ambiguous",IF(ISNUMBER(SEARCH("平",D2492)),"平","仄")))</x:f>
        <x:v>仄</x:v>
      </x:c>
      <x:c r="L2492" s="7" t="str"/>
    </x:row>
    <x:row r="2493">
      <x:c r="A2493" s="5" t="str">
        <x:v>狼</x:v>
      </x:c>
      <x:c r="B2493" s="6" t="str">
        <x:v>平</x:v>
      </x:c>
      <x:c r="C2493" s="6" t="str">
        <x:f>IF(B2493="","Needs decision","Ready")</x:f>
        <x:v>Ready</x:v>
      </x:c>
      <x:c r="D2493" s="6" t="str">
        <x:v>平</x:v>
      </x:c>
      <x:c r="E2493" s="6" t="str">
        <x:v>lang (A)</x:v>
      </x:c>
      <x:c r="F2493" s="6" t="str">
        <x:v>下平聲七陽</x:v>
      </x:c>
      <x:c r="G2493" s="6" t="str">
        <x:v>Pingshui main list, Wikisource-derived DOCX</x:v>
      </x:c>
      <x:c r="H2493" s="6" t="str">
        <x:v>1</x:v>
      </x:c>
      <x:c r="I2493" s="6" t="str"/>
      <x:c r="J2493" s="6" t="str">
        <x:f>IF(B2493="","",IF(AND(ISNUMBER(SEARCH("平",B2493)),OR(ISNUMBER(SEARCH("上",B2493)),ISNUMBER(SEARCH("去",B2493)),ISNUMBER(SEARCH("入",B2493)))),"Ambiguous",IF(ISNUMBER(SEARCH("平",B2493)),"平","仄")))</x:f>
        <x:v>平</x:v>
      </x:c>
      <x:c r="K2493" s="6" t="str">
        <x:f>IF(D2493="","",IF(AND(ISNUMBER(SEARCH("平",D2493)),OR(ISNUMBER(SEARCH("上",D2493)),ISNUMBER(SEARCH("去",D2493)),ISNUMBER(SEARCH("入",D2493)))),"Ambiguous",IF(ISNUMBER(SEARCH("平",D2493)),"平","仄")))</x:f>
        <x:v>平</x:v>
      </x:c>
      <x:c r="L2493" s="7" t="str"/>
    </x:row>
    <x:row r="2494">
      <x:c r="A2494" s="5" t="str">
        <x:v>狾</x:v>
      </x:c>
      <x:c r="B2494" s="6" t="str">
        <x:v>去</x:v>
      </x:c>
      <x:c r="C2494" s="6" t="str">
        <x:f>IF(B2494="","Needs decision","Ready")</x:f>
        <x:v>Ready</x:v>
      </x:c>
      <x:c r="D2494" s="6" t="str">
        <x:v>去</x:v>
      </x:c>
      <x:c r="E2494" s="6" t="str">
        <x:v>tsyejH (C)</x:v>
      </x:c>
      <x:c r="F2494" s="6" t="str"/>
      <x:c r="G2494" s="6" t="str"/>
      <x:c r="H2494" s="6" t="str">
        <x:v>1</x:v>
      </x:c>
      <x:c r="I2494" s="6" t="str"/>
      <x:c r="J2494" s="6" t="str">
        <x:f>IF(B2494="","",IF(AND(ISNUMBER(SEARCH("平",B2494)),OR(ISNUMBER(SEARCH("上",B2494)),ISNUMBER(SEARCH("去",B2494)),ISNUMBER(SEARCH("入",B2494)))),"Ambiguous",IF(ISNUMBER(SEARCH("平",B2494)),"平","仄")))</x:f>
        <x:v>仄</x:v>
      </x:c>
      <x:c r="K2494" s="6" t="str">
        <x:f>IF(D2494="","",IF(AND(ISNUMBER(SEARCH("平",D2494)),OR(ISNUMBER(SEARCH("上",D2494)),ISNUMBER(SEARCH("去",D2494)),ISNUMBER(SEARCH("入",D2494)))),"Ambiguous",IF(ISNUMBER(SEARCH("平",D2494)),"平","仄")))</x:f>
        <x:v>仄</x:v>
      </x:c>
      <x:c r="L2494" s="7" t="str"/>
    </x:row>
    <x:row r="2495">
      <x:c r="A2495" s="5" t="str">
        <x:v>猋</x:v>
      </x:c>
      <x:c r="B2495" s="6" t="str">
        <x:v>平</x:v>
      </x:c>
      <x:c r="C2495" s="6" t="str">
        <x:f>IF(B2495="","Needs decision","Ready")</x:f>
        <x:v>Ready</x:v>
      </x:c>
      <x:c r="D2495" s="6" t="str">
        <x:v>平</x:v>
      </x:c>
      <x:c r="E2495" s="6" t="str"/>
      <x:c r="F2495" s="6" t="str"/>
      <x:c r="G2495" s="6" t="str"/>
      <x:c r="H2495" s="6" t="str"/>
      <x:c r="I2495" s="6" t="str">
        <x:v>Manual user correction/addition</x:v>
      </x:c>
      <x:c r="J2495" s="6" t="str">
        <x:f>IF(B2495="","",IF(AND(ISNUMBER(SEARCH("平",B2495)),OR(ISNUMBER(SEARCH("上",B2495)),ISNUMBER(SEARCH("去",B2495)),ISNUMBER(SEARCH("入",B2495)))),"Ambiguous",IF(ISNUMBER(SEARCH("平",B2495)),"平","仄")))</x:f>
        <x:v>平</x:v>
      </x:c>
      <x:c r="K2495" s="6" t="str">
        <x:f>IF(D2495="","",IF(AND(ISNUMBER(SEARCH("平",D2495)),OR(ISNUMBER(SEARCH("上",D2495)),ISNUMBER(SEARCH("去",D2495)),ISNUMBER(SEARCH("入",D2495)))),"Ambiguous",IF(ISNUMBER(SEARCH("平",D2495)),"平","仄")))</x:f>
        <x:v>平</x:v>
      </x:c>
      <x:c r="L2495" s="7" t="str">
        <x:v>manual user correction</x:v>
      </x:c>
    </x:row>
    <x:row r="2496">
      <x:c r="A2496" s="5" t="str">
        <x:v>猒</x:v>
      </x:c>
      <x:c r="B2496" s="6" t="str">
        <x:v>去</x:v>
      </x:c>
      <x:c r="C2496" s="6" t="str">
        <x:f>IF(B2496="","Needs decision","Ready")</x:f>
        <x:v>Ready</x:v>
      </x:c>
      <x:c r="D2496" s="6" t="str">
        <x:v>平/去</x:v>
      </x:c>
      <x:c r="E2496" s="6" t="str">
        <x:v>'jiem (A); 'jiemH (C)</x:v>
      </x:c>
      <x:c r="F2496" s="6" t="str">
        <x:v>下平聲十四鹽</x:v>
      </x:c>
      <x:c r="G2496" s="6" t="str">
        <x:v>Pingshui main list, Wikisource-derived DOCX</x:v>
      </x:c>
      <x:c r="H2496" s="6" t="str">
        <x:v>2</x:v>
      </x:c>
      <x:c r="I2496" s="6" t="str"/>
      <x:c r="J2496" s="6" t="str">
        <x:f>IF(B2496="","",IF(AND(ISNUMBER(SEARCH("平",B2496)),OR(ISNUMBER(SEARCH("上",B2496)),ISNUMBER(SEARCH("去",B2496)),ISNUMBER(SEARCH("入",B2496)))),"Ambiguous",IF(ISNUMBER(SEARCH("平",B2496)),"平","仄")))</x:f>
        <x:v>仄</x:v>
      </x:c>
      <x:c r="K2496" s="6" t="str">
        <x:f>IF(D2496="","",IF(AND(ISNUMBER(SEARCH("平",D2496)),OR(ISNUMBER(SEARCH("上",D2496)),ISNUMBER(SEARCH("去",D2496)),ISNUMBER(SEARCH("入",D2496)))),"Ambiguous",IF(ISNUMBER(SEARCH("平",D2496)),"平","仄")))</x:f>
        <x:v>Ambiguous</x:v>
      </x:c>
      <x:c r="L2496" s="7" t="str"/>
    </x:row>
    <x:row r="2497">
      <x:c r="A2497" s="5" t="str">
        <x:v>猘</x:v>
      </x:c>
      <x:c r="B2497" s="6" t="str">
        <x:v>去</x:v>
      </x:c>
      <x:c r="C2497" s="6" t="str">
        <x:f>IF(B2497="","Needs decision","Ready")</x:f>
        <x:v>Ready</x:v>
      </x:c>
      <x:c r="D2497" s="6" t="str">
        <x:v>去</x:v>
      </x:c>
      <x:c r="E2497" s="6" t="str">
        <x:v>kjejH (C)</x:v>
      </x:c>
      <x:c r="F2497" s="6" t="str">
        <x:v>去聲八霽</x:v>
      </x:c>
      <x:c r="G2497" s="6" t="str">
        <x:v>Pingshui main list, Wikisource-derived DOCX</x:v>
      </x:c>
      <x:c r="H2497" s="6" t="str">
        <x:v>1</x:v>
      </x:c>
      <x:c r="I2497" s="6" t="str"/>
      <x:c r="J2497" s="6" t="str">
        <x:f>IF(B2497="","",IF(AND(ISNUMBER(SEARCH("平",B2497)),OR(ISNUMBER(SEARCH("上",B2497)),ISNUMBER(SEARCH("去",B2497)),ISNUMBER(SEARCH("入",B2497)))),"Ambiguous",IF(ISNUMBER(SEARCH("平",B2497)),"平","仄")))</x:f>
        <x:v>仄</x:v>
      </x:c>
      <x:c r="K2497" s="6" t="str">
        <x:f>IF(D2497="","",IF(AND(ISNUMBER(SEARCH("平",D2497)),OR(ISNUMBER(SEARCH("上",D2497)),ISNUMBER(SEARCH("去",D2497)),ISNUMBER(SEARCH("入",D2497)))),"Ambiguous",IF(ISNUMBER(SEARCH("平",D2497)),"平","仄")))</x:f>
        <x:v>仄</x:v>
      </x:c>
      <x:c r="L2497" s="7" t="str"/>
    </x:row>
    <x:row r="2498">
      <x:c r="A2498" s="5" t="str">
        <x:v>猛</x:v>
      </x:c>
      <x:c r="B2498" s="6" t="str">
        <x:v>上</x:v>
      </x:c>
      <x:c r="C2498" s="6" t="str">
        <x:f>IF(B2498="","Needs decision","Ready")</x:f>
        <x:v>Ready</x:v>
      </x:c>
      <x:c r="D2498" s="6" t="str">
        <x:v>上</x:v>
      </x:c>
      <x:c r="E2498" s="6" t="str">
        <x:v>maengX [m̙aˤŋʔ] (上)</x:v>
      </x:c>
      <x:c r="F2498" s="6" t="str">
        <x:v>上聲二十三梗</x:v>
      </x:c>
      <x:c r="G2498" s="6" t="str">
        <x:v>Pingshui main list, Wikisource-derived DOCX</x:v>
      </x:c>
      <x:c r="H2498" s="6" t="str">
        <x:v>1</x:v>
      </x:c>
      <x:c r="I2498" s="6" t="str">
        <x:v>Tang 300 gap; frequency 2; provisional from Xun Gong</x:v>
      </x:c>
      <x:c r="J2498" s="6" t="str">
        <x:f>IF(B2498="","",IF(AND(ISNUMBER(SEARCH("平",B2498)),OR(ISNUMBER(SEARCH("上",B2498)),ISNUMBER(SEARCH("去",B2498)),ISNUMBER(SEARCH("入",B2498)))),"Ambiguous",IF(ISNUMBER(SEARCH("平",B2498)),"平","仄")))</x:f>
        <x:v>仄</x:v>
      </x:c>
      <x:c r="K2498" s="6" t="str">
        <x:f>IF(D2498="","",IF(AND(ISNUMBER(SEARCH("平",D2498)),OR(ISNUMBER(SEARCH("上",D2498)),ISNUMBER(SEARCH("去",D2498)),ISNUMBER(SEARCH("入",D2498)))),"Ambiguous",IF(ISNUMBER(SEARCH("平",D2498)),"平","仄")))</x:f>
        <x:v>仄</x:v>
      </x:c>
      <x:c r="L2498" s="7" t="str">
        <x:v>Xun Gong, Tang 300 gap fill</x:v>
      </x:c>
    </x:row>
    <x:row r="2499">
      <x:c r="A2499" s="5" t="str">
        <x:v>猜</x:v>
      </x:c>
      <x:c r="B2499" s="6" t="str">
        <x:v>平</x:v>
      </x:c>
      <x:c r="C2499" s="6" t="str">
        <x:f>IF(B2499="","Needs decision","Ready")</x:f>
        <x:v>Ready</x:v>
      </x:c>
      <x:c r="D2499" s="6" t="str">
        <x:v>平</x:v>
      </x:c>
      <x:c r="E2499" s="6" t="str">
        <x:v>tshoj [t̙s̙ʰəj] (平)</x:v>
      </x:c>
      <x:c r="F2499" s="6" t="str">
        <x:v>上平聲十灰</x:v>
      </x:c>
      <x:c r="G2499" s="6" t="str">
        <x:v>Pingshui main list, Wikisource-derived DOCX</x:v>
      </x:c>
      <x:c r="H2499" s="6" t="str">
        <x:v>1</x:v>
      </x:c>
      <x:c r="I2499" s="6" t="str">
        <x:v>Tang 300 gap; frequency 2; provisional from Xun Gong</x:v>
      </x:c>
      <x:c r="J2499" s="6" t="str">
        <x:f>IF(B2499="","",IF(AND(ISNUMBER(SEARCH("平",B2499)),OR(ISNUMBER(SEARCH("上",B2499)),ISNUMBER(SEARCH("去",B2499)),ISNUMBER(SEARCH("入",B2499)))),"Ambiguous",IF(ISNUMBER(SEARCH("平",B2499)),"平","仄")))</x:f>
        <x:v>平</x:v>
      </x:c>
      <x:c r="K2499" s="6" t="str">
        <x:f>IF(D2499="","",IF(AND(ISNUMBER(SEARCH("平",D2499)),OR(ISNUMBER(SEARCH("上",D2499)),ISNUMBER(SEARCH("去",D2499)),ISNUMBER(SEARCH("入",D2499)))),"Ambiguous",IF(ISNUMBER(SEARCH("平",D2499)),"平","仄")))</x:f>
        <x:v>平</x:v>
      </x:c>
      <x:c r="L2499" s="7" t="str">
        <x:v>Xun Gong, Tang 300 gap fill</x:v>
      </x:c>
    </x:row>
    <x:row r="2500">
      <x:c r="A2500" s="5" t="str">
        <x:v>猨</x:v>
      </x:c>
      <x:c r="B2500" s="6" t="str">
        <x:v>平</x:v>
      </x:c>
      <x:c r="C2500" s="6" t="str">
        <x:f>IF(B2500="","Needs decision","Ready")</x:f>
        <x:v>Ready</x:v>
      </x:c>
      <x:c r="D2500" s="6" t="str">
        <x:v>平</x:v>
      </x:c>
      <x:c r="E2500" s="6" t="str">
        <x:v>hjwon (A)</x:v>
      </x:c>
      <x:c r="F2500" s="6" t="str"/>
      <x:c r="G2500" s="6" t="str"/>
      <x:c r="H2500" s="6" t="str">
        <x:v>1</x:v>
      </x:c>
      <x:c r="I2500" s="6" t="str"/>
      <x:c r="J2500" s="6" t="str">
        <x:f>IF(B2500="","",IF(AND(ISNUMBER(SEARCH("平",B2500)),OR(ISNUMBER(SEARCH("上",B2500)),ISNUMBER(SEARCH("去",B2500)),ISNUMBER(SEARCH("入",B2500)))),"Ambiguous",IF(ISNUMBER(SEARCH("平",B2500)),"平","仄")))</x:f>
        <x:v>平</x:v>
      </x:c>
      <x:c r="K2500" s="6" t="str">
        <x:f>IF(D2500="","",IF(AND(ISNUMBER(SEARCH("平",D2500)),OR(ISNUMBER(SEARCH("上",D2500)),ISNUMBER(SEARCH("去",D2500)),ISNUMBER(SEARCH("入",D2500)))),"Ambiguous",IF(ISNUMBER(SEARCH("平",D2500)),"平","仄")))</x:f>
        <x:v>平</x:v>
      </x:c>
      <x:c r="L2500" s="7" t="str"/>
    </x:row>
    <x:row r="2501">
      <x:c r="A2501" s="5" t="str">
        <x:v>猩</x:v>
      </x:c>
      <x:c r="B2501" s="6" t="str">
        <x:v>平</x:v>
      </x:c>
      <x:c r="C2501" s="6" t="str">
        <x:f>IF(B2501="","Needs decision","Ready")</x:f>
        <x:v>Ready</x:v>
      </x:c>
      <x:c r="D2501" s="6" t="str">
        <x:v>平</x:v>
      </x:c>
      <x:c r="E2501" s="6" t="str">
        <x:v>seng [s̙eŋ] (平); srjaeng [ʂɨ̯aŋ] (平)</x:v>
      </x:c>
      <x:c r="F2501" s="6" t="str">
        <x:v>下平聲八庚</x:v>
      </x:c>
      <x:c r="G2501" s="6" t="str">
        <x:v>Pingshui main list, Wikisource-derived DOCX</x:v>
      </x:c>
      <x:c r="H2501" s="6" t="str">
        <x:v>2</x:v>
      </x:c>
      <x:c r="I2501" s="6" t="str">
        <x:v>Tang 300 gap; frequency 2; provisional from Xun Gong</x:v>
      </x:c>
      <x:c r="J2501" s="6" t="str">
        <x:f>IF(B2501="","",IF(AND(ISNUMBER(SEARCH("平",B2501)),OR(ISNUMBER(SEARCH("上",B2501)),ISNUMBER(SEARCH("去",B2501)),ISNUMBER(SEARCH("入",B2501)))),"Ambiguous",IF(ISNUMBER(SEARCH("平",B2501)),"平","仄")))</x:f>
        <x:v>平</x:v>
      </x:c>
      <x:c r="K2501" s="6" t="str">
        <x:f>IF(D2501="","",IF(AND(ISNUMBER(SEARCH("平",D2501)),OR(ISNUMBER(SEARCH("上",D2501)),ISNUMBER(SEARCH("去",D2501)),ISNUMBER(SEARCH("入",D2501)))),"Ambiguous",IF(ISNUMBER(SEARCH("平",D2501)),"平","仄")))</x:f>
        <x:v>平</x:v>
      </x:c>
      <x:c r="L2501" s="7" t="str">
        <x:v>Xun Gong, Tang 300 gap fill</x:v>
      </x:c>
    </x:row>
    <x:row r="2502">
      <x:c r="A2502" s="5" t="str">
        <x:v>猱</x:v>
      </x:c>
      <x:c r="B2502" s="6" t="str">
        <x:v>平</x:v>
      </x:c>
      <x:c r="C2502" s="6" t="str">
        <x:f>IF(B2502="","Needs decision","Ready")</x:f>
        <x:v>Ready</x:v>
      </x:c>
      <x:c r="D2502" s="6" t="str">
        <x:v>平</x:v>
      </x:c>
      <x:c r="E2502" s="6" t="str">
        <x:v>naw (A)</x:v>
      </x:c>
      <x:c r="F2502" s="6" t="str">
        <x:v>下平聲四豪</x:v>
      </x:c>
      <x:c r="G2502" s="6" t="str">
        <x:v>Pingshui main list, Wikisource-derived DOCX</x:v>
      </x:c>
      <x:c r="H2502" s="6" t="str">
        <x:v>1</x:v>
      </x:c>
      <x:c r="I2502" s="6" t="str"/>
      <x:c r="J2502" s="6" t="str">
        <x:f>IF(B2502="","",IF(AND(ISNUMBER(SEARCH("平",B2502)),OR(ISNUMBER(SEARCH("上",B2502)),ISNUMBER(SEARCH("去",B2502)),ISNUMBER(SEARCH("入",B2502)))),"Ambiguous",IF(ISNUMBER(SEARCH("平",B2502)),"平","仄")))</x:f>
        <x:v>平</x:v>
      </x:c>
      <x:c r="K2502" s="6" t="str">
        <x:f>IF(D2502="","",IF(AND(ISNUMBER(SEARCH("平",D2502)),OR(ISNUMBER(SEARCH("上",D2502)),ISNUMBER(SEARCH("去",D2502)),ISNUMBER(SEARCH("入",D2502)))),"Ambiguous",IF(ISNUMBER(SEARCH("平",D2502)),"平","仄")))</x:f>
        <x:v>平</x:v>
      </x:c>
      <x:c r="L2502" s="7" t="str"/>
    </x:row>
    <x:row r="2503">
      <x:c r="A2503" s="5" t="str">
        <x:v>猴</x:v>
      </x:c>
      <x:c r="B2503" s="6" t="str">
        <x:v>平</x:v>
      </x:c>
      <x:c r="C2503" s="6" t="str">
        <x:f>IF(B2503="","Needs decision","Ready")</x:f>
        <x:v>Ready</x:v>
      </x:c>
      <x:c r="D2503" s="6" t="str">
        <x:v>平</x:v>
      </x:c>
      <x:c r="E2503" s="6" t="str">
        <x:v>huw (A)</x:v>
      </x:c>
      <x:c r="F2503" s="6" t="str">
        <x:v>下平聲十一尤</x:v>
      </x:c>
      <x:c r="G2503" s="6" t="str">
        <x:v>Pingshui main list, Wikisource-derived DOCX</x:v>
      </x:c>
      <x:c r="H2503" s="6" t="str">
        <x:v>1</x:v>
      </x:c>
      <x:c r="I2503" s="6" t="str"/>
      <x:c r="J2503" s="6" t="str">
        <x:f>IF(B2503="","",IF(AND(ISNUMBER(SEARCH("平",B2503)),OR(ISNUMBER(SEARCH("上",B2503)),ISNUMBER(SEARCH("去",B2503)),ISNUMBER(SEARCH("入",B2503)))),"Ambiguous",IF(ISNUMBER(SEARCH("平",B2503)),"平","仄")))</x:f>
        <x:v>平</x:v>
      </x:c>
      <x:c r="K2503" s="6" t="str">
        <x:f>IF(D2503="","",IF(AND(ISNUMBER(SEARCH("平",D2503)),OR(ISNUMBER(SEARCH("上",D2503)),ISNUMBER(SEARCH("去",D2503)),ISNUMBER(SEARCH("入",D2503)))),"Ambiguous",IF(ISNUMBER(SEARCH("平",D2503)),"平","仄")))</x:f>
        <x:v>平</x:v>
      </x:c>
      <x:c r="L2503" s="7" t="str"/>
    </x:row>
    <x:row r="2504">
      <x:c r="A2504" s="5" t="str">
        <x:v>猶</x:v>
      </x:c>
      <x:c r="B2504" s="6" t="str">
        <x:v>平</x:v>
      </x:c>
      <x:c r="C2504" s="6" t="str">
        <x:f>IF(B2504="","Needs decision","Ready")</x:f>
        <x:v>Ready</x:v>
      </x:c>
      <x:c r="D2504" s="6" t="str">
        <x:v>平</x:v>
      </x:c>
      <x:c r="E2504" s="6" t="str">
        <x:v>yuw (A)</x:v>
      </x:c>
      <x:c r="F2504" s="6" t="str">
        <x:v>下平聲十一尤; 去聲二十六宥</x:v>
      </x:c>
      <x:c r="G2504" s="6" t="str">
        <x:v>Pingshui main list, Wikisource-derived DOCX</x:v>
      </x:c>
      <x:c r="H2504" s="6" t="str">
        <x:v>1</x:v>
      </x:c>
      <x:c r="I2504" s="6" t="str"/>
      <x:c r="J2504" s="6" t="str">
        <x:f>IF(B2504="","",IF(AND(ISNUMBER(SEARCH("平",B2504)),OR(ISNUMBER(SEARCH("上",B2504)),ISNUMBER(SEARCH("去",B2504)),ISNUMBER(SEARCH("入",B2504)))),"Ambiguous",IF(ISNUMBER(SEARCH("平",B2504)),"平","仄")))</x:f>
        <x:v>平</x:v>
      </x:c>
      <x:c r="K2504" s="6" t="str">
        <x:f>IF(D2504="","",IF(AND(ISNUMBER(SEARCH("平",D2504)),OR(ISNUMBER(SEARCH("上",D2504)),ISNUMBER(SEARCH("去",D2504)),ISNUMBER(SEARCH("入",D2504)))),"Ambiguous",IF(ISNUMBER(SEARCH("平",D2504)),"平","仄")))</x:f>
        <x:v>平</x:v>
      </x:c>
      <x:c r="L2504" s="7" t="str"/>
    </x:row>
    <x:row r="2505">
      <x:c r="A2505" s="5" t="str">
        <x:v>猷</x:v>
      </x:c>
      <x:c r="B2505" s="6" t="str">
        <x:v>平</x:v>
      </x:c>
      <x:c r="C2505" s="6" t="str">
        <x:f>IF(B2505="","Needs decision","Ready")</x:f>
        <x:v>Ready</x:v>
      </x:c>
      <x:c r="D2505" s="6" t="str">
        <x:v>平</x:v>
      </x:c>
      <x:c r="E2505" s="6" t="str"/>
      <x:c r="F2505" s="6" t="str">
        <x:v>下平聲十一尤</x:v>
      </x:c>
      <x:c r="G2505" s="6" t="str">
        <x:v>Pingshui main list, Wikisource-derived DOCX</x:v>
      </x:c>
      <x:c r="H2505" s="6" t="str"/>
      <x:c r="I2505" s="6" t="str">
        <x:v>Manual user correction/addition</x:v>
      </x:c>
      <x:c r="J2505" s="6" t="str">
        <x:f>IF(B2505="","",IF(AND(ISNUMBER(SEARCH("平",B2505)),OR(ISNUMBER(SEARCH("上",B2505)),ISNUMBER(SEARCH("去",B2505)),ISNUMBER(SEARCH("入",B2505)))),"Ambiguous",IF(ISNUMBER(SEARCH("平",B2505)),"平","仄")))</x:f>
        <x:v>平</x:v>
      </x:c>
      <x:c r="K2505" s="6" t="str">
        <x:f>IF(D2505="","",IF(AND(ISNUMBER(SEARCH("平",D2505)),OR(ISNUMBER(SEARCH("上",D2505)),ISNUMBER(SEARCH("去",D2505)),ISNUMBER(SEARCH("入",D2505)))),"Ambiguous",IF(ISNUMBER(SEARCH("平",D2505)),"平","仄")))</x:f>
        <x:v>平</x:v>
      </x:c>
      <x:c r="L2505" s="7" t="str">
        <x:v>manual user correction</x:v>
      </x:c>
    </x:row>
    <x:row r="2506">
      <x:c r="A2506" s="5" t="str">
        <x:v>猾</x:v>
      </x:c>
      <x:c r="B2506" s="6" t="str">
        <x:v>入</x:v>
      </x:c>
      <x:c r="C2506" s="6" t="str">
        <x:f>IF(B2506="","Needs decision","Ready")</x:f>
        <x:v>Ready</x:v>
      </x:c>
      <x:c r="D2506" s="6" t="str">
        <x:v>入</x:v>
      </x:c>
      <x:c r="E2506" s="6" t="str">
        <x:v>hweat (D)</x:v>
      </x:c>
      <x:c r="F2506" s="6" t="str">
        <x:v>入聲八黠</x:v>
      </x:c>
      <x:c r="G2506" s="6" t="str">
        <x:v>Pingshui main list, Wikisource-derived DOCX</x:v>
      </x:c>
      <x:c r="H2506" s="6" t="str">
        <x:v>1</x:v>
      </x:c>
      <x:c r="I2506" s="6" t="str"/>
      <x:c r="J2506" s="6" t="str">
        <x:f>IF(B2506="","",IF(AND(ISNUMBER(SEARCH("平",B2506)),OR(ISNUMBER(SEARCH("上",B2506)),ISNUMBER(SEARCH("去",B2506)),ISNUMBER(SEARCH("入",B2506)))),"Ambiguous",IF(ISNUMBER(SEARCH("平",B2506)),"平","仄")))</x:f>
        <x:v>仄</x:v>
      </x:c>
      <x:c r="K2506" s="6" t="str">
        <x:f>IF(D2506="","",IF(AND(ISNUMBER(SEARCH("平",D2506)),OR(ISNUMBER(SEARCH("上",D2506)),ISNUMBER(SEARCH("去",D2506)),ISNUMBER(SEARCH("入",D2506)))),"Ambiguous",IF(ISNUMBER(SEARCH("平",D2506)),"平","仄")))</x:f>
        <x:v>仄</x:v>
      </x:c>
      <x:c r="L2506" s="7" t="str"/>
    </x:row>
    <x:row r="2507">
      <x:c r="A2507" s="5" t="str">
        <x:v>猿</x:v>
      </x:c>
      <x:c r="B2507" s="6" t="str">
        <x:v>平</x:v>
      </x:c>
      <x:c r="C2507" s="6" t="str">
        <x:f>IF(B2507="","Needs decision","Ready")</x:f>
        <x:v>Ready</x:v>
      </x:c>
      <x:c r="D2507" s="6" t="str">
        <x:v>平</x:v>
      </x:c>
      <x:c r="E2507" s="6" t="str">
        <x:v>hjwon [wɨ̯ən] (平)</x:v>
      </x:c>
      <x:c r="F2507" s="6" t="str"/>
      <x:c r="G2507" s="6" t="str"/>
      <x:c r="H2507" s="6" t="str">
        <x:v>1</x:v>
      </x:c>
      <x:c r="I2507" s="6" t="str">
        <x:v>Tang 300 gap; frequency 12; provisional from Xun Gong</x:v>
      </x:c>
      <x:c r="J2507" s="6" t="str">
        <x:f>IF(B2507="","",IF(AND(ISNUMBER(SEARCH("平",B2507)),OR(ISNUMBER(SEARCH("上",B2507)),ISNUMBER(SEARCH("去",B2507)),ISNUMBER(SEARCH("入",B2507)))),"Ambiguous",IF(ISNUMBER(SEARCH("平",B2507)),"平","仄")))</x:f>
        <x:v>平</x:v>
      </x:c>
      <x:c r="K2507" s="6" t="str">
        <x:f>IF(D2507="","",IF(AND(ISNUMBER(SEARCH("平",D2507)),OR(ISNUMBER(SEARCH("上",D2507)),ISNUMBER(SEARCH("去",D2507)),ISNUMBER(SEARCH("入",D2507)))),"Ambiguous",IF(ISNUMBER(SEARCH("平",D2507)),"平","仄")))</x:f>
        <x:v>平</x:v>
      </x:c>
      <x:c r="L2507" s="7" t="str">
        <x:v>Xun Gong, Tang 300 gap fill</x:v>
      </x:c>
    </x:row>
    <x:row r="2508">
      <x:c r="A2508" s="5" t="str">
        <x:v>獄</x:v>
      </x:c>
      <x:c r="B2508" s="6" t="str">
        <x:v>入</x:v>
      </x:c>
      <x:c r="C2508" s="6" t="str">
        <x:f>IF(B2508="","Needs decision","Ready")</x:f>
        <x:v>Ready</x:v>
      </x:c>
      <x:c r="D2508" s="6" t="str">
        <x:v>入</x:v>
      </x:c>
      <x:c r="E2508" s="6" t="str">
        <x:v>ngjowk (D)</x:v>
      </x:c>
      <x:c r="F2508" s="6" t="str">
        <x:v>入聲二沃</x:v>
      </x:c>
      <x:c r="G2508" s="6" t="str">
        <x:v>Pingshui main list, Wikisource-derived DOCX</x:v>
      </x:c>
      <x:c r="H2508" s="6" t="str">
        <x:v>1</x:v>
      </x:c>
      <x:c r="I2508" s="6" t="str"/>
      <x:c r="J2508" s="6" t="str">
        <x:f>IF(B2508="","",IF(AND(ISNUMBER(SEARCH("平",B2508)),OR(ISNUMBER(SEARCH("上",B2508)),ISNUMBER(SEARCH("去",B2508)),ISNUMBER(SEARCH("入",B2508)))),"Ambiguous",IF(ISNUMBER(SEARCH("平",B2508)),"平","仄")))</x:f>
        <x:v>仄</x:v>
      </x:c>
      <x:c r="K2508" s="6" t="str">
        <x:f>IF(D2508="","",IF(AND(ISNUMBER(SEARCH("平",D2508)),OR(ISNUMBER(SEARCH("上",D2508)),ISNUMBER(SEARCH("去",D2508)),ISNUMBER(SEARCH("入",D2508)))),"Ambiguous",IF(ISNUMBER(SEARCH("平",D2508)),"平","仄")))</x:f>
        <x:v>仄</x:v>
      </x:c>
      <x:c r="L2508" s="7" t="str"/>
    </x:row>
    <x:row r="2509">
      <x:c r="A2509" s="5" t="str">
        <x:v>獅</x:v>
      </x:c>
      <x:c r="B2509" s="6" t="str">
        <x:v>平</x:v>
      </x:c>
      <x:c r="C2509" s="6" t="str">
        <x:f>IF(B2509="","Needs decision","Ready")</x:f>
        <x:v>Ready</x:v>
      </x:c>
      <x:c r="D2509" s="6" t="str">
        <x:v>平</x:v>
      </x:c>
      <x:c r="E2509" s="6" t="str">
        <x:v>srij [ʂɨ̯i] (平)</x:v>
      </x:c>
      <x:c r="F2509" s="6" t="str">
        <x:v>上平聲四支</x:v>
      </x:c>
      <x:c r="G2509" s="6" t="str">
        <x:v>Pingshui main list, Wikisource-derived DOCX</x:v>
      </x:c>
      <x:c r="H2509" s="6" t="str">
        <x:v>1</x:v>
      </x:c>
      <x:c r="I2509" s="6" t="str">
        <x:v>Tang 300 gap; frequency 1; provisional from Xun Gong</x:v>
      </x:c>
      <x:c r="J2509" s="6" t="str">
        <x:f>IF(B2509="","",IF(AND(ISNUMBER(SEARCH("平",B2509)),OR(ISNUMBER(SEARCH("上",B2509)),ISNUMBER(SEARCH("去",B2509)),ISNUMBER(SEARCH("入",B2509)))),"Ambiguous",IF(ISNUMBER(SEARCH("平",B2509)),"平","仄")))</x:f>
        <x:v>平</x:v>
      </x:c>
      <x:c r="K2509" s="6" t="str">
        <x:f>IF(D2509="","",IF(AND(ISNUMBER(SEARCH("平",D2509)),OR(ISNUMBER(SEARCH("上",D2509)),ISNUMBER(SEARCH("去",D2509)),ISNUMBER(SEARCH("入",D2509)))),"Ambiguous",IF(ISNUMBER(SEARCH("平",D2509)),"平","仄")))</x:f>
        <x:v>平</x:v>
      </x:c>
      <x:c r="L2509" s="7" t="str">
        <x:v>Xun Gong, Tang 300 gap fill</x:v>
      </x:c>
    </x:row>
    <x:row r="2510">
      <x:c r="A2510" s="5" t="str">
        <x:v>獎</x:v>
      </x:c>
      <x:c r="B2510" s="6" t="str">
        <x:v>上</x:v>
      </x:c>
      <x:c r="C2510" s="6" t="str">
        <x:f>IF(B2510="","Needs decision","Ready")</x:f>
        <x:v>Ready</x:v>
      </x:c>
      <x:c r="D2510" s="6" t="str">
        <x:v>上</x:v>
      </x:c>
      <x:c r="E2510" s="6" t="str"/>
      <x:c r="F2510" s="6" t="str">
        <x:v>上聲二十二養</x:v>
      </x:c>
      <x:c r="G2510" s="6" t="str">
        <x:v>Pingshui main list, Wikisource-derived DOCX</x:v>
      </x:c>
      <x:c r="H2510" s="6" t="str"/>
      <x:c r="I2510" s="6" t="str">
        <x:v>Manual user correction/addition</x:v>
      </x:c>
      <x:c r="J2510" s="6" t="str">
        <x:f>IF(B2510="","",IF(AND(ISNUMBER(SEARCH("平",B2510)),OR(ISNUMBER(SEARCH("上",B2510)),ISNUMBER(SEARCH("去",B2510)),ISNUMBER(SEARCH("入",B2510)))),"Ambiguous",IF(ISNUMBER(SEARCH("平",B2510)),"平","仄")))</x:f>
        <x:v>仄</x:v>
      </x:c>
      <x:c r="K2510" s="6" t="str">
        <x:f>IF(D2510="","",IF(AND(ISNUMBER(SEARCH("平",D2510)),OR(ISNUMBER(SEARCH("上",D2510)),ISNUMBER(SEARCH("去",D2510)),ISNUMBER(SEARCH("入",D2510)))),"Ambiguous",IF(ISNUMBER(SEARCH("平",D2510)),"平","仄")))</x:f>
        <x:v>仄</x:v>
      </x:c>
      <x:c r="L2510" s="7" t="str">
        <x:v>manual user correction</x:v>
      </x:c>
    </x:row>
    <x:row r="2511">
      <x:c r="A2511" s="5" t="str">
        <x:v>獐</x:v>
      </x:c>
      <x:c r="B2511" s="6" t="str">
        <x:v>平</x:v>
      </x:c>
      <x:c r="C2511" s="6" t="str">
        <x:f>IF(B2511="","Needs decision","Ready")</x:f>
        <x:v>Ready</x:v>
      </x:c>
      <x:c r="D2511" s="6" t="str">
        <x:v>平</x:v>
      </x:c>
      <x:c r="E2511" s="6" t="str">
        <x:v>tsyang (A)</x:v>
      </x:c>
      <x:c r="F2511" s="6" t="str"/>
      <x:c r="G2511" s="6" t="str"/>
      <x:c r="H2511" s="6" t="str">
        <x:v>1</x:v>
      </x:c>
      <x:c r="I2511" s="6" t="str"/>
      <x:c r="J2511" s="6" t="str">
        <x:f>IF(B2511="","",IF(AND(ISNUMBER(SEARCH("平",B2511)),OR(ISNUMBER(SEARCH("上",B2511)),ISNUMBER(SEARCH("去",B2511)),ISNUMBER(SEARCH("入",B2511)))),"Ambiguous",IF(ISNUMBER(SEARCH("平",B2511)),"平","仄")))</x:f>
        <x:v>平</x:v>
      </x:c>
      <x:c r="K2511" s="6" t="str">
        <x:f>IF(D2511="","",IF(AND(ISNUMBER(SEARCH("平",D2511)),OR(ISNUMBER(SEARCH("上",D2511)),ISNUMBER(SEARCH("去",D2511)),ISNUMBER(SEARCH("入",D2511)))),"Ambiguous",IF(ISNUMBER(SEARCH("平",D2511)),"平","仄")))</x:f>
        <x:v>平</x:v>
      </x:c>
      <x:c r="L2511" s="7" t="str"/>
    </x:row>
    <x:row r="2512">
      <x:c r="A2512" s="5" t="str">
        <x:v>獨</x:v>
      </x:c>
      <x:c r="B2512" s="6" t="str">
        <x:v>入</x:v>
      </x:c>
      <x:c r="C2512" s="6" t="str">
        <x:f>IF(B2512="","Needs decision","Ready")</x:f>
        <x:v>Ready</x:v>
      </x:c>
      <x:c r="D2512" s="6" t="str">
        <x:v>入</x:v>
      </x:c>
      <x:c r="E2512" s="6" t="str">
        <x:v>duwk (D)</x:v>
      </x:c>
      <x:c r="F2512" s="6" t="str">
        <x:v>入聲一屋</x:v>
      </x:c>
      <x:c r="G2512" s="6" t="str">
        <x:v>Pingshui main list, Wikisource-derived DOCX</x:v>
      </x:c>
      <x:c r="H2512" s="6" t="str">
        <x:v>1</x:v>
      </x:c>
      <x:c r="I2512" s="6" t="str"/>
      <x:c r="J2512" s="6" t="str">
        <x:f>IF(B2512="","",IF(AND(ISNUMBER(SEARCH("平",B2512)),OR(ISNUMBER(SEARCH("上",B2512)),ISNUMBER(SEARCH("去",B2512)),ISNUMBER(SEARCH("入",B2512)))),"Ambiguous",IF(ISNUMBER(SEARCH("平",B2512)),"平","仄")))</x:f>
        <x:v>仄</x:v>
      </x:c>
      <x:c r="K2512" s="6" t="str">
        <x:f>IF(D2512="","",IF(AND(ISNUMBER(SEARCH("平",D2512)),OR(ISNUMBER(SEARCH("上",D2512)),ISNUMBER(SEARCH("去",D2512)),ISNUMBER(SEARCH("入",D2512)))),"Ambiguous",IF(ISNUMBER(SEARCH("平",D2512)),"平","仄")))</x:f>
        <x:v>仄</x:v>
      </x:c>
      <x:c r="L2512" s="7" t="str"/>
    </x:row>
    <x:row r="2513">
      <x:c r="A2513" s="5" t="str">
        <x:v>獮</x:v>
      </x:c>
      <x:c r="B2513" s="6" t="str">
        <x:v>上</x:v>
      </x:c>
      <x:c r="C2513" s="6" t="str">
        <x:f>IF(B2513="","Needs decision","Ready")</x:f>
        <x:v>Ready</x:v>
      </x:c>
      <x:c r="D2513" s="6" t="str">
        <x:v>上</x:v>
      </x:c>
      <x:c r="E2513" s="6" t="str">
        <x:v>sjenX (B)</x:v>
      </x:c>
      <x:c r="F2513" s="6" t="str">
        <x:v>上聲十六銑</x:v>
      </x:c>
      <x:c r="G2513" s="6" t="str">
        <x:v>Pingshui main list, Wikisource-derived DOCX</x:v>
      </x:c>
      <x:c r="H2513" s="6" t="str">
        <x:v>1</x:v>
      </x:c>
      <x:c r="I2513" s="6" t="str"/>
      <x:c r="J2513" s="6" t="str">
        <x:f>IF(B2513="","",IF(AND(ISNUMBER(SEARCH("平",B2513)),OR(ISNUMBER(SEARCH("上",B2513)),ISNUMBER(SEARCH("去",B2513)),ISNUMBER(SEARCH("入",B2513)))),"Ambiguous",IF(ISNUMBER(SEARCH("平",B2513)),"平","仄")))</x:f>
        <x:v>仄</x:v>
      </x:c>
      <x:c r="K2513" s="6" t="str">
        <x:f>IF(D2513="","",IF(AND(ISNUMBER(SEARCH("平",D2513)),OR(ISNUMBER(SEARCH("上",D2513)),ISNUMBER(SEARCH("去",D2513)),ISNUMBER(SEARCH("入",D2513)))),"Ambiguous",IF(ISNUMBER(SEARCH("平",D2513)),"平","仄")))</x:f>
        <x:v>仄</x:v>
      </x:c>
      <x:c r="L2513" s="7" t="str"/>
    </x:row>
    <x:row r="2514">
      <x:c r="A2514" s="5" t="str">
        <x:v>獲</x:v>
      </x:c>
      <x:c r="B2514" s="6" t="str">
        <x:v>入</x:v>
      </x:c>
      <x:c r="C2514" s="6" t="str">
        <x:f>IF(B2514="","Needs decision","Ready")</x:f>
        <x:v>Ready</x:v>
      </x:c>
      <x:c r="D2514" s="6" t="str">
        <x:v>入</x:v>
      </x:c>
      <x:c r="E2514" s="6" t="str">
        <x:v>hweak (D)</x:v>
      </x:c>
      <x:c r="F2514" s="6" t="str">
        <x:v>去聲七遇; 入聲十一陌</x:v>
      </x:c>
      <x:c r="G2514" s="6" t="str">
        <x:v>Pingshui main list, Wikisource-derived DOCX</x:v>
      </x:c>
      <x:c r="H2514" s="6" t="str">
        <x:v>1</x:v>
      </x:c>
      <x:c r="I2514" s="6" t="str"/>
      <x:c r="J2514" s="6" t="str">
        <x:f>IF(B2514="","",IF(AND(ISNUMBER(SEARCH("平",B2514)),OR(ISNUMBER(SEARCH("上",B2514)),ISNUMBER(SEARCH("去",B2514)),ISNUMBER(SEARCH("入",B2514)))),"Ambiguous",IF(ISNUMBER(SEARCH("平",B2514)),"平","仄")))</x:f>
        <x:v>仄</x:v>
      </x:c>
      <x:c r="K2514" s="6" t="str">
        <x:f>IF(D2514="","",IF(AND(ISNUMBER(SEARCH("平",D2514)),OR(ISNUMBER(SEARCH("上",D2514)),ISNUMBER(SEARCH("去",D2514)),ISNUMBER(SEARCH("入",D2514)))),"Ambiguous",IF(ISNUMBER(SEARCH("平",D2514)),"平","仄")))</x:f>
        <x:v>仄</x:v>
      </x:c>
      <x:c r="L2514" s="7" t="str"/>
    </x:row>
    <x:row r="2515">
      <x:c r="A2515" s="5" t="str">
        <x:v>獵</x:v>
      </x:c>
      <x:c r="B2515" s="6" t="str">
        <x:v>入</x:v>
      </x:c>
      <x:c r="C2515" s="6" t="str">
        <x:f>IF(B2515="","Needs decision","Ready")</x:f>
        <x:v>Ready</x:v>
      </x:c>
      <x:c r="D2515" s="6" t="str">
        <x:v>入</x:v>
      </x:c>
      <x:c r="E2515" s="6" t="str">
        <x:v>ljep (D)</x:v>
      </x:c>
      <x:c r="F2515" s="6" t="str">
        <x:v>入聲十六葉</x:v>
      </x:c>
      <x:c r="G2515" s="6" t="str">
        <x:v>Pingshui main list, Wikisource-derived DOCX</x:v>
      </x:c>
      <x:c r="H2515" s="6" t="str">
        <x:v>1</x:v>
      </x:c>
      <x:c r="I2515" s="6" t="str"/>
      <x:c r="J2515" s="6" t="str">
        <x:f>IF(B2515="","",IF(AND(ISNUMBER(SEARCH("平",B2515)),OR(ISNUMBER(SEARCH("上",B2515)),ISNUMBER(SEARCH("去",B2515)),ISNUMBER(SEARCH("入",B2515)))),"Ambiguous",IF(ISNUMBER(SEARCH("平",B2515)),"平","仄")))</x:f>
        <x:v>仄</x:v>
      </x:c>
      <x:c r="K2515" s="6" t="str">
        <x:f>IF(D2515="","",IF(AND(ISNUMBER(SEARCH("平",D2515)),OR(ISNUMBER(SEARCH("上",D2515)),ISNUMBER(SEARCH("去",D2515)),ISNUMBER(SEARCH("入",D2515)))),"Ambiguous",IF(ISNUMBER(SEARCH("平",D2515)),"平","仄")))</x:f>
        <x:v>仄</x:v>
      </x:c>
      <x:c r="L2515" s="7" t="str"/>
    </x:row>
    <x:row r="2516">
      <x:c r="A2516" s="5" t="str">
        <x:v>獶</x:v>
      </x:c>
      <x:c r="B2516" s="6" t="str">
        <x:v>平</x:v>
      </x:c>
      <x:c r="C2516" s="6" t="str">
        <x:f>IF(B2516="","Needs decision","Ready")</x:f>
        <x:v>Ready</x:v>
      </x:c>
      <x:c r="D2516" s="6" t="str">
        <x:v>平</x:v>
      </x:c>
      <x:c r="E2516" s="6" t="str">
        <x:v>naw (A)</x:v>
      </x:c>
      <x:c r="F2516" s="6" t="str"/>
      <x:c r="G2516" s="6" t="str"/>
      <x:c r="H2516" s="6" t="str">
        <x:v>1</x:v>
      </x:c>
      <x:c r="I2516" s="6" t="str"/>
      <x:c r="J2516" s="6" t="str">
        <x:f>IF(B2516="","",IF(AND(ISNUMBER(SEARCH("平",B2516)),OR(ISNUMBER(SEARCH("上",B2516)),ISNUMBER(SEARCH("去",B2516)),ISNUMBER(SEARCH("入",B2516)))),"Ambiguous",IF(ISNUMBER(SEARCH("平",B2516)),"平","仄")))</x:f>
        <x:v>平</x:v>
      </x:c>
      <x:c r="K2516" s="6" t="str">
        <x:f>IF(D2516="","",IF(AND(ISNUMBER(SEARCH("平",D2516)),OR(ISNUMBER(SEARCH("上",D2516)),ISNUMBER(SEARCH("去",D2516)),ISNUMBER(SEARCH("入",D2516)))),"Ambiguous",IF(ISNUMBER(SEARCH("平",D2516)),"平","仄")))</x:f>
        <x:v>平</x:v>
      </x:c>
      <x:c r="L2516" s="7" t="str"/>
    </x:row>
    <x:row r="2517">
      <x:c r="A2517" s="5" t="str">
        <x:v>獸</x:v>
      </x:c>
      <x:c r="B2517" s="6" t="str">
        <x:v>去</x:v>
      </x:c>
      <x:c r="C2517" s="6" t="str">
        <x:f>IF(B2517="","Needs decision","Ready")</x:f>
        <x:v>Ready</x:v>
      </x:c>
      <x:c r="D2517" s="6" t="str">
        <x:v>去</x:v>
      </x:c>
      <x:c r="E2517" s="6" t="str">
        <x:v>syuwH (C)</x:v>
      </x:c>
      <x:c r="F2517" s="6" t="str">
        <x:v>去聲二十六宥</x:v>
      </x:c>
      <x:c r="G2517" s="6" t="str">
        <x:v>Pingshui main list, Wikisource-derived DOCX</x:v>
      </x:c>
      <x:c r="H2517" s="6" t="str">
        <x:v>1</x:v>
      </x:c>
      <x:c r="I2517" s="6" t="str"/>
      <x:c r="J2517" s="6" t="str">
        <x:f>IF(B2517="","",IF(AND(ISNUMBER(SEARCH("平",B2517)),OR(ISNUMBER(SEARCH("上",B2517)),ISNUMBER(SEARCH("去",B2517)),ISNUMBER(SEARCH("入",B2517)))),"Ambiguous",IF(ISNUMBER(SEARCH("平",B2517)),"平","仄")))</x:f>
        <x:v>仄</x:v>
      </x:c>
      <x:c r="K2517" s="6" t="str">
        <x:f>IF(D2517="","",IF(AND(ISNUMBER(SEARCH("平",D2517)),OR(ISNUMBER(SEARCH("上",D2517)),ISNUMBER(SEARCH("去",D2517)),ISNUMBER(SEARCH("入",D2517)))),"Ambiguous",IF(ISNUMBER(SEARCH("平",D2517)),"平","仄")))</x:f>
        <x:v>仄</x:v>
      </x:c>
      <x:c r="L2517" s="7" t="str"/>
    </x:row>
    <x:row r="2518">
      <x:c r="A2518" s="5" t="str">
        <x:v>獺</x:v>
      </x:c>
      <x:c r="B2518" s="6" t="str">
        <x:v>入</x:v>
      </x:c>
      <x:c r="C2518" s="6" t="str">
        <x:f>IF(B2518="","Needs decision","Ready")</x:f>
        <x:v>Ready</x:v>
      </x:c>
      <x:c r="D2518" s="6" t="str">
        <x:v>入</x:v>
      </x:c>
      <x:c r="E2518" s="6" t="str">
        <x:v>that (D); trhaet (D)</x:v>
      </x:c>
      <x:c r="F2518" s="6" t="str">
        <x:v>入聲七曷; 入聲八黠</x:v>
      </x:c>
      <x:c r="G2518" s="6" t="str">
        <x:v>Pingshui main list, Wikisource-derived DOCX</x:v>
      </x:c>
      <x:c r="H2518" s="6" t="str">
        <x:v>2</x:v>
      </x:c>
      <x:c r="I2518" s="6" t="str"/>
      <x:c r="J2518" s="6" t="str">
        <x:f>IF(B2518="","",IF(AND(ISNUMBER(SEARCH("平",B2518)),OR(ISNUMBER(SEARCH("上",B2518)),ISNUMBER(SEARCH("去",B2518)),ISNUMBER(SEARCH("入",B2518)))),"Ambiguous",IF(ISNUMBER(SEARCH("平",B2518)),"平","仄")))</x:f>
        <x:v>仄</x:v>
      </x:c>
      <x:c r="K2518" s="6" t="str">
        <x:f>IF(D2518="","",IF(AND(ISNUMBER(SEARCH("平",D2518)),OR(ISNUMBER(SEARCH("上",D2518)),ISNUMBER(SEARCH("去",D2518)),ISNUMBER(SEARCH("入",D2518)))),"Ambiguous",IF(ISNUMBER(SEARCH("平",D2518)),"平","仄")))</x:f>
        <x:v>仄</x:v>
      </x:c>
      <x:c r="L2518" s="7" t="str"/>
    </x:row>
    <x:row r="2519">
      <x:c r="A2519" s="5" t="str">
        <x:v>獻</x:v>
      </x:c>
      <x:c r="B2519" s="6" t="str">
        <x:v>去</x:v>
      </x:c>
      <x:c r="C2519" s="6" t="str">
        <x:f>IF(B2519="","Needs decision","Ready")</x:f>
        <x:v>Ready</x:v>
      </x:c>
      <x:c r="D2519" s="6" t="str">
        <x:v>平/去</x:v>
      </x:c>
      <x:c r="E2519" s="6" t="str">
        <x:v>sa (A); xjonH (C)</x:v>
      </x:c>
      <x:c r="F2519" s="6" t="str">
        <x:v>下平聲五歌; 去聲十四願</x:v>
      </x:c>
      <x:c r="G2519" s="6" t="str">
        <x:v>Pingshui main list, Wikisource-derived DOCX</x:v>
      </x:c>
      <x:c r="H2519" s="6" t="str">
        <x:v>2</x:v>
      </x:c>
      <x:c r="I2519" s="6" t="str"/>
      <x:c r="J2519" s="6" t="str">
        <x:f>IF(B2519="","",IF(AND(ISNUMBER(SEARCH("平",B2519)),OR(ISNUMBER(SEARCH("上",B2519)),ISNUMBER(SEARCH("去",B2519)),ISNUMBER(SEARCH("入",B2519)))),"Ambiguous",IF(ISNUMBER(SEARCH("平",B2519)),"平","仄")))</x:f>
        <x:v>仄</x:v>
      </x:c>
      <x:c r="K2519" s="6" t="str">
        <x:f>IF(D2519="","",IF(AND(ISNUMBER(SEARCH("平",D2519)),OR(ISNUMBER(SEARCH("上",D2519)),ISNUMBER(SEARCH("去",D2519)),ISNUMBER(SEARCH("入",D2519)))),"Ambiguous",IF(ISNUMBER(SEARCH("平",D2519)),"平","仄")))</x:f>
        <x:v>Ambiguous</x:v>
      </x:c>
      <x:c r="L2519" s="7" t="str"/>
    </x:row>
    <x:row r="2520">
      <x:c r="A2520" s="5" t="str">
        <x:v>玄</x:v>
      </x:c>
      <x:c r="B2520" s="6" t="str">
        <x:v>平</x:v>
      </x:c>
      <x:c r="C2520" s="6" t="str">
        <x:f>IF(B2520="","Needs decision","Ready")</x:f>
        <x:v>Ready</x:v>
      </x:c>
      <x:c r="D2520" s="6" t="str">
        <x:v>平</x:v>
      </x:c>
      <x:c r="E2520" s="6" t="str">
        <x:v>hwen (A)</x:v>
      </x:c>
      <x:c r="F2520" s="6" t="str">
        <x:v>下平聲一先</x:v>
      </x:c>
      <x:c r="G2520" s="6" t="str">
        <x:v>Pingshui main list, Wikisource-derived DOCX</x:v>
      </x:c>
      <x:c r="H2520" s="6" t="str">
        <x:v>1</x:v>
      </x:c>
      <x:c r="I2520" s="6" t="str"/>
      <x:c r="J2520" s="6" t="str">
        <x:f>IF(B2520="","",IF(AND(ISNUMBER(SEARCH("平",B2520)),OR(ISNUMBER(SEARCH("上",B2520)),ISNUMBER(SEARCH("去",B2520)),ISNUMBER(SEARCH("入",B2520)))),"Ambiguous",IF(ISNUMBER(SEARCH("平",B2520)),"平","仄")))</x:f>
        <x:v>平</x:v>
      </x:c>
      <x:c r="K2520" s="6" t="str">
        <x:f>IF(D2520="","",IF(AND(ISNUMBER(SEARCH("平",D2520)),OR(ISNUMBER(SEARCH("上",D2520)),ISNUMBER(SEARCH("去",D2520)),ISNUMBER(SEARCH("入",D2520)))),"Ambiguous",IF(ISNUMBER(SEARCH("平",D2520)),"平","仄")))</x:f>
        <x:v>平</x:v>
      </x:c>
      <x:c r="L2520" s="7" t="str"/>
    </x:row>
    <x:row r="2521">
      <x:c r="A2521" s="5" t="str">
        <x:v>率</x:v>
      </x:c>
      <x:c r="B2521" s="6" t="str">
        <x:v>去</x:v>
      </x:c>
      <x:c r="C2521" s="6" t="str">
        <x:f>IF(B2521="","Needs decision","Ready")</x:f>
        <x:v>Ready</x:v>
      </x:c>
      <x:c r="D2521" s="6" t="str">
        <x:v>去/入</x:v>
      </x:c>
      <x:c r="E2521" s="6" t="str">
        <x:v>lwijH (C); lwit (D); srwijH (C); srwit (D)</x:v>
      </x:c>
      <x:c r="F2521" s="6" t="str">
        <x:v>入聲四質</x:v>
      </x:c>
      <x:c r="G2521" s="6" t="str">
        <x:v>Pingshui main list, Wikisource-derived DOCX</x:v>
      </x:c>
      <x:c r="H2521" s="6" t="str">
        <x:v>4</x:v>
      </x:c>
      <x:c r="I2521" s="6" t="str"/>
      <x:c r="J2521" s="6" t="str">
        <x:f>IF(B2521="","",IF(AND(ISNUMBER(SEARCH("平",B2521)),OR(ISNUMBER(SEARCH("上",B2521)),ISNUMBER(SEARCH("去",B2521)),ISNUMBER(SEARCH("入",B2521)))),"Ambiguous",IF(ISNUMBER(SEARCH("平",B2521)),"平","仄")))</x:f>
        <x:v>仄</x:v>
      </x:c>
      <x:c r="K2521" s="6" t="str">
        <x:f>IF(D2521="","",IF(AND(ISNUMBER(SEARCH("平",D2521)),OR(ISNUMBER(SEARCH("上",D2521)),ISNUMBER(SEARCH("去",D2521)),ISNUMBER(SEARCH("入",D2521)))),"Ambiguous",IF(ISNUMBER(SEARCH("平",D2521)),"平","仄")))</x:f>
        <x:v>仄</x:v>
      </x:c>
      <x:c r="L2521" s="7" t="str"/>
    </x:row>
    <x:row r="2522">
      <x:c r="A2522" s="5" t="str">
        <x:v>玉</x:v>
      </x:c>
      <x:c r="B2522" s="6" t="str">
        <x:v>入</x:v>
      </x:c>
      <x:c r="C2522" s="6" t="str">
        <x:f>IF(B2522="","Needs decision","Ready")</x:f>
        <x:v>Ready</x:v>
      </x:c>
      <x:c r="D2522" s="6" t="str">
        <x:v>入</x:v>
      </x:c>
      <x:c r="E2522" s="6" t="str">
        <x:v>ngjowk (D)</x:v>
      </x:c>
      <x:c r="F2522" s="6" t="str">
        <x:v>入聲二沃</x:v>
      </x:c>
      <x:c r="G2522" s="6" t="str">
        <x:v>Pingshui main list, Wikisource-derived DOCX</x:v>
      </x:c>
      <x:c r="H2522" s="6" t="str">
        <x:v>1</x:v>
      </x:c>
      <x:c r="I2522" s="6" t="str"/>
      <x:c r="J2522" s="6" t="str">
        <x:f>IF(B2522="","",IF(AND(ISNUMBER(SEARCH("平",B2522)),OR(ISNUMBER(SEARCH("上",B2522)),ISNUMBER(SEARCH("去",B2522)),ISNUMBER(SEARCH("入",B2522)))),"Ambiguous",IF(ISNUMBER(SEARCH("平",B2522)),"平","仄")))</x:f>
        <x:v>仄</x:v>
      </x:c>
      <x:c r="K2522" s="6" t="str">
        <x:f>IF(D2522="","",IF(AND(ISNUMBER(SEARCH("平",D2522)),OR(ISNUMBER(SEARCH("上",D2522)),ISNUMBER(SEARCH("去",D2522)),ISNUMBER(SEARCH("入",D2522)))),"Ambiguous",IF(ISNUMBER(SEARCH("平",D2522)),"平","仄")))</x:f>
        <x:v>仄</x:v>
      </x:c>
      <x:c r="L2522" s="7" t="str"/>
    </x:row>
    <x:row r="2523">
      <x:c r="A2523" s="5" t="str">
        <x:v>王</x:v>
      </x:c>
      <x:c r="B2523" s="6" t="str">
        <x:v>平</x:v>
      </x:c>
      <x:c r="C2523" s="6" t="str">
        <x:f>IF(B2523="","Needs decision","Ready")</x:f>
        <x:v>Ready</x:v>
      </x:c>
      <x:c r="D2523" s="6" t="str">
        <x:v>平/去</x:v>
      </x:c>
      <x:c r="E2523" s="6" t="str">
        <x:v>hjwang (A); hjwangH (C)</x:v>
      </x:c>
      <x:c r="F2523" s="6" t="str">
        <x:v>下平聲七陽; 去聲二十三漾</x:v>
      </x:c>
      <x:c r="G2523" s="6" t="str">
        <x:v>Pingshui main list, Wikisource-derived DOCX</x:v>
      </x:c>
      <x:c r="H2523" s="6" t="str">
        <x:v>2</x:v>
      </x:c>
      <x:c r="I2523" s="6" t="str"/>
      <x:c r="J2523" s="6" t="str">
        <x:f>IF(B2523="","",IF(AND(ISNUMBER(SEARCH("平",B2523)),OR(ISNUMBER(SEARCH("上",B2523)),ISNUMBER(SEARCH("去",B2523)),ISNUMBER(SEARCH("入",B2523)))),"Ambiguous",IF(ISNUMBER(SEARCH("平",B2523)),"平","仄")))</x:f>
        <x:v>平</x:v>
      </x:c>
      <x:c r="K2523" s="6" t="str">
        <x:f>IF(D2523="","",IF(AND(ISNUMBER(SEARCH("平",D2523)),OR(ISNUMBER(SEARCH("上",D2523)),ISNUMBER(SEARCH("去",D2523)),ISNUMBER(SEARCH("入",D2523)))),"Ambiguous",IF(ISNUMBER(SEARCH("平",D2523)),"平","仄")))</x:f>
        <x:v>Ambiguous</x:v>
      </x:c>
      <x:c r="L2523" s="7" t="str"/>
    </x:row>
    <x:row r="2524">
      <x:c r="A2524" s="5" t="str">
        <x:v>玦</x:v>
      </x:c>
      <x:c r="B2524" s="6" t="str">
        <x:v>入</x:v>
      </x:c>
      <x:c r="C2524" s="6" t="str">
        <x:f>IF(B2524="","Needs decision","Ready")</x:f>
        <x:v>Ready</x:v>
      </x:c>
      <x:c r="D2524" s="6" t="str">
        <x:v>入</x:v>
      </x:c>
      <x:c r="E2524" s="6" t="str">
        <x:v>kwet [qwet] (入)</x:v>
      </x:c>
      <x:c r="F2524" s="6" t="str">
        <x:v>入聲九屑</x:v>
      </x:c>
      <x:c r="G2524" s="6" t="str">
        <x:v>Pingshui main list, Wikisource-derived DOCX</x:v>
      </x:c>
      <x:c r="H2524" s="6" t="str">
        <x:v>1</x:v>
      </x:c>
      <x:c r="I2524" s="6" t="str">
        <x:v>Tang 300 gap; frequency 1; provisional from Xun Gong</x:v>
      </x:c>
      <x:c r="J2524" s="6" t="str">
        <x:f>IF(B2524="","",IF(AND(ISNUMBER(SEARCH("平",B2524)),OR(ISNUMBER(SEARCH("上",B2524)),ISNUMBER(SEARCH("去",B2524)),ISNUMBER(SEARCH("入",B2524)))),"Ambiguous",IF(ISNUMBER(SEARCH("平",B2524)),"平","仄")))</x:f>
        <x:v>仄</x:v>
      </x:c>
      <x:c r="K2524" s="6" t="str">
        <x:f>IF(D2524="","",IF(AND(ISNUMBER(SEARCH("平",D2524)),OR(ISNUMBER(SEARCH("上",D2524)),ISNUMBER(SEARCH("去",D2524)),ISNUMBER(SEARCH("入",D2524)))),"Ambiguous",IF(ISNUMBER(SEARCH("平",D2524)),"平","仄")))</x:f>
        <x:v>仄</x:v>
      </x:c>
      <x:c r="L2524" s="7" t="str">
        <x:v>Xun Gong, Tang 300 gap fill</x:v>
      </x:c>
    </x:row>
    <x:row r="2525">
      <x:c r="A2525" s="5" t="str">
        <x:v>玨</x:v>
      </x:c>
      <x:c r="B2525" s="6" t="str">
        <x:v>入</x:v>
      </x:c>
      <x:c r="C2525" s="6" t="str">
        <x:f>IF(B2525="","Needs decision","Ready")</x:f>
        <x:v>Ready</x:v>
      </x:c>
      <x:c r="D2525" s="6" t="str">
        <x:v>入</x:v>
      </x:c>
      <x:c r="E2525" s="6" t="str">
        <x:v>kaewk (D)</x:v>
      </x:c>
      <x:c r="F2525" s="6" t="str">
        <x:v>入聲三覺</x:v>
      </x:c>
      <x:c r="G2525" s="6" t="str">
        <x:v>Pingshui main list, Wikisource-derived DOCX</x:v>
      </x:c>
      <x:c r="H2525" s="6" t="str">
        <x:v>1</x:v>
      </x:c>
      <x:c r="I2525" s="6" t="str"/>
      <x:c r="J2525" s="6" t="str">
        <x:f>IF(B2525="","",IF(AND(ISNUMBER(SEARCH("平",B2525)),OR(ISNUMBER(SEARCH("上",B2525)),ISNUMBER(SEARCH("去",B2525)),ISNUMBER(SEARCH("入",B2525)))),"Ambiguous",IF(ISNUMBER(SEARCH("平",B2525)),"平","仄")))</x:f>
        <x:v>仄</x:v>
      </x:c>
      <x:c r="K2525" s="6" t="str">
        <x:f>IF(D2525="","",IF(AND(ISNUMBER(SEARCH("平",D2525)),OR(ISNUMBER(SEARCH("上",D2525)),ISNUMBER(SEARCH("去",D2525)),ISNUMBER(SEARCH("入",D2525)))),"Ambiguous",IF(ISNUMBER(SEARCH("平",D2525)),"平","仄")))</x:f>
        <x:v>仄</x:v>
      </x:c>
      <x:c r="L2525" s="7" t="str"/>
    </x:row>
    <x:row r="2526">
      <x:c r="A2526" s="5" t="str">
        <x:v>玩</x:v>
      </x:c>
      <x:c r="B2526" s="6" t="str">
        <x:v>去</x:v>
      </x:c>
      <x:c r="C2526" s="6" t="str">
        <x:f>IF(B2526="","Needs decision","Ready")</x:f>
        <x:v>Ready</x:v>
      </x:c>
      <x:c r="D2526" s="6" t="str">
        <x:v>去</x:v>
      </x:c>
      <x:c r="E2526" s="6" t="str">
        <x:v>ngwanH (C)</x:v>
      </x:c>
      <x:c r="F2526" s="6" t="str">
        <x:v>去聲十五翰</x:v>
      </x:c>
      <x:c r="G2526" s="6" t="str">
        <x:v>Pingshui main list, Wikisource-derived DOCX</x:v>
      </x:c>
      <x:c r="H2526" s="6" t="str">
        <x:v>1</x:v>
      </x:c>
      <x:c r="I2526" s="6" t="str"/>
      <x:c r="J2526" s="6" t="str">
        <x:f>IF(B2526="","",IF(AND(ISNUMBER(SEARCH("平",B2526)),OR(ISNUMBER(SEARCH("上",B2526)),ISNUMBER(SEARCH("去",B2526)),ISNUMBER(SEARCH("入",B2526)))),"Ambiguous",IF(ISNUMBER(SEARCH("平",B2526)),"平","仄")))</x:f>
        <x:v>仄</x:v>
      </x:c>
      <x:c r="K2526" s="6" t="str">
        <x:f>IF(D2526="","",IF(AND(ISNUMBER(SEARCH("平",D2526)),OR(ISNUMBER(SEARCH("上",D2526)),ISNUMBER(SEARCH("去",D2526)),ISNUMBER(SEARCH("入",D2526)))),"Ambiguous",IF(ISNUMBER(SEARCH("平",D2526)),"平","仄")))</x:f>
        <x:v>仄</x:v>
      </x:c>
      <x:c r="L2526" s="7" t="str"/>
    </x:row>
    <x:row r="2527">
      <x:c r="A2527" s="5" t="str">
        <x:v>玲</x:v>
      </x:c>
      <x:c r="B2527" s="6" t="str">
        <x:v>平</x:v>
      </x:c>
      <x:c r="C2527" s="6" t="str">
        <x:f>IF(B2527="","Needs decision","Ready")</x:f>
        <x:v>Ready</x:v>
      </x:c>
      <x:c r="D2527" s="6" t="str">
        <x:v>平</x:v>
      </x:c>
      <x:c r="E2527" s="6" t="str">
        <x:v>leng [l̙eŋ] (平)</x:v>
      </x:c>
      <x:c r="F2527" s="6" t="str">
        <x:v>下平聲九青</x:v>
      </x:c>
      <x:c r="G2527" s="6" t="str">
        <x:v>Pingshui main list, Wikisource-derived DOCX</x:v>
      </x:c>
      <x:c r="H2527" s="6" t="str">
        <x:v>1</x:v>
      </x:c>
      <x:c r="I2527" s="6" t="str">
        <x:v>Tang 300 gap; frequency 3; provisional from Xun Gong</x:v>
      </x:c>
      <x:c r="J2527" s="6" t="str">
        <x:f>IF(B2527="","",IF(AND(ISNUMBER(SEARCH("平",B2527)),OR(ISNUMBER(SEARCH("上",B2527)),ISNUMBER(SEARCH("去",B2527)),ISNUMBER(SEARCH("入",B2527)))),"Ambiguous",IF(ISNUMBER(SEARCH("平",B2527)),"平","仄")))</x:f>
        <x:v>平</x:v>
      </x:c>
      <x:c r="K2527" s="6" t="str">
        <x:f>IF(D2527="","",IF(AND(ISNUMBER(SEARCH("平",D2527)),OR(ISNUMBER(SEARCH("上",D2527)),ISNUMBER(SEARCH("去",D2527)),ISNUMBER(SEARCH("入",D2527)))),"Ambiguous",IF(ISNUMBER(SEARCH("平",D2527)),"平","仄")))</x:f>
        <x:v>平</x:v>
      </x:c>
      <x:c r="L2527" s="7" t="str">
        <x:v>Xun Gong, Tang 300 gap fill</x:v>
      </x:c>
    </x:row>
    <x:row r="2528">
      <x:c r="A2528" s="5" t="str">
        <x:v>玷</x:v>
      </x:c>
      <x:c r="B2528" s="6" t="str"/>
      <x:c r="C2528" s="6" t="str">
        <x:f>IF(B2528="","Needs decision","Ready")</x:f>
        <x:v>Needs decision</x:v>
      </x:c>
      <x:c r="D2528" s="6" t="str">
        <x:v>上/去</x:v>
      </x:c>
      <x:c r="E2528" s="6" t="str">
        <x:v>temX (B); temH (C)</x:v>
      </x:c>
      <x:c r="F2528" s="6" t="str">
        <x:v>上聲二十八琰</x:v>
      </x:c>
      <x:c r="G2528" s="6" t="str">
        <x:v>Pingshui main list, Wikisource-derived DOCX</x:v>
      </x:c>
      <x:c r="H2528" s="6" t="str">
        <x:v>2</x:v>
      </x:c>
      <x:c r="I2528" s="6" t="str"/>
      <x:c r="J2528" s="6" t="str">
        <x:f>IF(B2528="","",IF(AND(ISNUMBER(SEARCH("平",B2528)),OR(ISNUMBER(SEARCH("上",B2528)),ISNUMBER(SEARCH("去",B2528)),ISNUMBER(SEARCH("入",B2528)))),"Ambiguous",IF(ISNUMBER(SEARCH("平",B2528)),"平","仄")))</x:f>
      </x:c>
      <x:c r="K2528" s="6" t="str">
        <x:f>IF(D2528="","",IF(AND(ISNUMBER(SEARCH("平",D2528)),OR(ISNUMBER(SEARCH("上",D2528)),ISNUMBER(SEARCH("去",D2528)),ISNUMBER(SEARCH("入",D2528)))),"Ambiguous",IF(ISNUMBER(SEARCH("平",D2528)),"平","仄")))</x:f>
        <x:v>仄</x:v>
      </x:c>
      <x:c r="L2528" s="7" t="str"/>
    </x:row>
    <x:row r="2529">
      <x:c r="A2529" s="5" t="str">
        <x:v>珂</x:v>
      </x:c>
      <x:c r="B2529" s="6" t="str">
        <x:v>平</x:v>
      </x:c>
      <x:c r="C2529" s="6" t="str">
        <x:f>IF(B2529="","Needs decision","Ready")</x:f>
        <x:v>Ready</x:v>
      </x:c>
      <x:c r="D2529" s="6" t="str">
        <x:v>平</x:v>
      </x:c>
      <x:c r="E2529" s="6" t="str">
        <x:v>kha [qʰɑ] (平)</x:v>
      </x:c>
      <x:c r="F2529" s="6" t="str">
        <x:v>下平聲五歌</x:v>
      </x:c>
      <x:c r="G2529" s="6" t="str">
        <x:v>Pingshui main list, Wikisource-derived DOCX</x:v>
      </x:c>
      <x:c r="H2529" s="6" t="str">
        <x:v>1</x:v>
      </x:c>
      <x:c r="I2529" s="6" t="str">
        <x:v>Tang 300 gap; frequency 1; provisional from Xun Gong</x:v>
      </x:c>
      <x:c r="J2529" s="6" t="str">
        <x:f>IF(B2529="","",IF(AND(ISNUMBER(SEARCH("平",B2529)),OR(ISNUMBER(SEARCH("上",B2529)),ISNUMBER(SEARCH("去",B2529)),ISNUMBER(SEARCH("入",B2529)))),"Ambiguous",IF(ISNUMBER(SEARCH("平",B2529)),"平","仄")))</x:f>
        <x:v>平</x:v>
      </x:c>
      <x:c r="K2529" s="6" t="str">
        <x:f>IF(D2529="","",IF(AND(ISNUMBER(SEARCH("平",D2529)),OR(ISNUMBER(SEARCH("上",D2529)),ISNUMBER(SEARCH("去",D2529)),ISNUMBER(SEARCH("入",D2529)))),"Ambiguous",IF(ISNUMBER(SEARCH("平",D2529)),"平","仄")))</x:f>
        <x:v>平</x:v>
      </x:c>
      <x:c r="L2529" s="7" t="str">
        <x:v>Xun Gong, Tang 300 gap fill</x:v>
      </x:c>
    </x:row>
    <x:row r="2530">
      <x:c r="A2530" s="5" t="str">
        <x:v>珉</x:v>
      </x:c>
      <x:c r="B2530" s="6" t="str">
        <x:v>平</x:v>
      </x:c>
      <x:c r="C2530" s="6" t="str">
        <x:f>IF(B2530="","Needs decision","Ready")</x:f>
        <x:v>Ready</x:v>
      </x:c>
      <x:c r="D2530" s="6" t="str">
        <x:v>平</x:v>
      </x:c>
      <x:c r="E2530" s="6" t="str">
        <x:v>min (A)</x:v>
      </x:c>
      <x:c r="F2530" s="6" t="str"/>
      <x:c r="G2530" s="6" t="str"/>
      <x:c r="H2530" s="6" t="str">
        <x:v>1</x:v>
      </x:c>
      <x:c r="I2530" s="6" t="str"/>
      <x:c r="J2530" s="6" t="str">
        <x:f>IF(B2530="","",IF(AND(ISNUMBER(SEARCH("平",B2530)),OR(ISNUMBER(SEARCH("上",B2530)),ISNUMBER(SEARCH("去",B2530)),ISNUMBER(SEARCH("入",B2530)))),"Ambiguous",IF(ISNUMBER(SEARCH("平",B2530)),"平","仄")))</x:f>
        <x:v>平</x:v>
      </x:c>
      <x:c r="K2530" s="6" t="str">
        <x:f>IF(D2530="","",IF(AND(ISNUMBER(SEARCH("平",D2530)),OR(ISNUMBER(SEARCH("上",D2530)),ISNUMBER(SEARCH("去",D2530)),ISNUMBER(SEARCH("入",D2530)))),"Ambiguous",IF(ISNUMBER(SEARCH("平",D2530)),"平","仄")))</x:f>
        <x:v>平</x:v>
      </x:c>
      <x:c r="L2530" s="7" t="str"/>
    </x:row>
    <x:row r="2531">
      <x:c r="A2531" s="5" t="str">
        <x:v>珊</x:v>
      </x:c>
      <x:c r="B2531" s="6" t="str">
        <x:v>平</x:v>
      </x:c>
      <x:c r="C2531" s="6" t="str">
        <x:f>IF(B2531="","Needs decision","Ready")</x:f>
        <x:v>Ready</x:v>
      </x:c>
      <x:c r="D2531" s="6" t="str">
        <x:v>平</x:v>
      </x:c>
      <x:c r="E2531" s="6" t="str">
        <x:v>san [s̙ɑn] (平)</x:v>
      </x:c>
      <x:c r="F2531" s="6" t="str">
        <x:v>上平聲十四寒</x:v>
      </x:c>
      <x:c r="G2531" s="6" t="str">
        <x:v>Pingshui main list, Wikisource-derived DOCX</x:v>
      </x:c>
      <x:c r="H2531" s="6" t="str">
        <x:v>1</x:v>
      </x:c>
      <x:c r="I2531" s="6" t="str">
        <x:v>Tang 300 gap; frequency 3; provisional from Xun Gong</x:v>
      </x:c>
      <x:c r="J2531" s="6" t="str">
        <x:f>IF(B2531="","",IF(AND(ISNUMBER(SEARCH("平",B2531)),OR(ISNUMBER(SEARCH("上",B2531)),ISNUMBER(SEARCH("去",B2531)),ISNUMBER(SEARCH("入",B2531)))),"Ambiguous",IF(ISNUMBER(SEARCH("平",B2531)),"平","仄")))</x:f>
        <x:v>平</x:v>
      </x:c>
      <x:c r="K2531" s="6" t="str">
        <x:f>IF(D2531="","",IF(AND(ISNUMBER(SEARCH("平",D2531)),OR(ISNUMBER(SEARCH("上",D2531)),ISNUMBER(SEARCH("去",D2531)),ISNUMBER(SEARCH("入",D2531)))),"Ambiguous",IF(ISNUMBER(SEARCH("平",D2531)),"平","仄")))</x:f>
        <x:v>平</x:v>
      </x:c>
      <x:c r="L2531" s="7" t="str">
        <x:v>Xun Gong, Tang 300 gap fill</x:v>
      </x:c>
    </x:row>
    <x:row r="2532">
      <x:c r="A2532" s="5" t="str">
        <x:v>珍</x:v>
      </x:c>
      <x:c r="B2532" s="6" t="str">
        <x:v>平</x:v>
      </x:c>
      <x:c r="C2532" s="6" t="str">
        <x:f>IF(B2532="","Needs decision","Ready")</x:f>
        <x:v>Ready</x:v>
      </x:c>
      <x:c r="D2532" s="6" t="str">
        <x:v>平</x:v>
      </x:c>
      <x:c r="E2532" s="6" t="str">
        <x:v>trin (A)</x:v>
      </x:c>
      <x:c r="F2532" s="6" t="str">
        <x:v>上平聲十一真</x:v>
      </x:c>
      <x:c r="G2532" s="6" t="str">
        <x:v>Pingshui main list, Wikisource-derived DOCX</x:v>
      </x:c>
      <x:c r="H2532" s="6" t="str">
        <x:v>1</x:v>
      </x:c>
      <x:c r="I2532" s="6" t="str"/>
      <x:c r="J2532" s="6" t="str">
        <x:f>IF(B2532="","",IF(AND(ISNUMBER(SEARCH("平",B2532)),OR(ISNUMBER(SEARCH("上",B2532)),ISNUMBER(SEARCH("去",B2532)),ISNUMBER(SEARCH("入",B2532)))),"Ambiguous",IF(ISNUMBER(SEARCH("平",B2532)),"平","仄")))</x:f>
        <x:v>平</x:v>
      </x:c>
      <x:c r="K2532" s="6" t="str">
        <x:f>IF(D2532="","",IF(AND(ISNUMBER(SEARCH("平",D2532)),OR(ISNUMBER(SEARCH("上",D2532)),ISNUMBER(SEARCH("去",D2532)),ISNUMBER(SEARCH("入",D2532)))),"Ambiguous",IF(ISNUMBER(SEARCH("平",D2532)),"平","仄")))</x:f>
        <x:v>平</x:v>
      </x:c>
      <x:c r="L2532" s="7" t="str"/>
    </x:row>
    <x:row r="2533">
      <x:c r="A2533" s="5" t="str">
        <x:v>珓</x:v>
      </x:c>
      <x:c r="B2533" s="6" t="str">
        <x:v>去</x:v>
      </x:c>
      <x:c r="C2533" s="6" t="str">
        <x:f>IF(B2533="","Needs decision","Ready")</x:f>
        <x:v>Ready</x:v>
      </x:c>
      <x:c r="D2533" s="6" t="str">
        <x:v>去</x:v>
      </x:c>
      <x:c r="E2533" s="6" t="str">
        <x:v>kaewH [qaˤwh] (去)</x:v>
      </x:c>
      <x:c r="F2533" s="6" t="str">
        <x:v>去聲十九效</x:v>
      </x:c>
      <x:c r="G2533" s="6" t="str">
        <x:v>Pingshui main list, Wikisource-derived DOCX</x:v>
      </x:c>
      <x:c r="H2533" s="6" t="str">
        <x:v>1</x:v>
      </x:c>
      <x:c r="I2533" s="6" t="str">
        <x:v>Tang 300 gap; frequency 1; provisional from Xun Gong</x:v>
      </x:c>
      <x:c r="J2533" s="6" t="str">
        <x:f>IF(B2533="","",IF(AND(ISNUMBER(SEARCH("平",B2533)),OR(ISNUMBER(SEARCH("上",B2533)),ISNUMBER(SEARCH("去",B2533)),ISNUMBER(SEARCH("入",B2533)))),"Ambiguous",IF(ISNUMBER(SEARCH("平",B2533)),"平","仄")))</x:f>
        <x:v>仄</x:v>
      </x:c>
      <x:c r="K2533" s="6" t="str">
        <x:f>IF(D2533="","",IF(AND(ISNUMBER(SEARCH("平",D2533)),OR(ISNUMBER(SEARCH("上",D2533)),ISNUMBER(SEARCH("去",D2533)),ISNUMBER(SEARCH("入",D2533)))),"Ambiguous",IF(ISNUMBER(SEARCH("平",D2533)),"平","仄")))</x:f>
        <x:v>仄</x:v>
      </x:c>
      <x:c r="L2533" s="7" t="str">
        <x:v>Xun Gong, Tang 300 gap fill</x:v>
      </x:c>
    </x:row>
    <x:row r="2534">
      <x:c r="A2534" s="5" t="str">
        <x:v>珠</x:v>
      </x:c>
      <x:c r="B2534" s="6" t="str">
        <x:v>平</x:v>
      </x:c>
      <x:c r="C2534" s="6" t="str">
        <x:f>IF(B2534="","Needs decision","Ready")</x:f>
        <x:v>Ready</x:v>
      </x:c>
      <x:c r="D2534" s="6" t="str">
        <x:v>平</x:v>
      </x:c>
      <x:c r="E2534" s="6" t="str">
        <x:v>tsyu [章合三虞平] tɕo</x:v>
      </x:c>
      <x:c r="F2534" s="6" t="str">
        <x:v>上平聲七虞</x:v>
      </x:c>
      <x:c r="G2534" s="6" t="str">
        <x:v>Pingshui main list, Wikisource-derived DOCX</x:v>
      </x:c>
      <x:c r="H2534" s="6" t="str">
        <x:v>1</x:v>
      </x:c>
      <x:c r="I2534" s="6" t="str">
        <x:v>Targeted preliminary fill from Xun Gong; review if uncertain</x:v>
      </x:c>
      <x:c r="J2534" s="6" t="str">
        <x:f>IF(B2534="","",IF(AND(ISNUMBER(SEARCH("平",B2534)),OR(ISNUMBER(SEARCH("上",B2534)),ISNUMBER(SEARCH("去",B2534)),ISNUMBER(SEARCH("入",B2534)))),"Ambiguous",IF(ISNUMBER(SEARCH("平",B2534)),"平","仄")))</x:f>
        <x:v>平</x:v>
      </x:c>
      <x:c r="K2534" s="6" t="str">
        <x:f>IF(D2534="","",IF(AND(ISNUMBER(SEARCH("平",D2534)),OR(ISNUMBER(SEARCH("上",D2534)),ISNUMBER(SEARCH("去",D2534)),ISNUMBER(SEARCH("入",D2534)))),"Ambiguous",IF(ISNUMBER(SEARCH("平",D2534)),"平","仄")))</x:f>
        <x:v>平</x:v>
      </x:c>
      <x:c r="L2534" s="7" t="str">
        <x:v>Xun Gong character-readings.csv</x:v>
      </x:c>
    </x:row>
    <x:row r="2535">
      <x:c r="A2535" s="5" t="str">
        <x:v>珪</x:v>
      </x:c>
      <x:c r="B2535" s="6" t="str">
        <x:v>平</x:v>
      </x:c>
      <x:c r="C2535" s="6" t="str">
        <x:f>IF(B2535="","Needs decision","Ready")</x:f>
        <x:v>Ready</x:v>
      </x:c>
      <x:c r="D2535" s="6" t="str">
        <x:v>平</x:v>
      </x:c>
      <x:c r="E2535" s="6" t="str"/>
      <x:c r="F2535" s="6" t="str"/>
      <x:c r="G2535" s="6" t="str"/>
      <x:c r="H2535" s="6" t="str">
        <x:v>0</x:v>
      </x:c>
      <x:c r="I2535" s="6" t="str">
        <x:v>User correction 2026-09-08; added manually</x:v>
      </x:c>
      <x:c r="J2535" s="6" t="str">
        <x:f>IF(B2535="","",IF(AND(ISNUMBER(SEARCH("平",B2535)),OR(ISNUMBER(SEARCH("上",B2535)),ISNUMBER(SEARCH("去",B2535)),ISNUMBER(SEARCH("入",B2535)))),"Ambiguous",IF(ISNUMBER(SEARCH("平",B2535)),"平","仄")))</x:f>
        <x:v>平</x:v>
      </x:c>
      <x:c r="K2535" s="6" t="str">
        <x:f>IF(D2535="","",IF(AND(ISNUMBER(SEARCH("平",D2535)),OR(ISNUMBER(SEARCH("上",D2535)),ISNUMBER(SEARCH("去",D2535)),ISNUMBER(SEARCH("入",D2535)))),"Ambiguous",IF(ISNUMBER(SEARCH("平",D2535)),"平","仄")))</x:f>
        <x:v>平</x:v>
      </x:c>
      <x:c r="L2535" s="7" t="str">
        <x:v>User correction</x:v>
      </x:c>
    </x:row>
    <x:row r="2536">
      <x:c r="A2536" s="5" t="str">
        <x:v>班</x:v>
      </x:c>
      <x:c r="B2536" s="6" t="str">
        <x:v>平</x:v>
      </x:c>
      <x:c r="C2536" s="6" t="str">
        <x:f>IF(B2536="","Needs decision","Ready")</x:f>
        <x:v>Ready</x:v>
      </x:c>
      <x:c r="D2536" s="6" t="str">
        <x:v>平</x:v>
      </x:c>
      <x:c r="E2536" s="6" t="str">
        <x:v>paen (A)</x:v>
      </x:c>
      <x:c r="F2536" s="6" t="str">
        <x:v>上平聲十五刪</x:v>
      </x:c>
      <x:c r="G2536" s="6" t="str">
        <x:v>Pingshui main list, Wikisource-derived DOCX</x:v>
      </x:c>
      <x:c r="H2536" s="6" t="str">
        <x:v>1</x:v>
      </x:c>
      <x:c r="I2536" s="6" t="str"/>
      <x:c r="J2536" s="6" t="str">
        <x:f>IF(B2536="","",IF(AND(ISNUMBER(SEARCH("平",B2536)),OR(ISNUMBER(SEARCH("上",B2536)),ISNUMBER(SEARCH("去",B2536)),ISNUMBER(SEARCH("入",B2536)))),"Ambiguous",IF(ISNUMBER(SEARCH("平",B2536)),"平","仄")))</x:f>
        <x:v>平</x:v>
      </x:c>
      <x:c r="K2536" s="6" t="str">
        <x:f>IF(D2536="","",IF(AND(ISNUMBER(SEARCH("平",D2536)),OR(ISNUMBER(SEARCH("上",D2536)),ISNUMBER(SEARCH("去",D2536)),ISNUMBER(SEARCH("入",D2536)))),"Ambiguous",IF(ISNUMBER(SEARCH("平",D2536)),"平","仄")))</x:f>
        <x:v>平</x:v>
      </x:c>
      <x:c r="L2536" s="7" t="str"/>
    </x:row>
    <x:row r="2537">
      <x:c r="A2537" s="5" t="str">
        <x:v>珮</x:v>
      </x:c>
      <x:c r="B2537" s="6" t="str">
        <x:v>去</x:v>
      </x:c>
      <x:c r="C2537" s="6" t="str">
        <x:f>IF(B2537="","Needs decision","Ready")</x:f>
        <x:v>Ready</x:v>
      </x:c>
      <x:c r="D2537" s="6" t="str">
        <x:v>去</x:v>
      </x:c>
      <x:c r="E2537" s="6" t="str">
        <x:v>bwojH [並一灰去] b̙wəjh</x:v>
      </x:c>
      <x:c r="F2537" s="6" t="str"/>
      <x:c r="G2537" s="6" t="str"/>
      <x:c r="H2537" s="6" t="str">
        <x:v>1</x:v>
      </x:c>
      <x:c r="I2537" s="6" t="str">
        <x:v>Targeted preliminary fill from Xun Gong; review if uncertain</x:v>
      </x:c>
      <x:c r="J2537" s="6" t="str">
        <x:f>IF(B2537="","",IF(AND(ISNUMBER(SEARCH("平",B2537)),OR(ISNUMBER(SEARCH("上",B2537)),ISNUMBER(SEARCH("去",B2537)),ISNUMBER(SEARCH("入",B2537)))),"Ambiguous",IF(ISNUMBER(SEARCH("平",B2537)),"平","仄")))</x:f>
        <x:v>仄</x:v>
      </x:c>
      <x:c r="K2537" s="6" t="str">
        <x:f>IF(D2537="","",IF(AND(ISNUMBER(SEARCH("平",D2537)),OR(ISNUMBER(SEARCH("上",D2537)),ISNUMBER(SEARCH("去",D2537)),ISNUMBER(SEARCH("入",D2537)))),"Ambiguous",IF(ISNUMBER(SEARCH("平",D2537)),"平","仄")))</x:f>
        <x:v>仄</x:v>
      </x:c>
      <x:c r="L2537" s="7" t="str">
        <x:v>Xun Gong character-readings.csv</x:v>
      </x:c>
    </x:row>
    <x:row r="2538">
      <x:c r="A2538" s="5" t="str">
        <x:v>現</x:v>
      </x:c>
      <x:c r="B2538" s="6" t="str">
        <x:v>去</x:v>
      </x:c>
      <x:c r="C2538" s="6" t="str">
        <x:f>IF(B2538="","Needs decision","Ready")</x:f>
        <x:v>Ready</x:v>
      </x:c>
      <x:c r="D2538" s="6" t="str">
        <x:v>去</x:v>
      </x:c>
      <x:c r="E2538" s="6" t="str">
        <x:v>henH (C)</x:v>
      </x:c>
      <x:c r="F2538" s="6" t="str"/>
      <x:c r="G2538" s="6" t="str"/>
      <x:c r="H2538" s="6" t="str">
        <x:v>1</x:v>
      </x:c>
      <x:c r="I2538" s="6" t="str"/>
      <x:c r="J2538" s="6" t="str">
        <x:f>IF(B2538="","",IF(AND(ISNUMBER(SEARCH("平",B2538)),OR(ISNUMBER(SEARCH("上",B2538)),ISNUMBER(SEARCH("去",B2538)),ISNUMBER(SEARCH("入",B2538)))),"Ambiguous",IF(ISNUMBER(SEARCH("平",B2538)),"平","仄")))</x:f>
        <x:v>仄</x:v>
      </x:c>
      <x:c r="K2538" s="6" t="str">
        <x:f>IF(D2538="","",IF(AND(ISNUMBER(SEARCH("平",D2538)),OR(ISNUMBER(SEARCH("上",D2538)),ISNUMBER(SEARCH("去",D2538)),ISNUMBER(SEARCH("入",D2538)))),"Ambiguous",IF(ISNUMBER(SEARCH("平",D2538)),"平","仄")))</x:f>
        <x:v>仄</x:v>
      </x:c>
      <x:c r="L2538" s="7" t="str"/>
    </x:row>
    <x:row r="2539">
      <x:c r="A2539" s="5" t="str">
        <x:v>球</x:v>
      </x:c>
      <x:c r="B2539" s="6" t="str">
        <x:v>平</x:v>
      </x:c>
      <x:c r="C2539" s="6" t="str">
        <x:f>IF(B2539="","Needs decision","Ready")</x:f>
        <x:v>Ready</x:v>
      </x:c>
      <x:c r="D2539" s="6" t="str">
        <x:v>平</x:v>
      </x:c>
      <x:c r="E2539" s="6" t="str">
        <x:v>gjuw (A)</x:v>
      </x:c>
      <x:c r="F2539" s="6" t="str">
        <x:v>下平聲十一尤</x:v>
      </x:c>
      <x:c r="G2539" s="6" t="str">
        <x:v>Pingshui main list, Wikisource-derived DOCX</x:v>
      </x:c>
      <x:c r="H2539" s="6" t="str">
        <x:v>1</x:v>
      </x:c>
      <x:c r="I2539" s="6" t="str"/>
      <x:c r="J2539" s="6" t="str">
        <x:f>IF(B2539="","",IF(AND(ISNUMBER(SEARCH("平",B2539)),OR(ISNUMBER(SEARCH("上",B2539)),ISNUMBER(SEARCH("去",B2539)),ISNUMBER(SEARCH("入",B2539)))),"Ambiguous",IF(ISNUMBER(SEARCH("平",B2539)),"平","仄")))</x:f>
        <x:v>平</x:v>
      </x:c>
      <x:c r="K2539" s="6" t="str">
        <x:f>IF(D2539="","",IF(AND(ISNUMBER(SEARCH("平",D2539)),OR(ISNUMBER(SEARCH("上",D2539)),ISNUMBER(SEARCH("去",D2539)),ISNUMBER(SEARCH("入",D2539)))),"Ambiguous",IF(ISNUMBER(SEARCH("平",D2539)),"平","仄")))</x:f>
        <x:v>平</x:v>
      </x:c>
      <x:c r="L2539" s="7" t="str"/>
    </x:row>
    <x:row r="2540">
      <x:c r="A2540" s="5" t="str">
        <x:v>琅</x:v>
      </x:c>
      <x:c r="B2540" s="6" t="str">
        <x:v>平</x:v>
      </x:c>
      <x:c r="C2540" s="6" t="str">
        <x:f>IF(B2540="","Needs decision","Ready")</x:f>
        <x:v>Ready</x:v>
      </x:c>
      <x:c r="D2540" s="6" t="str">
        <x:v>平</x:v>
      </x:c>
      <x:c r="E2540" s="6" t="str">
        <x:v>lang (A)</x:v>
      </x:c>
      <x:c r="F2540" s="6" t="str">
        <x:v>下平聲七陽</x:v>
      </x:c>
      <x:c r="G2540" s="6" t="str">
        <x:v>Pingshui main list, Wikisource-derived DOCX</x:v>
      </x:c>
      <x:c r="H2540" s="6" t="str">
        <x:v>1</x:v>
      </x:c>
      <x:c r="I2540" s="6" t="str"/>
      <x:c r="J2540" s="6" t="str">
        <x:f>IF(B2540="","",IF(AND(ISNUMBER(SEARCH("平",B2540)),OR(ISNUMBER(SEARCH("上",B2540)),ISNUMBER(SEARCH("去",B2540)),ISNUMBER(SEARCH("入",B2540)))),"Ambiguous",IF(ISNUMBER(SEARCH("平",B2540)),"平","仄")))</x:f>
        <x:v>平</x:v>
      </x:c>
      <x:c r="K2540" s="6" t="str">
        <x:f>IF(D2540="","",IF(AND(ISNUMBER(SEARCH("平",D2540)),OR(ISNUMBER(SEARCH("上",D2540)),ISNUMBER(SEARCH("去",D2540)),ISNUMBER(SEARCH("入",D2540)))),"Ambiguous",IF(ISNUMBER(SEARCH("平",D2540)),"平","仄")))</x:f>
        <x:v>平</x:v>
      </x:c>
      <x:c r="L2540" s="7" t="str"/>
    </x:row>
    <x:row r="2541">
      <x:c r="A2541" s="5" t="str">
        <x:v>理</x:v>
      </x:c>
      <x:c r="B2541" s="6" t="str">
        <x:v>上</x:v>
      </x:c>
      <x:c r="C2541" s="6" t="str">
        <x:f>IF(B2541="","Needs decision","Ready")</x:f>
        <x:v>Ready</x:v>
      </x:c>
      <x:c r="D2541" s="6" t="str">
        <x:v>上</x:v>
      </x:c>
      <x:c r="E2541" s="6" t="str">
        <x:v>liX (B)</x:v>
      </x:c>
      <x:c r="F2541" s="6" t="str">
        <x:v>上聲四紙</x:v>
      </x:c>
      <x:c r="G2541" s="6" t="str">
        <x:v>Pingshui main list, Wikisource-derived DOCX</x:v>
      </x:c>
      <x:c r="H2541" s="6" t="str">
        <x:v>1</x:v>
      </x:c>
      <x:c r="I2541" s="6" t="str"/>
      <x:c r="J2541" s="6" t="str">
        <x:f>IF(B2541="","",IF(AND(ISNUMBER(SEARCH("平",B2541)),OR(ISNUMBER(SEARCH("上",B2541)),ISNUMBER(SEARCH("去",B2541)),ISNUMBER(SEARCH("入",B2541)))),"Ambiguous",IF(ISNUMBER(SEARCH("平",B2541)),"平","仄")))</x:f>
        <x:v>仄</x:v>
      </x:c>
      <x:c r="K2541" s="6" t="str">
        <x:f>IF(D2541="","",IF(AND(ISNUMBER(SEARCH("平",D2541)),OR(ISNUMBER(SEARCH("上",D2541)),ISNUMBER(SEARCH("去",D2541)),ISNUMBER(SEARCH("入",D2541)))),"Ambiguous",IF(ISNUMBER(SEARCH("平",D2541)),"平","仄")))</x:f>
        <x:v>仄</x:v>
      </x:c>
      <x:c r="L2541" s="7" t="str"/>
    </x:row>
    <x:row r="2542">
      <x:c r="A2542" s="5" t="str">
        <x:v>琊</x:v>
      </x:c>
      <x:c r="B2542" s="6" t="str">
        <x:v>平</x:v>
      </x:c>
      <x:c r="C2542" s="6" t="str">
        <x:f>IF(B2542="","Needs decision","Ready")</x:f>
        <x:v>Ready</x:v>
      </x:c>
      <x:c r="D2542" s="6" t="str">
        <x:v>平</x:v>
      </x:c>
      <x:c r="E2542" s="6" t="str"/>
      <x:c r="F2542" s="6" t="str"/>
      <x:c r="G2542" s="6" t="str"/>
      <x:c r="H2542" s="6" t="str"/>
      <x:c r="I2542" s="6" t="str">
        <x:v>Manual user correction/addition</x:v>
      </x:c>
      <x:c r="J2542" s="6" t="str">
        <x:f>IF(B2542="","",IF(AND(ISNUMBER(SEARCH("平",B2542)),OR(ISNUMBER(SEARCH("上",B2542)),ISNUMBER(SEARCH("去",B2542)),ISNUMBER(SEARCH("入",B2542)))),"Ambiguous",IF(ISNUMBER(SEARCH("平",B2542)),"平","仄")))</x:f>
        <x:v>平</x:v>
      </x:c>
      <x:c r="K2542" s="6" t="str">
        <x:f>IF(D2542="","",IF(AND(ISNUMBER(SEARCH("平",D2542)),OR(ISNUMBER(SEARCH("上",D2542)),ISNUMBER(SEARCH("去",D2542)),ISNUMBER(SEARCH("入",D2542)))),"Ambiguous",IF(ISNUMBER(SEARCH("平",D2542)),"平","仄")))</x:f>
        <x:v>平</x:v>
      </x:c>
      <x:c r="L2542" s="7" t="str">
        <x:v>manual user correction</x:v>
      </x:c>
    </x:row>
    <x:row r="2543">
      <x:c r="A2543" s="5" t="str">
        <x:v>琛</x:v>
      </x:c>
      <x:c r="B2543" s="6" t="str">
        <x:v>平</x:v>
      </x:c>
      <x:c r="C2543" s="6" t="str">
        <x:f>IF(B2543="","Needs decision","Ready")</x:f>
        <x:v>Ready</x:v>
      </x:c>
      <x:c r="D2543" s="6" t="str">
        <x:v>平</x:v>
      </x:c>
      <x:c r="E2543" s="6" t="str"/>
      <x:c r="F2543" s="6" t="str">
        <x:v>下平聲十二侵</x:v>
      </x:c>
      <x:c r="G2543" s="6" t="str">
        <x:v>Pingshui main list, Wikisource-derived DOCX</x:v>
      </x:c>
      <x:c r="H2543" s="6" t="str"/>
      <x:c r="I2543" s="6" t="str">
        <x:v>Manual user correction/addition</x:v>
      </x:c>
      <x:c r="J2543" s="6" t="str">
        <x:f>IF(B2543="","",IF(AND(ISNUMBER(SEARCH("平",B2543)),OR(ISNUMBER(SEARCH("上",B2543)),ISNUMBER(SEARCH("去",B2543)),ISNUMBER(SEARCH("入",B2543)))),"Ambiguous",IF(ISNUMBER(SEARCH("平",B2543)),"平","仄")))</x:f>
        <x:v>平</x:v>
      </x:c>
      <x:c r="K2543" s="6" t="str">
        <x:f>IF(D2543="","",IF(AND(ISNUMBER(SEARCH("平",D2543)),OR(ISNUMBER(SEARCH("上",D2543)),ISNUMBER(SEARCH("去",D2543)),ISNUMBER(SEARCH("入",D2543)))),"Ambiguous",IF(ISNUMBER(SEARCH("平",D2543)),"平","仄")))</x:f>
        <x:v>平</x:v>
      </x:c>
      <x:c r="L2543" s="7" t="str">
        <x:v>manual user correction</x:v>
      </x:c>
    </x:row>
    <x:row r="2544">
      <x:c r="A2544" s="5" t="str">
        <x:v>琢</x:v>
      </x:c>
      <x:c r="B2544" s="6" t="str">
        <x:v>入</x:v>
      </x:c>
      <x:c r="C2544" s="6" t="str">
        <x:f>IF(B2544="","Needs decision","Ready")</x:f>
        <x:v>Ready</x:v>
      </x:c>
      <x:c r="D2544" s="6" t="str">
        <x:v>入</x:v>
      </x:c>
      <x:c r="E2544" s="6" t="str"/>
      <x:c r="F2544" s="6" t="str">
        <x:v>入聲三覺</x:v>
      </x:c>
      <x:c r="G2544" s="6" t="str">
        <x:v>Pingshui main list, Wikisource-derived DOCX</x:v>
      </x:c>
      <x:c r="H2544" s="6" t="str"/>
      <x:c r="I2544" s="6" t="str">
        <x:v>Manual user correction/addition</x:v>
      </x:c>
      <x:c r="J2544" s="6" t="str">
        <x:f>IF(B2544="","",IF(AND(ISNUMBER(SEARCH("平",B2544)),OR(ISNUMBER(SEARCH("上",B2544)),ISNUMBER(SEARCH("去",B2544)),ISNUMBER(SEARCH("入",B2544)))),"Ambiguous",IF(ISNUMBER(SEARCH("平",B2544)),"平","仄")))</x:f>
        <x:v>仄</x:v>
      </x:c>
      <x:c r="K2544" s="6" t="str">
        <x:f>IF(D2544="","",IF(AND(ISNUMBER(SEARCH("平",D2544)),OR(ISNUMBER(SEARCH("上",D2544)),ISNUMBER(SEARCH("去",D2544)),ISNUMBER(SEARCH("入",D2544)))),"Ambiguous",IF(ISNUMBER(SEARCH("平",D2544)),"平","仄")))</x:f>
        <x:v>仄</x:v>
      </x:c>
      <x:c r="L2544" s="7" t="str">
        <x:v>manual user correction</x:v>
      </x:c>
    </x:row>
    <x:row r="2545">
      <x:c r="A2545" s="5" t="str">
        <x:v>琫</x:v>
      </x:c>
      <x:c r="B2545" s="6" t="str">
        <x:v>上</x:v>
      </x:c>
      <x:c r="C2545" s="6" t="str">
        <x:f>IF(B2545="","Needs decision","Ready")</x:f>
        <x:v>Ready</x:v>
      </x:c>
      <x:c r="D2545" s="6" t="str">
        <x:v>上</x:v>
      </x:c>
      <x:c r="E2545" s="6" t="str">
        <x:v>puwngX (B)</x:v>
      </x:c>
      <x:c r="F2545" s="6" t="str">
        <x:v>上聲一董</x:v>
      </x:c>
      <x:c r="G2545" s="6" t="str">
        <x:v>Pingshui main list, Wikisource-derived DOCX</x:v>
      </x:c>
      <x:c r="H2545" s="6" t="str">
        <x:v>1</x:v>
      </x:c>
      <x:c r="I2545" s="6" t="str"/>
      <x:c r="J2545" s="6" t="str">
        <x:f>IF(B2545="","",IF(AND(ISNUMBER(SEARCH("平",B2545)),OR(ISNUMBER(SEARCH("上",B2545)),ISNUMBER(SEARCH("去",B2545)),ISNUMBER(SEARCH("入",B2545)))),"Ambiguous",IF(ISNUMBER(SEARCH("平",B2545)),"平","仄")))</x:f>
        <x:v>仄</x:v>
      </x:c>
      <x:c r="K2545" s="6" t="str">
        <x:f>IF(D2545="","",IF(AND(ISNUMBER(SEARCH("平",D2545)),OR(ISNUMBER(SEARCH("上",D2545)),ISNUMBER(SEARCH("去",D2545)),ISNUMBER(SEARCH("入",D2545)))),"Ambiguous",IF(ISNUMBER(SEARCH("平",D2545)),"平","仄")))</x:f>
        <x:v>仄</x:v>
      </x:c>
      <x:c r="L2545" s="7" t="str"/>
    </x:row>
    <x:row r="2546">
      <x:c r="A2546" s="5" t="str">
        <x:v>琭</x:v>
      </x:c>
      <x:c r="B2546" s="6" t="str">
        <x:v>入</x:v>
      </x:c>
      <x:c r="C2546" s="6" t="str">
        <x:f>IF(B2546="","Needs decision","Ready")</x:f>
        <x:v>Ready</x:v>
      </x:c>
      <x:c r="D2546" s="6" t="str">
        <x:v>入</x:v>
      </x:c>
      <x:c r="E2546" s="6" t="str">
        <x:v>luwk (D)</x:v>
      </x:c>
      <x:c r="F2546" s="6" t="str">
        <x:v>入聲一屋</x:v>
      </x:c>
      <x:c r="G2546" s="6" t="str">
        <x:v>Pingshui main list, Wikisource-derived DOCX</x:v>
      </x:c>
      <x:c r="H2546" s="6" t="str">
        <x:v>1</x:v>
      </x:c>
      <x:c r="I2546" s="6" t="str"/>
      <x:c r="J2546" s="6" t="str">
        <x:f>IF(B2546="","",IF(AND(ISNUMBER(SEARCH("平",B2546)),OR(ISNUMBER(SEARCH("上",B2546)),ISNUMBER(SEARCH("去",B2546)),ISNUMBER(SEARCH("入",B2546)))),"Ambiguous",IF(ISNUMBER(SEARCH("平",B2546)),"平","仄")))</x:f>
        <x:v>仄</x:v>
      </x:c>
      <x:c r="K2546" s="6" t="str">
        <x:f>IF(D2546="","",IF(AND(ISNUMBER(SEARCH("平",D2546)),OR(ISNUMBER(SEARCH("上",D2546)),ISNUMBER(SEARCH("去",D2546)),ISNUMBER(SEARCH("入",D2546)))),"Ambiguous",IF(ISNUMBER(SEARCH("平",D2546)),"平","仄")))</x:f>
        <x:v>仄</x:v>
      </x:c>
      <x:c r="L2546" s="7" t="str"/>
    </x:row>
    <x:row r="2547">
      <x:c r="A2547" s="5" t="str">
        <x:v>琴</x:v>
      </x:c>
      <x:c r="B2547" s="6" t="str">
        <x:v>平</x:v>
      </x:c>
      <x:c r="C2547" s="6" t="str">
        <x:f>IF(B2547="","Needs decision","Ready")</x:f>
        <x:v>Ready</x:v>
      </x:c>
      <x:c r="D2547" s="6" t="str">
        <x:v>平</x:v>
      </x:c>
      <x:c r="E2547" s="6" t="str">
        <x:v>gim (A)</x:v>
      </x:c>
      <x:c r="F2547" s="6" t="str">
        <x:v>下平聲十二侵</x:v>
      </x:c>
      <x:c r="G2547" s="6" t="str">
        <x:v>Pingshui main list, Wikisource-derived DOCX</x:v>
      </x:c>
      <x:c r="H2547" s="6" t="str">
        <x:v>1</x:v>
      </x:c>
      <x:c r="I2547" s="6" t="str"/>
      <x:c r="J2547" s="6" t="str">
        <x:f>IF(B2547="","",IF(AND(ISNUMBER(SEARCH("平",B2547)),OR(ISNUMBER(SEARCH("上",B2547)),ISNUMBER(SEARCH("去",B2547)),ISNUMBER(SEARCH("入",B2547)))),"Ambiguous",IF(ISNUMBER(SEARCH("平",B2547)),"平","仄")))</x:f>
        <x:v>平</x:v>
      </x:c>
      <x:c r="K2547" s="6" t="str">
        <x:f>IF(D2547="","",IF(AND(ISNUMBER(SEARCH("平",D2547)),OR(ISNUMBER(SEARCH("上",D2547)),ISNUMBER(SEARCH("去",D2547)),ISNUMBER(SEARCH("入",D2547)))),"Ambiguous",IF(ISNUMBER(SEARCH("平",D2547)),"平","仄")))</x:f>
        <x:v>平</x:v>
      </x:c>
      <x:c r="L2547" s="7" t="str"/>
    </x:row>
    <x:row r="2548">
      <x:c r="A2548" s="5" t="str">
        <x:v>琵</x:v>
      </x:c>
      <x:c r="B2548" s="6" t="str">
        <x:v>平</x:v>
      </x:c>
      <x:c r="C2548" s="6" t="str">
        <x:f>IF(B2548="","Needs decision","Ready")</x:f>
        <x:v>Ready</x:v>
      </x:c>
      <x:c r="D2548" s="6" t="str">
        <x:v>平</x:v>
      </x:c>
      <x:c r="E2548" s="6" t="str">
        <x:v>bjij [bji] (平)</x:v>
      </x:c>
      <x:c r="F2548" s="6" t="str"/>
      <x:c r="G2548" s="6" t="str"/>
      <x:c r="H2548" s="6" t="str">
        <x:v>1</x:v>
      </x:c>
      <x:c r="I2548" s="6" t="str">
        <x:v>Tang 300 gap; frequency 12; provisional from Xun Gong</x:v>
      </x:c>
      <x:c r="J2548" s="6" t="str">
        <x:f>IF(B2548="","",IF(AND(ISNUMBER(SEARCH("平",B2548)),OR(ISNUMBER(SEARCH("上",B2548)),ISNUMBER(SEARCH("去",B2548)),ISNUMBER(SEARCH("入",B2548)))),"Ambiguous",IF(ISNUMBER(SEARCH("平",B2548)),"平","仄")))</x:f>
        <x:v>平</x:v>
      </x:c>
      <x:c r="K2548" s="6" t="str">
        <x:f>IF(D2548="","",IF(AND(ISNUMBER(SEARCH("平",D2548)),OR(ISNUMBER(SEARCH("上",D2548)),ISNUMBER(SEARCH("去",D2548)),ISNUMBER(SEARCH("入",D2548)))),"Ambiguous",IF(ISNUMBER(SEARCH("平",D2548)),"平","仄")))</x:f>
        <x:v>平</x:v>
      </x:c>
      <x:c r="L2548" s="7" t="str">
        <x:v>Xun Gong, Tang 300 gap fill</x:v>
      </x:c>
    </x:row>
    <x:row r="2549">
      <x:c r="A2549" s="5" t="str">
        <x:v>琶</x:v>
      </x:c>
      <x:c r="B2549" s="6" t="str">
        <x:v>平</x:v>
      </x:c>
      <x:c r="C2549" s="6" t="str">
        <x:f>IF(B2549="","Needs decision","Ready")</x:f>
        <x:v>Ready</x:v>
      </x:c>
      <x:c r="D2549" s="6" t="str">
        <x:v>平</x:v>
      </x:c>
      <x:c r="E2549" s="6" t="str">
        <x:v>bae [b̙aˤ] (平)</x:v>
      </x:c>
      <x:c r="F2549" s="6" t="str">
        <x:v>下平聲六麻</x:v>
      </x:c>
      <x:c r="G2549" s="6" t="str">
        <x:v>Pingshui main list, Wikisource-derived DOCX</x:v>
      </x:c>
      <x:c r="H2549" s="6" t="str">
        <x:v>1</x:v>
      </x:c>
      <x:c r="I2549" s="6" t="str">
        <x:v>Tang 300 gap; frequency 12; provisional from Xun Gong</x:v>
      </x:c>
      <x:c r="J2549" s="6" t="str">
        <x:f>IF(B2549="","",IF(AND(ISNUMBER(SEARCH("平",B2549)),OR(ISNUMBER(SEARCH("上",B2549)),ISNUMBER(SEARCH("去",B2549)),ISNUMBER(SEARCH("入",B2549)))),"Ambiguous",IF(ISNUMBER(SEARCH("平",B2549)),"平","仄")))</x:f>
        <x:v>平</x:v>
      </x:c>
      <x:c r="K2549" s="6" t="str">
        <x:f>IF(D2549="","",IF(AND(ISNUMBER(SEARCH("平",D2549)),OR(ISNUMBER(SEARCH("上",D2549)),ISNUMBER(SEARCH("去",D2549)),ISNUMBER(SEARCH("入",D2549)))),"Ambiguous",IF(ISNUMBER(SEARCH("平",D2549)),"平","仄")))</x:f>
        <x:v>平</x:v>
      </x:c>
      <x:c r="L2549" s="7" t="str">
        <x:v>Xun Gong, Tang 300 gap fill</x:v>
      </x:c>
    </x:row>
    <x:row r="2550">
      <x:c r="A2550" s="5" t="str">
        <x:v>瑁</x:v>
      </x:c>
      <x:c r="B2550" s="6" t="str">
        <x:v>去</x:v>
      </x:c>
      <x:c r="C2550" s="6" t="str">
        <x:f>IF(B2550="","Needs decision","Ready")</x:f>
        <x:v>Ready</x:v>
      </x:c>
      <x:c r="D2550" s="6" t="str">
        <x:v>去/入</x:v>
      </x:c>
      <x:c r="E2550" s="6" t="str">
        <x:v>mawH [m̙əwh] (去); mowk [m̙ok] (入); mwojH [m̙wəjh] (去)</x:v>
      </x:c>
      <x:c r="F2550" s="6" t="str">
        <x:v>去聲十一隊; 去聲二十號</x:v>
      </x:c>
      <x:c r="G2550" s="6" t="str">
        <x:v>Pingshui main list, Wikisource-derived DOCX</x:v>
      </x:c>
      <x:c r="H2550" s="6" t="str">
        <x:v>3</x:v>
      </x:c>
      <x:c r="I2550" s="6" t="str">
        <x:v>Tang 300 gap; frequency 1; ambiguous in Xun Gong; User correction 2026-09-08</x:v>
      </x:c>
      <x:c r="J2550" s="6" t="str">
        <x:f>IF(B2550="","",IF(AND(ISNUMBER(SEARCH("平",B2550)),OR(ISNUMBER(SEARCH("上",B2550)),ISNUMBER(SEARCH("去",B2550)),ISNUMBER(SEARCH("入",B2550)))),"Ambiguous",IF(ISNUMBER(SEARCH("平",B2550)),"平","仄")))</x:f>
        <x:v>仄</x:v>
      </x:c>
      <x:c r="K2550" s="6" t="str">
        <x:f>IF(D2550="","",IF(AND(ISNUMBER(SEARCH("平",D2550)),OR(ISNUMBER(SEARCH("上",D2550)),ISNUMBER(SEARCH("去",D2550)),ISNUMBER(SEARCH("入",D2550)))),"Ambiguous",IF(ISNUMBER(SEARCH("平",D2550)),"平","仄")))</x:f>
        <x:v>仄</x:v>
      </x:c>
      <x:c r="L2550" s="7" t="str">
        <x:v>Xun Gong, Tang 300 gap fill</x:v>
      </x:c>
    </x:row>
    <x:row r="2551">
      <x:c r="A2551" s="5" t="str">
        <x:v>瑋</x:v>
      </x:c>
      <x:c r="B2551" s="6" t="str">
        <x:v>上</x:v>
      </x:c>
      <x:c r="C2551" s="6" t="str">
        <x:f>IF(B2551="","Needs decision","Ready")</x:f>
        <x:v>Ready</x:v>
      </x:c>
      <x:c r="D2551" s="6" t="str">
        <x:v>上</x:v>
      </x:c>
      <x:c r="E2551" s="6" t="str"/>
      <x:c r="F2551" s="6" t="str">
        <x:v>上聲五尾</x:v>
      </x:c>
      <x:c r="G2551" s="6" t="str">
        <x:v>Pingshui main list, Wikisource-derived DOCX</x:v>
      </x:c>
      <x:c r="H2551" s="6" t="str"/>
      <x:c r="I2551" s="6" t="str">
        <x:v>Manual user correction/addition</x:v>
      </x:c>
      <x:c r="J2551" s="6" t="str">
        <x:f>IF(B2551="","",IF(AND(ISNUMBER(SEARCH("平",B2551)),OR(ISNUMBER(SEARCH("上",B2551)),ISNUMBER(SEARCH("去",B2551)),ISNUMBER(SEARCH("入",B2551)))),"Ambiguous",IF(ISNUMBER(SEARCH("平",B2551)),"平","仄")))</x:f>
        <x:v>仄</x:v>
      </x:c>
      <x:c r="K2551" s="6" t="str">
        <x:f>IF(D2551="","",IF(AND(ISNUMBER(SEARCH("平",D2551)),OR(ISNUMBER(SEARCH("上",D2551)),ISNUMBER(SEARCH("去",D2551)),ISNUMBER(SEARCH("入",D2551)))),"Ambiguous",IF(ISNUMBER(SEARCH("平",D2551)),"平","仄")))</x:f>
        <x:v>仄</x:v>
      </x:c>
      <x:c r="L2551" s="7" t="str">
        <x:v>manual user correction</x:v>
      </x:c>
    </x:row>
    <x:row r="2552">
      <x:c r="A2552" s="5" t="str">
        <x:v>瑕</x:v>
      </x:c>
      <x:c r="B2552" s="6" t="str">
        <x:v>平</x:v>
      </x:c>
      <x:c r="C2552" s="6" t="str">
        <x:f>IF(B2552="","Needs decision","Ready")</x:f>
        <x:v>Ready</x:v>
      </x:c>
      <x:c r="D2552" s="6" t="str">
        <x:v>平</x:v>
      </x:c>
      <x:c r="E2552" s="6" t="str">
        <x:v>hae (A)</x:v>
      </x:c>
      <x:c r="F2552" s="6" t="str">
        <x:v>下平聲六麻</x:v>
      </x:c>
      <x:c r="G2552" s="6" t="str">
        <x:v>Pingshui main list, Wikisource-derived DOCX</x:v>
      </x:c>
      <x:c r="H2552" s="6" t="str">
        <x:v>1</x:v>
      </x:c>
      <x:c r="I2552" s="6" t="str"/>
      <x:c r="J2552" s="6" t="str">
        <x:f>IF(B2552="","",IF(AND(ISNUMBER(SEARCH("平",B2552)),OR(ISNUMBER(SEARCH("上",B2552)),ISNUMBER(SEARCH("去",B2552)),ISNUMBER(SEARCH("入",B2552)))),"Ambiguous",IF(ISNUMBER(SEARCH("平",B2552)),"平","仄")))</x:f>
        <x:v>平</x:v>
      </x:c>
      <x:c r="K2552" s="6" t="str">
        <x:f>IF(D2552="","",IF(AND(ISNUMBER(SEARCH("平",D2552)),OR(ISNUMBER(SEARCH("上",D2552)),ISNUMBER(SEARCH("去",D2552)),ISNUMBER(SEARCH("入",D2552)))),"Ambiguous",IF(ISNUMBER(SEARCH("平",D2552)),"平","仄")))</x:f>
        <x:v>平</x:v>
      </x:c>
      <x:c r="L2552" s="7" t="str"/>
    </x:row>
    <x:row r="2553">
      <x:c r="A2553" s="5" t="str">
        <x:v>瑚</x:v>
      </x:c>
      <x:c r="B2553" s="6" t="str">
        <x:v>平</x:v>
      </x:c>
      <x:c r="C2553" s="6" t="str">
        <x:f>IF(B2553="","Needs decision","Ready")</x:f>
        <x:v>Ready</x:v>
      </x:c>
      <x:c r="D2553" s="6" t="str">
        <x:v>平</x:v>
      </x:c>
      <x:c r="E2553" s="6" t="str">
        <x:v>hu [ʁo] (平)</x:v>
      </x:c>
      <x:c r="F2553" s="6" t="str">
        <x:v>上平聲七虞</x:v>
      </x:c>
      <x:c r="G2553" s="6" t="str">
        <x:v>Pingshui main list, Wikisource-derived DOCX</x:v>
      </x:c>
      <x:c r="H2553" s="6" t="str">
        <x:v>1</x:v>
      </x:c>
      <x:c r="I2553" s="6" t="str">
        <x:v>Tang 300 gap; frequency 3; provisional from Xun Gong</x:v>
      </x:c>
      <x:c r="J2553" s="6" t="str">
        <x:f>IF(B2553="","",IF(AND(ISNUMBER(SEARCH("平",B2553)),OR(ISNUMBER(SEARCH("上",B2553)),ISNUMBER(SEARCH("去",B2553)),ISNUMBER(SEARCH("入",B2553)))),"Ambiguous",IF(ISNUMBER(SEARCH("平",B2553)),"平","仄")))</x:f>
        <x:v>平</x:v>
      </x:c>
      <x:c r="K2553" s="6" t="str">
        <x:f>IF(D2553="","",IF(AND(ISNUMBER(SEARCH("平",D2553)),OR(ISNUMBER(SEARCH("上",D2553)),ISNUMBER(SEARCH("去",D2553)),ISNUMBER(SEARCH("入",D2553)))),"Ambiguous",IF(ISNUMBER(SEARCH("平",D2553)),"平","仄")))</x:f>
        <x:v>平</x:v>
      </x:c>
      <x:c r="L2553" s="7" t="str">
        <x:v>Xun Gong, Tang 300 gap fill</x:v>
      </x:c>
    </x:row>
    <x:row r="2554">
      <x:c r="A2554" s="5" t="str">
        <x:v>瑜</x:v>
      </x:c>
      <x:c r="B2554" s="6" t="str">
        <x:v>平</x:v>
      </x:c>
      <x:c r="C2554" s="6" t="str">
        <x:f>IF(B2554="","Needs decision","Ready")</x:f>
        <x:v>Ready</x:v>
      </x:c>
      <x:c r="D2554" s="6" t="str">
        <x:v>平</x:v>
      </x:c>
      <x:c r="E2554" s="6" t="str">
        <x:v>yu [以合三虞平] jo</x:v>
      </x:c>
      <x:c r="F2554" s="6" t="str">
        <x:v>上平聲七虞</x:v>
      </x:c>
      <x:c r="G2554" s="6" t="str">
        <x:v>Pingshui main list, Wikisource-derived DOCX</x:v>
      </x:c>
      <x:c r="H2554" s="6" t="str">
        <x:v>1</x:v>
      </x:c>
      <x:c r="I2554" s="6" t="str">
        <x:v>Targeted preliminary fill from Xun Gong; review if uncertain</x:v>
      </x:c>
      <x:c r="J2554" s="6" t="str">
        <x:f>IF(B2554="","",IF(AND(ISNUMBER(SEARCH("平",B2554)),OR(ISNUMBER(SEARCH("上",B2554)),ISNUMBER(SEARCH("去",B2554)),ISNUMBER(SEARCH("入",B2554)))),"Ambiguous",IF(ISNUMBER(SEARCH("平",B2554)),"平","仄")))</x:f>
        <x:v>平</x:v>
      </x:c>
      <x:c r="K2554" s="6" t="str">
        <x:f>IF(D2554="","",IF(AND(ISNUMBER(SEARCH("平",D2554)),OR(ISNUMBER(SEARCH("上",D2554)),ISNUMBER(SEARCH("去",D2554)),ISNUMBER(SEARCH("入",D2554)))),"Ambiguous",IF(ISNUMBER(SEARCH("平",D2554)),"平","仄")))</x:f>
        <x:v>平</x:v>
      </x:c>
      <x:c r="L2554" s="7" t="str">
        <x:v>Xun Gong character-readings.csv</x:v>
      </x:c>
    </x:row>
    <x:row r="2555">
      <x:c r="A2555" s="5" t="str">
        <x:v>瑞</x:v>
      </x:c>
      <x:c r="B2555" s="6" t="str">
        <x:v>去</x:v>
      </x:c>
      <x:c r="C2555" s="6" t="str">
        <x:f>IF(B2555="","Needs decision","Ready")</x:f>
        <x:v>Ready</x:v>
      </x:c>
      <x:c r="D2555" s="6" t="str">
        <x:v>去</x:v>
      </x:c>
      <x:c r="E2555" s="6" t="str">
        <x:v>dzyweH (C)</x:v>
      </x:c>
      <x:c r="F2555" s="6" t="str">
        <x:v>去聲四寘</x:v>
      </x:c>
      <x:c r="G2555" s="6" t="str">
        <x:v>Pingshui main list, Wikisource-derived DOCX</x:v>
      </x:c>
      <x:c r="H2555" s="6" t="str">
        <x:v>1</x:v>
      </x:c>
      <x:c r="I2555" s="6" t="str"/>
      <x:c r="J2555" s="6" t="str">
        <x:f>IF(B2555="","",IF(AND(ISNUMBER(SEARCH("平",B2555)),OR(ISNUMBER(SEARCH("上",B2555)),ISNUMBER(SEARCH("去",B2555)),ISNUMBER(SEARCH("入",B2555)))),"Ambiguous",IF(ISNUMBER(SEARCH("平",B2555)),"平","仄")))</x:f>
        <x:v>仄</x:v>
      </x:c>
      <x:c r="K2555" s="6" t="str">
        <x:f>IF(D2555="","",IF(AND(ISNUMBER(SEARCH("平",D2555)),OR(ISNUMBER(SEARCH("上",D2555)),ISNUMBER(SEARCH("去",D2555)),ISNUMBER(SEARCH("入",D2555)))),"Ambiguous",IF(ISNUMBER(SEARCH("平",D2555)),"平","仄")))</x:f>
        <x:v>仄</x:v>
      </x:c>
      <x:c r="L2555" s="7" t="str"/>
    </x:row>
    <x:row r="2556">
      <x:c r="A2556" s="5" t="str">
        <x:v>瑟</x:v>
      </x:c>
      <x:c r="B2556" s="6" t="str">
        <x:v>入</x:v>
      </x:c>
      <x:c r="C2556" s="6" t="str">
        <x:f>IF(B2556="","Needs decision","Ready")</x:f>
        <x:v>Ready</x:v>
      </x:c>
      <x:c r="D2556" s="6" t="str">
        <x:v>入</x:v>
      </x:c>
      <x:c r="E2556" s="6" t="str">
        <x:v>srit (D)</x:v>
      </x:c>
      <x:c r="F2556" s="6" t="str">
        <x:v>去聲四寘; 入聲四質</x:v>
      </x:c>
      <x:c r="G2556" s="6" t="str">
        <x:v>Pingshui main list, Wikisource-derived DOCX</x:v>
      </x:c>
      <x:c r="H2556" s="6" t="str">
        <x:v>1</x:v>
      </x:c>
      <x:c r="I2556" s="6" t="str"/>
      <x:c r="J2556" s="6" t="str">
        <x:f>IF(B2556="","",IF(AND(ISNUMBER(SEARCH("平",B2556)),OR(ISNUMBER(SEARCH("上",B2556)),ISNUMBER(SEARCH("去",B2556)),ISNUMBER(SEARCH("入",B2556)))),"Ambiguous",IF(ISNUMBER(SEARCH("平",B2556)),"平","仄")))</x:f>
        <x:v>仄</x:v>
      </x:c>
      <x:c r="K2556" s="6" t="str">
        <x:f>IF(D2556="","",IF(AND(ISNUMBER(SEARCH("平",D2556)),OR(ISNUMBER(SEARCH("上",D2556)),ISNUMBER(SEARCH("去",D2556)),ISNUMBER(SEARCH("入",D2556)))),"Ambiguous",IF(ISNUMBER(SEARCH("平",D2556)),"平","仄")))</x:f>
        <x:v>仄</x:v>
      </x:c>
      <x:c r="L2556" s="7" t="str"/>
    </x:row>
    <x:row r="2557">
      <x:c r="A2557" s="5" t="str">
        <x:v>瑣</x:v>
      </x:c>
      <x:c r="B2557" s="6" t="str">
        <x:v>上</x:v>
      </x:c>
      <x:c r="C2557" s="6" t="str">
        <x:f>IF(B2557="","Needs decision","Ready")</x:f>
        <x:v>Ready</x:v>
      </x:c>
      <x:c r="D2557" s="6" t="str">
        <x:v>上</x:v>
      </x:c>
      <x:c r="E2557" s="6" t="str">
        <x:v>swaX (B)</x:v>
      </x:c>
      <x:c r="F2557" s="6" t="str">
        <x:v>上聲二十哿</x:v>
      </x:c>
      <x:c r="G2557" s="6" t="str">
        <x:v>Pingshui main list, Wikisource-derived DOCX</x:v>
      </x:c>
      <x:c r="H2557" s="6" t="str">
        <x:v>1</x:v>
      </x:c>
      <x:c r="I2557" s="6" t="str"/>
      <x:c r="J2557" s="6" t="str">
        <x:f>IF(B2557="","",IF(AND(ISNUMBER(SEARCH("平",B2557)),OR(ISNUMBER(SEARCH("上",B2557)),ISNUMBER(SEARCH("去",B2557)),ISNUMBER(SEARCH("入",B2557)))),"Ambiguous",IF(ISNUMBER(SEARCH("平",B2557)),"平","仄")))</x:f>
        <x:v>仄</x:v>
      </x:c>
      <x:c r="K2557" s="6" t="str">
        <x:f>IF(D2557="","",IF(AND(ISNUMBER(SEARCH("平",D2557)),OR(ISNUMBER(SEARCH("上",D2557)),ISNUMBER(SEARCH("去",D2557)),ISNUMBER(SEARCH("入",D2557)))),"Ambiguous",IF(ISNUMBER(SEARCH("平",D2557)),"平","仄")))</x:f>
        <x:v>仄</x:v>
      </x:c>
      <x:c r="L2557" s="7" t="str"/>
    </x:row>
    <x:row r="2558">
      <x:c r="A2558" s="5" t="str">
        <x:v>瑤</x:v>
      </x:c>
      <x:c r="B2558" s="6" t="str">
        <x:v>平</x:v>
      </x:c>
      <x:c r="C2558" s="6" t="str">
        <x:f>IF(B2558="","Needs decision","Ready")</x:f>
        <x:v>Ready</x:v>
      </x:c>
      <x:c r="D2558" s="6" t="str">
        <x:v>平</x:v>
      </x:c>
      <x:c r="E2558" s="6" t="str">
        <x:v>yew [以開三宵平] jew</x:v>
      </x:c>
      <x:c r="F2558" s="6" t="str">
        <x:v>下平聲二蕭</x:v>
      </x:c>
      <x:c r="G2558" s="6" t="str">
        <x:v>Pingshui main list, Wikisource-derived DOCX</x:v>
      </x:c>
      <x:c r="H2558" s="6" t="str">
        <x:v>1</x:v>
      </x:c>
      <x:c r="I2558" s="6" t="str">
        <x:v>Targeted preliminary fill from Xun Gong; review if uncertain</x:v>
      </x:c>
      <x:c r="J2558" s="6" t="str">
        <x:f>IF(B2558="","",IF(AND(ISNUMBER(SEARCH("平",B2558)),OR(ISNUMBER(SEARCH("上",B2558)),ISNUMBER(SEARCH("去",B2558)),ISNUMBER(SEARCH("入",B2558)))),"Ambiguous",IF(ISNUMBER(SEARCH("平",B2558)),"平","仄")))</x:f>
        <x:v>平</x:v>
      </x:c>
      <x:c r="K2558" s="6" t="str">
        <x:f>IF(D2558="","",IF(AND(ISNUMBER(SEARCH("平",D2558)),OR(ISNUMBER(SEARCH("上",D2558)),ISNUMBER(SEARCH("去",D2558)),ISNUMBER(SEARCH("入",D2558)))),"Ambiguous",IF(ISNUMBER(SEARCH("平",D2558)),"平","仄")))</x:f>
        <x:v>平</x:v>
      </x:c>
      <x:c r="L2558" s="7" t="str">
        <x:v>Xun Gong character-readings.csv</x:v>
      </x:c>
    </x:row>
    <x:row r="2559">
      <x:c r="A2559" s="5" t="str">
        <x:v>瑰</x:v>
      </x:c>
      <x:c r="B2559" s="6" t="str">
        <x:v>平</x:v>
      </x:c>
      <x:c r="C2559" s="6" t="str">
        <x:f>IF(B2559="","Needs decision","Ready")</x:f>
        <x:v>Ready</x:v>
      </x:c>
      <x:c r="D2559" s="6" t="str">
        <x:v>平</x:v>
      </x:c>
      <x:c r="E2559" s="6" t="str">
        <x:v>kwoj (A)</x:v>
      </x:c>
      <x:c r="F2559" s="6" t="str">
        <x:v>上平聲十灰</x:v>
      </x:c>
      <x:c r="G2559" s="6" t="str">
        <x:v>Pingshui main list, Wikisource-derived DOCX</x:v>
      </x:c>
      <x:c r="H2559" s="6" t="str">
        <x:v>1</x:v>
      </x:c>
      <x:c r="I2559" s="6" t="str"/>
      <x:c r="J2559" s="6" t="str">
        <x:f>IF(B2559="","",IF(AND(ISNUMBER(SEARCH("平",B2559)),OR(ISNUMBER(SEARCH("上",B2559)),ISNUMBER(SEARCH("去",B2559)),ISNUMBER(SEARCH("入",B2559)))),"Ambiguous",IF(ISNUMBER(SEARCH("平",B2559)),"平","仄")))</x:f>
        <x:v>平</x:v>
      </x:c>
      <x:c r="K2559" s="6" t="str">
        <x:f>IF(D2559="","",IF(AND(ISNUMBER(SEARCH("平",D2559)),OR(ISNUMBER(SEARCH("上",D2559)),ISNUMBER(SEARCH("去",D2559)),ISNUMBER(SEARCH("入",D2559)))),"Ambiguous",IF(ISNUMBER(SEARCH("平",D2559)),"平","仄")))</x:f>
        <x:v>平</x:v>
      </x:c>
      <x:c r="L2559" s="7" t="str"/>
    </x:row>
    <x:row r="2560">
      <x:c r="A2560" s="5" t="str">
        <x:v>瑳</x:v>
      </x:c>
      <x:c r="B2560" s="6" t="str">
        <x:v>上</x:v>
      </x:c>
      <x:c r="C2560" s="6" t="str">
        <x:f>IF(B2560="","Needs decision","Ready")</x:f>
        <x:v>Ready</x:v>
      </x:c>
      <x:c r="D2560" s="6" t="str">
        <x:v>上</x:v>
      </x:c>
      <x:c r="E2560" s="6" t="str">
        <x:v>tshaX (B)</x:v>
      </x:c>
      <x:c r="F2560" s="6" t="str">
        <x:v>下平聲五歌; 上聲二十哿</x:v>
      </x:c>
      <x:c r="G2560" s="6" t="str">
        <x:v>Pingshui main list, Wikisource-derived DOCX</x:v>
      </x:c>
      <x:c r="H2560" s="6" t="str">
        <x:v>1</x:v>
      </x:c>
      <x:c r="I2560" s="6" t="str"/>
      <x:c r="J2560" s="6" t="str">
        <x:f>IF(B2560="","",IF(AND(ISNUMBER(SEARCH("平",B2560)),OR(ISNUMBER(SEARCH("上",B2560)),ISNUMBER(SEARCH("去",B2560)),ISNUMBER(SEARCH("入",B2560)))),"Ambiguous",IF(ISNUMBER(SEARCH("平",B2560)),"平","仄")))</x:f>
        <x:v>仄</x:v>
      </x:c>
      <x:c r="K2560" s="6" t="str">
        <x:f>IF(D2560="","",IF(AND(ISNUMBER(SEARCH("平",D2560)),OR(ISNUMBER(SEARCH("上",D2560)),ISNUMBER(SEARCH("去",D2560)),ISNUMBER(SEARCH("入",D2560)))),"Ambiguous",IF(ISNUMBER(SEARCH("平",D2560)),"平","仄")))</x:f>
        <x:v>仄</x:v>
      </x:c>
      <x:c r="L2560" s="7" t="str"/>
    </x:row>
    <x:row r="2561">
      <x:c r="A2561" s="5" t="str">
        <x:v>璃</x:v>
      </x:c>
      <x:c r="B2561" s="6" t="str">
        <x:v>平</x:v>
      </x:c>
      <x:c r="C2561" s="6" t="str">
        <x:f>IF(B2561="","Needs decision","Ready")</x:f>
        <x:v>Ready</x:v>
      </x:c>
      <x:c r="D2561" s="6" t="str">
        <x:v>平</x:v>
      </x:c>
      <x:c r="E2561" s="6" t="str"/>
      <x:c r="F2561" s="6" t="str">
        <x:v>上平聲四支</x:v>
      </x:c>
      <x:c r="G2561" s="6" t="str">
        <x:v>Pingshui main list, Wikisource-derived DOCX</x:v>
      </x:c>
      <x:c r="H2561" s="6" t="str">
        <x:v>0</x:v>
      </x:c>
      <x:c r="I2561" s="6" t="str">
        <x:v>User correction 2026-09-08; added manually</x:v>
      </x:c>
      <x:c r="J2561" s="6" t="str">
        <x:f>IF(B2561="","",IF(AND(ISNUMBER(SEARCH("平",B2561)),OR(ISNUMBER(SEARCH("上",B2561)),ISNUMBER(SEARCH("去",B2561)),ISNUMBER(SEARCH("入",B2561)))),"Ambiguous",IF(ISNUMBER(SEARCH("平",B2561)),"平","仄")))</x:f>
        <x:v>平</x:v>
      </x:c>
      <x:c r="K2561" s="6" t="str">
        <x:f>IF(D2561="","",IF(AND(ISNUMBER(SEARCH("平",D2561)),OR(ISNUMBER(SEARCH("上",D2561)),ISNUMBER(SEARCH("去",D2561)),ISNUMBER(SEARCH("入",D2561)))),"Ambiguous",IF(ISNUMBER(SEARCH("平",D2561)),"平","仄")))</x:f>
        <x:v>平</x:v>
      </x:c>
      <x:c r="L2561" s="7" t="str">
        <x:v>User correction</x:v>
      </x:c>
    </x:row>
    <x:row r="2562">
      <x:c r="A2562" s="5" t="str">
        <x:v>璅</x:v>
      </x:c>
      <x:c r="B2562" s="6" t="str">
        <x:v>上</x:v>
      </x:c>
      <x:c r="C2562" s="6" t="str">
        <x:f>IF(B2562="","Needs decision","Ready")</x:f>
        <x:v>Ready</x:v>
      </x:c>
      <x:c r="D2562" s="6" t="str">
        <x:v>上</x:v>
      </x:c>
      <x:c r="E2562" s="6" t="str">
        <x:v>tsawX [t̙s̙əwʔ] (上)</x:v>
      </x:c>
      <x:c r="F2562" s="6" t="str">
        <x:v>上聲十九皓</x:v>
      </x:c>
      <x:c r="G2562" s="6" t="str">
        <x:v>Pingshui main list, Wikisource-derived DOCX</x:v>
      </x:c>
      <x:c r="H2562" s="6" t="str">
        <x:v>1</x:v>
      </x:c>
      <x:c r="I2562" s="6" t="str">
        <x:v>Tang 300 gap; frequency 1; provisional from Xun Gong</x:v>
      </x:c>
      <x:c r="J2562" s="6" t="str">
        <x:f>IF(B2562="","",IF(AND(ISNUMBER(SEARCH("平",B2562)),OR(ISNUMBER(SEARCH("上",B2562)),ISNUMBER(SEARCH("去",B2562)),ISNUMBER(SEARCH("入",B2562)))),"Ambiguous",IF(ISNUMBER(SEARCH("平",B2562)),"平","仄")))</x:f>
        <x:v>仄</x:v>
      </x:c>
      <x:c r="K2562" s="6" t="str">
        <x:f>IF(D2562="","",IF(AND(ISNUMBER(SEARCH("平",D2562)),OR(ISNUMBER(SEARCH("上",D2562)),ISNUMBER(SEARCH("去",D2562)),ISNUMBER(SEARCH("入",D2562)))),"Ambiguous",IF(ISNUMBER(SEARCH("平",D2562)),"平","仄")))</x:f>
        <x:v>仄</x:v>
      </x:c>
      <x:c r="L2562" s="7" t="str">
        <x:v>Xun Gong, Tang 300 gap fill</x:v>
      </x:c>
    </x:row>
    <x:row r="2563">
      <x:c r="A2563" s="5" t="str">
        <x:v>璊</x:v>
      </x:c>
      <x:c r="B2563" s="6" t="str">
        <x:v>平</x:v>
      </x:c>
      <x:c r="C2563" s="6" t="str">
        <x:f>IF(B2563="","Needs decision","Ready")</x:f>
        <x:v>Ready</x:v>
      </x:c>
      <x:c r="D2563" s="6" t="str">
        <x:v>平</x:v>
      </x:c>
      <x:c r="E2563" s="6" t="str">
        <x:v>mwon (A)</x:v>
      </x:c>
      <x:c r="F2563" s="6" t="str">
        <x:v>上平聲十三元</x:v>
      </x:c>
      <x:c r="G2563" s="6" t="str">
        <x:v>Pingshui main list, Wikisource-derived DOCX</x:v>
      </x:c>
      <x:c r="H2563" s="6" t="str">
        <x:v>1</x:v>
      </x:c>
      <x:c r="I2563" s="6" t="str"/>
      <x:c r="J2563" s="6" t="str">
        <x:f>IF(B2563="","",IF(AND(ISNUMBER(SEARCH("平",B2563)),OR(ISNUMBER(SEARCH("上",B2563)),ISNUMBER(SEARCH("去",B2563)),ISNUMBER(SEARCH("入",B2563)))),"Ambiguous",IF(ISNUMBER(SEARCH("平",B2563)),"平","仄")))</x:f>
        <x:v>平</x:v>
      </x:c>
      <x:c r="K2563" s="6" t="str">
        <x:f>IF(D2563="","",IF(AND(ISNUMBER(SEARCH("平",D2563)),OR(ISNUMBER(SEARCH("上",D2563)),ISNUMBER(SEARCH("去",D2563)),ISNUMBER(SEARCH("入",D2563)))),"Ambiguous",IF(ISNUMBER(SEARCH("平",D2563)),"平","仄")))</x:f>
        <x:v>平</x:v>
      </x:c>
      <x:c r="L2563" s="7" t="str"/>
    </x:row>
    <x:row r="2564">
      <x:c r="A2564" s="5" t="str">
        <x:v>璋</x:v>
      </x:c>
      <x:c r="B2564" s="6" t="str">
        <x:v>平</x:v>
      </x:c>
      <x:c r="C2564" s="6" t="str">
        <x:f>IF(B2564="","Needs decision","Ready")</x:f>
        <x:v>Ready</x:v>
      </x:c>
      <x:c r="D2564" s="6" t="str">
        <x:v>平</x:v>
      </x:c>
      <x:c r="E2564" s="6" t="str">
        <x:v>tsyang (A)</x:v>
      </x:c>
      <x:c r="F2564" s="6" t="str">
        <x:v>下平聲七陽</x:v>
      </x:c>
      <x:c r="G2564" s="6" t="str">
        <x:v>Pingshui main list, Wikisource-derived DOCX</x:v>
      </x:c>
      <x:c r="H2564" s="6" t="str">
        <x:v>1</x:v>
      </x:c>
      <x:c r="I2564" s="6" t="str"/>
      <x:c r="J2564" s="6" t="str">
        <x:f>IF(B2564="","",IF(AND(ISNUMBER(SEARCH("平",B2564)),OR(ISNUMBER(SEARCH("上",B2564)),ISNUMBER(SEARCH("去",B2564)),ISNUMBER(SEARCH("入",B2564)))),"Ambiguous",IF(ISNUMBER(SEARCH("平",B2564)),"平","仄")))</x:f>
        <x:v>平</x:v>
      </x:c>
      <x:c r="K2564" s="6" t="str">
        <x:f>IF(D2564="","",IF(AND(ISNUMBER(SEARCH("平",D2564)),OR(ISNUMBER(SEARCH("上",D2564)),ISNUMBER(SEARCH("去",D2564)),ISNUMBER(SEARCH("入",D2564)))),"Ambiguous",IF(ISNUMBER(SEARCH("平",D2564)),"平","仄")))</x:f>
        <x:v>平</x:v>
      </x:c>
      <x:c r="L2564" s="7" t="str"/>
    </x:row>
    <x:row r="2565">
      <x:c r="A2565" s="5" t="str">
        <x:v>璧</x:v>
      </x:c>
      <x:c r="B2565" s="6" t="str">
        <x:v>入</x:v>
      </x:c>
      <x:c r="C2565" s="6" t="str">
        <x:f>IF(B2565="","Needs decision","Ready")</x:f>
        <x:v>Ready</x:v>
      </x:c>
      <x:c r="D2565" s="6" t="str">
        <x:v>入</x:v>
      </x:c>
      <x:c r="E2565" s="6" t="str">
        <x:v>pjiek (D)</x:v>
      </x:c>
      <x:c r="F2565" s="6" t="str">
        <x:v>入聲十一陌</x:v>
      </x:c>
      <x:c r="G2565" s="6" t="str">
        <x:v>Pingshui main list, Wikisource-derived DOCX</x:v>
      </x:c>
      <x:c r="H2565" s="6" t="str">
        <x:v>1</x:v>
      </x:c>
      <x:c r="I2565" s="6" t="str"/>
      <x:c r="J2565" s="6" t="str">
        <x:f>IF(B2565="","",IF(AND(ISNUMBER(SEARCH("平",B2565)),OR(ISNUMBER(SEARCH("上",B2565)),ISNUMBER(SEARCH("去",B2565)),ISNUMBER(SEARCH("入",B2565)))),"Ambiguous",IF(ISNUMBER(SEARCH("平",B2565)),"平","仄")))</x:f>
        <x:v>仄</x:v>
      </x:c>
      <x:c r="K2565" s="6" t="str">
        <x:f>IF(D2565="","",IF(AND(ISNUMBER(SEARCH("平",D2565)),OR(ISNUMBER(SEARCH("上",D2565)),ISNUMBER(SEARCH("去",D2565)),ISNUMBER(SEARCH("入",D2565)))),"Ambiguous",IF(ISNUMBER(SEARCH("平",D2565)),"平","仄")))</x:f>
        <x:v>仄</x:v>
      </x:c>
      <x:c r="L2565" s="7" t="str"/>
    </x:row>
    <x:row r="2566">
      <x:c r="A2566" s="5" t="str">
        <x:v>璫</x:v>
      </x:c>
      <x:c r="B2566" s="6" t="str">
        <x:v>平</x:v>
      </x:c>
      <x:c r="C2566" s="6" t="str">
        <x:f>IF(B2566="","Needs decision","Ready")</x:f>
        <x:v>Ready</x:v>
      </x:c>
      <x:c r="D2566" s="6" t="str">
        <x:v>平</x:v>
      </x:c>
      <x:c r="E2566" s="6" t="str">
        <x:v>tang [t̙ɑŋ] (平)</x:v>
      </x:c>
      <x:c r="F2566" s="6" t="str">
        <x:v>下平聲七陽</x:v>
      </x:c>
      <x:c r="G2566" s="6" t="str">
        <x:v>Pingshui main list, Wikisource-derived DOCX</x:v>
      </x:c>
      <x:c r="H2566" s="6" t="str">
        <x:v>1</x:v>
      </x:c>
      <x:c r="I2566" s="6" t="str">
        <x:v>Tang 300 gap; frequency 1; provisional from Xun Gong</x:v>
      </x:c>
      <x:c r="J2566" s="6" t="str">
        <x:f>IF(B2566="","",IF(AND(ISNUMBER(SEARCH("平",B2566)),OR(ISNUMBER(SEARCH("上",B2566)),ISNUMBER(SEARCH("去",B2566)),ISNUMBER(SEARCH("入",B2566)))),"Ambiguous",IF(ISNUMBER(SEARCH("平",B2566)),"平","仄")))</x:f>
        <x:v>平</x:v>
      </x:c>
      <x:c r="K2566" s="6" t="str">
        <x:f>IF(D2566="","",IF(AND(ISNUMBER(SEARCH("平",D2566)),OR(ISNUMBER(SEARCH("上",D2566)),ISNUMBER(SEARCH("去",D2566)),ISNUMBER(SEARCH("入",D2566)))),"Ambiguous",IF(ISNUMBER(SEARCH("平",D2566)),"平","仄")))</x:f>
        <x:v>平</x:v>
      </x:c>
      <x:c r="L2566" s="7" t="str">
        <x:v>Xun Gong, Tang 300 gap fill</x:v>
      </x:c>
    </x:row>
    <x:row r="2567">
      <x:c r="A2567" s="5" t="str">
        <x:v>環</x:v>
      </x:c>
      <x:c r="B2567" s="6" t="str">
        <x:v>平</x:v>
      </x:c>
      <x:c r="C2567" s="6" t="str">
        <x:f>IF(B2567="","Needs decision","Ready")</x:f>
        <x:v>Ready</x:v>
      </x:c>
      <x:c r="D2567" s="6" t="str">
        <x:v>平</x:v>
      </x:c>
      <x:c r="E2567" s="6" t="str">
        <x:v>hwaen (A)</x:v>
      </x:c>
      <x:c r="F2567" s="6" t="str">
        <x:v>上平聲十五刪</x:v>
      </x:c>
      <x:c r="G2567" s="6" t="str">
        <x:v>Pingshui main list, Wikisource-derived DOCX</x:v>
      </x:c>
      <x:c r="H2567" s="6" t="str">
        <x:v>1</x:v>
      </x:c>
      <x:c r="I2567" s="6" t="str"/>
      <x:c r="J2567" s="6" t="str">
        <x:f>IF(B2567="","",IF(AND(ISNUMBER(SEARCH("平",B2567)),OR(ISNUMBER(SEARCH("上",B2567)),ISNUMBER(SEARCH("去",B2567)),ISNUMBER(SEARCH("入",B2567)))),"Ambiguous",IF(ISNUMBER(SEARCH("平",B2567)),"平","仄")))</x:f>
        <x:v>平</x:v>
      </x:c>
      <x:c r="K2567" s="6" t="str">
        <x:f>IF(D2567="","",IF(AND(ISNUMBER(SEARCH("平",D2567)),OR(ISNUMBER(SEARCH("上",D2567)),ISNUMBER(SEARCH("去",D2567)),ISNUMBER(SEARCH("入",D2567)))),"Ambiguous",IF(ISNUMBER(SEARCH("平",D2567)),"平","仄")))</x:f>
        <x:v>平</x:v>
      </x:c>
      <x:c r="L2567" s="7" t="str"/>
    </x:row>
    <x:row r="2568">
      <x:c r="A2568" s="5" t="str">
        <x:v>璽</x:v>
      </x:c>
      <x:c r="B2568" s="6" t="str">
        <x:v>上</x:v>
      </x:c>
      <x:c r="C2568" s="6" t="str">
        <x:f>IF(B2568="","Needs decision","Ready")</x:f>
        <x:v>Ready</x:v>
      </x:c>
      <x:c r="D2568" s="6" t="str">
        <x:v>上</x:v>
      </x:c>
      <x:c r="E2568" s="6" t="str">
        <x:v>sjeX (B)</x:v>
      </x:c>
      <x:c r="F2568" s="6" t="str">
        <x:v>上聲四紙</x:v>
      </x:c>
      <x:c r="G2568" s="6" t="str">
        <x:v>Pingshui main list, Wikisource-derived DOCX</x:v>
      </x:c>
      <x:c r="H2568" s="6" t="str">
        <x:v>1</x:v>
      </x:c>
      <x:c r="I2568" s="6" t="str"/>
      <x:c r="J2568" s="6" t="str">
        <x:f>IF(B2568="","",IF(AND(ISNUMBER(SEARCH("平",B2568)),OR(ISNUMBER(SEARCH("上",B2568)),ISNUMBER(SEARCH("去",B2568)),ISNUMBER(SEARCH("入",B2568)))),"Ambiguous",IF(ISNUMBER(SEARCH("平",B2568)),"平","仄")))</x:f>
        <x:v>仄</x:v>
      </x:c>
      <x:c r="K2568" s="6" t="str">
        <x:f>IF(D2568="","",IF(AND(ISNUMBER(SEARCH("平",D2568)),OR(ISNUMBER(SEARCH("上",D2568)),ISNUMBER(SEARCH("去",D2568)),ISNUMBER(SEARCH("入",D2568)))),"Ambiguous",IF(ISNUMBER(SEARCH("平",D2568)),"平","仄")))</x:f>
        <x:v>仄</x:v>
      </x:c>
      <x:c r="L2568" s="7" t="str"/>
    </x:row>
    <x:row r="2569">
      <x:c r="A2569" s="5" t="str">
        <x:v>璿</x:v>
      </x:c>
      <x:c r="B2569" s="6" t="str">
        <x:v>平</x:v>
      </x:c>
      <x:c r="C2569" s="6" t="str">
        <x:f>IF(B2569="","Needs decision","Ready")</x:f>
        <x:v>Ready</x:v>
      </x:c>
      <x:c r="D2569" s="6" t="str">
        <x:v>平</x:v>
      </x:c>
      <x:c r="E2569" s="6" t="str">
        <x:v>zjwen [邪合三仙平] zjwen</x:v>
      </x:c>
      <x:c r="F2569" s="6" t="str">
        <x:v>下平聲一先</x:v>
      </x:c>
      <x:c r="G2569" s="6" t="str">
        <x:v>Pingshui main list, Wikisource-derived DOCX</x:v>
      </x:c>
      <x:c r="H2569" s="6" t="str">
        <x:v>1</x:v>
      </x:c>
      <x:c r="I2569" s="6" t="str">
        <x:v>Targeted preliminary fill from Xun Gong; review if uncertain</x:v>
      </x:c>
      <x:c r="J2569" s="6" t="str">
        <x:f>IF(B2569="","",IF(AND(ISNUMBER(SEARCH("平",B2569)),OR(ISNUMBER(SEARCH("上",B2569)),ISNUMBER(SEARCH("去",B2569)),ISNUMBER(SEARCH("入",B2569)))),"Ambiguous",IF(ISNUMBER(SEARCH("平",B2569)),"平","仄")))</x:f>
        <x:v>平</x:v>
      </x:c>
      <x:c r="K2569" s="6" t="str">
        <x:f>IF(D2569="","",IF(AND(ISNUMBER(SEARCH("平",D2569)),OR(ISNUMBER(SEARCH("上",D2569)),ISNUMBER(SEARCH("去",D2569)),ISNUMBER(SEARCH("入",D2569)))),"Ambiguous",IF(ISNUMBER(SEARCH("平",D2569)),"平","仄")))</x:f>
        <x:v>平</x:v>
      </x:c>
      <x:c r="L2569" s="7" t="str">
        <x:v>Xun Gong character-readings.csv</x:v>
      </x:c>
    </x:row>
    <x:row r="2570">
      <x:c r="A2570" s="5" t="str">
        <x:v>瓊</x:v>
      </x:c>
      <x:c r="B2570" s="6" t="str">
        <x:v>平</x:v>
      </x:c>
      <x:c r="C2570" s="6" t="str">
        <x:f>IF(B2570="","Needs decision","Ready")</x:f>
        <x:v>Ready</x:v>
      </x:c>
      <x:c r="D2570" s="6" t="str">
        <x:v>平</x:v>
      </x:c>
      <x:c r="E2570" s="6" t="str">
        <x:v>gjwieng [ɡjwaŋ] (平)</x:v>
      </x:c>
      <x:c r="F2570" s="6" t="str">
        <x:v>下平聲八庚</x:v>
      </x:c>
      <x:c r="G2570" s="6" t="str">
        <x:v>Pingshui main list, Wikisource-derived DOCX</x:v>
      </x:c>
      <x:c r="H2570" s="6" t="str">
        <x:v>1</x:v>
      </x:c>
      <x:c r="I2570" s="6" t="str">
        <x:v>Tang 300 gap; frequency 3; provisional from Xun Gong</x:v>
      </x:c>
      <x:c r="J2570" s="6" t="str">
        <x:f>IF(B2570="","",IF(AND(ISNUMBER(SEARCH("平",B2570)),OR(ISNUMBER(SEARCH("上",B2570)),ISNUMBER(SEARCH("去",B2570)),ISNUMBER(SEARCH("入",B2570)))),"Ambiguous",IF(ISNUMBER(SEARCH("平",B2570)),"平","仄")))</x:f>
        <x:v>平</x:v>
      </x:c>
      <x:c r="K2570" s="6" t="str">
        <x:f>IF(D2570="","",IF(AND(ISNUMBER(SEARCH("平",D2570)),OR(ISNUMBER(SEARCH("上",D2570)),ISNUMBER(SEARCH("去",D2570)),ISNUMBER(SEARCH("入",D2570)))),"Ambiguous",IF(ISNUMBER(SEARCH("平",D2570)),"平","仄")))</x:f>
        <x:v>平</x:v>
      </x:c>
      <x:c r="L2570" s="7" t="str">
        <x:v>Xun Gong, Tang 300 gap fill</x:v>
      </x:c>
    </x:row>
    <x:row r="2571">
      <x:c r="A2571" s="5" t="str">
        <x:v>瓏</x:v>
      </x:c>
      <x:c r="B2571" s="6" t="str">
        <x:v>平</x:v>
      </x:c>
      <x:c r="C2571" s="6" t="str">
        <x:f>IF(B2571="","Needs decision","Ready")</x:f>
        <x:v>Ready</x:v>
      </x:c>
      <x:c r="D2571" s="6" t="str">
        <x:v>平</x:v>
      </x:c>
      <x:c r="E2571" s="6" t="str">
        <x:v>luwng [l̙uŋ] (平)</x:v>
      </x:c>
      <x:c r="F2571" s="6" t="str">
        <x:v>上平聲一東</x:v>
      </x:c>
      <x:c r="G2571" s="6" t="str">
        <x:v>Pingshui main list, Wikisource-derived DOCX</x:v>
      </x:c>
      <x:c r="H2571" s="6" t="str">
        <x:v>1</x:v>
      </x:c>
      <x:c r="I2571" s="6" t="str">
        <x:v>Tang 300 gap; frequency 3; provisional from Xun Gong</x:v>
      </x:c>
      <x:c r="J2571" s="6" t="str">
        <x:f>IF(B2571="","",IF(AND(ISNUMBER(SEARCH("平",B2571)),OR(ISNUMBER(SEARCH("上",B2571)),ISNUMBER(SEARCH("去",B2571)),ISNUMBER(SEARCH("入",B2571)))),"Ambiguous",IF(ISNUMBER(SEARCH("平",B2571)),"平","仄")))</x:f>
        <x:v>平</x:v>
      </x:c>
      <x:c r="K2571" s="6" t="str">
        <x:f>IF(D2571="","",IF(AND(ISNUMBER(SEARCH("平",D2571)),OR(ISNUMBER(SEARCH("上",D2571)),ISNUMBER(SEARCH("去",D2571)),ISNUMBER(SEARCH("入",D2571)))),"Ambiguous",IF(ISNUMBER(SEARCH("平",D2571)),"平","仄")))</x:f>
        <x:v>平</x:v>
      </x:c>
      <x:c r="L2571" s="7" t="str">
        <x:v>Xun Gong, Tang 300 gap fill</x:v>
      </x:c>
    </x:row>
    <x:row r="2572">
      <x:c r="A2572" s="5" t="str">
        <x:v>瓜</x:v>
      </x:c>
      <x:c r="B2572" s="6" t="str">
        <x:v>平</x:v>
      </x:c>
      <x:c r="C2572" s="6" t="str">
        <x:f>IF(B2572="","Needs decision","Ready")</x:f>
        <x:v>Ready</x:v>
      </x:c>
      <x:c r="D2572" s="6" t="str">
        <x:v>平</x:v>
      </x:c>
      <x:c r="E2572" s="6" t="str">
        <x:v>kwae (A)</x:v>
      </x:c>
      <x:c r="F2572" s="6" t="str">
        <x:v>下平聲六麻</x:v>
      </x:c>
      <x:c r="G2572" s="6" t="str">
        <x:v>Pingshui main list, Wikisource-derived DOCX</x:v>
      </x:c>
      <x:c r="H2572" s="6" t="str">
        <x:v>1</x:v>
      </x:c>
      <x:c r="I2572" s="6" t="str"/>
      <x:c r="J2572" s="6" t="str">
        <x:f>IF(B2572="","",IF(AND(ISNUMBER(SEARCH("平",B2572)),OR(ISNUMBER(SEARCH("上",B2572)),ISNUMBER(SEARCH("去",B2572)),ISNUMBER(SEARCH("入",B2572)))),"Ambiguous",IF(ISNUMBER(SEARCH("平",B2572)),"平","仄")))</x:f>
        <x:v>平</x:v>
      </x:c>
      <x:c r="K2572" s="6" t="str">
        <x:f>IF(D2572="","",IF(AND(ISNUMBER(SEARCH("平",D2572)),OR(ISNUMBER(SEARCH("上",D2572)),ISNUMBER(SEARCH("去",D2572)),ISNUMBER(SEARCH("入",D2572)))),"Ambiguous",IF(ISNUMBER(SEARCH("平",D2572)),"平","仄")))</x:f>
        <x:v>平</x:v>
      </x:c>
      <x:c r="L2572" s="7" t="str"/>
    </x:row>
    <x:row r="2573">
      <x:c r="A2573" s="5" t="str">
        <x:v>瓠</x:v>
      </x:c>
      <x:c r="B2573" s="6" t="str">
        <x:v>去</x:v>
      </x:c>
      <x:c r="C2573" s="6" t="str">
        <x:f>IF(B2573="","Needs decision","Ready")</x:f>
        <x:v>Ready</x:v>
      </x:c>
      <x:c r="D2573" s="6" t="str">
        <x:v>去</x:v>
      </x:c>
      <x:c r="E2573" s="6" t="str">
        <x:v>huH (C)</x:v>
      </x:c>
      <x:c r="F2573" s="6" t="str">
        <x:v>上平聲七虞; 去聲七遇</x:v>
      </x:c>
      <x:c r="G2573" s="6" t="str">
        <x:v>Pingshui main list, Wikisource-derived DOCX</x:v>
      </x:c>
      <x:c r="H2573" s="6" t="str">
        <x:v>1</x:v>
      </x:c>
      <x:c r="I2573" s="6" t="str"/>
      <x:c r="J2573" s="6" t="str">
        <x:f>IF(B2573="","",IF(AND(ISNUMBER(SEARCH("平",B2573)),OR(ISNUMBER(SEARCH("上",B2573)),ISNUMBER(SEARCH("去",B2573)),ISNUMBER(SEARCH("入",B2573)))),"Ambiguous",IF(ISNUMBER(SEARCH("平",B2573)),"平","仄")))</x:f>
        <x:v>仄</x:v>
      </x:c>
      <x:c r="K2573" s="6" t="str">
        <x:f>IF(D2573="","",IF(AND(ISNUMBER(SEARCH("平",D2573)),OR(ISNUMBER(SEARCH("上",D2573)),ISNUMBER(SEARCH("去",D2573)),ISNUMBER(SEARCH("入",D2573)))),"Ambiguous",IF(ISNUMBER(SEARCH("平",D2573)),"平","仄")))</x:f>
        <x:v>仄</x:v>
      </x:c>
      <x:c r="L2573" s="7" t="str"/>
    </x:row>
    <x:row r="2574">
      <x:c r="A2574" s="5" t="str">
        <x:v>瓢</x:v>
      </x:c>
      <x:c r="B2574" s="6" t="str">
        <x:v>平</x:v>
      </x:c>
      <x:c r="C2574" s="6" t="str">
        <x:f>IF(B2574="","Needs decision","Ready")</x:f>
        <x:v>Ready</x:v>
      </x:c>
      <x:c r="D2574" s="6" t="str">
        <x:v>平</x:v>
      </x:c>
      <x:c r="E2574" s="6" t="str">
        <x:v>bjiew (A)</x:v>
      </x:c>
      <x:c r="F2574" s="6" t="str">
        <x:v>下平聲二蕭</x:v>
      </x:c>
      <x:c r="G2574" s="6" t="str">
        <x:v>Pingshui main list, Wikisource-derived DOCX</x:v>
      </x:c>
      <x:c r="H2574" s="6" t="str">
        <x:v>1</x:v>
      </x:c>
      <x:c r="I2574" s="6" t="str"/>
      <x:c r="J2574" s="6" t="str">
        <x:f>IF(B2574="","",IF(AND(ISNUMBER(SEARCH("平",B2574)),OR(ISNUMBER(SEARCH("上",B2574)),ISNUMBER(SEARCH("去",B2574)),ISNUMBER(SEARCH("入",B2574)))),"Ambiguous",IF(ISNUMBER(SEARCH("平",B2574)),"平","仄")))</x:f>
        <x:v>平</x:v>
      </x:c>
      <x:c r="K2574" s="6" t="str">
        <x:f>IF(D2574="","",IF(AND(ISNUMBER(SEARCH("平",D2574)),OR(ISNUMBER(SEARCH("上",D2574)),ISNUMBER(SEARCH("去",D2574)),ISNUMBER(SEARCH("入",D2574)))),"Ambiguous",IF(ISNUMBER(SEARCH("平",D2574)),"平","仄")))</x:f>
        <x:v>平</x:v>
      </x:c>
      <x:c r="L2574" s="7" t="str"/>
    </x:row>
    <x:row r="2575">
      <x:c r="A2575" s="5" t="str">
        <x:v>瓦</x:v>
      </x:c>
      <x:c r="B2575" s="6" t="str">
        <x:v>上</x:v>
      </x:c>
      <x:c r="C2575" s="6" t="str">
        <x:f>IF(B2575="","Needs decision","Ready")</x:f>
        <x:v>Ready</x:v>
      </x:c>
      <x:c r="D2575" s="6" t="str">
        <x:v>上</x:v>
      </x:c>
      <x:c r="E2575" s="6" t="str">
        <x:v>ngwaeX (B)</x:v>
      </x:c>
      <x:c r="F2575" s="6" t="str">
        <x:v>上聲二十一馬</x:v>
      </x:c>
      <x:c r="G2575" s="6" t="str">
        <x:v>Pingshui main list, Wikisource-derived DOCX</x:v>
      </x:c>
      <x:c r="H2575" s="6" t="str">
        <x:v>1</x:v>
      </x:c>
      <x:c r="I2575" s="6" t="str"/>
      <x:c r="J2575" s="6" t="str">
        <x:f>IF(B2575="","",IF(AND(ISNUMBER(SEARCH("平",B2575)),OR(ISNUMBER(SEARCH("上",B2575)),ISNUMBER(SEARCH("去",B2575)),ISNUMBER(SEARCH("入",B2575)))),"Ambiguous",IF(ISNUMBER(SEARCH("平",B2575)),"平","仄")))</x:f>
        <x:v>仄</x:v>
      </x:c>
      <x:c r="K2575" s="6" t="str">
        <x:f>IF(D2575="","",IF(AND(ISNUMBER(SEARCH("平",D2575)),OR(ISNUMBER(SEARCH("上",D2575)),ISNUMBER(SEARCH("去",D2575)),ISNUMBER(SEARCH("入",D2575)))),"Ambiguous",IF(ISNUMBER(SEARCH("平",D2575)),"平","仄")))</x:f>
        <x:v>仄</x:v>
      </x:c>
      <x:c r="L2575" s="7" t="str"/>
    </x:row>
    <x:row r="2576">
      <x:c r="A2576" s="5" t="str">
        <x:v>瓬</x:v>
      </x:c>
      <x:c r="B2576" s="6" t="str">
        <x:v>上</x:v>
      </x:c>
      <x:c r="C2576" s="6" t="str">
        <x:f>IF(B2576="","Needs decision","Ready")</x:f>
        <x:v>Ready</x:v>
      </x:c>
      <x:c r="D2576" s="6" t="str">
        <x:v>上</x:v>
      </x:c>
      <x:c r="E2576" s="6" t="str">
        <x:v>pjangX (B)</x:v>
      </x:c>
      <x:c r="F2576" s="6" t="str">
        <x:v>上聲二十二養</x:v>
      </x:c>
      <x:c r="G2576" s="6" t="str">
        <x:v>Pingshui main list, Wikisource-derived DOCX</x:v>
      </x:c>
      <x:c r="H2576" s="6" t="str">
        <x:v>1</x:v>
      </x:c>
      <x:c r="I2576" s="6" t="str"/>
      <x:c r="J2576" s="6" t="str">
        <x:f>IF(B2576="","",IF(AND(ISNUMBER(SEARCH("平",B2576)),OR(ISNUMBER(SEARCH("上",B2576)),ISNUMBER(SEARCH("去",B2576)),ISNUMBER(SEARCH("入",B2576)))),"Ambiguous",IF(ISNUMBER(SEARCH("平",B2576)),"平","仄")))</x:f>
        <x:v>仄</x:v>
      </x:c>
      <x:c r="K2576" s="6" t="str">
        <x:f>IF(D2576="","",IF(AND(ISNUMBER(SEARCH("平",D2576)),OR(ISNUMBER(SEARCH("上",D2576)),ISNUMBER(SEARCH("去",D2576)),ISNUMBER(SEARCH("入",D2576)))),"Ambiguous",IF(ISNUMBER(SEARCH("平",D2576)),"平","仄")))</x:f>
        <x:v>仄</x:v>
      </x:c>
      <x:c r="L2576" s="7" t="str"/>
    </x:row>
    <x:row r="2577">
      <x:c r="A2577" s="5" t="str">
        <x:v>瓮</x:v>
      </x:c>
      <x:c r="B2577" s="6" t="str">
        <x:v>去</x:v>
      </x:c>
      <x:c r="C2577" s="6" t="str">
        <x:f>IF(B2577="","Needs decision","Ready")</x:f>
        <x:v>Ready</x:v>
      </x:c>
      <x:c r="D2577" s="6" t="str">
        <x:v>去</x:v>
      </x:c>
      <x:c r="E2577" s="6" t="str">
        <x:v>'uwngH (C)</x:v>
      </x:c>
      <x:c r="F2577" s="6" t="str"/>
      <x:c r="G2577" s="6" t="str"/>
      <x:c r="H2577" s="6" t="str">
        <x:v>1</x:v>
      </x:c>
      <x:c r="I2577" s="6" t="str"/>
      <x:c r="J2577" s="6" t="str">
        <x:f>IF(B2577="","",IF(AND(ISNUMBER(SEARCH("平",B2577)),OR(ISNUMBER(SEARCH("上",B2577)),ISNUMBER(SEARCH("去",B2577)),ISNUMBER(SEARCH("入",B2577)))),"Ambiguous",IF(ISNUMBER(SEARCH("平",B2577)),"平","仄")))</x:f>
        <x:v>仄</x:v>
      </x:c>
      <x:c r="K2577" s="6" t="str">
        <x:f>IF(D2577="","",IF(AND(ISNUMBER(SEARCH("平",D2577)),OR(ISNUMBER(SEARCH("上",D2577)),ISNUMBER(SEARCH("去",D2577)),ISNUMBER(SEARCH("入",D2577)))),"Ambiguous",IF(ISNUMBER(SEARCH("平",D2577)),"平","仄")))</x:f>
        <x:v>仄</x:v>
      </x:c>
      <x:c r="L2577" s="7" t="str"/>
    </x:row>
    <x:row r="2578">
      <x:c r="A2578" s="5" t="str">
        <x:v>瓶</x:v>
      </x:c>
      <x:c r="B2578" s="6" t="str">
        <x:v>平</x:v>
      </x:c>
      <x:c r="C2578" s="6" t="str">
        <x:f>IF(B2578="","Needs decision","Ready")</x:f>
        <x:v>Ready</x:v>
      </x:c>
      <x:c r="D2578" s="6" t="str">
        <x:v>平</x:v>
      </x:c>
      <x:c r="E2578" s="6" t="str">
        <x:v>beng (A)</x:v>
      </x:c>
      <x:c r="F2578" s="6" t="str">
        <x:v>下平聲九青</x:v>
      </x:c>
      <x:c r="G2578" s="6" t="str">
        <x:v>Pingshui main list, Wikisource-derived DOCX</x:v>
      </x:c>
      <x:c r="H2578" s="6" t="str">
        <x:v>1</x:v>
      </x:c>
      <x:c r="I2578" s="6" t="str"/>
      <x:c r="J2578" s="6" t="str">
        <x:f>IF(B2578="","",IF(AND(ISNUMBER(SEARCH("平",B2578)),OR(ISNUMBER(SEARCH("上",B2578)),ISNUMBER(SEARCH("去",B2578)),ISNUMBER(SEARCH("入",B2578)))),"Ambiguous",IF(ISNUMBER(SEARCH("平",B2578)),"平","仄")))</x:f>
        <x:v>平</x:v>
      </x:c>
      <x:c r="K2578" s="6" t="str">
        <x:f>IF(D2578="","",IF(AND(ISNUMBER(SEARCH("平",D2578)),OR(ISNUMBER(SEARCH("上",D2578)),ISNUMBER(SEARCH("去",D2578)),ISNUMBER(SEARCH("入",D2578)))),"Ambiguous",IF(ISNUMBER(SEARCH("平",D2578)),"平","仄")))</x:f>
        <x:v>平</x:v>
      </x:c>
      <x:c r="L2578" s="7" t="str"/>
    </x:row>
    <x:row r="2579">
      <x:c r="A2579" s="5" t="str">
        <x:v>甄</x:v>
      </x:c>
      <x:c r="B2579" s="6" t="str">
        <x:v>平</x:v>
      </x:c>
      <x:c r="C2579" s="6" t="str">
        <x:f>IF(B2579="","Needs decision","Ready")</x:f>
        <x:v>Ready</x:v>
      </x:c>
      <x:c r="D2579" s="6" t="str">
        <x:v>平</x:v>
      </x:c>
      <x:c r="E2579" s="6" t="str">
        <x:v>tsyin (A)</x:v>
      </x:c>
      <x:c r="F2579" s="6" t="str">
        <x:v>上平聲十一真; 下平聲一先</x:v>
      </x:c>
      <x:c r="G2579" s="6" t="str">
        <x:v>Pingshui main list, Wikisource-derived DOCX</x:v>
      </x:c>
      <x:c r="H2579" s="6" t="str">
        <x:v>1</x:v>
      </x:c>
      <x:c r="I2579" s="6" t="str"/>
      <x:c r="J2579" s="6" t="str">
        <x:f>IF(B2579="","",IF(AND(ISNUMBER(SEARCH("平",B2579)),OR(ISNUMBER(SEARCH("上",B2579)),ISNUMBER(SEARCH("去",B2579)),ISNUMBER(SEARCH("入",B2579)))),"Ambiguous",IF(ISNUMBER(SEARCH("平",B2579)),"平","仄")))</x:f>
        <x:v>平</x:v>
      </x:c>
      <x:c r="K2579" s="6" t="str">
        <x:f>IF(D2579="","",IF(AND(ISNUMBER(SEARCH("平",D2579)),OR(ISNUMBER(SEARCH("上",D2579)),ISNUMBER(SEARCH("去",D2579)),ISNUMBER(SEARCH("入",D2579)))),"Ambiguous",IF(ISNUMBER(SEARCH("平",D2579)),"平","仄")))</x:f>
        <x:v>平</x:v>
      </x:c>
      <x:c r="L2579" s="7" t="str"/>
    </x:row>
    <x:row r="2580">
      <x:c r="A2580" s="5" t="str">
        <x:v>甑</x:v>
      </x:c>
      <x:c r="B2580" s="6" t="str">
        <x:v>去</x:v>
      </x:c>
      <x:c r="C2580" s="6" t="str">
        <x:f>IF(B2580="","Needs decision","Ready")</x:f>
        <x:v>Ready</x:v>
      </x:c>
      <x:c r="D2580" s="6" t="str">
        <x:v>去</x:v>
      </x:c>
      <x:c r="E2580" s="6" t="str">
        <x:v>tsingH (C)</x:v>
      </x:c>
      <x:c r="F2580" s="6" t="str">
        <x:v>去聲二十五徑</x:v>
      </x:c>
      <x:c r="G2580" s="6" t="str">
        <x:v>Pingshui main list, Wikisource-derived DOCX</x:v>
      </x:c>
      <x:c r="H2580" s="6" t="str">
        <x:v>1</x:v>
      </x:c>
      <x:c r="I2580" s="6" t="str"/>
      <x:c r="J2580" s="6" t="str">
        <x:f>IF(B2580="","",IF(AND(ISNUMBER(SEARCH("平",B2580)),OR(ISNUMBER(SEARCH("上",B2580)),ISNUMBER(SEARCH("去",B2580)),ISNUMBER(SEARCH("入",B2580)))),"Ambiguous",IF(ISNUMBER(SEARCH("平",B2580)),"平","仄")))</x:f>
        <x:v>仄</x:v>
      </x:c>
      <x:c r="K2580" s="6" t="str">
        <x:f>IF(D2580="","",IF(AND(ISNUMBER(SEARCH("平",D2580)),OR(ISNUMBER(SEARCH("上",D2580)),ISNUMBER(SEARCH("去",D2580)),ISNUMBER(SEARCH("入",D2580)))),"Ambiguous",IF(ISNUMBER(SEARCH("平",D2580)),"平","仄")))</x:f>
        <x:v>仄</x:v>
      </x:c>
      <x:c r="L2580" s="7" t="str"/>
    </x:row>
    <x:row r="2581">
      <x:c r="A2581" s="5" t="str">
        <x:v>甓</x:v>
      </x:c>
      <x:c r="B2581" s="6" t="str">
        <x:v>入</x:v>
      </x:c>
      <x:c r="C2581" s="6" t="str">
        <x:f>IF(B2581="","Needs decision","Ready")</x:f>
        <x:v>Ready</x:v>
      </x:c>
      <x:c r="D2581" s="6" t="str">
        <x:v>入</x:v>
      </x:c>
      <x:c r="E2581" s="6" t="str">
        <x:v>bek (D)</x:v>
      </x:c>
      <x:c r="F2581" s="6" t="str">
        <x:v>入聲十二錫</x:v>
      </x:c>
      <x:c r="G2581" s="6" t="str">
        <x:v>Pingshui main list, Wikisource-derived DOCX</x:v>
      </x:c>
      <x:c r="H2581" s="6" t="str">
        <x:v>1</x:v>
      </x:c>
      <x:c r="I2581" s="6" t="str"/>
      <x:c r="J2581" s="6" t="str">
        <x:f>IF(B2581="","",IF(AND(ISNUMBER(SEARCH("平",B2581)),OR(ISNUMBER(SEARCH("上",B2581)),ISNUMBER(SEARCH("去",B2581)),ISNUMBER(SEARCH("入",B2581)))),"Ambiguous",IF(ISNUMBER(SEARCH("平",B2581)),"平","仄")))</x:f>
        <x:v>仄</x:v>
      </x:c>
      <x:c r="K2581" s="6" t="str">
        <x:f>IF(D2581="","",IF(AND(ISNUMBER(SEARCH("平",D2581)),OR(ISNUMBER(SEARCH("上",D2581)),ISNUMBER(SEARCH("去",D2581)),ISNUMBER(SEARCH("入",D2581)))),"Ambiguous",IF(ISNUMBER(SEARCH("平",D2581)),"平","仄")))</x:f>
        <x:v>仄</x:v>
      </x:c>
      <x:c r="L2581" s="7" t="str"/>
    </x:row>
    <x:row r="2582">
      <x:c r="A2582" s="5" t="str">
        <x:v>甕</x:v>
      </x:c>
      <x:c r="B2582" s="6" t="str">
        <x:v>去</x:v>
      </x:c>
      <x:c r="C2582" s="6" t="str">
        <x:f>IF(B2582="","Needs decision","Ready")</x:f>
        <x:v>Ready</x:v>
      </x:c>
      <x:c r="D2582" s="6" t="str">
        <x:v>去</x:v>
      </x:c>
      <x:c r="E2582" s="6" t="str">
        <x:v>'uwngH (C)</x:v>
      </x:c>
      <x:c r="F2582" s="6" t="str">
        <x:v>去聲一送</x:v>
      </x:c>
      <x:c r="G2582" s="6" t="str">
        <x:v>Pingshui main list, Wikisource-derived DOCX</x:v>
      </x:c>
      <x:c r="H2582" s="6" t="str">
        <x:v>1</x:v>
      </x:c>
      <x:c r="I2582" s="6" t="str"/>
      <x:c r="J2582" s="6" t="str">
        <x:f>IF(B2582="","",IF(AND(ISNUMBER(SEARCH("平",B2582)),OR(ISNUMBER(SEARCH("上",B2582)),ISNUMBER(SEARCH("去",B2582)),ISNUMBER(SEARCH("入",B2582)))),"Ambiguous",IF(ISNUMBER(SEARCH("平",B2582)),"平","仄")))</x:f>
        <x:v>仄</x:v>
      </x:c>
      <x:c r="K2582" s="6" t="str">
        <x:f>IF(D2582="","",IF(AND(ISNUMBER(SEARCH("平",D2582)),OR(ISNUMBER(SEARCH("上",D2582)),ISNUMBER(SEARCH("去",D2582)),ISNUMBER(SEARCH("入",D2582)))),"Ambiguous",IF(ISNUMBER(SEARCH("平",D2582)),"平","仄")))</x:f>
        <x:v>仄</x:v>
      </x:c>
      <x:c r="L2582" s="7" t="str"/>
    </x:row>
    <x:row r="2583">
      <x:c r="A2583" s="5" t="str">
        <x:v>甗</x:v>
      </x:c>
      <x:c r="B2583" s="6" t="str"/>
      <x:c r="C2583" s="6" t="str">
        <x:f>IF(B2583="","Needs decision","Ready")</x:f>
        <x:v>Needs decision</x:v>
      </x:c>
      <x:c r="D2583" s="6" t="str">
        <x:v>平/去</x:v>
      </x:c>
      <x:c r="E2583" s="6" t="str">
        <x:v>ngjenH (C); ngjon (A)</x:v>
      </x:c>
      <x:c r="F2583" s="6" t="str">
        <x:v>上平聲十三元; 上聲十六銑; 去聲十七霰</x:v>
      </x:c>
      <x:c r="G2583" s="6" t="str">
        <x:v>Pingshui main list, Wikisource-derived DOCX</x:v>
      </x:c>
      <x:c r="H2583" s="6" t="str">
        <x:v>2</x:v>
      </x:c>
      <x:c r="I2583" s="6" t="str"/>
      <x:c r="J2583" s="6" t="str">
        <x:f>IF(B2583="","",IF(AND(ISNUMBER(SEARCH("平",B2583)),OR(ISNUMBER(SEARCH("上",B2583)),ISNUMBER(SEARCH("去",B2583)),ISNUMBER(SEARCH("入",B2583)))),"Ambiguous",IF(ISNUMBER(SEARCH("平",B2583)),"平","仄")))</x:f>
      </x:c>
      <x:c r="K2583" s="6" t="str">
        <x:f>IF(D2583="","",IF(AND(ISNUMBER(SEARCH("平",D2583)),OR(ISNUMBER(SEARCH("上",D2583)),ISNUMBER(SEARCH("去",D2583)),ISNUMBER(SEARCH("入",D2583)))),"Ambiguous",IF(ISNUMBER(SEARCH("平",D2583)),"平","仄")))</x:f>
        <x:v>Ambiguous</x:v>
      </x:c>
      <x:c r="L2583" s="7" t="str"/>
    </x:row>
    <x:row r="2584">
      <x:c r="A2584" s="5" t="str">
        <x:v>甘</x:v>
      </x:c>
      <x:c r="B2584" s="6" t="str">
        <x:v>平</x:v>
      </x:c>
      <x:c r="C2584" s="6" t="str">
        <x:f>IF(B2584="","Needs decision","Ready")</x:f>
        <x:v>Ready</x:v>
      </x:c>
      <x:c r="D2584" s="6" t="str">
        <x:v>平</x:v>
      </x:c>
      <x:c r="E2584" s="6" t="str">
        <x:v>kam (A)</x:v>
      </x:c>
      <x:c r="F2584" s="6" t="str">
        <x:v>下平聲十三覃</x:v>
      </x:c>
      <x:c r="G2584" s="6" t="str">
        <x:v>Pingshui main list, Wikisource-derived DOCX</x:v>
      </x:c>
      <x:c r="H2584" s="6" t="str">
        <x:v>1</x:v>
      </x:c>
      <x:c r="I2584" s="6" t="str"/>
      <x:c r="J2584" s="6" t="str">
        <x:f>IF(B2584="","",IF(AND(ISNUMBER(SEARCH("平",B2584)),OR(ISNUMBER(SEARCH("上",B2584)),ISNUMBER(SEARCH("去",B2584)),ISNUMBER(SEARCH("入",B2584)))),"Ambiguous",IF(ISNUMBER(SEARCH("平",B2584)),"平","仄")))</x:f>
        <x:v>平</x:v>
      </x:c>
      <x:c r="K2584" s="6" t="str">
        <x:f>IF(D2584="","",IF(AND(ISNUMBER(SEARCH("平",D2584)),OR(ISNUMBER(SEARCH("上",D2584)),ISNUMBER(SEARCH("去",D2584)),ISNUMBER(SEARCH("入",D2584)))),"Ambiguous",IF(ISNUMBER(SEARCH("平",D2584)),"平","仄")))</x:f>
        <x:v>平</x:v>
      </x:c>
      <x:c r="L2584" s="7" t="str"/>
    </x:row>
    <x:row r="2585">
      <x:c r="A2585" s="5" t="str">
        <x:v>甚</x:v>
      </x:c>
      <x:c r="B2585" s="6" t="str"/>
      <x:c r="C2585" s="6" t="str">
        <x:f>IF(B2585="","Needs decision","Ready")</x:f>
        <x:v>Needs decision</x:v>
      </x:c>
      <x:c r="D2585" s="6" t="str">
        <x:v>上/去</x:v>
      </x:c>
      <x:c r="E2585" s="6" t="str">
        <x:v>dzyimX (B); dzyimH (C)</x:v>
      </x:c>
      <x:c r="F2585" s="6" t="str">
        <x:v>上聲二十六寢; 去聲二十七沁</x:v>
      </x:c>
      <x:c r="G2585" s="6" t="str">
        <x:v>Pingshui main list, Wikisource-derived DOCX</x:v>
      </x:c>
      <x:c r="H2585" s="6" t="str">
        <x:v>2</x:v>
      </x:c>
      <x:c r="I2585" s="6" t="str"/>
      <x:c r="J2585" s="6" t="str">
        <x:f>IF(B2585="","",IF(AND(ISNUMBER(SEARCH("平",B2585)),OR(ISNUMBER(SEARCH("上",B2585)),ISNUMBER(SEARCH("去",B2585)),ISNUMBER(SEARCH("入",B2585)))),"Ambiguous",IF(ISNUMBER(SEARCH("平",B2585)),"平","仄")))</x:f>
      </x:c>
      <x:c r="K2585" s="6" t="str">
        <x:f>IF(D2585="","",IF(AND(ISNUMBER(SEARCH("平",D2585)),OR(ISNUMBER(SEARCH("上",D2585)),ISNUMBER(SEARCH("去",D2585)),ISNUMBER(SEARCH("入",D2585)))),"Ambiguous",IF(ISNUMBER(SEARCH("平",D2585)),"平","仄")))</x:f>
        <x:v>仄</x:v>
      </x:c>
      <x:c r="L2585" s="7" t="str"/>
    </x:row>
    <x:row r="2586">
      <x:c r="A2586" s="5" t="str">
        <x:v>生</x:v>
      </x:c>
      <x:c r="B2586" s="6" t="str">
        <x:v>平</x:v>
      </x:c>
      <x:c r="C2586" s="6" t="str">
        <x:f>IF(B2586="","Needs decision","Ready")</x:f>
        <x:v>Ready</x:v>
      </x:c>
      <x:c r="D2586" s="6" t="str">
        <x:v>平</x:v>
      </x:c>
      <x:c r="E2586" s="6" t="str">
        <x:v>sraeng (A); srjaeng (A)</x:v>
      </x:c>
      <x:c r="F2586" s="6" t="str">
        <x:v>下平聲八庚</x:v>
      </x:c>
      <x:c r="G2586" s="6" t="str">
        <x:v>Pingshui main list, Wikisource-derived DOCX</x:v>
      </x:c>
      <x:c r="H2586" s="6" t="str">
        <x:v>2</x:v>
      </x:c>
      <x:c r="I2586" s="6" t="str"/>
      <x:c r="J2586" s="6" t="str">
        <x:f>IF(B2586="","",IF(AND(ISNUMBER(SEARCH("平",B2586)),OR(ISNUMBER(SEARCH("上",B2586)),ISNUMBER(SEARCH("去",B2586)),ISNUMBER(SEARCH("入",B2586)))),"Ambiguous",IF(ISNUMBER(SEARCH("平",B2586)),"平","仄")))</x:f>
        <x:v>平</x:v>
      </x:c>
      <x:c r="K2586" s="6" t="str">
        <x:f>IF(D2586="","",IF(AND(ISNUMBER(SEARCH("平",D2586)),OR(ISNUMBER(SEARCH("上",D2586)),ISNUMBER(SEARCH("去",D2586)),ISNUMBER(SEARCH("入",D2586)))),"Ambiguous",IF(ISNUMBER(SEARCH("平",D2586)),"平","仄")))</x:f>
        <x:v>平</x:v>
      </x:c>
      <x:c r="L2586" s="7" t="str"/>
    </x:row>
    <x:row r="2587">
      <x:c r="A2587" s="5" t="str">
        <x:v>產</x:v>
      </x:c>
      <x:c r="B2587" s="6" t="str">
        <x:v>上</x:v>
      </x:c>
      <x:c r="C2587" s="6" t="str">
        <x:f>IF(B2587="","Needs decision","Ready")</x:f>
        <x:v>Ready</x:v>
      </x:c>
      <x:c r="D2587" s="6" t="str">
        <x:v>上</x:v>
      </x:c>
      <x:c r="E2587" s="6" t="str">
        <x:v>sreanX (B)</x:v>
      </x:c>
      <x:c r="F2587" s="6" t="str">
        <x:v>上聲十五潸</x:v>
      </x:c>
      <x:c r="G2587" s="6" t="str">
        <x:v>Pingshui main list, Wikisource-derived DOCX</x:v>
      </x:c>
      <x:c r="H2587" s="6" t="str">
        <x:v>1</x:v>
      </x:c>
      <x:c r="I2587" s="6" t="str"/>
      <x:c r="J2587" s="6" t="str">
        <x:f>IF(B2587="","",IF(AND(ISNUMBER(SEARCH("平",B2587)),OR(ISNUMBER(SEARCH("上",B2587)),ISNUMBER(SEARCH("去",B2587)),ISNUMBER(SEARCH("入",B2587)))),"Ambiguous",IF(ISNUMBER(SEARCH("平",B2587)),"平","仄")))</x:f>
        <x:v>仄</x:v>
      </x:c>
      <x:c r="K2587" s="6" t="str">
        <x:f>IF(D2587="","",IF(AND(ISNUMBER(SEARCH("平",D2587)),OR(ISNUMBER(SEARCH("上",D2587)),ISNUMBER(SEARCH("去",D2587)),ISNUMBER(SEARCH("入",D2587)))),"Ambiguous",IF(ISNUMBER(SEARCH("平",D2587)),"平","仄")))</x:f>
        <x:v>仄</x:v>
      </x:c>
      <x:c r="L2587" s="7" t="str"/>
    </x:row>
    <x:row r="2588">
      <x:c r="A2588" s="5" t="str">
        <x:v>甥</x:v>
      </x:c>
      <x:c r="B2588" s="6" t="str">
        <x:v>平</x:v>
      </x:c>
      <x:c r="C2588" s="6" t="str">
        <x:f>IF(B2588="","Needs decision","Ready")</x:f>
        <x:v>Ready</x:v>
      </x:c>
      <x:c r="D2588" s="6" t="str">
        <x:v>平</x:v>
      </x:c>
      <x:c r="E2588" s="6" t="str">
        <x:v>sraeng (A)</x:v>
      </x:c>
      <x:c r="F2588" s="6" t="str">
        <x:v>下平聲八庚</x:v>
      </x:c>
      <x:c r="G2588" s="6" t="str">
        <x:v>Pingshui main list, Wikisource-derived DOCX</x:v>
      </x:c>
      <x:c r="H2588" s="6" t="str">
        <x:v>1</x:v>
      </x:c>
      <x:c r="I2588" s="6" t="str"/>
      <x:c r="J2588" s="6" t="str">
        <x:f>IF(B2588="","",IF(AND(ISNUMBER(SEARCH("平",B2588)),OR(ISNUMBER(SEARCH("上",B2588)),ISNUMBER(SEARCH("去",B2588)),ISNUMBER(SEARCH("入",B2588)))),"Ambiguous",IF(ISNUMBER(SEARCH("平",B2588)),"平","仄")))</x:f>
        <x:v>平</x:v>
      </x:c>
      <x:c r="K2588" s="6" t="str">
        <x:f>IF(D2588="","",IF(AND(ISNUMBER(SEARCH("平",D2588)),OR(ISNUMBER(SEARCH("上",D2588)),ISNUMBER(SEARCH("去",D2588)),ISNUMBER(SEARCH("入",D2588)))),"Ambiguous",IF(ISNUMBER(SEARCH("平",D2588)),"平","仄")))</x:f>
        <x:v>平</x:v>
      </x:c>
      <x:c r="L2588" s="7" t="str"/>
    </x:row>
    <x:row r="2589">
      <x:c r="A2589" s="5" t="str">
        <x:v>用</x:v>
      </x:c>
      <x:c r="B2589" s="6" t="str">
        <x:v>去</x:v>
      </x:c>
      <x:c r="C2589" s="6" t="str">
        <x:f>IF(B2589="","Needs decision","Ready")</x:f>
        <x:v>Ready</x:v>
      </x:c>
      <x:c r="D2589" s="6" t="str">
        <x:v>去</x:v>
      </x:c>
      <x:c r="E2589" s="6" t="str">
        <x:v>yowngH (C)</x:v>
      </x:c>
      <x:c r="F2589" s="6" t="str">
        <x:v>去聲二宋</x:v>
      </x:c>
      <x:c r="G2589" s="6" t="str">
        <x:v>Pingshui main list, Wikisource-derived DOCX</x:v>
      </x:c>
      <x:c r="H2589" s="6" t="str">
        <x:v>1</x:v>
      </x:c>
      <x:c r="I2589" s="6" t="str"/>
      <x:c r="J2589" s="6" t="str">
        <x:f>IF(B2589="","",IF(AND(ISNUMBER(SEARCH("平",B2589)),OR(ISNUMBER(SEARCH("上",B2589)),ISNUMBER(SEARCH("去",B2589)),ISNUMBER(SEARCH("入",B2589)))),"Ambiguous",IF(ISNUMBER(SEARCH("平",B2589)),"平","仄")))</x:f>
        <x:v>仄</x:v>
      </x:c>
      <x:c r="K2589" s="6" t="str">
        <x:f>IF(D2589="","",IF(AND(ISNUMBER(SEARCH("平",D2589)),OR(ISNUMBER(SEARCH("上",D2589)),ISNUMBER(SEARCH("去",D2589)),ISNUMBER(SEARCH("入",D2589)))),"Ambiguous",IF(ISNUMBER(SEARCH("平",D2589)),"平","仄")))</x:f>
        <x:v>仄</x:v>
      </x:c>
      <x:c r="L2589" s="7" t="str"/>
    </x:row>
    <x:row r="2590">
      <x:c r="A2590" s="5" t="str">
        <x:v>甫</x:v>
      </x:c>
      <x:c r="B2590" s="6" t="str">
        <x:v>上</x:v>
      </x:c>
      <x:c r="C2590" s="6" t="str">
        <x:f>IF(B2590="","Needs decision","Ready")</x:f>
        <x:v>Ready</x:v>
      </x:c>
      <x:c r="D2590" s="6" t="str">
        <x:v>上</x:v>
      </x:c>
      <x:c r="E2590" s="6" t="str">
        <x:v>pjuX (B)</x:v>
      </x:c>
      <x:c r="F2590" s="6" t="str">
        <x:v>上聲七麌</x:v>
      </x:c>
      <x:c r="G2590" s="6" t="str">
        <x:v>Pingshui main list, Wikisource-derived DOCX</x:v>
      </x:c>
      <x:c r="H2590" s="6" t="str">
        <x:v>1</x:v>
      </x:c>
      <x:c r="I2590" s="6" t="str"/>
      <x:c r="J2590" s="6" t="str">
        <x:f>IF(B2590="","",IF(AND(ISNUMBER(SEARCH("平",B2590)),OR(ISNUMBER(SEARCH("上",B2590)),ISNUMBER(SEARCH("去",B2590)),ISNUMBER(SEARCH("入",B2590)))),"Ambiguous",IF(ISNUMBER(SEARCH("平",B2590)),"平","仄")))</x:f>
        <x:v>仄</x:v>
      </x:c>
      <x:c r="K2590" s="6" t="str">
        <x:f>IF(D2590="","",IF(AND(ISNUMBER(SEARCH("平",D2590)),OR(ISNUMBER(SEARCH("上",D2590)),ISNUMBER(SEARCH("去",D2590)),ISNUMBER(SEARCH("入",D2590)))),"Ambiguous",IF(ISNUMBER(SEARCH("平",D2590)),"平","仄")))</x:f>
        <x:v>仄</x:v>
      </x:c>
      <x:c r="L2590" s="7" t="str"/>
    </x:row>
    <x:row r="2591">
      <x:c r="A2591" s="5" t="str">
        <x:v>甯</x:v>
      </x:c>
      <x:c r="B2591" s="6" t="str"/>
      <x:c r="C2591" s="6" t="str">
        <x:f>IF(B2591="","Needs decision","Ready")</x:f>
        <x:v>Needs decision</x:v>
      </x:c>
      <x:c r="D2591" s="6" t="str">
        <x:v>平/去</x:v>
      </x:c>
      <x:c r="E2591" s="6" t="str">
        <x:v>neng (A); nengH (C)</x:v>
      </x:c>
      <x:c r="F2591" s="6" t="str">
        <x:v>去聲二十五徑</x:v>
      </x:c>
      <x:c r="G2591" s="6" t="str">
        <x:v>Pingshui main list, Wikisource-derived DOCX</x:v>
      </x:c>
      <x:c r="H2591" s="6" t="str">
        <x:v>2</x:v>
      </x:c>
      <x:c r="I2591" s="6" t="str"/>
      <x:c r="J2591" s="6" t="str">
        <x:f>IF(B2591="","",IF(AND(ISNUMBER(SEARCH("平",B2591)),OR(ISNUMBER(SEARCH("上",B2591)),ISNUMBER(SEARCH("去",B2591)),ISNUMBER(SEARCH("入",B2591)))),"Ambiguous",IF(ISNUMBER(SEARCH("平",B2591)),"平","仄")))</x:f>
      </x:c>
      <x:c r="K2591" s="6" t="str">
        <x:f>IF(D2591="","",IF(AND(ISNUMBER(SEARCH("平",D2591)),OR(ISNUMBER(SEARCH("上",D2591)),ISNUMBER(SEARCH("去",D2591)),ISNUMBER(SEARCH("入",D2591)))),"Ambiguous",IF(ISNUMBER(SEARCH("平",D2591)),"平","仄")))</x:f>
        <x:v>Ambiguous</x:v>
      </x:c>
      <x:c r="L2591" s="7" t="str"/>
    </x:row>
    <x:row r="2592">
      <x:c r="A2592" s="5" t="str">
        <x:v>田</x:v>
      </x:c>
      <x:c r="B2592" s="6" t="str">
        <x:v>平</x:v>
      </x:c>
      <x:c r="C2592" s="6" t="str">
        <x:f>IF(B2592="","Needs decision","Ready")</x:f>
        <x:v>Ready</x:v>
      </x:c>
      <x:c r="D2592" s="6" t="str">
        <x:v>平</x:v>
      </x:c>
      <x:c r="E2592" s="6" t="str">
        <x:v>den (A)</x:v>
      </x:c>
      <x:c r="F2592" s="6" t="str">
        <x:v>下平聲一先</x:v>
      </x:c>
      <x:c r="G2592" s="6" t="str">
        <x:v>Pingshui main list, Wikisource-derived DOCX</x:v>
      </x:c>
      <x:c r="H2592" s="6" t="str">
        <x:v>1</x:v>
      </x:c>
      <x:c r="I2592" s="6" t="str"/>
      <x:c r="J2592" s="6" t="str">
        <x:f>IF(B2592="","",IF(AND(ISNUMBER(SEARCH("平",B2592)),OR(ISNUMBER(SEARCH("上",B2592)),ISNUMBER(SEARCH("去",B2592)),ISNUMBER(SEARCH("入",B2592)))),"Ambiguous",IF(ISNUMBER(SEARCH("平",B2592)),"平","仄")))</x:f>
        <x:v>平</x:v>
      </x:c>
      <x:c r="K2592" s="6" t="str">
        <x:f>IF(D2592="","",IF(AND(ISNUMBER(SEARCH("平",D2592)),OR(ISNUMBER(SEARCH("上",D2592)),ISNUMBER(SEARCH("去",D2592)),ISNUMBER(SEARCH("入",D2592)))),"Ambiguous",IF(ISNUMBER(SEARCH("平",D2592)),"平","仄")))</x:f>
        <x:v>平</x:v>
      </x:c>
      <x:c r="L2592" s="7" t="str"/>
    </x:row>
    <x:row r="2593">
      <x:c r="A2593" s="5" t="str">
        <x:v>由</x:v>
      </x:c>
      <x:c r="B2593" s="6" t="str">
        <x:v>平</x:v>
      </x:c>
      <x:c r="C2593" s="6" t="str">
        <x:f>IF(B2593="","Needs decision","Ready")</x:f>
        <x:v>Ready</x:v>
      </x:c>
      <x:c r="D2593" s="6" t="str">
        <x:v>平</x:v>
      </x:c>
      <x:c r="E2593" s="6" t="str">
        <x:v>yuw (A)</x:v>
      </x:c>
      <x:c r="F2593" s="6" t="str">
        <x:v>下平聲十一尤</x:v>
      </x:c>
      <x:c r="G2593" s="6" t="str">
        <x:v>Pingshui main list, Wikisource-derived DOCX</x:v>
      </x:c>
      <x:c r="H2593" s="6" t="str">
        <x:v>1</x:v>
      </x:c>
      <x:c r="I2593" s="6" t="str"/>
      <x:c r="J2593" s="6" t="str">
        <x:f>IF(B2593="","",IF(AND(ISNUMBER(SEARCH("平",B2593)),OR(ISNUMBER(SEARCH("上",B2593)),ISNUMBER(SEARCH("去",B2593)),ISNUMBER(SEARCH("入",B2593)))),"Ambiguous",IF(ISNUMBER(SEARCH("平",B2593)),"平","仄")))</x:f>
        <x:v>平</x:v>
      </x:c>
      <x:c r="K2593" s="6" t="str">
        <x:f>IF(D2593="","",IF(AND(ISNUMBER(SEARCH("平",D2593)),OR(ISNUMBER(SEARCH("上",D2593)),ISNUMBER(SEARCH("去",D2593)),ISNUMBER(SEARCH("入",D2593)))),"Ambiguous",IF(ISNUMBER(SEARCH("平",D2593)),"平","仄")))</x:f>
        <x:v>平</x:v>
      </x:c>
      <x:c r="L2593" s="7" t="str"/>
    </x:row>
    <x:row r="2594">
      <x:c r="A2594" s="5" t="str">
        <x:v>甲</x:v>
      </x:c>
      <x:c r="B2594" s="6" t="str">
        <x:v>入</x:v>
      </x:c>
      <x:c r="C2594" s="6" t="str">
        <x:f>IF(B2594="","Needs decision","Ready")</x:f>
        <x:v>Ready</x:v>
      </x:c>
      <x:c r="D2594" s="6" t="str">
        <x:v>入</x:v>
      </x:c>
      <x:c r="E2594" s="6" t="str">
        <x:v>kaep (D)</x:v>
      </x:c>
      <x:c r="F2594" s="6" t="str">
        <x:v>入聲十七洽</x:v>
      </x:c>
      <x:c r="G2594" s="6" t="str">
        <x:v>Pingshui main list, Wikisource-derived DOCX</x:v>
      </x:c>
      <x:c r="H2594" s="6" t="str">
        <x:v>1</x:v>
      </x:c>
      <x:c r="I2594" s="6" t="str"/>
      <x:c r="J2594" s="6" t="str">
        <x:f>IF(B2594="","",IF(AND(ISNUMBER(SEARCH("平",B2594)),OR(ISNUMBER(SEARCH("上",B2594)),ISNUMBER(SEARCH("去",B2594)),ISNUMBER(SEARCH("入",B2594)))),"Ambiguous",IF(ISNUMBER(SEARCH("平",B2594)),"平","仄")))</x:f>
        <x:v>仄</x:v>
      </x:c>
      <x:c r="K2594" s="6" t="str">
        <x:f>IF(D2594="","",IF(AND(ISNUMBER(SEARCH("平",D2594)),OR(ISNUMBER(SEARCH("上",D2594)),ISNUMBER(SEARCH("去",D2594)),ISNUMBER(SEARCH("入",D2594)))),"Ambiguous",IF(ISNUMBER(SEARCH("平",D2594)),"平","仄")))</x:f>
        <x:v>仄</x:v>
      </x:c>
      <x:c r="L2594" s="7" t="str"/>
    </x:row>
    <x:row r="2595">
      <x:c r="A2595" s="5" t="str">
        <x:v>申</x:v>
      </x:c>
      <x:c r="B2595" s="6" t="str">
        <x:v>平</x:v>
      </x:c>
      <x:c r="C2595" s="6" t="str">
        <x:f>IF(B2595="","Needs decision","Ready")</x:f>
        <x:v>Ready</x:v>
      </x:c>
      <x:c r="D2595" s="6" t="str">
        <x:v>平</x:v>
      </x:c>
      <x:c r="E2595" s="6" t="str">
        <x:v>syin (A)</x:v>
      </x:c>
      <x:c r="F2595" s="6" t="str">
        <x:v>上平聲十一真</x:v>
      </x:c>
      <x:c r="G2595" s="6" t="str">
        <x:v>Pingshui main list, Wikisource-derived DOCX</x:v>
      </x:c>
      <x:c r="H2595" s="6" t="str">
        <x:v>1</x:v>
      </x:c>
      <x:c r="I2595" s="6" t="str"/>
      <x:c r="J2595" s="6" t="str">
        <x:f>IF(B2595="","",IF(AND(ISNUMBER(SEARCH("平",B2595)),OR(ISNUMBER(SEARCH("上",B2595)),ISNUMBER(SEARCH("去",B2595)),ISNUMBER(SEARCH("入",B2595)))),"Ambiguous",IF(ISNUMBER(SEARCH("平",B2595)),"平","仄")))</x:f>
        <x:v>平</x:v>
      </x:c>
      <x:c r="K2595" s="6" t="str">
        <x:f>IF(D2595="","",IF(AND(ISNUMBER(SEARCH("平",D2595)),OR(ISNUMBER(SEARCH("上",D2595)),ISNUMBER(SEARCH("去",D2595)),ISNUMBER(SEARCH("入",D2595)))),"Ambiguous",IF(ISNUMBER(SEARCH("平",D2595)),"平","仄")))</x:f>
        <x:v>平</x:v>
      </x:c>
      <x:c r="L2595" s="7" t="str"/>
    </x:row>
    <x:row r="2596">
      <x:c r="A2596" s="5" t="str">
        <x:v>男</x:v>
      </x:c>
      <x:c r="B2596" s="6" t="str">
        <x:v>平</x:v>
      </x:c>
      <x:c r="C2596" s="6" t="str">
        <x:f>IF(B2596="","Needs decision","Ready")</x:f>
        <x:v>Ready</x:v>
      </x:c>
      <x:c r="D2596" s="6" t="str">
        <x:v>平</x:v>
      </x:c>
      <x:c r="E2596" s="6" t="str">
        <x:v>nom (A)</x:v>
      </x:c>
      <x:c r="F2596" s="6" t="str">
        <x:v>下平聲十三覃</x:v>
      </x:c>
      <x:c r="G2596" s="6" t="str">
        <x:v>Pingshui main list, Wikisource-derived DOCX</x:v>
      </x:c>
      <x:c r="H2596" s="6" t="str">
        <x:v>1</x:v>
      </x:c>
      <x:c r="I2596" s="6" t="str"/>
      <x:c r="J2596" s="6" t="str">
        <x:f>IF(B2596="","",IF(AND(ISNUMBER(SEARCH("平",B2596)),OR(ISNUMBER(SEARCH("上",B2596)),ISNUMBER(SEARCH("去",B2596)),ISNUMBER(SEARCH("入",B2596)))),"Ambiguous",IF(ISNUMBER(SEARCH("平",B2596)),"平","仄")))</x:f>
        <x:v>平</x:v>
      </x:c>
      <x:c r="K2596" s="6" t="str">
        <x:f>IF(D2596="","",IF(AND(ISNUMBER(SEARCH("平",D2596)),OR(ISNUMBER(SEARCH("上",D2596)),ISNUMBER(SEARCH("去",D2596)),ISNUMBER(SEARCH("入",D2596)))),"Ambiguous",IF(ISNUMBER(SEARCH("平",D2596)),"平","仄")))</x:f>
        <x:v>平</x:v>
      </x:c>
      <x:c r="L2596" s="7" t="str"/>
    </x:row>
    <x:row r="2597">
      <x:c r="A2597" s="5" t="str">
        <x:v>甸</x:v>
      </x:c>
      <x:c r="B2597" s="6" t="str">
        <x:v>去</x:v>
      </x:c>
      <x:c r="C2597" s="6" t="str">
        <x:f>IF(B2597="","Needs decision","Ready")</x:f>
        <x:v>Ready</x:v>
      </x:c>
      <x:c r="D2597" s="6" t="str">
        <x:v>去</x:v>
      </x:c>
      <x:c r="E2597" s="6" t="str">
        <x:v>denH (C)</x:v>
      </x:c>
      <x:c r="F2597" s="6" t="str">
        <x:v>去聲十七霰</x:v>
      </x:c>
      <x:c r="G2597" s="6" t="str">
        <x:v>Pingshui main list, Wikisource-derived DOCX</x:v>
      </x:c>
      <x:c r="H2597" s="6" t="str">
        <x:v>1</x:v>
      </x:c>
      <x:c r="I2597" s="6" t="str"/>
      <x:c r="J2597" s="6" t="str">
        <x:f>IF(B2597="","",IF(AND(ISNUMBER(SEARCH("平",B2597)),OR(ISNUMBER(SEARCH("上",B2597)),ISNUMBER(SEARCH("去",B2597)),ISNUMBER(SEARCH("入",B2597)))),"Ambiguous",IF(ISNUMBER(SEARCH("平",B2597)),"平","仄")))</x:f>
        <x:v>仄</x:v>
      </x:c>
      <x:c r="K2597" s="6" t="str">
        <x:f>IF(D2597="","",IF(AND(ISNUMBER(SEARCH("平",D2597)),OR(ISNUMBER(SEARCH("上",D2597)),ISNUMBER(SEARCH("去",D2597)),ISNUMBER(SEARCH("入",D2597)))),"Ambiguous",IF(ISNUMBER(SEARCH("平",D2597)),"平","仄")))</x:f>
        <x:v>仄</x:v>
      </x:c>
      <x:c r="L2597" s="7" t="str"/>
    </x:row>
    <x:row r="2598">
      <x:c r="A2598" s="5" t="str">
        <x:v>甹</x:v>
      </x:c>
      <x:c r="B2598" s="6" t="str">
        <x:v>平</x:v>
      </x:c>
      <x:c r="C2598" s="6" t="str">
        <x:f>IF(B2598="","Needs decision","Ready")</x:f>
        <x:v>Ready</x:v>
      </x:c>
      <x:c r="D2598" s="6" t="str">
        <x:v>平</x:v>
      </x:c>
      <x:c r="E2598" s="6" t="str">
        <x:v>pheng (A)</x:v>
      </x:c>
      <x:c r="F2598" s="6" t="str"/>
      <x:c r="G2598" s="6" t="str"/>
      <x:c r="H2598" s="6" t="str">
        <x:v>1</x:v>
      </x:c>
      <x:c r="I2598" s="6" t="str"/>
      <x:c r="J2598" s="6" t="str">
        <x:f>IF(B2598="","",IF(AND(ISNUMBER(SEARCH("平",B2598)),OR(ISNUMBER(SEARCH("上",B2598)),ISNUMBER(SEARCH("去",B2598)),ISNUMBER(SEARCH("入",B2598)))),"Ambiguous",IF(ISNUMBER(SEARCH("平",B2598)),"平","仄")))</x:f>
        <x:v>平</x:v>
      </x:c>
      <x:c r="K2598" s="6" t="str">
        <x:f>IF(D2598="","",IF(AND(ISNUMBER(SEARCH("平",D2598)),OR(ISNUMBER(SEARCH("上",D2598)),ISNUMBER(SEARCH("去",D2598)),ISNUMBER(SEARCH("入",D2598)))),"Ambiguous",IF(ISNUMBER(SEARCH("平",D2598)),"平","仄")))</x:f>
        <x:v>平</x:v>
      </x:c>
      <x:c r="L2598" s="7" t="str"/>
    </x:row>
    <x:row r="2599">
      <x:c r="A2599" s="5" t="str">
        <x:v>町</x:v>
      </x:c>
      <x:c r="B2599" s="6" t="str">
        <x:v>上</x:v>
      </x:c>
      <x:c r="C2599" s="6" t="str">
        <x:f>IF(B2599="","Needs decision","Ready")</x:f>
        <x:v>Ready</x:v>
      </x:c>
      <x:c r="D2599" s="6" t="str">
        <x:v>上</x:v>
      </x:c>
      <x:c r="E2599" s="6" t="str">
        <x:v>thengX (B)</x:v>
      </x:c>
      <x:c r="F2599" s="6" t="str">
        <x:v>下平聲九青; 上聲二十四迥</x:v>
      </x:c>
      <x:c r="G2599" s="6" t="str">
        <x:v>Pingshui main list, Wikisource-derived DOCX</x:v>
      </x:c>
      <x:c r="H2599" s="6" t="str">
        <x:v>1</x:v>
      </x:c>
      <x:c r="I2599" s="6" t="str"/>
      <x:c r="J2599" s="6" t="str">
        <x:f>IF(B2599="","",IF(AND(ISNUMBER(SEARCH("平",B2599)),OR(ISNUMBER(SEARCH("上",B2599)),ISNUMBER(SEARCH("去",B2599)),ISNUMBER(SEARCH("入",B2599)))),"Ambiguous",IF(ISNUMBER(SEARCH("平",B2599)),"平","仄")))</x:f>
        <x:v>仄</x:v>
      </x:c>
      <x:c r="K2599" s="6" t="str">
        <x:f>IF(D2599="","",IF(AND(ISNUMBER(SEARCH("平",D2599)),OR(ISNUMBER(SEARCH("上",D2599)),ISNUMBER(SEARCH("去",D2599)),ISNUMBER(SEARCH("入",D2599)))),"Ambiguous",IF(ISNUMBER(SEARCH("平",D2599)),"平","仄")))</x:f>
        <x:v>仄</x:v>
      </x:c>
      <x:c r="L2599" s="7" t="str"/>
    </x:row>
    <x:row r="2600">
      <x:c r="A2600" s="5" t="str">
        <x:v>畀</x:v>
      </x:c>
      <x:c r="B2600" s="6" t="str">
        <x:v>去</x:v>
      </x:c>
      <x:c r="C2600" s="6" t="str">
        <x:f>IF(B2600="","Needs decision","Ready")</x:f>
        <x:v>Ready</x:v>
      </x:c>
      <x:c r="D2600" s="6" t="str">
        <x:v>去</x:v>
      </x:c>
      <x:c r="E2600" s="6" t="str">
        <x:v>pjijH (C)</x:v>
      </x:c>
      <x:c r="F2600" s="6" t="str">
        <x:v>去聲四寘</x:v>
      </x:c>
      <x:c r="G2600" s="6" t="str">
        <x:v>Pingshui main list, Wikisource-derived DOCX</x:v>
      </x:c>
      <x:c r="H2600" s="6" t="str">
        <x:v>1</x:v>
      </x:c>
      <x:c r="I2600" s="6" t="str"/>
      <x:c r="J2600" s="6" t="str">
        <x:f>IF(B2600="","",IF(AND(ISNUMBER(SEARCH("平",B2600)),OR(ISNUMBER(SEARCH("上",B2600)),ISNUMBER(SEARCH("去",B2600)),ISNUMBER(SEARCH("入",B2600)))),"Ambiguous",IF(ISNUMBER(SEARCH("平",B2600)),"平","仄")))</x:f>
        <x:v>仄</x:v>
      </x:c>
      <x:c r="K2600" s="6" t="str">
        <x:f>IF(D2600="","",IF(AND(ISNUMBER(SEARCH("平",D2600)),OR(ISNUMBER(SEARCH("上",D2600)),ISNUMBER(SEARCH("去",D2600)),ISNUMBER(SEARCH("入",D2600)))),"Ambiguous",IF(ISNUMBER(SEARCH("平",D2600)),"平","仄")))</x:f>
        <x:v>仄</x:v>
      </x:c>
      <x:c r="L2600" s="7" t="str"/>
    </x:row>
    <x:row r="2601">
      <x:c r="A2601" s="5" t="str">
        <x:v>畋</x:v>
      </x:c>
      <x:c r="B2601" s="6" t="str">
        <x:v>平</x:v>
      </x:c>
      <x:c r="C2601" s="6" t="str">
        <x:f>IF(B2601="","Needs decision","Ready")</x:f>
        <x:v>Ready</x:v>
      </x:c>
      <x:c r="D2601" s="6" t="str">
        <x:v>平/去</x:v>
      </x:c>
      <x:c r="E2601" s="6" t="str">
        <x:v>denH (C); den (A)</x:v>
      </x:c>
      <x:c r="F2601" s="6" t="str">
        <x:v>下平聲一先</x:v>
      </x:c>
      <x:c r="G2601" s="6" t="str">
        <x:v>Pingshui main list, Wikisource-derived DOCX</x:v>
      </x:c>
      <x:c r="H2601" s="6" t="str">
        <x:v>2</x:v>
      </x:c>
      <x:c r="I2601" s="6" t="str"/>
      <x:c r="J2601" s="6" t="str">
        <x:f>IF(B2601="","",IF(AND(ISNUMBER(SEARCH("平",B2601)),OR(ISNUMBER(SEARCH("上",B2601)),ISNUMBER(SEARCH("去",B2601)),ISNUMBER(SEARCH("入",B2601)))),"Ambiguous",IF(ISNUMBER(SEARCH("平",B2601)),"平","仄")))</x:f>
        <x:v>平</x:v>
      </x:c>
      <x:c r="K2601" s="6" t="str">
        <x:f>IF(D2601="","",IF(AND(ISNUMBER(SEARCH("平",D2601)),OR(ISNUMBER(SEARCH("上",D2601)),ISNUMBER(SEARCH("去",D2601)),ISNUMBER(SEARCH("入",D2601)))),"Ambiguous",IF(ISNUMBER(SEARCH("平",D2601)),"平","仄")))</x:f>
        <x:v>Ambiguous</x:v>
      </x:c>
      <x:c r="L2601" s="7" t="str"/>
    </x:row>
    <x:row r="2602">
      <x:c r="A2602" s="5" t="str">
        <x:v>界</x:v>
      </x:c>
      <x:c r="B2602" s="6" t="str">
        <x:v>去</x:v>
      </x:c>
      <x:c r="C2602" s="6" t="str">
        <x:f>IF(B2602="","Needs decision","Ready")</x:f>
        <x:v>Ready</x:v>
      </x:c>
      <x:c r="D2602" s="6" t="str">
        <x:v>去</x:v>
      </x:c>
      <x:c r="E2602" s="6" t="str">
        <x:v>keajH (C)</x:v>
      </x:c>
      <x:c r="F2602" s="6" t="str">
        <x:v>去聲十卦</x:v>
      </x:c>
      <x:c r="G2602" s="6" t="str">
        <x:v>Pingshui main list, Wikisource-derived DOCX</x:v>
      </x:c>
      <x:c r="H2602" s="6" t="str">
        <x:v>1</x:v>
      </x:c>
      <x:c r="I2602" s="6" t="str"/>
      <x:c r="J2602" s="6" t="str">
        <x:f>IF(B2602="","",IF(AND(ISNUMBER(SEARCH("平",B2602)),OR(ISNUMBER(SEARCH("上",B2602)),ISNUMBER(SEARCH("去",B2602)),ISNUMBER(SEARCH("入",B2602)))),"Ambiguous",IF(ISNUMBER(SEARCH("平",B2602)),"平","仄")))</x:f>
        <x:v>仄</x:v>
      </x:c>
      <x:c r="K2602" s="6" t="str">
        <x:f>IF(D2602="","",IF(AND(ISNUMBER(SEARCH("平",D2602)),OR(ISNUMBER(SEARCH("上",D2602)),ISNUMBER(SEARCH("去",D2602)),ISNUMBER(SEARCH("入",D2602)))),"Ambiguous",IF(ISNUMBER(SEARCH("平",D2602)),"平","仄")))</x:f>
        <x:v>仄</x:v>
      </x:c>
      <x:c r="L2602" s="7" t="str"/>
    </x:row>
    <x:row r="2603">
      <x:c r="A2603" s="5" t="str">
        <x:v>畎</x:v>
      </x:c>
      <x:c r="B2603" s="6" t="str">
        <x:v>上</x:v>
      </x:c>
      <x:c r="C2603" s="6" t="str">
        <x:f>IF(B2603="","Needs decision","Ready")</x:f>
        <x:v>Ready</x:v>
      </x:c>
      <x:c r="D2603" s="6" t="str">
        <x:v>上</x:v>
      </x:c>
      <x:c r="E2603" s="6" t="str">
        <x:v>kwenX (B)</x:v>
      </x:c>
      <x:c r="F2603" s="6" t="str">
        <x:v>上聲十六銑</x:v>
      </x:c>
      <x:c r="G2603" s="6" t="str">
        <x:v>Pingshui main list, Wikisource-derived DOCX</x:v>
      </x:c>
      <x:c r="H2603" s="6" t="str">
        <x:v>1</x:v>
      </x:c>
      <x:c r="I2603" s="6" t="str"/>
      <x:c r="J2603" s="6" t="str">
        <x:f>IF(B2603="","",IF(AND(ISNUMBER(SEARCH("平",B2603)),OR(ISNUMBER(SEARCH("上",B2603)),ISNUMBER(SEARCH("去",B2603)),ISNUMBER(SEARCH("入",B2603)))),"Ambiguous",IF(ISNUMBER(SEARCH("平",B2603)),"平","仄")))</x:f>
        <x:v>仄</x:v>
      </x:c>
      <x:c r="K2603" s="6" t="str">
        <x:f>IF(D2603="","",IF(AND(ISNUMBER(SEARCH("平",D2603)),OR(ISNUMBER(SEARCH("上",D2603)),ISNUMBER(SEARCH("去",D2603)),ISNUMBER(SEARCH("入",D2603)))),"Ambiguous",IF(ISNUMBER(SEARCH("平",D2603)),"平","仄")))</x:f>
        <x:v>仄</x:v>
      </x:c>
      <x:c r="L2603" s="7" t="str"/>
    </x:row>
    <x:row r="2604">
      <x:c r="A2604" s="5" t="str">
        <x:v>畏</x:v>
      </x:c>
      <x:c r="B2604" s="6" t="str">
        <x:v>去</x:v>
      </x:c>
      <x:c r="C2604" s="6" t="str">
        <x:f>IF(B2604="","Needs decision","Ready")</x:f>
        <x:v>Ready</x:v>
      </x:c>
      <x:c r="D2604" s="6" t="str">
        <x:v>去</x:v>
      </x:c>
      <x:c r="E2604" s="6" t="str">
        <x:v>'jw+jH (C)</x:v>
      </x:c>
      <x:c r="F2604" s="6" t="str">
        <x:v>去聲五未</x:v>
      </x:c>
      <x:c r="G2604" s="6" t="str">
        <x:v>Pingshui main list, Wikisource-derived DOCX</x:v>
      </x:c>
      <x:c r="H2604" s="6" t="str">
        <x:v>1</x:v>
      </x:c>
      <x:c r="I2604" s="6" t="str"/>
      <x:c r="J2604" s="6" t="str">
        <x:f>IF(B2604="","",IF(AND(ISNUMBER(SEARCH("平",B2604)),OR(ISNUMBER(SEARCH("上",B2604)),ISNUMBER(SEARCH("去",B2604)),ISNUMBER(SEARCH("入",B2604)))),"Ambiguous",IF(ISNUMBER(SEARCH("平",B2604)),"平","仄")))</x:f>
        <x:v>仄</x:v>
      </x:c>
      <x:c r="K2604" s="6" t="str">
        <x:f>IF(D2604="","",IF(AND(ISNUMBER(SEARCH("平",D2604)),OR(ISNUMBER(SEARCH("上",D2604)),ISNUMBER(SEARCH("去",D2604)),ISNUMBER(SEARCH("入",D2604)))),"Ambiguous",IF(ISNUMBER(SEARCH("平",D2604)),"平","仄")))</x:f>
        <x:v>仄</x:v>
      </x:c>
      <x:c r="L2604" s="7" t="str"/>
    </x:row>
    <x:row r="2605">
      <x:c r="A2605" s="5" t="str">
        <x:v>畐</x:v>
      </x:c>
      <x:c r="B2605" s="6" t="str">
        <x:v>入</x:v>
      </x:c>
      <x:c r="C2605" s="6" t="str">
        <x:f>IF(B2605="","Needs decision","Ready")</x:f>
        <x:v>Ready</x:v>
      </x:c>
      <x:c r="D2605" s="6" t="str">
        <x:v>入</x:v>
      </x:c>
      <x:c r="E2605" s="6" t="str">
        <x:v>bjuwk (D)</x:v>
      </x:c>
      <x:c r="F2605" s="6" t="str"/>
      <x:c r="G2605" s="6" t="str"/>
      <x:c r="H2605" s="6" t="str">
        <x:v>1</x:v>
      </x:c>
      <x:c r="I2605" s="6" t="str"/>
      <x:c r="J2605" s="6" t="str">
        <x:f>IF(B2605="","",IF(AND(ISNUMBER(SEARCH("平",B2605)),OR(ISNUMBER(SEARCH("上",B2605)),ISNUMBER(SEARCH("去",B2605)),ISNUMBER(SEARCH("入",B2605)))),"Ambiguous",IF(ISNUMBER(SEARCH("平",B2605)),"平","仄")))</x:f>
        <x:v>仄</x:v>
      </x:c>
      <x:c r="K2605" s="6" t="str">
        <x:f>IF(D2605="","",IF(AND(ISNUMBER(SEARCH("平",D2605)),OR(ISNUMBER(SEARCH("上",D2605)),ISNUMBER(SEARCH("去",D2605)),ISNUMBER(SEARCH("入",D2605)))),"Ambiguous",IF(ISNUMBER(SEARCH("平",D2605)),"平","仄")))</x:f>
        <x:v>仄</x:v>
      </x:c>
      <x:c r="L2605" s="7" t="str"/>
    </x:row>
    <x:row r="2606">
      <x:c r="A2606" s="5" t="str">
        <x:v>畔</x:v>
      </x:c>
      <x:c r="B2606" s="6" t="str">
        <x:v>去</x:v>
      </x:c>
      <x:c r="C2606" s="6" t="str">
        <x:f>IF(B2606="","Needs decision","Ready")</x:f>
        <x:v>Ready</x:v>
      </x:c>
      <x:c r="D2606" s="6" t="str">
        <x:v>去</x:v>
      </x:c>
      <x:c r="E2606" s="6" t="str">
        <x:v>banH (C)</x:v>
      </x:c>
      <x:c r="F2606" s="6" t="str">
        <x:v>去聲十五翰</x:v>
      </x:c>
      <x:c r="G2606" s="6" t="str">
        <x:v>Pingshui main list, Wikisource-derived DOCX</x:v>
      </x:c>
      <x:c r="H2606" s="6" t="str">
        <x:v>1</x:v>
      </x:c>
      <x:c r="I2606" s="6" t="str"/>
      <x:c r="J2606" s="6" t="str">
        <x:f>IF(B2606="","",IF(AND(ISNUMBER(SEARCH("平",B2606)),OR(ISNUMBER(SEARCH("上",B2606)),ISNUMBER(SEARCH("去",B2606)),ISNUMBER(SEARCH("入",B2606)))),"Ambiguous",IF(ISNUMBER(SEARCH("平",B2606)),"平","仄")))</x:f>
        <x:v>仄</x:v>
      </x:c>
      <x:c r="K2606" s="6" t="str">
        <x:f>IF(D2606="","",IF(AND(ISNUMBER(SEARCH("平",D2606)),OR(ISNUMBER(SEARCH("上",D2606)),ISNUMBER(SEARCH("去",D2606)),ISNUMBER(SEARCH("入",D2606)))),"Ambiguous",IF(ISNUMBER(SEARCH("平",D2606)),"平","仄")))</x:f>
        <x:v>仄</x:v>
      </x:c>
      <x:c r="L2606" s="7" t="str"/>
    </x:row>
    <x:row r="2607">
      <x:c r="A2607" s="5" t="str">
        <x:v>留</x:v>
      </x:c>
      <x:c r="B2607" s="6" t="str">
        <x:v>平</x:v>
      </x:c>
      <x:c r="C2607" s="6" t="str">
        <x:f>IF(B2607="","Needs decision","Ready")</x:f>
        <x:v>Ready</x:v>
      </x:c>
      <x:c r="D2607" s="6" t="str">
        <x:v>平</x:v>
      </x:c>
      <x:c r="E2607" s="6" t="str">
        <x:v>ljuw (A)</x:v>
      </x:c>
      <x:c r="F2607" s="6" t="str">
        <x:v>下平聲十一尤; 去聲二十六宥</x:v>
      </x:c>
      <x:c r="G2607" s="6" t="str">
        <x:v>Pingshui main list, Wikisource-derived DOCX</x:v>
      </x:c>
      <x:c r="H2607" s="6" t="str">
        <x:v>1</x:v>
      </x:c>
      <x:c r="I2607" s="6" t="str"/>
      <x:c r="J2607" s="6" t="str">
        <x:f>IF(B2607="","",IF(AND(ISNUMBER(SEARCH("平",B2607)),OR(ISNUMBER(SEARCH("上",B2607)),ISNUMBER(SEARCH("去",B2607)),ISNUMBER(SEARCH("入",B2607)))),"Ambiguous",IF(ISNUMBER(SEARCH("平",B2607)),"平","仄")))</x:f>
        <x:v>平</x:v>
      </x:c>
      <x:c r="K2607" s="6" t="str">
        <x:f>IF(D2607="","",IF(AND(ISNUMBER(SEARCH("平",D2607)),OR(ISNUMBER(SEARCH("上",D2607)),ISNUMBER(SEARCH("去",D2607)),ISNUMBER(SEARCH("入",D2607)))),"Ambiguous",IF(ISNUMBER(SEARCH("平",D2607)),"平","仄")))</x:f>
        <x:v>平</x:v>
      </x:c>
      <x:c r="L2607" s="7" t="str"/>
    </x:row>
    <x:row r="2608">
      <x:c r="A2608" s="5" t="str">
        <x:v>畚</x:v>
      </x:c>
      <x:c r="B2608" s="6" t="str">
        <x:v>上</x:v>
      </x:c>
      <x:c r="C2608" s="6" t="str">
        <x:f>IF(B2608="","Needs decision","Ready")</x:f>
        <x:v>Ready</x:v>
      </x:c>
      <x:c r="D2608" s="6" t="str">
        <x:v>上</x:v>
      </x:c>
      <x:c r="E2608" s="6" t="str">
        <x:v>pwonX (B)</x:v>
      </x:c>
      <x:c r="F2608" s="6" t="str">
        <x:v>上聲十三阮</x:v>
      </x:c>
      <x:c r="G2608" s="6" t="str">
        <x:v>Pingshui main list, Wikisource-derived DOCX</x:v>
      </x:c>
      <x:c r="H2608" s="6" t="str">
        <x:v>1</x:v>
      </x:c>
      <x:c r="I2608" s="6" t="str"/>
      <x:c r="J2608" s="6" t="str">
        <x:f>IF(B2608="","",IF(AND(ISNUMBER(SEARCH("平",B2608)),OR(ISNUMBER(SEARCH("上",B2608)),ISNUMBER(SEARCH("去",B2608)),ISNUMBER(SEARCH("入",B2608)))),"Ambiguous",IF(ISNUMBER(SEARCH("平",B2608)),"平","仄")))</x:f>
        <x:v>仄</x:v>
      </x:c>
      <x:c r="K2608" s="6" t="str">
        <x:f>IF(D2608="","",IF(AND(ISNUMBER(SEARCH("平",D2608)),OR(ISNUMBER(SEARCH("上",D2608)),ISNUMBER(SEARCH("去",D2608)),ISNUMBER(SEARCH("入",D2608)))),"Ambiguous",IF(ISNUMBER(SEARCH("平",D2608)),"平","仄")))</x:f>
        <x:v>仄</x:v>
      </x:c>
      <x:c r="L2608" s="7" t="str"/>
    </x:row>
    <x:row r="2609">
      <x:c r="A2609" s="5" t="str">
        <x:v>畛</x:v>
      </x:c>
      <x:c r="B2609" s="6" t="str">
        <x:v>上</x:v>
      </x:c>
      <x:c r="C2609" s="6" t="str">
        <x:f>IF(B2609="","Needs decision","Ready")</x:f>
        <x:v>Ready</x:v>
      </x:c>
      <x:c r="D2609" s="6" t="str">
        <x:v>上</x:v>
      </x:c>
      <x:c r="E2609" s="6" t="str">
        <x:v>tsyinX (B)</x:v>
      </x:c>
      <x:c r="F2609" s="6" t="str">
        <x:v>上平聲十一真; 上聲十一軫</x:v>
      </x:c>
      <x:c r="G2609" s="6" t="str">
        <x:v>Pingshui main list, Wikisource-derived DOCX</x:v>
      </x:c>
      <x:c r="H2609" s="6" t="str">
        <x:v>1</x:v>
      </x:c>
      <x:c r="I2609" s="6" t="str"/>
      <x:c r="J2609" s="6" t="str">
        <x:f>IF(B2609="","",IF(AND(ISNUMBER(SEARCH("平",B2609)),OR(ISNUMBER(SEARCH("上",B2609)),ISNUMBER(SEARCH("去",B2609)),ISNUMBER(SEARCH("入",B2609)))),"Ambiguous",IF(ISNUMBER(SEARCH("平",B2609)),"平","仄")))</x:f>
        <x:v>仄</x:v>
      </x:c>
      <x:c r="K2609" s="6" t="str">
        <x:f>IF(D2609="","",IF(AND(ISNUMBER(SEARCH("平",D2609)),OR(ISNUMBER(SEARCH("上",D2609)),ISNUMBER(SEARCH("去",D2609)),ISNUMBER(SEARCH("入",D2609)))),"Ambiguous",IF(ISNUMBER(SEARCH("平",D2609)),"平","仄")))</x:f>
        <x:v>仄</x:v>
      </x:c>
      <x:c r="L2609" s="7" t="str"/>
    </x:row>
    <x:row r="2610">
      <x:c r="A2610" s="5" t="str">
        <x:v>畜</x:v>
      </x:c>
      <x:c r="B2610" s="6" t="str"/>
      <x:c r="C2610" s="6" t="str">
        <x:f>IF(B2610="","Needs decision","Ready")</x:f>
        <x:v>Needs decision</x:v>
      </x:c>
      <x:c r="D2610" s="6" t="str">
        <x:v>去/入</x:v>
      </x:c>
      <x:c r="E2610" s="6" t="str">
        <x:v>trhjuwH (C); trhjuwk (D); xjuwH (C); xjuwk (D)</x:v>
      </x:c>
      <x:c r="F2610" s="6" t="str">
        <x:v>去聲二十六宥; 入聲一屋</x:v>
      </x:c>
      <x:c r="G2610" s="6" t="str">
        <x:v>Pingshui main list, Wikisource-derived DOCX</x:v>
      </x:c>
      <x:c r="H2610" s="6" t="str">
        <x:v>4</x:v>
      </x:c>
      <x:c r="I2610" s="6" t="str"/>
      <x:c r="J2610" s="6" t="str">
        <x:f>IF(B2610="","",IF(AND(ISNUMBER(SEARCH("平",B2610)),OR(ISNUMBER(SEARCH("上",B2610)),ISNUMBER(SEARCH("去",B2610)),ISNUMBER(SEARCH("入",B2610)))),"Ambiguous",IF(ISNUMBER(SEARCH("平",B2610)),"平","仄")))</x:f>
      </x:c>
      <x:c r="K2610" s="6" t="str">
        <x:f>IF(D2610="","",IF(AND(ISNUMBER(SEARCH("平",D2610)),OR(ISNUMBER(SEARCH("上",D2610)),ISNUMBER(SEARCH("去",D2610)),ISNUMBER(SEARCH("入",D2610)))),"Ambiguous",IF(ISNUMBER(SEARCH("平",D2610)),"平","仄")))</x:f>
        <x:v>仄</x:v>
      </x:c>
      <x:c r="L2610" s="7" t="str"/>
    </x:row>
    <x:row r="2611">
      <x:c r="A2611" s="5" t="str">
        <x:v>畝</x:v>
      </x:c>
      <x:c r="B2611" s="6" t="str">
        <x:v>上</x:v>
      </x:c>
      <x:c r="C2611" s="6" t="str">
        <x:f>IF(B2611="","Needs decision","Ready")</x:f>
        <x:v>Ready</x:v>
      </x:c>
      <x:c r="D2611" s="6" t="str">
        <x:v>上</x:v>
      </x:c>
      <x:c r="E2611" s="6" t="str">
        <x:v>muwX (B)</x:v>
      </x:c>
      <x:c r="F2611" s="6" t="str">
        <x:v>上聲二十五有</x:v>
      </x:c>
      <x:c r="G2611" s="6" t="str">
        <x:v>Pingshui main list, Wikisource-derived DOCX</x:v>
      </x:c>
      <x:c r="H2611" s="6" t="str">
        <x:v>1</x:v>
      </x:c>
      <x:c r="I2611" s="6" t="str"/>
      <x:c r="J2611" s="6" t="str">
        <x:f>IF(B2611="","",IF(AND(ISNUMBER(SEARCH("平",B2611)),OR(ISNUMBER(SEARCH("上",B2611)),ISNUMBER(SEARCH("去",B2611)),ISNUMBER(SEARCH("入",B2611)))),"Ambiguous",IF(ISNUMBER(SEARCH("平",B2611)),"平","仄")))</x:f>
        <x:v>仄</x:v>
      </x:c>
      <x:c r="K2611" s="6" t="str">
        <x:f>IF(D2611="","",IF(AND(ISNUMBER(SEARCH("平",D2611)),OR(ISNUMBER(SEARCH("上",D2611)),ISNUMBER(SEARCH("去",D2611)),ISNUMBER(SEARCH("入",D2611)))),"Ambiguous",IF(ISNUMBER(SEARCH("平",D2611)),"平","仄")))</x:f>
        <x:v>仄</x:v>
      </x:c>
      <x:c r="L2611" s="7" t="str"/>
    </x:row>
    <x:row r="2612">
      <x:c r="A2612" s="5" t="str">
        <x:v>畟</x:v>
      </x:c>
      <x:c r="B2612" s="6" t="str">
        <x:v>入</x:v>
      </x:c>
      <x:c r="C2612" s="6" t="str">
        <x:f>IF(B2612="","Needs decision","Ready")</x:f>
        <x:v>Ready</x:v>
      </x:c>
      <x:c r="D2612" s="6" t="str">
        <x:v>入</x:v>
      </x:c>
      <x:c r="E2612" s="6" t="str">
        <x:v>tsrhik (D)</x:v>
      </x:c>
      <x:c r="F2612" s="6" t="str">
        <x:v>入聲十三職</x:v>
      </x:c>
      <x:c r="G2612" s="6" t="str">
        <x:v>Pingshui main list, Wikisource-derived DOCX</x:v>
      </x:c>
      <x:c r="H2612" s="6" t="str">
        <x:v>1</x:v>
      </x:c>
      <x:c r="I2612" s="6" t="str"/>
      <x:c r="J2612" s="6" t="str">
        <x:f>IF(B2612="","",IF(AND(ISNUMBER(SEARCH("平",B2612)),OR(ISNUMBER(SEARCH("上",B2612)),ISNUMBER(SEARCH("去",B2612)),ISNUMBER(SEARCH("入",B2612)))),"Ambiguous",IF(ISNUMBER(SEARCH("平",B2612)),"平","仄")))</x:f>
        <x:v>仄</x:v>
      </x:c>
      <x:c r="K2612" s="6" t="str">
        <x:f>IF(D2612="","",IF(AND(ISNUMBER(SEARCH("平",D2612)),OR(ISNUMBER(SEARCH("上",D2612)),ISNUMBER(SEARCH("去",D2612)),ISNUMBER(SEARCH("入",D2612)))),"Ambiguous",IF(ISNUMBER(SEARCH("平",D2612)),"平","仄")))</x:f>
        <x:v>仄</x:v>
      </x:c>
      <x:c r="L2612" s="7" t="str"/>
    </x:row>
    <x:row r="2613">
      <x:c r="A2613" s="5" t="str">
        <x:v>畢</x:v>
      </x:c>
      <x:c r="B2613" s="6" t="str">
        <x:v>入</x:v>
      </x:c>
      <x:c r="C2613" s="6" t="str">
        <x:f>IF(B2613="","Needs decision","Ready")</x:f>
        <x:v>Ready</x:v>
      </x:c>
      <x:c r="D2613" s="6" t="str">
        <x:v>入</x:v>
      </x:c>
      <x:c r="E2613" s="6" t="str">
        <x:v>pjit (D)</x:v>
      </x:c>
      <x:c r="F2613" s="6" t="str">
        <x:v>入聲四質</x:v>
      </x:c>
      <x:c r="G2613" s="6" t="str">
        <x:v>Pingshui main list, Wikisource-derived DOCX</x:v>
      </x:c>
      <x:c r="H2613" s="6" t="str">
        <x:v>1</x:v>
      </x:c>
      <x:c r="I2613" s="6" t="str"/>
      <x:c r="J2613" s="6" t="str">
        <x:f>IF(B2613="","",IF(AND(ISNUMBER(SEARCH("平",B2613)),OR(ISNUMBER(SEARCH("上",B2613)),ISNUMBER(SEARCH("去",B2613)),ISNUMBER(SEARCH("入",B2613)))),"Ambiguous",IF(ISNUMBER(SEARCH("平",B2613)),"平","仄")))</x:f>
        <x:v>仄</x:v>
      </x:c>
      <x:c r="K2613" s="6" t="str">
        <x:f>IF(D2613="","",IF(AND(ISNUMBER(SEARCH("平",D2613)),OR(ISNUMBER(SEARCH("上",D2613)),ISNUMBER(SEARCH("去",D2613)),ISNUMBER(SEARCH("入",D2613)))),"Ambiguous",IF(ISNUMBER(SEARCH("平",D2613)),"平","仄")))</x:f>
        <x:v>仄</x:v>
      </x:c>
      <x:c r="L2613" s="7" t="str"/>
    </x:row>
    <x:row r="2614">
      <x:c r="A2614" s="5" t="str">
        <x:v>畤</x:v>
      </x:c>
      <x:c r="B2614" s="6" t="str">
        <x:v>上</x:v>
      </x:c>
      <x:c r="C2614" s="6" t="str">
        <x:f>IF(B2614="","Needs decision","Ready")</x:f>
        <x:v>Ready</x:v>
      </x:c>
      <x:c r="D2614" s="6" t="str">
        <x:v>上</x:v>
      </x:c>
      <x:c r="E2614" s="6" t="str">
        <x:v>driX [ɖjɨʔ] (上); dzyiX [dʑɨʔ] (上); tsyiX [tɕɨʔ] (上)</x:v>
      </x:c>
      <x:c r="F2614" s="6" t="str">
        <x:v>上聲四紙</x:v>
      </x:c>
      <x:c r="G2614" s="6" t="str">
        <x:v>Pingshui main list, Wikisource-derived DOCX</x:v>
      </x:c>
      <x:c r="H2614" s="6" t="str">
        <x:v>3</x:v>
      </x:c>
      <x:c r="I2614" s="6" t="str">
        <x:v>Tang 300 gap; frequency 1; provisional from Xun Gong</x:v>
      </x:c>
      <x:c r="J2614" s="6" t="str">
        <x:f>IF(B2614="","",IF(AND(ISNUMBER(SEARCH("平",B2614)),OR(ISNUMBER(SEARCH("上",B2614)),ISNUMBER(SEARCH("去",B2614)),ISNUMBER(SEARCH("入",B2614)))),"Ambiguous",IF(ISNUMBER(SEARCH("平",B2614)),"平","仄")))</x:f>
        <x:v>仄</x:v>
      </x:c>
      <x:c r="K2614" s="6" t="str">
        <x:f>IF(D2614="","",IF(AND(ISNUMBER(SEARCH("平",D2614)),OR(ISNUMBER(SEARCH("上",D2614)),ISNUMBER(SEARCH("去",D2614)),ISNUMBER(SEARCH("入",D2614)))),"Ambiguous",IF(ISNUMBER(SEARCH("平",D2614)),"平","仄")))</x:f>
        <x:v>仄</x:v>
      </x:c>
      <x:c r="L2614" s="7" t="str">
        <x:v>Xun Gong, Tang 300 gap fill</x:v>
      </x:c>
    </x:row>
    <x:row r="2615">
      <x:c r="A2615" s="5" t="str">
        <x:v>略</x:v>
      </x:c>
      <x:c r="B2615" s="6" t="str">
        <x:v>入</x:v>
      </x:c>
      <x:c r="C2615" s="6" t="str">
        <x:f>IF(B2615="","Needs decision","Ready")</x:f>
        <x:v>Ready</x:v>
      </x:c>
      <x:c r="D2615" s="6" t="str">
        <x:v>入</x:v>
      </x:c>
      <x:c r="E2615" s="6" t="str">
        <x:v>ljak (D)</x:v>
      </x:c>
      <x:c r="F2615" s="6" t="str">
        <x:v>入聲十藥</x:v>
      </x:c>
      <x:c r="G2615" s="6" t="str">
        <x:v>Pingshui main list, Wikisource-derived DOCX</x:v>
      </x:c>
      <x:c r="H2615" s="6" t="str">
        <x:v>1</x:v>
      </x:c>
      <x:c r="I2615" s="6" t="str"/>
      <x:c r="J2615" s="6" t="str">
        <x:f>IF(B2615="","",IF(AND(ISNUMBER(SEARCH("平",B2615)),OR(ISNUMBER(SEARCH("上",B2615)),ISNUMBER(SEARCH("去",B2615)),ISNUMBER(SEARCH("入",B2615)))),"Ambiguous",IF(ISNUMBER(SEARCH("平",B2615)),"平","仄")))</x:f>
        <x:v>仄</x:v>
      </x:c>
      <x:c r="K2615" s="6" t="str">
        <x:f>IF(D2615="","",IF(AND(ISNUMBER(SEARCH("平",D2615)),OR(ISNUMBER(SEARCH("上",D2615)),ISNUMBER(SEARCH("去",D2615)),ISNUMBER(SEARCH("入",D2615)))),"Ambiguous",IF(ISNUMBER(SEARCH("平",D2615)),"平","仄")))</x:f>
        <x:v>仄</x:v>
      </x:c>
      <x:c r="L2615" s="7" t="str"/>
    </x:row>
    <x:row r="2616">
      <x:c r="A2616" s="5" t="str">
        <x:v>畦</x:v>
      </x:c>
      <x:c r="B2616" s="6" t="str">
        <x:v>平</x:v>
      </x:c>
      <x:c r="C2616" s="6" t="str">
        <x:f>IF(B2616="","Needs decision","Ready")</x:f>
        <x:v>Ready</x:v>
      </x:c>
      <x:c r="D2616" s="6" t="str">
        <x:v>平</x:v>
      </x:c>
      <x:c r="E2616" s="6" t="str"/>
      <x:c r="F2616" s="6" t="str">
        <x:v>上平聲八齊</x:v>
      </x:c>
      <x:c r="G2616" s="6" t="str">
        <x:v>Pingshui main list, Wikisource-derived DOCX</x:v>
      </x:c>
      <x:c r="H2616" s="6" t="str">
        <x:v>0</x:v>
      </x:c>
      <x:c r="I2616" s="6" t="str">
        <x:v>User correction 2026-09-08; added manually</x:v>
      </x:c>
      <x:c r="J2616" s="6" t="str">
        <x:f>IF(B2616="","",IF(AND(ISNUMBER(SEARCH("平",B2616)),OR(ISNUMBER(SEARCH("上",B2616)),ISNUMBER(SEARCH("去",B2616)),ISNUMBER(SEARCH("入",B2616)))),"Ambiguous",IF(ISNUMBER(SEARCH("平",B2616)),"平","仄")))</x:f>
        <x:v>平</x:v>
      </x:c>
      <x:c r="K2616" s="6" t="str">
        <x:f>IF(D2616="","",IF(AND(ISNUMBER(SEARCH("平",D2616)),OR(ISNUMBER(SEARCH("上",D2616)),ISNUMBER(SEARCH("去",D2616)),ISNUMBER(SEARCH("入",D2616)))),"Ambiguous",IF(ISNUMBER(SEARCH("平",D2616)),"平","仄")))</x:f>
        <x:v>平</x:v>
      </x:c>
      <x:c r="L2616" s="7" t="str">
        <x:v>User correction</x:v>
      </x:c>
    </x:row>
    <x:row r="2617">
      <x:c r="A2617" s="5" t="str">
        <x:v>番</x:v>
      </x:c>
      <x:c r="B2617" s="6" t="str">
        <x:v>平</x:v>
      </x:c>
      <x:c r="C2617" s="6" t="str">
        <x:f>IF(B2617="","Needs decision","Ready")</x:f>
        <x:v>Ready</x:v>
      </x:c>
      <x:c r="D2617" s="6" t="str">
        <x:v>平</x:v>
      </x:c>
      <x:c r="E2617" s="6" t="str">
        <x:v>pa (A); phjon (A)</x:v>
      </x:c>
      <x:c r="F2617" s="6" t="str">
        <x:v>上平聲十三元; 下平聲五歌</x:v>
      </x:c>
      <x:c r="G2617" s="6" t="str">
        <x:v>Pingshui main list, Wikisource-derived DOCX</x:v>
      </x:c>
      <x:c r="H2617" s="6" t="str">
        <x:v>2</x:v>
      </x:c>
      <x:c r="I2617" s="6" t="str"/>
      <x:c r="J2617" s="6" t="str">
        <x:f>IF(B2617="","",IF(AND(ISNUMBER(SEARCH("平",B2617)),OR(ISNUMBER(SEARCH("上",B2617)),ISNUMBER(SEARCH("去",B2617)),ISNUMBER(SEARCH("入",B2617)))),"Ambiguous",IF(ISNUMBER(SEARCH("平",B2617)),"平","仄")))</x:f>
        <x:v>平</x:v>
      </x:c>
      <x:c r="K2617" s="6" t="str">
        <x:f>IF(D2617="","",IF(AND(ISNUMBER(SEARCH("平",D2617)),OR(ISNUMBER(SEARCH("上",D2617)),ISNUMBER(SEARCH("去",D2617)),ISNUMBER(SEARCH("入",D2617)))),"Ambiguous",IF(ISNUMBER(SEARCH("平",D2617)),"平","仄")))</x:f>
        <x:v>平</x:v>
      </x:c>
      <x:c r="L2617" s="7" t="str"/>
    </x:row>
    <x:row r="2618">
      <x:c r="A2618" s="5" t="str">
        <x:v>畫</x:v>
      </x:c>
      <x:c r="B2618" s="6" t="str">
        <x:v>入</x:v>
      </x:c>
      <x:c r="C2618" s="6" t="str">
        <x:f>IF(B2618="","Needs decision","Ready")</x:f>
        <x:v>Ready</x:v>
      </x:c>
      <x:c r="D2618" s="6" t="str">
        <x:v>去/入</x:v>
      </x:c>
      <x:c r="E2618" s="6" t="str">
        <x:v>hweaH (C); hweak (D)</x:v>
      </x:c>
      <x:c r="F2618" s="6" t="str">
        <x:v>去聲十卦; 入聲十一陌</x:v>
      </x:c>
      <x:c r="G2618" s="6" t="str">
        <x:v>Pingshui main list, Wikisource-derived DOCX</x:v>
      </x:c>
      <x:c r="H2618" s="6" t="str">
        <x:v>2</x:v>
      </x:c>
      <x:c r="I2618" s="6" t="str">
        <x:v>User correction 2026-09-08</x:v>
      </x:c>
      <x:c r="J2618" s="6" t="str">
        <x:f>IF(B2618="","",IF(AND(ISNUMBER(SEARCH("平",B2618)),OR(ISNUMBER(SEARCH("上",B2618)),ISNUMBER(SEARCH("去",B2618)),ISNUMBER(SEARCH("入",B2618)))),"Ambiguous",IF(ISNUMBER(SEARCH("平",B2618)),"平","仄")))</x:f>
        <x:v>仄</x:v>
      </x:c>
      <x:c r="K2618" s="6" t="str">
        <x:f>IF(D2618="","",IF(AND(ISNUMBER(SEARCH("平",D2618)),OR(ISNUMBER(SEARCH("上",D2618)),ISNUMBER(SEARCH("去",D2618)),ISNUMBER(SEARCH("入",D2618)))),"Ambiguous",IF(ISNUMBER(SEARCH("平",D2618)),"平","仄")))</x:f>
        <x:v>仄</x:v>
      </x:c>
      <x:c r="L2618" s="7" t="str"/>
    </x:row>
    <x:row r="2619">
      <x:c r="A2619" s="5" t="str">
        <x:v>畮</x:v>
      </x:c>
      <x:c r="B2619" s="6" t="str">
        <x:v>上</x:v>
      </x:c>
      <x:c r="C2619" s="6" t="str">
        <x:f>IF(B2619="","Needs decision","Ready")</x:f>
        <x:v>Ready</x:v>
      </x:c>
      <x:c r="D2619" s="6" t="str">
        <x:v>上</x:v>
      </x:c>
      <x:c r="E2619" s="6" t="str">
        <x:v>muwX (B)</x:v>
      </x:c>
      <x:c r="F2619" s="6" t="str"/>
      <x:c r="G2619" s="6" t="str"/>
      <x:c r="H2619" s="6" t="str">
        <x:v>1</x:v>
      </x:c>
      <x:c r="I2619" s="6" t="str"/>
      <x:c r="J2619" s="6" t="str">
        <x:f>IF(B2619="","",IF(AND(ISNUMBER(SEARCH("平",B2619)),OR(ISNUMBER(SEARCH("上",B2619)),ISNUMBER(SEARCH("去",B2619)),ISNUMBER(SEARCH("入",B2619)))),"Ambiguous",IF(ISNUMBER(SEARCH("平",B2619)),"平","仄")))</x:f>
        <x:v>仄</x:v>
      </x:c>
      <x:c r="K2619" s="6" t="str">
        <x:f>IF(D2619="","",IF(AND(ISNUMBER(SEARCH("平",D2619)),OR(ISNUMBER(SEARCH("上",D2619)),ISNUMBER(SEARCH("去",D2619)),ISNUMBER(SEARCH("入",D2619)))),"Ambiguous",IF(ISNUMBER(SEARCH("平",D2619)),"平","仄")))</x:f>
        <x:v>仄</x:v>
      </x:c>
      <x:c r="L2619" s="7" t="str"/>
    </x:row>
    <x:row r="2620">
      <x:c r="A2620" s="5" t="str">
        <x:v>異</x:v>
      </x:c>
      <x:c r="B2620" s="6" t="str">
        <x:v>去</x:v>
      </x:c>
      <x:c r="C2620" s="6" t="str">
        <x:f>IF(B2620="","Needs decision","Ready")</x:f>
        <x:v>Ready</x:v>
      </x:c>
      <x:c r="D2620" s="6" t="str">
        <x:v>去</x:v>
      </x:c>
      <x:c r="E2620" s="6" t="str">
        <x:v>yiH (C)</x:v>
      </x:c>
      <x:c r="F2620" s="6" t="str">
        <x:v>去聲四寘</x:v>
      </x:c>
      <x:c r="G2620" s="6" t="str">
        <x:v>Pingshui main list, Wikisource-derived DOCX</x:v>
      </x:c>
      <x:c r="H2620" s="6" t="str">
        <x:v>1</x:v>
      </x:c>
      <x:c r="I2620" s="6" t="str"/>
      <x:c r="J2620" s="6" t="str">
        <x:f>IF(B2620="","",IF(AND(ISNUMBER(SEARCH("平",B2620)),OR(ISNUMBER(SEARCH("上",B2620)),ISNUMBER(SEARCH("去",B2620)),ISNUMBER(SEARCH("入",B2620)))),"Ambiguous",IF(ISNUMBER(SEARCH("平",B2620)),"平","仄")))</x:f>
        <x:v>仄</x:v>
      </x:c>
      <x:c r="K2620" s="6" t="str">
        <x:f>IF(D2620="","",IF(AND(ISNUMBER(SEARCH("平",D2620)),OR(ISNUMBER(SEARCH("上",D2620)),ISNUMBER(SEARCH("去",D2620)),ISNUMBER(SEARCH("入",D2620)))),"Ambiguous",IF(ISNUMBER(SEARCH("平",D2620)),"平","仄")))</x:f>
        <x:v>仄</x:v>
      </x:c>
      <x:c r="L2620" s="7" t="str"/>
    </x:row>
    <x:row r="2621">
      <x:c r="A2621" s="5" t="str">
        <x:v>畱</x:v>
      </x:c>
      <x:c r="B2621" s="6" t="str">
        <x:v>平</x:v>
      </x:c>
      <x:c r="C2621" s="6" t="str">
        <x:f>IF(B2621="","Needs decision","Ready")</x:f>
        <x:v>Ready</x:v>
      </x:c>
      <x:c r="D2621" s="6" t="str">
        <x:v>平/去</x:v>
      </x:c>
      <x:c r="E2621" s="6" t="str">
        <x:v>ljuwH [來三尤去] ljuh; ljuw [來三尤平] lju</x:v>
      </x:c>
      <x:c r="F2621" s="6" t="str"/>
      <x:c r="G2621" s="6" t="str"/>
      <x:c r="H2621" s="6" t="str">
        <x:v>2</x:v>
      </x:c>
      <x:c r="I2621" s="6" t="str">
        <x:v>Targeted preliminary fill from Xun Gong; review if uncertain (looked up under 留)</x:v>
      </x:c>
      <x:c r="J2621" s="6" t="str">
        <x:f>IF(B2621="","",IF(AND(ISNUMBER(SEARCH("平",B2621)),OR(ISNUMBER(SEARCH("上",B2621)),ISNUMBER(SEARCH("去",B2621)),ISNUMBER(SEARCH("入",B2621)))),"Ambiguous",IF(ISNUMBER(SEARCH("平",B2621)),"平","仄")))</x:f>
        <x:v>平</x:v>
      </x:c>
      <x:c r="K2621" s="6" t="str">
        <x:f>IF(D2621="","",IF(AND(ISNUMBER(SEARCH("平",D2621)),OR(ISNUMBER(SEARCH("上",D2621)),ISNUMBER(SEARCH("去",D2621)),ISNUMBER(SEARCH("入",D2621)))),"Ambiguous",IF(ISNUMBER(SEARCH("平",D2621)),"平","仄")))</x:f>
        <x:v>Ambiguous</x:v>
      </x:c>
      <x:c r="L2621" s="7" t="str">
        <x:v>Xun Gong character-readings.csv</x:v>
      </x:c>
    </x:row>
    <x:row r="2622">
      <x:c r="A2622" s="5" t="str">
        <x:v>當</x:v>
      </x:c>
      <x:c r="B2622" s="6" t="str"/>
      <x:c r="C2622" s="6" t="str">
        <x:f>IF(B2622="","Needs decision","Ready")</x:f>
        <x:v>Needs decision</x:v>
      </x:c>
      <x:c r="D2622" s="6" t="str">
        <x:v>平/去</x:v>
      </x:c>
      <x:c r="E2622" s="6" t="str">
        <x:v>tang (A); tangH (C)</x:v>
      </x:c>
      <x:c r="F2622" s="6" t="str">
        <x:v>下平聲七陽; 去聲二十三漾</x:v>
      </x:c>
      <x:c r="G2622" s="6" t="str">
        <x:v>Pingshui main list, Wikisource-derived DOCX</x:v>
      </x:c>
      <x:c r="H2622" s="6" t="str">
        <x:v>2</x:v>
      </x:c>
      <x:c r="I2622" s="6" t="str"/>
      <x:c r="J2622" s="6" t="str">
        <x:f>IF(B2622="","",IF(AND(ISNUMBER(SEARCH("平",B2622)),OR(ISNUMBER(SEARCH("上",B2622)),ISNUMBER(SEARCH("去",B2622)),ISNUMBER(SEARCH("入",B2622)))),"Ambiguous",IF(ISNUMBER(SEARCH("平",B2622)),"平","仄")))</x:f>
      </x:c>
      <x:c r="K2622" s="6" t="str">
        <x:f>IF(D2622="","",IF(AND(ISNUMBER(SEARCH("平",D2622)),OR(ISNUMBER(SEARCH("上",D2622)),ISNUMBER(SEARCH("去",D2622)),ISNUMBER(SEARCH("入",D2622)))),"Ambiguous",IF(ISNUMBER(SEARCH("平",D2622)),"平","仄")))</x:f>
        <x:v>Ambiguous</x:v>
      </x:c>
      <x:c r="L2622" s="7" t="str"/>
    </x:row>
    <x:row r="2623">
      <x:c r="A2623" s="5" t="str">
        <x:v>畺</x:v>
      </x:c>
      <x:c r="B2623" s="6" t="str">
        <x:v>平</x:v>
      </x:c>
      <x:c r="C2623" s="6" t="str">
        <x:f>IF(B2623="","Needs decision","Ready")</x:f>
        <x:v>Ready</x:v>
      </x:c>
      <x:c r="D2623" s="6" t="str">
        <x:v>平</x:v>
      </x:c>
      <x:c r="E2623" s="6" t="str">
        <x:v>kjang (A)</x:v>
      </x:c>
      <x:c r="F2623" s="6" t="str"/>
      <x:c r="G2623" s="6" t="str"/>
      <x:c r="H2623" s="6" t="str">
        <x:v>1</x:v>
      </x:c>
      <x:c r="I2623" s="6" t="str"/>
      <x:c r="J2623" s="6" t="str">
        <x:f>IF(B2623="","",IF(AND(ISNUMBER(SEARCH("平",B2623)),OR(ISNUMBER(SEARCH("上",B2623)),ISNUMBER(SEARCH("去",B2623)),ISNUMBER(SEARCH("入",B2623)))),"Ambiguous",IF(ISNUMBER(SEARCH("平",B2623)),"平","仄")))</x:f>
        <x:v>平</x:v>
      </x:c>
      <x:c r="K2623" s="6" t="str">
        <x:f>IF(D2623="","",IF(AND(ISNUMBER(SEARCH("平",D2623)),OR(ISNUMBER(SEARCH("上",D2623)),ISNUMBER(SEARCH("去",D2623)),ISNUMBER(SEARCH("入",D2623)))),"Ambiguous",IF(ISNUMBER(SEARCH("平",D2623)),"平","仄")))</x:f>
        <x:v>平</x:v>
      </x:c>
      <x:c r="L2623" s="7" t="str"/>
    </x:row>
    <x:row r="2624">
      <x:c r="A2624" s="5" t="str">
        <x:v>畽</x:v>
      </x:c>
      <x:c r="B2624" s="6" t="str">
        <x:v>上</x:v>
      </x:c>
      <x:c r="C2624" s="6" t="str">
        <x:f>IF(B2624="","Needs decision","Ready")</x:f>
        <x:v>Ready</x:v>
      </x:c>
      <x:c r="D2624" s="6" t="str">
        <x:v>上</x:v>
      </x:c>
      <x:c r="E2624" s="6" t="str">
        <x:v>thwanX (B)</x:v>
      </x:c>
      <x:c r="F2624" s="6" t="str"/>
      <x:c r="G2624" s="6" t="str"/>
      <x:c r="H2624" s="6" t="str">
        <x:v>1</x:v>
      </x:c>
      <x:c r="I2624" s="6" t="str"/>
      <x:c r="J2624" s="6" t="str">
        <x:f>IF(B2624="","",IF(AND(ISNUMBER(SEARCH("平",B2624)),OR(ISNUMBER(SEARCH("上",B2624)),ISNUMBER(SEARCH("去",B2624)),ISNUMBER(SEARCH("入",B2624)))),"Ambiguous",IF(ISNUMBER(SEARCH("平",B2624)),"平","仄")))</x:f>
        <x:v>仄</x:v>
      </x:c>
      <x:c r="K2624" s="6" t="str">
        <x:f>IF(D2624="","",IF(AND(ISNUMBER(SEARCH("平",D2624)),OR(ISNUMBER(SEARCH("上",D2624)),ISNUMBER(SEARCH("去",D2624)),ISNUMBER(SEARCH("入",D2624)))),"Ambiguous",IF(ISNUMBER(SEARCH("平",D2624)),"平","仄")))</x:f>
        <x:v>仄</x:v>
      </x:c>
      <x:c r="L2624" s="7" t="str"/>
    </x:row>
    <x:row r="2625">
      <x:c r="A2625" s="5" t="str">
        <x:v>畿</x:v>
      </x:c>
      <x:c r="B2625" s="6" t="str">
        <x:v>平</x:v>
      </x:c>
      <x:c r="C2625" s="6" t="str">
        <x:f>IF(B2625="","Needs decision","Ready")</x:f>
        <x:v>Ready</x:v>
      </x:c>
      <x:c r="D2625" s="6" t="str">
        <x:v>平</x:v>
      </x:c>
      <x:c r="E2625" s="6" t="str">
        <x:v>gj+j (A)</x:v>
      </x:c>
      <x:c r="F2625" s="6" t="str">
        <x:v>上平聲五微</x:v>
      </x:c>
      <x:c r="G2625" s="6" t="str">
        <x:v>Pingshui main list, Wikisource-derived DOCX</x:v>
      </x:c>
      <x:c r="H2625" s="6" t="str">
        <x:v>1</x:v>
      </x:c>
      <x:c r="I2625" s="6" t="str"/>
      <x:c r="J2625" s="6" t="str">
        <x:f>IF(B2625="","",IF(AND(ISNUMBER(SEARCH("平",B2625)),OR(ISNUMBER(SEARCH("上",B2625)),ISNUMBER(SEARCH("去",B2625)),ISNUMBER(SEARCH("入",B2625)))),"Ambiguous",IF(ISNUMBER(SEARCH("平",B2625)),"平","仄")))</x:f>
        <x:v>平</x:v>
      </x:c>
      <x:c r="K2625" s="6" t="str">
        <x:f>IF(D2625="","",IF(AND(ISNUMBER(SEARCH("平",D2625)),OR(ISNUMBER(SEARCH("上",D2625)),ISNUMBER(SEARCH("去",D2625)),ISNUMBER(SEARCH("入",D2625)))),"Ambiguous",IF(ISNUMBER(SEARCH("平",D2625)),"平","仄")))</x:f>
        <x:v>平</x:v>
      </x:c>
      <x:c r="L2625" s="7" t="str"/>
    </x:row>
    <x:row r="2626">
      <x:c r="A2626" s="5" t="str">
        <x:v>疆</x:v>
      </x:c>
      <x:c r="B2626" s="6" t="str">
        <x:v>平</x:v>
      </x:c>
      <x:c r="C2626" s="6" t="str">
        <x:f>IF(B2626="","Needs decision","Ready")</x:f>
        <x:v>Ready</x:v>
      </x:c>
      <x:c r="D2626" s="6" t="str">
        <x:v>平</x:v>
      </x:c>
      <x:c r="E2626" s="6" t="str">
        <x:v>kjang (A)</x:v>
      </x:c>
      <x:c r="F2626" s="6" t="str">
        <x:v>下平聲七陽</x:v>
      </x:c>
      <x:c r="G2626" s="6" t="str">
        <x:v>Pingshui main list, Wikisource-derived DOCX</x:v>
      </x:c>
      <x:c r="H2626" s="6" t="str">
        <x:v>1</x:v>
      </x:c>
      <x:c r="I2626" s="6" t="str"/>
      <x:c r="J2626" s="6" t="str">
        <x:f>IF(B2626="","",IF(AND(ISNUMBER(SEARCH("平",B2626)),OR(ISNUMBER(SEARCH("上",B2626)),ISNUMBER(SEARCH("去",B2626)),ISNUMBER(SEARCH("入",B2626)))),"Ambiguous",IF(ISNUMBER(SEARCH("平",B2626)),"平","仄")))</x:f>
        <x:v>平</x:v>
      </x:c>
      <x:c r="K2626" s="6" t="str">
        <x:f>IF(D2626="","",IF(AND(ISNUMBER(SEARCH("平",D2626)),OR(ISNUMBER(SEARCH("上",D2626)),ISNUMBER(SEARCH("去",D2626)),ISNUMBER(SEARCH("入",D2626)))),"Ambiguous",IF(ISNUMBER(SEARCH("平",D2626)),"平","仄")))</x:f>
        <x:v>平</x:v>
      </x:c>
      <x:c r="L2626" s="7" t="str"/>
    </x:row>
    <x:row r="2627">
      <x:c r="A2627" s="5" t="str">
        <x:v>疇</x:v>
      </x:c>
      <x:c r="B2627" s="6" t="str">
        <x:v>平</x:v>
      </x:c>
      <x:c r="C2627" s="6" t="str">
        <x:f>IF(B2627="","Needs decision","Ready")</x:f>
        <x:v>Ready</x:v>
      </x:c>
      <x:c r="D2627" s="6" t="str">
        <x:v>平</x:v>
      </x:c>
      <x:c r="E2627" s="6" t="str">
        <x:v>drjuw (A)</x:v>
      </x:c>
      <x:c r="F2627" s="6" t="str">
        <x:v>下平聲十一尤</x:v>
      </x:c>
      <x:c r="G2627" s="6" t="str">
        <x:v>Pingshui main list, Wikisource-derived DOCX</x:v>
      </x:c>
      <x:c r="H2627" s="6" t="str">
        <x:v>1</x:v>
      </x:c>
      <x:c r="I2627" s="6" t="str"/>
      <x:c r="J2627" s="6" t="str">
        <x:f>IF(B2627="","",IF(AND(ISNUMBER(SEARCH("平",B2627)),OR(ISNUMBER(SEARCH("上",B2627)),ISNUMBER(SEARCH("去",B2627)),ISNUMBER(SEARCH("入",B2627)))),"Ambiguous",IF(ISNUMBER(SEARCH("平",B2627)),"平","仄")))</x:f>
        <x:v>平</x:v>
      </x:c>
      <x:c r="K2627" s="6" t="str">
        <x:f>IF(D2627="","",IF(AND(ISNUMBER(SEARCH("平",D2627)),OR(ISNUMBER(SEARCH("上",D2627)),ISNUMBER(SEARCH("去",D2627)),ISNUMBER(SEARCH("入",D2627)))),"Ambiguous",IF(ISNUMBER(SEARCH("平",D2627)),"平","仄")))</x:f>
        <x:v>平</x:v>
      </x:c>
      <x:c r="L2627" s="7" t="str"/>
    </x:row>
    <x:row r="2628">
      <x:c r="A2628" s="5" t="str">
        <x:v>疊</x:v>
      </x:c>
      <x:c r="B2628" s="6" t="str">
        <x:v>入</x:v>
      </x:c>
      <x:c r="C2628" s="6" t="str">
        <x:f>IF(B2628="","Needs decision","Ready")</x:f>
        <x:v>Ready</x:v>
      </x:c>
      <x:c r="D2628" s="6" t="str">
        <x:v>入</x:v>
      </x:c>
      <x:c r="E2628" s="6" t="str">
        <x:v>dep (D)</x:v>
      </x:c>
      <x:c r="F2628" s="6" t="str">
        <x:v>入聲十六葉</x:v>
      </x:c>
      <x:c r="G2628" s="6" t="str">
        <x:v>Pingshui main list, Wikisource-derived DOCX</x:v>
      </x:c>
      <x:c r="H2628" s="6" t="str">
        <x:v>1</x:v>
      </x:c>
      <x:c r="I2628" s="6" t="str"/>
      <x:c r="J2628" s="6" t="str">
        <x:f>IF(B2628="","",IF(AND(ISNUMBER(SEARCH("平",B2628)),OR(ISNUMBER(SEARCH("上",B2628)),ISNUMBER(SEARCH("去",B2628)),ISNUMBER(SEARCH("入",B2628)))),"Ambiguous",IF(ISNUMBER(SEARCH("平",B2628)),"平","仄")))</x:f>
        <x:v>仄</x:v>
      </x:c>
      <x:c r="K2628" s="6" t="str">
        <x:f>IF(D2628="","",IF(AND(ISNUMBER(SEARCH("平",D2628)),OR(ISNUMBER(SEARCH("上",D2628)),ISNUMBER(SEARCH("去",D2628)),ISNUMBER(SEARCH("入",D2628)))),"Ambiguous",IF(ISNUMBER(SEARCH("平",D2628)),"平","仄")))</x:f>
        <x:v>仄</x:v>
      </x:c>
      <x:c r="L2628" s="7" t="str"/>
    </x:row>
    <x:row r="2629">
      <x:c r="A2629" s="5" t="str">
        <x:v>疋</x:v>
      </x:c>
      <x:c r="B2629" s="6" t="str">
        <x:v>平</x:v>
      </x:c>
      <x:c r="C2629" s="6" t="str">
        <x:f>IF(B2629="","Needs decision","Ready")</x:f>
        <x:v>Ready</x:v>
      </x:c>
      <x:c r="D2629" s="6" t="str">
        <x:v>平</x:v>
      </x:c>
      <x:c r="E2629" s="6" t="str">
        <x:v>srjo (A)</x:v>
      </x:c>
      <x:c r="F2629" s="6" t="str">
        <x:v>上平聲六魚; 上聲二十一馬</x:v>
      </x:c>
      <x:c r="G2629" s="6" t="str">
        <x:v>Pingshui main list, Wikisource-derived DOCX</x:v>
      </x:c>
      <x:c r="H2629" s="6" t="str">
        <x:v>1</x:v>
      </x:c>
      <x:c r="I2629" s="6" t="str"/>
      <x:c r="J2629" s="6" t="str">
        <x:f>IF(B2629="","",IF(AND(ISNUMBER(SEARCH("平",B2629)),OR(ISNUMBER(SEARCH("上",B2629)),ISNUMBER(SEARCH("去",B2629)),ISNUMBER(SEARCH("入",B2629)))),"Ambiguous",IF(ISNUMBER(SEARCH("平",B2629)),"平","仄")))</x:f>
        <x:v>平</x:v>
      </x:c>
      <x:c r="K2629" s="6" t="str">
        <x:f>IF(D2629="","",IF(AND(ISNUMBER(SEARCH("平",D2629)),OR(ISNUMBER(SEARCH("上",D2629)),ISNUMBER(SEARCH("去",D2629)),ISNUMBER(SEARCH("入",D2629)))),"Ambiguous",IF(ISNUMBER(SEARCH("平",D2629)),"平","仄")))</x:f>
        <x:v>平</x:v>
      </x:c>
      <x:c r="L2629" s="7" t="str"/>
    </x:row>
    <x:row r="2630">
      <x:c r="A2630" s="5" t="str">
        <x:v>疎</x:v>
      </x:c>
      <x:c r="B2630" s="6" t="str">
        <x:v>平</x:v>
      </x:c>
      <x:c r="C2630" s="6" t="str">
        <x:f>IF(B2630="","Needs decision","Ready")</x:f>
        <x:v>Ready</x:v>
      </x:c>
      <x:c r="D2630" s="6" t="str">
        <x:v>平</x:v>
      </x:c>
      <x:c r="E2630" s="6" t="str">
        <x:v>srjo (A)</x:v>
      </x:c>
      <x:c r="F2630" s="6" t="str"/>
      <x:c r="G2630" s="6" t="str"/>
      <x:c r="H2630" s="6" t="str">
        <x:v>1</x:v>
      </x:c>
      <x:c r="I2630" s="6" t="str"/>
      <x:c r="J2630" s="6" t="str">
        <x:f>IF(B2630="","",IF(AND(ISNUMBER(SEARCH("平",B2630)),OR(ISNUMBER(SEARCH("上",B2630)),ISNUMBER(SEARCH("去",B2630)),ISNUMBER(SEARCH("入",B2630)))),"Ambiguous",IF(ISNUMBER(SEARCH("平",B2630)),"平","仄")))</x:f>
        <x:v>平</x:v>
      </x:c>
      <x:c r="K2630" s="6" t="str">
        <x:f>IF(D2630="","",IF(AND(ISNUMBER(SEARCH("平",D2630)),OR(ISNUMBER(SEARCH("上",D2630)),ISNUMBER(SEARCH("去",D2630)),ISNUMBER(SEARCH("入",D2630)))),"Ambiguous",IF(ISNUMBER(SEARCH("平",D2630)),"平","仄")))</x:f>
        <x:v>平</x:v>
      </x:c>
      <x:c r="L2630" s="7" t="str"/>
    </x:row>
    <x:row r="2631">
      <x:c r="A2631" s="5" t="str">
        <x:v>疏</x:v>
      </x:c>
      <x:c r="B2631" s="6" t="str">
        <x:v>平</x:v>
      </x:c>
      <x:c r="C2631" s="6" t="str">
        <x:f>IF(B2631="","Needs decision","Ready")</x:f>
        <x:v>Ready</x:v>
      </x:c>
      <x:c r="D2631" s="6" t="str">
        <x:v>平</x:v>
      </x:c>
      <x:c r="E2631" s="6" t="str">
        <x:v>srjo (A)</x:v>
      </x:c>
      <x:c r="F2631" s="6" t="str">
        <x:v>上平聲六魚; 去聲六御</x:v>
      </x:c>
      <x:c r="G2631" s="6" t="str">
        <x:v>Pingshui main list, Wikisource-derived DOCX</x:v>
      </x:c>
      <x:c r="H2631" s="6" t="str">
        <x:v>1</x:v>
      </x:c>
      <x:c r="I2631" s="6" t="str"/>
      <x:c r="J2631" s="6" t="str">
        <x:f>IF(B2631="","",IF(AND(ISNUMBER(SEARCH("平",B2631)),OR(ISNUMBER(SEARCH("上",B2631)),ISNUMBER(SEARCH("去",B2631)),ISNUMBER(SEARCH("入",B2631)))),"Ambiguous",IF(ISNUMBER(SEARCH("平",B2631)),"平","仄")))</x:f>
        <x:v>平</x:v>
      </x:c>
      <x:c r="K2631" s="6" t="str">
        <x:f>IF(D2631="","",IF(AND(ISNUMBER(SEARCH("平",D2631)),OR(ISNUMBER(SEARCH("上",D2631)),ISNUMBER(SEARCH("去",D2631)),ISNUMBER(SEARCH("入",D2631)))),"Ambiguous",IF(ISNUMBER(SEARCH("平",D2631)),"平","仄")))</x:f>
        <x:v>平</x:v>
      </x:c>
      <x:c r="L2631" s="7" t="str"/>
    </x:row>
    <x:row r="2632">
      <x:c r="A2632" s="5" t="str">
        <x:v>疐</x:v>
      </x:c>
      <x:c r="B2632" s="6" t="str">
        <x:v>去</x:v>
      </x:c>
      <x:c r="C2632" s="6" t="str">
        <x:f>IF(B2632="","Needs decision","Ready")</x:f>
        <x:v>Ready</x:v>
      </x:c>
      <x:c r="D2632" s="6" t="str">
        <x:v>去</x:v>
      </x:c>
      <x:c r="E2632" s="6" t="str">
        <x:v>trijH (C)</x:v>
      </x:c>
      <x:c r="F2632" s="6" t="str">
        <x:v>去聲四寘</x:v>
      </x:c>
      <x:c r="G2632" s="6" t="str">
        <x:v>Pingshui main list, Wikisource-derived DOCX</x:v>
      </x:c>
      <x:c r="H2632" s="6" t="str">
        <x:v>1</x:v>
      </x:c>
      <x:c r="I2632" s="6" t="str"/>
      <x:c r="J2632" s="6" t="str">
        <x:f>IF(B2632="","",IF(AND(ISNUMBER(SEARCH("平",B2632)),OR(ISNUMBER(SEARCH("上",B2632)),ISNUMBER(SEARCH("去",B2632)),ISNUMBER(SEARCH("入",B2632)))),"Ambiguous",IF(ISNUMBER(SEARCH("平",B2632)),"平","仄")))</x:f>
        <x:v>仄</x:v>
      </x:c>
      <x:c r="K2632" s="6" t="str">
        <x:f>IF(D2632="","",IF(AND(ISNUMBER(SEARCH("平",D2632)),OR(ISNUMBER(SEARCH("上",D2632)),ISNUMBER(SEARCH("去",D2632)),ISNUMBER(SEARCH("入",D2632)))),"Ambiguous",IF(ISNUMBER(SEARCH("平",D2632)),"平","仄")))</x:f>
        <x:v>仄</x:v>
      </x:c>
      <x:c r="L2632" s="7" t="str"/>
    </x:row>
    <x:row r="2633">
      <x:c r="A2633" s="5" t="str">
        <x:v>疑</x:v>
      </x:c>
      <x:c r="B2633" s="6" t="str">
        <x:v>平</x:v>
      </x:c>
      <x:c r="C2633" s="6" t="str">
        <x:f>IF(B2633="","Needs decision","Ready")</x:f>
        <x:v>Ready</x:v>
      </x:c>
      <x:c r="D2633" s="6" t="str">
        <x:v>平</x:v>
      </x:c>
      <x:c r="E2633" s="6" t="str">
        <x:v>ngi (A)</x:v>
      </x:c>
      <x:c r="F2633" s="6" t="str">
        <x:v>上平聲四支</x:v>
      </x:c>
      <x:c r="G2633" s="6" t="str">
        <x:v>Pingshui main list, Wikisource-derived DOCX</x:v>
      </x:c>
      <x:c r="H2633" s="6" t="str">
        <x:v>1</x:v>
      </x:c>
      <x:c r="I2633" s="6" t="str"/>
      <x:c r="J2633" s="6" t="str">
        <x:f>IF(B2633="","",IF(AND(ISNUMBER(SEARCH("平",B2633)),OR(ISNUMBER(SEARCH("上",B2633)),ISNUMBER(SEARCH("去",B2633)),ISNUMBER(SEARCH("入",B2633)))),"Ambiguous",IF(ISNUMBER(SEARCH("平",B2633)),"平","仄")))</x:f>
        <x:v>平</x:v>
      </x:c>
      <x:c r="K2633" s="6" t="str">
        <x:f>IF(D2633="","",IF(AND(ISNUMBER(SEARCH("平",D2633)),OR(ISNUMBER(SEARCH("上",D2633)),ISNUMBER(SEARCH("去",D2633)),ISNUMBER(SEARCH("入",D2633)))),"Ambiguous",IF(ISNUMBER(SEARCH("平",D2633)),"平","仄")))</x:f>
        <x:v>平</x:v>
      </x:c>
      <x:c r="L2633" s="7" t="str"/>
    </x:row>
    <x:row r="2634">
      <x:c r="A2634" s="5" t="str">
        <x:v>疚</x:v>
      </x:c>
      <x:c r="B2634" s="6" t="str">
        <x:v>去</x:v>
      </x:c>
      <x:c r="C2634" s="6" t="str">
        <x:f>IF(B2634="","Needs decision","Ready")</x:f>
        <x:v>Ready</x:v>
      </x:c>
      <x:c r="D2634" s="6" t="str">
        <x:v>去</x:v>
      </x:c>
      <x:c r="E2634" s="6" t="str">
        <x:v>kjuwH [見三C尤去] kɨ̯uh</x:v>
      </x:c>
      <x:c r="F2634" s="6" t="str">
        <x:v>去聲二十六宥</x:v>
      </x:c>
      <x:c r="G2634" s="6" t="str">
        <x:v>Pingshui main list, Wikisource-derived DOCX</x:v>
      </x:c>
      <x:c r="H2634" s="6" t="str">
        <x:v>1</x:v>
      </x:c>
      <x:c r="I2634" s="6" t="str">
        <x:v>Targeted preliminary fill from Xun Gong; review if uncertain</x:v>
      </x:c>
      <x:c r="J2634" s="6" t="str">
        <x:f>IF(B2634="","",IF(AND(ISNUMBER(SEARCH("平",B2634)),OR(ISNUMBER(SEARCH("上",B2634)),ISNUMBER(SEARCH("去",B2634)),ISNUMBER(SEARCH("入",B2634)))),"Ambiguous",IF(ISNUMBER(SEARCH("平",B2634)),"平","仄")))</x:f>
        <x:v>仄</x:v>
      </x:c>
      <x:c r="K2634" s="6" t="str">
        <x:f>IF(D2634="","",IF(AND(ISNUMBER(SEARCH("平",D2634)),OR(ISNUMBER(SEARCH("上",D2634)),ISNUMBER(SEARCH("去",D2634)),ISNUMBER(SEARCH("入",D2634)))),"Ambiguous",IF(ISNUMBER(SEARCH("平",D2634)),"平","仄")))</x:f>
        <x:v>仄</x:v>
      </x:c>
      <x:c r="L2634" s="7" t="str">
        <x:v>Xun Gong character-readings.csv</x:v>
      </x:c>
    </x:row>
    <x:row r="2635">
      <x:c r="A2635" s="5" t="str">
        <x:v>疛</x:v>
      </x:c>
      <x:c r="B2635" s="6" t="str">
        <x:v>上</x:v>
      </x:c>
      <x:c r="C2635" s="6" t="str">
        <x:f>IF(B2635="","Needs decision","Ready")</x:f>
        <x:v>Ready</x:v>
      </x:c>
      <x:c r="D2635" s="6" t="str">
        <x:v>上</x:v>
      </x:c>
      <x:c r="E2635" s="6" t="str">
        <x:v>trjuwX (B)</x:v>
      </x:c>
      <x:c r="F2635" s="6" t="str"/>
      <x:c r="G2635" s="6" t="str"/>
      <x:c r="H2635" s="6" t="str">
        <x:v>1</x:v>
      </x:c>
      <x:c r="I2635" s="6" t="str"/>
      <x:c r="J2635" s="6" t="str">
        <x:f>IF(B2635="","",IF(AND(ISNUMBER(SEARCH("平",B2635)),OR(ISNUMBER(SEARCH("上",B2635)),ISNUMBER(SEARCH("去",B2635)),ISNUMBER(SEARCH("入",B2635)))),"Ambiguous",IF(ISNUMBER(SEARCH("平",B2635)),"平","仄")))</x:f>
        <x:v>仄</x:v>
      </x:c>
      <x:c r="K2635" s="6" t="str">
        <x:f>IF(D2635="","",IF(AND(ISNUMBER(SEARCH("平",D2635)),OR(ISNUMBER(SEARCH("上",D2635)),ISNUMBER(SEARCH("去",D2635)),ISNUMBER(SEARCH("入",D2635)))),"Ambiguous",IF(ISNUMBER(SEARCH("平",D2635)),"平","仄")))</x:f>
        <x:v>仄</x:v>
      </x:c>
      <x:c r="L2635" s="7" t="str"/>
    </x:row>
    <x:row r="2636">
      <x:c r="A2636" s="5" t="str">
        <x:v>疥</x:v>
      </x:c>
      <x:c r="B2636" s="6" t="str">
        <x:v>去</x:v>
      </x:c>
      <x:c r="C2636" s="6" t="str">
        <x:f>IF(B2636="","Needs decision","Ready")</x:f>
        <x:v>Ready</x:v>
      </x:c>
      <x:c r="D2636" s="6" t="str">
        <x:v>去</x:v>
      </x:c>
      <x:c r="E2636" s="6" t="str">
        <x:v>keajH (C)</x:v>
      </x:c>
      <x:c r="F2636" s="6" t="str">
        <x:v>去聲十卦</x:v>
      </x:c>
      <x:c r="G2636" s="6" t="str">
        <x:v>Pingshui main list, Wikisource-derived DOCX</x:v>
      </x:c>
      <x:c r="H2636" s="6" t="str">
        <x:v>1</x:v>
      </x:c>
      <x:c r="I2636" s="6" t="str"/>
      <x:c r="J2636" s="6" t="str">
        <x:f>IF(B2636="","",IF(AND(ISNUMBER(SEARCH("平",B2636)),OR(ISNUMBER(SEARCH("上",B2636)),ISNUMBER(SEARCH("去",B2636)),ISNUMBER(SEARCH("入",B2636)))),"Ambiguous",IF(ISNUMBER(SEARCH("平",B2636)),"平","仄")))</x:f>
        <x:v>仄</x:v>
      </x:c>
      <x:c r="K2636" s="6" t="str">
        <x:f>IF(D2636="","",IF(AND(ISNUMBER(SEARCH("平",D2636)),OR(ISNUMBER(SEARCH("上",D2636)),ISNUMBER(SEARCH("去",D2636)),ISNUMBER(SEARCH("入",D2636)))),"Ambiguous",IF(ISNUMBER(SEARCH("平",D2636)),"平","仄")))</x:f>
        <x:v>仄</x:v>
      </x:c>
      <x:c r="L2636" s="7" t="str"/>
    </x:row>
    <x:row r="2637">
      <x:c r="A2637" s="5" t="str">
        <x:v>疫</x:v>
      </x:c>
      <x:c r="B2637" s="6" t="str">
        <x:v>入</x:v>
      </x:c>
      <x:c r="C2637" s="6" t="str">
        <x:f>IF(B2637="","Needs decision","Ready")</x:f>
        <x:v>Ready</x:v>
      </x:c>
      <x:c r="D2637" s="6" t="str">
        <x:v>入</x:v>
      </x:c>
      <x:c r="E2637" s="6" t="str">
        <x:v>ywek (D)</x:v>
      </x:c>
      <x:c r="F2637" s="6" t="str">
        <x:v>入聲十一陌</x:v>
      </x:c>
      <x:c r="G2637" s="6" t="str">
        <x:v>Pingshui main list, Wikisource-derived DOCX</x:v>
      </x:c>
      <x:c r="H2637" s="6" t="str">
        <x:v>1</x:v>
      </x:c>
      <x:c r="I2637" s="6" t="str"/>
      <x:c r="J2637" s="6" t="str">
        <x:f>IF(B2637="","",IF(AND(ISNUMBER(SEARCH("平",B2637)),OR(ISNUMBER(SEARCH("上",B2637)),ISNUMBER(SEARCH("去",B2637)),ISNUMBER(SEARCH("入",B2637)))),"Ambiguous",IF(ISNUMBER(SEARCH("平",B2637)),"平","仄")))</x:f>
        <x:v>仄</x:v>
      </x:c>
      <x:c r="K2637" s="6" t="str">
        <x:f>IF(D2637="","",IF(AND(ISNUMBER(SEARCH("平",D2637)),OR(ISNUMBER(SEARCH("上",D2637)),ISNUMBER(SEARCH("去",D2637)),ISNUMBER(SEARCH("入",D2637)))),"Ambiguous",IF(ISNUMBER(SEARCH("平",D2637)),"平","仄")))</x:f>
        <x:v>仄</x:v>
      </x:c>
      <x:c r="L2637" s="7" t="str"/>
    </x:row>
    <x:row r="2638">
      <x:c r="A2638" s="5" t="str">
        <x:v>疲</x:v>
      </x:c>
      <x:c r="B2638" s="6" t="str">
        <x:v>平</x:v>
      </x:c>
      <x:c r="C2638" s="6" t="str">
        <x:f>IF(B2638="","Needs decision","Ready")</x:f>
        <x:v>Ready</x:v>
      </x:c>
      <x:c r="D2638" s="6" t="str">
        <x:v>平</x:v>
      </x:c>
      <x:c r="E2638" s="6" t="str">
        <x:v>bje (A)</x:v>
      </x:c>
      <x:c r="F2638" s="6" t="str">
        <x:v>上平聲四支</x:v>
      </x:c>
      <x:c r="G2638" s="6" t="str">
        <x:v>Pingshui main list, Wikisource-derived DOCX</x:v>
      </x:c>
      <x:c r="H2638" s="6" t="str">
        <x:v>1</x:v>
      </x:c>
      <x:c r="I2638" s="6" t="str"/>
      <x:c r="J2638" s="6" t="str">
        <x:f>IF(B2638="","",IF(AND(ISNUMBER(SEARCH("平",B2638)),OR(ISNUMBER(SEARCH("上",B2638)),ISNUMBER(SEARCH("去",B2638)),ISNUMBER(SEARCH("入",B2638)))),"Ambiguous",IF(ISNUMBER(SEARCH("平",B2638)),"平","仄")))</x:f>
        <x:v>平</x:v>
      </x:c>
      <x:c r="K2638" s="6" t="str">
        <x:f>IF(D2638="","",IF(AND(ISNUMBER(SEARCH("平",D2638)),OR(ISNUMBER(SEARCH("上",D2638)),ISNUMBER(SEARCH("去",D2638)),ISNUMBER(SEARCH("入",D2638)))),"Ambiguous",IF(ISNUMBER(SEARCH("平",D2638)),"平","仄")))</x:f>
        <x:v>平</x:v>
      </x:c>
      <x:c r="L2638" s="7" t="str"/>
    </x:row>
    <x:row r="2639">
      <x:c r="A2639" s="5" t="str">
        <x:v>疹</x:v>
      </x:c>
      <x:c r="B2639" s="6" t="str">
        <x:v>去</x:v>
      </x:c>
      <x:c r="C2639" s="6" t="str">
        <x:f>IF(B2639="","Needs decision","Ready")</x:f>
        <x:v>Ready</x:v>
      </x:c>
      <x:c r="D2639" s="6" t="str">
        <x:v>去</x:v>
      </x:c>
      <x:c r="E2639" s="6" t="str">
        <x:v>trhinH (C)</x:v>
      </x:c>
      <x:c r="F2639" s="6" t="str"/>
      <x:c r="G2639" s="6" t="str"/>
      <x:c r="H2639" s="6" t="str">
        <x:v>1</x:v>
      </x:c>
      <x:c r="I2639" s="6" t="str"/>
      <x:c r="J2639" s="6" t="str">
        <x:f>IF(B2639="","",IF(AND(ISNUMBER(SEARCH("平",B2639)),OR(ISNUMBER(SEARCH("上",B2639)),ISNUMBER(SEARCH("去",B2639)),ISNUMBER(SEARCH("入",B2639)))),"Ambiguous",IF(ISNUMBER(SEARCH("平",B2639)),"平","仄")))</x:f>
        <x:v>仄</x:v>
      </x:c>
      <x:c r="K2639" s="6" t="str">
        <x:f>IF(D2639="","",IF(AND(ISNUMBER(SEARCH("平",D2639)),OR(ISNUMBER(SEARCH("上",D2639)),ISNUMBER(SEARCH("去",D2639)),ISNUMBER(SEARCH("入",D2639)))),"Ambiguous",IF(ISNUMBER(SEARCH("平",D2639)),"平","仄")))</x:f>
        <x:v>仄</x:v>
      </x:c>
      <x:c r="L2639" s="7" t="str"/>
    </x:row>
    <x:row r="2640">
      <x:c r="A2640" s="5" t="str">
        <x:v>疾</x:v>
      </x:c>
      <x:c r="B2640" s="6" t="str">
        <x:v>入</x:v>
      </x:c>
      <x:c r="C2640" s="6" t="str">
        <x:f>IF(B2640="","Needs decision","Ready")</x:f>
        <x:v>Ready</x:v>
      </x:c>
      <x:c r="D2640" s="6" t="str">
        <x:v>入</x:v>
      </x:c>
      <x:c r="E2640" s="6" t="str">
        <x:v>dzit (D)</x:v>
      </x:c>
      <x:c r="F2640" s="6" t="str">
        <x:v>入聲四質</x:v>
      </x:c>
      <x:c r="G2640" s="6" t="str">
        <x:v>Pingshui main list, Wikisource-derived DOCX</x:v>
      </x:c>
      <x:c r="H2640" s="6" t="str">
        <x:v>1</x:v>
      </x:c>
      <x:c r="I2640" s="6" t="str"/>
      <x:c r="J2640" s="6" t="str">
        <x:f>IF(B2640="","",IF(AND(ISNUMBER(SEARCH("平",B2640)),OR(ISNUMBER(SEARCH("上",B2640)),ISNUMBER(SEARCH("去",B2640)),ISNUMBER(SEARCH("入",B2640)))),"Ambiguous",IF(ISNUMBER(SEARCH("平",B2640)),"平","仄")))</x:f>
        <x:v>仄</x:v>
      </x:c>
      <x:c r="K2640" s="6" t="str">
        <x:f>IF(D2640="","",IF(AND(ISNUMBER(SEARCH("平",D2640)),OR(ISNUMBER(SEARCH("上",D2640)),ISNUMBER(SEARCH("去",D2640)),ISNUMBER(SEARCH("入",D2640)))),"Ambiguous",IF(ISNUMBER(SEARCH("平",D2640)),"平","仄")))</x:f>
        <x:v>仄</x:v>
      </x:c>
      <x:c r="L2640" s="7" t="str"/>
    </x:row>
    <x:row r="2641">
      <x:c r="A2641" s="5" t="str">
        <x:v>疿</x:v>
      </x:c>
      <x:c r="B2641" s="6" t="str">
        <x:v>去</x:v>
      </x:c>
      <x:c r="C2641" s="6" t="str">
        <x:f>IF(B2641="","Needs decision","Ready")</x:f>
        <x:v>Ready</x:v>
      </x:c>
      <x:c r="D2641" s="6" t="str">
        <x:v>去</x:v>
      </x:c>
      <x:c r="E2641" s="6" t="str">
        <x:v>pj+jH (C)</x:v>
      </x:c>
      <x:c r="F2641" s="6" t="str">
        <x:v>去聲五未</x:v>
      </x:c>
      <x:c r="G2641" s="6" t="str">
        <x:v>Pingshui main list, Wikisource-derived DOCX</x:v>
      </x:c>
      <x:c r="H2641" s="6" t="str">
        <x:v>1</x:v>
      </x:c>
      <x:c r="I2641" s="6" t="str"/>
      <x:c r="J2641" s="6" t="str">
        <x:f>IF(B2641="","",IF(AND(ISNUMBER(SEARCH("平",B2641)),OR(ISNUMBER(SEARCH("上",B2641)),ISNUMBER(SEARCH("去",B2641)),ISNUMBER(SEARCH("入",B2641)))),"Ambiguous",IF(ISNUMBER(SEARCH("平",B2641)),"平","仄")))</x:f>
        <x:v>仄</x:v>
      </x:c>
      <x:c r="K2641" s="6" t="str">
        <x:f>IF(D2641="","",IF(AND(ISNUMBER(SEARCH("平",D2641)),OR(ISNUMBER(SEARCH("上",D2641)),ISNUMBER(SEARCH("去",D2641)),ISNUMBER(SEARCH("入",D2641)))),"Ambiguous",IF(ISNUMBER(SEARCH("平",D2641)),"平","仄")))</x:f>
        <x:v>仄</x:v>
      </x:c>
      <x:c r="L2641" s="7" t="str"/>
    </x:row>
    <x:row r="2642">
      <x:c r="A2642" s="5" t="str">
        <x:v>病</x:v>
      </x:c>
      <x:c r="B2642" s="6" t="str">
        <x:v>去</x:v>
      </x:c>
      <x:c r="C2642" s="6" t="str">
        <x:f>IF(B2642="","Needs decision","Ready")</x:f>
        <x:v>Ready</x:v>
      </x:c>
      <x:c r="D2642" s="6" t="str">
        <x:v>去</x:v>
      </x:c>
      <x:c r="E2642" s="6" t="str">
        <x:v>bjaengH (C)</x:v>
      </x:c>
      <x:c r="F2642" s="6" t="str">
        <x:v>去聲二十四敬</x:v>
      </x:c>
      <x:c r="G2642" s="6" t="str">
        <x:v>Pingshui main list, Wikisource-derived DOCX</x:v>
      </x:c>
      <x:c r="H2642" s="6" t="str">
        <x:v>1</x:v>
      </x:c>
      <x:c r="I2642" s="6" t="str"/>
      <x:c r="J2642" s="6" t="str">
        <x:f>IF(B2642="","",IF(AND(ISNUMBER(SEARCH("平",B2642)),OR(ISNUMBER(SEARCH("上",B2642)),ISNUMBER(SEARCH("去",B2642)),ISNUMBER(SEARCH("入",B2642)))),"Ambiguous",IF(ISNUMBER(SEARCH("平",B2642)),"平","仄")))</x:f>
        <x:v>仄</x:v>
      </x:c>
      <x:c r="K2642" s="6" t="str">
        <x:f>IF(D2642="","",IF(AND(ISNUMBER(SEARCH("平",D2642)),OR(ISNUMBER(SEARCH("上",D2642)),ISNUMBER(SEARCH("去",D2642)),ISNUMBER(SEARCH("入",D2642)))),"Ambiguous",IF(ISNUMBER(SEARCH("平",D2642)),"平","仄")))</x:f>
        <x:v>仄</x:v>
      </x:c>
      <x:c r="L2642" s="7" t="str"/>
    </x:row>
    <x:row r="2643">
      <x:c r="A2643" s="5" t="str">
        <x:v>痒</x:v>
      </x:c>
      <x:c r="B2643" s="6" t="str">
        <x:v>平</x:v>
      </x:c>
      <x:c r="C2643" s="6" t="str">
        <x:f>IF(B2643="","Needs decision","Ready")</x:f>
        <x:v>Ready</x:v>
      </x:c>
      <x:c r="D2643" s="6" t="str">
        <x:v>平</x:v>
      </x:c>
      <x:c r="E2643" s="6" t="str">
        <x:v>yang (A); zjang (A)</x:v>
      </x:c>
      <x:c r="F2643" s="6" t="str"/>
      <x:c r="G2643" s="6" t="str"/>
      <x:c r="H2643" s="6" t="str">
        <x:v>2</x:v>
      </x:c>
      <x:c r="I2643" s="6" t="str"/>
      <x:c r="J2643" s="6" t="str">
        <x:f>IF(B2643="","",IF(AND(ISNUMBER(SEARCH("平",B2643)),OR(ISNUMBER(SEARCH("上",B2643)),ISNUMBER(SEARCH("去",B2643)),ISNUMBER(SEARCH("入",B2643)))),"Ambiguous",IF(ISNUMBER(SEARCH("平",B2643)),"平","仄")))</x:f>
        <x:v>平</x:v>
      </x:c>
      <x:c r="K2643" s="6" t="str">
        <x:f>IF(D2643="","",IF(AND(ISNUMBER(SEARCH("平",D2643)),OR(ISNUMBER(SEARCH("上",D2643)),ISNUMBER(SEARCH("去",D2643)),ISNUMBER(SEARCH("入",D2643)))),"Ambiguous",IF(ISNUMBER(SEARCH("平",D2643)),"平","仄")))</x:f>
        <x:v>平</x:v>
      </x:c>
      <x:c r="L2643" s="7" t="str"/>
    </x:row>
    <x:row r="2644">
      <x:c r="A2644" s="5" t="str">
        <x:v>痕</x:v>
      </x:c>
      <x:c r="B2644" s="6" t="str">
        <x:v>平</x:v>
      </x:c>
      <x:c r="C2644" s="6" t="str">
        <x:f>IF(B2644="","Needs decision","Ready")</x:f>
        <x:v>Ready</x:v>
      </x:c>
      <x:c r="D2644" s="6" t="str">
        <x:v>平</x:v>
      </x:c>
      <x:c r="E2644" s="6" t="str">
        <x:v>hon [ʁən] (平)</x:v>
      </x:c>
      <x:c r="F2644" s="6" t="str">
        <x:v>上平聲十三元</x:v>
      </x:c>
      <x:c r="G2644" s="6" t="str">
        <x:v>Pingshui main list, Wikisource-derived DOCX</x:v>
      </x:c>
      <x:c r="H2644" s="6" t="str">
        <x:v>1</x:v>
      </x:c>
      <x:c r="I2644" s="6" t="str">
        <x:v>Tang 300 gap; frequency 5; provisional from Xun Gong</x:v>
      </x:c>
      <x:c r="J2644" s="6" t="str">
        <x:f>IF(B2644="","",IF(AND(ISNUMBER(SEARCH("平",B2644)),OR(ISNUMBER(SEARCH("上",B2644)),ISNUMBER(SEARCH("去",B2644)),ISNUMBER(SEARCH("入",B2644)))),"Ambiguous",IF(ISNUMBER(SEARCH("平",B2644)),"平","仄")))</x:f>
        <x:v>平</x:v>
      </x:c>
      <x:c r="K2644" s="6" t="str">
        <x:f>IF(D2644="","",IF(AND(ISNUMBER(SEARCH("平",D2644)),OR(ISNUMBER(SEARCH("上",D2644)),ISNUMBER(SEARCH("去",D2644)),ISNUMBER(SEARCH("入",D2644)))),"Ambiguous",IF(ISNUMBER(SEARCH("平",D2644)),"平","仄")))</x:f>
        <x:v>平</x:v>
      </x:c>
      <x:c r="L2644" s="7" t="str">
        <x:v>Xun Gong, Tang 300 gap fill</x:v>
      </x:c>
    </x:row>
    <x:row r="2645">
      <x:c r="A2645" s="5" t="str">
        <x:v>痛</x:v>
      </x:c>
      <x:c r="B2645" s="6" t="str">
        <x:v>去</x:v>
      </x:c>
      <x:c r="C2645" s="6" t="str">
        <x:f>IF(B2645="","Needs decision","Ready")</x:f>
        <x:v>Ready</x:v>
      </x:c>
      <x:c r="D2645" s="6" t="str">
        <x:v>去</x:v>
      </x:c>
      <x:c r="E2645" s="6" t="str">
        <x:v>thuwngH (C)</x:v>
      </x:c>
      <x:c r="F2645" s="6" t="str">
        <x:v>去聲一送</x:v>
      </x:c>
      <x:c r="G2645" s="6" t="str">
        <x:v>Pingshui main list, Wikisource-derived DOCX</x:v>
      </x:c>
      <x:c r="H2645" s="6" t="str">
        <x:v>1</x:v>
      </x:c>
      <x:c r="I2645" s="6" t="str"/>
      <x:c r="J2645" s="6" t="str">
        <x:f>IF(B2645="","",IF(AND(ISNUMBER(SEARCH("平",B2645)),OR(ISNUMBER(SEARCH("上",B2645)),ISNUMBER(SEARCH("去",B2645)),ISNUMBER(SEARCH("入",B2645)))),"Ambiguous",IF(ISNUMBER(SEARCH("平",B2645)),"平","仄")))</x:f>
        <x:v>仄</x:v>
      </x:c>
      <x:c r="K2645" s="6" t="str">
        <x:f>IF(D2645="","",IF(AND(ISNUMBER(SEARCH("平",D2645)),OR(ISNUMBER(SEARCH("上",D2645)),ISNUMBER(SEARCH("去",D2645)),ISNUMBER(SEARCH("入",D2645)))),"Ambiguous",IF(ISNUMBER(SEARCH("平",D2645)),"平","仄")))</x:f>
        <x:v>仄</x:v>
      </x:c>
      <x:c r="L2645" s="7" t="str"/>
    </x:row>
    <x:row r="2646">
      <x:c r="A2646" s="5" t="str">
        <x:v>痡</x:v>
      </x:c>
      <x:c r="B2646" s="6" t="str">
        <x:v>平</x:v>
      </x:c>
      <x:c r="C2646" s="6" t="str">
        <x:f>IF(B2646="","Needs decision","Ready")</x:f>
        <x:v>Ready</x:v>
      </x:c>
      <x:c r="D2646" s="6" t="str">
        <x:v>平</x:v>
      </x:c>
      <x:c r="E2646" s="6" t="str">
        <x:v>phju (A); phu (A)</x:v>
      </x:c>
      <x:c r="F2646" s="6" t="str">
        <x:v>上平聲七虞</x:v>
      </x:c>
      <x:c r="G2646" s="6" t="str">
        <x:v>Pingshui main list, Wikisource-derived DOCX</x:v>
      </x:c>
      <x:c r="H2646" s="6" t="str">
        <x:v>2</x:v>
      </x:c>
      <x:c r="I2646" s="6" t="str"/>
      <x:c r="J2646" s="6" t="str">
        <x:f>IF(B2646="","",IF(AND(ISNUMBER(SEARCH("平",B2646)),OR(ISNUMBER(SEARCH("上",B2646)),ISNUMBER(SEARCH("去",B2646)),ISNUMBER(SEARCH("入",B2646)))),"Ambiguous",IF(ISNUMBER(SEARCH("平",B2646)),"平","仄")))</x:f>
        <x:v>平</x:v>
      </x:c>
      <x:c r="K2646" s="6" t="str">
        <x:f>IF(D2646="","",IF(AND(ISNUMBER(SEARCH("平",D2646)),OR(ISNUMBER(SEARCH("上",D2646)),ISNUMBER(SEARCH("去",D2646)),ISNUMBER(SEARCH("入",D2646)))),"Ambiguous",IF(ISNUMBER(SEARCH("平",D2646)),"平","仄")))</x:f>
        <x:v>平</x:v>
      </x:c>
      <x:c r="L2646" s="7" t="str"/>
    </x:row>
    <x:row r="2647">
      <x:c r="A2647" s="5" t="str">
        <x:v>痯</x:v>
      </x:c>
      <x:c r="B2647" s="6" t="str">
        <x:v>上</x:v>
      </x:c>
      <x:c r="C2647" s="6" t="str">
        <x:f>IF(B2647="","Needs decision","Ready")</x:f>
        <x:v>Ready</x:v>
      </x:c>
      <x:c r="D2647" s="6" t="str">
        <x:v>上</x:v>
      </x:c>
      <x:c r="E2647" s="6" t="str">
        <x:v>kwanX (B)</x:v>
      </x:c>
      <x:c r="F2647" s="6" t="str">
        <x:v>上聲十四旱</x:v>
      </x:c>
      <x:c r="G2647" s="6" t="str">
        <x:v>Pingshui main list, Wikisource-derived DOCX</x:v>
      </x:c>
      <x:c r="H2647" s="6" t="str">
        <x:v>1</x:v>
      </x:c>
      <x:c r="I2647" s="6" t="str"/>
      <x:c r="J2647" s="6" t="str">
        <x:f>IF(B2647="","",IF(AND(ISNUMBER(SEARCH("平",B2647)),OR(ISNUMBER(SEARCH("上",B2647)),ISNUMBER(SEARCH("去",B2647)),ISNUMBER(SEARCH("入",B2647)))),"Ambiguous",IF(ISNUMBER(SEARCH("平",B2647)),"平","仄")))</x:f>
        <x:v>仄</x:v>
      </x:c>
      <x:c r="K2647" s="6" t="str">
        <x:f>IF(D2647="","",IF(AND(ISNUMBER(SEARCH("平",D2647)),OR(ISNUMBER(SEARCH("上",D2647)),ISNUMBER(SEARCH("去",D2647)),ISNUMBER(SEARCH("入",D2647)))),"Ambiguous",IF(ISNUMBER(SEARCH("平",D2647)),"平","仄")))</x:f>
        <x:v>仄</x:v>
      </x:c>
      <x:c r="L2647" s="7" t="str"/>
    </x:row>
    <x:row r="2648">
      <x:c r="A2648" s="5" t="str">
        <x:v>痼</x:v>
      </x:c>
      <x:c r="B2648" s="6" t="str">
        <x:v>去</x:v>
      </x:c>
      <x:c r="C2648" s="6" t="str">
        <x:f>IF(B2648="","Needs decision","Ready")</x:f>
        <x:v>Ready</x:v>
      </x:c>
      <x:c r="D2648" s="6" t="str">
        <x:v>去</x:v>
      </x:c>
      <x:c r="E2648" s="6" t="str">
        <x:v>kuH (C)</x:v>
      </x:c>
      <x:c r="F2648" s="6" t="str">
        <x:v>去聲七遇</x:v>
      </x:c>
      <x:c r="G2648" s="6" t="str">
        <x:v>Pingshui main list, Wikisource-derived DOCX</x:v>
      </x:c>
      <x:c r="H2648" s="6" t="str">
        <x:v>1</x:v>
      </x:c>
      <x:c r="I2648" s="6" t="str"/>
      <x:c r="J2648" s="6" t="str">
        <x:f>IF(B2648="","",IF(AND(ISNUMBER(SEARCH("平",B2648)),OR(ISNUMBER(SEARCH("上",B2648)),ISNUMBER(SEARCH("去",B2648)),ISNUMBER(SEARCH("入",B2648)))),"Ambiguous",IF(ISNUMBER(SEARCH("平",B2648)),"平","仄")))</x:f>
        <x:v>仄</x:v>
      </x:c>
      <x:c r="K2648" s="6" t="str">
        <x:f>IF(D2648="","",IF(AND(ISNUMBER(SEARCH("平",D2648)),OR(ISNUMBER(SEARCH("上",D2648)),ISNUMBER(SEARCH("去",D2648)),ISNUMBER(SEARCH("入",D2648)))),"Ambiguous",IF(ISNUMBER(SEARCH("平",D2648)),"平","仄")))</x:f>
        <x:v>仄</x:v>
      </x:c>
      <x:c r="L2648" s="7" t="str"/>
    </x:row>
    <x:row r="2649">
      <x:c r="A2649" s="5" t="str">
        <x:v>痾</x:v>
      </x:c>
      <x:c r="B2649" s="6" t="str">
        <x:v>平</x:v>
      </x:c>
      <x:c r="C2649" s="6" t="str">
        <x:f>IF(B2649="","Needs decision","Ready")</x:f>
        <x:v>Ready</x:v>
      </x:c>
      <x:c r="D2649" s="6" t="str">
        <x:v>平</x:v>
      </x:c>
      <x:c r="E2649" s="6" t="str">
        <x:v>'a [ʔ̙ɑ] (平)</x:v>
      </x:c>
      <x:c r="F2649" s="6" t="str">
        <x:v>下平聲五歌</x:v>
      </x:c>
      <x:c r="G2649" s="6" t="str">
        <x:v>Pingshui main list, Wikisource-derived DOCX</x:v>
      </x:c>
      <x:c r="H2649" s="6" t="str">
        <x:v>1</x:v>
      </x:c>
      <x:c r="I2649" s="6" t="str">
        <x:v>Tang 300 gap; frequency 1; provisional from Xun Gong</x:v>
      </x:c>
      <x:c r="J2649" s="6" t="str">
        <x:f>IF(B2649="","",IF(AND(ISNUMBER(SEARCH("平",B2649)),OR(ISNUMBER(SEARCH("上",B2649)),ISNUMBER(SEARCH("去",B2649)),ISNUMBER(SEARCH("入",B2649)))),"Ambiguous",IF(ISNUMBER(SEARCH("平",B2649)),"平","仄")))</x:f>
        <x:v>平</x:v>
      </x:c>
      <x:c r="K2649" s="6" t="str">
        <x:f>IF(D2649="","",IF(AND(ISNUMBER(SEARCH("平",D2649)),OR(ISNUMBER(SEARCH("上",D2649)),ISNUMBER(SEARCH("去",D2649)),ISNUMBER(SEARCH("入",D2649)))),"Ambiguous",IF(ISNUMBER(SEARCH("平",D2649)),"平","仄")))</x:f>
        <x:v>平</x:v>
      </x:c>
      <x:c r="L2649" s="7" t="str">
        <x:v>Xun Gong, Tang 300 gap fill</x:v>
      </x:c>
    </x:row>
    <x:row r="2650">
      <x:c r="A2650" s="5" t="str">
        <x:v>瘃</x:v>
      </x:c>
      <x:c r="B2650" s="6" t="str">
        <x:v>入</x:v>
      </x:c>
      <x:c r="C2650" s="6" t="str">
        <x:f>IF(B2650="","Needs decision","Ready")</x:f>
        <x:v>Ready</x:v>
      </x:c>
      <x:c r="D2650" s="6" t="str">
        <x:v>入</x:v>
      </x:c>
      <x:c r="E2650" s="6" t="str">
        <x:v>trjowk (D)</x:v>
      </x:c>
      <x:c r="F2650" s="6" t="str">
        <x:v>入聲二沃</x:v>
      </x:c>
      <x:c r="G2650" s="6" t="str">
        <x:v>Pingshui main list, Wikisource-derived DOCX</x:v>
      </x:c>
      <x:c r="H2650" s="6" t="str">
        <x:v>1</x:v>
      </x:c>
      <x:c r="I2650" s="6" t="str"/>
      <x:c r="J2650" s="6" t="str">
        <x:f>IF(B2650="","",IF(AND(ISNUMBER(SEARCH("平",B2650)),OR(ISNUMBER(SEARCH("上",B2650)),ISNUMBER(SEARCH("去",B2650)),ISNUMBER(SEARCH("入",B2650)))),"Ambiguous",IF(ISNUMBER(SEARCH("平",B2650)),"平","仄")))</x:f>
        <x:v>仄</x:v>
      </x:c>
      <x:c r="K2650" s="6" t="str">
        <x:f>IF(D2650="","",IF(AND(ISNUMBER(SEARCH("平",D2650)),OR(ISNUMBER(SEARCH("上",D2650)),ISNUMBER(SEARCH("去",D2650)),ISNUMBER(SEARCH("入",D2650)))),"Ambiguous",IF(ISNUMBER(SEARCH("平",D2650)),"平","仄")))</x:f>
        <x:v>仄</x:v>
      </x:c>
      <x:c r="L2650" s="7" t="str"/>
    </x:row>
    <x:row r="2651">
      <x:c r="A2651" s="5" t="str">
        <x:v>瘈</x:v>
      </x:c>
      <x:c r="B2651" s="6" t="str">
        <x:v>去</x:v>
      </x:c>
      <x:c r="C2651" s="6" t="str">
        <x:f>IF(B2651="","Needs decision","Ready")</x:f>
        <x:v>Ready</x:v>
      </x:c>
      <x:c r="D2651" s="6" t="str">
        <x:v>去</x:v>
      </x:c>
      <x:c r="E2651" s="6" t="str">
        <x:v>kjiejH (C); tsyejH (C)</x:v>
      </x:c>
      <x:c r="F2651" s="6" t="str"/>
      <x:c r="G2651" s="6" t="str"/>
      <x:c r="H2651" s="6" t="str">
        <x:v>2</x:v>
      </x:c>
      <x:c r="I2651" s="6" t="str"/>
      <x:c r="J2651" s="6" t="str">
        <x:f>IF(B2651="","",IF(AND(ISNUMBER(SEARCH("平",B2651)),OR(ISNUMBER(SEARCH("上",B2651)),ISNUMBER(SEARCH("去",B2651)),ISNUMBER(SEARCH("入",B2651)))),"Ambiguous",IF(ISNUMBER(SEARCH("平",B2651)),"平","仄")))</x:f>
        <x:v>仄</x:v>
      </x:c>
      <x:c r="K2651" s="6" t="str">
        <x:f>IF(D2651="","",IF(AND(ISNUMBER(SEARCH("平",D2651)),OR(ISNUMBER(SEARCH("上",D2651)),ISNUMBER(SEARCH("去",D2651)),ISNUMBER(SEARCH("入",D2651)))),"Ambiguous",IF(ISNUMBER(SEARCH("平",D2651)),"平","仄")))</x:f>
        <x:v>仄</x:v>
      </x:c>
      <x:c r="L2651" s="7" t="str"/>
    </x:row>
    <x:row r="2652">
      <x:c r="A2652" s="5" t="str">
        <x:v>瘍</x:v>
      </x:c>
      <x:c r="B2652" s="6" t="str">
        <x:v>平</x:v>
      </x:c>
      <x:c r="C2652" s="6" t="str">
        <x:f>IF(B2652="","Needs decision","Ready")</x:f>
        <x:v>Ready</x:v>
      </x:c>
      <x:c r="D2652" s="6" t="str">
        <x:v>平</x:v>
      </x:c>
      <x:c r="E2652" s="6" t="str">
        <x:v>yang (A)</x:v>
      </x:c>
      <x:c r="F2652" s="6" t="str">
        <x:v>下平聲七陽</x:v>
      </x:c>
      <x:c r="G2652" s="6" t="str">
        <x:v>Pingshui main list, Wikisource-derived DOCX</x:v>
      </x:c>
      <x:c r="H2652" s="6" t="str">
        <x:v>1</x:v>
      </x:c>
      <x:c r="I2652" s="6" t="str"/>
      <x:c r="J2652" s="6" t="str">
        <x:f>IF(B2652="","",IF(AND(ISNUMBER(SEARCH("平",B2652)),OR(ISNUMBER(SEARCH("上",B2652)),ISNUMBER(SEARCH("去",B2652)),ISNUMBER(SEARCH("入",B2652)))),"Ambiguous",IF(ISNUMBER(SEARCH("平",B2652)),"平","仄")))</x:f>
        <x:v>平</x:v>
      </x:c>
      <x:c r="K2652" s="6" t="str">
        <x:f>IF(D2652="","",IF(AND(ISNUMBER(SEARCH("平",D2652)),OR(ISNUMBER(SEARCH("上",D2652)),ISNUMBER(SEARCH("去",D2652)),ISNUMBER(SEARCH("入",D2652)))),"Ambiguous",IF(ISNUMBER(SEARCH("平",D2652)),"平","仄")))</x:f>
        <x:v>平</x:v>
      </x:c>
      <x:c r="L2652" s="7" t="str"/>
    </x:row>
    <x:row r="2653">
      <x:c r="A2653" s="5" t="str">
        <x:v>瘏</x:v>
      </x:c>
      <x:c r="B2653" s="6" t="str">
        <x:v>平</x:v>
      </x:c>
      <x:c r="C2653" s="6" t="str">
        <x:f>IF(B2653="","Needs decision","Ready")</x:f>
        <x:v>Ready</x:v>
      </x:c>
      <x:c r="D2653" s="6" t="str">
        <x:v>平</x:v>
      </x:c>
      <x:c r="E2653" s="6" t="str">
        <x:v>du (A)</x:v>
      </x:c>
      <x:c r="F2653" s="6" t="str">
        <x:v>上平聲七虞</x:v>
      </x:c>
      <x:c r="G2653" s="6" t="str">
        <x:v>Pingshui main list, Wikisource-derived DOCX</x:v>
      </x:c>
      <x:c r="H2653" s="6" t="str">
        <x:v>1</x:v>
      </x:c>
      <x:c r="I2653" s="6" t="str"/>
      <x:c r="J2653" s="6" t="str">
        <x:f>IF(B2653="","",IF(AND(ISNUMBER(SEARCH("平",B2653)),OR(ISNUMBER(SEARCH("上",B2653)),ISNUMBER(SEARCH("去",B2653)),ISNUMBER(SEARCH("入",B2653)))),"Ambiguous",IF(ISNUMBER(SEARCH("平",B2653)),"平","仄")))</x:f>
        <x:v>平</x:v>
      </x:c>
      <x:c r="K2653" s="6" t="str">
        <x:f>IF(D2653="","",IF(AND(ISNUMBER(SEARCH("平",D2653)),OR(ISNUMBER(SEARCH("上",D2653)),ISNUMBER(SEARCH("去",D2653)),ISNUMBER(SEARCH("入",D2653)))),"Ambiguous",IF(ISNUMBER(SEARCH("平",D2653)),"平","仄")))</x:f>
        <x:v>平</x:v>
      </x:c>
      <x:c r="L2653" s="7" t="str"/>
    </x:row>
    <x:row r="2654">
      <x:c r="A2654" s="5" t="str">
        <x:v>瘞</x:v>
      </x:c>
      <x:c r="B2654" s="6" t="str">
        <x:v>去</x:v>
      </x:c>
      <x:c r="C2654" s="6" t="str">
        <x:f>IF(B2654="","Needs decision","Ready")</x:f>
        <x:v>Ready</x:v>
      </x:c>
      <x:c r="D2654" s="6" t="str">
        <x:v>去</x:v>
      </x:c>
      <x:c r="E2654" s="6" t="str">
        <x:v>'jejH (C)</x:v>
      </x:c>
      <x:c r="F2654" s="6" t="str">
        <x:v>去聲八霽</x:v>
      </x:c>
      <x:c r="G2654" s="6" t="str">
        <x:v>Pingshui main list, Wikisource-derived DOCX</x:v>
      </x:c>
      <x:c r="H2654" s="6" t="str">
        <x:v>1</x:v>
      </x:c>
      <x:c r="I2654" s="6" t="str"/>
      <x:c r="J2654" s="6" t="str">
        <x:f>IF(B2654="","",IF(AND(ISNUMBER(SEARCH("平",B2654)),OR(ISNUMBER(SEARCH("上",B2654)),ISNUMBER(SEARCH("去",B2654)),ISNUMBER(SEARCH("入",B2654)))),"Ambiguous",IF(ISNUMBER(SEARCH("平",B2654)),"平","仄")))</x:f>
        <x:v>仄</x:v>
      </x:c>
      <x:c r="K2654" s="6" t="str">
        <x:f>IF(D2654="","",IF(AND(ISNUMBER(SEARCH("平",D2654)),OR(ISNUMBER(SEARCH("上",D2654)),ISNUMBER(SEARCH("去",D2654)),ISNUMBER(SEARCH("入",D2654)))),"Ambiguous",IF(ISNUMBER(SEARCH("平",D2654)),"平","仄")))</x:f>
        <x:v>仄</x:v>
      </x:c>
      <x:c r="L2654" s="7" t="str"/>
    </x:row>
    <x:row r="2655">
      <x:c r="A2655" s="5" t="str">
        <x:v>瘡</x:v>
      </x:c>
      <x:c r="B2655" s="6" t="str">
        <x:v>平</x:v>
      </x:c>
      <x:c r="C2655" s="6" t="str">
        <x:f>IF(B2655="","Needs decision","Ready")</x:f>
        <x:v>Ready</x:v>
      </x:c>
      <x:c r="D2655" s="6" t="str">
        <x:v>平</x:v>
      </x:c>
      <x:c r="E2655" s="6" t="str">
        <x:v>tsrhjang (A)</x:v>
      </x:c>
      <x:c r="F2655" s="6" t="str"/>
      <x:c r="G2655" s="6" t="str"/>
      <x:c r="H2655" s="6" t="str">
        <x:v>1</x:v>
      </x:c>
      <x:c r="I2655" s="6" t="str"/>
      <x:c r="J2655" s="6" t="str">
        <x:f>IF(B2655="","",IF(AND(ISNUMBER(SEARCH("平",B2655)),OR(ISNUMBER(SEARCH("上",B2655)),ISNUMBER(SEARCH("去",B2655)),ISNUMBER(SEARCH("入",B2655)))),"Ambiguous",IF(ISNUMBER(SEARCH("平",B2655)),"平","仄")))</x:f>
        <x:v>平</x:v>
      </x:c>
      <x:c r="K2655" s="6" t="str">
        <x:f>IF(D2655="","",IF(AND(ISNUMBER(SEARCH("平",D2655)),OR(ISNUMBER(SEARCH("上",D2655)),ISNUMBER(SEARCH("去",D2655)),ISNUMBER(SEARCH("入",D2655)))),"Ambiguous",IF(ISNUMBER(SEARCH("平",D2655)),"平","仄")))</x:f>
        <x:v>平</x:v>
      </x:c>
      <x:c r="L2655" s="7" t="str"/>
    </x:row>
    <x:row r="2656">
      <x:c r="A2656" s="5" t="str">
        <x:v>瘦</x:v>
      </x:c>
      <x:c r="B2656" s="6" t="str">
        <x:v>去</x:v>
      </x:c>
      <x:c r="C2656" s="6" t="str">
        <x:f>IF(B2656="","Needs decision","Ready")</x:f>
        <x:v>Ready</x:v>
      </x:c>
      <x:c r="D2656" s="6" t="str">
        <x:v>去</x:v>
      </x:c>
      <x:c r="E2656" s="6" t="str">
        <x:v>srjuwH (C)</x:v>
      </x:c>
      <x:c r="F2656" s="6" t="str">
        <x:v>去聲二十六宥</x:v>
      </x:c>
      <x:c r="G2656" s="6" t="str">
        <x:v>Pingshui main list, Wikisource-derived DOCX</x:v>
      </x:c>
      <x:c r="H2656" s="6" t="str">
        <x:v>1</x:v>
      </x:c>
      <x:c r="I2656" s="6" t="str"/>
      <x:c r="J2656" s="6" t="str">
        <x:f>IF(B2656="","",IF(AND(ISNUMBER(SEARCH("平",B2656)),OR(ISNUMBER(SEARCH("上",B2656)),ISNUMBER(SEARCH("去",B2656)),ISNUMBER(SEARCH("入",B2656)))),"Ambiguous",IF(ISNUMBER(SEARCH("平",B2656)),"平","仄")))</x:f>
        <x:v>仄</x:v>
      </x:c>
      <x:c r="K2656" s="6" t="str">
        <x:f>IF(D2656="","",IF(AND(ISNUMBER(SEARCH("平",D2656)),OR(ISNUMBER(SEARCH("上",D2656)),ISNUMBER(SEARCH("去",D2656)),ISNUMBER(SEARCH("入",D2656)))),"Ambiguous",IF(ISNUMBER(SEARCH("平",D2656)),"平","仄")))</x:f>
        <x:v>仄</x:v>
      </x:c>
      <x:c r="L2656" s="7" t="str"/>
    </x:row>
    <x:row r="2657">
      <x:c r="A2657" s="5" t="str">
        <x:v>瘳</x:v>
      </x:c>
      <x:c r="B2657" s="6" t="str">
        <x:v>平</x:v>
      </x:c>
      <x:c r="C2657" s="6" t="str">
        <x:f>IF(B2657="","Needs decision","Ready")</x:f>
        <x:v>Ready</x:v>
      </x:c>
      <x:c r="D2657" s="6" t="str">
        <x:v>平</x:v>
      </x:c>
      <x:c r="E2657" s="6" t="str">
        <x:v>trhjuw (A)</x:v>
      </x:c>
      <x:c r="F2657" s="6" t="str">
        <x:v>下平聲十一尤</x:v>
      </x:c>
      <x:c r="G2657" s="6" t="str">
        <x:v>Pingshui main list, Wikisource-derived DOCX</x:v>
      </x:c>
      <x:c r="H2657" s="6" t="str">
        <x:v>1</x:v>
      </x:c>
      <x:c r="I2657" s="6" t="str"/>
      <x:c r="J2657" s="6" t="str">
        <x:f>IF(B2657="","",IF(AND(ISNUMBER(SEARCH("平",B2657)),OR(ISNUMBER(SEARCH("上",B2657)),ISNUMBER(SEARCH("去",B2657)),ISNUMBER(SEARCH("入",B2657)))),"Ambiguous",IF(ISNUMBER(SEARCH("平",B2657)),"平","仄")))</x:f>
        <x:v>平</x:v>
      </x:c>
      <x:c r="K2657" s="6" t="str">
        <x:f>IF(D2657="","",IF(AND(ISNUMBER(SEARCH("平",D2657)),OR(ISNUMBER(SEARCH("上",D2657)),ISNUMBER(SEARCH("去",D2657)),ISNUMBER(SEARCH("入",D2657)))),"Ambiguous",IF(ISNUMBER(SEARCH("平",D2657)),"平","仄")))</x:f>
        <x:v>平</x:v>
      </x:c>
      <x:c r="L2657" s="7" t="str"/>
    </x:row>
    <x:row r="2658">
      <x:c r="A2658" s="5" t="str">
        <x:v>瘴</x:v>
      </x:c>
      <x:c r="B2658" s="6" t="str">
        <x:v>去</x:v>
      </x:c>
      <x:c r="C2658" s="6" t="str">
        <x:f>IF(B2658="","Needs decision","Ready")</x:f>
        <x:v>Ready</x:v>
      </x:c>
      <x:c r="D2658" s="6" t="str">
        <x:v>去</x:v>
      </x:c>
      <x:c r="E2658" s="6" t="str">
        <x:v>tsyangH [tɕɑŋh] (去)</x:v>
      </x:c>
      <x:c r="F2658" s="6" t="str">
        <x:v>去聲二十三漾</x:v>
      </x:c>
      <x:c r="G2658" s="6" t="str">
        <x:v>Pingshui main list, Wikisource-derived DOCX</x:v>
      </x:c>
      <x:c r="H2658" s="6" t="str">
        <x:v>1</x:v>
      </x:c>
      <x:c r="I2658" s="6" t="str">
        <x:v>Tang 300 gap; frequency 2; provisional from Xun Gong</x:v>
      </x:c>
      <x:c r="J2658" s="6" t="str">
        <x:f>IF(B2658="","",IF(AND(ISNUMBER(SEARCH("平",B2658)),OR(ISNUMBER(SEARCH("上",B2658)),ISNUMBER(SEARCH("去",B2658)),ISNUMBER(SEARCH("入",B2658)))),"Ambiguous",IF(ISNUMBER(SEARCH("平",B2658)),"平","仄")))</x:f>
        <x:v>仄</x:v>
      </x:c>
      <x:c r="K2658" s="6" t="str">
        <x:f>IF(D2658="","",IF(AND(ISNUMBER(SEARCH("平",D2658)),OR(ISNUMBER(SEARCH("上",D2658)),ISNUMBER(SEARCH("去",D2658)),ISNUMBER(SEARCH("入",D2658)))),"Ambiguous",IF(ISNUMBER(SEARCH("平",D2658)),"平","仄")))</x:f>
        <x:v>仄</x:v>
      </x:c>
      <x:c r="L2658" s="7" t="str">
        <x:v>Xun Gong, Tang 300 gap fill</x:v>
      </x:c>
    </x:row>
    <x:row r="2659">
      <x:c r="A2659" s="5" t="str">
        <x:v>瘵</x:v>
      </x:c>
      <x:c r="B2659" s="6" t="str">
        <x:v>去</x:v>
      </x:c>
      <x:c r="C2659" s="6" t="str">
        <x:f>IF(B2659="","Needs decision","Ready")</x:f>
        <x:v>Ready</x:v>
      </x:c>
      <x:c r="D2659" s="6" t="str">
        <x:v>去</x:v>
      </x:c>
      <x:c r="E2659" s="6" t="str">
        <x:v>tsreajH (C)</x:v>
      </x:c>
      <x:c r="F2659" s="6" t="str">
        <x:v>去聲十卦</x:v>
      </x:c>
      <x:c r="G2659" s="6" t="str">
        <x:v>Pingshui main list, Wikisource-derived DOCX</x:v>
      </x:c>
      <x:c r="H2659" s="6" t="str">
        <x:v>1</x:v>
      </x:c>
      <x:c r="I2659" s="6" t="str"/>
      <x:c r="J2659" s="6" t="str">
        <x:f>IF(B2659="","",IF(AND(ISNUMBER(SEARCH("平",B2659)),OR(ISNUMBER(SEARCH("上",B2659)),ISNUMBER(SEARCH("去",B2659)),ISNUMBER(SEARCH("入",B2659)))),"Ambiguous",IF(ISNUMBER(SEARCH("平",B2659)),"平","仄")))</x:f>
        <x:v>仄</x:v>
      </x:c>
      <x:c r="K2659" s="6" t="str">
        <x:f>IF(D2659="","",IF(AND(ISNUMBER(SEARCH("平",D2659)),OR(ISNUMBER(SEARCH("上",D2659)),ISNUMBER(SEARCH("去",D2659)),ISNUMBER(SEARCH("入",D2659)))),"Ambiguous",IF(ISNUMBER(SEARCH("平",D2659)),"平","仄")))</x:f>
        <x:v>仄</x:v>
      </x:c>
      <x:c r="L2659" s="7" t="str"/>
    </x:row>
    <x:row r="2660">
      <x:c r="A2660" s="5" t="str">
        <x:v>癉</x:v>
      </x:c>
      <x:c r="B2660" s="6" t="str">
        <x:v>上</x:v>
      </x:c>
      <x:c r="C2660" s="6" t="str">
        <x:f>IF(B2660="","Needs decision","Ready")</x:f>
        <x:v>Ready</x:v>
      </x:c>
      <x:c r="D2660" s="6" t="str">
        <x:v>上</x:v>
      </x:c>
      <x:c r="E2660" s="6" t="str">
        <x:v>tanX (B)</x:v>
      </x:c>
      <x:c r="F2660" s="6" t="str">
        <x:v>上平聲十四寒; 上聲二十哿; 去聲二十一箇</x:v>
      </x:c>
      <x:c r="G2660" s="6" t="str">
        <x:v>Pingshui main list, Wikisource-derived DOCX</x:v>
      </x:c>
      <x:c r="H2660" s="6" t="str">
        <x:v>1</x:v>
      </x:c>
      <x:c r="I2660" s="6" t="str"/>
      <x:c r="J2660" s="6" t="str">
        <x:f>IF(B2660="","",IF(AND(ISNUMBER(SEARCH("平",B2660)),OR(ISNUMBER(SEARCH("上",B2660)),ISNUMBER(SEARCH("去",B2660)),ISNUMBER(SEARCH("入",B2660)))),"Ambiguous",IF(ISNUMBER(SEARCH("平",B2660)),"平","仄")))</x:f>
        <x:v>仄</x:v>
      </x:c>
      <x:c r="K2660" s="6" t="str">
        <x:f>IF(D2660="","",IF(AND(ISNUMBER(SEARCH("平",D2660)),OR(ISNUMBER(SEARCH("上",D2660)),ISNUMBER(SEARCH("去",D2660)),ISNUMBER(SEARCH("入",D2660)))),"Ambiguous",IF(ISNUMBER(SEARCH("平",D2660)),"平","仄")))</x:f>
        <x:v>仄</x:v>
      </x:c>
      <x:c r="L2660" s="7" t="str"/>
    </x:row>
    <x:row r="2661">
      <x:c r="A2661" s="5" t="str">
        <x:v>癘</x:v>
      </x:c>
      <x:c r="B2661" s="6" t="str">
        <x:v>去</x:v>
      </x:c>
      <x:c r="C2661" s="6" t="str">
        <x:f>IF(B2661="","Needs decision","Ready")</x:f>
        <x:v>Ready</x:v>
      </x:c>
      <x:c r="D2661" s="6" t="str">
        <x:v>去</x:v>
      </x:c>
      <x:c r="E2661" s="6" t="str">
        <x:v>ljejH [ljejh] (去)</x:v>
      </x:c>
      <x:c r="F2661" s="6" t="str">
        <x:v>去聲八霽</x:v>
      </x:c>
      <x:c r="G2661" s="6" t="str">
        <x:v>Pingshui main list, Wikisource-derived DOCX</x:v>
      </x:c>
      <x:c r="H2661" s="6" t="str">
        <x:v>1</x:v>
      </x:c>
      <x:c r="I2661" s="6" t="str">
        <x:v>Tang 300 gap; frequency 1; provisional from Xun Gong</x:v>
      </x:c>
      <x:c r="J2661" s="6" t="str">
        <x:f>IF(B2661="","",IF(AND(ISNUMBER(SEARCH("平",B2661)),OR(ISNUMBER(SEARCH("上",B2661)),ISNUMBER(SEARCH("去",B2661)),ISNUMBER(SEARCH("入",B2661)))),"Ambiguous",IF(ISNUMBER(SEARCH("平",B2661)),"平","仄")))</x:f>
        <x:v>仄</x:v>
      </x:c>
      <x:c r="K2661" s="6" t="str">
        <x:f>IF(D2661="","",IF(AND(ISNUMBER(SEARCH("平",D2661)),OR(ISNUMBER(SEARCH("上",D2661)),ISNUMBER(SEARCH("去",D2661)),ISNUMBER(SEARCH("入",D2661)))),"Ambiguous",IF(ISNUMBER(SEARCH("平",D2661)),"平","仄")))</x:f>
        <x:v>仄</x:v>
      </x:c>
      <x:c r="L2661" s="7" t="str">
        <x:v>Xun Gong, Tang 300 gap fill</x:v>
      </x:c>
    </x:row>
    <x:row r="2662">
      <x:c r="A2662" s="5" t="str">
        <x:v>癙</x:v>
      </x:c>
      <x:c r="B2662" s="6" t="str">
        <x:v>上</x:v>
      </x:c>
      <x:c r="C2662" s="6" t="str">
        <x:f>IF(B2662="","Needs decision","Ready")</x:f>
        <x:v>Ready</x:v>
      </x:c>
      <x:c r="D2662" s="6" t="str">
        <x:v>上</x:v>
      </x:c>
      <x:c r="E2662" s="6" t="str">
        <x:v>syoX (B)</x:v>
      </x:c>
      <x:c r="F2662" s="6" t="str">
        <x:v>上聲六語</x:v>
      </x:c>
      <x:c r="G2662" s="6" t="str">
        <x:v>Pingshui main list, Wikisource-derived DOCX</x:v>
      </x:c>
      <x:c r="H2662" s="6" t="str">
        <x:v>1</x:v>
      </x:c>
      <x:c r="I2662" s="6" t="str"/>
      <x:c r="J2662" s="6" t="str">
        <x:f>IF(B2662="","",IF(AND(ISNUMBER(SEARCH("平",B2662)),OR(ISNUMBER(SEARCH("上",B2662)),ISNUMBER(SEARCH("去",B2662)),ISNUMBER(SEARCH("入",B2662)))),"Ambiguous",IF(ISNUMBER(SEARCH("平",B2662)),"平","仄")))</x:f>
        <x:v>仄</x:v>
      </x:c>
      <x:c r="K2662" s="6" t="str">
        <x:f>IF(D2662="","",IF(AND(ISNUMBER(SEARCH("平",D2662)),OR(ISNUMBER(SEARCH("上",D2662)),ISNUMBER(SEARCH("去",D2662)),ISNUMBER(SEARCH("入",D2662)))),"Ambiguous",IF(ISNUMBER(SEARCH("平",D2662)),"平","仄")))</x:f>
        <x:v>仄</x:v>
      </x:c>
      <x:c r="L2662" s="7" t="str"/>
    </x:row>
    <x:row r="2663">
      <x:c r="A2663" s="5" t="str">
        <x:v>癢</x:v>
      </x:c>
      <x:c r="B2663" s="6" t="str">
        <x:v>上</x:v>
      </x:c>
      <x:c r="C2663" s="6" t="str">
        <x:f>IF(B2663="","Needs decision","Ready")</x:f>
        <x:v>Ready</x:v>
      </x:c>
      <x:c r="D2663" s="6" t="str">
        <x:v>上</x:v>
      </x:c>
      <x:c r="E2663" s="6" t="str">
        <x:v>yangX (B)</x:v>
      </x:c>
      <x:c r="F2663" s="6" t="str">
        <x:v>上聲二十二養</x:v>
      </x:c>
      <x:c r="G2663" s="6" t="str">
        <x:v>Pingshui main list, Wikisource-derived DOCX</x:v>
      </x:c>
      <x:c r="H2663" s="6" t="str">
        <x:v>1</x:v>
      </x:c>
      <x:c r="I2663" s="6" t="str"/>
      <x:c r="J2663" s="6" t="str">
        <x:f>IF(B2663="","",IF(AND(ISNUMBER(SEARCH("平",B2663)),OR(ISNUMBER(SEARCH("上",B2663)),ISNUMBER(SEARCH("去",B2663)),ISNUMBER(SEARCH("入",B2663)))),"Ambiguous",IF(ISNUMBER(SEARCH("平",B2663)),"平","仄")))</x:f>
        <x:v>仄</x:v>
      </x:c>
      <x:c r="K2663" s="6" t="str">
        <x:f>IF(D2663="","",IF(AND(ISNUMBER(SEARCH("平",D2663)),OR(ISNUMBER(SEARCH("上",D2663)),ISNUMBER(SEARCH("去",D2663)),ISNUMBER(SEARCH("入",D2663)))),"Ambiguous",IF(ISNUMBER(SEARCH("平",D2663)),"平","仄")))</x:f>
        <x:v>仄</x:v>
      </x:c>
      <x:c r="L2663" s="7" t="str"/>
    </x:row>
    <x:row r="2664">
      <x:c r="A2664" s="5" t="str">
        <x:v>癬</x:v>
      </x:c>
      <x:c r="B2664" s="6" t="str">
        <x:v>上</x:v>
      </x:c>
      <x:c r="C2664" s="6" t="str">
        <x:f>IF(B2664="","Needs decision","Ready")</x:f>
        <x:v>Ready</x:v>
      </x:c>
      <x:c r="D2664" s="6" t="str">
        <x:v>上</x:v>
      </x:c>
      <x:c r="E2664" s="6" t="str">
        <x:v>sjenX (B)</x:v>
      </x:c>
      <x:c r="F2664" s="6" t="str">
        <x:v>下平聲一先; 上聲十六銑</x:v>
      </x:c>
      <x:c r="G2664" s="6" t="str">
        <x:v>Pingshui main list, Wikisource-derived DOCX</x:v>
      </x:c>
      <x:c r="H2664" s="6" t="str">
        <x:v>1</x:v>
      </x:c>
      <x:c r="I2664" s="6" t="str"/>
      <x:c r="J2664" s="6" t="str">
        <x:f>IF(B2664="","",IF(AND(ISNUMBER(SEARCH("平",B2664)),OR(ISNUMBER(SEARCH("上",B2664)),ISNUMBER(SEARCH("去",B2664)),ISNUMBER(SEARCH("入",B2664)))),"Ambiguous",IF(ISNUMBER(SEARCH("平",B2664)),"平","仄")))</x:f>
        <x:v>仄</x:v>
      </x:c>
      <x:c r="K2664" s="6" t="str">
        <x:f>IF(D2664="","",IF(AND(ISNUMBER(SEARCH("平",D2664)),OR(ISNUMBER(SEARCH("上",D2664)),ISNUMBER(SEARCH("去",D2664)),ISNUMBER(SEARCH("入",D2664)))),"Ambiguous",IF(ISNUMBER(SEARCH("平",D2664)),"平","仄")))</x:f>
        <x:v>仄</x:v>
      </x:c>
      <x:c r="L2664" s="7" t="str"/>
    </x:row>
    <x:row r="2665">
      <x:c r="A2665" s="5" t="str">
        <x:v>癰</x:v>
      </x:c>
      <x:c r="B2665" s="6" t="str">
        <x:v>平</x:v>
      </x:c>
      <x:c r="C2665" s="6" t="str">
        <x:f>IF(B2665="","Needs decision","Ready")</x:f>
        <x:v>Ready</x:v>
      </x:c>
      <x:c r="D2665" s="6" t="str">
        <x:v>平</x:v>
      </x:c>
      <x:c r="E2665" s="6" t="str">
        <x:v>'jowng (A)</x:v>
      </x:c>
      <x:c r="F2665" s="6" t="str">
        <x:v>上平聲二冬</x:v>
      </x:c>
      <x:c r="G2665" s="6" t="str">
        <x:v>Pingshui main list, Wikisource-derived DOCX</x:v>
      </x:c>
      <x:c r="H2665" s="6" t="str">
        <x:v>1</x:v>
      </x:c>
      <x:c r="I2665" s="6" t="str"/>
      <x:c r="J2665" s="6" t="str">
        <x:f>IF(B2665="","",IF(AND(ISNUMBER(SEARCH("平",B2665)),OR(ISNUMBER(SEARCH("上",B2665)),ISNUMBER(SEARCH("去",B2665)),ISNUMBER(SEARCH("入",B2665)))),"Ambiguous",IF(ISNUMBER(SEARCH("平",B2665)),"平","仄")))</x:f>
        <x:v>平</x:v>
      </x:c>
      <x:c r="K2665" s="6" t="str">
        <x:f>IF(D2665="","",IF(AND(ISNUMBER(SEARCH("平",D2665)),OR(ISNUMBER(SEARCH("上",D2665)),ISNUMBER(SEARCH("去",D2665)),ISNUMBER(SEARCH("入",D2665)))),"Ambiguous",IF(ISNUMBER(SEARCH("平",D2665)),"平","仄")))</x:f>
        <x:v>平</x:v>
      </x:c>
      <x:c r="L2665" s="7" t="str"/>
    </x:row>
    <x:row r="2666">
      <x:c r="A2666" s="5" t="str">
        <x:v>癸</x:v>
      </x:c>
      <x:c r="B2666" s="6" t="str">
        <x:v>上</x:v>
      </x:c>
      <x:c r="C2666" s="6" t="str">
        <x:f>IF(B2666="","Needs decision","Ready")</x:f>
        <x:v>Ready</x:v>
      </x:c>
      <x:c r="D2666" s="6" t="str">
        <x:v>上</x:v>
      </x:c>
      <x:c r="E2666" s="6" t="str">
        <x:v>kjwijX (B)</x:v>
      </x:c>
      <x:c r="F2666" s="6" t="str">
        <x:v>上聲四紙</x:v>
      </x:c>
      <x:c r="G2666" s="6" t="str">
        <x:v>Pingshui main list, Wikisource-derived DOCX</x:v>
      </x:c>
      <x:c r="H2666" s="6" t="str">
        <x:v>1</x:v>
      </x:c>
      <x:c r="I2666" s="6" t="str"/>
      <x:c r="J2666" s="6" t="str">
        <x:f>IF(B2666="","",IF(AND(ISNUMBER(SEARCH("平",B2666)),OR(ISNUMBER(SEARCH("上",B2666)),ISNUMBER(SEARCH("去",B2666)),ISNUMBER(SEARCH("入",B2666)))),"Ambiguous",IF(ISNUMBER(SEARCH("平",B2666)),"平","仄")))</x:f>
        <x:v>仄</x:v>
      </x:c>
      <x:c r="K2666" s="6" t="str">
        <x:f>IF(D2666="","",IF(AND(ISNUMBER(SEARCH("平",D2666)),OR(ISNUMBER(SEARCH("上",D2666)),ISNUMBER(SEARCH("去",D2666)),ISNUMBER(SEARCH("入",D2666)))),"Ambiguous",IF(ISNUMBER(SEARCH("平",D2666)),"平","仄")))</x:f>
        <x:v>仄</x:v>
      </x:c>
      <x:c r="L2666" s="7" t="str"/>
    </x:row>
    <x:row r="2667">
      <x:c r="A2667" s="5" t="str">
        <x:v>登</x:v>
      </x:c>
      <x:c r="B2667" s="6" t="str">
        <x:v>平</x:v>
      </x:c>
      <x:c r="C2667" s="6" t="str">
        <x:f>IF(B2667="","Needs decision","Ready")</x:f>
        <x:v>Ready</x:v>
      </x:c>
      <x:c r="D2667" s="6" t="str">
        <x:v>平</x:v>
      </x:c>
      <x:c r="E2667" s="6" t="str">
        <x:v>tong (A)</x:v>
      </x:c>
      <x:c r="F2667" s="6" t="str">
        <x:v>下平聲十蒸</x:v>
      </x:c>
      <x:c r="G2667" s="6" t="str">
        <x:v>Pingshui main list, Wikisource-derived DOCX</x:v>
      </x:c>
      <x:c r="H2667" s="6" t="str">
        <x:v>1</x:v>
      </x:c>
      <x:c r="I2667" s="6" t="str"/>
      <x:c r="J2667" s="6" t="str">
        <x:f>IF(B2667="","",IF(AND(ISNUMBER(SEARCH("平",B2667)),OR(ISNUMBER(SEARCH("上",B2667)),ISNUMBER(SEARCH("去",B2667)),ISNUMBER(SEARCH("入",B2667)))),"Ambiguous",IF(ISNUMBER(SEARCH("平",B2667)),"平","仄")))</x:f>
        <x:v>平</x:v>
      </x:c>
      <x:c r="K2667" s="6" t="str">
        <x:f>IF(D2667="","",IF(AND(ISNUMBER(SEARCH("平",D2667)),OR(ISNUMBER(SEARCH("上",D2667)),ISNUMBER(SEARCH("去",D2667)),ISNUMBER(SEARCH("入",D2667)))),"Ambiguous",IF(ISNUMBER(SEARCH("平",D2667)),"平","仄")))</x:f>
        <x:v>平</x:v>
      </x:c>
      <x:c r="L2667" s="7" t="str"/>
    </x:row>
    <x:row r="2668">
      <x:c r="A2668" s="5" t="str">
        <x:v>發</x:v>
      </x:c>
      <x:c r="B2668" s="6" t="str">
        <x:v>入</x:v>
      </x:c>
      <x:c r="C2668" s="6" t="str">
        <x:f>IF(B2668="","Needs decision","Ready")</x:f>
        <x:v>Ready</x:v>
      </x:c>
      <x:c r="D2668" s="6" t="str">
        <x:v>入</x:v>
      </x:c>
      <x:c r="E2668" s="6" t="str">
        <x:v>pjot (D)</x:v>
      </x:c>
      <x:c r="F2668" s="6" t="str">
        <x:v>入聲六月</x:v>
      </x:c>
      <x:c r="G2668" s="6" t="str">
        <x:v>Pingshui main list, Wikisource-derived DOCX</x:v>
      </x:c>
      <x:c r="H2668" s="6" t="str">
        <x:v>1</x:v>
      </x:c>
      <x:c r="I2668" s="6" t="str"/>
      <x:c r="J2668" s="6" t="str">
        <x:f>IF(B2668="","",IF(AND(ISNUMBER(SEARCH("平",B2668)),OR(ISNUMBER(SEARCH("上",B2668)),ISNUMBER(SEARCH("去",B2668)),ISNUMBER(SEARCH("入",B2668)))),"Ambiguous",IF(ISNUMBER(SEARCH("平",B2668)),"平","仄")))</x:f>
        <x:v>仄</x:v>
      </x:c>
      <x:c r="K2668" s="6" t="str">
        <x:f>IF(D2668="","",IF(AND(ISNUMBER(SEARCH("平",D2668)),OR(ISNUMBER(SEARCH("上",D2668)),ISNUMBER(SEARCH("去",D2668)),ISNUMBER(SEARCH("入",D2668)))),"Ambiguous",IF(ISNUMBER(SEARCH("平",D2668)),"平","仄")))</x:f>
        <x:v>仄</x:v>
      </x:c>
      <x:c r="L2668" s="7" t="str"/>
    </x:row>
    <x:row r="2669">
      <x:c r="A2669" s="5" t="str">
        <x:v>白</x:v>
      </x:c>
      <x:c r="B2669" s="6" t="str">
        <x:v>入</x:v>
      </x:c>
      <x:c r="C2669" s="6" t="str">
        <x:f>IF(B2669="","Needs decision","Ready")</x:f>
        <x:v>Ready</x:v>
      </x:c>
      <x:c r="D2669" s="6" t="str">
        <x:v>入</x:v>
      </x:c>
      <x:c r="E2669" s="6" t="str">
        <x:v>baek (D)</x:v>
      </x:c>
      <x:c r="F2669" s="6" t="str">
        <x:v>入聲十一陌</x:v>
      </x:c>
      <x:c r="G2669" s="6" t="str">
        <x:v>Pingshui main list, Wikisource-derived DOCX</x:v>
      </x:c>
      <x:c r="H2669" s="6" t="str">
        <x:v>1</x:v>
      </x:c>
      <x:c r="I2669" s="6" t="str"/>
      <x:c r="J2669" s="6" t="str">
        <x:f>IF(B2669="","",IF(AND(ISNUMBER(SEARCH("平",B2669)),OR(ISNUMBER(SEARCH("上",B2669)),ISNUMBER(SEARCH("去",B2669)),ISNUMBER(SEARCH("入",B2669)))),"Ambiguous",IF(ISNUMBER(SEARCH("平",B2669)),"平","仄")))</x:f>
        <x:v>仄</x:v>
      </x:c>
      <x:c r="K2669" s="6" t="str">
        <x:f>IF(D2669="","",IF(AND(ISNUMBER(SEARCH("平",D2669)),OR(ISNUMBER(SEARCH("上",D2669)),ISNUMBER(SEARCH("去",D2669)),ISNUMBER(SEARCH("入",D2669)))),"Ambiguous",IF(ISNUMBER(SEARCH("平",D2669)),"平","仄")))</x:f>
        <x:v>仄</x:v>
      </x:c>
      <x:c r="L2669" s="7" t="str"/>
    </x:row>
    <x:row r="2670">
      <x:c r="A2670" s="5" t="str">
        <x:v>百</x:v>
      </x:c>
      <x:c r="B2670" s="6" t="str">
        <x:v>入</x:v>
      </x:c>
      <x:c r="C2670" s="6" t="str">
        <x:f>IF(B2670="","Needs decision","Ready")</x:f>
        <x:v>Ready</x:v>
      </x:c>
      <x:c r="D2670" s="6" t="str">
        <x:v>入</x:v>
      </x:c>
      <x:c r="E2670" s="6" t="str">
        <x:v>paek (D)</x:v>
      </x:c>
      <x:c r="F2670" s="6" t="str">
        <x:v>入聲十一陌</x:v>
      </x:c>
      <x:c r="G2670" s="6" t="str">
        <x:v>Pingshui main list, Wikisource-derived DOCX</x:v>
      </x:c>
      <x:c r="H2670" s="6" t="str">
        <x:v>1</x:v>
      </x:c>
      <x:c r="I2670" s="6" t="str"/>
      <x:c r="J2670" s="6" t="str">
        <x:f>IF(B2670="","",IF(AND(ISNUMBER(SEARCH("平",B2670)),OR(ISNUMBER(SEARCH("上",B2670)),ISNUMBER(SEARCH("去",B2670)),ISNUMBER(SEARCH("入",B2670)))),"Ambiguous",IF(ISNUMBER(SEARCH("平",B2670)),"平","仄")))</x:f>
        <x:v>仄</x:v>
      </x:c>
      <x:c r="K2670" s="6" t="str">
        <x:f>IF(D2670="","",IF(AND(ISNUMBER(SEARCH("平",D2670)),OR(ISNUMBER(SEARCH("上",D2670)),ISNUMBER(SEARCH("去",D2670)),ISNUMBER(SEARCH("入",D2670)))),"Ambiguous",IF(ISNUMBER(SEARCH("平",D2670)),"平","仄")))</x:f>
        <x:v>仄</x:v>
      </x:c>
      <x:c r="L2670" s="7" t="str"/>
    </x:row>
    <x:row r="2671">
      <x:c r="A2671" s="5" t="str">
        <x:v>皀</x:v>
      </x:c>
      <x:c r="B2671" s="6" t="str">
        <x:v>平</x:v>
      </x:c>
      <x:c r="C2671" s="6" t="str">
        <x:f>IF(B2671="","Needs decision","Ready")</x:f>
        <x:v>Ready</x:v>
      </x:c>
      <x:c r="D2671" s="6" t="str">
        <x:v>平</x:v>
      </x:c>
      <x:c r="E2671" s="6" t="str">
        <x:v>xjang (A)</x:v>
      </x:c>
      <x:c r="F2671" s="6" t="str"/>
      <x:c r="G2671" s="6" t="str"/>
      <x:c r="H2671" s="6" t="str">
        <x:v>1</x:v>
      </x:c>
      <x:c r="I2671" s="6" t="str"/>
      <x:c r="J2671" s="6" t="str">
        <x:f>IF(B2671="","",IF(AND(ISNUMBER(SEARCH("平",B2671)),OR(ISNUMBER(SEARCH("上",B2671)),ISNUMBER(SEARCH("去",B2671)),ISNUMBER(SEARCH("入",B2671)))),"Ambiguous",IF(ISNUMBER(SEARCH("平",B2671)),"平","仄")))</x:f>
        <x:v>平</x:v>
      </x:c>
      <x:c r="K2671" s="6" t="str">
        <x:f>IF(D2671="","",IF(AND(ISNUMBER(SEARCH("平",D2671)),OR(ISNUMBER(SEARCH("上",D2671)),ISNUMBER(SEARCH("去",D2671)),ISNUMBER(SEARCH("入",D2671)))),"Ambiguous",IF(ISNUMBER(SEARCH("平",D2671)),"平","仄")))</x:f>
        <x:v>平</x:v>
      </x:c>
      <x:c r="L2671" s="7" t="str"/>
    </x:row>
    <x:row r="2672">
      <x:c r="A2672" s="5" t="str">
        <x:v>皁</x:v>
      </x:c>
      <x:c r="B2672" s="6" t="str">
        <x:v>上</x:v>
      </x:c>
      <x:c r="C2672" s="6" t="str">
        <x:f>IF(B2672="","Needs decision","Ready")</x:f>
        <x:v>Ready</x:v>
      </x:c>
      <x:c r="D2672" s="6" t="str">
        <x:v>上</x:v>
      </x:c>
      <x:c r="E2672" s="6" t="str">
        <x:v>dzawX (B)</x:v>
      </x:c>
      <x:c r="F2672" s="6" t="str">
        <x:v>上聲十九皓</x:v>
      </x:c>
      <x:c r="G2672" s="6" t="str">
        <x:v>Pingshui main list, Wikisource-derived DOCX</x:v>
      </x:c>
      <x:c r="H2672" s="6" t="str">
        <x:v>1</x:v>
      </x:c>
      <x:c r="I2672" s="6" t="str"/>
      <x:c r="J2672" s="6" t="str">
        <x:f>IF(B2672="","",IF(AND(ISNUMBER(SEARCH("平",B2672)),OR(ISNUMBER(SEARCH("上",B2672)),ISNUMBER(SEARCH("去",B2672)),ISNUMBER(SEARCH("入",B2672)))),"Ambiguous",IF(ISNUMBER(SEARCH("平",B2672)),"平","仄")))</x:f>
        <x:v>仄</x:v>
      </x:c>
      <x:c r="K2672" s="6" t="str">
        <x:f>IF(D2672="","",IF(AND(ISNUMBER(SEARCH("平",D2672)),OR(ISNUMBER(SEARCH("上",D2672)),ISNUMBER(SEARCH("去",D2672)),ISNUMBER(SEARCH("入",D2672)))),"Ambiguous",IF(ISNUMBER(SEARCH("平",D2672)),"平","仄")))</x:f>
        <x:v>仄</x:v>
      </x:c>
      <x:c r="L2672" s="7" t="str"/>
    </x:row>
    <x:row r="2673">
      <x:c r="A2673" s="5" t="str">
        <x:v>的</x:v>
      </x:c>
      <x:c r="B2673" s="6" t="str">
        <x:v>入</x:v>
      </x:c>
      <x:c r="C2673" s="6" t="str">
        <x:f>IF(B2673="","Needs decision","Ready")</x:f>
        <x:v>Ready</x:v>
      </x:c>
      <x:c r="D2673" s="6" t="str">
        <x:v>入</x:v>
      </x:c>
      <x:c r="E2673" s="6" t="str">
        <x:v>tek (D)</x:v>
      </x:c>
      <x:c r="F2673" s="6" t="str">
        <x:v>入聲十二錫</x:v>
      </x:c>
      <x:c r="G2673" s="6" t="str">
        <x:v>Pingshui main list, Wikisource-derived DOCX</x:v>
      </x:c>
      <x:c r="H2673" s="6" t="str">
        <x:v>1</x:v>
      </x:c>
      <x:c r="I2673" s="6" t="str"/>
      <x:c r="J2673" s="6" t="str">
        <x:f>IF(B2673="","",IF(AND(ISNUMBER(SEARCH("平",B2673)),OR(ISNUMBER(SEARCH("上",B2673)),ISNUMBER(SEARCH("去",B2673)),ISNUMBER(SEARCH("入",B2673)))),"Ambiguous",IF(ISNUMBER(SEARCH("平",B2673)),"平","仄")))</x:f>
        <x:v>仄</x:v>
      </x:c>
      <x:c r="K2673" s="6" t="str">
        <x:f>IF(D2673="","",IF(AND(ISNUMBER(SEARCH("平",D2673)),OR(ISNUMBER(SEARCH("上",D2673)),ISNUMBER(SEARCH("去",D2673)),ISNUMBER(SEARCH("入",D2673)))),"Ambiguous",IF(ISNUMBER(SEARCH("平",D2673)),"平","仄")))</x:f>
        <x:v>仄</x:v>
      </x:c>
      <x:c r="L2673" s="7" t="str"/>
    </x:row>
    <x:row r="2674">
      <x:c r="A2674" s="5" t="str">
        <x:v>皆</x:v>
      </x:c>
      <x:c r="B2674" s="6" t="str">
        <x:v>平</x:v>
      </x:c>
      <x:c r="C2674" s="6" t="str">
        <x:f>IF(B2674="","Needs decision","Ready")</x:f>
        <x:v>Ready</x:v>
      </x:c>
      <x:c r="D2674" s="6" t="str">
        <x:v>平</x:v>
      </x:c>
      <x:c r="E2674" s="6" t="str">
        <x:v>keaj (A)</x:v>
      </x:c>
      <x:c r="F2674" s="6" t="str">
        <x:v>上平聲九佳</x:v>
      </x:c>
      <x:c r="G2674" s="6" t="str">
        <x:v>Pingshui main list, Wikisource-derived DOCX</x:v>
      </x:c>
      <x:c r="H2674" s="6" t="str">
        <x:v>1</x:v>
      </x:c>
      <x:c r="I2674" s="6" t="str"/>
      <x:c r="J2674" s="6" t="str">
        <x:f>IF(B2674="","",IF(AND(ISNUMBER(SEARCH("平",B2674)),OR(ISNUMBER(SEARCH("上",B2674)),ISNUMBER(SEARCH("去",B2674)),ISNUMBER(SEARCH("入",B2674)))),"Ambiguous",IF(ISNUMBER(SEARCH("平",B2674)),"平","仄")))</x:f>
        <x:v>平</x:v>
      </x:c>
      <x:c r="K2674" s="6" t="str">
        <x:f>IF(D2674="","",IF(AND(ISNUMBER(SEARCH("平",D2674)),OR(ISNUMBER(SEARCH("上",D2674)),ISNUMBER(SEARCH("去",D2674)),ISNUMBER(SEARCH("入",D2674)))),"Ambiguous",IF(ISNUMBER(SEARCH("平",D2674)),"平","仄")))</x:f>
        <x:v>平</x:v>
      </x:c>
      <x:c r="L2674" s="7" t="str"/>
    </x:row>
    <x:row r="2675">
      <x:c r="A2675" s="5" t="str">
        <x:v>皇</x:v>
      </x:c>
      <x:c r="B2675" s="6" t="str">
        <x:v>平</x:v>
      </x:c>
      <x:c r="C2675" s="6" t="str">
        <x:f>IF(B2675="","Needs decision","Ready")</x:f>
        <x:v>Ready</x:v>
      </x:c>
      <x:c r="D2675" s="6" t="str">
        <x:v>平</x:v>
      </x:c>
      <x:c r="E2675" s="6" t="str">
        <x:v>hwang (A)</x:v>
      </x:c>
      <x:c r="F2675" s="6" t="str">
        <x:v>下平聲七陽</x:v>
      </x:c>
      <x:c r="G2675" s="6" t="str">
        <x:v>Pingshui main list, Wikisource-derived DOCX</x:v>
      </x:c>
      <x:c r="H2675" s="6" t="str">
        <x:v>1</x:v>
      </x:c>
      <x:c r="I2675" s="6" t="str"/>
      <x:c r="J2675" s="6" t="str">
        <x:f>IF(B2675="","",IF(AND(ISNUMBER(SEARCH("平",B2675)),OR(ISNUMBER(SEARCH("上",B2675)),ISNUMBER(SEARCH("去",B2675)),ISNUMBER(SEARCH("入",B2675)))),"Ambiguous",IF(ISNUMBER(SEARCH("平",B2675)),"平","仄")))</x:f>
        <x:v>平</x:v>
      </x:c>
      <x:c r="K2675" s="6" t="str">
        <x:f>IF(D2675="","",IF(AND(ISNUMBER(SEARCH("平",D2675)),OR(ISNUMBER(SEARCH("上",D2675)),ISNUMBER(SEARCH("去",D2675)),ISNUMBER(SEARCH("入",D2675)))),"Ambiguous",IF(ISNUMBER(SEARCH("平",D2675)),"平","仄")))</x:f>
        <x:v>平</x:v>
      </x:c>
      <x:c r="L2675" s="7" t="str"/>
    </x:row>
    <x:row r="2676">
      <x:c r="A2676" s="5" t="str">
        <x:v>皋</x:v>
      </x:c>
      <x:c r="B2676" s="6" t="str">
        <x:v>平</x:v>
      </x:c>
      <x:c r="C2676" s="6" t="str">
        <x:f>IF(B2676="","Needs decision","Ready")</x:f>
        <x:v>Ready</x:v>
      </x:c>
      <x:c r="D2676" s="6" t="str">
        <x:v>平</x:v>
      </x:c>
      <x:c r="E2676" s="6" t="str">
        <x:v>kaw (A)</x:v>
      </x:c>
      <x:c r="F2676" s="6" t="str">
        <x:v>下平聲四豪</x:v>
      </x:c>
      <x:c r="G2676" s="6" t="str">
        <x:v>Pingshui main list, Wikisource-derived DOCX</x:v>
      </x:c>
      <x:c r="H2676" s="6" t="str">
        <x:v>1</x:v>
      </x:c>
      <x:c r="I2676" s="6" t="str"/>
      <x:c r="J2676" s="6" t="str">
        <x:f>IF(B2676="","",IF(AND(ISNUMBER(SEARCH("平",B2676)),OR(ISNUMBER(SEARCH("上",B2676)),ISNUMBER(SEARCH("去",B2676)),ISNUMBER(SEARCH("入",B2676)))),"Ambiguous",IF(ISNUMBER(SEARCH("平",B2676)),"平","仄")))</x:f>
        <x:v>平</x:v>
      </x:c>
      <x:c r="K2676" s="6" t="str">
        <x:f>IF(D2676="","",IF(AND(ISNUMBER(SEARCH("平",D2676)),OR(ISNUMBER(SEARCH("上",D2676)),ISNUMBER(SEARCH("去",D2676)),ISNUMBER(SEARCH("入",D2676)))),"Ambiguous",IF(ISNUMBER(SEARCH("平",D2676)),"平","仄")))</x:f>
        <x:v>平</x:v>
      </x:c>
      <x:c r="L2676" s="7" t="str"/>
    </x:row>
    <x:row r="2677">
      <x:c r="A2677" s="5" t="str">
        <x:v>皎</x:v>
      </x:c>
      <x:c r="B2677" s="6" t="str">
        <x:v>上</x:v>
      </x:c>
      <x:c r="C2677" s="6" t="str">
        <x:f>IF(B2677="","Needs decision","Ready")</x:f>
        <x:v>Ready</x:v>
      </x:c>
      <x:c r="D2677" s="6" t="str"/>
      <x:c r="E2677" s="6" t="str"/>
      <x:c r="F2677" s="6" t="str">
        <x:v>上聲十七篠</x:v>
      </x:c>
      <x:c r="G2677" s="6" t="str">
        <x:v>Pingshui main list, Wikisource-derived DOCX</x:v>
      </x:c>
      <x:c r="H2677" s="6" t="str"/>
      <x:c r="I2677" s="6" t="str"/>
      <x:c r="J2677" s="6" t="str">
        <x:f>IF(B2677="","",IF(AND(ISNUMBER(SEARCH("平",B2677)),OR(ISNUMBER(SEARCH("上",B2677)),ISNUMBER(SEARCH("去",B2677)),ISNUMBER(SEARCH("入",B2677)))),"Ambiguous",IF(ISNUMBER(SEARCH("平",B2677)),"平","仄")))</x:f>
        <x:v>仄</x:v>
      </x:c>
      <x:c r="K2677" s="6" t="str">
        <x:f>IF(D2677="","",IF(AND(ISNUMBER(SEARCH("平",D2677)),OR(ISNUMBER(SEARCH("上",D2677)),ISNUMBER(SEARCH("去",D2677)),ISNUMBER(SEARCH("入",D2677)))),"Ambiguous",IF(ISNUMBER(SEARCH("平",D2677)),"平","仄")))</x:f>
      </x:c>
      <x:c r="L2677" s="7" t="str"/>
    </x:row>
    <x:row r="2678">
      <x:c r="A2678" s="5" t="str">
        <x:v>皙</x:v>
      </x:c>
      <x:c r="B2678" s="6" t="str">
        <x:v>入</x:v>
      </x:c>
      <x:c r="C2678" s="6" t="str">
        <x:f>IF(B2678="","Needs decision","Ready")</x:f>
        <x:v>Ready</x:v>
      </x:c>
      <x:c r="D2678" s="6" t="str">
        <x:v>入</x:v>
      </x:c>
      <x:c r="E2678" s="6" t="str"/>
      <x:c r="F2678" s="6" t="str"/>
      <x:c r="G2678" s="6" t="str"/>
      <x:c r="H2678" s="6" t="str">
        <x:v>0</x:v>
      </x:c>
      <x:c r="I2678" s="6" t="str">
        <x:v>User correction 2026-09-08; added manually</x:v>
      </x:c>
      <x:c r="J2678" s="6" t="str">
        <x:f>IF(B2678="","",IF(AND(ISNUMBER(SEARCH("平",B2678)),OR(ISNUMBER(SEARCH("上",B2678)),ISNUMBER(SEARCH("去",B2678)),ISNUMBER(SEARCH("入",B2678)))),"Ambiguous",IF(ISNUMBER(SEARCH("平",B2678)),"平","仄")))</x:f>
        <x:v>仄</x:v>
      </x:c>
      <x:c r="K2678" s="6" t="str">
        <x:f>IF(D2678="","",IF(AND(ISNUMBER(SEARCH("平",D2678)),OR(ISNUMBER(SEARCH("上",D2678)),ISNUMBER(SEARCH("去",D2678)),ISNUMBER(SEARCH("入",D2678)))),"Ambiguous",IF(ISNUMBER(SEARCH("平",D2678)),"平","仄")))</x:f>
        <x:v>仄</x:v>
      </x:c>
      <x:c r="L2678" s="7" t="str">
        <x:v>User correction</x:v>
      </x:c>
    </x:row>
    <x:row r="2679">
      <x:c r="A2679" s="5" t="str">
        <x:v>皤</x:v>
      </x:c>
      <x:c r="B2679" s="6" t="str">
        <x:v>平</x:v>
      </x:c>
      <x:c r="C2679" s="6" t="str">
        <x:f>IF(B2679="","Needs decision","Ready")</x:f>
        <x:v>Ready</x:v>
      </x:c>
      <x:c r="D2679" s="6" t="str">
        <x:v>平</x:v>
      </x:c>
      <x:c r="E2679" s="6" t="str">
        <x:v>ba (A)</x:v>
      </x:c>
      <x:c r="F2679" s="6" t="str">
        <x:v>下平聲五歌</x:v>
      </x:c>
      <x:c r="G2679" s="6" t="str">
        <x:v>Pingshui main list, Wikisource-derived DOCX</x:v>
      </x:c>
      <x:c r="H2679" s="6" t="str">
        <x:v>1</x:v>
      </x:c>
      <x:c r="I2679" s="6" t="str"/>
      <x:c r="J2679" s="6" t="str">
        <x:f>IF(B2679="","",IF(AND(ISNUMBER(SEARCH("平",B2679)),OR(ISNUMBER(SEARCH("上",B2679)),ISNUMBER(SEARCH("去",B2679)),ISNUMBER(SEARCH("入",B2679)))),"Ambiguous",IF(ISNUMBER(SEARCH("平",B2679)),"平","仄")))</x:f>
        <x:v>平</x:v>
      </x:c>
      <x:c r="K2679" s="6" t="str">
        <x:f>IF(D2679="","",IF(AND(ISNUMBER(SEARCH("平",D2679)),OR(ISNUMBER(SEARCH("上",D2679)),ISNUMBER(SEARCH("去",D2679)),ISNUMBER(SEARCH("入",D2679)))),"Ambiguous",IF(ISNUMBER(SEARCH("平",D2679)),"平","仄")))</x:f>
        <x:v>平</x:v>
      </x:c>
      <x:c r="L2679" s="7" t="str"/>
    </x:row>
    <x:row r="2680">
      <x:c r="A2680" s="5" t="str">
        <x:v>皮</x:v>
      </x:c>
      <x:c r="B2680" s="6" t="str">
        <x:v>平</x:v>
      </x:c>
      <x:c r="C2680" s="6" t="str">
        <x:f>IF(B2680="","Needs decision","Ready")</x:f>
        <x:v>Ready</x:v>
      </x:c>
      <x:c r="D2680" s="6" t="str">
        <x:v>平</x:v>
      </x:c>
      <x:c r="E2680" s="6" t="str">
        <x:v>bje (A)</x:v>
      </x:c>
      <x:c r="F2680" s="6" t="str">
        <x:v>上平聲四支</x:v>
      </x:c>
      <x:c r="G2680" s="6" t="str">
        <x:v>Pingshui main list, Wikisource-derived DOCX</x:v>
      </x:c>
      <x:c r="H2680" s="6" t="str">
        <x:v>1</x:v>
      </x:c>
      <x:c r="I2680" s="6" t="str"/>
      <x:c r="J2680" s="6" t="str">
        <x:f>IF(B2680="","",IF(AND(ISNUMBER(SEARCH("平",B2680)),OR(ISNUMBER(SEARCH("上",B2680)),ISNUMBER(SEARCH("去",B2680)),ISNUMBER(SEARCH("入",B2680)))),"Ambiguous",IF(ISNUMBER(SEARCH("平",B2680)),"平","仄")))</x:f>
        <x:v>平</x:v>
      </x:c>
      <x:c r="K2680" s="6" t="str">
        <x:f>IF(D2680="","",IF(AND(ISNUMBER(SEARCH("平",D2680)),OR(ISNUMBER(SEARCH("上",D2680)),ISNUMBER(SEARCH("去",D2680)),ISNUMBER(SEARCH("入",D2680)))),"Ambiguous",IF(ISNUMBER(SEARCH("平",D2680)),"平","仄")))</x:f>
        <x:v>平</x:v>
      </x:c>
      <x:c r="L2680" s="7" t="str"/>
    </x:row>
    <x:row r="2681">
      <x:c r="A2681" s="5" t="str">
        <x:v>皺</x:v>
      </x:c>
      <x:c r="B2681" s="6" t="str">
        <x:v>去</x:v>
      </x:c>
      <x:c r="C2681" s="6" t="str">
        <x:f>IF(B2681="","Needs decision","Ready")</x:f>
        <x:v>Ready</x:v>
      </x:c>
      <x:c r="D2681" s="6" t="str">
        <x:v>去</x:v>
      </x:c>
      <x:c r="E2681" s="6" t="str">
        <x:v>tsrjuwH (C)</x:v>
      </x:c>
      <x:c r="F2681" s="6" t="str">
        <x:v>去聲二十六宥</x:v>
      </x:c>
      <x:c r="G2681" s="6" t="str">
        <x:v>Pingshui main list, Wikisource-derived DOCX</x:v>
      </x:c>
      <x:c r="H2681" s="6" t="str">
        <x:v>1</x:v>
      </x:c>
      <x:c r="I2681" s="6" t="str"/>
      <x:c r="J2681" s="6" t="str">
        <x:f>IF(B2681="","",IF(AND(ISNUMBER(SEARCH("平",B2681)),OR(ISNUMBER(SEARCH("上",B2681)),ISNUMBER(SEARCH("去",B2681)),ISNUMBER(SEARCH("入",B2681)))),"Ambiguous",IF(ISNUMBER(SEARCH("平",B2681)),"平","仄")))</x:f>
        <x:v>仄</x:v>
      </x:c>
      <x:c r="K2681" s="6" t="str">
        <x:f>IF(D2681="","",IF(AND(ISNUMBER(SEARCH("平",D2681)),OR(ISNUMBER(SEARCH("上",D2681)),ISNUMBER(SEARCH("去",D2681)),ISNUMBER(SEARCH("入",D2681)))),"Ambiguous",IF(ISNUMBER(SEARCH("平",D2681)),"平","仄")))</x:f>
        <x:v>仄</x:v>
      </x:c>
      <x:c r="L2681" s="7" t="str"/>
    </x:row>
    <x:row r="2682">
      <x:c r="A2682" s="5" t="str">
        <x:v>皿</x:v>
      </x:c>
      <x:c r="B2682" s="6" t="str">
        <x:v>上</x:v>
      </x:c>
      <x:c r="C2682" s="6" t="str">
        <x:f>IF(B2682="","Needs decision","Ready")</x:f>
        <x:v>Ready</x:v>
      </x:c>
      <x:c r="D2682" s="6" t="str">
        <x:v>上</x:v>
      </x:c>
      <x:c r="E2682" s="6" t="str">
        <x:v>mjaengX (B)</x:v>
      </x:c>
      <x:c r="F2682" s="6" t="str">
        <x:v>上聲二十三梗</x:v>
      </x:c>
      <x:c r="G2682" s="6" t="str">
        <x:v>Pingshui main list, Wikisource-derived DOCX</x:v>
      </x:c>
      <x:c r="H2682" s="6" t="str">
        <x:v>1</x:v>
      </x:c>
      <x:c r="I2682" s="6" t="str"/>
      <x:c r="J2682" s="6" t="str">
        <x:f>IF(B2682="","",IF(AND(ISNUMBER(SEARCH("平",B2682)),OR(ISNUMBER(SEARCH("上",B2682)),ISNUMBER(SEARCH("去",B2682)),ISNUMBER(SEARCH("入",B2682)))),"Ambiguous",IF(ISNUMBER(SEARCH("平",B2682)),"平","仄")))</x:f>
        <x:v>仄</x:v>
      </x:c>
      <x:c r="K2682" s="6" t="str">
        <x:f>IF(D2682="","",IF(AND(ISNUMBER(SEARCH("平",D2682)),OR(ISNUMBER(SEARCH("上",D2682)),ISNUMBER(SEARCH("去",D2682)),ISNUMBER(SEARCH("入",D2682)))),"Ambiguous",IF(ISNUMBER(SEARCH("平",D2682)),"平","仄")))</x:f>
        <x:v>仄</x:v>
      </x:c>
      <x:c r="L2682" s="7" t="str"/>
    </x:row>
    <x:row r="2683">
      <x:c r="A2683" s="5" t="str">
        <x:v>盂</x:v>
      </x:c>
      <x:c r="B2683" s="6" t="str">
        <x:v>平</x:v>
      </x:c>
      <x:c r="C2683" s="6" t="str">
        <x:f>IF(B2683="","Needs decision","Ready")</x:f>
        <x:v>Ready</x:v>
      </x:c>
      <x:c r="D2683" s="6" t="str">
        <x:v>平</x:v>
      </x:c>
      <x:c r="E2683" s="6" t="str">
        <x:v>hju (A)</x:v>
      </x:c>
      <x:c r="F2683" s="6" t="str">
        <x:v>上平聲七虞</x:v>
      </x:c>
      <x:c r="G2683" s="6" t="str">
        <x:v>Pingshui main list, Wikisource-derived DOCX</x:v>
      </x:c>
      <x:c r="H2683" s="6" t="str">
        <x:v>1</x:v>
      </x:c>
      <x:c r="I2683" s="6" t="str"/>
      <x:c r="J2683" s="6" t="str">
        <x:f>IF(B2683="","",IF(AND(ISNUMBER(SEARCH("平",B2683)),OR(ISNUMBER(SEARCH("上",B2683)),ISNUMBER(SEARCH("去",B2683)),ISNUMBER(SEARCH("入",B2683)))),"Ambiguous",IF(ISNUMBER(SEARCH("平",B2683)),"平","仄")))</x:f>
        <x:v>平</x:v>
      </x:c>
      <x:c r="K2683" s="6" t="str">
        <x:f>IF(D2683="","",IF(AND(ISNUMBER(SEARCH("平",D2683)),OR(ISNUMBER(SEARCH("上",D2683)),ISNUMBER(SEARCH("去",D2683)),ISNUMBER(SEARCH("入",D2683)))),"Ambiguous",IF(ISNUMBER(SEARCH("平",D2683)),"平","仄")))</x:f>
        <x:v>平</x:v>
      </x:c>
      <x:c r="L2683" s="7" t="str"/>
    </x:row>
    <x:row r="2684">
      <x:c r="A2684" s="5" t="str">
        <x:v>盃</x:v>
      </x:c>
      <x:c r="B2684" s="6" t="str">
        <x:v>平</x:v>
      </x:c>
      <x:c r="C2684" s="6" t="str">
        <x:f>IF(B2684="","Needs decision","Ready")</x:f>
        <x:v>Ready</x:v>
      </x:c>
      <x:c r="D2684" s="6" t="str">
        <x:v>平</x:v>
      </x:c>
      <x:c r="E2684" s="6" t="str">
        <x:v>pwoj [p̙wəj] (平)</x:v>
      </x:c>
      <x:c r="F2684" s="6" t="str"/>
      <x:c r="G2684" s="6" t="str"/>
      <x:c r="H2684" s="6" t="str">
        <x:v>1</x:v>
      </x:c>
      <x:c r="I2684" s="6" t="str">
        <x:v>Tang 300 gap; frequency 2; provisional from Xun Gong</x:v>
      </x:c>
      <x:c r="J2684" s="6" t="str">
        <x:f>IF(B2684="","",IF(AND(ISNUMBER(SEARCH("平",B2684)),OR(ISNUMBER(SEARCH("上",B2684)),ISNUMBER(SEARCH("去",B2684)),ISNUMBER(SEARCH("入",B2684)))),"Ambiguous",IF(ISNUMBER(SEARCH("平",B2684)),"平","仄")))</x:f>
        <x:v>平</x:v>
      </x:c>
      <x:c r="K2684" s="6" t="str">
        <x:f>IF(D2684="","",IF(AND(ISNUMBER(SEARCH("平",D2684)),OR(ISNUMBER(SEARCH("上",D2684)),ISNUMBER(SEARCH("去",D2684)),ISNUMBER(SEARCH("入",D2684)))),"Ambiguous",IF(ISNUMBER(SEARCH("平",D2684)),"平","仄")))</x:f>
        <x:v>平</x:v>
      </x:c>
      <x:c r="L2684" s="7" t="str">
        <x:v>Xun Gong, Tang 300 gap fill</x:v>
      </x:c>
    </x:row>
    <x:row r="2685">
      <x:c r="A2685" s="5" t="str">
        <x:v>盆</x:v>
      </x:c>
      <x:c r="B2685" s="6" t="str">
        <x:v>平</x:v>
      </x:c>
      <x:c r="C2685" s="6" t="str">
        <x:f>IF(B2685="","Needs decision","Ready")</x:f>
        <x:v>Ready</x:v>
      </x:c>
      <x:c r="D2685" s="6" t="str">
        <x:v>平</x:v>
      </x:c>
      <x:c r="E2685" s="6" t="str">
        <x:v>bwon (A)</x:v>
      </x:c>
      <x:c r="F2685" s="6" t="str">
        <x:v>上平聲十三元</x:v>
      </x:c>
      <x:c r="G2685" s="6" t="str">
        <x:v>Pingshui main list, Wikisource-derived DOCX</x:v>
      </x:c>
      <x:c r="H2685" s="6" t="str">
        <x:v>1</x:v>
      </x:c>
      <x:c r="I2685" s="6" t="str"/>
      <x:c r="J2685" s="6" t="str">
        <x:f>IF(B2685="","",IF(AND(ISNUMBER(SEARCH("平",B2685)),OR(ISNUMBER(SEARCH("上",B2685)),ISNUMBER(SEARCH("去",B2685)),ISNUMBER(SEARCH("入",B2685)))),"Ambiguous",IF(ISNUMBER(SEARCH("平",B2685)),"平","仄")))</x:f>
        <x:v>平</x:v>
      </x:c>
      <x:c r="K2685" s="6" t="str">
        <x:f>IF(D2685="","",IF(AND(ISNUMBER(SEARCH("平",D2685)),OR(ISNUMBER(SEARCH("上",D2685)),ISNUMBER(SEARCH("去",D2685)),ISNUMBER(SEARCH("入",D2685)))),"Ambiguous",IF(ISNUMBER(SEARCH("平",D2685)),"平","仄")))</x:f>
        <x:v>平</x:v>
      </x:c>
      <x:c r="L2685" s="7" t="str"/>
    </x:row>
    <x:row r="2686">
      <x:c r="A2686" s="5" t="str">
        <x:v>盈</x:v>
      </x:c>
      <x:c r="B2686" s="6" t="str">
        <x:v>平</x:v>
      </x:c>
      <x:c r="C2686" s="6" t="str">
        <x:f>IF(B2686="","Needs decision","Ready")</x:f>
        <x:v>Ready</x:v>
      </x:c>
      <x:c r="D2686" s="6" t="str">
        <x:v>平</x:v>
      </x:c>
      <x:c r="E2686" s="6" t="str">
        <x:v>yeng (A)</x:v>
      </x:c>
      <x:c r="F2686" s="6" t="str">
        <x:v>下平聲八庚</x:v>
      </x:c>
      <x:c r="G2686" s="6" t="str">
        <x:v>Pingshui main list, Wikisource-derived DOCX</x:v>
      </x:c>
      <x:c r="H2686" s="6" t="str">
        <x:v>1</x:v>
      </x:c>
      <x:c r="I2686" s="6" t="str"/>
      <x:c r="J2686" s="6" t="str">
        <x:f>IF(B2686="","",IF(AND(ISNUMBER(SEARCH("平",B2686)),OR(ISNUMBER(SEARCH("上",B2686)),ISNUMBER(SEARCH("去",B2686)),ISNUMBER(SEARCH("入",B2686)))),"Ambiguous",IF(ISNUMBER(SEARCH("平",B2686)),"平","仄")))</x:f>
        <x:v>平</x:v>
      </x:c>
      <x:c r="K2686" s="6" t="str">
        <x:f>IF(D2686="","",IF(AND(ISNUMBER(SEARCH("平",D2686)),OR(ISNUMBER(SEARCH("上",D2686)),ISNUMBER(SEARCH("去",D2686)),ISNUMBER(SEARCH("入",D2686)))),"Ambiguous",IF(ISNUMBER(SEARCH("平",D2686)),"平","仄")))</x:f>
        <x:v>平</x:v>
      </x:c>
      <x:c r="L2686" s="7" t="str"/>
    </x:row>
    <x:row r="2687">
      <x:c r="A2687" s="5" t="str">
        <x:v>益</x:v>
      </x:c>
      <x:c r="B2687" s="6" t="str">
        <x:v>入</x:v>
      </x:c>
      <x:c r="C2687" s="6" t="str">
        <x:f>IF(B2687="","Needs decision","Ready")</x:f>
        <x:v>Ready</x:v>
      </x:c>
      <x:c r="D2687" s="6" t="str">
        <x:v>入</x:v>
      </x:c>
      <x:c r="E2687" s="6" t="str">
        <x:v>'jiek (D)</x:v>
      </x:c>
      <x:c r="F2687" s="6" t="str">
        <x:v>入聲十一陌</x:v>
      </x:c>
      <x:c r="G2687" s="6" t="str">
        <x:v>Pingshui main list, Wikisource-derived DOCX</x:v>
      </x:c>
      <x:c r="H2687" s="6" t="str">
        <x:v>1</x:v>
      </x:c>
      <x:c r="I2687" s="6" t="str"/>
      <x:c r="J2687" s="6" t="str">
        <x:f>IF(B2687="","",IF(AND(ISNUMBER(SEARCH("平",B2687)),OR(ISNUMBER(SEARCH("上",B2687)),ISNUMBER(SEARCH("去",B2687)),ISNUMBER(SEARCH("入",B2687)))),"Ambiguous",IF(ISNUMBER(SEARCH("平",B2687)),"平","仄")))</x:f>
        <x:v>仄</x:v>
      </x:c>
      <x:c r="K2687" s="6" t="str">
        <x:f>IF(D2687="","",IF(AND(ISNUMBER(SEARCH("平",D2687)),OR(ISNUMBER(SEARCH("上",D2687)),ISNUMBER(SEARCH("去",D2687)),ISNUMBER(SEARCH("入",D2687)))),"Ambiguous",IF(ISNUMBER(SEARCH("平",D2687)),"平","仄")))</x:f>
        <x:v>仄</x:v>
      </x:c>
      <x:c r="L2687" s="7" t="str"/>
    </x:row>
    <x:row r="2688">
      <x:c r="A2688" s="5" t="str">
        <x:v>盍</x:v>
      </x:c>
      <x:c r="B2688" s="6" t="str">
        <x:v>入</x:v>
      </x:c>
      <x:c r="C2688" s="6" t="str">
        <x:f>IF(B2688="","Needs decision","Ready")</x:f>
        <x:v>Ready</x:v>
      </x:c>
      <x:c r="D2688" s="6" t="str">
        <x:v>入</x:v>
      </x:c>
      <x:c r="E2688" s="6" t="str">
        <x:v>hap (D)</x:v>
      </x:c>
      <x:c r="F2688" s="6" t="str">
        <x:v>入聲十五合</x:v>
      </x:c>
      <x:c r="G2688" s="6" t="str">
        <x:v>Pingshui main list, Wikisource-derived DOCX</x:v>
      </x:c>
      <x:c r="H2688" s="6" t="str">
        <x:v>1</x:v>
      </x:c>
      <x:c r="I2688" s="6" t="str"/>
      <x:c r="J2688" s="6" t="str">
        <x:f>IF(B2688="","",IF(AND(ISNUMBER(SEARCH("平",B2688)),OR(ISNUMBER(SEARCH("上",B2688)),ISNUMBER(SEARCH("去",B2688)),ISNUMBER(SEARCH("入",B2688)))),"Ambiguous",IF(ISNUMBER(SEARCH("平",B2688)),"平","仄")))</x:f>
        <x:v>仄</x:v>
      </x:c>
      <x:c r="K2688" s="6" t="str">
        <x:f>IF(D2688="","",IF(AND(ISNUMBER(SEARCH("平",D2688)),OR(ISNUMBER(SEARCH("上",D2688)),ISNUMBER(SEARCH("去",D2688)),ISNUMBER(SEARCH("入",D2688)))),"Ambiguous",IF(ISNUMBER(SEARCH("平",D2688)),"平","仄")))</x:f>
        <x:v>仄</x:v>
      </x:c>
      <x:c r="L2688" s="7" t="str"/>
    </x:row>
    <x:row r="2689">
      <x:c r="A2689" s="5" t="str">
        <x:v>盛</x:v>
      </x:c>
      <x:c r="B2689" s="6" t="str">
        <x:v>去</x:v>
      </x:c>
      <x:c r="C2689" s="6" t="str">
        <x:f>IF(B2689="","Needs decision","Ready")</x:f>
        <x:v>Ready</x:v>
      </x:c>
      <x:c r="D2689" s="6" t="str">
        <x:v>平/去</x:v>
      </x:c>
      <x:c r="E2689" s="6" t="str">
        <x:v>dzyeng (A); dzyengH (C)</x:v>
      </x:c>
      <x:c r="F2689" s="6" t="str">
        <x:v>下平聲八庚; 去聲二十四敬</x:v>
      </x:c>
      <x:c r="G2689" s="6" t="str">
        <x:v>Pingshui main list, Wikisource-derived DOCX</x:v>
      </x:c>
      <x:c r="H2689" s="6" t="str">
        <x:v>2</x:v>
      </x:c>
      <x:c r="I2689" s="6" t="str"/>
      <x:c r="J2689" s="6" t="str">
        <x:f>IF(B2689="","",IF(AND(ISNUMBER(SEARCH("平",B2689)),OR(ISNUMBER(SEARCH("上",B2689)),ISNUMBER(SEARCH("去",B2689)),ISNUMBER(SEARCH("入",B2689)))),"Ambiguous",IF(ISNUMBER(SEARCH("平",B2689)),"平","仄")))</x:f>
        <x:v>仄</x:v>
      </x:c>
      <x:c r="K2689" s="6" t="str">
        <x:f>IF(D2689="","",IF(AND(ISNUMBER(SEARCH("平",D2689)),OR(ISNUMBER(SEARCH("上",D2689)),ISNUMBER(SEARCH("去",D2689)),ISNUMBER(SEARCH("入",D2689)))),"Ambiguous",IF(ISNUMBER(SEARCH("平",D2689)),"平","仄")))</x:f>
        <x:v>Ambiguous</x:v>
      </x:c>
      <x:c r="L2689" s="7" t="str"/>
    </x:row>
    <x:row r="2690">
      <x:c r="A2690" s="5" t="str">
        <x:v>盜</x:v>
      </x:c>
      <x:c r="B2690" s="6" t="str">
        <x:v>去</x:v>
      </x:c>
      <x:c r="C2690" s="6" t="str">
        <x:f>IF(B2690="","Needs decision","Ready")</x:f>
        <x:v>Ready</x:v>
      </x:c>
      <x:c r="D2690" s="6" t="str">
        <x:v>去</x:v>
      </x:c>
      <x:c r="E2690" s="6" t="str">
        <x:v>dawH (C)</x:v>
      </x:c>
      <x:c r="F2690" s="6" t="str">
        <x:v>去聲二十號</x:v>
      </x:c>
      <x:c r="G2690" s="6" t="str">
        <x:v>Pingshui main list, Wikisource-derived DOCX</x:v>
      </x:c>
      <x:c r="H2690" s="6" t="str">
        <x:v>1</x:v>
      </x:c>
      <x:c r="I2690" s="6" t="str"/>
      <x:c r="J2690" s="6" t="str">
        <x:f>IF(B2690="","",IF(AND(ISNUMBER(SEARCH("平",B2690)),OR(ISNUMBER(SEARCH("上",B2690)),ISNUMBER(SEARCH("去",B2690)),ISNUMBER(SEARCH("入",B2690)))),"Ambiguous",IF(ISNUMBER(SEARCH("平",B2690)),"平","仄")))</x:f>
        <x:v>仄</x:v>
      </x:c>
      <x:c r="K2690" s="6" t="str">
        <x:f>IF(D2690="","",IF(AND(ISNUMBER(SEARCH("平",D2690)),OR(ISNUMBER(SEARCH("上",D2690)),ISNUMBER(SEARCH("去",D2690)),ISNUMBER(SEARCH("入",D2690)))),"Ambiguous",IF(ISNUMBER(SEARCH("平",D2690)),"平","仄")))</x:f>
        <x:v>仄</x:v>
      </x:c>
      <x:c r="L2690" s="7" t="str"/>
    </x:row>
    <x:row r="2691">
      <x:c r="A2691" s="5" t="str">
        <x:v>盝</x:v>
      </x:c>
      <x:c r="B2691" s="6" t="str">
        <x:v>入</x:v>
      </x:c>
      <x:c r="C2691" s="6" t="str">
        <x:f>IF(B2691="","Needs decision","Ready")</x:f>
        <x:v>Ready</x:v>
      </x:c>
      <x:c r="D2691" s="6" t="str">
        <x:v>入</x:v>
      </x:c>
      <x:c r="E2691" s="6" t="str">
        <x:v>luwk (D)</x:v>
      </x:c>
      <x:c r="F2691" s="6" t="str">
        <x:v>入聲一屋</x:v>
      </x:c>
      <x:c r="G2691" s="6" t="str">
        <x:v>Pingshui main list, Wikisource-derived DOCX</x:v>
      </x:c>
      <x:c r="H2691" s="6" t="str">
        <x:v>1</x:v>
      </x:c>
      <x:c r="I2691" s="6" t="str"/>
      <x:c r="J2691" s="6" t="str">
        <x:f>IF(B2691="","",IF(AND(ISNUMBER(SEARCH("平",B2691)),OR(ISNUMBER(SEARCH("上",B2691)),ISNUMBER(SEARCH("去",B2691)),ISNUMBER(SEARCH("入",B2691)))),"Ambiguous",IF(ISNUMBER(SEARCH("平",B2691)),"平","仄")))</x:f>
        <x:v>仄</x:v>
      </x:c>
      <x:c r="K2691" s="6" t="str">
        <x:f>IF(D2691="","",IF(AND(ISNUMBER(SEARCH("平",D2691)),OR(ISNUMBER(SEARCH("上",D2691)),ISNUMBER(SEARCH("去",D2691)),ISNUMBER(SEARCH("入",D2691)))),"Ambiguous",IF(ISNUMBER(SEARCH("平",D2691)),"平","仄")))</x:f>
        <x:v>仄</x:v>
      </x:c>
      <x:c r="L2691" s="7" t="str"/>
    </x:row>
    <x:row r="2692">
      <x:c r="A2692" s="5" t="str">
        <x:v>盞</x:v>
      </x:c>
      <x:c r="B2692" s="6" t="str">
        <x:v>上</x:v>
      </x:c>
      <x:c r="C2692" s="6" t="str">
        <x:f>IF(B2692="","Needs decision","Ready")</x:f>
        <x:v>Ready</x:v>
      </x:c>
      <x:c r="D2692" s="6" t="str">
        <x:v>上</x:v>
      </x:c>
      <x:c r="E2692" s="6" t="str">
        <x:v>tsreanX (B)</x:v>
      </x:c>
      <x:c r="F2692" s="6" t="str"/>
      <x:c r="G2692" s="6" t="str"/>
      <x:c r="H2692" s="6" t="str">
        <x:v>1</x:v>
      </x:c>
      <x:c r="I2692" s="6" t="str"/>
      <x:c r="J2692" s="6" t="str">
        <x:f>IF(B2692="","",IF(AND(ISNUMBER(SEARCH("平",B2692)),OR(ISNUMBER(SEARCH("上",B2692)),ISNUMBER(SEARCH("去",B2692)),ISNUMBER(SEARCH("入",B2692)))),"Ambiguous",IF(ISNUMBER(SEARCH("平",B2692)),"平","仄")))</x:f>
        <x:v>仄</x:v>
      </x:c>
      <x:c r="K2692" s="6" t="str">
        <x:f>IF(D2692="","",IF(AND(ISNUMBER(SEARCH("平",D2692)),OR(ISNUMBER(SEARCH("上",D2692)),ISNUMBER(SEARCH("去",D2692)),ISNUMBER(SEARCH("入",D2692)))),"Ambiguous",IF(ISNUMBER(SEARCH("平",D2692)),"平","仄")))</x:f>
        <x:v>仄</x:v>
      </x:c>
      <x:c r="L2692" s="7" t="str"/>
    </x:row>
    <x:row r="2693">
      <x:c r="A2693" s="5" t="str">
        <x:v>盟</x:v>
      </x:c>
      <x:c r="B2693" s="6" t="str">
        <x:v>平</x:v>
      </x:c>
      <x:c r="C2693" s="6" t="str">
        <x:f>IF(B2693="","Needs decision","Ready")</x:f>
        <x:v>Ready</x:v>
      </x:c>
      <x:c r="D2693" s="6" t="str">
        <x:v>平</x:v>
      </x:c>
      <x:c r="E2693" s="6" t="str">
        <x:v>mjaeng (A)</x:v>
      </x:c>
      <x:c r="F2693" s="6" t="str">
        <x:v>下平聲八庚; 去聲二十四敬</x:v>
      </x:c>
      <x:c r="G2693" s="6" t="str">
        <x:v>Pingshui main list, Wikisource-derived DOCX</x:v>
      </x:c>
      <x:c r="H2693" s="6" t="str">
        <x:v>1</x:v>
      </x:c>
      <x:c r="I2693" s="6" t="str"/>
      <x:c r="J2693" s="6" t="str">
        <x:f>IF(B2693="","",IF(AND(ISNUMBER(SEARCH("平",B2693)),OR(ISNUMBER(SEARCH("上",B2693)),ISNUMBER(SEARCH("去",B2693)),ISNUMBER(SEARCH("入",B2693)))),"Ambiguous",IF(ISNUMBER(SEARCH("平",B2693)),"平","仄")))</x:f>
        <x:v>平</x:v>
      </x:c>
      <x:c r="K2693" s="6" t="str">
        <x:f>IF(D2693="","",IF(AND(ISNUMBER(SEARCH("平",D2693)),OR(ISNUMBER(SEARCH("上",D2693)),ISNUMBER(SEARCH("去",D2693)),ISNUMBER(SEARCH("入",D2693)))),"Ambiguous",IF(ISNUMBER(SEARCH("平",D2693)),"平","仄")))</x:f>
        <x:v>平</x:v>
      </x:c>
      <x:c r="L2693" s="7" t="str"/>
    </x:row>
    <x:row r="2694">
      <x:c r="A2694" s="5" t="str">
        <x:v>盡</x:v>
      </x:c>
      <x:c r="B2694" s="6" t="str">
        <x:v>上</x:v>
      </x:c>
      <x:c r="C2694" s="6" t="str">
        <x:f>IF(B2694="","Needs decision","Ready")</x:f>
        <x:v>Ready</x:v>
      </x:c>
      <x:c r="D2694" s="6" t="str">
        <x:v>上</x:v>
      </x:c>
      <x:c r="E2694" s="6" t="str">
        <x:v>tsinX (B); dzinX (B)</x:v>
      </x:c>
      <x:c r="F2694" s="6" t="str">
        <x:v>上聲十一軫</x:v>
      </x:c>
      <x:c r="G2694" s="6" t="str">
        <x:v>Pingshui main list, Wikisource-derived DOCX</x:v>
      </x:c>
      <x:c r="H2694" s="6" t="str">
        <x:v>2</x:v>
      </x:c>
      <x:c r="I2694" s="6" t="str"/>
      <x:c r="J2694" s="6" t="str">
        <x:f>IF(B2694="","",IF(AND(ISNUMBER(SEARCH("平",B2694)),OR(ISNUMBER(SEARCH("上",B2694)),ISNUMBER(SEARCH("去",B2694)),ISNUMBER(SEARCH("入",B2694)))),"Ambiguous",IF(ISNUMBER(SEARCH("平",B2694)),"平","仄")))</x:f>
        <x:v>仄</x:v>
      </x:c>
      <x:c r="K2694" s="6" t="str">
        <x:f>IF(D2694="","",IF(AND(ISNUMBER(SEARCH("平",D2694)),OR(ISNUMBER(SEARCH("上",D2694)),ISNUMBER(SEARCH("去",D2694)),ISNUMBER(SEARCH("入",D2694)))),"Ambiguous",IF(ISNUMBER(SEARCH("平",D2694)),"平","仄")))</x:f>
        <x:v>仄</x:v>
      </x:c>
      <x:c r="L2694" s="7" t="str"/>
    </x:row>
    <x:row r="2695">
      <x:c r="A2695" s="5" t="str">
        <x:v>監</x:v>
      </x:c>
      <x:c r="B2695" s="6" t="str">
        <x:v>去</x:v>
      </x:c>
      <x:c r="C2695" s="6" t="str">
        <x:f>IF(B2695="","Needs decision","Ready")</x:f>
        <x:v>Ready</x:v>
      </x:c>
      <x:c r="D2695" s="6" t="str">
        <x:v>平/去</x:v>
      </x:c>
      <x:c r="E2695" s="6" t="str">
        <x:v>kaem (A); kaemH (C)</x:v>
      </x:c>
      <x:c r="F2695" s="6" t="str">
        <x:v>下平聲十五咸; 去聲三十陷</x:v>
      </x:c>
      <x:c r="G2695" s="6" t="str">
        <x:v>Pingshui main list, Wikisource-derived DOCX</x:v>
      </x:c>
      <x:c r="H2695" s="6" t="str">
        <x:v>2</x:v>
      </x:c>
      <x:c r="I2695" s="6" t="str"/>
      <x:c r="J2695" s="6" t="str">
        <x:f>IF(B2695="","",IF(AND(ISNUMBER(SEARCH("平",B2695)),OR(ISNUMBER(SEARCH("上",B2695)),ISNUMBER(SEARCH("去",B2695)),ISNUMBER(SEARCH("入",B2695)))),"Ambiguous",IF(ISNUMBER(SEARCH("平",B2695)),"平","仄")))</x:f>
        <x:v>仄</x:v>
      </x:c>
      <x:c r="K2695" s="6" t="str">
        <x:f>IF(D2695="","",IF(AND(ISNUMBER(SEARCH("平",D2695)),OR(ISNUMBER(SEARCH("上",D2695)),ISNUMBER(SEARCH("去",D2695)),ISNUMBER(SEARCH("入",D2695)))),"Ambiguous",IF(ISNUMBER(SEARCH("平",D2695)),"平","仄")))</x:f>
        <x:v>Ambiguous</x:v>
      </x:c>
      <x:c r="L2695" s="7" t="str"/>
    </x:row>
    <x:row r="2696">
      <x:c r="A2696" s="5" t="str">
        <x:v>盤</x:v>
      </x:c>
      <x:c r="B2696" s="6" t="str">
        <x:v>平</x:v>
      </x:c>
      <x:c r="C2696" s="6" t="str">
        <x:f>IF(B2696="","Needs decision","Ready")</x:f>
        <x:v>Ready</x:v>
      </x:c>
      <x:c r="D2696" s="6" t="str">
        <x:v>平</x:v>
      </x:c>
      <x:c r="E2696" s="6" t="str">
        <x:v>ban (A)</x:v>
      </x:c>
      <x:c r="F2696" s="6" t="str">
        <x:v>上平聲十四寒</x:v>
      </x:c>
      <x:c r="G2696" s="6" t="str">
        <x:v>Pingshui main list, Wikisource-derived DOCX</x:v>
      </x:c>
      <x:c r="H2696" s="6" t="str">
        <x:v>1</x:v>
      </x:c>
      <x:c r="I2696" s="6" t="str"/>
      <x:c r="J2696" s="6" t="str">
        <x:f>IF(B2696="","",IF(AND(ISNUMBER(SEARCH("平",B2696)),OR(ISNUMBER(SEARCH("上",B2696)),ISNUMBER(SEARCH("去",B2696)),ISNUMBER(SEARCH("入",B2696)))),"Ambiguous",IF(ISNUMBER(SEARCH("平",B2696)),"平","仄")))</x:f>
        <x:v>平</x:v>
      </x:c>
      <x:c r="K2696" s="6" t="str">
        <x:f>IF(D2696="","",IF(AND(ISNUMBER(SEARCH("平",D2696)),OR(ISNUMBER(SEARCH("上",D2696)),ISNUMBER(SEARCH("去",D2696)),ISNUMBER(SEARCH("入",D2696)))),"Ambiguous",IF(ISNUMBER(SEARCH("平",D2696)),"平","仄")))</x:f>
        <x:v>平</x:v>
      </x:c>
      <x:c r="L2696" s="7" t="str"/>
    </x:row>
    <x:row r="2697">
      <x:c r="A2697" s="5" t="str">
        <x:v>盧</x:v>
      </x:c>
      <x:c r="B2697" s="6" t="str">
        <x:v>平</x:v>
      </x:c>
      <x:c r="C2697" s="6" t="str">
        <x:f>IF(B2697="","Needs decision","Ready")</x:f>
        <x:v>Ready</x:v>
      </x:c>
      <x:c r="D2697" s="6" t="str">
        <x:v>平</x:v>
      </x:c>
      <x:c r="E2697" s="6" t="str">
        <x:v>lu [l̙o] (平)</x:v>
      </x:c>
      <x:c r="F2697" s="6" t="str">
        <x:v>上平聲七虞</x:v>
      </x:c>
      <x:c r="G2697" s="6" t="str">
        <x:v>Pingshui main list, Wikisource-derived DOCX</x:v>
      </x:c>
      <x:c r="H2697" s="6" t="str">
        <x:v>1</x:v>
      </x:c>
      <x:c r="I2697" s="6" t="str">
        <x:v>Tang 300 gap; frequency 2; provisional from Xun Gong</x:v>
      </x:c>
      <x:c r="J2697" s="6" t="str">
        <x:f>IF(B2697="","",IF(AND(ISNUMBER(SEARCH("平",B2697)),OR(ISNUMBER(SEARCH("上",B2697)),ISNUMBER(SEARCH("去",B2697)),ISNUMBER(SEARCH("入",B2697)))),"Ambiguous",IF(ISNUMBER(SEARCH("平",B2697)),"平","仄")))</x:f>
        <x:v>平</x:v>
      </x:c>
      <x:c r="K2697" s="6" t="str">
        <x:f>IF(D2697="","",IF(AND(ISNUMBER(SEARCH("平",D2697)),OR(ISNUMBER(SEARCH("上",D2697)),ISNUMBER(SEARCH("去",D2697)),ISNUMBER(SEARCH("入",D2697)))),"Ambiguous",IF(ISNUMBER(SEARCH("平",D2697)),"平","仄")))</x:f>
        <x:v>平</x:v>
      </x:c>
      <x:c r="L2697" s="7" t="str">
        <x:v>Xun Gong, Tang 300 gap fill</x:v>
      </x:c>
    </x:row>
    <x:row r="2698">
      <x:c r="A2698" s="5" t="str">
        <x:v>盪</x:v>
      </x:c>
      <x:c r="B2698" s="6" t="str">
        <x:v>上</x:v>
      </x:c>
      <x:c r="C2698" s="6" t="str">
        <x:f>IF(B2698="","Needs decision","Ready")</x:f>
        <x:v>Ready</x:v>
      </x:c>
      <x:c r="D2698" s="6" t="str">
        <x:v>平/上/去</x:v>
      </x:c>
      <x:c r="E2698" s="6" t="str">
        <x:v>dangX [d̙ɑŋʔ] (上); thang [t̙ʰɑŋ] (平); thangH [t̙ʰɑŋh] (去)</x:v>
      </x:c>
      <x:c r="F2698" s="6" t="str">
        <x:v>上聲二十二養; 去聲二十三漾</x:v>
      </x:c>
      <x:c r="G2698" s="6" t="str">
        <x:v>Pingshui main list, Wikisource-derived DOCX</x:v>
      </x:c>
      <x:c r="H2698" s="6" t="str">
        <x:v>3</x:v>
      </x:c>
      <x:c r="I2698" s="6" t="str">
        <x:v>Tang 300 gap; frequency 1; ambiguous in Xun Gong</x:v>
      </x:c>
      <x:c r="J2698" s="6" t="str">
        <x:f>IF(B2698="","",IF(AND(ISNUMBER(SEARCH("平",B2698)),OR(ISNUMBER(SEARCH("上",B2698)),ISNUMBER(SEARCH("去",B2698)),ISNUMBER(SEARCH("入",B2698)))),"Ambiguous",IF(ISNUMBER(SEARCH("平",B2698)),"平","仄")))</x:f>
        <x:v>仄</x:v>
      </x:c>
      <x:c r="K2698" s="6" t="str">
        <x:f>IF(D2698="","",IF(AND(ISNUMBER(SEARCH("平",D2698)),OR(ISNUMBER(SEARCH("上",D2698)),ISNUMBER(SEARCH("去",D2698)),ISNUMBER(SEARCH("入",D2698)))),"Ambiguous",IF(ISNUMBER(SEARCH("平",D2698)),"平","仄")))</x:f>
        <x:v>Ambiguous</x:v>
      </x:c>
      <x:c r="L2698" s="7" t="str">
        <x:v>Xun Gong, Tang 300 gap fill</x:v>
      </x:c>
    </x:row>
    <x:row r="2699">
      <x:c r="A2699" s="5" t="str">
        <x:v>目</x:v>
      </x:c>
      <x:c r="B2699" s="6" t="str">
        <x:v>入</x:v>
      </x:c>
      <x:c r="C2699" s="6" t="str">
        <x:f>IF(B2699="","Needs decision","Ready")</x:f>
        <x:v>Ready</x:v>
      </x:c>
      <x:c r="D2699" s="6" t="str">
        <x:v>入</x:v>
      </x:c>
      <x:c r="E2699" s="6" t="str">
        <x:v>mjuwk (D)</x:v>
      </x:c>
      <x:c r="F2699" s="6" t="str">
        <x:v>入聲一屋</x:v>
      </x:c>
      <x:c r="G2699" s="6" t="str">
        <x:v>Pingshui main list, Wikisource-derived DOCX</x:v>
      </x:c>
      <x:c r="H2699" s="6" t="str">
        <x:v>1</x:v>
      </x:c>
      <x:c r="I2699" s="6" t="str"/>
      <x:c r="J2699" s="6" t="str">
        <x:f>IF(B2699="","",IF(AND(ISNUMBER(SEARCH("平",B2699)),OR(ISNUMBER(SEARCH("上",B2699)),ISNUMBER(SEARCH("去",B2699)),ISNUMBER(SEARCH("入",B2699)))),"Ambiguous",IF(ISNUMBER(SEARCH("平",B2699)),"平","仄")))</x:f>
        <x:v>仄</x:v>
      </x:c>
      <x:c r="K2699" s="6" t="str">
        <x:f>IF(D2699="","",IF(AND(ISNUMBER(SEARCH("平",D2699)),OR(ISNUMBER(SEARCH("上",D2699)),ISNUMBER(SEARCH("去",D2699)),ISNUMBER(SEARCH("入",D2699)))),"Ambiguous",IF(ISNUMBER(SEARCH("平",D2699)),"平","仄")))</x:f>
        <x:v>仄</x:v>
      </x:c>
      <x:c r="L2699" s="7" t="str"/>
    </x:row>
    <x:row r="2700">
      <x:c r="A2700" s="5" t="str">
        <x:v>盱</x:v>
      </x:c>
      <x:c r="B2700" s="6" t="str">
        <x:v>平</x:v>
      </x:c>
      <x:c r="C2700" s="6" t="str">
        <x:f>IF(B2700="","Needs decision","Ready")</x:f>
        <x:v>Ready</x:v>
      </x:c>
      <x:c r="D2700" s="6" t="str">
        <x:v>平</x:v>
      </x:c>
      <x:c r="E2700" s="6" t="str">
        <x:v>xju [xɨ̯o] (平)</x:v>
      </x:c>
      <x:c r="F2700" s="6" t="str">
        <x:v>上平聲七虞</x:v>
      </x:c>
      <x:c r="G2700" s="6" t="str">
        <x:v>Pingshui main list, Wikisource-derived DOCX</x:v>
      </x:c>
      <x:c r="H2700" s="6" t="str">
        <x:v>1</x:v>
      </x:c>
      <x:c r="I2700" s="6" t="str">
        <x:v>Tang 300 gap; frequency 1; provisional from Xun Gong</x:v>
      </x:c>
      <x:c r="J2700" s="6" t="str">
        <x:f>IF(B2700="","",IF(AND(ISNUMBER(SEARCH("平",B2700)),OR(ISNUMBER(SEARCH("上",B2700)),ISNUMBER(SEARCH("去",B2700)),ISNUMBER(SEARCH("入",B2700)))),"Ambiguous",IF(ISNUMBER(SEARCH("平",B2700)),"平","仄")))</x:f>
        <x:v>平</x:v>
      </x:c>
      <x:c r="K2700" s="6" t="str">
        <x:f>IF(D2700="","",IF(AND(ISNUMBER(SEARCH("平",D2700)),OR(ISNUMBER(SEARCH("上",D2700)),ISNUMBER(SEARCH("去",D2700)),ISNUMBER(SEARCH("入",D2700)))),"Ambiguous",IF(ISNUMBER(SEARCH("平",D2700)),"平","仄")))</x:f>
        <x:v>平</x:v>
      </x:c>
      <x:c r="L2700" s="7" t="str">
        <x:v>Xun Gong, Tang 300 gap fill</x:v>
      </x:c>
    </x:row>
    <x:row r="2701">
      <x:c r="A2701" s="5" t="str">
        <x:v>盲</x:v>
      </x:c>
      <x:c r="B2701" s="6" t="str">
        <x:v>平</x:v>
      </x:c>
      <x:c r="C2701" s="6" t="str">
        <x:f>IF(B2701="","Needs decision","Ready")</x:f>
        <x:v>Ready</x:v>
      </x:c>
      <x:c r="D2701" s="6" t="str">
        <x:v>平</x:v>
      </x:c>
      <x:c r="E2701" s="6" t="str">
        <x:v>maeng (A)</x:v>
      </x:c>
      <x:c r="F2701" s="6" t="str">
        <x:v>下平聲八庚</x:v>
      </x:c>
      <x:c r="G2701" s="6" t="str">
        <x:v>Pingshui main list, Wikisource-derived DOCX</x:v>
      </x:c>
      <x:c r="H2701" s="6" t="str">
        <x:v>1</x:v>
      </x:c>
      <x:c r="I2701" s="6" t="str"/>
      <x:c r="J2701" s="6" t="str">
        <x:f>IF(B2701="","",IF(AND(ISNUMBER(SEARCH("平",B2701)),OR(ISNUMBER(SEARCH("上",B2701)),ISNUMBER(SEARCH("去",B2701)),ISNUMBER(SEARCH("入",B2701)))),"Ambiguous",IF(ISNUMBER(SEARCH("平",B2701)),"平","仄")))</x:f>
        <x:v>平</x:v>
      </x:c>
      <x:c r="K2701" s="6" t="str">
        <x:f>IF(D2701="","",IF(AND(ISNUMBER(SEARCH("平",D2701)),OR(ISNUMBER(SEARCH("上",D2701)),ISNUMBER(SEARCH("去",D2701)),ISNUMBER(SEARCH("入",D2701)))),"Ambiguous",IF(ISNUMBER(SEARCH("平",D2701)),"平","仄")))</x:f>
        <x:v>平</x:v>
      </x:c>
      <x:c r="L2701" s="7" t="str"/>
    </x:row>
    <x:row r="2702">
      <x:c r="A2702" s="5" t="str">
        <x:v>直</x:v>
      </x:c>
      <x:c r="B2702" s="6" t="str">
        <x:v>入</x:v>
      </x:c>
      <x:c r="C2702" s="6" t="str">
        <x:f>IF(B2702="","Needs decision","Ready")</x:f>
        <x:v>Ready</x:v>
      </x:c>
      <x:c r="D2702" s="6" t="str">
        <x:v>入</x:v>
      </x:c>
      <x:c r="E2702" s="6" t="str">
        <x:v>drik (D)</x:v>
      </x:c>
      <x:c r="F2702" s="6" t="str">
        <x:v>入聲十三職</x:v>
      </x:c>
      <x:c r="G2702" s="6" t="str">
        <x:v>Pingshui main list, Wikisource-derived DOCX</x:v>
      </x:c>
      <x:c r="H2702" s="6" t="str">
        <x:v>1</x:v>
      </x:c>
      <x:c r="I2702" s="6" t="str"/>
      <x:c r="J2702" s="6" t="str">
        <x:f>IF(B2702="","",IF(AND(ISNUMBER(SEARCH("平",B2702)),OR(ISNUMBER(SEARCH("上",B2702)),ISNUMBER(SEARCH("去",B2702)),ISNUMBER(SEARCH("入",B2702)))),"Ambiguous",IF(ISNUMBER(SEARCH("平",B2702)),"平","仄")))</x:f>
        <x:v>仄</x:v>
      </x:c>
      <x:c r="K2702" s="6" t="str">
        <x:f>IF(D2702="","",IF(AND(ISNUMBER(SEARCH("平",D2702)),OR(ISNUMBER(SEARCH("上",D2702)),ISNUMBER(SEARCH("去",D2702)),ISNUMBER(SEARCH("入",D2702)))),"Ambiguous",IF(ISNUMBER(SEARCH("平",D2702)),"平","仄")))</x:f>
        <x:v>仄</x:v>
      </x:c>
      <x:c r="L2702" s="7" t="str"/>
    </x:row>
    <x:row r="2703">
      <x:c r="A2703" s="5" t="str">
        <x:v>相</x:v>
      </x:c>
      <x:c r="B2703" s="6" t="str"/>
      <x:c r="C2703" s="6" t="str">
        <x:f>IF(B2703="","Needs decision","Ready")</x:f>
        <x:v>Needs decision</x:v>
      </x:c>
      <x:c r="D2703" s="6" t="str">
        <x:v>平/去</x:v>
      </x:c>
      <x:c r="E2703" s="6" t="str">
        <x:v>sjang (A); sjangH (C)</x:v>
      </x:c>
      <x:c r="F2703" s="6" t="str">
        <x:v>下平聲七陽; 去聲二十三漾</x:v>
      </x:c>
      <x:c r="G2703" s="6" t="str">
        <x:v>Pingshui main list, Wikisource-derived DOCX</x:v>
      </x:c>
      <x:c r="H2703" s="6" t="str">
        <x:v>2</x:v>
      </x:c>
      <x:c r="I2703" s="6" t="str"/>
      <x:c r="J2703" s="6" t="str">
        <x:f>IF(B2703="","",IF(AND(ISNUMBER(SEARCH("平",B2703)),OR(ISNUMBER(SEARCH("上",B2703)),ISNUMBER(SEARCH("去",B2703)),ISNUMBER(SEARCH("入",B2703)))),"Ambiguous",IF(ISNUMBER(SEARCH("平",B2703)),"平","仄")))</x:f>
      </x:c>
      <x:c r="K2703" s="6" t="str">
        <x:f>IF(D2703="","",IF(AND(ISNUMBER(SEARCH("平",D2703)),OR(ISNUMBER(SEARCH("上",D2703)),ISNUMBER(SEARCH("去",D2703)),ISNUMBER(SEARCH("入",D2703)))),"Ambiguous",IF(ISNUMBER(SEARCH("平",D2703)),"平","仄")))</x:f>
        <x:v>Ambiguous</x:v>
      </x:c>
      <x:c r="L2703" s="7" t="str"/>
    </x:row>
    <x:row r="2704">
      <x:c r="A2704" s="5" t="str">
        <x:v>盾</x:v>
      </x:c>
      <x:c r="B2704" s="6" t="str">
        <x:v>上</x:v>
      </x:c>
      <x:c r="C2704" s="6" t="str">
        <x:f>IF(B2704="","Needs decision","Ready")</x:f>
        <x:v>Ready</x:v>
      </x:c>
      <x:c r="D2704" s="6" t="str">
        <x:v>上</x:v>
      </x:c>
      <x:c r="E2704" s="6" t="str">
        <x:v>dwonX (B)</x:v>
      </x:c>
      <x:c r="F2704" s="6" t="str">
        <x:v>上聲十一軫; 上聲十三阮</x:v>
      </x:c>
      <x:c r="G2704" s="6" t="str">
        <x:v>Pingshui main list, Wikisource-derived DOCX</x:v>
      </x:c>
      <x:c r="H2704" s="6" t="str">
        <x:v>1</x:v>
      </x:c>
      <x:c r="I2704" s="6" t="str"/>
      <x:c r="J2704" s="6" t="str">
        <x:f>IF(B2704="","",IF(AND(ISNUMBER(SEARCH("平",B2704)),OR(ISNUMBER(SEARCH("上",B2704)),ISNUMBER(SEARCH("去",B2704)),ISNUMBER(SEARCH("入",B2704)))),"Ambiguous",IF(ISNUMBER(SEARCH("平",B2704)),"平","仄")))</x:f>
        <x:v>仄</x:v>
      </x:c>
      <x:c r="K2704" s="6" t="str">
        <x:f>IF(D2704="","",IF(AND(ISNUMBER(SEARCH("平",D2704)),OR(ISNUMBER(SEARCH("上",D2704)),ISNUMBER(SEARCH("去",D2704)),ISNUMBER(SEARCH("入",D2704)))),"Ambiguous",IF(ISNUMBER(SEARCH("平",D2704)),"平","仄")))</x:f>
        <x:v>仄</x:v>
      </x:c>
      <x:c r="L2704" s="7" t="str"/>
    </x:row>
    <x:row r="2705">
      <x:c r="A2705" s="5" t="str">
        <x:v>省</x:v>
      </x:c>
      <x:c r="B2705" s="6" t="str">
        <x:v>上</x:v>
      </x:c>
      <x:c r="C2705" s="6" t="str">
        <x:f>IF(B2705="","Needs decision","Ready")</x:f>
        <x:v>Ready</x:v>
      </x:c>
      <x:c r="D2705" s="6" t="str">
        <x:v>上</x:v>
      </x:c>
      <x:c r="E2705" s="6" t="str">
        <x:v>sjengX (B)</x:v>
      </x:c>
      <x:c r="F2705" s="6" t="str">
        <x:v>上聲二十三梗</x:v>
      </x:c>
      <x:c r="G2705" s="6" t="str">
        <x:v>Pingshui main list, Wikisource-derived DOCX</x:v>
      </x:c>
      <x:c r="H2705" s="6" t="str">
        <x:v>1</x:v>
      </x:c>
      <x:c r="I2705" s="6" t="str"/>
      <x:c r="J2705" s="6" t="str">
        <x:f>IF(B2705="","",IF(AND(ISNUMBER(SEARCH("平",B2705)),OR(ISNUMBER(SEARCH("上",B2705)),ISNUMBER(SEARCH("去",B2705)),ISNUMBER(SEARCH("入",B2705)))),"Ambiguous",IF(ISNUMBER(SEARCH("平",B2705)),"平","仄")))</x:f>
        <x:v>仄</x:v>
      </x:c>
      <x:c r="K2705" s="6" t="str">
        <x:f>IF(D2705="","",IF(AND(ISNUMBER(SEARCH("平",D2705)),OR(ISNUMBER(SEARCH("上",D2705)),ISNUMBER(SEARCH("去",D2705)),ISNUMBER(SEARCH("入",D2705)))),"Ambiguous",IF(ISNUMBER(SEARCH("平",D2705)),"平","仄")))</x:f>
        <x:v>仄</x:v>
      </x:c>
      <x:c r="L2705" s="7" t="str"/>
    </x:row>
    <x:row r="2706">
      <x:c r="A2706" s="5" t="str">
        <x:v>眄</x:v>
      </x:c>
      <x:c r="B2706" s="6" t="str">
        <x:v>上</x:v>
      </x:c>
      <x:c r="C2706" s="6" t="str">
        <x:f>IF(B2706="","Needs decision","Ready")</x:f>
        <x:v>Ready</x:v>
      </x:c>
      <x:c r="D2706" s="6" t="str">
        <x:v>上</x:v>
      </x:c>
      <x:c r="E2706" s="6" t="str">
        <x:v>menX (B)</x:v>
      </x:c>
      <x:c r="F2706" s="6" t="str">
        <x:v>上聲十六銑; 去聲十七霰</x:v>
      </x:c>
      <x:c r="G2706" s="6" t="str">
        <x:v>Pingshui main list, Wikisource-derived DOCX</x:v>
      </x:c>
      <x:c r="H2706" s="6" t="str">
        <x:v>1</x:v>
      </x:c>
      <x:c r="I2706" s="6" t="str"/>
      <x:c r="J2706" s="6" t="str">
        <x:f>IF(B2706="","",IF(AND(ISNUMBER(SEARCH("平",B2706)),OR(ISNUMBER(SEARCH("上",B2706)),ISNUMBER(SEARCH("去",B2706)),ISNUMBER(SEARCH("入",B2706)))),"Ambiguous",IF(ISNUMBER(SEARCH("平",B2706)),"平","仄")))</x:f>
        <x:v>仄</x:v>
      </x:c>
      <x:c r="K2706" s="6" t="str">
        <x:f>IF(D2706="","",IF(AND(ISNUMBER(SEARCH("平",D2706)),OR(ISNUMBER(SEARCH("上",D2706)),ISNUMBER(SEARCH("去",D2706)),ISNUMBER(SEARCH("入",D2706)))),"Ambiguous",IF(ISNUMBER(SEARCH("平",D2706)),"平","仄")))</x:f>
        <x:v>仄</x:v>
      </x:c>
      <x:c r="L2706" s="7" t="str"/>
    </x:row>
    <x:row r="2707">
      <x:c r="A2707" s="5" t="str">
        <x:v>眇</x:v>
      </x:c>
      <x:c r="B2707" s="6" t="str">
        <x:v>上</x:v>
      </x:c>
      <x:c r="C2707" s="6" t="str">
        <x:f>IF(B2707="","Needs decision","Ready")</x:f>
        <x:v>Ready</x:v>
      </x:c>
      <x:c r="D2707" s="6" t="str">
        <x:v>上</x:v>
      </x:c>
      <x:c r="E2707" s="6" t="str">
        <x:v>mjiewX (B)</x:v>
      </x:c>
      <x:c r="F2707" s="6" t="str">
        <x:v>上聲十七篠</x:v>
      </x:c>
      <x:c r="G2707" s="6" t="str">
        <x:v>Pingshui main list, Wikisource-derived DOCX</x:v>
      </x:c>
      <x:c r="H2707" s="6" t="str">
        <x:v>1</x:v>
      </x:c>
      <x:c r="I2707" s="6" t="str"/>
      <x:c r="J2707" s="6" t="str">
        <x:f>IF(B2707="","",IF(AND(ISNUMBER(SEARCH("平",B2707)),OR(ISNUMBER(SEARCH("上",B2707)),ISNUMBER(SEARCH("去",B2707)),ISNUMBER(SEARCH("入",B2707)))),"Ambiguous",IF(ISNUMBER(SEARCH("平",B2707)),"平","仄")))</x:f>
        <x:v>仄</x:v>
      </x:c>
      <x:c r="K2707" s="6" t="str">
        <x:f>IF(D2707="","",IF(AND(ISNUMBER(SEARCH("平",D2707)),OR(ISNUMBER(SEARCH("上",D2707)),ISNUMBER(SEARCH("去",D2707)),ISNUMBER(SEARCH("入",D2707)))),"Ambiguous",IF(ISNUMBER(SEARCH("平",D2707)),"平","仄")))</x:f>
        <x:v>仄</x:v>
      </x:c>
      <x:c r="L2707" s="7" t="str"/>
    </x:row>
    <x:row r="2708">
      <x:c r="A2708" s="5" t="str">
        <x:v>眉</x:v>
      </x:c>
      <x:c r="B2708" s="6" t="str">
        <x:v>平</x:v>
      </x:c>
      <x:c r="C2708" s="6" t="str">
        <x:f>IF(B2708="","Needs decision","Ready")</x:f>
        <x:v>Ready</x:v>
      </x:c>
      <x:c r="D2708" s="6" t="str">
        <x:v>平</x:v>
      </x:c>
      <x:c r="E2708" s="6" t="str">
        <x:v>mij (A)</x:v>
      </x:c>
      <x:c r="F2708" s="6" t="str">
        <x:v>上平聲四支</x:v>
      </x:c>
      <x:c r="G2708" s="6" t="str">
        <x:v>Pingshui main list, Wikisource-derived DOCX</x:v>
      </x:c>
      <x:c r="H2708" s="6" t="str">
        <x:v>1</x:v>
      </x:c>
      <x:c r="I2708" s="6" t="str"/>
      <x:c r="J2708" s="6" t="str">
        <x:f>IF(B2708="","",IF(AND(ISNUMBER(SEARCH("平",B2708)),OR(ISNUMBER(SEARCH("上",B2708)),ISNUMBER(SEARCH("去",B2708)),ISNUMBER(SEARCH("入",B2708)))),"Ambiguous",IF(ISNUMBER(SEARCH("平",B2708)),"平","仄")))</x:f>
        <x:v>平</x:v>
      </x:c>
      <x:c r="K2708" s="6" t="str">
        <x:f>IF(D2708="","",IF(AND(ISNUMBER(SEARCH("平",D2708)),OR(ISNUMBER(SEARCH("上",D2708)),ISNUMBER(SEARCH("去",D2708)),ISNUMBER(SEARCH("入",D2708)))),"Ambiguous",IF(ISNUMBER(SEARCH("平",D2708)),"平","仄")))</x:f>
        <x:v>平</x:v>
      </x:c>
      <x:c r="L2708" s="7" t="str"/>
    </x:row>
    <x:row r="2709">
      <x:c r="A2709" s="5" t="str">
        <x:v>看</x:v>
      </x:c>
      <x:c r="B2709" s="6" t="str"/>
      <x:c r="C2709" s="6" t="str">
        <x:f>IF(B2709="","Needs decision","Ready")</x:f>
        <x:v>Needs decision</x:v>
      </x:c>
      <x:c r="D2709" s="6" t="str">
        <x:v>平/去</x:v>
      </x:c>
      <x:c r="E2709" s="6" t="str">
        <x:v>khan (A); khanH (C)</x:v>
      </x:c>
      <x:c r="F2709" s="6" t="str">
        <x:v>上平聲十四寒; 去聲十五翰</x:v>
      </x:c>
      <x:c r="G2709" s="6" t="str">
        <x:v>Pingshui main list, Wikisource-derived DOCX</x:v>
      </x:c>
      <x:c r="H2709" s="6" t="str">
        <x:v>2</x:v>
      </x:c>
      <x:c r="I2709" s="6" t="str"/>
      <x:c r="J2709" s="6" t="str">
        <x:f>IF(B2709="","",IF(AND(ISNUMBER(SEARCH("平",B2709)),OR(ISNUMBER(SEARCH("上",B2709)),ISNUMBER(SEARCH("去",B2709)),ISNUMBER(SEARCH("入",B2709)))),"Ambiguous",IF(ISNUMBER(SEARCH("平",B2709)),"平","仄")))</x:f>
      </x:c>
      <x:c r="K2709" s="6" t="str">
        <x:f>IF(D2709="","",IF(AND(ISNUMBER(SEARCH("平",D2709)),OR(ISNUMBER(SEARCH("上",D2709)),ISNUMBER(SEARCH("去",D2709)),ISNUMBER(SEARCH("入",D2709)))),"Ambiguous",IF(ISNUMBER(SEARCH("平",D2709)),"平","仄")))</x:f>
        <x:v>Ambiguous</x:v>
      </x:c>
      <x:c r="L2709" s="7" t="str"/>
    </x:row>
    <x:row r="2710">
      <x:c r="A2710" s="5" t="str">
        <x:v>眔</x:v>
      </x:c>
      <x:c r="B2710" s="6" t="str">
        <x:v>入</x:v>
      </x:c>
      <x:c r="C2710" s="6" t="str">
        <x:f>IF(B2710="","Needs decision","Ready")</x:f>
        <x:v>Ready</x:v>
      </x:c>
      <x:c r="D2710" s="6" t="str">
        <x:v>入</x:v>
      </x:c>
      <x:c r="E2710" s="6" t="str">
        <x:v>dop (D)</x:v>
      </x:c>
      <x:c r="F2710" s="6" t="str"/>
      <x:c r="G2710" s="6" t="str"/>
      <x:c r="H2710" s="6" t="str">
        <x:v>1</x:v>
      </x:c>
      <x:c r="I2710" s="6" t="str"/>
      <x:c r="J2710" s="6" t="str">
        <x:f>IF(B2710="","",IF(AND(ISNUMBER(SEARCH("平",B2710)),OR(ISNUMBER(SEARCH("上",B2710)),ISNUMBER(SEARCH("去",B2710)),ISNUMBER(SEARCH("入",B2710)))),"Ambiguous",IF(ISNUMBER(SEARCH("平",B2710)),"平","仄")))</x:f>
        <x:v>仄</x:v>
      </x:c>
      <x:c r="K2710" s="6" t="str">
        <x:f>IF(D2710="","",IF(AND(ISNUMBER(SEARCH("平",D2710)),OR(ISNUMBER(SEARCH("上",D2710)),ISNUMBER(SEARCH("去",D2710)),ISNUMBER(SEARCH("入",D2710)))),"Ambiguous",IF(ISNUMBER(SEARCH("平",D2710)),"平","仄")))</x:f>
        <x:v>仄</x:v>
      </x:c>
      <x:c r="L2710" s="7" t="str"/>
    </x:row>
    <x:row r="2711">
      <x:c r="A2711" s="5" t="str">
        <x:v>真</x:v>
      </x:c>
      <x:c r="B2711" s="6" t="str">
        <x:v>平</x:v>
      </x:c>
      <x:c r="C2711" s="6" t="str">
        <x:f>IF(B2711="","Needs decision","Ready")</x:f>
        <x:v>Ready</x:v>
      </x:c>
      <x:c r="D2711" s="6" t="str">
        <x:v>平</x:v>
      </x:c>
      <x:c r="E2711" s="6" t="str">
        <x:v>tsyin (A)</x:v>
      </x:c>
      <x:c r="F2711" s="6" t="str">
        <x:v>上平聲十一真</x:v>
      </x:c>
      <x:c r="G2711" s="6" t="str">
        <x:v>Pingshui main list, Wikisource-derived DOCX</x:v>
      </x:c>
      <x:c r="H2711" s="6" t="str">
        <x:v>1</x:v>
      </x:c>
      <x:c r="I2711" s="6" t="str"/>
      <x:c r="J2711" s="6" t="str">
        <x:f>IF(B2711="","",IF(AND(ISNUMBER(SEARCH("平",B2711)),OR(ISNUMBER(SEARCH("上",B2711)),ISNUMBER(SEARCH("去",B2711)),ISNUMBER(SEARCH("入",B2711)))),"Ambiguous",IF(ISNUMBER(SEARCH("平",B2711)),"平","仄")))</x:f>
        <x:v>平</x:v>
      </x:c>
      <x:c r="K2711" s="6" t="str">
        <x:f>IF(D2711="","",IF(AND(ISNUMBER(SEARCH("平",D2711)),OR(ISNUMBER(SEARCH("上",D2711)),ISNUMBER(SEARCH("去",D2711)),ISNUMBER(SEARCH("入",D2711)))),"Ambiguous",IF(ISNUMBER(SEARCH("平",D2711)),"平","仄")))</x:f>
        <x:v>平</x:v>
      </x:c>
      <x:c r="L2711" s="7" t="str"/>
    </x:row>
    <x:row r="2712">
      <x:c r="A2712" s="5" t="str">
        <x:v>眠</x:v>
      </x:c>
      <x:c r="B2712" s="6" t="str">
        <x:v>平</x:v>
      </x:c>
      <x:c r="C2712" s="6" t="str">
        <x:f>IF(B2712="","Needs decision","Ready")</x:f>
        <x:v>Ready</x:v>
      </x:c>
      <x:c r="D2712" s="6" t="str">
        <x:v>平</x:v>
      </x:c>
      <x:c r="E2712" s="6" t="str">
        <x:v>men (A)</x:v>
      </x:c>
      <x:c r="F2712" s="6" t="str">
        <x:v>下平聲一先</x:v>
      </x:c>
      <x:c r="G2712" s="6" t="str">
        <x:v>Pingshui main list, Wikisource-derived DOCX</x:v>
      </x:c>
      <x:c r="H2712" s="6" t="str">
        <x:v>1</x:v>
      </x:c>
      <x:c r="I2712" s="6" t="str"/>
      <x:c r="J2712" s="6" t="str">
        <x:f>IF(B2712="","",IF(AND(ISNUMBER(SEARCH("平",B2712)),OR(ISNUMBER(SEARCH("上",B2712)),ISNUMBER(SEARCH("去",B2712)),ISNUMBER(SEARCH("入",B2712)))),"Ambiguous",IF(ISNUMBER(SEARCH("平",B2712)),"平","仄")))</x:f>
        <x:v>平</x:v>
      </x:c>
      <x:c r="K2712" s="6" t="str">
        <x:f>IF(D2712="","",IF(AND(ISNUMBER(SEARCH("平",D2712)),OR(ISNUMBER(SEARCH("上",D2712)),ISNUMBER(SEARCH("去",D2712)),ISNUMBER(SEARCH("入",D2712)))),"Ambiguous",IF(ISNUMBER(SEARCH("平",D2712)),"平","仄")))</x:f>
        <x:v>平</x:v>
      </x:c>
      <x:c r="L2712" s="7" t="str"/>
    </x:row>
    <x:row r="2713">
      <x:c r="A2713" s="5" t="str">
        <x:v>眥</x:v>
      </x:c>
      <x:c r="B2713" s="6" t="str">
        <x:v>去</x:v>
      </x:c>
      <x:c r="C2713" s="6" t="str">
        <x:f>IF(B2713="","Needs decision","Ready")</x:f>
        <x:v>Ready</x:v>
      </x:c>
      <x:c r="D2713" s="6" t="str">
        <x:v>去</x:v>
      </x:c>
      <x:c r="E2713" s="6" t="str">
        <x:v>dzejH [d̙z̙ejh] (去); dzjeH [dzieh] (去)</x:v>
      </x:c>
      <x:c r="F2713" s="6" t="str">
        <x:v>去聲四寘; 去聲八霽</x:v>
      </x:c>
      <x:c r="G2713" s="6" t="str">
        <x:v>Pingshui main list, Wikisource-derived DOCX</x:v>
      </x:c>
      <x:c r="H2713" s="6" t="str">
        <x:v>2</x:v>
      </x:c>
      <x:c r="I2713" s="6" t="str">
        <x:v>Tang 300 gap; frequency 1; provisional from Xun Gong</x:v>
      </x:c>
      <x:c r="J2713" s="6" t="str">
        <x:f>IF(B2713="","",IF(AND(ISNUMBER(SEARCH("平",B2713)),OR(ISNUMBER(SEARCH("上",B2713)),ISNUMBER(SEARCH("去",B2713)),ISNUMBER(SEARCH("入",B2713)))),"Ambiguous",IF(ISNUMBER(SEARCH("平",B2713)),"平","仄")))</x:f>
        <x:v>仄</x:v>
      </x:c>
      <x:c r="K2713" s="6" t="str">
        <x:f>IF(D2713="","",IF(AND(ISNUMBER(SEARCH("平",D2713)),OR(ISNUMBER(SEARCH("上",D2713)),ISNUMBER(SEARCH("去",D2713)),ISNUMBER(SEARCH("入",D2713)))),"Ambiguous",IF(ISNUMBER(SEARCH("平",D2713)),"平","仄")))</x:f>
        <x:v>仄</x:v>
      </x:c>
      <x:c r="L2713" s="7" t="str">
        <x:v>Xun Gong, Tang 300 gap fill</x:v>
      </x:c>
    </x:row>
    <x:row r="2714">
      <x:c r="A2714" s="5" t="str">
        <x:v>眨</x:v>
      </x:c>
      <x:c r="B2714" s="6" t="str">
        <x:v>入</x:v>
      </x:c>
      <x:c r="C2714" s="6" t="str">
        <x:f>IF(B2714="","Needs decision","Ready")</x:f>
        <x:v>Ready</x:v>
      </x:c>
      <x:c r="D2714" s="6" t="str">
        <x:v>入</x:v>
      </x:c>
      <x:c r="E2714" s="6" t="str">
        <x:v>tsreap (D)</x:v>
      </x:c>
      <x:c r="F2714" s="6" t="str">
        <x:v>入聲十七洽</x:v>
      </x:c>
      <x:c r="G2714" s="6" t="str">
        <x:v>Pingshui main list, Wikisource-derived DOCX</x:v>
      </x:c>
      <x:c r="H2714" s="6" t="str">
        <x:v>1</x:v>
      </x:c>
      <x:c r="I2714" s="6" t="str"/>
      <x:c r="J2714" s="6" t="str">
        <x:f>IF(B2714="","",IF(AND(ISNUMBER(SEARCH("平",B2714)),OR(ISNUMBER(SEARCH("上",B2714)),ISNUMBER(SEARCH("去",B2714)),ISNUMBER(SEARCH("入",B2714)))),"Ambiguous",IF(ISNUMBER(SEARCH("平",B2714)),"平","仄")))</x:f>
        <x:v>仄</x:v>
      </x:c>
      <x:c r="K2714" s="6" t="str">
        <x:f>IF(D2714="","",IF(AND(ISNUMBER(SEARCH("平",D2714)),OR(ISNUMBER(SEARCH("上",D2714)),ISNUMBER(SEARCH("去",D2714)),ISNUMBER(SEARCH("入",D2714)))),"Ambiguous",IF(ISNUMBER(SEARCH("平",D2714)),"平","仄")))</x:f>
        <x:v>仄</x:v>
      </x:c>
      <x:c r="L2714" s="7" t="str"/>
    </x:row>
    <x:row r="2715">
      <x:c r="A2715" s="5" t="str">
        <x:v>眩</x:v>
      </x:c>
      <x:c r="B2715" s="6" t="str"/>
      <x:c r="C2715" s="6" t="str">
        <x:f>IF(B2715="","Needs decision","Ready")</x:f>
        <x:v>Needs decision</x:v>
      </x:c>
      <x:c r="D2715" s="6" t="str">
        <x:v>平/去</x:v>
      </x:c>
      <x:c r="E2715" s="6" t="str">
        <x:v>hwenH [匣合四先去] ʁwenh; hwen [匣合四先平] ʁwen</x:v>
      </x:c>
      <x:c r="F2715" s="6" t="str">
        <x:v>去聲十七霰</x:v>
      </x:c>
      <x:c r="G2715" s="6" t="str">
        <x:v>Pingshui main list, Wikisource-derived DOCX</x:v>
      </x:c>
      <x:c r="H2715" s="6" t="str">
        <x:v>2</x:v>
      </x:c>
      <x:c r="I2715" s="6" t="str">
        <x:v>Targeted preliminary fill from Xun Gong; review if uncertain</x:v>
      </x:c>
      <x:c r="J2715" s="6" t="str">
        <x:f>IF(B2715="","",IF(AND(ISNUMBER(SEARCH("平",B2715)),OR(ISNUMBER(SEARCH("上",B2715)),ISNUMBER(SEARCH("去",B2715)),ISNUMBER(SEARCH("入",B2715)))),"Ambiguous",IF(ISNUMBER(SEARCH("平",B2715)),"平","仄")))</x:f>
      </x:c>
      <x:c r="K2715" s="6" t="str">
        <x:f>IF(D2715="","",IF(AND(ISNUMBER(SEARCH("平",D2715)),OR(ISNUMBER(SEARCH("上",D2715)),ISNUMBER(SEARCH("去",D2715)),ISNUMBER(SEARCH("入",D2715)))),"Ambiguous",IF(ISNUMBER(SEARCH("平",D2715)),"平","仄")))</x:f>
        <x:v>Ambiguous</x:v>
      </x:c>
      <x:c r="L2715" s="7" t="str">
        <x:v>Xun Gong character-readings.csv</x:v>
      </x:c>
    </x:row>
    <x:row r="2716">
      <x:c r="A2716" s="5" t="str">
        <x:v>眲</x:v>
      </x:c>
      <x:c r="B2716" s="6" t="str">
        <x:v>入</x:v>
      </x:c>
      <x:c r="C2716" s="6" t="str">
        <x:f>IF(B2716="","Needs decision","Ready")</x:f>
        <x:v>Ready</x:v>
      </x:c>
      <x:c r="D2716" s="6" t="str">
        <x:v>入</x:v>
      </x:c>
      <x:c r="E2716" s="6" t="str">
        <x:v>nreak (D)</x:v>
      </x:c>
      <x:c r="F2716" s="6" t="str"/>
      <x:c r="G2716" s="6" t="str"/>
      <x:c r="H2716" s="6" t="str">
        <x:v>1</x:v>
      </x:c>
      <x:c r="I2716" s="6" t="str"/>
      <x:c r="J2716" s="6" t="str">
        <x:f>IF(B2716="","",IF(AND(ISNUMBER(SEARCH("平",B2716)),OR(ISNUMBER(SEARCH("上",B2716)),ISNUMBER(SEARCH("去",B2716)),ISNUMBER(SEARCH("入",B2716)))),"Ambiguous",IF(ISNUMBER(SEARCH("平",B2716)),"平","仄")))</x:f>
        <x:v>仄</x:v>
      </x:c>
      <x:c r="K2716" s="6" t="str">
        <x:f>IF(D2716="","",IF(AND(ISNUMBER(SEARCH("平",D2716)),OR(ISNUMBER(SEARCH("上",D2716)),ISNUMBER(SEARCH("去",D2716)),ISNUMBER(SEARCH("入",D2716)))),"Ambiguous",IF(ISNUMBER(SEARCH("平",D2716)),"平","仄")))</x:f>
        <x:v>仄</x:v>
      </x:c>
      <x:c r="L2716" s="7" t="str"/>
    </x:row>
    <x:row r="2717">
      <x:c r="A2717" s="5" t="str">
        <x:v>眷</x:v>
      </x:c>
      <x:c r="B2717" s="6" t="str">
        <x:v>去</x:v>
      </x:c>
      <x:c r="C2717" s="6" t="str">
        <x:f>IF(B2717="","Needs decision","Ready")</x:f>
        <x:v>Ready</x:v>
      </x:c>
      <x:c r="D2717" s="6" t="str">
        <x:v>去</x:v>
      </x:c>
      <x:c r="E2717" s="6" t="str">
        <x:v>kjwenH (C)</x:v>
      </x:c>
      <x:c r="F2717" s="6" t="str">
        <x:v>去聲十七霰</x:v>
      </x:c>
      <x:c r="G2717" s="6" t="str">
        <x:v>Pingshui main list, Wikisource-derived DOCX</x:v>
      </x:c>
      <x:c r="H2717" s="6" t="str">
        <x:v>1</x:v>
      </x:c>
      <x:c r="I2717" s="6" t="str"/>
      <x:c r="J2717" s="6" t="str">
        <x:f>IF(B2717="","",IF(AND(ISNUMBER(SEARCH("平",B2717)),OR(ISNUMBER(SEARCH("上",B2717)),ISNUMBER(SEARCH("去",B2717)),ISNUMBER(SEARCH("入",B2717)))),"Ambiguous",IF(ISNUMBER(SEARCH("平",B2717)),"平","仄")))</x:f>
        <x:v>仄</x:v>
      </x:c>
      <x:c r="K2717" s="6" t="str">
        <x:f>IF(D2717="","",IF(AND(ISNUMBER(SEARCH("平",D2717)),OR(ISNUMBER(SEARCH("上",D2717)),ISNUMBER(SEARCH("去",D2717)),ISNUMBER(SEARCH("入",D2717)))),"Ambiguous",IF(ISNUMBER(SEARCH("平",D2717)),"平","仄")))</x:f>
        <x:v>仄</x:v>
      </x:c>
      <x:c r="L2717" s="7" t="str"/>
    </x:row>
    <x:row r="2718">
      <x:c r="A2718" s="5" t="str">
        <x:v>眸</x:v>
      </x:c>
      <x:c r="B2718" s="6" t="str">
        <x:v>平</x:v>
      </x:c>
      <x:c r="C2718" s="6" t="str">
        <x:f>IF(B2718="","Needs decision","Ready")</x:f>
        <x:v>Ready</x:v>
      </x:c>
      <x:c r="D2718" s="6" t="str">
        <x:v>平</x:v>
      </x:c>
      <x:c r="E2718" s="6" t="str">
        <x:v>mjuw [mɨ̯u] (平)</x:v>
      </x:c>
      <x:c r="F2718" s="6" t="str">
        <x:v>下平聲十一尤</x:v>
      </x:c>
      <x:c r="G2718" s="6" t="str">
        <x:v>Pingshui main list, Wikisource-derived DOCX</x:v>
      </x:c>
      <x:c r="H2718" s="6" t="str">
        <x:v>1</x:v>
      </x:c>
      <x:c r="I2718" s="6" t="str">
        <x:v>Tang 300 gap; frequency 2; provisional from Xun Gong</x:v>
      </x:c>
      <x:c r="J2718" s="6" t="str">
        <x:f>IF(B2718="","",IF(AND(ISNUMBER(SEARCH("平",B2718)),OR(ISNUMBER(SEARCH("上",B2718)),ISNUMBER(SEARCH("去",B2718)),ISNUMBER(SEARCH("入",B2718)))),"Ambiguous",IF(ISNUMBER(SEARCH("平",B2718)),"平","仄")))</x:f>
        <x:v>平</x:v>
      </x:c>
      <x:c r="K2718" s="6" t="str">
        <x:f>IF(D2718="","",IF(AND(ISNUMBER(SEARCH("平",D2718)),OR(ISNUMBER(SEARCH("上",D2718)),ISNUMBER(SEARCH("去",D2718)),ISNUMBER(SEARCH("入",D2718)))),"Ambiguous",IF(ISNUMBER(SEARCH("平",D2718)),"平","仄")))</x:f>
        <x:v>平</x:v>
      </x:c>
      <x:c r="L2718" s="7" t="str">
        <x:v>Xun Gong, Tang 300 gap fill</x:v>
      </x:c>
    </x:row>
    <x:row r="2719">
      <x:c r="A2719" s="5" t="str">
        <x:v>眺</x:v>
      </x:c>
      <x:c r="B2719" s="6" t="str">
        <x:v>去</x:v>
      </x:c>
      <x:c r="C2719" s="6" t="str">
        <x:f>IF(B2719="","Needs decision","Ready")</x:f>
        <x:v>Ready</x:v>
      </x:c>
      <x:c r="D2719" s="6" t="str">
        <x:v>去</x:v>
      </x:c>
      <x:c r="E2719" s="6" t="str">
        <x:v>thewH (C)</x:v>
      </x:c>
      <x:c r="F2719" s="6" t="str">
        <x:v>去聲十八嘯</x:v>
      </x:c>
      <x:c r="G2719" s="6" t="str">
        <x:v>Pingshui main list, Wikisource-derived DOCX</x:v>
      </x:c>
      <x:c r="H2719" s="6" t="str">
        <x:v>1</x:v>
      </x:c>
      <x:c r="I2719" s="6" t="str"/>
      <x:c r="J2719" s="6" t="str">
        <x:f>IF(B2719="","",IF(AND(ISNUMBER(SEARCH("平",B2719)),OR(ISNUMBER(SEARCH("上",B2719)),ISNUMBER(SEARCH("去",B2719)),ISNUMBER(SEARCH("入",B2719)))),"Ambiguous",IF(ISNUMBER(SEARCH("平",B2719)),"平","仄")))</x:f>
        <x:v>仄</x:v>
      </x:c>
      <x:c r="K2719" s="6" t="str">
        <x:f>IF(D2719="","",IF(AND(ISNUMBER(SEARCH("平",D2719)),OR(ISNUMBER(SEARCH("上",D2719)),ISNUMBER(SEARCH("去",D2719)),ISNUMBER(SEARCH("入",D2719)))),"Ambiguous",IF(ISNUMBER(SEARCH("平",D2719)),"平","仄")))</x:f>
        <x:v>仄</x:v>
      </x:c>
      <x:c r="L2719" s="7" t="str"/>
    </x:row>
    <x:row r="2720">
      <x:c r="A2720" s="5" t="str">
        <x:v>眼</x:v>
      </x:c>
      <x:c r="B2720" s="6" t="str">
        <x:v>上</x:v>
      </x:c>
      <x:c r="C2720" s="6" t="str">
        <x:f>IF(B2720="","Needs decision","Ready")</x:f>
        <x:v>Ready</x:v>
      </x:c>
      <x:c r="D2720" s="6" t="str">
        <x:v>上</x:v>
      </x:c>
      <x:c r="E2720" s="6" t="str">
        <x:v>ngonX (B); ngeanX (B)</x:v>
      </x:c>
      <x:c r="F2720" s="6" t="str">
        <x:v>上聲十五潸</x:v>
      </x:c>
      <x:c r="G2720" s="6" t="str">
        <x:v>Pingshui main list, Wikisource-derived DOCX</x:v>
      </x:c>
      <x:c r="H2720" s="6" t="str">
        <x:v>2</x:v>
      </x:c>
      <x:c r="I2720" s="6" t="str"/>
      <x:c r="J2720" s="6" t="str">
        <x:f>IF(B2720="","",IF(AND(ISNUMBER(SEARCH("平",B2720)),OR(ISNUMBER(SEARCH("上",B2720)),ISNUMBER(SEARCH("去",B2720)),ISNUMBER(SEARCH("入",B2720)))),"Ambiguous",IF(ISNUMBER(SEARCH("平",B2720)),"平","仄")))</x:f>
        <x:v>仄</x:v>
      </x:c>
      <x:c r="K2720" s="6" t="str">
        <x:f>IF(D2720="","",IF(AND(ISNUMBER(SEARCH("平",D2720)),OR(ISNUMBER(SEARCH("上",D2720)),ISNUMBER(SEARCH("去",D2720)),ISNUMBER(SEARCH("入",D2720)))),"Ambiguous",IF(ISNUMBER(SEARCH("平",D2720)),"平","仄")))</x:f>
        <x:v>仄</x:v>
      </x:c>
      <x:c r="L2720" s="7" t="str"/>
    </x:row>
    <x:row r="2721">
      <x:c r="A2721" s="5" t="str">
        <x:v>眾</x:v>
      </x:c>
      <x:c r="B2721" s="6" t="str">
        <x:v>去</x:v>
      </x:c>
      <x:c r="C2721" s="6" t="str">
        <x:f>IF(B2721="","Needs decision","Ready")</x:f>
        <x:v>Ready</x:v>
      </x:c>
      <x:c r="D2721" s="6" t="str">
        <x:v>去</x:v>
      </x:c>
      <x:c r="E2721" s="6" t="str">
        <x:v>tsyuwngH (C)</x:v>
      </x:c>
      <x:c r="F2721" s="6" t="str">
        <x:v>去聲一送</x:v>
      </x:c>
      <x:c r="G2721" s="6" t="str">
        <x:v>Pingshui main list, Wikisource-derived DOCX</x:v>
      </x:c>
      <x:c r="H2721" s="6" t="str">
        <x:v>1</x:v>
      </x:c>
      <x:c r="I2721" s="6" t="str"/>
      <x:c r="J2721" s="6" t="str">
        <x:f>IF(B2721="","",IF(AND(ISNUMBER(SEARCH("平",B2721)),OR(ISNUMBER(SEARCH("上",B2721)),ISNUMBER(SEARCH("去",B2721)),ISNUMBER(SEARCH("入",B2721)))),"Ambiguous",IF(ISNUMBER(SEARCH("平",B2721)),"平","仄")))</x:f>
        <x:v>仄</x:v>
      </x:c>
      <x:c r="K2721" s="6" t="str">
        <x:f>IF(D2721="","",IF(AND(ISNUMBER(SEARCH("平",D2721)),OR(ISNUMBER(SEARCH("上",D2721)),ISNUMBER(SEARCH("去",D2721)),ISNUMBER(SEARCH("入",D2721)))),"Ambiguous",IF(ISNUMBER(SEARCH("平",D2721)),"平","仄")))</x:f>
        <x:v>仄</x:v>
      </x:c>
      <x:c r="L2721" s="7" t="str"/>
    </x:row>
    <x:row r="2722">
      <x:c r="A2722" s="5" t="str">
        <x:v>睅</x:v>
      </x:c>
      <x:c r="B2722" s="6" t="str">
        <x:v>上</x:v>
      </x:c>
      <x:c r="C2722" s="6" t="str">
        <x:f>IF(B2722="","Needs decision","Ready")</x:f>
        <x:v>Ready</x:v>
      </x:c>
      <x:c r="D2722" s="6" t="str">
        <x:v>上</x:v>
      </x:c>
      <x:c r="E2722" s="6" t="str">
        <x:v>hwaenX (B)</x:v>
      </x:c>
      <x:c r="F2722" s="6" t="str">
        <x:v>上聲十五潸</x:v>
      </x:c>
      <x:c r="G2722" s="6" t="str">
        <x:v>Pingshui main list, Wikisource-derived DOCX</x:v>
      </x:c>
      <x:c r="H2722" s="6" t="str">
        <x:v>1</x:v>
      </x:c>
      <x:c r="I2722" s="6" t="str"/>
      <x:c r="J2722" s="6" t="str">
        <x:f>IF(B2722="","",IF(AND(ISNUMBER(SEARCH("平",B2722)),OR(ISNUMBER(SEARCH("上",B2722)),ISNUMBER(SEARCH("去",B2722)),ISNUMBER(SEARCH("入",B2722)))),"Ambiguous",IF(ISNUMBER(SEARCH("平",B2722)),"平","仄")))</x:f>
        <x:v>仄</x:v>
      </x:c>
      <x:c r="K2722" s="6" t="str">
        <x:f>IF(D2722="","",IF(AND(ISNUMBER(SEARCH("平",D2722)),OR(ISNUMBER(SEARCH("上",D2722)),ISNUMBER(SEARCH("去",D2722)),ISNUMBER(SEARCH("入",D2722)))),"Ambiguous",IF(ISNUMBER(SEARCH("平",D2722)),"平","仄")))</x:f>
        <x:v>仄</x:v>
      </x:c>
      <x:c r="L2722" s="7" t="str"/>
    </x:row>
    <x:row r="2723">
      <x:c r="A2723" s="5" t="str">
        <x:v>睇</x:v>
      </x:c>
      <x:c r="B2723" s="6" t="str">
        <x:v>去</x:v>
      </x:c>
      <x:c r="C2723" s="6" t="str">
        <x:f>IF(B2723="","Needs decision","Ready")</x:f>
        <x:v>Ready</x:v>
      </x:c>
      <x:c r="D2723" s="6" t="str">
        <x:v>平/去</x:v>
      </x:c>
      <x:c r="E2723" s="6" t="str">
        <x:v>dejH (C); thej (A)</x:v>
      </x:c>
      <x:c r="F2723" s="6" t="str">
        <x:v>去聲八霽</x:v>
      </x:c>
      <x:c r="G2723" s="6" t="str">
        <x:v>Pingshui main list, Wikisource-derived DOCX</x:v>
      </x:c>
      <x:c r="H2723" s="6" t="str">
        <x:v>2</x:v>
      </x:c>
      <x:c r="I2723" s="6" t="str">
        <x:v>User correction 2026-09-08</x:v>
      </x:c>
      <x:c r="J2723" s="6" t="str">
        <x:f>IF(B2723="","",IF(AND(ISNUMBER(SEARCH("平",B2723)),OR(ISNUMBER(SEARCH("上",B2723)),ISNUMBER(SEARCH("去",B2723)),ISNUMBER(SEARCH("入",B2723)))),"Ambiguous",IF(ISNUMBER(SEARCH("平",B2723)),"平","仄")))</x:f>
        <x:v>仄</x:v>
      </x:c>
      <x:c r="K2723" s="6" t="str">
        <x:f>IF(D2723="","",IF(AND(ISNUMBER(SEARCH("平",D2723)),OR(ISNUMBER(SEARCH("上",D2723)),ISNUMBER(SEARCH("去",D2723)),ISNUMBER(SEARCH("入",D2723)))),"Ambiguous",IF(ISNUMBER(SEARCH("平",D2723)),"平","仄")))</x:f>
        <x:v>Ambiguous</x:v>
      </x:c>
      <x:c r="L2723" s="7" t="str"/>
    </x:row>
    <x:row r="2724">
      <x:c r="A2724" s="5" t="str">
        <x:v>睘</x:v>
      </x:c>
      <x:c r="B2724" s="6" t="str">
        <x:v>平</x:v>
      </x:c>
      <x:c r="C2724" s="6" t="str">
        <x:f>IF(B2724="","Needs decision","Ready")</x:f>
        <x:v>Ready</x:v>
      </x:c>
      <x:c r="D2724" s="6" t="str">
        <x:v>平</x:v>
      </x:c>
      <x:c r="E2724" s="6" t="str">
        <x:v>hwaen (A)</x:v>
      </x:c>
      <x:c r="F2724" s="6" t="str"/>
      <x:c r="G2724" s="6" t="str"/>
      <x:c r="H2724" s="6" t="str">
        <x:v>1</x:v>
      </x:c>
      <x:c r="I2724" s="6" t="str"/>
      <x:c r="J2724" s="6" t="str">
        <x:f>IF(B2724="","",IF(AND(ISNUMBER(SEARCH("平",B2724)),OR(ISNUMBER(SEARCH("上",B2724)),ISNUMBER(SEARCH("去",B2724)),ISNUMBER(SEARCH("入",B2724)))),"Ambiguous",IF(ISNUMBER(SEARCH("平",B2724)),"平","仄")))</x:f>
        <x:v>平</x:v>
      </x:c>
      <x:c r="K2724" s="6" t="str">
        <x:f>IF(D2724="","",IF(AND(ISNUMBER(SEARCH("平",D2724)),OR(ISNUMBER(SEARCH("上",D2724)),ISNUMBER(SEARCH("去",D2724)),ISNUMBER(SEARCH("入",D2724)))),"Ambiguous",IF(ISNUMBER(SEARCH("平",D2724)),"平","仄")))</x:f>
        <x:v>平</x:v>
      </x:c>
      <x:c r="L2724" s="7" t="str"/>
    </x:row>
    <x:row r="2725">
      <x:c r="A2725" s="5" t="str">
        <x:v>睠</x:v>
      </x:c>
      <x:c r="B2725" s="6" t="str">
        <x:v>去</x:v>
      </x:c>
      <x:c r="C2725" s="6" t="str">
        <x:f>IF(B2725="","Needs decision","Ready")</x:f>
        <x:v>Ready</x:v>
      </x:c>
      <x:c r="D2725" s="6" t="str">
        <x:v>去</x:v>
      </x:c>
      <x:c r="E2725" s="6" t="str">
        <x:v>kjwenH (C)</x:v>
      </x:c>
      <x:c r="F2725" s="6" t="str"/>
      <x:c r="G2725" s="6" t="str"/>
      <x:c r="H2725" s="6" t="str">
        <x:v>1</x:v>
      </x:c>
      <x:c r="I2725" s="6" t="str"/>
      <x:c r="J2725" s="6" t="str">
        <x:f>IF(B2725="","",IF(AND(ISNUMBER(SEARCH("平",B2725)),OR(ISNUMBER(SEARCH("上",B2725)),ISNUMBER(SEARCH("去",B2725)),ISNUMBER(SEARCH("入",B2725)))),"Ambiguous",IF(ISNUMBER(SEARCH("平",B2725)),"平","仄")))</x:f>
        <x:v>仄</x:v>
      </x:c>
      <x:c r="K2725" s="6" t="str">
        <x:f>IF(D2725="","",IF(AND(ISNUMBER(SEARCH("平",D2725)),OR(ISNUMBER(SEARCH("上",D2725)),ISNUMBER(SEARCH("去",D2725)),ISNUMBER(SEARCH("入",D2725)))),"Ambiguous",IF(ISNUMBER(SEARCH("平",D2725)),"平","仄")))</x:f>
        <x:v>仄</x:v>
      </x:c>
      <x:c r="L2725" s="7" t="str"/>
    </x:row>
    <x:row r="2726">
      <x:c r="A2726" s="5" t="str">
        <x:v>睡</x:v>
      </x:c>
      <x:c r="B2726" s="6" t="str">
        <x:v>去</x:v>
      </x:c>
      <x:c r="C2726" s="6" t="str">
        <x:f>IF(B2726="","Needs decision","Ready")</x:f>
        <x:v>Ready</x:v>
      </x:c>
      <x:c r="D2726" s="6" t="str">
        <x:v>去</x:v>
      </x:c>
      <x:c r="E2726" s="6" t="str">
        <x:v>dzyweH (C)</x:v>
      </x:c>
      <x:c r="F2726" s="6" t="str">
        <x:v>去聲四寘</x:v>
      </x:c>
      <x:c r="G2726" s="6" t="str">
        <x:v>Pingshui main list, Wikisource-derived DOCX</x:v>
      </x:c>
      <x:c r="H2726" s="6" t="str">
        <x:v>1</x:v>
      </x:c>
      <x:c r="I2726" s="6" t="str"/>
      <x:c r="J2726" s="6" t="str">
        <x:f>IF(B2726="","",IF(AND(ISNUMBER(SEARCH("平",B2726)),OR(ISNUMBER(SEARCH("上",B2726)),ISNUMBER(SEARCH("去",B2726)),ISNUMBER(SEARCH("入",B2726)))),"Ambiguous",IF(ISNUMBER(SEARCH("平",B2726)),"平","仄")))</x:f>
        <x:v>仄</x:v>
      </x:c>
      <x:c r="K2726" s="6" t="str">
        <x:f>IF(D2726="","",IF(AND(ISNUMBER(SEARCH("平",D2726)),OR(ISNUMBER(SEARCH("上",D2726)),ISNUMBER(SEARCH("去",D2726)),ISNUMBER(SEARCH("入",D2726)))),"Ambiguous",IF(ISNUMBER(SEARCH("平",D2726)),"平","仄")))</x:f>
        <x:v>仄</x:v>
      </x:c>
      <x:c r="L2726" s="7" t="str"/>
    </x:row>
    <x:row r="2727">
      <x:c r="A2727" s="5" t="str">
        <x:v>睢</x:v>
      </x:c>
      <x:c r="B2727" s="6" t="str"/>
      <x:c r="C2727" s="6" t="str">
        <x:f>IF(B2727="","Needs decision","Ready")</x:f>
        <x:v>Needs decision</x:v>
      </x:c>
      <x:c r="D2727" s="6" t="str">
        <x:v>平/去</x:v>
      </x:c>
      <x:c r="E2727" s="6" t="str">
        <x:v>swij [sjwi] (平); xjwie [xjwie] (平); xjwij [xjwi] (平); xjwijH [xjwih] (去)</x:v>
      </x:c>
      <x:c r="F2727" s="6" t="str">
        <x:v>上平聲四支; 去聲四寘</x:v>
      </x:c>
      <x:c r="G2727" s="6" t="str">
        <x:v>Pingshui main list, Wikisource-derived DOCX</x:v>
      </x:c>
      <x:c r="H2727" s="6" t="str">
        <x:v>4</x:v>
      </x:c>
      <x:c r="I2727" s="6" t="str">
        <x:v>Tang 300 gap; frequency 1; ambiguous in Xun Gong</x:v>
      </x:c>
      <x:c r="J2727" s="6" t="str">
        <x:f>IF(B2727="","",IF(AND(ISNUMBER(SEARCH("平",B2727)),OR(ISNUMBER(SEARCH("上",B2727)),ISNUMBER(SEARCH("去",B2727)),ISNUMBER(SEARCH("入",B2727)))),"Ambiguous",IF(ISNUMBER(SEARCH("平",B2727)),"平","仄")))</x:f>
      </x:c>
      <x:c r="K2727" s="6" t="str">
        <x:f>IF(D2727="","",IF(AND(ISNUMBER(SEARCH("平",D2727)),OR(ISNUMBER(SEARCH("上",D2727)),ISNUMBER(SEARCH("去",D2727)),ISNUMBER(SEARCH("入",D2727)))),"Ambiguous",IF(ISNUMBER(SEARCH("平",D2727)),"平","仄")))</x:f>
        <x:v>Ambiguous</x:v>
      </x:c>
      <x:c r="L2727" s="7" t="str">
        <x:v>Xun Gong, Tang 300 gap fill</x:v>
      </x:c>
    </x:row>
    <x:row r="2728">
      <x:c r="A2728" s="5" t="str">
        <x:v>睦</x:v>
      </x:c>
      <x:c r="B2728" s="6" t="str">
        <x:v>入</x:v>
      </x:c>
      <x:c r="C2728" s="6" t="str">
        <x:f>IF(B2728="","Needs decision","Ready")</x:f>
        <x:v>Ready</x:v>
      </x:c>
      <x:c r="D2728" s="6" t="str">
        <x:v>入</x:v>
      </x:c>
      <x:c r="E2728" s="6" t="str">
        <x:v>mjuwk (D)</x:v>
      </x:c>
      <x:c r="F2728" s="6" t="str">
        <x:v>入聲一屋</x:v>
      </x:c>
      <x:c r="G2728" s="6" t="str">
        <x:v>Pingshui main list, Wikisource-derived DOCX</x:v>
      </x:c>
      <x:c r="H2728" s="6" t="str">
        <x:v>1</x:v>
      </x:c>
      <x:c r="I2728" s="6" t="str"/>
      <x:c r="J2728" s="6" t="str">
        <x:f>IF(B2728="","",IF(AND(ISNUMBER(SEARCH("平",B2728)),OR(ISNUMBER(SEARCH("上",B2728)),ISNUMBER(SEARCH("去",B2728)),ISNUMBER(SEARCH("入",B2728)))),"Ambiguous",IF(ISNUMBER(SEARCH("平",B2728)),"平","仄")))</x:f>
        <x:v>仄</x:v>
      </x:c>
      <x:c r="K2728" s="6" t="str">
        <x:f>IF(D2728="","",IF(AND(ISNUMBER(SEARCH("平",D2728)),OR(ISNUMBER(SEARCH("上",D2728)),ISNUMBER(SEARCH("去",D2728)),ISNUMBER(SEARCH("入",D2728)))),"Ambiguous",IF(ISNUMBER(SEARCH("平",D2728)),"平","仄")))</x:f>
        <x:v>仄</x:v>
      </x:c>
      <x:c r="L2728" s="7" t="str"/>
    </x:row>
    <x:row r="2729">
      <x:c r="A2729" s="5" t="str">
        <x:v>睨</x:v>
      </x:c>
      <x:c r="B2729" s="6" t="str">
        <x:v>去</x:v>
      </x:c>
      <x:c r="C2729" s="6" t="str">
        <x:f>IF(B2729="","Needs decision","Ready")</x:f>
        <x:v>Ready</x:v>
      </x:c>
      <x:c r="D2729" s="6" t="str">
        <x:v>去</x:v>
      </x:c>
      <x:c r="E2729" s="6" t="str"/>
      <x:c r="F2729" s="6" t="str">
        <x:v>去聲八霽</x:v>
      </x:c>
      <x:c r="G2729" s="6" t="str">
        <x:v>Pingshui main list, Wikisource-derived DOCX</x:v>
      </x:c>
      <x:c r="H2729" s="6" t="str">
        <x:v>0</x:v>
      </x:c>
      <x:c r="I2729" s="6" t="str">
        <x:v>User correction 2026-09-08; added manually</x:v>
      </x:c>
      <x:c r="J2729" s="6" t="str">
        <x:f>IF(B2729="","",IF(AND(ISNUMBER(SEARCH("平",B2729)),OR(ISNUMBER(SEARCH("上",B2729)),ISNUMBER(SEARCH("去",B2729)),ISNUMBER(SEARCH("入",B2729)))),"Ambiguous",IF(ISNUMBER(SEARCH("平",B2729)),"平","仄")))</x:f>
        <x:v>仄</x:v>
      </x:c>
      <x:c r="K2729" s="6" t="str">
        <x:f>IF(D2729="","",IF(AND(ISNUMBER(SEARCH("平",D2729)),OR(ISNUMBER(SEARCH("上",D2729)),ISNUMBER(SEARCH("去",D2729)),ISNUMBER(SEARCH("入",D2729)))),"Ambiguous",IF(ISNUMBER(SEARCH("平",D2729)),"平","仄")))</x:f>
        <x:v>仄</x:v>
      </x:c>
      <x:c r="L2729" s="7" t="str">
        <x:v>User correction</x:v>
      </x:c>
    </x:row>
    <x:row r="2730">
      <x:c r="A2730" s="5" t="str">
        <x:v>睩</x:v>
      </x:c>
      <x:c r="B2730" s="6" t="str">
        <x:v>入</x:v>
      </x:c>
      <x:c r="C2730" s="6" t="str">
        <x:f>IF(B2730="","Needs decision","Ready")</x:f>
        <x:v>Ready</x:v>
      </x:c>
      <x:c r="D2730" s="6" t="str">
        <x:v>入</x:v>
      </x:c>
      <x:c r="E2730" s="6" t="str">
        <x:v>luwk (D)</x:v>
      </x:c>
      <x:c r="F2730" s="6" t="str">
        <x:v>入聲一屋</x:v>
      </x:c>
      <x:c r="G2730" s="6" t="str">
        <x:v>Pingshui main list, Wikisource-derived DOCX</x:v>
      </x:c>
      <x:c r="H2730" s="6" t="str">
        <x:v>1</x:v>
      </x:c>
      <x:c r="I2730" s="6" t="str"/>
      <x:c r="J2730" s="6" t="str">
        <x:f>IF(B2730="","",IF(AND(ISNUMBER(SEARCH("平",B2730)),OR(ISNUMBER(SEARCH("上",B2730)),ISNUMBER(SEARCH("去",B2730)),ISNUMBER(SEARCH("入",B2730)))),"Ambiguous",IF(ISNUMBER(SEARCH("平",B2730)),"平","仄")))</x:f>
        <x:v>仄</x:v>
      </x:c>
      <x:c r="K2730" s="6" t="str">
        <x:f>IF(D2730="","",IF(AND(ISNUMBER(SEARCH("平",D2730)),OR(ISNUMBER(SEARCH("上",D2730)),ISNUMBER(SEARCH("去",D2730)),ISNUMBER(SEARCH("入",D2730)))),"Ambiguous",IF(ISNUMBER(SEARCH("平",D2730)),"平","仄")))</x:f>
        <x:v>仄</x:v>
      </x:c>
      <x:c r="L2730" s="7" t="str"/>
    </x:row>
    <x:row r="2731">
      <x:c r="A2731" s="5" t="str">
        <x:v>睫</x:v>
      </x:c>
      <x:c r="B2731" s="6" t="str">
        <x:v>入</x:v>
      </x:c>
      <x:c r="C2731" s="6" t="str">
        <x:f>IF(B2731="","Needs decision","Ready")</x:f>
        <x:v>Ready</x:v>
      </x:c>
      <x:c r="D2731" s="6" t="str">
        <x:v>入</x:v>
      </x:c>
      <x:c r="E2731" s="6" t="str">
        <x:v>tsjep (D)</x:v>
      </x:c>
      <x:c r="F2731" s="6" t="str">
        <x:v>入聲十六葉</x:v>
      </x:c>
      <x:c r="G2731" s="6" t="str">
        <x:v>Pingshui main list, Wikisource-derived DOCX</x:v>
      </x:c>
      <x:c r="H2731" s="6" t="str">
        <x:v>1</x:v>
      </x:c>
      <x:c r="I2731" s="6" t="str"/>
      <x:c r="J2731" s="6" t="str">
        <x:f>IF(B2731="","",IF(AND(ISNUMBER(SEARCH("平",B2731)),OR(ISNUMBER(SEARCH("上",B2731)),ISNUMBER(SEARCH("去",B2731)),ISNUMBER(SEARCH("入",B2731)))),"Ambiguous",IF(ISNUMBER(SEARCH("平",B2731)),"平","仄")))</x:f>
        <x:v>仄</x:v>
      </x:c>
      <x:c r="K2731" s="6" t="str">
        <x:f>IF(D2731="","",IF(AND(ISNUMBER(SEARCH("平",D2731)),OR(ISNUMBER(SEARCH("上",D2731)),ISNUMBER(SEARCH("去",D2731)),ISNUMBER(SEARCH("入",D2731)))),"Ambiguous",IF(ISNUMBER(SEARCH("平",D2731)),"平","仄")))</x:f>
        <x:v>仄</x:v>
      </x:c>
      <x:c r="L2731" s="7" t="str"/>
    </x:row>
    <x:row r="2732">
      <x:c r="A2732" s="5" t="str">
        <x:v>睹</x:v>
      </x:c>
      <x:c r="B2732" s="6" t="str">
        <x:v>上</x:v>
      </x:c>
      <x:c r="C2732" s="6" t="str">
        <x:f>IF(B2732="","Needs decision","Ready")</x:f>
        <x:v>Ready</x:v>
      </x:c>
      <x:c r="D2732" s="6" t="str">
        <x:v>上</x:v>
      </x:c>
      <x:c r="E2732" s="6" t="str">
        <x:v>tuX (B)</x:v>
      </x:c>
      <x:c r="F2732" s="6" t="str"/>
      <x:c r="G2732" s="6" t="str"/>
      <x:c r="H2732" s="6" t="str">
        <x:v>1</x:v>
      </x:c>
      <x:c r="I2732" s="6" t="str"/>
      <x:c r="J2732" s="6" t="str">
        <x:f>IF(B2732="","",IF(AND(ISNUMBER(SEARCH("平",B2732)),OR(ISNUMBER(SEARCH("上",B2732)),ISNUMBER(SEARCH("去",B2732)),ISNUMBER(SEARCH("入",B2732)))),"Ambiguous",IF(ISNUMBER(SEARCH("平",B2732)),"平","仄")))</x:f>
        <x:v>仄</x:v>
      </x:c>
      <x:c r="K2732" s="6" t="str">
        <x:f>IF(D2732="","",IF(AND(ISNUMBER(SEARCH("平",D2732)),OR(ISNUMBER(SEARCH("上",D2732)),ISNUMBER(SEARCH("去",D2732)),ISNUMBER(SEARCH("入",D2732)))),"Ambiguous",IF(ISNUMBER(SEARCH("平",D2732)),"平","仄")))</x:f>
        <x:v>仄</x:v>
      </x:c>
      <x:c r="L2732" s="7" t="str"/>
    </x:row>
    <x:row r="2733">
      <x:c r="A2733" s="5" t="str">
        <x:v>睽</x:v>
      </x:c>
      <x:c r="B2733" s="6" t="str">
        <x:v>平</x:v>
      </x:c>
      <x:c r="C2733" s="6" t="str">
        <x:f>IF(B2733="","Needs decision","Ready")</x:f>
        <x:v>Ready</x:v>
      </x:c>
      <x:c r="D2733" s="6" t="str">
        <x:v>平</x:v>
      </x:c>
      <x:c r="E2733" s="6" t="str">
        <x:v>khwej (A)</x:v>
      </x:c>
      <x:c r="F2733" s="6" t="str">
        <x:v>上平聲八齊</x:v>
      </x:c>
      <x:c r="G2733" s="6" t="str">
        <x:v>Pingshui main list, Wikisource-derived DOCX</x:v>
      </x:c>
      <x:c r="H2733" s="6" t="str">
        <x:v>1</x:v>
      </x:c>
      <x:c r="I2733" s="6" t="str"/>
      <x:c r="J2733" s="6" t="str">
        <x:f>IF(B2733="","",IF(AND(ISNUMBER(SEARCH("平",B2733)),OR(ISNUMBER(SEARCH("上",B2733)),ISNUMBER(SEARCH("去",B2733)),ISNUMBER(SEARCH("入",B2733)))),"Ambiguous",IF(ISNUMBER(SEARCH("平",B2733)),"平","仄")))</x:f>
        <x:v>平</x:v>
      </x:c>
      <x:c r="K2733" s="6" t="str">
        <x:f>IF(D2733="","",IF(AND(ISNUMBER(SEARCH("平",D2733)),OR(ISNUMBER(SEARCH("上",D2733)),ISNUMBER(SEARCH("去",D2733)),ISNUMBER(SEARCH("入",D2733)))),"Ambiguous",IF(ISNUMBER(SEARCH("平",D2733)),"平","仄")))</x:f>
        <x:v>平</x:v>
      </x:c>
      <x:c r="L2733" s="7" t="str"/>
    </x:row>
    <x:row r="2734">
      <x:c r="A2734" s="5" t="str">
        <x:v>睿</x:v>
      </x:c>
      <x:c r="B2734" s="6" t="str">
        <x:v>去</x:v>
      </x:c>
      <x:c r="C2734" s="6" t="str">
        <x:f>IF(B2734="","Needs decision","Ready")</x:f>
        <x:v>Ready</x:v>
      </x:c>
      <x:c r="D2734" s="6" t="str">
        <x:v>去</x:v>
      </x:c>
      <x:c r="E2734" s="6" t="str">
        <x:v>ywejH [以合三祭去] jwejh</x:v>
      </x:c>
      <x:c r="F2734" s="6" t="str"/>
      <x:c r="G2734" s="6" t="str"/>
      <x:c r="H2734" s="6" t="str">
        <x:v>1</x:v>
      </x:c>
      <x:c r="I2734" s="6" t="str">
        <x:v>Targeted preliminary fill from Xun Gong; review if uncertain</x:v>
      </x:c>
      <x:c r="J2734" s="6" t="str">
        <x:f>IF(B2734="","",IF(AND(ISNUMBER(SEARCH("平",B2734)),OR(ISNUMBER(SEARCH("上",B2734)),ISNUMBER(SEARCH("去",B2734)),ISNUMBER(SEARCH("入",B2734)))),"Ambiguous",IF(ISNUMBER(SEARCH("平",B2734)),"平","仄")))</x:f>
        <x:v>仄</x:v>
      </x:c>
      <x:c r="K2734" s="6" t="str">
        <x:f>IF(D2734="","",IF(AND(ISNUMBER(SEARCH("平",D2734)),OR(ISNUMBER(SEARCH("上",D2734)),ISNUMBER(SEARCH("去",D2734)),ISNUMBER(SEARCH("入",D2734)))),"Ambiguous",IF(ISNUMBER(SEARCH("平",D2734)),"平","仄")))</x:f>
        <x:v>仄</x:v>
      </x:c>
      <x:c r="L2734" s="7" t="str">
        <x:v>Xun Gong character-readings.csv</x:v>
      </x:c>
    </x:row>
    <x:row r="2735">
      <x:c r="A2735" s="5" t="str">
        <x:v>瞀</x:v>
      </x:c>
      <x:c r="B2735" s="6" t="str">
        <x:v>入</x:v>
      </x:c>
      <x:c r="C2735" s="6" t="str">
        <x:f>IF(B2735="","Needs decision","Ready")</x:f>
        <x:v>Ready</x:v>
      </x:c>
      <x:c r="D2735" s="6" t="str">
        <x:v>入</x:v>
      </x:c>
      <x:c r="E2735" s="6" t="str">
        <x:v>maewk (D)</x:v>
      </x:c>
      <x:c r="F2735" s="6" t="str">
        <x:v>下平聲十一尤; 去聲二十六宥; 入聲三覺</x:v>
      </x:c>
      <x:c r="G2735" s="6" t="str">
        <x:v>Pingshui main list, Wikisource-derived DOCX</x:v>
      </x:c>
      <x:c r="H2735" s="6" t="str">
        <x:v>1</x:v>
      </x:c>
      <x:c r="I2735" s="6" t="str"/>
      <x:c r="J2735" s="6" t="str">
        <x:f>IF(B2735="","",IF(AND(ISNUMBER(SEARCH("平",B2735)),OR(ISNUMBER(SEARCH("上",B2735)),ISNUMBER(SEARCH("去",B2735)),ISNUMBER(SEARCH("入",B2735)))),"Ambiguous",IF(ISNUMBER(SEARCH("平",B2735)),"平","仄")))</x:f>
        <x:v>仄</x:v>
      </x:c>
      <x:c r="K2735" s="6" t="str">
        <x:f>IF(D2735="","",IF(AND(ISNUMBER(SEARCH("平",D2735)),OR(ISNUMBER(SEARCH("上",D2735)),ISNUMBER(SEARCH("去",D2735)),ISNUMBER(SEARCH("入",D2735)))),"Ambiguous",IF(ISNUMBER(SEARCH("平",D2735)),"平","仄")))</x:f>
        <x:v>仄</x:v>
      </x:c>
      <x:c r="L2735" s="7" t="str"/>
    </x:row>
    <x:row r="2736">
      <x:c r="A2736" s="5" t="str">
        <x:v>瞋</x:v>
      </x:c>
      <x:c r="B2736" s="6" t="str">
        <x:v>平</x:v>
      </x:c>
      <x:c r="C2736" s="6" t="str">
        <x:f>IF(B2736="","Needs decision","Ready")</x:f>
        <x:v>Ready</x:v>
      </x:c>
      <x:c r="D2736" s="6" t="str">
        <x:v>平</x:v>
      </x:c>
      <x:c r="E2736" s="6" t="str">
        <x:v>tsyhin (A)</x:v>
      </x:c>
      <x:c r="F2736" s="6" t="str">
        <x:v>上平聲十一真</x:v>
      </x:c>
      <x:c r="G2736" s="6" t="str">
        <x:v>Pingshui main list, Wikisource-derived DOCX</x:v>
      </x:c>
      <x:c r="H2736" s="6" t="str">
        <x:v>1</x:v>
      </x:c>
      <x:c r="I2736" s="6" t="str"/>
      <x:c r="J2736" s="6" t="str">
        <x:f>IF(B2736="","",IF(AND(ISNUMBER(SEARCH("平",B2736)),OR(ISNUMBER(SEARCH("上",B2736)),ISNUMBER(SEARCH("去",B2736)),ISNUMBER(SEARCH("入",B2736)))),"Ambiguous",IF(ISNUMBER(SEARCH("平",B2736)),"平","仄")))</x:f>
        <x:v>平</x:v>
      </x:c>
      <x:c r="K2736" s="6" t="str">
        <x:f>IF(D2736="","",IF(AND(ISNUMBER(SEARCH("平",D2736)),OR(ISNUMBER(SEARCH("上",D2736)),ISNUMBER(SEARCH("去",D2736)),ISNUMBER(SEARCH("入",D2736)))),"Ambiguous",IF(ISNUMBER(SEARCH("平",D2736)),"平","仄")))</x:f>
        <x:v>平</x:v>
      </x:c>
      <x:c r="L2736" s="7" t="str"/>
    </x:row>
    <x:row r="2737">
      <x:c r="A2737" s="5" t="str">
        <x:v>瞏</x:v>
      </x:c>
      <x:c r="B2737" s="6" t="str">
        <x:v>平</x:v>
      </x:c>
      <x:c r="C2737" s="6" t="str">
        <x:f>IF(B2737="","Needs decision","Ready")</x:f>
        <x:v>Ready</x:v>
      </x:c>
      <x:c r="D2737" s="6" t="str">
        <x:v>平</x:v>
      </x:c>
      <x:c r="E2737" s="6" t="str">
        <x:v>gjwieng (A)</x:v>
      </x:c>
      <x:c r="F2737" s="6" t="str"/>
      <x:c r="G2737" s="6" t="str"/>
      <x:c r="H2737" s="6" t="str">
        <x:v>1</x:v>
      </x:c>
      <x:c r="I2737" s="6" t="str"/>
      <x:c r="J2737" s="6" t="str">
        <x:f>IF(B2737="","",IF(AND(ISNUMBER(SEARCH("平",B2737)),OR(ISNUMBER(SEARCH("上",B2737)),ISNUMBER(SEARCH("去",B2737)),ISNUMBER(SEARCH("入",B2737)))),"Ambiguous",IF(ISNUMBER(SEARCH("平",B2737)),"平","仄")))</x:f>
        <x:v>平</x:v>
      </x:c>
      <x:c r="K2737" s="6" t="str">
        <x:f>IF(D2737="","",IF(AND(ISNUMBER(SEARCH("平",D2737)),OR(ISNUMBER(SEARCH("上",D2737)),ISNUMBER(SEARCH("去",D2737)),ISNUMBER(SEARCH("入",D2737)))),"Ambiguous",IF(ISNUMBER(SEARCH("平",D2737)),"平","仄")))</x:f>
        <x:v>平</x:v>
      </x:c>
      <x:c r="L2737" s="7" t="str"/>
    </x:row>
    <x:row r="2738">
      <x:c r="A2738" s="5" t="str">
        <x:v>瞞</x:v>
      </x:c>
      <x:c r="B2738" s="6" t="str">
        <x:v>平</x:v>
      </x:c>
      <x:c r="C2738" s="6" t="str">
        <x:f>IF(B2738="","Needs decision","Ready")</x:f>
        <x:v>Ready</x:v>
      </x:c>
      <x:c r="D2738" s="6" t="str">
        <x:v>平</x:v>
      </x:c>
      <x:c r="E2738" s="6" t="str">
        <x:v>man (A)</x:v>
      </x:c>
      <x:c r="F2738" s="6" t="str">
        <x:v>上平聲十四寒</x:v>
      </x:c>
      <x:c r="G2738" s="6" t="str">
        <x:v>Pingshui main list, Wikisource-derived DOCX</x:v>
      </x:c>
      <x:c r="H2738" s="6" t="str">
        <x:v>1</x:v>
      </x:c>
      <x:c r="I2738" s="6" t="str"/>
      <x:c r="J2738" s="6" t="str">
        <x:f>IF(B2738="","",IF(AND(ISNUMBER(SEARCH("平",B2738)),OR(ISNUMBER(SEARCH("上",B2738)),ISNUMBER(SEARCH("去",B2738)),ISNUMBER(SEARCH("入",B2738)))),"Ambiguous",IF(ISNUMBER(SEARCH("平",B2738)),"平","仄")))</x:f>
        <x:v>平</x:v>
      </x:c>
      <x:c r="K2738" s="6" t="str">
        <x:f>IF(D2738="","",IF(AND(ISNUMBER(SEARCH("平",D2738)),OR(ISNUMBER(SEARCH("上",D2738)),ISNUMBER(SEARCH("去",D2738)),ISNUMBER(SEARCH("入",D2738)))),"Ambiguous",IF(ISNUMBER(SEARCH("平",D2738)),"平","仄")))</x:f>
        <x:v>平</x:v>
      </x:c>
      <x:c r="L2738" s="7" t="str"/>
    </x:row>
    <x:row r="2739">
      <x:c r="A2739" s="5" t="str">
        <x:v>瞠</x:v>
      </x:c>
      <x:c r="B2739" s="6" t="str">
        <x:v>平</x:v>
      </x:c>
      <x:c r="C2739" s="6" t="str">
        <x:f>IF(B2739="","Needs decision","Ready")</x:f>
        <x:v>Ready</x:v>
      </x:c>
      <x:c r="D2739" s="6" t="str">
        <x:v>平</x:v>
      </x:c>
      <x:c r="E2739" s="6" t="str">
        <x:v>trhaeng (A)</x:v>
      </x:c>
      <x:c r="F2739" s="6" t="str">
        <x:v>下平聲八庚</x:v>
      </x:c>
      <x:c r="G2739" s="6" t="str">
        <x:v>Pingshui main list, Wikisource-derived DOCX</x:v>
      </x:c>
      <x:c r="H2739" s="6" t="str">
        <x:v>1</x:v>
      </x:c>
      <x:c r="I2739" s="6" t="str"/>
      <x:c r="J2739" s="6" t="str">
        <x:f>IF(B2739="","",IF(AND(ISNUMBER(SEARCH("平",B2739)),OR(ISNUMBER(SEARCH("上",B2739)),ISNUMBER(SEARCH("去",B2739)),ISNUMBER(SEARCH("入",B2739)))),"Ambiguous",IF(ISNUMBER(SEARCH("平",B2739)),"平","仄")))</x:f>
        <x:v>平</x:v>
      </x:c>
      <x:c r="K2739" s="6" t="str">
        <x:f>IF(D2739="","",IF(AND(ISNUMBER(SEARCH("平",D2739)),OR(ISNUMBER(SEARCH("上",D2739)),ISNUMBER(SEARCH("去",D2739)),ISNUMBER(SEARCH("入",D2739)))),"Ambiguous",IF(ISNUMBER(SEARCH("平",D2739)),"平","仄")))</x:f>
        <x:v>平</x:v>
      </x:c>
      <x:c r="L2739" s="7" t="str"/>
    </x:row>
    <x:row r="2740">
      <x:c r="A2740" s="5" t="str">
        <x:v>瞳</x:v>
      </x:c>
      <x:c r="B2740" s="6" t="str">
        <x:v>平</x:v>
      </x:c>
      <x:c r="C2740" s="6" t="str">
        <x:f>IF(B2740="","Needs decision","Ready")</x:f>
        <x:v>Ready</x:v>
      </x:c>
      <x:c r="D2740" s="6" t="str">
        <x:v>平</x:v>
      </x:c>
      <x:c r="E2740" s="6" t="str">
        <x:v>duwng [定一東平] d̙uŋ</x:v>
      </x:c>
      <x:c r="F2740" s="6" t="str">
        <x:v>上平聲一東</x:v>
      </x:c>
      <x:c r="G2740" s="6" t="str">
        <x:v>Pingshui main list, Wikisource-derived DOCX</x:v>
      </x:c>
      <x:c r="H2740" s="6" t="str">
        <x:v>1</x:v>
      </x:c>
      <x:c r="I2740" s="6" t="str">
        <x:v>Targeted preliminary fill from Xun Gong; review if uncertain</x:v>
      </x:c>
      <x:c r="J2740" s="6" t="str">
        <x:f>IF(B2740="","",IF(AND(ISNUMBER(SEARCH("平",B2740)),OR(ISNUMBER(SEARCH("上",B2740)),ISNUMBER(SEARCH("去",B2740)),ISNUMBER(SEARCH("入",B2740)))),"Ambiguous",IF(ISNUMBER(SEARCH("平",B2740)),"平","仄")))</x:f>
        <x:v>平</x:v>
      </x:c>
      <x:c r="K2740" s="6" t="str">
        <x:f>IF(D2740="","",IF(AND(ISNUMBER(SEARCH("平",D2740)),OR(ISNUMBER(SEARCH("上",D2740)),ISNUMBER(SEARCH("去",D2740)),ISNUMBER(SEARCH("入",D2740)))),"Ambiguous",IF(ISNUMBER(SEARCH("平",D2740)),"平","仄")))</x:f>
        <x:v>平</x:v>
      </x:c>
      <x:c r="L2740" s="7" t="str">
        <x:v>Xun Gong character-readings.csv</x:v>
      </x:c>
    </x:row>
    <x:row r="2741">
      <x:c r="A2741" s="5" t="str">
        <x:v>瞷</x:v>
      </x:c>
      <x:c r="B2741" s="6" t="str">
        <x:v>平</x:v>
      </x:c>
      <x:c r="C2741" s="6" t="str">
        <x:f>IF(B2741="","Needs decision","Ready")</x:f>
        <x:v>Ready</x:v>
      </x:c>
      <x:c r="D2741" s="6" t="str">
        <x:v>平</x:v>
      </x:c>
      <x:c r="E2741" s="6" t="str">
        <x:v>hean (A)</x:v>
      </x:c>
      <x:c r="F2741" s="6" t="str">
        <x:v>上平聲十五刪</x:v>
      </x:c>
      <x:c r="G2741" s="6" t="str">
        <x:v>Pingshui main list, Wikisource-derived DOCX</x:v>
      </x:c>
      <x:c r="H2741" s="6" t="str">
        <x:v>1</x:v>
      </x:c>
      <x:c r="I2741" s="6" t="str"/>
      <x:c r="J2741" s="6" t="str">
        <x:f>IF(B2741="","",IF(AND(ISNUMBER(SEARCH("平",B2741)),OR(ISNUMBER(SEARCH("上",B2741)),ISNUMBER(SEARCH("去",B2741)),ISNUMBER(SEARCH("入",B2741)))),"Ambiguous",IF(ISNUMBER(SEARCH("平",B2741)),"平","仄")))</x:f>
        <x:v>平</x:v>
      </x:c>
      <x:c r="K2741" s="6" t="str">
        <x:f>IF(D2741="","",IF(AND(ISNUMBER(SEARCH("平",D2741)),OR(ISNUMBER(SEARCH("上",D2741)),ISNUMBER(SEARCH("去",D2741)),ISNUMBER(SEARCH("入",D2741)))),"Ambiguous",IF(ISNUMBER(SEARCH("平",D2741)),"平","仄")))</x:f>
        <x:v>平</x:v>
      </x:c>
      <x:c r="L2741" s="7" t="str"/>
    </x:row>
    <x:row r="2742">
      <x:c r="A2742" s="5" t="str">
        <x:v>瞻</x:v>
      </x:c>
      <x:c r="B2742" s="6" t="str">
        <x:v>平</x:v>
      </x:c>
      <x:c r="C2742" s="6" t="str">
        <x:f>IF(B2742="","Needs decision","Ready")</x:f>
        <x:v>Ready</x:v>
      </x:c>
      <x:c r="D2742" s="6" t="str">
        <x:v>平</x:v>
      </x:c>
      <x:c r="E2742" s="6" t="str">
        <x:v>tsyem (A)</x:v>
      </x:c>
      <x:c r="F2742" s="6" t="str">
        <x:v>下平聲十四鹽</x:v>
      </x:c>
      <x:c r="G2742" s="6" t="str">
        <x:v>Pingshui main list, Wikisource-derived DOCX</x:v>
      </x:c>
      <x:c r="H2742" s="6" t="str">
        <x:v>1</x:v>
      </x:c>
      <x:c r="I2742" s="6" t="str"/>
      <x:c r="J2742" s="6" t="str">
        <x:f>IF(B2742="","",IF(AND(ISNUMBER(SEARCH("平",B2742)),OR(ISNUMBER(SEARCH("上",B2742)),ISNUMBER(SEARCH("去",B2742)),ISNUMBER(SEARCH("入",B2742)))),"Ambiguous",IF(ISNUMBER(SEARCH("平",B2742)),"平","仄")))</x:f>
        <x:v>平</x:v>
      </x:c>
      <x:c r="K2742" s="6" t="str">
        <x:f>IF(D2742="","",IF(AND(ISNUMBER(SEARCH("平",D2742)),OR(ISNUMBER(SEARCH("上",D2742)),ISNUMBER(SEARCH("去",D2742)),ISNUMBER(SEARCH("入",D2742)))),"Ambiguous",IF(ISNUMBER(SEARCH("平",D2742)),"平","仄")))</x:f>
        <x:v>平</x:v>
      </x:c>
      <x:c r="L2742" s="7" t="str"/>
    </x:row>
    <x:row r="2743">
      <x:c r="A2743" s="5" t="str">
        <x:v>瞽</x:v>
      </x:c>
      <x:c r="B2743" s="6" t="str">
        <x:v>上</x:v>
      </x:c>
      <x:c r="C2743" s="6" t="str">
        <x:f>IF(B2743="","Needs decision","Ready")</x:f>
        <x:v>Ready</x:v>
      </x:c>
      <x:c r="D2743" s="6" t="str">
        <x:v>上</x:v>
      </x:c>
      <x:c r="E2743" s="6" t="str">
        <x:v>kuX (B)</x:v>
      </x:c>
      <x:c r="F2743" s="6" t="str">
        <x:v>上聲七麌</x:v>
      </x:c>
      <x:c r="G2743" s="6" t="str">
        <x:v>Pingshui main list, Wikisource-derived DOCX</x:v>
      </x:c>
      <x:c r="H2743" s="6" t="str">
        <x:v>1</x:v>
      </x:c>
      <x:c r="I2743" s="6" t="str"/>
      <x:c r="J2743" s="6" t="str">
        <x:f>IF(B2743="","",IF(AND(ISNUMBER(SEARCH("平",B2743)),OR(ISNUMBER(SEARCH("上",B2743)),ISNUMBER(SEARCH("去",B2743)),ISNUMBER(SEARCH("入",B2743)))),"Ambiguous",IF(ISNUMBER(SEARCH("平",B2743)),"平","仄")))</x:f>
        <x:v>仄</x:v>
      </x:c>
      <x:c r="K2743" s="6" t="str">
        <x:f>IF(D2743="","",IF(AND(ISNUMBER(SEARCH("平",D2743)),OR(ISNUMBER(SEARCH("上",D2743)),ISNUMBER(SEARCH("去",D2743)),ISNUMBER(SEARCH("入",D2743)))),"Ambiguous",IF(ISNUMBER(SEARCH("平",D2743)),"平","仄")))</x:f>
        <x:v>仄</x:v>
      </x:c>
      <x:c r="L2743" s="7" t="str"/>
    </x:row>
    <x:row r="2744">
      <x:c r="A2744" s="5" t="str">
        <x:v>瞿</x:v>
      </x:c>
      <x:c r="B2744" s="6" t="str">
        <x:v>平</x:v>
      </x:c>
      <x:c r="C2744" s="6" t="str">
        <x:f>IF(B2744="","Needs decision","Ready")</x:f>
        <x:v>Ready</x:v>
      </x:c>
      <x:c r="D2744" s="6" t="str">
        <x:v>平</x:v>
      </x:c>
      <x:c r="E2744" s="6" t="str">
        <x:v>gju (A)</x:v>
      </x:c>
      <x:c r="F2744" s="6" t="str">
        <x:v>上平聲七虞; 去聲七遇</x:v>
      </x:c>
      <x:c r="G2744" s="6" t="str">
        <x:v>Pingshui main list, Wikisource-derived DOCX</x:v>
      </x:c>
      <x:c r="H2744" s="6" t="str">
        <x:v>1</x:v>
      </x:c>
      <x:c r="I2744" s="6" t="str"/>
      <x:c r="J2744" s="6" t="str">
        <x:f>IF(B2744="","",IF(AND(ISNUMBER(SEARCH("平",B2744)),OR(ISNUMBER(SEARCH("上",B2744)),ISNUMBER(SEARCH("去",B2744)),ISNUMBER(SEARCH("入",B2744)))),"Ambiguous",IF(ISNUMBER(SEARCH("平",B2744)),"平","仄")))</x:f>
        <x:v>平</x:v>
      </x:c>
      <x:c r="K2744" s="6" t="str">
        <x:f>IF(D2744="","",IF(AND(ISNUMBER(SEARCH("平",D2744)),OR(ISNUMBER(SEARCH("上",D2744)),ISNUMBER(SEARCH("去",D2744)),ISNUMBER(SEARCH("入",D2744)))),"Ambiguous",IF(ISNUMBER(SEARCH("平",D2744)),"平","仄")))</x:f>
        <x:v>平</x:v>
      </x:c>
      <x:c r="L2744" s="7" t="str"/>
    </x:row>
    <x:row r="2745">
      <x:c r="A2745" s="5" t="str">
        <x:v>矍</x:v>
      </x:c>
      <x:c r="B2745" s="6" t="str">
        <x:v>入</x:v>
      </x:c>
      <x:c r="C2745" s="6" t="str">
        <x:f>IF(B2745="","Needs decision","Ready")</x:f>
        <x:v>Ready</x:v>
      </x:c>
      <x:c r="D2745" s="6" t="str">
        <x:v>入</x:v>
      </x:c>
      <x:c r="E2745" s="6" t="str">
        <x:v>kjwak (D)</x:v>
      </x:c>
      <x:c r="F2745" s="6" t="str">
        <x:v>入聲十藥</x:v>
      </x:c>
      <x:c r="G2745" s="6" t="str">
        <x:v>Pingshui main list, Wikisource-derived DOCX</x:v>
      </x:c>
      <x:c r="H2745" s="6" t="str">
        <x:v>1</x:v>
      </x:c>
      <x:c r="I2745" s="6" t="str"/>
      <x:c r="J2745" s="6" t="str">
        <x:f>IF(B2745="","",IF(AND(ISNUMBER(SEARCH("平",B2745)),OR(ISNUMBER(SEARCH("上",B2745)),ISNUMBER(SEARCH("去",B2745)),ISNUMBER(SEARCH("入",B2745)))),"Ambiguous",IF(ISNUMBER(SEARCH("平",B2745)),"平","仄")))</x:f>
        <x:v>仄</x:v>
      </x:c>
      <x:c r="K2745" s="6" t="str">
        <x:f>IF(D2745="","",IF(AND(ISNUMBER(SEARCH("平",D2745)),OR(ISNUMBER(SEARCH("上",D2745)),ISNUMBER(SEARCH("去",D2745)),ISNUMBER(SEARCH("入",D2745)))),"Ambiguous",IF(ISNUMBER(SEARCH("平",D2745)),"平","仄")))</x:f>
        <x:v>仄</x:v>
      </x:c>
      <x:c r="L2745" s="7" t="str"/>
    </x:row>
    <x:row r="2746">
      <x:c r="A2746" s="5" t="str">
        <x:v>矛</x:v>
      </x:c>
      <x:c r="B2746" s="6" t="str">
        <x:v>平</x:v>
      </x:c>
      <x:c r="C2746" s="6" t="str">
        <x:f>IF(B2746="","Needs decision","Ready")</x:f>
        <x:v>Ready</x:v>
      </x:c>
      <x:c r="D2746" s="6" t="str">
        <x:v>平</x:v>
      </x:c>
      <x:c r="E2746" s="6" t="str">
        <x:v>mjuw (A)</x:v>
      </x:c>
      <x:c r="F2746" s="6" t="str">
        <x:v>下平聲十一尤</x:v>
      </x:c>
      <x:c r="G2746" s="6" t="str">
        <x:v>Pingshui main list, Wikisource-derived DOCX</x:v>
      </x:c>
      <x:c r="H2746" s="6" t="str">
        <x:v>1</x:v>
      </x:c>
      <x:c r="I2746" s="6" t="str"/>
      <x:c r="J2746" s="6" t="str">
        <x:f>IF(B2746="","",IF(AND(ISNUMBER(SEARCH("平",B2746)),OR(ISNUMBER(SEARCH("上",B2746)),ISNUMBER(SEARCH("去",B2746)),ISNUMBER(SEARCH("入",B2746)))),"Ambiguous",IF(ISNUMBER(SEARCH("平",B2746)),"平","仄")))</x:f>
        <x:v>平</x:v>
      </x:c>
      <x:c r="K2746" s="6" t="str">
        <x:f>IF(D2746="","",IF(AND(ISNUMBER(SEARCH("平",D2746)),OR(ISNUMBER(SEARCH("上",D2746)),ISNUMBER(SEARCH("去",D2746)),ISNUMBER(SEARCH("入",D2746)))),"Ambiguous",IF(ISNUMBER(SEARCH("平",D2746)),"平","仄")))</x:f>
        <x:v>平</x:v>
      </x:c>
      <x:c r="L2746" s="7" t="str"/>
    </x:row>
    <x:row r="2747">
      <x:c r="A2747" s="5" t="str">
        <x:v>矜</x:v>
      </x:c>
      <x:c r="B2747" s="6" t="str">
        <x:v>平</x:v>
      </x:c>
      <x:c r="C2747" s="6" t="str">
        <x:f>IF(B2747="","Needs decision","Ready")</x:f>
        <x:v>Ready</x:v>
      </x:c>
      <x:c r="D2747" s="6" t="str">
        <x:v>平</x:v>
      </x:c>
      <x:c r="E2747" s="6" t="str">
        <x:v>king (A); gin (A)</x:v>
      </x:c>
      <x:c r="F2747" s="6" t="str">
        <x:v>下平聲十蒸</x:v>
      </x:c>
      <x:c r="G2747" s="6" t="str">
        <x:v>Pingshui main list, Wikisource-derived DOCX</x:v>
      </x:c>
      <x:c r="H2747" s="6" t="str">
        <x:v>2</x:v>
      </x:c>
      <x:c r="I2747" s="6" t="str"/>
      <x:c r="J2747" s="6" t="str">
        <x:f>IF(B2747="","",IF(AND(ISNUMBER(SEARCH("平",B2747)),OR(ISNUMBER(SEARCH("上",B2747)),ISNUMBER(SEARCH("去",B2747)),ISNUMBER(SEARCH("入",B2747)))),"Ambiguous",IF(ISNUMBER(SEARCH("平",B2747)),"平","仄")))</x:f>
        <x:v>平</x:v>
      </x:c>
      <x:c r="K2747" s="6" t="str">
        <x:f>IF(D2747="","",IF(AND(ISNUMBER(SEARCH("平",D2747)),OR(ISNUMBER(SEARCH("上",D2747)),ISNUMBER(SEARCH("去",D2747)),ISNUMBER(SEARCH("入",D2747)))),"Ambiguous",IF(ISNUMBER(SEARCH("平",D2747)),"平","仄")))</x:f>
        <x:v>平</x:v>
      </x:c>
      <x:c r="L2747" s="7" t="str"/>
    </x:row>
    <x:row r="2748">
      <x:c r="A2748" s="5" t="str">
        <x:v>矢</x:v>
      </x:c>
      <x:c r="B2748" s="6" t="str">
        <x:v>上</x:v>
      </x:c>
      <x:c r="C2748" s="6" t="str">
        <x:f>IF(B2748="","Needs decision","Ready")</x:f>
        <x:v>Ready</x:v>
      </x:c>
      <x:c r="D2748" s="6" t="str">
        <x:v>上</x:v>
      </x:c>
      <x:c r="E2748" s="6" t="str">
        <x:v>syijX (B)</x:v>
      </x:c>
      <x:c r="F2748" s="6" t="str">
        <x:v>上聲四紙</x:v>
      </x:c>
      <x:c r="G2748" s="6" t="str">
        <x:v>Pingshui main list, Wikisource-derived DOCX</x:v>
      </x:c>
      <x:c r="H2748" s="6" t="str">
        <x:v>1</x:v>
      </x:c>
      <x:c r="I2748" s="6" t="str"/>
      <x:c r="J2748" s="6" t="str">
        <x:f>IF(B2748="","",IF(AND(ISNUMBER(SEARCH("平",B2748)),OR(ISNUMBER(SEARCH("上",B2748)),ISNUMBER(SEARCH("去",B2748)),ISNUMBER(SEARCH("入",B2748)))),"Ambiguous",IF(ISNUMBER(SEARCH("平",B2748)),"平","仄")))</x:f>
        <x:v>仄</x:v>
      </x:c>
      <x:c r="K2748" s="6" t="str">
        <x:f>IF(D2748="","",IF(AND(ISNUMBER(SEARCH("平",D2748)),OR(ISNUMBER(SEARCH("上",D2748)),ISNUMBER(SEARCH("去",D2748)),ISNUMBER(SEARCH("入",D2748)))),"Ambiguous",IF(ISNUMBER(SEARCH("平",D2748)),"平","仄")))</x:f>
        <x:v>仄</x:v>
      </x:c>
      <x:c r="L2748" s="7" t="str"/>
    </x:row>
    <x:row r="2749">
      <x:c r="A2749" s="5" t="str">
        <x:v>矣</x:v>
      </x:c>
      <x:c r="B2749" s="6" t="str">
        <x:v>上</x:v>
      </x:c>
      <x:c r="C2749" s="6" t="str">
        <x:f>IF(B2749="","Needs decision","Ready")</x:f>
        <x:v>Ready</x:v>
      </x:c>
      <x:c r="D2749" s="6" t="str">
        <x:v>上</x:v>
      </x:c>
      <x:c r="E2749" s="6" t="str">
        <x:v>hiX (B)</x:v>
      </x:c>
      <x:c r="F2749" s="6" t="str">
        <x:v>上聲四紙</x:v>
      </x:c>
      <x:c r="G2749" s="6" t="str">
        <x:v>Pingshui main list, Wikisource-derived DOCX</x:v>
      </x:c>
      <x:c r="H2749" s="6" t="str">
        <x:v>1</x:v>
      </x:c>
      <x:c r="I2749" s="6" t="str"/>
      <x:c r="J2749" s="6" t="str">
        <x:f>IF(B2749="","",IF(AND(ISNUMBER(SEARCH("平",B2749)),OR(ISNUMBER(SEARCH("上",B2749)),ISNUMBER(SEARCH("去",B2749)),ISNUMBER(SEARCH("入",B2749)))),"Ambiguous",IF(ISNUMBER(SEARCH("平",B2749)),"平","仄")))</x:f>
        <x:v>仄</x:v>
      </x:c>
      <x:c r="K2749" s="6" t="str">
        <x:f>IF(D2749="","",IF(AND(ISNUMBER(SEARCH("平",D2749)),OR(ISNUMBER(SEARCH("上",D2749)),ISNUMBER(SEARCH("去",D2749)),ISNUMBER(SEARCH("入",D2749)))),"Ambiguous",IF(ISNUMBER(SEARCH("平",D2749)),"平","仄")))</x:f>
        <x:v>仄</x:v>
      </x:c>
      <x:c r="L2749" s="7" t="str"/>
    </x:row>
    <x:row r="2750">
      <x:c r="A2750" s="5" t="str">
        <x:v>知</x:v>
      </x:c>
      <x:c r="B2750" s="6" t="str">
        <x:v>平</x:v>
      </x:c>
      <x:c r="C2750" s="6" t="str">
        <x:f>IF(B2750="","Needs decision","Ready")</x:f>
        <x:v>Ready</x:v>
      </x:c>
      <x:c r="D2750" s="6" t="str">
        <x:v>平</x:v>
      </x:c>
      <x:c r="E2750" s="6" t="str">
        <x:v>trje (A)</x:v>
      </x:c>
      <x:c r="F2750" s="6" t="str">
        <x:v>上平聲四支</x:v>
      </x:c>
      <x:c r="G2750" s="6" t="str">
        <x:v>Pingshui main list, Wikisource-derived DOCX</x:v>
      </x:c>
      <x:c r="H2750" s="6" t="str">
        <x:v>1</x:v>
      </x:c>
      <x:c r="I2750" s="6" t="str"/>
      <x:c r="J2750" s="6" t="str">
        <x:f>IF(B2750="","",IF(AND(ISNUMBER(SEARCH("平",B2750)),OR(ISNUMBER(SEARCH("上",B2750)),ISNUMBER(SEARCH("去",B2750)),ISNUMBER(SEARCH("入",B2750)))),"Ambiguous",IF(ISNUMBER(SEARCH("平",B2750)),"平","仄")))</x:f>
        <x:v>平</x:v>
      </x:c>
      <x:c r="K2750" s="6" t="str">
        <x:f>IF(D2750="","",IF(AND(ISNUMBER(SEARCH("平",D2750)),OR(ISNUMBER(SEARCH("上",D2750)),ISNUMBER(SEARCH("去",D2750)),ISNUMBER(SEARCH("入",D2750)))),"Ambiguous",IF(ISNUMBER(SEARCH("平",D2750)),"平","仄")))</x:f>
        <x:v>平</x:v>
      </x:c>
      <x:c r="L2750" s="7" t="str"/>
    </x:row>
    <x:row r="2751">
      <x:c r="A2751" s="5" t="str">
        <x:v>矩</x:v>
      </x:c>
      <x:c r="B2751" s="6" t="str">
        <x:v>上</x:v>
      </x:c>
      <x:c r="C2751" s="6" t="str">
        <x:f>IF(B2751="","Needs decision","Ready")</x:f>
        <x:v>Ready</x:v>
      </x:c>
      <x:c r="D2751" s="6" t="str">
        <x:v>上</x:v>
      </x:c>
      <x:c r="E2751" s="6" t="str">
        <x:v>kjuX (B)</x:v>
      </x:c>
      <x:c r="F2751" s="6" t="str">
        <x:v>上聲七麌</x:v>
      </x:c>
      <x:c r="G2751" s="6" t="str">
        <x:v>Pingshui main list, Wikisource-derived DOCX</x:v>
      </x:c>
      <x:c r="H2751" s="6" t="str">
        <x:v>1</x:v>
      </x:c>
      <x:c r="I2751" s="6" t="str"/>
      <x:c r="J2751" s="6" t="str">
        <x:f>IF(B2751="","",IF(AND(ISNUMBER(SEARCH("平",B2751)),OR(ISNUMBER(SEARCH("上",B2751)),ISNUMBER(SEARCH("去",B2751)),ISNUMBER(SEARCH("入",B2751)))),"Ambiguous",IF(ISNUMBER(SEARCH("平",B2751)),"平","仄")))</x:f>
        <x:v>仄</x:v>
      </x:c>
      <x:c r="K2751" s="6" t="str">
        <x:f>IF(D2751="","",IF(AND(ISNUMBER(SEARCH("平",D2751)),OR(ISNUMBER(SEARCH("上",D2751)),ISNUMBER(SEARCH("去",D2751)),ISNUMBER(SEARCH("入",D2751)))),"Ambiguous",IF(ISNUMBER(SEARCH("平",D2751)),"平","仄")))</x:f>
        <x:v>仄</x:v>
      </x:c>
      <x:c r="L2751" s="7" t="str"/>
    </x:row>
    <x:row r="2752">
      <x:c r="A2752" s="5" t="str">
        <x:v>短</x:v>
      </x:c>
      <x:c r="B2752" s="6" t="str">
        <x:v>上</x:v>
      </x:c>
      <x:c r="C2752" s="6" t="str">
        <x:f>IF(B2752="","Needs decision","Ready")</x:f>
        <x:v>Ready</x:v>
      </x:c>
      <x:c r="D2752" s="6" t="str">
        <x:v>上</x:v>
      </x:c>
      <x:c r="E2752" s="6" t="str">
        <x:v>twanX (B)</x:v>
      </x:c>
      <x:c r="F2752" s="6" t="str">
        <x:v>上聲十四旱</x:v>
      </x:c>
      <x:c r="G2752" s="6" t="str">
        <x:v>Pingshui main list, Wikisource-derived DOCX</x:v>
      </x:c>
      <x:c r="H2752" s="6" t="str">
        <x:v>1</x:v>
      </x:c>
      <x:c r="I2752" s="6" t="str"/>
      <x:c r="J2752" s="6" t="str">
        <x:f>IF(B2752="","",IF(AND(ISNUMBER(SEARCH("平",B2752)),OR(ISNUMBER(SEARCH("上",B2752)),ISNUMBER(SEARCH("去",B2752)),ISNUMBER(SEARCH("入",B2752)))),"Ambiguous",IF(ISNUMBER(SEARCH("平",B2752)),"平","仄")))</x:f>
        <x:v>仄</x:v>
      </x:c>
      <x:c r="K2752" s="6" t="str">
        <x:f>IF(D2752="","",IF(AND(ISNUMBER(SEARCH("平",D2752)),OR(ISNUMBER(SEARCH("上",D2752)),ISNUMBER(SEARCH("去",D2752)),ISNUMBER(SEARCH("入",D2752)))),"Ambiguous",IF(ISNUMBER(SEARCH("平",D2752)),"平","仄")))</x:f>
        <x:v>仄</x:v>
      </x:c>
      <x:c r="L2752" s="7" t="str"/>
    </x:row>
    <x:row r="2753">
      <x:c r="A2753" s="5" t="str">
        <x:v>矯</x:v>
      </x:c>
      <x:c r="B2753" s="6" t="str">
        <x:v>上</x:v>
      </x:c>
      <x:c r="C2753" s="6" t="str">
        <x:f>IF(B2753="","Needs decision","Ready")</x:f>
        <x:v>Ready</x:v>
      </x:c>
      <x:c r="D2753" s="6" t="str">
        <x:v>上</x:v>
      </x:c>
      <x:c r="E2753" s="6" t="str">
        <x:v>kjewX (B)</x:v>
      </x:c>
      <x:c r="F2753" s="6" t="str">
        <x:v>上聲十七篠</x:v>
      </x:c>
      <x:c r="G2753" s="6" t="str">
        <x:v>Pingshui main list, Wikisource-derived DOCX</x:v>
      </x:c>
      <x:c r="H2753" s="6" t="str">
        <x:v>1</x:v>
      </x:c>
      <x:c r="I2753" s="6" t="str"/>
      <x:c r="J2753" s="6" t="str">
        <x:f>IF(B2753="","",IF(AND(ISNUMBER(SEARCH("平",B2753)),OR(ISNUMBER(SEARCH("上",B2753)),ISNUMBER(SEARCH("去",B2753)),ISNUMBER(SEARCH("入",B2753)))),"Ambiguous",IF(ISNUMBER(SEARCH("平",B2753)),"平","仄")))</x:f>
        <x:v>仄</x:v>
      </x:c>
      <x:c r="K2753" s="6" t="str">
        <x:f>IF(D2753="","",IF(AND(ISNUMBER(SEARCH("平",D2753)),OR(ISNUMBER(SEARCH("上",D2753)),ISNUMBER(SEARCH("去",D2753)),ISNUMBER(SEARCH("入",D2753)))),"Ambiguous",IF(ISNUMBER(SEARCH("平",D2753)),"平","仄")))</x:f>
        <x:v>仄</x:v>
      </x:c>
      <x:c r="L2753" s="7" t="str"/>
    </x:row>
    <x:row r="2754">
      <x:c r="A2754" s="5" t="str">
        <x:v>矰</x:v>
      </x:c>
      <x:c r="B2754" s="6" t="str">
        <x:v>平</x:v>
      </x:c>
      <x:c r="C2754" s="6" t="str">
        <x:f>IF(B2754="","Needs decision","Ready")</x:f>
        <x:v>Ready</x:v>
      </x:c>
      <x:c r="D2754" s="6" t="str">
        <x:v>平</x:v>
      </x:c>
      <x:c r="E2754" s="6" t="str">
        <x:v>tsong [t̙s̙əŋ] (平)</x:v>
      </x:c>
      <x:c r="F2754" s="6" t="str">
        <x:v>下平聲十蒸</x:v>
      </x:c>
      <x:c r="G2754" s="6" t="str">
        <x:v>Pingshui main list, Wikisource-derived DOCX</x:v>
      </x:c>
      <x:c r="H2754" s="6" t="str">
        <x:v>1</x:v>
      </x:c>
      <x:c r="I2754" s="6" t="str">
        <x:v>Tang 300 gap; frequency 1; provisional from Xun Gong</x:v>
      </x:c>
      <x:c r="J2754" s="6" t="str">
        <x:f>IF(B2754="","",IF(AND(ISNUMBER(SEARCH("平",B2754)),OR(ISNUMBER(SEARCH("上",B2754)),ISNUMBER(SEARCH("去",B2754)),ISNUMBER(SEARCH("入",B2754)))),"Ambiguous",IF(ISNUMBER(SEARCH("平",B2754)),"平","仄")))</x:f>
        <x:v>平</x:v>
      </x:c>
      <x:c r="K2754" s="6" t="str">
        <x:f>IF(D2754="","",IF(AND(ISNUMBER(SEARCH("平",D2754)),OR(ISNUMBER(SEARCH("上",D2754)),ISNUMBER(SEARCH("去",D2754)),ISNUMBER(SEARCH("入",D2754)))),"Ambiguous",IF(ISNUMBER(SEARCH("平",D2754)),"平","仄")))</x:f>
        <x:v>平</x:v>
      </x:c>
      <x:c r="L2754" s="7" t="str">
        <x:v>Xun Gong, Tang 300 gap fill</x:v>
      </x:c>
    </x:row>
    <x:row r="2755">
      <x:c r="A2755" s="5" t="str">
        <x:v>石</x:v>
      </x:c>
      <x:c r="B2755" s="6" t="str">
        <x:v>入</x:v>
      </x:c>
      <x:c r="C2755" s="6" t="str">
        <x:f>IF(B2755="","Needs decision","Ready")</x:f>
        <x:v>Ready</x:v>
      </x:c>
      <x:c r="D2755" s="6" t="str">
        <x:v>入</x:v>
      </x:c>
      <x:c r="E2755" s="6" t="str">
        <x:v>dzyek (D)</x:v>
      </x:c>
      <x:c r="F2755" s="6" t="str">
        <x:v>入聲十一陌</x:v>
      </x:c>
      <x:c r="G2755" s="6" t="str">
        <x:v>Pingshui main list, Wikisource-derived DOCX</x:v>
      </x:c>
      <x:c r="H2755" s="6" t="str">
        <x:v>1</x:v>
      </x:c>
      <x:c r="I2755" s="6" t="str"/>
      <x:c r="J2755" s="6" t="str">
        <x:f>IF(B2755="","",IF(AND(ISNUMBER(SEARCH("平",B2755)),OR(ISNUMBER(SEARCH("上",B2755)),ISNUMBER(SEARCH("去",B2755)),ISNUMBER(SEARCH("入",B2755)))),"Ambiguous",IF(ISNUMBER(SEARCH("平",B2755)),"平","仄")))</x:f>
        <x:v>仄</x:v>
      </x:c>
      <x:c r="K2755" s="6" t="str">
        <x:f>IF(D2755="","",IF(AND(ISNUMBER(SEARCH("平",D2755)),OR(ISNUMBER(SEARCH("上",D2755)),ISNUMBER(SEARCH("去",D2755)),ISNUMBER(SEARCH("入",D2755)))),"Ambiguous",IF(ISNUMBER(SEARCH("平",D2755)),"平","仄")))</x:f>
        <x:v>仄</x:v>
      </x:c>
      <x:c r="L2755" s="7" t="str"/>
    </x:row>
    <x:row r="2756">
      <x:c r="A2756" s="5" t="str">
        <x:v>砂</x:v>
      </x:c>
      <x:c r="B2756" s="6" t="str">
        <x:v>平</x:v>
      </x:c>
      <x:c r="C2756" s="6" t="str">
        <x:f>IF(B2756="","Needs decision","Ready")</x:f>
        <x:v>Ready</x:v>
      </x:c>
      <x:c r="D2756" s="6" t="str">
        <x:v>平</x:v>
      </x:c>
      <x:c r="E2756" s="6" t="str"/>
      <x:c r="F2756" s="6" t="str"/>
      <x:c r="G2756" s="6" t="str"/>
      <x:c r="H2756" s="6" t="str"/>
      <x:c r="I2756" s="6" t="str">
        <x:v>Manual user correction/addition</x:v>
      </x:c>
      <x:c r="J2756" s="6" t="str">
        <x:f>IF(B2756="","",IF(AND(ISNUMBER(SEARCH("平",B2756)),OR(ISNUMBER(SEARCH("上",B2756)),ISNUMBER(SEARCH("去",B2756)),ISNUMBER(SEARCH("入",B2756)))),"Ambiguous",IF(ISNUMBER(SEARCH("平",B2756)),"平","仄")))</x:f>
        <x:v>平</x:v>
      </x:c>
      <x:c r="K2756" s="6" t="str">
        <x:f>IF(D2756="","",IF(AND(ISNUMBER(SEARCH("平",D2756)),OR(ISNUMBER(SEARCH("上",D2756)),ISNUMBER(SEARCH("去",D2756)),ISNUMBER(SEARCH("入",D2756)))),"Ambiguous",IF(ISNUMBER(SEARCH("平",D2756)),"平","仄")))</x:f>
        <x:v>平</x:v>
      </x:c>
      <x:c r="L2756" s="7" t="str">
        <x:v>manual user correction</x:v>
      </x:c>
    </x:row>
    <x:row r="2757">
      <x:c r="A2757" s="5" t="str">
        <x:v>研</x:v>
      </x:c>
      <x:c r="B2757" s="6" t="str">
        <x:v>平</x:v>
      </x:c>
      <x:c r="C2757" s="6" t="str">
        <x:f>IF(B2757="","Needs decision","Ready")</x:f>
        <x:v>Ready</x:v>
      </x:c>
      <x:c r="D2757" s="6" t="str">
        <x:v>平</x:v>
      </x:c>
      <x:c r="E2757" s="6" t="str">
        <x:v>ngen (A)</x:v>
      </x:c>
      <x:c r="F2757" s="6" t="str">
        <x:v>下平聲一先; 去聲十七霰</x:v>
      </x:c>
      <x:c r="G2757" s="6" t="str">
        <x:v>Pingshui main list, Wikisource-derived DOCX</x:v>
      </x:c>
      <x:c r="H2757" s="6" t="str">
        <x:v>1</x:v>
      </x:c>
      <x:c r="I2757" s="6" t="str"/>
      <x:c r="J2757" s="6" t="str">
        <x:f>IF(B2757="","",IF(AND(ISNUMBER(SEARCH("平",B2757)),OR(ISNUMBER(SEARCH("上",B2757)),ISNUMBER(SEARCH("去",B2757)),ISNUMBER(SEARCH("入",B2757)))),"Ambiguous",IF(ISNUMBER(SEARCH("平",B2757)),"平","仄")))</x:f>
        <x:v>平</x:v>
      </x:c>
      <x:c r="K2757" s="6" t="str">
        <x:f>IF(D2757="","",IF(AND(ISNUMBER(SEARCH("平",D2757)),OR(ISNUMBER(SEARCH("上",D2757)),ISNUMBER(SEARCH("去",D2757)),ISNUMBER(SEARCH("入",D2757)))),"Ambiguous",IF(ISNUMBER(SEARCH("平",D2757)),"平","仄")))</x:f>
        <x:v>平</x:v>
      </x:c>
      <x:c r="L2757" s="7" t="str"/>
    </x:row>
    <x:row r="2758">
      <x:c r="A2758" s="5" t="str">
        <x:v>砠</x:v>
      </x:c>
      <x:c r="B2758" s="6" t="str">
        <x:v>平</x:v>
      </x:c>
      <x:c r="C2758" s="6" t="str">
        <x:f>IF(B2758="","Needs decision","Ready")</x:f>
        <x:v>Ready</x:v>
      </x:c>
      <x:c r="D2758" s="6" t="str">
        <x:v>平</x:v>
      </x:c>
      <x:c r="E2758" s="6" t="str">
        <x:v>tshjo (A)</x:v>
      </x:c>
      <x:c r="F2758" s="6" t="str">
        <x:v>上平聲六魚</x:v>
      </x:c>
      <x:c r="G2758" s="6" t="str">
        <x:v>Pingshui main list, Wikisource-derived DOCX</x:v>
      </x:c>
      <x:c r="H2758" s="6" t="str">
        <x:v>1</x:v>
      </x:c>
      <x:c r="I2758" s="6" t="str"/>
      <x:c r="J2758" s="6" t="str">
        <x:f>IF(B2758="","",IF(AND(ISNUMBER(SEARCH("平",B2758)),OR(ISNUMBER(SEARCH("上",B2758)),ISNUMBER(SEARCH("去",B2758)),ISNUMBER(SEARCH("入",B2758)))),"Ambiguous",IF(ISNUMBER(SEARCH("平",B2758)),"平","仄")))</x:f>
        <x:v>平</x:v>
      </x:c>
      <x:c r="K2758" s="6" t="str">
        <x:f>IF(D2758="","",IF(AND(ISNUMBER(SEARCH("平",D2758)),OR(ISNUMBER(SEARCH("上",D2758)),ISNUMBER(SEARCH("去",D2758)),ISNUMBER(SEARCH("入",D2758)))),"Ambiguous",IF(ISNUMBER(SEARCH("平",D2758)),"平","仄")))</x:f>
        <x:v>平</x:v>
      </x:c>
      <x:c r="L2758" s="7" t="str"/>
    </x:row>
    <x:row r="2759">
      <x:c r="A2759" s="5" t="str">
        <x:v>砥</x:v>
      </x:c>
      <x:c r="B2759" s="6" t="str">
        <x:v>上</x:v>
      </x:c>
      <x:c r="C2759" s="6" t="str">
        <x:f>IF(B2759="","Needs decision","Ready")</x:f>
        <x:v>Ready</x:v>
      </x:c>
      <x:c r="D2759" s="6" t="str">
        <x:v>上</x:v>
      </x:c>
      <x:c r="E2759" s="6" t="str">
        <x:v>tsyijX (B)</x:v>
      </x:c>
      <x:c r="F2759" s="6" t="str">
        <x:v>上聲四紙</x:v>
      </x:c>
      <x:c r="G2759" s="6" t="str">
        <x:v>Pingshui main list, Wikisource-derived DOCX</x:v>
      </x:c>
      <x:c r="H2759" s="6" t="str">
        <x:v>1</x:v>
      </x:c>
      <x:c r="I2759" s="6" t="str"/>
      <x:c r="J2759" s="6" t="str">
        <x:f>IF(B2759="","",IF(AND(ISNUMBER(SEARCH("平",B2759)),OR(ISNUMBER(SEARCH("上",B2759)),ISNUMBER(SEARCH("去",B2759)),ISNUMBER(SEARCH("入",B2759)))),"Ambiguous",IF(ISNUMBER(SEARCH("平",B2759)),"平","仄")))</x:f>
        <x:v>仄</x:v>
      </x:c>
      <x:c r="K2759" s="6" t="str">
        <x:f>IF(D2759="","",IF(AND(ISNUMBER(SEARCH("平",D2759)),OR(ISNUMBER(SEARCH("上",D2759)),ISNUMBER(SEARCH("去",D2759)),ISNUMBER(SEARCH("入",D2759)))),"Ambiguous",IF(ISNUMBER(SEARCH("平",D2759)),"平","仄")))</x:f>
        <x:v>仄</x:v>
      </x:c>
      <x:c r="L2759" s="7" t="str"/>
    </x:row>
    <x:row r="2760">
      <x:c r="A2760" s="5" t="str">
        <x:v>砧</x:v>
      </x:c>
      <x:c r="B2760" s="6" t="str">
        <x:v>平</x:v>
      </x:c>
      <x:c r="C2760" s="6" t="str">
        <x:f>IF(B2760="","Needs decision","Ready")</x:f>
        <x:v>Ready</x:v>
      </x:c>
      <x:c r="D2760" s="6" t="str">
        <x:v>平</x:v>
      </x:c>
      <x:c r="E2760" s="6" t="str">
        <x:v>trim [ʈim] (平)</x:v>
      </x:c>
      <x:c r="F2760" s="6" t="str"/>
      <x:c r="G2760" s="6" t="str"/>
      <x:c r="H2760" s="6" t="str">
        <x:v>1</x:v>
      </x:c>
      <x:c r="I2760" s="6" t="str">
        <x:v>Tang 300 gap; frequency 5; provisional from Xun Gong</x:v>
      </x:c>
      <x:c r="J2760" s="6" t="str">
        <x:f>IF(B2760="","",IF(AND(ISNUMBER(SEARCH("平",B2760)),OR(ISNUMBER(SEARCH("上",B2760)),ISNUMBER(SEARCH("去",B2760)),ISNUMBER(SEARCH("入",B2760)))),"Ambiguous",IF(ISNUMBER(SEARCH("平",B2760)),"平","仄")))</x:f>
        <x:v>平</x:v>
      </x:c>
      <x:c r="K2760" s="6" t="str">
        <x:f>IF(D2760="","",IF(AND(ISNUMBER(SEARCH("平",D2760)),OR(ISNUMBER(SEARCH("上",D2760)),ISNUMBER(SEARCH("去",D2760)),ISNUMBER(SEARCH("入",D2760)))),"Ambiguous",IF(ISNUMBER(SEARCH("平",D2760)),"平","仄")))</x:f>
        <x:v>平</x:v>
      </x:c>
      <x:c r="L2760" s="7" t="str">
        <x:v>Xun Gong, Tang 300 gap fill</x:v>
      </x:c>
    </x:row>
    <x:row r="2761">
      <x:c r="A2761" s="5" t="str">
        <x:v>砯</x:v>
      </x:c>
      <x:c r="B2761" s="6" t="str">
        <x:v>平</x:v>
      </x:c>
      <x:c r="C2761" s="6" t="str">
        <x:f>IF(B2761="","Needs decision","Ready")</x:f>
        <x:v>Ready</x:v>
      </x:c>
      <x:c r="D2761" s="6" t="str">
        <x:v>平</x:v>
      </x:c>
      <x:c r="E2761" s="6" t="str">
        <x:v>phing [pʰɨŋ] (平)</x:v>
      </x:c>
      <x:c r="F2761" s="6" t="str"/>
      <x:c r="G2761" s="6" t="str"/>
      <x:c r="H2761" s="6" t="str">
        <x:v>1</x:v>
      </x:c>
      <x:c r="I2761" s="6" t="str">
        <x:v>Tang 300 gap; frequency 1; provisional from Xun Gong</x:v>
      </x:c>
      <x:c r="J2761" s="6" t="str">
        <x:f>IF(B2761="","",IF(AND(ISNUMBER(SEARCH("平",B2761)),OR(ISNUMBER(SEARCH("上",B2761)),ISNUMBER(SEARCH("去",B2761)),ISNUMBER(SEARCH("入",B2761)))),"Ambiguous",IF(ISNUMBER(SEARCH("平",B2761)),"平","仄")))</x:f>
        <x:v>平</x:v>
      </x:c>
      <x:c r="K2761" s="6" t="str">
        <x:f>IF(D2761="","",IF(AND(ISNUMBER(SEARCH("平",D2761)),OR(ISNUMBER(SEARCH("上",D2761)),ISNUMBER(SEARCH("去",D2761)),ISNUMBER(SEARCH("入",D2761)))),"Ambiguous",IF(ISNUMBER(SEARCH("平",D2761)),"平","仄")))</x:f>
        <x:v>平</x:v>
      </x:c>
      <x:c r="L2761" s="7" t="str">
        <x:v>Xun Gong, Tang 300 gap fill</x:v>
      </x:c>
    </x:row>
    <x:row r="2762">
      <x:c r="A2762" s="5" t="str">
        <x:v>破</x:v>
      </x:c>
      <x:c r="B2762" s="6" t="str">
        <x:v>去</x:v>
      </x:c>
      <x:c r="C2762" s="6" t="str">
        <x:f>IF(B2762="","Needs decision","Ready")</x:f>
        <x:v>Ready</x:v>
      </x:c>
      <x:c r="D2762" s="6" t="str">
        <x:v>去</x:v>
      </x:c>
      <x:c r="E2762" s="6" t="str">
        <x:v>phaH (C)</x:v>
      </x:c>
      <x:c r="F2762" s="6" t="str">
        <x:v>去聲二十一箇</x:v>
      </x:c>
      <x:c r="G2762" s="6" t="str">
        <x:v>Pingshui main list, Wikisource-derived DOCX</x:v>
      </x:c>
      <x:c r="H2762" s="6" t="str">
        <x:v>1</x:v>
      </x:c>
      <x:c r="I2762" s="6" t="str"/>
      <x:c r="J2762" s="6" t="str">
        <x:f>IF(B2762="","",IF(AND(ISNUMBER(SEARCH("平",B2762)),OR(ISNUMBER(SEARCH("上",B2762)),ISNUMBER(SEARCH("去",B2762)),ISNUMBER(SEARCH("入",B2762)))),"Ambiguous",IF(ISNUMBER(SEARCH("平",B2762)),"平","仄")))</x:f>
        <x:v>仄</x:v>
      </x:c>
      <x:c r="K2762" s="6" t="str">
        <x:f>IF(D2762="","",IF(AND(ISNUMBER(SEARCH("平",D2762)),OR(ISNUMBER(SEARCH("上",D2762)),ISNUMBER(SEARCH("去",D2762)),ISNUMBER(SEARCH("入",D2762)))),"Ambiguous",IF(ISNUMBER(SEARCH("平",D2762)),"平","仄")))</x:f>
        <x:v>仄</x:v>
      </x:c>
      <x:c r="L2762" s="7" t="str"/>
    </x:row>
    <x:row r="2763">
      <x:c r="A2763" s="5" t="str">
        <x:v>硎</x:v>
      </x:c>
      <x:c r="B2763" s="6" t="str">
        <x:v>平</x:v>
      </x:c>
      <x:c r="C2763" s="6" t="str">
        <x:f>IF(B2763="","Needs decision","Ready")</x:f>
        <x:v>Ready</x:v>
      </x:c>
      <x:c r="D2763" s="6" t="str">
        <x:v>平</x:v>
      </x:c>
      <x:c r="E2763" s="6" t="str">
        <x:v>heng (A)</x:v>
      </x:c>
      <x:c r="F2763" s="6" t="str">
        <x:v>下平聲九青</x:v>
      </x:c>
      <x:c r="G2763" s="6" t="str">
        <x:v>Pingshui main list, Wikisource-derived DOCX</x:v>
      </x:c>
      <x:c r="H2763" s="6" t="str">
        <x:v>1</x:v>
      </x:c>
      <x:c r="I2763" s="6" t="str"/>
      <x:c r="J2763" s="6" t="str">
        <x:f>IF(B2763="","",IF(AND(ISNUMBER(SEARCH("平",B2763)),OR(ISNUMBER(SEARCH("上",B2763)),ISNUMBER(SEARCH("去",B2763)),ISNUMBER(SEARCH("入",B2763)))),"Ambiguous",IF(ISNUMBER(SEARCH("平",B2763)),"平","仄")))</x:f>
        <x:v>平</x:v>
      </x:c>
      <x:c r="K2763" s="6" t="str">
        <x:f>IF(D2763="","",IF(AND(ISNUMBER(SEARCH("平",D2763)),OR(ISNUMBER(SEARCH("上",D2763)),ISNUMBER(SEARCH("去",D2763)),ISNUMBER(SEARCH("入",D2763)))),"Ambiguous",IF(ISNUMBER(SEARCH("平",D2763)),"平","仄")))</x:f>
        <x:v>平</x:v>
      </x:c>
      <x:c r="L2763" s="7" t="str"/>
    </x:row>
    <x:row r="2764">
      <x:c r="A2764" s="5" t="str">
        <x:v>硏</x:v>
      </x:c>
      <x:c r="B2764" s="6" t="str">
        <x:v>去</x:v>
      </x:c>
      <x:c r="C2764" s="6" t="str">
        <x:f>IF(B2764="","Needs decision","Ready")</x:f>
        <x:v>Ready</x:v>
      </x:c>
      <x:c r="D2764" s="6" t="str">
        <x:v>去</x:v>
      </x:c>
      <x:c r="E2764" s="6" t="str">
        <x:v>ngenH (C)</x:v>
      </x:c>
      <x:c r="F2764" s="6" t="str"/>
      <x:c r="G2764" s="6" t="str"/>
      <x:c r="H2764" s="6" t="str">
        <x:v>1</x:v>
      </x:c>
      <x:c r="I2764" s="6" t="str"/>
      <x:c r="J2764" s="6" t="str">
        <x:f>IF(B2764="","",IF(AND(ISNUMBER(SEARCH("平",B2764)),OR(ISNUMBER(SEARCH("上",B2764)),ISNUMBER(SEARCH("去",B2764)),ISNUMBER(SEARCH("入",B2764)))),"Ambiguous",IF(ISNUMBER(SEARCH("平",B2764)),"平","仄")))</x:f>
        <x:v>仄</x:v>
      </x:c>
      <x:c r="K2764" s="6" t="str">
        <x:f>IF(D2764="","",IF(AND(ISNUMBER(SEARCH("平",D2764)),OR(ISNUMBER(SEARCH("上",D2764)),ISNUMBER(SEARCH("去",D2764)),ISNUMBER(SEARCH("入",D2764)))),"Ambiguous",IF(ISNUMBER(SEARCH("平",D2764)),"平","仄")))</x:f>
        <x:v>仄</x:v>
      </x:c>
      <x:c r="L2764" s="7" t="str"/>
    </x:row>
    <x:row r="2765">
      <x:c r="A2765" s="5" t="str">
        <x:v>确</x:v>
      </x:c>
      <x:c r="B2765" s="6" t="str">
        <x:v>入</x:v>
      </x:c>
      <x:c r="C2765" s="6" t="str">
        <x:f>IF(B2765="","Needs decision","Ready")</x:f>
        <x:v>Ready</x:v>
      </x:c>
      <x:c r="D2765" s="6" t="str">
        <x:v>入</x:v>
      </x:c>
      <x:c r="E2765" s="6" t="str">
        <x:v>haewk [ʁoˤk] (入)</x:v>
      </x:c>
      <x:c r="F2765" s="6" t="str"/>
      <x:c r="G2765" s="6" t="str"/>
      <x:c r="H2765" s="6" t="str">
        <x:v>1</x:v>
      </x:c>
      <x:c r="I2765" s="6" t="str">
        <x:v>Tang 300 gap; frequency 1; provisional from Xun Gong</x:v>
      </x:c>
      <x:c r="J2765" s="6" t="str">
        <x:f>IF(B2765="","",IF(AND(ISNUMBER(SEARCH("平",B2765)),OR(ISNUMBER(SEARCH("上",B2765)),ISNUMBER(SEARCH("去",B2765)),ISNUMBER(SEARCH("入",B2765)))),"Ambiguous",IF(ISNUMBER(SEARCH("平",B2765)),"平","仄")))</x:f>
        <x:v>仄</x:v>
      </x:c>
      <x:c r="K2765" s="6" t="str">
        <x:f>IF(D2765="","",IF(AND(ISNUMBER(SEARCH("平",D2765)),OR(ISNUMBER(SEARCH("上",D2765)),ISNUMBER(SEARCH("去",D2765)),ISNUMBER(SEARCH("入",D2765)))),"Ambiguous",IF(ISNUMBER(SEARCH("平",D2765)),"平","仄")))</x:f>
        <x:v>仄</x:v>
      </x:c>
      <x:c r="L2765" s="7" t="str">
        <x:v>Xun Gong, Tang 300 gap fill</x:v>
      </x:c>
    </x:row>
    <x:row r="2766">
      <x:c r="A2766" s="5" t="str">
        <x:v>硯</x:v>
      </x:c>
      <x:c r="B2766" s="6" t="str">
        <x:v>去</x:v>
      </x:c>
      <x:c r="C2766" s="6" t="str">
        <x:f>IF(B2766="","Needs decision","Ready")</x:f>
        <x:v>Ready</x:v>
      </x:c>
      <x:c r="D2766" s="6" t="str">
        <x:v>去</x:v>
      </x:c>
      <x:c r="E2766" s="6" t="str">
        <x:v>ngenH (C)</x:v>
      </x:c>
      <x:c r="F2766" s="6" t="str">
        <x:v>去聲十七霰</x:v>
      </x:c>
      <x:c r="G2766" s="6" t="str">
        <x:v>Pingshui main list, Wikisource-derived DOCX</x:v>
      </x:c>
      <x:c r="H2766" s="6" t="str">
        <x:v>1</x:v>
      </x:c>
      <x:c r="I2766" s="6" t="str"/>
      <x:c r="J2766" s="6" t="str">
        <x:f>IF(B2766="","",IF(AND(ISNUMBER(SEARCH("平",B2766)),OR(ISNUMBER(SEARCH("上",B2766)),ISNUMBER(SEARCH("去",B2766)),ISNUMBER(SEARCH("入",B2766)))),"Ambiguous",IF(ISNUMBER(SEARCH("平",B2766)),"平","仄")))</x:f>
        <x:v>仄</x:v>
      </x:c>
      <x:c r="K2766" s="6" t="str">
        <x:f>IF(D2766="","",IF(AND(ISNUMBER(SEARCH("平",D2766)),OR(ISNUMBER(SEARCH("上",D2766)),ISNUMBER(SEARCH("去",D2766)),ISNUMBER(SEARCH("入",D2766)))),"Ambiguous",IF(ISNUMBER(SEARCH("平",D2766)),"平","仄")))</x:f>
        <x:v>仄</x:v>
      </x:c>
      <x:c r="L2766" s="7" t="str"/>
    </x:row>
    <x:row r="2767">
      <x:c r="A2767" s="5" t="str">
        <x:v>碎</x:v>
      </x:c>
      <x:c r="B2767" s="6" t="str">
        <x:v>去</x:v>
      </x:c>
      <x:c r="C2767" s="6" t="str">
        <x:f>IF(B2767="","Needs decision","Ready")</x:f>
        <x:v>Ready</x:v>
      </x:c>
      <x:c r="D2767" s="6" t="str">
        <x:v>去</x:v>
      </x:c>
      <x:c r="E2767" s="6" t="str">
        <x:v>swojH (C)</x:v>
      </x:c>
      <x:c r="F2767" s="6" t="str">
        <x:v>去聲十一隊</x:v>
      </x:c>
      <x:c r="G2767" s="6" t="str">
        <x:v>Pingshui main list, Wikisource-derived DOCX</x:v>
      </x:c>
      <x:c r="H2767" s="6" t="str">
        <x:v>1</x:v>
      </x:c>
      <x:c r="I2767" s="6" t="str"/>
      <x:c r="J2767" s="6" t="str">
        <x:f>IF(B2767="","",IF(AND(ISNUMBER(SEARCH("平",B2767)),OR(ISNUMBER(SEARCH("上",B2767)),ISNUMBER(SEARCH("去",B2767)),ISNUMBER(SEARCH("入",B2767)))),"Ambiguous",IF(ISNUMBER(SEARCH("平",B2767)),"平","仄")))</x:f>
        <x:v>仄</x:v>
      </x:c>
      <x:c r="K2767" s="6" t="str">
        <x:f>IF(D2767="","",IF(AND(ISNUMBER(SEARCH("平",D2767)),OR(ISNUMBER(SEARCH("上",D2767)),ISNUMBER(SEARCH("去",D2767)),ISNUMBER(SEARCH("入",D2767)))),"Ambiguous",IF(ISNUMBER(SEARCH("平",D2767)),"平","仄")))</x:f>
        <x:v>仄</x:v>
      </x:c>
      <x:c r="L2767" s="7" t="str"/>
    </x:row>
    <x:row r="2768">
      <x:c r="A2768" s="5" t="str">
        <x:v>碑</x:v>
      </x:c>
      <x:c r="B2768" s="6" t="str">
        <x:v>平</x:v>
      </x:c>
      <x:c r="C2768" s="6" t="str">
        <x:f>IF(B2768="","Needs decision","Ready")</x:f>
        <x:v>Ready</x:v>
      </x:c>
      <x:c r="D2768" s="6" t="str">
        <x:v>平</x:v>
      </x:c>
      <x:c r="E2768" s="6" t="str">
        <x:v>pje (A)</x:v>
      </x:c>
      <x:c r="F2768" s="6" t="str">
        <x:v>上平聲四支</x:v>
      </x:c>
      <x:c r="G2768" s="6" t="str">
        <x:v>Pingshui main list, Wikisource-derived DOCX</x:v>
      </x:c>
      <x:c r="H2768" s="6" t="str">
        <x:v>1</x:v>
      </x:c>
      <x:c r="I2768" s="6" t="str"/>
      <x:c r="J2768" s="6" t="str">
        <x:f>IF(B2768="","",IF(AND(ISNUMBER(SEARCH("平",B2768)),OR(ISNUMBER(SEARCH("上",B2768)),ISNUMBER(SEARCH("去",B2768)),ISNUMBER(SEARCH("入",B2768)))),"Ambiguous",IF(ISNUMBER(SEARCH("平",B2768)),"平","仄")))</x:f>
        <x:v>平</x:v>
      </x:c>
      <x:c r="K2768" s="6" t="str">
        <x:f>IF(D2768="","",IF(AND(ISNUMBER(SEARCH("平",D2768)),OR(ISNUMBER(SEARCH("上",D2768)),ISNUMBER(SEARCH("去",D2768)),ISNUMBER(SEARCH("入",D2768)))),"Ambiguous",IF(ISNUMBER(SEARCH("平",D2768)),"平","仄")))</x:f>
        <x:v>平</x:v>
      </x:c>
      <x:c r="L2768" s="7" t="str"/>
    </x:row>
    <x:row r="2769">
      <x:c r="A2769" s="5" t="str">
        <x:v>碣</x:v>
      </x:c>
      <x:c r="B2769" s="6" t="str">
        <x:v>入</x:v>
      </x:c>
      <x:c r="C2769" s="6" t="str">
        <x:f>IF(B2769="","Needs decision","Ready")</x:f>
        <x:v>Ready</x:v>
      </x:c>
      <x:c r="D2769" s="6" t="str">
        <x:v>入</x:v>
      </x:c>
      <x:c r="E2769" s="6" t="str">
        <x:v>gjet [ɡɨ̯et] (入); gjot [ɡɨ̯ət] (入)</x:v>
      </x:c>
      <x:c r="F2769" s="6" t="str">
        <x:v>入聲六月; 入聲九屑</x:v>
      </x:c>
      <x:c r="G2769" s="6" t="str">
        <x:v>Pingshui main list, Wikisource-derived DOCX</x:v>
      </x:c>
      <x:c r="H2769" s="6" t="str">
        <x:v>2</x:v>
      </x:c>
      <x:c r="I2769" s="6" t="str">
        <x:v>Tang 300 gap; frequency 1; provisional from Xun Gong</x:v>
      </x:c>
      <x:c r="J2769" s="6" t="str">
        <x:f>IF(B2769="","",IF(AND(ISNUMBER(SEARCH("平",B2769)),OR(ISNUMBER(SEARCH("上",B2769)),ISNUMBER(SEARCH("去",B2769)),ISNUMBER(SEARCH("入",B2769)))),"Ambiguous",IF(ISNUMBER(SEARCH("平",B2769)),"平","仄")))</x:f>
        <x:v>仄</x:v>
      </x:c>
      <x:c r="K2769" s="6" t="str">
        <x:f>IF(D2769="","",IF(AND(ISNUMBER(SEARCH("平",D2769)),OR(ISNUMBER(SEARCH("上",D2769)),ISNUMBER(SEARCH("去",D2769)),ISNUMBER(SEARCH("入",D2769)))),"Ambiguous",IF(ISNUMBER(SEARCH("平",D2769)),"平","仄")))</x:f>
        <x:v>仄</x:v>
      </x:c>
      <x:c r="L2769" s="7" t="str">
        <x:v>Xun Gong, Tang 300 gap fill</x:v>
      </x:c>
    </x:row>
    <x:row r="2770">
      <x:c r="A2770" s="5" t="str">
        <x:v>碧</x:v>
      </x:c>
      <x:c r="B2770" s="6" t="str">
        <x:v>入</x:v>
      </x:c>
      <x:c r="C2770" s="6" t="str">
        <x:f>IF(B2770="","Needs decision","Ready")</x:f>
        <x:v>Ready</x:v>
      </x:c>
      <x:c r="D2770" s="6" t="str">
        <x:v>入</x:v>
      </x:c>
      <x:c r="E2770" s="6" t="str">
        <x:v>pjaek (D)</x:v>
      </x:c>
      <x:c r="F2770" s="6" t="str">
        <x:v>入聲十一陌</x:v>
      </x:c>
      <x:c r="G2770" s="6" t="str">
        <x:v>Pingshui main list, Wikisource-derived DOCX</x:v>
      </x:c>
      <x:c r="H2770" s="6" t="str">
        <x:v>1</x:v>
      </x:c>
      <x:c r="I2770" s="6" t="str"/>
      <x:c r="J2770" s="6" t="str">
        <x:f>IF(B2770="","",IF(AND(ISNUMBER(SEARCH("平",B2770)),OR(ISNUMBER(SEARCH("上",B2770)),ISNUMBER(SEARCH("去",B2770)),ISNUMBER(SEARCH("入",B2770)))),"Ambiguous",IF(ISNUMBER(SEARCH("平",B2770)),"平","仄")))</x:f>
        <x:v>仄</x:v>
      </x:c>
      <x:c r="K2770" s="6" t="str">
        <x:f>IF(D2770="","",IF(AND(ISNUMBER(SEARCH("平",D2770)),OR(ISNUMBER(SEARCH("上",D2770)),ISNUMBER(SEARCH("去",D2770)),ISNUMBER(SEARCH("入",D2770)))),"Ambiguous",IF(ISNUMBER(SEARCH("平",D2770)),"平","仄")))</x:f>
        <x:v>仄</x:v>
      </x:c>
      <x:c r="L2770" s="7" t="str"/>
    </x:row>
    <x:row r="2771">
      <x:c r="A2771" s="5" t="str">
        <x:v>碩</x:v>
      </x:c>
      <x:c r="B2771" s="6" t="str">
        <x:v>入</x:v>
      </x:c>
      <x:c r="C2771" s="6" t="str">
        <x:f>IF(B2771="","Needs decision","Ready")</x:f>
        <x:v>Ready</x:v>
      </x:c>
      <x:c r="D2771" s="6" t="str">
        <x:v>入</x:v>
      </x:c>
      <x:c r="E2771" s="6" t="str">
        <x:v>dzyek (D)</x:v>
      </x:c>
      <x:c r="F2771" s="6" t="str">
        <x:v>入聲十一陌</x:v>
      </x:c>
      <x:c r="G2771" s="6" t="str">
        <x:v>Pingshui main list, Wikisource-derived DOCX</x:v>
      </x:c>
      <x:c r="H2771" s="6" t="str">
        <x:v>1</x:v>
      </x:c>
      <x:c r="I2771" s="6" t="str"/>
      <x:c r="J2771" s="6" t="str">
        <x:f>IF(B2771="","",IF(AND(ISNUMBER(SEARCH("平",B2771)),OR(ISNUMBER(SEARCH("上",B2771)),ISNUMBER(SEARCH("去",B2771)),ISNUMBER(SEARCH("入",B2771)))),"Ambiguous",IF(ISNUMBER(SEARCH("平",B2771)),"平","仄")))</x:f>
        <x:v>仄</x:v>
      </x:c>
      <x:c r="K2771" s="6" t="str">
        <x:f>IF(D2771="","",IF(AND(ISNUMBER(SEARCH("平",D2771)),OR(ISNUMBER(SEARCH("上",D2771)),ISNUMBER(SEARCH("去",D2771)),ISNUMBER(SEARCH("入",D2771)))),"Ambiguous",IF(ISNUMBER(SEARCH("平",D2771)),"平","仄")))</x:f>
        <x:v>仄</x:v>
      </x:c>
      <x:c r="L2771" s="7" t="str"/>
    </x:row>
    <x:row r="2772">
      <x:c r="A2772" s="5" t="str">
        <x:v>碭</x:v>
      </x:c>
      <x:c r="B2772" s="6" t="str">
        <x:v>去</x:v>
      </x:c>
      <x:c r="C2772" s="6" t="str">
        <x:f>IF(B2772="","Needs decision","Ready")</x:f>
        <x:v>Ready</x:v>
      </x:c>
      <x:c r="D2772" s="6" t="str">
        <x:v>去</x:v>
      </x:c>
      <x:c r="E2772" s="6" t="str">
        <x:v>dangH (C)</x:v>
      </x:c>
      <x:c r="F2772" s="6" t="str">
        <x:v>下平聲七陽; 去聲二十三漾</x:v>
      </x:c>
      <x:c r="G2772" s="6" t="str">
        <x:v>Pingshui main list, Wikisource-derived DOCX</x:v>
      </x:c>
      <x:c r="H2772" s="6" t="str">
        <x:v>1</x:v>
      </x:c>
      <x:c r="I2772" s="6" t="str"/>
      <x:c r="J2772" s="6" t="str">
        <x:f>IF(B2772="","",IF(AND(ISNUMBER(SEARCH("平",B2772)),OR(ISNUMBER(SEARCH("上",B2772)),ISNUMBER(SEARCH("去",B2772)),ISNUMBER(SEARCH("入",B2772)))),"Ambiguous",IF(ISNUMBER(SEARCH("平",B2772)),"平","仄")))</x:f>
        <x:v>仄</x:v>
      </x:c>
      <x:c r="K2772" s="6" t="str">
        <x:f>IF(D2772="","",IF(AND(ISNUMBER(SEARCH("平",D2772)),OR(ISNUMBER(SEARCH("上",D2772)),ISNUMBER(SEARCH("去",D2772)),ISNUMBER(SEARCH("入",D2772)))),"Ambiguous",IF(ISNUMBER(SEARCH("平",D2772)),"平","仄")))</x:f>
        <x:v>仄</x:v>
      </x:c>
      <x:c r="L2772" s="7" t="str"/>
    </x:row>
    <x:row r="2773">
      <x:c r="A2773" s="5" t="str">
        <x:v>確</x:v>
      </x:c>
      <x:c r="B2773" s="6" t="str">
        <x:v>入</x:v>
      </x:c>
      <x:c r="C2773" s="6" t="str">
        <x:f>IF(B2773="","Needs decision","Ready")</x:f>
        <x:v>Ready</x:v>
      </x:c>
      <x:c r="D2773" s="6" t="str">
        <x:v>入</x:v>
      </x:c>
      <x:c r="E2773" s="6" t="str">
        <x:v>khaewk (D)</x:v>
      </x:c>
      <x:c r="F2773" s="6" t="str">
        <x:v>入聲三覺</x:v>
      </x:c>
      <x:c r="G2773" s="6" t="str">
        <x:v>Pingshui main list, Wikisource-derived DOCX</x:v>
      </x:c>
      <x:c r="H2773" s="6" t="str">
        <x:v>1</x:v>
      </x:c>
      <x:c r="I2773" s="6" t="str"/>
      <x:c r="J2773" s="6" t="str">
        <x:f>IF(B2773="","",IF(AND(ISNUMBER(SEARCH("平",B2773)),OR(ISNUMBER(SEARCH("上",B2773)),ISNUMBER(SEARCH("去",B2773)),ISNUMBER(SEARCH("入",B2773)))),"Ambiguous",IF(ISNUMBER(SEARCH("平",B2773)),"平","仄")))</x:f>
        <x:v>仄</x:v>
      </x:c>
      <x:c r="K2773" s="6" t="str">
        <x:f>IF(D2773="","",IF(AND(ISNUMBER(SEARCH("平",D2773)),OR(ISNUMBER(SEARCH("上",D2773)),ISNUMBER(SEARCH("去",D2773)),ISNUMBER(SEARCH("入",D2773)))),"Ambiguous",IF(ISNUMBER(SEARCH("平",D2773)),"平","仄")))</x:f>
        <x:v>仄</x:v>
      </x:c>
      <x:c r="L2773" s="7" t="str"/>
    </x:row>
    <x:row r="2774">
      <x:c r="A2774" s="5" t="str">
        <x:v>磊</x:v>
      </x:c>
      <x:c r="B2774" s="6" t="str">
        <x:v>上</x:v>
      </x:c>
      <x:c r="C2774" s="6" t="str">
        <x:f>IF(B2774="","Needs decision","Ready")</x:f>
        <x:v>Ready</x:v>
      </x:c>
      <x:c r="D2774" s="6" t="str">
        <x:v>上</x:v>
      </x:c>
      <x:c r="E2774" s="6" t="str">
        <x:v>lwojX [l̙wəjʔ] (上)</x:v>
      </x:c>
      <x:c r="F2774" s="6" t="str"/>
      <x:c r="G2774" s="6" t="str"/>
      <x:c r="H2774" s="6" t="str">
        <x:v>1</x:v>
      </x:c>
      <x:c r="I2774" s="6" t="str">
        <x:v>Tang 300 gap; frequency 1; provisional from Xun Gong</x:v>
      </x:c>
      <x:c r="J2774" s="6" t="str">
        <x:f>IF(B2774="","",IF(AND(ISNUMBER(SEARCH("平",B2774)),OR(ISNUMBER(SEARCH("上",B2774)),ISNUMBER(SEARCH("去",B2774)),ISNUMBER(SEARCH("入",B2774)))),"Ambiguous",IF(ISNUMBER(SEARCH("平",B2774)),"平","仄")))</x:f>
        <x:v>仄</x:v>
      </x:c>
      <x:c r="K2774" s="6" t="str">
        <x:f>IF(D2774="","",IF(AND(ISNUMBER(SEARCH("平",D2774)),OR(ISNUMBER(SEARCH("上",D2774)),ISNUMBER(SEARCH("去",D2774)),ISNUMBER(SEARCH("入",D2774)))),"Ambiguous",IF(ISNUMBER(SEARCH("平",D2774)),"平","仄")))</x:f>
        <x:v>仄</x:v>
      </x:c>
      <x:c r="L2774" s="7" t="str">
        <x:v>Xun Gong, Tang 300 gap fill</x:v>
      </x:c>
    </x:row>
    <x:row r="2775">
      <x:c r="A2775" s="5" t="str">
        <x:v>磋</x:v>
      </x:c>
      <x:c r="B2775" s="6" t="str">
        <x:v>平</x:v>
      </x:c>
      <x:c r="C2775" s="6" t="str">
        <x:f>IF(B2775="","Needs decision","Ready")</x:f>
        <x:v>Ready</x:v>
      </x:c>
      <x:c r="D2775" s="6" t="str">
        <x:v>平</x:v>
      </x:c>
      <x:c r="E2775" s="6" t="str">
        <x:v>tsha (A)</x:v>
      </x:c>
      <x:c r="F2775" s="6" t="str">
        <x:v>下平聲五歌; 去聲二十一箇</x:v>
      </x:c>
      <x:c r="G2775" s="6" t="str">
        <x:v>Pingshui main list, Wikisource-derived DOCX</x:v>
      </x:c>
      <x:c r="H2775" s="6" t="str">
        <x:v>1</x:v>
      </x:c>
      <x:c r="I2775" s="6" t="str"/>
      <x:c r="J2775" s="6" t="str">
        <x:f>IF(B2775="","",IF(AND(ISNUMBER(SEARCH("平",B2775)),OR(ISNUMBER(SEARCH("上",B2775)),ISNUMBER(SEARCH("去",B2775)),ISNUMBER(SEARCH("入",B2775)))),"Ambiguous",IF(ISNUMBER(SEARCH("平",B2775)),"平","仄")))</x:f>
        <x:v>平</x:v>
      </x:c>
      <x:c r="K2775" s="6" t="str">
        <x:f>IF(D2775="","",IF(AND(ISNUMBER(SEARCH("平",D2775)),OR(ISNUMBER(SEARCH("上",D2775)),ISNUMBER(SEARCH("去",D2775)),ISNUMBER(SEARCH("入",D2775)))),"Ambiguous",IF(ISNUMBER(SEARCH("平",D2775)),"平","仄")))</x:f>
        <x:v>平</x:v>
      </x:c>
      <x:c r="L2775" s="7" t="str"/>
    </x:row>
    <x:row r="2776">
      <x:c r="A2776" s="5" t="str">
        <x:v>磏</x:v>
      </x:c>
      <x:c r="B2776" s="6" t="str">
        <x:v>平</x:v>
      </x:c>
      <x:c r="C2776" s="6" t="str">
        <x:f>IF(B2776="","Needs decision","Ready")</x:f>
        <x:v>Ready</x:v>
      </x:c>
      <x:c r="D2776" s="6" t="str">
        <x:v>平</x:v>
      </x:c>
      <x:c r="E2776" s="6" t="str">
        <x:v>ljem (A)</x:v>
      </x:c>
      <x:c r="F2776" s="6" t="str">
        <x:v>下平聲十四鹽</x:v>
      </x:c>
      <x:c r="G2776" s="6" t="str">
        <x:v>Pingshui main list, Wikisource-derived DOCX</x:v>
      </x:c>
      <x:c r="H2776" s="6" t="str">
        <x:v>1</x:v>
      </x:c>
      <x:c r="I2776" s="6" t="str"/>
      <x:c r="J2776" s="6" t="str">
        <x:f>IF(B2776="","",IF(AND(ISNUMBER(SEARCH("平",B2776)),OR(ISNUMBER(SEARCH("上",B2776)),ISNUMBER(SEARCH("去",B2776)),ISNUMBER(SEARCH("入",B2776)))),"Ambiguous",IF(ISNUMBER(SEARCH("平",B2776)),"平","仄")))</x:f>
        <x:v>平</x:v>
      </x:c>
      <x:c r="K2776" s="6" t="str">
        <x:f>IF(D2776="","",IF(AND(ISNUMBER(SEARCH("平",D2776)),OR(ISNUMBER(SEARCH("上",D2776)),ISNUMBER(SEARCH("去",D2776)),ISNUMBER(SEARCH("入",D2776)))),"Ambiguous",IF(ISNUMBER(SEARCH("平",D2776)),"平","仄")))</x:f>
        <x:v>平</x:v>
      </x:c>
      <x:c r="L2776" s="7" t="str"/>
    </x:row>
    <x:row r="2777">
      <x:c r="A2777" s="5" t="str">
        <x:v>磔</x:v>
      </x:c>
      <x:c r="B2777" s="6" t="str">
        <x:v>入</x:v>
      </x:c>
      <x:c r="C2777" s="6" t="str">
        <x:f>IF(B2777="","Needs decision","Ready")</x:f>
        <x:v>Ready</x:v>
      </x:c>
      <x:c r="D2777" s="6" t="str">
        <x:v>入</x:v>
      </x:c>
      <x:c r="E2777" s="6" t="str">
        <x:v>traek [ʈaˤk] (入)</x:v>
      </x:c>
      <x:c r="F2777" s="6" t="str">
        <x:v>入聲十一陌</x:v>
      </x:c>
      <x:c r="G2777" s="6" t="str">
        <x:v>Pingshui main list, Wikisource-derived DOCX</x:v>
      </x:c>
      <x:c r="H2777" s="6" t="str">
        <x:v>1</x:v>
      </x:c>
      <x:c r="I2777" s="6" t="str">
        <x:v>Tang 300 gap; frequency 1; provisional from Xun Gong</x:v>
      </x:c>
      <x:c r="J2777" s="6" t="str">
        <x:f>IF(B2777="","",IF(AND(ISNUMBER(SEARCH("平",B2777)),OR(ISNUMBER(SEARCH("上",B2777)),ISNUMBER(SEARCH("去",B2777)),ISNUMBER(SEARCH("入",B2777)))),"Ambiguous",IF(ISNUMBER(SEARCH("平",B2777)),"平","仄")))</x:f>
        <x:v>仄</x:v>
      </x:c>
      <x:c r="K2777" s="6" t="str">
        <x:f>IF(D2777="","",IF(AND(ISNUMBER(SEARCH("平",D2777)),OR(ISNUMBER(SEARCH("上",D2777)),ISNUMBER(SEARCH("去",D2777)),ISNUMBER(SEARCH("入",D2777)))),"Ambiguous",IF(ISNUMBER(SEARCH("平",D2777)),"平","仄")))</x:f>
        <x:v>仄</x:v>
      </x:c>
      <x:c r="L2777" s="7" t="str">
        <x:v>Xun Gong, Tang 300 gap fill</x:v>
      </x:c>
    </x:row>
    <x:row r="2778">
      <x:c r="A2778" s="5" t="str">
        <x:v>磨</x:v>
      </x:c>
      <x:c r="B2778" s="6" t="str">
        <x:v>平</x:v>
      </x:c>
      <x:c r="C2778" s="6" t="str">
        <x:f>IF(B2778="","Needs decision","Ready")</x:f>
        <x:v>Ready</x:v>
      </x:c>
      <x:c r="D2778" s="6" t="str">
        <x:v>平/去</x:v>
      </x:c>
      <x:c r="E2778" s="6" t="str">
        <x:v>ma (A); maH (C)</x:v>
      </x:c>
      <x:c r="F2778" s="6" t="str">
        <x:v>下平聲五歌; 去聲二十一箇</x:v>
      </x:c>
      <x:c r="G2778" s="6" t="str">
        <x:v>Pingshui main list, Wikisource-derived DOCX</x:v>
      </x:c>
      <x:c r="H2778" s="6" t="str">
        <x:v>2</x:v>
      </x:c>
      <x:c r="I2778" s="6" t="str"/>
      <x:c r="J2778" s="6" t="str">
        <x:f>IF(B2778="","",IF(AND(ISNUMBER(SEARCH("平",B2778)),OR(ISNUMBER(SEARCH("上",B2778)),ISNUMBER(SEARCH("去",B2778)),ISNUMBER(SEARCH("入",B2778)))),"Ambiguous",IF(ISNUMBER(SEARCH("平",B2778)),"平","仄")))</x:f>
        <x:v>平</x:v>
      </x:c>
      <x:c r="K2778" s="6" t="str">
        <x:f>IF(D2778="","",IF(AND(ISNUMBER(SEARCH("平",D2778)),OR(ISNUMBER(SEARCH("上",D2778)),ISNUMBER(SEARCH("去",D2778)),ISNUMBER(SEARCH("入",D2778)))),"Ambiguous",IF(ISNUMBER(SEARCH("平",D2778)),"平","仄")))</x:f>
        <x:v>Ambiguous</x:v>
      </x:c>
      <x:c r="L2778" s="7" t="str"/>
    </x:row>
    <x:row r="2779">
      <x:c r="A2779" s="5" t="str">
        <x:v>磬</x:v>
      </x:c>
      <x:c r="B2779" s="6" t="str">
        <x:v>去</x:v>
      </x:c>
      <x:c r="C2779" s="6" t="str">
        <x:f>IF(B2779="","Needs decision","Ready")</x:f>
        <x:v>Ready</x:v>
      </x:c>
      <x:c r="D2779" s="6" t="str">
        <x:v>去</x:v>
      </x:c>
      <x:c r="E2779" s="6" t="str">
        <x:v>khengH (C)</x:v>
      </x:c>
      <x:c r="F2779" s="6" t="str">
        <x:v>去聲二十五徑</x:v>
      </x:c>
      <x:c r="G2779" s="6" t="str">
        <x:v>Pingshui main list, Wikisource-derived DOCX</x:v>
      </x:c>
      <x:c r="H2779" s="6" t="str">
        <x:v>1</x:v>
      </x:c>
      <x:c r="I2779" s="6" t="str"/>
      <x:c r="J2779" s="6" t="str">
        <x:f>IF(B2779="","",IF(AND(ISNUMBER(SEARCH("平",B2779)),OR(ISNUMBER(SEARCH("上",B2779)),ISNUMBER(SEARCH("去",B2779)),ISNUMBER(SEARCH("入",B2779)))),"Ambiguous",IF(ISNUMBER(SEARCH("平",B2779)),"平","仄")))</x:f>
        <x:v>仄</x:v>
      </x:c>
      <x:c r="K2779" s="6" t="str">
        <x:f>IF(D2779="","",IF(AND(ISNUMBER(SEARCH("平",D2779)),OR(ISNUMBER(SEARCH("上",D2779)),ISNUMBER(SEARCH("去",D2779)),ISNUMBER(SEARCH("入",D2779)))),"Ambiguous",IF(ISNUMBER(SEARCH("平",D2779)),"平","仄")))</x:f>
        <x:v>仄</x:v>
      </x:c>
      <x:c r="L2779" s="7" t="str"/>
    </x:row>
    <x:row r="2780">
      <x:c r="A2780" s="5" t="str">
        <x:v>磯</x:v>
      </x:c>
      <x:c r="B2780" s="6" t="str">
        <x:v>平</x:v>
      </x:c>
      <x:c r="C2780" s="6" t="str">
        <x:f>IF(B2780="","Needs decision","Ready")</x:f>
        <x:v>Ready</x:v>
      </x:c>
      <x:c r="D2780" s="6" t="str">
        <x:v>平</x:v>
      </x:c>
      <x:c r="E2780" s="6" t="str">
        <x:v>kj+j [kɨj] (平)</x:v>
      </x:c>
      <x:c r="F2780" s="6" t="str">
        <x:v>上平聲五微</x:v>
      </x:c>
      <x:c r="G2780" s="6" t="str">
        <x:v>Pingshui main list, Wikisource-derived DOCX</x:v>
      </x:c>
      <x:c r="H2780" s="6" t="str">
        <x:v>1</x:v>
      </x:c>
      <x:c r="I2780" s="6" t="str">
        <x:v>Tang 300 gap; frequency 1; provisional from Xun Gong</x:v>
      </x:c>
      <x:c r="J2780" s="6" t="str">
        <x:f>IF(B2780="","",IF(AND(ISNUMBER(SEARCH("平",B2780)),OR(ISNUMBER(SEARCH("上",B2780)),ISNUMBER(SEARCH("去",B2780)),ISNUMBER(SEARCH("入",B2780)))),"Ambiguous",IF(ISNUMBER(SEARCH("平",B2780)),"平","仄")))</x:f>
        <x:v>平</x:v>
      </x:c>
      <x:c r="K2780" s="6" t="str">
        <x:f>IF(D2780="","",IF(AND(ISNUMBER(SEARCH("平",D2780)),OR(ISNUMBER(SEARCH("上",D2780)),ISNUMBER(SEARCH("去",D2780)),ISNUMBER(SEARCH("入",D2780)))),"Ambiguous",IF(ISNUMBER(SEARCH("平",D2780)),"平","仄")))</x:f>
        <x:v>平</x:v>
      </x:c>
      <x:c r="L2780" s="7" t="str">
        <x:v>Xun Gong, Tang 300 gap fill</x:v>
      </x:c>
    </x:row>
    <x:row r="2781">
      <x:c r="A2781" s="5" t="str">
        <x:v>磴</x:v>
      </x:c>
      <x:c r="B2781" s="6" t="str">
        <x:v>去</x:v>
      </x:c>
      <x:c r="C2781" s="6" t="str">
        <x:f>IF(B2781="","Needs decision","Ready")</x:f>
        <x:v>Ready</x:v>
      </x:c>
      <x:c r="D2781" s="6" t="str">
        <x:v>去</x:v>
      </x:c>
      <x:c r="E2781" s="6" t="str">
        <x:v>tongH [t̙əŋh] (去)</x:v>
      </x:c>
      <x:c r="F2781" s="6" t="str">
        <x:v>去聲二十五徑</x:v>
      </x:c>
      <x:c r="G2781" s="6" t="str">
        <x:v>Pingshui main list, Wikisource-derived DOCX</x:v>
      </x:c>
      <x:c r="H2781" s="6" t="str">
        <x:v>1</x:v>
      </x:c>
      <x:c r="I2781" s="6" t="str">
        <x:v>Tang 300 gap; frequency 1; provisional from Xun Gong</x:v>
      </x:c>
      <x:c r="J2781" s="6" t="str">
        <x:f>IF(B2781="","",IF(AND(ISNUMBER(SEARCH("平",B2781)),OR(ISNUMBER(SEARCH("上",B2781)),ISNUMBER(SEARCH("去",B2781)),ISNUMBER(SEARCH("入",B2781)))),"Ambiguous",IF(ISNUMBER(SEARCH("平",B2781)),"平","仄")))</x:f>
        <x:v>仄</x:v>
      </x:c>
      <x:c r="K2781" s="6" t="str">
        <x:f>IF(D2781="","",IF(AND(ISNUMBER(SEARCH("平",D2781)),OR(ISNUMBER(SEARCH("上",D2781)),ISNUMBER(SEARCH("去",D2781)),ISNUMBER(SEARCH("入",D2781)))),"Ambiguous",IF(ISNUMBER(SEARCH("平",D2781)),"平","仄")))</x:f>
        <x:v>仄</x:v>
      </x:c>
      <x:c r="L2781" s="7" t="str">
        <x:v>Xun Gong, Tang 300 gap fill</x:v>
      </x:c>
    </x:row>
    <x:row r="2782">
      <x:c r="A2782" s="5" t="str">
        <x:v>磷</x:v>
      </x:c>
      <x:c r="B2782" s="6" t="str">
        <x:v>平</x:v>
      </x:c>
      <x:c r="C2782" s="6" t="str">
        <x:f>IF(B2782="","Needs decision","Ready")</x:f>
        <x:v>Ready</x:v>
      </x:c>
      <x:c r="D2782" s="6" t="str">
        <x:v>平</x:v>
      </x:c>
      <x:c r="E2782" s="6" t="str"/>
      <x:c r="F2782" s="6" t="str">
        <x:v>上平聲十一真</x:v>
      </x:c>
      <x:c r="G2782" s="6" t="str">
        <x:v>Pingshui main list, Wikisource-derived DOCX</x:v>
      </x:c>
      <x:c r="H2782" s="6" t="str">
        <x:v>0</x:v>
      </x:c>
      <x:c r="I2782" s="6" t="str">
        <x:v>User correction 2026-09-08; added manually</x:v>
      </x:c>
      <x:c r="J2782" s="6" t="str">
        <x:f>IF(B2782="","",IF(AND(ISNUMBER(SEARCH("平",B2782)),OR(ISNUMBER(SEARCH("上",B2782)),ISNUMBER(SEARCH("去",B2782)),ISNUMBER(SEARCH("入",B2782)))),"Ambiguous",IF(ISNUMBER(SEARCH("平",B2782)),"平","仄")))</x:f>
        <x:v>平</x:v>
      </x:c>
      <x:c r="K2782" s="6" t="str">
        <x:f>IF(D2782="","",IF(AND(ISNUMBER(SEARCH("平",D2782)),OR(ISNUMBER(SEARCH("上",D2782)),ISNUMBER(SEARCH("去",D2782)),ISNUMBER(SEARCH("入",D2782)))),"Ambiguous",IF(ISNUMBER(SEARCH("平",D2782)),"平","仄")))</x:f>
        <x:v>平</x:v>
      </x:c>
      <x:c r="L2782" s="7" t="str">
        <x:v>User correction</x:v>
      </x:c>
    </x:row>
    <x:row r="2783">
      <x:c r="A2783" s="5" t="str">
        <x:v>磽</x:v>
      </x:c>
      <x:c r="B2783" s="6" t="str">
        <x:v>平</x:v>
      </x:c>
      <x:c r="C2783" s="6" t="str">
        <x:f>IF(B2783="","Needs decision","Ready")</x:f>
        <x:v>Ready</x:v>
      </x:c>
      <x:c r="D2783" s="6" t="str">
        <x:v>平</x:v>
      </x:c>
      <x:c r="E2783" s="6" t="str">
        <x:v>khaew (A)</x:v>
      </x:c>
      <x:c r="F2783" s="6" t="str"/>
      <x:c r="G2783" s="6" t="str"/>
      <x:c r="H2783" s="6" t="str">
        <x:v>1</x:v>
      </x:c>
      <x:c r="I2783" s="6" t="str"/>
      <x:c r="J2783" s="6" t="str">
        <x:f>IF(B2783="","",IF(AND(ISNUMBER(SEARCH("平",B2783)),OR(ISNUMBER(SEARCH("上",B2783)),ISNUMBER(SEARCH("去",B2783)),ISNUMBER(SEARCH("入",B2783)))),"Ambiguous",IF(ISNUMBER(SEARCH("平",B2783)),"平","仄")))</x:f>
        <x:v>平</x:v>
      </x:c>
      <x:c r="K2783" s="6" t="str">
        <x:f>IF(D2783="","",IF(AND(ISNUMBER(SEARCH("平",D2783)),OR(ISNUMBER(SEARCH("上",D2783)),ISNUMBER(SEARCH("去",D2783)),ISNUMBER(SEARCH("入",D2783)))),"Ambiguous",IF(ISNUMBER(SEARCH("平",D2783)),"平","仄")))</x:f>
        <x:v>平</x:v>
      </x:c>
      <x:c r="L2783" s="7" t="str"/>
    </x:row>
    <x:row r="2784">
      <x:c r="A2784" s="5" t="str">
        <x:v>礙</x:v>
      </x:c>
      <x:c r="B2784" s="6" t="str">
        <x:v>去</x:v>
      </x:c>
      <x:c r="C2784" s="6" t="str">
        <x:f>IF(B2784="","Needs decision","Ready")</x:f>
        <x:v>Ready</x:v>
      </x:c>
      <x:c r="D2784" s="6" t="str">
        <x:v>去</x:v>
      </x:c>
      <x:c r="E2784" s="6" t="str">
        <x:v>ngojH [ɴəjh] (去)</x:v>
      </x:c>
      <x:c r="F2784" s="6" t="str">
        <x:v>去聲十一隊</x:v>
      </x:c>
      <x:c r="G2784" s="6" t="str">
        <x:v>Pingshui main list, Wikisource-derived DOCX</x:v>
      </x:c>
      <x:c r="H2784" s="6" t="str">
        <x:v>1</x:v>
      </x:c>
      <x:c r="I2784" s="6" t="str">
        <x:v>Tang 300 gap; frequency 1; provisional from Xun Gong</x:v>
      </x:c>
      <x:c r="J2784" s="6" t="str">
        <x:f>IF(B2784="","",IF(AND(ISNUMBER(SEARCH("平",B2784)),OR(ISNUMBER(SEARCH("上",B2784)),ISNUMBER(SEARCH("去",B2784)),ISNUMBER(SEARCH("入",B2784)))),"Ambiguous",IF(ISNUMBER(SEARCH("平",B2784)),"平","仄")))</x:f>
        <x:v>仄</x:v>
      </x:c>
      <x:c r="K2784" s="6" t="str">
        <x:f>IF(D2784="","",IF(AND(ISNUMBER(SEARCH("平",D2784)),OR(ISNUMBER(SEARCH("上",D2784)),ISNUMBER(SEARCH("去",D2784)),ISNUMBER(SEARCH("入",D2784)))),"Ambiguous",IF(ISNUMBER(SEARCH("平",D2784)),"平","仄")))</x:f>
        <x:v>仄</x:v>
      </x:c>
      <x:c r="L2784" s="7" t="str">
        <x:v>Xun Gong, Tang 300 gap fill</x:v>
      </x:c>
    </x:row>
    <x:row r="2785">
      <x:c r="A2785" s="5" t="str">
        <x:v>礪</x:v>
      </x:c>
      <x:c r="B2785" s="6" t="str">
        <x:v>去</x:v>
      </x:c>
      <x:c r="C2785" s="6" t="str">
        <x:f>IF(B2785="","Needs decision","Ready")</x:f>
        <x:v>Ready</x:v>
      </x:c>
      <x:c r="D2785" s="6" t="str">
        <x:v>去</x:v>
      </x:c>
      <x:c r="E2785" s="6" t="str">
        <x:v>ljejH (C)</x:v>
      </x:c>
      <x:c r="F2785" s="6" t="str">
        <x:v>去聲八霽</x:v>
      </x:c>
      <x:c r="G2785" s="6" t="str">
        <x:v>Pingshui main list, Wikisource-derived DOCX</x:v>
      </x:c>
      <x:c r="H2785" s="6" t="str">
        <x:v>1</x:v>
      </x:c>
      <x:c r="I2785" s="6" t="str"/>
      <x:c r="J2785" s="6" t="str">
        <x:f>IF(B2785="","",IF(AND(ISNUMBER(SEARCH("平",B2785)),OR(ISNUMBER(SEARCH("上",B2785)),ISNUMBER(SEARCH("去",B2785)),ISNUMBER(SEARCH("入",B2785)))),"Ambiguous",IF(ISNUMBER(SEARCH("平",B2785)),"平","仄")))</x:f>
        <x:v>仄</x:v>
      </x:c>
      <x:c r="K2785" s="6" t="str">
        <x:f>IF(D2785="","",IF(AND(ISNUMBER(SEARCH("平",D2785)),OR(ISNUMBER(SEARCH("上",D2785)),ISNUMBER(SEARCH("去",D2785)),ISNUMBER(SEARCH("入",D2785)))),"Ambiguous",IF(ISNUMBER(SEARCH("平",D2785)),"平","仄")))</x:f>
        <x:v>仄</x:v>
      </x:c>
      <x:c r="L2785" s="7" t="str"/>
    </x:row>
    <x:row r="2786">
      <x:c r="A2786" s="5" t="str">
        <x:v>礫</x:v>
      </x:c>
      <x:c r="B2786" s="6" t="str">
        <x:v>入</x:v>
      </x:c>
      <x:c r="C2786" s="6" t="str">
        <x:f>IF(B2786="","Needs decision","Ready")</x:f>
        <x:v>Ready</x:v>
      </x:c>
      <x:c r="D2786" s="6" t="str">
        <x:v>入</x:v>
      </x:c>
      <x:c r="E2786" s="6" t="str">
        <x:v>lek (D)</x:v>
      </x:c>
      <x:c r="F2786" s="6" t="str">
        <x:v>入聲十二錫</x:v>
      </x:c>
      <x:c r="G2786" s="6" t="str">
        <x:v>Pingshui main list, Wikisource-derived DOCX</x:v>
      </x:c>
      <x:c r="H2786" s="6" t="str">
        <x:v>1</x:v>
      </x:c>
      <x:c r="I2786" s="6" t="str"/>
      <x:c r="J2786" s="6" t="str">
        <x:f>IF(B2786="","",IF(AND(ISNUMBER(SEARCH("平",B2786)),OR(ISNUMBER(SEARCH("上",B2786)),ISNUMBER(SEARCH("去",B2786)),ISNUMBER(SEARCH("入",B2786)))),"Ambiguous",IF(ISNUMBER(SEARCH("平",B2786)),"平","仄")))</x:f>
        <x:v>仄</x:v>
      </x:c>
      <x:c r="K2786" s="6" t="str">
        <x:f>IF(D2786="","",IF(AND(ISNUMBER(SEARCH("平",D2786)),OR(ISNUMBER(SEARCH("上",D2786)),ISNUMBER(SEARCH("去",D2786)),ISNUMBER(SEARCH("入",D2786)))),"Ambiguous",IF(ISNUMBER(SEARCH("平",D2786)),"平","仄")))</x:f>
        <x:v>仄</x:v>
      </x:c>
      <x:c r="L2786" s="7" t="str"/>
    </x:row>
    <x:row r="2787">
      <x:c r="A2787" s="5" t="str">
        <x:v>示</x:v>
      </x:c>
      <x:c r="B2787" s="6" t="str">
        <x:v>去</x:v>
      </x:c>
      <x:c r="C2787" s="6" t="str">
        <x:f>IF(B2787="","Needs decision","Ready")</x:f>
        <x:v>Ready</x:v>
      </x:c>
      <x:c r="D2787" s="6" t="str">
        <x:v>去</x:v>
      </x:c>
      <x:c r="E2787" s="6" t="str">
        <x:v>zyijH (C); tsyeH (C)</x:v>
      </x:c>
      <x:c r="F2787" s="6" t="str">
        <x:v>去聲四寘</x:v>
      </x:c>
      <x:c r="G2787" s="6" t="str">
        <x:v>Pingshui main list, Wikisource-derived DOCX</x:v>
      </x:c>
      <x:c r="H2787" s="6" t="str">
        <x:v>2</x:v>
      </x:c>
      <x:c r="I2787" s="6" t="str"/>
      <x:c r="J2787" s="6" t="str">
        <x:f>IF(B2787="","",IF(AND(ISNUMBER(SEARCH("平",B2787)),OR(ISNUMBER(SEARCH("上",B2787)),ISNUMBER(SEARCH("去",B2787)),ISNUMBER(SEARCH("入",B2787)))),"Ambiguous",IF(ISNUMBER(SEARCH("平",B2787)),"平","仄")))</x:f>
        <x:v>仄</x:v>
      </x:c>
      <x:c r="K2787" s="6" t="str">
        <x:f>IF(D2787="","",IF(AND(ISNUMBER(SEARCH("平",D2787)),OR(ISNUMBER(SEARCH("上",D2787)),ISNUMBER(SEARCH("去",D2787)),ISNUMBER(SEARCH("入",D2787)))),"Ambiguous",IF(ISNUMBER(SEARCH("平",D2787)),"平","仄")))</x:f>
        <x:v>仄</x:v>
      </x:c>
      <x:c r="L2787" s="7" t="str"/>
    </x:row>
    <x:row r="2788">
      <x:c r="A2788" s="5" t="str">
        <x:v>社</x:v>
      </x:c>
      <x:c r="B2788" s="6" t="str">
        <x:v>上</x:v>
      </x:c>
      <x:c r="C2788" s="6" t="str">
        <x:f>IF(B2788="","Needs decision","Ready")</x:f>
        <x:v>Ready</x:v>
      </x:c>
      <x:c r="D2788" s="6" t="str">
        <x:v>上</x:v>
      </x:c>
      <x:c r="E2788" s="6" t="str">
        <x:v>dzyaeX (B)</x:v>
      </x:c>
      <x:c r="F2788" s="6" t="str">
        <x:v>上聲二十一馬</x:v>
      </x:c>
      <x:c r="G2788" s="6" t="str">
        <x:v>Pingshui main list, Wikisource-derived DOCX</x:v>
      </x:c>
      <x:c r="H2788" s="6" t="str">
        <x:v>1</x:v>
      </x:c>
      <x:c r="I2788" s="6" t="str"/>
      <x:c r="J2788" s="6" t="str">
        <x:f>IF(B2788="","",IF(AND(ISNUMBER(SEARCH("平",B2788)),OR(ISNUMBER(SEARCH("上",B2788)),ISNUMBER(SEARCH("去",B2788)),ISNUMBER(SEARCH("入",B2788)))),"Ambiguous",IF(ISNUMBER(SEARCH("平",B2788)),"平","仄")))</x:f>
        <x:v>仄</x:v>
      </x:c>
      <x:c r="K2788" s="6" t="str">
        <x:f>IF(D2788="","",IF(AND(ISNUMBER(SEARCH("平",D2788)),OR(ISNUMBER(SEARCH("上",D2788)),ISNUMBER(SEARCH("去",D2788)),ISNUMBER(SEARCH("入",D2788)))),"Ambiguous",IF(ISNUMBER(SEARCH("平",D2788)),"平","仄")))</x:f>
        <x:v>仄</x:v>
      </x:c>
      <x:c r="L2788" s="7" t="str"/>
    </x:row>
    <x:row r="2789">
      <x:c r="A2789" s="5" t="str">
        <x:v>祀</x:v>
      </x:c>
      <x:c r="B2789" s="6" t="str">
        <x:v>上</x:v>
      </x:c>
      <x:c r="C2789" s="6" t="str">
        <x:f>IF(B2789="","Needs decision","Ready")</x:f>
        <x:v>Ready</x:v>
      </x:c>
      <x:c r="D2789" s="6" t="str">
        <x:v>上</x:v>
      </x:c>
      <x:c r="E2789" s="6" t="str">
        <x:v>ziX (B)</x:v>
      </x:c>
      <x:c r="F2789" s="6" t="str">
        <x:v>上聲四紙</x:v>
      </x:c>
      <x:c r="G2789" s="6" t="str">
        <x:v>Pingshui main list, Wikisource-derived DOCX</x:v>
      </x:c>
      <x:c r="H2789" s="6" t="str">
        <x:v>1</x:v>
      </x:c>
      <x:c r="I2789" s="6" t="str"/>
      <x:c r="J2789" s="6" t="str">
        <x:f>IF(B2789="","",IF(AND(ISNUMBER(SEARCH("平",B2789)),OR(ISNUMBER(SEARCH("上",B2789)),ISNUMBER(SEARCH("去",B2789)),ISNUMBER(SEARCH("入",B2789)))),"Ambiguous",IF(ISNUMBER(SEARCH("平",B2789)),"平","仄")))</x:f>
        <x:v>仄</x:v>
      </x:c>
      <x:c r="K2789" s="6" t="str">
        <x:f>IF(D2789="","",IF(AND(ISNUMBER(SEARCH("平",D2789)),OR(ISNUMBER(SEARCH("上",D2789)),ISNUMBER(SEARCH("去",D2789)),ISNUMBER(SEARCH("入",D2789)))),"Ambiguous",IF(ISNUMBER(SEARCH("平",D2789)),"平","仄")))</x:f>
        <x:v>仄</x:v>
      </x:c>
      <x:c r="L2789" s="7" t="str"/>
    </x:row>
    <x:row r="2790">
      <x:c r="A2790" s="5" t="str">
        <x:v>祁</x:v>
      </x:c>
      <x:c r="B2790" s="6" t="str">
        <x:v>平</x:v>
      </x:c>
      <x:c r="C2790" s="6" t="str">
        <x:f>IF(B2790="","Needs decision","Ready")</x:f>
        <x:v>Ready</x:v>
      </x:c>
      <x:c r="D2790" s="6" t="str">
        <x:v>平</x:v>
      </x:c>
      <x:c r="E2790" s="6" t="str">
        <x:v>gij (A)</x:v>
      </x:c>
      <x:c r="F2790" s="6" t="str">
        <x:v>上平聲四支</x:v>
      </x:c>
      <x:c r="G2790" s="6" t="str">
        <x:v>Pingshui main list, Wikisource-derived DOCX</x:v>
      </x:c>
      <x:c r="H2790" s="6" t="str">
        <x:v>1</x:v>
      </x:c>
      <x:c r="I2790" s="6" t="str"/>
      <x:c r="J2790" s="6" t="str">
        <x:f>IF(B2790="","",IF(AND(ISNUMBER(SEARCH("平",B2790)),OR(ISNUMBER(SEARCH("上",B2790)),ISNUMBER(SEARCH("去",B2790)),ISNUMBER(SEARCH("入",B2790)))),"Ambiguous",IF(ISNUMBER(SEARCH("平",B2790)),"平","仄")))</x:f>
        <x:v>平</x:v>
      </x:c>
      <x:c r="K2790" s="6" t="str">
        <x:f>IF(D2790="","",IF(AND(ISNUMBER(SEARCH("平",D2790)),OR(ISNUMBER(SEARCH("上",D2790)),ISNUMBER(SEARCH("去",D2790)),ISNUMBER(SEARCH("入",D2790)))),"Ambiguous",IF(ISNUMBER(SEARCH("平",D2790)),"平","仄")))</x:f>
        <x:v>平</x:v>
      </x:c>
      <x:c r="L2790" s="7" t="str"/>
    </x:row>
    <x:row r="2791">
      <x:c r="A2791" s="5" t="str">
        <x:v>祇</x:v>
      </x:c>
      <x:c r="B2791" s="6" t="str">
        <x:v>平</x:v>
      </x:c>
      <x:c r="C2791" s="6" t="str">
        <x:f>IF(B2791="","Needs decision","Ready")</x:f>
        <x:v>Ready</x:v>
      </x:c>
      <x:c r="D2791" s="6" t="str">
        <x:v>平</x:v>
      </x:c>
      <x:c r="E2791" s="6" t="str">
        <x:v>gjie (A)</x:v>
      </x:c>
      <x:c r="F2791" s="6" t="str">
        <x:v>上平聲四支</x:v>
      </x:c>
      <x:c r="G2791" s="6" t="str">
        <x:v>Pingshui main list, Wikisource-derived DOCX</x:v>
      </x:c>
      <x:c r="H2791" s="6" t="str">
        <x:v>1</x:v>
      </x:c>
      <x:c r="I2791" s="6" t="str"/>
      <x:c r="J2791" s="6" t="str">
        <x:f>IF(B2791="","",IF(AND(ISNUMBER(SEARCH("平",B2791)),OR(ISNUMBER(SEARCH("上",B2791)),ISNUMBER(SEARCH("去",B2791)),ISNUMBER(SEARCH("入",B2791)))),"Ambiguous",IF(ISNUMBER(SEARCH("平",B2791)),"平","仄")))</x:f>
        <x:v>平</x:v>
      </x:c>
      <x:c r="K2791" s="6" t="str">
        <x:f>IF(D2791="","",IF(AND(ISNUMBER(SEARCH("平",D2791)),OR(ISNUMBER(SEARCH("上",D2791)),ISNUMBER(SEARCH("去",D2791)),ISNUMBER(SEARCH("入",D2791)))),"Ambiguous",IF(ISNUMBER(SEARCH("平",D2791)),"平","仄")))</x:f>
        <x:v>平</x:v>
      </x:c>
      <x:c r="L2791" s="7" t="str"/>
    </x:row>
    <x:row r="2792">
      <x:c r="A2792" s="5" t="str">
        <x:v>祈</x:v>
      </x:c>
      <x:c r="B2792" s="6" t="str">
        <x:v>平</x:v>
      </x:c>
      <x:c r="C2792" s="6" t="str">
        <x:f>IF(B2792="","Needs decision","Ready")</x:f>
        <x:v>Ready</x:v>
      </x:c>
      <x:c r="D2792" s="6" t="str">
        <x:v>平</x:v>
      </x:c>
      <x:c r="E2792" s="6" t="str">
        <x:v>gj+j (A)</x:v>
      </x:c>
      <x:c r="F2792" s="6" t="str">
        <x:v>上平聲五微</x:v>
      </x:c>
      <x:c r="G2792" s="6" t="str">
        <x:v>Pingshui main list, Wikisource-derived DOCX</x:v>
      </x:c>
      <x:c r="H2792" s="6" t="str">
        <x:v>1</x:v>
      </x:c>
      <x:c r="I2792" s="6" t="str"/>
      <x:c r="J2792" s="6" t="str">
        <x:f>IF(B2792="","",IF(AND(ISNUMBER(SEARCH("平",B2792)),OR(ISNUMBER(SEARCH("上",B2792)),ISNUMBER(SEARCH("去",B2792)),ISNUMBER(SEARCH("入",B2792)))),"Ambiguous",IF(ISNUMBER(SEARCH("平",B2792)),"平","仄")))</x:f>
        <x:v>平</x:v>
      </x:c>
      <x:c r="K2792" s="6" t="str">
        <x:f>IF(D2792="","",IF(AND(ISNUMBER(SEARCH("平",D2792)),OR(ISNUMBER(SEARCH("上",D2792)),ISNUMBER(SEARCH("去",D2792)),ISNUMBER(SEARCH("入",D2792)))),"Ambiguous",IF(ISNUMBER(SEARCH("平",D2792)),"平","仄")))</x:f>
        <x:v>平</x:v>
      </x:c>
      <x:c r="L2792" s="7" t="str"/>
    </x:row>
    <x:row r="2793">
      <x:c r="A2793" s="5" t="str">
        <x:v>祉</x:v>
      </x:c>
      <x:c r="B2793" s="6" t="str">
        <x:v>上</x:v>
      </x:c>
      <x:c r="C2793" s="6" t="str">
        <x:f>IF(B2793="","Needs decision","Ready")</x:f>
        <x:v>Ready</x:v>
      </x:c>
      <x:c r="D2793" s="6" t="str">
        <x:v>上</x:v>
      </x:c>
      <x:c r="E2793" s="6" t="str">
        <x:v>trhiX (B)</x:v>
      </x:c>
      <x:c r="F2793" s="6" t="str">
        <x:v>上聲四紙</x:v>
      </x:c>
      <x:c r="G2793" s="6" t="str">
        <x:v>Pingshui main list, Wikisource-derived DOCX</x:v>
      </x:c>
      <x:c r="H2793" s="6" t="str">
        <x:v>1</x:v>
      </x:c>
      <x:c r="I2793" s="6" t="str"/>
      <x:c r="J2793" s="6" t="str">
        <x:f>IF(B2793="","",IF(AND(ISNUMBER(SEARCH("平",B2793)),OR(ISNUMBER(SEARCH("上",B2793)),ISNUMBER(SEARCH("去",B2793)),ISNUMBER(SEARCH("入",B2793)))),"Ambiguous",IF(ISNUMBER(SEARCH("平",B2793)),"平","仄")))</x:f>
        <x:v>仄</x:v>
      </x:c>
      <x:c r="K2793" s="6" t="str">
        <x:f>IF(D2793="","",IF(AND(ISNUMBER(SEARCH("平",D2793)),OR(ISNUMBER(SEARCH("上",D2793)),ISNUMBER(SEARCH("去",D2793)),ISNUMBER(SEARCH("入",D2793)))),"Ambiguous",IF(ISNUMBER(SEARCH("平",D2793)),"平","仄")))</x:f>
        <x:v>仄</x:v>
      </x:c>
      <x:c r="L2793" s="7" t="str"/>
    </x:row>
    <x:row r="2794">
      <x:c r="A2794" s="5" t="str">
        <x:v>祊</x:v>
      </x:c>
      <x:c r="B2794" s="6" t="str">
        <x:v>平</x:v>
      </x:c>
      <x:c r="C2794" s="6" t="str">
        <x:f>IF(B2794="","Needs decision","Ready")</x:f>
        <x:v>Ready</x:v>
      </x:c>
      <x:c r="D2794" s="6" t="str">
        <x:v>平</x:v>
      </x:c>
      <x:c r="E2794" s="6" t="str">
        <x:v>paeng (A)</x:v>
      </x:c>
      <x:c r="F2794" s="6" t="str">
        <x:v>下平聲八庚</x:v>
      </x:c>
      <x:c r="G2794" s="6" t="str">
        <x:v>Pingshui main list, Wikisource-derived DOCX</x:v>
      </x:c>
      <x:c r="H2794" s="6" t="str">
        <x:v>1</x:v>
      </x:c>
      <x:c r="I2794" s="6" t="str"/>
      <x:c r="J2794" s="6" t="str">
        <x:f>IF(B2794="","",IF(AND(ISNUMBER(SEARCH("平",B2794)),OR(ISNUMBER(SEARCH("上",B2794)),ISNUMBER(SEARCH("去",B2794)),ISNUMBER(SEARCH("入",B2794)))),"Ambiguous",IF(ISNUMBER(SEARCH("平",B2794)),"平","仄")))</x:f>
        <x:v>平</x:v>
      </x:c>
      <x:c r="K2794" s="6" t="str">
        <x:f>IF(D2794="","",IF(AND(ISNUMBER(SEARCH("平",D2794)),OR(ISNUMBER(SEARCH("上",D2794)),ISNUMBER(SEARCH("去",D2794)),ISNUMBER(SEARCH("入",D2794)))),"Ambiguous",IF(ISNUMBER(SEARCH("平",D2794)),"平","仄")))</x:f>
        <x:v>平</x:v>
      </x:c>
      <x:c r="L2794" s="7" t="str"/>
    </x:row>
    <x:row r="2795">
      <x:c r="A2795" s="5" t="str">
        <x:v>祐</x:v>
      </x:c>
      <x:c r="B2795" s="6" t="str"/>
      <x:c r="C2795" s="6" t="str">
        <x:f>IF(B2795="","Needs decision","Ready")</x:f>
        <x:v>Needs decision</x:v>
      </x:c>
      <x:c r="D2795" s="6" t="str">
        <x:v>上/去</x:v>
      </x:c>
      <x:c r="E2795" s="6" t="str">
        <x:v>hjuwX (B); hjuwH (C)</x:v>
      </x:c>
      <x:c r="F2795" s="6" t="str">
        <x:v>去聲二十六宥</x:v>
      </x:c>
      <x:c r="G2795" s="6" t="str">
        <x:v>Pingshui main list, Wikisource-derived DOCX</x:v>
      </x:c>
      <x:c r="H2795" s="6" t="str">
        <x:v>2</x:v>
      </x:c>
      <x:c r="I2795" s="6" t="str"/>
      <x:c r="J2795" s="6" t="str">
        <x:f>IF(B2795="","",IF(AND(ISNUMBER(SEARCH("平",B2795)),OR(ISNUMBER(SEARCH("上",B2795)),ISNUMBER(SEARCH("去",B2795)),ISNUMBER(SEARCH("入",B2795)))),"Ambiguous",IF(ISNUMBER(SEARCH("平",B2795)),"平","仄")))</x:f>
      </x:c>
      <x:c r="K2795" s="6" t="str">
        <x:f>IF(D2795="","",IF(AND(ISNUMBER(SEARCH("平",D2795)),OR(ISNUMBER(SEARCH("上",D2795)),ISNUMBER(SEARCH("去",D2795)),ISNUMBER(SEARCH("入",D2795)))),"Ambiguous",IF(ISNUMBER(SEARCH("平",D2795)),"平","仄")))</x:f>
        <x:v>仄</x:v>
      </x:c>
      <x:c r="L2795" s="7" t="str"/>
    </x:row>
    <x:row r="2796">
      <x:c r="A2796" s="5" t="str">
        <x:v>祓</x:v>
      </x:c>
      <x:c r="B2796" s="6" t="str">
        <x:v>入</x:v>
      </x:c>
      <x:c r="C2796" s="6" t="str">
        <x:f>IF(B2796="","Needs decision","Ready")</x:f>
        <x:v>Ready</x:v>
      </x:c>
      <x:c r="D2796" s="6" t="str">
        <x:v>去/入</x:v>
      </x:c>
      <x:c r="E2796" s="6" t="str">
        <x:v>phjut (D); pjojH (C)</x:v>
      </x:c>
      <x:c r="F2796" s="6" t="str">
        <x:v>入聲五物</x:v>
      </x:c>
      <x:c r="G2796" s="6" t="str">
        <x:v>Pingshui main list, Wikisource-derived DOCX</x:v>
      </x:c>
      <x:c r="H2796" s="6" t="str">
        <x:v>2</x:v>
      </x:c>
      <x:c r="I2796" s="6" t="str"/>
      <x:c r="J2796" s="6" t="str">
        <x:f>IF(B2796="","",IF(AND(ISNUMBER(SEARCH("平",B2796)),OR(ISNUMBER(SEARCH("上",B2796)),ISNUMBER(SEARCH("去",B2796)),ISNUMBER(SEARCH("入",B2796)))),"Ambiguous",IF(ISNUMBER(SEARCH("平",B2796)),"平","仄")))</x:f>
        <x:v>仄</x:v>
      </x:c>
      <x:c r="K2796" s="6" t="str">
        <x:f>IF(D2796="","",IF(AND(ISNUMBER(SEARCH("平",D2796)),OR(ISNUMBER(SEARCH("上",D2796)),ISNUMBER(SEARCH("去",D2796)),ISNUMBER(SEARCH("入",D2796)))),"Ambiguous",IF(ISNUMBER(SEARCH("平",D2796)),"平","仄")))</x:f>
        <x:v>仄</x:v>
      </x:c>
      <x:c r="L2796" s="7" t="str"/>
    </x:row>
    <x:row r="2797">
      <x:c r="A2797" s="5" t="str">
        <x:v>祖</x:v>
      </x:c>
      <x:c r="B2797" s="6" t="str">
        <x:v>上</x:v>
      </x:c>
      <x:c r="C2797" s="6" t="str">
        <x:f>IF(B2797="","Needs decision","Ready")</x:f>
        <x:v>Ready</x:v>
      </x:c>
      <x:c r="D2797" s="6" t="str">
        <x:v>上</x:v>
      </x:c>
      <x:c r="E2797" s="6" t="str">
        <x:v>tsuX (B)</x:v>
      </x:c>
      <x:c r="F2797" s="6" t="str">
        <x:v>下平聲六麻; 上聲七麌</x:v>
      </x:c>
      <x:c r="G2797" s="6" t="str">
        <x:v>Pingshui main list, Wikisource-derived DOCX</x:v>
      </x:c>
      <x:c r="H2797" s="6" t="str">
        <x:v>1</x:v>
      </x:c>
      <x:c r="I2797" s="6" t="str"/>
      <x:c r="J2797" s="6" t="str">
        <x:f>IF(B2797="","",IF(AND(ISNUMBER(SEARCH("平",B2797)),OR(ISNUMBER(SEARCH("上",B2797)),ISNUMBER(SEARCH("去",B2797)),ISNUMBER(SEARCH("入",B2797)))),"Ambiguous",IF(ISNUMBER(SEARCH("平",B2797)),"平","仄")))</x:f>
        <x:v>仄</x:v>
      </x:c>
      <x:c r="K2797" s="6" t="str">
        <x:f>IF(D2797="","",IF(AND(ISNUMBER(SEARCH("平",D2797)),OR(ISNUMBER(SEARCH("上",D2797)),ISNUMBER(SEARCH("去",D2797)),ISNUMBER(SEARCH("入",D2797)))),"Ambiguous",IF(ISNUMBER(SEARCH("平",D2797)),"平","仄")))</x:f>
        <x:v>仄</x:v>
      </x:c>
      <x:c r="L2797" s="7" t="str"/>
    </x:row>
    <x:row r="2798">
      <x:c r="A2798" s="5" t="str">
        <x:v>祗</x:v>
      </x:c>
      <x:c r="B2798" s="6" t="str">
        <x:v>平</x:v>
      </x:c>
      <x:c r="C2798" s="6" t="str">
        <x:f>IF(B2798="","Needs decision","Ready")</x:f>
        <x:v>Ready</x:v>
      </x:c>
      <x:c r="D2798" s="6" t="str">
        <x:v>平</x:v>
      </x:c>
      <x:c r="E2798" s="6" t="str">
        <x:v>tsyij [tɕi] (平)</x:v>
      </x:c>
      <x:c r="F2798" s="6" t="str">
        <x:v>上平聲四支</x:v>
      </x:c>
      <x:c r="G2798" s="6" t="str">
        <x:v>Pingshui main list, Wikisource-derived DOCX</x:v>
      </x:c>
      <x:c r="H2798" s="6" t="str">
        <x:v>1</x:v>
      </x:c>
      <x:c r="I2798" s="6" t="str">
        <x:v>Tang 300 gap; frequency 1; provisional from Xun Gong</x:v>
      </x:c>
      <x:c r="J2798" s="6" t="str">
        <x:f>IF(B2798="","",IF(AND(ISNUMBER(SEARCH("平",B2798)),OR(ISNUMBER(SEARCH("上",B2798)),ISNUMBER(SEARCH("去",B2798)),ISNUMBER(SEARCH("入",B2798)))),"Ambiguous",IF(ISNUMBER(SEARCH("平",B2798)),"平","仄")))</x:f>
        <x:v>平</x:v>
      </x:c>
      <x:c r="K2798" s="6" t="str">
        <x:f>IF(D2798="","",IF(AND(ISNUMBER(SEARCH("平",D2798)),OR(ISNUMBER(SEARCH("上",D2798)),ISNUMBER(SEARCH("去",D2798)),ISNUMBER(SEARCH("入",D2798)))),"Ambiguous",IF(ISNUMBER(SEARCH("平",D2798)),"平","仄")))</x:f>
        <x:v>平</x:v>
      </x:c>
      <x:c r="L2798" s="7" t="str">
        <x:v>Xun Gong, Tang 300 gap fill</x:v>
      </x:c>
    </x:row>
    <x:row r="2799">
      <x:c r="A2799" s="5" t="str">
        <x:v>祘</x:v>
      </x:c>
      <x:c r="B2799" s="6" t="str">
        <x:v>去</x:v>
      </x:c>
      <x:c r="C2799" s="6" t="str">
        <x:f>IF(B2799="","Needs decision","Ready")</x:f>
        <x:v>Ready</x:v>
      </x:c>
      <x:c r="D2799" s="6" t="str">
        <x:v>去</x:v>
      </x:c>
      <x:c r="E2799" s="6" t="str">
        <x:v>swanH (C)</x:v>
      </x:c>
      <x:c r="F2799" s="6" t="str"/>
      <x:c r="G2799" s="6" t="str"/>
      <x:c r="H2799" s="6" t="str">
        <x:v>1</x:v>
      </x:c>
      <x:c r="I2799" s="6" t="str"/>
      <x:c r="J2799" s="6" t="str">
        <x:f>IF(B2799="","",IF(AND(ISNUMBER(SEARCH("平",B2799)),OR(ISNUMBER(SEARCH("上",B2799)),ISNUMBER(SEARCH("去",B2799)),ISNUMBER(SEARCH("入",B2799)))),"Ambiguous",IF(ISNUMBER(SEARCH("平",B2799)),"平","仄")))</x:f>
        <x:v>仄</x:v>
      </x:c>
      <x:c r="K2799" s="6" t="str">
        <x:f>IF(D2799="","",IF(AND(ISNUMBER(SEARCH("平",D2799)),OR(ISNUMBER(SEARCH("上",D2799)),ISNUMBER(SEARCH("去",D2799)),ISNUMBER(SEARCH("入",D2799)))),"Ambiguous",IF(ISNUMBER(SEARCH("平",D2799)),"平","仄")))</x:f>
        <x:v>仄</x:v>
      </x:c>
      <x:c r="L2799" s="7" t="str"/>
    </x:row>
    <x:row r="2800">
      <x:c r="A2800" s="5" t="str">
        <x:v>祚</x:v>
      </x:c>
      <x:c r="B2800" s="6" t="str">
        <x:v>去</x:v>
      </x:c>
      <x:c r="C2800" s="6" t="str">
        <x:f>IF(B2800="","Needs decision","Ready")</x:f>
        <x:v>Ready</x:v>
      </x:c>
      <x:c r="D2800" s="6" t="str">
        <x:v>去</x:v>
      </x:c>
      <x:c r="E2800" s="6" t="str">
        <x:v>dzuH [d̙z̙oh] (去)</x:v>
      </x:c>
      <x:c r="F2800" s="6" t="str"/>
      <x:c r="G2800" s="6" t="str"/>
      <x:c r="H2800" s="6" t="str">
        <x:v>1</x:v>
      </x:c>
      <x:c r="I2800" s="6" t="str">
        <x:v>Tang 300 gap; frequency 1; provisional from Xun Gong</x:v>
      </x:c>
      <x:c r="J2800" s="6" t="str">
        <x:f>IF(B2800="","",IF(AND(ISNUMBER(SEARCH("平",B2800)),OR(ISNUMBER(SEARCH("上",B2800)),ISNUMBER(SEARCH("去",B2800)),ISNUMBER(SEARCH("入",B2800)))),"Ambiguous",IF(ISNUMBER(SEARCH("平",B2800)),"平","仄")))</x:f>
        <x:v>仄</x:v>
      </x:c>
      <x:c r="K2800" s="6" t="str">
        <x:f>IF(D2800="","",IF(AND(ISNUMBER(SEARCH("平",D2800)),OR(ISNUMBER(SEARCH("上",D2800)),ISNUMBER(SEARCH("去",D2800)),ISNUMBER(SEARCH("入",D2800)))),"Ambiguous",IF(ISNUMBER(SEARCH("平",D2800)),"平","仄")))</x:f>
        <x:v>仄</x:v>
      </x:c>
      <x:c r="L2800" s="7" t="str">
        <x:v>Xun Gong, Tang 300 gap fill</x:v>
      </x:c>
    </x:row>
    <x:row r="2801">
      <x:c r="A2801" s="5" t="str">
        <x:v>祜</x:v>
      </x:c>
      <x:c r="B2801" s="6" t="str">
        <x:v>上</x:v>
      </x:c>
      <x:c r="C2801" s="6" t="str">
        <x:f>IF(B2801="","Needs decision","Ready")</x:f>
        <x:v>Ready</x:v>
      </x:c>
      <x:c r="D2801" s="6" t="str">
        <x:v>上</x:v>
      </x:c>
      <x:c r="E2801" s="6" t="str">
        <x:v>huX (B)</x:v>
      </x:c>
      <x:c r="F2801" s="6" t="str">
        <x:v>上聲七麌</x:v>
      </x:c>
      <x:c r="G2801" s="6" t="str">
        <x:v>Pingshui main list, Wikisource-derived DOCX</x:v>
      </x:c>
      <x:c r="H2801" s="6" t="str">
        <x:v>1</x:v>
      </x:c>
      <x:c r="I2801" s="6" t="str"/>
      <x:c r="J2801" s="6" t="str">
        <x:f>IF(B2801="","",IF(AND(ISNUMBER(SEARCH("平",B2801)),OR(ISNUMBER(SEARCH("上",B2801)),ISNUMBER(SEARCH("去",B2801)),ISNUMBER(SEARCH("入",B2801)))),"Ambiguous",IF(ISNUMBER(SEARCH("平",B2801)),"平","仄")))</x:f>
        <x:v>仄</x:v>
      </x:c>
      <x:c r="K2801" s="6" t="str">
        <x:f>IF(D2801="","",IF(AND(ISNUMBER(SEARCH("平",D2801)),OR(ISNUMBER(SEARCH("上",D2801)),ISNUMBER(SEARCH("去",D2801)),ISNUMBER(SEARCH("入",D2801)))),"Ambiguous",IF(ISNUMBER(SEARCH("平",D2801)),"平","仄")))</x:f>
        <x:v>仄</x:v>
      </x:c>
      <x:c r="L2801" s="7" t="str"/>
    </x:row>
    <x:row r="2802">
      <x:c r="A2802" s="5" t="str">
        <x:v>祝</x:v>
      </x:c>
      <x:c r="B2802" s="6" t="str">
        <x:v>入</x:v>
      </x:c>
      <x:c r="C2802" s="6" t="str">
        <x:f>IF(B2802="","Needs decision","Ready")</x:f>
        <x:v>Ready</x:v>
      </x:c>
      <x:c r="D2802" s="6" t="str">
        <x:v>去/入</x:v>
      </x:c>
      <x:c r="E2802" s="6" t="str">
        <x:v>tsyuwH (C); tsyuwk (D)</x:v>
      </x:c>
      <x:c r="F2802" s="6" t="str">
        <x:v>入聲一屋</x:v>
      </x:c>
      <x:c r="G2802" s="6" t="str">
        <x:v>Pingshui main list, Wikisource-derived DOCX</x:v>
      </x:c>
      <x:c r="H2802" s="6" t="str">
        <x:v>2</x:v>
      </x:c>
      <x:c r="I2802" s="6" t="str">
        <x:v>User workbook edit 2026-09-03</x:v>
      </x:c>
      <x:c r="J2802" s="6" t="str">
        <x:f>IF(B2802="","",IF(AND(ISNUMBER(SEARCH("平",B2802)),OR(ISNUMBER(SEARCH("上",B2802)),ISNUMBER(SEARCH("去",B2802)),ISNUMBER(SEARCH("入",B2802)))),"Ambiguous",IF(ISNUMBER(SEARCH("平",B2802)),"平","仄")))</x:f>
        <x:v>仄</x:v>
      </x:c>
      <x:c r="K2802" s="6" t="str">
        <x:f>IF(D2802="","",IF(AND(ISNUMBER(SEARCH("平",D2802)),OR(ISNUMBER(SEARCH("上",D2802)),ISNUMBER(SEARCH("去",D2802)),ISNUMBER(SEARCH("入",D2802)))),"Ambiguous",IF(ISNUMBER(SEARCH("平",D2802)),"平","仄")))</x:f>
        <x:v>仄</x:v>
      </x:c>
      <x:c r="L2802" s="7" t="str">
        <x:v>manual user correction</x:v>
      </x:c>
    </x:row>
    <x:row r="2803">
      <x:c r="A2803" s="5" t="str">
        <x:v>神</x:v>
      </x:c>
      <x:c r="B2803" s="6" t="str">
        <x:v>平</x:v>
      </x:c>
      <x:c r="C2803" s="6" t="str">
        <x:f>IF(B2803="","Needs decision","Ready")</x:f>
        <x:v>Ready</x:v>
      </x:c>
      <x:c r="D2803" s="6" t="str">
        <x:v>平</x:v>
      </x:c>
      <x:c r="E2803" s="6" t="str">
        <x:v>zyin (A)</x:v>
      </x:c>
      <x:c r="F2803" s="6" t="str">
        <x:v>上平聲十一真</x:v>
      </x:c>
      <x:c r="G2803" s="6" t="str">
        <x:v>Pingshui main list, Wikisource-derived DOCX</x:v>
      </x:c>
      <x:c r="H2803" s="6" t="str">
        <x:v>1</x:v>
      </x:c>
      <x:c r="I2803" s="6" t="str"/>
      <x:c r="J2803" s="6" t="str">
        <x:f>IF(B2803="","",IF(AND(ISNUMBER(SEARCH("平",B2803)),OR(ISNUMBER(SEARCH("上",B2803)),ISNUMBER(SEARCH("去",B2803)),ISNUMBER(SEARCH("入",B2803)))),"Ambiguous",IF(ISNUMBER(SEARCH("平",B2803)),"平","仄")))</x:f>
        <x:v>平</x:v>
      </x:c>
      <x:c r="K2803" s="6" t="str">
        <x:f>IF(D2803="","",IF(AND(ISNUMBER(SEARCH("平",D2803)),OR(ISNUMBER(SEARCH("上",D2803)),ISNUMBER(SEARCH("去",D2803)),ISNUMBER(SEARCH("入",D2803)))),"Ambiguous",IF(ISNUMBER(SEARCH("平",D2803)),"平","仄")))</x:f>
        <x:v>平</x:v>
      </x:c>
      <x:c r="L2803" s="7" t="str"/>
    </x:row>
    <x:row r="2804">
      <x:c r="A2804" s="5" t="str">
        <x:v>祟</x:v>
      </x:c>
      <x:c r="B2804" s="6" t="str">
        <x:v>去</x:v>
      </x:c>
      <x:c r="C2804" s="6" t="str">
        <x:f>IF(B2804="","Needs decision","Ready")</x:f>
        <x:v>Ready</x:v>
      </x:c>
      <x:c r="D2804" s="6" t="str">
        <x:v>去</x:v>
      </x:c>
      <x:c r="E2804" s="6" t="str">
        <x:v>swijH (C)</x:v>
      </x:c>
      <x:c r="F2804" s="6" t="str">
        <x:v>去聲四寘</x:v>
      </x:c>
      <x:c r="G2804" s="6" t="str">
        <x:v>Pingshui main list, Wikisource-derived DOCX</x:v>
      </x:c>
      <x:c r="H2804" s="6" t="str">
        <x:v>1</x:v>
      </x:c>
      <x:c r="I2804" s="6" t="str"/>
      <x:c r="J2804" s="6" t="str">
        <x:f>IF(B2804="","",IF(AND(ISNUMBER(SEARCH("平",B2804)),OR(ISNUMBER(SEARCH("上",B2804)),ISNUMBER(SEARCH("去",B2804)),ISNUMBER(SEARCH("入",B2804)))),"Ambiguous",IF(ISNUMBER(SEARCH("平",B2804)),"平","仄")))</x:f>
        <x:v>仄</x:v>
      </x:c>
      <x:c r="K2804" s="6" t="str">
        <x:f>IF(D2804="","",IF(AND(ISNUMBER(SEARCH("平",D2804)),OR(ISNUMBER(SEARCH("上",D2804)),ISNUMBER(SEARCH("去",D2804)),ISNUMBER(SEARCH("入",D2804)))),"Ambiguous",IF(ISNUMBER(SEARCH("平",D2804)),"平","仄")))</x:f>
        <x:v>仄</x:v>
      </x:c>
      <x:c r="L2804" s="7" t="str"/>
    </x:row>
    <x:row r="2805">
      <x:c r="A2805" s="5" t="str">
        <x:v>祠</x:v>
      </x:c>
      <x:c r="B2805" s="6" t="str">
        <x:v>平</x:v>
      </x:c>
      <x:c r="C2805" s="6" t="str">
        <x:f>IF(B2805="","Needs decision","Ready")</x:f>
        <x:v>Ready</x:v>
      </x:c>
      <x:c r="D2805" s="6" t="str">
        <x:v>平</x:v>
      </x:c>
      <x:c r="E2805" s="6" t="str">
        <x:v>zi (A)</x:v>
      </x:c>
      <x:c r="F2805" s="6" t="str"/>
      <x:c r="G2805" s="6" t="str"/>
      <x:c r="H2805" s="6" t="str">
        <x:v>1</x:v>
      </x:c>
      <x:c r="I2805" s="6" t="str"/>
      <x:c r="J2805" s="6" t="str">
        <x:f>IF(B2805="","",IF(AND(ISNUMBER(SEARCH("平",B2805)),OR(ISNUMBER(SEARCH("上",B2805)),ISNUMBER(SEARCH("去",B2805)),ISNUMBER(SEARCH("入",B2805)))),"Ambiguous",IF(ISNUMBER(SEARCH("平",B2805)),"平","仄")))</x:f>
        <x:v>平</x:v>
      </x:c>
      <x:c r="K2805" s="6" t="str">
        <x:f>IF(D2805="","",IF(AND(ISNUMBER(SEARCH("平",D2805)),OR(ISNUMBER(SEARCH("上",D2805)),ISNUMBER(SEARCH("去",D2805)),ISNUMBER(SEARCH("入",D2805)))),"Ambiguous",IF(ISNUMBER(SEARCH("平",D2805)),"平","仄")))</x:f>
        <x:v>平</x:v>
      </x:c>
      <x:c r="L2805" s="7" t="str"/>
    </x:row>
    <x:row r="2806">
      <x:c r="A2806" s="5" t="str">
        <x:v>祡</x:v>
      </x:c>
      <x:c r="B2806" s="6" t="str">
        <x:v>平</x:v>
      </x:c>
      <x:c r="C2806" s="6" t="str">
        <x:f>IF(B2806="","Needs decision","Ready")</x:f>
        <x:v>Ready</x:v>
      </x:c>
      <x:c r="D2806" s="6" t="str">
        <x:v>平</x:v>
      </x:c>
      <x:c r="E2806" s="6" t="str">
        <x:v>dzrea (A)</x:v>
      </x:c>
      <x:c r="F2806" s="6" t="str"/>
      <x:c r="G2806" s="6" t="str"/>
      <x:c r="H2806" s="6" t="str">
        <x:v>1</x:v>
      </x:c>
      <x:c r="I2806" s="6" t="str"/>
      <x:c r="J2806" s="6" t="str">
        <x:f>IF(B2806="","",IF(AND(ISNUMBER(SEARCH("平",B2806)),OR(ISNUMBER(SEARCH("上",B2806)),ISNUMBER(SEARCH("去",B2806)),ISNUMBER(SEARCH("入",B2806)))),"Ambiguous",IF(ISNUMBER(SEARCH("平",B2806)),"平","仄")))</x:f>
        <x:v>平</x:v>
      </x:c>
      <x:c r="K2806" s="6" t="str">
        <x:f>IF(D2806="","",IF(AND(ISNUMBER(SEARCH("平",D2806)),OR(ISNUMBER(SEARCH("上",D2806)),ISNUMBER(SEARCH("去",D2806)),ISNUMBER(SEARCH("入",D2806)))),"Ambiguous",IF(ISNUMBER(SEARCH("平",D2806)),"平","仄")))</x:f>
        <x:v>平</x:v>
      </x:c>
      <x:c r="L2806" s="7" t="str"/>
    </x:row>
    <x:row r="2807">
      <x:c r="A2807" s="5" t="str">
        <x:v>祥</x:v>
      </x:c>
      <x:c r="B2807" s="6" t="str">
        <x:v>平</x:v>
      </x:c>
      <x:c r="C2807" s="6" t="str">
        <x:f>IF(B2807="","Needs decision","Ready")</x:f>
        <x:v>Ready</x:v>
      </x:c>
      <x:c r="D2807" s="6" t="str">
        <x:v>平</x:v>
      </x:c>
      <x:c r="E2807" s="6" t="str">
        <x:v>zjang (A)</x:v>
      </x:c>
      <x:c r="F2807" s="6" t="str">
        <x:v>下平聲七陽</x:v>
      </x:c>
      <x:c r="G2807" s="6" t="str">
        <x:v>Pingshui main list, Wikisource-derived DOCX</x:v>
      </x:c>
      <x:c r="H2807" s="6" t="str">
        <x:v>1</x:v>
      </x:c>
      <x:c r="I2807" s="6" t="str"/>
      <x:c r="J2807" s="6" t="str">
        <x:f>IF(B2807="","",IF(AND(ISNUMBER(SEARCH("平",B2807)),OR(ISNUMBER(SEARCH("上",B2807)),ISNUMBER(SEARCH("去",B2807)),ISNUMBER(SEARCH("入",B2807)))),"Ambiguous",IF(ISNUMBER(SEARCH("平",B2807)),"平","仄")))</x:f>
        <x:v>平</x:v>
      </x:c>
      <x:c r="K2807" s="6" t="str">
        <x:f>IF(D2807="","",IF(AND(ISNUMBER(SEARCH("平",D2807)),OR(ISNUMBER(SEARCH("上",D2807)),ISNUMBER(SEARCH("去",D2807)),ISNUMBER(SEARCH("入",D2807)))),"Ambiguous",IF(ISNUMBER(SEARCH("平",D2807)),"平","仄")))</x:f>
        <x:v>平</x:v>
      </x:c>
      <x:c r="L2807" s="7" t="str"/>
    </x:row>
    <x:row r="2808">
      <x:c r="A2808" s="5" t="str">
        <x:v>祧</x:v>
      </x:c>
      <x:c r="B2808" s="6" t="str">
        <x:v>平</x:v>
      </x:c>
      <x:c r="C2808" s="6" t="str">
        <x:f>IF(B2808="","Needs decision","Ready")</x:f>
        <x:v>Ready</x:v>
      </x:c>
      <x:c r="D2808" s="6" t="str">
        <x:v>平</x:v>
      </x:c>
      <x:c r="E2808" s="6" t="str"/>
      <x:c r="F2808" s="6" t="str">
        <x:v>下平聲二蕭</x:v>
      </x:c>
      <x:c r="G2808" s="6" t="str">
        <x:v>Pingshui main list, Wikisource-derived DOCX</x:v>
      </x:c>
      <x:c r="H2808" s="6" t="str">
        <x:v>0</x:v>
      </x:c>
      <x:c r="I2808" s="6" t="str">
        <x:v>User correction 2026-09-08; added manually</x:v>
      </x:c>
      <x:c r="J2808" s="6" t="str">
        <x:f>IF(B2808="","",IF(AND(ISNUMBER(SEARCH("平",B2808)),OR(ISNUMBER(SEARCH("上",B2808)),ISNUMBER(SEARCH("去",B2808)),ISNUMBER(SEARCH("入",B2808)))),"Ambiguous",IF(ISNUMBER(SEARCH("平",B2808)),"平","仄")))</x:f>
        <x:v>平</x:v>
      </x:c>
      <x:c r="K2808" s="6" t="str">
        <x:f>IF(D2808="","",IF(AND(ISNUMBER(SEARCH("平",D2808)),OR(ISNUMBER(SEARCH("上",D2808)),ISNUMBER(SEARCH("去",D2808)),ISNUMBER(SEARCH("入",D2808)))),"Ambiguous",IF(ISNUMBER(SEARCH("平",D2808)),"平","仄")))</x:f>
        <x:v>平</x:v>
      </x:c>
      <x:c r="L2808" s="7" t="str">
        <x:v>User correction</x:v>
      </x:c>
    </x:row>
    <x:row r="2809">
      <x:c r="A2809" s="5" t="str">
        <x:v>票</x:v>
      </x:c>
      <x:c r="B2809" s="6" t="str">
        <x:v>平</x:v>
      </x:c>
      <x:c r="C2809" s="6" t="str">
        <x:f>IF(B2809="","Needs decision","Ready")</x:f>
        <x:v>Ready</x:v>
      </x:c>
      <x:c r="D2809" s="6" t="str">
        <x:v>平</x:v>
      </x:c>
      <x:c r="E2809" s="6" t="str">
        <x:v>phjiew (A)</x:v>
      </x:c>
      <x:c r="F2809" s="6" t="str"/>
      <x:c r="G2809" s="6" t="str"/>
      <x:c r="H2809" s="6" t="str">
        <x:v>1</x:v>
      </x:c>
      <x:c r="I2809" s="6" t="str"/>
      <x:c r="J2809" s="6" t="str">
        <x:f>IF(B2809="","",IF(AND(ISNUMBER(SEARCH("平",B2809)),OR(ISNUMBER(SEARCH("上",B2809)),ISNUMBER(SEARCH("去",B2809)),ISNUMBER(SEARCH("入",B2809)))),"Ambiguous",IF(ISNUMBER(SEARCH("平",B2809)),"平","仄")))</x:f>
        <x:v>平</x:v>
      </x:c>
      <x:c r="K2809" s="6" t="str">
        <x:f>IF(D2809="","",IF(AND(ISNUMBER(SEARCH("平",D2809)),OR(ISNUMBER(SEARCH("上",D2809)),ISNUMBER(SEARCH("去",D2809)),ISNUMBER(SEARCH("入",D2809)))),"Ambiguous",IF(ISNUMBER(SEARCH("平",D2809)),"平","仄")))</x:f>
        <x:v>平</x:v>
      </x:c>
      <x:c r="L2809" s="7" t="str"/>
    </x:row>
    <x:row r="2810">
      <x:c r="A2810" s="5" t="str">
        <x:v>祭</x:v>
      </x:c>
      <x:c r="B2810" s="6" t="str">
        <x:v>去</x:v>
      </x:c>
      <x:c r="C2810" s="6" t="str">
        <x:f>IF(B2810="","Needs decision","Ready")</x:f>
        <x:v>Ready</x:v>
      </x:c>
      <x:c r="D2810" s="6" t="str">
        <x:v>去</x:v>
      </x:c>
      <x:c r="E2810" s="6" t="str">
        <x:v>tsjejH (C); tsreajH (C)</x:v>
      </x:c>
      <x:c r="F2810" s="6" t="str">
        <x:v>去聲八霽; 去聲十卦</x:v>
      </x:c>
      <x:c r="G2810" s="6" t="str">
        <x:v>Pingshui main list, Wikisource-derived DOCX</x:v>
      </x:c>
      <x:c r="H2810" s="6" t="str">
        <x:v>2</x:v>
      </x:c>
      <x:c r="I2810" s="6" t="str"/>
      <x:c r="J2810" s="6" t="str">
        <x:f>IF(B2810="","",IF(AND(ISNUMBER(SEARCH("平",B2810)),OR(ISNUMBER(SEARCH("上",B2810)),ISNUMBER(SEARCH("去",B2810)),ISNUMBER(SEARCH("入",B2810)))),"Ambiguous",IF(ISNUMBER(SEARCH("平",B2810)),"平","仄")))</x:f>
        <x:v>仄</x:v>
      </x:c>
      <x:c r="K2810" s="6" t="str">
        <x:f>IF(D2810="","",IF(AND(ISNUMBER(SEARCH("平",D2810)),OR(ISNUMBER(SEARCH("上",D2810)),ISNUMBER(SEARCH("去",D2810)),ISNUMBER(SEARCH("入",D2810)))),"Ambiguous",IF(ISNUMBER(SEARCH("平",D2810)),"平","仄")))</x:f>
        <x:v>仄</x:v>
      </x:c>
      <x:c r="L2810" s="7" t="str"/>
    </x:row>
    <x:row r="2811">
      <x:c r="A2811" s="5" t="str">
        <x:v>祼</x:v>
      </x:c>
      <x:c r="B2811" s="6" t="str">
        <x:v>去</x:v>
      </x:c>
      <x:c r="C2811" s="6" t="str">
        <x:f>IF(B2811="","Needs decision","Ready")</x:f>
        <x:v>Ready</x:v>
      </x:c>
      <x:c r="D2811" s="6" t="str">
        <x:v>去</x:v>
      </x:c>
      <x:c r="E2811" s="6" t="str">
        <x:v>kwanH (C)</x:v>
      </x:c>
      <x:c r="F2811" s="6" t="str">
        <x:v>去聲十五翰</x:v>
      </x:c>
      <x:c r="G2811" s="6" t="str">
        <x:v>Pingshui main list, Wikisource-derived DOCX</x:v>
      </x:c>
      <x:c r="H2811" s="6" t="str">
        <x:v>1</x:v>
      </x:c>
      <x:c r="I2811" s="6" t="str"/>
      <x:c r="J2811" s="6" t="str">
        <x:f>IF(B2811="","",IF(AND(ISNUMBER(SEARCH("平",B2811)),OR(ISNUMBER(SEARCH("上",B2811)),ISNUMBER(SEARCH("去",B2811)),ISNUMBER(SEARCH("入",B2811)))),"Ambiguous",IF(ISNUMBER(SEARCH("平",B2811)),"平","仄")))</x:f>
        <x:v>仄</x:v>
      </x:c>
      <x:c r="K2811" s="6" t="str">
        <x:f>IF(D2811="","",IF(AND(ISNUMBER(SEARCH("平",D2811)),OR(ISNUMBER(SEARCH("上",D2811)),ISNUMBER(SEARCH("去",D2811)),ISNUMBER(SEARCH("入",D2811)))),"Ambiguous",IF(ISNUMBER(SEARCH("平",D2811)),"平","仄")))</x:f>
        <x:v>仄</x:v>
      </x:c>
      <x:c r="L2811" s="7" t="str"/>
    </x:row>
    <x:row r="2812">
      <x:c r="A2812" s="5" t="str">
        <x:v>祿</x:v>
      </x:c>
      <x:c r="B2812" s="6" t="str">
        <x:v>入</x:v>
      </x:c>
      <x:c r="C2812" s="6" t="str">
        <x:f>IF(B2812="","Needs decision","Ready")</x:f>
        <x:v>Ready</x:v>
      </x:c>
      <x:c r="D2812" s="6" t="str">
        <x:v>入</x:v>
      </x:c>
      <x:c r="E2812" s="6" t="str">
        <x:v>luwk (D)</x:v>
      </x:c>
      <x:c r="F2812" s="6" t="str">
        <x:v>入聲一屋</x:v>
      </x:c>
      <x:c r="G2812" s="6" t="str">
        <x:v>Pingshui main list, Wikisource-derived DOCX</x:v>
      </x:c>
      <x:c r="H2812" s="6" t="str">
        <x:v>1</x:v>
      </x:c>
      <x:c r="I2812" s="6" t="str"/>
      <x:c r="J2812" s="6" t="str">
        <x:f>IF(B2812="","",IF(AND(ISNUMBER(SEARCH("平",B2812)),OR(ISNUMBER(SEARCH("上",B2812)),ISNUMBER(SEARCH("去",B2812)),ISNUMBER(SEARCH("入",B2812)))),"Ambiguous",IF(ISNUMBER(SEARCH("平",B2812)),"平","仄")))</x:f>
        <x:v>仄</x:v>
      </x:c>
      <x:c r="K2812" s="6" t="str">
        <x:f>IF(D2812="","",IF(AND(ISNUMBER(SEARCH("平",D2812)),OR(ISNUMBER(SEARCH("上",D2812)),ISNUMBER(SEARCH("去",D2812)),ISNUMBER(SEARCH("入",D2812)))),"Ambiguous",IF(ISNUMBER(SEARCH("平",D2812)),"平","仄")))</x:f>
        <x:v>仄</x:v>
      </x:c>
      <x:c r="L2812" s="7" t="str"/>
    </x:row>
    <x:row r="2813">
      <x:c r="A2813" s="5" t="str">
        <x:v>禀</x:v>
      </x:c>
      <x:c r="B2813" s="6" t="str">
        <x:v>上</x:v>
      </x:c>
      <x:c r="C2813" s="6" t="str">
        <x:f>IF(B2813="","Needs decision","Ready")</x:f>
        <x:v>Ready</x:v>
      </x:c>
      <x:c r="D2813" s="6" t="str">
        <x:v>上</x:v>
      </x:c>
      <x:c r="E2813" s="6" t="str">
        <x:v>limX (B); pimX (B)</x:v>
      </x:c>
      <x:c r="F2813" s="6" t="str"/>
      <x:c r="G2813" s="6" t="str"/>
      <x:c r="H2813" s="6" t="str">
        <x:v>2</x:v>
      </x:c>
      <x:c r="I2813" s="6" t="str"/>
      <x:c r="J2813" s="6" t="str">
        <x:f>IF(B2813="","",IF(AND(ISNUMBER(SEARCH("平",B2813)),OR(ISNUMBER(SEARCH("上",B2813)),ISNUMBER(SEARCH("去",B2813)),ISNUMBER(SEARCH("入",B2813)))),"Ambiguous",IF(ISNUMBER(SEARCH("平",B2813)),"平","仄")))</x:f>
        <x:v>仄</x:v>
      </x:c>
      <x:c r="K2813" s="6" t="str">
        <x:f>IF(D2813="","",IF(AND(ISNUMBER(SEARCH("平",D2813)),OR(ISNUMBER(SEARCH("上",D2813)),ISNUMBER(SEARCH("去",D2813)),ISNUMBER(SEARCH("入",D2813)))),"Ambiguous",IF(ISNUMBER(SEARCH("平",D2813)),"平","仄")))</x:f>
        <x:v>仄</x:v>
      </x:c>
      <x:c r="L2813" s="7" t="str"/>
    </x:row>
    <x:row r="2814">
      <x:c r="A2814" s="5" t="str">
        <x:v>禁</x:v>
      </x:c>
      <x:c r="B2814" s="6" t="str">
        <x:v>去</x:v>
      </x:c>
      <x:c r="C2814" s="6" t="str">
        <x:f>IF(B2814="","Needs decision","Ready")</x:f>
        <x:v>Ready</x:v>
      </x:c>
      <x:c r="D2814" s="6" t="str">
        <x:v>去</x:v>
      </x:c>
      <x:c r="E2814" s="6" t="str">
        <x:v>kimH (C)</x:v>
      </x:c>
      <x:c r="F2814" s="6" t="str">
        <x:v>下平聲十二侵; 去聲二十七沁</x:v>
      </x:c>
      <x:c r="G2814" s="6" t="str">
        <x:v>Pingshui main list, Wikisource-derived DOCX</x:v>
      </x:c>
      <x:c r="H2814" s="6" t="str">
        <x:v>1</x:v>
      </x:c>
      <x:c r="I2814" s="6" t="str"/>
      <x:c r="J2814" s="6" t="str">
        <x:f>IF(B2814="","",IF(AND(ISNUMBER(SEARCH("平",B2814)),OR(ISNUMBER(SEARCH("上",B2814)),ISNUMBER(SEARCH("去",B2814)),ISNUMBER(SEARCH("入",B2814)))),"Ambiguous",IF(ISNUMBER(SEARCH("平",B2814)),"平","仄")))</x:f>
        <x:v>仄</x:v>
      </x:c>
      <x:c r="K2814" s="6" t="str">
        <x:f>IF(D2814="","",IF(AND(ISNUMBER(SEARCH("平",D2814)),OR(ISNUMBER(SEARCH("上",D2814)),ISNUMBER(SEARCH("去",D2814)),ISNUMBER(SEARCH("入",D2814)))),"Ambiguous",IF(ISNUMBER(SEARCH("平",D2814)),"平","仄")))</x:f>
        <x:v>仄</x:v>
      </x:c>
      <x:c r="L2814" s="7" t="str"/>
    </x:row>
    <x:row r="2815">
      <x:c r="A2815" s="5" t="str">
        <x:v>禋</x:v>
      </x:c>
      <x:c r="B2815" s="6" t="str">
        <x:v>平</x:v>
      </x:c>
      <x:c r="C2815" s="6" t="str">
        <x:f>IF(B2815="","Needs decision","Ready")</x:f>
        <x:v>Ready</x:v>
      </x:c>
      <x:c r="D2815" s="6" t="str">
        <x:v>平</x:v>
      </x:c>
      <x:c r="E2815" s="6" t="str">
        <x:v>'jin (A)</x:v>
      </x:c>
      <x:c r="F2815" s="6" t="str">
        <x:v>上平聲十一真</x:v>
      </x:c>
      <x:c r="G2815" s="6" t="str">
        <x:v>Pingshui main list, Wikisource-derived DOCX</x:v>
      </x:c>
      <x:c r="H2815" s="6" t="str">
        <x:v>1</x:v>
      </x:c>
      <x:c r="I2815" s="6" t="str"/>
      <x:c r="J2815" s="6" t="str">
        <x:f>IF(B2815="","",IF(AND(ISNUMBER(SEARCH("平",B2815)),OR(ISNUMBER(SEARCH("上",B2815)),ISNUMBER(SEARCH("去",B2815)),ISNUMBER(SEARCH("入",B2815)))),"Ambiguous",IF(ISNUMBER(SEARCH("平",B2815)),"平","仄")))</x:f>
        <x:v>平</x:v>
      </x:c>
      <x:c r="K2815" s="6" t="str">
        <x:f>IF(D2815="","",IF(AND(ISNUMBER(SEARCH("平",D2815)),OR(ISNUMBER(SEARCH("上",D2815)),ISNUMBER(SEARCH("去",D2815)),ISNUMBER(SEARCH("入",D2815)))),"Ambiguous",IF(ISNUMBER(SEARCH("平",D2815)),"平","仄")))</x:f>
        <x:v>平</x:v>
      </x:c>
      <x:c r="L2815" s="7" t="str"/>
    </x:row>
    <x:row r="2816">
      <x:c r="A2816" s="5" t="str">
        <x:v>禍</x:v>
      </x:c>
      <x:c r="B2816" s="6" t="str">
        <x:v>上</x:v>
      </x:c>
      <x:c r="C2816" s="6" t="str">
        <x:f>IF(B2816="","Needs decision","Ready")</x:f>
        <x:v>Ready</x:v>
      </x:c>
      <x:c r="D2816" s="6" t="str">
        <x:v>上</x:v>
      </x:c>
      <x:c r="E2816" s="6" t="str">
        <x:v>hwaX (B)</x:v>
      </x:c>
      <x:c r="F2816" s="6" t="str">
        <x:v>上聲二十哿</x:v>
      </x:c>
      <x:c r="G2816" s="6" t="str">
        <x:v>Pingshui main list, Wikisource-derived DOCX</x:v>
      </x:c>
      <x:c r="H2816" s="6" t="str">
        <x:v>1</x:v>
      </x:c>
      <x:c r="I2816" s="6" t="str"/>
      <x:c r="J2816" s="6" t="str">
        <x:f>IF(B2816="","",IF(AND(ISNUMBER(SEARCH("平",B2816)),OR(ISNUMBER(SEARCH("上",B2816)),ISNUMBER(SEARCH("去",B2816)),ISNUMBER(SEARCH("入",B2816)))),"Ambiguous",IF(ISNUMBER(SEARCH("平",B2816)),"平","仄")))</x:f>
        <x:v>仄</x:v>
      </x:c>
      <x:c r="K2816" s="6" t="str">
        <x:f>IF(D2816="","",IF(AND(ISNUMBER(SEARCH("平",D2816)),OR(ISNUMBER(SEARCH("上",D2816)),ISNUMBER(SEARCH("去",D2816)),ISNUMBER(SEARCH("入",D2816)))),"Ambiguous",IF(ISNUMBER(SEARCH("平",D2816)),"平","仄")))</x:f>
        <x:v>仄</x:v>
      </x:c>
      <x:c r="L2816" s="7" t="str"/>
    </x:row>
    <x:row r="2817">
      <x:c r="A2817" s="5" t="str">
        <x:v>禎</x:v>
      </x:c>
      <x:c r="B2817" s="6" t="str">
        <x:v>平</x:v>
      </x:c>
      <x:c r="C2817" s="6" t="str">
        <x:f>IF(B2817="","Needs decision","Ready")</x:f>
        <x:v>Ready</x:v>
      </x:c>
      <x:c r="D2817" s="6" t="str">
        <x:v>平</x:v>
      </x:c>
      <x:c r="E2817" s="6" t="str"/>
      <x:c r="F2817" s="6" t="str"/>
      <x:c r="G2817" s="6" t="str"/>
      <x:c r="H2817" s="6" t="str"/>
      <x:c r="I2817" s="6" t="str">
        <x:v>Manual user correction/addition</x:v>
      </x:c>
      <x:c r="J2817" s="6" t="str">
        <x:f>IF(B2817="","",IF(AND(ISNUMBER(SEARCH("平",B2817)),OR(ISNUMBER(SEARCH("上",B2817)),ISNUMBER(SEARCH("去",B2817)),ISNUMBER(SEARCH("入",B2817)))),"Ambiguous",IF(ISNUMBER(SEARCH("平",B2817)),"平","仄")))</x:f>
        <x:v>平</x:v>
      </x:c>
      <x:c r="K2817" s="6" t="str">
        <x:f>IF(D2817="","",IF(AND(ISNUMBER(SEARCH("平",D2817)),OR(ISNUMBER(SEARCH("上",D2817)),ISNUMBER(SEARCH("去",D2817)),ISNUMBER(SEARCH("入",D2817)))),"Ambiguous",IF(ISNUMBER(SEARCH("平",D2817)),"平","仄")))</x:f>
        <x:v>平</x:v>
      </x:c>
      <x:c r="L2817" s="7" t="str">
        <x:v>manual user correction</x:v>
      </x:c>
    </x:row>
    <x:row r="2818">
      <x:c r="A2818" s="5" t="str">
        <x:v>福</x:v>
      </x:c>
      <x:c r="B2818" s="6" t="str">
        <x:v>入</x:v>
      </x:c>
      <x:c r="C2818" s="6" t="str">
        <x:f>IF(B2818="","Needs decision","Ready")</x:f>
        <x:v>Ready</x:v>
      </x:c>
      <x:c r="D2818" s="6" t="str">
        <x:v>入</x:v>
      </x:c>
      <x:c r="E2818" s="6" t="str">
        <x:v>pjuwk (D)</x:v>
      </x:c>
      <x:c r="F2818" s="6" t="str">
        <x:v>入聲一屋</x:v>
      </x:c>
      <x:c r="G2818" s="6" t="str">
        <x:v>Pingshui main list, Wikisource-derived DOCX</x:v>
      </x:c>
      <x:c r="H2818" s="6" t="str">
        <x:v>1</x:v>
      </x:c>
      <x:c r="I2818" s="6" t="str"/>
      <x:c r="J2818" s="6" t="str">
        <x:f>IF(B2818="","",IF(AND(ISNUMBER(SEARCH("平",B2818)),OR(ISNUMBER(SEARCH("上",B2818)),ISNUMBER(SEARCH("去",B2818)),ISNUMBER(SEARCH("入",B2818)))),"Ambiguous",IF(ISNUMBER(SEARCH("平",B2818)),"平","仄")))</x:f>
        <x:v>仄</x:v>
      </x:c>
      <x:c r="K2818" s="6" t="str">
        <x:f>IF(D2818="","",IF(AND(ISNUMBER(SEARCH("平",D2818)),OR(ISNUMBER(SEARCH("上",D2818)),ISNUMBER(SEARCH("去",D2818)),ISNUMBER(SEARCH("入",D2818)))),"Ambiguous",IF(ISNUMBER(SEARCH("平",D2818)),"平","仄")))</x:f>
        <x:v>仄</x:v>
      </x:c>
      <x:c r="L2818" s="7" t="str"/>
    </x:row>
    <x:row r="2819">
      <x:c r="A2819" s="5" t="str">
        <x:v>禦</x:v>
      </x:c>
      <x:c r="B2819" s="6" t="str">
        <x:v>上</x:v>
      </x:c>
      <x:c r="C2819" s="6" t="str">
        <x:f>IF(B2819="","Needs decision","Ready")</x:f>
        <x:v>Ready</x:v>
      </x:c>
      <x:c r="D2819" s="6" t="str">
        <x:v>上</x:v>
      </x:c>
      <x:c r="E2819" s="6" t="str">
        <x:v>ngjoX (B)</x:v>
      </x:c>
      <x:c r="F2819" s="6" t="str">
        <x:v>上聲六語</x:v>
      </x:c>
      <x:c r="G2819" s="6" t="str">
        <x:v>Pingshui main list, Wikisource-derived DOCX</x:v>
      </x:c>
      <x:c r="H2819" s="6" t="str">
        <x:v>1</x:v>
      </x:c>
      <x:c r="I2819" s="6" t="str"/>
      <x:c r="J2819" s="6" t="str">
        <x:f>IF(B2819="","",IF(AND(ISNUMBER(SEARCH("平",B2819)),OR(ISNUMBER(SEARCH("上",B2819)),ISNUMBER(SEARCH("去",B2819)),ISNUMBER(SEARCH("入",B2819)))),"Ambiguous",IF(ISNUMBER(SEARCH("平",B2819)),"平","仄")))</x:f>
        <x:v>仄</x:v>
      </x:c>
      <x:c r="K2819" s="6" t="str">
        <x:f>IF(D2819="","",IF(AND(ISNUMBER(SEARCH("平",D2819)),OR(ISNUMBER(SEARCH("上",D2819)),ISNUMBER(SEARCH("去",D2819)),ISNUMBER(SEARCH("入",D2819)))),"Ambiguous",IF(ISNUMBER(SEARCH("平",D2819)),"平","仄")))</x:f>
        <x:v>仄</x:v>
      </x:c>
      <x:c r="L2819" s="7" t="str"/>
    </x:row>
    <x:row r="2820">
      <x:c r="A2820" s="5" t="str">
        <x:v>禩</x:v>
      </x:c>
      <x:c r="B2820" s="6" t="str">
        <x:v>上</x:v>
      </x:c>
      <x:c r="C2820" s="6" t="str">
        <x:f>IF(B2820="","Needs decision","Ready")</x:f>
        <x:v>Ready</x:v>
      </x:c>
      <x:c r="D2820" s="6" t="str">
        <x:v>上</x:v>
      </x:c>
      <x:c r="E2820" s="6" t="str">
        <x:v>ziX (B)</x:v>
      </x:c>
      <x:c r="F2820" s="6" t="str"/>
      <x:c r="G2820" s="6" t="str"/>
      <x:c r="H2820" s="6" t="str">
        <x:v>1</x:v>
      </x:c>
      <x:c r="I2820" s="6" t="str"/>
      <x:c r="J2820" s="6" t="str">
        <x:f>IF(B2820="","",IF(AND(ISNUMBER(SEARCH("平",B2820)),OR(ISNUMBER(SEARCH("上",B2820)),ISNUMBER(SEARCH("去",B2820)),ISNUMBER(SEARCH("入",B2820)))),"Ambiguous",IF(ISNUMBER(SEARCH("平",B2820)),"平","仄")))</x:f>
        <x:v>仄</x:v>
      </x:c>
      <x:c r="K2820" s="6" t="str">
        <x:f>IF(D2820="","",IF(AND(ISNUMBER(SEARCH("平",D2820)),OR(ISNUMBER(SEARCH("上",D2820)),ISNUMBER(SEARCH("去",D2820)),ISNUMBER(SEARCH("入",D2820)))),"Ambiguous",IF(ISNUMBER(SEARCH("平",D2820)),"平","仄")))</x:f>
        <x:v>仄</x:v>
      </x:c>
      <x:c r="L2820" s="7" t="str"/>
    </x:row>
    <x:row r="2821">
      <x:c r="A2821" s="5" t="str">
        <x:v>禪</x:v>
      </x:c>
      <x:c r="B2821" s="6" t="str">
        <x:v>去</x:v>
      </x:c>
      <x:c r="C2821" s="6" t="str">
        <x:f>IF(B2821="","Needs decision","Ready")</x:f>
        <x:v>Ready</x:v>
      </x:c>
      <x:c r="D2821" s="6" t="str">
        <x:v>去</x:v>
      </x:c>
      <x:c r="E2821" s="6" t="str">
        <x:v>dzyenH (C)</x:v>
      </x:c>
      <x:c r="F2821" s="6" t="str">
        <x:v>上平聲十四寒; 下平聲一先; 去聲十七霰</x:v>
      </x:c>
      <x:c r="G2821" s="6" t="str">
        <x:v>Pingshui main list, Wikisource-derived DOCX</x:v>
      </x:c>
      <x:c r="H2821" s="6" t="str">
        <x:v>1</x:v>
      </x:c>
      <x:c r="I2821" s="6" t="str"/>
      <x:c r="J2821" s="6" t="str">
        <x:f>IF(B2821="","",IF(AND(ISNUMBER(SEARCH("平",B2821)),OR(ISNUMBER(SEARCH("上",B2821)),ISNUMBER(SEARCH("去",B2821)),ISNUMBER(SEARCH("入",B2821)))),"Ambiguous",IF(ISNUMBER(SEARCH("平",B2821)),"平","仄")))</x:f>
        <x:v>仄</x:v>
      </x:c>
      <x:c r="K2821" s="6" t="str">
        <x:f>IF(D2821="","",IF(AND(ISNUMBER(SEARCH("平",D2821)),OR(ISNUMBER(SEARCH("上",D2821)),ISNUMBER(SEARCH("去",D2821)),ISNUMBER(SEARCH("入",D2821)))),"Ambiguous",IF(ISNUMBER(SEARCH("平",D2821)),"平","仄")))</x:f>
        <x:v>仄</x:v>
      </x:c>
      <x:c r="L2821" s="7" t="str"/>
    </x:row>
    <x:row r="2822">
      <x:c r="A2822" s="5" t="str">
        <x:v>禫</x:v>
      </x:c>
      <x:c r="B2822" s="6" t="str">
        <x:v>上</x:v>
      </x:c>
      <x:c r="C2822" s="6" t="str">
        <x:f>IF(B2822="","Needs decision","Ready")</x:f>
        <x:v>Ready</x:v>
      </x:c>
      <x:c r="D2822" s="6" t="str">
        <x:v>上</x:v>
      </x:c>
      <x:c r="E2822" s="6" t="str">
        <x:v>domX (B)</x:v>
      </x:c>
      <x:c r="F2822" s="6" t="str"/>
      <x:c r="G2822" s="6" t="str"/>
      <x:c r="H2822" s="6" t="str">
        <x:v>1</x:v>
      </x:c>
      <x:c r="I2822" s="6" t="str"/>
      <x:c r="J2822" s="6" t="str">
        <x:f>IF(B2822="","",IF(AND(ISNUMBER(SEARCH("平",B2822)),OR(ISNUMBER(SEARCH("上",B2822)),ISNUMBER(SEARCH("去",B2822)),ISNUMBER(SEARCH("入",B2822)))),"Ambiguous",IF(ISNUMBER(SEARCH("平",B2822)),"平","仄")))</x:f>
        <x:v>仄</x:v>
      </x:c>
      <x:c r="K2822" s="6" t="str">
        <x:f>IF(D2822="","",IF(AND(ISNUMBER(SEARCH("平",D2822)),OR(ISNUMBER(SEARCH("上",D2822)),ISNUMBER(SEARCH("去",D2822)),ISNUMBER(SEARCH("入",D2822)))),"Ambiguous",IF(ISNUMBER(SEARCH("平",D2822)),"平","仄")))</x:f>
        <x:v>仄</x:v>
      </x:c>
      <x:c r="L2822" s="7" t="str"/>
    </x:row>
    <x:row r="2823">
      <x:c r="A2823" s="5" t="str">
        <x:v>禮</x:v>
      </x:c>
      <x:c r="B2823" s="6" t="str">
        <x:v>上</x:v>
      </x:c>
      <x:c r="C2823" s="6" t="str">
        <x:f>IF(B2823="","Needs decision","Ready")</x:f>
        <x:v>Ready</x:v>
      </x:c>
      <x:c r="D2823" s="6" t="str">
        <x:v>上</x:v>
      </x:c>
      <x:c r="E2823" s="6" t="str">
        <x:v>lejX (B)</x:v>
      </x:c>
      <x:c r="F2823" s="6" t="str">
        <x:v>上聲八薺</x:v>
      </x:c>
      <x:c r="G2823" s="6" t="str">
        <x:v>Pingshui main list, Wikisource-derived DOCX</x:v>
      </x:c>
      <x:c r="H2823" s="6" t="str">
        <x:v>1</x:v>
      </x:c>
      <x:c r="I2823" s="6" t="str"/>
      <x:c r="J2823" s="6" t="str">
        <x:f>IF(B2823="","",IF(AND(ISNUMBER(SEARCH("平",B2823)),OR(ISNUMBER(SEARCH("上",B2823)),ISNUMBER(SEARCH("去",B2823)),ISNUMBER(SEARCH("入",B2823)))),"Ambiguous",IF(ISNUMBER(SEARCH("平",B2823)),"平","仄")))</x:f>
        <x:v>仄</x:v>
      </x:c>
      <x:c r="K2823" s="6" t="str">
        <x:f>IF(D2823="","",IF(AND(ISNUMBER(SEARCH("平",D2823)),OR(ISNUMBER(SEARCH("上",D2823)),ISNUMBER(SEARCH("去",D2823)),ISNUMBER(SEARCH("入",D2823)))),"Ambiguous",IF(ISNUMBER(SEARCH("平",D2823)),"平","仄")))</x:f>
        <x:v>仄</x:v>
      </x:c>
      <x:c r="L2823" s="7" t="str"/>
    </x:row>
    <x:row r="2824">
      <x:c r="A2824" s="5" t="str">
        <x:v>禱</x:v>
      </x:c>
      <x:c r="B2824" s="6" t="str">
        <x:v>上</x:v>
      </x:c>
      <x:c r="C2824" s="6" t="str">
        <x:f>IF(B2824="","Needs decision","Ready")</x:f>
        <x:v>Ready</x:v>
      </x:c>
      <x:c r="D2824" s="6" t="str">
        <x:v>上</x:v>
      </x:c>
      <x:c r="E2824" s="6" t="str">
        <x:v>tawX (B)</x:v>
      </x:c>
      <x:c r="F2824" s="6" t="str">
        <x:v>去聲二十號</x:v>
      </x:c>
      <x:c r="G2824" s="6" t="str">
        <x:v>Pingshui main list, Wikisource-derived DOCX</x:v>
      </x:c>
      <x:c r="H2824" s="6" t="str">
        <x:v>1</x:v>
      </x:c>
      <x:c r="I2824" s="6" t="str"/>
      <x:c r="J2824" s="6" t="str">
        <x:f>IF(B2824="","",IF(AND(ISNUMBER(SEARCH("平",B2824)),OR(ISNUMBER(SEARCH("上",B2824)),ISNUMBER(SEARCH("去",B2824)),ISNUMBER(SEARCH("入",B2824)))),"Ambiguous",IF(ISNUMBER(SEARCH("平",B2824)),"平","仄")))</x:f>
        <x:v>仄</x:v>
      </x:c>
      <x:c r="K2824" s="6" t="str">
        <x:f>IF(D2824="","",IF(AND(ISNUMBER(SEARCH("平",D2824)),OR(ISNUMBER(SEARCH("上",D2824)),ISNUMBER(SEARCH("去",D2824)),ISNUMBER(SEARCH("入",D2824)))),"Ambiguous",IF(ISNUMBER(SEARCH("平",D2824)),"平","仄")))</x:f>
        <x:v>仄</x:v>
      </x:c>
      <x:c r="L2824" s="7" t="str"/>
    </x:row>
    <x:row r="2825">
      <x:c r="A2825" s="5" t="str">
        <x:v>禹</x:v>
      </x:c>
      <x:c r="B2825" s="6" t="str">
        <x:v>上</x:v>
      </x:c>
      <x:c r="C2825" s="6" t="str">
        <x:f>IF(B2825="","Needs decision","Ready")</x:f>
        <x:v>Ready</x:v>
      </x:c>
      <x:c r="D2825" s="6" t="str">
        <x:v>上</x:v>
      </x:c>
      <x:c r="E2825" s="6" t="str">
        <x:v>hjuX (B)</x:v>
      </x:c>
      <x:c r="F2825" s="6" t="str">
        <x:v>上聲七麌</x:v>
      </x:c>
      <x:c r="G2825" s="6" t="str">
        <x:v>Pingshui main list, Wikisource-derived DOCX</x:v>
      </x:c>
      <x:c r="H2825" s="6" t="str">
        <x:v>1</x:v>
      </x:c>
      <x:c r="I2825" s="6" t="str"/>
      <x:c r="J2825" s="6" t="str">
        <x:f>IF(B2825="","",IF(AND(ISNUMBER(SEARCH("平",B2825)),OR(ISNUMBER(SEARCH("上",B2825)),ISNUMBER(SEARCH("去",B2825)),ISNUMBER(SEARCH("入",B2825)))),"Ambiguous",IF(ISNUMBER(SEARCH("平",B2825)),"平","仄")))</x:f>
        <x:v>仄</x:v>
      </x:c>
      <x:c r="K2825" s="6" t="str">
        <x:f>IF(D2825="","",IF(AND(ISNUMBER(SEARCH("平",D2825)),OR(ISNUMBER(SEARCH("上",D2825)),ISNUMBER(SEARCH("去",D2825)),ISNUMBER(SEARCH("入",D2825)))),"Ambiguous",IF(ISNUMBER(SEARCH("平",D2825)),"平","仄")))</x:f>
        <x:v>仄</x:v>
      </x:c>
      <x:c r="L2825" s="7" t="str"/>
    </x:row>
    <x:row r="2826">
      <x:c r="A2826" s="5" t="str">
        <x:v>离</x:v>
      </x:c>
      <x:c r="B2826" s="6" t="str">
        <x:v>平</x:v>
      </x:c>
      <x:c r="C2826" s="6" t="str">
        <x:f>IF(B2826="","Needs decision","Ready")</x:f>
        <x:v>Ready</x:v>
      </x:c>
      <x:c r="D2826" s="6" t="str">
        <x:v>平</x:v>
      </x:c>
      <x:c r="E2826" s="6" t="str">
        <x:v>trhje (A)</x:v>
      </x:c>
      <x:c r="F2826" s="6" t="str"/>
      <x:c r="G2826" s="6" t="str"/>
      <x:c r="H2826" s="6" t="str">
        <x:v>1</x:v>
      </x:c>
      <x:c r="I2826" s="6" t="str"/>
      <x:c r="J2826" s="6" t="str">
        <x:f>IF(B2826="","",IF(AND(ISNUMBER(SEARCH("平",B2826)),OR(ISNUMBER(SEARCH("上",B2826)),ISNUMBER(SEARCH("去",B2826)),ISNUMBER(SEARCH("入",B2826)))),"Ambiguous",IF(ISNUMBER(SEARCH("平",B2826)),"平","仄")))</x:f>
        <x:v>平</x:v>
      </x:c>
      <x:c r="K2826" s="6" t="str">
        <x:f>IF(D2826="","",IF(AND(ISNUMBER(SEARCH("平",D2826)),OR(ISNUMBER(SEARCH("上",D2826)),ISNUMBER(SEARCH("去",D2826)),ISNUMBER(SEARCH("入",D2826)))),"Ambiguous",IF(ISNUMBER(SEARCH("平",D2826)),"平","仄")))</x:f>
        <x:v>平</x:v>
      </x:c>
      <x:c r="L2826" s="7" t="str"/>
    </x:row>
    <x:row r="2827">
      <x:c r="A2827" s="5" t="str">
        <x:v>禽</x:v>
      </x:c>
      <x:c r="B2827" s="6" t="str">
        <x:v>平</x:v>
      </x:c>
      <x:c r="C2827" s="6" t="str">
        <x:f>IF(B2827="","Needs decision","Ready")</x:f>
        <x:v>Ready</x:v>
      </x:c>
      <x:c r="D2827" s="6" t="str">
        <x:v>平</x:v>
      </x:c>
      <x:c r="E2827" s="6" t="str">
        <x:v>gim (A)</x:v>
      </x:c>
      <x:c r="F2827" s="6" t="str">
        <x:v>下平聲十二侵</x:v>
      </x:c>
      <x:c r="G2827" s="6" t="str">
        <x:v>Pingshui main list, Wikisource-derived DOCX</x:v>
      </x:c>
      <x:c r="H2827" s="6" t="str">
        <x:v>1</x:v>
      </x:c>
      <x:c r="I2827" s="6" t="str"/>
      <x:c r="J2827" s="6" t="str">
        <x:f>IF(B2827="","",IF(AND(ISNUMBER(SEARCH("平",B2827)),OR(ISNUMBER(SEARCH("上",B2827)),ISNUMBER(SEARCH("去",B2827)),ISNUMBER(SEARCH("入",B2827)))),"Ambiguous",IF(ISNUMBER(SEARCH("平",B2827)),"平","仄")))</x:f>
        <x:v>平</x:v>
      </x:c>
      <x:c r="K2827" s="6" t="str">
        <x:f>IF(D2827="","",IF(AND(ISNUMBER(SEARCH("平",D2827)),OR(ISNUMBER(SEARCH("上",D2827)),ISNUMBER(SEARCH("去",D2827)),ISNUMBER(SEARCH("入",D2827)))),"Ambiguous",IF(ISNUMBER(SEARCH("平",D2827)),"平","仄")))</x:f>
        <x:v>平</x:v>
      </x:c>
      <x:c r="L2827" s="7" t="str"/>
    </x:row>
    <x:row r="2828">
      <x:c r="A2828" s="5" t="str">
        <x:v>禾</x:v>
      </x:c>
      <x:c r="B2828" s="6" t="str">
        <x:v>平</x:v>
      </x:c>
      <x:c r="C2828" s="6" t="str">
        <x:f>IF(B2828="","Needs decision","Ready")</x:f>
        <x:v>Ready</x:v>
      </x:c>
      <x:c r="D2828" s="6" t="str">
        <x:v>平</x:v>
      </x:c>
      <x:c r="E2828" s="6" t="str">
        <x:v>hwa (A)</x:v>
      </x:c>
      <x:c r="F2828" s="6" t="str">
        <x:v>下平聲五歌</x:v>
      </x:c>
      <x:c r="G2828" s="6" t="str">
        <x:v>Pingshui main list, Wikisource-derived DOCX</x:v>
      </x:c>
      <x:c r="H2828" s="6" t="str">
        <x:v>1</x:v>
      </x:c>
      <x:c r="I2828" s="6" t="str"/>
      <x:c r="J2828" s="6" t="str">
        <x:f>IF(B2828="","",IF(AND(ISNUMBER(SEARCH("平",B2828)),OR(ISNUMBER(SEARCH("上",B2828)),ISNUMBER(SEARCH("去",B2828)),ISNUMBER(SEARCH("入",B2828)))),"Ambiguous",IF(ISNUMBER(SEARCH("平",B2828)),"平","仄")))</x:f>
        <x:v>平</x:v>
      </x:c>
      <x:c r="K2828" s="6" t="str">
        <x:f>IF(D2828="","",IF(AND(ISNUMBER(SEARCH("平",D2828)),OR(ISNUMBER(SEARCH("上",D2828)),ISNUMBER(SEARCH("去",D2828)),ISNUMBER(SEARCH("入",D2828)))),"Ambiguous",IF(ISNUMBER(SEARCH("平",D2828)),"平","仄")))</x:f>
        <x:v>平</x:v>
      </x:c>
      <x:c r="L2828" s="7" t="str"/>
    </x:row>
    <x:row r="2829">
      <x:c r="A2829" s="5" t="str">
        <x:v>禿</x:v>
      </x:c>
      <x:c r="B2829" s="6" t="str">
        <x:v>入</x:v>
      </x:c>
      <x:c r="C2829" s="6" t="str">
        <x:f>IF(B2829="","Needs decision","Ready")</x:f>
        <x:v>Ready</x:v>
      </x:c>
      <x:c r="D2829" s="6" t="str">
        <x:v>入</x:v>
      </x:c>
      <x:c r="E2829" s="6" t="str">
        <x:v>thuwk (D)</x:v>
      </x:c>
      <x:c r="F2829" s="6" t="str">
        <x:v>入聲一屋</x:v>
      </x:c>
      <x:c r="G2829" s="6" t="str">
        <x:v>Pingshui main list, Wikisource-derived DOCX</x:v>
      </x:c>
      <x:c r="H2829" s="6" t="str">
        <x:v>1</x:v>
      </x:c>
      <x:c r="I2829" s="6" t="str"/>
      <x:c r="J2829" s="6" t="str">
        <x:f>IF(B2829="","",IF(AND(ISNUMBER(SEARCH("平",B2829)),OR(ISNUMBER(SEARCH("上",B2829)),ISNUMBER(SEARCH("去",B2829)),ISNUMBER(SEARCH("入",B2829)))),"Ambiguous",IF(ISNUMBER(SEARCH("平",B2829)),"平","仄")))</x:f>
        <x:v>仄</x:v>
      </x:c>
      <x:c r="K2829" s="6" t="str">
        <x:f>IF(D2829="","",IF(AND(ISNUMBER(SEARCH("平",D2829)),OR(ISNUMBER(SEARCH("上",D2829)),ISNUMBER(SEARCH("去",D2829)),ISNUMBER(SEARCH("入",D2829)))),"Ambiguous",IF(ISNUMBER(SEARCH("平",D2829)),"平","仄")))</x:f>
        <x:v>仄</x:v>
      </x:c>
      <x:c r="L2829" s="7" t="str"/>
    </x:row>
    <x:row r="2830">
      <x:c r="A2830" s="5" t="str">
        <x:v>秀</x:v>
      </x:c>
      <x:c r="B2830" s="6" t="str">
        <x:v>去</x:v>
      </x:c>
      <x:c r="C2830" s="6" t="str">
        <x:f>IF(B2830="","Needs decision","Ready")</x:f>
        <x:v>Ready</x:v>
      </x:c>
      <x:c r="D2830" s="6" t="str">
        <x:v>去</x:v>
      </x:c>
      <x:c r="E2830" s="6" t="str">
        <x:v>sjuwH (C)</x:v>
      </x:c>
      <x:c r="F2830" s="6" t="str">
        <x:v>去聲二十六宥</x:v>
      </x:c>
      <x:c r="G2830" s="6" t="str">
        <x:v>Pingshui main list, Wikisource-derived DOCX</x:v>
      </x:c>
      <x:c r="H2830" s="6" t="str">
        <x:v>1</x:v>
      </x:c>
      <x:c r="I2830" s="6" t="str"/>
      <x:c r="J2830" s="6" t="str">
        <x:f>IF(B2830="","",IF(AND(ISNUMBER(SEARCH("平",B2830)),OR(ISNUMBER(SEARCH("上",B2830)),ISNUMBER(SEARCH("去",B2830)),ISNUMBER(SEARCH("入",B2830)))),"Ambiguous",IF(ISNUMBER(SEARCH("平",B2830)),"平","仄")))</x:f>
        <x:v>仄</x:v>
      </x:c>
      <x:c r="K2830" s="6" t="str">
        <x:f>IF(D2830="","",IF(AND(ISNUMBER(SEARCH("平",D2830)),OR(ISNUMBER(SEARCH("上",D2830)),ISNUMBER(SEARCH("去",D2830)),ISNUMBER(SEARCH("入",D2830)))),"Ambiguous",IF(ISNUMBER(SEARCH("平",D2830)),"平","仄")))</x:f>
        <x:v>仄</x:v>
      </x:c>
      <x:c r="L2830" s="7" t="str"/>
    </x:row>
    <x:row r="2831">
      <x:c r="A2831" s="5" t="str">
        <x:v>私</x:v>
      </x:c>
      <x:c r="B2831" s="6" t="str">
        <x:v>平</x:v>
      </x:c>
      <x:c r="C2831" s="6" t="str">
        <x:f>IF(B2831="","Needs decision","Ready")</x:f>
        <x:v>Ready</x:v>
      </x:c>
      <x:c r="D2831" s="6" t="str">
        <x:v>平</x:v>
      </x:c>
      <x:c r="E2831" s="6" t="str">
        <x:v>sij (A)</x:v>
      </x:c>
      <x:c r="F2831" s="6" t="str">
        <x:v>上平聲四支</x:v>
      </x:c>
      <x:c r="G2831" s="6" t="str">
        <x:v>Pingshui main list, Wikisource-derived DOCX</x:v>
      </x:c>
      <x:c r="H2831" s="6" t="str">
        <x:v>1</x:v>
      </x:c>
      <x:c r="I2831" s="6" t="str"/>
      <x:c r="J2831" s="6" t="str">
        <x:f>IF(B2831="","",IF(AND(ISNUMBER(SEARCH("平",B2831)),OR(ISNUMBER(SEARCH("上",B2831)),ISNUMBER(SEARCH("去",B2831)),ISNUMBER(SEARCH("入",B2831)))),"Ambiguous",IF(ISNUMBER(SEARCH("平",B2831)),"平","仄")))</x:f>
        <x:v>平</x:v>
      </x:c>
      <x:c r="K2831" s="6" t="str">
        <x:f>IF(D2831="","",IF(AND(ISNUMBER(SEARCH("平",D2831)),OR(ISNUMBER(SEARCH("上",D2831)),ISNUMBER(SEARCH("去",D2831)),ISNUMBER(SEARCH("入",D2831)))),"Ambiguous",IF(ISNUMBER(SEARCH("平",D2831)),"平","仄")))</x:f>
        <x:v>平</x:v>
      </x:c>
      <x:c r="L2831" s="7" t="str"/>
    </x:row>
    <x:row r="2832">
      <x:c r="A2832" s="5" t="str">
        <x:v>秅</x:v>
      </x:c>
      <x:c r="B2832" s="6" t="str">
        <x:v>平</x:v>
      </x:c>
      <x:c r="C2832" s="6" t="str">
        <x:f>IF(B2832="","Needs decision","Ready")</x:f>
        <x:v>Ready</x:v>
      </x:c>
      <x:c r="D2832" s="6" t="str">
        <x:v>平</x:v>
      </x:c>
      <x:c r="E2832" s="6" t="str">
        <x:v>drae (A)</x:v>
      </x:c>
      <x:c r="F2832" s="6" t="str">
        <x:v>下平聲六麻; 去聲七遇</x:v>
      </x:c>
      <x:c r="G2832" s="6" t="str">
        <x:v>Pingshui main list, Wikisource-derived DOCX</x:v>
      </x:c>
      <x:c r="H2832" s="6" t="str">
        <x:v>1</x:v>
      </x:c>
      <x:c r="I2832" s="6" t="str"/>
      <x:c r="J2832" s="6" t="str">
        <x:f>IF(B2832="","",IF(AND(ISNUMBER(SEARCH("平",B2832)),OR(ISNUMBER(SEARCH("上",B2832)),ISNUMBER(SEARCH("去",B2832)),ISNUMBER(SEARCH("入",B2832)))),"Ambiguous",IF(ISNUMBER(SEARCH("平",B2832)),"平","仄")))</x:f>
        <x:v>平</x:v>
      </x:c>
      <x:c r="K2832" s="6" t="str">
        <x:f>IF(D2832="","",IF(AND(ISNUMBER(SEARCH("平",D2832)),OR(ISNUMBER(SEARCH("上",D2832)),ISNUMBER(SEARCH("去",D2832)),ISNUMBER(SEARCH("入",D2832)))),"Ambiguous",IF(ISNUMBER(SEARCH("平",D2832)),"平","仄")))</x:f>
        <x:v>平</x:v>
      </x:c>
      <x:c r="L2832" s="7" t="str"/>
    </x:row>
    <x:row r="2833">
      <x:c r="A2833" s="5" t="str">
        <x:v>秆</x:v>
      </x:c>
      <x:c r="B2833" s="6" t="str">
        <x:v>上</x:v>
      </x:c>
      <x:c r="C2833" s="6" t="str">
        <x:f>IF(B2833="","Needs decision","Ready")</x:f>
        <x:v>Ready</x:v>
      </x:c>
      <x:c r="D2833" s="6" t="str">
        <x:v>上</x:v>
      </x:c>
      <x:c r="E2833" s="6" t="str">
        <x:v>kanX (B)</x:v>
      </x:c>
      <x:c r="F2833" s="6" t="str"/>
      <x:c r="G2833" s="6" t="str"/>
      <x:c r="H2833" s="6" t="str">
        <x:v>1</x:v>
      </x:c>
      <x:c r="I2833" s="6" t="str"/>
      <x:c r="J2833" s="6" t="str">
        <x:f>IF(B2833="","",IF(AND(ISNUMBER(SEARCH("平",B2833)),OR(ISNUMBER(SEARCH("上",B2833)),ISNUMBER(SEARCH("去",B2833)),ISNUMBER(SEARCH("入",B2833)))),"Ambiguous",IF(ISNUMBER(SEARCH("平",B2833)),"平","仄")))</x:f>
        <x:v>仄</x:v>
      </x:c>
      <x:c r="K2833" s="6" t="str">
        <x:f>IF(D2833="","",IF(AND(ISNUMBER(SEARCH("平",D2833)),OR(ISNUMBER(SEARCH("上",D2833)),ISNUMBER(SEARCH("去",D2833)),ISNUMBER(SEARCH("入",D2833)))),"Ambiguous",IF(ISNUMBER(SEARCH("平",D2833)),"平","仄")))</x:f>
        <x:v>仄</x:v>
      </x:c>
      <x:c r="L2833" s="7" t="str"/>
    </x:row>
    <x:row r="2834">
      <x:c r="A2834" s="5" t="str">
        <x:v>秉</x:v>
      </x:c>
      <x:c r="B2834" s="6" t="str">
        <x:v>上</x:v>
      </x:c>
      <x:c r="C2834" s="6" t="str">
        <x:f>IF(B2834="","Needs decision","Ready")</x:f>
        <x:v>Ready</x:v>
      </x:c>
      <x:c r="D2834" s="6" t="str">
        <x:v>上</x:v>
      </x:c>
      <x:c r="E2834" s="6" t="str">
        <x:v>pjaengX (B)</x:v>
      </x:c>
      <x:c r="F2834" s="6" t="str">
        <x:v>上聲二十三梗</x:v>
      </x:c>
      <x:c r="G2834" s="6" t="str">
        <x:v>Pingshui main list, Wikisource-derived DOCX</x:v>
      </x:c>
      <x:c r="H2834" s="6" t="str">
        <x:v>1</x:v>
      </x:c>
      <x:c r="I2834" s="6" t="str"/>
      <x:c r="J2834" s="6" t="str">
        <x:f>IF(B2834="","",IF(AND(ISNUMBER(SEARCH("平",B2834)),OR(ISNUMBER(SEARCH("上",B2834)),ISNUMBER(SEARCH("去",B2834)),ISNUMBER(SEARCH("入",B2834)))),"Ambiguous",IF(ISNUMBER(SEARCH("平",B2834)),"平","仄")))</x:f>
        <x:v>仄</x:v>
      </x:c>
      <x:c r="K2834" s="6" t="str">
        <x:f>IF(D2834="","",IF(AND(ISNUMBER(SEARCH("平",D2834)),OR(ISNUMBER(SEARCH("上",D2834)),ISNUMBER(SEARCH("去",D2834)),ISNUMBER(SEARCH("入",D2834)))),"Ambiguous",IF(ISNUMBER(SEARCH("平",D2834)),"平","仄")))</x:f>
        <x:v>仄</x:v>
      </x:c>
      <x:c r="L2834" s="7" t="str"/>
    </x:row>
    <x:row r="2835">
      <x:c r="A2835" s="5" t="str">
        <x:v>秋</x:v>
      </x:c>
      <x:c r="B2835" s="6" t="str">
        <x:v>平</x:v>
      </x:c>
      <x:c r="C2835" s="6" t="str">
        <x:f>IF(B2835="","Needs decision","Ready")</x:f>
        <x:v>Ready</x:v>
      </x:c>
      <x:c r="D2835" s="6" t="str">
        <x:v>平</x:v>
      </x:c>
      <x:c r="E2835" s="6" t="str">
        <x:v>tshjuw (A)</x:v>
      </x:c>
      <x:c r="F2835" s="6" t="str">
        <x:v>下平聲十一尤</x:v>
      </x:c>
      <x:c r="G2835" s="6" t="str">
        <x:v>Pingshui main list, Wikisource-derived DOCX</x:v>
      </x:c>
      <x:c r="H2835" s="6" t="str">
        <x:v>1</x:v>
      </x:c>
      <x:c r="I2835" s="6" t="str"/>
      <x:c r="J2835" s="6" t="str">
        <x:f>IF(B2835="","",IF(AND(ISNUMBER(SEARCH("平",B2835)),OR(ISNUMBER(SEARCH("上",B2835)),ISNUMBER(SEARCH("去",B2835)),ISNUMBER(SEARCH("入",B2835)))),"Ambiguous",IF(ISNUMBER(SEARCH("平",B2835)),"平","仄")))</x:f>
        <x:v>平</x:v>
      </x:c>
      <x:c r="K2835" s="6" t="str">
        <x:f>IF(D2835="","",IF(AND(ISNUMBER(SEARCH("平",D2835)),OR(ISNUMBER(SEARCH("上",D2835)),ISNUMBER(SEARCH("去",D2835)),ISNUMBER(SEARCH("入",D2835)))),"Ambiguous",IF(ISNUMBER(SEARCH("平",D2835)),"平","仄")))</x:f>
        <x:v>平</x:v>
      </x:c>
      <x:c r="L2835" s="7" t="str"/>
    </x:row>
    <x:row r="2836">
      <x:c r="A2836" s="5" t="str">
        <x:v>科</x:v>
      </x:c>
      <x:c r="B2836" s="6" t="str">
        <x:v>平</x:v>
      </x:c>
      <x:c r="C2836" s="6" t="str">
        <x:f>IF(B2836="","Needs decision","Ready")</x:f>
        <x:v>Ready</x:v>
      </x:c>
      <x:c r="D2836" s="6" t="str">
        <x:v>平/去</x:v>
      </x:c>
      <x:c r="E2836" s="6" t="str">
        <x:v>khwaH [溪合一歌去] qʰwɑh; khwa [溪合一歌平] qʰwɑ</x:v>
      </x:c>
      <x:c r="F2836" s="6" t="str">
        <x:v>下平聲五歌</x:v>
      </x:c>
      <x:c r="G2836" s="6" t="str">
        <x:v>Pingshui main list, Wikisource-derived DOCX</x:v>
      </x:c>
      <x:c r="H2836" s="6" t="str">
        <x:v>2</x:v>
      </x:c>
      <x:c r="I2836" s="6" t="str">
        <x:v>Targeted preliminary fill from Xun Gong; review if uncertain; User workbook edit 2026-09-03</x:v>
      </x:c>
      <x:c r="J2836" s="6" t="str">
        <x:f>IF(B2836="","",IF(AND(ISNUMBER(SEARCH("平",B2836)),OR(ISNUMBER(SEARCH("上",B2836)),ISNUMBER(SEARCH("去",B2836)),ISNUMBER(SEARCH("入",B2836)))),"Ambiguous",IF(ISNUMBER(SEARCH("平",B2836)),"平","仄")))</x:f>
        <x:v>平</x:v>
      </x:c>
      <x:c r="K2836" s="6" t="str">
        <x:f>IF(D2836="","",IF(AND(ISNUMBER(SEARCH("平",D2836)),OR(ISNUMBER(SEARCH("上",D2836)),ISNUMBER(SEARCH("去",D2836)),ISNUMBER(SEARCH("入",D2836)))),"Ambiguous",IF(ISNUMBER(SEARCH("平",D2836)),"平","仄")))</x:f>
        <x:v>Ambiguous</x:v>
      </x:c>
      <x:c r="L2836" s="7" t="str">
        <x:v>manual user correction</x:v>
      </x:c>
    </x:row>
    <x:row r="2837">
      <x:c r="A2837" s="5" t="str">
        <x:v>秕</x:v>
      </x:c>
      <x:c r="B2837" s="6" t="str">
        <x:v>上</x:v>
      </x:c>
      <x:c r="C2837" s="6" t="str">
        <x:f>IF(B2837="","Needs decision","Ready")</x:f>
        <x:v>Ready</x:v>
      </x:c>
      <x:c r="D2837" s="6" t="str">
        <x:v>上</x:v>
      </x:c>
      <x:c r="E2837" s="6" t="str">
        <x:v>pjijX (B)</x:v>
      </x:c>
      <x:c r="F2837" s="6" t="str">
        <x:v>上聲四紙</x:v>
      </x:c>
      <x:c r="G2837" s="6" t="str">
        <x:v>Pingshui main list, Wikisource-derived DOCX</x:v>
      </x:c>
      <x:c r="H2837" s="6" t="str">
        <x:v>1</x:v>
      </x:c>
      <x:c r="I2837" s="6" t="str"/>
      <x:c r="J2837" s="6" t="str">
        <x:f>IF(B2837="","",IF(AND(ISNUMBER(SEARCH("平",B2837)),OR(ISNUMBER(SEARCH("上",B2837)),ISNUMBER(SEARCH("去",B2837)),ISNUMBER(SEARCH("入",B2837)))),"Ambiguous",IF(ISNUMBER(SEARCH("平",B2837)),"平","仄")))</x:f>
        <x:v>仄</x:v>
      </x:c>
      <x:c r="K2837" s="6" t="str">
        <x:f>IF(D2837="","",IF(AND(ISNUMBER(SEARCH("平",D2837)),OR(ISNUMBER(SEARCH("上",D2837)),ISNUMBER(SEARCH("去",D2837)),ISNUMBER(SEARCH("入",D2837)))),"Ambiguous",IF(ISNUMBER(SEARCH("平",D2837)),"平","仄")))</x:f>
        <x:v>仄</x:v>
      </x:c>
      <x:c r="L2837" s="7" t="str"/>
    </x:row>
    <x:row r="2838">
      <x:c r="A2838" s="5" t="str">
        <x:v>秘</x:v>
      </x:c>
      <x:c r="B2838" s="6" t="str">
        <x:v>去</x:v>
      </x:c>
      <x:c r="C2838" s="6" t="str">
        <x:f>IF(B2838="","Needs decision","Ready")</x:f>
        <x:v>Ready</x:v>
      </x:c>
      <x:c r="D2838" s="6" t="str">
        <x:v>去</x:v>
      </x:c>
      <x:c r="E2838" s="6" t="str"/>
      <x:c r="F2838" s="6" t="str"/>
      <x:c r="G2838" s="6" t="str"/>
      <x:c r="H2838" s="6" t="str"/>
      <x:c r="I2838" s="6" t="str">
        <x:v>Manual user correction/addition</x:v>
      </x:c>
      <x:c r="J2838" s="6" t="str">
        <x:f>IF(B2838="","",IF(AND(ISNUMBER(SEARCH("平",B2838)),OR(ISNUMBER(SEARCH("上",B2838)),ISNUMBER(SEARCH("去",B2838)),ISNUMBER(SEARCH("入",B2838)))),"Ambiguous",IF(ISNUMBER(SEARCH("平",B2838)),"平","仄")))</x:f>
        <x:v>仄</x:v>
      </x:c>
      <x:c r="K2838" s="6" t="str">
        <x:f>IF(D2838="","",IF(AND(ISNUMBER(SEARCH("平",D2838)),OR(ISNUMBER(SEARCH("上",D2838)),ISNUMBER(SEARCH("去",D2838)),ISNUMBER(SEARCH("入",D2838)))),"Ambiguous",IF(ISNUMBER(SEARCH("平",D2838)),"平","仄")))</x:f>
        <x:v>仄</x:v>
      </x:c>
      <x:c r="L2838" s="7" t="str">
        <x:v>manual user correction</x:v>
      </x:c>
    </x:row>
    <x:row r="2839">
      <x:c r="A2839" s="5" t="str">
        <x:v>秜</x:v>
      </x:c>
      <x:c r="B2839" s="6" t="str">
        <x:v>平</x:v>
      </x:c>
      <x:c r="C2839" s="6" t="str">
        <x:f>IF(B2839="","Needs decision","Ready")</x:f>
        <x:v>Ready</x:v>
      </x:c>
      <x:c r="D2839" s="6" t="str">
        <x:v>平</x:v>
      </x:c>
      <x:c r="E2839" s="6" t="str">
        <x:v>nrij (A)</x:v>
      </x:c>
      <x:c r="F2839" s="6" t="str">
        <x:v>上平聲四支</x:v>
      </x:c>
      <x:c r="G2839" s="6" t="str">
        <x:v>Pingshui main list, Wikisource-derived DOCX</x:v>
      </x:c>
      <x:c r="H2839" s="6" t="str">
        <x:v>1</x:v>
      </x:c>
      <x:c r="I2839" s="6" t="str"/>
      <x:c r="J2839" s="6" t="str">
        <x:f>IF(B2839="","",IF(AND(ISNUMBER(SEARCH("平",B2839)),OR(ISNUMBER(SEARCH("上",B2839)),ISNUMBER(SEARCH("去",B2839)),ISNUMBER(SEARCH("入",B2839)))),"Ambiguous",IF(ISNUMBER(SEARCH("平",B2839)),"平","仄")))</x:f>
        <x:v>平</x:v>
      </x:c>
      <x:c r="K2839" s="6" t="str">
        <x:f>IF(D2839="","",IF(AND(ISNUMBER(SEARCH("平",D2839)),OR(ISNUMBER(SEARCH("上",D2839)),ISNUMBER(SEARCH("去",D2839)),ISNUMBER(SEARCH("入",D2839)))),"Ambiguous",IF(ISNUMBER(SEARCH("平",D2839)),"平","仄")))</x:f>
        <x:v>平</x:v>
      </x:c>
      <x:c r="L2839" s="7" t="str"/>
    </x:row>
    <x:row r="2840">
      <x:c r="A2840" s="5" t="str">
        <x:v>租</x:v>
      </x:c>
      <x:c r="B2840" s="6" t="str">
        <x:v>平</x:v>
      </x:c>
      <x:c r="C2840" s="6" t="str">
        <x:f>IF(B2840="","Needs decision","Ready")</x:f>
        <x:v>Ready</x:v>
      </x:c>
      <x:c r="D2840" s="6" t="str">
        <x:v>平</x:v>
      </x:c>
      <x:c r="E2840" s="6" t="str">
        <x:v>tsu [t̙s̙o] (平)</x:v>
      </x:c>
      <x:c r="F2840" s="6" t="str">
        <x:v>上平聲七虞</x:v>
      </x:c>
      <x:c r="G2840" s="6" t="str">
        <x:v>Pingshui main list, Wikisource-derived DOCX</x:v>
      </x:c>
      <x:c r="H2840" s="6" t="str">
        <x:v>1</x:v>
      </x:c>
      <x:c r="I2840" s="6" t="str">
        <x:v>Tang 300 gap; frequency 2; provisional from Xun Gong</x:v>
      </x:c>
      <x:c r="J2840" s="6" t="str">
        <x:f>IF(B2840="","",IF(AND(ISNUMBER(SEARCH("平",B2840)),OR(ISNUMBER(SEARCH("上",B2840)),ISNUMBER(SEARCH("去",B2840)),ISNUMBER(SEARCH("入",B2840)))),"Ambiguous",IF(ISNUMBER(SEARCH("平",B2840)),"平","仄")))</x:f>
        <x:v>平</x:v>
      </x:c>
      <x:c r="K2840" s="6" t="str">
        <x:f>IF(D2840="","",IF(AND(ISNUMBER(SEARCH("平",D2840)),OR(ISNUMBER(SEARCH("上",D2840)),ISNUMBER(SEARCH("去",D2840)),ISNUMBER(SEARCH("入",D2840)))),"Ambiguous",IF(ISNUMBER(SEARCH("平",D2840)),"平","仄")))</x:f>
        <x:v>平</x:v>
      </x:c>
      <x:c r="L2840" s="7" t="str">
        <x:v>Xun Gong, Tang 300 gap fill</x:v>
      </x:c>
    </x:row>
    <x:row r="2841">
      <x:c r="A2841" s="5" t="str">
        <x:v>秦</x:v>
      </x:c>
      <x:c r="B2841" s="6" t="str">
        <x:v>平</x:v>
      </x:c>
      <x:c r="C2841" s="6" t="str">
        <x:f>IF(B2841="","Needs decision","Ready")</x:f>
        <x:v>Ready</x:v>
      </x:c>
      <x:c r="D2841" s="6" t="str">
        <x:v>平</x:v>
      </x:c>
      <x:c r="E2841" s="6" t="str">
        <x:v>dzin (A)</x:v>
      </x:c>
      <x:c r="F2841" s="6" t="str">
        <x:v>上平聲十一真</x:v>
      </x:c>
      <x:c r="G2841" s="6" t="str">
        <x:v>Pingshui main list, Wikisource-derived DOCX</x:v>
      </x:c>
      <x:c r="H2841" s="6" t="str">
        <x:v>1</x:v>
      </x:c>
      <x:c r="I2841" s="6" t="str"/>
      <x:c r="J2841" s="6" t="str">
        <x:f>IF(B2841="","",IF(AND(ISNUMBER(SEARCH("平",B2841)),OR(ISNUMBER(SEARCH("上",B2841)),ISNUMBER(SEARCH("去",B2841)),ISNUMBER(SEARCH("入",B2841)))),"Ambiguous",IF(ISNUMBER(SEARCH("平",B2841)),"平","仄")))</x:f>
        <x:v>平</x:v>
      </x:c>
      <x:c r="K2841" s="6" t="str">
        <x:f>IF(D2841="","",IF(AND(ISNUMBER(SEARCH("平",D2841)),OR(ISNUMBER(SEARCH("上",D2841)),ISNUMBER(SEARCH("去",D2841)),ISNUMBER(SEARCH("入",D2841)))),"Ambiguous",IF(ISNUMBER(SEARCH("平",D2841)),"平","仄")))</x:f>
        <x:v>平</x:v>
      </x:c>
      <x:c r="L2841" s="7" t="str"/>
    </x:row>
    <x:row r="2842">
      <x:c r="A2842" s="5" t="str">
        <x:v>秩</x:v>
      </x:c>
      <x:c r="B2842" s="6" t="str">
        <x:v>入</x:v>
      </x:c>
      <x:c r="C2842" s="6" t="str">
        <x:f>IF(B2842="","Needs decision","Ready")</x:f>
        <x:v>Ready</x:v>
      </x:c>
      <x:c r="D2842" s="6" t="str">
        <x:v>入</x:v>
      </x:c>
      <x:c r="E2842" s="6" t="str">
        <x:v>drit [ɖit] (入)</x:v>
      </x:c>
      <x:c r="F2842" s="6" t="str">
        <x:v>入聲四質</x:v>
      </x:c>
      <x:c r="G2842" s="6" t="str">
        <x:v>Pingshui main list, Wikisource-derived DOCX</x:v>
      </x:c>
      <x:c r="H2842" s="6" t="str">
        <x:v>1</x:v>
      </x:c>
      <x:c r="I2842" s="6" t="str">
        <x:v>Tang 300 gap; frequency 1; provisional from Xun Gong</x:v>
      </x:c>
      <x:c r="J2842" s="6" t="str">
        <x:f>IF(B2842="","",IF(AND(ISNUMBER(SEARCH("平",B2842)),OR(ISNUMBER(SEARCH("上",B2842)),ISNUMBER(SEARCH("去",B2842)),ISNUMBER(SEARCH("入",B2842)))),"Ambiguous",IF(ISNUMBER(SEARCH("平",B2842)),"平","仄")))</x:f>
        <x:v>仄</x:v>
      </x:c>
      <x:c r="K2842" s="6" t="str">
        <x:f>IF(D2842="","",IF(AND(ISNUMBER(SEARCH("平",D2842)),OR(ISNUMBER(SEARCH("上",D2842)),ISNUMBER(SEARCH("去",D2842)),ISNUMBER(SEARCH("入",D2842)))),"Ambiguous",IF(ISNUMBER(SEARCH("平",D2842)),"平","仄")))</x:f>
        <x:v>仄</x:v>
      </x:c>
      <x:c r="L2842" s="7" t="str">
        <x:v>Xun Gong, Tang 300 gap fill</x:v>
      </x:c>
    </x:row>
    <x:row r="2843">
      <x:c r="A2843" s="5" t="str">
        <x:v>秫</x:v>
      </x:c>
      <x:c r="B2843" s="6" t="str">
        <x:v>入</x:v>
      </x:c>
      <x:c r="C2843" s="6" t="str">
        <x:f>IF(B2843="","Needs decision","Ready")</x:f>
        <x:v>Ready</x:v>
      </x:c>
      <x:c r="D2843" s="6" t="str">
        <x:v>入</x:v>
      </x:c>
      <x:c r="E2843" s="6" t="str">
        <x:v>zywit (D)</x:v>
      </x:c>
      <x:c r="F2843" s="6" t="str">
        <x:v>入聲四質</x:v>
      </x:c>
      <x:c r="G2843" s="6" t="str">
        <x:v>Pingshui main list, Wikisource-derived DOCX</x:v>
      </x:c>
      <x:c r="H2843" s="6" t="str">
        <x:v>1</x:v>
      </x:c>
      <x:c r="I2843" s="6" t="str"/>
      <x:c r="J2843" s="6" t="str">
        <x:f>IF(B2843="","",IF(AND(ISNUMBER(SEARCH("平",B2843)),OR(ISNUMBER(SEARCH("上",B2843)),ISNUMBER(SEARCH("去",B2843)),ISNUMBER(SEARCH("入",B2843)))),"Ambiguous",IF(ISNUMBER(SEARCH("平",B2843)),"平","仄")))</x:f>
        <x:v>仄</x:v>
      </x:c>
      <x:c r="K2843" s="6" t="str">
        <x:f>IF(D2843="","",IF(AND(ISNUMBER(SEARCH("平",D2843)),OR(ISNUMBER(SEARCH("上",D2843)),ISNUMBER(SEARCH("去",D2843)),ISNUMBER(SEARCH("入",D2843)))),"Ambiguous",IF(ISNUMBER(SEARCH("平",D2843)),"平","仄")))</x:f>
        <x:v>仄</x:v>
      </x:c>
      <x:c r="L2843" s="7" t="str"/>
    </x:row>
    <x:row r="2844">
      <x:c r="A2844" s="5" t="str">
        <x:v>秭</x:v>
      </x:c>
      <x:c r="B2844" s="6" t="str">
        <x:v>上</x:v>
      </x:c>
      <x:c r="C2844" s="6" t="str">
        <x:f>IF(B2844="","Needs decision","Ready")</x:f>
        <x:v>Ready</x:v>
      </x:c>
      <x:c r="D2844" s="6" t="str">
        <x:v>上</x:v>
      </x:c>
      <x:c r="E2844" s="6" t="str">
        <x:v>tsijX (B)</x:v>
      </x:c>
      <x:c r="F2844" s="6" t="str">
        <x:v>上聲四紙</x:v>
      </x:c>
      <x:c r="G2844" s="6" t="str">
        <x:v>Pingshui main list, Wikisource-derived DOCX</x:v>
      </x:c>
      <x:c r="H2844" s="6" t="str">
        <x:v>1</x:v>
      </x:c>
      <x:c r="I2844" s="6" t="str"/>
      <x:c r="J2844" s="6" t="str">
        <x:f>IF(B2844="","",IF(AND(ISNUMBER(SEARCH("平",B2844)),OR(ISNUMBER(SEARCH("上",B2844)),ISNUMBER(SEARCH("去",B2844)),ISNUMBER(SEARCH("入",B2844)))),"Ambiguous",IF(ISNUMBER(SEARCH("平",B2844)),"平","仄")))</x:f>
        <x:v>仄</x:v>
      </x:c>
      <x:c r="K2844" s="6" t="str">
        <x:f>IF(D2844="","",IF(AND(ISNUMBER(SEARCH("平",D2844)),OR(ISNUMBER(SEARCH("上",D2844)),ISNUMBER(SEARCH("去",D2844)),ISNUMBER(SEARCH("入",D2844)))),"Ambiguous",IF(ISNUMBER(SEARCH("平",D2844)),"平","仄")))</x:f>
        <x:v>仄</x:v>
      </x:c>
      <x:c r="L2844" s="7" t="str"/>
    </x:row>
    <x:row r="2845">
      <x:c r="A2845" s="5" t="str">
        <x:v>秸</x:v>
      </x:c>
      <x:c r="B2845" s="6" t="str">
        <x:v>入</x:v>
      </x:c>
      <x:c r="C2845" s="6" t="str">
        <x:f>IF(B2845="","Needs decision","Ready")</x:f>
        <x:v>Ready</x:v>
      </x:c>
      <x:c r="D2845" s="6" t="str">
        <x:v>入</x:v>
      </x:c>
      <x:c r="E2845" s="6" t="str">
        <x:v>keat (D)</x:v>
      </x:c>
      <x:c r="F2845" s="6" t="str">
        <x:v>入聲八黠</x:v>
      </x:c>
      <x:c r="G2845" s="6" t="str">
        <x:v>Pingshui main list, Wikisource-derived DOCX</x:v>
      </x:c>
      <x:c r="H2845" s="6" t="str">
        <x:v>1</x:v>
      </x:c>
      <x:c r="I2845" s="6" t="str"/>
      <x:c r="J2845" s="6" t="str">
        <x:f>IF(B2845="","",IF(AND(ISNUMBER(SEARCH("平",B2845)),OR(ISNUMBER(SEARCH("上",B2845)),ISNUMBER(SEARCH("去",B2845)),ISNUMBER(SEARCH("入",B2845)))),"Ambiguous",IF(ISNUMBER(SEARCH("平",B2845)),"平","仄")))</x:f>
        <x:v>仄</x:v>
      </x:c>
      <x:c r="K2845" s="6" t="str">
        <x:f>IF(D2845="","",IF(AND(ISNUMBER(SEARCH("平",D2845)),OR(ISNUMBER(SEARCH("上",D2845)),ISNUMBER(SEARCH("去",D2845)),ISNUMBER(SEARCH("入",D2845)))),"Ambiguous",IF(ISNUMBER(SEARCH("平",D2845)),"平","仄")))</x:f>
        <x:v>仄</x:v>
      </x:c>
      <x:c r="L2845" s="7" t="str"/>
    </x:row>
    <x:row r="2846">
      <x:c r="A2846" s="5" t="str">
        <x:v>移</x:v>
      </x:c>
      <x:c r="B2846" s="6" t="str">
        <x:v>平</x:v>
      </x:c>
      <x:c r="C2846" s="6" t="str">
        <x:f>IF(B2846="","Needs decision","Ready")</x:f>
        <x:v>Ready</x:v>
      </x:c>
      <x:c r="D2846" s="6" t="str">
        <x:v>平</x:v>
      </x:c>
      <x:c r="E2846" s="6" t="str">
        <x:v>ye (A)</x:v>
      </x:c>
      <x:c r="F2846" s="6" t="str">
        <x:v>上平聲四支</x:v>
      </x:c>
      <x:c r="G2846" s="6" t="str">
        <x:v>Pingshui main list, Wikisource-derived DOCX</x:v>
      </x:c>
      <x:c r="H2846" s="6" t="str">
        <x:v>1</x:v>
      </x:c>
      <x:c r="I2846" s="6" t="str"/>
      <x:c r="J2846" s="6" t="str">
        <x:f>IF(B2846="","",IF(AND(ISNUMBER(SEARCH("平",B2846)),OR(ISNUMBER(SEARCH("上",B2846)),ISNUMBER(SEARCH("去",B2846)),ISNUMBER(SEARCH("入",B2846)))),"Ambiguous",IF(ISNUMBER(SEARCH("平",B2846)),"平","仄")))</x:f>
        <x:v>平</x:v>
      </x:c>
      <x:c r="K2846" s="6" t="str">
        <x:f>IF(D2846="","",IF(AND(ISNUMBER(SEARCH("平",D2846)),OR(ISNUMBER(SEARCH("上",D2846)),ISNUMBER(SEARCH("去",D2846)),ISNUMBER(SEARCH("入",D2846)))),"Ambiguous",IF(ISNUMBER(SEARCH("平",D2846)),"平","仄")))</x:f>
        <x:v>平</x:v>
      </x:c>
      <x:c r="L2846" s="7" t="str"/>
    </x:row>
    <x:row r="2847">
      <x:c r="A2847" s="5" t="str">
        <x:v>稀</x:v>
      </x:c>
      <x:c r="B2847" s="6" t="str">
        <x:v>平</x:v>
      </x:c>
      <x:c r="C2847" s="6" t="str">
        <x:f>IF(B2847="","Needs decision","Ready")</x:f>
        <x:v>Ready</x:v>
      </x:c>
      <x:c r="D2847" s="6" t="str">
        <x:v>平</x:v>
      </x:c>
      <x:c r="E2847" s="6" t="str"/>
      <x:c r="F2847" s="6" t="str">
        <x:v>上平聲五微</x:v>
      </x:c>
      <x:c r="G2847" s="6" t="str">
        <x:v>Pingshui main list, Wikisource-derived DOCX</x:v>
      </x:c>
      <x:c r="H2847" s="6" t="str"/>
      <x:c r="I2847" s="6" t="str">
        <x:v>Manual user correction/addition</x:v>
      </x:c>
      <x:c r="J2847" s="6" t="str">
        <x:f>IF(B2847="","",IF(AND(ISNUMBER(SEARCH("平",B2847)),OR(ISNUMBER(SEARCH("上",B2847)),ISNUMBER(SEARCH("去",B2847)),ISNUMBER(SEARCH("入",B2847)))),"Ambiguous",IF(ISNUMBER(SEARCH("平",B2847)),"平","仄")))</x:f>
        <x:v>平</x:v>
      </x:c>
      <x:c r="K2847" s="6" t="str">
        <x:f>IF(D2847="","",IF(AND(ISNUMBER(SEARCH("平",D2847)),OR(ISNUMBER(SEARCH("上",D2847)),ISNUMBER(SEARCH("去",D2847)),ISNUMBER(SEARCH("入",D2847)))),"Ambiguous",IF(ISNUMBER(SEARCH("平",D2847)),"平","仄")))</x:f>
        <x:v>平</x:v>
      </x:c>
      <x:c r="L2847" s="7" t="str">
        <x:v>manual user correction</x:v>
      </x:c>
    </x:row>
    <x:row r="2848">
      <x:c r="A2848" s="5" t="str">
        <x:v>稂</x:v>
      </x:c>
      <x:c r="B2848" s="6" t="str">
        <x:v>平</x:v>
      </x:c>
      <x:c r="C2848" s="6" t="str">
        <x:f>IF(B2848="","Needs decision","Ready")</x:f>
        <x:v>Ready</x:v>
      </x:c>
      <x:c r="D2848" s="6" t="str">
        <x:v>平</x:v>
      </x:c>
      <x:c r="E2848" s="6" t="str">
        <x:v>lang (A)</x:v>
      </x:c>
      <x:c r="F2848" s="6" t="str">
        <x:v>下平聲七陽</x:v>
      </x:c>
      <x:c r="G2848" s="6" t="str">
        <x:v>Pingshui main list, Wikisource-derived DOCX</x:v>
      </x:c>
      <x:c r="H2848" s="6" t="str">
        <x:v>1</x:v>
      </x:c>
      <x:c r="I2848" s="6" t="str"/>
      <x:c r="J2848" s="6" t="str">
        <x:f>IF(B2848="","",IF(AND(ISNUMBER(SEARCH("平",B2848)),OR(ISNUMBER(SEARCH("上",B2848)),ISNUMBER(SEARCH("去",B2848)),ISNUMBER(SEARCH("入",B2848)))),"Ambiguous",IF(ISNUMBER(SEARCH("平",B2848)),"平","仄")))</x:f>
        <x:v>平</x:v>
      </x:c>
      <x:c r="K2848" s="6" t="str">
        <x:f>IF(D2848="","",IF(AND(ISNUMBER(SEARCH("平",D2848)),OR(ISNUMBER(SEARCH("上",D2848)),ISNUMBER(SEARCH("去",D2848)),ISNUMBER(SEARCH("入",D2848)))),"Ambiguous",IF(ISNUMBER(SEARCH("平",D2848)),"平","仄")))</x:f>
        <x:v>平</x:v>
      </x:c>
      <x:c r="L2848" s="7" t="str"/>
    </x:row>
    <x:row r="2849">
      <x:c r="A2849" s="5" t="str">
        <x:v>稅</x:v>
      </x:c>
      <x:c r="B2849" s="6" t="str">
        <x:v>去</x:v>
      </x:c>
      <x:c r="C2849" s="6" t="str">
        <x:f>IF(B2849="","Needs decision","Ready")</x:f>
        <x:v>Ready</x:v>
      </x:c>
      <x:c r="D2849" s="6" t="str">
        <x:v>去</x:v>
      </x:c>
      <x:c r="E2849" s="6" t="str">
        <x:v>sywejH [ɕwejh] (去)</x:v>
      </x:c>
      <x:c r="F2849" s="6" t="str">
        <x:v>去聲八霽</x:v>
      </x:c>
      <x:c r="G2849" s="6" t="str">
        <x:v>Pingshui main list, Wikisource-derived DOCX</x:v>
      </x:c>
      <x:c r="H2849" s="6" t="str">
        <x:v>1</x:v>
      </x:c>
      <x:c r="I2849" s="6" t="str">
        <x:v>Tang 300 gap; frequency 3; provisional from Xun Gong</x:v>
      </x:c>
      <x:c r="J2849" s="6" t="str">
        <x:f>IF(B2849="","",IF(AND(ISNUMBER(SEARCH("平",B2849)),OR(ISNUMBER(SEARCH("上",B2849)),ISNUMBER(SEARCH("去",B2849)),ISNUMBER(SEARCH("入",B2849)))),"Ambiguous",IF(ISNUMBER(SEARCH("平",B2849)),"平","仄")))</x:f>
        <x:v>仄</x:v>
      </x:c>
      <x:c r="K2849" s="6" t="str">
        <x:f>IF(D2849="","",IF(AND(ISNUMBER(SEARCH("平",D2849)),OR(ISNUMBER(SEARCH("上",D2849)),ISNUMBER(SEARCH("去",D2849)),ISNUMBER(SEARCH("入",D2849)))),"Ambiguous",IF(ISNUMBER(SEARCH("平",D2849)),"平","仄")))</x:f>
        <x:v>仄</x:v>
      </x:c>
      <x:c r="L2849" s="7" t="str">
        <x:v>Xun Gong, Tang 300 gap fill</x:v>
      </x:c>
    </x:row>
    <x:row r="2850">
      <x:c r="A2850" s="5" t="str">
        <x:v>稇</x:v>
      </x:c>
      <x:c r="B2850" s="6" t="str">
        <x:v>上</x:v>
      </x:c>
      <x:c r="C2850" s="6" t="str">
        <x:f>IF(B2850="","Needs decision","Ready")</x:f>
        <x:v>Ready</x:v>
      </x:c>
      <x:c r="D2850" s="6" t="str">
        <x:v>上</x:v>
      </x:c>
      <x:c r="E2850" s="6" t="str">
        <x:v>khwonX (B)</x:v>
      </x:c>
      <x:c r="F2850" s="6" t="str"/>
      <x:c r="G2850" s="6" t="str"/>
      <x:c r="H2850" s="6" t="str">
        <x:v>1</x:v>
      </x:c>
      <x:c r="I2850" s="6" t="str"/>
      <x:c r="J2850" s="6" t="str">
        <x:f>IF(B2850="","",IF(AND(ISNUMBER(SEARCH("平",B2850)),OR(ISNUMBER(SEARCH("上",B2850)),ISNUMBER(SEARCH("去",B2850)),ISNUMBER(SEARCH("入",B2850)))),"Ambiguous",IF(ISNUMBER(SEARCH("平",B2850)),"平","仄")))</x:f>
        <x:v>仄</x:v>
      </x:c>
      <x:c r="K2850" s="6" t="str">
        <x:f>IF(D2850="","",IF(AND(ISNUMBER(SEARCH("平",D2850)),OR(ISNUMBER(SEARCH("上",D2850)),ISNUMBER(SEARCH("去",D2850)),ISNUMBER(SEARCH("入",D2850)))),"Ambiguous",IF(ISNUMBER(SEARCH("平",D2850)),"平","仄")))</x:f>
        <x:v>仄</x:v>
      </x:c>
      <x:c r="L2850" s="7" t="str"/>
    </x:row>
    <x:row r="2851">
      <x:c r="A2851" s="5" t="str">
        <x:v>程</x:v>
      </x:c>
      <x:c r="B2851" s="6" t="str">
        <x:v>平</x:v>
      </x:c>
      <x:c r="C2851" s="6" t="str">
        <x:f>IF(B2851="","Needs decision","Ready")</x:f>
        <x:v>Ready</x:v>
      </x:c>
      <x:c r="D2851" s="6" t="str">
        <x:v>平</x:v>
      </x:c>
      <x:c r="E2851" s="6" t="str">
        <x:v>drjeng (A)</x:v>
      </x:c>
      <x:c r="F2851" s="6" t="str">
        <x:v>下平聲八庚</x:v>
      </x:c>
      <x:c r="G2851" s="6" t="str">
        <x:v>Pingshui main list, Wikisource-derived DOCX</x:v>
      </x:c>
      <x:c r="H2851" s="6" t="str">
        <x:v>1</x:v>
      </x:c>
      <x:c r="I2851" s="6" t="str"/>
      <x:c r="J2851" s="6" t="str">
        <x:f>IF(B2851="","",IF(AND(ISNUMBER(SEARCH("平",B2851)),OR(ISNUMBER(SEARCH("上",B2851)),ISNUMBER(SEARCH("去",B2851)),ISNUMBER(SEARCH("入",B2851)))),"Ambiguous",IF(ISNUMBER(SEARCH("平",B2851)),"平","仄")))</x:f>
        <x:v>平</x:v>
      </x:c>
      <x:c r="K2851" s="6" t="str">
        <x:f>IF(D2851="","",IF(AND(ISNUMBER(SEARCH("平",D2851)),OR(ISNUMBER(SEARCH("上",D2851)),ISNUMBER(SEARCH("去",D2851)),ISNUMBER(SEARCH("入",D2851)))),"Ambiguous",IF(ISNUMBER(SEARCH("平",D2851)),"平","仄")))</x:f>
        <x:v>平</x:v>
      </x:c>
      <x:c r="L2851" s="7" t="str"/>
    </x:row>
    <x:row r="2852">
      <x:c r="A2852" s="5" t="str">
        <x:v>稌</x:v>
      </x:c>
      <x:c r="B2852" s="6" t="str">
        <x:v>平</x:v>
      </x:c>
      <x:c r="C2852" s="6" t="str">
        <x:f>IF(B2852="","Needs decision","Ready")</x:f>
        <x:v>Ready</x:v>
      </x:c>
      <x:c r="D2852" s="6" t="str">
        <x:v>平</x:v>
      </x:c>
      <x:c r="E2852" s="6" t="str">
        <x:v>thu (A)</x:v>
      </x:c>
      <x:c r="F2852" s="6" t="str">
        <x:v>上平聲七虞; 上聲七麌</x:v>
      </x:c>
      <x:c r="G2852" s="6" t="str">
        <x:v>Pingshui main list, Wikisource-derived DOCX</x:v>
      </x:c>
      <x:c r="H2852" s="6" t="str">
        <x:v>1</x:v>
      </x:c>
      <x:c r="I2852" s="6" t="str"/>
      <x:c r="J2852" s="6" t="str">
        <x:f>IF(B2852="","",IF(AND(ISNUMBER(SEARCH("平",B2852)),OR(ISNUMBER(SEARCH("上",B2852)),ISNUMBER(SEARCH("去",B2852)),ISNUMBER(SEARCH("入",B2852)))),"Ambiguous",IF(ISNUMBER(SEARCH("平",B2852)),"平","仄")))</x:f>
        <x:v>平</x:v>
      </x:c>
      <x:c r="K2852" s="6" t="str">
        <x:f>IF(D2852="","",IF(AND(ISNUMBER(SEARCH("平",D2852)),OR(ISNUMBER(SEARCH("上",D2852)),ISNUMBER(SEARCH("去",D2852)),ISNUMBER(SEARCH("入",D2852)))),"Ambiguous",IF(ISNUMBER(SEARCH("平",D2852)),"平","仄")))</x:f>
        <x:v>平</x:v>
      </x:c>
      <x:c r="L2852" s="7" t="str"/>
    </x:row>
    <x:row r="2853">
      <x:c r="A2853" s="5" t="str">
        <x:v>稍</x:v>
      </x:c>
      <x:c r="B2853" s="6" t="str">
        <x:v>去</x:v>
      </x:c>
      <x:c r="C2853" s="6" t="str">
        <x:f>IF(B2853="","Needs decision","Ready")</x:f>
        <x:v>Ready</x:v>
      </x:c>
      <x:c r="D2853" s="6" t="str">
        <x:v>去</x:v>
      </x:c>
      <x:c r="E2853" s="6" t="str">
        <x:v>sraewH (C)</x:v>
      </x:c>
      <x:c r="F2853" s="6" t="str">
        <x:v>下平聲三肴; 去聲十九效</x:v>
      </x:c>
      <x:c r="G2853" s="6" t="str">
        <x:v>Pingshui main list, Wikisource-derived DOCX</x:v>
      </x:c>
      <x:c r="H2853" s="6" t="str">
        <x:v>1</x:v>
      </x:c>
      <x:c r="I2853" s="6" t="str"/>
      <x:c r="J2853" s="6" t="str">
        <x:f>IF(B2853="","",IF(AND(ISNUMBER(SEARCH("平",B2853)),OR(ISNUMBER(SEARCH("上",B2853)),ISNUMBER(SEARCH("去",B2853)),ISNUMBER(SEARCH("入",B2853)))),"Ambiguous",IF(ISNUMBER(SEARCH("平",B2853)),"平","仄")))</x:f>
        <x:v>仄</x:v>
      </x:c>
      <x:c r="K2853" s="6" t="str">
        <x:f>IF(D2853="","",IF(AND(ISNUMBER(SEARCH("平",D2853)),OR(ISNUMBER(SEARCH("上",D2853)),ISNUMBER(SEARCH("去",D2853)),ISNUMBER(SEARCH("入",D2853)))),"Ambiguous",IF(ISNUMBER(SEARCH("平",D2853)),"平","仄")))</x:f>
        <x:v>仄</x:v>
      </x:c>
      <x:c r="L2853" s="7" t="str"/>
    </x:row>
    <x:row r="2854">
      <x:c r="A2854" s="5" t="str">
        <x:v>税</x:v>
      </x:c>
      <x:c r="B2854" s="6" t="str">
        <x:v>去</x:v>
      </x:c>
      <x:c r="C2854" s="6" t="str">
        <x:f>IF(B2854="","Needs decision","Ready")</x:f>
        <x:v>Ready</x:v>
      </x:c>
      <x:c r="D2854" s="6" t="str">
        <x:v>去</x:v>
      </x:c>
      <x:c r="E2854" s="6" t="str">
        <x:v>sywejH (C)</x:v>
      </x:c>
      <x:c r="F2854" s="6" t="str"/>
      <x:c r="G2854" s="6" t="str"/>
      <x:c r="H2854" s="6" t="str">
        <x:v>1</x:v>
      </x:c>
      <x:c r="I2854" s="6" t="str"/>
      <x:c r="J2854" s="6" t="str">
        <x:f>IF(B2854="","",IF(AND(ISNUMBER(SEARCH("平",B2854)),OR(ISNUMBER(SEARCH("上",B2854)),ISNUMBER(SEARCH("去",B2854)),ISNUMBER(SEARCH("入",B2854)))),"Ambiguous",IF(ISNUMBER(SEARCH("平",B2854)),"平","仄")))</x:f>
        <x:v>仄</x:v>
      </x:c>
      <x:c r="K2854" s="6" t="str">
        <x:f>IF(D2854="","",IF(AND(ISNUMBER(SEARCH("平",D2854)),OR(ISNUMBER(SEARCH("上",D2854)),ISNUMBER(SEARCH("去",D2854)),ISNUMBER(SEARCH("入",D2854)))),"Ambiguous",IF(ISNUMBER(SEARCH("平",D2854)),"平","仄")))</x:f>
        <x:v>仄</x:v>
      </x:c>
      <x:c r="L2854" s="7" t="str"/>
    </x:row>
    <x:row r="2855">
      <x:c r="A2855" s="5" t="str">
        <x:v>稔</x:v>
      </x:c>
      <x:c r="B2855" s="6" t="str">
        <x:v>上</x:v>
      </x:c>
      <x:c r="C2855" s="6" t="str">
        <x:f>IF(B2855="","Needs decision","Ready")</x:f>
        <x:v>Ready</x:v>
      </x:c>
      <x:c r="D2855" s="6" t="str">
        <x:v>上</x:v>
      </x:c>
      <x:c r="E2855" s="6" t="str">
        <x:v>nyimX (B)</x:v>
      </x:c>
      <x:c r="F2855" s="6" t="str">
        <x:v>上聲二十六寢</x:v>
      </x:c>
      <x:c r="G2855" s="6" t="str">
        <x:v>Pingshui main list, Wikisource-derived DOCX</x:v>
      </x:c>
      <x:c r="H2855" s="6" t="str">
        <x:v>1</x:v>
      </x:c>
      <x:c r="I2855" s="6" t="str"/>
      <x:c r="J2855" s="6" t="str">
        <x:f>IF(B2855="","",IF(AND(ISNUMBER(SEARCH("平",B2855)),OR(ISNUMBER(SEARCH("上",B2855)),ISNUMBER(SEARCH("去",B2855)),ISNUMBER(SEARCH("入",B2855)))),"Ambiguous",IF(ISNUMBER(SEARCH("平",B2855)),"平","仄")))</x:f>
        <x:v>仄</x:v>
      </x:c>
      <x:c r="K2855" s="6" t="str">
        <x:f>IF(D2855="","",IF(AND(ISNUMBER(SEARCH("平",D2855)),OR(ISNUMBER(SEARCH("上",D2855)),ISNUMBER(SEARCH("去",D2855)),ISNUMBER(SEARCH("入",D2855)))),"Ambiguous",IF(ISNUMBER(SEARCH("平",D2855)),"平","仄")))</x:f>
        <x:v>仄</x:v>
      </x:c>
      <x:c r="L2855" s="7" t="str"/>
    </x:row>
    <x:row r="2856">
      <x:c r="A2856" s="5" t="str">
        <x:v>稗</x:v>
      </x:c>
      <x:c r="B2856" s="6" t="str">
        <x:v>去</x:v>
      </x:c>
      <x:c r="C2856" s="6" t="str">
        <x:f>IF(B2856="","Needs decision","Ready")</x:f>
        <x:v>Ready</x:v>
      </x:c>
      <x:c r="D2856" s="6" t="str">
        <x:v>去</x:v>
      </x:c>
      <x:c r="E2856" s="6" t="str">
        <x:v>beaH (C)</x:v>
      </x:c>
      <x:c r="F2856" s="6" t="str">
        <x:v>去聲十卦</x:v>
      </x:c>
      <x:c r="G2856" s="6" t="str">
        <x:v>Pingshui main list, Wikisource-derived DOCX</x:v>
      </x:c>
      <x:c r="H2856" s="6" t="str">
        <x:v>1</x:v>
      </x:c>
      <x:c r="I2856" s="6" t="str"/>
      <x:c r="J2856" s="6" t="str">
        <x:f>IF(B2856="","",IF(AND(ISNUMBER(SEARCH("平",B2856)),OR(ISNUMBER(SEARCH("上",B2856)),ISNUMBER(SEARCH("去",B2856)),ISNUMBER(SEARCH("入",B2856)))),"Ambiguous",IF(ISNUMBER(SEARCH("平",B2856)),"平","仄")))</x:f>
        <x:v>仄</x:v>
      </x:c>
      <x:c r="K2856" s="6" t="str">
        <x:f>IF(D2856="","",IF(AND(ISNUMBER(SEARCH("平",D2856)),OR(ISNUMBER(SEARCH("上",D2856)),ISNUMBER(SEARCH("去",D2856)),ISNUMBER(SEARCH("入",D2856)))),"Ambiguous",IF(ISNUMBER(SEARCH("平",D2856)),"平","仄")))</x:f>
        <x:v>仄</x:v>
      </x:c>
      <x:c r="L2856" s="7" t="str"/>
    </x:row>
    <x:row r="2857">
      <x:c r="A2857" s="5" t="str">
        <x:v>稙</x:v>
      </x:c>
      <x:c r="B2857" s="6" t="str">
        <x:v>入</x:v>
      </x:c>
      <x:c r="C2857" s="6" t="str">
        <x:f>IF(B2857="","Needs decision","Ready")</x:f>
        <x:v>Ready</x:v>
      </x:c>
      <x:c r="D2857" s="6" t="str">
        <x:v>入</x:v>
      </x:c>
      <x:c r="E2857" s="6" t="str">
        <x:v>trik (D)</x:v>
      </x:c>
      <x:c r="F2857" s="6" t="str"/>
      <x:c r="G2857" s="6" t="str"/>
      <x:c r="H2857" s="6" t="str">
        <x:v>1</x:v>
      </x:c>
      <x:c r="I2857" s="6" t="str"/>
      <x:c r="J2857" s="6" t="str">
        <x:f>IF(B2857="","",IF(AND(ISNUMBER(SEARCH("平",B2857)),OR(ISNUMBER(SEARCH("上",B2857)),ISNUMBER(SEARCH("去",B2857)),ISNUMBER(SEARCH("入",B2857)))),"Ambiguous",IF(ISNUMBER(SEARCH("平",B2857)),"平","仄")))</x:f>
        <x:v>仄</x:v>
      </x:c>
      <x:c r="K2857" s="6" t="str">
        <x:f>IF(D2857="","",IF(AND(ISNUMBER(SEARCH("平",D2857)),OR(ISNUMBER(SEARCH("上",D2857)),ISNUMBER(SEARCH("去",D2857)),ISNUMBER(SEARCH("入",D2857)))),"Ambiguous",IF(ISNUMBER(SEARCH("平",D2857)),"平","仄")))</x:f>
        <x:v>仄</x:v>
      </x:c>
      <x:c r="L2857" s="7" t="str"/>
    </x:row>
    <x:row r="2858">
      <x:c r="A2858" s="5" t="str">
        <x:v>稚</x:v>
      </x:c>
      <x:c r="B2858" s="6" t="str">
        <x:v>去</x:v>
      </x:c>
      <x:c r="C2858" s="6" t="str">
        <x:f>IF(B2858="","Needs decision","Ready")</x:f>
        <x:v>Ready</x:v>
      </x:c>
      <x:c r="D2858" s="6" t="str">
        <x:v>去</x:v>
      </x:c>
      <x:c r="E2858" s="6" t="str">
        <x:v>drijH (C)</x:v>
      </x:c>
      <x:c r="F2858" s="6" t="str"/>
      <x:c r="G2858" s="6" t="str"/>
      <x:c r="H2858" s="6" t="str">
        <x:v>1</x:v>
      </x:c>
      <x:c r="I2858" s="6" t="str"/>
      <x:c r="J2858" s="6" t="str">
        <x:f>IF(B2858="","",IF(AND(ISNUMBER(SEARCH("平",B2858)),OR(ISNUMBER(SEARCH("上",B2858)),ISNUMBER(SEARCH("去",B2858)),ISNUMBER(SEARCH("入",B2858)))),"Ambiguous",IF(ISNUMBER(SEARCH("平",B2858)),"平","仄")))</x:f>
        <x:v>仄</x:v>
      </x:c>
      <x:c r="K2858" s="6" t="str">
        <x:f>IF(D2858="","",IF(AND(ISNUMBER(SEARCH("平",D2858)),OR(ISNUMBER(SEARCH("上",D2858)),ISNUMBER(SEARCH("去",D2858)),ISNUMBER(SEARCH("入",D2858)))),"Ambiguous",IF(ISNUMBER(SEARCH("平",D2858)),"平","仄")))</x:f>
        <x:v>仄</x:v>
      </x:c>
      <x:c r="L2858" s="7" t="str"/>
    </x:row>
    <x:row r="2859">
      <x:c r="A2859" s="5" t="str">
        <x:v>稜</x:v>
      </x:c>
      <x:c r="B2859" s="6" t="str">
        <x:v>平</x:v>
      </x:c>
      <x:c r="C2859" s="6" t="str">
        <x:f>IF(B2859="","Needs decision","Ready")</x:f>
        <x:v>Ready</x:v>
      </x:c>
      <x:c r="D2859" s="6" t="str">
        <x:v>平</x:v>
      </x:c>
      <x:c r="E2859" s="6" t="str">
        <x:v>long [l̙əŋ] (平)</x:v>
      </x:c>
      <x:c r="F2859" s="6" t="str"/>
      <x:c r="G2859" s="6" t="str"/>
      <x:c r="H2859" s="6" t="str">
        <x:v>1</x:v>
      </x:c>
      <x:c r="I2859" s="6" t="str">
        <x:v>Tang 300 gap; frequency 1; provisional from Xun Gong</x:v>
      </x:c>
      <x:c r="J2859" s="6" t="str">
        <x:f>IF(B2859="","",IF(AND(ISNUMBER(SEARCH("平",B2859)),OR(ISNUMBER(SEARCH("上",B2859)),ISNUMBER(SEARCH("去",B2859)),ISNUMBER(SEARCH("入",B2859)))),"Ambiguous",IF(ISNUMBER(SEARCH("平",B2859)),"平","仄")))</x:f>
        <x:v>平</x:v>
      </x:c>
      <x:c r="K2859" s="6" t="str">
        <x:f>IF(D2859="","",IF(AND(ISNUMBER(SEARCH("平",D2859)),OR(ISNUMBER(SEARCH("上",D2859)),ISNUMBER(SEARCH("去",D2859)),ISNUMBER(SEARCH("入",D2859)))),"Ambiguous",IF(ISNUMBER(SEARCH("平",D2859)),"平","仄")))</x:f>
        <x:v>平</x:v>
      </x:c>
      <x:c r="L2859" s="7" t="str">
        <x:v>Xun Gong, Tang 300 gap fill</x:v>
      </x:c>
    </x:row>
    <x:row r="2860">
      <x:c r="A2860" s="5" t="str">
        <x:v>稟</x:v>
      </x:c>
      <x:c r="B2860" s="6" t="str">
        <x:v>上</x:v>
      </x:c>
      <x:c r="C2860" s="6" t="str">
        <x:f>IF(B2860="","Needs decision","Ready")</x:f>
        <x:v>Ready</x:v>
      </x:c>
      <x:c r="D2860" s="6" t="str">
        <x:v>上</x:v>
      </x:c>
      <x:c r="E2860" s="6" t="str">
        <x:v>pimX (B); limX (B)</x:v>
      </x:c>
      <x:c r="F2860" s="6" t="str">
        <x:v>上聲二十六寢</x:v>
      </x:c>
      <x:c r="G2860" s="6" t="str">
        <x:v>Pingshui main list, Wikisource-derived DOCX</x:v>
      </x:c>
      <x:c r="H2860" s="6" t="str">
        <x:v>2</x:v>
      </x:c>
      <x:c r="I2860" s="6" t="str"/>
      <x:c r="J2860" s="6" t="str">
        <x:f>IF(B2860="","",IF(AND(ISNUMBER(SEARCH("平",B2860)),OR(ISNUMBER(SEARCH("上",B2860)),ISNUMBER(SEARCH("去",B2860)),ISNUMBER(SEARCH("入",B2860)))),"Ambiguous",IF(ISNUMBER(SEARCH("平",B2860)),"平","仄")))</x:f>
        <x:v>仄</x:v>
      </x:c>
      <x:c r="K2860" s="6" t="str">
        <x:f>IF(D2860="","",IF(AND(ISNUMBER(SEARCH("平",D2860)),OR(ISNUMBER(SEARCH("上",D2860)),ISNUMBER(SEARCH("去",D2860)),ISNUMBER(SEARCH("入",D2860)))),"Ambiguous",IF(ISNUMBER(SEARCH("平",D2860)),"平","仄")))</x:f>
        <x:v>仄</x:v>
      </x:c>
      <x:c r="L2860" s="7" t="str"/>
    </x:row>
    <x:row r="2861">
      <x:c r="A2861" s="5" t="str">
        <x:v>稠</x:v>
      </x:c>
      <x:c r="B2861" s="6" t="str">
        <x:v>平</x:v>
      </x:c>
      <x:c r="C2861" s="6" t="str">
        <x:f>IF(B2861="","Needs decision","Ready")</x:f>
        <x:v>Ready</x:v>
      </x:c>
      <x:c r="D2861" s="6" t="str">
        <x:v>平</x:v>
      </x:c>
      <x:c r="E2861" s="6" t="str">
        <x:v>drjuw (A)</x:v>
      </x:c>
      <x:c r="F2861" s="6" t="str">
        <x:v>下平聲十一尤</x:v>
      </x:c>
      <x:c r="G2861" s="6" t="str">
        <x:v>Pingshui main list, Wikisource-derived DOCX</x:v>
      </x:c>
      <x:c r="H2861" s="6" t="str">
        <x:v>1</x:v>
      </x:c>
      <x:c r="I2861" s="6" t="str"/>
      <x:c r="J2861" s="6" t="str">
        <x:f>IF(B2861="","",IF(AND(ISNUMBER(SEARCH("平",B2861)),OR(ISNUMBER(SEARCH("上",B2861)),ISNUMBER(SEARCH("去",B2861)),ISNUMBER(SEARCH("入",B2861)))),"Ambiguous",IF(ISNUMBER(SEARCH("平",B2861)),"平","仄")))</x:f>
        <x:v>平</x:v>
      </x:c>
      <x:c r="K2861" s="6" t="str">
        <x:f>IF(D2861="","",IF(AND(ISNUMBER(SEARCH("平",D2861)),OR(ISNUMBER(SEARCH("上",D2861)),ISNUMBER(SEARCH("去",D2861)),ISNUMBER(SEARCH("入",D2861)))),"Ambiguous",IF(ISNUMBER(SEARCH("平",D2861)),"平","仄")))</x:f>
        <x:v>平</x:v>
      </x:c>
      <x:c r="L2861" s="7" t="str"/>
    </x:row>
    <x:row r="2862">
      <x:c r="A2862" s="5" t="str">
        <x:v>種</x:v>
      </x:c>
      <x:c r="B2862" s="6" t="str"/>
      <x:c r="C2862" s="6" t="str">
        <x:f>IF(B2862="","Needs decision","Ready")</x:f>
        <x:v>Needs decision</x:v>
      </x:c>
      <x:c r="D2862" s="6" t="str">
        <x:v>上/去</x:v>
      </x:c>
      <x:c r="E2862" s="6" t="str">
        <x:v>tsyowngX (B); tsyowngH (C)</x:v>
      </x:c>
      <x:c r="F2862" s="6" t="str">
        <x:v>上平聲一東; 上聲二腫; 去聲二宋</x:v>
      </x:c>
      <x:c r="G2862" s="6" t="str">
        <x:v>Pingshui main list, Wikisource-derived DOCX</x:v>
      </x:c>
      <x:c r="H2862" s="6" t="str">
        <x:v>2</x:v>
      </x:c>
      <x:c r="I2862" s="6" t="str"/>
      <x:c r="J2862" s="6" t="str">
        <x:f>IF(B2862="","",IF(AND(ISNUMBER(SEARCH("平",B2862)),OR(ISNUMBER(SEARCH("上",B2862)),ISNUMBER(SEARCH("去",B2862)),ISNUMBER(SEARCH("入",B2862)))),"Ambiguous",IF(ISNUMBER(SEARCH("平",B2862)),"平","仄")))</x:f>
      </x:c>
      <x:c r="K2862" s="6" t="str">
        <x:f>IF(D2862="","",IF(AND(ISNUMBER(SEARCH("平",D2862)),OR(ISNUMBER(SEARCH("上",D2862)),ISNUMBER(SEARCH("去",D2862)),ISNUMBER(SEARCH("入",D2862)))),"Ambiguous",IF(ISNUMBER(SEARCH("平",D2862)),"平","仄")))</x:f>
        <x:v>仄</x:v>
      </x:c>
      <x:c r="L2862" s="7" t="str"/>
    </x:row>
    <x:row r="2863">
      <x:c r="A2863" s="5" t="str">
        <x:v>稯</x:v>
      </x:c>
      <x:c r="B2863" s="6" t="str">
        <x:v>平</x:v>
      </x:c>
      <x:c r="C2863" s="6" t="str">
        <x:f>IF(B2863="","Needs decision","Ready")</x:f>
        <x:v>Ready</x:v>
      </x:c>
      <x:c r="D2863" s="6" t="str">
        <x:v>平</x:v>
      </x:c>
      <x:c r="E2863" s="6" t="str">
        <x:v>tsuwng (A)</x:v>
      </x:c>
      <x:c r="F2863" s="6" t="str">
        <x:v>上平聲一東</x:v>
      </x:c>
      <x:c r="G2863" s="6" t="str">
        <x:v>Pingshui main list, Wikisource-derived DOCX</x:v>
      </x:c>
      <x:c r="H2863" s="6" t="str">
        <x:v>1</x:v>
      </x:c>
      <x:c r="I2863" s="6" t="str"/>
      <x:c r="J2863" s="6" t="str">
        <x:f>IF(B2863="","",IF(AND(ISNUMBER(SEARCH("平",B2863)),OR(ISNUMBER(SEARCH("上",B2863)),ISNUMBER(SEARCH("去",B2863)),ISNUMBER(SEARCH("入",B2863)))),"Ambiguous",IF(ISNUMBER(SEARCH("平",B2863)),"平","仄")))</x:f>
        <x:v>平</x:v>
      </x:c>
      <x:c r="K2863" s="6" t="str">
        <x:f>IF(D2863="","",IF(AND(ISNUMBER(SEARCH("平",D2863)),OR(ISNUMBER(SEARCH("上",D2863)),ISNUMBER(SEARCH("去",D2863)),ISNUMBER(SEARCH("入",D2863)))),"Ambiguous",IF(ISNUMBER(SEARCH("平",D2863)),"平","仄")))</x:f>
        <x:v>平</x:v>
      </x:c>
      <x:c r="L2863" s="7" t="str"/>
    </x:row>
    <x:row r="2864">
      <x:c r="A2864" s="5" t="str">
        <x:v>稱</x:v>
      </x:c>
      <x:c r="B2864" s="6" t="str"/>
      <x:c r="C2864" s="6" t="str">
        <x:f>IF(B2864="","Needs decision","Ready")</x:f>
        <x:v>Needs decision</x:v>
      </x:c>
      <x:c r="D2864" s="6" t="str">
        <x:v>平/去</x:v>
      </x:c>
      <x:c r="E2864" s="6" t="str">
        <x:v>tsyhing (A); tsyhingH (C)</x:v>
      </x:c>
      <x:c r="F2864" s="6" t="str">
        <x:v>下平聲十蒸; 去聲二十五徑</x:v>
      </x:c>
      <x:c r="G2864" s="6" t="str">
        <x:v>Pingshui main list, Wikisource-derived DOCX</x:v>
      </x:c>
      <x:c r="H2864" s="6" t="str">
        <x:v>2</x:v>
      </x:c>
      <x:c r="I2864" s="6" t="str"/>
      <x:c r="J2864" s="6" t="str">
        <x:f>IF(B2864="","",IF(AND(ISNUMBER(SEARCH("平",B2864)),OR(ISNUMBER(SEARCH("上",B2864)),ISNUMBER(SEARCH("去",B2864)),ISNUMBER(SEARCH("入",B2864)))),"Ambiguous",IF(ISNUMBER(SEARCH("平",B2864)),"平","仄")))</x:f>
      </x:c>
      <x:c r="K2864" s="6" t="str">
        <x:f>IF(D2864="","",IF(AND(ISNUMBER(SEARCH("平",D2864)),OR(ISNUMBER(SEARCH("上",D2864)),ISNUMBER(SEARCH("去",D2864)),ISNUMBER(SEARCH("入",D2864)))),"Ambiguous",IF(ISNUMBER(SEARCH("平",D2864)),"平","仄")))</x:f>
        <x:v>Ambiguous</x:v>
      </x:c>
      <x:c r="L2864" s="7" t="str"/>
    </x:row>
    <x:row r="2865">
      <x:c r="A2865" s="5" t="str">
        <x:v>稷</x:v>
      </x:c>
      <x:c r="B2865" s="6" t="str">
        <x:v>入</x:v>
      </x:c>
      <x:c r="C2865" s="6" t="str">
        <x:f>IF(B2865="","Needs decision","Ready")</x:f>
        <x:v>Ready</x:v>
      </x:c>
      <x:c r="D2865" s="6" t="str">
        <x:v>入</x:v>
      </x:c>
      <x:c r="E2865" s="6" t="str">
        <x:v>tsik (D)</x:v>
      </x:c>
      <x:c r="F2865" s="6" t="str">
        <x:v>入聲十三職</x:v>
      </x:c>
      <x:c r="G2865" s="6" t="str">
        <x:v>Pingshui main list, Wikisource-derived DOCX</x:v>
      </x:c>
      <x:c r="H2865" s="6" t="str">
        <x:v>1</x:v>
      </x:c>
      <x:c r="I2865" s="6" t="str"/>
      <x:c r="J2865" s="6" t="str">
        <x:f>IF(B2865="","",IF(AND(ISNUMBER(SEARCH("平",B2865)),OR(ISNUMBER(SEARCH("上",B2865)),ISNUMBER(SEARCH("去",B2865)),ISNUMBER(SEARCH("入",B2865)))),"Ambiguous",IF(ISNUMBER(SEARCH("平",B2865)),"平","仄")))</x:f>
        <x:v>仄</x:v>
      </x:c>
      <x:c r="K2865" s="6" t="str">
        <x:f>IF(D2865="","",IF(AND(ISNUMBER(SEARCH("平",D2865)),OR(ISNUMBER(SEARCH("上",D2865)),ISNUMBER(SEARCH("去",D2865)),ISNUMBER(SEARCH("入",D2865)))),"Ambiguous",IF(ISNUMBER(SEARCH("平",D2865)),"平","仄")))</x:f>
        <x:v>仄</x:v>
      </x:c>
      <x:c r="L2865" s="7" t="str"/>
    </x:row>
    <x:row r="2866">
      <x:c r="A2866" s="5" t="str">
        <x:v>稸</x:v>
      </x:c>
      <x:c r="B2866" s="6" t="str">
        <x:v>入</x:v>
      </x:c>
      <x:c r="C2866" s="6" t="str">
        <x:f>IF(B2866="","Needs decision","Ready")</x:f>
        <x:v>Ready</x:v>
      </x:c>
      <x:c r="D2866" s="6" t="str">
        <x:v>入</x:v>
      </x:c>
      <x:c r="E2866" s="6" t="str">
        <x:v>trhjuwk (D); xjuwk (D)</x:v>
      </x:c>
      <x:c r="F2866" s="6" t="str"/>
      <x:c r="G2866" s="6" t="str"/>
      <x:c r="H2866" s="6" t="str">
        <x:v>2</x:v>
      </x:c>
      <x:c r="I2866" s="6" t="str"/>
      <x:c r="J2866" s="6" t="str">
        <x:f>IF(B2866="","",IF(AND(ISNUMBER(SEARCH("平",B2866)),OR(ISNUMBER(SEARCH("上",B2866)),ISNUMBER(SEARCH("去",B2866)),ISNUMBER(SEARCH("入",B2866)))),"Ambiguous",IF(ISNUMBER(SEARCH("平",B2866)),"平","仄")))</x:f>
        <x:v>仄</x:v>
      </x:c>
      <x:c r="K2866" s="6" t="str">
        <x:f>IF(D2866="","",IF(AND(ISNUMBER(SEARCH("平",D2866)),OR(ISNUMBER(SEARCH("上",D2866)),ISNUMBER(SEARCH("去",D2866)),ISNUMBER(SEARCH("入",D2866)))),"Ambiguous",IF(ISNUMBER(SEARCH("平",D2866)),"平","仄")))</x:f>
        <x:v>仄</x:v>
      </x:c>
      <x:c r="L2866" s="7" t="str"/>
    </x:row>
    <x:row r="2867">
      <x:c r="A2867" s="5" t="str">
        <x:v>稹</x:v>
      </x:c>
      <x:c r="B2867" s="6" t="str">
        <x:v>上</x:v>
      </x:c>
      <x:c r="C2867" s="6" t="str">
        <x:f>IF(B2867="","Needs decision","Ready")</x:f>
        <x:v>Ready</x:v>
      </x:c>
      <x:c r="D2867" s="6" t="str">
        <x:v>上</x:v>
      </x:c>
      <x:c r="E2867" s="6" t="str">
        <x:v>tsyinX (B)</x:v>
      </x:c>
      <x:c r="F2867" s="6" t="str">
        <x:v>上聲十一軫</x:v>
      </x:c>
      <x:c r="G2867" s="6" t="str">
        <x:v>Pingshui main list, Wikisource-derived DOCX</x:v>
      </x:c>
      <x:c r="H2867" s="6" t="str">
        <x:v>1</x:v>
      </x:c>
      <x:c r="I2867" s="6" t="str"/>
      <x:c r="J2867" s="6" t="str">
        <x:f>IF(B2867="","",IF(AND(ISNUMBER(SEARCH("平",B2867)),OR(ISNUMBER(SEARCH("上",B2867)),ISNUMBER(SEARCH("去",B2867)),ISNUMBER(SEARCH("入",B2867)))),"Ambiguous",IF(ISNUMBER(SEARCH("平",B2867)),"平","仄")))</x:f>
        <x:v>仄</x:v>
      </x:c>
      <x:c r="K2867" s="6" t="str">
        <x:f>IF(D2867="","",IF(AND(ISNUMBER(SEARCH("平",D2867)),OR(ISNUMBER(SEARCH("上",D2867)),ISNUMBER(SEARCH("去",D2867)),ISNUMBER(SEARCH("入",D2867)))),"Ambiguous",IF(ISNUMBER(SEARCH("平",D2867)),"平","仄")))</x:f>
        <x:v>仄</x:v>
      </x:c>
      <x:c r="L2867" s="7" t="str"/>
    </x:row>
    <x:row r="2868">
      <x:c r="A2868" s="5" t="str">
        <x:v>稺</x:v>
      </x:c>
      <x:c r="B2868" s="6" t="str">
        <x:v>去</x:v>
      </x:c>
      <x:c r="C2868" s="6" t="str">
        <x:f>IF(B2868="","Needs decision","Ready")</x:f>
        <x:v>Ready</x:v>
      </x:c>
      <x:c r="D2868" s="6" t="str">
        <x:v>去</x:v>
      </x:c>
      <x:c r="E2868" s="6" t="str">
        <x:v>drijH (C)</x:v>
      </x:c>
      <x:c r="F2868" s="6" t="str"/>
      <x:c r="G2868" s="6" t="str"/>
      <x:c r="H2868" s="6" t="str">
        <x:v>1</x:v>
      </x:c>
      <x:c r="I2868" s="6" t="str"/>
      <x:c r="J2868" s="6" t="str">
        <x:f>IF(B2868="","",IF(AND(ISNUMBER(SEARCH("平",B2868)),OR(ISNUMBER(SEARCH("上",B2868)),ISNUMBER(SEARCH("去",B2868)),ISNUMBER(SEARCH("入",B2868)))),"Ambiguous",IF(ISNUMBER(SEARCH("平",B2868)),"平","仄")))</x:f>
        <x:v>仄</x:v>
      </x:c>
      <x:c r="K2868" s="6" t="str">
        <x:f>IF(D2868="","",IF(AND(ISNUMBER(SEARCH("平",D2868)),OR(ISNUMBER(SEARCH("上",D2868)),ISNUMBER(SEARCH("去",D2868)),ISNUMBER(SEARCH("入",D2868)))),"Ambiguous",IF(ISNUMBER(SEARCH("平",D2868)),"平","仄")))</x:f>
        <x:v>仄</x:v>
      </x:c>
      <x:c r="L2868" s="7" t="str"/>
    </x:row>
    <x:row r="2869">
      <x:c r="A2869" s="5" t="str">
        <x:v>稻</x:v>
      </x:c>
      <x:c r="B2869" s="6" t="str">
        <x:v>上</x:v>
      </x:c>
      <x:c r="C2869" s="6" t="str">
        <x:f>IF(B2869="","Needs decision","Ready")</x:f>
        <x:v>Ready</x:v>
      </x:c>
      <x:c r="D2869" s="6" t="str">
        <x:v>上</x:v>
      </x:c>
      <x:c r="E2869" s="6" t="str">
        <x:v>dawX (B)</x:v>
      </x:c>
      <x:c r="F2869" s="6" t="str">
        <x:v>上聲十九皓</x:v>
      </x:c>
      <x:c r="G2869" s="6" t="str">
        <x:v>Pingshui main list, Wikisource-derived DOCX</x:v>
      </x:c>
      <x:c r="H2869" s="6" t="str">
        <x:v>1</x:v>
      </x:c>
      <x:c r="I2869" s="6" t="str"/>
      <x:c r="J2869" s="6" t="str">
        <x:f>IF(B2869="","",IF(AND(ISNUMBER(SEARCH("平",B2869)),OR(ISNUMBER(SEARCH("上",B2869)),ISNUMBER(SEARCH("去",B2869)),ISNUMBER(SEARCH("入",B2869)))),"Ambiguous",IF(ISNUMBER(SEARCH("平",B2869)),"平","仄")))</x:f>
        <x:v>仄</x:v>
      </x:c>
      <x:c r="K2869" s="6" t="str">
        <x:f>IF(D2869="","",IF(AND(ISNUMBER(SEARCH("平",D2869)),OR(ISNUMBER(SEARCH("上",D2869)),ISNUMBER(SEARCH("去",D2869)),ISNUMBER(SEARCH("入",D2869)))),"Ambiguous",IF(ISNUMBER(SEARCH("平",D2869)),"平","仄")))</x:f>
        <x:v>仄</x:v>
      </x:c>
      <x:c r="L2869" s="7" t="str"/>
    </x:row>
    <x:row r="2870">
      <x:c r="A2870" s="5" t="str">
        <x:v>稼</x:v>
      </x:c>
      <x:c r="B2870" s="6" t="str">
        <x:v>去</x:v>
      </x:c>
      <x:c r="C2870" s="6" t="str">
        <x:f>IF(B2870="","Needs decision","Ready")</x:f>
        <x:v>Ready</x:v>
      </x:c>
      <x:c r="D2870" s="6" t="str">
        <x:v>去</x:v>
      </x:c>
      <x:c r="E2870" s="6" t="str">
        <x:v>kaeH (C)</x:v>
      </x:c>
      <x:c r="F2870" s="6" t="str">
        <x:v>去聲二十二禡</x:v>
      </x:c>
      <x:c r="G2870" s="6" t="str">
        <x:v>Pingshui main list, Wikisource-derived DOCX</x:v>
      </x:c>
      <x:c r="H2870" s="6" t="str">
        <x:v>1</x:v>
      </x:c>
      <x:c r="I2870" s="6" t="str"/>
      <x:c r="J2870" s="6" t="str">
        <x:f>IF(B2870="","",IF(AND(ISNUMBER(SEARCH("平",B2870)),OR(ISNUMBER(SEARCH("上",B2870)),ISNUMBER(SEARCH("去",B2870)),ISNUMBER(SEARCH("入",B2870)))),"Ambiguous",IF(ISNUMBER(SEARCH("平",B2870)),"平","仄")))</x:f>
        <x:v>仄</x:v>
      </x:c>
      <x:c r="K2870" s="6" t="str">
        <x:f>IF(D2870="","",IF(AND(ISNUMBER(SEARCH("平",D2870)),OR(ISNUMBER(SEARCH("上",D2870)),ISNUMBER(SEARCH("去",D2870)),ISNUMBER(SEARCH("入",D2870)))),"Ambiguous",IF(ISNUMBER(SEARCH("平",D2870)),"平","仄")))</x:f>
        <x:v>仄</x:v>
      </x:c>
      <x:c r="L2870" s="7" t="str"/>
    </x:row>
    <x:row r="2871">
      <x:c r="A2871" s="5" t="str">
        <x:v>稽</x:v>
      </x:c>
      <x:c r="B2871" s="6" t="str">
        <x:v>平</x:v>
      </x:c>
      <x:c r="C2871" s="6" t="str">
        <x:f>IF(B2871="","Needs decision","Ready")</x:f>
        <x:v>Ready</x:v>
      </x:c>
      <x:c r="D2871" s="6" t="str">
        <x:v>平/上</x:v>
      </x:c>
      <x:c r="E2871" s="6" t="str">
        <x:v>kej (A); khejX (B)</x:v>
      </x:c>
      <x:c r="F2871" s="6" t="str">
        <x:v>上平聲八齊</x:v>
      </x:c>
      <x:c r="G2871" s="6" t="str">
        <x:v>Pingshui main list, Wikisource-derived DOCX</x:v>
      </x:c>
      <x:c r="H2871" s="6" t="str">
        <x:v>2</x:v>
      </x:c>
      <x:c r="I2871" s="6" t="str"/>
      <x:c r="J2871" s="6" t="str">
        <x:f>IF(B2871="","",IF(AND(ISNUMBER(SEARCH("平",B2871)),OR(ISNUMBER(SEARCH("上",B2871)),ISNUMBER(SEARCH("去",B2871)),ISNUMBER(SEARCH("入",B2871)))),"Ambiguous",IF(ISNUMBER(SEARCH("平",B2871)),"平","仄")))</x:f>
        <x:v>平</x:v>
      </x:c>
      <x:c r="K2871" s="6" t="str">
        <x:f>IF(D2871="","",IF(AND(ISNUMBER(SEARCH("平",D2871)),OR(ISNUMBER(SEARCH("上",D2871)),ISNUMBER(SEARCH("去",D2871)),ISNUMBER(SEARCH("入",D2871)))),"Ambiguous",IF(ISNUMBER(SEARCH("平",D2871)),"平","仄")))</x:f>
        <x:v>Ambiguous</x:v>
      </x:c>
      <x:c r="L2871" s="7" t="str"/>
    </x:row>
    <x:row r="2872">
      <x:c r="A2872" s="5" t="str">
        <x:v>稿</x:v>
      </x:c>
      <x:c r="B2872" s="6" t="str">
        <x:v>上</x:v>
      </x:c>
      <x:c r="C2872" s="6" t="str">
        <x:f>IF(B2872="","Needs decision","Ready")</x:f>
        <x:v>Ready</x:v>
      </x:c>
      <x:c r="D2872" s="6" t="str">
        <x:v>上</x:v>
      </x:c>
      <x:c r="E2872" s="6" t="str">
        <x:v>kawX (B)</x:v>
      </x:c>
      <x:c r="F2872" s="6" t="str"/>
      <x:c r="G2872" s="6" t="str"/>
      <x:c r="H2872" s="6" t="str">
        <x:v>1</x:v>
      </x:c>
      <x:c r="I2872" s="6" t="str"/>
      <x:c r="J2872" s="6" t="str">
        <x:f>IF(B2872="","",IF(AND(ISNUMBER(SEARCH("平",B2872)),OR(ISNUMBER(SEARCH("上",B2872)),ISNUMBER(SEARCH("去",B2872)),ISNUMBER(SEARCH("入",B2872)))),"Ambiguous",IF(ISNUMBER(SEARCH("平",B2872)),"平","仄")))</x:f>
        <x:v>仄</x:v>
      </x:c>
      <x:c r="K2872" s="6" t="str">
        <x:f>IF(D2872="","",IF(AND(ISNUMBER(SEARCH("平",D2872)),OR(ISNUMBER(SEARCH("上",D2872)),ISNUMBER(SEARCH("去",D2872)),ISNUMBER(SEARCH("入",D2872)))),"Ambiguous",IF(ISNUMBER(SEARCH("平",D2872)),"平","仄")))</x:f>
        <x:v>仄</x:v>
      </x:c>
      <x:c r="L2872" s="7" t="str"/>
    </x:row>
    <x:row r="2873">
      <x:c r="A2873" s="5" t="str">
        <x:v>穀</x:v>
      </x:c>
      <x:c r="B2873" s="6" t="str">
        <x:v>入</x:v>
      </x:c>
      <x:c r="C2873" s="6" t="str">
        <x:f>IF(B2873="","Needs decision","Ready")</x:f>
        <x:v>Ready</x:v>
      </x:c>
      <x:c r="D2873" s="6" t="str">
        <x:v>入</x:v>
      </x:c>
      <x:c r="E2873" s="6" t="str">
        <x:v>kuwk (D)</x:v>
      </x:c>
      <x:c r="F2873" s="6" t="str"/>
      <x:c r="G2873" s="6" t="str"/>
      <x:c r="H2873" s="6" t="str">
        <x:v>1</x:v>
      </x:c>
      <x:c r="I2873" s="6" t="str"/>
      <x:c r="J2873" s="6" t="str">
        <x:f>IF(B2873="","",IF(AND(ISNUMBER(SEARCH("平",B2873)),OR(ISNUMBER(SEARCH("上",B2873)),ISNUMBER(SEARCH("去",B2873)),ISNUMBER(SEARCH("入",B2873)))),"Ambiguous",IF(ISNUMBER(SEARCH("平",B2873)),"平","仄")))</x:f>
        <x:v>仄</x:v>
      </x:c>
      <x:c r="K2873" s="6" t="str">
        <x:f>IF(D2873="","",IF(AND(ISNUMBER(SEARCH("平",D2873)),OR(ISNUMBER(SEARCH("上",D2873)),ISNUMBER(SEARCH("去",D2873)),ISNUMBER(SEARCH("入",D2873)))),"Ambiguous",IF(ISNUMBER(SEARCH("平",D2873)),"平","仄")))</x:f>
        <x:v>仄</x:v>
      </x:c>
      <x:c r="L2873" s="7" t="str"/>
    </x:row>
    <x:row r="2874">
      <x:c r="A2874" s="5" t="str">
        <x:v>穄</x:v>
      </x:c>
      <x:c r="B2874" s="6" t="str">
        <x:v>去</x:v>
      </x:c>
      <x:c r="C2874" s="6" t="str">
        <x:f>IF(B2874="","Needs decision","Ready")</x:f>
        <x:v>Ready</x:v>
      </x:c>
      <x:c r="D2874" s="6" t="str">
        <x:v>去</x:v>
      </x:c>
      <x:c r="E2874" s="6" t="str">
        <x:v>tsjejH (C)</x:v>
      </x:c>
      <x:c r="F2874" s="6" t="str">
        <x:v>去聲八霽</x:v>
      </x:c>
      <x:c r="G2874" s="6" t="str">
        <x:v>Pingshui main list, Wikisource-derived DOCX</x:v>
      </x:c>
      <x:c r="H2874" s="6" t="str">
        <x:v>1</x:v>
      </x:c>
      <x:c r="I2874" s="6" t="str"/>
      <x:c r="J2874" s="6" t="str">
        <x:f>IF(B2874="","",IF(AND(ISNUMBER(SEARCH("平",B2874)),OR(ISNUMBER(SEARCH("上",B2874)),ISNUMBER(SEARCH("去",B2874)),ISNUMBER(SEARCH("入",B2874)))),"Ambiguous",IF(ISNUMBER(SEARCH("平",B2874)),"平","仄")))</x:f>
        <x:v>仄</x:v>
      </x:c>
      <x:c r="K2874" s="6" t="str">
        <x:f>IF(D2874="","",IF(AND(ISNUMBER(SEARCH("平",D2874)),OR(ISNUMBER(SEARCH("上",D2874)),ISNUMBER(SEARCH("去",D2874)),ISNUMBER(SEARCH("入",D2874)))),"Ambiguous",IF(ISNUMBER(SEARCH("平",D2874)),"平","仄")))</x:f>
        <x:v>仄</x:v>
      </x:c>
      <x:c r="L2874" s="7" t="str"/>
    </x:row>
    <x:row r="2875">
      <x:c r="A2875" s="5" t="str">
        <x:v>穆</x:v>
      </x:c>
      <x:c r="B2875" s="6" t="str">
        <x:v>入</x:v>
      </x:c>
      <x:c r="C2875" s="6" t="str">
        <x:f>IF(B2875="","Needs decision","Ready")</x:f>
        <x:v>Ready</x:v>
      </x:c>
      <x:c r="D2875" s="6" t="str">
        <x:v>入</x:v>
      </x:c>
      <x:c r="E2875" s="6" t="str">
        <x:v>mjuwk (D)</x:v>
      </x:c>
      <x:c r="F2875" s="6" t="str">
        <x:v>入聲一屋</x:v>
      </x:c>
      <x:c r="G2875" s="6" t="str">
        <x:v>Pingshui main list, Wikisource-derived DOCX</x:v>
      </x:c>
      <x:c r="H2875" s="6" t="str">
        <x:v>1</x:v>
      </x:c>
      <x:c r="I2875" s="6" t="str"/>
      <x:c r="J2875" s="6" t="str">
        <x:f>IF(B2875="","",IF(AND(ISNUMBER(SEARCH("平",B2875)),OR(ISNUMBER(SEARCH("上",B2875)),ISNUMBER(SEARCH("去",B2875)),ISNUMBER(SEARCH("入",B2875)))),"Ambiguous",IF(ISNUMBER(SEARCH("平",B2875)),"平","仄")))</x:f>
        <x:v>仄</x:v>
      </x:c>
      <x:c r="K2875" s="6" t="str">
        <x:f>IF(D2875="","",IF(AND(ISNUMBER(SEARCH("平",D2875)),OR(ISNUMBER(SEARCH("上",D2875)),ISNUMBER(SEARCH("去",D2875)),ISNUMBER(SEARCH("入",D2875)))),"Ambiguous",IF(ISNUMBER(SEARCH("平",D2875)),"平","仄")))</x:f>
        <x:v>仄</x:v>
      </x:c>
      <x:c r="L2875" s="7" t="str"/>
    </x:row>
    <x:row r="2876">
      <x:c r="A2876" s="5" t="str">
        <x:v>穈</x:v>
      </x:c>
      <x:c r="B2876" s="6" t="str">
        <x:v>平</x:v>
      </x:c>
      <x:c r="C2876" s="6" t="str">
        <x:f>IF(B2876="","Needs decision","Ready")</x:f>
        <x:v>Ready</x:v>
      </x:c>
      <x:c r="D2876" s="6" t="str">
        <x:v>平</x:v>
      </x:c>
      <x:c r="E2876" s="6" t="str">
        <x:v>mwon (A)</x:v>
      </x:c>
      <x:c r="F2876" s="6" t="str"/>
      <x:c r="G2876" s="6" t="str"/>
      <x:c r="H2876" s="6" t="str">
        <x:v>1</x:v>
      </x:c>
      <x:c r="I2876" s="6" t="str"/>
      <x:c r="J2876" s="6" t="str">
        <x:f>IF(B2876="","",IF(AND(ISNUMBER(SEARCH("平",B2876)),OR(ISNUMBER(SEARCH("上",B2876)),ISNUMBER(SEARCH("去",B2876)),ISNUMBER(SEARCH("入",B2876)))),"Ambiguous",IF(ISNUMBER(SEARCH("平",B2876)),"平","仄")))</x:f>
        <x:v>平</x:v>
      </x:c>
      <x:c r="K2876" s="6" t="str">
        <x:f>IF(D2876="","",IF(AND(ISNUMBER(SEARCH("平",D2876)),OR(ISNUMBER(SEARCH("上",D2876)),ISNUMBER(SEARCH("去",D2876)),ISNUMBER(SEARCH("入",D2876)))),"Ambiguous",IF(ISNUMBER(SEARCH("平",D2876)),"平","仄")))</x:f>
        <x:v>平</x:v>
      </x:c>
      <x:c r="L2876" s="7" t="str"/>
    </x:row>
    <x:row r="2877">
      <x:c r="A2877" s="5" t="str">
        <x:v>穌</x:v>
      </x:c>
      <x:c r="B2877" s="6" t="str">
        <x:v>平</x:v>
      </x:c>
      <x:c r="C2877" s="6" t="str">
        <x:f>IF(B2877="","Needs decision","Ready")</x:f>
        <x:v>Ready</x:v>
      </x:c>
      <x:c r="D2877" s="6" t="str">
        <x:v>平</x:v>
      </x:c>
      <x:c r="E2877" s="6" t="str">
        <x:v>su (A)</x:v>
      </x:c>
      <x:c r="F2877" s="6" t="str">
        <x:v>上平聲七虞</x:v>
      </x:c>
      <x:c r="G2877" s="6" t="str">
        <x:v>Pingshui main list, Wikisource-derived DOCX</x:v>
      </x:c>
      <x:c r="H2877" s="6" t="str">
        <x:v>1</x:v>
      </x:c>
      <x:c r="I2877" s="6" t="str"/>
      <x:c r="J2877" s="6" t="str">
        <x:f>IF(B2877="","",IF(AND(ISNUMBER(SEARCH("平",B2877)),OR(ISNUMBER(SEARCH("上",B2877)),ISNUMBER(SEARCH("去",B2877)),ISNUMBER(SEARCH("入",B2877)))),"Ambiguous",IF(ISNUMBER(SEARCH("平",B2877)),"平","仄")))</x:f>
        <x:v>平</x:v>
      </x:c>
      <x:c r="K2877" s="6" t="str">
        <x:f>IF(D2877="","",IF(AND(ISNUMBER(SEARCH("平",D2877)),OR(ISNUMBER(SEARCH("上",D2877)),ISNUMBER(SEARCH("去",D2877)),ISNUMBER(SEARCH("入",D2877)))),"Ambiguous",IF(ISNUMBER(SEARCH("平",D2877)),"平","仄")))</x:f>
        <x:v>平</x:v>
      </x:c>
      <x:c r="L2877" s="7" t="str"/>
    </x:row>
    <x:row r="2878">
      <x:c r="A2878" s="5" t="str">
        <x:v>積</x:v>
      </x:c>
      <x:c r="B2878" s="6" t="str">
        <x:v>入</x:v>
      </x:c>
      <x:c r="C2878" s="6" t="str">
        <x:f>IF(B2878="","Needs decision","Ready")</x:f>
        <x:v>Ready</x:v>
      </x:c>
      <x:c r="D2878" s="6" t="str">
        <x:v>入</x:v>
      </x:c>
      <x:c r="E2878" s="6" t="str">
        <x:v>tsjek (D)</x:v>
      </x:c>
      <x:c r="F2878" s="6" t="str">
        <x:v>去聲四寘; 入聲十一陌</x:v>
      </x:c>
      <x:c r="G2878" s="6" t="str">
        <x:v>Pingshui main list, Wikisource-derived DOCX</x:v>
      </x:c>
      <x:c r="H2878" s="6" t="str">
        <x:v>1</x:v>
      </x:c>
      <x:c r="I2878" s="6" t="str"/>
      <x:c r="J2878" s="6" t="str">
        <x:f>IF(B2878="","",IF(AND(ISNUMBER(SEARCH("平",B2878)),OR(ISNUMBER(SEARCH("上",B2878)),ISNUMBER(SEARCH("去",B2878)),ISNUMBER(SEARCH("入",B2878)))),"Ambiguous",IF(ISNUMBER(SEARCH("平",B2878)),"平","仄")))</x:f>
        <x:v>仄</x:v>
      </x:c>
      <x:c r="K2878" s="6" t="str">
        <x:f>IF(D2878="","",IF(AND(ISNUMBER(SEARCH("平",D2878)),OR(ISNUMBER(SEARCH("上",D2878)),ISNUMBER(SEARCH("去",D2878)),ISNUMBER(SEARCH("入",D2878)))),"Ambiguous",IF(ISNUMBER(SEARCH("平",D2878)),"平","仄")))</x:f>
        <x:v>仄</x:v>
      </x:c>
      <x:c r="L2878" s="7" t="str"/>
    </x:row>
    <x:row r="2879">
      <x:c r="A2879" s="5" t="str">
        <x:v>穎</x:v>
      </x:c>
      <x:c r="B2879" s="6" t="str">
        <x:v>上</x:v>
      </x:c>
      <x:c r="C2879" s="6" t="str">
        <x:f>IF(B2879="","Needs decision","Ready")</x:f>
        <x:v>Ready</x:v>
      </x:c>
      <x:c r="D2879" s="6" t="str">
        <x:v>上</x:v>
      </x:c>
      <x:c r="E2879" s="6" t="str">
        <x:v>ywengX (B)</x:v>
      </x:c>
      <x:c r="F2879" s="6" t="str">
        <x:v>上聲二十三梗</x:v>
      </x:c>
      <x:c r="G2879" s="6" t="str">
        <x:v>Pingshui main list, Wikisource-derived DOCX</x:v>
      </x:c>
      <x:c r="H2879" s="6" t="str">
        <x:v>1</x:v>
      </x:c>
      <x:c r="I2879" s="6" t="str"/>
      <x:c r="J2879" s="6" t="str">
        <x:f>IF(B2879="","",IF(AND(ISNUMBER(SEARCH("平",B2879)),OR(ISNUMBER(SEARCH("上",B2879)),ISNUMBER(SEARCH("去",B2879)),ISNUMBER(SEARCH("入",B2879)))),"Ambiguous",IF(ISNUMBER(SEARCH("平",B2879)),"平","仄")))</x:f>
        <x:v>仄</x:v>
      </x:c>
      <x:c r="K2879" s="6" t="str">
        <x:f>IF(D2879="","",IF(AND(ISNUMBER(SEARCH("平",D2879)),OR(ISNUMBER(SEARCH("上",D2879)),ISNUMBER(SEARCH("去",D2879)),ISNUMBER(SEARCH("入",D2879)))),"Ambiguous",IF(ISNUMBER(SEARCH("平",D2879)),"平","仄")))</x:f>
        <x:v>仄</x:v>
      </x:c>
      <x:c r="L2879" s="7" t="str"/>
    </x:row>
    <x:row r="2880">
      <x:c r="A2880" s="5" t="str">
        <x:v>穗</x:v>
      </x:c>
      <x:c r="B2880" s="6" t="str">
        <x:v>去</x:v>
      </x:c>
      <x:c r="C2880" s="6" t="str">
        <x:f>IF(B2880="","Needs decision","Ready")</x:f>
        <x:v>Ready</x:v>
      </x:c>
      <x:c r="D2880" s="6" t="str">
        <x:v>去</x:v>
      </x:c>
      <x:c r="E2880" s="6" t="str">
        <x:v>zwijH (C)</x:v>
      </x:c>
      <x:c r="F2880" s="6" t="str">
        <x:v>去聲四寘</x:v>
      </x:c>
      <x:c r="G2880" s="6" t="str">
        <x:v>Pingshui main list, Wikisource-derived DOCX</x:v>
      </x:c>
      <x:c r="H2880" s="6" t="str">
        <x:v>1</x:v>
      </x:c>
      <x:c r="I2880" s="6" t="str"/>
      <x:c r="J2880" s="6" t="str">
        <x:f>IF(B2880="","",IF(AND(ISNUMBER(SEARCH("平",B2880)),OR(ISNUMBER(SEARCH("上",B2880)),ISNUMBER(SEARCH("去",B2880)),ISNUMBER(SEARCH("入",B2880)))),"Ambiguous",IF(ISNUMBER(SEARCH("平",B2880)),"平","仄")))</x:f>
        <x:v>仄</x:v>
      </x:c>
      <x:c r="K2880" s="6" t="str">
        <x:f>IF(D2880="","",IF(AND(ISNUMBER(SEARCH("平",D2880)),OR(ISNUMBER(SEARCH("上",D2880)),ISNUMBER(SEARCH("去",D2880)),ISNUMBER(SEARCH("入",D2880)))),"Ambiguous",IF(ISNUMBER(SEARCH("平",D2880)),"平","仄")))</x:f>
        <x:v>仄</x:v>
      </x:c>
      <x:c r="L2880" s="7" t="str"/>
    </x:row>
    <x:row r="2881">
      <x:c r="A2881" s="5" t="str">
        <x:v>穟</x:v>
      </x:c>
      <x:c r="B2881" s="6" t="str">
        <x:v>去</x:v>
      </x:c>
      <x:c r="C2881" s="6" t="str">
        <x:f>IF(B2881="","Needs decision","Ready")</x:f>
        <x:v>Ready</x:v>
      </x:c>
      <x:c r="D2881" s="6" t="str">
        <x:v>去</x:v>
      </x:c>
      <x:c r="E2881" s="6" t="str">
        <x:v>zwijH (C)</x:v>
      </x:c>
      <x:c r="F2881" s="6" t="str">
        <x:v>去聲四寘</x:v>
      </x:c>
      <x:c r="G2881" s="6" t="str">
        <x:v>Pingshui main list, Wikisource-derived DOCX</x:v>
      </x:c>
      <x:c r="H2881" s="6" t="str">
        <x:v>1</x:v>
      </x:c>
      <x:c r="I2881" s="6" t="str"/>
      <x:c r="J2881" s="6" t="str">
        <x:f>IF(B2881="","",IF(AND(ISNUMBER(SEARCH("平",B2881)),OR(ISNUMBER(SEARCH("上",B2881)),ISNUMBER(SEARCH("去",B2881)),ISNUMBER(SEARCH("入",B2881)))),"Ambiguous",IF(ISNUMBER(SEARCH("平",B2881)),"平","仄")))</x:f>
        <x:v>仄</x:v>
      </x:c>
      <x:c r="K2881" s="6" t="str">
        <x:f>IF(D2881="","",IF(AND(ISNUMBER(SEARCH("平",D2881)),OR(ISNUMBER(SEARCH("上",D2881)),ISNUMBER(SEARCH("去",D2881)),ISNUMBER(SEARCH("入",D2881)))),"Ambiguous",IF(ISNUMBER(SEARCH("平",D2881)),"平","仄")))</x:f>
        <x:v>仄</x:v>
      </x:c>
      <x:c r="L2881" s="7" t="str"/>
    </x:row>
    <x:row r="2882">
      <x:c r="A2882" s="5" t="str">
        <x:v>穡</x:v>
      </x:c>
      <x:c r="B2882" s="6" t="str">
        <x:v>入</x:v>
      </x:c>
      <x:c r="C2882" s="6" t="str">
        <x:f>IF(B2882="","Needs decision","Ready")</x:f>
        <x:v>Ready</x:v>
      </x:c>
      <x:c r="D2882" s="6" t="str">
        <x:v>入</x:v>
      </x:c>
      <x:c r="E2882" s="6" t="str">
        <x:v>srik (D)</x:v>
      </x:c>
      <x:c r="F2882" s="6" t="str">
        <x:v>入聲十三職</x:v>
      </x:c>
      <x:c r="G2882" s="6" t="str">
        <x:v>Pingshui main list, Wikisource-derived DOCX</x:v>
      </x:c>
      <x:c r="H2882" s="6" t="str">
        <x:v>1</x:v>
      </x:c>
      <x:c r="I2882" s="6" t="str"/>
      <x:c r="J2882" s="6" t="str">
        <x:f>IF(B2882="","",IF(AND(ISNUMBER(SEARCH("平",B2882)),OR(ISNUMBER(SEARCH("上",B2882)),ISNUMBER(SEARCH("去",B2882)),ISNUMBER(SEARCH("入",B2882)))),"Ambiguous",IF(ISNUMBER(SEARCH("平",B2882)),"平","仄")))</x:f>
        <x:v>仄</x:v>
      </x:c>
      <x:c r="K2882" s="6" t="str">
        <x:f>IF(D2882="","",IF(AND(ISNUMBER(SEARCH("平",D2882)),OR(ISNUMBER(SEARCH("上",D2882)),ISNUMBER(SEARCH("去",D2882)),ISNUMBER(SEARCH("入",D2882)))),"Ambiguous",IF(ISNUMBER(SEARCH("平",D2882)),"平","仄")))</x:f>
        <x:v>仄</x:v>
      </x:c>
      <x:c r="L2882" s="7" t="str"/>
    </x:row>
    <x:row r="2883">
      <x:c r="A2883" s="5" t="str">
        <x:v>穢</x:v>
      </x:c>
      <x:c r="B2883" s="6" t="str">
        <x:v>去</x:v>
      </x:c>
      <x:c r="C2883" s="6" t="str">
        <x:f>IF(B2883="","Needs decision","Ready")</x:f>
        <x:v>Ready</x:v>
      </x:c>
      <x:c r="D2883" s="6" t="str">
        <x:v>去</x:v>
      </x:c>
      <x:c r="E2883" s="6" t="str">
        <x:v>'jwojH (C)</x:v>
      </x:c>
      <x:c r="F2883" s="6" t="str">
        <x:v>去聲十一隊</x:v>
      </x:c>
      <x:c r="G2883" s="6" t="str">
        <x:v>Pingshui main list, Wikisource-derived DOCX</x:v>
      </x:c>
      <x:c r="H2883" s="6" t="str">
        <x:v>1</x:v>
      </x:c>
      <x:c r="I2883" s="6" t="str"/>
      <x:c r="J2883" s="6" t="str">
        <x:f>IF(B2883="","",IF(AND(ISNUMBER(SEARCH("平",B2883)),OR(ISNUMBER(SEARCH("上",B2883)),ISNUMBER(SEARCH("去",B2883)),ISNUMBER(SEARCH("入",B2883)))),"Ambiguous",IF(ISNUMBER(SEARCH("平",B2883)),"平","仄")))</x:f>
        <x:v>仄</x:v>
      </x:c>
      <x:c r="K2883" s="6" t="str">
        <x:f>IF(D2883="","",IF(AND(ISNUMBER(SEARCH("平",D2883)),OR(ISNUMBER(SEARCH("上",D2883)),ISNUMBER(SEARCH("去",D2883)),ISNUMBER(SEARCH("入",D2883)))),"Ambiguous",IF(ISNUMBER(SEARCH("平",D2883)),"平","仄")))</x:f>
        <x:v>仄</x:v>
      </x:c>
      <x:c r="L2883" s="7" t="str"/>
    </x:row>
    <x:row r="2884">
      <x:c r="A2884" s="5" t="str">
        <x:v>穩</x:v>
      </x:c>
      <x:c r="B2884" s="6" t="str">
        <x:v>上</x:v>
      </x:c>
      <x:c r="C2884" s="6" t="str">
        <x:f>IF(B2884="","Needs decision","Ready")</x:f>
        <x:v>Ready</x:v>
      </x:c>
      <x:c r="D2884" s="6" t="str">
        <x:v>上</x:v>
      </x:c>
      <x:c r="E2884" s="6" t="str">
        <x:v>'wonX [ʔ̙wənʔ] (上)</x:v>
      </x:c>
      <x:c r="F2884" s="6" t="str">
        <x:v>上聲十三阮</x:v>
      </x:c>
      <x:c r="G2884" s="6" t="str">
        <x:v>Pingshui main list, Wikisource-derived DOCX</x:v>
      </x:c>
      <x:c r="H2884" s="6" t="str">
        <x:v>1</x:v>
      </x:c>
      <x:c r="I2884" s="6" t="str">
        <x:v>Tang 300 gap; frequency 2; provisional from Xun Gong</x:v>
      </x:c>
      <x:c r="J2884" s="6" t="str">
        <x:f>IF(B2884="","",IF(AND(ISNUMBER(SEARCH("平",B2884)),OR(ISNUMBER(SEARCH("上",B2884)),ISNUMBER(SEARCH("去",B2884)),ISNUMBER(SEARCH("入",B2884)))),"Ambiguous",IF(ISNUMBER(SEARCH("平",B2884)),"平","仄")))</x:f>
        <x:v>仄</x:v>
      </x:c>
      <x:c r="K2884" s="6" t="str">
        <x:f>IF(D2884="","",IF(AND(ISNUMBER(SEARCH("平",D2884)),OR(ISNUMBER(SEARCH("上",D2884)),ISNUMBER(SEARCH("去",D2884)),ISNUMBER(SEARCH("入",D2884)))),"Ambiguous",IF(ISNUMBER(SEARCH("平",D2884)),"平","仄")))</x:f>
        <x:v>仄</x:v>
      </x:c>
      <x:c r="L2884" s="7" t="str">
        <x:v>Xun Gong, Tang 300 gap fill</x:v>
      </x:c>
    </x:row>
    <x:row r="2885">
      <x:c r="A2885" s="5" t="str">
        <x:v>穫</x:v>
      </x:c>
      <x:c r="B2885" s="6" t="str">
        <x:v>入</x:v>
      </x:c>
      <x:c r="C2885" s="6" t="str">
        <x:f>IF(B2885="","Needs decision","Ready")</x:f>
        <x:v>Ready</x:v>
      </x:c>
      <x:c r="D2885" s="6" t="str">
        <x:v>入</x:v>
      </x:c>
      <x:c r="E2885" s="6" t="str">
        <x:v>hwak (D)</x:v>
      </x:c>
      <x:c r="F2885" s="6" t="str">
        <x:v>去聲七遇; 入聲十藥</x:v>
      </x:c>
      <x:c r="G2885" s="6" t="str">
        <x:v>Pingshui main list, Wikisource-derived DOCX</x:v>
      </x:c>
      <x:c r="H2885" s="6" t="str">
        <x:v>1</x:v>
      </x:c>
      <x:c r="I2885" s="6" t="str"/>
      <x:c r="J2885" s="6" t="str">
        <x:f>IF(B2885="","",IF(AND(ISNUMBER(SEARCH("平",B2885)),OR(ISNUMBER(SEARCH("上",B2885)),ISNUMBER(SEARCH("去",B2885)),ISNUMBER(SEARCH("入",B2885)))),"Ambiguous",IF(ISNUMBER(SEARCH("平",B2885)),"平","仄")))</x:f>
        <x:v>仄</x:v>
      </x:c>
      <x:c r="K2885" s="6" t="str">
        <x:f>IF(D2885="","",IF(AND(ISNUMBER(SEARCH("平",D2885)),OR(ISNUMBER(SEARCH("上",D2885)),ISNUMBER(SEARCH("去",D2885)),ISNUMBER(SEARCH("入",D2885)))),"Ambiguous",IF(ISNUMBER(SEARCH("平",D2885)),"平","仄")))</x:f>
        <x:v>仄</x:v>
      </x:c>
      <x:c r="L2885" s="7" t="str"/>
    </x:row>
    <x:row r="2886">
      <x:c r="A2886" s="5" t="str">
        <x:v>穴</x:v>
      </x:c>
      <x:c r="B2886" s="6" t="str">
        <x:v>入</x:v>
      </x:c>
      <x:c r="C2886" s="6" t="str">
        <x:f>IF(B2886="","Needs decision","Ready")</x:f>
        <x:v>Ready</x:v>
      </x:c>
      <x:c r="D2886" s="6" t="str">
        <x:v>入</x:v>
      </x:c>
      <x:c r="E2886" s="6" t="str">
        <x:v>hwet (D)</x:v>
      </x:c>
      <x:c r="F2886" s="6" t="str">
        <x:v>入聲九屑</x:v>
      </x:c>
      <x:c r="G2886" s="6" t="str">
        <x:v>Pingshui main list, Wikisource-derived DOCX</x:v>
      </x:c>
      <x:c r="H2886" s="6" t="str">
        <x:v>1</x:v>
      </x:c>
      <x:c r="I2886" s="6" t="str"/>
      <x:c r="J2886" s="6" t="str">
        <x:f>IF(B2886="","",IF(AND(ISNUMBER(SEARCH("平",B2886)),OR(ISNUMBER(SEARCH("上",B2886)),ISNUMBER(SEARCH("去",B2886)),ISNUMBER(SEARCH("入",B2886)))),"Ambiguous",IF(ISNUMBER(SEARCH("平",B2886)),"平","仄")))</x:f>
        <x:v>仄</x:v>
      </x:c>
      <x:c r="K2886" s="6" t="str">
        <x:f>IF(D2886="","",IF(AND(ISNUMBER(SEARCH("平",D2886)),OR(ISNUMBER(SEARCH("上",D2886)),ISNUMBER(SEARCH("去",D2886)),ISNUMBER(SEARCH("入",D2886)))),"Ambiguous",IF(ISNUMBER(SEARCH("平",D2886)),"平","仄")))</x:f>
        <x:v>仄</x:v>
      </x:c>
      <x:c r="L2886" s="7" t="str"/>
    </x:row>
    <x:row r="2887">
      <x:c r="A2887" s="5" t="str">
        <x:v>究</x:v>
      </x:c>
      <x:c r="B2887" s="6" t="str">
        <x:v>去</x:v>
      </x:c>
      <x:c r="C2887" s="6" t="str">
        <x:f>IF(B2887="","Needs decision","Ready")</x:f>
        <x:v>Ready</x:v>
      </x:c>
      <x:c r="D2887" s="6" t="str">
        <x:v>去</x:v>
      </x:c>
      <x:c r="E2887" s="6" t="str">
        <x:v>kjuwH (C)</x:v>
      </x:c>
      <x:c r="F2887" s="6" t="str">
        <x:v>去聲二十六宥</x:v>
      </x:c>
      <x:c r="G2887" s="6" t="str">
        <x:v>Pingshui main list, Wikisource-derived DOCX</x:v>
      </x:c>
      <x:c r="H2887" s="6" t="str">
        <x:v>1</x:v>
      </x:c>
      <x:c r="I2887" s="6" t="str"/>
      <x:c r="J2887" s="6" t="str">
        <x:f>IF(B2887="","",IF(AND(ISNUMBER(SEARCH("平",B2887)),OR(ISNUMBER(SEARCH("上",B2887)),ISNUMBER(SEARCH("去",B2887)),ISNUMBER(SEARCH("入",B2887)))),"Ambiguous",IF(ISNUMBER(SEARCH("平",B2887)),"平","仄")))</x:f>
        <x:v>仄</x:v>
      </x:c>
      <x:c r="K2887" s="6" t="str">
        <x:f>IF(D2887="","",IF(AND(ISNUMBER(SEARCH("平",D2887)),OR(ISNUMBER(SEARCH("上",D2887)),ISNUMBER(SEARCH("去",D2887)),ISNUMBER(SEARCH("入",D2887)))),"Ambiguous",IF(ISNUMBER(SEARCH("平",D2887)),"平","仄")))</x:f>
        <x:v>仄</x:v>
      </x:c>
      <x:c r="L2887" s="7" t="str"/>
    </x:row>
    <x:row r="2888">
      <x:c r="A2888" s="5" t="str">
        <x:v>穹</x:v>
      </x:c>
      <x:c r="B2888" s="6" t="str">
        <x:v>平</x:v>
      </x:c>
      <x:c r="C2888" s="6" t="str">
        <x:f>IF(B2888="","Needs decision","Ready")</x:f>
        <x:v>Ready</x:v>
      </x:c>
      <x:c r="D2888" s="6" t="str">
        <x:v>平</x:v>
      </x:c>
      <x:c r="E2888" s="6" t="str">
        <x:v>khjuwng [kʰɨ̯uŋ] (平)</x:v>
      </x:c>
      <x:c r="F2888" s="6" t="str">
        <x:v>上平聲一東</x:v>
      </x:c>
      <x:c r="G2888" s="6" t="str">
        <x:v>Pingshui main list, Wikisource-derived DOCX</x:v>
      </x:c>
      <x:c r="H2888" s="6" t="str">
        <x:v>1</x:v>
      </x:c>
      <x:c r="I2888" s="6" t="str">
        <x:v>Tang 300 gap; frequency 1; provisional from Xun Gong</x:v>
      </x:c>
      <x:c r="J2888" s="6" t="str">
        <x:f>IF(B2888="","",IF(AND(ISNUMBER(SEARCH("平",B2888)),OR(ISNUMBER(SEARCH("上",B2888)),ISNUMBER(SEARCH("去",B2888)),ISNUMBER(SEARCH("入",B2888)))),"Ambiguous",IF(ISNUMBER(SEARCH("平",B2888)),"平","仄")))</x:f>
        <x:v>平</x:v>
      </x:c>
      <x:c r="K2888" s="6" t="str">
        <x:f>IF(D2888="","",IF(AND(ISNUMBER(SEARCH("平",D2888)),OR(ISNUMBER(SEARCH("上",D2888)),ISNUMBER(SEARCH("去",D2888)),ISNUMBER(SEARCH("入",D2888)))),"Ambiguous",IF(ISNUMBER(SEARCH("平",D2888)),"平","仄")))</x:f>
        <x:v>平</x:v>
      </x:c>
      <x:c r="L2888" s="7" t="str">
        <x:v>Xun Gong, Tang 300 gap fill</x:v>
      </x:c>
    </x:row>
    <x:row r="2889">
      <x:c r="A2889" s="5" t="str">
        <x:v>空</x:v>
      </x:c>
      <x:c r="B2889" s="6" t="str">
        <x:v>平</x:v>
      </x:c>
      <x:c r="C2889" s="6" t="str">
        <x:f>IF(B2889="","Needs decision","Ready")</x:f>
        <x:v>Ready</x:v>
      </x:c>
      <x:c r="D2889" s="6" t="str">
        <x:v>平/上</x:v>
      </x:c>
      <x:c r="E2889" s="6" t="str">
        <x:v>khuwng (A); khuwngX (B)</x:v>
      </x:c>
      <x:c r="F2889" s="6" t="str">
        <x:v>上平聲一東; 上聲一董; 去聲一送</x:v>
      </x:c>
      <x:c r="G2889" s="6" t="str">
        <x:v>Pingshui main list, Wikisource-derived DOCX</x:v>
      </x:c>
      <x:c r="H2889" s="6" t="str">
        <x:v>2</x:v>
      </x:c>
      <x:c r="I2889" s="6" t="str">
        <x:v>User workbook edit 2026-09-03</x:v>
      </x:c>
      <x:c r="J2889" s="6" t="str">
        <x:f>IF(B2889="","",IF(AND(ISNUMBER(SEARCH("平",B2889)),OR(ISNUMBER(SEARCH("上",B2889)),ISNUMBER(SEARCH("去",B2889)),ISNUMBER(SEARCH("入",B2889)))),"Ambiguous",IF(ISNUMBER(SEARCH("平",B2889)),"平","仄")))</x:f>
        <x:v>平</x:v>
      </x:c>
      <x:c r="K2889" s="6" t="str">
        <x:f>IF(D2889="","",IF(AND(ISNUMBER(SEARCH("平",D2889)),OR(ISNUMBER(SEARCH("上",D2889)),ISNUMBER(SEARCH("去",D2889)),ISNUMBER(SEARCH("入",D2889)))),"Ambiguous",IF(ISNUMBER(SEARCH("平",D2889)),"平","仄")))</x:f>
        <x:v>Ambiguous</x:v>
      </x:c>
      <x:c r="L2889" s="7" t="str">
        <x:v>manual user correction</x:v>
      </x:c>
    </x:row>
    <x:row r="2890">
      <x:c r="A2890" s="5" t="str">
        <x:v>穿</x:v>
      </x:c>
      <x:c r="B2890" s="6" t="str">
        <x:v>平</x:v>
      </x:c>
      <x:c r="C2890" s="6" t="str">
        <x:f>IF(B2890="","Needs decision","Ready")</x:f>
        <x:v>Ready</x:v>
      </x:c>
      <x:c r="D2890" s="6" t="str">
        <x:v>平</x:v>
      </x:c>
      <x:c r="E2890" s="6" t="str">
        <x:v>tsyhwen (A)</x:v>
      </x:c>
      <x:c r="F2890" s="6" t="str">
        <x:v>下平聲一先; 去聲十七霰</x:v>
      </x:c>
      <x:c r="G2890" s="6" t="str">
        <x:v>Pingshui main list, Wikisource-derived DOCX</x:v>
      </x:c>
      <x:c r="H2890" s="6" t="str">
        <x:v>1</x:v>
      </x:c>
      <x:c r="I2890" s="6" t="str"/>
      <x:c r="J2890" s="6" t="str">
        <x:f>IF(B2890="","",IF(AND(ISNUMBER(SEARCH("平",B2890)),OR(ISNUMBER(SEARCH("上",B2890)),ISNUMBER(SEARCH("去",B2890)),ISNUMBER(SEARCH("入",B2890)))),"Ambiguous",IF(ISNUMBER(SEARCH("平",B2890)),"平","仄")))</x:f>
        <x:v>平</x:v>
      </x:c>
      <x:c r="K2890" s="6" t="str">
        <x:f>IF(D2890="","",IF(AND(ISNUMBER(SEARCH("平",D2890)),OR(ISNUMBER(SEARCH("上",D2890)),ISNUMBER(SEARCH("去",D2890)),ISNUMBER(SEARCH("入",D2890)))),"Ambiguous",IF(ISNUMBER(SEARCH("平",D2890)),"平","仄")))</x:f>
        <x:v>平</x:v>
      </x:c>
      <x:c r="L2890" s="7" t="str"/>
    </x:row>
    <x:row r="2891">
      <x:c r="A2891" s="5" t="str">
        <x:v>突</x:v>
      </x:c>
      <x:c r="B2891" s="6" t="str">
        <x:v>入</x:v>
      </x:c>
      <x:c r="C2891" s="6" t="str">
        <x:f>IF(B2891="","Needs decision","Ready")</x:f>
        <x:v>Ready</x:v>
      </x:c>
      <x:c r="D2891" s="6" t="str">
        <x:v>入</x:v>
      </x:c>
      <x:c r="E2891" s="6" t="str">
        <x:v>dwot (D); thwot (D)</x:v>
      </x:c>
      <x:c r="F2891" s="6" t="str">
        <x:v>入聲六月</x:v>
      </x:c>
      <x:c r="G2891" s="6" t="str">
        <x:v>Pingshui main list, Wikisource-derived DOCX</x:v>
      </x:c>
      <x:c r="H2891" s="6" t="str">
        <x:v>2</x:v>
      </x:c>
      <x:c r="I2891" s="6" t="str"/>
      <x:c r="J2891" s="6" t="str">
        <x:f>IF(B2891="","",IF(AND(ISNUMBER(SEARCH("平",B2891)),OR(ISNUMBER(SEARCH("上",B2891)),ISNUMBER(SEARCH("去",B2891)),ISNUMBER(SEARCH("入",B2891)))),"Ambiguous",IF(ISNUMBER(SEARCH("平",B2891)),"平","仄")))</x:f>
        <x:v>仄</x:v>
      </x:c>
      <x:c r="K2891" s="6" t="str">
        <x:f>IF(D2891="","",IF(AND(ISNUMBER(SEARCH("平",D2891)),OR(ISNUMBER(SEARCH("上",D2891)),ISNUMBER(SEARCH("去",D2891)),ISNUMBER(SEARCH("入",D2891)))),"Ambiguous",IF(ISNUMBER(SEARCH("平",D2891)),"平","仄")))</x:f>
        <x:v>仄</x:v>
      </x:c>
      <x:c r="L2891" s="7" t="str"/>
    </x:row>
    <x:row r="2892">
      <x:c r="A2892" s="5" t="str">
        <x:v>窅</x:v>
      </x:c>
      <x:c r="B2892" s="6" t="str"/>
      <x:c r="C2892" s="6" t="str">
        <x:f>IF(B2892="","Needs decision","Ready")</x:f>
        <x:v>Needs decision</x:v>
      </x:c>
      <x:c r="D2892" s="6" t="str">
        <x:v>平/上</x:v>
      </x:c>
      <x:c r="E2892" s="6" t="str">
        <x:v>'aew [ʔ̙aˤw] (平); 'ewX [ʔ̙ewʔ] (上)</x:v>
      </x:c>
      <x:c r="F2892" s="6" t="str">
        <x:v>上聲十七篠</x:v>
      </x:c>
      <x:c r="G2892" s="6" t="str">
        <x:v>Pingshui main list, Wikisource-derived DOCX</x:v>
      </x:c>
      <x:c r="H2892" s="6" t="str">
        <x:v>2</x:v>
      </x:c>
      <x:c r="I2892" s="6" t="str">
        <x:v>Tang 300 gap; frequency 1; ambiguous in Xun Gong</x:v>
      </x:c>
      <x:c r="J2892" s="6" t="str">
        <x:f>IF(B2892="","",IF(AND(ISNUMBER(SEARCH("平",B2892)),OR(ISNUMBER(SEARCH("上",B2892)),ISNUMBER(SEARCH("去",B2892)),ISNUMBER(SEARCH("入",B2892)))),"Ambiguous",IF(ISNUMBER(SEARCH("平",B2892)),"平","仄")))</x:f>
      </x:c>
      <x:c r="K2892" s="6" t="str">
        <x:f>IF(D2892="","",IF(AND(ISNUMBER(SEARCH("平",D2892)),OR(ISNUMBER(SEARCH("上",D2892)),ISNUMBER(SEARCH("去",D2892)),ISNUMBER(SEARCH("入",D2892)))),"Ambiguous",IF(ISNUMBER(SEARCH("平",D2892)),"平","仄")))</x:f>
        <x:v>Ambiguous</x:v>
      </x:c>
      <x:c r="L2892" s="7" t="str">
        <x:v>Xun Gong, Tang 300 gap fill</x:v>
      </x:c>
    </x:row>
    <x:row r="2893">
      <x:c r="A2893" s="5" t="str">
        <x:v>窆</x:v>
      </x:c>
      <x:c r="B2893" s="6" t="str">
        <x:v>去</x:v>
      </x:c>
      <x:c r="C2893" s="6" t="str">
        <x:f>IF(B2893="","Needs decision","Ready")</x:f>
        <x:v>Ready</x:v>
      </x:c>
      <x:c r="D2893" s="6" t="str">
        <x:v>去</x:v>
      </x:c>
      <x:c r="E2893" s="6" t="str">
        <x:v>pjemH (C)</x:v>
      </x:c>
      <x:c r="F2893" s="6" t="str">
        <x:v>去聲二十九豔</x:v>
      </x:c>
      <x:c r="G2893" s="6" t="str">
        <x:v>Pingshui main list, Wikisource-derived DOCX</x:v>
      </x:c>
      <x:c r="H2893" s="6" t="str">
        <x:v>1</x:v>
      </x:c>
      <x:c r="I2893" s="6" t="str"/>
      <x:c r="J2893" s="6" t="str">
        <x:f>IF(B2893="","",IF(AND(ISNUMBER(SEARCH("平",B2893)),OR(ISNUMBER(SEARCH("上",B2893)),ISNUMBER(SEARCH("去",B2893)),ISNUMBER(SEARCH("入",B2893)))),"Ambiguous",IF(ISNUMBER(SEARCH("平",B2893)),"平","仄")))</x:f>
        <x:v>仄</x:v>
      </x:c>
      <x:c r="K2893" s="6" t="str">
        <x:f>IF(D2893="","",IF(AND(ISNUMBER(SEARCH("平",D2893)),OR(ISNUMBER(SEARCH("上",D2893)),ISNUMBER(SEARCH("去",D2893)),ISNUMBER(SEARCH("入",D2893)))),"Ambiguous",IF(ISNUMBER(SEARCH("平",D2893)),"平","仄")))</x:f>
        <x:v>仄</x:v>
      </x:c>
      <x:c r="L2893" s="7" t="str"/>
    </x:row>
    <x:row r="2894">
      <x:c r="A2894" s="5" t="str">
        <x:v>窈</x:v>
      </x:c>
      <x:c r="B2894" s="6" t="str">
        <x:v>上</x:v>
      </x:c>
      <x:c r="C2894" s="6" t="str">
        <x:f>IF(B2894="","Needs decision","Ready")</x:f>
        <x:v>Ready</x:v>
      </x:c>
      <x:c r="D2894" s="6" t="str">
        <x:v>上</x:v>
      </x:c>
      <x:c r="E2894" s="6" t="str">
        <x:v>'ewX (B)</x:v>
      </x:c>
      <x:c r="F2894" s="6" t="str">
        <x:v>上聲十七篠</x:v>
      </x:c>
      <x:c r="G2894" s="6" t="str">
        <x:v>Pingshui main list, Wikisource-derived DOCX</x:v>
      </x:c>
      <x:c r="H2894" s="6" t="str">
        <x:v>1</x:v>
      </x:c>
      <x:c r="I2894" s="6" t="str"/>
      <x:c r="J2894" s="6" t="str">
        <x:f>IF(B2894="","",IF(AND(ISNUMBER(SEARCH("平",B2894)),OR(ISNUMBER(SEARCH("上",B2894)),ISNUMBER(SEARCH("去",B2894)),ISNUMBER(SEARCH("入",B2894)))),"Ambiguous",IF(ISNUMBER(SEARCH("平",B2894)),"平","仄")))</x:f>
        <x:v>仄</x:v>
      </x:c>
      <x:c r="K2894" s="6" t="str">
        <x:f>IF(D2894="","",IF(AND(ISNUMBER(SEARCH("平",D2894)),OR(ISNUMBER(SEARCH("上",D2894)),ISNUMBER(SEARCH("去",D2894)),ISNUMBER(SEARCH("入",D2894)))),"Ambiguous",IF(ISNUMBER(SEARCH("平",D2894)),"平","仄")))</x:f>
        <x:v>仄</x:v>
      </x:c>
      <x:c r="L2894" s="7" t="str"/>
    </x:row>
    <x:row r="2895">
      <x:c r="A2895" s="5" t="str">
        <x:v>窒</x:v>
      </x:c>
      <x:c r="B2895" s="6" t="str">
        <x:v>入</x:v>
      </x:c>
      <x:c r="C2895" s="6" t="str">
        <x:f>IF(B2895="","Needs decision","Ready")</x:f>
        <x:v>Ready</x:v>
      </x:c>
      <x:c r="D2895" s="6" t="str">
        <x:v>入</x:v>
      </x:c>
      <x:c r="E2895" s="6" t="str">
        <x:v>trit (D)</x:v>
      </x:c>
      <x:c r="F2895" s="6" t="str">
        <x:v>入聲四質</x:v>
      </x:c>
      <x:c r="G2895" s="6" t="str">
        <x:v>Pingshui main list, Wikisource-derived DOCX</x:v>
      </x:c>
      <x:c r="H2895" s="6" t="str">
        <x:v>1</x:v>
      </x:c>
      <x:c r="I2895" s="6" t="str"/>
      <x:c r="J2895" s="6" t="str">
        <x:f>IF(B2895="","",IF(AND(ISNUMBER(SEARCH("平",B2895)),OR(ISNUMBER(SEARCH("上",B2895)),ISNUMBER(SEARCH("去",B2895)),ISNUMBER(SEARCH("入",B2895)))),"Ambiguous",IF(ISNUMBER(SEARCH("平",B2895)),"平","仄")))</x:f>
        <x:v>仄</x:v>
      </x:c>
      <x:c r="K2895" s="6" t="str">
        <x:f>IF(D2895="","",IF(AND(ISNUMBER(SEARCH("平",D2895)),OR(ISNUMBER(SEARCH("上",D2895)),ISNUMBER(SEARCH("去",D2895)),ISNUMBER(SEARCH("入",D2895)))),"Ambiguous",IF(ISNUMBER(SEARCH("平",D2895)),"平","仄")))</x:f>
        <x:v>仄</x:v>
      </x:c>
      <x:c r="L2895" s="7" t="str"/>
    </x:row>
    <x:row r="2896">
      <x:c r="A2896" s="5" t="str">
        <x:v>窕</x:v>
      </x:c>
      <x:c r="B2896" s="6" t="str">
        <x:v>上</x:v>
      </x:c>
      <x:c r="C2896" s="6" t="str">
        <x:f>IF(B2896="","Needs decision","Ready")</x:f>
        <x:v>Ready</x:v>
      </x:c>
      <x:c r="D2896" s="6" t="str">
        <x:v>上</x:v>
      </x:c>
      <x:c r="E2896" s="6" t="str">
        <x:v>dewX (B)</x:v>
      </x:c>
      <x:c r="F2896" s="6" t="str">
        <x:v>上聲十七篠</x:v>
      </x:c>
      <x:c r="G2896" s="6" t="str">
        <x:v>Pingshui main list, Wikisource-derived DOCX</x:v>
      </x:c>
      <x:c r="H2896" s="6" t="str">
        <x:v>1</x:v>
      </x:c>
      <x:c r="I2896" s="6" t="str"/>
      <x:c r="J2896" s="6" t="str">
        <x:f>IF(B2896="","",IF(AND(ISNUMBER(SEARCH("平",B2896)),OR(ISNUMBER(SEARCH("上",B2896)),ISNUMBER(SEARCH("去",B2896)),ISNUMBER(SEARCH("入",B2896)))),"Ambiguous",IF(ISNUMBER(SEARCH("平",B2896)),"平","仄")))</x:f>
        <x:v>仄</x:v>
      </x:c>
      <x:c r="K2896" s="6" t="str">
        <x:f>IF(D2896="","",IF(AND(ISNUMBER(SEARCH("平",D2896)),OR(ISNUMBER(SEARCH("上",D2896)),ISNUMBER(SEARCH("去",D2896)),ISNUMBER(SEARCH("入",D2896)))),"Ambiguous",IF(ISNUMBER(SEARCH("平",D2896)),"平","仄")))</x:f>
        <x:v>仄</x:v>
      </x:c>
      <x:c r="L2896" s="7" t="str"/>
    </x:row>
    <x:row r="2897">
      <x:c r="A2897" s="5" t="str">
        <x:v>窖</x:v>
      </x:c>
      <x:c r="B2897" s="6" t="str">
        <x:v>去</x:v>
      </x:c>
      <x:c r="C2897" s="6" t="str">
        <x:f>IF(B2897="","Needs decision","Ready")</x:f>
        <x:v>Ready</x:v>
      </x:c>
      <x:c r="D2897" s="6" t="str">
        <x:v>去</x:v>
      </x:c>
      <x:c r="E2897" s="6" t="str">
        <x:v>kaewH (C)</x:v>
      </x:c>
      <x:c r="F2897" s="6" t="str">
        <x:v>去聲十九效</x:v>
      </x:c>
      <x:c r="G2897" s="6" t="str">
        <x:v>Pingshui main list, Wikisource-derived DOCX</x:v>
      </x:c>
      <x:c r="H2897" s="6" t="str">
        <x:v>1</x:v>
      </x:c>
      <x:c r="I2897" s="6" t="str"/>
      <x:c r="J2897" s="6" t="str">
        <x:f>IF(B2897="","",IF(AND(ISNUMBER(SEARCH("平",B2897)),OR(ISNUMBER(SEARCH("上",B2897)),ISNUMBER(SEARCH("去",B2897)),ISNUMBER(SEARCH("入",B2897)))),"Ambiguous",IF(ISNUMBER(SEARCH("平",B2897)),"平","仄")))</x:f>
        <x:v>仄</x:v>
      </x:c>
      <x:c r="K2897" s="6" t="str">
        <x:f>IF(D2897="","",IF(AND(ISNUMBER(SEARCH("平",D2897)),OR(ISNUMBER(SEARCH("上",D2897)),ISNUMBER(SEARCH("去",D2897)),ISNUMBER(SEARCH("入",D2897)))),"Ambiguous",IF(ISNUMBER(SEARCH("平",D2897)),"平","仄")))</x:f>
        <x:v>仄</x:v>
      </x:c>
      <x:c r="L2897" s="7" t="str"/>
    </x:row>
    <x:row r="2898">
      <x:c r="A2898" s="5" t="str">
        <x:v>窗</x:v>
      </x:c>
      <x:c r="B2898" s="6" t="str">
        <x:v>平</x:v>
      </x:c>
      <x:c r="C2898" s="6" t="str">
        <x:f>IF(B2898="","Needs decision","Ready")</x:f>
        <x:v>Ready</x:v>
      </x:c>
      <x:c r="D2898" s="6" t="str">
        <x:v>平</x:v>
      </x:c>
      <x:c r="E2898" s="6" t="str">
        <x:v>tsrhaewng (A)</x:v>
      </x:c>
      <x:c r="F2898" s="6" t="str">
        <x:v>上平聲三江</x:v>
      </x:c>
      <x:c r="G2898" s="6" t="str">
        <x:v>Pingshui main list, Wikisource-derived DOCX</x:v>
      </x:c>
      <x:c r="H2898" s="6" t="str">
        <x:v>1</x:v>
      </x:c>
      <x:c r="I2898" s="6" t="str"/>
      <x:c r="J2898" s="6" t="str">
        <x:f>IF(B2898="","",IF(AND(ISNUMBER(SEARCH("平",B2898)),OR(ISNUMBER(SEARCH("上",B2898)),ISNUMBER(SEARCH("去",B2898)),ISNUMBER(SEARCH("入",B2898)))),"Ambiguous",IF(ISNUMBER(SEARCH("平",B2898)),"平","仄")))</x:f>
        <x:v>平</x:v>
      </x:c>
      <x:c r="K2898" s="6" t="str">
        <x:f>IF(D2898="","",IF(AND(ISNUMBER(SEARCH("平",D2898)),OR(ISNUMBER(SEARCH("上",D2898)),ISNUMBER(SEARCH("去",D2898)),ISNUMBER(SEARCH("入",D2898)))),"Ambiguous",IF(ISNUMBER(SEARCH("平",D2898)),"平","仄")))</x:f>
        <x:v>平</x:v>
      </x:c>
      <x:c r="L2898" s="7" t="str"/>
    </x:row>
    <x:row r="2899">
      <x:c r="A2899" s="5" t="str">
        <x:v>窞</x:v>
      </x:c>
      <x:c r="B2899" s="6" t="str">
        <x:v>上</x:v>
      </x:c>
      <x:c r="C2899" s="6" t="str">
        <x:f>IF(B2899="","Needs decision","Ready")</x:f>
        <x:v>Ready</x:v>
      </x:c>
      <x:c r="D2899" s="6" t="str">
        <x:v>上</x:v>
      </x:c>
      <x:c r="E2899" s="6" t="str">
        <x:v>domX (B)</x:v>
      </x:c>
      <x:c r="F2899" s="6" t="str">
        <x:v>上聲二十七感</x:v>
      </x:c>
      <x:c r="G2899" s="6" t="str">
        <x:v>Pingshui main list, Wikisource-derived DOCX</x:v>
      </x:c>
      <x:c r="H2899" s="6" t="str">
        <x:v>1</x:v>
      </x:c>
      <x:c r="I2899" s="6" t="str"/>
      <x:c r="J2899" s="6" t="str">
        <x:f>IF(B2899="","",IF(AND(ISNUMBER(SEARCH("平",B2899)),OR(ISNUMBER(SEARCH("上",B2899)),ISNUMBER(SEARCH("去",B2899)),ISNUMBER(SEARCH("入",B2899)))),"Ambiguous",IF(ISNUMBER(SEARCH("平",B2899)),"平","仄")))</x:f>
        <x:v>仄</x:v>
      </x:c>
      <x:c r="K2899" s="6" t="str">
        <x:f>IF(D2899="","",IF(AND(ISNUMBER(SEARCH("平",D2899)),OR(ISNUMBER(SEARCH("上",D2899)),ISNUMBER(SEARCH("去",D2899)),ISNUMBER(SEARCH("入",D2899)))),"Ambiguous",IF(ISNUMBER(SEARCH("平",D2899)),"平","仄")))</x:f>
        <x:v>仄</x:v>
      </x:c>
      <x:c r="L2899" s="7" t="str"/>
    </x:row>
    <x:row r="2900">
      <x:c r="A2900" s="5" t="str">
        <x:v>窟</x:v>
      </x:c>
      <x:c r="B2900" s="6" t="str">
        <x:v>入</x:v>
      </x:c>
      <x:c r="C2900" s="6" t="str">
        <x:f>IF(B2900="","Needs decision","Ready")</x:f>
        <x:v>Ready</x:v>
      </x:c>
      <x:c r="D2900" s="6" t="str">
        <x:v>入</x:v>
      </x:c>
      <x:c r="E2900" s="6" t="str">
        <x:v>khwot (D)</x:v>
      </x:c>
      <x:c r="F2900" s="6" t="str">
        <x:v>入聲六月</x:v>
      </x:c>
      <x:c r="G2900" s="6" t="str">
        <x:v>Pingshui main list, Wikisource-derived DOCX</x:v>
      </x:c>
      <x:c r="H2900" s="6" t="str">
        <x:v>1</x:v>
      </x:c>
      <x:c r="I2900" s="6" t="str"/>
      <x:c r="J2900" s="6" t="str">
        <x:f>IF(B2900="","",IF(AND(ISNUMBER(SEARCH("平",B2900)),OR(ISNUMBER(SEARCH("上",B2900)),ISNUMBER(SEARCH("去",B2900)),ISNUMBER(SEARCH("入",B2900)))),"Ambiguous",IF(ISNUMBER(SEARCH("平",B2900)),"平","仄")))</x:f>
        <x:v>仄</x:v>
      </x:c>
      <x:c r="K2900" s="6" t="str">
        <x:f>IF(D2900="","",IF(AND(ISNUMBER(SEARCH("平",D2900)),OR(ISNUMBER(SEARCH("上",D2900)),ISNUMBER(SEARCH("去",D2900)),ISNUMBER(SEARCH("入",D2900)))),"Ambiguous",IF(ISNUMBER(SEARCH("平",D2900)),"平","仄")))</x:f>
        <x:v>仄</x:v>
      </x:c>
      <x:c r="L2900" s="7" t="str"/>
    </x:row>
    <x:row r="2901">
      <x:c r="A2901" s="5" t="str">
        <x:v>窠</x:v>
      </x:c>
      <x:c r="B2901" s="6" t="str">
        <x:v>平</x:v>
      </x:c>
      <x:c r="C2901" s="6" t="str">
        <x:f>IF(B2901="","Needs decision","Ready")</x:f>
        <x:v>Ready</x:v>
      </x:c>
      <x:c r="D2901" s="6" t="str">
        <x:v>平</x:v>
      </x:c>
      <x:c r="E2901" s="6" t="str">
        <x:v>khwa [qʰwɑ] (平)</x:v>
      </x:c>
      <x:c r="F2901" s="6" t="str">
        <x:v>下平聲五歌</x:v>
      </x:c>
      <x:c r="G2901" s="6" t="str">
        <x:v>Pingshui main list, Wikisource-derived DOCX</x:v>
      </x:c>
      <x:c r="H2901" s="6" t="str">
        <x:v>1</x:v>
      </x:c>
      <x:c r="I2901" s="6" t="str">
        <x:v>Tang 300 gap; frequency 1; provisional from Xun Gong</x:v>
      </x:c>
      <x:c r="J2901" s="6" t="str">
        <x:f>IF(B2901="","",IF(AND(ISNUMBER(SEARCH("平",B2901)),OR(ISNUMBER(SEARCH("上",B2901)),ISNUMBER(SEARCH("去",B2901)),ISNUMBER(SEARCH("入",B2901)))),"Ambiguous",IF(ISNUMBER(SEARCH("平",B2901)),"平","仄")))</x:f>
        <x:v>平</x:v>
      </x:c>
      <x:c r="K2901" s="6" t="str">
        <x:f>IF(D2901="","",IF(AND(ISNUMBER(SEARCH("平",D2901)),OR(ISNUMBER(SEARCH("上",D2901)),ISNUMBER(SEARCH("去",D2901)),ISNUMBER(SEARCH("入",D2901)))),"Ambiguous",IF(ISNUMBER(SEARCH("平",D2901)),"平","仄")))</x:f>
        <x:v>平</x:v>
      </x:c>
      <x:c r="L2901" s="7" t="str">
        <x:v>Xun Gong, Tang 300 gap fill</x:v>
      </x:c>
    </x:row>
    <x:row r="2902">
      <x:c r="A2902" s="5" t="str">
        <x:v>窮</x:v>
      </x:c>
      <x:c r="B2902" s="6" t="str">
        <x:v>平</x:v>
      </x:c>
      <x:c r="C2902" s="6" t="str">
        <x:f>IF(B2902="","Needs decision","Ready")</x:f>
        <x:v>Ready</x:v>
      </x:c>
      <x:c r="D2902" s="6" t="str">
        <x:v>平</x:v>
      </x:c>
      <x:c r="E2902" s="6" t="str">
        <x:v>gjuwng (A)</x:v>
      </x:c>
      <x:c r="F2902" s="6" t="str">
        <x:v>上平聲一東</x:v>
      </x:c>
      <x:c r="G2902" s="6" t="str">
        <x:v>Pingshui main list, Wikisource-derived DOCX</x:v>
      </x:c>
      <x:c r="H2902" s="6" t="str">
        <x:v>1</x:v>
      </x:c>
      <x:c r="I2902" s="6" t="str"/>
      <x:c r="J2902" s="6" t="str">
        <x:f>IF(B2902="","",IF(AND(ISNUMBER(SEARCH("平",B2902)),OR(ISNUMBER(SEARCH("上",B2902)),ISNUMBER(SEARCH("去",B2902)),ISNUMBER(SEARCH("入",B2902)))),"Ambiguous",IF(ISNUMBER(SEARCH("平",B2902)),"平","仄")))</x:f>
        <x:v>平</x:v>
      </x:c>
      <x:c r="K2902" s="6" t="str">
        <x:f>IF(D2902="","",IF(AND(ISNUMBER(SEARCH("平",D2902)),OR(ISNUMBER(SEARCH("上",D2902)),ISNUMBER(SEARCH("去",D2902)),ISNUMBER(SEARCH("入",D2902)))),"Ambiguous",IF(ISNUMBER(SEARCH("平",D2902)),"平","仄")))</x:f>
        <x:v>平</x:v>
      </x:c>
      <x:c r="L2902" s="7" t="str"/>
    </x:row>
    <x:row r="2903">
      <x:c r="A2903" s="5" t="str">
        <x:v>窰</x:v>
      </x:c>
      <x:c r="B2903" s="6" t="str">
        <x:v>平</x:v>
      </x:c>
      <x:c r="C2903" s="6" t="str">
        <x:f>IF(B2903="","Needs decision","Ready")</x:f>
        <x:v>Ready</x:v>
      </x:c>
      <x:c r="D2903" s="6" t="str">
        <x:v>平</x:v>
      </x:c>
      <x:c r="E2903" s="6" t="str">
        <x:v>yew (A)</x:v>
      </x:c>
      <x:c r="F2903" s="6" t="str"/>
      <x:c r="G2903" s="6" t="str"/>
      <x:c r="H2903" s="6" t="str">
        <x:v>1</x:v>
      </x:c>
      <x:c r="I2903" s="6" t="str"/>
      <x:c r="J2903" s="6" t="str">
        <x:f>IF(B2903="","",IF(AND(ISNUMBER(SEARCH("平",B2903)),OR(ISNUMBER(SEARCH("上",B2903)),ISNUMBER(SEARCH("去",B2903)),ISNUMBER(SEARCH("入",B2903)))),"Ambiguous",IF(ISNUMBER(SEARCH("平",B2903)),"平","仄")))</x:f>
        <x:v>平</x:v>
      </x:c>
      <x:c r="K2903" s="6" t="str">
        <x:f>IF(D2903="","",IF(AND(ISNUMBER(SEARCH("平",D2903)),OR(ISNUMBER(SEARCH("上",D2903)),ISNUMBER(SEARCH("去",D2903)),ISNUMBER(SEARCH("入",D2903)))),"Ambiguous",IF(ISNUMBER(SEARCH("平",D2903)),"平","仄")))</x:f>
        <x:v>平</x:v>
      </x:c>
      <x:c r="L2903" s="7" t="str"/>
    </x:row>
    <x:row r="2904">
      <x:c r="A2904" s="5" t="str">
        <x:v>窺</x:v>
      </x:c>
      <x:c r="B2904" s="6" t="str">
        <x:v>平</x:v>
      </x:c>
      <x:c r="C2904" s="6" t="str">
        <x:f>IF(B2904="","Needs decision","Ready")</x:f>
        <x:v>Ready</x:v>
      </x:c>
      <x:c r="D2904" s="6" t="str">
        <x:v>平</x:v>
      </x:c>
      <x:c r="E2904" s="6" t="str">
        <x:v>khjwie (A)</x:v>
      </x:c>
      <x:c r="F2904" s="6" t="str">
        <x:v>上平聲四支</x:v>
      </x:c>
      <x:c r="G2904" s="6" t="str">
        <x:v>Pingshui main list, Wikisource-derived DOCX</x:v>
      </x:c>
      <x:c r="H2904" s="6" t="str">
        <x:v>1</x:v>
      </x:c>
      <x:c r="I2904" s="6" t="str"/>
      <x:c r="J2904" s="6" t="str">
        <x:f>IF(B2904="","",IF(AND(ISNUMBER(SEARCH("平",B2904)),OR(ISNUMBER(SEARCH("上",B2904)),ISNUMBER(SEARCH("去",B2904)),ISNUMBER(SEARCH("入",B2904)))),"Ambiguous",IF(ISNUMBER(SEARCH("平",B2904)),"平","仄")))</x:f>
        <x:v>平</x:v>
      </x:c>
      <x:c r="K2904" s="6" t="str">
        <x:f>IF(D2904="","",IF(AND(ISNUMBER(SEARCH("平",D2904)),OR(ISNUMBER(SEARCH("上",D2904)),ISNUMBER(SEARCH("去",D2904)),ISNUMBER(SEARCH("入",D2904)))),"Ambiguous",IF(ISNUMBER(SEARCH("平",D2904)),"平","仄")))</x:f>
        <x:v>平</x:v>
      </x:c>
      <x:c r="L2904" s="7" t="str"/>
    </x:row>
    <x:row r="2905">
      <x:c r="A2905" s="5" t="str">
        <x:v>窻</x:v>
      </x:c>
      <x:c r="B2905" s="6" t="str">
        <x:v>平</x:v>
      </x:c>
      <x:c r="C2905" s="6" t="str">
        <x:f>IF(B2905="","Needs decision","Ready")</x:f>
        <x:v>Ready</x:v>
      </x:c>
      <x:c r="D2905" s="6" t="str">
        <x:v>平</x:v>
      </x:c>
      <x:c r="E2905" s="6" t="str">
        <x:v>tsrhaewng (A)</x:v>
      </x:c>
      <x:c r="F2905" s="6" t="str"/>
      <x:c r="G2905" s="6" t="str"/>
      <x:c r="H2905" s="6" t="str">
        <x:v>1</x:v>
      </x:c>
      <x:c r="I2905" s="6" t="str"/>
      <x:c r="J2905" s="6" t="str">
        <x:f>IF(B2905="","",IF(AND(ISNUMBER(SEARCH("平",B2905)),OR(ISNUMBER(SEARCH("上",B2905)),ISNUMBER(SEARCH("去",B2905)),ISNUMBER(SEARCH("入",B2905)))),"Ambiguous",IF(ISNUMBER(SEARCH("平",B2905)),"平","仄")))</x:f>
        <x:v>平</x:v>
      </x:c>
      <x:c r="K2905" s="6" t="str">
        <x:f>IF(D2905="","",IF(AND(ISNUMBER(SEARCH("平",D2905)),OR(ISNUMBER(SEARCH("上",D2905)),ISNUMBER(SEARCH("去",D2905)),ISNUMBER(SEARCH("入",D2905)))),"Ambiguous",IF(ISNUMBER(SEARCH("平",D2905)),"平","仄")))</x:f>
        <x:v>平</x:v>
      </x:c>
      <x:c r="L2905" s="7" t="str"/>
    </x:row>
    <x:row r="2906">
      <x:c r="A2906" s="5" t="str">
        <x:v>竄</x:v>
      </x:c>
      <x:c r="B2906" s="6" t="str">
        <x:v>去</x:v>
      </x:c>
      <x:c r="C2906" s="6" t="str">
        <x:f>IF(B2906="","Needs decision","Ready")</x:f>
        <x:v>Ready</x:v>
      </x:c>
      <x:c r="D2906" s="6" t="str">
        <x:v>去</x:v>
      </x:c>
      <x:c r="E2906" s="6" t="str">
        <x:v>tshwanH (C)</x:v>
      </x:c>
      <x:c r="F2906" s="6" t="str">
        <x:v>去聲十五翰</x:v>
      </x:c>
      <x:c r="G2906" s="6" t="str">
        <x:v>Pingshui main list, Wikisource-derived DOCX</x:v>
      </x:c>
      <x:c r="H2906" s="6" t="str">
        <x:v>1</x:v>
      </x:c>
      <x:c r="I2906" s="6" t="str"/>
      <x:c r="J2906" s="6" t="str">
        <x:f>IF(B2906="","",IF(AND(ISNUMBER(SEARCH("平",B2906)),OR(ISNUMBER(SEARCH("上",B2906)),ISNUMBER(SEARCH("去",B2906)),ISNUMBER(SEARCH("入",B2906)))),"Ambiguous",IF(ISNUMBER(SEARCH("平",B2906)),"平","仄")))</x:f>
        <x:v>仄</x:v>
      </x:c>
      <x:c r="K2906" s="6" t="str">
        <x:f>IF(D2906="","",IF(AND(ISNUMBER(SEARCH("平",D2906)),OR(ISNUMBER(SEARCH("上",D2906)),ISNUMBER(SEARCH("去",D2906)),ISNUMBER(SEARCH("入",D2906)))),"Ambiguous",IF(ISNUMBER(SEARCH("平",D2906)),"平","仄")))</x:f>
        <x:v>仄</x:v>
      </x:c>
      <x:c r="L2906" s="7" t="str"/>
    </x:row>
    <x:row r="2907">
      <x:c r="A2907" s="5" t="str">
        <x:v>竅</x:v>
      </x:c>
      <x:c r="B2907" s="6" t="str">
        <x:v>去</x:v>
      </x:c>
      <x:c r="C2907" s="6" t="str">
        <x:f>IF(B2907="","Needs decision","Ready")</x:f>
        <x:v>Ready</x:v>
      </x:c>
      <x:c r="D2907" s="6" t="str">
        <x:v>去</x:v>
      </x:c>
      <x:c r="E2907" s="6" t="str">
        <x:v>khewH (C)</x:v>
      </x:c>
      <x:c r="F2907" s="6" t="str">
        <x:v>去聲十八嘯</x:v>
      </x:c>
      <x:c r="G2907" s="6" t="str">
        <x:v>Pingshui main list, Wikisource-derived DOCX</x:v>
      </x:c>
      <x:c r="H2907" s="6" t="str">
        <x:v>1</x:v>
      </x:c>
      <x:c r="I2907" s="6" t="str"/>
      <x:c r="J2907" s="6" t="str">
        <x:f>IF(B2907="","",IF(AND(ISNUMBER(SEARCH("平",B2907)),OR(ISNUMBER(SEARCH("上",B2907)),ISNUMBER(SEARCH("去",B2907)),ISNUMBER(SEARCH("入",B2907)))),"Ambiguous",IF(ISNUMBER(SEARCH("平",B2907)),"平","仄")))</x:f>
        <x:v>仄</x:v>
      </x:c>
      <x:c r="K2907" s="6" t="str">
        <x:f>IF(D2907="","",IF(AND(ISNUMBER(SEARCH("平",D2907)),OR(ISNUMBER(SEARCH("上",D2907)),ISNUMBER(SEARCH("去",D2907)),ISNUMBER(SEARCH("入",D2907)))),"Ambiguous",IF(ISNUMBER(SEARCH("平",D2907)),"平","仄")))</x:f>
        <x:v>仄</x:v>
      </x:c>
      <x:c r="L2907" s="7" t="str"/>
    </x:row>
    <x:row r="2908">
      <x:c r="A2908" s="5" t="str">
        <x:v>竇</x:v>
      </x:c>
      <x:c r="B2908" s="6" t="str">
        <x:v>去</x:v>
      </x:c>
      <x:c r="C2908" s="6" t="str">
        <x:f>IF(B2908="","Needs decision","Ready")</x:f>
        <x:v>Ready</x:v>
      </x:c>
      <x:c r="D2908" s="6" t="str">
        <x:v>去</x:v>
      </x:c>
      <x:c r="E2908" s="6" t="str">
        <x:v>duwH (C)</x:v>
      </x:c>
      <x:c r="F2908" s="6" t="str">
        <x:v>去聲二十六宥</x:v>
      </x:c>
      <x:c r="G2908" s="6" t="str">
        <x:v>Pingshui main list, Wikisource-derived DOCX</x:v>
      </x:c>
      <x:c r="H2908" s="6" t="str">
        <x:v>1</x:v>
      </x:c>
      <x:c r="I2908" s="6" t="str"/>
      <x:c r="J2908" s="6" t="str">
        <x:f>IF(B2908="","",IF(AND(ISNUMBER(SEARCH("平",B2908)),OR(ISNUMBER(SEARCH("上",B2908)),ISNUMBER(SEARCH("去",B2908)),ISNUMBER(SEARCH("入",B2908)))),"Ambiguous",IF(ISNUMBER(SEARCH("平",B2908)),"平","仄")))</x:f>
        <x:v>仄</x:v>
      </x:c>
      <x:c r="K2908" s="6" t="str">
        <x:f>IF(D2908="","",IF(AND(ISNUMBER(SEARCH("平",D2908)),OR(ISNUMBER(SEARCH("上",D2908)),ISNUMBER(SEARCH("去",D2908)),ISNUMBER(SEARCH("入",D2908)))),"Ambiguous",IF(ISNUMBER(SEARCH("平",D2908)),"平","仄")))</x:f>
        <x:v>仄</x:v>
      </x:c>
      <x:c r="L2908" s="7" t="str"/>
    </x:row>
    <x:row r="2909">
      <x:c r="A2909" s="5" t="str">
        <x:v>竈</x:v>
      </x:c>
      <x:c r="B2909" s="6" t="str">
        <x:v>去</x:v>
      </x:c>
      <x:c r="C2909" s="6" t="str">
        <x:f>IF(B2909="","Needs decision","Ready")</x:f>
        <x:v>Ready</x:v>
      </x:c>
      <x:c r="D2909" s="6" t="str">
        <x:v>去</x:v>
      </x:c>
      <x:c r="E2909" s="6" t="str">
        <x:v>tsawH (C)</x:v>
      </x:c>
      <x:c r="F2909" s="6" t="str"/>
      <x:c r="G2909" s="6" t="str"/>
      <x:c r="H2909" s="6" t="str">
        <x:v>1</x:v>
      </x:c>
      <x:c r="I2909" s="6" t="str"/>
      <x:c r="J2909" s="6" t="str">
        <x:f>IF(B2909="","",IF(AND(ISNUMBER(SEARCH("平",B2909)),OR(ISNUMBER(SEARCH("上",B2909)),ISNUMBER(SEARCH("去",B2909)),ISNUMBER(SEARCH("入",B2909)))),"Ambiguous",IF(ISNUMBER(SEARCH("平",B2909)),"平","仄")))</x:f>
        <x:v>仄</x:v>
      </x:c>
      <x:c r="K2909" s="6" t="str">
        <x:f>IF(D2909="","",IF(AND(ISNUMBER(SEARCH("平",D2909)),OR(ISNUMBER(SEARCH("上",D2909)),ISNUMBER(SEARCH("去",D2909)),ISNUMBER(SEARCH("入",D2909)))),"Ambiguous",IF(ISNUMBER(SEARCH("平",D2909)),"平","仄")))</x:f>
        <x:v>仄</x:v>
      </x:c>
      <x:c r="L2909" s="7" t="str"/>
    </x:row>
    <x:row r="2910">
      <x:c r="A2910" s="5" t="str">
        <x:v>竊</x:v>
      </x:c>
      <x:c r="B2910" s="6" t="str">
        <x:v>入</x:v>
      </x:c>
      <x:c r="C2910" s="6" t="str">
        <x:f>IF(B2910="","Needs decision","Ready")</x:f>
        <x:v>Ready</x:v>
      </x:c>
      <x:c r="D2910" s="6" t="str">
        <x:v>入</x:v>
      </x:c>
      <x:c r="E2910" s="6" t="str">
        <x:v>tshet (D)</x:v>
      </x:c>
      <x:c r="F2910" s="6" t="str">
        <x:v>入聲九屑</x:v>
      </x:c>
      <x:c r="G2910" s="6" t="str">
        <x:v>Pingshui main list, Wikisource-derived DOCX</x:v>
      </x:c>
      <x:c r="H2910" s="6" t="str">
        <x:v>1</x:v>
      </x:c>
      <x:c r="I2910" s="6" t="str"/>
      <x:c r="J2910" s="6" t="str">
        <x:f>IF(B2910="","",IF(AND(ISNUMBER(SEARCH("平",B2910)),OR(ISNUMBER(SEARCH("上",B2910)),ISNUMBER(SEARCH("去",B2910)),ISNUMBER(SEARCH("入",B2910)))),"Ambiguous",IF(ISNUMBER(SEARCH("平",B2910)),"平","仄")))</x:f>
        <x:v>仄</x:v>
      </x:c>
      <x:c r="K2910" s="6" t="str">
        <x:f>IF(D2910="","",IF(AND(ISNUMBER(SEARCH("平",D2910)),OR(ISNUMBER(SEARCH("上",D2910)),ISNUMBER(SEARCH("去",D2910)),ISNUMBER(SEARCH("入",D2910)))),"Ambiguous",IF(ISNUMBER(SEARCH("平",D2910)),"平","仄")))</x:f>
        <x:v>仄</x:v>
      </x:c>
      <x:c r="L2910" s="7" t="str"/>
    </x:row>
    <x:row r="2911">
      <x:c r="A2911" s="5" t="str">
        <x:v>立</x:v>
      </x:c>
      <x:c r="B2911" s="6" t="str">
        <x:v>入</x:v>
      </x:c>
      <x:c r="C2911" s="6" t="str">
        <x:f>IF(B2911="","Needs decision","Ready")</x:f>
        <x:v>Ready</x:v>
      </x:c>
      <x:c r="D2911" s="6" t="str">
        <x:v>入</x:v>
      </x:c>
      <x:c r="E2911" s="6" t="str">
        <x:v>lip (D)</x:v>
      </x:c>
      <x:c r="F2911" s="6" t="str">
        <x:v>入聲十四緝</x:v>
      </x:c>
      <x:c r="G2911" s="6" t="str">
        <x:v>Pingshui main list, Wikisource-derived DOCX</x:v>
      </x:c>
      <x:c r="H2911" s="6" t="str">
        <x:v>1</x:v>
      </x:c>
      <x:c r="I2911" s="6" t="str"/>
      <x:c r="J2911" s="6" t="str">
        <x:f>IF(B2911="","",IF(AND(ISNUMBER(SEARCH("平",B2911)),OR(ISNUMBER(SEARCH("上",B2911)),ISNUMBER(SEARCH("去",B2911)),ISNUMBER(SEARCH("入",B2911)))),"Ambiguous",IF(ISNUMBER(SEARCH("平",B2911)),"平","仄")))</x:f>
        <x:v>仄</x:v>
      </x:c>
      <x:c r="K2911" s="6" t="str">
        <x:f>IF(D2911="","",IF(AND(ISNUMBER(SEARCH("平",D2911)),OR(ISNUMBER(SEARCH("上",D2911)),ISNUMBER(SEARCH("去",D2911)),ISNUMBER(SEARCH("入",D2911)))),"Ambiguous",IF(ISNUMBER(SEARCH("平",D2911)),"平","仄")))</x:f>
        <x:v>仄</x:v>
      </x:c>
      <x:c r="L2911" s="7" t="str"/>
    </x:row>
    <x:row r="2912">
      <x:c r="A2912" s="5" t="str">
        <x:v>竚</x:v>
      </x:c>
      <x:c r="B2912" s="6" t="str">
        <x:v>上</x:v>
      </x:c>
      <x:c r="C2912" s="6" t="str">
        <x:f>IF(B2912="","Needs decision","Ready")</x:f>
        <x:v>Ready</x:v>
      </x:c>
      <x:c r="D2912" s="6" t="str">
        <x:v>上</x:v>
      </x:c>
      <x:c r="E2912" s="6" t="str">
        <x:v>drjoX (B)</x:v>
      </x:c>
      <x:c r="F2912" s="6" t="str"/>
      <x:c r="G2912" s="6" t="str"/>
      <x:c r="H2912" s="6" t="str">
        <x:v>1</x:v>
      </x:c>
      <x:c r="I2912" s="6" t="str"/>
      <x:c r="J2912" s="6" t="str">
        <x:f>IF(B2912="","",IF(AND(ISNUMBER(SEARCH("平",B2912)),OR(ISNUMBER(SEARCH("上",B2912)),ISNUMBER(SEARCH("去",B2912)),ISNUMBER(SEARCH("入",B2912)))),"Ambiguous",IF(ISNUMBER(SEARCH("平",B2912)),"平","仄")))</x:f>
        <x:v>仄</x:v>
      </x:c>
      <x:c r="K2912" s="6" t="str">
        <x:f>IF(D2912="","",IF(AND(ISNUMBER(SEARCH("平",D2912)),OR(ISNUMBER(SEARCH("上",D2912)),ISNUMBER(SEARCH("去",D2912)),ISNUMBER(SEARCH("入",D2912)))),"Ambiguous",IF(ISNUMBER(SEARCH("平",D2912)),"平","仄")))</x:f>
        <x:v>仄</x:v>
      </x:c>
      <x:c r="L2912" s="7" t="str"/>
    </x:row>
    <x:row r="2913">
      <x:c r="A2913" s="5" t="str">
        <x:v>竟</x:v>
      </x:c>
      <x:c r="B2913" s="6" t="str">
        <x:v>去</x:v>
      </x:c>
      <x:c r="C2913" s="6" t="str">
        <x:f>IF(B2913="","Needs decision","Ready")</x:f>
        <x:v>Ready</x:v>
      </x:c>
      <x:c r="D2913" s="6" t="str">
        <x:v>去</x:v>
      </x:c>
      <x:c r="E2913" s="6" t="str">
        <x:v>kjaengH (C)</x:v>
      </x:c>
      <x:c r="F2913" s="6" t="str">
        <x:v>去聲二十四敬</x:v>
      </x:c>
      <x:c r="G2913" s="6" t="str">
        <x:v>Pingshui main list, Wikisource-derived DOCX</x:v>
      </x:c>
      <x:c r="H2913" s="6" t="str">
        <x:v>1</x:v>
      </x:c>
      <x:c r="I2913" s="6" t="str"/>
      <x:c r="J2913" s="6" t="str">
        <x:f>IF(B2913="","",IF(AND(ISNUMBER(SEARCH("平",B2913)),OR(ISNUMBER(SEARCH("上",B2913)),ISNUMBER(SEARCH("去",B2913)),ISNUMBER(SEARCH("入",B2913)))),"Ambiguous",IF(ISNUMBER(SEARCH("平",B2913)),"平","仄")))</x:f>
        <x:v>仄</x:v>
      </x:c>
      <x:c r="K2913" s="6" t="str">
        <x:f>IF(D2913="","",IF(AND(ISNUMBER(SEARCH("平",D2913)),OR(ISNUMBER(SEARCH("上",D2913)),ISNUMBER(SEARCH("去",D2913)),ISNUMBER(SEARCH("入",D2913)))),"Ambiguous",IF(ISNUMBER(SEARCH("平",D2913)),"平","仄")))</x:f>
        <x:v>仄</x:v>
      </x:c>
      <x:c r="L2913" s="7" t="str"/>
    </x:row>
    <x:row r="2914">
      <x:c r="A2914" s="5" t="str">
        <x:v>章</x:v>
      </x:c>
      <x:c r="B2914" s="6" t="str">
        <x:v>平</x:v>
      </x:c>
      <x:c r="C2914" s="6" t="str">
        <x:f>IF(B2914="","Needs decision","Ready")</x:f>
        <x:v>Ready</x:v>
      </x:c>
      <x:c r="D2914" s="6" t="str">
        <x:v>平</x:v>
      </x:c>
      <x:c r="E2914" s="6" t="str">
        <x:v>tsyang (A)</x:v>
      </x:c>
      <x:c r="F2914" s="6" t="str">
        <x:v>下平聲七陽</x:v>
      </x:c>
      <x:c r="G2914" s="6" t="str">
        <x:v>Pingshui main list, Wikisource-derived DOCX</x:v>
      </x:c>
      <x:c r="H2914" s="6" t="str">
        <x:v>1</x:v>
      </x:c>
      <x:c r="I2914" s="6" t="str"/>
      <x:c r="J2914" s="6" t="str">
        <x:f>IF(B2914="","",IF(AND(ISNUMBER(SEARCH("平",B2914)),OR(ISNUMBER(SEARCH("上",B2914)),ISNUMBER(SEARCH("去",B2914)),ISNUMBER(SEARCH("入",B2914)))),"Ambiguous",IF(ISNUMBER(SEARCH("平",B2914)),"平","仄")))</x:f>
        <x:v>平</x:v>
      </x:c>
      <x:c r="K2914" s="6" t="str">
        <x:f>IF(D2914="","",IF(AND(ISNUMBER(SEARCH("平",D2914)),OR(ISNUMBER(SEARCH("上",D2914)),ISNUMBER(SEARCH("去",D2914)),ISNUMBER(SEARCH("入",D2914)))),"Ambiguous",IF(ISNUMBER(SEARCH("平",D2914)),"平","仄")))</x:f>
        <x:v>平</x:v>
      </x:c>
      <x:c r="L2914" s="7" t="str"/>
    </x:row>
    <x:row r="2915">
      <x:c r="A2915" s="5" t="str">
        <x:v>童</x:v>
      </x:c>
      <x:c r="B2915" s="6" t="str">
        <x:v>平</x:v>
      </x:c>
      <x:c r="C2915" s="6" t="str">
        <x:f>IF(B2915="","Needs decision","Ready")</x:f>
        <x:v>Ready</x:v>
      </x:c>
      <x:c r="D2915" s="6" t="str">
        <x:v>平</x:v>
      </x:c>
      <x:c r="E2915" s="6" t="str">
        <x:v>duwng (A)</x:v>
      </x:c>
      <x:c r="F2915" s="6" t="str">
        <x:v>上平聲一東</x:v>
      </x:c>
      <x:c r="G2915" s="6" t="str">
        <x:v>Pingshui main list, Wikisource-derived DOCX</x:v>
      </x:c>
      <x:c r="H2915" s="6" t="str">
        <x:v>1</x:v>
      </x:c>
      <x:c r="I2915" s="6" t="str"/>
      <x:c r="J2915" s="6" t="str">
        <x:f>IF(B2915="","",IF(AND(ISNUMBER(SEARCH("平",B2915)),OR(ISNUMBER(SEARCH("上",B2915)),ISNUMBER(SEARCH("去",B2915)),ISNUMBER(SEARCH("入",B2915)))),"Ambiguous",IF(ISNUMBER(SEARCH("平",B2915)),"平","仄")))</x:f>
        <x:v>平</x:v>
      </x:c>
      <x:c r="K2915" s="6" t="str">
        <x:f>IF(D2915="","",IF(AND(ISNUMBER(SEARCH("平",D2915)),OR(ISNUMBER(SEARCH("上",D2915)),ISNUMBER(SEARCH("去",D2915)),ISNUMBER(SEARCH("入",D2915)))),"Ambiguous",IF(ISNUMBER(SEARCH("平",D2915)),"平","仄")))</x:f>
        <x:v>平</x:v>
      </x:c>
      <x:c r="L2915" s="7" t="str"/>
    </x:row>
    <x:row r="2916">
      <x:c r="A2916" s="5" t="str">
        <x:v>竭</x:v>
      </x:c>
      <x:c r="B2916" s="6" t="str">
        <x:v>入</x:v>
      </x:c>
      <x:c r="C2916" s="6" t="str">
        <x:f>IF(B2916="","Needs decision","Ready")</x:f>
        <x:v>Ready</x:v>
      </x:c>
      <x:c r="D2916" s="6" t="str">
        <x:v>入</x:v>
      </x:c>
      <x:c r="E2916" s="6" t="str">
        <x:v>gjet (D)</x:v>
      </x:c>
      <x:c r="F2916" s="6" t="str">
        <x:v>入聲六月; 入聲九屑</x:v>
      </x:c>
      <x:c r="G2916" s="6" t="str">
        <x:v>Pingshui main list, Wikisource-derived DOCX</x:v>
      </x:c>
      <x:c r="H2916" s="6" t="str">
        <x:v>1</x:v>
      </x:c>
      <x:c r="I2916" s="6" t="str"/>
      <x:c r="J2916" s="6" t="str">
        <x:f>IF(B2916="","",IF(AND(ISNUMBER(SEARCH("平",B2916)),OR(ISNUMBER(SEARCH("上",B2916)),ISNUMBER(SEARCH("去",B2916)),ISNUMBER(SEARCH("入",B2916)))),"Ambiguous",IF(ISNUMBER(SEARCH("平",B2916)),"平","仄")))</x:f>
        <x:v>仄</x:v>
      </x:c>
      <x:c r="K2916" s="6" t="str">
        <x:f>IF(D2916="","",IF(AND(ISNUMBER(SEARCH("平",D2916)),OR(ISNUMBER(SEARCH("上",D2916)),ISNUMBER(SEARCH("去",D2916)),ISNUMBER(SEARCH("入",D2916)))),"Ambiguous",IF(ISNUMBER(SEARCH("平",D2916)),"平","仄")))</x:f>
        <x:v>仄</x:v>
      </x:c>
      <x:c r="L2916" s="7" t="str"/>
    </x:row>
    <x:row r="2917">
      <x:c r="A2917" s="5" t="str">
        <x:v>端</x:v>
      </x:c>
      <x:c r="B2917" s="6" t="str">
        <x:v>平</x:v>
      </x:c>
      <x:c r="C2917" s="6" t="str">
        <x:f>IF(B2917="","Needs decision","Ready")</x:f>
        <x:v>Ready</x:v>
      </x:c>
      <x:c r="D2917" s="6" t="str">
        <x:v>平</x:v>
      </x:c>
      <x:c r="E2917" s="6" t="str">
        <x:v>twan (A)</x:v>
      </x:c>
      <x:c r="F2917" s="6" t="str">
        <x:v>上平聲十四寒</x:v>
      </x:c>
      <x:c r="G2917" s="6" t="str">
        <x:v>Pingshui main list, Wikisource-derived DOCX</x:v>
      </x:c>
      <x:c r="H2917" s="6" t="str">
        <x:v>1</x:v>
      </x:c>
      <x:c r="I2917" s="6" t="str"/>
      <x:c r="J2917" s="6" t="str">
        <x:f>IF(B2917="","",IF(AND(ISNUMBER(SEARCH("平",B2917)),OR(ISNUMBER(SEARCH("上",B2917)),ISNUMBER(SEARCH("去",B2917)),ISNUMBER(SEARCH("入",B2917)))),"Ambiguous",IF(ISNUMBER(SEARCH("平",B2917)),"平","仄")))</x:f>
        <x:v>平</x:v>
      </x:c>
      <x:c r="K2917" s="6" t="str">
        <x:f>IF(D2917="","",IF(AND(ISNUMBER(SEARCH("平",D2917)),OR(ISNUMBER(SEARCH("上",D2917)),ISNUMBER(SEARCH("去",D2917)),ISNUMBER(SEARCH("入",D2917)))),"Ambiguous",IF(ISNUMBER(SEARCH("平",D2917)),"平","仄")))</x:f>
        <x:v>平</x:v>
      </x:c>
      <x:c r="L2917" s="7" t="str"/>
    </x:row>
    <x:row r="2918">
      <x:c r="A2918" s="5" t="str">
        <x:v>競</x:v>
      </x:c>
      <x:c r="B2918" s="6" t="str">
        <x:v>去</x:v>
      </x:c>
      <x:c r="C2918" s="6" t="str">
        <x:f>IF(B2918="","Needs decision","Ready")</x:f>
        <x:v>Ready</x:v>
      </x:c>
      <x:c r="D2918" s="6" t="str">
        <x:v>去</x:v>
      </x:c>
      <x:c r="E2918" s="6" t="str">
        <x:v>gjaengH (C)</x:v>
      </x:c>
      <x:c r="F2918" s="6" t="str">
        <x:v>去聲二十四敬</x:v>
      </x:c>
      <x:c r="G2918" s="6" t="str">
        <x:v>Pingshui main list, Wikisource-derived DOCX</x:v>
      </x:c>
      <x:c r="H2918" s="6" t="str">
        <x:v>1</x:v>
      </x:c>
      <x:c r="I2918" s="6" t="str"/>
      <x:c r="J2918" s="6" t="str">
        <x:f>IF(B2918="","",IF(AND(ISNUMBER(SEARCH("平",B2918)),OR(ISNUMBER(SEARCH("上",B2918)),ISNUMBER(SEARCH("去",B2918)),ISNUMBER(SEARCH("入",B2918)))),"Ambiguous",IF(ISNUMBER(SEARCH("平",B2918)),"平","仄")))</x:f>
        <x:v>仄</x:v>
      </x:c>
      <x:c r="K2918" s="6" t="str">
        <x:f>IF(D2918="","",IF(AND(ISNUMBER(SEARCH("平",D2918)),OR(ISNUMBER(SEARCH("上",D2918)),ISNUMBER(SEARCH("去",D2918)),ISNUMBER(SEARCH("入",D2918)))),"Ambiguous",IF(ISNUMBER(SEARCH("平",D2918)),"平","仄")))</x:f>
        <x:v>仄</x:v>
      </x:c>
      <x:c r="L2918" s="7" t="str"/>
    </x:row>
    <x:row r="2919">
      <x:c r="A2919" s="5" t="str">
        <x:v>竷</x:v>
      </x:c>
      <x:c r="B2919" s="6" t="str">
        <x:v>上</x:v>
      </x:c>
      <x:c r="C2919" s="6" t="str">
        <x:f>IF(B2919="","Needs decision","Ready")</x:f>
        <x:v>Ready</x:v>
      </x:c>
      <x:c r="D2919" s="6" t="str">
        <x:v>上</x:v>
      </x:c>
      <x:c r="E2919" s="6" t="str">
        <x:v>khomX (B)</x:v>
      </x:c>
      <x:c r="F2919" s="6" t="str"/>
      <x:c r="G2919" s="6" t="str"/>
      <x:c r="H2919" s="6" t="str">
        <x:v>1</x:v>
      </x:c>
      <x:c r="I2919" s="6" t="str"/>
      <x:c r="J2919" s="6" t="str">
        <x:f>IF(B2919="","",IF(AND(ISNUMBER(SEARCH("平",B2919)),OR(ISNUMBER(SEARCH("上",B2919)),ISNUMBER(SEARCH("去",B2919)),ISNUMBER(SEARCH("入",B2919)))),"Ambiguous",IF(ISNUMBER(SEARCH("平",B2919)),"平","仄")))</x:f>
        <x:v>仄</x:v>
      </x:c>
      <x:c r="K2919" s="6" t="str">
        <x:f>IF(D2919="","",IF(AND(ISNUMBER(SEARCH("平",D2919)),OR(ISNUMBER(SEARCH("上",D2919)),ISNUMBER(SEARCH("去",D2919)),ISNUMBER(SEARCH("入",D2919)))),"Ambiguous",IF(ISNUMBER(SEARCH("平",D2919)),"平","仄")))</x:f>
        <x:v>仄</x:v>
      </x:c>
      <x:c r="L2919" s="7" t="str"/>
    </x:row>
    <x:row r="2920">
      <x:c r="A2920" s="5" t="str">
        <x:v>竹</x:v>
      </x:c>
      <x:c r="B2920" s="6" t="str">
        <x:v>入</x:v>
      </x:c>
      <x:c r="C2920" s="6" t="str">
        <x:f>IF(B2920="","Needs decision","Ready")</x:f>
        <x:v>Ready</x:v>
      </x:c>
      <x:c r="D2920" s="6" t="str">
        <x:v>入</x:v>
      </x:c>
      <x:c r="E2920" s="6" t="str">
        <x:v>trjuwk (D)</x:v>
      </x:c>
      <x:c r="F2920" s="6" t="str">
        <x:v>入聲一屋</x:v>
      </x:c>
      <x:c r="G2920" s="6" t="str">
        <x:v>Pingshui main list, Wikisource-derived DOCX</x:v>
      </x:c>
      <x:c r="H2920" s="6" t="str">
        <x:v>1</x:v>
      </x:c>
      <x:c r="I2920" s="6" t="str"/>
      <x:c r="J2920" s="6" t="str">
        <x:f>IF(B2920="","",IF(AND(ISNUMBER(SEARCH("平",B2920)),OR(ISNUMBER(SEARCH("上",B2920)),ISNUMBER(SEARCH("去",B2920)),ISNUMBER(SEARCH("入",B2920)))),"Ambiguous",IF(ISNUMBER(SEARCH("平",B2920)),"平","仄")))</x:f>
        <x:v>仄</x:v>
      </x:c>
      <x:c r="K2920" s="6" t="str">
        <x:f>IF(D2920="","",IF(AND(ISNUMBER(SEARCH("平",D2920)),OR(ISNUMBER(SEARCH("上",D2920)),ISNUMBER(SEARCH("去",D2920)),ISNUMBER(SEARCH("入",D2920)))),"Ambiguous",IF(ISNUMBER(SEARCH("平",D2920)),"平","仄")))</x:f>
        <x:v>仄</x:v>
      </x:c>
      <x:c r="L2920" s="7" t="str"/>
    </x:row>
    <x:row r="2921">
      <x:c r="A2921" s="5" t="str">
        <x:v>竽</x:v>
      </x:c>
      <x:c r="B2921" s="6" t="str">
        <x:v>平</x:v>
      </x:c>
      <x:c r="C2921" s="6" t="str">
        <x:f>IF(B2921="","Needs decision","Ready")</x:f>
        <x:v>Ready</x:v>
      </x:c>
      <x:c r="D2921" s="6" t="str">
        <x:v>平</x:v>
      </x:c>
      <x:c r="E2921" s="6" t="str">
        <x:v>hju (A)</x:v>
      </x:c>
      <x:c r="F2921" s="6" t="str">
        <x:v>上平聲七虞</x:v>
      </x:c>
      <x:c r="G2921" s="6" t="str">
        <x:v>Pingshui main list, Wikisource-derived DOCX</x:v>
      </x:c>
      <x:c r="H2921" s="6" t="str">
        <x:v>1</x:v>
      </x:c>
      <x:c r="I2921" s="6" t="str"/>
      <x:c r="J2921" s="6" t="str">
        <x:f>IF(B2921="","",IF(AND(ISNUMBER(SEARCH("平",B2921)),OR(ISNUMBER(SEARCH("上",B2921)),ISNUMBER(SEARCH("去",B2921)),ISNUMBER(SEARCH("入",B2921)))),"Ambiguous",IF(ISNUMBER(SEARCH("平",B2921)),"平","仄")))</x:f>
        <x:v>平</x:v>
      </x:c>
      <x:c r="K2921" s="6" t="str">
        <x:f>IF(D2921="","",IF(AND(ISNUMBER(SEARCH("平",D2921)),OR(ISNUMBER(SEARCH("上",D2921)),ISNUMBER(SEARCH("去",D2921)),ISNUMBER(SEARCH("入",D2921)))),"Ambiguous",IF(ISNUMBER(SEARCH("平",D2921)),"平","仄")))</x:f>
        <x:v>平</x:v>
      </x:c>
      <x:c r="L2921" s="7" t="str"/>
    </x:row>
    <x:row r="2922">
      <x:c r="A2922" s="5" t="str">
        <x:v>竿</x:v>
      </x:c>
      <x:c r="B2922" s="6" t="str">
        <x:v>平</x:v>
      </x:c>
      <x:c r="C2922" s="6" t="str">
        <x:f>IF(B2922="","Needs decision","Ready")</x:f>
        <x:v>Ready</x:v>
      </x:c>
      <x:c r="D2922" s="6" t="str">
        <x:v>平</x:v>
      </x:c>
      <x:c r="E2922" s="6" t="str">
        <x:v>kan (A)</x:v>
      </x:c>
      <x:c r="F2922" s="6" t="str">
        <x:v>上平聲十四寒</x:v>
      </x:c>
      <x:c r="G2922" s="6" t="str">
        <x:v>Pingshui main list, Wikisource-derived DOCX</x:v>
      </x:c>
      <x:c r="H2922" s="6" t="str">
        <x:v>1</x:v>
      </x:c>
      <x:c r="I2922" s="6" t="str"/>
      <x:c r="J2922" s="6" t="str">
        <x:f>IF(B2922="","",IF(AND(ISNUMBER(SEARCH("平",B2922)),OR(ISNUMBER(SEARCH("上",B2922)),ISNUMBER(SEARCH("去",B2922)),ISNUMBER(SEARCH("入",B2922)))),"Ambiguous",IF(ISNUMBER(SEARCH("平",B2922)),"平","仄")))</x:f>
        <x:v>平</x:v>
      </x:c>
      <x:c r="K2922" s="6" t="str">
        <x:f>IF(D2922="","",IF(AND(ISNUMBER(SEARCH("平",D2922)),OR(ISNUMBER(SEARCH("上",D2922)),ISNUMBER(SEARCH("去",D2922)),ISNUMBER(SEARCH("入",D2922)))),"Ambiguous",IF(ISNUMBER(SEARCH("平",D2922)),"平","仄")))</x:f>
        <x:v>平</x:v>
      </x:c>
      <x:c r="L2922" s="7" t="str"/>
    </x:row>
    <x:row r="2923">
      <x:c r="A2923" s="5" t="str">
        <x:v>笄</x:v>
      </x:c>
      <x:c r="B2923" s="6" t="str">
        <x:v>平</x:v>
      </x:c>
      <x:c r="C2923" s="6" t="str">
        <x:f>IF(B2923="","Needs decision","Ready")</x:f>
        <x:v>Ready</x:v>
      </x:c>
      <x:c r="D2923" s="6" t="str">
        <x:v>平</x:v>
      </x:c>
      <x:c r="E2923" s="6" t="str">
        <x:v>kej (A)</x:v>
      </x:c>
      <x:c r="F2923" s="6" t="str">
        <x:v>上平聲八齊</x:v>
      </x:c>
      <x:c r="G2923" s="6" t="str">
        <x:v>Pingshui main list, Wikisource-derived DOCX</x:v>
      </x:c>
      <x:c r="H2923" s="6" t="str">
        <x:v>1</x:v>
      </x:c>
      <x:c r="I2923" s="6" t="str"/>
      <x:c r="J2923" s="6" t="str">
        <x:f>IF(B2923="","",IF(AND(ISNUMBER(SEARCH("平",B2923)),OR(ISNUMBER(SEARCH("上",B2923)),ISNUMBER(SEARCH("去",B2923)),ISNUMBER(SEARCH("入",B2923)))),"Ambiguous",IF(ISNUMBER(SEARCH("平",B2923)),"平","仄")))</x:f>
        <x:v>平</x:v>
      </x:c>
      <x:c r="K2923" s="6" t="str">
        <x:f>IF(D2923="","",IF(AND(ISNUMBER(SEARCH("平",D2923)),OR(ISNUMBER(SEARCH("上",D2923)),ISNUMBER(SEARCH("去",D2923)),ISNUMBER(SEARCH("入",D2923)))),"Ambiguous",IF(ISNUMBER(SEARCH("平",D2923)),"平","仄")))</x:f>
        <x:v>平</x:v>
      </x:c>
      <x:c r="L2923" s="7" t="str"/>
    </x:row>
    <x:row r="2924">
      <x:c r="A2924" s="5" t="str">
        <x:v>笑</x:v>
      </x:c>
      <x:c r="B2924" s="6" t="str">
        <x:v>去</x:v>
      </x:c>
      <x:c r="C2924" s="6" t="str">
        <x:f>IF(B2924="","Needs decision","Ready")</x:f>
        <x:v>Ready</x:v>
      </x:c>
      <x:c r="D2924" s="6" t="str">
        <x:v>去</x:v>
      </x:c>
      <x:c r="E2924" s="6" t="str">
        <x:v>sjewH (C)</x:v>
      </x:c>
      <x:c r="F2924" s="6" t="str">
        <x:v>去聲十八嘯</x:v>
      </x:c>
      <x:c r="G2924" s="6" t="str">
        <x:v>Pingshui main list, Wikisource-derived DOCX</x:v>
      </x:c>
      <x:c r="H2924" s="6" t="str">
        <x:v>1</x:v>
      </x:c>
      <x:c r="I2924" s="6" t="str"/>
      <x:c r="J2924" s="6" t="str">
        <x:f>IF(B2924="","",IF(AND(ISNUMBER(SEARCH("平",B2924)),OR(ISNUMBER(SEARCH("上",B2924)),ISNUMBER(SEARCH("去",B2924)),ISNUMBER(SEARCH("入",B2924)))),"Ambiguous",IF(ISNUMBER(SEARCH("平",B2924)),"平","仄")))</x:f>
        <x:v>仄</x:v>
      </x:c>
      <x:c r="K2924" s="6" t="str">
        <x:f>IF(D2924="","",IF(AND(ISNUMBER(SEARCH("平",D2924)),OR(ISNUMBER(SEARCH("上",D2924)),ISNUMBER(SEARCH("去",D2924)),ISNUMBER(SEARCH("入",D2924)))),"Ambiguous",IF(ISNUMBER(SEARCH("平",D2924)),"平","仄")))</x:f>
        <x:v>仄</x:v>
      </x:c>
      <x:c r="L2924" s="7" t="str"/>
    </x:row>
    <x:row r="2925">
      <x:c r="A2925" s="5" t="str">
        <x:v>笙</x:v>
      </x:c>
      <x:c r="B2925" s="6" t="str">
        <x:v>平</x:v>
      </x:c>
      <x:c r="C2925" s="6" t="str">
        <x:f>IF(B2925="","Needs decision","Ready")</x:f>
        <x:v>Ready</x:v>
      </x:c>
      <x:c r="D2925" s="6" t="str">
        <x:v>平</x:v>
      </x:c>
      <x:c r="E2925" s="6" t="str">
        <x:v>srjaeng [ʂɨ̯aŋ] (平)</x:v>
      </x:c>
      <x:c r="F2925" s="6" t="str">
        <x:v>下平聲八庚</x:v>
      </x:c>
      <x:c r="G2925" s="6" t="str">
        <x:v>Pingshui main list, Wikisource-derived DOCX</x:v>
      </x:c>
      <x:c r="H2925" s="6" t="str">
        <x:v>1</x:v>
      </x:c>
      <x:c r="I2925" s="6" t="str">
        <x:v>Tang 300 gap; frequency 1; provisional from Xun Gong</x:v>
      </x:c>
      <x:c r="J2925" s="6" t="str">
        <x:f>IF(B2925="","",IF(AND(ISNUMBER(SEARCH("平",B2925)),OR(ISNUMBER(SEARCH("上",B2925)),ISNUMBER(SEARCH("去",B2925)),ISNUMBER(SEARCH("入",B2925)))),"Ambiguous",IF(ISNUMBER(SEARCH("平",B2925)),"平","仄")))</x:f>
        <x:v>平</x:v>
      </x:c>
      <x:c r="K2925" s="6" t="str">
        <x:f>IF(D2925="","",IF(AND(ISNUMBER(SEARCH("平",D2925)),OR(ISNUMBER(SEARCH("上",D2925)),ISNUMBER(SEARCH("去",D2925)),ISNUMBER(SEARCH("入",D2925)))),"Ambiguous",IF(ISNUMBER(SEARCH("平",D2925)),"平","仄")))</x:f>
        <x:v>平</x:v>
      </x:c>
      <x:c r="L2925" s="7" t="str">
        <x:v>Xun Gong, Tang 300 gap fill</x:v>
      </x:c>
    </x:row>
    <x:row r="2926">
      <x:c r="A2926" s="5" t="str">
        <x:v>笛</x:v>
      </x:c>
      <x:c r="B2926" s="6" t="str">
        <x:v>入</x:v>
      </x:c>
      <x:c r="C2926" s="6" t="str">
        <x:f>IF(B2926="","Needs decision","Ready")</x:f>
        <x:v>Ready</x:v>
      </x:c>
      <x:c r="D2926" s="6" t="str">
        <x:v>入</x:v>
      </x:c>
      <x:c r="E2926" s="6" t="str">
        <x:v>dek [d̙ek] (入)</x:v>
      </x:c>
      <x:c r="F2926" s="6" t="str">
        <x:v>入聲十二錫</x:v>
      </x:c>
      <x:c r="G2926" s="6" t="str">
        <x:v>Pingshui main list, Wikisource-derived DOCX</x:v>
      </x:c>
      <x:c r="H2926" s="6" t="str">
        <x:v>1</x:v>
      </x:c>
      <x:c r="I2926" s="6" t="str">
        <x:v>Tang 300 gap; frequency 5; provisional from Xun Gong</x:v>
      </x:c>
      <x:c r="J2926" s="6" t="str">
        <x:f>IF(B2926="","",IF(AND(ISNUMBER(SEARCH("平",B2926)),OR(ISNUMBER(SEARCH("上",B2926)),ISNUMBER(SEARCH("去",B2926)),ISNUMBER(SEARCH("入",B2926)))),"Ambiguous",IF(ISNUMBER(SEARCH("平",B2926)),"平","仄")))</x:f>
        <x:v>仄</x:v>
      </x:c>
      <x:c r="K2926" s="6" t="str">
        <x:f>IF(D2926="","",IF(AND(ISNUMBER(SEARCH("平",D2926)),OR(ISNUMBER(SEARCH("上",D2926)),ISNUMBER(SEARCH("去",D2926)),ISNUMBER(SEARCH("入",D2926)))),"Ambiguous",IF(ISNUMBER(SEARCH("平",D2926)),"平","仄")))</x:f>
        <x:v>仄</x:v>
      </x:c>
      <x:c r="L2926" s="7" t="str">
        <x:v>Xun Gong, Tang 300 gap fill</x:v>
      </x:c>
    </x:row>
    <x:row r="2927">
      <x:c r="A2927" s="5" t="str">
        <x:v>笠</x:v>
      </x:c>
      <x:c r="B2927" s="6" t="str">
        <x:v>入</x:v>
      </x:c>
      <x:c r="C2927" s="6" t="str">
        <x:f>IF(B2927="","Needs decision","Ready")</x:f>
        <x:v>Ready</x:v>
      </x:c>
      <x:c r="D2927" s="6" t="str">
        <x:v>入</x:v>
      </x:c>
      <x:c r="E2927" s="6" t="str">
        <x:v>lip (D)</x:v>
      </x:c>
      <x:c r="F2927" s="6" t="str">
        <x:v>入聲十四緝</x:v>
      </x:c>
      <x:c r="G2927" s="6" t="str">
        <x:v>Pingshui main list, Wikisource-derived DOCX</x:v>
      </x:c>
      <x:c r="H2927" s="6" t="str">
        <x:v>1</x:v>
      </x:c>
      <x:c r="I2927" s="6" t="str"/>
      <x:c r="J2927" s="6" t="str">
        <x:f>IF(B2927="","",IF(AND(ISNUMBER(SEARCH("平",B2927)),OR(ISNUMBER(SEARCH("上",B2927)),ISNUMBER(SEARCH("去",B2927)),ISNUMBER(SEARCH("入",B2927)))),"Ambiguous",IF(ISNUMBER(SEARCH("平",B2927)),"平","仄")))</x:f>
        <x:v>仄</x:v>
      </x:c>
      <x:c r="K2927" s="6" t="str">
        <x:f>IF(D2927="","",IF(AND(ISNUMBER(SEARCH("平",D2927)),OR(ISNUMBER(SEARCH("上",D2927)),ISNUMBER(SEARCH("去",D2927)),ISNUMBER(SEARCH("入",D2927)))),"Ambiguous",IF(ISNUMBER(SEARCH("平",D2927)),"平","仄")))</x:f>
        <x:v>仄</x:v>
      </x:c>
      <x:c r="L2927" s="7" t="str"/>
    </x:row>
    <x:row r="2928">
      <x:c r="A2928" s="5" t="str">
        <x:v>符</x:v>
      </x:c>
      <x:c r="B2928" s="6" t="str">
        <x:v>平</x:v>
      </x:c>
      <x:c r="C2928" s="6" t="str">
        <x:f>IF(B2928="","Needs decision","Ready")</x:f>
        <x:v>Ready</x:v>
      </x:c>
      <x:c r="D2928" s="6" t="str">
        <x:v>平</x:v>
      </x:c>
      <x:c r="E2928" s="6" t="str">
        <x:v>bju (A)</x:v>
      </x:c>
      <x:c r="F2928" s="6" t="str">
        <x:v>上平聲七虞</x:v>
      </x:c>
      <x:c r="G2928" s="6" t="str">
        <x:v>Pingshui main list, Wikisource-derived DOCX</x:v>
      </x:c>
      <x:c r="H2928" s="6" t="str">
        <x:v>1</x:v>
      </x:c>
      <x:c r="I2928" s="6" t="str"/>
      <x:c r="J2928" s="6" t="str">
        <x:f>IF(B2928="","",IF(AND(ISNUMBER(SEARCH("平",B2928)),OR(ISNUMBER(SEARCH("上",B2928)),ISNUMBER(SEARCH("去",B2928)),ISNUMBER(SEARCH("入",B2928)))),"Ambiguous",IF(ISNUMBER(SEARCH("平",B2928)),"平","仄")))</x:f>
        <x:v>平</x:v>
      </x:c>
      <x:c r="K2928" s="6" t="str">
        <x:f>IF(D2928="","",IF(AND(ISNUMBER(SEARCH("平",D2928)),OR(ISNUMBER(SEARCH("上",D2928)),ISNUMBER(SEARCH("去",D2928)),ISNUMBER(SEARCH("入",D2928)))),"Ambiguous",IF(ISNUMBER(SEARCH("平",D2928)),"平","仄")))</x:f>
        <x:v>平</x:v>
      </x:c>
      <x:c r="L2928" s="7" t="str"/>
    </x:row>
    <x:row r="2929">
      <x:c r="A2929" s="5" t="str">
        <x:v>第</x:v>
      </x:c>
      <x:c r="B2929" s="6" t="str">
        <x:v>去</x:v>
      </x:c>
      <x:c r="C2929" s="6" t="str">
        <x:f>IF(B2929="","Needs decision","Ready")</x:f>
        <x:v>Ready</x:v>
      </x:c>
      <x:c r="D2929" s="6" t="str">
        <x:v>去</x:v>
      </x:c>
      <x:c r="E2929" s="6" t="str">
        <x:v>dejH (C)</x:v>
      </x:c>
      <x:c r="F2929" s="6" t="str">
        <x:v>去聲八霽</x:v>
      </x:c>
      <x:c r="G2929" s="6" t="str">
        <x:v>Pingshui main list, Wikisource-derived DOCX</x:v>
      </x:c>
      <x:c r="H2929" s="6" t="str">
        <x:v>1</x:v>
      </x:c>
      <x:c r="I2929" s="6" t="str"/>
      <x:c r="J2929" s="6" t="str">
        <x:f>IF(B2929="","",IF(AND(ISNUMBER(SEARCH("平",B2929)),OR(ISNUMBER(SEARCH("上",B2929)),ISNUMBER(SEARCH("去",B2929)),ISNUMBER(SEARCH("入",B2929)))),"Ambiguous",IF(ISNUMBER(SEARCH("平",B2929)),"平","仄")))</x:f>
        <x:v>仄</x:v>
      </x:c>
      <x:c r="K2929" s="6" t="str">
        <x:f>IF(D2929="","",IF(AND(ISNUMBER(SEARCH("平",D2929)),OR(ISNUMBER(SEARCH("上",D2929)),ISNUMBER(SEARCH("去",D2929)),ISNUMBER(SEARCH("入",D2929)))),"Ambiguous",IF(ISNUMBER(SEARCH("平",D2929)),"平","仄")))</x:f>
        <x:v>仄</x:v>
      </x:c>
      <x:c r="L2929" s="7" t="str"/>
    </x:row>
    <x:row r="2930">
      <x:c r="A2930" s="5" t="str">
        <x:v>笲</x:v>
      </x:c>
      <x:c r="B2930" s="6" t="str">
        <x:v>去</x:v>
      </x:c>
      <x:c r="C2930" s="6" t="str">
        <x:f>IF(B2930="","Needs decision","Ready")</x:f>
        <x:v>Ready</x:v>
      </x:c>
      <x:c r="D2930" s="6" t="str">
        <x:v>去</x:v>
      </x:c>
      <x:c r="E2930" s="6" t="str">
        <x:v>bjenH (C)</x:v>
      </x:c>
      <x:c r="F2930" s="6" t="str">
        <x:v>上平聲十三元</x:v>
      </x:c>
      <x:c r="G2930" s="6" t="str">
        <x:v>Pingshui main list, Wikisource-derived DOCX</x:v>
      </x:c>
      <x:c r="H2930" s="6" t="str">
        <x:v>1</x:v>
      </x:c>
      <x:c r="I2930" s="6" t="str"/>
      <x:c r="J2930" s="6" t="str">
        <x:f>IF(B2930="","",IF(AND(ISNUMBER(SEARCH("平",B2930)),OR(ISNUMBER(SEARCH("上",B2930)),ISNUMBER(SEARCH("去",B2930)),ISNUMBER(SEARCH("入",B2930)))),"Ambiguous",IF(ISNUMBER(SEARCH("平",B2930)),"平","仄")))</x:f>
        <x:v>仄</x:v>
      </x:c>
      <x:c r="K2930" s="6" t="str">
        <x:f>IF(D2930="","",IF(AND(ISNUMBER(SEARCH("平",D2930)),OR(ISNUMBER(SEARCH("上",D2930)),ISNUMBER(SEARCH("去",D2930)),ISNUMBER(SEARCH("入",D2930)))),"Ambiguous",IF(ISNUMBER(SEARCH("平",D2930)),"平","仄")))</x:f>
        <x:v>仄</x:v>
      </x:c>
      <x:c r="L2930" s="7" t="str"/>
    </x:row>
    <x:row r="2931">
      <x:c r="A2931" s="5" t="str">
        <x:v>笳</x:v>
      </x:c>
      <x:c r="B2931" s="6" t="str">
        <x:v>平</x:v>
      </x:c>
      <x:c r="C2931" s="6" t="str">
        <x:f>IF(B2931="","Needs decision","Ready")</x:f>
        <x:v>Ready</x:v>
      </x:c>
      <x:c r="D2931" s="6" t="str">
        <x:v>平</x:v>
      </x:c>
      <x:c r="E2931" s="6" t="str">
        <x:v>kae [qaˤ] (平)</x:v>
      </x:c>
      <x:c r="F2931" s="6" t="str">
        <x:v>下平聲六麻</x:v>
      </x:c>
      <x:c r="G2931" s="6" t="str">
        <x:v>Pingshui main list, Wikisource-derived DOCX</x:v>
      </x:c>
      <x:c r="H2931" s="6" t="str">
        <x:v>1</x:v>
      </x:c>
      <x:c r="I2931" s="6" t="str">
        <x:v>Tang 300 gap; frequency 2; provisional from Xun Gong</x:v>
      </x:c>
      <x:c r="J2931" s="6" t="str">
        <x:f>IF(B2931="","",IF(AND(ISNUMBER(SEARCH("平",B2931)),OR(ISNUMBER(SEARCH("上",B2931)),ISNUMBER(SEARCH("去",B2931)),ISNUMBER(SEARCH("入",B2931)))),"Ambiguous",IF(ISNUMBER(SEARCH("平",B2931)),"平","仄")))</x:f>
        <x:v>平</x:v>
      </x:c>
      <x:c r="K2931" s="6" t="str">
        <x:f>IF(D2931="","",IF(AND(ISNUMBER(SEARCH("平",D2931)),OR(ISNUMBER(SEARCH("上",D2931)),ISNUMBER(SEARCH("去",D2931)),ISNUMBER(SEARCH("入",D2931)))),"Ambiguous",IF(ISNUMBER(SEARCH("平",D2931)),"平","仄")))</x:f>
        <x:v>平</x:v>
      </x:c>
      <x:c r="L2931" s="7" t="str">
        <x:v>Xun Gong, Tang 300 gap fill</x:v>
      </x:c>
    </x:row>
    <x:row r="2932">
      <x:c r="A2932" s="5" t="str">
        <x:v>笴</x:v>
      </x:c>
      <x:c r="B2932" s="6" t="str">
        <x:v>上</x:v>
      </x:c>
      <x:c r="C2932" s="6" t="str">
        <x:f>IF(B2932="","Needs decision","Ready")</x:f>
        <x:v>Ready</x:v>
      </x:c>
      <x:c r="D2932" s="6" t="str">
        <x:v>上</x:v>
      </x:c>
      <x:c r="E2932" s="6" t="str">
        <x:v>kanX (B)</x:v>
      </x:c>
      <x:c r="F2932" s="6" t="str">
        <x:v>上聲十四旱; 上聲二十哿</x:v>
      </x:c>
      <x:c r="G2932" s="6" t="str">
        <x:v>Pingshui main list, Wikisource-derived DOCX</x:v>
      </x:c>
      <x:c r="H2932" s="6" t="str">
        <x:v>1</x:v>
      </x:c>
      <x:c r="I2932" s="6" t="str"/>
      <x:c r="J2932" s="6" t="str">
        <x:f>IF(B2932="","",IF(AND(ISNUMBER(SEARCH("平",B2932)),OR(ISNUMBER(SEARCH("上",B2932)),ISNUMBER(SEARCH("去",B2932)),ISNUMBER(SEARCH("入",B2932)))),"Ambiguous",IF(ISNUMBER(SEARCH("平",B2932)),"平","仄")))</x:f>
        <x:v>仄</x:v>
      </x:c>
      <x:c r="K2932" s="6" t="str">
        <x:f>IF(D2932="","",IF(AND(ISNUMBER(SEARCH("平",D2932)),OR(ISNUMBER(SEARCH("上",D2932)),ISNUMBER(SEARCH("去",D2932)),ISNUMBER(SEARCH("入",D2932)))),"Ambiguous",IF(ISNUMBER(SEARCH("平",D2932)),"平","仄")))</x:f>
        <x:v>仄</x:v>
      </x:c>
      <x:c r="L2932" s="7" t="str"/>
    </x:row>
    <x:row r="2933">
      <x:c r="A2933" s="5" t="str">
        <x:v>筆</x:v>
      </x:c>
      <x:c r="B2933" s="6" t="str">
        <x:v>入</x:v>
      </x:c>
      <x:c r="C2933" s="6" t="str">
        <x:f>IF(B2933="","Needs decision","Ready")</x:f>
        <x:v>Ready</x:v>
      </x:c>
      <x:c r="D2933" s="6" t="str">
        <x:v>入</x:v>
      </x:c>
      <x:c r="E2933" s="6" t="str">
        <x:v>pit (D)</x:v>
      </x:c>
      <x:c r="F2933" s="6" t="str">
        <x:v>入聲四質</x:v>
      </x:c>
      <x:c r="G2933" s="6" t="str">
        <x:v>Pingshui main list, Wikisource-derived DOCX</x:v>
      </x:c>
      <x:c r="H2933" s="6" t="str">
        <x:v>1</x:v>
      </x:c>
      <x:c r="I2933" s="6" t="str"/>
      <x:c r="J2933" s="6" t="str">
        <x:f>IF(B2933="","",IF(AND(ISNUMBER(SEARCH("平",B2933)),OR(ISNUMBER(SEARCH("上",B2933)),ISNUMBER(SEARCH("去",B2933)),ISNUMBER(SEARCH("入",B2933)))),"Ambiguous",IF(ISNUMBER(SEARCH("平",B2933)),"平","仄")))</x:f>
        <x:v>仄</x:v>
      </x:c>
      <x:c r="K2933" s="6" t="str">
        <x:f>IF(D2933="","",IF(AND(ISNUMBER(SEARCH("平",D2933)),OR(ISNUMBER(SEARCH("上",D2933)),ISNUMBER(SEARCH("去",D2933)),ISNUMBER(SEARCH("入",D2933)))),"Ambiguous",IF(ISNUMBER(SEARCH("平",D2933)),"平","仄")))</x:f>
        <x:v>仄</x:v>
      </x:c>
      <x:c r="L2933" s="7" t="str"/>
    </x:row>
    <x:row r="2934">
      <x:c r="A2934" s="5" t="str">
        <x:v>等</x:v>
      </x:c>
      <x:c r="B2934" s="6" t="str">
        <x:v>上</x:v>
      </x:c>
      <x:c r="C2934" s="6" t="str">
        <x:f>IF(B2934="","Needs decision","Ready")</x:f>
        <x:v>Ready</x:v>
      </x:c>
      <x:c r="D2934" s="6" t="str">
        <x:v>上</x:v>
      </x:c>
      <x:c r="E2934" s="6" t="str">
        <x:v>tongX (B)</x:v>
      </x:c>
      <x:c r="F2934" s="6" t="str">
        <x:v>上聲二十四迥</x:v>
      </x:c>
      <x:c r="G2934" s="6" t="str">
        <x:v>Pingshui main list, Wikisource-derived DOCX</x:v>
      </x:c>
      <x:c r="H2934" s="6" t="str">
        <x:v>1</x:v>
      </x:c>
      <x:c r="I2934" s="6" t="str"/>
      <x:c r="J2934" s="6" t="str">
        <x:f>IF(B2934="","",IF(AND(ISNUMBER(SEARCH("平",B2934)),OR(ISNUMBER(SEARCH("上",B2934)),ISNUMBER(SEARCH("去",B2934)),ISNUMBER(SEARCH("入",B2934)))),"Ambiguous",IF(ISNUMBER(SEARCH("平",B2934)),"平","仄")))</x:f>
        <x:v>仄</x:v>
      </x:c>
      <x:c r="K2934" s="6" t="str">
        <x:f>IF(D2934="","",IF(AND(ISNUMBER(SEARCH("平",D2934)),OR(ISNUMBER(SEARCH("上",D2934)),ISNUMBER(SEARCH("去",D2934)),ISNUMBER(SEARCH("入",D2934)))),"Ambiguous",IF(ISNUMBER(SEARCH("平",D2934)),"平","仄")))</x:f>
        <x:v>仄</x:v>
      </x:c>
      <x:c r="L2934" s="7" t="str"/>
    </x:row>
    <x:row r="2935">
      <x:c r="A2935" s="5" t="str">
        <x:v>筋</x:v>
      </x:c>
      <x:c r="B2935" s="6" t="str">
        <x:v>平</x:v>
      </x:c>
      <x:c r="C2935" s="6" t="str">
        <x:f>IF(B2935="","Needs decision","Ready")</x:f>
        <x:v>Ready</x:v>
      </x:c>
      <x:c r="D2935" s="6" t="str">
        <x:v>平</x:v>
      </x:c>
      <x:c r="E2935" s="6" t="str">
        <x:v>kj+n (A)</x:v>
      </x:c>
      <x:c r="F2935" s="6" t="str">
        <x:v>上平聲十二文</x:v>
      </x:c>
      <x:c r="G2935" s="6" t="str">
        <x:v>Pingshui main list, Wikisource-derived DOCX</x:v>
      </x:c>
      <x:c r="H2935" s="6" t="str">
        <x:v>1</x:v>
      </x:c>
      <x:c r="I2935" s="6" t="str"/>
      <x:c r="J2935" s="6" t="str">
        <x:f>IF(B2935="","",IF(AND(ISNUMBER(SEARCH("平",B2935)),OR(ISNUMBER(SEARCH("上",B2935)),ISNUMBER(SEARCH("去",B2935)),ISNUMBER(SEARCH("入",B2935)))),"Ambiguous",IF(ISNUMBER(SEARCH("平",B2935)),"平","仄")))</x:f>
        <x:v>平</x:v>
      </x:c>
      <x:c r="K2935" s="6" t="str">
        <x:f>IF(D2935="","",IF(AND(ISNUMBER(SEARCH("平",D2935)),OR(ISNUMBER(SEARCH("上",D2935)),ISNUMBER(SEARCH("去",D2935)),ISNUMBER(SEARCH("入",D2935)))),"Ambiguous",IF(ISNUMBER(SEARCH("平",D2935)),"平","仄")))</x:f>
        <x:v>平</x:v>
      </x:c>
      <x:c r="L2935" s="7" t="str"/>
    </x:row>
    <x:row r="2936">
      <x:c r="A2936" s="5" t="str">
        <x:v>筍</x:v>
      </x:c>
      <x:c r="B2936" s="6" t="str">
        <x:v>上</x:v>
      </x:c>
      <x:c r="C2936" s="6" t="str">
        <x:f>IF(B2936="","Needs decision","Ready")</x:f>
        <x:v>Ready</x:v>
      </x:c>
      <x:c r="D2936" s="6" t="str">
        <x:v>上</x:v>
      </x:c>
      <x:c r="E2936" s="6" t="str">
        <x:v>swinX (B)</x:v>
      </x:c>
      <x:c r="F2936" s="6" t="str">
        <x:v>上聲十一軫</x:v>
      </x:c>
      <x:c r="G2936" s="6" t="str">
        <x:v>Pingshui main list, Wikisource-derived DOCX</x:v>
      </x:c>
      <x:c r="H2936" s="6" t="str">
        <x:v>1</x:v>
      </x:c>
      <x:c r="I2936" s="6" t="str"/>
      <x:c r="J2936" s="6" t="str">
        <x:f>IF(B2936="","",IF(AND(ISNUMBER(SEARCH("平",B2936)),OR(ISNUMBER(SEARCH("上",B2936)),ISNUMBER(SEARCH("去",B2936)),ISNUMBER(SEARCH("入",B2936)))),"Ambiguous",IF(ISNUMBER(SEARCH("平",B2936)),"平","仄")))</x:f>
        <x:v>仄</x:v>
      </x:c>
      <x:c r="K2936" s="6" t="str">
        <x:f>IF(D2936="","",IF(AND(ISNUMBER(SEARCH("平",D2936)),OR(ISNUMBER(SEARCH("上",D2936)),ISNUMBER(SEARCH("去",D2936)),ISNUMBER(SEARCH("入",D2936)))),"Ambiguous",IF(ISNUMBER(SEARCH("平",D2936)),"平","仄")))</x:f>
        <x:v>仄</x:v>
      </x:c>
      <x:c r="L2936" s="7" t="str"/>
    </x:row>
    <x:row r="2937">
      <x:c r="A2937" s="5" t="str">
        <x:v>筐</x:v>
      </x:c>
      <x:c r="B2937" s="6" t="str">
        <x:v>平</x:v>
      </x:c>
      <x:c r="C2937" s="6" t="str">
        <x:f>IF(B2937="","Needs decision","Ready")</x:f>
        <x:v>Ready</x:v>
      </x:c>
      <x:c r="D2937" s="6" t="str">
        <x:v>平</x:v>
      </x:c>
      <x:c r="E2937" s="6" t="str">
        <x:v>khjwang (A)</x:v>
      </x:c>
      <x:c r="F2937" s="6" t="str">
        <x:v>下平聲七陽</x:v>
      </x:c>
      <x:c r="G2937" s="6" t="str">
        <x:v>Pingshui main list, Wikisource-derived DOCX</x:v>
      </x:c>
      <x:c r="H2937" s="6" t="str">
        <x:v>1</x:v>
      </x:c>
      <x:c r="I2937" s="6" t="str"/>
      <x:c r="J2937" s="6" t="str">
        <x:f>IF(B2937="","",IF(AND(ISNUMBER(SEARCH("平",B2937)),OR(ISNUMBER(SEARCH("上",B2937)),ISNUMBER(SEARCH("去",B2937)),ISNUMBER(SEARCH("入",B2937)))),"Ambiguous",IF(ISNUMBER(SEARCH("平",B2937)),"平","仄")))</x:f>
        <x:v>平</x:v>
      </x:c>
      <x:c r="K2937" s="6" t="str">
        <x:f>IF(D2937="","",IF(AND(ISNUMBER(SEARCH("平",D2937)),OR(ISNUMBER(SEARCH("上",D2937)),ISNUMBER(SEARCH("去",D2937)),ISNUMBER(SEARCH("入",D2937)))),"Ambiguous",IF(ISNUMBER(SEARCH("平",D2937)),"平","仄")))</x:f>
        <x:v>平</x:v>
      </x:c>
      <x:c r="L2937" s="7" t="str"/>
    </x:row>
    <x:row r="2938">
      <x:c r="A2938" s="5" t="str">
        <x:v>筒</x:v>
      </x:c>
      <x:c r="B2938" s="6" t="str">
        <x:v>平</x:v>
      </x:c>
      <x:c r="C2938" s="6" t="str">
        <x:f>IF(B2938="","Needs decision","Ready")</x:f>
        <x:v>Ready</x:v>
      </x:c>
      <x:c r="D2938" s="6" t="str">
        <x:v>平</x:v>
      </x:c>
      <x:c r="E2938" s="6" t="str">
        <x:v>duwng (A)</x:v>
      </x:c>
      <x:c r="F2938" s="6" t="str">
        <x:v>上平聲一東</x:v>
      </x:c>
      <x:c r="G2938" s="6" t="str">
        <x:v>Pingshui main list, Wikisource-derived DOCX</x:v>
      </x:c>
      <x:c r="H2938" s="6" t="str">
        <x:v>1</x:v>
      </x:c>
      <x:c r="I2938" s="6" t="str"/>
      <x:c r="J2938" s="6" t="str">
        <x:f>IF(B2938="","",IF(AND(ISNUMBER(SEARCH("平",B2938)),OR(ISNUMBER(SEARCH("上",B2938)),ISNUMBER(SEARCH("去",B2938)),ISNUMBER(SEARCH("入",B2938)))),"Ambiguous",IF(ISNUMBER(SEARCH("平",B2938)),"平","仄")))</x:f>
        <x:v>平</x:v>
      </x:c>
      <x:c r="K2938" s="6" t="str">
        <x:f>IF(D2938="","",IF(AND(ISNUMBER(SEARCH("平",D2938)),OR(ISNUMBER(SEARCH("上",D2938)),ISNUMBER(SEARCH("去",D2938)),ISNUMBER(SEARCH("入",D2938)))),"Ambiguous",IF(ISNUMBER(SEARCH("平",D2938)),"平","仄")))</x:f>
        <x:v>平</x:v>
      </x:c>
      <x:c r="L2938" s="7" t="str"/>
    </x:row>
    <x:row r="2939">
      <x:c r="A2939" s="5" t="str">
        <x:v>答</x:v>
      </x:c>
      <x:c r="B2939" s="6" t="str">
        <x:v>入</x:v>
      </x:c>
      <x:c r="C2939" s="6" t="str">
        <x:f>IF(B2939="","Needs decision","Ready")</x:f>
        <x:v>Ready</x:v>
      </x:c>
      <x:c r="D2939" s="6" t="str">
        <x:v>入</x:v>
      </x:c>
      <x:c r="E2939" s="6" t="str">
        <x:v>top (D)</x:v>
      </x:c>
      <x:c r="F2939" s="6" t="str">
        <x:v>入聲十五合</x:v>
      </x:c>
      <x:c r="G2939" s="6" t="str">
        <x:v>Pingshui main list, Wikisource-derived DOCX</x:v>
      </x:c>
      <x:c r="H2939" s="6" t="str">
        <x:v>1</x:v>
      </x:c>
      <x:c r="I2939" s="6" t="str"/>
      <x:c r="J2939" s="6" t="str">
        <x:f>IF(B2939="","",IF(AND(ISNUMBER(SEARCH("平",B2939)),OR(ISNUMBER(SEARCH("上",B2939)),ISNUMBER(SEARCH("去",B2939)),ISNUMBER(SEARCH("入",B2939)))),"Ambiguous",IF(ISNUMBER(SEARCH("平",B2939)),"平","仄")))</x:f>
        <x:v>仄</x:v>
      </x:c>
      <x:c r="K2939" s="6" t="str">
        <x:f>IF(D2939="","",IF(AND(ISNUMBER(SEARCH("平",D2939)),OR(ISNUMBER(SEARCH("上",D2939)),ISNUMBER(SEARCH("去",D2939)),ISNUMBER(SEARCH("入",D2939)))),"Ambiguous",IF(ISNUMBER(SEARCH("平",D2939)),"平","仄")))</x:f>
        <x:v>仄</x:v>
      </x:c>
      <x:c r="L2939" s="7" t="str"/>
    </x:row>
    <x:row r="2940">
      <x:c r="A2940" s="5" t="str">
        <x:v>策</x:v>
      </x:c>
      <x:c r="B2940" s="6" t="str">
        <x:v>入</x:v>
      </x:c>
      <x:c r="C2940" s="6" t="str">
        <x:f>IF(B2940="","Needs decision","Ready")</x:f>
        <x:v>Ready</x:v>
      </x:c>
      <x:c r="D2940" s="6" t="str">
        <x:v>入</x:v>
      </x:c>
      <x:c r="E2940" s="6" t="str">
        <x:v>tsrheak (D)</x:v>
      </x:c>
      <x:c r="F2940" s="6" t="str">
        <x:v>入聲十一陌</x:v>
      </x:c>
      <x:c r="G2940" s="6" t="str">
        <x:v>Pingshui main list, Wikisource-derived DOCX</x:v>
      </x:c>
      <x:c r="H2940" s="6" t="str">
        <x:v>1</x:v>
      </x:c>
      <x:c r="I2940" s="6" t="str"/>
      <x:c r="J2940" s="6" t="str">
        <x:f>IF(B2940="","",IF(AND(ISNUMBER(SEARCH("平",B2940)),OR(ISNUMBER(SEARCH("上",B2940)),ISNUMBER(SEARCH("去",B2940)),ISNUMBER(SEARCH("入",B2940)))),"Ambiguous",IF(ISNUMBER(SEARCH("平",B2940)),"平","仄")))</x:f>
        <x:v>仄</x:v>
      </x:c>
      <x:c r="K2940" s="6" t="str">
        <x:f>IF(D2940="","",IF(AND(ISNUMBER(SEARCH("平",D2940)),OR(ISNUMBER(SEARCH("上",D2940)),ISNUMBER(SEARCH("去",D2940)),ISNUMBER(SEARCH("入",D2940)))),"Ambiguous",IF(ISNUMBER(SEARCH("平",D2940)),"平","仄")))</x:f>
        <x:v>仄</x:v>
      </x:c>
      <x:c r="L2940" s="7" t="str"/>
    </x:row>
    <x:row r="2941">
      <x:c r="A2941" s="5" t="str">
        <x:v>筠</x:v>
      </x:c>
      <x:c r="B2941" s="6" t="str">
        <x:v>平</x:v>
      </x:c>
      <x:c r="C2941" s="6" t="str">
        <x:f>IF(B2941="","Needs decision","Ready")</x:f>
        <x:v>Ready</x:v>
      </x:c>
      <x:c r="D2941" s="6" t="str">
        <x:v>平</x:v>
      </x:c>
      <x:c r="E2941" s="6" t="str">
        <x:v>hwin (A)</x:v>
      </x:c>
      <x:c r="F2941" s="6" t="str">
        <x:v>上平聲十一真</x:v>
      </x:c>
      <x:c r="G2941" s="6" t="str">
        <x:v>Pingshui main list, Wikisource-derived DOCX</x:v>
      </x:c>
      <x:c r="H2941" s="6" t="str">
        <x:v>1</x:v>
      </x:c>
      <x:c r="I2941" s="6" t="str"/>
      <x:c r="J2941" s="6" t="str">
        <x:f>IF(B2941="","",IF(AND(ISNUMBER(SEARCH("平",B2941)),OR(ISNUMBER(SEARCH("上",B2941)),ISNUMBER(SEARCH("去",B2941)),ISNUMBER(SEARCH("入",B2941)))),"Ambiguous",IF(ISNUMBER(SEARCH("平",B2941)),"平","仄")))</x:f>
        <x:v>平</x:v>
      </x:c>
      <x:c r="K2941" s="6" t="str">
        <x:f>IF(D2941="","",IF(AND(ISNUMBER(SEARCH("平",D2941)),OR(ISNUMBER(SEARCH("上",D2941)),ISNUMBER(SEARCH("去",D2941)),ISNUMBER(SEARCH("入",D2941)))),"Ambiguous",IF(ISNUMBER(SEARCH("平",D2941)),"平","仄")))</x:f>
        <x:v>平</x:v>
      </x:c>
      <x:c r="L2941" s="7" t="str"/>
    </x:row>
    <x:row r="2942">
      <x:c r="A2942" s="5" t="str">
        <x:v>筥</x:v>
      </x:c>
      <x:c r="B2942" s="6" t="str">
        <x:v>上</x:v>
      </x:c>
      <x:c r="C2942" s="6" t="str">
        <x:f>IF(B2942="","Needs decision","Ready")</x:f>
        <x:v>Ready</x:v>
      </x:c>
      <x:c r="D2942" s="6" t="str">
        <x:v>上</x:v>
      </x:c>
      <x:c r="E2942" s="6" t="str">
        <x:v>kjoX (B)</x:v>
      </x:c>
      <x:c r="F2942" s="6" t="str">
        <x:v>上聲六語</x:v>
      </x:c>
      <x:c r="G2942" s="6" t="str">
        <x:v>Pingshui main list, Wikisource-derived DOCX</x:v>
      </x:c>
      <x:c r="H2942" s="6" t="str">
        <x:v>1</x:v>
      </x:c>
      <x:c r="I2942" s="6" t="str"/>
      <x:c r="J2942" s="6" t="str">
        <x:f>IF(B2942="","",IF(AND(ISNUMBER(SEARCH("平",B2942)),OR(ISNUMBER(SEARCH("上",B2942)),ISNUMBER(SEARCH("去",B2942)),ISNUMBER(SEARCH("入",B2942)))),"Ambiguous",IF(ISNUMBER(SEARCH("平",B2942)),"平","仄")))</x:f>
        <x:v>仄</x:v>
      </x:c>
      <x:c r="K2942" s="6" t="str">
        <x:f>IF(D2942="","",IF(AND(ISNUMBER(SEARCH("平",D2942)),OR(ISNUMBER(SEARCH("上",D2942)),ISNUMBER(SEARCH("去",D2942)),ISNUMBER(SEARCH("入",D2942)))),"Ambiguous",IF(ISNUMBER(SEARCH("平",D2942)),"平","仄")))</x:f>
        <x:v>仄</x:v>
      </x:c>
      <x:c r="L2942" s="7" t="str"/>
    </x:row>
    <x:row r="2943">
      <x:c r="A2943" s="5" t="str">
        <x:v>筦</x:v>
      </x:c>
      <x:c r="B2943" s="6" t="str">
        <x:v>上</x:v>
      </x:c>
      <x:c r="C2943" s="6" t="str">
        <x:f>IF(B2943="","Needs decision","Ready")</x:f>
        <x:v>Ready</x:v>
      </x:c>
      <x:c r="D2943" s="6" t="str">
        <x:v>上</x:v>
      </x:c>
      <x:c r="E2943" s="6" t="str">
        <x:v>kwanX (B)</x:v>
      </x:c>
      <x:c r="F2943" s="6" t="str"/>
      <x:c r="G2943" s="6" t="str"/>
      <x:c r="H2943" s="6" t="str">
        <x:v>1</x:v>
      </x:c>
      <x:c r="I2943" s="6" t="str"/>
      <x:c r="J2943" s="6" t="str">
        <x:f>IF(B2943="","",IF(AND(ISNUMBER(SEARCH("平",B2943)),OR(ISNUMBER(SEARCH("上",B2943)),ISNUMBER(SEARCH("去",B2943)),ISNUMBER(SEARCH("入",B2943)))),"Ambiguous",IF(ISNUMBER(SEARCH("平",B2943)),"平","仄")))</x:f>
        <x:v>仄</x:v>
      </x:c>
      <x:c r="K2943" s="6" t="str">
        <x:f>IF(D2943="","",IF(AND(ISNUMBER(SEARCH("平",D2943)),OR(ISNUMBER(SEARCH("上",D2943)),ISNUMBER(SEARCH("去",D2943)),ISNUMBER(SEARCH("入",D2943)))),"Ambiguous",IF(ISNUMBER(SEARCH("平",D2943)),"平","仄")))</x:f>
        <x:v>仄</x:v>
      </x:c>
      <x:c r="L2943" s="7" t="str"/>
    </x:row>
    <x:row r="2944">
      <x:c r="A2944" s="5" t="str">
        <x:v>筮</x:v>
      </x:c>
      <x:c r="B2944" s="6" t="str">
        <x:v>去</x:v>
      </x:c>
      <x:c r="C2944" s="6" t="str">
        <x:f>IF(B2944="","Needs decision","Ready")</x:f>
        <x:v>Ready</x:v>
      </x:c>
      <x:c r="D2944" s="6" t="str">
        <x:v>去</x:v>
      </x:c>
      <x:c r="E2944" s="6" t="str">
        <x:v>dzyejH (C)</x:v>
      </x:c>
      <x:c r="F2944" s="6" t="str">
        <x:v>去聲八霽</x:v>
      </x:c>
      <x:c r="G2944" s="6" t="str">
        <x:v>Pingshui main list, Wikisource-derived DOCX</x:v>
      </x:c>
      <x:c r="H2944" s="6" t="str">
        <x:v>1</x:v>
      </x:c>
      <x:c r="I2944" s="6" t="str"/>
      <x:c r="J2944" s="6" t="str">
        <x:f>IF(B2944="","",IF(AND(ISNUMBER(SEARCH("平",B2944)),OR(ISNUMBER(SEARCH("上",B2944)),ISNUMBER(SEARCH("去",B2944)),ISNUMBER(SEARCH("入",B2944)))),"Ambiguous",IF(ISNUMBER(SEARCH("平",B2944)),"平","仄")))</x:f>
        <x:v>仄</x:v>
      </x:c>
      <x:c r="K2944" s="6" t="str">
        <x:f>IF(D2944="","",IF(AND(ISNUMBER(SEARCH("平",D2944)),OR(ISNUMBER(SEARCH("上",D2944)),ISNUMBER(SEARCH("去",D2944)),ISNUMBER(SEARCH("入",D2944)))),"Ambiguous",IF(ISNUMBER(SEARCH("平",D2944)),"平","仄")))</x:f>
        <x:v>仄</x:v>
      </x:c>
      <x:c r="L2944" s="7" t="str"/>
    </x:row>
    <x:row r="2945">
      <x:c r="A2945" s="5" t="str">
        <x:v>筱</x:v>
      </x:c>
      <x:c r="B2945" s="6" t="str">
        <x:v>上</x:v>
      </x:c>
      <x:c r="C2945" s="6" t="str">
        <x:f>IF(B2945="","Needs decision","Ready")</x:f>
        <x:v>Ready</x:v>
      </x:c>
      <x:c r="D2945" s="6" t="str">
        <x:v>上</x:v>
      </x:c>
      <x:c r="E2945" s="6" t="str"/>
      <x:c r="F2945" s="6" t="str"/>
      <x:c r="G2945" s="6" t="str"/>
      <x:c r="H2945" s="6" t="str">
        <x:v>0</x:v>
      </x:c>
      <x:c r="I2945" s="6" t="str">
        <x:v>User correction 2026-09-08; added manually</x:v>
      </x:c>
      <x:c r="J2945" s="6" t="str">
        <x:f>IF(B2945="","",IF(AND(ISNUMBER(SEARCH("平",B2945)),OR(ISNUMBER(SEARCH("上",B2945)),ISNUMBER(SEARCH("去",B2945)),ISNUMBER(SEARCH("入",B2945)))),"Ambiguous",IF(ISNUMBER(SEARCH("平",B2945)),"平","仄")))</x:f>
        <x:v>仄</x:v>
      </x:c>
      <x:c r="K2945" s="6" t="str">
        <x:f>IF(D2945="","",IF(AND(ISNUMBER(SEARCH("平",D2945)),OR(ISNUMBER(SEARCH("上",D2945)),ISNUMBER(SEARCH("去",D2945)),ISNUMBER(SEARCH("入",D2945)))),"Ambiguous",IF(ISNUMBER(SEARCH("平",D2945)),"平","仄")))</x:f>
        <x:v>仄</x:v>
      </x:c>
      <x:c r="L2945" s="7" t="str">
        <x:v>User correction</x:v>
      </x:c>
    </x:row>
    <x:row r="2946">
      <x:c r="A2946" s="5" t="str">
        <x:v>筲</x:v>
      </x:c>
      <x:c r="B2946" s="6" t="str">
        <x:v>平</x:v>
      </x:c>
      <x:c r="C2946" s="6" t="str">
        <x:f>IF(B2946="","Needs decision","Ready")</x:f>
        <x:v>Ready</x:v>
      </x:c>
      <x:c r="D2946" s="6" t="str">
        <x:v>平</x:v>
      </x:c>
      <x:c r="E2946" s="6" t="str">
        <x:v>sraew (A)</x:v>
      </x:c>
      <x:c r="F2946" s="6" t="str">
        <x:v>下平聲三肴</x:v>
      </x:c>
      <x:c r="G2946" s="6" t="str">
        <x:v>Pingshui main list, Wikisource-derived DOCX</x:v>
      </x:c>
      <x:c r="H2946" s="6" t="str">
        <x:v>1</x:v>
      </x:c>
      <x:c r="I2946" s="6" t="str"/>
      <x:c r="J2946" s="6" t="str">
        <x:f>IF(B2946="","",IF(AND(ISNUMBER(SEARCH("平",B2946)),OR(ISNUMBER(SEARCH("上",B2946)),ISNUMBER(SEARCH("去",B2946)),ISNUMBER(SEARCH("入",B2946)))),"Ambiguous",IF(ISNUMBER(SEARCH("平",B2946)),"平","仄")))</x:f>
        <x:v>平</x:v>
      </x:c>
      <x:c r="K2946" s="6" t="str">
        <x:f>IF(D2946="","",IF(AND(ISNUMBER(SEARCH("平",D2946)),OR(ISNUMBER(SEARCH("上",D2946)),ISNUMBER(SEARCH("去",D2946)),ISNUMBER(SEARCH("入",D2946)))),"Ambiguous",IF(ISNUMBER(SEARCH("平",D2946)),"平","仄")))</x:f>
        <x:v>平</x:v>
      </x:c>
      <x:c r="L2946" s="7" t="str"/>
    </x:row>
    <x:row r="2947">
      <x:c r="A2947" s="5" t="str">
        <x:v>筵</x:v>
      </x:c>
      <x:c r="B2947" s="6" t="str">
        <x:v>平</x:v>
      </x:c>
      <x:c r="C2947" s="6" t="str">
        <x:f>IF(B2947="","Needs decision","Ready")</x:f>
        <x:v>Ready</x:v>
      </x:c>
      <x:c r="D2947" s="6" t="str">
        <x:v>平</x:v>
      </x:c>
      <x:c r="E2947" s="6" t="str">
        <x:v>yen (A)</x:v>
      </x:c>
      <x:c r="F2947" s="6" t="str">
        <x:v>下平聲一先</x:v>
      </x:c>
      <x:c r="G2947" s="6" t="str">
        <x:v>Pingshui main list, Wikisource-derived DOCX</x:v>
      </x:c>
      <x:c r="H2947" s="6" t="str">
        <x:v>1</x:v>
      </x:c>
      <x:c r="I2947" s="6" t="str"/>
      <x:c r="J2947" s="6" t="str">
        <x:f>IF(B2947="","",IF(AND(ISNUMBER(SEARCH("平",B2947)),OR(ISNUMBER(SEARCH("上",B2947)),ISNUMBER(SEARCH("去",B2947)),ISNUMBER(SEARCH("入",B2947)))),"Ambiguous",IF(ISNUMBER(SEARCH("平",B2947)),"平","仄")))</x:f>
        <x:v>平</x:v>
      </x:c>
      <x:c r="K2947" s="6" t="str">
        <x:f>IF(D2947="","",IF(AND(ISNUMBER(SEARCH("平",D2947)),OR(ISNUMBER(SEARCH("上",D2947)),ISNUMBER(SEARCH("去",D2947)),ISNUMBER(SEARCH("入",D2947)))),"Ambiguous",IF(ISNUMBER(SEARCH("平",D2947)),"平","仄")))</x:f>
        <x:v>平</x:v>
      </x:c>
      <x:c r="L2947" s="7" t="str"/>
    </x:row>
    <x:row r="2948">
      <x:c r="A2948" s="5" t="str">
        <x:v>箇</x:v>
      </x:c>
      <x:c r="B2948" s="6" t="str">
        <x:v>去</x:v>
      </x:c>
      <x:c r="C2948" s="6" t="str">
        <x:f>IF(B2948="","Needs decision","Ready")</x:f>
        <x:v>Ready</x:v>
      </x:c>
      <x:c r="D2948" s="6" t="str">
        <x:v>去</x:v>
      </x:c>
      <x:c r="E2948" s="6" t="str">
        <x:v>kaH (C)</x:v>
      </x:c>
      <x:c r="F2948" s="6" t="str">
        <x:v>去聲二十一箇</x:v>
      </x:c>
      <x:c r="G2948" s="6" t="str">
        <x:v>Pingshui main list, Wikisource-derived DOCX</x:v>
      </x:c>
      <x:c r="H2948" s="6" t="str">
        <x:v>1</x:v>
      </x:c>
      <x:c r="I2948" s="6" t="str"/>
      <x:c r="J2948" s="6" t="str">
        <x:f>IF(B2948="","",IF(AND(ISNUMBER(SEARCH("平",B2948)),OR(ISNUMBER(SEARCH("上",B2948)),ISNUMBER(SEARCH("去",B2948)),ISNUMBER(SEARCH("入",B2948)))),"Ambiguous",IF(ISNUMBER(SEARCH("平",B2948)),"平","仄")))</x:f>
        <x:v>仄</x:v>
      </x:c>
      <x:c r="K2948" s="6" t="str">
        <x:f>IF(D2948="","",IF(AND(ISNUMBER(SEARCH("平",D2948)),OR(ISNUMBER(SEARCH("上",D2948)),ISNUMBER(SEARCH("去",D2948)),ISNUMBER(SEARCH("入",D2948)))),"Ambiguous",IF(ISNUMBER(SEARCH("平",D2948)),"平","仄")))</x:f>
        <x:v>仄</x:v>
      </x:c>
      <x:c r="L2948" s="7" t="str"/>
    </x:row>
    <x:row r="2949">
      <x:c r="A2949" s="5" t="str">
        <x:v>箏</x:v>
      </x:c>
      <x:c r="B2949" s="6" t="str">
        <x:v>平</x:v>
      </x:c>
      <x:c r="C2949" s="6" t="str">
        <x:f>IF(B2949="","Needs decision","Ready")</x:f>
        <x:v>Ready</x:v>
      </x:c>
      <x:c r="D2949" s="6" t="str">
        <x:v>平</x:v>
      </x:c>
      <x:c r="E2949" s="6" t="str">
        <x:v>tsreang [tʂeˤŋ] (平)</x:v>
      </x:c>
      <x:c r="F2949" s="6" t="str">
        <x:v>下平聲八庚</x:v>
      </x:c>
      <x:c r="G2949" s="6" t="str">
        <x:v>Pingshui main list, Wikisource-derived DOCX</x:v>
      </x:c>
      <x:c r="H2949" s="6" t="str">
        <x:v>1</x:v>
      </x:c>
      <x:c r="I2949" s="6" t="str">
        <x:v>Tang 300 gap; frequency 2; provisional from Xun Gong</x:v>
      </x:c>
      <x:c r="J2949" s="6" t="str">
        <x:f>IF(B2949="","",IF(AND(ISNUMBER(SEARCH("平",B2949)),OR(ISNUMBER(SEARCH("上",B2949)),ISNUMBER(SEARCH("去",B2949)),ISNUMBER(SEARCH("入",B2949)))),"Ambiguous",IF(ISNUMBER(SEARCH("平",B2949)),"平","仄")))</x:f>
        <x:v>平</x:v>
      </x:c>
      <x:c r="K2949" s="6" t="str">
        <x:f>IF(D2949="","",IF(AND(ISNUMBER(SEARCH("平",D2949)),OR(ISNUMBER(SEARCH("上",D2949)),ISNUMBER(SEARCH("去",D2949)),ISNUMBER(SEARCH("入",D2949)))),"Ambiguous",IF(ISNUMBER(SEARCH("平",D2949)),"平","仄")))</x:f>
        <x:v>平</x:v>
      </x:c>
      <x:c r="L2949" s="7" t="str">
        <x:v>Xun Gong, Tang 300 gap fill</x:v>
      </x:c>
    </x:row>
    <x:row r="2950">
      <x:c r="A2950" s="5" t="str">
        <x:v>箒</x:v>
      </x:c>
      <x:c r="B2950" s="6" t="str">
        <x:v>上</x:v>
      </x:c>
      <x:c r="C2950" s="6" t="str">
        <x:f>IF(B2950="","Needs decision","Ready")</x:f>
        <x:v>Ready</x:v>
      </x:c>
      <x:c r="D2950" s="6" t="str">
        <x:v>上</x:v>
      </x:c>
      <x:c r="E2950" s="6" t="str">
        <x:v>tsyuwX (B)</x:v>
      </x:c>
      <x:c r="F2950" s="6" t="str"/>
      <x:c r="G2950" s="6" t="str"/>
      <x:c r="H2950" s="6" t="str">
        <x:v>1</x:v>
      </x:c>
      <x:c r="I2950" s="6" t="str"/>
      <x:c r="J2950" s="6" t="str">
        <x:f>IF(B2950="","",IF(AND(ISNUMBER(SEARCH("平",B2950)),OR(ISNUMBER(SEARCH("上",B2950)),ISNUMBER(SEARCH("去",B2950)),ISNUMBER(SEARCH("入",B2950)))),"Ambiguous",IF(ISNUMBER(SEARCH("平",B2950)),"平","仄")))</x:f>
        <x:v>仄</x:v>
      </x:c>
      <x:c r="K2950" s="6" t="str">
        <x:f>IF(D2950="","",IF(AND(ISNUMBER(SEARCH("平",D2950)),OR(ISNUMBER(SEARCH("上",D2950)),ISNUMBER(SEARCH("去",D2950)),ISNUMBER(SEARCH("入",D2950)))),"Ambiguous",IF(ISNUMBER(SEARCH("平",D2950)),"平","仄")))</x:f>
        <x:v>仄</x:v>
      </x:c>
      <x:c r="L2950" s="7" t="str"/>
    </x:row>
    <x:row r="2951">
      <x:c r="A2951" s="5" t="str">
        <x:v>箔</x:v>
      </x:c>
      <x:c r="B2951" s="6" t="str">
        <x:v>入</x:v>
      </x:c>
      <x:c r="C2951" s="6" t="str">
        <x:f>IF(B2951="","Needs decision","Ready")</x:f>
        <x:v>Ready</x:v>
      </x:c>
      <x:c r="D2951" s="6" t="str">
        <x:v>入</x:v>
      </x:c>
      <x:c r="E2951" s="6" t="str">
        <x:v>bak [b̙ɑk] (入)</x:v>
      </x:c>
      <x:c r="F2951" s="6" t="str">
        <x:v>入聲十藥</x:v>
      </x:c>
      <x:c r="G2951" s="6" t="str">
        <x:v>Pingshui main list, Wikisource-derived DOCX</x:v>
      </x:c>
      <x:c r="H2951" s="6" t="str">
        <x:v>1</x:v>
      </x:c>
      <x:c r="I2951" s="6" t="str">
        <x:v>Tang 300 gap; frequency 2; provisional from Xun Gong</x:v>
      </x:c>
      <x:c r="J2951" s="6" t="str">
        <x:f>IF(B2951="","",IF(AND(ISNUMBER(SEARCH("平",B2951)),OR(ISNUMBER(SEARCH("上",B2951)),ISNUMBER(SEARCH("去",B2951)),ISNUMBER(SEARCH("入",B2951)))),"Ambiguous",IF(ISNUMBER(SEARCH("平",B2951)),"平","仄")))</x:f>
        <x:v>仄</x:v>
      </x:c>
      <x:c r="K2951" s="6" t="str">
        <x:f>IF(D2951="","",IF(AND(ISNUMBER(SEARCH("平",D2951)),OR(ISNUMBER(SEARCH("上",D2951)),ISNUMBER(SEARCH("去",D2951)),ISNUMBER(SEARCH("入",D2951)))),"Ambiguous",IF(ISNUMBER(SEARCH("平",D2951)),"平","仄")))</x:f>
        <x:v>仄</x:v>
      </x:c>
      <x:c r="L2951" s="7" t="str">
        <x:v>Xun Gong, Tang 300 gap fill</x:v>
      </x:c>
    </x:row>
    <x:row r="2952">
      <x:c r="A2952" s="5" t="str">
        <x:v>箕</x:v>
      </x:c>
      <x:c r="B2952" s="6" t="str">
        <x:v>平</x:v>
      </x:c>
      <x:c r="C2952" s="6" t="str">
        <x:f>IF(B2952="","Needs decision","Ready")</x:f>
        <x:v>Ready</x:v>
      </x:c>
      <x:c r="D2952" s="6" t="str">
        <x:v>平</x:v>
      </x:c>
      <x:c r="E2952" s="6" t="str">
        <x:v>ki (A)</x:v>
      </x:c>
      <x:c r="F2952" s="6" t="str">
        <x:v>上平聲四支</x:v>
      </x:c>
      <x:c r="G2952" s="6" t="str">
        <x:v>Pingshui main list, Wikisource-derived DOCX</x:v>
      </x:c>
      <x:c r="H2952" s="6" t="str">
        <x:v>1</x:v>
      </x:c>
      <x:c r="I2952" s="6" t="str"/>
      <x:c r="J2952" s="6" t="str">
        <x:f>IF(B2952="","",IF(AND(ISNUMBER(SEARCH("平",B2952)),OR(ISNUMBER(SEARCH("上",B2952)),ISNUMBER(SEARCH("去",B2952)),ISNUMBER(SEARCH("入",B2952)))),"Ambiguous",IF(ISNUMBER(SEARCH("平",B2952)),"平","仄")))</x:f>
        <x:v>平</x:v>
      </x:c>
      <x:c r="K2952" s="6" t="str">
        <x:f>IF(D2952="","",IF(AND(ISNUMBER(SEARCH("平",D2952)),OR(ISNUMBER(SEARCH("上",D2952)),ISNUMBER(SEARCH("去",D2952)),ISNUMBER(SEARCH("入",D2952)))),"Ambiguous",IF(ISNUMBER(SEARCH("平",D2952)),"平","仄")))</x:f>
        <x:v>平</x:v>
      </x:c>
      <x:c r="L2952" s="7" t="str"/>
    </x:row>
    <x:row r="2953">
      <x:c r="A2953" s="5" t="str">
        <x:v>算</x:v>
      </x:c>
      <x:c r="B2953" s="6" t="str">
        <x:v>去</x:v>
      </x:c>
      <x:c r="C2953" s="6" t="str">
        <x:f>IF(B2953="","Needs decision","Ready")</x:f>
        <x:v>Ready</x:v>
      </x:c>
      <x:c r="D2953" s="6" t="str">
        <x:v>去</x:v>
      </x:c>
      <x:c r="E2953" s="6" t="str">
        <x:v>swanH (C)</x:v>
      </x:c>
      <x:c r="F2953" s="6" t="str">
        <x:v>上聲十四旱; 去聲十五翰</x:v>
      </x:c>
      <x:c r="G2953" s="6" t="str">
        <x:v>Pingshui main list, Wikisource-derived DOCX</x:v>
      </x:c>
      <x:c r="H2953" s="6" t="str">
        <x:v>1</x:v>
      </x:c>
      <x:c r="I2953" s="6" t="str"/>
      <x:c r="J2953" s="6" t="str">
        <x:f>IF(B2953="","",IF(AND(ISNUMBER(SEARCH("平",B2953)),OR(ISNUMBER(SEARCH("上",B2953)),ISNUMBER(SEARCH("去",B2953)),ISNUMBER(SEARCH("入",B2953)))),"Ambiguous",IF(ISNUMBER(SEARCH("平",B2953)),"平","仄")))</x:f>
        <x:v>仄</x:v>
      </x:c>
      <x:c r="K2953" s="6" t="str">
        <x:f>IF(D2953="","",IF(AND(ISNUMBER(SEARCH("平",D2953)),OR(ISNUMBER(SEARCH("上",D2953)),ISNUMBER(SEARCH("去",D2953)),ISNUMBER(SEARCH("入",D2953)))),"Ambiguous",IF(ISNUMBER(SEARCH("平",D2953)),"平","仄")))</x:f>
        <x:v>仄</x:v>
      </x:c>
      <x:c r="L2953" s="7" t="str"/>
    </x:row>
    <x:row r="2954">
      <x:c r="A2954" s="5" t="str">
        <x:v>箙</x:v>
      </x:c>
      <x:c r="B2954" s="6" t="str">
        <x:v>入</x:v>
      </x:c>
      <x:c r="C2954" s="6" t="str">
        <x:f>IF(B2954="","Needs decision","Ready")</x:f>
        <x:v>Ready</x:v>
      </x:c>
      <x:c r="D2954" s="6" t="str">
        <x:v>入</x:v>
      </x:c>
      <x:c r="E2954" s="6" t="str">
        <x:v>bjuwk (D)</x:v>
      </x:c>
      <x:c r="F2954" s="6" t="str">
        <x:v>入聲一屋</x:v>
      </x:c>
      <x:c r="G2954" s="6" t="str">
        <x:v>Pingshui main list, Wikisource-derived DOCX</x:v>
      </x:c>
      <x:c r="H2954" s="6" t="str">
        <x:v>1</x:v>
      </x:c>
      <x:c r="I2954" s="6" t="str"/>
      <x:c r="J2954" s="6" t="str">
        <x:f>IF(B2954="","",IF(AND(ISNUMBER(SEARCH("平",B2954)),OR(ISNUMBER(SEARCH("上",B2954)),ISNUMBER(SEARCH("去",B2954)),ISNUMBER(SEARCH("入",B2954)))),"Ambiguous",IF(ISNUMBER(SEARCH("平",B2954)),"平","仄")))</x:f>
        <x:v>仄</x:v>
      </x:c>
      <x:c r="K2954" s="6" t="str">
        <x:f>IF(D2954="","",IF(AND(ISNUMBER(SEARCH("平",D2954)),OR(ISNUMBER(SEARCH("上",D2954)),ISNUMBER(SEARCH("去",D2954)),ISNUMBER(SEARCH("入",D2954)))),"Ambiguous",IF(ISNUMBER(SEARCH("平",D2954)),"平","仄")))</x:f>
        <x:v>仄</x:v>
      </x:c>
      <x:c r="L2954" s="7" t="str"/>
    </x:row>
    <x:row r="2955">
      <x:c r="A2955" s="5" t="str">
        <x:v>管</x:v>
      </x:c>
      <x:c r="B2955" s="6" t="str">
        <x:v>上</x:v>
      </x:c>
      <x:c r="C2955" s="6" t="str">
        <x:f>IF(B2955="","Needs decision","Ready")</x:f>
        <x:v>Ready</x:v>
      </x:c>
      <x:c r="D2955" s="6" t="str">
        <x:v>上</x:v>
      </x:c>
      <x:c r="E2955" s="6" t="str">
        <x:v>kwanX (B)</x:v>
      </x:c>
      <x:c r="F2955" s="6" t="str">
        <x:v>上聲十四旱</x:v>
      </x:c>
      <x:c r="G2955" s="6" t="str">
        <x:v>Pingshui main list, Wikisource-derived DOCX</x:v>
      </x:c>
      <x:c r="H2955" s="6" t="str">
        <x:v>1</x:v>
      </x:c>
      <x:c r="I2955" s="6" t="str"/>
      <x:c r="J2955" s="6" t="str">
        <x:f>IF(B2955="","",IF(AND(ISNUMBER(SEARCH("平",B2955)),OR(ISNUMBER(SEARCH("上",B2955)),ISNUMBER(SEARCH("去",B2955)),ISNUMBER(SEARCH("入",B2955)))),"Ambiguous",IF(ISNUMBER(SEARCH("平",B2955)),"平","仄")))</x:f>
        <x:v>仄</x:v>
      </x:c>
      <x:c r="K2955" s="6" t="str">
        <x:f>IF(D2955="","",IF(AND(ISNUMBER(SEARCH("平",D2955)),OR(ISNUMBER(SEARCH("上",D2955)),ISNUMBER(SEARCH("去",D2955)),ISNUMBER(SEARCH("入",D2955)))),"Ambiguous",IF(ISNUMBER(SEARCH("平",D2955)),"平","仄")))</x:f>
        <x:v>仄</x:v>
      </x:c>
      <x:c r="L2955" s="7" t="str"/>
    </x:row>
    <x:row r="2956">
      <x:c r="A2956" s="5" t="str">
        <x:v>箭</x:v>
      </x:c>
      <x:c r="B2956" s="6" t="str">
        <x:v>去</x:v>
      </x:c>
      <x:c r="C2956" s="6" t="str">
        <x:f>IF(B2956="","Needs decision","Ready")</x:f>
        <x:v>Ready</x:v>
      </x:c>
      <x:c r="D2956" s="6" t="str">
        <x:v>去</x:v>
      </x:c>
      <x:c r="E2956" s="6" t="str">
        <x:v>tsjenH (C)</x:v>
      </x:c>
      <x:c r="F2956" s="6" t="str">
        <x:v>去聲十七霰</x:v>
      </x:c>
      <x:c r="G2956" s="6" t="str">
        <x:v>Pingshui main list, Wikisource-derived DOCX</x:v>
      </x:c>
      <x:c r="H2956" s="6" t="str">
        <x:v>1</x:v>
      </x:c>
      <x:c r="I2956" s="6" t="str"/>
      <x:c r="J2956" s="6" t="str">
        <x:f>IF(B2956="","",IF(AND(ISNUMBER(SEARCH("平",B2956)),OR(ISNUMBER(SEARCH("上",B2956)),ISNUMBER(SEARCH("去",B2956)),ISNUMBER(SEARCH("入",B2956)))),"Ambiguous",IF(ISNUMBER(SEARCH("平",B2956)),"平","仄")))</x:f>
        <x:v>仄</x:v>
      </x:c>
      <x:c r="K2956" s="6" t="str">
        <x:f>IF(D2956="","",IF(AND(ISNUMBER(SEARCH("平",D2956)),OR(ISNUMBER(SEARCH("上",D2956)),ISNUMBER(SEARCH("去",D2956)),ISNUMBER(SEARCH("入",D2956)))),"Ambiguous",IF(ISNUMBER(SEARCH("平",D2956)),"平","仄")))</x:f>
        <x:v>仄</x:v>
      </x:c>
      <x:c r="L2956" s="7" t="str"/>
    </x:row>
    <x:row r="2957">
      <x:c r="A2957" s="5" t="str">
        <x:v>箱</x:v>
      </x:c>
      <x:c r="B2957" s="6" t="str">
        <x:v>平</x:v>
      </x:c>
      <x:c r="C2957" s="6" t="str">
        <x:f>IF(B2957="","Needs decision","Ready")</x:f>
        <x:v>Ready</x:v>
      </x:c>
      <x:c r="D2957" s="6" t="str">
        <x:v>平</x:v>
      </x:c>
      <x:c r="E2957" s="6" t="str">
        <x:v>sjang (A)</x:v>
      </x:c>
      <x:c r="F2957" s="6" t="str">
        <x:v>下平聲七陽</x:v>
      </x:c>
      <x:c r="G2957" s="6" t="str">
        <x:v>Pingshui main list, Wikisource-derived DOCX</x:v>
      </x:c>
      <x:c r="H2957" s="6" t="str">
        <x:v>1</x:v>
      </x:c>
      <x:c r="I2957" s="6" t="str"/>
      <x:c r="J2957" s="6" t="str">
        <x:f>IF(B2957="","",IF(AND(ISNUMBER(SEARCH("平",B2957)),OR(ISNUMBER(SEARCH("上",B2957)),ISNUMBER(SEARCH("去",B2957)),ISNUMBER(SEARCH("入",B2957)))),"Ambiguous",IF(ISNUMBER(SEARCH("平",B2957)),"平","仄")))</x:f>
        <x:v>平</x:v>
      </x:c>
      <x:c r="K2957" s="6" t="str">
        <x:f>IF(D2957="","",IF(AND(ISNUMBER(SEARCH("平",D2957)),OR(ISNUMBER(SEARCH("上",D2957)),ISNUMBER(SEARCH("去",D2957)),ISNUMBER(SEARCH("入",D2957)))),"Ambiguous",IF(ISNUMBER(SEARCH("平",D2957)),"平","仄")))</x:f>
        <x:v>平</x:v>
      </x:c>
      <x:c r="L2957" s="7" t="str"/>
    </x:row>
    <x:row r="2958">
      <x:c r="A2958" s="5" t="str">
        <x:v>箴</x:v>
      </x:c>
      <x:c r="B2958" s="6" t="str">
        <x:v>平</x:v>
      </x:c>
      <x:c r="C2958" s="6" t="str">
        <x:f>IF(B2958="","Needs decision","Ready")</x:f>
        <x:v>Ready</x:v>
      </x:c>
      <x:c r="D2958" s="6" t="str">
        <x:v>平</x:v>
      </x:c>
      <x:c r="E2958" s="6" t="str">
        <x:v>tsyim (A)</x:v>
      </x:c>
      <x:c r="F2958" s="6" t="str">
        <x:v>下平聲十二侵</x:v>
      </x:c>
      <x:c r="G2958" s="6" t="str">
        <x:v>Pingshui main list, Wikisource-derived DOCX</x:v>
      </x:c>
      <x:c r="H2958" s="6" t="str">
        <x:v>1</x:v>
      </x:c>
      <x:c r="I2958" s="6" t="str"/>
      <x:c r="J2958" s="6" t="str">
        <x:f>IF(B2958="","",IF(AND(ISNUMBER(SEARCH("平",B2958)),OR(ISNUMBER(SEARCH("上",B2958)),ISNUMBER(SEARCH("去",B2958)),ISNUMBER(SEARCH("入",B2958)))),"Ambiguous",IF(ISNUMBER(SEARCH("平",B2958)),"平","仄")))</x:f>
        <x:v>平</x:v>
      </x:c>
      <x:c r="K2958" s="6" t="str">
        <x:f>IF(D2958="","",IF(AND(ISNUMBER(SEARCH("平",D2958)),OR(ISNUMBER(SEARCH("上",D2958)),ISNUMBER(SEARCH("去",D2958)),ISNUMBER(SEARCH("入",D2958)))),"Ambiguous",IF(ISNUMBER(SEARCH("平",D2958)),"平","仄")))</x:f>
        <x:v>平</x:v>
      </x:c>
      <x:c r="L2958" s="7" t="str"/>
    </x:row>
    <x:row r="2959">
      <x:c r="A2959" s="5" t="str">
        <x:v>箸</x:v>
      </x:c>
      <x:c r="B2959" s="6" t="str">
        <x:v>去</x:v>
      </x:c>
      <x:c r="C2959" s="6" t="str">
        <x:f>IF(B2959="","Needs decision","Ready")</x:f>
        <x:v>Ready</x:v>
      </x:c>
      <x:c r="D2959" s="6" t="str">
        <x:v>去</x:v>
      </x:c>
      <x:c r="E2959" s="6" t="str">
        <x:v>drjoH (C)</x:v>
      </x:c>
      <x:c r="F2959" s="6" t="str">
        <x:v>去聲六御</x:v>
      </x:c>
      <x:c r="G2959" s="6" t="str">
        <x:v>Pingshui main list, Wikisource-derived DOCX</x:v>
      </x:c>
      <x:c r="H2959" s="6" t="str">
        <x:v>1</x:v>
      </x:c>
      <x:c r="I2959" s="6" t="str"/>
      <x:c r="J2959" s="6" t="str">
        <x:f>IF(B2959="","",IF(AND(ISNUMBER(SEARCH("平",B2959)),OR(ISNUMBER(SEARCH("上",B2959)),ISNUMBER(SEARCH("去",B2959)),ISNUMBER(SEARCH("入",B2959)))),"Ambiguous",IF(ISNUMBER(SEARCH("平",B2959)),"平","仄")))</x:f>
        <x:v>仄</x:v>
      </x:c>
      <x:c r="K2959" s="6" t="str">
        <x:f>IF(D2959="","",IF(AND(ISNUMBER(SEARCH("平",D2959)),OR(ISNUMBER(SEARCH("上",D2959)),ISNUMBER(SEARCH("去",D2959)),ISNUMBER(SEARCH("入",D2959)))),"Ambiguous",IF(ISNUMBER(SEARCH("平",D2959)),"平","仄")))</x:f>
        <x:v>仄</x:v>
      </x:c>
      <x:c r="L2959" s="7" t="str"/>
    </x:row>
    <x:row r="2960">
      <x:c r="A2960" s="5" t="str">
        <x:v>節</x:v>
      </x:c>
      <x:c r="B2960" s="6" t="str">
        <x:v>入</x:v>
      </x:c>
      <x:c r="C2960" s="6" t="str">
        <x:f>IF(B2960="","Needs decision","Ready")</x:f>
        <x:v>Ready</x:v>
      </x:c>
      <x:c r="D2960" s="6" t="str">
        <x:v>入</x:v>
      </x:c>
      <x:c r="E2960" s="6" t="str">
        <x:v>tset (D)</x:v>
      </x:c>
      <x:c r="F2960" s="6" t="str">
        <x:v>入聲九屑</x:v>
      </x:c>
      <x:c r="G2960" s="6" t="str">
        <x:v>Pingshui main list, Wikisource-derived DOCX</x:v>
      </x:c>
      <x:c r="H2960" s="6" t="str">
        <x:v>1</x:v>
      </x:c>
      <x:c r="I2960" s="6" t="str"/>
      <x:c r="J2960" s="6" t="str">
        <x:f>IF(B2960="","",IF(AND(ISNUMBER(SEARCH("平",B2960)),OR(ISNUMBER(SEARCH("上",B2960)),ISNUMBER(SEARCH("去",B2960)),ISNUMBER(SEARCH("入",B2960)))),"Ambiguous",IF(ISNUMBER(SEARCH("平",B2960)),"平","仄")))</x:f>
        <x:v>仄</x:v>
      </x:c>
      <x:c r="K2960" s="6" t="str">
        <x:f>IF(D2960="","",IF(AND(ISNUMBER(SEARCH("平",D2960)),OR(ISNUMBER(SEARCH("上",D2960)),ISNUMBER(SEARCH("去",D2960)),ISNUMBER(SEARCH("入",D2960)))),"Ambiguous",IF(ISNUMBER(SEARCH("平",D2960)),"平","仄")))</x:f>
        <x:v>仄</x:v>
      </x:c>
      <x:c r="L2960" s="7" t="str"/>
    </x:row>
    <x:row r="2961">
      <x:c r="A2961" s="5" t="str">
        <x:v>篁</x:v>
      </x:c>
      <x:c r="B2961" s="6" t="str">
        <x:v>平</x:v>
      </x:c>
      <x:c r="C2961" s="6" t="str">
        <x:f>IF(B2961="","Needs decision","Ready")</x:f>
        <x:v>Ready</x:v>
      </x:c>
      <x:c r="D2961" s="6" t="str">
        <x:v>平</x:v>
      </x:c>
      <x:c r="E2961" s="6" t="str">
        <x:v>hwang [ʁwɑŋ] (平)</x:v>
      </x:c>
      <x:c r="F2961" s="6" t="str">
        <x:v>下平聲七陽</x:v>
      </x:c>
      <x:c r="G2961" s="6" t="str">
        <x:v>Pingshui main list, Wikisource-derived DOCX</x:v>
      </x:c>
      <x:c r="H2961" s="6" t="str">
        <x:v>1</x:v>
      </x:c>
      <x:c r="I2961" s="6" t="str">
        <x:v>Tang 300 gap; frequency 1; provisional from Xun Gong</x:v>
      </x:c>
      <x:c r="J2961" s="6" t="str">
        <x:f>IF(B2961="","",IF(AND(ISNUMBER(SEARCH("平",B2961)),OR(ISNUMBER(SEARCH("上",B2961)),ISNUMBER(SEARCH("去",B2961)),ISNUMBER(SEARCH("入",B2961)))),"Ambiguous",IF(ISNUMBER(SEARCH("平",B2961)),"平","仄")))</x:f>
        <x:v>平</x:v>
      </x:c>
      <x:c r="K2961" s="6" t="str">
        <x:f>IF(D2961="","",IF(AND(ISNUMBER(SEARCH("平",D2961)),OR(ISNUMBER(SEARCH("上",D2961)),ISNUMBER(SEARCH("去",D2961)),ISNUMBER(SEARCH("入",D2961)))),"Ambiguous",IF(ISNUMBER(SEARCH("平",D2961)),"平","仄")))</x:f>
        <x:v>平</x:v>
      </x:c>
      <x:c r="L2961" s="7" t="str">
        <x:v>Xun Gong, Tang 300 gap fill</x:v>
      </x:c>
    </x:row>
    <x:row r="2962">
      <x:c r="A2962" s="5" t="str">
        <x:v>範</x:v>
      </x:c>
      <x:c r="B2962" s="6" t="str">
        <x:v>上</x:v>
      </x:c>
      <x:c r="C2962" s="6" t="str">
        <x:f>IF(B2962="","Needs decision","Ready")</x:f>
        <x:v>Ready</x:v>
      </x:c>
      <x:c r="D2962" s="6" t="str">
        <x:v>上</x:v>
      </x:c>
      <x:c r="E2962" s="6" t="str">
        <x:v>bjomX (B)</x:v>
      </x:c>
      <x:c r="F2962" s="6" t="str">
        <x:v>上聲二十九豏</x:v>
      </x:c>
      <x:c r="G2962" s="6" t="str">
        <x:v>Pingshui main list, Wikisource-derived DOCX</x:v>
      </x:c>
      <x:c r="H2962" s="6" t="str">
        <x:v>1</x:v>
      </x:c>
      <x:c r="I2962" s="6" t="str"/>
      <x:c r="J2962" s="6" t="str">
        <x:f>IF(B2962="","",IF(AND(ISNUMBER(SEARCH("平",B2962)),OR(ISNUMBER(SEARCH("上",B2962)),ISNUMBER(SEARCH("去",B2962)),ISNUMBER(SEARCH("入",B2962)))),"Ambiguous",IF(ISNUMBER(SEARCH("平",B2962)),"平","仄")))</x:f>
        <x:v>仄</x:v>
      </x:c>
      <x:c r="K2962" s="6" t="str">
        <x:f>IF(D2962="","",IF(AND(ISNUMBER(SEARCH("平",D2962)),OR(ISNUMBER(SEARCH("上",D2962)),ISNUMBER(SEARCH("去",D2962)),ISNUMBER(SEARCH("入",D2962)))),"Ambiguous",IF(ISNUMBER(SEARCH("平",D2962)),"平","仄")))</x:f>
        <x:v>仄</x:v>
      </x:c>
      <x:c r="L2962" s="7" t="str"/>
    </x:row>
    <x:row r="2963">
      <x:c r="A2963" s="5" t="str">
        <x:v>篆</x:v>
      </x:c>
      <x:c r="B2963" s="6" t="str">
        <x:v>上</x:v>
      </x:c>
      <x:c r="C2963" s="6" t="str">
        <x:f>IF(B2963="","Needs decision","Ready")</x:f>
        <x:v>Ready</x:v>
      </x:c>
      <x:c r="D2963" s="6" t="str">
        <x:v>上</x:v>
      </x:c>
      <x:c r="E2963" s="6" t="str"/>
      <x:c r="F2963" s="6" t="str">
        <x:v>上聲十六銑</x:v>
      </x:c>
      <x:c r="G2963" s="6" t="str">
        <x:v>Pingshui main list, Wikisource-derived DOCX</x:v>
      </x:c>
      <x:c r="H2963" s="6" t="str">
        <x:v>0</x:v>
      </x:c>
      <x:c r="I2963" s="6" t="str">
        <x:v>User correction 2026-09-08; added manually</x:v>
      </x:c>
      <x:c r="J2963" s="6" t="str">
        <x:f>IF(B2963="","",IF(AND(ISNUMBER(SEARCH("平",B2963)),OR(ISNUMBER(SEARCH("上",B2963)),ISNUMBER(SEARCH("去",B2963)),ISNUMBER(SEARCH("入",B2963)))),"Ambiguous",IF(ISNUMBER(SEARCH("平",B2963)),"平","仄")))</x:f>
        <x:v>仄</x:v>
      </x:c>
      <x:c r="K2963" s="6" t="str">
        <x:f>IF(D2963="","",IF(AND(ISNUMBER(SEARCH("平",D2963)),OR(ISNUMBER(SEARCH("上",D2963)),ISNUMBER(SEARCH("去",D2963)),ISNUMBER(SEARCH("入",D2963)))),"Ambiguous",IF(ISNUMBER(SEARCH("平",D2963)),"平","仄")))</x:f>
        <x:v>仄</x:v>
      </x:c>
      <x:c r="L2963" s="7" t="str">
        <x:v>User correction</x:v>
      </x:c>
    </x:row>
    <x:row r="2964">
      <x:c r="A2964" s="5" t="str">
        <x:v>篇</x:v>
      </x:c>
      <x:c r="B2964" s="6" t="str">
        <x:v>平</x:v>
      </x:c>
      <x:c r="C2964" s="6" t="str">
        <x:f>IF(B2964="","Needs decision","Ready")</x:f>
        <x:v>Ready</x:v>
      </x:c>
      <x:c r="D2964" s="6" t="str">
        <x:v>平</x:v>
      </x:c>
      <x:c r="E2964" s="6" t="str">
        <x:v>phjien (A)</x:v>
      </x:c>
      <x:c r="F2964" s="6" t="str">
        <x:v>下平聲一先</x:v>
      </x:c>
      <x:c r="G2964" s="6" t="str">
        <x:v>Pingshui main list, Wikisource-derived DOCX</x:v>
      </x:c>
      <x:c r="H2964" s="6" t="str">
        <x:v>1</x:v>
      </x:c>
      <x:c r="I2964" s="6" t="str"/>
      <x:c r="J2964" s="6" t="str">
        <x:f>IF(B2964="","",IF(AND(ISNUMBER(SEARCH("平",B2964)),OR(ISNUMBER(SEARCH("上",B2964)),ISNUMBER(SEARCH("去",B2964)),ISNUMBER(SEARCH("入",B2964)))),"Ambiguous",IF(ISNUMBER(SEARCH("平",B2964)),"平","仄")))</x:f>
        <x:v>平</x:v>
      </x:c>
      <x:c r="K2964" s="6" t="str">
        <x:f>IF(D2964="","",IF(AND(ISNUMBER(SEARCH("平",D2964)),OR(ISNUMBER(SEARCH("上",D2964)),ISNUMBER(SEARCH("去",D2964)),ISNUMBER(SEARCH("入",D2964)))),"Ambiguous",IF(ISNUMBER(SEARCH("平",D2964)),"平","仄")))</x:f>
        <x:v>平</x:v>
      </x:c>
      <x:c r="L2964" s="7" t="str"/>
    </x:row>
    <x:row r="2965">
      <x:c r="A2965" s="5" t="str">
        <x:v>築</x:v>
      </x:c>
      <x:c r="B2965" s="6" t="str">
        <x:v>入</x:v>
      </x:c>
      <x:c r="C2965" s="6" t="str">
        <x:f>IF(B2965="","Needs decision","Ready")</x:f>
        <x:v>Ready</x:v>
      </x:c>
      <x:c r="D2965" s="6" t="str">
        <x:v>入</x:v>
      </x:c>
      <x:c r="E2965" s="6" t="str">
        <x:v>trjuwk (D)</x:v>
      </x:c>
      <x:c r="F2965" s="6" t="str">
        <x:v>入聲一屋</x:v>
      </x:c>
      <x:c r="G2965" s="6" t="str">
        <x:v>Pingshui main list, Wikisource-derived DOCX</x:v>
      </x:c>
      <x:c r="H2965" s="6" t="str">
        <x:v>1</x:v>
      </x:c>
      <x:c r="I2965" s="6" t="str"/>
      <x:c r="J2965" s="6" t="str">
        <x:f>IF(B2965="","",IF(AND(ISNUMBER(SEARCH("平",B2965)),OR(ISNUMBER(SEARCH("上",B2965)),ISNUMBER(SEARCH("去",B2965)),ISNUMBER(SEARCH("入",B2965)))),"Ambiguous",IF(ISNUMBER(SEARCH("平",B2965)),"平","仄")))</x:f>
        <x:v>仄</x:v>
      </x:c>
      <x:c r="K2965" s="6" t="str">
        <x:f>IF(D2965="","",IF(AND(ISNUMBER(SEARCH("平",D2965)),OR(ISNUMBER(SEARCH("上",D2965)),ISNUMBER(SEARCH("去",D2965)),ISNUMBER(SEARCH("入",D2965)))),"Ambiguous",IF(ISNUMBER(SEARCH("平",D2965)),"平","仄")))</x:f>
        <x:v>仄</x:v>
      </x:c>
      <x:c r="L2965" s="7" t="str"/>
    </x:row>
    <x:row r="2966">
      <x:c r="A2966" s="5" t="str">
        <x:v>篋</x:v>
      </x:c>
      <x:c r="B2966" s="6" t="str">
        <x:v>入</x:v>
      </x:c>
      <x:c r="C2966" s="6" t="str">
        <x:f>IF(B2966="","Needs decision","Ready")</x:f>
        <x:v>Ready</x:v>
      </x:c>
      <x:c r="D2966" s="6" t="str">
        <x:v>入</x:v>
      </x:c>
      <x:c r="E2966" s="6" t="str">
        <x:v>khep [qʰep] (入)</x:v>
      </x:c>
      <x:c r="F2966" s="6" t="str">
        <x:v>入聲十六葉</x:v>
      </x:c>
      <x:c r="G2966" s="6" t="str">
        <x:v>Pingshui main list, Wikisource-derived DOCX</x:v>
      </x:c>
      <x:c r="H2966" s="6" t="str">
        <x:v>1</x:v>
      </x:c>
      <x:c r="I2966" s="6" t="str">
        <x:v>Tang 300 gap; frequency 1; provisional from Xun Gong</x:v>
      </x:c>
      <x:c r="J2966" s="6" t="str">
        <x:f>IF(B2966="","",IF(AND(ISNUMBER(SEARCH("平",B2966)),OR(ISNUMBER(SEARCH("上",B2966)),ISNUMBER(SEARCH("去",B2966)),ISNUMBER(SEARCH("入",B2966)))),"Ambiguous",IF(ISNUMBER(SEARCH("平",B2966)),"平","仄")))</x:f>
        <x:v>仄</x:v>
      </x:c>
      <x:c r="K2966" s="6" t="str">
        <x:f>IF(D2966="","",IF(AND(ISNUMBER(SEARCH("平",D2966)),OR(ISNUMBER(SEARCH("上",D2966)),ISNUMBER(SEARCH("去",D2966)),ISNUMBER(SEARCH("入",D2966)))),"Ambiguous",IF(ISNUMBER(SEARCH("平",D2966)),"平","仄")))</x:f>
        <x:v>仄</x:v>
      </x:c>
      <x:c r="L2966" s="7" t="str">
        <x:v>Xun Gong, Tang 300 gap fill</x:v>
      </x:c>
    </x:row>
    <x:row r="2967">
      <x:c r="A2967" s="5" t="str">
        <x:v>篝</x:v>
      </x:c>
      <x:c r="B2967" s="6" t="str">
        <x:v>平</x:v>
      </x:c>
      <x:c r="C2967" s="6" t="str">
        <x:f>IF(B2967="","Needs decision","Ready")</x:f>
        <x:v>Ready</x:v>
      </x:c>
      <x:c r="D2967" s="6" t="str">
        <x:v>平</x:v>
      </x:c>
      <x:c r="E2967" s="6" t="str">
        <x:v>kuw (A)</x:v>
      </x:c>
      <x:c r="F2967" s="6" t="str">
        <x:v>下平聲十一尤</x:v>
      </x:c>
      <x:c r="G2967" s="6" t="str">
        <x:v>Pingshui main list, Wikisource-derived DOCX</x:v>
      </x:c>
      <x:c r="H2967" s="6" t="str">
        <x:v>1</x:v>
      </x:c>
      <x:c r="I2967" s="6" t="str"/>
      <x:c r="J2967" s="6" t="str">
        <x:f>IF(B2967="","",IF(AND(ISNUMBER(SEARCH("平",B2967)),OR(ISNUMBER(SEARCH("上",B2967)),ISNUMBER(SEARCH("去",B2967)),ISNUMBER(SEARCH("入",B2967)))),"Ambiguous",IF(ISNUMBER(SEARCH("平",B2967)),"平","仄")))</x:f>
        <x:v>平</x:v>
      </x:c>
      <x:c r="K2967" s="6" t="str">
        <x:f>IF(D2967="","",IF(AND(ISNUMBER(SEARCH("平",D2967)),OR(ISNUMBER(SEARCH("上",D2967)),ISNUMBER(SEARCH("去",D2967)),ISNUMBER(SEARCH("入",D2967)))),"Ambiguous",IF(ISNUMBER(SEARCH("平",D2967)),"平","仄")))</x:f>
        <x:v>平</x:v>
      </x:c>
      <x:c r="L2967" s="7" t="str"/>
    </x:row>
    <x:row r="2968">
      <x:c r="A2968" s="5" t="str">
        <x:v>篤</x:v>
      </x:c>
      <x:c r="B2968" s="6" t="str">
        <x:v>入</x:v>
      </x:c>
      <x:c r="C2968" s="6" t="str">
        <x:f>IF(B2968="","Needs decision","Ready")</x:f>
        <x:v>Ready</x:v>
      </x:c>
      <x:c r="D2968" s="6" t="str">
        <x:v>入</x:v>
      </x:c>
      <x:c r="E2968" s="6" t="str">
        <x:v>towk (D)</x:v>
      </x:c>
      <x:c r="F2968" s="6" t="str">
        <x:v>入聲二沃</x:v>
      </x:c>
      <x:c r="G2968" s="6" t="str">
        <x:v>Pingshui main list, Wikisource-derived DOCX</x:v>
      </x:c>
      <x:c r="H2968" s="6" t="str">
        <x:v>1</x:v>
      </x:c>
      <x:c r="I2968" s="6" t="str"/>
      <x:c r="J2968" s="6" t="str">
        <x:f>IF(B2968="","",IF(AND(ISNUMBER(SEARCH("平",B2968)),OR(ISNUMBER(SEARCH("上",B2968)),ISNUMBER(SEARCH("去",B2968)),ISNUMBER(SEARCH("入",B2968)))),"Ambiguous",IF(ISNUMBER(SEARCH("平",B2968)),"平","仄")))</x:f>
        <x:v>仄</x:v>
      </x:c>
      <x:c r="K2968" s="6" t="str">
        <x:f>IF(D2968="","",IF(AND(ISNUMBER(SEARCH("平",D2968)),OR(ISNUMBER(SEARCH("上",D2968)),ISNUMBER(SEARCH("去",D2968)),ISNUMBER(SEARCH("入",D2968)))),"Ambiguous",IF(ISNUMBER(SEARCH("平",D2968)),"平","仄")))</x:f>
        <x:v>仄</x:v>
      </x:c>
      <x:c r="L2968" s="7" t="str"/>
    </x:row>
    <x:row r="2969">
      <x:c r="A2969" s="5" t="str">
        <x:v>篦</x:v>
      </x:c>
      <x:c r="B2969" s="6" t="str">
        <x:v>平</x:v>
      </x:c>
      <x:c r="C2969" s="6" t="str">
        <x:f>IF(B2969="","Needs decision","Ready")</x:f>
        <x:v>Ready</x:v>
      </x:c>
      <x:c r="D2969" s="6" t="str">
        <x:v>平</x:v>
      </x:c>
      <x:c r="E2969" s="6" t="str">
        <x:v>pej [p̙ej] (平)</x:v>
      </x:c>
      <x:c r="F2969" s="6" t="str">
        <x:v>上平聲八齊</x:v>
      </x:c>
      <x:c r="G2969" s="6" t="str">
        <x:v>Pingshui main list, Wikisource-derived DOCX</x:v>
      </x:c>
      <x:c r="H2969" s="6" t="str">
        <x:v>1</x:v>
      </x:c>
      <x:c r="I2969" s="6" t="str">
        <x:v>Tang 300 gap; frequency 1; provisional from Xun Gong</x:v>
      </x:c>
      <x:c r="J2969" s="6" t="str">
        <x:f>IF(B2969="","",IF(AND(ISNUMBER(SEARCH("平",B2969)),OR(ISNUMBER(SEARCH("上",B2969)),ISNUMBER(SEARCH("去",B2969)),ISNUMBER(SEARCH("入",B2969)))),"Ambiguous",IF(ISNUMBER(SEARCH("平",B2969)),"平","仄")))</x:f>
        <x:v>平</x:v>
      </x:c>
      <x:c r="K2969" s="6" t="str">
        <x:f>IF(D2969="","",IF(AND(ISNUMBER(SEARCH("平",D2969)),OR(ISNUMBER(SEARCH("上",D2969)),ISNUMBER(SEARCH("去",D2969)),ISNUMBER(SEARCH("入",D2969)))),"Ambiguous",IF(ISNUMBER(SEARCH("平",D2969)),"平","仄")))</x:f>
        <x:v>平</x:v>
      </x:c>
      <x:c r="L2969" s="7" t="str">
        <x:v>Xun Gong, Tang 300 gap fill</x:v>
      </x:c>
    </x:row>
    <x:row r="2970">
      <x:c r="A2970" s="5" t="str">
        <x:v>篪</x:v>
      </x:c>
      <x:c r="B2970" s="6" t="str">
        <x:v>平</x:v>
      </x:c>
      <x:c r="C2970" s="6" t="str">
        <x:f>IF(B2970="","Needs decision","Ready")</x:f>
        <x:v>Ready</x:v>
      </x:c>
      <x:c r="D2970" s="6" t="str">
        <x:v>平</x:v>
      </x:c>
      <x:c r="E2970" s="6" t="str">
        <x:v>drje (A)</x:v>
      </x:c>
      <x:c r="F2970" s="6" t="str">
        <x:v>上平聲四支</x:v>
      </x:c>
      <x:c r="G2970" s="6" t="str">
        <x:v>Pingshui main list, Wikisource-derived DOCX</x:v>
      </x:c>
      <x:c r="H2970" s="6" t="str">
        <x:v>1</x:v>
      </x:c>
      <x:c r="I2970" s="6" t="str"/>
      <x:c r="J2970" s="6" t="str">
        <x:f>IF(B2970="","",IF(AND(ISNUMBER(SEARCH("平",B2970)),OR(ISNUMBER(SEARCH("上",B2970)),ISNUMBER(SEARCH("去",B2970)),ISNUMBER(SEARCH("入",B2970)))),"Ambiguous",IF(ISNUMBER(SEARCH("平",B2970)),"平","仄")))</x:f>
        <x:v>平</x:v>
      </x:c>
      <x:c r="K2970" s="6" t="str">
        <x:f>IF(D2970="","",IF(AND(ISNUMBER(SEARCH("平",D2970)),OR(ISNUMBER(SEARCH("上",D2970)),ISNUMBER(SEARCH("去",D2970)),ISNUMBER(SEARCH("入",D2970)))),"Ambiguous",IF(ISNUMBER(SEARCH("平",D2970)),"平","仄")))</x:f>
        <x:v>平</x:v>
      </x:c>
      <x:c r="L2970" s="7" t="str"/>
    </x:row>
    <x:row r="2971">
      <x:c r="A2971" s="5" t="str">
        <x:v>篲</x:v>
      </x:c>
      <x:c r="B2971" s="6" t="str">
        <x:v>去</x:v>
      </x:c>
      <x:c r="C2971" s="6" t="str">
        <x:f>IF(B2971="","Needs decision","Ready")</x:f>
        <x:v>Ready</x:v>
      </x:c>
      <x:c r="D2971" s="6" t="str">
        <x:v>去</x:v>
      </x:c>
      <x:c r="E2971" s="6" t="str">
        <x:v>zjwejH [zjwejh] (去)</x:v>
      </x:c>
      <x:c r="F2971" s="6" t="str">
        <x:v>去聲八霽</x:v>
      </x:c>
      <x:c r="G2971" s="6" t="str">
        <x:v>Pingshui main list, Wikisource-derived DOCX</x:v>
      </x:c>
      <x:c r="H2971" s="6" t="str">
        <x:v>1</x:v>
      </x:c>
      <x:c r="I2971" s="6" t="str">
        <x:v>Tang 300 gap; frequency 1; provisional from Xun Gong</x:v>
      </x:c>
      <x:c r="J2971" s="6" t="str">
        <x:f>IF(B2971="","",IF(AND(ISNUMBER(SEARCH("平",B2971)),OR(ISNUMBER(SEARCH("上",B2971)),ISNUMBER(SEARCH("去",B2971)),ISNUMBER(SEARCH("入",B2971)))),"Ambiguous",IF(ISNUMBER(SEARCH("平",B2971)),"平","仄")))</x:f>
        <x:v>仄</x:v>
      </x:c>
      <x:c r="K2971" s="6" t="str">
        <x:f>IF(D2971="","",IF(AND(ISNUMBER(SEARCH("平",D2971)),OR(ISNUMBER(SEARCH("上",D2971)),ISNUMBER(SEARCH("去",D2971)),ISNUMBER(SEARCH("入",D2971)))),"Ambiguous",IF(ISNUMBER(SEARCH("平",D2971)),"平","仄")))</x:f>
        <x:v>仄</x:v>
      </x:c>
      <x:c r="L2971" s="7" t="str">
        <x:v>Xun Gong, Tang 300 gap fill</x:v>
      </x:c>
    </x:row>
    <x:row r="2972">
      <x:c r="A2972" s="5" t="str">
        <x:v>篳</x:v>
      </x:c>
      <x:c r="B2972" s="6" t="str">
        <x:v>入</x:v>
      </x:c>
      <x:c r="C2972" s="6" t="str">
        <x:f>IF(B2972="","Needs decision","Ready")</x:f>
        <x:v>Ready</x:v>
      </x:c>
      <x:c r="D2972" s="6" t="str">
        <x:v>入</x:v>
      </x:c>
      <x:c r="E2972" s="6" t="str">
        <x:v>pjit (D)</x:v>
      </x:c>
      <x:c r="F2972" s="6" t="str">
        <x:v>入聲四質</x:v>
      </x:c>
      <x:c r="G2972" s="6" t="str">
        <x:v>Pingshui main list, Wikisource-derived DOCX</x:v>
      </x:c>
      <x:c r="H2972" s="6" t="str">
        <x:v>1</x:v>
      </x:c>
      <x:c r="I2972" s="6" t="str"/>
      <x:c r="J2972" s="6" t="str">
        <x:f>IF(B2972="","",IF(AND(ISNUMBER(SEARCH("平",B2972)),OR(ISNUMBER(SEARCH("上",B2972)),ISNUMBER(SEARCH("去",B2972)),ISNUMBER(SEARCH("入",B2972)))),"Ambiguous",IF(ISNUMBER(SEARCH("平",B2972)),"平","仄")))</x:f>
        <x:v>仄</x:v>
      </x:c>
      <x:c r="K2972" s="6" t="str">
        <x:f>IF(D2972="","",IF(AND(ISNUMBER(SEARCH("平",D2972)),OR(ISNUMBER(SEARCH("上",D2972)),ISNUMBER(SEARCH("去",D2972)),ISNUMBER(SEARCH("入",D2972)))),"Ambiguous",IF(ISNUMBER(SEARCH("平",D2972)),"平","仄")))</x:f>
        <x:v>仄</x:v>
      </x:c>
      <x:c r="L2972" s="7" t="str"/>
    </x:row>
    <x:row r="2973">
      <x:c r="A2973" s="5" t="str">
        <x:v>篴</x:v>
      </x:c>
      <x:c r="B2973" s="6" t="str">
        <x:v>入</x:v>
      </x:c>
      <x:c r="C2973" s="6" t="str">
        <x:f>IF(B2973="","Needs decision","Ready")</x:f>
        <x:v>Ready</x:v>
      </x:c>
      <x:c r="D2973" s="6" t="str">
        <x:v>入</x:v>
      </x:c>
      <x:c r="E2973" s="6" t="str">
        <x:v>dek (D)</x:v>
      </x:c>
      <x:c r="F2973" s="6" t="str"/>
      <x:c r="G2973" s="6" t="str"/>
      <x:c r="H2973" s="6" t="str">
        <x:v>1</x:v>
      </x:c>
      <x:c r="I2973" s="6" t="str"/>
      <x:c r="J2973" s="6" t="str">
        <x:f>IF(B2973="","",IF(AND(ISNUMBER(SEARCH("平",B2973)),OR(ISNUMBER(SEARCH("上",B2973)),ISNUMBER(SEARCH("去",B2973)),ISNUMBER(SEARCH("入",B2973)))),"Ambiguous",IF(ISNUMBER(SEARCH("平",B2973)),"平","仄")))</x:f>
        <x:v>仄</x:v>
      </x:c>
      <x:c r="K2973" s="6" t="str">
        <x:f>IF(D2973="","",IF(AND(ISNUMBER(SEARCH("平",D2973)),OR(ISNUMBER(SEARCH("上",D2973)),ISNUMBER(SEARCH("去",D2973)),ISNUMBER(SEARCH("入",D2973)))),"Ambiguous",IF(ISNUMBER(SEARCH("平",D2973)),"平","仄")))</x:f>
        <x:v>仄</x:v>
      </x:c>
      <x:c r="L2973" s="7" t="str"/>
    </x:row>
    <x:row r="2974">
      <x:c r="A2974" s="5" t="str">
        <x:v>篷</x:v>
      </x:c>
      <x:c r="B2974" s="6" t="str">
        <x:v>平</x:v>
      </x:c>
      <x:c r="C2974" s="6" t="str">
        <x:f>IF(B2974="","Needs decision","Ready")</x:f>
        <x:v>Ready</x:v>
      </x:c>
      <x:c r="D2974" s="6" t="str">
        <x:v>平</x:v>
      </x:c>
      <x:c r="E2974" s="6" t="str">
        <x:v>buwng (A)</x:v>
      </x:c>
      <x:c r="F2974" s="6" t="str">
        <x:v>上平聲一東</x:v>
      </x:c>
      <x:c r="G2974" s="6" t="str">
        <x:v>Pingshui main list, Wikisource-derived DOCX</x:v>
      </x:c>
      <x:c r="H2974" s="6" t="str">
        <x:v>1</x:v>
      </x:c>
      <x:c r="I2974" s="6" t="str"/>
      <x:c r="J2974" s="6" t="str">
        <x:f>IF(B2974="","",IF(AND(ISNUMBER(SEARCH("平",B2974)),OR(ISNUMBER(SEARCH("上",B2974)),ISNUMBER(SEARCH("去",B2974)),ISNUMBER(SEARCH("入",B2974)))),"Ambiguous",IF(ISNUMBER(SEARCH("平",B2974)),"平","仄")))</x:f>
        <x:v>平</x:v>
      </x:c>
      <x:c r="K2974" s="6" t="str">
        <x:f>IF(D2974="","",IF(AND(ISNUMBER(SEARCH("平",D2974)),OR(ISNUMBER(SEARCH("上",D2974)),ISNUMBER(SEARCH("去",D2974)),ISNUMBER(SEARCH("入",D2974)))),"Ambiguous",IF(ISNUMBER(SEARCH("平",D2974)),"平","仄")))</x:f>
        <x:v>平</x:v>
      </x:c>
      <x:c r="L2974" s="7" t="str"/>
    </x:row>
    <x:row r="2975">
      <x:c r="A2975" s="5" t="str">
        <x:v>簋</x:v>
      </x:c>
      <x:c r="B2975" s="6" t="str">
        <x:v>上</x:v>
      </x:c>
      <x:c r="C2975" s="6" t="str">
        <x:f>IF(B2975="","Needs decision","Ready")</x:f>
        <x:v>Ready</x:v>
      </x:c>
      <x:c r="D2975" s="6" t="str">
        <x:v>上</x:v>
      </x:c>
      <x:c r="E2975" s="6" t="str">
        <x:v>kwijX (B)</x:v>
      </x:c>
      <x:c r="F2975" s="6" t="str">
        <x:v>上聲四紙</x:v>
      </x:c>
      <x:c r="G2975" s="6" t="str">
        <x:v>Pingshui main list, Wikisource-derived DOCX</x:v>
      </x:c>
      <x:c r="H2975" s="6" t="str">
        <x:v>1</x:v>
      </x:c>
      <x:c r="I2975" s="6" t="str"/>
      <x:c r="J2975" s="6" t="str">
        <x:f>IF(B2975="","",IF(AND(ISNUMBER(SEARCH("平",B2975)),OR(ISNUMBER(SEARCH("上",B2975)),ISNUMBER(SEARCH("去",B2975)),ISNUMBER(SEARCH("入",B2975)))),"Ambiguous",IF(ISNUMBER(SEARCH("平",B2975)),"平","仄")))</x:f>
        <x:v>仄</x:v>
      </x:c>
      <x:c r="K2975" s="6" t="str">
        <x:f>IF(D2975="","",IF(AND(ISNUMBER(SEARCH("平",D2975)),OR(ISNUMBER(SEARCH("上",D2975)),ISNUMBER(SEARCH("去",D2975)),ISNUMBER(SEARCH("入",D2975)))),"Ambiguous",IF(ISNUMBER(SEARCH("平",D2975)),"平","仄")))</x:f>
        <x:v>仄</x:v>
      </x:c>
      <x:c r="L2975" s="7" t="str"/>
    </x:row>
    <x:row r="2976">
      <x:c r="A2976" s="5" t="str">
        <x:v>簚</x:v>
      </x:c>
      <x:c r="B2976" s="6" t="str">
        <x:v>入</x:v>
      </x:c>
      <x:c r="C2976" s="6" t="str">
        <x:f>IF(B2976="","Needs decision","Ready")</x:f>
        <x:v>Ready</x:v>
      </x:c>
      <x:c r="D2976" s="6" t="str">
        <x:v>入</x:v>
      </x:c>
      <x:c r="E2976" s="6" t="str">
        <x:v>mek (D)</x:v>
      </x:c>
      <x:c r="F2976" s="6" t="str"/>
      <x:c r="G2976" s="6" t="str"/>
      <x:c r="H2976" s="6" t="str">
        <x:v>1</x:v>
      </x:c>
      <x:c r="I2976" s="6" t="str"/>
      <x:c r="J2976" s="6" t="str">
        <x:f>IF(B2976="","",IF(AND(ISNUMBER(SEARCH("平",B2976)),OR(ISNUMBER(SEARCH("上",B2976)),ISNUMBER(SEARCH("去",B2976)),ISNUMBER(SEARCH("入",B2976)))),"Ambiguous",IF(ISNUMBER(SEARCH("平",B2976)),"平","仄")))</x:f>
        <x:v>仄</x:v>
      </x:c>
      <x:c r="K2976" s="6" t="str">
        <x:f>IF(D2976="","",IF(AND(ISNUMBER(SEARCH("平",D2976)),OR(ISNUMBER(SEARCH("上",D2976)),ISNUMBER(SEARCH("去",D2976)),ISNUMBER(SEARCH("入",D2976)))),"Ambiguous",IF(ISNUMBER(SEARCH("平",D2976)),"平","仄")))</x:f>
        <x:v>仄</x:v>
      </x:c>
      <x:c r="L2976" s="7" t="str"/>
    </x:row>
    <x:row r="2977">
      <x:c r="A2977" s="5" t="str">
        <x:v>簟</x:v>
      </x:c>
      <x:c r="B2977" s="6" t="str">
        <x:v>上</x:v>
      </x:c>
      <x:c r="C2977" s="6" t="str">
        <x:f>IF(B2977="","Needs decision","Ready")</x:f>
        <x:v>Ready</x:v>
      </x:c>
      <x:c r="D2977" s="6" t="str">
        <x:v>上</x:v>
      </x:c>
      <x:c r="E2977" s="6" t="str">
        <x:v>demX (B)</x:v>
      </x:c>
      <x:c r="F2977" s="6" t="str">
        <x:v>上聲二十八琰</x:v>
      </x:c>
      <x:c r="G2977" s="6" t="str">
        <x:v>Pingshui main list, Wikisource-derived DOCX</x:v>
      </x:c>
      <x:c r="H2977" s="6" t="str">
        <x:v>1</x:v>
      </x:c>
      <x:c r="I2977" s="6" t="str"/>
      <x:c r="J2977" s="6" t="str">
        <x:f>IF(B2977="","",IF(AND(ISNUMBER(SEARCH("平",B2977)),OR(ISNUMBER(SEARCH("上",B2977)),ISNUMBER(SEARCH("去",B2977)),ISNUMBER(SEARCH("入",B2977)))),"Ambiguous",IF(ISNUMBER(SEARCH("平",B2977)),"平","仄")))</x:f>
        <x:v>仄</x:v>
      </x:c>
      <x:c r="K2977" s="6" t="str">
        <x:f>IF(D2977="","",IF(AND(ISNUMBER(SEARCH("平",D2977)),OR(ISNUMBER(SEARCH("上",D2977)),ISNUMBER(SEARCH("去",D2977)),ISNUMBER(SEARCH("入",D2977)))),"Ambiguous",IF(ISNUMBER(SEARCH("平",D2977)),"平","仄")))</x:f>
        <x:v>仄</x:v>
      </x:c>
      <x:c r="L2977" s="7" t="str"/>
    </x:row>
    <x:row r="2978">
      <x:c r="A2978" s="5" t="str">
        <x:v>簠</x:v>
      </x:c>
      <x:c r="B2978" s="6" t="str">
        <x:v>上</x:v>
      </x:c>
      <x:c r="C2978" s="6" t="str">
        <x:f>IF(B2978="","Needs decision","Ready")</x:f>
        <x:v>Ready</x:v>
      </x:c>
      <x:c r="D2978" s="6" t="str">
        <x:v>上</x:v>
      </x:c>
      <x:c r="E2978" s="6" t="str">
        <x:v>pjuX (B)</x:v>
      </x:c>
      <x:c r="F2978" s="6" t="str">
        <x:v>上聲七麌</x:v>
      </x:c>
      <x:c r="G2978" s="6" t="str">
        <x:v>Pingshui main list, Wikisource-derived DOCX</x:v>
      </x:c>
      <x:c r="H2978" s="6" t="str">
        <x:v>1</x:v>
      </x:c>
      <x:c r="I2978" s="6" t="str"/>
      <x:c r="J2978" s="6" t="str">
        <x:f>IF(B2978="","",IF(AND(ISNUMBER(SEARCH("平",B2978)),OR(ISNUMBER(SEARCH("上",B2978)),ISNUMBER(SEARCH("去",B2978)),ISNUMBER(SEARCH("入",B2978)))),"Ambiguous",IF(ISNUMBER(SEARCH("平",B2978)),"平","仄")))</x:f>
        <x:v>仄</x:v>
      </x:c>
      <x:c r="K2978" s="6" t="str">
        <x:f>IF(D2978="","",IF(AND(ISNUMBER(SEARCH("平",D2978)),OR(ISNUMBER(SEARCH("上",D2978)),ISNUMBER(SEARCH("去",D2978)),ISNUMBER(SEARCH("入",D2978)))),"Ambiguous",IF(ISNUMBER(SEARCH("平",D2978)),"平","仄")))</x:f>
        <x:v>仄</x:v>
      </x:c>
      <x:c r="L2978" s="7" t="str"/>
    </x:row>
    <x:row r="2979">
      <x:c r="A2979" s="5" t="str">
        <x:v>簡</x:v>
      </x:c>
      <x:c r="B2979" s="6" t="str">
        <x:v>上</x:v>
      </x:c>
      <x:c r="C2979" s="6" t="str">
        <x:f>IF(B2979="","Needs decision","Ready")</x:f>
        <x:v>Ready</x:v>
      </x:c>
      <x:c r="D2979" s="6" t="str">
        <x:v>上</x:v>
      </x:c>
      <x:c r="E2979" s="6" t="str">
        <x:v>keanX (B)</x:v>
      </x:c>
      <x:c r="F2979" s="6" t="str">
        <x:v>上聲十五潸</x:v>
      </x:c>
      <x:c r="G2979" s="6" t="str">
        <x:v>Pingshui main list, Wikisource-derived DOCX</x:v>
      </x:c>
      <x:c r="H2979" s="6" t="str">
        <x:v>1</x:v>
      </x:c>
      <x:c r="I2979" s="6" t="str"/>
      <x:c r="J2979" s="6" t="str">
        <x:f>IF(B2979="","",IF(AND(ISNUMBER(SEARCH("平",B2979)),OR(ISNUMBER(SEARCH("上",B2979)),ISNUMBER(SEARCH("去",B2979)),ISNUMBER(SEARCH("入",B2979)))),"Ambiguous",IF(ISNUMBER(SEARCH("平",B2979)),"平","仄")))</x:f>
        <x:v>仄</x:v>
      </x:c>
      <x:c r="K2979" s="6" t="str">
        <x:f>IF(D2979="","",IF(AND(ISNUMBER(SEARCH("平",D2979)),OR(ISNUMBER(SEARCH("上",D2979)),ISNUMBER(SEARCH("去",D2979)),ISNUMBER(SEARCH("入",D2979)))),"Ambiguous",IF(ISNUMBER(SEARCH("平",D2979)),"平","仄")))</x:f>
        <x:v>仄</x:v>
      </x:c>
      <x:c r="L2979" s="7" t="str"/>
    </x:row>
    <x:row r="2980">
      <x:c r="A2980" s="5" t="str">
        <x:v>簣</x:v>
      </x:c>
      <x:c r="B2980" s="6" t="str">
        <x:v>去</x:v>
      </x:c>
      <x:c r="C2980" s="6" t="str">
        <x:f>IF(B2980="","Needs decision","Ready")</x:f>
        <x:v>Ready</x:v>
      </x:c>
      <x:c r="D2980" s="6" t="str">
        <x:v>去</x:v>
      </x:c>
      <x:c r="E2980" s="6" t="str">
        <x:v>khweajH (C)</x:v>
      </x:c>
      <x:c r="F2980" s="6" t="str">
        <x:v>去聲四寘; 去聲十卦</x:v>
      </x:c>
      <x:c r="G2980" s="6" t="str">
        <x:v>Pingshui main list, Wikisource-derived DOCX</x:v>
      </x:c>
      <x:c r="H2980" s="6" t="str">
        <x:v>1</x:v>
      </x:c>
      <x:c r="I2980" s="6" t="str"/>
      <x:c r="J2980" s="6" t="str">
        <x:f>IF(B2980="","",IF(AND(ISNUMBER(SEARCH("平",B2980)),OR(ISNUMBER(SEARCH("上",B2980)),ISNUMBER(SEARCH("去",B2980)),ISNUMBER(SEARCH("入",B2980)))),"Ambiguous",IF(ISNUMBER(SEARCH("平",B2980)),"平","仄")))</x:f>
        <x:v>仄</x:v>
      </x:c>
      <x:c r="K2980" s="6" t="str">
        <x:f>IF(D2980="","",IF(AND(ISNUMBER(SEARCH("平",D2980)),OR(ISNUMBER(SEARCH("上",D2980)),ISNUMBER(SEARCH("去",D2980)),ISNUMBER(SEARCH("入",D2980)))),"Ambiguous",IF(ISNUMBER(SEARCH("平",D2980)),"平","仄")))</x:f>
        <x:v>仄</x:v>
      </x:c>
      <x:c r="L2980" s="7" t="str"/>
    </x:row>
    <x:row r="2981">
      <x:c r="A2981" s="5" t="str">
        <x:v>簪</x:v>
      </x:c>
      <x:c r="B2981" s="6" t="str">
        <x:v>平</x:v>
      </x:c>
      <x:c r="C2981" s="6" t="str">
        <x:f>IF(B2981="","Needs decision","Ready")</x:f>
        <x:v>Ready</x:v>
      </x:c>
      <x:c r="D2981" s="6" t="str">
        <x:v>平</x:v>
      </x:c>
      <x:c r="E2981" s="6" t="str">
        <x:v>tsom (A); tsrim (A)</x:v>
      </x:c>
      <x:c r="F2981" s="6" t="str">
        <x:v>下平聲十二侵</x:v>
      </x:c>
      <x:c r="G2981" s="6" t="str">
        <x:v>Pingshui main list, Wikisource-derived DOCX</x:v>
      </x:c>
      <x:c r="H2981" s="6" t="str">
        <x:v>2</x:v>
      </x:c>
      <x:c r="I2981" s="6" t="str"/>
      <x:c r="J2981" s="6" t="str">
        <x:f>IF(B2981="","",IF(AND(ISNUMBER(SEARCH("平",B2981)),OR(ISNUMBER(SEARCH("上",B2981)),ISNUMBER(SEARCH("去",B2981)),ISNUMBER(SEARCH("入",B2981)))),"Ambiguous",IF(ISNUMBER(SEARCH("平",B2981)),"平","仄")))</x:f>
        <x:v>平</x:v>
      </x:c>
      <x:c r="K2981" s="6" t="str">
        <x:f>IF(D2981="","",IF(AND(ISNUMBER(SEARCH("平",D2981)),OR(ISNUMBER(SEARCH("上",D2981)),ISNUMBER(SEARCH("去",D2981)),ISNUMBER(SEARCH("入",D2981)))),"Ambiguous",IF(ISNUMBER(SEARCH("平",D2981)),"平","仄")))</x:f>
        <x:v>平</x:v>
      </x:c>
      <x:c r="L2981" s="7" t="str"/>
    </x:row>
    <x:row r="2982">
      <x:c r="A2982" s="5" t="str">
        <x:v>簫</x:v>
      </x:c>
      <x:c r="B2982" s="6" t="str">
        <x:v>平</x:v>
      </x:c>
      <x:c r="C2982" s="6" t="str">
        <x:f>IF(B2982="","Needs decision","Ready")</x:f>
        <x:v>Ready</x:v>
      </x:c>
      <x:c r="D2982" s="6" t="str">
        <x:v>平</x:v>
      </x:c>
      <x:c r="E2982" s="6" t="str">
        <x:v>sew (A)</x:v>
      </x:c>
      <x:c r="F2982" s="6" t="str">
        <x:v>下平聲二蕭</x:v>
      </x:c>
      <x:c r="G2982" s="6" t="str">
        <x:v>Pingshui main list, Wikisource-derived DOCX</x:v>
      </x:c>
      <x:c r="H2982" s="6" t="str">
        <x:v>1</x:v>
      </x:c>
      <x:c r="I2982" s="6" t="str"/>
      <x:c r="J2982" s="6" t="str">
        <x:f>IF(B2982="","",IF(AND(ISNUMBER(SEARCH("平",B2982)),OR(ISNUMBER(SEARCH("上",B2982)),ISNUMBER(SEARCH("去",B2982)),ISNUMBER(SEARCH("入",B2982)))),"Ambiguous",IF(ISNUMBER(SEARCH("平",B2982)),"平","仄")))</x:f>
        <x:v>平</x:v>
      </x:c>
      <x:c r="K2982" s="6" t="str">
        <x:f>IF(D2982="","",IF(AND(ISNUMBER(SEARCH("平",D2982)),OR(ISNUMBER(SEARCH("上",D2982)),ISNUMBER(SEARCH("去",D2982)),ISNUMBER(SEARCH("入",D2982)))),"Ambiguous",IF(ISNUMBER(SEARCH("平",D2982)),"平","仄")))</x:f>
        <x:v>平</x:v>
      </x:c>
      <x:c r="L2982" s="7" t="str"/>
    </x:row>
    <x:row r="2983">
      <x:c r="A2983" s="5" t="str">
        <x:v>簰</x:v>
      </x:c>
      <x:c r="B2983" s="6" t="str">
        <x:v>平</x:v>
      </x:c>
      <x:c r="C2983" s="6" t="str">
        <x:f>IF(B2983="","Needs decision","Ready")</x:f>
        <x:v>Ready</x:v>
      </x:c>
      <x:c r="D2983" s="6" t="str">
        <x:v>平</x:v>
      </x:c>
      <x:c r="E2983" s="6" t="str">
        <x:v>bea (A)</x:v>
      </x:c>
      <x:c r="F2983" s="6" t="str"/>
      <x:c r="G2983" s="6" t="str"/>
      <x:c r="H2983" s="6" t="str">
        <x:v>1</x:v>
      </x:c>
      <x:c r="I2983" s="6" t="str"/>
      <x:c r="J2983" s="6" t="str">
        <x:f>IF(B2983="","",IF(AND(ISNUMBER(SEARCH("平",B2983)),OR(ISNUMBER(SEARCH("上",B2983)),ISNUMBER(SEARCH("去",B2983)),ISNUMBER(SEARCH("入",B2983)))),"Ambiguous",IF(ISNUMBER(SEARCH("平",B2983)),"平","仄")))</x:f>
        <x:v>平</x:v>
      </x:c>
      <x:c r="K2983" s="6" t="str">
        <x:f>IF(D2983="","",IF(AND(ISNUMBER(SEARCH("平",D2983)),OR(ISNUMBER(SEARCH("上",D2983)),ISNUMBER(SEARCH("去",D2983)),ISNUMBER(SEARCH("入",D2983)))),"Ambiguous",IF(ISNUMBER(SEARCH("平",D2983)),"平","仄")))</x:f>
        <x:v>平</x:v>
      </x:c>
      <x:c r="L2983" s="7" t="str"/>
    </x:row>
    <x:row r="2984">
      <x:c r="A2984" s="5" t="str">
        <x:v>簳</x:v>
      </x:c>
      <x:c r="B2984" s="6" t="str">
        <x:v>上</x:v>
      </x:c>
      <x:c r="C2984" s="6" t="str">
        <x:f>IF(B2984="","Needs decision","Ready")</x:f>
        <x:v>Ready</x:v>
      </x:c>
      <x:c r="D2984" s="6" t="str">
        <x:v>上</x:v>
      </x:c>
      <x:c r="E2984" s="6" t="str">
        <x:v>kanX (B)</x:v>
      </x:c>
      <x:c r="F2984" s="6" t="str"/>
      <x:c r="G2984" s="6" t="str"/>
      <x:c r="H2984" s="6" t="str">
        <x:v>1</x:v>
      </x:c>
      <x:c r="I2984" s="6" t="str"/>
      <x:c r="J2984" s="6" t="str">
        <x:f>IF(B2984="","",IF(AND(ISNUMBER(SEARCH("平",B2984)),OR(ISNUMBER(SEARCH("上",B2984)),ISNUMBER(SEARCH("去",B2984)),ISNUMBER(SEARCH("入",B2984)))),"Ambiguous",IF(ISNUMBER(SEARCH("平",B2984)),"平","仄")))</x:f>
        <x:v>仄</x:v>
      </x:c>
      <x:c r="K2984" s="6" t="str">
        <x:f>IF(D2984="","",IF(AND(ISNUMBER(SEARCH("平",D2984)),OR(ISNUMBER(SEARCH("上",D2984)),ISNUMBER(SEARCH("去",D2984)),ISNUMBER(SEARCH("入",D2984)))),"Ambiguous",IF(ISNUMBER(SEARCH("平",D2984)),"平","仄")))</x:f>
        <x:v>仄</x:v>
      </x:c>
      <x:c r="L2984" s="7" t="str"/>
    </x:row>
    <x:row r="2985">
      <x:c r="A2985" s="5" t="str">
        <x:v>簷</x:v>
      </x:c>
      <x:c r="B2985" s="6" t="str">
        <x:v>平</x:v>
      </x:c>
      <x:c r="C2985" s="6" t="str">
        <x:f>IF(B2985="","Needs decision","Ready")</x:f>
        <x:v>Ready</x:v>
      </x:c>
      <x:c r="D2985" s="6" t="str">
        <x:v>平</x:v>
      </x:c>
      <x:c r="E2985" s="6" t="str">
        <x:v>yem [jem] (平)</x:v>
      </x:c>
      <x:c r="F2985" s="6" t="str"/>
      <x:c r="G2985" s="6" t="str"/>
      <x:c r="H2985" s="6" t="str">
        <x:v>1</x:v>
      </x:c>
      <x:c r="I2985" s="6" t="str">
        <x:v>Tang 300 gap; frequency 2; provisional from Xun Gong</x:v>
      </x:c>
      <x:c r="J2985" s="6" t="str">
        <x:f>IF(B2985="","",IF(AND(ISNUMBER(SEARCH("平",B2985)),OR(ISNUMBER(SEARCH("上",B2985)),ISNUMBER(SEARCH("去",B2985)),ISNUMBER(SEARCH("入",B2985)))),"Ambiguous",IF(ISNUMBER(SEARCH("平",B2985)),"平","仄")))</x:f>
        <x:v>平</x:v>
      </x:c>
      <x:c r="K2985" s="6" t="str">
        <x:f>IF(D2985="","",IF(AND(ISNUMBER(SEARCH("平",D2985)),OR(ISNUMBER(SEARCH("上",D2985)),ISNUMBER(SEARCH("去",D2985)),ISNUMBER(SEARCH("入",D2985)))),"Ambiguous",IF(ISNUMBER(SEARCH("平",D2985)),"平","仄")))</x:f>
        <x:v>平</x:v>
      </x:c>
      <x:c r="L2985" s="7" t="str">
        <x:v>Xun Gong, Tang 300 gap fill</x:v>
      </x:c>
    </x:row>
    <x:row r="2986">
      <x:c r="A2986" s="5" t="str">
        <x:v>簸</x:v>
      </x:c>
      <x:c r="B2986" s="6" t="str"/>
      <x:c r="C2986" s="6" t="str">
        <x:f>IF(B2986="","Needs decision","Ready")</x:f>
        <x:v>Needs decision</x:v>
      </x:c>
      <x:c r="D2986" s="6" t="str">
        <x:v>上/去</x:v>
      </x:c>
      <x:c r="E2986" s="6" t="str">
        <x:v>paX (B); paH (C)</x:v>
      </x:c>
      <x:c r="F2986" s="6" t="str">
        <x:v>上聲二十哿; 去聲二十一箇</x:v>
      </x:c>
      <x:c r="G2986" s="6" t="str">
        <x:v>Pingshui main list, Wikisource-derived DOCX</x:v>
      </x:c>
      <x:c r="H2986" s="6" t="str">
        <x:v>2</x:v>
      </x:c>
      <x:c r="I2986" s="6" t="str"/>
      <x:c r="J2986" s="6" t="str">
        <x:f>IF(B2986="","",IF(AND(ISNUMBER(SEARCH("平",B2986)),OR(ISNUMBER(SEARCH("上",B2986)),ISNUMBER(SEARCH("去",B2986)),ISNUMBER(SEARCH("入",B2986)))),"Ambiguous",IF(ISNUMBER(SEARCH("平",B2986)),"平","仄")))</x:f>
      </x:c>
      <x:c r="K2986" s="6" t="str">
        <x:f>IF(D2986="","",IF(AND(ISNUMBER(SEARCH("平",D2986)),OR(ISNUMBER(SEARCH("上",D2986)),ISNUMBER(SEARCH("去",D2986)),ISNUMBER(SEARCH("入",D2986)))),"Ambiguous",IF(ISNUMBER(SEARCH("平",D2986)),"平","仄")))</x:f>
        <x:v>仄</x:v>
      </x:c>
      <x:c r="L2986" s="7" t="str"/>
    </x:row>
    <x:row r="2987">
      <x:c r="A2987" s="5" t="str">
        <x:v>簾</x:v>
      </x:c>
      <x:c r="B2987" s="6" t="str">
        <x:v>平</x:v>
      </x:c>
      <x:c r="C2987" s="6" t="str">
        <x:f>IF(B2987="","Needs decision","Ready")</x:f>
        <x:v>Ready</x:v>
      </x:c>
      <x:c r="D2987" s="6" t="str">
        <x:v>平</x:v>
      </x:c>
      <x:c r="E2987" s="6" t="str">
        <x:v>ljem (A)</x:v>
      </x:c>
      <x:c r="F2987" s="6" t="str">
        <x:v>下平聲十四鹽</x:v>
      </x:c>
      <x:c r="G2987" s="6" t="str">
        <x:v>Pingshui main list, Wikisource-derived DOCX</x:v>
      </x:c>
      <x:c r="H2987" s="6" t="str">
        <x:v>1</x:v>
      </x:c>
      <x:c r="I2987" s="6" t="str"/>
      <x:c r="J2987" s="6" t="str">
        <x:f>IF(B2987="","",IF(AND(ISNUMBER(SEARCH("平",B2987)),OR(ISNUMBER(SEARCH("上",B2987)),ISNUMBER(SEARCH("去",B2987)),ISNUMBER(SEARCH("入",B2987)))),"Ambiguous",IF(ISNUMBER(SEARCH("平",B2987)),"平","仄")))</x:f>
        <x:v>平</x:v>
      </x:c>
      <x:c r="K2987" s="6" t="str">
        <x:f>IF(D2987="","",IF(AND(ISNUMBER(SEARCH("平",D2987)),OR(ISNUMBER(SEARCH("上",D2987)),ISNUMBER(SEARCH("去",D2987)),ISNUMBER(SEARCH("入",D2987)))),"Ambiguous",IF(ISNUMBER(SEARCH("平",D2987)),"平","仄")))</x:f>
        <x:v>平</x:v>
      </x:c>
      <x:c r="L2987" s="7" t="str"/>
    </x:row>
    <x:row r="2988">
      <x:c r="A2988" s="5" t="str">
        <x:v>簿</x:v>
      </x:c>
      <x:c r="B2988" s="6" t="str">
        <x:v>上</x:v>
      </x:c>
      <x:c r="C2988" s="6" t="str">
        <x:f>IF(B2988="","Needs decision","Ready")</x:f>
        <x:v>Ready</x:v>
      </x:c>
      <x:c r="D2988" s="6" t="str">
        <x:v>上</x:v>
      </x:c>
      <x:c r="E2988" s="6" t="str">
        <x:v>buX (B)</x:v>
      </x:c>
      <x:c r="F2988" s="6" t="str">
        <x:v>上聲七麌</x:v>
      </x:c>
      <x:c r="G2988" s="6" t="str">
        <x:v>Pingshui main list, Wikisource-derived DOCX</x:v>
      </x:c>
      <x:c r="H2988" s="6" t="str">
        <x:v>1</x:v>
      </x:c>
      <x:c r="I2988" s="6" t="str"/>
      <x:c r="J2988" s="6" t="str">
        <x:f>IF(B2988="","",IF(AND(ISNUMBER(SEARCH("平",B2988)),OR(ISNUMBER(SEARCH("上",B2988)),ISNUMBER(SEARCH("去",B2988)),ISNUMBER(SEARCH("入",B2988)))),"Ambiguous",IF(ISNUMBER(SEARCH("平",B2988)),"平","仄")))</x:f>
        <x:v>仄</x:v>
      </x:c>
      <x:c r="K2988" s="6" t="str">
        <x:f>IF(D2988="","",IF(AND(ISNUMBER(SEARCH("平",D2988)),OR(ISNUMBER(SEARCH("上",D2988)),ISNUMBER(SEARCH("去",D2988)),ISNUMBER(SEARCH("入",D2988)))),"Ambiguous",IF(ISNUMBER(SEARCH("平",D2988)),"平","仄")))</x:f>
        <x:v>仄</x:v>
      </x:c>
      <x:c r="L2988" s="7" t="str"/>
    </x:row>
    <x:row r="2989">
      <x:c r="A2989" s="5" t="str">
        <x:v>籃</x:v>
      </x:c>
      <x:c r="B2989" s="6" t="str">
        <x:v>平</x:v>
      </x:c>
      <x:c r="C2989" s="6" t="str">
        <x:f>IF(B2989="","Needs decision","Ready")</x:f>
        <x:v>Ready</x:v>
      </x:c>
      <x:c r="D2989" s="6" t="str">
        <x:v>平</x:v>
      </x:c>
      <x:c r="E2989" s="6" t="str">
        <x:v>lam (A)</x:v>
      </x:c>
      <x:c r="F2989" s="6" t="str">
        <x:v>下平聲十三覃</x:v>
      </x:c>
      <x:c r="G2989" s="6" t="str">
        <x:v>Pingshui main list, Wikisource-derived DOCX</x:v>
      </x:c>
      <x:c r="H2989" s="6" t="str">
        <x:v>1</x:v>
      </x:c>
      <x:c r="I2989" s="6" t="str"/>
      <x:c r="J2989" s="6" t="str">
        <x:f>IF(B2989="","",IF(AND(ISNUMBER(SEARCH("平",B2989)),OR(ISNUMBER(SEARCH("上",B2989)),ISNUMBER(SEARCH("去",B2989)),ISNUMBER(SEARCH("入",B2989)))),"Ambiguous",IF(ISNUMBER(SEARCH("平",B2989)),"平","仄")))</x:f>
        <x:v>平</x:v>
      </x:c>
      <x:c r="K2989" s="6" t="str">
        <x:f>IF(D2989="","",IF(AND(ISNUMBER(SEARCH("平",D2989)),OR(ISNUMBER(SEARCH("上",D2989)),ISNUMBER(SEARCH("去",D2989)),ISNUMBER(SEARCH("入",D2989)))),"Ambiguous",IF(ISNUMBER(SEARCH("平",D2989)),"平","仄")))</x:f>
        <x:v>平</x:v>
      </x:c>
      <x:c r="L2989" s="7" t="str"/>
    </x:row>
    <x:row r="2990">
      <x:c r="A2990" s="5" t="str">
        <x:v>籌</x:v>
      </x:c>
      <x:c r="B2990" s="6" t="str">
        <x:v>平</x:v>
      </x:c>
      <x:c r="C2990" s="6" t="str">
        <x:f>IF(B2990="","Needs decision","Ready")</x:f>
        <x:v>Ready</x:v>
      </x:c>
      <x:c r="D2990" s="6" t="str">
        <x:v>平</x:v>
      </x:c>
      <x:c r="E2990" s="6" t="str">
        <x:v>drjuw [澄三尤平] ɖju</x:v>
      </x:c>
      <x:c r="F2990" s="6" t="str">
        <x:v>下平聲十一尤</x:v>
      </x:c>
      <x:c r="G2990" s="6" t="str">
        <x:v>Pingshui main list, Wikisource-derived DOCX</x:v>
      </x:c>
      <x:c r="H2990" s="6" t="str">
        <x:v>1</x:v>
      </x:c>
      <x:c r="I2990" s="6" t="str">
        <x:v>Targeted preliminary fill from Xun Gong; review if uncertain</x:v>
      </x:c>
      <x:c r="J2990" s="6" t="str">
        <x:f>IF(B2990="","",IF(AND(ISNUMBER(SEARCH("平",B2990)),OR(ISNUMBER(SEARCH("上",B2990)),ISNUMBER(SEARCH("去",B2990)),ISNUMBER(SEARCH("入",B2990)))),"Ambiguous",IF(ISNUMBER(SEARCH("平",B2990)),"平","仄")))</x:f>
        <x:v>平</x:v>
      </x:c>
      <x:c r="K2990" s="6" t="str">
        <x:f>IF(D2990="","",IF(AND(ISNUMBER(SEARCH("平",D2990)),OR(ISNUMBER(SEARCH("上",D2990)),ISNUMBER(SEARCH("去",D2990)),ISNUMBER(SEARCH("入",D2990)))),"Ambiguous",IF(ISNUMBER(SEARCH("平",D2990)),"平","仄")))</x:f>
        <x:v>平</x:v>
      </x:c>
      <x:c r="L2990" s="7" t="str">
        <x:v>Xun Gong character-readings.csv</x:v>
      </x:c>
    </x:row>
    <x:row r="2991">
      <x:c r="A2991" s="5" t="str">
        <x:v>籍</x:v>
      </x:c>
      <x:c r="B2991" s="6" t="str">
        <x:v>入</x:v>
      </x:c>
      <x:c r="C2991" s="6" t="str">
        <x:f>IF(B2991="","Needs decision","Ready")</x:f>
        <x:v>Ready</x:v>
      </x:c>
      <x:c r="D2991" s="6" t="str">
        <x:v>入</x:v>
      </x:c>
      <x:c r="E2991" s="6" t="str">
        <x:v>dzjek (D)</x:v>
      </x:c>
      <x:c r="F2991" s="6" t="str">
        <x:v>入聲十一陌</x:v>
      </x:c>
      <x:c r="G2991" s="6" t="str">
        <x:v>Pingshui main list, Wikisource-derived DOCX</x:v>
      </x:c>
      <x:c r="H2991" s="6" t="str">
        <x:v>1</x:v>
      </x:c>
      <x:c r="I2991" s="6" t="str"/>
      <x:c r="J2991" s="6" t="str">
        <x:f>IF(B2991="","",IF(AND(ISNUMBER(SEARCH("平",B2991)),OR(ISNUMBER(SEARCH("上",B2991)),ISNUMBER(SEARCH("去",B2991)),ISNUMBER(SEARCH("入",B2991)))),"Ambiguous",IF(ISNUMBER(SEARCH("平",B2991)),"平","仄")))</x:f>
        <x:v>仄</x:v>
      </x:c>
      <x:c r="K2991" s="6" t="str">
        <x:f>IF(D2991="","",IF(AND(ISNUMBER(SEARCH("平",D2991)),OR(ISNUMBER(SEARCH("上",D2991)),ISNUMBER(SEARCH("去",D2991)),ISNUMBER(SEARCH("入",D2991)))),"Ambiguous",IF(ISNUMBER(SEARCH("平",D2991)),"平","仄")))</x:f>
        <x:v>仄</x:v>
      </x:c>
      <x:c r="L2991" s="7" t="str"/>
    </x:row>
    <x:row r="2992">
      <x:c r="A2992" s="5" t="str">
        <x:v>籙</x:v>
      </x:c>
      <x:c r="B2992" s="6" t="str">
        <x:v>入</x:v>
      </x:c>
      <x:c r="C2992" s="6" t="str">
        <x:f>IF(B2992="","Needs decision","Ready")</x:f>
        <x:v>Ready</x:v>
      </x:c>
      <x:c r="D2992" s="6" t="str">
        <x:v>入</x:v>
      </x:c>
      <x:c r="E2992" s="6" t="str">
        <x:v>ljowk [ljok] (入)</x:v>
      </x:c>
      <x:c r="F2992" s="6" t="str">
        <x:v>入聲二沃</x:v>
      </x:c>
      <x:c r="G2992" s="6" t="str">
        <x:v>Pingshui main list, Wikisource-derived DOCX</x:v>
      </x:c>
      <x:c r="H2992" s="6" t="str">
        <x:v>1</x:v>
      </x:c>
      <x:c r="I2992" s="6" t="str">
        <x:v>Tang 300 gap; frequency 1; provisional from Xun Gong</x:v>
      </x:c>
      <x:c r="J2992" s="6" t="str">
        <x:f>IF(B2992="","",IF(AND(ISNUMBER(SEARCH("平",B2992)),OR(ISNUMBER(SEARCH("上",B2992)),ISNUMBER(SEARCH("去",B2992)),ISNUMBER(SEARCH("入",B2992)))),"Ambiguous",IF(ISNUMBER(SEARCH("平",B2992)),"平","仄")))</x:f>
        <x:v>仄</x:v>
      </x:c>
      <x:c r="K2992" s="6" t="str">
        <x:f>IF(D2992="","",IF(AND(ISNUMBER(SEARCH("平",D2992)),OR(ISNUMBER(SEARCH("上",D2992)),ISNUMBER(SEARCH("去",D2992)),ISNUMBER(SEARCH("入",D2992)))),"Ambiguous",IF(ISNUMBER(SEARCH("平",D2992)),"平","仄")))</x:f>
        <x:v>仄</x:v>
      </x:c>
      <x:c r="L2992" s="7" t="str">
        <x:v>Xun Gong, Tang 300 gap fill</x:v>
      </x:c>
    </x:row>
    <x:row r="2993">
      <x:c r="A2993" s="5" t="str">
        <x:v>籜</x:v>
      </x:c>
      <x:c r="B2993" s="6" t="str">
        <x:v>入</x:v>
      </x:c>
      <x:c r="C2993" s="6" t="str">
        <x:f>IF(B2993="","Needs decision","Ready")</x:f>
        <x:v>Ready</x:v>
      </x:c>
      <x:c r="D2993" s="6" t="str">
        <x:v>入</x:v>
      </x:c>
      <x:c r="E2993" s="6" t="str"/>
      <x:c r="F2993" s="6" t="str">
        <x:v>入聲十藥</x:v>
      </x:c>
      <x:c r="G2993" s="6" t="str">
        <x:v>Pingshui main list, Wikisource-derived DOCX</x:v>
      </x:c>
      <x:c r="H2993" s="6" t="str">
        <x:v>0</x:v>
      </x:c>
      <x:c r="I2993" s="6" t="str">
        <x:v>User correction 2026-09-08; added manually</x:v>
      </x:c>
      <x:c r="J2993" s="6" t="str">
        <x:f>IF(B2993="","",IF(AND(ISNUMBER(SEARCH("平",B2993)),OR(ISNUMBER(SEARCH("上",B2993)),ISNUMBER(SEARCH("去",B2993)),ISNUMBER(SEARCH("入",B2993)))),"Ambiguous",IF(ISNUMBER(SEARCH("平",B2993)),"平","仄")))</x:f>
        <x:v>仄</x:v>
      </x:c>
      <x:c r="K2993" s="6" t="str">
        <x:f>IF(D2993="","",IF(AND(ISNUMBER(SEARCH("平",D2993)),OR(ISNUMBER(SEARCH("上",D2993)),ISNUMBER(SEARCH("去",D2993)),ISNUMBER(SEARCH("入",D2993)))),"Ambiguous",IF(ISNUMBER(SEARCH("平",D2993)),"平","仄")))</x:f>
        <x:v>仄</x:v>
      </x:c>
      <x:c r="L2993" s="7" t="str">
        <x:v>User correction</x:v>
      </x:c>
    </x:row>
    <x:row r="2994">
      <x:c r="A2994" s="5" t="str">
        <x:v>籞</x:v>
      </x:c>
      <x:c r="B2994" s="6" t="str">
        <x:v>上</x:v>
      </x:c>
      <x:c r="C2994" s="6" t="str">
        <x:f>IF(B2994="","Needs decision","Ready")</x:f>
        <x:v>Ready</x:v>
      </x:c>
      <x:c r="D2994" s="6" t="str">
        <x:v>上</x:v>
      </x:c>
      <x:c r="E2994" s="6" t="str"/>
      <x:c r="F2994" s="6" t="str"/>
      <x:c r="G2994" s="6" t="str"/>
      <x:c r="H2994" s="6" t="str">
        <x:v>0</x:v>
      </x:c>
      <x:c r="I2994" s="6" t="str">
        <x:v>User correction 2026-09-08; added manually</x:v>
      </x:c>
      <x:c r="J2994" s="6" t="str">
        <x:f>IF(B2994="","",IF(AND(ISNUMBER(SEARCH("平",B2994)),OR(ISNUMBER(SEARCH("上",B2994)),ISNUMBER(SEARCH("去",B2994)),ISNUMBER(SEARCH("入",B2994)))),"Ambiguous",IF(ISNUMBER(SEARCH("平",B2994)),"平","仄")))</x:f>
        <x:v>仄</x:v>
      </x:c>
      <x:c r="K2994" s="6" t="str">
        <x:f>IF(D2994="","",IF(AND(ISNUMBER(SEARCH("平",D2994)),OR(ISNUMBER(SEARCH("上",D2994)),ISNUMBER(SEARCH("去",D2994)),ISNUMBER(SEARCH("入",D2994)))),"Ambiguous",IF(ISNUMBER(SEARCH("平",D2994)),"平","仄")))</x:f>
        <x:v>仄</x:v>
      </x:c>
      <x:c r="L2994" s="7" t="str">
        <x:v>User correction</x:v>
      </x:c>
    </x:row>
    <x:row r="2995">
      <x:c r="A2995" s="5" t="str">
        <x:v>籟</x:v>
      </x:c>
      <x:c r="B2995" s="6" t="str">
        <x:v>去</x:v>
      </x:c>
      <x:c r="C2995" s="6" t="str">
        <x:f>IF(B2995="","Needs decision","Ready")</x:f>
        <x:v>Ready</x:v>
      </x:c>
      <x:c r="D2995" s="6" t="str">
        <x:v>去</x:v>
      </x:c>
      <x:c r="E2995" s="6" t="str">
        <x:v>lajH (C)</x:v>
      </x:c>
      <x:c r="F2995" s="6" t="str">
        <x:v>去聲九泰</x:v>
      </x:c>
      <x:c r="G2995" s="6" t="str">
        <x:v>Pingshui main list, Wikisource-derived DOCX</x:v>
      </x:c>
      <x:c r="H2995" s="6" t="str">
        <x:v>1</x:v>
      </x:c>
      <x:c r="I2995" s="6" t="str"/>
      <x:c r="J2995" s="6" t="str">
        <x:f>IF(B2995="","",IF(AND(ISNUMBER(SEARCH("平",B2995)),OR(ISNUMBER(SEARCH("上",B2995)),ISNUMBER(SEARCH("去",B2995)),ISNUMBER(SEARCH("入",B2995)))),"Ambiguous",IF(ISNUMBER(SEARCH("平",B2995)),"平","仄")))</x:f>
        <x:v>仄</x:v>
      </x:c>
      <x:c r="K2995" s="6" t="str">
        <x:f>IF(D2995="","",IF(AND(ISNUMBER(SEARCH("平",D2995)),OR(ISNUMBER(SEARCH("上",D2995)),ISNUMBER(SEARCH("去",D2995)),ISNUMBER(SEARCH("入",D2995)))),"Ambiguous",IF(ISNUMBER(SEARCH("平",D2995)),"平","仄")))</x:f>
        <x:v>仄</x:v>
      </x:c>
      <x:c r="L2995" s="7" t="str"/>
    </x:row>
    <x:row r="2996">
      <x:c r="A2996" s="5" t="str">
        <x:v>籠</x:v>
      </x:c>
      <x:c r="B2996" s="6" t="str">
        <x:v>平</x:v>
      </x:c>
      <x:c r="C2996" s="6" t="str">
        <x:f>IF(B2996="","Needs decision","Ready")</x:f>
        <x:v>Ready</x:v>
      </x:c>
      <x:c r="D2996" s="6" t="str">
        <x:v>平/上</x:v>
      </x:c>
      <x:c r="E2996" s="6" t="str">
        <x:v>luwng (A); luwngX (B)</x:v>
      </x:c>
      <x:c r="F2996" s="6" t="str">
        <x:v>上平聲一東; 上聲一董</x:v>
      </x:c>
      <x:c r="G2996" s="6" t="str">
        <x:v>Pingshui main list, Wikisource-derived DOCX</x:v>
      </x:c>
      <x:c r="H2996" s="6" t="str">
        <x:v>2</x:v>
      </x:c>
      <x:c r="I2996" s="6" t="str">
        <x:v>User correction 2026-09-08</x:v>
      </x:c>
      <x:c r="J2996" s="6" t="str">
        <x:f>IF(B2996="","",IF(AND(ISNUMBER(SEARCH("平",B2996)),OR(ISNUMBER(SEARCH("上",B2996)),ISNUMBER(SEARCH("去",B2996)),ISNUMBER(SEARCH("入",B2996)))),"Ambiguous",IF(ISNUMBER(SEARCH("平",B2996)),"平","仄")))</x:f>
        <x:v>平</x:v>
      </x:c>
      <x:c r="K2996" s="6" t="str">
        <x:f>IF(D2996="","",IF(AND(ISNUMBER(SEARCH("平",D2996)),OR(ISNUMBER(SEARCH("上",D2996)),ISNUMBER(SEARCH("去",D2996)),ISNUMBER(SEARCH("入",D2996)))),"Ambiguous",IF(ISNUMBER(SEARCH("平",D2996)),"平","仄")))</x:f>
        <x:v>Ambiguous</x:v>
      </x:c>
      <x:c r="L2996" s="7" t="str"/>
    </x:row>
    <x:row r="2997">
      <x:c r="A2997" s="5" t="str">
        <x:v>籤</x:v>
      </x:c>
      <x:c r="B2997" s="6" t="str">
        <x:v>平</x:v>
      </x:c>
      <x:c r="C2997" s="6" t="str">
        <x:f>IF(B2997="","Needs decision","Ready")</x:f>
        <x:v>Ready</x:v>
      </x:c>
      <x:c r="D2997" s="6" t="str">
        <x:v>平</x:v>
      </x:c>
      <x:c r="E2997" s="6" t="str"/>
      <x:c r="F2997" s="6" t="str">
        <x:v>下平聲十四鹽</x:v>
      </x:c>
      <x:c r="G2997" s="6" t="str">
        <x:v>Pingshui main list, Wikisource-derived DOCX</x:v>
      </x:c>
      <x:c r="H2997" s="6" t="str"/>
      <x:c r="I2997" s="6" t="str">
        <x:v>Manual user correction/addition</x:v>
      </x:c>
      <x:c r="J2997" s="6" t="str">
        <x:f>IF(B2997="","",IF(AND(ISNUMBER(SEARCH("平",B2997)),OR(ISNUMBER(SEARCH("上",B2997)),ISNUMBER(SEARCH("去",B2997)),ISNUMBER(SEARCH("入",B2997)))),"Ambiguous",IF(ISNUMBER(SEARCH("平",B2997)),"平","仄")))</x:f>
        <x:v>平</x:v>
      </x:c>
      <x:c r="K2997" s="6" t="str">
        <x:f>IF(D2997="","",IF(AND(ISNUMBER(SEARCH("平",D2997)),OR(ISNUMBER(SEARCH("上",D2997)),ISNUMBER(SEARCH("去",D2997)),ISNUMBER(SEARCH("入",D2997)))),"Ambiguous",IF(ISNUMBER(SEARCH("平",D2997)),"平","仄")))</x:f>
        <x:v>平</x:v>
      </x:c>
      <x:c r="L2997" s="7" t="str">
        <x:v>manual user correction</x:v>
      </x:c>
    </x:row>
    <x:row r="2998">
      <x:c r="A2998" s="5" t="str">
        <x:v>籥</x:v>
      </x:c>
      <x:c r="B2998" s="6" t="str">
        <x:v>入</x:v>
      </x:c>
      <x:c r="C2998" s="6" t="str">
        <x:f>IF(B2998="","Needs decision","Ready")</x:f>
        <x:v>Ready</x:v>
      </x:c>
      <x:c r="D2998" s="6" t="str">
        <x:v>入</x:v>
      </x:c>
      <x:c r="E2998" s="6" t="str">
        <x:v>yak (D)</x:v>
      </x:c>
      <x:c r="F2998" s="6" t="str">
        <x:v>入聲十藥</x:v>
      </x:c>
      <x:c r="G2998" s="6" t="str">
        <x:v>Pingshui main list, Wikisource-derived DOCX</x:v>
      </x:c>
      <x:c r="H2998" s="6" t="str">
        <x:v>1</x:v>
      </x:c>
      <x:c r="I2998" s="6" t="str"/>
      <x:c r="J2998" s="6" t="str">
        <x:f>IF(B2998="","",IF(AND(ISNUMBER(SEARCH("平",B2998)),OR(ISNUMBER(SEARCH("上",B2998)),ISNUMBER(SEARCH("去",B2998)),ISNUMBER(SEARCH("入",B2998)))),"Ambiguous",IF(ISNUMBER(SEARCH("平",B2998)),"平","仄")))</x:f>
        <x:v>仄</x:v>
      </x:c>
      <x:c r="K2998" s="6" t="str">
        <x:f>IF(D2998="","",IF(AND(ISNUMBER(SEARCH("平",D2998)),OR(ISNUMBER(SEARCH("上",D2998)),ISNUMBER(SEARCH("去",D2998)),ISNUMBER(SEARCH("入",D2998)))),"Ambiguous",IF(ISNUMBER(SEARCH("平",D2998)),"平","仄")))</x:f>
        <x:v>仄</x:v>
      </x:c>
      <x:c r="L2998" s="7" t="str"/>
    </x:row>
    <x:row r="2999">
      <x:c r="A2999" s="5" t="str">
        <x:v>籩</x:v>
      </x:c>
      <x:c r="B2999" s="6" t="str">
        <x:v>平</x:v>
      </x:c>
      <x:c r="C2999" s="6" t="str">
        <x:f>IF(B2999="","Needs decision","Ready")</x:f>
        <x:v>Ready</x:v>
      </x:c>
      <x:c r="D2999" s="6" t="str">
        <x:v>平</x:v>
      </x:c>
      <x:c r="E2999" s="6" t="str">
        <x:v>pjien (A)</x:v>
      </x:c>
      <x:c r="F2999" s="6" t="str">
        <x:v>下平聲一先</x:v>
      </x:c>
      <x:c r="G2999" s="6" t="str">
        <x:v>Pingshui main list, Wikisource-derived DOCX</x:v>
      </x:c>
      <x:c r="H2999" s="6" t="str">
        <x:v>1</x:v>
      </x:c>
      <x:c r="I2999" s="6" t="str"/>
      <x:c r="J2999" s="6" t="str">
        <x:f>IF(B2999="","",IF(AND(ISNUMBER(SEARCH("平",B2999)),OR(ISNUMBER(SEARCH("上",B2999)),ISNUMBER(SEARCH("去",B2999)),ISNUMBER(SEARCH("入",B2999)))),"Ambiguous",IF(ISNUMBER(SEARCH("平",B2999)),"平","仄")))</x:f>
        <x:v>平</x:v>
      </x:c>
      <x:c r="K2999" s="6" t="str">
        <x:f>IF(D2999="","",IF(AND(ISNUMBER(SEARCH("平",D2999)),OR(ISNUMBER(SEARCH("上",D2999)),ISNUMBER(SEARCH("去",D2999)),ISNUMBER(SEARCH("入",D2999)))),"Ambiguous",IF(ISNUMBER(SEARCH("平",D2999)),"平","仄")))</x:f>
        <x:v>平</x:v>
      </x:c>
      <x:c r="L2999" s="7" t="str"/>
    </x:row>
    <x:row r="3000">
      <x:c r="A3000" s="5" t="str">
        <x:v>籬</x:v>
      </x:c>
      <x:c r="B3000" s="6" t="str">
        <x:v>平</x:v>
      </x:c>
      <x:c r="C3000" s="6" t="str">
        <x:f>IF(B3000="","Needs decision","Ready")</x:f>
        <x:v>Ready</x:v>
      </x:c>
      <x:c r="D3000" s="6" t="str">
        <x:v>平</x:v>
      </x:c>
      <x:c r="E3000" s="6" t="str">
        <x:v>lje [lie] (平)</x:v>
      </x:c>
      <x:c r="F3000" s="6" t="str">
        <x:v>上平聲四支</x:v>
      </x:c>
      <x:c r="G3000" s="6" t="str">
        <x:v>Pingshui main list, Wikisource-derived DOCX</x:v>
      </x:c>
      <x:c r="H3000" s="6" t="str">
        <x:v>1</x:v>
      </x:c>
      <x:c r="I3000" s="6" t="str">
        <x:v>Tang 300 gap; frequency 2; provisional from Xun Gong</x:v>
      </x:c>
      <x:c r="J3000" s="6" t="str">
        <x:f>IF(B3000="","",IF(AND(ISNUMBER(SEARCH("平",B3000)),OR(ISNUMBER(SEARCH("上",B3000)),ISNUMBER(SEARCH("去",B3000)),ISNUMBER(SEARCH("入",B3000)))),"Ambiguous",IF(ISNUMBER(SEARCH("平",B3000)),"平","仄")))</x:f>
        <x:v>平</x:v>
      </x:c>
      <x:c r="K3000" s="6" t="str">
        <x:f>IF(D3000="","",IF(AND(ISNUMBER(SEARCH("平",D3000)),OR(ISNUMBER(SEARCH("上",D3000)),ISNUMBER(SEARCH("去",D3000)),ISNUMBER(SEARCH("入",D3000)))),"Ambiguous",IF(ISNUMBER(SEARCH("平",D3000)),"平","仄")))</x:f>
        <x:v>平</x:v>
      </x:c>
      <x:c r="L3000" s="7" t="str">
        <x:v>Xun Gong, Tang 300 gap fill</x:v>
      </x:c>
    </x:row>
    <x:row r="3001">
      <x:c r="A3001" s="5" t="str">
        <x:v>籮</x:v>
      </x:c>
      <x:c r="B3001" s="6" t="str">
        <x:v>平</x:v>
      </x:c>
      <x:c r="C3001" s="6" t="str">
        <x:f>IF(B3001="","Needs decision","Ready")</x:f>
        <x:v>Ready</x:v>
      </x:c>
      <x:c r="D3001" s="6" t="str">
        <x:v>平</x:v>
      </x:c>
      <x:c r="E3001" s="6" t="str">
        <x:v>la (A)</x:v>
      </x:c>
      <x:c r="F3001" s="6" t="str">
        <x:v>下平聲五歌</x:v>
      </x:c>
      <x:c r="G3001" s="6" t="str">
        <x:v>Pingshui main list, Wikisource-derived DOCX</x:v>
      </x:c>
      <x:c r="H3001" s="6" t="str">
        <x:v>1</x:v>
      </x:c>
      <x:c r="I3001" s="6" t="str"/>
      <x:c r="J3001" s="6" t="str">
        <x:f>IF(B3001="","",IF(AND(ISNUMBER(SEARCH("平",B3001)),OR(ISNUMBER(SEARCH("上",B3001)),ISNUMBER(SEARCH("去",B3001)),ISNUMBER(SEARCH("入",B3001)))),"Ambiguous",IF(ISNUMBER(SEARCH("平",B3001)),"平","仄")))</x:f>
        <x:v>平</x:v>
      </x:c>
      <x:c r="K3001" s="6" t="str">
        <x:f>IF(D3001="","",IF(AND(ISNUMBER(SEARCH("平",D3001)),OR(ISNUMBER(SEARCH("上",D3001)),ISNUMBER(SEARCH("去",D3001)),ISNUMBER(SEARCH("入",D3001)))),"Ambiguous",IF(ISNUMBER(SEARCH("平",D3001)),"平","仄")))</x:f>
        <x:v>平</x:v>
      </x:c>
      <x:c r="L3001" s="7" t="str"/>
    </x:row>
    <x:row r="3002">
      <x:c r="A3002" s="5" t="str">
        <x:v>米</x:v>
      </x:c>
      <x:c r="B3002" s="6" t="str">
        <x:v>上</x:v>
      </x:c>
      <x:c r="C3002" s="6" t="str">
        <x:f>IF(B3002="","Needs decision","Ready")</x:f>
        <x:v>Ready</x:v>
      </x:c>
      <x:c r="D3002" s="6" t="str">
        <x:v>上</x:v>
      </x:c>
      <x:c r="E3002" s="6" t="str">
        <x:v>mejX (B)</x:v>
      </x:c>
      <x:c r="F3002" s="6" t="str">
        <x:v>上聲八薺</x:v>
      </x:c>
      <x:c r="G3002" s="6" t="str">
        <x:v>Pingshui main list, Wikisource-derived DOCX</x:v>
      </x:c>
      <x:c r="H3002" s="6" t="str">
        <x:v>1</x:v>
      </x:c>
      <x:c r="I3002" s="6" t="str"/>
      <x:c r="J3002" s="6" t="str">
        <x:f>IF(B3002="","",IF(AND(ISNUMBER(SEARCH("平",B3002)),OR(ISNUMBER(SEARCH("上",B3002)),ISNUMBER(SEARCH("去",B3002)),ISNUMBER(SEARCH("入",B3002)))),"Ambiguous",IF(ISNUMBER(SEARCH("平",B3002)),"平","仄")))</x:f>
        <x:v>仄</x:v>
      </x:c>
      <x:c r="K3002" s="6" t="str">
        <x:f>IF(D3002="","",IF(AND(ISNUMBER(SEARCH("平",D3002)),OR(ISNUMBER(SEARCH("上",D3002)),ISNUMBER(SEARCH("去",D3002)),ISNUMBER(SEARCH("入",D3002)))),"Ambiguous",IF(ISNUMBER(SEARCH("平",D3002)),"平","仄")))</x:f>
        <x:v>仄</x:v>
      </x:c>
      <x:c r="L3002" s="7" t="str"/>
    </x:row>
    <x:row r="3003">
      <x:c r="A3003" s="5" t="str">
        <x:v>籹</x:v>
      </x:c>
      <x:c r="B3003" s="6" t="str">
        <x:v>上</x:v>
      </x:c>
      <x:c r="C3003" s="6" t="str">
        <x:f>IF(B3003="","Needs decision","Ready")</x:f>
        <x:v>Ready</x:v>
      </x:c>
      <x:c r="D3003" s="6" t="str">
        <x:v>上</x:v>
      </x:c>
      <x:c r="E3003" s="6" t="str">
        <x:v>nrjoX (B)</x:v>
      </x:c>
      <x:c r="F3003" s="6" t="str">
        <x:v>上聲六語</x:v>
      </x:c>
      <x:c r="G3003" s="6" t="str">
        <x:v>Pingshui main list, Wikisource-derived DOCX</x:v>
      </x:c>
      <x:c r="H3003" s="6" t="str">
        <x:v>1</x:v>
      </x:c>
      <x:c r="I3003" s="6" t="str"/>
      <x:c r="J3003" s="6" t="str">
        <x:f>IF(B3003="","",IF(AND(ISNUMBER(SEARCH("平",B3003)),OR(ISNUMBER(SEARCH("上",B3003)),ISNUMBER(SEARCH("去",B3003)),ISNUMBER(SEARCH("入",B3003)))),"Ambiguous",IF(ISNUMBER(SEARCH("平",B3003)),"平","仄")))</x:f>
        <x:v>仄</x:v>
      </x:c>
      <x:c r="K3003" s="6" t="str">
        <x:f>IF(D3003="","",IF(AND(ISNUMBER(SEARCH("平",D3003)),OR(ISNUMBER(SEARCH("上",D3003)),ISNUMBER(SEARCH("去",D3003)),ISNUMBER(SEARCH("入",D3003)))),"Ambiguous",IF(ISNUMBER(SEARCH("平",D3003)),"平","仄")))</x:f>
        <x:v>仄</x:v>
      </x:c>
      <x:c r="L3003" s="7" t="str"/>
    </x:row>
    <x:row r="3004">
      <x:c r="A3004" s="5" t="str">
        <x:v>粉</x:v>
      </x:c>
      <x:c r="B3004" s="6" t="str">
        <x:v>上</x:v>
      </x:c>
      <x:c r="C3004" s="6" t="str">
        <x:f>IF(B3004="","Needs decision","Ready")</x:f>
        <x:v>Ready</x:v>
      </x:c>
      <x:c r="D3004" s="6" t="str">
        <x:v>上</x:v>
      </x:c>
      <x:c r="E3004" s="6" t="str">
        <x:v>pjunX (B)</x:v>
      </x:c>
      <x:c r="F3004" s="6" t="str">
        <x:v>上聲十二吻</x:v>
      </x:c>
      <x:c r="G3004" s="6" t="str">
        <x:v>Pingshui main list, Wikisource-derived DOCX</x:v>
      </x:c>
      <x:c r="H3004" s="6" t="str">
        <x:v>1</x:v>
      </x:c>
      <x:c r="I3004" s="6" t="str"/>
      <x:c r="J3004" s="6" t="str">
        <x:f>IF(B3004="","",IF(AND(ISNUMBER(SEARCH("平",B3004)),OR(ISNUMBER(SEARCH("上",B3004)),ISNUMBER(SEARCH("去",B3004)),ISNUMBER(SEARCH("入",B3004)))),"Ambiguous",IF(ISNUMBER(SEARCH("平",B3004)),"平","仄")))</x:f>
        <x:v>仄</x:v>
      </x:c>
      <x:c r="K3004" s="6" t="str">
        <x:f>IF(D3004="","",IF(AND(ISNUMBER(SEARCH("平",D3004)),OR(ISNUMBER(SEARCH("上",D3004)),ISNUMBER(SEARCH("去",D3004)),ISNUMBER(SEARCH("入",D3004)))),"Ambiguous",IF(ISNUMBER(SEARCH("平",D3004)),"平","仄")))</x:f>
        <x:v>仄</x:v>
      </x:c>
      <x:c r="L3004" s="7" t="str"/>
    </x:row>
    <x:row r="3005">
      <x:c r="A3005" s="5" t="str">
        <x:v>粒</x:v>
      </x:c>
      <x:c r="B3005" s="6" t="str">
        <x:v>入</x:v>
      </x:c>
      <x:c r="C3005" s="6" t="str">
        <x:f>IF(B3005="","Needs decision","Ready")</x:f>
        <x:v>Ready</x:v>
      </x:c>
      <x:c r="D3005" s="6" t="str">
        <x:v>入</x:v>
      </x:c>
      <x:c r="E3005" s="6" t="str">
        <x:v>lip (D)</x:v>
      </x:c>
      <x:c r="F3005" s="6" t="str">
        <x:v>入聲十四緝</x:v>
      </x:c>
      <x:c r="G3005" s="6" t="str">
        <x:v>Pingshui main list, Wikisource-derived DOCX</x:v>
      </x:c>
      <x:c r="H3005" s="6" t="str">
        <x:v>1</x:v>
      </x:c>
      <x:c r="I3005" s="6" t="str"/>
      <x:c r="J3005" s="6" t="str">
        <x:f>IF(B3005="","",IF(AND(ISNUMBER(SEARCH("平",B3005)),OR(ISNUMBER(SEARCH("上",B3005)),ISNUMBER(SEARCH("去",B3005)),ISNUMBER(SEARCH("入",B3005)))),"Ambiguous",IF(ISNUMBER(SEARCH("平",B3005)),"平","仄")))</x:f>
        <x:v>仄</x:v>
      </x:c>
      <x:c r="K3005" s="6" t="str">
        <x:f>IF(D3005="","",IF(AND(ISNUMBER(SEARCH("平",D3005)),OR(ISNUMBER(SEARCH("上",D3005)),ISNUMBER(SEARCH("去",D3005)),ISNUMBER(SEARCH("入",D3005)))),"Ambiguous",IF(ISNUMBER(SEARCH("平",D3005)),"平","仄")))</x:f>
        <x:v>仄</x:v>
      </x:c>
      <x:c r="L3005" s="7" t="str"/>
    </x:row>
    <x:row r="3006">
      <x:c r="A3006" s="5" t="str">
        <x:v>粔</x:v>
      </x:c>
      <x:c r="B3006" s="6" t="str">
        <x:v>上</x:v>
      </x:c>
      <x:c r="C3006" s="6" t="str">
        <x:f>IF(B3006="","Needs decision","Ready")</x:f>
        <x:v>Ready</x:v>
      </x:c>
      <x:c r="D3006" s="6" t="str">
        <x:v>上</x:v>
      </x:c>
      <x:c r="E3006" s="6" t="str">
        <x:v>gjoX (B)</x:v>
      </x:c>
      <x:c r="F3006" s="6" t="str"/>
      <x:c r="G3006" s="6" t="str"/>
      <x:c r="H3006" s="6" t="str">
        <x:v>1</x:v>
      </x:c>
      <x:c r="I3006" s="6" t="str"/>
      <x:c r="J3006" s="6" t="str">
        <x:f>IF(B3006="","",IF(AND(ISNUMBER(SEARCH("平",B3006)),OR(ISNUMBER(SEARCH("上",B3006)),ISNUMBER(SEARCH("去",B3006)),ISNUMBER(SEARCH("入",B3006)))),"Ambiguous",IF(ISNUMBER(SEARCH("平",B3006)),"平","仄")))</x:f>
        <x:v>仄</x:v>
      </x:c>
      <x:c r="K3006" s="6" t="str">
        <x:f>IF(D3006="","",IF(AND(ISNUMBER(SEARCH("平",D3006)),OR(ISNUMBER(SEARCH("上",D3006)),ISNUMBER(SEARCH("去",D3006)),ISNUMBER(SEARCH("入",D3006)))),"Ambiguous",IF(ISNUMBER(SEARCH("平",D3006)),"平","仄")))</x:f>
        <x:v>仄</x:v>
      </x:c>
      <x:c r="L3006" s="7" t="str"/>
    </x:row>
    <x:row r="3007">
      <x:c r="A3007" s="5" t="str">
        <x:v>粗</x:v>
      </x:c>
      <x:c r="B3007" s="6" t="str">
        <x:v>平</x:v>
      </x:c>
      <x:c r="C3007" s="6" t="str">
        <x:f>IF(B3007="","Needs decision","Ready")</x:f>
        <x:v>Ready</x:v>
      </x:c>
      <x:c r="D3007" s="6" t="str">
        <x:v>平</x:v>
      </x:c>
      <x:c r="E3007" s="6" t="str">
        <x:v>tshu (A)</x:v>
      </x:c>
      <x:c r="F3007" s="6" t="str"/>
      <x:c r="G3007" s="6" t="str"/>
      <x:c r="H3007" s="6" t="str">
        <x:v>1</x:v>
      </x:c>
      <x:c r="I3007" s="6" t="str"/>
      <x:c r="J3007" s="6" t="str">
        <x:f>IF(B3007="","",IF(AND(ISNUMBER(SEARCH("平",B3007)),OR(ISNUMBER(SEARCH("上",B3007)),ISNUMBER(SEARCH("去",B3007)),ISNUMBER(SEARCH("入",B3007)))),"Ambiguous",IF(ISNUMBER(SEARCH("平",B3007)),"平","仄")))</x:f>
        <x:v>平</x:v>
      </x:c>
      <x:c r="K3007" s="6" t="str">
        <x:f>IF(D3007="","",IF(AND(ISNUMBER(SEARCH("平",D3007)),OR(ISNUMBER(SEARCH("上",D3007)),ISNUMBER(SEARCH("去",D3007)),ISNUMBER(SEARCH("入",D3007)))),"Ambiguous",IF(ISNUMBER(SEARCH("平",D3007)),"平","仄")))</x:f>
        <x:v>平</x:v>
      </x:c>
      <x:c r="L3007" s="7" t="str"/>
    </x:row>
    <x:row r="3008">
      <x:c r="A3008" s="5" t="str">
        <x:v>粟</x:v>
      </x:c>
      <x:c r="B3008" s="6" t="str">
        <x:v>入</x:v>
      </x:c>
      <x:c r="C3008" s="6" t="str">
        <x:f>IF(B3008="","Needs decision","Ready")</x:f>
        <x:v>Ready</x:v>
      </x:c>
      <x:c r="D3008" s="6" t="str">
        <x:v>入</x:v>
      </x:c>
      <x:c r="E3008" s="6" t="str">
        <x:v>sjowk (D)</x:v>
      </x:c>
      <x:c r="F3008" s="6" t="str">
        <x:v>入聲二沃</x:v>
      </x:c>
      <x:c r="G3008" s="6" t="str">
        <x:v>Pingshui main list, Wikisource-derived DOCX</x:v>
      </x:c>
      <x:c r="H3008" s="6" t="str">
        <x:v>1</x:v>
      </x:c>
      <x:c r="I3008" s="6" t="str"/>
      <x:c r="J3008" s="6" t="str">
        <x:f>IF(B3008="","",IF(AND(ISNUMBER(SEARCH("平",B3008)),OR(ISNUMBER(SEARCH("上",B3008)),ISNUMBER(SEARCH("去",B3008)),ISNUMBER(SEARCH("入",B3008)))),"Ambiguous",IF(ISNUMBER(SEARCH("平",B3008)),"平","仄")))</x:f>
        <x:v>仄</x:v>
      </x:c>
      <x:c r="K3008" s="6" t="str">
        <x:f>IF(D3008="","",IF(AND(ISNUMBER(SEARCH("平",D3008)),OR(ISNUMBER(SEARCH("上",D3008)),ISNUMBER(SEARCH("去",D3008)),ISNUMBER(SEARCH("入",D3008)))),"Ambiguous",IF(ISNUMBER(SEARCH("平",D3008)),"平","仄")))</x:f>
        <x:v>仄</x:v>
      </x:c>
      <x:c r="L3008" s="7" t="str"/>
    </x:row>
    <x:row r="3009">
      <x:c r="A3009" s="5" t="str">
        <x:v>粢</x:v>
      </x:c>
      <x:c r="B3009" s="6" t="str">
        <x:v>平</x:v>
      </x:c>
      <x:c r="C3009" s="6" t="str">
        <x:f>IF(B3009="","Needs decision","Ready")</x:f>
        <x:v>Ready</x:v>
      </x:c>
      <x:c r="D3009" s="6" t="str">
        <x:v>平</x:v>
      </x:c>
      <x:c r="E3009" s="6" t="str">
        <x:v>tsij (A)</x:v>
      </x:c>
      <x:c r="F3009" s="6" t="str">
        <x:v>上平聲四支</x:v>
      </x:c>
      <x:c r="G3009" s="6" t="str">
        <x:v>Pingshui main list, Wikisource-derived DOCX</x:v>
      </x:c>
      <x:c r="H3009" s="6" t="str">
        <x:v>1</x:v>
      </x:c>
      <x:c r="I3009" s="6" t="str"/>
      <x:c r="J3009" s="6" t="str">
        <x:f>IF(B3009="","",IF(AND(ISNUMBER(SEARCH("平",B3009)),OR(ISNUMBER(SEARCH("上",B3009)),ISNUMBER(SEARCH("去",B3009)),ISNUMBER(SEARCH("入",B3009)))),"Ambiguous",IF(ISNUMBER(SEARCH("平",B3009)),"平","仄")))</x:f>
        <x:v>平</x:v>
      </x:c>
      <x:c r="K3009" s="6" t="str">
        <x:f>IF(D3009="","",IF(AND(ISNUMBER(SEARCH("平",D3009)),OR(ISNUMBER(SEARCH("上",D3009)),ISNUMBER(SEARCH("去",D3009)),ISNUMBER(SEARCH("入",D3009)))),"Ambiguous",IF(ISNUMBER(SEARCH("平",D3009)),"平","仄")))</x:f>
        <x:v>平</x:v>
      </x:c>
      <x:c r="L3009" s="7" t="str"/>
    </x:row>
    <x:row r="3010">
      <x:c r="A3010" s="5" t="str">
        <x:v>粥</x:v>
      </x:c>
      <x:c r="B3010" s="6" t="str">
        <x:v>入</x:v>
      </x:c>
      <x:c r="C3010" s="6" t="str">
        <x:f>IF(B3010="","Needs decision","Ready")</x:f>
        <x:v>Ready</x:v>
      </x:c>
      <x:c r="D3010" s="6" t="str">
        <x:v>入</x:v>
      </x:c>
      <x:c r="E3010" s="6" t="str">
        <x:v>tsyuwk (D)</x:v>
      </x:c>
      <x:c r="F3010" s="6" t="str">
        <x:v>入聲一屋</x:v>
      </x:c>
      <x:c r="G3010" s="6" t="str">
        <x:v>Pingshui main list, Wikisource-derived DOCX</x:v>
      </x:c>
      <x:c r="H3010" s="6" t="str">
        <x:v>1</x:v>
      </x:c>
      <x:c r="I3010" s="6" t="str"/>
      <x:c r="J3010" s="6" t="str">
        <x:f>IF(B3010="","",IF(AND(ISNUMBER(SEARCH("平",B3010)),OR(ISNUMBER(SEARCH("上",B3010)),ISNUMBER(SEARCH("去",B3010)),ISNUMBER(SEARCH("入",B3010)))),"Ambiguous",IF(ISNUMBER(SEARCH("平",B3010)),"平","仄")))</x:f>
        <x:v>仄</x:v>
      </x:c>
      <x:c r="K3010" s="6" t="str">
        <x:f>IF(D3010="","",IF(AND(ISNUMBER(SEARCH("平",D3010)),OR(ISNUMBER(SEARCH("上",D3010)),ISNUMBER(SEARCH("去",D3010)),ISNUMBER(SEARCH("入",D3010)))),"Ambiguous",IF(ISNUMBER(SEARCH("平",D3010)),"平","仄")))</x:f>
        <x:v>仄</x:v>
      </x:c>
      <x:c r="L3010" s="7" t="str"/>
    </x:row>
    <x:row r="3011">
      <x:c r="A3011" s="5" t="str">
        <x:v>粦</x:v>
      </x:c>
      <x:c r="B3011" s="6" t="str">
        <x:v>平</x:v>
      </x:c>
      <x:c r="C3011" s="6" t="str">
        <x:f>IF(B3011="","Needs decision","Ready")</x:f>
        <x:v>Ready</x:v>
      </x:c>
      <x:c r="D3011" s="6" t="str">
        <x:v>平</x:v>
      </x:c>
      <x:c r="E3011" s="6" t="str">
        <x:v>lin (A)</x:v>
      </x:c>
      <x:c r="F3011" s="6" t="str"/>
      <x:c r="G3011" s="6" t="str"/>
      <x:c r="H3011" s="6" t="str">
        <x:v>1</x:v>
      </x:c>
      <x:c r="I3011" s="6" t="str"/>
      <x:c r="J3011" s="6" t="str">
        <x:f>IF(B3011="","",IF(AND(ISNUMBER(SEARCH("平",B3011)),OR(ISNUMBER(SEARCH("上",B3011)),ISNUMBER(SEARCH("去",B3011)),ISNUMBER(SEARCH("入",B3011)))),"Ambiguous",IF(ISNUMBER(SEARCH("平",B3011)),"平","仄")))</x:f>
        <x:v>平</x:v>
      </x:c>
      <x:c r="K3011" s="6" t="str">
        <x:f>IF(D3011="","",IF(AND(ISNUMBER(SEARCH("平",D3011)),OR(ISNUMBER(SEARCH("上",D3011)),ISNUMBER(SEARCH("去",D3011)),ISNUMBER(SEARCH("入",D3011)))),"Ambiguous",IF(ISNUMBER(SEARCH("平",D3011)),"平","仄")))</x:f>
        <x:v>平</x:v>
      </x:c>
      <x:c r="L3011" s="7" t="str"/>
    </x:row>
    <x:row r="3012">
      <x:c r="A3012" s="5" t="str">
        <x:v>粱</x:v>
      </x:c>
      <x:c r="B3012" s="6" t="str">
        <x:v>平</x:v>
      </x:c>
      <x:c r="C3012" s="6" t="str">
        <x:f>IF(B3012="","Needs decision","Ready")</x:f>
        <x:v>Ready</x:v>
      </x:c>
      <x:c r="D3012" s="6" t="str">
        <x:v>平</x:v>
      </x:c>
      <x:c r="E3012" s="6" t="str">
        <x:v>ljang (A)</x:v>
      </x:c>
      <x:c r="F3012" s="6" t="str">
        <x:v>下平聲七陽</x:v>
      </x:c>
      <x:c r="G3012" s="6" t="str">
        <x:v>Pingshui main list, Wikisource-derived DOCX</x:v>
      </x:c>
      <x:c r="H3012" s="6" t="str">
        <x:v>1</x:v>
      </x:c>
      <x:c r="I3012" s="6" t="str"/>
      <x:c r="J3012" s="6" t="str">
        <x:f>IF(B3012="","",IF(AND(ISNUMBER(SEARCH("平",B3012)),OR(ISNUMBER(SEARCH("上",B3012)),ISNUMBER(SEARCH("去",B3012)),ISNUMBER(SEARCH("入",B3012)))),"Ambiguous",IF(ISNUMBER(SEARCH("平",B3012)),"平","仄")))</x:f>
        <x:v>平</x:v>
      </x:c>
      <x:c r="K3012" s="6" t="str">
        <x:f>IF(D3012="","",IF(AND(ISNUMBER(SEARCH("平",D3012)),OR(ISNUMBER(SEARCH("上",D3012)),ISNUMBER(SEARCH("去",D3012)),ISNUMBER(SEARCH("入",D3012)))),"Ambiguous",IF(ISNUMBER(SEARCH("平",D3012)),"平","仄")))</x:f>
        <x:v>平</x:v>
      </x:c>
      <x:c r="L3012" s="7" t="str"/>
    </x:row>
    <x:row r="3013">
      <x:c r="A3013" s="5" t="str">
        <x:v>粲</x:v>
      </x:c>
      <x:c r="B3013" s="6" t="str">
        <x:v>去</x:v>
      </x:c>
      <x:c r="C3013" s="6" t="str">
        <x:f>IF(B3013="","Needs decision","Ready")</x:f>
        <x:v>Ready</x:v>
      </x:c>
      <x:c r="D3013" s="6" t="str">
        <x:v>去</x:v>
      </x:c>
      <x:c r="E3013" s="6" t="str">
        <x:v>tshanH (C)</x:v>
      </x:c>
      <x:c r="F3013" s="6" t="str">
        <x:v>去聲十五翰</x:v>
      </x:c>
      <x:c r="G3013" s="6" t="str">
        <x:v>Pingshui main list, Wikisource-derived DOCX</x:v>
      </x:c>
      <x:c r="H3013" s="6" t="str">
        <x:v>1</x:v>
      </x:c>
      <x:c r="I3013" s="6" t="str"/>
      <x:c r="J3013" s="6" t="str">
        <x:f>IF(B3013="","",IF(AND(ISNUMBER(SEARCH("平",B3013)),OR(ISNUMBER(SEARCH("上",B3013)),ISNUMBER(SEARCH("去",B3013)),ISNUMBER(SEARCH("入",B3013)))),"Ambiguous",IF(ISNUMBER(SEARCH("平",B3013)),"平","仄")))</x:f>
        <x:v>仄</x:v>
      </x:c>
      <x:c r="K3013" s="6" t="str">
        <x:f>IF(D3013="","",IF(AND(ISNUMBER(SEARCH("平",D3013)),OR(ISNUMBER(SEARCH("上",D3013)),ISNUMBER(SEARCH("去",D3013)),ISNUMBER(SEARCH("入",D3013)))),"Ambiguous",IF(ISNUMBER(SEARCH("平",D3013)),"平","仄")))</x:f>
        <x:v>仄</x:v>
      </x:c>
      <x:c r="L3013" s="7" t="str"/>
    </x:row>
    <x:row r="3014">
      <x:c r="A3014" s="5" t="str">
        <x:v>粵</x:v>
      </x:c>
      <x:c r="B3014" s="6" t="str">
        <x:v>入</x:v>
      </x:c>
      <x:c r="C3014" s="6" t="str">
        <x:f>IF(B3014="","Needs decision","Ready")</x:f>
        <x:v>Ready</x:v>
      </x:c>
      <x:c r="D3014" s="6" t="str">
        <x:v>入</x:v>
      </x:c>
      <x:c r="E3014" s="6" t="str">
        <x:v>hjwot (D)</x:v>
      </x:c>
      <x:c r="F3014" s="6" t="str">
        <x:v>入聲六月</x:v>
      </x:c>
      <x:c r="G3014" s="6" t="str">
        <x:v>Pingshui main list, Wikisource-derived DOCX</x:v>
      </x:c>
      <x:c r="H3014" s="6" t="str">
        <x:v>1</x:v>
      </x:c>
      <x:c r="I3014" s="6" t="str"/>
      <x:c r="J3014" s="6" t="str">
        <x:f>IF(B3014="","",IF(AND(ISNUMBER(SEARCH("平",B3014)),OR(ISNUMBER(SEARCH("上",B3014)),ISNUMBER(SEARCH("去",B3014)),ISNUMBER(SEARCH("入",B3014)))),"Ambiguous",IF(ISNUMBER(SEARCH("平",B3014)),"平","仄")))</x:f>
        <x:v>仄</x:v>
      </x:c>
      <x:c r="K3014" s="6" t="str">
        <x:f>IF(D3014="","",IF(AND(ISNUMBER(SEARCH("平",D3014)),OR(ISNUMBER(SEARCH("上",D3014)),ISNUMBER(SEARCH("去",D3014)),ISNUMBER(SEARCH("入",D3014)))),"Ambiguous",IF(ISNUMBER(SEARCH("平",D3014)),"平","仄")))</x:f>
        <x:v>仄</x:v>
      </x:c>
      <x:c r="L3014" s="7" t="str"/>
    </x:row>
    <x:row r="3015">
      <x:c r="A3015" s="5" t="str">
        <x:v>精</x:v>
      </x:c>
      <x:c r="B3015" s="6" t="str">
        <x:v>平</x:v>
      </x:c>
      <x:c r="C3015" s="6" t="str">
        <x:f>IF(B3015="","Needs decision","Ready")</x:f>
        <x:v>Ready</x:v>
      </x:c>
      <x:c r="D3015" s="6" t="str">
        <x:v>平</x:v>
      </x:c>
      <x:c r="E3015" s="6" t="str">
        <x:v>tsjeng (A)</x:v>
      </x:c>
      <x:c r="F3015" s="6" t="str">
        <x:v>下平聲八庚</x:v>
      </x:c>
      <x:c r="G3015" s="6" t="str">
        <x:v>Pingshui main list, Wikisource-derived DOCX</x:v>
      </x:c>
      <x:c r="H3015" s="6" t="str">
        <x:v>1</x:v>
      </x:c>
      <x:c r="I3015" s="6" t="str"/>
      <x:c r="J3015" s="6" t="str">
        <x:f>IF(B3015="","",IF(AND(ISNUMBER(SEARCH("平",B3015)),OR(ISNUMBER(SEARCH("上",B3015)),ISNUMBER(SEARCH("去",B3015)),ISNUMBER(SEARCH("入",B3015)))),"Ambiguous",IF(ISNUMBER(SEARCH("平",B3015)),"平","仄")))</x:f>
        <x:v>平</x:v>
      </x:c>
      <x:c r="K3015" s="6" t="str">
        <x:f>IF(D3015="","",IF(AND(ISNUMBER(SEARCH("平",D3015)),OR(ISNUMBER(SEARCH("上",D3015)),ISNUMBER(SEARCH("去",D3015)),ISNUMBER(SEARCH("入",D3015)))),"Ambiguous",IF(ISNUMBER(SEARCH("平",D3015)),"平","仄")))</x:f>
        <x:v>平</x:v>
      </x:c>
      <x:c r="L3015" s="7" t="str"/>
    </x:row>
    <x:row r="3016">
      <x:c r="A3016" s="5" t="str">
        <x:v>糊</x:v>
      </x:c>
      <x:c r="B3016" s="6" t="str">
        <x:v>平</x:v>
      </x:c>
      <x:c r="C3016" s="6" t="str">
        <x:f>IF(B3016="","Needs decision","Ready")</x:f>
        <x:v>Ready</x:v>
      </x:c>
      <x:c r="D3016" s="6" t="str">
        <x:v>平</x:v>
      </x:c>
      <x:c r="E3016" s="6" t="str">
        <x:v>hu (A)</x:v>
      </x:c>
      <x:c r="F3016" s="6" t="str">
        <x:v>上平聲七虞</x:v>
      </x:c>
      <x:c r="G3016" s="6" t="str">
        <x:v>Pingshui main list, Wikisource-derived DOCX</x:v>
      </x:c>
      <x:c r="H3016" s="6" t="str">
        <x:v>1</x:v>
      </x:c>
      <x:c r="I3016" s="6" t="str"/>
      <x:c r="J3016" s="6" t="str">
        <x:f>IF(B3016="","",IF(AND(ISNUMBER(SEARCH("平",B3016)),OR(ISNUMBER(SEARCH("上",B3016)),ISNUMBER(SEARCH("去",B3016)),ISNUMBER(SEARCH("入",B3016)))),"Ambiguous",IF(ISNUMBER(SEARCH("平",B3016)),"平","仄")))</x:f>
        <x:v>平</x:v>
      </x:c>
      <x:c r="K3016" s="6" t="str">
        <x:f>IF(D3016="","",IF(AND(ISNUMBER(SEARCH("平",D3016)),OR(ISNUMBER(SEARCH("上",D3016)),ISNUMBER(SEARCH("去",D3016)),ISNUMBER(SEARCH("入",D3016)))),"Ambiguous",IF(ISNUMBER(SEARCH("平",D3016)),"平","仄")))</x:f>
        <x:v>平</x:v>
      </x:c>
      <x:c r="L3016" s="7" t="str"/>
    </x:row>
    <x:row r="3017">
      <x:c r="A3017" s="5" t="str">
        <x:v>糖</x:v>
      </x:c>
      <x:c r="B3017" s="6" t="str">
        <x:v>平</x:v>
      </x:c>
      <x:c r="C3017" s="6" t="str">
        <x:f>IF(B3017="","Needs decision","Ready")</x:f>
        <x:v>Ready</x:v>
      </x:c>
      <x:c r="D3017" s="6" t="str">
        <x:v>平</x:v>
      </x:c>
      <x:c r="E3017" s="6" t="str">
        <x:v>dang (A)</x:v>
      </x:c>
      <x:c r="F3017" s="6" t="str"/>
      <x:c r="G3017" s="6" t="str"/>
      <x:c r="H3017" s="6" t="str">
        <x:v>1</x:v>
      </x:c>
      <x:c r="I3017" s="6" t="str"/>
      <x:c r="J3017" s="6" t="str">
        <x:f>IF(B3017="","",IF(AND(ISNUMBER(SEARCH("平",B3017)),OR(ISNUMBER(SEARCH("上",B3017)),ISNUMBER(SEARCH("去",B3017)),ISNUMBER(SEARCH("入",B3017)))),"Ambiguous",IF(ISNUMBER(SEARCH("平",B3017)),"平","仄")))</x:f>
        <x:v>平</x:v>
      </x:c>
      <x:c r="K3017" s="6" t="str">
        <x:f>IF(D3017="","",IF(AND(ISNUMBER(SEARCH("平",D3017)),OR(ISNUMBER(SEARCH("上",D3017)),ISNUMBER(SEARCH("去",D3017)),ISNUMBER(SEARCH("入",D3017)))),"Ambiguous",IF(ISNUMBER(SEARCH("平",D3017)),"平","仄")))</x:f>
        <x:v>平</x:v>
      </x:c>
      <x:c r="L3017" s="7" t="str"/>
    </x:row>
    <x:row r="3018">
      <x:c r="A3018" s="5" t="str">
        <x:v>糜</x:v>
      </x:c>
      <x:c r="B3018" s="6" t="str">
        <x:v>平</x:v>
      </x:c>
      <x:c r="C3018" s="6" t="str">
        <x:f>IF(B3018="","Needs decision","Ready")</x:f>
        <x:v>Ready</x:v>
      </x:c>
      <x:c r="D3018" s="6" t="str">
        <x:v>平</x:v>
      </x:c>
      <x:c r="E3018" s="6" t="str">
        <x:v>mje (A)</x:v>
      </x:c>
      <x:c r="F3018" s="6" t="str">
        <x:v>上平聲四支</x:v>
      </x:c>
      <x:c r="G3018" s="6" t="str">
        <x:v>Pingshui main list, Wikisource-derived DOCX</x:v>
      </x:c>
      <x:c r="H3018" s="6" t="str">
        <x:v>1</x:v>
      </x:c>
      <x:c r="I3018" s="6" t="str"/>
      <x:c r="J3018" s="6" t="str">
        <x:f>IF(B3018="","",IF(AND(ISNUMBER(SEARCH("平",B3018)),OR(ISNUMBER(SEARCH("上",B3018)),ISNUMBER(SEARCH("去",B3018)),ISNUMBER(SEARCH("入",B3018)))),"Ambiguous",IF(ISNUMBER(SEARCH("平",B3018)),"平","仄")))</x:f>
        <x:v>平</x:v>
      </x:c>
      <x:c r="K3018" s="6" t="str">
        <x:f>IF(D3018="","",IF(AND(ISNUMBER(SEARCH("平",D3018)),OR(ISNUMBER(SEARCH("上",D3018)),ISNUMBER(SEARCH("去",D3018)),ISNUMBER(SEARCH("入",D3018)))),"Ambiguous",IF(ISNUMBER(SEARCH("平",D3018)),"平","仄")))</x:f>
        <x:v>平</x:v>
      </x:c>
      <x:c r="L3018" s="7" t="str"/>
    </x:row>
    <x:row r="3019">
      <x:c r="A3019" s="5" t="str">
        <x:v>糞</x:v>
      </x:c>
      <x:c r="B3019" s="6" t="str">
        <x:v>去</x:v>
      </x:c>
      <x:c r="C3019" s="6" t="str">
        <x:f>IF(B3019="","Needs decision","Ready")</x:f>
        <x:v>Ready</x:v>
      </x:c>
      <x:c r="D3019" s="6" t="str">
        <x:v>去</x:v>
      </x:c>
      <x:c r="E3019" s="6" t="str">
        <x:v>pjunH (C)</x:v>
      </x:c>
      <x:c r="F3019" s="6" t="str">
        <x:v>去聲十三問</x:v>
      </x:c>
      <x:c r="G3019" s="6" t="str">
        <x:v>Pingshui main list, Wikisource-derived DOCX</x:v>
      </x:c>
      <x:c r="H3019" s="6" t="str">
        <x:v>1</x:v>
      </x:c>
      <x:c r="I3019" s="6" t="str"/>
      <x:c r="J3019" s="6" t="str">
        <x:f>IF(B3019="","",IF(AND(ISNUMBER(SEARCH("平",B3019)),OR(ISNUMBER(SEARCH("上",B3019)),ISNUMBER(SEARCH("去",B3019)),ISNUMBER(SEARCH("入",B3019)))),"Ambiguous",IF(ISNUMBER(SEARCH("平",B3019)),"平","仄")))</x:f>
        <x:v>仄</x:v>
      </x:c>
      <x:c r="K3019" s="6" t="str">
        <x:f>IF(D3019="","",IF(AND(ISNUMBER(SEARCH("平",D3019)),OR(ISNUMBER(SEARCH("上",D3019)),ISNUMBER(SEARCH("去",D3019)),ISNUMBER(SEARCH("入",D3019)))),"Ambiguous",IF(ISNUMBER(SEARCH("平",D3019)),"平","仄")))</x:f>
        <x:v>仄</x:v>
      </x:c>
      <x:c r="L3019" s="7" t="str"/>
    </x:row>
    <x:row r="3020">
      <x:c r="A3020" s="5" t="str">
        <x:v>糟</x:v>
      </x:c>
      <x:c r="B3020" s="6" t="str">
        <x:v>平</x:v>
      </x:c>
      <x:c r="C3020" s="6" t="str">
        <x:f>IF(B3020="","Needs decision","Ready")</x:f>
        <x:v>Ready</x:v>
      </x:c>
      <x:c r="D3020" s="6" t="str">
        <x:v>平</x:v>
      </x:c>
      <x:c r="E3020" s="6" t="str">
        <x:v>tsaw (A)</x:v>
      </x:c>
      <x:c r="F3020" s="6" t="str"/>
      <x:c r="G3020" s="6" t="str"/>
      <x:c r="H3020" s="6" t="str">
        <x:v>1</x:v>
      </x:c>
      <x:c r="I3020" s="6" t="str"/>
      <x:c r="J3020" s="6" t="str">
        <x:f>IF(B3020="","",IF(AND(ISNUMBER(SEARCH("平",B3020)),OR(ISNUMBER(SEARCH("上",B3020)),ISNUMBER(SEARCH("去",B3020)),ISNUMBER(SEARCH("入",B3020)))),"Ambiguous",IF(ISNUMBER(SEARCH("平",B3020)),"平","仄")))</x:f>
        <x:v>平</x:v>
      </x:c>
      <x:c r="K3020" s="6" t="str">
        <x:f>IF(D3020="","",IF(AND(ISNUMBER(SEARCH("平",D3020)),OR(ISNUMBER(SEARCH("上",D3020)),ISNUMBER(SEARCH("去",D3020)),ISNUMBER(SEARCH("入",D3020)))),"Ambiguous",IF(ISNUMBER(SEARCH("平",D3020)),"平","仄")))</x:f>
        <x:v>平</x:v>
      </x:c>
      <x:c r="L3020" s="7" t="str"/>
    </x:row>
    <x:row r="3021">
      <x:c r="A3021" s="5" t="str">
        <x:v>糧</x:v>
      </x:c>
      <x:c r="B3021" s="6" t="str">
        <x:v>平</x:v>
      </x:c>
      <x:c r="C3021" s="6" t="str">
        <x:f>IF(B3021="","Needs decision","Ready")</x:f>
        <x:v>Ready</x:v>
      </x:c>
      <x:c r="D3021" s="6" t="str">
        <x:v>平</x:v>
      </x:c>
      <x:c r="E3021" s="6" t="str">
        <x:v>ljang (A)</x:v>
      </x:c>
      <x:c r="F3021" s="6" t="str">
        <x:v>下平聲七陽</x:v>
      </x:c>
      <x:c r="G3021" s="6" t="str">
        <x:v>Pingshui main list, Wikisource-derived DOCX</x:v>
      </x:c>
      <x:c r="H3021" s="6" t="str">
        <x:v>1</x:v>
      </x:c>
      <x:c r="I3021" s="6" t="str"/>
      <x:c r="J3021" s="6" t="str">
        <x:f>IF(B3021="","",IF(AND(ISNUMBER(SEARCH("平",B3021)),OR(ISNUMBER(SEARCH("上",B3021)),ISNUMBER(SEARCH("去",B3021)),ISNUMBER(SEARCH("入",B3021)))),"Ambiguous",IF(ISNUMBER(SEARCH("平",B3021)),"平","仄")))</x:f>
        <x:v>平</x:v>
      </x:c>
      <x:c r="K3021" s="6" t="str">
        <x:f>IF(D3021="","",IF(AND(ISNUMBER(SEARCH("平",D3021)),OR(ISNUMBER(SEARCH("上",D3021)),ISNUMBER(SEARCH("去",D3021)),ISNUMBER(SEARCH("入",D3021)))),"Ambiguous",IF(ISNUMBER(SEARCH("平",D3021)),"平","仄")))</x:f>
        <x:v>平</x:v>
      </x:c>
      <x:c r="L3021" s="7" t="str"/>
    </x:row>
    <x:row r="3022">
      <x:c r="A3022" s="5" t="str">
        <x:v>糲</x:v>
      </x:c>
      <x:c r="B3022" s="6" t="str"/>
      <x:c r="C3022" s="6" t="str">
        <x:f>IF(B3022="","Needs decision","Ready")</x:f>
        <x:v>Needs decision</x:v>
      </x:c>
      <x:c r="D3022" s="6" t="str">
        <x:v>去/入</x:v>
      </x:c>
      <x:c r="E3022" s="6" t="str">
        <x:v>lajH (C); lat (D); ljejH (C)</x:v>
      </x:c>
      <x:c r="F3022" s="6" t="str">
        <x:v>去聲八霽; 去聲九泰; 入聲七曷</x:v>
      </x:c>
      <x:c r="G3022" s="6" t="str">
        <x:v>Pingshui main list, Wikisource-derived DOCX</x:v>
      </x:c>
      <x:c r="H3022" s="6" t="str">
        <x:v>3</x:v>
      </x:c>
      <x:c r="I3022" s="6" t="str"/>
      <x:c r="J3022" s="6" t="str">
        <x:f>IF(B3022="","",IF(AND(ISNUMBER(SEARCH("平",B3022)),OR(ISNUMBER(SEARCH("上",B3022)),ISNUMBER(SEARCH("去",B3022)),ISNUMBER(SEARCH("入",B3022)))),"Ambiguous",IF(ISNUMBER(SEARCH("平",B3022)),"平","仄")))</x:f>
      </x:c>
      <x:c r="K3022" s="6" t="str">
        <x:f>IF(D3022="","",IF(AND(ISNUMBER(SEARCH("平",D3022)),OR(ISNUMBER(SEARCH("上",D3022)),ISNUMBER(SEARCH("去",D3022)),ISNUMBER(SEARCH("入",D3022)))),"Ambiguous",IF(ISNUMBER(SEARCH("平",D3022)),"平","仄")))</x:f>
        <x:v>仄</x:v>
      </x:c>
      <x:c r="L3022" s="7" t="str"/>
    </x:row>
    <x:row r="3023">
      <x:c r="A3023" s="5" t="str">
        <x:v>糳</x:v>
      </x:c>
      <x:c r="B3023" s="6" t="str">
        <x:v>入</x:v>
      </x:c>
      <x:c r="C3023" s="6" t="str">
        <x:f>IF(B3023="","Needs decision","Ready")</x:f>
        <x:v>Ready</x:v>
      </x:c>
      <x:c r="D3023" s="6" t="str">
        <x:v>入</x:v>
      </x:c>
      <x:c r="E3023" s="6" t="str">
        <x:v>tsak (D)</x:v>
      </x:c>
      <x:c r="F3023" s="6" t="str"/>
      <x:c r="G3023" s="6" t="str"/>
      <x:c r="H3023" s="6" t="str">
        <x:v>1</x:v>
      </x:c>
      <x:c r="I3023" s="6" t="str"/>
      <x:c r="J3023" s="6" t="str">
        <x:f>IF(B3023="","",IF(AND(ISNUMBER(SEARCH("平",B3023)),OR(ISNUMBER(SEARCH("上",B3023)),ISNUMBER(SEARCH("去",B3023)),ISNUMBER(SEARCH("入",B3023)))),"Ambiguous",IF(ISNUMBER(SEARCH("平",B3023)),"平","仄")))</x:f>
        <x:v>仄</x:v>
      </x:c>
      <x:c r="K3023" s="6" t="str">
        <x:f>IF(D3023="","",IF(AND(ISNUMBER(SEARCH("平",D3023)),OR(ISNUMBER(SEARCH("上",D3023)),ISNUMBER(SEARCH("去",D3023)),ISNUMBER(SEARCH("入",D3023)))),"Ambiguous",IF(ISNUMBER(SEARCH("平",D3023)),"平","仄")))</x:f>
        <x:v>仄</x:v>
      </x:c>
      <x:c r="L3023" s="7" t="str"/>
    </x:row>
    <x:row r="3024">
      <x:c r="A3024" s="5" t="str">
        <x:v>糴</x:v>
      </x:c>
      <x:c r="B3024" s="6" t="str">
        <x:v>入</x:v>
      </x:c>
      <x:c r="C3024" s="6" t="str">
        <x:f>IF(B3024="","Needs decision","Ready")</x:f>
        <x:v>Ready</x:v>
      </x:c>
      <x:c r="D3024" s="6" t="str">
        <x:v>入</x:v>
      </x:c>
      <x:c r="E3024" s="6" t="str">
        <x:v>dek (D)</x:v>
      </x:c>
      <x:c r="F3024" s="6" t="str">
        <x:v>入聲十二錫</x:v>
      </x:c>
      <x:c r="G3024" s="6" t="str">
        <x:v>Pingshui main list, Wikisource-derived DOCX</x:v>
      </x:c>
      <x:c r="H3024" s="6" t="str">
        <x:v>1</x:v>
      </x:c>
      <x:c r="I3024" s="6" t="str"/>
      <x:c r="J3024" s="6" t="str">
        <x:f>IF(B3024="","",IF(AND(ISNUMBER(SEARCH("平",B3024)),OR(ISNUMBER(SEARCH("上",B3024)),ISNUMBER(SEARCH("去",B3024)),ISNUMBER(SEARCH("入",B3024)))),"Ambiguous",IF(ISNUMBER(SEARCH("平",B3024)),"平","仄")))</x:f>
        <x:v>仄</x:v>
      </x:c>
      <x:c r="K3024" s="6" t="str">
        <x:f>IF(D3024="","",IF(AND(ISNUMBER(SEARCH("平",D3024)),OR(ISNUMBER(SEARCH("上",D3024)),ISNUMBER(SEARCH("去",D3024)),ISNUMBER(SEARCH("入",D3024)))),"Ambiguous",IF(ISNUMBER(SEARCH("平",D3024)),"平","仄")))</x:f>
        <x:v>仄</x:v>
      </x:c>
      <x:c r="L3024" s="7" t="str"/>
    </x:row>
    <x:row r="3025">
      <x:c r="A3025" s="5" t="str">
        <x:v>系</x:v>
      </x:c>
      <x:c r="B3025" s="6" t="str">
        <x:v>去</x:v>
      </x:c>
      <x:c r="C3025" s="6" t="str">
        <x:f>IF(B3025="","Needs decision","Ready")</x:f>
        <x:v>Ready</x:v>
      </x:c>
      <x:c r="D3025" s="6" t="str">
        <x:v>去</x:v>
      </x:c>
      <x:c r="E3025" s="6" t="str">
        <x:v>hejH (C)</x:v>
      </x:c>
      <x:c r="F3025" s="6" t="str">
        <x:v>去聲八霽</x:v>
      </x:c>
      <x:c r="G3025" s="6" t="str">
        <x:v>Pingshui main list, Wikisource-derived DOCX</x:v>
      </x:c>
      <x:c r="H3025" s="6" t="str">
        <x:v>1</x:v>
      </x:c>
      <x:c r="I3025" s="6" t="str"/>
      <x:c r="J3025" s="6" t="str">
        <x:f>IF(B3025="","",IF(AND(ISNUMBER(SEARCH("平",B3025)),OR(ISNUMBER(SEARCH("上",B3025)),ISNUMBER(SEARCH("去",B3025)),ISNUMBER(SEARCH("入",B3025)))),"Ambiguous",IF(ISNUMBER(SEARCH("平",B3025)),"平","仄")))</x:f>
        <x:v>仄</x:v>
      </x:c>
      <x:c r="K3025" s="6" t="str">
        <x:f>IF(D3025="","",IF(AND(ISNUMBER(SEARCH("平",D3025)),OR(ISNUMBER(SEARCH("上",D3025)),ISNUMBER(SEARCH("去",D3025)),ISNUMBER(SEARCH("入",D3025)))),"Ambiguous",IF(ISNUMBER(SEARCH("平",D3025)),"平","仄")))</x:f>
        <x:v>仄</x:v>
      </x:c>
      <x:c r="L3025" s="7" t="str"/>
    </x:row>
    <x:row r="3026">
      <x:c r="A3026" s="5" t="str">
        <x:v>糾</x:v>
      </x:c>
      <x:c r="B3026" s="6" t="str">
        <x:v>上</x:v>
      </x:c>
      <x:c r="C3026" s="6" t="str">
        <x:f>IF(B3026="","Needs decision","Ready")</x:f>
        <x:v>Ready</x:v>
      </x:c>
      <x:c r="D3026" s="6" t="str">
        <x:v>上</x:v>
      </x:c>
      <x:c r="E3026" s="6" t="str">
        <x:v>kjiwX (B)</x:v>
      </x:c>
      <x:c r="F3026" s="6" t="str">
        <x:v>上聲二十五有</x:v>
      </x:c>
      <x:c r="G3026" s="6" t="str">
        <x:v>Pingshui main list, Wikisource-derived DOCX</x:v>
      </x:c>
      <x:c r="H3026" s="6" t="str">
        <x:v>1</x:v>
      </x:c>
      <x:c r="I3026" s="6" t="str"/>
      <x:c r="J3026" s="6" t="str">
        <x:f>IF(B3026="","",IF(AND(ISNUMBER(SEARCH("平",B3026)),OR(ISNUMBER(SEARCH("上",B3026)),ISNUMBER(SEARCH("去",B3026)),ISNUMBER(SEARCH("入",B3026)))),"Ambiguous",IF(ISNUMBER(SEARCH("平",B3026)),"平","仄")))</x:f>
        <x:v>仄</x:v>
      </x:c>
      <x:c r="K3026" s="6" t="str">
        <x:f>IF(D3026="","",IF(AND(ISNUMBER(SEARCH("平",D3026)),OR(ISNUMBER(SEARCH("上",D3026)),ISNUMBER(SEARCH("去",D3026)),ISNUMBER(SEARCH("入",D3026)))),"Ambiguous",IF(ISNUMBER(SEARCH("平",D3026)),"平","仄")))</x:f>
        <x:v>仄</x:v>
      </x:c>
      <x:c r="L3026" s="7" t="str"/>
    </x:row>
    <x:row r="3027">
      <x:c r="A3027" s="5" t="str">
        <x:v>紀</x:v>
      </x:c>
      <x:c r="B3027" s="6" t="str">
        <x:v>上</x:v>
      </x:c>
      <x:c r="C3027" s="6" t="str">
        <x:f>IF(B3027="","Needs decision","Ready")</x:f>
        <x:v>Ready</x:v>
      </x:c>
      <x:c r="D3027" s="6" t="str">
        <x:v>上</x:v>
      </x:c>
      <x:c r="E3027" s="6" t="str">
        <x:v>kiX (B)</x:v>
      </x:c>
      <x:c r="F3027" s="6" t="str">
        <x:v>上聲四紙</x:v>
      </x:c>
      <x:c r="G3027" s="6" t="str">
        <x:v>Pingshui main list, Wikisource-derived DOCX</x:v>
      </x:c>
      <x:c r="H3027" s="6" t="str">
        <x:v>1</x:v>
      </x:c>
      <x:c r="I3027" s="6" t="str"/>
      <x:c r="J3027" s="6" t="str">
        <x:f>IF(B3027="","",IF(AND(ISNUMBER(SEARCH("平",B3027)),OR(ISNUMBER(SEARCH("上",B3027)),ISNUMBER(SEARCH("去",B3027)),ISNUMBER(SEARCH("入",B3027)))),"Ambiguous",IF(ISNUMBER(SEARCH("平",B3027)),"平","仄")))</x:f>
        <x:v>仄</x:v>
      </x:c>
      <x:c r="K3027" s="6" t="str">
        <x:f>IF(D3027="","",IF(AND(ISNUMBER(SEARCH("平",D3027)),OR(ISNUMBER(SEARCH("上",D3027)),ISNUMBER(SEARCH("去",D3027)),ISNUMBER(SEARCH("入",D3027)))),"Ambiguous",IF(ISNUMBER(SEARCH("平",D3027)),"平","仄")))</x:f>
        <x:v>仄</x:v>
      </x:c>
      <x:c r="L3027" s="7" t="str"/>
    </x:row>
    <x:row r="3028">
      <x:c r="A3028" s="5" t="str">
        <x:v>紂</x:v>
      </x:c>
      <x:c r="B3028" s="6" t="str">
        <x:v>上</x:v>
      </x:c>
      <x:c r="C3028" s="6" t="str">
        <x:f>IF(B3028="","Needs decision","Ready")</x:f>
        <x:v>Ready</x:v>
      </x:c>
      <x:c r="D3028" s="6" t="str">
        <x:v>上</x:v>
      </x:c>
      <x:c r="E3028" s="6" t="str">
        <x:v>drjuwX (B)</x:v>
      </x:c>
      <x:c r="F3028" s="6" t="str">
        <x:v>上聲二十五有</x:v>
      </x:c>
      <x:c r="G3028" s="6" t="str">
        <x:v>Pingshui main list, Wikisource-derived DOCX</x:v>
      </x:c>
      <x:c r="H3028" s="6" t="str">
        <x:v>1</x:v>
      </x:c>
      <x:c r="I3028" s="6" t="str"/>
      <x:c r="J3028" s="6" t="str">
        <x:f>IF(B3028="","",IF(AND(ISNUMBER(SEARCH("平",B3028)),OR(ISNUMBER(SEARCH("上",B3028)),ISNUMBER(SEARCH("去",B3028)),ISNUMBER(SEARCH("入",B3028)))),"Ambiguous",IF(ISNUMBER(SEARCH("平",B3028)),"平","仄")))</x:f>
        <x:v>仄</x:v>
      </x:c>
      <x:c r="K3028" s="6" t="str">
        <x:f>IF(D3028="","",IF(AND(ISNUMBER(SEARCH("平",D3028)),OR(ISNUMBER(SEARCH("上",D3028)),ISNUMBER(SEARCH("去",D3028)),ISNUMBER(SEARCH("入",D3028)))),"Ambiguous",IF(ISNUMBER(SEARCH("平",D3028)),"平","仄")))</x:f>
        <x:v>仄</x:v>
      </x:c>
      <x:c r="L3028" s="7" t="str"/>
    </x:row>
    <x:row r="3029">
      <x:c r="A3029" s="5" t="str">
        <x:v>紃</x:v>
      </x:c>
      <x:c r="B3029" s="6" t="str">
        <x:v>平</x:v>
      </x:c>
      <x:c r="C3029" s="6" t="str">
        <x:f>IF(B3029="","Needs decision","Ready")</x:f>
        <x:v>Ready</x:v>
      </x:c>
      <x:c r="D3029" s="6" t="str">
        <x:v>平</x:v>
      </x:c>
      <x:c r="E3029" s="6" t="str">
        <x:v>zwin (A)</x:v>
      </x:c>
      <x:c r="F3029" s="6" t="str">
        <x:v>上平聲十一真</x:v>
      </x:c>
      <x:c r="G3029" s="6" t="str">
        <x:v>Pingshui main list, Wikisource-derived DOCX</x:v>
      </x:c>
      <x:c r="H3029" s="6" t="str">
        <x:v>1</x:v>
      </x:c>
      <x:c r="I3029" s="6" t="str"/>
      <x:c r="J3029" s="6" t="str">
        <x:f>IF(B3029="","",IF(AND(ISNUMBER(SEARCH("平",B3029)),OR(ISNUMBER(SEARCH("上",B3029)),ISNUMBER(SEARCH("去",B3029)),ISNUMBER(SEARCH("入",B3029)))),"Ambiguous",IF(ISNUMBER(SEARCH("平",B3029)),"平","仄")))</x:f>
        <x:v>平</x:v>
      </x:c>
      <x:c r="K3029" s="6" t="str">
        <x:f>IF(D3029="","",IF(AND(ISNUMBER(SEARCH("平",D3029)),OR(ISNUMBER(SEARCH("上",D3029)),ISNUMBER(SEARCH("去",D3029)),ISNUMBER(SEARCH("入",D3029)))),"Ambiguous",IF(ISNUMBER(SEARCH("平",D3029)),"平","仄")))</x:f>
        <x:v>平</x:v>
      </x:c>
      <x:c r="L3029" s="7" t="str"/>
    </x:row>
    <x:row r="3030">
      <x:c r="A3030" s="5" t="str">
        <x:v>約</x:v>
      </x:c>
      <x:c r="B3030" s="6" t="str">
        <x:v>入</x:v>
      </x:c>
      <x:c r="C3030" s="6" t="str">
        <x:f>IF(B3030="","Needs decision","Ready")</x:f>
        <x:v>Ready</x:v>
      </x:c>
      <x:c r="D3030" s="6" t="str">
        <x:v>去/入</x:v>
      </x:c>
      <x:c r="E3030" s="6" t="str">
        <x:v>'jiewH (C); 'jak (D)</x:v>
      </x:c>
      <x:c r="F3030" s="6" t="str">
        <x:v>去聲十八嘯; 入聲十藥</x:v>
      </x:c>
      <x:c r="G3030" s="6" t="str">
        <x:v>Pingshui main list, Wikisource-derived DOCX</x:v>
      </x:c>
      <x:c r="H3030" s="6" t="str">
        <x:v>2</x:v>
      </x:c>
      <x:c r="I3030" s="6" t="str">
        <x:v>User workbook edit 2026-09-03</x:v>
      </x:c>
      <x:c r="J3030" s="6" t="str">
        <x:f>IF(B3030="","",IF(AND(ISNUMBER(SEARCH("平",B3030)),OR(ISNUMBER(SEARCH("上",B3030)),ISNUMBER(SEARCH("去",B3030)),ISNUMBER(SEARCH("入",B3030)))),"Ambiguous",IF(ISNUMBER(SEARCH("平",B3030)),"平","仄")))</x:f>
        <x:v>仄</x:v>
      </x:c>
      <x:c r="K3030" s="6" t="str">
        <x:f>IF(D3030="","",IF(AND(ISNUMBER(SEARCH("平",D3030)),OR(ISNUMBER(SEARCH("上",D3030)),ISNUMBER(SEARCH("去",D3030)),ISNUMBER(SEARCH("入",D3030)))),"Ambiguous",IF(ISNUMBER(SEARCH("平",D3030)),"平","仄")))</x:f>
        <x:v>仄</x:v>
      </x:c>
      <x:c r="L3030" s="7" t="str">
        <x:v>manual user correction</x:v>
      </x:c>
    </x:row>
    <x:row r="3031">
      <x:c r="A3031" s="5" t="str">
        <x:v>紅</x:v>
      </x:c>
      <x:c r="B3031" s="6" t="str">
        <x:v>平</x:v>
      </x:c>
      <x:c r="C3031" s="6" t="str">
        <x:f>IF(B3031="","Needs decision","Ready")</x:f>
        <x:v>Ready</x:v>
      </x:c>
      <x:c r="D3031" s="6" t="str">
        <x:v>平</x:v>
      </x:c>
      <x:c r="E3031" s="6" t="str">
        <x:v>huwng (A)</x:v>
      </x:c>
      <x:c r="F3031" s="6" t="str">
        <x:v>上平聲一東</x:v>
      </x:c>
      <x:c r="G3031" s="6" t="str">
        <x:v>Pingshui main list, Wikisource-derived DOCX</x:v>
      </x:c>
      <x:c r="H3031" s="6" t="str">
        <x:v>1</x:v>
      </x:c>
      <x:c r="I3031" s="6" t="str"/>
      <x:c r="J3031" s="6" t="str">
        <x:f>IF(B3031="","",IF(AND(ISNUMBER(SEARCH("平",B3031)),OR(ISNUMBER(SEARCH("上",B3031)),ISNUMBER(SEARCH("去",B3031)),ISNUMBER(SEARCH("入",B3031)))),"Ambiguous",IF(ISNUMBER(SEARCH("平",B3031)),"平","仄")))</x:f>
        <x:v>平</x:v>
      </x:c>
      <x:c r="K3031" s="6" t="str">
        <x:f>IF(D3031="","",IF(AND(ISNUMBER(SEARCH("平",D3031)),OR(ISNUMBER(SEARCH("上",D3031)),ISNUMBER(SEARCH("去",D3031)),ISNUMBER(SEARCH("入",D3031)))),"Ambiguous",IF(ISNUMBER(SEARCH("平",D3031)),"平","仄")))</x:f>
        <x:v>平</x:v>
      </x:c>
      <x:c r="L3031" s="7" t="str"/>
    </x:row>
    <x:row r="3032">
      <x:c r="A3032" s="5" t="str">
        <x:v>紆</x:v>
      </x:c>
      <x:c r="B3032" s="6" t="str">
        <x:v>平</x:v>
      </x:c>
      <x:c r="C3032" s="6" t="str">
        <x:f>IF(B3032="","Needs decision","Ready")</x:f>
        <x:v>Ready</x:v>
      </x:c>
      <x:c r="D3032" s="6" t="str">
        <x:v>平</x:v>
      </x:c>
      <x:c r="E3032" s="6" t="str">
        <x:v>'ju (A)</x:v>
      </x:c>
      <x:c r="F3032" s="6" t="str">
        <x:v>上平聲七虞</x:v>
      </x:c>
      <x:c r="G3032" s="6" t="str">
        <x:v>Pingshui main list, Wikisource-derived DOCX</x:v>
      </x:c>
      <x:c r="H3032" s="6" t="str">
        <x:v>1</x:v>
      </x:c>
      <x:c r="I3032" s="6" t="str"/>
      <x:c r="J3032" s="6" t="str">
        <x:f>IF(B3032="","",IF(AND(ISNUMBER(SEARCH("平",B3032)),OR(ISNUMBER(SEARCH("上",B3032)),ISNUMBER(SEARCH("去",B3032)),ISNUMBER(SEARCH("入",B3032)))),"Ambiguous",IF(ISNUMBER(SEARCH("平",B3032)),"平","仄")))</x:f>
        <x:v>平</x:v>
      </x:c>
      <x:c r="K3032" s="6" t="str">
        <x:f>IF(D3032="","",IF(AND(ISNUMBER(SEARCH("平",D3032)),OR(ISNUMBER(SEARCH("上",D3032)),ISNUMBER(SEARCH("去",D3032)),ISNUMBER(SEARCH("入",D3032)))),"Ambiguous",IF(ISNUMBER(SEARCH("平",D3032)),"平","仄")))</x:f>
        <x:v>平</x:v>
      </x:c>
      <x:c r="L3032" s="7" t="str"/>
    </x:row>
    <x:row r="3033">
      <x:c r="A3033" s="5" t="str">
        <x:v>紈</x:v>
      </x:c>
      <x:c r="B3033" s="6" t="str">
        <x:v>平</x:v>
      </x:c>
      <x:c r="C3033" s="6" t="str">
        <x:f>IF(B3033="","Needs decision","Ready")</x:f>
        <x:v>Ready</x:v>
      </x:c>
      <x:c r="D3033" s="6" t="str">
        <x:v>平</x:v>
      </x:c>
      <x:c r="E3033" s="6" t="str">
        <x:v>hwan [ʁwɑn] (平)</x:v>
      </x:c>
      <x:c r="F3033" s="6" t="str">
        <x:v>上平聲十四寒</x:v>
      </x:c>
      <x:c r="G3033" s="6" t="str">
        <x:v>Pingshui main list, Wikisource-derived DOCX</x:v>
      </x:c>
      <x:c r="H3033" s="6" t="str">
        <x:v>1</x:v>
      </x:c>
      <x:c r="I3033" s="6" t="str">
        <x:v>Tang 300 gap; frequency 1; provisional from Xun Gong</x:v>
      </x:c>
      <x:c r="J3033" s="6" t="str">
        <x:f>IF(B3033="","",IF(AND(ISNUMBER(SEARCH("平",B3033)),OR(ISNUMBER(SEARCH("上",B3033)),ISNUMBER(SEARCH("去",B3033)),ISNUMBER(SEARCH("入",B3033)))),"Ambiguous",IF(ISNUMBER(SEARCH("平",B3033)),"平","仄")))</x:f>
        <x:v>平</x:v>
      </x:c>
      <x:c r="K3033" s="6" t="str">
        <x:f>IF(D3033="","",IF(AND(ISNUMBER(SEARCH("平",D3033)),OR(ISNUMBER(SEARCH("上",D3033)),ISNUMBER(SEARCH("去",D3033)),ISNUMBER(SEARCH("入",D3033)))),"Ambiguous",IF(ISNUMBER(SEARCH("平",D3033)),"平","仄")))</x:f>
        <x:v>平</x:v>
      </x:c>
      <x:c r="L3033" s="7" t="str">
        <x:v>Xun Gong, Tang 300 gap fill</x:v>
      </x:c>
    </x:row>
    <x:row r="3034">
      <x:c r="A3034" s="5" t="str">
        <x:v>紋</x:v>
      </x:c>
      <x:c r="B3034" s="6" t="str">
        <x:v>平</x:v>
      </x:c>
      <x:c r="C3034" s="6" t="str">
        <x:f>IF(B3034="","Needs decision","Ready")</x:f>
        <x:v>Ready</x:v>
      </x:c>
      <x:c r="D3034" s="6" t="str">
        <x:v>平</x:v>
      </x:c>
      <x:c r="E3034" s="6" t="str">
        <x:v>mjun [mɨ̯un] (平)</x:v>
      </x:c>
      <x:c r="F3034" s="6" t="str">
        <x:v>上平聲十二文</x:v>
      </x:c>
      <x:c r="G3034" s="6" t="str">
        <x:v>Pingshui main list, Wikisource-derived DOCX</x:v>
      </x:c>
      <x:c r="H3034" s="6" t="str">
        <x:v>1</x:v>
      </x:c>
      <x:c r="I3034" s="6" t="str">
        <x:v>Tang 300 gap; frequency 1; provisional from Xun Gong</x:v>
      </x:c>
      <x:c r="J3034" s="6" t="str">
        <x:f>IF(B3034="","",IF(AND(ISNUMBER(SEARCH("平",B3034)),OR(ISNUMBER(SEARCH("上",B3034)),ISNUMBER(SEARCH("去",B3034)),ISNUMBER(SEARCH("入",B3034)))),"Ambiguous",IF(ISNUMBER(SEARCH("平",B3034)),"平","仄")))</x:f>
        <x:v>平</x:v>
      </x:c>
      <x:c r="K3034" s="6" t="str">
        <x:f>IF(D3034="","",IF(AND(ISNUMBER(SEARCH("平",D3034)),OR(ISNUMBER(SEARCH("上",D3034)),ISNUMBER(SEARCH("去",D3034)),ISNUMBER(SEARCH("入",D3034)))),"Ambiguous",IF(ISNUMBER(SEARCH("平",D3034)),"平","仄")))</x:f>
        <x:v>平</x:v>
      </x:c>
      <x:c r="L3034" s="7" t="str">
        <x:v>Xun Gong, Tang 300 gap fill</x:v>
      </x:c>
    </x:row>
    <x:row r="3035">
      <x:c r="A3035" s="5" t="str">
        <x:v>納</x:v>
      </x:c>
      <x:c r="B3035" s="6" t="str">
        <x:v>入</x:v>
      </x:c>
      <x:c r="C3035" s="6" t="str">
        <x:f>IF(B3035="","Needs decision","Ready")</x:f>
        <x:v>Ready</x:v>
      </x:c>
      <x:c r="D3035" s="6" t="str">
        <x:v>入</x:v>
      </x:c>
      <x:c r="E3035" s="6" t="str">
        <x:v>nop (D)</x:v>
      </x:c>
      <x:c r="F3035" s="6" t="str">
        <x:v>入聲十五合</x:v>
      </x:c>
      <x:c r="G3035" s="6" t="str">
        <x:v>Pingshui main list, Wikisource-derived DOCX</x:v>
      </x:c>
      <x:c r="H3035" s="6" t="str">
        <x:v>1</x:v>
      </x:c>
      <x:c r="I3035" s="6" t="str"/>
      <x:c r="J3035" s="6" t="str">
        <x:f>IF(B3035="","",IF(AND(ISNUMBER(SEARCH("平",B3035)),OR(ISNUMBER(SEARCH("上",B3035)),ISNUMBER(SEARCH("去",B3035)),ISNUMBER(SEARCH("入",B3035)))),"Ambiguous",IF(ISNUMBER(SEARCH("平",B3035)),"平","仄")))</x:f>
        <x:v>仄</x:v>
      </x:c>
      <x:c r="K3035" s="6" t="str">
        <x:f>IF(D3035="","",IF(AND(ISNUMBER(SEARCH("平",D3035)),OR(ISNUMBER(SEARCH("上",D3035)),ISNUMBER(SEARCH("去",D3035)),ISNUMBER(SEARCH("入",D3035)))),"Ambiguous",IF(ISNUMBER(SEARCH("平",D3035)),"平","仄")))</x:f>
        <x:v>仄</x:v>
      </x:c>
      <x:c r="L3035" s="7" t="str"/>
    </x:row>
    <x:row r="3036">
      <x:c r="A3036" s="5" t="str">
        <x:v>紐</x:v>
      </x:c>
      <x:c r="B3036" s="6" t="str">
        <x:v>上</x:v>
      </x:c>
      <x:c r="C3036" s="6" t="str">
        <x:f>IF(B3036="","Needs decision","Ready")</x:f>
        <x:v>Ready</x:v>
      </x:c>
      <x:c r="D3036" s="6" t="str">
        <x:v>上</x:v>
      </x:c>
      <x:c r="E3036" s="6" t="str">
        <x:v>nrjuwX (B)</x:v>
      </x:c>
      <x:c r="F3036" s="6" t="str">
        <x:v>上聲二十五有</x:v>
      </x:c>
      <x:c r="G3036" s="6" t="str">
        <x:v>Pingshui main list, Wikisource-derived DOCX</x:v>
      </x:c>
      <x:c r="H3036" s="6" t="str">
        <x:v>1</x:v>
      </x:c>
      <x:c r="I3036" s="6" t="str"/>
      <x:c r="J3036" s="6" t="str">
        <x:f>IF(B3036="","",IF(AND(ISNUMBER(SEARCH("平",B3036)),OR(ISNUMBER(SEARCH("上",B3036)),ISNUMBER(SEARCH("去",B3036)),ISNUMBER(SEARCH("入",B3036)))),"Ambiguous",IF(ISNUMBER(SEARCH("平",B3036)),"平","仄")))</x:f>
        <x:v>仄</x:v>
      </x:c>
      <x:c r="K3036" s="6" t="str">
        <x:f>IF(D3036="","",IF(AND(ISNUMBER(SEARCH("平",D3036)),OR(ISNUMBER(SEARCH("上",D3036)),ISNUMBER(SEARCH("去",D3036)),ISNUMBER(SEARCH("入",D3036)))),"Ambiguous",IF(ISNUMBER(SEARCH("平",D3036)),"平","仄")))</x:f>
        <x:v>仄</x:v>
      </x:c>
      <x:c r="L3036" s="7" t="str"/>
    </x:row>
    <x:row r="3037">
      <x:c r="A3037" s="5" t="str">
        <x:v>紓</x:v>
      </x:c>
      <x:c r="B3037" s="6" t="str"/>
      <x:c r="C3037" s="6" t="str">
        <x:f>IF(B3037="","Needs decision","Ready")</x:f>
        <x:v>Needs decision</x:v>
      </x:c>
      <x:c r="D3037" s="6" t="str">
        <x:v>平/上</x:v>
      </x:c>
      <x:c r="E3037" s="6" t="str">
        <x:v>syo (A); zyoX (B)</x:v>
      </x:c>
      <x:c r="F3037" s="6" t="str">
        <x:v>上平聲六魚; 上聲六語</x:v>
      </x:c>
      <x:c r="G3037" s="6" t="str">
        <x:v>Pingshui main list, Wikisource-derived DOCX</x:v>
      </x:c>
      <x:c r="H3037" s="6" t="str">
        <x:v>2</x:v>
      </x:c>
      <x:c r="I3037" s="6" t="str"/>
      <x:c r="J3037" s="6" t="str">
        <x:f>IF(B3037="","",IF(AND(ISNUMBER(SEARCH("平",B3037)),OR(ISNUMBER(SEARCH("上",B3037)),ISNUMBER(SEARCH("去",B3037)),ISNUMBER(SEARCH("入",B3037)))),"Ambiguous",IF(ISNUMBER(SEARCH("平",B3037)),"平","仄")))</x:f>
      </x:c>
      <x:c r="K3037" s="6" t="str">
        <x:f>IF(D3037="","",IF(AND(ISNUMBER(SEARCH("平",D3037)),OR(ISNUMBER(SEARCH("上",D3037)),ISNUMBER(SEARCH("去",D3037)),ISNUMBER(SEARCH("入",D3037)))),"Ambiguous",IF(ISNUMBER(SEARCH("平",D3037)),"平","仄")))</x:f>
        <x:v>Ambiguous</x:v>
      </x:c>
      <x:c r="L3037" s="7" t="str"/>
    </x:row>
    <x:row r="3038">
      <x:c r="A3038" s="5" t="str">
        <x:v>純</x:v>
      </x:c>
      <x:c r="B3038" s="6" t="str">
        <x:v>平</x:v>
      </x:c>
      <x:c r="C3038" s="6" t="str">
        <x:f>IF(B3038="","Needs decision","Ready")</x:f>
        <x:v>Ready</x:v>
      </x:c>
      <x:c r="D3038" s="6" t="str">
        <x:v>平</x:v>
      </x:c>
      <x:c r="E3038" s="6" t="str">
        <x:v>dzywin (A)</x:v>
      </x:c>
      <x:c r="F3038" s="6" t="str">
        <x:v>上平聲十一真; 上平聲十三元; 下平聲一先; 上聲十一軫</x:v>
      </x:c>
      <x:c r="G3038" s="6" t="str">
        <x:v>Pingshui main list, Wikisource-derived DOCX</x:v>
      </x:c>
      <x:c r="H3038" s="6" t="str">
        <x:v>1</x:v>
      </x:c>
      <x:c r="I3038" s="6" t="str"/>
      <x:c r="J3038" s="6" t="str">
        <x:f>IF(B3038="","",IF(AND(ISNUMBER(SEARCH("平",B3038)),OR(ISNUMBER(SEARCH("上",B3038)),ISNUMBER(SEARCH("去",B3038)),ISNUMBER(SEARCH("入",B3038)))),"Ambiguous",IF(ISNUMBER(SEARCH("平",B3038)),"平","仄")))</x:f>
        <x:v>平</x:v>
      </x:c>
      <x:c r="K3038" s="6" t="str">
        <x:f>IF(D3038="","",IF(AND(ISNUMBER(SEARCH("平",D3038)),OR(ISNUMBER(SEARCH("上",D3038)),ISNUMBER(SEARCH("去",D3038)),ISNUMBER(SEARCH("入",D3038)))),"Ambiguous",IF(ISNUMBER(SEARCH("平",D3038)),"平","仄")))</x:f>
        <x:v>平</x:v>
      </x:c>
      <x:c r="L3038" s="7" t="str"/>
    </x:row>
    <x:row r="3039">
      <x:c r="A3039" s="5" t="str">
        <x:v>紗</x:v>
      </x:c>
      <x:c r="B3039" s="6" t="str">
        <x:v>平</x:v>
      </x:c>
      <x:c r="C3039" s="6" t="str">
        <x:f>IF(B3039="","Needs decision","Ready")</x:f>
        <x:v>Ready</x:v>
      </x:c>
      <x:c r="D3039" s="6" t="str">
        <x:v>平</x:v>
      </x:c>
      <x:c r="E3039" s="6" t="str">
        <x:v>srae [ʂaˤ] (平)</x:v>
      </x:c>
      <x:c r="F3039" s="6" t="str">
        <x:v>下平聲六麻</x:v>
      </x:c>
      <x:c r="G3039" s="6" t="str">
        <x:v>Pingshui main list, Wikisource-derived DOCX</x:v>
      </x:c>
      <x:c r="H3039" s="6" t="str">
        <x:v>1</x:v>
      </x:c>
      <x:c r="I3039" s="6" t="str">
        <x:v>Tang 300 gap; frequency 4; provisional from Xun Gong</x:v>
      </x:c>
      <x:c r="J3039" s="6" t="str">
        <x:f>IF(B3039="","",IF(AND(ISNUMBER(SEARCH("平",B3039)),OR(ISNUMBER(SEARCH("上",B3039)),ISNUMBER(SEARCH("去",B3039)),ISNUMBER(SEARCH("入",B3039)))),"Ambiguous",IF(ISNUMBER(SEARCH("平",B3039)),"平","仄")))</x:f>
        <x:v>平</x:v>
      </x:c>
      <x:c r="K3039" s="6" t="str">
        <x:f>IF(D3039="","",IF(AND(ISNUMBER(SEARCH("平",D3039)),OR(ISNUMBER(SEARCH("上",D3039)),ISNUMBER(SEARCH("去",D3039)),ISNUMBER(SEARCH("入",D3039)))),"Ambiguous",IF(ISNUMBER(SEARCH("平",D3039)),"平","仄")))</x:f>
        <x:v>平</x:v>
      </x:c>
      <x:c r="L3039" s="7" t="str">
        <x:v>Xun Gong, Tang 300 gap fill</x:v>
      </x:c>
    </x:row>
    <x:row r="3040">
      <x:c r="A3040" s="5" t="str">
        <x:v>紙</x:v>
      </x:c>
      <x:c r="B3040" s="6" t="str">
        <x:v>上</x:v>
      </x:c>
      <x:c r="C3040" s="6" t="str">
        <x:f>IF(B3040="","Needs decision","Ready")</x:f>
        <x:v>Ready</x:v>
      </x:c>
      <x:c r="D3040" s="6" t="str">
        <x:v>上</x:v>
      </x:c>
      <x:c r="E3040" s="6" t="str">
        <x:v>tsyeX (B)</x:v>
      </x:c>
      <x:c r="F3040" s="6" t="str">
        <x:v>上聲四紙</x:v>
      </x:c>
      <x:c r="G3040" s="6" t="str">
        <x:v>Pingshui main list, Wikisource-derived DOCX</x:v>
      </x:c>
      <x:c r="H3040" s="6" t="str">
        <x:v>1</x:v>
      </x:c>
      <x:c r="I3040" s="6" t="str"/>
      <x:c r="J3040" s="6" t="str">
        <x:f>IF(B3040="","",IF(AND(ISNUMBER(SEARCH("平",B3040)),OR(ISNUMBER(SEARCH("上",B3040)),ISNUMBER(SEARCH("去",B3040)),ISNUMBER(SEARCH("入",B3040)))),"Ambiguous",IF(ISNUMBER(SEARCH("平",B3040)),"平","仄")))</x:f>
        <x:v>仄</x:v>
      </x:c>
      <x:c r="K3040" s="6" t="str">
        <x:f>IF(D3040="","",IF(AND(ISNUMBER(SEARCH("平",D3040)),OR(ISNUMBER(SEARCH("上",D3040)),ISNUMBER(SEARCH("去",D3040)),ISNUMBER(SEARCH("入",D3040)))),"Ambiguous",IF(ISNUMBER(SEARCH("平",D3040)),"平","仄")))</x:f>
        <x:v>仄</x:v>
      </x:c>
      <x:c r="L3040" s="7" t="str"/>
    </x:row>
    <x:row r="3041">
      <x:c r="A3041" s="5" t="str">
        <x:v>級</x:v>
      </x:c>
      <x:c r="B3041" s="6" t="str">
        <x:v>入</x:v>
      </x:c>
      <x:c r="C3041" s="6" t="str">
        <x:f>IF(B3041="","Needs decision","Ready")</x:f>
        <x:v>Ready</x:v>
      </x:c>
      <x:c r="D3041" s="6" t="str">
        <x:v>入</x:v>
      </x:c>
      <x:c r="E3041" s="6" t="str">
        <x:v>kip (D)</x:v>
      </x:c>
      <x:c r="F3041" s="6" t="str">
        <x:v>入聲十四緝</x:v>
      </x:c>
      <x:c r="G3041" s="6" t="str">
        <x:v>Pingshui main list, Wikisource-derived DOCX</x:v>
      </x:c>
      <x:c r="H3041" s="6" t="str">
        <x:v>1</x:v>
      </x:c>
      <x:c r="I3041" s="6" t="str"/>
      <x:c r="J3041" s="6" t="str">
        <x:f>IF(B3041="","",IF(AND(ISNUMBER(SEARCH("平",B3041)),OR(ISNUMBER(SEARCH("上",B3041)),ISNUMBER(SEARCH("去",B3041)),ISNUMBER(SEARCH("入",B3041)))),"Ambiguous",IF(ISNUMBER(SEARCH("平",B3041)),"平","仄")))</x:f>
        <x:v>仄</x:v>
      </x:c>
      <x:c r="K3041" s="6" t="str">
        <x:f>IF(D3041="","",IF(AND(ISNUMBER(SEARCH("平",D3041)),OR(ISNUMBER(SEARCH("上",D3041)),ISNUMBER(SEARCH("去",D3041)),ISNUMBER(SEARCH("入",D3041)))),"Ambiguous",IF(ISNUMBER(SEARCH("平",D3041)),"平","仄")))</x:f>
        <x:v>仄</x:v>
      </x:c>
      <x:c r="L3041" s="7" t="str"/>
    </x:row>
    <x:row r="3042">
      <x:c r="A3042" s="5" t="str">
        <x:v>紛</x:v>
      </x:c>
      <x:c r="B3042" s="6" t="str">
        <x:v>平</x:v>
      </x:c>
      <x:c r="C3042" s="6" t="str">
        <x:f>IF(B3042="","Needs decision","Ready")</x:f>
        <x:v>Ready</x:v>
      </x:c>
      <x:c r="D3042" s="6" t="str">
        <x:v>平</x:v>
      </x:c>
      <x:c r="E3042" s="6" t="str">
        <x:v>phjun [滂三C文平] pʰɨ̯un</x:v>
      </x:c>
      <x:c r="F3042" s="6" t="str">
        <x:v>上平聲十二文</x:v>
      </x:c>
      <x:c r="G3042" s="6" t="str">
        <x:v>Pingshui main list, Wikisource-derived DOCX</x:v>
      </x:c>
      <x:c r="H3042" s="6" t="str">
        <x:v>1</x:v>
      </x:c>
      <x:c r="I3042" s="6" t="str">
        <x:v>Targeted preliminary fill from Xun Gong; review if uncertain</x:v>
      </x:c>
      <x:c r="J3042" s="6" t="str">
        <x:f>IF(B3042="","",IF(AND(ISNUMBER(SEARCH("平",B3042)),OR(ISNUMBER(SEARCH("上",B3042)),ISNUMBER(SEARCH("去",B3042)),ISNUMBER(SEARCH("入",B3042)))),"Ambiguous",IF(ISNUMBER(SEARCH("平",B3042)),"平","仄")))</x:f>
        <x:v>平</x:v>
      </x:c>
      <x:c r="K3042" s="6" t="str">
        <x:f>IF(D3042="","",IF(AND(ISNUMBER(SEARCH("平",D3042)),OR(ISNUMBER(SEARCH("上",D3042)),ISNUMBER(SEARCH("去",D3042)),ISNUMBER(SEARCH("入",D3042)))),"Ambiguous",IF(ISNUMBER(SEARCH("平",D3042)),"平","仄")))</x:f>
        <x:v>平</x:v>
      </x:c>
      <x:c r="L3042" s="7" t="str">
        <x:v>Xun Gong character-readings.csv</x:v>
      </x:c>
    </x:row>
    <x:row r="3043">
      <x:c r="A3043" s="5" t="str">
        <x:v>紝</x:v>
      </x:c>
      <x:c r="B3043" s="6" t="str">
        <x:v>平</x:v>
      </x:c>
      <x:c r="C3043" s="6" t="str">
        <x:f>IF(B3043="","Needs decision","Ready")</x:f>
        <x:v>Ready</x:v>
      </x:c>
      <x:c r="D3043" s="6" t="str">
        <x:v>平</x:v>
      </x:c>
      <x:c r="E3043" s="6" t="str">
        <x:v>nrim (A); nyim (A)</x:v>
      </x:c>
      <x:c r="F3043" s="6" t="str">
        <x:v>下平聲十二侵</x:v>
      </x:c>
      <x:c r="G3043" s="6" t="str">
        <x:v>Pingshui main list, Wikisource-derived DOCX</x:v>
      </x:c>
      <x:c r="H3043" s="6" t="str">
        <x:v>2</x:v>
      </x:c>
      <x:c r="I3043" s="6" t="str"/>
      <x:c r="J3043" s="6" t="str">
        <x:f>IF(B3043="","",IF(AND(ISNUMBER(SEARCH("平",B3043)),OR(ISNUMBER(SEARCH("上",B3043)),ISNUMBER(SEARCH("去",B3043)),ISNUMBER(SEARCH("入",B3043)))),"Ambiguous",IF(ISNUMBER(SEARCH("平",B3043)),"平","仄")))</x:f>
        <x:v>平</x:v>
      </x:c>
      <x:c r="K3043" s="6" t="str">
        <x:f>IF(D3043="","",IF(AND(ISNUMBER(SEARCH("平",D3043)),OR(ISNUMBER(SEARCH("上",D3043)),ISNUMBER(SEARCH("去",D3043)),ISNUMBER(SEARCH("入",D3043)))),"Ambiguous",IF(ISNUMBER(SEARCH("平",D3043)),"平","仄")))</x:f>
        <x:v>平</x:v>
      </x:c>
      <x:c r="L3043" s="7" t="str"/>
    </x:row>
    <x:row r="3044">
      <x:c r="A3044" s="5" t="str">
        <x:v>素</x:v>
      </x:c>
      <x:c r="B3044" s="6" t="str">
        <x:v>去</x:v>
      </x:c>
      <x:c r="C3044" s="6" t="str">
        <x:f>IF(B3044="","Needs decision","Ready")</x:f>
        <x:v>Ready</x:v>
      </x:c>
      <x:c r="D3044" s="6" t="str">
        <x:v>去</x:v>
      </x:c>
      <x:c r="E3044" s="6" t="str">
        <x:v>suH (C)</x:v>
      </x:c>
      <x:c r="F3044" s="6" t="str">
        <x:v>去聲七遇</x:v>
      </x:c>
      <x:c r="G3044" s="6" t="str">
        <x:v>Pingshui main list, Wikisource-derived DOCX</x:v>
      </x:c>
      <x:c r="H3044" s="6" t="str">
        <x:v>1</x:v>
      </x:c>
      <x:c r="I3044" s="6" t="str"/>
      <x:c r="J3044" s="6" t="str">
        <x:f>IF(B3044="","",IF(AND(ISNUMBER(SEARCH("平",B3044)),OR(ISNUMBER(SEARCH("上",B3044)),ISNUMBER(SEARCH("去",B3044)),ISNUMBER(SEARCH("入",B3044)))),"Ambiguous",IF(ISNUMBER(SEARCH("平",B3044)),"平","仄")))</x:f>
        <x:v>仄</x:v>
      </x:c>
      <x:c r="K3044" s="6" t="str">
        <x:f>IF(D3044="","",IF(AND(ISNUMBER(SEARCH("平",D3044)),OR(ISNUMBER(SEARCH("上",D3044)),ISNUMBER(SEARCH("去",D3044)),ISNUMBER(SEARCH("入",D3044)))),"Ambiguous",IF(ISNUMBER(SEARCH("平",D3044)),"平","仄")))</x:f>
        <x:v>仄</x:v>
      </x:c>
      <x:c r="L3044" s="7" t="str"/>
    </x:row>
    <x:row r="3045">
      <x:c r="A3045" s="5" t="str">
        <x:v>紡</x:v>
      </x:c>
      <x:c r="B3045" s="6" t="str">
        <x:v>上</x:v>
      </x:c>
      <x:c r="C3045" s="6" t="str">
        <x:f>IF(B3045="","Needs decision","Ready")</x:f>
        <x:v>Ready</x:v>
      </x:c>
      <x:c r="D3045" s="6" t="str">
        <x:v>上</x:v>
      </x:c>
      <x:c r="E3045" s="6" t="str">
        <x:v>phjangX (B)</x:v>
      </x:c>
      <x:c r="F3045" s="6" t="str">
        <x:v>上聲二十二養</x:v>
      </x:c>
      <x:c r="G3045" s="6" t="str">
        <x:v>Pingshui main list, Wikisource-derived DOCX</x:v>
      </x:c>
      <x:c r="H3045" s="6" t="str">
        <x:v>1</x:v>
      </x:c>
      <x:c r="I3045" s="6" t="str"/>
      <x:c r="J3045" s="6" t="str">
        <x:f>IF(B3045="","",IF(AND(ISNUMBER(SEARCH("平",B3045)),OR(ISNUMBER(SEARCH("上",B3045)),ISNUMBER(SEARCH("去",B3045)),ISNUMBER(SEARCH("入",B3045)))),"Ambiguous",IF(ISNUMBER(SEARCH("平",B3045)),"平","仄")))</x:f>
        <x:v>仄</x:v>
      </x:c>
      <x:c r="K3045" s="6" t="str">
        <x:f>IF(D3045="","",IF(AND(ISNUMBER(SEARCH("平",D3045)),OR(ISNUMBER(SEARCH("上",D3045)),ISNUMBER(SEARCH("去",D3045)),ISNUMBER(SEARCH("入",D3045)))),"Ambiguous",IF(ISNUMBER(SEARCH("平",D3045)),"平","仄")))</x:f>
        <x:v>仄</x:v>
      </x:c>
      <x:c r="L3045" s="7" t="str"/>
    </x:row>
    <x:row r="3046">
      <x:c r="A3046" s="5" t="str">
        <x:v>索</x:v>
      </x:c>
      <x:c r="B3046" s="6" t="str">
        <x:v>入</x:v>
      </x:c>
      <x:c r="C3046" s="6" t="str">
        <x:f>IF(B3046="","Needs decision","Ready")</x:f>
        <x:v>Ready</x:v>
      </x:c>
      <x:c r="D3046" s="6" t="str">
        <x:v>入</x:v>
      </x:c>
      <x:c r="E3046" s="6" t="str">
        <x:v>sak (D)</x:v>
      </x:c>
      <x:c r="F3046" s="6" t="str">
        <x:v>入聲十藥; 入聲十一陌</x:v>
      </x:c>
      <x:c r="G3046" s="6" t="str">
        <x:v>Pingshui main list, Wikisource-derived DOCX</x:v>
      </x:c>
      <x:c r="H3046" s="6" t="str">
        <x:v>1</x:v>
      </x:c>
      <x:c r="I3046" s="6" t="str"/>
      <x:c r="J3046" s="6" t="str">
        <x:f>IF(B3046="","",IF(AND(ISNUMBER(SEARCH("平",B3046)),OR(ISNUMBER(SEARCH("上",B3046)),ISNUMBER(SEARCH("去",B3046)),ISNUMBER(SEARCH("入",B3046)))),"Ambiguous",IF(ISNUMBER(SEARCH("平",B3046)),"平","仄")))</x:f>
        <x:v>仄</x:v>
      </x:c>
      <x:c r="K3046" s="6" t="str">
        <x:f>IF(D3046="","",IF(AND(ISNUMBER(SEARCH("平",D3046)),OR(ISNUMBER(SEARCH("上",D3046)),ISNUMBER(SEARCH("去",D3046)),ISNUMBER(SEARCH("入",D3046)))),"Ambiguous",IF(ISNUMBER(SEARCH("平",D3046)),"平","仄")))</x:f>
        <x:v>仄</x:v>
      </x:c>
      <x:c r="L3046" s="7" t="str"/>
    </x:row>
    <x:row r="3047">
      <x:c r="A3047" s="5" t="str">
        <x:v>紫</x:v>
      </x:c>
      <x:c r="B3047" s="6" t="str">
        <x:v>上</x:v>
      </x:c>
      <x:c r="C3047" s="6" t="str">
        <x:f>IF(B3047="","Needs decision","Ready")</x:f>
        <x:v>Ready</x:v>
      </x:c>
      <x:c r="D3047" s="6" t="str">
        <x:v>上</x:v>
      </x:c>
      <x:c r="E3047" s="6" t="str"/>
      <x:c r="F3047" s="6" t="str">
        <x:v>上聲四紙</x:v>
      </x:c>
      <x:c r="G3047" s="6" t="str">
        <x:v>Pingshui main list, Wikisource-derived DOCX</x:v>
      </x:c>
      <x:c r="H3047" s="6" t="str"/>
      <x:c r="I3047" s="6" t="str">
        <x:v>Manual user correction/addition</x:v>
      </x:c>
      <x:c r="J3047" s="6" t="str">
        <x:f>IF(B3047="","",IF(AND(ISNUMBER(SEARCH("平",B3047)),OR(ISNUMBER(SEARCH("上",B3047)),ISNUMBER(SEARCH("去",B3047)),ISNUMBER(SEARCH("入",B3047)))),"Ambiguous",IF(ISNUMBER(SEARCH("平",B3047)),"平","仄")))</x:f>
        <x:v>仄</x:v>
      </x:c>
      <x:c r="K3047" s="6" t="str">
        <x:f>IF(D3047="","",IF(AND(ISNUMBER(SEARCH("平",D3047)),OR(ISNUMBER(SEARCH("上",D3047)),ISNUMBER(SEARCH("去",D3047)),ISNUMBER(SEARCH("入",D3047)))),"Ambiguous",IF(ISNUMBER(SEARCH("平",D3047)),"平","仄")))</x:f>
        <x:v>仄</x:v>
      </x:c>
      <x:c r="L3047" s="7" t="str">
        <x:v>manual user correction</x:v>
      </x:c>
    </x:row>
    <x:row r="3048">
      <x:c r="A3048" s="5" t="str">
        <x:v>累</x:v>
      </x:c>
      <x:c r="B3048" s="6" t="str">
        <x:v>上</x:v>
      </x:c>
      <x:c r="C3048" s="6" t="str">
        <x:f>IF(B3048="","Needs decision","Ready")</x:f>
        <x:v>Ready</x:v>
      </x:c>
      <x:c r="D3048" s="6" t="str">
        <x:v>平/上</x:v>
      </x:c>
      <x:c r="E3048" s="6" t="str">
        <x:v>ljwe (A); ljweX (B)</x:v>
      </x:c>
      <x:c r="F3048" s="6" t="str">
        <x:v>去聲四寘</x:v>
      </x:c>
      <x:c r="G3048" s="6" t="str">
        <x:v>Pingshui main list, Wikisource-derived DOCX</x:v>
      </x:c>
      <x:c r="H3048" s="6" t="str">
        <x:v>2</x:v>
      </x:c>
      <x:c r="I3048" s="6" t="str"/>
      <x:c r="J3048" s="6" t="str">
        <x:f>IF(B3048="","",IF(AND(ISNUMBER(SEARCH("平",B3048)),OR(ISNUMBER(SEARCH("上",B3048)),ISNUMBER(SEARCH("去",B3048)),ISNUMBER(SEARCH("入",B3048)))),"Ambiguous",IF(ISNUMBER(SEARCH("平",B3048)),"平","仄")))</x:f>
        <x:v>仄</x:v>
      </x:c>
      <x:c r="K3048" s="6" t="str">
        <x:f>IF(D3048="","",IF(AND(ISNUMBER(SEARCH("平",D3048)),OR(ISNUMBER(SEARCH("上",D3048)),ISNUMBER(SEARCH("去",D3048)),ISNUMBER(SEARCH("入",D3048)))),"Ambiguous",IF(ISNUMBER(SEARCH("平",D3048)),"平","仄")))</x:f>
        <x:v>Ambiguous</x:v>
      </x:c>
      <x:c r="L3048" s="7" t="str"/>
    </x:row>
    <x:row r="3049">
      <x:c r="A3049" s="5" t="str">
        <x:v>細</x:v>
      </x:c>
      <x:c r="B3049" s="6" t="str">
        <x:v>去</x:v>
      </x:c>
      <x:c r="C3049" s="6" t="str">
        <x:f>IF(B3049="","Needs decision","Ready")</x:f>
        <x:v>Ready</x:v>
      </x:c>
      <x:c r="D3049" s="6" t="str">
        <x:v>去</x:v>
      </x:c>
      <x:c r="E3049" s="6" t="str">
        <x:v>sejH (C)</x:v>
      </x:c>
      <x:c r="F3049" s="6" t="str">
        <x:v>去聲八霽</x:v>
      </x:c>
      <x:c r="G3049" s="6" t="str">
        <x:v>Pingshui main list, Wikisource-derived DOCX</x:v>
      </x:c>
      <x:c r="H3049" s="6" t="str">
        <x:v>1</x:v>
      </x:c>
      <x:c r="I3049" s="6" t="str"/>
      <x:c r="J3049" s="6" t="str">
        <x:f>IF(B3049="","",IF(AND(ISNUMBER(SEARCH("平",B3049)),OR(ISNUMBER(SEARCH("上",B3049)),ISNUMBER(SEARCH("去",B3049)),ISNUMBER(SEARCH("入",B3049)))),"Ambiguous",IF(ISNUMBER(SEARCH("平",B3049)),"平","仄")))</x:f>
        <x:v>仄</x:v>
      </x:c>
      <x:c r="K3049" s="6" t="str">
        <x:f>IF(D3049="","",IF(AND(ISNUMBER(SEARCH("平",D3049)),OR(ISNUMBER(SEARCH("上",D3049)),ISNUMBER(SEARCH("去",D3049)),ISNUMBER(SEARCH("入",D3049)))),"Ambiguous",IF(ISNUMBER(SEARCH("平",D3049)),"平","仄")))</x:f>
        <x:v>仄</x:v>
      </x:c>
      <x:c r="L3049" s="7" t="str"/>
    </x:row>
    <x:row r="3050">
      <x:c r="A3050" s="5" t="str">
        <x:v>紱</x:v>
      </x:c>
      <x:c r="B3050" s="6" t="str">
        <x:v>入</x:v>
      </x:c>
      <x:c r="C3050" s="6" t="str">
        <x:f>IF(B3050="","Needs decision","Ready")</x:f>
        <x:v>Ready</x:v>
      </x:c>
      <x:c r="D3050" s="6" t="str">
        <x:v>入</x:v>
      </x:c>
      <x:c r="E3050" s="6" t="str">
        <x:v>pjut (D)</x:v>
      </x:c>
      <x:c r="F3050" s="6" t="str">
        <x:v>入聲五物</x:v>
      </x:c>
      <x:c r="G3050" s="6" t="str">
        <x:v>Pingshui main list, Wikisource-derived DOCX</x:v>
      </x:c>
      <x:c r="H3050" s="6" t="str">
        <x:v>1</x:v>
      </x:c>
      <x:c r="I3050" s="6" t="str"/>
      <x:c r="J3050" s="6" t="str">
        <x:f>IF(B3050="","",IF(AND(ISNUMBER(SEARCH("平",B3050)),OR(ISNUMBER(SEARCH("上",B3050)),ISNUMBER(SEARCH("去",B3050)),ISNUMBER(SEARCH("入",B3050)))),"Ambiguous",IF(ISNUMBER(SEARCH("平",B3050)),"平","仄")))</x:f>
        <x:v>仄</x:v>
      </x:c>
      <x:c r="K3050" s="6" t="str">
        <x:f>IF(D3050="","",IF(AND(ISNUMBER(SEARCH("平",D3050)),OR(ISNUMBER(SEARCH("上",D3050)),ISNUMBER(SEARCH("去",D3050)),ISNUMBER(SEARCH("入",D3050)))),"Ambiguous",IF(ISNUMBER(SEARCH("平",D3050)),"平","仄")))</x:f>
        <x:v>仄</x:v>
      </x:c>
      <x:c r="L3050" s="7" t="str"/>
    </x:row>
    <x:row r="3051">
      <x:c r="A3051" s="5" t="str">
        <x:v>紳</x:v>
      </x:c>
      <x:c r="B3051" s="6" t="str">
        <x:v>平</x:v>
      </x:c>
      <x:c r="C3051" s="6" t="str">
        <x:f>IF(B3051="","Needs decision","Ready")</x:f>
        <x:v>Ready</x:v>
      </x:c>
      <x:c r="D3051" s="6" t="str">
        <x:v>平</x:v>
      </x:c>
      <x:c r="E3051" s="6" t="str">
        <x:v>syin (A)</x:v>
      </x:c>
      <x:c r="F3051" s="6" t="str">
        <x:v>上平聲十一真</x:v>
      </x:c>
      <x:c r="G3051" s="6" t="str">
        <x:v>Pingshui main list, Wikisource-derived DOCX</x:v>
      </x:c>
      <x:c r="H3051" s="6" t="str">
        <x:v>1</x:v>
      </x:c>
      <x:c r="I3051" s="6" t="str"/>
      <x:c r="J3051" s="6" t="str">
        <x:f>IF(B3051="","",IF(AND(ISNUMBER(SEARCH("平",B3051)),OR(ISNUMBER(SEARCH("上",B3051)),ISNUMBER(SEARCH("去",B3051)),ISNUMBER(SEARCH("入",B3051)))),"Ambiguous",IF(ISNUMBER(SEARCH("平",B3051)),"平","仄")))</x:f>
        <x:v>平</x:v>
      </x:c>
      <x:c r="K3051" s="6" t="str">
        <x:f>IF(D3051="","",IF(AND(ISNUMBER(SEARCH("平",D3051)),OR(ISNUMBER(SEARCH("上",D3051)),ISNUMBER(SEARCH("去",D3051)),ISNUMBER(SEARCH("入",D3051)))),"Ambiguous",IF(ISNUMBER(SEARCH("平",D3051)),"平","仄")))</x:f>
        <x:v>平</x:v>
      </x:c>
      <x:c r="L3051" s="7" t="str"/>
    </x:row>
    <x:row r="3052">
      <x:c r="A3052" s="5" t="str">
        <x:v>紵</x:v>
      </x:c>
      <x:c r="B3052" s="6" t="str">
        <x:v>上</x:v>
      </x:c>
      <x:c r="C3052" s="6" t="str">
        <x:f>IF(B3052="","Needs decision","Ready")</x:f>
        <x:v>Ready</x:v>
      </x:c>
      <x:c r="D3052" s="6" t="str">
        <x:v>上</x:v>
      </x:c>
      <x:c r="E3052" s="6" t="str">
        <x:v>drjoX (B)</x:v>
      </x:c>
      <x:c r="F3052" s="6" t="str">
        <x:v>上聲六語</x:v>
      </x:c>
      <x:c r="G3052" s="6" t="str">
        <x:v>Pingshui main list, Wikisource-derived DOCX</x:v>
      </x:c>
      <x:c r="H3052" s="6" t="str">
        <x:v>1</x:v>
      </x:c>
      <x:c r="I3052" s="6" t="str"/>
      <x:c r="J3052" s="6" t="str">
        <x:f>IF(B3052="","",IF(AND(ISNUMBER(SEARCH("平",B3052)),OR(ISNUMBER(SEARCH("上",B3052)),ISNUMBER(SEARCH("去",B3052)),ISNUMBER(SEARCH("入",B3052)))),"Ambiguous",IF(ISNUMBER(SEARCH("平",B3052)),"平","仄")))</x:f>
        <x:v>仄</x:v>
      </x:c>
      <x:c r="K3052" s="6" t="str">
        <x:f>IF(D3052="","",IF(AND(ISNUMBER(SEARCH("平",D3052)),OR(ISNUMBER(SEARCH("上",D3052)),ISNUMBER(SEARCH("去",D3052)),ISNUMBER(SEARCH("入",D3052)))),"Ambiguous",IF(ISNUMBER(SEARCH("平",D3052)),"平","仄")))</x:f>
        <x:v>仄</x:v>
      </x:c>
      <x:c r="L3052" s="7" t="str"/>
    </x:row>
    <x:row r="3053">
      <x:c r="A3053" s="5" t="str">
        <x:v>紽</x:v>
      </x:c>
      <x:c r="B3053" s="6" t="str">
        <x:v>平</x:v>
      </x:c>
      <x:c r="C3053" s="6" t="str">
        <x:f>IF(B3053="","Needs decision","Ready")</x:f>
        <x:v>Ready</x:v>
      </x:c>
      <x:c r="D3053" s="6" t="str">
        <x:v>平</x:v>
      </x:c>
      <x:c r="E3053" s="6" t="str">
        <x:v>da (A)</x:v>
      </x:c>
      <x:c r="F3053" s="6" t="str">
        <x:v>下平聲五歌</x:v>
      </x:c>
      <x:c r="G3053" s="6" t="str">
        <x:v>Pingshui main list, Wikisource-derived DOCX</x:v>
      </x:c>
      <x:c r="H3053" s="6" t="str">
        <x:v>1</x:v>
      </x:c>
      <x:c r="I3053" s="6" t="str"/>
      <x:c r="J3053" s="6" t="str">
        <x:f>IF(B3053="","",IF(AND(ISNUMBER(SEARCH("平",B3053)),OR(ISNUMBER(SEARCH("上",B3053)),ISNUMBER(SEARCH("去",B3053)),ISNUMBER(SEARCH("入",B3053)))),"Ambiguous",IF(ISNUMBER(SEARCH("平",B3053)),"平","仄")))</x:f>
        <x:v>平</x:v>
      </x:c>
      <x:c r="K3053" s="6" t="str">
        <x:f>IF(D3053="","",IF(AND(ISNUMBER(SEARCH("平",D3053)),OR(ISNUMBER(SEARCH("上",D3053)),ISNUMBER(SEARCH("去",D3053)),ISNUMBER(SEARCH("入",D3053)))),"Ambiguous",IF(ISNUMBER(SEARCH("平",D3053)),"平","仄")))</x:f>
        <x:v>平</x:v>
      </x:c>
      <x:c r="L3053" s="7" t="str"/>
    </x:row>
    <x:row r="3054">
      <x:c r="A3054" s="5" t="str">
        <x:v>終</x:v>
      </x:c>
      <x:c r="B3054" s="6" t="str">
        <x:v>平</x:v>
      </x:c>
      <x:c r="C3054" s="6" t="str">
        <x:f>IF(B3054="","Needs decision","Ready")</x:f>
        <x:v>Ready</x:v>
      </x:c>
      <x:c r="D3054" s="6" t="str">
        <x:v>平</x:v>
      </x:c>
      <x:c r="E3054" s="6" t="str">
        <x:v>tsyuwng (A)</x:v>
      </x:c>
      <x:c r="F3054" s="6" t="str">
        <x:v>上平聲一東</x:v>
      </x:c>
      <x:c r="G3054" s="6" t="str">
        <x:v>Pingshui main list, Wikisource-derived DOCX</x:v>
      </x:c>
      <x:c r="H3054" s="6" t="str">
        <x:v>1</x:v>
      </x:c>
      <x:c r="I3054" s="6" t="str"/>
      <x:c r="J3054" s="6" t="str">
        <x:f>IF(B3054="","",IF(AND(ISNUMBER(SEARCH("平",B3054)),OR(ISNUMBER(SEARCH("上",B3054)),ISNUMBER(SEARCH("去",B3054)),ISNUMBER(SEARCH("入",B3054)))),"Ambiguous",IF(ISNUMBER(SEARCH("平",B3054)),"平","仄")))</x:f>
        <x:v>平</x:v>
      </x:c>
      <x:c r="K3054" s="6" t="str">
        <x:f>IF(D3054="","",IF(AND(ISNUMBER(SEARCH("平",D3054)),OR(ISNUMBER(SEARCH("上",D3054)),ISNUMBER(SEARCH("去",D3054)),ISNUMBER(SEARCH("入",D3054)))),"Ambiguous",IF(ISNUMBER(SEARCH("平",D3054)),"平","仄")))</x:f>
        <x:v>平</x:v>
      </x:c>
      <x:c r="L3054" s="7" t="str"/>
    </x:row>
    <x:row r="3055">
      <x:c r="A3055" s="5" t="str">
        <x:v>絃</x:v>
      </x:c>
      <x:c r="B3055" s="6" t="str">
        <x:v>平</x:v>
      </x:c>
      <x:c r="C3055" s="6" t="str">
        <x:f>IF(B3055="","Needs decision","Ready")</x:f>
        <x:v>Ready</x:v>
      </x:c>
      <x:c r="D3055" s="6" t="str">
        <x:v>平</x:v>
      </x:c>
      <x:c r="E3055" s="6" t="str"/>
      <x:c r="F3055" s="6" t="str">
        <x:v>下平聲一先</x:v>
      </x:c>
      <x:c r="G3055" s="6" t="str">
        <x:v>Pingshui main list, Wikisource-derived DOCX</x:v>
      </x:c>
      <x:c r="H3055" s="6" t="str"/>
      <x:c r="I3055" s="6" t="str">
        <x:v>Manual user correction/addition</x:v>
      </x:c>
      <x:c r="J3055" s="6" t="str">
        <x:f>IF(B3055="","",IF(AND(ISNUMBER(SEARCH("平",B3055)),OR(ISNUMBER(SEARCH("上",B3055)),ISNUMBER(SEARCH("去",B3055)),ISNUMBER(SEARCH("入",B3055)))),"Ambiguous",IF(ISNUMBER(SEARCH("平",B3055)),"平","仄")))</x:f>
        <x:v>平</x:v>
      </x:c>
      <x:c r="K3055" s="6" t="str">
        <x:f>IF(D3055="","",IF(AND(ISNUMBER(SEARCH("平",D3055)),OR(ISNUMBER(SEARCH("上",D3055)),ISNUMBER(SEARCH("去",D3055)),ISNUMBER(SEARCH("入",D3055)))),"Ambiguous",IF(ISNUMBER(SEARCH("平",D3055)),"平","仄")))</x:f>
        <x:v>平</x:v>
      </x:c>
      <x:c r="L3055" s="7" t="str">
        <x:v>manual user correction</x:v>
      </x:c>
    </x:row>
    <x:row r="3056">
      <x:c r="A3056" s="5" t="str">
        <x:v>組</x:v>
      </x:c>
      <x:c r="B3056" s="6" t="str">
        <x:v>上</x:v>
      </x:c>
      <x:c r="C3056" s="6" t="str">
        <x:f>IF(B3056="","Needs decision","Ready")</x:f>
        <x:v>Ready</x:v>
      </x:c>
      <x:c r="D3056" s="6" t="str">
        <x:v>上</x:v>
      </x:c>
      <x:c r="E3056" s="6" t="str">
        <x:v>tsuX [t̙s̙oʔ] (上)</x:v>
      </x:c>
      <x:c r="F3056" s="6" t="str">
        <x:v>上聲七麌</x:v>
      </x:c>
      <x:c r="G3056" s="6" t="str">
        <x:v>Pingshui main list, Wikisource-derived DOCX</x:v>
      </x:c>
      <x:c r="H3056" s="6" t="str">
        <x:v>1</x:v>
      </x:c>
      <x:c r="I3056" s="6" t="str">
        <x:v>Tang 300 gap; frequency 1; provisional from Xun Gong</x:v>
      </x:c>
      <x:c r="J3056" s="6" t="str">
        <x:f>IF(B3056="","",IF(AND(ISNUMBER(SEARCH("平",B3056)),OR(ISNUMBER(SEARCH("上",B3056)),ISNUMBER(SEARCH("去",B3056)),ISNUMBER(SEARCH("入",B3056)))),"Ambiguous",IF(ISNUMBER(SEARCH("平",B3056)),"平","仄")))</x:f>
        <x:v>仄</x:v>
      </x:c>
      <x:c r="K3056" s="6" t="str">
        <x:f>IF(D3056="","",IF(AND(ISNUMBER(SEARCH("平",D3056)),OR(ISNUMBER(SEARCH("上",D3056)),ISNUMBER(SEARCH("去",D3056)),ISNUMBER(SEARCH("入",D3056)))),"Ambiguous",IF(ISNUMBER(SEARCH("平",D3056)),"平","仄")))</x:f>
        <x:v>仄</x:v>
      </x:c>
      <x:c r="L3056" s="7" t="str">
        <x:v>Xun Gong, Tang 300 gap fill</x:v>
      </x:c>
    </x:row>
    <x:row r="3057">
      <x:c r="A3057" s="5" t="str">
        <x:v>絇</x:v>
      </x:c>
      <x:c r="B3057" s="6" t="str">
        <x:v>平</x:v>
      </x:c>
      <x:c r="C3057" s="6" t="str">
        <x:f>IF(B3057="","Needs decision","Ready")</x:f>
        <x:v>Ready</x:v>
      </x:c>
      <x:c r="D3057" s="6" t="str">
        <x:v>平</x:v>
      </x:c>
      <x:c r="E3057" s="6" t="str">
        <x:v>gju (A)</x:v>
      </x:c>
      <x:c r="F3057" s="6" t="str">
        <x:v>上平聲七虞</x:v>
      </x:c>
      <x:c r="G3057" s="6" t="str">
        <x:v>Pingshui main list, Wikisource-derived DOCX</x:v>
      </x:c>
      <x:c r="H3057" s="6" t="str">
        <x:v>1</x:v>
      </x:c>
      <x:c r="I3057" s="6" t="str"/>
      <x:c r="J3057" s="6" t="str">
        <x:f>IF(B3057="","",IF(AND(ISNUMBER(SEARCH("平",B3057)),OR(ISNUMBER(SEARCH("上",B3057)),ISNUMBER(SEARCH("去",B3057)),ISNUMBER(SEARCH("入",B3057)))),"Ambiguous",IF(ISNUMBER(SEARCH("平",B3057)),"平","仄")))</x:f>
        <x:v>平</x:v>
      </x:c>
      <x:c r="K3057" s="6" t="str">
        <x:f>IF(D3057="","",IF(AND(ISNUMBER(SEARCH("平",D3057)),OR(ISNUMBER(SEARCH("上",D3057)),ISNUMBER(SEARCH("去",D3057)),ISNUMBER(SEARCH("入",D3057)))),"Ambiguous",IF(ISNUMBER(SEARCH("平",D3057)),"平","仄")))</x:f>
        <x:v>平</x:v>
      </x:c>
      <x:c r="L3057" s="7" t="str"/>
    </x:row>
    <x:row r="3058">
      <x:c r="A3058" s="5" t="str">
        <x:v>絏</x:v>
      </x:c>
      <x:c r="B3058" s="6" t="str">
        <x:v>入</x:v>
      </x:c>
      <x:c r="C3058" s="6" t="str">
        <x:f>IF(B3058="","Needs decision","Ready")</x:f>
        <x:v>Ready</x:v>
      </x:c>
      <x:c r="D3058" s="6" t="str">
        <x:v>入</x:v>
      </x:c>
      <x:c r="E3058" s="6" t="str">
        <x:v>sjet (D)</x:v>
      </x:c>
      <x:c r="F3058" s="6" t="str"/>
      <x:c r="G3058" s="6" t="str"/>
      <x:c r="H3058" s="6" t="str">
        <x:v>1</x:v>
      </x:c>
      <x:c r="I3058" s="6" t="str"/>
      <x:c r="J3058" s="6" t="str">
        <x:f>IF(B3058="","",IF(AND(ISNUMBER(SEARCH("平",B3058)),OR(ISNUMBER(SEARCH("上",B3058)),ISNUMBER(SEARCH("去",B3058)),ISNUMBER(SEARCH("入",B3058)))),"Ambiguous",IF(ISNUMBER(SEARCH("平",B3058)),"平","仄")))</x:f>
        <x:v>仄</x:v>
      </x:c>
      <x:c r="K3058" s="6" t="str">
        <x:f>IF(D3058="","",IF(AND(ISNUMBER(SEARCH("平",D3058)),OR(ISNUMBER(SEARCH("上",D3058)),ISNUMBER(SEARCH("去",D3058)),ISNUMBER(SEARCH("入",D3058)))),"Ambiguous",IF(ISNUMBER(SEARCH("平",D3058)),"平","仄")))</x:f>
        <x:v>仄</x:v>
      </x:c>
      <x:c r="L3058" s="7" t="str"/>
    </x:row>
    <x:row r="3059">
      <x:c r="A3059" s="5" t="str">
        <x:v>結</x:v>
      </x:c>
      <x:c r="B3059" s="6" t="str">
        <x:v>入</x:v>
      </x:c>
      <x:c r="C3059" s="6" t="str">
        <x:f>IF(B3059="","Needs decision","Ready")</x:f>
        <x:v>Ready</x:v>
      </x:c>
      <x:c r="D3059" s="6" t="str">
        <x:v>入</x:v>
      </x:c>
      <x:c r="E3059" s="6" t="str">
        <x:v>ket (D)</x:v>
      </x:c>
      <x:c r="F3059" s="6" t="str">
        <x:v>入聲九屑</x:v>
      </x:c>
      <x:c r="G3059" s="6" t="str">
        <x:v>Pingshui main list, Wikisource-derived DOCX</x:v>
      </x:c>
      <x:c r="H3059" s="6" t="str">
        <x:v>1</x:v>
      </x:c>
      <x:c r="I3059" s="6" t="str"/>
      <x:c r="J3059" s="6" t="str">
        <x:f>IF(B3059="","",IF(AND(ISNUMBER(SEARCH("平",B3059)),OR(ISNUMBER(SEARCH("上",B3059)),ISNUMBER(SEARCH("去",B3059)),ISNUMBER(SEARCH("入",B3059)))),"Ambiguous",IF(ISNUMBER(SEARCH("平",B3059)),"平","仄")))</x:f>
        <x:v>仄</x:v>
      </x:c>
      <x:c r="K3059" s="6" t="str">
        <x:f>IF(D3059="","",IF(AND(ISNUMBER(SEARCH("平",D3059)),OR(ISNUMBER(SEARCH("上",D3059)),ISNUMBER(SEARCH("去",D3059)),ISNUMBER(SEARCH("入",D3059)))),"Ambiguous",IF(ISNUMBER(SEARCH("平",D3059)),"平","仄")))</x:f>
        <x:v>仄</x:v>
      </x:c>
      <x:c r="L3059" s="7" t="str"/>
    </x:row>
    <x:row r="3060">
      <x:c r="A3060" s="5" t="str">
        <x:v>絓</x:v>
      </x:c>
      <x:c r="B3060" s="6" t="str">
        <x:v>去</x:v>
      </x:c>
      <x:c r="C3060" s="6" t="str">
        <x:f>IF(B3060="","Needs decision","Ready")</x:f>
        <x:v>Ready</x:v>
      </x:c>
      <x:c r="D3060" s="6" t="str">
        <x:v>去</x:v>
      </x:c>
      <x:c r="E3060" s="6" t="str">
        <x:v>kweaH (C)</x:v>
      </x:c>
      <x:c r="F3060" s="6" t="str">
        <x:v>去聲十卦</x:v>
      </x:c>
      <x:c r="G3060" s="6" t="str">
        <x:v>Pingshui main list, Wikisource-derived DOCX</x:v>
      </x:c>
      <x:c r="H3060" s="6" t="str">
        <x:v>1</x:v>
      </x:c>
      <x:c r="I3060" s="6" t="str"/>
      <x:c r="J3060" s="6" t="str">
        <x:f>IF(B3060="","",IF(AND(ISNUMBER(SEARCH("平",B3060)),OR(ISNUMBER(SEARCH("上",B3060)),ISNUMBER(SEARCH("去",B3060)),ISNUMBER(SEARCH("入",B3060)))),"Ambiguous",IF(ISNUMBER(SEARCH("平",B3060)),"平","仄")))</x:f>
        <x:v>仄</x:v>
      </x:c>
      <x:c r="K3060" s="6" t="str">
        <x:f>IF(D3060="","",IF(AND(ISNUMBER(SEARCH("平",D3060)),OR(ISNUMBER(SEARCH("上",D3060)),ISNUMBER(SEARCH("去",D3060)),ISNUMBER(SEARCH("入",D3060)))),"Ambiguous",IF(ISNUMBER(SEARCH("平",D3060)),"平","仄")))</x:f>
        <x:v>仄</x:v>
      </x:c>
      <x:c r="L3060" s="7" t="str"/>
    </x:row>
    <x:row r="3061">
      <x:c r="A3061" s="5" t="str">
        <x:v>絕</x:v>
      </x:c>
      <x:c r="B3061" s="6" t="str">
        <x:v>入</x:v>
      </x:c>
      <x:c r="C3061" s="6" t="str">
        <x:f>IF(B3061="","Needs decision","Ready")</x:f>
        <x:v>Ready</x:v>
      </x:c>
      <x:c r="D3061" s="6" t="str">
        <x:v>入</x:v>
      </x:c>
      <x:c r="E3061" s="6" t="str">
        <x:v>dzjwet (D)</x:v>
      </x:c>
      <x:c r="F3061" s="6" t="str">
        <x:v>入聲九屑</x:v>
      </x:c>
      <x:c r="G3061" s="6" t="str">
        <x:v>Pingshui main list, Wikisource-derived DOCX</x:v>
      </x:c>
      <x:c r="H3061" s="6" t="str">
        <x:v>1</x:v>
      </x:c>
      <x:c r="I3061" s="6" t="str"/>
      <x:c r="J3061" s="6" t="str">
        <x:f>IF(B3061="","",IF(AND(ISNUMBER(SEARCH("平",B3061)),OR(ISNUMBER(SEARCH("上",B3061)),ISNUMBER(SEARCH("去",B3061)),ISNUMBER(SEARCH("入",B3061)))),"Ambiguous",IF(ISNUMBER(SEARCH("平",B3061)),"平","仄")))</x:f>
        <x:v>仄</x:v>
      </x:c>
      <x:c r="K3061" s="6" t="str">
        <x:f>IF(D3061="","",IF(AND(ISNUMBER(SEARCH("平",D3061)),OR(ISNUMBER(SEARCH("上",D3061)),ISNUMBER(SEARCH("去",D3061)),ISNUMBER(SEARCH("入",D3061)))),"Ambiguous",IF(ISNUMBER(SEARCH("平",D3061)),"平","仄")))</x:f>
        <x:v>仄</x:v>
      </x:c>
      <x:c r="L3061" s="7" t="str"/>
    </x:row>
    <x:row r="3062">
      <x:c r="A3062" s="5" t="str">
        <x:v>絞</x:v>
      </x:c>
      <x:c r="B3062" s="6" t="str">
        <x:v>上</x:v>
      </x:c>
      <x:c r="C3062" s="6" t="str">
        <x:f>IF(B3062="","Needs decision","Ready")</x:f>
        <x:v>Ready</x:v>
      </x:c>
      <x:c r="D3062" s="6" t="str">
        <x:v>上</x:v>
      </x:c>
      <x:c r="E3062" s="6" t="str">
        <x:v>kaewX (B)</x:v>
      </x:c>
      <x:c r="F3062" s="6" t="str">
        <x:v>上聲十八巧</x:v>
      </x:c>
      <x:c r="G3062" s="6" t="str">
        <x:v>Pingshui main list, Wikisource-derived DOCX</x:v>
      </x:c>
      <x:c r="H3062" s="6" t="str">
        <x:v>1</x:v>
      </x:c>
      <x:c r="I3062" s="6" t="str"/>
      <x:c r="J3062" s="6" t="str">
        <x:f>IF(B3062="","",IF(AND(ISNUMBER(SEARCH("平",B3062)),OR(ISNUMBER(SEARCH("上",B3062)),ISNUMBER(SEARCH("去",B3062)),ISNUMBER(SEARCH("入",B3062)))),"Ambiguous",IF(ISNUMBER(SEARCH("平",B3062)),"平","仄")))</x:f>
        <x:v>仄</x:v>
      </x:c>
      <x:c r="K3062" s="6" t="str">
        <x:f>IF(D3062="","",IF(AND(ISNUMBER(SEARCH("平",D3062)),OR(ISNUMBER(SEARCH("上",D3062)),ISNUMBER(SEARCH("去",D3062)),ISNUMBER(SEARCH("入",D3062)))),"Ambiguous",IF(ISNUMBER(SEARCH("平",D3062)),"平","仄")))</x:f>
        <x:v>仄</x:v>
      </x:c>
      <x:c r="L3062" s="7" t="str"/>
    </x:row>
    <x:row r="3063">
      <x:c r="A3063" s="5" t="str">
        <x:v>絡</x:v>
      </x:c>
      <x:c r="B3063" s="6" t="str">
        <x:v>入</x:v>
      </x:c>
      <x:c r="C3063" s="6" t="str">
        <x:f>IF(B3063="","Needs decision","Ready")</x:f>
        <x:v>Ready</x:v>
      </x:c>
      <x:c r="D3063" s="6" t="str">
        <x:v>入</x:v>
      </x:c>
      <x:c r="E3063" s="6" t="str">
        <x:v>lak [l̙ɑk] (入)</x:v>
      </x:c>
      <x:c r="F3063" s="6" t="str">
        <x:v>入聲十藥</x:v>
      </x:c>
      <x:c r="G3063" s="6" t="str">
        <x:v>Pingshui main list, Wikisource-derived DOCX</x:v>
      </x:c>
      <x:c r="H3063" s="6" t="str">
        <x:v>1</x:v>
      </x:c>
      <x:c r="I3063" s="6" t="str">
        <x:v>Tang 300 gap; frequency 2; provisional from Xun Gong</x:v>
      </x:c>
      <x:c r="J3063" s="6" t="str">
        <x:f>IF(B3063="","",IF(AND(ISNUMBER(SEARCH("平",B3063)),OR(ISNUMBER(SEARCH("上",B3063)),ISNUMBER(SEARCH("去",B3063)),ISNUMBER(SEARCH("入",B3063)))),"Ambiguous",IF(ISNUMBER(SEARCH("平",B3063)),"平","仄")))</x:f>
        <x:v>仄</x:v>
      </x:c>
      <x:c r="K3063" s="6" t="str">
        <x:f>IF(D3063="","",IF(AND(ISNUMBER(SEARCH("平",D3063)),OR(ISNUMBER(SEARCH("上",D3063)),ISNUMBER(SEARCH("去",D3063)),ISNUMBER(SEARCH("入",D3063)))),"Ambiguous",IF(ISNUMBER(SEARCH("平",D3063)),"平","仄")))</x:f>
        <x:v>仄</x:v>
      </x:c>
      <x:c r="L3063" s="7" t="str">
        <x:v>Xun Gong, Tang 300 gap fill</x:v>
      </x:c>
    </x:row>
    <x:row r="3064">
      <x:c r="A3064" s="5" t="str">
        <x:v>絢</x:v>
      </x:c>
      <x:c r="B3064" s="6" t="str">
        <x:v>去</x:v>
      </x:c>
      <x:c r="C3064" s="6" t="str">
        <x:f>IF(B3064="","Needs decision","Ready")</x:f>
        <x:v>Ready</x:v>
      </x:c>
      <x:c r="D3064" s="6" t="str">
        <x:v>去</x:v>
      </x:c>
      <x:c r="E3064" s="6" t="str">
        <x:v>xwenH (C)</x:v>
      </x:c>
      <x:c r="F3064" s="6" t="str">
        <x:v>去聲十七霰</x:v>
      </x:c>
      <x:c r="G3064" s="6" t="str">
        <x:v>Pingshui main list, Wikisource-derived DOCX</x:v>
      </x:c>
      <x:c r="H3064" s="6" t="str">
        <x:v>1</x:v>
      </x:c>
      <x:c r="I3064" s="6" t="str"/>
      <x:c r="J3064" s="6" t="str">
        <x:f>IF(B3064="","",IF(AND(ISNUMBER(SEARCH("平",B3064)),OR(ISNUMBER(SEARCH("上",B3064)),ISNUMBER(SEARCH("去",B3064)),ISNUMBER(SEARCH("入",B3064)))),"Ambiguous",IF(ISNUMBER(SEARCH("平",B3064)),"平","仄")))</x:f>
        <x:v>仄</x:v>
      </x:c>
      <x:c r="K3064" s="6" t="str">
        <x:f>IF(D3064="","",IF(AND(ISNUMBER(SEARCH("平",D3064)),OR(ISNUMBER(SEARCH("上",D3064)),ISNUMBER(SEARCH("去",D3064)),ISNUMBER(SEARCH("入",D3064)))),"Ambiguous",IF(ISNUMBER(SEARCH("平",D3064)),"平","仄")))</x:f>
        <x:v>仄</x:v>
      </x:c>
      <x:c r="L3064" s="7" t="str"/>
    </x:row>
    <x:row r="3065">
      <x:c r="A3065" s="5" t="str">
        <x:v>給</x:v>
      </x:c>
      <x:c r="B3065" s="6" t="str">
        <x:v>入</x:v>
      </x:c>
      <x:c r="C3065" s="6" t="str">
        <x:f>IF(B3065="","Needs decision","Ready")</x:f>
        <x:v>Ready</x:v>
      </x:c>
      <x:c r="D3065" s="6" t="str">
        <x:v>入</x:v>
      </x:c>
      <x:c r="E3065" s="6" t="str">
        <x:v>kip (D)</x:v>
      </x:c>
      <x:c r="F3065" s="6" t="str">
        <x:v>入聲十四緝</x:v>
      </x:c>
      <x:c r="G3065" s="6" t="str">
        <x:v>Pingshui main list, Wikisource-derived DOCX</x:v>
      </x:c>
      <x:c r="H3065" s="6" t="str">
        <x:v>1</x:v>
      </x:c>
      <x:c r="I3065" s="6" t="str"/>
      <x:c r="J3065" s="6" t="str">
        <x:f>IF(B3065="","",IF(AND(ISNUMBER(SEARCH("平",B3065)),OR(ISNUMBER(SEARCH("上",B3065)),ISNUMBER(SEARCH("去",B3065)),ISNUMBER(SEARCH("入",B3065)))),"Ambiguous",IF(ISNUMBER(SEARCH("平",B3065)),"平","仄")))</x:f>
        <x:v>仄</x:v>
      </x:c>
      <x:c r="K3065" s="6" t="str">
        <x:f>IF(D3065="","",IF(AND(ISNUMBER(SEARCH("平",D3065)),OR(ISNUMBER(SEARCH("上",D3065)),ISNUMBER(SEARCH("去",D3065)),ISNUMBER(SEARCH("入",D3065)))),"Ambiguous",IF(ISNUMBER(SEARCH("平",D3065)),"平","仄")))</x:f>
        <x:v>仄</x:v>
      </x:c>
      <x:c r="L3065" s="7" t="str"/>
    </x:row>
    <x:row r="3066">
      <x:c r="A3066" s="5" t="str">
        <x:v>絮</x:v>
      </x:c>
      <x:c r="B3066" s="6" t="str">
        <x:v>去</x:v>
      </x:c>
      <x:c r="C3066" s="6" t="str">
        <x:f>IF(B3066="","Needs decision","Ready")</x:f>
        <x:v>Ready</x:v>
      </x:c>
      <x:c r="D3066" s="6" t="str">
        <x:v>去</x:v>
      </x:c>
      <x:c r="E3066" s="6" t="str">
        <x:v>sjoH (C)</x:v>
      </x:c>
      <x:c r="F3066" s="6" t="str">
        <x:v>去聲六御</x:v>
      </x:c>
      <x:c r="G3066" s="6" t="str">
        <x:v>Pingshui main list, Wikisource-derived DOCX</x:v>
      </x:c>
      <x:c r="H3066" s="6" t="str">
        <x:v>1</x:v>
      </x:c>
      <x:c r="I3066" s="6" t="str"/>
      <x:c r="J3066" s="6" t="str">
        <x:f>IF(B3066="","",IF(AND(ISNUMBER(SEARCH("平",B3066)),OR(ISNUMBER(SEARCH("上",B3066)),ISNUMBER(SEARCH("去",B3066)),ISNUMBER(SEARCH("入",B3066)))),"Ambiguous",IF(ISNUMBER(SEARCH("平",B3066)),"平","仄")))</x:f>
        <x:v>仄</x:v>
      </x:c>
      <x:c r="K3066" s="6" t="str">
        <x:f>IF(D3066="","",IF(AND(ISNUMBER(SEARCH("平",D3066)),OR(ISNUMBER(SEARCH("上",D3066)),ISNUMBER(SEARCH("去",D3066)),ISNUMBER(SEARCH("入",D3066)))),"Ambiguous",IF(ISNUMBER(SEARCH("平",D3066)),"平","仄")))</x:f>
        <x:v>仄</x:v>
      </x:c>
      <x:c r="L3066" s="7" t="str"/>
    </x:row>
    <x:row r="3067">
      <x:c r="A3067" s="5" t="str">
        <x:v>統</x:v>
      </x:c>
      <x:c r="B3067" s="6" t="str">
        <x:v>去</x:v>
      </x:c>
      <x:c r="C3067" s="6" t="str">
        <x:f>IF(B3067="","Needs decision","Ready")</x:f>
        <x:v>Ready</x:v>
      </x:c>
      <x:c r="D3067" s="6" t="str">
        <x:v>去</x:v>
      </x:c>
      <x:c r="E3067" s="6" t="str"/>
      <x:c r="F3067" s="6" t="str">
        <x:v>去聲二宋</x:v>
      </x:c>
      <x:c r="G3067" s="6" t="str">
        <x:v>Pingshui main list, Wikisource-derived DOCX</x:v>
      </x:c>
      <x:c r="H3067" s="6" t="str"/>
      <x:c r="I3067" s="6" t="str">
        <x:v>Manual user correction/addition</x:v>
      </x:c>
      <x:c r="J3067" s="6" t="str">
        <x:f>IF(B3067="","",IF(AND(ISNUMBER(SEARCH("平",B3067)),OR(ISNUMBER(SEARCH("上",B3067)),ISNUMBER(SEARCH("去",B3067)),ISNUMBER(SEARCH("入",B3067)))),"Ambiguous",IF(ISNUMBER(SEARCH("平",B3067)),"平","仄")))</x:f>
        <x:v>仄</x:v>
      </x:c>
      <x:c r="K3067" s="6" t="str">
        <x:f>IF(D3067="","",IF(AND(ISNUMBER(SEARCH("平",D3067)),OR(ISNUMBER(SEARCH("上",D3067)),ISNUMBER(SEARCH("去",D3067)),ISNUMBER(SEARCH("入",D3067)))),"Ambiguous",IF(ISNUMBER(SEARCH("平",D3067)),"平","仄")))</x:f>
        <x:v>仄</x:v>
      </x:c>
      <x:c r="L3067" s="7" t="str">
        <x:v>manual user correction</x:v>
      </x:c>
    </x:row>
    <x:row r="3068">
      <x:c r="A3068" s="5" t="str">
        <x:v>絲</x:v>
      </x:c>
      <x:c r="B3068" s="6" t="str">
        <x:v>平</x:v>
      </x:c>
      <x:c r="C3068" s="6" t="str">
        <x:f>IF(B3068="","Needs decision","Ready")</x:f>
        <x:v>Ready</x:v>
      </x:c>
      <x:c r="D3068" s="6" t="str">
        <x:v>平</x:v>
      </x:c>
      <x:c r="E3068" s="6" t="str">
        <x:v>si (A)</x:v>
      </x:c>
      <x:c r="F3068" s="6" t="str">
        <x:v>上平聲四支</x:v>
      </x:c>
      <x:c r="G3068" s="6" t="str">
        <x:v>Pingshui main list, Wikisource-derived DOCX</x:v>
      </x:c>
      <x:c r="H3068" s="6" t="str">
        <x:v>1</x:v>
      </x:c>
      <x:c r="I3068" s="6" t="str"/>
      <x:c r="J3068" s="6" t="str">
        <x:f>IF(B3068="","",IF(AND(ISNUMBER(SEARCH("平",B3068)),OR(ISNUMBER(SEARCH("上",B3068)),ISNUMBER(SEARCH("去",B3068)),ISNUMBER(SEARCH("入",B3068)))),"Ambiguous",IF(ISNUMBER(SEARCH("平",B3068)),"平","仄")))</x:f>
        <x:v>平</x:v>
      </x:c>
      <x:c r="K3068" s="6" t="str">
        <x:f>IF(D3068="","",IF(AND(ISNUMBER(SEARCH("平",D3068)),OR(ISNUMBER(SEARCH("上",D3068)),ISNUMBER(SEARCH("去",D3068)),ISNUMBER(SEARCH("入",D3068)))),"Ambiguous",IF(ISNUMBER(SEARCH("平",D3068)),"平","仄")))</x:f>
        <x:v>平</x:v>
      </x:c>
      <x:c r="L3068" s="7" t="str"/>
    </x:row>
    <x:row r="3069">
      <x:c r="A3069" s="5" t="str">
        <x:v>絳</x:v>
      </x:c>
      <x:c r="B3069" s="6" t="str">
        <x:v>去</x:v>
      </x:c>
      <x:c r="C3069" s="6" t="str">
        <x:f>IF(B3069="","Needs decision","Ready")</x:f>
        <x:v>Ready</x:v>
      </x:c>
      <x:c r="D3069" s="6" t="str">
        <x:v>去</x:v>
      </x:c>
      <x:c r="E3069" s="6" t="str">
        <x:v>kaewngH [qoˤŋh] (去)</x:v>
      </x:c>
      <x:c r="F3069" s="6" t="str">
        <x:v>去聲三絳</x:v>
      </x:c>
      <x:c r="G3069" s="6" t="str">
        <x:v>Pingshui main list, Wikisource-derived DOCX</x:v>
      </x:c>
      <x:c r="H3069" s="6" t="str">
        <x:v>1</x:v>
      </x:c>
      <x:c r="I3069" s="6" t="str">
        <x:v>Tang 300 gap; frequency 2; provisional from Xun Gong</x:v>
      </x:c>
      <x:c r="J3069" s="6" t="str">
        <x:f>IF(B3069="","",IF(AND(ISNUMBER(SEARCH("平",B3069)),OR(ISNUMBER(SEARCH("上",B3069)),ISNUMBER(SEARCH("去",B3069)),ISNUMBER(SEARCH("入",B3069)))),"Ambiguous",IF(ISNUMBER(SEARCH("平",B3069)),"平","仄")))</x:f>
        <x:v>仄</x:v>
      </x:c>
      <x:c r="K3069" s="6" t="str">
        <x:f>IF(D3069="","",IF(AND(ISNUMBER(SEARCH("平",D3069)),OR(ISNUMBER(SEARCH("上",D3069)),ISNUMBER(SEARCH("去",D3069)),ISNUMBER(SEARCH("入",D3069)))),"Ambiguous",IF(ISNUMBER(SEARCH("平",D3069)),"平","仄")))</x:f>
        <x:v>仄</x:v>
      </x:c>
      <x:c r="L3069" s="7" t="str">
        <x:v>Xun Gong, Tang 300 gap fill</x:v>
      </x:c>
    </x:row>
    <x:row r="3070">
      <x:c r="A3070" s="5" t="str">
        <x:v>絹</x:v>
      </x:c>
      <x:c r="B3070" s="6" t="str">
        <x:v>去</x:v>
      </x:c>
      <x:c r="C3070" s="6" t="str">
        <x:f>IF(B3070="","Needs decision","Ready")</x:f>
        <x:v>Ready</x:v>
      </x:c>
      <x:c r="D3070" s="6" t="str">
        <x:v>去</x:v>
      </x:c>
      <x:c r="E3070" s="6" t="str">
        <x:v>kjwienH (C)</x:v>
      </x:c>
      <x:c r="F3070" s="6" t="str">
        <x:v>去聲十七霰</x:v>
      </x:c>
      <x:c r="G3070" s="6" t="str">
        <x:v>Pingshui main list, Wikisource-derived DOCX</x:v>
      </x:c>
      <x:c r="H3070" s="6" t="str">
        <x:v>1</x:v>
      </x:c>
      <x:c r="I3070" s="6" t="str"/>
      <x:c r="J3070" s="6" t="str">
        <x:f>IF(B3070="","",IF(AND(ISNUMBER(SEARCH("平",B3070)),OR(ISNUMBER(SEARCH("上",B3070)),ISNUMBER(SEARCH("去",B3070)),ISNUMBER(SEARCH("入",B3070)))),"Ambiguous",IF(ISNUMBER(SEARCH("平",B3070)),"平","仄")))</x:f>
        <x:v>仄</x:v>
      </x:c>
      <x:c r="K3070" s="6" t="str">
        <x:f>IF(D3070="","",IF(AND(ISNUMBER(SEARCH("平",D3070)),OR(ISNUMBER(SEARCH("上",D3070)),ISNUMBER(SEARCH("去",D3070)),ISNUMBER(SEARCH("入",D3070)))),"Ambiguous",IF(ISNUMBER(SEARCH("平",D3070)),"平","仄")))</x:f>
        <x:v>仄</x:v>
      </x:c>
      <x:c r="L3070" s="7" t="str"/>
    </x:row>
    <x:row r="3071">
      <x:c r="A3071" s="5" t="str">
        <x:v>絺</x:v>
      </x:c>
      <x:c r="B3071" s="6" t="str">
        <x:v>平</x:v>
      </x:c>
      <x:c r="C3071" s="6" t="str">
        <x:f>IF(B3071="","Needs decision","Ready")</x:f>
        <x:v>Ready</x:v>
      </x:c>
      <x:c r="D3071" s="6" t="str">
        <x:v>平</x:v>
      </x:c>
      <x:c r="E3071" s="6" t="str">
        <x:v>trhij (A)</x:v>
      </x:c>
      <x:c r="F3071" s="6" t="str">
        <x:v>上平聲四支</x:v>
      </x:c>
      <x:c r="G3071" s="6" t="str">
        <x:v>Pingshui main list, Wikisource-derived DOCX</x:v>
      </x:c>
      <x:c r="H3071" s="6" t="str">
        <x:v>1</x:v>
      </x:c>
      <x:c r="I3071" s="6" t="str"/>
      <x:c r="J3071" s="6" t="str">
        <x:f>IF(B3071="","",IF(AND(ISNUMBER(SEARCH("平",B3071)),OR(ISNUMBER(SEARCH("上",B3071)),ISNUMBER(SEARCH("去",B3071)),ISNUMBER(SEARCH("入",B3071)))),"Ambiguous",IF(ISNUMBER(SEARCH("平",B3071)),"平","仄")))</x:f>
        <x:v>平</x:v>
      </x:c>
      <x:c r="K3071" s="6" t="str">
        <x:f>IF(D3071="","",IF(AND(ISNUMBER(SEARCH("平",D3071)),OR(ISNUMBER(SEARCH("上",D3071)),ISNUMBER(SEARCH("去",D3071)),ISNUMBER(SEARCH("入",D3071)))),"Ambiguous",IF(ISNUMBER(SEARCH("平",D3071)),"平","仄")))</x:f>
        <x:v>平</x:v>
      </x:c>
      <x:c r="L3071" s="7" t="str"/>
    </x:row>
    <x:row r="3072">
      <x:c r="A3072" s="5" t="str">
        <x:v>綃</x:v>
      </x:c>
      <x:c r="B3072" s="6" t="str">
        <x:v>平</x:v>
      </x:c>
      <x:c r="C3072" s="6" t="str">
        <x:f>IF(B3072="","Needs decision","Ready")</x:f>
        <x:v>Ready</x:v>
      </x:c>
      <x:c r="D3072" s="6" t="str">
        <x:v>平</x:v>
      </x:c>
      <x:c r="E3072" s="6" t="str">
        <x:v>sjew [sjew] (平); sraew [ʂaˤw] (平)</x:v>
      </x:c>
      <x:c r="F3072" s="6" t="str">
        <x:v>下平聲二蕭</x:v>
      </x:c>
      <x:c r="G3072" s="6" t="str">
        <x:v>Pingshui main list, Wikisource-derived DOCX</x:v>
      </x:c>
      <x:c r="H3072" s="6" t="str">
        <x:v>2</x:v>
      </x:c>
      <x:c r="I3072" s="6" t="str">
        <x:v>Tang 300 gap; frequency 1; provisional from Xun Gong</x:v>
      </x:c>
      <x:c r="J3072" s="6" t="str">
        <x:f>IF(B3072="","",IF(AND(ISNUMBER(SEARCH("平",B3072)),OR(ISNUMBER(SEARCH("上",B3072)),ISNUMBER(SEARCH("去",B3072)),ISNUMBER(SEARCH("入",B3072)))),"Ambiguous",IF(ISNUMBER(SEARCH("平",B3072)),"平","仄")))</x:f>
        <x:v>平</x:v>
      </x:c>
      <x:c r="K3072" s="6" t="str">
        <x:f>IF(D3072="","",IF(AND(ISNUMBER(SEARCH("平",D3072)),OR(ISNUMBER(SEARCH("上",D3072)),ISNUMBER(SEARCH("去",D3072)),ISNUMBER(SEARCH("入",D3072)))),"Ambiguous",IF(ISNUMBER(SEARCH("平",D3072)),"平","仄")))</x:f>
        <x:v>平</x:v>
      </x:c>
      <x:c r="L3072" s="7" t="str">
        <x:v>Xun Gong, Tang 300 gap fill</x:v>
      </x:c>
    </x:row>
    <x:row r="3073">
      <x:c r="A3073" s="5" t="str">
        <x:v>綌</x:v>
      </x:c>
      <x:c r="B3073" s="6" t="str">
        <x:v>入</x:v>
      </x:c>
      <x:c r="C3073" s="6" t="str">
        <x:f>IF(B3073="","Needs decision","Ready")</x:f>
        <x:v>Ready</x:v>
      </x:c>
      <x:c r="D3073" s="6" t="str">
        <x:v>入</x:v>
      </x:c>
      <x:c r="E3073" s="6" t="str">
        <x:v>khjaek (D)</x:v>
      </x:c>
      <x:c r="F3073" s="6" t="str">
        <x:v>入聲十一陌</x:v>
      </x:c>
      <x:c r="G3073" s="6" t="str">
        <x:v>Pingshui main list, Wikisource-derived DOCX</x:v>
      </x:c>
      <x:c r="H3073" s="6" t="str">
        <x:v>1</x:v>
      </x:c>
      <x:c r="I3073" s="6" t="str"/>
      <x:c r="J3073" s="6" t="str">
        <x:f>IF(B3073="","",IF(AND(ISNUMBER(SEARCH("平",B3073)),OR(ISNUMBER(SEARCH("上",B3073)),ISNUMBER(SEARCH("去",B3073)),ISNUMBER(SEARCH("入",B3073)))),"Ambiguous",IF(ISNUMBER(SEARCH("平",B3073)),"平","仄")))</x:f>
        <x:v>仄</x:v>
      </x:c>
      <x:c r="K3073" s="6" t="str">
        <x:f>IF(D3073="","",IF(AND(ISNUMBER(SEARCH("平",D3073)),OR(ISNUMBER(SEARCH("上",D3073)),ISNUMBER(SEARCH("去",D3073)),ISNUMBER(SEARCH("入",D3073)))),"Ambiguous",IF(ISNUMBER(SEARCH("平",D3073)),"平","仄")))</x:f>
        <x:v>仄</x:v>
      </x:c>
      <x:c r="L3073" s="7" t="str"/>
    </x:row>
    <x:row r="3074">
      <x:c r="A3074" s="5" t="str">
        <x:v>綏</x:v>
      </x:c>
      <x:c r="B3074" s="6" t="str">
        <x:v>平</x:v>
      </x:c>
      <x:c r="C3074" s="6" t="str">
        <x:f>IF(B3074="","Needs decision","Ready")</x:f>
        <x:v>Ready</x:v>
      </x:c>
      <x:c r="D3074" s="6" t="str">
        <x:v>平</x:v>
      </x:c>
      <x:c r="E3074" s="6" t="str">
        <x:v>swij (A)</x:v>
      </x:c>
      <x:c r="F3074" s="6" t="str">
        <x:v>上平聲四支</x:v>
      </x:c>
      <x:c r="G3074" s="6" t="str">
        <x:v>Pingshui main list, Wikisource-derived DOCX</x:v>
      </x:c>
      <x:c r="H3074" s="6" t="str">
        <x:v>1</x:v>
      </x:c>
      <x:c r="I3074" s="6" t="str"/>
      <x:c r="J3074" s="6" t="str">
        <x:f>IF(B3074="","",IF(AND(ISNUMBER(SEARCH("平",B3074)),OR(ISNUMBER(SEARCH("上",B3074)),ISNUMBER(SEARCH("去",B3074)),ISNUMBER(SEARCH("入",B3074)))),"Ambiguous",IF(ISNUMBER(SEARCH("平",B3074)),"平","仄")))</x:f>
        <x:v>平</x:v>
      </x:c>
      <x:c r="K3074" s="6" t="str">
        <x:f>IF(D3074="","",IF(AND(ISNUMBER(SEARCH("平",D3074)),OR(ISNUMBER(SEARCH("上",D3074)),ISNUMBER(SEARCH("去",D3074)),ISNUMBER(SEARCH("入",D3074)))),"Ambiguous",IF(ISNUMBER(SEARCH("平",D3074)),"平","仄")))</x:f>
        <x:v>平</x:v>
      </x:c>
      <x:c r="L3074" s="7" t="str"/>
    </x:row>
    <x:row r="3075">
      <x:c r="A3075" s="5" t="str">
        <x:v>經</x:v>
      </x:c>
      <x:c r="B3075" s="6" t="str">
        <x:v>平</x:v>
      </x:c>
      <x:c r="C3075" s="6" t="str">
        <x:f>IF(B3075="","Needs decision","Ready")</x:f>
        <x:v>Ready</x:v>
      </x:c>
      <x:c r="D3075" s="6" t="str">
        <x:v>平</x:v>
      </x:c>
      <x:c r="E3075" s="6" t="str">
        <x:v>keng (A)</x:v>
      </x:c>
      <x:c r="F3075" s="6" t="str">
        <x:v>下平聲九青; 去聲二十五徑</x:v>
      </x:c>
      <x:c r="G3075" s="6" t="str">
        <x:v>Pingshui main list, Wikisource-derived DOCX</x:v>
      </x:c>
      <x:c r="H3075" s="6" t="str">
        <x:v>1</x:v>
      </x:c>
      <x:c r="I3075" s="6" t="str"/>
      <x:c r="J3075" s="6" t="str">
        <x:f>IF(B3075="","",IF(AND(ISNUMBER(SEARCH("平",B3075)),OR(ISNUMBER(SEARCH("上",B3075)),ISNUMBER(SEARCH("去",B3075)),ISNUMBER(SEARCH("入",B3075)))),"Ambiguous",IF(ISNUMBER(SEARCH("平",B3075)),"平","仄")))</x:f>
        <x:v>平</x:v>
      </x:c>
      <x:c r="K3075" s="6" t="str">
        <x:f>IF(D3075="","",IF(AND(ISNUMBER(SEARCH("平",D3075)),OR(ISNUMBER(SEARCH("上",D3075)),ISNUMBER(SEARCH("去",D3075)),ISNUMBER(SEARCH("入",D3075)))),"Ambiguous",IF(ISNUMBER(SEARCH("平",D3075)),"平","仄")))</x:f>
        <x:v>平</x:v>
      </x:c>
      <x:c r="L3075" s="7" t="str"/>
    </x:row>
    <x:row r="3076">
      <x:c r="A3076" s="5" t="str">
        <x:v>綜</x:v>
      </x:c>
      <x:c r="B3076" s="6" t="str">
        <x:v>去</x:v>
      </x:c>
      <x:c r="C3076" s="6" t="str">
        <x:f>IF(B3076="","Needs decision","Ready")</x:f>
        <x:v>Ready</x:v>
      </x:c>
      <x:c r="D3076" s="6" t="str">
        <x:v>去</x:v>
      </x:c>
      <x:c r="E3076" s="6" t="str">
        <x:v>tsowngH (C)</x:v>
      </x:c>
      <x:c r="F3076" s="6" t="str">
        <x:v>去聲二宋</x:v>
      </x:c>
      <x:c r="G3076" s="6" t="str">
        <x:v>Pingshui main list, Wikisource-derived DOCX</x:v>
      </x:c>
      <x:c r="H3076" s="6" t="str">
        <x:v>1</x:v>
      </x:c>
      <x:c r="I3076" s="6" t="str"/>
      <x:c r="J3076" s="6" t="str">
        <x:f>IF(B3076="","",IF(AND(ISNUMBER(SEARCH("平",B3076)),OR(ISNUMBER(SEARCH("上",B3076)),ISNUMBER(SEARCH("去",B3076)),ISNUMBER(SEARCH("入",B3076)))),"Ambiguous",IF(ISNUMBER(SEARCH("平",B3076)),"平","仄")))</x:f>
        <x:v>仄</x:v>
      </x:c>
      <x:c r="K3076" s="6" t="str">
        <x:f>IF(D3076="","",IF(AND(ISNUMBER(SEARCH("平",D3076)),OR(ISNUMBER(SEARCH("上",D3076)),ISNUMBER(SEARCH("去",D3076)),ISNUMBER(SEARCH("入",D3076)))),"Ambiguous",IF(ISNUMBER(SEARCH("平",D3076)),"平","仄")))</x:f>
        <x:v>仄</x:v>
      </x:c>
      <x:c r="L3076" s="7" t="str"/>
    </x:row>
    <x:row r="3077">
      <x:c r="A3077" s="5" t="str">
        <x:v>綠</x:v>
      </x:c>
      <x:c r="B3077" s="6" t="str">
        <x:v>入</x:v>
      </x:c>
      <x:c r="C3077" s="6" t="str">
        <x:f>IF(B3077="","Needs decision","Ready")</x:f>
        <x:v>Ready</x:v>
      </x:c>
      <x:c r="D3077" s="6" t="str">
        <x:v>入</x:v>
      </x:c>
      <x:c r="E3077" s="6" t="str">
        <x:v>ljowk (D)</x:v>
      </x:c>
      <x:c r="F3077" s="6" t="str">
        <x:v>入聲二沃</x:v>
      </x:c>
      <x:c r="G3077" s="6" t="str">
        <x:v>Pingshui main list, Wikisource-derived DOCX</x:v>
      </x:c>
      <x:c r="H3077" s="6" t="str">
        <x:v>1</x:v>
      </x:c>
      <x:c r="I3077" s="6" t="str"/>
      <x:c r="J3077" s="6" t="str">
        <x:f>IF(B3077="","",IF(AND(ISNUMBER(SEARCH("平",B3077)),OR(ISNUMBER(SEARCH("上",B3077)),ISNUMBER(SEARCH("去",B3077)),ISNUMBER(SEARCH("入",B3077)))),"Ambiguous",IF(ISNUMBER(SEARCH("平",B3077)),"平","仄")))</x:f>
        <x:v>仄</x:v>
      </x:c>
      <x:c r="K3077" s="6" t="str">
        <x:f>IF(D3077="","",IF(AND(ISNUMBER(SEARCH("平",D3077)),OR(ISNUMBER(SEARCH("上",D3077)),ISNUMBER(SEARCH("去",D3077)),ISNUMBER(SEARCH("入",D3077)))),"Ambiguous",IF(ISNUMBER(SEARCH("平",D3077)),"平","仄")))</x:f>
        <x:v>仄</x:v>
      </x:c>
      <x:c r="L3077" s="7" t="str"/>
    </x:row>
    <x:row r="3078">
      <x:c r="A3078" s="5" t="str">
        <x:v>綢</x:v>
      </x:c>
      <x:c r="B3078" s="6" t="str">
        <x:v>平</x:v>
      </x:c>
      <x:c r="C3078" s="6" t="str">
        <x:f>IF(B3078="","Needs decision","Ready")</x:f>
        <x:v>Ready</x:v>
      </x:c>
      <x:c r="D3078" s="6" t="str">
        <x:v>平</x:v>
      </x:c>
      <x:c r="E3078" s="6" t="str">
        <x:v>drjuw (A)</x:v>
      </x:c>
      <x:c r="F3078" s="6" t="str">
        <x:v>下平聲四豪; 下平聲十一尤</x:v>
      </x:c>
      <x:c r="G3078" s="6" t="str">
        <x:v>Pingshui main list, Wikisource-derived DOCX</x:v>
      </x:c>
      <x:c r="H3078" s="6" t="str">
        <x:v>1</x:v>
      </x:c>
      <x:c r="I3078" s="6" t="str"/>
      <x:c r="J3078" s="6" t="str">
        <x:f>IF(B3078="","",IF(AND(ISNUMBER(SEARCH("平",B3078)),OR(ISNUMBER(SEARCH("上",B3078)),ISNUMBER(SEARCH("去",B3078)),ISNUMBER(SEARCH("入",B3078)))),"Ambiguous",IF(ISNUMBER(SEARCH("平",B3078)),"平","仄")))</x:f>
        <x:v>平</x:v>
      </x:c>
      <x:c r="K3078" s="6" t="str">
        <x:f>IF(D3078="","",IF(AND(ISNUMBER(SEARCH("平",D3078)),OR(ISNUMBER(SEARCH("上",D3078)),ISNUMBER(SEARCH("去",D3078)),ISNUMBER(SEARCH("入",D3078)))),"Ambiguous",IF(ISNUMBER(SEARCH("平",D3078)),"平","仄")))</x:f>
        <x:v>平</x:v>
      </x:c>
      <x:c r="L3078" s="7" t="str"/>
    </x:row>
    <x:row r="3079">
      <x:c r="A3079" s="5" t="str">
        <x:v>綦</x:v>
      </x:c>
      <x:c r="B3079" s="6" t="str"/>
      <x:c r="C3079" s="6" t="str">
        <x:f>IF(B3079="","Needs decision","Ready")</x:f>
        <x:v>Needs decision</x:v>
      </x:c>
      <x:c r="D3079" s="6" t="str">
        <x:v>平/去</x:v>
      </x:c>
      <x:c r="E3079" s="6" t="str">
        <x:v>gi (A); giH (C)</x:v>
      </x:c>
      <x:c r="F3079" s="6" t="str">
        <x:v>上平聲四支</x:v>
      </x:c>
      <x:c r="G3079" s="6" t="str">
        <x:v>Pingshui main list, Wikisource-derived DOCX</x:v>
      </x:c>
      <x:c r="H3079" s="6" t="str">
        <x:v>2</x:v>
      </x:c>
      <x:c r="I3079" s="6" t="str"/>
      <x:c r="J3079" s="6" t="str">
        <x:f>IF(B3079="","",IF(AND(ISNUMBER(SEARCH("平",B3079)),OR(ISNUMBER(SEARCH("上",B3079)),ISNUMBER(SEARCH("去",B3079)),ISNUMBER(SEARCH("入",B3079)))),"Ambiguous",IF(ISNUMBER(SEARCH("平",B3079)),"平","仄")))</x:f>
      </x:c>
      <x:c r="K3079" s="6" t="str">
        <x:f>IF(D3079="","",IF(AND(ISNUMBER(SEARCH("平",D3079)),OR(ISNUMBER(SEARCH("上",D3079)),ISNUMBER(SEARCH("去",D3079)),ISNUMBER(SEARCH("入",D3079)))),"Ambiguous",IF(ISNUMBER(SEARCH("平",D3079)),"平","仄")))</x:f>
        <x:v>Ambiguous</x:v>
      </x:c>
      <x:c r="L3079" s="7" t="str"/>
    </x:row>
    <x:row r="3080">
      <x:c r="A3080" s="5" t="str">
        <x:v>維</x:v>
      </x:c>
      <x:c r="B3080" s="6" t="str">
        <x:v>平</x:v>
      </x:c>
      <x:c r="C3080" s="6" t="str">
        <x:f>IF(B3080="","Needs decision","Ready")</x:f>
        <x:v>Ready</x:v>
      </x:c>
      <x:c r="D3080" s="6" t="str">
        <x:v>平</x:v>
      </x:c>
      <x:c r="E3080" s="6" t="str">
        <x:v>ywij (A)</x:v>
      </x:c>
      <x:c r="F3080" s="6" t="str">
        <x:v>上平聲四支; 去聲二十七沁</x:v>
      </x:c>
      <x:c r="G3080" s="6" t="str">
        <x:v>Pingshui main list, Wikisource-derived DOCX</x:v>
      </x:c>
      <x:c r="H3080" s="6" t="str">
        <x:v>1</x:v>
      </x:c>
      <x:c r="I3080" s="6" t="str"/>
      <x:c r="J3080" s="6" t="str">
        <x:f>IF(B3080="","",IF(AND(ISNUMBER(SEARCH("平",B3080)),OR(ISNUMBER(SEARCH("上",B3080)),ISNUMBER(SEARCH("去",B3080)),ISNUMBER(SEARCH("入",B3080)))),"Ambiguous",IF(ISNUMBER(SEARCH("平",B3080)),"平","仄")))</x:f>
        <x:v>平</x:v>
      </x:c>
      <x:c r="K3080" s="6" t="str">
        <x:f>IF(D3080="","",IF(AND(ISNUMBER(SEARCH("平",D3080)),OR(ISNUMBER(SEARCH("上",D3080)),ISNUMBER(SEARCH("去",D3080)),ISNUMBER(SEARCH("入",D3080)))),"Ambiguous",IF(ISNUMBER(SEARCH("平",D3080)),"平","仄")))</x:f>
        <x:v>平</x:v>
      </x:c>
      <x:c r="L3080" s="7" t="str"/>
    </x:row>
    <x:row r="3081">
      <x:c r="A3081" s="5" t="str">
        <x:v>綱</x:v>
      </x:c>
      <x:c r="B3081" s="6" t="str">
        <x:v>平</x:v>
      </x:c>
      <x:c r="C3081" s="6" t="str">
        <x:f>IF(B3081="","Needs decision","Ready")</x:f>
        <x:v>Ready</x:v>
      </x:c>
      <x:c r="D3081" s="6" t="str">
        <x:v>平</x:v>
      </x:c>
      <x:c r="E3081" s="6" t="str">
        <x:v>kang (A)</x:v>
      </x:c>
      <x:c r="F3081" s="6" t="str">
        <x:v>下平聲七陽</x:v>
      </x:c>
      <x:c r="G3081" s="6" t="str">
        <x:v>Pingshui main list, Wikisource-derived DOCX</x:v>
      </x:c>
      <x:c r="H3081" s="6" t="str">
        <x:v>1</x:v>
      </x:c>
      <x:c r="I3081" s="6" t="str"/>
      <x:c r="J3081" s="6" t="str">
        <x:f>IF(B3081="","",IF(AND(ISNUMBER(SEARCH("平",B3081)),OR(ISNUMBER(SEARCH("上",B3081)),ISNUMBER(SEARCH("去",B3081)),ISNUMBER(SEARCH("入",B3081)))),"Ambiguous",IF(ISNUMBER(SEARCH("平",B3081)),"平","仄")))</x:f>
        <x:v>平</x:v>
      </x:c>
      <x:c r="K3081" s="6" t="str">
        <x:f>IF(D3081="","",IF(AND(ISNUMBER(SEARCH("平",D3081)),OR(ISNUMBER(SEARCH("上",D3081)),ISNUMBER(SEARCH("去",D3081)),ISNUMBER(SEARCH("入",D3081)))),"Ambiguous",IF(ISNUMBER(SEARCH("平",D3081)),"平","仄")))</x:f>
        <x:v>平</x:v>
      </x:c>
      <x:c r="L3081" s="7" t="str"/>
    </x:row>
    <x:row r="3082">
      <x:c r="A3082" s="5" t="str">
        <x:v>網</x:v>
      </x:c>
      <x:c r="B3082" s="6" t="str">
        <x:v>上</x:v>
      </x:c>
      <x:c r="C3082" s="6" t="str">
        <x:f>IF(B3082="","Needs decision","Ready")</x:f>
        <x:v>Ready</x:v>
      </x:c>
      <x:c r="D3082" s="6" t="str">
        <x:v>上</x:v>
      </x:c>
      <x:c r="E3082" s="6" t="str">
        <x:v>mjangX (B)</x:v>
      </x:c>
      <x:c r="F3082" s="6" t="str">
        <x:v>上聲二十二養</x:v>
      </x:c>
      <x:c r="G3082" s="6" t="str">
        <x:v>Pingshui main list, Wikisource-derived DOCX</x:v>
      </x:c>
      <x:c r="H3082" s="6" t="str">
        <x:v>1</x:v>
      </x:c>
      <x:c r="I3082" s="6" t="str"/>
      <x:c r="J3082" s="6" t="str">
        <x:f>IF(B3082="","",IF(AND(ISNUMBER(SEARCH("平",B3082)),OR(ISNUMBER(SEARCH("上",B3082)),ISNUMBER(SEARCH("去",B3082)),ISNUMBER(SEARCH("入",B3082)))),"Ambiguous",IF(ISNUMBER(SEARCH("平",B3082)),"平","仄")))</x:f>
        <x:v>仄</x:v>
      </x:c>
      <x:c r="K3082" s="6" t="str">
        <x:f>IF(D3082="","",IF(AND(ISNUMBER(SEARCH("平",D3082)),OR(ISNUMBER(SEARCH("上",D3082)),ISNUMBER(SEARCH("去",D3082)),ISNUMBER(SEARCH("入",D3082)))),"Ambiguous",IF(ISNUMBER(SEARCH("平",D3082)),"平","仄")))</x:f>
        <x:v>仄</x:v>
      </x:c>
      <x:c r="L3082" s="7" t="str"/>
    </x:row>
    <x:row r="3083">
      <x:c r="A3083" s="5" t="str">
        <x:v>綴</x:v>
      </x:c>
      <x:c r="B3083" s="6" t="str">
        <x:v>入</x:v>
      </x:c>
      <x:c r="C3083" s="6" t="str">
        <x:f>IF(B3083="","Needs decision","Ready")</x:f>
        <x:v>Ready</x:v>
      </x:c>
      <x:c r="D3083" s="6" t="str">
        <x:v>入</x:v>
      </x:c>
      <x:c r="E3083" s="6" t="str">
        <x:v>trjwet (D)</x:v>
      </x:c>
      <x:c r="F3083" s="6" t="str">
        <x:v>去聲八霽; 入聲九屑</x:v>
      </x:c>
      <x:c r="G3083" s="6" t="str">
        <x:v>Pingshui main list, Wikisource-derived DOCX</x:v>
      </x:c>
      <x:c r="H3083" s="6" t="str">
        <x:v>1</x:v>
      </x:c>
      <x:c r="I3083" s="6" t="str"/>
      <x:c r="J3083" s="6" t="str">
        <x:f>IF(B3083="","",IF(AND(ISNUMBER(SEARCH("平",B3083)),OR(ISNUMBER(SEARCH("上",B3083)),ISNUMBER(SEARCH("去",B3083)),ISNUMBER(SEARCH("入",B3083)))),"Ambiguous",IF(ISNUMBER(SEARCH("平",B3083)),"平","仄")))</x:f>
        <x:v>仄</x:v>
      </x:c>
      <x:c r="K3083" s="6" t="str">
        <x:f>IF(D3083="","",IF(AND(ISNUMBER(SEARCH("平",D3083)),OR(ISNUMBER(SEARCH("上",D3083)),ISNUMBER(SEARCH("去",D3083)),ISNUMBER(SEARCH("入",D3083)))),"Ambiguous",IF(ISNUMBER(SEARCH("平",D3083)),"平","仄")))</x:f>
        <x:v>仄</x:v>
      </x:c>
      <x:c r="L3083" s="7" t="str"/>
    </x:row>
    <x:row r="3084">
      <x:c r="A3084" s="5" t="str">
        <x:v>綸</x:v>
      </x:c>
      <x:c r="B3084" s="6" t="str">
        <x:v>平</x:v>
      </x:c>
      <x:c r="C3084" s="6" t="str">
        <x:f>IF(B3084="","Needs decision","Ready")</x:f>
        <x:v>Ready</x:v>
      </x:c>
      <x:c r="D3084" s="6" t="str">
        <x:v>平</x:v>
      </x:c>
      <x:c r="E3084" s="6" t="str">
        <x:v>kwean (A); lwin (A)</x:v>
      </x:c>
      <x:c r="F3084" s="6" t="str">
        <x:v>上平聲十一真; 上平聲十五刪</x:v>
      </x:c>
      <x:c r="G3084" s="6" t="str">
        <x:v>Pingshui main list, Wikisource-derived DOCX</x:v>
      </x:c>
      <x:c r="H3084" s="6" t="str">
        <x:v>2</x:v>
      </x:c>
      <x:c r="I3084" s="6" t="str"/>
      <x:c r="J3084" s="6" t="str">
        <x:f>IF(B3084="","",IF(AND(ISNUMBER(SEARCH("平",B3084)),OR(ISNUMBER(SEARCH("上",B3084)),ISNUMBER(SEARCH("去",B3084)),ISNUMBER(SEARCH("入",B3084)))),"Ambiguous",IF(ISNUMBER(SEARCH("平",B3084)),"平","仄")))</x:f>
        <x:v>平</x:v>
      </x:c>
      <x:c r="K3084" s="6" t="str">
        <x:f>IF(D3084="","",IF(AND(ISNUMBER(SEARCH("平",D3084)),OR(ISNUMBER(SEARCH("上",D3084)),ISNUMBER(SEARCH("去",D3084)),ISNUMBER(SEARCH("入",D3084)))),"Ambiguous",IF(ISNUMBER(SEARCH("平",D3084)),"平","仄")))</x:f>
        <x:v>平</x:v>
      </x:c>
      <x:c r="L3084" s="7" t="str"/>
    </x:row>
    <x:row r="3085">
      <x:c r="A3085" s="5" t="str">
        <x:v>綺</x:v>
      </x:c>
      <x:c r="B3085" s="6" t="str">
        <x:v>上</x:v>
      </x:c>
      <x:c r="C3085" s="6" t="str">
        <x:f>IF(B3085="","Needs decision","Ready")</x:f>
        <x:v>Ready</x:v>
      </x:c>
      <x:c r="D3085" s="6" t="str">
        <x:v>上</x:v>
      </x:c>
      <x:c r="E3085" s="6" t="str">
        <x:v>khjeX (B)</x:v>
      </x:c>
      <x:c r="F3085" s="6" t="str">
        <x:v>上聲四紙</x:v>
      </x:c>
      <x:c r="G3085" s="6" t="str">
        <x:v>Pingshui main list, Wikisource-derived DOCX</x:v>
      </x:c>
      <x:c r="H3085" s="6" t="str">
        <x:v>1</x:v>
      </x:c>
      <x:c r="I3085" s="6" t="str"/>
      <x:c r="J3085" s="6" t="str">
        <x:f>IF(B3085="","",IF(AND(ISNUMBER(SEARCH("平",B3085)),OR(ISNUMBER(SEARCH("上",B3085)),ISNUMBER(SEARCH("去",B3085)),ISNUMBER(SEARCH("入",B3085)))),"Ambiguous",IF(ISNUMBER(SEARCH("平",B3085)),"平","仄")))</x:f>
        <x:v>仄</x:v>
      </x:c>
      <x:c r="K3085" s="6" t="str">
        <x:f>IF(D3085="","",IF(AND(ISNUMBER(SEARCH("平",D3085)),OR(ISNUMBER(SEARCH("上",D3085)),ISNUMBER(SEARCH("去",D3085)),ISNUMBER(SEARCH("入",D3085)))),"Ambiguous",IF(ISNUMBER(SEARCH("平",D3085)),"平","仄")))</x:f>
        <x:v>仄</x:v>
      </x:c>
      <x:c r="L3085" s="7" t="str"/>
    </x:row>
    <x:row r="3086">
      <x:c r="A3086" s="5" t="str">
        <x:v>綽</x:v>
      </x:c>
      <x:c r="B3086" s="6" t="str">
        <x:v>入</x:v>
      </x:c>
      <x:c r="C3086" s="6" t="str">
        <x:f>IF(B3086="","Needs decision","Ready")</x:f>
        <x:v>Ready</x:v>
      </x:c>
      <x:c r="D3086" s="6" t="str">
        <x:v>入</x:v>
      </x:c>
      <x:c r="E3086" s="6" t="str">
        <x:v>tsyhak (D)</x:v>
      </x:c>
      <x:c r="F3086" s="6" t="str">
        <x:v>入聲十藥</x:v>
      </x:c>
      <x:c r="G3086" s="6" t="str">
        <x:v>Pingshui main list, Wikisource-derived DOCX</x:v>
      </x:c>
      <x:c r="H3086" s="6" t="str">
        <x:v>1</x:v>
      </x:c>
      <x:c r="I3086" s="6" t="str"/>
      <x:c r="J3086" s="6" t="str">
        <x:f>IF(B3086="","",IF(AND(ISNUMBER(SEARCH("平",B3086)),OR(ISNUMBER(SEARCH("上",B3086)),ISNUMBER(SEARCH("去",B3086)),ISNUMBER(SEARCH("入",B3086)))),"Ambiguous",IF(ISNUMBER(SEARCH("平",B3086)),"平","仄")))</x:f>
        <x:v>仄</x:v>
      </x:c>
      <x:c r="K3086" s="6" t="str">
        <x:f>IF(D3086="","",IF(AND(ISNUMBER(SEARCH("平",D3086)),OR(ISNUMBER(SEARCH("上",D3086)),ISNUMBER(SEARCH("去",D3086)),ISNUMBER(SEARCH("入",D3086)))),"Ambiguous",IF(ISNUMBER(SEARCH("平",D3086)),"平","仄")))</x:f>
        <x:v>仄</x:v>
      </x:c>
      <x:c r="L3086" s="7" t="str"/>
    </x:row>
    <x:row r="3087">
      <x:c r="A3087" s="5" t="str">
        <x:v>綿</x:v>
      </x:c>
      <x:c r="B3087" s="6" t="str">
        <x:v>平</x:v>
      </x:c>
      <x:c r="C3087" s="6" t="str">
        <x:f>IF(B3087="","Needs decision","Ready")</x:f>
        <x:v>Ready</x:v>
      </x:c>
      <x:c r="D3087" s="6" t="str">
        <x:v>平</x:v>
      </x:c>
      <x:c r="E3087" s="6" t="str">
        <x:v>mjien [mjen] (平)</x:v>
      </x:c>
      <x:c r="F3087" s="6" t="str">
        <x:v>下平聲一先</x:v>
      </x:c>
      <x:c r="G3087" s="6" t="str">
        <x:v>Pingshui main list, Wikisource-derived DOCX</x:v>
      </x:c>
      <x:c r="H3087" s="6" t="str">
        <x:v>1</x:v>
      </x:c>
      <x:c r="I3087" s="6" t="str">
        <x:v>Tang 300 gap; frequency 2; provisional from Xun Gong</x:v>
      </x:c>
      <x:c r="J3087" s="6" t="str">
        <x:f>IF(B3087="","",IF(AND(ISNUMBER(SEARCH("平",B3087)),OR(ISNUMBER(SEARCH("上",B3087)),ISNUMBER(SEARCH("去",B3087)),ISNUMBER(SEARCH("入",B3087)))),"Ambiguous",IF(ISNUMBER(SEARCH("平",B3087)),"平","仄")))</x:f>
        <x:v>平</x:v>
      </x:c>
      <x:c r="K3087" s="6" t="str">
        <x:f>IF(D3087="","",IF(AND(ISNUMBER(SEARCH("平",D3087)),OR(ISNUMBER(SEARCH("上",D3087)),ISNUMBER(SEARCH("去",D3087)),ISNUMBER(SEARCH("入",D3087)))),"Ambiguous",IF(ISNUMBER(SEARCH("平",D3087)),"平","仄")))</x:f>
        <x:v>平</x:v>
      </x:c>
      <x:c r="L3087" s="7" t="str">
        <x:v>Xun Gong, Tang 300 gap fill</x:v>
      </x:c>
    </x:row>
    <x:row r="3088">
      <x:c r="A3088" s="5" t="str">
        <x:v>緇</x:v>
      </x:c>
      <x:c r="B3088" s="6" t="str">
        <x:v>平</x:v>
      </x:c>
      <x:c r="C3088" s="6" t="str">
        <x:f>IF(B3088="","Needs decision","Ready")</x:f>
        <x:v>Ready</x:v>
      </x:c>
      <x:c r="D3088" s="6" t="str">
        <x:v>平</x:v>
      </x:c>
      <x:c r="E3088" s="6" t="str">
        <x:v>tsri (A)</x:v>
      </x:c>
      <x:c r="F3088" s="6" t="str">
        <x:v>上平聲四支</x:v>
      </x:c>
      <x:c r="G3088" s="6" t="str">
        <x:v>Pingshui main list, Wikisource-derived DOCX</x:v>
      </x:c>
      <x:c r="H3088" s="6" t="str">
        <x:v>1</x:v>
      </x:c>
      <x:c r="I3088" s="6" t="str"/>
      <x:c r="J3088" s="6" t="str">
        <x:f>IF(B3088="","",IF(AND(ISNUMBER(SEARCH("平",B3088)),OR(ISNUMBER(SEARCH("上",B3088)),ISNUMBER(SEARCH("去",B3088)),ISNUMBER(SEARCH("入",B3088)))),"Ambiguous",IF(ISNUMBER(SEARCH("平",B3088)),"平","仄")))</x:f>
        <x:v>平</x:v>
      </x:c>
      <x:c r="K3088" s="6" t="str">
        <x:f>IF(D3088="","",IF(AND(ISNUMBER(SEARCH("平",D3088)),OR(ISNUMBER(SEARCH("上",D3088)),ISNUMBER(SEARCH("去",D3088)),ISNUMBER(SEARCH("入",D3088)))),"Ambiguous",IF(ISNUMBER(SEARCH("平",D3088)),"平","仄")))</x:f>
        <x:v>平</x:v>
      </x:c>
      <x:c r="L3088" s="7" t="str"/>
    </x:row>
    <x:row r="3089">
      <x:c r="A3089" s="5" t="str">
        <x:v>緊</x:v>
      </x:c>
      <x:c r="B3089" s="6" t="str">
        <x:v>上</x:v>
      </x:c>
      <x:c r="C3089" s="6" t="str">
        <x:f>IF(B3089="","Needs decision","Ready")</x:f>
        <x:v>Ready</x:v>
      </x:c>
      <x:c r="D3089" s="6" t="str">
        <x:v>上</x:v>
      </x:c>
      <x:c r="E3089" s="6" t="str">
        <x:v>kjinX (B)</x:v>
      </x:c>
      <x:c r="F3089" s="6" t="str">
        <x:v>上聲十一軫</x:v>
      </x:c>
      <x:c r="G3089" s="6" t="str">
        <x:v>Pingshui main list, Wikisource-derived DOCX</x:v>
      </x:c>
      <x:c r="H3089" s="6" t="str">
        <x:v>1</x:v>
      </x:c>
      <x:c r="I3089" s="6" t="str"/>
      <x:c r="J3089" s="6" t="str">
        <x:f>IF(B3089="","",IF(AND(ISNUMBER(SEARCH("平",B3089)),OR(ISNUMBER(SEARCH("上",B3089)),ISNUMBER(SEARCH("去",B3089)),ISNUMBER(SEARCH("入",B3089)))),"Ambiguous",IF(ISNUMBER(SEARCH("平",B3089)),"平","仄")))</x:f>
        <x:v>仄</x:v>
      </x:c>
      <x:c r="K3089" s="6" t="str">
        <x:f>IF(D3089="","",IF(AND(ISNUMBER(SEARCH("平",D3089)),OR(ISNUMBER(SEARCH("上",D3089)),ISNUMBER(SEARCH("去",D3089)),ISNUMBER(SEARCH("入",D3089)))),"Ambiguous",IF(ISNUMBER(SEARCH("平",D3089)),"平","仄")))</x:f>
        <x:v>仄</x:v>
      </x:c>
      <x:c r="L3089" s="7" t="str"/>
    </x:row>
    <x:row r="3090">
      <x:c r="A3090" s="5" t="str">
        <x:v>緌</x:v>
      </x:c>
      <x:c r="B3090" s="6" t="str">
        <x:v>平</x:v>
      </x:c>
      <x:c r="C3090" s="6" t="str">
        <x:f>IF(B3090="","Needs decision","Ready")</x:f>
        <x:v>Ready</x:v>
      </x:c>
      <x:c r="D3090" s="6" t="str">
        <x:v>平</x:v>
      </x:c>
      <x:c r="E3090" s="6" t="str">
        <x:v>nywij (A)</x:v>
      </x:c>
      <x:c r="F3090" s="6" t="str">
        <x:v>上平聲四支</x:v>
      </x:c>
      <x:c r="G3090" s="6" t="str">
        <x:v>Pingshui main list, Wikisource-derived DOCX</x:v>
      </x:c>
      <x:c r="H3090" s="6" t="str">
        <x:v>1</x:v>
      </x:c>
      <x:c r="I3090" s="6" t="str"/>
      <x:c r="J3090" s="6" t="str">
        <x:f>IF(B3090="","",IF(AND(ISNUMBER(SEARCH("平",B3090)),OR(ISNUMBER(SEARCH("上",B3090)),ISNUMBER(SEARCH("去",B3090)),ISNUMBER(SEARCH("入",B3090)))),"Ambiguous",IF(ISNUMBER(SEARCH("平",B3090)),"平","仄")))</x:f>
        <x:v>平</x:v>
      </x:c>
      <x:c r="K3090" s="6" t="str">
        <x:f>IF(D3090="","",IF(AND(ISNUMBER(SEARCH("平",D3090)),OR(ISNUMBER(SEARCH("上",D3090)),ISNUMBER(SEARCH("去",D3090)),ISNUMBER(SEARCH("入",D3090)))),"Ambiguous",IF(ISNUMBER(SEARCH("平",D3090)),"平","仄")))</x:f>
        <x:v>平</x:v>
      </x:c>
      <x:c r="L3090" s="7" t="str"/>
    </x:row>
    <x:row r="3091">
      <x:c r="A3091" s="5" t="str">
        <x:v>緎</x:v>
      </x:c>
      <x:c r="B3091" s="6" t="str">
        <x:v>入</x:v>
      </x:c>
      <x:c r="C3091" s="6" t="str">
        <x:f>IF(B3091="","Needs decision","Ready")</x:f>
        <x:v>Ready</x:v>
      </x:c>
      <x:c r="D3091" s="6" t="str">
        <x:v>入</x:v>
      </x:c>
      <x:c r="E3091" s="6" t="str">
        <x:v>hwik (D); xwik (D)</x:v>
      </x:c>
      <x:c r="F3091" s="6" t="str">
        <x:v>入聲十三職</x:v>
      </x:c>
      <x:c r="G3091" s="6" t="str">
        <x:v>Pingshui main list, Wikisource-derived DOCX</x:v>
      </x:c>
      <x:c r="H3091" s="6" t="str">
        <x:v>2</x:v>
      </x:c>
      <x:c r="I3091" s="6" t="str"/>
      <x:c r="J3091" s="6" t="str">
        <x:f>IF(B3091="","",IF(AND(ISNUMBER(SEARCH("平",B3091)),OR(ISNUMBER(SEARCH("上",B3091)),ISNUMBER(SEARCH("去",B3091)),ISNUMBER(SEARCH("入",B3091)))),"Ambiguous",IF(ISNUMBER(SEARCH("平",B3091)),"平","仄")))</x:f>
        <x:v>仄</x:v>
      </x:c>
      <x:c r="K3091" s="6" t="str">
        <x:f>IF(D3091="","",IF(AND(ISNUMBER(SEARCH("平",D3091)),OR(ISNUMBER(SEARCH("上",D3091)),ISNUMBER(SEARCH("去",D3091)),ISNUMBER(SEARCH("入",D3091)))),"Ambiguous",IF(ISNUMBER(SEARCH("平",D3091)),"平","仄")))</x:f>
        <x:v>仄</x:v>
      </x:c>
      <x:c r="L3091" s="7" t="str"/>
    </x:row>
    <x:row r="3092">
      <x:c r="A3092" s="5" t="str">
        <x:v>緒</x:v>
      </x:c>
      <x:c r="B3092" s="6" t="str">
        <x:v>上</x:v>
      </x:c>
      <x:c r="C3092" s="6" t="str">
        <x:f>IF(B3092="","Needs decision","Ready")</x:f>
        <x:v>Ready</x:v>
      </x:c>
      <x:c r="D3092" s="6" t="str">
        <x:v>上</x:v>
      </x:c>
      <x:c r="E3092" s="6" t="str">
        <x:v>zjoX (B)</x:v>
      </x:c>
      <x:c r="F3092" s="6" t="str">
        <x:v>上聲六語</x:v>
      </x:c>
      <x:c r="G3092" s="6" t="str">
        <x:v>Pingshui main list, Wikisource-derived DOCX</x:v>
      </x:c>
      <x:c r="H3092" s="6" t="str">
        <x:v>1</x:v>
      </x:c>
      <x:c r="I3092" s="6" t="str"/>
      <x:c r="J3092" s="6" t="str">
        <x:f>IF(B3092="","",IF(AND(ISNUMBER(SEARCH("平",B3092)),OR(ISNUMBER(SEARCH("上",B3092)),ISNUMBER(SEARCH("去",B3092)),ISNUMBER(SEARCH("入",B3092)))),"Ambiguous",IF(ISNUMBER(SEARCH("平",B3092)),"平","仄")))</x:f>
        <x:v>仄</x:v>
      </x:c>
      <x:c r="K3092" s="6" t="str">
        <x:f>IF(D3092="","",IF(AND(ISNUMBER(SEARCH("平",D3092)),OR(ISNUMBER(SEARCH("上",D3092)),ISNUMBER(SEARCH("去",D3092)),ISNUMBER(SEARCH("入",D3092)))),"Ambiguous",IF(ISNUMBER(SEARCH("平",D3092)),"平","仄")))</x:f>
        <x:v>仄</x:v>
      </x:c>
      <x:c r="L3092" s="7" t="str"/>
    </x:row>
    <x:row r="3093">
      <x:c r="A3093" s="5" t="str">
        <x:v>緗</x:v>
      </x:c>
      <x:c r="B3093" s="6" t="str">
        <x:v>平</x:v>
      </x:c>
      <x:c r="C3093" s="6" t="str">
        <x:f>IF(B3093="","Needs decision","Ready")</x:f>
        <x:v>Ready</x:v>
      </x:c>
      <x:c r="D3093" s="6" t="str">
        <x:v>平</x:v>
      </x:c>
      <x:c r="E3093" s="6" t="str">
        <x:v>sjang [心開三陽平] sjɑŋ</x:v>
      </x:c>
      <x:c r="F3093" s="6" t="str">
        <x:v>下平聲七陽</x:v>
      </x:c>
      <x:c r="G3093" s="6" t="str">
        <x:v>Pingshui main list, Wikisource-derived DOCX</x:v>
      </x:c>
      <x:c r="H3093" s="6" t="str">
        <x:v>1</x:v>
      </x:c>
      <x:c r="I3093" s="6" t="str">
        <x:v>Targeted preliminary fill from Xun Gong; review if uncertain</x:v>
      </x:c>
      <x:c r="J3093" s="6" t="str">
        <x:f>IF(B3093="","",IF(AND(ISNUMBER(SEARCH("平",B3093)),OR(ISNUMBER(SEARCH("上",B3093)),ISNUMBER(SEARCH("去",B3093)),ISNUMBER(SEARCH("入",B3093)))),"Ambiguous",IF(ISNUMBER(SEARCH("平",B3093)),"平","仄")))</x:f>
        <x:v>平</x:v>
      </x:c>
      <x:c r="K3093" s="6" t="str">
        <x:f>IF(D3093="","",IF(AND(ISNUMBER(SEARCH("平",D3093)),OR(ISNUMBER(SEARCH("上",D3093)),ISNUMBER(SEARCH("去",D3093)),ISNUMBER(SEARCH("入",D3093)))),"Ambiguous",IF(ISNUMBER(SEARCH("平",D3093)),"平","仄")))</x:f>
        <x:v>平</x:v>
      </x:c>
      <x:c r="L3093" s="7" t="str">
        <x:v>Xun Gong character-readings.csv</x:v>
      </x:c>
    </x:row>
    <x:row r="3094">
      <x:c r="A3094" s="5" t="str">
        <x:v>緘</x:v>
      </x:c>
      <x:c r="B3094" s="6" t="str">
        <x:v>平</x:v>
      </x:c>
      <x:c r="C3094" s="6" t="str">
        <x:f>IF(B3094="","Needs decision","Ready")</x:f>
        <x:v>Ready</x:v>
      </x:c>
      <x:c r="D3094" s="6" t="str">
        <x:v>平</x:v>
      </x:c>
      <x:c r="E3094" s="6" t="str">
        <x:v>keam [qeˤm] (平)</x:v>
      </x:c>
      <x:c r="F3094" s="6" t="str">
        <x:v>下平聲十五咸</x:v>
      </x:c>
      <x:c r="G3094" s="6" t="str">
        <x:v>Pingshui main list, Wikisource-derived DOCX</x:v>
      </x:c>
      <x:c r="H3094" s="6" t="str">
        <x:v>1</x:v>
      </x:c>
      <x:c r="I3094" s="6" t="str">
        <x:v>Tang 300 gap; frequency 1; provisional from Xun Gong</x:v>
      </x:c>
      <x:c r="J3094" s="6" t="str">
        <x:f>IF(B3094="","",IF(AND(ISNUMBER(SEARCH("平",B3094)),OR(ISNUMBER(SEARCH("上",B3094)),ISNUMBER(SEARCH("去",B3094)),ISNUMBER(SEARCH("入",B3094)))),"Ambiguous",IF(ISNUMBER(SEARCH("平",B3094)),"平","仄")))</x:f>
        <x:v>平</x:v>
      </x:c>
      <x:c r="K3094" s="6" t="str">
        <x:f>IF(D3094="","",IF(AND(ISNUMBER(SEARCH("平",D3094)),OR(ISNUMBER(SEARCH("上",D3094)),ISNUMBER(SEARCH("去",D3094)),ISNUMBER(SEARCH("入",D3094)))),"Ambiguous",IF(ISNUMBER(SEARCH("平",D3094)),"平","仄")))</x:f>
        <x:v>平</x:v>
      </x:c>
      <x:c r="L3094" s="7" t="str">
        <x:v>Xun Gong, Tang 300 gap fill</x:v>
      </x:c>
    </x:row>
    <x:row r="3095">
      <x:c r="A3095" s="5" t="str">
        <x:v>線</x:v>
      </x:c>
      <x:c r="B3095" s="6" t="str">
        <x:v>去</x:v>
      </x:c>
      <x:c r="C3095" s="6" t="str">
        <x:f>IF(B3095="","Needs decision","Ready")</x:f>
        <x:v>Ready</x:v>
      </x:c>
      <x:c r="D3095" s="6" t="str">
        <x:v>去</x:v>
      </x:c>
      <x:c r="E3095" s="6" t="str">
        <x:v>sjenH [sjenh] (去)</x:v>
      </x:c>
      <x:c r="F3095" s="6" t="str">
        <x:v>去聲十七霰</x:v>
      </x:c>
      <x:c r="G3095" s="6" t="str">
        <x:v>Pingshui main list, Wikisource-derived DOCX</x:v>
      </x:c>
      <x:c r="H3095" s="6" t="str">
        <x:v>1</x:v>
      </x:c>
      <x:c r="I3095" s="6" t="str">
        <x:v>Tang 300 gap; frequency 3; provisional from Xun Gong</x:v>
      </x:c>
      <x:c r="J3095" s="6" t="str">
        <x:f>IF(B3095="","",IF(AND(ISNUMBER(SEARCH("平",B3095)),OR(ISNUMBER(SEARCH("上",B3095)),ISNUMBER(SEARCH("去",B3095)),ISNUMBER(SEARCH("入",B3095)))),"Ambiguous",IF(ISNUMBER(SEARCH("平",B3095)),"平","仄")))</x:f>
        <x:v>仄</x:v>
      </x:c>
      <x:c r="K3095" s="6" t="str">
        <x:f>IF(D3095="","",IF(AND(ISNUMBER(SEARCH("平",D3095)),OR(ISNUMBER(SEARCH("上",D3095)),ISNUMBER(SEARCH("去",D3095)),ISNUMBER(SEARCH("入",D3095)))),"Ambiguous",IF(ISNUMBER(SEARCH("平",D3095)),"平","仄")))</x:f>
        <x:v>仄</x:v>
      </x:c>
      <x:c r="L3095" s="7" t="str">
        <x:v>Xun Gong, Tang 300 gap fill</x:v>
      </x:c>
    </x:row>
    <x:row r="3096">
      <x:c r="A3096" s="5" t="str">
        <x:v>緝</x:v>
      </x:c>
      <x:c r="B3096" s="6" t="str">
        <x:v>入</x:v>
      </x:c>
      <x:c r="C3096" s="6" t="str">
        <x:f>IF(B3096="","Needs decision","Ready")</x:f>
        <x:v>Ready</x:v>
      </x:c>
      <x:c r="D3096" s="6" t="str">
        <x:v>入</x:v>
      </x:c>
      <x:c r="E3096" s="6" t="str">
        <x:v>tship (D)</x:v>
      </x:c>
      <x:c r="F3096" s="6" t="str">
        <x:v>入聲十四緝</x:v>
      </x:c>
      <x:c r="G3096" s="6" t="str">
        <x:v>Pingshui main list, Wikisource-derived DOCX</x:v>
      </x:c>
      <x:c r="H3096" s="6" t="str">
        <x:v>1</x:v>
      </x:c>
      <x:c r="I3096" s="6" t="str"/>
      <x:c r="J3096" s="6" t="str">
        <x:f>IF(B3096="","",IF(AND(ISNUMBER(SEARCH("平",B3096)),OR(ISNUMBER(SEARCH("上",B3096)),ISNUMBER(SEARCH("去",B3096)),ISNUMBER(SEARCH("入",B3096)))),"Ambiguous",IF(ISNUMBER(SEARCH("平",B3096)),"平","仄")))</x:f>
        <x:v>仄</x:v>
      </x:c>
      <x:c r="K3096" s="6" t="str">
        <x:f>IF(D3096="","",IF(AND(ISNUMBER(SEARCH("平",D3096)),OR(ISNUMBER(SEARCH("上",D3096)),ISNUMBER(SEARCH("去",D3096)),ISNUMBER(SEARCH("入",D3096)))),"Ambiguous",IF(ISNUMBER(SEARCH("平",D3096)),"平","仄")))</x:f>
        <x:v>仄</x:v>
      </x:c>
      <x:c r="L3096" s="7" t="str"/>
    </x:row>
    <x:row r="3097">
      <x:c r="A3097" s="5" t="str">
        <x:v>緡</x:v>
      </x:c>
      <x:c r="B3097" s="6" t="str">
        <x:v>平</x:v>
      </x:c>
      <x:c r="C3097" s="6" t="str">
        <x:f>IF(B3097="","Needs decision","Ready")</x:f>
        <x:v>Ready</x:v>
      </x:c>
      <x:c r="D3097" s="6" t="str">
        <x:v>平</x:v>
      </x:c>
      <x:c r="E3097" s="6" t="str">
        <x:v>min (A)</x:v>
      </x:c>
      <x:c r="F3097" s="6" t="str">
        <x:v>上平聲十一真</x:v>
      </x:c>
      <x:c r="G3097" s="6" t="str">
        <x:v>Pingshui main list, Wikisource-derived DOCX</x:v>
      </x:c>
      <x:c r="H3097" s="6" t="str">
        <x:v>1</x:v>
      </x:c>
      <x:c r="I3097" s="6" t="str"/>
      <x:c r="J3097" s="6" t="str">
        <x:f>IF(B3097="","",IF(AND(ISNUMBER(SEARCH("平",B3097)),OR(ISNUMBER(SEARCH("上",B3097)),ISNUMBER(SEARCH("去",B3097)),ISNUMBER(SEARCH("入",B3097)))),"Ambiguous",IF(ISNUMBER(SEARCH("平",B3097)),"平","仄")))</x:f>
        <x:v>平</x:v>
      </x:c>
      <x:c r="K3097" s="6" t="str">
        <x:f>IF(D3097="","",IF(AND(ISNUMBER(SEARCH("平",D3097)),OR(ISNUMBER(SEARCH("上",D3097)),ISNUMBER(SEARCH("去",D3097)),ISNUMBER(SEARCH("入",D3097)))),"Ambiguous",IF(ISNUMBER(SEARCH("平",D3097)),"平","仄")))</x:f>
        <x:v>平</x:v>
      </x:c>
      <x:c r="L3097" s="7" t="str"/>
    </x:row>
    <x:row r="3098">
      <x:c r="A3098" s="5" t="str">
        <x:v>緣</x:v>
      </x:c>
      <x:c r="B3098" s="6" t="str">
        <x:v>平</x:v>
      </x:c>
      <x:c r="C3098" s="6" t="str">
        <x:f>IF(B3098="","Needs decision","Ready")</x:f>
        <x:v>Ready</x:v>
      </x:c>
      <x:c r="D3098" s="6" t="str">
        <x:v>平</x:v>
      </x:c>
      <x:c r="E3098" s="6" t="str">
        <x:v>ywen (A)</x:v>
      </x:c>
      <x:c r="F3098" s="6" t="str">
        <x:v>下平聲一先; 去聲十七霰</x:v>
      </x:c>
      <x:c r="G3098" s="6" t="str">
        <x:v>Pingshui main list, Wikisource-derived DOCX</x:v>
      </x:c>
      <x:c r="H3098" s="6" t="str">
        <x:v>1</x:v>
      </x:c>
      <x:c r="I3098" s="6" t="str"/>
      <x:c r="J3098" s="6" t="str">
        <x:f>IF(B3098="","",IF(AND(ISNUMBER(SEARCH("平",B3098)),OR(ISNUMBER(SEARCH("上",B3098)),ISNUMBER(SEARCH("去",B3098)),ISNUMBER(SEARCH("入",B3098)))),"Ambiguous",IF(ISNUMBER(SEARCH("平",B3098)),"平","仄")))</x:f>
        <x:v>平</x:v>
      </x:c>
      <x:c r="K3098" s="6" t="str">
        <x:f>IF(D3098="","",IF(AND(ISNUMBER(SEARCH("平",D3098)),OR(ISNUMBER(SEARCH("上",D3098)),ISNUMBER(SEARCH("去",D3098)),ISNUMBER(SEARCH("入",D3098)))),"Ambiguous",IF(ISNUMBER(SEARCH("平",D3098)),"平","仄")))</x:f>
        <x:v>平</x:v>
      </x:c>
      <x:c r="L3098" s="7" t="str"/>
    </x:row>
    <x:row r="3099">
      <x:c r="A3099" s="5" t="str">
        <x:v>緧</x:v>
      </x:c>
      <x:c r="B3099" s="6" t="str">
        <x:v>平</x:v>
      </x:c>
      <x:c r="C3099" s="6" t="str">
        <x:f>IF(B3099="","Needs decision","Ready")</x:f>
        <x:v>Ready</x:v>
      </x:c>
      <x:c r="D3099" s="6" t="str">
        <x:v>平</x:v>
      </x:c>
      <x:c r="E3099" s="6" t="str">
        <x:v>tshjuw (A)</x:v>
      </x:c>
      <x:c r="F3099" s="6" t="str"/>
      <x:c r="G3099" s="6" t="str"/>
      <x:c r="H3099" s="6" t="str">
        <x:v>1</x:v>
      </x:c>
      <x:c r="I3099" s="6" t="str"/>
      <x:c r="J3099" s="6" t="str">
        <x:f>IF(B3099="","",IF(AND(ISNUMBER(SEARCH("平",B3099)),OR(ISNUMBER(SEARCH("上",B3099)),ISNUMBER(SEARCH("去",B3099)),ISNUMBER(SEARCH("入",B3099)))),"Ambiguous",IF(ISNUMBER(SEARCH("平",B3099)),"平","仄")))</x:f>
        <x:v>平</x:v>
      </x:c>
      <x:c r="K3099" s="6" t="str">
        <x:f>IF(D3099="","",IF(AND(ISNUMBER(SEARCH("平",D3099)),OR(ISNUMBER(SEARCH("上",D3099)),ISNUMBER(SEARCH("去",D3099)),ISNUMBER(SEARCH("入",D3099)))),"Ambiguous",IF(ISNUMBER(SEARCH("平",D3099)),"平","仄")))</x:f>
        <x:v>平</x:v>
      </x:c>
      <x:c r="L3099" s="7" t="str"/>
    </x:row>
    <x:row r="3100">
      <x:c r="A3100" s="5" t="str">
        <x:v>編</x:v>
      </x:c>
      <x:c r="B3100" s="6" t="str">
        <x:v>平</x:v>
      </x:c>
      <x:c r="C3100" s="6" t="str">
        <x:f>IF(B3100="","Needs decision","Ready")</x:f>
        <x:v>Ready</x:v>
      </x:c>
      <x:c r="D3100" s="6" t="str">
        <x:v>平</x:v>
      </x:c>
      <x:c r="E3100" s="6" t="str">
        <x:v>pen (A); pjien (A)</x:v>
      </x:c>
      <x:c r="F3100" s="6" t="str">
        <x:v>下平聲一先</x:v>
      </x:c>
      <x:c r="G3100" s="6" t="str">
        <x:v>Pingshui main list, Wikisource-derived DOCX</x:v>
      </x:c>
      <x:c r="H3100" s="6" t="str">
        <x:v>2</x:v>
      </x:c>
      <x:c r="I3100" s="6" t="str"/>
      <x:c r="J3100" s="6" t="str">
        <x:f>IF(B3100="","",IF(AND(ISNUMBER(SEARCH("平",B3100)),OR(ISNUMBER(SEARCH("上",B3100)),ISNUMBER(SEARCH("去",B3100)),ISNUMBER(SEARCH("入",B3100)))),"Ambiguous",IF(ISNUMBER(SEARCH("平",B3100)),"平","仄")))</x:f>
        <x:v>平</x:v>
      </x:c>
      <x:c r="K3100" s="6" t="str">
        <x:f>IF(D3100="","",IF(AND(ISNUMBER(SEARCH("平",D3100)),OR(ISNUMBER(SEARCH("上",D3100)),ISNUMBER(SEARCH("去",D3100)),ISNUMBER(SEARCH("入",D3100)))),"Ambiguous",IF(ISNUMBER(SEARCH("平",D3100)),"平","仄")))</x:f>
        <x:v>平</x:v>
      </x:c>
      <x:c r="L3100" s="7" t="str"/>
    </x:row>
    <x:row r="3101">
      <x:c r="A3101" s="5" t="str">
        <x:v>緩</x:v>
      </x:c>
      <x:c r="B3101" s="6" t="str">
        <x:v>上</x:v>
      </x:c>
      <x:c r="C3101" s="6" t="str">
        <x:f>IF(B3101="","Needs decision","Ready")</x:f>
        <x:v>Ready</x:v>
      </x:c>
      <x:c r="D3101" s="6" t="str">
        <x:v>上</x:v>
      </x:c>
      <x:c r="E3101" s="6" t="str">
        <x:v>hwanX (B)</x:v>
      </x:c>
      <x:c r="F3101" s="6" t="str">
        <x:v>上聲十四旱</x:v>
      </x:c>
      <x:c r="G3101" s="6" t="str">
        <x:v>Pingshui main list, Wikisource-derived DOCX</x:v>
      </x:c>
      <x:c r="H3101" s="6" t="str">
        <x:v>1</x:v>
      </x:c>
      <x:c r="I3101" s="6" t="str"/>
      <x:c r="J3101" s="6" t="str">
        <x:f>IF(B3101="","",IF(AND(ISNUMBER(SEARCH("平",B3101)),OR(ISNUMBER(SEARCH("上",B3101)),ISNUMBER(SEARCH("去",B3101)),ISNUMBER(SEARCH("入",B3101)))),"Ambiguous",IF(ISNUMBER(SEARCH("平",B3101)),"平","仄")))</x:f>
        <x:v>仄</x:v>
      </x:c>
      <x:c r="K3101" s="6" t="str">
        <x:f>IF(D3101="","",IF(AND(ISNUMBER(SEARCH("平",D3101)),OR(ISNUMBER(SEARCH("上",D3101)),ISNUMBER(SEARCH("去",D3101)),ISNUMBER(SEARCH("入",D3101)))),"Ambiguous",IF(ISNUMBER(SEARCH("平",D3101)),"平","仄")))</x:f>
        <x:v>仄</x:v>
      </x:c>
      <x:c r="L3101" s="7" t="str"/>
    </x:row>
    <x:row r="3102">
      <x:c r="A3102" s="5" t="str">
        <x:v>緫</x:v>
      </x:c>
      <x:c r="B3102" s="6" t="str">
        <x:v>上</x:v>
      </x:c>
      <x:c r="C3102" s="6" t="str">
        <x:f>IF(B3102="","Needs decision","Ready")</x:f>
        <x:v>Ready</x:v>
      </x:c>
      <x:c r="D3102" s="6" t="str">
        <x:v>平/上</x:v>
      </x:c>
      <x:c r="E3102" s="6" t="str">
        <x:v>tsuwng (A); tsuwngX (B)</x:v>
      </x:c>
      <x:c r="F3102" s="6" t="str"/>
      <x:c r="G3102" s="6" t="str"/>
      <x:c r="H3102" s="6" t="str">
        <x:v>2</x:v>
      </x:c>
      <x:c r="I3102" s="6" t="str"/>
      <x:c r="J3102" s="6" t="str">
        <x:f>IF(B3102="","",IF(AND(ISNUMBER(SEARCH("平",B3102)),OR(ISNUMBER(SEARCH("上",B3102)),ISNUMBER(SEARCH("去",B3102)),ISNUMBER(SEARCH("入",B3102)))),"Ambiguous",IF(ISNUMBER(SEARCH("平",B3102)),"平","仄")))</x:f>
        <x:v>仄</x:v>
      </x:c>
      <x:c r="K3102" s="6" t="str">
        <x:f>IF(D3102="","",IF(AND(ISNUMBER(SEARCH("平",D3102)),OR(ISNUMBER(SEARCH("上",D3102)),ISNUMBER(SEARCH("去",D3102)),ISNUMBER(SEARCH("入",D3102)))),"Ambiguous",IF(ISNUMBER(SEARCH("平",D3102)),"平","仄")))</x:f>
        <x:v>Ambiguous</x:v>
      </x:c>
      <x:c r="L3102" s="7" t="str"/>
    </x:row>
    <x:row r="3103">
      <x:c r="A3103" s="5" t="str">
        <x:v>緯</x:v>
      </x:c>
      <x:c r="B3103" s="6" t="str">
        <x:v>去</x:v>
      </x:c>
      <x:c r="C3103" s="6" t="str">
        <x:f>IF(B3103="","Needs decision","Ready")</x:f>
        <x:v>Ready</x:v>
      </x:c>
      <x:c r="D3103" s="6" t="str">
        <x:v>去</x:v>
      </x:c>
      <x:c r="E3103" s="6" t="str">
        <x:v>hjw+jH [wɨjh] (去)</x:v>
      </x:c>
      <x:c r="F3103" s="6" t="str">
        <x:v>去聲五未</x:v>
      </x:c>
      <x:c r="G3103" s="6" t="str">
        <x:v>Pingshui main list, Wikisource-derived DOCX</x:v>
      </x:c>
      <x:c r="H3103" s="6" t="str">
        <x:v>1</x:v>
      </x:c>
      <x:c r="I3103" s="6" t="str">
        <x:v>Tang 300 gap; frequency 1; provisional from Xun Gong</x:v>
      </x:c>
      <x:c r="J3103" s="6" t="str">
        <x:f>IF(B3103="","",IF(AND(ISNUMBER(SEARCH("平",B3103)),OR(ISNUMBER(SEARCH("上",B3103)),ISNUMBER(SEARCH("去",B3103)),ISNUMBER(SEARCH("入",B3103)))),"Ambiguous",IF(ISNUMBER(SEARCH("平",B3103)),"平","仄")))</x:f>
        <x:v>仄</x:v>
      </x:c>
      <x:c r="K3103" s="6" t="str">
        <x:f>IF(D3103="","",IF(AND(ISNUMBER(SEARCH("平",D3103)),OR(ISNUMBER(SEARCH("上",D3103)),ISNUMBER(SEARCH("去",D3103)),ISNUMBER(SEARCH("入",D3103)))),"Ambiguous",IF(ISNUMBER(SEARCH("平",D3103)),"平","仄")))</x:f>
        <x:v>仄</x:v>
      </x:c>
      <x:c r="L3103" s="7" t="str">
        <x:v>Xun Gong, Tang 300 gap fill</x:v>
      </x:c>
    </x:row>
    <x:row r="3104">
      <x:c r="A3104" s="5" t="str">
        <x:v>練</x:v>
      </x:c>
      <x:c r="B3104" s="6" t="str">
        <x:v>去</x:v>
      </x:c>
      <x:c r="C3104" s="6" t="str">
        <x:f>IF(B3104="","Needs decision","Ready")</x:f>
        <x:v>Ready</x:v>
      </x:c>
      <x:c r="D3104" s="6" t="str">
        <x:v>去</x:v>
      </x:c>
      <x:c r="E3104" s="6" t="str">
        <x:v>lenH (C)</x:v>
      </x:c>
      <x:c r="F3104" s="6" t="str">
        <x:v>去聲十七霰</x:v>
      </x:c>
      <x:c r="G3104" s="6" t="str">
        <x:v>Pingshui main list, Wikisource-derived DOCX</x:v>
      </x:c>
      <x:c r="H3104" s="6" t="str">
        <x:v>1</x:v>
      </x:c>
      <x:c r="I3104" s="6" t="str"/>
      <x:c r="J3104" s="6" t="str">
        <x:f>IF(B3104="","",IF(AND(ISNUMBER(SEARCH("平",B3104)),OR(ISNUMBER(SEARCH("上",B3104)),ISNUMBER(SEARCH("去",B3104)),ISNUMBER(SEARCH("入",B3104)))),"Ambiguous",IF(ISNUMBER(SEARCH("平",B3104)),"平","仄")))</x:f>
        <x:v>仄</x:v>
      </x:c>
      <x:c r="K3104" s="6" t="str">
        <x:f>IF(D3104="","",IF(AND(ISNUMBER(SEARCH("平",D3104)),OR(ISNUMBER(SEARCH("上",D3104)),ISNUMBER(SEARCH("去",D3104)),ISNUMBER(SEARCH("入",D3104)))),"Ambiguous",IF(ISNUMBER(SEARCH("平",D3104)),"平","仄")))</x:f>
        <x:v>仄</x:v>
      </x:c>
      <x:c r="L3104" s="7" t="str"/>
    </x:row>
    <x:row r="3105">
      <x:c r="A3105" s="5" t="str">
        <x:v>緵</x:v>
      </x:c>
      <x:c r="B3105" s="6" t="str">
        <x:v>平</x:v>
      </x:c>
      <x:c r="C3105" s="6" t="str">
        <x:f>IF(B3105="","Needs decision","Ready")</x:f>
        <x:v>Ready</x:v>
      </x:c>
      <x:c r="D3105" s="6" t="str">
        <x:v>平</x:v>
      </x:c>
      <x:c r="E3105" s="6" t="str">
        <x:v>tsuwng (A)</x:v>
      </x:c>
      <x:c r="F3105" s="6" t="str"/>
      <x:c r="G3105" s="6" t="str"/>
      <x:c r="H3105" s="6" t="str">
        <x:v>1</x:v>
      </x:c>
      <x:c r="I3105" s="6" t="str"/>
      <x:c r="J3105" s="6" t="str">
        <x:f>IF(B3105="","",IF(AND(ISNUMBER(SEARCH("平",B3105)),OR(ISNUMBER(SEARCH("上",B3105)),ISNUMBER(SEARCH("去",B3105)),ISNUMBER(SEARCH("入",B3105)))),"Ambiguous",IF(ISNUMBER(SEARCH("平",B3105)),"平","仄")))</x:f>
        <x:v>平</x:v>
      </x:c>
      <x:c r="K3105" s="6" t="str">
        <x:f>IF(D3105="","",IF(AND(ISNUMBER(SEARCH("平",D3105)),OR(ISNUMBER(SEARCH("上",D3105)),ISNUMBER(SEARCH("去",D3105)),ISNUMBER(SEARCH("入",D3105)))),"Ambiguous",IF(ISNUMBER(SEARCH("平",D3105)),"平","仄")))</x:f>
        <x:v>平</x:v>
      </x:c>
      <x:c r="L3105" s="7" t="str"/>
    </x:row>
    <x:row r="3106">
      <x:c r="A3106" s="5" t="str">
        <x:v>縈</x:v>
      </x:c>
      <x:c r="B3106" s="6" t="str">
        <x:v>平</x:v>
      </x:c>
      <x:c r="C3106" s="6" t="str">
        <x:f>IF(B3106="","Needs decision","Ready")</x:f>
        <x:v>Ready</x:v>
      </x:c>
      <x:c r="D3106" s="6" t="str">
        <x:v>平</x:v>
      </x:c>
      <x:c r="E3106" s="6" t="str">
        <x:v>'jwieng [ʔjwaŋ] (平)</x:v>
      </x:c>
      <x:c r="F3106" s="6" t="str">
        <x:v>下平聲八庚</x:v>
      </x:c>
      <x:c r="G3106" s="6" t="str">
        <x:v>Pingshui main list, Wikisource-derived DOCX</x:v>
      </x:c>
      <x:c r="H3106" s="6" t="str">
        <x:v>1</x:v>
      </x:c>
      <x:c r="I3106" s="6" t="str">
        <x:v>Tang 300 gap; frequency 4; provisional from Xun Gong</x:v>
      </x:c>
      <x:c r="J3106" s="6" t="str">
        <x:f>IF(B3106="","",IF(AND(ISNUMBER(SEARCH("平",B3106)),OR(ISNUMBER(SEARCH("上",B3106)),ISNUMBER(SEARCH("去",B3106)),ISNUMBER(SEARCH("入",B3106)))),"Ambiguous",IF(ISNUMBER(SEARCH("平",B3106)),"平","仄")))</x:f>
        <x:v>平</x:v>
      </x:c>
      <x:c r="K3106" s="6" t="str">
        <x:f>IF(D3106="","",IF(AND(ISNUMBER(SEARCH("平",D3106)),OR(ISNUMBER(SEARCH("上",D3106)),ISNUMBER(SEARCH("去",D3106)),ISNUMBER(SEARCH("入",D3106)))),"Ambiguous",IF(ISNUMBER(SEARCH("平",D3106)),"平","仄")))</x:f>
        <x:v>平</x:v>
      </x:c>
      <x:c r="L3106" s="7" t="str">
        <x:v>Xun Gong, Tang 300 gap fill</x:v>
      </x:c>
    </x:row>
    <x:row r="3107">
      <x:c r="A3107" s="5" t="str">
        <x:v>縊</x:v>
      </x:c>
      <x:c r="B3107" s="6" t="str">
        <x:v>去</x:v>
      </x:c>
      <x:c r="C3107" s="6" t="str">
        <x:f>IF(B3107="","Needs decision","Ready")</x:f>
        <x:v>Ready</x:v>
      </x:c>
      <x:c r="D3107" s="6" t="str">
        <x:v>去</x:v>
      </x:c>
      <x:c r="E3107" s="6" t="str">
        <x:v>'ejH (C); 'jieH (C)</x:v>
      </x:c>
      <x:c r="F3107" s="6" t="str">
        <x:v>去聲四寘</x:v>
      </x:c>
      <x:c r="G3107" s="6" t="str">
        <x:v>Pingshui main list, Wikisource-derived DOCX</x:v>
      </x:c>
      <x:c r="H3107" s="6" t="str">
        <x:v>2</x:v>
      </x:c>
      <x:c r="I3107" s="6" t="str"/>
      <x:c r="J3107" s="6" t="str">
        <x:f>IF(B3107="","",IF(AND(ISNUMBER(SEARCH("平",B3107)),OR(ISNUMBER(SEARCH("上",B3107)),ISNUMBER(SEARCH("去",B3107)),ISNUMBER(SEARCH("入",B3107)))),"Ambiguous",IF(ISNUMBER(SEARCH("平",B3107)),"平","仄")))</x:f>
        <x:v>仄</x:v>
      </x:c>
      <x:c r="K3107" s="6" t="str">
        <x:f>IF(D3107="","",IF(AND(ISNUMBER(SEARCH("平",D3107)),OR(ISNUMBER(SEARCH("上",D3107)),ISNUMBER(SEARCH("去",D3107)),ISNUMBER(SEARCH("入",D3107)))),"Ambiguous",IF(ISNUMBER(SEARCH("平",D3107)),"平","仄")))</x:f>
        <x:v>仄</x:v>
      </x:c>
      <x:c r="L3107" s="7" t="str"/>
    </x:row>
    <x:row r="3108">
      <x:c r="A3108" s="5" t="str">
        <x:v>縐</x:v>
      </x:c>
      <x:c r="B3108" s="6" t="str">
        <x:v>去</x:v>
      </x:c>
      <x:c r="C3108" s="6" t="str">
        <x:f>IF(B3108="","Needs decision","Ready")</x:f>
        <x:v>Ready</x:v>
      </x:c>
      <x:c r="D3108" s="6" t="str">
        <x:v>去</x:v>
      </x:c>
      <x:c r="E3108" s="6" t="str">
        <x:v>tsrjuwH (C)</x:v>
      </x:c>
      <x:c r="F3108" s="6" t="str">
        <x:v>去聲二十六宥</x:v>
      </x:c>
      <x:c r="G3108" s="6" t="str">
        <x:v>Pingshui main list, Wikisource-derived DOCX</x:v>
      </x:c>
      <x:c r="H3108" s="6" t="str">
        <x:v>1</x:v>
      </x:c>
      <x:c r="I3108" s="6" t="str"/>
      <x:c r="J3108" s="6" t="str">
        <x:f>IF(B3108="","",IF(AND(ISNUMBER(SEARCH("平",B3108)),OR(ISNUMBER(SEARCH("上",B3108)),ISNUMBER(SEARCH("去",B3108)),ISNUMBER(SEARCH("入",B3108)))),"Ambiguous",IF(ISNUMBER(SEARCH("平",B3108)),"平","仄")))</x:f>
        <x:v>仄</x:v>
      </x:c>
      <x:c r="K3108" s="6" t="str">
        <x:f>IF(D3108="","",IF(AND(ISNUMBER(SEARCH("平",D3108)),OR(ISNUMBER(SEARCH("上",D3108)),ISNUMBER(SEARCH("去",D3108)),ISNUMBER(SEARCH("入",D3108)))),"Ambiguous",IF(ISNUMBER(SEARCH("平",D3108)),"平","仄")))</x:f>
        <x:v>仄</x:v>
      </x:c>
      <x:c r="L3108" s="7" t="str"/>
    </x:row>
    <x:row r="3109">
      <x:c r="A3109" s="5" t="str">
        <x:v>縗</x:v>
      </x:c>
      <x:c r="B3109" s="6" t="str">
        <x:v>平</x:v>
      </x:c>
      <x:c r="C3109" s="6" t="str">
        <x:f>IF(B3109="","Needs decision","Ready")</x:f>
        <x:v>Ready</x:v>
      </x:c>
      <x:c r="D3109" s="6" t="str">
        <x:v>平</x:v>
      </x:c>
      <x:c r="E3109" s="6" t="str">
        <x:v>tshwoj (A)</x:v>
      </x:c>
      <x:c r="F3109" s="6" t="str">
        <x:v>上平聲十灰</x:v>
      </x:c>
      <x:c r="G3109" s="6" t="str">
        <x:v>Pingshui main list, Wikisource-derived DOCX</x:v>
      </x:c>
      <x:c r="H3109" s="6" t="str">
        <x:v>1</x:v>
      </x:c>
      <x:c r="I3109" s="6" t="str"/>
      <x:c r="J3109" s="6" t="str">
        <x:f>IF(B3109="","",IF(AND(ISNUMBER(SEARCH("平",B3109)),OR(ISNUMBER(SEARCH("上",B3109)),ISNUMBER(SEARCH("去",B3109)),ISNUMBER(SEARCH("入",B3109)))),"Ambiguous",IF(ISNUMBER(SEARCH("平",B3109)),"平","仄")))</x:f>
        <x:v>平</x:v>
      </x:c>
      <x:c r="K3109" s="6" t="str">
        <x:f>IF(D3109="","",IF(AND(ISNUMBER(SEARCH("平",D3109)),OR(ISNUMBER(SEARCH("上",D3109)),ISNUMBER(SEARCH("去",D3109)),ISNUMBER(SEARCH("入",D3109)))),"Ambiguous",IF(ISNUMBER(SEARCH("平",D3109)),"平","仄")))</x:f>
        <x:v>平</x:v>
      </x:c>
      <x:c r="L3109" s="7" t="str"/>
    </x:row>
    <x:row r="3110">
      <x:c r="A3110" s="5" t="str">
        <x:v>縛</x:v>
      </x:c>
      <x:c r="B3110" s="6" t="str">
        <x:v>入</x:v>
      </x:c>
      <x:c r="C3110" s="6" t="str">
        <x:f>IF(B3110="","Needs decision","Ready")</x:f>
        <x:v>Ready</x:v>
      </x:c>
      <x:c r="D3110" s="6" t="str">
        <x:v>入</x:v>
      </x:c>
      <x:c r="E3110" s="6" t="str">
        <x:v>bjak (D)</x:v>
      </x:c>
      <x:c r="F3110" s="6" t="str">
        <x:v>入聲十藥</x:v>
      </x:c>
      <x:c r="G3110" s="6" t="str">
        <x:v>Pingshui main list, Wikisource-derived DOCX</x:v>
      </x:c>
      <x:c r="H3110" s="6" t="str">
        <x:v>1</x:v>
      </x:c>
      <x:c r="I3110" s="6" t="str"/>
      <x:c r="J3110" s="6" t="str">
        <x:f>IF(B3110="","",IF(AND(ISNUMBER(SEARCH("平",B3110)),OR(ISNUMBER(SEARCH("上",B3110)),ISNUMBER(SEARCH("去",B3110)),ISNUMBER(SEARCH("入",B3110)))),"Ambiguous",IF(ISNUMBER(SEARCH("平",B3110)),"平","仄")))</x:f>
        <x:v>仄</x:v>
      </x:c>
      <x:c r="K3110" s="6" t="str">
        <x:f>IF(D3110="","",IF(AND(ISNUMBER(SEARCH("平",D3110)),OR(ISNUMBER(SEARCH("上",D3110)),ISNUMBER(SEARCH("去",D3110)),ISNUMBER(SEARCH("入",D3110)))),"Ambiguous",IF(ISNUMBER(SEARCH("平",D3110)),"平","仄")))</x:f>
        <x:v>仄</x:v>
      </x:c>
      <x:c r="L3110" s="7" t="str"/>
    </x:row>
    <x:row r="3111">
      <x:c r="A3111" s="5" t="str">
        <x:v>縝</x:v>
      </x:c>
      <x:c r="B3111" s="6" t="str">
        <x:v>平</x:v>
      </x:c>
      <x:c r="C3111" s="6" t="str">
        <x:f>IF(B3111="","Needs decision","Ready")</x:f>
        <x:v>Ready</x:v>
      </x:c>
      <x:c r="D3111" s="6" t="str">
        <x:v>平</x:v>
      </x:c>
      <x:c r="E3111" s="6" t="str">
        <x:v>tsyin (A)</x:v>
      </x:c>
      <x:c r="F3111" s="6" t="str">
        <x:v>上聲十一軫</x:v>
      </x:c>
      <x:c r="G3111" s="6" t="str">
        <x:v>Pingshui main list, Wikisource-derived DOCX</x:v>
      </x:c>
      <x:c r="H3111" s="6" t="str">
        <x:v>1</x:v>
      </x:c>
      <x:c r="I3111" s="6" t="str"/>
      <x:c r="J3111" s="6" t="str">
        <x:f>IF(B3111="","",IF(AND(ISNUMBER(SEARCH("平",B3111)),OR(ISNUMBER(SEARCH("上",B3111)),ISNUMBER(SEARCH("去",B3111)),ISNUMBER(SEARCH("入",B3111)))),"Ambiguous",IF(ISNUMBER(SEARCH("平",B3111)),"平","仄")))</x:f>
        <x:v>平</x:v>
      </x:c>
      <x:c r="K3111" s="6" t="str">
        <x:f>IF(D3111="","",IF(AND(ISNUMBER(SEARCH("平",D3111)),OR(ISNUMBER(SEARCH("上",D3111)),ISNUMBER(SEARCH("去",D3111)),ISNUMBER(SEARCH("入",D3111)))),"Ambiguous",IF(ISNUMBER(SEARCH("平",D3111)),"平","仄")))</x:f>
        <x:v>平</x:v>
      </x:c>
      <x:c r="L3111" s="7" t="str"/>
    </x:row>
    <x:row r="3112">
      <x:c r="A3112" s="5" t="str">
        <x:v>縞</x:v>
      </x:c>
      <x:c r="B3112" s="6" t="str">
        <x:v>上</x:v>
      </x:c>
      <x:c r="C3112" s="6" t="str">
        <x:f>IF(B3112="","Needs decision","Ready")</x:f>
        <x:v>Ready</x:v>
      </x:c>
      <x:c r="D3112" s="6" t="str">
        <x:v>上/去</x:v>
      </x:c>
      <x:c r="E3112" s="6" t="str">
        <x:v>kawH [qəwh] (去); kawX [qəwʔ] (上)</x:v>
      </x:c>
      <x:c r="F3112" s="6" t="str">
        <x:v>上聲十九皓; 去聲二十號</x:v>
      </x:c>
      <x:c r="G3112" s="6" t="str">
        <x:v>Pingshui main list, Wikisource-derived DOCX</x:v>
      </x:c>
      <x:c r="H3112" s="6" t="str">
        <x:v>2</x:v>
      </x:c>
      <x:c r="I3112" s="6" t="str">
        <x:v>Tang 300 gap; frequency 1; ambiguous in Xun Gong</x:v>
      </x:c>
      <x:c r="J3112" s="6" t="str">
        <x:f>IF(B3112="","",IF(AND(ISNUMBER(SEARCH("平",B3112)),OR(ISNUMBER(SEARCH("上",B3112)),ISNUMBER(SEARCH("去",B3112)),ISNUMBER(SEARCH("入",B3112)))),"Ambiguous",IF(ISNUMBER(SEARCH("平",B3112)),"平","仄")))</x:f>
        <x:v>仄</x:v>
      </x:c>
      <x:c r="K3112" s="6" t="str">
        <x:f>IF(D3112="","",IF(AND(ISNUMBER(SEARCH("平",D3112)),OR(ISNUMBER(SEARCH("上",D3112)),ISNUMBER(SEARCH("去",D3112)),ISNUMBER(SEARCH("入",D3112)))),"Ambiguous",IF(ISNUMBER(SEARCH("平",D3112)),"平","仄")))</x:f>
        <x:v>仄</x:v>
      </x:c>
      <x:c r="L3112" s="7" t="str">
        <x:v>Xun Gong, Tang 300 gap fill</x:v>
      </x:c>
    </x:row>
    <x:row r="3113">
      <x:c r="A3113" s="5" t="str">
        <x:v>縟</x:v>
      </x:c>
      <x:c r="B3113" s="6" t="str">
        <x:v>入</x:v>
      </x:c>
      <x:c r="C3113" s="6" t="str">
        <x:f>IF(B3113="","Needs decision","Ready")</x:f>
        <x:v>Ready</x:v>
      </x:c>
      <x:c r="D3113" s="6" t="str">
        <x:v>入</x:v>
      </x:c>
      <x:c r="E3113" s="6" t="str">
        <x:v>nyowk (D)</x:v>
      </x:c>
      <x:c r="F3113" s="6" t="str">
        <x:v>入聲二沃</x:v>
      </x:c>
      <x:c r="G3113" s="6" t="str">
        <x:v>Pingshui main list, Wikisource-derived DOCX</x:v>
      </x:c>
      <x:c r="H3113" s="6" t="str">
        <x:v>1</x:v>
      </x:c>
      <x:c r="I3113" s="6" t="str"/>
      <x:c r="J3113" s="6" t="str">
        <x:f>IF(B3113="","",IF(AND(ISNUMBER(SEARCH("平",B3113)),OR(ISNUMBER(SEARCH("上",B3113)),ISNUMBER(SEARCH("去",B3113)),ISNUMBER(SEARCH("入",B3113)))),"Ambiguous",IF(ISNUMBER(SEARCH("平",B3113)),"平","仄")))</x:f>
        <x:v>仄</x:v>
      </x:c>
      <x:c r="K3113" s="6" t="str">
        <x:f>IF(D3113="","",IF(AND(ISNUMBER(SEARCH("平",D3113)),OR(ISNUMBER(SEARCH("上",D3113)),ISNUMBER(SEARCH("去",D3113)),ISNUMBER(SEARCH("入",D3113)))),"Ambiguous",IF(ISNUMBER(SEARCH("平",D3113)),"平","仄")))</x:f>
        <x:v>仄</x:v>
      </x:c>
      <x:c r="L3113" s="7" t="str"/>
    </x:row>
    <x:row r="3114">
      <x:c r="A3114" s="5" t="str">
        <x:v>縢</x:v>
      </x:c>
      <x:c r="B3114" s="6" t="str">
        <x:v>平</x:v>
      </x:c>
      <x:c r="C3114" s="6" t="str">
        <x:f>IF(B3114="","Needs decision","Ready")</x:f>
        <x:v>Ready</x:v>
      </x:c>
      <x:c r="D3114" s="6" t="str">
        <x:v>平</x:v>
      </x:c>
      <x:c r="E3114" s="6" t="str">
        <x:v>dong (A)</x:v>
      </x:c>
      <x:c r="F3114" s="6" t="str">
        <x:v>下平聲十蒸</x:v>
      </x:c>
      <x:c r="G3114" s="6" t="str">
        <x:v>Pingshui main list, Wikisource-derived DOCX</x:v>
      </x:c>
      <x:c r="H3114" s="6" t="str">
        <x:v>1</x:v>
      </x:c>
      <x:c r="I3114" s="6" t="str"/>
      <x:c r="J3114" s="6" t="str">
        <x:f>IF(B3114="","",IF(AND(ISNUMBER(SEARCH("平",B3114)),OR(ISNUMBER(SEARCH("上",B3114)),ISNUMBER(SEARCH("去",B3114)),ISNUMBER(SEARCH("入",B3114)))),"Ambiguous",IF(ISNUMBER(SEARCH("平",B3114)),"平","仄")))</x:f>
        <x:v>平</x:v>
      </x:c>
      <x:c r="K3114" s="6" t="str">
        <x:f>IF(D3114="","",IF(AND(ISNUMBER(SEARCH("平",D3114)),OR(ISNUMBER(SEARCH("上",D3114)),ISNUMBER(SEARCH("去",D3114)),ISNUMBER(SEARCH("入",D3114)))),"Ambiguous",IF(ISNUMBER(SEARCH("平",D3114)),"平","仄")))</x:f>
        <x:v>平</x:v>
      </x:c>
      <x:c r="L3114" s="7" t="str"/>
    </x:row>
    <x:row r="3115">
      <x:c r="A3115" s="5" t="str">
        <x:v>縣</x:v>
      </x:c>
      <x:c r="B3115" s="6" t="str"/>
      <x:c r="C3115" s="6" t="str">
        <x:f>IF(B3115="","Needs decision","Ready")</x:f>
        <x:v>Needs decision</x:v>
      </x:c>
      <x:c r="D3115" s="6" t="str">
        <x:v>平/去</x:v>
      </x:c>
      <x:c r="E3115" s="6" t="str">
        <x:v>hwenH (C); hwen (A)</x:v>
      </x:c>
      <x:c r="F3115" s="6" t="str">
        <x:v>下平聲一先</x:v>
      </x:c>
      <x:c r="G3115" s="6" t="str">
        <x:v>Pingshui main list, Wikisource-derived DOCX</x:v>
      </x:c>
      <x:c r="H3115" s="6" t="str">
        <x:v>2</x:v>
      </x:c>
      <x:c r="I3115" s="6" t="str"/>
      <x:c r="J3115" s="6" t="str">
        <x:f>IF(B3115="","",IF(AND(ISNUMBER(SEARCH("平",B3115)),OR(ISNUMBER(SEARCH("上",B3115)),ISNUMBER(SEARCH("去",B3115)),ISNUMBER(SEARCH("入",B3115)))),"Ambiguous",IF(ISNUMBER(SEARCH("平",B3115)),"平","仄")))</x:f>
      </x:c>
      <x:c r="K3115" s="6" t="str">
        <x:f>IF(D3115="","",IF(AND(ISNUMBER(SEARCH("平",D3115)),OR(ISNUMBER(SEARCH("上",D3115)),ISNUMBER(SEARCH("去",D3115)),ISNUMBER(SEARCH("入",D3115)))),"Ambiguous",IF(ISNUMBER(SEARCH("平",D3115)),"平","仄")))</x:f>
        <x:v>Ambiguous</x:v>
      </x:c>
      <x:c r="L3115" s="7" t="str"/>
    </x:row>
    <x:row r="3116">
      <x:c r="A3116" s="5" t="str">
        <x:v>縫</x:v>
      </x:c>
      <x:c r="B3116" s="6" t="str">
        <x:v>平</x:v>
      </x:c>
      <x:c r="C3116" s="6" t="str">
        <x:f>IF(B3116="","Needs decision","Ready")</x:f>
        <x:v>Ready</x:v>
      </x:c>
      <x:c r="D3116" s="6" t="str">
        <x:v>平/去</x:v>
      </x:c>
      <x:c r="E3116" s="6" t="str">
        <x:v>bjowng (A); bjowngH (C)</x:v>
      </x:c>
      <x:c r="F3116" s="6" t="str">
        <x:v>上平聲二冬; 去聲二宋</x:v>
      </x:c>
      <x:c r="G3116" s="6" t="str">
        <x:v>Pingshui main list, Wikisource-derived DOCX</x:v>
      </x:c>
      <x:c r="H3116" s="6" t="str">
        <x:v>2</x:v>
      </x:c>
      <x:c r="I3116" s="6" t="str">
        <x:v>User correction 2026-09-08</x:v>
      </x:c>
      <x:c r="J3116" s="6" t="str">
        <x:f>IF(B3116="","",IF(AND(ISNUMBER(SEARCH("平",B3116)),OR(ISNUMBER(SEARCH("上",B3116)),ISNUMBER(SEARCH("去",B3116)),ISNUMBER(SEARCH("入",B3116)))),"Ambiguous",IF(ISNUMBER(SEARCH("平",B3116)),"平","仄")))</x:f>
        <x:v>平</x:v>
      </x:c>
      <x:c r="K3116" s="6" t="str">
        <x:f>IF(D3116="","",IF(AND(ISNUMBER(SEARCH("平",D3116)),OR(ISNUMBER(SEARCH("上",D3116)),ISNUMBER(SEARCH("去",D3116)),ISNUMBER(SEARCH("入",D3116)))),"Ambiguous",IF(ISNUMBER(SEARCH("平",D3116)),"平","仄")))</x:f>
        <x:v>Ambiguous</x:v>
      </x:c>
      <x:c r="L3116" s="7" t="str"/>
    </x:row>
    <x:row r="3117">
      <x:c r="A3117" s="5" t="str">
        <x:v>縮</x:v>
      </x:c>
      <x:c r="B3117" s="6" t="str">
        <x:v>入</x:v>
      </x:c>
      <x:c r="C3117" s="6" t="str">
        <x:f>IF(B3117="","Needs decision","Ready")</x:f>
        <x:v>Ready</x:v>
      </x:c>
      <x:c r="D3117" s="6" t="str">
        <x:v>入</x:v>
      </x:c>
      <x:c r="E3117" s="6" t="str">
        <x:v>srjuwk (D)</x:v>
      </x:c>
      <x:c r="F3117" s="6" t="str">
        <x:v>入聲一屋</x:v>
      </x:c>
      <x:c r="G3117" s="6" t="str">
        <x:v>Pingshui main list, Wikisource-derived DOCX</x:v>
      </x:c>
      <x:c r="H3117" s="6" t="str">
        <x:v>1</x:v>
      </x:c>
      <x:c r="I3117" s="6" t="str"/>
      <x:c r="J3117" s="6" t="str">
        <x:f>IF(B3117="","",IF(AND(ISNUMBER(SEARCH("平",B3117)),OR(ISNUMBER(SEARCH("上",B3117)),ISNUMBER(SEARCH("去",B3117)),ISNUMBER(SEARCH("入",B3117)))),"Ambiguous",IF(ISNUMBER(SEARCH("平",B3117)),"平","仄")))</x:f>
        <x:v>仄</x:v>
      </x:c>
      <x:c r="K3117" s="6" t="str">
        <x:f>IF(D3117="","",IF(AND(ISNUMBER(SEARCH("平",D3117)),OR(ISNUMBER(SEARCH("上",D3117)),ISNUMBER(SEARCH("去",D3117)),ISNUMBER(SEARCH("入",D3117)))),"Ambiguous",IF(ISNUMBER(SEARCH("平",D3117)),"平","仄")))</x:f>
        <x:v>仄</x:v>
      </x:c>
      <x:c r="L3117" s="7" t="str"/>
    </x:row>
    <x:row r="3118">
      <x:c r="A3118" s="5" t="str">
        <x:v>縱</x:v>
      </x:c>
      <x:c r="B3118" s="6" t="str">
        <x:v>去</x:v>
      </x:c>
      <x:c r="C3118" s="6" t="str">
        <x:f>IF(B3118="","Needs decision","Ready")</x:f>
        <x:v>Ready</x:v>
      </x:c>
      <x:c r="D3118" s="6" t="str">
        <x:v>去</x:v>
      </x:c>
      <x:c r="E3118" s="6" t="str">
        <x:v>tsjowngH (C)</x:v>
      </x:c>
      <x:c r="F3118" s="6" t="str">
        <x:v>上平聲二冬; 去聲二宋</x:v>
      </x:c>
      <x:c r="G3118" s="6" t="str">
        <x:v>Pingshui main list, Wikisource-derived DOCX</x:v>
      </x:c>
      <x:c r="H3118" s="6" t="str">
        <x:v>1</x:v>
      </x:c>
      <x:c r="I3118" s="6" t="str"/>
      <x:c r="J3118" s="6" t="str">
        <x:f>IF(B3118="","",IF(AND(ISNUMBER(SEARCH("平",B3118)),OR(ISNUMBER(SEARCH("上",B3118)),ISNUMBER(SEARCH("去",B3118)),ISNUMBER(SEARCH("入",B3118)))),"Ambiguous",IF(ISNUMBER(SEARCH("平",B3118)),"平","仄")))</x:f>
        <x:v>仄</x:v>
      </x:c>
      <x:c r="K3118" s="6" t="str">
        <x:f>IF(D3118="","",IF(AND(ISNUMBER(SEARCH("平",D3118)),OR(ISNUMBER(SEARCH("上",D3118)),ISNUMBER(SEARCH("去",D3118)),ISNUMBER(SEARCH("入",D3118)))),"Ambiguous",IF(ISNUMBER(SEARCH("平",D3118)),"平","仄")))</x:f>
        <x:v>仄</x:v>
      </x:c>
      <x:c r="L3118" s="7" t="str"/>
    </x:row>
    <x:row r="3119">
      <x:c r="A3119" s="5" t="str">
        <x:v>縶</x:v>
      </x:c>
      <x:c r="B3119" s="6" t="str">
        <x:v>入</x:v>
      </x:c>
      <x:c r="C3119" s="6" t="str">
        <x:f>IF(B3119="","Needs decision","Ready")</x:f>
        <x:v>Ready</x:v>
      </x:c>
      <x:c r="D3119" s="6" t="str">
        <x:v>入</x:v>
      </x:c>
      <x:c r="E3119" s="6" t="str">
        <x:v>trip (D)</x:v>
      </x:c>
      <x:c r="F3119" s="6" t="str">
        <x:v>入聲十四緝</x:v>
      </x:c>
      <x:c r="G3119" s="6" t="str">
        <x:v>Pingshui main list, Wikisource-derived DOCX</x:v>
      </x:c>
      <x:c r="H3119" s="6" t="str">
        <x:v>1</x:v>
      </x:c>
      <x:c r="I3119" s="6" t="str"/>
      <x:c r="J3119" s="6" t="str">
        <x:f>IF(B3119="","",IF(AND(ISNUMBER(SEARCH("平",B3119)),OR(ISNUMBER(SEARCH("上",B3119)),ISNUMBER(SEARCH("去",B3119)),ISNUMBER(SEARCH("入",B3119)))),"Ambiguous",IF(ISNUMBER(SEARCH("平",B3119)),"平","仄")))</x:f>
        <x:v>仄</x:v>
      </x:c>
      <x:c r="K3119" s="6" t="str">
        <x:f>IF(D3119="","",IF(AND(ISNUMBER(SEARCH("平",D3119)),OR(ISNUMBER(SEARCH("上",D3119)),ISNUMBER(SEARCH("去",D3119)),ISNUMBER(SEARCH("入",D3119)))),"Ambiguous",IF(ISNUMBER(SEARCH("平",D3119)),"平","仄")))</x:f>
        <x:v>仄</x:v>
      </x:c>
      <x:c r="L3119" s="7" t="str"/>
    </x:row>
    <x:row r="3120">
      <x:c r="A3120" s="5" t="str">
        <x:v>縷</x:v>
      </x:c>
      <x:c r="B3120" s="6" t="str">
        <x:v>上</x:v>
      </x:c>
      <x:c r="C3120" s="6" t="str">
        <x:f>IF(B3120="","Needs decision","Ready")</x:f>
        <x:v>Ready</x:v>
      </x:c>
      <x:c r="D3120" s="6" t="str">
        <x:v>上</x:v>
      </x:c>
      <x:c r="E3120" s="6" t="str">
        <x:v>ljuX (B)</x:v>
      </x:c>
      <x:c r="F3120" s="6" t="str">
        <x:v>上聲七麌</x:v>
      </x:c>
      <x:c r="G3120" s="6" t="str">
        <x:v>Pingshui main list, Wikisource-derived DOCX</x:v>
      </x:c>
      <x:c r="H3120" s="6" t="str">
        <x:v>1</x:v>
      </x:c>
      <x:c r="I3120" s="6" t="str"/>
      <x:c r="J3120" s="6" t="str">
        <x:f>IF(B3120="","",IF(AND(ISNUMBER(SEARCH("平",B3120)),OR(ISNUMBER(SEARCH("上",B3120)),ISNUMBER(SEARCH("去",B3120)),ISNUMBER(SEARCH("入",B3120)))),"Ambiguous",IF(ISNUMBER(SEARCH("平",B3120)),"平","仄")))</x:f>
        <x:v>仄</x:v>
      </x:c>
      <x:c r="K3120" s="6" t="str">
        <x:f>IF(D3120="","",IF(AND(ISNUMBER(SEARCH("平",D3120)),OR(ISNUMBER(SEARCH("上",D3120)),ISNUMBER(SEARCH("去",D3120)),ISNUMBER(SEARCH("入",D3120)))),"Ambiguous",IF(ISNUMBER(SEARCH("平",D3120)),"平","仄")))</x:f>
        <x:v>仄</x:v>
      </x:c>
      <x:c r="L3120" s="7" t="str"/>
    </x:row>
    <x:row r="3121">
      <x:c r="A3121" s="5" t="str">
        <x:v>縹</x:v>
      </x:c>
      <x:c r="B3121" s="6" t="str">
        <x:v>上</x:v>
      </x:c>
      <x:c r="C3121" s="6" t="str">
        <x:f>IF(B3121="","Needs decision","Ready")</x:f>
        <x:v>Ready</x:v>
      </x:c>
      <x:c r="D3121" s="6" t="str">
        <x:v>上</x:v>
      </x:c>
      <x:c r="E3121" s="6" t="str">
        <x:v>phjiewX [pʰjewʔ] (上)</x:v>
      </x:c>
      <x:c r="F3121" s="6" t="str">
        <x:v>上聲十七篠</x:v>
      </x:c>
      <x:c r="G3121" s="6" t="str">
        <x:v>Pingshui main list, Wikisource-derived DOCX</x:v>
      </x:c>
      <x:c r="H3121" s="6" t="str">
        <x:v>1</x:v>
      </x:c>
      <x:c r="I3121" s="6" t="str">
        <x:v>Tang 300 gap; frequency 1; provisional from Xun Gong</x:v>
      </x:c>
      <x:c r="J3121" s="6" t="str">
        <x:f>IF(B3121="","",IF(AND(ISNUMBER(SEARCH("平",B3121)),OR(ISNUMBER(SEARCH("上",B3121)),ISNUMBER(SEARCH("去",B3121)),ISNUMBER(SEARCH("入",B3121)))),"Ambiguous",IF(ISNUMBER(SEARCH("平",B3121)),"平","仄")))</x:f>
        <x:v>仄</x:v>
      </x:c>
      <x:c r="K3121" s="6" t="str">
        <x:f>IF(D3121="","",IF(AND(ISNUMBER(SEARCH("平",D3121)),OR(ISNUMBER(SEARCH("上",D3121)),ISNUMBER(SEARCH("去",D3121)),ISNUMBER(SEARCH("入",D3121)))),"Ambiguous",IF(ISNUMBER(SEARCH("平",D3121)),"平","仄")))</x:f>
        <x:v>仄</x:v>
      </x:c>
      <x:c r="L3121" s="7" t="str">
        <x:v>Xun Gong, Tang 300 gap fill</x:v>
      </x:c>
    </x:row>
    <x:row r="3122">
      <x:c r="A3122" s="5" t="str">
        <x:v>總</x:v>
      </x:c>
      <x:c r="B3122" s="6" t="str">
        <x:v>上</x:v>
      </x:c>
      <x:c r="C3122" s="6" t="str">
        <x:f>IF(B3122="","Needs decision","Ready")</x:f>
        <x:v>Ready</x:v>
      </x:c>
      <x:c r="D3122" s="6" t="str">
        <x:v>平/上</x:v>
      </x:c>
      <x:c r="E3122" s="6" t="str">
        <x:v>tsuwng (A); tsuwngX (B)</x:v>
      </x:c>
      <x:c r="F3122" s="6" t="str">
        <x:v>上聲一董</x:v>
      </x:c>
      <x:c r="G3122" s="6" t="str">
        <x:v>Pingshui main list, Wikisource-derived DOCX</x:v>
      </x:c>
      <x:c r="H3122" s="6" t="str">
        <x:v>2</x:v>
      </x:c>
      <x:c r="I3122" s="6" t="str"/>
      <x:c r="J3122" s="6" t="str">
        <x:f>IF(B3122="","",IF(AND(ISNUMBER(SEARCH("平",B3122)),OR(ISNUMBER(SEARCH("上",B3122)),ISNUMBER(SEARCH("去",B3122)),ISNUMBER(SEARCH("入",B3122)))),"Ambiguous",IF(ISNUMBER(SEARCH("平",B3122)),"平","仄")))</x:f>
        <x:v>仄</x:v>
      </x:c>
      <x:c r="K3122" s="6" t="str">
        <x:f>IF(D3122="","",IF(AND(ISNUMBER(SEARCH("平",D3122)),OR(ISNUMBER(SEARCH("上",D3122)),ISNUMBER(SEARCH("去",D3122)),ISNUMBER(SEARCH("入",D3122)))),"Ambiguous",IF(ISNUMBER(SEARCH("平",D3122)),"平","仄")))</x:f>
        <x:v>Ambiguous</x:v>
      </x:c>
      <x:c r="L3122" s="7" t="str"/>
    </x:row>
    <x:row r="3123">
      <x:c r="A3123" s="5" t="str">
        <x:v>績</x:v>
      </x:c>
      <x:c r="B3123" s="6" t="str">
        <x:v>入</x:v>
      </x:c>
      <x:c r="C3123" s="6" t="str">
        <x:f>IF(B3123="","Needs decision","Ready")</x:f>
        <x:v>Ready</x:v>
      </x:c>
      <x:c r="D3123" s="6" t="str">
        <x:v>入</x:v>
      </x:c>
      <x:c r="E3123" s="6" t="str">
        <x:v>tsek (D)</x:v>
      </x:c>
      <x:c r="F3123" s="6" t="str">
        <x:v>入聲十二錫</x:v>
      </x:c>
      <x:c r="G3123" s="6" t="str">
        <x:v>Pingshui main list, Wikisource-derived DOCX</x:v>
      </x:c>
      <x:c r="H3123" s="6" t="str">
        <x:v>1</x:v>
      </x:c>
      <x:c r="I3123" s="6" t="str"/>
      <x:c r="J3123" s="6" t="str">
        <x:f>IF(B3123="","",IF(AND(ISNUMBER(SEARCH("平",B3123)),OR(ISNUMBER(SEARCH("上",B3123)),ISNUMBER(SEARCH("去",B3123)),ISNUMBER(SEARCH("入",B3123)))),"Ambiguous",IF(ISNUMBER(SEARCH("平",B3123)),"平","仄")))</x:f>
        <x:v>仄</x:v>
      </x:c>
      <x:c r="K3123" s="6" t="str">
        <x:f>IF(D3123="","",IF(AND(ISNUMBER(SEARCH("平",D3123)),OR(ISNUMBER(SEARCH("上",D3123)),ISNUMBER(SEARCH("去",D3123)),ISNUMBER(SEARCH("入",D3123)))),"Ambiguous",IF(ISNUMBER(SEARCH("平",D3123)),"平","仄")))</x:f>
        <x:v>仄</x:v>
      </x:c>
      <x:c r="L3123" s="7" t="str"/>
    </x:row>
    <x:row r="3124">
      <x:c r="A3124" s="5" t="str">
        <x:v>繁</x:v>
      </x:c>
      <x:c r="B3124" s="6" t="str">
        <x:v>平</x:v>
      </x:c>
      <x:c r="C3124" s="6" t="str">
        <x:f>IF(B3124="","Needs decision","Ready")</x:f>
        <x:v>Ready</x:v>
      </x:c>
      <x:c r="D3124" s="6" t="str">
        <x:v>平</x:v>
      </x:c>
      <x:c r="E3124" s="6" t="str">
        <x:v>bjon (A)</x:v>
      </x:c>
      <x:c r="F3124" s="6" t="str">
        <x:v>上平聲十三元; 上平聲十四寒</x:v>
      </x:c>
      <x:c r="G3124" s="6" t="str">
        <x:v>Pingshui main list, Wikisource-derived DOCX</x:v>
      </x:c>
      <x:c r="H3124" s="6" t="str">
        <x:v>1</x:v>
      </x:c>
      <x:c r="I3124" s="6" t="str"/>
      <x:c r="J3124" s="6" t="str">
        <x:f>IF(B3124="","",IF(AND(ISNUMBER(SEARCH("平",B3124)),OR(ISNUMBER(SEARCH("上",B3124)),ISNUMBER(SEARCH("去",B3124)),ISNUMBER(SEARCH("入",B3124)))),"Ambiguous",IF(ISNUMBER(SEARCH("平",B3124)),"平","仄")))</x:f>
        <x:v>平</x:v>
      </x:c>
      <x:c r="K3124" s="6" t="str">
        <x:f>IF(D3124="","",IF(AND(ISNUMBER(SEARCH("平",D3124)),OR(ISNUMBER(SEARCH("上",D3124)),ISNUMBER(SEARCH("去",D3124)),ISNUMBER(SEARCH("入",D3124)))),"Ambiguous",IF(ISNUMBER(SEARCH("平",D3124)),"平","仄")))</x:f>
        <x:v>平</x:v>
      </x:c>
      <x:c r="L3124" s="7" t="str"/>
    </x:row>
    <x:row r="3125">
      <x:c r="A3125" s="5" t="str">
        <x:v>繃</x:v>
      </x:c>
      <x:c r="B3125" s="6" t="str">
        <x:v>平</x:v>
      </x:c>
      <x:c r="C3125" s="6" t="str">
        <x:f>IF(B3125="","Needs decision","Ready")</x:f>
        <x:v>Ready</x:v>
      </x:c>
      <x:c r="D3125" s="6" t="str">
        <x:v>平</x:v>
      </x:c>
      <x:c r="E3125" s="6" t="str">
        <x:v>peang (A)</x:v>
      </x:c>
      <x:c r="F3125" s="6" t="str">
        <x:v>下平聲八庚</x:v>
      </x:c>
      <x:c r="G3125" s="6" t="str">
        <x:v>Pingshui main list, Wikisource-derived DOCX</x:v>
      </x:c>
      <x:c r="H3125" s="6" t="str">
        <x:v>1</x:v>
      </x:c>
      <x:c r="I3125" s="6" t="str"/>
      <x:c r="J3125" s="6" t="str">
        <x:f>IF(B3125="","",IF(AND(ISNUMBER(SEARCH("平",B3125)),OR(ISNUMBER(SEARCH("上",B3125)),ISNUMBER(SEARCH("去",B3125)),ISNUMBER(SEARCH("入",B3125)))),"Ambiguous",IF(ISNUMBER(SEARCH("平",B3125)),"平","仄")))</x:f>
        <x:v>平</x:v>
      </x:c>
      <x:c r="K3125" s="6" t="str">
        <x:f>IF(D3125="","",IF(AND(ISNUMBER(SEARCH("平",D3125)),OR(ISNUMBER(SEARCH("上",D3125)),ISNUMBER(SEARCH("去",D3125)),ISNUMBER(SEARCH("入",D3125)))),"Ambiguous",IF(ISNUMBER(SEARCH("平",D3125)),"平","仄")))</x:f>
        <x:v>平</x:v>
      </x:c>
      <x:c r="L3125" s="7" t="str"/>
    </x:row>
    <x:row r="3126">
      <x:c r="A3126" s="5" t="str">
        <x:v>繒</x:v>
      </x:c>
      <x:c r="B3126" s="6" t="str">
        <x:v>平</x:v>
      </x:c>
      <x:c r="C3126" s="6" t="str">
        <x:f>IF(B3126="","Needs decision","Ready")</x:f>
        <x:v>Ready</x:v>
      </x:c>
      <x:c r="D3126" s="6" t="str">
        <x:v>平</x:v>
      </x:c>
      <x:c r="E3126" s="6" t="str">
        <x:v>dzing (A)</x:v>
      </x:c>
      <x:c r="F3126" s="6" t="str"/>
      <x:c r="G3126" s="6" t="str"/>
      <x:c r="H3126" s="6" t="str">
        <x:v>1</x:v>
      </x:c>
      <x:c r="I3126" s="6" t="str"/>
      <x:c r="J3126" s="6" t="str">
        <x:f>IF(B3126="","",IF(AND(ISNUMBER(SEARCH("平",B3126)),OR(ISNUMBER(SEARCH("上",B3126)),ISNUMBER(SEARCH("去",B3126)),ISNUMBER(SEARCH("入",B3126)))),"Ambiguous",IF(ISNUMBER(SEARCH("平",B3126)),"平","仄")))</x:f>
        <x:v>平</x:v>
      </x:c>
      <x:c r="K3126" s="6" t="str">
        <x:f>IF(D3126="","",IF(AND(ISNUMBER(SEARCH("平",D3126)),OR(ISNUMBER(SEARCH("上",D3126)),ISNUMBER(SEARCH("去",D3126)),ISNUMBER(SEARCH("入",D3126)))),"Ambiguous",IF(ISNUMBER(SEARCH("平",D3126)),"平","仄")))</x:f>
        <x:v>平</x:v>
      </x:c>
      <x:c r="L3126" s="7" t="str"/>
    </x:row>
    <x:row r="3127">
      <x:c r="A3127" s="5" t="str">
        <x:v>織</x:v>
      </x:c>
      <x:c r="B3127" s="6" t="str">
        <x:v>入</x:v>
      </x:c>
      <x:c r="C3127" s="6" t="str">
        <x:f>IF(B3127="","Needs decision","Ready")</x:f>
        <x:v>Ready</x:v>
      </x:c>
      <x:c r="D3127" s="6" t="str">
        <x:v>入</x:v>
      </x:c>
      <x:c r="E3127" s="6" t="str">
        <x:v>tsyik (D)</x:v>
      </x:c>
      <x:c r="F3127" s="6" t="str">
        <x:v>去聲四寘; 入聲十三職</x:v>
      </x:c>
      <x:c r="G3127" s="6" t="str">
        <x:v>Pingshui main list, Wikisource-derived DOCX</x:v>
      </x:c>
      <x:c r="H3127" s="6" t="str">
        <x:v>1</x:v>
      </x:c>
      <x:c r="I3127" s="6" t="str"/>
      <x:c r="J3127" s="6" t="str">
        <x:f>IF(B3127="","",IF(AND(ISNUMBER(SEARCH("平",B3127)),OR(ISNUMBER(SEARCH("上",B3127)),ISNUMBER(SEARCH("去",B3127)),ISNUMBER(SEARCH("入",B3127)))),"Ambiguous",IF(ISNUMBER(SEARCH("平",B3127)),"平","仄")))</x:f>
        <x:v>仄</x:v>
      </x:c>
      <x:c r="K3127" s="6" t="str">
        <x:f>IF(D3127="","",IF(AND(ISNUMBER(SEARCH("平",D3127)),OR(ISNUMBER(SEARCH("上",D3127)),ISNUMBER(SEARCH("去",D3127)),ISNUMBER(SEARCH("入",D3127)))),"Ambiguous",IF(ISNUMBER(SEARCH("平",D3127)),"平","仄")))</x:f>
        <x:v>仄</x:v>
      </x:c>
      <x:c r="L3127" s="7" t="str"/>
    </x:row>
    <x:row r="3128">
      <x:c r="A3128" s="5" t="str">
        <x:v>繕</x:v>
      </x:c>
      <x:c r="B3128" s="6" t="str">
        <x:v>去</x:v>
      </x:c>
      <x:c r="C3128" s="6" t="str">
        <x:f>IF(B3128="","Needs decision","Ready")</x:f>
        <x:v>Ready</x:v>
      </x:c>
      <x:c r="D3128" s="6" t="str">
        <x:v>去</x:v>
      </x:c>
      <x:c r="E3128" s="6" t="str">
        <x:v>dzyenH (C)</x:v>
      </x:c>
      <x:c r="F3128" s="6" t="str">
        <x:v>去聲十七霰</x:v>
      </x:c>
      <x:c r="G3128" s="6" t="str">
        <x:v>Pingshui main list, Wikisource-derived DOCX</x:v>
      </x:c>
      <x:c r="H3128" s="6" t="str">
        <x:v>1</x:v>
      </x:c>
      <x:c r="I3128" s="6" t="str"/>
      <x:c r="J3128" s="6" t="str">
        <x:f>IF(B3128="","",IF(AND(ISNUMBER(SEARCH("平",B3128)),OR(ISNUMBER(SEARCH("上",B3128)),ISNUMBER(SEARCH("去",B3128)),ISNUMBER(SEARCH("入",B3128)))),"Ambiguous",IF(ISNUMBER(SEARCH("平",B3128)),"平","仄")))</x:f>
        <x:v>仄</x:v>
      </x:c>
      <x:c r="K3128" s="6" t="str">
        <x:f>IF(D3128="","",IF(AND(ISNUMBER(SEARCH("平",D3128)),OR(ISNUMBER(SEARCH("上",D3128)),ISNUMBER(SEARCH("去",D3128)),ISNUMBER(SEARCH("入",D3128)))),"Ambiguous",IF(ISNUMBER(SEARCH("平",D3128)),"平","仄")))</x:f>
        <x:v>仄</x:v>
      </x:c>
      <x:c r="L3128" s="7" t="str"/>
    </x:row>
    <x:row r="3129">
      <x:c r="A3129" s="5" t="str">
        <x:v>繘</x:v>
      </x:c>
      <x:c r="B3129" s="6" t="str">
        <x:v>入</x:v>
      </x:c>
      <x:c r="C3129" s="6" t="str">
        <x:f>IF(B3129="","Needs decision","Ready")</x:f>
        <x:v>Ready</x:v>
      </x:c>
      <x:c r="D3129" s="6" t="str">
        <x:v>入</x:v>
      </x:c>
      <x:c r="E3129" s="6" t="str">
        <x:v>kjwit (D); ywit (D)</x:v>
      </x:c>
      <x:c r="F3129" s="6" t="str">
        <x:v>入聲四質</x:v>
      </x:c>
      <x:c r="G3129" s="6" t="str">
        <x:v>Pingshui main list, Wikisource-derived DOCX</x:v>
      </x:c>
      <x:c r="H3129" s="6" t="str">
        <x:v>2</x:v>
      </x:c>
      <x:c r="I3129" s="6" t="str"/>
      <x:c r="J3129" s="6" t="str">
        <x:f>IF(B3129="","",IF(AND(ISNUMBER(SEARCH("平",B3129)),OR(ISNUMBER(SEARCH("上",B3129)),ISNUMBER(SEARCH("去",B3129)),ISNUMBER(SEARCH("入",B3129)))),"Ambiguous",IF(ISNUMBER(SEARCH("平",B3129)),"平","仄")))</x:f>
        <x:v>仄</x:v>
      </x:c>
      <x:c r="K3129" s="6" t="str">
        <x:f>IF(D3129="","",IF(AND(ISNUMBER(SEARCH("平",D3129)),OR(ISNUMBER(SEARCH("上",D3129)),ISNUMBER(SEARCH("去",D3129)),ISNUMBER(SEARCH("入",D3129)))),"Ambiguous",IF(ISNUMBER(SEARCH("平",D3129)),"平","仄")))</x:f>
        <x:v>仄</x:v>
      </x:c>
      <x:c r="L3129" s="7" t="str"/>
    </x:row>
    <x:row r="3130">
      <x:c r="A3130" s="5" t="str">
        <x:v>繞</x:v>
      </x:c>
      <x:c r="B3130" s="6" t="str"/>
      <x:c r="C3130" s="6" t="str">
        <x:f>IF(B3130="","Needs decision","Ready")</x:f>
        <x:v>Needs decision</x:v>
      </x:c>
      <x:c r="D3130" s="6" t="str">
        <x:v>上/去</x:v>
      </x:c>
      <x:c r="E3130" s="6" t="str">
        <x:v>nyewX (B); nyewH (C)</x:v>
      </x:c>
      <x:c r="F3130" s="6" t="str">
        <x:v>上聲十七篠; 去聲十八嘯</x:v>
      </x:c>
      <x:c r="G3130" s="6" t="str">
        <x:v>Pingshui main list, Wikisource-derived DOCX</x:v>
      </x:c>
      <x:c r="H3130" s="6" t="str">
        <x:v>2</x:v>
      </x:c>
      <x:c r="I3130" s="6" t="str"/>
      <x:c r="J3130" s="6" t="str">
        <x:f>IF(B3130="","",IF(AND(ISNUMBER(SEARCH("平",B3130)),OR(ISNUMBER(SEARCH("上",B3130)),ISNUMBER(SEARCH("去",B3130)),ISNUMBER(SEARCH("入",B3130)))),"Ambiguous",IF(ISNUMBER(SEARCH("平",B3130)),"平","仄")))</x:f>
      </x:c>
      <x:c r="K3130" s="6" t="str">
        <x:f>IF(D3130="","",IF(AND(ISNUMBER(SEARCH("平",D3130)),OR(ISNUMBER(SEARCH("上",D3130)),ISNUMBER(SEARCH("去",D3130)),ISNUMBER(SEARCH("入",D3130)))),"Ambiguous",IF(ISNUMBER(SEARCH("平",D3130)),"平","仄")))</x:f>
        <x:v>仄</x:v>
      </x:c>
      <x:c r="L3130" s="7" t="str"/>
    </x:row>
    <x:row r="3131">
      <x:c r="A3131" s="5" t="str">
        <x:v>繡</x:v>
      </x:c>
      <x:c r="B3131" s="6" t="str">
        <x:v>去</x:v>
      </x:c>
      <x:c r="C3131" s="6" t="str">
        <x:f>IF(B3131="","Needs decision","Ready")</x:f>
        <x:v>Ready</x:v>
      </x:c>
      <x:c r="D3131" s="6" t="str">
        <x:v>去</x:v>
      </x:c>
      <x:c r="E3131" s="6" t="str">
        <x:v>sjuwH (C)</x:v>
      </x:c>
      <x:c r="F3131" s="6" t="str">
        <x:v>去聲二十六宥</x:v>
      </x:c>
      <x:c r="G3131" s="6" t="str">
        <x:v>Pingshui main list, Wikisource-derived DOCX</x:v>
      </x:c>
      <x:c r="H3131" s="6" t="str">
        <x:v>1</x:v>
      </x:c>
      <x:c r="I3131" s="6" t="str"/>
      <x:c r="J3131" s="6" t="str">
        <x:f>IF(B3131="","",IF(AND(ISNUMBER(SEARCH("平",B3131)),OR(ISNUMBER(SEARCH("上",B3131)),ISNUMBER(SEARCH("去",B3131)),ISNUMBER(SEARCH("入",B3131)))),"Ambiguous",IF(ISNUMBER(SEARCH("平",B3131)),"平","仄")))</x:f>
        <x:v>仄</x:v>
      </x:c>
      <x:c r="K3131" s="6" t="str">
        <x:f>IF(D3131="","",IF(AND(ISNUMBER(SEARCH("平",D3131)),OR(ISNUMBER(SEARCH("上",D3131)),ISNUMBER(SEARCH("去",D3131)),ISNUMBER(SEARCH("入",D3131)))),"Ambiguous",IF(ISNUMBER(SEARCH("平",D3131)),"平","仄")))</x:f>
        <x:v>仄</x:v>
      </x:c>
      <x:c r="L3131" s="7" t="str"/>
    </x:row>
    <x:row r="3132">
      <x:c r="A3132" s="5" t="str">
        <x:v>繣</x:v>
      </x:c>
      <x:c r="B3132" s="6" t="str"/>
      <x:c r="C3132" s="6" t="str">
        <x:f>IF(B3132="","Needs decision","Ready")</x:f>
        <x:v>Needs decision</x:v>
      </x:c>
      <x:c r="D3132" s="6" t="str">
        <x:v>去/入</x:v>
      </x:c>
      <x:c r="E3132" s="6" t="str">
        <x:v>hweaH (C); xweak (D)</x:v>
      </x:c>
      <x:c r="F3132" s="6" t="str">
        <x:v>去聲十卦</x:v>
      </x:c>
      <x:c r="G3132" s="6" t="str">
        <x:v>Pingshui main list, Wikisource-derived DOCX</x:v>
      </x:c>
      <x:c r="H3132" s="6" t="str">
        <x:v>2</x:v>
      </x:c>
      <x:c r="I3132" s="6" t="str"/>
      <x:c r="J3132" s="6" t="str">
        <x:f>IF(B3132="","",IF(AND(ISNUMBER(SEARCH("平",B3132)),OR(ISNUMBER(SEARCH("上",B3132)),ISNUMBER(SEARCH("去",B3132)),ISNUMBER(SEARCH("入",B3132)))),"Ambiguous",IF(ISNUMBER(SEARCH("平",B3132)),"平","仄")))</x:f>
      </x:c>
      <x:c r="K3132" s="6" t="str">
        <x:f>IF(D3132="","",IF(AND(ISNUMBER(SEARCH("平",D3132)),OR(ISNUMBER(SEARCH("上",D3132)),ISNUMBER(SEARCH("去",D3132)),ISNUMBER(SEARCH("入",D3132)))),"Ambiguous",IF(ISNUMBER(SEARCH("平",D3132)),"平","仄")))</x:f>
        <x:v>仄</x:v>
      </x:c>
      <x:c r="L3132" s="7" t="str"/>
    </x:row>
    <x:row r="3133">
      <x:c r="A3133" s="5" t="str">
        <x:v>繩</x:v>
      </x:c>
      <x:c r="B3133" s="6" t="str">
        <x:v>平</x:v>
      </x:c>
      <x:c r="C3133" s="6" t="str">
        <x:f>IF(B3133="","Needs decision","Ready")</x:f>
        <x:v>Ready</x:v>
      </x:c>
      <x:c r="D3133" s="6" t="str">
        <x:v>平</x:v>
      </x:c>
      <x:c r="E3133" s="6" t="str">
        <x:v>zying (A)</x:v>
      </x:c>
      <x:c r="F3133" s="6" t="str">
        <x:v>下平聲十蒸</x:v>
      </x:c>
      <x:c r="G3133" s="6" t="str">
        <x:v>Pingshui main list, Wikisource-derived DOCX</x:v>
      </x:c>
      <x:c r="H3133" s="6" t="str">
        <x:v>1</x:v>
      </x:c>
      <x:c r="I3133" s="6" t="str"/>
      <x:c r="J3133" s="6" t="str">
        <x:f>IF(B3133="","",IF(AND(ISNUMBER(SEARCH("平",B3133)),OR(ISNUMBER(SEARCH("上",B3133)),ISNUMBER(SEARCH("去",B3133)),ISNUMBER(SEARCH("入",B3133)))),"Ambiguous",IF(ISNUMBER(SEARCH("平",B3133)),"平","仄")))</x:f>
        <x:v>平</x:v>
      </x:c>
      <x:c r="K3133" s="6" t="str">
        <x:f>IF(D3133="","",IF(AND(ISNUMBER(SEARCH("平",D3133)),OR(ISNUMBER(SEARCH("上",D3133)),ISNUMBER(SEARCH("去",D3133)),ISNUMBER(SEARCH("入",D3133)))),"Ambiguous",IF(ISNUMBER(SEARCH("平",D3133)),"平","仄")))</x:f>
        <x:v>平</x:v>
      </x:c>
      <x:c r="L3133" s="7" t="str"/>
    </x:row>
    <x:row r="3134">
      <x:c r="A3134" s="5" t="str">
        <x:v>繫</x:v>
      </x:c>
      <x:c r="B3134" s="6" t="str">
        <x:v>去</x:v>
      </x:c>
      <x:c r="C3134" s="6" t="str">
        <x:f>IF(B3134="","Needs decision","Ready")</x:f>
        <x:v>Ready</x:v>
      </x:c>
      <x:c r="D3134" s="6" t="str">
        <x:v>去</x:v>
      </x:c>
      <x:c r="E3134" s="6" t="str">
        <x:v>kejH (C); hejH (C)</x:v>
      </x:c>
      <x:c r="F3134" s="6" t="str">
        <x:v>去聲八霽</x:v>
      </x:c>
      <x:c r="G3134" s="6" t="str">
        <x:v>Pingshui main list, Wikisource-derived DOCX</x:v>
      </x:c>
      <x:c r="H3134" s="6" t="str">
        <x:v>2</x:v>
      </x:c>
      <x:c r="I3134" s="6" t="str"/>
      <x:c r="J3134" s="6" t="str">
        <x:f>IF(B3134="","",IF(AND(ISNUMBER(SEARCH("平",B3134)),OR(ISNUMBER(SEARCH("上",B3134)),ISNUMBER(SEARCH("去",B3134)),ISNUMBER(SEARCH("入",B3134)))),"Ambiguous",IF(ISNUMBER(SEARCH("平",B3134)),"平","仄")))</x:f>
        <x:v>仄</x:v>
      </x:c>
      <x:c r="K3134" s="6" t="str">
        <x:f>IF(D3134="","",IF(AND(ISNUMBER(SEARCH("平",D3134)),OR(ISNUMBER(SEARCH("上",D3134)),ISNUMBER(SEARCH("去",D3134)),ISNUMBER(SEARCH("入",D3134)))),"Ambiguous",IF(ISNUMBER(SEARCH("平",D3134)),"平","仄")))</x:f>
        <x:v>仄</x:v>
      </x:c>
      <x:c r="L3134" s="7" t="str"/>
    </x:row>
    <x:row r="3135">
      <x:c r="A3135" s="5" t="str">
        <x:v>繭</x:v>
      </x:c>
      <x:c r="B3135" s="6" t="str">
        <x:v>上</x:v>
      </x:c>
      <x:c r="C3135" s="6" t="str">
        <x:f>IF(B3135="","Needs decision","Ready")</x:f>
        <x:v>Ready</x:v>
      </x:c>
      <x:c r="D3135" s="6" t="str">
        <x:v>上</x:v>
      </x:c>
      <x:c r="E3135" s="6" t="str">
        <x:v>kenX (B)</x:v>
      </x:c>
      <x:c r="F3135" s="6" t="str">
        <x:v>上聲十六銑</x:v>
      </x:c>
      <x:c r="G3135" s="6" t="str">
        <x:v>Pingshui main list, Wikisource-derived DOCX</x:v>
      </x:c>
      <x:c r="H3135" s="6" t="str">
        <x:v>1</x:v>
      </x:c>
      <x:c r="I3135" s="6" t="str"/>
      <x:c r="J3135" s="6" t="str">
        <x:f>IF(B3135="","",IF(AND(ISNUMBER(SEARCH("平",B3135)),OR(ISNUMBER(SEARCH("上",B3135)),ISNUMBER(SEARCH("去",B3135)),ISNUMBER(SEARCH("入",B3135)))),"Ambiguous",IF(ISNUMBER(SEARCH("平",B3135)),"平","仄")))</x:f>
        <x:v>仄</x:v>
      </x:c>
      <x:c r="K3135" s="6" t="str">
        <x:f>IF(D3135="","",IF(AND(ISNUMBER(SEARCH("平",D3135)),OR(ISNUMBER(SEARCH("上",D3135)),ISNUMBER(SEARCH("去",D3135)),ISNUMBER(SEARCH("入",D3135)))),"Ambiguous",IF(ISNUMBER(SEARCH("平",D3135)),"平","仄")))</x:f>
        <x:v>仄</x:v>
      </x:c>
      <x:c r="L3135" s="7" t="str"/>
    </x:row>
    <x:row r="3136">
      <x:c r="A3136" s="5" t="str">
        <x:v>繰</x:v>
      </x:c>
      <x:c r="B3136" s="6" t="str">
        <x:v>上</x:v>
      </x:c>
      <x:c r="C3136" s="6" t="str">
        <x:f>IF(B3136="","Needs decision","Ready")</x:f>
        <x:v>Ready</x:v>
      </x:c>
      <x:c r="D3136" s="6" t="str">
        <x:v>上</x:v>
      </x:c>
      <x:c r="E3136" s="6" t="str">
        <x:v>tsawX (B)</x:v>
      </x:c>
      <x:c r="F3136" s="6" t="str">
        <x:v>上聲十九皓</x:v>
      </x:c>
      <x:c r="G3136" s="6" t="str">
        <x:v>Pingshui main list, Wikisource-derived DOCX</x:v>
      </x:c>
      <x:c r="H3136" s="6" t="str">
        <x:v>1</x:v>
      </x:c>
      <x:c r="I3136" s="6" t="str"/>
      <x:c r="J3136" s="6" t="str">
        <x:f>IF(B3136="","",IF(AND(ISNUMBER(SEARCH("平",B3136)),OR(ISNUMBER(SEARCH("上",B3136)),ISNUMBER(SEARCH("去",B3136)),ISNUMBER(SEARCH("入",B3136)))),"Ambiguous",IF(ISNUMBER(SEARCH("平",B3136)),"平","仄")))</x:f>
        <x:v>仄</x:v>
      </x:c>
      <x:c r="K3136" s="6" t="str">
        <x:f>IF(D3136="","",IF(AND(ISNUMBER(SEARCH("平",D3136)),OR(ISNUMBER(SEARCH("上",D3136)),ISNUMBER(SEARCH("去",D3136)),ISNUMBER(SEARCH("入",D3136)))),"Ambiguous",IF(ISNUMBER(SEARCH("平",D3136)),"平","仄")))</x:f>
        <x:v>仄</x:v>
      </x:c>
      <x:c r="L3136" s="7" t="str"/>
    </x:row>
    <x:row r="3137">
      <x:c r="A3137" s="5" t="str">
        <x:v>繳</x:v>
      </x:c>
      <x:c r="B3137" s="6" t="str">
        <x:v>入</x:v>
      </x:c>
      <x:c r="C3137" s="6" t="str">
        <x:f>IF(B3137="","Needs decision","Ready")</x:f>
        <x:v>Ready</x:v>
      </x:c>
      <x:c r="D3137" s="6" t="str">
        <x:v>入</x:v>
      </x:c>
      <x:c r="E3137" s="6" t="str">
        <x:v>tsyak (D)</x:v>
      </x:c>
      <x:c r="F3137" s="6" t="str">
        <x:v>入聲十藥</x:v>
      </x:c>
      <x:c r="G3137" s="6" t="str">
        <x:v>Pingshui main list, Wikisource-derived DOCX</x:v>
      </x:c>
      <x:c r="H3137" s="6" t="str">
        <x:v>1</x:v>
      </x:c>
      <x:c r="I3137" s="6" t="str"/>
      <x:c r="J3137" s="6" t="str">
        <x:f>IF(B3137="","",IF(AND(ISNUMBER(SEARCH("平",B3137)),OR(ISNUMBER(SEARCH("上",B3137)),ISNUMBER(SEARCH("去",B3137)),ISNUMBER(SEARCH("入",B3137)))),"Ambiguous",IF(ISNUMBER(SEARCH("平",B3137)),"平","仄")))</x:f>
        <x:v>仄</x:v>
      </x:c>
      <x:c r="K3137" s="6" t="str">
        <x:f>IF(D3137="","",IF(AND(ISNUMBER(SEARCH("平",D3137)),OR(ISNUMBER(SEARCH("上",D3137)),ISNUMBER(SEARCH("去",D3137)),ISNUMBER(SEARCH("入",D3137)))),"Ambiguous",IF(ISNUMBER(SEARCH("平",D3137)),"平","仄")))</x:f>
        <x:v>仄</x:v>
      </x:c>
      <x:c r="L3137" s="7" t="str"/>
    </x:row>
    <x:row r="3138">
      <x:c r="A3138" s="5" t="str">
        <x:v>繹</x:v>
      </x:c>
      <x:c r="B3138" s="6" t="str">
        <x:v>入</x:v>
      </x:c>
      <x:c r="C3138" s="6" t="str">
        <x:f>IF(B3138="","Needs decision","Ready")</x:f>
        <x:v>Ready</x:v>
      </x:c>
      <x:c r="D3138" s="6" t="str">
        <x:v>入</x:v>
      </x:c>
      <x:c r="E3138" s="6" t="str">
        <x:v>yek [jak] (入)</x:v>
      </x:c>
      <x:c r="F3138" s="6" t="str">
        <x:v>入聲十一陌</x:v>
      </x:c>
      <x:c r="G3138" s="6" t="str">
        <x:v>Pingshui main list, Wikisource-derived DOCX</x:v>
      </x:c>
      <x:c r="H3138" s="6" t="str">
        <x:v>1</x:v>
      </x:c>
      <x:c r="I3138" s="6" t="str">
        <x:v>Tang 300 gap; frequency 1; provisional from Xun Gong</x:v>
      </x:c>
      <x:c r="J3138" s="6" t="str">
        <x:f>IF(B3138="","",IF(AND(ISNUMBER(SEARCH("平",B3138)),OR(ISNUMBER(SEARCH("上",B3138)),ISNUMBER(SEARCH("去",B3138)),ISNUMBER(SEARCH("入",B3138)))),"Ambiguous",IF(ISNUMBER(SEARCH("平",B3138)),"平","仄")))</x:f>
        <x:v>仄</x:v>
      </x:c>
      <x:c r="K3138" s="6" t="str">
        <x:f>IF(D3138="","",IF(AND(ISNUMBER(SEARCH("平",D3138)),OR(ISNUMBER(SEARCH("上",D3138)),ISNUMBER(SEARCH("去",D3138)),ISNUMBER(SEARCH("入",D3138)))),"Ambiguous",IF(ISNUMBER(SEARCH("平",D3138)),"平","仄")))</x:f>
        <x:v>仄</x:v>
      </x:c>
      <x:c r="L3138" s="7" t="str">
        <x:v>Xun Gong, Tang 300 gap fill</x:v>
      </x:c>
    </x:row>
    <x:row r="3139">
      <x:c r="A3139" s="5" t="str">
        <x:v>繻</x:v>
      </x:c>
      <x:c r="B3139" s="6" t="str">
        <x:v>平</x:v>
      </x:c>
      <x:c r="C3139" s="6" t="str">
        <x:f>IF(B3139="","Needs decision","Ready")</x:f>
        <x:v>Ready</x:v>
      </x:c>
      <x:c r="D3139" s="6" t="str">
        <x:v>平</x:v>
      </x:c>
      <x:c r="E3139" s="6" t="str"/>
      <x:c r="F3139" s="6" t="str">
        <x:v>上平聲七虞</x:v>
      </x:c>
      <x:c r="G3139" s="6" t="str">
        <x:v>Pingshui main list, Wikisource-derived DOCX</x:v>
      </x:c>
      <x:c r="H3139" s="6" t="str">
        <x:v>0</x:v>
      </x:c>
      <x:c r="I3139" s="6" t="str">
        <x:v>User correction 2026-09-08; added manually</x:v>
      </x:c>
      <x:c r="J3139" s="6" t="str">
        <x:f>IF(B3139="","",IF(AND(ISNUMBER(SEARCH("平",B3139)),OR(ISNUMBER(SEARCH("上",B3139)),ISNUMBER(SEARCH("去",B3139)),ISNUMBER(SEARCH("入",B3139)))),"Ambiguous",IF(ISNUMBER(SEARCH("平",B3139)),"平","仄")))</x:f>
        <x:v>平</x:v>
      </x:c>
      <x:c r="K3139" s="6" t="str">
        <x:f>IF(D3139="","",IF(AND(ISNUMBER(SEARCH("平",D3139)),OR(ISNUMBER(SEARCH("上",D3139)),ISNUMBER(SEARCH("去",D3139)),ISNUMBER(SEARCH("入",D3139)))),"Ambiguous",IF(ISNUMBER(SEARCH("平",D3139)),"平","仄")))</x:f>
        <x:v>平</x:v>
      </x:c>
      <x:c r="L3139" s="7" t="str">
        <x:v>User correction</x:v>
      </x:c>
    </x:row>
    <x:row r="3140">
      <x:c r="A3140" s="5" t="str">
        <x:v>繼</x:v>
      </x:c>
      <x:c r="B3140" s="6" t="str">
        <x:v>去</x:v>
      </x:c>
      <x:c r="C3140" s="6" t="str">
        <x:f>IF(B3140="","Needs decision","Ready")</x:f>
        <x:v>Ready</x:v>
      </x:c>
      <x:c r="D3140" s="6" t="str">
        <x:v>去</x:v>
      </x:c>
      <x:c r="E3140" s="6" t="str">
        <x:v>kejH (C)</x:v>
      </x:c>
      <x:c r="F3140" s="6" t="str">
        <x:v>去聲八霽</x:v>
      </x:c>
      <x:c r="G3140" s="6" t="str">
        <x:v>Pingshui main list, Wikisource-derived DOCX</x:v>
      </x:c>
      <x:c r="H3140" s="6" t="str">
        <x:v>1</x:v>
      </x:c>
      <x:c r="I3140" s="6" t="str"/>
      <x:c r="J3140" s="6" t="str">
        <x:f>IF(B3140="","",IF(AND(ISNUMBER(SEARCH("平",B3140)),OR(ISNUMBER(SEARCH("上",B3140)),ISNUMBER(SEARCH("去",B3140)),ISNUMBER(SEARCH("入",B3140)))),"Ambiguous",IF(ISNUMBER(SEARCH("平",B3140)),"平","仄")))</x:f>
        <x:v>仄</x:v>
      </x:c>
      <x:c r="K3140" s="6" t="str">
        <x:f>IF(D3140="","",IF(AND(ISNUMBER(SEARCH("平",D3140)),OR(ISNUMBER(SEARCH("上",D3140)),ISNUMBER(SEARCH("去",D3140)),ISNUMBER(SEARCH("入",D3140)))),"Ambiguous",IF(ISNUMBER(SEARCH("平",D3140)),"平","仄")))</x:f>
        <x:v>仄</x:v>
      </x:c>
      <x:c r="L3140" s="7" t="str"/>
    </x:row>
    <x:row r="3141">
      <x:c r="A3141" s="5" t="str">
        <x:v>纂</x:v>
      </x:c>
      <x:c r="B3141" s="6" t="str">
        <x:v>上</x:v>
      </x:c>
      <x:c r="C3141" s="6" t="str">
        <x:f>IF(B3141="","Needs decision","Ready")</x:f>
        <x:v>Ready</x:v>
      </x:c>
      <x:c r="D3141" s="6" t="str">
        <x:v>上</x:v>
      </x:c>
      <x:c r="E3141" s="6" t="str">
        <x:v>tswanX (B)</x:v>
      </x:c>
      <x:c r="F3141" s="6" t="str">
        <x:v>上聲十四旱</x:v>
      </x:c>
      <x:c r="G3141" s="6" t="str">
        <x:v>Pingshui main list, Wikisource-derived DOCX</x:v>
      </x:c>
      <x:c r="H3141" s="6" t="str">
        <x:v>1</x:v>
      </x:c>
      <x:c r="I3141" s="6" t="str"/>
      <x:c r="J3141" s="6" t="str">
        <x:f>IF(B3141="","",IF(AND(ISNUMBER(SEARCH("平",B3141)),OR(ISNUMBER(SEARCH("上",B3141)),ISNUMBER(SEARCH("去",B3141)),ISNUMBER(SEARCH("入",B3141)))),"Ambiguous",IF(ISNUMBER(SEARCH("平",B3141)),"平","仄")))</x:f>
        <x:v>仄</x:v>
      </x:c>
      <x:c r="K3141" s="6" t="str">
        <x:f>IF(D3141="","",IF(AND(ISNUMBER(SEARCH("平",D3141)),OR(ISNUMBER(SEARCH("上",D3141)),ISNUMBER(SEARCH("去",D3141)),ISNUMBER(SEARCH("入",D3141)))),"Ambiguous",IF(ISNUMBER(SEARCH("平",D3141)),"平","仄")))</x:f>
        <x:v>仄</x:v>
      </x:c>
      <x:c r="L3141" s="7" t="str"/>
    </x:row>
    <x:row r="3142">
      <x:c r="A3142" s="5" t="str">
        <x:v>纊</x:v>
      </x:c>
      <x:c r="B3142" s="6" t="str">
        <x:v>去</x:v>
      </x:c>
      <x:c r="C3142" s="6" t="str">
        <x:f>IF(B3142="","Needs decision","Ready")</x:f>
        <x:v>Ready</x:v>
      </x:c>
      <x:c r="D3142" s="6" t="str">
        <x:v>去</x:v>
      </x:c>
      <x:c r="E3142" s="6" t="str">
        <x:v>khwangH (C)</x:v>
      </x:c>
      <x:c r="F3142" s="6" t="str">
        <x:v>去聲二十三漾</x:v>
      </x:c>
      <x:c r="G3142" s="6" t="str">
        <x:v>Pingshui main list, Wikisource-derived DOCX</x:v>
      </x:c>
      <x:c r="H3142" s="6" t="str">
        <x:v>1</x:v>
      </x:c>
      <x:c r="I3142" s="6" t="str"/>
      <x:c r="J3142" s="6" t="str">
        <x:f>IF(B3142="","",IF(AND(ISNUMBER(SEARCH("平",B3142)),OR(ISNUMBER(SEARCH("上",B3142)),ISNUMBER(SEARCH("去",B3142)),ISNUMBER(SEARCH("入",B3142)))),"Ambiguous",IF(ISNUMBER(SEARCH("平",B3142)),"平","仄")))</x:f>
        <x:v>仄</x:v>
      </x:c>
      <x:c r="K3142" s="6" t="str">
        <x:f>IF(D3142="","",IF(AND(ISNUMBER(SEARCH("平",D3142)),OR(ISNUMBER(SEARCH("上",D3142)),ISNUMBER(SEARCH("去",D3142)),ISNUMBER(SEARCH("入",D3142)))),"Ambiguous",IF(ISNUMBER(SEARCH("平",D3142)),"平","仄")))</x:f>
        <x:v>仄</x:v>
      </x:c>
      <x:c r="L3142" s="7" t="str"/>
    </x:row>
    <x:row r="3143">
      <x:c r="A3143" s="5" t="str">
        <x:v>續</x:v>
      </x:c>
      <x:c r="B3143" s="6" t="str">
        <x:v>入</x:v>
      </x:c>
      <x:c r="C3143" s="6" t="str">
        <x:f>IF(B3143="","Needs decision","Ready")</x:f>
        <x:v>Ready</x:v>
      </x:c>
      <x:c r="D3143" s="6" t="str">
        <x:v>入</x:v>
      </x:c>
      <x:c r="E3143" s="6" t="str">
        <x:v>zjowk (D)</x:v>
      </x:c>
      <x:c r="F3143" s="6" t="str">
        <x:v>入聲二沃</x:v>
      </x:c>
      <x:c r="G3143" s="6" t="str">
        <x:v>Pingshui main list, Wikisource-derived DOCX</x:v>
      </x:c>
      <x:c r="H3143" s="6" t="str">
        <x:v>1</x:v>
      </x:c>
      <x:c r="I3143" s="6" t="str"/>
      <x:c r="J3143" s="6" t="str">
        <x:f>IF(B3143="","",IF(AND(ISNUMBER(SEARCH("平",B3143)),OR(ISNUMBER(SEARCH("上",B3143)),ISNUMBER(SEARCH("去",B3143)),ISNUMBER(SEARCH("入",B3143)))),"Ambiguous",IF(ISNUMBER(SEARCH("平",B3143)),"平","仄")))</x:f>
        <x:v>仄</x:v>
      </x:c>
      <x:c r="K3143" s="6" t="str">
        <x:f>IF(D3143="","",IF(AND(ISNUMBER(SEARCH("平",D3143)),OR(ISNUMBER(SEARCH("上",D3143)),ISNUMBER(SEARCH("去",D3143)),ISNUMBER(SEARCH("入",D3143)))),"Ambiguous",IF(ISNUMBER(SEARCH("平",D3143)),"平","仄")))</x:f>
        <x:v>仄</x:v>
      </x:c>
      <x:c r="L3143" s="7" t="str"/>
    </x:row>
    <x:row r="3144">
      <x:c r="A3144" s="5" t="str">
        <x:v>纍</x:v>
      </x:c>
      <x:c r="B3144" s="6" t="str">
        <x:v>平</x:v>
      </x:c>
      <x:c r="C3144" s="6" t="str">
        <x:f>IF(B3144="","Needs decision","Ready")</x:f>
        <x:v>Ready</x:v>
      </x:c>
      <x:c r="D3144" s="6" t="str">
        <x:v>平</x:v>
      </x:c>
      <x:c r="E3144" s="6" t="str">
        <x:v>lwij (A)</x:v>
      </x:c>
      <x:c r="F3144" s="6" t="str">
        <x:v>上平聲四支; 去聲四寘</x:v>
      </x:c>
      <x:c r="G3144" s="6" t="str">
        <x:v>Pingshui main list, Wikisource-derived DOCX</x:v>
      </x:c>
      <x:c r="H3144" s="6" t="str">
        <x:v>1</x:v>
      </x:c>
      <x:c r="I3144" s="6" t="str"/>
      <x:c r="J3144" s="6" t="str">
        <x:f>IF(B3144="","",IF(AND(ISNUMBER(SEARCH("平",B3144)),OR(ISNUMBER(SEARCH("上",B3144)),ISNUMBER(SEARCH("去",B3144)),ISNUMBER(SEARCH("入",B3144)))),"Ambiguous",IF(ISNUMBER(SEARCH("平",B3144)),"平","仄")))</x:f>
        <x:v>平</x:v>
      </x:c>
      <x:c r="K3144" s="6" t="str">
        <x:f>IF(D3144="","",IF(AND(ISNUMBER(SEARCH("平",D3144)),OR(ISNUMBER(SEARCH("上",D3144)),ISNUMBER(SEARCH("去",D3144)),ISNUMBER(SEARCH("入",D3144)))),"Ambiguous",IF(ISNUMBER(SEARCH("平",D3144)),"平","仄")))</x:f>
        <x:v>平</x:v>
      </x:c>
      <x:c r="L3144" s="7" t="str"/>
    </x:row>
    <x:row r="3145">
      <x:c r="A3145" s="5" t="str">
        <x:v>纏</x:v>
      </x:c>
      <x:c r="B3145" s="6" t="str">
        <x:v>平</x:v>
      </x:c>
      <x:c r="C3145" s="6" t="str">
        <x:f>IF(B3145="","Needs decision","Ready")</x:f>
        <x:v>Ready</x:v>
      </x:c>
      <x:c r="D3145" s="6" t="str">
        <x:v>平</x:v>
      </x:c>
      <x:c r="E3145" s="6" t="str">
        <x:v>drjen (A)</x:v>
      </x:c>
      <x:c r="F3145" s="6" t="str">
        <x:v>下平聲一先; 去聲十七霰</x:v>
      </x:c>
      <x:c r="G3145" s="6" t="str">
        <x:v>Pingshui main list, Wikisource-derived DOCX</x:v>
      </x:c>
      <x:c r="H3145" s="6" t="str">
        <x:v>1</x:v>
      </x:c>
      <x:c r="I3145" s="6" t="str"/>
      <x:c r="J3145" s="6" t="str">
        <x:f>IF(B3145="","",IF(AND(ISNUMBER(SEARCH("平",B3145)),OR(ISNUMBER(SEARCH("上",B3145)),ISNUMBER(SEARCH("去",B3145)),ISNUMBER(SEARCH("入",B3145)))),"Ambiguous",IF(ISNUMBER(SEARCH("平",B3145)),"平","仄")))</x:f>
        <x:v>平</x:v>
      </x:c>
      <x:c r="K3145" s="6" t="str">
        <x:f>IF(D3145="","",IF(AND(ISNUMBER(SEARCH("平",D3145)),OR(ISNUMBER(SEARCH("上",D3145)),ISNUMBER(SEARCH("去",D3145)),ISNUMBER(SEARCH("入",D3145)))),"Ambiguous",IF(ISNUMBER(SEARCH("平",D3145)),"平","仄")))</x:f>
        <x:v>平</x:v>
      </x:c>
      <x:c r="L3145" s="7" t="str"/>
    </x:row>
    <x:row r="3146">
      <x:c r="A3146" s="5" t="str">
        <x:v>纓</x:v>
      </x:c>
      <x:c r="B3146" s="6" t="str">
        <x:v>平</x:v>
      </x:c>
      <x:c r="C3146" s="6" t="str">
        <x:f>IF(B3146="","Needs decision","Ready")</x:f>
        <x:v>Ready</x:v>
      </x:c>
      <x:c r="D3146" s="6" t="str">
        <x:v>平</x:v>
      </x:c>
      <x:c r="E3146" s="6" t="str">
        <x:v>'jieng (A)</x:v>
      </x:c>
      <x:c r="F3146" s="6" t="str">
        <x:v>下平聲八庚</x:v>
      </x:c>
      <x:c r="G3146" s="6" t="str">
        <x:v>Pingshui main list, Wikisource-derived DOCX</x:v>
      </x:c>
      <x:c r="H3146" s="6" t="str">
        <x:v>1</x:v>
      </x:c>
      <x:c r="I3146" s="6" t="str"/>
      <x:c r="J3146" s="6" t="str">
        <x:f>IF(B3146="","",IF(AND(ISNUMBER(SEARCH("平",B3146)),OR(ISNUMBER(SEARCH("上",B3146)),ISNUMBER(SEARCH("去",B3146)),ISNUMBER(SEARCH("入",B3146)))),"Ambiguous",IF(ISNUMBER(SEARCH("平",B3146)),"平","仄")))</x:f>
        <x:v>平</x:v>
      </x:c>
      <x:c r="K3146" s="6" t="str">
        <x:f>IF(D3146="","",IF(AND(ISNUMBER(SEARCH("平",D3146)),OR(ISNUMBER(SEARCH("上",D3146)),ISNUMBER(SEARCH("去",D3146)),ISNUMBER(SEARCH("入",D3146)))),"Ambiguous",IF(ISNUMBER(SEARCH("平",D3146)),"平","仄")))</x:f>
        <x:v>平</x:v>
      </x:c>
      <x:c r="L3146" s="7" t="str"/>
    </x:row>
    <x:row r="3147">
      <x:c r="A3147" s="5" t="str">
        <x:v>纔</x:v>
      </x:c>
      <x:c r="B3147" s="6" t="str"/>
      <x:c r="C3147" s="6" t="str">
        <x:f>IF(B3147="","Needs decision","Ready")</x:f>
        <x:v>Needs decision</x:v>
      </x:c>
      <x:c r="D3147" s="6" t="str">
        <x:v>平/去</x:v>
      </x:c>
      <x:c r="E3147" s="6" t="str">
        <x:v>dzoj [d̙z̙əj] (平); dzojH [d̙z̙əjh] (去); sraem [ʂaˤm] (平)</x:v>
      </x:c>
      <x:c r="F3147" s="6" t="str">
        <x:v>上平聲十灰</x:v>
      </x:c>
      <x:c r="G3147" s="6" t="str">
        <x:v>Pingshui main list, Wikisource-derived DOCX</x:v>
      </x:c>
      <x:c r="H3147" s="6" t="str">
        <x:v>3</x:v>
      </x:c>
      <x:c r="I3147" s="6" t="str">
        <x:v>Tang 300 gap; frequency 3; ambiguous in Xun Gong</x:v>
      </x:c>
      <x:c r="J3147" s="6" t="str">
        <x:f>IF(B3147="","",IF(AND(ISNUMBER(SEARCH("平",B3147)),OR(ISNUMBER(SEARCH("上",B3147)),ISNUMBER(SEARCH("去",B3147)),ISNUMBER(SEARCH("入",B3147)))),"Ambiguous",IF(ISNUMBER(SEARCH("平",B3147)),"平","仄")))</x:f>
      </x:c>
      <x:c r="K3147" s="6" t="str">
        <x:f>IF(D3147="","",IF(AND(ISNUMBER(SEARCH("平",D3147)),OR(ISNUMBER(SEARCH("上",D3147)),ISNUMBER(SEARCH("去",D3147)),ISNUMBER(SEARCH("入",D3147)))),"Ambiguous",IF(ISNUMBER(SEARCH("平",D3147)),"平","仄")))</x:f>
        <x:v>Ambiguous</x:v>
      </x:c>
      <x:c r="L3147" s="7" t="str">
        <x:v>Xun Gong, Tang 300 gap fill</x:v>
      </x:c>
    </x:row>
    <x:row r="3148">
      <x:c r="A3148" s="5" t="str">
        <x:v>纕</x:v>
      </x:c>
      <x:c r="B3148" s="6" t="str">
        <x:v>平</x:v>
      </x:c>
      <x:c r="C3148" s="6" t="str">
        <x:f>IF(B3148="","Needs decision","Ready")</x:f>
        <x:v>Ready</x:v>
      </x:c>
      <x:c r="D3148" s="6" t="str">
        <x:v>平</x:v>
      </x:c>
      <x:c r="E3148" s="6" t="str">
        <x:v>sjang (A)</x:v>
      </x:c>
      <x:c r="F3148" s="6" t="str">
        <x:v>下平聲七陽</x:v>
      </x:c>
      <x:c r="G3148" s="6" t="str">
        <x:v>Pingshui main list, Wikisource-derived DOCX</x:v>
      </x:c>
      <x:c r="H3148" s="6" t="str">
        <x:v>1</x:v>
      </x:c>
      <x:c r="I3148" s="6" t="str"/>
      <x:c r="J3148" s="6" t="str">
        <x:f>IF(B3148="","",IF(AND(ISNUMBER(SEARCH("平",B3148)),OR(ISNUMBER(SEARCH("上",B3148)),ISNUMBER(SEARCH("去",B3148)),ISNUMBER(SEARCH("入",B3148)))),"Ambiguous",IF(ISNUMBER(SEARCH("平",B3148)),"平","仄")))</x:f>
        <x:v>平</x:v>
      </x:c>
      <x:c r="K3148" s="6" t="str">
        <x:f>IF(D3148="","",IF(AND(ISNUMBER(SEARCH("平",D3148)),OR(ISNUMBER(SEARCH("上",D3148)),ISNUMBER(SEARCH("去",D3148)),ISNUMBER(SEARCH("入",D3148)))),"Ambiguous",IF(ISNUMBER(SEARCH("平",D3148)),"平","仄")))</x:f>
        <x:v>平</x:v>
      </x:c>
      <x:c r="L3148" s="7" t="str"/>
    </x:row>
    <x:row r="3149">
      <x:c r="A3149" s="5" t="str">
        <x:v>纖</x:v>
      </x:c>
      <x:c r="B3149" s="6" t="str">
        <x:v>平</x:v>
      </x:c>
      <x:c r="C3149" s="6" t="str">
        <x:f>IF(B3149="","Needs decision","Ready")</x:f>
        <x:v>Ready</x:v>
      </x:c>
      <x:c r="D3149" s="6" t="str">
        <x:v>平</x:v>
      </x:c>
      <x:c r="E3149" s="6" t="str">
        <x:v>sjem [心開三鹽平] sjem</x:v>
      </x:c>
      <x:c r="F3149" s="6" t="str">
        <x:v>下平聲十四鹽</x:v>
      </x:c>
      <x:c r="G3149" s="6" t="str">
        <x:v>Pingshui main list, Wikisource-derived DOCX</x:v>
      </x:c>
      <x:c r="H3149" s="6" t="str">
        <x:v>1</x:v>
      </x:c>
      <x:c r="I3149" s="6" t="str">
        <x:v>Targeted preliminary fill from Xun Gong; review if uncertain</x:v>
      </x:c>
      <x:c r="J3149" s="6" t="str">
        <x:f>IF(B3149="","",IF(AND(ISNUMBER(SEARCH("平",B3149)),OR(ISNUMBER(SEARCH("上",B3149)),ISNUMBER(SEARCH("去",B3149)),ISNUMBER(SEARCH("入",B3149)))),"Ambiguous",IF(ISNUMBER(SEARCH("平",B3149)),"平","仄")))</x:f>
        <x:v>平</x:v>
      </x:c>
      <x:c r="K3149" s="6" t="str">
        <x:f>IF(D3149="","",IF(AND(ISNUMBER(SEARCH("平",D3149)),OR(ISNUMBER(SEARCH("上",D3149)),ISNUMBER(SEARCH("去",D3149)),ISNUMBER(SEARCH("入",D3149)))),"Ambiguous",IF(ISNUMBER(SEARCH("平",D3149)),"平","仄")))</x:f>
        <x:v>平</x:v>
      </x:c>
      <x:c r="L3149" s="7" t="str">
        <x:v>Xun Gong character-readings.csv</x:v>
      </x:c>
    </x:row>
    <x:row r="3150">
      <x:c r="A3150" s="5" t="str">
        <x:v>纚</x:v>
      </x:c>
      <x:c r="B3150" s="6" t="str"/>
      <x:c r="C3150" s="6" t="str">
        <x:f>IF(B3150="","Needs decision","Ready")</x:f>
        <x:v>Needs decision</x:v>
      </x:c>
      <x:c r="D3150" s="6" t="str">
        <x:v>平/上</x:v>
      </x:c>
      <x:c r="E3150" s="6" t="str">
        <x:v>lje (A); sreaX (B); srjeX (B)</x:v>
      </x:c>
      <x:c r="F3150" s="6" t="str">
        <x:v>上平聲四支; 上聲四紙</x:v>
      </x:c>
      <x:c r="G3150" s="6" t="str">
        <x:v>Pingshui main list, Wikisource-derived DOCX</x:v>
      </x:c>
      <x:c r="H3150" s="6" t="str">
        <x:v>3</x:v>
      </x:c>
      <x:c r="I3150" s="6" t="str"/>
      <x:c r="J3150" s="6" t="str">
        <x:f>IF(B3150="","",IF(AND(ISNUMBER(SEARCH("平",B3150)),OR(ISNUMBER(SEARCH("上",B3150)),ISNUMBER(SEARCH("去",B3150)),ISNUMBER(SEARCH("入",B3150)))),"Ambiguous",IF(ISNUMBER(SEARCH("平",B3150)),"平","仄")))</x:f>
      </x:c>
      <x:c r="K3150" s="6" t="str">
        <x:f>IF(D3150="","",IF(AND(ISNUMBER(SEARCH("平",D3150)),OR(ISNUMBER(SEARCH("上",D3150)),ISNUMBER(SEARCH("去",D3150)),ISNUMBER(SEARCH("入",D3150)))),"Ambiguous",IF(ISNUMBER(SEARCH("平",D3150)),"平","仄")))</x:f>
        <x:v>Ambiguous</x:v>
      </x:c>
      <x:c r="L3150" s="7" t="str"/>
    </x:row>
    <x:row r="3151">
      <x:c r="A3151" s="5" t="str">
        <x:v>纛</x:v>
      </x:c>
      <x:c r="B3151" s="6" t="str"/>
      <x:c r="C3151" s="6" t="str">
        <x:f>IF(B3151="","Needs decision","Ready")</x:f>
        <x:v>Needs decision</x:v>
      </x:c>
      <x:c r="D3151" s="6" t="str">
        <x:v>去/入</x:v>
      </x:c>
      <x:c r="E3151" s="6" t="str">
        <x:v>dawH (C); dowk (D)</x:v>
      </x:c>
      <x:c r="F3151" s="6" t="str">
        <x:v>去聲二十號; 入聲二沃</x:v>
      </x:c>
      <x:c r="G3151" s="6" t="str">
        <x:v>Pingshui main list, Wikisource-derived DOCX</x:v>
      </x:c>
      <x:c r="H3151" s="6" t="str">
        <x:v>2</x:v>
      </x:c>
      <x:c r="I3151" s="6" t="str"/>
      <x:c r="J3151" s="6" t="str">
        <x:f>IF(B3151="","",IF(AND(ISNUMBER(SEARCH("平",B3151)),OR(ISNUMBER(SEARCH("上",B3151)),ISNUMBER(SEARCH("去",B3151)),ISNUMBER(SEARCH("入",B3151)))),"Ambiguous",IF(ISNUMBER(SEARCH("平",B3151)),"平","仄")))</x:f>
      </x:c>
      <x:c r="K3151" s="6" t="str">
        <x:f>IF(D3151="","",IF(AND(ISNUMBER(SEARCH("平",D3151)),OR(ISNUMBER(SEARCH("上",D3151)),ISNUMBER(SEARCH("去",D3151)),ISNUMBER(SEARCH("入",D3151)))),"Ambiguous",IF(ISNUMBER(SEARCH("平",D3151)),"平","仄")))</x:f>
        <x:v>仄</x:v>
      </x:c>
      <x:c r="L3151" s="7" t="str"/>
    </x:row>
    <x:row r="3152">
      <x:c r="A3152" s="5" t="str">
        <x:v>缶</x:v>
      </x:c>
      <x:c r="B3152" s="6" t="str">
        <x:v>上</x:v>
      </x:c>
      <x:c r="C3152" s="6" t="str">
        <x:f>IF(B3152="","Needs decision","Ready")</x:f>
        <x:v>Ready</x:v>
      </x:c>
      <x:c r="D3152" s="6" t="str">
        <x:v>上</x:v>
      </x:c>
      <x:c r="E3152" s="6" t="str">
        <x:v>pjuwX (B)</x:v>
      </x:c>
      <x:c r="F3152" s="6" t="str">
        <x:v>上聲二十五有</x:v>
      </x:c>
      <x:c r="G3152" s="6" t="str">
        <x:v>Pingshui main list, Wikisource-derived DOCX</x:v>
      </x:c>
      <x:c r="H3152" s="6" t="str">
        <x:v>1</x:v>
      </x:c>
      <x:c r="I3152" s="6" t="str"/>
      <x:c r="J3152" s="6" t="str">
        <x:f>IF(B3152="","",IF(AND(ISNUMBER(SEARCH("平",B3152)),OR(ISNUMBER(SEARCH("上",B3152)),ISNUMBER(SEARCH("去",B3152)),ISNUMBER(SEARCH("入",B3152)))),"Ambiguous",IF(ISNUMBER(SEARCH("平",B3152)),"平","仄")))</x:f>
        <x:v>仄</x:v>
      </x:c>
      <x:c r="K3152" s="6" t="str">
        <x:f>IF(D3152="","",IF(AND(ISNUMBER(SEARCH("平",D3152)),OR(ISNUMBER(SEARCH("上",D3152)),ISNUMBER(SEARCH("去",D3152)),ISNUMBER(SEARCH("入",D3152)))),"Ambiguous",IF(ISNUMBER(SEARCH("平",D3152)),"平","仄")))</x:f>
        <x:v>仄</x:v>
      </x:c>
      <x:c r="L3152" s="7" t="str"/>
    </x:row>
    <x:row r="3153">
      <x:c r="A3153" s="5" t="str">
        <x:v>缺</x:v>
      </x:c>
      <x:c r="B3153" s="6" t="str">
        <x:v>入</x:v>
      </x:c>
      <x:c r="C3153" s="6" t="str">
        <x:f>IF(B3153="","Needs decision","Ready")</x:f>
        <x:v>Ready</x:v>
      </x:c>
      <x:c r="D3153" s="6" t="str">
        <x:v>入</x:v>
      </x:c>
      <x:c r="E3153" s="6" t="str">
        <x:v>khwet (D)</x:v>
      </x:c>
      <x:c r="F3153" s="6" t="str">
        <x:v>入聲九屑</x:v>
      </x:c>
      <x:c r="G3153" s="6" t="str">
        <x:v>Pingshui main list, Wikisource-derived DOCX</x:v>
      </x:c>
      <x:c r="H3153" s="6" t="str">
        <x:v>1</x:v>
      </x:c>
      <x:c r="I3153" s="6" t="str"/>
      <x:c r="J3153" s="6" t="str">
        <x:f>IF(B3153="","",IF(AND(ISNUMBER(SEARCH("平",B3153)),OR(ISNUMBER(SEARCH("上",B3153)),ISNUMBER(SEARCH("去",B3153)),ISNUMBER(SEARCH("入",B3153)))),"Ambiguous",IF(ISNUMBER(SEARCH("平",B3153)),"平","仄")))</x:f>
        <x:v>仄</x:v>
      </x:c>
      <x:c r="K3153" s="6" t="str">
        <x:f>IF(D3153="","",IF(AND(ISNUMBER(SEARCH("平",D3153)),OR(ISNUMBER(SEARCH("上",D3153)),ISNUMBER(SEARCH("去",D3153)),ISNUMBER(SEARCH("入",D3153)))),"Ambiguous",IF(ISNUMBER(SEARCH("平",D3153)),"平","仄")))</x:f>
        <x:v>仄</x:v>
      </x:c>
      <x:c r="L3153" s="7" t="str"/>
    </x:row>
    <x:row r="3154">
      <x:c r="A3154" s="5" t="str">
        <x:v>缾</x:v>
      </x:c>
      <x:c r="B3154" s="6" t="str">
        <x:v>平</x:v>
      </x:c>
      <x:c r="C3154" s="6" t="str">
        <x:f>IF(B3154="","Needs decision","Ready")</x:f>
        <x:v>Ready</x:v>
      </x:c>
      <x:c r="D3154" s="6" t="str">
        <x:v>平</x:v>
      </x:c>
      <x:c r="E3154" s="6" t="str">
        <x:v>beng (A)</x:v>
      </x:c>
      <x:c r="F3154" s="6" t="str"/>
      <x:c r="G3154" s="6" t="str"/>
      <x:c r="H3154" s="6" t="str">
        <x:v>1</x:v>
      </x:c>
      <x:c r="I3154" s="6" t="str"/>
      <x:c r="J3154" s="6" t="str">
        <x:f>IF(B3154="","",IF(AND(ISNUMBER(SEARCH("平",B3154)),OR(ISNUMBER(SEARCH("上",B3154)),ISNUMBER(SEARCH("去",B3154)),ISNUMBER(SEARCH("入",B3154)))),"Ambiguous",IF(ISNUMBER(SEARCH("平",B3154)),"平","仄")))</x:f>
        <x:v>平</x:v>
      </x:c>
      <x:c r="K3154" s="6" t="str">
        <x:f>IF(D3154="","",IF(AND(ISNUMBER(SEARCH("平",D3154)),OR(ISNUMBER(SEARCH("上",D3154)),ISNUMBER(SEARCH("去",D3154)),ISNUMBER(SEARCH("入",D3154)))),"Ambiguous",IF(ISNUMBER(SEARCH("平",D3154)),"平","仄")))</x:f>
        <x:v>平</x:v>
      </x:c>
      <x:c r="L3154" s="7" t="str"/>
    </x:row>
    <x:row r="3155">
      <x:c r="A3155" s="5" t="str">
        <x:v>罃</x:v>
      </x:c>
      <x:c r="B3155" s="6" t="str">
        <x:v>平</x:v>
      </x:c>
      <x:c r="C3155" s="6" t="str">
        <x:f>IF(B3155="","Needs decision","Ready")</x:f>
        <x:v>Ready</x:v>
      </x:c>
      <x:c r="D3155" s="6" t="str">
        <x:v>平</x:v>
      </x:c>
      <x:c r="E3155" s="6" t="str">
        <x:v>'eang (A)</x:v>
      </x:c>
      <x:c r="F3155" s="6" t="str">
        <x:v>下平聲八庚</x:v>
      </x:c>
      <x:c r="G3155" s="6" t="str">
        <x:v>Pingshui main list, Wikisource-derived DOCX</x:v>
      </x:c>
      <x:c r="H3155" s="6" t="str">
        <x:v>1</x:v>
      </x:c>
      <x:c r="I3155" s="6" t="str"/>
      <x:c r="J3155" s="6" t="str">
        <x:f>IF(B3155="","",IF(AND(ISNUMBER(SEARCH("平",B3155)),OR(ISNUMBER(SEARCH("上",B3155)),ISNUMBER(SEARCH("去",B3155)),ISNUMBER(SEARCH("入",B3155)))),"Ambiguous",IF(ISNUMBER(SEARCH("平",B3155)),"平","仄")))</x:f>
        <x:v>平</x:v>
      </x:c>
      <x:c r="K3155" s="6" t="str">
        <x:f>IF(D3155="","",IF(AND(ISNUMBER(SEARCH("平",D3155)),OR(ISNUMBER(SEARCH("上",D3155)),ISNUMBER(SEARCH("去",D3155)),ISNUMBER(SEARCH("入",D3155)))),"Ambiguous",IF(ISNUMBER(SEARCH("平",D3155)),"平","仄")))</x:f>
        <x:v>平</x:v>
      </x:c>
      <x:c r="L3155" s="7" t="str"/>
    </x:row>
    <x:row r="3156">
      <x:c r="A3156" s="5" t="str">
        <x:v>罄</x:v>
      </x:c>
      <x:c r="B3156" s="6" t="str">
        <x:v>去</x:v>
      </x:c>
      <x:c r="C3156" s="6" t="str">
        <x:f>IF(B3156="","Needs decision","Ready")</x:f>
        <x:v>Ready</x:v>
      </x:c>
      <x:c r="D3156" s="6" t="str">
        <x:v>去</x:v>
      </x:c>
      <x:c r="E3156" s="6" t="str">
        <x:v>khengH (C)</x:v>
      </x:c>
      <x:c r="F3156" s="6" t="str">
        <x:v>去聲二十五徑</x:v>
      </x:c>
      <x:c r="G3156" s="6" t="str">
        <x:v>Pingshui main list, Wikisource-derived DOCX</x:v>
      </x:c>
      <x:c r="H3156" s="6" t="str">
        <x:v>1</x:v>
      </x:c>
      <x:c r="I3156" s="6" t="str"/>
      <x:c r="J3156" s="6" t="str">
        <x:f>IF(B3156="","",IF(AND(ISNUMBER(SEARCH("平",B3156)),OR(ISNUMBER(SEARCH("上",B3156)),ISNUMBER(SEARCH("去",B3156)),ISNUMBER(SEARCH("入",B3156)))),"Ambiguous",IF(ISNUMBER(SEARCH("平",B3156)),"平","仄")))</x:f>
        <x:v>仄</x:v>
      </x:c>
      <x:c r="K3156" s="6" t="str">
        <x:f>IF(D3156="","",IF(AND(ISNUMBER(SEARCH("平",D3156)),OR(ISNUMBER(SEARCH("上",D3156)),ISNUMBER(SEARCH("去",D3156)),ISNUMBER(SEARCH("入",D3156)))),"Ambiguous",IF(ISNUMBER(SEARCH("平",D3156)),"平","仄")))</x:f>
        <x:v>仄</x:v>
      </x:c>
      <x:c r="L3156" s="7" t="str"/>
    </x:row>
    <x:row r="3157">
      <x:c r="A3157" s="5" t="str">
        <x:v>罌</x:v>
      </x:c>
      <x:c r="B3157" s="6" t="str">
        <x:v>平</x:v>
      </x:c>
      <x:c r="C3157" s="6" t="str">
        <x:f>IF(B3157="","Needs decision","Ready")</x:f>
        <x:v>Ready</x:v>
      </x:c>
      <x:c r="D3157" s="6" t="str">
        <x:v>平</x:v>
      </x:c>
      <x:c r="E3157" s="6" t="str">
        <x:v>'eang (A)</x:v>
      </x:c>
      <x:c r="F3157" s="6" t="str"/>
      <x:c r="G3157" s="6" t="str"/>
      <x:c r="H3157" s="6" t="str">
        <x:v>1</x:v>
      </x:c>
      <x:c r="I3157" s="6" t="str"/>
      <x:c r="J3157" s="6" t="str">
        <x:f>IF(B3157="","",IF(AND(ISNUMBER(SEARCH("平",B3157)),OR(ISNUMBER(SEARCH("上",B3157)),ISNUMBER(SEARCH("去",B3157)),ISNUMBER(SEARCH("入",B3157)))),"Ambiguous",IF(ISNUMBER(SEARCH("平",B3157)),"平","仄")))</x:f>
        <x:v>平</x:v>
      </x:c>
      <x:c r="K3157" s="6" t="str">
        <x:f>IF(D3157="","",IF(AND(ISNUMBER(SEARCH("平",D3157)),OR(ISNUMBER(SEARCH("上",D3157)),ISNUMBER(SEARCH("去",D3157)),ISNUMBER(SEARCH("入",D3157)))),"Ambiguous",IF(ISNUMBER(SEARCH("平",D3157)),"平","仄")))</x:f>
        <x:v>平</x:v>
      </x:c>
      <x:c r="L3157" s="7" t="str"/>
    </x:row>
    <x:row r="3158">
      <x:c r="A3158" s="5" t="str">
        <x:v>罍</x:v>
      </x:c>
      <x:c r="B3158" s="6" t="str">
        <x:v>平</x:v>
      </x:c>
      <x:c r="C3158" s="6" t="str">
        <x:f>IF(B3158="","Needs decision","Ready")</x:f>
        <x:v>Ready</x:v>
      </x:c>
      <x:c r="D3158" s="6" t="str">
        <x:v>平</x:v>
      </x:c>
      <x:c r="E3158" s="6" t="str">
        <x:v>lwoj (A)</x:v>
      </x:c>
      <x:c r="F3158" s="6" t="str"/>
      <x:c r="G3158" s="6" t="str"/>
      <x:c r="H3158" s="6" t="str">
        <x:v>1</x:v>
      </x:c>
      <x:c r="I3158" s="6" t="str"/>
      <x:c r="J3158" s="6" t="str">
        <x:f>IF(B3158="","",IF(AND(ISNUMBER(SEARCH("平",B3158)),OR(ISNUMBER(SEARCH("上",B3158)),ISNUMBER(SEARCH("去",B3158)),ISNUMBER(SEARCH("入",B3158)))),"Ambiguous",IF(ISNUMBER(SEARCH("平",B3158)),"平","仄")))</x:f>
        <x:v>平</x:v>
      </x:c>
      <x:c r="K3158" s="6" t="str">
        <x:f>IF(D3158="","",IF(AND(ISNUMBER(SEARCH("平",D3158)),OR(ISNUMBER(SEARCH("上",D3158)),ISNUMBER(SEARCH("去",D3158)),ISNUMBER(SEARCH("入",D3158)))),"Ambiguous",IF(ISNUMBER(SEARCH("平",D3158)),"平","仄")))</x:f>
        <x:v>平</x:v>
      </x:c>
      <x:c r="L3158" s="7" t="str"/>
    </x:row>
    <x:row r="3159">
      <x:c r="A3159" s="5" t="str">
        <x:v>网</x:v>
      </x:c>
      <x:c r="B3159" s="6" t="str">
        <x:v>上</x:v>
      </x:c>
      <x:c r="C3159" s="6" t="str">
        <x:f>IF(B3159="","Needs decision","Ready")</x:f>
        <x:v>Ready</x:v>
      </x:c>
      <x:c r="D3159" s="6" t="str">
        <x:v>上</x:v>
      </x:c>
      <x:c r="E3159" s="6" t="str">
        <x:v>mjangX (B)</x:v>
      </x:c>
      <x:c r="F3159" s="6" t="str"/>
      <x:c r="G3159" s="6" t="str"/>
      <x:c r="H3159" s="6" t="str">
        <x:v>1</x:v>
      </x:c>
      <x:c r="I3159" s="6" t="str"/>
      <x:c r="J3159" s="6" t="str">
        <x:f>IF(B3159="","",IF(AND(ISNUMBER(SEARCH("平",B3159)),OR(ISNUMBER(SEARCH("上",B3159)),ISNUMBER(SEARCH("去",B3159)),ISNUMBER(SEARCH("入",B3159)))),"Ambiguous",IF(ISNUMBER(SEARCH("平",B3159)),"平","仄")))</x:f>
        <x:v>仄</x:v>
      </x:c>
      <x:c r="K3159" s="6" t="str">
        <x:f>IF(D3159="","",IF(AND(ISNUMBER(SEARCH("平",D3159)),OR(ISNUMBER(SEARCH("上",D3159)),ISNUMBER(SEARCH("去",D3159)),ISNUMBER(SEARCH("入",D3159)))),"Ambiguous",IF(ISNUMBER(SEARCH("平",D3159)),"平","仄")))</x:f>
        <x:v>仄</x:v>
      </x:c>
      <x:c r="L3159" s="7" t="str"/>
    </x:row>
    <x:row r="3160">
      <x:c r="A3160" s="5" t="str">
        <x:v>罔</x:v>
      </x:c>
      <x:c r="B3160" s="6" t="str">
        <x:v>上</x:v>
      </x:c>
      <x:c r="C3160" s="6" t="str">
        <x:f>IF(B3160="","Needs decision","Ready")</x:f>
        <x:v>Ready</x:v>
      </x:c>
      <x:c r="D3160" s="6" t="str">
        <x:v>上</x:v>
      </x:c>
      <x:c r="E3160" s="6" t="str">
        <x:v>mjangX (B)</x:v>
      </x:c>
      <x:c r="F3160" s="6" t="str">
        <x:v>上聲二十二養</x:v>
      </x:c>
      <x:c r="G3160" s="6" t="str">
        <x:v>Pingshui main list, Wikisource-derived DOCX</x:v>
      </x:c>
      <x:c r="H3160" s="6" t="str">
        <x:v>1</x:v>
      </x:c>
      <x:c r="I3160" s="6" t="str"/>
      <x:c r="J3160" s="6" t="str">
        <x:f>IF(B3160="","",IF(AND(ISNUMBER(SEARCH("平",B3160)),OR(ISNUMBER(SEARCH("上",B3160)),ISNUMBER(SEARCH("去",B3160)),ISNUMBER(SEARCH("入",B3160)))),"Ambiguous",IF(ISNUMBER(SEARCH("平",B3160)),"平","仄")))</x:f>
        <x:v>仄</x:v>
      </x:c>
      <x:c r="K3160" s="6" t="str">
        <x:f>IF(D3160="","",IF(AND(ISNUMBER(SEARCH("平",D3160)),OR(ISNUMBER(SEARCH("上",D3160)),ISNUMBER(SEARCH("去",D3160)),ISNUMBER(SEARCH("入",D3160)))),"Ambiguous",IF(ISNUMBER(SEARCH("平",D3160)),"平","仄")))</x:f>
        <x:v>仄</x:v>
      </x:c>
      <x:c r="L3160" s="7" t="str"/>
    </x:row>
    <x:row r="3161">
      <x:c r="A3161" s="5" t="str">
        <x:v>罕</x:v>
      </x:c>
      <x:c r="B3161" s="6" t="str">
        <x:v>上</x:v>
      </x:c>
      <x:c r="C3161" s="6" t="str">
        <x:f>IF(B3161="","Needs decision","Ready")</x:f>
        <x:v>Ready</x:v>
      </x:c>
      <x:c r="D3161" s="6" t="str">
        <x:v>上</x:v>
      </x:c>
      <x:c r="E3161" s="6" t="str">
        <x:v>xanX (B)</x:v>
      </x:c>
      <x:c r="F3161" s="6" t="str"/>
      <x:c r="G3161" s="6" t="str"/>
      <x:c r="H3161" s="6" t="str">
        <x:v>1</x:v>
      </x:c>
      <x:c r="I3161" s="6" t="str"/>
      <x:c r="J3161" s="6" t="str">
        <x:f>IF(B3161="","",IF(AND(ISNUMBER(SEARCH("平",B3161)),OR(ISNUMBER(SEARCH("上",B3161)),ISNUMBER(SEARCH("去",B3161)),ISNUMBER(SEARCH("入",B3161)))),"Ambiguous",IF(ISNUMBER(SEARCH("平",B3161)),"平","仄")))</x:f>
        <x:v>仄</x:v>
      </x:c>
      <x:c r="K3161" s="6" t="str">
        <x:f>IF(D3161="","",IF(AND(ISNUMBER(SEARCH("平",D3161)),OR(ISNUMBER(SEARCH("上",D3161)),ISNUMBER(SEARCH("去",D3161)),ISNUMBER(SEARCH("入",D3161)))),"Ambiguous",IF(ISNUMBER(SEARCH("平",D3161)),"平","仄")))</x:f>
        <x:v>仄</x:v>
      </x:c>
      <x:c r="L3161" s="7" t="str"/>
    </x:row>
    <x:row r="3162">
      <x:c r="A3162" s="5" t="str">
        <x:v>罛</x:v>
      </x:c>
      <x:c r="B3162" s="6" t="str">
        <x:v>平</x:v>
      </x:c>
      <x:c r="C3162" s="6" t="str">
        <x:f>IF(B3162="","Needs decision","Ready")</x:f>
        <x:v>Ready</x:v>
      </x:c>
      <x:c r="D3162" s="6" t="str">
        <x:v>平</x:v>
      </x:c>
      <x:c r="E3162" s="6" t="str">
        <x:v>ku (A)</x:v>
      </x:c>
      <x:c r="F3162" s="6" t="str">
        <x:v>上平聲七虞</x:v>
      </x:c>
      <x:c r="G3162" s="6" t="str">
        <x:v>Pingshui main list, Wikisource-derived DOCX</x:v>
      </x:c>
      <x:c r="H3162" s="6" t="str">
        <x:v>1</x:v>
      </x:c>
      <x:c r="I3162" s="6" t="str"/>
      <x:c r="J3162" s="6" t="str">
        <x:f>IF(B3162="","",IF(AND(ISNUMBER(SEARCH("平",B3162)),OR(ISNUMBER(SEARCH("上",B3162)),ISNUMBER(SEARCH("去",B3162)),ISNUMBER(SEARCH("入",B3162)))),"Ambiguous",IF(ISNUMBER(SEARCH("平",B3162)),"平","仄")))</x:f>
        <x:v>平</x:v>
      </x:c>
      <x:c r="K3162" s="6" t="str">
        <x:f>IF(D3162="","",IF(AND(ISNUMBER(SEARCH("平",D3162)),OR(ISNUMBER(SEARCH("上",D3162)),ISNUMBER(SEARCH("去",D3162)),ISNUMBER(SEARCH("入",D3162)))),"Ambiguous",IF(ISNUMBER(SEARCH("平",D3162)),"平","仄")))</x:f>
        <x:v>平</x:v>
      </x:c>
      <x:c r="L3162" s="7" t="str"/>
    </x:row>
    <x:row r="3163">
      <x:c r="A3163" s="5" t="str">
        <x:v>罧</x:v>
      </x:c>
      <x:c r="B3163" s="6" t="str"/>
      <x:c r="C3163" s="6" t="str">
        <x:f>IF(B3163="","Needs decision","Ready")</x:f>
        <x:v>Needs decision</x:v>
      </x:c>
      <x:c r="D3163" s="6" t="str">
        <x:v>上/去</x:v>
      </x:c>
      <x:c r="E3163" s="6" t="str">
        <x:v>srimH (C); simX (B)</x:v>
      </x:c>
      <x:c r="F3163" s="6" t="str">
        <x:v>去聲二十七沁</x:v>
      </x:c>
      <x:c r="G3163" s="6" t="str">
        <x:v>Pingshui main list, Wikisource-derived DOCX</x:v>
      </x:c>
      <x:c r="H3163" s="6" t="str">
        <x:v>2</x:v>
      </x:c>
      <x:c r="I3163" s="6" t="str"/>
      <x:c r="J3163" s="6" t="str">
        <x:f>IF(B3163="","",IF(AND(ISNUMBER(SEARCH("平",B3163)),OR(ISNUMBER(SEARCH("上",B3163)),ISNUMBER(SEARCH("去",B3163)),ISNUMBER(SEARCH("入",B3163)))),"Ambiguous",IF(ISNUMBER(SEARCH("平",B3163)),"平","仄")))</x:f>
      </x:c>
      <x:c r="K3163" s="6" t="str">
        <x:f>IF(D3163="","",IF(AND(ISNUMBER(SEARCH("平",D3163)),OR(ISNUMBER(SEARCH("上",D3163)),ISNUMBER(SEARCH("去",D3163)),ISNUMBER(SEARCH("入",D3163)))),"Ambiguous",IF(ISNUMBER(SEARCH("平",D3163)),"平","仄")))</x:f>
        <x:v>仄</x:v>
      </x:c>
      <x:c r="L3163" s="7" t="str"/>
    </x:row>
    <x:row r="3164">
      <x:c r="A3164" s="5" t="str">
        <x:v>罩</x:v>
      </x:c>
      <x:c r="B3164" s="6" t="str">
        <x:v>去</x:v>
      </x:c>
      <x:c r="C3164" s="6" t="str">
        <x:f>IF(B3164="","Needs decision","Ready")</x:f>
        <x:v>Ready</x:v>
      </x:c>
      <x:c r="D3164" s="6" t="str">
        <x:v>去</x:v>
      </x:c>
      <x:c r="E3164" s="6" t="str">
        <x:v>traewH (C)</x:v>
      </x:c>
      <x:c r="F3164" s="6" t="str">
        <x:v>去聲十九效</x:v>
      </x:c>
      <x:c r="G3164" s="6" t="str">
        <x:v>Pingshui main list, Wikisource-derived DOCX</x:v>
      </x:c>
      <x:c r="H3164" s="6" t="str">
        <x:v>1</x:v>
      </x:c>
      <x:c r="I3164" s="6" t="str"/>
      <x:c r="J3164" s="6" t="str">
        <x:f>IF(B3164="","",IF(AND(ISNUMBER(SEARCH("平",B3164)),OR(ISNUMBER(SEARCH("上",B3164)),ISNUMBER(SEARCH("去",B3164)),ISNUMBER(SEARCH("入",B3164)))),"Ambiguous",IF(ISNUMBER(SEARCH("平",B3164)),"平","仄")))</x:f>
        <x:v>仄</x:v>
      </x:c>
      <x:c r="K3164" s="6" t="str">
        <x:f>IF(D3164="","",IF(AND(ISNUMBER(SEARCH("平",D3164)),OR(ISNUMBER(SEARCH("上",D3164)),ISNUMBER(SEARCH("去",D3164)),ISNUMBER(SEARCH("入",D3164)))),"Ambiguous",IF(ISNUMBER(SEARCH("平",D3164)),"平","仄")))</x:f>
        <x:v>仄</x:v>
      </x:c>
      <x:c r="L3164" s="7" t="str"/>
    </x:row>
    <x:row r="3165">
      <x:c r="A3165" s="5" t="str">
        <x:v>罪</x:v>
      </x:c>
      <x:c r="B3165" s="6" t="str">
        <x:v>上</x:v>
      </x:c>
      <x:c r="C3165" s="6" t="str">
        <x:f>IF(B3165="","Needs decision","Ready")</x:f>
        <x:v>Ready</x:v>
      </x:c>
      <x:c r="D3165" s="6" t="str">
        <x:v>上</x:v>
      </x:c>
      <x:c r="E3165" s="6" t="str">
        <x:v>dzwojX (B)</x:v>
      </x:c>
      <x:c r="F3165" s="6" t="str">
        <x:v>上聲十賄</x:v>
      </x:c>
      <x:c r="G3165" s="6" t="str">
        <x:v>Pingshui main list, Wikisource-derived DOCX</x:v>
      </x:c>
      <x:c r="H3165" s="6" t="str">
        <x:v>1</x:v>
      </x:c>
      <x:c r="I3165" s="6" t="str"/>
      <x:c r="J3165" s="6" t="str">
        <x:f>IF(B3165="","",IF(AND(ISNUMBER(SEARCH("平",B3165)),OR(ISNUMBER(SEARCH("上",B3165)),ISNUMBER(SEARCH("去",B3165)),ISNUMBER(SEARCH("入",B3165)))),"Ambiguous",IF(ISNUMBER(SEARCH("平",B3165)),"平","仄")))</x:f>
        <x:v>仄</x:v>
      </x:c>
      <x:c r="K3165" s="6" t="str">
        <x:f>IF(D3165="","",IF(AND(ISNUMBER(SEARCH("平",D3165)),OR(ISNUMBER(SEARCH("上",D3165)),ISNUMBER(SEARCH("去",D3165)),ISNUMBER(SEARCH("入",D3165)))),"Ambiguous",IF(ISNUMBER(SEARCH("平",D3165)),"平","仄")))</x:f>
        <x:v>仄</x:v>
      </x:c>
      <x:c r="L3165" s="7" t="str"/>
    </x:row>
    <x:row r="3166">
      <x:c r="A3166" s="5" t="str">
        <x:v>置</x:v>
      </x:c>
      <x:c r="B3166" s="6" t="str">
        <x:v>去</x:v>
      </x:c>
      <x:c r="C3166" s="6" t="str">
        <x:f>IF(B3166="","Needs decision","Ready")</x:f>
        <x:v>Ready</x:v>
      </x:c>
      <x:c r="D3166" s="6" t="str">
        <x:v>去</x:v>
      </x:c>
      <x:c r="E3166" s="6" t="str">
        <x:v>triH (C)</x:v>
      </x:c>
      <x:c r="F3166" s="6" t="str">
        <x:v>去聲四寘</x:v>
      </x:c>
      <x:c r="G3166" s="6" t="str">
        <x:v>Pingshui main list, Wikisource-derived DOCX</x:v>
      </x:c>
      <x:c r="H3166" s="6" t="str">
        <x:v>1</x:v>
      </x:c>
      <x:c r="I3166" s="6" t="str"/>
      <x:c r="J3166" s="6" t="str">
        <x:f>IF(B3166="","",IF(AND(ISNUMBER(SEARCH("平",B3166)),OR(ISNUMBER(SEARCH("上",B3166)),ISNUMBER(SEARCH("去",B3166)),ISNUMBER(SEARCH("入",B3166)))),"Ambiguous",IF(ISNUMBER(SEARCH("平",B3166)),"平","仄")))</x:f>
        <x:v>仄</x:v>
      </x:c>
      <x:c r="K3166" s="6" t="str">
        <x:f>IF(D3166="","",IF(AND(ISNUMBER(SEARCH("平",D3166)),OR(ISNUMBER(SEARCH("上",D3166)),ISNUMBER(SEARCH("去",D3166)),ISNUMBER(SEARCH("入",D3166)))),"Ambiguous",IF(ISNUMBER(SEARCH("平",D3166)),"平","仄")))</x:f>
        <x:v>仄</x:v>
      </x:c>
      <x:c r="L3166" s="7" t="str"/>
    </x:row>
    <x:row r="3167">
      <x:c r="A3167" s="5" t="str">
        <x:v>罰</x:v>
      </x:c>
      <x:c r="B3167" s="6" t="str">
        <x:v>入</x:v>
      </x:c>
      <x:c r="C3167" s="6" t="str">
        <x:f>IF(B3167="","Needs decision","Ready")</x:f>
        <x:v>Ready</x:v>
      </x:c>
      <x:c r="D3167" s="6" t="str">
        <x:v>入</x:v>
      </x:c>
      <x:c r="E3167" s="6" t="str">
        <x:v>bjot (D)</x:v>
      </x:c>
      <x:c r="F3167" s="6" t="str">
        <x:v>入聲六月</x:v>
      </x:c>
      <x:c r="G3167" s="6" t="str">
        <x:v>Pingshui main list, Wikisource-derived DOCX</x:v>
      </x:c>
      <x:c r="H3167" s="6" t="str">
        <x:v>1</x:v>
      </x:c>
      <x:c r="I3167" s="6" t="str"/>
      <x:c r="J3167" s="6" t="str">
        <x:f>IF(B3167="","",IF(AND(ISNUMBER(SEARCH("平",B3167)),OR(ISNUMBER(SEARCH("上",B3167)),ISNUMBER(SEARCH("去",B3167)),ISNUMBER(SEARCH("入",B3167)))),"Ambiguous",IF(ISNUMBER(SEARCH("平",B3167)),"平","仄")))</x:f>
        <x:v>仄</x:v>
      </x:c>
      <x:c r="K3167" s="6" t="str">
        <x:f>IF(D3167="","",IF(AND(ISNUMBER(SEARCH("平",D3167)),OR(ISNUMBER(SEARCH("上",D3167)),ISNUMBER(SEARCH("去",D3167)),ISNUMBER(SEARCH("入",D3167)))),"Ambiguous",IF(ISNUMBER(SEARCH("平",D3167)),"平","仄")))</x:f>
        <x:v>仄</x:v>
      </x:c>
      <x:c r="L3167" s="7" t="str"/>
    </x:row>
    <x:row r="3168">
      <x:c r="A3168" s="5" t="str">
        <x:v>署</x:v>
      </x:c>
      <x:c r="B3168" s="6" t="str">
        <x:v>去</x:v>
      </x:c>
      <x:c r="C3168" s="6" t="str">
        <x:f>IF(B3168="","Needs decision","Ready")</x:f>
        <x:v>Ready</x:v>
      </x:c>
      <x:c r="D3168" s="6" t="str">
        <x:v>去</x:v>
      </x:c>
      <x:c r="E3168" s="6" t="str">
        <x:v>dzyoH (C)</x:v>
      </x:c>
      <x:c r="F3168" s="6" t="str">
        <x:v>去聲六御</x:v>
      </x:c>
      <x:c r="G3168" s="6" t="str">
        <x:v>Pingshui main list, Wikisource-derived DOCX</x:v>
      </x:c>
      <x:c r="H3168" s="6" t="str">
        <x:v>1</x:v>
      </x:c>
      <x:c r="I3168" s="6" t="str"/>
      <x:c r="J3168" s="6" t="str">
        <x:f>IF(B3168="","",IF(AND(ISNUMBER(SEARCH("平",B3168)),OR(ISNUMBER(SEARCH("上",B3168)),ISNUMBER(SEARCH("去",B3168)),ISNUMBER(SEARCH("入",B3168)))),"Ambiguous",IF(ISNUMBER(SEARCH("平",B3168)),"平","仄")))</x:f>
        <x:v>仄</x:v>
      </x:c>
      <x:c r="K3168" s="6" t="str">
        <x:f>IF(D3168="","",IF(AND(ISNUMBER(SEARCH("平",D3168)),OR(ISNUMBER(SEARCH("上",D3168)),ISNUMBER(SEARCH("去",D3168)),ISNUMBER(SEARCH("入",D3168)))),"Ambiguous",IF(ISNUMBER(SEARCH("平",D3168)),"平","仄")))</x:f>
        <x:v>仄</x:v>
      </x:c>
      <x:c r="L3168" s="7" t="str"/>
    </x:row>
    <x:row r="3169">
      <x:c r="A3169" s="5" t="str">
        <x:v>罵</x:v>
      </x:c>
      <x:c r="B3169" s="6" t="str">
        <x:v>去</x:v>
      </x:c>
      <x:c r="C3169" s="6" t="str">
        <x:f>IF(B3169="","Needs decision","Ready")</x:f>
        <x:v>Ready</x:v>
      </x:c>
      <x:c r="D3169" s="6" t="str">
        <x:v>去</x:v>
      </x:c>
      <x:c r="E3169" s="6" t="str">
        <x:v>maeH (C)</x:v>
      </x:c>
      <x:c r="F3169" s="6" t="str">
        <x:v>去聲二十二禡</x:v>
      </x:c>
      <x:c r="G3169" s="6" t="str">
        <x:v>Pingshui main list, Wikisource-derived DOCX</x:v>
      </x:c>
      <x:c r="H3169" s="6" t="str">
        <x:v>1</x:v>
      </x:c>
      <x:c r="I3169" s="6" t="str"/>
      <x:c r="J3169" s="6" t="str">
        <x:f>IF(B3169="","",IF(AND(ISNUMBER(SEARCH("平",B3169)),OR(ISNUMBER(SEARCH("上",B3169)),ISNUMBER(SEARCH("去",B3169)),ISNUMBER(SEARCH("入",B3169)))),"Ambiguous",IF(ISNUMBER(SEARCH("平",B3169)),"平","仄")))</x:f>
        <x:v>仄</x:v>
      </x:c>
      <x:c r="K3169" s="6" t="str">
        <x:f>IF(D3169="","",IF(AND(ISNUMBER(SEARCH("平",D3169)),OR(ISNUMBER(SEARCH("上",D3169)),ISNUMBER(SEARCH("去",D3169)),ISNUMBER(SEARCH("入",D3169)))),"Ambiguous",IF(ISNUMBER(SEARCH("平",D3169)),"平","仄")))</x:f>
        <x:v>仄</x:v>
      </x:c>
      <x:c r="L3169" s="7" t="str"/>
    </x:row>
    <x:row r="3170">
      <x:c r="A3170" s="5" t="str">
        <x:v>罷</x:v>
      </x:c>
      <x:c r="B3170" s="6" t="str"/>
      <x:c r="C3170" s="6" t="str">
        <x:f>IF(B3170="","Needs decision","Ready")</x:f>
        <x:v>Needs decision</x:v>
      </x:c>
      <x:c r="D3170" s="6" t="str">
        <x:v>平/上</x:v>
      </x:c>
      <x:c r="E3170" s="6" t="str">
        <x:v>beaX (B); bje (A)</x:v>
      </x:c>
      <x:c r="F3170" s="6" t="str">
        <x:v>上聲九蟹; 去聲二十二禡</x:v>
      </x:c>
      <x:c r="G3170" s="6" t="str">
        <x:v>Pingshui main list, Wikisource-derived DOCX</x:v>
      </x:c>
      <x:c r="H3170" s="6" t="str">
        <x:v>2</x:v>
      </x:c>
      <x:c r="I3170" s="6" t="str"/>
      <x:c r="J3170" s="6" t="str">
        <x:f>IF(B3170="","",IF(AND(ISNUMBER(SEARCH("平",B3170)),OR(ISNUMBER(SEARCH("上",B3170)),ISNUMBER(SEARCH("去",B3170)),ISNUMBER(SEARCH("入",B3170)))),"Ambiguous",IF(ISNUMBER(SEARCH("平",B3170)),"平","仄")))</x:f>
      </x:c>
      <x:c r="K3170" s="6" t="str">
        <x:f>IF(D3170="","",IF(AND(ISNUMBER(SEARCH("平",D3170)),OR(ISNUMBER(SEARCH("上",D3170)),ISNUMBER(SEARCH("去",D3170)),ISNUMBER(SEARCH("入",D3170)))),"Ambiguous",IF(ISNUMBER(SEARCH("平",D3170)),"平","仄")))</x:f>
        <x:v>Ambiguous</x:v>
      </x:c>
      <x:c r="L3170" s="7" t="str"/>
    </x:row>
    <x:row r="3171">
      <x:c r="A3171" s="5" t="str">
        <x:v>罹</x:v>
      </x:c>
      <x:c r="B3171" s="6" t="str">
        <x:v>平</x:v>
      </x:c>
      <x:c r="C3171" s="6" t="str">
        <x:f>IF(B3171="","Needs decision","Ready")</x:f>
        <x:v>Ready</x:v>
      </x:c>
      <x:c r="D3171" s="6" t="str">
        <x:v>平</x:v>
      </x:c>
      <x:c r="E3171" s="6" t="str">
        <x:v>lje (A)</x:v>
      </x:c>
      <x:c r="F3171" s="6" t="str">
        <x:v>上平聲四支</x:v>
      </x:c>
      <x:c r="G3171" s="6" t="str">
        <x:v>Pingshui main list, Wikisource-derived DOCX</x:v>
      </x:c>
      <x:c r="H3171" s="6" t="str">
        <x:v>1</x:v>
      </x:c>
      <x:c r="I3171" s="6" t="str"/>
      <x:c r="J3171" s="6" t="str">
        <x:f>IF(B3171="","",IF(AND(ISNUMBER(SEARCH("平",B3171)),OR(ISNUMBER(SEARCH("上",B3171)),ISNUMBER(SEARCH("去",B3171)),ISNUMBER(SEARCH("入",B3171)))),"Ambiguous",IF(ISNUMBER(SEARCH("平",B3171)),"平","仄")))</x:f>
        <x:v>平</x:v>
      </x:c>
      <x:c r="K3171" s="6" t="str">
        <x:f>IF(D3171="","",IF(AND(ISNUMBER(SEARCH("平",D3171)),OR(ISNUMBER(SEARCH("上",D3171)),ISNUMBER(SEARCH("去",D3171)),ISNUMBER(SEARCH("入",D3171)))),"Ambiguous",IF(ISNUMBER(SEARCH("平",D3171)),"平","仄")))</x:f>
        <x:v>平</x:v>
      </x:c>
      <x:c r="L3171" s="7" t="str"/>
    </x:row>
    <x:row r="3172">
      <x:c r="A3172" s="5" t="str">
        <x:v>罽</x:v>
      </x:c>
      <x:c r="B3172" s="6" t="str">
        <x:v>去</x:v>
      </x:c>
      <x:c r="C3172" s="6" t="str">
        <x:f>IF(B3172="","Needs decision","Ready")</x:f>
        <x:v>Ready</x:v>
      </x:c>
      <x:c r="D3172" s="6" t="str">
        <x:v>去</x:v>
      </x:c>
      <x:c r="E3172" s="6" t="str">
        <x:v>kjejH (C)</x:v>
      </x:c>
      <x:c r="F3172" s="6" t="str"/>
      <x:c r="G3172" s="6" t="str"/>
      <x:c r="H3172" s="6" t="str">
        <x:v>1</x:v>
      </x:c>
      <x:c r="I3172" s="6" t="str"/>
      <x:c r="J3172" s="6" t="str">
        <x:f>IF(B3172="","",IF(AND(ISNUMBER(SEARCH("平",B3172)),OR(ISNUMBER(SEARCH("上",B3172)),ISNUMBER(SEARCH("去",B3172)),ISNUMBER(SEARCH("入",B3172)))),"Ambiguous",IF(ISNUMBER(SEARCH("平",B3172)),"平","仄")))</x:f>
        <x:v>仄</x:v>
      </x:c>
      <x:c r="K3172" s="6" t="str">
        <x:f>IF(D3172="","",IF(AND(ISNUMBER(SEARCH("平",D3172)),OR(ISNUMBER(SEARCH("上",D3172)),ISNUMBER(SEARCH("去",D3172)),ISNUMBER(SEARCH("入",D3172)))),"Ambiguous",IF(ISNUMBER(SEARCH("平",D3172)),"平","仄")))</x:f>
        <x:v>仄</x:v>
      </x:c>
      <x:c r="L3172" s="7" t="str"/>
    </x:row>
    <x:row r="3173">
      <x:c r="A3173" s="5" t="str">
        <x:v>羅</x:v>
      </x:c>
      <x:c r="B3173" s="6" t="str">
        <x:v>平</x:v>
      </x:c>
      <x:c r="C3173" s="6" t="str">
        <x:f>IF(B3173="","Needs decision","Ready")</x:f>
        <x:v>Ready</x:v>
      </x:c>
      <x:c r="D3173" s="6" t="str">
        <x:v>平</x:v>
      </x:c>
      <x:c r="E3173" s="6" t="str">
        <x:v>la (A)</x:v>
      </x:c>
      <x:c r="F3173" s="6" t="str">
        <x:v>下平聲五歌</x:v>
      </x:c>
      <x:c r="G3173" s="6" t="str">
        <x:v>Pingshui main list, Wikisource-derived DOCX</x:v>
      </x:c>
      <x:c r="H3173" s="6" t="str">
        <x:v>1</x:v>
      </x:c>
      <x:c r="I3173" s="6" t="str"/>
      <x:c r="J3173" s="6" t="str">
        <x:f>IF(B3173="","",IF(AND(ISNUMBER(SEARCH("平",B3173)),OR(ISNUMBER(SEARCH("上",B3173)),ISNUMBER(SEARCH("去",B3173)),ISNUMBER(SEARCH("入",B3173)))),"Ambiguous",IF(ISNUMBER(SEARCH("平",B3173)),"平","仄")))</x:f>
        <x:v>平</x:v>
      </x:c>
      <x:c r="K3173" s="6" t="str">
        <x:f>IF(D3173="","",IF(AND(ISNUMBER(SEARCH("平",D3173)),OR(ISNUMBER(SEARCH("上",D3173)),ISNUMBER(SEARCH("去",D3173)),ISNUMBER(SEARCH("入",D3173)))),"Ambiguous",IF(ISNUMBER(SEARCH("平",D3173)),"平","仄")))</x:f>
        <x:v>平</x:v>
      </x:c>
      <x:c r="L3173" s="7" t="str"/>
    </x:row>
    <x:row r="3174">
      <x:c r="A3174" s="5" t="str">
        <x:v>羆</x:v>
      </x:c>
      <x:c r="B3174" s="6" t="str">
        <x:v>平</x:v>
      </x:c>
      <x:c r="C3174" s="6" t="str">
        <x:f>IF(B3174="","Needs decision","Ready")</x:f>
        <x:v>Ready</x:v>
      </x:c>
      <x:c r="D3174" s="6" t="str">
        <x:v>平</x:v>
      </x:c>
      <x:c r="E3174" s="6" t="str">
        <x:v>pje (A)</x:v>
      </x:c>
      <x:c r="F3174" s="6" t="str">
        <x:v>上平聲四支</x:v>
      </x:c>
      <x:c r="G3174" s="6" t="str">
        <x:v>Pingshui main list, Wikisource-derived DOCX</x:v>
      </x:c>
      <x:c r="H3174" s="6" t="str">
        <x:v>1</x:v>
      </x:c>
      <x:c r="I3174" s="6" t="str"/>
      <x:c r="J3174" s="6" t="str">
        <x:f>IF(B3174="","",IF(AND(ISNUMBER(SEARCH("平",B3174)),OR(ISNUMBER(SEARCH("上",B3174)),ISNUMBER(SEARCH("去",B3174)),ISNUMBER(SEARCH("入",B3174)))),"Ambiguous",IF(ISNUMBER(SEARCH("平",B3174)),"平","仄")))</x:f>
        <x:v>平</x:v>
      </x:c>
      <x:c r="K3174" s="6" t="str">
        <x:f>IF(D3174="","",IF(AND(ISNUMBER(SEARCH("平",D3174)),OR(ISNUMBER(SEARCH("上",D3174)),ISNUMBER(SEARCH("去",D3174)),ISNUMBER(SEARCH("入",D3174)))),"Ambiguous",IF(ISNUMBER(SEARCH("平",D3174)),"平","仄")))</x:f>
        <x:v>平</x:v>
      </x:c>
      <x:c r="L3174" s="7" t="str"/>
    </x:row>
    <x:row r="3175">
      <x:c r="A3175" s="5" t="str">
        <x:v>羈</x:v>
      </x:c>
      <x:c r="B3175" s="6" t="str">
        <x:v>平</x:v>
      </x:c>
      <x:c r="C3175" s="6" t="str">
        <x:f>IF(B3175="","Needs decision","Ready")</x:f>
        <x:v>Ready</x:v>
      </x:c>
      <x:c r="D3175" s="6" t="str">
        <x:v>平</x:v>
      </x:c>
      <x:c r="E3175" s="6" t="str">
        <x:v>kje (A)</x:v>
      </x:c>
      <x:c r="F3175" s="6" t="str">
        <x:v>上平聲四支</x:v>
      </x:c>
      <x:c r="G3175" s="6" t="str">
        <x:v>Pingshui main list, Wikisource-derived DOCX</x:v>
      </x:c>
      <x:c r="H3175" s="6" t="str">
        <x:v>1</x:v>
      </x:c>
      <x:c r="I3175" s="6" t="str"/>
      <x:c r="J3175" s="6" t="str">
        <x:f>IF(B3175="","",IF(AND(ISNUMBER(SEARCH("平",B3175)),OR(ISNUMBER(SEARCH("上",B3175)),ISNUMBER(SEARCH("去",B3175)),ISNUMBER(SEARCH("入",B3175)))),"Ambiguous",IF(ISNUMBER(SEARCH("平",B3175)),"平","仄")))</x:f>
        <x:v>平</x:v>
      </x:c>
      <x:c r="K3175" s="6" t="str">
        <x:f>IF(D3175="","",IF(AND(ISNUMBER(SEARCH("平",D3175)),OR(ISNUMBER(SEARCH("上",D3175)),ISNUMBER(SEARCH("去",D3175)),ISNUMBER(SEARCH("入",D3175)))),"Ambiguous",IF(ISNUMBER(SEARCH("平",D3175)),"平","仄")))</x:f>
        <x:v>平</x:v>
      </x:c>
      <x:c r="L3175" s="7" t="str"/>
    </x:row>
    <x:row r="3176">
      <x:c r="A3176" s="5" t="str">
        <x:v>羊</x:v>
      </x:c>
      <x:c r="B3176" s="6" t="str">
        <x:v>平</x:v>
      </x:c>
      <x:c r="C3176" s="6" t="str">
        <x:f>IF(B3176="","Needs decision","Ready")</x:f>
        <x:v>Ready</x:v>
      </x:c>
      <x:c r="D3176" s="6" t="str">
        <x:v>平</x:v>
      </x:c>
      <x:c r="E3176" s="6" t="str">
        <x:v>yang (A)</x:v>
      </x:c>
      <x:c r="F3176" s="6" t="str">
        <x:v>下平聲七陽</x:v>
      </x:c>
      <x:c r="G3176" s="6" t="str">
        <x:v>Pingshui main list, Wikisource-derived DOCX</x:v>
      </x:c>
      <x:c r="H3176" s="6" t="str">
        <x:v>1</x:v>
      </x:c>
      <x:c r="I3176" s="6" t="str"/>
      <x:c r="J3176" s="6" t="str">
        <x:f>IF(B3176="","",IF(AND(ISNUMBER(SEARCH("平",B3176)),OR(ISNUMBER(SEARCH("上",B3176)),ISNUMBER(SEARCH("去",B3176)),ISNUMBER(SEARCH("入",B3176)))),"Ambiguous",IF(ISNUMBER(SEARCH("平",B3176)),"平","仄")))</x:f>
        <x:v>平</x:v>
      </x:c>
      <x:c r="K3176" s="6" t="str">
        <x:f>IF(D3176="","",IF(AND(ISNUMBER(SEARCH("平",D3176)),OR(ISNUMBER(SEARCH("上",D3176)),ISNUMBER(SEARCH("去",D3176)),ISNUMBER(SEARCH("入",D3176)))),"Ambiguous",IF(ISNUMBER(SEARCH("平",D3176)),"平","仄")))</x:f>
        <x:v>平</x:v>
      </x:c>
      <x:c r="L3176" s="7" t="str"/>
    </x:row>
    <x:row r="3177">
      <x:c r="A3177" s="5" t="str">
        <x:v>羌</x:v>
      </x:c>
      <x:c r="B3177" s="6" t="str">
        <x:v>平</x:v>
      </x:c>
      <x:c r="C3177" s="6" t="str">
        <x:f>IF(B3177="","Needs decision","Ready")</x:f>
        <x:v>Ready</x:v>
      </x:c>
      <x:c r="D3177" s="6" t="str">
        <x:v>平</x:v>
      </x:c>
      <x:c r="E3177" s="6" t="str">
        <x:v>khjang (A)</x:v>
      </x:c>
      <x:c r="F3177" s="6" t="str">
        <x:v>下平聲七陽</x:v>
      </x:c>
      <x:c r="G3177" s="6" t="str">
        <x:v>Pingshui main list, Wikisource-derived DOCX</x:v>
      </x:c>
      <x:c r="H3177" s="6" t="str">
        <x:v>1</x:v>
      </x:c>
      <x:c r="I3177" s="6" t="str"/>
      <x:c r="J3177" s="6" t="str">
        <x:f>IF(B3177="","",IF(AND(ISNUMBER(SEARCH("平",B3177)),OR(ISNUMBER(SEARCH("上",B3177)),ISNUMBER(SEARCH("去",B3177)),ISNUMBER(SEARCH("入",B3177)))),"Ambiguous",IF(ISNUMBER(SEARCH("平",B3177)),"平","仄")))</x:f>
        <x:v>平</x:v>
      </x:c>
      <x:c r="K3177" s="6" t="str">
        <x:f>IF(D3177="","",IF(AND(ISNUMBER(SEARCH("平",D3177)),OR(ISNUMBER(SEARCH("上",D3177)),ISNUMBER(SEARCH("去",D3177)),ISNUMBER(SEARCH("入",D3177)))),"Ambiguous",IF(ISNUMBER(SEARCH("平",D3177)),"平","仄")))</x:f>
        <x:v>平</x:v>
      </x:c>
      <x:c r="L3177" s="7" t="str"/>
    </x:row>
    <x:row r="3178">
      <x:c r="A3178" s="5" t="str">
        <x:v>美</x:v>
      </x:c>
      <x:c r="B3178" s="6" t="str">
        <x:v>上</x:v>
      </x:c>
      <x:c r="C3178" s="6" t="str">
        <x:f>IF(B3178="","Needs decision","Ready")</x:f>
        <x:v>Ready</x:v>
      </x:c>
      <x:c r="D3178" s="6" t="str">
        <x:v>上</x:v>
      </x:c>
      <x:c r="E3178" s="6" t="str">
        <x:v>mijX (B)</x:v>
      </x:c>
      <x:c r="F3178" s="6" t="str">
        <x:v>上聲四紙</x:v>
      </x:c>
      <x:c r="G3178" s="6" t="str">
        <x:v>Pingshui main list, Wikisource-derived DOCX</x:v>
      </x:c>
      <x:c r="H3178" s="6" t="str">
        <x:v>1</x:v>
      </x:c>
      <x:c r="I3178" s="6" t="str"/>
      <x:c r="J3178" s="6" t="str">
        <x:f>IF(B3178="","",IF(AND(ISNUMBER(SEARCH("平",B3178)),OR(ISNUMBER(SEARCH("上",B3178)),ISNUMBER(SEARCH("去",B3178)),ISNUMBER(SEARCH("入",B3178)))),"Ambiguous",IF(ISNUMBER(SEARCH("平",B3178)),"平","仄")))</x:f>
        <x:v>仄</x:v>
      </x:c>
      <x:c r="K3178" s="6" t="str">
        <x:f>IF(D3178="","",IF(AND(ISNUMBER(SEARCH("平",D3178)),OR(ISNUMBER(SEARCH("上",D3178)),ISNUMBER(SEARCH("去",D3178)),ISNUMBER(SEARCH("入",D3178)))),"Ambiguous",IF(ISNUMBER(SEARCH("平",D3178)),"平","仄")))</x:f>
        <x:v>仄</x:v>
      </x:c>
      <x:c r="L3178" s="7" t="str"/>
    </x:row>
    <x:row r="3179">
      <x:c r="A3179" s="5" t="str">
        <x:v>羕</x:v>
      </x:c>
      <x:c r="B3179" s="6" t="str">
        <x:v>去</x:v>
      </x:c>
      <x:c r="C3179" s="6" t="str">
        <x:f>IF(B3179="","Needs decision","Ready")</x:f>
        <x:v>Ready</x:v>
      </x:c>
      <x:c r="D3179" s="6" t="str">
        <x:v>去</x:v>
      </x:c>
      <x:c r="E3179" s="6" t="str">
        <x:v>yangH (C)</x:v>
      </x:c>
      <x:c r="F3179" s="6" t="str">
        <x:v>去聲二十三漾</x:v>
      </x:c>
      <x:c r="G3179" s="6" t="str">
        <x:v>Pingshui main list, Wikisource-derived DOCX</x:v>
      </x:c>
      <x:c r="H3179" s="6" t="str">
        <x:v>1</x:v>
      </x:c>
      <x:c r="I3179" s="6" t="str"/>
      <x:c r="J3179" s="6" t="str">
        <x:f>IF(B3179="","",IF(AND(ISNUMBER(SEARCH("平",B3179)),OR(ISNUMBER(SEARCH("上",B3179)),ISNUMBER(SEARCH("去",B3179)),ISNUMBER(SEARCH("入",B3179)))),"Ambiguous",IF(ISNUMBER(SEARCH("平",B3179)),"平","仄")))</x:f>
        <x:v>仄</x:v>
      </x:c>
      <x:c r="K3179" s="6" t="str">
        <x:f>IF(D3179="","",IF(AND(ISNUMBER(SEARCH("平",D3179)),OR(ISNUMBER(SEARCH("上",D3179)),ISNUMBER(SEARCH("去",D3179)),ISNUMBER(SEARCH("入",D3179)))),"Ambiguous",IF(ISNUMBER(SEARCH("平",D3179)),"平","仄")))</x:f>
        <x:v>仄</x:v>
      </x:c>
      <x:c r="L3179" s="7" t="str"/>
    </x:row>
    <x:row r="3180">
      <x:c r="A3180" s="5" t="str">
        <x:v>羖</x:v>
      </x:c>
      <x:c r="B3180" s="6" t="str">
        <x:v>上</x:v>
      </x:c>
      <x:c r="C3180" s="6" t="str">
        <x:f>IF(B3180="","Needs decision","Ready")</x:f>
        <x:v>Ready</x:v>
      </x:c>
      <x:c r="D3180" s="6" t="str">
        <x:v>上</x:v>
      </x:c>
      <x:c r="E3180" s="6" t="str">
        <x:v>kuX (B)</x:v>
      </x:c>
      <x:c r="F3180" s="6" t="str">
        <x:v>上聲七麌</x:v>
      </x:c>
      <x:c r="G3180" s="6" t="str">
        <x:v>Pingshui main list, Wikisource-derived DOCX</x:v>
      </x:c>
      <x:c r="H3180" s="6" t="str">
        <x:v>1</x:v>
      </x:c>
      <x:c r="I3180" s="6" t="str"/>
      <x:c r="J3180" s="6" t="str">
        <x:f>IF(B3180="","",IF(AND(ISNUMBER(SEARCH("平",B3180)),OR(ISNUMBER(SEARCH("上",B3180)),ISNUMBER(SEARCH("去",B3180)),ISNUMBER(SEARCH("入",B3180)))),"Ambiguous",IF(ISNUMBER(SEARCH("平",B3180)),"平","仄")))</x:f>
        <x:v>仄</x:v>
      </x:c>
      <x:c r="K3180" s="6" t="str">
        <x:f>IF(D3180="","",IF(AND(ISNUMBER(SEARCH("平",D3180)),OR(ISNUMBER(SEARCH("上",D3180)),ISNUMBER(SEARCH("去",D3180)),ISNUMBER(SEARCH("入",D3180)))),"Ambiguous",IF(ISNUMBER(SEARCH("平",D3180)),"平","仄")))</x:f>
        <x:v>仄</x:v>
      </x:c>
      <x:c r="L3180" s="7" t="str"/>
    </x:row>
    <x:row r="3181">
      <x:c r="A3181" s="5" t="str">
        <x:v>羞</x:v>
      </x:c>
      <x:c r="B3181" s="6" t="str">
        <x:v>平</x:v>
      </x:c>
      <x:c r="C3181" s="6" t="str">
        <x:f>IF(B3181="","Needs decision","Ready")</x:f>
        <x:v>Ready</x:v>
      </x:c>
      <x:c r="D3181" s="6" t="str">
        <x:v>平</x:v>
      </x:c>
      <x:c r="E3181" s="6" t="str">
        <x:v>sjuw (A)</x:v>
      </x:c>
      <x:c r="F3181" s="6" t="str">
        <x:v>下平聲十一尤</x:v>
      </x:c>
      <x:c r="G3181" s="6" t="str">
        <x:v>Pingshui main list, Wikisource-derived DOCX</x:v>
      </x:c>
      <x:c r="H3181" s="6" t="str">
        <x:v>1</x:v>
      </x:c>
      <x:c r="I3181" s="6" t="str"/>
      <x:c r="J3181" s="6" t="str">
        <x:f>IF(B3181="","",IF(AND(ISNUMBER(SEARCH("平",B3181)),OR(ISNUMBER(SEARCH("上",B3181)),ISNUMBER(SEARCH("去",B3181)),ISNUMBER(SEARCH("入",B3181)))),"Ambiguous",IF(ISNUMBER(SEARCH("平",B3181)),"平","仄")))</x:f>
        <x:v>平</x:v>
      </x:c>
      <x:c r="K3181" s="6" t="str">
        <x:f>IF(D3181="","",IF(AND(ISNUMBER(SEARCH("平",D3181)),OR(ISNUMBER(SEARCH("上",D3181)),ISNUMBER(SEARCH("去",D3181)),ISNUMBER(SEARCH("入",D3181)))),"Ambiguous",IF(ISNUMBER(SEARCH("平",D3181)),"平","仄")))</x:f>
        <x:v>平</x:v>
      </x:c>
      <x:c r="L3181" s="7" t="str"/>
    </x:row>
    <x:row r="3182">
      <x:c r="A3182" s="5" t="str">
        <x:v>羣</x:v>
      </x:c>
      <x:c r="B3182" s="6" t="str">
        <x:v>平</x:v>
      </x:c>
      <x:c r="C3182" s="6" t="str">
        <x:f>IF(B3182="","Needs decision","Ready")</x:f>
        <x:v>Ready</x:v>
      </x:c>
      <x:c r="D3182" s="6" t="str">
        <x:v>平</x:v>
      </x:c>
      <x:c r="E3182" s="6" t="str">
        <x:v>gjun (A)</x:v>
      </x:c>
      <x:c r="F3182" s="6" t="str"/>
      <x:c r="G3182" s="6" t="str"/>
      <x:c r="H3182" s="6" t="str">
        <x:v>1</x:v>
      </x:c>
      <x:c r="I3182" s="6" t="str"/>
      <x:c r="J3182" s="6" t="str">
        <x:f>IF(B3182="","",IF(AND(ISNUMBER(SEARCH("平",B3182)),OR(ISNUMBER(SEARCH("上",B3182)),ISNUMBER(SEARCH("去",B3182)),ISNUMBER(SEARCH("入",B3182)))),"Ambiguous",IF(ISNUMBER(SEARCH("平",B3182)),"平","仄")))</x:f>
        <x:v>平</x:v>
      </x:c>
      <x:c r="K3182" s="6" t="str">
        <x:f>IF(D3182="","",IF(AND(ISNUMBER(SEARCH("平",D3182)),OR(ISNUMBER(SEARCH("上",D3182)),ISNUMBER(SEARCH("去",D3182)),ISNUMBER(SEARCH("入",D3182)))),"Ambiguous",IF(ISNUMBER(SEARCH("平",D3182)),"平","仄")))</x:f>
        <x:v>平</x:v>
      </x:c>
      <x:c r="L3182" s="7" t="str"/>
    </x:row>
    <x:row r="3183">
      <x:c r="A3183" s="5" t="str">
        <x:v>群</x:v>
      </x:c>
      <x:c r="B3183" s="6" t="str">
        <x:v>平</x:v>
      </x:c>
      <x:c r="C3183" s="6" t="str">
        <x:f>IF(B3183="","Needs decision","Ready")</x:f>
        <x:v>Ready</x:v>
      </x:c>
      <x:c r="D3183" s="6" t="str">
        <x:v>平</x:v>
      </x:c>
      <x:c r="E3183" s="6" t="str">
        <x:v>gjun (A)</x:v>
      </x:c>
      <x:c r="F3183" s="6" t="str">
        <x:v>上平聲十二文</x:v>
      </x:c>
      <x:c r="G3183" s="6" t="str">
        <x:v>Pingshui main list, Wikisource-derived DOCX</x:v>
      </x:c>
      <x:c r="H3183" s="6" t="str">
        <x:v>1</x:v>
      </x:c>
      <x:c r="I3183" s="6" t="str"/>
      <x:c r="J3183" s="6" t="str">
        <x:f>IF(B3183="","",IF(AND(ISNUMBER(SEARCH("平",B3183)),OR(ISNUMBER(SEARCH("上",B3183)),ISNUMBER(SEARCH("去",B3183)),ISNUMBER(SEARCH("入",B3183)))),"Ambiguous",IF(ISNUMBER(SEARCH("平",B3183)),"平","仄")))</x:f>
        <x:v>平</x:v>
      </x:c>
      <x:c r="K3183" s="6" t="str">
        <x:f>IF(D3183="","",IF(AND(ISNUMBER(SEARCH("平",D3183)),OR(ISNUMBER(SEARCH("上",D3183)),ISNUMBER(SEARCH("去",D3183)),ISNUMBER(SEARCH("入",D3183)))),"Ambiguous",IF(ISNUMBER(SEARCH("平",D3183)),"平","仄")))</x:f>
        <x:v>平</x:v>
      </x:c>
      <x:c r="L3183" s="7" t="str"/>
    </x:row>
    <x:row r="3184">
      <x:c r="A3184" s="5" t="str">
        <x:v>羨</x:v>
      </x:c>
      <x:c r="B3184" s="6" t="str">
        <x:v>上</x:v>
      </x:c>
      <x:c r="C3184" s="6" t="str">
        <x:f>IF(B3184="","Needs decision","Ready")</x:f>
        <x:v>Ready</x:v>
      </x:c>
      <x:c r="D3184" s="6" t="str">
        <x:v>平/去</x:v>
      </x:c>
      <x:c r="E3184" s="6" t="str">
        <x:v>zjenH (C); yen (A)</x:v>
      </x:c>
      <x:c r="F3184" s="6" t="str">
        <x:v>去聲十七霰</x:v>
      </x:c>
      <x:c r="G3184" s="6" t="str">
        <x:v>Pingshui main list, Wikisource-derived DOCX</x:v>
      </x:c>
      <x:c r="H3184" s="6" t="str">
        <x:v>2</x:v>
      </x:c>
      <x:c r="I3184" s="6" t="str">
        <x:v>User workbook edit 2026-09-03</x:v>
      </x:c>
      <x:c r="J3184" s="6" t="str">
        <x:f>IF(B3184="","",IF(AND(ISNUMBER(SEARCH("平",B3184)),OR(ISNUMBER(SEARCH("上",B3184)),ISNUMBER(SEARCH("去",B3184)),ISNUMBER(SEARCH("入",B3184)))),"Ambiguous",IF(ISNUMBER(SEARCH("平",B3184)),"平","仄")))</x:f>
        <x:v>仄</x:v>
      </x:c>
      <x:c r="K3184" s="6" t="str">
        <x:f>IF(D3184="","",IF(AND(ISNUMBER(SEARCH("平",D3184)),OR(ISNUMBER(SEARCH("上",D3184)),ISNUMBER(SEARCH("去",D3184)),ISNUMBER(SEARCH("入",D3184)))),"Ambiguous",IF(ISNUMBER(SEARCH("平",D3184)),"平","仄")))</x:f>
        <x:v>Ambiguous</x:v>
      </x:c>
      <x:c r="L3184" s="7" t="str">
        <x:v>manual user correction</x:v>
      </x:c>
    </x:row>
    <x:row r="3185">
      <x:c r="A3185" s="5" t="str">
        <x:v>義</x:v>
      </x:c>
      <x:c r="B3185" s="6" t="str">
        <x:v>去</x:v>
      </x:c>
      <x:c r="C3185" s="6" t="str">
        <x:f>IF(B3185="","Needs decision","Ready")</x:f>
        <x:v>Ready</x:v>
      </x:c>
      <x:c r="D3185" s="6" t="str">
        <x:v>去</x:v>
      </x:c>
      <x:c r="E3185" s="6" t="str">
        <x:v>ngjeH (C)</x:v>
      </x:c>
      <x:c r="F3185" s="6" t="str">
        <x:v>去聲四寘</x:v>
      </x:c>
      <x:c r="G3185" s="6" t="str">
        <x:v>Pingshui main list, Wikisource-derived DOCX</x:v>
      </x:c>
      <x:c r="H3185" s="6" t="str">
        <x:v>1</x:v>
      </x:c>
      <x:c r="I3185" s="6" t="str"/>
      <x:c r="J3185" s="6" t="str">
        <x:f>IF(B3185="","",IF(AND(ISNUMBER(SEARCH("平",B3185)),OR(ISNUMBER(SEARCH("上",B3185)),ISNUMBER(SEARCH("去",B3185)),ISNUMBER(SEARCH("入",B3185)))),"Ambiguous",IF(ISNUMBER(SEARCH("平",B3185)),"平","仄")))</x:f>
        <x:v>仄</x:v>
      </x:c>
      <x:c r="K3185" s="6" t="str">
        <x:f>IF(D3185="","",IF(AND(ISNUMBER(SEARCH("平",D3185)),OR(ISNUMBER(SEARCH("上",D3185)),ISNUMBER(SEARCH("去",D3185)),ISNUMBER(SEARCH("入",D3185)))),"Ambiguous",IF(ISNUMBER(SEARCH("平",D3185)),"平","仄")))</x:f>
        <x:v>仄</x:v>
      </x:c>
      <x:c r="L3185" s="7" t="str"/>
    </x:row>
    <x:row r="3186">
      <x:c r="A3186" s="5" t="str">
        <x:v>羮</x:v>
      </x:c>
      <x:c r="B3186" s="6" t="str">
        <x:v>平</x:v>
      </x:c>
      <x:c r="C3186" s="6" t="str">
        <x:f>IF(B3186="","Needs decision","Ready")</x:f>
        <x:v>Ready</x:v>
      </x:c>
      <x:c r="D3186" s="6" t="str">
        <x:v>平</x:v>
      </x:c>
      <x:c r="E3186" s="6" t="str"/>
      <x:c r="F3186" s="6" t="str"/>
      <x:c r="G3186" s="6" t="str"/>
      <x:c r="H3186" s="6" t="str"/>
      <x:c r="I3186" s="6" t="str">
        <x:v>Manual user correction/addition</x:v>
      </x:c>
      <x:c r="J3186" s="6" t="str">
        <x:f>IF(B3186="","",IF(AND(ISNUMBER(SEARCH("平",B3186)),OR(ISNUMBER(SEARCH("上",B3186)),ISNUMBER(SEARCH("去",B3186)),ISNUMBER(SEARCH("入",B3186)))),"Ambiguous",IF(ISNUMBER(SEARCH("平",B3186)),"平","仄")))</x:f>
        <x:v>平</x:v>
      </x:c>
      <x:c r="K3186" s="6" t="str">
        <x:f>IF(D3186="","",IF(AND(ISNUMBER(SEARCH("平",D3186)),OR(ISNUMBER(SEARCH("上",D3186)),ISNUMBER(SEARCH("去",D3186)),ISNUMBER(SEARCH("入",D3186)))),"Ambiguous",IF(ISNUMBER(SEARCH("平",D3186)),"平","仄")))</x:f>
        <x:v>平</x:v>
      </x:c>
      <x:c r="L3186" s="7" t="str">
        <x:v>manual user correction</x:v>
      </x:c>
    </x:row>
    <x:row r="3187">
      <x:c r="A3187" s="5" t="str">
        <x:v>羯</x:v>
      </x:c>
      <x:c r="B3187" s="6" t="str">
        <x:v>入</x:v>
      </x:c>
      <x:c r="C3187" s="6" t="str">
        <x:f>IF(B3187="","Needs decision","Ready")</x:f>
        <x:v>Ready</x:v>
      </x:c>
      <x:c r="D3187" s="6" t="str">
        <x:v>入</x:v>
      </x:c>
      <x:c r="E3187" s="6" t="str">
        <x:v>kjot [kɨ̯ət] (入)</x:v>
      </x:c>
      <x:c r="F3187" s="6" t="str">
        <x:v>入聲六月</x:v>
      </x:c>
      <x:c r="G3187" s="6" t="str">
        <x:v>Pingshui main list, Wikisource-derived DOCX</x:v>
      </x:c>
      <x:c r="H3187" s="6" t="str">
        <x:v>1</x:v>
      </x:c>
      <x:c r="I3187" s="6" t="str">
        <x:v>Tang 300 gap; frequency 1; provisional from Xun Gong</x:v>
      </x:c>
      <x:c r="J3187" s="6" t="str">
        <x:f>IF(B3187="","",IF(AND(ISNUMBER(SEARCH("平",B3187)),OR(ISNUMBER(SEARCH("上",B3187)),ISNUMBER(SEARCH("去",B3187)),ISNUMBER(SEARCH("入",B3187)))),"Ambiguous",IF(ISNUMBER(SEARCH("平",B3187)),"平","仄")))</x:f>
        <x:v>仄</x:v>
      </x:c>
      <x:c r="K3187" s="6" t="str">
        <x:f>IF(D3187="","",IF(AND(ISNUMBER(SEARCH("平",D3187)),OR(ISNUMBER(SEARCH("上",D3187)),ISNUMBER(SEARCH("去",D3187)),ISNUMBER(SEARCH("入",D3187)))),"Ambiguous",IF(ISNUMBER(SEARCH("平",D3187)),"平","仄")))</x:f>
        <x:v>仄</x:v>
      </x:c>
      <x:c r="L3187" s="7" t="str">
        <x:v>Xun Gong, Tang 300 gap fill</x:v>
      </x:c>
    </x:row>
    <x:row r="3188">
      <x:c r="A3188" s="5" t="str">
        <x:v>羲</x:v>
      </x:c>
      <x:c r="B3188" s="6" t="str">
        <x:v>平</x:v>
      </x:c>
      <x:c r="C3188" s="6" t="str">
        <x:f>IF(B3188="","Needs decision","Ready")</x:f>
        <x:v>Ready</x:v>
      </x:c>
      <x:c r="D3188" s="6" t="str">
        <x:v>平</x:v>
      </x:c>
      <x:c r="E3188" s="6" t="str">
        <x:v>xje (A)</x:v>
      </x:c>
      <x:c r="F3188" s="6" t="str">
        <x:v>上平聲四支</x:v>
      </x:c>
      <x:c r="G3188" s="6" t="str">
        <x:v>Pingshui main list, Wikisource-derived DOCX</x:v>
      </x:c>
      <x:c r="H3188" s="6" t="str">
        <x:v>1</x:v>
      </x:c>
      <x:c r="I3188" s="6" t="str"/>
      <x:c r="J3188" s="6" t="str">
        <x:f>IF(B3188="","",IF(AND(ISNUMBER(SEARCH("平",B3188)),OR(ISNUMBER(SEARCH("上",B3188)),ISNUMBER(SEARCH("去",B3188)),ISNUMBER(SEARCH("入",B3188)))),"Ambiguous",IF(ISNUMBER(SEARCH("平",B3188)),"平","仄")))</x:f>
        <x:v>平</x:v>
      </x:c>
      <x:c r="K3188" s="6" t="str">
        <x:f>IF(D3188="","",IF(AND(ISNUMBER(SEARCH("平",D3188)),OR(ISNUMBER(SEARCH("上",D3188)),ISNUMBER(SEARCH("去",D3188)),ISNUMBER(SEARCH("入",D3188)))),"Ambiguous",IF(ISNUMBER(SEARCH("平",D3188)),"平","仄")))</x:f>
        <x:v>平</x:v>
      </x:c>
      <x:c r="L3188" s="7" t="str"/>
    </x:row>
    <x:row r="3189">
      <x:c r="A3189" s="5" t="str">
        <x:v>羴</x:v>
      </x:c>
      <x:c r="B3189" s="6" t="str">
        <x:v>平</x:v>
      </x:c>
      <x:c r="C3189" s="6" t="str">
        <x:f>IF(B3189="","Needs decision","Ready")</x:f>
        <x:v>Ready</x:v>
      </x:c>
      <x:c r="D3189" s="6" t="str">
        <x:v>平</x:v>
      </x:c>
      <x:c r="E3189" s="6" t="str">
        <x:v>syen (A)</x:v>
      </x:c>
      <x:c r="F3189" s="6" t="str"/>
      <x:c r="G3189" s="6" t="str"/>
      <x:c r="H3189" s="6" t="str">
        <x:v>1</x:v>
      </x:c>
      <x:c r="I3189" s="6" t="str"/>
      <x:c r="J3189" s="6" t="str">
        <x:f>IF(B3189="","",IF(AND(ISNUMBER(SEARCH("平",B3189)),OR(ISNUMBER(SEARCH("上",B3189)),ISNUMBER(SEARCH("去",B3189)),ISNUMBER(SEARCH("入",B3189)))),"Ambiguous",IF(ISNUMBER(SEARCH("平",B3189)),"平","仄")))</x:f>
        <x:v>平</x:v>
      </x:c>
      <x:c r="K3189" s="6" t="str">
        <x:f>IF(D3189="","",IF(AND(ISNUMBER(SEARCH("平",D3189)),OR(ISNUMBER(SEARCH("上",D3189)),ISNUMBER(SEARCH("去",D3189)),ISNUMBER(SEARCH("入",D3189)))),"Ambiguous",IF(ISNUMBER(SEARCH("平",D3189)),"平","仄")))</x:f>
        <x:v>平</x:v>
      </x:c>
      <x:c r="L3189" s="7" t="str"/>
    </x:row>
    <x:row r="3190">
      <x:c r="A3190" s="5" t="str">
        <x:v>羶</x:v>
      </x:c>
      <x:c r="B3190" s="6" t="str">
        <x:v>平</x:v>
      </x:c>
      <x:c r="C3190" s="6" t="str">
        <x:f>IF(B3190="","Needs decision","Ready")</x:f>
        <x:v>Ready</x:v>
      </x:c>
      <x:c r="D3190" s="6" t="str">
        <x:v>平</x:v>
      </x:c>
      <x:c r="E3190" s="6" t="str">
        <x:v>syen (A)</x:v>
      </x:c>
      <x:c r="F3190" s="6" t="str">
        <x:v>下平聲一先</x:v>
      </x:c>
      <x:c r="G3190" s="6" t="str">
        <x:v>Pingshui main list, Wikisource-derived DOCX</x:v>
      </x:c>
      <x:c r="H3190" s="6" t="str">
        <x:v>1</x:v>
      </x:c>
      <x:c r="I3190" s="6" t="str"/>
      <x:c r="J3190" s="6" t="str">
        <x:f>IF(B3190="","",IF(AND(ISNUMBER(SEARCH("平",B3190)),OR(ISNUMBER(SEARCH("上",B3190)),ISNUMBER(SEARCH("去",B3190)),ISNUMBER(SEARCH("入",B3190)))),"Ambiguous",IF(ISNUMBER(SEARCH("平",B3190)),"平","仄")))</x:f>
        <x:v>平</x:v>
      </x:c>
      <x:c r="K3190" s="6" t="str">
        <x:f>IF(D3190="","",IF(AND(ISNUMBER(SEARCH("平",D3190)),OR(ISNUMBER(SEARCH("上",D3190)),ISNUMBER(SEARCH("去",D3190)),ISNUMBER(SEARCH("入",D3190)))),"Ambiguous",IF(ISNUMBER(SEARCH("平",D3190)),"平","仄")))</x:f>
        <x:v>平</x:v>
      </x:c>
      <x:c r="L3190" s="7" t="str"/>
    </x:row>
    <x:row r="3191">
      <x:c r="A3191" s="5" t="str">
        <x:v>羸</x:v>
      </x:c>
      <x:c r="B3191" s="6" t="str">
        <x:v>平</x:v>
      </x:c>
      <x:c r="C3191" s="6" t="str">
        <x:f>IF(B3191="","Needs decision","Ready")</x:f>
        <x:v>Ready</x:v>
      </x:c>
      <x:c r="D3191" s="6" t="str">
        <x:v>平</x:v>
      </x:c>
      <x:c r="E3191" s="6" t="str">
        <x:v>ljwe (A)</x:v>
      </x:c>
      <x:c r="F3191" s="6" t="str">
        <x:v>上平聲四支</x:v>
      </x:c>
      <x:c r="G3191" s="6" t="str">
        <x:v>Pingshui main list, Wikisource-derived DOCX</x:v>
      </x:c>
      <x:c r="H3191" s="6" t="str">
        <x:v>1</x:v>
      </x:c>
      <x:c r="I3191" s="6" t="str"/>
      <x:c r="J3191" s="6" t="str">
        <x:f>IF(B3191="","",IF(AND(ISNUMBER(SEARCH("平",B3191)),OR(ISNUMBER(SEARCH("上",B3191)),ISNUMBER(SEARCH("去",B3191)),ISNUMBER(SEARCH("入",B3191)))),"Ambiguous",IF(ISNUMBER(SEARCH("平",B3191)),"平","仄")))</x:f>
        <x:v>平</x:v>
      </x:c>
      <x:c r="K3191" s="6" t="str">
        <x:f>IF(D3191="","",IF(AND(ISNUMBER(SEARCH("平",D3191)),OR(ISNUMBER(SEARCH("上",D3191)),ISNUMBER(SEARCH("去",D3191)),ISNUMBER(SEARCH("入",D3191)))),"Ambiguous",IF(ISNUMBER(SEARCH("平",D3191)),"平","仄")))</x:f>
        <x:v>平</x:v>
      </x:c>
      <x:c r="L3191" s="7" t="str"/>
    </x:row>
    <x:row r="3192">
      <x:c r="A3192" s="5" t="str">
        <x:v>羹</x:v>
      </x:c>
      <x:c r="B3192" s="6" t="str">
        <x:v>平</x:v>
      </x:c>
      <x:c r="C3192" s="6" t="str">
        <x:f>IF(B3192="","Needs decision","Ready")</x:f>
        <x:v>Ready</x:v>
      </x:c>
      <x:c r="D3192" s="6" t="str">
        <x:v>平</x:v>
      </x:c>
      <x:c r="E3192" s="6" t="str">
        <x:v>kaeng (A)</x:v>
      </x:c>
      <x:c r="F3192" s="6" t="str">
        <x:v>下平聲八庚</x:v>
      </x:c>
      <x:c r="G3192" s="6" t="str">
        <x:v>Pingshui main list, Wikisource-derived DOCX</x:v>
      </x:c>
      <x:c r="H3192" s="6" t="str">
        <x:v>1</x:v>
      </x:c>
      <x:c r="I3192" s="6" t="str"/>
      <x:c r="J3192" s="6" t="str">
        <x:f>IF(B3192="","",IF(AND(ISNUMBER(SEARCH("平",B3192)),OR(ISNUMBER(SEARCH("上",B3192)),ISNUMBER(SEARCH("去",B3192)),ISNUMBER(SEARCH("入",B3192)))),"Ambiguous",IF(ISNUMBER(SEARCH("平",B3192)),"平","仄")))</x:f>
        <x:v>平</x:v>
      </x:c>
      <x:c r="K3192" s="6" t="str">
        <x:f>IF(D3192="","",IF(AND(ISNUMBER(SEARCH("平",D3192)),OR(ISNUMBER(SEARCH("上",D3192)),ISNUMBER(SEARCH("去",D3192)),ISNUMBER(SEARCH("入",D3192)))),"Ambiguous",IF(ISNUMBER(SEARCH("平",D3192)),"平","仄")))</x:f>
        <x:v>平</x:v>
      </x:c>
      <x:c r="L3192" s="7" t="str"/>
    </x:row>
    <x:row r="3193">
      <x:c r="A3193" s="5" t="str">
        <x:v>羽</x:v>
      </x:c>
      <x:c r="B3193" s="6" t="str">
        <x:v>上</x:v>
      </x:c>
      <x:c r="C3193" s="6" t="str">
        <x:f>IF(B3193="","Needs decision","Ready")</x:f>
        <x:v>Ready</x:v>
      </x:c>
      <x:c r="D3193" s="6" t="str">
        <x:v>上</x:v>
      </x:c>
      <x:c r="E3193" s="6" t="str">
        <x:v>hjuX (B)</x:v>
      </x:c>
      <x:c r="F3193" s="6" t="str">
        <x:v>上聲七麌</x:v>
      </x:c>
      <x:c r="G3193" s="6" t="str">
        <x:v>Pingshui main list, Wikisource-derived DOCX</x:v>
      </x:c>
      <x:c r="H3193" s="6" t="str">
        <x:v>1</x:v>
      </x:c>
      <x:c r="I3193" s="6" t="str"/>
      <x:c r="J3193" s="6" t="str">
        <x:f>IF(B3193="","",IF(AND(ISNUMBER(SEARCH("平",B3193)),OR(ISNUMBER(SEARCH("上",B3193)),ISNUMBER(SEARCH("去",B3193)),ISNUMBER(SEARCH("入",B3193)))),"Ambiguous",IF(ISNUMBER(SEARCH("平",B3193)),"平","仄")))</x:f>
        <x:v>仄</x:v>
      </x:c>
      <x:c r="K3193" s="6" t="str">
        <x:f>IF(D3193="","",IF(AND(ISNUMBER(SEARCH("平",D3193)),OR(ISNUMBER(SEARCH("上",D3193)),ISNUMBER(SEARCH("去",D3193)),ISNUMBER(SEARCH("入",D3193)))),"Ambiguous",IF(ISNUMBER(SEARCH("平",D3193)),"平","仄")))</x:f>
        <x:v>仄</x:v>
      </x:c>
      <x:c r="L3193" s="7" t="str"/>
    </x:row>
    <x:row r="3194">
      <x:c r="A3194" s="5" t="str">
        <x:v>羿</x:v>
      </x:c>
      <x:c r="B3194" s="6" t="str">
        <x:v>去</x:v>
      </x:c>
      <x:c r="C3194" s="6" t="str">
        <x:f>IF(B3194="","Needs decision","Ready")</x:f>
        <x:v>Ready</x:v>
      </x:c>
      <x:c r="D3194" s="6" t="str">
        <x:v>去</x:v>
      </x:c>
      <x:c r="E3194" s="6" t="str">
        <x:v>ngejH (C)</x:v>
      </x:c>
      <x:c r="F3194" s="6" t="str">
        <x:v>去聲八霽</x:v>
      </x:c>
      <x:c r="G3194" s="6" t="str">
        <x:v>Pingshui main list, Wikisource-derived DOCX</x:v>
      </x:c>
      <x:c r="H3194" s="6" t="str">
        <x:v>1</x:v>
      </x:c>
      <x:c r="I3194" s="6" t="str"/>
      <x:c r="J3194" s="6" t="str">
        <x:f>IF(B3194="","",IF(AND(ISNUMBER(SEARCH("平",B3194)),OR(ISNUMBER(SEARCH("上",B3194)),ISNUMBER(SEARCH("去",B3194)),ISNUMBER(SEARCH("入",B3194)))),"Ambiguous",IF(ISNUMBER(SEARCH("平",B3194)),"平","仄")))</x:f>
        <x:v>仄</x:v>
      </x:c>
      <x:c r="K3194" s="6" t="str">
        <x:f>IF(D3194="","",IF(AND(ISNUMBER(SEARCH("平",D3194)),OR(ISNUMBER(SEARCH("上",D3194)),ISNUMBER(SEARCH("去",D3194)),ISNUMBER(SEARCH("入",D3194)))),"Ambiguous",IF(ISNUMBER(SEARCH("平",D3194)),"平","仄")))</x:f>
        <x:v>仄</x:v>
      </x:c>
      <x:c r="L3194" s="7" t="str"/>
    </x:row>
    <x:row r="3195">
      <x:c r="A3195" s="5" t="str">
        <x:v>翁</x:v>
      </x:c>
      <x:c r="B3195" s="6" t="str">
        <x:v>平</x:v>
      </x:c>
      <x:c r="C3195" s="6" t="str">
        <x:f>IF(B3195="","Needs decision","Ready")</x:f>
        <x:v>Ready</x:v>
      </x:c>
      <x:c r="D3195" s="6" t="str">
        <x:v>平</x:v>
      </x:c>
      <x:c r="E3195" s="6" t="str">
        <x:v>'uwng (A)</x:v>
      </x:c>
      <x:c r="F3195" s="6" t="str">
        <x:v>上平聲一東</x:v>
      </x:c>
      <x:c r="G3195" s="6" t="str">
        <x:v>Pingshui main list, Wikisource-derived DOCX</x:v>
      </x:c>
      <x:c r="H3195" s="6" t="str">
        <x:v>1</x:v>
      </x:c>
      <x:c r="I3195" s="6" t="str"/>
      <x:c r="J3195" s="6" t="str">
        <x:f>IF(B3195="","",IF(AND(ISNUMBER(SEARCH("平",B3195)),OR(ISNUMBER(SEARCH("上",B3195)),ISNUMBER(SEARCH("去",B3195)),ISNUMBER(SEARCH("入",B3195)))),"Ambiguous",IF(ISNUMBER(SEARCH("平",B3195)),"平","仄")))</x:f>
        <x:v>平</x:v>
      </x:c>
      <x:c r="K3195" s="6" t="str">
        <x:f>IF(D3195="","",IF(AND(ISNUMBER(SEARCH("平",D3195)),OR(ISNUMBER(SEARCH("上",D3195)),ISNUMBER(SEARCH("去",D3195)),ISNUMBER(SEARCH("入",D3195)))),"Ambiguous",IF(ISNUMBER(SEARCH("平",D3195)),"平","仄")))</x:f>
        <x:v>平</x:v>
      </x:c>
      <x:c r="L3195" s="7" t="str"/>
    </x:row>
    <x:row r="3196">
      <x:c r="A3196" s="5" t="str">
        <x:v>翅</x:v>
      </x:c>
      <x:c r="B3196" s="6" t="str">
        <x:v>去</x:v>
      </x:c>
      <x:c r="C3196" s="6" t="str">
        <x:f>IF(B3196="","Needs decision","Ready")</x:f>
        <x:v>Ready</x:v>
      </x:c>
      <x:c r="D3196" s="6" t="str">
        <x:v>去</x:v>
      </x:c>
      <x:c r="E3196" s="6" t="str">
        <x:v>syeH (C)</x:v>
      </x:c>
      <x:c r="F3196" s="6" t="str">
        <x:v>去聲四寘</x:v>
      </x:c>
      <x:c r="G3196" s="6" t="str">
        <x:v>Pingshui main list, Wikisource-derived DOCX</x:v>
      </x:c>
      <x:c r="H3196" s="6" t="str">
        <x:v>1</x:v>
      </x:c>
      <x:c r="I3196" s="6" t="str"/>
      <x:c r="J3196" s="6" t="str">
        <x:f>IF(B3196="","",IF(AND(ISNUMBER(SEARCH("平",B3196)),OR(ISNUMBER(SEARCH("上",B3196)),ISNUMBER(SEARCH("去",B3196)),ISNUMBER(SEARCH("入",B3196)))),"Ambiguous",IF(ISNUMBER(SEARCH("平",B3196)),"平","仄")))</x:f>
        <x:v>仄</x:v>
      </x:c>
      <x:c r="K3196" s="6" t="str">
        <x:f>IF(D3196="","",IF(AND(ISNUMBER(SEARCH("平",D3196)),OR(ISNUMBER(SEARCH("上",D3196)),ISNUMBER(SEARCH("去",D3196)),ISNUMBER(SEARCH("入",D3196)))),"Ambiguous",IF(ISNUMBER(SEARCH("平",D3196)),"平","仄")))</x:f>
        <x:v>仄</x:v>
      </x:c>
      <x:c r="L3196" s="7" t="str"/>
    </x:row>
    <x:row r="3197">
      <x:c r="A3197" s="5" t="str">
        <x:v>翊</x:v>
      </x:c>
      <x:c r="B3197" s="6" t="str">
        <x:v>入</x:v>
      </x:c>
      <x:c r="C3197" s="6" t="str">
        <x:f>IF(B3197="","Needs decision","Ready")</x:f>
        <x:v>Ready</x:v>
      </x:c>
      <x:c r="D3197" s="6" t="str">
        <x:v>入</x:v>
      </x:c>
      <x:c r="E3197" s="6" t="str">
        <x:v>yik (D)</x:v>
      </x:c>
      <x:c r="F3197" s="6" t="str">
        <x:v>入聲十三職</x:v>
      </x:c>
      <x:c r="G3197" s="6" t="str">
        <x:v>Pingshui main list, Wikisource-derived DOCX</x:v>
      </x:c>
      <x:c r="H3197" s="6" t="str">
        <x:v>1</x:v>
      </x:c>
      <x:c r="I3197" s="6" t="str"/>
      <x:c r="J3197" s="6" t="str">
        <x:f>IF(B3197="","",IF(AND(ISNUMBER(SEARCH("平",B3197)),OR(ISNUMBER(SEARCH("上",B3197)),ISNUMBER(SEARCH("去",B3197)),ISNUMBER(SEARCH("入",B3197)))),"Ambiguous",IF(ISNUMBER(SEARCH("平",B3197)),"平","仄")))</x:f>
        <x:v>仄</x:v>
      </x:c>
      <x:c r="K3197" s="6" t="str">
        <x:f>IF(D3197="","",IF(AND(ISNUMBER(SEARCH("平",D3197)),OR(ISNUMBER(SEARCH("上",D3197)),ISNUMBER(SEARCH("去",D3197)),ISNUMBER(SEARCH("入",D3197)))),"Ambiguous",IF(ISNUMBER(SEARCH("平",D3197)),"平","仄")))</x:f>
        <x:v>仄</x:v>
      </x:c>
      <x:c r="L3197" s="7" t="str"/>
    </x:row>
    <x:row r="3198">
      <x:c r="A3198" s="5" t="str">
        <x:v>翌</x:v>
      </x:c>
      <x:c r="B3198" s="6" t="str">
        <x:v>入</x:v>
      </x:c>
      <x:c r="C3198" s="6" t="str">
        <x:f>IF(B3198="","Needs decision","Ready")</x:f>
        <x:v>Ready</x:v>
      </x:c>
      <x:c r="D3198" s="6" t="str">
        <x:v>入</x:v>
      </x:c>
      <x:c r="E3198" s="6" t="str">
        <x:v>yik (D)</x:v>
      </x:c>
      <x:c r="F3198" s="6" t="str">
        <x:v>入聲十三職</x:v>
      </x:c>
      <x:c r="G3198" s="6" t="str">
        <x:v>Pingshui main list, Wikisource-derived DOCX</x:v>
      </x:c>
      <x:c r="H3198" s="6" t="str">
        <x:v>1</x:v>
      </x:c>
      <x:c r="I3198" s="6" t="str"/>
      <x:c r="J3198" s="6" t="str">
        <x:f>IF(B3198="","",IF(AND(ISNUMBER(SEARCH("平",B3198)),OR(ISNUMBER(SEARCH("上",B3198)),ISNUMBER(SEARCH("去",B3198)),ISNUMBER(SEARCH("入",B3198)))),"Ambiguous",IF(ISNUMBER(SEARCH("平",B3198)),"平","仄")))</x:f>
        <x:v>仄</x:v>
      </x:c>
      <x:c r="K3198" s="6" t="str">
        <x:f>IF(D3198="","",IF(AND(ISNUMBER(SEARCH("平",D3198)),OR(ISNUMBER(SEARCH("上",D3198)),ISNUMBER(SEARCH("去",D3198)),ISNUMBER(SEARCH("入",D3198)))),"Ambiguous",IF(ISNUMBER(SEARCH("平",D3198)),"平","仄")))</x:f>
        <x:v>仄</x:v>
      </x:c>
      <x:c r="L3198" s="7" t="str"/>
    </x:row>
    <x:row r="3199">
      <x:c r="A3199" s="5" t="str">
        <x:v>翎</x:v>
      </x:c>
      <x:c r="B3199" s="6" t="str">
        <x:v>平</x:v>
      </x:c>
      <x:c r="C3199" s="6" t="str">
        <x:f>IF(B3199="","Needs decision","Ready")</x:f>
        <x:v>Ready</x:v>
      </x:c>
      <x:c r="D3199" s="6" t="str">
        <x:v>平</x:v>
      </x:c>
      <x:c r="E3199" s="6" t="str">
        <x:v>leng [l̙eŋ] (平)</x:v>
      </x:c>
      <x:c r="F3199" s="6" t="str">
        <x:v>下平聲九青</x:v>
      </x:c>
      <x:c r="G3199" s="6" t="str">
        <x:v>Pingshui main list, Wikisource-derived DOCX</x:v>
      </x:c>
      <x:c r="H3199" s="6" t="str">
        <x:v>1</x:v>
      </x:c>
      <x:c r="I3199" s="6" t="str">
        <x:v>Tang 300 gap; frequency 1; provisional from Xun Gong</x:v>
      </x:c>
      <x:c r="J3199" s="6" t="str">
        <x:f>IF(B3199="","",IF(AND(ISNUMBER(SEARCH("平",B3199)),OR(ISNUMBER(SEARCH("上",B3199)),ISNUMBER(SEARCH("去",B3199)),ISNUMBER(SEARCH("入",B3199)))),"Ambiguous",IF(ISNUMBER(SEARCH("平",B3199)),"平","仄")))</x:f>
        <x:v>平</x:v>
      </x:c>
      <x:c r="K3199" s="6" t="str">
        <x:f>IF(D3199="","",IF(AND(ISNUMBER(SEARCH("平",D3199)),OR(ISNUMBER(SEARCH("上",D3199)),ISNUMBER(SEARCH("去",D3199)),ISNUMBER(SEARCH("入",D3199)))),"Ambiguous",IF(ISNUMBER(SEARCH("平",D3199)),"平","仄")))</x:f>
        <x:v>平</x:v>
      </x:c>
      <x:c r="L3199" s="7" t="str">
        <x:v>Xun Gong, Tang 300 gap fill</x:v>
      </x:c>
    </x:row>
    <x:row r="3200">
      <x:c r="A3200" s="5" t="str">
        <x:v>翏</x:v>
      </x:c>
      <x:c r="B3200" s="6" t="str">
        <x:v>去</x:v>
      </x:c>
      <x:c r="C3200" s="6" t="str">
        <x:f>IF(B3200="","Needs decision","Ready")</x:f>
        <x:v>Ready</x:v>
      </x:c>
      <x:c r="D3200" s="6" t="str">
        <x:v>去</x:v>
      </x:c>
      <x:c r="E3200" s="6" t="str">
        <x:v>ljuwH (C)</x:v>
      </x:c>
      <x:c r="F3200" s="6" t="str"/>
      <x:c r="G3200" s="6" t="str"/>
      <x:c r="H3200" s="6" t="str">
        <x:v>1</x:v>
      </x:c>
      <x:c r="I3200" s="6" t="str"/>
      <x:c r="J3200" s="6" t="str">
        <x:f>IF(B3200="","",IF(AND(ISNUMBER(SEARCH("平",B3200)),OR(ISNUMBER(SEARCH("上",B3200)),ISNUMBER(SEARCH("去",B3200)),ISNUMBER(SEARCH("入",B3200)))),"Ambiguous",IF(ISNUMBER(SEARCH("平",B3200)),"平","仄")))</x:f>
        <x:v>仄</x:v>
      </x:c>
      <x:c r="K3200" s="6" t="str">
        <x:f>IF(D3200="","",IF(AND(ISNUMBER(SEARCH("平",D3200)),OR(ISNUMBER(SEARCH("上",D3200)),ISNUMBER(SEARCH("去",D3200)),ISNUMBER(SEARCH("入",D3200)))),"Ambiguous",IF(ISNUMBER(SEARCH("平",D3200)),"平","仄")))</x:f>
        <x:v>仄</x:v>
      </x:c>
      <x:c r="L3200" s="7" t="str"/>
    </x:row>
    <x:row r="3201">
      <x:c r="A3201" s="5" t="str">
        <x:v>習</x:v>
      </x:c>
      <x:c r="B3201" s="6" t="str">
        <x:v>入</x:v>
      </x:c>
      <x:c r="C3201" s="6" t="str">
        <x:f>IF(B3201="","Needs decision","Ready")</x:f>
        <x:v>Ready</x:v>
      </x:c>
      <x:c r="D3201" s="6" t="str">
        <x:v>入</x:v>
      </x:c>
      <x:c r="E3201" s="6" t="str">
        <x:v>zip (D)</x:v>
      </x:c>
      <x:c r="F3201" s="6" t="str">
        <x:v>入聲十四緝</x:v>
      </x:c>
      <x:c r="G3201" s="6" t="str">
        <x:v>Pingshui main list, Wikisource-derived DOCX</x:v>
      </x:c>
      <x:c r="H3201" s="6" t="str">
        <x:v>1</x:v>
      </x:c>
      <x:c r="I3201" s="6" t="str"/>
      <x:c r="J3201" s="6" t="str">
        <x:f>IF(B3201="","",IF(AND(ISNUMBER(SEARCH("平",B3201)),OR(ISNUMBER(SEARCH("上",B3201)),ISNUMBER(SEARCH("去",B3201)),ISNUMBER(SEARCH("入",B3201)))),"Ambiguous",IF(ISNUMBER(SEARCH("平",B3201)),"平","仄")))</x:f>
        <x:v>仄</x:v>
      </x:c>
      <x:c r="K3201" s="6" t="str">
        <x:f>IF(D3201="","",IF(AND(ISNUMBER(SEARCH("平",D3201)),OR(ISNUMBER(SEARCH("上",D3201)),ISNUMBER(SEARCH("去",D3201)),ISNUMBER(SEARCH("入",D3201)))),"Ambiguous",IF(ISNUMBER(SEARCH("平",D3201)),"平","仄")))</x:f>
        <x:v>仄</x:v>
      </x:c>
      <x:c r="L3201" s="7" t="str"/>
    </x:row>
    <x:row r="3202">
      <x:c r="A3202" s="5" t="str">
        <x:v>翔</x:v>
      </x:c>
      <x:c r="B3202" s="6" t="str">
        <x:v>平</x:v>
      </x:c>
      <x:c r="C3202" s="6" t="str">
        <x:f>IF(B3202="","Needs decision","Ready")</x:f>
        <x:v>Ready</x:v>
      </x:c>
      <x:c r="D3202" s="6" t="str">
        <x:v>平</x:v>
      </x:c>
      <x:c r="E3202" s="6" t="str">
        <x:v>zjang (A)</x:v>
      </x:c>
      <x:c r="F3202" s="6" t="str">
        <x:v>下平聲七陽</x:v>
      </x:c>
      <x:c r="G3202" s="6" t="str">
        <x:v>Pingshui main list, Wikisource-derived DOCX</x:v>
      </x:c>
      <x:c r="H3202" s="6" t="str">
        <x:v>1</x:v>
      </x:c>
      <x:c r="I3202" s="6" t="str"/>
      <x:c r="J3202" s="6" t="str">
        <x:f>IF(B3202="","",IF(AND(ISNUMBER(SEARCH("平",B3202)),OR(ISNUMBER(SEARCH("上",B3202)),ISNUMBER(SEARCH("去",B3202)),ISNUMBER(SEARCH("入",B3202)))),"Ambiguous",IF(ISNUMBER(SEARCH("平",B3202)),"平","仄")))</x:f>
        <x:v>平</x:v>
      </x:c>
      <x:c r="K3202" s="6" t="str">
        <x:f>IF(D3202="","",IF(AND(ISNUMBER(SEARCH("平",D3202)),OR(ISNUMBER(SEARCH("上",D3202)),ISNUMBER(SEARCH("去",D3202)),ISNUMBER(SEARCH("入",D3202)))),"Ambiguous",IF(ISNUMBER(SEARCH("平",D3202)),"平","仄")))</x:f>
        <x:v>平</x:v>
      </x:c>
      <x:c r="L3202" s="7" t="str"/>
    </x:row>
    <x:row r="3203">
      <x:c r="A3203" s="5" t="str">
        <x:v>翕</x:v>
      </x:c>
      <x:c r="B3203" s="6" t="str">
        <x:v>入</x:v>
      </x:c>
      <x:c r="C3203" s="6" t="str">
        <x:f>IF(B3203="","Needs decision","Ready")</x:f>
        <x:v>Ready</x:v>
      </x:c>
      <x:c r="D3203" s="6" t="str">
        <x:v>入</x:v>
      </x:c>
      <x:c r="E3203" s="6" t="str">
        <x:v>xip (D)</x:v>
      </x:c>
      <x:c r="F3203" s="6" t="str">
        <x:v>入聲十四緝</x:v>
      </x:c>
      <x:c r="G3203" s="6" t="str">
        <x:v>Pingshui main list, Wikisource-derived DOCX</x:v>
      </x:c>
      <x:c r="H3203" s="6" t="str">
        <x:v>1</x:v>
      </x:c>
      <x:c r="I3203" s="6" t="str"/>
      <x:c r="J3203" s="6" t="str">
        <x:f>IF(B3203="","",IF(AND(ISNUMBER(SEARCH("平",B3203)),OR(ISNUMBER(SEARCH("上",B3203)),ISNUMBER(SEARCH("去",B3203)),ISNUMBER(SEARCH("入",B3203)))),"Ambiguous",IF(ISNUMBER(SEARCH("平",B3203)),"平","仄")))</x:f>
        <x:v>仄</x:v>
      </x:c>
      <x:c r="K3203" s="6" t="str">
        <x:f>IF(D3203="","",IF(AND(ISNUMBER(SEARCH("平",D3203)),OR(ISNUMBER(SEARCH("上",D3203)),ISNUMBER(SEARCH("去",D3203)),ISNUMBER(SEARCH("入",D3203)))),"Ambiguous",IF(ISNUMBER(SEARCH("平",D3203)),"平","仄")))</x:f>
        <x:v>仄</x:v>
      </x:c>
      <x:c r="L3203" s="7" t="str"/>
    </x:row>
    <x:row r="3204">
      <x:c r="A3204" s="5" t="str">
        <x:v>翟</x:v>
      </x:c>
      <x:c r="B3204" s="6" t="str">
        <x:v>入</x:v>
      </x:c>
      <x:c r="C3204" s="6" t="str">
        <x:f>IF(B3204="","Needs decision","Ready")</x:f>
        <x:v>Ready</x:v>
      </x:c>
      <x:c r="D3204" s="6" t="str">
        <x:v>入</x:v>
      </x:c>
      <x:c r="E3204" s="6" t="str">
        <x:v>dek (D)</x:v>
      </x:c>
      <x:c r="F3204" s="6" t="str">
        <x:v>入聲十一陌; 入聲十二錫</x:v>
      </x:c>
      <x:c r="G3204" s="6" t="str">
        <x:v>Pingshui main list, Wikisource-derived DOCX</x:v>
      </x:c>
      <x:c r="H3204" s="6" t="str">
        <x:v>1</x:v>
      </x:c>
      <x:c r="I3204" s="6" t="str"/>
      <x:c r="J3204" s="6" t="str">
        <x:f>IF(B3204="","",IF(AND(ISNUMBER(SEARCH("平",B3204)),OR(ISNUMBER(SEARCH("上",B3204)),ISNUMBER(SEARCH("去",B3204)),ISNUMBER(SEARCH("入",B3204)))),"Ambiguous",IF(ISNUMBER(SEARCH("平",B3204)),"平","仄")))</x:f>
        <x:v>仄</x:v>
      </x:c>
      <x:c r="K3204" s="6" t="str">
        <x:f>IF(D3204="","",IF(AND(ISNUMBER(SEARCH("平",D3204)),OR(ISNUMBER(SEARCH("上",D3204)),ISNUMBER(SEARCH("去",D3204)),ISNUMBER(SEARCH("入",D3204)))),"Ambiguous",IF(ISNUMBER(SEARCH("平",D3204)),"平","仄")))</x:f>
        <x:v>仄</x:v>
      </x:c>
      <x:c r="L3204" s="7" t="str"/>
    </x:row>
    <x:row r="3205">
      <x:c r="A3205" s="5" t="str">
        <x:v>翠</x:v>
      </x:c>
      <x:c r="B3205" s="6" t="str">
        <x:v>去</x:v>
      </x:c>
      <x:c r="C3205" s="6" t="str">
        <x:f>IF(B3205="","Needs decision","Ready")</x:f>
        <x:v>Ready</x:v>
      </x:c>
      <x:c r="D3205" s="6" t="str">
        <x:v>去</x:v>
      </x:c>
      <x:c r="E3205" s="6" t="str"/>
      <x:c r="F3205" s="6" t="str">
        <x:v>去聲四寘</x:v>
      </x:c>
      <x:c r="G3205" s="6" t="str">
        <x:v>Pingshui main list, Wikisource-derived DOCX</x:v>
      </x:c>
      <x:c r="H3205" s="6" t="str"/>
      <x:c r="I3205" s="6" t="str">
        <x:v>Manual user correction/addition</x:v>
      </x:c>
      <x:c r="J3205" s="6" t="str">
        <x:f>IF(B3205="","",IF(AND(ISNUMBER(SEARCH("平",B3205)),OR(ISNUMBER(SEARCH("上",B3205)),ISNUMBER(SEARCH("去",B3205)),ISNUMBER(SEARCH("入",B3205)))),"Ambiguous",IF(ISNUMBER(SEARCH("平",B3205)),"平","仄")))</x:f>
        <x:v>仄</x:v>
      </x:c>
      <x:c r="K3205" s="6" t="str">
        <x:f>IF(D3205="","",IF(AND(ISNUMBER(SEARCH("平",D3205)),OR(ISNUMBER(SEARCH("上",D3205)),ISNUMBER(SEARCH("去",D3205)),ISNUMBER(SEARCH("入",D3205)))),"Ambiguous",IF(ISNUMBER(SEARCH("平",D3205)),"平","仄")))</x:f>
        <x:v>仄</x:v>
      </x:c>
      <x:c r="L3205" s="7" t="str">
        <x:v>manual user correction</x:v>
      </x:c>
    </x:row>
    <x:row r="3206">
      <x:c r="A3206" s="5" t="str">
        <x:v>翡</x:v>
      </x:c>
      <x:c r="B3206" s="6" t="str">
        <x:v>去</x:v>
      </x:c>
      <x:c r="C3206" s="6" t="str">
        <x:f>IF(B3206="","Needs decision","Ready")</x:f>
        <x:v>Ready</x:v>
      </x:c>
      <x:c r="D3206" s="6" t="str">
        <x:v>去</x:v>
      </x:c>
      <x:c r="E3206" s="6" t="str">
        <x:v>bj+jH [bwɨjh] (去)</x:v>
      </x:c>
      <x:c r="F3206" s="6" t="str">
        <x:v>去聲五未</x:v>
      </x:c>
      <x:c r="G3206" s="6" t="str">
        <x:v>Pingshui main list, Wikisource-derived DOCX</x:v>
      </x:c>
      <x:c r="H3206" s="6" t="str">
        <x:v>1</x:v>
      </x:c>
      <x:c r="I3206" s="6" t="str">
        <x:v>Tang 300 gap; frequency 3; provisional from Xun Gong</x:v>
      </x:c>
      <x:c r="J3206" s="6" t="str">
        <x:f>IF(B3206="","",IF(AND(ISNUMBER(SEARCH("平",B3206)),OR(ISNUMBER(SEARCH("上",B3206)),ISNUMBER(SEARCH("去",B3206)),ISNUMBER(SEARCH("入",B3206)))),"Ambiguous",IF(ISNUMBER(SEARCH("平",B3206)),"平","仄")))</x:f>
        <x:v>仄</x:v>
      </x:c>
      <x:c r="K3206" s="6" t="str">
        <x:f>IF(D3206="","",IF(AND(ISNUMBER(SEARCH("平",D3206)),OR(ISNUMBER(SEARCH("上",D3206)),ISNUMBER(SEARCH("去",D3206)),ISNUMBER(SEARCH("入",D3206)))),"Ambiguous",IF(ISNUMBER(SEARCH("平",D3206)),"平","仄")))</x:f>
        <x:v>仄</x:v>
      </x:c>
      <x:c r="L3206" s="7" t="str">
        <x:v>Xun Gong, Tang 300 gap fill</x:v>
      </x:c>
    </x:row>
    <x:row r="3207">
      <x:c r="A3207" s="5" t="str">
        <x:v>翣</x:v>
      </x:c>
      <x:c r="B3207" s="6" t="str">
        <x:v>入</x:v>
      </x:c>
      <x:c r="C3207" s="6" t="str">
        <x:f>IF(B3207="","Needs decision","Ready")</x:f>
        <x:v>Ready</x:v>
      </x:c>
      <x:c r="D3207" s="6" t="str">
        <x:v>入</x:v>
      </x:c>
      <x:c r="E3207" s="6" t="str">
        <x:v>sraep (D)</x:v>
      </x:c>
      <x:c r="F3207" s="6" t="str">
        <x:v>入聲十七洽</x:v>
      </x:c>
      <x:c r="G3207" s="6" t="str">
        <x:v>Pingshui main list, Wikisource-derived DOCX</x:v>
      </x:c>
      <x:c r="H3207" s="6" t="str">
        <x:v>1</x:v>
      </x:c>
      <x:c r="I3207" s="6" t="str"/>
      <x:c r="J3207" s="6" t="str">
        <x:f>IF(B3207="","",IF(AND(ISNUMBER(SEARCH("平",B3207)),OR(ISNUMBER(SEARCH("上",B3207)),ISNUMBER(SEARCH("去",B3207)),ISNUMBER(SEARCH("入",B3207)))),"Ambiguous",IF(ISNUMBER(SEARCH("平",B3207)),"平","仄")))</x:f>
        <x:v>仄</x:v>
      </x:c>
      <x:c r="K3207" s="6" t="str">
        <x:f>IF(D3207="","",IF(AND(ISNUMBER(SEARCH("平",D3207)),OR(ISNUMBER(SEARCH("上",D3207)),ISNUMBER(SEARCH("去",D3207)),ISNUMBER(SEARCH("入",D3207)))),"Ambiguous",IF(ISNUMBER(SEARCH("平",D3207)),"平","仄")))</x:f>
        <x:v>仄</x:v>
      </x:c>
      <x:c r="L3207" s="7" t="str"/>
    </x:row>
    <x:row r="3208">
      <x:c r="A3208" s="5" t="str">
        <x:v>翥</x:v>
      </x:c>
      <x:c r="B3208" s="6" t="str">
        <x:v>去</x:v>
      </x:c>
      <x:c r="C3208" s="6" t="str">
        <x:f>IF(B3208="","Needs decision","Ready")</x:f>
        <x:v>Ready</x:v>
      </x:c>
      <x:c r="D3208" s="6" t="str">
        <x:v>去</x:v>
      </x:c>
      <x:c r="E3208" s="6" t="str">
        <x:v>tsyoH [tɕəh] (去)</x:v>
      </x:c>
      <x:c r="F3208" s="6" t="str">
        <x:v>去聲六御</x:v>
      </x:c>
      <x:c r="G3208" s="6" t="str">
        <x:v>Pingshui main list, Wikisource-derived DOCX</x:v>
      </x:c>
      <x:c r="H3208" s="6" t="str">
        <x:v>1</x:v>
      </x:c>
      <x:c r="I3208" s="6" t="str">
        <x:v>Tang 300 gap; frequency 1; provisional from Xun Gong</x:v>
      </x:c>
      <x:c r="J3208" s="6" t="str">
        <x:f>IF(B3208="","",IF(AND(ISNUMBER(SEARCH("平",B3208)),OR(ISNUMBER(SEARCH("上",B3208)),ISNUMBER(SEARCH("去",B3208)),ISNUMBER(SEARCH("入",B3208)))),"Ambiguous",IF(ISNUMBER(SEARCH("平",B3208)),"平","仄")))</x:f>
        <x:v>仄</x:v>
      </x:c>
      <x:c r="K3208" s="6" t="str">
        <x:f>IF(D3208="","",IF(AND(ISNUMBER(SEARCH("平",D3208)),OR(ISNUMBER(SEARCH("上",D3208)),ISNUMBER(SEARCH("去",D3208)),ISNUMBER(SEARCH("入",D3208)))),"Ambiguous",IF(ISNUMBER(SEARCH("平",D3208)),"平","仄")))</x:f>
        <x:v>仄</x:v>
      </x:c>
      <x:c r="L3208" s="7" t="str">
        <x:v>Xun Gong, Tang 300 gap fill</x:v>
      </x:c>
    </x:row>
    <x:row r="3209">
      <x:c r="A3209" s="5" t="str">
        <x:v>翦</x:v>
      </x:c>
      <x:c r="B3209" s="6" t="str">
        <x:v>上</x:v>
      </x:c>
      <x:c r="C3209" s="6" t="str">
        <x:f>IF(B3209="","Needs decision","Ready")</x:f>
        <x:v>Ready</x:v>
      </x:c>
      <x:c r="D3209" s="6" t="str">
        <x:v>上</x:v>
      </x:c>
      <x:c r="E3209" s="6" t="str">
        <x:v>tsjenX (B)</x:v>
      </x:c>
      <x:c r="F3209" s="6" t="str">
        <x:v>上聲十六銑</x:v>
      </x:c>
      <x:c r="G3209" s="6" t="str">
        <x:v>Pingshui main list, Wikisource-derived DOCX</x:v>
      </x:c>
      <x:c r="H3209" s="6" t="str">
        <x:v>1</x:v>
      </x:c>
      <x:c r="I3209" s="6" t="str"/>
      <x:c r="J3209" s="6" t="str">
        <x:f>IF(B3209="","",IF(AND(ISNUMBER(SEARCH("平",B3209)),OR(ISNUMBER(SEARCH("上",B3209)),ISNUMBER(SEARCH("去",B3209)),ISNUMBER(SEARCH("入",B3209)))),"Ambiguous",IF(ISNUMBER(SEARCH("平",B3209)),"平","仄")))</x:f>
        <x:v>仄</x:v>
      </x:c>
      <x:c r="K3209" s="6" t="str">
        <x:f>IF(D3209="","",IF(AND(ISNUMBER(SEARCH("平",D3209)),OR(ISNUMBER(SEARCH("上",D3209)),ISNUMBER(SEARCH("去",D3209)),ISNUMBER(SEARCH("入",D3209)))),"Ambiguous",IF(ISNUMBER(SEARCH("平",D3209)),"平","仄")))</x:f>
        <x:v>仄</x:v>
      </x:c>
      <x:c r="L3209" s="7" t="str"/>
    </x:row>
    <x:row r="3210">
      <x:c r="A3210" s="5" t="str">
        <x:v>翩</x:v>
      </x:c>
      <x:c r="B3210" s="6" t="str">
        <x:v>平</x:v>
      </x:c>
      <x:c r="C3210" s="6" t="str">
        <x:f>IF(B3210="","Needs decision","Ready")</x:f>
        <x:v>Ready</x:v>
      </x:c>
      <x:c r="D3210" s="6" t="str">
        <x:v>平</x:v>
      </x:c>
      <x:c r="E3210" s="6" t="str">
        <x:v>phjien (A)</x:v>
      </x:c>
      <x:c r="F3210" s="6" t="str">
        <x:v>下平聲一先</x:v>
      </x:c>
      <x:c r="G3210" s="6" t="str">
        <x:v>Pingshui main list, Wikisource-derived DOCX</x:v>
      </x:c>
      <x:c r="H3210" s="6" t="str">
        <x:v>1</x:v>
      </x:c>
      <x:c r="I3210" s="6" t="str"/>
      <x:c r="J3210" s="6" t="str">
        <x:f>IF(B3210="","",IF(AND(ISNUMBER(SEARCH("平",B3210)),OR(ISNUMBER(SEARCH("上",B3210)),ISNUMBER(SEARCH("去",B3210)),ISNUMBER(SEARCH("入",B3210)))),"Ambiguous",IF(ISNUMBER(SEARCH("平",B3210)),"平","仄")))</x:f>
        <x:v>平</x:v>
      </x:c>
      <x:c r="K3210" s="6" t="str">
        <x:f>IF(D3210="","",IF(AND(ISNUMBER(SEARCH("平",D3210)),OR(ISNUMBER(SEARCH("上",D3210)),ISNUMBER(SEARCH("去",D3210)),ISNUMBER(SEARCH("入",D3210)))),"Ambiguous",IF(ISNUMBER(SEARCH("平",D3210)),"平","仄")))</x:f>
        <x:v>平</x:v>
      </x:c>
      <x:c r="L3210" s="7" t="str"/>
    </x:row>
    <x:row r="3211">
      <x:c r="A3211" s="5" t="str">
        <x:v>翫</x:v>
      </x:c>
      <x:c r="B3211" s="6" t="str">
        <x:v>去</x:v>
      </x:c>
      <x:c r="C3211" s="6" t="str">
        <x:f>IF(B3211="","Needs decision","Ready")</x:f>
        <x:v>Ready</x:v>
      </x:c>
      <x:c r="D3211" s="6" t="str">
        <x:v>去</x:v>
      </x:c>
      <x:c r="E3211" s="6" t="str">
        <x:v>ngwanH (C)</x:v>
      </x:c>
      <x:c r="F3211" s="6" t="str"/>
      <x:c r="G3211" s="6" t="str"/>
      <x:c r="H3211" s="6" t="str">
        <x:v>1</x:v>
      </x:c>
      <x:c r="I3211" s="6" t="str"/>
      <x:c r="J3211" s="6" t="str">
        <x:f>IF(B3211="","",IF(AND(ISNUMBER(SEARCH("平",B3211)),OR(ISNUMBER(SEARCH("上",B3211)),ISNUMBER(SEARCH("去",B3211)),ISNUMBER(SEARCH("入",B3211)))),"Ambiguous",IF(ISNUMBER(SEARCH("平",B3211)),"平","仄")))</x:f>
        <x:v>仄</x:v>
      </x:c>
      <x:c r="K3211" s="6" t="str">
        <x:f>IF(D3211="","",IF(AND(ISNUMBER(SEARCH("平",D3211)),OR(ISNUMBER(SEARCH("上",D3211)),ISNUMBER(SEARCH("去",D3211)),ISNUMBER(SEARCH("入",D3211)))),"Ambiguous",IF(ISNUMBER(SEARCH("平",D3211)),"平","仄")))</x:f>
        <x:v>仄</x:v>
      </x:c>
      <x:c r="L3211" s="7" t="str"/>
    </x:row>
    <x:row r="3212">
      <x:c r="A3212" s="5" t="str">
        <x:v>翮</x:v>
      </x:c>
      <x:c r="B3212" s="6" t="str">
        <x:v>入</x:v>
      </x:c>
      <x:c r="C3212" s="6" t="str">
        <x:f>IF(B3212="","Needs decision","Ready")</x:f>
        <x:v>Ready</x:v>
      </x:c>
      <x:c r="D3212" s="6" t="str">
        <x:v>入</x:v>
      </x:c>
      <x:c r="E3212" s="6" t="str"/>
      <x:c r="F3212" s="6" t="str">
        <x:v>入聲十一陌</x:v>
      </x:c>
      <x:c r="G3212" s="6" t="str">
        <x:v>Pingshui main list, Wikisource-derived DOCX</x:v>
      </x:c>
      <x:c r="H3212" s="6" t="str">
        <x:v>0</x:v>
      </x:c>
      <x:c r="I3212" s="6" t="str">
        <x:v>User correction 2026-09-08; added manually</x:v>
      </x:c>
      <x:c r="J3212" s="6" t="str">
        <x:f>IF(B3212="","",IF(AND(ISNUMBER(SEARCH("平",B3212)),OR(ISNUMBER(SEARCH("上",B3212)),ISNUMBER(SEARCH("去",B3212)),ISNUMBER(SEARCH("入",B3212)))),"Ambiguous",IF(ISNUMBER(SEARCH("平",B3212)),"平","仄")))</x:f>
        <x:v>仄</x:v>
      </x:c>
      <x:c r="K3212" s="6" t="str">
        <x:f>IF(D3212="","",IF(AND(ISNUMBER(SEARCH("平",D3212)),OR(ISNUMBER(SEARCH("上",D3212)),ISNUMBER(SEARCH("去",D3212)),ISNUMBER(SEARCH("入",D3212)))),"Ambiguous",IF(ISNUMBER(SEARCH("平",D3212)),"平","仄")))</x:f>
        <x:v>仄</x:v>
      </x:c>
      <x:c r="L3212" s="7" t="str">
        <x:v>User correction</x:v>
      </x:c>
    </x:row>
    <x:row r="3213">
      <x:c r="A3213" s="5" t="str">
        <x:v>翯</x:v>
      </x:c>
      <x:c r="B3213" s="6" t="str">
        <x:v>入</x:v>
      </x:c>
      <x:c r="C3213" s="6" t="str">
        <x:f>IF(B3213="","Needs decision","Ready")</x:f>
        <x:v>Ready</x:v>
      </x:c>
      <x:c r="D3213" s="6" t="str">
        <x:v>入</x:v>
      </x:c>
      <x:c r="E3213" s="6" t="str">
        <x:v>haewk (D)</x:v>
      </x:c>
      <x:c r="F3213" s="6" t="str">
        <x:v>入聲三覺</x:v>
      </x:c>
      <x:c r="G3213" s="6" t="str">
        <x:v>Pingshui main list, Wikisource-derived DOCX</x:v>
      </x:c>
      <x:c r="H3213" s="6" t="str">
        <x:v>1</x:v>
      </x:c>
      <x:c r="I3213" s="6" t="str"/>
      <x:c r="J3213" s="6" t="str">
        <x:f>IF(B3213="","",IF(AND(ISNUMBER(SEARCH("平",B3213)),OR(ISNUMBER(SEARCH("上",B3213)),ISNUMBER(SEARCH("去",B3213)),ISNUMBER(SEARCH("入",B3213)))),"Ambiguous",IF(ISNUMBER(SEARCH("平",B3213)),"平","仄")))</x:f>
        <x:v>仄</x:v>
      </x:c>
      <x:c r="K3213" s="6" t="str">
        <x:f>IF(D3213="","",IF(AND(ISNUMBER(SEARCH("平",D3213)),OR(ISNUMBER(SEARCH("上",D3213)),ISNUMBER(SEARCH("去",D3213)),ISNUMBER(SEARCH("入",D3213)))),"Ambiguous",IF(ISNUMBER(SEARCH("平",D3213)),"平","仄")))</x:f>
        <x:v>仄</x:v>
      </x:c>
      <x:c r="L3213" s="7" t="str"/>
    </x:row>
    <x:row r="3214">
      <x:c r="A3214" s="5" t="str">
        <x:v>翰</x:v>
      </x:c>
      <x:c r="B3214" s="6" t="str">
        <x:v>去</x:v>
      </x:c>
      <x:c r="C3214" s="6" t="str">
        <x:f>IF(B3214="","Needs decision","Ready")</x:f>
        <x:v>Ready</x:v>
      </x:c>
      <x:c r="D3214" s="6" t="str">
        <x:v>去</x:v>
      </x:c>
      <x:c r="E3214" s="6" t="str">
        <x:v>hanH (C)</x:v>
      </x:c>
      <x:c r="F3214" s="6" t="str">
        <x:v>上平聲十四寒; 去聲十五翰</x:v>
      </x:c>
      <x:c r="G3214" s="6" t="str">
        <x:v>Pingshui main list, Wikisource-derived DOCX</x:v>
      </x:c>
      <x:c r="H3214" s="6" t="str">
        <x:v>1</x:v>
      </x:c>
      <x:c r="I3214" s="6" t="str"/>
      <x:c r="J3214" s="6" t="str">
        <x:f>IF(B3214="","",IF(AND(ISNUMBER(SEARCH("平",B3214)),OR(ISNUMBER(SEARCH("上",B3214)),ISNUMBER(SEARCH("去",B3214)),ISNUMBER(SEARCH("入",B3214)))),"Ambiguous",IF(ISNUMBER(SEARCH("平",B3214)),"平","仄")))</x:f>
        <x:v>仄</x:v>
      </x:c>
      <x:c r="K3214" s="6" t="str">
        <x:f>IF(D3214="","",IF(AND(ISNUMBER(SEARCH("平",D3214)),OR(ISNUMBER(SEARCH("上",D3214)),ISNUMBER(SEARCH("去",D3214)),ISNUMBER(SEARCH("入",D3214)))),"Ambiguous",IF(ISNUMBER(SEARCH("平",D3214)),"平","仄")))</x:f>
        <x:v>仄</x:v>
      </x:c>
      <x:c r="L3214" s="7" t="str"/>
    </x:row>
    <x:row r="3215">
      <x:c r="A3215" s="5" t="str">
        <x:v>翱</x:v>
      </x:c>
      <x:c r="B3215" s="6" t="str">
        <x:v>平</x:v>
      </x:c>
      <x:c r="C3215" s="6" t="str">
        <x:f>IF(B3215="","Needs decision","Ready")</x:f>
        <x:v>Ready</x:v>
      </x:c>
      <x:c r="D3215" s="6" t="str">
        <x:v>平</x:v>
      </x:c>
      <x:c r="E3215" s="6" t="str">
        <x:v>ngaw [疑開一豪平] ɴəw</x:v>
      </x:c>
      <x:c r="F3215" s="6" t="str">
        <x:v>下平聲四豪</x:v>
      </x:c>
      <x:c r="G3215" s="6" t="str">
        <x:v>Pingshui main list, Wikisource-derived DOCX</x:v>
      </x:c>
      <x:c r="H3215" s="6" t="str">
        <x:v>1</x:v>
      </x:c>
      <x:c r="I3215" s="6" t="str">
        <x:v>Targeted preliminary fill from Xun Gong; review if uncertain</x:v>
      </x:c>
      <x:c r="J3215" s="6" t="str">
        <x:f>IF(B3215="","",IF(AND(ISNUMBER(SEARCH("平",B3215)),OR(ISNUMBER(SEARCH("上",B3215)),ISNUMBER(SEARCH("去",B3215)),ISNUMBER(SEARCH("入",B3215)))),"Ambiguous",IF(ISNUMBER(SEARCH("平",B3215)),"平","仄")))</x:f>
        <x:v>平</x:v>
      </x:c>
      <x:c r="K3215" s="6" t="str">
        <x:f>IF(D3215="","",IF(AND(ISNUMBER(SEARCH("平",D3215)),OR(ISNUMBER(SEARCH("上",D3215)),ISNUMBER(SEARCH("去",D3215)),ISNUMBER(SEARCH("入",D3215)))),"Ambiguous",IF(ISNUMBER(SEARCH("平",D3215)),"平","仄")))</x:f>
        <x:v>平</x:v>
      </x:c>
      <x:c r="L3215" s="7" t="str">
        <x:v>Xun Gong character-readings.csv</x:v>
      </x:c>
    </x:row>
    <x:row r="3216">
      <x:c r="A3216" s="5" t="str">
        <x:v>翳</x:v>
      </x:c>
      <x:c r="B3216" s="6" t="str">
        <x:v>去</x:v>
      </x:c>
      <x:c r="C3216" s="6" t="str">
        <x:f>IF(B3216="","Needs decision","Ready")</x:f>
        <x:v>Ready</x:v>
      </x:c>
      <x:c r="D3216" s="6" t="str">
        <x:v>平/去</x:v>
      </x:c>
      <x:c r="E3216" s="6" t="str"/>
      <x:c r="F3216" s="6" t="str">
        <x:v>去聲八霽</x:v>
      </x:c>
      <x:c r="G3216" s="6" t="str">
        <x:v>Pingshui main list, Wikisource-derived DOCX</x:v>
      </x:c>
      <x:c r="H3216" s="6" t="str"/>
      <x:c r="I3216" s="6" t="str">
        <x:v>Manual user correction/addition; ambiguous 平/去</x:v>
      </x:c>
      <x:c r="J3216" s="6" t="str">
        <x:f>IF(B3216="","",IF(AND(ISNUMBER(SEARCH("平",B3216)),OR(ISNUMBER(SEARCH("上",B3216)),ISNUMBER(SEARCH("去",B3216)),ISNUMBER(SEARCH("入",B3216)))),"Ambiguous",IF(ISNUMBER(SEARCH("平",B3216)),"平","仄")))</x:f>
        <x:v>仄</x:v>
      </x:c>
      <x:c r="K3216" s="6" t="str">
        <x:f>IF(D3216="","",IF(AND(ISNUMBER(SEARCH("平",D3216)),OR(ISNUMBER(SEARCH("上",D3216)),ISNUMBER(SEARCH("去",D3216)),ISNUMBER(SEARCH("入",D3216)))),"Ambiguous",IF(ISNUMBER(SEARCH("平",D3216)),"平","仄")))</x:f>
        <x:v>Ambiguous</x:v>
      </x:c>
      <x:c r="L3216" s="7" t="str">
        <x:v>manual user correction</x:v>
      </x:c>
    </x:row>
    <x:row r="3217">
      <x:c r="A3217" s="5" t="str">
        <x:v>翹</x:v>
      </x:c>
      <x:c r="B3217" s="6" t="str">
        <x:v>平</x:v>
      </x:c>
      <x:c r="C3217" s="6" t="str">
        <x:f>IF(B3217="","Needs decision","Ready")</x:f>
        <x:v>Ready</x:v>
      </x:c>
      <x:c r="D3217" s="6" t="str">
        <x:v>平</x:v>
      </x:c>
      <x:c r="E3217" s="6" t="str">
        <x:v>gjiew (A)</x:v>
      </x:c>
      <x:c r="F3217" s="6" t="str">
        <x:v>下平聲二蕭</x:v>
      </x:c>
      <x:c r="G3217" s="6" t="str">
        <x:v>Pingshui main list, Wikisource-derived DOCX</x:v>
      </x:c>
      <x:c r="H3217" s="6" t="str">
        <x:v>1</x:v>
      </x:c>
      <x:c r="I3217" s="6" t="str"/>
      <x:c r="J3217" s="6" t="str">
        <x:f>IF(B3217="","",IF(AND(ISNUMBER(SEARCH("平",B3217)),OR(ISNUMBER(SEARCH("上",B3217)),ISNUMBER(SEARCH("去",B3217)),ISNUMBER(SEARCH("入",B3217)))),"Ambiguous",IF(ISNUMBER(SEARCH("平",B3217)),"平","仄")))</x:f>
        <x:v>平</x:v>
      </x:c>
      <x:c r="K3217" s="6" t="str">
        <x:f>IF(D3217="","",IF(AND(ISNUMBER(SEARCH("平",D3217)),OR(ISNUMBER(SEARCH("上",D3217)),ISNUMBER(SEARCH("去",D3217)),ISNUMBER(SEARCH("入",D3217)))),"Ambiguous",IF(ISNUMBER(SEARCH("平",D3217)),"平","仄")))</x:f>
        <x:v>平</x:v>
      </x:c>
      <x:c r="L3217" s="7" t="str"/>
    </x:row>
    <x:row r="3218">
      <x:c r="A3218" s="5" t="str">
        <x:v>翻</x:v>
      </x:c>
      <x:c r="B3218" s="6" t="str">
        <x:v>平</x:v>
      </x:c>
      <x:c r="C3218" s="6" t="str">
        <x:f>IF(B3218="","Needs decision","Ready")</x:f>
        <x:v>Ready</x:v>
      </x:c>
      <x:c r="D3218" s="6" t="str">
        <x:v>平</x:v>
      </x:c>
      <x:c r="E3218" s="6" t="str">
        <x:v>phjon [滂三C元平] pʰɨ̯ən</x:v>
      </x:c>
      <x:c r="F3218" s="6" t="str">
        <x:v>上平聲十三元</x:v>
      </x:c>
      <x:c r="G3218" s="6" t="str">
        <x:v>Pingshui main list, Wikisource-derived DOCX</x:v>
      </x:c>
      <x:c r="H3218" s="6" t="str">
        <x:v>1</x:v>
      </x:c>
      <x:c r="I3218" s="6" t="str">
        <x:v>Targeted preliminary fill from Xun Gong; review if uncertain</x:v>
      </x:c>
      <x:c r="J3218" s="6" t="str">
        <x:f>IF(B3218="","",IF(AND(ISNUMBER(SEARCH("平",B3218)),OR(ISNUMBER(SEARCH("上",B3218)),ISNUMBER(SEARCH("去",B3218)),ISNUMBER(SEARCH("入",B3218)))),"Ambiguous",IF(ISNUMBER(SEARCH("平",B3218)),"平","仄")))</x:f>
        <x:v>平</x:v>
      </x:c>
      <x:c r="K3218" s="6" t="str">
        <x:f>IF(D3218="","",IF(AND(ISNUMBER(SEARCH("平",D3218)),OR(ISNUMBER(SEARCH("上",D3218)),ISNUMBER(SEARCH("去",D3218)),ISNUMBER(SEARCH("入",D3218)))),"Ambiguous",IF(ISNUMBER(SEARCH("平",D3218)),"平","仄")))</x:f>
        <x:v>平</x:v>
      </x:c>
      <x:c r="L3218" s="7" t="str">
        <x:v>Xun Gong character-readings.csv</x:v>
      </x:c>
    </x:row>
    <x:row r="3219">
      <x:c r="A3219" s="5" t="str">
        <x:v>翼</x:v>
      </x:c>
      <x:c r="B3219" s="6" t="str">
        <x:v>入</x:v>
      </x:c>
      <x:c r="C3219" s="6" t="str">
        <x:f>IF(B3219="","Needs decision","Ready")</x:f>
        <x:v>Ready</x:v>
      </x:c>
      <x:c r="D3219" s="6" t="str">
        <x:v>入</x:v>
      </x:c>
      <x:c r="E3219" s="6" t="str">
        <x:v>yik (D)</x:v>
      </x:c>
      <x:c r="F3219" s="6" t="str">
        <x:v>入聲十三職</x:v>
      </x:c>
      <x:c r="G3219" s="6" t="str">
        <x:v>Pingshui main list, Wikisource-derived DOCX</x:v>
      </x:c>
      <x:c r="H3219" s="6" t="str">
        <x:v>1</x:v>
      </x:c>
      <x:c r="I3219" s="6" t="str"/>
      <x:c r="J3219" s="6" t="str">
        <x:f>IF(B3219="","",IF(AND(ISNUMBER(SEARCH("平",B3219)),OR(ISNUMBER(SEARCH("上",B3219)),ISNUMBER(SEARCH("去",B3219)),ISNUMBER(SEARCH("入",B3219)))),"Ambiguous",IF(ISNUMBER(SEARCH("平",B3219)),"平","仄")))</x:f>
        <x:v>仄</x:v>
      </x:c>
      <x:c r="K3219" s="6" t="str">
        <x:f>IF(D3219="","",IF(AND(ISNUMBER(SEARCH("平",D3219)),OR(ISNUMBER(SEARCH("上",D3219)),ISNUMBER(SEARCH("去",D3219)),ISNUMBER(SEARCH("入",D3219)))),"Ambiguous",IF(ISNUMBER(SEARCH("平",D3219)),"平","仄")))</x:f>
        <x:v>仄</x:v>
      </x:c>
      <x:c r="L3219" s="7" t="str"/>
    </x:row>
    <x:row r="3220">
      <x:c r="A3220" s="5" t="str">
        <x:v>翽</x:v>
      </x:c>
      <x:c r="B3220" s="6" t="str">
        <x:v>去</x:v>
      </x:c>
      <x:c r="C3220" s="6" t="str">
        <x:f>IF(B3220="","Needs decision","Ready")</x:f>
        <x:v>Ready</x:v>
      </x:c>
      <x:c r="D3220" s="6" t="str">
        <x:v>去</x:v>
      </x:c>
      <x:c r="E3220" s="6" t="str">
        <x:v>xwajH (C)</x:v>
      </x:c>
      <x:c r="F3220" s="6" t="str">
        <x:v>去聲九泰</x:v>
      </x:c>
      <x:c r="G3220" s="6" t="str">
        <x:v>Pingshui main list, Wikisource-derived DOCX</x:v>
      </x:c>
      <x:c r="H3220" s="6" t="str">
        <x:v>1</x:v>
      </x:c>
      <x:c r="I3220" s="6" t="str"/>
      <x:c r="J3220" s="6" t="str">
        <x:f>IF(B3220="","",IF(AND(ISNUMBER(SEARCH("平",B3220)),OR(ISNUMBER(SEARCH("上",B3220)),ISNUMBER(SEARCH("去",B3220)),ISNUMBER(SEARCH("入",B3220)))),"Ambiguous",IF(ISNUMBER(SEARCH("平",B3220)),"平","仄")))</x:f>
        <x:v>仄</x:v>
      </x:c>
      <x:c r="K3220" s="6" t="str">
        <x:f>IF(D3220="","",IF(AND(ISNUMBER(SEARCH("平",D3220)),OR(ISNUMBER(SEARCH("上",D3220)),ISNUMBER(SEARCH("去",D3220)),ISNUMBER(SEARCH("入",D3220)))),"Ambiguous",IF(ISNUMBER(SEARCH("平",D3220)),"平","仄")))</x:f>
        <x:v>仄</x:v>
      </x:c>
      <x:c r="L3220" s="7" t="str"/>
    </x:row>
    <x:row r="3221">
      <x:c r="A3221" s="5" t="str">
        <x:v>翾</x:v>
      </x:c>
      <x:c r="B3221" s="6" t="str">
        <x:v>平</x:v>
      </x:c>
      <x:c r="C3221" s="6" t="str">
        <x:f>IF(B3221="","Needs decision","Ready")</x:f>
        <x:v>Ready</x:v>
      </x:c>
      <x:c r="D3221" s="6" t="str">
        <x:v>平</x:v>
      </x:c>
      <x:c r="E3221" s="6" t="str">
        <x:v>xjwien (A)</x:v>
      </x:c>
      <x:c r="F3221" s="6" t="str">
        <x:v>下平聲一先</x:v>
      </x:c>
      <x:c r="G3221" s="6" t="str">
        <x:v>Pingshui main list, Wikisource-derived DOCX</x:v>
      </x:c>
      <x:c r="H3221" s="6" t="str">
        <x:v>1</x:v>
      </x:c>
      <x:c r="I3221" s="6" t="str"/>
      <x:c r="J3221" s="6" t="str">
        <x:f>IF(B3221="","",IF(AND(ISNUMBER(SEARCH("平",B3221)),OR(ISNUMBER(SEARCH("上",B3221)),ISNUMBER(SEARCH("去",B3221)),ISNUMBER(SEARCH("入",B3221)))),"Ambiguous",IF(ISNUMBER(SEARCH("平",B3221)),"平","仄")))</x:f>
        <x:v>平</x:v>
      </x:c>
      <x:c r="K3221" s="6" t="str">
        <x:f>IF(D3221="","",IF(AND(ISNUMBER(SEARCH("平",D3221)),OR(ISNUMBER(SEARCH("上",D3221)),ISNUMBER(SEARCH("去",D3221)),ISNUMBER(SEARCH("入",D3221)))),"Ambiguous",IF(ISNUMBER(SEARCH("平",D3221)),"平","仄")))</x:f>
        <x:v>平</x:v>
      </x:c>
      <x:c r="L3221" s="7" t="str"/>
    </x:row>
    <x:row r="3222">
      <x:c r="A3222" s="5" t="str">
        <x:v>耀</x:v>
      </x:c>
      <x:c r="B3222" s="6" t="str">
        <x:v>去</x:v>
      </x:c>
      <x:c r="C3222" s="6" t="str">
        <x:f>IF(B3222="","Needs decision","Ready")</x:f>
        <x:v>Ready</x:v>
      </x:c>
      <x:c r="D3222" s="6" t="str">
        <x:v>去</x:v>
      </x:c>
      <x:c r="E3222" s="6" t="str">
        <x:v>yewH (C)</x:v>
      </x:c>
      <x:c r="F3222" s="6" t="str">
        <x:v>去聲十八嘯</x:v>
      </x:c>
      <x:c r="G3222" s="6" t="str">
        <x:v>Pingshui main list, Wikisource-derived DOCX</x:v>
      </x:c>
      <x:c r="H3222" s="6" t="str">
        <x:v>1</x:v>
      </x:c>
      <x:c r="I3222" s="6" t="str"/>
      <x:c r="J3222" s="6" t="str">
        <x:f>IF(B3222="","",IF(AND(ISNUMBER(SEARCH("平",B3222)),OR(ISNUMBER(SEARCH("上",B3222)),ISNUMBER(SEARCH("去",B3222)),ISNUMBER(SEARCH("入",B3222)))),"Ambiguous",IF(ISNUMBER(SEARCH("平",B3222)),"平","仄")))</x:f>
        <x:v>仄</x:v>
      </x:c>
      <x:c r="K3222" s="6" t="str">
        <x:f>IF(D3222="","",IF(AND(ISNUMBER(SEARCH("平",D3222)),OR(ISNUMBER(SEARCH("上",D3222)),ISNUMBER(SEARCH("去",D3222)),ISNUMBER(SEARCH("入",D3222)))),"Ambiguous",IF(ISNUMBER(SEARCH("平",D3222)),"平","仄")))</x:f>
        <x:v>仄</x:v>
      </x:c>
      <x:c r="L3222" s="7" t="str"/>
    </x:row>
    <x:row r="3223">
      <x:c r="A3223" s="5" t="str">
        <x:v>老</x:v>
      </x:c>
      <x:c r="B3223" s="6" t="str">
        <x:v>上</x:v>
      </x:c>
      <x:c r="C3223" s="6" t="str">
        <x:f>IF(B3223="","Needs decision","Ready")</x:f>
        <x:v>Ready</x:v>
      </x:c>
      <x:c r="D3223" s="6" t="str">
        <x:v>上</x:v>
      </x:c>
      <x:c r="E3223" s="6" t="str">
        <x:v>lawX (B)</x:v>
      </x:c>
      <x:c r="F3223" s="6" t="str">
        <x:v>上聲十九皓</x:v>
      </x:c>
      <x:c r="G3223" s="6" t="str">
        <x:v>Pingshui main list, Wikisource-derived DOCX</x:v>
      </x:c>
      <x:c r="H3223" s="6" t="str">
        <x:v>1</x:v>
      </x:c>
      <x:c r="I3223" s="6" t="str"/>
      <x:c r="J3223" s="6" t="str">
        <x:f>IF(B3223="","",IF(AND(ISNUMBER(SEARCH("平",B3223)),OR(ISNUMBER(SEARCH("上",B3223)),ISNUMBER(SEARCH("去",B3223)),ISNUMBER(SEARCH("入",B3223)))),"Ambiguous",IF(ISNUMBER(SEARCH("平",B3223)),"平","仄")))</x:f>
        <x:v>仄</x:v>
      </x:c>
      <x:c r="K3223" s="6" t="str">
        <x:f>IF(D3223="","",IF(AND(ISNUMBER(SEARCH("平",D3223)),OR(ISNUMBER(SEARCH("上",D3223)),ISNUMBER(SEARCH("去",D3223)),ISNUMBER(SEARCH("入",D3223)))),"Ambiguous",IF(ISNUMBER(SEARCH("平",D3223)),"平","仄")))</x:f>
        <x:v>仄</x:v>
      </x:c>
      <x:c r="L3223" s="7" t="str"/>
    </x:row>
    <x:row r="3224">
      <x:c r="A3224" s="5" t="str">
        <x:v>考</x:v>
      </x:c>
      <x:c r="B3224" s="6" t="str">
        <x:v>上</x:v>
      </x:c>
      <x:c r="C3224" s="6" t="str">
        <x:f>IF(B3224="","Needs decision","Ready")</x:f>
        <x:v>Ready</x:v>
      </x:c>
      <x:c r="D3224" s="6" t="str">
        <x:v>上</x:v>
      </x:c>
      <x:c r="E3224" s="6" t="str">
        <x:v>khawX (B)</x:v>
      </x:c>
      <x:c r="F3224" s="6" t="str">
        <x:v>上聲十九皓</x:v>
      </x:c>
      <x:c r="G3224" s="6" t="str">
        <x:v>Pingshui main list, Wikisource-derived DOCX</x:v>
      </x:c>
      <x:c r="H3224" s="6" t="str">
        <x:v>1</x:v>
      </x:c>
      <x:c r="I3224" s="6" t="str"/>
      <x:c r="J3224" s="6" t="str">
        <x:f>IF(B3224="","",IF(AND(ISNUMBER(SEARCH("平",B3224)),OR(ISNUMBER(SEARCH("上",B3224)),ISNUMBER(SEARCH("去",B3224)),ISNUMBER(SEARCH("入",B3224)))),"Ambiguous",IF(ISNUMBER(SEARCH("平",B3224)),"平","仄")))</x:f>
        <x:v>仄</x:v>
      </x:c>
      <x:c r="K3224" s="6" t="str">
        <x:f>IF(D3224="","",IF(AND(ISNUMBER(SEARCH("平",D3224)),OR(ISNUMBER(SEARCH("上",D3224)),ISNUMBER(SEARCH("去",D3224)),ISNUMBER(SEARCH("入",D3224)))),"Ambiguous",IF(ISNUMBER(SEARCH("平",D3224)),"平","仄")))</x:f>
        <x:v>仄</x:v>
      </x:c>
      <x:c r="L3224" s="7" t="str"/>
    </x:row>
    <x:row r="3225">
      <x:c r="A3225" s="5" t="str">
        <x:v>者</x:v>
      </x:c>
      <x:c r="B3225" s="6" t="str">
        <x:v>上</x:v>
      </x:c>
      <x:c r="C3225" s="6" t="str">
        <x:f>IF(B3225="","Needs decision","Ready")</x:f>
        <x:v>Ready</x:v>
      </x:c>
      <x:c r="D3225" s="6" t="str">
        <x:v>上</x:v>
      </x:c>
      <x:c r="E3225" s="6" t="str">
        <x:v>tsyaeX (B)</x:v>
      </x:c>
      <x:c r="F3225" s="6" t="str">
        <x:v>上聲二十一馬</x:v>
      </x:c>
      <x:c r="G3225" s="6" t="str">
        <x:v>Pingshui main list, Wikisource-derived DOCX</x:v>
      </x:c>
      <x:c r="H3225" s="6" t="str">
        <x:v>1</x:v>
      </x:c>
      <x:c r="I3225" s="6" t="str"/>
      <x:c r="J3225" s="6" t="str">
        <x:f>IF(B3225="","",IF(AND(ISNUMBER(SEARCH("平",B3225)),OR(ISNUMBER(SEARCH("上",B3225)),ISNUMBER(SEARCH("去",B3225)),ISNUMBER(SEARCH("入",B3225)))),"Ambiguous",IF(ISNUMBER(SEARCH("平",B3225)),"平","仄")))</x:f>
        <x:v>仄</x:v>
      </x:c>
      <x:c r="K3225" s="6" t="str">
        <x:f>IF(D3225="","",IF(AND(ISNUMBER(SEARCH("平",D3225)),OR(ISNUMBER(SEARCH("上",D3225)),ISNUMBER(SEARCH("去",D3225)),ISNUMBER(SEARCH("入",D3225)))),"Ambiguous",IF(ISNUMBER(SEARCH("平",D3225)),"平","仄")))</x:f>
        <x:v>仄</x:v>
      </x:c>
      <x:c r="L3225" s="7" t="str"/>
    </x:row>
    <x:row r="3226">
      <x:c r="A3226" s="5" t="str">
        <x:v>耆</x:v>
      </x:c>
      <x:c r="B3226" s="6" t="str">
        <x:v>平</x:v>
      </x:c>
      <x:c r="C3226" s="6" t="str">
        <x:f>IF(B3226="","Needs decision","Ready")</x:f>
        <x:v>Ready</x:v>
      </x:c>
      <x:c r="D3226" s="6" t="str">
        <x:v>平</x:v>
      </x:c>
      <x:c r="E3226" s="6" t="str">
        <x:v>gij (A)</x:v>
      </x:c>
      <x:c r="F3226" s="6" t="str">
        <x:v>上平聲四支</x:v>
      </x:c>
      <x:c r="G3226" s="6" t="str">
        <x:v>Pingshui main list, Wikisource-derived DOCX</x:v>
      </x:c>
      <x:c r="H3226" s="6" t="str">
        <x:v>1</x:v>
      </x:c>
      <x:c r="I3226" s="6" t="str"/>
      <x:c r="J3226" s="6" t="str">
        <x:f>IF(B3226="","",IF(AND(ISNUMBER(SEARCH("平",B3226)),OR(ISNUMBER(SEARCH("上",B3226)),ISNUMBER(SEARCH("去",B3226)),ISNUMBER(SEARCH("入",B3226)))),"Ambiguous",IF(ISNUMBER(SEARCH("平",B3226)),"平","仄")))</x:f>
        <x:v>平</x:v>
      </x:c>
      <x:c r="K3226" s="6" t="str">
        <x:f>IF(D3226="","",IF(AND(ISNUMBER(SEARCH("平",D3226)),OR(ISNUMBER(SEARCH("上",D3226)),ISNUMBER(SEARCH("去",D3226)),ISNUMBER(SEARCH("入",D3226)))),"Ambiguous",IF(ISNUMBER(SEARCH("平",D3226)),"平","仄")))</x:f>
        <x:v>平</x:v>
      </x:c>
      <x:c r="L3226" s="7" t="str"/>
    </x:row>
    <x:row r="3227">
      <x:c r="A3227" s="5" t="str">
        <x:v>而</x:v>
      </x:c>
      <x:c r="B3227" s="6" t="str">
        <x:v>平</x:v>
      </x:c>
      <x:c r="C3227" s="6" t="str">
        <x:f>IF(B3227="","Needs decision","Ready")</x:f>
        <x:v>Ready</x:v>
      </x:c>
      <x:c r="D3227" s="6" t="str">
        <x:v>平</x:v>
      </x:c>
      <x:c r="E3227" s="6" t="str">
        <x:v>nyi (A)</x:v>
      </x:c>
      <x:c r="F3227" s="6" t="str">
        <x:v>上平聲四支</x:v>
      </x:c>
      <x:c r="G3227" s="6" t="str">
        <x:v>Pingshui main list, Wikisource-derived DOCX</x:v>
      </x:c>
      <x:c r="H3227" s="6" t="str">
        <x:v>1</x:v>
      </x:c>
      <x:c r="I3227" s="6" t="str"/>
      <x:c r="J3227" s="6" t="str">
        <x:f>IF(B3227="","",IF(AND(ISNUMBER(SEARCH("平",B3227)),OR(ISNUMBER(SEARCH("上",B3227)),ISNUMBER(SEARCH("去",B3227)),ISNUMBER(SEARCH("入",B3227)))),"Ambiguous",IF(ISNUMBER(SEARCH("平",B3227)),"平","仄")))</x:f>
        <x:v>平</x:v>
      </x:c>
      <x:c r="K3227" s="6" t="str">
        <x:f>IF(D3227="","",IF(AND(ISNUMBER(SEARCH("平",D3227)),OR(ISNUMBER(SEARCH("上",D3227)),ISNUMBER(SEARCH("去",D3227)),ISNUMBER(SEARCH("入",D3227)))),"Ambiguous",IF(ISNUMBER(SEARCH("平",D3227)),"平","仄")))</x:f>
        <x:v>平</x:v>
      </x:c>
      <x:c r="L3227" s="7" t="str"/>
    </x:row>
    <x:row r="3228">
      <x:c r="A3228" s="5" t="str">
        <x:v>耐</x:v>
      </x:c>
      <x:c r="B3228" s="6" t="str">
        <x:v>去</x:v>
      </x:c>
      <x:c r="C3228" s="6" t="str">
        <x:f>IF(B3228="","Needs decision","Ready")</x:f>
        <x:v>Ready</x:v>
      </x:c>
      <x:c r="D3228" s="6" t="str">
        <x:v>去</x:v>
      </x:c>
      <x:c r="E3228" s="6" t="str">
        <x:v>nojH (C)</x:v>
      </x:c>
      <x:c r="F3228" s="6" t="str">
        <x:v>去聲十一隊</x:v>
      </x:c>
      <x:c r="G3228" s="6" t="str">
        <x:v>Pingshui main list, Wikisource-derived DOCX</x:v>
      </x:c>
      <x:c r="H3228" s="6" t="str">
        <x:v>1</x:v>
      </x:c>
      <x:c r="I3228" s="6" t="str"/>
      <x:c r="J3228" s="6" t="str">
        <x:f>IF(B3228="","",IF(AND(ISNUMBER(SEARCH("平",B3228)),OR(ISNUMBER(SEARCH("上",B3228)),ISNUMBER(SEARCH("去",B3228)),ISNUMBER(SEARCH("入",B3228)))),"Ambiguous",IF(ISNUMBER(SEARCH("平",B3228)),"平","仄")))</x:f>
        <x:v>仄</x:v>
      </x:c>
      <x:c r="K3228" s="6" t="str">
        <x:f>IF(D3228="","",IF(AND(ISNUMBER(SEARCH("平",D3228)),OR(ISNUMBER(SEARCH("上",D3228)),ISNUMBER(SEARCH("去",D3228)),ISNUMBER(SEARCH("入",D3228)))),"Ambiguous",IF(ISNUMBER(SEARCH("平",D3228)),"平","仄")))</x:f>
        <x:v>仄</x:v>
      </x:c>
      <x:c r="L3228" s="7" t="str"/>
    </x:row>
    <x:row r="3229">
      <x:c r="A3229" s="5" t="str">
        <x:v>耑</x:v>
      </x:c>
      <x:c r="B3229" s="6" t="str">
        <x:v>平</x:v>
      </x:c>
      <x:c r="C3229" s="6" t="str">
        <x:f>IF(B3229="","Needs decision","Ready")</x:f>
        <x:v>Ready</x:v>
      </x:c>
      <x:c r="D3229" s="6" t="str">
        <x:v>平</x:v>
      </x:c>
      <x:c r="E3229" s="6" t="str">
        <x:v>twan (A)</x:v>
      </x:c>
      <x:c r="F3229" s="6" t="str"/>
      <x:c r="G3229" s="6" t="str"/>
      <x:c r="H3229" s="6" t="str">
        <x:v>1</x:v>
      </x:c>
      <x:c r="I3229" s="6" t="str"/>
      <x:c r="J3229" s="6" t="str">
        <x:f>IF(B3229="","",IF(AND(ISNUMBER(SEARCH("平",B3229)),OR(ISNUMBER(SEARCH("上",B3229)),ISNUMBER(SEARCH("去",B3229)),ISNUMBER(SEARCH("入",B3229)))),"Ambiguous",IF(ISNUMBER(SEARCH("平",B3229)),"平","仄")))</x:f>
        <x:v>平</x:v>
      </x:c>
      <x:c r="K3229" s="6" t="str">
        <x:f>IF(D3229="","",IF(AND(ISNUMBER(SEARCH("平",D3229)),OR(ISNUMBER(SEARCH("上",D3229)),ISNUMBER(SEARCH("去",D3229)),ISNUMBER(SEARCH("入",D3229)))),"Ambiguous",IF(ISNUMBER(SEARCH("平",D3229)),"平","仄")))</x:f>
        <x:v>平</x:v>
      </x:c>
      <x:c r="L3229" s="7" t="str"/>
    </x:row>
    <x:row r="3230">
      <x:c r="A3230" s="5" t="str">
        <x:v>耕</x:v>
      </x:c>
      <x:c r="B3230" s="6" t="str">
        <x:v>平</x:v>
      </x:c>
      <x:c r="C3230" s="6" t="str">
        <x:f>IF(B3230="","Needs decision","Ready")</x:f>
        <x:v>Ready</x:v>
      </x:c>
      <x:c r="D3230" s="6" t="str">
        <x:v>平</x:v>
      </x:c>
      <x:c r="E3230" s="6" t="str">
        <x:v>keang (A)</x:v>
      </x:c>
      <x:c r="F3230" s="6" t="str">
        <x:v>下平聲八庚</x:v>
      </x:c>
      <x:c r="G3230" s="6" t="str">
        <x:v>Pingshui main list, Wikisource-derived DOCX</x:v>
      </x:c>
      <x:c r="H3230" s="6" t="str">
        <x:v>1</x:v>
      </x:c>
      <x:c r="I3230" s="6" t="str"/>
      <x:c r="J3230" s="6" t="str">
        <x:f>IF(B3230="","",IF(AND(ISNUMBER(SEARCH("平",B3230)),OR(ISNUMBER(SEARCH("上",B3230)),ISNUMBER(SEARCH("去",B3230)),ISNUMBER(SEARCH("入",B3230)))),"Ambiguous",IF(ISNUMBER(SEARCH("平",B3230)),"平","仄")))</x:f>
        <x:v>平</x:v>
      </x:c>
      <x:c r="K3230" s="6" t="str">
        <x:f>IF(D3230="","",IF(AND(ISNUMBER(SEARCH("平",D3230)),OR(ISNUMBER(SEARCH("上",D3230)),ISNUMBER(SEARCH("去",D3230)),ISNUMBER(SEARCH("入",D3230)))),"Ambiguous",IF(ISNUMBER(SEARCH("平",D3230)),"平","仄")))</x:f>
        <x:v>平</x:v>
      </x:c>
      <x:c r="L3230" s="7" t="str"/>
    </x:row>
    <x:row r="3231">
      <x:c r="A3231" s="5" t="str">
        <x:v>耙</x:v>
      </x:c>
      <x:c r="B3231" s="6" t="str">
        <x:v>平</x:v>
      </x:c>
      <x:c r="C3231" s="6" t="str">
        <x:f>IF(B3231="","Needs decision","Ready")</x:f>
        <x:v>Ready</x:v>
      </x:c>
      <x:c r="D3231" s="6" t="str">
        <x:v>平</x:v>
      </x:c>
      <x:c r="E3231" s="6" t="str">
        <x:v>bae (A)</x:v>
      </x:c>
      <x:c r="F3231" s="6" t="str"/>
      <x:c r="G3231" s="6" t="str"/>
      <x:c r="H3231" s="6" t="str">
        <x:v>1</x:v>
      </x:c>
      <x:c r="I3231" s="6" t="str"/>
      <x:c r="J3231" s="6" t="str">
        <x:f>IF(B3231="","",IF(AND(ISNUMBER(SEARCH("平",B3231)),OR(ISNUMBER(SEARCH("上",B3231)),ISNUMBER(SEARCH("去",B3231)),ISNUMBER(SEARCH("入",B3231)))),"Ambiguous",IF(ISNUMBER(SEARCH("平",B3231)),"平","仄")))</x:f>
        <x:v>平</x:v>
      </x:c>
      <x:c r="K3231" s="6" t="str">
        <x:f>IF(D3231="","",IF(AND(ISNUMBER(SEARCH("平",D3231)),OR(ISNUMBER(SEARCH("上",D3231)),ISNUMBER(SEARCH("去",D3231)),ISNUMBER(SEARCH("入",D3231)))),"Ambiguous",IF(ISNUMBER(SEARCH("平",D3231)),"平","仄")))</x:f>
        <x:v>平</x:v>
      </x:c>
      <x:c r="L3231" s="7" t="str"/>
    </x:row>
    <x:row r="3232">
      <x:c r="A3232" s="5" t="str">
        <x:v>耜</x:v>
      </x:c>
      <x:c r="B3232" s="6" t="str">
        <x:v>上</x:v>
      </x:c>
      <x:c r="C3232" s="6" t="str">
        <x:f>IF(B3232="","Needs decision","Ready")</x:f>
        <x:v>Ready</x:v>
      </x:c>
      <x:c r="D3232" s="6" t="str">
        <x:v>上</x:v>
      </x:c>
      <x:c r="E3232" s="6" t="str">
        <x:v>ziX (B)</x:v>
      </x:c>
      <x:c r="F3232" s="6" t="str">
        <x:v>上聲四紙</x:v>
      </x:c>
      <x:c r="G3232" s="6" t="str">
        <x:v>Pingshui main list, Wikisource-derived DOCX</x:v>
      </x:c>
      <x:c r="H3232" s="6" t="str">
        <x:v>1</x:v>
      </x:c>
      <x:c r="I3232" s="6" t="str"/>
      <x:c r="J3232" s="6" t="str">
        <x:f>IF(B3232="","",IF(AND(ISNUMBER(SEARCH("平",B3232)),OR(ISNUMBER(SEARCH("上",B3232)),ISNUMBER(SEARCH("去",B3232)),ISNUMBER(SEARCH("入",B3232)))),"Ambiguous",IF(ISNUMBER(SEARCH("平",B3232)),"平","仄")))</x:f>
        <x:v>仄</x:v>
      </x:c>
      <x:c r="K3232" s="6" t="str">
        <x:f>IF(D3232="","",IF(AND(ISNUMBER(SEARCH("平",D3232)),OR(ISNUMBER(SEARCH("上",D3232)),ISNUMBER(SEARCH("去",D3232)),ISNUMBER(SEARCH("入",D3232)))),"Ambiguous",IF(ISNUMBER(SEARCH("平",D3232)),"平","仄")))</x:f>
        <x:v>仄</x:v>
      </x:c>
      <x:c r="L3232" s="7" t="str"/>
    </x:row>
    <x:row r="3233">
      <x:c r="A3233" s="5" t="str">
        <x:v>耦</x:v>
      </x:c>
      <x:c r="B3233" s="6" t="str">
        <x:v>上</x:v>
      </x:c>
      <x:c r="C3233" s="6" t="str">
        <x:f>IF(B3233="","Needs decision","Ready")</x:f>
        <x:v>Ready</x:v>
      </x:c>
      <x:c r="D3233" s="6" t="str">
        <x:v>上</x:v>
      </x:c>
      <x:c r="E3233" s="6" t="str">
        <x:v>nguwX (B)</x:v>
      </x:c>
      <x:c r="F3233" s="6" t="str">
        <x:v>上聲二十五有</x:v>
      </x:c>
      <x:c r="G3233" s="6" t="str">
        <x:v>Pingshui main list, Wikisource-derived DOCX</x:v>
      </x:c>
      <x:c r="H3233" s="6" t="str">
        <x:v>1</x:v>
      </x:c>
      <x:c r="I3233" s="6" t="str"/>
      <x:c r="J3233" s="6" t="str">
        <x:f>IF(B3233="","",IF(AND(ISNUMBER(SEARCH("平",B3233)),OR(ISNUMBER(SEARCH("上",B3233)),ISNUMBER(SEARCH("去",B3233)),ISNUMBER(SEARCH("入",B3233)))),"Ambiguous",IF(ISNUMBER(SEARCH("平",B3233)),"平","仄")))</x:f>
        <x:v>仄</x:v>
      </x:c>
      <x:c r="K3233" s="6" t="str">
        <x:f>IF(D3233="","",IF(AND(ISNUMBER(SEARCH("平",D3233)),OR(ISNUMBER(SEARCH("上",D3233)),ISNUMBER(SEARCH("去",D3233)),ISNUMBER(SEARCH("入",D3233)))),"Ambiguous",IF(ISNUMBER(SEARCH("平",D3233)),"平","仄")))</x:f>
        <x:v>仄</x:v>
      </x:c>
      <x:c r="L3233" s="7" t="str"/>
    </x:row>
    <x:row r="3234">
      <x:c r="A3234" s="5" t="str">
        <x:v>耨</x:v>
      </x:c>
      <x:c r="B3234" s="6" t="str">
        <x:v>去</x:v>
      </x:c>
      <x:c r="C3234" s="6" t="str">
        <x:f>IF(B3234="","Needs decision","Ready")</x:f>
        <x:v>Ready</x:v>
      </x:c>
      <x:c r="D3234" s="6" t="str">
        <x:v>去</x:v>
      </x:c>
      <x:c r="E3234" s="6" t="str">
        <x:v>nuwH (C)</x:v>
      </x:c>
      <x:c r="F3234" s="6" t="str"/>
      <x:c r="G3234" s="6" t="str"/>
      <x:c r="H3234" s="6" t="str">
        <x:v>1</x:v>
      </x:c>
      <x:c r="I3234" s="6" t="str"/>
      <x:c r="J3234" s="6" t="str">
        <x:f>IF(B3234="","",IF(AND(ISNUMBER(SEARCH("平",B3234)),OR(ISNUMBER(SEARCH("上",B3234)),ISNUMBER(SEARCH("去",B3234)),ISNUMBER(SEARCH("入",B3234)))),"Ambiguous",IF(ISNUMBER(SEARCH("平",B3234)),"平","仄")))</x:f>
        <x:v>仄</x:v>
      </x:c>
      <x:c r="K3234" s="6" t="str">
        <x:f>IF(D3234="","",IF(AND(ISNUMBER(SEARCH("平",D3234)),OR(ISNUMBER(SEARCH("上",D3234)),ISNUMBER(SEARCH("去",D3234)),ISNUMBER(SEARCH("入",D3234)))),"Ambiguous",IF(ISNUMBER(SEARCH("平",D3234)),"平","仄")))</x:f>
        <x:v>仄</x:v>
      </x:c>
      <x:c r="L3234" s="7" t="str"/>
    </x:row>
    <x:row r="3235">
      <x:c r="A3235" s="5" t="str">
        <x:v>耳</x:v>
      </x:c>
      <x:c r="B3235" s="6" t="str">
        <x:v>上</x:v>
      </x:c>
      <x:c r="C3235" s="6" t="str">
        <x:f>IF(B3235="","Needs decision","Ready")</x:f>
        <x:v>Ready</x:v>
      </x:c>
      <x:c r="D3235" s="6" t="str">
        <x:v>上</x:v>
      </x:c>
      <x:c r="E3235" s="6" t="str">
        <x:v>nyiX (B)</x:v>
      </x:c>
      <x:c r="F3235" s="6" t="str">
        <x:v>上聲四紙</x:v>
      </x:c>
      <x:c r="G3235" s="6" t="str">
        <x:v>Pingshui main list, Wikisource-derived DOCX</x:v>
      </x:c>
      <x:c r="H3235" s="6" t="str">
        <x:v>1</x:v>
      </x:c>
      <x:c r="I3235" s="6" t="str"/>
      <x:c r="J3235" s="6" t="str">
        <x:f>IF(B3235="","",IF(AND(ISNUMBER(SEARCH("平",B3235)),OR(ISNUMBER(SEARCH("上",B3235)),ISNUMBER(SEARCH("去",B3235)),ISNUMBER(SEARCH("入",B3235)))),"Ambiguous",IF(ISNUMBER(SEARCH("平",B3235)),"平","仄")))</x:f>
        <x:v>仄</x:v>
      </x:c>
      <x:c r="K3235" s="6" t="str">
        <x:f>IF(D3235="","",IF(AND(ISNUMBER(SEARCH("平",D3235)),OR(ISNUMBER(SEARCH("上",D3235)),ISNUMBER(SEARCH("去",D3235)),ISNUMBER(SEARCH("入",D3235)))),"Ambiguous",IF(ISNUMBER(SEARCH("平",D3235)),"平","仄")))</x:f>
        <x:v>仄</x:v>
      </x:c>
      <x:c r="L3235" s="7" t="str"/>
    </x:row>
    <x:row r="3236">
      <x:c r="A3236" s="5" t="str">
        <x:v>耴</x:v>
      </x:c>
      <x:c r="B3236" s="6" t="str">
        <x:v>入</x:v>
      </x:c>
      <x:c r="C3236" s="6" t="str">
        <x:f>IF(B3236="","Needs decision","Ready")</x:f>
        <x:v>Ready</x:v>
      </x:c>
      <x:c r="D3236" s="6" t="str">
        <x:v>入</x:v>
      </x:c>
      <x:c r="E3236" s="6" t="str">
        <x:v>trjep (D)</x:v>
      </x:c>
      <x:c r="F3236" s="6" t="str">
        <x:v>入聲四質</x:v>
      </x:c>
      <x:c r="G3236" s="6" t="str">
        <x:v>Pingshui main list, Wikisource-derived DOCX</x:v>
      </x:c>
      <x:c r="H3236" s="6" t="str">
        <x:v>1</x:v>
      </x:c>
      <x:c r="I3236" s="6" t="str"/>
      <x:c r="J3236" s="6" t="str">
        <x:f>IF(B3236="","",IF(AND(ISNUMBER(SEARCH("平",B3236)),OR(ISNUMBER(SEARCH("上",B3236)),ISNUMBER(SEARCH("去",B3236)),ISNUMBER(SEARCH("入",B3236)))),"Ambiguous",IF(ISNUMBER(SEARCH("平",B3236)),"平","仄")))</x:f>
        <x:v>仄</x:v>
      </x:c>
      <x:c r="K3236" s="6" t="str">
        <x:f>IF(D3236="","",IF(AND(ISNUMBER(SEARCH("平",D3236)),OR(ISNUMBER(SEARCH("上",D3236)),ISNUMBER(SEARCH("去",D3236)),ISNUMBER(SEARCH("入",D3236)))),"Ambiguous",IF(ISNUMBER(SEARCH("平",D3236)),"平","仄")))</x:f>
        <x:v>仄</x:v>
      </x:c>
      <x:c r="L3236" s="7" t="str"/>
    </x:row>
    <x:row r="3237">
      <x:c r="A3237" s="5" t="str">
        <x:v>耶</x:v>
      </x:c>
      <x:c r="B3237" s="6" t="str">
        <x:v>平</x:v>
      </x:c>
      <x:c r="C3237" s="6" t="str">
        <x:f>IF(B3237="","Needs decision","Ready")</x:f>
        <x:v>Ready</x:v>
      </x:c>
      <x:c r="D3237" s="6" t="str">
        <x:v>平</x:v>
      </x:c>
      <x:c r="E3237" s="6" t="str">
        <x:v>yae [ja] (平)</x:v>
      </x:c>
      <x:c r="F3237" s="6" t="str">
        <x:v>下平聲六麻</x:v>
      </x:c>
      <x:c r="G3237" s="6" t="str">
        <x:v>Pingshui main list, Wikisource-derived DOCX</x:v>
      </x:c>
      <x:c r="H3237" s="6" t="str">
        <x:v>1</x:v>
      </x:c>
      <x:c r="I3237" s="6" t="str">
        <x:v>Tang 300 gap; frequency 1; provisional from Xun Gong</x:v>
      </x:c>
      <x:c r="J3237" s="6" t="str">
        <x:f>IF(B3237="","",IF(AND(ISNUMBER(SEARCH("平",B3237)),OR(ISNUMBER(SEARCH("上",B3237)),ISNUMBER(SEARCH("去",B3237)),ISNUMBER(SEARCH("入",B3237)))),"Ambiguous",IF(ISNUMBER(SEARCH("平",B3237)),"平","仄")))</x:f>
        <x:v>平</x:v>
      </x:c>
      <x:c r="K3237" s="6" t="str">
        <x:f>IF(D3237="","",IF(AND(ISNUMBER(SEARCH("平",D3237)),OR(ISNUMBER(SEARCH("上",D3237)),ISNUMBER(SEARCH("去",D3237)),ISNUMBER(SEARCH("入",D3237)))),"Ambiguous",IF(ISNUMBER(SEARCH("平",D3237)),"平","仄")))</x:f>
        <x:v>平</x:v>
      </x:c>
      <x:c r="L3237" s="7" t="str">
        <x:v>Xun Gong, Tang 300 gap fill</x:v>
      </x:c>
    </x:row>
    <x:row r="3238">
      <x:c r="A3238" s="5" t="str">
        <x:v>耽</x:v>
      </x:c>
      <x:c r="B3238" s="6" t="str">
        <x:v>平</x:v>
      </x:c>
      <x:c r="C3238" s="6" t="str">
        <x:f>IF(B3238="","Needs decision","Ready")</x:f>
        <x:v>Ready</x:v>
      </x:c>
      <x:c r="D3238" s="6" t="str">
        <x:v>平</x:v>
      </x:c>
      <x:c r="E3238" s="6" t="str">
        <x:v>tom (A)</x:v>
      </x:c>
      <x:c r="F3238" s="6" t="str">
        <x:v>下平聲十三覃</x:v>
      </x:c>
      <x:c r="G3238" s="6" t="str">
        <x:v>Pingshui main list, Wikisource-derived DOCX</x:v>
      </x:c>
      <x:c r="H3238" s="6" t="str">
        <x:v>1</x:v>
      </x:c>
      <x:c r="I3238" s="6" t="str"/>
      <x:c r="J3238" s="6" t="str">
        <x:f>IF(B3238="","",IF(AND(ISNUMBER(SEARCH("平",B3238)),OR(ISNUMBER(SEARCH("上",B3238)),ISNUMBER(SEARCH("去",B3238)),ISNUMBER(SEARCH("入",B3238)))),"Ambiguous",IF(ISNUMBER(SEARCH("平",B3238)),"平","仄")))</x:f>
        <x:v>平</x:v>
      </x:c>
      <x:c r="K3238" s="6" t="str">
        <x:f>IF(D3238="","",IF(AND(ISNUMBER(SEARCH("平",D3238)),OR(ISNUMBER(SEARCH("上",D3238)),ISNUMBER(SEARCH("去",D3238)),ISNUMBER(SEARCH("入",D3238)))),"Ambiguous",IF(ISNUMBER(SEARCH("平",D3238)),"平","仄")))</x:f>
        <x:v>平</x:v>
      </x:c>
      <x:c r="L3238" s="7" t="str"/>
    </x:row>
    <x:row r="3239">
      <x:c r="A3239" s="5" t="str">
        <x:v>耿</x:v>
      </x:c>
      <x:c r="B3239" s="6" t="str">
        <x:v>上</x:v>
      </x:c>
      <x:c r="C3239" s="6" t="str">
        <x:f>IF(B3239="","Needs decision","Ready")</x:f>
        <x:v>Ready</x:v>
      </x:c>
      <x:c r="D3239" s="6" t="str">
        <x:v>上</x:v>
      </x:c>
      <x:c r="E3239" s="6" t="str">
        <x:v>keangX (B)</x:v>
      </x:c>
      <x:c r="F3239" s="6" t="str">
        <x:v>上聲二十三梗</x:v>
      </x:c>
      <x:c r="G3239" s="6" t="str">
        <x:v>Pingshui main list, Wikisource-derived DOCX</x:v>
      </x:c>
      <x:c r="H3239" s="6" t="str">
        <x:v>1</x:v>
      </x:c>
      <x:c r="I3239" s="6" t="str"/>
      <x:c r="J3239" s="6" t="str">
        <x:f>IF(B3239="","",IF(AND(ISNUMBER(SEARCH("平",B3239)),OR(ISNUMBER(SEARCH("上",B3239)),ISNUMBER(SEARCH("去",B3239)),ISNUMBER(SEARCH("入",B3239)))),"Ambiguous",IF(ISNUMBER(SEARCH("平",B3239)),"平","仄")))</x:f>
        <x:v>仄</x:v>
      </x:c>
      <x:c r="K3239" s="6" t="str">
        <x:f>IF(D3239="","",IF(AND(ISNUMBER(SEARCH("平",D3239)),OR(ISNUMBER(SEARCH("上",D3239)),ISNUMBER(SEARCH("去",D3239)),ISNUMBER(SEARCH("入",D3239)))),"Ambiguous",IF(ISNUMBER(SEARCH("平",D3239)),"平","仄")))</x:f>
        <x:v>仄</x:v>
      </x:c>
      <x:c r="L3239" s="7" t="str"/>
    </x:row>
    <x:row r="3240">
      <x:c r="A3240" s="5" t="str">
        <x:v>聆</x:v>
      </x:c>
      <x:c r="B3240" s="6" t="str">
        <x:v>平</x:v>
      </x:c>
      <x:c r="C3240" s="6" t="str">
        <x:f>IF(B3240="","Needs decision","Ready")</x:f>
        <x:v>Ready</x:v>
      </x:c>
      <x:c r="D3240" s="6" t="str">
        <x:v>平</x:v>
      </x:c>
      <x:c r="E3240" s="6" t="str">
        <x:v>leng [l̙eŋ] (平)</x:v>
      </x:c>
      <x:c r="F3240" s="6" t="str">
        <x:v>下平聲九青</x:v>
      </x:c>
      <x:c r="G3240" s="6" t="str">
        <x:v>Pingshui main list, Wikisource-derived DOCX</x:v>
      </x:c>
      <x:c r="H3240" s="6" t="str">
        <x:v>1</x:v>
      </x:c>
      <x:c r="I3240" s="6" t="str">
        <x:v>Tang 300 gap; frequency 1; provisional from Xun Gong</x:v>
      </x:c>
      <x:c r="J3240" s="6" t="str">
        <x:f>IF(B3240="","",IF(AND(ISNUMBER(SEARCH("平",B3240)),OR(ISNUMBER(SEARCH("上",B3240)),ISNUMBER(SEARCH("去",B3240)),ISNUMBER(SEARCH("入",B3240)))),"Ambiguous",IF(ISNUMBER(SEARCH("平",B3240)),"平","仄")))</x:f>
        <x:v>平</x:v>
      </x:c>
      <x:c r="K3240" s="6" t="str">
        <x:f>IF(D3240="","",IF(AND(ISNUMBER(SEARCH("平",D3240)),OR(ISNUMBER(SEARCH("上",D3240)),ISNUMBER(SEARCH("去",D3240)),ISNUMBER(SEARCH("入",D3240)))),"Ambiguous",IF(ISNUMBER(SEARCH("平",D3240)),"平","仄")))</x:f>
        <x:v>平</x:v>
      </x:c>
      <x:c r="L3240" s="7" t="str">
        <x:v>Xun Gong, Tang 300 gap fill</x:v>
      </x:c>
    </x:row>
    <x:row r="3241">
      <x:c r="A3241" s="5" t="str">
        <x:v>聊</x:v>
      </x:c>
      <x:c r="B3241" s="6" t="str">
        <x:v>平</x:v>
      </x:c>
      <x:c r="C3241" s="6" t="str">
        <x:f>IF(B3241="","Needs decision","Ready")</x:f>
        <x:v>Ready</x:v>
      </x:c>
      <x:c r="D3241" s="6" t="str">
        <x:v>平</x:v>
      </x:c>
      <x:c r="E3241" s="6" t="str">
        <x:v>lew (A)</x:v>
      </x:c>
      <x:c r="F3241" s="6" t="str">
        <x:v>下平聲二蕭</x:v>
      </x:c>
      <x:c r="G3241" s="6" t="str">
        <x:v>Pingshui main list, Wikisource-derived DOCX</x:v>
      </x:c>
      <x:c r="H3241" s="6" t="str">
        <x:v>1</x:v>
      </x:c>
      <x:c r="I3241" s="6" t="str"/>
      <x:c r="J3241" s="6" t="str">
        <x:f>IF(B3241="","",IF(AND(ISNUMBER(SEARCH("平",B3241)),OR(ISNUMBER(SEARCH("上",B3241)),ISNUMBER(SEARCH("去",B3241)),ISNUMBER(SEARCH("入",B3241)))),"Ambiguous",IF(ISNUMBER(SEARCH("平",B3241)),"平","仄")))</x:f>
        <x:v>平</x:v>
      </x:c>
      <x:c r="K3241" s="6" t="str">
        <x:f>IF(D3241="","",IF(AND(ISNUMBER(SEARCH("平",D3241)),OR(ISNUMBER(SEARCH("上",D3241)),ISNUMBER(SEARCH("去",D3241)),ISNUMBER(SEARCH("入",D3241)))),"Ambiguous",IF(ISNUMBER(SEARCH("平",D3241)),"平","仄")))</x:f>
        <x:v>平</x:v>
      </x:c>
      <x:c r="L3241" s="7" t="str"/>
    </x:row>
    <x:row r="3242">
      <x:c r="A3242" s="5" t="str">
        <x:v>聖</x:v>
      </x:c>
      <x:c r="B3242" s="6" t="str">
        <x:v>去</x:v>
      </x:c>
      <x:c r="C3242" s="6" t="str">
        <x:f>IF(B3242="","Needs decision","Ready")</x:f>
        <x:v>Ready</x:v>
      </x:c>
      <x:c r="D3242" s="6" t="str">
        <x:v>去</x:v>
      </x:c>
      <x:c r="E3242" s="6" t="str">
        <x:v>syengH (C)</x:v>
      </x:c>
      <x:c r="F3242" s="6" t="str">
        <x:v>去聲二十四敬</x:v>
      </x:c>
      <x:c r="G3242" s="6" t="str">
        <x:v>Pingshui main list, Wikisource-derived DOCX</x:v>
      </x:c>
      <x:c r="H3242" s="6" t="str">
        <x:v>1</x:v>
      </x:c>
      <x:c r="I3242" s="6" t="str"/>
      <x:c r="J3242" s="6" t="str">
        <x:f>IF(B3242="","",IF(AND(ISNUMBER(SEARCH("平",B3242)),OR(ISNUMBER(SEARCH("上",B3242)),ISNUMBER(SEARCH("去",B3242)),ISNUMBER(SEARCH("入",B3242)))),"Ambiguous",IF(ISNUMBER(SEARCH("平",B3242)),"平","仄")))</x:f>
        <x:v>仄</x:v>
      </x:c>
      <x:c r="K3242" s="6" t="str">
        <x:f>IF(D3242="","",IF(AND(ISNUMBER(SEARCH("平",D3242)),OR(ISNUMBER(SEARCH("上",D3242)),ISNUMBER(SEARCH("去",D3242)),ISNUMBER(SEARCH("入",D3242)))),"Ambiguous",IF(ISNUMBER(SEARCH("平",D3242)),"平","仄")))</x:f>
        <x:v>仄</x:v>
      </x:c>
      <x:c r="L3242" s="7" t="str"/>
    </x:row>
    <x:row r="3243">
      <x:c r="A3243" s="5" t="str">
        <x:v>聘</x:v>
      </x:c>
      <x:c r="B3243" s="6" t="str">
        <x:v>去</x:v>
      </x:c>
      <x:c r="C3243" s="6" t="str">
        <x:f>IF(B3243="","Needs decision","Ready")</x:f>
        <x:v>Ready</x:v>
      </x:c>
      <x:c r="D3243" s="6" t="str">
        <x:v>去</x:v>
      </x:c>
      <x:c r="E3243" s="6" t="str">
        <x:v>pjiengH (C)</x:v>
      </x:c>
      <x:c r="F3243" s="6" t="str">
        <x:v>去聲二十四敬</x:v>
      </x:c>
      <x:c r="G3243" s="6" t="str">
        <x:v>Pingshui main list, Wikisource-derived DOCX</x:v>
      </x:c>
      <x:c r="H3243" s="6" t="str">
        <x:v>1</x:v>
      </x:c>
      <x:c r="I3243" s="6" t="str"/>
      <x:c r="J3243" s="6" t="str">
        <x:f>IF(B3243="","",IF(AND(ISNUMBER(SEARCH("平",B3243)),OR(ISNUMBER(SEARCH("上",B3243)),ISNUMBER(SEARCH("去",B3243)),ISNUMBER(SEARCH("入",B3243)))),"Ambiguous",IF(ISNUMBER(SEARCH("平",B3243)),"平","仄")))</x:f>
        <x:v>仄</x:v>
      </x:c>
      <x:c r="K3243" s="6" t="str">
        <x:f>IF(D3243="","",IF(AND(ISNUMBER(SEARCH("平",D3243)),OR(ISNUMBER(SEARCH("上",D3243)),ISNUMBER(SEARCH("去",D3243)),ISNUMBER(SEARCH("入",D3243)))),"Ambiguous",IF(ISNUMBER(SEARCH("平",D3243)),"平","仄")))</x:f>
        <x:v>仄</x:v>
      </x:c>
      <x:c r="L3243" s="7" t="str"/>
    </x:row>
    <x:row r="3244">
      <x:c r="A3244" s="5" t="str">
        <x:v>聚</x:v>
      </x:c>
      <x:c r="B3244" s="6" t="str">
        <x:v>上</x:v>
      </x:c>
      <x:c r="C3244" s="6" t="str">
        <x:f>IF(B3244="","Needs decision","Ready")</x:f>
        <x:v>Ready</x:v>
      </x:c>
      <x:c r="D3244" s="6" t="str">
        <x:v>上/去</x:v>
      </x:c>
      <x:c r="E3244" s="6" t="str">
        <x:v>dzjuX (B); dzjuH (C)</x:v>
      </x:c>
      <x:c r="F3244" s="6" t="str">
        <x:v>上聲七麌</x:v>
      </x:c>
      <x:c r="G3244" s="6" t="str">
        <x:v>Pingshui main list, Wikisource-derived DOCX</x:v>
      </x:c>
      <x:c r="H3244" s="6" t="str">
        <x:v>2</x:v>
      </x:c>
      <x:c r="I3244" s="6" t="str">
        <x:v>Manual user correction/addition</x:v>
      </x:c>
      <x:c r="J3244" s="6" t="str">
        <x:f>IF(B3244="","",IF(AND(ISNUMBER(SEARCH("平",B3244)),OR(ISNUMBER(SEARCH("上",B3244)),ISNUMBER(SEARCH("去",B3244)),ISNUMBER(SEARCH("入",B3244)))),"Ambiguous",IF(ISNUMBER(SEARCH("平",B3244)),"平","仄")))</x:f>
        <x:v>仄</x:v>
      </x:c>
      <x:c r="K3244" s="6" t="str">
        <x:f>IF(D3244="","",IF(AND(ISNUMBER(SEARCH("平",D3244)),OR(ISNUMBER(SEARCH("上",D3244)),ISNUMBER(SEARCH("去",D3244)),ISNUMBER(SEARCH("入",D3244)))),"Ambiguous",IF(ISNUMBER(SEARCH("平",D3244)),"平","仄")))</x:f>
        <x:v>仄</x:v>
      </x:c>
      <x:c r="L3244" s="7" t="str">
        <x:v>manual user correction</x:v>
      </x:c>
    </x:row>
    <x:row r="3245">
      <x:c r="A3245" s="5" t="str">
        <x:v>聞</x:v>
      </x:c>
      <x:c r="B3245" s="6" t="str">
        <x:v>平</x:v>
      </x:c>
      <x:c r="C3245" s="6" t="str">
        <x:f>IF(B3245="","Needs decision","Ready")</x:f>
        <x:v>Ready</x:v>
      </x:c>
      <x:c r="D3245" s="6" t="str">
        <x:v>平</x:v>
      </x:c>
      <x:c r="E3245" s="6" t="str">
        <x:v>mjun (A)</x:v>
      </x:c>
      <x:c r="F3245" s="6" t="str">
        <x:v>上平聲十二文; 去聲十三問</x:v>
      </x:c>
      <x:c r="G3245" s="6" t="str">
        <x:v>Pingshui main list, Wikisource-derived DOCX</x:v>
      </x:c>
      <x:c r="H3245" s="6" t="str">
        <x:v>1</x:v>
      </x:c>
      <x:c r="I3245" s="6" t="str"/>
      <x:c r="J3245" s="6" t="str">
        <x:f>IF(B3245="","",IF(AND(ISNUMBER(SEARCH("平",B3245)),OR(ISNUMBER(SEARCH("上",B3245)),ISNUMBER(SEARCH("去",B3245)),ISNUMBER(SEARCH("入",B3245)))),"Ambiguous",IF(ISNUMBER(SEARCH("平",B3245)),"平","仄")))</x:f>
        <x:v>平</x:v>
      </x:c>
      <x:c r="K3245" s="6" t="str">
        <x:f>IF(D3245="","",IF(AND(ISNUMBER(SEARCH("平",D3245)),OR(ISNUMBER(SEARCH("上",D3245)),ISNUMBER(SEARCH("去",D3245)),ISNUMBER(SEARCH("入",D3245)))),"Ambiguous",IF(ISNUMBER(SEARCH("平",D3245)),"平","仄")))</x:f>
        <x:v>平</x:v>
      </x:c>
      <x:c r="L3245" s="7" t="str"/>
    </x:row>
    <x:row r="3246">
      <x:c r="A3246" s="5" t="str">
        <x:v>聯</x:v>
      </x:c>
      <x:c r="B3246" s="6" t="str">
        <x:v>平</x:v>
      </x:c>
      <x:c r="C3246" s="6" t="str">
        <x:f>IF(B3246="","Needs decision","Ready")</x:f>
        <x:v>Ready</x:v>
      </x:c>
      <x:c r="D3246" s="6" t="str">
        <x:v>平</x:v>
      </x:c>
      <x:c r="E3246" s="6" t="str"/>
      <x:c r="F3246" s="6" t="str">
        <x:v>下平聲一先</x:v>
      </x:c>
      <x:c r="G3246" s="6" t="str">
        <x:v>Pingshui main list, Wikisource-derived DOCX</x:v>
      </x:c>
      <x:c r="H3246" s="6" t="str"/>
      <x:c r="I3246" s="6" t="str">
        <x:v>Manual user correction/addition</x:v>
      </x:c>
      <x:c r="J3246" s="6" t="str">
        <x:f>IF(B3246="","",IF(AND(ISNUMBER(SEARCH("平",B3246)),OR(ISNUMBER(SEARCH("上",B3246)),ISNUMBER(SEARCH("去",B3246)),ISNUMBER(SEARCH("入",B3246)))),"Ambiguous",IF(ISNUMBER(SEARCH("平",B3246)),"平","仄")))</x:f>
        <x:v>平</x:v>
      </x:c>
      <x:c r="K3246" s="6" t="str">
        <x:f>IF(D3246="","",IF(AND(ISNUMBER(SEARCH("平",D3246)),OR(ISNUMBER(SEARCH("上",D3246)),ISNUMBER(SEARCH("去",D3246)),ISNUMBER(SEARCH("入",D3246)))),"Ambiguous",IF(ISNUMBER(SEARCH("平",D3246)),"平","仄")))</x:f>
        <x:v>平</x:v>
      </x:c>
      <x:c r="L3246" s="7" t="str">
        <x:v>manual user correction</x:v>
      </x:c>
    </x:row>
    <x:row r="3247">
      <x:c r="A3247" s="5" t="str">
        <x:v>聰</x:v>
      </x:c>
      <x:c r="B3247" s="6" t="str">
        <x:v>平</x:v>
      </x:c>
      <x:c r="C3247" s="6" t="str">
        <x:f>IF(B3247="","Needs decision","Ready")</x:f>
        <x:v>Ready</x:v>
      </x:c>
      <x:c r="D3247" s="6" t="str">
        <x:v>平</x:v>
      </x:c>
      <x:c r="E3247" s="6" t="str">
        <x:v>tshuwng (A)</x:v>
      </x:c>
      <x:c r="F3247" s="6" t="str">
        <x:v>上平聲一東</x:v>
      </x:c>
      <x:c r="G3247" s="6" t="str">
        <x:v>Pingshui main list, Wikisource-derived DOCX</x:v>
      </x:c>
      <x:c r="H3247" s="6" t="str">
        <x:v>1</x:v>
      </x:c>
      <x:c r="I3247" s="6" t="str"/>
      <x:c r="J3247" s="6" t="str">
        <x:f>IF(B3247="","",IF(AND(ISNUMBER(SEARCH("平",B3247)),OR(ISNUMBER(SEARCH("上",B3247)),ISNUMBER(SEARCH("去",B3247)),ISNUMBER(SEARCH("入",B3247)))),"Ambiguous",IF(ISNUMBER(SEARCH("平",B3247)),"平","仄")))</x:f>
        <x:v>平</x:v>
      </x:c>
      <x:c r="K3247" s="6" t="str">
        <x:f>IF(D3247="","",IF(AND(ISNUMBER(SEARCH("平",D3247)),OR(ISNUMBER(SEARCH("上",D3247)),ISNUMBER(SEARCH("去",D3247)),ISNUMBER(SEARCH("入",D3247)))),"Ambiguous",IF(ISNUMBER(SEARCH("平",D3247)),"平","仄")))</x:f>
        <x:v>平</x:v>
      </x:c>
      <x:c r="L3247" s="7" t="str"/>
    </x:row>
    <x:row r="3248">
      <x:c r="A3248" s="5" t="str">
        <x:v>聲</x:v>
      </x:c>
      <x:c r="B3248" s="6" t="str">
        <x:v>平</x:v>
      </x:c>
      <x:c r="C3248" s="6" t="str">
        <x:f>IF(B3248="","Needs decision","Ready")</x:f>
        <x:v>Ready</x:v>
      </x:c>
      <x:c r="D3248" s="6" t="str">
        <x:v>平</x:v>
      </x:c>
      <x:c r="E3248" s="6" t="str">
        <x:v>syeng (A)</x:v>
      </x:c>
      <x:c r="F3248" s="6" t="str">
        <x:v>下平聲八庚</x:v>
      </x:c>
      <x:c r="G3248" s="6" t="str">
        <x:v>Pingshui main list, Wikisource-derived DOCX</x:v>
      </x:c>
      <x:c r="H3248" s="6" t="str">
        <x:v>1</x:v>
      </x:c>
      <x:c r="I3248" s="6" t="str"/>
      <x:c r="J3248" s="6" t="str">
        <x:f>IF(B3248="","",IF(AND(ISNUMBER(SEARCH("平",B3248)),OR(ISNUMBER(SEARCH("上",B3248)),ISNUMBER(SEARCH("去",B3248)),ISNUMBER(SEARCH("入",B3248)))),"Ambiguous",IF(ISNUMBER(SEARCH("平",B3248)),"平","仄")))</x:f>
        <x:v>平</x:v>
      </x:c>
      <x:c r="K3248" s="6" t="str">
        <x:f>IF(D3248="","",IF(AND(ISNUMBER(SEARCH("平",D3248)),OR(ISNUMBER(SEARCH("上",D3248)),ISNUMBER(SEARCH("去",D3248)),ISNUMBER(SEARCH("入",D3248)))),"Ambiguous",IF(ISNUMBER(SEARCH("平",D3248)),"平","仄")))</x:f>
        <x:v>平</x:v>
      </x:c>
      <x:c r="L3248" s="7" t="str"/>
    </x:row>
    <x:row r="3249">
      <x:c r="A3249" s="5" t="str">
        <x:v>聳</x:v>
      </x:c>
      <x:c r="B3249" s="6" t="str">
        <x:v>上</x:v>
      </x:c>
      <x:c r="C3249" s="6" t="str">
        <x:f>IF(B3249="","Needs decision","Ready")</x:f>
        <x:v>Ready</x:v>
      </x:c>
      <x:c r="D3249" s="6" t="str">
        <x:v>上</x:v>
      </x:c>
      <x:c r="E3249" s="6" t="str">
        <x:v>sjowngX [sjoŋʔ] (上)</x:v>
      </x:c>
      <x:c r="F3249" s="6" t="str">
        <x:v>上聲二腫</x:v>
      </x:c>
      <x:c r="G3249" s="6" t="str">
        <x:v>Pingshui main list, Wikisource-derived DOCX</x:v>
      </x:c>
      <x:c r="H3249" s="6" t="str">
        <x:v>1</x:v>
      </x:c>
      <x:c r="I3249" s="6" t="str">
        <x:v>Tang 300 gap; frequency 1; provisional from Xun Gong</x:v>
      </x:c>
      <x:c r="J3249" s="6" t="str">
        <x:f>IF(B3249="","",IF(AND(ISNUMBER(SEARCH("平",B3249)),OR(ISNUMBER(SEARCH("上",B3249)),ISNUMBER(SEARCH("去",B3249)),ISNUMBER(SEARCH("入",B3249)))),"Ambiguous",IF(ISNUMBER(SEARCH("平",B3249)),"平","仄")))</x:f>
        <x:v>仄</x:v>
      </x:c>
      <x:c r="K3249" s="6" t="str">
        <x:f>IF(D3249="","",IF(AND(ISNUMBER(SEARCH("平",D3249)),OR(ISNUMBER(SEARCH("上",D3249)),ISNUMBER(SEARCH("去",D3249)),ISNUMBER(SEARCH("入",D3249)))),"Ambiguous",IF(ISNUMBER(SEARCH("平",D3249)),"平","仄")))</x:f>
        <x:v>仄</x:v>
      </x:c>
      <x:c r="L3249" s="7" t="str">
        <x:v>Xun Gong, Tang 300 gap fill</x:v>
      </x:c>
    </x:row>
    <x:row r="3250">
      <x:c r="A3250" s="5" t="str">
        <x:v>聵</x:v>
      </x:c>
      <x:c r="B3250" s="6" t="str">
        <x:v>去</x:v>
      </x:c>
      <x:c r="C3250" s="6" t="str">
        <x:f>IF(B3250="","Needs decision","Ready")</x:f>
        <x:v>Ready</x:v>
      </x:c>
      <x:c r="D3250" s="6" t="str">
        <x:v>去</x:v>
      </x:c>
      <x:c r="E3250" s="6" t="str">
        <x:v>ngweajH (C)</x:v>
      </x:c>
      <x:c r="F3250" s="6" t="str"/>
      <x:c r="G3250" s="6" t="str"/>
      <x:c r="H3250" s="6" t="str">
        <x:v>1</x:v>
      </x:c>
      <x:c r="I3250" s="6" t="str"/>
      <x:c r="J3250" s="6" t="str">
        <x:f>IF(B3250="","",IF(AND(ISNUMBER(SEARCH("平",B3250)),OR(ISNUMBER(SEARCH("上",B3250)),ISNUMBER(SEARCH("去",B3250)),ISNUMBER(SEARCH("入",B3250)))),"Ambiguous",IF(ISNUMBER(SEARCH("平",B3250)),"平","仄")))</x:f>
        <x:v>仄</x:v>
      </x:c>
      <x:c r="K3250" s="6" t="str">
        <x:f>IF(D3250="","",IF(AND(ISNUMBER(SEARCH("平",D3250)),OR(ISNUMBER(SEARCH("上",D3250)),ISNUMBER(SEARCH("去",D3250)),ISNUMBER(SEARCH("入",D3250)))),"Ambiguous",IF(ISNUMBER(SEARCH("平",D3250)),"平","仄")))</x:f>
        <x:v>仄</x:v>
      </x:c>
      <x:c r="L3250" s="7" t="str"/>
    </x:row>
    <x:row r="3251">
      <x:c r="A3251" s="5" t="str">
        <x:v>聶</x:v>
      </x:c>
      <x:c r="B3251" s="6" t="str">
        <x:v>入</x:v>
      </x:c>
      <x:c r="C3251" s="6" t="str">
        <x:f>IF(B3251="","Needs decision","Ready")</x:f>
        <x:v>Ready</x:v>
      </x:c>
      <x:c r="D3251" s="6" t="str">
        <x:v>入</x:v>
      </x:c>
      <x:c r="E3251" s="6" t="str">
        <x:v>nrjep (D)</x:v>
      </x:c>
      <x:c r="F3251" s="6" t="str">
        <x:v>入聲十六葉</x:v>
      </x:c>
      <x:c r="G3251" s="6" t="str">
        <x:v>Pingshui main list, Wikisource-derived DOCX</x:v>
      </x:c>
      <x:c r="H3251" s="6" t="str">
        <x:v>1</x:v>
      </x:c>
      <x:c r="I3251" s="6" t="str"/>
      <x:c r="J3251" s="6" t="str">
        <x:f>IF(B3251="","",IF(AND(ISNUMBER(SEARCH("平",B3251)),OR(ISNUMBER(SEARCH("上",B3251)),ISNUMBER(SEARCH("去",B3251)),ISNUMBER(SEARCH("入",B3251)))),"Ambiguous",IF(ISNUMBER(SEARCH("平",B3251)),"平","仄")))</x:f>
        <x:v>仄</x:v>
      </x:c>
      <x:c r="K3251" s="6" t="str">
        <x:f>IF(D3251="","",IF(AND(ISNUMBER(SEARCH("平",D3251)),OR(ISNUMBER(SEARCH("上",D3251)),ISNUMBER(SEARCH("去",D3251)),ISNUMBER(SEARCH("入",D3251)))),"Ambiguous",IF(ISNUMBER(SEARCH("平",D3251)),"平","仄")))</x:f>
        <x:v>仄</x:v>
      </x:c>
      <x:c r="L3251" s="7" t="str"/>
    </x:row>
    <x:row r="3252">
      <x:c r="A3252" s="5" t="str">
        <x:v>職</x:v>
      </x:c>
      <x:c r="B3252" s="6" t="str">
        <x:v>入</x:v>
      </x:c>
      <x:c r="C3252" s="6" t="str">
        <x:f>IF(B3252="","Needs decision","Ready")</x:f>
        <x:v>Ready</x:v>
      </x:c>
      <x:c r="D3252" s="6" t="str">
        <x:v>入</x:v>
      </x:c>
      <x:c r="E3252" s="6" t="str">
        <x:v>tsyik (D)</x:v>
      </x:c>
      <x:c r="F3252" s="6" t="str">
        <x:v>入聲十三職</x:v>
      </x:c>
      <x:c r="G3252" s="6" t="str">
        <x:v>Pingshui main list, Wikisource-derived DOCX</x:v>
      </x:c>
      <x:c r="H3252" s="6" t="str">
        <x:v>1</x:v>
      </x:c>
      <x:c r="I3252" s="6" t="str"/>
      <x:c r="J3252" s="6" t="str">
        <x:f>IF(B3252="","",IF(AND(ISNUMBER(SEARCH("平",B3252)),OR(ISNUMBER(SEARCH("上",B3252)),ISNUMBER(SEARCH("去",B3252)),ISNUMBER(SEARCH("入",B3252)))),"Ambiguous",IF(ISNUMBER(SEARCH("平",B3252)),"平","仄")))</x:f>
        <x:v>仄</x:v>
      </x:c>
      <x:c r="K3252" s="6" t="str">
        <x:f>IF(D3252="","",IF(AND(ISNUMBER(SEARCH("平",D3252)),OR(ISNUMBER(SEARCH("上",D3252)),ISNUMBER(SEARCH("去",D3252)),ISNUMBER(SEARCH("入",D3252)))),"Ambiguous",IF(ISNUMBER(SEARCH("平",D3252)),"平","仄")))</x:f>
        <x:v>仄</x:v>
      </x:c>
      <x:c r="L3252" s="7" t="str"/>
    </x:row>
    <x:row r="3253">
      <x:c r="A3253" s="5" t="str">
        <x:v>聽</x:v>
      </x:c>
      <x:c r="B3253" s="6" t="str">
        <x:v>平</x:v>
      </x:c>
      <x:c r="C3253" s="6" t="str">
        <x:f>IF(B3253="","Needs decision","Ready")</x:f>
        <x:v>Ready</x:v>
      </x:c>
      <x:c r="D3253" s="6" t="str">
        <x:v>平/去</x:v>
      </x:c>
      <x:c r="E3253" s="6" t="str">
        <x:v>theng (A); thengH (C)</x:v>
      </x:c>
      <x:c r="F3253" s="6" t="str">
        <x:v>下平聲九青; 上聲十二吻; 去聲二十五徑</x:v>
      </x:c>
      <x:c r="G3253" s="6" t="str">
        <x:v>Pingshui main list, Wikisource-derived DOCX</x:v>
      </x:c>
      <x:c r="H3253" s="6" t="str">
        <x:v>2</x:v>
      </x:c>
      <x:c r="I3253" s="6" t="str">
        <x:v>User workbook edit 2026-09-03</x:v>
      </x:c>
      <x:c r="J3253" s="6" t="str">
        <x:f>IF(B3253="","",IF(AND(ISNUMBER(SEARCH("平",B3253)),OR(ISNUMBER(SEARCH("上",B3253)),ISNUMBER(SEARCH("去",B3253)),ISNUMBER(SEARCH("入",B3253)))),"Ambiguous",IF(ISNUMBER(SEARCH("平",B3253)),"平","仄")))</x:f>
        <x:v>平</x:v>
      </x:c>
      <x:c r="K3253" s="6" t="str">
        <x:f>IF(D3253="","",IF(AND(ISNUMBER(SEARCH("平",D3253)),OR(ISNUMBER(SEARCH("上",D3253)),ISNUMBER(SEARCH("去",D3253)),ISNUMBER(SEARCH("入",D3253)))),"Ambiguous",IF(ISNUMBER(SEARCH("平",D3253)),"平","仄")))</x:f>
        <x:v>Ambiguous</x:v>
      </x:c>
      <x:c r="L3253" s="7" t="str">
        <x:v>manual user correction</x:v>
      </x:c>
    </x:row>
    <x:row r="3254">
      <x:c r="A3254" s="5" t="str">
        <x:v>聾</x:v>
      </x:c>
      <x:c r="B3254" s="6" t="str">
        <x:v>平</x:v>
      </x:c>
      <x:c r="C3254" s="6" t="str">
        <x:f>IF(B3254="","Needs decision","Ready")</x:f>
        <x:v>Ready</x:v>
      </x:c>
      <x:c r="D3254" s="6" t="str">
        <x:v>平</x:v>
      </x:c>
      <x:c r="E3254" s="6" t="str">
        <x:v>luwng (A)</x:v>
      </x:c>
      <x:c r="F3254" s="6" t="str">
        <x:v>上平聲一東</x:v>
      </x:c>
      <x:c r="G3254" s="6" t="str">
        <x:v>Pingshui main list, Wikisource-derived DOCX</x:v>
      </x:c>
      <x:c r="H3254" s="6" t="str">
        <x:v>1</x:v>
      </x:c>
      <x:c r="I3254" s="6" t="str"/>
      <x:c r="J3254" s="6" t="str">
        <x:f>IF(B3254="","",IF(AND(ISNUMBER(SEARCH("平",B3254)),OR(ISNUMBER(SEARCH("上",B3254)),ISNUMBER(SEARCH("去",B3254)),ISNUMBER(SEARCH("入",B3254)))),"Ambiguous",IF(ISNUMBER(SEARCH("平",B3254)),"平","仄")))</x:f>
        <x:v>平</x:v>
      </x:c>
      <x:c r="K3254" s="6" t="str">
        <x:f>IF(D3254="","",IF(AND(ISNUMBER(SEARCH("平",D3254)),OR(ISNUMBER(SEARCH("上",D3254)),ISNUMBER(SEARCH("去",D3254)),ISNUMBER(SEARCH("入",D3254)))),"Ambiguous",IF(ISNUMBER(SEARCH("平",D3254)),"平","仄")))</x:f>
        <x:v>平</x:v>
      </x:c>
      <x:c r="L3254" s="7" t="str"/>
    </x:row>
    <x:row r="3255">
      <x:c r="A3255" s="5" t="str">
        <x:v>聿</x:v>
      </x:c>
      <x:c r="B3255" s="6" t="str">
        <x:v>入</x:v>
      </x:c>
      <x:c r="C3255" s="6" t="str">
        <x:f>IF(B3255="","Needs decision","Ready")</x:f>
        <x:v>Ready</x:v>
      </x:c>
      <x:c r="D3255" s="6" t="str">
        <x:v>入</x:v>
      </x:c>
      <x:c r="E3255" s="6" t="str">
        <x:v>ywit (D)</x:v>
      </x:c>
      <x:c r="F3255" s="6" t="str">
        <x:v>入聲四質</x:v>
      </x:c>
      <x:c r="G3255" s="6" t="str">
        <x:v>Pingshui main list, Wikisource-derived DOCX</x:v>
      </x:c>
      <x:c r="H3255" s="6" t="str">
        <x:v>1</x:v>
      </x:c>
      <x:c r="I3255" s="6" t="str"/>
      <x:c r="J3255" s="6" t="str">
        <x:f>IF(B3255="","",IF(AND(ISNUMBER(SEARCH("平",B3255)),OR(ISNUMBER(SEARCH("上",B3255)),ISNUMBER(SEARCH("去",B3255)),ISNUMBER(SEARCH("入",B3255)))),"Ambiguous",IF(ISNUMBER(SEARCH("平",B3255)),"平","仄")))</x:f>
        <x:v>仄</x:v>
      </x:c>
      <x:c r="K3255" s="6" t="str">
        <x:f>IF(D3255="","",IF(AND(ISNUMBER(SEARCH("平",D3255)),OR(ISNUMBER(SEARCH("上",D3255)),ISNUMBER(SEARCH("去",D3255)),ISNUMBER(SEARCH("入",D3255)))),"Ambiguous",IF(ISNUMBER(SEARCH("平",D3255)),"平","仄")))</x:f>
        <x:v>仄</x:v>
      </x:c>
      <x:c r="L3255" s="7" t="str"/>
    </x:row>
    <x:row r="3256">
      <x:c r="A3256" s="5" t="str">
        <x:v>肅</x:v>
      </x:c>
      <x:c r="B3256" s="6" t="str">
        <x:v>入</x:v>
      </x:c>
      <x:c r="C3256" s="6" t="str">
        <x:f>IF(B3256="","Needs decision","Ready")</x:f>
        <x:v>Ready</x:v>
      </x:c>
      <x:c r="D3256" s="6" t="str">
        <x:v>入</x:v>
      </x:c>
      <x:c r="E3256" s="6" t="str">
        <x:v>sjuwk (D)</x:v>
      </x:c>
      <x:c r="F3256" s="6" t="str">
        <x:v>入聲一屋</x:v>
      </x:c>
      <x:c r="G3256" s="6" t="str">
        <x:v>Pingshui main list, Wikisource-derived DOCX</x:v>
      </x:c>
      <x:c r="H3256" s="6" t="str">
        <x:v>1</x:v>
      </x:c>
      <x:c r="I3256" s="6" t="str"/>
      <x:c r="J3256" s="6" t="str">
        <x:f>IF(B3256="","",IF(AND(ISNUMBER(SEARCH("平",B3256)),OR(ISNUMBER(SEARCH("上",B3256)),ISNUMBER(SEARCH("去",B3256)),ISNUMBER(SEARCH("入",B3256)))),"Ambiguous",IF(ISNUMBER(SEARCH("平",B3256)),"平","仄")))</x:f>
        <x:v>仄</x:v>
      </x:c>
      <x:c r="K3256" s="6" t="str">
        <x:f>IF(D3256="","",IF(AND(ISNUMBER(SEARCH("平",D3256)),OR(ISNUMBER(SEARCH("上",D3256)),ISNUMBER(SEARCH("去",D3256)),ISNUMBER(SEARCH("入",D3256)))),"Ambiguous",IF(ISNUMBER(SEARCH("平",D3256)),"平","仄")))</x:f>
        <x:v>仄</x:v>
      </x:c>
      <x:c r="L3256" s="7" t="str"/>
    </x:row>
    <x:row r="3257">
      <x:c r="A3257" s="5" t="str">
        <x:v>肆</x:v>
      </x:c>
      <x:c r="B3257" s="6" t="str">
        <x:v>去</x:v>
      </x:c>
      <x:c r="C3257" s="6" t="str">
        <x:f>IF(B3257="","Needs decision","Ready")</x:f>
        <x:v>Ready</x:v>
      </x:c>
      <x:c r="D3257" s="6" t="str">
        <x:v>去</x:v>
      </x:c>
      <x:c r="E3257" s="6" t="str">
        <x:v>sijH (C)</x:v>
      </x:c>
      <x:c r="F3257" s="6" t="str">
        <x:v>去聲四寘</x:v>
      </x:c>
      <x:c r="G3257" s="6" t="str">
        <x:v>Pingshui main list, Wikisource-derived DOCX</x:v>
      </x:c>
      <x:c r="H3257" s="6" t="str">
        <x:v>1</x:v>
      </x:c>
      <x:c r="I3257" s="6" t="str"/>
      <x:c r="J3257" s="6" t="str">
        <x:f>IF(B3257="","",IF(AND(ISNUMBER(SEARCH("平",B3257)),OR(ISNUMBER(SEARCH("上",B3257)),ISNUMBER(SEARCH("去",B3257)),ISNUMBER(SEARCH("入",B3257)))),"Ambiguous",IF(ISNUMBER(SEARCH("平",B3257)),"平","仄")))</x:f>
        <x:v>仄</x:v>
      </x:c>
      <x:c r="K3257" s="6" t="str">
        <x:f>IF(D3257="","",IF(AND(ISNUMBER(SEARCH("平",D3257)),OR(ISNUMBER(SEARCH("上",D3257)),ISNUMBER(SEARCH("去",D3257)),ISNUMBER(SEARCH("入",D3257)))),"Ambiguous",IF(ISNUMBER(SEARCH("平",D3257)),"平","仄")))</x:f>
        <x:v>仄</x:v>
      </x:c>
      <x:c r="L3257" s="7" t="str"/>
    </x:row>
    <x:row r="3258">
      <x:c r="A3258" s="5" t="str">
        <x:v>肉</x:v>
      </x:c>
      <x:c r="B3258" s="6" t="str">
        <x:v>入</x:v>
      </x:c>
      <x:c r="C3258" s="6" t="str">
        <x:f>IF(B3258="","Needs decision","Ready")</x:f>
        <x:v>Ready</x:v>
      </x:c>
      <x:c r="D3258" s="6" t="str">
        <x:v>入</x:v>
      </x:c>
      <x:c r="E3258" s="6" t="str">
        <x:v>nyuwk (D)</x:v>
      </x:c>
      <x:c r="F3258" s="6" t="str">
        <x:v>入聲一屋</x:v>
      </x:c>
      <x:c r="G3258" s="6" t="str">
        <x:v>Pingshui main list, Wikisource-derived DOCX</x:v>
      </x:c>
      <x:c r="H3258" s="6" t="str">
        <x:v>1</x:v>
      </x:c>
      <x:c r="I3258" s="6" t="str"/>
      <x:c r="J3258" s="6" t="str">
        <x:f>IF(B3258="","",IF(AND(ISNUMBER(SEARCH("平",B3258)),OR(ISNUMBER(SEARCH("上",B3258)),ISNUMBER(SEARCH("去",B3258)),ISNUMBER(SEARCH("入",B3258)))),"Ambiguous",IF(ISNUMBER(SEARCH("平",B3258)),"平","仄")))</x:f>
        <x:v>仄</x:v>
      </x:c>
      <x:c r="K3258" s="6" t="str">
        <x:f>IF(D3258="","",IF(AND(ISNUMBER(SEARCH("平",D3258)),OR(ISNUMBER(SEARCH("上",D3258)),ISNUMBER(SEARCH("去",D3258)),ISNUMBER(SEARCH("入",D3258)))),"Ambiguous",IF(ISNUMBER(SEARCH("平",D3258)),"平","仄")))</x:f>
        <x:v>仄</x:v>
      </x:c>
      <x:c r="L3258" s="7" t="str"/>
    </x:row>
    <x:row r="3259">
      <x:c r="A3259" s="5" t="str">
        <x:v>肌</x:v>
      </x:c>
      <x:c r="B3259" s="6" t="str">
        <x:v>平</x:v>
      </x:c>
      <x:c r="C3259" s="6" t="str">
        <x:f>IF(B3259="","Needs decision","Ready")</x:f>
        <x:v>Ready</x:v>
      </x:c>
      <x:c r="D3259" s="6" t="str">
        <x:v>平</x:v>
      </x:c>
      <x:c r="E3259" s="6" t="str">
        <x:v>kij (A)</x:v>
      </x:c>
      <x:c r="F3259" s="6" t="str">
        <x:v>上平聲四支</x:v>
      </x:c>
      <x:c r="G3259" s="6" t="str">
        <x:v>Pingshui main list, Wikisource-derived DOCX</x:v>
      </x:c>
      <x:c r="H3259" s="6" t="str">
        <x:v>1</x:v>
      </x:c>
      <x:c r="I3259" s="6" t="str"/>
      <x:c r="J3259" s="6" t="str">
        <x:f>IF(B3259="","",IF(AND(ISNUMBER(SEARCH("平",B3259)),OR(ISNUMBER(SEARCH("上",B3259)),ISNUMBER(SEARCH("去",B3259)),ISNUMBER(SEARCH("入",B3259)))),"Ambiguous",IF(ISNUMBER(SEARCH("平",B3259)),"平","仄")))</x:f>
        <x:v>平</x:v>
      </x:c>
      <x:c r="K3259" s="6" t="str">
        <x:f>IF(D3259="","",IF(AND(ISNUMBER(SEARCH("平",D3259)),OR(ISNUMBER(SEARCH("上",D3259)),ISNUMBER(SEARCH("去",D3259)),ISNUMBER(SEARCH("入",D3259)))),"Ambiguous",IF(ISNUMBER(SEARCH("平",D3259)),"平","仄")))</x:f>
        <x:v>平</x:v>
      </x:c>
      <x:c r="L3259" s="7" t="str"/>
    </x:row>
    <x:row r="3260">
      <x:c r="A3260" s="5" t="str">
        <x:v>肖</x:v>
      </x:c>
      <x:c r="B3260" s="6" t="str"/>
      <x:c r="C3260" s="6" t="str">
        <x:f>IF(B3260="","Needs decision","Ready")</x:f>
        <x:v>Needs decision</x:v>
      </x:c>
      <x:c r="D3260" s="6" t="str">
        <x:v>平/去</x:v>
      </x:c>
      <x:c r="E3260" s="6" t="str">
        <x:v>sjew (A); sjewH (C)</x:v>
      </x:c>
      <x:c r="F3260" s="6" t="str">
        <x:v>去聲十八嘯</x:v>
      </x:c>
      <x:c r="G3260" s="6" t="str">
        <x:v>Pingshui main list, Wikisource-derived DOCX</x:v>
      </x:c>
      <x:c r="H3260" s="6" t="str">
        <x:v>2</x:v>
      </x:c>
      <x:c r="I3260" s="6" t="str"/>
      <x:c r="J3260" s="6" t="str">
        <x:f>IF(B3260="","",IF(AND(ISNUMBER(SEARCH("平",B3260)),OR(ISNUMBER(SEARCH("上",B3260)),ISNUMBER(SEARCH("去",B3260)),ISNUMBER(SEARCH("入",B3260)))),"Ambiguous",IF(ISNUMBER(SEARCH("平",B3260)),"平","仄")))</x:f>
      </x:c>
      <x:c r="K3260" s="6" t="str">
        <x:f>IF(D3260="","",IF(AND(ISNUMBER(SEARCH("平",D3260)),OR(ISNUMBER(SEARCH("上",D3260)),ISNUMBER(SEARCH("去",D3260)),ISNUMBER(SEARCH("入",D3260)))),"Ambiguous",IF(ISNUMBER(SEARCH("平",D3260)),"平","仄")))</x:f>
        <x:v>Ambiguous</x:v>
      </x:c>
      <x:c r="L3260" s="7" t="str"/>
    </x:row>
    <x:row r="3261">
      <x:c r="A3261" s="5" t="str">
        <x:v>肘</x:v>
      </x:c>
      <x:c r="B3261" s="6" t="str">
        <x:v>上</x:v>
      </x:c>
      <x:c r="C3261" s="6" t="str">
        <x:f>IF(B3261="","Needs decision","Ready")</x:f>
        <x:v>Ready</x:v>
      </x:c>
      <x:c r="D3261" s="6" t="str">
        <x:v>上</x:v>
      </x:c>
      <x:c r="E3261" s="6" t="str">
        <x:v>trjuwX (B)</x:v>
      </x:c>
      <x:c r="F3261" s="6" t="str">
        <x:v>上聲二十五有</x:v>
      </x:c>
      <x:c r="G3261" s="6" t="str">
        <x:v>Pingshui main list, Wikisource-derived DOCX</x:v>
      </x:c>
      <x:c r="H3261" s="6" t="str">
        <x:v>1</x:v>
      </x:c>
      <x:c r="I3261" s="6" t="str"/>
      <x:c r="J3261" s="6" t="str">
        <x:f>IF(B3261="","",IF(AND(ISNUMBER(SEARCH("平",B3261)),OR(ISNUMBER(SEARCH("上",B3261)),ISNUMBER(SEARCH("去",B3261)),ISNUMBER(SEARCH("入",B3261)))),"Ambiguous",IF(ISNUMBER(SEARCH("平",B3261)),"平","仄")))</x:f>
        <x:v>仄</x:v>
      </x:c>
      <x:c r="K3261" s="6" t="str">
        <x:f>IF(D3261="","",IF(AND(ISNUMBER(SEARCH("平",D3261)),OR(ISNUMBER(SEARCH("上",D3261)),ISNUMBER(SEARCH("去",D3261)),ISNUMBER(SEARCH("入",D3261)))),"Ambiguous",IF(ISNUMBER(SEARCH("平",D3261)),"平","仄")))</x:f>
        <x:v>仄</x:v>
      </x:c>
      <x:c r="L3261" s="7" t="str"/>
    </x:row>
    <x:row r="3262">
      <x:c r="A3262" s="5" t="str">
        <x:v>肙</x:v>
      </x:c>
      <x:c r="B3262" s="6" t="str">
        <x:v>平</x:v>
      </x:c>
      <x:c r="C3262" s="6" t="str">
        <x:f>IF(B3262="","Needs decision","Ready")</x:f>
        <x:v>Ready</x:v>
      </x:c>
      <x:c r="D3262" s="6" t="str">
        <x:v>平</x:v>
      </x:c>
      <x:c r="E3262" s="6" t="str">
        <x:v>'wen (A)</x:v>
      </x:c>
      <x:c r="F3262" s="6" t="str"/>
      <x:c r="G3262" s="6" t="str"/>
      <x:c r="H3262" s="6" t="str">
        <x:v>1</x:v>
      </x:c>
      <x:c r="I3262" s="6" t="str"/>
      <x:c r="J3262" s="6" t="str">
        <x:f>IF(B3262="","",IF(AND(ISNUMBER(SEARCH("平",B3262)),OR(ISNUMBER(SEARCH("上",B3262)),ISNUMBER(SEARCH("去",B3262)),ISNUMBER(SEARCH("入",B3262)))),"Ambiguous",IF(ISNUMBER(SEARCH("平",B3262)),"平","仄")))</x:f>
        <x:v>平</x:v>
      </x:c>
      <x:c r="K3262" s="6" t="str">
        <x:f>IF(D3262="","",IF(AND(ISNUMBER(SEARCH("平",D3262)),OR(ISNUMBER(SEARCH("上",D3262)),ISNUMBER(SEARCH("去",D3262)),ISNUMBER(SEARCH("入",D3262)))),"Ambiguous",IF(ISNUMBER(SEARCH("平",D3262)),"平","仄")))</x:f>
        <x:v>平</x:v>
      </x:c>
      <x:c r="L3262" s="7" t="str"/>
    </x:row>
    <x:row r="3263">
      <x:c r="A3263" s="5" t="str">
        <x:v>肚</x:v>
      </x:c>
      <x:c r="B3263" s="6" t="str">
        <x:v>上</x:v>
      </x:c>
      <x:c r="C3263" s="6" t="str">
        <x:f>IF(B3263="","Needs decision","Ready")</x:f>
        <x:v>Ready</x:v>
      </x:c>
      <x:c r="D3263" s="6" t="str">
        <x:v>上</x:v>
      </x:c>
      <x:c r="E3263" s="6" t="str">
        <x:v>tuX (B); duX (B)</x:v>
      </x:c>
      <x:c r="F3263" s="6" t="str">
        <x:v>上聲七麌</x:v>
      </x:c>
      <x:c r="G3263" s="6" t="str">
        <x:v>Pingshui main list, Wikisource-derived DOCX</x:v>
      </x:c>
      <x:c r="H3263" s="6" t="str">
        <x:v>2</x:v>
      </x:c>
      <x:c r="I3263" s="6" t="str"/>
      <x:c r="J3263" s="6" t="str">
        <x:f>IF(B3263="","",IF(AND(ISNUMBER(SEARCH("平",B3263)),OR(ISNUMBER(SEARCH("上",B3263)),ISNUMBER(SEARCH("去",B3263)),ISNUMBER(SEARCH("入",B3263)))),"Ambiguous",IF(ISNUMBER(SEARCH("平",B3263)),"平","仄")))</x:f>
        <x:v>仄</x:v>
      </x:c>
      <x:c r="K3263" s="6" t="str">
        <x:f>IF(D3263="","",IF(AND(ISNUMBER(SEARCH("平",D3263)),OR(ISNUMBER(SEARCH("上",D3263)),ISNUMBER(SEARCH("去",D3263)),ISNUMBER(SEARCH("入",D3263)))),"Ambiguous",IF(ISNUMBER(SEARCH("平",D3263)),"平","仄")))</x:f>
        <x:v>仄</x:v>
      </x:c>
      <x:c r="L3263" s="7" t="str"/>
    </x:row>
    <x:row r="3264">
      <x:c r="A3264" s="5" t="str">
        <x:v>肜</x:v>
      </x:c>
      <x:c r="B3264" s="6" t="str">
        <x:v>平</x:v>
      </x:c>
      <x:c r="C3264" s="6" t="str">
        <x:f>IF(B3264="","Needs decision","Ready")</x:f>
        <x:v>Ready</x:v>
      </x:c>
      <x:c r="D3264" s="6" t="str">
        <x:v>平</x:v>
      </x:c>
      <x:c r="E3264" s="6" t="str">
        <x:v>yuwng (A)</x:v>
      </x:c>
      <x:c r="F3264" s="6" t="str">
        <x:v>上平聲一東</x:v>
      </x:c>
      <x:c r="G3264" s="6" t="str">
        <x:v>Pingshui main list, Wikisource-derived DOCX</x:v>
      </x:c>
      <x:c r="H3264" s="6" t="str">
        <x:v>1</x:v>
      </x:c>
      <x:c r="I3264" s="6" t="str"/>
      <x:c r="J3264" s="6" t="str">
        <x:f>IF(B3264="","",IF(AND(ISNUMBER(SEARCH("平",B3264)),OR(ISNUMBER(SEARCH("上",B3264)),ISNUMBER(SEARCH("去",B3264)),ISNUMBER(SEARCH("入",B3264)))),"Ambiguous",IF(ISNUMBER(SEARCH("平",B3264)),"平","仄")))</x:f>
        <x:v>平</x:v>
      </x:c>
      <x:c r="K3264" s="6" t="str">
        <x:f>IF(D3264="","",IF(AND(ISNUMBER(SEARCH("平",D3264)),OR(ISNUMBER(SEARCH("上",D3264)),ISNUMBER(SEARCH("去",D3264)),ISNUMBER(SEARCH("入",D3264)))),"Ambiguous",IF(ISNUMBER(SEARCH("平",D3264)),"平","仄")))</x:f>
        <x:v>平</x:v>
      </x:c>
      <x:c r="L3264" s="7" t="str"/>
    </x:row>
    <x:row r="3265">
      <x:c r="A3265" s="5" t="str">
        <x:v>肝</x:v>
      </x:c>
      <x:c r="B3265" s="6" t="str">
        <x:v>平</x:v>
      </x:c>
      <x:c r="C3265" s="6" t="str">
        <x:f>IF(B3265="","Needs decision","Ready")</x:f>
        <x:v>Ready</x:v>
      </x:c>
      <x:c r="D3265" s="6" t="str">
        <x:v>平</x:v>
      </x:c>
      <x:c r="E3265" s="6" t="str">
        <x:v>kan (A)</x:v>
      </x:c>
      <x:c r="F3265" s="6" t="str">
        <x:v>上平聲十四寒</x:v>
      </x:c>
      <x:c r="G3265" s="6" t="str">
        <x:v>Pingshui main list, Wikisource-derived DOCX</x:v>
      </x:c>
      <x:c r="H3265" s="6" t="str">
        <x:v>1</x:v>
      </x:c>
      <x:c r="I3265" s="6" t="str"/>
      <x:c r="J3265" s="6" t="str">
        <x:f>IF(B3265="","",IF(AND(ISNUMBER(SEARCH("平",B3265)),OR(ISNUMBER(SEARCH("上",B3265)),ISNUMBER(SEARCH("去",B3265)),ISNUMBER(SEARCH("入",B3265)))),"Ambiguous",IF(ISNUMBER(SEARCH("平",B3265)),"平","仄")))</x:f>
        <x:v>平</x:v>
      </x:c>
      <x:c r="K3265" s="6" t="str">
        <x:f>IF(D3265="","",IF(AND(ISNUMBER(SEARCH("平",D3265)),OR(ISNUMBER(SEARCH("上",D3265)),ISNUMBER(SEARCH("去",D3265)),ISNUMBER(SEARCH("入",D3265)))),"Ambiguous",IF(ISNUMBER(SEARCH("平",D3265)),"平","仄")))</x:f>
        <x:v>平</x:v>
      </x:c>
      <x:c r="L3265" s="7" t="str"/>
    </x:row>
    <x:row r="3266">
      <x:c r="A3266" s="5" t="str">
        <x:v>股</x:v>
      </x:c>
      <x:c r="B3266" s="6" t="str">
        <x:v>上</x:v>
      </x:c>
      <x:c r="C3266" s="6" t="str">
        <x:f>IF(B3266="","Needs decision","Ready")</x:f>
        <x:v>Ready</x:v>
      </x:c>
      <x:c r="D3266" s="6" t="str">
        <x:v>上</x:v>
      </x:c>
      <x:c r="E3266" s="6" t="str">
        <x:v>kuX (B)</x:v>
      </x:c>
      <x:c r="F3266" s="6" t="str">
        <x:v>上聲七麌</x:v>
      </x:c>
      <x:c r="G3266" s="6" t="str">
        <x:v>Pingshui main list, Wikisource-derived DOCX</x:v>
      </x:c>
      <x:c r="H3266" s="6" t="str">
        <x:v>1</x:v>
      </x:c>
      <x:c r="I3266" s="6" t="str"/>
      <x:c r="J3266" s="6" t="str">
        <x:f>IF(B3266="","",IF(AND(ISNUMBER(SEARCH("平",B3266)),OR(ISNUMBER(SEARCH("上",B3266)),ISNUMBER(SEARCH("去",B3266)),ISNUMBER(SEARCH("入",B3266)))),"Ambiguous",IF(ISNUMBER(SEARCH("平",B3266)),"平","仄")))</x:f>
        <x:v>仄</x:v>
      </x:c>
      <x:c r="K3266" s="6" t="str">
        <x:f>IF(D3266="","",IF(AND(ISNUMBER(SEARCH("平",D3266)),OR(ISNUMBER(SEARCH("上",D3266)),ISNUMBER(SEARCH("去",D3266)),ISNUMBER(SEARCH("入",D3266)))),"Ambiguous",IF(ISNUMBER(SEARCH("平",D3266)),"平","仄")))</x:f>
        <x:v>仄</x:v>
      </x:c>
      <x:c r="L3266" s="7" t="str"/>
    </x:row>
    <x:row r="3267">
      <x:c r="A3267" s="5" t="str">
        <x:v>肢</x:v>
      </x:c>
      <x:c r="B3267" s="6" t="str">
        <x:v>平</x:v>
      </x:c>
      <x:c r="C3267" s="6" t="str">
        <x:f>IF(B3267="","Needs decision","Ready")</x:f>
        <x:v>Ready</x:v>
      </x:c>
      <x:c r="D3267" s="6" t="str">
        <x:v>平</x:v>
      </x:c>
      <x:c r="E3267" s="6" t="str">
        <x:v>tsye (A)</x:v>
      </x:c>
      <x:c r="F3267" s="6" t="str">
        <x:v>上平聲四支</x:v>
      </x:c>
      <x:c r="G3267" s="6" t="str">
        <x:v>Pingshui main list, Wikisource-derived DOCX</x:v>
      </x:c>
      <x:c r="H3267" s="6" t="str">
        <x:v>1</x:v>
      </x:c>
      <x:c r="I3267" s="6" t="str"/>
      <x:c r="J3267" s="6" t="str">
        <x:f>IF(B3267="","",IF(AND(ISNUMBER(SEARCH("平",B3267)),OR(ISNUMBER(SEARCH("上",B3267)),ISNUMBER(SEARCH("去",B3267)),ISNUMBER(SEARCH("入",B3267)))),"Ambiguous",IF(ISNUMBER(SEARCH("平",B3267)),"平","仄")))</x:f>
        <x:v>平</x:v>
      </x:c>
      <x:c r="K3267" s="6" t="str">
        <x:f>IF(D3267="","",IF(AND(ISNUMBER(SEARCH("平",D3267)),OR(ISNUMBER(SEARCH("上",D3267)),ISNUMBER(SEARCH("去",D3267)),ISNUMBER(SEARCH("入",D3267)))),"Ambiguous",IF(ISNUMBER(SEARCH("平",D3267)),"平","仄")))</x:f>
        <x:v>平</x:v>
      </x:c>
      <x:c r="L3267" s="7" t="str"/>
    </x:row>
    <x:row r="3268">
      <x:c r="A3268" s="5" t="str">
        <x:v>肥</x:v>
      </x:c>
      <x:c r="B3268" s="6" t="str">
        <x:v>平</x:v>
      </x:c>
      <x:c r="C3268" s="6" t="str">
        <x:f>IF(B3268="","Needs decision","Ready")</x:f>
        <x:v>Ready</x:v>
      </x:c>
      <x:c r="D3268" s="6" t="str">
        <x:v>平</x:v>
      </x:c>
      <x:c r="E3268" s="6" t="str">
        <x:v>bj+j (A)</x:v>
      </x:c>
      <x:c r="F3268" s="6" t="str">
        <x:v>上平聲五微</x:v>
      </x:c>
      <x:c r="G3268" s="6" t="str">
        <x:v>Pingshui main list, Wikisource-derived DOCX</x:v>
      </x:c>
      <x:c r="H3268" s="6" t="str">
        <x:v>1</x:v>
      </x:c>
      <x:c r="I3268" s="6" t="str"/>
      <x:c r="J3268" s="6" t="str">
        <x:f>IF(B3268="","",IF(AND(ISNUMBER(SEARCH("平",B3268)),OR(ISNUMBER(SEARCH("上",B3268)),ISNUMBER(SEARCH("去",B3268)),ISNUMBER(SEARCH("入",B3268)))),"Ambiguous",IF(ISNUMBER(SEARCH("平",B3268)),"平","仄")))</x:f>
        <x:v>平</x:v>
      </x:c>
      <x:c r="K3268" s="6" t="str">
        <x:f>IF(D3268="","",IF(AND(ISNUMBER(SEARCH("平",D3268)),OR(ISNUMBER(SEARCH("上",D3268)),ISNUMBER(SEARCH("去",D3268)),ISNUMBER(SEARCH("入",D3268)))),"Ambiguous",IF(ISNUMBER(SEARCH("平",D3268)),"平","仄")))</x:f>
        <x:v>平</x:v>
      </x:c>
      <x:c r="L3268" s="7" t="str"/>
    </x:row>
    <x:row r="3269">
      <x:c r="A3269" s="5" t="str">
        <x:v>肩</x:v>
      </x:c>
      <x:c r="B3269" s="6" t="str">
        <x:v>平</x:v>
      </x:c>
      <x:c r="C3269" s="6" t="str">
        <x:f>IF(B3269="","Needs decision","Ready")</x:f>
        <x:v>Ready</x:v>
      </x:c>
      <x:c r="D3269" s="6" t="str">
        <x:v>平</x:v>
      </x:c>
      <x:c r="E3269" s="6" t="str">
        <x:v>ken (A)</x:v>
      </x:c>
      <x:c r="F3269" s="6" t="str">
        <x:v>下平聲一先</x:v>
      </x:c>
      <x:c r="G3269" s="6" t="str">
        <x:v>Pingshui main list, Wikisource-derived DOCX</x:v>
      </x:c>
      <x:c r="H3269" s="6" t="str">
        <x:v>1</x:v>
      </x:c>
      <x:c r="I3269" s="6" t="str"/>
      <x:c r="J3269" s="6" t="str">
        <x:f>IF(B3269="","",IF(AND(ISNUMBER(SEARCH("平",B3269)),OR(ISNUMBER(SEARCH("上",B3269)),ISNUMBER(SEARCH("去",B3269)),ISNUMBER(SEARCH("入",B3269)))),"Ambiguous",IF(ISNUMBER(SEARCH("平",B3269)),"平","仄")))</x:f>
        <x:v>平</x:v>
      </x:c>
      <x:c r="K3269" s="6" t="str">
        <x:f>IF(D3269="","",IF(AND(ISNUMBER(SEARCH("平",D3269)),OR(ISNUMBER(SEARCH("上",D3269)),ISNUMBER(SEARCH("去",D3269)),ISNUMBER(SEARCH("入",D3269)))),"Ambiguous",IF(ISNUMBER(SEARCH("平",D3269)),"平","仄")))</x:f>
        <x:v>平</x:v>
      </x:c>
      <x:c r="L3269" s="7" t="str"/>
    </x:row>
    <x:row r="3270">
      <x:c r="A3270" s="5" t="str">
        <x:v>肯</x:v>
      </x:c>
      <x:c r="B3270" s="6" t="str">
        <x:v>上</x:v>
      </x:c>
      <x:c r="C3270" s="6" t="str">
        <x:f>IF(B3270="","Needs decision","Ready")</x:f>
        <x:v>Ready</x:v>
      </x:c>
      <x:c r="D3270" s="6" t="str">
        <x:v>上</x:v>
      </x:c>
      <x:c r="E3270" s="6" t="str">
        <x:v>khongX (B)</x:v>
      </x:c>
      <x:c r="F3270" s="6" t="str">
        <x:v>上聲二十四迥</x:v>
      </x:c>
      <x:c r="G3270" s="6" t="str">
        <x:v>Pingshui main list, Wikisource-derived DOCX</x:v>
      </x:c>
      <x:c r="H3270" s="6" t="str">
        <x:v>1</x:v>
      </x:c>
      <x:c r="I3270" s="6" t="str"/>
      <x:c r="J3270" s="6" t="str">
        <x:f>IF(B3270="","",IF(AND(ISNUMBER(SEARCH("平",B3270)),OR(ISNUMBER(SEARCH("上",B3270)),ISNUMBER(SEARCH("去",B3270)),ISNUMBER(SEARCH("入",B3270)))),"Ambiguous",IF(ISNUMBER(SEARCH("平",B3270)),"平","仄")))</x:f>
        <x:v>仄</x:v>
      </x:c>
      <x:c r="K3270" s="6" t="str">
        <x:f>IF(D3270="","",IF(AND(ISNUMBER(SEARCH("平",D3270)),OR(ISNUMBER(SEARCH("上",D3270)),ISNUMBER(SEARCH("去",D3270)),ISNUMBER(SEARCH("入",D3270)))),"Ambiguous",IF(ISNUMBER(SEARCH("平",D3270)),"平","仄")))</x:f>
        <x:v>仄</x:v>
      </x:c>
      <x:c r="L3270" s="7" t="str"/>
    </x:row>
    <x:row r="3271">
      <x:c r="A3271" s="5" t="str">
        <x:v>肱</x:v>
      </x:c>
      <x:c r="B3271" s="6" t="str">
        <x:v>平</x:v>
      </x:c>
      <x:c r="C3271" s="6" t="str">
        <x:f>IF(B3271="","Needs decision","Ready")</x:f>
        <x:v>Ready</x:v>
      </x:c>
      <x:c r="D3271" s="6" t="str">
        <x:v>平</x:v>
      </x:c>
      <x:c r="E3271" s="6" t="str">
        <x:v>kwong (A)</x:v>
      </x:c>
      <x:c r="F3271" s="6" t="str">
        <x:v>下平聲十蒸</x:v>
      </x:c>
      <x:c r="G3271" s="6" t="str">
        <x:v>Pingshui main list, Wikisource-derived DOCX</x:v>
      </x:c>
      <x:c r="H3271" s="6" t="str">
        <x:v>1</x:v>
      </x:c>
      <x:c r="I3271" s="6" t="str"/>
      <x:c r="J3271" s="6" t="str">
        <x:f>IF(B3271="","",IF(AND(ISNUMBER(SEARCH("平",B3271)),OR(ISNUMBER(SEARCH("上",B3271)),ISNUMBER(SEARCH("去",B3271)),ISNUMBER(SEARCH("入",B3271)))),"Ambiguous",IF(ISNUMBER(SEARCH("平",B3271)),"平","仄")))</x:f>
        <x:v>平</x:v>
      </x:c>
      <x:c r="K3271" s="6" t="str">
        <x:f>IF(D3271="","",IF(AND(ISNUMBER(SEARCH("平",D3271)),OR(ISNUMBER(SEARCH("上",D3271)),ISNUMBER(SEARCH("去",D3271)),ISNUMBER(SEARCH("入",D3271)))),"Ambiguous",IF(ISNUMBER(SEARCH("平",D3271)),"平","仄")))</x:f>
        <x:v>平</x:v>
      </x:c>
      <x:c r="L3271" s="7" t="str"/>
    </x:row>
    <x:row r="3272">
      <x:c r="A3272" s="5" t="str">
        <x:v>育</x:v>
      </x:c>
      <x:c r="B3272" s="6" t="str">
        <x:v>入</x:v>
      </x:c>
      <x:c r="C3272" s="6" t="str">
        <x:f>IF(B3272="","Needs decision","Ready")</x:f>
        <x:v>Ready</x:v>
      </x:c>
      <x:c r="D3272" s="6" t="str">
        <x:v>入</x:v>
      </x:c>
      <x:c r="E3272" s="6" t="str">
        <x:v>yuwk (D)</x:v>
      </x:c>
      <x:c r="F3272" s="6" t="str">
        <x:v>入聲一屋</x:v>
      </x:c>
      <x:c r="G3272" s="6" t="str">
        <x:v>Pingshui main list, Wikisource-derived DOCX</x:v>
      </x:c>
      <x:c r="H3272" s="6" t="str">
        <x:v>1</x:v>
      </x:c>
      <x:c r="I3272" s="6" t="str"/>
      <x:c r="J3272" s="6" t="str">
        <x:f>IF(B3272="","",IF(AND(ISNUMBER(SEARCH("平",B3272)),OR(ISNUMBER(SEARCH("上",B3272)),ISNUMBER(SEARCH("去",B3272)),ISNUMBER(SEARCH("入",B3272)))),"Ambiguous",IF(ISNUMBER(SEARCH("平",B3272)),"平","仄")))</x:f>
        <x:v>仄</x:v>
      </x:c>
      <x:c r="K3272" s="6" t="str">
        <x:f>IF(D3272="","",IF(AND(ISNUMBER(SEARCH("平",D3272)),OR(ISNUMBER(SEARCH("上",D3272)),ISNUMBER(SEARCH("去",D3272)),ISNUMBER(SEARCH("入",D3272)))),"Ambiguous",IF(ISNUMBER(SEARCH("平",D3272)),"平","仄")))</x:f>
        <x:v>仄</x:v>
      </x:c>
      <x:c r="L3272" s="7" t="str"/>
    </x:row>
    <x:row r="3273">
      <x:c r="A3273" s="5" t="str">
        <x:v>肴</x:v>
      </x:c>
      <x:c r="B3273" s="6" t="str">
        <x:v>平</x:v>
      </x:c>
      <x:c r="C3273" s="6" t="str">
        <x:f>IF(B3273="","Needs decision","Ready")</x:f>
        <x:v>Ready</x:v>
      </x:c>
      <x:c r="D3273" s="6" t="str">
        <x:v>平</x:v>
      </x:c>
      <x:c r="E3273" s="6" t="str">
        <x:v>haew (A)</x:v>
      </x:c>
      <x:c r="F3273" s="6" t="str">
        <x:v>下平聲三肴</x:v>
      </x:c>
      <x:c r="G3273" s="6" t="str">
        <x:v>Pingshui main list, Wikisource-derived DOCX</x:v>
      </x:c>
      <x:c r="H3273" s="6" t="str">
        <x:v>1</x:v>
      </x:c>
      <x:c r="I3273" s="6" t="str"/>
      <x:c r="J3273" s="6" t="str">
        <x:f>IF(B3273="","",IF(AND(ISNUMBER(SEARCH("平",B3273)),OR(ISNUMBER(SEARCH("上",B3273)),ISNUMBER(SEARCH("去",B3273)),ISNUMBER(SEARCH("入",B3273)))),"Ambiguous",IF(ISNUMBER(SEARCH("平",B3273)),"平","仄")))</x:f>
        <x:v>平</x:v>
      </x:c>
      <x:c r="K3273" s="6" t="str">
        <x:f>IF(D3273="","",IF(AND(ISNUMBER(SEARCH("平",D3273)),OR(ISNUMBER(SEARCH("上",D3273)),ISNUMBER(SEARCH("去",D3273)),ISNUMBER(SEARCH("入",D3273)))),"Ambiguous",IF(ISNUMBER(SEARCH("平",D3273)),"平","仄")))</x:f>
        <x:v>平</x:v>
      </x:c>
      <x:c r="L3273" s="7" t="str"/>
    </x:row>
    <x:row r="3274">
      <x:c r="A3274" s="5" t="str">
        <x:v>肺</x:v>
      </x:c>
      <x:c r="B3274" s="6" t="str">
        <x:v>去</x:v>
      </x:c>
      <x:c r="C3274" s="6" t="str">
        <x:f>IF(B3274="","Needs decision","Ready")</x:f>
        <x:v>Ready</x:v>
      </x:c>
      <x:c r="D3274" s="6" t="str">
        <x:v>去</x:v>
      </x:c>
      <x:c r="E3274" s="6" t="str">
        <x:v>phjojH (C); phajH (C)</x:v>
      </x:c>
      <x:c r="F3274" s="6" t="str">
        <x:v>去聲十一隊</x:v>
      </x:c>
      <x:c r="G3274" s="6" t="str">
        <x:v>Pingshui main list, Wikisource-derived DOCX</x:v>
      </x:c>
      <x:c r="H3274" s="6" t="str">
        <x:v>2</x:v>
      </x:c>
      <x:c r="I3274" s="6" t="str"/>
      <x:c r="J3274" s="6" t="str">
        <x:f>IF(B3274="","",IF(AND(ISNUMBER(SEARCH("平",B3274)),OR(ISNUMBER(SEARCH("上",B3274)),ISNUMBER(SEARCH("去",B3274)),ISNUMBER(SEARCH("入",B3274)))),"Ambiguous",IF(ISNUMBER(SEARCH("平",B3274)),"平","仄")))</x:f>
        <x:v>仄</x:v>
      </x:c>
      <x:c r="K3274" s="6" t="str">
        <x:f>IF(D3274="","",IF(AND(ISNUMBER(SEARCH("平",D3274)),OR(ISNUMBER(SEARCH("上",D3274)),ISNUMBER(SEARCH("去",D3274)),ISNUMBER(SEARCH("入",D3274)))),"Ambiguous",IF(ISNUMBER(SEARCH("平",D3274)),"平","仄")))</x:f>
        <x:v>仄</x:v>
      </x:c>
      <x:c r="L3274" s="7" t="str"/>
    </x:row>
    <x:row r="3275">
      <x:c r="A3275" s="5" t="str">
        <x:v>胃</x:v>
      </x:c>
      <x:c r="B3275" s="6" t="str">
        <x:v>去</x:v>
      </x:c>
      <x:c r="C3275" s="6" t="str">
        <x:f>IF(B3275="","Needs decision","Ready")</x:f>
        <x:v>Ready</x:v>
      </x:c>
      <x:c r="D3275" s="6" t="str">
        <x:v>去</x:v>
      </x:c>
      <x:c r="E3275" s="6" t="str">
        <x:v>hjw+jH (C)</x:v>
      </x:c>
      <x:c r="F3275" s="6" t="str">
        <x:v>去聲五未</x:v>
      </x:c>
      <x:c r="G3275" s="6" t="str">
        <x:v>Pingshui main list, Wikisource-derived DOCX</x:v>
      </x:c>
      <x:c r="H3275" s="6" t="str">
        <x:v>1</x:v>
      </x:c>
      <x:c r="I3275" s="6" t="str"/>
      <x:c r="J3275" s="6" t="str">
        <x:f>IF(B3275="","",IF(AND(ISNUMBER(SEARCH("平",B3275)),OR(ISNUMBER(SEARCH("上",B3275)),ISNUMBER(SEARCH("去",B3275)),ISNUMBER(SEARCH("入",B3275)))),"Ambiguous",IF(ISNUMBER(SEARCH("平",B3275)),"平","仄")))</x:f>
        <x:v>仄</x:v>
      </x:c>
      <x:c r="K3275" s="6" t="str">
        <x:f>IF(D3275="","",IF(AND(ISNUMBER(SEARCH("平",D3275)),OR(ISNUMBER(SEARCH("上",D3275)),ISNUMBER(SEARCH("去",D3275)),ISNUMBER(SEARCH("入",D3275)))),"Ambiguous",IF(ISNUMBER(SEARCH("平",D3275)),"平","仄")))</x:f>
        <x:v>仄</x:v>
      </x:c>
      <x:c r="L3275" s="7" t="str"/>
    </x:row>
    <x:row r="3276">
      <x:c r="A3276" s="5" t="str">
        <x:v>胈</x:v>
      </x:c>
      <x:c r="B3276" s="6" t="str">
        <x:v>入</x:v>
      </x:c>
      <x:c r="C3276" s="6" t="str">
        <x:f>IF(B3276="","Needs decision","Ready")</x:f>
        <x:v>Ready</x:v>
      </x:c>
      <x:c r="D3276" s="6" t="str">
        <x:v>入</x:v>
      </x:c>
      <x:c r="E3276" s="6" t="str">
        <x:v>pat (D)</x:v>
      </x:c>
      <x:c r="F3276" s="6" t="str"/>
      <x:c r="G3276" s="6" t="str"/>
      <x:c r="H3276" s="6" t="str">
        <x:v>1</x:v>
      </x:c>
      <x:c r="I3276" s="6" t="str"/>
      <x:c r="J3276" s="6" t="str">
        <x:f>IF(B3276="","",IF(AND(ISNUMBER(SEARCH("平",B3276)),OR(ISNUMBER(SEARCH("上",B3276)),ISNUMBER(SEARCH("去",B3276)),ISNUMBER(SEARCH("入",B3276)))),"Ambiguous",IF(ISNUMBER(SEARCH("平",B3276)),"平","仄")))</x:f>
        <x:v>仄</x:v>
      </x:c>
      <x:c r="K3276" s="6" t="str">
        <x:f>IF(D3276="","",IF(AND(ISNUMBER(SEARCH("平",D3276)),OR(ISNUMBER(SEARCH("上",D3276)),ISNUMBER(SEARCH("去",D3276)),ISNUMBER(SEARCH("入",D3276)))),"Ambiguous",IF(ISNUMBER(SEARCH("平",D3276)),"平","仄")))</x:f>
        <x:v>仄</x:v>
      </x:c>
      <x:c r="L3276" s="7" t="str"/>
    </x:row>
    <x:row r="3277">
      <x:c r="A3277" s="5" t="str">
        <x:v>胉</x:v>
      </x:c>
      <x:c r="B3277" s="6" t="str">
        <x:v>入</x:v>
      </x:c>
      <x:c r="C3277" s="6" t="str">
        <x:f>IF(B3277="","Needs decision","Ready")</x:f>
        <x:v>Ready</x:v>
      </x:c>
      <x:c r="D3277" s="6" t="str">
        <x:v>入</x:v>
      </x:c>
      <x:c r="E3277" s="6" t="str">
        <x:v>phak (D)</x:v>
      </x:c>
      <x:c r="F3277" s="6" t="str"/>
      <x:c r="G3277" s="6" t="str"/>
      <x:c r="H3277" s="6" t="str">
        <x:v>1</x:v>
      </x:c>
      <x:c r="I3277" s="6" t="str"/>
      <x:c r="J3277" s="6" t="str">
        <x:f>IF(B3277="","",IF(AND(ISNUMBER(SEARCH("平",B3277)),OR(ISNUMBER(SEARCH("上",B3277)),ISNUMBER(SEARCH("去",B3277)),ISNUMBER(SEARCH("入",B3277)))),"Ambiguous",IF(ISNUMBER(SEARCH("平",B3277)),"平","仄")))</x:f>
        <x:v>仄</x:v>
      </x:c>
      <x:c r="K3277" s="6" t="str">
        <x:f>IF(D3277="","",IF(AND(ISNUMBER(SEARCH("平",D3277)),OR(ISNUMBER(SEARCH("上",D3277)),ISNUMBER(SEARCH("去",D3277)),ISNUMBER(SEARCH("入",D3277)))),"Ambiguous",IF(ISNUMBER(SEARCH("平",D3277)),"平","仄")))</x:f>
        <x:v>仄</x:v>
      </x:c>
      <x:c r="L3277" s="7" t="str"/>
    </x:row>
    <x:row r="3278">
      <x:c r="A3278" s="5" t="str">
        <x:v>背</x:v>
      </x:c>
      <x:c r="B3278" s="6" t="str">
        <x:v>去</x:v>
      </x:c>
      <x:c r="C3278" s="6" t="str">
        <x:f>IF(B3278="","Needs decision","Ready")</x:f>
        <x:v>Ready</x:v>
      </x:c>
      <x:c r="D3278" s="6" t="str">
        <x:v>去</x:v>
      </x:c>
      <x:c r="E3278" s="6" t="str">
        <x:v>bwojH (C); pwojH (C)</x:v>
      </x:c>
      <x:c r="F3278" s="6" t="str">
        <x:v>去聲十一隊</x:v>
      </x:c>
      <x:c r="G3278" s="6" t="str">
        <x:v>Pingshui main list, Wikisource-derived DOCX</x:v>
      </x:c>
      <x:c r="H3278" s="6" t="str">
        <x:v>2</x:v>
      </x:c>
      <x:c r="I3278" s="6" t="str"/>
      <x:c r="J3278" s="6" t="str">
        <x:f>IF(B3278="","",IF(AND(ISNUMBER(SEARCH("平",B3278)),OR(ISNUMBER(SEARCH("上",B3278)),ISNUMBER(SEARCH("去",B3278)),ISNUMBER(SEARCH("入",B3278)))),"Ambiguous",IF(ISNUMBER(SEARCH("平",B3278)),"平","仄")))</x:f>
        <x:v>仄</x:v>
      </x:c>
      <x:c r="K3278" s="6" t="str">
        <x:f>IF(D3278="","",IF(AND(ISNUMBER(SEARCH("平",D3278)),OR(ISNUMBER(SEARCH("上",D3278)),ISNUMBER(SEARCH("去",D3278)),ISNUMBER(SEARCH("入",D3278)))),"Ambiguous",IF(ISNUMBER(SEARCH("平",D3278)),"平","仄")))</x:f>
        <x:v>仄</x:v>
      </x:c>
      <x:c r="L3278" s="7" t="str"/>
    </x:row>
    <x:row r="3279">
      <x:c r="A3279" s="5" t="str">
        <x:v>胎</x:v>
      </x:c>
      <x:c r="B3279" s="6" t="str">
        <x:v>平</x:v>
      </x:c>
      <x:c r="C3279" s="6" t="str">
        <x:f>IF(B3279="","Needs decision","Ready")</x:f>
        <x:v>Ready</x:v>
      </x:c>
      <x:c r="D3279" s="6" t="str">
        <x:v>平</x:v>
      </x:c>
      <x:c r="E3279" s="6" t="str">
        <x:v>thoj (A)</x:v>
      </x:c>
      <x:c r="F3279" s="6" t="str">
        <x:v>上平聲十灰</x:v>
      </x:c>
      <x:c r="G3279" s="6" t="str">
        <x:v>Pingshui main list, Wikisource-derived DOCX</x:v>
      </x:c>
      <x:c r="H3279" s="6" t="str">
        <x:v>1</x:v>
      </x:c>
      <x:c r="I3279" s="6" t="str"/>
      <x:c r="J3279" s="6" t="str">
        <x:f>IF(B3279="","",IF(AND(ISNUMBER(SEARCH("平",B3279)),OR(ISNUMBER(SEARCH("上",B3279)),ISNUMBER(SEARCH("去",B3279)),ISNUMBER(SEARCH("入",B3279)))),"Ambiguous",IF(ISNUMBER(SEARCH("平",B3279)),"平","仄")))</x:f>
        <x:v>平</x:v>
      </x:c>
      <x:c r="K3279" s="6" t="str">
        <x:f>IF(D3279="","",IF(AND(ISNUMBER(SEARCH("平",D3279)),OR(ISNUMBER(SEARCH("上",D3279)),ISNUMBER(SEARCH("去",D3279)),ISNUMBER(SEARCH("入",D3279)))),"Ambiguous",IF(ISNUMBER(SEARCH("平",D3279)),"平","仄")))</x:f>
        <x:v>平</x:v>
      </x:c>
      <x:c r="L3279" s="7" t="str"/>
    </x:row>
    <x:row r="3280">
      <x:c r="A3280" s="5" t="str">
        <x:v>胑</x:v>
      </x:c>
      <x:c r="B3280" s="6" t="str">
        <x:v>平</x:v>
      </x:c>
      <x:c r="C3280" s="6" t="str">
        <x:f>IF(B3280="","Needs decision","Ready")</x:f>
        <x:v>Ready</x:v>
      </x:c>
      <x:c r="D3280" s="6" t="str">
        <x:v>平</x:v>
      </x:c>
      <x:c r="E3280" s="6" t="str">
        <x:v>tsye (A)</x:v>
      </x:c>
      <x:c r="F3280" s="6" t="str"/>
      <x:c r="G3280" s="6" t="str"/>
      <x:c r="H3280" s="6" t="str">
        <x:v>1</x:v>
      </x:c>
      <x:c r="I3280" s="6" t="str"/>
      <x:c r="J3280" s="6" t="str">
        <x:f>IF(B3280="","",IF(AND(ISNUMBER(SEARCH("平",B3280)),OR(ISNUMBER(SEARCH("上",B3280)),ISNUMBER(SEARCH("去",B3280)),ISNUMBER(SEARCH("入",B3280)))),"Ambiguous",IF(ISNUMBER(SEARCH("平",B3280)),"平","仄")))</x:f>
        <x:v>平</x:v>
      </x:c>
      <x:c r="K3280" s="6" t="str">
        <x:f>IF(D3280="","",IF(AND(ISNUMBER(SEARCH("平",D3280)),OR(ISNUMBER(SEARCH("上",D3280)),ISNUMBER(SEARCH("去",D3280)),ISNUMBER(SEARCH("入",D3280)))),"Ambiguous",IF(ISNUMBER(SEARCH("平",D3280)),"平","仄")))</x:f>
        <x:v>平</x:v>
      </x:c>
      <x:c r="L3280" s="7" t="str"/>
    </x:row>
    <x:row r="3281">
      <x:c r="A3281" s="5" t="str">
        <x:v>胙</x:v>
      </x:c>
      <x:c r="B3281" s="6" t="str">
        <x:v>去</x:v>
      </x:c>
      <x:c r="C3281" s="6" t="str">
        <x:f>IF(B3281="","Needs decision","Ready")</x:f>
        <x:v>Ready</x:v>
      </x:c>
      <x:c r="D3281" s="6" t="str">
        <x:v>去</x:v>
      </x:c>
      <x:c r="E3281" s="6" t="str">
        <x:v>dzuH (C)</x:v>
      </x:c>
      <x:c r="F3281" s="6" t="str">
        <x:v>去聲七遇</x:v>
      </x:c>
      <x:c r="G3281" s="6" t="str">
        <x:v>Pingshui main list, Wikisource-derived DOCX</x:v>
      </x:c>
      <x:c r="H3281" s="6" t="str">
        <x:v>1</x:v>
      </x:c>
      <x:c r="I3281" s="6" t="str"/>
      <x:c r="J3281" s="6" t="str">
        <x:f>IF(B3281="","",IF(AND(ISNUMBER(SEARCH("平",B3281)),OR(ISNUMBER(SEARCH("上",B3281)),ISNUMBER(SEARCH("去",B3281)),ISNUMBER(SEARCH("入",B3281)))),"Ambiguous",IF(ISNUMBER(SEARCH("平",B3281)),"平","仄")))</x:f>
        <x:v>仄</x:v>
      </x:c>
      <x:c r="K3281" s="6" t="str">
        <x:f>IF(D3281="","",IF(AND(ISNUMBER(SEARCH("平",D3281)),OR(ISNUMBER(SEARCH("上",D3281)),ISNUMBER(SEARCH("去",D3281)),ISNUMBER(SEARCH("入",D3281)))),"Ambiguous",IF(ISNUMBER(SEARCH("平",D3281)),"平","仄")))</x:f>
        <x:v>仄</x:v>
      </x:c>
      <x:c r="L3281" s="7" t="str"/>
    </x:row>
    <x:row r="3282">
      <x:c r="A3282" s="5" t="str">
        <x:v>胝</x:v>
      </x:c>
      <x:c r="B3282" s="6" t="str">
        <x:v>平</x:v>
      </x:c>
      <x:c r="C3282" s="6" t="str">
        <x:f>IF(B3282="","Needs decision","Ready")</x:f>
        <x:v>Ready</x:v>
      </x:c>
      <x:c r="D3282" s="6" t="str">
        <x:v>平</x:v>
      </x:c>
      <x:c r="E3282" s="6" t="str">
        <x:v>trij [ʈi] (平)</x:v>
      </x:c>
      <x:c r="F3282" s="6" t="str">
        <x:v>上平聲四支</x:v>
      </x:c>
      <x:c r="G3282" s="6" t="str">
        <x:v>Pingshui main list, Wikisource-derived DOCX</x:v>
      </x:c>
      <x:c r="H3282" s="6" t="str">
        <x:v>1</x:v>
      </x:c>
      <x:c r="I3282" s="6" t="str">
        <x:v>Tang 300 gap; frequency 1; provisional from Xun Gong</x:v>
      </x:c>
      <x:c r="J3282" s="6" t="str">
        <x:f>IF(B3282="","",IF(AND(ISNUMBER(SEARCH("平",B3282)),OR(ISNUMBER(SEARCH("上",B3282)),ISNUMBER(SEARCH("去",B3282)),ISNUMBER(SEARCH("入",B3282)))),"Ambiguous",IF(ISNUMBER(SEARCH("平",B3282)),"平","仄")))</x:f>
        <x:v>平</x:v>
      </x:c>
      <x:c r="K3282" s="6" t="str">
        <x:f>IF(D3282="","",IF(AND(ISNUMBER(SEARCH("平",D3282)),OR(ISNUMBER(SEARCH("上",D3282)),ISNUMBER(SEARCH("去",D3282)),ISNUMBER(SEARCH("入",D3282)))),"Ambiguous",IF(ISNUMBER(SEARCH("平",D3282)),"平","仄")))</x:f>
        <x:v>平</x:v>
      </x:c>
      <x:c r="L3282" s="7" t="str">
        <x:v>Xun Gong, Tang 300 gap fill</x:v>
      </x:c>
    </x:row>
    <x:row r="3283">
      <x:c r="A3283" s="5" t="str">
        <x:v>胞</x:v>
      </x:c>
      <x:c r="B3283" s="6" t="str">
        <x:v>平</x:v>
      </x:c>
      <x:c r="C3283" s="6" t="str">
        <x:f>IF(B3283="","Needs decision","Ready")</x:f>
        <x:v>Ready</x:v>
      </x:c>
      <x:c r="D3283" s="6" t="str">
        <x:v>平</x:v>
      </x:c>
      <x:c r="E3283" s="6" t="str">
        <x:v>paew (A)</x:v>
      </x:c>
      <x:c r="F3283" s="6" t="str">
        <x:v>下平聲三肴</x:v>
      </x:c>
      <x:c r="G3283" s="6" t="str">
        <x:v>Pingshui main list, Wikisource-derived DOCX</x:v>
      </x:c>
      <x:c r="H3283" s="6" t="str">
        <x:v>1</x:v>
      </x:c>
      <x:c r="I3283" s="6" t="str"/>
      <x:c r="J3283" s="6" t="str">
        <x:f>IF(B3283="","",IF(AND(ISNUMBER(SEARCH("平",B3283)),OR(ISNUMBER(SEARCH("上",B3283)),ISNUMBER(SEARCH("去",B3283)),ISNUMBER(SEARCH("入",B3283)))),"Ambiguous",IF(ISNUMBER(SEARCH("平",B3283)),"平","仄")))</x:f>
        <x:v>平</x:v>
      </x:c>
      <x:c r="K3283" s="6" t="str">
        <x:f>IF(D3283="","",IF(AND(ISNUMBER(SEARCH("平",D3283)),OR(ISNUMBER(SEARCH("上",D3283)),ISNUMBER(SEARCH("去",D3283)),ISNUMBER(SEARCH("入",D3283)))),"Ambiguous",IF(ISNUMBER(SEARCH("平",D3283)),"平","仄")))</x:f>
        <x:v>平</x:v>
      </x:c>
      <x:c r="L3283" s="7" t="str"/>
    </x:row>
    <x:row r="3284">
      <x:c r="A3284" s="5" t="str">
        <x:v>胠</x:v>
      </x:c>
      <x:c r="B3284" s="6" t="str">
        <x:v>入</x:v>
      </x:c>
      <x:c r="C3284" s="6" t="str">
        <x:f>IF(B3284="","Needs decision","Ready")</x:f>
        <x:v>Ready</x:v>
      </x:c>
      <x:c r="D3284" s="6" t="str">
        <x:v>入</x:v>
      </x:c>
      <x:c r="E3284" s="6" t="str">
        <x:v>khjaep (D)</x:v>
      </x:c>
      <x:c r="F3284" s="6" t="str">
        <x:v>上平聲六魚; 去聲六御</x:v>
      </x:c>
      <x:c r="G3284" s="6" t="str">
        <x:v>Pingshui main list, Wikisource-derived DOCX</x:v>
      </x:c>
      <x:c r="H3284" s="6" t="str">
        <x:v>1</x:v>
      </x:c>
      <x:c r="I3284" s="6" t="str"/>
      <x:c r="J3284" s="6" t="str">
        <x:f>IF(B3284="","",IF(AND(ISNUMBER(SEARCH("平",B3284)),OR(ISNUMBER(SEARCH("上",B3284)),ISNUMBER(SEARCH("去",B3284)),ISNUMBER(SEARCH("入",B3284)))),"Ambiguous",IF(ISNUMBER(SEARCH("平",B3284)),"平","仄")))</x:f>
        <x:v>仄</x:v>
      </x:c>
      <x:c r="K3284" s="6" t="str">
        <x:f>IF(D3284="","",IF(AND(ISNUMBER(SEARCH("平",D3284)),OR(ISNUMBER(SEARCH("上",D3284)),ISNUMBER(SEARCH("去",D3284)),ISNUMBER(SEARCH("入",D3284)))),"Ambiguous",IF(ISNUMBER(SEARCH("平",D3284)),"平","仄")))</x:f>
        <x:v>仄</x:v>
      </x:c>
      <x:c r="L3284" s="7" t="str"/>
    </x:row>
    <x:row r="3285">
      <x:c r="A3285" s="5" t="str">
        <x:v>胡</x:v>
      </x:c>
      <x:c r="B3285" s="6" t="str">
        <x:v>平</x:v>
      </x:c>
      <x:c r="C3285" s="6" t="str">
        <x:f>IF(B3285="","Needs decision","Ready")</x:f>
        <x:v>Ready</x:v>
      </x:c>
      <x:c r="D3285" s="6" t="str">
        <x:v>平</x:v>
      </x:c>
      <x:c r="E3285" s="6" t="str">
        <x:v>hu (A)</x:v>
      </x:c>
      <x:c r="F3285" s="6" t="str">
        <x:v>上平聲七虞</x:v>
      </x:c>
      <x:c r="G3285" s="6" t="str">
        <x:v>Pingshui main list, Wikisource-derived DOCX</x:v>
      </x:c>
      <x:c r="H3285" s="6" t="str">
        <x:v>1</x:v>
      </x:c>
      <x:c r="I3285" s="6" t="str"/>
      <x:c r="J3285" s="6" t="str">
        <x:f>IF(B3285="","",IF(AND(ISNUMBER(SEARCH("平",B3285)),OR(ISNUMBER(SEARCH("上",B3285)),ISNUMBER(SEARCH("去",B3285)),ISNUMBER(SEARCH("入",B3285)))),"Ambiguous",IF(ISNUMBER(SEARCH("平",B3285)),"平","仄")))</x:f>
        <x:v>平</x:v>
      </x:c>
      <x:c r="K3285" s="6" t="str">
        <x:f>IF(D3285="","",IF(AND(ISNUMBER(SEARCH("平",D3285)),OR(ISNUMBER(SEARCH("上",D3285)),ISNUMBER(SEARCH("去",D3285)),ISNUMBER(SEARCH("入",D3285)))),"Ambiguous",IF(ISNUMBER(SEARCH("平",D3285)),"平","仄")))</x:f>
        <x:v>平</x:v>
      </x:c>
      <x:c r="L3285" s="7" t="str"/>
    </x:row>
    <x:row r="3286">
      <x:c r="A3286" s="5" t="str">
        <x:v>胣</x:v>
      </x:c>
      <x:c r="B3286" s="6" t="str">
        <x:v>上</x:v>
      </x:c>
      <x:c r="C3286" s="6" t="str">
        <x:f>IF(B3286="","Needs decision","Ready")</x:f>
        <x:v>Ready</x:v>
      </x:c>
      <x:c r="D3286" s="6" t="str">
        <x:v>上</x:v>
      </x:c>
      <x:c r="E3286" s="6" t="str">
        <x:v>yeX (B)</x:v>
      </x:c>
      <x:c r="F3286" s="6" t="str"/>
      <x:c r="G3286" s="6" t="str"/>
      <x:c r="H3286" s="6" t="str">
        <x:v>1</x:v>
      </x:c>
      <x:c r="I3286" s="6" t="str"/>
      <x:c r="J3286" s="6" t="str">
        <x:f>IF(B3286="","",IF(AND(ISNUMBER(SEARCH("平",B3286)),OR(ISNUMBER(SEARCH("上",B3286)),ISNUMBER(SEARCH("去",B3286)),ISNUMBER(SEARCH("入",B3286)))),"Ambiguous",IF(ISNUMBER(SEARCH("平",B3286)),"平","仄")))</x:f>
        <x:v>仄</x:v>
      </x:c>
      <x:c r="K3286" s="6" t="str">
        <x:f>IF(D3286="","",IF(AND(ISNUMBER(SEARCH("平",D3286)),OR(ISNUMBER(SEARCH("上",D3286)),ISNUMBER(SEARCH("去",D3286)),ISNUMBER(SEARCH("入",D3286)))),"Ambiguous",IF(ISNUMBER(SEARCH("平",D3286)),"平","仄")))</x:f>
        <x:v>仄</x:v>
      </x:c>
      <x:c r="L3286" s="7" t="str"/>
    </x:row>
    <x:row r="3287">
      <x:c r="A3287" s="5" t="str">
        <x:v>胤</x:v>
      </x:c>
      <x:c r="B3287" s="6" t="str">
        <x:v>去</x:v>
      </x:c>
      <x:c r="C3287" s="6" t="str">
        <x:f>IF(B3287="","Needs decision","Ready")</x:f>
        <x:v>Ready</x:v>
      </x:c>
      <x:c r="D3287" s="6" t="str">
        <x:v>去</x:v>
      </x:c>
      <x:c r="E3287" s="6" t="str">
        <x:v>yinH (C)</x:v>
      </x:c>
      <x:c r="F3287" s="6" t="str"/>
      <x:c r="G3287" s="6" t="str"/>
      <x:c r="H3287" s="6" t="str">
        <x:v>1</x:v>
      </x:c>
      <x:c r="I3287" s="6" t="str"/>
      <x:c r="J3287" s="6" t="str">
        <x:f>IF(B3287="","",IF(AND(ISNUMBER(SEARCH("平",B3287)),OR(ISNUMBER(SEARCH("上",B3287)),ISNUMBER(SEARCH("去",B3287)),ISNUMBER(SEARCH("入",B3287)))),"Ambiguous",IF(ISNUMBER(SEARCH("平",B3287)),"平","仄")))</x:f>
        <x:v>仄</x:v>
      </x:c>
      <x:c r="K3287" s="6" t="str">
        <x:f>IF(D3287="","",IF(AND(ISNUMBER(SEARCH("平",D3287)),OR(ISNUMBER(SEARCH("上",D3287)),ISNUMBER(SEARCH("去",D3287)),ISNUMBER(SEARCH("入",D3287)))),"Ambiguous",IF(ISNUMBER(SEARCH("平",D3287)),"平","仄")))</x:f>
        <x:v>仄</x:v>
      </x:c>
      <x:c r="L3287" s="7" t="str"/>
    </x:row>
    <x:row r="3288">
      <x:c r="A3288" s="5" t="str">
        <x:v>胥</x:v>
      </x:c>
      <x:c r="B3288" s="6" t="str"/>
      <x:c r="C3288" s="6" t="str">
        <x:f>IF(B3288="","Needs decision","Ready")</x:f>
        <x:v>Needs decision</x:v>
      </x:c>
      <x:c r="D3288" s="6" t="str">
        <x:v>平/上</x:v>
      </x:c>
      <x:c r="E3288" s="6" t="str">
        <x:v>sjo [sjə] (平); sjoX [sjəʔ] (上)</x:v>
      </x:c>
      <x:c r="F3288" s="6" t="str">
        <x:v>上平聲六魚</x:v>
      </x:c>
      <x:c r="G3288" s="6" t="str">
        <x:v>Pingshui main list, Wikisource-derived DOCX</x:v>
      </x:c>
      <x:c r="H3288" s="6" t="str">
        <x:v>2</x:v>
      </x:c>
      <x:c r="I3288" s="6" t="str">
        <x:v>Tang 300 gap; frequency 2; ambiguous in Xun Gong</x:v>
      </x:c>
      <x:c r="J3288" s="6" t="str">
        <x:f>IF(B3288="","",IF(AND(ISNUMBER(SEARCH("平",B3288)),OR(ISNUMBER(SEARCH("上",B3288)),ISNUMBER(SEARCH("去",B3288)),ISNUMBER(SEARCH("入",B3288)))),"Ambiguous",IF(ISNUMBER(SEARCH("平",B3288)),"平","仄")))</x:f>
      </x:c>
      <x:c r="K3288" s="6" t="str">
        <x:f>IF(D3288="","",IF(AND(ISNUMBER(SEARCH("平",D3288)),OR(ISNUMBER(SEARCH("上",D3288)),ISNUMBER(SEARCH("去",D3288)),ISNUMBER(SEARCH("入",D3288)))),"Ambiguous",IF(ISNUMBER(SEARCH("平",D3288)),"平","仄")))</x:f>
        <x:v>Ambiguous</x:v>
      </x:c>
      <x:c r="L3288" s="7" t="str">
        <x:v>Xun Gong, Tang 300 gap fill</x:v>
      </x:c>
    </x:row>
    <x:row r="3289">
      <x:c r="A3289" s="5" t="str">
        <x:v>胳</x:v>
      </x:c>
      <x:c r="B3289" s="6" t="str">
        <x:v>入</x:v>
      </x:c>
      <x:c r="C3289" s="6" t="str">
        <x:f>IF(B3289="","Needs decision","Ready")</x:f>
        <x:v>Ready</x:v>
      </x:c>
      <x:c r="D3289" s="6" t="str">
        <x:v>入</x:v>
      </x:c>
      <x:c r="E3289" s="6" t="str">
        <x:v>kak (D)</x:v>
      </x:c>
      <x:c r="F3289" s="6" t="str"/>
      <x:c r="G3289" s="6" t="str"/>
      <x:c r="H3289" s="6" t="str">
        <x:v>1</x:v>
      </x:c>
      <x:c r="I3289" s="6" t="str"/>
      <x:c r="J3289" s="6" t="str">
        <x:f>IF(B3289="","",IF(AND(ISNUMBER(SEARCH("平",B3289)),OR(ISNUMBER(SEARCH("上",B3289)),ISNUMBER(SEARCH("去",B3289)),ISNUMBER(SEARCH("入",B3289)))),"Ambiguous",IF(ISNUMBER(SEARCH("平",B3289)),"平","仄")))</x:f>
        <x:v>仄</x:v>
      </x:c>
      <x:c r="K3289" s="6" t="str">
        <x:f>IF(D3289="","",IF(AND(ISNUMBER(SEARCH("平",D3289)),OR(ISNUMBER(SEARCH("上",D3289)),ISNUMBER(SEARCH("去",D3289)),ISNUMBER(SEARCH("入",D3289)))),"Ambiguous",IF(ISNUMBER(SEARCH("平",D3289)),"平","仄")))</x:f>
        <x:v>仄</x:v>
      </x:c>
      <x:c r="L3289" s="7" t="str"/>
    </x:row>
    <x:row r="3290">
      <x:c r="A3290" s="5" t="str">
        <x:v>胷</x:v>
      </x:c>
      <x:c r="B3290" s="6" t="str">
        <x:v>平</x:v>
      </x:c>
      <x:c r="C3290" s="6" t="str">
        <x:f>IF(B3290="","Needs decision","Ready")</x:f>
        <x:v>Ready</x:v>
      </x:c>
      <x:c r="D3290" s="6" t="str">
        <x:v>平</x:v>
      </x:c>
      <x:c r="E3290" s="6" t="str">
        <x:v>xjowng [曉三C鍾平] xɨ̯oŋ</x:v>
      </x:c>
      <x:c r="F3290" s="6" t="str"/>
      <x:c r="G3290" s="6" t="str"/>
      <x:c r="H3290" s="6" t="str">
        <x:v>1</x:v>
      </x:c>
      <x:c r="I3290" s="6" t="str">
        <x:v>Targeted preliminary fill from Xun Gong; review if uncertain</x:v>
      </x:c>
      <x:c r="J3290" s="6" t="str">
        <x:f>IF(B3290="","",IF(AND(ISNUMBER(SEARCH("平",B3290)),OR(ISNUMBER(SEARCH("上",B3290)),ISNUMBER(SEARCH("去",B3290)),ISNUMBER(SEARCH("入",B3290)))),"Ambiguous",IF(ISNUMBER(SEARCH("平",B3290)),"平","仄")))</x:f>
        <x:v>平</x:v>
      </x:c>
      <x:c r="K3290" s="6" t="str">
        <x:f>IF(D3290="","",IF(AND(ISNUMBER(SEARCH("平",D3290)),OR(ISNUMBER(SEARCH("上",D3290)),ISNUMBER(SEARCH("去",D3290)),ISNUMBER(SEARCH("入",D3290)))),"Ambiguous",IF(ISNUMBER(SEARCH("平",D3290)),"平","仄")))</x:f>
        <x:v>平</x:v>
      </x:c>
      <x:c r="L3290" s="7" t="str">
        <x:v>Xun Gong character-readings.csv</x:v>
      </x:c>
    </x:row>
    <x:row r="3291">
      <x:c r="A3291" s="5" t="str">
        <x:v>能</x:v>
      </x:c>
      <x:c r="B3291" s="6" t="str">
        <x:v>平</x:v>
      </x:c>
      <x:c r="C3291" s="6" t="str">
        <x:f>IF(B3291="","Needs decision","Ready")</x:f>
        <x:v>Ready</x:v>
      </x:c>
      <x:c r="D3291" s="6" t="str">
        <x:v>平</x:v>
      </x:c>
      <x:c r="E3291" s="6" t="str">
        <x:v>noj (A); nong (A)</x:v>
      </x:c>
      <x:c r="F3291" s="6" t="str">
        <x:v>上平聲十灰; 下平聲十蒸</x:v>
      </x:c>
      <x:c r="G3291" s="6" t="str">
        <x:v>Pingshui main list, Wikisource-derived DOCX</x:v>
      </x:c>
      <x:c r="H3291" s="6" t="str">
        <x:v>2</x:v>
      </x:c>
      <x:c r="I3291" s="6" t="str"/>
      <x:c r="J3291" s="6" t="str">
        <x:f>IF(B3291="","",IF(AND(ISNUMBER(SEARCH("平",B3291)),OR(ISNUMBER(SEARCH("上",B3291)),ISNUMBER(SEARCH("去",B3291)),ISNUMBER(SEARCH("入",B3291)))),"Ambiguous",IF(ISNUMBER(SEARCH("平",B3291)),"平","仄")))</x:f>
        <x:v>平</x:v>
      </x:c>
      <x:c r="K3291" s="6" t="str">
        <x:f>IF(D3291="","",IF(AND(ISNUMBER(SEARCH("平",D3291)),OR(ISNUMBER(SEARCH("上",D3291)),ISNUMBER(SEARCH("去",D3291)),ISNUMBER(SEARCH("入",D3291)))),"Ambiguous",IF(ISNUMBER(SEARCH("平",D3291)),"平","仄")))</x:f>
        <x:v>平</x:v>
      </x:c>
      <x:c r="L3291" s="7" t="str"/>
    </x:row>
    <x:row r="3292">
      <x:c r="A3292" s="5" t="str">
        <x:v>脀</x:v>
      </x:c>
      <x:c r="B3292" s="6" t="str">
        <x:v>平</x:v>
      </x:c>
      <x:c r="C3292" s="6" t="str">
        <x:f>IF(B3292="","Needs decision","Ready")</x:f>
        <x:v>Ready</x:v>
      </x:c>
      <x:c r="D3292" s="6" t="str">
        <x:v>平</x:v>
      </x:c>
      <x:c r="E3292" s="6" t="str">
        <x:v>tsying (A)</x:v>
      </x:c>
      <x:c r="F3292" s="6" t="str"/>
      <x:c r="G3292" s="6" t="str"/>
      <x:c r="H3292" s="6" t="str">
        <x:v>1</x:v>
      </x:c>
      <x:c r="I3292" s="6" t="str"/>
      <x:c r="J3292" s="6" t="str">
        <x:f>IF(B3292="","",IF(AND(ISNUMBER(SEARCH("平",B3292)),OR(ISNUMBER(SEARCH("上",B3292)),ISNUMBER(SEARCH("去",B3292)),ISNUMBER(SEARCH("入",B3292)))),"Ambiguous",IF(ISNUMBER(SEARCH("平",B3292)),"平","仄")))</x:f>
        <x:v>平</x:v>
      </x:c>
      <x:c r="K3292" s="6" t="str">
        <x:f>IF(D3292="","",IF(AND(ISNUMBER(SEARCH("平",D3292)),OR(ISNUMBER(SEARCH("上",D3292)),ISNUMBER(SEARCH("去",D3292)),ISNUMBER(SEARCH("入",D3292)))),"Ambiguous",IF(ISNUMBER(SEARCH("平",D3292)),"平","仄")))</x:f>
        <x:v>平</x:v>
      </x:c>
      <x:c r="L3292" s="7" t="str"/>
    </x:row>
    <x:row r="3293">
      <x:c r="A3293" s="5" t="str">
        <x:v>脂</x:v>
      </x:c>
      <x:c r="B3293" s="6" t="str">
        <x:v>平</x:v>
      </x:c>
      <x:c r="C3293" s="6" t="str">
        <x:f>IF(B3293="","Needs decision","Ready")</x:f>
        <x:v>Ready</x:v>
      </x:c>
      <x:c r="D3293" s="6" t="str">
        <x:v>平</x:v>
      </x:c>
      <x:c r="E3293" s="6" t="str">
        <x:v>tsyij (A)</x:v>
      </x:c>
      <x:c r="F3293" s="6" t="str">
        <x:v>上平聲四支</x:v>
      </x:c>
      <x:c r="G3293" s="6" t="str">
        <x:v>Pingshui main list, Wikisource-derived DOCX</x:v>
      </x:c>
      <x:c r="H3293" s="6" t="str">
        <x:v>1</x:v>
      </x:c>
      <x:c r="I3293" s="6" t="str"/>
      <x:c r="J3293" s="6" t="str">
        <x:f>IF(B3293="","",IF(AND(ISNUMBER(SEARCH("平",B3293)),OR(ISNUMBER(SEARCH("上",B3293)),ISNUMBER(SEARCH("去",B3293)),ISNUMBER(SEARCH("入",B3293)))),"Ambiguous",IF(ISNUMBER(SEARCH("平",B3293)),"平","仄")))</x:f>
        <x:v>平</x:v>
      </x:c>
      <x:c r="K3293" s="6" t="str">
        <x:f>IF(D3293="","",IF(AND(ISNUMBER(SEARCH("平",D3293)),OR(ISNUMBER(SEARCH("上",D3293)),ISNUMBER(SEARCH("去",D3293)),ISNUMBER(SEARCH("入",D3293)))),"Ambiguous",IF(ISNUMBER(SEARCH("平",D3293)),"平","仄")))</x:f>
        <x:v>平</x:v>
      </x:c>
      <x:c r="L3293" s="7" t="str"/>
    </x:row>
    <x:row r="3294">
      <x:c r="A3294" s="5" t="str">
        <x:v>脃</x:v>
      </x:c>
      <x:c r="B3294" s="6" t="str">
        <x:v>去</x:v>
      </x:c>
      <x:c r="C3294" s="6" t="str">
        <x:f>IF(B3294="","Needs decision","Ready")</x:f>
        <x:v>Ready</x:v>
      </x:c>
      <x:c r="D3294" s="6" t="str">
        <x:v>去</x:v>
      </x:c>
      <x:c r="E3294" s="6" t="str">
        <x:v>tshjwejH (C)</x:v>
      </x:c>
      <x:c r="F3294" s="6" t="str"/>
      <x:c r="G3294" s="6" t="str"/>
      <x:c r="H3294" s="6" t="str">
        <x:v>1</x:v>
      </x:c>
      <x:c r="I3294" s="6" t="str"/>
      <x:c r="J3294" s="6" t="str">
        <x:f>IF(B3294="","",IF(AND(ISNUMBER(SEARCH("平",B3294)),OR(ISNUMBER(SEARCH("上",B3294)),ISNUMBER(SEARCH("去",B3294)),ISNUMBER(SEARCH("入",B3294)))),"Ambiguous",IF(ISNUMBER(SEARCH("平",B3294)),"平","仄")))</x:f>
        <x:v>仄</x:v>
      </x:c>
      <x:c r="K3294" s="6" t="str">
        <x:f>IF(D3294="","",IF(AND(ISNUMBER(SEARCH("平",D3294)),OR(ISNUMBER(SEARCH("上",D3294)),ISNUMBER(SEARCH("去",D3294)),ISNUMBER(SEARCH("入",D3294)))),"Ambiguous",IF(ISNUMBER(SEARCH("平",D3294)),"平","仄")))</x:f>
        <x:v>仄</x:v>
      </x:c>
      <x:c r="L3294" s="7" t="str"/>
    </x:row>
    <x:row r="3295">
      <x:c r="A3295" s="5" t="str">
        <x:v>脅</x:v>
      </x:c>
      <x:c r="B3295" s="6" t="str">
        <x:v>入</x:v>
      </x:c>
      <x:c r="C3295" s="6" t="str">
        <x:f>IF(B3295="","Needs decision","Ready")</x:f>
        <x:v>Ready</x:v>
      </x:c>
      <x:c r="D3295" s="6" t="str">
        <x:v>入</x:v>
      </x:c>
      <x:c r="E3295" s="6" t="str">
        <x:v>xjaep (D)</x:v>
      </x:c>
      <x:c r="F3295" s="6" t="str">
        <x:v>去聲二十九豔; 入聲十七洽</x:v>
      </x:c>
      <x:c r="G3295" s="6" t="str">
        <x:v>Pingshui main list, Wikisource-derived DOCX</x:v>
      </x:c>
      <x:c r="H3295" s="6" t="str">
        <x:v>1</x:v>
      </x:c>
      <x:c r="I3295" s="6" t="str"/>
      <x:c r="J3295" s="6" t="str">
        <x:f>IF(B3295="","",IF(AND(ISNUMBER(SEARCH("平",B3295)),OR(ISNUMBER(SEARCH("上",B3295)),ISNUMBER(SEARCH("去",B3295)),ISNUMBER(SEARCH("入",B3295)))),"Ambiguous",IF(ISNUMBER(SEARCH("平",B3295)),"平","仄")))</x:f>
        <x:v>仄</x:v>
      </x:c>
      <x:c r="K3295" s="6" t="str">
        <x:f>IF(D3295="","",IF(AND(ISNUMBER(SEARCH("平",D3295)),OR(ISNUMBER(SEARCH("上",D3295)),ISNUMBER(SEARCH("去",D3295)),ISNUMBER(SEARCH("入",D3295)))),"Ambiguous",IF(ISNUMBER(SEARCH("平",D3295)),"平","仄")))</x:f>
        <x:v>仄</x:v>
      </x:c>
      <x:c r="L3295" s="7" t="str"/>
    </x:row>
    <x:row r="3296">
      <x:c r="A3296" s="5" t="str">
        <x:v>脆</x:v>
      </x:c>
      <x:c r="B3296" s="6" t="str">
        <x:v>去</x:v>
      </x:c>
      <x:c r="C3296" s="6" t="str">
        <x:f>IF(B3296="","Needs decision","Ready")</x:f>
        <x:v>Ready</x:v>
      </x:c>
      <x:c r="D3296" s="6" t="str">
        <x:v>去</x:v>
      </x:c>
      <x:c r="E3296" s="6" t="str">
        <x:v>tshjwejH (C)</x:v>
      </x:c>
      <x:c r="F3296" s="6" t="str">
        <x:v>去聲八霽</x:v>
      </x:c>
      <x:c r="G3296" s="6" t="str">
        <x:v>Pingshui main list, Wikisource-derived DOCX</x:v>
      </x:c>
      <x:c r="H3296" s="6" t="str">
        <x:v>1</x:v>
      </x:c>
      <x:c r="I3296" s="6" t="str"/>
      <x:c r="J3296" s="6" t="str">
        <x:f>IF(B3296="","",IF(AND(ISNUMBER(SEARCH("平",B3296)),OR(ISNUMBER(SEARCH("上",B3296)),ISNUMBER(SEARCH("去",B3296)),ISNUMBER(SEARCH("入",B3296)))),"Ambiguous",IF(ISNUMBER(SEARCH("平",B3296)),"平","仄")))</x:f>
        <x:v>仄</x:v>
      </x:c>
      <x:c r="K3296" s="6" t="str">
        <x:f>IF(D3296="","",IF(AND(ISNUMBER(SEARCH("平",D3296)),OR(ISNUMBER(SEARCH("上",D3296)),ISNUMBER(SEARCH("去",D3296)),ISNUMBER(SEARCH("入",D3296)))),"Ambiguous",IF(ISNUMBER(SEARCH("平",D3296)),"平","仄")))</x:f>
        <x:v>仄</x:v>
      </x:c>
      <x:c r="L3296" s="7" t="str"/>
    </x:row>
    <x:row r="3297">
      <x:c r="A3297" s="5" t="str">
        <x:v>脈</x:v>
      </x:c>
      <x:c r="B3297" s="6" t="str">
        <x:v>入</x:v>
      </x:c>
      <x:c r="C3297" s="6" t="str">
        <x:f>IF(B3297="","Needs decision","Ready")</x:f>
        <x:v>Ready</x:v>
      </x:c>
      <x:c r="D3297" s="6" t="str">
        <x:v>入</x:v>
      </x:c>
      <x:c r="E3297" s="6" t="str">
        <x:v>meak (D)</x:v>
      </x:c>
      <x:c r="F3297" s="6" t="str"/>
      <x:c r="G3297" s="6" t="str"/>
      <x:c r="H3297" s="6" t="str">
        <x:v>1</x:v>
      </x:c>
      <x:c r="I3297" s="6" t="str"/>
      <x:c r="J3297" s="6" t="str">
        <x:f>IF(B3297="","",IF(AND(ISNUMBER(SEARCH("平",B3297)),OR(ISNUMBER(SEARCH("上",B3297)),ISNUMBER(SEARCH("去",B3297)),ISNUMBER(SEARCH("入",B3297)))),"Ambiguous",IF(ISNUMBER(SEARCH("平",B3297)),"平","仄")))</x:f>
        <x:v>仄</x:v>
      </x:c>
      <x:c r="K3297" s="6" t="str">
        <x:f>IF(D3297="","",IF(AND(ISNUMBER(SEARCH("平",D3297)),OR(ISNUMBER(SEARCH("上",D3297)),ISNUMBER(SEARCH("去",D3297)),ISNUMBER(SEARCH("入",D3297)))),"Ambiguous",IF(ISNUMBER(SEARCH("平",D3297)),"平","仄")))</x:f>
        <x:v>仄</x:v>
      </x:c>
      <x:c r="L3297" s="7" t="str"/>
    </x:row>
    <x:row r="3298">
      <x:c r="A3298" s="5" t="str">
        <x:v>脉</x:v>
      </x:c>
      <x:c r="B3298" s="6" t="str">
        <x:v>入</x:v>
      </x:c>
      <x:c r="C3298" s="6" t="str">
        <x:f>IF(B3298="","Needs decision","Ready")</x:f>
        <x:v>Ready</x:v>
      </x:c>
      <x:c r="D3298" s="6" t="str">
        <x:v>入</x:v>
      </x:c>
      <x:c r="E3298" s="6" t="str">
        <x:v>meak (D)</x:v>
      </x:c>
      <x:c r="F3298" s="6" t="str"/>
      <x:c r="G3298" s="6" t="str"/>
      <x:c r="H3298" s="6" t="str">
        <x:v>1</x:v>
      </x:c>
      <x:c r="I3298" s="6" t="str"/>
      <x:c r="J3298" s="6" t="str">
        <x:f>IF(B3298="","",IF(AND(ISNUMBER(SEARCH("平",B3298)),OR(ISNUMBER(SEARCH("上",B3298)),ISNUMBER(SEARCH("去",B3298)),ISNUMBER(SEARCH("入",B3298)))),"Ambiguous",IF(ISNUMBER(SEARCH("平",B3298)),"平","仄")))</x:f>
        <x:v>仄</x:v>
      </x:c>
      <x:c r="K3298" s="6" t="str">
        <x:f>IF(D3298="","",IF(AND(ISNUMBER(SEARCH("平",D3298)),OR(ISNUMBER(SEARCH("上",D3298)),ISNUMBER(SEARCH("去",D3298)),ISNUMBER(SEARCH("入",D3298)))),"Ambiguous",IF(ISNUMBER(SEARCH("平",D3298)),"平","仄")))</x:f>
        <x:v>仄</x:v>
      </x:c>
      <x:c r="L3298" s="7" t="str"/>
    </x:row>
    <x:row r="3299">
      <x:c r="A3299" s="5" t="str">
        <x:v>脊</x:v>
      </x:c>
      <x:c r="B3299" s="6" t="str">
        <x:v>入</x:v>
      </x:c>
      <x:c r="C3299" s="6" t="str">
        <x:f>IF(B3299="","Needs decision","Ready")</x:f>
        <x:v>Ready</x:v>
      </x:c>
      <x:c r="D3299" s="6" t="str">
        <x:v>入</x:v>
      </x:c>
      <x:c r="E3299" s="6" t="str">
        <x:v>tsjek (D)</x:v>
      </x:c>
      <x:c r="F3299" s="6" t="str">
        <x:v>入聲十一陌</x:v>
      </x:c>
      <x:c r="G3299" s="6" t="str">
        <x:v>Pingshui main list, Wikisource-derived DOCX</x:v>
      </x:c>
      <x:c r="H3299" s="6" t="str">
        <x:v>1</x:v>
      </x:c>
      <x:c r="I3299" s="6" t="str"/>
      <x:c r="J3299" s="6" t="str">
        <x:f>IF(B3299="","",IF(AND(ISNUMBER(SEARCH("平",B3299)),OR(ISNUMBER(SEARCH("上",B3299)),ISNUMBER(SEARCH("去",B3299)),ISNUMBER(SEARCH("入",B3299)))),"Ambiguous",IF(ISNUMBER(SEARCH("平",B3299)),"平","仄")))</x:f>
        <x:v>仄</x:v>
      </x:c>
      <x:c r="K3299" s="6" t="str">
        <x:f>IF(D3299="","",IF(AND(ISNUMBER(SEARCH("平",D3299)),OR(ISNUMBER(SEARCH("上",D3299)),ISNUMBER(SEARCH("去",D3299)),ISNUMBER(SEARCH("入",D3299)))),"Ambiguous",IF(ISNUMBER(SEARCH("平",D3299)),"平","仄")))</x:f>
        <x:v>仄</x:v>
      </x:c>
      <x:c r="L3299" s="7" t="str"/>
    </x:row>
    <x:row r="3300">
      <x:c r="A3300" s="5" t="str">
        <x:v>脚</x:v>
      </x:c>
      <x:c r="B3300" s="6" t="str">
        <x:v>入</x:v>
      </x:c>
      <x:c r="C3300" s="6" t="str">
        <x:f>IF(B3300="","Needs decision","Ready")</x:f>
        <x:v>Ready</x:v>
      </x:c>
      <x:c r="D3300" s="6" t="str">
        <x:v>入</x:v>
      </x:c>
      <x:c r="E3300" s="6" t="str">
        <x:v>kjak (D)</x:v>
      </x:c>
      <x:c r="F3300" s="6" t="str"/>
      <x:c r="G3300" s="6" t="str"/>
      <x:c r="H3300" s="6" t="str">
        <x:v>1</x:v>
      </x:c>
      <x:c r="I3300" s="6" t="str"/>
      <x:c r="J3300" s="6" t="str">
        <x:f>IF(B3300="","",IF(AND(ISNUMBER(SEARCH("平",B3300)),OR(ISNUMBER(SEARCH("上",B3300)),ISNUMBER(SEARCH("去",B3300)),ISNUMBER(SEARCH("入",B3300)))),"Ambiguous",IF(ISNUMBER(SEARCH("平",B3300)),"平","仄")))</x:f>
        <x:v>仄</x:v>
      </x:c>
      <x:c r="K3300" s="6" t="str">
        <x:f>IF(D3300="","",IF(AND(ISNUMBER(SEARCH("平",D3300)),OR(ISNUMBER(SEARCH("上",D3300)),ISNUMBER(SEARCH("去",D3300)),ISNUMBER(SEARCH("入",D3300)))),"Ambiguous",IF(ISNUMBER(SEARCH("平",D3300)),"平","仄")))</x:f>
        <x:v>仄</x:v>
      </x:c>
      <x:c r="L3300" s="7" t="str"/>
    </x:row>
    <x:row r="3301">
      <x:c r="A3301" s="5" t="str">
        <x:v>脛</x:v>
      </x:c>
      <x:c r="B3301" s="6" t="str">
        <x:v>去</x:v>
      </x:c>
      <x:c r="C3301" s="6" t="str">
        <x:f>IF(B3301="","Needs decision","Ready")</x:f>
        <x:v>Ready</x:v>
      </x:c>
      <x:c r="D3301" s="6" t="str">
        <x:v>去</x:v>
      </x:c>
      <x:c r="E3301" s="6" t="str">
        <x:v>hengH (C)</x:v>
      </x:c>
      <x:c r="F3301" s="6" t="str">
        <x:v>上聲二十四迥; 去聲二十五徑</x:v>
      </x:c>
      <x:c r="G3301" s="6" t="str">
        <x:v>Pingshui main list, Wikisource-derived DOCX</x:v>
      </x:c>
      <x:c r="H3301" s="6" t="str">
        <x:v>1</x:v>
      </x:c>
      <x:c r="I3301" s="6" t="str"/>
      <x:c r="J3301" s="6" t="str">
        <x:f>IF(B3301="","",IF(AND(ISNUMBER(SEARCH("平",B3301)),OR(ISNUMBER(SEARCH("上",B3301)),ISNUMBER(SEARCH("去",B3301)),ISNUMBER(SEARCH("入",B3301)))),"Ambiguous",IF(ISNUMBER(SEARCH("平",B3301)),"平","仄")))</x:f>
        <x:v>仄</x:v>
      </x:c>
      <x:c r="K3301" s="6" t="str">
        <x:f>IF(D3301="","",IF(AND(ISNUMBER(SEARCH("平",D3301)),OR(ISNUMBER(SEARCH("上",D3301)),ISNUMBER(SEARCH("去",D3301)),ISNUMBER(SEARCH("入",D3301)))),"Ambiguous",IF(ISNUMBER(SEARCH("平",D3301)),"平","仄")))</x:f>
        <x:v>仄</x:v>
      </x:c>
      <x:c r="L3301" s="7" t="str"/>
    </x:row>
    <x:row r="3302">
      <x:c r="A3302" s="5" t="str">
        <x:v>脞</x:v>
      </x:c>
      <x:c r="B3302" s="6" t="str">
        <x:v>上</x:v>
      </x:c>
      <x:c r="C3302" s="6" t="str">
        <x:f>IF(B3302="","Needs decision","Ready")</x:f>
        <x:v>Ready</x:v>
      </x:c>
      <x:c r="D3302" s="6" t="str">
        <x:v>上</x:v>
      </x:c>
      <x:c r="E3302" s="6" t="str">
        <x:v>tshwaX (B)</x:v>
      </x:c>
      <x:c r="F3302" s="6" t="str">
        <x:v>上聲二十哿</x:v>
      </x:c>
      <x:c r="G3302" s="6" t="str">
        <x:v>Pingshui main list, Wikisource-derived DOCX</x:v>
      </x:c>
      <x:c r="H3302" s="6" t="str">
        <x:v>1</x:v>
      </x:c>
      <x:c r="I3302" s="6" t="str"/>
      <x:c r="J3302" s="6" t="str">
        <x:f>IF(B3302="","",IF(AND(ISNUMBER(SEARCH("平",B3302)),OR(ISNUMBER(SEARCH("上",B3302)),ISNUMBER(SEARCH("去",B3302)),ISNUMBER(SEARCH("入",B3302)))),"Ambiguous",IF(ISNUMBER(SEARCH("平",B3302)),"平","仄")))</x:f>
        <x:v>仄</x:v>
      </x:c>
      <x:c r="K3302" s="6" t="str">
        <x:f>IF(D3302="","",IF(AND(ISNUMBER(SEARCH("平",D3302)),OR(ISNUMBER(SEARCH("上",D3302)),ISNUMBER(SEARCH("去",D3302)),ISNUMBER(SEARCH("入",D3302)))),"Ambiguous",IF(ISNUMBER(SEARCH("平",D3302)),"平","仄")))</x:f>
        <x:v>仄</x:v>
      </x:c>
      <x:c r="L3302" s="7" t="str"/>
    </x:row>
    <x:row r="3303">
      <x:c r="A3303" s="5" t="str">
        <x:v>脣</x:v>
      </x:c>
      <x:c r="B3303" s="6" t="str">
        <x:v>平</x:v>
      </x:c>
      <x:c r="C3303" s="6" t="str">
        <x:f>IF(B3303="","Needs decision","Ready")</x:f>
        <x:v>Ready</x:v>
      </x:c>
      <x:c r="D3303" s="6" t="str">
        <x:v>平</x:v>
      </x:c>
      <x:c r="E3303" s="6" t="str">
        <x:v>zywin (A)</x:v>
      </x:c>
      <x:c r="F3303" s="6" t="str">
        <x:v>上平聲十一真</x:v>
      </x:c>
      <x:c r="G3303" s="6" t="str">
        <x:v>Pingshui main list, Wikisource-derived DOCX</x:v>
      </x:c>
      <x:c r="H3303" s="6" t="str">
        <x:v>1</x:v>
      </x:c>
      <x:c r="I3303" s="6" t="str"/>
      <x:c r="J3303" s="6" t="str">
        <x:f>IF(B3303="","",IF(AND(ISNUMBER(SEARCH("平",B3303)),OR(ISNUMBER(SEARCH("上",B3303)),ISNUMBER(SEARCH("去",B3303)),ISNUMBER(SEARCH("入",B3303)))),"Ambiguous",IF(ISNUMBER(SEARCH("平",B3303)),"平","仄")))</x:f>
        <x:v>平</x:v>
      </x:c>
      <x:c r="K3303" s="6" t="str">
        <x:f>IF(D3303="","",IF(AND(ISNUMBER(SEARCH("平",D3303)),OR(ISNUMBER(SEARCH("上",D3303)),ISNUMBER(SEARCH("去",D3303)),ISNUMBER(SEARCH("入",D3303)))),"Ambiguous",IF(ISNUMBER(SEARCH("平",D3303)),"平","仄")))</x:f>
        <x:v>平</x:v>
      </x:c>
      <x:c r="L3303" s="7" t="str"/>
    </x:row>
    <x:row r="3304">
      <x:c r="A3304" s="5" t="str">
        <x:v>脩</x:v>
      </x:c>
      <x:c r="B3304" s="6" t="str">
        <x:v>平</x:v>
      </x:c>
      <x:c r="C3304" s="6" t="str">
        <x:f>IF(B3304="","Needs decision","Ready")</x:f>
        <x:v>Ready</x:v>
      </x:c>
      <x:c r="D3304" s="6" t="str">
        <x:v>平</x:v>
      </x:c>
      <x:c r="E3304" s="6" t="str">
        <x:v>sjuw (A)</x:v>
      </x:c>
      <x:c r="F3304" s="6" t="str">
        <x:v>下平聲十一尤</x:v>
      </x:c>
      <x:c r="G3304" s="6" t="str">
        <x:v>Pingshui main list, Wikisource-derived DOCX</x:v>
      </x:c>
      <x:c r="H3304" s="6" t="str">
        <x:v>1</x:v>
      </x:c>
      <x:c r="I3304" s="6" t="str"/>
      <x:c r="J3304" s="6" t="str">
        <x:f>IF(B3304="","",IF(AND(ISNUMBER(SEARCH("平",B3304)),OR(ISNUMBER(SEARCH("上",B3304)),ISNUMBER(SEARCH("去",B3304)),ISNUMBER(SEARCH("入",B3304)))),"Ambiguous",IF(ISNUMBER(SEARCH("平",B3304)),"平","仄")))</x:f>
        <x:v>平</x:v>
      </x:c>
      <x:c r="K3304" s="6" t="str">
        <x:f>IF(D3304="","",IF(AND(ISNUMBER(SEARCH("平",D3304)),OR(ISNUMBER(SEARCH("上",D3304)),ISNUMBER(SEARCH("去",D3304)),ISNUMBER(SEARCH("入",D3304)))),"Ambiguous",IF(ISNUMBER(SEARCH("平",D3304)),"平","仄")))</x:f>
        <x:v>平</x:v>
      </x:c>
      <x:c r="L3304" s="7" t="str"/>
    </x:row>
    <x:row r="3305">
      <x:c r="A3305" s="5" t="str">
        <x:v>脫</x:v>
      </x:c>
      <x:c r="B3305" s="6" t="str">
        <x:v>入</x:v>
      </x:c>
      <x:c r="C3305" s="6" t="str">
        <x:f>IF(B3305="","Needs decision","Ready")</x:f>
        <x:v>Ready</x:v>
      </x:c>
      <x:c r="D3305" s="6" t="str"/>
      <x:c r="E3305" s="6" t="str"/>
      <x:c r="F3305" s="6" t="str">
        <x:v>入聲七曷</x:v>
      </x:c>
      <x:c r="G3305" s="6" t="str">
        <x:v>Pingshui main list, Wikisource-derived DOCX</x:v>
      </x:c>
      <x:c r="H3305" s="6" t="str"/>
      <x:c r="I3305" s="6" t="str"/>
      <x:c r="J3305" s="6" t="str">
        <x:f>IF(B3305="","",IF(AND(ISNUMBER(SEARCH("平",B3305)),OR(ISNUMBER(SEARCH("上",B3305)),ISNUMBER(SEARCH("去",B3305)),ISNUMBER(SEARCH("入",B3305)))),"Ambiguous",IF(ISNUMBER(SEARCH("平",B3305)),"平","仄")))</x:f>
        <x:v>仄</x:v>
      </x:c>
      <x:c r="K3305" s="6" t="str">
        <x:f>IF(D3305="","",IF(AND(ISNUMBER(SEARCH("平",D3305)),OR(ISNUMBER(SEARCH("上",D3305)),ISNUMBER(SEARCH("去",D3305)),ISNUMBER(SEARCH("入",D3305)))),"Ambiguous",IF(ISNUMBER(SEARCH("平",D3305)),"平","仄")))</x:f>
      </x:c>
      <x:c r="L3305" s="7" t="str"/>
    </x:row>
    <x:row r="3306">
      <x:c r="A3306" s="5" t="str">
        <x:v>脯</x:v>
      </x:c>
      <x:c r="B3306" s="6" t="str">
        <x:v>上</x:v>
      </x:c>
      <x:c r="C3306" s="6" t="str">
        <x:f>IF(B3306="","Needs decision","Ready")</x:f>
        <x:v>Ready</x:v>
      </x:c>
      <x:c r="D3306" s="6" t="str">
        <x:v>上</x:v>
      </x:c>
      <x:c r="E3306" s="6" t="str">
        <x:v>pjuX (B)</x:v>
      </x:c>
      <x:c r="F3306" s="6" t="str">
        <x:v>上聲七麌</x:v>
      </x:c>
      <x:c r="G3306" s="6" t="str">
        <x:v>Pingshui main list, Wikisource-derived DOCX</x:v>
      </x:c>
      <x:c r="H3306" s="6" t="str">
        <x:v>1</x:v>
      </x:c>
      <x:c r="I3306" s="6" t="str"/>
      <x:c r="J3306" s="6" t="str">
        <x:f>IF(B3306="","",IF(AND(ISNUMBER(SEARCH("平",B3306)),OR(ISNUMBER(SEARCH("上",B3306)),ISNUMBER(SEARCH("去",B3306)),ISNUMBER(SEARCH("入",B3306)))),"Ambiguous",IF(ISNUMBER(SEARCH("平",B3306)),"平","仄")))</x:f>
        <x:v>仄</x:v>
      </x:c>
      <x:c r="K3306" s="6" t="str">
        <x:f>IF(D3306="","",IF(AND(ISNUMBER(SEARCH("平",D3306)),OR(ISNUMBER(SEARCH("上",D3306)),ISNUMBER(SEARCH("去",D3306)),ISNUMBER(SEARCH("入",D3306)))),"Ambiguous",IF(ISNUMBER(SEARCH("平",D3306)),"平","仄")))</x:f>
        <x:v>仄</x:v>
      </x:c>
      <x:c r="L3306" s="7" t="str"/>
    </x:row>
    <x:row r="3307">
      <x:c r="A3307" s="5" t="str">
        <x:v>脰</x:v>
      </x:c>
      <x:c r="B3307" s="6" t="str">
        <x:v>去</x:v>
      </x:c>
      <x:c r="C3307" s="6" t="str">
        <x:f>IF(B3307="","Needs decision","Ready")</x:f>
        <x:v>Ready</x:v>
      </x:c>
      <x:c r="D3307" s="6" t="str">
        <x:v>去</x:v>
      </x:c>
      <x:c r="E3307" s="6" t="str">
        <x:v>duwH (C)</x:v>
      </x:c>
      <x:c r="F3307" s="6" t="str">
        <x:v>去聲二十六宥</x:v>
      </x:c>
      <x:c r="G3307" s="6" t="str">
        <x:v>Pingshui main list, Wikisource-derived DOCX</x:v>
      </x:c>
      <x:c r="H3307" s="6" t="str">
        <x:v>1</x:v>
      </x:c>
      <x:c r="I3307" s="6" t="str"/>
      <x:c r="J3307" s="6" t="str">
        <x:f>IF(B3307="","",IF(AND(ISNUMBER(SEARCH("平",B3307)),OR(ISNUMBER(SEARCH("上",B3307)),ISNUMBER(SEARCH("去",B3307)),ISNUMBER(SEARCH("入",B3307)))),"Ambiguous",IF(ISNUMBER(SEARCH("平",B3307)),"平","仄")))</x:f>
        <x:v>仄</x:v>
      </x:c>
      <x:c r="K3307" s="6" t="str">
        <x:f>IF(D3307="","",IF(AND(ISNUMBER(SEARCH("平",D3307)),OR(ISNUMBER(SEARCH("上",D3307)),ISNUMBER(SEARCH("去",D3307)),ISNUMBER(SEARCH("入",D3307)))),"Ambiguous",IF(ISNUMBER(SEARCH("平",D3307)),"平","仄")))</x:f>
        <x:v>仄</x:v>
      </x:c>
      <x:c r="L3307" s="7" t="str"/>
    </x:row>
    <x:row r="3308">
      <x:c r="A3308" s="5" t="str">
        <x:v>脱</x:v>
      </x:c>
      <x:c r="B3308" s="6" t="str">
        <x:v>入</x:v>
      </x:c>
      <x:c r="C3308" s="6" t="str">
        <x:f>IF(B3308="","Needs decision","Ready")</x:f>
        <x:v>Ready</x:v>
      </x:c>
      <x:c r="D3308" s="6" t="str">
        <x:v>去/入</x:v>
      </x:c>
      <x:c r="E3308" s="6" t="str">
        <x:v>dwajH (C); dwat (D); thwat (D)</x:v>
      </x:c>
      <x:c r="F3308" s="6" t="str"/>
      <x:c r="G3308" s="6" t="str"/>
      <x:c r="H3308" s="6" t="str">
        <x:v>3</x:v>
      </x:c>
      <x:c r="I3308" s="6" t="str">
        <x:v>User workbook edit 2026-09-03</x:v>
      </x:c>
      <x:c r="J3308" s="6" t="str">
        <x:f>IF(B3308="","",IF(AND(ISNUMBER(SEARCH("平",B3308)),OR(ISNUMBER(SEARCH("上",B3308)),ISNUMBER(SEARCH("去",B3308)),ISNUMBER(SEARCH("入",B3308)))),"Ambiguous",IF(ISNUMBER(SEARCH("平",B3308)),"平","仄")))</x:f>
        <x:v>仄</x:v>
      </x:c>
      <x:c r="K3308" s="6" t="str">
        <x:f>IF(D3308="","",IF(AND(ISNUMBER(SEARCH("平",D3308)),OR(ISNUMBER(SEARCH("上",D3308)),ISNUMBER(SEARCH("去",D3308)),ISNUMBER(SEARCH("入",D3308)))),"Ambiguous",IF(ISNUMBER(SEARCH("平",D3308)),"平","仄")))</x:f>
        <x:v>仄</x:v>
      </x:c>
      <x:c r="L3308" s="7" t="str">
        <x:v>manual user correction</x:v>
      </x:c>
    </x:row>
    <x:row r="3309">
      <x:c r="A3309" s="5" t="str">
        <x:v>脾</x:v>
      </x:c>
      <x:c r="B3309" s="6" t="str">
        <x:v>平</x:v>
      </x:c>
      <x:c r="C3309" s="6" t="str">
        <x:f>IF(B3309="","Needs decision","Ready")</x:f>
        <x:v>Ready</x:v>
      </x:c>
      <x:c r="D3309" s="6" t="str">
        <x:v>平</x:v>
      </x:c>
      <x:c r="E3309" s="6" t="str">
        <x:v>bjie (A)</x:v>
      </x:c>
      <x:c r="F3309" s="6" t="str">
        <x:v>上平聲四支</x:v>
      </x:c>
      <x:c r="G3309" s="6" t="str">
        <x:v>Pingshui main list, Wikisource-derived DOCX</x:v>
      </x:c>
      <x:c r="H3309" s="6" t="str">
        <x:v>1</x:v>
      </x:c>
      <x:c r="I3309" s="6" t="str"/>
      <x:c r="J3309" s="6" t="str">
        <x:f>IF(B3309="","",IF(AND(ISNUMBER(SEARCH("平",B3309)),OR(ISNUMBER(SEARCH("上",B3309)),ISNUMBER(SEARCH("去",B3309)),ISNUMBER(SEARCH("入",B3309)))),"Ambiguous",IF(ISNUMBER(SEARCH("平",B3309)),"平","仄")))</x:f>
        <x:v>平</x:v>
      </x:c>
      <x:c r="K3309" s="6" t="str">
        <x:f>IF(D3309="","",IF(AND(ISNUMBER(SEARCH("平",D3309)),OR(ISNUMBER(SEARCH("上",D3309)),ISNUMBER(SEARCH("去",D3309)),ISNUMBER(SEARCH("入",D3309)))),"Ambiguous",IF(ISNUMBER(SEARCH("平",D3309)),"平","仄")))</x:f>
        <x:v>平</x:v>
      </x:c>
      <x:c r="L3309" s="7" t="str"/>
    </x:row>
    <x:row r="3310">
      <x:c r="A3310" s="5" t="str">
        <x:v>腆</x:v>
      </x:c>
      <x:c r="B3310" s="6" t="str">
        <x:v>上</x:v>
      </x:c>
      <x:c r="C3310" s="6" t="str">
        <x:f>IF(B3310="","Needs decision","Ready")</x:f>
        <x:v>Ready</x:v>
      </x:c>
      <x:c r="D3310" s="6" t="str">
        <x:v>上</x:v>
      </x:c>
      <x:c r="E3310" s="6" t="str">
        <x:v>thenX (B)</x:v>
      </x:c>
      <x:c r="F3310" s="6" t="str">
        <x:v>上聲十六銑</x:v>
      </x:c>
      <x:c r="G3310" s="6" t="str">
        <x:v>Pingshui main list, Wikisource-derived DOCX</x:v>
      </x:c>
      <x:c r="H3310" s="6" t="str">
        <x:v>1</x:v>
      </x:c>
      <x:c r="I3310" s="6" t="str"/>
      <x:c r="J3310" s="6" t="str">
        <x:f>IF(B3310="","",IF(AND(ISNUMBER(SEARCH("平",B3310)),OR(ISNUMBER(SEARCH("上",B3310)),ISNUMBER(SEARCH("去",B3310)),ISNUMBER(SEARCH("入",B3310)))),"Ambiguous",IF(ISNUMBER(SEARCH("平",B3310)),"平","仄")))</x:f>
        <x:v>仄</x:v>
      </x:c>
      <x:c r="K3310" s="6" t="str">
        <x:f>IF(D3310="","",IF(AND(ISNUMBER(SEARCH("平",D3310)),OR(ISNUMBER(SEARCH("上",D3310)),ISNUMBER(SEARCH("去",D3310)),ISNUMBER(SEARCH("入",D3310)))),"Ambiguous",IF(ISNUMBER(SEARCH("平",D3310)),"平","仄")))</x:f>
        <x:v>仄</x:v>
      </x:c>
      <x:c r="L3310" s="7" t="str"/>
    </x:row>
    <x:row r="3311">
      <x:c r="A3311" s="5" t="str">
        <x:v>腋</x:v>
      </x:c>
      <x:c r="B3311" s="6" t="str">
        <x:v>入</x:v>
      </x:c>
      <x:c r="C3311" s="6" t="str">
        <x:f>IF(B3311="","Needs decision","Ready")</x:f>
        <x:v>Ready</x:v>
      </x:c>
      <x:c r="D3311" s="6" t="str">
        <x:v>入</x:v>
      </x:c>
      <x:c r="E3311" s="6" t="str">
        <x:v>yek (D)</x:v>
      </x:c>
      <x:c r="F3311" s="6" t="str">
        <x:v>入聲十一陌</x:v>
      </x:c>
      <x:c r="G3311" s="6" t="str">
        <x:v>Pingshui main list, Wikisource-derived DOCX</x:v>
      </x:c>
      <x:c r="H3311" s="6" t="str">
        <x:v>1</x:v>
      </x:c>
      <x:c r="I3311" s="6" t="str"/>
      <x:c r="J3311" s="6" t="str">
        <x:f>IF(B3311="","",IF(AND(ISNUMBER(SEARCH("平",B3311)),OR(ISNUMBER(SEARCH("上",B3311)),ISNUMBER(SEARCH("去",B3311)),ISNUMBER(SEARCH("入",B3311)))),"Ambiguous",IF(ISNUMBER(SEARCH("平",B3311)),"平","仄")))</x:f>
        <x:v>仄</x:v>
      </x:c>
      <x:c r="K3311" s="6" t="str">
        <x:f>IF(D3311="","",IF(AND(ISNUMBER(SEARCH("平",D3311)),OR(ISNUMBER(SEARCH("上",D3311)),ISNUMBER(SEARCH("去",D3311)),ISNUMBER(SEARCH("入",D3311)))),"Ambiguous",IF(ISNUMBER(SEARCH("平",D3311)),"平","仄")))</x:f>
        <x:v>仄</x:v>
      </x:c>
      <x:c r="L3311" s="7" t="str"/>
    </x:row>
    <x:row r="3312">
      <x:c r="A3312" s="5" t="str">
        <x:v>腎</x:v>
      </x:c>
      <x:c r="B3312" s="6" t="str">
        <x:v>上</x:v>
      </x:c>
      <x:c r="C3312" s="6" t="str">
        <x:f>IF(B3312="","Needs decision","Ready")</x:f>
        <x:v>Ready</x:v>
      </x:c>
      <x:c r="D3312" s="6" t="str">
        <x:v>上</x:v>
      </x:c>
      <x:c r="E3312" s="6" t="str">
        <x:v>dzyinX (B)</x:v>
      </x:c>
      <x:c r="F3312" s="6" t="str">
        <x:v>上聲十一軫</x:v>
      </x:c>
      <x:c r="G3312" s="6" t="str">
        <x:v>Pingshui main list, Wikisource-derived DOCX</x:v>
      </x:c>
      <x:c r="H3312" s="6" t="str">
        <x:v>1</x:v>
      </x:c>
      <x:c r="I3312" s="6" t="str"/>
      <x:c r="J3312" s="6" t="str">
        <x:f>IF(B3312="","",IF(AND(ISNUMBER(SEARCH("平",B3312)),OR(ISNUMBER(SEARCH("上",B3312)),ISNUMBER(SEARCH("去",B3312)),ISNUMBER(SEARCH("入",B3312)))),"Ambiguous",IF(ISNUMBER(SEARCH("平",B3312)),"平","仄")))</x:f>
        <x:v>仄</x:v>
      </x:c>
      <x:c r="K3312" s="6" t="str">
        <x:f>IF(D3312="","",IF(AND(ISNUMBER(SEARCH("平",D3312)),OR(ISNUMBER(SEARCH("上",D3312)),ISNUMBER(SEARCH("去",D3312)),ISNUMBER(SEARCH("入",D3312)))),"Ambiguous",IF(ISNUMBER(SEARCH("平",D3312)),"平","仄")))</x:f>
        <x:v>仄</x:v>
      </x:c>
      <x:c r="L3312" s="7" t="str"/>
    </x:row>
    <x:row r="3313">
      <x:c r="A3313" s="5" t="str">
        <x:v>腐</x:v>
      </x:c>
      <x:c r="B3313" s="6" t="str">
        <x:v>上</x:v>
      </x:c>
      <x:c r="C3313" s="6" t="str">
        <x:f>IF(B3313="","Needs decision","Ready")</x:f>
        <x:v>Ready</x:v>
      </x:c>
      <x:c r="D3313" s="6" t="str">
        <x:v>上</x:v>
      </x:c>
      <x:c r="E3313" s="6" t="str">
        <x:v>bjuX (B)</x:v>
      </x:c>
      <x:c r="F3313" s="6" t="str">
        <x:v>上聲七麌</x:v>
      </x:c>
      <x:c r="G3313" s="6" t="str">
        <x:v>Pingshui main list, Wikisource-derived DOCX</x:v>
      </x:c>
      <x:c r="H3313" s="6" t="str">
        <x:v>1</x:v>
      </x:c>
      <x:c r="I3313" s="6" t="str"/>
      <x:c r="J3313" s="6" t="str">
        <x:f>IF(B3313="","",IF(AND(ISNUMBER(SEARCH("平",B3313)),OR(ISNUMBER(SEARCH("上",B3313)),ISNUMBER(SEARCH("去",B3313)),ISNUMBER(SEARCH("入",B3313)))),"Ambiguous",IF(ISNUMBER(SEARCH("平",B3313)),"平","仄")))</x:f>
        <x:v>仄</x:v>
      </x:c>
      <x:c r="K3313" s="6" t="str">
        <x:f>IF(D3313="","",IF(AND(ISNUMBER(SEARCH("平",D3313)),OR(ISNUMBER(SEARCH("上",D3313)),ISNUMBER(SEARCH("去",D3313)),ISNUMBER(SEARCH("入",D3313)))),"Ambiguous",IF(ISNUMBER(SEARCH("平",D3313)),"平","仄")))</x:f>
        <x:v>仄</x:v>
      </x:c>
      <x:c r="L3313" s="7" t="str"/>
    </x:row>
    <x:row r="3314">
      <x:c r="A3314" s="5" t="str">
        <x:v>腓</x:v>
      </x:c>
      <x:c r="B3314" s="6" t="str">
        <x:v>平</x:v>
      </x:c>
      <x:c r="C3314" s="6" t="str">
        <x:f>IF(B3314="","Needs decision","Ready")</x:f>
        <x:v>Ready</x:v>
      </x:c>
      <x:c r="D3314" s="6" t="str">
        <x:v>平</x:v>
      </x:c>
      <x:c r="E3314" s="6" t="str"/>
      <x:c r="F3314" s="6" t="str">
        <x:v>上平聲五微</x:v>
      </x:c>
      <x:c r="G3314" s="6" t="str">
        <x:v>Pingshui main list, Wikisource-derived DOCX</x:v>
      </x:c>
      <x:c r="H3314" s="6" t="str">
        <x:v>0</x:v>
      </x:c>
      <x:c r="I3314" s="6" t="str">
        <x:v>User correction 2026-09-08; added manually</x:v>
      </x:c>
      <x:c r="J3314" s="6" t="str">
        <x:f>IF(B3314="","",IF(AND(ISNUMBER(SEARCH("平",B3314)),OR(ISNUMBER(SEARCH("上",B3314)),ISNUMBER(SEARCH("去",B3314)),ISNUMBER(SEARCH("入",B3314)))),"Ambiguous",IF(ISNUMBER(SEARCH("平",B3314)),"平","仄")))</x:f>
        <x:v>平</x:v>
      </x:c>
      <x:c r="K3314" s="6" t="str">
        <x:f>IF(D3314="","",IF(AND(ISNUMBER(SEARCH("平",D3314)),OR(ISNUMBER(SEARCH("上",D3314)),ISNUMBER(SEARCH("去",D3314)),ISNUMBER(SEARCH("入",D3314)))),"Ambiguous",IF(ISNUMBER(SEARCH("平",D3314)),"平","仄")))</x:f>
        <x:v>平</x:v>
      </x:c>
      <x:c r="L3314" s="7" t="str">
        <x:v>User correction</x:v>
      </x:c>
    </x:row>
    <x:row r="3315">
      <x:c r="A3315" s="5" t="str">
        <x:v>腡</x:v>
      </x:c>
      <x:c r="B3315" s="6" t="str">
        <x:v>平</x:v>
      </x:c>
      <x:c r="C3315" s="6" t="str">
        <x:f>IF(B3315="","Needs decision","Ready")</x:f>
        <x:v>Ready</x:v>
      </x:c>
      <x:c r="D3315" s="6" t="str">
        <x:v>平</x:v>
      </x:c>
      <x:c r="E3315" s="6" t="str">
        <x:v>lwa (A)</x:v>
      </x:c>
      <x:c r="F3315" s="6" t="str"/>
      <x:c r="G3315" s="6" t="str"/>
      <x:c r="H3315" s="6" t="str">
        <x:v>1</x:v>
      </x:c>
      <x:c r="I3315" s="6" t="str"/>
      <x:c r="J3315" s="6" t="str">
        <x:f>IF(B3315="","",IF(AND(ISNUMBER(SEARCH("平",B3315)),OR(ISNUMBER(SEARCH("上",B3315)),ISNUMBER(SEARCH("去",B3315)),ISNUMBER(SEARCH("入",B3315)))),"Ambiguous",IF(ISNUMBER(SEARCH("平",B3315)),"平","仄")))</x:f>
        <x:v>平</x:v>
      </x:c>
      <x:c r="K3315" s="6" t="str">
        <x:f>IF(D3315="","",IF(AND(ISNUMBER(SEARCH("平",D3315)),OR(ISNUMBER(SEARCH("上",D3315)),ISNUMBER(SEARCH("去",D3315)),ISNUMBER(SEARCH("入",D3315)))),"Ambiguous",IF(ISNUMBER(SEARCH("平",D3315)),"平","仄")))</x:f>
        <x:v>平</x:v>
      </x:c>
      <x:c r="L3315" s="7" t="str"/>
    </x:row>
    <x:row r="3316">
      <x:c r="A3316" s="5" t="str">
        <x:v>腥</x:v>
      </x:c>
      <x:c r="B3316" s="6" t="str">
        <x:v>平</x:v>
      </x:c>
      <x:c r="C3316" s="6" t="str">
        <x:f>IF(B3316="","Needs decision","Ready")</x:f>
        <x:v>Ready</x:v>
      </x:c>
      <x:c r="D3316" s="6" t="str">
        <x:v>平/去</x:v>
      </x:c>
      <x:c r="E3316" s="6" t="str">
        <x:v>seng [s̙eŋ] (平); sengH [s̙eŋh] (去)</x:v>
      </x:c>
      <x:c r="F3316" s="6" t="str">
        <x:v>下平聲九青</x:v>
      </x:c>
      <x:c r="G3316" s="6" t="str">
        <x:v>Pingshui main list, Wikisource-derived DOCX</x:v>
      </x:c>
      <x:c r="H3316" s="6" t="str">
        <x:v>2</x:v>
      </x:c>
      <x:c r="I3316" s="6" t="str">
        <x:v>Tang 300 gap; frequency 3; ambiguous in Xun Gong; User workbook edit 2026-09-03</x:v>
      </x:c>
      <x:c r="J3316" s="6" t="str">
        <x:f>IF(B3316="","",IF(AND(ISNUMBER(SEARCH("平",B3316)),OR(ISNUMBER(SEARCH("上",B3316)),ISNUMBER(SEARCH("去",B3316)),ISNUMBER(SEARCH("入",B3316)))),"Ambiguous",IF(ISNUMBER(SEARCH("平",B3316)),"平","仄")))</x:f>
        <x:v>平</x:v>
      </x:c>
      <x:c r="K3316" s="6" t="str">
        <x:f>IF(D3316="","",IF(AND(ISNUMBER(SEARCH("平",D3316)),OR(ISNUMBER(SEARCH("上",D3316)),ISNUMBER(SEARCH("去",D3316)),ISNUMBER(SEARCH("入",D3316)))),"Ambiguous",IF(ISNUMBER(SEARCH("平",D3316)),"平","仄")))</x:f>
        <x:v>Ambiguous</x:v>
      </x:c>
      <x:c r="L3316" s="7" t="str">
        <x:v>manual user correction</x:v>
      </x:c>
    </x:row>
    <x:row r="3317">
      <x:c r="A3317" s="5" t="str">
        <x:v>腦</x:v>
      </x:c>
      <x:c r="B3317" s="6" t="str">
        <x:v>上</x:v>
      </x:c>
      <x:c r="C3317" s="6" t="str">
        <x:f>IF(B3317="","Needs decision","Ready")</x:f>
        <x:v>Ready</x:v>
      </x:c>
      <x:c r="D3317" s="6" t="str">
        <x:v>上</x:v>
      </x:c>
      <x:c r="E3317" s="6" t="str">
        <x:v>nawX (B)</x:v>
      </x:c>
      <x:c r="F3317" s="6" t="str">
        <x:v>上聲十九皓</x:v>
      </x:c>
      <x:c r="G3317" s="6" t="str">
        <x:v>Pingshui main list, Wikisource-derived DOCX</x:v>
      </x:c>
      <x:c r="H3317" s="6" t="str">
        <x:v>1</x:v>
      </x:c>
      <x:c r="I3317" s="6" t="str"/>
      <x:c r="J3317" s="6" t="str">
        <x:f>IF(B3317="","",IF(AND(ISNUMBER(SEARCH("平",B3317)),OR(ISNUMBER(SEARCH("上",B3317)),ISNUMBER(SEARCH("去",B3317)),ISNUMBER(SEARCH("入",B3317)))),"Ambiguous",IF(ISNUMBER(SEARCH("平",B3317)),"平","仄")))</x:f>
        <x:v>仄</x:v>
      </x:c>
      <x:c r="K3317" s="6" t="str">
        <x:f>IF(D3317="","",IF(AND(ISNUMBER(SEARCH("平",D3317)),OR(ISNUMBER(SEARCH("上",D3317)),ISNUMBER(SEARCH("去",D3317)),ISNUMBER(SEARCH("入",D3317)))),"Ambiguous",IF(ISNUMBER(SEARCH("平",D3317)),"平","仄")))</x:f>
        <x:v>仄</x:v>
      </x:c>
      <x:c r="L3317" s="7" t="str"/>
    </x:row>
    <x:row r="3318">
      <x:c r="A3318" s="5" t="str">
        <x:v>腫</x:v>
      </x:c>
      <x:c r="B3318" s="6" t="str">
        <x:v>上</x:v>
      </x:c>
      <x:c r="C3318" s="6" t="str">
        <x:f>IF(B3318="","Needs decision","Ready")</x:f>
        <x:v>Ready</x:v>
      </x:c>
      <x:c r="D3318" s="6" t="str">
        <x:v>上</x:v>
      </x:c>
      <x:c r="E3318" s="6" t="str">
        <x:v>tsyowngX (B)</x:v>
      </x:c>
      <x:c r="F3318" s="6" t="str">
        <x:v>上聲二腫</x:v>
      </x:c>
      <x:c r="G3318" s="6" t="str">
        <x:v>Pingshui main list, Wikisource-derived DOCX</x:v>
      </x:c>
      <x:c r="H3318" s="6" t="str">
        <x:v>1</x:v>
      </x:c>
      <x:c r="I3318" s="6" t="str"/>
      <x:c r="J3318" s="6" t="str">
        <x:f>IF(B3318="","",IF(AND(ISNUMBER(SEARCH("平",B3318)),OR(ISNUMBER(SEARCH("上",B3318)),ISNUMBER(SEARCH("去",B3318)),ISNUMBER(SEARCH("入",B3318)))),"Ambiguous",IF(ISNUMBER(SEARCH("平",B3318)),"平","仄")))</x:f>
        <x:v>仄</x:v>
      </x:c>
      <x:c r="K3318" s="6" t="str">
        <x:f>IF(D3318="","",IF(AND(ISNUMBER(SEARCH("平",D3318)),OR(ISNUMBER(SEARCH("上",D3318)),ISNUMBER(SEARCH("去",D3318)),ISNUMBER(SEARCH("入",D3318)))),"Ambiguous",IF(ISNUMBER(SEARCH("平",D3318)),"平","仄")))</x:f>
        <x:v>仄</x:v>
      </x:c>
      <x:c r="L3318" s="7" t="str"/>
    </x:row>
    <x:row r="3319">
      <x:c r="A3319" s="5" t="str">
        <x:v>腯</x:v>
      </x:c>
      <x:c r="B3319" s="6" t="str">
        <x:v>入</x:v>
      </x:c>
      <x:c r="C3319" s="6" t="str">
        <x:f>IF(B3319="","Needs decision","Ready")</x:f>
        <x:v>Ready</x:v>
      </x:c>
      <x:c r="D3319" s="6" t="str">
        <x:v>入</x:v>
      </x:c>
      <x:c r="E3319" s="6" t="str">
        <x:v>dwot (D)</x:v>
      </x:c>
      <x:c r="F3319" s="6" t="str">
        <x:v>入聲六月</x:v>
      </x:c>
      <x:c r="G3319" s="6" t="str">
        <x:v>Pingshui main list, Wikisource-derived DOCX</x:v>
      </x:c>
      <x:c r="H3319" s="6" t="str">
        <x:v>1</x:v>
      </x:c>
      <x:c r="I3319" s="6" t="str"/>
      <x:c r="J3319" s="6" t="str">
        <x:f>IF(B3319="","",IF(AND(ISNUMBER(SEARCH("平",B3319)),OR(ISNUMBER(SEARCH("上",B3319)),ISNUMBER(SEARCH("去",B3319)),ISNUMBER(SEARCH("入",B3319)))),"Ambiguous",IF(ISNUMBER(SEARCH("平",B3319)),"平","仄")))</x:f>
        <x:v>仄</x:v>
      </x:c>
      <x:c r="K3319" s="6" t="str">
        <x:f>IF(D3319="","",IF(AND(ISNUMBER(SEARCH("平",D3319)),OR(ISNUMBER(SEARCH("上",D3319)),ISNUMBER(SEARCH("去",D3319)),ISNUMBER(SEARCH("入",D3319)))),"Ambiguous",IF(ISNUMBER(SEARCH("平",D3319)),"平","仄")))</x:f>
        <x:v>仄</x:v>
      </x:c>
      <x:c r="L3319" s="7" t="str"/>
    </x:row>
    <x:row r="3320">
      <x:c r="A3320" s="5" t="str">
        <x:v>腰</x:v>
      </x:c>
      <x:c r="B3320" s="6" t="str">
        <x:v>平</x:v>
      </x:c>
      <x:c r="C3320" s="6" t="str">
        <x:f>IF(B3320="","Needs decision","Ready")</x:f>
        <x:v>Ready</x:v>
      </x:c>
      <x:c r="D3320" s="6" t="str">
        <x:v>平</x:v>
      </x:c>
      <x:c r="E3320" s="6" t="str">
        <x:v>'jiew (A)</x:v>
      </x:c>
      <x:c r="F3320" s="6" t="str">
        <x:v>下平聲二蕭</x:v>
      </x:c>
      <x:c r="G3320" s="6" t="str">
        <x:v>Pingshui main list, Wikisource-derived DOCX</x:v>
      </x:c>
      <x:c r="H3320" s="6" t="str">
        <x:v>1</x:v>
      </x:c>
      <x:c r="I3320" s="6" t="str"/>
      <x:c r="J3320" s="6" t="str">
        <x:f>IF(B3320="","",IF(AND(ISNUMBER(SEARCH("平",B3320)),OR(ISNUMBER(SEARCH("上",B3320)),ISNUMBER(SEARCH("去",B3320)),ISNUMBER(SEARCH("入",B3320)))),"Ambiguous",IF(ISNUMBER(SEARCH("平",B3320)),"平","仄")))</x:f>
        <x:v>平</x:v>
      </x:c>
      <x:c r="K3320" s="6" t="str">
        <x:f>IF(D3320="","",IF(AND(ISNUMBER(SEARCH("平",D3320)),OR(ISNUMBER(SEARCH("上",D3320)),ISNUMBER(SEARCH("去",D3320)),ISNUMBER(SEARCH("入",D3320)))),"Ambiguous",IF(ISNUMBER(SEARCH("平",D3320)),"平","仄")))</x:f>
        <x:v>平</x:v>
      </x:c>
      <x:c r="L3320" s="7" t="str"/>
    </x:row>
    <x:row r="3321">
      <x:c r="A3321" s="5" t="str">
        <x:v>腳</x:v>
      </x:c>
      <x:c r="B3321" s="6" t="str">
        <x:v>入</x:v>
      </x:c>
      <x:c r="C3321" s="6" t="str">
        <x:f>IF(B3321="","Needs decision","Ready")</x:f>
        <x:v>Ready</x:v>
      </x:c>
      <x:c r="D3321" s="6" t="str">
        <x:v>入</x:v>
      </x:c>
      <x:c r="E3321" s="6" t="str">
        <x:v>kjak (D)</x:v>
      </x:c>
      <x:c r="F3321" s="6" t="str">
        <x:v>入聲十藥</x:v>
      </x:c>
      <x:c r="G3321" s="6" t="str">
        <x:v>Pingshui main list, Wikisource-derived DOCX</x:v>
      </x:c>
      <x:c r="H3321" s="6" t="str">
        <x:v>1</x:v>
      </x:c>
      <x:c r="I3321" s="6" t="str"/>
      <x:c r="J3321" s="6" t="str">
        <x:f>IF(B3321="","",IF(AND(ISNUMBER(SEARCH("平",B3321)),OR(ISNUMBER(SEARCH("上",B3321)),ISNUMBER(SEARCH("去",B3321)),ISNUMBER(SEARCH("入",B3321)))),"Ambiguous",IF(ISNUMBER(SEARCH("平",B3321)),"平","仄")))</x:f>
        <x:v>仄</x:v>
      </x:c>
      <x:c r="K3321" s="6" t="str">
        <x:f>IF(D3321="","",IF(AND(ISNUMBER(SEARCH("平",D3321)),OR(ISNUMBER(SEARCH("上",D3321)),ISNUMBER(SEARCH("去",D3321)),ISNUMBER(SEARCH("入",D3321)))),"Ambiguous",IF(ISNUMBER(SEARCH("平",D3321)),"平","仄")))</x:f>
        <x:v>仄</x:v>
      </x:c>
      <x:c r="L3321" s="7" t="str"/>
    </x:row>
    <x:row r="3322">
      <x:c r="A3322" s="5" t="str">
        <x:v>腸</x:v>
      </x:c>
      <x:c r="B3322" s="6" t="str">
        <x:v>平</x:v>
      </x:c>
      <x:c r="C3322" s="6" t="str">
        <x:f>IF(B3322="","Needs decision","Ready")</x:f>
        <x:v>Ready</x:v>
      </x:c>
      <x:c r="D3322" s="6" t="str">
        <x:v>平</x:v>
      </x:c>
      <x:c r="E3322" s="6" t="str">
        <x:v>drjang (A)</x:v>
      </x:c>
      <x:c r="F3322" s="6" t="str">
        <x:v>下平聲七陽</x:v>
      </x:c>
      <x:c r="G3322" s="6" t="str">
        <x:v>Pingshui main list, Wikisource-derived DOCX</x:v>
      </x:c>
      <x:c r="H3322" s="6" t="str">
        <x:v>1</x:v>
      </x:c>
      <x:c r="I3322" s="6" t="str"/>
      <x:c r="J3322" s="6" t="str">
        <x:f>IF(B3322="","",IF(AND(ISNUMBER(SEARCH("平",B3322)),OR(ISNUMBER(SEARCH("上",B3322)),ISNUMBER(SEARCH("去",B3322)),ISNUMBER(SEARCH("入",B3322)))),"Ambiguous",IF(ISNUMBER(SEARCH("平",B3322)),"平","仄")))</x:f>
        <x:v>平</x:v>
      </x:c>
      <x:c r="K3322" s="6" t="str">
        <x:f>IF(D3322="","",IF(AND(ISNUMBER(SEARCH("平",D3322)),OR(ISNUMBER(SEARCH("上",D3322)),ISNUMBER(SEARCH("去",D3322)),ISNUMBER(SEARCH("入",D3322)))),"Ambiguous",IF(ISNUMBER(SEARCH("平",D3322)),"平","仄")))</x:f>
        <x:v>平</x:v>
      </x:c>
      <x:c r="L3322" s="7" t="str"/>
    </x:row>
    <x:row r="3323">
      <x:c r="A3323" s="5" t="str">
        <x:v>腹</x:v>
      </x:c>
      <x:c r="B3323" s="6" t="str">
        <x:v>入</x:v>
      </x:c>
      <x:c r="C3323" s="6" t="str">
        <x:f>IF(B3323="","Needs decision","Ready")</x:f>
        <x:v>Ready</x:v>
      </x:c>
      <x:c r="D3323" s="6" t="str">
        <x:v>入</x:v>
      </x:c>
      <x:c r="E3323" s="6" t="str">
        <x:v>pjuwk (D)</x:v>
      </x:c>
      <x:c r="F3323" s="6" t="str">
        <x:v>入聲一屋</x:v>
      </x:c>
      <x:c r="G3323" s="6" t="str">
        <x:v>Pingshui main list, Wikisource-derived DOCX</x:v>
      </x:c>
      <x:c r="H3323" s="6" t="str">
        <x:v>1</x:v>
      </x:c>
      <x:c r="I3323" s="6" t="str"/>
      <x:c r="J3323" s="6" t="str">
        <x:f>IF(B3323="","",IF(AND(ISNUMBER(SEARCH("平",B3323)),OR(ISNUMBER(SEARCH("上",B3323)),ISNUMBER(SEARCH("去",B3323)),ISNUMBER(SEARCH("入",B3323)))),"Ambiguous",IF(ISNUMBER(SEARCH("平",B3323)),"平","仄")))</x:f>
        <x:v>仄</x:v>
      </x:c>
      <x:c r="K3323" s="6" t="str">
        <x:f>IF(D3323="","",IF(AND(ISNUMBER(SEARCH("平",D3323)),OR(ISNUMBER(SEARCH("上",D3323)),ISNUMBER(SEARCH("去",D3323)),ISNUMBER(SEARCH("入",D3323)))),"Ambiguous",IF(ISNUMBER(SEARCH("平",D3323)),"平","仄")))</x:f>
        <x:v>仄</x:v>
      </x:c>
      <x:c r="L3323" s="7" t="str"/>
    </x:row>
    <x:row r="3324">
      <x:c r="A3324" s="5" t="str">
        <x:v>膉</x:v>
      </x:c>
      <x:c r="B3324" s="6" t="str">
        <x:v>入</x:v>
      </x:c>
      <x:c r="C3324" s="6" t="str">
        <x:f>IF(B3324="","Needs decision","Ready")</x:f>
        <x:v>Ready</x:v>
      </x:c>
      <x:c r="D3324" s="6" t="str">
        <x:v>入</x:v>
      </x:c>
      <x:c r="E3324" s="6" t="str">
        <x:v>'jiek (D)</x:v>
      </x:c>
      <x:c r="F3324" s="6" t="str"/>
      <x:c r="G3324" s="6" t="str"/>
      <x:c r="H3324" s="6" t="str">
        <x:v>1</x:v>
      </x:c>
      <x:c r="I3324" s="6" t="str"/>
      <x:c r="J3324" s="6" t="str">
        <x:f>IF(B3324="","",IF(AND(ISNUMBER(SEARCH("平",B3324)),OR(ISNUMBER(SEARCH("上",B3324)),ISNUMBER(SEARCH("去",B3324)),ISNUMBER(SEARCH("入",B3324)))),"Ambiguous",IF(ISNUMBER(SEARCH("平",B3324)),"平","仄")))</x:f>
        <x:v>仄</x:v>
      </x:c>
      <x:c r="K3324" s="6" t="str">
        <x:f>IF(D3324="","",IF(AND(ISNUMBER(SEARCH("平",D3324)),OR(ISNUMBER(SEARCH("上",D3324)),ISNUMBER(SEARCH("去",D3324)),ISNUMBER(SEARCH("入",D3324)))),"Ambiguous",IF(ISNUMBER(SEARCH("平",D3324)),"平","仄")))</x:f>
        <x:v>仄</x:v>
      </x:c>
      <x:c r="L3324" s="7" t="str"/>
    </x:row>
    <x:row r="3325">
      <x:c r="A3325" s="5" t="str">
        <x:v>膊</x:v>
      </x:c>
      <x:c r="B3325" s="6" t="str">
        <x:v>入</x:v>
      </x:c>
      <x:c r="C3325" s="6" t="str">
        <x:f>IF(B3325="","Needs decision","Ready")</x:f>
        <x:v>Ready</x:v>
      </x:c>
      <x:c r="D3325" s="6" t="str">
        <x:v>入</x:v>
      </x:c>
      <x:c r="E3325" s="6" t="str">
        <x:v>phak (D)</x:v>
      </x:c>
      <x:c r="F3325" s="6" t="str">
        <x:v>入聲十藥</x:v>
      </x:c>
      <x:c r="G3325" s="6" t="str">
        <x:v>Pingshui main list, Wikisource-derived DOCX</x:v>
      </x:c>
      <x:c r="H3325" s="6" t="str">
        <x:v>1</x:v>
      </x:c>
      <x:c r="I3325" s="6" t="str"/>
      <x:c r="J3325" s="6" t="str">
        <x:f>IF(B3325="","",IF(AND(ISNUMBER(SEARCH("平",B3325)),OR(ISNUMBER(SEARCH("上",B3325)),ISNUMBER(SEARCH("去",B3325)),ISNUMBER(SEARCH("入",B3325)))),"Ambiguous",IF(ISNUMBER(SEARCH("平",B3325)),"平","仄")))</x:f>
        <x:v>仄</x:v>
      </x:c>
      <x:c r="K3325" s="6" t="str">
        <x:f>IF(D3325="","",IF(AND(ISNUMBER(SEARCH("平",D3325)),OR(ISNUMBER(SEARCH("上",D3325)),ISNUMBER(SEARCH("去",D3325)),ISNUMBER(SEARCH("入",D3325)))),"Ambiguous",IF(ISNUMBER(SEARCH("平",D3325)),"平","仄")))</x:f>
        <x:v>仄</x:v>
      </x:c>
      <x:c r="L3325" s="7" t="str"/>
    </x:row>
    <x:row r="3326">
      <x:c r="A3326" s="5" t="str">
        <x:v>膏</x:v>
      </x:c>
      <x:c r="B3326" s="6" t="str">
        <x:v>平</x:v>
      </x:c>
      <x:c r="C3326" s="6" t="str">
        <x:f>IF(B3326="","Needs decision","Ready")</x:f>
        <x:v>Ready</x:v>
      </x:c>
      <x:c r="D3326" s="6" t="str">
        <x:v>平/去</x:v>
      </x:c>
      <x:c r="E3326" s="6" t="str">
        <x:v>kaw (A); kawH (C)</x:v>
      </x:c>
      <x:c r="F3326" s="6" t="str">
        <x:v>下平聲四豪; 去聲二十號</x:v>
      </x:c>
      <x:c r="G3326" s="6" t="str">
        <x:v>Pingshui main list, Wikisource-derived DOCX</x:v>
      </x:c>
      <x:c r="H3326" s="6" t="str">
        <x:v>2</x:v>
      </x:c>
      <x:c r="I3326" s="6" t="str"/>
      <x:c r="J3326" s="6" t="str">
        <x:f>IF(B3326="","",IF(AND(ISNUMBER(SEARCH("平",B3326)),OR(ISNUMBER(SEARCH("上",B3326)),ISNUMBER(SEARCH("去",B3326)),ISNUMBER(SEARCH("入",B3326)))),"Ambiguous",IF(ISNUMBER(SEARCH("平",B3326)),"平","仄")))</x:f>
        <x:v>平</x:v>
      </x:c>
      <x:c r="K3326" s="6" t="str">
        <x:f>IF(D3326="","",IF(AND(ISNUMBER(SEARCH("平",D3326)),OR(ISNUMBER(SEARCH("上",D3326)),ISNUMBER(SEARCH("去",D3326)),ISNUMBER(SEARCH("入",D3326)))),"Ambiguous",IF(ISNUMBER(SEARCH("平",D3326)),"平","仄")))</x:f>
        <x:v>Ambiguous</x:v>
      </x:c>
      <x:c r="L3326" s="7" t="str"/>
    </x:row>
    <x:row r="3327">
      <x:c r="A3327" s="5" t="str">
        <x:v>膚</x:v>
      </x:c>
      <x:c r="B3327" s="6" t="str">
        <x:v>平</x:v>
      </x:c>
      <x:c r="C3327" s="6" t="str">
        <x:f>IF(B3327="","Needs decision","Ready")</x:f>
        <x:v>Ready</x:v>
      </x:c>
      <x:c r="D3327" s="6" t="str">
        <x:v>平</x:v>
      </x:c>
      <x:c r="E3327" s="6" t="str">
        <x:v>pju (A)</x:v>
      </x:c>
      <x:c r="F3327" s="6" t="str">
        <x:v>上平聲七虞</x:v>
      </x:c>
      <x:c r="G3327" s="6" t="str">
        <x:v>Pingshui main list, Wikisource-derived DOCX</x:v>
      </x:c>
      <x:c r="H3327" s="6" t="str">
        <x:v>1</x:v>
      </x:c>
      <x:c r="I3327" s="6" t="str"/>
      <x:c r="J3327" s="6" t="str">
        <x:f>IF(B3327="","",IF(AND(ISNUMBER(SEARCH("平",B3327)),OR(ISNUMBER(SEARCH("上",B3327)),ISNUMBER(SEARCH("去",B3327)),ISNUMBER(SEARCH("入",B3327)))),"Ambiguous",IF(ISNUMBER(SEARCH("平",B3327)),"平","仄")))</x:f>
        <x:v>平</x:v>
      </x:c>
      <x:c r="K3327" s="6" t="str">
        <x:f>IF(D3327="","",IF(AND(ISNUMBER(SEARCH("平",D3327)),OR(ISNUMBER(SEARCH("上",D3327)),ISNUMBER(SEARCH("去",D3327)),ISNUMBER(SEARCH("入",D3327)))),"Ambiguous",IF(ISNUMBER(SEARCH("平",D3327)),"平","仄")))</x:f>
        <x:v>平</x:v>
      </x:c>
      <x:c r="L3327" s="7" t="str"/>
    </x:row>
    <x:row r="3328">
      <x:c r="A3328" s="5" t="str">
        <x:v>膝</x:v>
      </x:c>
      <x:c r="B3328" s="6" t="str">
        <x:v>入</x:v>
      </x:c>
      <x:c r="C3328" s="6" t="str">
        <x:f>IF(B3328="","Needs decision","Ready")</x:f>
        <x:v>Ready</x:v>
      </x:c>
      <x:c r="D3328" s="6" t="str">
        <x:v>入</x:v>
      </x:c>
      <x:c r="E3328" s="6" t="str">
        <x:v>sit (D)</x:v>
      </x:c>
      <x:c r="F3328" s="6" t="str">
        <x:v>入聲四質</x:v>
      </x:c>
      <x:c r="G3328" s="6" t="str">
        <x:v>Pingshui main list, Wikisource-derived DOCX</x:v>
      </x:c>
      <x:c r="H3328" s="6" t="str">
        <x:v>1</x:v>
      </x:c>
      <x:c r="I3328" s="6" t="str"/>
      <x:c r="J3328" s="6" t="str">
        <x:f>IF(B3328="","",IF(AND(ISNUMBER(SEARCH("平",B3328)),OR(ISNUMBER(SEARCH("上",B3328)),ISNUMBER(SEARCH("去",B3328)),ISNUMBER(SEARCH("入",B3328)))),"Ambiguous",IF(ISNUMBER(SEARCH("平",B3328)),"平","仄")))</x:f>
        <x:v>仄</x:v>
      </x:c>
      <x:c r="K3328" s="6" t="str">
        <x:f>IF(D3328="","",IF(AND(ISNUMBER(SEARCH("平",D3328)),OR(ISNUMBER(SEARCH("上",D3328)),ISNUMBER(SEARCH("去",D3328)),ISNUMBER(SEARCH("入",D3328)))),"Ambiguous",IF(ISNUMBER(SEARCH("平",D3328)),"平","仄")))</x:f>
        <x:v>仄</x:v>
      </x:c>
      <x:c r="L3328" s="7" t="str"/>
    </x:row>
    <x:row r="3329">
      <x:c r="A3329" s="5" t="str">
        <x:v>膠</x:v>
      </x:c>
      <x:c r="B3329" s="6" t="str"/>
      <x:c r="C3329" s="6" t="str">
        <x:f>IF(B3329="","Needs decision","Ready")</x:f>
        <x:v>Needs decision</x:v>
      </x:c>
      <x:c r="D3329" s="6" t="str">
        <x:v>平/上</x:v>
      </x:c>
      <x:c r="E3329" s="6" t="str">
        <x:v>kaew (A); kaewX (B)</x:v>
      </x:c>
      <x:c r="F3329" s="6" t="str">
        <x:v>下平聲三肴; 去聲十九效</x:v>
      </x:c>
      <x:c r="G3329" s="6" t="str">
        <x:v>Pingshui main list, Wikisource-derived DOCX</x:v>
      </x:c>
      <x:c r="H3329" s="6" t="str">
        <x:v>2</x:v>
      </x:c>
      <x:c r="I3329" s="6" t="str"/>
      <x:c r="J3329" s="6" t="str">
        <x:f>IF(B3329="","",IF(AND(ISNUMBER(SEARCH("平",B3329)),OR(ISNUMBER(SEARCH("上",B3329)),ISNUMBER(SEARCH("去",B3329)),ISNUMBER(SEARCH("入",B3329)))),"Ambiguous",IF(ISNUMBER(SEARCH("平",B3329)),"平","仄")))</x:f>
      </x:c>
      <x:c r="K3329" s="6" t="str">
        <x:f>IF(D3329="","",IF(AND(ISNUMBER(SEARCH("平",D3329)),OR(ISNUMBER(SEARCH("上",D3329)),ISNUMBER(SEARCH("去",D3329)),ISNUMBER(SEARCH("入",D3329)))),"Ambiguous",IF(ISNUMBER(SEARCH("平",D3329)),"平","仄")))</x:f>
        <x:v>Ambiguous</x:v>
      </x:c>
      <x:c r="L3329" s="7" t="str"/>
    </x:row>
    <x:row r="3330">
      <x:c r="A3330" s="5" t="str">
        <x:v>膩</x:v>
      </x:c>
      <x:c r="B3330" s="6" t="str">
        <x:v>去</x:v>
      </x:c>
      <x:c r="C3330" s="6" t="str">
        <x:f>IF(B3330="","Needs decision","Ready")</x:f>
        <x:v>Ready</x:v>
      </x:c>
      <x:c r="D3330" s="6" t="str">
        <x:v>去</x:v>
      </x:c>
      <x:c r="E3330" s="6" t="str">
        <x:v>nrijH (C)</x:v>
      </x:c>
      <x:c r="F3330" s="6" t="str">
        <x:v>去聲四寘</x:v>
      </x:c>
      <x:c r="G3330" s="6" t="str">
        <x:v>Pingshui main list, Wikisource-derived DOCX</x:v>
      </x:c>
      <x:c r="H3330" s="6" t="str">
        <x:v>1</x:v>
      </x:c>
      <x:c r="I3330" s="6" t="str"/>
      <x:c r="J3330" s="6" t="str">
        <x:f>IF(B3330="","",IF(AND(ISNUMBER(SEARCH("平",B3330)),OR(ISNUMBER(SEARCH("上",B3330)),ISNUMBER(SEARCH("去",B3330)),ISNUMBER(SEARCH("入",B3330)))),"Ambiguous",IF(ISNUMBER(SEARCH("平",B3330)),"平","仄")))</x:f>
        <x:v>仄</x:v>
      </x:c>
      <x:c r="K3330" s="6" t="str">
        <x:f>IF(D3330="","",IF(AND(ISNUMBER(SEARCH("平",D3330)),OR(ISNUMBER(SEARCH("上",D3330)),ISNUMBER(SEARCH("去",D3330)),ISNUMBER(SEARCH("入",D3330)))),"Ambiguous",IF(ISNUMBER(SEARCH("平",D3330)),"平","仄")))</x:f>
        <x:v>仄</x:v>
      </x:c>
      <x:c r="L3330" s="7" t="str"/>
    </x:row>
    <x:row r="3331">
      <x:c r="A3331" s="5" t="str">
        <x:v>膬</x:v>
      </x:c>
      <x:c r="B3331" s="6" t="str">
        <x:v>入</x:v>
      </x:c>
      <x:c r="C3331" s="6" t="str">
        <x:f>IF(B3331="","Needs decision","Ready")</x:f>
        <x:v>Ready</x:v>
      </x:c>
      <x:c r="D3331" s="6" t="str">
        <x:v>入</x:v>
      </x:c>
      <x:c r="E3331" s="6" t="str">
        <x:v>tshjwet (D)</x:v>
      </x:c>
      <x:c r="F3331" s="6" t="str"/>
      <x:c r="G3331" s="6" t="str"/>
      <x:c r="H3331" s="6" t="str">
        <x:v>1</x:v>
      </x:c>
      <x:c r="I3331" s="6" t="str"/>
      <x:c r="J3331" s="6" t="str">
        <x:f>IF(B3331="","",IF(AND(ISNUMBER(SEARCH("平",B3331)),OR(ISNUMBER(SEARCH("上",B3331)),ISNUMBER(SEARCH("去",B3331)),ISNUMBER(SEARCH("入",B3331)))),"Ambiguous",IF(ISNUMBER(SEARCH("平",B3331)),"平","仄")))</x:f>
        <x:v>仄</x:v>
      </x:c>
      <x:c r="K3331" s="6" t="str">
        <x:f>IF(D3331="","",IF(AND(ISNUMBER(SEARCH("平",D3331)),OR(ISNUMBER(SEARCH("上",D3331)),ISNUMBER(SEARCH("去",D3331)),ISNUMBER(SEARCH("入",D3331)))),"Ambiguous",IF(ISNUMBER(SEARCH("平",D3331)),"平","仄")))</x:f>
        <x:v>仄</x:v>
      </x:c>
      <x:c r="L3331" s="7" t="str"/>
    </x:row>
    <x:row r="3332">
      <x:c r="A3332" s="5" t="str">
        <x:v>膳</x:v>
      </x:c>
      <x:c r="B3332" s="6" t="str">
        <x:v>去</x:v>
      </x:c>
      <x:c r="C3332" s="6" t="str">
        <x:f>IF(B3332="","Needs decision","Ready")</x:f>
        <x:v>Ready</x:v>
      </x:c>
      <x:c r="D3332" s="6" t="str">
        <x:v>去</x:v>
      </x:c>
      <x:c r="E3332" s="6" t="str">
        <x:v>dzyenH [dʑenh] (去)</x:v>
      </x:c>
      <x:c r="F3332" s="6" t="str">
        <x:v>去聲十七霰</x:v>
      </x:c>
      <x:c r="G3332" s="6" t="str">
        <x:v>Pingshui main list, Wikisource-derived DOCX</x:v>
      </x:c>
      <x:c r="H3332" s="6" t="str">
        <x:v>1</x:v>
      </x:c>
      <x:c r="I3332" s="6" t="str">
        <x:v>Tang 300 gap; frequency 1; provisional from Xun Gong</x:v>
      </x:c>
      <x:c r="J3332" s="6" t="str">
        <x:f>IF(B3332="","",IF(AND(ISNUMBER(SEARCH("平",B3332)),OR(ISNUMBER(SEARCH("上",B3332)),ISNUMBER(SEARCH("去",B3332)),ISNUMBER(SEARCH("入",B3332)))),"Ambiguous",IF(ISNUMBER(SEARCH("平",B3332)),"平","仄")))</x:f>
        <x:v>仄</x:v>
      </x:c>
      <x:c r="K3332" s="6" t="str">
        <x:f>IF(D3332="","",IF(AND(ISNUMBER(SEARCH("平",D3332)),OR(ISNUMBER(SEARCH("上",D3332)),ISNUMBER(SEARCH("去",D3332)),ISNUMBER(SEARCH("入",D3332)))),"Ambiguous",IF(ISNUMBER(SEARCH("平",D3332)),"平","仄")))</x:f>
        <x:v>仄</x:v>
      </x:c>
      <x:c r="L3332" s="7" t="str">
        <x:v>Xun Gong, Tang 300 gap fill</x:v>
      </x:c>
    </x:row>
    <x:row r="3333">
      <x:c r="A3333" s="5" t="str">
        <x:v>膷</x:v>
      </x:c>
      <x:c r="B3333" s="6" t="str">
        <x:v>平</x:v>
      </x:c>
      <x:c r="C3333" s="6" t="str">
        <x:f>IF(B3333="","Needs decision","Ready")</x:f>
        <x:v>Ready</x:v>
      </x:c>
      <x:c r="D3333" s="6" t="str">
        <x:v>平</x:v>
      </x:c>
      <x:c r="E3333" s="6" t="str">
        <x:v>xjang (A)</x:v>
      </x:c>
      <x:c r="F3333" s="6" t="str">
        <x:v>下平聲七陽</x:v>
      </x:c>
      <x:c r="G3333" s="6" t="str">
        <x:v>Pingshui main list, Wikisource-derived DOCX</x:v>
      </x:c>
      <x:c r="H3333" s="6" t="str">
        <x:v>1</x:v>
      </x:c>
      <x:c r="I3333" s="6" t="str"/>
      <x:c r="J3333" s="6" t="str">
        <x:f>IF(B3333="","",IF(AND(ISNUMBER(SEARCH("平",B3333)),OR(ISNUMBER(SEARCH("上",B3333)),ISNUMBER(SEARCH("去",B3333)),ISNUMBER(SEARCH("入",B3333)))),"Ambiguous",IF(ISNUMBER(SEARCH("平",B3333)),"平","仄")))</x:f>
        <x:v>平</x:v>
      </x:c>
      <x:c r="K3333" s="6" t="str">
        <x:f>IF(D3333="","",IF(AND(ISNUMBER(SEARCH("平",D3333)),OR(ISNUMBER(SEARCH("上",D3333)),ISNUMBER(SEARCH("去",D3333)),ISNUMBER(SEARCH("入",D3333)))),"Ambiguous",IF(ISNUMBER(SEARCH("平",D3333)),"平","仄")))</x:f>
        <x:v>平</x:v>
      </x:c>
      <x:c r="L3333" s="7" t="str"/>
    </x:row>
    <x:row r="3334">
      <x:c r="A3334" s="5" t="str">
        <x:v>膺</x:v>
      </x:c>
      <x:c r="B3334" s="6" t="str">
        <x:v>平</x:v>
      </x:c>
      <x:c r="C3334" s="6" t="str">
        <x:f>IF(B3334="","Needs decision","Ready")</x:f>
        <x:v>Ready</x:v>
      </x:c>
      <x:c r="D3334" s="6" t="str">
        <x:v>平</x:v>
      </x:c>
      <x:c r="E3334" s="6" t="str">
        <x:v>'ing (A)</x:v>
      </x:c>
      <x:c r="F3334" s="6" t="str">
        <x:v>下平聲十蒸</x:v>
      </x:c>
      <x:c r="G3334" s="6" t="str">
        <x:v>Pingshui main list, Wikisource-derived DOCX</x:v>
      </x:c>
      <x:c r="H3334" s="6" t="str">
        <x:v>1</x:v>
      </x:c>
      <x:c r="I3334" s="6" t="str"/>
      <x:c r="J3334" s="6" t="str">
        <x:f>IF(B3334="","",IF(AND(ISNUMBER(SEARCH("平",B3334)),OR(ISNUMBER(SEARCH("上",B3334)),ISNUMBER(SEARCH("去",B3334)),ISNUMBER(SEARCH("入",B3334)))),"Ambiguous",IF(ISNUMBER(SEARCH("平",B3334)),"平","仄")))</x:f>
        <x:v>平</x:v>
      </x:c>
      <x:c r="K3334" s="6" t="str">
        <x:f>IF(D3334="","",IF(AND(ISNUMBER(SEARCH("平",D3334)),OR(ISNUMBER(SEARCH("上",D3334)),ISNUMBER(SEARCH("去",D3334)),ISNUMBER(SEARCH("入",D3334)))),"Ambiguous",IF(ISNUMBER(SEARCH("平",D3334)),"平","仄")))</x:f>
        <x:v>平</x:v>
      </x:c>
      <x:c r="L3334" s="7" t="str"/>
    </x:row>
    <x:row r="3335">
      <x:c r="A3335" s="5" t="str">
        <x:v>膻</x:v>
      </x:c>
      <x:c r="B3335" s="6" t="str">
        <x:v>平</x:v>
      </x:c>
      <x:c r="C3335" s="6" t="str">
        <x:f>IF(B3335="","Needs decision","Ready")</x:f>
        <x:v>Ready</x:v>
      </x:c>
      <x:c r="D3335" s="6" t="str">
        <x:v>平</x:v>
      </x:c>
      <x:c r="E3335" s="6" t="str">
        <x:v>syen (A)</x:v>
      </x:c>
      <x:c r="F3335" s="6" t="str"/>
      <x:c r="G3335" s="6" t="str"/>
      <x:c r="H3335" s="6" t="str">
        <x:v>1</x:v>
      </x:c>
      <x:c r="I3335" s="6" t="str"/>
      <x:c r="J3335" s="6" t="str">
        <x:f>IF(B3335="","",IF(AND(ISNUMBER(SEARCH("平",B3335)),OR(ISNUMBER(SEARCH("上",B3335)),ISNUMBER(SEARCH("去",B3335)),ISNUMBER(SEARCH("入",B3335)))),"Ambiguous",IF(ISNUMBER(SEARCH("平",B3335)),"平","仄")))</x:f>
        <x:v>平</x:v>
      </x:c>
      <x:c r="K3335" s="6" t="str">
        <x:f>IF(D3335="","",IF(AND(ISNUMBER(SEARCH("平",D3335)),OR(ISNUMBER(SEARCH("上",D3335)),ISNUMBER(SEARCH("去",D3335)),ISNUMBER(SEARCH("入",D3335)))),"Ambiguous",IF(ISNUMBER(SEARCH("平",D3335)),"平","仄")))</x:f>
        <x:v>平</x:v>
      </x:c>
      <x:c r="L3335" s="7" t="str"/>
    </x:row>
    <x:row r="3336">
      <x:c r="A3336" s="5" t="str">
        <x:v>膽</x:v>
      </x:c>
      <x:c r="B3336" s="6" t="str">
        <x:v>上</x:v>
      </x:c>
      <x:c r="C3336" s="6" t="str">
        <x:f>IF(B3336="","Needs decision","Ready")</x:f>
        <x:v>Ready</x:v>
      </x:c>
      <x:c r="D3336" s="6" t="str">
        <x:v>上</x:v>
      </x:c>
      <x:c r="E3336" s="6" t="str">
        <x:v>tamX (B)</x:v>
      </x:c>
      <x:c r="F3336" s="6" t="str">
        <x:v>上聲二十七感</x:v>
      </x:c>
      <x:c r="G3336" s="6" t="str">
        <x:v>Pingshui main list, Wikisource-derived DOCX</x:v>
      </x:c>
      <x:c r="H3336" s="6" t="str">
        <x:v>1</x:v>
      </x:c>
      <x:c r="I3336" s="6" t="str"/>
      <x:c r="J3336" s="6" t="str">
        <x:f>IF(B3336="","",IF(AND(ISNUMBER(SEARCH("平",B3336)),OR(ISNUMBER(SEARCH("上",B3336)),ISNUMBER(SEARCH("去",B3336)),ISNUMBER(SEARCH("入",B3336)))),"Ambiguous",IF(ISNUMBER(SEARCH("平",B3336)),"平","仄")))</x:f>
        <x:v>仄</x:v>
      </x:c>
      <x:c r="K3336" s="6" t="str">
        <x:f>IF(D3336="","",IF(AND(ISNUMBER(SEARCH("平",D3336)),OR(ISNUMBER(SEARCH("上",D3336)),ISNUMBER(SEARCH("去",D3336)),ISNUMBER(SEARCH("入",D3336)))),"Ambiguous",IF(ISNUMBER(SEARCH("平",D3336)),"平","仄")))</x:f>
        <x:v>仄</x:v>
      </x:c>
      <x:c r="L3336" s="7" t="str"/>
    </x:row>
    <x:row r="3337">
      <x:c r="A3337" s="5" t="str">
        <x:v>膾</x:v>
      </x:c>
      <x:c r="B3337" s="6" t="str">
        <x:v>去</x:v>
      </x:c>
      <x:c r="C3337" s="6" t="str">
        <x:f>IF(B3337="","Needs decision","Ready")</x:f>
        <x:v>Ready</x:v>
      </x:c>
      <x:c r="D3337" s="6" t="str">
        <x:v>去</x:v>
      </x:c>
      <x:c r="E3337" s="6" t="str">
        <x:v>kwajH (C)</x:v>
      </x:c>
      <x:c r="F3337" s="6" t="str">
        <x:v>去聲九泰</x:v>
      </x:c>
      <x:c r="G3337" s="6" t="str">
        <x:v>Pingshui main list, Wikisource-derived DOCX</x:v>
      </x:c>
      <x:c r="H3337" s="6" t="str">
        <x:v>1</x:v>
      </x:c>
      <x:c r="I3337" s="6" t="str"/>
      <x:c r="J3337" s="6" t="str">
        <x:f>IF(B3337="","",IF(AND(ISNUMBER(SEARCH("平",B3337)),OR(ISNUMBER(SEARCH("上",B3337)),ISNUMBER(SEARCH("去",B3337)),ISNUMBER(SEARCH("入",B3337)))),"Ambiguous",IF(ISNUMBER(SEARCH("平",B3337)),"平","仄")))</x:f>
        <x:v>仄</x:v>
      </x:c>
      <x:c r="K3337" s="6" t="str">
        <x:f>IF(D3337="","",IF(AND(ISNUMBER(SEARCH("平",D3337)),OR(ISNUMBER(SEARCH("上",D3337)),ISNUMBER(SEARCH("去",D3337)),ISNUMBER(SEARCH("入",D3337)))),"Ambiguous",IF(ISNUMBER(SEARCH("平",D3337)),"平","仄")))</x:f>
        <x:v>仄</x:v>
      </x:c>
      <x:c r="L3337" s="7" t="str"/>
    </x:row>
    <x:row r="3338">
      <x:c r="A3338" s="5" t="str">
        <x:v>膿</x:v>
      </x:c>
      <x:c r="B3338" s="6" t="str">
        <x:v>平</x:v>
      </x:c>
      <x:c r="C3338" s="6" t="str">
        <x:f>IF(B3338="","Needs decision","Ready")</x:f>
        <x:v>Ready</x:v>
      </x:c>
      <x:c r="D3338" s="6" t="str">
        <x:v>平</x:v>
      </x:c>
      <x:c r="E3338" s="6" t="str">
        <x:v>nowng (A)</x:v>
      </x:c>
      <x:c r="F3338" s="6" t="str">
        <x:v>上平聲二冬</x:v>
      </x:c>
      <x:c r="G3338" s="6" t="str">
        <x:v>Pingshui main list, Wikisource-derived DOCX</x:v>
      </x:c>
      <x:c r="H3338" s="6" t="str">
        <x:v>1</x:v>
      </x:c>
      <x:c r="I3338" s="6" t="str"/>
      <x:c r="J3338" s="6" t="str">
        <x:f>IF(B3338="","",IF(AND(ISNUMBER(SEARCH("平",B3338)),OR(ISNUMBER(SEARCH("上",B3338)),ISNUMBER(SEARCH("去",B3338)),ISNUMBER(SEARCH("入",B3338)))),"Ambiguous",IF(ISNUMBER(SEARCH("平",B3338)),"平","仄")))</x:f>
        <x:v>平</x:v>
      </x:c>
      <x:c r="K3338" s="6" t="str">
        <x:f>IF(D3338="","",IF(AND(ISNUMBER(SEARCH("平",D3338)),OR(ISNUMBER(SEARCH("上",D3338)),ISNUMBER(SEARCH("去",D3338)),ISNUMBER(SEARCH("入",D3338)))),"Ambiguous",IF(ISNUMBER(SEARCH("平",D3338)),"平","仄")))</x:f>
        <x:v>平</x:v>
      </x:c>
      <x:c r="L3338" s="7" t="str"/>
    </x:row>
    <x:row r="3339">
      <x:c r="A3339" s="5" t="str">
        <x:v>臂</x:v>
      </x:c>
      <x:c r="B3339" s="6" t="str">
        <x:v>去</x:v>
      </x:c>
      <x:c r="C3339" s="6" t="str">
        <x:f>IF(B3339="","Needs decision","Ready")</x:f>
        <x:v>Ready</x:v>
      </x:c>
      <x:c r="D3339" s="6" t="str">
        <x:v>去</x:v>
      </x:c>
      <x:c r="E3339" s="6" t="str">
        <x:v>pjieH (C)</x:v>
      </x:c>
      <x:c r="F3339" s="6" t="str">
        <x:v>去聲四寘</x:v>
      </x:c>
      <x:c r="G3339" s="6" t="str">
        <x:v>Pingshui main list, Wikisource-derived DOCX</x:v>
      </x:c>
      <x:c r="H3339" s="6" t="str">
        <x:v>1</x:v>
      </x:c>
      <x:c r="I3339" s="6" t="str"/>
      <x:c r="J3339" s="6" t="str">
        <x:f>IF(B3339="","",IF(AND(ISNUMBER(SEARCH("平",B3339)),OR(ISNUMBER(SEARCH("上",B3339)),ISNUMBER(SEARCH("去",B3339)),ISNUMBER(SEARCH("入",B3339)))),"Ambiguous",IF(ISNUMBER(SEARCH("平",B3339)),"平","仄")))</x:f>
        <x:v>仄</x:v>
      </x:c>
      <x:c r="K3339" s="6" t="str">
        <x:f>IF(D3339="","",IF(AND(ISNUMBER(SEARCH("平",D3339)),OR(ISNUMBER(SEARCH("上",D3339)),ISNUMBER(SEARCH("去",D3339)),ISNUMBER(SEARCH("入",D3339)))),"Ambiguous",IF(ISNUMBER(SEARCH("平",D3339)),"平","仄")))</x:f>
        <x:v>仄</x:v>
      </x:c>
      <x:c r="L3339" s="7" t="str"/>
    </x:row>
    <x:row r="3340">
      <x:c r="A3340" s="5" t="str">
        <x:v>臆</x:v>
      </x:c>
      <x:c r="B3340" s="6" t="str">
        <x:v>入</x:v>
      </x:c>
      <x:c r="C3340" s="6" t="str">
        <x:f>IF(B3340="","Needs decision","Ready")</x:f>
        <x:v>Ready</x:v>
      </x:c>
      <x:c r="D3340" s="6" t="str">
        <x:v>入</x:v>
      </x:c>
      <x:c r="E3340" s="6" t="str">
        <x:v>'ik (D)</x:v>
      </x:c>
      <x:c r="F3340" s="6" t="str">
        <x:v>入聲十三職</x:v>
      </x:c>
      <x:c r="G3340" s="6" t="str">
        <x:v>Pingshui main list, Wikisource-derived DOCX</x:v>
      </x:c>
      <x:c r="H3340" s="6" t="str">
        <x:v>1</x:v>
      </x:c>
      <x:c r="I3340" s="6" t="str"/>
      <x:c r="J3340" s="6" t="str">
        <x:f>IF(B3340="","",IF(AND(ISNUMBER(SEARCH("平",B3340)),OR(ISNUMBER(SEARCH("上",B3340)),ISNUMBER(SEARCH("去",B3340)),ISNUMBER(SEARCH("入",B3340)))),"Ambiguous",IF(ISNUMBER(SEARCH("平",B3340)),"平","仄")))</x:f>
        <x:v>仄</x:v>
      </x:c>
      <x:c r="K3340" s="6" t="str">
        <x:f>IF(D3340="","",IF(AND(ISNUMBER(SEARCH("平",D3340)),OR(ISNUMBER(SEARCH("上",D3340)),ISNUMBER(SEARCH("去",D3340)),ISNUMBER(SEARCH("入",D3340)))),"Ambiguous",IF(ISNUMBER(SEARCH("平",D3340)),"平","仄")))</x:f>
        <x:v>仄</x:v>
      </x:c>
      <x:c r="L3340" s="7" t="str"/>
    </x:row>
    <x:row r="3341">
      <x:c r="A3341" s="5" t="str">
        <x:v>臊</x:v>
      </x:c>
      <x:c r="B3341" s="6" t="str">
        <x:v>平</x:v>
      </x:c>
      <x:c r="C3341" s="6" t="str">
        <x:f>IF(B3341="","Needs decision","Ready")</x:f>
        <x:v>Ready</x:v>
      </x:c>
      <x:c r="D3341" s="6" t="str">
        <x:v>平</x:v>
      </x:c>
      <x:c r="E3341" s="6" t="str">
        <x:v>saw (A)</x:v>
      </x:c>
      <x:c r="F3341" s="6" t="str">
        <x:v>下平聲四豪</x:v>
      </x:c>
      <x:c r="G3341" s="6" t="str">
        <x:v>Pingshui main list, Wikisource-derived DOCX</x:v>
      </x:c>
      <x:c r="H3341" s="6" t="str">
        <x:v>1</x:v>
      </x:c>
      <x:c r="I3341" s="6" t="str"/>
      <x:c r="J3341" s="6" t="str">
        <x:f>IF(B3341="","",IF(AND(ISNUMBER(SEARCH("平",B3341)),OR(ISNUMBER(SEARCH("上",B3341)),ISNUMBER(SEARCH("去",B3341)),ISNUMBER(SEARCH("入",B3341)))),"Ambiguous",IF(ISNUMBER(SEARCH("平",B3341)),"平","仄")))</x:f>
        <x:v>平</x:v>
      </x:c>
      <x:c r="K3341" s="6" t="str">
        <x:f>IF(D3341="","",IF(AND(ISNUMBER(SEARCH("平",D3341)),OR(ISNUMBER(SEARCH("上",D3341)),ISNUMBER(SEARCH("去",D3341)),ISNUMBER(SEARCH("入",D3341)))),"Ambiguous",IF(ISNUMBER(SEARCH("平",D3341)),"平","仄")))</x:f>
        <x:v>平</x:v>
      </x:c>
      <x:c r="L3341" s="7" t="str"/>
    </x:row>
    <x:row r="3342">
      <x:c r="A3342" s="5" t="str">
        <x:v>臍</x:v>
      </x:c>
      <x:c r="B3342" s="6" t="str">
        <x:v>平</x:v>
      </x:c>
      <x:c r="C3342" s="6" t="str">
        <x:f>IF(B3342="","Needs decision","Ready")</x:f>
        <x:v>Ready</x:v>
      </x:c>
      <x:c r="D3342" s="6" t="str">
        <x:v>平</x:v>
      </x:c>
      <x:c r="E3342" s="6" t="str">
        <x:v>dzej (A)</x:v>
      </x:c>
      <x:c r="F3342" s="6" t="str">
        <x:v>上平聲八齊</x:v>
      </x:c>
      <x:c r="G3342" s="6" t="str">
        <x:v>Pingshui main list, Wikisource-derived DOCX</x:v>
      </x:c>
      <x:c r="H3342" s="6" t="str">
        <x:v>1</x:v>
      </x:c>
      <x:c r="I3342" s="6" t="str"/>
      <x:c r="J3342" s="6" t="str">
        <x:f>IF(B3342="","",IF(AND(ISNUMBER(SEARCH("平",B3342)),OR(ISNUMBER(SEARCH("上",B3342)),ISNUMBER(SEARCH("去",B3342)),ISNUMBER(SEARCH("入",B3342)))),"Ambiguous",IF(ISNUMBER(SEARCH("平",B3342)),"平","仄")))</x:f>
        <x:v>平</x:v>
      </x:c>
      <x:c r="K3342" s="6" t="str">
        <x:f>IF(D3342="","",IF(AND(ISNUMBER(SEARCH("平",D3342)),OR(ISNUMBER(SEARCH("上",D3342)),ISNUMBER(SEARCH("去",D3342)),ISNUMBER(SEARCH("入",D3342)))),"Ambiguous",IF(ISNUMBER(SEARCH("平",D3342)),"平","仄")))</x:f>
        <x:v>平</x:v>
      </x:c>
      <x:c r="L3342" s="7" t="str"/>
    </x:row>
    <x:row r="3343">
      <x:c r="A3343" s="5" t="str">
        <x:v>臘</x:v>
      </x:c>
      <x:c r="B3343" s="6" t="str">
        <x:v>入</x:v>
      </x:c>
      <x:c r="C3343" s="6" t="str">
        <x:f>IF(B3343="","Needs decision","Ready")</x:f>
        <x:v>Ready</x:v>
      </x:c>
      <x:c r="D3343" s="6" t="str">
        <x:v>入</x:v>
      </x:c>
      <x:c r="E3343" s="6" t="str">
        <x:v>lap (D)</x:v>
      </x:c>
      <x:c r="F3343" s="6" t="str">
        <x:v>入聲十一陌; 入聲十五合</x:v>
      </x:c>
      <x:c r="G3343" s="6" t="str">
        <x:v>Pingshui main list, Wikisource-derived DOCX</x:v>
      </x:c>
      <x:c r="H3343" s="6" t="str">
        <x:v>1</x:v>
      </x:c>
      <x:c r="I3343" s="6" t="str"/>
      <x:c r="J3343" s="6" t="str">
        <x:f>IF(B3343="","",IF(AND(ISNUMBER(SEARCH("平",B3343)),OR(ISNUMBER(SEARCH("上",B3343)),ISNUMBER(SEARCH("去",B3343)),ISNUMBER(SEARCH("入",B3343)))),"Ambiguous",IF(ISNUMBER(SEARCH("平",B3343)),"平","仄")))</x:f>
        <x:v>仄</x:v>
      </x:c>
      <x:c r="K3343" s="6" t="str">
        <x:f>IF(D3343="","",IF(AND(ISNUMBER(SEARCH("平",D3343)),OR(ISNUMBER(SEARCH("上",D3343)),ISNUMBER(SEARCH("去",D3343)),ISNUMBER(SEARCH("入",D3343)))),"Ambiguous",IF(ISNUMBER(SEARCH("平",D3343)),"平","仄")))</x:f>
        <x:v>仄</x:v>
      </x:c>
      <x:c r="L3343" s="7" t="str"/>
    </x:row>
    <x:row r="3344">
      <x:c r="A3344" s="5" t="str">
        <x:v>臝</x:v>
      </x:c>
      <x:c r="B3344" s="6" t="str">
        <x:v>上</x:v>
      </x:c>
      <x:c r="C3344" s="6" t="str">
        <x:f>IF(B3344="","Needs decision","Ready")</x:f>
        <x:v>Ready</x:v>
      </x:c>
      <x:c r="D3344" s="6" t="str">
        <x:v>上</x:v>
      </x:c>
      <x:c r="E3344" s="6" t="str">
        <x:v>lwaX (B)</x:v>
      </x:c>
      <x:c r="F3344" s="6" t="str"/>
      <x:c r="G3344" s="6" t="str"/>
      <x:c r="H3344" s="6" t="str">
        <x:v>1</x:v>
      </x:c>
      <x:c r="I3344" s="6" t="str"/>
      <x:c r="J3344" s="6" t="str">
        <x:f>IF(B3344="","",IF(AND(ISNUMBER(SEARCH("平",B3344)),OR(ISNUMBER(SEARCH("上",B3344)),ISNUMBER(SEARCH("去",B3344)),ISNUMBER(SEARCH("入",B3344)))),"Ambiguous",IF(ISNUMBER(SEARCH("平",B3344)),"平","仄")))</x:f>
        <x:v>仄</x:v>
      </x:c>
      <x:c r="K3344" s="6" t="str">
        <x:f>IF(D3344="","",IF(AND(ISNUMBER(SEARCH("平",D3344)),OR(ISNUMBER(SEARCH("上",D3344)),ISNUMBER(SEARCH("去",D3344)),ISNUMBER(SEARCH("入",D3344)))),"Ambiguous",IF(ISNUMBER(SEARCH("平",D3344)),"平","仄")))</x:f>
        <x:v>仄</x:v>
      </x:c>
      <x:c r="L3344" s="7" t="str"/>
    </x:row>
    <x:row r="3345">
      <x:c r="A3345" s="5" t="str">
        <x:v>臡</x:v>
      </x:c>
      <x:c r="B3345" s="6" t="str">
        <x:v>平</x:v>
      </x:c>
      <x:c r="C3345" s="6" t="str">
        <x:f>IF(B3345="","Needs decision","Ready")</x:f>
        <x:v>Ready</x:v>
      </x:c>
      <x:c r="D3345" s="6" t="str">
        <x:v>平</x:v>
      </x:c>
      <x:c r="E3345" s="6" t="str">
        <x:v>nej (A)</x:v>
      </x:c>
      <x:c r="F3345" s="6" t="str">
        <x:v>上平聲八齊</x:v>
      </x:c>
      <x:c r="G3345" s="6" t="str">
        <x:v>Pingshui main list, Wikisource-derived DOCX</x:v>
      </x:c>
      <x:c r="H3345" s="6" t="str">
        <x:v>1</x:v>
      </x:c>
      <x:c r="I3345" s="6" t="str"/>
      <x:c r="J3345" s="6" t="str">
        <x:f>IF(B3345="","",IF(AND(ISNUMBER(SEARCH("平",B3345)),OR(ISNUMBER(SEARCH("上",B3345)),ISNUMBER(SEARCH("去",B3345)),ISNUMBER(SEARCH("入",B3345)))),"Ambiguous",IF(ISNUMBER(SEARCH("平",B3345)),"平","仄")))</x:f>
        <x:v>平</x:v>
      </x:c>
      <x:c r="K3345" s="6" t="str">
        <x:f>IF(D3345="","",IF(AND(ISNUMBER(SEARCH("平",D3345)),OR(ISNUMBER(SEARCH("上",D3345)),ISNUMBER(SEARCH("去",D3345)),ISNUMBER(SEARCH("入",D3345)))),"Ambiguous",IF(ISNUMBER(SEARCH("平",D3345)),"平","仄")))</x:f>
        <x:v>平</x:v>
      </x:c>
      <x:c r="L3345" s="7" t="str"/>
    </x:row>
    <x:row r="3346">
      <x:c r="A3346" s="5" t="str">
        <x:v>臣</x:v>
      </x:c>
      <x:c r="B3346" s="6" t="str">
        <x:v>平</x:v>
      </x:c>
      <x:c r="C3346" s="6" t="str">
        <x:f>IF(B3346="","Needs decision","Ready")</x:f>
        <x:v>Ready</x:v>
      </x:c>
      <x:c r="D3346" s="6" t="str">
        <x:v>平</x:v>
      </x:c>
      <x:c r="E3346" s="6" t="str">
        <x:v>dzyin (A)</x:v>
      </x:c>
      <x:c r="F3346" s="6" t="str">
        <x:v>上平聲十一真</x:v>
      </x:c>
      <x:c r="G3346" s="6" t="str">
        <x:v>Pingshui main list, Wikisource-derived DOCX</x:v>
      </x:c>
      <x:c r="H3346" s="6" t="str">
        <x:v>1</x:v>
      </x:c>
      <x:c r="I3346" s="6" t="str"/>
      <x:c r="J3346" s="6" t="str">
        <x:f>IF(B3346="","",IF(AND(ISNUMBER(SEARCH("平",B3346)),OR(ISNUMBER(SEARCH("上",B3346)),ISNUMBER(SEARCH("去",B3346)),ISNUMBER(SEARCH("入",B3346)))),"Ambiguous",IF(ISNUMBER(SEARCH("平",B3346)),"平","仄")))</x:f>
        <x:v>平</x:v>
      </x:c>
      <x:c r="K3346" s="6" t="str">
        <x:f>IF(D3346="","",IF(AND(ISNUMBER(SEARCH("平",D3346)),OR(ISNUMBER(SEARCH("上",D3346)),ISNUMBER(SEARCH("去",D3346)),ISNUMBER(SEARCH("入",D3346)))),"Ambiguous",IF(ISNUMBER(SEARCH("平",D3346)),"平","仄")))</x:f>
        <x:v>平</x:v>
      </x:c>
      <x:c r="L3346" s="7" t="str"/>
    </x:row>
    <x:row r="3347">
      <x:c r="A3347" s="5" t="str">
        <x:v>臥</x:v>
      </x:c>
      <x:c r="B3347" s="6" t="str">
        <x:v>去</x:v>
      </x:c>
      <x:c r="C3347" s="6" t="str">
        <x:f>IF(B3347="","Needs decision","Ready")</x:f>
        <x:v>Ready</x:v>
      </x:c>
      <x:c r="D3347" s="6" t="str">
        <x:v>去</x:v>
      </x:c>
      <x:c r="E3347" s="6" t="str">
        <x:v>ngwaH (C)</x:v>
      </x:c>
      <x:c r="F3347" s="6" t="str">
        <x:v>去聲二十一箇</x:v>
      </x:c>
      <x:c r="G3347" s="6" t="str">
        <x:v>Pingshui main list, Wikisource-derived DOCX</x:v>
      </x:c>
      <x:c r="H3347" s="6" t="str">
        <x:v>1</x:v>
      </x:c>
      <x:c r="I3347" s="6" t="str"/>
      <x:c r="J3347" s="6" t="str">
        <x:f>IF(B3347="","",IF(AND(ISNUMBER(SEARCH("平",B3347)),OR(ISNUMBER(SEARCH("上",B3347)),ISNUMBER(SEARCH("去",B3347)),ISNUMBER(SEARCH("入",B3347)))),"Ambiguous",IF(ISNUMBER(SEARCH("平",B3347)),"平","仄")))</x:f>
        <x:v>仄</x:v>
      </x:c>
      <x:c r="K3347" s="6" t="str">
        <x:f>IF(D3347="","",IF(AND(ISNUMBER(SEARCH("平",D3347)),OR(ISNUMBER(SEARCH("上",D3347)),ISNUMBER(SEARCH("去",D3347)),ISNUMBER(SEARCH("入",D3347)))),"Ambiguous",IF(ISNUMBER(SEARCH("平",D3347)),"平","仄")))</x:f>
        <x:v>仄</x:v>
      </x:c>
      <x:c r="L3347" s="7" t="str"/>
    </x:row>
    <x:row r="3348">
      <x:c r="A3348" s="5" t="str">
        <x:v>臧</x:v>
      </x:c>
      <x:c r="B3348" s="6" t="str">
        <x:v>平</x:v>
      </x:c>
      <x:c r="C3348" s="6" t="str">
        <x:f>IF(B3348="","Needs decision","Ready")</x:f>
        <x:v>Ready</x:v>
      </x:c>
      <x:c r="D3348" s="6" t="str">
        <x:v>平</x:v>
      </x:c>
      <x:c r="E3348" s="6" t="str">
        <x:v>tsang (A)</x:v>
      </x:c>
      <x:c r="F3348" s="6" t="str">
        <x:v>下平聲七陽</x:v>
      </x:c>
      <x:c r="G3348" s="6" t="str">
        <x:v>Pingshui main list, Wikisource-derived DOCX</x:v>
      </x:c>
      <x:c r="H3348" s="6" t="str">
        <x:v>1</x:v>
      </x:c>
      <x:c r="I3348" s="6" t="str"/>
      <x:c r="J3348" s="6" t="str">
        <x:f>IF(B3348="","",IF(AND(ISNUMBER(SEARCH("平",B3348)),OR(ISNUMBER(SEARCH("上",B3348)),ISNUMBER(SEARCH("去",B3348)),ISNUMBER(SEARCH("入",B3348)))),"Ambiguous",IF(ISNUMBER(SEARCH("平",B3348)),"平","仄")))</x:f>
        <x:v>平</x:v>
      </x:c>
      <x:c r="K3348" s="6" t="str">
        <x:f>IF(D3348="","",IF(AND(ISNUMBER(SEARCH("平",D3348)),OR(ISNUMBER(SEARCH("上",D3348)),ISNUMBER(SEARCH("去",D3348)),ISNUMBER(SEARCH("入",D3348)))),"Ambiguous",IF(ISNUMBER(SEARCH("平",D3348)),"平","仄")))</x:f>
        <x:v>平</x:v>
      </x:c>
      <x:c r="L3348" s="7" t="str"/>
    </x:row>
    <x:row r="3349">
      <x:c r="A3349" s="5" t="str">
        <x:v>臨</x:v>
      </x:c>
      <x:c r="B3349" s="6" t="str">
        <x:v>平</x:v>
      </x:c>
      <x:c r="C3349" s="6" t="str">
        <x:f>IF(B3349="","Needs decision","Ready")</x:f>
        <x:v>Ready</x:v>
      </x:c>
      <x:c r="D3349" s="6" t="str">
        <x:v>平</x:v>
      </x:c>
      <x:c r="E3349" s="6" t="str">
        <x:v>lim (A)</x:v>
      </x:c>
      <x:c r="F3349" s="6" t="str">
        <x:v>下平聲十二侵; 去聲二十七沁</x:v>
      </x:c>
      <x:c r="G3349" s="6" t="str">
        <x:v>Pingshui main list, Wikisource-derived DOCX</x:v>
      </x:c>
      <x:c r="H3349" s="6" t="str">
        <x:v>1</x:v>
      </x:c>
      <x:c r="I3349" s="6" t="str"/>
      <x:c r="J3349" s="6" t="str">
        <x:f>IF(B3349="","",IF(AND(ISNUMBER(SEARCH("平",B3349)),OR(ISNUMBER(SEARCH("上",B3349)),ISNUMBER(SEARCH("去",B3349)),ISNUMBER(SEARCH("入",B3349)))),"Ambiguous",IF(ISNUMBER(SEARCH("平",B3349)),"平","仄")))</x:f>
        <x:v>平</x:v>
      </x:c>
      <x:c r="K3349" s="6" t="str">
        <x:f>IF(D3349="","",IF(AND(ISNUMBER(SEARCH("平",D3349)),OR(ISNUMBER(SEARCH("上",D3349)),ISNUMBER(SEARCH("去",D3349)),ISNUMBER(SEARCH("入",D3349)))),"Ambiguous",IF(ISNUMBER(SEARCH("平",D3349)),"平","仄")))</x:f>
        <x:v>平</x:v>
      </x:c>
      <x:c r="L3349" s="7" t="str"/>
    </x:row>
    <x:row r="3350">
      <x:c r="A3350" s="5" t="str">
        <x:v>自</x:v>
      </x:c>
      <x:c r="B3350" s="6" t="str">
        <x:v>去</x:v>
      </x:c>
      <x:c r="C3350" s="6" t="str">
        <x:f>IF(B3350="","Needs decision","Ready")</x:f>
        <x:v>Ready</x:v>
      </x:c>
      <x:c r="D3350" s="6" t="str">
        <x:v>去</x:v>
      </x:c>
      <x:c r="E3350" s="6" t="str">
        <x:v>dzijH (C)</x:v>
      </x:c>
      <x:c r="F3350" s="6" t="str">
        <x:v>去聲四寘</x:v>
      </x:c>
      <x:c r="G3350" s="6" t="str">
        <x:v>Pingshui main list, Wikisource-derived DOCX</x:v>
      </x:c>
      <x:c r="H3350" s="6" t="str">
        <x:v>1</x:v>
      </x:c>
      <x:c r="I3350" s="6" t="str"/>
      <x:c r="J3350" s="6" t="str">
        <x:f>IF(B3350="","",IF(AND(ISNUMBER(SEARCH("平",B3350)),OR(ISNUMBER(SEARCH("上",B3350)),ISNUMBER(SEARCH("去",B3350)),ISNUMBER(SEARCH("入",B3350)))),"Ambiguous",IF(ISNUMBER(SEARCH("平",B3350)),"平","仄")))</x:f>
        <x:v>仄</x:v>
      </x:c>
      <x:c r="K3350" s="6" t="str">
        <x:f>IF(D3350="","",IF(AND(ISNUMBER(SEARCH("平",D3350)),OR(ISNUMBER(SEARCH("上",D3350)),ISNUMBER(SEARCH("去",D3350)),ISNUMBER(SEARCH("入",D3350)))),"Ambiguous",IF(ISNUMBER(SEARCH("平",D3350)),"平","仄")))</x:f>
        <x:v>仄</x:v>
      </x:c>
      <x:c r="L3350" s="7" t="str"/>
    </x:row>
    <x:row r="3351">
      <x:c r="A3351" s="5" t="str">
        <x:v>臭</x:v>
      </x:c>
      <x:c r="B3351" s="6" t="str">
        <x:v>去</x:v>
      </x:c>
      <x:c r="C3351" s="6" t="str">
        <x:f>IF(B3351="","Needs decision","Ready")</x:f>
        <x:v>Ready</x:v>
      </x:c>
      <x:c r="D3351" s="6" t="str">
        <x:v>去</x:v>
      </x:c>
      <x:c r="E3351" s="6" t="str">
        <x:v>tsyhuwH (C); xjuwH (C)</x:v>
      </x:c>
      <x:c r="F3351" s="6" t="str">
        <x:v>去聲二十六宥; 入聲十二錫</x:v>
      </x:c>
      <x:c r="G3351" s="6" t="str">
        <x:v>Pingshui main list, Wikisource-derived DOCX</x:v>
      </x:c>
      <x:c r="H3351" s="6" t="str">
        <x:v>2</x:v>
      </x:c>
      <x:c r="I3351" s="6" t="str"/>
      <x:c r="J3351" s="6" t="str">
        <x:f>IF(B3351="","",IF(AND(ISNUMBER(SEARCH("平",B3351)),OR(ISNUMBER(SEARCH("上",B3351)),ISNUMBER(SEARCH("去",B3351)),ISNUMBER(SEARCH("入",B3351)))),"Ambiguous",IF(ISNUMBER(SEARCH("平",B3351)),"平","仄")))</x:f>
        <x:v>仄</x:v>
      </x:c>
      <x:c r="K3351" s="6" t="str">
        <x:f>IF(D3351="","",IF(AND(ISNUMBER(SEARCH("平",D3351)),OR(ISNUMBER(SEARCH("上",D3351)),ISNUMBER(SEARCH("去",D3351)),ISNUMBER(SEARCH("入",D3351)))),"Ambiguous",IF(ISNUMBER(SEARCH("平",D3351)),"平","仄")))</x:f>
        <x:v>仄</x:v>
      </x:c>
      <x:c r="L3351" s="7" t="str"/>
    </x:row>
    <x:row r="3352">
      <x:c r="A3352" s="5" t="str">
        <x:v>至</x:v>
      </x:c>
      <x:c r="B3352" s="6" t="str">
        <x:v>去</x:v>
      </x:c>
      <x:c r="C3352" s="6" t="str">
        <x:f>IF(B3352="","Needs decision","Ready")</x:f>
        <x:v>Ready</x:v>
      </x:c>
      <x:c r="D3352" s="6" t="str">
        <x:v>去</x:v>
      </x:c>
      <x:c r="E3352" s="6" t="str">
        <x:v>tsyijH (C)</x:v>
      </x:c>
      <x:c r="F3352" s="6" t="str">
        <x:v>去聲四寘</x:v>
      </x:c>
      <x:c r="G3352" s="6" t="str">
        <x:v>Pingshui main list, Wikisource-derived DOCX</x:v>
      </x:c>
      <x:c r="H3352" s="6" t="str">
        <x:v>1</x:v>
      </x:c>
      <x:c r="I3352" s="6" t="str"/>
      <x:c r="J3352" s="6" t="str">
        <x:f>IF(B3352="","",IF(AND(ISNUMBER(SEARCH("平",B3352)),OR(ISNUMBER(SEARCH("上",B3352)),ISNUMBER(SEARCH("去",B3352)),ISNUMBER(SEARCH("入",B3352)))),"Ambiguous",IF(ISNUMBER(SEARCH("平",B3352)),"平","仄")))</x:f>
        <x:v>仄</x:v>
      </x:c>
      <x:c r="K3352" s="6" t="str">
        <x:f>IF(D3352="","",IF(AND(ISNUMBER(SEARCH("平",D3352)),OR(ISNUMBER(SEARCH("上",D3352)),ISNUMBER(SEARCH("去",D3352)),ISNUMBER(SEARCH("入",D3352)))),"Ambiguous",IF(ISNUMBER(SEARCH("平",D3352)),"平","仄")))</x:f>
        <x:v>仄</x:v>
      </x:c>
      <x:c r="L3352" s="7" t="str"/>
    </x:row>
    <x:row r="3353">
      <x:c r="A3353" s="5" t="str">
        <x:v>致</x:v>
      </x:c>
      <x:c r="B3353" s="6" t="str">
        <x:v>去</x:v>
      </x:c>
      <x:c r="C3353" s="6" t="str">
        <x:f>IF(B3353="","Needs decision","Ready")</x:f>
        <x:v>Ready</x:v>
      </x:c>
      <x:c r="D3353" s="6" t="str">
        <x:v>去</x:v>
      </x:c>
      <x:c r="E3353" s="6" t="str">
        <x:v>trijH (C)</x:v>
      </x:c>
      <x:c r="F3353" s="6" t="str">
        <x:v>去聲四寘</x:v>
      </x:c>
      <x:c r="G3353" s="6" t="str">
        <x:v>Pingshui main list, Wikisource-derived DOCX</x:v>
      </x:c>
      <x:c r="H3353" s="6" t="str">
        <x:v>1</x:v>
      </x:c>
      <x:c r="I3353" s="6" t="str"/>
      <x:c r="J3353" s="6" t="str">
        <x:f>IF(B3353="","",IF(AND(ISNUMBER(SEARCH("平",B3353)),OR(ISNUMBER(SEARCH("上",B3353)),ISNUMBER(SEARCH("去",B3353)),ISNUMBER(SEARCH("入",B3353)))),"Ambiguous",IF(ISNUMBER(SEARCH("平",B3353)),"平","仄")))</x:f>
        <x:v>仄</x:v>
      </x:c>
      <x:c r="K3353" s="6" t="str">
        <x:f>IF(D3353="","",IF(AND(ISNUMBER(SEARCH("平",D3353)),OR(ISNUMBER(SEARCH("上",D3353)),ISNUMBER(SEARCH("去",D3353)),ISNUMBER(SEARCH("入",D3353)))),"Ambiguous",IF(ISNUMBER(SEARCH("平",D3353)),"平","仄")))</x:f>
        <x:v>仄</x:v>
      </x:c>
      <x:c r="L3353" s="7" t="str"/>
    </x:row>
    <x:row r="3354">
      <x:c r="A3354" s="5" t="str">
        <x:v>臺</x:v>
      </x:c>
      <x:c r="B3354" s="6" t="str">
        <x:v>平</x:v>
      </x:c>
      <x:c r="C3354" s="6" t="str">
        <x:f>IF(B3354="","Needs decision","Ready")</x:f>
        <x:v>Ready</x:v>
      </x:c>
      <x:c r="D3354" s="6" t="str">
        <x:v>平</x:v>
      </x:c>
      <x:c r="E3354" s="6" t="str">
        <x:v>doj (A)</x:v>
      </x:c>
      <x:c r="F3354" s="6" t="str">
        <x:v>上平聲十灰</x:v>
      </x:c>
      <x:c r="G3354" s="6" t="str">
        <x:v>Pingshui main list, Wikisource-derived DOCX</x:v>
      </x:c>
      <x:c r="H3354" s="6" t="str">
        <x:v>1</x:v>
      </x:c>
      <x:c r="I3354" s="6" t="str"/>
      <x:c r="J3354" s="6" t="str">
        <x:f>IF(B3354="","",IF(AND(ISNUMBER(SEARCH("平",B3354)),OR(ISNUMBER(SEARCH("上",B3354)),ISNUMBER(SEARCH("去",B3354)),ISNUMBER(SEARCH("入",B3354)))),"Ambiguous",IF(ISNUMBER(SEARCH("平",B3354)),"平","仄")))</x:f>
        <x:v>平</x:v>
      </x:c>
      <x:c r="K3354" s="6" t="str">
        <x:f>IF(D3354="","",IF(AND(ISNUMBER(SEARCH("平",D3354)),OR(ISNUMBER(SEARCH("上",D3354)),ISNUMBER(SEARCH("去",D3354)),ISNUMBER(SEARCH("入",D3354)))),"Ambiguous",IF(ISNUMBER(SEARCH("平",D3354)),"平","仄")))</x:f>
        <x:v>平</x:v>
      </x:c>
      <x:c r="L3354" s="7" t="str"/>
    </x:row>
    <x:row r="3355">
      <x:c r="A3355" s="5" t="str">
        <x:v>臻</x:v>
      </x:c>
      <x:c r="B3355" s="6" t="str">
        <x:v>平</x:v>
      </x:c>
      <x:c r="C3355" s="6" t="str">
        <x:f>IF(B3355="","Needs decision","Ready")</x:f>
        <x:v>Ready</x:v>
      </x:c>
      <x:c r="D3355" s="6" t="str">
        <x:v>平</x:v>
      </x:c>
      <x:c r="E3355" s="6" t="str"/>
      <x:c r="F3355" s="6" t="str">
        <x:v>上平聲十一真</x:v>
      </x:c>
      <x:c r="G3355" s="6" t="str">
        <x:v>Pingshui main list, Wikisource-derived DOCX</x:v>
      </x:c>
      <x:c r="H3355" s="6" t="str"/>
      <x:c r="I3355" s="6" t="str">
        <x:v>Manual user correction/addition</x:v>
      </x:c>
      <x:c r="J3355" s="6" t="str">
        <x:f>IF(B3355="","",IF(AND(ISNUMBER(SEARCH("平",B3355)),OR(ISNUMBER(SEARCH("上",B3355)),ISNUMBER(SEARCH("去",B3355)),ISNUMBER(SEARCH("入",B3355)))),"Ambiguous",IF(ISNUMBER(SEARCH("平",B3355)),"平","仄")))</x:f>
        <x:v>平</x:v>
      </x:c>
      <x:c r="K3355" s="6" t="str">
        <x:f>IF(D3355="","",IF(AND(ISNUMBER(SEARCH("平",D3355)),OR(ISNUMBER(SEARCH("上",D3355)),ISNUMBER(SEARCH("去",D3355)),ISNUMBER(SEARCH("入",D3355)))),"Ambiguous",IF(ISNUMBER(SEARCH("平",D3355)),"平","仄")))</x:f>
        <x:v>平</x:v>
      </x:c>
      <x:c r="L3355" s="7" t="str">
        <x:v>manual user correction</x:v>
      </x:c>
    </x:row>
    <x:row r="3356">
      <x:c r="A3356" s="5" t="str">
        <x:v>臼</x:v>
      </x:c>
      <x:c r="B3356" s="6" t="str">
        <x:v>上</x:v>
      </x:c>
      <x:c r="C3356" s="6" t="str">
        <x:f>IF(B3356="","Needs decision","Ready")</x:f>
        <x:v>Ready</x:v>
      </x:c>
      <x:c r="D3356" s="6" t="str">
        <x:v>上</x:v>
      </x:c>
      <x:c r="E3356" s="6" t="str">
        <x:v>gjuwX (B)</x:v>
      </x:c>
      <x:c r="F3356" s="6" t="str">
        <x:v>上聲二十五有</x:v>
      </x:c>
      <x:c r="G3356" s="6" t="str">
        <x:v>Pingshui main list, Wikisource-derived DOCX</x:v>
      </x:c>
      <x:c r="H3356" s="6" t="str">
        <x:v>1</x:v>
      </x:c>
      <x:c r="I3356" s="6" t="str"/>
      <x:c r="J3356" s="6" t="str">
        <x:f>IF(B3356="","",IF(AND(ISNUMBER(SEARCH("平",B3356)),OR(ISNUMBER(SEARCH("上",B3356)),ISNUMBER(SEARCH("去",B3356)),ISNUMBER(SEARCH("入",B3356)))),"Ambiguous",IF(ISNUMBER(SEARCH("平",B3356)),"平","仄")))</x:f>
        <x:v>仄</x:v>
      </x:c>
      <x:c r="K3356" s="6" t="str">
        <x:f>IF(D3356="","",IF(AND(ISNUMBER(SEARCH("平",D3356)),OR(ISNUMBER(SEARCH("上",D3356)),ISNUMBER(SEARCH("去",D3356)),ISNUMBER(SEARCH("入",D3356)))),"Ambiguous",IF(ISNUMBER(SEARCH("平",D3356)),"平","仄")))</x:f>
        <x:v>仄</x:v>
      </x:c>
      <x:c r="L3356" s="7" t="str"/>
    </x:row>
    <x:row r="3357">
      <x:c r="A3357" s="5" t="str">
        <x:v>臽</x:v>
      </x:c>
      <x:c r="B3357" s="6" t="str">
        <x:v>去</x:v>
      </x:c>
      <x:c r="C3357" s="6" t="str">
        <x:f>IF(B3357="","Needs decision","Ready")</x:f>
        <x:v>Ready</x:v>
      </x:c>
      <x:c r="D3357" s="6" t="str">
        <x:v>去</x:v>
      </x:c>
      <x:c r="E3357" s="6" t="str">
        <x:v>heamH (C)</x:v>
      </x:c>
      <x:c r="F3357" s="6" t="str"/>
      <x:c r="G3357" s="6" t="str"/>
      <x:c r="H3357" s="6" t="str">
        <x:v>1</x:v>
      </x:c>
      <x:c r="I3357" s="6" t="str"/>
      <x:c r="J3357" s="6" t="str">
        <x:f>IF(B3357="","",IF(AND(ISNUMBER(SEARCH("平",B3357)),OR(ISNUMBER(SEARCH("上",B3357)),ISNUMBER(SEARCH("去",B3357)),ISNUMBER(SEARCH("入",B3357)))),"Ambiguous",IF(ISNUMBER(SEARCH("平",B3357)),"平","仄")))</x:f>
        <x:v>仄</x:v>
      </x:c>
      <x:c r="K3357" s="6" t="str">
        <x:f>IF(D3357="","",IF(AND(ISNUMBER(SEARCH("平",D3357)),OR(ISNUMBER(SEARCH("上",D3357)),ISNUMBER(SEARCH("去",D3357)),ISNUMBER(SEARCH("入",D3357)))),"Ambiguous",IF(ISNUMBER(SEARCH("平",D3357)),"平","仄")))</x:f>
        <x:v>仄</x:v>
      </x:c>
      <x:c r="L3357" s="7" t="str"/>
    </x:row>
    <x:row r="3358">
      <x:c r="A3358" s="5" t="str">
        <x:v>臾</x:v>
      </x:c>
      <x:c r="B3358" s="6" t="str">
        <x:v>平</x:v>
      </x:c>
      <x:c r="C3358" s="6" t="str">
        <x:f>IF(B3358="","Needs decision","Ready")</x:f>
        <x:v>Ready</x:v>
      </x:c>
      <x:c r="D3358" s="6" t="str">
        <x:v>平</x:v>
      </x:c>
      <x:c r="E3358" s="6" t="str">
        <x:v>yu (A)</x:v>
      </x:c>
      <x:c r="F3358" s="6" t="str">
        <x:v>上平聲七虞</x:v>
      </x:c>
      <x:c r="G3358" s="6" t="str">
        <x:v>Pingshui main list, Wikisource-derived DOCX</x:v>
      </x:c>
      <x:c r="H3358" s="6" t="str">
        <x:v>1</x:v>
      </x:c>
      <x:c r="I3358" s="6" t="str"/>
      <x:c r="J3358" s="6" t="str">
        <x:f>IF(B3358="","",IF(AND(ISNUMBER(SEARCH("平",B3358)),OR(ISNUMBER(SEARCH("上",B3358)),ISNUMBER(SEARCH("去",B3358)),ISNUMBER(SEARCH("入",B3358)))),"Ambiguous",IF(ISNUMBER(SEARCH("平",B3358)),"平","仄")))</x:f>
        <x:v>平</x:v>
      </x:c>
      <x:c r="K3358" s="6" t="str">
        <x:f>IF(D3358="","",IF(AND(ISNUMBER(SEARCH("平",D3358)),OR(ISNUMBER(SEARCH("上",D3358)),ISNUMBER(SEARCH("去",D3358)),ISNUMBER(SEARCH("入",D3358)))),"Ambiguous",IF(ISNUMBER(SEARCH("平",D3358)),"平","仄")))</x:f>
        <x:v>平</x:v>
      </x:c>
      <x:c r="L3358" s="7" t="str"/>
    </x:row>
    <x:row r="3359">
      <x:c r="A3359" s="5" t="str">
        <x:v>臿</x:v>
      </x:c>
      <x:c r="B3359" s="6" t="str">
        <x:v>入</x:v>
      </x:c>
      <x:c r="C3359" s="6" t="str">
        <x:f>IF(B3359="","Needs decision","Ready")</x:f>
        <x:v>Ready</x:v>
      </x:c>
      <x:c r="D3359" s="6" t="str">
        <x:v>入</x:v>
      </x:c>
      <x:c r="E3359" s="6" t="str">
        <x:v>tsrheap (D)</x:v>
      </x:c>
      <x:c r="F3359" s="6" t="str"/>
      <x:c r="G3359" s="6" t="str"/>
      <x:c r="H3359" s="6" t="str">
        <x:v>1</x:v>
      </x:c>
      <x:c r="I3359" s="6" t="str"/>
      <x:c r="J3359" s="6" t="str">
        <x:f>IF(B3359="","",IF(AND(ISNUMBER(SEARCH("平",B3359)),OR(ISNUMBER(SEARCH("上",B3359)),ISNUMBER(SEARCH("去",B3359)),ISNUMBER(SEARCH("入",B3359)))),"Ambiguous",IF(ISNUMBER(SEARCH("平",B3359)),"平","仄")))</x:f>
        <x:v>仄</x:v>
      </x:c>
      <x:c r="K3359" s="6" t="str">
        <x:f>IF(D3359="","",IF(AND(ISNUMBER(SEARCH("平",D3359)),OR(ISNUMBER(SEARCH("上",D3359)),ISNUMBER(SEARCH("去",D3359)),ISNUMBER(SEARCH("入",D3359)))),"Ambiguous",IF(ISNUMBER(SEARCH("平",D3359)),"平","仄")))</x:f>
        <x:v>仄</x:v>
      </x:c>
      <x:c r="L3359" s="7" t="str"/>
    </x:row>
    <x:row r="3360">
      <x:c r="A3360" s="5" t="str">
        <x:v>舁</x:v>
      </x:c>
      <x:c r="B3360" s="6" t="str">
        <x:v>上</x:v>
      </x:c>
      <x:c r="C3360" s="6" t="str">
        <x:f>IF(B3360="","Needs decision","Ready")</x:f>
        <x:v>Ready</x:v>
      </x:c>
      <x:c r="D3360" s="6" t="str">
        <x:v>上</x:v>
      </x:c>
      <x:c r="E3360" s="6" t="str">
        <x:v>yoX (B)</x:v>
      </x:c>
      <x:c r="F3360" s="6" t="str"/>
      <x:c r="G3360" s="6" t="str"/>
      <x:c r="H3360" s="6" t="str">
        <x:v>1</x:v>
      </x:c>
      <x:c r="I3360" s="6" t="str"/>
      <x:c r="J3360" s="6" t="str">
        <x:f>IF(B3360="","",IF(AND(ISNUMBER(SEARCH("平",B3360)),OR(ISNUMBER(SEARCH("上",B3360)),ISNUMBER(SEARCH("去",B3360)),ISNUMBER(SEARCH("入",B3360)))),"Ambiguous",IF(ISNUMBER(SEARCH("平",B3360)),"平","仄")))</x:f>
        <x:v>仄</x:v>
      </x:c>
      <x:c r="K3360" s="6" t="str">
        <x:f>IF(D3360="","",IF(AND(ISNUMBER(SEARCH("平",D3360)),OR(ISNUMBER(SEARCH("上",D3360)),ISNUMBER(SEARCH("去",D3360)),ISNUMBER(SEARCH("入",D3360)))),"Ambiguous",IF(ISNUMBER(SEARCH("平",D3360)),"平","仄")))</x:f>
        <x:v>仄</x:v>
      </x:c>
      <x:c r="L3360" s="7" t="str"/>
    </x:row>
    <x:row r="3361">
      <x:c r="A3361" s="5" t="str">
        <x:v>舂</x:v>
      </x:c>
      <x:c r="B3361" s="6" t="str">
        <x:v>平</x:v>
      </x:c>
      <x:c r="C3361" s="6" t="str">
        <x:f>IF(B3361="","Needs decision","Ready")</x:f>
        <x:v>Ready</x:v>
      </x:c>
      <x:c r="D3361" s="6" t="str">
        <x:v>平</x:v>
      </x:c>
      <x:c r="E3361" s="6" t="str">
        <x:v>syowng (A)</x:v>
      </x:c>
      <x:c r="F3361" s="6" t="str">
        <x:v>上平聲二冬</x:v>
      </x:c>
      <x:c r="G3361" s="6" t="str">
        <x:v>Pingshui main list, Wikisource-derived DOCX</x:v>
      </x:c>
      <x:c r="H3361" s="6" t="str">
        <x:v>1</x:v>
      </x:c>
      <x:c r="I3361" s="6" t="str"/>
      <x:c r="J3361" s="6" t="str">
        <x:f>IF(B3361="","",IF(AND(ISNUMBER(SEARCH("平",B3361)),OR(ISNUMBER(SEARCH("上",B3361)),ISNUMBER(SEARCH("去",B3361)),ISNUMBER(SEARCH("入",B3361)))),"Ambiguous",IF(ISNUMBER(SEARCH("平",B3361)),"平","仄")))</x:f>
        <x:v>平</x:v>
      </x:c>
      <x:c r="K3361" s="6" t="str">
        <x:f>IF(D3361="","",IF(AND(ISNUMBER(SEARCH("平",D3361)),OR(ISNUMBER(SEARCH("上",D3361)),ISNUMBER(SEARCH("去",D3361)),ISNUMBER(SEARCH("入",D3361)))),"Ambiguous",IF(ISNUMBER(SEARCH("平",D3361)),"平","仄")))</x:f>
        <x:v>平</x:v>
      </x:c>
      <x:c r="L3361" s="7" t="str"/>
    </x:row>
    <x:row r="3362">
      <x:c r="A3362" s="5" t="str">
        <x:v>舄</x:v>
      </x:c>
      <x:c r="B3362" s="6" t="str">
        <x:v>入</x:v>
      </x:c>
      <x:c r="C3362" s="6" t="str">
        <x:f>IF(B3362="","Needs decision","Ready")</x:f>
        <x:v>Ready</x:v>
      </x:c>
      <x:c r="D3362" s="6" t="str">
        <x:v>入</x:v>
      </x:c>
      <x:c r="E3362" s="6" t="str">
        <x:v>sjek (D); tshjak (D)</x:v>
      </x:c>
      <x:c r="F3362" s="6" t="str">
        <x:v>入聲十一陌</x:v>
      </x:c>
      <x:c r="G3362" s="6" t="str">
        <x:v>Pingshui main list, Wikisource-derived DOCX</x:v>
      </x:c>
      <x:c r="H3362" s="6" t="str">
        <x:v>2</x:v>
      </x:c>
      <x:c r="I3362" s="6" t="str"/>
      <x:c r="J3362" s="6" t="str">
        <x:f>IF(B3362="","",IF(AND(ISNUMBER(SEARCH("平",B3362)),OR(ISNUMBER(SEARCH("上",B3362)),ISNUMBER(SEARCH("去",B3362)),ISNUMBER(SEARCH("入",B3362)))),"Ambiguous",IF(ISNUMBER(SEARCH("平",B3362)),"平","仄")))</x:f>
        <x:v>仄</x:v>
      </x:c>
      <x:c r="K3362" s="6" t="str">
        <x:f>IF(D3362="","",IF(AND(ISNUMBER(SEARCH("平",D3362)),OR(ISNUMBER(SEARCH("上",D3362)),ISNUMBER(SEARCH("去",D3362)),ISNUMBER(SEARCH("入",D3362)))),"Ambiguous",IF(ISNUMBER(SEARCH("平",D3362)),"平","仄")))</x:f>
        <x:v>仄</x:v>
      </x:c>
      <x:c r="L3362" s="7" t="str"/>
    </x:row>
    <x:row r="3363">
      <x:c r="A3363" s="5" t="str">
        <x:v>舅</x:v>
      </x:c>
      <x:c r="B3363" s="6" t="str">
        <x:v>上</x:v>
      </x:c>
      <x:c r="C3363" s="6" t="str">
        <x:f>IF(B3363="","Needs decision","Ready")</x:f>
        <x:v>Ready</x:v>
      </x:c>
      <x:c r="D3363" s="6" t="str">
        <x:v>上</x:v>
      </x:c>
      <x:c r="E3363" s="6" t="str">
        <x:v>gjuwX (B)</x:v>
      </x:c>
      <x:c r="F3363" s="6" t="str">
        <x:v>上聲二十五有</x:v>
      </x:c>
      <x:c r="G3363" s="6" t="str">
        <x:v>Pingshui main list, Wikisource-derived DOCX</x:v>
      </x:c>
      <x:c r="H3363" s="6" t="str">
        <x:v>1</x:v>
      </x:c>
      <x:c r="I3363" s="6" t="str"/>
      <x:c r="J3363" s="6" t="str">
        <x:f>IF(B3363="","",IF(AND(ISNUMBER(SEARCH("平",B3363)),OR(ISNUMBER(SEARCH("上",B3363)),ISNUMBER(SEARCH("去",B3363)),ISNUMBER(SEARCH("入",B3363)))),"Ambiguous",IF(ISNUMBER(SEARCH("平",B3363)),"平","仄")))</x:f>
        <x:v>仄</x:v>
      </x:c>
      <x:c r="K3363" s="6" t="str">
        <x:f>IF(D3363="","",IF(AND(ISNUMBER(SEARCH("平",D3363)),OR(ISNUMBER(SEARCH("上",D3363)),ISNUMBER(SEARCH("去",D3363)),ISNUMBER(SEARCH("入",D3363)))),"Ambiguous",IF(ISNUMBER(SEARCH("平",D3363)),"平","仄")))</x:f>
        <x:v>仄</x:v>
      </x:c>
      <x:c r="L3363" s="7" t="str"/>
    </x:row>
    <x:row r="3364">
      <x:c r="A3364" s="5" t="str">
        <x:v>與</x:v>
      </x:c>
      <x:c r="B3364" s="6" t="str">
        <x:v>上</x:v>
      </x:c>
      <x:c r="C3364" s="6" t="str">
        <x:f>IF(B3364="","Needs decision","Ready")</x:f>
        <x:v>Ready</x:v>
      </x:c>
      <x:c r="D3364" s="6" t="str">
        <x:v>上/去</x:v>
      </x:c>
      <x:c r="E3364" s="6" t="str">
        <x:v>yoX (B); yoH (C)</x:v>
      </x:c>
      <x:c r="F3364" s="6" t="str">
        <x:v>上平聲六魚; 上聲六語; 去聲六御</x:v>
      </x:c>
      <x:c r="G3364" s="6" t="str">
        <x:v>Pingshui main list, Wikisource-derived DOCX</x:v>
      </x:c>
      <x:c r="H3364" s="6" t="str">
        <x:v>2</x:v>
      </x:c>
      <x:c r="I3364" s="6" t="str">
        <x:v>Manual user correction/addition</x:v>
      </x:c>
      <x:c r="J3364" s="6" t="str">
        <x:f>IF(B3364="","",IF(AND(ISNUMBER(SEARCH("平",B3364)),OR(ISNUMBER(SEARCH("上",B3364)),ISNUMBER(SEARCH("去",B3364)),ISNUMBER(SEARCH("入",B3364)))),"Ambiguous",IF(ISNUMBER(SEARCH("平",B3364)),"平","仄")))</x:f>
        <x:v>仄</x:v>
      </x:c>
      <x:c r="K3364" s="6" t="str">
        <x:f>IF(D3364="","",IF(AND(ISNUMBER(SEARCH("平",D3364)),OR(ISNUMBER(SEARCH("上",D3364)),ISNUMBER(SEARCH("去",D3364)),ISNUMBER(SEARCH("入",D3364)))),"Ambiguous",IF(ISNUMBER(SEARCH("平",D3364)),"平","仄")))</x:f>
        <x:v>仄</x:v>
      </x:c>
      <x:c r="L3364" s="7" t="str">
        <x:v>manual user correction</x:v>
      </x:c>
    </x:row>
    <x:row r="3365">
      <x:c r="A3365" s="5" t="str">
        <x:v>興</x:v>
      </x:c>
      <x:c r="B3365" s="6" t="str">
        <x:v>平</x:v>
      </x:c>
      <x:c r="C3365" s="6" t="str">
        <x:f>IF(B3365="","Needs decision","Ready")</x:f>
        <x:v>Ready</x:v>
      </x:c>
      <x:c r="D3365" s="6" t="str">
        <x:v>平</x:v>
      </x:c>
      <x:c r="E3365" s="6" t="str">
        <x:v>xing (A)</x:v>
      </x:c>
      <x:c r="F3365" s="6" t="str">
        <x:v>下平聲十蒸; 去聲二十五徑</x:v>
      </x:c>
      <x:c r="G3365" s="6" t="str">
        <x:v>Pingshui main list, Wikisource-derived DOCX</x:v>
      </x:c>
      <x:c r="H3365" s="6" t="str">
        <x:v>1</x:v>
      </x:c>
      <x:c r="I3365" s="6" t="str"/>
      <x:c r="J3365" s="6" t="str">
        <x:f>IF(B3365="","",IF(AND(ISNUMBER(SEARCH("平",B3365)),OR(ISNUMBER(SEARCH("上",B3365)),ISNUMBER(SEARCH("去",B3365)),ISNUMBER(SEARCH("入",B3365)))),"Ambiguous",IF(ISNUMBER(SEARCH("平",B3365)),"平","仄")))</x:f>
        <x:v>平</x:v>
      </x:c>
      <x:c r="K3365" s="6" t="str">
        <x:f>IF(D3365="","",IF(AND(ISNUMBER(SEARCH("平",D3365)),OR(ISNUMBER(SEARCH("上",D3365)),ISNUMBER(SEARCH("去",D3365)),ISNUMBER(SEARCH("入",D3365)))),"Ambiguous",IF(ISNUMBER(SEARCH("平",D3365)),"平","仄")))</x:f>
        <x:v>平</x:v>
      </x:c>
      <x:c r="L3365" s="7" t="str"/>
    </x:row>
    <x:row r="3366">
      <x:c r="A3366" s="5" t="str">
        <x:v>舉</x:v>
      </x:c>
      <x:c r="B3366" s="6" t="str">
        <x:v>上</x:v>
      </x:c>
      <x:c r="C3366" s="6" t="str">
        <x:f>IF(B3366="","Needs decision","Ready")</x:f>
        <x:v>Ready</x:v>
      </x:c>
      <x:c r="D3366" s="6" t="str">
        <x:v>上</x:v>
      </x:c>
      <x:c r="E3366" s="6" t="str">
        <x:v>kjoX (B)</x:v>
      </x:c>
      <x:c r="F3366" s="6" t="str">
        <x:v>上聲六語</x:v>
      </x:c>
      <x:c r="G3366" s="6" t="str">
        <x:v>Pingshui main list, Wikisource-derived DOCX</x:v>
      </x:c>
      <x:c r="H3366" s="6" t="str">
        <x:v>1</x:v>
      </x:c>
      <x:c r="I3366" s="6" t="str"/>
      <x:c r="J3366" s="6" t="str">
        <x:f>IF(B3366="","",IF(AND(ISNUMBER(SEARCH("平",B3366)),OR(ISNUMBER(SEARCH("上",B3366)),ISNUMBER(SEARCH("去",B3366)),ISNUMBER(SEARCH("入",B3366)))),"Ambiguous",IF(ISNUMBER(SEARCH("平",B3366)),"平","仄")))</x:f>
        <x:v>仄</x:v>
      </x:c>
      <x:c r="K3366" s="6" t="str">
        <x:f>IF(D3366="","",IF(AND(ISNUMBER(SEARCH("平",D3366)),OR(ISNUMBER(SEARCH("上",D3366)),ISNUMBER(SEARCH("去",D3366)),ISNUMBER(SEARCH("入",D3366)))),"Ambiguous",IF(ISNUMBER(SEARCH("平",D3366)),"平","仄")))</x:f>
        <x:v>仄</x:v>
      </x:c>
      <x:c r="L3366" s="7" t="str"/>
    </x:row>
    <x:row r="3367">
      <x:c r="A3367" s="5" t="str">
        <x:v>舊</x:v>
      </x:c>
      <x:c r="B3367" s="6" t="str">
        <x:v>去</x:v>
      </x:c>
      <x:c r="C3367" s="6" t="str">
        <x:f>IF(B3367="","Needs decision","Ready")</x:f>
        <x:v>Ready</x:v>
      </x:c>
      <x:c r="D3367" s="6" t="str">
        <x:v>去</x:v>
      </x:c>
      <x:c r="E3367" s="6" t="str">
        <x:v>gjuwH (C)</x:v>
      </x:c>
      <x:c r="F3367" s="6" t="str">
        <x:v>去聲二十六宥</x:v>
      </x:c>
      <x:c r="G3367" s="6" t="str">
        <x:v>Pingshui main list, Wikisource-derived DOCX</x:v>
      </x:c>
      <x:c r="H3367" s="6" t="str">
        <x:v>1</x:v>
      </x:c>
      <x:c r="I3367" s="6" t="str"/>
      <x:c r="J3367" s="6" t="str">
        <x:f>IF(B3367="","",IF(AND(ISNUMBER(SEARCH("平",B3367)),OR(ISNUMBER(SEARCH("上",B3367)),ISNUMBER(SEARCH("去",B3367)),ISNUMBER(SEARCH("入",B3367)))),"Ambiguous",IF(ISNUMBER(SEARCH("平",B3367)),"平","仄")))</x:f>
        <x:v>仄</x:v>
      </x:c>
      <x:c r="K3367" s="6" t="str">
        <x:f>IF(D3367="","",IF(AND(ISNUMBER(SEARCH("平",D3367)),OR(ISNUMBER(SEARCH("上",D3367)),ISNUMBER(SEARCH("去",D3367)),ISNUMBER(SEARCH("入",D3367)))),"Ambiguous",IF(ISNUMBER(SEARCH("平",D3367)),"平","仄")))</x:f>
        <x:v>仄</x:v>
      </x:c>
      <x:c r="L3367" s="7" t="str"/>
    </x:row>
    <x:row r="3368">
      <x:c r="A3368" s="5" t="str">
        <x:v>舌</x:v>
      </x:c>
      <x:c r="B3368" s="6" t="str">
        <x:v>入</x:v>
      </x:c>
      <x:c r="C3368" s="6" t="str">
        <x:f>IF(B3368="","Needs decision","Ready")</x:f>
        <x:v>Ready</x:v>
      </x:c>
      <x:c r="D3368" s="6" t="str">
        <x:v>入</x:v>
      </x:c>
      <x:c r="E3368" s="6" t="str">
        <x:v>zyet (D)</x:v>
      </x:c>
      <x:c r="F3368" s="6" t="str">
        <x:v>入聲九屑</x:v>
      </x:c>
      <x:c r="G3368" s="6" t="str">
        <x:v>Pingshui main list, Wikisource-derived DOCX</x:v>
      </x:c>
      <x:c r="H3368" s="6" t="str">
        <x:v>1</x:v>
      </x:c>
      <x:c r="I3368" s="6" t="str"/>
      <x:c r="J3368" s="6" t="str">
        <x:f>IF(B3368="","",IF(AND(ISNUMBER(SEARCH("平",B3368)),OR(ISNUMBER(SEARCH("上",B3368)),ISNUMBER(SEARCH("去",B3368)),ISNUMBER(SEARCH("入",B3368)))),"Ambiguous",IF(ISNUMBER(SEARCH("平",B3368)),"平","仄")))</x:f>
        <x:v>仄</x:v>
      </x:c>
      <x:c r="K3368" s="6" t="str">
        <x:f>IF(D3368="","",IF(AND(ISNUMBER(SEARCH("平",D3368)),OR(ISNUMBER(SEARCH("上",D3368)),ISNUMBER(SEARCH("去",D3368)),ISNUMBER(SEARCH("入",D3368)))),"Ambiguous",IF(ISNUMBER(SEARCH("平",D3368)),"平","仄")))</x:f>
        <x:v>仄</x:v>
      </x:c>
      <x:c r="L3368" s="7" t="str"/>
    </x:row>
    <x:row r="3369">
      <x:c r="A3369" s="5" t="str">
        <x:v>舍</x:v>
      </x:c>
      <x:c r="B3369" s="6" t="str">
        <x:v>去</x:v>
      </x:c>
      <x:c r="C3369" s="6" t="str">
        <x:f>IF(B3369="","Needs decision","Ready")</x:f>
        <x:v>Ready</x:v>
      </x:c>
      <x:c r="D3369" s="6" t="str">
        <x:v>上/去</x:v>
      </x:c>
      <x:c r="E3369" s="6" t="str">
        <x:v>syaeX (B); syaeH (C)</x:v>
      </x:c>
      <x:c r="F3369" s="6" t="str">
        <x:v>去聲二十二禡</x:v>
      </x:c>
      <x:c r="G3369" s="6" t="str">
        <x:v>Pingshui main list, Wikisource-derived DOCX</x:v>
      </x:c>
      <x:c r="H3369" s="6" t="str">
        <x:v>2</x:v>
      </x:c>
      <x:c r="I3369" s="6" t="str">
        <x:v>User correction 2026-09-08</x:v>
      </x:c>
      <x:c r="J3369" s="6" t="str">
        <x:f>IF(B3369="","",IF(AND(ISNUMBER(SEARCH("平",B3369)),OR(ISNUMBER(SEARCH("上",B3369)),ISNUMBER(SEARCH("去",B3369)),ISNUMBER(SEARCH("入",B3369)))),"Ambiguous",IF(ISNUMBER(SEARCH("平",B3369)),"平","仄")))</x:f>
        <x:v>仄</x:v>
      </x:c>
      <x:c r="K3369" s="6" t="str">
        <x:f>IF(D3369="","",IF(AND(ISNUMBER(SEARCH("平",D3369)),OR(ISNUMBER(SEARCH("上",D3369)),ISNUMBER(SEARCH("去",D3369)),ISNUMBER(SEARCH("入",D3369)))),"Ambiguous",IF(ISNUMBER(SEARCH("平",D3369)),"平","仄")))</x:f>
        <x:v>仄</x:v>
      </x:c>
      <x:c r="L3369" s="7" t="str"/>
    </x:row>
    <x:row r="3370">
      <x:c r="A3370" s="5" t="str">
        <x:v>舐</x:v>
      </x:c>
      <x:c r="B3370" s="6" t="str">
        <x:v>上</x:v>
      </x:c>
      <x:c r="C3370" s="6" t="str">
        <x:f>IF(B3370="","Needs decision","Ready")</x:f>
        <x:v>Ready</x:v>
      </x:c>
      <x:c r="D3370" s="6" t="str">
        <x:v>上</x:v>
      </x:c>
      <x:c r="E3370" s="6" t="str">
        <x:v>zyeX (B)</x:v>
      </x:c>
      <x:c r="F3370" s="6" t="str"/>
      <x:c r="G3370" s="6" t="str"/>
      <x:c r="H3370" s="6" t="str">
        <x:v>1</x:v>
      </x:c>
      <x:c r="I3370" s="6" t="str"/>
      <x:c r="J3370" s="6" t="str">
        <x:f>IF(B3370="","",IF(AND(ISNUMBER(SEARCH("平",B3370)),OR(ISNUMBER(SEARCH("上",B3370)),ISNUMBER(SEARCH("去",B3370)),ISNUMBER(SEARCH("入",B3370)))),"Ambiguous",IF(ISNUMBER(SEARCH("平",B3370)),"平","仄")))</x:f>
        <x:v>仄</x:v>
      </x:c>
      <x:c r="K3370" s="6" t="str">
        <x:f>IF(D3370="","",IF(AND(ISNUMBER(SEARCH("平",D3370)),OR(ISNUMBER(SEARCH("上",D3370)),ISNUMBER(SEARCH("去",D3370)),ISNUMBER(SEARCH("入",D3370)))),"Ambiguous",IF(ISNUMBER(SEARCH("平",D3370)),"平","仄")))</x:f>
        <x:v>仄</x:v>
      </x:c>
      <x:c r="L3370" s="7" t="str"/>
    </x:row>
    <x:row r="3371">
      <x:c r="A3371" s="5" t="str">
        <x:v>舒</x:v>
      </x:c>
      <x:c r="B3371" s="6" t="str">
        <x:v>平</x:v>
      </x:c>
      <x:c r="C3371" s="6" t="str">
        <x:f>IF(B3371="","Needs decision","Ready")</x:f>
        <x:v>Ready</x:v>
      </x:c>
      <x:c r="D3371" s="6" t="str">
        <x:v>平</x:v>
      </x:c>
      <x:c r="E3371" s="6" t="str">
        <x:v>syo (A)</x:v>
      </x:c>
      <x:c r="F3371" s="6" t="str">
        <x:v>上平聲六魚</x:v>
      </x:c>
      <x:c r="G3371" s="6" t="str">
        <x:v>Pingshui main list, Wikisource-derived DOCX</x:v>
      </x:c>
      <x:c r="H3371" s="6" t="str">
        <x:v>1</x:v>
      </x:c>
      <x:c r="I3371" s="6" t="str"/>
      <x:c r="J3371" s="6" t="str">
        <x:f>IF(B3371="","",IF(AND(ISNUMBER(SEARCH("平",B3371)),OR(ISNUMBER(SEARCH("上",B3371)),ISNUMBER(SEARCH("去",B3371)),ISNUMBER(SEARCH("入",B3371)))),"Ambiguous",IF(ISNUMBER(SEARCH("平",B3371)),"平","仄")))</x:f>
        <x:v>平</x:v>
      </x:c>
      <x:c r="K3371" s="6" t="str">
        <x:f>IF(D3371="","",IF(AND(ISNUMBER(SEARCH("平",D3371)),OR(ISNUMBER(SEARCH("上",D3371)),ISNUMBER(SEARCH("去",D3371)),ISNUMBER(SEARCH("入",D3371)))),"Ambiguous",IF(ISNUMBER(SEARCH("平",D3371)),"平","仄")))</x:f>
        <x:v>平</x:v>
      </x:c>
      <x:c r="L3371" s="7" t="str"/>
    </x:row>
    <x:row r="3372">
      <x:c r="A3372" s="5" t="str">
        <x:v>舓</x:v>
      </x:c>
      <x:c r="B3372" s="6" t="str">
        <x:v>上</x:v>
      </x:c>
      <x:c r="C3372" s="6" t="str">
        <x:f>IF(B3372="","Needs decision","Ready")</x:f>
        <x:v>Ready</x:v>
      </x:c>
      <x:c r="D3372" s="6" t="str">
        <x:v>上</x:v>
      </x:c>
      <x:c r="E3372" s="6" t="str">
        <x:v>zyeX (B)</x:v>
      </x:c>
      <x:c r="F3372" s="6" t="str"/>
      <x:c r="G3372" s="6" t="str"/>
      <x:c r="H3372" s="6" t="str">
        <x:v>1</x:v>
      </x:c>
      <x:c r="I3372" s="6" t="str"/>
      <x:c r="J3372" s="6" t="str">
        <x:f>IF(B3372="","",IF(AND(ISNUMBER(SEARCH("平",B3372)),OR(ISNUMBER(SEARCH("上",B3372)),ISNUMBER(SEARCH("去",B3372)),ISNUMBER(SEARCH("入",B3372)))),"Ambiguous",IF(ISNUMBER(SEARCH("平",B3372)),"平","仄")))</x:f>
        <x:v>仄</x:v>
      </x:c>
      <x:c r="K3372" s="6" t="str">
        <x:f>IF(D3372="","",IF(AND(ISNUMBER(SEARCH("平",D3372)),OR(ISNUMBER(SEARCH("上",D3372)),ISNUMBER(SEARCH("去",D3372)),ISNUMBER(SEARCH("入",D3372)))),"Ambiguous",IF(ISNUMBER(SEARCH("平",D3372)),"平","仄")))</x:f>
        <x:v>仄</x:v>
      </x:c>
      <x:c r="L3372" s="7" t="str"/>
    </x:row>
    <x:row r="3373">
      <x:c r="A3373" s="5" t="str">
        <x:v>舔</x:v>
      </x:c>
      <x:c r="B3373" s="6" t="str">
        <x:v>上</x:v>
      </x:c>
      <x:c r="C3373" s="6" t="str">
        <x:f>IF(B3373="","Needs decision","Ready")</x:f>
        <x:v>Ready</x:v>
      </x:c>
      <x:c r="D3373" s="6" t="str">
        <x:v>上</x:v>
      </x:c>
      <x:c r="E3373" s="6" t="str">
        <x:v>themX (B)</x:v>
      </x:c>
      <x:c r="F3373" s="6" t="str"/>
      <x:c r="G3373" s="6" t="str"/>
      <x:c r="H3373" s="6" t="str">
        <x:v>1</x:v>
      </x:c>
      <x:c r="I3373" s="6" t="str"/>
      <x:c r="J3373" s="6" t="str">
        <x:f>IF(B3373="","",IF(AND(ISNUMBER(SEARCH("平",B3373)),OR(ISNUMBER(SEARCH("上",B3373)),ISNUMBER(SEARCH("去",B3373)),ISNUMBER(SEARCH("入",B3373)))),"Ambiguous",IF(ISNUMBER(SEARCH("平",B3373)),"平","仄")))</x:f>
        <x:v>仄</x:v>
      </x:c>
      <x:c r="K3373" s="6" t="str">
        <x:f>IF(D3373="","",IF(AND(ISNUMBER(SEARCH("平",D3373)),OR(ISNUMBER(SEARCH("上",D3373)),ISNUMBER(SEARCH("去",D3373)),ISNUMBER(SEARCH("入",D3373)))),"Ambiguous",IF(ISNUMBER(SEARCH("平",D3373)),"平","仄")))</x:f>
        <x:v>仄</x:v>
      </x:c>
      <x:c r="L3373" s="7" t="str"/>
    </x:row>
    <x:row r="3374">
      <x:c r="A3374" s="5" t="str">
        <x:v>舛</x:v>
      </x:c>
      <x:c r="B3374" s="6" t="str">
        <x:v>上</x:v>
      </x:c>
      <x:c r="C3374" s="6" t="str">
        <x:f>IF(B3374="","Needs decision","Ready")</x:f>
        <x:v>Ready</x:v>
      </x:c>
      <x:c r="D3374" s="6" t="str">
        <x:v>上</x:v>
      </x:c>
      <x:c r="E3374" s="6" t="str">
        <x:v>tsyhwenX (B)</x:v>
      </x:c>
      <x:c r="F3374" s="6" t="str">
        <x:v>上聲十六銑</x:v>
      </x:c>
      <x:c r="G3374" s="6" t="str">
        <x:v>Pingshui main list, Wikisource-derived DOCX</x:v>
      </x:c>
      <x:c r="H3374" s="6" t="str">
        <x:v>1</x:v>
      </x:c>
      <x:c r="I3374" s="6" t="str"/>
      <x:c r="J3374" s="6" t="str">
        <x:f>IF(B3374="","",IF(AND(ISNUMBER(SEARCH("平",B3374)),OR(ISNUMBER(SEARCH("上",B3374)),ISNUMBER(SEARCH("去",B3374)),ISNUMBER(SEARCH("入",B3374)))),"Ambiguous",IF(ISNUMBER(SEARCH("平",B3374)),"平","仄")))</x:f>
        <x:v>仄</x:v>
      </x:c>
      <x:c r="K3374" s="6" t="str">
        <x:f>IF(D3374="","",IF(AND(ISNUMBER(SEARCH("平",D3374)),OR(ISNUMBER(SEARCH("上",D3374)),ISNUMBER(SEARCH("去",D3374)),ISNUMBER(SEARCH("入",D3374)))),"Ambiguous",IF(ISNUMBER(SEARCH("平",D3374)),"平","仄")))</x:f>
        <x:v>仄</x:v>
      </x:c>
      <x:c r="L3374" s="7" t="str"/>
    </x:row>
    <x:row r="3375">
      <x:c r="A3375" s="5" t="str">
        <x:v>舜</x:v>
      </x:c>
      <x:c r="B3375" s="6" t="str">
        <x:v>去</x:v>
      </x:c>
      <x:c r="C3375" s="6" t="str">
        <x:f>IF(B3375="","Needs decision","Ready")</x:f>
        <x:v>Ready</x:v>
      </x:c>
      <x:c r="D3375" s="6" t="str">
        <x:v>去</x:v>
      </x:c>
      <x:c r="E3375" s="6" t="str">
        <x:v>sywinH (C)</x:v>
      </x:c>
      <x:c r="F3375" s="6" t="str">
        <x:v>去聲十二震</x:v>
      </x:c>
      <x:c r="G3375" s="6" t="str">
        <x:v>Pingshui main list, Wikisource-derived DOCX</x:v>
      </x:c>
      <x:c r="H3375" s="6" t="str">
        <x:v>1</x:v>
      </x:c>
      <x:c r="I3375" s="6" t="str"/>
      <x:c r="J3375" s="6" t="str">
        <x:f>IF(B3375="","",IF(AND(ISNUMBER(SEARCH("平",B3375)),OR(ISNUMBER(SEARCH("上",B3375)),ISNUMBER(SEARCH("去",B3375)),ISNUMBER(SEARCH("入",B3375)))),"Ambiguous",IF(ISNUMBER(SEARCH("平",B3375)),"平","仄")))</x:f>
        <x:v>仄</x:v>
      </x:c>
      <x:c r="K3375" s="6" t="str">
        <x:f>IF(D3375="","",IF(AND(ISNUMBER(SEARCH("平",D3375)),OR(ISNUMBER(SEARCH("上",D3375)),ISNUMBER(SEARCH("去",D3375)),ISNUMBER(SEARCH("入",D3375)))),"Ambiguous",IF(ISNUMBER(SEARCH("平",D3375)),"平","仄")))</x:f>
        <x:v>仄</x:v>
      </x:c>
      <x:c r="L3375" s="7" t="str"/>
    </x:row>
    <x:row r="3376">
      <x:c r="A3376" s="5" t="str">
        <x:v>舝</x:v>
      </x:c>
      <x:c r="B3376" s="6" t="str">
        <x:v>入</x:v>
      </x:c>
      <x:c r="C3376" s="6" t="str">
        <x:f>IF(B3376="","Needs decision","Ready")</x:f>
        <x:v>Ready</x:v>
      </x:c>
      <x:c r="D3376" s="6" t="str">
        <x:v>入</x:v>
      </x:c>
      <x:c r="E3376" s="6" t="str">
        <x:v>haet (D)</x:v>
      </x:c>
      <x:c r="F3376" s="6" t="str">
        <x:v>入聲八黠</x:v>
      </x:c>
      <x:c r="G3376" s="6" t="str">
        <x:v>Pingshui main list, Wikisource-derived DOCX</x:v>
      </x:c>
      <x:c r="H3376" s="6" t="str">
        <x:v>1</x:v>
      </x:c>
      <x:c r="I3376" s="6" t="str"/>
      <x:c r="J3376" s="6" t="str">
        <x:f>IF(B3376="","",IF(AND(ISNUMBER(SEARCH("平",B3376)),OR(ISNUMBER(SEARCH("上",B3376)),ISNUMBER(SEARCH("去",B3376)),ISNUMBER(SEARCH("入",B3376)))),"Ambiguous",IF(ISNUMBER(SEARCH("平",B3376)),"平","仄")))</x:f>
        <x:v>仄</x:v>
      </x:c>
      <x:c r="K3376" s="6" t="str">
        <x:f>IF(D3376="","",IF(AND(ISNUMBER(SEARCH("平",D3376)),OR(ISNUMBER(SEARCH("上",D3376)),ISNUMBER(SEARCH("去",D3376)),ISNUMBER(SEARCH("入",D3376)))),"Ambiguous",IF(ISNUMBER(SEARCH("平",D3376)),"平","仄")))</x:f>
        <x:v>仄</x:v>
      </x:c>
      <x:c r="L3376" s="7" t="str"/>
    </x:row>
    <x:row r="3377">
      <x:c r="A3377" s="5" t="str">
        <x:v>舞</x:v>
      </x:c>
      <x:c r="B3377" s="6" t="str">
        <x:v>上</x:v>
      </x:c>
      <x:c r="C3377" s="6" t="str">
        <x:f>IF(B3377="","Needs decision","Ready")</x:f>
        <x:v>Ready</x:v>
      </x:c>
      <x:c r="D3377" s="6" t="str">
        <x:v>上</x:v>
      </x:c>
      <x:c r="E3377" s="6" t="str">
        <x:v>mjuX (B)</x:v>
      </x:c>
      <x:c r="F3377" s="6" t="str">
        <x:v>上聲七麌</x:v>
      </x:c>
      <x:c r="G3377" s="6" t="str">
        <x:v>Pingshui main list, Wikisource-derived DOCX</x:v>
      </x:c>
      <x:c r="H3377" s="6" t="str">
        <x:v>1</x:v>
      </x:c>
      <x:c r="I3377" s="6" t="str"/>
      <x:c r="J3377" s="6" t="str">
        <x:f>IF(B3377="","",IF(AND(ISNUMBER(SEARCH("平",B3377)),OR(ISNUMBER(SEARCH("上",B3377)),ISNUMBER(SEARCH("去",B3377)),ISNUMBER(SEARCH("入",B3377)))),"Ambiguous",IF(ISNUMBER(SEARCH("平",B3377)),"平","仄")))</x:f>
        <x:v>仄</x:v>
      </x:c>
      <x:c r="K3377" s="6" t="str">
        <x:f>IF(D3377="","",IF(AND(ISNUMBER(SEARCH("平",D3377)),OR(ISNUMBER(SEARCH("上",D3377)),ISNUMBER(SEARCH("去",D3377)),ISNUMBER(SEARCH("入",D3377)))),"Ambiguous",IF(ISNUMBER(SEARCH("平",D3377)),"平","仄")))</x:f>
        <x:v>仄</x:v>
      </x:c>
      <x:c r="L3377" s="7" t="str"/>
    </x:row>
    <x:row r="3378">
      <x:c r="A3378" s="5" t="str">
        <x:v>舟</x:v>
      </x:c>
      <x:c r="B3378" s="6" t="str">
        <x:v>平</x:v>
      </x:c>
      <x:c r="C3378" s="6" t="str">
        <x:f>IF(B3378="","Needs decision","Ready")</x:f>
        <x:v>Ready</x:v>
      </x:c>
      <x:c r="D3378" s="6" t="str">
        <x:v>平</x:v>
      </x:c>
      <x:c r="E3378" s="6" t="str">
        <x:v>tsyuw (A)</x:v>
      </x:c>
      <x:c r="F3378" s="6" t="str">
        <x:v>下平聲十一尤</x:v>
      </x:c>
      <x:c r="G3378" s="6" t="str">
        <x:v>Pingshui main list, Wikisource-derived DOCX</x:v>
      </x:c>
      <x:c r="H3378" s="6" t="str">
        <x:v>1</x:v>
      </x:c>
      <x:c r="I3378" s="6" t="str"/>
      <x:c r="J3378" s="6" t="str">
        <x:f>IF(B3378="","",IF(AND(ISNUMBER(SEARCH("平",B3378)),OR(ISNUMBER(SEARCH("上",B3378)),ISNUMBER(SEARCH("去",B3378)),ISNUMBER(SEARCH("入",B3378)))),"Ambiguous",IF(ISNUMBER(SEARCH("平",B3378)),"平","仄")))</x:f>
        <x:v>平</x:v>
      </x:c>
      <x:c r="K3378" s="6" t="str">
        <x:f>IF(D3378="","",IF(AND(ISNUMBER(SEARCH("平",D3378)),OR(ISNUMBER(SEARCH("上",D3378)),ISNUMBER(SEARCH("去",D3378)),ISNUMBER(SEARCH("入",D3378)))),"Ambiguous",IF(ISNUMBER(SEARCH("平",D3378)),"平","仄")))</x:f>
        <x:v>平</x:v>
      </x:c>
      <x:c r="L3378" s="7" t="str"/>
    </x:row>
    <x:row r="3379">
      <x:c r="A3379" s="5" t="str">
        <x:v>舡</x:v>
      </x:c>
      <x:c r="B3379" s="6" t="str">
        <x:v>平</x:v>
      </x:c>
      <x:c r="C3379" s="6" t="str">
        <x:f>IF(B3379="","Needs decision","Ready")</x:f>
        <x:v>Ready</x:v>
      </x:c>
      <x:c r="D3379" s="6" t="str">
        <x:v>平</x:v>
      </x:c>
      <x:c r="E3379" s="6" t="str"/>
      <x:c r="F3379" s="6" t="str"/>
      <x:c r="G3379" s="6" t="str"/>
      <x:c r="H3379" s="6" t="str"/>
      <x:c r="I3379" s="6" t="str">
        <x:v>Manual user correction/addition</x:v>
      </x:c>
      <x:c r="J3379" s="6" t="str">
        <x:f>IF(B3379="","",IF(AND(ISNUMBER(SEARCH("平",B3379)),OR(ISNUMBER(SEARCH("上",B3379)),ISNUMBER(SEARCH("去",B3379)),ISNUMBER(SEARCH("入",B3379)))),"Ambiguous",IF(ISNUMBER(SEARCH("平",B3379)),"平","仄")))</x:f>
        <x:v>平</x:v>
      </x:c>
      <x:c r="K3379" s="6" t="str">
        <x:f>IF(D3379="","",IF(AND(ISNUMBER(SEARCH("平",D3379)),OR(ISNUMBER(SEARCH("上",D3379)),ISNUMBER(SEARCH("去",D3379)),ISNUMBER(SEARCH("入",D3379)))),"Ambiguous",IF(ISNUMBER(SEARCH("平",D3379)),"平","仄")))</x:f>
        <x:v>平</x:v>
      </x:c>
      <x:c r="L3379" s="7" t="str">
        <x:v>manual user correction</x:v>
      </x:c>
    </x:row>
    <x:row r="3380">
      <x:c r="A3380" s="5" t="str">
        <x:v>舫</x:v>
      </x:c>
      <x:c r="B3380" s="6" t="str">
        <x:v>去</x:v>
      </x:c>
      <x:c r="C3380" s="6" t="str">
        <x:f>IF(B3380="","Needs decision","Ready")</x:f>
        <x:v>Ready</x:v>
      </x:c>
      <x:c r="D3380" s="6" t="str">
        <x:v>去</x:v>
      </x:c>
      <x:c r="E3380" s="6" t="str">
        <x:v>pangH (C); pjangH (C)</x:v>
      </x:c>
      <x:c r="F3380" s="6" t="str">
        <x:v>去聲二十三漾</x:v>
      </x:c>
      <x:c r="G3380" s="6" t="str">
        <x:v>Pingshui main list, Wikisource-derived DOCX</x:v>
      </x:c>
      <x:c r="H3380" s="6" t="str">
        <x:v>2</x:v>
      </x:c>
      <x:c r="I3380" s="6" t="str"/>
      <x:c r="J3380" s="6" t="str">
        <x:f>IF(B3380="","",IF(AND(ISNUMBER(SEARCH("平",B3380)),OR(ISNUMBER(SEARCH("上",B3380)),ISNUMBER(SEARCH("去",B3380)),ISNUMBER(SEARCH("入",B3380)))),"Ambiguous",IF(ISNUMBER(SEARCH("平",B3380)),"平","仄")))</x:f>
        <x:v>仄</x:v>
      </x:c>
      <x:c r="K3380" s="6" t="str">
        <x:f>IF(D3380="","",IF(AND(ISNUMBER(SEARCH("平",D3380)),OR(ISNUMBER(SEARCH("上",D3380)),ISNUMBER(SEARCH("去",D3380)),ISNUMBER(SEARCH("入",D3380)))),"Ambiguous",IF(ISNUMBER(SEARCH("平",D3380)),"平","仄")))</x:f>
        <x:v>仄</x:v>
      </x:c>
      <x:c r="L3380" s="7" t="str"/>
    </x:row>
    <x:row r="3381">
      <x:c r="A3381" s="5" t="str">
        <x:v>舵</x:v>
      </x:c>
      <x:c r="B3381" s="6" t="str">
        <x:v>上</x:v>
      </x:c>
      <x:c r="C3381" s="6" t="str">
        <x:f>IF(B3381="","Needs decision","Ready")</x:f>
        <x:v>Ready</x:v>
      </x:c>
      <x:c r="D3381" s="6" t="str">
        <x:v>上</x:v>
      </x:c>
      <x:c r="E3381" s="6" t="str">
        <x:v>daX (B)</x:v>
      </x:c>
      <x:c r="F3381" s="6" t="str"/>
      <x:c r="G3381" s="6" t="str"/>
      <x:c r="H3381" s="6" t="str">
        <x:v>1</x:v>
      </x:c>
      <x:c r="I3381" s="6" t="str"/>
      <x:c r="J3381" s="6" t="str">
        <x:f>IF(B3381="","",IF(AND(ISNUMBER(SEARCH("平",B3381)),OR(ISNUMBER(SEARCH("上",B3381)),ISNUMBER(SEARCH("去",B3381)),ISNUMBER(SEARCH("入",B3381)))),"Ambiguous",IF(ISNUMBER(SEARCH("平",B3381)),"平","仄")))</x:f>
        <x:v>仄</x:v>
      </x:c>
      <x:c r="K3381" s="6" t="str">
        <x:f>IF(D3381="","",IF(AND(ISNUMBER(SEARCH("平",D3381)),OR(ISNUMBER(SEARCH("上",D3381)),ISNUMBER(SEARCH("去",D3381)),ISNUMBER(SEARCH("入",D3381)))),"Ambiguous",IF(ISNUMBER(SEARCH("平",D3381)),"平","仄")))</x:f>
        <x:v>仄</x:v>
      </x:c>
      <x:c r="L3381" s="7" t="str"/>
    </x:row>
    <x:row r="3382">
      <x:c r="A3382" s="5" t="str">
        <x:v>船</x:v>
      </x:c>
      <x:c r="B3382" s="6" t="str">
        <x:v>平</x:v>
      </x:c>
      <x:c r="C3382" s="6" t="str">
        <x:f>IF(B3382="","Needs decision","Ready")</x:f>
        <x:v>Ready</x:v>
      </x:c>
      <x:c r="D3382" s="6" t="str">
        <x:v>平</x:v>
      </x:c>
      <x:c r="E3382" s="6" t="str">
        <x:v>zywen (A)</x:v>
      </x:c>
      <x:c r="F3382" s="6" t="str">
        <x:v>下平聲一先</x:v>
      </x:c>
      <x:c r="G3382" s="6" t="str">
        <x:v>Pingshui main list, Wikisource-derived DOCX</x:v>
      </x:c>
      <x:c r="H3382" s="6" t="str">
        <x:v>1</x:v>
      </x:c>
      <x:c r="I3382" s="6" t="str"/>
      <x:c r="J3382" s="6" t="str">
        <x:f>IF(B3382="","",IF(AND(ISNUMBER(SEARCH("平",B3382)),OR(ISNUMBER(SEARCH("上",B3382)),ISNUMBER(SEARCH("去",B3382)),ISNUMBER(SEARCH("入",B3382)))),"Ambiguous",IF(ISNUMBER(SEARCH("平",B3382)),"平","仄")))</x:f>
        <x:v>平</x:v>
      </x:c>
      <x:c r="K3382" s="6" t="str">
        <x:f>IF(D3382="","",IF(AND(ISNUMBER(SEARCH("平",D3382)),OR(ISNUMBER(SEARCH("上",D3382)),ISNUMBER(SEARCH("去",D3382)),ISNUMBER(SEARCH("入",D3382)))),"Ambiguous",IF(ISNUMBER(SEARCH("平",D3382)),"平","仄")))</x:f>
        <x:v>平</x:v>
      </x:c>
      <x:c r="L3382" s="7" t="str"/>
    </x:row>
    <x:row r="3383">
      <x:c r="A3383" s="5" t="str">
        <x:v>艑</x:v>
      </x:c>
      <x:c r="B3383" s="6" t="str">
        <x:v>上</x:v>
      </x:c>
      <x:c r="C3383" s="6" t="str">
        <x:f>IF(B3383="","Needs decision","Ready")</x:f>
        <x:v>Ready</x:v>
      </x:c>
      <x:c r="D3383" s="6" t="str">
        <x:v>上</x:v>
      </x:c>
      <x:c r="E3383" s="6" t="str"/>
      <x:c r="F3383" s="6" t="str">
        <x:v>上聲十六銑</x:v>
      </x:c>
      <x:c r="G3383" s="6" t="str">
        <x:v>Pingshui main list, Wikisource-derived DOCX</x:v>
      </x:c>
      <x:c r="H3383" s="6" t="str"/>
      <x:c r="I3383" s="6" t="str">
        <x:v>Manual user correction/addition</x:v>
      </x:c>
      <x:c r="J3383" s="6" t="str">
        <x:f>IF(B3383="","",IF(AND(ISNUMBER(SEARCH("平",B3383)),OR(ISNUMBER(SEARCH("上",B3383)),ISNUMBER(SEARCH("去",B3383)),ISNUMBER(SEARCH("入",B3383)))),"Ambiguous",IF(ISNUMBER(SEARCH("平",B3383)),"平","仄")))</x:f>
        <x:v>仄</x:v>
      </x:c>
      <x:c r="K3383" s="6" t="str">
        <x:f>IF(D3383="","",IF(AND(ISNUMBER(SEARCH("平",D3383)),OR(ISNUMBER(SEARCH("上",D3383)),ISNUMBER(SEARCH("去",D3383)),ISNUMBER(SEARCH("入",D3383)))),"Ambiguous",IF(ISNUMBER(SEARCH("平",D3383)),"平","仄")))</x:f>
        <x:v>仄</x:v>
      </x:c>
      <x:c r="L3383" s="7" t="str">
        <x:v>manual user correction</x:v>
      </x:c>
    </x:row>
    <x:row r="3384">
      <x:c r="A3384" s="5" t="str">
        <x:v>良</x:v>
      </x:c>
      <x:c r="B3384" s="6" t="str">
        <x:v>平</x:v>
      </x:c>
      <x:c r="C3384" s="6" t="str">
        <x:f>IF(B3384="","Needs decision","Ready")</x:f>
        <x:v>Ready</x:v>
      </x:c>
      <x:c r="D3384" s="6" t="str">
        <x:v>平</x:v>
      </x:c>
      <x:c r="E3384" s="6" t="str">
        <x:v>ljang (A)</x:v>
      </x:c>
      <x:c r="F3384" s="6" t="str">
        <x:v>下平聲七陽</x:v>
      </x:c>
      <x:c r="G3384" s="6" t="str">
        <x:v>Pingshui main list, Wikisource-derived DOCX</x:v>
      </x:c>
      <x:c r="H3384" s="6" t="str">
        <x:v>1</x:v>
      </x:c>
      <x:c r="I3384" s="6" t="str"/>
      <x:c r="J3384" s="6" t="str">
        <x:f>IF(B3384="","",IF(AND(ISNUMBER(SEARCH("平",B3384)),OR(ISNUMBER(SEARCH("上",B3384)),ISNUMBER(SEARCH("去",B3384)),ISNUMBER(SEARCH("入",B3384)))),"Ambiguous",IF(ISNUMBER(SEARCH("平",B3384)),"平","仄")))</x:f>
        <x:v>平</x:v>
      </x:c>
      <x:c r="K3384" s="6" t="str">
        <x:f>IF(D3384="","",IF(AND(ISNUMBER(SEARCH("平",D3384)),OR(ISNUMBER(SEARCH("上",D3384)),ISNUMBER(SEARCH("去",D3384)),ISNUMBER(SEARCH("入",D3384)))),"Ambiguous",IF(ISNUMBER(SEARCH("平",D3384)),"平","仄")))</x:f>
        <x:v>平</x:v>
      </x:c>
      <x:c r="L3384" s="7" t="str"/>
    </x:row>
    <x:row r="3385">
      <x:c r="A3385" s="5" t="str">
        <x:v>艱</x:v>
      </x:c>
      <x:c r="B3385" s="6" t="str">
        <x:v>平</x:v>
      </x:c>
      <x:c r="C3385" s="6" t="str">
        <x:f>IF(B3385="","Needs decision","Ready")</x:f>
        <x:v>Ready</x:v>
      </x:c>
      <x:c r="D3385" s="6" t="str">
        <x:v>平</x:v>
      </x:c>
      <x:c r="E3385" s="6" t="str">
        <x:v>kean (A)</x:v>
      </x:c>
      <x:c r="F3385" s="6" t="str">
        <x:v>上平聲十五刪</x:v>
      </x:c>
      <x:c r="G3385" s="6" t="str">
        <x:v>Pingshui main list, Wikisource-derived DOCX</x:v>
      </x:c>
      <x:c r="H3385" s="6" t="str">
        <x:v>1</x:v>
      </x:c>
      <x:c r="I3385" s="6" t="str"/>
      <x:c r="J3385" s="6" t="str">
        <x:f>IF(B3385="","",IF(AND(ISNUMBER(SEARCH("平",B3385)),OR(ISNUMBER(SEARCH("上",B3385)),ISNUMBER(SEARCH("去",B3385)),ISNUMBER(SEARCH("入",B3385)))),"Ambiguous",IF(ISNUMBER(SEARCH("平",B3385)),"平","仄")))</x:f>
        <x:v>平</x:v>
      </x:c>
      <x:c r="K3385" s="6" t="str">
        <x:f>IF(D3385="","",IF(AND(ISNUMBER(SEARCH("平",D3385)),OR(ISNUMBER(SEARCH("上",D3385)),ISNUMBER(SEARCH("去",D3385)),ISNUMBER(SEARCH("入",D3385)))),"Ambiguous",IF(ISNUMBER(SEARCH("平",D3385)),"平","仄")))</x:f>
        <x:v>平</x:v>
      </x:c>
      <x:c r="L3385" s="7" t="str"/>
    </x:row>
    <x:row r="3386">
      <x:c r="A3386" s="5" t="str">
        <x:v>色</x:v>
      </x:c>
      <x:c r="B3386" s="6" t="str">
        <x:v>入</x:v>
      </x:c>
      <x:c r="C3386" s="6" t="str">
        <x:f>IF(B3386="","Needs decision","Ready")</x:f>
        <x:v>Ready</x:v>
      </x:c>
      <x:c r="D3386" s="6" t="str">
        <x:v>入</x:v>
      </x:c>
      <x:c r="E3386" s="6" t="str">
        <x:v>srik (D)</x:v>
      </x:c>
      <x:c r="F3386" s="6" t="str">
        <x:v>入聲十三職</x:v>
      </x:c>
      <x:c r="G3386" s="6" t="str">
        <x:v>Pingshui main list, Wikisource-derived DOCX</x:v>
      </x:c>
      <x:c r="H3386" s="6" t="str">
        <x:v>1</x:v>
      </x:c>
      <x:c r="I3386" s="6" t="str"/>
      <x:c r="J3386" s="6" t="str">
        <x:f>IF(B3386="","",IF(AND(ISNUMBER(SEARCH("平",B3386)),OR(ISNUMBER(SEARCH("上",B3386)),ISNUMBER(SEARCH("去",B3386)),ISNUMBER(SEARCH("入",B3386)))),"Ambiguous",IF(ISNUMBER(SEARCH("平",B3386)),"平","仄")))</x:f>
        <x:v>仄</x:v>
      </x:c>
      <x:c r="K3386" s="6" t="str">
        <x:f>IF(D3386="","",IF(AND(ISNUMBER(SEARCH("平",D3386)),OR(ISNUMBER(SEARCH("上",D3386)),ISNUMBER(SEARCH("去",D3386)),ISNUMBER(SEARCH("入",D3386)))),"Ambiguous",IF(ISNUMBER(SEARCH("平",D3386)),"平","仄")))</x:f>
        <x:v>仄</x:v>
      </x:c>
      <x:c r="L3386" s="7" t="str"/>
    </x:row>
    <x:row r="3387">
      <x:c r="A3387" s="5" t="str">
        <x:v>艴</x:v>
      </x:c>
      <x:c r="B3387" s="6" t="str">
        <x:v>入</x:v>
      </x:c>
      <x:c r="C3387" s="6" t="str">
        <x:f>IF(B3387="","Needs decision","Ready")</x:f>
        <x:v>Ready</x:v>
      </x:c>
      <x:c r="D3387" s="6" t="str">
        <x:v>入</x:v>
      </x:c>
      <x:c r="E3387" s="6" t="str">
        <x:v>bwot (D); phjut (D)</x:v>
      </x:c>
      <x:c r="F3387" s="6" t="str">
        <x:v>入聲五物; 入聲六月</x:v>
      </x:c>
      <x:c r="G3387" s="6" t="str">
        <x:v>Pingshui main list, Wikisource-derived DOCX</x:v>
      </x:c>
      <x:c r="H3387" s="6" t="str">
        <x:v>2</x:v>
      </x:c>
      <x:c r="I3387" s="6" t="str"/>
      <x:c r="J3387" s="6" t="str">
        <x:f>IF(B3387="","",IF(AND(ISNUMBER(SEARCH("平",B3387)),OR(ISNUMBER(SEARCH("上",B3387)),ISNUMBER(SEARCH("去",B3387)),ISNUMBER(SEARCH("入",B3387)))),"Ambiguous",IF(ISNUMBER(SEARCH("平",B3387)),"平","仄")))</x:f>
        <x:v>仄</x:v>
      </x:c>
      <x:c r="K3387" s="6" t="str">
        <x:f>IF(D3387="","",IF(AND(ISNUMBER(SEARCH("平",D3387)),OR(ISNUMBER(SEARCH("上",D3387)),ISNUMBER(SEARCH("去",D3387)),ISNUMBER(SEARCH("入",D3387)))),"Ambiguous",IF(ISNUMBER(SEARCH("平",D3387)),"平","仄")))</x:f>
        <x:v>仄</x:v>
      </x:c>
      <x:c r="L3387" s="7" t="str"/>
    </x:row>
    <x:row r="3388">
      <x:c r="A3388" s="5" t="str">
        <x:v>艷</x:v>
      </x:c>
      <x:c r="B3388" s="6" t="str">
        <x:v>去</x:v>
      </x:c>
      <x:c r="C3388" s="6" t="str">
        <x:f>IF(B3388="","Needs decision","Ready")</x:f>
        <x:v>Ready</x:v>
      </x:c>
      <x:c r="D3388" s="6" t="str">
        <x:v>去</x:v>
      </x:c>
      <x:c r="E3388" s="6" t="str">
        <x:v>yemH [jemh] (去)</x:v>
      </x:c>
      <x:c r="F3388" s="6" t="str"/>
      <x:c r="G3388" s="6" t="str"/>
      <x:c r="H3388" s="6" t="str">
        <x:v>1</x:v>
      </x:c>
      <x:c r="I3388" s="6" t="str">
        <x:v>Tang 300 gap; frequency 1; provisional from Xun Gong</x:v>
      </x:c>
      <x:c r="J3388" s="6" t="str">
        <x:f>IF(B3388="","",IF(AND(ISNUMBER(SEARCH("平",B3388)),OR(ISNUMBER(SEARCH("上",B3388)),ISNUMBER(SEARCH("去",B3388)),ISNUMBER(SEARCH("入",B3388)))),"Ambiguous",IF(ISNUMBER(SEARCH("平",B3388)),"平","仄")))</x:f>
        <x:v>仄</x:v>
      </x:c>
      <x:c r="K3388" s="6" t="str">
        <x:f>IF(D3388="","",IF(AND(ISNUMBER(SEARCH("平",D3388)),OR(ISNUMBER(SEARCH("上",D3388)),ISNUMBER(SEARCH("去",D3388)),ISNUMBER(SEARCH("入",D3388)))),"Ambiguous",IF(ISNUMBER(SEARCH("平",D3388)),"平","仄")))</x:f>
        <x:v>仄</x:v>
      </x:c>
      <x:c r="L3388" s="7" t="str">
        <x:v>Xun Gong, Tang 300 gap fill</x:v>
      </x:c>
    </x:row>
    <x:row r="3389">
      <x:c r="A3389" s="5" t="str">
        <x:v>艾</x:v>
      </x:c>
      <x:c r="B3389" s="6" t="str">
        <x:v>去</x:v>
      </x:c>
      <x:c r="C3389" s="6" t="str">
        <x:f>IF(B3389="","Needs decision","Ready")</x:f>
        <x:v>Ready</x:v>
      </x:c>
      <x:c r="D3389" s="6" t="str">
        <x:v>去</x:v>
      </x:c>
      <x:c r="E3389" s="6" t="str">
        <x:v>ngajH (C)</x:v>
      </x:c>
      <x:c r="F3389" s="6" t="str">
        <x:v>去聲九泰</x:v>
      </x:c>
      <x:c r="G3389" s="6" t="str">
        <x:v>Pingshui main list, Wikisource-derived DOCX</x:v>
      </x:c>
      <x:c r="H3389" s="6" t="str">
        <x:v>1</x:v>
      </x:c>
      <x:c r="I3389" s="6" t="str"/>
      <x:c r="J3389" s="6" t="str">
        <x:f>IF(B3389="","",IF(AND(ISNUMBER(SEARCH("平",B3389)),OR(ISNUMBER(SEARCH("上",B3389)),ISNUMBER(SEARCH("去",B3389)),ISNUMBER(SEARCH("入",B3389)))),"Ambiguous",IF(ISNUMBER(SEARCH("平",B3389)),"平","仄")))</x:f>
        <x:v>仄</x:v>
      </x:c>
      <x:c r="K3389" s="6" t="str">
        <x:f>IF(D3389="","",IF(AND(ISNUMBER(SEARCH("平",D3389)),OR(ISNUMBER(SEARCH("上",D3389)),ISNUMBER(SEARCH("去",D3389)),ISNUMBER(SEARCH("入",D3389)))),"Ambiguous",IF(ISNUMBER(SEARCH("平",D3389)),"平","仄")))</x:f>
        <x:v>仄</x:v>
      </x:c>
      <x:c r="L3389" s="7" t="str"/>
    </x:row>
    <x:row r="3390">
      <x:c r="A3390" s="5" t="str">
        <x:v>芃</x:v>
      </x:c>
      <x:c r="B3390" s="6" t="str">
        <x:v>平</x:v>
      </x:c>
      <x:c r="C3390" s="6" t="str">
        <x:f>IF(B3390="","Needs decision","Ready")</x:f>
        <x:v>Ready</x:v>
      </x:c>
      <x:c r="D3390" s="6" t="str">
        <x:v>平</x:v>
      </x:c>
      <x:c r="E3390" s="6" t="str">
        <x:v>buwng (A)</x:v>
      </x:c>
      <x:c r="F3390" s="6" t="str">
        <x:v>上平聲一東</x:v>
      </x:c>
      <x:c r="G3390" s="6" t="str">
        <x:v>Pingshui main list, Wikisource-derived DOCX</x:v>
      </x:c>
      <x:c r="H3390" s="6" t="str">
        <x:v>1</x:v>
      </x:c>
      <x:c r="I3390" s="6" t="str"/>
      <x:c r="J3390" s="6" t="str">
        <x:f>IF(B3390="","",IF(AND(ISNUMBER(SEARCH("平",B3390)),OR(ISNUMBER(SEARCH("上",B3390)),ISNUMBER(SEARCH("去",B3390)),ISNUMBER(SEARCH("入",B3390)))),"Ambiguous",IF(ISNUMBER(SEARCH("平",B3390)),"平","仄")))</x:f>
        <x:v>平</x:v>
      </x:c>
      <x:c r="K3390" s="6" t="str">
        <x:f>IF(D3390="","",IF(AND(ISNUMBER(SEARCH("平",D3390)),OR(ISNUMBER(SEARCH("上",D3390)),ISNUMBER(SEARCH("去",D3390)),ISNUMBER(SEARCH("入",D3390)))),"Ambiguous",IF(ISNUMBER(SEARCH("平",D3390)),"平","仄")))</x:f>
        <x:v>平</x:v>
      </x:c>
      <x:c r="L3390" s="7" t="str"/>
    </x:row>
    <x:row r="3391">
      <x:c r="A3391" s="5" t="str">
        <x:v>芄</x:v>
      </x:c>
      <x:c r="B3391" s="6" t="str">
        <x:v>平</x:v>
      </x:c>
      <x:c r="C3391" s="6" t="str">
        <x:f>IF(B3391="","Needs decision","Ready")</x:f>
        <x:v>Ready</x:v>
      </x:c>
      <x:c r="D3391" s="6" t="str">
        <x:v>平</x:v>
      </x:c>
      <x:c r="E3391" s="6" t="str">
        <x:v>hwan (A)</x:v>
      </x:c>
      <x:c r="F3391" s="6" t="str">
        <x:v>上平聲十四寒</x:v>
      </x:c>
      <x:c r="G3391" s="6" t="str">
        <x:v>Pingshui main list, Wikisource-derived DOCX</x:v>
      </x:c>
      <x:c r="H3391" s="6" t="str">
        <x:v>1</x:v>
      </x:c>
      <x:c r="I3391" s="6" t="str"/>
      <x:c r="J3391" s="6" t="str">
        <x:f>IF(B3391="","",IF(AND(ISNUMBER(SEARCH("平",B3391)),OR(ISNUMBER(SEARCH("上",B3391)),ISNUMBER(SEARCH("去",B3391)),ISNUMBER(SEARCH("入",B3391)))),"Ambiguous",IF(ISNUMBER(SEARCH("平",B3391)),"平","仄")))</x:f>
        <x:v>平</x:v>
      </x:c>
      <x:c r="K3391" s="6" t="str">
        <x:f>IF(D3391="","",IF(AND(ISNUMBER(SEARCH("平",D3391)),OR(ISNUMBER(SEARCH("上",D3391)),ISNUMBER(SEARCH("去",D3391)),ISNUMBER(SEARCH("入",D3391)))),"Ambiguous",IF(ISNUMBER(SEARCH("平",D3391)),"平","仄")))</x:f>
        <x:v>平</x:v>
      </x:c>
      <x:c r="L3391" s="7" t="str"/>
    </x:row>
    <x:row r="3392">
      <x:c r="A3392" s="5" t="str">
        <x:v>芊</x:v>
      </x:c>
      <x:c r="B3392" s="6" t="str">
        <x:v>平</x:v>
      </x:c>
      <x:c r="C3392" s="6" t="str">
        <x:f>IF(B3392="","Needs decision","Ready")</x:f>
        <x:v>Ready</x:v>
      </x:c>
      <x:c r="D3392" s="6" t="str">
        <x:v>平</x:v>
      </x:c>
      <x:c r="E3392" s="6" t="str"/>
      <x:c r="F3392" s="6" t="str">
        <x:v>下平聲一先; 上聲四紙</x:v>
      </x:c>
      <x:c r="G3392" s="6" t="str">
        <x:v>Pingshui main list, Wikisource-derived DOCX</x:v>
      </x:c>
      <x:c r="H3392" s="6" t="str"/>
      <x:c r="I3392" s="6" t="str">
        <x:v>Manual user correction/addition</x:v>
      </x:c>
      <x:c r="J3392" s="6" t="str">
        <x:f>IF(B3392="","",IF(AND(ISNUMBER(SEARCH("平",B3392)),OR(ISNUMBER(SEARCH("上",B3392)),ISNUMBER(SEARCH("去",B3392)),ISNUMBER(SEARCH("入",B3392)))),"Ambiguous",IF(ISNUMBER(SEARCH("平",B3392)),"平","仄")))</x:f>
        <x:v>平</x:v>
      </x:c>
      <x:c r="K3392" s="6" t="str">
        <x:f>IF(D3392="","",IF(AND(ISNUMBER(SEARCH("平",D3392)),OR(ISNUMBER(SEARCH("上",D3392)),ISNUMBER(SEARCH("去",D3392)),ISNUMBER(SEARCH("入",D3392)))),"Ambiguous",IF(ISNUMBER(SEARCH("平",D3392)),"平","仄")))</x:f>
        <x:v>平</x:v>
      </x:c>
      <x:c r="L3392" s="7" t="str">
        <x:v>manual user correction</x:v>
      </x:c>
    </x:row>
    <x:row r="3393">
      <x:c r="A3393" s="5" t="str">
        <x:v>芋</x:v>
      </x:c>
      <x:c r="B3393" s="6" t="str">
        <x:v>去</x:v>
      </x:c>
      <x:c r="C3393" s="6" t="str">
        <x:f>IF(B3393="","Needs decision","Ready")</x:f>
        <x:v>Ready</x:v>
      </x:c>
      <x:c r="D3393" s="6" t="str">
        <x:v>去</x:v>
      </x:c>
      <x:c r="E3393" s="6" t="str">
        <x:v>hjuH (C)</x:v>
      </x:c>
      <x:c r="F3393" s="6" t="str">
        <x:v>上平聲七虞; 去聲七遇</x:v>
      </x:c>
      <x:c r="G3393" s="6" t="str">
        <x:v>Pingshui main list, Wikisource-derived DOCX</x:v>
      </x:c>
      <x:c r="H3393" s="6" t="str">
        <x:v>1</x:v>
      </x:c>
      <x:c r="I3393" s="6" t="str"/>
      <x:c r="J3393" s="6" t="str">
        <x:f>IF(B3393="","",IF(AND(ISNUMBER(SEARCH("平",B3393)),OR(ISNUMBER(SEARCH("上",B3393)),ISNUMBER(SEARCH("去",B3393)),ISNUMBER(SEARCH("入",B3393)))),"Ambiguous",IF(ISNUMBER(SEARCH("平",B3393)),"平","仄")))</x:f>
        <x:v>仄</x:v>
      </x:c>
      <x:c r="K3393" s="6" t="str">
        <x:f>IF(D3393="","",IF(AND(ISNUMBER(SEARCH("平",D3393)),OR(ISNUMBER(SEARCH("上",D3393)),ISNUMBER(SEARCH("去",D3393)),ISNUMBER(SEARCH("入",D3393)))),"Ambiguous",IF(ISNUMBER(SEARCH("平",D3393)),"平","仄")))</x:f>
        <x:v>仄</x:v>
      </x:c>
      <x:c r="L3393" s="7" t="str"/>
    </x:row>
    <x:row r="3394">
      <x:c r="A3394" s="5" t="str">
        <x:v>芐</x:v>
      </x:c>
      <x:c r="B3394" s="6" t="str">
        <x:v>去</x:v>
      </x:c>
      <x:c r="C3394" s="6" t="str">
        <x:f>IF(B3394="","Needs decision","Ready")</x:f>
        <x:v>Ready</x:v>
      </x:c>
      <x:c r="D3394" s="6" t="str">
        <x:v>去</x:v>
      </x:c>
      <x:c r="E3394" s="6" t="str">
        <x:v>haeH (C)</x:v>
      </x:c>
      <x:c r="F3394" s="6" t="str"/>
      <x:c r="G3394" s="6" t="str"/>
      <x:c r="H3394" s="6" t="str">
        <x:v>1</x:v>
      </x:c>
      <x:c r="I3394" s="6" t="str"/>
      <x:c r="J3394" s="6" t="str">
        <x:f>IF(B3394="","",IF(AND(ISNUMBER(SEARCH("平",B3394)),OR(ISNUMBER(SEARCH("上",B3394)),ISNUMBER(SEARCH("去",B3394)),ISNUMBER(SEARCH("入",B3394)))),"Ambiguous",IF(ISNUMBER(SEARCH("平",B3394)),"平","仄")))</x:f>
        <x:v>仄</x:v>
      </x:c>
      <x:c r="K3394" s="6" t="str">
        <x:f>IF(D3394="","",IF(AND(ISNUMBER(SEARCH("平",D3394)),OR(ISNUMBER(SEARCH("上",D3394)),ISNUMBER(SEARCH("去",D3394)),ISNUMBER(SEARCH("入",D3394)))),"Ambiguous",IF(ISNUMBER(SEARCH("平",D3394)),"平","仄")))</x:f>
        <x:v>仄</x:v>
      </x:c>
      <x:c r="L3394" s="7" t="str"/>
    </x:row>
    <x:row r="3395">
      <x:c r="A3395" s="5" t="str">
        <x:v>芒</x:v>
      </x:c>
      <x:c r="B3395" s="6" t="str">
        <x:v>上</x:v>
      </x:c>
      <x:c r="C3395" s="6" t="str">
        <x:f>IF(B3395="","Needs decision","Ready")</x:f>
        <x:v>Ready</x:v>
      </x:c>
      <x:c r="D3395" s="6" t="str">
        <x:v>平/上</x:v>
      </x:c>
      <x:c r="E3395" s="6" t="str">
        <x:v>xwangX (B); mang (A)</x:v>
      </x:c>
      <x:c r="F3395" s="6" t="str">
        <x:v>下平聲七陽</x:v>
      </x:c>
      <x:c r="G3395" s="6" t="str">
        <x:v>Pingshui main list, Wikisource-derived DOCX</x:v>
      </x:c>
      <x:c r="H3395" s="6" t="str">
        <x:v>2</x:v>
      </x:c>
      <x:c r="I3395" s="6" t="str"/>
      <x:c r="J3395" s="6" t="str">
        <x:f>IF(B3395="","",IF(AND(ISNUMBER(SEARCH("平",B3395)),OR(ISNUMBER(SEARCH("上",B3395)),ISNUMBER(SEARCH("去",B3395)),ISNUMBER(SEARCH("入",B3395)))),"Ambiguous",IF(ISNUMBER(SEARCH("平",B3395)),"平","仄")))</x:f>
        <x:v>仄</x:v>
      </x:c>
      <x:c r="K3395" s="6" t="str">
        <x:f>IF(D3395="","",IF(AND(ISNUMBER(SEARCH("平",D3395)),OR(ISNUMBER(SEARCH("上",D3395)),ISNUMBER(SEARCH("去",D3395)),ISNUMBER(SEARCH("入",D3395)))),"Ambiguous",IF(ISNUMBER(SEARCH("平",D3395)),"平","仄")))</x:f>
        <x:v>Ambiguous</x:v>
      </x:c>
      <x:c r="L3395" s="7" t="str"/>
    </x:row>
    <x:row r="3396">
      <x:c r="A3396" s="5" t="str">
        <x:v>芙</x:v>
      </x:c>
      <x:c r="B3396" s="6" t="str">
        <x:v>平</x:v>
      </x:c>
      <x:c r="C3396" s="6" t="str">
        <x:f>IF(B3396="","Needs decision","Ready")</x:f>
        <x:v>Ready</x:v>
      </x:c>
      <x:c r="D3396" s="6" t="str">
        <x:v>平</x:v>
      </x:c>
      <x:c r="E3396" s="6" t="str"/>
      <x:c r="F3396" s="6" t="str">
        <x:v>上平聲七虞</x:v>
      </x:c>
      <x:c r="G3396" s="6" t="str">
        <x:v>Pingshui main list, Wikisource-derived DOCX</x:v>
      </x:c>
      <x:c r="H3396" s="6" t="str"/>
      <x:c r="I3396" s="6" t="str">
        <x:v>Manual user correction/addition</x:v>
      </x:c>
      <x:c r="J3396" s="6" t="str">
        <x:f>IF(B3396="","",IF(AND(ISNUMBER(SEARCH("平",B3396)),OR(ISNUMBER(SEARCH("上",B3396)),ISNUMBER(SEARCH("去",B3396)),ISNUMBER(SEARCH("入",B3396)))),"Ambiguous",IF(ISNUMBER(SEARCH("平",B3396)),"平","仄")))</x:f>
        <x:v>平</x:v>
      </x:c>
      <x:c r="K3396" s="6" t="str">
        <x:f>IF(D3396="","",IF(AND(ISNUMBER(SEARCH("平",D3396)),OR(ISNUMBER(SEARCH("上",D3396)),ISNUMBER(SEARCH("去",D3396)),ISNUMBER(SEARCH("入",D3396)))),"Ambiguous",IF(ISNUMBER(SEARCH("平",D3396)),"平","仄")))</x:f>
        <x:v>平</x:v>
      </x:c>
      <x:c r="L3396" s="7" t="str">
        <x:v>manual user correction</x:v>
      </x:c>
    </x:row>
    <x:row r="3397">
      <x:c r="A3397" s="5" t="str">
        <x:v>芝</x:v>
      </x:c>
      <x:c r="B3397" s="6" t="str">
        <x:v>平</x:v>
      </x:c>
      <x:c r="C3397" s="6" t="str">
        <x:f>IF(B3397="","Needs decision","Ready")</x:f>
        <x:v>Ready</x:v>
      </x:c>
      <x:c r="D3397" s="6" t="str">
        <x:v>平</x:v>
      </x:c>
      <x:c r="E3397" s="6" t="str">
        <x:v>tsyi [章開三之平] tɕɨ</x:v>
      </x:c>
      <x:c r="F3397" s="6" t="str">
        <x:v>上平聲四支</x:v>
      </x:c>
      <x:c r="G3397" s="6" t="str">
        <x:v>Pingshui main list, Wikisource-derived DOCX</x:v>
      </x:c>
      <x:c r="H3397" s="6" t="str">
        <x:v>1</x:v>
      </x:c>
      <x:c r="I3397" s="6" t="str">
        <x:v>Targeted preliminary fill from Xun Gong; review if uncertain</x:v>
      </x:c>
      <x:c r="J3397" s="6" t="str">
        <x:f>IF(B3397="","",IF(AND(ISNUMBER(SEARCH("平",B3397)),OR(ISNUMBER(SEARCH("上",B3397)),ISNUMBER(SEARCH("去",B3397)),ISNUMBER(SEARCH("入",B3397)))),"Ambiguous",IF(ISNUMBER(SEARCH("平",B3397)),"平","仄")))</x:f>
        <x:v>平</x:v>
      </x:c>
      <x:c r="K3397" s="6" t="str">
        <x:f>IF(D3397="","",IF(AND(ISNUMBER(SEARCH("平",D3397)),OR(ISNUMBER(SEARCH("上",D3397)),ISNUMBER(SEARCH("去",D3397)),ISNUMBER(SEARCH("入",D3397)))),"Ambiguous",IF(ISNUMBER(SEARCH("平",D3397)),"平","仄")))</x:f>
        <x:v>平</x:v>
      </x:c>
      <x:c r="L3397" s="7" t="str">
        <x:v>Xun Gong character-readings.csv</x:v>
      </x:c>
    </x:row>
    <x:row r="3398">
      <x:c r="A3398" s="5" t="str">
        <x:v>芟</x:v>
      </x:c>
      <x:c r="B3398" s="6" t="str">
        <x:v>平</x:v>
      </x:c>
      <x:c r="C3398" s="6" t="str">
        <x:f>IF(B3398="","Needs decision","Ready")</x:f>
        <x:v>Ready</x:v>
      </x:c>
      <x:c r="D3398" s="6" t="str">
        <x:v>平</x:v>
      </x:c>
      <x:c r="E3398" s="6" t="str">
        <x:v>sraem (A)</x:v>
      </x:c>
      <x:c r="F3398" s="6" t="str">
        <x:v>下平聲十五咸</x:v>
      </x:c>
      <x:c r="G3398" s="6" t="str">
        <x:v>Pingshui main list, Wikisource-derived DOCX</x:v>
      </x:c>
      <x:c r="H3398" s="6" t="str">
        <x:v>1</x:v>
      </x:c>
      <x:c r="I3398" s="6" t="str"/>
      <x:c r="J3398" s="6" t="str">
        <x:f>IF(B3398="","",IF(AND(ISNUMBER(SEARCH("平",B3398)),OR(ISNUMBER(SEARCH("上",B3398)),ISNUMBER(SEARCH("去",B3398)),ISNUMBER(SEARCH("入",B3398)))),"Ambiguous",IF(ISNUMBER(SEARCH("平",B3398)),"平","仄")))</x:f>
        <x:v>平</x:v>
      </x:c>
      <x:c r="K3398" s="6" t="str">
        <x:f>IF(D3398="","",IF(AND(ISNUMBER(SEARCH("平",D3398)),OR(ISNUMBER(SEARCH("上",D3398)),ISNUMBER(SEARCH("去",D3398)),ISNUMBER(SEARCH("入",D3398)))),"Ambiguous",IF(ISNUMBER(SEARCH("平",D3398)),"平","仄")))</x:f>
        <x:v>平</x:v>
      </x:c>
      <x:c r="L3398" s="7" t="str"/>
    </x:row>
    <x:row r="3399">
      <x:c r="A3399" s="5" t="str">
        <x:v>芥</x:v>
      </x:c>
      <x:c r="B3399" s="6" t="str">
        <x:v>去</x:v>
      </x:c>
      <x:c r="C3399" s="6" t="str">
        <x:f>IF(B3399="","Needs decision","Ready")</x:f>
        <x:v>Ready</x:v>
      </x:c>
      <x:c r="D3399" s="6" t="str">
        <x:v>去</x:v>
      </x:c>
      <x:c r="E3399" s="6" t="str">
        <x:v>keajH (C)</x:v>
      </x:c>
      <x:c r="F3399" s="6" t="str">
        <x:v>去聲十卦</x:v>
      </x:c>
      <x:c r="G3399" s="6" t="str">
        <x:v>Pingshui main list, Wikisource-derived DOCX</x:v>
      </x:c>
      <x:c r="H3399" s="6" t="str">
        <x:v>1</x:v>
      </x:c>
      <x:c r="I3399" s="6" t="str"/>
      <x:c r="J3399" s="6" t="str">
        <x:f>IF(B3399="","",IF(AND(ISNUMBER(SEARCH("平",B3399)),OR(ISNUMBER(SEARCH("上",B3399)),ISNUMBER(SEARCH("去",B3399)),ISNUMBER(SEARCH("入",B3399)))),"Ambiguous",IF(ISNUMBER(SEARCH("平",B3399)),"平","仄")))</x:f>
        <x:v>仄</x:v>
      </x:c>
      <x:c r="K3399" s="6" t="str">
        <x:f>IF(D3399="","",IF(AND(ISNUMBER(SEARCH("平",D3399)),OR(ISNUMBER(SEARCH("上",D3399)),ISNUMBER(SEARCH("去",D3399)),ISNUMBER(SEARCH("入",D3399)))),"Ambiguous",IF(ISNUMBER(SEARCH("平",D3399)),"平","仄")))</x:f>
        <x:v>仄</x:v>
      </x:c>
      <x:c r="L3399" s="7" t="str"/>
    </x:row>
    <x:row r="3400">
      <x:c r="A3400" s="5" t="str">
        <x:v>芬</x:v>
      </x:c>
      <x:c r="B3400" s="6" t="str">
        <x:v>平</x:v>
      </x:c>
      <x:c r="C3400" s="6" t="str">
        <x:f>IF(B3400="","Needs decision","Ready")</x:f>
        <x:v>Ready</x:v>
      </x:c>
      <x:c r="D3400" s="6" t="str">
        <x:v>平</x:v>
      </x:c>
      <x:c r="E3400" s="6" t="str">
        <x:v>phjun [pʰɨ̯un] (平)</x:v>
      </x:c>
      <x:c r="F3400" s="6" t="str">
        <x:v>上平聲十二文</x:v>
      </x:c>
      <x:c r="G3400" s="6" t="str">
        <x:v>Pingshui main list, Wikisource-derived DOCX</x:v>
      </x:c>
      <x:c r="H3400" s="6" t="str">
        <x:v>1</x:v>
      </x:c>
      <x:c r="I3400" s="6" t="str">
        <x:v>Tang 300 gap; frequency 2; provisional from Xun Gong</x:v>
      </x:c>
      <x:c r="J3400" s="6" t="str">
        <x:f>IF(B3400="","",IF(AND(ISNUMBER(SEARCH("平",B3400)),OR(ISNUMBER(SEARCH("上",B3400)),ISNUMBER(SEARCH("去",B3400)),ISNUMBER(SEARCH("入",B3400)))),"Ambiguous",IF(ISNUMBER(SEARCH("平",B3400)),"平","仄")))</x:f>
        <x:v>平</x:v>
      </x:c>
      <x:c r="K3400" s="6" t="str">
        <x:f>IF(D3400="","",IF(AND(ISNUMBER(SEARCH("平",D3400)),OR(ISNUMBER(SEARCH("上",D3400)),ISNUMBER(SEARCH("去",D3400)),ISNUMBER(SEARCH("入",D3400)))),"Ambiguous",IF(ISNUMBER(SEARCH("平",D3400)),"平","仄")))</x:f>
        <x:v>平</x:v>
      </x:c>
      <x:c r="L3400" s="7" t="str">
        <x:v>Xun Gong, Tang 300 gap fill</x:v>
      </x:c>
    </x:row>
    <x:row r="3401">
      <x:c r="A3401" s="5" t="str">
        <x:v>芭</x:v>
      </x:c>
      <x:c r="B3401" s="6" t="str">
        <x:v>平</x:v>
      </x:c>
      <x:c r="C3401" s="6" t="str">
        <x:f>IF(B3401="","Needs decision","Ready")</x:f>
        <x:v>Ready</x:v>
      </x:c>
      <x:c r="D3401" s="6" t="str">
        <x:v>平</x:v>
      </x:c>
      <x:c r="E3401" s="6" t="str"/>
      <x:c r="F3401" s="6" t="str">
        <x:v>下平聲六麻</x:v>
      </x:c>
      <x:c r="G3401" s="6" t="str">
        <x:v>Pingshui main list, Wikisource-derived DOCX</x:v>
      </x:c>
      <x:c r="H3401" s="6" t="str"/>
      <x:c r="I3401" s="6" t="str">
        <x:v>Manual user correction/addition</x:v>
      </x:c>
      <x:c r="J3401" s="6" t="str">
        <x:f>IF(B3401="","",IF(AND(ISNUMBER(SEARCH("平",B3401)),OR(ISNUMBER(SEARCH("上",B3401)),ISNUMBER(SEARCH("去",B3401)),ISNUMBER(SEARCH("入",B3401)))),"Ambiguous",IF(ISNUMBER(SEARCH("平",B3401)),"平","仄")))</x:f>
        <x:v>平</x:v>
      </x:c>
      <x:c r="K3401" s="6" t="str">
        <x:f>IF(D3401="","",IF(AND(ISNUMBER(SEARCH("平",D3401)),OR(ISNUMBER(SEARCH("上",D3401)),ISNUMBER(SEARCH("去",D3401)),ISNUMBER(SEARCH("入",D3401)))),"Ambiguous",IF(ISNUMBER(SEARCH("平",D3401)),"平","仄")))</x:f>
        <x:v>平</x:v>
      </x:c>
      <x:c r="L3401" s="7" t="str">
        <x:v>manual user correction</x:v>
      </x:c>
    </x:row>
    <x:row r="3402">
      <x:c r="A3402" s="5" t="str">
        <x:v>芰</x:v>
      </x:c>
      <x:c r="B3402" s="6" t="str">
        <x:v>去</x:v>
      </x:c>
      <x:c r="C3402" s="6" t="str">
        <x:f>IF(B3402="","Needs decision","Ready")</x:f>
        <x:v>Ready</x:v>
      </x:c>
      <x:c r="D3402" s="6" t="str">
        <x:v>去</x:v>
      </x:c>
      <x:c r="E3402" s="6" t="str">
        <x:v>gjeH (C)</x:v>
      </x:c>
      <x:c r="F3402" s="6" t="str">
        <x:v>去聲四寘</x:v>
      </x:c>
      <x:c r="G3402" s="6" t="str">
        <x:v>Pingshui main list, Wikisource-derived DOCX</x:v>
      </x:c>
      <x:c r="H3402" s="6" t="str">
        <x:v>1</x:v>
      </x:c>
      <x:c r="I3402" s="6" t="str"/>
      <x:c r="J3402" s="6" t="str">
        <x:f>IF(B3402="","",IF(AND(ISNUMBER(SEARCH("平",B3402)),OR(ISNUMBER(SEARCH("上",B3402)),ISNUMBER(SEARCH("去",B3402)),ISNUMBER(SEARCH("入",B3402)))),"Ambiguous",IF(ISNUMBER(SEARCH("平",B3402)),"平","仄")))</x:f>
        <x:v>仄</x:v>
      </x:c>
      <x:c r="K3402" s="6" t="str">
        <x:f>IF(D3402="","",IF(AND(ISNUMBER(SEARCH("平",D3402)),OR(ISNUMBER(SEARCH("上",D3402)),ISNUMBER(SEARCH("去",D3402)),ISNUMBER(SEARCH("入",D3402)))),"Ambiguous",IF(ISNUMBER(SEARCH("平",D3402)),"平","仄")))</x:f>
        <x:v>仄</x:v>
      </x:c>
      <x:c r="L3402" s="7" t="str"/>
    </x:row>
    <x:row r="3403">
      <x:c r="A3403" s="5" t="str">
        <x:v>花</x:v>
      </x:c>
      <x:c r="B3403" s="6" t="str">
        <x:v>平</x:v>
      </x:c>
      <x:c r="C3403" s="6" t="str">
        <x:f>IF(B3403="","Needs decision","Ready")</x:f>
        <x:v>Ready</x:v>
      </x:c>
      <x:c r="D3403" s="6" t="str">
        <x:v>平</x:v>
      </x:c>
      <x:c r="E3403" s="6" t="str">
        <x:v>xwae (A)</x:v>
      </x:c>
      <x:c r="F3403" s="6" t="str">
        <x:v>下平聲六麻</x:v>
      </x:c>
      <x:c r="G3403" s="6" t="str">
        <x:v>Pingshui main list, Wikisource-derived DOCX</x:v>
      </x:c>
      <x:c r="H3403" s="6" t="str">
        <x:v>1</x:v>
      </x:c>
      <x:c r="I3403" s="6" t="str"/>
      <x:c r="J3403" s="6" t="str">
        <x:f>IF(B3403="","",IF(AND(ISNUMBER(SEARCH("平",B3403)),OR(ISNUMBER(SEARCH("上",B3403)),ISNUMBER(SEARCH("去",B3403)),ISNUMBER(SEARCH("入",B3403)))),"Ambiguous",IF(ISNUMBER(SEARCH("平",B3403)),"平","仄")))</x:f>
        <x:v>平</x:v>
      </x:c>
      <x:c r="K3403" s="6" t="str">
        <x:f>IF(D3403="","",IF(AND(ISNUMBER(SEARCH("平",D3403)),OR(ISNUMBER(SEARCH("上",D3403)),ISNUMBER(SEARCH("去",D3403)),ISNUMBER(SEARCH("入",D3403)))),"Ambiguous",IF(ISNUMBER(SEARCH("平",D3403)),"平","仄")))</x:f>
        <x:v>平</x:v>
      </x:c>
      <x:c r="L3403" s="7" t="str"/>
    </x:row>
    <x:row r="3404">
      <x:c r="A3404" s="5" t="str">
        <x:v>芳</x:v>
      </x:c>
      <x:c r="B3404" s="6" t="str">
        <x:v>平</x:v>
      </x:c>
      <x:c r="C3404" s="6" t="str">
        <x:f>IF(B3404="","Needs decision","Ready")</x:f>
        <x:v>Ready</x:v>
      </x:c>
      <x:c r="D3404" s="6" t="str">
        <x:v>平</x:v>
      </x:c>
      <x:c r="E3404" s="6" t="str">
        <x:v>phjang (A)</x:v>
      </x:c>
      <x:c r="F3404" s="6" t="str">
        <x:v>下平聲七陽</x:v>
      </x:c>
      <x:c r="G3404" s="6" t="str">
        <x:v>Pingshui main list, Wikisource-derived DOCX</x:v>
      </x:c>
      <x:c r="H3404" s="6" t="str">
        <x:v>1</x:v>
      </x:c>
      <x:c r="I3404" s="6" t="str"/>
      <x:c r="J3404" s="6" t="str">
        <x:f>IF(B3404="","",IF(AND(ISNUMBER(SEARCH("平",B3404)),OR(ISNUMBER(SEARCH("上",B3404)),ISNUMBER(SEARCH("去",B3404)),ISNUMBER(SEARCH("入",B3404)))),"Ambiguous",IF(ISNUMBER(SEARCH("平",B3404)),"平","仄")))</x:f>
        <x:v>平</x:v>
      </x:c>
      <x:c r="K3404" s="6" t="str">
        <x:f>IF(D3404="","",IF(AND(ISNUMBER(SEARCH("平",D3404)),OR(ISNUMBER(SEARCH("上",D3404)),ISNUMBER(SEARCH("去",D3404)),ISNUMBER(SEARCH("入",D3404)))),"Ambiguous",IF(ISNUMBER(SEARCH("平",D3404)),"平","仄")))</x:f>
        <x:v>平</x:v>
      </x:c>
      <x:c r="L3404" s="7" t="str"/>
    </x:row>
    <x:row r="3405">
      <x:c r="A3405" s="5" t="str">
        <x:v>芴</x:v>
      </x:c>
      <x:c r="B3405" s="6" t="str">
        <x:v>入</x:v>
      </x:c>
      <x:c r="C3405" s="6" t="str">
        <x:f>IF(B3405="","Needs decision","Ready")</x:f>
        <x:v>Ready</x:v>
      </x:c>
      <x:c r="D3405" s="6" t="str">
        <x:v>入</x:v>
      </x:c>
      <x:c r="E3405" s="6" t="str">
        <x:v>xwot (D)</x:v>
      </x:c>
      <x:c r="F3405" s="6" t="str">
        <x:v>入聲五物</x:v>
      </x:c>
      <x:c r="G3405" s="6" t="str">
        <x:v>Pingshui main list, Wikisource-derived DOCX</x:v>
      </x:c>
      <x:c r="H3405" s="6" t="str">
        <x:v>1</x:v>
      </x:c>
      <x:c r="I3405" s="6" t="str"/>
      <x:c r="J3405" s="6" t="str">
        <x:f>IF(B3405="","",IF(AND(ISNUMBER(SEARCH("平",B3405)),OR(ISNUMBER(SEARCH("上",B3405)),ISNUMBER(SEARCH("去",B3405)),ISNUMBER(SEARCH("入",B3405)))),"Ambiguous",IF(ISNUMBER(SEARCH("平",B3405)),"平","仄")))</x:f>
        <x:v>仄</x:v>
      </x:c>
      <x:c r="K3405" s="6" t="str">
        <x:f>IF(D3405="","",IF(AND(ISNUMBER(SEARCH("平",D3405)),OR(ISNUMBER(SEARCH("上",D3405)),ISNUMBER(SEARCH("去",D3405)),ISNUMBER(SEARCH("入",D3405)))),"Ambiguous",IF(ISNUMBER(SEARCH("平",D3405)),"平","仄")))</x:f>
        <x:v>仄</x:v>
      </x:c>
      <x:c r="L3405" s="7" t="str"/>
    </x:row>
    <x:row r="3406">
      <x:c r="A3406" s="5" t="str">
        <x:v>芸</x:v>
      </x:c>
      <x:c r="B3406" s="6" t="str">
        <x:v>平</x:v>
      </x:c>
      <x:c r="C3406" s="6" t="str">
        <x:f>IF(B3406="","Needs decision","Ready")</x:f>
        <x:v>Ready</x:v>
      </x:c>
      <x:c r="D3406" s="6" t="str">
        <x:v>平</x:v>
      </x:c>
      <x:c r="E3406" s="6" t="str">
        <x:v>hjun (A)</x:v>
      </x:c>
      <x:c r="F3406" s="6" t="str">
        <x:v>上平聲十二文</x:v>
      </x:c>
      <x:c r="G3406" s="6" t="str">
        <x:v>Pingshui main list, Wikisource-derived DOCX</x:v>
      </x:c>
      <x:c r="H3406" s="6" t="str">
        <x:v>1</x:v>
      </x:c>
      <x:c r="I3406" s="6" t="str"/>
      <x:c r="J3406" s="6" t="str">
        <x:f>IF(B3406="","",IF(AND(ISNUMBER(SEARCH("平",B3406)),OR(ISNUMBER(SEARCH("上",B3406)),ISNUMBER(SEARCH("去",B3406)),ISNUMBER(SEARCH("入",B3406)))),"Ambiguous",IF(ISNUMBER(SEARCH("平",B3406)),"平","仄")))</x:f>
        <x:v>平</x:v>
      </x:c>
      <x:c r="K3406" s="6" t="str">
        <x:f>IF(D3406="","",IF(AND(ISNUMBER(SEARCH("平",D3406)),OR(ISNUMBER(SEARCH("上",D3406)),ISNUMBER(SEARCH("去",D3406)),ISNUMBER(SEARCH("入",D3406)))),"Ambiguous",IF(ISNUMBER(SEARCH("平",D3406)),"平","仄")))</x:f>
        <x:v>平</x:v>
      </x:c>
      <x:c r="L3406" s="7" t="str"/>
    </x:row>
    <x:row r="3407">
      <x:c r="A3407" s="5" t="str">
        <x:v>芹</x:v>
      </x:c>
      <x:c r="B3407" s="6" t="str">
        <x:v>平</x:v>
      </x:c>
      <x:c r="C3407" s="6" t="str">
        <x:f>IF(B3407="","Needs decision","Ready")</x:f>
        <x:v>Ready</x:v>
      </x:c>
      <x:c r="D3407" s="6" t="str">
        <x:v>平</x:v>
      </x:c>
      <x:c r="E3407" s="6" t="str">
        <x:v>gj+n (A)</x:v>
      </x:c>
      <x:c r="F3407" s="6" t="str">
        <x:v>上平聲十二文</x:v>
      </x:c>
      <x:c r="G3407" s="6" t="str">
        <x:v>Pingshui main list, Wikisource-derived DOCX</x:v>
      </x:c>
      <x:c r="H3407" s="6" t="str">
        <x:v>1</x:v>
      </x:c>
      <x:c r="I3407" s="6" t="str"/>
      <x:c r="J3407" s="6" t="str">
        <x:f>IF(B3407="","",IF(AND(ISNUMBER(SEARCH("平",B3407)),OR(ISNUMBER(SEARCH("上",B3407)),ISNUMBER(SEARCH("去",B3407)),ISNUMBER(SEARCH("入",B3407)))),"Ambiguous",IF(ISNUMBER(SEARCH("平",B3407)),"平","仄")))</x:f>
        <x:v>平</x:v>
      </x:c>
      <x:c r="K3407" s="6" t="str">
        <x:f>IF(D3407="","",IF(AND(ISNUMBER(SEARCH("平",D3407)),OR(ISNUMBER(SEARCH("上",D3407)),ISNUMBER(SEARCH("去",D3407)),ISNUMBER(SEARCH("入",D3407)))),"Ambiguous",IF(ISNUMBER(SEARCH("平",D3407)),"平","仄")))</x:f>
        <x:v>平</x:v>
      </x:c>
      <x:c r="L3407" s="7" t="str"/>
    </x:row>
    <x:row r="3408">
      <x:c r="A3408" s="5" t="str">
        <x:v>芻</x:v>
      </x:c>
      <x:c r="B3408" s="6" t="str">
        <x:v>平</x:v>
      </x:c>
      <x:c r="C3408" s="6" t="str">
        <x:f>IF(B3408="","Needs decision","Ready")</x:f>
        <x:v>Ready</x:v>
      </x:c>
      <x:c r="D3408" s="6" t="str">
        <x:v>平</x:v>
      </x:c>
      <x:c r="E3408" s="6" t="str">
        <x:v>tsrhju (A)</x:v>
      </x:c>
      <x:c r="F3408" s="6" t="str">
        <x:v>上平聲七虞</x:v>
      </x:c>
      <x:c r="G3408" s="6" t="str">
        <x:v>Pingshui main list, Wikisource-derived DOCX</x:v>
      </x:c>
      <x:c r="H3408" s="6" t="str">
        <x:v>1</x:v>
      </x:c>
      <x:c r="I3408" s="6" t="str"/>
      <x:c r="J3408" s="6" t="str">
        <x:f>IF(B3408="","",IF(AND(ISNUMBER(SEARCH("平",B3408)),OR(ISNUMBER(SEARCH("上",B3408)),ISNUMBER(SEARCH("去",B3408)),ISNUMBER(SEARCH("入",B3408)))),"Ambiguous",IF(ISNUMBER(SEARCH("平",B3408)),"平","仄")))</x:f>
        <x:v>平</x:v>
      </x:c>
      <x:c r="K3408" s="6" t="str">
        <x:f>IF(D3408="","",IF(AND(ISNUMBER(SEARCH("平",D3408)),OR(ISNUMBER(SEARCH("上",D3408)),ISNUMBER(SEARCH("去",D3408)),ISNUMBER(SEARCH("入",D3408)))),"Ambiguous",IF(ISNUMBER(SEARCH("平",D3408)),"平","仄")))</x:f>
        <x:v>平</x:v>
      </x:c>
      <x:c r="L3408" s="7" t="str"/>
    </x:row>
    <x:row r="3409">
      <x:c r="A3409" s="5" t="str">
        <x:v>芼</x:v>
      </x:c>
      <x:c r="B3409" s="6" t="str">
        <x:v>去</x:v>
      </x:c>
      <x:c r="C3409" s="6" t="str">
        <x:f>IF(B3409="","Needs decision","Ready")</x:f>
        <x:v>Ready</x:v>
      </x:c>
      <x:c r="D3409" s="6" t="str">
        <x:v>去</x:v>
      </x:c>
      <x:c r="E3409" s="6" t="str">
        <x:v>mawH (C)</x:v>
      </x:c>
      <x:c r="F3409" s="6" t="str">
        <x:v>下平聲四豪; 去聲二十號</x:v>
      </x:c>
      <x:c r="G3409" s="6" t="str">
        <x:v>Pingshui main list, Wikisource-derived DOCX</x:v>
      </x:c>
      <x:c r="H3409" s="6" t="str">
        <x:v>1</x:v>
      </x:c>
      <x:c r="I3409" s="6" t="str"/>
      <x:c r="J3409" s="6" t="str">
        <x:f>IF(B3409="","",IF(AND(ISNUMBER(SEARCH("平",B3409)),OR(ISNUMBER(SEARCH("上",B3409)),ISNUMBER(SEARCH("去",B3409)),ISNUMBER(SEARCH("入",B3409)))),"Ambiguous",IF(ISNUMBER(SEARCH("平",B3409)),"平","仄")))</x:f>
        <x:v>仄</x:v>
      </x:c>
      <x:c r="K3409" s="6" t="str">
        <x:f>IF(D3409="","",IF(AND(ISNUMBER(SEARCH("平",D3409)),OR(ISNUMBER(SEARCH("上",D3409)),ISNUMBER(SEARCH("去",D3409)),ISNUMBER(SEARCH("入",D3409)))),"Ambiguous",IF(ISNUMBER(SEARCH("平",D3409)),"平","仄")))</x:f>
        <x:v>仄</x:v>
      </x:c>
      <x:c r="L3409" s="7" t="str"/>
    </x:row>
    <x:row r="3410">
      <x:c r="A3410" s="5" t="str">
        <x:v>芽</x:v>
      </x:c>
      <x:c r="B3410" s="6" t="str">
        <x:v>平</x:v>
      </x:c>
      <x:c r="C3410" s="6" t="str">
        <x:f>IF(B3410="","Needs decision","Ready")</x:f>
        <x:v>Ready</x:v>
      </x:c>
      <x:c r="D3410" s="6" t="str">
        <x:v>平</x:v>
      </x:c>
      <x:c r="E3410" s="6" t="str">
        <x:v>ngae (A)</x:v>
      </x:c>
      <x:c r="F3410" s="6" t="str">
        <x:v>下平聲六麻</x:v>
      </x:c>
      <x:c r="G3410" s="6" t="str">
        <x:v>Pingshui main list, Wikisource-derived DOCX</x:v>
      </x:c>
      <x:c r="H3410" s="6" t="str">
        <x:v>1</x:v>
      </x:c>
      <x:c r="I3410" s="6" t="str"/>
      <x:c r="J3410" s="6" t="str">
        <x:f>IF(B3410="","",IF(AND(ISNUMBER(SEARCH("平",B3410)),OR(ISNUMBER(SEARCH("上",B3410)),ISNUMBER(SEARCH("去",B3410)),ISNUMBER(SEARCH("入",B3410)))),"Ambiguous",IF(ISNUMBER(SEARCH("平",B3410)),"平","仄")))</x:f>
        <x:v>平</x:v>
      </x:c>
      <x:c r="K3410" s="6" t="str">
        <x:f>IF(D3410="","",IF(AND(ISNUMBER(SEARCH("平",D3410)),OR(ISNUMBER(SEARCH("上",D3410)),ISNUMBER(SEARCH("去",D3410)),ISNUMBER(SEARCH("入",D3410)))),"Ambiguous",IF(ISNUMBER(SEARCH("平",D3410)),"平","仄")))</x:f>
        <x:v>平</x:v>
      </x:c>
      <x:c r="L3410" s="7" t="str"/>
    </x:row>
    <x:row r="3411">
      <x:c r="A3411" s="5" t="str">
        <x:v>苑</x:v>
      </x:c>
      <x:c r="B3411" s="6" t="str">
        <x:v>上</x:v>
      </x:c>
      <x:c r="C3411" s="6" t="str">
        <x:f>IF(B3411="","Needs decision","Ready")</x:f>
        <x:v>Ready</x:v>
      </x:c>
      <x:c r="D3411" s="6" t="str">
        <x:v>上</x:v>
      </x:c>
      <x:c r="E3411" s="6" t="str">
        <x:v>'jwonX (B)</x:v>
      </x:c>
      <x:c r="F3411" s="6" t="str">
        <x:v>上聲十三阮</x:v>
      </x:c>
      <x:c r="G3411" s="6" t="str">
        <x:v>Pingshui main list, Wikisource-derived DOCX</x:v>
      </x:c>
      <x:c r="H3411" s="6" t="str">
        <x:v>1</x:v>
      </x:c>
      <x:c r="I3411" s="6" t="str"/>
      <x:c r="J3411" s="6" t="str">
        <x:f>IF(B3411="","",IF(AND(ISNUMBER(SEARCH("平",B3411)),OR(ISNUMBER(SEARCH("上",B3411)),ISNUMBER(SEARCH("去",B3411)),ISNUMBER(SEARCH("入",B3411)))),"Ambiguous",IF(ISNUMBER(SEARCH("平",B3411)),"平","仄")))</x:f>
        <x:v>仄</x:v>
      </x:c>
      <x:c r="K3411" s="6" t="str">
        <x:f>IF(D3411="","",IF(AND(ISNUMBER(SEARCH("平",D3411)),OR(ISNUMBER(SEARCH("上",D3411)),ISNUMBER(SEARCH("去",D3411)),ISNUMBER(SEARCH("入",D3411)))),"Ambiguous",IF(ISNUMBER(SEARCH("平",D3411)),"平","仄")))</x:f>
        <x:v>仄</x:v>
      </x:c>
      <x:c r="L3411" s="7" t="str"/>
    </x:row>
    <x:row r="3412">
      <x:c r="A3412" s="5" t="str">
        <x:v>苒</x:v>
      </x:c>
      <x:c r="B3412" s="6" t="str">
        <x:v>上</x:v>
      </x:c>
      <x:c r="C3412" s="6" t="str">
        <x:f>IF(B3412="","Needs decision","Ready")</x:f>
        <x:v>Ready</x:v>
      </x:c>
      <x:c r="D3412" s="6" t="str">
        <x:v>上</x:v>
      </x:c>
      <x:c r="E3412" s="6" t="str">
        <x:v>nyemX [ɲemʔ] (上)</x:v>
      </x:c>
      <x:c r="F3412" s="6" t="str">
        <x:v>上聲二十八琰</x:v>
      </x:c>
      <x:c r="G3412" s="6" t="str">
        <x:v>Pingshui main list, Wikisource-derived DOCX</x:v>
      </x:c>
      <x:c r="H3412" s="6" t="str">
        <x:v>1</x:v>
      </x:c>
      <x:c r="I3412" s="6" t="str">
        <x:v>Tang 300 gap; frequency 3; provisional from Xun Gong</x:v>
      </x:c>
      <x:c r="J3412" s="6" t="str">
        <x:f>IF(B3412="","",IF(AND(ISNUMBER(SEARCH("平",B3412)),OR(ISNUMBER(SEARCH("上",B3412)),ISNUMBER(SEARCH("去",B3412)),ISNUMBER(SEARCH("入",B3412)))),"Ambiguous",IF(ISNUMBER(SEARCH("平",B3412)),"平","仄")))</x:f>
        <x:v>仄</x:v>
      </x:c>
      <x:c r="K3412" s="6" t="str">
        <x:f>IF(D3412="","",IF(AND(ISNUMBER(SEARCH("平",D3412)),OR(ISNUMBER(SEARCH("上",D3412)),ISNUMBER(SEARCH("去",D3412)),ISNUMBER(SEARCH("入",D3412)))),"Ambiguous",IF(ISNUMBER(SEARCH("平",D3412)),"平","仄")))</x:f>
        <x:v>仄</x:v>
      </x:c>
      <x:c r="L3412" s="7" t="str">
        <x:v>Xun Gong, Tang 300 gap fill</x:v>
      </x:c>
    </x:row>
    <x:row r="3413">
      <x:c r="A3413" s="5" t="str">
        <x:v>苔</x:v>
      </x:c>
      <x:c r="B3413" s="6" t="str">
        <x:v>平</x:v>
      </x:c>
      <x:c r="C3413" s="6" t="str">
        <x:f>IF(B3413="","Needs decision","Ready")</x:f>
        <x:v>Ready</x:v>
      </x:c>
      <x:c r="D3413" s="6" t="str">
        <x:v>平</x:v>
      </x:c>
      <x:c r="E3413" s="6" t="str">
        <x:v>doj [d̙əj] (平)</x:v>
      </x:c>
      <x:c r="F3413" s="6" t="str">
        <x:v>上平聲十灰</x:v>
      </x:c>
      <x:c r="G3413" s="6" t="str">
        <x:v>Pingshui main list, Wikisource-derived DOCX</x:v>
      </x:c>
      <x:c r="H3413" s="6" t="str">
        <x:v>1</x:v>
      </x:c>
      <x:c r="I3413" s="6" t="str">
        <x:v>Tang 300 gap; frequency 7; provisional from Xun Gong</x:v>
      </x:c>
      <x:c r="J3413" s="6" t="str">
        <x:f>IF(B3413="","",IF(AND(ISNUMBER(SEARCH("平",B3413)),OR(ISNUMBER(SEARCH("上",B3413)),ISNUMBER(SEARCH("去",B3413)),ISNUMBER(SEARCH("入",B3413)))),"Ambiguous",IF(ISNUMBER(SEARCH("平",B3413)),"平","仄")))</x:f>
        <x:v>平</x:v>
      </x:c>
      <x:c r="K3413" s="6" t="str">
        <x:f>IF(D3413="","",IF(AND(ISNUMBER(SEARCH("平",D3413)),OR(ISNUMBER(SEARCH("上",D3413)),ISNUMBER(SEARCH("去",D3413)),ISNUMBER(SEARCH("入",D3413)))),"Ambiguous",IF(ISNUMBER(SEARCH("平",D3413)),"平","仄")))</x:f>
        <x:v>平</x:v>
      </x:c>
      <x:c r="L3413" s="7" t="str">
        <x:v>Xun Gong, Tang 300 gap fill</x:v>
      </x:c>
    </x:row>
    <x:row r="3414">
      <x:c r="A3414" s="5" t="str">
        <x:v>苕</x:v>
      </x:c>
      <x:c r="B3414" s="6" t="str">
        <x:v>平</x:v>
      </x:c>
      <x:c r="C3414" s="6" t="str">
        <x:f>IF(B3414="","Needs decision","Ready")</x:f>
        <x:v>Ready</x:v>
      </x:c>
      <x:c r="D3414" s="6" t="str">
        <x:v>平</x:v>
      </x:c>
      <x:c r="E3414" s="6" t="str"/>
      <x:c r="F3414" s="6" t="str">
        <x:v>下平聲二蕭</x:v>
      </x:c>
      <x:c r="G3414" s="6" t="str">
        <x:v>Pingshui main list, Wikisource-derived DOCX</x:v>
      </x:c>
      <x:c r="H3414" s="6" t="str"/>
      <x:c r="I3414" s="6" t="str">
        <x:v>Manual user correction/addition</x:v>
      </x:c>
      <x:c r="J3414" s="6" t="str">
        <x:f>IF(B3414="","",IF(AND(ISNUMBER(SEARCH("平",B3414)),OR(ISNUMBER(SEARCH("上",B3414)),ISNUMBER(SEARCH("去",B3414)),ISNUMBER(SEARCH("入",B3414)))),"Ambiguous",IF(ISNUMBER(SEARCH("平",B3414)),"平","仄")))</x:f>
        <x:v>平</x:v>
      </x:c>
      <x:c r="K3414" s="6" t="str">
        <x:f>IF(D3414="","",IF(AND(ISNUMBER(SEARCH("平",D3414)),OR(ISNUMBER(SEARCH("上",D3414)),ISNUMBER(SEARCH("去",D3414)),ISNUMBER(SEARCH("入",D3414)))),"Ambiguous",IF(ISNUMBER(SEARCH("平",D3414)),"平","仄")))</x:f>
        <x:v>平</x:v>
      </x:c>
      <x:c r="L3414" s="7" t="str">
        <x:v>manual user correction</x:v>
      </x:c>
    </x:row>
    <x:row r="3415">
      <x:c r="A3415" s="5" t="str">
        <x:v>苗</x:v>
      </x:c>
      <x:c r="B3415" s="6" t="str">
        <x:v>平</x:v>
      </x:c>
      <x:c r="C3415" s="6" t="str">
        <x:f>IF(B3415="","Needs decision","Ready")</x:f>
        <x:v>Ready</x:v>
      </x:c>
      <x:c r="D3415" s="6" t="str">
        <x:v>平</x:v>
      </x:c>
      <x:c r="E3415" s="6" t="str">
        <x:v>mjew (A)</x:v>
      </x:c>
      <x:c r="F3415" s="6" t="str">
        <x:v>下平聲二蕭</x:v>
      </x:c>
      <x:c r="G3415" s="6" t="str">
        <x:v>Pingshui main list, Wikisource-derived DOCX</x:v>
      </x:c>
      <x:c r="H3415" s="6" t="str">
        <x:v>1</x:v>
      </x:c>
      <x:c r="I3415" s="6" t="str"/>
      <x:c r="J3415" s="6" t="str">
        <x:f>IF(B3415="","",IF(AND(ISNUMBER(SEARCH("平",B3415)),OR(ISNUMBER(SEARCH("上",B3415)),ISNUMBER(SEARCH("去",B3415)),ISNUMBER(SEARCH("入",B3415)))),"Ambiguous",IF(ISNUMBER(SEARCH("平",B3415)),"平","仄")))</x:f>
        <x:v>平</x:v>
      </x:c>
      <x:c r="K3415" s="6" t="str">
        <x:f>IF(D3415="","",IF(AND(ISNUMBER(SEARCH("平",D3415)),OR(ISNUMBER(SEARCH("上",D3415)),ISNUMBER(SEARCH("去",D3415)),ISNUMBER(SEARCH("入",D3415)))),"Ambiguous",IF(ISNUMBER(SEARCH("平",D3415)),"平","仄")))</x:f>
        <x:v>平</x:v>
      </x:c>
      <x:c r="L3415" s="7" t="str"/>
    </x:row>
    <x:row r="3416">
      <x:c r="A3416" s="5" t="str">
        <x:v>苞</x:v>
      </x:c>
      <x:c r="B3416" s="6" t="str">
        <x:v>平</x:v>
      </x:c>
      <x:c r="C3416" s="6" t="str">
        <x:f>IF(B3416="","Needs decision","Ready")</x:f>
        <x:v>Ready</x:v>
      </x:c>
      <x:c r="D3416" s="6" t="str">
        <x:v>平</x:v>
      </x:c>
      <x:c r="E3416" s="6" t="str">
        <x:v>paew (A)</x:v>
      </x:c>
      <x:c r="F3416" s="6" t="str">
        <x:v>下平聲三肴</x:v>
      </x:c>
      <x:c r="G3416" s="6" t="str">
        <x:v>Pingshui main list, Wikisource-derived DOCX</x:v>
      </x:c>
      <x:c r="H3416" s="6" t="str">
        <x:v>1</x:v>
      </x:c>
      <x:c r="I3416" s="6" t="str"/>
      <x:c r="J3416" s="6" t="str">
        <x:f>IF(B3416="","",IF(AND(ISNUMBER(SEARCH("平",B3416)),OR(ISNUMBER(SEARCH("上",B3416)),ISNUMBER(SEARCH("去",B3416)),ISNUMBER(SEARCH("入",B3416)))),"Ambiguous",IF(ISNUMBER(SEARCH("平",B3416)),"平","仄")))</x:f>
        <x:v>平</x:v>
      </x:c>
      <x:c r="K3416" s="6" t="str">
        <x:f>IF(D3416="","",IF(AND(ISNUMBER(SEARCH("平",D3416)),OR(ISNUMBER(SEARCH("上",D3416)),ISNUMBER(SEARCH("去",D3416)),ISNUMBER(SEARCH("入",D3416)))),"Ambiguous",IF(ISNUMBER(SEARCH("平",D3416)),"平","仄")))</x:f>
        <x:v>平</x:v>
      </x:c>
      <x:c r="L3416" s="7" t="str"/>
    </x:row>
    <x:row r="3417">
      <x:c r="A3417" s="5" t="str">
        <x:v>苟</x:v>
      </x:c>
      <x:c r="B3417" s="6" t="str">
        <x:v>上</x:v>
      </x:c>
      <x:c r="C3417" s="6" t="str">
        <x:f>IF(B3417="","Needs decision","Ready")</x:f>
        <x:v>Ready</x:v>
      </x:c>
      <x:c r="D3417" s="6" t="str">
        <x:v>上</x:v>
      </x:c>
      <x:c r="E3417" s="6" t="str">
        <x:v>kuwX (B)</x:v>
      </x:c>
      <x:c r="F3417" s="6" t="str">
        <x:v>上聲二十五有</x:v>
      </x:c>
      <x:c r="G3417" s="6" t="str">
        <x:v>Pingshui main list, Wikisource-derived DOCX</x:v>
      </x:c>
      <x:c r="H3417" s="6" t="str">
        <x:v>1</x:v>
      </x:c>
      <x:c r="I3417" s="6" t="str"/>
      <x:c r="J3417" s="6" t="str">
        <x:f>IF(B3417="","",IF(AND(ISNUMBER(SEARCH("平",B3417)),OR(ISNUMBER(SEARCH("上",B3417)),ISNUMBER(SEARCH("去",B3417)),ISNUMBER(SEARCH("入",B3417)))),"Ambiguous",IF(ISNUMBER(SEARCH("平",B3417)),"平","仄")))</x:f>
        <x:v>仄</x:v>
      </x:c>
      <x:c r="K3417" s="6" t="str">
        <x:f>IF(D3417="","",IF(AND(ISNUMBER(SEARCH("平",D3417)),OR(ISNUMBER(SEARCH("上",D3417)),ISNUMBER(SEARCH("去",D3417)),ISNUMBER(SEARCH("入",D3417)))),"Ambiguous",IF(ISNUMBER(SEARCH("平",D3417)),"平","仄")))</x:f>
        <x:v>仄</x:v>
      </x:c>
      <x:c r="L3417" s="7" t="str"/>
    </x:row>
    <x:row r="3418">
      <x:c r="A3418" s="5" t="str">
        <x:v>苡</x:v>
      </x:c>
      <x:c r="B3418" s="6" t="str">
        <x:v>上</x:v>
      </x:c>
      <x:c r="C3418" s="6" t="str">
        <x:f>IF(B3418="","Needs decision","Ready")</x:f>
        <x:v>Ready</x:v>
      </x:c>
      <x:c r="D3418" s="6" t="str">
        <x:v>上</x:v>
      </x:c>
      <x:c r="E3418" s="6" t="str">
        <x:v>yiX (B)</x:v>
      </x:c>
      <x:c r="F3418" s="6" t="str">
        <x:v>上聲四紙</x:v>
      </x:c>
      <x:c r="G3418" s="6" t="str">
        <x:v>Pingshui main list, Wikisource-derived DOCX</x:v>
      </x:c>
      <x:c r="H3418" s="6" t="str">
        <x:v>1</x:v>
      </x:c>
      <x:c r="I3418" s="6" t="str"/>
      <x:c r="J3418" s="6" t="str">
        <x:f>IF(B3418="","",IF(AND(ISNUMBER(SEARCH("平",B3418)),OR(ISNUMBER(SEARCH("上",B3418)),ISNUMBER(SEARCH("去",B3418)),ISNUMBER(SEARCH("入",B3418)))),"Ambiguous",IF(ISNUMBER(SEARCH("平",B3418)),"平","仄")))</x:f>
        <x:v>仄</x:v>
      </x:c>
      <x:c r="K3418" s="6" t="str">
        <x:f>IF(D3418="","",IF(AND(ISNUMBER(SEARCH("平",D3418)),OR(ISNUMBER(SEARCH("上",D3418)),ISNUMBER(SEARCH("去",D3418)),ISNUMBER(SEARCH("入",D3418)))),"Ambiguous",IF(ISNUMBER(SEARCH("平",D3418)),"平","仄")))</x:f>
        <x:v>仄</x:v>
      </x:c>
      <x:c r="L3418" s="7" t="str"/>
    </x:row>
    <x:row r="3419">
      <x:c r="A3419" s="5" t="str">
        <x:v>苣</x:v>
      </x:c>
      <x:c r="B3419" s="6" t="str">
        <x:v>上</x:v>
      </x:c>
      <x:c r="C3419" s="6" t="str">
        <x:f>IF(B3419="","Needs decision","Ready")</x:f>
        <x:v>Ready</x:v>
      </x:c>
      <x:c r="D3419" s="6" t="str">
        <x:v>上</x:v>
      </x:c>
      <x:c r="E3419" s="6" t="str"/>
      <x:c r="F3419" s="6" t="str">
        <x:v>上聲六語</x:v>
      </x:c>
      <x:c r="G3419" s="6" t="str">
        <x:v>Pingshui main list, Wikisource-derived DOCX</x:v>
      </x:c>
      <x:c r="H3419" s="6" t="str">
        <x:v>0</x:v>
      </x:c>
      <x:c r="I3419" s="6" t="str">
        <x:v>User correction 2026-09-08; added manually</x:v>
      </x:c>
      <x:c r="J3419" s="6" t="str">
        <x:f>IF(B3419="","",IF(AND(ISNUMBER(SEARCH("平",B3419)),OR(ISNUMBER(SEARCH("上",B3419)),ISNUMBER(SEARCH("去",B3419)),ISNUMBER(SEARCH("入",B3419)))),"Ambiguous",IF(ISNUMBER(SEARCH("平",B3419)),"平","仄")))</x:f>
        <x:v>仄</x:v>
      </x:c>
      <x:c r="K3419" s="6" t="str">
        <x:f>IF(D3419="","",IF(AND(ISNUMBER(SEARCH("平",D3419)),OR(ISNUMBER(SEARCH("上",D3419)),ISNUMBER(SEARCH("去",D3419)),ISNUMBER(SEARCH("入",D3419)))),"Ambiguous",IF(ISNUMBER(SEARCH("平",D3419)),"平","仄")))</x:f>
        <x:v>仄</x:v>
      </x:c>
      <x:c r="L3419" s="7" t="str">
        <x:v>User correction</x:v>
      </x:c>
    </x:row>
    <x:row r="3420">
      <x:c r="A3420" s="5" t="str">
        <x:v>若</x:v>
      </x:c>
      <x:c r="B3420" s="6" t="str">
        <x:v>入</x:v>
      </x:c>
      <x:c r="C3420" s="6" t="str">
        <x:f>IF(B3420="","Needs decision","Ready")</x:f>
        <x:v>Ready</x:v>
      </x:c>
      <x:c r="D3420" s="6" t="str">
        <x:v>入</x:v>
      </x:c>
      <x:c r="E3420" s="6" t="str">
        <x:v>nyak (D)</x:v>
      </x:c>
      <x:c r="F3420" s="6" t="str">
        <x:v>上聲二十一馬; 入聲十藥</x:v>
      </x:c>
      <x:c r="G3420" s="6" t="str">
        <x:v>Pingshui main list, Wikisource-derived DOCX</x:v>
      </x:c>
      <x:c r="H3420" s="6" t="str">
        <x:v>1</x:v>
      </x:c>
      <x:c r="I3420" s="6" t="str"/>
      <x:c r="J3420" s="6" t="str">
        <x:f>IF(B3420="","",IF(AND(ISNUMBER(SEARCH("平",B3420)),OR(ISNUMBER(SEARCH("上",B3420)),ISNUMBER(SEARCH("去",B3420)),ISNUMBER(SEARCH("入",B3420)))),"Ambiguous",IF(ISNUMBER(SEARCH("平",B3420)),"平","仄")))</x:f>
        <x:v>仄</x:v>
      </x:c>
      <x:c r="K3420" s="6" t="str">
        <x:f>IF(D3420="","",IF(AND(ISNUMBER(SEARCH("平",D3420)),OR(ISNUMBER(SEARCH("上",D3420)),ISNUMBER(SEARCH("去",D3420)),ISNUMBER(SEARCH("入",D3420)))),"Ambiguous",IF(ISNUMBER(SEARCH("平",D3420)),"平","仄")))</x:f>
        <x:v>仄</x:v>
      </x:c>
      <x:c r="L3420" s="7" t="str"/>
    </x:row>
    <x:row r="3421">
      <x:c r="A3421" s="5" t="str">
        <x:v>苦</x:v>
      </x:c>
      <x:c r="B3421" s="6" t="str">
        <x:v>上</x:v>
      </x:c>
      <x:c r="C3421" s="6" t="str">
        <x:f>IF(B3421="","Needs decision","Ready")</x:f>
        <x:v>Ready</x:v>
      </x:c>
      <x:c r="D3421" s="6" t="str">
        <x:v>上</x:v>
      </x:c>
      <x:c r="E3421" s="6" t="str">
        <x:v>khuX (B)</x:v>
      </x:c>
      <x:c r="F3421" s="6" t="str">
        <x:v>上聲七麌; 去聲七遇</x:v>
      </x:c>
      <x:c r="G3421" s="6" t="str">
        <x:v>Pingshui main list, Wikisource-derived DOCX</x:v>
      </x:c>
      <x:c r="H3421" s="6" t="str">
        <x:v>1</x:v>
      </x:c>
      <x:c r="I3421" s="6" t="str"/>
      <x:c r="J3421" s="6" t="str">
        <x:f>IF(B3421="","",IF(AND(ISNUMBER(SEARCH("平",B3421)),OR(ISNUMBER(SEARCH("上",B3421)),ISNUMBER(SEARCH("去",B3421)),ISNUMBER(SEARCH("入",B3421)))),"Ambiguous",IF(ISNUMBER(SEARCH("平",B3421)),"平","仄")))</x:f>
        <x:v>仄</x:v>
      </x:c>
      <x:c r="K3421" s="6" t="str">
        <x:f>IF(D3421="","",IF(AND(ISNUMBER(SEARCH("平",D3421)),OR(ISNUMBER(SEARCH("上",D3421)),ISNUMBER(SEARCH("去",D3421)),ISNUMBER(SEARCH("入",D3421)))),"Ambiguous",IF(ISNUMBER(SEARCH("平",D3421)),"平","仄")))</x:f>
        <x:v>仄</x:v>
      </x:c>
      <x:c r="L3421" s="7" t="str"/>
    </x:row>
    <x:row r="3422">
      <x:c r="A3422" s="5" t="str">
        <x:v>苫</x:v>
      </x:c>
      <x:c r="B3422" s="6" t="str"/>
      <x:c r="C3422" s="6" t="str">
        <x:f>IF(B3422="","Needs decision","Ready")</x:f>
        <x:v>Needs decision</x:v>
      </x:c>
      <x:c r="D3422" s="6" t="str">
        <x:v>平/去</x:v>
      </x:c>
      <x:c r="E3422" s="6" t="str">
        <x:v>syem (A); syemH (C)</x:v>
      </x:c>
      <x:c r="F3422" s="6" t="str">
        <x:v>下平聲十四鹽; 去聲二十九豔</x:v>
      </x:c>
      <x:c r="G3422" s="6" t="str">
        <x:v>Pingshui main list, Wikisource-derived DOCX</x:v>
      </x:c>
      <x:c r="H3422" s="6" t="str">
        <x:v>2</x:v>
      </x:c>
      <x:c r="I3422" s="6" t="str"/>
      <x:c r="J3422" s="6" t="str">
        <x:f>IF(B3422="","",IF(AND(ISNUMBER(SEARCH("平",B3422)),OR(ISNUMBER(SEARCH("上",B3422)),ISNUMBER(SEARCH("去",B3422)),ISNUMBER(SEARCH("入",B3422)))),"Ambiguous",IF(ISNUMBER(SEARCH("平",B3422)),"平","仄")))</x:f>
      </x:c>
      <x:c r="K3422" s="6" t="str">
        <x:f>IF(D3422="","",IF(AND(ISNUMBER(SEARCH("平",D3422)),OR(ISNUMBER(SEARCH("上",D3422)),ISNUMBER(SEARCH("去",D3422)),ISNUMBER(SEARCH("入",D3422)))),"Ambiguous",IF(ISNUMBER(SEARCH("平",D3422)),"平","仄")))</x:f>
        <x:v>Ambiguous</x:v>
      </x:c>
      <x:c r="L3422" s="7" t="str"/>
    </x:row>
    <x:row r="3423">
      <x:c r="A3423" s="5" t="str">
        <x:v>英</x:v>
      </x:c>
      <x:c r="B3423" s="6" t="str">
        <x:v>平</x:v>
      </x:c>
      <x:c r="C3423" s="6" t="str">
        <x:f>IF(B3423="","Needs decision","Ready")</x:f>
        <x:v>Ready</x:v>
      </x:c>
      <x:c r="D3423" s="6" t="str">
        <x:v>平</x:v>
      </x:c>
      <x:c r="E3423" s="6" t="str">
        <x:v>'jaeng (A)</x:v>
      </x:c>
      <x:c r="F3423" s="6" t="str">
        <x:v>下平聲八庚</x:v>
      </x:c>
      <x:c r="G3423" s="6" t="str">
        <x:v>Pingshui main list, Wikisource-derived DOCX</x:v>
      </x:c>
      <x:c r="H3423" s="6" t="str">
        <x:v>1</x:v>
      </x:c>
      <x:c r="I3423" s="6" t="str"/>
      <x:c r="J3423" s="6" t="str">
        <x:f>IF(B3423="","",IF(AND(ISNUMBER(SEARCH("平",B3423)),OR(ISNUMBER(SEARCH("上",B3423)),ISNUMBER(SEARCH("去",B3423)),ISNUMBER(SEARCH("入",B3423)))),"Ambiguous",IF(ISNUMBER(SEARCH("平",B3423)),"平","仄")))</x:f>
        <x:v>平</x:v>
      </x:c>
      <x:c r="K3423" s="6" t="str">
        <x:f>IF(D3423="","",IF(AND(ISNUMBER(SEARCH("平",D3423)),OR(ISNUMBER(SEARCH("上",D3423)),ISNUMBER(SEARCH("去",D3423)),ISNUMBER(SEARCH("入",D3423)))),"Ambiguous",IF(ISNUMBER(SEARCH("平",D3423)),"平","仄")))</x:f>
        <x:v>平</x:v>
      </x:c>
      <x:c r="L3423" s="7" t="str"/>
    </x:row>
    <x:row r="3424">
      <x:c r="A3424" s="5" t="str">
        <x:v>苹</x:v>
      </x:c>
      <x:c r="B3424" s="6" t="str">
        <x:v>平</x:v>
      </x:c>
      <x:c r="C3424" s="6" t="str">
        <x:f>IF(B3424="","Needs decision","Ready")</x:f>
        <x:v>Ready</x:v>
      </x:c>
      <x:c r="D3424" s="6" t="str">
        <x:v>平</x:v>
      </x:c>
      <x:c r="E3424" s="6" t="str">
        <x:v>beng (A)</x:v>
      </x:c>
      <x:c r="F3424" s="6" t="str">
        <x:v>下平聲八庚</x:v>
      </x:c>
      <x:c r="G3424" s="6" t="str">
        <x:v>Pingshui main list, Wikisource-derived DOCX</x:v>
      </x:c>
      <x:c r="H3424" s="6" t="str">
        <x:v>1</x:v>
      </x:c>
      <x:c r="I3424" s="6" t="str"/>
      <x:c r="J3424" s="6" t="str">
        <x:f>IF(B3424="","",IF(AND(ISNUMBER(SEARCH("平",B3424)),OR(ISNUMBER(SEARCH("上",B3424)),ISNUMBER(SEARCH("去",B3424)),ISNUMBER(SEARCH("入",B3424)))),"Ambiguous",IF(ISNUMBER(SEARCH("平",B3424)),"平","仄")))</x:f>
        <x:v>平</x:v>
      </x:c>
      <x:c r="K3424" s="6" t="str">
        <x:f>IF(D3424="","",IF(AND(ISNUMBER(SEARCH("平",D3424)),OR(ISNUMBER(SEARCH("上",D3424)),ISNUMBER(SEARCH("去",D3424)),ISNUMBER(SEARCH("入",D3424)))),"Ambiguous",IF(ISNUMBER(SEARCH("平",D3424)),"平","仄")))</x:f>
        <x:v>平</x:v>
      </x:c>
      <x:c r="L3424" s="7" t="str"/>
    </x:row>
    <x:row r="3425">
      <x:c r="A3425" s="5" t="str">
        <x:v>苾</x:v>
      </x:c>
      <x:c r="B3425" s="6" t="str">
        <x:v>入</x:v>
      </x:c>
      <x:c r="C3425" s="6" t="str">
        <x:f>IF(B3425="","Needs decision","Ready")</x:f>
        <x:v>Ready</x:v>
      </x:c>
      <x:c r="D3425" s="6" t="str">
        <x:v>入</x:v>
      </x:c>
      <x:c r="E3425" s="6" t="str">
        <x:v>bet (D)</x:v>
      </x:c>
      <x:c r="F3425" s="6" t="str">
        <x:v>入聲四質</x:v>
      </x:c>
      <x:c r="G3425" s="6" t="str">
        <x:v>Pingshui main list, Wikisource-derived DOCX</x:v>
      </x:c>
      <x:c r="H3425" s="6" t="str">
        <x:v>1</x:v>
      </x:c>
      <x:c r="I3425" s="6" t="str"/>
      <x:c r="J3425" s="6" t="str">
        <x:f>IF(B3425="","",IF(AND(ISNUMBER(SEARCH("平",B3425)),OR(ISNUMBER(SEARCH("上",B3425)),ISNUMBER(SEARCH("去",B3425)),ISNUMBER(SEARCH("入",B3425)))),"Ambiguous",IF(ISNUMBER(SEARCH("平",B3425)),"平","仄")))</x:f>
        <x:v>仄</x:v>
      </x:c>
      <x:c r="K3425" s="6" t="str">
        <x:f>IF(D3425="","",IF(AND(ISNUMBER(SEARCH("平",D3425)),OR(ISNUMBER(SEARCH("上",D3425)),ISNUMBER(SEARCH("去",D3425)),ISNUMBER(SEARCH("入",D3425)))),"Ambiguous",IF(ISNUMBER(SEARCH("平",D3425)),"平","仄")))</x:f>
        <x:v>仄</x:v>
      </x:c>
      <x:c r="L3425" s="7" t="str"/>
    </x:row>
    <x:row r="3426">
      <x:c r="A3426" s="5" t="str">
        <x:v>茀</x:v>
      </x:c>
      <x:c r="B3426" s="6" t="str">
        <x:v>入</x:v>
      </x:c>
      <x:c r="C3426" s="6" t="str">
        <x:f>IF(B3426="","Needs decision","Ready")</x:f>
        <x:v>Ready</x:v>
      </x:c>
      <x:c r="D3426" s="6" t="str">
        <x:v>入</x:v>
      </x:c>
      <x:c r="E3426" s="6" t="str">
        <x:v>phjut (D); pjut (D)</x:v>
      </x:c>
      <x:c r="F3426" s="6" t="str">
        <x:v>入聲五物</x:v>
      </x:c>
      <x:c r="G3426" s="6" t="str">
        <x:v>Pingshui main list, Wikisource-derived DOCX</x:v>
      </x:c>
      <x:c r="H3426" s="6" t="str">
        <x:v>2</x:v>
      </x:c>
      <x:c r="I3426" s="6" t="str"/>
      <x:c r="J3426" s="6" t="str">
        <x:f>IF(B3426="","",IF(AND(ISNUMBER(SEARCH("平",B3426)),OR(ISNUMBER(SEARCH("上",B3426)),ISNUMBER(SEARCH("去",B3426)),ISNUMBER(SEARCH("入",B3426)))),"Ambiguous",IF(ISNUMBER(SEARCH("平",B3426)),"平","仄")))</x:f>
        <x:v>仄</x:v>
      </x:c>
      <x:c r="K3426" s="6" t="str">
        <x:f>IF(D3426="","",IF(AND(ISNUMBER(SEARCH("平",D3426)),OR(ISNUMBER(SEARCH("上",D3426)),ISNUMBER(SEARCH("去",D3426)),ISNUMBER(SEARCH("入",D3426)))),"Ambiguous",IF(ISNUMBER(SEARCH("平",D3426)),"平","仄")))</x:f>
        <x:v>仄</x:v>
      </x:c>
      <x:c r="L3426" s="7" t="str"/>
    </x:row>
    <x:row r="3427">
      <x:c r="A3427" s="5" t="str">
        <x:v>茁</x:v>
      </x:c>
      <x:c r="B3427" s="6" t="str">
        <x:v>入</x:v>
      </x:c>
      <x:c r="C3427" s="6" t="str">
        <x:f>IF(B3427="","Needs decision","Ready")</x:f>
        <x:v>Ready</x:v>
      </x:c>
      <x:c r="D3427" s="6" t="str">
        <x:v>入</x:v>
      </x:c>
      <x:c r="E3427" s="6" t="str">
        <x:v>tsrjwet (D); tsrweat (D)</x:v>
      </x:c>
      <x:c r="F3427" s="6" t="str">
        <x:v>入聲四質; 入聲八黠; 入聲九屑</x:v>
      </x:c>
      <x:c r="G3427" s="6" t="str">
        <x:v>Pingshui main list, Wikisource-derived DOCX</x:v>
      </x:c>
      <x:c r="H3427" s="6" t="str">
        <x:v>2</x:v>
      </x:c>
      <x:c r="I3427" s="6" t="str"/>
      <x:c r="J3427" s="6" t="str">
        <x:f>IF(B3427="","",IF(AND(ISNUMBER(SEARCH("平",B3427)),OR(ISNUMBER(SEARCH("上",B3427)),ISNUMBER(SEARCH("去",B3427)),ISNUMBER(SEARCH("入",B3427)))),"Ambiguous",IF(ISNUMBER(SEARCH("平",B3427)),"平","仄")))</x:f>
        <x:v>仄</x:v>
      </x:c>
      <x:c r="K3427" s="6" t="str">
        <x:f>IF(D3427="","",IF(AND(ISNUMBER(SEARCH("平",D3427)),OR(ISNUMBER(SEARCH("上",D3427)),ISNUMBER(SEARCH("去",D3427)),ISNUMBER(SEARCH("入",D3427)))),"Ambiguous",IF(ISNUMBER(SEARCH("平",D3427)),"平","仄")))</x:f>
        <x:v>仄</x:v>
      </x:c>
      <x:c r="L3427" s="7" t="str"/>
    </x:row>
    <x:row r="3428">
      <x:c r="A3428" s="5" t="str">
        <x:v>茂</x:v>
      </x:c>
      <x:c r="B3428" s="6" t="str">
        <x:v>去</x:v>
      </x:c>
      <x:c r="C3428" s="6" t="str">
        <x:f>IF(B3428="","Needs decision","Ready")</x:f>
        <x:v>Ready</x:v>
      </x:c>
      <x:c r="D3428" s="6" t="str">
        <x:v>去</x:v>
      </x:c>
      <x:c r="E3428" s="6" t="str"/>
      <x:c r="F3428" s="6" t="str">
        <x:v>去聲二十六宥</x:v>
      </x:c>
      <x:c r="G3428" s="6" t="str">
        <x:v>Pingshui main list, Wikisource-derived DOCX</x:v>
      </x:c>
      <x:c r="H3428" s="6" t="str"/>
      <x:c r="I3428" s="6" t="str">
        <x:v>Manual user correction/addition</x:v>
      </x:c>
      <x:c r="J3428" s="6" t="str">
        <x:f>IF(B3428="","",IF(AND(ISNUMBER(SEARCH("平",B3428)),OR(ISNUMBER(SEARCH("上",B3428)),ISNUMBER(SEARCH("去",B3428)),ISNUMBER(SEARCH("入",B3428)))),"Ambiguous",IF(ISNUMBER(SEARCH("平",B3428)),"平","仄")))</x:f>
        <x:v>仄</x:v>
      </x:c>
      <x:c r="K3428" s="6" t="str">
        <x:f>IF(D3428="","",IF(AND(ISNUMBER(SEARCH("平",D3428)),OR(ISNUMBER(SEARCH("上",D3428)),ISNUMBER(SEARCH("去",D3428)),ISNUMBER(SEARCH("入",D3428)))),"Ambiguous",IF(ISNUMBER(SEARCH("平",D3428)),"平","仄")))</x:f>
        <x:v>仄</x:v>
      </x:c>
      <x:c r="L3428" s="7" t="str">
        <x:v>manual user correction</x:v>
      </x:c>
    </x:row>
    <x:row r="3429">
      <x:c r="A3429" s="5" t="str">
        <x:v>范</x:v>
      </x:c>
      <x:c r="B3429" s="6" t="str">
        <x:v>上</x:v>
      </x:c>
      <x:c r="C3429" s="6" t="str">
        <x:f>IF(B3429="","Needs decision","Ready")</x:f>
        <x:v>Ready</x:v>
      </x:c>
      <x:c r="D3429" s="6" t="str">
        <x:v>上</x:v>
      </x:c>
      <x:c r="E3429" s="6" t="str">
        <x:v>bjomX (B)</x:v>
      </x:c>
      <x:c r="F3429" s="6" t="str">
        <x:v>上聲二十九豏</x:v>
      </x:c>
      <x:c r="G3429" s="6" t="str">
        <x:v>Pingshui main list, Wikisource-derived DOCX</x:v>
      </x:c>
      <x:c r="H3429" s="6" t="str">
        <x:v>1</x:v>
      </x:c>
      <x:c r="I3429" s="6" t="str"/>
      <x:c r="J3429" s="6" t="str">
        <x:f>IF(B3429="","",IF(AND(ISNUMBER(SEARCH("平",B3429)),OR(ISNUMBER(SEARCH("上",B3429)),ISNUMBER(SEARCH("去",B3429)),ISNUMBER(SEARCH("入",B3429)))),"Ambiguous",IF(ISNUMBER(SEARCH("平",B3429)),"平","仄")))</x:f>
        <x:v>仄</x:v>
      </x:c>
      <x:c r="K3429" s="6" t="str">
        <x:f>IF(D3429="","",IF(AND(ISNUMBER(SEARCH("平",D3429)),OR(ISNUMBER(SEARCH("上",D3429)),ISNUMBER(SEARCH("去",D3429)),ISNUMBER(SEARCH("入",D3429)))),"Ambiguous",IF(ISNUMBER(SEARCH("平",D3429)),"平","仄")))</x:f>
        <x:v>仄</x:v>
      </x:c>
      <x:c r="L3429" s="7" t="str"/>
    </x:row>
    <x:row r="3430">
      <x:c r="A3430" s="5" t="str">
        <x:v>茄</x:v>
      </x:c>
      <x:c r="B3430" s="6" t="str">
        <x:v>平</x:v>
      </x:c>
      <x:c r="C3430" s="6" t="str">
        <x:f>IF(B3430="","Needs decision","Ready")</x:f>
        <x:v>Ready</x:v>
      </x:c>
      <x:c r="D3430" s="6" t="str">
        <x:v>平</x:v>
      </x:c>
      <x:c r="E3430" s="6" t="str"/>
      <x:c r="F3430" s="6" t="str">
        <x:v>下平聲五歌; 下平聲六麻</x:v>
      </x:c>
      <x:c r="G3430" s="6" t="str">
        <x:v>Pingshui main list, Wikisource-derived DOCX</x:v>
      </x:c>
      <x:c r="H3430" s="6" t="str">
        <x:v>0</x:v>
      </x:c>
      <x:c r="I3430" s="6" t="str">
        <x:v>User correction 2026-09-08; added manually</x:v>
      </x:c>
      <x:c r="J3430" s="6" t="str">
        <x:f>IF(B3430="","",IF(AND(ISNUMBER(SEARCH("平",B3430)),OR(ISNUMBER(SEARCH("上",B3430)),ISNUMBER(SEARCH("去",B3430)),ISNUMBER(SEARCH("入",B3430)))),"Ambiguous",IF(ISNUMBER(SEARCH("平",B3430)),"平","仄")))</x:f>
        <x:v>平</x:v>
      </x:c>
      <x:c r="K3430" s="6" t="str">
        <x:f>IF(D3430="","",IF(AND(ISNUMBER(SEARCH("平",D3430)),OR(ISNUMBER(SEARCH("上",D3430)),ISNUMBER(SEARCH("去",D3430)),ISNUMBER(SEARCH("入",D3430)))),"Ambiguous",IF(ISNUMBER(SEARCH("平",D3430)),"平","仄")))</x:f>
        <x:v>平</x:v>
      </x:c>
      <x:c r="L3430" s="7" t="str">
        <x:v>User correction</x:v>
      </x:c>
    </x:row>
    <x:row r="3431">
      <x:c r="A3431" s="5" t="str">
        <x:v>茅</x:v>
      </x:c>
      <x:c r="B3431" s="6" t="str">
        <x:v>平</x:v>
      </x:c>
      <x:c r="C3431" s="6" t="str">
        <x:f>IF(B3431="","Needs decision","Ready")</x:f>
        <x:v>Ready</x:v>
      </x:c>
      <x:c r="D3431" s="6" t="str">
        <x:v>平</x:v>
      </x:c>
      <x:c r="E3431" s="6" t="str">
        <x:v>maew (A)</x:v>
      </x:c>
      <x:c r="F3431" s="6" t="str">
        <x:v>下平聲三肴</x:v>
      </x:c>
      <x:c r="G3431" s="6" t="str">
        <x:v>Pingshui main list, Wikisource-derived DOCX</x:v>
      </x:c>
      <x:c r="H3431" s="6" t="str">
        <x:v>1</x:v>
      </x:c>
      <x:c r="I3431" s="6" t="str"/>
      <x:c r="J3431" s="6" t="str">
        <x:f>IF(B3431="","",IF(AND(ISNUMBER(SEARCH("平",B3431)),OR(ISNUMBER(SEARCH("上",B3431)),ISNUMBER(SEARCH("去",B3431)),ISNUMBER(SEARCH("入",B3431)))),"Ambiguous",IF(ISNUMBER(SEARCH("平",B3431)),"平","仄")))</x:f>
        <x:v>平</x:v>
      </x:c>
      <x:c r="K3431" s="6" t="str">
        <x:f>IF(D3431="","",IF(AND(ISNUMBER(SEARCH("平",D3431)),OR(ISNUMBER(SEARCH("上",D3431)),ISNUMBER(SEARCH("去",D3431)),ISNUMBER(SEARCH("入",D3431)))),"Ambiguous",IF(ISNUMBER(SEARCH("平",D3431)),"平","仄")))</x:f>
        <x:v>平</x:v>
      </x:c>
      <x:c r="L3431" s="7" t="str"/>
    </x:row>
    <x:row r="3432">
      <x:c r="A3432" s="5" t="str">
        <x:v>茆</x:v>
      </x:c>
      <x:c r="B3432" s="6" t="str">
        <x:v>上</x:v>
      </x:c>
      <x:c r="C3432" s="6" t="str">
        <x:f>IF(B3432="","Needs decision","Ready")</x:f>
        <x:v>Ready</x:v>
      </x:c>
      <x:c r="D3432" s="6" t="str">
        <x:v>上</x:v>
      </x:c>
      <x:c r="E3432" s="6" t="str">
        <x:v>maewX (B)</x:v>
      </x:c>
      <x:c r="F3432" s="6" t="str">
        <x:v>上聲十八巧; 上聲二十五有</x:v>
      </x:c>
      <x:c r="G3432" s="6" t="str">
        <x:v>Pingshui main list, Wikisource-derived DOCX</x:v>
      </x:c>
      <x:c r="H3432" s="6" t="str">
        <x:v>1</x:v>
      </x:c>
      <x:c r="I3432" s="6" t="str"/>
      <x:c r="J3432" s="6" t="str">
        <x:f>IF(B3432="","",IF(AND(ISNUMBER(SEARCH("平",B3432)),OR(ISNUMBER(SEARCH("上",B3432)),ISNUMBER(SEARCH("去",B3432)),ISNUMBER(SEARCH("入",B3432)))),"Ambiguous",IF(ISNUMBER(SEARCH("平",B3432)),"平","仄")))</x:f>
        <x:v>仄</x:v>
      </x:c>
      <x:c r="K3432" s="6" t="str">
        <x:f>IF(D3432="","",IF(AND(ISNUMBER(SEARCH("平",D3432)),OR(ISNUMBER(SEARCH("上",D3432)),ISNUMBER(SEARCH("去",D3432)),ISNUMBER(SEARCH("入",D3432)))),"Ambiguous",IF(ISNUMBER(SEARCH("平",D3432)),"平","仄")))</x:f>
        <x:v>仄</x:v>
      </x:c>
      <x:c r="L3432" s="7" t="str"/>
    </x:row>
    <x:row r="3433">
      <x:c r="A3433" s="5" t="str">
        <x:v>茇</x:v>
      </x:c>
      <x:c r="B3433" s="6" t="str">
        <x:v>入</x:v>
      </x:c>
      <x:c r="C3433" s="6" t="str">
        <x:f>IF(B3433="","Needs decision","Ready")</x:f>
        <x:v>Ready</x:v>
      </x:c>
      <x:c r="D3433" s="6" t="str">
        <x:v>入</x:v>
      </x:c>
      <x:c r="E3433" s="6" t="str">
        <x:v>bat (D); pat (D)</x:v>
      </x:c>
      <x:c r="F3433" s="6" t="str">
        <x:v>入聲七曷</x:v>
      </x:c>
      <x:c r="G3433" s="6" t="str">
        <x:v>Pingshui main list, Wikisource-derived DOCX</x:v>
      </x:c>
      <x:c r="H3433" s="6" t="str">
        <x:v>2</x:v>
      </x:c>
      <x:c r="I3433" s="6" t="str"/>
      <x:c r="J3433" s="6" t="str">
        <x:f>IF(B3433="","",IF(AND(ISNUMBER(SEARCH("平",B3433)),OR(ISNUMBER(SEARCH("上",B3433)),ISNUMBER(SEARCH("去",B3433)),ISNUMBER(SEARCH("入",B3433)))),"Ambiguous",IF(ISNUMBER(SEARCH("平",B3433)),"平","仄")))</x:f>
        <x:v>仄</x:v>
      </x:c>
      <x:c r="K3433" s="6" t="str">
        <x:f>IF(D3433="","",IF(AND(ISNUMBER(SEARCH("平",D3433)),OR(ISNUMBER(SEARCH("上",D3433)),ISNUMBER(SEARCH("去",D3433)),ISNUMBER(SEARCH("入",D3433)))),"Ambiguous",IF(ISNUMBER(SEARCH("平",D3433)),"平","仄")))</x:f>
        <x:v>仄</x:v>
      </x:c>
      <x:c r="L3433" s="7" t="str"/>
    </x:row>
    <x:row r="3434">
      <x:c r="A3434" s="5" t="str">
        <x:v>茖</x:v>
      </x:c>
      <x:c r="B3434" s="6" t="str">
        <x:v>入</x:v>
      </x:c>
      <x:c r="C3434" s="6" t="str">
        <x:f>IF(B3434="","Needs decision","Ready")</x:f>
        <x:v>Ready</x:v>
      </x:c>
      <x:c r="D3434" s="6" t="str">
        <x:v>入</x:v>
      </x:c>
      <x:c r="E3434" s="6" t="str">
        <x:v>kaek [qaˤk] (入)</x:v>
      </x:c>
      <x:c r="F3434" s="6" t="str"/>
      <x:c r="G3434" s="6" t="str"/>
      <x:c r="H3434" s="6" t="str">
        <x:v>1</x:v>
      </x:c>
      <x:c r="I3434" s="6" t="str">
        <x:v>Tang 300 gap; frequency 1; provisional from Xun Gong</x:v>
      </x:c>
      <x:c r="J3434" s="6" t="str">
        <x:f>IF(B3434="","",IF(AND(ISNUMBER(SEARCH("平",B3434)),OR(ISNUMBER(SEARCH("上",B3434)),ISNUMBER(SEARCH("去",B3434)),ISNUMBER(SEARCH("入",B3434)))),"Ambiguous",IF(ISNUMBER(SEARCH("平",B3434)),"平","仄")))</x:f>
        <x:v>仄</x:v>
      </x:c>
      <x:c r="K3434" s="6" t="str">
        <x:f>IF(D3434="","",IF(AND(ISNUMBER(SEARCH("平",D3434)),OR(ISNUMBER(SEARCH("上",D3434)),ISNUMBER(SEARCH("去",D3434)),ISNUMBER(SEARCH("入",D3434)))),"Ambiguous",IF(ISNUMBER(SEARCH("平",D3434)),"平","仄")))</x:f>
        <x:v>仄</x:v>
      </x:c>
      <x:c r="L3434" s="7" t="str">
        <x:v>Xun Gong, Tang 300 gap fill</x:v>
      </x:c>
    </x:row>
    <x:row r="3435">
      <x:c r="A3435" s="5" t="str">
        <x:v>茙</x:v>
      </x:c>
      <x:c r="B3435" s="6" t="str">
        <x:v>平</x:v>
      </x:c>
      <x:c r="C3435" s="6" t="str">
        <x:f>IF(B3435="","Needs decision","Ready")</x:f>
        <x:v>Ready</x:v>
      </x:c>
      <x:c r="D3435" s="6" t="str">
        <x:v>平</x:v>
      </x:c>
      <x:c r="E3435" s="6" t="str">
        <x:v>nyuwng (A)</x:v>
      </x:c>
      <x:c r="F3435" s="6" t="str">
        <x:v>上平聲一東</x:v>
      </x:c>
      <x:c r="G3435" s="6" t="str">
        <x:v>Pingshui main list, Wikisource-derived DOCX</x:v>
      </x:c>
      <x:c r="H3435" s="6" t="str">
        <x:v>1</x:v>
      </x:c>
      <x:c r="I3435" s="6" t="str"/>
      <x:c r="J3435" s="6" t="str">
        <x:f>IF(B3435="","",IF(AND(ISNUMBER(SEARCH("平",B3435)),OR(ISNUMBER(SEARCH("上",B3435)),ISNUMBER(SEARCH("去",B3435)),ISNUMBER(SEARCH("入",B3435)))),"Ambiguous",IF(ISNUMBER(SEARCH("平",B3435)),"平","仄")))</x:f>
        <x:v>平</x:v>
      </x:c>
      <x:c r="K3435" s="6" t="str">
        <x:f>IF(D3435="","",IF(AND(ISNUMBER(SEARCH("平",D3435)),OR(ISNUMBER(SEARCH("上",D3435)),ISNUMBER(SEARCH("去",D3435)),ISNUMBER(SEARCH("入",D3435)))),"Ambiguous",IF(ISNUMBER(SEARCH("平",D3435)),"平","仄")))</x:f>
        <x:v>平</x:v>
      </x:c>
      <x:c r="L3435" s="7" t="str"/>
    </x:row>
    <x:row r="3436">
      <x:c r="A3436" s="5" t="str">
        <x:v>茜</x:v>
      </x:c>
      <x:c r="B3436" s="6" t="str">
        <x:v>去</x:v>
      </x:c>
      <x:c r="C3436" s="6" t="str">
        <x:f>IF(B3436="","Needs decision","Ready")</x:f>
        <x:v>Ready</x:v>
      </x:c>
      <x:c r="D3436" s="6" t="str">
        <x:v>去</x:v>
      </x:c>
      <x:c r="E3436" s="6" t="str"/>
      <x:c r="F3436" s="6" t="str">
        <x:v>去聲十七霰</x:v>
      </x:c>
      <x:c r="G3436" s="6" t="str">
        <x:v>Pingshui main list, Wikisource-derived DOCX</x:v>
      </x:c>
      <x:c r="H3436" s="6" t="str">
        <x:v>0</x:v>
      </x:c>
      <x:c r="I3436" s="6" t="str">
        <x:v>User correction 2026-09-08; added manually</x:v>
      </x:c>
      <x:c r="J3436" s="6" t="str">
        <x:f>IF(B3436="","",IF(AND(ISNUMBER(SEARCH("平",B3436)),OR(ISNUMBER(SEARCH("上",B3436)),ISNUMBER(SEARCH("去",B3436)),ISNUMBER(SEARCH("入",B3436)))),"Ambiguous",IF(ISNUMBER(SEARCH("平",B3436)),"平","仄")))</x:f>
        <x:v>仄</x:v>
      </x:c>
      <x:c r="K3436" s="6" t="str">
        <x:f>IF(D3436="","",IF(AND(ISNUMBER(SEARCH("平",D3436)),OR(ISNUMBER(SEARCH("上",D3436)),ISNUMBER(SEARCH("去",D3436)),ISNUMBER(SEARCH("入",D3436)))),"Ambiguous",IF(ISNUMBER(SEARCH("平",D3436)),"平","仄")))</x:f>
        <x:v>仄</x:v>
      </x:c>
      <x:c r="L3436" s="7" t="str">
        <x:v>User correction</x:v>
      </x:c>
    </x:row>
    <x:row r="3437">
      <x:c r="A3437" s="5" t="str">
        <x:v>茝</x:v>
      </x:c>
      <x:c r="B3437" s="6" t="str">
        <x:v>上</x:v>
      </x:c>
      <x:c r="C3437" s="6" t="str">
        <x:f>IF(B3437="","Needs decision","Ready")</x:f>
        <x:v>Ready</x:v>
      </x:c>
      <x:c r="D3437" s="6" t="str">
        <x:v>上</x:v>
      </x:c>
      <x:c r="E3437" s="6" t="str">
        <x:v>tsyiX (B)</x:v>
      </x:c>
      <x:c r="F3437" s="6" t="str"/>
      <x:c r="G3437" s="6" t="str"/>
      <x:c r="H3437" s="6" t="str">
        <x:v>1</x:v>
      </x:c>
      <x:c r="I3437" s="6" t="str"/>
      <x:c r="J3437" s="6" t="str">
        <x:f>IF(B3437="","",IF(AND(ISNUMBER(SEARCH("平",B3437)),OR(ISNUMBER(SEARCH("上",B3437)),ISNUMBER(SEARCH("去",B3437)),ISNUMBER(SEARCH("入",B3437)))),"Ambiguous",IF(ISNUMBER(SEARCH("平",B3437)),"平","仄")))</x:f>
        <x:v>仄</x:v>
      </x:c>
      <x:c r="K3437" s="6" t="str">
        <x:f>IF(D3437="","",IF(AND(ISNUMBER(SEARCH("平",D3437)),OR(ISNUMBER(SEARCH("上",D3437)),ISNUMBER(SEARCH("去",D3437)),ISNUMBER(SEARCH("入",D3437)))),"Ambiguous",IF(ISNUMBER(SEARCH("平",D3437)),"平","仄")))</x:f>
        <x:v>仄</x:v>
      </x:c>
      <x:c r="L3437" s="7" t="str"/>
    </x:row>
    <x:row r="3438">
      <x:c r="A3438" s="5" t="str">
        <x:v>茠</x:v>
      </x:c>
      <x:c r="B3438" s="6" t="str">
        <x:v>平</x:v>
      </x:c>
      <x:c r="C3438" s="6" t="str">
        <x:f>IF(B3438="","Needs decision","Ready")</x:f>
        <x:v>Ready</x:v>
      </x:c>
      <x:c r="D3438" s="6" t="str">
        <x:v>平</x:v>
      </x:c>
      <x:c r="E3438" s="6" t="str">
        <x:v>xaw (A)</x:v>
      </x:c>
      <x:c r="F3438" s="6" t="str"/>
      <x:c r="G3438" s="6" t="str"/>
      <x:c r="H3438" s="6" t="str">
        <x:v>1</x:v>
      </x:c>
      <x:c r="I3438" s="6" t="str"/>
      <x:c r="J3438" s="6" t="str">
        <x:f>IF(B3438="","",IF(AND(ISNUMBER(SEARCH("平",B3438)),OR(ISNUMBER(SEARCH("上",B3438)),ISNUMBER(SEARCH("去",B3438)),ISNUMBER(SEARCH("入",B3438)))),"Ambiguous",IF(ISNUMBER(SEARCH("平",B3438)),"平","仄")))</x:f>
        <x:v>平</x:v>
      </x:c>
      <x:c r="K3438" s="6" t="str">
        <x:f>IF(D3438="","",IF(AND(ISNUMBER(SEARCH("平",D3438)),OR(ISNUMBER(SEARCH("上",D3438)),ISNUMBER(SEARCH("去",D3438)),ISNUMBER(SEARCH("入",D3438)))),"Ambiguous",IF(ISNUMBER(SEARCH("平",D3438)),"平","仄")))</x:f>
        <x:v>平</x:v>
      </x:c>
      <x:c r="L3438" s="7" t="str"/>
    </x:row>
    <x:row r="3439">
      <x:c r="A3439" s="5" t="str">
        <x:v>茨</x:v>
      </x:c>
      <x:c r="B3439" s="6" t="str">
        <x:v>平</x:v>
      </x:c>
      <x:c r="C3439" s="6" t="str">
        <x:f>IF(B3439="","Needs decision","Ready")</x:f>
        <x:v>Ready</x:v>
      </x:c>
      <x:c r="D3439" s="6" t="str">
        <x:v>平</x:v>
      </x:c>
      <x:c r="E3439" s="6" t="str">
        <x:v>dzij [dzi] (平)</x:v>
      </x:c>
      <x:c r="F3439" s="6" t="str">
        <x:v>上平聲四支</x:v>
      </x:c>
      <x:c r="G3439" s="6" t="str">
        <x:v>Pingshui main list, Wikisource-derived DOCX</x:v>
      </x:c>
      <x:c r="H3439" s="6" t="str">
        <x:v>1</x:v>
      </x:c>
      <x:c r="I3439" s="6" t="str">
        <x:v>Tang 300 gap; frequency 2; provisional from Xun Gong</x:v>
      </x:c>
      <x:c r="J3439" s="6" t="str">
        <x:f>IF(B3439="","",IF(AND(ISNUMBER(SEARCH("平",B3439)),OR(ISNUMBER(SEARCH("上",B3439)),ISNUMBER(SEARCH("去",B3439)),ISNUMBER(SEARCH("入",B3439)))),"Ambiguous",IF(ISNUMBER(SEARCH("平",B3439)),"平","仄")))</x:f>
        <x:v>平</x:v>
      </x:c>
      <x:c r="K3439" s="6" t="str">
        <x:f>IF(D3439="","",IF(AND(ISNUMBER(SEARCH("平",D3439)),OR(ISNUMBER(SEARCH("上",D3439)),ISNUMBER(SEARCH("去",D3439)),ISNUMBER(SEARCH("入",D3439)))),"Ambiguous",IF(ISNUMBER(SEARCH("平",D3439)),"平","仄")))</x:f>
        <x:v>平</x:v>
      </x:c>
      <x:c r="L3439" s="7" t="str">
        <x:v>Xun Gong, Tang 300 gap fill</x:v>
      </x:c>
    </x:row>
    <x:row r="3440">
      <x:c r="A3440" s="5" t="str">
        <x:v>茫</x:v>
      </x:c>
      <x:c r="B3440" s="6" t="str">
        <x:v>平</x:v>
      </x:c>
      <x:c r="C3440" s="6" t="str">
        <x:f>IF(B3440="","Needs decision","Ready")</x:f>
        <x:v>Ready</x:v>
      </x:c>
      <x:c r="D3440" s="6" t="str">
        <x:v>平</x:v>
      </x:c>
      <x:c r="E3440" s="6" t="str">
        <x:v>mang [m̙ɑŋ] (平)</x:v>
      </x:c>
      <x:c r="F3440" s="6" t="str">
        <x:v>下平聲七陽</x:v>
      </x:c>
      <x:c r="G3440" s="6" t="str">
        <x:v>Pingshui main list, Wikisource-derived DOCX</x:v>
      </x:c>
      <x:c r="H3440" s="6" t="str">
        <x:v>1</x:v>
      </x:c>
      <x:c r="I3440" s="6" t="str">
        <x:v>Tang 300 gap; frequency 23; provisional from Xun Gong</x:v>
      </x:c>
      <x:c r="J3440" s="6" t="str">
        <x:f>IF(B3440="","",IF(AND(ISNUMBER(SEARCH("平",B3440)),OR(ISNUMBER(SEARCH("上",B3440)),ISNUMBER(SEARCH("去",B3440)),ISNUMBER(SEARCH("入",B3440)))),"Ambiguous",IF(ISNUMBER(SEARCH("平",B3440)),"平","仄")))</x:f>
        <x:v>平</x:v>
      </x:c>
      <x:c r="K3440" s="6" t="str">
        <x:f>IF(D3440="","",IF(AND(ISNUMBER(SEARCH("平",D3440)),OR(ISNUMBER(SEARCH("上",D3440)),ISNUMBER(SEARCH("去",D3440)),ISNUMBER(SEARCH("入",D3440)))),"Ambiguous",IF(ISNUMBER(SEARCH("平",D3440)),"平","仄")))</x:f>
        <x:v>平</x:v>
      </x:c>
      <x:c r="L3440" s="7" t="str">
        <x:v>Xun Gong, Tang 300 gap fill</x:v>
      </x:c>
    </x:row>
    <x:row r="3441">
      <x:c r="A3441" s="5" t="str">
        <x:v>茭</x:v>
      </x:c>
      <x:c r="B3441" s="6" t="str">
        <x:v>平</x:v>
      </x:c>
      <x:c r="C3441" s="6" t="str">
        <x:f>IF(B3441="","Needs decision","Ready")</x:f>
        <x:v>Ready</x:v>
      </x:c>
      <x:c r="D3441" s="6" t="str">
        <x:v>平</x:v>
      </x:c>
      <x:c r="E3441" s="6" t="str">
        <x:v>kaew (A)</x:v>
      </x:c>
      <x:c r="F3441" s="6" t="str">
        <x:v>下平聲三肴</x:v>
      </x:c>
      <x:c r="G3441" s="6" t="str">
        <x:v>Pingshui main list, Wikisource-derived DOCX</x:v>
      </x:c>
      <x:c r="H3441" s="6" t="str">
        <x:v>1</x:v>
      </x:c>
      <x:c r="I3441" s="6" t="str"/>
      <x:c r="J3441" s="6" t="str">
        <x:f>IF(B3441="","",IF(AND(ISNUMBER(SEARCH("平",B3441)),OR(ISNUMBER(SEARCH("上",B3441)),ISNUMBER(SEARCH("去",B3441)),ISNUMBER(SEARCH("入",B3441)))),"Ambiguous",IF(ISNUMBER(SEARCH("平",B3441)),"平","仄")))</x:f>
        <x:v>平</x:v>
      </x:c>
      <x:c r="K3441" s="6" t="str">
        <x:f>IF(D3441="","",IF(AND(ISNUMBER(SEARCH("平",D3441)),OR(ISNUMBER(SEARCH("上",D3441)),ISNUMBER(SEARCH("去",D3441)),ISNUMBER(SEARCH("入",D3441)))),"Ambiguous",IF(ISNUMBER(SEARCH("平",D3441)),"平","仄")))</x:f>
        <x:v>平</x:v>
      </x:c>
      <x:c r="L3441" s="7" t="str"/>
    </x:row>
    <x:row r="3442">
      <x:c r="A3442" s="5" t="str">
        <x:v>茱</x:v>
      </x:c>
      <x:c r="B3442" s="6" t="str">
        <x:v>平</x:v>
      </x:c>
      <x:c r="C3442" s="6" t="str">
        <x:f>IF(B3442="","Needs decision","Ready")</x:f>
        <x:v>Ready</x:v>
      </x:c>
      <x:c r="D3442" s="6" t="str">
        <x:v>平</x:v>
      </x:c>
      <x:c r="E3442" s="6" t="str">
        <x:v>dzyu [dʑo] (平)</x:v>
      </x:c>
      <x:c r="F3442" s="6" t="str"/>
      <x:c r="G3442" s="6" t="str"/>
      <x:c r="H3442" s="6" t="str">
        <x:v>1</x:v>
      </x:c>
      <x:c r="I3442" s="6" t="str">
        <x:v>Tang 300 gap; frequency 1; provisional from Xun Gong</x:v>
      </x:c>
      <x:c r="J3442" s="6" t="str">
        <x:f>IF(B3442="","",IF(AND(ISNUMBER(SEARCH("平",B3442)),OR(ISNUMBER(SEARCH("上",B3442)),ISNUMBER(SEARCH("去",B3442)),ISNUMBER(SEARCH("入",B3442)))),"Ambiguous",IF(ISNUMBER(SEARCH("平",B3442)),"平","仄")))</x:f>
        <x:v>平</x:v>
      </x:c>
      <x:c r="K3442" s="6" t="str">
        <x:f>IF(D3442="","",IF(AND(ISNUMBER(SEARCH("平",D3442)),OR(ISNUMBER(SEARCH("上",D3442)),ISNUMBER(SEARCH("去",D3442)),ISNUMBER(SEARCH("入",D3442)))),"Ambiguous",IF(ISNUMBER(SEARCH("平",D3442)),"平","仄")))</x:f>
        <x:v>平</x:v>
      </x:c>
      <x:c r="L3442" s="7" t="str">
        <x:v>Xun Gong, Tang 300 gap fill</x:v>
      </x:c>
    </x:row>
    <x:row r="3443">
      <x:c r="A3443" s="5" t="str">
        <x:v>茲</x:v>
      </x:c>
      <x:c r="B3443" s="6" t="str">
        <x:v>平</x:v>
      </x:c>
      <x:c r="C3443" s="6" t="str">
        <x:f>IF(B3443="","Needs decision","Ready")</x:f>
        <x:v>Ready</x:v>
      </x:c>
      <x:c r="D3443" s="6" t="str">
        <x:v>平</x:v>
      </x:c>
      <x:c r="E3443" s="6" t="str"/>
      <x:c r="F3443" s="6" t="str">
        <x:v>上平聲四支</x:v>
      </x:c>
      <x:c r="G3443" s="6" t="str">
        <x:v>Pingshui main list, Wikisource-derived DOCX</x:v>
      </x:c>
      <x:c r="H3443" s="6" t="str"/>
      <x:c r="I3443" s="6" t="str">
        <x:v>Manual user correction</x:v>
      </x:c>
      <x:c r="J3443" s="6" t="str">
        <x:f>IF(B3443="","",IF(AND(ISNUMBER(SEARCH("平",B3443)),OR(ISNUMBER(SEARCH("上",B3443)),ISNUMBER(SEARCH("去",B3443)),ISNUMBER(SEARCH("入",B3443)))),"Ambiguous",IF(ISNUMBER(SEARCH("平",B3443)),"平","仄")))</x:f>
        <x:v>平</x:v>
      </x:c>
      <x:c r="K3443" s="6" t="str">
        <x:f>IF(D3443="","",IF(AND(ISNUMBER(SEARCH("平",D3443)),OR(ISNUMBER(SEARCH("上",D3443)),ISNUMBER(SEARCH("去",D3443)),ISNUMBER(SEARCH("入",D3443)))),"Ambiguous",IF(ISNUMBER(SEARCH("平",D3443)),"平","仄")))</x:f>
        <x:v>平</x:v>
      </x:c>
      <x:c r="L3443" s="7" t="str">
        <x:v>manual user correction</x:v>
      </x:c>
    </x:row>
    <x:row r="3444">
      <x:c r="A3444" s="5" t="str">
        <x:v>茵</x:v>
      </x:c>
      <x:c r="B3444" s="6" t="str">
        <x:v>平</x:v>
      </x:c>
      <x:c r="C3444" s="6" t="str">
        <x:f>IF(B3444="","Needs decision","Ready")</x:f>
        <x:v>Ready</x:v>
      </x:c>
      <x:c r="D3444" s="6" t="str">
        <x:v>平</x:v>
      </x:c>
      <x:c r="E3444" s="6" t="str">
        <x:v>'jin [ʔjin] (平)</x:v>
      </x:c>
      <x:c r="F3444" s="6" t="str">
        <x:v>上平聲十一真</x:v>
      </x:c>
      <x:c r="G3444" s="6" t="str">
        <x:v>Pingshui main list, Wikisource-derived DOCX</x:v>
      </x:c>
      <x:c r="H3444" s="6" t="str">
        <x:v>1</x:v>
      </x:c>
      <x:c r="I3444" s="6" t="str">
        <x:v>Tang 300 gap; frequency 1; provisional from Xun Gong</x:v>
      </x:c>
      <x:c r="J3444" s="6" t="str">
        <x:f>IF(B3444="","",IF(AND(ISNUMBER(SEARCH("平",B3444)),OR(ISNUMBER(SEARCH("上",B3444)),ISNUMBER(SEARCH("去",B3444)),ISNUMBER(SEARCH("入",B3444)))),"Ambiguous",IF(ISNUMBER(SEARCH("平",B3444)),"平","仄")))</x:f>
        <x:v>平</x:v>
      </x:c>
      <x:c r="K3444" s="6" t="str">
        <x:f>IF(D3444="","",IF(AND(ISNUMBER(SEARCH("平",D3444)),OR(ISNUMBER(SEARCH("上",D3444)),ISNUMBER(SEARCH("去",D3444)),ISNUMBER(SEARCH("入",D3444)))),"Ambiguous",IF(ISNUMBER(SEARCH("平",D3444)),"平","仄")))</x:f>
        <x:v>平</x:v>
      </x:c>
      <x:c r="L3444" s="7" t="str">
        <x:v>Xun Gong, Tang 300 gap fill</x:v>
      </x:c>
    </x:row>
    <x:row r="3445">
      <x:c r="A3445" s="5" t="str">
        <x:v>茶</x:v>
      </x:c>
      <x:c r="B3445" s="6" t="str">
        <x:v>平</x:v>
      </x:c>
      <x:c r="C3445" s="6" t="str">
        <x:f>IF(B3445="","Needs decision","Ready")</x:f>
        <x:v>Ready</x:v>
      </x:c>
      <x:c r="D3445" s="6" t="str">
        <x:v>平</x:v>
      </x:c>
      <x:c r="E3445" s="6" t="str">
        <x:v>drae [ɖaˤ] (平)</x:v>
      </x:c>
      <x:c r="F3445" s="6" t="str">
        <x:v>下平聲六麻</x:v>
      </x:c>
      <x:c r="G3445" s="6" t="str">
        <x:v>Pingshui main list, Wikisource-derived DOCX</x:v>
      </x:c>
      <x:c r="H3445" s="6" t="str">
        <x:v>1</x:v>
      </x:c>
      <x:c r="I3445" s="6" t="str">
        <x:v>Tang 300 gap; frequency 1; provisional from Xun Gong</x:v>
      </x:c>
      <x:c r="J3445" s="6" t="str">
        <x:f>IF(B3445="","",IF(AND(ISNUMBER(SEARCH("平",B3445)),OR(ISNUMBER(SEARCH("上",B3445)),ISNUMBER(SEARCH("去",B3445)),ISNUMBER(SEARCH("入",B3445)))),"Ambiguous",IF(ISNUMBER(SEARCH("平",B3445)),"平","仄")))</x:f>
        <x:v>平</x:v>
      </x:c>
      <x:c r="K3445" s="6" t="str">
        <x:f>IF(D3445="","",IF(AND(ISNUMBER(SEARCH("平",D3445)),OR(ISNUMBER(SEARCH("上",D3445)),ISNUMBER(SEARCH("去",D3445)),ISNUMBER(SEARCH("入",D3445)))),"Ambiguous",IF(ISNUMBER(SEARCH("平",D3445)),"平","仄")))</x:f>
        <x:v>平</x:v>
      </x:c>
      <x:c r="L3445" s="7" t="str">
        <x:v>Xun Gong, Tang 300 gap fill</x:v>
      </x:c>
    </x:row>
    <x:row r="3446">
      <x:c r="A3446" s="5" t="str">
        <x:v>茷</x:v>
      </x:c>
      <x:c r="B3446" s="6" t="str">
        <x:v>去</x:v>
      </x:c>
      <x:c r="C3446" s="6" t="str">
        <x:f>IF(B3446="","Needs decision","Ready")</x:f>
        <x:v>Ready</x:v>
      </x:c>
      <x:c r="D3446" s="6" t="str">
        <x:v>去</x:v>
      </x:c>
      <x:c r="E3446" s="6" t="str">
        <x:v>bajH (C)</x:v>
      </x:c>
      <x:c r="F3446" s="6" t="str">
        <x:v>去聲九泰; 去聲十一隊</x:v>
      </x:c>
      <x:c r="G3446" s="6" t="str">
        <x:v>Pingshui main list, Wikisource-derived DOCX</x:v>
      </x:c>
      <x:c r="H3446" s="6" t="str">
        <x:v>1</x:v>
      </x:c>
      <x:c r="I3446" s="6" t="str"/>
      <x:c r="J3446" s="6" t="str">
        <x:f>IF(B3446="","",IF(AND(ISNUMBER(SEARCH("平",B3446)),OR(ISNUMBER(SEARCH("上",B3446)),ISNUMBER(SEARCH("去",B3446)),ISNUMBER(SEARCH("入",B3446)))),"Ambiguous",IF(ISNUMBER(SEARCH("平",B3446)),"平","仄")))</x:f>
        <x:v>仄</x:v>
      </x:c>
      <x:c r="K3446" s="6" t="str">
        <x:f>IF(D3446="","",IF(AND(ISNUMBER(SEARCH("平",D3446)),OR(ISNUMBER(SEARCH("上",D3446)),ISNUMBER(SEARCH("去",D3446)),ISNUMBER(SEARCH("入",D3446)))),"Ambiguous",IF(ISNUMBER(SEARCH("平",D3446)),"平","仄")))</x:f>
        <x:v>仄</x:v>
      </x:c>
      <x:c r="L3446" s="7" t="str"/>
    </x:row>
    <x:row r="3447">
      <x:c r="A3447" s="5" t="str">
        <x:v>茸</x:v>
      </x:c>
      <x:c r="B3447" s="6" t="str">
        <x:v>平/入</x:v>
      </x:c>
      <x:c r="C3447" s="6" t="str">
        <x:f>IF(B3447="","Needs decision","Ready")</x:f>
        <x:v>Ready</x:v>
      </x:c>
      <x:c r="D3447" s="6" t="str">
        <x:v>平/入</x:v>
      </x:c>
      <x:c r="E3447" s="6" t="str"/>
      <x:c r="F3447" s="6" t="str">
        <x:v>上平聲二冬; 上聲二腫</x:v>
      </x:c>
      <x:c r="G3447" s="6" t="str">
        <x:v>Pingshui main list, Wikisource-derived DOCX</x:v>
      </x:c>
      <x:c r="H3447" s="6" t="str">
        <x:v>0</x:v>
      </x:c>
      <x:c r="I3447" s="6" t="str">
        <x:v>User correction 2026-09-08; added manually</x:v>
      </x:c>
      <x:c r="J3447" s="6" t="str">
        <x:f>IF(B3447="","",IF(AND(ISNUMBER(SEARCH("平",B3447)),OR(ISNUMBER(SEARCH("上",B3447)),ISNUMBER(SEARCH("去",B3447)),ISNUMBER(SEARCH("入",B3447)))),"Ambiguous",IF(ISNUMBER(SEARCH("平",B3447)),"平","仄")))</x:f>
        <x:v>Ambiguous</x:v>
      </x:c>
      <x:c r="K3447" s="6" t="str">
        <x:f>IF(D3447="","",IF(AND(ISNUMBER(SEARCH("平",D3447)),OR(ISNUMBER(SEARCH("上",D3447)),ISNUMBER(SEARCH("去",D3447)),ISNUMBER(SEARCH("入",D3447)))),"Ambiguous",IF(ISNUMBER(SEARCH("平",D3447)),"平","仄")))</x:f>
        <x:v>Ambiguous</x:v>
      </x:c>
      <x:c r="L3447" s="7" t="str">
        <x:v>User correction</x:v>
      </x:c>
    </x:row>
    <x:row r="3448">
      <x:c r="A3448" s="5" t="str">
        <x:v>茹</x:v>
      </x:c>
      <x:c r="B3448" s="6" t="str">
        <x:v>平</x:v>
      </x:c>
      <x:c r="C3448" s="6" t="str">
        <x:f>IF(B3448="","Needs decision","Ready")</x:f>
        <x:v>Ready</x:v>
      </x:c>
      <x:c r="D3448" s="6" t="str">
        <x:v>上/去</x:v>
      </x:c>
      <x:c r="E3448" s="6" t="str">
        <x:v>nyoX (B); nyoH (C)</x:v>
      </x:c>
      <x:c r="F3448" s="6" t="str">
        <x:v>上平聲六魚; 上聲六語; 去聲六御</x:v>
      </x:c>
      <x:c r="G3448" s="6" t="str">
        <x:v>Pingshui main list, Wikisource-derived DOCX</x:v>
      </x:c>
      <x:c r="H3448" s="6" t="str">
        <x:v>2</x:v>
      </x:c>
      <x:c r="I3448" s="6" t="str"/>
      <x:c r="J3448" s="6" t="str">
        <x:f>IF(B3448="","",IF(AND(ISNUMBER(SEARCH("平",B3448)),OR(ISNUMBER(SEARCH("上",B3448)),ISNUMBER(SEARCH("去",B3448)),ISNUMBER(SEARCH("入",B3448)))),"Ambiguous",IF(ISNUMBER(SEARCH("平",B3448)),"平","仄")))</x:f>
        <x:v>平</x:v>
      </x:c>
      <x:c r="K3448" s="6" t="str">
        <x:f>IF(D3448="","",IF(AND(ISNUMBER(SEARCH("平",D3448)),OR(ISNUMBER(SEARCH("上",D3448)),ISNUMBER(SEARCH("去",D3448)),ISNUMBER(SEARCH("入",D3448)))),"Ambiguous",IF(ISNUMBER(SEARCH("平",D3448)),"平","仄")))</x:f>
        <x:v>仄</x:v>
      </x:c>
      <x:c r="L3448" s="7" t="str"/>
    </x:row>
    <x:row r="3449">
      <x:c r="A3449" s="5" t="str">
        <x:v>荀</x:v>
      </x:c>
      <x:c r="B3449" s="6" t="str">
        <x:v>平</x:v>
      </x:c>
      <x:c r="C3449" s="6" t="str">
        <x:f>IF(B3449="","Needs decision","Ready")</x:f>
        <x:v>Ready</x:v>
      </x:c>
      <x:c r="D3449" s="6" t="str">
        <x:v>平</x:v>
      </x:c>
      <x:c r="E3449" s="6" t="str">
        <x:v>swin (A)</x:v>
      </x:c>
      <x:c r="F3449" s="6" t="str">
        <x:v>上平聲十一真</x:v>
      </x:c>
      <x:c r="G3449" s="6" t="str">
        <x:v>Pingshui main list, Wikisource-derived DOCX</x:v>
      </x:c>
      <x:c r="H3449" s="6" t="str">
        <x:v>1</x:v>
      </x:c>
      <x:c r="I3449" s="6" t="str"/>
      <x:c r="J3449" s="6" t="str">
        <x:f>IF(B3449="","",IF(AND(ISNUMBER(SEARCH("平",B3449)),OR(ISNUMBER(SEARCH("上",B3449)),ISNUMBER(SEARCH("去",B3449)),ISNUMBER(SEARCH("入",B3449)))),"Ambiguous",IF(ISNUMBER(SEARCH("平",B3449)),"平","仄")))</x:f>
        <x:v>平</x:v>
      </x:c>
      <x:c r="K3449" s="6" t="str">
        <x:f>IF(D3449="","",IF(AND(ISNUMBER(SEARCH("平",D3449)),OR(ISNUMBER(SEARCH("上",D3449)),ISNUMBER(SEARCH("去",D3449)),ISNUMBER(SEARCH("入",D3449)))),"Ambiguous",IF(ISNUMBER(SEARCH("平",D3449)),"平","仄")))</x:f>
        <x:v>平</x:v>
      </x:c>
      <x:c r="L3449" s="7" t="str"/>
    </x:row>
    <x:row r="3450">
      <x:c r="A3450" s="5" t="str">
        <x:v>荂</x:v>
      </x:c>
      <x:c r="B3450" s="6" t="str">
        <x:v>平</x:v>
      </x:c>
      <x:c r="C3450" s="6" t="str">
        <x:f>IF(B3450="","Needs decision","Ready")</x:f>
        <x:v>Ready</x:v>
      </x:c>
      <x:c r="D3450" s="6" t="str">
        <x:v>平</x:v>
      </x:c>
      <x:c r="E3450" s="6" t="str">
        <x:v>xju (A)</x:v>
      </x:c>
      <x:c r="F3450" s="6" t="str">
        <x:v>上平聲七虞; 下平聲六麻</x:v>
      </x:c>
      <x:c r="G3450" s="6" t="str">
        <x:v>Pingshui main list, Wikisource-derived DOCX</x:v>
      </x:c>
      <x:c r="H3450" s="6" t="str">
        <x:v>1</x:v>
      </x:c>
      <x:c r="I3450" s="6" t="str"/>
      <x:c r="J3450" s="6" t="str">
        <x:f>IF(B3450="","",IF(AND(ISNUMBER(SEARCH("平",B3450)),OR(ISNUMBER(SEARCH("上",B3450)),ISNUMBER(SEARCH("去",B3450)),ISNUMBER(SEARCH("入",B3450)))),"Ambiguous",IF(ISNUMBER(SEARCH("平",B3450)),"平","仄")))</x:f>
        <x:v>平</x:v>
      </x:c>
      <x:c r="K3450" s="6" t="str">
        <x:f>IF(D3450="","",IF(AND(ISNUMBER(SEARCH("平",D3450)),OR(ISNUMBER(SEARCH("上",D3450)),ISNUMBER(SEARCH("去",D3450)),ISNUMBER(SEARCH("入",D3450)))),"Ambiguous",IF(ISNUMBER(SEARCH("平",D3450)),"平","仄")))</x:f>
        <x:v>平</x:v>
      </x:c>
      <x:c r="L3450" s="7" t="str"/>
    </x:row>
    <x:row r="3451">
      <x:c r="A3451" s="5" t="str">
        <x:v>荃</x:v>
      </x:c>
      <x:c r="B3451" s="6" t="str">
        <x:v>平</x:v>
      </x:c>
      <x:c r="C3451" s="6" t="str">
        <x:f>IF(B3451="","Needs decision","Ready")</x:f>
        <x:v>Ready</x:v>
      </x:c>
      <x:c r="D3451" s="6" t="str">
        <x:v>平</x:v>
      </x:c>
      <x:c r="E3451" s="6" t="str"/>
      <x:c r="F3451" s="6" t="str">
        <x:v>下平聲一先</x:v>
      </x:c>
      <x:c r="G3451" s="6" t="str">
        <x:v>Pingshui main list, Wikisource-derived DOCX</x:v>
      </x:c>
      <x:c r="H3451" s="6" t="str"/>
      <x:c r="I3451" s="6" t="str">
        <x:v>Manual user correction/addition</x:v>
      </x:c>
      <x:c r="J3451" s="6" t="str">
        <x:f>IF(B3451="","",IF(AND(ISNUMBER(SEARCH("平",B3451)),OR(ISNUMBER(SEARCH("上",B3451)),ISNUMBER(SEARCH("去",B3451)),ISNUMBER(SEARCH("入",B3451)))),"Ambiguous",IF(ISNUMBER(SEARCH("平",B3451)),"平","仄")))</x:f>
        <x:v>平</x:v>
      </x:c>
      <x:c r="K3451" s="6" t="str">
        <x:f>IF(D3451="","",IF(AND(ISNUMBER(SEARCH("平",D3451)),OR(ISNUMBER(SEARCH("上",D3451)),ISNUMBER(SEARCH("去",D3451)),ISNUMBER(SEARCH("入",D3451)))),"Ambiguous",IF(ISNUMBER(SEARCH("平",D3451)),"平","仄")))</x:f>
        <x:v>平</x:v>
      </x:c>
      <x:c r="L3451" s="7" t="str">
        <x:v>manual user correction</x:v>
      </x:c>
    </x:row>
    <x:row r="3452">
      <x:c r="A3452" s="5" t="str">
        <x:v>荅</x:v>
      </x:c>
      <x:c r="B3452" s="6" t="str">
        <x:v>入</x:v>
      </x:c>
      <x:c r="C3452" s="6" t="str">
        <x:f>IF(B3452="","Needs decision","Ready")</x:f>
        <x:v>Ready</x:v>
      </x:c>
      <x:c r="D3452" s="6" t="str">
        <x:v>入</x:v>
      </x:c>
      <x:c r="E3452" s="6" t="str">
        <x:v>top (D)</x:v>
      </x:c>
      <x:c r="F3452" s="6" t="str">
        <x:v>入聲十五合</x:v>
      </x:c>
      <x:c r="G3452" s="6" t="str">
        <x:v>Pingshui main list, Wikisource-derived DOCX</x:v>
      </x:c>
      <x:c r="H3452" s="6" t="str">
        <x:v>1</x:v>
      </x:c>
      <x:c r="I3452" s="6" t="str"/>
      <x:c r="J3452" s="6" t="str">
        <x:f>IF(B3452="","",IF(AND(ISNUMBER(SEARCH("平",B3452)),OR(ISNUMBER(SEARCH("上",B3452)),ISNUMBER(SEARCH("去",B3452)),ISNUMBER(SEARCH("入",B3452)))),"Ambiguous",IF(ISNUMBER(SEARCH("平",B3452)),"平","仄")))</x:f>
        <x:v>仄</x:v>
      </x:c>
      <x:c r="K3452" s="6" t="str">
        <x:f>IF(D3452="","",IF(AND(ISNUMBER(SEARCH("平",D3452)),OR(ISNUMBER(SEARCH("上",D3452)),ISNUMBER(SEARCH("去",D3452)),ISNUMBER(SEARCH("入",D3452)))),"Ambiguous",IF(ISNUMBER(SEARCH("平",D3452)),"平","仄")))</x:f>
        <x:v>仄</x:v>
      </x:c>
      <x:c r="L3452" s="7" t="str"/>
    </x:row>
    <x:row r="3453">
      <x:c r="A3453" s="5" t="str">
        <x:v>荇</x:v>
      </x:c>
      <x:c r="B3453" s="6" t="str">
        <x:v>上</x:v>
      </x:c>
      <x:c r="C3453" s="6" t="str">
        <x:f>IF(B3453="","Needs decision","Ready")</x:f>
        <x:v>Ready</x:v>
      </x:c>
      <x:c r="D3453" s="6" t="str">
        <x:v>上</x:v>
      </x:c>
      <x:c r="E3453" s="6" t="str">
        <x:v>haengX (B)</x:v>
      </x:c>
      <x:c r="F3453" s="6" t="str">
        <x:v>上聲二十三梗</x:v>
      </x:c>
      <x:c r="G3453" s="6" t="str">
        <x:v>Pingshui main list, Wikisource-derived DOCX</x:v>
      </x:c>
      <x:c r="H3453" s="6" t="str">
        <x:v>1</x:v>
      </x:c>
      <x:c r="I3453" s="6" t="str"/>
      <x:c r="J3453" s="6" t="str">
        <x:f>IF(B3453="","",IF(AND(ISNUMBER(SEARCH("平",B3453)),OR(ISNUMBER(SEARCH("上",B3453)),ISNUMBER(SEARCH("去",B3453)),ISNUMBER(SEARCH("入",B3453)))),"Ambiguous",IF(ISNUMBER(SEARCH("平",B3453)),"平","仄")))</x:f>
        <x:v>仄</x:v>
      </x:c>
      <x:c r="K3453" s="6" t="str">
        <x:f>IF(D3453="","",IF(AND(ISNUMBER(SEARCH("平",D3453)),OR(ISNUMBER(SEARCH("上",D3453)),ISNUMBER(SEARCH("去",D3453)),ISNUMBER(SEARCH("入",D3453)))),"Ambiguous",IF(ISNUMBER(SEARCH("平",D3453)),"平","仄")))</x:f>
        <x:v>仄</x:v>
      </x:c>
      <x:c r="L3453" s="7" t="str"/>
    </x:row>
    <x:row r="3454">
      <x:c r="A3454" s="5" t="str">
        <x:v>草</x:v>
      </x:c>
      <x:c r="B3454" s="6" t="str">
        <x:v>上</x:v>
      </x:c>
      <x:c r="C3454" s="6" t="str">
        <x:f>IF(B3454="","Needs decision","Ready")</x:f>
        <x:v>Ready</x:v>
      </x:c>
      <x:c r="D3454" s="6" t="str">
        <x:v>上</x:v>
      </x:c>
      <x:c r="E3454" s="6" t="str">
        <x:v>tshawX (B)</x:v>
      </x:c>
      <x:c r="F3454" s="6" t="str">
        <x:v>上聲十九皓</x:v>
      </x:c>
      <x:c r="G3454" s="6" t="str">
        <x:v>Pingshui main list, Wikisource-derived DOCX</x:v>
      </x:c>
      <x:c r="H3454" s="6" t="str">
        <x:v>1</x:v>
      </x:c>
      <x:c r="I3454" s="6" t="str"/>
      <x:c r="J3454" s="6" t="str">
        <x:f>IF(B3454="","",IF(AND(ISNUMBER(SEARCH("平",B3454)),OR(ISNUMBER(SEARCH("上",B3454)),ISNUMBER(SEARCH("去",B3454)),ISNUMBER(SEARCH("入",B3454)))),"Ambiguous",IF(ISNUMBER(SEARCH("平",B3454)),"平","仄")))</x:f>
        <x:v>仄</x:v>
      </x:c>
      <x:c r="K3454" s="6" t="str">
        <x:f>IF(D3454="","",IF(AND(ISNUMBER(SEARCH("平",D3454)),OR(ISNUMBER(SEARCH("上",D3454)),ISNUMBER(SEARCH("去",D3454)),ISNUMBER(SEARCH("入",D3454)))),"Ambiguous",IF(ISNUMBER(SEARCH("平",D3454)),"平","仄")))</x:f>
        <x:v>仄</x:v>
      </x:c>
      <x:c r="L3454" s="7" t="str"/>
    </x:row>
    <x:row r="3455">
      <x:c r="A3455" s="5" t="str">
        <x:v>荊</x:v>
      </x:c>
      <x:c r="B3455" s="6" t="str">
        <x:v>平</x:v>
      </x:c>
      <x:c r="C3455" s="6" t="str">
        <x:f>IF(B3455="","Needs decision","Ready")</x:f>
        <x:v>Ready</x:v>
      </x:c>
      <x:c r="D3455" s="6" t="str">
        <x:v>平</x:v>
      </x:c>
      <x:c r="E3455" s="6" t="str">
        <x:v>kjaeng (A)</x:v>
      </x:c>
      <x:c r="F3455" s="6" t="str">
        <x:v>下平聲八庚</x:v>
      </x:c>
      <x:c r="G3455" s="6" t="str">
        <x:v>Pingshui main list, Wikisource-derived DOCX</x:v>
      </x:c>
      <x:c r="H3455" s="6" t="str">
        <x:v>1</x:v>
      </x:c>
      <x:c r="I3455" s="6" t="str"/>
      <x:c r="J3455" s="6" t="str">
        <x:f>IF(B3455="","",IF(AND(ISNUMBER(SEARCH("平",B3455)),OR(ISNUMBER(SEARCH("上",B3455)),ISNUMBER(SEARCH("去",B3455)),ISNUMBER(SEARCH("入",B3455)))),"Ambiguous",IF(ISNUMBER(SEARCH("平",B3455)),"平","仄")))</x:f>
        <x:v>平</x:v>
      </x:c>
      <x:c r="K3455" s="6" t="str">
        <x:f>IF(D3455="","",IF(AND(ISNUMBER(SEARCH("平",D3455)),OR(ISNUMBER(SEARCH("上",D3455)),ISNUMBER(SEARCH("去",D3455)),ISNUMBER(SEARCH("入",D3455)))),"Ambiguous",IF(ISNUMBER(SEARCH("平",D3455)),"平","仄")))</x:f>
        <x:v>平</x:v>
      </x:c>
      <x:c r="L3455" s="7" t="str"/>
    </x:row>
    <x:row r="3456">
      <x:c r="A3456" s="5" t="str">
        <x:v>荏</x:v>
      </x:c>
      <x:c r="B3456" s="6" t="str">
        <x:v>上</x:v>
      </x:c>
      <x:c r="C3456" s="6" t="str">
        <x:f>IF(B3456="","Needs decision","Ready")</x:f>
        <x:v>Ready</x:v>
      </x:c>
      <x:c r="D3456" s="6" t="str">
        <x:v>上</x:v>
      </x:c>
      <x:c r="E3456" s="6" t="str">
        <x:v>nyimX (B)</x:v>
      </x:c>
      <x:c r="F3456" s="6" t="str">
        <x:v>上聲二十六寢</x:v>
      </x:c>
      <x:c r="G3456" s="6" t="str">
        <x:v>Pingshui main list, Wikisource-derived DOCX</x:v>
      </x:c>
      <x:c r="H3456" s="6" t="str">
        <x:v>1</x:v>
      </x:c>
      <x:c r="I3456" s="6" t="str"/>
      <x:c r="J3456" s="6" t="str">
        <x:f>IF(B3456="","",IF(AND(ISNUMBER(SEARCH("平",B3456)),OR(ISNUMBER(SEARCH("上",B3456)),ISNUMBER(SEARCH("去",B3456)),ISNUMBER(SEARCH("入",B3456)))),"Ambiguous",IF(ISNUMBER(SEARCH("平",B3456)),"平","仄")))</x:f>
        <x:v>仄</x:v>
      </x:c>
      <x:c r="K3456" s="6" t="str">
        <x:f>IF(D3456="","",IF(AND(ISNUMBER(SEARCH("平",D3456)),OR(ISNUMBER(SEARCH("上",D3456)),ISNUMBER(SEARCH("去",D3456)),ISNUMBER(SEARCH("入",D3456)))),"Ambiguous",IF(ISNUMBER(SEARCH("平",D3456)),"平","仄")))</x:f>
        <x:v>仄</x:v>
      </x:c>
      <x:c r="L3456" s="7" t="str"/>
    </x:row>
    <x:row r="3457">
      <x:c r="A3457" s="5" t="str">
        <x:v>荐</x:v>
      </x:c>
      <x:c r="B3457" s="6" t="str">
        <x:v>去</x:v>
      </x:c>
      <x:c r="C3457" s="6" t="str">
        <x:f>IF(B3457="","Needs decision","Ready")</x:f>
        <x:v>Ready</x:v>
      </x:c>
      <x:c r="D3457" s="6" t="str">
        <x:v>去</x:v>
      </x:c>
      <x:c r="E3457" s="6" t="str">
        <x:v>dzenH (C)</x:v>
      </x:c>
      <x:c r="F3457" s="6" t="str"/>
      <x:c r="G3457" s="6" t="str"/>
      <x:c r="H3457" s="6" t="str">
        <x:v>1</x:v>
      </x:c>
      <x:c r="I3457" s="6" t="str"/>
      <x:c r="J3457" s="6" t="str">
        <x:f>IF(B3457="","",IF(AND(ISNUMBER(SEARCH("平",B3457)),OR(ISNUMBER(SEARCH("上",B3457)),ISNUMBER(SEARCH("去",B3457)),ISNUMBER(SEARCH("入",B3457)))),"Ambiguous",IF(ISNUMBER(SEARCH("平",B3457)),"平","仄")))</x:f>
        <x:v>仄</x:v>
      </x:c>
      <x:c r="K3457" s="6" t="str">
        <x:f>IF(D3457="","",IF(AND(ISNUMBER(SEARCH("平",D3457)),OR(ISNUMBER(SEARCH("上",D3457)),ISNUMBER(SEARCH("去",D3457)),ISNUMBER(SEARCH("入",D3457)))),"Ambiguous",IF(ISNUMBER(SEARCH("平",D3457)),"平","仄")))</x:f>
        <x:v>仄</x:v>
      </x:c>
      <x:c r="L3457" s="7" t="str"/>
    </x:row>
    <x:row r="3458">
      <x:c r="A3458" s="5" t="str">
        <x:v>荑</x:v>
      </x:c>
      <x:c r="B3458" s="6" t="str">
        <x:v>平</x:v>
      </x:c>
      <x:c r="C3458" s="6" t="str">
        <x:f>IF(B3458="","Needs decision","Ready")</x:f>
        <x:v>Ready</x:v>
      </x:c>
      <x:c r="D3458" s="6" t="str">
        <x:v>平</x:v>
      </x:c>
      <x:c r="E3458" s="6" t="str">
        <x:v>dej (A)</x:v>
      </x:c>
      <x:c r="F3458" s="6" t="str">
        <x:v>上平聲八齊</x:v>
      </x:c>
      <x:c r="G3458" s="6" t="str">
        <x:v>Pingshui main list, Wikisource-derived DOCX</x:v>
      </x:c>
      <x:c r="H3458" s="6" t="str">
        <x:v>1</x:v>
      </x:c>
      <x:c r="I3458" s="6" t="str"/>
      <x:c r="J3458" s="6" t="str">
        <x:f>IF(B3458="","",IF(AND(ISNUMBER(SEARCH("平",B3458)),OR(ISNUMBER(SEARCH("上",B3458)),ISNUMBER(SEARCH("去",B3458)),ISNUMBER(SEARCH("入",B3458)))),"Ambiguous",IF(ISNUMBER(SEARCH("平",B3458)),"平","仄")))</x:f>
        <x:v>平</x:v>
      </x:c>
      <x:c r="K3458" s="6" t="str">
        <x:f>IF(D3458="","",IF(AND(ISNUMBER(SEARCH("平",D3458)),OR(ISNUMBER(SEARCH("上",D3458)),ISNUMBER(SEARCH("去",D3458)),ISNUMBER(SEARCH("入",D3458)))),"Ambiguous",IF(ISNUMBER(SEARCH("平",D3458)),"平","仄")))</x:f>
        <x:v>平</x:v>
      </x:c>
      <x:c r="L3458" s="7" t="str"/>
    </x:row>
    <x:row r="3459">
      <x:c r="A3459" s="5" t="str">
        <x:v>荒</x:v>
      </x:c>
      <x:c r="B3459" s="6" t="str">
        <x:v>平</x:v>
      </x:c>
      <x:c r="C3459" s="6" t="str">
        <x:f>IF(B3459="","Needs decision","Ready")</x:f>
        <x:v>Ready</x:v>
      </x:c>
      <x:c r="D3459" s="6" t="str">
        <x:v>平</x:v>
      </x:c>
      <x:c r="E3459" s="6" t="str">
        <x:v>xwang (A)</x:v>
      </x:c>
      <x:c r="F3459" s="6" t="str">
        <x:v>下平聲七陽</x:v>
      </x:c>
      <x:c r="G3459" s="6" t="str">
        <x:v>Pingshui main list, Wikisource-derived DOCX</x:v>
      </x:c>
      <x:c r="H3459" s="6" t="str">
        <x:v>1</x:v>
      </x:c>
      <x:c r="I3459" s="6" t="str"/>
      <x:c r="J3459" s="6" t="str">
        <x:f>IF(B3459="","",IF(AND(ISNUMBER(SEARCH("平",B3459)),OR(ISNUMBER(SEARCH("上",B3459)),ISNUMBER(SEARCH("去",B3459)),ISNUMBER(SEARCH("入",B3459)))),"Ambiguous",IF(ISNUMBER(SEARCH("平",B3459)),"平","仄")))</x:f>
        <x:v>平</x:v>
      </x:c>
      <x:c r="K3459" s="6" t="str">
        <x:f>IF(D3459="","",IF(AND(ISNUMBER(SEARCH("平",D3459)),OR(ISNUMBER(SEARCH("上",D3459)),ISNUMBER(SEARCH("去",D3459)),ISNUMBER(SEARCH("入",D3459)))),"Ambiguous",IF(ISNUMBER(SEARCH("平",D3459)),"平","仄")))</x:f>
        <x:v>平</x:v>
      </x:c>
      <x:c r="L3459" s="7" t="str"/>
    </x:row>
    <x:row r="3460">
      <x:c r="A3460" s="5" t="str">
        <x:v>荔</x:v>
      </x:c>
      <x:c r="B3460" s="6" t="str">
        <x:v>去</x:v>
      </x:c>
      <x:c r="C3460" s="6" t="str">
        <x:f>IF(B3460="","Needs decision","Ready")</x:f>
        <x:v>Ready</x:v>
      </x:c>
      <x:c r="D3460" s="6" t="str">
        <x:v>去</x:v>
      </x:c>
      <x:c r="E3460" s="6" t="str">
        <x:v>lejH (C)</x:v>
      </x:c>
      <x:c r="F3460" s="6" t="str">
        <x:v>去聲八霽</x:v>
      </x:c>
      <x:c r="G3460" s="6" t="str">
        <x:v>Pingshui main list, Wikisource-derived DOCX</x:v>
      </x:c>
      <x:c r="H3460" s="6" t="str">
        <x:v>1</x:v>
      </x:c>
      <x:c r="I3460" s="6" t="str"/>
      <x:c r="J3460" s="6" t="str">
        <x:f>IF(B3460="","",IF(AND(ISNUMBER(SEARCH("平",B3460)),OR(ISNUMBER(SEARCH("上",B3460)),ISNUMBER(SEARCH("去",B3460)),ISNUMBER(SEARCH("入",B3460)))),"Ambiguous",IF(ISNUMBER(SEARCH("平",B3460)),"平","仄")))</x:f>
        <x:v>仄</x:v>
      </x:c>
      <x:c r="K3460" s="6" t="str">
        <x:f>IF(D3460="","",IF(AND(ISNUMBER(SEARCH("平",D3460)),OR(ISNUMBER(SEARCH("上",D3460)),ISNUMBER(SEARCH("去",D3460)),ISNUMBER(SEARCH("入",D3460)))),"Ambiguous",IF(ISNUMBER(SEARCH("平",D3460)),"平","仄")))</x:f>
        <x:v>仄</x:v>
      </x:c>
      <x:c r="L3460" s="7" t="str"/>
    </x:row>
    <x:row r="3461">
      <x:c r="A3461" s="5" t="str">
        <x:v>荷</x:v>
      </x:c>
      <x:c r="B3461" s="6" t="str"/>
      <x:c r="C3461" s="6" t="str">
        <x:f>IF(B3461="","Needs decision","Ready")</x:f>
        <x:v>Needs decision</x:v>
      </x:c>
      <x:c r="D3461" s="6" t="str">
        <x:v>平/上</x:v>
      </x:c>
      <x:c r="E3461" s="6" t="str">
        <x:v>ha (A); haX (B)</x:v>
      </x:c>
      <x:c r="F3461" s="6" t="str">
        <x:v>下平聲五歌; 上聲二十哿</x:v>
      </x:c>
      <x:c r="G3461" s="6" t="str">
        <x:v>Pingshui main list, Wikisource-derived DOCX</x:v>
      </x:c>
      <x:c r="H3461" s="6" t="str">
        <x:v>2</x:v>
      </x:c>
      <x:c r="I3461" s="6" t="str"/>
      <x:c r="J3461" s="6" t="str">
        <x:f>IF(B3461="","",IF(AND(ISNUMBER(SEARCH("平",B3461)),OR(ISNUMBER(SEARCH("上",B3461)),ISNUMBER(SEARCH("去",B3461)),ISNUMBER(SEARCH("入",B3461)))),"Ambiguous",IF(ISNUMBER(SEARCH("平",B3461)),"平","仄")))</x:f>
      </x:c>
      <x:c r="K3461" s="6" t="str">
        <x:f>IF(D3461="","",IF(AND(ISNUMBER(SEARCH("平",D3461)),OR(ISNUMBER(SEARCH("上",D3461)),ISNUMBER(SEARCH("去",D3461)),ISNUMBER(SEARCH("入",D3461)))),"Ambiguous",IF(ISNUMBER(SEARCH("平",D3461)),"平","仄")))</x:f>
        <x:v>Ambiguous</x:v>
      </x:c>
      <x:c r="L3461" s="7" t="str"/>
    </x:row>
    <x:row r="3462">
      <x:c r="A3462" s="5" t="str">
        <x:v>荻</x:v>
      </x:c>
      <x:c r="B3462" s="6" t="str">
        <x:v>入</x:v>
      </x:c>
      <x:c r="C3462" s="6" t="str">
        <x:f>IF(B3462="","Needs decision","Ready")</x:f>
        <x:v>Ready</x:v>
      </x:c>
      <x:c r="D3462" s="6" t="str">
        <x:v>入</x:v>
      </x:c>
      <x:c r="E3462" s="6" t="str">
        <x:v>dek [d̙ek] (入)</x:v>
      </x:c>
      <x:c r="F3462" s="6" t="str">
        <x:v>入聲十二錫</x:v>
      </x:c>
      <x:c r="G3462" s="6" t="str">
        <x:v>Pingshui main list, Wikisource-derived DOCX</x:v>
      </x:c>
      <x:c r="H3462" s="6" t="str">
        <x:v>1</x:v>
      </x:c>
      <x:c r="I3462" s="6" t="str">
        <x:v>Tang 300 gap; frequency 2; provisional from Xun Gong</x:v>
      </x:c>
      <x:c r="J3462" s="6" t="str">
        <x:f>IF(B3462="","",IF(AND(ISNUMBER(SEARCH("平",B3462)),OR(ISNUMBER(SEARCH("上",B3462)),ISNUMBER(SEARCH("去",B3462)),ISNUMBER(SEARCH("入",B3462)))),"Ambiguous",IF(ISNUMBER(SEARCH("平",B3462)),"平","仄")))</x:f>
        <x:v>仄</x:v>
      </x:c>
      <x:c r="K3462" s="6" t="str">
        <x:f>IF(D3462="","",IF(AND(ISNUMBER(SEARCH("平",D3462)),OR(ISNUMBER(SEARCH("上",D3462)),ISNUMBER(SEARCH("去",D3462)),ISNUMBER(SEARCH("入",D3462)))),"Ambiguous",IF(ISNUMBER(SEARCH("平",D3462)),"平","仄")))</x:f>
        <x:v>仄</x:v>
      </x:c>
      <x:c r="L3462" s="7" t="str">
        <x:v>Xun Gong, Tang 300 gap fill</x:v>
      </x:c>
    </x:row>
    <x:row r="3463">
      <x:c r="A3463" s="5" t="str">
        <x:v>荼</x:v>
      </x:c>
      <x:c r="B3463" s="6" t="str">
        <x:v>平</x:v>
      </x:c>
      <x:c r="C3463" s="6" t="str">
        <x:f>IF(B3463="","Needs decision","Ready")</x:f>
        <x:v>Ready</x:v>
      </x:c>
      <x:c r="D3463" s="6" t="str">
        <x:v>平</x:v>
      </x:c>
      <x:c r="E3463" s="6" t="str">
        <x:v>drae (A)</x:v>
      </x:c>
      <x:c r="F3463" s="6" t="str">
        <x:v>上平聲七虞</x:v>
      </x:c>
      <x:c r="G3463" s="6" t="str">
        <x:v>Pingshui main list, Wikisource-derived DOCX</x:v>
      </x:c>
      <x:c r="H3463" s="6" t="str">
        <x:v>1</x:v>
      </x:c>
      <x:c r="I3463" s="6" t="str"/>
      <x:c r="J3463" s="6" t="str">
        <x:f>IF(B3463="","",IF(AND(ISNUMBER(SEARCH("平",B3463)),OR(ISNUMBER(SEARCH("上",B3463)),ISNUMBER(SEARCH("去",B3463)),ISNUMBER(SEARCH("入",B3463)))),"Ambiguous",IF(ISNUMBER(SEARCH("平",B3463)),"平","仄")))</x:f>
        <x:v>平</x:v>
      </x:c>
      <x:c r="K3463" s="6" t="str">
        <x:f>IF(D3463="","",IF(AND(ISNUMBER(SEARCH("平",D3463)),OR(ISNUMBER(SEARCH("上",D3463)),ISNUMBER(SEARCH("去",D3463)),ISNUMBER(SEARCH("入",D3463)))),"Ambiguous",IF(ISNUMBER(SEARCH("平",D3463)),"平","仄")))</x:f>
        <x:v>平</x:v>
      </x:c>
      <x:c r="L3463" s="7" t="str"/>
    </x:row>
    <x:row r="3464">
      <x:c r="A3464" s="5" t="str">
        <x:v>莅</x:v>
      </x:c>
      <x:c r="B3464" s="6" t="str">
        <x:v>去</x:v>
      </x:c>
      <x:c r="C3464" s="6" t="str">
        <x:f>IF(B3464="","Needs decision","Ready")</x:f>
        <x:v>Ready</x:v>
      </x:c>
      <x:c r="D3464" s="6" t="str">
        <x:v>去</x:v>
      </x:c>
      <x:c r="E3464" s="6" t="str">
        <x:v>lijH [來開三脂去] lih</x:v>
      </x:c>
      <x:c r="F3464" s="6" t="str"/>
      <x:c r="G3464" s="6" t="str"/>
      <x:c r="H3464" s="6" t="str">
        <x:v>1</x:v>
      </x:c>
      <x:c r="I3464" s="6" t="str">
        <x:v>Targeted preliminary fill from Xun Gong; review if uncertain</x:v>
      </x:c>
      <x:c r="J3464" s="6" t="str">
        <x:f>IF(B3464="","",IF(AND(ISNUMBER(SEARCH("平",B3464)),OR(ISNUMBER(SEARCH("上",B3464)),ISNUMBER(SEARCH("去",B3464)),ISNUMBER(SEARCH("入",B3464)))),"Ambiguous",IF(ISNUMBER(SEARCH("平",B3464)),"平","仄")))</x:f>
        <x:v>仄</x:v>
      </x:c>
      <x:c r="K3464" s="6" t="str">
        <x:f>IF(D3464="","",IF(AND(ISNUMBER(SEARCH("平",D3464)),OR(ISNUMBER(SEARCH("上",D3464)),ISNUMBER(SEARCH("去",D3464)),ISNUMBER(SEARCH("入",D3464)))),"Ambiguous",IF(ISNUMBER(SEARCH("平",D3464)),"平","仄")))</x:f>
        <x:v>仄</x:v>
      </x:c>
      <x:c r="L3464" s="7" t="str">
        <x:v>Xun Gong character-readings.csv</x:v>
      </x:c>
    </x:row>
    <x:row r="3465">
      <x:c r="A3465" s="5" t="str">
        <x:v>莊</x:v>
      </x:c>
      <x:c r="B3465" s="6" t="str">
        <x:v>平</x:v>
      </x:c>
      <x:c r="C3465" s="6" t="str">
        <x:f>IF(B3465="","Needs decision","Ready")</x:f>
        <x:v>Ready</x:v>
      </x:c>
      <x:c r="D3465" s="6" t="str">
        <x:v>平</x:v>
      </x:c>
      <x:c r="E3465" s="6" t="str">
        <x:v>tsrjang (A)</x:v>
      </x:c>
      <x:c r="F3465" s="6" t="str">
        <x:v>下平聲七陽</x:v>
      </x:c>
      <x:c r="G3465" s="6" t="str">
        <x:v>Pingshui main list, Wikisource-derived DOCX</x:v>
      </x:c>
      <x:c r="H3465" s="6" t="str">
        <x:v>1</x:v>
      </x:c>
      <x:c r="I3465" s="6" t="str"/>
      <x:c r="J3465" s="6" t="str">
        <x:f>IF(B3465="","",IF(AND(ISNUMBER(SEARCH("平",B3465)),OR(ISNUMBER(SEARCH("上",B3465)),ISNUMBER(SEARCH("去",B3465)),ISNUMBER(SEARCH("入",B3465)))),"Ambiguous",IF(ISNUMBER(SEARCH("平",B3465)),"平","仄")))</x:f>
        <x:v>平</x:v>
      </x:c>
      <x:c r="K3465" s="6" t="str">
        <x:f>IF(D3465="","",IF(AND(ISNUMBER(SEARCH("平",D3465)),OR(ISNUMBER(SEARCH("上",D3465)),ISNUMBER(SEARCH("去",D3465)),ISNUMBER(SEARCH("入",D3465)))),"Ambiguous",IF(ISNUMBER(SEARCH("平",D3465)),"平","仄")))</x:f>
        <x:v>平</x:v>
      </x:c>
      <x:c r="L3465" s="7" t="str"/>
    </x:row>
    <x:row r="3466">
      <x:c r="A3466" s="5" t="str">
        <x:v>莒</x:v>
      </x:c>
      <x:c r="B3466" s="6" t="str">
        <x:v>上</x:v>
      </x:c>
      <x:c r="C3466" s="6" t="str">
        <x:f>IF(B3466="","Needs decision","Ready")</x:f>
        <x:v>Ready</x:v>
      </x:c>
      <x:c r="D3466" s="6" t="str">
        <x:v>上</x:v>
      </x:c>
      <x:c r="E3466" s="6" t="str">
        <x:v>kjoX (B)</x:v>
      </x:c>
      <x:c r="F3466" s="6" t="str">
        <x:v>上聲六語</x:v>
      </x:c>
      <x:c r="G3466" s="6" t="str">
        <x:v>Pingshui main list, Wikisource-derived DOCX</x:v>
      </x:c>
      <x:c r="H3466" s="6" t="str">
        <x:v>1</x:v>
      </x:c>
      <x:c r="I3466" s="6" t="str"/>
      <x:c r="J3466" s="6" t="str">
        <x:f>IF(B3466="","",IF(AND(ISNUMBER(SEARCH("平",B3466)),OR(ISNUMBER(SEARCH("上",B3466)),ISNUMBER(SEARCH("去",B3466)),ISNUMBER(SEARCH("入",B3466)))),"Ambiguous",IF(ISNUMBER(SEARCH("平",B3466)),"平","仄")))</x:f>
        <x:v>仄</x:v>
      </x:c>
      <x:c r="K3466" s="6" t="str">
        <x:f>IF(D3466="","",IF(AND(ISNUMBER(SEARCH("平",D3466)),OR(ISNUMBER(SEARCH("上",D3466)),ISNUMBER(SEARCH("去",D3466)),ISNUMBER(SEARCH("入",D3466)))),"Ambiguous",IF(ISNUMBER(SEARCH("平",D3466)),"平","仄")))</x:f>
        <x:v>仄</x:v>
      </x:c>
      <x:c r="L3466" s="7" t="str"/>
    </x:row>
    <x:row r="3467">
      <x:c r="A3467" s="5" t="str">
        <x:v>莓</x:v>
      </x:c>
      <x:c r="B3467" s="6" t="str">
        <x:v>平</x:v>
      </x:c>
      <x:c r="C3467" s="6" t="str">
        <x:f>IF(B3467="","Needs decision","Ready")</x:f>
        <x:v>Ready</x:v>
      </x:c>
      <x:c r="D3467" s="6" t="str">
        <x:v>平/去</x:v>
      </x:c>
      <x:c r="E3467" s="6" t="str">
        <x:v>mjuwH [mɨ̯uh] (去); mwoj [m̙wəj] (平); mwojH [m̙wəjh] (去)</x:v>
      </x:c>
      <x:c r="F3467" s="6" t="str">
        <x:v>上平聲十灰</x:v>
      </x:c>
      <x:c r="G3467" s="6" t="str">
        <x:v>Pingshui main list, Wikisource-derived DOCX</x:v>
      </x:c>
      <x:c r="H3467" s="6" t="str">
        <x:v>3</x:v>
      </x:c>
      <x:c r="I3467" s="6" t="str">
        <x:v>Tang 300 gap; frequency 1; ambiguous in Xun Gong</x:v>
      </x:c>
      <x:c r="J3467" s="6" t="str">
        <x:f>IF(B3467="","",IF(AND(ISNUMBER(SEARCH("平",B3467)),OR(ISNUMBER(SEARCH("上",B3467)),ISNUMBER(SEARCH("去",B3467)),ISNUMBER(SEARCH("入",B3467)))),"Ambiguous",IF(ISNUMBER(SEARCH("平",B3467)),"平","仄")))</x:f>
        <x:v>平</x:v>
      </x:c>
      <x:c r="K3467" s="6" t="str">
        <x:f>IF(D3467="","",IF(AND(ISNUMBER(SEARCH("平",D3467)),OR(ISNUMBER(SEARCH("上",D3467)),ISNUMBER(SEARCH("去",D3467)),ISNUMBER(SEARCH("入",D3467)))),"Ambiguous",IF(ISNUMBER(SEARCH("平",D3467)),"平","仄")))</x:f>
        <x:v>Ambiguous</x:v>
      </x:c>
      <x:c r="L3467" s="7" t="str">
        <x:v>Xun Gong, Tang 300 gap fill</x:v>
      </x:c>
    </x:row>
    <x:row r="3468">
      <x:c r="A3468" s="5" t="str">
        <x:v>莖</x:v>
      </x:c>
      <x:c r="B3468" s="6" t="str">
        <x:v>平</x:v>
      </x:c>
      <x:c r="C3468" s="6" t="str">
        <x:f>IF(B3468="","Needs decision","Ready")</x:f>
        <x:v>Ready</x:v>
      </x:c>
      <x:c r="D3468" s="6" t="str">
        <x:v>平</x:v>
      </x:c>
      <x:c r="E3468" s="6" t="str">
        <x:v>heang (A)</x:v>
      </x:c>
      <x:c r="F3468" s="6" t="str">
        <x:v>下平聲八庚</x:v>
      </x:c>
      <x:c r="G3468" s="6" t="str">
        <x:v>Pingshui main list, Wikisource-derived DOCX</x:v>
      </x:c>
      <x:c r="H3468" s="6" t="str">
        <x:v>1</x:v>
      </x:c>
      <x:c r="I3468" s="6" t="str"/>
      <x:c r="J3468" s="6" t="str">
        <x:f>IF(B3468="","",IF(AND(ISNUMBER(SEARCH("平",B3468)),OR(ISNUMBER(SEARCH("上",B3468)),ISNUMBER(SEARCH("去",B3468)),ISNUMBER(SEARCH("入",B3468)))),"Ambiguous",IF(ISNUMBER(SEARCH("平",B3468)),"平","仄")))</x:f>
        <x:v>平</x:v>
      </x:c>
      <x:c r="K3468" s="6" t="str">
        <x:f>IF(D3468="","",IF(AND(ISNUMBER(SEARCH("平",D3468)),OR(ISNUMBER(SEARCH("上",D3468)),ISNUMBER(SEARCH("去",D3468)),ISNUMBER(SEARCH("入",D3468)))),"Ambiguous",IF(ISNUMBER(SEARCH("平",D3468)),"平","仄")))</x:f>
        <x:v>平</x:v>
      </x:c>
      <x:c r="L3468" s="7" t="str"/>
    </x:row>
    <x:row r="3469">
      <x:c r="A3469" s="5" t="str">
        <x:v>莘</x:v>
      </x:c>
      <x:c r="B3469" s="6" t="str">
        <x:v>平</x:v>
      </x:c>
      <x:c r="C3469" s="6" t="str">
        <x:f>IF(B3469="","Needs decision","Ready")</x:f>
        <x:v>Ready</x:v>
      </x:c>
      <x:c r="D3469" s="6" t="str">
        <x:v>平</x:v>
      </x:c>
      <x:c r="E3469" s="6" t="str">
        <x:v>srin (A)</x:v>
      </x:c>
      <x:c r="F3469" s="6" t="str">
        <x:v>上平聲十一真</x:v>
      </x:c>
      <x:c r="G3469" s="6" t="str">
        <x:v>Pingshui main list, Wikisource-derived DOCX</x:v>
      </x:c>
      <x:c r="H3469" s="6" t="str">
        <x:v>1</x:v>
      </x:c>
      <x:c r="I3469" s="6" t="str"/>
      <x:c r="J3469" s="6" t="str">
        <x:f>IF(B3469="","",IF(AND(ISNUMBER(SEARCH("平",B3469)),OR(ISNUMBER(SEARCH("上",B3469)),ISNUMBER(SEARCH("去",B3469)),ISNUMBER(SEARCH("入",B3469)))),"Ambiguous",IF(ISNUMBER(SEARCH("平",B3469)),"平","仄")))</x:f>
        <x:v>平</x:v>
      </x:c>
      <x:c r="K3469" s="6" t="str">
        <x:f>IF(D3469="","",IF(AND(ISNUMBER(SEARCH("平",D3469)),OR(ISNUMBER(SEARCH("上",D3469)),ISNUMBER(SEARCH("去",D3469)),ISNUMBER(SEARCH("入",D3469)))),"Ambiguous",IF(ISNUMBER(SEARCH("平",D3469)),"平","仄")))</x:f>
        <x:v>平</x:v>
      </x:c>
      <x:c r="L3469" s="7" t="str"/>
    </x:row>
    <x:row r="3470">
      <x:c r="A3470" s="5" t="str">
        <x:v>莠</x:v>
      </x:c>
      <x:c r="B3470" s="6" t="str">
        <x:v>上</x:v>
      </x:c>
      <x:c r="C3470" s="6" t="str">
        <x:f>IF(B3470="","Needs decision","Ready")</x:f>
        <x:v>Ready</x:v>
      </x:c>
      <x:c r="D3470" s="6" t="str">
        <x:v>上</x:v>
      </x:c>
      <x:c r="E3470" s="6" t="str">
        <x:v>yuwX (B)</x:v>
      </x:c>
      <x:c r="F3470" s="6" t="str">
        <x:v>上聲二十五有</x:v>
      </x:c>
      <x:c r="G3470" s="6" t="str">
        <x:v>Pingshui main list, Wikisource-derived DOCX</x:v>
      </x:c>
      <x:c r="H3470" s="6" t="str">
        <x:v>1</x:v>
      </x:c>
      <x:c r="I3470" s="6" t="str"/>
      <x:c r="J3470" s="6" t="str">
        <x:f>IF(B3470="","",IF(AND(ISNUMBER(SEARCH("平",B3470)),OR(ISNUMBER(SEARCH("上",B3470)),ISNUMBER(SEARCH("去",B3470)),ISNUMBER(SEARCH("入",B3470)))),"Ambiguous",IF(ISNUMBER(SEARCH("平",B3470)),"平","仄")))</x:f>
        <x:v>仄</x:v>
      </x:c>
      <x:c r="K3470" s="6" t="str">
        <x:f>IF(D3470="","",IF(AND(ISNUMBER(SEARCH("平",D3470)),OR(ISNUMBER(SEARCH("上",D3470)),ISNUMBER(SEARCH("去",D3470)),ISNUMBER(SEARCH("入",D3470)))),"Ambiguous",IF(ISNUMBER(SEARCH("平",D3470)),"平","仄")))</x:f>
        <x:v>仄</x:v>
      </x:c>
      <x:c r="L3470" s="7" t="str"/>
    </x:row>
    <x:row r="3471">
      <x:c r="A3471" s="5" t="str">
        <x:v>莫</x:v>
      </x:c>
      <x:c r="B3471" s="6" t="str">
        <x:v>入</x:v>
      </x:c>
      <x:c r="C3471" s="6" t="str">
        <x:f>IF(B3471="","Needs decision","Ready")</x:f>
        <x:v>Ready</x:v>
      </x:c>
      <x:c r="D3471" s="6" t="str">
        <x:v>入</x:v>
      </x:c>
      <x:c r="E3471" s="6" t="str">
        <x:v>mak (D)</x:v>
      </x:c>
      <x:c r="F3471" s="6" t="str">
        <x:v>入聲十藥; 入聲十一陌</x:v>
      </x:c>
      <x:c r="G3471" s="6" t="str">
        <x:v>Pingshui main list, Wikisource-derived DOCX</x:v>
      </x:c>
      <x:c r="H3471" s="6" t="str">
        <x:v>1</x:v>
      </x:c>
      <x:c r="I3471" s="6" t="str"/>
      <x:c r="J3471" s="6" t="str">
        <x:f>IF(B3471="","",IF(AND(ISNUMBER(SEARCH("平",B3471)),OR(ISNUMBER(SEARCH("上",B3471)),ISNUMBER(SEARCH("去",B3471)),ISNUMBER(SEARCH("入",B3471)))),"Ambiguous",IF(ISNUMBER(SEARCH("平",B3471)),"平","仄")))</x:f>
        <x:v>仄</x:v>
      </x:c>
      <x:c r="K3471" s="6" t="str">
        <x:f>IF(D3471="","",IF(AND(ISNUMBER(SEARCH("平",D3471)),OR(ISNUMBER(SEARCH("上",D3471)),ISNUMBER(SEARCH("去",D3471)),ISNUMBER(SEARCH("入",D3471)))),"Ambiguous",IF(ISNUMBER(SEARCH("平",D3471)),"平","仄")))</x:f>
        <x:v>仄</x:v>
      </x:c>
      <x:c r="L3471" s="7" t="str"/>
    </x:row>
    <x:row r="3472">
      <x:c r="A3472" s="5" t="str">
        <x:v>莽</x:v>
      </x:c>
      <x:c r="B3472" s="6" t="str">
        <x:v>去</x:v>
      </x:c>
      <x:c r="C3472" s="6" t="str">
        <x:f>IF(B3472="","Needs decision","Ready")</x:f>
        <x:v>Ready</x:v>
      </x:c>
      <x:c r="D3472" s="6" t="str">
        <x:v>去</x:v>
      </x:c>
      <x:c r="E3472" s="6" t="str"/>
      <x:c r="F3472" s="6" t="str">
        <x:v>上聲七麌; 上聲二十二養</x:v>
      </x:c>
      <x:c r="G3472" s="6" t="str">
        <x:v>Pingshui main list, Wikisource-derived DOCX</x:v>
      </x:c>
      <x:c r="H3472" s="6" t="str"/>
      <x:c r="I3472" s="6" t="str">
        <x:v>Manual user correction/addition</x:v>
      </x:c>
      <x:c r="J3472" s="6" t="str">
        <x:f>IF(B3472="","",IF(AND(ISNUMBER(SEARCH("平",B3472)),OR(ISNUMBER(SEARCH("上",B3472)),ISNUMBER(SEARCH("去",B3472)),ISNUMBER(SEARCH("入",B3472)))),"Ambiguous",IF(ISNUMBER(SEARCH("平",B3472)),"平","仄")))</x:f>
        <x:v>仄</x:v>
      </x:c>
      <x:c r="K3472" s="6" t="str">
        <x:f>IF(D3472="","",IF(AND(ISNUMBER(SEARCH("平",D3472)),OR(ISNUMBER(SEARCH("上",D3472)),ISNUMBER(SEARCH("去",D3472)),ISNUMBER(SEARCH("入",D3472)))),"Ambiguous",IF(ISNUMBER(SEARCH("平",D3472)),"平","仄")))</x:f>
        <x:v>仄</x:v>
      </x:c>
      <x:c r="L3472" s="7" t="str">
        <x:v>manual user correction</x:v>
      </x:c>
    </x:row>
    <x:row r="3473">
      <x:c r="A3473" s="5" t="str">
        <x:v>菇</x:v>
      </x:c>
      <x:c r="B3473" s="6" t="str">
        <x:v>平</x:v>
      </x:c>
      <x:c r="C3473" s="6" t="str">
        <x:f>IF(B3473="","Needs decision","Ready")</x:f>
        <x:v>Ready</x:v>
      </x:c>
      <x:c r="D3473" s="6" t="str">
        <x:v>平</x:v>
      </x:c>
      <x:c r="E3473" s="6" t="str">
        <x:v>ku (A)</x:v>
      </x:c>
      <x:c r="F3473" s="6" t="str"/>
      <x:c r="G3473" s="6" t="str"/>
      <x:c r="H3473" s="6" t="str">
        <x:v>1</x:v>
      </x:c>
      <x:c r="I3473" s="6" t="str"/>
      <x:c r="J3473" s="6" t="str">
        <x:f>IF(B3473="","",IF(AND(ISNUMBER(SEARCH("平",B3473)),OR(ISNUMBER(SEARCH("上",B3473)),ISNUMBER(SEARCH("去",B3473)),ISNUMBER(SEARCH("入",B3473)))),"Ambiguous",IF(ISNUMBER(SEARCH("平",B3473)),"平","仄")))</x:f>
        <x:v>平</x:v>
      </x:c>
      <x:c r="K3473" s="6" t="str">
        <x:f>IF(D3473="","",IF(AND(ISNUMBER(SEARCH("平",D3473)),OR(ISNUMBER(SEARCH("上",D3473)),ISNUMBER(SEARCH("去",D3473)),ISNUMBER(SEARCH("入",D3473)))),"Ambiguous",IF(ISNUMBER(SEARCH("平",D3473)),"平","仄")))</x:f>
        <x:v>平</x:v>
      </x:c>
      <x:c r="L3473" s="7" t="str"/>
    </x:row>
    <x:row r="3474">
      <x:c r="A3474" s="5" t="str">
        <x:v>菉</x:v>
      </x:c>
      <x:c r="B3474" s="6" t="str">
        <x:v>入</x:v>
      </x:c>
      <x:c r="C3474" s="6" t="str">
        <x:f>IF(B3474="","Needs decision","Ready")</x:f>
        <x:v>Ready</x:v>
      </x:c>
      <x:c r="D3474" s="6" t="str">
        <x:v>入</x:v>
      </x:c>
      <x:c r="E3474" s="6" t="str">
        <x:v>ljowk (D)</x:v>
      </x:c>
      <x:c r="F3474" s="6" t="str"/>
      <x:c r="G3474" s="6" t="str"/>
      <x:c r="H3474" s="6" t="str">
        <x:v>1</x:v>
      </x:c>
      <x:c r="I3474" s="6" t="str"/>
      <x:c r="J3474" s="6" t="str">
        <x:f>IF(B3474="","",IF(AND(ISNUMBER(SEARCH("平",B3474)),OR(ISNUMBER(SEARCH("上",B3474)),ISNUMBER(SEARCH("去",B3474)),ISNUMBER(SEARCH("入",B3474)))),"Ambiguous",IF(ISNUMBER(SEARCH("平",B3474)),"平","仄")))</x:f>
        <x:v>仄</x:v>
      </x:c>
      <x:c r="K3474" s="6" t="str">
        <x:f>IF(D3474="","",IF(AND(ISNUMBER(SEARCH("平",D3474)),OR(ISNUMBER(SEARCH("上",D3474)),ISNUMBER(SEARCH("去",D3474)),ISNUMBER(SEARCH("入",D3474)))),"Ambiguous",IF(ISNUMBER(SEARCH("平",D3474)),"平","仄")))</x:f>
        <x:v>仄</x:v>
      </x:c>
      <x:c r="L3474" s="7" t="str"/>
    </x:row>
    <x:row r="3475">
      <x:c r="A3475" s="5" t="str">
        <x:v>菊</x:v>
      </x:c>
      <x:c r="B3475" s="6" t="str">
        <x:v>入</x:v>
      </x:c>
      <x:c r="C3475" s="6" t="str">
        <x:f>IF(B3475="","Needs decision","Ready")</x:f>
        <x:v>Ready</x:v>
      </x:c>
      <x:c r="D3475" s="6" t="str">
        <x:v>入</x:v>
      </x:c>
      <x:c r="E3475" s="6" t="str">
        <x:v>kjuwk [kɨ̯uk] (入)</x:v>
      </x:c>
      <x:c r="F3475" s="6" t="str">
        <x:v>入聲一屋</x:v>
      </x:c>
      <x:c r="G3475" s="6" t="str">
        <x:v>Pingshui main list, Wikisource-derived DOCX</x:v>
      </x:c>
      <x:c r="H3475" s="6" t="str">
        <x:v>1</x:v>
      </x:c>
      <x:c r="I3475" s="6" t="str">
        <x:v>Tang 300 gap; frequency 3; provisional from Xun Gong</x:v>
      </x:c>
      <x:c r="J3475" s="6" t="str">
        <x:f>IF(B3475="","",IF(AND(ISNUMBER(SEARCH("平",B3475)),OR(ISNUMBER(SEARCH("上",B3475)),ISNUMBER(SEARCH("去",B3475)),ISNUMBER(SEARCH("入",B3475)))),"Ambiguous",IF(ISNUMBER(SEARCH("平",B3475)),"平","仄")))</x:f>
        <x:v>仄</x:v>
      </x:c>
      <x:c r="K3475" s="6" t="str">
        <x:f>IF(D3475="","",IF(AND(ISNUMBER(SEARCH("平",D3475)),OR(ISNUMBER(SEARCH("上",D3475)),ISNUMBER(SEARCH("去",D3475)),ISNUMBER(SEARCH("入",D3475)))),"Ambiguous",IF(ISNUMBER(SEARCH("平",D3475)),"平","仄")))</x:f>
        <x:v>仄</x:v>
      </x:c>
      <x:c r="L3475" s="7" t="str">
        <x:v>Xun Gong, Tang 300 gap fill</x:v>
      </x:c>
    </x:row>
    <x:row r="3476">
      <x:c r="A3476" s="5" t="str">
        <x:v>菌</x:v>
      </x:c>
      <x:c r="B3476" s="6" t="str">
        <x:v>上</x:v>
      </x:c>
      <x:c r="C3476" s="6" t="str">
        <x:f>IF(B3476="","Needs decision","Ready")</x:f>
        <x:v>Ready</x:v>
      </x:c>
      <x:c r="D3476" s="6" t="str">
        <x:v>上</x:v>
      </x:c>
      <x:c r="E3476" s="6" t="str">
        <x:v>gwinX (B)</x:v>
      </x:c>
      <x:c r="F3476" s="6" t="str">
        <x:v>上聲十一軫</x:v>
      </x:c>
      <x:c r="G3476" s="6" t="str">
        <x:v>Pingshui main list, Wikisource-derived DOCX</x:v>
      </x:c>
      <x:c r="H3476" s="6" t="str">
        <x:v>1</x:v>
      </x:c>
      <x:c r="I3476" s="6" t="str"/>
      <x:c r="J3476" s="6" t="str">
        <x:f>IF(B3476="","",IF(AND(ISNUMBER(SEARCH("平",B3476)),OR(ISNUMBER(SEARCH("上",B3476)),ISNUMBER(SEARCH("去",B3476)),ISNUMBER(SEARCH("入",B3476)))),"Ambiguous",IF(ISNUMBER(SEARCH("平",B3476)),"平","仄")))</x:f>
        <x:v>仄</x:v>
      </x:c>
      <x:c r="K3476" s="6" t="str">
        <x:f>IF(D3476="","",IF(AND(ISNUMBER(SEARCH("平",D3476)),OR(ISNUMBER(SEARCH("上",D3476)),ISNUMBER(SEARCH("去",D3476)),ISNUMBER(SEARCH("入",D3476)))),"Ambiguous",IF(ISNUMBER(SEARCH("平",D3476)),"平","仄")))</x:f>
        <x:v>仄</x:v>
      </x:c>
      <x:c r="L3476" s="7" t="str"/>
    </x:row>
    <x:row r="3477">
      <x:c r="A3477" s="5" t="str">
        <x:v>菑</x:v>
      </x:c>
      <x:c r="B3477" s="6" t="str">
        <x:v>平</x:v>
      </x:c>
      <x:c r="C3477" s="6" t="str">
        <x:f>IF(B3477="","Needs decision","Ready")</x:f>
        <x:v>Ready</x:v>
      </x:c>
      <x:c r="D3477" s="6" t="str">
        <x:v>平</x:v>
      </x:c>
      <x:c r="E3477" s="6" t="str">
        <x:v>tsoj [t̙s̙əj] (平); tsri [tʂɨ] (平)</x:v>
      </x:c>
      <x:c r="F3477" s="6" t="str">
        <x:v>上平聲四支</x:v>
      </x:c>
      <x:c r="G3477" s="6" t="str">
        <x:v>Pingshui main list, Wikisource-derived DOCX</x:v>
      </x:c>
      <x:c r="H3477" s="6" t="str">
        <x:v>2</x:v>
      </x:c>
      <x:c r="I3477" s="6" t="str">
        <x:v>Tang 300 gap; frequency 1; provisional from Xun Gong</x:v>
      </x:c>
      <x:c r="J3477" s="6" t="str">
        <x:f>IF(B3477="","",IF(AND(ISNUMBER(SEARCH("平",B3477)),OR(ISNUMBER(SEARCH("上",B3477)),ISNUMBER(SEARCH("去",B3477)),ISNUMBER(SEARCH("入",B3477)))),"Ambiguous",IF(ISNUMBER(SEARCH("平",B3477)),"平","仄")))</x:f>
        <x:v>平</x:v>
      </x:c>
      <x:c r="K3477" s="6" t="str">
        <x:f>IF(D3477="","",IF(AND(ISNUMBER(SEARCH("平",D3477)),OR(ISNUMBER(SEARCH("上",D3477)),ISNUMBER(SEARCH("去",D3477)),ISNUMBER(SEARCH("入",D3477)))),"Ambiguous",IF(ISNUMBER(SEARCH("平",D3477)),"平","仄")))</x:f>
        <x:v>平</x:v>
      </x:c>
      <x:c r="L3477" s="7" t="str">
        <x:v>Xun Gong, Tang 300 gap fill</x:v>
      </x:c>
    </x:row>
    <x:row r="3478">
      <x:c r="A3478" s="5" t="str">
        <x:v>菖</x:v>
      </x:c>
      <x:c r="B3478" s="6" t="str">
        <x:v>平</x:v>
      </x:c>
      <x:c r="C3478" s="6" t="str">
        <x:f>IF(B3478="","Needs decision","Ready")</x:f>
        <x:v>Ready</x:v>
      </x:c>
      <x:c r="D3478" s="6" t="str">
        <x:v>平</x:v>
      </x:c>
      <x:c r="E3478" s="6" t="str"/>
      <x:c r="F3478" s="6" t="str">
        <x:v>下平聲七陽</x:v>
      </x:c>
      <x:c r="G3478" s="6" t="str">
        <x:v>Pingshui main list, Wikisource-derived DOCX</x:v>
      </x:c>
      <x:c r="H3478" s="6" t="str"/>
      <x:c r="I3478" s="6" t="str">
        <x:v>Manual user correction/addition</x:v>
      </x:c>
      <x:c r="J3478" s="6" t="str">
        <x:f>IF(B3478="","",IF(AND(ISNUMBER(SEARCH("平",B3478)),OR(ISNUMBER(SEARCH("上",B3478)),ISNUMBER(SEARCH("去",B3478)),ISNUMBER(SEARCH("入",B3478)))),"Ambiguous",IF(ISNUMBER(SEARCH("平",B3478)),"平","仄")))</x:f>
        <x:v>平</x:v>
      </x:c>
      <x:c r="K3478" s="6" t="str">
        <x:f>IF(D3478="","",IF(AND(ISNUMBER(SEARCH("平",D3478)),OR(ISNUMBER(SEARCH("上",D3478)),ISNUMBER(SEARCH("去",D3478)),ISNUMBER(SEARCH("入",D3478)))),"Ambiguous",IF(ISNUMBER(SEARCH("平",D3478)),"平","仄")))</x:f>
        <x:v>平</x:v>
      </x:c>
      <x:c r="L3478" s="7" t="str">
        <x:v>manual user correction</x:v>
      </x:c>
    </x:row>
    <x:row r="3479">
      <x:c r="A3479" s="5" t="str">
        <x:v>菘</x:v>
      </x:c>
      <x:c r="B3479" s="6" t="str">
        <x:v>平</x:v>
      </x:c>
      <x:c r="C3479" s="6" t="str">
        <x:f>IF(B3479="","Needs decision","Ready")</x:f>
        <x:v>Ready</x:v>
      </x:c>
      <x:c r="D3479" s="6" t="str">
        <x:v>平</x:v>
      </x:c>
      <x:c r="E3479" s="6" t="str"/>
      <x:c r="F3479" s="6" t="str">
        <x:v>上平聲一東</x:v>
      </x:c>
      <x:c r="G3479" s="6" t="str">
        <x:v>Pingshui main list, Wikisource-derived DOCX</x:v>
      </x:c>
      <x:c r="H3479" s="6" t="str">
        <x:v>0</x:v>
      </x:c>
      <x:c r="I3479" s="6" t="str">
        <x:v>User correction 2026-09-08; added manually</x:v>
      </x:c>
      <x:c r="J3479" s="6" t="str">
        <x:f>IF(B3479="","",IF(AND(ISNUMBER(SEARCH("平",B3479)),OR(ISNUMBER(SEARCH("上",B3479)),ISNUMBER(SEARCH("去",B3479)),ISNUMBER(SEARCH("入",B3479)))),"Ambiguous",IF(ISNUMBER(SEARCH("平",B3479)),"平","仄")))</x:f>
        <x:v>平</x:v>
      </x:c>
      <x:c r="K3479" s="6" t="str">
        <x:f>IF(D3479="","",IF(AND(ISNUMBER(SEARCH("平",D3479)),OR(ISNUMBER(SEARCH("上",D3479)),ISNUMBER(SEARCH("去",D3479)),ISNUMBER(SEARCH("入",D3479)))),"Ambiguous",IF(ISNUMBER(SEARCH("平",D3479)),"平","仄")))</x:f>
        <x:v>平</x:v>
      </x:c>
      <x:c r="L3479" s="7" t="str">
        <x:v>User correction</x:v>
      </x:c>
    </x:row>
    <x:row r="3480">
      <x:c r="A3480" s="5" t="str">
        <x:v>菜</x:v>
      </x:c>
      <x:c r="B3480" s="6" t="str">
        <x:v>去</x:v>
      </x:c>
      <x:c r="C3480" s="6" t="str">
        <x:f>IF(B3480="","Needs decision","Ready")</x:f>
        <x:v>Ready</x:v>
      </x:c>
      <x:c r="D3480" s="6" t="str">
        <x:v>去</x:v>
      </x:c>
      <x:c r="E3480" s="6" t="str">
        <x:v>tshojH (C)</x:v>
      </x:c>
      <x:c r="F3480" s="6" t="str">
        <x:v>去聲十一隊</x:v>
      </x:c>
      <x:c r="G3480" s="6" t="str">
        <x:v>Pingshui main list, Wikisource-derived DOCX</x:v>
      </x:c>
      <x:c r="H3480" s="6" t="str">
        <x:v>1</x:v>
      </x:c>
      <x:c r="I3480" s="6" t="str"/>
      <x:c r="J3480" s="6" t="str">
        <x:f>IF(B3480="","",IF(AND(ISNUMBER(SEARCH("平",B3480)),OR(ISNUMBER(SEARCH("上",B3480)),ISNUMBER(SEARCH("去",B3480)),ISNUMBER(SEARCH("入",B3480)))),"Ambiguous",IF(ISNUMBER(SEARCH("平",B3480)),"平","仄")))</x:f>
        <x:v>仄</x:v>
      </x:c>
      <x:c r="K3480" s="6" t="str">
        <x:f>IF(D3480="","",IF(AND(ISNUMBER(SEARCH("平",D3480)),OR(ISNUMBER(SEARCH("上",D3480)),ISNUMBER(SEARCH("去",D3480)),ISNUMBER(SEARCH("入",D3480)))),"Ambiguous",IF(ISNUMBER(SEARCH("平",D3480)),"平","仄")))</x:f>
        <x:v>仄</x:v>
      </x:c>
      <x:c r="L3480" s="7" t="str"/>
    </x:row>
    <x:row r="3481">
      <x:c r="A3481" s="5" t="str">
        <x:v>菡</x:v>
      </x:c>
      <x:c r="B3481" s="6" t="str">
        <x:v>上</x:v>
      </x:c>
      <x:c r="C3481" s="6" t="str">
        <x:f>IF(B3481="","Needs decision","Ready")</x:f>
        <x:v>Ready</x:v>
      </x:c>
      <x:c r="D3481" s="6" t="str">
        <x:v>上</x:v>
      </x:c>
      <x:c r="E3481" s="6" t="str">
        <x:v>homX [ʁəmʔ] (上)</x:v>
      </x:c>
      <x:c r="F3481" s="6" t="str">
        <x:v>上聲二十七感</x:v>
      </x:c>
      <x:c r="G3481" s="6" t="str">
        <x:v>Pingshui main list, Wikisource-derived DOCX</x:v>
      </x:c>
      <x:c r="H3481" s="6" t="str">
        <x:v>1</x:v>
      </x:c>
      <x:c r="I3481" s="6" t="str">
        <x:v>Tang 300 gap; frequency 1; provisional from Xun Gong</x:v>
      </x:c>
      <x:c r="J3481" s="6" t="str">
        <x:f>IF(B3481="","",IF(AND(ISNUMBER(SEARCH("平",B3481)),OR(ISNUMBER(SEARCH("上",B3481)),ISNUMBER(SEARCH("去",B3481)),ISNUMBER(SEARCH("入",B3481)))),"Ambiguous",IF(ISNUMBER(SEARCH("平",B3481)),"平","仄")))</x:f>
        <x:v>仄</x:v>
      </x:c>
      <x:c r="K3481" s="6" t="str">
        <x:f>IF(D3481="","",IF(AND(ISNUMBER(SEARCH("平",D3481)),OR(ISNUMBER(SEARCH("上",D3481)),ISNUMBER(SEARCH("去",D3481)),ISNUMBER(SEARCH("入",D3481)))),"Ambiguous",IF(ISNUMBER(SEARCH("平",D3481)),"平","仄")))</x:f>
        <x:v>仄</x:v>
      </x:c>
      <x:c r="L3481" s="7" t="str">
        <x:v>Xun Gong, Tang 300 gap fill</x:v>
      </x:c>
    </x:row>
    <x:row r="3482">
      <x:c r="A3482" s="5" t="str">
        <x:v>菩</x:v>
      </x:c>
      <x:c r="B3482" s="6" t="str"/>
      <x:c r="C3482" s="6" t="str">
        <x:f>IF(B3482="","Needs decision","Ready")</x:f>
        <x:v>Needs decision</x:v>
      </x:c>
      <x:c r="D3482" s="6" t="str">
        <x:v>平/上/入</x:v>
      </x:c>
      <x:c r="E3482" s="6" t="str">
        <x:v>bwojX [並一灰上] b̙wəjʔ; bok [並一登入] b̙ək; bu [並一模平] b̙o; bjuwX [並三C尤上] bɨ̯uʔ</x:v>
      </x:c>
      <x:c r="F3482" s="6" t="str"/>
      <x:c r="G3482" s="6" t="str"/>
      <x:c r="H3482" s="6" t="str">
        <x:v>4</x:v>
      </x:c>
      <x:c r="I3482" s="6" t="str">
        <x:v>Targeted preliminary fill from Xun Gong; review if uncertain</x:v>
      </x:c>
      <x:c r="J3482" s="6" t="str">
        <x:f>IF(B3482="","",IF(AND(ISNUMBER(SEARCH("平",B3482)),OR(ISNUMBER(SEARCH("上",B3482)),ISNUMBER(SEARCH("去",B3482)),ISNUMBER(SEARCH("入",B3482)))),"Ambiguous",IF(ISNUMBER(SEARCH("平",B3482)),"平","仄")))</x:f>
      </x:c>
      <x:c r="K3482" s="6" t="str">
        <x:f>IF(D3482="","",IF(AND(ISNUMBER(SEARCH("平",D3482)),OR(ISNUMBER(SEARCH("上",D3482)),ISNUMBER(SEARCH("去",D3482)),ISNUMBER(SEARCH("入",D3482)))),"Ambiguous",IF(ISNUMBER(SEARCH("平",D3482)),"平","仄")))</x:f>
        <x:v>Ambiguous</x:v>
      </x:c>
      <x:c r="L3482" s="7" t="str">
        <x:v>Xun Gong character-readings.csv</x:v>
      </x:c>
    </x:row>
    <x:row r="3483">
      <x:c r="A3483" s="5" t="str">
        <x:v>華</x:v>
      </x:c>
      <x:c r="B3483" s="6" t="str">
        <x:v>平</x:v>
      </x:c>
      <x:c r="C3483" s="6" t="str">
        <x:f>IF(B3483="","Needs decision","Ready")</x:f>
        <x:v>Ready</x:v>
      </x:c>
      <x:c r="D3483" s="6" t="str">
        <x:v>平/去</x:v>
      </x:c>
      <x:c r="E3483" s="6" t="str">
        <x:v>xwae (A); hwae (A); hwaeH (C)</x:v>
      </x:c>
      <x:c r="F3483" s="6" t="str">
        <x:v>下平聲六麻</x:v>
      </x:c>
      <x:c r="G3483" s="6" t="str">
        <x:v>Pingshui main list, Wikisource-derived DOCX</x:v>
      </x:c>
      <x:c r="H3483" s="6" t="str">
        <x:v>3</x:v>
      </x:c>
      <x:c r="I3483" s="6" t="str">
        <x:v>User workbook edit 2026-09-03</x:v>
      </x:c>
      <x:c r="J3483" s="6" t="str">
        <x:f>IF(B3483="","",IF(AND(ISNUMBER(SEARCH("平",B3483)),OR(ISNUMBER(SEARCH("上",B3483)),ISNUMBER(SEARCH("去",B3483)),ISNUMBER(SEARCH("入",B3483)))),"Ambiguous",IF(ISNUMBER(SEARCH("平",B3483)),"平","仄")))</x:f>
        <x:v>平</x:v>
      </x:c>
      <x:c r="K3483" s="6" t="str">
        <x:f>IF(D3483="","",IF(AND(ISNUMBER(SEARCH("平",D3483)),OR(ISNUMBER(SEARCH("上",D3483)),ISNUMBER(SEARCH("去",D3483)),ISNUMBER(SEARCH("入",D3483)))),"Ambiguous",IF(ISNUMBER(SEARCH("平",D3483)),"平","仄")))</x:f>
        <x:v>Ambiguous</x:v>
      </x:c>
      <x:c r="L3483" s="7" t="str">
        <x:v>manual user correction</x:v>
      </x:c>
    </x:row>
    <x:row r="3484">
      <x:c r="A3484" s="5" t="str">
        <x:v>菰</x:v>
      </x:c>
      <x:c r="B3484" s="6" t="str">
        <x:v>平</x:v>
      </x:c>
      <x:c r="C3484" s="6" t="str">
        <x:f>IF(B3484="","Needs decision","Ready")</x:f>
        <x:v>Ready</x:v>
      </x:c>
      <x:c r="D3484" s="6" t="str">
        <x:v>平</x:v>
      </x:c>
      <x:c r="E3484" s="6" t="str"/>
      <x:c r="F3484" s="6" t="str">
        <x:v>上平聲七虞</x:v>
      </x:c>
      <x:c r="G3484" s="6" t="str">
        <x:v>Pingshui main list, Wikisource-derived DOCX</x:v>
      </x:c>
      <x:c r="H3484" s="6" t="str">
        <x:v>0</x:v>
      </x:c>
      <x:c r="I3484" s="6" t="str">
        <x:v>User correction 2026-09-08; added manually</x:v>
      </x:c>
      <x:c r="J3484" s="6" t="str">
        <x:f>IF(B3484="","",IF(AND(ISNUMBER(SEARCH("平",B3484)),OR(ISNUMBER(SEARCH("上",B3484)),ISNUMBER(SEARCH("去",B3484)),ISNUMBER(SEARCH("入",B3484)))),"Ambiguous",IF(ISNUMBER(SEARCH("平",B3484)),"平","仄")))</x:f>
        <x:v>平</x:v>
      </x:c>
      <x:c r="K3484" s="6" t="str">
        <x:f>IF(D3484="","",IF(AND(ISNUMBER(SEARCH("平",D3484)),OR(ISNUMBER(SEARCH("上",D3484)),ISNUMBER(SEARCH("去",D3484)),ISNUMBER(SEARCH("入",D3484)))),"Ambiguous",IF(ISNUMBER(SEARCH("平",D3484)),"平","仄")))</x:f>
        <x:v>平</x:v>
      </x:c>
      <x:c r="L3484" s="7" t="str">
        <x:v>User correction</x:v>
      </x:c>
    </x:row>
    <x:row r="3485">
      <x:c r="A3485" s="5" t="str">
        <x:v>菱</x:v>
      </x:c>
      <x:c r="B3485" s="6" t="str">
        <x:v>平</x:v>
      </x:c>
      <x:c r="C3485" s="6" t="str">
        <x:f>IF(B3485="","Needs decision","Ready")</x:f>
        <x:v>Ready</x:v>
      </x:c>
      <x:c r="D3485" s="6" t="str">
        <x:v>平</x:v>
      </x:c>
      <x:c r="E3485" s="6" t="str">
        <x:v>ling [ljɨŋ] (平)</x:v>
      </x:c>
      <x:c r="F3485" s="6" t="str">
        <x:v>下平聲十蒸</x:v>
      </x:c>
      <x:c r="G3485" s="6" t="str">
        <x:v>Pingshui main list, Wikisource-derived DOCX</x:v>
      </x:c>
      <x:c r="H3485" s="6" t="str">
        <x:v>1</x:v>
      </x:c>
      <x:c r="I3485" s="6" t="str">
        <x:v>Tang 300 gap; frequency 2; provisional from Xun Gong</x:v>
      </x:c>
      <x:c r="J3485" s="6" t="str">
        <x:f>IF(B3485="","",IF(AND(ISNUMBER(SEARCH("平",B3485)),OR(ISNUMBER(SEARCH("上",B3485)),ISNUMBER(SEARCH("去",B3485)),ISNUMBER(SEARCH("入",B3485)))),"Ambiguous",IF(ISNUMBER(SEARCH("平",B3485)),"平","仄")))</x:f>
        <x:v>平</x:v>
      </x:c>
      <x:c r="K3485" s="6" t="str">
        <x:f>IF(D3485="","",IF(AND(ISNUMBER(SEARCH("平",D3485)),OR(ISNUMBER(SEARCH("上",D3485)),ISNUMBER(SEARCH("去",D3485)),ISNUMBER(SEARCH("入",D3485)))),"Ambiguous",IF(ISNUMBER(SEARCH("平",D3485)),"平","仄")))</x:f>
        <x:v>平</x:v>
      </x:c>
      <x:c r="L3485" s="7" t="str">
        <x:v>Xun Gong, Tang 300 gap fill</x:v>
      </x:c>
    </x:row>
    <x:row r="3486">
      <x:c r="A3486" s="5" t="str">
        <x:v>菲</x:v>
      </x:c>
      <x:c r="B3486" s="6" t="str"/>
      <x:c r="C3486" s="6" t="str">
        <x:f>IF(B3486="","Needs decision","Ready")</x:f>
        <x:v>Needs decision</x:v>
      </x:c>
      <x:c r="D3486" s="6" t="str">
        <x:v>平/上/去</x:v>
      </x:c>
      <x:c r="E3486" s="6" t="str">
        <x:v>bj+jH [並三C微去] bwɨjh; phj+jX [滂三C微上] pʰwɨjʔ; phj+j [滂三C微平] pʰwɨj</x:v>
      </x:c>
      <x:c r="F3486" s="6" t="str">
        <x:v>上平聲五微; 上聲五尾</x:v>
      </x:c>
      <x:c r="G3486" s="6" t="str">
        <x:v>Pingshui main list, Wikisource-derived DOCX</x:v>
      </x:c>
      <x:c r="H3486" s="6" t="str">
        <x:v>3</x:v>
      </x:c>
      <x:c r="I3486" s="6" t="str">
        <x:v>Targeted preliminary fill from Xun Gong; review if uncertain</x:v>
      </x:c>
      <x:c r="J3486" s="6" t="str">
        <x:f>IF(B3486="","",IF(AND(ISNUMBER(SEARCH("平",B3486)),OR(ISNUMBER(SEARCH("上",B3486)),ISNUMBER(SEARCH("去",B3486)),ISNUMBER(SEARCH("入",B3486)))),"Ambiguous",IF(ISNUMBER(SEARCH("平",B3486)),"平","仄")))</x:f>
      </x:c>
      <x:c r="K3486" s="6" t="str">
        <x:f>IF(D3486="","",IF(AND(ISNUMBER(SEARCH("平",D3486)),OR(ISNUMBER(SEARCH("上",D3486)),ISNUMBER(SEARCH("去",D3486)),ISNUMBER(SEARCH("入",D3486)))),"Ambiguous",IF(ISNUMBER(SEARCH("平",D3486)),"平","仄")))</x:f>
        <x:v>Ambiguous</x:v>
      </x:c>
      <x:c r="L3486" s="7" t="str">
        <x:v>Xun Gong character-readings.csv</x:v>
      </x:c>
    </x:row>
    <x:row r="3487">
      <x:c r="A3487" s="5" t="str">
        <x:v>菽</x:v>
      </x:c>
      <x:c r="B3487" s="6" t="str">
        <x:v>入</x:v>
      </x:c>
      <x:c r="C3487" s="6" t="str">
        <x:f>IF(B3487="","Needs decision","Ready")</x:f>
        <x:v>Ready</x:v>
      </x:c>
      <x:c r="D3487" s="6" t="str">
        <x:v>入</x:v>
      </x:c>
      <x:c r="E3487" s="6" t="str">
        <x:v>syuwk (D)</x:v>
      </x:c>
      <x:c r="F3487" s="6" t="str">
        <x:v>入聲一屋</x:v>
      </x:c>
      <x:c r="G3487" s="6" t="str">
        <x:v>Pingshui main list, Wikisource-derived DOCX</x:v>
      </x:c>
      <x:c r="H3487" s="6" t="str">
        <x:v>1</x:v>
      </x:c>
      <x:c r="I3487" s="6" t="str"/>
      <x:c r="J3487" s="6" t="str">
        <x:f>IF(B3487="","",IF(AND(ISNUMBER(SEARCH("平",B3487)),OR(ISNUMBER(SEARCH("上",B3487)),ISNUMBER(SEARCH("去",B3487)),ISNUMBER(SEARCH("入",B3487)))),"Ambiguous",IF(ISNUMBER(SEARCH("平",B3487)),"平","仄")))</x:f>
        <x:v>仄</x:v>
      </x:c>
      <x:c r="K3487" s="6" t="str">
        <x:f>IF(D3487="","",IF(AND(ISNUMBER(SEARCH("平",D3487)),OR(ISNUMBER(SEARCH("上",D3487)),ISNUMBER(SEARCH("去",D3487)),ISNUMBER(SEARCH("入",D3487)))),"Ambiguous",IF(ISNUMBER(SEARCH("平",D3487)),"平","仄")))</x:f>
        <x:v>仄</x:v>
      </x:c>
      <x:c r="L3487" s="7" t="str"/>
    </x:row>
    <x:row r="3488">
      <x:c r="A3488" s="5" t="str">
        <x:v>萃</x:v>
      </x:c>
      <x:c r="B3488" s="6" t="str">
        <x:v>去</x:v>
      </x:c>
      <x:c r="C3488" s="6" t="str">
        <x:f>IF(B3488="","Needs decision","Ready")</x:f>
        <x:v>Ready</x:v>
      </x:c>
      <x:c r="D3488" s="6" t="str">
        <x:v>去</x:v>
      </x:c>
      <x:c r="E3488" s="6" t="str">
        <x:v>dzwijH (C)</x:v>
      </x:c>
      <x:c r="F3488" s="6" t="str">
        <x:v>去聲四寘</x:v>
      </x:c>
      <x:c r="G3488" s="6" t="str">
        <x:v>Pingshui main list, Wikisource-derived DOCX</x:v>
      </x:c>
      <x:c r="H3488" s="6" t="str">
        <x:v>1</x:v>
      </x:c>
      <x:c r="I3488" s="6" t="str"/>
      <x:c r="J3488" s="6" t="str">
        <x:f>IF(B3488="","",IF(AND(ISNUMBER(SEARCH("平",B3488)),OR(ISNUMBER(SEARCH("上",B3488)),ISNUMBER(SEARCH("去",B3488)),ISNUMBER(SEARCH("入",B3488)))),"Ambiguous",IF(ISNUMBER(SEARCH("平",B3488)),"平","仄")))</x:f>
        <x:v>仄</x:v>
      </x:c>
      <x:c r="K3488" s="6" t="str">
        <x:f>IF(D3488="","",IF(AND(ISNUMBER(SEARCH("平",D3488)),OR(ISNUMBER(SEARCH("上",D3488)),ISNUMBER(SEARCH("去",D3488)),ISNUMBER(SEARCH("入",D3488)))),"Ambiguous",IF(ISNUMBER(SEARCH("平",D3488)),"平","仄")))</x:f>
        <x:v>仄</x:v>
      </x:c>
      <x:c r="L3488" s="7" t="str"/>
    </x:row>
    <x:row r="3489">
      <x:c r="A3489" s="5" t="str">
        <x:v>萄</x:v>
      </x:c>
      <x:c r="B3489" s="6" t="str">
        <x:v>平</x:v>
      </x:c>
      <x:c r="C3489" s="6" t="str">
        <x:f>IF(B3489="","Needs decision","Ready")</x:f>
        <x:v>Ready</x:v>
      </x:c>
      <x:c r="D3489" s="6" t="str">
        <x:v>平</x:v>
      </x:c>
      <x:c r="E3489" s="6" t="str">
        <x:v>daw [d̙əw] (平)</x:v>
      </x:c>
      <x:c r="F3489" s="6" t="str">
        <x:v>下平聲四豪</x:v>
      </x:c>
      <x:c r="G3489" s="6" t="str">
        <x:v>Pingshui main list, Wikisource-derived DOCX</x:v>
      </x:c>
      <x:c r="H3489" s="6" t="str">
        <x:v>1</x:v>
      </x:c>
      <x:c r="I3489" s="6" t="str">
        <x:v>Tang 300 gap; frequency 2; provisional from Xun Gong</x:v>
      </x:c>
      <x:c r="J3489" s="6" t="str">
        <x:f>IF(B3489="","",IF(AND(ISNUMBER(SEARCH("平",B3489)),OR(ISNUMBER(SEARCH("上",B3489)),ISNUMBER(SEARCH("去",B3489)),ISNUMBER(SEARCH("入",B3489)))),"Ambiguous",IF(ISNUMBER(SEARCH("平",B3489)),"平","仄")))</x:f>
        <x:v>平</x:v>
      </x:c>
      <x:c r="K3489" s="6" t="str">
        <x:f>IF(D3489="","",IF(AND(ISNUMBER(SEARCH("平",D3489)),OR(ISNUMBER(SEARCH("上",D3489)),ISNUMBER(SEARCH("去",D3489)),ISNUMBER(SEARCH("入",D3489)))),"Ambiguous",IF(ISNUMBER(SEARCH("平",D3489)),"平","仄")))</x:f>
        <x:v>平</x:v>
      </x:c>
      <x:c r="L3489" s="7" t="str">
        <x:v>Xun Gong, Tang 300 gap fill</x:v>
      </x:c>
    </x:row>
    <x:row r="3490">
      <x:c r="A3490" s="5" t="str">
        <x:v>萊</x:v>
      </x:c>
      <x:c r="B3490" s="6" t="str">
        <x:v>平</x:v>
      </x:c>
      <x:c r="C3490" s="6" t="str">
        <x:f>IF(B3490="","Needs decision","Ready")</x:f>
        <x:v>Ready</x:v>
      </x:c>
      <x:c r="D3490" s="6" t="str">
        <x:v>平/去</x:v>
      </x:c>
      <x:c r="E3490" s="6" t="str">
        <x:v>loj [l̙əj] (平); lojH [l̙əjh] (去)</x:v>
      </x:c>
      <x:c r="F3490" s="6" t="str">
        <x:v>上平聲十灰</x:v>
      </x:c>
      <x:c r="G3490" s="6" t="str">
        <x:v>Pingshui main list, Wikisource-derived DOCX</x:v>
      </x:c>
      <x:c r="H3490" s="6" t="str">
        <x:v>2</x:v>
      </x:c>
      <x:c r="I3490" s="6" t="str">
        <x:v>Tang 300 gap; frequency 3; ambiguous in Xun Gong</x:v>
      </x:c>
      <x:c r="J3490" s="6" t="str">
        <x:f>IF(B3490="","",IF(AND(ISNUMBER(SEARCH("平",B3490)),OR(ISNUMBER(SEARCH("上",B3490)),ISNUMBER(SEARCH("去",B3490)),ISNUMBER(SEARCH("入",B3490)))),"Ambiguous",IF(ISNUMBER(SEARCH("平",B3490)),"平","仄")))</x:f>
        <x:v>平</x:v>
      </x:c>
      <x:c r="K3490" s="6" t="str">
        <x:f>IF(D3490="","",IF(AND(ISNUMBER(SEARCH("平",D3490)),OR(ISNUMBER(SEARCH("上",D3490)),ISNUMBER(SEARCH("去",D3490)),ISNUMBER(SEARCH("入",D3490)))),"Ambiguous",IF(ISNUMBER(SEARCH("平",D3490)),"平","仄")))</x:f>
        <x:v>Ambiguous</x:v>
      </x:c>
      <x:c r="L3490" s="7" t="str">
        <x:v>Xun Gong, Tang 300 gap fill</x:v>
      </x:c>
    </x:row>
    <x:row r="3491">
      <x:c r="A3491" s="5" t="str">
        <x:v>萋</x:v>
      </x:c>
      <x:c r="B3491" s="6" t="str">
        <x:v>平</x:v>
      </x:c>
      <x:c r="C3491" s="6" t="str">
        <x:f>IF(B3491="","Needs decision","Ready")</x:f>
        <x:v>Ready</x:v>
      </x:c>
      <x:c r="D3491" s="6" t="str">
        <x:v>平</x:v>
      </x:c>
      <x:c r="E3491" s="6" t="str">
        <x:v>tshej (A)</x:v>
      </x:c>
      <x:c r="F3491" s="6" t="str">
        <x:v>上平聲八齊</x:v>
      </x:c>
      <x:c r="G3491" s="6" t="str">
        <x:v>Pingshui main list, Wikisource-derived DOCX</x:v>
      </x:c>
      <x:c r="H3491" s="6" t="str">
        <x:v>1</x:v>
      </x:c>
      <x:c r="I3491" s="6" t="str"/>
      <x:c r="J3491" s="6" t="str">
        <x:f>IF(B3491="","",IF(AND(ISNUMBER(SEARCH("平",B3491)),OR(ISNUMBER(SEARCH("上",B3491)),ISNUMBER(SEARCH("去",B3491)),ISNUMBER(SEARCH("入",B3491)))),"Ambiguous",IF(ISNUMBER(SEARCH("平",B3491)),"平","仄")))</x:f>
        <x:v>平</x:v>
      </x:c>
      <x:c r="K3491" s="6" t="str">
        <x:f>IF(D3491="","",IF(AND(ISNUMBER(SEARCH("平",D3491)),OR(ISNUMBER(SEARCH("上",D3491)),ISNUMBER(SEARCH("去",D3491)),ISNUMBER(SEARCH("入",D3491)))),"Ambiguous",IF(ISNUMBER(SEARCH("平",D3491)),"平","仄")))</x:f>
        <x:v>平</x:v>
      </x:c>
      <x:c r="L3491" s="7" t="str"/>
    </x:row>
    <x:row r="3492">
      <x:c r="A3492" s="5" t="str">
        <x:v>萍</x:v>
      </x:c>
      <x:c r="B3492" s="6" t="str">
        <x:v>平</x:v>
      </x:c>
      <x:c r="C3492" s="6" t="str">
        <x:f>IF(B3492="","Needs decision","Ready")</x:f>
        <x:v>Ready</x:v>
      </x:c>
      <x:c r="D3492" s="6" t="str">
        <x:v>平</x:v>
      </x:c>
      <x:c r="E3492" s="6" t="str"/>
      <x:c r="F3492" s="6" t="str">
        <x:v>下平聲九青</x:v>
      </x:c>
      <x:c r="G3492" s="6" t="str">
        <x:v>Pingshui main list, Wikisource-derived DOCX</x:v>
      </x:c>
      <x:c r="H3492" s="6" t="str"/>
      <x:c r="I3492" s="6" t="str">
        <x:v>Manual user correction/addition</x:v>
      </x:c>
      <x:c r="J3492" s="6" t="str">
        <x:f>IF(B3492="","",IF(AND(ISNUMBER(SEARCH("平",B3492)),OR(ISNUMBER(SEARCH("上",B3492)),ISNUMBER(SEARCH("去",B3492)),ISNUMBER(SEARCH("入",B3492)))),"Ambiguous",IF(ISNUMBER(SEARCH("平",B3492)),"平","仄")))</x:f>
        <x:v>平</x:v>
      </x:c>
      <x:c r="K3492" s="6" t="str">
        <x:f>IF(D3492="","",IF(AND(ISNUMBER(SEARCH("平",D3492)),OR(ISNUMBER(SEARCH("上",D3492)),ISNUMBER(SEARCH("去",D3492)),ISNUMBER(SEARCH("入",D3492)))),"Ambiguous",IF(ISNUMBER(SEARCH("平",D3492)),"平","仄")))</x:f>
        <x:v>平</x:v>
      </x:c>
      <x:c r="L3492" s="7" t="str">
        <x:v>manual user correction</x:v>
      </x:c>
    </x:row>
    <x:row r="3493">
      <x:c r="A3493" s="5" t="str">
        <x:v>萏</x:v>
      </x:c>
      <x:c r="B3493" s="6" t="str">
        <x:v>上</x:v>
      </x:c>
      <x:c r="C3493" s="6" t="str">
        <x:f>IF(B3493="","Needs decision","Ready")</x:f>
        <x:v>Ready</x:v>
      </x:c>
      <x:c r="D3493" s="6" t="str">
        <x:v>上</x:v>
      </x:c>
      <x:c r="E3493" s="6" t="str">
        <x:v>domX (B)</x:v>
      </x:c>
      <x:c r="F3493" s="6" t="str">
        <x:v>上聲二十七感</x:v>
      </x:c>
      <x:c r="G3493" s="6" t="str">
        <x:v>Pingshui main list, Wikisource-derived DOCX</x:v>
      </x:c>
      <x:c r="H3493" s="6" t="str">
        <x:v>1</x:v>
      </x:c>
      <x:c r="I3493" s="6" t="str"/>
      <x:c r="J3493" s="6" t="str">
        <x:f>IF(B3493="","",IF(AND(ISNUMBER(SEARCH("平",B3493)),OR(ISNUMBER(SEARCH("上",B3493)),ISNUMBER(SEARCH("去",B3493)),ISNUMBER(SEARCH("入",B3493)))),"Ambiguous",IF(ISNUMBER(SEARCH("平",B3493)),"平","仄")))</x:f>
        <x:v>仄</x:v>
      </x:c>
      <x:c r="K3493" s="6" t="str">
        <x:f>IF(D3493="","",IF(AND(ISNUMBER(SEARCH("平",D3493)),OR(ISNUMBER(SEARCH("上",D3493)),ISNUMBER(SEARCH("去",D3493)),ISNUMBER(SEARCH("入",D3493)))),"Ambiguous",IF(ISNUMBER(SEARCH("平",D3493)),"平","仄")))</x:f>
        <x:v>仄</x:v>
      </x:c>
      <x:c r="L3493" s="7" t="str"/>
    </x:row>
    <x:row r="3494">
      <x:c r="A3494" s="5" t="str">
        <x:v>萬</x:v>
      </x:c>
      <x:c r="B3494" s="6" t="str">
        <x:v>去</x:v>
      </x:c>
      <x:c r="C3494" s="6" t="str">
        <x:f>IF(B3494="","Needs decision","Ready")</x:f>
        <x:v>Ready</x:v>
      </x:c>
      <x:c r="D3494" s="6" t="str">
        <x:v>去</x:v>
      </x:c>
      <x:c r="E3494" s="6" t="str">
        <x:v>mjonH (C)</x:v>
      </x:c>
      <x:c r="F3494" s="6" t="str">
        <x:v>去聲十四願</x:v>
      </x:c>
      <x:c r="G3494" s="6" t="str">
        <x:v>Pingshui main list, Wikisource-derived DOCX</x:v>
      </x:c>
      <x:c r="H3494" s="6" t="str">
        <x:v>1</x:v>
      </x:c>
      <x:c r="I3494" s="6" t="str"/>
      <x:c r="J3494" s="6" t="str">
        <x:f>IF(B3494="","",IF(AND(ISNUMBER(SEARCH("平",B3494)),OR(ISNUMBER(SEARCH("上",B3494)),ISNUMBER(SEARCH("去",B3494)),ISNUMBER(SEARCH("入",B3494)))),"Ambiguous",IF(ISNUMBER(SEARCH("平",B3494)),"平","仄")))</x:f>
        <x:v>仄</x:v>
      </x:c>
      <x:c r="K3494" s="6" t="str">
        <x:f>IF(D3494="","",IF(AND(ISNUMBER(SEARCH("平",D3494)),OR(ISNUMBER(SEARCH("上",D3494)),ISNUMBER(SEARCH("去",D3494)),ISNUMBER(SEARCH("入",D3494)))),"Ambiguous",IF(ISNUMBER(SEARCH("平",D3494)),"平","仄")))</x:f>
        <x:v>仄</x:v>
      </x:c>
      <x:c r="L3494" s="7" t="str"/>
    </x:row>
    <x:row r="3495">
      <x:c r="A3495" s="5" t="str">
        <x:v>萸</x:v>
      </x:c>
      <x:c r="B3495" s="6" t="str">
        <x:v>平</x:v>
      </x:c>
      <x:c r="C3495" s="6" t="str">
        <x:f>IF(B3495="","Needs decision","Ready")</x:f>
        <x:v>Ready</x:v>
      </x:c>
      <x:c r="D3495" s="6" t="str">
        <x:v>平</x:v>
      </x:c>
      <x:c r="E3495" s="6" t="str">
        <x:v>yu [jo] (平)</x:v>
      </x:c>
      <x:c r="F3495" s="6" t="str">
        <x:v>上平聲七虞</x:v>
      </x:c>
      <x:c r="G3495" s="6" t="str">
        <x:v>Pingshui main list, Wikisource-derived DOCX</x:v>
      </x:c>
      <x:c r="H3495" s="6" t="str">
        <x:v>1</x:v>
      </x:c>
      <x:c r="I3495" s="6" t="str">
        <x:v>Tang 300 gap; frequency 1; provisional from Xun Gong</x:v>
      </x:c>
      <x:c r="J3495" s="6" t="str">
        <x:f>IF(B3495="","",IF(AND(ISNUMBER(SEARCH("平",B3495)),OR(ISNUMBER(SEARCH("上",B3495)),ISNUMBER(SEARCH("去",B3495)),ISNUMBER(SEARCH("入",B3495)))),"Ambiguous",IF(ISNUMBER(SEARCH("平",B3495)),"平","仄")))</x:f>
        <x:v>平</x:v>
      </x:c>
      <x:c r="K3495" s="6" t="str">
        <x:f>IF(D3495="","",IF(AND(ISNUMBER(SEARCH("平",D3495)),OR(ISNUMBER(SEARCH("上",D3495)),ISNUMBER(SEARCH("去",D3495)),ISNUMBER(SEARCH("入",D3495)))),"Ambiguous",IF(ISNUMBER(SEARCH("平",D3495)),"平","仄")))</x:f>
        <x:v>平</x:v>
      </x:c>
      <x:c r="L3495" s="7" t="str">
        <x:v>Xun Gong, Tang 300 gap fill</x:v>
      </x:c>
    </x:row>
    <x:row r="3496">
      <x:c r="A3496" s="5" t="str">
        <x:v>萼</x:v>
      </x:c>
      <x:c r="B3496" s="6" t="str">
        <x:v>入</x:v>
      </x:c>
      <x:c r="C3496" s="6" t="str">
        <x:f>IF(B3496="","Needs decision","Ready")</x:f>
        <x:v>Ready</x:v>
      </x:c>
      <x:c r="D3496" s="6" t="str">
        <x:v>入</x:v>
      </x:c>
      <x:c r="E3496" s="6" t="str">
        <x:v>ngak [疑開一唐入] ɴɑk</x:v>
      </x:c>
      <x:c r="F3496" s="6" t="str">
        <x:v>入聲十藥</x:v>
      </x:c>
      <x:c r="G3496" s="6" t="str">
        <x:v>Pingshui main list, Wikisource-derived DOCX</x:v>
      </x:c>
      <x:c r="H3496" s="6" t="str">
        <x:v>1</x:v>
      </x:c>
      <x:c r="I3496" s="6" t="str">
        <x:v>Targeted preliminary fill from Xun Gong; review if uncertain</x:v>
      </x:c>
      <x:c r="J3496" s="6" t="str">
        <x:f>IF(B3496="","",IF(AND(ISNUMBER(SEARCH("平",B3496)),OR(ISNUMBER(SEARCH("上",B3496)),ISNUMBER(SEARCH("去",B3496)),ISNUMBER(SEARCH("入",B3496)))),"Ambiguous",IF(ISNUMBER(SEARCH("平",B3496)),"平","仄")))</x:f>
        <x:v>仄</x:v>
      </x:c>
      <x:c r="K3496" s="6" t="str">
        <x:f>IF(D3496="","",IF(AND(ISNUMBER(SEARCH("平",D3496)),OR(ISNUMBER(SEARCH("上",D3496)),ISNUMBER(SEARCH("去",D3496)),ISNUMBER(SEARCH("入",D3496)))),"Ambiguous",IF(ISNUMBER(SEARCH("平",D3496)),"平","仄")))</x:f>
        <x:v>仄</x:v>
      </x:c>
      <x:c r="L3496" s="7" t="str">
        <x:v>Xun Gong character-readings.csv</x:v>
      </x:c>
    </x:row>
    <x:row r="3497">
      <x:c r="A3497" s="5" t="str">
        <x:v>落</x:v>
      </x:c>
      <x:c r="B3497" s="6" t="str">
        <x:v>入</x:v>
      </x:c>
      <x:c r="C3497" s="6" t="str">
        <x:f>IF(B3497="","Needs decision","Ready")</x:f>
        <x:v>Ready</x:v>
      </x:c>
      <x:c r="D3497" s="6" t="str">
        <x:v>入</x:v>
      </x:c>
      <x:c r="E3497" s="6" t="str">
        <x:v>lak (D)</x:v>
      </x:c>
      <x:c r="F3497" s="6" t="str">
        <x:v>入聲十藥</x:v>
      </x:c>
      <x:c r="G3497" s="6" t="str">
        <x:v>Pingshui main list, Wikisource-derived DOCX</x:v>
      </x:c>
      <x:c r="H3497" s="6" t="str">
        <x:v>1</x:v>
      </x:c>
      <x:c r="I3497" s="6" t="str"/>
      <x:c r="J3497" s="6" t="str">
        <x:f>IF(B3497="","",IF(AND(ISNUMBER(SEARCH("平",B3497)),OR(ISNUMBER(SEARCH("上",B3497)),ISNUMBER(SEARCH("去",B3497)),ISNUMBER(SEARCH("入",B3497)))),"Ambiguous",IF(ISNUMBER(SEARCH("平",B3497)),"平","仄")))</x:f>
        <x:v>仄</x:v>
      </x:c>
      <x:c r="K3497" s="6" t="str">
        <x:f>IF(D3497="","",IF(AND(ISNUMBER(SEARCH("平",D3497)),OR(ISNUMBER(SEARCH("上",D3497)),ISNUMBER(SEARCH("去",D3497)),ISNUMBER(SEARCH("入",D3497)))),"Ambiguous",IF(ISNUMBER(SEARCH("平",D3497)),"平","仄")))</x:f>
        <x:v>仄</x:v>
      </x:c>
      <x:c r="L3497" s="7" t="str"/>
    </x:row>
    <x:row r="3498">
      <x:c r="A3498" s="5" t="str">
        <x:v>葉</x:v>
      </x:c>
      <x:c r="B3498" s="6" t="str">
        <x:v>入</x:v>
      </x:c>
      <x:c r="C3498" s="6" t="str">
        <x:f>IF(B3498="","Needs decision","Ready")</x:f>
        <x:v>Ready</x:v>
      </x:c>
      <x:c r="D3498" s="6" t="str">
        <x:v>入</x:v>
      </x:c>
      <x:c r="E3498" s="6" t="str">
        <x:v>yep (D)</x:v>
      </x:c>
      <x:c r="F3498" s="6" t="str">
        <x:v>入聲十六葉</x:v>
      </x:c>
      <x:c r="G3498" s="6" t="str">
        <x:v>Pingshui main list, Wikisource-derived DOCX</x:v>
      </x:c>
      <x:c r="H3498" s="6" t="str">
        <x:v>1</x:v>
      </x:c>
      <x:c r="I3498" s="6" t="str"/>
      <x:c r="J3498" s="6" t="str">
        <x:f>IF(B3498="","",IF(AND(ISNUMBER(SEARCH("平",B3498)),OR(ISNUMBER(SEARCH("上",B3498)),ISNUMBER(SEARCH("去",B3498)),ISNUMBER(SEARCH("入",B3498)))),"Ambiguous",IF(ISNUMBER(SEARCH("平",B3498)),"平","仄")))</x:f>
        <x:v>仄</x:v>
      </x:c>
      <x:c r="K3498" s="6" t="str">
        <x:f>IF(D3498="","",IF(AND(ISNUMBER(SEARCH("平",D3498)),OR(ISNUMBER(SEARCH("上",D3498)),ISNUMBER(SEARCH("去",D3498)),ISNUMBER(SEARCH("入",D3498)))),"Ambiguous",IF(ISNUMBER(SEARCH("平",D3498)),"平","仄")))</x:f>
        <x:v>仄</x:v>
      </x:c>
      <x:c r="L3498" s="7" t="str"/>
    </x:row>
    <x:row r="3499">
      <x:c r="A3499" s="5" t="str">
        <x:v>著</x:v>
      </x:c>
      <x:c r="B3499" s="6" t="str"/>
      <x:c r="C3499" s="6" t="str">
        <x:f>IF(B3499="","Needs decision","Ready")</x:f>
        <x:v>Needs decision</x:v>
      </x:c>
      <x:c r="D3499" s="6" t="str">
        <x:v>去/入</x:v>
      </x:c>
      <x:c r="E3499" s="6" t="str">
        <x:v>trjoH (C); drjak (D); trjak (D)</x:v>
      </x:c>
      <x:c r="F3499" s="6" t="str">
        <x:v>上聲六語; 去聲六御; 入聲十藥</x:v>
      </x:c>
      <x:c r="G3499" s="6" t="str">
        <x:v>Pingshui main list, Wikisource-derived DOCX</x:v>
      </x:c>
      <x:c r="H3499" s="6" t="str">
        <x:v>3</x:v>
      </x:c>
      <x:c r="I3499" s="6" t="str"/>
      <x:c r="J3499" s="6" t="str">
        <x:f>IF(B3499="","",IF(AND(ISNUMBER(SEARCH("平",B3499)),OR(ISNUMBER(SEARCH("上",B3499)),ISNUMBER(SEARCH("去",B3499)),ISNUMBER(SEARCH("入",B3499)))),"Ambiguous",IF(ISNUMBER(SEARCH("平",B3499)),"平","仄")))</x:f>
      </x:c>
      <x:c r="K3499" s="6" t="str">
        <x:f>IF(D3499="","",IF(AND(ISNUMBER(SEARCH("平",D3499)),OR(ISNUMBER(SEARCH("上",D3499)),ISNUMBER(SEARCH("去",D3499)),ISNUMBER(SEARCH("入",D3499)))),"Ambiguous",IF(ISNUMBER(SEARCH("平",D3499)),"平","仄")))</x:f>
        <x:v>仄</x:v>
      </x:c>
      <x:c r="L3499" s="7" t="str"/>
    </x:row>
    <x:row r="3500">
      <x:c r="A3500" s="5" t="str">
        <x:v>葚</x:v>
      </x:c>
      <x:c r="B3500" s="6" t="str">
        <x:v>上</x:v>
      </x:c>
      <x:c r="C3500" s="6" t="str">
        <x:f>IF(B3500="","Needs decision","Ready")</x:f>
        <x:v>Ready</x:v>
      </x:c>
      <x:c r="D3500" s="6" t="str">
        <x:v>上</x:v>
      </x:c>
      <x:c r="E3500" s="6" t="str">
        <x:v>zyimX (B)</x:v>
      </x:c>
      <x:c r="F3500" s="6" t="str">
        <x:v>上聲二十六寢</x:v>
      </x:c>
      <x:c r="G3500" s="6" t="str">
        <x:v>Pingshui main list, Wikisource-derived DOCX</x:v>
      </x:c>
      <x:c r="H3500" s="6" t="str">
        <x:v>1</x:v>
      </x:c>
      <x:c r="I3500" s="6" t="str"/>
      <x:c r="J3500" s="6" t="str">
        <x:f>IF(B3500="","",IF(AND(ISNUMBER(SEARCH("平",B3500)),OR(ISNUMBER(SEARCH("上",B3500)),ISNUMBER(SEARCH("去",B3500)),ISNUMBER(SEARCH("入",B3500)))),"Ambiguous",IF(ISNUMBER(SEARCH("平",B3500)),"平","仄")))</x:f>
        <x:v>仄</x:v>
      </x:c>
      <x:c r="K3500" s="6" t="str">
        <x:f>IF(D3500="","",IF(AND(ISNUMBER(SEARCH("平",D3500)),OR(ISNUMBER(SEARCH("上",D3500)),ISNUMBER(SEARCH("去",D3500)),ISNUMBER(SEARCH("入",D3500)))),"Ambiguous",IF(ISNUMBER(SEARCH("平",D3500)),"平","仄")))</x:f>
        <x:v>仄</x:v>
      </x:c>
      <x:c r="L3500" s="7" t="str"/>
    </x:row>
    <x:row r="3501">
      <x:c r="A3501" s="5" t="str">
        <x:v>葛</x:v>
      </x:c>
      <x:c r="B3501" s="6" t="str">
        <x:v>入</x:v>
      </x:c>
      <x:c r="C3501" s="6" t="str">
        <x:f>IF(B3501="","Needs decision","Ready")</x:f>
        <x:v>Ready</x:v>
      </x:c>
      <x:c r="D3501" s="6" t="str">
        <x:v>入</x:v>
      </x:c>
      <x:c r="E3501" s="6" t="str">
        <x:v>kat (D)</x:v>
      </x:c>
      <x:c r="F3501" s="6" t="str">
        <x:v>入聲七曷</x:v>
      </x:c>
      <x:c r="G3501" s="6" t="str">
        <x:v>Pingshui main list, Wikisource-derived DOCX</x:v>
      </x:c>
      <x:c r="H3501" s="6" t="str">
        <x:v>1</x:v>
      </x:c>
      <x:c r="I3501" s="6" t="str"/>
      <x:c r="J3501" s="6" t="str">
        <x:f>IF(B3501="","",IF(AND(ISNUMBER(SEARCH("平",B3501)),OR(ISNUMBER(SEARCH("上",B3501)),ISNUMBER(SEARCH("去",B3501)),ISNUMBER(SEARCH("入",B3501)))),"Ambiguous",IF(ISNUMBER(SEARCH("平",B3501)),"平","仄")))</x:f>
        <x:v>仄</x:v>
      </x:c>
      <x:c r="K3501" s="6" t="str">
        <x:f>IF(D3501="","",IF(AND(ISNUMBER(SEARCH("平",D3501)),OR(ISNUMBER(SEARCH("上",D3501)),ISNUMBER(SEARCH("去",D3501)),ISNUMBER(SEARCH("入",D3501)))),"Ambiguous",IF(ISNUMBER(SEARCH("平",D3501)),"平","仄")))</x:f>
        <x:v>仄</x:v>
      </x:c>
      <x:c r="L3501" s="7" t="str"/>
    </x:row>
    <x:row r="3502">
      <x:c r="A3502" s="5" t="str">
        <x:v>葢</x:v>
      </x:c>
      <x:c r="B3502" s="6" t="str">
        <x:v>入</x:v>
      </x:c>
      <x:c r="C3502" s="6" t="str">
        <x:f>IF(B3502="","Needs decision","Ready")</x:f>
        <x:v>Ready</x:v>
      </x:c>
      <x:c r="D3502" s="6" t="str">
        <x:v>入</x:v>
      </x:c>
      <x:c r="E3502" s="6" t="str"/>
      <x:c r="F3502" s="6" t="str"/>
      <x:c r="G3502" s="6" t="str"/>
      <x:c r="H3502" s="6" t="str"/>
      <x:c r="I3502" s="6" t="str">
        <x:v>Manual user correction/addition</x:v>
      </x:c>
      <x:c r="J3502" s="6" t="str">
        <x:f>IF(B3502="","",IF(AND(ISNUMBER(SEARCH("平",B3502)),OR(ISNUMBER(SEARCH("上",B3502)),ISNUMBER(SEARCH("去",B3502)),ISNUMBER(SEARCH("入",B3502)))),"Ambiguous",IF(ISNUMBER(SEARCH("平",B3502)),"平","仄")))</x:f>
        <x:v>仄</x:v>
      </x:c>
      <x:c r="K3502" s="6" t="str">
        <x:f>IF(D3502="","",IF(AND(ISNUMBER(SEARCH("平",D3502)),OR(ISNUMBER(SEARCH("上",D3502)),ISNUMBER(SEARCH("去",D3502)),ISNUMBER(SEARCH("入",D3502)))),"Ambiguous",IF(ISNUMBER(SEARCH("平",D3502)),"平","仄")))</x:f>
        <x:v>仄</x:v>
      </x:c>
      <x:c r="L3502" s="7" t="str">
        <x:v>manual user correction</x:v>
      </x:c>
    </x:row>
    <x:row r="3503">
      <x:c r="A3503" s="5" t="str">
        <x:v>董</x:v>
      </x:c>
      <x:c r="B3503" s="6" t="str">
        <x:v>上</x:v>
      </x:c>
      <x:c r="C3503" s="6" t="str">
        <x:f>IF(B3503="","Needs decision","Ready")</x:f>
        <x:v>Ready</x:v>
      </x:c>
      <x:c r="D3503" s="6" t="str">
        <x:v>上</x:v>
      </x:c>
      <x:c r="E3503" s="6" t="str">
        <x:v>tuwngX [t̙uŋʔ] (上)</x:v>
      </x:c>
      <x:c r="F3503" s="6" t="str">
        <x:v>上聲一董</x:v>
      </x:c>
      <x:c r="G3503" s="6" t="str">
        <x:v>Pingshui main list, Wikisource-derived DOCX</x:v>
      </x:c>
      <x:c r="H3503" s="6" t="str">
        <x:v>1</x:v>
      </x:c>
      <x:c r="I3503" s="6" t="str">
        <x:v>Tang 300 gap; frequency 1; provisional from Xun Gong</x:v>
      </x:c>
      <x:c r="J3503" s="6" t="str">
        <x:f>IF(B3503="","",IF(AND(ISNUMBER(SEARCH("平",B3503)),OR(ISNUMBER(SEARCH("上",B3503)),ISNUMBER(SEARCH("去",B3503)),ISNUMBER(SEARCH("入",B3503)))),"Ambiguous",IF(ISNUMBER(SEARCH("平",B3503)),"平","仄")))</x:f>
        <x:v>仄</x:v>
      </x:c>
      <x:c r="K3503" s="6" t="str">
        <x:f>IF(D3503="","",IF(AND(ISNUMBER(SEARCH("平",D3503)),OR(ISNUMBER(SEARCH("上",D3503)),ISNUMBER(SEARCH("去",D3503)),ISNUMBER(SEARCH("入",D3503)))),"Ambiguous",IF(ISNUMBER(SEARCH("平",D3503)),"平","仄")))</x:f>
        <x:v>仄</x:v>
      </x:c>
      <x:c r="L3503" s="7" t="str">
        <x:v>Xun Gong, Tang 300 gap fill</x:v>
      </x:c>
    </x:row>
    <x:row r="3504">
      <x:c r="A3504" s="5" t="str">
        <x:v>葦</x:v>
      </x:c>
      <x:c r="B3504" s="6" t="str">
        <x:v>上</x:v>
      </x:c>
      <x:c r="C3504" s="6" t="str">
        <x:f>IF(B3504="","Needs decision","Ready")</x:f>
        <x:v>Ready</x:v>
      </x:c>
      <x:c r="D3504" s="6" t="str">
        <x:v>上</x:v>
      </x:c>
      <x:c r="E3504" s="6" t="str">
        <x:v>hjw+jX [wɨjʔ] (上)</x:v>
      </x:c>
      <x:c r="F3504" s="6" t="str">
        <x:v>上聲五尾</x:v>
      </x:c>
      <x:c r="G3504" s="6" t="str">
        <x:v>Pingshui main list, Wikisource-derived DOCX</x:v>
      </x:c>
      <x:c r="H3504" s="6" t="str">
        <x:v>1</x:v>
      </x:c>
      <x:c r="I3504" s="6" t="str">
        <x:v>Tang 300 gap; frequency 1; provisional from Xun Gong</x:v>
      </x:c>
      <x:c r="J3504" s="6" t="str">
        <x:f>IF(B3504="","",IF(AND(ISNUMBER(SEARCH("平",B3504)),OR(ISNUMBER(SEARCH("上",B3504)),ISNUMBER(SEARCH("去",B3504)),ISNUMBER(SEARCH("入",B3504)))),"Ambiguous",IF(ISNUMBER(SEARCH("平",B3504)),"平","仄")))</x:f>
        <x:v>仄</x:v>
      </x:c>
      <x:c r="K3504" s="6" t="str">
        <x:f>IF(D3504="","",IF(AND(ISNUMBER(SEARCH("平",D3504)),OR(ISNUMBER(SEARCH("上",D3504)),ISNUMBER(SEARCH("去",D3504)),ISNUMBER(SEARCH("入",D3504)))),"Ambiguous",IF(ISNUMBER(SEARCH("平",D3504)),"平","仄")))</x:f>
        <x:v>仄</x:v>
      </x:c>
      <x:c r="L3504" s="7" t="str">
        <x:v>Xun Gong, Tang 300 gap fill</x:v>
      </x:c>
    </x:row>
    <x:row r="3505">
      <x:c r="A3505" s="5" t="str">
        <x:v>葫</x:v>
      </x:c>
      <x:c r="B3505" s="6" t="str">
        <x:v>平</x:v>
      </x:c>
      <x:c r="C3505" s="6" t="str">
        <x:f>IF(B3505="","Needs decision","Ready")</x:f>
        <x:v>Ready</x:v>
      </x:c>
      <x:c r="D3505" s="6" t="str">
        <x:v>平</x:v>
      </x:c>
      <x:c r="E3505" s="6" t="str">
        <x:v>hu (A)</x:v>
      </x:c>
      <x:c r="F3505" s="6" t="str">
        <x:v>上平聲七虞</x:v>
      </x:c>
      <x:c r="G3505" s="6" t="str">
        <x:v>Pingshui main list, Wikisource-derived DOCX</x:v>
      </x:c>
      <x:c r="H3505" s="6" t="str">
        <x:v>1</x:v>
      </x:c>
      <x:c r="I3505" s="6" t="str"/>
      <x:c r="J3505" s="6" t="str">
        <x:f>IF(B3505="","",IF(AND(ISNUMBER(SEARCH("平",B3505)),OR(ISNUMBER(SEARCH("上",B3505)),ISNUMBER(SEARCH("去",B3505)),ISNUMBER(SEARCH("入",B3505)))),"Ambiguous",IF(ISNUMBER(SEARCH("平",B3505)),"平","仄")))</x:f>
        <x:v>平</x:v>
      </x:c>
      <x:c r="K3505" s="6" t="str">
        <x:f>IF(D3505="","",IF(AND(ISNUMBER(SEARCH("平",D3505)),OR(ISNUMBER(SEARCH("上",D3505)),ISNUMBER(SEARCH("去",D3505)),ISNUMBER(SEARCH("入",D3505)))),"Ambiguous",IF(ISNUMBER(SEARCH("平",D3505)),"平","仄")))</x:f>
        <x:v>平</x:v>
      </x:c>
      <x:c r="L3505" s="7" t="str"/>
    </x:row>
    <x:row r="3506">
      <x:c r="A3506" s="5" t="str">
        <x:v>葬</x:v>
      </x:c>
      <x:c r="B3506" s="6" t="str">
        <x:v>去</x:v>
      </x:c>
      <x:c r="C3506" s="6" t="str">
        <x:f>IF(B3506="","Needs decision","Ready")</x:f>
        <x:v>Ready</x:v>
      </x:c>
      <x:c r="D3506" s="6" t="str">
        <x:v>去</x:v>
      </x:c>
      <x:c r="E3506" s="6" t="str">
        <x:v>tsangH (C)</x:v>
      </x:c>
      <x:c r="F3506" s="6" t="str">
        <x:v>去聲二十三漾</x:v>
      </x:c>
      <x:c r="G3506" s="6" t="str">
        <x:v>Pingshui main list, Wikisource-derived DOCX</x:v>
      </x:c>
      <x:c r="H3506" s="6" t="str">
        <x:v>1</x:v>
      </x:c>
      <x:c r="I3506" s="6" t="str"/>
      <x:c r="J3506" s="6" t="str">
        <x:f>IF(B3506="","",IF(AND(ISNUMBER(SEARCH("平",B3506)),OR(ISNUMBER(SEARCH("上",B3506)),ISNUMBER(SEARCH("去",B3506)),ISNUMBER(SEARCH("入",B3506)))),"Ambiguous",IF(ISNUMBER(SEARCH("平",B3506)),"平","仄")))</x:f>
        <x:v>仄</x:v>
      </x:c>
      <x:c r="K3506" s="6" t="str">
        <x:f>IF(D3506="","",IF(AND(ISNUMBER(SEARCH("平",D3506)),OR(ISNUMBER(SEARCH("上",D3506)),ISNUMBER(SEARCH("去",D3506)),ISNUMBER(SEARCH("入",D3506)))),"Ambiguous",IF(ISNUMBER(SEARCH("平",D3506)),"平","仄")))</x:f>
        <x:v>仄</x:v>
      </x:c>
      <x:c r="L3506" s="7" t="str"/>
    </x:row>
    <x:row r="3507">
      <x:c r="A3507" s="5" t="str">
        <x:v>葭</x:v>
      </x:c>
      <x:c r="B3507" s="6" t="str">
        <x:v>平</x:v>
      </x:c>
      <x:c r="C3507" s="6" t="str">
        <x:f>IF(B3507="","Needs decision","Ready")</x:f>
        <x:v>Ready</x:v>
      </x:c>
      <x:c r="D3507" s="6" t="str">
        <x:v>平</x:v>
      </x:c>
      <x:c r="E3507" s="6" t="str">
        <x:v>kae [qaˤ] (平)</x:v>
      </x:c>
      <x:c r="F3507" s="6" t="str">
        <x:v>下平聲六麻; 去聲十二震</x:v>
      </x:c>
      <x:c r="G3507" s="6" t="str">
        <x:v>Pingshui main list, Wikisource-derived DOCX</x:v>
      </x:c>
      <x:c r="H3507" s="6" t="str">
        <x:v>1</x:v>
      </x:c>
      <x:c r="I3507" s="6" t="str">
        <x:v>Tang 300 gap; frequency 1; provisional from Xun Gong</x:v>
      </x:c>
      <x:c r="J3507" s="6" t="str">
        <x:f>IF(B3507="","",IF(AND(ISNUMBER(SEARCH("平",B3507)),OR(ISNUMBER(SEARCH("上",B3507)),ISNUMBER(SEARCH("去",B3507)),ISNUMBER(SEARCH("入",B3507)))),"Ambiguous",IF(ISNUMBER(SEARCH("平",B3507)),"平","仄")))</x:f>
        <x:v>平</x:v>
      </x:c>
      <x:c r="K3507" s="6" t="str">
        <x:f>IF(D3507="","",IF(AND(ISNUMBER(SEARCH("平",D3507)),OR(ISNUMBER(SEARCH("上",D3507)),ISNUMBER(SEARCH("去",D3507)),ISNUMBER(SEARCH("入",D3507)))),"Ambiguous",IF(ISNUMBER(SEARCH("平",D3507)),"平","仄")))</x:f>
        <x:v>平</x:v>
      </x:c>
      <x:c r="L3507" s="7" t="str">
        <x:v>Xun Gong, Tang 300 gap fill</x:v>
      </x:c>
    </x:row>
    <x:row r="3508">
      <x:c r="A3508" s="5" t="str">
        <x:v>葯</x:v>
      </x:c>
      <x:c r="B3508" s="6" t="str">
        <x:v>入</x:v>
      </x:c>
      <x:c r="C3508" s="6" t="str">
        <x:f>IF(B3508="","Needs decision","Ready")</x:f>
        <x:v>Ready</x:v>
      </x:c>
      <x:c r="D3508" s="6" t="str">
        <x:v>入</x:v>
      </x:c>
      <x:c r="E3508" s="6" t="str">
        <x:v>'aewk (D); 'jak (D)</x:v>
      </x:c>
      <x:c r="F3508" s="6" t="str">
        <x:v>入聲三覺; 入聲十藥</x:v>
      </x:c>
      <x:c r="G3508" s="6" t="str">
        <x:v>Pingshui main list, Wikisource-derived DOCX</x:v>
      </x:c>
      <x:c r="H3508" s="6" t="str">
        <x:v>2</x:v>
      </x:c>
      <x:c r="I3508" s="6" t="str"/>
      <x:c r="J3508" s="6" t="str">
        <x:f>IF(B3508="","",IF(AND(ISNUMBER(SEARCH("平",B3508)),OR(ISNUMBER(SEARCH("上",B3508)),ISNUMBER(SEARCH("去",B3508)),ISNUMBER(SEARCH("入",B3508)))),"Ambiguous",IF(ISNUMBER(SEARCH("平",B3508)),"平","仄")))</x:f>
        <x:v>仄</x:v>
      </x:c>
      <x:c r="K3508" s="6" t="str">
        <x:f>IF(D3508="","",IF(AND(ISNUMBER(SEARCH("平",D3508)),OR(ISNUMBER(SEARCH("上",D3508)),ISNUMBER(SEARCH("去",D3508)),ISNUMBER(SEARCH("入",D3508)))),"Ambiguous",IF(ISNUMBER(SEARCH("平",D3508)),"平","仄")))</x:f>
        <x:v>仄</x:v>
      </x:c>
      <x:c r="L3508" s="7" t="str"/>
    </x:row>
    <x:row r="3509">
      <x:c r="A3509" s="5" t="str">
        <x:v>葳</x:v>
      </x:c>
      <x:c r="B3509" s="6" t="str">
        <x:v>平</x:v>
      </x:c>
      <x:c r="C3509" s="6" t="str">
        <x:f>IF(B3509="","Needs decision","Ready")</x:f>
        <x:v>Ready</x:v>
      </x:c>
      <x:c r="D3509" s="6" t="str">
        <x:v>平</x:v>
      </x:c>
      <x:c r="E3509" s="6" t="str">
        <x:v>'jw+j [ʔwɨj] (平)</x:v>
      </x:c>
      <x:c r="F3509" s="6" t="str">
        <x:v>上平聲五微</x:v>
      </x:c>
      <x:c r="G3509" s="6" t="str">
        <x:v>Pingshui main list, Wikisource-derived DOCX</x:v>
      </x:c>
      <x:c r="H3509" s="6" t="str">
        <x:v>1</x:v>
      </x:c>
      <x:c r="I3509" s="6" t="str">
        <x:v>Tang 300 gap; frequency 1; provisional from Xun Gong</x:v>
      </x:c>
      <x:c r="J3509" s="6" t="str">
        <x:f>IF(B3509="","",IF(AND(ISNUMBER(SEARCH("平",B3509)),OR(ISNUMBER(SEARCH("上",B3509)),ISNUMBER(SEARCH("去",B3509)),ISNUMBER(SEARCH("入",B3509)))),"Ambiguous",IF(ISNUMBER(SEARCH("平",B3509)),"平","仄")))</x:f>
        <x:v>平</x:v>
      </x:c>
      <x:c r="K3509" s="6" t="str">
        <x:f>IF(D3509="","",IF(AND(ISNUMBER(SEARCH("平",D3509)),OR(ISNUMBER(SEARCH("上",D3509)),ISNUMBER(SEARCH("去",D3509)),ISNUMBER(SEARCH("入",D3509)))),"Ambiguous",IF(ISNUMBER(SEARCH("平",D3509)),"平","仄")))</x:f>
        <x:v>平</x:v>
      </x:c>
      <x:c r="L3509" s="7" t="str">
        <x:v>Xun Gong, Tang 300 gap fill</x:v>
      </x:c>
    </x:row>
    <x:row r="3510">
      <x:c r="A3510" s="5" t="str">
        <x:v>葵</x:v>
      </x:c>
      <x:c r="B3510" s="6" t="str">
        <x:v>平</x:v>
      </x:c>
      <x:c r="C3510" s="6" t="str">
        <x:f>IF(B3510="","Needs decision","Ready")</x:f>
        <x:v>Ready</x:v>
      </x:c>
      <x:c r="D3510" s="6" t="str">
        <x:v>平</x:v>
      </x:c>
      <x:c r="E3510" s="6" t="str">
        <x:v>gjwij (A)</x:v>
      </x:c>
      <x:c r="F3510" s="6" t="str">
        <x:v>上平聲四支</x:v>
      </x:c>
      <x:c r="G3510" s="6" t="str">
        <x:v>Pingshui main list, Wikisource-derived DOCX</x:v>
      </x:c>
      <x:c r="H3510" s="6" t="str">
        <x:v>1</x:v>
      </x:c>
      <x:c r="I3510" s="6" t="str"/>
      <x:c r="J3510" s="6" t="str">
        <x:f>IF(B3510="","",IF(AND(ISNUMBER(SEARCH("平",B3510)),OR(ISNUMBER(SEARCH("上",B3510)),ISNUMBER(SEARCH("去",B3510)),ISNUMBER(SEARCH("入",B3510)))),"Ambiguous",IF(ISNUMBER(SEARCH("平",B3510)),"平","仄")))</x:f>
        <x:v>平</x:v>
      </x:c>
      <x:c r="K3510" s="6" t="str">
        <x:f>IF(D3510="","",IF(AND(ISNUMBER(SEARCH("平",D3510)),OR(ISNUMBER(SEARCH("上",D3510)),ISNUMBER(SEARCH("去",D3510)),ISNUMBER(SEARCH("入",D3510)))),"Ambiguous",IF(ISNUMBER(SEARCH("平",D3510)),"平","仄")))</x:f>
        <x:v>平</x:v>
      </x:c>
      <x:c r="L3510" s="7" t="str"/>
    </x:row>
    <x:row r="3511">
      <x:c r="A3511" s="5" t="str">
        <x:v>葷</x:v>
      </x:c>
      <x:c r="B3511" s="6" t="str">
        <x:v>平</x:v>
      </x:c>
      <x:c r="C3511" s="6" t="str">
        <x:f>IF(B3511="","Needs decision","Ready")</x:f>
        <x:v>Ready</x:v>
      </x:c>
      <x:c r="D3511" s="6" t="str">
        <x:v>平</x:v>
      </x:c>
      <x:c r="E3511" s="6" t="str">
        <x:v>xjun (A)</x:v>
      </x:c>
      <x:c r="F3511" s="6" t="str">
        <x:v>上平聲十二文</x:v>
      </x:c>
      <x:c r="G3511" s="6" t="str">
        <x:v>Pingshui main list, Wikisource-derived DOCX</x:v>
      </x:c>
      <x:c r="H3511" s="6" t="str">
        <x:v>1</x:v>
      </x:c>
      <x:c r="I3511" s="6" t="str"/>
      <x:c r="J3511" s="6" t="str">
        <x:f>IF(B3511="","",IF(AND(ISNUMBER(SEARCH("平",B3511)),OR(ISNUMBER(SEARCH("上",B3511)),ISNUMBER(SEARCH("去",B3511)),ISNUMBER(SEARCH("入",B3511)))),"Ambiguous",IF(ISNUMBER(SEARCH("平",B3511)),"平","仄")))</x:f>
        <x:v>平</x:v>
      </x:c>
      <x:c r="K3511" s="6" t="str">
        <x:f>IF(D3511="","",IF(AND(ISNUMBER(SEARCH("平",D3511)),OR(ISNUMBER(SEARCH("上",D3511)),ISNUMBER(SEARCH("去",D3511)),ISNUMBER(SEARCH("入",D3511)))),"Ambiguous",IF(ISNUMBER(SEARCH("平",D3511)),"平","仄")))</x:f>
        <x:v>平</x:v>
      </x:c>
      <x:c r="L3511" s="7" t="str"/>
    </x:row>
    <x:row r="3512">
      <x:c r="A3512" s="5" t="str">
        <x:v>葹</x:v>
      </x:c>
      <x:c r="B3512" s="6" t="str">
        <x:v>平</x:v>
      </x:c>
      <x:c r="C3512" s="6" t="str">
        <x:f>IF(B3512="","Needs decision","Ready")</x:f>
        <x:v>Ready</x:v>
      </x:c>
      <x:c r="D3512" s="6" t="str">
        <x:v>平</x:v>
      </x:c>
      <x:c r="E3512" s="6" t="str"/>
      <x:c r="F3512" s="6" t="str">
        <x:v>上平聲四支</x:v>
      </x:c>
      <x:c r="G3512" s="6" t="str">
        <x:v>Pingshui main list, Wikisource-derived DOCX</x:v>
      </x:c>
      <x:c r="H3512" s="6" t="str">
        <x:v>0</x:v>
      </x:c>
      <x:c r="I3512" s="6" t="str">
        <x:v>User correction 2026-09-08; added manually</x:v>
      </x:c>
      <x:c r="J3512" s="6" t="str">
        <x:f>IF(B3512="","",IF(AND(ISNUMBER(SEARCH("平",B3512)),OR(ISNUMBER(SEARCH("上",B3512)),ISNUMBER(SEARCH("去",B3512)),ISNUMBER(SEARCH("入",B3512)))),"Ambiguous",IF(ISNUMBER(SEARCH("平",B3512)),"平","仄")))</x:f>
        <x:v>平</x:v>
      </x:c>
      <x:c r="K3512" s="6" t="str">
        <x:f>IF(D3512="","",IF(AND(ISNUMBER(SEARCH("平",D3512)),OR(ISNUMBER(SEARCH("上",D3512)),ISNUMBER(SEARCH("去",D3512)),ISNUMBER(SEARCH("入",D3512)))),"Ambiguous",IF(ISNUMBER(SEARCH("平",D3512)),"平","仄")))</x:f>
        <x:v>平</x:v>
      </x:c>
      <x:c r="L3512" s="7" t="str">
        <x:v>User correction</x:v>
      </x:c>
    </x:row>
    <x:row r="3513">
      <x:c r="A3513" s="5" t="str">
        <x:v>蒐</x:v>
      </x:c>
      <x:c r="B3513" s="6" t="str">
        <x:v>平</x:v>
      </x:c>
      <x:c r="C3513" s="6" t="str">
        <x:f>IF(B3513="","Needs decision","Ready")</x:f>
        <x:v>Ready</x:v>
      </x:c>
      <x:c r="D3513" s="6" t="str">
        <x:v>平</x:v>
      </x:c>
      <x:c r="E3513" s="6" t="str">
        <x:v>srjuw [ʂɨ̯u] (平)</x:v>
      </x:c>
      <x:c r="F3513" s="6" t="str">
        <x:v>下平聲十一尤</x:v>
      </x:c>
      <x:c r="G3513" s="6" t="str">
        <x:v>Pingshui main list, Wikisource-derived DOCX</x:v>
      </x:c>
      <x:c r="H3513" s="6" t="str">
        <x:v>1</x:v>
      </x:c>
      <x:c r="I3513" s="6" t="str">
        <x:v>Tang 300 gap; frequency 1; provisional from Xun Gong</x:v>
      </x:c>
      <x:c r="J3513" s="6" t="str">
        <x:f>IF(B3513="","",IF(AND(ISNUMBER(SEARCH("平",B3513)),OR(ISNUMBER(SEARCH("上",B3513)),ISNUMBER(SEARCH("去",B3513)),ISNUMBER(SEARCH("入",B3513)))),"Ambiguous",IF(ISNUMBER(SEARCH("平",B3513)),"平","仄")))</x:f>
        <x:v>平</x:v>
      </x:c>
      <x:c r="K3513" s="6" t="str">
        <x:f>IF(D3513="","",IF(AND(ISNUMBER(SEARCH("平",D3513)),OR(ISNUMBER(SEARCH("上",D3513)),ISNUMBER(SEARCH("去",D3513)),ISNUMBER(SEARCH("入",D3513)))),"Ambiguous",IF(ISNUMBER(SEARCH("平",D3513)),"平","仄")))</x:f>
        <x:v>平</x:v>
      </x:c>
      <x:c r="L3513" s="7" t="str">
        <x:v>Xun Gong, Tang 300 gap fill</x:v>
      </x:c>
    </x:row>
    <x:row r="3514">
      <x:c r="A3514" s="5" t="str">
        <x:v>蒙</x:v>
      </x:c>
      <x:c r="B3514" s="6" t="str">
        <x:v>平</x:v>
      </x:c>
      <x:c r="C3514" s="6" t="str">
        <x:f>IF(B3514="","Needs decision","Ready")</x:f>
        <x:v>Ready</x:v>
      </x:c>
      <x:c r="D3514" s="6" t="str">
        <x:v>平</x:v>
      </x:c>
      <x:c r="E3514" s="6" t="str">
        <x:v>muwng (A)</x:v>
      </x:c>
      <x:c r="F3514" s="6" t="str">
        <x:v>上平聲一東</x:v>
      </x:c>
      <x:c r="G3514" s="6" t="str">
        <x:v>Pingshui main list, Wikisource-derived DOCX</x:v>
      </x:c>
      <x:c r="H3514" s="6" t="str">
        <x:v>1</x:v>
      </x:c>
      <x:c r="I3514" s="6" t="str"/>
      <x:c r="J3514" s="6" t="str">
        <x:f>IF(B3514="","",IF(AND(ISNUMBER(SEARCH("平",B3514)),OR(ISNUMBER(SEARCH("上",B3514)),ISNUMBER(SEARCH("去",B3514)),ISNUMBER(SEARCH("入",B3514)))),"Ambiguous",IF(ISNUMBER(SEARCH("平",B3514)),"平","仄")))</x:f>
        <x:v>平</x:v>
      </x:c>
      <x:c r="K3514" s="6" t="str">
        <x:f>IF(D3514="","",IF(AND(ISNUMBER(SEARCH("平",D3514)),OR(ISNUMBER(SEARCH("上",D3514)),ISNUMBER(SEARCH("去",D3514)),ISNUMBER(SEARCH("入",D3514)))),"Ambiguous",IF(ISNUMBER(SEARCH("平",D3514)),"平","仄")))</x:f>
        <x:v>平</x:v>
      </x:c>
      <x:c r="L3514" s="7" t="str"/>
    </x:row>
    <x:row r="3515">
      <x:c r="A3515" s="5" t="str">
        <x:v>蒜</x:v>
      </x:c>
      <x:c r="B3515" s="6" t="str">
        <x:v>去</x:v>
      </x:c>
      <x:c r="C3515" s="6" t="str">
        <x:f>IF(B3515="","Needs decision","Ready")</x:f>
        <x:v>Ready</x:v>
      </x:c>
      <x:c r="D3515" s="6" t="str">
        <x:v>去</x:v>
      </x:c>
      <x:c r="E3515" s="6" t="str">
        <x:v>swanH (C)</x:v>
      </x:c>
      <x:c r="F3515" s="6" t="str">
        <x:v>去聲十五翰</x:v>
      </x:c>
      <x:c r="G3515" s="6" t="str">
        <x:v>Pingshui main list, Wikisource-derived DOCX</x:v>
      </x:c>
      <x:c r="H3515" s="6" t="str">
        <x:v>1</x:v>
      </x:c>
      <x:c r="I3515" s="6" t="str"/>
      <x:c r="J3515" s="6" t="str">
        <x:f>IF(B3515="","",IF(AND(ISNUMBER(SEARCH("平",B3515)),OR(ISNUMBER(SEARCH("上",B3515)),ISNUMBER(SEARCH("去",B3515)),ISNUMBER(SEARCH("入",B3515)))),"Ambiguous",IF(ISNUMBER(SEARCH("平",B3515)),"平","仄")))</x:f>
        <x:v>仄</x:v>
      </x:c>
      <x:c r="K3515" s="6" t="str">
        <x:f>IF(D3515="","",IF(AND(ISNUMBER(SEARCH("平",D3515)),OR(ISNUMBER(SEARCH("上",D3515)),ISNUMBER(SEARCH("去",D3515)),ISNUMBER(SEARCH("入",D3515)))),"Ambiguous",IF(ISNUMBER(SEARCH("平",D3515)),"平","仄")))</x:f>
        <x:v>仄</x:v>
      </x:c>
      <x:c r="L3515" s="7" t="str"/>
    </x:row>
    <x:row r="3516">
      <x:c r="A3516" s="5" t="str">
        <x:v>蒡</x:v>
      </x:c>
      <x:c r="B3516" s="6" t="str">
        <x:v>平</x:v>
      </x:c>
      <x:c r="C3516" s="6" t="str">
        <x:f>IF(B3516="","Needs decision","Ready")</x:f>
        <x:v>Ready</x:v>
      </x:c>
      <x:c r="D3516" s="6" t="str">
        <x:v>平</x:v>
      </x:c>
      <x:c r="E3516" s="6" t="str">
        <x:v>bang (A)</x:v>
      </x:c>
      <x:c r="F3516" s="6" t="str">
        <x:v>上聲二十二養</x:v>
      </x:c>
      <x:c r="G3516" s="6" t="str">
        <x:v>Pingshui main list, Wikisource-derived DOCX</x:v>
      </x:c>
      <x:c r="H3516" s="6" t="str">
        <x:v>1</x:v>
      </x:c>
      <x:c r="I3516" s="6" t="str"/>
      <x:c r="J3516" s="6" t="str">
        <x:f>IF(B3516="","",IF(AND(ISNUMBER(SEARCH("平",B3516)),OR(ISNUMBER(SEARCH("上",B3516)),ISNUMBER(SEARCH("去",B3516)),ISNUMBER(SEARCH("入",B3516)))),"Ambiguous",IF(ISNUMBER(SEARCH("平",B3516)),"平","仄")))</x:f>
        <x:v>平</x:v>
      </x:c>
      <x:c r="K3516" s="6" t="str">
        <x:f>IF(D3516="","",IF(AND(ISNUMBER(SEARCH("平",D3516)),OR(ISNUMBER(SEARCH("上",D3516)),ISNUMBER(SEARCH("去",D3516)),ISNUMBER(SEARCH("入",D3516)))),"Ambiguous",IF(ISNUMBER(SEARCH("平",D3516)),"平","仄")))</x:f>
        <x:v>平</x:v>
      </x:c>
      <x:c r="L3516" s="7" t="str"/>
    </x:row>
    <x:row r="3517">
      <x:c r="A3517" s="5" t="str">
        <x:v>蒦</x:v>
      </x:c>
      <x:c r="B3517" s="6" t="str">
        <x:v>入</x:v>
      </x:c>
      <x:c r="C3517" s="6" t="str">
        <x:f>IF(B3517="","Needs decision","Ready")</x:f>
        <x:v>Ready</x:v>
      </x:c>
      <x:c r="D3517" s="6" t="str">
        <x:v>入</x:v>
      </x:c>
      <x:c r="E3517" s="6" t="str">
        <x:v>hweak (D)</x:v>
      </x:c>
      <x:c r="F3517" s="6" t="str"/>
      <x:c r="G3517" s="6" t="str"/>
      <x:c r="H3517" s="6" t="str">
        <x:v>1</x:v>
      </x:c>
      <x:c r="I3517" s="6" t="str"/>
      <x:c r="J3517" s="6" t="str">
        <x:f>IF(B3517="","",IF(AND(ISNUMBER(SEARCH("平",B3517)),OR(ISNUMBER(SEARCH("上",B3517)),ISNUMBER(SEARCH("去",B3517)),ISNUMBER(SEARCH("入",B3517)))),"Ambiguous",IF(ISNUMBER(SEARCH("平",B3517)),"平","仄")))</x:f>
        <x:v>仄</x:v>
      </x:c>
      <x:c r="K3517" s="6" t="str">
        <x:f>IF(D3517="","",IF(AND(ISNUMBER(SEARCH("平",D3517)),OR(ISNUMBER(SEARCH("上",D3517)),ISNUMBER(SEARCH("去",D3517)),ISNUMBER(SEARCH("入",D3517)))),"Ambiguous",IF(ISNUMBER(SEARCH("平",D3517)),"平","仄")))</x:f>
        <x:v>仄</x:v>
      </x:c>
      <x:c r="L3517" s="7" t="str"/>
    </x:row>
    <x:row r="3518">
      <x:c r="A3518" s="5" t="str">
        <x:v>蒨</x:v>
      </x:c>
      <x:c r="B3518" s="6" t="str">
        <x:v>去</x:v>
      </x:c>
      <x:c r="C3518" s="6" t="str">
        <x:f>IF(B3518="","Needs decision","Ready")</x:f>
        <x:v>Ready</x:v>
      </x:c>
      <x:c r="D3518" s="6" t="str">
        <x:v>去</x:v>
      </x:c>
      <x:c r="E3518" s="6" t="str">
        <x:v>tshenH [清開四先去] t̙s̙ʰenh</x:v>
      </x:c>
      <x:c r="F3518" s="6" t="str">
        <x:v>去聲十七霰</x:v>
      </x:c>
      <x:c r="G3518" s="6" t="str">
        <x:v>Pingshui main list, Wikisource-derived DOCX</x:v>
      </x:c>
      <x:c r="H3518" s="6" t="str">
        <x:v>1</x:v>
      </x:c>
      <x:c r="I3518" s="6" t="str">
        <x:v>Targeted preliminary fill from Xun Gong; review if uncertain</x:v>
      </x:c>
      <x:c r="J3518" s="6" t="str">
        <x:f>IF(B3518="","",IF(AND(ISNUMBER(SEARCH("平",B3518)),OR(ISNUMBER(SEARCH("上",B3518)),ISNUMBER(SEARCH("去",B3518)),ISNUMBER(SEARCH("入",B3518)))),"Ambiguous",IF(ISNUMBER(SEARCH("平",B3518)),"平","仄")))</x:f>
        <x:v>仄</x:v>
      </x:c>
      <x:c r="K3518" s="6" t="str">
        <x:f>IF(D3518="","",IF(AND(ISNUMBER(SEARCH("平",D3518)),OR(ISNUMBER(SEARCH("上",D3518)),ISNUMBER(SEARCH("去",D3518)),ISNUMBER(SEARCH("入",D3518)))),"Ambiguous",IF(ISNUMBER(SEARCH("平",D3518)),"平","仄")))</x:f>
        <x:v>仄</x:v>
      </x:c>
      <x:c r="L3518" s="7" t="str">
        <x:v>Xun Gong character-readings.csv</x:v>
      </x:c>
    </x:row>
    <x:row r="3519">
      <x:c r="A3519" s="5" t="str">
        <x:v>蒯</x:v>
      </x:c>
      <x:c r="B3519" s="6" t="str">
        <x:v>去</x:v>
      </x:c>
      <x:c r="C3519" s="6" t="str">
        <x:f>IF(B3519="","Needs decision","Ready")</x:f>
        <x:v>Ready</x:v>
      </x:c>
      <x:c r="D3519" s="6" t="str">
        <x:v>去</x:v>
      </x:c>
      <x:c r="E3519" s="6" t="str">
        <x:v>khweajH (C)</x:v>
      </x:c>
      <x:c r="F3519" s="6" t="str">
        <x:v>去聲十卦</x:v>
      </x:c>
      <x:c r="G3519" s="6" t="str">
        <x:v>Pingshui main list, Wikisource-derived DOCX</x:v>
      </x:c>
      <x:c r="H3519" s="6" t="str">
        <x:v>1</x:v>
      </x:c>
      <x:c r="I3519" s="6" t="str"/>
      <x:c r="J3519" s="6" t="str">
        <x:f>IF(B3519="","",IF(AND(ISNUMBER(SEARCH("平",B3519)),OR(ISNUMBER(SEARCH("上",B3519)),ISNUMBER(SEARCH("去",B3519)),ISNUMBER(SEARCH("入",B3519)))),"Ambiguous",IF(ISNUMBER(SEARCH("平",B3519)),"平","仄")))</x:f>
        <x:v>仄</x:v>
      </x:c>
      <x:c r="K3519" s="6" t="str">
        <x:f>IF(D3519="","",IF(AND(ISNUMBER(SEARCH("平",D3519)),OR(ISNUMBER(SEARCH("上",D3519)),ISNUMBER(SEARCH("去",D3519)),ISNUMBER(SEARCH("入",D3519)))),"Ambiguous",IF(ISNUMBER(SEARCH("平",D3519)),"平","仄")))</x:f>
        <x:v>仄</x:v>
      </x:c>
      <x:c r="L3519" s="7" t="str"/>
    </x:row>
    <x:row r="3520">
      <x:c r="A3520" s="5" t="str">
        <x:v>蒲</x:v>
      </x:c>
      <x:c r="B3520" s="6" t="str">
        <x:v>平</x:v>
      </x:c>
      <x:c r="C3520" s="6" t="str">
        <x:f>IF(B3520="","Needs decision","Ready")</x:f>
        <x:v>Ready</x:v>
      </x:c>
      <x:c r="D3520" s="6" t="str">
        <x:v>平</x:v>
      </x:c>
      <x:c r="E3520" s="6" t="str">
        <x:v>bu (A)</x:v>
      </x:c>
      <x:c r="F3520" s="6" t="str">
        <x:v>上平聲七虞</x:v>
      </x:c>
      <x:c r="G3520" s="6" t="str">
        <x:v>Pingshui main list, Wikisource-derived DOCX</x:v>
      </x:c>
      <x:c r="H3520" s="6" t="str">
        <x:v>1</x:v>
      </x:c>
      <x:c r="I3520" s="6" t="str"/>
      <x:c r="J3520" s="6" t="str">
        <x:f>IF(B3520="","",IF(AND(ISNUMBER(SEARCH("平",B3520)),OR(ISNUMBER(SEARCH("上",B3520)),ISNUMBER(SEARCH("去",B3520)),ISNUMBER(SEARCH("入",B3520)))),"Ambiguous",IF(ISNUMBER(SEARCH("平",B3520)),"平","仄")))</x:f>
        <x:v>平</x:v>
      </x:c>
      <x:c r="K3520" s="6" t="str">
        <x:f>IF(D3520="","",IF(AND(ISNUMBER(SEARCH("平",D3520)),OR(ISNUMBER(SEARCH("上",D3520)),ISNUMBER(SEARCH("去",D3520)),ISNUMBER(SEARCH("入",D3520)))),"Ambiguous",IF(ISNUMBER(SEARCH("平",D3520)),"平","仄")))</x:f>
        <x:v>平</x:v>
      </x:c>
      <x:c r="L3520" s="7" t="str"/>
    </x:row>
    <x:row r="3521">
      <x:c r="A3521" s="5" t="str">
        <x:v>蒸</x:v>
      </x:c>
      <x:c r="B3521" s="6" t="str">
        <x:v>平</x:v>
      </x:c>
      <x:c r="C3521" s="6" t="str">
        <x:f>IF(B3521="","Needs decision","Ready")</x:f>
        <x:v>Ready</x:v>
      </x:c>
      <x:c r="D3521" s="6" t="str">
        <x:v>平</x:v>
      </x:c>
      <x:c r="E3521" s="6" t="str">
        <x:v>tsying (A)</x:v>
      </x:c>
      <x:c r="F3521" s="6" t="str">
        <x:v>下平聲十蒸</x:v>
      </x:c>
      <x:c r="G3521" s="6" t="str">
        <x:v>Pingshui main list, Wikisource-derived DOCX</x:v>
      </x:c>
      <x:c r="H3521" s="6" t="str">
        <x:v>1</x:v>
      </x:c>
      <x:c r="I3521" s="6" t="str"/>
      <x:c r="J3521" s="6" t="str">
        <x:f>IF(B3521="","",IF(AND(ISNUMBER(SEARCH("平",B3521)),OR(ISNUMBER(SEARCH("上",B3521)),ISNUMBER(SEARCH("去",B3521)),ISNUMBER(SEARCH("入",B3521)))),"Ambiguous",IF(ISNUMBER(SEARCH("平",B3521)),"平","仄")))</x:f>
        <x:v>平</x:v>
      </x:c>
      <x:c r="K3521" s="6" t="str">
        <x:f>IF(D3521="","",IF(AND(ISNUMBER(SEARCH("平",D3521)),OR(ISNUMBER(SEARCH("上",D3521)),ISNUMBER(SEARCH("去",D3521)),ISNUMBER(SEARCH("入",D3521)))),"Ambiguous",IF(ISNUMBER(SEARCH("平",D3521)),"平","仄")))</x:f>
        <x:v>平</x:v>
      </x:c>
      <x:c r="L3521" s="7" t="str"/>
    </x:row>
    <x:row r="3522">
      <x:c r="A3522" s="5" t="str">
        <x:v>蒹</x:v>
      </x:c>
      <x:c r="B3522" s="6" t="str">
        <x:v>平</x:v>
      </x:c>
      <x:c r="C3522" s="6" t="str">
        <x:f>IF(B3522="","Needs decision","Ready")</x:f>
        <x:v>Ready</x:v>
      </x:c>
      <x:c r="D3522" s="6" t="str">
        <x:v>平</x:v>
      </x:c>
      <x:c r="E3522" s="6" t="str">
        <x:v>kem (A)</x:v>
      </x:c>
      <x:c r="F3522" s="6" t="str">
        <x:v>下平聲十四鹽</x:v>
      </x:c>
      <x:c r="G3522" s="6" t="str">
        <x:v>Pingshui main list, Wikisource-derived DOCX</x:v>
      </x:c>
      <x:c r="H3522" s="6" t="str">
        <x:v>1</x:v>
      </x:c>
      <x:c r="I3522" s="6" t="str"/>
      <x:c r="J3522" s="6" t="str">
        <x:f>IF(B3522="","",IF(AND(ISNUMBER(SEARCH("平",B3522)),OR(ISNUMBER(SEARCH("上",B3522)),ISNUMBER(SEARCH("去",B3522)),ISNUMBER(SEARCH("入",B3522)))),"Ambiguous",IF(ISNUMBER(SEARCH("平",B3522)),"平","仄")))</x:f>
        <x:v>平</x:v>
      </x:c>
      <x:c r="K3522" s="6" t="str">
        <x:f>IF(D3522="","",IF(AND(ISNUMBER(SEARCH("平",D3522)),OR(ISNUMBER(SEARCH("上",D3522)),ISNUMBER(SEARCH("去",D3522)),ISNUMBER(SEARCH("入",D3522)))),"Ambiguous",IF(ISNUMBER(SEARCH("平",D3522)),"平","仄")))</x:f>
        <x:v>平</x:v>
      </x:c>
      <x:c r="L3522" s="7" t="str"/>
    </x:row>
    <x:row r="3523">
      <x:c r="A3523" s="5" t="str">
        <x:v>蒺</x:v>
      </x:c>
      <x:c r="B3523" s="6" t="str">
        <x:v>入</x:v>
      </x:c>
      <x:c r="C3523" s="6" t="str">
        <x:f>IF(B3523="","Needs decision","Ready")</x:f>
        <x:v>Ready</x:v>
      </x:c>
      <x:c r="D3523" s="6" t="str">
        <x:v>入</x:v>
      </x:c>
      <x:c r="E3523" s="6" t="str">
        <x:v>dzit [dzit] (入)</x:v>
      </x:c>
      <x:c r="F3523" s="6" t="str">
        <x:v>入聲四質</x:v>
      </x:c>
      <x:c r="G3523" s="6" t="str">
        <x:v>Pingshui main list, Wikisource-derived DOCX</x:v>
      </x:c>
      <x:c r="H3523" s="6" t="str">
        <x:v>1</x:v>
      </x:c>
      <x:c r="I3523" s="6" t="str">
        <x:v>Tang 300 gap; frequency 1; provisional from Xun Gong</x:v>
      </x:c>
      <x:c r="J3523" s="6" t="str">
        <x:f>IF(B3523="","",IF(AND(ISNUMBER(SEARCH("平",B3523)),OR(ISNUMBER(SEARCH("上",B3523)),ISNUMBER(SEARCH("去",B3523)),ISNUMBER(SEARCH("入",B3523)))),"Ambiguous",IF(ISNUMBER(SEARCH("平",B3523)),"平","仄")))</x:f>
        <x:v>仄</x:v>
      </x:c>
      <x:c r="K3523" s="6" t="str">
        <x:f>IF(D3523="","",IF(AND(ISNUMBER(SEARCH("平",D3523)),OR(ISNUMBER(SEARCH("上",D3523)),ISNUMBER(SEARCH("去",D3523)),ISNUMBER(SEARCH("入",D3523)))),"Ambiguous",IF(ISNUMBER(SEARCH("平",D3523)),"平","仄")))</x:f>
        <x:v>仄</x:v>
      </x:c>
      <x:c r="L3523" s="7" t="str">
        <x:v>Xun Gong, Tang 300 gap fill</x:v>
      </x:c>
    </x:row>
    <x:row r="3524">
      <x:c r="A3524" s="5" t="str">
        <x:v>蒼</x:v>
      </x:c>
      <x:c r="B3524" s="6" t="str">
        <x:v>平</x:v>
      </x:c>
      <x:c r="C3524" s="6" t="str">
        <x:f>IF(B3524="","Needs decision","Ready")</x:f>
        <x:v>Ready</x:v>
      </x:c>
      <x:c r="D3524" s="6" t="str">
        <x:v>平</x:v>
      </x:c>
      <x:c r="E3524" s="6" t="str">
        <x:v>tshang (A)</x:v>
      </x:c>
      <x:c r="F3524" s="6" t="str">
        <x:v>下平聲七陽; 上聲二十二養</x:v>
      </x:c>
      <x:c r="G3524" s="6" t="str">
        <x:v>Pingshui main list, Wikisource-derived DOCX</x:v>
      </x:c>
      <x:c r="H3524" s="6" t="str">
        <x:v>1</x:v>
      </x:c>
      <x:c r="I3524" s="6" t="str"/>
      <x:c r="J3524" s="6" t="str">
        <x:f>IF(B3524="","",IF(AND(ISNUMBER(SEARCH("平",B3524)),OR(ISNUMBER(SEARCH("上",B3524)),ISNUMBER(SEARCH("去",B3524)),ISNUMBER(SEARCH("入",B3524)))),"Ambiguous",IF(ISNUMBER(SEARCH("平",B3524)),"平","仄")))</x:f>
        <x:v>平</x:v>
      </x:c>
      <x:c r="K3524" s="6" t="str">
        <x:f>IF(D3524="","",IF(AND(ISNUMBER(SEARCH("平",D3524)),OR(ISNUMBER(SEARCH("上",D3524)),ISNUMBER(SEARCH("去",D3524)),ISNUMBER(SEARCH("入",D3524)))),"Ambiguous",IF(ISNUMBER(SEARCH("平",D3524)),"平","仄")))</x:f>
        <x:v>平</x:v>
      </x:c>
      <x:c r="L3524" s="7" t="str"/>
    </x:row>
    <x:row r="3525">
      <x:c r="A3525" s="5" t="str">
        <x:v>蒿</x:v>
      </x:c>
      <x:c r="B3525" s="6" t="str">
        <x:v>平</x:v>
      </x:c>
      <x:c r="C3525" s="6" t="str">
        <x:f>IF(B3525="","Needs decision","Ready")</x:f>
        <x:v>Ready</x:v>
      </x:c>
      <x:c r="D3525" s="6" t="str">
        <x:v>平</x:v>
      </x:c>
      <x:c r="E3525" s="6" t="str">
        <x:v>xaw (A)</x:v>
      </x:c>
      <x:c r="F3525" s="6" t="str">
        <x:v>下平聲四豪</x:v>
      </x:c>
      <x:c r="G3525" s="6" t="str">
        <x:v>Pingshui main list, Wikisource-derived DOCX</x:v>
      </x:c>
      <x:c r="H3525" s="6" t="str">
        <x:v>1</x:v>
      </x:c>
      <x:c r="I3525" s="6" t="str"/>
      <x:c r="J3525" s="6" t="str">
        <x:f>IF(B3525="","",IF(AND(ISNUMBER(SEARCH("平",B3525)),OR(ISNUMBER(SEARCH("上",B3525)),ISNUMBER(SEARCH("去",B3525)),ISNUMBER(SEARCH("入",B3525)))),"Ambiguous",IF(ISNUMBER(SEARCH("平",B3525)),"平","仄")))</x:f>
        <x:v>平</x:v>
      </x:c>
      <x:c r="K3525" s="6" t="str">
        <x:f>IF(D3525="","",IF(AND(ISNUMBER(SEARCH("平",D3525)),OR(ISNUMBER(SEARCH("上",D3525)),ISNUMBER(SEARCH("去",D3525)),ISNUMBER(SEARCH("入",D3525)))),"Ambiguous",IF(ISNUMBER(SEARCH("平",D3525)),"平","仄")))</x:f>
        <x:v>平</x:v>
      </x:c>
      <x:c r="L3525" s="7" t="str"/>
    </x:row>
    <x:row r="3526">
      <x:c r="A3526" s="5" t="str">
        <x:v>蓁</x:v>
      </x:c>
      <x:c r="B3526" s="6" t="str">
        <x:v>平</x:v>
      </x:c>
      <x:c r="C3526" s="6" t="str">
        <x:f>IF(B3526="","Needs decision","Ready")</x:f>
        <x:v>Ready</x:v>
      </x:c>
      <x:c r="D3526" s="6" t="str">
        <x:v>平</x:v>
      </x:c>
      <x:c r="E3526" s="6" t="str">
        <x:v>tsrin (A)</x:v>
      </x:c>
      <x:c r="F3526" s="6" t="str">
        <x:v>上平聲十一真</x:v>
      </x:c>
      <x:c r="G3526" s="6" t="str">
        <x:v>Pingshui main list, Wikisource-derived DOCX</x:v>
      </x:c>
      <x:c r="H3526" s="6" t="str">
        <x:v>1</x:v>
      </x:c>
      <x:c r="I3526" s="6" t="str"/>
      <x:c r="J3526" s="6" t="str">
        <x:f>IF(B3526="","",IF(AND(ISNUMBER(SEARCH("平",B3526)),OR(ISNUMBER(SEARCH("上",B3526)),ISNUMBER(SEARCH("去",B3526)),ISNUMBER(SEARCH("入",B3526)))),"Ambiguous",IF(ISNUMBER(SEARCH("平",B3526)),"平","仄")))</x:f>
        <x:v>平</x:v>
      </x:c>
      <x:c r="K3526" s="6" t="str">
        <x:f>IF(D3526="","",IF(AND(ISNUMBER(SEARCH("平",D3526)),OR(ISNUMBER(SEARCH("上",D3526)),ISNUMBER(SEARCH("去",D3526)),ISNUMBER(SEARCH("入",D3526)))),"Ambiguous",IF(ISNUMBER(SEARCH("平",D3526)),"平","仄")))</x:f>
        <x:v>平</x:v>
      </x:c>
      <x:c r="L3526" s="7" t="str"/>
    </x:row>
    <x:row r="3527">
      <x:c r="A3527" s="5" t="str">
        <x:v>蓄</x:v>
      </x:c>
      <x:c r="B3527" s="6" t="str">
        <x:v>入</x:v>
      </x:c>
      <x:c r="C3527" s="6" t="str">
        <x:f>IF(B3527="","Needs decision","Ready")</x:f>
        <x:v>Ready</x:v>
      </x:c>
      <x:c r="D3527" s="6" t="str">
        <x:v>入</x:v>
      </x:c>
      <x:c r="E3527" s="6" t="str">
        <x:v>trhjuwk (D); xjuwk (D)</x:v>
      </x:c>
      <x:c r="F3527" s="6" t="str">
        <x:v>入聲一屋</x:v>
      </x:c>
      <x:c r="G3527" s="6" t="str">
        <x:v>Pingshui main list, Wikisource-derived DOCX</x:v>
      </x:c>
      <x:c r="H3527" s="6" t="str">
        <x:v>2</x:v>
      </x:c>
      <x:c r="I3527" s="6" t="str"/>
      <x:c r="J3527" s="6" t="str">
        <x:f>IF(B3527="","",IF(AND(ISNUMBER(SEARCH("平",B3527)),OR(ISNUMBER(SEARCH("上",B3527)),ISNUMBER(SEARCH("去",B3527)),ISNUMBER(SEARCH("入",B3527)))),"Ambiguous",IF(ISNUMBER(SEARCH("平",B3527)),"平","仄")))</x:f>
        <x:v>仄</x:v>
      </x:c>
      <x:c r="K3527" s="6" t="str">
        <x:f>IF(D3527="","",IF(AND(ISNUMBER(SEARCH("平",D3527)),OR(ISNUMBER(SEARCH("上",D3527)),ISNUMBER(SEARCH("去",D3527)),ISNUMBER(SEARCH("入",D3527)))),"Ambiguous",IF(ISNUMBER(SEARCH("平",D3527)),"平","仄")))</x:f>
        <x:v>仄</x:v>
      </x:c>
      <x:c r="L3527" s="7" t="str"/>
    </x:row>
    <x:row r="3528">
      <x:c r="A3528" s="5" t="str">
        <x:v>蓉</x:v>
      </x:c>
      <x:c r="B3528" s="6" t="str">
        <x:v>平</x:v>
      </x:c>
      <x:c r="C3528" s="6" t="str">
        <x:f>IF(B3528="","Needs decision","Ready")</x:f>
        <x:v>Ready</x:v>
      </x:c>
      <x:c r="D3528" s="6" t="str">
        <x:v>平</x:v>
      </x:c>
      <x:c r="E3528" s="6" t="str"/>
      <x:c r="F3528" s="6" t="str">
        <x:v>上平聲二冬</x:v>
      </x:c>
      <x:c r="G3528" s="6" t="str">
        <x:v>Pingshui main list, Wikisource-derived DOCX</x:v>
      </x:c>
      <x:c r="H3528" s="6" t="str"/>
      <x:c r="I3528" s="6" t="str">
        <x:v>Manual user correction/addition</x:v>
      </x:c>
      <x:c r="J3528" s="6" t="str">
        <x:f>IF(B3528="","",IF(AND(ISNUMBER(SEARCH("平",B3528)),OR(ISNUMBER(SEARCH("上",B3528)),ISNUMBER(SEARCH("去",B3528)),ISNUMBER(SEARCH("入",B3528)))),"Ambiguous",IF(ISNUMBER(SEARCH("平",B3528)),"平","仄")))</x:f>
        <x:v>平</x:v>
      </x:c>
      <x:c r="K3528" s="6" t="str">
        <x:f>IF(D3528="","",IF(AND(ISNUMBER(SEARCH("平",D3528)),OR(ISNUMBER(SEARCH("上",D3528)),ISNUMBER(SEARCH("去",D3528)),ISNUMBER(SEARCH("入",D3528)))),"Ambiguous",IF(ISNUMBER(SEARCH("平",D3528)),"平","仄")))</x:f>
        <x:v>平</x:v>
      </x:c>
      <x:c r="L3528" s="7" t="str">
        <x:v>manual user correction</x:v>
      </x:c>
    </x:row>
    <x:row r="3529">
      <x:c r="A3529" s="5" t="str">
        <x:v>蓊</x:v>
      </x:c>
      <x:c r="B3529" s="6" t="str">
        <x:v>上</x:v>
      </x:c>
      <x:c r="C3529" s="6" t="str">
        <x:f>IF(B3529="","Needs decision","Ready")</x:f>
        <x:v>Ready</x:v>
      </x:c>
      <x:c r="D3529" s="6" t="str">
        <x:v>上</x:v>
      </x:c>
      <x:c r="E3529" s="6" t="str"/>
      <x:c r="F3529" s="6" t="str">
        <x:v>上聲一董</x:v>
      </x:c>
      <x:c r="G3529" s="6" t="str">
        <x:v>Pingshui main list, Wikisource-derived DOCX</x:v>
      </x:c>
      <x:c r="H3529" s="6" t="str">
        <x:v>0</x:v>
      </x:c>
      <x:c r="I3529" s="6" t="str">
        <x:v>User correction 2026-09-08; added manually</x:v>
      </x:c>
      <x:c r="J3529" s="6" t="str">
        <x:f>IF(B3529="","",IF(AND(ISNUMBER(SEARCH("平",B3529)),OR(ISNUMBER(SEARCH("上",B3529)),ISNUMBER(SEARCH("去",B3529)),ISNUMBER(SEARCH("入",B3529)))),"Ambiguous",IF(ISNUMBER(SEARCH("平",B3529)),"平","仄")))</x:f>
        <x:v>仄</x:v>
      </x:c>
      <x:c r="K3529" s="6" t="str">
        <x:f>IF(D3529="","",IF(AND(ISNUMBER(SEARCH("平",D3529)),OR(ISNUMBER(SEARCH("上",D3529)),ISNUMBER(SEARCH("去",D3529)),ISNUMBER(SEARCH("入",D3529)))),"Ambiguous",IF(ISNUMBER(SEARCH("平",D3529)),"平","仄")))</x:f>
        <x:v>仄</x:v>
      </x:c>
      <x:c r="L3529" s="7" t="str">
        <x:v>User correction</x:v>
      </x:c>
    </x:row>
    <x:row r="3530">
      <x:c r="A3530" s="5" t="str">
        <x:v>蓋</x:v>
      </x:c>
      <x:c r="B3530" s="6" t="str">
        <x:v>去</x:v>
      </x:c>
      <x:c r="C3530" s="6" t="str">
        <x:f>IF(B3530="","Needs decision","Ready")</x:f>
        <x:v>Ready</x:v>
      </x:c>
      <x:c r="D3530" s="6" t="str">
        <x:v>去/入</x:v>
      </x:c>
      <x:c r="E3530" s="6" t="str">
        <x:v>kajH (C); hap (D)</x:v>
      </x:c>
      <x:c r="F3530" s="6" t="str">
        <x:v>去聲九泰</x:v>
      </x:c>
      <x:c r="G3530" s="6" t="str">
        <x:v>Pingshui main list, Wikisource-derived DOCX</x:v>
      </x:c>
      <x:c r="H3530" s="6" t="str">
        <x:v>2</x:v>
      </x:c>
      <x:c r="I3530" s="6" t="str">
        <x:v>Manual user correction/addition</x:v>
      </x:c>
      <x:c r="J3530" s="6" t="str">
        <x:f>IF(B3530="","",IF(AND(ISNUMBER(SEARCH("平",B3530)),OR(ISNUMBER(SEARCH("上",B3530)),ISNUMBER(SEARCH("去",B3530)),ISNUMBER(SEARCH("入",B3530)))),"Ambiguous",IF(ISNUMBER(SEARCH("平",B3530)),"平","仄")))</x:f>
        <x:v>仄</x:v>
      </x:c>
      <x:c r="K3530" s="6" t="str">
        <x:f>IF(D3530="","",IF(AND(ISNUMBER(SEARCH("平",D3530)),OR(ISNUMBER(SEARCH("上",D3530)),ISNUMBER(SEARCH("去",D3530)),ISNUMBER(SEARCH("入",D3530)))),"Ambiguous",IF(ISNUMBER(SEARCH("平",D3530)),"平","仄")))</x:f>
        <x:v>仄</x:v>
      </x:c>
      <x:c r="L3530" s="7" t="str">
        <x:v>manual user correction</x:v>
      </x:c>
    </x:row>
    <x:row r="3531">
      <x:c r="A3531" s="5" t="str">
        <x:v>蓍</x:v>
      </x:c>
      <x:c r="B3531" s="6" t="str">
        <x:v>平</x:v>
      </x:c>
      <x:c r="C3531" s="6" t="str">
        <x:f>IF(B3531="","Needs decision","Ready")</x:f>
        <x:v>Ready</x:v>
      </x:c>
      <x:c r="D3531" s="6" t="str">
        <x:v>平</x:v>
      </x:c>
      <x:c r="E3531" s="6" t="str">
        <x:v>syij (A)</x:v>
      </x:c>
      <x:c r="F3531" s="6" t="str">
        <x:v>上平聲四支</x:v>
      </x:c>
      <x:c r="G3531" s="6" t="str">
        <x:v>Pingshui main list, Wikisource-derived DOCX</x:v>
      </x:c>
      <x:c r="H3531" s="6" t="str">
        <x:v>1</x:v>
      </x:c>
      <x:c r="I3531" s="6" t="str"/>
      <x:c r="J3531" s="6" t="str">
        <x:f>IF(B3531="","",IF(AND(ISNUMBER(SEARCH("平",B3531)),OR(ISNUMBER(SEARCH("上",B3531)),ISNUMBER(SEARCH("去",B3531)),ISNUMBER(SEARCH("入",B3531)))),"Ambiguous",IF(ISNUMBER(SEARCH("平",B3531)),"平","仄")))</x:f>
        <x:v>平</x:v>
      </x:c>
      <x:c r="K3531" s="6" t="str">
        <x:f>IF(D3531="","",IF(AND(ISNUMBER(SEARCH("平",D3531)),OR(ISNUMBER(SEARCH("上",D3531)),ISNUMBER(SEARCH("去",D3531)),ISNUMBER(SEARCH("入",D3531)))),"Ambiguous",IF(ISNUMBER(SEARCH("平",D3531)),"平","仄")))</x:f>
        <x:v>平</x:v>
      </x:c>
      <x:c r="L3531" s="7" t="str"/>
    </x:row>
    <x:row r="3532">
      <x:c r="A3532" s="5" t="str">
        <x:v>蓐</x:v>
      </x:c>
      <x:c r="B3532" s="6" t="str">
        <x:v>入</x:v>
      </x:c>
      <x:c r="C3532" s="6" t="str">
        <x:f>IF(B3532="","Needs decision","Ready")</x:f>
        <x:v>Ready</x:v>
      </x:c>
      <x:c r="D3532" s="6" t="str">
        <x:v>入</x:v>
      </x:c>
      <x:c r="E3532" s="6" t="str">
        <x:v>nyowk (D)</x:v>
      </x:c>
      <x:c r="F3532" s="6" t="str">
        <x:v>入聲二沃</x:v>
      </x:c>
      <x:c r="G3532" s="6" t="str">
        <x:v>Pingshui main list, Wikisource-derived DOCX</x:v>
      </x:c>
      <x:c r="H3532" s="6" t="str">
        <x:v>1</x:v>
      </x:c>
      <x:c r="I3532" s="6" t="str"/>
      <x:c r="J3532" s="6" t="str">
        <x:f>IF(B3532="","",IF(AND(ISNUMBER(SEARCH("平",B3532)),OR(ISNUMBER(SEARCH("上",B3532)),ISNUMBER(SEARCH("去",B3532)),ISNUMBER(SEARCH("入",B3532)))),"Ambiguous",IF(ISNUMBER(SEARCH("平",B3532)),"平","仄")))</x:f>
        <x:v>仄</x:v>
      </x:c>
      <x:c r="K3532" s="6" t="str">
        <x:f>IF(D3532="","",IF(AND(ISNUMBER(SEARCH("平",D3532)),OR(ISNUMBER(SEARCH("上",D3532)),ISNUMBER(SEARCH("去",D3532)),ISNUMBER(SEARCH("入",D3532)))),"Ambiguous",IF(ISNUMBER(SEARCH("平",D3532)),"平","仄")))</x:f>
        <x:v>仄</x:v>
      </x:c>
      <x:c r="L3532" s="7" t="str"/>
    </x:row>
    <x:row r="3533">
      <x:c r="A3533" s="5" t="str">
        <x:v>蓑</x:v>
      </x:c>
      <x:c r="B3533" s="6" t="str">
        <x:v>平</x:v>
      </x:c>
      <x:c r="C3533" s="6" t="str">
        <x:f>IF(B3533="","Needs decision","Ready")</x:f>
        <x:v>Ready</x:v>
      </x:c>
      <x:c r="D3533" s="6" t="str">
        <x:v>平</x:v>
      </x:c>
      <x:c r="E3533" s="6" t="str">
        <x:v>swa (A)</x:v>
      </x:c>
      <x:c r="F3533" s="6" t="str">
        <x:v>下平聲五歌</x:v>
      </x:c>
      <x:c r="G3533" s="6" t="str">
        <x:v>Pingshui main list, Wikisource-derived DOCX</x:v>
      </x:c>
      <x:c r="H3533" s="6" t="str">
        <x:v>1</x:v>
      </x:c>
      <x:c r="I3533" s="6" t="str"/>
      <x:c r="J3533" s="6" t="str">
        <x:f>IF(B3533="","",IF(AND(ISNUMBER(SEARCH("平",B3533)),OR(ISNUMBER(SEARCH("上",B3533)),ISNUMBER(SEARCH("去",B3533)),ISNUMBER(SEARCH("入",B3533)))),"Ambiguous",IF(ISNUMBER(SEARCH("平",B3533)),"平","仄")))</x:f>
        <x:v>平</x:v>
      </x:c>
      <x:c r="K3533" s="6" t="str">
        <x:f>IF(D3533="","",IF(AND(ISNUMBER(SEARCH("平",D3533)),OR(ISNUMBER(SEARCH("上",D3533)),ISNUMBER(SEARCH("去",D3533)),ISNUMBER(SEARCH("入",D3533)))),"Ambiguous",IF(ISNUMBER(SEARCH("平",D3533)),"平","仄")))</x:f>
        <x:v>平</x:v>
      </x:c>
      <x:c r="L3533" s="7" t="str"/>
    </x:row>
    <x:row r="3534">
      <x:c r="A3534" s="5" t="str">
        <x:v>蓬</x:v>
      </x:c>
      <x:c r="B3534" s="6" t="str">
        <x:v>平</x:v>
      </x:c>
      <x:c r="C3534" s="6" t="str">
        <x:f>IF(B3534="","Needs decision","Ready")</x:f>
        <x:v>Ready</x:v>
      </x:c>
      <x:c r="D3534" s="6" t="str">
        <x:v>平</x:v>
      </x:c>
      <x:c r="E3534" s="6" t="str">
        <x:v>buwng [並一東平] b̙uŋ</x:v>
      </x:c>
      <x:c r="F3534" s="6" t="str">
        <x:v>上平聲一東</x:v>
      </x:c>
      <x:c r="G3534" s="6" t="str">
        <x:v>Pingshui main list, Wikisource-derived DOCX</x:v>
      </x:c>
      <x:c r="H3534" s="6" t="str">
        <x:v>1</x:v>
      </x:c>
      <x:c r="I3534" s="6" t="str">
        <x:v>Targeted preliminary fill from Xun Gong; review if uncertain</x:v>
      </x:c>
      <x:c r="J3534" s="6" t="str">
        <x:f>IF(B3534="","",IF(AND(ISNUMBER(SEARCH("平",B3534)),OR(ISNUMBER(SEARCH("上",B3534)),ISNUMBER(SEARCH("去",B3534)),ISNUMBER(SEARCH("入",B3534)))),"Ambiguous",IF(ISNUMBER(SEARCH("平",B3534)),"平","仄")))</x:f>
        <x:v>平</x:v>
      </x:c>
      <x:c r="K3534" s="6" t="str">
        <x:f>IF(D3534="","",IF(AND(ISNUMBER(SEARCH("平",D3534)),OR(ISNUMBER(SEARCH("上",D3534)),ISNUMBER(SEARCH("去",D3534)),ISNUMBER(SEARCH("入",D3534)))),"Ambiguous",IF(ISNUMBER(SEARCH("平",D3534)),"平","仄")))</x:f>
        <x:v>平</x:v>
      </x:c>
      <x:c r="L3534" s="7" t="str">
        <x:v>Xun Gong character-readings.csv</x:v>
      </x:c>
    </x:row>
    <x:row r="3535">
      <x:c r="A3535" s="5" t="str">
        <x:v>蓮</x:v>
      </x:c>
      <x:c r="B3535" s="6" t="str">
        <x:v>平</x:v>
      </x:c>
      <x:c r="C3535" s="6" t="str">
        <x:f>IF(B3535="","Needs decision","Ready")</x:f>
        <x:v>Ready</x:v>
      </x:c>
      <x:c r="D3535" s="6" t="str">
        <x:v>平</x:v>
      </x:c>
      <x:c r="E3535" s="6" t="str">
        <x:v>len (A)</x:v>
      </x:c>
      <x:c r="F3535" s="6" t="str">
        <x:v>下平聲一先</x:v>
      </x:c>
      <x:c r="G3535" s="6" t="str">
        <x:v>Pingshui main list, Wikisource-derived DOCX</x:v>
      </x:c>
      <x:c r="H3535" s="6" t="str">
        <x:v>1</x:v>
      </x:c>
      <x:c r="I3535" s="6" t="str"/>
      <x:c r="J3535" s="6" t="str">
        <x:f>IF(B3535="","",IF(AND(ISNUMBER(SEARCH("平",B3535)),OR(ISNUMBER(SEARCH("上",B3535)),ISNUMBER(SEARCH("去",B3535)),ISNUMBER(SEARCH("入",B3535)))),"Ambiguous",IF(ISNUMBER(SEARCH("平",B3535)),"平","仄")))</x:f>
        <x:v>平</x:v>
      </x:c>
      <x:c r="K3535" s="6" t="str">
        <x:f>IF(D3535="","",IF(AND(ISNUMBER(SEARCH("平",D3535)),OR(ISNUMBER(SEARCH("上",D3535)),ISNUMBER(SEARCH("去",D3535)),ISNUMBER(SEARCH("入",D3535)))),"Ambiguous",IF(ISNUMBER(SEARCH("平",D3535)),"平","仄")))</x:f>
        <x:v>平</x:v>
      </x:c>
      <x:c r="L3535" s="7" t="str"/>
    </x:row>
    <x:row r="3536">
      <x:c r="A3536" s="5" t="str">
        <x:v>蓳</x:v>
      </x:c>
      <x:c r="B3536" s="6" t="str">
        <x:v>上</x:v>
      </x:c>
      <x:c r="C3536" s="6" t="str">
        <x:f>IF(B3536="","Needs decision","Ready")</x:f>
        <x:v>Ready</x:v>
      </x:c>
      <x:c r="D3536" s="6" t="str">
        <x:v>上/去</x:v>
      </x:c>
      <x:c r="E3536" s="6" t="str">
        <x:v>kj+nX (B); kj+nH (C)</x:v>
      </x:c>
      <x:c r="F3536" s="6" t="str"/>
      <x:c r="G3536" s="6" t="str"/>
      <x:c r="H3536" s="6" t="str">
        <x:v>2</x:v>
      </x:c>
      <x:c r="I3536" s="6" t="str"/>
      <x:c r="J3536" s="6" t="str">
        <x:f>IF(B3536="","",IF(AND(ISNUMBER(SEARCH("平",B3536)),OR(ISNUMBER(SEARCH("上",B3536)),ISNUMBER(SEARCH("去",B3536)),ISNUMBER(SEARCH("入",B3536)))),"Ambiguous",IF(ISNUMBER(SEARCH("平",B3536)),"平","仄")))</x:f>
        <x:v>仄</x:v>
      </x:c>
      <x:c r="K3536" s="6" t="str">
        <x:f>IF(D3536="","",IF(AND(ISNUMBER(SEARCH("平",D3536)),OR(ISNUMBER(SEARCH("上",D3536)),ISNUMBER(SEARCH("去",D3536)),ISNUMBER(SEARCH("入",D3536)))),"Ambiguous",IF(ISNUMBER(SEARCH("平",D3536)),"平","仄")))</x:f>
        <x:v>仄</x:v>
      </x:c>
      <x:c r="L3536" s="7" t="str"/>
    </x:row>
    <x:row r="3537">
      <x:c r="A3537" s="5" t="str">
        <x:v>蓺</x:v>
      </x:c>
      <x:c r="B3537" s="6" t="str">
        <x:v>去</x:v>
      </x:c>
      <x:c r="C3537" s="6" t="str">
        <x:f>IF(B3537="","Needs decision","Ready")</x:f>
        <x:v>Ready</x:v>
      </x:c>
      <x:c r="D3537" s="6" t="str">
        <x:v>去</x:v>
      </x:c>
      <x:c r="E3537" s="6" t="str">
        <x:v>ngjiejH (C)</x:v>
      </x:c>
      <x:c r="F3537" s="6" t="str"/>
      <x:c r="G3537" s="6" t="str"/>
      <x:c r="H3537" s="6" t="str">
        <x:v>1</x:v>
      </x:c>
      <x:c r="I3537" s="6" t="str"/>
      <x:c r="J3537" s="6" t="str">
        <x:f>IF(B3537="","",IF(AND(ISNUMBER(SEARCH("平",B3537)),OR(ISNUMBER(SEARCH("上",B3537)),ISNUMBER(SEARCH("去",B3537)),ISNUMBER(SEARCH("入",B3537)))),"Ambiguous",IF(ISNUMBER(SEARCH("平",B3537)),"平","仄")))</x:f>
        <x:v>仄</x:v>
      </x:c>
      <x:c r="K3537" s="6" t="str">
        <x:f>IF(D3537="","",IF(AND(ISNUMBER(SEARCH("平",D3537)),OR(ISNUMBER(SEARCH("上",D3537)),ISNUMBER(SEARCH("去",D3537)),ISNUMBER(SEARCH("入",D3537)))),"Ambiguous",IF(ISNUMBER(SEARCH("平",D3537)),"平","仄")))</x:f>
        <x:v>仄</x:v>
      </x:c>
      <x:c r="L3537" s="7" t="str"/>
    </x:row>
    <x:row r="3538">
      <x:c r="A3538" s="5" t="str">
        <x:v>蔑</x:v>
      </x:c>
      <x:c r="B3538" s="6" t="str">
        <x:v>入</x:v>
      </x:c>
      <x:c r="C3538" s="6" t="str">
        <x:f>IF(B3538="","Needs decision","Ready")</x:f>
        <x:v>Ready</x:v>
      </x:c>
      <x:c r="D3538" s="6" t="str">
        <x:v>入</x:v>
      </x:c>
      <x:c r="E3538" s="6" t="str">
        <x:v>met (D)</x:v>
      </x:c>
      <x:c r="F3538" s="6" t="str">
        <x:v>入聲九屑</x:v>
      </x:c>
      <x:c r="G3538" s="6" t="str">
        <x:v>Pingshui main list, Wikisource-derived DOCX</x:v>
      </x:c>
      <x:c r="H3538" s="6" t="str">
        <x:v>1</x:v>
      </x:c>
      <x:c r="I3538" s="6" t="str"/>
      <x:c r="J3538" s="6" t="str">
        <x:f>IF(B3538="","",IF(AND(ISNUMBER(SEARCH("平",B3538)),OR(ISNUMBER(SEARCH("上",B3538)),ISNUMBER(SEARCH("去",B3538)),ISNUMBER(SEARCH("入",B3538)))),"Ambiguous",IF(ISNUMBER(SEARCH("平",B3538)),"平","仄")))</x:f>
        <x:v>仄</x:v>
      </x:c>
      <x:c r="K3538" s="6" t="str">
        <x:f>IF(D3538="","",IF(AND(ISNUMBER(SEARCH("平",D3538)),OR(ISNUMBER(SEARCH("上",D3538)),ISNUMBER(SEARCH("去",D3538)),ISNUMBER(SEARCH("入",D3538)))),"Ambiguous",IF(ISNUMBER(SEARCH("平",D3538)),"平","仄")))</x:f>
        <x:v>仄</x:v>
      </x:c>
      <x:c r="L3538" s="7" t="str"/>
    </x:row>
    <x:row r="3539">
      <x:c r="A3539" s="5" t="str">
        <x:v>蔓</x:v>
      </x:c>
      <x:c r="B3539" s="6" t="str">
        <x:v>去</x:v>
      </x:c>
      <x:c r="C3539" s="6" t="str">
        <x:f>IF(B3539="","Needs decision","Ready")</x:f>
        <x:v>Ready</x:v>
      </x:c>
      <x:c r="D3539" s="6" t="str">
        <x:v>去</x:v>
      </x:c>
      <x:c r="E3539" s="6" t="str">
        <x:v>mjonH (C)</x:v>
      </x:c>
      <x:c r="F3539" s="6" t="str">
        <x:v>去聲十四願</x:v>
      </x:c>
      <x:c r="G3539" s="6" t="str">
        <x:v>Pingshui main list, Wikisource-derived DOCX</x:v>
      </x:c>
      <x:c r="H3539" s="6" t="str">
        <x:v>1</x:v>
      </x:c>
      <x:c r="I3539" s="6" t="str"/>
      <x:c r="J3539" s="6" t="str">
        <x:f>IF(B3539="","",IF(AND(ISNUMBER(SEARCH("平",B3539)),OR(ISNUMBER(SEARCH("上",B3539)),ISNUMBER(SEARCH("去",B3539)),ISNUMBER(SEARCH("入",B3539)))),"Ambiguous",IF(ISNUMBER(SEARCH("平",B3539)),"平","仄")))</x:f>
        <x:v>仄</x:v>
      </x:c>
      <x:c r="K3539" s="6" t="str">
        <x:f>IF(D3539="","",IF(AND(ISNUMBER(SEARCH("平",D3539)),OR(ISNUMBER(SEARCH("上",D3539)),ISNUMBER(SEARCH("去",D3539)),ISNUMBER(SEARCH("入",D3539)))),"Ambiguous",IF(ISNUMBER(SEARCH("平",D3539)),"平","仄")))</x:f>
        <x:v>仄</x:v>
      </x:c>
      <x:c r="L3539" s="7" t="str"/>
    </x:row>
    <x:row r="3540">
      <x:c r="A3540" s="5" t="str">
        <x:v>蔗</x:v>
      </x:c>
      <x:c r="B3540" s="6" t="str">
        <x:v>去</x:v>
      </x:c>
      <x:c r="C3540" s="6" t="str">
        <x:f>IF(B3540="","Needs decision","Ready")</x:f>
        <x:v>Ready</x:v>
      </x:c>
      <x:c r="D3540" s="6" t="str">
        <x:v>去</x:v>
      </x:c>
      <x:c r="E3540" s="6" t="str">
        <x:v>tsyaeH (C)</x:v>
      </x:c>
      <x:c r="F3540" s="6" t="str">
        <x:v>去聲二十二禡</x:v>
      </x:c>
      <x:c r="G3540" s="6" t="str">
        <x:v>Pingshui main list, Wikisource-derived DOCX</x:v>
      </x:c>
      <x:c r="H3540" s="6" t="str">
        <x:v>1</x:v>
      </x:c>
      <x:c r="I3540" s="6" t="str"/>
      <x:c r="J3540" s="6" t="str">
        <x:f>IF(B3540="","",IF(AND(ISNUMBER(SEARCH("平",B3540)),OR(ISNUMBER(SEARCH("上",B3540)),ISNUMBER(SEARCH("去",B3540)),ISNUMBER(SEARCH("入",B3540)))),"Ambiguous",IF(ISNUMBER(SEARCH("平",B3540)),"平","仄")))</x:f>
        <x:v>仄</x:v>
      </x:c>
      <x:c r="K3540" s="6" t="str">
        <x:f>IF(D3540="","",IF(AND(ISNUMBER(SEARCH("平",D3540)),OR(ISNUMBER(SEARCH("上",D3540)),ISNUMBER(SEARCH("去",D3540)),ISNUMBER(SEARCH("入",D3540)))),"Ambiguous",IF(ISNUMBER(SEARCH("平",D3540)),"平","仄")))</x:f>
        <x:v>仄</x:v>
      </x:c>
      <x:c r="L3540" s="7" t="str"/>
    </x:row>
    <x:row r="3541">
      <x:c r="A3541" s="5" t="str">
        <x:v>蔚</x:v>
      </x:c>
      <x:c r="B3541" s="6" t="str">
        <x:v>去</x:v>
      </x:c>
      <x:c r="C3541" s="6" t="str">
        <x:f>IF(B3541="","Needs decision","Ready")</x:f>
        <x:v>Ready</x:v>
      </x:c>
      <x:c r="D3541" s="6" t="str">
        <x:v>去/入</x:v>
      </x:c>
      <x:c r="E3541" s="6" t="str">
        <x:v>'jw+jH (C); 'jut (D)</x:v>
      </x:c>
      <x:c r="F3541" s="6" t="str">
        <x:v>去聲五未; 入聲五物</x:v>
      </x:c>
      <x:c r="G3541" s="6" t="str">
        <x:v>Pingshui main list, Wikisource-derived DOCX</x:v>
      </x:c>
      <x:c r="H3541" s="6" t="str">
        <x:v>2</x:v>
      </x:c>
      <x:c r="I3541" s="6" t="str">
        <x:v>Manual user correction/addition</x:v>
      </x:c>
      <x:c r="J3541" s="6" t="str">
        <x:f>IF(B3541="","",IF(AND(ISNUMBER(SEARCH("平",B3541)),OR(ISNUMBER(SEARCH("上",B3541)),ISNUMBER(SEARCH("去",B3541)),ISNUMBER(SEARCH("入",B3541)))),"Ambiguous",IF(ISNUMBER(SEARCH("平",B3541)),"平","仄")))</x:f>
        <x:v>仄</x:v>
      </x:c>
      <x:c r="K3541" s="6" t="str">
        <x:f>IF(D3541="","",IF(AND(ISNUMBER(SEARCH("平",D3541)),OR(ISNUMBER(SEARCH("上",D3541)),ISNUMBER(SEARCH("去",D3541)),ISNUMBER(SEARCH("入",D3541)))),"Ambiguous",IF(ISNUMBER(SEARCH("平",D3541)),"平","仄")))</x:f>
        <x:v>仄</x:v>
      </x:c>
      <x:c r="L3541" s="7" t="str">
        <x:v>manual user correction</x:v>
      </x:c>
    </x:row>
    <x:row r="3542">
      <x:c r="A3542" s="5" t="str">
        <x:v>蔡</x:v>
      </x:c>
      <x:c r="B3542" s="6" t="str">
        <x:v>去</x:v>
      </x:c>
      <x:c r="C3542" s="6" t="str">
        <x:f>IF(B3542="","Needs decision","Ready")</x:f>
        <x:v>Ready</x:v>
      </x:c>
      <x:c r="D3542" s="6" t="str">
        <x:v>去</x:v>
      </x:c>
      <x:c r="E3542" s="6" t="str">
        <x:v>tshajH (C)</x:v>
      </x:c>
      <x:c r="F3542" s="6" t="str">
        <x:v>去聲九泰</x:v>
      </x:c>
      <x:c r="G3542" s="6" t="str">
        <x:v>Pingshui main list, Wikisource-derived DOCX</x:v>
      </x:c>
      <x:c r="H3542" s="6" t="str">
        <x:v>1</x:v>
      </x:c>
      <x:c r="I3542" s="6" t="str"/>
      <x:c r="J3542" s="6" t="str">
        <x:f>IF(B3542="","",IF(AND(ISNUMBER(SEARCH("平",B3542)),OR(ISNUMBER(SEARCH("上",B3542)),ISNUMBER(SEARCH("去",B3542)),ISNUMBER(SEARCH("入",B3542)))),"Ambiguous",IF(ISNUMBER(SEARCH("平",B3542)),"平","仄")))</x:f>
        <x:v>仄</x:v>
      </x:c>
      <x:c r="K3542" s="6" t="str">
        <x:f>IF(D3542="","",IF(AND(ISNUMBER(SEARCH("平",D3542)),OR(ISNUMBER(SEARCH("上",D3542)),ISNUMBER(SEARCH("去",D3542)),ISNUMBER(SEARCH("入",D3542)))),"Ambiguous",IF(ISNUMBER(SEARCH("平",D3542)),"平","仄")))</x:f>
        <x:v>仄</x:v>
      </x:c>
      <x:c r="L3542" s="7" t="str"/>
    </x:row>
    <x:row r="3543">
      <x:c r="A3543" s="5" t="str">
        <x:v>蔥</x:v>
      </x:c>
      <x:c r="B3543" s="6" t="str">
        <x:v>平</x:v>
      </x:c>
      <x:c r="C3543" s="6" t="str">
        <x:f>IF(B3543="","Needs decision","Ready")</x:f>
        <x:v>Ready</x:v>
      </x:c>
      <x:c r="D3543" s="6" t="str">
        <x:v>平</x:v>
      </x:c>
      <x:c r="E3543" s="6" t="str">
        <x:v>tshuwng (A)</x:v>
      </x:c>
      <x:c r="F3543" s="6" t="str"/>
      <x:c r="G3543" s="6" t="str"/>
      <x:c r="H3543" s="6" t="str">
        <x:v>1</x:v>
      </x:c>
      <x:c r="I3543" s="6" t="str"/>
      <x:c r="J3543" s="6" t="str">
        <x:f>IF(B3543="","",IF(AND(ISNUMBER(SEARCH("平",B3543)),OR(ISNUMBER(SEARCH("上",B3543)),ISNUMBER(SEARCH("去",B3543)),ISNUMBER(SEARCH("入",B3543)))),"Ambiguous",IF(ISNUMBER(SEARCH("平",B3543)),"平","仄")))</x:f>
        <x:v>平</x:v>
      </x:c>
      <x:c r="K3543" s="6" t="str">
        <x:f>IF(D3543="","",IF(AND(ISNUMBER(SEARCH("平",D3543)),OR(ISNUMBER(SEARCH("上",D3543)),ISNUMBER(SEARCH("去",D3543)),ISNUMBER(SEARCH("入",D3543)))),"Ambiguous",IF(ISNUMBER(SEARCH("平",D3543)),"平","仄")))</x:f>
        <x:v>平</x:v>
      </x:c>
      <x:c r="L3543" s="7" t="str"/>
    </x:row>
    <x:row r="3544">
      <x:c r="A3544" s="5" t="str">
        <x:v>蔬</x:v>
      </x:c>
      <x:c r="B3544" s="6" t="str">
        <x:v>平</x:v>
      </x:c>
      <x:c r="C3544" s="6" t="str">
        <x:f>IF(B3544="","Needs decision","Ready")</x:f>
        <x:v>Ready</x:v>
      </x:c>
      <x:c r="D3544" s="6" t="str">
        <x:v>平</x:v>
      </x:c>
      <x:c r="E3544" s="6" t="str">
        <x:v>srjo (A)</x:v>
      </x:c>
      <x:c r="F3544" s="6" t="str">
        <x:v>上平聲六魚</x:v>
      </x:c>
      <x:c r="G3544" s="6" t="str">
        <x:v>Pingshui main list, Wikisource-derived DOCX</x:v>
      </x:c>
      <x:c r="H3544" s="6" t="str">
        <x:v>1</x:v>
      </x:c>
      <x:c r="I3544" s="6" t="str"/>
      <x:c r="J3544" s="6" t="str">
        <x:f>IF(B3544="","",IF(AND(ISNUMBER(SEARCH("平",B3544)),OR(ISNUMBER(SEARCH("上",B3544)),ISNUMBER(SEARCH("去",B3544)),ISNUMBER(SEARCH("入",B3544)))),"Ambiguous",IF(ISNUMBER(SEARCH("平",B3544)),"平","仄")))</x:f>
        <x:v>平</x:v>
      </x:c>
      <x:c r="K3544" s="6" t="str">
        <x:f>IF(D3544="","",IF(AND(ISNUMBER(SEARCH("平",D3544)),OR(ISNUMBER(SEARCH("上",D3544)),ISNUMBER(SEARCH("去",D3544)),ISNUMBER(SEARCH("入",D3544)))),"Ambiguous",IF(ISNUMBER(SEARCH("平",D3544)),"平","仄")))</x:f>
        <x:v>平</x:v>
      </x:c>
      <x:c r="L3544" s="7" t="str"/>
    </x:row>
    <x:row r="3545">
      <x:c r="A3545" s="5" t="str">
        <x:v>蔭</x:v>
      </x:c>
      <x:c r="B3545" s="6" t="str">
        <x:v>去</x:v>
      </x:c>
      <x:c r="C3545" s="6" t="str">
        <x:f>IF(B3545="","Needs decision","Ready")</x:f>
        <x:v>Ready</x:v>
      </x:c>
      <x:c r="D3545" s="6" t="str">
        <x:v>去</x:v>
      </x:c>
      <x:c r="E3545" s="6" t="str">
        <x:v>'imH (C)</x:v>
      </x:c>
      <x:c r="F3545" s="6" t="str">
        <x:v>去聲二十七沁</x:v>
      </x:c>
      <x:c r="G3545" s="6" t="str">
        <x:v>Pingshui main list, Wikisource-derived DOCX</x:v>
      </x:c>
      <x:c r="H3545" s="6" t="str">
        <x:v>1</x:v>
      </x:c>
      <x:c r="I3545" s="6" t="str"/>
      <x:c r="J3545" s="6" t="str">
        <x:f>IF(B3545="","",IF(AND(ISNUMBER(SEARCH("平",B3545)),OR(ISNUMBER(SEARCH("上",B3545)),ISNUMBER(SEARCH("去",B3545)),ISNUMBER(SEARCH("入",B3545)))),"Ambiguous",IF(ISNUMBER(SEARCH("平",B3545)),"平","仄")))</x:f>
        <x:v>仄</x:v>
      </x:c>
      <x:c r="K3545" s="6" t="str">
        <x:f>IF(D3545="","",IF(AND(ISNUMBER(SEARCH("平",D3545)),OR(ISNUMBER(SEARCH("上",D3545)),ISNUMBER(SEARCH("去",D3545)),ISNUMBER(SEARCH("入",D3545)))),"Ambiguous",IF(ISNUMBER(SEARCH("平",D3545)),"平","仄")))</x:f>
        <x:v>仄</x:v>
      </x:c>
      <x:c r="L3545" s="7" t="str"/>
    </x:row>
    <x:row r="3546">
      <x:c r="A3546" s="5" t="str">
        <x:v>蔻</x:v>
      </x:c>
      <x:c r="B3546" s="6" t="str">
        <x:v>去</x:v>
      </x:c>
      <x:c r="C3546" s="6" t="str">
        <x:f>IF(B3546="","Needs decision","Ready")</x:f>
        <x:v>Ready</x:v>
      </x:c>
      <x:c r="D3546" s="6" t="str">
        <x:v>去</x:v>
      </x:c>
      <x:c r="E3546" s="6" t="str">
        <x:v>xuwH [χuh] (去)</x:v>
      </x:c>
      <x:c r="F3546" s="6" t="str">
        <x:v>去聲二十六宥</x:v>
      </x:c>
      <x:c r="G3546" s="6" t="str">
        <x:v>Pingshui main list, Wikisource-derived DOCX</x:v>
      </x:c>
      <x:c r="H3546" s="6" t="str">
        <x:v>1</x:v>
      </x:c>
      <x:c r="I3546" s="6" t="str">
        <x:v>Tang 300 gap; frequency 1; provisional from Xun Gong</x:v>
      </x:c>
      <x:c r="J3546" s="6" t="str">
        <x:f>IF(B3546="","",IF(AND(ISNUMBER(SEARCH("平",B3546)),OR(ISNUMBER(SEARCH("上",B3546)),ISNUMBER(SEARCH("去",B3546)),ISNUMBER(SEARCH("入",B3546)))),"Ambiguous",IF(ISNUMBER(SEARCH("平",B3546)),"平","仄")))</x:f>
        <x:v>仄</x:v>
      </x:c>
      <x:c r="K3546" s="6" t="str">
        <x:f>IF(D3546="","",IF(AND(ISNUMBER(SEARCH("平",D3546)),OR(ISNUMBER(SEARCH("上",D3546)),ISNUMBER(SEARCH("去",D3546)),ISNUMBER(SEARCH("入",D3546)))),"Ambiguous",IF(ISNUMBER(SEARCH("平",D3546)),"平","仄")))</x:f>
        <x:v>仄</x:v>
      </x:c>
      <x:c r="L3546" s="7" t="str">
        <x:v>Xun Gong, Tang 300 gap fill</x:v>
      </x:c>
    </x:row>
    <x:row r="3547">
      <x:c r="A3547" s="5" t="str">
        <x:v>蔽</x:v>
      </x:c>
      <x:c r="B3547" s="6" t="str">
        <x:v>去</x:v>
      </x:c>
      <x:c r="C3547" s="6" t="str">
        <x:f>IF(B3547="","Needs decision","Ready")</x:f>
        <x:v>Ready</x:v>
      </x:c>
      <x:c r="D3547" s="6" t="str">
        <x:v>去</x:v>
      </x:c>
      <x:c r="E3547" s="6" t="str">
        <x:v>pjiejH (C)</x:v>
      </x:c>
      <x:c r="F3547" s="6" t="str">
        <x:v>去聲八霽</x:v>
      </x:c>
      <x:c r="G3547" s="6" t="str">
        <x:v>Pingshui main list, Wikisource-derived DOCX</x:v>
      </x:c>
      <x:c r="H3547" s="6" t="str">
        <x:v>1</x:v>
      </x:c>
      <x:c r="I3547" s="6" t="str"/>
      <x:c r="J3547" s="6" t="str">
        <x:f>IF(B3547="","",IF(AND(ISNUMBER(SEARCH("平",B3547)),OR(ISNUMBER(SEARCH("上",B3547)),ISNUMBER(SEARCH("去",B3547)),ISNUMBER(SEARCH("入",B3547)))),"Ambiguous",IF(ISNUMBER(SEARCH("平",B3547)),"平","仄")))</x:f>
        <x:v>仄</x:v>
      </x:c>
      <x:c r="K3547" s="6" t="str">
        <x:f>IF(D3547="","",IF(AND(ISNUMBER(SEARCH("平",D3547)),OR(ISNUMBER(SEARCH("上",D3547)),ISNUMBER(SEARCH("去",D3547)),ISNUMBER(SEARCH("入",D3547)))),"Ambiguous",IF(ISNUMBER(SEARCH("平",D3547)),"平","仄")))</x:f>
        <x:v>仄</x:v>
      </x:c>
      <x:c r="L3547" s="7" t="str"/>
    </x:row>
    <x:row r="3548">
      <x:c r="A3548" s="5" t="str">
        <x:v>蕃</x:v>
      </x:c>
      <x:c r="B3548" s="6" t="str">
        <x:v>平</x:v>
      </x:c>
      <x:c r="C3548" s="6" t="str">
        <x:f>IF(B3548="","Needs decision","Ready")</x:f>
        <x:v>Ready</x:v>
      </x:c>
      <x:c r="D3548" s="6" t="str">
        <x:v>平</x:v>
      </x:c>
      <x:c r="E3548" s="6" t="str">
        <x:v>pjon (A); bjon (A)</x:v>
      </x:c>
      <x:c r="F3548" s="6" t="str">
        <x:v>上平聲十三元</x:v>
      </x:c>
      <x:c r="G3548" s="6" t="str">
        <x:v>Pingshui main list, Wikisource-derived DOCX</x:v>
      </x:c>
      <x:c r="H3548" s="6" t="str">
        <x:v>2</x:v>
      </x:c>
      <x:c r="I3548" s="6" t="str"/>
      <x:c r="J3548" s="6" t="str">
        <x:f>IF(B3548="","",IF(AND(ISNUMBER(SEARCH("平",B3548)),OR(ISNUMBER(SEARCH("上",B3548)),ISNUMBER(SEARCH("去",B3548)),ISNUMBER(SEARCH("入",B3548)))),"Ambiguous",IF(ISNUMBER(SEARCH("平",B3548)),"平","仄")))</x:f>
        <x:v>平</x:v>
      </x:c>
      <x:c r="K3548" s="6" t="str">
        <x:f>IF(D3548="","",IF(AND(ISNUMBER(SEARCH("平",D3548)),OR(ISNUMBER(SEARCH("上",D3548)),ISNUMBER(SEARCH("去",D3548)),ISNUMBER(SEARCH("入",D3548)))),"Ambiguous",IF(ISNUMBER(SEARCH("平",D3548)),"平","仄")))</x:f>
        <x:v>平</x:v>
      </x:c>
      <x:c r="L3548" s="7" t="str"/>
    </x:row>
    <x:row r="3549">
      <x:c r="A3549" s="5" t="str">
        <x:v>蕉</x:v>
      </x:c>
      <x:c r="B3549" s="6" t="str">
        <x:v>平</x:v>
      </x:c>
      <x:c r="C3549" s="6" t="str">
        <x:f>IF(B3549="","Needs decision","Ready")</x:f>
        <x:v>Ready</x:v>
      </x:c>
      <x:c r="D3549" s="6" t="str">
        <x:v>平</x:v>
      </x:c>
      <x:c r="E3549" s="6" t="str"/>
      <x:c r="F3549" s="6" t="str">
        <x:v>下平聲二蕭</x:v>
      </x:c>
      <x:c r="G3549" s="6" t="str">
        <x:v>Pingshui main list, Wikisource-derived DOCX</x:v>
      </x:c>
      <x:c r="H3549" s="6" t="str"/>
      <x:c r="I3549" s="6" t="str">
        <x:v>Manual user correction/addition</x:v>
      </x:c>
      <x:c r="J3549" s="6" t="str">
        <x:f>IF(B3549="","",IF(AND(ISNUMBER(SEARCH("平",B3549)),OR(ISNUMBER(SEARCH("上",B3549)),ISNUMBER(SEARCH("去",B3549)),ISNUMBER(SEARCH("入",B3549)))),"Ambiguous",IF(ISNUMBER(SEARCH("平",B3549)),"平","仄")))</x:f>
        <x:v>平</x:v>
      </x:c>
      <x:c r="K3549" s="6" t="str">
        <x:f>IF(D3549="","",IF(AND(ISNUMBER(SEARCH("平",D3549)),OR(ISNUMBER(SEARCH("上",D3549)),ISNUMBER(SEARCH("去",D3549)),ISNUMBER(SEARCH("入",D3549)))),"Ambiguous",IF(ISNUMBER(SEARCH("平",D3549)),"平","仄")))</x:f>
        <x:v>平</x:v>
      </x:c>
      <x:c r="L3549" s="7" t="str">
        <x:v>manual user correction</x:v>
      </x:c>
    </x:row>
    <x:row r="3550">
      <x:c r="A3550" s="5" t="str">
        <x:v>蕎</x:v>
      </x:c>
      <x:c r="B3550" s="6" t="str">
        <x:v>平</x:v>
      </x:c>
      <x:c r="C3550" s="6" t="str">
        <x:f>IF(B3550="","Needs decision","Ready")</x:f>
        <x:v>Ready</x:v>
      </x:c>
      <x:c r="D3550" s="6" t="str">
        <x:v>平</x:v>
      </x:c>
      <x:c r="E3550" s="6" t="str">
        <x:v>gjew (A)</x:v>
      </x:c>
      <x:c r="F3550" s="6" t="str">
        <x:v>下平聲二蕭</x:v>
      </x:c>
      <x:c r="G3550" s="6" t="str">
        <x:v>Pingshui main list, Wikisource-derived DOCX</x:v>
      </x:c>
      <x:c r="H3550" s="6" t="str">
        <x:v>1</x:v>
      </x:c>
      <x:c r="I3550" s="6" t="str"/>
      <x:c r="J3550" s="6" t="str">
        <x:f>IF(B3550="","",IF(AND(ISNUMBER(SEARCH("平",B3550)),OR(ISNUMBER(SEARCH("上",B3550)),ISNUMBER(SEARCH("去",B3550)),ISNUMBER(SEARCH("入",B3550)))),"Ambiguous",IF(ISNUMBER(SEARCH("平",B3550)),"平","仄")))</x:f>
        <x:v>平</x:v>
      </x:c>
      <x:c r="K3550" s="6" t="str">
        <x:f>IF(D3550="","",IF(AND(ISNUMBER(SEARCH("平",D3550)),OR(ISNUMBER(SEARCH("上",D3550)),ISNUMBER(SEARCH("去",D3550)),ISNUMBER(SEARCH("入",D3550)))),"Ambiguous",IF(ISNUMBER(SEARCH("平",D3550)),"平","仄")))</x:f>
        <x:v>平</x:v>
      </x:c>
      <x:c r="L3550" s="7" t="str"/>
    </x:row>
    <x:row r="3551">
      <x:c r="A3551" s="5" t="str">
        <x:v>蕑</x:v>
      </x:c>
      <x:c r="B3551" s="6" t="str">
        <x:v>平</x:v>
      </x:c>
      <x:c r="C3551" s="6" t="str">
        <x:f>IF(B3551="","Needs decision","Ready")</x:f>
        <x:v>Ready</x:v>
      </x:c>
      <x:c r="D3551" s="6" t="str">
        <x:v>平</x:v>
      </x:c>
      <x:c r="E3551" s="6" t="str">
        <x:v>kean (A)</x:v>
      </x:c>
      <x:c r="F3551" s="6" t="str">
        <x:v>上平聲十五刪</x:v>
      </x:c>
      <x:c r="G3551" s="6" t="str">
        <x:v>Pingshui main list, Wikisource-derived DOCX</x:v>
      </x:c>
      <x:c r="H3551" s="6" t="str">
        <x:v>1</x:v>
      </x:c>
      <x:c r="I3551" s="6" t="str"/>
      <x:c r="J3551" s="6" t="str">
        <x:f>IF(B3551="","",IF(AND(ISNUMBER(SEARCH("平",B3551)),OR(ISNUMBER(SEARCH("上",B3551)),ISNUMBER(SEARCH("去",B3551)),ISNUMBER(SEARCH("入",B3551)))),"Ambiguous",IF(ISNUMBER(SEARCH("平",B3551)),"平","仄")))</x:f>
        <x:v>平</x:v>
      </x:c>
      <x:c r="K3551" s="6" t="str">
        <x:f>IF(D3551="","",IF(AND(ISNUMBER(SEARCH("平",D3551)),OR(ISNUMBER(SEARCH("上",D3551)),ISNUMBER(SEARCH("去",D3551)),ISNUMBER(SEARCH("入",D3551)))),"Ambiguous",IF(ISNUMBER(SEARCH("平",D3551)),"平","仄")))</x:f>
        <x:v>平</x:v>
      </x:c>
      <x:c r="L3551" s="7" t="str"/>
    </x:row>
    <x:row r="3552">
      <x:c r="A3552" s="5" t="str">
        <x:v>蕙</x:v>
      </x:c>
      <x:c r="B3552" s="6" t="str">
        <x:v>去</x:v>
      </x:c>
      <x:c r="C3552" s="6" t="str">
        <x:f>IF(B3552="","Needs decision","Ready")</x:f>
        <x:v>Ready</x:v>
      </x:c>
      <x:c r="D3552" s="6" t="str">
        <x:v>去</x:v>
      </x:c>
      <x:c r="E3552" s="6" t="str"/>
      <x:c r="F3552" s="6" t="str">
        <x:v>去聲八霽</x:v>
      </x:c>
      <x:c r="G3552" s="6" t="str">
        <x:v>Pingshui main list, Wikisource-derived DOCX</x:v>
      </x:c>
      <x:c r="H3552" s="6" t="str"/>
      <x:c r="I3552" s="6" t="str">
        <x:v>Manual user correction/addition</x:v>
      </x:c>
      <x:c r="J3552" s="6" t="str">
        <x:f>IF(B3552="","",IF(AND(ISNUMBER(SEARCH("平",B3552)),OR(ISNUMBER(SEARCH("上",B3552)),ISNUMBER(SEARCH("去",B3552)),ISNUMBER(SEARCH("入",B3552)))),"Ambiguous",IF(ISNUMBER(SEARCH("平",B3552)),"平","仄")))</x:f>
        <x:v>仄</x:v>
      </x:c>
      <x:c r="K3552" s="6" t="str">
        <x:f>IF(D3552="","",IF(AND(ISNUMBER(SEARCH("平",D3552)),OR(ISNUMBER(SEARCH("上",D3552)),ISNUMBER(SEARCH("去",D3552)),ISNUMBER(SEARCH("入",D3552)))),"Ambiguous",IF(ISNUMBER(SEARCH("平",D3552)),"平","仄")))</x:f>
        <x:v>仄</x:v>
      </x:c>
      <x:c r="L3552" s="7" t="str">
        <x:v>manual user correction</x:v>
      </x:c>
    </x:row>
    <x:row r="3553">
      <x:c r="A3553" s="5" t="str">
        <x:v>蕡</x:v>
      </x:c>
      <x:c r="B3553" s="6" t="str">
        <x:v>平</x:v>
      </x:c>
      <x:c r="C3553" s="6" t="str">
        <x:f>IF(B3553="","Needs decision","Ready")</x:f>
        <x:v>Ready</x:v>
      </x:c>
      <x:c r="D3553" s="6" t="str">
        <x:v>平</x:v>
      </x:c>
      <x:c r="E3553" s="6" t="str"/>
      <x:c r="F3553" s="6" t="str">
        <x:v>上平聲十二文</x:v>
      </x:c>
      <x:c r="G3553" s="6" t="str">
        <x:v>Pingshui main list, Wikisource-derived DOCX</x:v>
      </x:c>
      <x:c r="H3553" s="6" t="str"/>
      <x:c r="I3553" s="6" t="str">
        <x:v>Manual user correction/addition</x:v>
      </x:c>
      <x:c r="J3553" s="6" t="str">
        <x:f>IF(B3553="","",IF(AND(ISNUMBER(SEARCH("平",B3553)),OR(ISNUMBER(SEARCH("上",B3553)),ISNUMBER(SEARCH("去",B3553)),ISNUMBER(SEARCH("入",B3553)))),"Ambiguous",IF(ISNUMBER(SEARCH("平",B3553)),"平","仄")))</x:f>
        <x:v>平</x:v>
      </x:c>
      <x:c r="K3553" s="6" t="str">
        <x:f>IF(D3553="","",IF(AND(ISNUMBER(SEARCH("平",D3553)),OR(ISNUMBER(SEARCH("上",D3553)),ISNUMBER(SEARCH("去",D3553)),ISNUMBER(SEARCH("入",D3553)))),"Ambiguous",IF(ISNUMBER(SEARCH("平",D3553)),"平","仄")))</x:f>
        <x:v>平</x:v>
      </x:c>
      <x:c r="L3553" s="7" t="str">
        <x:v>manual user correction</x:v>
      </x:c>
    </x:row>
    <x:row r="3554">
      <x:c r="A3554" s="5" t="str">
        <x:v>蕢</x:v>
      </x:c>
      <x:c r="B3554" s="6" t="str">
        <x:v>去</x:v>
      </x:c>
      <x:c r="C3554" s="6" t="str">
        <x:f>IF(B3554="","Needs decision","Ready")</x:f>
        <x:v>Ready</x:v>
      </x:c>
      <x:c r="D3554" s="6" t="str">
        <x:v>去</x:v>
      </x:c>
      <x:c r="E3554" s="6" t="str">
        <x:v>gwijH (C)</x:v>
      </x:c>
      <x:c r="F3554" s="6" t="str">
        <x:v>去聲四寘; 去聲十卦</x:v>
      </x:c>
      <x:c r="G3554" s="6" t="str">
        <x:v>Pingshui main list, Wikisource-derived DOCX</x:v>
      </x:c>
      <x:c r="H3554" s="6" t="str">
        <x:v>1</x:v>
      </x:c>
      <x:c r="I3554" s="6" t="str"/>
      <x:c r="J3554" s="6" t="str">
        <x:f>IF(B3554="","",IF(AND(ISNUMBER(SEARCH("平",B3554)),OR(ISNUMBER(SEARCH("上",B3554)),ISNUMBER(SEARCH("去",B3554)),ISNUMBER(SEARCH("入",B3554)))),"Ambiguous",IF(ISNUMBER(SEARCH("平",B3554)),"平","仄")))</x:f>
        <x:v>仄</x:v>
      </x:c>
      <x:c r="K3554" s="6" t="str">
        <x:f>IF(D3554="","",IF(AND(ISNUMBER(SEARCH("平",D3554)),OR(ISNUMBER(SEARCH("上",D3554)),ISNUMBER(SEARCH("去",D3554)),ISNUMBER(SEARCH("入",D3554)))),"Ambiguous",IF(ISNUMBER(SEARCH("平",D3554)),"平","仄")))</x:f>
        <x:v>仄</x:v>
      </x:c>
      <x:c r="L3554" s="7" t="str"/>
    </x:row>
    <x:row r="3555">
      <x:c r="A3555" s="5" t="str">
        <x:v>蕤</x:v>
      </x:c>
      <x:c r="B3555" s="6" t="str">
        <x:v>平</x:v>
      </x:c>
      <x:c r="C3555" s="6" t="str">
        <x:f>IF(B3555="","Needs decision","Ready")</x:f>
        <x:v>Ready</x:v>
      </x:c>
      <x:c r="D3555" s="6" t="str">
        <x:v>平</x:v>
      </x:c>
      <x:c r="E3555" s="6" t="str">
        <x:v>nywij [ɲwi] (平)</x:v>
      </x:c>
      <x:c r="F3555" s="6" t="str">
        <x:v>上平聲四支</x:v>
      </x:c>
      <x:c r="G3555" s="6" t="str">
        <x:v>Pingshui main list, Wikisource-derived DOCX</x:v>
      </x:c>
      <x:c r="H3555" s="6" t="str">
        <x:v>1</x:v>
      </x:c>
      <x:c r="I3555" s="6" t="str">
        <x:v>Tang 300 gap; frequency 1; provisional from Xun Gong</x:v>
      </x:c>
      <x:c r="J3555" s="6" t="str">
        <x:f>IF(B3555="","",IF(AND(ISNUMBER(SEARCH("平",B3555)),OR(ISNUMBER(SEARCH("上",B3555)),ISNUMBER(SEARCH("去",B3555)),ISNUMBER(SEARCH("入",B3555)))),"Ambiguous",IF(ISNUMBER(SEARCH("平",B3555)),"平","仄")))</x:f>
        <x:v>平</x:v>
      </x:c>
      <x:c r="K3555" s="6" t="str">
        <x:f>IF(D3555="","",IF(AND(ISNUMBER(SEARCH("平",D3555)),OR(ISNUMBER(SEARCH("上",D3555)),ISNUMBER(SEARCH("去",D3555)),ISNUMBER(SEARCH("入",D3555)))),"Ambiguous",IF(ISNUMBER(SEARCH("平",D3555)),"平","仄")))</x:f>
        <x:v>平</x:v>
      </x:c>
      <x:c r="L3555" s="7" t="str">
        <x:v>Xun Gong, Tang 300 gap fill</x:v>
      </x:c>
    </x:row>
    <x:row r="3556">
      <x:c r="A3556" s="5" t="str">
        <x:v>蕨</x:v>
      </x:c>
      <x:c r="B3556" s="6" t="str">
        <x:v>入</x:v>
      </x:c>
      <x:c r="C3556" s="6" t="str">
        <x:f>IF(B3556="","Needs decision","Ready")</x:f>
        <x:v>Ready</x:v>
      </x:c>
      <x:c r="D3556" s="6" t="str">
        <x:v>入</x:v>
      </x:c>
      <x:c r="E3556" s="6" t="str">
        <x:v>kjwot (D)</x:v>
      </x:c>
      <x:c r="F3556" s="6" t="str">
        <x:v>入聲六月</x:v>
      </x:c>
      <x:c r="G3556" s="6" t="str">
        <x:v>Pingshui main list, Wikisource-derived DOCX</x:v>
      </x:c>
      <x:c r="H3556" s="6" t="str">
        <x:v>1</x:v>
      </x:c>
      <x:c r="I3556" s="6" t="str"/>
      <x:c r="J3556" s="6" t="str">
        <x:f>IF(B3556="","",IF(AND(ISNUMBER(SEARCH("平",B3556)),OR(ISNUMBER(SEARCH("上",B3556)),ISNUMBER(SEARCH("去",B3556)),ISNUMBER(SEARCH("入",B3556)))),"Ambiguous",IF(ISNUMBER(SEARCH("平",B3556)),"平","仄")))</x:f>
        <x:v>仄</x:v>
      </x:c>
      <x:c r="K3556" s="6" t="str">
        <x:f>IF(D3556="","",IF(AND(ISNUMBER(SEARCH("平",D3556)),OR(ISNUMBER(SEARCH("上",D3556)),ISNUMBER(SEARCH("去",D3556)),ISNUMBER(SEARCH("入",D3556)))),"Ambiguous",IF(ISNUMBER(SEARCH("平",D3556)),"平","仄")))</x:f>
        <x:v>仄</x:v>
      </x:c>
      <x:c r="L3556" s="7" t="str"/>
    </x:row>
    <x:row r="3557">
      <x:c r="A3557" s="5" t="str">
        <x:v>蕩</x:v>
      </x:c>
      <x:c r="B3557" s="6" t="str">
        <x:v>上</x:v>
      </x:c>
      <x:c r="C3557" s="6" t="str">
        <x:f>IF(B3557="","Needs decision","Ready")</x:f>
        <x:v>Ready</x:v>
      </x:c>
      <x:c r="D3557" s="6" t="str">
        <x:v>上/去</x:v>
      </x:c>
      <x:c r="E3557" s="6" t="str">
        <x:v>dangX (B); dangH (C)</x:v>
      </x:c>
      <x:c r="F3557" s="6" t="str">
        <x:v>上聲二十二養; 去聲二十三漾</x:v>
      </x:c>
      <x:c r="G3557" s="6" t="str">
        <x:v>Pingshui main list, Wikisource-derived DOCX</x:v>
      </x:c>
      <x:c r="H3557" s="6" t="str">
        <x:v>2</x:v>
      </x:c>
      <x:c r="I3557" s="6" t="str"/>
      <x:c r="J3557" s="6" t="str">
        <x:f>IF(B3557="","",IF(AND(ISNUMBER(SEARCH("平",B3557)),OR(ISNUMBER(SEARCH("上",B3557)),ISNUMBER(SEARCH("去",B3557)),ISNUMBER(SEARCH("入",B3557)))),"Ambiguous",IF(ISNUMBER(SEARCH("平",B3557)),"平","仄")))</x:f>
        <x:v>仄</x:v>
      </x:c>
      <x:c r="K3557" s="6" t="str">
        <x:f>IF(D3557="","",IF(AND(ISNUMBER(SEARCH("平",D3557)),OR(ISNUMBER(SEARCH("上",D3557)),ISNUMBER(SEARCH("去",D3557)),ISNUMBER(SEARCH("入",D3557)))),"Ambiguous",IF(ISNUMBER(SEARCH("平",D3557)),"平","仄")))</x:f>
        <x:v>仄</x:v>
      </x:c>
      <x:c r="L3557" s="7" t="str"/>
    </x:row>
    <x:row r="3558">
      <x:c r="A3558" s="5" t="str">
        <x:v>蕪</x:v>
      </x:c>
      <x:c r="B3558" s="6" t="str">
        <x:v>平</x:v>
      </x:c>
      <x:c r="C3558" s="6" t="str">
        <x:f>IF(B3558="","Needs decision","Ready")</x:f>
        <x:v>Ready</x:v>
      </x:c>
      <x:c r="D3558" s="6" t="str">
        <x:v>平</x:v>
      </x:c>
      <x:c r="E3558" s="6" t="str">
        <x:v>mju (A)</x:v>
      </x:c>
      <x:c r="F3558" s="6" t="str">
        <x:v>上平聲七虞</x:v>
      </x:c>
      <x:c r="G3558" s="6" t="str">
        <x:v>Pingshui main list, Wikisource-derived DOCX</x:v>
      </x:c>
      <x:c r="H3558" s="6" t="str">
        <x:v>1</x:v>
      </x:c>
      <x:c r="I3558" s="6" t="str"/>
      <x:c r="J3558" s="6" t="str">
        <x:f>IF(B3558="","",IF(AND(ISNUMBER(SEARCH("平",B3558)),OR(ISNUMBER(SEARCH("上",B3558)),ISNUMBER(SEARCH("去",B3558)),ISNUMBER(SEARCH("入",B3558)))),"Ambiguous",IF(ISNUMBER(SEARCH("平",B3558)),"平","仄")))</x:f>
        <x:v>平</x:v>
      </x:c>
      <x:c r="K3558" s="6" t="str">
        <x:f>IF(D3558="","",IF(AND(ISNUMBER(SEARCH("平",D3558)),OR(ISNUMBER(SEARCH("上",D3558)),ISNUMBER(SEARCH("去",D3558)),ISNUMBER(SEARCH("入",D3558)))),"Ambiguous",IF(ISNUMBER(SEARCH("平",D3558)),"平","仄")))</x:f>
        <x:v>平</x:v>
      </x:c>
      <x:c r="L3558" s="7" t="str"/>
    </x:row>
    <x:row r="3559">
      <x:c r="A3559" s="5" t="str">
        <x:v>蕭</x:v>
      </x:c>
      <x:c r="B3559" s="6" t="str">
        <x:v>平</x:v>
      </x:c>
      <x:c r="C3559" s="6" t="str">
        <x:f>IF(B3559="","Needs decision","Ready")</x:f>
        <x:v>Ready</x:v>
      </x:c>
      <x:c r="D3559" s="6" t="str">
        <x:v>平</x:v>
      </x:c>
      <x:c r="E3559" s="6" t="str">
        <x:v>sew (A)</x:v>
      </x:c>
      <x:c r="F3559" s="6" t="str">
        <x:v>下平聲二蕭</x:v>
      </x:c>
      <x:c r="G3559" s="6" t="str">
        <x:v>Pingshui main list, Wikisource-derived DOCX</x:v>
      </x:c>
      <x:c r="H3559" s="6" t="str">
        <x:v>1</x:v>
      </x:c>
      <x:c r="I3559" s="6" t="str"/>
      <x:c r="J3559" s="6" t="str">
        <x:f>IF(B3559="","",IF(AND(ISNUMBER(SEARCH("平",B3559)),OR(ISNUMBER(SEARCH("上",B3559)),ISNUMBER(SEARCH("去",B3559)),ISNUMBER(SEARCH("入",B3559)))),"Ambiguous",IF(ISNUMBER(SEARCH("平",B3559)),"平","仄")))</x:f>
        <x:v>平</x:v>
      </x:c>
      <x:c r="K3559" s="6" t="str">
        <x:f>IF(D3559="","",IF(AND(ISNUMBER(SEARCH("平",D3559)),OR(ISNUMBER(SEARCH("上",D3559)),ISNUMBER(SEARCH("去",D3559)),ISNUMBER(SEARCH("入",D3559)))),"Ambiguous",IF(ISNUMBER(SEARCH("平",D3559)),"平","仄")))</x:f>
        <x:v>平</x:v>
      </x:c>
      <x:c r="L3559" s="7" t="str"/>
    </x:row>
    <x:row r="3560">
      <x:c r="A3560" s="5" t="str">
        <x:v>薁</x:v>
      </x:c>
      <x:c r="B3560" s="6" t="str">
        <x:v>入</x:v>
      </x:c>
      <x:c r="C3560" s="6" t="str">
        <x:f>IF(B3560="","Needs decision","Ready")</x:f>
        <x:v>Ready</x:v>
      </x:c>
      <x:c r="D3560" s="6" t="str">
        <x:v>入</x:v>
      </x:c>
      <x:c r="E3560" s="6" t="str">
        <x:v>'juwk (D)</x:v>
      </x:c>
      <x:c r="F3560" s="6" t="str">
        <x:v>入聲一屋</x:v>
      </x:c>
      <x:c r="G3560" s="6" t="str">
        <x:v>Pingshui main list, Wikisource-derived DOCX</x:v>
      </x:c>
      <x:c r="H3560" s="6" t="str">
        <x:v>1</x:v>
      </x:c>
      <x:c r="I3560" s="6" t="str"/>
      <x:c r="J3560" s="6" t="str">
        <x:f>IF(B3560="","",IF(AND(ISNUMBER(SEARCH("平",B3560)),OR(ISNUMBER(SEARCH("上",B3560)),ISNUMBER(SEARCH("去",B3560)),ISNUMBER(SEARCH("入",B3560)))),"Ambiguous",IF(ISNUMBER(SEARCH("平",B3560)),"平","仄")))</x:f>
        <x:v>仄</x:v>
      </x:c>
      <x:c r="K3560" s="6" t="str">
        <x:f>IF(D3560="","",IF(AND(ISNUMBER(SEARCH("平",D3560)),OR(ISNUMBER(SEARCH("上",D3560)),ISNUMBER(SEARCH("去",D3560)),ISNUMBER(SEARCH("入",D3560)))),"Ambiguous",IF(ISNUMBER(SEARCH("平",D3560)),"平","仄")))</x:f>
        <x:v>仄</x:v>
      </x:c>
      <x:c r="L3560" s="7" t="str"/>
    </x:row>
    <x:row r="3561">
      <x:c r="A3561" s="5" t="str">
        <x:v>薄</x:v>
      </x:c>
      <x:c r="B3561" s="6" t="str">
        <x:v>入</x:v>
      </x:c>
      <x:c r="C3561" s="6" t="str">
        <x:f>IF(B3561="","Needs decision","Ready")</x:f>
        <x:v>Ready</x:v>
      </x:c>
      <x:c r="D3561" s="6" t="str">
        <x:v>入</x:v>
      </x:c>
      <x:c r="E3561" s="6" t="str">
        <x:v>bak (D)</x:v>
      </x:c>
      <x:c r="F3561" s="6" t="str">
        <x:v>入聲十藥</x:v>
      </x:c>
      <x:c r="G3561" s="6" t="str">
        <x:v>Pingshui main list, Wikisource-derived DOCX</x:v>
      </x:c>
      <x:c r="H3561" s="6" t="str">
        <x:v>1</x:v>
      </x:c>
      <x:c r="I3561" s="6" t="str"/>
      <x:c r="J3561" s="6" t="str">
        <x:f>IF(B3561="","",IF(AND(ISNUMBER(SEARCH("平",B3561)),OR(ISNUMBER(SEARCH("上",B3561)),ISNUMBER(SEARCH("去",B3561)),ISNUMBER(SEARCH("入",B3561)))),"Ambiguous",IF(ISNUMBER(SEARCH("平",B3561)),"平","仄")))</x:f>
        <x:v>仄</x:v>
      </x:c>
      <x:c r="K3561" s="6" t="str">
        <x:f>IF(D3561="","",IF(AND(ISNUMBER(SEARCH("平",D3561)),OR(ISNUMBER(SEARCH("上",D3561)),ISNUMBER(SEARCH("去",D3561)),ISNUMBER(SEARCH("入",D3561)))),"Ambiguous",IF(ISNUMBER(SEARCH("平",D3561)),"平","仄")))</x:f>
        <x:v>仄</x:v>
      </x:c>
      <x:c r="L3561" s="7" t="str"/>
    </x:row>
    <x:row r="3562">
      <x:c r="A3562" s="5" t="str">
        <x:v>薅</x:v>
      </x:c>
      <x:c r="B3562" s="6" t="str">
        <x:v>平</x:v>
      </x:c>
      <x:c r="C3562" s="6" t="str">
        <x:f>IF(B3562="","Needs decision","Ready")</x:f>
        <x:v>Ready</x:v>
      </x:c>
      <x:c r="D3562" s="6" t="str">
        <x:v>平</x:v>
      </x:c>
      <x:c r="E3562" s="6" t="str">
        <x:v>xaw (A)</x:v>
      </x:c>
      <x:c r="F3562" s="6" t="str">
        <x:v>下平聲四豪</x:v>
      </x:c>
      <x:c r="G3562" s="6" t="str">
        <x:v>Pingshui main list, Wikisource-derived DOCX</x:v>
      </x:c>
      <x:c r="H3562" s="6" t="str">
        <x:v>1</x:v>
      </x:c>
      <x:c r="I3562" s="6" t="str"/>
      <x:c r="J3562" s="6" t="str">
        <x:f>IF(B3562="","",IF(AND(ISNUMBER(SEARCH("平",B3562)),OR(ISNUMBER(SEARCH("上",B3562)),ISNUMBER(SEARCH("去",B3562)),ISNUMBER(SEARCH("入",B3562)))),"Ambiguous",IF(ISNUMBER(SEARCH("平",B3562)),"平","仄")))</x:f>
        <x:v>平</x:v>
      </x:c>
      <x:c r="K3562" s="6" t="str">
        <x:f>IF(D3562="","",IF(AND(ISNUMBER(SEARCH("平",D3562)),OR(ISNUMBER(SEARCH("上",D3562)),ISNUMBER(SEARCH("去",D3562)),ISNUMBER(SEARCH("入",D3562)))),"Ambiguous",IF(ISNUMBER(SEARCH("平",D3562)),"平","仄")))</x:f>
        <x:v>平</x:v>
      </x:c>
      <x:c r="L3562" s="7" t="str"/>
    </x:row>
    <x:row r="3563">
      <x:c r="A3563" s="5" t="str">
        <x:v>薇</x:v>
      </x:c>
      <x:c r="B3563" s="6" t="str">
        <x:v>平</x:v>
      </x:c>
      <x:c r="C3563" s="6" t="str">
        <x:f>IF(B3563="","Needs decision","Ready")</x:f>
        <x:v>Ready</x:v>
      </x:c>
      <x:c r="D3563" s="6" t="str">
        <x:v>平</x:v>
      </x:c>
      <x:c r="E3563" s="6" t="str">
        <x:v>mij [mɨ̯i] (平); mj+j [mwɨj] (平)</x:v>
      </x:c>
      <x:c r="F3563" s="6" t="str">
        <x:v>上平聲五微</x:v>
      </x:c>
      <x:c r="G3563" s="6" t="str">
        <x:v>Pingshui main list, Wikisource-derived DOCX</x:v>
      </x:c>
      <x:c r="H3563" s="6" t="str">
        <x:v>2</x:v>
      </x:c>
      <x:c r="I3563" s="6" t="str">
        <x:v>Tang 300 gap; frequency 1; provisional from Xun Gong</x:v>
      </x:c>
      <x:c r="J3563" s="6" t="str">
        <x:f>IF(B3563="","",IF(AND(ISNUMBER(SEARCH("平",B3563)),OR(ISNUMBER(SEARCH("上",B3563)),ISNUMBER(SEARCH("去",B3563)),ISNUMBER(SEARCH("入",B3563)))),"Ambiguous",IF(ISNUMBER(SEARCH("平",B3563)),"平","仄")))</x:f>
        <x:v>平</x:v>
      </x:c>
      <x:c r="K3563" s="6" t="str">
        <x:f>IF(D3563="","",IF(AND(ISNUMBER(SEARCH("平",D3563)),OR(ISNUMBER(SEARCH("上",D3563)),ISNUMBER(SEARCH("去",D3563)),ISNUMBER(SEARCH("入",D3563)))),"Ambiguous",IF(ISNUMBER(SEARCH("平",D3563)),"平","仄")))</x:f>
        <x:v>平</x:v>
      </x:c>
      <x:c r="L3563" s="7" t="str">
        <x:v>Xun Gong, Tang 300 gap fill</x:v>
      </x:c>
    </x:row>
    <x:row r="3564">
      <x:c r="A3564" s="5" t="str">
        <x:v>薈</x:v>
      </x:c>
      <x:c r="B3564" s="6" t="str">
        <x:v>去</x:v>
      </x:c>
      <x:c r="C3564" s="6" t="str">
        <x:f>IF(B3564="","Needs decision","Ready")</x:f>
        <x:v>Ready</x:v>
      </x:c>
      <x:c r="D3564" s="6" t="str">
        <x:v>去</x:v>
      </x:c>
      <x:c r="E3564" s="6" t="str"/>
      <x:c r="F3564" s="6" t="str">
        <x:v>去聲九泰</x:v>
      </x:c>
      <x:c r="G3564" s="6" t="str">
        <x:v>Pingshui main list, Wikisource-derived DOCX</x:v>
      </x:c>
      <x:c r="H3564" s="6" t="str">
        <x:v>0</x:v>
      </x:c>
      <x:c r="I3564" s="6" t="str">
        <x:v>User correction 2026-09-08; added manually</x:v>
      </x:c>
      <x:c r="J3564" s="6" t="str">
        <x:f>IF(B3564="","",IF(AND(ISNUMBER(SEARCH("平",B3564)),OR(ISNUMBER(SEARCH("上",B3564)),ISNUMBER(SEARCH("去",B3564)),ISNUMBER(SEARCH("入",B3564)))),"Ambiguous",IF(ISNUMBER(SEARCH("平",B3564)),"平","仄")))</x:f>
        <x:v>仄</x:v>
      </x:c>
      <x:c r="K3564" s="6" t="str">
        <x:f>IF(D3564="","",IF(AND(ISNUMBER(SEARCH("平",D3564)),OR(ISNUMBER(SEARCH("上",D3564)),ISNUMBER(SEARCH("去",D3564)),ISNUMBER(SEARCH("入",D3564)))),"Ambiguous",IF(ISNUMBER(SEARCH("平",D3564)),"平","仄")))</x:f>
        <x:v>仄</x:v>
      </x:c>
      <x:c r="L3564" s="7" t="str">
        <x:v>User correction</x:v>
      </x:c>
    </x:row>
    <x:row r="3565">
      <x:c r="A3565" s="5" t="str">
        <x:v>薊</x:v>
      </x:c>
      <x:c r="B3565" s="6" t="str">
        <x:v>去</x:v>
      </x:c>
      <x:c r="C3565" s="6" t="str">
        <x:f>IF(B3565="","Needs decision","Ready")</x:f>
        <x:v>Ready</x:v>
      </x:c>
      <x:c r="D3565" s="6" t="str">
        <x:v>去</x:v>
      </x:c>
      <x:c r="E3565" s="6" t="str">
        <x:v>kejH [qejh] (去)</x:v>
      </x:c>
      <x:c r="F3565" s="6" t="str">
        <x:v>去聲八霽</x:v>
      </x:c>
      <x:c r="G3565" s="6" t="str">
        <x:v>Pingshui main list, Wikisource-derived DOCX</x:v>
      </x:c>
      <x:c r="H3565" s="6" t="str">
        <x:v>1</x:v>
      </x:c>
      <x:c r="I3565" s="6" t="str">
        <x:v>Tang 300 gap; frequency 3; provisional from Xun Gong</x:v>
      </x:c>
      <x:c r="J3565" s="6" t="str">
        <x:f>IF(B3565="","",IF(AND(ISNUMBER(SEARCH("平",B3565)),OR(ISNUMBER(SEARCH("上",B3565)),ISNUMBER(SEARCH("去",B3565)),ISNUMBER(SEARCH("入",B3565)))),"Ambiguous",IF(ISNUMBER(SEARCH("平",B3565)),"平","仄")))</x:f>
        <x:v>仄</x:v>
      </x:c>
      <x:c r="K3565" s="6" t="str">
        <x:f>IF(D3565="","",IF(AND(ISNUMBER(SEARCH("平",D3565)),OR(ISNUMBER(SEARCH("上",D3565)),ISNUMBER(SEARCH("去",D3565)),ISNUMBER(SEARCH("入",D3565)))),"Ambiguous",IF(ISNUMBER(SEARCH("平",D3565)),"平","仄")))</x:f>
        <x:v>仄</x:v>
      </x:c>
      <x:c r="L3565" s="7" t="str">
        <x:v>Xun Gong, Tang 300 gap fill</x:v>
      </x:c>
    </x:row>
    <x:row r="3566">
      <x:c r="A3566" s="5" t="str">
        <x:v>薌</x:v>
      </x:c>
      <x:c r="B3566" s="6" t="str">
        <x:v>平</x:v>
      </x:c>
      <x:c r="C3566" s="6" t="str">
        <x:f>IF(B3566="","Needs decision","Ready")</x:f>
        <x:v>Ready</x:v>
      </x:c>
      <x:c r="D3566" s="6" t="str">
        <x:v>平</x:v>
      </x:c>
      <x:c r="E3566" s="6" t="str">
        <x:v>xjang (A)</x:v>
      </x:c>
      <x:c r="F3566" s="6" t="str">
        <x:v>下平聲七陽</x:v>
      </x:c>
      <x:c r="G3566" s="6" t="str">
        <x:v>Pingshui main list, Wikisource-derived DOCX</x:v>
      </x:c>
      <x:c r="H3566" s="6" t="str">
        <x:v>1</x:v>
      </x:c>
      <x:c r="I3566" s="6" t="str"/>
      <x:c r="J3566" s="6" t="str">
        <x:f>IF(B3566="","",IF(AND(ISNUMBER(SEARCH("平",B3566)),OR(ISNUMBER(SEARCH("上",B3566)),ISNUMBER(SEARCH("去",B3566)),ISNUMBER(SEARCH("入",B3566)))),"Ambiguous",IF(ISNUMBER(SEARCH("平",B3566)),"平","仄")))</x:f>
        <x:v>平</x:v>
      </x:c>
      <x:c r="K3566" s="6" t="str">
        <x:f>IF(D3566="","",IF(AND(ISNUMBER(SEARCH("平",D3566)),OR(ISNUMBER(SEARCH("上",D3566)),ISNUMBER(SEARCH("去",D3566)),ISNUMBER(SEARCH("入",D3566)))),"Ambiguous",IF(ISNUMBER(SEARCH("平",D3566)),"平","仄")))</x:f>
        <x:v>平</x:v>
      </x:c>
      <x:c r="L3566" s="7" t="str"/>
    </x:row>
    <x:row r="3567">
      <x:c r="A3567" s="5" t="str">
        <x:v>薑</x:v>
      </x:c>
      <x:c r="B3567" s="6" t="str">
        <x:v>平</x:v>
      </x:c>
      <x:c r="C3567" s="6" t="str">
        <x:f>IF(B3567="","Needs decision","Ready")</x:f>
        <x:v>Ready</x:v>
      </x:c>
      <x:c r="D3567" s="6" t="str">
        <x:v>平</x:v>
      </x:c>
      <x:c r="E3567" s="6" t="str">
        <x:v>kjang (A)</x:v>
      </x:c>
      <x:c r="F3567" s="6" t="str">
        <x:v>下平聲七陽</x:v>
      </x:c>
      <x:c r="G3567" s="6" t="str">
        <x:v>Pingshui main list, Wikisource-derived DOCX</x:v>
      </x:c>
      <x:c r="H3567" s="6" t="str">
        <x:v>1</x:v>
      </x:c>
      <x:c r="I3567" s="6" t="str"/>
      <x:c r="J3567" s="6" t="str">
        <x:f>IF(B3567="","",IF(AND(ISNUMBER(SEARCH("平",B3567)),OR(ISNUMBER(SEARCH("上",B3567)),ISNUMBER(SEARCH("去",B3567)),ISNUMBER(SEARCH("入",B3567)))),"Ambiguous",IF(ISNUMBER(SEARCH("平",B3567)),"平","仄")))</x:f>
        <x:v>平</x:v>
      </x:c>
      <x:c r="K3567" s="6" t="str">
        <x:f>IF(D3567="","",IF(AND(ISNUMBER(SEARCH("平",D3567)),OR(ISNUMBER(SEARCH("上",D3567)),ISNUMBER(SEARCH("去",D3567)),ISNUMBER(SEARCH("入",D3567)))),"Ambiguous",IF(ISNUMBER(SEARCH("平",D3567)),"平","仄")))</x:f>
        <x:v>平</x:v>
      </x:c>
      <x:c r="L3567" s="7" t="str"/>
    </x:row>
    <x:row r="3568">
      <x:c r="A3568" s="5" t="str">
        <x:v>薖</x:v>
      </x:c>
      <x:c r="B3568" s="6" t="str">
        <x:v>平</x:v>
      </x:c>
      <x:c r="C3568" s="6" t="str">
        <x:f>IF(B3568="","Needs decision","Ready")</x:f>
        <x:v>Ready</x:v>
      </x:c>
      <x:c r="D3568" s="6" t="str">
        <x:v>平</x:v>
      </x:c>
      <x:c r="E3568" s="6" t="str">
        <x:v>khwa (A)</x:v>
      </x:c>
      <x:c r="F3568" s="6" t="str">
        <x:v>下平聲五歌</x:v>
      </x:c>
      <x:c r="G3568" s="6" t="str">
        <x:v>Pingshui main list, Wikisource-derived DOCX</x:v>
      </x:c>
      <x:c r="H3568" s="6" t="str">
        <x:v>1</x:v>
      </x:c>
      <x:c r="I3568" s="6" t="str"/>
      <x:c r="J3568" s="6" t="str">
        <x:f>IF(B3568="","",IF(AND(ISNUMBER(SEARCH("平",B3568)),OR(ISNUMBER(SEARCH("上",B3568)),ISNUMBER(SEARCH("去",B3568)),ISNUMBER(SEARCH("入",B3568)))),"Ambiguous",IF(ISNUMBER(SEARCH("平",B3568)),"平","仄")))</x:f>
        <x:v>平</x:v>
      </x:c>
      <x:c r="K3568" s="6" t="str">
        <x:f>IF(D3568="","",IF(AND(ISNUMBER(SEARCH("平",D3568)),OR(ISNUMBER(SEARCH("上",D3568)),ISNUMBER(SEARCH("去",D3568)),ISNUMBER(SEARCH("入",D3568)))),"Ambiguous",IF(ISNUMBER(SEARCH("平",D3568)),"平","仄")))</x:f>
        <x:v>平</x:v>
      </x:c>
      <x:c r="L3568" s="7" t="str"/>
    </x:row>
    <x:row r="3569">
      <x:c r="A3569" s="5" t="str">
        <x:v>薙</x:v>
      </x:c>
      <x:c r="B3569" s="6" t="str">
        <x:v>去</x:v>
      </x:c>
      <x:c r="C3569" s="6" t="str">
        <x:f>IF(B3569="","Needs decision","Ready")</x:f>
        <x:v>Ready</x:v>
      </x:c>
      <x:c r="D3569" s="6" t="str">
        <x:v>去</x:v>
      </x:c>
      <x:c r="E3569" s="6" t="str">
        <x:v>thejH (C)</x:v>
      </x:c>
      <x:c r="F3569" s="6" t="str">
        <x:v>去聲八霽</x:v>
      </x:c>
      <x:c r="G3569" s="6" t="str">
        <x:v>Pingshui main list, Wikisource-derived DOCX</x:v>
      </x:c>
      <x:c r="H3569" s="6" t="str">
        <x:v>1</x:v>
      </x:c>
      <x:c r="I3569" s="6" t="str"/>
      <x:c r="J3569" s="6" t="str">
        <x:f>IF(B3569="","",IF(AND(ISNUMBER(SEARCH("平",B3569)),OR(ISNUMBER(SEARCH("上",B3569)),ISNUMBER(SEARCH("去",B3569)),ISNUMBER(SEARCH("入",B3569)))),"Ambiguous",IF(ISNUMBER(SEARCH("平",B3569)),"平","仄")))</x:f>
        <x:v>仄</x:v>
      </x:c>
      <x:c r="K3569" s="6" t="str">
        <x:f>IF(D3569="","",IF(AND(ISNUMBER(SEARCH("平",D3569)),OR(ISNUMBER(SEARCH("上",D3569)),ISNUMBER(SEARCH("去",D3569)),ISNUMBER(SEARCH("入",D3569)))),"Ambiguous",IF(ISNUMBER(SEARCH("平",D3569)),"平","仄")))</x:f>
        <x:v>仄</x:v>
      </x:c>
      <x:c r="L3569" s="7" t="str"/>
    </x:row>
    <x:row r="3570">
      <x:c r="A3570" s="5" t="str">
        <x:v>薛</x:v>
      </x:c>
      <x:c r="B3570" s="6" t="str">
        <x:v>入</x:v>
      </x:c>
      <x:c r="C3570" s="6" t="str">
        <x:f>IF(B3570="","Needs decision","Ready")</x:f>
        <x:v>Ready</x:v>
      </x:c>
      <x:c r="D3570" s="6" t="str">
        <x:v>入</x:v>
      </x:c>
      <x:c r="E3570" s="6" t="str">
        <x:v>sjet (D)</x:v>
      </x:c>
      <x:c r="F3570" s="6" t="str">
        <x:v>入聲九屑</x:v>
      </x:c>
      <x:c r="G3570" s="6" t="str">
        <x:v>Pingshui main list, Wikisource-derived DOCX</x:v>
      </x:c>
      <x:c r="H3570" s="6" t="str">
        <x:v>1</x:v>
      </x:c>
      <x:c r="I3570" s="6" t="str"/>
      <x:c r="J3570" s="6" t="str">
        <x:f>IF(B3570="","",IF(AND(ISNUMBER(SEARCH("平",B3570)),OR(ISNUMBER(SEARCH("上",B3570)),ISNUMBER(SEARCH("去",B3570)),ISNUMBER(SEARCH("入",B3570)))),"Ambiguous",IF(ISNUMBER(SEARCH("平",B3570)),"平","仄")))</x:f>
        <x:v>仄</x:v>
      </x:c>
      <x:c r="K3570" s="6" t="str">
        <x:f>IF(D3570="","",IF(AND(ISNUMBER(SEARCH("平",D3570)),OR(ISNUMBER(SEARCH("上",D3570)),ISNUMBER(SEARCH("去",D3570)),ISNUMBER(SEARCH("入",D3570)))),"Ambiguous",IF(ISNUMBER(SEARCH("平",D3570)),"平","仄")))</x:f>
        <x:v>仄</x:v>
      </x:c>
      <x:c r="L3570" s="7" t="str"/>
    </x:row>
    <x:row r="3571">
      <x:c r="A3571" s="5" t="str">
        <x:v>薜</x:v>
      </x:c>
      <x:c r="B3571" s="6" t="str"/>
      <x:c r="C3571" s="6" t="str">
        <x:f>IF(B3571="","Needs decision","Ready")</x:f>
        <x:v>Needs decision</x:v>
      </x:c>
      <x:c r="D3571" s="6" t="str">
        <x:v>去/入</x:v>
      </x:c>
      <x:c r="E3571" s="6" t="str">
        <x:v>bejH [b̙ejh] (去); peak [p̙eˤk] (入)</x:v>
      </x:c>
      <x:c r="F3571" s="6" t="str">
        <x:v>去聲八霽</x:v>
      </x:c>
      <x:c r="G3571" s="6" t="str">
        <x:v>Pingshui main list, Wikisource-derived DOCX</x:v>
      </x:c>
      <x:c r="H3571" s="6" t="str">
        <x:v>2</x:v>
      </x:c>
      <x:c r="I3571" s="6" t="str">
        <x:v>Tang 300 gap; frequency 2; ambiguous in Xun Gong</x:v>
      </x:c>
      <x:c r="J3571" s="6" t="str">
        <x:f>IF(B3571="","",IF(AND(ISNUMBER(SEARCH("平",B3571)),OR(ISNUMBER(SEARCH("上",B3571)),ISNUMBER(SEARCH("去",B3571)),ISNUMBER(SEARCH("入",B3571)))),"Ambiguous",IF(ISNUMBER(SEARCH("平",B3571)),"平","仄")))</x:f>
      </x:c>
      <x:c r="K3571" s="6" t="str">
        <x:f>IF(D3571="","",IF(AND(ISNUMBER(SEARCH("平",D3571)),OR(ISNUMBER(SEARCH("上",D3571)),ISNUMBER(SEARCH("去",D3571)),ISNUMBER(SEARCH("入",D3571)))),"Ambiguous",IF(ISNUMBER(SEARCH("平",D3571)),"平","仄")))</x:f>
        <x:v>仄</x:v>
      </x:c>
      <x:c r="L3571" s="7" t="str">
        <x:v>Xun Gong, Tang 300 gap fill</x:v>
      </x:c>
    </x:row>
    <x:row r="3572">
      <x:c r="A3572" s="5" t="str">
        <x:v>薦</x:v>
      </x:c>
      <x:c r="B3572" s="6" t="str">
        <x:v>去</x:v>
      </x:c>
      <x:c r="C3572" s="6" t="str">
        <x:f>IF(B3572="","Needs decision","Ready")</x:f>
        <x:v>Ready</x:v>
      </x:c>
      <x:c r="D3572" s="6" t="str">
        <x:v>去</x:v>
      </x:c>
      <x:c r="E3572" s="6" t="str">
        <x:v>tsenH (C)</x:v>
      </x:c>
      <x:c r="F3572" s="6" t="str">
        <x:v>去聲十七霰</x:v>
      </x:c>
      <x:c r="G3572" s="6" t="str">
        <x:v>Pingshui main list, Wikisource-derived DOCX</x:v>
      </x:c>
      <x:c r="H3572" s="6" t="str">
        <x:v>1</x:v>
      </x:c>
      <x:c r="I3572" s="6" t="str"/>
      <x:c r="J3572" s="6" t="str">
        <x:f>IF(B3572="","",IF(AND(ISNUMBER(SEARCH("平",B3572)),OR(ISNUMBER(SEARCH("上",B3572)),ISNUMBER(SEARCH("去",B3572)),ISNUMBER(SEARCH("入",B3572)))),"Ambiguous",IF(ISNUMBER(SEARCH("平",B3572)),"平","仄")))</x:f>
        <x:v>仄</x:v>
      </x:c>
      <x:c r="K3572" s="6" t="str">
        <x:f>IF(D3572="","",IF(AND(ISNUMBER(SEARCH("平",D3572)),OR(ISNUMBER(SEARCH("上",D3572)),ISNUMBER(SEARCH("去",D3572)),ISNUMBER(SEARCH("入",D3572)))),"Ambiguous",IF(ISNUMBER(SEARCH("平",D3572)),"平","仄")))</x:f>
        <x:v>仄</x:v>
      </x:c>
      <x:c r="L3572" s="7" t="str"/>
    </x:row>
    <x:row r="3573">
      <x:c r="A3573" s="5" t="str">
        <x:v>薨</x:v>
      </x:c>
      <x:c r="B3573" s="6" t="str">
        <x:v>平</x:v>
      </x:c>
      <x:c r="C3573" s="6" t="str">
        <x:f>IF(B3573="","Needs decision","Ready")</x:f>
        <x:v>Ready</x:v>
      </x:c>
      <x:c r="D3573" s="6" t="str">
        <x:v>平</x:v>
      </x:c>
      <x:c r="E3573" s="6" t="str">
        <x:v>xwong (A)</x:v>
      </x:c>
      <x:c r="F3573" s="6" t="str">
        <x:v>下平聲十蒸</x:v>
      </x:c>
      <x:c r="G3573" s="6" t="str">
        <x:v>Pingshui main list, Wikisource-derived DOCX</x:v>
      </x:c>
      <x:c r="H3573" s="6" t="str">
        <x:v>1</x:v>
      </x:c>
      <x:c r="I3573" s="6" t="str"/>
      <x:c r="J3573" s="6" t="str">
        <x:f>IF(B3573="","",IF(AND(ISNUMBER(SEARCH("平",B3573)),OR(ISNUMBER(SEARCH("上",B3573)),ISNUMBER(SEARCH("去",B3573)),ISNUMBER(SEARCH("入",B3573)))),"Ambiguous",IF(ISNUMBER(SEARCH("平",B3573)),"平","仄")))</x:f>
        <x:v>平</x:v>
      </x:c>
      <x:c r="K3573" s="6" t="str">
        <x:f>IF(D3573="","",IF(AND(ISNUMBER(SEARCH("平",D3573)),OR(ISNUMBER(SEARCH("上",D3573)),ISNUMBER(SEARCH("去",D3573)),ISNUMBER(SEARCH("入",D3573)))),"Ambiguous",IF(ISNUMBER(SEARCH("平",D3573)),"平","仄")))</x:f>
        <x:v>平</x:v>
      </x:c>
      <x:c r="L3573" s="7" t="str"/>
    </x:row>
    <x:row r="3574">
      <x:c r="A3574" s="5" t="str">
        <x:v>薩</x:v>
      </x:c>
      <x:c r="B3574" s="6" t="str">
        <x:v>入</x:v>
      </x:c>
      <x:c r="C3574" s="6" t="str">
        <x:f>IF(B3574="","Needs decision","Ready")</x:f>
        <x:v>Ready</x:v>
      </x:c>
      <x:c r="D3574" s="6" t="str">
        <x:v>入</x:v>
      </x:c>
      <x:c r="E3574" s="6" t="str"/>
      <x:c r="F3574" s="6" t="str">
        <x:v>入聲七曷</x:v>
      </x:c>
      <x:c r="G3574" s="6" t="str">
        <x:v>Pingshui main list, Wikisource-derived DOCX</x:v>
      </x:c>
      <x:c r="H3574" s="6" t="str"/>
      <x:c r="I3574" s="6" t="str">
        <x:v>Manual user correction/addition</x:v>
      </x:c>
      <x:c r="J3574" s="6" t="str">
        <x:f>IF(B3574="","",IF(AND(ISNUMBER(SEARCH("平",B3574)),OR(ISNUMBER(SEARCH("上",B3574)),ISNUMBER(SEARCH("去",B3574)),ISNUMBER(SEARCH("入",B3574)))),"Ambiguous",IF(ISNUMBER(SEARCH("平",B3574)),"平","仄")))</x:f>
        <x:v>仄</x:v>
      </x:c>
      <x:c r="K3574" s="6" t="str">
        <x:f>IF(D3574="","",IF(AND(ISNUMBER(SEARCH("平",D3574)),OR(ISNUMBER(SEARCH("上",D3574)),ISNUMBER(SEARCH("去",D3574)),ISNUMBER(SEARCH("入",D3574)))),"Ambiguous",IF(ISNUMBER(SEARCH("平",D3574)),"平","仄")))</x:f>
        <x:v>仄</x:v>
      </x:c>
      <x:c r="L3574" s="7" t="str">
        <x:v>manual user correction</x:v>
      </x:c>
    </x:row>
    <x:row r="3575">
      <x:c r="A3575" s="5" t="str">
        <x:v>薪</x:v>
      </x:c>
      <x:c r="B3575" s="6" t="str">
        <x:v>平</x:v>
      </x:c>
      <x:c r="C3575" s="6" t="str">
        <x:f>IF(B3575="","Needs decision","Ready")</x:f>
        <x:v>Ready</x:v>
      </x:c>
      <x:c r="D3575" s="6" t="str">
        <x:v>平</x:v>
      </x:c>
      <x:c r="E3575" s="6" t="str">
        <x:v>sin (A)</x:v>
      </x:c>
      <x:c r="F3575" s="6" t="str">
        <x:v>上平聲十一真</x:v>
      </x:c>
      <x:c r="G3575" s="6" t="str">
        <x:v>Pingshui main list, Wikisource-derived DOCX</x:v>
      </x:c>
      <x:c r="H3575" s="6" t="str">
        <x:v>1</x:v>
      </x:c>
      <x:c r="I3575" s="6" t="str"/>
      <x:c r="J3575" s="6" t="str">
        <x:f>IF(B3575="","",IF(AND(ISNUMBER(SEARCH("平",B3575)),OR(ISNUMBER(SEARCH("上",B3575)),ISNUMBER(SEARCH("去",B3575)),ISNUMBER(SEARCH("入",B3575)))),"Ambiguous",IF(ISNUMBER(SEARCH("平",B3575)),"平","仄")))</x:f>
        <x:v>平</x:v>
      </x:c>
      <x:c r="K3575" s="6" t="str">
        <x:f>IF(D3575="","",IF(AND(ISNUMBER(SEARCH("平",D3575)),OR(ISNUMBER(SEARCH("上",D3575)),ISNUMBER(SEARCH("去",D3575)),ISNUMBER(SEARCH("入",D3575)))),"Ambiguous",IF(ISNUMBER(SEARCH("平",D3575)),"平","仄")))</x:f>
        <x:v>平</x:v>
      </x:c>
      <x:c r="L3575" s="7" t="str"/>
    </x:row>
    <x:row r="3576">
      <x:c r="A3576" s="5" t="str">
        <x:v>薰</x:v>
      </x:c>
      <x:c r="B3576" s="6" t="str">
        <x:v>平</x:v>
      </x:c>
      <x:c r="C3576" s="6" t="str">
        <x:f>IF(B3576="","Needs decision","Ready")</x:f>
        <x:v>Ready</x:v>
      </x:c>
      <x:c r="D3576" s="6" t="str">
        <x:v>平</x:v>
      </x:c>
      <x:c r="E3576" s="6" t="str">
        <x:v>xjun (A)</x:v>
      </x:c>
      <x:c r="F3576" s="6" t="str">
        <x:v>上平聲十二文</x:v>
      </x:c>
      <x:c r="G3576" s="6" t="str">
        <x:v>Pingshui main list, Wikisource-derived DOCX</x:v>
      </x:c>
      <x:c r="H3576" s="6" t="str">
        <x:v>1</x:v>
      </x:c>
      <x:c r="I3576" s="6" t="str"/>
      <x:c r="J3576" s="6" t="str">
        <x:f>IF(B3576="","",IF(AND(ISNUMBER(SEARCH("平",B3576)),OR(ISNUMBER(SEARCH("上",B3576)),ISNUMBER(SEARCH("去",B3576)),ISNUMBER(SEARCH("入",B3576)))),"Ambiguous",IF(ISNUMBER(SEARCH("平",B3576)),"平","仄")))</x:f>
        <x:v>平</x:v>
      </x:c>
      <x:c r="K3576" s="6" t="str">
        <x:f>IF(D3576="","",IF(AND(ISNUMBER(SEARCH("平",D3576)),OR(ISNUMBER(SEARCH("上",D3576)),ISNUMBER(SEARCH("去",D3576)),ISNUMBER(SEARCH("入",D3576)))),"Ambiguous",IF(ISNUMBER(SEARCH("平",D3576)),"平","仄")))</x:f>
        <x:v>平</x:v>
      </x:c>
      <x:c r="L3576" s="7" t="str"/>
    </x:row>
    <x:row r="3577">
      <x:c r="A3577" s="5" t="str">
        <x:v>薶</x:v>
      </x:c>
      <x:c r="B3577" s="6" t="str">
        <x:v>平</x:v>
      </x:c>
      <x:c r="C3577" s="6" t="str">
        <x:f>IF(B3577="","Needs decision","Ready")</x:f>
        <x:v>Ready</x:v>
      </x:c>
      <x:c r="D3577" s="6" t="str">
        <x:v>平</x:v>
      </x:c>
      <x:c r="E3577" s="6" t="str">
        <x:v>meaj (A)</x:v>
      </x:c>
      <x:c r="F3577" s="6" t="str"/>
      <x:c r="G3577" s="6" t="str"/>
      <x:c r="H3577" s="6" t="str">
        <x:v>1</x:v>
      </x:c>
      <x:c r="I3577" s="6" t="str"/>
      <x:c r="J3577" s="6" t="str">
        <x:f>IF(B3577="","",IF(AND(ISNUMBER(SEARCH("平",B3577)),OR(ISNUMBER(SEARCH("上",B3577)),ISNUMBER(SEARCH("去",B3577)),ISNUMBER(SEARCH("入",B3577)))),"Ambiguous",IF(ISNUMBER(SEARCH("平",B3577)),"平","仄")))</x:f>
        <x:v>平</x:v>
      </x:c>
      <x:c r="K3577" s="6" t="str">
        <x:f>IF(D3577="","",IF(AND(ISNUMBER(SEARCH("平",D3577)),OR(ISNUMBER(SEARCH("上",D3577)),ISNUMBER(SEARCH("去",D3577)),ISNUMBER(SEARCH("入",D3577)))),"Ambiguous",IF(ISNUMBER(SEARCH("平",D3577)),"平","仄")))</x:f>
        <x:v>平</x:v>
      </x:c>
      <x:c r="L3577" s="7" t="str"/>
    </x:row>
    <x:row r="3578">
      <x:c r="A3578" s="5" t="str">
        <x:v>薸</x:v>
      </x:c>
      <x:c r="B3578" s="6" t="str">
        <x:v>平</x:v>
      </x:c>
      <x:c r="C3578" s="6" t="str">
        <x:f>IF(B3578="","Needs decision","Ready")</x:f>
        <x:v>Ready</x:v>
      </x:c>
      <x:c r="D3578" s="6" t="str">
        <x:v>平</x:v>
      </x:c>
      <x:c r="E3578" s="6" t="str">
        <x:v>bjiew (A)</x:v>
      </x:c>
      <x:c r="F3578" s="6" t="str">
        <x:v>下平聲二蕭</x:v>
      </x:c>
      <x:c r="G3578" s="6" t="str">
        <x:v>Pingshui main list, Wikisource-derived DOCX</x:v>
      </x:c>
      <x:c r="H3578" s="6" t="str">
        <x:v>1</x:v>
      </x:c>
      <x:c r="I3578" s="6" t="str"/>
      <x:c r="J3578" s="6" t="str">
        <x:f>IF(B3578="","",IF(AND(ISNUMBER(SEARCH("平",B3578)),OR(ISNUMBER(SEARCH("上",B3578)),ISNUMBER(SEARCH("去",B3578)),ISNUMBER(SEARCH("入",B3578)))),"Ambiguous",IF(ISNUMBER(SEARCH("平",B3578)),"平","仄")))</x:f>
        <x:v>平</x:v>
      </x:c>
      <x:c r="K3578" s="6" t="str">
        <x:f>IF(D3578="","",IF(AND(ISNUMBER(SEARCH("平",D3578)),OR(ISNUMBER(SEARCH("上",D3578)),ISNUMBER(SEARCH("去",D3578)),ISNUMBER(SEARCH("入",D3578)))),"Ambiguous",IF(ISNUMBER(SEARCH("平",D3578)),"平","仄")))</x:f>
        <x:v>平</x:v>
      </x:c>
      <x:c r="L3578" s="7" t="str"/>
    </x:row>
    <x:row r="3579">
      <x:c r="A3579" s="5" t="str">
        <x:v>薺</x:v>
      </x:c>
      <x:c r="B3579" s="6" t="str">
        <x:v>上</x:v>
      </x:c>
      <x:c r="C3579" s="6" t="str">
        <x:f>IF(B3579="","Needs decision","Ready")</x:f>
        <x:v>Ready</x:v>
      </x:c>
      <x:c r="D3579" s="6" t="str">
        <x:v>上</x:v>
      </x:c>
      <x:c r="E3579" s="6" t="str">
        <x:v>dzejX (B)</x:v>
      </x:c>
      <x:c r="F3579" s="6" t="str">
        <x:v>上平聲四支; 上聲八薺</x:v>
      </x:c>
      <x:c r="G3579" s="6" t="str">
        <x:v>Pingshui main list, Wikisource-derived DOCX</x:v>
      </x:c>
      <x:c r="H3579" s="6" t="str">
        <x:v>1</x:v>
      </x:c>
      <x:c r="I3579" s="6" t="str"/>
      <x:c r="J3579" s="6" t="str">
        <x:f>IF(B3579="","",IF(AND(ISNUMBER(SEARCH("平",B3579)),OR(ISNUMBER(SEARCH("上",B3579)),ISNUMBER(SEARCH("去",B3579)),ISNUMBER(SEARCH("入",B3579)))),"Ambiguous",IF(ISNUMBER(SEARCH("平",B3579)),"平","仄")))</x:f>
        <x:v>仄</x:v>
      </x:c>
      <x:c r="K3579" s="6" t="str">
        <x:f>IF(D3579="","",IF(AND(ISNUMBER(SEARCH("平",D3579)),OR(ISNUMBER(SEARCH("上",D3579)),ISNUMBER(SEARCH("去",D3579)),ISNUMBER(SEARCH("入",D3579)))),"Ambiguous",IF(ISNUMBER(SEARCH("平",D3579)),"平","仄")))</x:f>
        <x:v>仄</x:v>
      </x:c>
      <x:c r="L3579" s="7" t="str"/>
    </x:row>
    <x:row r="3580">
      <x:c r="A3580" s="5" t="str">
        <x:v>藁</x:v>
      </x:c>
      <x:c r="B3580" s="6" t="str">
        <x:v>上</x:v>
      </x:c>
      <x:c r="C3580" s="6" t="str">
        <x:f>IF(B3580="","Needs decision","Ready")</x:f>
        <x:v>Ready</x:v>
      </x:c>
      <x:c r="D3580" s="6" t="str">
        <x:v>上</x:v>
      </x:c>
      <x:c r="E3580" s="6" t="str">
        <x:v>kawX [qəwʔ] (上)</x:v>
      </x:c>
      <x:c r="F3580" s="6" t="str"/>
      <x:c r="G3580" s="6" t="str"/>
      <x:c r="H3580" s="6" t="str">
        <x:v>1</x:v>
      </x:c>
      <x:c r="I3580" s="6" t="str">
        <x:v>Tang 300 gap; frequency 1; provisional from Xun Gong</x:v>
      </x:c>
      <x:c r="J3580" s="6" t="str">
        <x:f>IF(B3580="","",IF(AND(ISNUMBER(SEARCH("平",B3580)),OR(ISNUMBER(SEARCH("上",B3580)),ISNUMBER(SEARCH("去",B3580)),ISNUMBER(SEARCH("入",B3580)))),"Ambiguous",IF(ISNUMBER(SEARCH("平",B3580)),"平","仄")))</x:f>
        <x:v>仄</x:v>
      </x:c>
      <x:c r="K3580" s="6" t="str">
        <x:f>IF(D3580="","",IF(AND(ISNUMBER(SEARCH("平",D3580)),OR(ISNUMBER(SEARCH("上",D3580)),ISNUMBER(SEARCH("去",D3580)),ISNUMBER(SEARCH("入",D3580)))),"Ambiguous",IF(ISNUMBER(SEARCH("平",D3580)),"平","仄")))</x:f>
        <x:v>仄</x:v>
      </x:c>
      <x:c r="L3580" s="7" t="str">
        <x:v>Xun Gong, Tang 300 gap fill</x:v>
      </x:c>
    </x:row>
    <x:row r="3581">
      <x:c r="A3581" s="5" t="str">
        <x:v>藃</x:v>
      </x:c>
      <x:c r="B3581" s="6" t="str">
        <x:v>去</x:v>
      </x:c>
      <x:c r="C3581" s="6" t="str">
        <x:f>IF(B3581="","Needs decision","Ready")</x:f>
        <x:v>Ready</x:v>
      </x:c>
      <x:c r="D3581" s="6" t="str">
        <x:v>去</x:v>
      </x:c>
      <x:c r="E3581" s="6" t="str">
        <x:v>xawH (C)</x:v>
      </x:c>
      <x:c r="F3581" s="6" t="str"/>
      <x:c r="G3581" s="6" t="str"/>
      <x:c r="H3581" s="6" t="str">
        <x:v>1</x:v>
      </x:c>
      <x:c r="I3581" s="6" t="str"/>
      <x:c r="J3581" s="6" t="str">
        <x:f>IF(B3581="","",IF(AND(ISNUMBER(SEARCH("平",B3581)),OR(ISNUMBER(SEARCH("上",B3581)),ISNUMBER(SEARCH("去",B3581)),ISNUMBER(SEARCH("入",B3581)))),"Ambiguous",IF(ISNUMBER(SEARCH("平",B3581)),"平","仄")))</x:f>
        <x:v>仄</x:v>
      </x:c>
      <x:c r="K3581" s="6" t="str">
        <x:f>IF(D3581="","",IF(AND(ISNUMBER(SEARCH("平",D3581)),OR(ISNUMBER(SEARCH("上",D3581)),ISNUMBER(SEARCH("去",D3581)),ISNUMBER(SEARCH("入",D3581)))),"Ambiguous",IF(ISNUMBER(SEARCH("平",D3581)),"平","仄")))</x:f>
        <x:v>仄</x:v>
      </x:c>
      <x:c r="L3581" s="7" t="str"/>
    </x:row>
    <x:row r="3582">
      <x:c r="A3582" s="5" t="str">
        <x:v>藉</x:v>
      </x:c>
      <x:c r="B3582" s="6" t="str">
        <x:v>入</x:v>
      </x:c>
      <x:c r="C3582" s="6" t="str">
        <x:f>IF(B3582="","Needs decision","Ready")</x:f>
        <x:v>Ready</x:v>
      </x:c>
      <x:c r="D3582" s="6" t="str">
        <x:v>去/入</x:v>
      </x:c>
      <x:c r="E3582" s="6" t="str">
        <x:v>dzjek (D); dzjaeH (C)</x:v>
      </x:c>
      <x:c r="F3582" s="6" t="str">
        <x:v>去聲二十二禡; 入聲十一陌</x:v>
      </x:c>
      <x:c r="G3582" s="6" t="str">
        <x:v>Pingshui main list, Wikisource-derived DOCX</x:v>
      </x:c>
      <x:c r="H3582" s="6" t="str">
        <x:v>2</x:v>
      </x:c>
      <x:c r="I3582" s="6" t="str"/>
      <x:c r="J3582" s="6" t="str">
        <x:f>IF(B3582="","",IF(AND(ISNUMBER(SEARCH("平",B3582)),OR(ISNUMBER(SEARCH("上",B3582)),ISNUMBER(SEARCH("去",B3582)),ISNUMBER(SEARCH("入",B3582)))),"Ambiguous",IF(ISNUMBER(SEARCH("平",B3582)),"平","仄")))</x:f>
        <x:v>仄</x:v>
      </x:c>
      <x:c r="K3582" s="6" t="str">
        <x:f>IF(D3582="","",IF(AND(ISNUMBER(SEARCH("平",D3582)),OR(ISNUMBER(SEARCH("上",D3582)),ISNUMBER(SEARCH("去",D3582)),ISNUMBER(SEARCH("入",D3582)))),"Ambiguous",IF(ISNUMBER(SEARCH("平",D3582)),"平","仄")))</x:f>
        <x:v>仄</x:v>
      </x:c>
      <x:c r="L3582" s="7" t="str"/>
    </x:row>
    <x:row r="3583">
      <x:c r="A3583" s="5" t="str">
        <x:v>藍</x:v>
      </x:c>
      <x:c r="B3583" s="6" t="str">
        <x:v>平</x:v>
      </x:c>
      <x:c r="C3583" s="6" t="str">
        <x:f>IF(B3583="","Needs decision","Ready")</x:f>
        <x:v>Ready</x:v>
      </x:c>
      <x:c r="D3583" s="6" t="str">
        <x:v>平</x:v>
      </x:c>
      <x:c r="E3583" s="6" t="str">
        <x:v>lam (A)</x:v>
      </x:c>
      <x:c r="F3583" s="6" t="str">
        <x:v>下平聲十三覃</x:v>
      </x:c>
      <x:c r="G3583" s="6" t="str">
        <x:v>Pingshui main list, Wikisource-derived DOCX</x:v>
      </x:c>
      <x:c r="H3583" s="6" t="str">
        <x:v>1</x:v>
      </x:c>
      <x:c r="I3583" s="6" t="str"/>
      <x:c r="J3583" s="6" t="str">
        <x:f>IF(B3583="","",IF(AND(ISNUMBER(SEARCH("平",B3583)),OR(ISNUMBER(SEARCH("上",B3583)),ISNUMBER(SEARCH("去",B3583)),ISNUMBER(SEARCH("入",B3583)))),"Ambiguous",IF(ISNUMBER(SEARCH("平",B3583)),"平","仄")))</x:f>
        <x:v>平</x:v>
      </x:c>
      <x:c r="K3583" s="6" t="str">
        <x:f>IF(D3583="","",IF(AND(ISNUMBER(SEARCH("平",D3583)),OR(ISNUMBER(SEARCH("上",D3583)),ISNUMBER(SEARCH("去",D3583)),ISNUMBER(SEARCH("入",D3583)))),"Ambiguous",IF(ISNUMBER(SEARCH("平",D3583)),"平","仄")))</x:f>
        <x:v>平</x:v>
      </x:c>
      <x:c r="L3583" s="7" t="str"/>
    </x:row>
    <x:row r="3584">
      <x:c r="A3584" s="5" t="str">
        <x:v>藎</x:v>
      </x:c>
      <x:c r="B3584" s="6" t="str">
        <x:v>去</x:v>
      </x:c>
      <x:c r="C3584" s="6" t="str">
        <x:f>IF(B3584="","Needs decision","Ready")</x:f>
        <x:v>Ready</x:v>
      </x:c>
      <x:c r="D3584" s="6" t="str">
        <x:v>去</x:v>
      </x:c>
      <x:c r="E3584" s="6" t="str">
        <x:v>dzinH [dzinh] (去)</x:v>
      </x:c>
      <x:c r="F3584" s="6" t="str">
        <x:v>去聲十二震</x:v>
      </x:c>
      <x:c r="G3584" s="6" t="str">
        <x:v>Pingshui main list, Wikisource-derived DOCX</x:v>
      </x:c>
      <x:c r="H3584" s="6" t="str">
        <x:v>1</x:v>
      </x:c>
      <x:c r="I3584" s="6" t="str">
        <x:v>Tang 300 gap; frequency 1; provisional from Xun Gong</x:v>
      </x:c>
      <x:c r="J3584" s="6" t="str">
        <x:f>IF(B3584="","",IF(AND(ISNUMBER(SEARCH("平",B3584)),OR(ISNUMBER(SEARCH("上",B3584)),ISNUMBER(SEARCH("去",B3584)),ISNUMBER(SEARCH("入",B3584)))),"Ambiguous",IF(ISNUMBER(SEARCH("平",B3584)),"平","仄")))</x:f>
        <x:v>仄</x:v>
      </x:c>
      <x:c r="K3584" s="6" t="str">
        <x:f>IF(D3584="","",IF(AND(ISNUMBER(SEARCH("平",D3584)),OR(ISNUMBER(SEARCH("上",D3584)),ISNUMBER(SEARCH("去",D3584)),ISNUMBER(SEARCH("入",D3584)))),"Ambiguous",IF(ISNUMBER(SEARCH("平",D3584)),"平","仄")))</x:f>
        <x:v>仄</x:v>
      </x:c>
      <x:c r="L3584" s="7" t="str">
        <x:v>Xun Gong, Tang 300 gap fill</x:v>
      </x:c>
    </x:row>
    <x:row r="3585">
      <x:c r="A3585" s="5" t="str">
        <x:v>藏</x:v>
      </x:c>
      <x:c r="B3585" s="6" t="str">
        <x:v>平</x:v>
      </x:c>
      <x:c r="C3585" s="6" t="str">
        <x:f>IF(B3585="","Needs decision","Ready")</x:f>
        <x:v>Ready</x:v>
      </x:c>
      <x:c r="D3585" s="6" t="str">
        <x:v>平/去</x:v>
      </x:c>
      <x:c r="E3585" s="6" t="str">
        <x:v>dzang (A); dzangH (C)</x:v>
      </x:c>
      <x:c r="F3585" s="6" t="str">
        <x:v>下平聲七陽; 去聲二十三漾</x:v>
      </x:c>
      <x:c r="G3585" s="6" t="str">
        <x:v>Pingshui main list, Wikisource-derived DOCX</x:v>
      </x:c>
      <x:c r="H3585" s="6" t="str">
        <x:v>2</x:v>
      </x:c>
      <x:c r="I3585" s="6" t="str"/>
      <x:c r="J3585" s="6" t="str">
        <x:f>IF(B3585="","",IF(AND(ISNUMBER(SEARCH("平",B3585)),OR(ISNUMBER(SEARCH("上",B3585)),ISNUMBER(SEARCH("去",B3585)),ISNUMBER(SEARCH("入",B3585)))),"Ambiguous",IF(ISNUMBER(SEARCH("平",B3585)),"平","仄")))</x:f>
        <x:v>平</x:v>
      </x:c>
      <x:c r="K3585" s="6" t="str">
        <x:f>IF(D3585="","",IF(AND(ISNUMBER(SEARCH("平",D3585)),OR(ISNUMBER(SEARCH("上",D3585)),ISNUMBER(SEARCH("去",D3585)),ISNUMBER(SEARCH("入",D3585)))),"Ambiguous",IF(ISNUMBER(SEARCH("平",D3585)),"平","仄")))</x:f>
        <x:v>Ambiguous</x:v>
      </x:c>
      <x:c r="L3585" s="7" t="str"/>
    </x:row>
    <x:row r="3586">
      <x:c r="A3586" s="5" t="str">
        <x:v>藕</x:v>
      </x:c>
      <x:c r="B3586" s="6" t="str">
        <x:v>上</x:v>
      </x:c>
      <x:c r="C3586" s="6" t="str">
        <x:f>IF(B3586="","Needs decision","Ready")</x:f>
        <x:v>Ready</x:v>
      </x:c>
      <x:c r="D3586" s="6" t="str">
        <x:v>上</x:v>
      </x:c>
      <x:c r="E3586" s="6" t="str">
        <x:v>nguwX (B)</x:v>
      </x:c>
      <x:c r="F3586" s="6" t="str">
        <x:v>上聲二十五有</x:v>
      </x:c>
      <x:c r="G3586" s="6" t="str">
        <x:v>Pingshui main list, Wikisource-derived DOCX</x:v>
      </x:c>
      <x:c r="H3586" s="6" t="str">
        <x:v>1</x:v>
      </x:c>
      <x:c r="I3586" s="6" t="str"/>
      <x:c r="J3586" s="6" t="str">
        <x:f>IF(B3586="","",IF(AND(ISNUMBER(SEARCH("平",B3586)),OR(ISNUMBER(SEARCH("上",B3586)),ISNUMBER(SEARCH("去",B3586)),ISNUMBER(SEARCH("入",B3586)))),"Ambiguous",IF(ISNUMBER(SEARCH("平",B3586)),"平","仄")))</x:f>
        <x:v>仄</x:v>
      </x:c>
      <x:c r="K3586" s="6" t="str">
        <x:f>IF(D3586="","",IF(AND(ISNUMBER(SEARCH("平",D3586)),OR(ISNUMBER(SEARCH("上",D3586)),ISNUMBER(SEARCH("去",D3586)),ISNUMBER(SEARCH("入",D3586)))),"Ambiguous",IF(ISNUMBER(SEARCH("平",D3586)),"平","仄")))</x:f>
        <x:v>仄</x:v>
      </x:c>
      <x:c r="L3586" s="7" t="str"/>
    </x:row>
    <x:row r="3587">
      <x:c r="A3587" s="5" t="str">
        <x:v>藘</x:v>
      </x:c>
      <x:c r="B3587" s="6" t="str">
        <x:v>平</x:v>
      </x:c>
      <x:c r="C3587" s="6" t="str">
        <x:f>IF(B3587="","Needs decision","Ready")</x:f>
        <x:v>Ready</x:v>
      </x:c>
      <x:c r="D3587" s="6" t="str">
        <x:v>平</x:v>
      </x:c>
      <x:c r="E3587" s="6" t="str">
        <x:v>ljo (A)</x:v>
      </x:c>
      <x:c r="F3587" s="6" t="str">
        <x:v>上平聲六魚</x:v>
      </x:c>
      <x:c r="G3587" s="6" t="str">
        <x:v>Pingshui main list, Wikisource-derived DOCX</x:v>
      </x:c>
      <x:c r="H3587" s="6" t="str">
        <x:v>1</x:v>
      </x:c>
      <x:c r="I3587" s="6" t="str"/>
      <x:c r="J3587" s="6" t="str">
        <x:f>IF(B3587="","",IF(AND(ISNUMBER(SEARCH("平",B3587)),OR(ISNUMBER(SEARCH("上",B3587)),ISNUMBER(SEARCH("去",B3587)),ISNUMBER(SEARCH("入",B3587)))),"Ambiguous",IF(ISNUMBER(SEARCH("平",B3587)),"平","仄")))</x:f>
        <x:v>平</x:v>
      </x:c>
      <x:c r="K3587" s="6" t="str">
        <x:f>IF(D3587="","",IF(AND(ISNUMBER(SEARCH("平",D3587)),OR(ISNUMBER(SEARCH("上",D3587)),ISNUMBER(SEARCH("去",D3587)),ISNUMBER(SEARCH("入",D3587)))),"Ambiguous",IF(ISNUMBER(SEARCH("平",D3587)),"平","仄")))</x:f>
        <x:v>平</x:v>
      </x:c>
      <x:c r="L3587" s="7" t="str"/>
    </x:row>
    <x:row r="3588">
      <x:c r="A3588" s="5" t="str">
        <x:v>藙</x:v>
      </x:c>
      <x:c r="B3588" s="6" t="str">
        <x:v>去</x:v>
      </x:c>
      <x:c r="C3588" s="6" t="str">
        <x:f>IF(B3588="","Needs decision","Ready")</x:f>
        <x:v>Ready</x:v>
      </x:c>
      <x:c r="D3588" s="6" t="str">
        <x:v>去</x:v>
      </x:c>
      <x:c r="E3588" s="6" t="str">
        <x:v>ngj+jH (C)</x:v>
      </x:c>
      <x:c r="F3588" s="6" t="str"/>
      <x:c r="G3588" s="6" t="str"/>
      <x:c r="H3588" s="6" t="str">
        <x:v>1</x:v>
      </x:c>
      <x:c r="I3588" s="6" t="str"/>
      <x:c r="J3588" s="6" t="str">
        <x:f>IF(B3588="","",IF(AND(ISNUMBER(SEARCH("平",B3588)),OR(ISNUMBER(SEARCH("上",B3588)),ISNUMBER(SEARCH("去",B3588)),ISNUMBER(SEARCH("入",B3588)))),"Ambiguous",IF(ISNUMBER(SEARCH("平",B3588)),"平","仄")))</x:f>
        <x:v>仄</x:v>
      </x:c>
      <x:c r="K3588" s="6" t="str">
        <x:f>IF(D3588="","",IF(AND(ISNUMBER(SEARCH("平",D3588)),OR(ISNUMBER(SEARCH("上",D3588)),ISNUMBER(SEARCH("去",D3588)),ISNUMBER(SEARCH("入",D3588)))),"Ambiguous",IF(ISNUMBER(SEARCH("平",D3588)),"平","仄")))</x:f>
        <x:v>仄</x:v>
      </x:c>
      <x:c r="L3588" s="7" t="str"/>
    </x:row>
    <x:row r="3589">
      <x:c r="A3589" s="5" t="str">
        <x:v>藚</x:v>
      </x:c>
      <x:c r="B3589" s="6" t="str">
        <x:v>入</x:v>
      </x:c>
      <x:c r="C3589" s="6" t="str">
        <x:f>IF(B3589="","Needs decision","Ready")</x:f>
        <x:v>Ready</x:v>
      </x:c>
      <x:c r="D3589" s="6" t="str">
        <x:v>入</x:v>
      </x:c>
      <x:c r="E3589" s="6" t="str">
        <x:v>zjowk (D)</x:v>
      </x:c>
      <x:c r="F3589" s="6" t="str"/>
      <x:c r="G3589" s="6" t="str"/>
      <x:c r="H3589" s="6" t="str">
        <x:v>1</x:v>
      </x:c>
      <x:c r="I3589" s="6" t="str"/>
      <x:c r="J3589" s="6" t="str">
        <x:f>IF(B3589="","",IF(AND(ISNUMBER(SEARCH("平",B3589)),OR(ISNUMBER(SEARCH("上",B3589)),ISNUMBER(SEARCH("去",B3589)),ISNUMBER(SEARCH("入",B3589)))),"Ambiguous",IF(ISNUMBER(SEARCH("平",B3589)),"平","仄")))</x:f>
        <x:v>仄</x:v>
      </x:c>
      <x:c r="K3589" s="6" t="str">
        <x:f>IF(D3589="","",IF(AND(ISNUMBER(SEARCH("平",D3589)),OR(ISNUMBER(SEARCH("上",D3589)),ISNUMBER(SEARCH("去",D3589)),ISNUMBER(SEARCH("入",D3589)))),"Ambiguous",IF(ISNUMBER(SEARCH("平",D3589)),"平","仄")))</x:f>
        <x:v>仄</x:v>
      </x:c>
      <x:c r="L3589" s="7" t="str"/>
    </x:row>
    <x:row r="3590">
      <x:c r="A3590" s="5" t="str">
        <x:v>藜</x:v>
      </x:c>
      <x:c r="B3590" s="6" t="str">
        <x:v>平</x:v>
      </x:c>
      <x:c r="C3590" s="6" t="str">
        <x:f>IF(B3590="","Needs decision","Ready")</x:f>
        <x:v>Ready</x:v>
      </x:c>
      <x:c r="D3590" s="6" t="str">
        <x:v>平</x:v>
      </x:c>
      <x:c r="E3590" s="6" t="str">
        <x:v>lej [l̙ej] (平)</x:v>
      </x:c>
      <x:c r="F3590" s="6" t="str">
        <x:v>上平聲八齊</x:v>
      </x:c>
      <x:c r="G3590" s="6" t="str">
        <x:v>Pingshui main list, Wikisource-derived DOCX</x:v>
      </x:c>
      <x:c r="H3590" s="6" t="str">
        <x:v>1</x:v>
      </x:c>
      <x:c r="I3590" s="6" t="str">
        <x:v>Tang 300 gap; frequency 2; provisional from Xun Gong</x:v>
      </x:c>
      <x:c r="J3590" s="6" t="str">
        <x:f>IF(B3590="","",IF(AND(ISNUMBER(SEARCH("平",B3590)),OR(ISNUMBER(SEARCH("上",B3590)),ISNUMBER(SEARCH("去",B3590)),ISNUMBER(SEARCH("入",B3590)))),"Ambiguous",IF(ISNUMBER(SEARCH("平",B3590)),"平","仄")))</x:f>
        <x:v>平</x:v>
      </x:c>
      <x:c r="K3590" s="6" t="str">
        <x:f>IF(D3590="","",IF(AND(ISNUMBER(SEARCH("平",D3590)),OR(ISNUMBER(SEARCH("上",D3590)),ISNUMBER(SEARCH("去",D3590)),ISNUMBER(SEARCH("入",D3590)))),"Ambiguous",IF(ISNUMBER(SEARCH("平",D3590)),"平","仄")))</x:f>
        <x:v>平</x:v>
      </x:c>
      <x:c r="L3590" s="7" t="str">
        <x:v>Xun Gong, Tang 300 gap fill</x:v>
      </x:c>
    </x:row>
    <x:row r="3591">
      <x:c r="A3591" s="5" t="str">
        <x:v>藝</x:v>
      </x:c>
      <x:c r="B3591" s="6" t="str">
        <x:v>去</x:v>
      </x:c>
      <x:c r="C3591" s="6" t="str">
        <x:f>IF(B3591="","Needs decision","Ready")</x:f>
        <x:v>Ready</x:v>
      </x:c>
      <x:c r="D3591" s="6" t="str">
        <x:v>去</x:v>
      </x:c>
      <x:c r="E3591" s="6" t="str">
        <x:v>ngjiejH (C)</x:v>
      </x:c>
      <x:c r="F3591" s="6" t="str">
        <x:v>去聲八霽</x:v>
      </x:c>
      <x:c r="G3591" s="6" t="str">
        <x:v>Pingshui main list, Wikisource-derived DOCX</x:v>
      </x:c>
      <x:c r="H3591" s="6" t="str">
        <x:v>1</x:v>
      </x:c>
      <x:c r="I3591" s="6" t="str"/>
      <x:c r="J3591" s="6" t="str">
        <x:f>IF(B3591="","",IF(AND(ISNUMBER(SEARCH("平",B3591)),OR(ISNUMBER(SEARCH("上",B3591)),ISNUMBER(SEARCH("去",B3591)),ISNUMBER(SEARCH("入",B3591)))),"Ambiguous",IF(ISNUMBER(SEARCH("平",B3591)),"平","仄")))</x:f>
        <x:v>仄</x:v>
      </x:c>
      <x:c r="K3591" s="6" t="str">
        <x:f>IF(D3591="","",IF(AND(ISNUMBER(SEARCH("平",D3591)),OR(ISNUMBER(SEARCH("上",D3591)),ISNUMBER(SEARCH("去",D3591)),ISNUMBER(SEARCH("入",D3591)))),"Ambiguous",IF(ISNUMBER(SEARCH("平",D3591)),"平","仄")))</x:f>
        <x:v>仄</x:v>
      </x:c>
      <x:c r="L3591" s="7" t="str"/>
    </x:row>
    <x:row r="3592">
      <x:c r="A3592" s="5" t="str">
        <x:v>藤</x:v>
      </x:c>
      <x:c r="B3592" s="6" t="str">
        <x:v>平</x:v>
      </x:c>
      <x:c r="C3592" s="6" t="str">
        <x:f>IF(B3592="","Needs decision","Ready")</x:f>
        <x:v>Ready</x:v>
      </x:c>
      <x:c r="D3592" s="6" t="str">
        <x:v>平</x:v>
      </x:c>
      <x:c r="E3592" s="6" t="str">
        <x:v>dong [d̙əŋ] (平)</x:v>
      </x:c>
      <x:c r="F3592" s="6" t="str">
        <x:v>下平聲十蒸</x:v>
      </x:c>
      <x:c r="G3592" s="6" t="str">
        <x:v>Pingshui main list, Wikisource-derived DOCX</x:v>
      </x:c>
      <x:c r="H3592" s="6" t="str">
        <x:v>1</x:v>
      </x:c>
      <x:c r="I3592" s="6" t="str">
        <x:v>Tang 300 gap; frequency 1; provisional from Xun Gong</x:v>
      </x:c>
      <x:c r="J3592" s="6" t="str">
        <x:f>IF(B3592="","",IF(AND(ISNUMBER(SEARCH("平",B3592)),OR(ISNUMBER(SEARCH("上",B3592)),ISNUMBER(SEARCH("去",B3592)),ISNUMBER(SEARCH("入",B3592)))),"Ambiguous",IF(ISNUMBER(SEARCH("平",B3592)),"平","仄")))</x:f>
        <x:v>平</x:v>
      </x:c>
      <x:c r="K3592" s="6" t="str">
        <x:f>IF(D3592="","",IF(AND(ISNUMBER(SEARCH("平",D3592)),OR(ISNUMBER(SEARCH("上",D3592)),ISNUMBER(SEARCH("去",D3592)),ISNUMBER(SEARCH("入",D3592)))),"Ambiguous",IF(ISNUMBER(SEARCH("平",D3592)),"平","仄")))</x:f>
        <x:v>平</x:v>
      </x:c>
      <x:c r="L3592" s="7" t="str">
        <x:v>Xun Gong, Tang 300 gap fill</x:v>
      </x:c>
    </x:row>
    <x:row r="3593">
      <x:c r="A3593" s="5" t="str">
        <x:v>藥</x:v>
      </x:c>
      <x:c r="B3593" s="6" t="str">
        <x:v>入</x:v>
      </x:c>
      <x:c r="C3593" s="6" t="str">
        <x:f>IF(B3593="","Needs decision","Ready")</x:f>
        <x:v>Ready</x:v>
      </x:c>
      <x:c r="D3593" s="6" t="str">
        <x:v>入</x:v>
      </x:c>
      <x:c r="E3593" s="6" t="str">
        <x:v>yak (D)</x:v>
      </x:c>
      <x:c r="F3593" s="6" t="str">
        <x:v>入聲十藥</x:v>
      </x:c>
      <x:c r="G3593" s="6" t="str">
        <x:v>Pingshui main list, Wikisource-derived DOCX</x:v>
      </x:c>
      <x:c r="H3593" s="6" t="str">
        <x:v>1</x:v>
      </x:c>
      <x:c r="I3593" s="6" t="str"/>
      <x:c r="J3593" s="6" t="str">
        <x:f>IF(B3593="","",IF(AND(ISNUMBER(SEARCH("平",B3593)),OR(ISNUMBER(SEARCH("上",B3593)),ISNUMBER(SEARCH("去",B3593)),ISNUMBER(SEARCH("入",B3593)))),"Ambiguous",IF(ISNUMBER(SEARCH("平",B3593)),"平","仄")))</x:f>
        <x:v>仄</x:v>
      </x:c>
      <x:c r="K3593" s="6" t="str">
        <x:f>IF(D3593="","",IF(AND(ISNUMBER(SEARCH("平",D3593)),OR(ISNUMBER(SEARCH("上",D3593)),ISNUMBER(SEARCH("去",D3593)),ISNUMBER(SEARCH("入",D3593)))),"Ambiguous",IF(ISNUMBER(SEARCH("平",D3593)),"平","仄")))</x:f>
        <x:v>仄</x:v>
      </x:c>
      <x:c r="L3593" s="7" t="str"/>
    </x:row>
    <x:row r="3594">
      <x:c r="A3594" s="5" t="str">
        <x:v>藩</x:v>
      </x:c>
      <x:c r="B3594" s="6" t="str">
        <x:v>平</x:v>
      </x:c>
      <x:c r="C3594" s="6" t="str">
        <x:f>IF(B3594="","Needs decision","Ready")</x:f>
        <x:v>Ready</x:v>
      </x:c>
      <x:c r="D3594" s="6" t="str">
        <x:v>平</x:v>
      </x:c>
      <x:c r="E3594" s="6" t="str">
        <x:v>pjon (A)</x:v>
      </x:c>
      <x:c r="F3594" s="6" t="str">
        <x:v>上平聲十三元</x:v>
      </x:c>
      <x:c r="G3594" s="6" t="str">
        <x:v>Pingshui main list, Wikisource-derived DOCX</x:v>
      </x:c>
      <x:c r="H3594" s="6" t="str">
        <x:v>1</x:v>
      </x:c>
      <x:c r="I3594" s="6" t="str"/>
      <x:c r="J3594" s="6" t="str">
        <x:f>IF(B3594="","",IF(AND(ISNUMBER(SEARCH("平",B3594)),OR(ISNUMBER(SEARCH("上",B3594)),ISNUMBER(SEARCH("去",B3594)),ISNUMBER(SEARCH("入",B3594)))),"Ambiguous",IF(ISNUMBER(SEARCH("平",B3594)),"平","仄")))</x:f>
        <x:v>平</x:v>
      </x:c>
      <x:c r="K3594" s="6" t="str">
        <x:f>IF(D3594="","",IF(AND(ISNUMBER(SEARCH("平",D3594)),OR(ISNUMBER(SEARCH("上",D3594)),ISNUMBER(SEARCH("去",D3594)),ISNUMBER(SEARCH("入",D3594)))),"Ambiguous",IF(ISNUMBER(SEARCH("平",D3594)),"平","仄")))</x:f>
        <x:v>平</x:v>
      </x:c>
      <x:c r="L3594" s="7" t="str"/>
    </x:row>
    <x:row r="3595">
      <x:c r="A3595" s="5" t="str">
        <x:v>藴</x:v>
      </x:c>
      <x:c r="B3595" s="6" t="str">
        <x:v>去</x:v>
      </x:c>
      <x:c r="C3595" s="6" t="str">
        <x:f>IF(B3595="","Needs decision","Ready")</x:f>
        <x:v>Ready</x:v>
      </x:c>
      <x:c r="D3595" s="6" t="str">
        <x:v>上/去</x:v>
      </x:c>
      <x:c r="E3595" s="6" t="str">
        <x:v>'junX (B); 'junH (C)</x:v>
      </x:c>
      <x:c r="F3595" s="6" t="str"/>
      <x:c r="G3595" s="6" t="str"/>
      <x:c r="H3595" s="6" t="str">
        <x:v>2</x:v>
      </x:c>
      <x:c r="I3595" s="6" t="str"/>
      <x:c r="J3595" s="6" t="str">
        <x:f>IF(B3595="","",IF(AND(ISNUMBER(SEARCH("平",B3595)),OR(ISNUMBER(SEARCH("上",B3595)),ISNUMBER(SEARCH("去",B3595)),ISNUMBER(SEARCH("入",B3595)))),"Ambiguous",IF(ISNUMBER(SEARCH("平",B3595)),"平","仄")))</x:f>
        <x:v>仄</x:v>
      </x:c>
      <x:c r="K3595" s="6" t="str">
        <x:f>IF(D3595="","",IF(AND(ISNUMBER(SEARCH("平",D3595)),OR(ISNUMBER(SEARCH("上",D3595)),ISNUMBER(SEARCH("去",D3595)),ISNUMBER(SEARCH("入",D3595)))),"Ambiguous",IF(ISNUMBER(SEARCH("平",D3595)),"平","仄")))</x:f>
        <x:v>仄</x:v>
      </x:c>
      <x:c r="L3595" s="7" t="str"/>
    </x:row>
    <x:row r="3596">
      <x:c r="A3596" s="5" t="str">
        <x:v>藹</x:v>
      </x:c>
      <x:c r="B3596" s="6" t="str">
        <x:v>去</x:v>
      </x:c>
      <x:c r="C3596" s="6" t="str">
        <x:f>IF(B3596="","Needs decision","Ready")</x:f>
        <x:v>Ready</x:v>
      </x:c>
      <x:c r="D3596" s="6" t="str">
        <x:v>去</x:v>
      </x:c>
      <x:c r="E3596" s="6" t="str">
        <x:v>'ajH (C)</x:v>
      </x:c>
      <x:c r="F3596" s="6" t="str">
        <x:v>去聲九泰</x:v>
      </x:c>
      <x:c r="G3596" s="6" t="str">
        <x:v>Pingshui main list, Wikisource-derived DOCX</x:v>
      </x:c>
      <x:c r="H3596" s="6" t="str">
        <x:v>1</x:v>
      </x:c>
      <x:c r="I3596" s="6" t="str"/>
      <x:c r="J3596" s="6" t="str">
        <x:f>IF(B3596="","",IF(AND(ISNUMBER(SEARCH("平",B3596)),OR(ISNUMBER(SEARCH("上",B3596)),ISNUMBER(SEARCH("去",B3596)),ISNUMBER(SEARCH("入",B3596)))),"Ambiguous",IF(ISNUMBER(SEARCH("平",B3596)),"平","仄")))</x:f>
        <x:v>仄</x:v>
      </x:c>
      <x:c r="K3596" s="6" t="str">
        <x:f>IF(D3596="","",IF(AND(ISNUMBER(SEARCH("平",D3596)),OR(ISNUMBER(SEARCH("上",D3596)),ISNUMBER(SEARCH("去",D3596)),ISNUMBER(SEARCH("入",D3596)))),"Ambiguous",IF(ISNUMBER(SEARCH("平",D3596)),"平","仄")))</x:f>
        <x:v>仄</x:v>
      </x:c>
      <x:c r="L3596" s="7" t="str"/>
    </x:row>
    <x:row r="3597">
      <x:c r="A3597" s="5" t="str">
        <x:v>藻</x:v>
      </x:c>
      <x:c r="B3597" s="6" t="str">
        <x:v>上</x:v>
      </x:c>
      <x:c r="C3597" s="6" t="str">
        <x:f>IF(B3597="","Needs decision","Ready")</x:f>
        <x:v>Ready</x:v>
      </x:c>
      <x:c r="D3597" s="6" t="str">
        <x:v>上</x:v>
      </x:c>
      <x:c r="E3597" s="6" t="str">
        <x:v>tsawX (B)</x:v>
      </x:c>
      <x:c r="F3597" s="6" t="str">
        <x:v>上聲十九皓</x:v>
      </x:c>
      <x:c r="G3597" s="6" t="str">
        <x:v>Pingshui main list, Wikisource-derived DOCX</x:v>
      </x:c>
      <x:c r="H3597" s="6" t="str">
        <x:v>1</x:v>
      </x:c>
      <x:c r="I3597" s="6" t="str"/>
      <x:c r="J3597" s="6" t="str">
        <x:f>IF(B3597="","",IF(AND(ISNUMBER(SEARCH("平",B3597)),OR(ISNUMBER(SEARCH("上",B3597)),ISNUMBER(SEARCH("去",B3597)),ISNUMBER(SEARCH("入",B3597)))),"Ambiguous",IF(ISNUMBER(SEARCH("平",B3597)),"平","仄")))</x:f>
        <x:v>仄</x:v>
      </x:c>
      <x:c r="K3597" s="6" t="str">
        <x:f>IF(D3597="","",IF(AND(ISNUMBER(SEARCH("平",D3597)),OR(ISNUMBER(SEARCH("上",D3597)),ISNUMBER(SEARCH("去",D3597)),ISNUMBER(SEARCH("入",D3597)))),"Ambiguous",IF(ISNUMBER(SEARCH("平",D3597)),"平","仄")))</x:f>
        <x:v>仄</x:v>
      </x:c>
      <x:c r="L3597" s="7" t="str"/>
    </x:row>
    <x:row r="3598">
      <x:c r="A3598" s="5" t="str">
        <x:v>藿</x:v>
      </x:c>
      <x:c r="B3598" s="6" t="str">
        <x:v>入</x:v>
      </x:c>
      <x:c r="C3598" s="6" t="str">
        <x:f>IF(B3598="","Needs decision","Ready")</x:f>
        <x:v>Ready</x:v>
      </x:c>
      <x:c r="D3598" s="6" t="str">
        <x:v>入</x:v>
      </x:c>
      <x:c r="E3598" s="6" t="str">
        <x:v>xwak [χwɑk] (入)</x:v>
      </x:c>
      <x:c r="F3598" s="6" t="str">
        <x:v>入聲十藥</x:v>
      </x:c>
      <x:c r="G3598" s="6" t="str">
        <x:v>Pingshui main list, Wikisource-derived DOCX</x:v>
      </x:c>
      <x:c r="H3598" s="6" t="str">
        <x:v>1</x:v>
      </x:c>
      <x:c r="I3598" s="6" t="str">
        <x:v>Tang 300 gap; frequency 1; provisional from Xun Gong</x:v>
      </x:c>
      <x:c r="J3598" s="6" t="str">
        <x:f>IF(B3598="","",IF(AND(ISNUMBER(SEARCH("平",B3598)),OR(ISNUMBER(SEARCH("上",B3598)),ISNUMBER(SEARCH("去",B3598)),ISNUMBER(SEARCH("入",B3598)))),"Ambiguous",IF(ISNUMBER(SEARCH("平",B3598)),"平","仄")))</x:f>
        <x:v>仄</x:v>
      </x:c>
      <x:c r="K3598" s="6" t="str">
        <x:f>IF(D3598="","",IF(AND(ISNUMBER(SEARCH("平",D3598)),OR(ISNUMBER(SEARCH("上",D3598)),ISNUMBER(SEARCH("去",D3598)),ISNUMBER(SEARCH("入",D3598)))),"Ambiguous",IF(ISNUMBER(SEARCH("平",D3598)),"平","仄")))</x:f>
        <x:v>仄</x:v>
      </x:c>
      <x:c r="L3598" s="7" t="str">
        <x:v>Xun Gong, Tang 300 gap fill</x:v>
      </x:c>
    </x:row>
    <x:row r="3599">
      <x:c r="A3599" s="5" t="str">
        <x:v>蘄</x:v>
      </x:c>
      <x:c r="B3599" s="6" t="str">
        <x:v>平</x:v>
      </x:c>
      <x:c r="C3599" s="6" t="str">
        <x:f>IF(B3599="","Needs decision","Ready")</x:f>
        <x:v>Ready</x:v>
      </x:c>
      <x:c r="D3599" s="6" t="str">
        <x:v>平</x:v>
      </x:c>
      <x:c r="E3599" s="6" t="str">
        <x:v>gj+j (A)</x:v>
      </x:c>
      <x:c r="F3599" s="6" t="str">
        <x:v>上平聲四支; 上平聲十二文</x:v>
      </x:c>
      <x:c r="G3599" s="6" t="str">
        <x:v>Pingshui main list, Wikisource-derived DOCX</x:v>
      </x:c>
      <x:c r="H3599" s="6" t="str">
        <x:v>1</x:v>
      </x:c>
      <x:c r="I3599" s="6" t="str"/>
      <x:c r="J3599" s="6" t="str">
        <x:f>IF(B3599="","",IF(AND(ISNUMBER(SEARCH("平",B3599)),OR(ISNUMBER(SEARCH("上",B3599)),ISNUMBER(SEARCH("去",B3599)),ISNUMBER(SEARCH("入",B3599)))),"Ambiguous",IF(ISNUMBER(SEARCH("平",B3599)),"平","仄")))</x:f>
        <x:v>平</x:v>
      </x:c>
      <x:c r="K3599" s="6" t="str">
        <x:f>IF(D3599="","",IF(AND(ISNUMBER(SEARCH("平",D3599)),OR(ISNUMBER(SEARCH("上",D3599)),ISNUMBER(SEARCH("去",D3599)),ISNUMBER(SEARCH("入",D3599)))),"Ambiguous",IF(ISNUMBER(SEARCH("平",D3599)),"平","仄")))</x:f>
        <x:v>平</x:v>
      </x:c>
      <x:c r="L3599" s="7" t="str"/>
    </x:row>
    <x:row r="3600">
      <x:c r="A3600" s="5" t="str">
        <x:v>蘆</x:v>
      </x:c>
      <x:c r="B3600" s="6" t="str">
        <x:v>平</x:v>
      </x:c>
      <x:c r="C3600" s="6" t="str">
        <x:f>IF(B3600="","Needs decision","Ready")</x:f>
        <x:v>Ready</x:v>
      </x:c>
      <x:c r="D3600" s="6" t="str">
        <x:v>平</x:v>
      </x:c>
      <x:c r="E3600" s="6" t="str">
        <x:v>lu (A)</x:v>
      </x:c>
      <x:c r="F3600" s="6" t="str">
        <x:v>上平聲七虞</x:v>
      </x:c>
      <x:c r="G3600" s="6" t="str">
        <x:v>Pingshui main list, Wikisource-derived DOCX</x:v>
      </x:c>
      <x:c r="H3600" s="6" t="str">
        <x:v>1</x:v>
      </x:c>
      <x:c r="I3600" s="6" t="str"/>
      <x:c r="J3600" s="6" t="str">
        <x:f>IF(B3600="","",IF(AND(ISNUMBER(SEARCH("平",B3600)),OR(ISNUMBER(SEARCH("上",B3600)),ISNUMBER(SEARCH("去",B3600)),ISNUMBER(SEARCH("入",B3600)))),"Ambiguous",IF(ISNUMBER(SEARCH("平",B3600)),"平","仄")))</x:f>
        <x:v>平</x:v>
      </x:c>
      <x:c r="K3600" s="6" t="str">
        <x:f>IF(D3600="","",IF(AND(ISNUMBER(SEARCH("平",D3600)),OR(ISNUMBER(SEARCH("上",D3600)),ISNUMBER(SEARCH("去",D3600)),ISNUMBER(SEARCH("入",D3600)))),"Ambiguous",IF(ISNUMBER(SEARCH("平",D3600)),"平","仄")))</x:f>
        <x:v>平</x:v>
      </x:c>
      <x:c r="L3600" s="7" t="str"/>
    </x:row>
    <x:row r="3601">
      <x:c r="A3601" s="5" t="str">
        <x:v>蘇</x:v>
      </x:c>
      <x:c r="B3601" s="6" t="str">
        <x:v>平</x:v>
      </x:c>
      <x:c r="C3601" s="6" t="str">
        <x:f>IF(B3601="","Needs decision","Ready")</x:f>
        <x:v>Ready</x:v>
      </x:c>
      <x:c r="D3601" s="6" t="str">
        <x:v>平</x:v>
      </x:c>
      <x:c r="E3601" s="6" t="str">
        <x:v>su (A)</x:v>
      </x:c>
      <x:c r="F3601" s="6" t="str">
        <x:v>上平聲七虞</x:v>
      </x:c>
      <x:c r="G3601" s="6" t="str">
        <x:v>Pingshui main list, Wikisource-derived DOCX</x:v>
      </x:c>
      <x:c r="H3601" s="6" t="str">
        <x:v>1</x:v>
      </x:c>
      <x:c r="I3601" s="6" t="str"/>
      <x:c r="J3601" s="6" t="str">
        <x:f>IF(B3601="","",IF(AND(ISNUMBER(SEARCH("平",B3601)),OR(ISNUMBER(SEARCH("上",B3601)),ISNUMBER(SEARCH("去",B3601)),ISNUMBER(SEARCH("入",B3601)))),"Ambiguous",IF(ISNUMBER(SEARCH("平",B3601)),"平","仄")))</x:f>
        <x:v>平</x:v>
      </x:c>
      <x:c r="K3601" s="6" t="str">
        <x:f>IF(D3601="","",IF(AND(ISNUMBER(SEARCH("平",D3601)),OR(ISNUMBER(SEARCH("上",D3601)),ISNUMBER(SEARCH("去",D3601)),ISNUMBER(SEARCH("入",D3601)))),"Ambiguous",IF(ISNUMBER(SEARCH("平",D3601)),"平","仄")))</x:f>
        <x:v>平</x:v>
      </x:c>
      <x:c r="L3601" s="7" t="str"/>
    </x:row>
    <x:row r="3602">
      <x:c r="A3602" s="5" t="str">
        <x:v>蘋</x:v>
      </x:c>
      <x:c r="B3602" s="6" t="str">
        <x:v>平</x:v>
      </x:c>
      <x:c r="C3602" s="6" t="str">
        <x:f>IF(B3602="","Needs decision","Ready")</x:f>
        <x:v>Ready</x:v>
      </x:c>
      <x:c r="D3602" s="6" t="str">
        <x:v>平</x:v>
      </x:c>
      <x:c r="E3602" s="6" t="str"/>
      <x:c r="F3602" s="6" t="str">
        <x:v>上平聲十一真</x:v>
      </x:c>
      <x:c r="G3602" s="6" t="str">
        <x:v>Pingshui main list, Wikisource-derived DOCX</x:v>
      </x:c>
      <x:c r="H3602" s="6" t="str"/>
      <x:c r="I3602" s="6" t="str">
        <x:v>Manual user correction/addition</x:v>
      </x:c>
      <x:c r="J3602" s="6" t="str">
        <x:f>IF(B3602="","",IF(AND(ISNUMBER(SEARCH("平",B3602)),OR(ISNUMBER(SEARCH("上",B3602)),ISNUMBER(SEARCH("去",B3602)),ISNUMBER(SEARCH("入",B3602)))),"Ambiguous",IF(ISNUMBER(SEARCH("平",B3602)),"平","仄")))</x:f>
        <x:v>平</x:v>
      </x:c>
      <x:c r="K3602" s="6" t="str">
        <x:f>IF(D3602="","",IF(AND(ISNUMBER(SEARCH("平",D3602)),OR(ISNUMBER(SEARCH("上",D3602)),ISNUMBER(SEARCH("去",D3602)),ISNUMBER(SEARCH("入",D3602)))),"Ambiguous",IF(ISNUMBER(SEARCH("平",D3602)),"平","仄")))</x:f>
        <x:v>平</x:v>
      </x:c>
      <x:c r="L3602" s="7" t="str">
        <x:v>manual user correction</x:v>
      </x:c>
    </x:row>
    <x:row r="3603">
      <x:c r="A3603" s="5" t="str">
        <x:v>蘚</x:v>
      </x:c>
      <x:c r="B3603" s="6" t="str">
        <x:v>上</x:v>
      </x:c>
      <x:c r="C3603" s="6" t="str">
        <x:f>IF(B3603="","Needs decision","Ready")</x:f>
        <x:v>Ready</x:v>
      </x:c>
      <x:c r="D3603" s="6" t="str">
        <x:v>上</x:v>
      </x:c>
      <x:c r="E3603" s="6" t="str">
        <x:v>sjenX [sjenʔ] (上)</x:v>
      </x:c>
      <x:c r="F3603" s="6" t="str">
        <x:v>上聲十六銑</x:v>
      </x:c>
      <x:c r="G3603" s="6" t="str">
        <x:v>Pingshui main list, Wikisource-derived DOCX</x:v>
      </x:c>
      <x:c r="H3603" s="6" t="str">
        <x:v>1</x:v>
      </x:c>
      <x:c r="I3603" s="6" t="str">
        <x:v>Tang 300 gap; frequency 1; provisional from Xun Gong</x:v>
      </x:c>
      <x:c r="J3603" s="6" t="str">
        <x:f>IF(B3603="","",IF(AND(ISNUMBER(SEARCH("平",B3603)),OR(ISNUMBER(SEARCH("上",B3603)),ISNUMBER(SEARCH("去",B3603)),ISNUMBER(SEARCH("入",B3603)))),"Ambiguous",IF(ISNUMBER(SEARCH("平",B3603)),"平","仄")))</x:f>
        <x:v>仄</x:v>
      </x:c>
      <x:c r="K3603" s="6" t="str">
        <x:f>IF(D3603="","",IF(AND(ISNUMBER(SEARCH("平",D3603)),OR(ISNUMBER(SEARCH("上",D3603)),ISNUMBER(SEARCH("去",D3603)),ISNUMBER(SEARCH("入",D3603)))),"Ambiguous",IF(ISNUMBER(SEARCH("平",D3603)),"平","仄")))</x:f>
        <x:v>仄</x:v>
      </x:c>
      <x:c r="L3603" s="7" t="str">
        <x:v>Xun Gong, Tang 300 gap fill</x:v>
      </x:c>
    </x:row>
    <x:row r="3604">
      <x:c r="A3604" s="5" t="str">
        <x:v>蘞</x:v>
      </x:c>
      <x:c r="B3604" s="6" t="str">
        <x:v>平</x:v>
      </x:c>
      <x:c r="C3604" s="6" t="str">
        <x:f>IF(B3604="","Needs decision","Ready")</x:f>
        <x:v>Ready</x:v>
      </x:c>
      <x:c r="D3604" s="6" t="str">
        <x:v>平</x:v>
      </x:c>
      <x:c r="E3604" s="6" t="str">
        <x:v>ljem (A)</x:v>
      </x:c>
      <x:c r="F3604" s="6" t="str"/>
      <x:c r="G3604" s="6" t="str"/>
      <x:c r="H3604" s="6" t="str">
        <x:v>1</x:v>
      </x:c>
      <x:c r="I3604" s="6" t="str"/>
      <x:c r="J3604" s="6" t="str">
        <x:f>IF(B3604="","",IF(AND(ISNUMBER(SEARCH("平",B3604)),OR(ISNUMBER(SEARCH("上",B3604)),ISNUMBER(SEARCH("去",B3604)),ISNUMBER(SEARCH("入",B3604)))),"Ambiguous",IF(ISNUMBER(SEARCH("平",B3604)),"平","仄")))</x:f>
        <x:v>平</x:v>
      </x:c>
      <x:c r="K3604" s="6" t="str">
        <x:f>IF(D3604="","",IF(AND(ISNUMBER(SEARCH("平",D3604)),OR(ISNUMBER(SEARCH("上",D3604)),ISNUMBER(SEARCH("去",D3604)),ISNUMBER(SEARCH("入",D3604)))),"Ambiguous",IF(ISNUMBER(SEARCH("平",D3604)),"平","仄")))</x:f>
        <x:v>平</x:v>
      </x:c>
      <x:c r="L3604" s="7" t="str"/>
    </x:row>
    <x:row r="3605">
      <x:c r="A3605" s="5" t="str">
        <x:v>蘭</x:v>
      </x:c>
      <x:c r="B3605" s="6" t="str">
        <x:v>平</x:v>
      </x:c>
      <x:c r="C3605" s="6" t="str">
        <x:f>IF(B3605="","Needs decision","Ready")</x:f>
        <x:v>Ready</x:v>
      </x:c>
      <x:c r="D3605" s="6" t="str">
        <x:v>平</x:v>
      </x:c>
      <x:c r="E3605" s="6" t="str">
        <x:v>lan (A)</x:v>
      </x:c>
      <x:c r="F3605" s="6" t="str">
        <x:v>上平聲十四寒</x:v>
      </x:c>
      <x:c r="G3605" s="6" t="str">
        <x:v>Pingshui main list, Wikisource-derived DOCX</x:v>
      </x:c>
      <x:c r="H3605" s="6" t="str">
        <x:v>1</x:v>
      </x:c>
      <x:c r="I3605" s="6" t="str"/>
      <x:c r="J3605" s="6" t="str">
        <x:f>IF(B3605="","",IF(AND(ISNUMBER(SEARCH("平",B3605)),OR(ISNUMBER(SEARCH("上",B3605)),ISNUMBER(SEARCH("去",B3605)),ISNUMBER(SEARCH("入",B3605)))),"Ambiguous",IF(ISNUMBER(SEARCH("平",B3605)),"平","仄")))</x:f>
        <x:v>平</x:v>
      </x:c>
      <x:c r="K3605" s="6" t="str">
        <x:f>IF(D3605="","",IF(AND(ISNUMBER(SEARCH("平",D3605)),OR(ISNUMBER(SEARCH("上",D3605)),ISNUMBER(SEARCH("去",D3605)),ISNUMBER(SEARCH("入",D3605)))),"Ambiguous",IF(ISNUMBER(SEARCH("平",D3605)),"平","仄")))</x:f>
        <x:v>平</x:v>
      </x:c>
      <x:c r="L3605" s="7" t="str"/>
    </x:row>
    <x:row r="3606">
      <x:c r="A3606" s="5" t="str">
        <x:v>蘿</x:v>
      </x:c>
      <x:c r="B3606" s="6" t="str">
        <x:v>平</x:v>
      </x:c>
      <x:c r="C3606" s="6" t="str">
        <x:f>IF(B3606="","Needs decision","Ready")</x:f>
        <x:v>Ready</x:v>
      </x:c>
      <x:c r="D3606" s="6" t="str">
        <x:v>平</x:v>
      </x:c>
      <x:c r="E3606" s="6" t="str"/>
      <x:c r="F3606" s="6" t="str">
        <x:v>下平聲五歌</x:v>
      </x:c>
      <x:c r="G3606" s="6" t="str">
        <x:v>Pingshui main list, Wikisource-derived DOCX</x:v>
      </x:c>
      <x:c r="H3606" s="6" t="str"/>
      <x:c r="I3606" s="6" t="str">
        <x:v>Manual user correction/addition</x:v>
      </x:c>
      <x:c r="J3606" s="6" t="str">
        <x:f>IF(B3606="","",IF(AND(ISNUMBER(SEARCH("平",B3606)),OR(ISNUMBER(SEARCH("上",B3606)),ISNUMBER(SEARCH("去",B3606)),ISNUMBER(SEARCH("入",B3606)))),"Ambiguous",IF(ISNUMBER(SEARCH("平",B3606)),"平","仄")))</x:f>
        <x:v>平</x:v>
      </x:c>
      <x:c r="K3606" s="6" t="str">
        <x:f>IF(D3606="","",IF(AND(ISNUMBER(SEARCH("平",D3606)),OR(ISNUMBER(SEARCH("上",D3606)),ISNUMBER(SEARCH("去",D3606)),ISNUMBER(SEARCH("入",D3606)))),"Ambiguous",IF(ISNUMBER(SEARCH("平",D3606)),"平","仄")))</x:f>
        <x:v>平</x:v>
      </x:c>
      <x:c r="L3606" s="7" t="str">
        <x:v>manual user correction</x:v>
      </x:c>
    </x:row>
    <x:row r="3607">
      <x:c r="A3607" s="5" t="str">
        <x:v>虍</x:v>
      </x:c>
      <x:c r="B3607" s="6" t="str">
        <x:v>平</x:v>
      </x:c>
      <x:c r="C3607" s="6" t="str">
        <x:f>IF(B3607="","Needs decision","Ready")</x:f>
        <x:v>Ready</x:v>
      </x:c>
      <x:c r="D3607" s="6" t="str">
        <x:v>平</x:v>
      </x:c>
      <x:c r="E3607" s="6" t="str">
        <x:v>xu (A)</x:v>
      </x:c>
      <x:c r="F3607" s="6" t="str"/>
      <x:c r="G3607" s="6" t="str"/>
      <x:c r="H3607" s="6" t="str">
        <x:v>1</x:v>
      </x:c>
      <x:c r="I3607" s="6" t="str"/>
      <x:c r="J3607" s="6" t="str">
        <x:f>IF(B3607="","",IF(AND(ISNUMBER(SEARCH("平",B3607)),OR(ISNUMBER(SEARCH("上",B3607)),ISNUMBER(SEARCH("去",B3607)),ISNUMBER(SEARCH("入",B3607)))),"Ambiguous",IF(ISNUMBER(SEARCH("平",B3607)),"平","仄")))</x:f>
        <x:v>平</x:v>
      </x:c>
      <x:c r="K3607" s="6" t="str">
        <x:f>IF(D3607="","",IF(AND(ISNUMBER(SEARCH("平",D3607)),OR(ISNUMBER(SEARCH("上",D3607)),ISNUMBER(SEARCH("去",D3607)),ISNUMBER(SEARCH("入",D3607)))),"Ambiguous",IF(ISNUMBER(SEARCH("平",D3607)),"平","仄")))</x:f>
        <x:v>平</x:v>
      </x:c>
      <x:c r="L3607" s="7" t="str"/>
    </x:row>
    <x:row r="3608">
      <x:c r="A3608" s="5" t="str">
        <x:v>虎</x:v>
      </x:c>
      <x:c r="B3608" s="6" t="str">
        <x:v>上</x:v>
      </x:c>
      <x:c r="C3608" s="6" t="str">
        <x:f>IF(B3608="","Needs decision","Ready")</x:f>
        <x:v>Ready</x:v>
      </x:c>
      <x:c r="D3608" s="6" t="str">
        <x:v>上</x:v>
      </x:c>
      <x:c r="E3608" s="6" t="str">
        <x:v>xuX (B)</x:v>
      </x:c>
      <x:c r="F3608" s="6" t="str">
        <x:v>上聲七麌</x:v>
      </x:c>
      <x:c r="G3608" s="6" t="str">
        <x:v>Pingshui main list, Wikisource-derived DOCX</x:v>
      </x:c>
      <x:c r="H3608" s="6" t="str">
        <x:v>1</x:v>
      </x:c>
      <x:c r="I3608" s="6" t="str"/>
      <x:c r="J3608" s="6" t="str">
        <x:f>IF(B3608="","",IF(AND(ISNUMBER(SEARCH("平",B3608)),OR(ISNUMBER(SEARCH("上",B3608)),ISNUMBER(SEARCH("去",B3608)),ISNUMBER(SEARCH("入",B3608)))),"Ambiguous",IF(ISNUMBER(SEARCH("平",B3608)),"平","仄")))</x:f>
        <x:v>仄</x:v>
      </x:c>
      <x:c r="K3608" s="6" t="str">
        <x:f>IF(D3608="","",IF(AND(ISNUMBER(SEARCH("平",D3608)),OR(ISNUMBER(SEARCH("上",D3608)),ISNUMBER(SEARCH("去",D3608)),ISNUMBER(SEARCH("入",D3608)))),"Ambiguous",IF(ISNUMBER(SEARCH("平",D3608)),"平","仄")))</x:f>
        <x:v>仄</x:v>
      </x:c>
      <x:c r="L3608" s="7" t="str"/>
    </x:row>
    <x:row r="3609">
      <x:c r="A3609" s="5" t="str">
        <x:v>虐</x:v>
      </x:c>
      <x:c r="B3609" s="6" t="str">
        <x:v>入</x:v>
      </x:c>
      <x:c r="C3609" s="6" t="str">
        <x:f>IF(B3609="","Needs decision","Ready")</x:f>
        <x:v>Ready</x:v>
      </x:c>
      <x:c r="D3609" s="6" t="str">
        <x:v>入</x:v>
      </x:c>
      <x:c r="E3609" s="6" t="str">
        <x:v>ngjak (D)</x:v>
      </x:c>
      <x:c r="F3609" s="6" t="str">
        <x:v>入聲十藥</x:v>
      </x:c>
      <x:c r="G3609" s="6" t="str">
        <x:v>Pingshui main list, Wikisource-derived DOCX</x:v>
      </x:c>
      <x:c r="H3609" s="6" t="str">
        <x:v>1</x:v>
      </x:c>
      <x:c r="I3609" s="6" t="str"/>
      <x:c r="J3609" s="6" t="str">
        <x:f>IF(B3609="","",IF(AND(ISNUMBER(SEARCH("平",B3609)),OR(ISNUMBER(SEARCH("上",B3609)),ISNUMBER(SEARCH("去",B3609)),ISNUMBER(SEARCH("入",B3609)))),"Ambiguous",IF(ISNUMBER(SEARCH("平",B3609)),"平","仄")))</x:f>
        <x:v>仄</x:v>
      </x:c>
      <x:c r="K3609" s="6" t="str">
        <x:f>IF(D3609="","",IF(AND(ISNUMBER(SEARCH("平",D3609)),OR(ISNUMBER(SEARCH("上",D3609)),ISNUMBER(SEARCH("去",D3609)),ISNUMBER(SEARCH("入",D3609)))),"Ambiguous",IF(ISNUMBER(SEARCH("平",D3609)),"平","仄")))</x:f>
        <x:v>仄</x:v>
      </x:c>
      <x:c r="L3609" s="7" t="str"/>
    </x:row>
    <x:row r="3610">
      <x:c r="A3610" s="5" t="str">
        <x:v>虒</x:v>
      </x:c>
      <x:c r="B3610" s="6" t="str">
        <x:v>平</x:v>
      </x:c>
      <x:c r="C3610" s="6" t="str">
        <x:f>IF(B3610="","Needs decision","Ready")</x:f>
        <x:v>Ready</x:v>
      </x:c>
      <x:c r="D3610" s="6" t="str">
        <x:v>平</x:v>
      </x:c>
      <x:c r="E3610" s="6" t="str">
        <x:v>sje (A)</x:v>
      </x:c>
      <x:c r="F3610" s="6" t="str">
        <x:v>上平聲四支</x:v>
      </x:c>
      <x:c r="G3610" s="6" t="str">
        <x:v>Pingshui main list, Wikisource-derived DOCX</x:v>
      </x:c>
      <x:c r="H3610" s="6" t="str">
        <x:v>1</x:v>
      </x:c>
      <x:c r="I3610" s="6" t="str"/>
      <x:c r="J3610" s="6" t="str">
        <x:f>IF(B3610="","",IF(AND(ISNUMBER(SEARCH("平",B3610)),OR(ISNUMBER(SEARCH("上",B3610)),ISNUMBER(SEARCH("去",B3610)),ISNUMBER(SEARCH("入",B3610)))),"Ambiguous",IF(ISNUMBER(SEARCH("平",B3610)),"平","仄")))</x:f>
        <x:v>平</x:v>
      </x:c>
      <x:c r="K3610" s="6" t="str">
        <x:f>IF(D3610="","",IF(AND(ISNUMBER(SEARCH("平",D3610)),OR(ISNUMBER(SEARCH("上",D3610)),ISNUMBER(SEARCH("去",D3610)),ISNUMBER(SEARCH("入",D3610)))),"Ambiguous",IF(ISNUMBER(SEARCH("平",D3610)),"平","仄")))</x:f>
        <x:v>平</x:v>
      </x:c>
      <x:c r="L3610" s="7" t="str"/>
    </x:row>
    <x:row r="3611">
      <x:c r="A3611" s="5" t="str">
        <x:v>虔</x:v>
      </x:c>
      <x:c r="B3611" s="6" t="str">
        <x:v>平</x:v>
      </x:c>
      <x:c r="C3611" s="6" t="str">
        <x:f>IF(B3611="","Needs decision","Ready")</x:f>
        <x:v>Ready</x:v>
      </x:c>
      <x:c r="D3611" s="6" t="str">
        <x:v>平</x:v>
      </x:c>
      <x:c r="E3611" s="6" t="str">
        <x:v>gjen (A)</x:v>
      </x:c>
      <x:c r="F3611" s="6" t="str">
        <x:v>下平聲一先</x:v>
      </x:c>
      <x:c r="G3611" s="6" t="str">
        <x:v>Pingshui main list, Wikisource-derived DOCX</x:v>
      </x:c>
      <x:c r="H3611" s="6" t="str">
        <x:v>1</x:v>
      </x:c>
      <x:c r="I3611" s="6" t="str"/>
      <x:c r="J3611" s="6" t="str">
        <x:f>IF(B3611="","",IF(AND(ISNUMBER(SEARCH("平",B3611)),OR(ISNUMBER(SEARCH("上",B3611)),ISNUMBER(SEARCH("去",B3611)),ISNUMBER(SEARCH("入",B3611)))),"Ambiguous",IF(ISNUMBER(SEARCH("平",B3611)),"平","仄")))</x:f>
        <x:v>平</x:v>
      </x:c>
      <x:c r="K3611" s="6" t="str">
        <x:f>IF(D3611="","",IF(AND(ISNUMBER(SEARCH("平",D3611)),OR(ISNUMBER(SEARCH("上",D3611)),ISNUMBER(SEARCH("去",D3611)),ISNUMBER(SEARCH("入",D3611)))),"Ambiguous",IF(ISNUMBER(SEARCH("平",D3611)),"平","仄")))</x:f>
        <x:v>平</x:v>
      </x:c>
      <x:c r="L3611" s="7" t="str"/>
    </x:row>
    <x:row r="3612">
      <x:c r="A3612" s="5" t="str">
        <x:v>處</x:v>
      </x:c>
      <x:c r="B3612" s="6" t="str">
        <x:v>去</x:v>
      </x:c>
      <x:c r="C3612" s="6" t="str">
        <x:f>IF(B3612="","Needs decision","Ready")</x:f>
        <x:v>Ready</x:v>
      </x:c>
      <x:c r="D3612" s="6" t="str">
        <x:v>上/去</x:v>
      </x:c>
      <x:c r="E3612" s="6" t="str">
        <x:v>tsyhoX (B); tsyhoH (C)</x:v>
      </x:c>
      <x:c r="F3612" s="6" t="str">
        <x:v>上聲六語; 去聲六御</x:v>
      </x:c>
      <x:c r="G3612" s="6" t="str">
        <x:v>Pingshui main list, Wikisource-derived DOCX</x:v>
      </x:c>
      <x:c r="H3612" s="6" t="str">
        <x:v>2</x:v>
      </x:c>
      <x:c r="I3612" s="6" t="str">
        <x:v>User workbook edit 2026-09-03</x:v>
      </x:c>
      <x:c r="J3612" s="6" t="str">
        <x:f>IF(B3612="","",IF(AND(ISNUMBER(SEARCH("平",B3612)),OR(ISNUMBER(SEARCH("上",B3612)),ISNUMBER(SEARCH("去",B3612)),ISNUMBER(SEARCH("入",B3612)))),"Ambiguous",IF(ISNUMBER(SEARCH("平",B3612)),"平","仄")))</x:f>
        <x:v>仄</x:v>
      </x:c>
      <x:c r="K3612" s="6" t="str">
        <x:f>IF(D3612="","",IF(AND(ISNUMBER(SEARCH("平",D3612)),OR(ISNUMBER(SEARCH("上",D3612)),ISNUMBER(SEARCH("去",D3612)),ISNUMBER(SEARCH("入",D3612)))),"Ambiguous",IF(ISNUMBER(SEARCH("平",D3612)),"平","仄")))</x:f>
        <x:v>仄</x:v>
      </x:c>
      <x:c r="L3612" s="7" t="str">
        <x:v>manual user correction</x:v>
      </x:c>
    </x:row>
    <x:row r="3613">
      <x:c r="A3613" s="5" t="str">
        <x:v>虛</x:v>
      </x:c>
      <x:c r="B3613" s="6" t="str">
        <x:v>平</x:v>
      </x:c>
      <x:c r="C3613" s="6" t="str">
        <x:f>IF(B3613="","Needs decision","Ready")</x:f>
        <x:v>Ready</x:v>
      </x:c>
      <x:c r="D3613" s="6" t="str">
        <x:v>平</x:v>
      </x:c>
      <x:c r="E3613" s="6" t="str">
        <x:v>khjo (A); xjo (A)</x:v>
      </x:c>
      <x:c r="F3613" s="6" t="str">
        <x:v>上平聲六魚</x:v>
      </x:c>
      <x:c r="G3613" s="6" t="str">
        <x:v>Pingshui main list, Wikisource-derived DOCX</x:v>
      </x:c>
      <x:c r="H3613" s="6" t="str">
        <x:v>2</x:v>
      </x:c>
      <x:c r="I3613" s="6" t="str"/>
      <x:c r="J3613" s="6" t="str">
        <x:f>IF(B3613="","",IF(AND(ISNUMBER(SEARCH("平",B3613)),OR(ISNUMBER(SEARCH("上",B3613)),ISNUMBER(SEARCH("去",B3613)),ISNUMBER(SEARCH("入",B3613)))),"Ambiguous",IF(ISNUMBER(SEARCH("平",B3613)),"平","仄")))</x:f>
        <x:v>平</x:v>
      </x:c>
      <x:c r="K3613" s="6" t="str">
        <x:f>IF(D3613="","",IF(AND(ISNUMBER(SEARCH("平",D3613)),OR(ISNUMBER(SEARCH("上",D3613)),ISNUMBER(SEARCH("去",D3613)),ISNUMBER(SEARCH("入",D3613)))),"Ambiguous",IF(ISNUMBER(SEARCH("平",D3613)),"平","仄")))</x:f>
        <x:v>平</x:v>
      </x:c>
      <x:c r="L3613" s="7" t="str"/>
    </x:row>
    <x:row r="3614">
      <x:c r="A3614" s="5" t="str">
        <x:v>虜</x:v>
      </x:c>
      <x:c r="B3614" s="6" t="str">
        <x:v>上</x:v>
      </x:c>
      <x:c r="C3614" s="6" t="str">
        <x:f>IF(B3614="","Needs decision","Ready")</x:f>
        <x:v>Ready</x:v>
      </x:c>
      <x:c r="D3614" s="6" t="str">
        <x:v>上</x:v>
      </x:c>
      <x:c r="E3614" s="6" t="str">
        <x:v>luX (B)</x:v>
      </x:c>
      <x:c r="F3614" s="6" t="str">
        <x:v>上聲七麌</x:v>
      </x:c>
      <x:c r="G3614" s="6" t="str">
        <x:v>Pingshui main list, Wikisource-derived DOCX</x:v>
      </x:c>
      <x:c r="H3614" s="6" t="str">
        <x:v>1</x:v>
      </x:c>
      <x:c r="I3614" s="6" t="str"/>
      <x:c r="J3614" s="6" t="str">
        <x:f>IF(B3614="","",IF(AND(ISNUMBER(SEARCH("平",B3614)),OR(ISNUMBER(SEARCH("上",B3614)),ISNUMBER(SEARCH("去",B3614)),ISNUMBER(SEARCH("入",B3614)))),"Ambiguous",IF(ISNUMBER(SEARCH("平",B3614)),"平","仄")))</x:f>
        <x:v>仄</x:v>
      </x:c>
      <x:c r="K3614" s="6" t="str">
        <x:f>IF(D3614="","",IF(AND(ISNUMBER(SEARCH("平",D3614)),OR(ISNUMBER(SEARCH("上",D3614)),ISNUMBER(SEARCH("去",D3614)),ISNUMBER(SEARCH("入",D3614)))),"Ambiguous",IF(ISNUMBER(SEARCH("平",D3614)),"平","仄")))</x:f>
        <x:v>仄</x:v>
      </x:c>
      <x:c r="L3614" s="7" t="str"/>
    </x:row>
    <x:row r="3615">
      <x:c r="A3615" s="5" t="str">
        <x:v>虞</x:v>
      </x:c>
      <x:c r="B3615" s="6" t="str">
        <x:v>平</x:v>
      </x:c>
      <x:c r="C3615" s="6" t="str">
        <x:f>IF(B3615="","Needs decision","Ready")</x:f>
        <x:v>Ready</x:v>
      </x:c>
      <x:c r="D3615" s="6" t="str">
        <x:v>平</x:v>
      </x:c>
      <x:c r="E3615" s="6" t="str">
        <x:v>ngju (A)</x:v>
      </x:c>
      <x:c r="F3615" s="6" t="str">
        <x:v>上平聲七虞</x:v>
      </x:c>
      <x:c r="G3615" s="6" t="str">
        <x:v>Pingshui main list, Wikisource-derived DOCX</x:v>
      </x:c>
      <x:c r="H3615" s="6" t="str">
        <x:v>1</x:v>
      </x:c>
      <x:c r="I3615" s="6" t="str"/>
      <x:c r="J3615" s="6" t="str">
        <x:f>IF(B3615="","",IF(AND(ISNUMBER(SEARCH("平",B3615)),OR(ISNUMBER(SEARCH("上",B3615)),ISNUMBER(SEARCH("去",B3615)),ISNUMBER(SEARCH("入",B3615)))),"Ambiguous",IF(ISNUMBER(SEARCH("平",B3615)),"平","仄")))</x:f>
        <x:v>平</x:v>
      </x:c>
      <x:c r="K3615" s="6" t="str">
        <x:f>IF(D3615="","",IF(AND(ISNUMBER(SEARCH("平",D3615)),OR(ISNUMBER(SEARCH("上",D3615)),ISNUMBER(SEARCH("去",D3615)),ISNUMBER(SEARCH("入",D3615)))),"Ambiguous",IF(ISNUMBER(SEARCH("平",D3615)),"平","仄")))</x:f>
        <x:v>平</x:v>
      </x:c>
      <x:c r="L3615" s="7" t="str"/>
    </x:row>
    <x:row r="3616">
      <x:c r="A3616" s="5" t="str">
        <x:v>號</x:v>
      </x:c>
      <x:c r="B3616" s="6" t="str">
        <x:v>去</x:v>
      </x:c>
      <x:c r="C3616" s="6" t="str">
        <x:f>IF(B3616="","Needs decision","Ready")</x:f>
        <x:v>Ready</x:v>
      </x:c>
      <x:c r="D3616" s="6" t="str">
        <x:v>平/去</x:v>
      </x:c>
      <x:c r="E3616" s="6" t="str">
        <x:v>haw (A); hawH (C)</x:v>
      </x:c>
      <x:c r="F3616" s="6" t="str">
        <x:v>下平聲四豪; 去聲二十號</x:v>
      </x:c>
      <x:c r="G3616" s="6" t="str">
        <x:v>Pingshui main list, Wikisource-derived DOCX</x:v>
      </x:c>
      <x:c r="H3616" s="6" t="str">
        <x:v>2</x:v>
      </x:c>
      <x:c r="I3616" s="6" t="str">
        <x:v>User workbook edit 2026-09-03</x:v>
      </x:c>
      <x:c r="J3616" s="6" t="str">
        <x:f>IF(B3616="","",IF(AND(ISNUMBER(SEARCH("平",B3616)),OR(ISNUMBER(SEARCH("上",B3616)),ISNUMBER(SEARCH("去",B3616)),ISNUMBER(SEARCH("入",B3616)))),"Ambiguous",IF(ISNUMBER(SEARCH("平",B3616)),"平","仄")))</x:f>
        <x:v>仄</x:v>
      </x:c>
      <x:c r="K3616" s="6" t="str">
        <x:f>IF(D3616="","",IF(AND(ISNUMBER(SEARCH("平",D3616)),OR(ISNUMBER(SEARCH("上",D3616)),ISNUMBER(SEARCH("去",D3616)),ISNUMBER(SEARCH("入",D3616)))),"Ambiguous",IF(ISNUMBER(SEARCH("平",D3616)),"平","仄")))</x:f>
        <x:v>Ambiguous</x:v>
      </x:c>
      <x:c r="L3616" s="7" t="str">
        <x:v>manual user correction</x:v>
      </x:c>
    </x:row>
    <x:row r="3617">
      <x:c r="A3617" s="5" t="str">
        <x:v>虢</x:v>
      </x:c>
      <x:c r="B3617" s="6" t="str">
        <x:v>入</x:v>
      </x:c>
      <x:c r="C3617" s="6" t="str">
        <x:f>IF(B3617="","Needs decision","Ready")</x:f>
        <x:v>Ready</x:v>
      </x:c>
      <x:c r="D3617" s="6" t="str">
        <x:v>入</x:v>
      </x:c>
      <x:c r="E3617" s="6" t="str">
        <x:v>kwaek (D)</x:v>
      </x:c>
      <x:c r="F3617" s="6" t="str">
        <x:v>入聲十一陌</x:v>
      </x:c>
      <x:c r="G3617" s="6" t="str">
        <x:v>Pingshui main list, Wikisource-derived DOCX</x:v>
      </x:c>
      <x:c r="H3617" s="6" t="str">
        <x:v>1</x:v>
      </x:c>
      <x:c r="I3617" s="6" t="str"/>
      <x:c r="J3617" s="6" t="str">
        <x:f>IF(B3617="","",IF(AND(ISNUMBER(SEARCH("平",B3617)),OR(ISNUMBER(SEARCH("上",B3617)),ISNUMBER(SEARCH("去",B3617)),ISNUMBER(SEARCH("入",B3617)))),"Ambiguous",IF(ISNUMBER(SEARCH("平",B3617)),"平","仄")))</x:f>
        <x:v>仄</x:v>
      </x:c>
      <x:c r="K3617" s="6" t="str">
        <x:f>IF(D3617="","",IF(AND(ISNUMBER(SEARCH("平",D3617)),OR(ISNUMBER(SEARCH("上",D3617)),ISNUMBER(SEARCH("去",D3617)),ISNUMBER(SEARCH("入",D3617)))),"Ambiguous",IF(ISNUMBER(SEARCH("平",D3617)),"平","仄")))</x:f>
        <x:v>仄</x:v>
      </x:c>
      <x:c r="L3617" s="7" t="str"/>
    </x:row>
    <x:row r="3618">
      <x:c r="A3618" s="5" t="str">
        <x:v>虧</x:v>
      </x:c>
      <x:c r="B3618" s="6" t="str">
        <x:v>平</x:v>
      </x:c>
      <x:c r="C3618" s="6" t="str">
        <x:f>IF(B3618="","Needs decision","Ready")</x:f>
        <x:v>Ready</x:v>
      </x:c>
      <x:c r="D3618" s="6" t="str">
        <x:v>平</x:v>
      </x:c>
      <x:c r="E3618" s="6" t="str">
        <x:v>khjwe (A)</x:v>
      </x:c>
      <x:c r="F3618" s="6" t="str">
        <x:v>上平聲四支</x:v>
      </x:c>
      <x:c r="G3618" s="6" t="str">
        <x:v>Pingshui main list, Wikisource-derived DOCX</x:v>
      </x:c>
      <x:c r="H3618" s="6" t="str">
        <x:v>1</x:v>
      </x:c>
      <x:c r="I3618" s="6" t="str"/>
      <x:c r="J3618" s="6" t="str">
        <x:f>IF(B3618="","",IF(AND(ISNUMBER(SEARCH("平",B3618)),OR(ISNUMBER(SEARCH("上",B3618)),ISNUMBER(SEARCH("去",B3618)),ISNUMBER(SEARCH("入",B3618)))),"Ambiguous",IF(ISNUMBER(SEARCH("平",B3618)),"平","仄")))</x:f>
        <x:v>平</x:v>
      </x:c>
      <x:c r="K3618" s="6" t="str">
        <x:f>IF(D3618="","",IF(AND(ISNUMBER(SEARCH("平",D3618)),OR(ISNUMBER(SEARCH("上",D3618)),ISNUMBER(SEARCH("去",D3618)),ISNUMBER(SEARCH("入",D3618)))),"Ambiguous",IF(ISNUMBER(SEARCH("平",D3618)),"平","仄")))</x:f>
        <x:v>平</x:v>
      </x:c>
      <x:c r="L3618" s="7" t="str"/>
    </x:row>
    <x:row r="3619">
      <x:c r="A3619" s="5" t="str">
        <x:v>虩</x:v>
      </x:c>
      <x:c r="B3619" s="6" t="str">
        <x:v>入</x:v>
      </x:c>
      <x:c r="C3619" s="6" t="str">
        <x:f>IF(B3619="","Needs decision","Ready")</x:f>
        <x:v>Ready</x:v>
      </x:c>
      <x:c r="D3619" s="6" t="str">
        <x:v>入</x:v>
      </x:c>
      <x:c r="E3619" s="6" t="str">
        <x:v>xjaek (D)</x:v>
      </x:c>
      <x:c r="F3619" s="6" t="str"/>
      <x:c r="G3619" s="6" t="str"/>
      <x:c r="H3619" s="6" t="str">
        <x:v>1</x:v>
      </x:c>
      <x:c r="I3619" s="6" t="str"/>
      <x:c r="J3619" s="6" t="str">
        <x:f>IF(B3619="","",IF(AND(ISNUMBER(SEARCH("平",B3619)),OR(ISNUMBER(SEARCH("上",B3619)),ISNUMBER(SEARCH("去",B3619)),ISNUMBER(SEARCH("入",B3619)))),"Ambiguous",IF(ISNUMBER(SEARCH("平",B3619)),"平","仄")))</x:f>
        <x:v>仄</x:v>
      </x:c>
      <x:c r="K3619" s="6" t="str">
        <x:f>IF(D3619="","",IF(AND(ISNUMBER(SEARCH("平",D3619)),OR(ISNUMBER(SEARCH("上",D3619)),ISNUMBER(SEARCH("去",D3619)),ISNUMBER(SEARCH("入",D3619)))),"Ambiguous",IF(ISNUMBER(SEARCH("平",D3619)),"平","仄")))</x:f>
        <x:v>仄</x:v>
      </x:c>
      <x:c r="L3619" s="7" t="str"/>
    </x:row>
    <x:row r="3620">
      <x:c r="A3620" s="5" t="str">
        <x:v>虯</x:v>
      </x:c>
      <x:c r="B3620" s="6" t="str">
        <x:v>平</x:v>
      </x:c>
      <x:c r="C3620" s="6" t="str">
        <x:f>IF(B3620="","Needs decision","Ready")</x:f>
        <x:v>Ready</x:v>
      </x:c>
      <x:c r="D3620" s="6" t="str">
        <x:v>平</x:v>
      </x:c>
      <x:c r="E3620" s="6" t="str">
        <x:v>gjiw [ɡjiw] (平)</x:v>
      </x:c>
      <x:c r="F3620" s="6" t="str">
        <x:v>下平聲十一尤</x:v>
      </x:c>
      <x:c r="G3620" s="6" t="str">
        <x:v>Pingshui main list, Wikisource-derived DOCX</x:v>
      </x:c>
      <x:c r="H3620" s="6" t="str">
        <x:v>1</x:v>
      </x:c>
      <x:c r="I3620" s="6" t="str">
        <x:v>Tang 300 gap; frequency 1; provisional from Xun Gong</x:v>
      </x:c>
      <x:c r="J3620" s="6" t="str">
        <x:f>IF(B3620="","",IF(AND(ISNUMBER(SEARCH("平",B3620)),OR(ISNUMBER(SEARCH("上",B3620)),ISNUMBER(SEARCH("去",B3620)),ISNUMBER(SEARCH("入",B3620)))),"Ambiguous",IF(ISNUMBER(SEARCH("平",B3620)),"平","仄")))</x:f>
        <x:v>平</x:v>
      </x:c>
      <x:c r="K3620" s="6" t="str">
        <x:f>IF(D3620="","",IF(AND(ISNUMBER(SEARCH("平",D3620)),OR(ISNUMBER(SEARCH("上",D3620)),ISNUMBER(SEARCH("去",D3620)),ISNUMBER(SEARCH("入",D3620)))),"Ambiguous",IF(ISNUMBER(SEARCH("平",D3620)),"平","仄")))</x:f>
        <x:v>平</x:v>
      </x:c>
      <x:c r="L3620" s="7" t="str">
        <x:v>Xun Gong, Tang 300 gap fill</x:v>
      </x:c>
    </x:row>
    <x:row r="3621">
      <x:c r="A3621" s="5" t="str">
        <x:v>虹</x:v>
      </x:c>
      <x:c r="B3621" s="6" t="str">
        <x:v>平</x:v>
      </x:c>
      <x:c r="C3621" s="6" t="str">
        <x:f>IF(B3621="","Needs decision","Ready")</x:f>
        <x:v>Ready</x:v>
      </x:c>
      <x:c r="D3621" s="6" t="str">
        <x:v>平/去</x:v>
      </x:c>
      <x:c r="E3621" s="6" t="str">
        <x:v>huwng (A); kaewngH (C)</x:v>
      </x:c>
      <x:c r="F3621" s="6" t="str">
        <x:v>上平聲一東; 去聲三絳</x:v>
      </x:c>
      <x:c r="G3621" s="6" t="str">
        <x:v>Pingshui main list, Wikisource-derived DOCX</x:v>
      </x:c>
      <x:c r="H3621" s="6" t="str">
        <x:v>2</x:v>
      </x:c>
      <x:c r="I3621" s="6" t="str">
        <x:v>User workbook edit 2026-09-03</x:v>
      </x:c>
      <x:c r="J3621" s="6" t="str">
        <x:f>IF(B3621="","",IF(AND(ISNUMBER(SEARCH("平",B3621)),OR(ISNUMBER(SEARCH("上",B3621)),ISNUMBER(SEARCH("去",B3621)),ISNUMBER(SEARCH("入",B3621)))),"Ambiguous",IF(ISNUMBER(SEARCH("平",B3621)),"平","仄")))</x:f>
        <x:v>平</x:v>
      </x:c>
      <x:c r="K3621" s="6" t="str">
        <x:f>IF(D3621="","",IF(AND(ISNUMBER(SEARCH("平",D3621)),OR(ISNUMBER(SEARCH("上",D3621)),ISNUMBER(SEARCH("去",D3621)),ISNUMBER(SEARCH("入",D3621)))),"Ambiguous",IF(ISNUMBER(SEARCH("平",D3621)),"平","仄")))</x:f>
        <x:v>Ambiguous</x:v>
      </x:c>
      <x:c r="L3621" s="7" t="str">
        <x:v>manual user correction</x:v>
      </x:c>
    </x:row>
    <x:row r="3622">
      <x:c r="A3622" s="5" t="str">
        <x:v>虺</x:v>
      </x:c>
      <x:c r="B3622" s="6" t="str"/>
      <x:c r="C3622" s="6" t="str">
        <x:f>IF(B3622="","Needs decision","Ready")</x:f>
        <x:v>Needs decision</x:v>
      </x:c>
      <x:c r="D3622" s="6" t="str">
        <x:v>平/上</x:v>
      </x:c>
      <x:c r="E3622" s="6" t="str">
        <x:v>xwoj (A); xjw+jX (B)</x:v>
      </x:c>
      <x:c r="F3622" s="6" t="str">
        <x:v>上平聲十灰; 上聲五尾</x:v>
      </x:c>
      <x:c r="G3622" s="6" t="str">
        <x:v>Pingshui main list, Wikisource-derived DOCX</x:v>
      </x:c>
      <x:c r="H3622" s="6" t="str">
        <x:v>2</x:v>
      </x:c>
      <x:c r="I3622" s="6" t="str"/>
      <x:c r="J3622" s="6" t="str">
        <x:f>IF(B3622="","",IF(AND(ISNUMBER(SEARCH("平",B3622)),OR(ISNUMBER(SEARCH("上",B3622)),ISNUMBER(SEARCH("去",B3622)),ISNUMBER(SEARCH("入",B3622)))),"Ambiguous",IF(ISNUMBER(SEARCH("平",B3622)),"平","仄")))</x:f>
      </x:c>
      <x:c r="K3622" s="6" t="str">
        <x:f>IF(D3622="","",IF(AND(ISNUMBER(SEARCH("平",D3622)),OR(ISNUMBER(SEARCH("上",D3622)),ISNUMBER(SEARCH("去",D3622)),ISNUMBER(SEARCH("入",D3622)))),"Ambiguous",IF(ISNUMBER(SEARCH("平",D3622)),"平","仄")))</x:f>
        <x:v>Ambiguous</x:v>
      </x:c>
      <x:c r="L3622" s="7" t="str"/>
    </x:row>
    <x:row r="3623">
      <x:c r="A3623" s="5" t="str">
        <x:v>蚉</x:v>
      </x:c>
      <x:c r="B3623" s="6" t="str">
        <x:v>平</x:v>
      </x:c>
      <x:c r="C3623" s="6" t="str">
        <x:f>IF(B3623="","Needs decision","Ready")</x:f>
        <x:v>Ready</x:v>
      </x:c>
      <x:c r="D3623" s="6" t="str">
        <x:v>平</x:v>
      </x:c>
      <x:c r="E3623" s="6" t="str">
        <x:v>mjun (A)</x:v>
      </x:c>
      <x:c r="F3623" s="6" t="str"/>
      <x:c r="G3623" s="6" t="str"/>
      <x:c r="H3623" s="6" t="str">
        <x:v>1</x:v>
      </x:c>
      <x:c r="I3623" s="6" t="str"/>
      <x:c r="J3623" s="6" t="str">
        <x:f>IF(B3623="","",IF(AND(ISNUMBER(SEARCH("平",B3623)),OR(ISNUMBER(SEARCH("上",B3623)),ISNUMBER(SEARCH("去",B3623)),ISNUMBER(SEARCH("入",B3623)))),"Ambiguous",IF(ISNUMBER(SEARCH("平",B3623)),"平","仄")))</x:f>
        <x:v>平</x:v>
      </x:c>
      <x:c r="K3623" s="6" t="str">
        <x:f>IF(D3623="","",IF(AND(ISNUMBER(SEARCH("平",D3623)),OR(ISNUMBER(SEARCH("上",D3623)),ISNUMBER(SEARCH("去",D3623)),ISNUMBER(SEARCH("入",D3623)))),"Ambiguous",IF(ISNUMBER(SEARCH("平",D3623)),"平","仄")))</x:f>
        <x:v>平</x:v>
      </x:c>
      <x:c r="L3623" s="7" t="str"/>
    </x:row>
    <x:row r="3624">
      <x:c r="A3624" s="5" t="str">
        <x:v>蚊</x:v>
      </x:c>
      <x:c r="B3624" s="6" t="str">
        <x:v>平</x:v>
      </x:c>
      <x:c r="C3624" s="6" t="str">
        <x:f>IF(B3624="","Needs decision","Ready")</x:f>
        <x:v>Ready</x:v>
      </x:c>
      <x:c r="D3624" s="6" t="str">
        <x:v>平</x:v>
      </x:c>
      <x:c r="E3624" s="6" t="str">
        <x:v>mjun (A)</x:v>
      </x:c>
      <x:c r="F3624" s="6" t="str"/>
      <x:c r="G3624" s="6" t="str"/>
      <x:c r="H3624" s="6" t="str">
        <x:v>1</x:v>
      </x:c>
      <x:c r="I3624" s="6" t="str"/>
      <x:c r="J3624" s="6" t="str">
        <x:f>IF(B3624="","",IF(AND(ISNUMBER(SEARCH("平",B3624)),OR(ISNUMBER(SEARCH("上",B3624)),ISNUMBER(SEARCH("去",B3624)),ISNUMBER(SEARCH("入",B3624)))),"Ambiguous",IF(ISNUMBER(SEARCH("平",B3624)),"平","仄")))</x:f>
        <x:v>平</x:v>
      </x:c>
      <x:c r="K3624" s="6" t="str">
        <x:f>IF(D3624="","",IF(AND(ISNUMBER(SEARCH("平",D3624)),OR(ISNUMBER(SEARCH("上",D3624)),ISNUMBER(SEARCH("去",D3624)),ISNUMBER(SEARCH("入",D3624)))),"Ambiguous",IF(ISNUMBER(SEARCH("平",D3624)),"平","仄")))</x:f>
        <x:v>平</x:v>
      </x:c>
      <x:c r="L3624" s="7" t="str"/>
    </x:row>
    <x:row r="3625">
      <x:c r="A3625" s="5" t="str">
        <x:v>蚌</x:v>
      </x:c>
      <x:c r="B3625" s="6" t="str">
        <x:v>上</x:v>
      </x:c>
      <x:c r="C3625" s="6" t="str">
        <x:f>IF(B3625="","Needs decision","Ready")</x:f>
        <x:v>Ready</x:v>
      </x:c>
      <x:c r="D3625" s="6" t="str">
        <x:v>上</x:v>
      </x:c>
      <x:c r="E3625" s="6" t="str">
        <x:v>baewngX (B)</x:v>
      </x:c>
      <x:c r="F3625" s="6" t="str">
        <x:v>上聲三講</x:v>
      </x:c>
      <x:c r="G3625" s="6" t="str">
        <x:v>Pingshui main list, Wikisource-derived DOCX</x:v>
      </x:c>
      <x:c r="H3625" s="6" t="str">
        <x:v>1</x:v>
      </x:c>
      <x:c r="I3625" s="6" t="str"/>
      <x:c r="J3625" s="6" t="str">
        <x:f>IF(B3625="","",IF(AND(ISNUMBER(SEARCH("平",B3625)),OR(ISNUMBER(SEARCH("上",B3625)),ISNUMBER(SEARCH("去",B3625)),ISNUMBER(SEARCH("入",B3625)))),"Ambiguous",IF(ISNUMBER(SEARCH("平",B3625)),"平","仄")))</x:f>
        <x:v>仄</x:v>
      </x:c>
      <x:c r="K3625" s="6" t="str">
        <x:f>IF(D3625="","",IF(AND(ISNUMBER(SEARCH("平",D3625)),OR(ISNUMBER(SEARCH("上",D3625)),ISNUMBER(SEARCH("去",D3625)),ISNUMBER(SEARCH("入",D3625)))),"Ambiguous",IF(ISNUMBER(SEARCH("平",D3625)),"平","仄")))</x:f>
        <x:v>仄</x:v>
      </x:c>
      <x:c r="L3625" s="7" t="str"/>
    </x:row>
    <x:row r="3626">
      <x:c r="A3626" s="5" t="str">
        <x:v>蚓</x:v>
      </x:c>
      <x:c r="B3626" s="6" t="str">
        <x:v>上</x:v>
      </x:c>
      <x:c r="C3626" s="6" t="str">
        <x:f>IF(B3626="","Needs decision","Ready")</x:f>
        <x:v>Ready</x:v>
      </x:c>
      <x:c r="D3626" s="6" t="str">
        <x:v>上</x:v>
      </x:c>
      <x:c r="E3626" s="6" t="str">
        <x:v>yinX (B)</x:v>
      </x:c>
      <x:c r="F3626" s="6" t="str">
        <x:v>上聲十一軫</x:v>
      </x:c>
      <x:c r="G3626" s="6" t="str">
        <x:v>Pingshui main list, Wikisource-derived DOCX</x:v>
      </x:c>
      <x:c r="H3626" s="6" t="str">
        <x:v>1</x:v>
      </x:c>
      <x:c r="I3626" s="6" t="str"/>
      <x:c r="J3626" s="6" t="str">
        <x:f>IF(B3626="","",IF(AND(ISNUMBER(SEARCH("平",B3626)),OR(ISNUMBER(SEARCH("上",B3626)),ISNUMBER(SEARCH("去",B3626)),ISNUMBER(SEARCH("入",B3626)))),"Ambiguous",IF(ISNUMBER(SEARCH("平",B3626)),"平","仄")))</x:f>
        <x:v>仄</x:v>
      </x:c>
      <x:c r="K3626" s="6" t="str">
        <x:f>IF(D3626="","",IF(AND(ISNUMBER(SEARCH("平",D3626)),OR(ISNUMBER(SEARCH("上",D3626)),ISNUMBER(SEARCH("去",D3626)),ISNUMBER(SEARCH("入",D3626)))),"Ambiguous",IF(ISNUMBER(SEARCH("平",D3626)),"平","仄")))</x:f>
        <x:v>仄</x:v>
      </x:c>
      <x:c r="L3626" s="7" t="str"/>
    </x:row>
    <x:row r="3627">
      <x:c r="A3627" s="5" t="str">
        <x:v>蚤</x:v>
      </x:c>
      <x:c r="B3627" s="6" t="str">
        <x:v>上</x:v>
      </x:c>
      <x:c r="C3627" s="6" t="str">
        <x:f>IF(B3627="","Needs decision","Ready")</x:f>
        <x:v>Ready</x:v>
      </x:c>
      <x:c r="D3627" s="6" t="str">
        <x:v>上</x:v>
      </x:c>
      <x:c r="E3627" s="6" t="str">
        <x:v>tsawX (B)</x:v>
      </x:c>
      <x:c r="F3627" s="6" t="str">
        <x:v>上聲十九皓</x:v>
      </x:c>
      <x:c r="G3627" s="6" t="str">
        <x:v>Pingshui main list, Wikisource-derived DOCX</x:v>
      </x:c>
      <x:c r="H3627" s="6" t="str">
        <x:v>1</x:v>
      </x:c>
      <x:c r="I3627" s="6" t="str"/>
      <x:c r="J3627" s="6" t="str">
        <x:f>IF(B3627="","",IF(AND(ISNUMBER(SEARCH("平",B3627)),OR(ISNUMBER(SEARCH("上",B3627)),ISNUMBER(SEARCH("去",B3627)),ISNUMBER(SEARCH("入",B3627)))),"Ambiguous",IF(ISNUMBER(SEARCH("平",B3627)),"平","仄")))</x:f>
        <x:v>仄</x:v>
      </x:c>
      <x:c r="K3627" s="6" t="str">
        <x:f>IF(D3627="","",IF(AND(ISNUMBER(SEARCH("平",D3627)),OR(ISNUMBER(SEARCH("上",D3627)),ISNUMBER(SEARCH("去",D3627)),ISNUMBER(SEARCH("入",D3627)))),"Ambiguous",IF(ISNUMBER(SEARCH("平",D3627)),"平","仄")))</x:f>
        <x:v>仄</x:v>
      </x:c>
      <x:c r="L3627" s="7" t="str"/>
    </x:row>
    <x:row r="3628">
      <x:c r="A3628" s="5" t="str">
        <x:v>蚩</x:v>
      </x:c>
      <x:c r="B3628" s="6" t="str">
        <x:v>平</x:v>
      </x:c>
      <x:c r="C3628" s="6" t="str">
        <x:f>IF(B3628="","Needs decision","Ready")</x:f>
        <x:v>Ready</x:v>
      </x:c>
      <x:c r="D3628" s="6" t="str">
        <x:v>平</x:v>
      </x:c>
      <x:c r="E3628" s="6" t="str">
        <x:v>tsyhi [昌開三之平] tɕʰɨ</x:v>
      </x:c>
      <x:c r="F3628" s="6" t="str">
        <x:v>上平聲四支</x:v>
      </x:c>
      <x:c r="G3628" s="6" t="str">
        <x:v>Pingshui main list, Wikisource-derived DOCX</x:v>
      </x:c>
      <x:c r="H3628" s="6" t="str">
        <x:v>1</x:v>
      </x:c>
      <x:c r="I3628" s="6" t="str">
        <x:v>Targeted preliminary fill from Xun Gong; review if uncertain</x:v>
      </x:c>
      <x:c r="J3628" s="6" t="str">
        <x:f>IF(B3628="","",IF(AND(ISNUMBER(SEARCH("平",B3628)),OR(ISNUMBER(SEARCH("上",B3628)),ISNUMBER(SEARCH("去",B3628)),ISNUMBER(SEARCH("入",B3628)))),"Ambiguous",IF(ISNUMBER(SEARCH("平",B3628)),"平","仄")))</x:f>
        <x:v>平</x:v>
      </x:c>
      <x:c r="K3628" s="6" t="str">
        <x:f>IF(D3628="","",IF(AND(ISNUMBER(SEARCH("平",D3628)),OR(ISNUMBER(SEARCH("上",D3628)),ISNUMBER(SEARCH("去",D3628)),ISNUMBER(SEARCH("入",D3628)))),"Ambiguous",IF(ISNUMBER(SEARCH("平",D3628)),"平","仄")))</x:f>
        <x:v>平</x:v>
      </x:c>
      <x:c r="L3628" s="7" t="str">
        <x:v>Xun Gong character-readings.csv</x:v>
      </x:c>
    </x:row>
    <x:row r="3629">
      <x:c r="A3629" s="5" t="str">
        <x:v>蚯</x:v>
      </x:c>
      <x:c r="B3629" s="6" t="str">
        <x:v>平</x:v>
      </x:c>
      <x:c r="C3629" s="6" t="str">
        <x:f>IF(B3629="","Needs decision","Ready")</x:f>
        <x:v>Ready</x:v>
      </x:c>
      <x:c r="D3629" s="6" t="str">
        <x:v>平</x:v>
      </x:c>
      <x:c r="E3629" s="6" t="str">
        <x:v>khjuw (A)</x:v>
      </x:c>
      <x:c r="F3629" s="6" t="str"/>
      <x:c r="G3629" s="6" t="str"/>
      <x:c r="H3629" s="6" t="str">
        <x:v>1</x:v>
      </x:c>
      <x:c r="I3629" s="6" t="str"/>
      <x:c r="J3629" s="6" t="str">
        <x:f>IF(B3629="","",IF(AND(ISNUMBER(SEARCH("平",B3629)),OR(ISNUMBER(SEARCH("上",B3629)),ISNUMBER(SEARCH("去",B3629)),ISNUMBER(SEARCH("入",B3629)))),"Ambiguous",IF(ISNUMBER(SEARCH("平",B3629)),"平","仄")))</x:f>
        <x:v>平</x:v>
      </x:c>
      <x:c r="K3629" s="6" t="str">
        <x:f>IF(D3629="","",IF(AND(ISNUMBER(SEARCH("平",D3629)),OR(ISNUMBER(SEARCH("上",D3629)),ISNUMBER(SEARCH("去",D3629)),ISNUMBER(SEARCH("入",D3629)))),"Ambiguous",IF(ISNUMBER(SEARCH("平",D3629)),"平","仄")))</x:f>
        <x:v>平</x:v>
      </x:c>
      <x:c r="L3629" s="7" t="str"/>
    </x:row>
    <x:row r="3630">
      <x:c r="A3630" s="5" t="str">
        <x:v>蚳</x:v>
      </x:c>
      <x:c r="B3630" s="6" t="str">
        <x:v>平</x:v>
      </x:c>
      <x:c r="C3630" s="6" t="str">
        <x:f>IF(B3630="","Needs decision","Ready")</x:f>
        <x:v>Ready</x:v>
      </x:c>
      <x:c r="D3630" s="6" t="str">
        <x:v>平</x:v>
      </x:c>
      <x:c r="E3630" s="6" t="str">
        <x:v>drij (A)</x:v>
      </x:c>
      <x:c r="F3630" s="6" t="str">
        <x:v>上平聲四支</x:v>
      </x:c>
      <x:c r="G3630" s="6" t="str">
        <x:v>Pingshui main list, Wikisource-derived DOCX</x:v>
      </x:c>
      <x:c r="H3630" s="6" t="str">
        <x:v>1</x:v>
      </x:c>
      <x:c r="I3630" s="6" t="str"/>
      <x:c r="J3630" s="6" t="str">
        <x:f>IF(B3630="","",IF(AND(ISNUMBER(SEARCH("平",B3630)),OR(ISNUMBER(SEARCH("上",B3630)),ISNUMBER(SEARCH("去",B3630)),ISNUMBER(SEARCH("入",B3630)))),"Ambiguous",IF(ISNUMBER(SEARCH("平",B3630)),"平","仄")))</x:f>
        <x:v>平</x:v>
      </x:c>
      <x:c r="K3630" s="6" t="str">
        <x:f>IF(D3630="","",IF(AND(ISNUMBER(SEARCH("平",D3630)),OR(ISNUMBER(SEARCH("上",D3630)),ISNUMBER(SEARCH("去",D3630)),ISNUMBER(SEARCH("入",D3630)))),"Ambiguous",IF(ISNUMBER(SEARCH("平",D3630)),"平","仄")))</x:f>
        <x:v>平</x:v>
      </x:c>
      <x:c r="L3630" s="7" t="str"/>
    </x:row>
    <x:row r="3631">
      <x:c r="A3631" s="5" t="str">
        <x:v>蛇</x:v>
      </x:c>
      <x:c r="B3631" s="6" t="str">
        <x:v>平</x:v>
      </x:c>
      <x:c r="C3631" s="6" t="str">
        <x:f>IF(B3631="","Needs decision","Ready")</x:f>
        <x:v>Ready</x:v>
      </x:c>
      <x:c r="D3631" s="6" t="str">
        <x:v>平</x:v>
      </x:c>
      <x:c r="E3631" s="6" t="str">
        <x:v>zyae (A); ye (A)</x:v>
      </x:c>
      <x:c r="F3631" s="6" t="str">
        <x:v>上平聲四支; 下平聲六麻</x:v>
      </x:c>
      <x:c r="G3631" s="6" t="str">
        <x:v>Pingshui main list, Wikisource-derived DOCX</x:v>
      </x:c>
      <x:c r="H3631" s="6" t="str">
        <x:v>2</x:v>
      </x:c>
      <x:c r="I3631" s="6" t="str"/>
      <x:c r="J3631" s="6" t="str">
        <x:f>IF(B3631="","",IF(AND(ISNUMBER(SEARCH("平",B3631)),OR(ISNUMBER(SEARCH("上",B3631)),ISNUMBER(SEARCH("去",B3631)),ISNUMBER(SEARCH("入",B3631)))),"Ambiguous",IF(ISNUMBER(SEARCH("平",B3631)),"平","仄")))</x:f>
        <x:v>平</x:v>
      </x:c>
      <x:c r="K3631" s="6" t="str">
        <x:f>IF(D3631="","",IF(AND(ISNUMBER(SEARCH("平",D3631)),OR(ISNUMBER(SEARCH("上",D3631)),ISNUMBER(SEARCH("去",D3631)),ISNUMBER(SEARCH("入",D3631)))),"Ambiguous",IF(ISNUMBER(SEARCH("平",D3631)),"平","仄")))</x:f>
        <x:v>平</x:v>
      </x:c>
      <x:c r="L3631" s="7" t="str"/>
    </x:row>
    <x:row r="3632">
      <x:c r="A3632" s="5" t="str">
        <x:v>蛙</x:v>
      </x:c>
      <x:c r="B3632" s="6" t="str">
        <x:v>平</x:v>
      </x:c>
      <x:c r="C3632" s="6" t="str">
        <x:f>IF(B3632="","Needs decision","Ready")</x:f>
        <x:v>Ready</x:v>
      </x:c>
      <x:c r="D3632" s="6" t="str">
        <x:v>平</x:v>
      </x:c>
      <x:c r="E3632" s="6" t="str">
        <x:v>'wea (A)</x:v>
      </x:c>
      <x:c r="F3632" s="6" t="str">
        <x:v>上平聲九佳; 下平聲六麻</x:v>
      </x:c>
      <x:c r="G3632" s="6" t="str">
        <x:v>Pingshui main list, Wikisource-derived DOCX</x:v>
      </x:c>
      <x:c r="H3632" s="6" t="str">
        <x:v>1</x:v>
      </x:c>
      <x:c r="I3632" s="6" t="str"/>
      <x:c r="J3632" s="6" t="str">
        <x:f>IF(B3632="","",IF(AND(ISNUMBER(SEARCH("平",B3632)),OR(ISNUMBER(SEARCH("上",B3632)),ISNUMBER(SEARCH("去",B3632)),ISNUMBER(SEARCH("入",B3632)))),"Ambiguous",IF(ISNUMBER(SEARCH("平",B3632)),"平","仄")))</x:f>
        <x:v>平</x:v>
      </x:c>
      <x:c r="K3632" s="6" t="str">
        <x:f>IF(D3632="","",IF(AND(ISNUMBER(SEARCH("平",D3632)),OR(ISNUMBER(SEARCH("上",D3632)),ISNUMBER(SEARCH("去",D3632)),ISNUMBER(SEARCH("入",D3632)))),"Ambiguous",IF(ISNUMBER(SEARCH("平",D3632)),"平","仄")))</x:f>
        <x:v>平</x:v>
      </x:c>
      <x:c r="L3632" s="7" t="str"/>
    </x:row>
    <x:row r="3633">
      <x:c r="A3633" s="5" t="str">
        <x:v>蛛</x:v>
      </x:c>
      <x:c r="B3633" s="6" t="str">
        <x:v>平</x:v>
      </x:c>
      <x:c r="C3633" s="6" t="str">
        <x:f>IF(B3633="","Needs decision","Ready")</x:f>
        <x:v>Ready</x:v>
      </x:c>
      <x:c r="D3633" s="6" t="str">
        <x:v>平</x:v>
      </x:c>
      <x:c r="E3633" s="6" t="str">
        <x:v>trju (A)</x:v>
      </x:c>
      <x:c r="F3633" s="6" t="str">
        <x:v>上平聲七虞</x:v>
      </x:c>
      <x:c r="G3633" s="6" t="str">
        <x:v>Pingshui main list, Wikisource-derived DOCX</x:v>
      </x:c>
      <x:c r="H3633" s="6" t="str">
        <x:v>1</x:v>
      </x:c>
      <x:c r="I3633" s="6" t="str"/>
      <x:c r="J3633" s="6" t="str">
        <x:f>IF(B3633="","",IF(AND(ISNUMBER(SEARCH("平",B3633)),OR(ISNUMBER(SEARCH("上",B3633)),ISNUMBER(SEARCH("去",B3633)),ISNUMBER(SEARCH("入",B3633)))),"Ambiguous",IF(ISNUMBER(SEARCH("平",B3633)),"平","仄")))</x:f>
        <x:v>平</x:v>
      </x:c>
      <x:c r="K3633" s="6" t="str">
        <x:f>IF(D3633="","",IF(AND(ISNUMBER(SEARCH("平",D3633)),OR(ISNUMBER(SEARCH("上",D3633)),ISNUMBER(SEARCH("去",D3633)),ISNUMBER(SEARCH("入",D3633)))),"Ambiguous",IF(ISNUMBER(SEARCH("平",D3633)),"平","仄")))</x:f>
        <x:v>平</x:v>
      </x:c>
      <x:c r="L3633" s="7" t="str"/>
    </x:row>
    <x:row r="3634">
      <x:c r="A3634" s="5" t="str">
        <x:v>蛟</x:v>
      </x:c>
      <x:c r="B3634" s="6" t="str">
        <x:v>平</x:v>
      </x:c>
      <x:c r="C3634" s="6" t="str">
        <x:f>IF(B3634="","Needs decision","Ready")</x:f>
        <x:v>Ready</x:v>
      </x:c>
      <x:c r="D3634" s="6" t="str">
        <x:v>平</x:v>
      </x:c>
      <x:c r="E3634" s="6" t="str">
        <x:v>kaew [qaˤw] (平)</x:v>
      </x:c>
      <x:c r="F3634" s="6" t="str">
        <x:v>下平聲三肴</x:v>
      </x:c>
      <x:c r="G3634" s="6" t="str">
        <x:v>Pingshui main list, Wikisource-derived DOCX</x:v>
      </x:c>
      <x:c r="H3634" s="6" t="str">
        <x:v>1</x:v>
      </x:c>
      <x:c r="I3634" s="6" t="str">
        <x:v>Tang 300 gap; frequency 4; provisional from Xun Gong</x:v>
      </x:c>
      <x:c r="J3634" s="6" t="str">
        <x:f>IF(B3634="","",IF(AND(ISNUMBER(SEARCH("平",B3634)),OR(ISNUMBER(SEARCH("上",B3634)),ISNUMBER(SEARCH("去",B3634)),ISNUMBER(SEARCH("入",B3634)))),"Ambiguous",IF(ISNUMBER(SEARCH("平",B3634)),"平","仄")))</x:f>
        <x:v>平</x:v>
      </x:c>
      <x:c r="K3634" s="6" t="str">
        <x:f>IF(D3634="","",IF(AND(ISNUMBER(SEARCH("平",D3634)),OR(ISNUMBER(SEARCH("上",D3634)),ISNUMBER(SEARCH("去",D3634)),ISNUMBER(SEARCH("入",D3634)))),"Ambiguous",IF(ISNUMBER(SEARCH("平",D3634)),"平","仄")))</x:f>
        <x:v>平</x:v>
      </x:c>
      <x:c r="L3634" s="7" t="str">
        <x:v>Xun Gong, Tang 300 gap fill</x:v>
      </x:c>
    </x:row>
    <x:row r="3635">
      <x:c r="A3635" s="5" t="str">
        <x:v>蛾</x:v>
      </x:c>
      <x:c r="B3635" s="6" t="str"/>
      <x:c r="C3635" s="6" t="str">
        <x:f>IF(B3635="","Needs decision","Ready")</x:f>
        <x:v>Needs decision</x:v>
      </x:c>
      <x:c r="D3635" s="6" t="str">
        <x:v>平/上</x:v>
      </x:c>
      <x:c r="E3635" s="6" t="str">
        <x:v>nga (A); ngjeX (B)</x:v>
      </x:c>
      <x:c r="F3635" s="6" t="str">
        <x:v>下平聲五歌</x:v>
      </x:c>
      <x:c r="G3635" s="6" t="str">
        <x:v>Pingshui main list, Wikisource-derived DOCX</x:v>
      </x:c>
      <x:c r="H3635" s="6" t="str">
        <x:v>2</x:v>
      </x:c>
      <x:c r="I3635" s="6" t="str"/>
      <x:c r="J3635" s="6" t="str">
        <x:f>IF(B3635="","",IF(AND(ISNUMBER(SEARCH("平",B3635)),OR(ISNUMBER(SEARCH("上",B3635)),ISNUMBER(SEARCH("去",B3635)),ISNUMBER(SEARCH("入",B3635)))),"Ambiguous",IF(ISNUMBER(SEARCH("平",B3635)),"平","仄")))</x:f>
      </x:c>
      <x:c r="K3635" s="6" t="str">
        <x:f>IF(D3635="","",IF(AND(ISNUMBER(SEARCH("平",D3635)),OR(ISNUMBER(SEARCH("上",D3635)),ISNUMBER(SEARCH("去",D3635)),ISNUMBER(SEARCH("入",D3635)))),"Ambiguous",IF(ISNUMBER(SEARCH("平",D3635)),"平","仄")))</x:f>
        <x:v>Ambiguous</x:v>
      </x:c>
      <x:c r="L3635" s="7" t="str"/>
    </x:row>
    <x:row r="3636">
      <x:c r="A3636" s="5" t="str">
        <x:v>蜀</x:v>
      </x:c>
      <x:c r="B3636" s="6" t="str">
        <x:v>入</x:v>
      </x:c>
      <x:c r="C3636" s="6" t="str">
        <x:f>IF(B3636="","Needs decision","Ready")</x:f>
        <x:v>Ready</x:v>
      </x:c>
      <x:c r="D3636" s="6" t="str">
        <x:v>入</x:v>
      </x:c>
      <x:c r="E3636" s="6" t="str">
        <x:v>dzyowk (D)</x:v>
      </x:c>
      <x:c r="F3636" s="6" t="str">
        <x:v>入聲二沃</x:v>
      </x:c>
      <x:c r="G3636" s="6" t="str">
        <x:v>Pingshui main list, Wikisource-derived DOCX</x:v>
      </x:c>
      <x:c r="H3636" s="6" t="str">
        <x:v>1</x:v>
      </x:c>
      <x:c r="I3636" s="6" t="str"/>
      <x:c r="J3636" s="6" t="str">
        <x:f>IF(B3636="","",IF(AND(ISNUMBER(SEARCH("平",B3636)),OR(ISNUMBER(SEARCH("上",B3636)),ISNUMBER(SEARCH("去",B3636)),ISNUMBER(SEARCH("入",B3636)))),"Ambiguous",IF(ISNUMBER(SEARCH("平",B3636)),"平","仄")))</x:f>
        <x:v>仄</x:v>
      </x:c>
      <x:c r="K3636" s="6" t="str">
        <x:f>IF(D3636="","",IF(AND(ISNUMBER(SEARCH("平",D3636)),OR(ISNUMBER(SEARCH("上",D3636)),ISNUMBER(SEARCH("去",D3636)),ISNUMBER(SEARCH("入",D3636)))),"Ambiguous",IF(ISNUMBER(SEARCH("平",D3636)),"平","仄")))</x:f>
        <x:v>仄</x:v>
      </x:c>
      <x:c r="L3636" s="7" t="str"/>
    </x:row>
    <x:row r="3637">
      <x:c r="A3637" s="5" t="str">
        <x:v>蜂</x:v>
      </x:c>
      <x:c r="B3637" s="6" t="str">
        <x:v>平</x:v>
      </x:c>
      <x:c r="C3637" s="6" t="str">
        <x:f>IF(B3637="","Needs decision","Ready")</x:f>
        <x:v>Ready</x:v>
      </x:c>
      <x:c r="D3637" s="6" t="str">
        <x:v>平</x:v>
      </x:c>
      <x:c r="E3637" s="6" t="str">
        <x:v>phjowng (A)</x:v>
      </x:c>
      <x:c r="F3637" s="6" t="str">
        <x:v>上平聲二冬</x:v>
      </x:c>
      <x:c r="G3637" s="6" t="str">
        <x:v>Pingshui main list, Wikisource-derived DOCX</x:v>
      </x:c>
      <x:c r="H3637" s="6" t="str">
        <x:v>1</x:v>
      </x:c>
      <x:c r="I3637" s="6" t="str"/>
      <x:c r="J3637" s="6" t="str">
        <x:f>IF(B3637="","",IF(AND(ISNUMBER(SEARCH("平",B3637)),OR(ISNUMBER(SEARCH("上",B3637)),ISNUMBER(SEARCH("去",B3637)),ISNUMBER(SEARCH("入",B3637)))),"Ambiguous",IF(ISNUMBER(SEARCH("平",B3637)),"平","仄")))</x:f>
        <x:v>平</x:v>
      </x:c>
      <x:c r="K3637" s="6" t="str">
        <x:f>IF(D3637="","",IF(AND(ISNUMBER(SEARCH("平",D3637)),OR(ISNUMBER(SEARCH("上",D3637)),ISNUMBER(SEARCH("去",D3637)),ISNUMBER(SEARCH("入",D3637)))),"Ambiguous",IF(ISNUMBER(SEARCH("平",D3637)),"平","仄")))</x:f>
        <x:v>平</x:v>
      </x:c>
      <x:c r="L3637" s="7" t="str"/>
    </x:row>
    <x:row r="3638">
      <x:c r="A3638" s="5" t="str">
        <x:v>蜃</x:v>
      </x:c>
      <x:c r="B3638" s="6" t="str">
        <x:v>上</x:v>
      </x:c>
      <x:c r="C3638" s="6" t="str">
        <x:f>IF(B3638="","Needs decision","Ready")</x:f>
        <x:v>Ready</x:v>
      </x:c>
      <x:c r="D3638" s="6" t="str">
        <x:v>上</x:v>
      </x:c>
      <x:c r="E3638" s="6" t="str">
        <x:v>dzyinX (B)</x:v>
      </x:c>
      <x:c r="F3638" s="6" t="str">
        <x:v>上聲十一軫; 去聲十二震</x:v>
      </x:c>
      <x:c r="G3638" s="6" t="str">
        <x:v>Pingshui main list, Wikisource-derived DOCX</x:v>
      </x:c>
      <x:c r="H3638" s="6" t="str">
        <x:v>1</x:v>
      </x:c>
      <x:c r="I3638" s="6" t="str"/>
      <x:c r="J3638" s="6" t="str">
        <x:f>IF(B3638="","",IF(AND(ISNUMBER(SEARCH("平",B3638)),OR(ISNUMBER(SEARCH("上",B3638)),ISNUMBER(SEARCH("去",B3638)),ISNUMBER(SEARCH("入",B3638)))),"Ambiguous",IF(ISNUMBER(SEARCH("平",B3638)),"平","仄")))</x:f>
        <x:v>仄</x:v>
      </x:c>
      <x:c r="K3638" s="6" t="str">
        <x:f>IF(D3638="","",IF(AND(ISNUMBER(SEARCH("平",D3638)),OR(ISNUMBER(SEARCH("上",D3638)),ISNUMBER(SEARCH("去",D3638)),ISNUMBER(SEARCH("入",D3638)))),"Ambiguous",IF(ISNUMBER(SEARCH("平",D3638)),"平","仄")))</x:f>
        <x:v>仄</x:v>
      </x:c>
      <x:c r="L3638" s="7" t="str"/>
    </x:row>
    <x:row r="3639">
      <x:c r="A3639" s="5" t="str">
        <x:v>蜉</x:v>
      </x:c>
      <x:c r="B3639" s="6" t="str">
        <x:v>平</x:v>
      </x:c>
      <x:c r="C3639" s="6" t="str">
        <x:f>IF(B3639="","Needs decision","Ready")</x:f>
        <x:v>Ready</x:v>
      </x:c>
      <x:c r="D3639" s="6" t="str">
        <x:v>平</x:v>
      </x:c>
      <x:c r="E3639" s="6" t="str">
        <x:v>bjuw (A)</x:v>
      </x:c>
      <x:c r="F3639" s="6" t="str">
        <x:v>下平聲十一尤</x:v>
      </x:c>
      <x:c r="G3639" s="6" t="str">
        <x:v>Pingshui main list, Wikisource-derived DOCX</x:v>
      </x:c>
      <x:c r="H3639" s="6" t="str">
        <x:v>1</x:v>
      </x:c>
      <x:c r="I3639" s="6" t="str"/>
      <x:c r="J3639" s="6" t="str">
        <x:f>IF(B3639="","",IF(AND(ISNUMBER(SEARCH("平",B3639)),OR(ISNUMBER(SEARCH("上",B3639)),ISNUMBER(SEARCH("去",B3639)),ISNUMBER(SEARCH("入",B3639)))),"Ambiguous",IF(ISNUMBER(SEARCH("平",B3639)),"平","仄")))</x:f>
        <x:v>平</x:v>
      </x:c>
      <x:c r="K3639" s="6" t="str">
        <x:f>IF(D3639="","",IF(AND(ISNUMBER(SEARCH("平",D3639)),OR(ISNUMBER(SEARCH("上",D3639)),ISNUMBER(SEARCH("去",D3639)),ISNUMBER(SEARCH("入",D3639)))),"Ambiguous",IF(ISNUMBER(SEARCH("平",D3639)),"平","仄")))</x:f>
        <x:v>平</x:v>
      </x:c>
      <x:c r="L3639" s="7" t="str"/>
    </x:row>
    <x:row r="3640">
      <x:c r="A3640" s="5" t="str">
        <x:v>蜎</x:v>
      </x:c>
      <x:c r="B3640" s="6" t="str"/>
      <x:c r="C3640" s="6" t="str">
        <x:f>IF(B3640="","Needs decision","Ready")</x:f>
        <x:v>Needs decision</x:v>
      </x:c>
      <x:c r="D3640" s="6" t="str">
        <x:v>平/上</x:v>
      </x:c>
      <x:c r="E3640" s="6" t="str">
        <x:v>'jwienX (B); 'wen (A); gjwienX (B)</x:v>
      </x:c>
      <x:c r="F3640" s="6" t="str">
        <x:v>下平聲一先; 上聲十六銑</x:v>
      </x:c>
      <x:c r="G3640" s="6" t="str">
        <x:v>Pingshui main list, Wikisource-derived DOCX</x:v>
      </x:c>
      <x:c r="H3640" s="6" t="str">
        <x:v>3</x:v>
      </x:c>
      <x:c r="I3640" s="6" t="str"/>
      <x:c r="J3640" s="6" t="str">
        <x:f>IF(B3640="","",IF(AND(ISNUMBER(SEARCH("平",B3640)),OR(ISNUMBER(SEARCH("上",B3640)),ISNUMBER(SEARCH("去",B3640)),ISNUMBER(SEARCH("入",B3640)))),"Ambiguous",IF(ISNUMBER(SEARCH("平",B3640)),"平","仄")))</x:f>
      </x:c>
      <x:c r="K3640" s="6" t="str">
        <x:f>IF(D3640="","",IF(AND(ISNUMBER(SEARCH("平",D3640)),OR(ISNUMBER(SEARCH("上",D3640)),ISNUMBER(SEARCH("去",D3640)),ISNUMBER(SEARCH("入",D3640)))),"Ambiguous",IF(ISNUMBER(SEARCH("平",D3640)),"平","仄")))</x:f>
        <x:v>Ambiguous</x:v>
      </x:c>
      <x:c r="L3640" s="7" t="str"/>
    </x:row>
    <x:row r="3641">
      <x:c r="A3641" s="5" t="str">
        <x:v>蜓</x:v>
      </x:c>
      <x:c r="B3641" s="6" t="str"/>
      <x:c r="C3641" s="6" t="str">
        <x:f>IF(B3641="","Needs decision","Ready")</x:f>
        <x:v>Needs decision</x:v>
      </x:c>
      <x:c r="D3641" s="6" t="str">
        <x:v>平/上</x:v>
      </x:c>
      <x:c r="E3641" s="6" t="str">
        <x:v>denX [d̙enʔ] (上); deng [d̙eŋ] (平); dengX [d̙eŋʔ] (上)</x:v>
      </x:c>
      <x:c r="F3641" s="6" t="str">
        <x:v>下平聲九青; 上聲十六銑</x:v>
      </x:c>
      <x:c r="G3641" s="6" t="str">
        <x:v>Pingshui main list, Wikisource-derived DOCX</x:v>
      </x:c>
      <x:c r="H3641" s="6" t="str">
        <x:v>3</x:v>
      </x:c>
      <x:c r="I3641" s="6" t="str">
        <x:v>Tang 300 gap; frequency 1; ambiguous in Xun Gong</x:v>
      </x:c>
      <x:c r="J3641" s="6" t="str">
        <x:f>IF(B3641="","",IF(AND(ISNUMBER(SEARCH("平",B3641)),OR(ISNUMBER(SEARCH("上",B3641)),ISNUMBER(SEARCH("去",B3641)),ISNUMBER(SEARCH("入",B3641)))),"Ambiguous",IF(ISNUMBER(SEARCH("平",B3641)),"平","仄")))</x:f>
      </x:c>
      <x:c r="K3641" s="6" t="str">
        <x:f>IF(D3641="","",IF(AND(ISNUMBER(SEARCH("平",D3641)),OR(ISNUMBER(SEARCH("上",D3641)),ISNUMBER(SEARCH("去",D3641)),ISNUMBER(SEARCH("入",D3641)))),"Ambiguous",IF(ISNUMBER(SEARCH("平",D3641)),"平","仄")))</x:f>
        <x:v>Ambiguous</x:v>
      </x:c>
      <x:c r="L3641" s="7" t="str">
        <x:v>Xun Gong, Tang 300 gap fill</x:v>
      </x:c>
    </x:row>
    <x:row r="3642">
      <x:c r="A3642" s="5" t="str">
        <x:v>蜕</x:v>
      </x:c>
      <x:c r="B3642" s="6" t="str"/>
      <x:c r="C3642" s="6" t="str">
        <x:f>IF(B3642="","Needs decision","Ready")</x:f>
        <x:v>Needs decision</x:v>
      </x:c>
      <x:c r="D3642" s="6" t="str">
        <x:v>去/入</x:v>
      </x:c>
      <x:c r="E3642" s="6" t="str">
        <x:v>thwajH (C); ywet (D)</x:v>
      </x:c>
      <x:c r="F3642" s="6" t="str"/>
      <x:c r="G3642" s="6" t="str"/>
      <x:c r="H3642" s="6" t="str">
        <x:v>2</x:v>
      </x:c>
      <x:c r="I3642" s="6" t="str"/>
      <x:c r="J3642" s="6" t="str">
        <x:f>IF(B3642="","",IF(AND(ISNUMBER(SEARCH("平",B3642)),OR(ISNUMBER(SEARCH("上",B3642)),ISNUMBER(SEARCH("去",B3642)),ISNUMBER(SEARCH("入",B3642)))),"Ambiguous",IF(ISNUMBER(SEARCH("平",B3642)),"平","仄")))</x:f>
      </x:c>
      <x:c r="K3642" s="6" t="str">
        <x:f>IF(D3642="","",IF(AND(ISNUMBER(SEARCH("平",D3642)),OR(ISNUMBER(SEARCH("上",D3642)),ISNUMBER(SEARCH("去",D3642)),ISNUMBER(SEARCH("入",D3642)))),"Ambiguous",IF(ISNUMBER(SEARCH("平",D3642)),"平","仄")))</x:f>
        <x:v>仄</x:v>
      </x:c>
      <x:c r="L3642" s="7" t="str"/>
    </x:row>
    <x:row r="3643">
      <x:c r="A3643" s="5" t="str">
        <x:v>蜘</x:v>
      </x:c>
      <x:c r="B3643" s="6" t="str">
        <x:v>平</x:v>
      </x:c>
      <x:c r="C3643" s="6" t="str">
        <x:f>IF(B3643="","Needs decision","Ready")</x:f>
        <x:v>Ready</x:v>
      </x:c>
      <x:c r="D3643" s="6" t="str">
        <x:v>平</x:v>
      </x:c>
      <x:c r="E3643" s="6" t="str">
        <x:v>trje (A)</x:v>
      </x:c>
      <x:c r="F3643" s="6" t="str"/>
      <x:c r="G3643" s="6" t="str"/>
      <x:c r="H3643" s="6" t="str">
        <x:v>1</x:v>
      </x:c>
      <x:c r="I3643" s="6" t="str"/>
      <x:c r="J3643" s="6" t="str">
        <x:f>IF(B3643="","",IF(AND(ISNUMBER(SEARCH("平",B3643)),OR(ISNUMBER(SEARCH("上",B3643)),ISNUMBER(SEARCH("去",B3643)),ISNUMBER(SEARCH("入",B3643)))),"Ambiguous",IF(ISNUMBER(SEARCH("平",B3643)),"平","仄")))</x:f>
        <x:v>平</x:v>
      </x:c>
      <x:c r="K3643" s="6" t="str">
        <x:f>IF(D3643="","",IF(AND(ISNUMBER(SEARCH("平",D3643)),OR(ISNUMBER(SEARCH("上",D3643)),ISNUMBER(SEARCH("去",D3643)),ISNUMBER(SEARCH("入",D3643)))),"Ambiguous",IF(ISNUMBER(SEARCH("平",D3643)),"平","仄")))</x:f>
        <x:v>平</x:v>
      </x:c>
      <x:c r="L3643" s="7" t="str"/>
    </x:row>
    <x:row r="3644">
      <x:c r="A3644" s="5" t="str">
        <x:v>蜚</x:v>
      </x:c>
      <x:c r="B3644" s="6" t="str">
        <x:v>上</x:v>
      </x:c>
      <x:c r="C3644" s="6" t="str">
        <x:f>IF(B3644="","Needs decision","Ready")</x:f>
        <x:v>Ready</x:v>
      </x:c>
      <x:c r="D3644" s="6" t="str">
        <x:v>上</x:v>
      </x:c>
      <x:c r="E3644" s="6" t="str">
        <x:v>pj+jX (B)</x:v>
      </x:c>
      <x:c r="F3644" s="6" t="str">
        <x:v>上聲五尾; 去聲五未</x:v>
      </x:c>
      <x:c r="G3644" s="6" t="str">
        <x:v>Pingshui main list, Wikisource-derived DOCX</x:v>
      </x:c>
      <x:c r="H3644" s="6" t="str">
        <x:v>1</x:v>
      </x:c>
      <x:c r="I3644" s="6" t="str"/>
      <x:c r="J3644" s="6" t="str">
        <x:f>IF(B3644="","",IF(AND(ISNUMBER(SEARCH("平",B3644)),OR(ISNUMBER(SEARCH("上",B3644)),ISNUMBER(SEARCH("去",B3644)),ISNUMBER(SEARCH("入",B3644)))),"Ambiguous",IF(ISNUMBER(SEARCH("平",B3644)),"平","仄")))</x:f>
        <x:v>仄</x:v>
      </x:c>
      <x:c r="K3644" s="6" t="str">
        <x:f>IF(D3644="","",IF(AND(ISNUMBER(SEARCH("平",D3644)),OR(ISNUMBER(SEARCH("上",D3644)),ISNUMBER(SEARCH("去",D3644)),ISNUMBER(SEARCH("入",D3644)))),"Ambiguous",IF(ISNUMBER(SEARCH("平",D3644)),"平","仄")))</x:f>
        <x:v>仄</x:v>
      </x:c>
      <x:c r="L3644" s="7" t="str"/>
    </x:row>
    <x:row r="3645">
      <x:c r="A3645" s="5" t="str">
        <x:v>蜜</x:v>
      </x:c>
      <x:c r="B3645" s="6" t="str">
        <x:v>入</x:v>
      </x:c>
      <x:c r="C3645" s="6" t="str">
        <x:f>IF(B3645="","Needs decision","Ready")</x:f>
        <x:v>Ready</x:v>
      </x:c>
      <x:c r="D3645" s="6" t="str">
        <x:v>入</x:v>
      </x:c>
      <x:c r="E3645" s="6" t="str">
        <x:v>mjit (D)</x:v>
      </x:c>
      <x:c r="F3645" s="6" t="str">
        <x:v>入聲四質</x:v>
      </x:c>
      <x:c r="G3645" s="6" t="str">
        <x:v>Pingshui main list, Wikisource-derived DOCX</x:v>
      </x:c>
      <x:c r="H3645" s="6" t="str">
        <x:v>1</x:v>
      </x:c>
      <x:c r="I3645" s="6" t="str"/>
      <x:c r="J3645" s="6" t="str">
        <x:f>IF(B3645="","",IF(AND(ISNUMBER(SEARCH("平",B3645)),OR(ISNUMBER(SEARCH("上",B3645)),ISNUMBER(SEARCH("去",B3645)),ISNUMBER(SEARCH("入",B3645)))),"Ambiguous",IF(ISNUMBER(SEARCH("平",B3645)),"平","仄")))</x:f>
        <x:v>仄</x:v>
      </x:c>
      <x:c r="K3645" s="6" t="str">
        <x:f>IF(D3645="","",IF(AND(ISNUMBER(SEARCH("平",D3645)),OR(ISNUMBER(SEARCH("上",D3645)),ISNUMBER(SEARCH("去",D3645)),ISNUMBER(SEARCH("入",D3645)))),"Ambiguous",IF(ISNUMBER(SEARCH("平",D3645)),"平","仄")))</x:f>
        <x:v>仄</x:v>
      </x:c>
      <x:c r="L3645" s="7" t="str"/>
    </x:row>
    <x:row r="3646">
      <x:c r="A3646" s="5" t="str">
        <x:v>蜯</x:v>
      </x:c>
      <x:c r="B3646" s="6" t="str">
        <x:v>上</x:v>
      </x:c>
      <x:c r="C3646" s="6" t="str">
        <x:f>IF(B3646="","Needs decision","Ready")</x:f>
        <x:v>Ready</x:v>
      </x:c>
      <x:c r="D3646" s="6" t="str">
        <x:v>上</x:v>
      </x:c>
      <x:c r="E3646" s="6" t="str">
        <x:v>baewngX (B)</x:v>
      </x:c>
      <x:c r="F3646" s="6" t="str"/>
      <x:c r="G3646" s="6" t="str"/>
      <x:c r="H3646" s="6" t="str">
        <x:v>1</x:v>
      </x:c>
      <x:c r="I3646" s="6" t="str"/>
      <x:c r="J3646" s="6" t="str">
        <x:f>IF(B3646="","",IF(AND(ISNUMBER(SEARCH("平",B3646)),OR(ISNUMBER(SEARCH("上",B3646)),ISNUMBER(SEARCH("去",B3646)),ISNUMBER(SEARCH("入",B3646)))),"Ambiguous",IF(ISNUMBER(SEARCH("平",B3646)),"平","仄")))</x:f>
        <x:v>仄</x:v>
      </x:c>
      <x:c r="K3646" s="6" t="str">
        <x:f>IF(D3646="","",IF(AND(ISNUMBER(SEARCH("平",D3646)),OR(ISNUMBER(SEARCH("上",D3646)),ISNUMBER(SEARCH("去",D3646)),ISNUMBER(SEARCH("入",D3646)))),"Ambiguous",IF(ISNUMBER(SEARCH("平",D3646)),"平","仄")))</x:f>
        <x:v>仄</x:v>
      </x:c>
      <x:c r="L3646" s="7" t="str"/>
    </x:row>
    <x:row r="3647">
      <x:c r="A3647" s="5" t="str">
        <x:v>蜴</x:v>
      </x:c>
      <x:c r="B3647" s="6" t="str">
        <x:v>入</x:v>
      </x:c>
      <x:c r="C3647" s="6" t="str">
        <x:f>IF(B3647="","Needs decision","Ready")</x:f>
        <x:v>Ready</x:v>
      </x:c>
      <x:c r="D3647" s="6" t="str">
        <x:v>入</x:v>
      </x:c>
      <x:c r="E3647" s="6" t="str">
        <x:v>yek (D)</x:v>
      </x:c>
      <x:c r="F3647" s="6" t="str"/>
      <x:c r="G3647" s="6" t="str"/>
      <x:c r="H3647" s="6" t="str">
        <x:v>1</x:v>
      </x:c>
      <x:c r="I3647" s="6" t="str"/>
      <x:c r="J3647" s="6" t="str">
        <x:f>IF(B3647="","",IF(AND(ISNUMBER(SEARCH("平",B3647)),OR(ISNUMBER(SEARCH("上",B3647)),ISNUMBER(SEARCH("去",B3647)),ISNUMBER(SEARCH("入",B3647)))),"Ambiguous",IF(ISNUMBER(SEARCH("平",B3647)),"平","仄")))</x:f>
        <x:v>仄</x:v>
      </x:c>
      <x:c r="K3647" s="6" t="str">
        <x:f>IF(D3647="","",IF(AND(ISNUMBER(SEARCH("平",D3647)),OR(ISNUMBER(SEARCH("上",D3647)),ISNUMBER(SEARCH("去",D3647)),ISNUMBER(SEARCH("入",D3647)))),"Ambiguous",IF(ISNUMBER(SEARCH("平",D3647)),"平","仄")))</x:f>
        <x:v>仄</x:v>
      </x:c>
      <x:c r="L3647" s="7" t="str"/>
    </x:row>
    <x:row r="3648">
      <x:c r="A3648" s="5" t="str">
        <x:v>蜻</x:v>
      </x:c>
      <x:c r="B3648" s="6" t="str">
        <x:v>平</x:v>
      </x:c>
      <x:c r="C3648" s="6" t="str">
        <x:f>IF(B3648="","Needs decision","Ready")</x:f>
        <x:v>Ready</x:v>
      </x:c>
      <x:c r="D3648" s="6" t="str">
        <x:v>平</x:v>
      </x:c>
      <x:c r="E3648" s="6" t="str">
        <x:v>tsheng [t̙s̙ʰeŋ] (平); tsjeng [tsjaŋ] (平)</x:v>
      </x:c>
      <x:c r="F3648" s="6" t="str">
        <x:v>下平聲八庚</x:v>
      </x:c>
      <x:c r="G3648" s="6" t="str">
        <x:v>Pingshui main list, Wikisource-derived DOCX</x:v>
      </x:c>
      <x:c r="H3648" s="6" t="str">
        <x:v>2</x:v>
      </x:c>
      <x:c r="I3648" s="6" t="str">
        <x:v>Tang 300 gap; frequency 1; provisional from Xun Gong</x:v>
      </x:c>
      <x:c r="J3648" s="6" t="str">
        <x:f>IF(B3648="","",IF(AND(ISNUMBER(SEARCH("平",B3648)),OR(ISNUMBER(SEARCH("上",B3648)),ISNUMBER(SEARCH("去",B3648)),ISNUMBER(SEARCH("入",B3648)))),"Ambiguous",IF(ISNUMBER(SEARCH("平",B3648)),"平","仄")))</x:f>
        <x:v>平</x:v>
      </x:c>
      <x:c r="K3648" s="6" t="str">
        <x:f>IF(D3648="","",IF(AND(ISNUMBER(SEARCH("平",D3648)),OR(ISNUMBER(SEARCH("上",D3648)),ISNUMBER(SEARCH("去",D3648)),ISNUMBER(SEARCH("入",D3648)))),"Ambiguous",IF(ISNUMBER(SEARCH("平",D3648)),"平","仄")))</x:f>
        <x:v>平</x:v>
      </x:c>
      <x:c r="L3648" s="7" t="str">
        <x:v>Xun Gong, Tang 300 gap fill</x:v>
      </x:c>
    </x:row>
    <x:row r="3649">
      <x:c r="A3649" s="5" t="str">
        <x:v>蜾</x:v>
      </x:c>
      <x:c r="B3649" s="6" t="str">
        <x:v>上</x:v>
      </x:c>
      <x:c r="C3649" s="6" t="str">
        <x:f>IF(B3649="","Needs decision","Ready")</x:f>
        <x:v>Ready</x:v>
      </x:c>
      <x:c r="D3649" s="6" t="str">
        <x:v>上</x:v>
      </x:c>
      <x:c r="E3649" s="6" t="str">
        <x:v>kwaX (B)</x:v>
      </x:c>
      <x:c r="F3649" s="6" t="str">
        <x:v>上聲二十哿</x:v>
      </x:c>
      <x:c r="G3649" s="6" t="str">
        <x:v>Pingshui main list, Wikisource-derived DOCX</x:v>
      </x:c>
      <x:c r="H3649" s="6" t="str">
        <x:v>1</x:v>
      </x:c>
      <x:c r="I3649" s="6" t="str"/>
      <x:c r="J3649" s="6" t="str">
        <x:f>IF(B3649="","",IF(AND(ISNUMBER(SEARCH("平",B3649)),OR(ISNUMBER(SEARCH("上",B3649)),ISNUMBER(SEARCH("去",B3649)),ISNUMBER(SEARCH("入",B3649)))),"Ambiguous",IF(ISNUMBER(SEARCH("平",B3649)),"平","仄")))</x:f>
        <x:v>仄</x:v>
      </x:c>
      <x:c r="K3649" s="6" t="str">
        <x:f>IF(D3649="","",IF(AND(ISNUMBER(SEARCH("平",D3649)),OR(ISNUMBER(SEARCH("上",D3649)),ISNUMBER(SEARCH("去",D3649)),ISNUMBER(SEARCH("入",D3649)))),"Ambiguous",IF(ISNUMBER(SEARCH("平",D3649)),"平","仄")))</x:f>
        <x:v>仄</x:v>
      </x:c>
      <x:c r="L3649" s="7" t="str"/>
    </x:row>
    <x:row r="3650">
      <x:c r="A3650" s="5" t="str">
        <x:v>蝌</x:v>
      </x:c>
      <x:c r="B3650" s="6" t="str">
        <x:v>平</x:v>
      </x:c>
      <x:c r="C3650" s="6" t="str">
        <x:f>IF(B3650="","Needs decision","Ready")</x:f>
        <x:v>Ready</x:v>
      </x:c>
      <x:c r="D3650" s="6" t="str">
        <x:v>平</x:v>
      </x:c>
      <x:c r="E3650" s="6" t="str">
        <x:v>khwa [qʰwɑ] (平)</x:v>
      </x:c>
      <x:c r="F3650" s="6" t="str">
        <x:v>下平聲五歌</x:v>
      </x:c>
      <x:c r="G3650" s="6" t="str">
        <x:v>Pingshui main list, Wikisource-derived DOCX</x:v>
      </x:c>
      <x:c r="H3650" s="6" t="str">
        <x:v>1</x:v>
      </x:c>
      <x:c r="I3650" s="6" t="str">
        <x:v>Tang 300 gap; frequency 1; provisional from Xun Gong</x:v>
      </x:c>
      <x:c r="J3650" s="6" t="str">
        <x:f>IF(B3650="","",IF(AND(ISNUMBER(SEARCH("平",B3650)),OR(ISNUMBER(SEARCH("上",B3650)),ISNUMBER(SEARCH("去",B3650)),ISNUMBER(SEARCH("入",B3650)))),"Ambiguous",IF(ISNUMBER(SEARCH("平",B3650)),"平","仄")))</x:f>
        <x:v>平</x:v>
      </x:c>
      <x:c r="K3650" s="6" t="str">
        <x:f>IF(D3650="","",IF(AND(ISNUMBER(SEARCH("平",D3650)),OR(ISNUMBER(SEARCH("上",D3650)),ISNUMBER(SEARCH("去",D3650)),ISNUMBER(SEARCH("入",D3650)))),"Ambiguous",IF(ISNUMBER(SEARCH("平",D3650)),"平","仄")))</x:f>
        <x:v>平</x:v>
      </x:c>
      <x:c r="L3650" s="7" t="str">
        <x:v>Xun Gong, Tang 300 gap fill</x:v>
      </x:c>
    </x:row>
    <x:row r="3651">
      <x:c r="A3651" s="5" t="str">
        <x:v>蝓</x:v>
      </x:c>
      <x:c r="B3651" s="6" t="str">
        <x:v>平</x:v>
      </x:c>
      <x:c r="C3651" s="6" t="str">
        <x:f>IF(B3651="","Needs decision","Ready")</x:f>
        <x:v>Ready</x:v>
      </x:c>
      <x:c r="D3651" s="6" t="str">
        <x:v>平</x:v>
      </x:c>
      <x:c r="E3651" s="6" t="str">
        <x:v>zyu (A)</x:v>
      </x:c>
      <x:c r="F3651" s="6" t="str">
        <x:v>上平聲七虞</x:v>
      </x:c>
      <x:c r="G3651" s="6" t="str">
        <x:v>Pingshui main list, Wikisource-derived DOCX</x:v>
      </x:c>
      <x:c r="H3651" s="6" t="str">
        <x:v>1</x:v>
      </x:c>
      <x:c r="I3651" s="6" t="str"/>
      <x:c r="J3651" s="6" t="str">
        <x:f>IF(B3651="","",IF(AND(ISNUMBER(SEARCH("平",B3651)),OR(ISNUMBER(SEARCH("上",B3651)),ISNUMBER(SEARCH("去",B3651)),ISNUMBER(SEARCH("入",B3651)))),"Ambiguous",IF(ISNUMBER(SEARCH("平",B3651)),"平","仄")))</x:f>
        <x:v>平</x:v>
      </x:c>
      <x:c r="K3651" s="6" t="str">
        <x:f>IF(D3651="","",IF(AND(ISNUMBER(SEARCH("平",D3651)),OR(ISNUMBER(SEARCH("上",D3651)),ISNUMBER(SEARCH("去",D3651)),ISNUMBER(SEARCH("入",D3651)))),"Ambiguous",IF(ISNUMBER(SEARCH("平",D3651)),"平","仄")))</x:f>
        <x:v>平</x:v>
      </x:c>
      <x:c r="L3651" s="7" t="str"/>
    </x:row>
    <x:row r="3652">
      <x:c r="A3652" s="5" t="str">
        <x:v>蝕</x:v>
      </x:c>
      <x:c r="B3652" s="6" t="str">
        <x:v>入</x:v>
      </x:c>
      <x:c r="C3652" s="6" t="str">
        <x:f>IF(B3652="","Needs decision","Ready")</x:f>
        <x:v>Ready</x:v>
      </x:c>
      <x:c r="D3652" s="6" t="str">
        <x:v>入</x:v>
      </x:c>
      <x:c r="E3652" s="6" t="str">
        <x:v>zyik (D)</x:v>
      </x:c>
      <x:c r="F3652" s="6" t="str">
        <x:v>入聲十三職</x:v>
      </x:c>
      <x:c r="G3652" s="6" t="str">
        <x:v>Pingshui main list, Wikisource-derived DOCX</x:v>
      </x:c>
      <x:c r="H3652" s="6" t="str">
        <x:v>1</x:v>
      </x:c>
      <x:c r="I3652" s="6" t="str"/>
      <x:c r="J3652" s="6" t="str">
        <x:f>IF(B3652="","",IF(AND(ISNUMBER(SEARCH("平",B3652)),OR(ISNUMBER(SEARCH("上",B3652)),ISNUMBER(SEARCH("去",B3652)),ISNUMBER(SEARCH("入",B3652)))),"Ambiguous",IF(ISNUMBER(SEARCH("平",B3652)),"平","仄")))</x:f>
        <x:v>仄</x:v>
      </x:c>
      <x:c r="K3652" s="6" t="str">
        <x:f>IF(D3652="","",IF(AND(ISNUMBER(SEARCH("平",D3652)),OR(ISNUMBER(SEARCH("上",D3652)),ISNUMBER(SEARCH("去",D3652)),ISNUMBER(SEARCH("入",D3652)))),"Ambiguous",IF(ISNUMBER(SEARCH("平",D3652)),"平","仄")))</x:f>
        <x:v>仄</x:v>
      </x:c>
      <x:c r="L3652" s="7" t="str"/>
    </x:row>
    <x:row r="3653">
      <x:c r="A3653" s="5" t="str">
        <x:v>蝗</x:v>
      </x:c>
      <x:c r="B3653" s="6" t="str">
        <x:v>平</x:v>
      </x:c>
      <x:c r="C3653" s="6" t="str">
        <x:f>IF(B3653="","Needs decision","Ready")</x:f>
        <x:v>Ready</x:v>
      </x:c>
      <x:c r="D3653" s="6" t="str">
        <x:v>平</x:v>
      </x:c>
      <x:c r="E3653" s="6" t="str">
        <x:v>hwang (A)</x:v>
      </x:c>
      <x:c r="F3653" s="6" t="str">
        <x:v>下平聲七陽</x:v>
      </x:c>
      <x:c r="G3653" s="6" t="str">
        <x:v>Pingshui main list, Wikisource-derived DOCX</x:v>
      </x:c>
      <x:c r="H3653" s="6" t="str">
        <x:v>1</x:v>
      </x:c>
      <x:c r="I3653" s="6" t="str"/>
      <x:c r="J3653" s="6" t="str">
        <x:f>IF(B3653="","",IF(AND(ISNUMBER(SEARCH("平",B3653)),OR(ISNUMBER(SEARCH("上",B3653)),ISNUMBER(SEARCH("去",B3653)),ISNUMBER(SEARCH("入",B3653)))),"Ambiguous",IF(ISNUMBER(SEARCH("平",B3653)),"平","仄")))</x:f>
        <x:v>平</x:v>
      </x:c>
      <x:c r="K3653" s="6" t="str">
        <x:f>IF(D3653="","",IF(AND(ISNUMBER(SEARCH("平",D3653)),OR(ISNUMBER(SEARCH("上",D3653)),ISNUMBER(SEARCH("去",D3653)),ISNUMBER(SEARCH("入",D3653)))),"Ambiguous",IF(ISNUMBER(SEARCH("平",D3653)),"平","仄")))</x:f>
        <x:v>平</x:v>
      </x:c>
      <x:c r="L3653" s="7" t="str"/>
    </x:row>
    <x:row r="3654">
      <x:c r="A3654" s="5" t="str">
        <x:v>蝙</x:v>
      </x:c>
      <x:c r="B3654" s="6" t="str">
        <x:v>平</x:v>
      </x:c>
      <x:c r="C3654" s="6" t="str">
        <x:f>IF(B3654="","Needs decision","Ready")</x:f>
        <x:v>Ready</x:v>
      </x:c>
      <x:c r="D3654" s="6" t="str">
        <x:v>平</x:v>
      </x:c>
      <x:c r="E3654" s="6" t="str">
        <x:v>pen [p̙en] (平)</x:v>
      </x:c>
      <x:c r="F3654" s="6" t="str"/>
      <x:c r="G3654" s="6" t="str"/>
      <x:c r="H3654" s="6" t="str">
        <x:v>1</x:v>
      </x:c>
      <x:c r="I3654" s="6" t="str">
        <x:v>Tang 300 gap; frequency 1; provisional from Xun Gong</x:v>
      </x:c>
      <x:c r="J3654" s="6" t="str">
        <x:f>IF(B3654="","",IF(AND(ISNUMBER(SEARCH("平",B3654)),OR(ISNUMBER(SEARCH("上",B3654)),ISNUMBER(SEARCH("去",B3654)),ISNUMBER(SEARCH("入",B3654)))),"Ambiguous",IF(ISNUMBER(SEARCH("平",B3654)),"平","仄")))</x:f>
        <x:v>平</x:v>
      </x:c>
      <x:c r="K3654" s="6" t="str">
        <x:f>IF(D3654="","",IF(AND(ISNUMBER(SEARCH("平",D3654)),OR(ISNUMBER(SEARCH("上",D3654)),ISNUMBER(SEARCH("去",D3654)),ISNUMBER(SEARCH("入",D3654)))),"Ambiguous",IF(ISNUMBER(SEARCH("平",D3654)),"平","仄")))</x:f>
        <x:v>平</x:v>
      </x:c>
      <x:c r="L3654" s="7" t="str">
        <x:v>Xun Gong, Tang 300 gap fill</x:v>
      </x:c>
    </x:row>
    <x:row r="3655">
      <x:c r="A3655" s="5" t="str">
        <x:v>蝟</x:v>
      </x:c>
      <x:c r="B3655" s="6" t="str">
        <x:v>去</x:v>
      </x:c>
      <x:c r="C3655" s="6" t="str">
        <x:f>IF(B3655="","Needs decision","Ready")</x:f>
        <x:v>Ready</x:v>
      </x:c>
      <x:c r="D3655" s="6" t="str">
        <x:v>去</x:v>
      </x:c>
      <x:c r="E3655" s="6" t="str">
        <x:v>hjw+jH (C)</x:v>
      </x:c>
      <x:c r="F3655" s="6" t="str"/>
      <x:c r="G3655" s="6" t="str"/>
      <x:c r="H3655" s="6" t="str">
        <x:v>1</x:v>
      </x:c>
      <x:c r="I3655" s="6" t="str"/>
      <x:c r="J3655" s="6" t="str">
        <x:f>IF(B3655="","",IF(AND(ISNUMBER(SEARCH("平",B3655)),OR(ISNUMBER(SEARCH("上",B3655)),ISNUMBER(SEARCH("去",B3655)),ISNUMBER(SEARCH("入",B3655)))),"Ambiguous",IF(ISNUMBER(SEARCH("平",B3655)),"平","仄")))</x:f>
        <x:v>仄</x:v>
      </x:c>
      <x:c r="K3655" s="6" t="str">
        <x:f>IF(D3655="","",IF(AND(ISNUMBER(SEARCH("平",D3655)),OR(ISNUMBER(SEARCH("上",D3655)),ISNUMBER(SEARCH("去",D3655)),ISNUMBER(SEARCH("入",D3655)))),"Ambiguous",IF(ISNUMBER(SEARCH("平",D3655)),"平","仄")))</x:f>
        <x:v>仄</x:v>
      </x:c>
      <x:c r="L3655" s="7" t="str"/>
    </x:row>
    <x:row r="3656">
      <x:c r="A3656" s="5" t="str">
        <x:v>蝠</x:v>
      </x:c>
      <x:c r="B3656" s="6" t="str">
        <x:v>入</x:v>
      </x:c>
      <x:c r="C3656" s="6" t="str">
        <x:f>IF(B3656="","Needs decision","Ready")</x:f>
        <x:v>Ready</x:v>
      </x:c>
      <x:c r="D3656" s="6" t="str">
        <x:v>入</x:v>
      </x:c>
      <x:c r="E3656" s="6" t="str">
        <x:v>pjuwk [pɨ̯uk] (入)</x:v>
      </x:c>
      <x:c r="F3656" s="6" t="str">
        <x:v>入聲一屋</x:v>
      </x:c>
      <x:c r="G3656" s="6" t="str">
        <x:v>Pingshui main list, Wikisource-derived DOCX</x:v>
      </x:c>
      <x:c r="H3656" s="6" t="str">
        <x:v>1</x:v>
      </x:c>
      <x:c r="I3656" s="6" t="str">
        <x:v>Tang 300 gap; frequency 1; provisional from Xun Gong</x:v>
      </x:c>
      <x:c r="J3656" s="6" t="str">
        <x:f>IF(B3656="","",IF(AND(ISNUMBER(SEARCH("平",B3656)),OR(ISNUMBER(SEARCH("上",B3656)),ISNUMBER(SEARCH("去",B3656)),ISNUMBER(SEARCH("入",B3656)))),"Ambiguous",IF(ISNUMBER(SEARCH("平",B3656)),"平","仄")))</x:f>
        <x:v>仄</x:v>
      </x:c>
      <x:c r="K3656" s="6" t="str">
        <x:f>IF(D3656="","",IF(AND(ISNUMBER(SEARCH("平",D3656)),OR(ISNUMBER(SEARCH("上",D3656)),ISNUMBER(SEARCH("去",D3656)),ISNUMBER(SEARCH("入",D3656)))),"Ambiguous",IF(ISNUMBER(SEARCH("平",D3656)),"平","仄")))</x:f>
        <x:v>仄</x:v>
      </x:c>
      <x:c r="L3656" s="7" t="str">
        <x:v>Xun Gong, Tang 300 gap fill</x:v>
      </x:c>
    </x:row>
    <x:row r="3657">
      <x:c r="A3657" s="5" t="str">
        <x:v>蝤</x:v>
      </x:c>
      <x:c r="B3657" s="6" t="str">
        <x:v>平</x:v>
      </x:c>
      <x:c r="C3657" s="6" t="str">
        <x:f>IF(B3657="","Needs decision","Ready")</x:f>
        <x:v>Ready</x:v>
      </x:c>
      <x:c r="D3657" s="6" t="str">
        <x:v>平</x:v>
      </x:c>
      <x:c r="E3657" s="6" t="str">
        <x:v>dzjuw (A)</x:v>
      </x:c>
      <x:c r="F3657" s="6" t="str"/>
      <x:c r="G3657" s="6" t="str"/>
      <x:c r="H3657" s="6" t="str">
        <x:v>1</x:v>
      </x:c>
      <x:c r="I3657" s="6" t="str"/>
      <x:c r="J3657" s="6" t="str">
        <x:f>IF(B3657="","",IF(AND(ISNUMBER(SEARCH("平",B3657)),OR(ISNUMBER(SEARCH("上",B3657)),ISNUMBER(SEARCH("去",B3657)),ISNUMBER(SEARCH("入",B3657)))),"Ambiguous",IF(ISNUMBER(SEARCH("平",B3657)),"平","仄")))</x:f>
        <x:v>平</x:v>
      </x:c>
      <x:c r="K3657" s="6" t="str">
        <x:f>IF(D3657="","",IF(AND(ISNUMBER(SEARCH("平",D3657)),OR(ISNUMBER(SEARCH("上",D3657)),ISNUMBER(SEARCH("去",D3657)),ISNUMBER(SEARCH("入",D3657)))),"Ambiguous",IF(ISNUMBER(SEARCH("平",D3657)),"平","仄")))</x:f>
        <x:v>平</x:v>
      </x:c>
      <x:c r="L3657" s="7" t="str"/>
    </x:row>
    <x:row r="3658">
      <x:c r="A3658" s="5" t="str">
        <x:v>蝥</x:v>
      </x:c>
      <x:c r="B3658" s="6" t="str"/>
      <x:c r="C3658" s="6" t="str">
        <x:f>IF(B3658="","Needs decision","Ready")</x:f>
        <x:v>Needs decision</x:v>
      </x:c>
      <x:c r="D3658" s="6" t="str">
        <x:v>平/去</x:v>
      </x:c>
      <x:c r="E3658" s="6" t="str">
        <x:v>maew [m̙aˤw] (平); mju [mɨ̯o] (平); mjuH [mɨ̯oh] (去); mjuw [mɨ̯u] (平)</x:v>
      </x:c>
      <x:c r="F3658" s="6" t="str"/>
      <x:c r="G3658" s="6" t="str"/>
      <x:c r="H3658" s="6" t="str">
        <x:v>4</x:v>
      </x:c>
      <x:c r="I3658" s="6" t="str">
        <x:v>Tang 300 gap; frequency 1; ambiguous in Xun Gong</x:v>
      </x:c>
      <x:c r="J3658" s="6" t="str">
        <x:f>IF(B3658="","",IF(AND(ISNUMBER(SEARCH("平",B3658)),OR(ISNUMBER(SEARCH("上",B3658)),ISNUMBER(SEARCH("去",B3658)),ISNUMBER(SEARCH("入",B3658)))),"Ambiguous",IF(ISNUMBER(SEARCH("平",B3658)),"平","仄")))</x:f>
      </x:c>
      <x:c r="K3658" s="6" t="str">
        <x:f>IF(D3658="","",IF(AND(ISNUMBER(SEARCH("平",D3658)),OR(ISNUMBER(SEARCH("上",D3658)),ISNUMBER(SEARCH("去",D3658)),ISNUMBER(SEARCH("入",D3658)))),"Ambiguous",IF(ISNUMBER(SEARCH("平",D3658)),"平","仄")))</x:f>
        <x:v>Ambiguous</x:v>
      </x:c>
      <x:c r="L3658" s="7" t="str">
        <x:v>Xun Gong, Tang 300 gap fill</x:v>
      </x:c>
    </x:row>
    <x:row r="3659">
      <x:c r="A3659" s="5" t="str">
        <x:v>蝦</x:v>
      </x:c>
      <x:c r="B3659" s="6" t="str">
        <x:v>平</x:v>
      </x:c>
      <x:c r="C3659" s="6" t="str">
        <x:f>IF(B3659="","Needs decision","Ready")</x:f>
        <x:v>Ready</x:v>
      </x:c>
      <x:c r="D3659" s="6" t="str">
        <x:v>平</x:v>
      </x:c>
      <x:c r="E3659" s="6" t="str">
        <x:v>hae (A)</x:v>
      </x:c>
      <x:c r="F3659" s="6" t="str">
        <x:v>下平聲六麻</x:v>
      </x:c>
      <x:c r="G3659" s="6" t="str">
        <x:v>Pingshui main list, Wikisource-derived DOCX</x:v>
      </x:c>
      <x:c r="H3659" s="6" t="str">
        <x:v>1</x:v>
      </x:c>
      <x:c r="I3659" s="6" t="str"/>
      <x:c r="J3659" s="6" t="str">
        <x:f>IF(B3659="","",IF(AND(ISNUMBER(SEARCH("平",B3659)),OR(ISNUMBER(SEARCH("上",B3659)),ISNUMBER(SEARCH("去",B3659)),ISNUMBER(SEARCH("入",B3659)))),"Ambiguous",IF(ISNUMBER(SEARCH("平",B3659)),"平","仄")))</x:f>
        <x:v>平</x:v>
      </x:c>
      <x:c r="K3659" s="6" t="str">
        <x:f>IF(D3659="","",IF(AND(ISNUMBER(SEARCH("平",D3659)),OR(ISNUMBER(SEARCH("上",D3659)),ISNUMBER(SEARCH("去",D3659)),ISNUMBER(SEARCH("入",D3659)))),"Ambiguous",IF(ISNUMBER(SEARCH("平",D3659)),"平","仄")))</x:f>
        <x:v>平</x:v>
      </x:c>
      <x:c r="L3659" s="7" t="str"/>
    </x:row>
    <x:row r="3660">
      <x:c r="A3660" s="5" t="str">
        <x:v>蝨</x:v>
      </x:c>
      <x:c r="B3660" s="6" t="str">
        <x:v>入</x:v>
      </x:c>
      <x:c r="C3660" s="6" t="str">
        <x:f>IF(B3660="","Needs decision","Ready")</x:f>
        <x:v>Ready</x:v>
      </x:c>
      <x:c r="D3660" s="6" t="str">
        <x:v>入</x:v>
      </x:c>
      <x:c r="E3660" s="6" t="str">
        <x:v>srit (D)</x:v>
      </x:c>
      <x:c r="F3660" s="6" t="str">
        <x:v>入聲四質</x:v>
      </x:c>
      <x:c r="G3660" s="6" t="str">
        <x:v>Pingshui main list, Wikisource-derived DOCX</x:v>
      </x:c>
      <x:c r="H3660" s="6" t="str">
        <x:v>1</x:v>
      </x:c>
      <x:c r="I3660" s="6" t="str"/>
      <x:c r="J3660" s="6" t="str">
        <x:f>IF(B3660="","",IF(AND(ISNUMBER(SEARCH("平",B3660)),OR(ISNUMBER(SEARCH("上",B3660)),ISNUMBER(SEARCH("去",B3660)),ISNUMBER(SEARCH("入",B3660)))),"Ambiguous",IF(ISNUMBER(SEARCH("平",B3660)),"平","仄")))</x:f>
        <x:v>仄</x:v>
      </x:c>
      <x:c r="K3660" s="6" t="str">
        <x:f>IF(D3660="","",IF(AND(ISNUMBER(SEARCH("平",D3660)),OR(ISNUMBER(SEARCH("上",D3660)),ISNUMBER(SEARCH("去",D3660)),ISNUMBER(SEARCH("入",D3660)))),"Ambiguous",IF(ISNUMBER(SEARCH("平",D3660)),"平","仄")))</x:f>
        <x:v>仄</x:v>
      </x:c>
      <x:c r="L3660" s="7" t="str"/>
    </x:row>
    <x:row r="3661">
      <x:c r="A3661" s="5" t="str">
        <x:v>蝶</x:v>
      </x:c>
      <x:c r="B3661" s="6" t="str">
        <x:v>入</x:v>
      </x:c>
      <x:c r="C3661" s="6" t="str">
        <x:f>IF(B3661="","Needs decision","Ready")</x:f>
        <x:v>Ready</x:v>
      </x:c>
      <x:c r="D3661" s="6" t="str">
        <x:v>入</x:v>
      </x:c>
      <x:c r="E3661" s="6" t="str">
        <x:v>dep (D)</x:v>
      </x:c>
      <x:c r="F3661" s="6" t="str">
        <x:v>入聲十六葉</x:v>
      </x:c>
      <x:c r="G3661" s="6" t="str">
        <x:v>Pingshui main list, Wikisource-derived DOCX</x:v>
      </x:c>
      <x:c r="H3661" s="6" t="str">
        <x:v>1</x:v>
      </x:c>
      <x:c r="I3661" s="6" t="str"/>
      <x:c r="J3661" s="6" t="str">
        <x:f>IF(B3661="","",IF(AND(ISNUMBER(SEARCH("平",B3661)),OR(ISNUMBER(SEARCH("上",B3661)),ISNUMBER(SEARCH("去",B3661)),ISNUMBER(SEARCH("入",B3661)))),"Ambiguous",IF(ISNUMBER(SEARCH("平",B3661)),"平","仄")))</x:f>
        <x:v>仄</x:v>
      </x:c>
      <x:c r="K3661" s="6" t="str">
        <x:f>IF(D3661="","",IF(AND(ISNUMBER(SEARCH("平",D3661)),OR(ISNUMBER(SEARCH("上",D3661)),ISNUMBER(SEARCH("去",D3661)),ISNUMBER(SEARCH("入",D3661)))),"Ambiguous",IF(ISNUMBER(SEARCH("平",D3661)),"平","仄")))</x:f>
        <x:v>仄</x:v>
      </x:c>
      <x:c r="L3661" s="7" t="str"/>
    </x:row>
    <x:row r="3662">
      <x:c r="A3662" s="5" t="str">
        <x:v>蝸</x:v>
      </x:c>
      <x:c r="B3662" s="6" t="str">
        <x:v>平</x:v>
      </x:c>
      <x:c r="C3662" s="6" t="str">
        <x:f>IF(B3662="","Needs decision","Ready")</x:f>
        <x:v>Ready</x:v>
      </x:c>
      <x:c r="D3662" s="6" t="str">
        <x:v>平</x:v>
      </x:c>
      <x:c r="E3662" s="6" t="str">
        <x:v>kwae (A)</x:v>
      </x:c>
      <x:c r="F3662" s="6" t="str">
        <x:v>上平聲九佳; 下平聲六麻</x:v>
      </x:c>
      <x:c r="G3662" s="6" t="str">
        <x:v>Pingshui main list, Wikisource-derived DOCX</x:v>
      </x:c>
      <x:c r="H3662" s="6" t="str">
        <x:v>1</x:v>
      </x:c>
      <x:c r="I3662" s="6" t="str"/>
      <x:c r="J3662" s="6" t="str">
        <x:f>IF(B3662="","",IF(AND(ISNUMBER(SEARCH("平",B3662)),OR(ISNUMBER(SEARCH("上",B3662)),ISNUMBER(SEARCH("去",B3662)),ISNUMBER(SEARCH("入",B3662)))),"Ambiguous",IF(ISNUMBER(SEARCH("平",B3662)),"平","仄")))</x:f>
        <x:v>平</x:v>
      </x:c>
      <x:c r="K3662" s="6" t="str">
        <x:f>IF(D3662="","",IF(AND(ISNUMBER(SEARCH("平",D3662)),OR(ISNUMBER(SEARCH("上",D3662)),ISNUMBER(SEARCH("去",D3662)),ISNUMBER(SEARCH("入",D3662)))),"Ambiguous",IF(ISNUMBER(SEARCH("平",D3662)),"平","仄")))</x:f>
        <x:v>平</x:v>
      </x:c>
      <x:c r="L3662" s="7" t="str"/>
    </x:row>
    <x:row r="3663">
      <x:c r="A3663" s="5" t="str">
        <x:v>融</x:v>
      </x:c>
      <x:c r="B3663" s="6" t="str">
        <x:v>平</x:v>
      </x:c>
      <x:c r="C3663" s="6" t="str">
        <x:f>IF(B3663="","Needs decision","Ready")</x:f>
        <x:v>Ready</x:v>
      </x:c>
      <x:c r="D3663" s="6" t="str">
        <x:v>平</x:v>
      </x:c>
      <x:c r="E3663" s="6" t="str">
        <x:v>yuwng (A)</x:v>
      </x:c>
      <x:c r="F3663" s="6" t="str">
        <x:v>上平聲一東</x:v>
      </x:c>
      <x:c r="G3663" s="6" t="str">
        <x:v>Pingshui main list, Wikisource-derived DOCX</x:v>
      </x:c>
      <x:c r="H3663" s="6" t="str">
        <x:v>1</x:v>
      </x:c>
      <x:c r="I3663" s="6" t="str"/>
      <x:c r="J3663" s="6" t="str">
        <x:f>IF(B3663="","",IF(AND(ISNUMBER(SEARCH("平",B3663)),OR(ISNUMBER(SEARCH("上",B3663)),ISNUMBER(SEARCH("去",B3663)),ISNUMBER(SEARCH("入",B3663)))),"Ambiguous",IF(ISNUMBER(SEARCH("平",B3663)),"平","仄")))</x:f>
        <x:v>平</x:v>
      </x:c>
      <x:c r="K3663" s="6" t="str">
        <x:f>IF(D3663="","",IF(AND(ISNUMBER(SEARCH("平",D3663)),OR(ISNUMBER(SEARCH("上",D3663)),ISNUMBER(SEARCH("去",D3663)),ISNUMBER(SEARCH("入",D3663)))),"Ambiguous",IF(ISNUMBER(SEARCH("平",D3663)),"平","仄")))</x:f>
        <x:v>平</x:v>
      </x:c>
      <x:c r="L3663" s="7" t="str"/>
    </x:row>
    <x:row r="3664">
      <x:c r="A3664" s="5" t="str">
        <x:v>螘</x:v>
      </x:c>
      <x:c r="B3664" s="6" t="str">
        <x:v>上</x:v>
      </x:c>
      <x:c r="C3664" s="6" t="str">
        <x:f>IF(B3664="","Needs decision","Ready")</x:f>
        <x:v>Ready</x:v>
      </x:c>
      <x:c r="D3664" s="6" t="str">
        <x:v>上</x:v>
      </x:c>
      <x:c r="E3664" s="6" t="str">
        <x:v>ngj+jX (B); ngjeX (B)</x:v>
      </x:c>
      <x:c r="F3664" s="6" t="str">
        <x:v>上聲四紙; 上聲五尾</x:v>
      </x:c>
      <x:c r="G3664" s="6" t="str">
        <x:v>Pingshui main list, Wikisource-derived DOCX</x:v>
      </x:c>
      <x:c r="H3664" s="6" t="str">
        <x:v>2</x:v>
      </x:c>
      <x:c r="I3664" s="6" t="str"/>
      <x:c r="J3664" s="6" t="str">
        <x:f>IF(B3664="","",IF(AND(ISNUMBER(SEARCH("平",B3664)),OR(ISNUMBER(SEARCH("上",B3664)),ISNUMBER(SEARCH("去",B3664)),ISNUMBER(SEARCH("入",B3664)))),"Ambiguous",IF(ISNUMBER(SEARCH("平",B3664)),"平","仄")))</x:f>
        <x:v>仄</x:v>
      </x:c>
      <x:c r="K3664" s="6" t="str">
        <x:f>IF(D3664="","",IF(AND(ISNUMBER(SEARCH("平",D3664)),OR(ISNUMBER(SEARCH("上",D3664)),ISNUMBER(SEARCH("去",D3664)),ISNUMBER(SEARCH("入",D3664)))),"Ambiguous",IF(ISNUMBER(SEARCH("平",D3664)),"平","仄")))</x:f>
        <x:v>仄</x:v>
      </x:c>
      <x:c r="L3664" s="7" t="str"/>
    </x:row>
    <x:row r="3665">
      <x:c r="A3665" s="5" t="str">
        <x:v>螢</x:v>
      </x:c>
      <x:c r="B3665" s="6" t="str">
        <x:v>平</x:v>
      </x:c>
      <x:c r="C3665" s="6" t="str">
        <x:f>IF(B3665="","Needs decision","Ready")</x:f>
        <x:v>Ready</x:v>
      </x:c>
      <x:c r="D3665" s="6" t="str">
        <x:v>平</x:v>
      </x:c>
      <x:c r="E3665" s="6" t="str">
        <x:v>hweng (A)</x:v>
      </x:c>
      <x:c r="F3665" s="6" t="str">
        <x:v>下平聲九青</x:v>
      </x:c>
      <x:c r="G3665" s="6" t="str">
        <x:v>Pingshui main list, Wikisource-derived DOCX</x:v>
      </x:c>
      <x:c r="H3665" s="6" t="str">
        <x:v>1</x:v>
      </x:c>
      <x:c r="I3665" s="6" t="str"/>
      <x:c r="J3665" s="6" t="str">
        <x:f>IF(B3665="","",IF(AND(ISNUMBER(SEARCH("平",B3665)),OR(ISNUMBER(SEARCH("上",B3665)),ISNUMBER(SEARCH("去",B3665)),ISNUMBER(SEARCH("入",B3665)))),"Ambiguous",IF(ISNUMBER(SEARCH("平",B3665)),"平","仄")))</x:f>
        <x:v>平</x:v>
      </x:c>
      <x:c r="K3665" s="6" t="str">
        <x:f>IF(D3665="","",IF(AND(ISNUMBER(SEARCH("平",D3665)),OR(ISNUMBER(SEARCH("上",D3665)),ISNUMBER(SEARCH("去",D3665)),ISNUMBER(SEARCH("入",D3665)))),"Ambiguous",IF(ISNUMBER(SEARCH("平",D3665)),"平","仄")))</x:f>
        <x:v>平</x:v>
      </x:c>
      <x:c r="L3665" s="7" t="str"/>
    </x:row>
    <x:row r="3666">
      <x:c r="A3666" s="5" t="str">
        <x:v>螫</x:v>
      </x:c>
      <x:c r="B3666" s="6" t="str">
        <x:v>入</x:v>
      </x:c>
      <x:c r="C3666" s="6" t="str">
        <x:f>IF(B3666="","Needs decision","Ready")</x:f>
        <x:v>Ready</x:v>
      </x:c>
      <x:c r="D3666" s="6" t="str">
        <x:v>入</x:v>
      </x:c>
      <x:c r="E3666" s="6" t="str">
        <x:v>syek (D)</x:v>
      </x:c>
      <x:c r="F3666" s="6" t="str">
        <x:v>入聲十一陌</x:v>
      </x:c>
      <x:c r="G3666" s="6" t="str">
        <x:v>Pingshui main list, Wikisource-derived DOCX</x:v>
      </x:c>
      <x:c r="H3666" s="6" t="str">
        <x:v>1</x:v>
      </x:c>
      <x:c r="I3666" s="6" t="str"/>
      <x:c r="J3666" s="6" t="str">
        <x:f>IF(B3666="","",IF(AND(ISNUMBER(SEARCH("平",B3666)),OR(ISNUMBER(SEARCH("上",B3666)),ISNUMBER(SEARCH("去",B3666)),ISNUMBER(SEARCH("入",B3666)))),"Ambiguous",IF(ISNUMBER(SEARCH("平",B3666)),"平","仄")))</x:f>
        <x:v>仄</x:v>
      </x:c>
      <x:c r="K3666" s="6" t="str">
        <x:f>IF(D3666="","",IF(AND(ISNUMBER(SEARCH("平",D3666)),OR(ISNUMBER(SEARCH("上",D3666)),ISNUMBER(SEARCH("去",D3666)),ISNUMBER(SEARCH("入",D3666)))),"Ambiguous",IF(ISNUMBER(SEARCH("平",D3666)),"平","仄")))</x:f>
        <x:v>仄</x:v>
      </x:c>
      <x:c r="L3666" s="7" t="str"/>
    </x:row>
    <x:row r="3667">
      <x:c r="A3667" s="5" t="str">
        <x:v>螭</x:v>
      </x:c>
      <x:c r="B3667" s="6" t="str">
        <x:v>平</x:v>
      </x:c>
      <x:c r="C3667" s="6" t="str">
        <x:f>IF(B3667="","Needs decision","Ready")</x:f>
        <x:v>Ready</x:v>
      </x:c>
      <x:c r="D3667" s="6" t="str">
        <x:v>平</x:v>
      </x:c>
      <x:c r="E3667" s="6" t="str">
        <x:v>trhje (A)</x:v>
      </x:c>
      <x:c r="F3667" s="6" t="str">
        <x:v>上平聲四支</x:v>
      </x:c>
      <x:c r="G3667" s="6" t="str">
        <x:v>Pingshui main list, Wikisource-derived DOCX</x:v>
      </x:c>
      <x:c r="H3667" s="6" t="str">
        <x:v>1</x:v>
      </x:c>
      <x:c r="I3667" s="6" t="str"/>
      <x:c r="J3667" s="6" t="str">
        <x:f>IF(B3667="","",IF(AND(ISNUMBER(SEARCH("平",B3667)),OR(ISNUMBER(SEARCH("上",B3667)),ISNUMBER(SEARCH("去",B3667)),ISNUMBER(SEARCH("入",B3667)))),"Ambiguous",IF(ISNUMBER(SEARCH("平",B3667)),"平","仄")))</x:f>
        <x:v>平</x:v>
      </x:c>
      <x:c r="K3667" s="6" t="str">
        <x:f>IF(D3667="","",IF(AND(ISNUMBER(SEARCH("平",D3667)),OR(ISNUMBER(SEARCH("上",D3667)),ISNUMBER(SEARCH("去",D3667)),ISNUMBER(SEARCH("入",D3667)))),"Ambiguous",IF(ISNUMBER(SEARCH("平",D3667)),"平","仄")))</x:f>
        <x:v>平</x:v>
      </x:c>
      <x:c r="L3667" s="7" t="str"/>
    </x:row>
    <x:row r="3668">
      <x:c r="A3668" s="5" t="str">
        <x:v>螺</x:v>
      </x:c>
      <x:c r="B3668" s="6" t="str">
        <x:v>平</x:v>
      </x:c>
      <x:c r="C3668" s="6" t="str">
        <x:f>IF(B3668="","Needs decision","Ready")</x:f>
        <x:v>Ready</x:v>
      </x:c>
      <x:c r="D3668" s="6" t="str">
        <x:v>平</x:v>
      </x:c>
      <x:c r="E3668" s="6" t="str">
        <x:v>lwa (A)</x:v>
      </x:c>
      <x:c r="F3668" s="6" t="str">
        <x:v>下平聲五歌</x:v>
      </x:c>
      <x:c r="G3668" s="6" t="str">
        <x:v>Pingshui main list, Wikisource-derived DOCX</x:v>
      </x:c>
      <x:c r="H3668" s="6" t="str">
        <x:v>1</x:v>
      </x:c>
      <x:c r="I3668" s="6" t="str"/>
      <x:c r="J3668" s="6" t="str">
        <x:f>IF(B3668="","",IF(AND(ISNUMBER(SEARCH("平",B3668)),OR(ISNUMBER(SEARCH("上",B3668)),ISNUMBER(SEARCH("去",B3668)),ISNUMBER(SEARCH("入",B3668)))),"Ambiguous",IF(ISNUMBER(SEARCH("平",B3668)),"平","仄")))</x:f>
        <x:v>平</x:v>
      </x:c>
      <x:c r="K3668" s="6" t="str">
        <x:f>IF(D3668="","",IF(AND(ISNUMBER(SEARCH("平",D3668)),OR(ISNUMBER(SEARCH("上",D3668)),ISNUMBER(SEARCH("去",D3668)),ISNUMBER(SEARCH("入",D3668)))),"Ambiguous",IF(ISNUMBER(SEARCH("平",D3668)),"平","仄")))</x:f>
        <x:v>平</x:v>
      </x:c>
      <x:c r="L3668" s="7" t="str"/>
    </x:row>
    <x:row r="3669">
      <x:c r="A3669" s="5" t="str">
        <x:v>螻</x:v>
      </x:c>
      <x:c r="B3669" s="6" t="str">
        <x:v>平</x:v>
      </x:c>
      <x:c r="C3669" s="6" t="str">
        <x:f>IF(B3669="","Needs decision","Ready")</x:f>
        <x:v>Ready</x:v>
      </x:c>
      <x:c r="D3669" s="6" t="str">
        <x:v>平</x:v>
      </x:c>
      <x:c r="E3669" s="6" t="str">
        <x:v>luw [l̙u] (平)</x:v>
      </x:c>
      <x:c r="F3669" s="6" t="str">
        <x:v>下平聲十一尤</x:v>
      </x:c>
      <x:c r="G3669" s="6" t="str">
        <x:v>Pingshui main list, Wikisource-derived DOCX</x:v>
      </x:c>
      <x:c r="H3669" s="6" t="str">
        <x:v>1</x:v>
      </x:c>
      <x:c r="I3669" s="6" t="str">
        <x:v>Tang 300 gap; frequency 1; provisional from Xun Gong</x:v>
      </x:c>
      <x:c r="J3669" s="6" t="str">
        <x:f>IF(B3669="","",IF(AND(ISNUMBER(SEARCH("平",B3669)),OR(ISNUMBER(SEARCH("上",B3669)),ISNUMBER(SEARCH("去",B3669)),ISNUMBER(SEARCH("入",B3669)))),"Ambiguous",IF(ISNUMBER(SEARCH("平",B3669)),"平","仄")))</x:f>
        <x:v>平</x:v>
      </x:c>
      <x:c r="K3669" s="6" t="str">
        <x:f>IF(D3669="","",IF(AND(ISNUMBER(SEARCH("平",D3669)),OR(ISNUMBER(SEARCH("上",D3669)),ISNUMBER(SEARCH("去",D3669)),ISNUMBER(SEARCH("入",D3669)))),"Ambiguous",IF(ISNUMBER(SEARCH("平",D3669)),"平","仄")))</x:f>
        <x:v>平</x:v>
      </x:c>
      <x:c r="L3669" s="7" t="str">
        <x:v>Xun Gong, Tang 300 gap fill</x:v>
      </x:c>
    </x:row>
    <x:row r="3670">
      <x:c r="A3670" s="5" t="str">
        <x:v>螼</x:v>
      </x:c>
      <x:c r="B3670" s="6" t="str"/>
      <x:c r="C3670" s="6" t="str">
        <x:f>IF(B3670="","Needs decision","Ready")</x:f>
        <x:v>Needs decision</x:v>
      </x:c>
      <x:c r="D3670" s="6" t="str">
        <x:v>上/去</x:v>
      </x:c>
      <x:c r="E3670" s="6" t="str">
        <x:v>khinX (B); khinH (C)</x:v>
      </x:c>
      <x:c r="F3670" s="6" t="str"/>
      <x:c r="G3670" s="6" t="str"/>
      <x:c r="H3670" s="6" t="str">
        <x:v>2</x:v>
      </x:c>
      <x:c r="I3670" s="6" t="str"/>
      <x:c r="J3670" s="6" t="str">
        <x:f>IF(B3670="","",IF(AND(ISNUMBER(SEARCH("平",B3670)),OR(ISNUMBER(SEARCH("上",B3670)),ISNUMBER(SEARCH("去",B3670)),ISNUMBER(SEARCH("入",B3670)))),"Ambiguous",IF(ISNUMBER(SEARCH("平",B3670)),"平","仄")))</x:f>
      </x:c>
      <x:c r="K3670" s="6" t="str">
        <x:f>IF(D3670="","",IF(AND(ISNUMBER(SEARCH("平",D3670)),OR(ISNUMBER(SEARCH("上",D3670)),ISNUMBER(SEARCH("去",D3670)),ISNUMBER(SEARCH("入",D3670)))),"Ambiguous",IF(ISNUMBER(SEARCH("平",D3670)),"平","仄")))</x:f>
        <x:v>仄</x:v>
      </x:c>
      <x:c r="L3670" s="7" t="str"/>
    </x:row>
    <x:row r="3671">
      <x:c r="A3671" s="5" t="str">
        <x:v>螽</x:v>
      </x:c>
      <x:c r="B3671" s="6" t="str">
        <x:v>平</x:v>
      </x:c>
      <x:c r="C3671" s="6" t="str">
        <x:f>IF(B3671="","Needs decision","Ready")</x:f>
        <x:v>Ready</x:v>
      </x:c>
      <x:c r="D3671" s="6" t="str">
        <x:v>平</x:v>
      </x:c>
      <x:c r="E3671" s="6" t="str">
        <x:v>tsyuwng (A)</x:v>
      </x:c>
      <x:c r="F3671" s="6" t="str">
        <x:v>上平聲一東</x:v>
      </x:c>
      <x:c r="G3671" s="6" t="str">
        <x:v>Pingshui main list, Wikisource-derived DOCX</x:v>
      </x:c>
      <x:c r="H3671" s="6" t="str">
        <x:v>1</x:v>
      </x:c>
      <x:c r="I3671" s="6" t="str"/>
      <x:c r="J3671" s="6" t="str">
        <x:f>IF(B3671="","",IF(AND(ISNUMBER(SEARCH("平",B3671)),OR(ISNUMBER(SEARCH("上",B3671)),ISNUMBER(SEARCH("去",B3671)),ISNUMBER(SEARCH("入",B3671)))),"Ambiguous",IF(ISNUMBER(SEARCH("平",B3671)),"平","仄")))</x:f>
        <x:v>平</x:v>
      </x:c>
      <x:c r="K3671" s="6" t="str">
        <x:f>IF(D3671="","",IF(AND(ISNUMBER(SEARCH("平",D3671)),OR(ISNUMBER(SEARCH("上",D3671)),ISNUMBER(SEARCH("去",D3671)),ISNUMBER(SEARCH("入",D3671)))),"Ambiguous",IF(ISNUMBER(SEARCH("平",D3671)),"平","仄")))</x:f>
        <x:v>平</x:v>
      </x:c>
      <x:c r="L3671" s="7" t="str"/>
    </x:row>
    <x:row r="3672">
      <x:c r="A3672" s="5" t="str">
        <x:v>螾</x:v>
      </x:c>
      <x:c r="B3672" s="6" t="str">
        <x:v>上</x:v>
      </x:c>
      <x:c r="C3672" s="6" t="str">
        <x:f>IF(B3672="","Needs decision","Ready")</x:f>
        <x:v>Ready</x:v>
      </x:c>
      <x:c r="D3672" s="6" t="str">
        <x:v>上</x:v>
      </x:c>
      <x:c r="E3672" s="6" t="str">
        <x:v>yinX (B)</x:v>
      </x:c>
      <x:c r="F3672" s="6" t="str"/>
      <x:c r="G3672" s="6" t="str"/>
      <x:c r="H3672" s="6" t="str">
        <x:v>1</x:v>
      </x:c>
      <x:c r="I3672" s="6" t="str"/>
      <x:c r="J3672" s="6" t="str">
        <x:f>IF(B3672="","",IF(AND(ISNUMBER(SEARCH("平",B3672)),OR(ISNUMBER(SEARCH("上",B3672)),ISNUMBER(SEARCH("去",B3672)),ISNUMBER(SEARCH("入",B3672)))),"Ambiguous",IF(ISNUMBER(SEARCH("平",B3672)),"平","仄")))</x:f>
        <x:v>仄</x:v>
      </x:c>
      <x:c r="K3672" s="6" t="str">
        <x:f>IF(D3672="","",IF(AND(ISNUMBER(SEARCH("平",D3672)),OR(ISNUMBER(SEARCH("上",D3672)),ISNUMBER(SEARCH("去",D3672)),ISNUMBER(SEARCH("入",D3672)))),"Ambiguous",IF(ISNUMBER(SEARCH("平",D3672)),"平","仄")))</x:f>
        <x:v>仄</x:v>
      </x:c>
      <x:c r="L3672" s="7" t="str"/>
    </x:row>
    <x:row r="3673">
      <x:c r="A3673" s="5" t="str">
        <x:v>蟀</x:v>
      </x:c>
      <x:c r="B3673" s="6" t="str">
        <x:v>入</x:v>
      </x:c>
      <x:c r="C3673" s="6" t="str">
        <x:f>IF(B3673="","Needs decision","Ready")</x:f>
        <x:v>Ready</x:v>
      </x:c>
      <x:c r="D3673" s="6" t="str">
        <x:v>入</x:v>
      </x:c>
      <x:c r="E3673" s="6" t="str">
        <x:v>srwit (D)</x:v>
      </x:c>
      <x:c r="F3673" s="6" t="str">
        <x:v>入聲四質</x:v>
      </x:c>
      <x:c r="G3673" s="6" t="str">
        <x:v>Pingshui main list, Wikisource-derived DOCX</x:v>
      </x:c>
      <x:c r="H3673" s="6" t="str">
        <x:v>1</x:v>
      </x:c>
      <x:c r="I3673" s="6" t="str"/>
      <x:c r="J3673" s="6" t="str">
        <x:f>IF(B3673="","",IF(AND(ISNUMBER(SEARCH("平",B3673)),OR(ISNUMBER(SEARCH("上",B3673)),ISNUMBER(SEARCH("去",B3673)),ISNUMBER(SEARCH("入",B3673)))),"Ambiguous",IF(ISNUMBER(SEARCH("平",B3673)),"平","仄")))</x:f>
        <x:v>仄</x:v>
      </x:c>
      <x:c r="K3673" s="6" t="str">
        <x:f>IF(D3673="","",IF(AND(ISNUMBER(SEARCH("平",D3673)),OR(ISNUMBER(SEARCH("上",D3673)),ISNUMBER(SEARCH("去",D3673)),ISNUMBER(SEARCH("入",D3673)))),"Ambiguous",IF(ISNUMBER(SEARCH("平",D3673)),"平","仄")))</x:f>
        <x:v>仄</x:v>
      </x:c>
      <x:c r="L3673" s="7" t="str"/>
    </x:row>
    <x:row r="3674">
      <x:c r="A3674" s="5" t="str">
        <x:v>蟄</x:v>
      </x:c>
      <x:c r="B3674" s="6" t="str">
        <x:v>入</x:v>
      </x:c>
      <x:c r="C3674" s="6" t="str">
        <x:f>IF(B3674="","Needs decision","Ready")</x:f>
        <x:v>Ready</x:v>
      </x:c>
      <x:c r="D3674" s="6" t="str">
        <x:v>入</x:v>
      </x:c>
      <x:c r="E3674" s="6" t="str">
        <x:v>drip (D)</x:v>
      </x:c>
      <x:c r="F3674" s="6" t="str">
        <x:v>入聲十四緝</x:v>
      </x:c>
      <x:c r="G3674" s="6" t="str">
        <x:v>Pingshui main list, Wikisource-derived DOCX</x:v>
      </x:c>
      <x:c r="H3674" s="6" t="str">
        <x:v>1</x:v>
      </x:c>
      <x:c r="I3674" s="6" t="str"/>
      <x:c r="J3674" s="6" t="str">
        <x:f>IF(B3674="","",IF(AND(ISNUMBER(SEARCH("平",B3674)),OR(ISNUMBER(SEARCH("上",B3674)),ISNUMBER(SEARCH("去",B3674)),ISNUMBER(SEARCH("入",B3674)))),"Ambiguous",IF(ISNUMBER(SEARCH("平",B3674)),"平","仄")))</x:f>
        <x:v>仄</x:v>
      </x:c>
      <x:c r="K3674" s="6" t="str">
        <x:f>IF(D3674="","",IF(AND(ISNUMBER(SEARCH("平",D3674)),OR(ISNUMBER(SEARCH("上",D3674)),ISNUMBER(SEARCH("去",D3674)),ISNUMBER(SEARCH("入",D3674)))),"Ambiguous",IF(ISNUMBER(SEARCH("平",D3674)),"平","仄")))</x:f>
        <x:v>仄</x:v>
      </x:c>
      <x:c r="L3674" s="7" t="str"/>
    </x:row>
    <x:row r="3675">
      <x:c r="A3675" s="5" t="str">
        <x:v>蟆</x:v>
      </x:c>
      <x:c r="B3675" s="6" t="str">
        <x:v>平</x:v>
      </x:c>
      <x:c r="C3675" s="6" t="str">
        <x:f>IF(B3675="","Needs decision","Ready")</x:f>
        <x:v>Ready</x:v>
      </x:c>
      <x:c r="D3675" s="6" t="str">
        <x:v>平</x:v>
      </x:c>
      <x:c r="E3675" s="6" t="str">
        <x:v>mae [m̙aˤ] (平)</x:v>
      </x:c>
      <x:c r="F3675" s="6" t="str">
        <x:v>下平聲六麻</x:v>
      </x:c>
      <x:c r="G3675" s="6" t="str">
        <x:v>Pingshui main list, Wikisource-derived DOCX</x:v>
      </x:c>
      <x:c r="H3675" s="6" t="str">
        <x:v>1</x:v>
      </x:c>
      <x:c r="I3675" s="6" t="str">
        <x:v>Tang 300 gap; frequency 1; provisional from Xun Gong</x:v>
      </x:c>
      <x:c r="J3675" s="6" t="str">
        <x:f>IF(B3675="","",IF(AND(ISNUMBER(SEARCH("平",B3675)),OR(ISNUMBER(SEARCH("上",B3675)),ISNUMBER(SEARCH("去",B3675)),ISNUMBER(SEARCH("入",B3675)))),"Ambiguous",IF(ISNUMBER(SEARCH("平",B3675)),"平","仄")))</x:f>
        <x:v>平</x:v>
      </x:c>
      <x:c r="K3675" s="6" t="str">
        <x:f>IF(D3675="","",IF(AND(ISNUMBER(SEARCH("平",D3675)),OR(ISNUMBER(SEARCH("上",D3675)),ISNUMBER(SEARCH("去",D3675)),ISNUMBER(SEARCH("入",D3675)))),"Ambiguous",IF(ISNUMBER(SEARCH("平",D3675)),"平","仄")))</x:f>
        <x:v>平</x:v>
      </x:c>
      <x:c r="L3675" s="7" t="str">
        <x:v>Xun Gong, Tang 300 gap fill</x:v>
      </x:c>
    </x:row>
    <x:row r="3676">
      <x:c r="A3676" s="5" t="str">
        <x:v>蟋</x:v>
      </x:c>
      <x:c r="B3676" s="6" t="str">
        <x:v>入</x:v>
      </x:c>
      <x:c r="C3676" s="6" t="str">
        <x:f>IF(B3676="","Needs decision","Ready")</x:f>
        <x:v>Ready</x:v>
      </x:c>
      <x:c r="D3676" s="6" t="str">
        <x:v>入</x:v>
      </x:c>
      <x:c r="E3676" s="6" t="str">
        <x:v>srit (D)</x:v>
      </x:c>
      <x:c r="F3676" s="6" t="str"/>
      <x:c r="G3676" s="6" t="str"/>
      <x:c r="H3676" s="6" t="str">
        <x:v>1</x:v>
      </x:c>
      <x:c r="I3676" s="6" t="str"/>
      <x:c r="J3676" s="6" t="str">
        <x:f>IF(B3676="","",IF(AND(ISNUMBER(SEARCH("平",B3676)),OR(ISNUMBER(SEARCH("上",B3676)),ISNUMBER(SEARCH("去",B3676)),ISNUMBER(SEARCH("入",B3676)))),"Ambiguous",IF(ISNUMBER(SEARCH("平",B3676)),"平","仄")))</x:f>
        <x:v>仄</x:v>
      </x:c>
      <x:c r="K3676" s="6" t="str">
        <x:f>IF(D3676="","",IF(AND(ISNUMBER(SEARCH("平",D3676)),OR(ISNUMBER(SEARCH("上",D3676)),ISNUMBER(SEARCH("去",D3676)),ISNUMBER(SEARCH("入",D3676)))),"Ambiguous",IF(ISNUMBER(SEARCH("平",D3676)),"平","仄")))</x:f>
        <x:v>仄</x:v>
      </x:c>
      <x:c r="L3676" s="7" t="str"/>
    </x:row>
    <x:row r="3677">
      <x:c r="A3677" s="5" t="str">
        <x:v>蟠</x:v>
      </x:c>
      <x:c r="B3677" s="6" t="str">
        <x:v>平</x:v>
      </x:c>
      <x:c r="C3677" s="6" t="str">
        <x:f>IF(B3677="","Needs decision","Ready")</x:f>
        <x:v>Ready</x:v>
      </x:c>
      <x:c r="D3677" s="6" t="str">
        <x:v>平</x:v>
      </x:c>
      <x:c r="E3677" s="6" t="str">
        <x:v>ba (A); ban (A)</x:v>
      </x:c>
      <x:c r="F3677" s="6" t="str">
        <x:v>上平聲十四寒</x:v>
      </x:c>
      <x:c r="G3677" s="6" t="str">
        <x:v>Pingshui main list, Wikisource-derived DOCX</x:v>
      </x:c>
      <x:c r="H3677" s="6" t="str">
        <x:v>2</x:v>
      </x:c>
      <x:c r="I3677" s="6" t="str"/>
      <x:c r="J3677" s="6" t="str">
        <x:f>IF(B3677="","",IF(AND(ISNUMBER(SEARCH("平",B3677)),OR(ISNUMBER(SEARCH("上",B3677)),ISNUMBER(SEARCH("去",B3677)),ISNUMBER(SEARCH("入",B3677)))),"Ambiguous",IF(ISNUMBER(SEARCH("平",B3677)),"平","仄")))</x:f>
        <x:v>平</x:v>
      </x:c>
      <x:c r="K3677" s="6" t="str">
        <x:f>IF(D3677="","",IF(AND(ISNUMBER(SEARCH("平",D3677)),OR(ISNUMBER(SEARCH("上",D3677)),ISNUMBER(SEARCH("去",D3677)),ISNUMBER(SEARCH("入",D3677)))),"Ambiguous",IF(ISNUMBER(SEARCH("平",D3677)),"平","仄")))</x:f>
        <x:v>平</x:v>
      </x:c>
      <x:c r="L3677" s="7" t="str"/>
    </x:row>
    <x:row r="3678">
      <x:c r="A3678" s="5" t="str">
        <x:v>蟢</x:v>
      </x:c>
      <x:c r="B3678" s="6" t="str">
        <x:v>上</x:v>
      </x:c>
      <x:c r="C3678" s="6" t="str">
        <x:f>IF(B3678="","Needs decision","Ready")</x:f>
        <x:v>Ready</x:v>
      </x:c>
      <x:c r="D3678" s="6" t="str">
        <x:v>上</x:v>
      </x:c>
      <x:c r="E3678" s="6" t="str">
        <x:v>xiX [xɨʔ] (上)</x:v>
      </x:c>
      <x:c r="F3678" s="6" t="str"/>
      <x:c r="G3678" s="6" t="str"/>
      <x:c r="H3678" s="6" t="str">
        <x:v>1</x:v>
      </x:c>
      <x:c r="I3678" s="6" t="str">
        <x:v>Tang 300 gap; frequency 1; provisional from Xun Gong</x:v>
      </x:c>
      <x:c r="J3678" s="6" t="str">
        <x:f>IF(B3678="","",IF(AND(ISNUMBER(SEARCH("平",B3678)),OR(ISNUMBER(SEARCH("上",B3678)),ISNUMBER(SEARCH("去",B3678)),ISNUMBER(SEARCH("入",B3678)))),"Ambiguous",IF(ISNUMBER(SEARCH("平",B3678)),"平","仄")))</x:f>
        <x:v>仄</x:v>
      </x:c>
      <x:c r="K3678" s="6" t="str">
        <x:f>IF(D3678="","",IF(AND(ISNUMBER(SEARCH("平",D3678)),OR(ISNUMBER(SEARCH("上",D3678)),ISNUMBER(SEARCH("去",D3678)),ISNUMBER(SEARCH("入",D3678)))),"Ambiguous",IF(ISNUMBER(SEARCH("平",D3678)),"平","仄")))</x:f>
        <x:v>仄</x:v>
      </x:c>
      <x:c r="L3678" s="7" t="str">
        <x:v>Xun Gong, Tang 300 gap fill</x:v>
      </x:c>
    </x:row>
    <x:row r="3679">
      <x:c r="A3679" s="5" t="str">
        <x:v>蟣</x:v>
      </x:c>
      <x:c r="B3679" s="6" t="str">
        <x:v>平</x:v>
      </x:c>
      <x:c r="C3679" s="6" t="str">
        <x:f>IF(B3679="","Needs decision","Ready")</x:f>
        <x:v>Ready</x:v>
      </x:c>
      <x:c r="D3679" s="6" t="str">
        <x:v>平</x:v>
      </x:c>
      <x:c r="E3679" s="6" t="str">
        <x:v>gj+j (A)</x:v>
      </x:c>
      <x:c r="F3679" s="6" t="str">
        <x:v>上聲五尾</x:v>
      </x:c>
      <x:c r="G3679" s="6" t="str">
        <x:v>Pingshui main list, Wikisource-derived DOCX</x:v>
      </x:c>
      <x:c r="H3679" s="6" t="str">
        <x:v>1</x:v>
      </x:c>
      <x:c r="I3679" s="6" t="str"/>
      <x:c r="J3679" s="6" t="str">
        <x:f>IF(B3679="","",IF(AND(ISNUMBER(SEARCH("平",B3679)),OR(ISNUMBER(SEARCH("上",B3679)),ISNUMBER(SEARCH("去",B3679)),ISNUMBER(SEARCH("入",B3679)))),"Ambiguous",IF(ISNUMBER(SEARCH("平",B3679)),"平","仄")))</x:f>
        <x:v>平</x:v>
      </x:c>
      <x:c r="K3679" s="6" t="str">
        <x:f>IF(D3679="","",IF(AND(ISNUMBER(SEARCH("平",D3679)),OR(ISNUMBER(SEARCH("上",D3679)),ISNUMBER(SEARCH("去",D3679)),ISNUMBER(SEARCH("入",D3679)))),"Ambiguous",IF(ISNUMBER(SEARCH("平",D3679)),"平","仄")))</x:f>
        <x:v>平</x:v>
      </x:c>
      <x:c r="L3679" s="7" t="str"/>
    </x:row>
    <x:row r="3680">
      <x:c r="A3680" s="5" t="str">
        <x:v>蟬</x:v>
      </x:c>
      <x:c r="B3680" s="6" t="str">
        <x:v>平</x:v>
      </x:c>
      <x:c r="C3680" s="6" t="str">
        <x:f>IF(B3680="","Needs decision","Ready")</x:f>
        <x:v>Ready</x:v>
      </x:c>
      <x:c r="D3680" s="6" t="str">
        <x:v>平</x:v>
      </x:c>
      <x:c r="E3680" s="6" t="str">
        <x:v>dzyen (A)</x:v>
      </x:c>
      <x:c r="F3680" s="6" t="str">
        <x:v>下平聲一先</x:v>
      </x:c>
      <x:c r="G3680" s="6" t="str">
        <x:v>Pingshui main list, Wikisource-derived DOCX</x:v>
      </x:c>
      <x:c r="H3680" s="6" t="str">
        <x:v>1</x:v>
      </x:c>
      <x:c r="I3680" s="6" t="str"/>
      <x:c r="J3680" s="6" t="str">
        <x:f>IF(B3680="","",IF(AND(ISNUMBER(SEARCH("平",B3680)),OR(ISNUMBER(SEARCH("上",B3680)),ISNUMBER(SEARCH("去",B3680)),ISNUMBER(SEARCH("入",B3680)))),"Ambiguous",IF(ISNUMBER(SEARCH("平",B3680)),"平","仄")))</x:f>
        <x:v>平</x:v>
      </x:c>
      <x:c r="K3680" s="6" t="str">
        <x:f>IF(D3680="","",IF(AND(ISNUMBER(SEARCH("平",D3680)),OR(ISNUMBER(SEARCH("上",D3680)),ISNUMBER(SEARCH("去",D3680)),ISNUMBER(SEARCH("入",D3680)))),"Ambiguous",IF(ISNUMBER(SEARCH("平",D3680)),"平","仄")))</x:f>
        <x:v>平</x:v>
      </x:c>
      <x:c r="L3680" s="7" t="str"/>
    </x:row>
    <x:row r="3681">
      <x:c r="A3681" s="5" t="str">
        <x:v>蟲</x:v>
      </x:c>
      <x:c r="B3681" s="6" t="str">
        <x:v>平</x:v>
      </x:c>
      <x:c r="C3681" s="6" t="str">
        <x:f>IF(B3681="","Needs decision","Ready")</x:f>
        <x:v>Ready</x:v>
      </x:c>
      <x:c r="D3681" s="6" t="str">
        <x:v>平</x:v>
      </x:c>
      <x:c r="E3681" s="6" t="str">
        <x:v>drjuwng (A)</x:v>
      </x:c>
      <x:c r="F3681" s="6" t="str">
        <x:v>上平聲一東</x:v>
      </x:c>
      <x:c r="G3681" s="6" t="str">
        <x:v>Pingshui main list, Wikisource-derived DOCX</x:v>
      </x:c>
      <x:c r="H3681" s="6" t="str">
        <x:v>1</x:v>
      </x:c>
      <x:c r="I3681" s="6" t="str"/>
      <x:c r="J3681" s="6" t="str">
        <x:f>IF(B3681="","",IF(AND(ISNUMBER(SEARCH("平",B3681)),OR(ISNUMBER(SEARCH("上",B3681)),ISNUMBER(SEARCH("去",B3681)),ISNUMBER(SEARCH("入",B3681)))),"Ambiguous",IF(ISNUMBER(SEARCH("平",B3681)),"平","仄")))</x:f>
        <x:v>平</x:v>
      </x:c>
      <x:c r="K3681" s="6" t="str">
        <x:f>IF(D3681="","",IF(AND(ISNUMBER(SEARCH("平",D3681)),OR(ISNUMBER(SEARCH("上",D3681)),ISNUMBER(SEARCH("去",D3681)),ISNUMBER(SEARCH("入",D3681)))),"Ambiguous",IF(ISNUMBER(SEARCH("平",D3681)),"平","仄")))</x:f>
        <x:v>平</x:v>
      </x:c>
      <x:c r="L3681" s="7" t="str"/>
    </x:row>
    <x:row r="3682">
      <x:c r="A3682" s="5" t="str">
        <x:v>蟹</x:v>
      </x:c>
      <x:c r="B3682" s="6" t="str">
        <x:v>上</x:v>
      </x:c>
      <x:c r="C3682" s="6" t="str">
        <x:f>IF(B3682="","Needs decision","Ready")</x:f>
        <x:v>Ready</x:v>
      </x:c>
      <x:c r="D3682" s="6" t="str">
        <x:v>上</x:v>
      </x:c>
      <x:c r="E3682" s="6" t="str">
        <x:v>heaX (B)</x:v>
      </x:c>
      <x:c r="F3682" s="6" t="str">
        <x:v>上聲九蟹</x:v>
      </x:c>
      <x:c r="G3682" s="6" t="str">
        <x:v>Pingshui main list, Wikisource-derived DOCX</x:v>
      </x:c>
      <x:c r="H3682" s="6" t="str">
        <x:v>1</x:v>
      </x:c>
      <x:c r="I3682" s="6" t="str"/>
      <x:c r="J3682" s="6" t="str">
        <x:f>IF(B3682="","",IF(AND(ISNUMBER(SEARCH("平",B3682)),OR(ISNUMBER(SEARCH("上",B3682)),ISNUMBER(SEARCH("去",B3682)),ISNUMBER(SEARCH("入",B3682)))),"Ambiguous",IF(ISNUMBER(SEARCH("平",B3682)),"平","仄")))</x:f>
        <x:v>仄</x:v>
      </x:c>
      <x:c r="K3682" s="6" t="str">
        <x:f>IF(D3682="","",IF(AND(ISNUMBER(SEARCH("平",D3682)),OR(ISNUMBER(SEARCH("上",D3682)),ISNUMBER(SEARCH("去",D3682)),ISNUMBER(SEARCH("入",D3682)))),"Ambiguous",IF(ISNUMBER(SEARCH("平",D3682)),"平","仄")))</x:f>
        <x:v>仄</x:v>
      </x:c>
      <x:c r="L3682" s="7" t="str"/>
    </x:row>
    <x:row r="3683">
      <x:c r="A3683" s="5" t="str">
        <x:v>蟻</x:v>
      </x:c>
      <x:c r="B3683" s="6" t="str">
        <x:v>上</x:v>
      </x:c>
      <x:c r="C3683" s="6" t="str">
        <x:f>IF(B3683="","Needs decision","Ready")</x:f>
        <x:v>Ready</x:v>
      </x:c>
      <x:c r="D3683" s="6" t="str">
        <x:v>上</x:v>
      </x:c>
      <x:c r="E3683" s="6" t="str">
        <x:v>ngjeX (B)</x:v>
      </x:c>
      <x:c r="F3683" s="6" t="str"/>
      <x:c r="G3683" s="6" t="str"/>
      <x:c r="H3683" s="6" t="str">
        <x:v>1</x:v>
      </x:c>
      <x:c r="I3683" s="6" t="str"/>
      <x:c r="J3683" s="6" t="str">
        <x:f>IF(B3683="","",IF(AND(ISNUMBER(SEARCH("平",B3683)),OR(ISNUMBER(SEARCH("上",B3683)),ISNUMBER(SEARCH("去",B3683)),ISNUMBER(SEARCH("入",B3683)))),"Ambiguous",IF(ISNUMBER(SEARCH("平",B3683)),"平","仄")))</x:f>
        <x:v>仄</x:v>
      </x:c>
      <x:c r="K3683" s="6" t="str">
        <x:f>IF(D3683="","",IF(AND(ISNUMBER(SEARCH("平",D3683)),OR(ISNUMBER(SEARCH("上",D3683)),ISNUMBER(SEARCH("去",D3683)),ISNUMBER(SEARCH("入",D3683)))),"Ambiguous",IF(ISNUMBER(SEARCH("平",D3683)),"平","仄")))</x:f>
        <x:v>仄</x:v>
      </x:c>
      <x:c r="L3683" s="7" t="str"/>
    </x:row>
    <x:row r="3684">
      <x:c r="A3684" s="5" t="str">
        <x:v>蟾</x:v>
      </x:c>
      <x:c r="B3684" s="6" t="str">
        <x:v>平</x:v>
      </x:c>
      <x:c r="C3684" s="6" t="str">
        <x:f>IF(B3684="","Needs decision","Ready")</x:f>
        <x:v>Ready</x:v>
      </x:c>
      <x:c r="D3684" s="6" t="str">
        <x:v>平</x:v>
      </x:c>
      <x:c r="E3684" s="6" t="str">
        <x:v>dzyem [dʑem] (平); tsyem [tɕem] (平)</x:v>
      </x:c>
      <x:c r="F3684" s="6" t="str">
        <x:v>下平聲十四鹽</x:v>
      </x:c>
      <x:c r="G3684" s="6" t="str">
        <x:v>Pingshui main list, Wikisource-derived DOCX</x:v>
      </x:c>
      <x:c r="H3684" s="6" t="str">
        <x:v>2</x:v>
      </x:c>
      <x:c r="I3684" s="6" t="str">
        <x:v>Tang 300 gap; frequency 1; provisional from Xun Gong</x:v>
      </x:c>
      <x:c r="J3684" s="6" t="str">
        <x:f>IF(B3684="","",IF(AND(ISNUMBER(SEARCH("平",B3684)),OR(ISNUMBER(SEARCH("上",B3684)),ISNUMBER(SEARCH("去",B3684)),ISNUMBER(SEARCH("入",B3684)))),"Ambiguous",IF(ISNUMBER(SEARCH("平",B3684)),"平","仄")))</x:f>
        <x:v>平</x:v>
      </x:c>
      <x:c r="K3684" s="6" t="str">
        <x:f>IF(D3684="","",IF(AND(ISNUMBER(SEARCH("平",D3684)),OR(ISNUMBER(SEARCH("上",D3684)),ISNUMBER(SEARCH("去",D3684)),ISNUMBER(SEARCH("入",D3684)))),"Ambiguous",IF(ISNUMBER(SEARCH("平",D3684)),"平","仄")))</x:f>
        <x:v>平</x:v>
      </x:c>
      <x:c r="L3684" s="7" t="str">
        <x:v>Xun Gong, Tang 300 gap fill</x:v>
      </x:c>
    </x:row>
    <x:row r="3685">
      <x:c r="A3685" s="5" t="str">
        <x:v>蠃</x:v>
      </x:c>
      <x:c r="B3685" s="6" t="str">
        <x:v>上</x:v>
      </x:c>
      <x:c r="C3685" s="6" t="str">
        <x:f>IF(B3685="","Needs decision","Ready")</x:f>
        <x:v>Ready</x:v>
      </x:c>
      <x:c r="D3685" s="6" t="str">
        <x:v>上</x:v>
      </x:c>
      <x:c r="E3685" s="6" t="str">
        <x:v>lwaX (B)</x:v>
      </x:c>
      <x:c r="F3685" s="6" t="str">
        <x:v>上聲二十哿</x:v>
      </x:c>
      <x:c r="G3685" s="6" t="str">
        <x:v>Pingshui main list, Wikisource-derived DOCX</x:v>
      </x:c>
      <x:c r="H3685" s="6" t="str">
        <x:v>1</x:v>
      </x:c>
      <x:c r="I3685" s="6" t="str"/>
      <x:c r="J3685" s="6" t="str">
        <x:f>IF(B3685="","",IF(AND(ISNUMBER(SEARCH("平",B3685)),OR(ISNUMBER(SEARCH("上",B3685)),ISNUMBER(SEARCH("去",B3685)),ISNUMBER(SEARCH("入",B3685)))),"Ambiguous",IF(ISNUMBER(SEARCH("平",B3685)),"平","仄")))</x:f>
        <x:v>仄</x:v>
      </x:c>
      <x:c r="K3685" s="6" t="str">
        <x:f>IF(D3685="","",IF(AND(ISNUMBER(SEARCH("平",D3685)),OR(ISNUMBER(SEARCH("上",D3685)),ISNUMBER(SEARCH("去",D3685)),ISNUMBER(SEARCH("入",D3685)))),"Ambiguous",IF(ISNUMBER(SEARCH("平",D3685)),"平","仄")))</x:f>
        <x:v>仄</x:v>
      </x:c>
      <x:c r="L3685" s="7" t="str"/>
    </x:row>
    <x:row r="3686">
      <x:c r="A3686" s="5" t="str">
        <x:v>蠅</x:v>
      </x:c>
      <x:c r="B3686" s="6" t="str">
        <x:v>平</x:v>
      </x:c>
      <x:c r="C3686" s="6" t="str">
        <x:f>IF(B3686="","Needs decision","Ready")</x:f>
        <x:v>Ready</x:v>
      </x:c>
      <x:c r="D3686" s="6" t="str">
        <x:v>平</x:v>
      </x:c>
      <x:c r="E3686" s="6" t="str">
        <x:v>ying (A)</x:v>
      </x:c>
      <x:c r="F3686" s="6" t="str">
        <x:v>下平聲十蒸</x:v>
      </x:c>
      <x:c r="G3686" s="6" t="str">
        <x:v>Pingshui main list, Wikisource-derived DOCX</x:v>
      </x:c>
      <x:c r="H3686" s="6" t="str">
        <x:v>1</x:v>
      </x:c>
      <x:c r="I3686" s="6" t="str"/>
      <x:c r="J3686" s="6" t="str">
        <x:f>IF(B3686="","",IF(AND(ISNUMBER(SEARCH("平",B3686)),OR(ISNUMBER(SEARCH("上",B3686)),ISNUMBER(SEARCH("去",B3686)),ISNUMBER(SEARCH("入",B3686)))),"Ambiguous",IF(ISNUMBER(SEARCH("平",B3686)),"平","仄")))</x:f>
        <x:v>平</x:v>
      </x:c>
      <x:c r="K3686" s="6" t="str">
        <x:f>IF(D3686="","",IF(AND(ISNUMBER(SEARCH("平",D3686)),OR(ISNUMBER(SEARCH("上",D3686)),ISNUMBER(SEARCH("去",D3686)),ISNUMBER(SEARCH("入",D3686)))),"Ambiguous",IF(ISNUMBER(SEARCH("平",D3686)),"平","仄")))</x:f>
        <x:v>平</x:v>
      </x:c>
      <x:c r="L3686" s="7" t="str"/>
    </x:row>
    <x:row r="3687">
      <x:c r="A3687" s="5" t="str">
        <x:v>蠆</x:v>
      </x:c>
      <x:c r="B3687" s="6" t="str">
        <x:v>去</x:v>
      </x:c>
      <x:c r="C3687" s="6" t="str">
        <x:f>IF(B3687="","Needs decision","Ready")</x:f>
        <x:v>Ready</x:v>
      </x:c>
      <x:c r="D3687" s="6" t="str">
        <x:v>去</x:v>
      </x:c>
      <x:c r="E3687" s="6" t="str">
        <x:v>trhaejH (C)</x:v>
      </x:c>
      <x:c r="F3687" s="6" t="str">
        <x:v>去聲十卦</x:v>
      </x:c>
      <x:c r="G3687" s="6" t="str">
        <x:v>Pingshui main list, Wikisource-derived DOCX</x:v>
      </x:c>
      <x:c r="H3687" s="6" t="str">
        <x:v>1</x:v>
      </x:c>
      <x:c r="I3687" s="6" t="str"/>
      <x:c r="J3687" s="6" t="str">
        <x:f>IF(B3687="","",IF(AND(ISNUMBER(SEARCH("平",B3687)),OR(ISNUMBER(SEARCH("上",B3687)),ISNUMBER(SEARCH("去",B3687)),ISNUMBER(SEARCH("入",B3687)))),"Ambiguous",IF(ISNUMBER(SEARCH("平",B3687)),"平","仄")))</x:f>
        <x:v>仄</x:v>
      </x:c>
      <x:c r="K3687" s="6" t="str">
        <x:f>IF(D3687="","",IF(AND(ISNUMBER(SEARCH("平",D3687)),OR(ISNUMBER(SEARCH("上",D3687)),ISNUMBER(SEARCH("去",D3687)),ISNUMBER(SEARCH("入",D3687)))),"Ambiguous",IF(ISNUMBER(SEARCH("平",D3687)),"平","仄")))</x:f>
        <x:v>仄</x:v>
      </x:c>
      <x:c r="L3687" s="7" t="str"/>
    </x:row>
    <x:row r="3688">
      <x:c r="A3688" s="5" t="str">
        <x:v>蠟</x:v>
      </x:c>
      <x:c r="B3688" s="6" t="str">
        <x:v>入</x:v>
      </x:c>
      <x:c r="C3688" s="6" t="str">
        <x:f>IF(B3688="","Needs decision","Ready")</x:f>
        <x:v>Ready</x:v>
      </x:c>
      <x:c r="D3688" s="6" t="str">
        <x:v>入</x:v>
      </x:c>
      <x:c r="E3688" s="6" t="str">
        <x:v>lap (D)</x:v>
      </x:c>
      <x:c r="F3688" s="6" t="str">
        <x:v>去聲二十二禡; 入聲十五合</x:v>
      </x:c>
      <x:c r="G3688" s="6" t="str">
        <x:v>Pingshui main list, Wikisource-derived DOCX</x:v>
      </x:c>
      <x:c r="H3688" s="6" t="str">
        <x:v>1</x:v>
      </x:c>
      <x:c r="I3688" s="6" t="str"/>
      <x:c r="J3688" s="6" t="str">
        <x:f>IF(B3688="","",IF(AND(ISNUMBER(SEARCH("平",B3688)),OR(ISNUMBER(SEARCH("上",B3688)),ISNUMBER(SEARCH("去",B3688)),ISNUMBER(SEARCH("入",B3688)))),"Ambiguous",IF(ISNUMBER(SEARCH("平",B3688)),"平","仄")))</x:f>
        <x:v>仄</x:v>
      </x:c>
      <x:c r="K3688" s="6" t="str">
        <x:f>IF(D3688="","",IF(AND(ISNUMBER(SEARCH("平",D3688)),OR(ISNUMBER(SEARCH("上",D3688)),ISNUMBER(SEARCH("去",D3688)),ISNUMBER(SEARCH("入",D3688)))),"Ambiguous",IF(ISNUMBER(SEARCH("平",D3688)),"平","仄")))</x:f>
        <x:v>仄</x:v>
      </x:c>
      <x:c r="L3688" s="7" t="str"/>
    </x:row>
    <x:row r="3689">
      <x:c r="A3689" s="5" t="str">
        <x:v>蠡</x:v>
      </x:c>
      <x:c r="B3689" s="6" t="str"/>
      <x:c r="C3689" s="6" t="str">
        <x:f>IF(B3689="","Needs decision","Ready")</x:f>
        <x:v>Needs decision</x:v>
      </x:c>
      <x:c r="D3689" s="6" t="str">
        <x:v>平/上</x:v>
      </x:c>
      <x:c r="E3689" s="6" t="str">
        <x:v>lejX [l̙ejʔ] (上); lje [lie] (平); lwa [l̙wɑ] (平)</x:v>
      </x:c>
      <x:c r="F3689" s="6" t="str">
        <x:v>上平聲四支; 上平聲八齊; 上聲八薺</x:v>
      </x:c>
      <x:c r="G3689" s="6" t="str">
        <x:v>Pingshui main list, Wikisource-derived DOCX</x:v>
      </x:c>
      <x:c r="H3689" s="6" t="str">
        <x:v>3</x:v>
      </x:c>
      <x:c r="I3689" s="6" t="str">
        <x:v>Tang 300 gap; frequency 1; ambiguous in Xun Gong</x:v>
      </x:c>
      <x:c r="J3689" s="6" t="str">
        <x:f>IF(B3689="","",IF(AND(ISNUMBER(SEARCH("平",B3689)),OR(ISNUMBER(SEARCH("上",B3689)),ISNUMBER(SEARCH("去",B3689)),ISNUMBER(SEARCH("入",B3689)))),"Ambiguous",IF(ISNUMBER(SEARCH("平",B3689)),"平","仄")))</x:f>
      </x:c>
      <x:c r="K3689" s="6" t="str">
        <x:f>IF(D3689="","",IF(AND(ISNUMBER(SEARCH("平",D3689)),OR(ISNUMBER(SEARCH("上",D3689)),ISNUMBER(SEARCH("去",D3689)),ISNUMBER(SEARCH("入",D3689)))),"Ambiguous",IF(ISNUMBER(SEARCH("平",D3689)),"平","仄")))</x:f>
        <x:v>Ambiguous</x:v>
      </x:c>
      <x:c r="L3689" s="7" t="str">
        <x:v>Xun Gong, Tang 300 gap fill</x:v>
      </x:c>
    </x:row>
    <x:row r="3690">
      <x:c r="A3690" s="5" t="str">
        <x:v>蠣</x:v>
      </x:c>
      <x:c r="B3690" s="6" t="str">
        <x:v>去</x:v>
      </x:c>
      <x:c r="C3690" s="6" t="str">
        <x:f>IF(B3690="","Needs decision","Ready")</x:f>
        <x:v>Ready</x:v>
      </x:c>
      <x:c r="D3690" s="6" t="str">
        <x:v>去</x:v>
      </x:c>
      <x:c r="E3690" s="6" t="str">
        <x:v>ljejH (C)</x:v>
      </x:c>
      <x:c r="F3690" s="6" t="str">
        <x:v>去聲八霽</x:v>
      </x:c>
      <x:c r="G3690" s="6" t="str">
        <x:v>Pingshui main list, Wikisource-derived DOCX</x:v>
      </x:c>
      <x:c r="H3690" s="6" t="str">
        <x:v>1</x:v>
      </x:c>
      <x:c r="I3690" s="6" t="str"/>
      <x:c r="J3690" s="6" t="str">
        <x:f>IF(B3690="","",IF(AND(ISNUMBER(SEARCH("平",B3690)),OR(ISNUMBER(SEARCH("上",B3690)),ISNUMBER(SEARCH("去",B3690)),ISNUMBER(SEARCH("入",B3690)))),"Ambiguous",IF(ISNUMBER(SEARCH("平",B3690)),"平","仄")))</x:f>
        <x:v>仄</x:v>
      </x:c>
      <x:c r="K3690" s="6" t="str">
        <x:f>IF(D3690="","",IF(AND(ISNUMBER(SEARCH("平",D3690)),OR(ISNUMBER(SEARCH("上",D3690)),ISNUMBER(SEARCH("去",D3690)),ISNUMBER(SEARCH("入",D3690)))),"Ambiguous",IF(ISNUMBER(SEARCH("平",D3690)),"平","仄")))</x:f>
        <x:v>仄</x:v>
      </x:c>
      <x:c r="L3690" s="7" t="str"/>
    </x:row>
    <x:row r="3691">
      <x:c r="A3691" s="5" t="str">
        <x:v>蠱</x:v>
      </x:c>
      <x:c r="B3691" s="6" t="str">
        <x:v>上</x:v>
      </x:c>
      <x:c r="C3691" s="6" t="str">
        <x:f>IF(B3691="","Needs decision","Ready")</x:f>
        <x:v>Ready</x:v>
      </x:c>
      <x:c r="D3691" s="6" t="str">
        <x:v>上</x:v>
      </x:c>
      <x:c r="E3691" s="6" t="str">
        <x:v>kuX (B)</x:v>
      </x:c>
      <x:c r="F3691" s="6" t="str">
        <x:v>上聲七麌</x:v>
      </x:c>
      <x:c r="G3691" s="6" t="str">
        <x:v>Pingshui main list, Wikisource-derived DOCX</x:v>
      </x:c>
      <x:c r="H3691" s="6" t="str">
        <x:v>1</x:v>
      </x:c>
      <x:c r="I3691" s="6" t="str"/>
      <x:c r="J3691" s="6" t="str">
        <x:f>IF(B3691="","",IF(AND(ISNUMBER(SEARCH("平",B3691)),OR(ISNUMBER(SEARCH("上",B3691)),ISNUMBER(SEARCH("去",B3691)),ISNUMBER(SEARCH("入",B3691)))),"Ambiguous",IF(ISNUMBER(SEARCH("平",B3691)),"平","仄")))</x:f>
        <x:v>仄</x:v>
      </x:c>
      <x:c r="K3691" s="6" t="str">
        <x:f>IF(D3691="","",IF(AND(ISNUMBER(SEARCH("平",D3691)),OR(ISNUMBER(SEARCH("上",D3691)),ISNUMBER(SEARCH("去",D3691)),ISNUMBER(SEARCH("入",D3691)))),"Ambiguous",IF(ISNUMBER(SEARCH("平",D3691)),"平","仄")))</x:f>
        <x:v>仄</x:v>
      </x:c>
      <x:c r="L3691" s="7" t="str"/>
    </x:row>
    <x:row r="3692">
      <x:c r="A3692" s="5" t="str">
        <x:v>蠶</x:v>
      </x:c>
      <x:c r="B3692" s="6" t="str">
        <x:v>平</x:v>
      </x:c>
      <x:c r="C3692" s="6" t="str">
        <x:f>IF(B3692="","Needs decision","Ready")</x:f>
        <x:v>Ready</x:v>
      </x:c>
      <x:c r="D3692" s="6" t="str">
        <x:v>平</x:v>
      </x:c>
      <x:c r="E3692" s="6" t="str">
        <x:v>dzom (A)</x:v>
      </x:c>
      <x:c r="F3692" s="6" t="str">
        <x:v>下平聲十三覃</x:v>
      </x:c>
      <x:c r="G3692" s="6" t="str">
        <x:v>Pingshui main list, Wikisource-derived DOCX</x:v>
      </x:c>
      <x:c r="H3692" s="6" t="str">
        <x:v>1</x:v>
      </x:c>
      <x:c r="I3692" s="6" t="str"/>
      <x:c r="J3692" s="6" t="str">
        <x:f>IF(B3692="","",IF(AND(ISNUMBER(SEARCH("平",B3692)),OR(ISNUMBER(SEARCH("上",B3692)),ISNUMBER(SEARCH("去",B3692)),ISNUMBER(SEARCH("入",B3692)))),"Ambiguous",IF(ISNUMBER(SEARCH("平",B3692)),"平","仄")))</x:f>
        <x:v>平</x:v>
      </x:c>
      <x:c r="K3692" s="6" t="str">
        <x:f>IF(D3692="","",IF(AND(ISNUMBER(SEARCH("平",D3692)),OR(ISNUMBER(SEARCH("上",D3692)),ISNUMBER(SEARCH("去",D3692)),ISNUMBER(SEARCH("入",D3692)))),"Ambiguous",IF(ISNUMBER(SEARCH("平",D3692)),"平","仄")))</x:f>
        <x:v>平</x:v>
      </x:c>
      <x:c r="L3692" s="7" t="str"/>
    </x:row>
    <x:row r="3693">
      <x:c r="A3693" s="5" t="str">
        <x:v>蠹</x:v>
      </x:c>
      <x:c r="B3693" s="6" t="str">
        <x:v>去</x:v>
      </x:c>
      <x:c r="C3693" s="6" t="str">
        <x:f>IF(B3693="","Needs decision","Ready")</x:f>
        <x:v>Ready</x:v>
      </x:c>
      <x:c r="D3693" s="6" t="str">
        <x:v>去</x:v>
      </x:c>
      <x:c r="E3693" s="6" t="str">
        <x:v>tuH (C)</x:v>
      </x:c>
      <x:c r="F3693" s="6" t="str">
        <x:v>去聲七遇</x:v>
      </x:c>
      <x:c r="G3693" s="6" t="str">
        <x:v>Pingshui main list, Wikisource-derived DOCX</x:v>
      </x:c>
      <x:c r="H3693" s="6" t="str">
        <x:v>1</x:v>
      </x:c>
      <x:c r="I3693" s="6" t="str"/>
      <x:c r="J3693" s="6" t="str">
        <x:f>IF(B3693="","",IF(AND(ISNUMBER(SEARCH("平",B3693)),OR(ISNUMBER(SEARCH("上",B3693)),ISNUMBER(SEARCH("去",B3693)),ISNUMBER(SEARCH("入",B3693)))),"Ambiguous",IF(ISNUMBER(SEARCH("平",B3693)),"平","仄")))</x:f>
        <x:v>仄</x:v>
      </x:c>
      <x:c r="K3693" s="6" t="str">
        <x:f>IF(D3693="","",IF(AND(ISNUMBER(SEARCH("平",D3693)),OR(ISNUMBER(SEARCH("上",D3693)),ISNUMBER(SEARCH("去",D3693)),ISNUMBER(SEARCH("入",D3693)))),"Ambiguous",IF(ISNUMBER(SEARCH("平",D3693)),"平","仄")))</x:f>
        <x:v>仄</x:v>
      </x:c>
      <x:c r="L3693" s="7" t="str"/>
    </x:row>
    <x:row r="3694">
      <x:c r="A3694" s="5" t="str">
        <x:v>蠻</x:v>
      </x:c>
      <x:c r="B3694" s="6" t="str">
        <x:v>平</x:v>
      </x:c>
      <x:c r="C3694" s="6" t="str">
        <x:f>IF(B3694="","Needs decision","Ready")</x:f>
        <x:v>Ready</x:v>
      </x:c>
      <x:c r="D3694" s="6" t="str">
        <x:v>平</x:v>
      </x:c>
      <x:c r="E3694" s="6" t="str">
        <x:v>maen (A)</x:v>
      </x:c>
      <x:c r="F3694" s="6" t="str">
        <x:v>上平聲十五刪</x:v>
      </x:c>
      <x:c r="G3694" s="6" t="str">
        <x:v>Pingshui main list, Wikisource-derived DOCX</x:v>
      </x:c>
      <x:c r="H3694" s="6" t="str">
        <x:v>1</x:v>
      </x:c>
      <x:c r="I3694" s="6" t="str"/>
      <x:c r="J3694" s="6" t="str">
        <x:f>IF(B3694="","",IF(AND(ISNUMBER(SEARCH("平",B3694)),OR(ISNUMBER(SEARCH("上",B3694)),ISNUMBER(SEARCH("去",B3694)),ISNUMBER(SEARCH("入",B3694)))),"Ambiguous",IF(ISNUMBER(SEARCH("平",B3694)),"平","仄")))</x:f>
        <x:v>平</x:v>
      </x:c>
      <x:c r="K3694" s="6" t="str">
        <x:f>IF(D3694="","",IF(AND(ISNUMBER(SEARCH("平",D3694)),OR(ISNUMBER(SEARCH("上",D3694)),ISNUMBER(SEARCH("去",D3694)),ISNUMBER(SEARCH("入",D3694)))),"Ambiguous",IF(ISNUMBER(SEARCH("平",D3694)),"平","仄")))</x:f>
        <x:v>平</x:v>
      </x:c>
      <x:c r="L3694" s="7" t="str"/>
    </x:row>
    <x:row r="3695">
      <x:c r="A3695" s="5" t="str">
        <x:v>血</x:v>
      </x:c>
      <x:c r="B3695" s="6" t="str">
        <x:v>入</x:v>
      </x:c>
      <x:c r="C3695" s="6" t="str">
        <x:f>IF(B3695="","Needs decision","Ready")</x:f>
        <x:v>Ready</x:v>
      </x:c>
      <x:c r="D3695" s="6" t="str">
        <x:v>入</x:v>
      </x:c>
      <x:c r="E3695" s="6" t="str">
        <x:v>xwet (D)</x:v>
      </x:c>
      <x:c r="F3695" s="6" t="str">
        <x:v>入聲九屑</x:v>
      </x:c>
      <x:c r="G3695" s="6" t="str">
        <x:v>Pingshui main list, Wikisource-derived DOCX</x:v>
      </x:c>
      <x:c r="H3695" s="6" t="str">
        <x:v>1</x:v>
      </x:c>
      <x:c r="I3695" s="6" t="str"/>
      <x:c r="J3695" s="6" t="str">
        <x:f>IF(B3695="","",IF(AND(ISNUMBER(SEARCH("平",B3695)),OR(ISNUMBER(SEARCH("上",B3695)),ISNUMBER(SEARCH("去",B3695)),ISNUMBER(SEARCH("入",B3695)))),"Ambiguous",IF(ISNUMBER(SEARCH("平",B3695)),"平","仄")))</x:f>
        <x:v>仄</x:v>
      </x:c>
      <x:c r="K3695" s="6" t="str">
        <x:f>IF(D3695="","",IF(AND(ISNUMBER(SEARCH("平",D3695)),OR(ISNUMBER(SEARCH("上",D3695)),ISNUMBER(SEARCH("去",D3695)),ISNUMBER(SEARCH("入",D3695)))),"Ambiguous",IF(ISNUMBER(SEARCH("平",D3695)),"平","仄")))</x:f>
        <x:v>仄</x:v>
      </x:c>
      <x:c r="L3695" s="7" t="str"/>
    </x:row>
    <x:row r="3696">
      <x:c r="A3696" s="5" t="str">
        <x:v>衁</x:v>
      </x:c>
      <x:c r="B3696" s="6" t="str">
        <x:v>平</x:v>
      </x:c>
      <x:c r="C3696" s="6" t="str">
        <x:f>IF(B3696="","Needs decision","Ready")</x:f>
        <x:v>Ready</x:v>
      </x:c>
      <x:c r="D3696" s="6" t="str">
        <x:v>平</x:v>
      </x:c>
      <x:c r="E3696" s="6" t="str">
        <x:v>xwang (A)</x:v>
      </x:c>
      <x:c r="F3696" s="6" t="str"/>
      <x:c r="G3696" s="6" t="str"/>
      <x:c r="H3696" s="6" t="str">
        <x:v>1</x:v>
      </x:c>
      <x:c r="I3696" s="6" t="str"/>
      <x:c r="J3696" s="6" t="str">
        <x:f>IF(B3696="","",IF(AND(ISNUMBER(SEARCH("平",B3696)),OR(ISNUMBER(SEARCH("上",B3696)),ISNUMBER(SEARCH("去",B3696)),ISNUMBER(SEARCH("入",B3696)))),"Ambiguous",IF(ISNUMBER(SEARCH("平",B3696)),"平","仄")))</x:f>
        <x:v>平</x:v>
      </x:c>
      <x:c r="K3696" s="6" t="str">
        <x:f>IF(D3696="","",IF(AND(ISNUMBER(SEARCH("平",D3696)),OR(ISNUMBER(SEARCH("上",D3696)),ISNUMBER(SEARCH("去",D3696)),ISNUMBER(SEARCH("入",D3696)))),"Ambiguous",IF(ISNUMBER(SEARCH("平",D3696)),"平","仄")))</x:f>
        <x:v>平</x:v>
      </x:c>
      <x:c r="L3696" s="7" t="str"/>
    </x:row>
    <x:row r="3697">
      <x:c r="A3697" s="5" t="str">
        <x:v>衅</x:v>
      </x:c>
      <x:c r="B3697" s="6" t="str">
        <x:v>去</x:v>
      </x:c>
      <x:c r="C3697" s="6" t="str">
        <x:f>IF(B3697="","Needs decision","Ready")</x:f>
        <x:v>Ready</x:v>
      </x:c>
      <x:c r="D3697" s="6" t="str">
        <x:v>去</x:v>
      </x:c>
      <x:c r="E3697" s="6" t="str">
        <x:v>xinH (C)</x:v>
      </x:c>
      <x:c r="F3697" s="6" t="str"/>
      <x:c r="G3697" s="6" t="str"/>
      <x:c r="H3697" s="6" t="str">
        <x:v>1</x:v>
      </x:c>
      <x:c r="I3697" s="6" t="str"/>
      <x:c r="J3697" s="6" t="str">
        <x:f>IF(B3697="","",IF(AND(ISNUMBER(SEARCH("平",B3697)),OR(ISNUMBER(SEARCH("上",B3697)),ISNUMBER(SEARCH("去",B3697)),ISNUMBER(SEARCH("入",B3697)))),"Ambiguous",IF(ISNUMBER(SEARCH("平",B3697)),"平","仄")))</x:f>
        <x:v>仄</x:v>
      </x:c>
      <x:c r="K3697" s="6" t="str">
        <x:f>IF(D3697="","",IF(AND(ISNUMBER(SEARCH("平",D3697)),OR(ISNUMBER(SEARCH("上",D3697)),ISNUMBER(SEARCH("去",D3697)),ISNUMBER(SEARCH("入",D3697)))),"Ambiguous",IF(ISNUMBER(SEARCH("平",D3697)),"平","仄")))</x:f>
        <x:v>仄</x:v>
      </x:c>
      <x:c r="L3697" s="7" t="str"/>
    </x:row>
    <x:row r="3698">
      <x:c r="A3698" s="5" t="str">
        <x:v>行</x:v>
      </x:c>
      <x:c r="B3698" s="6" t="str">
        <x:v>平</x:v>
      </x:c>
      <x:c r="C3698" s="6" t="str">
        <x:f>IF(B3698="","Needs decision","Ready")</x:f>
        <x:v>Ready</x:v>
      </x:c>
      <x:c r="D3698" s="6" t="str">
        <x:v>平/去</x:v>
      </x:c>
      <x:c r="E3698" s="6" t="str">
        <x:v>hang (A); haeng (A); haengH (C)</x:v>
      </x:c>
      <x:c r="F3698" s="6" t="str">
        <x:v>下平聲七陽; 下平聲八庚; 去聲二十三漾; 去聲二十四敬</x:v>
      </x:c>
      <x:c r="G3698" s="6" t="str">
        <x:v>Pingshui main list, Wikisource-derived DOCX</x:v>
      </x:c>
      <x:c r="H3698" s="6" t="str">
        <x:v>3</x:v>
      </x:c>
      <x:c r="I3698" s="6" t="str">
        <x:v>User workbook edit 2026-09-03</x:v>
      </x:c>
      <x:c r="J3698" s="6" t="str">
        <x:f>IF(B3698="","",IF(AND(ISNUMBER(SEARCH("平",B3698)),OR(ISNUMBER(SEARCH("上",B3698)),ISNUMBER(SEARCH("去",B3698)),ISNUMBER(SEARCH("入",B3698)))),"Ambiguous",IF(ISNUMBER(SEARCH("平",B3698)),"平","仄")))</x:f>
        <x:v>平</x:v>
      </x:c>
      <x:c r="K3698" s="6" t="str">
        <x:f>IF(D3698="","",IF(AND(ISNUMBER(SEARCH("平",D3698)),OR(ISNUMBER(SEARCH("上",D3698)),ISNUMBER(SEARCH("去",D3698)),ISNUMBER(SEARCH("入",D3698)))),"Ambiguous",IF(ISNUMBER(SEARCH("平",D3698)),"平","仄")))</x:f>
        <x:v>Ambiguous</x:v>
      </x:c>
      <x:c r="L3698" s="7" t="str">
        <x:v>manual user correction</x:v>
      </x:c>
    </x:row>
    <x:row r="3699">
      <x:c r="A3699" s="5" t="str">
        <x:v>衍</x:v>
      </x:c>
      <x:c r="B3699" s="6" t="str">
        <x:v>上</x:v>
      </x:c>
      <x:c r="C3699" s="6" t="str">
        <x:f>IF(B3699="","Needs decision","Ready")</x:f>
        <x:v>Ready</x:v>
      </x:c>
      <x:c r="D3699" s="6" t="str">
        <x:v>上</x:v>
      </x:c>
      <x:c r="E3699" s="6" t="str">
        <x:v>yenX (B)</x:v>
      </x:c>
      <x:c r="F3699" s="6" t="str">
        <x:v>上聲十六銑; 去聲十七霰</x:v>
      </x:c>
      <x:c r="G3699" s="6" t="str">
        <x:v>Pingshui main list, Wikisource-derived DOCX</x:v>
      </x:c>
      <x:c r="H3699" s="6" t="str">
        <x:v>1</x:v>
      </x:c>
      <x:c r="I3699" s="6" t="str"/>
      <x:c r="J3699" s="6" t="str">
        <x:f>IF(B3699="","",IF(AND(ISNUMBER(SEARCH("平",B3699)),OR(ISNUMBER(SEARCH("上",B3699)),ISNUMBER(SEARCH("去",B3699)),ISNUMBER(SEARCH("入",B3699)))),"Ambiguous",IF(ISNUMBER(SEARCH("平",B3699)),"平","仄")))</x:f>
        <x:v>仄</x:v>
      </x:c>
      <x:c r="K3699" s="6" t="str">
        <x:f>IF(D3699="","",IF(AND(ISNUMBER(SEARCH("平",D3699)),OR(ISNUMBER(SEARCH("上",D3699)),ISNUMBER(SEARCH("去",D3699)),ISNUMBER(SEARCH("入",D3699)))),"Ambiguous",IF(ISNUMBER(SEARCH("平",D3699)),"平","仄")))</x:f>
        <x:v>仄</x:v>
      </x:c>
      <x:c r="L3699" s="7" t="str"/>
    </x:row>
    <x:row r="3700">
      <x:c r="A3700" s="5" t="str">
        <x:v>術</x:v>
      </x:c>
      <x:c r="B3700" s="6" t="str">
        <x:v>入</x:v>
      </x:c>
      <x:c r="C3700" s="6" t="str">
        <x:f>IF(B3700="","Needs decision","Ready")</x:f>
        <x:v>Ready</x:v>
      </x:c>
      <x:c r="D3700" s="6" t="str">
        <x:v>入</x:v>
      </x:c>
      <x:c r="E3700" s="6" t="str">
        <x:v>zywit (D)</x:v>
      </x:c>
      <x:c r="F3700" s="6" t="str">
        <x:v>去聲四寘; 入聲四質</x:v>
      </x:c>
      <x:c r="G3700" s="6" t="str">
        <x:v>Pingshui main list, Wikisource-derived DOCX</x:v>
      </x:c>
      <x:c r="H3700" s="6" t="str">
        <x:v>1</x:v>
      </x:c>
      <x:c r="I3700" s="6" t="str"/>
      <x:c r="J3700" s="6" t="str">
        <x:f>IF(B3700="","",IF(AND(ISNUMBER(SEARCH("平",B3700)),OR(ISNUMBER(SEARCH("上",B3700)),ISNUMBER(SEARCH("去",B3700)),ISNUMBER(SEARCH("入",B3700)))),"Ambiguous",IF(ISNUMBER(SEARCH("平",B3700)),"平","仄")))</x:f>
        <x:v>仄</x:v>
      </x:c>
      <x:c r="K3700" s="6" t="str">
        <x:f>IF(D3700="","",IF(AND(ISNUMBER(SEARCH("平",D3700)),OR(ISNUMBER(SEARCH("上",D3700)),ISNUMBER(SEARCH("去",D3700)),ISNUMBER(SEARCH("入",D3700)))),"Ambiguous",IF(ISNUMBER(SEARCH("平",D3700)),"平","仄")))</x:f>
        <x:v>仄</x:v>
      </x:c>
      <x:c r="L3700" s="7" t="str"/>
    </x:row>
    <x:row r="3701">
      <x:c r="A3701" s="5" t="str">
        <x:v>街</x:v>
      </x:c>
      <x:c r="B3701" s="6" t="str">
        <x:v>平</x:v>
      </x:c>
      <x:c r="C3701" s="6" t="str">
        <x:f>IF(B3701="","Needs decision","Ready")</x:f>
        <x:v>Ready</x:v>
      </x:c>
      <x:c r="D3701" s="6" t="str">
        <x:v>平</x:v>
      </x:c>
      <x:c r="E3701" s="6" t="str">
        <x:v>kea (A)</x:v>
      </x:c>
      <x:c r="F3701" s="6" t="str">
        <x:v>上平聲九佳</x:v>
      </x:c>
      <x:c r="G3701" s="6" t="str">
        <x:v>Pingshui main list, Wikisource-derived DOCX</x:v>
      </x:c>
      <x:c r="H3701" s="6" t="str">
        <x:v>1</x:v>
      </x:c>
      <x:c r="I3701" s="6" t="str"/>
      <x:c r="J3701" s="6" t="str">
        <x:f>IF(B3701="","",IF(AND(ISNUMBER(SEARCH("平",B3701)),OR(ISNUMBER(SEARCH("上",B3701)),ISNUMBER(SEARCH("去",B3701)),ISNUMBER(SEARCH("入",B3701)))),"Ambiguous",IF(ISNUMBER(SEARCH("平",B3701)),"平","仄")))</x:f>
        <x:v>平</x:v>
      </x:c>
      <x:c r="K3701" s="6" t="str">
        <x:f>IF(D3701="","",IF(AND(ISNUMBER(SEARCH("平",D3701)),OR(ISNUMBER(SEARCH("上",D3701)),ISNUMBER(SEARCH("去",D3701)),ISNUMBER(SEARCH("入",D3701)))),"Ambiguous",IF(ISNUMBER(SEARCH("平",D3701)),"平","仄")))</x:f>
        <x:v>平</x:v>
      </x:c>
      <x:c r="L3701" s="7" t="str"/>
    </x:row>
    <x:row r="3702">
      <x:c r="A3702" s="5" t="str">
        <x:v>衛</x:v>
      </x:c>
      <x:c r="B3702" s="6" t="str">
        <x:v>去</x:v>
      </x:c>
      <x:c r="C3702" s="6" t="str">
        <x:f>IF(B3702="","Needs decision","Ready")</x:f>
        <x:v>Ready</x:v>
      </x:c>
      <x:c r="D3702" s="6" t="str">
        <x:v>去</x:v>
      </x:c>
      <x:c r="E3702" s="6" t="str">
        <x:v>hjwejH (C)</x:v>
      </x:c>
      <x:c r="F3702" s="6" t="str">
        <x:v>去聲八霽</x:v>
      </x:c>
      <x:c r="G3702" s="6" t="str">
        <x:v>Pingshui main list, Wikisource-derived DOCX</x:v>
      </x:c>
      <x:c r="H3702" s="6" t="str">
        <x:v>1</x:v>
      </x:c>
      <x:c r="I3702" s="6" t="str"/>
      <x:c r="J3702" s="6" t="str">
        <x:f>IF(B3702="","",IF(AND(ISNUMBER(SEARCH("平",B3702)),OR(ISNUMBER(SEARCH("上",B3702)),ISNUMBER(SEARCH("去",B3702)),ISNUMBER(SEARCH("入",B3702)))),"Ambiguous",IF(ISNUMBER(SEARCH("平",B3702)),"平","仄")))</x:f>
        <x:v>仄</x:v>
      </x:c>
      <x:c r="K3702" s="6" t="str">
        <x:f>IF(D3702="","",IF(AND(ISNUMBER(SEARCH("平",D3702)),OR(ISNUMBER(SEARCH("上",D3702)),ISNUMBER(SEARCH("去",D3702)),ISNUMBER(SEARCH("入",D3702)))),"Ambiguous",IF(ISNUMBER(SEARCH("平",D3702)),"平","仄")))</x:f>
        <x:v>仄</x:v>
      </x:c>
      <x:c r="L3702" s="7" t="str"/>
    </x:row>
    <x:row r="3703">
      <x:c r="A3703" s="5" t="str">
        <x:v>衝</x:v>
      </x:c>
      <x:c r="B3703" s="6" t="str">
        <x:v>平</x:v>
      </x:c>
      <x:c r="C3703" s="6" t="str">
        <x:f>IF(B3703="","Needs decision","Ready")</x:f>
        <x:v>Ready</x:v>
      </x:c>
      <x:c r="D3703" s="6" t="str">
        <x:v>平</x:v>
      </x:c>
      <x:c r="E3703" s="6" t="str">
        <x:v>tsyhowng (A)</x:v>
      </x:c>
      <x:c r="F3703" s="6" t="str">
        <x:v>上平聲二冬</x:v>
      </x:c>
      <x:c r="G3703" s="6" t="str">
        <x:v>Pingshui main list, Wikisource-derived DOCX</x:v>
      </x:c>
      <x:c r="H3703" s="6" t="str">
        <x:v>1</x:v>
      </x:c>
      <x:c r="I3703" s="6" t="str"/>
      <x:c r="J3703" s="6" t="str">
        <x:f>IF(B3703="","",IF(AND(ISNUMBER(SEARCH("平",B3703)),OR(ISNUMBER(SEARCH("上",B3703)),ISNUMBER(SEARCH("去",B3703)),ISNUMBER(SEARCH("入",B3703)))),"Ambiguous",IF(ISNUMBER(SEARCH("平",B3703)),"平","仄")))</x:f>
        <x:v>平</x:v>
      </x:c>
      <x:c r="K3703" s="6" t="str">
        <x:f>IF(D3703="","",IF(AND(ISNUMBER(SEARCH("平",D3703)),OR(ISNUMBER(SEARCH("上",D3703)),ISNUMBER(SEARCH("去",D3703)),ISNUMBER(SEARCH("入",D3703)))),"Ambiguous",IF(ISNUMBER(SEARCH("平",D3703)),"平","仄")))</x:f>
        <x:v>平</x:v>
      </x:c>
      <x:c r="L3703" s="7" t="str"/>
    </x:row>
    <x:row r="3704">
      <x:c r="A3704" s="5" t="str">
        <x:v>衞</x:v>
      </x:c>
      <x:c r="B3704" s="6" t="str">
        <x:v>去</x:v>
      </x:c>
      <x:c r="C3704" s="6" t="str">
        <x:f>IF(B3704="","Needs decision","Ready")</x:f>
        <x:v>Ready</x:v>
      </x:c>
      <x:c r="D3704" s="6" t="str">
        <x:v>去</x:v>
      </x:c>
      <x:c r="E3704" s="6" t="str">
        <x:v>hjwejH [云合三B祭去] wɨ̯ejh</x:v>
      </x:c>
      <x:c r="F3704" s="6" t="str"/>
      <x:c r="G3704" s="6" t="str"/>
      <x:c r="H3704" s="6" t="str">
        <x:v>1</x:v>
      </x:c>
      <x:c r="I3704" s="6" t="str">
        <x:v>Targeted preliminary fill from Xun Gong; review if uncertain (looked up under 衛)</x:v>
      </x:c>
      <x:c r="J3704" s="6" t="str">
        <x:f>IF(B3704="","",IF(AND(ISNUMBER(SEARCH("平",B3704)),OR(ISNUMBER(SEARCH("上",B3704)),ISNUMBER(SEARCH("去",B3704)),ISNUMBER(SEARCH("入",B3704)))),"Ambiguous",IF(ISNUMBER(SEARCH("平",B3704)),"平","仄")))</x:f>
        <x:v>仄</x:v>
      </x:c>
      <x:c r="K3704" s="6" t="str">
        <x:f>IF(D3704="","",IF(AND(ISNUMBER(SEARCH("平",D3704)),OR(ISNUMBER(SEARCH("上",D3704)),ISNUMBER(SEARCH("去",D3704)),ISNUMBER(SEARCH("入",D3704)))),"Ambiguous",IF(ISNUMBER(SEARCH("平",D3704)),"平","仄")))</x:f>
        <x:v>仄</x:v>
      </x:c>
      <x:c r="L3704" s="7" t="str">
        <x:v>Xun Gong character-readings.csv</x:v>
      </x:c>
    </x:row>
    <x:row r="3705">
      <x:c r="A3705" s="5" t="str">
        <x:v>衡</x:v>
      </x:c>
      <x:c r="B3705" s="6" t="str">
        <x:v>平</x:v>
      </x:c>
      <x:c r="C3705" s="6" t="str">
        <x:f>IF(B3705="","Needs decision","Ready")</x:f>
        <x:v>Ready</x:v>
      </x:c>
      <x:c r="D3705" s="6" t="str">
        <x:v>平</x:v>
      </x:c>
      <x:c r="E3705" s="6" t="str">
        <x:v>haeng (A)</x:v>
      </x:c>
      <x:c r="F3705" s="6" t="str">
        <x:v>上平聲二冬; 下平聲八庚</x:v>
      </x:c>
      <x:c r="G3705" s="6" t="str">
        <x:v>Pingshui main list, Wikisource-derived DOCX</x:v>
      </x:c>
      <x:c r="H3705" s="6" t="str">
        <x:v>1</x:v>
      </x:c>
      <x:c r="I3705" s="6" t="str"/>
      <x:c r="J3705" s="6" t="str">
        <x:f>IF(B3705="","",IF(AND(ISNUMBER(SEARCH("平",B3705)),OR(ISNUMBER(SEARCH("上",B3705)),ISNUMBER(SEARCH("去",B3705)),ISNUMBER(SEARCH("入",B3705)))),"Ambiguous",IF(ISNUMBER(SEARCH("平",B3705)),"平","仄")))</x:f>
        <x:v>平</x:v>
      </x:c>
      <x:c r="K3705" s="6" t="str">
        <x:f>IF(D3705="","",IF(AND(ISNUMBER(SEARCH("平",D3705)),OR(ISNUMBER(SEARCH("上",D3705)),ISNUMBER(SEARCH("去",D3705)),ISNUMBER(SEARCH("入",D3705)))),"Ambiguous",IF(ISNUMBER(SEARCH("平",D3705)),"平","仄")))</x:f>
        <x:v>平</x:v>
      </x:c>
      <x:c r="L3705" s="7" t="str"/>
    </x:row>
    <x:row r="3706">
      <x:c r="A3706" s="5" t="str">
        <x:v>衢</x:v>
      </x:c>
      <x:c r="B3706" s="6" t="str">
        <x:v>平</x:v>
      </x:c>
      <x:c r="C3706" s="6" t="str">
        <x:f>IF(B3706="","Needs decision","Ready")</x:f>
        <x:v>Ready</x:v>
      </x:c>
      <x:c r="D3706" s="6" t="str">
        <x:v>平</x:v>
      </x:c>
      <x:c r="E3706" s="6" t="str">
        <x:v>gju [羣合三C虞平] ɡɨ̯o</x:v>
      </x:c>
      <x:c r="F3706" s="6" t="str">
        <x:v>上平聲七虞</x:v>
      </x:c>
      <x:c r="G3706" s="6" t="str">
        <x:v>Pingshui main list, Wikisource-derived DOCX</x:v>
      </x:c>
      <x:c r="H3706" s="6" t="str">
        <x:v>1</x:v>
      </x:c>
      <x:c r="I3706" s="6" t="str">
        <x:v>Targeted preliminary fill from Xun Gong; review if uncertain</x:v>
      </x:c>
      <x:c r="J3706" s="6" t="str">
        <x:f>IF(B3706="","",IF(AND(ISNUMBER(SEARCH("平",B3706)),OR(ISNUMBER(SEARCH("上",B3706)),ISNUMBER(SEARCH("去",B3706)),ISNUMBER(SEARCH("入",B3706)))),"Ambiguous",IF(ISNUMBER(SEARCH("平",B3706)),"平","仄")))</x:f>
        <x:v>平</x:v>
      </x:c>
      <x:c r="K3706" s="6" t="str">
        <x:f>IF(D3706="","",IF(AND(ISNUMBER(SEARCH("平",D3706)),OR(ISNUMBER(SEARCH("上",D3706)),ISNUMBER(SEARCH("去",D3706)),ISNUMBER(SEARCH("入",D3706)))),"Ambiguous",IF(ISNUMBER(SEARCH("平",D3706)),"平","仄")))</x:f>
        <x:v>平</x:v>
      </x:c>
      <x:c r="L3706" s="7" t="str">
        <x:v>Xun Gong character-readings.csv</x:v>
      </x:c>
    </x:row>
    <x:row r="3707">
      <x:c r="A3707" s="5" t="str">
        <x:v>衣</x:v>
      </x:c>
      <x:c r="B3707" s="6" t="str">
        <x:v>平</x:v>
      </x:c>
      <x:c r="C3707" s="6" t="str">
        <x:f>IF(B3707="","Needs decision","Ready")</x:f>
        <x:v>Ready</x:v>
      </x:c>
      <x:c r="D3707" s="6" t="str">
        <x:v>平/去</x:v>
      </x:c>
      <x:c r="E3707" s="6" t="str">
        <x:v>'j+j (A); 'j+jH (C)</x:v>
      </x:c>
      <x:c r="F3707" s="6" t="str">
        <x:v>上平聲五微; 去聲五未</x:v>
      </x:c>
      <x:c r="G3707" s="6" t="str">
        <x:v>Pingshui main list, Wikisource-derived DOCX</x:v>
      </x:c>
      <x:c r="H3707" s="6" t="str">
        <x:v>2</x:v>
      </x:c>
      <x:c r="I3707" s="6" t="str">
        <x:v>User workbook edit 2026-09-03</x:v>
      </x:c>
      <x:c r="J3707" s="6" t="str">
        <x:f>IF(B3707="","",IF(AND(ISNUMBER(SEARCH("平",B3707)),OR(ISNUMBER(SEARCH("上",B3707)),ISNUMBER(SEARCH("去",B3707)),ISNUMBER(SEARCH("入",B3707)))),"Ambiguous",IF(ISNUMBER(SEARCH("平",B3707)),"平","仄")))</x:f>
        <x:v>平</x:v>
      </x:c>
      <x:c r="K3707" s="6" t="str">
        <x:f>IF(D3707="","",IF(AND(ISNUMBER(SEARCH("平",D3707)),OR(ISNUMBER(SEARCH("上",D3707)),ISNUMBER(SEARCH("去",D3707)),ISNUMBER(SEARCH("入",D3707)))),"Ambiguous",IF(ISNUMBER(SEARCH("平",D3707)),"平","仄")))</x:f>
        <x:v>Ambiguous</x:v>
      </x:c>
      <x:c r="L3707" s="7" t="str">
        <x:v>manual user correction</x:v>
      </x:c>
    </x:row>
    <x:row r="3708">
      <x:c r="A3708" s="5" t="str">
        <x:v>表</x:v>
      </x:c>
      <x:c r="B3708" s="6" t="str">
        <x:v>上</x:v>
      </x:c>
      <x:c r="C3708" s="6" t="str">
        <x:f>IF(B3708="","Needs decision","Ready")</x:f>
        <x:v>Ready</x:v>
      </x:c>
      <x:c r="D3708" s="6" t="str">
        <x:v>上</x:v>
      </x:c>
      <x:c r="E3708" s="6" t="str">
        <x:v>pjewX (B)</x:v>
      </x:c>
      <x:c r="F3708" s="6" t="str">
        <x:v>上聲十七篠</x:v>
      </x:c>
      <x:c r="G3708" s="6" t="str">
        <x:v>Pingshui main list, Wikisource-derived DOCX</x:v>
      </x:c>
      <x:c r="H3708" s="6" t="str">
        <x:v>1</x:v>
      </x:c>
      <x:c r="I3708" s="6" t="str"/>
      <x:c r="J3708" s="6" t="str">
        <x:f>IF(B3708="","",IF(AND(ISNUMBER(SEARCH("平",B3708)),OR(ISNUMBER(SEARCH("上",B3708)),ISNUMBER(SEARCH("去",B3708)),ISNUMBER(SEARCH("入",B3708)))),"Ambiguous",IF(ISNUMBER(SEARCH("平",B3708)),"平","仄")))</x:f>
        <x:v>仄</x:v>
      </x:c>
      <x:c r="K3708" s="6" t="str">
        <x:f>IF(D3708="","",IF(AND(ISNUMBER(SEARCH("平",D3708)),OR(ISNUMBER(SEARCH("上",D3708)),ISNUMBER(SEARCH("去",D3708)),ISNUMBER(SEARCH("入",D3708)))),"Ambiguous",IF(ISNUMBER(SEARCH("平",D3708)),"平","仄")))</x:f>
        <x:v>仄</x:v>
      </x:c>
      <x:c r="L3708" s="7" t="str"/>
    </x:row>
    <x:row r="3709">
      <x:c r="A3709" s="5" t="str">
        <x:v>衫</x:v>
      </x:c>
      <x:c r="B3709" s="6" t="str">
        <x:v>平</x:v>
      </x:c>
      <x:c r="C3709" s="6" t="str">
        <x:f>IF(B3709="","Needs decision","Ready")</x:f>
        <x:v>Ready</x:v>
      </x:c>
      <x:c r="D3709" s="6" t="str">
        <x:v>平</x:v>
      </x:c>
      <x:c r="E3709" s="6" t="str">
        <x:v>sraem [ʂaˤm] (平)</x:v>
      </x:c>
      <x:c r="F3709" s="6" t="str">
        <x:v>下平聲十五咸</x:v>
      </x:c>
      <x:c r="G3709" s="6" t="str">
        <x:v>Pingshui main list, Wikisource-derived DOCX</x:v>
      </x:c>
      <x:c r="H3709" s="6" t="str">
        <x:v>1</x:v>
      </x:c>
      <x:c r="I3709" s="6" t="str">
        <x:v>Tang 300 gap; frequency 1; provisional from Xun Gong</x:v>
      </x:c>
      <x:c r="J3709" s="6" t="str">
        <x:f>IF(B3709="","",IF(AND(ISNUMBER(SEARCH("平",B3709)),OR(ISNUMBER(SEARCH("上",B3709)),ISNUMBER(SEARCH("去",B3709)),ISNUMBER(SEARCH("入",B3709)))),"Ambiguous",IF(ISNUMBER(SEARCH("平",B3709)),"平","仄")))</x:f>
        <x:v>平</x:v>
      </x:c>
      <x:c r="K3709" s="6" t="str">
        <x:f>IF(D3709="","",IF(AND(ISNUMBER(SEARCH("平",D3709)),OR(ISNUMBER(SEARCH("上",D3709)),ISNUMBER(SEARCH("去",D3709)),ISNUMBER(SEARCH("入",D3709)))),"Ambiguous",IF(ISNUMBER(SEARCH("平",D3709)),"平","仄")))</x:f>
        <x:v>平</x:v>
      </x:c>
      <x:c r="L3709" s="7" t="str">
        <x:v>Xun Gong, Tang 300 gap fill</x:v>
      </x:c>
    </x:row>
    <x:row r="3710">
      <x:c r="A3710" s="5" t="str">
        <x:v>衰</x:v>
      </x:c>
      <x:c r="B3710" s="6" t="str">
        <x:v>平</x:v>
      </x:c>
      <x:c r="C3710" s="6" t="str">
        <x:f>IF(B3710="","Needs decision","Ready")</x:f>
        <x:v>Ready</x:v>
      </x:c>
      <x:c r="D3710" s="6" t="str">
        <x:v>平</x:v>
      </x:c>
      <x:c r="E3710" s="6" t="str">
        <x:v>tshwoj (A); tsrhjwe (A); srwij (A)</x:v>
      </x:c>
      <x:c r="F3710" s="6" t="str">
        <x:v>上平聲四支</x:v>
      </x:c>
      <x:c r="G3710" s="6" t="str">
        <x:v>Pingshui main list, Wikisource-derived DOCX</x:v>
      </x:c>
      <x:c r="H3710" s="6" t="str">
        <x:v>3</x:v>
      </x:c>
      <x:c r="I3710" s="6" t="str"/>
      <x:c r="J3710" s="6" t="str">
        <x:f>IF(B3710="","",IF(AND(ISNUMBER(SEARCH("平",B3710)),OR(ISNUMBER(SEARCH("上",B3710)),ISNUMBER(SEARCH("去",B3710)),ISNUMBER(SEARCH("入",B3710)))),"Ambiguous",IF(ISNUMBER(SEARCH("平",B3710)),"平","仄")))</x:f>
        <x:v>平</x:v>
      </x:c>
      <x:c r="K3710" s="6" t="str">
        <x:f>IF(D3710="","",IF(AND(ISNUMBER(SEARCH("平",D3710)),OR(ISNUMBER(SEARCH("上",D3710)),ISNUMBER(SEARCH("去",D3710)),ISNUMBER(SEARCH("入",D3710)))),"Ambiguous",IF(ISNUMBER(SEARCH("平",D3710)),"平","仄")))</x:f>
        <x:v>平</x:v>
      </x:c>
      <x:c r="L3710" s="7" t="str"/>
    </x:row>
    <x:row r="3711">
      <x:c r="A3711" s="5" t="str">
        <x:v>衱</x:v>
      </x:c>
      <x:c r="B3711" s="6" t="str">
        <x:v>入</x:v>
      </x:c>
      <x:c r="C3711" s="6" t="str">
        <x:f>IF(B3711="","Needs decision","Ready")</x:f>
        <x:v>Ready</x:v>
      </x:c>
      <x:c r="D3711" s="6" t="str">
        <x:v>入</x:v>
      </x:c>
      <x:c r="E3711" s="6" t="str">
        <x:v>gjep [ɡɨ̯ep] (入); kjaep [kɨ̯əp] (入)</x:v>
      </x:c>
      <x:c r="F3711" s="6" t="str">
        <x:v>入聲十六葉</x:v>
      </x:c>
      <x:c r="G3711" s="6" t="str">
        <x:v>Pingshui main list, Wikisource-derived DOCX</x:v>
      </x:c>
      <x:c r="H3711" s="6" t="str">
        <x:v>2</x:v>
      </x:c>
      <x:c r="I3711" s="6" t="str">
        <x:v>Tang 300 gap; frequency 1; provisional from Xun Gong</x:v>
      </x:c>
      <x:c r="J3711" s="6" t="str">
        <x:f>IF(B3711="","",IF(AND(ISNUMBER(SEARCH("平",B3711)),OR(ISNUMBER(SEARCH("上",B3711)),ISNUMBER(SEARCH("去",B3711)),ISNUMBER(SEARCH("入",B3711)))),"Ambiguous",IF(ISNUMBER(SEARCH("平",B3711)),"平","仄")))</x:f>
        <x:v>仄</x:v>
      </x:c>
      <x:c r="K3711" s="6" t="str">
        <x:f>IF(D3711="","",IF(AND(ISNUMBER(SEARCH("平",D3711)),OR(ISNUMBER(SEARCH("上",D3711)),ISNUMBER(SEARCH("去",D3711)),ISNUMBER(SEARCH("入",D3711)))),"Ambiguous",IF(ISNUMBER(SEARCH("平",D3711)),"平","仄")))</x:f>
        <x:v>仄</x:v>
      </x:c>
      <x:c r="L3711" s="7" t="str">
        <x:v>Xun Gong, Tang 300 gap fill</x:v>
      </x:c>
    </x:row>
    <x:row r="3712">
      <x:c r="A3712" s="5" t="str">
        <x:v>衵</x:v>
      </x:c>
      <x:c r="B3712" s="6" t="str">
        <x:v>入</x:v>
      </x:c>
      <x:c r="C3712" s="6" t="str">
        <x:f>IF(B3712="","Needs decision","Ready")</x:f>
        <x:v>Ready</x:v>
      </x:c>
      <x:c r="D3712" s="6" t="str">
        <x:v>入</x:v>
      </x:c>
      <x:c r="E3712" s="6" t="str">
        <x:v>nyit (D)</x:v>
      </x:c>
      <x:c r="F3712" s="6" t="str">
        <x:v>入聲四質</x:v>
      </x:c>
      <x:c r="G3712" s="6" t="str">
        <x:v>Pingshui main list, Wikisource-derived DOCX</x:v>
      </x:c>
      <x:c r="H3712" s="6" t="str">
        <x:v>1</x:v>
      </x:c>
      <x:c r="I3712" s="6" t="str"/>
      <x:c r="J3712" s="6" t="str">
        <x:f>IF(B3712="","",IF(AND(ISNUMBER(SEARCH("平",B3712)),OR(ISNUMBER(SEARCH("上",B3712)),ISNUMBER(SEARCH("去",B3712)),ISNUMBER(SEARCH("入",B3712)))),"Ambiguous",IF(ISNUMBER(SEARCH("平",B3712)),"平","仄")))</x:f>
        <x:v>仄</x:v>
      </x:c>
      <x:c r="K3712" s="6" t="str">
        <x:f>IF(D3712="","",IF(AND(ISNUMBER(SEARCH("平",D3712)),OR(ISNUMBER(SEARCH("上",D3712)),ISNUMBER(SEARCH("去",D3712)),ISNUMBER(SEARCH("入",D3712)))),"Ambiguous",IF(ISNUMBER(SEARCH("平",D3712)),"平","仄")))</x:f>
        <x:v>仄</x:v>
      </x:c>
      <x:c r="L3712" s="7" t="str"/>
    </x:row>
    <x:row r="3713">
      <x:c r="A3713" s="5" t="str">
        <x:v>衷</x:v>
      </x:c>
      <x:c r="B3713" s="6" t="str">
        <x:v>平</x:v>
      </x:c>
      <x:c r="C3713" s="6" t="str">
        <x:f>IF(B3713="","Needs decision","Ready")</x:f>
        <x:v>Ready</x:v>
      </x:c>
      <x:c r="D3713" s="6" t="str">
        <x:v>平/去</x:v>
      </x:c>
      <x:c r="E3713" s="6" t="str">
        <x:v>trjuwng [ʈjuŋ] (平); trjuwngH [ʈjuŋh] (去)</x:v>
      </x:c>
      <x:c r="F3713" s="6" t="str">
        <x:v>上平聲一東; 去聲一送</x:v>
      </x:c>
      <x:c r="G3713" s="6" t="str">
        <x:v>Pingshui main list, Wikisource-derived DOCX</x:v>
      </x:c>
      <x:c r="H3713" s="6" t="str">
        <x:v>2</x:v>
      </x:c>
      <x:c r="I3713" s="6" t="str">
        <x:v>Tang 300 gap; frequency 1; ambiguous in Xun Gong; User workbook edit 2026-09-03</x:v>
      </x:c>
      <x:c r="J3713" s="6" t="str">
        <x:f>IF(B3713="","",IF(AND(ISNUMBER(SEARCH("平",B3713)),OR(ISNUMBER(SEARCH("上",B3713)),ISNUMBER(SEARCH("去",B3713)),ISNUMBER(SEARCH("入",B3713)))),"Ambiguous",IF(ISNUMBER(SEARCH("平",B3713)),"平","仄")))</x:f>
        <x:v>平</x:v>
      </x:c>
      <x:c r="K3713" s="6" t="str">
        <x:f>IF(D3713="","",IF(AND(ISNUMBER(SEARCH("平",D3713)),OR(ISNUMBER(SEARCH("上",D3713)),ISNUMBER(SEARCH("去",D3713)),ISNUMBER(SEARCH("入",D3713)))),"Ambiguous",IF(ISNUMBER(SEARCH("平",D3713)),"平","仄")))</x:f>
        <x:v>Ambiguous</x:v>
      </x:c>
      <x:c r="L3713" s="7" t="str">
        <x:v>manual user correction</x:v>
      </x:c>
    </x:row>
    <x:row r="3714">
      <x:c r="A3714" s="5" t="str">
        <x:v>衽</x:v>
      </x:c>
      <x:c r="B3714" s="6" t="str"/>
      <x:c r="C3714" s="6" t="str">
        <x:f>IF(B3714="","Needs decision","Ready")</x:f>
        <x:v>Needs decision</x:v>
      </x:c>
      <x:c r="D3714" s="6" t="str">
        <x:v>上/去</x:v>
      </x:c>
      <x:c r="E3714" s="6" t="str">
        <x:v>nyimX (B); nyimH (C)</x:v>
      </x:c>
      <x:c r="F3714" s="6" t="str">
        <x:v>上聲二十六寢; 去聲二十七沁</x:v>
      </x:c>
      <x:c r="G3714" s="6" t="str">
        <x:v>Pingshui main list, Wikisource-derived DOCX</x:v>
      </x:c>
      <x:c r="H3714" s="6" t="str">
        <x:v>2</x:v>
      </x:c>
      <x:c r="I3714" s="6" t="str"/>
      <x:c r="J3714" s="6" t="str">
        <x:f>IF(B3714="","",IF(AND(ISNUMBER(SEARCH("平",B3714)),OR(ISNUMBER(SEARCH("上",B3714)),ISNUMBER(SEARCH("去",B3714)),ISNUMBER(SEARCH("入",B3714)))),"Ambiguous",IF(ISNUMBER(SEARCH("平",B3714)),"平","仄")))</x:f>
      </x:c>
      <x:c r="K3714" s="6" t="str">
        <x:f>IF(D3714="","",IF(AND(ISNUMBER(SEARCH("平",D3714)),OR(ISNUMBER(SEARCH("上",D3714)),ISNUMBER(SEARCH("去",D3714)),ISNUMBER(SEARCH("入",D3714)))),"Ambiguous",IF(ISNUMBER(SEARCH("平",D3714)),"平","仄")))</x:f>
        <x:v>仄</x:v>
      </x:c>
      <x:c r="L3714" s="7" t="str"/>
    </x:row>
    <x:row r="3715">
      <x:c r="A3715" s="5" t="str">
        <x:v>衾</x:v>
      </x:c>
      <x:c r="B3715" s="6" t="str">
        <x:v>平</x:v>
      </x:c>
      <x:c r="C3715" s="6" t="str">
        <x:f>IF(B3715="","Needs decision","Ready")</x:f>
        <x:v>Ready</x:v>
      </x:c>
      <x:c r="D3715" s="6" t="str">
        <x:v>平</x:v>
      </x:c>
      <x:c r="E3715" s="6" t="str">
        <x:v>khim (A)</x:v>
      </x:c>
      <x:c r="F3715" s="6" t="str">
        <x:v>下平聲十二侵</x:v>
      </x:c>
      <x:c r="G3715" s="6" t="str">
        <x:v>Pingshui main list, Wikisource-derived DOCX</x:v>
      </x:c>
      <x:c r="H3715" s="6" t="str">
        <x:v>1</x:v>
      </x:c>
      <x:c r="I3715" s="6" t="str"/>
      <x:c r="J3715" s="6" t="str">
        <x:f>IF(B3715="","",IF(AND(ISNUMBER(SEARCH("平",B3715)),OR(ISNUMBER(SEARCH("上",B3715)),ISNUMBER(SEARCH("去",B3715)),ISNUMBER(SEARCH("入",B3715)))),"Ambiguous",IF(ISNUMBER(SEARCH("平",B3715)),"平","仄")))</x:f>
        <x:v>平</x:v>
      </x:c>
      <x:c r="K3715" s="6" t="str">
        <x:f>IF(D3715="","",IF(AND(ISNUMBER(SEARCH("平",D3715)),OR(ISNUMBER(SEARCH("上",D3715)),ISNUMBER(SEARCH("去",D3715)),ISNUMBER(SEARCH("入",D3715)))),"Ambiguous",IF(ISNUMBER(SEARCH("平",D3715)),"平","仄")))</x:f>
        <x:v>平</x:v>
      </x:c>
      <x:c r="L3715" s="7" t="str"/>
    </x:row>
    <x:row r="3716">
      <x:c r="A3716" s="5" t="str">
        <x:v>衿</x:v>
      </x:c>
      <x:c r="B3716" s="6" t="str">
        <x:v>去</x:v>
      </x:c>
      <x:c r="C3716" s="6" t="str">
        <x:f>IF(B3716="","Needs decision","Ready")</x:f>
        <x:v>Ready</x:v>
      </x:c>
      <x:c r="D3716" s="6" t="str">
        <x:v>去</x:v>
      </x:c>
      <x:c r="E3716" s="6" t="str">
        <x:v>gimH (C)</x:v>
      </x:c>
      <x:c r="F3716" s="6" t="str"/>
      <x:c r="G3716" s="6" t="str"/>
      <x:c r="H3716" s="6" t="str">
        <x:v>1</x:v>
      </x:c>
      <x:c r="I3716" s="6" t="str"/>
      <x:c r="J3716" s="6" t="str">
        <x:f>IF(B3716="","",IF(AND(ISNUMBER(SEARCH("平",B3716)),OR(ISNUMBER(SEARCH("上",B3716)),ISNUMBER(SEARCH("去",B3716)),ISNUMBER(SEARCH("入",B3716)))),"Ambiguous",IF(ISNUMBER(SEARCH("平",B3716)),"平","仄")))</x:f>
        <x:v>仄</x:v>
      </x:c>
      <x:c r="K3716" s="6" t="str">
        <x:f>IF(D3716="","",IF(AND(ISNUMBER(SEARCH("平",D3716)),OR(ISNUMBER(SEARCH("上",D3716)),ISNUMBER(SEARCH("去",D3716)),ISNUMBER(SEARCH("入",D3716)))),"Ambiguous",IF(ISNUMBER(SEARCH("平",D3716)),"平","仄")))</x:f>
        <x:v>仄</x:v>
      </x:c>
      <x:c r="L3716" s="7" t="str"/>
    </x:row>
    <x:row r="3717">
      <x:c r="A3717" s="5" t="str">
        <x:v>袁</x:v>
      </x:c>
      <x:c r="B3717" s="6" t="str">
        <x:v>平</x:v>
      </x:c>
      <x:c r="C3717" s="6" t="str">
        <x:f>IF(B3717="","Needs decision","Ready")</x:f>
        <x:v>Ready</x:v>
      </x:c>
      <x:c r="D3717" s="6" t="str">
        <x:v>平</x:v>
      </x:c>
      <x:c r="E3717" s="6" t="str">
        <x:v>hjwon (A)</x:v>
      </x:c>
      <x:c r="F3717" s="6" t="str">
        <x:v>上平聲十三元</x:v>
      </x:c>
      <x:c r="G3717" s="6" t="str">
        <x:v>Pingshui main list, Wikisource-derived DOCX</x:v>
      </x:c>
      <x:c r="H3717" s="6" t="str">
        <x:v>1</x:v>
      </x:c>
      <x:c r="I3717" s="6" t="str"/>
      <x:c r="J3717" s="6" t="str">
        <x:f>IF(B3717="","",IF(AND(ISNUMBER(SEARCH("平",B3717)),OR(ISNUMBER(SEARCH("上",B3717)),ISNUMBER(SEARCH("去",B3717)),ISNUMBER(SEARCH("入",B3717)))),"Ambiguous",IF(ISNUMBER(SEARCH("平",B3717)),"平","仄")))</x:f>
        <x:v>平</x:v>
      </x:c>
      <x:c r="K3717" s="6" t="str">
        <x:f>IF(D3717="","",IF(AND(ISNUMBER(SEARCH("平",D3717)),OR(ISNUMBER(SEARCH("上",D3717)),ISNUMBER(SEARCH("去",D3717)),ISNUMBER(SEARCH("入",D3717)))),"Ambiguous",IF(ISNUMBER(SEARCH("平",D3717)),"平","仄")))</x:f>
        <x:v>平</x:v>
      </x:c>
      <x:c r="L3717" s="7" t="str"/>
    </x:row>
    <x:row r="3718">
      <x:c r="A3718" s="5" t="str">
        <x:v>袂</x:v>
      </x:c>
      <x:c r="B3718" s="6" t="str">
        <x:v>去</x:v>
      </x:c>
      <x:c r="C3718" s="6" t="str">
        <x:f>IF(B3718="","Needs decision","Ready")</x:f>
        <x:v>Ready</x:v>
      </x:c>
      <x:c r="D3718" s="6" t="str">
        <x:v>去/入</x:v>
      </x:c>
      <x:c r="E3718" s="6" t="str">
        <x:v>kwet (D); mjiejH (C)</x:v>
      </x:c>
      <x:c r="F3718" s="6" t="str">
        <x:v>去聲八霽</x:v>
      </x:c>
      <x:c r="G3718" s="6" t="str">
        <x:v>Pingshui main list, Wikisource-derived DOCX</x:v>
      </x:c>
      <x:c r="H3718" s="6" t="str">
        <x:v>2</x:v>
      </x:c>
      <x:c r="I3718" s="6" t="str"/>
      <x:c r="J3718" s="6" t="str">
        <x:f>IF(B3718="","",IF(AND(ISNUMBER(SEARCH("平",B3718)),OR(ISNUMBER(SEARCH("上",B3718)),ISNUMBER(SEARCH("去",B3718)),ISNUMBER(SEARCH("入",B3718)))),"Ambiguous",IF(ISNUMBER(SEARCH("平",B3718)),"平","仄")))</x:f>
        <x:v>仄</x:v>
      </x:c>
      <x:c r="K3718" s="6" t="str">
        <x:f>IF(D3718="","",IF(AND(ISNUMBER(SEARCH("平",D3718)),OR(ISNUMBER(SEARCH("上",D3718)),ISNUMBER(SEARCH("去",D3718)),ISNUMBER(SEARCH("入",D3718)))),"Ambiguous",IF(ISNUMBER(SEARCH("平",D3718)),"平","仄")))</x:f>
        <x:v>仄</x:v>
      </x:c>
      <x:c r="L3718" s="7" t="str"/>
    </x:row>
    <x:row r="3719">
      <x:c r="A3719" s="5" t="str">
        <x:v>袋</x:v>
      </x:c>
      <x:c r="B3719" s="6" t="str">
        <x:v>去</x:v>
      </x:c>
      <x:c r="C3719" s="6" t="str">
        <x:f>IF(B3719="","Needs decision","Ready")</x:f>
        <x:v>Ready</x:v>
      </x:c>
      <x:c r="D3719" s="6" t="str">
        <x:v>去</x:v>
      </x:c>
      <x:c r="E3719" s="6" t="str">
        <x:v>dojH (C)</x:v>
      </x:c>
      <x:c r="F3719" s="6" t="str"/>
      <x:c r="G3719" s="6" t="str"/>
      <x:c r="H3719" s="6" t="str">
        <x:v>1</x:v>
      </x:c>
      <x:c r="I3719" s="6" t="str"/>
      <x:c r="J3719" s="6" t="str">
        <x:f>IF(B3719="","",IF(AND(ISNUMBER(SEARCH("平",B3719)),OR(ISNUMBER(SEARCH("上",B3719)),ISNUMBER(SEARCH("去",B3719)),ISNUMBER(SEARCH("入",B3719)))),"Ambiguous",IF(ISNUMBER(SEARCH("平",B3719)),"平","仄")))</x:f>
        <x:v>仄</x:v>
      </x:c>
      <x:c r="K3719" s="6" t="str">
        <x:f>IF(D3719="","",IF(AND(ISNUMBER(SEARCH("平",D3719)),OR(ISNUMBER(SEARCH("上",D3719)),ISNUMBER(SEARCH("去",D3719)),ISNUMBER(SEARCH("入",D3719)))),"Ambiguous",IF(ISNUMBER(SEARCH("平",D3719)),"平","仄")))</x:f>
        <x:v>仄</x:v>
      </x:c>
      <x:c r="L3719" s="7" t="str"/>
    </x:row>
    <x:row r="3720">
      <x:c r="A3720" s="5" t="str">
        <x:v>袍</x:v>
      </x:c>
      <x:c r="B3720" s="6" t="str">
        <x:v>平</x:v>
      </x:c>
      <x:c r="C3720" s="6" t="str">
        <x:f>IF(B3720="","Needs decision","Ready")</x:f>
        <x:v>Ready</x:v>
      </x:c>
      <x:c r="D3720" s="6" t="str">
        <x:v>平</x:v>
      </x:c>
      <x:c r="E3720" s="6" t="str">
        <x:v>baw (A)</x:v>
      </x:c>
      <x:c r="F3720" s="6" t="str">
        <x:v>下平聲四豪</x:v>
      </x:c>
      <x:c r="G3720" s="6" t="str">
        <x:v>Pingshui main list, Wikisource-derived DOCX</x:v>
      </x:c>
      <x:c r="H3720" s="6" t="str">
        <x:v>1</x:v>
      </x:c>
      <x:c r="I3720" s="6" t="str"/>
      <x:c r="J3720" s="6" t="str">
        <x:f>IF(B3720="","",IF(AND(ISNUMBER(SEARCH("平",B3720)),OR(ISNUMBER(SEARCH("上",B3720)),ISNUMBER(SEARCH("去",B3720)),ISNUMBER(SEARCH("入",B3720)))),"Ambiguous",IF(ISNUMBER(SEARCH("平",B3720)),"平","仄")))</x:f>
        <x:v>平</x:v>
      </x:c>
      <x:c r="K3720" s="6" t="str">
        <x:f>IF(D3720="","",IF(AND(ISNUMBER(SEARCH("平",D3720)),OR(ISNUMBER(SEARCH("上",D3720)),ISNUMBER(SEARCH("去",D3720)),ISNUMBER(SEARCH("入",D3720)))),"Ambiguous",IF(ISNUMBER(SEARCH("平",D3720)),"平","仄")))</x:f>
        <x:v>平</x:v>
      </x:c>
      <x:c r="L3720" s="7" t="str"/>
    </x:row>
    <x:row r="3721">
      <x:c r="A3721" s="5" t="str">
        <x:v>袖</x:v>
      </x:c>
      <x:c r="B3721" s="6" t="str">
        <x:v>去</x:v>
      </x:c>
      <x:c r="C3721" s="6" t="str">
        <x:f>IF(B3721="","Needs decision","Ready")</x:f>
        <x:v>Ready</x:v>
      </x:c>
      <x:c r="D3721" s="6" t="str">
        <x:v>去</x:v>
      </x:c>
      <x:c r="E3721" s="6" t="str">
        <x:v>zjuwH (C)</x:v>
      </x:c>
      <x:c r="F3721" s="6" t="str">
        <x:v>去聲二十六宥</x:v>
      </x:c>
      <x:c r="G3721" s="6" t="str">
        <x:v>Pingshui main list, Wikisource-derived DOCX</x:v>
      </x:c>
      <x:c r="H3721" s="6" t="str">
        <x:v>1</x:v>
      </x:c>
      <x:c r="I3721" s="6" t="str"/>
      <x:c r="J3721" s="6" t="str">
        <x:f>IF(B3721="","",IF(AND(ISNUMBER(SEARCH("平",B3721)),OR(ISNUMBER(SEARCH("上",B3721)),ISNUMBER(SEARCH("去",B3721)),ISNUMBER(SEARCH("入",B3721)))),"Ambiguous",IF(ISNUMBER(SEARCH("平",B3721)),"平","仄")))</x:f>
        <x:v>仄</x:v>
      </x:c>
      <x:c r="K3721" s="6" t="str">
        <x:f>IF(D3721="","",IF(AND(ISNUMBER(SEARCH("平",D3721)),OR(ISNUMBER(SEARCH("上",D3721)),ISNUMBER(SEARCH("去",D3721)),ISNUMBER(SEARCH("入",D3721)))),"Ambiguous",IF(ISNUMBER(SEARCH("平",D3721)),"平","仄")))</x:f>
        <x:v>仄</x:v>
      </x:c>
      <x:c r="L3721" s="7" t="str"/>
    </x:row>
    <x:row r="3722">
      <x:c r="A3722" s="5" t="str">
        <x:v>袗</x:v>
      </x:c>
      <x:c r="B3722" s="6" t="str">
        <x:v>上</x:v>
      </x:c>
      <x:c r="C3722" s="6" t="str">
        <x:f>IF(B3722="","Needs decision","Ready")</x:f>
        <x:v>Ready</x:v>
      </x:c>
      <x:c r="D3722" s="6" t="str">
        <x:v>上</x:v>
      </x:c>
      <x:c r="E3722" s="6" t="str">
        <x:v>tsyinX (B)</x:v>
      </x:c>
      <x:c r="F3722" s="6" t="str">
        <x:v>上聲十一軫</x:v>
      </x:c>
      <x:c r="G3722" s="6" t="str">
        <x:v>Pingshui main list, Wikisource-derived DOCX</x:v>
      </x:c>
      <x:c r="H3722" s="6" t="str">
        <x:v>1</x:v>
      </x:c>
      <x:c r="I3722" s="6" t="str"/>
      <x:c r="J3722" s="6" t="str">
        <x:f>IF(B3722="","",IF(AND(ISNUMBER(SEARCH("平",B3722)),OR(ISNUMBER(SEARCH("上",B3722)),ISNUMBER(SEARCH("去",B3722)),ISNUMBER(SEARCH("入",B3722)))),"Ambiguous",IF(ISNUMBER(SEARCH("平",B3722)),"平","仄")))</x:f>
        <x:v>仄</x:v>
      </x:c>
      <x:c r="K3722" s="6" t="str">
        <x:f>IF(D3722="","",IF(AND(ISNUMBER(SEARCH("平",D3722)),OR(ISNUMBER(SEARCH("上",D3722)),ISNUMBER(SEARCH("去",D3722)),ISNUMBER(SEARCH("入",D3722)))),"Ambiguous",IF(ISNUMBER(SEARCH("平",D3722)),"平","仄")))</x:f>
        <x:v>仄</x:v>
      </x:c>
      <x:c r="L3722" s="7" t="str"/>
    </x:row>
    <x:row r="3723">
      <x:c r="A3723" s="5" t="str">
        <x:v>袞</x:v>
      </x:c>
      <x:c r="B3723" s="6" t="str">
        <x:v>上</x:v>
      </x:c>
      <x:c r="C3723" s="6" t="str">
        <x:f>IF(B3723="","Needs decision","Ready")</x:f>
        <x:v>Ready</x:v>
      </x:c>
      <x:c r="D3723" s="6" t="str">
        <x:v>上</x:v>
      </x:c>
      <x:c r="E3723" s="6" t="str">
        <x:v>kwonX [qwənʔ] (上)</x:v>
      </x:c>
      <x:c r="F3723" s="6" t="str">
        <x:v>上聲十三阮</x:v>
      </x:c>
      <x:c r="G3723" s="6" t="str">
        <x:v>Pingshui main list, Wikisource-derived DOCX</x:v>
      </x:c>
      <x:c r="H3723" s="6" t="str">
        <x:v>1</x:v>
      </x:c>
      <x:c r="I3723" s="6" t="str">
        <x:v>Tang 300 gap; frequency 1; provisional from Xun Gong</x:v>
      </x:c>
      <x:c r="J3723" s="6" t="str">
        <x:f>IF(B3723="","",IF(AND(ISNUMBER(SEARCH("平",B3723)),OR(ISNUMBER(SEARCH("上",B3723)),ISNUMBER(SEARCH("去",B3723)),ISNUMBER(SEARCH("入",B3723)))),"Ambiguous",IF(ISNUMBER(SEARCH("平",B3723)),"平","仄")))</x:f>
        <x:v>仄</x:v>
      </x:c>
      <x:c r="K3723" s="6" t="str">
        <x:f>IF(D3723="","",IF(AND(ISNUMBER(SEARCH("平",D3723)),OR(ISNUMBER(SEARCH("上",D3723)),ISNUMBER(SEARCH("去",D3723)),ISNUMBER(SEARCH("入",D3723)))),"Ambiguous",IF(ISNUMBER(SEARCH("平",D3723)),"平","仄")))</x:f>
        <x:v>仄</x:v>
      </x:c>
      <x:c r="L3723" s="7" t="str">
        <x:v>Xun Gong, Tang 300 gap fill</x:v>
      </x:c>
    </x:row>
    <x:row r="3724">
      <x:c r="A3724" s="5" t="str">
        <x:v>被</x:v>
      </x:c>
      <x:c r="B3724" s="6" t="str"/>
      <x:c r="C3724" s="6" t="str">
        <x:f>IF(B3724="","Needs decision","Ready")</x:f>
        <x:v>Needs decision</x:v>
      </x:c>
      <x:c r="D3724" s="6" t="str">
        <x:v>平/上/去</x:v>
      </x:c>
      <x:c r="E3724" s="6" t="str">
        <x:v>bjeX (B); bjeH (C); phje (A); phjeH (C)</x:v>
      </x:c>
      <x:c r="F3724" s="6" t="str">
        <x:v>上聲四紙; 去聲四寘</x:v>
      </x:c>
      <x:c r="G3724" s="6" t="str">
        <x:v>Pingshui main list, Wikisource-derived DOCX</x:v>
      </x:c>
      <x:c r="H3724" s="6" t="str">
        <x:v>4</x:v>
      </x:c>
      <x:c r="I3724" s="6" t="str"/>
      <x:c r="J3724" s="6" t="str">
        <x:f>IF(B3724="","",IF(AND(ISNUMBER(SEARCH("平",B3724)),OR(ISNUMBER(SEARCH("上",B3724)),ISNUMBER(SEARCH("去",B3724)),ISNUMBER(SEARCH("入",B3724)))),"Ambiguous",IF(ISNUMBER(SEARCH("平",B3724)),"平","仄")))</x:f>
      </x:c>
      <x:c r="K3724" s="6" t="str">
        <x:f>IF(D3724="","",IF(AND(ISNUMBER(SEARCH("平",D3724)),OR(ISNUMBER(SEARCH("上",D3724)),ISNUMBER(SEARCH("去",D3724)),ISNUMBER(SEARCH("入",D3724)))),"Ambiguous",IF(ISNUMBER(SEARCH("平",D3724)),"平","仄")))</x:f>
        <x:v>Ambiguous</x:v>
      </x:c>
      <x:c r="L3724" s="7" t="str"/>
    </x:row>
    <x:row r="3725">
      <x:c r="A3725" s="5" t="str">
        <x:v>袴</x:v>
      </x:c>
      <x:c r="B3725" s="6" t="str">
        <x:v>去</x:v>
      </x:c>
      <x:c r="C3725" s="6" t="str">
        <x:f>IF(B3725="","Needs decision","Ready")</x:f>
        <x:v>Ready</x:v>
      </x:c>
      <x:c r="D3725" s="6" t="str">
        <x:v>去</x:v>
      </x:c>
      <x:c r="E3725" s="6" t="str">
        <x:v>khuH (C)</x:v>
      </x:c>
      <x:c r="F3725" s="6" t="str"/>
      <x:c r="G3725" s="6" t="str"/>
      <x:c r="H3725" s="6" t="str">
        <x:v>1</x:v>
      </x:c>
      <x:c r="I3725" s="6" t="str"/>
      <x:c r="J3725" s="6" t="str">
        <x:f>IF(B3725="","",IF(AND(ISNUMBER(SEARCH("平",B3725)),OR(ISNUMBER(SEARCH("上",B3725)),ISNUMBER(SEARCH("去",B3725)),ISNUMBER(SEARCH("入",B3725)))),"Ambiguous",IF(ISNUMBER(SEARCH("平",B3725)),"平","仄")))</x:f>
        <x:v>仄</x:v>
      </x:c>
      <x:c r="K3725" s="6" t="str">
        <x:f>IF(D3725="","",IF(AND(ISNUMBER(SEARCH("平",D3725)),OR(ISNUMBER(SEARCH("上",D3725)),ISNUMBER(SEARCH("去",D3725)),ISNUMBER(SEARCH("入",D3725)))),"Ambiguous",IF(ISNUMBER(SEARCH("平",D3725)),"平","仄")))</x:f>
        <x:v>仄</x:v>
      </x:c>
      <x:c r="L3725" s="7" t="str"/>
    </x:row>
    <x:row r="3726">
      <x:c r="A3726" s="5" t="str">
        <x:v>袷</x:v>
      </x:c>
      <x:c r="B3726" s="6" t="str">
        <x:v>入</x:v>
      </x:c>
      <x:c r="C3726" s="6" t="str">
        <x:f>IF(B3726="","Needs decision","Ready")</x:f>
        <x:v>Ready</x:v>
      </x:c>
      <x:c r="D3726" s="6" t="str">
        <x:v>入</x:v>
      </x:c>
      <x:c r="E3726" s="6" t="str">
        <x:v>keap [qeˤp] (入); kjaep [kɨ̯əp] (入)</x:v>
      </x:c>
      <x:c r="F3726" s="6" t="str">
        <x:v>入聲十七洽</x:v>
      </x:c>
      <x:c r="G3726" s="6" t="str">
        <x:v>Pingshui main list, Wikisource-derived DOCX</x:v>
      </x:c>
      <x:c r="H3726" s="6" t="str">
        <x:v>2</x:v>
      </x:c>
      <x:c r="I3726" s="6" t="str">
        <x:v>Tang 300 gap; frequency 1; provisional from Xun Gong</x:v>
      </x:c>
      <x:c r="J3726" s="6" t="str">
        <x:f>IF(B3726="","",IF(AND(ISNUMBER(SEARCH("平",B3726)),OR(ISNUMBER(SEARCH("上",B3726)),ISNUMBER(SEARCH("去",B3726)),ISNUMBER(SEARCH("入",B3726)))),"Ambiguous",IF(ISNUMBER(SEARCH("平",B3726)),"平","仄")))</x:f>
        <x:v>仄</x:v>
      </x:c>
      <x:c r="K3726" s="6" t="str">
        <x:f>IF(D3726="","",IF(AND(ISNUMBER(SEARCH("平",D3726)),OR(ISNUMBER(SEARCH("上",D3726)),ISNUMBER(SEARCH("去",D3726)),ISNUMBER(SEARCH("入",D3726)))),"Ambiguous",IF(ISNUMBER(SEARCH("平",D3726)),"平","仄")))</x:f>
        <x:v>仄</x:v>
      </x:c>
      <x:c r="L3726" s="7" t="str">
        <x:v>Xun Gong, Tang 300 gap fill</x:v>
      </x:c>
    </x:row>
    <x:row r="3727">
      <x:c r="A3727" s="5" t="str">
        <x:v>袺</x:v>
      </x:c>
      <x:c r="B3727" s="6" t="str">
        <x:v>入</x:v>
      </x:c>
      <x:c r="C3727" s="6" t="str">
        <x:f>IF(B3727="","Needs decision","Ready")</x:f>
        <x:v>Ready</x:v>
      </x:c>
      <x:c r="D3727" s="6" t="str">
        <x:v>入</x:v>
      </x:c>
      <x:c r="E3727" s="6" t="str">
        <x:v>keat (D); ket (D)</x:v>
      </x:c>
      <x:c r="F3727" s="6" t="str"/>
      <x:c r="G3727" s="6" t="str"/>
      <x:c r="H3727" s="6" t="str">
        <x:v>2</x:v>
      </x:c>
      <x:c r="I3727" s="6" t="str"/>
      <x:c r="J3727" s="6" t="str">
        <x:f>IF(B3727="","",IF(AND(ISNUMBER(SEARCH("平",B3727)),OR(ISNUMBER(SEARCH("上",B3727)),ISNUMBER(SEARCH("去",B3727)),ISNUMBER(SEARCH("入",B3727)))),"Ambiguous",IF(ISNUMBER(SEARCH("平",B3727)),"平","仄")))</x:f>
        <x:v>仄</x:v>
      </x:c>
      <x:c r="K3727" s="6" t="str">
        <x:f>IF(D3727="","",IF(AND(ISNUMBER(SEARCH("平",D3727)),OR(ISNUMBER(SEARCH("上",D3727)),ISNUMBER(SEARCH("去",D3727)),ISNUMBER(SEARCH("入",D3727)))),"Ambiguous",IF(ISNUMBER(SEARCH("平",D3727)),"平","仄")))</x:f>
        <x:v>仄</x:v>
      </x:c>
      <x:c r="L3727" s="7" t="str"/>
    </x:row>
    <x:row r="3728">
      <x:c r="A3728" s="5" t="str">
        <x:v>袿</x:v>
      </x:c>
      <x:c r="B3728" s="6" t="str">
        <x:v>平</x:v>
      </x:c>
      <x:c r="C3728" s="6" t="str">
        <x:f>IF(B3728="","Needs decision","Ready")</x:f>
        <x:v>Ready</x:v>
      </x:c>
      <x:c r="D3728" s="6" t="str">
        <x:v>平</x:v>
      </x:c>
      <x:c r="E3728" s="6" t="str"/>
      <x:c r="F3728" s="6" t="str"/>
      <x:c r="G3728" s="6" t="str"/>
      <x:c r="H3728" s="6" t="str">
        <x:v>0</x:v>
      </x:c>
      <x:c r="I3728" s="6" t="str">
        <x:v>User correction 2026-09-08; added manually</x:v>
      </x:c>
      <x:c r="J3728" s="6" t="str">
        <x:f>IF(B3728="","",IF(AND(ISNUMBER(SEARCH("平",B3728)),OR(ISNUMBER(SEARCH("上",B3728)),ISNUMBER(SEARCH("去",B3728)),ISNUMBER(SEARCH("入",B3728)))),"Ambiguous",IF(ISNUMBER(SEARCH("平",B3728)),"平","仄")))</x:f>
        <x:v>平</x:v>
      </x:c>
      <x:c r="K3728" s="6" t="str">
        <x:f>IF(D3728="","",IF(AND(ISNUMBER(SEARCH("平",D3728)),OR(ISNUMBER(SEARCH("上",D3728)),ISNUMBER(SEARCH("去",D3728)),ISNUMBER(SEARCH("入",D3728)))),"Ambiguous",IF(ISNUMBER(SEARCH("平",D3728)),"平","仄")))</x:f>
        <x:v>平</x:v>
      </x:c>
      <x:c r="L3728" s="7" t="str">
        <x:v>User correction</x:v>
      </x:c>
    </x:row>
    <x:row r="3729">
      <x:c r="A3729" s="5" t="str">
        <x:v>裁</x:v>
      </x:c>
      <x:c r="B3729" s="6" t="str">
        <x:v>平</x:v>
      </x:c>
      <x:c r="C3729" s="6" t="str">
        <x:f>IF(B3729="","Needs decision","Ready")</x:f>
        <x:v>Ready</x:v>
      </x:c>
      <x:c r="D3729" s="6" t="str">
        <x:v>平</x:v>
      </x:c>
      <x:c r="E3729" s="6" t="str">
        <x:v>dzoj (A)</x:v>
      </x:c>
      <x:c r="F3729" s="6" t="str">
        <x:v>上平聲十灰; 去聲十一隊</x:v>
      </x:c>
      <x:c r="G3729" s="6" t="str">
        <x:v>Pingshui main list, Wikisource-derived DOCX</x:v>
      </x:c>
      <x:c r="H3729" s="6" t="str">
        <x:v>1</x:v>
      </x:c>
      <x:c r="I3729" s="6" t="str"/>
      <x:c r="J3729" s="6" t="str">
        <x:f>IF(B3729="","",IF(AND(ISNUMBER(SEARCH("平",B3729)),OR(ISNUMBER(SEARCH("上",B3729)),ISNUMBER(SEARCH("去",B3729)),ISNUMBER(SEARCH("入",B3729)))),"Ambiguous",IF(ISNUMBER(SEARCH("平",B3729)),"平","仄")))</x:f>
        <x:v>平</x:v>
      </x:c>
      <x:c r="K3729" s="6" t="str">
        <x:f>IF(D3729="","",IF(AND(ISNUMBER(SEARCH("平",D3729)),OR(ISNUMBER(SEARCH("上",D3729)),ISNUMBER(SEARCH("去",D3729)),ISNUMBER(SEARCH("入",D3729)))),"Ambiguous",IF(ISNUMBER(SEARCH("平",D3729)),"平","仄")))</x:f>
        <x:v>平</x:v>
      </x:c>
      <x:c r="L3729" s="7" t="str"/>
    </x:row>
    <x:row r="3730">
      <x:c r="A3730" s="5" t="str">
        <x:v>裂</x:v>
      </x:c>
      <x:c r="B3730" s="6" t="str">
        <x:v>入</x:v>
      </x:c>
      <x:c r="C3730" s="6" t="str">
        <x:f>IF(B3730="","Needs decision","Ready")</x:f>
        <x:v>Ready</x:v>
      </x:c>
      <x:c r="D3730" s="6" t="str">
        <x:v>入</x:v>
      </x:c>
      <x:c r="E3730" s="6" t="str">
        <x:v>ljet (D)</x:v>
      </x:c>
      <x:c r="F3730" s="6" t="str">
        <x:v>入聲九屑</x:v>
      </x:c>
      <x:c r="G3730" s="6" t="str">
        <x:v>Pingshui main list, Wikisource-derived DOCX</x:v>
      </x:c>
      <x:c r="H3730" s="6" t="str">
        <x:v>1</x:v>
      </x:c>
      <x:c r="I3730" s="6" t="str"/>
      <x:c r="J3730" s="6" t="str">
        <x:f>IF(B3730="","",IF(AND(ISNUMBER(SEARCH("平",B3730)),OR(ISNUMBER(SEARCH("上",B3730)),ISNUMBER(SEARCH("去",B3730)),ISNUMBER(SEARCH("入",B3730)))),"Ambiguous",IF(ISNUMBER(SEARCH("平",B3730)),"平","仄")))</x:f>
        <x:v>仄</x:v>
      </x:c>
      <x:c r="K3730" s="6" t="str">
        <x:f>IF(D3730="","",IF(AND(ISNUMBER(SEARCH("平",D3730)),OR(ISNUMBER(SEARCH("上",D3730)),ISNUMBER(SEARCH("去",D3730)),ISNUMBER(SEARCH("入",D3730)))),"Ambiguous",IF(ISNUMBER(SEARCH("平",D3730)),"平","仄")))</x:f>
        <x:v>仄</x:v>
      </x:c>
      <x:c r="L3730" s="7" t="str"/>
    </x:row>
    <x:row r="3731">
      <x:c r="A3731" s="5" t="str">
        <x:v>裊</x:v>
      </x:c>
      <x:c r="B3731" s="6" t="str">
        <x:v>入</x:v>
      </x:c>
      <x:c r="C3731" s="6" t="str">
        <x:f>IF(B3731="","Needs decision","Ready")</x:f>
        <x:v>Ready</x:v>
      </x:c>
      <x:c r="D3731" s="6" t="str">
        <x:v>入</x:v>
      </x:c>
      <x:c r="E3731" s="6" t="str"/>
      <x:c r="F3731" s="6" t="str">
        <x:v>上聲十七篠</x:v>
      </x:c>
      <x:c r="G3731" s="6" t="str">
        <x:v>Pingshui main list, Wikisource-derived DOCX</x:v>
      </x:c>
      <x:c r="H3731" s="6" t="str"/>
      <x:c r="I3731" s="6" t="str">
        <x:v>Manual user correction/addition</x:v>
      </x:c>
      <x:c r="J3731" s="6" t="str">
        <x:f>IF(B3731="","",IF(AND(ISNUMBER(SEARCH("平",B3731)),OR(ISNUMBER(SEARCH("上",B3731)),ISNUMBER(SEARCH("去",B3731)),ISNUMBER(SEARCH("入",B3731)))),"Ambiguous",IF(ISNUMBER(SEARCH("平",B3731)),"平","仄")))</x:f>
        <x:v>仄</x:v>
      </x:c>
      <x:c r="K3731" s="6" t="str">
        <x:f>IF(D3731="","",IF(AND(ISNUMBER(SEARCH("平",D3731)),OR(ISNUMBER(SEARCH("上",D3731)),ISNUMBER(SEARCH("去",D3731)),ISNUMBER(SEARCH("入",D3731)))),"Ambiguous",IF(ISNUMBER(SEARCH("平",D3731)),"平","仄")))</x:f>
        <x:v>仄</x:v>
      </x:c>
      <x:c r="L3731" s="7" t="str">
        <x:v>manual user correction</x:v>
      </x:c>
    </x:row>
    <x:row r="3732">
      <x:c r="A3732" s="5" t="str">
        <x:v>裏</x:v>
      </x:c>
      <x:c r="B3732" s="6" t="str">
        <x:v>上</x:v>
      </x:c>
      <x:c r="C3732" s="6" t="str">
        <x:f>IF(B3732="","Needs decision","Ready")</x:f>
        <x:v>Ready</x:v>
      </x:c>
      <x:c r="D3732" s="6" t="str">
        <x:v>上</x:v>
      </x:c>
      <x:c r="E3732" s="6" t="str">
        <x:v>liX (B)</x:v>
      </x:c>
      <x:c r="F3732" s="6" t="str">
        <x:v>上聲四紙; 去聲四寘</x:v>
      </x:c>
      <x:c r="G3732" s="6" t="str">
        <x:v>Pingshui main list, Wikisource-derived DOCX</x:v>
      </x:c>
      <x:c r="H3732" s="6" t="str">
        <x:v>1</x:v>
      </x:c>
      <x:c r="I3732" s="6" t="str"/>
      <x:c r="J3732" s="6" t="str">
        <x:f>IF(B3732="","",IF(AND(ISNUMBER(SEARCH("平",B3732)),OR(ISNUMBER(SEARCH("上",B3732)),ISNUMBER(SEARCH("去",B3732)),ISNUMBER(SEARCH("入",B3732)))),"Ambiguous",IF(ISNUMBER(SEARCH("平",B3732)),"平","仄")))</x:f>
        <x:v>仄</x:v>
      </x:c>
      <x:c r="K3732" s="6" t="str">
        <x:f>IF(D3732="","",IF(AND(ISNUMBER(SEARCH("平",D3732)),OR(ISNUMBER(SEARCH("上",D3732)),ISNUMBER(SEARCH("去",D3732)),ISNUMBER(SEARCH("入",D3732)))),"Ambiguous",IF(ISNUMBER(SEARCH("平",D3732)),"平","仄")))</x:f>
        <x:v>仄</x:v>
      </x:c>
      <x:c r="L3732" s="7" t="str"/>
    </x:row>
    <x:row r="3733">
      <x:c r="A3733" s="5" t="str">
        <x:v>裔</x:v>
      </x:c>
      <x:c r="B3733" s="6" t="str">
        <x:v>去</x:v>
      </x:c>
      <x:c r="C3733" s="6" t="str">
        <x:f>IF(B3733="","Needs decision","Ready")</x:f>
        <x:v>Ready</x:v>
      </x:c>
      <x:c r="D3733" s="6" t="str">
        <x:v>去</x:v>
      </x:c>
      <x:c r="E3733" s="6" t="str">
        <x:v>yejH (C)</x:v>
      </x:c>
      <x:c r="F3733" s="6" t="str">
        <x:v>去聲八霽</x:v>
      </x:c>
      <x:c r="G3733" s="6" t="str">
        <x:v>Pingshui main list, Wikisource-derived DOCX</x:v>
      </x:c>
      <x:c r="H3733" s="6" t="str">
        <x:v>1</x:v>
      </x:c>
      <x:c r="I3733" s="6" t="str"/>
      <x:c r="J3733" s="6" t="str">
        <x:f>IF(B3733="","",IF(AND(ISNUMBER(SEARCH("平",B3733)),OR(ISNUMBER(SEARCH("上",B3733)),ISNUMBER(SEARCH("去",B3733)),ISNUMBER(SEARCH("入",B3733)))),"Ambiguous",IF(ISNUMBER(SEARCH("平",B3733)),"平","仄")))</x:f>
        <x:v>仄</x:v>
      </x:c>
      <x:c r="K3733" s="6" t="str">
        <x:f>IF(D3733="","",IF(AND(ISNUMBER(SEARCH("平",D3733)),OR(ISNUMBER(SEARCH("上",D3733)),ISNUMBER(SEARCH("去",D3733)),ISNUMBER(SEARCH("入",D3733)))),"Ambiguous",IF(ISNUMBER(SEARCH("平",D3733)),"平","仄")))</x:f>
        <x:v>仄</x:v>
      </x:c>
      <x:c r="L3733" s="7" t="str"/>
    </x:row>
    <x:row r="3734">
      <x:c r="A3734" s="5" t="str">
        <x:v>裘</x:v>
      </x:c>
      <x:c r="B3734" s="6" t="str">
        <x:v>平</x:v>
      </x:c>
      <x:c r="C3734" s="6" t="str">
        <x:f>IF(B3734="","Needs decision","Ready")</x:f>
        <x:v>Ready</x:v>
      </x:c>
      <x:c r="D3734" s="6" t="str">
        <x:v>平</x:v>
      </x:c>
      <x:c r="E3734" s="6" t="str">
        <x:v>gjuw (A)</x:v>
      </x:c>
      <x:c r="F3734" s="6" t="str">
        <x:v>下平聲十一尤</x:v>
      </x:c>
      <x:c r="G3734" s="6" t="str">
        <x:v>Pingshui main list, Wikisource-derived DOCX</x:v>
      </x:c>
      <x:c r="H3734" s="6" t="str">
        <x:v>1</x:v>
      </x:c>
      <x:c r="I3734" s="6" t="str"/>
      <x:c r="J3734" s="6" t="str">
        <x:f>IF(B3734="","",IF(AND(ISNUMBER(SEARCH("平",B3734)),OR(ISNUMBER(SEARCH("上",B3734)),ISNUMBER(SEARCH("去",B3734)),ISNUMBER(SEARCH("入",B3734)))),"Ambiguous",IF(ISNUMBER(SEARCH("平",B3734)),"平","仄")))</x:f>
        <x:v>平</x:v>
      </x:c>
      <x:c r="K3734" s="6" t="str">
        <x:f>IF(D3734="","",IF(AND(ISNUMBER(SEARCH("平",D3734)),OR(ISNUMBER(SEARCH("上",D3734)),ISNUMBER(SEARCH("去",D3734)),ISNUMBER(SEARCH("入",D3734)))),"Ambiguous",IF(ISNUMBER(SEARCH("平",D3734)),"平","仄")))</x:f>
        <x:v>平</x:v>
      </x:c>
      <x:c r="L3734" s="7" t="str"/>
    </x:row>
    <x:row r="3735">
      <x:c r="A3735" s="5" t="str">
        <x:v>裙</x:v>
      </x:c>
      <x:c r="B3735" s="6" t="str">
        <x:v>平</x:v>
      </x:c>
      <x:c r="C3735" s="6" t="str">
        <x:f>IF(B3735="","Needs decision","Ready")</x:f>
        <x:v>Ready</x:v>
      </x:c>
      <x:c r="D3735" s="6" t="str">
        <x:v>平</x:v>
      </x:c>
      <x:c r="E3735" s="6" t="str">
        <x:v>gjun (A)</x:v>
      </x:c>
      <x:c r="F3735" s="6" t="str">
        <x:v>上平聲十二文</x:v>
      </x:c>
      <x:c r="G3735" s="6" t="str">
        <x:v>Pingshui main list, Wikisource-derived DOCX</x:v>
      </x:c>
      <x:c r="H3735" s="6" t="str">
        <x:v>1</x:v>
      </x:c>
      <x:c r="I3735" s="6" t="str"/>
      <x:c r="J3735" s="6" t="str">
        <x:f>IF(B3735="","",IF(AND(ISNUMBER(SEARCH("平",B3735)),OR(ISNUMBER(SEARCH("上",B3735)),ISNUMBER(SEARCH("去",B3735)),ISNUMBER(SEARCH("入",B3735)))),"Ambiguous",IF(ISNUMBER(SEARCH("平",B3735)),"平","仄")))</x:f>
        <x:v>平</x:v>
      </x:c>
      <x:c r="K3735" s="6" t="str">
        <x:f>IF(D3735="","",IF(AND(ISNUMBER(SEARCH("平",D3735)),OR(ISNUMBER(SEARCH("上",D3735)),ISNUMBER(SEARCH("去",D3735)),ISNUMBER(SEARCH("入",D3735)))),"Ambiguous",IF(ISNUMBER(SEARCH("平",D3735)),"平","仄")))</x:f>
        <x:v>平</x:v>
      </x:c>
      <x:c r="L3735" s="7" t="str"/>
    </x:row>
    <x:row r="3736">
      <x:c r="A3736" s="5" t="str">
        <x:v>裛</x:v>
      </x:c>
      <x:c r="B3736" s="6" t="str">
        <x:v>入</x:v>
      </x:c>
      <x:c r="C3736" s="6" t="str">
        <x:f>IF(B3736="","Needs decision","Ready")</x:f>
        <x:v>Ready</x:v>
      </x:c>
      <x:c r="D3736" s="6" t="str">
        <x:v>入</x:v>
      </x:c>
      <x:c r="E3736" s="6" t="str">
        <x:v>'ip [ʔɨ̯ip] (入); 'jaep [ʔɨ̯əp] (入); 'jep [ʔɨ̯ep] (入)</x:v>
      </x:c>
      <x:c r="F3736" s="6" t="str">
        <x:v>入聲十四緝; 入聲十六葉</x:v>
      </x:c>
      <x:c r="G3736" s="6" t="str">
        <x:v>Pingshui main list, Wikisource-derived DOCX</x:v>
      </x:c>
      <x:c r="H3736" s="6" t="str">
        <x:v>3</x:v>
      </x:c>
      <x:c r="I3736" s="6" t="str">
        <x:v>Tang 300 gap; frequency 1; provisional from Xun Gong</x:v>
      </x:c>
      <x:c r="J3736" s="6" t="str">
        <x:f>IF(B3736="","",IF(AND(ISNUMBER(SEARCH("平",B3736)),OR(ISNUMBER(SEARCH("上",B3736)),ISNUMBER(SEARCH("去",B3736)),ISNUMBER(SEARCH("入",B3736)))),"Ambiguous",IF(ISNUMBER(SEARCH("平",B3736)),"平","仄")))</x:f>
        <x:v>仄</x:v>
      </x:c>
      <x:c r="K3736" s="6" t="str">
        <x:f>IF(D3736="","",IF(AND(ISNUMBER(SEARCH("平",D3736)),OR(ISNUMBER(SEARCH("上",D3736)),ISNUMBER(SEARCH("去",D3736)),ISNUMBER(SEARCH("入",D3736)))),"Ambiguous",IF(ISNUMBER(SEARCH("平",D3736)),"平","仄")))</x:f>
        <x:v>仄</x:v>
      </x:c>
      <x:c r="L3736" s="7" t="str">
        <x:v>Xun Gong, Tang 300 gap fill</x:v>
      </x:c>
    </x:row>
    <x:row r="3737">
      <x:c r="A3737" s="5" t="str">
        <x:v>補</x:v>
      </x:c>
      <x:c r="B3737" s="6" t="str">
        <x:v>上</x:v>
      </x:c>
      <x:c r="C3737" s="6" t="str">
        <x:f>IF(B3737="","Needs decision","Ready")</x:f>
        <x:v>Ready</x:v>
      </x:c>
      <x:c r="D3737" s="6" t="str">
        <x:v>上</x:v>
      </x:c>
      <x:c r="E3737" s="6" t="str">
        <x:v>puX (B)</x:v>
      </x:c>
      <x:c r="F3737" s="6" t="str">
        <x:v>上聲七麌</x:v>
      </x:c>
      <x:c r="G3737" s="6" t="str">
        <x:v>Pingshui main list, Wikisource-derived DOCX</x:v>
      </x:c>
      <x:c r="H3737" s="6" t="str">
        <x:v>1</x:v>
      </x:c>
      <x:c r="I3737" s="6" t="str"/>
      <x:c r="J3737" s="6" t="str">
        <x:f>IF(B3737="","",IF(AND(ISNUMBER(SEARCH("平",B3737)),OR(ISNUMBER(SEARCH("上",B3737)),ISNUMBER(SEARCH("去",B3737)),ISNUMBER(SEARCH("入",B3737)))),"Ambiguous",IF(ISNUMBER(SEARCH("平",B3737)),"平","仄")))</x:f>
        <x:v>仄</x:v>
      </x:c>
      <x:c r="K3737" s="6" t="str">
        <x:f>IF(D3737="","",IF(AND(ISNUMBER(SEARCH("平",D3737)),OR(ISNUMBER(SEARCH("上",D3737)),ISNUMBER(SEARCH("去",D3737)),ISNUMBER(SEARCH("入",D3737)))),"Ambiguous",IF(ISNUMBER(SEARCH("平",D3737)),"平","仄")))</x:f>
        <x:v>仄</x:v>
      </x:c>
      <x:c r="L3737" s="7" t="str"/>
    </x:row>
    <x:row r="3738">
      <x:c r="A3738" s="5" t="str">
        <x:v>裝</x:v>
      </x:c>
      <x:c r="B3738" s="6" t="str">
        <x:v>平</x:v>
      </x:c>
      <x:c r="C3738" s="6" t="str">
        <x:f>IF(B3738="","Needs decision","Ready")</x:f>
        <x:v>Ready</x:v>
      </x:c>
      <x:c r="D3738" s="6" t="str">
        <x:v>平</x:v>
      </x:c>
      <x:c r="E3738" s="6" t="str"/>
      <x:c r="F3738" s="6" t="str">
        <x:v>下平聲七陽</x:v>
      </x:c>
      <x:c r="G3738" s="6" t="str">
        <x:v>Pingshui main list, Wikisource-derived DOCX</x:v>
      </x:c>
      <x:c r="H3738" s="6" t="str">
        <x:v>0</x:v>
      </x:c>
      <x:c r="I3738" s="6" t="str">
        <x:v>User correction 2026-09-08; added manually</x:v>
      </x:c>
      <x:c r="J3738" s="6" t="str">
        <x:f>IF(B3738="","",IF(AND(ISNUMBER(SEARCH("平",B3738)),OR(ISNUMBER(SEARCH("上",B3738)),ISNUMBER(SEARCH("去",B3738)),ISNUMBER(SEARCH("入",B3738)))),"Ambiguous",IF(ISNUMBER(SEARCH("平",B3738)),"平","仄")))</x:f>
        <x:v>平</x:v>
      </x:c>
      <x:c r="K3738" s="6" t="str">
        <x:f>IF(D3738="","",IF(AND(ISNUMBER(SEARCH("平",D3738)),OR(ISNUMBER(SEARCH("上",D3738)),ISNUMBER(SEARCH("去",D3738)),ISNUMBER(SEARCH("入",D3738)))),"Ambiguous",IF(ISNUMBER(SEARCH("平",D3738)),"平","仄")))</x:f>
        <x:v>平</x:v>
      </x:c>
      <x:c r="L3738" s="7" t="str">
        <x:v>User correction</x:v>
      </x:c>
    </x:row>
    <x:row r="3739">
      <x:c r="A3739" s="5" t="str">
        <x:v>裳</x:v>
      </x:c>
      <x:c r="B3739" s="6" t="str">
        <x:v>平</x:v>
      </x:c>
      <x:c r="C3739" s="6" t="str">
        <x:f>IF(B3739="","Needs decision","Ready")</x:f>
        <x:v>Ready</x:v>
      </x:c>
      <x:c r="D3739" s="6" t="str">
        <x:v>平</x:v>
      </x:c>
      <x:c r="E3739" s="6" t="str">
        <x:v>dzyang (A)</x:v>
      </x:c>
      <x:c r="F3739" s="6" t="str">
        <x:v>下平聲七陽</x:v>
      </x:c>
      <x:c r="G3739" s="6" t="str">
        <x:v>Pingshui main list, Wikisource-derived DOCX</x:v>
      </x:c>
      <x:c r="H3739" s="6" t="str">
        <x:v>1</x:v>
      </x:c>
      <x:c r="I3739" s="6" t="str"/>
      <x:c r="J3739" s="6" t="str">
        <x:f>IF(B3739="","",IF(AND(ISNUMBER(SEARCH("平",B3739)),OR(ISNUMBER(SEARCH("上",B3739)),ISNUMBER(SEARCH("去",B3739)),ISNUMBER(SEARCH("入",B3739)))),"Ambiguous",IF(ISNUMBER(SEARCH("平",B3739)),"平","仄")))</x:f>
        <x:v>平</x:v>
      </x:c>
      <x:c r="K3739" s="6" t="str">
        <x:f>IF(D3739="","",IF(AND(ISNUMBER(SEARCH("平",D3739)),OR(ISNUMBER(SEARCH("上",D3739)),ISNUMBER(SEARCH("去",D3739)),ISNUMBER(SEARCH("入",D3739)))),"Ambiguous",IF(ISNUMBER(SEARCH("平",D3739)),"平","仄")))</x:f>
        <x:v>平</x:v>
      </x:c>
      <x:c r="L3739" s="7" t="str"/>
    </x:row>
    <x:row r="3740">
      <x:c r="A3740" s="5" t="str">
        <x:v>裸</x:v>
      </x:c>
      <x:c r="B3740" s="6" t="str">
        <x:v>上</x:v>
      </x:c>
      <x:c r="C3740" s="6" t="str">
        <x:f>IF(B3740="","Needs decision","Ready")</x:f>
        <x:v>Ready</x:v>
      </x:c>
      <x:c r="D3740" s="6" t="str">
        <x:v>上</x:v>
      </x:c>
      <x:c r="E3740" s="6" t="str">
        <x:v>lwaX (B)</x:v>
      </x:c>
      <x:c r="F3740" s="6" t="str">
        <x:v>上聲二十哿</x:v>
      </x:c>
      <x:c r="G3740" s="6" t="str">
        <x:v>Pingshui main list, Wikisource-derived DOCX</x:v>
      </x:c>
      <x:c r="H3740" s="6" t="str">
        <x:v>1</x:v>
      </x:c>
      <x:c r="I3740" s="6" t="str"/>
      <x:c r="J3740" s="6" t="str">
        <x:f>IF(B3740="","",IF(AND(ISNUMBER(SEARCH("平",B3740)),OR(ISNUMBER(SEARCH("上",B3740)),ISNUMBER(SEARCH("去",B3740)),ISNUMBER(SEARCH("入",B3740)))),"Ambiguous",IF(ISNUMBER(SEARCH("平",B3740)),"平","仄")))</x:f>
        <x:v>仄</x:v>
      </x:c>
      <x:c r="K3740" s="6" t="str">
        <x:f>IF(D3740="","",IF(AND(ISNUMBER(SEARCH("平",D3740)),OR(ISNUMBER(SEARCH("上",D3740)),ISNUMBER(SEARCH("去",D3740)),ISNUMBER(SEARCH("入",D3740)))),"Ambiguous",IF(ISNUMBER(SEARCH("平",D3740)),"平","仄")))</x:f>
        <x:v>仄</x:v>
      </x:c>
      <x:c r="L3740" s="7" t="str"/>
    </x:row>
    <x:row r="3741">
      <x:c r="A3741" s="5" t="str">
        <x:v>裹</x:v>
      </x:c>
      <x:c r="B3741" s="6" t="str">
        <x:v>上</x:v>
      </x:c>
      <x:c r="C3741" s="6" t="str">
        <x:f>IF(B3741="","Needs decision","Ready")</x:f>
        <x:v>Ready</x:v>
      </x:c>
      <x:c r="D3741" s="6" t="str">
        <x:v>上</x:v>
      </x:c>
      <x:c r="E3741" s="6" t="str">
        <x:v>kwaX (B)</x:v>
      </x:c>
      <x:c r="F3741" s="6" t="str">
        <x:v>上聲二十哿</x:v>
      </x:c>
      <x:c r="G3741" s="6" t="str">
        <x:v>Pingshui main list, Wikisource-derived DOCX</x:v>
      </x:c>
      <x:c r="H3741" s="6" t="str">
        <x:v>1</x:v>
      </x:c>
      <x:c r="I3741" s="6" t="str"/>
      <x:c r="J3741" s="6" t="str">
        <x:f>IF(B3741="","",IF(AND(ISNUMBER(SEARCH("平",B3741)),OR(ISNUMBER(SEARCH("上",B3741)),ISNUMBER(SEARCH("去",B3741)),ISNUMBER(SEARCH("入",B3741)))),"Ambiguous",IF(ISNUMBER(SEARCH("平",B3741)),"平","仄")))</x:f>
        <x:v>仄</x:v>
      </x:c>
      <x:c r="K3741" s="6" t="str">
        <x:f>IF(D3741="","",IF(AND(ISNUMBER(SEARCH("平",D3741)),OR(ISNUMBER(SEARCH("上",D3741)),ISNUMBER(SEARCH("去",D3741)),ISNUMBER(SEARCH("入",D3741)))),"Ambiguous",IF(ISNUMBER(SEARCH("平",D3741)),"平","仄")))</x:f>
        <x:v>仄</x:v>
      </x:c>
      <x:c r="L3741" s="7" t="str"/>
    </x:row>
    <x:row r="3742">
      <x:c r="A3742" s="5" t="str">
        <x:v>裻</x:v>
      </x:c>
      <x:c r="B3742" s="6" t="str">
        <x:v>入</x:v>
      </x:c>
      <x:c r="C3742" s="6" t="str">
        <x:f>IF(B3742="","Needs decision","Ready")</x:f>
        <x:v>Ready</x:v>
      </x:c>
      <x:c r="D3742" s="6" t="str">
        <x:v>入</x:v>
      </x:c>
      <x:c r="E3742" s="6" t="str">
        <x:v>sowk (D); towk (D)</x:v>
      </x:c>
      <x:c r="F3742" s="6" t="str">
        <x:v>入聲二沃</x:v>
      </x:c>
      <x:c r="G3742" s="6" t="str">
        <x:v>Pingshui main list, Wikisource-derived DOCX</x:v>
      </x:c>
      <x:c r="H3742" s="6" t="str">
        <x:v>2</x:v>
      </x:c>
      <x:c r="I3742" s="6" t="str"/>
      <x:c r="J3742" s="6" t="str">
        <x:f>IF(B3742="","",IF(AND(ISNUMBER(SEARCH("平",B3742)),OR(ISNUMBER(SEARCH("上",B3742)),ISNUMBER(SEARCH("去",B3742)),ISNUMBER(SEARCH("入",B3742)))),"Ambiguous",IF(ISNUMBER(SEARCH("平",B3742)),"平","仄")))</x:f>
        <x:v>仄</x:v>
      </x:c>
      <x:c r="K3742" s="6" t="str">
        <x:f>IF(D3742="","",IF(AND(ISNUMBER(SEARCH("平",D3742)),OR(ISNUMBER(SEARCH("上",D3742)),ISNUMBER(SEARCH("去",D3742)),ISNUMBER(SEARCH("入",D3742)))),"Ambiguous",IF(ISNUMBER(SEARCH("平",D3742)),"平","仄")))</x:f>
        <x:v>仄</x:v>
      </x:c>
      <x:c r="L3742" s="7" t="str"/>
    </x:row>
    <x:row r="3743">
      <x:c r="A3743" s="5" t="str">
        <x:v>製</x:v>
      </x:c>
      <x:c r="B3743" s="6" t="str">
        <x:v>去</x:v>
      </x:c>
      <x:c r="C3743" s="6" t="str">
        <x:f>IF(B3743="","Needs decision","Ready")</x:f>
        <x:v>Ready</x:v>
      </x:c>
      <x:c r="D3743" s="6" t="str">
        <x:v>去</x:v>
      </x:c>
      <x:c r="E3743" s="6" t="str">
        <x:v>tsyejH (C)</x:v>
      </x:c>
      <x:c r="F3743" s="6" t="str">
        <x:v>去聲八霽</x:v>
      </x:c>
      <x:c r="G3743" s="6" t="str">
        <x:v>Pingshui main list, Wikisource-derived DOCX</x:v>
      </x:c>
      <x:c r="H3743" s="6" t="str">
        <x:v>1</x:v>
      </x:c>
      <x:c r="I3743" s="6" t="str"/>
      <x:c r="J3743" s="6" t="str">
        <x:f>IF(B3743="","",IF(AND(ISNUMBER(SEARCH("平",B3743)),OR(ISNUMBER(SEARCH("上",B3743)),ISNUMBER(SEARCH("去",B3743)),ISNUMBER(SEARCH("入",B3743)))),"Ambiguous",IF(ISNUMBER(SEARCH("平",B3743)),"平","仄")))</x:f>
        <x:v>仄</x:v>
      </x:c>
      <x:c r="K3743" s="6" t="str">
        <x:f>IF(D3743="","",IF(AND(ISNUMBER(SEARCH("平",D3743)),OR(ISNUMBER(SEARCH("上",D3743)),ISNUMBER(SEARCH("去",D3743)),ISNUMBER(SEARCH("入",D3743)))),"Ambiguous",IF(ISNUMBER(SEARCH("平",D3743)),"平","仄")))</x:f>
        <x:v>仄</x:v>
      </x:c>
      <x:c r="L3743" s="7" t="str"/>
    </x:row>
    <x:row r="3744">
      <x:c r="A3744" s="5" t="str">
        <x:v>裾</x:v>
      </x:c>
      <x:c r="B3744" s="6" t="str">
        <x:v>平</x:v>
      </x:c>
      <x:c r="C3744" s="6" t="str">
        <x:f>IF(B3744="","Needs decision","Ready")</x:f>
        <x:v>Ready</x:v>
      </x:c>
      <x:c r="D3744" s="6" t="str">
        <x:v>平</x:v>
      </x:c>
      <x:c r="E3744" s="6" t="str">
        <x:v>kjo [kɨ̯ə] (平)</x:v>
      </x:c>
      <x:c r="F3744" s="6" t="str">
        <x:v>上平聲六魚</x:v>
      </x:c>
      <x:c r="G3744" s="6" t="str">
        <x:v>Pingshui main list, Wikisource-derived DOCX</x:v>
      </x:c>
      <x:c r="H3744" s="6" t="str">
        <x:v>1</x:v>
      </x:c>
      <x:c r="I3744" s="6" t="str">
        <x:v>Tang 300 gap; frequency 1; provisional from Xun Gong</x:v>
      </x:c>
      <x:c r="J3744" s="6" t="str">
        <x:f>IF(B3744="","",IF(AND(ISNUMBER(SEARCH("平",B3744)),OR(ISNUMBER(SEARCH("上",B3744)),ISNUMBER(SEARCH("去",B3744)),ISNUMBER(SEARCH("入",B3744)))),"Ambiguous",IF(ISNUMBER(SEARCH("平",B3744)),"平","仄")))</x:f>
        <x:v>平</x:v>
      </x:c>
      <x:c r="K3744" s="6" t="str">
        <x:f>IF(D3744="","",IF(AND(ISNUMBER(SEARCH("平",D3744)),OR(ISNUMBER(SEARCH("上",D3744)),ISNUMBER(SEARCH("去",D3744)),ISNUMBER(SEARCH("入",D3744)))),"Ambiguous",IF(ISNUMBER(SEARCH("平",D3744)),"平","仄")))</x:f>
        <x:v>平</x:v>
      </x:c>
      <x:c r="L3744" s="7" t="str">
        <x:v>Xun Gong, Tang 300 gap fill</x:v>
      </x:c>
    </x:row>
    <x:row r="3745">
      <x:c r="A3745" s="5" t="str">
        <x:v>複</x:v>
      </x:c>
      <x:c r="B3745" s="6" t="str">
        <x:v>入</x:v>
      </x:c>
      <x:c r="C3745" s="6" t="str">
        <x:f>IF(B3745="","Needs decision","Ready")</x:f>
        <x:v>Ready</x:v>
      </x:c>
      <x:c r="D3745" s="6" t="str">
        <x:v>入</x:v>
      </x:c>
      <x:c r="E3745" s="6" t="str">
        <x:v>pjuwk (D)</x:v>
      </x:c>
      <x:c r="F3745" s="6" t="str">
        <x:v>入聲一屋</x:v>
      </x:c>
      <x:c r="G3745" s="6" t="str">
        <x:v>Pingshui main list, Wikisource-derived DOCX</x:v>
      </x:c>
      <x:c r="H3745" s="6" t="str">
        <x:v>1</x:v>
      </x:c>
      <x:c r="I3745" s="6" t="str"/>
      <x:c r="J3745" s="6" t="str">
        <x:f>IF(B3745="","",IF(AND(ISNUMBER(SEARCH("平",B3745)),OR(ISNUMBER(SEARCH("上",B3745)),ISNUMBER(SEARCH("去",B3745)),ISNUMBER(SEARCH("入",B3745)))),"Ambiguous",IF(ISNUMBER(SEARCH("平",B3745)),"平","仄")))</x:f>
        <x:v>仄</x:v>
      </x:c>
      <x:c r="K3745" s="6" t="str">
        <x:f>IF(D3745="","",IF(AND(ISNUMBER(SEARCH("平",D3745)),OR(ISNUMBER(SEARCH("上",D3745)),ISNUMBER(SEARCH("去",D3745)),ISNUMBER(SEARCH("入",D3745)))),"Ambiguous",IF(ISNUMBER(SEARCH("平",D3745)),"平","仄")))</x:f>
        <x:v>仄</x:v>
      </x:c>
      <x:c r="L3745" s="7" t="str"/>
    </x:row>
    <x:row r="3746">
      <x:c r="A3746" s="5" t="str">
        <x:v>褊</x:v>
      </x:c>
      <x:c r="B3746" s="6" t="str">
        <x:v>上</x:v>
      </x:c>
      <x:c r="C3746" s="6" t="str">
        <x:f>IF(B3746="","Needs decision","Ready")</x:f>
        <x:v>Ready</x:v>
      </x:c>
      <x:c r="D3746" s="6" t="str">
        <x:v>上</x:v>
      </x:c>
      <x:c r="E3746" s="6" t="str">
        <x:v>pjienX [pjenʔ] (上)</x:v>
      </x:c>
      <x:c r="F3746" s="6" t="str">
        <x:v>上聲十六銑</x:v>
      </x:c>
      <x:c r="G3746" s="6" t="str">
        <x:v>Pingshui main list, Wikisource-derived DOCX</x:v>
      </x:c>
      <x:c r="H3746" s="6" t="str">
        <x:v>1</x:v>
      </x:c>
      <x:c r="I3746" s="6" t="str">
        <x:v>Tang 300 gap; frequency 1; provisional from Xun Gong</x:v>
      </x:c>
      <x:c r="J3746" s="6" t="str">
        <x:f>IF(B3746="","",IF(AND(ISNUMBER(SEARCH("平",B3746)),OR(ISNUMBER(SEARCH("上",B3746)),ISNUMBER(SEARCH("去",B3746)),ISNUMBER(SEARCH("入",B3746)))),"Ambiguous",IF(ISNUMBER(SEARCH("平",B3746)),"平","仄")))</x:f>
        <x:v>仄</x:v>
      </x:c>
      <x:c r="K3746" s="6" t="str">
        <x:f>IF(D3746="","",IF(AND(ISNUMBER(SEARCH("平",D3746)),OR(ISNUMBER(SEARCH("上",D3746)),ISNUMBER(SEARCH("去",D3746)),ISNUMBER(SEARCH("入",D3746)))),"Ambiguous",IF(ISNUMBER(SEARCH("平",D3746)),"平","仄")))</x:f>
        <x:v>仄</x:v>
      </x:c>
      <x:c r="L3746" s="7" t="str">
        <x:v>Xun Gong, Tang 300 gap fill</x:v>
      </x:c>
    </x:row>
    <x:row r="3747">
      <x:c r="A3747" s="5" t="str">
        <x:v>褐</x:v>
      </x:c>
      <x:c r="B3747" s="6" t="str">
        <x:v>入</x:v>
      </x:c>
      <x:c r="C3747" s="6" t="str">
        <x:f>IF(B3747="","Needs decision","Ready")</x:f>
        <x:v>Ready</x:v>
      </x:c>
      <x:c r="D3747" s="6" t="str">
        <x:v>入</x:v>
      </x:c>
      <x:c r="E3747" s="6" t="str">
        <x:v>hat (D)</x:v>
      </x:c>
      <x:c r="F3747" s="6" t="str">
        <x:v>入聲七曷</x:v>
      </x:c>
      <x:c r="G3747" s="6" t="str">
        <x:v>Pingshui main list, Wikisource-derived DOCX</x:v>
      </x:c>
      <x:c r="H3747" s="6" t="str">
        <x:v>1</x:v>
      </x:c>
      <x:c r="I3747" s="6" t="str"/>
      <x:c r="J3747" s="6" t="str">
        <x:f>IF(B3747="","",IF(AND(ISNUMBER(SEARCH("平",B3747)),OR(ISNUMBER(SEARCH("上",B3747)),ISNUMBER(SEARCH("去",B3747)),ISNUMBER(SEARCH("入",B3747)))),"Ambiguous",IF(ISNUMBER(SEARCH("平",B3747)),"平","仄")))</x:f>
        <x:v>仄</x:v>
      </x:c>
      <x:c r="K3747" s="6" t="str">
        <x:f>IF(D3747="","",IF(AND(ISNUMBER(SEARCH("平",D3747)),OR(ISNUMBER(SEARCH("上",D3747)),ISNUMBER(SEARCH("去",D3747)),ISNUMBER(SEARCH("入",D3747)))),"Ambiguous",IF(ISNUMBER(SEARCH("平",D3747)),"平","仄")))</x:f>
        <x:v>仄</x:v>
      </x:c>
      <x:c r="L3747" s="7" t="str"/>
    </x:row>
    <x:row r="3748">
      <x:c r="A3748" s="5" t="str">
        <x:v>褒</x:v>
      </x:c>
      <x:c r="B3748" s="6" t="str">
        <x:v>平</x:v>
      </x:c>
      <x:c r="C3748" s="6" t="str">
        <x:f>IF(B3748="","Needs decision","Ready")</x:f>
        <x:v>Ready</x:v>
      </x:c>
      <x:c r="D3748" s="6" t="str">
        <x:v>平</x:v>
      </x:c>
      <x:c r="E3748" s="6" t="str">
        <x:v>paw (A)</x:v>
      </x:c>
      <x:c r="F3748" s="6" t="str">
        <x:v>下平聲四豪</x:v>
      </x:c>
      <x:c r="G3748" s="6" t="str">
        <x:v>Pingshui main list, Wikisource-derived DOCX</x:v>
      </x:c>
      <x:c r="H3748" s="6" t="str">
        <x:v>1</x:v>
      </x:c>
      <x:c r="I3748" s="6" t="str"/>
      <x:c r="J3748" s="6" t="str">
        <x:f>IF(B3748="","",IF(AND(ISNUMBER(SEARCH("平",B3748)),OR(ISNUMBER(SEARCH("上",B3748)),ISNUMBER(SEARCH("去",B3748)),ISNUMBER(SEARCH("入",B3748)))),"Ambiguous",IF(ISNUMBER(SEARCH("平",B3748)),"平","仄")))</x:f>
        <x:v>平</x:v>
      </x:c>
      <x:c r="K3748" s="6" t="str">
        <x:f>IF(D3748="","",IF(AND(ISNUMBER(SEARCH("平",D3748)),OR(ISNUMBER(SEARCH("上",D3748)),ISNUMBER(SEARCH("去",D3748)),ISNUMBER(SEARCH("入",D3748)))),"Ambiguous",IF(ISNUMBER(SEARCH("平",D3748)),"平","仄")))</x:f>
        <x:v>平</x:v>
      </x:c>
      <x:c r="L3748" s="7" t="str"/>
    </x:row>
    <x:row r="3749">
      <x:c r="A3749" s="5" t="str">
        <x:v>褚</x:v>
      </x:c>
      <x:c r="B3749" s="6" t="str">
        <x:v>上</x:v>
      </x:c>
      <x:c r="C3749" s="6" t="str">
        <x:f>IF(B3749="","Needs decision","Ready")</x:f>
        <x:v>Ready</x:v>
      </x:c>
      <x:c r="D3749" s="6" t="str">
        <x:v>上</x:v>
      </x:c>
      <x:c r="E3749" s="6" t="str">
        <x:v>trjoX (B)</x:v>
      </x:c>
      <x:c r="F3749" s="6" t="str">
        <x:v>上聲六語</x:v>
      </x:c>
      <x:c r="G3749" s="6" t="str">
        <x:v>Pingshui main list, Wikisource-derived DOCX</x:v>
      </x:c>
      <x:c r="H3749" s="6" t="str">
        <x:v>1</x:v>
      </x:c>
      <x:c r="I3749" s="6" t="str"/>
      <x:c r="J3749" s="6" t="str">
        <x:f>IF(B3749="","",IF(AND(ISNUMBER(SEARCH("平",B3749)),OR(ISNUMBER(SEARCH("上",B3749)),ISNUMBER(SEARCH("去",B3749)),ISNUMBER(SEARCH("入",B3749)))),"Ambiguous",IF(ISNUMBER(SEARCH("平",B3749)),"平","仄")))</x:f>
        <x:v>仄</x:v>
      </x:c>
      <x:c r="K3749" s="6" t="str">
        <x:f>IF(D3749="","",IF(AND(ISNUMBER(SEARCH("平",D3749)),OR(ISNUMBER(SEARCH("上",D3749)),ISNUMBER(SEARCH("去",D3749)),ISNUMBER(SEARCH("入",D3749)))),"Ambiguous",IF(ISNUMBER(SEARCH("平",D3749)),"平","仄")))</x:f>
        <x:v>仄</x:v>
      </x:c>
      <x:c r="L3749" s="7" t="str"/>
    </x:row>
    <x:row r="3750">
      <x:c r="A3750" s="5" t="str">
        <x:v>褥</x:v>
      </x:c>
      <x:c r="B3750" s="6" t="str">
        <x:v>入</x:v>
      </x:c>
      <x:c r="C3750" s="6" t="str">
        <x:f>IF(B3750="","Needs decision","Ready")</x:f>
        <x:v>Ready</x:v>
      </x:c>
      <x:c r="D3750" s="6" t="str">
        <x:v>入</x:v>
      </x:c>
      <x:c r="E3750" s="6" t="str">
        <x:v>nowk [n̙ok] (入); nyowk [ɲok] (入)</x:v>
      </x:c>
      <x:c r="F3750" s="6" t="str">
        <x:v>入聲二沃</x:v>
      </x:c>
      <x:c r="G3750" s="6" t="str">
        <x:v>Pingshui main list, Wikisource-derived DOCX</x:v>
      </x:c>
      <x:c r="H3750" s="6" t="str">
        <x:v>2</x:v>
      </x:c>
      <x:c r="I3750" s="6" t="str">
        <x:v>Tang 300 gap; frequency 1; provisional from Xun Gong</x:v>
      </x:c>
      <x:c r="J3750" s="6" t="str">
        <x:f>IF(B3750="","",IF(AND(ISNUMBER(SEARCH("平",B3750)),OR(ISNUMBER(SEARCH("上",B3750)),ISNUMBER(SEARCH("去",B3750)),ISNUMBER(SEARCH("入",B3750)))),"Ambiguous",IF(ISNUMBER(SEARCH("平",B3750)),"平","仄")))</x:f>
        <x:v>仄</x:v>
      </x:c>
      <x:c r="K3750" s="6" t="str">
        <x:f>IF(D3750="","",IF(AND(ISNUMBER(SEARCH("平",D3750)),OR(ISNUMBER(SEARCH("上",D3750)),ISNUMBER(SEARCH("去",D3750)),ISNUMBER(SEARCH("入",D3750)))),"Ambiguous",IF(ISNUMBER(SEARCH("平",D3750)),"平","仄")))</x:f>
        <x:v>仄</x:v>
      </x:c>
      <x:c r="L3750" s="7" t="str">
        <x:v>Xun Gong, Tang 300 gap fill</x:v>
      </x:c>
    </x:row>
    <x:row r="3751">
      <x:c r="A3751" s="5" t="str">
        <x:v>褧</x:v>
      </x:c>
      <x:c r="B3751" s="6" t="str">
        <x:v>上</x:v>
      </x:c>
      <x:c r="C3751" s="6" t="str">
        <x:f>IF(B3751="","Needs decision","Ready")</x:f>
        <x:v>Ready</x:v>
      </x:c>
      <x:c r="D3751" s="6" t="str">
        <x:v>上</x:v>
      </x:c>
      <x:c r="E3751" s="6" t="str">
        <x:v>khwengX (B)</x:v>
      </x:c>
      <x:c r="F3751" s="6" t="str">
        <x:v>上聲二十四迥</x:v>
      </x:c>
      <x:c r="G3751" s="6" t="str">
        <x:v>Pingshui main list, Wikisource-derived DOCX</x:v>
      </x:c>
      <x:c r="H3751" s="6" t="str">
        <x:v>1</x:v>
      </x:c>
      <x:c r="I3751" s="6" t="str"/>
      <x:c r="J3751" s="6" t="str">
        <x:f>IF(B3751="","",IF(AND(ISNUMBER(SEARCH("平",B3751)),OR(ISNUMBER(SEARCH("上",B3751)),ISNUMBER(SEARCH("去",B3751)),ISNUMBER(SEARCH("入",B3751)))),"Ambiguous",IF(ISNUMBER(SEARCH("平",B3751)),"平","仄")))</x:f>
        <x:v>仄</x:v>
      </x:c>
      <x:c r="K3751" s="6" t="str">
        <x:f>IF(D3751="","",IF(AND(ISNUMBER(SEARCH("平",D3751)),OR(ISNUMBER(SEARCH("上",D3751)),ISNUMBER(SEARCH("去",D3751)),ISNUMBER(SEARCH("入",D3751)))),"Ambiguous",IF(ISNUMBER(SEARCH("平",D3751)),"平","仄")))</x:f>
        <x:v>仄</x:v>
      </x:c>
      <x:c r="L3751" s="7" t="str"/>
    </x:row>
    <x:row r="3752">
      <x:c r="A3752" s="5" t="str">
        <x:v>褭</x:v>
      </x:c>
      <x:c r="B3752" s="6" t="str">
        <x:v>上</x:v>
      </x:c>
      <x:c r="C3752" s="6" t="str">
        <x:f>IF(B3752="","Needs decision","Ready")</x:f>
        <x:v>Ready</x:v>
      </x:c>
      <x:c r="D3752" s="6" t="str">
        <x:v>上</x:v>
      </x:c>
      <x:c r="E3752" s="6" t="str"/>
      <x:c r="F3752" s="6" t="str">
        <x:v>上聲十七篠</x:v>
      </x:c>
      <x:c r="G3752" s="6" t="str">
        <x:v>Pingshui main list, Wikisource-derived DOCX</x:v>
      </x:c>
      <x:c r="H3752" s="6" t="str">
        <x:v>0</x:v>
      </x:c>
      <x:c r="I3752" s="6" t="str">
        <x:v>User correction 2026-09-08; added manually</x:v>
      </x:c>
      <x:c r="J3752" s="6" t="str">
        <x:f>IF(B3752="","",IF(AND(ISNUMBER(SEARCH("平",B3752)),OR(ISNUMBER(SEARCH("上",B3752)),ISNUMBER(SEARCH("去",B3752)),ISNUMBER(SEARCH("入",B3752)))),"Ambiguous",IF(ISNUMBER(SEARCH("平",B3752)),"平","仄")))</x:f>
        <x:v>仄</x:v>
      </x:c>
      <x:c r="K3752" s="6" t="str">
        <x:f>IF(D3752="","",IF(AND(ISNUMBER(SEARCH("平",D3752)),OR(ISNUMBER(SEARCH("上",D3752)),ISNUMBER(SEARCH("去",D3752)),ISNUMBER(SEARCH("入",D3752)))),"Ambiguous",IF(ISNUMBER(SEARCH("平",D3752)),"平","仄")))</x:f>
        <x:v>仄</x:v>
      </x:c>
      <x:c r="L3752" s="7" t="str">
        <x:v>User correction</x:v>
      </x:c>
    </x:row>
    <x:row r="3753">
      <x:c r="A3753" s="5" t="str">
        <x:v>褰</x:v>
      </x:c>
      <x:c r="B3753" s="6" t="str">
        <x:v>平</x:v>
      </x:c>
      <x:c r="C3753" s="6" t="str">
        <x:f>IF(B3753="","Needs decision","Ready")</x:f>
        <x:v>Ready</x:v>
      </x:c>
      <x:c r="D3753" s="6" t="str">
        <x:v>平</x:v>
      </x:c>
      <x:c r="E3753" s="6" t="str">
        <x:v>khjen (A)</x:v>
      </x:c>
      <x:c r="F3753" s="6" t="str">
        <x:v>下平聲一先</x:v>
      </x:c>
      <x:c r="G3753" s="6" t="str">
        <x:v>Pingshui main list, Wikisource-derived DOCX</x:v>
      </x:c>
      <x:c r="H3753" s="6" t="str">
        <x:v>1</x:v>
      </x:c>
      <x:c r="I3753" s="6" t="str"/>
      <x:c r="J3753" s="6" t="str">
        <x:f>IF(B3753="","",IF(AND(ISNUMBER(SEARCH("平",B3753)),OR(ISNUMBER(SEARCH("上",B3753)),ISNUMBER(SEARCH("去",B3753)),ISNUMBER(SEARCH("入",B3753)))),"Ambiguous",IF(ISNUMBER(SEARCH("平",B3753)),"平","仄")))</x:f>
        <x:v>平</x:v>
      </x:c>
      <x:c r="K3753" s="6" t="str">
        <x:f>IF(D3753="","",IF(AND(ISNUMBER(SEARCH("平",D3753)),OR(ISNUMBER(SEARCH("上",D3753)),ISNUMBER(SEARCH("去",D3753)),ISNUMBER(SEARCH("入",D3753)))),"Ambiguous",IF(ISNUMBER(SEARCH("平",D3753)),"平","仄")))</x:f>
        <x:v>平</x:v>
      </x:c>
      <x:c r="L3753" s="7" t="str"/>
    </x:row>
    <x:row r="3754">
      <x:c r="A3754" s="5" t="str">
        <x:v>褻</x:v>
      </x:c>
      <x:c r="B3754" s="6" t="str">
        <x:v>入</x:v>
      </x:c>
      <x:c r="C3754" s="6" t="str">
        <x:f>IF(B3754="","Needs decision","Ready")</x:f>
        <x:v>Ready</x:v>
      </x:c>
      <x:c r="D3754" s="6" t="str">
        <x:v>入</x:v>
      </x:c>
      <x:c r="E3754" s="6" t="str">
        <x:v>sjet (D)</x:v>
      </x:c>
      <x:c r="F3754" s="6" t="str">
        <x:v>入聲九屑</x:v>
      </x:c>
      <x:c r="G3754" s="6" t="str">
        <x:v>Pingshui main list, Wikisource-derived DOCX</x:v>
      </x:c>
      <x:c r="H3754" s="6" t="str">
        <x:v>1</x:v>
      </x:c>
      <x:c r="I3754" s="6" t="str"/>
      <x:c r="J3754" s="6" t="str">
        <x:f>IF(B3754="","",IF(AND(ISNUMBER(SEARCH("平",B3754)),OR(ISNUMBER(SEARCH("上",B3754)),ISNUMBER(SEARCH("去",B3754)),ISNUMBER(SEARCH("入",B3754)))),"Ambiguous",IF(ISNUMBER(SEARCH("平",B3754)),"平","仄")))</x:f>
        <x:v>仄</x:v>
      </x:c>
      <x:c r="K3754" s="6" t="str">
        <x:f>IF(D3754="","",IF(AND(ISNUMBER(SEARCH("平",D3754)),OR(ISNUMBER(SEARCH("上",D3754)),ISNUMBER(SEARCH("去",D3754)),ISNUMBER(SEARCH("入",D3754)))),"Ambiguous",IF(ISNUMBER(SEARCH("平",D3754)),"平","仄")))</x:f>
        <x:v>仄</x:v>
      </x:c>
      <x:c r="L3754" s="7" t="str"/>
    </x:row>
    <x:row r="3755">
      <x:c r="A3755" s="5" t="str">
        <x:v>襄</x:v>
      </x:c>
      <x:c r="B3755" s="6" t="str">
        <x:v>平</x:v>
      </x:c>
      <x:c r="C3755" s="6" t="str">
        <x:f>IF(B3755="","Needs decision","Ready")</x:f>
        <x:v>Ready</x:v>
      </x:c>
      <x:c r="D3755" s="6" t="str">
        <x:v>平</x:v>
      </x:c>
      <x:c r="E3755" s="6" t="str">
        <x:v>sjang (A)</x:v>
      </x:c>
      <x:c r="F3755" s="6" t="str">
        <x:v>下平聲七陽</x:v>
      </x:c>
      <x:c r="G3755" s="6" t="str">
        <x:v>Pingshui main list, Wikisource-derived DOCX</x:v>
      </x:c>
      <x:c r="H3755" s="6" t="str">
        <x:v>1</x:v>
      </x:c>
      <x:c r="I3755" s="6" t="str"/>
      <x:c r="J3755" s="6" t="str">
        <x:f>IF(B3755="","",IF(AND(ISNUMBER(SEARCH("平",B3755)),OR(ISNUMBER(SEARCH("上",B3755)),ISNUMBER(SEARCH("去",B3755)),ISNUMBER(SEARCH("入",B3755)))),"Ambiguous",IF(ISNUMBER(SEARCH("平",B3755)),"平","仄")))</x:f>
        <x:v>平</x:v>
      </x:c>
      <x:c r="K3755" s="6" t="str">
        <x:f>IF(D3755="","",IF(AND(ISNUMBER(SEARCH("平",D3755)),OR(ISNUMBER(SEARCH("上",D3755)),ISNUMBER(SEARCH("去",D3755)),ISNUMBER(SEARCH("入",D3755)))),"Ambiguous",IF(ISNUMBER(SEARCH("平",D3755)),"平","仄")))</x:f>
        <x:v>平</x:v>
      </x:c>
      <x:c r="L3755" s="7" t="str"/>
    </x:row>
    <x:row r="3756">
      <x:c r="A3756" s="5" t="str">
        <x:v>襓</x:v>
      </x:c>
      <x:c r="B3756" s="6" t="str">
        <x:v>平</x:v>
      </x:c>
      <x:c r="C3756" s="6" t="str">
        <x:f>IF(B3756="","Needs decision","Ready")</x:f>
        <x:v>Ready</x:v>
      </x:c>
      <x:c r="D3756" s="6" t="str">
        <x:v>平</x:v>
      </x:c>
      <x:c r="E3756" s="6" t="str">
        <x:v>nyew (A)</x:v>
      </x:c>
      <x:c r="F3756" s="6" t="str"/>
      <x:c r="G3756" s="6" t="str"/>
      <x:c r="H3756" s="6" t="str">
        <x:v>1</x:v>
      </x:c>
      <x:c r="I3756" s="6" t="str"/>
      <x:c r="J3756" s="6" t="str">
        <x:f>IF(B3756="","",IF(AND(ISNUMBER(SEARCH("平",B3756)),OR(ISNUMBER(SEARCH("上",B3756)),ISNUMBER(SEARCH("去",B3756)),ISNUMBER(SEARCH("入",B3756)))),"Ambiguous",IF(ISNUMBER(SEARCH("平",B3756)),"平","仄")))</x:f>
        <x:v>平</x:v>
      </x:c>
      <x:c r="K3756" s="6" t="str">
        <x:f>IF(D3756="","",IF(AND(ISNUMBER(SEARCH("平",D3756)),OR(ISNUMBER(SEARCH("上",D3756)),ISNUMBER(SEARCH("去",D3756)),ISNUMBER(SEARCH("入",D3756)))),"Ambiguous",IF(ISNUMBER(SEARCH("平",D3756)),"平","仄")))</x:f>
        <x:v>平</x:v>
      </x:c>
      <x:c r="L3756" s="7" t="str"/>
    </x:row>
    <x:row r="3757">
      <x:c r="A3757" s="5" t="str">
        <x:v>襘</x:v>
      </x:c>
      <x:c r="B3757" s="6" t="str">
        <x:v>去</x:v>
      </x:c>
      <x:c r="C3757" s="6" t="str">
        <x:f>IF(B3757="","Needs decision","Ready")</x:f>
        <x:v>Ready</x:v>
      </x:c>
      <x:c r="D3757" s="6" t="str">
        <x:v>去</x:v>
      </x:c>
      <x:c r="E3757" s="6" t="str">
        <x:v>kwajH (C)</x:v>
      </x:c>
      <x:c r="F3757" s="6" t="str">
        <x:v>去聲九泰</x:v>
      </x:c>
      <x:c r="G3757" s="6" t="str">
        <x:v>Pingshui main list, Wikisource-derived DOCX</x:v>
      </x:c>
      <x:c r="H3757" s="6" t="str">
        <x:v>1</x:v>
      </x:c>
      <x:c r="I3757" s="6" t="str"/>
      <x:c r="J3757" s="6" t="str">
        <x:f>IF(B3757="","",IF(AND(ISNUMBER(SEARCH("平",B3757)),OR(ISNUMBER(SEARCH("上",B3757)),ISNUMBER(SEARCH("去",B3757)),ISNUMBER(SEARCH("入",B3757)))),"Ambiguous",IF(ISNUMBER(SEARCH("平",B3757)),"平","仄")))</x:f>
        <x:v>仄</x:v>
      </x:c>
      <x:c r="K3757" s="6" t="str">
        <x:f>IF(D3757="","",IF(AND(ISNUMBER(SEARCH("平",D3757)),OR(ISNUMBER(SEARCH("上",D3757)),ISNUMBER(SEARCH("去",D3757)),ISNUMBER(SEARCH("入",D3757)))),"Ambiguous",IF(ISNUMBER(SEARCH("平",D3757)),"平","仄")))</x:f>
        <x:v>仄</x:v>
      </x:c>
      <x:c r="L3757" s="7" t="str"/>
    </x:row>
    <x:row r="3758">
      <x:c r="A3758" s="5" t="str">
        <x:v>襜</x:v>
      </x:c>
      <x:c r="B3758" s="6" t="str">
        <x:v>平</x:v>
      </x:c>
      <x:c r="C3758" s="6" t="str">
        <x:f>IF(B3758="","Needs decision","Ready")</x:f>
        <x:v>Ready</x:v>
      </x:c>
      <x:c r="D3758" s="6" t="str">
        <x:v>平</x:v>
      </x:c>
      <x:c r="E3758" s="6" t="str">
        <x:v>tsyhem (A)</x:v>
      </x:c>
      <x:c r="F3758" s="6" t="str">
        <x:v>下平聲十四鹽</x:v>
      </x:c>
      <x:c r="G3758" s="6" t="str">
        <x:v>Pingshui main list, Wikisource-derived DOCX</x:v>
      </x:c>
      <x:c r="H3758" s="6" t="str">
        <x:v>1</x:v>
      </x:c>
      <x:c r="I3758" s="6" t="str"/>
      <x:c r="J3758" s="6" t="str">
        <x:f>IF(B3758="","",IF(AND(ISNUMBER(SEARCH("平",B3758)),OR(ISNUMBER(SEARCH("上",B3758)),ISNUMBER(SEARCH("去",B3758)),ISNUMBER(SEARCH("入",B3758)))),"Ambiguous",IF(ISNUMBER(SEARCH("平",B3758)),"平","仄")))</x:f>
        <x:v>平</x:v>
      </x:c>
      <x:c r="K3758" s="6" t="str">
        <x:f>IF(D3758="","",IF(AND(ISNUMBER(SEARCH("平",D3758)),OR(ISNUMBER(SEARCH("上",D3758)),ISNUMBER(SEARCH("去",D3758)),ISNUMBER(SEARCH("入",D3758)))),"Ambiguous",IF(ISNUMBER(SEARCH("平",D3758)),"平","仄")))</x:f>
        <x:v>平</x:v>
      </x:c>
      <x:c r="L3758" s="7" t="str"/>
    </x:row>
    <x:row r="3759">
      <x:c r="A3759" s="5" t="str">
        <x:v>襟</x:v>
      </x:c>
      <x:c r="B3759" s="6" t="str">
        <x:v>平</x:v>
      </x:c>
      <x:c r="C3759" s="6" t="str">
        <x:f>IF(B3759="","Needs decision","Ready")</x:f>
        <x:v>Ready</x:v>
      </x:c>
      <x:c r="D3759" s="6" t="str">
        <x:v>平</x:v>
      </x:c>
      <x:c r="E3759" s="6" t="str">
        <x:v>kim (A)</x:v>
      </x:c>
      <x:c r="F3759" s="6" t="str">
        <x:v>下平聲十二侵</x:v>
      </x:c>
      <x:c r="G3759" s="6" t="str">
        <x:v>Pingshui main list, Wikisource-derived DOCX</x:v>
      </x:c>
      <x:c r="H3759" s="6" t="str">
        <x:v>1</x:v>
      </x:c>
      <x:c r="I3759" s="6" t="str"/>
      <x:c r="J3759" s="6" t="str">
        <x:f>IF(B3759="","",IF(AND(ISNUMBER(SEARCH("平",B3759)),OR(ISNUMBER(SEARCH("上",B3759)),ISNUMBER(SEARCH("去",B3759)),ISNUMBER(SEARCH("入",B3759)))),"Ambiguous",IF(ISNUMBER(SEARCH("平",B3759)),"平","仄")))</x:f>
        <x:v>平</x:v>
      </x:c>
      <x:c r="K3759" s="6" t="str">
        <x:f>IF(D3759="","",IF(AND(ISNUMBER(SEARCH("平",D3759)),OR(ISNUMBER(SEARCH("上",D3759)),ISNUMBER(SEARCH("去",D3759)),ISNUMBER(SEARCH("入",D3759)))),"Ambiguous",IF(ISNUMBER(SEARCH("平",D3759)),"平","仄")))</x:f>
        <x:v>平</x:v>
      </x:c>
      <x:c r="L3759" s="7" t="str"/>
    </x:row>
    <x:row r="3760">
      <x:c r="A3760" s="5" t="str">
        <x:v>襢</x:v>
      </x:c>
      <x:c r="B3760" s="6" t="str"/>
      <x:c r="C3760" s="6" t="str">
        <x:f>IF(B3760="","Needs decision","Ready")</x:f>
        <x:v>Needs decision</x:v>
      </x:c>
      <x:c r="D3760" s="6" t="str">
        <x:v>上/去</x:v>
      </x:c>
      <x:c r="E3760" s="6" t="str">
        <x:v>trjenX (B); trjenH (C)</x:v>
      </x:c>
      <x:c r="F3760" s="6" t="str"/>
      <x:c r="G3760" s="6" t="str"/>
      <x:c r="H3760" s="6" t="str">
        <x:v>2</x:v>
      </x:c>
      <x:c r="I3760" s="6" t="str"/>
      <x:c r="J3760" s="6" t="str">
        <x:f>IF(B3760="","",IF(AND(ISNUMBER(SEARCH("平",B3760)),OR(ISNUMBER(SEARCH("上",B3760)),ISNUMBER(SEARCH("去",B3760)),ISNUMBER(SEARCH("入",B3760)))),"Ambiguous",IF(ISNUMBER(SEARCH("平",B3760)),"平","仄")))</x:f>
      </x:c>
      <x:c r="K3760" s="6" t="str">
        <x:f>IF(D3760="","",IF(AND(ISNUMBER(SEARCH("平",D3760)),OR(ISNUMBER(SEARCH("上",D3760)),ISNUMBER(SEARCH("去",D3760)),ISNUMBER(SEARCH("入",D3760)))),"Ambiguous",IF(ISNUMBER(SEARCH("平",D3760)),"平","仄")))</x:f>
        <x:v>仄</x:v>
      </x:c>
      <x:c r="L3760" s="7" t="str"/>
    </x:row>
    <x:row r="3761">
      <x:c r="A3761" s="5" t="str">
        <x:v>襦</x:v>
      </x:c>
      <x:c r="B3761" s="6" t="str">
        <x:v>平</x:v>
      </x:c>
      <x:c r="C3761" s="6" t="str">
        <x:f>IF(B3761="","Needs decision","Ready")</x:f>
        <x:v>Ready</x:v>
      </x:c>
      <x:c r="D3761" s="6" t="str">
        <x:v>平</x:v>
      </x:c>
      <x:c r="E3761" s="6" t="str">
        <x:v>nyu (A)</x:v>
      </x:c>
      <x:c r="F3761" s="6" t="str">
        <x:v>上平聲七虞</x:v>
      </x:c>
      <x:c r="G3761" s="6" t="str">
        <x:v>Pingshui main list, Wikisource-derived DOCX</x:v>
      </x:c>
      <x:c r="H3761" s="6" t="str">
        <x:v>1</x:v>
      </x:c>
      <x:c r="I3761" s="6" t="str"/>
      <x:c r="J3761" s="6" t="str">
        <x:f>IF(B3761="","",IF(AND(ISNUMBER(SEARCH("平",B3761)),OR(ISNUMBER(SEARCH("上",B3761)),ISNUMBER(SEARCH("去",B3761)),ISNUMBER(SEARCH("入",B3761)))),"Ambiguous",IF(ISNUMBER(SEARCH("平",B3761)),"平","仄")))</x:f>
        <x:v>平</x:v>
      </x:c>
      <x:c r="K3761" s="6" t="str">
        <x:f>IF(D3761="","",IF(AND(ISNUMBER(SEARCH("平",D3761)),OR(ISNUMBER(SEARCH("上",D3761)),ISNUMBER(SEARCH("去",D3761)),ISNUMBER(SEARCH("入",D3761)))),"Ambiguous",IF(ISNUMBER(SEARCH("平",D3761)),"平","仄")))</x:f>
        <x:v>平</x:v>
      </x:c>
      <x:c r="L3761" s="7" t="str"/>
    </x:row>
    <x:row r="3762">
      <x:c r="A3762" s="5" t="str">
        <x:v>襪</x:v>
      </x:c>
      <x:c r="B3762" s="6" t="str">
        <x:v>入</x:v>
      </x:c>
      <x:c r="C3762" s="6" t="str">
        <x:f>IF(B3762="","Needs decision","Ready")</x:f>
        <x:v>Ready</x:v>
      </x:c>
      <x:c r="D3762" s="6" t="str">
        <x:v>入</x:v>
      </x:c>
      <x:c r="E3762" s="6" t="str">
        <x:v>mjot [mɨ̯ət] (入)</x:v>
      </x:c>
      <x:c r="F3762" s="6" t="str"/>
      <x:c r="G3762" s="6" t="str"/>
      <x:c r="H3762" s="6" t="str">
        <x:v>1</x:v>
      </x:c>
      <x:c r="I3762" s="6" t="str">
        <x:v>Tang 300 gap; frequency 1; provisional from Xun Gong</x:v>
      </x:c>
      <x:c r="J3762" s="6" t="str">
        <x:f>IF(B3762="","",IF(AND(ISNUMBER(SEARCH("平",B3762)),OR(ISNUMBER(SEARCH("上",B3762)),ISNUMBER(SEARCH("去",B3762)),ISNUMBER(SEARCH("入",B3762)))),"Ambiguous",IF(ISNUMBER(SEARCH("平",B3762)),"平","仄")))</x:f>
        <x:v>仄</x:v>
      </x:c>
      <x:c r="K3762" s="6" t="str">
        <x:f>IF(D3762="","",IF(AND(ISNUMBER(SEARCH("平",D3762)),OR(ISNUMBER(SEARCH("上",D3762)),ISNUMBER(SEARCH("去",D3762)),ISNUMBER(SEARCH("入",D3762)))),"Ambiguous",IF(ISNUMBER(SEARCH("平",D3762)),"平","仄")))</x:f>
        <x:v>仄</x:v>
      </x:c>
      <x:c r="L3762" s="7" t="str">
        <x:v>Xun Gong, Tang 300 gap fill</x:v>
      </x:c>
    </x:row>
    <x:row r="3763">
      <x:c r="A3763" s="5" t="str">
        <x:v>襫</x:v>
      </x:c>
      <x:c r="B3763" s="6" t="str">
        <x:v>入</x:v>
      </x:c>
      <x:c r="C3763" s="6" t="str">
        <x:f>IF(B3763="","Needs decision","Ready")</x:f>
        <x:v>Ready</x:v>
      </x:c>
      <x:c r="D3763" s="6" t="str">
        <x:v>入</x:v>
      </x:c>
      <x:c r="E3763" s="6" t="str">
        <x:v>syek (D)</x:v>
      </x:c>
      <x:c r="F3763" s="6" t="str">
        <x:v>入聲十一陌</x:v>
      </x:c>
      <x:c r="G3763" s="6" t="str">
        <x:v>Pingshui main list, Wikisource-derived DOCX</x:v>
      </x:c>
      <x:c r="H3763" s="6" t="str">
        <x:v>1</x:v>
      </x:c>
      <x:c r="I3763" s="6" t="str"/>
      <x:c r="J3763" s="6" t="str">
        <x:f>IF(B3763="","",IF(AND(ISNUMBER(SEARCH("平",B3763)),OR(ISNUMBER(SEARCH("上",B3763)),ISNUMBER(SEARCH("去",B3763)),ISNUMBER(SEARCH("入",B3763)))),"Ambiguous",IF(ISNUMBER(SEARCH("平",B3763)),"平","仄")))</x:f>
        <x:v>仄</x:v>
      </x:c>
      <x:c r="K3763" s="6" t="str">
        <x:f>IF(D3763="","",IF(AND(ISNUMBER(SEARCH("平",D3763)),OR(ISNUMBER(SEARCH("上",D3763)),ISNUMBER(SEARCH("去",D3763)),ISNUMBER(SEARCH("入",D3763)))),"Ambiguous",IF(ISNUMBER(SEARCH("平",D3763)),"平","仄")))</x:f>
        <x:v>仄</x:v>
      </x:c>
      <x:c r="L3763" s="7" t="str"/>
    </x:row>
    <x:row r="3764">
      <x:c r="A3764" s="5" t="str">
        <x:v>襮</x:v>
      </x:c>
      <x:c r="B3764" s="6" t="str">
        <x:v>入</x:v>
      </x:c>
      <x:c r="C3764" s="6" t="str">
        <x:f>IF(B3764="","Needs decision","Ready")</x:f>
        <x:v>Ready</x:v>
      </x:c>
      <x:c r="D3764" s="6" t="str">
        <x:v>入</x:v>
      </x:c>
      <x:c r="E3764" s="6" t="str">
        <x:v>powk (D)</x:v>
      </x:c>
      <x:c r="F3764" s="6" t="str">
        <x:v>入聲二沃</x:v>
      </x:c>
      <x:c r="G3764" s="6" t="str">
        <x:v>Pingshui main list, Wikisource-derived DOCX</x:v>
      </x:c>
      <x:c r="H3764" s="6" t="str">
        <x:v>1</x:v>
      </x:c>
      <x:c r="I3764" s="6" t="str"/>
      <x:c r="J3764" s="6" t="str">
        <x:f>IF(B3764="","",IF(AND(ISNUMBER(SEARCH("平",B3764)),OR(ISNUMBER(SEARCH("上",B3764)),ISNUMBER(SEARCH("去",B3764)),ISNUMBER(SEARCH("入",B3764)))),"Ambiguous",IF(ISNUMBER(SEARCH("平",B3764)),"平","仄")))</x:f>
        <x:v>仄</x:v>
      </x:c>
      <x:c r="K3764" s="6" t="str">
        <x:f>IF(D3764="","",IF(AND(ISNUMBER(SEARCH("平",D3764)),OR(ISNUMBER(SEARCH("上",D3764)),ISNUMBER(SEARCH("去",D3764)),ISNUMBER(SEARCH("入",D3764)))),"Ambiguous",IF(ISNUMBER(SEARCH("平",D3764)),"平","仄")))</x:f>
        <x:v>仄</x:v>
      </x:c>
      <x:c r="L3764" s="7" t="str"/>
    </x:row>
    <x:row r="3765">
      <x:c r="A3765" s="5" t="str">
        <x:v>襲</x:v>
      </x:c>
      <x:c r="B3765" s="6" t="str">
        <x:v>入</x:v>
      </x:c>
      <x:c r="C3765" s="6" t="str">
        <x:f>IF(B3765="","Needs decision","Ready")</x:f>
        <x:v>Ready</x:v>
      </x:c>
      <x:c r="D3765" s="6" t="str">
        <x:v>入</x:v>
      </x:c>
      <x:c r="E3765" s="6" t="str">
        <x:v>zip (D)</x:v>
      </x:c>
      <x:c r="F3765" s="6" t="str"/>
      <x:c r="G3765" s="6" t="str"/>
      <x:c r="H3765" s="6" t="str">
        <x:v>1</x:v>
      </x:c>
      <x:c r="I3765" s="6" t="str"/>
      <x:c r="J3765" s="6" t="str">
        <x:f>IF(B3765="","",IF(AND(ISNUMBER(SEARCH("平",B3765)),OR(ISNUMBER(SEARCH("上",B3765)),ISNUMBER(SEARCH("去",B3765)),ISNUMBER(SEARCH("入",B3765)))),"Ambiguous",IF(ISNUMBER(SEARCH("平",B3765)),"平","仄")))</x:f>
        <x:v>仄</x:v>
      </x:c>
      <x:c r="K3765" s="6" t="str">
        <x:f>IF(D3765="","",IF(AND(ISNUMBER(SEARCH("平",D3765)),OR(ISNUMBER(SEARCH("上",D3765)),ISNUMBER(SEARCH("去",D3765)),ISNUMBER(SEARCH("入",D3765)))),"Ambiguous",IF(ISNUMBER(SEARCH("平",D3765)),"平","仄")))</x:f>
        <x:v>仄</x:v>
      </x:c>
      <x:c r="L3765" s="7" t="str"/>
    </x:row>
    <x:row r="3766">
      <x:c r="A3766" s="5" t="str">
        <x:v>襾</x:v>
      </x:c>
      <x:c r="B3766" s="6" t="str">
        <x:v>上</x:v>
      </x:c>
      <x:c r="C3766" s="6" t="str">
        <x:f>IF(B3766="","Needs decision","Ready")</x:f>
        <x:v>Ready</x:v>
      </x:c>
      <x:c r="D3766" s="6" t="str">
        <x:v>上</x:v>
      </x:c>
      <x:c r="E3766" s="6" t="str">
        <x:v>xaeX (B)</x:v>
      </x:c>
      <x:c r="F3766" s="6" t="str"/>
      <x:c r="G3766" s="6" t="str"/>
      <x:c r="H3766" s="6" t="str">
        <x:v>1</x:v>
      </x:c>
      <x:c r="I3766" s="6" t="str"/>
      <x:c r="J3766" s="6" t="str">
        <x:f>IF(B3766="","",IF(AND(ISNUMBER(SEARCH("平",B3766)),OR(ISNUMBER(SEARCH("上",B3766)),ISNUMBER(SEARCH("去",B3766)),ISNUMBER(SEARCH("入",B3766)))),"Ambiguous",IF(ISNUMBER(SEARCH("平",B3766)),"平","仄")))</x:f>
        <x:v>仄</x:v>
      </x:c>
      <x:c r="K3766" s="6" t="str">
        <x:f>IF(D3766="","",IF(AND(ISNUMBER(SEARCH("平",D3766)),OR(ISNUMBER(SEARCH("上",D3766)),ISNUMBER(SEARCH("去",D3766)),ISNUMBER(SEARCH("入",D3766)))),"Ambiguous",IF(ISNUMBER(SEARCH("平",D3766)),"平","仄")))</x:f>
        <x:v>仄</x:v>
      </x:c>
      <x:c r="L3766" s="7" t="str"/>
    </x:row>
    <x:row r="3767">
      <x:c r="A3767" s="5" t="str">
        <x:v>西</x:v>
      </x:c>
      <x:c r="B3767" s="6" t="str">
        <x:v>平</x:v>
      </x:c>
      <x:c r="C3767" s="6" t="str">
        <x:f>IF(B3767="","Needs decision","Ready")</x:f>
        <x:v>Ready</x:v>
      </x:c>
      <x:c r="D3767" s="6" t="str">
        <x:v>平</x:v>
      </x:c>
      <x:c r="E3767" s="6" t="str">
        <x:v>sej (A)</x:v>
      </x:c>
      <x:c r="F3767" s="6" t="str">
        <x:v>上平聲八齊</x:v>
      </x:c>
      <x:c r="G3767" s="6" t="str">
        <x:v>Pingshui main list, Wikisource-derived DOCX</x:v>
      </x:c>
      <x:c r="H3767" s="6" t="str">
        <x:v>1</x:v>
      </x:c>
      <x:c r="I3767" s="6" t="str"/>
      <x:c r="J3767" s="6" t="str">
        <x:f>IF(B3767="","",IF(AND(ISNUMBER(SEARCH("平",B3767)),OR(ISNUMBER(SEARCH("上",B3767)),ISNUMBER(SEARCH("去",B3767)),ISNUMBER(SEARCH("入",B3767)))),"Ambiguous",IF(ISNUMBER(SEARCH("平",B3767)),"平","仄")))</x:f>
        <x:v>平</x:v>
      </x:c>
      <x:c r="K3767" s="6" t="str">
        <x:f>IF(D3767="","",IF(AND(ISNUMBER(SEARCH("平",D3767)),OR(ISNUMBER(SEARCH("上",D3767)),ISNUMBER(SEARCH("去",D3767)),ISNUMBER(SEARCH("入",D3767)))),"Ambiguous",IF(ISNUMBER(SEARCH("平",D3767)),"平","仄")))</x:f>
        <x:v>平</x:v>
      </x:c>
      <x:c r="L3767" s="7" t="str"/>
    </x:row>
    <x:row r="3768">
      <x:c r="A3768" s="5" t="str">
        <x:v>要</x:v>
      </x:c>
      <x:c r="B3768" s="6" t="str">
        <x:v>去</x:v>
      </x:c>
      <x:c r="C3768" s="6" t="str">
        <x:f>IF(B3768="","Needs decision","Ready")</x:f>
        <x:v>Ready</x:v>
      </x:c>
      <x:c r="D3768" s="6" t="str">
        <x:v>去</x:v>
      </x:c>
      <x:c r="E3768" s="6" t="str">
        <x:v>'jiewH (C)</x:v>
      </x:c>
      <x:c r="F3768" s="6" t="str">
        <x:v>下平聲二蕭; 去聲十八嘯</x:v>
      </x:c>
      <x:c r="G3768" s="6" t="str">
        <x:v>Pingshui main list, Wikisource-derived DOCX</x:v>
      </x:c>
      <x:c r="H3768" s="6" t="str">
        <x:v>1</x:v>
      </x:c>
      <x:c r="I3768" s="6" t="str"/>
      <x:c r="J3768" s="6" t="str">
        <x:f>IF(B3768="","",IF(AND(ISNUMBER(SEARCH("平",B3768)),OR(ISNUMBER(SEARCH("上",B3768)),ISNUMBER(SEARCH("去",B3768)),ISNUMBER(SEARCH("入",B3768)))),"Ambiguous",IF(ISNUMBER(SEARCH("平",B3768)),"平","仄")))</x:f>
        <x:v>仄</x:v>
      </x:c>
      <x:c r="K3768" s="6" t="str">
        <x:f>IF(D3768="","",IF(AND(ISNUMBER(SEARCH("平",D3768)),OR(ISNUMBER(SEARCH("上",D3768)),ISNUMBER(SEARCH("去",D3768)),ISNUMBER(SEARCH("入",D3768)))),"Ambiguous",IF(ISNUMBER(SEARCH("平",D3768)),"平","仄")))</x:f>
        <x:v>仄</x:v>
      </x:c>
      <x:c r="L3768" s="7" t="str"/>
    </x:row>
    <x:row r="3769">
      <x:c r="A3769" s="5" t="str">
        <x:v>覂</x:v>
      </x:c>
      <x:c r="B3769" s="6" t="str">
        <x:v>上</x:v>
      </x:c>
      <x:c r="C3769" s="6" t="str">
        <x:f>IF(B3769="","Needs decision","Ready")</x:f>
        <x:v>Ready</x:v>
      </x:c>
      <x:c r="D3769" s="6" t="str">
        <x:v>上</x:v>
      </x:c>
      <x:c r="E3769" s="6" t="str">
        <x:v>pjowngX (B)</x:v>
      </x:c>
      <x:c r="F3769" s="6" t="str">
        <x:v>上聲二腫</x:v>
      </x:c>
      <x:c r="G3769" s="6" t="str">
        <x:v>Pingshui main list, Wikisource-derived DOCX</x:v>
      </x:c>
      <x:c r="H3769" s="6" t="str">
        <x:v>1</x:v>
      </x:c>
      <x:c r="I3769" s="6" t="str"/>
      <x:c r="J3769" s="6" t="str">
        <x:f>IF(B3769="","",IF(AND(ISNUMBER(SEARCH("平",B3769)),OR(ISNUMBER(SEARCH("上",B3769)),ISNUMBER(SEARCH("去",B3769)),ISNUMBER(SEARCH("入",B3769)))),"Ambiguous",IF(ISNUMBER(SEARCH("平",B3769)),"平","仄")))</x:f>
        <x:v>仄</x:v>
      </x:c>
      <x:c r="K3769" s="6" t="str">
        <x:f>IF(D3769="","",IF(AND(ISNUMBER(SEARCH("平",D3769)),OR(ISNUMBER(SEARCH("上",D3769)),ISNUMBER(SEARCH("去",D3769)),ISNUMBER(SEARCH("入",D3769)))),"Ambiguous",IF(ISNUMBER(SEARCH("平",D3769)),"平","仄")))</x:f>
        <x:v>仄</x:v>
      </x:c>
      <x:c r="L3769" s="7" t="str"/>
    </x:row>
    <x:row r="3770">
      <x:c r="A3770" s="5" t="str">
        <x:v>覃</x:v>
      </x:c>
      <x:c r="B3770" s="6" t="str"/>
      <x:c r="C3770" s="6" t="str">
        <x:f>IF(B3770="","Needs decision","Ready")</x:f>
        <x:v>Needs decision</x:v>
      </x:c>
      <x:c r="D3770" s="6" t="str">
        <x:v>平/上</x:v>
      </x:c>
      <x:c r="E3770" s="6" t="str">
        <x:v>dom (A); yemX (B)</x:v>
      </x:c>
      <x:c r="F3770" s="6" t="str">
        <x:v>下平聲十三覃</x:v>
      </x:c>
      <x:c r="G3770" s="6" t="str">
        <x:v>Pingshui main list, Wikisource-derived DOCX</x:v>
      </x:c>
      <x:c r="H3770" s="6" t="str">
        <x:v>2</x:v>
      </x:c>
      <x:c r="I3770" s="6" t="str"/>
      <x:c r="J3770" s="6" t="str">
        <x:f>IF(B3770="","",IF(AND(ISNUMBER(SEARCH("平",B3770)),OR(ISNUMBER(SEARCH("上",B3770)),ISNUMBER(SEARCH("去",B3770)),ISNUMBER(SEARCH("入",B3770)))),"Ambiguous",IF(ISNUMBER(SEARCH("平",B3770)),"平","仄")))</x:f>
      </x:c>
      <x:c r="K3770" s="6" t="str">
        <x:f>IF(D3770="","",IF(AND(ISNUMBER(SEARCH("平",D3770)),OR(ISNUMBER(SEARCH("上",D3770)),ISNUMBER(SEARCH("去",D3770)),ISNUMBER(SEARCH("入",D3770)))),"Ambiguous",IF(ISNUMBER(SEARCH("平",D3770)),"平","仄")))</x:f>
        <x:v>Ambiguous</x:v>
      </x:c>
      <x:c r="L3770" s="7" t="str"/>
    </x:row>
    <x:row r="3771">
      <x:c r="A3771" s="5" t="str">
        <x:v>覆</x:v>
      </x:c>
      <x:c r="B3771" s="6" t="str"/>
      <x:c r="C3771" s="6" t="str">
        <x:f>IF(B3771="","Needs decision","Ready")</x:f>
        <x:v>Needs decision</x:v>
      </x:c>
      <x:c r="D3771" s="6" t="str">
        <x:v>去/入</x:v>
      </x:c>
      <x:c r="E3771" s="6" t="str">
        <x:v>phjuwH (C); phjuwk (D)</x:v>
      </x:c>
      <x:c r="F3771" s="6" t="str">
        <x:v>去聲二十六宥; 入聲一屋</x:v>
      </x:c>
      <x:c r="G3771" s="6" t="str">
        <x:v>Pingshui main list, Wikisource-derived DOCX</x:v>
      </x:c>
      <x:c r="H3771" s="6" t="str">
        <x:v>2</x:v>
      </x:c>
      <x:c r="I3771" s="6" t="str"/>
      <x:c r="J3771" s="6" t="str">
        <x:f>IF(B3771="","",IF(AND(ISNUMBER(SEARCH("平",B3771)),OR(ISNUMBER(SEARCH("上",B3771)),ISNUMBER(SEARCH("去",B3771)),ISNUMBER(SEARCH("入",B3771)))),"Ambiguous",IF(ISNUMBER(SEARCH("平",B3771)),"平","仄")))</x:f>
      </x:c>
      <x:c r="K3771" s="6" t="str">
        <x:f>IF(D3771="","",IF(AND(ISNUMBER(SEARCH("平",D3771)),OR(ISNUMBER(SEARCH("上",D3771)),ISNUMBER(SEARCH("去",D3771)),ISNUMBER(SEARCH("入",D3771)))),"Ambiguous",IF(ISNUMBER(SEARCH("平",D3771)),"平","仄")))</x:f>
        <x:v>仄</x:v>
      </x:c>
      <x:c r="L3771" s="7" t="str"/>
    </x:row>
    <x:row r="3772">
      <x:c r="A3772" s="5" t="str">
        <x:v>覈</x:v>
      </x:c>
      <x:c r="B3772" s="6" t="str">
        <x:v>入</x:v>
      </x:c>
      <x:c r="C3772" s="6" t="str">
        <x:f>IF(B3772="","Needs decision","Ready")</x:f>
        <x:v>Ready</x:v>
      </x:c>
      <x:c r="D3772" s="6" t="str">
        <x:v>入</x:v>
      </x:c>
      <x:c r="E3772" s="6" t="str">
        <x:v>heak (D)</x:v>
      </x:c>
      <x:c r="F3772" s="6" t="str">
        <x:v>入聲九屑; 入聲十一陌</x:v>
      </x:c>
      <x:c r="G3772" s="6" t="str">
        <x:v>Pingshui main list, Wikisource-derived DOCX</x:v>
      </x:c>
      <x:c r="H3772" s="6" t="str">
        <x:v>1</x:v>
      </x:c>
      <x:c r="I3772" s="6" t="str"/>
      <x:c r="J3772" s="6" t="str">
        <x:f>IF(B3772="","",IF(AND(ISNUMBER(SEARCH("平",B3772)),OR(ISNUMBER(SEARCH("上",B3772)),ISNUMBER(SEARCH("去",B3772)),ISNUMBER(SEARCH("入",B3772)))),"Ambiguous",IF(ISNUMBER(SEARCH("平",B3772)),"平","仄")))</x:f>
        <x:v>仄</x:v>
      </x:c>
      <x:c r="K3772" s="6" t="str">
        <x:f>IF(D3772="","",IF(AND(ISNUMBER(SEARCH("平",D3772)),OR(ISNUMBER(SEARCH("上",D3772)),ISNUMBER(SEARCH("去",D3772)),ISNUMBER(SEARCH("入",D3772)))),"Ambiguous",IF(ISNUMBER(SEARCH("平",D3772)),"平","仄")))</x:f>
        <x:v>仄</x:v>
      </x:c>
      <x:c r="L3772" s="7" t="str"/>
    </x:row>
    <x:row r="3773">
      <x:c r="A3773" s="5" t="str">
        <x:v>見</x:v>
      </x:c>
      <x:c r="B3773" s="6" t="str">
        <x:v>去</x:v>
      </x:c>
      <x:c r="C3773" s="6" t="str">
        <x:f>IF(B3773="","Needs decision","Ready")</x:f>
        <x:v>Ready</x:v>
      </x:c>
      <x:c r="D3773" s="6" t="str">
        <x:v>去</x:v>
      </x:c>
      <x:c r="E3773" s="6" t="str">
        <x:v>kenH (C); henH (C)</x:v>
      </x:c>
      <x:c r="F3773" s="6" t="str">
        <x:v>去聲十七霰</x:v>
      </x:c>
      <x:c r="G3773" s="6" t="str">
        <x:v>Pingshui main list, Wikisource-derived DOCX</x:v>
      </x:c>
      <x:c r="H3773" s="6" t="str">
        <x:v>2</x:v>
      </x:c>
      <x:c r="I3773" s="6" t="str"/>
      <x:c r="J3773" s="6" t="str">
        <x:f>IF(B3773="","",IF(AND(ISNUMBER(SEARCH("平",B3773)),OR(ISNUMBER(SEARCH("上",B3773)),ISNUMBER(SEARCH("去",B3773)),ISNUMBER(SEARCH("入",B3773)))),"Ambiguous",IF(ISNUMBER(SEARCH("平",B3773)),"平","仄")))</x:f>
        <x:v>仄</x:v>
      </x:c>
      <x:c r="K3773" s="6" t="str">
        <x:f>IF(D3773="","",IF(AND(ISNUMBER(SEARCH("平",D3773)),OR(ISNUMBER(SEARCH("上",D3773)),ISNUMBER(SEARCH("去",D3773)),ISNUMBER(SEARCH("入",D3773)))),"Ambiguous",IF(ISNUMBER(SEARCH("平",D3773)),"平","仄")))</x:f>
        <x:v>仄</x:v>
      </x:c>
      <x:c r="L3773" s="7" t="str"/>
    </x:row>
    <x:row r="3774">
      <x:c r="A3774" s="5" t="str">
        <x:v>規</x:v>
      </x:c>
      <x:c r="B3774" s="6" t="str">
        <x:v>平</x:v>
      </x:c>
      <x:c r="C3774" s="6" t="str">
        <x:f>IF(B3774="","Needs decision","Ready")</x:f>
        <x:v>Ready</x:v>
      </x:c>
      <x:c r="D3774" s="6" t="str">
        <x:v>平</x:v>
      </x:c>
      <x:c r="E3774" s="6" t="str">
        <x:v>kjwie (A)</x:v>
      </x:c>
      <x:c r="F3774" s="6" t="str">
        <x:v>上平聲四支</x:v>
      </x:c>
      <x:c r="G3774" s="6" t="str">
        <x:v>Pingshui main list, Wikisource-derived DOCX</x:v>
      </x:c>
      <x:c r="H3774" s="6" t="str">
        <x:v>1</x:v>
      </x:c>
      <x:c r="I3774" s="6" t="str"/>
      <x:c r="J3774" s="6" t="str">
        <x:f>IF(B3774="","",IF(AND(ISNUMBER(SEARCH("平",B3774)),OR(ISNUMBER(SEARCH("上",B3774)),ISNUMBER(SEARCH("去",B3774)),ISNUMBER(SEARCH("入",B3774)))),"Ambiguous",IF(ISNUMBER(SEARCH("平",B3774)),"平","仄")))</x:f>
        <x:v>平</x:v>
      </x:c>
      <x:c r="K3774" s="6" t="str">
        <x:f>IF(D3774="","",IF(AND(ISNUMBER(SEARCH("平",D3774)),OR(ISNUMBER(SEARCH("上",D3774)),ISNUMBER(SEARCH("去",D3774)),ISNUMBER(SEARCH("入",D3774)))),"Ambiguous",IF(ISNUMBER(SEARCH("平",D3774)),"平","仄")))</x:f>
        <x:v>平</x:v>
      </x:c>
      <x:c r="L3774" s="7" t="str"/>
    </x:row>
    <x:row r="3775">
      <x:c r="A3775" s="5" t="str">
        <x:v>覓</x:v>
      </x:c>
      <x:c r="B3775" s="6" t="str">
        <x:v>入</x:v>
      </x:c>
      <x:c r="C3775" s="6" t="str">
        <x:f>IF(B3775="","Needs decision","Ready")</x:f>
        <x:v>Ready</x:v>
      </x:c>
      <x:c r="D3775" s="6" t="str">
        <x:v>入</x:v>
      </x:c>
      <x:c r="E3775" s="6" t="str">
        <x:v>mek [m̙ek] (入)</x:v>
      </x:c>
      <x:c r="F3775" s="6" t="str">
        <x:v>入聲十二錫</x:v>
      </x:c>
      <x:c r="G3775" s="6" t="str">
        <x:v>Pingshui main list, Wikisource-derived DOCX</x:v>
      </x:c>
      <x:c r="H3775" s="6" t="str">
        <x:v>1</x:v>
      </x:c>
      <x:c r="I3775" s="6" t="str">
        <x:v>Tang 300 gap; frequency 3; provisional from Xun Gong</x:v>
      </x:c>
      <x:c r="J3775" s="6" t="str">
        <x:f>IF(B3775="","",IF(AND(ISNUMBER(SEARCH("平",B3775)),OR(ISNUMBER(SEARCH("上",B3775)),ISNUMBER(SEARCH("去",B3775)),ISNUMBER(SEARCH("入",B3775)))),"Ambiguous",IF(ISNUMBER(SEARCH("平",B3775)),"平","仄")))</x:f>
        <x:v>仄</x:v>
      </x:c>
      <x:c r="K3775" s="6" t="str">
        <x:f>IF(D3775="","",IF(AND(ISNUMBER(SEARCH("平",D3775)),OR(ISNUMBER(SEARCH("上",D3775)),ISNUMBER(SEARCH("去",D3775)),ISNUMBER(SEARCH("入",D3775)))),"Ambiguous",IF(ISNUMBER(SEARCH("平",D3775)),"平","仄")))</x:f>
        <x:v>仄</x:v>
      </x:c>
      <x:c r="L3775" s="7" t="str">
        <x:v>Xun Gong, Tang 300 gap fill</x:v>
      </x:c>
    </x:row>
    <x:row r="3776">
      <x:c r="A3776" s="5" t="str">
        <x:v>視</x:v>
      </x:c>
      <x:c r="B3776" s="6" t="str">
        <x:v>去</x:v>
      </x:c>
      <x:c r="C3776" s="6" t="str">
        <x:f>IF(B3776="","Needs decision","Ready")</x:f>
        <x:v>Ready</x:v>
      </x:c>
      <x:c r="D3776" s="6" t="str">
        <x:v>上/去</x:v>
      </x:c>
      <x:c r="E3776" s="6" t="str">
        <x:v>dzyijX (B); dzyijH (C)</x:v>
      </x:c>
      <x:c r="F3776" s="6" t="str">
        <x:v>上聲四紙</x:v>
      </x:c>
      <x:c r="G3776" s="6" t="str">
        <x:v>Pingshui main list, Wikisource-derived DOCX</x:v>
      </x:c>
      <x:c r="H3776" s="6" t="str">
        <x:v>2</x:v>
      </x:c>
      <x:c r="I3776" s="6" t="str"/>
      <x:c r="J3776" s="6" t="str">
        <x:f>IF(B3776="","",IF(AND(ISNUMBER(SEARCH("平",B3776)),OR(ISNUMBER(SEARCH("上",B3776)),ISNUMBER(SEARCH("去",B3776)),ISNUMBER(SEARCH("入",B3776)))),"Ambiguous",IF(ISNUMBER(SEARCH("平",B3776)),"平","仄")))</x:f>
        <x:v>仄</x:v>
      </x:c>
      <x:c r="K3776" s="6" t="str">
        <x:f>IF(D3776="","",IF(AND(ISNUMBER(SEARCH("平",D3776)),OR(ISNUMBER(SEARCH("上",D3776)),ISNUMBER(SEARCH("去",D3776)),ISNUMBER(SEARCH("入",D3776)))),"Ambiguous",IF(ISNUMBER(SEARCH("平",D3776)),"平","仄")))</x:f>
        <x:v>仄</x:v>
      </x:c>
      <x:c r="L3776" s="7" t="str"/>
    </x:row>
    <x:row r="3777">
      <x:c r="A3777" s="5" t="str">
        <x:v>覩</x:v>
      </x:c>
      <x:c r="B3777" s="6" t="str">
        <x:v>上</x:v>
      </x:c>
      <x:c r="C3777" s="6" t="str">
        <x:f>IF(B3777="","Needs decision","Ready")</x:f>
        <x:v>Ready</x:v>
      </x:c>
      <x:c r="D3777" s="6" t="str">
        <x:v>上</x:v>
      </x:c>
      <x:c r="E3777" s="6" t="str">
        <x:v>tuX [端一模上] t̙oʔ</x:v>
      </x:c>
      <x:c r="F3777" s="6" t="str"/>
      <x:c r="G3777" s="6" t="str"/>
      <x:c r="H3777" s="6" t="str">
        <x:v>1</x:v>
      </x:c>
      <x:c r="I3777" s="6" t="str">
        <x:v>Targeted preliminary fill from Xun Gong; review if uncertain</x:v>
      </x:c>
      <x:c r="J3777" s="6" t="str">
        <x:f>IF(B3777="","",IF(AND(ISNUMBER(SEARCH("平",B3777)),OR(ISNUMBER(SEARCH("上",B3777)),ISNUMBER(SEARCH("去",B3777)),ISNUMBER(SEARCH("入",B3777)))),"Ambiguous",IF(ISNUMBER(SEARCH("平",B3777)),"平","仄")))</x:f>
        <x:v>仄</x:v>
      </x:c>
      <x:c r="K3777" s="6" t="str">
        <x:f>IF(D3777="","",IF(AND(ISNUMBER(SEARCH("平",D3777)),OR(ISNUMBER(SEARCH("上",D3777)),ISNUMBER(SEARCH("去",D3777)),ISNUMBER(SEARCH("入",D3777)))),"Ambiguous",IF(ISNUMBER(SEARCH("平",D3777)),"平","仄")))</x:f>
        <x:v>仄</x:v>
      </x:c>
      <x:c r="L3777" s="7" t="str">
        <x:v>Xun Gong character-readings.csv</x:v>
      </x:c>
    </x:row>
    <x:row r="3778">
      <x:c r="A3778" s="5" t="str">
        <x:v>親</x:v>
      </x:c>
      <x:c r="B3778" s="6" t="str">
        <x:v>平</x:v>
      </x:c>
      <x:c r="C3778" s="6" t="str">
        <x:f>IF(B3778="","Needs decision","Ready")</x:f>
        <x:v>Ready</x:v>
      </x:c>
      <x:c r="D3778" s="6" t="str">
        <x:v>平</x:v>
      </x:c>
      <x:c r="E3778" s="6" t="str">
        <x:v>tshin (A)</x:v>
      </x:c>
      <x:c r="F3778" s="6" t="str">
        <x:v>上平聲十一真; 去聲十二震</x:v>
      </x:c>
      <x:c r="G3778" s="6" t="str">
        <x:v>Pingshui main list, Wikisource-derived DOCX</x:v>
      </x:c>
      <x:c r="H3778" s="6" t="str">
        <x:v>1</x:v>
      </x:c>
      <x:c r="I3778" s="6" t="str"/>
      <x:c r="J3778" s="6" t="str">
        <x:f>IF(B3778="","",IF(AND(ISNUMBER(SEARCH("平",B3778)),OR(ISNUMBER(SEARCH("上",B3778)),ISNUMBER(SEARCH("去",B3778)),ISNUMBER(SEARCH("入",B3778)))),"Ambiguous",IF(ISNUMBER(SEARCH("平",B3778)),"平","仄")))</x:f>
        <x:v>平</x:v>
      </x:c>
      <x:c r="K3778" s="6" t="str">
        <x:f>IF(D3778="","",IF(AND(ISNUMBER(SEARCH("平",D3778)),OR(ISNUMBER(SEARCH("上",D3778)),ISNUMBER(SEARCH("去",D3778)),ISNUMBER(SEARCH("入",D3778)))),"Ambiguous",IF(ISNUMBER(SEARCH("平",D3778)),"平","仄")))</x:f>
        <x:v>平</x:v>
      </x:c>
      <x:c r="L3778" s="7" t="str"/>
    </x:row>
    <x:row r="3779">
      <x:c r="A3779" s="5" t="str">
        <x:v>覯</x:v>
      </x:c>
      <x:c r="B3779" s="6" t="str">
        <x:v>去</x:v>
      </x:c>
      <x:c r="C3779" s="6" t="str">
        <x:f>IF(B3779="","Needs decision","Ready")</x:f>
        <x:v>Ready</x:v>
      </x:c>
      <x:c r="D3779" s="6" t="str">
        <x:v>去</x:v>
      </x:c>
      <x:c r="E3779" s="6" t="str">
        <x:v>kuwH (C)</x:v>
      </x:c>
      <x:c r="F3779" s="6" t="str">
        <x:v>去聲二十六宥</x:v>
      </x:c>
      <x:c r="G3779" s="6" t="str">
        <x:v>Pingshui main list, Wikisource-derived DOCX</x:v>
      </x:c>
      <x:c r="H3779" s="6" t="str">
        <x:v>1</x:v>
      </x:c>
      <x:c r="I3779" s="6" t="str"/>
      <x:c r="J3779" s="6" t="str">
        <x:f>IF(B3779="","",IF(AND(ISNUMBER(SEARCH("平",B3779)),OR(ISNUMBER(SEARCH("上",B3779)),ISNUMBER(SEARCH("去",B3779)),ISNUMBER(SEARCH("入",B3779)))),"Ambiguous",IF(ISNUMBER(SEARCH("平",B3779)),"平","仄")))</x:f>
        <x:v>仄</x:v>
      </x:c>
      <x:c r="K3779" s="6" t="str">
        <x:f>IF(D3779="","",IF(AND(ISNUMBER(SEARCH("平",D3779)),OR(ISNUMBER(SEARCH("上",D3779)),ISNUMBER(SEARCH("去",D3779)),ISNUMBER(SEARCH("入",D3779)))),"Ambiguous",IF(ISNUMBER(SEARCH("平",D3779)),"平","仄")))</x:f>
        <x:v>仄</x:v>
      </x:c>
      <x:c r="L3779" s="7" t="str"/>
    </x:row>
    <x:row r="3780">
      <x:c r="A3780" s="5" t="str">
        <x:v>覲</x:v>
      </x:c>
      <x:c r="B3780" s="6" t="str">
        <x:v>去</x:v>
      </x:c>
      <x:c r="C3780" s="6" t="str">
        <x:f>IF(B3780="","Needs decision","Ready")</x:f>
        <x:v>Ready</x:v>
      </x:c>
      <x:c r="D3780" s="6" t="str">
        <x:v>去</x:v>
      </x:c>
      <x:c r="E3780" s="6" t="str"/>
      <x:c r="F3780" s="6" t="str">
        <x:v>去聲十二震</x:v>
      </x:c>
      <x:c r="G3780" s="6" t="str">
        <x:v>Pingshui main list, Wikisource-derived DOCX</x:v>
      </x:c>
      <x:c r="H3780" s="6" t="str">
        <x:v>0</x:v>
      </x:c>
      <x:c r="I3780" s="6" t="str">
        <x:v>User correction 2026-09-08; added manually</x:v>
      </x:c>
      <x:c r="J3780" s="6" t="str">
        <x:f>IF(B3780="","",IF(AND(ISNUMBER(SEARCH("平",B3780)),OR(ISNUMBER(SEARCH("上",B3780)),ISNUMBER(SEARCH("去",B3780)),ISNUMBER(SEARCH("入",B3780)))),"Ambiguous",IF(ISNUMBER(SEARCH("平",B3780)),"平","仄")))</x:f>
        <x:v>仄</x:v>
      </x:c>
      <x:c r="K3780" s="6" t="str">
        <x:f>IF(D3780="","",IF(AND(ISNUMBER(SEARCH("平",D3780)),OR(ISNUMBER(SEARCH("上",D3780)),ISNUMBER(SEARCH("去",D3780)),ISNUMBER(SEARCH("入",D3780)))),"Ambiguous",IF(ISNUMBER(SEARCH("平",D3780)),"平","仄")))</x:f>
        <x:v>仄</x:v>
      </x:c>
      <x:c r="L3780" s="7" t="str">
        <x:v>User correction</x:v>
      </x:c>
    </x:row>
    <x:row r="3781">
      <x:c r="A3781" s="5" t="str">
        <x:v>覺</x:v>
      </x:c>
      <x:c r="B3781" s="6" t="str">
        <x:v>入</x:v>
      </x:c>
      <x:c r="C3781" s="6" t="str">
        <x:f>IF(B3781="","Needs decision","Ready")</x:f>
        <x:v>Ready</x:v>
      </x:c>
      <x:c r="D3781" s="6" t="str">
        <x:v>去/入</x:v>
      </x:c>
      <x:c r="E3781" s="6" t="str">
        <x:v>kaewH (C); kaewk (D)</x:v>
      </x:c>
      <x:c r="F3781" s="6" t="str">
        <x:v>去聲十九效; 入聲三覺</x:v>
      </x:c>
      <x:c r="G3781" s="6" t="str">
        <x:v>Pingshui main list, Wikisource-derived DOCX</x:v>
      </x:c>
      <x:c r="H3781" s="6" t="str">
        <x:v>2</x:v>
      </x:c>
      <x:c r="I3781" s="6" t="str">
        <x:v>User workbook edit 2026-09-03</x:v>
      </x:c>
      <x:c r="J3781" s="6" t="str">
        <x:f>IF(B3781="","",IF(AND(ISNUMBER(SEARCH("平",B3781)),OR(ISNUMBER(SEARCH("上",B3781)),ISNUMBER(SEARCH("去",B3781)),ISNUMBER(SEARCH("入",B3781)))),"Ambiguous",IF(ISNUMBER(SEARCH("平",B3781)),"平","仄")))</x:f>
        <x:v>仄</x:v>
      </x:c>
      <x:c r="K3781" s="6" t="str">
        <x:f>IF(D3781="","",IF(AND(ISNUMBER(SEARCH("平",D3781)),OR(ISNUMBER(SEARCH("上",D3781)),ISNUMBER(SEARCH("去",D3781)),ISNUMBER(SEARCH("入",D3781)))),"Ambiguous",IF(ISNUMBER(SEARCH("平",D3781)),"平","仄")))</x:f>
        <x:v>仄</x:v>
      </x:c>
      <x:c r="L3781" s="7" t="str">
        <x:v>manual user correction</x:v>
      </x:c>
    </x:row>
    <x:row r="3782">
      <x:c r="A3782" s="5" t="str">
        <x:v>覽</x:v>
      </x:c>
      <x:c r="B3782" s="6" t="str">
        <x:v>上</x:v>
      </x:c>
      <x:c r="C3782" s="6" t="str">
        <x:f>IF(B3782="","Needs decision","Ready")</x:f>
        <x:v>Ready</x:v>
      </x:c>
      <x:c r="D3782" s="6" t="str">
        <x:v>上</x:v>
      </x:c>
      <x:c r="E3782" s="6" t="str">
        <x:v>lamX [來開一談上] l̙ɑmʔ</x:v>
      </x:c>
      <x:c r="F3782" s="6" t="str">
        <x:v>上聲二十七感</x:v>
      </x:c>
      <x:c r="G3782" s="6" t="str">
        <x:v>Pingshui main list, Wikisource-derived DOCX</x:v>
      </x:c>
      <x:c r="H3782" s="6" t="str">
        <x:v>1</x:v>
      </x:c>
      <x:c r="I3782" s="6" t="str">
        <x:v>Targeted preliminary fill from Xun Gong; review if uncertain</x:v>
      </x:c>
      <x:c r="J3782" s="6" t="str">
        <x:f>IF(B3782="","",IF(AND(ISNUMBER(SEARCH("平",B3782)),OR(ISNUMBER(SEARCH("上",B3782)),ISNUMBER(SEARCH("去",B3782)),ISNUMBER(SEARCH("入",B3782)))),"Ambiguous",IF(ISNUMBER(SEARCH("平",B3782)),"平","仄")))</x:f>
        <x:v>仄</x:v>
      </x:c>
      <x:c r="K3782" s="6" t="str">
        <x:f>IF(D3782="","",IF(AND(ISNUMBER(SEARCH("平",D3782)),OR(ISNUMBER(SEARCH("上",D3782)),ISNUMBER(SEARCH("去",D3782)),ISNUMBER(SEARCH("入",D3782)))),"Ambiguous",IF(ISNUMBER(SEARCH("平",D3782)),"平","仄")))</x:f>
        <x:v>仄</x:v>
      </x:c>
      <x:c r="L3782" s="7" t="str">
        <x:v>Xun Gong character-readings.csv</x:v>
      </x:c>
    </x:row>
    <x:row r="3783">
      <x:c r="A3783" s="5" t="str">
        <x:v>覿</x:v>
      </x:c>
      <x:c r="B3783" s="6" t="str">
        <x:v>入</x:v>
      </x:c>
      <x:c r="C3783" s="6" t="str">
        <x:f>IF(B3783="","Needs decision","Ready")</x:f>
        <x:v>Ready</x:v>
      </x:c>
      <x:c r="D3783" s="6" t="str">
        <x:v>入</x:v>
      </x:c>
      <x:c r="E3783" s="6" t="str"/>
      <x:c r="F3783" s="6" t="str">
        <x:v>入聲十二錫</x:v>
      </x:c>
      <x:c r="G3783" s="6" t="str">
        <x:v>Pingshui main list, Wikisource-derived DOCX</x:v>
      </x:c>
      <x:c r="H3783" s="6" t="str">
        <x:v>0</x:v>
      </x:c>
      <x:c r="I3783" s="6" t="str">
        <x:v>User correction 2026-09-08; added manually</x:v>
      </x:c>
      <x:c r="J3783" s="6" t="str">
        <x:f>IF(B3783="","",IF(AND(ISNUMBER(SEARCH("平",B3783)),OR(ISNUMBER(SEARCH("上",B3783)),ISNUMBER(SEARCH("去",B3783)),ISNUMBER(SEARCH("入",B3783)))),"Ambiguous",IF(ISNUMBER(SEARCH("平",B3783)),"平","仄")))</x:f>
        <x:v>仄</x:v>
      </x:c>
      <x:c r="K3783" s="6" t="str">
        <x:f>IF(D3783="","",IF(AND(ISNUMBER(SEARCH("平",D3783)),OR(ISNUMBER(SEARCH("上",D3783)),ISNUMBER(SEARCH("去",D3783)),ISNUMBER(SEARCH("入",D3783)))),"Ambiguous",IF(ISNUMBER(SEARCH("平",D3783)),"平","仄")))</x:f>
        <x:v>仄</x:v>
      </x:c>
      <x:c r="L3783" s="7" t="str">
        <x:v>User correction</x:v>
      </x:c>
    </x:row>
    <x:row r="3784">
      <x:c r="A3784" s="5" t="str">
        <x:v>觀</x:v>
      </x:c>
      <x:c r="B3784" s="6" t="str">
        <x:v>平</x:v>
      </x:c>
      <x:c r="C3784" s="6" t="str">
        <x:f>IF(B3784="","Needs decision","Ready")</x:f>
        <x:v>Ready</x:v>
      </x:c>
      <x:c r="D3784" s="6" t="str">
        <x:v>平/去</x:v>
      </x:c>
      <x:c r="E3784" s="6" t="str">
        <x:v>kwan (A); kwanH (C)</x:v>
      </x:c>
      <x:c r="F3784" s="6" t="str">
        <x:v>上平聲十四寒; 去聲十五翰</x:v>
      </x:c>
      <x:c r="G3784" s="6" t="str">
        <x:v>Pingshui main list, Wikisource-derived DOCX</x:v>
      </x:c>
      <x:c r="H3784" s="6" t="str">
        <x:v>2</x:v>
      </x:c>
      <x:c r="I3784" s="6" t="str">
        <x:v>User workbook edit 2026-09-03</x:v>
      </x:c>
      <x:c r="J3784" s="6" t="str">
        <x:f>IF(B3784="","",IF(AND(ISNUMBER(SEARCH("平",B3784)),OR(ISNUMBER(SEARCH("上",B3784)),ISNUMBER(SEARCH("去",B3784)),ISNUMBER(SEARCH("入",B3784)))),"Ambiguous",IF(ISNUMBER(SEARCH("平",B3784)),"平","仄")))</x:f>
        <x:v>平</x:v>
      </x:c>
      <x:c r="K3784" s="6" t="str">
        <x:f>IF(D3784="","",IF(AND(ISNUMBER(SEARCH("平",D3784)),OR(ISNUMBER(SEARCH("上",D3784)),ISNUMBER(SEARCH("去",D3784)),ISNUMBER(SEARCH("入",D3784)))),"Ambiguous",IF(ISNUMBER(SEARCH("平",D3784)),"平","仄")))</x:f>
        <x:v>Ambiguous</x:v>
      </x:c>
      <x:c r="L3784" s="7" t="str">
        <x:v>manual user correction</x:v>
      </x:c>
    </x:row>
    <x:row r="3785">
      <x:c r="A3785" s="5" t="str">
        <x:v>角</x:v>
      </x:c>
      <x:c r="B3785" s="6" t="str">
        <x:v>入</x:v>
      </x:c>
      <x:c r="C3785" s="6" t="str">
        <x:f>IF(B3785="","Needs decision","Ready")</x:f>
        <x:v>Ready</x:v>
      </x:c>
      <x:c r="D3785" s="6" t="str">
        <x:v>入</x:v>
      </x:c>
      <x:c r="E3785" s="6" t="str">
        <x:v>kaewk (D)</x:v>
      </x:c>
      <x:c r="F3785" s="6" t="str">
        <x:v>入聲三覺</x:v>
      </x:c>
      <x:c r="G3785" s="6" t="str">
        <x:v>Pingshui main list, Wikisource-derived DOCX</x:v>
      </x:c>
      <x:c r="H3785" s="6" t="str">
        <x:v>1</x:v>
      </x:c>
      <x:c r="I3785" s="6" t="str"/>
      <x:c r="J3785" s="6" t="str">
        <x:f>IF(B3785="","",IF(AND(ISNUMBER(SEARCH("平",B3785)),OR(ISNUMBER(SEARCH("上",B3785)),ISNUMBER(SEARCH("去",B3785)),ISNUMBER(SEARCH("入",B3785)))),"Ambiguous",IF(ISNUMBER(SEARCH("平",B3785)),"平","仄")))</x:f>
        <x:v>仄</x:v>
      </x:c>
      <x:c r="K3785" s="6" t="str">
        <x:f>IF(D3785="","",IF(AND(ISNUMBER(SEARCH("平",D3785)),OR(ISNUMBER(SEARCH("上",D3785)),ISNUMBER(SEARCH("去",D3785)),ISNUMBER(SEARCH("入",D3785)))),"Ambiguous",IF(ISNUMBER(SEARCH("平",D3785)),"平","仄")))</x:f>
        <x:v>仄</x:v>
      </x:c>
      <x:c r="L3785" s="7" t="str"/>
    </x:row>
    <x:row r="3786">
      <x:c r="A3786" s="5" t="str">
        <x:v>觜</x:v>
      </x:c>
      <x:c r="B3786" s="6" t="str">
        <x:v>上</x:v>
      </x:c>
      <x:c r="C3786" s="6" t="str">
        <x:f>IF(B3786="","Needs decision","Ready")</x:f>
        <x:v>Ready</x:v>
      </x:c>
      <x:c r="D3786" s="6" t="str">
        <x:v>上</x:v>
      </x:c>
      <x:c r="E3786" s="6" t="str">
        <x:v>tsjweX (B)</x:v>
      </x:c>
      <x:c r="F3786" s="6" t="str">
        <x:v>上平聲四支; 上聲四紙</x:v>
      </x:c>
      <x:c r="G3786" s="6" t="str">
        <x:v>Pingshui main list, Wikisource-derived DOCX</x:v>
      </x:c>
      <x:c r="H3786" s="6" t="str">
        <x:v>1</x:v>
      </x:c>
      <x:c r="I3786" s="6" t="str"/>
      <x:c r="J3786" s="6" t="str">
        <x:f>IF(B3786="","",IF(AND(ISNUMBER(SEARCH("平",B3786)),OR(ISNUMBER(SEARCH("上",B3786)),ISNUMBER(SEARCH("去",B3786)),ISNUMBER(SEARCH("入",B3786)))),"Ambiguous",IF(ISNUMBER(SEARCH("平",B3786)),"平","仄")))</x:f>
        <x:v>仄</x:v>
      </x:c>
      <x:c r="K3786" s="6" t="str">
        <x:f>IF(D3786="","",IF(AND(ISNUMBER(SEARCH("平",D3786)),OR(ISNUMBER(SEARCH("上",D3786)),ISNUMBER(SEARCH("去",D3786)),ISNUMBER(SEARCH("入",D3786)))),"Ambiguous",IF(ISNUMBER(SEARCH("平",D3786)),"平","仄")))</x:f>
        <x:v>仄</x:v>
      </x:c>
      <x:c r="L3786" s="7" t="str"/>
    </x:row>
    <x:row r="3787">
      <x:c r="A3787" s="5" t="str">
        <x:v>解</x:v>
      </x:c>
      <x:c r="B3787" s="6" t="str">
        <x:v>上</x:v>
      </x:c>
      <x:c r="C3787" s="6" t="str">
        <x:f>IF(B3787="","Needs decision","Ready")</x:f>
        <x:v>Ready</x:v>
      </x:c>
      <x:c r="D3787" s="6" t="str">
        <x:v>上</x:v>
      </x:c>
      <x:c r="E3787" s="6" t="str">
        <x:v>keaX (B); heaX (B)</x:v>
      </x:c>
      <x:c r="F3787" s="6" t="str">
        <x:v>上聲九蟹; 去聲十卦</x:v>
      </x:c>
      <x:c r="G3787" s="6" t="str">
        <x:v>Pingshui main list, Wikisource-derived DOCX</x:v>
      </x:c>
      <x:c r="H3787" s="6" t="str">
        <x:v>2</x:v>
      </x:c>
      <x:c r="I3787" s="6" t="str"/>
      <x:c r="J3787" s="6" t="str">
        <x:f>IF(B3787="","",IF(AND(ISNUMBER(SEARCH("平",B3787)),OR(ISNUMBER(SEARCH("上",B3787)),ISNUMBER(SEARCH("去",B3787)),ISNUMBER(SEARCH("入",B3787)))),"Ambiguous",IF(ISNUMBER(SEARCH("平",B3787)),"平","仄")))</x:f>
        <x:v>仄</x:v>
      </x:c>
      <x:c r="K3787" s="6" t="str">
        <x:f>IF(D3787="","",IF(AND(ISNUMBER(SEARCH("平",D3787)),OR(ISNUMBER(SEARCH("上",D3787)),ISNUMBER(SEARCH("去",D3787)),ISNUMBER(SEARCH("入",D3787)))),"Ambiguous",IF(ISNUMBER(SEARCH("平",D3787)),"平","仄")))</x:f>
        <x:v>仄</x:v>
      </x:c>
      <x:c r="L3787" s="7" t="str"/>
    </x:row>
    <x:row r="3788">
      <x:c r="A3788" s="5" t="str">
        <x:v>觥</x:v>
      </x:c>
      <x:c r="B3788" s="6" t="str">
        <x:v>平</x:v>
      </x:c>
      <x:c r="C3788" s="6" t="str">
        <x:f>IF(B3788="","Needs decision","Ready")</x:f>
        <x:v>Ready</x:v>
      </x:c>
      <x:c r="D3788" s="6" t="str">
        <x:v>平</x:v>
      </x:c>
      <x:c r="E3788" s="6" t="str">
        <x:v>kwaeng (A)</x:v>
      </x:c>
      <x:c r="F3788" s="6" t="str">
        <x:v>下平聲八庚</x:v>
      </x:c>
      <x:c r="G3788" s="6" t="str">
        <x:v>Pingshui main list, Wikisource-derived DOCX</x:v>
      </x:c>
      <x:c r="H3788" s="6" t="str">
        <x:v>1</x:v>
      </x:c>
      <x:c r="I3788" s="6" t="str"/>
      <x:c r="J3788" s="6" t="str">
        <x:f>IF(B3788="","",IF(AND(ISNUMBER(SEARCH("平",B3788)),OR(ISNUMBER(SEARCH("上",B3788)),ISNUMBER(SEARCH("去",B3788)),ISNUMBER(SEARCH("入",B3788)))),"Ambiguous",IF(ISNUMBER(SEARCH("平",B3788)),"平","仄")))</x:f>
        <x:v>平</x:v>
      </x:c>
      <x:c r="K3788" s="6" t="str">
        <x:f>IF(D3788="","",IF(AND(ISNUMBER(SEARCH("平",D3788)),OR(ISNUMBER(SEARCH("上",D3788)),ISNUMBER(SEARCH("去",D3788)),ISNUMBER(SEARCH("入",D3788)))),"Ambiguous",IF(ISNUMBER(SEARCH("平",D3788)),"平","仄")))</x:f>
        <x:v>平</x:v>
      </x:c>
      <x:c r="L3788" s="7" t="str"/>
    </x:row>
    <x:row r="3789">
      <x:c r="A3789" s="5" t="str">
        <x:v>觱</x:v>
      </x:c>
      <x:c r="B3789" s="6" t="str">
        <x:v>入</x:v>
      </x:c>
      <x:c r="C3789" s="6" t="str">
        <x:f>IF(B3789="","Needs decision","Ready")</x:f>
        <x:v>Ready</x:v>
      </x:c>
      <x:c r="D3789" s="6" t="str">
        <x:v>入</x:v>
      </x:c>
      <x:c r="E3789" s="6" t="str">
        <x:v>hjut [wɨ̯ut] (入); pjit [pjit] (入)</x:v>
      </x:c>
      <x:c r="F3789" s="6" t="str">
        <x:v>入聲四質</x:v>
      </x:c>
      <x:c r="G3789" s="6" t="str">
        <x:v>Pingshui main list, Wikisource-derived DOCX</x:v>
      </x:c>
      <x:c r="H3789" s="6" t="str">
        <x:v>2</x:v>
      </x:c>
      <x:c r="I3789" s="6" t="str">
        <x:v>Tang 300 gap; frequency 1; provisional from Xun Gong</x:v>
      </x:c>
      <x:c r="J3789" s="6" t="str">
        <x:f>IF(B3789="","",IF(AND(ISNUMBER(SEARCH("平",B3789)),OR(ISNUMBER(SEARCH("上",B3789)),ISNUMBER(SEARCH("去",B3789)),ISNUMBER(SEARCH("入",B3789)))),"Ambiguous",IF(ISNUMBER(SEARCH("平",B3789)),"平","仄")))</x:f>
        <x:v>仄</x:v>
      </x:c>
      <x:c r="K3789" s="6" t="str">
        <x:f>IF(D3789="","",IF(AND(ISNUMBER(SEARCH("平",D3789)),OR(ISNUMBER(SEARCH("上",D3789)),ISNUMBER(SEARCH("去",D3789)),ISNUMBER(SEARCH("入",D3789)))),"Ambiguous",IF(ISNUMBER(SEARCH("平",D3789)),"平","仄")))</x:f>
        <x:v>仄</x:v>
      </x:c>
      <x:c r="L3789" s="7" t="str">
        <x:v>Xun Gong, Tang 300 gap fill</x:v>
      </x:c>
    </x:row>
    <x:row r="3790">
      <x:c r="A3790" s="5" t="str">
        <x:v>觴</x:v>
      </x:c>
      <x:c r="B3790" s="6" t="str">
        <x:v>平</x:v>
      </x:c>
      <x:c r="C3790" s="6" t="str">
        <x:f>IF(B3790="","Needs decision","Ready")</x:f>
        <x:v>Ready</x:v>
      </x:c>
      <x:c r="D3790" s="6" t="str">
        <x:v>平</x:v>
      </x:c>
      <x:c r="E3790" s="6" t="str">
        <x:v>syang (A)</x:v>
      </x:c>
      <x:c r="F3790" s="6" t="str">
        <x:v>下平聲七陽</x:v>
      </x:c>
      <x:c r="G3790" s="6" t="str">
        <x:v>Pingshui main list, Wikisource-derived DOCX</x:v>
      </x:c>
      <x:c r="H3790" s="6" t="str">
        <x:v>1</x:v>
      </x:c>
      <x:c r="I3790" s="6" t="str"/>
      <x:c r="J3790" s="6" t="str">
        <x:f>IF(B3790="","",IF(AND(ISNUMBER(SEARCH("平",B3790)),OR(ISNUMBER(SEARCH("上",B3790)),ISNUMBER(SEARCH("去",B3790)),ISNUMBER(SEARCH("入",B3790)))),"Ambiguous",IF(ISNUMBER(SEARCH("平",B3790)),"平","仄")))</x:f>
        <x:v>平</x:v>
      </x:c>
      <x:c r="K3790" s="6" t="str">
        <x:f>IF(D3790="","",IF(AND(ISNUMBER(SEARCH("平",D3790)),OR(ISNUMBER(SEARCH("上",D3790)),ISNUMBER(SEARCH("去",D3790)),ISNUMBER(SEARCH("入",D3790)))),"Ambiguous",IF(ISNUMBER(SEARCH("平",D3790)),"平","仄")))</x:f>
        <x:v>平</x:v>
      </x:c>
      <x:c r="L3790" s="7" t="str"/>
    </x:row>
    <x:row r="3791">
      <x:c r="A3791" s="5" t="str">
        <x:v>觶</x:v>
      </x:c>
      <x:c r="B3791" s="6" t="str">
        <x:v>平</x:v>
      </x:c>
      <x:c r="C3791" s="6" t="str">
        <x:f>IF(B3791="","Needs decision","Ready")</x:f>
        <x:v>Ready</x:v>
      </x:c>
      <x:c r="D3791" s="6" t="str">
        <x:v>平</x:v>
      </x:c>
      <x:c r="E3791" s="6" t="str">
        <x:v>tsye (A)</x:v>
      </x:c>
      <x:c r="F3791" s="6" t="str">
        <x:v>上平聲四支; 去聲四寘</x:v>
      </x:c>
      <x:c r="G3791" s="6" t="str">
        <x:v>Pingshui main list, Wikisource-derived DOCX</x:v>
      </x:c>
      <x:c r="H3791" s="6" t="str">
        <x:v>1</x:v>
      </x:c>
      <x:c r="I3791" s="6" t="str"/>
      <x:c r="J3791" s="6" t="str">
        <x:f>IF(B3791="","",IF(AND(ISNUMBER(SEARCH("平",B3791)),OR(ISNUMBER(SEARCH("上",B3791)),ISNUMBER(SEARCH("去",B3791)),ISNUMBER(SEARCH("入",B3791)))),"Ambiguous",IF(ISNUMBER(SEARCH("平",B3791)),"平","仄")))</x:f>
        <x:v>平</x:v>
      </x:c>
      <x:c r="K3791" s="6" t="str">
        <x:f>IF(D3791="","",IF(AND(ISNUMBER(SEARCH("平",D3791)),OR(ISNUMBER(SEARCH("上",D3791)),ISNUMBER(SEARCH("去",D3791)),ISNUMBER(SEARCH("入",D3791)))),"Ambiguous",IF(ISNUMBER(SEARCH("平",D3791)),"平","仄")))</x:f>
        <x:v>平</x:v>
      </x:c>
      <x:c r="L3791" s="7" t="str"/>
    </x:row>
    <x:row r="3792">
      <x:c r="A3792" s="5" t="str">
        <x:v>觸</x:v>
      </x:c>
      <x:c r="B3792" s="6" t="str">
        <x:v>入</x:v>
      </x:c>
      <x:c r="C3792" s="6" t="str">
        <x:f>IF(B3792="","Needs decision","Ready")</x:f>
        <x:v>Ready</x:v>
      </x:c>
      <x:c r="D3792" s="6" t="str">
        <x:v>入</x:v>
      </x:c>
      <x:c r="E3792" s="6" t="str">
        <x:v>tsyhowk (D)</x:v>
      </x:c>
      <x:c r="F3792" s="6" t="str">
        <x:v>入聲二沃</x:v>
      </x:c>
      <x:c r="G3792" s="6" t="str">
        <x:v>Pingshui main list, Wikisource-derived DOCX</x:v>
      </x:c>
      <x:c r="H3792" s="6" t="str">
        <x:v>1</x:v>
      </x:c>
      <x:c r="I3792" s="6" t="str"/>
      <x:c r="J3792" s="6" t="str">
        <x:f>IF(B3792="","",IF(AND(ISNUMBER(SEARCH("平",B3792)),OR(ISNUMBER(SEARCH("上",B3792)),ISNUMBER(SEARCH("去",B3792)),ISNUMBER(SEARCH("入",B3792)))),"Ambiguous",IF(ISNUMBER(SEARCH("平",B3792)),"平","仄")))</x:f>
        <x:v>仄</x:v>
      </x:c>
      <x:c r="K3792" s="6" t="str">
        <x:f>IF(D3792="","",IF(AND(ISNUMBER(SEARCH("平",D3792)),OR(ISNUMBER(SEARCH("上",D3792)),ISNUMBER(SEARCH("去",D3792)),ISNUMBER(SEARCH("入",D3792)))),"Ambiguous",IF(ISNUMBER(SEARCH("平",D3792)),"平","仄")))</x:f>
        <x:v>仄</x:v>
      </x:c>
      <x:c r="L3792" s="7" t="str"/>
    </x:row>
    <x:row r="3793">
      <x:c r="A3793" s="5" t="str">
        <x:v>觿</x:v>
      </x:c>
      <x:c r="B3793" s="6" t="str">
        <x:v>平</x:v>
      </x:c>
      <x:c r="C3793" s="6" t="str">
        <x:f>IF(B3793="","Needs decision","Ready")</x:f>
        <x:v>Ready</x:v>
      </x:c>
      <x:c r="D3793" s="6" t="str">
        <x:v>平</x:v>
      </x:c>
      <x:c r="E3793" s="6" t="str">
        <x:v>xjwie (A)</x:v>
      </x:c>
      <x:c r="F3793" s="6" t="str">
        <x:v>上平聲八齊</x:v>
      </x:c>
      <x:c r="G3793" s="6" t="str">
        <x:v>Pingshui main list, Wikisource-derived DOCX</x:v>
      </x:c>
      <x:c r="H3793" s="6" t="str">
        <x:v>1</x:v>
      </x:c>
      <x:c r="I3793" s="6" t="str"/>
      <x:c r="J3793" s="6" t="str">
        <x:f>IF(B3793="","",IF(AND(ISNUMBER(SEARCH("平",B3793)),OR(ISNUMBER(SEARCH("上",B3793)),ISNUMBER(SEARCH("去",B3793)),ISNUMBER(SEARCH("入",B3793)))),"Ambiguous",IF(ISNUMBER(SEARCH("平",B3793)),"平","仄")))</x:f>
        <x:v>平</x:v>
      </x:c>
      <x:c r="K3793" s="6" t="str">
        <x:f>IF(D3793="","",IF(AND(ISNUMBER(SEARCH("平",D3793)),OR(ISNUMBER(SEARCH("上",D3793)),ISNUMBER(SEARCH("去",D3793)),ISNUMBER(SEARCH("入",D3793)))),"Ambiguous",IF(ISNUMBER(SEARCH("平",D3793)),"平","仄")))</x:f>
        <x:v>平</x:v>
      </x:c>
      <x:c r="L3793" s="7" t="str"/>
    </x:row>
    <x:row r="3794">
      <x:c r="A3794" s="5" t="str">
        <x:v>言</x:v>
      </x:c>
      <x:c r="B3794" s="6" t="str">
        <x:v>平</x:v>
      </x:c>
      <x:c r="C3794" s="6" t="str">
        <x:f>IF(B3794="","Needs decision","Ready")</x:f>
        <x:v>Ready</x:v>
      </x:c>
      <x:c r="D3794" s="6" t="str">
        <x:v>平</x:v>
      </x:c>
      <x:c r="E3794" s="6" t="str">
        <x:v>ngjon (A)</x:v>
      </x:c>
      <x:c r="F3794" s="6" t="str">
        <x:v>上平聲十三元</x:v>
      </x:c>
      <x:c r="G3794" s="6" t="str">
        <x:v>Pingshui main list, Wikisource-derived DOCX</x:v>
      </x:c>
      <x:c r="H3794" s="6" t="str">
        <x:v>1</x:v>
      </x:c>
      <x:c r="I3794" s="6" t="str"/>
      <x:c r="J3794" s="6" t="str">
        <x:f>IF(B3794="","",IF(AND(ISNUMBER(SEARCH("平",B3794)),OR(ISNUMBER(SEARCH("上",B3794)),ISNUMBER(SEARCH("去",B3794)),ISNUMBER(SEARCH("入",B3794)))),"Ambiguous",IF(ISNUMBER(SEARCH("平",B3794)),"平","仄")))</x:f>
        <x:v>平</x:v>
      </x:c>
      <x:c r="K3794" s="6" t="str">
        <x:f>IF(D3794="","",IF(AND(ISNUMBER(SEARCH("平",D3794)),OR(ISNUMBER(SEARCH("上",D3794)),ISNUMBER(SEARCH("去",D3794)),ISNUMBER(SEARCH("入",D3794)))),"Ambiguous",IF(ISNUMBER(SEARCH("平",D3794)),"平","仄")))</x:f>
        <x:v>平</x:v>
      </x:c>
      <x:c r="L3794" s="7" t="str"/>
    </x:row>
    <x:row r="3795">
      <x:c r="A3795" s="5" t="str">
        <x:v>訇</x:v>
      </x:c>
      <x:c r="B3795" s="6" t="str">
        <x:v>平</x:v>
      </x:c>
      <x:c r="C3795" s="6" t="str">
        <x:f>IF(B3795="","Needs decision","Ready")</x:f>
        <x:v>Ready</x:v>
      </x:c>
      <x:c r="D3795" s="6" t="str">
        <x:v>平</x:v>
      </x:c>
      <x:c r="E3795" s="6" t="str">
        <x:v>hwen [ʁwen] (平); xweang [χweˤŋ] (平)</x:v>
      </x:c>
      <x:c r="F3795" s="6" t="str">
        <x:v>下平聲八庚</x:v>
      </x:c>
      <x:c r="G3795" s="6" t="str">
        <x:v>Pingshui main list, Wikisource-derived DOCX</x:v>
      </x:c>
      <x:c r="H3795" s="6" t="str">
        <x:v>2</x:v>
      </x:c>
      <x:c r="I3795" s="6" t="str">
        <x:v>Tang 300 gap; frequency 1; provisional from Xun Gong</x:v>
      </x:c>
      <x:c r="J3795" s="6" t="str">
        <x:f>IF(B3795="","",IF(AND(ISNUMBER(SEARCH("平",B3795)),OR(ISNUMBER(SEARCH("上",B3795)),ISNUMBER(SEARCH("去",B3795)),ISNUMBER(SEARCH("入",B3795)))),"Ambiguous",IF(ISNUMBER(SEARCH("平",B3795)),"平","仄")))</x:f>
        <x:v>平</x:v>
      </x:c>
      <x:c r="K3795" s="6" t="str">
        <x:f>IF(D3795="","",IF(AND(ISNUMBER(SEARCH("平",D3795)),OR(ISNUMBER(SEARCH("上",D3795)),ISNUMBER(SEARCH("去",D3795)),ISNUMBER(SEARCH("入",D3795)))),"Ambiguous",IF(ISNUMBER(SEARCH("平",D3795)),"平","仄")))</x:f>
        <x:v>平</x:v>
      </x:c>
      <x:c r="L3795" s="7" t="str">
        <x:v>Xun Gong, Tang 300 gap fill</x:v>
      </x:c>
    </x:row>
    <x:row r="3796">
      <x:c r="A3796" s="5" t="str">
        <x:v>計</x:v>
      </x:c>
      <x:c r="B3796" s="6" t="str">
        <x:v>去</x:v>
      </x:c>
      <x:c r="C3796" s="6" t="str">
        <x:f>IF(B3796="","Needs decision","Ready")</x:f>
        <x:v>Ready</x:v>
      </x:c>
      <x:c r="D3796" s="6" t="str">
        <x:v>去</x:v>
      </x:c>
      <x:c r="E3796" s="6" t="str">
        <x:v>kejH (C)</x:v>
      </x:c>
      <x:c r="F3796" s="6" t="str">
        <x:v>去聲八霽</x:v>
      </x:c>
      <x:c r="G3796" s="6" t="str">
        <x:v>Pingshui main list, Wikisource-derived DOCX</x:v>
      </x:c>
      <x:c r="H3796" s="6" t="str">
        <x:v>1</x:v>
      </x:c>
      <x:c r="I3796" s="6" t="str"/>
      <x:c r="J3796" s="6" t="str">
        <x:f>IF(B3796="","",IF(AND(ISNUMBER(SEARCH("平",B3796)),OR(ISNUMBER(SEARCH("上",B3796)),ISNUMBER(SEARCH("去",B3796)),ISNUMBER(SEARCH("入",B3796)))),"Ambiguous",IF(ISNUMBER(SEARCH("平",B3796)),"平","仄")))</x:f>
        <x:v>仄</x:v>
      </x:c>
      <x:c r="K3796" s="6" t="str">
        <x:f>IF(D3796="","",IF(AND(ISNUMBER(SEARCH("平",D3796)),OR(ISNUMBER(SEARCH("上",D3796)),ISNUMBER(SEARCH("去",D3796)),ISNUMBER(SEARCH("入",D3796)))),"Ambiguous",IF(ISNUMBER(SEARCH("平",D3796)),"平","仄")))</x:f>
        <x:v>仄</x:v>
      </x:c>
      <x:c r="L3796" s="7" t="str"/>
    </x:row>
    <x:row r="3797">
      <x:c r="A3797" s="5" t="str">
        <x:v>訊</x:v>
      </x:c>
      <x:c r="B3797" s="6" t="str">
        <x:v>去</x:v>
      </x:c>
      <x:c r="C3797" s="6" t="str">
        <x:f>IF(B3797="","Needs decision","Ready")</x:f>
        <x:v>Ready</x:v>
      </x:c>
      <x:c r="D3797" s="6" t="str">
        <x:v>去</x:v>
      </x:c>
      <x:c r="E3797" s="6" t="str">
        <x:v>sinH (C)</x:v>
      </x:c>
      <x:c r="F3797" s="6" t="str">
        <x:v>去聲十二震</x:v>
      </x:c>
      <x:c r="G3797" s="6" t="str">
        <x:v>Pingshui main list, Wikisource-derived DOCX</x:v>
      </x:c>
      <x:c r="H3797" s="6" t="str">
        <x:v>1</x:v>
      </x:c>
      <x:c r="I3797" s="6" t="str"/>
      <x:c r="J3797" s="6" t="str">
        <x:f>IF(B3797="","",IF(AND(ISNUMBER(SEARCH("平",B3797)),OR(ISNUMBER(SEARCH("上",B3797)),ISNUMBER(SEARCH("去",B3797)),ISNUMBER(SEARCH("入",B3797)))),"Ambiguous",IF(ISNUMBER(SEARCH("平",B3797)),"平","仄")))</x:f>
        <x:v>仄</x:v>
      </x:c>
      <x:c r="K3797" s="6" t="str">
        <x:f>IF(D3797="","",IF(AND(ISNUMBER(SEARCH("平",D3797)),OR(ISNUMBER(SEARCH("上",D3797)),ISNUMBER(SEARCH("去",D3797)),ISNUMBER(SEARCH("入",D3797)))),"Ambiguous",IF(ISNUMBER(SEARCH("平",D3797)),"平","仄")))</x:f>
        <x:v>仄</x:v>
      </x:c>
      <x:c r="L3797" s="7" t="str"/>
    </x:row>
    <x:row r="3798">
      <x:c r="A3798" s="5" t="str">
        <x:v>討</x:v>
      </x:c>
      <x:c r="B3798" s="6" t="str">
        <x:v>上</x:v>
      </x:c>
      <x:c r="C3798" s="6" t="str">
        <x:f>IF(B3798="","Needs decision","Ready")</x:f>
        <x:v>Ready</x:v>
      </x:c>
      <x:c r="D3798" s="6" t="str">
        <x:v>上</x:v>
      </x:c>
      <x:c r="E3798" s="6" t="str">
        <x:v>thawX (B)</x:v>
      </x:c>
      <x:c r="F3798" s="6" t="str"/>
      <x:c r="G3798" s="6" t="str"/>
      <x:c r="H3798" s="6" t="str">
        <x:v>1</x:v>
      </x:c>
      <x:c r="I3798" s="6" t="str"/>
      <x:c r="J3798" s="6" t="str">
        <x:f>IF(B3798="","",IF(AND(ISNUMBER(SEARCH("平",B3798)),OR(ISNUMBER(SEARCH("上",B3798)),ISNUMBER(SEARCH("去",B3798)),ISNUMBER(SEARCH("入",B3798)))),"Ambiguous",IF(ISNUMBER(SEARCH("平",B3798)),"平","仄")))</x:f>
        <x:v>仄</x:v>
      </x:c>
      <x:c r="K3798" s="6" t="str">
        <x:f>IF(D3798="","",IF(AND(ISNUMBER(SEARCH("平",D3798)),OR(ISNUMBER(SEARCH("上",D3798)),ISNUMBER(SEARCH("去",D3798)),ISNUMBER(SEARCH("入",D3798)))),"Ambiguous",IF(ISNUMBER(SEARCH("平",D3798)),"平","仄")))</x:f>
        <x:v>仄</x:v>
      </x:c>
      <x:c r="L3798" s="7" t="str"/>
    </x:row>
    <x:row r="3799">
      <x:c r="A3799" s="5" t="str">
        <x:v>訏</x:v>
      </x:c>
      <x:c r="B3799" s="6" t="str">
        <x:v>平</x:v>
      </x:c>
      <x:c r="C3799" s="6" t="str">
        <x:f>IF(B3799="","Needs decision","Ready")</x:f>
        <x:v>Ready</x:v>
      </x:c>
      <x:c r="D3799" s="6" t="str">
        <x:v>平</x:v>
      </x:c>
      <x:c r="E3799" s="6" t="str">
        <x:v>xju (A)</x:v>
      </x:c>
      <x:c r="F3799" s="6" t="str">
        <x:v>上平聲七虞</x:v>
      </x:c>
      <x:c r="G3799" s="6" t="str">
        <x:v>Pingshui main list, Wikisource-derived DOCX</x:v>
      </x:c>
      <x:c r="H3799" s="6" t="str">
        <x:v>1</x:v>
      </x:c>
      <x:c r="I3799" s="6" t="str"/>
      <x:c r="J3799" s="6" t="str">
        <x:f>IF(B3799="","",IF(AND(ISNUMBER(SEARCH("平",B3799)),OR(ISNUMBER(SEARCH("上",B3799)),ISNUMBER(SEARCH("去",B3799)),ISNUMBER(SEARCH("入",B3799)))),"Ambiguous",IF(ISNUMBER(SEARCH("平",B3799)),"平","仄")))</x:f>
        <x:v>平</x:v>
      </x:c>
      <x:c r="K3799" s="6" t="str">
        <x:f>IF(D3799="","",IF(AND(ISNUMBER(SEARCH("平",D3799)),OR(ISNUMBER(SEARCH("上",D3799)),ISNUMBER(SEARCH("去",D3799)),ISNUMBER(SEARCH("入",D3799)))),"Ambiguous",IF(ISNUMBER(SEARCH("平",D3799)),"平","仄")))</x:f>
        <x:v>平</x:v>
      </x:c>
      <x:c r="L3799" s="7" t="str"/>
    </x:row>
    <x:row r="3800">
      <x:c r="A3800" s="5" t="str">
        <x:v>訓</x:v>
      </x:c>
      <x:c r="B3800" s="6" t="str">
        <x:v>去</x:v>
      </x:c>
      <x:c r="C3800" s="6" t="str">
        <x:f>IF(B3800="","Needs decision","Ready")</x:f>
        <x:v>Ready</x:v>
      </x:c>
      <x:c r="D3800" s="6" t="str">
        <x:v>去</x:v>
      </x:c>
      <x:c r="E3800" s="6" t="str">
        <x:v>xjunH (C)</x:v>
      </x:c>
      <x:c r="F3800" s="6" t="str">
        <x:v>去聲十三問</x:v>
      </x:c>
      <x:c r="G3800" s="6" t="str">
        <x:v>Pingshui main list, Wikisource-derived DOCX</x:v>
      </x:c>
      <x:c r="H3800" s="6" t="str">
        <x:v>1</x:v>
      </x:c>
      <x:c r="I3800" s="6" t="str"/>
      <x:c r="J3800" s="6" t="str">
        <x:f>IF(B3800="","",IF(AND(ISNUMBER(SEARCH("平",B3800)),OR(ISNUMBER(SEARCH("上",B3800)),ISNUMBER(SEARCH("去",B3800)),ISNUMBER(SEARCH("入",B3800)))),"Ambiguous",IF(ISNUMBER(SEARCH("平",B3800)),"平","仄")))</x:f>
        <x:v>仄</x:v>
      </x:c>
      <x:c r="K3800" s="6" t="str">
        <x:f>IF(D3800="","",IF(AND(ISNUMBER(SEARCH("平",D3800)),OR(ISNUMBER(SEARCH("上",D3800)),ISNUMBER(SEARCH("去",D3800)),ISNUMBER(SEARCH("入",D3800)))),"Ambiguous",IF(ISNUMBER(SEARCH("平",D3800)),"平","仄")))</x:f>
        <x:v>仄</x:v>
      </x:c>
      <x:c r="L3800" s="7" t="str"/>
    </x:row>
    <x:row r="3801">
      <x:c r="A3801" s="5" t="str">
        <x:v>訖</x:v>
      </x:c>
      <x:c r="B3801" s="6" t="str">
        <x:v>去</x:v>
      </x:c>
      <x:c r="C3801" s="6" t="str">
        <x:f>IF(B3801="","Needs decision","Ready")</x:f>
        <x:v>Ready</x:v>
      </x:c>
      <x:c r="D3801" s="6" t="str">
        <x:v>去</x:v>
      </x:c>
      <x:c r="E3801" s="6" t="str">
        <x:v>xj+jH (C)</x:v>
      </x:c>
      <x:c r="F3801" s="6" t="str">
        <x:v>入聲五物</x:v>
      </x:c>
      <x:c r="G3801" s="6" t="str">
        <x:v>Pingshui main list, Wikisource-derived DOCX</x:v>
      </x:c>
      <x:c r="H3801" s="6" t="str">
        <x:v>1</x:v>
      </x:c>
      <x:c r="I3801" s="6" t="str"/>
      <x:c r="J3801" s="6" t="str">
        <x:f>IF(B3801="","",IF(AND(ISNUMBER(SEARCH("平",B3801)),OR(ISNUMBER(SEARCH("上",B3801)),ISNUMBER(SEARCH("去",B3801)),ISNUMBER(SEARCH("入",B3801)))),"Ambiguous",IF(ISNUMBER(SEARCH("平",B3801)),"平","仄")))</x:f>
        <x:v>仄</x:v>
      </x:c>
      <x:c r="K3801" s="6" t="str">
        <x:f>IF(D3801="","",IF(AND(ISNUMBER(SEARCH("平",D3801)),OR(ISNUMBER(SEARCH("上",D3801)),ISNUMBER(SEARCH("去",D3801)),ISNUMBER(SEARCH("入",D3801)))),"Ambiguous",IF(ISNUMBER(SEARCH("平",D3801)),"平","仄")))</x:f>
        <x:v>仄</x:v>
      </x:c>
      <x:c r="L3801" s="7" t="str"/>
    </x:row>
    <x:row r="3802">
      <x:c r="A3802" s="5" t="str">
        <x:v>託</x:v>
      </x:c>
      <x:c r="B3802" s="6" t="str">
        <x:v>入</x:v>
      </x:c>
      <x:c r="C3802" s="6" t="str">
        <x:f>IF(B3802="","Needs decision","Ready")</x:f>
        <x:v>Ready</x:v>
      </x:c>
      <x:c r="D3802" s="6" t="str">
        <x:v>入</x:v>
      </x:c>
      <x:c r="E3802" s="6" t="str">
        <x:v>thak (D)</x:v>
      </x:c>
      <x:c r="F3802" s="6" t="str">
        <x:v>入聲十藥</x:v>
      </x:c>
      <x:c r="G3802" s="6" t="str">
        <x:v>Pingshui main list, Wikisource-derived DOCX</x:v>
      </x:c>
      <x:c r="H3802" s="6" t="str">
        <x:v>1</x:v>
      </x:c>
      <x:c r="I3802" s="6" t="str"/>
      <x:c r="J3802" s="6" t="str">
        <x:f>IF(B3802="","",IF(AND(ISNUMBER(SEARCH("平",B3802)),OR(ISNUMBER(SEARCH("上",B3802)),ISNUMBER(SEARCH("去",B3802)),ISNUMBER(SEARCH("入",B3802)))),"Ambiguous",IF(ISNUMBER(SEARCH("平",B3802)),"平","仄")))</x:f>
        <x:v>仄</x:v>
      </x:c>
      <x:c r="K3802" s="6" t="str">
        <x:f>IF(D3802="","",IF(AND(ISNUMBER(SEARCH("平",D3802)),OR(ISNUMBER(SEARCH("上",D3802)),ISNUMBER(SEARCH("去",D3802)),ISNUMBER(SEARCH("入",D3802)))),"Ambiguous",IF(ISNUMBER(SEARCH("平",D3802)),"平","仄")))</x:f>
        <x:v>仄</x:v>
      </x:c>
      <x:c r="L3802" s="7" t="str"/>
    </x:row>
    <x:row r="3803">
      <x:c r="A3803" s="5" t="str">
        <x:v>記</x:v>
      </x:c>
      <x:c r="B3803" s="6" t="str">
        <x:v>去</x:v>
      </x:c>
      <x:c r="C3803" s="6" t="str">
        <x:f>IF(B3803="","Needs decision","Ready")</x:f>
        <x:v>Ready</x:v>
      </x:c>
      <x:c r="D3803" s="6" t="str">
        <x:v>去</x:v>
      </x:c>
      <x:c r="E3803" s="6" t="str">
        <x:v>kiH (C)</x:v>
      </x:c>
      <x:c r="F3803" s="6" t="str">
        <x:v>去聲四寘</x:v>
      </x:c>
      <x:c r="G3803" s="6" t="str">
        <x:v>Pingshui main list, Wikisource-derived DOCX</x:v>
      </x:c>
      <x:c r="H3803" s="6" t="str">
        <x:v>1</x:v>
      </x:c>
      <x:c r="I3803" s="6" t="str"/>
      <x:c r="J3803" s="6" t="str">
        <x:f>IF(B3803="","",IF(AND(ISNUMBER(SEARCH("平",B3803)),OR(ISNUMBER(SEARCH("上",B3803)),ISNUMBER(SEARCH("去",B3803)),ISNUMBER(SEARCH("入",B3803)))),"Ambiguous",IF(ISNUMBER(SEARCH("平",B3803)),"平","仄")))</x:f>
        <x:v>仄</x:v>
      </x:c>
      <x:c r="K3803" s="6" t="str">
        <x:f>IF(D3803="","",IF(AND(ISNUMBER(SEARCH("平",D3803)),OR(ISNUMBER(SEARCH("上",D3803)),ISNUMBER(SEARCH("去",D3803)),ISNUMBER(SEARCH("入",D3803)))),"Ambiguous",IF(ISNUMBER(SEARCH("平",D3803)),"平","仄")))</x:f>
        <x:v>仄</x:v>
      </x:c>
      <x:c r="L3803" s="7" t="str"/>
    </x:row>
    <x:row r="3804">
      <x:c r="A3804" s="5" t="str">
        <x:v>訛</x:v>
      </x:c>
      <x:c r="B3804" s="6" t="str">
        <x:v>平</x:v>
      </x:c>
      <x:c r="C3804" s="6" t="str">
        <x:f>IF(B3804="","Needs decision","Ready")</x:f>
        <x:v>Ready</x:v>
      </x:c>
      <x:c r="D3804" s="6" t="str">
        <x:v>平</x:v>
      </x:c>
      <x:c r="E3804" s="6" t="str">
        <x:v>ngwa (A)</x:v>
      </x:c>
      <x:c r="F3804" s="6" t="str">
        <x:v>下平聲五歌</x:v>
      </x:c>
      <x:c r="G3804" s="6" t="str">
        <x:v>Pingshui main list, Wikisource-derived DOCX</x:v>
      </x:c>
      <x:c r="H3804" s="6" t="str">
        <x:v>1</x:v>
      </x:c>
      <x:c r="I3804" s="6" t="str"/>
      <x:c r="J3804" s="6" t="str">
        <x:f>IF(B3804="","",IF(AND(ISNUMBER(SEARCH("平",B3804)),OR(ISNUMBER(SEARCH("上",B3804)),ISNUMBER(SEARCH("去",B3804)),ISNUMBER(SEARCH("入",B3804)))),"Ambiguous",IF(ISNUMBER(SEARCH("平",B3804)),"平","仄")))</x:f>
        <x:v>平</x:v>
      </x:c>
      <x:c r="K3804" s="6" t="str">
        <x:f>IF(D3804="","",IF(AND(ISNUMBER(SEARCH("平",D3804)),OR(ISNUMBER(SEARCH("上",D3804)),ISNUMBER(SEARCH("去",D3804)),ISNUMBER(SEARCH("入",D3804)))),"Ambiguous",IF(ISNUMBER(SEARCH("平",D3804)),"平","仄")))</x:f>
        <x:v>平</x:v>
      </x:c>
      <x:c r="L3804" s="7" t="str"/>
    </x:row>
    <x:row r="3805">
      <x:c r="A3805" s="5" t="str">
        <x:v>訟</x:v>
      </x:c>
      <x:c r="B3805" s="6" t="str">
        <x:v>去</x:v>
      </x:c>
      <x:c r="C3805" s="6" t="str">
        <x:f>IF(B3805="","Needs decision","Ready")</x:f>
        <x:v>Ready</x:v>
      </x:c>
      <x:c r="D3805" s="6" t="str">
        <x:v>去</x:v>
      </x:c>
      <x:c r="E3805" s="6" t="str">
        <x:v>zjowngH (C)</x:v>
      </x:c>
      <x:c r="F3805" s="6" t="str">
        <x:v>去聲二宋</x:v>
      </x:c>
      <x:c r="G3805" s="6" t="str">
        <x:v>Pingshui main list, Wikisource-derived DOCX</x:v>
      </x:c>
      <x:c r="H3805" s="6" t="str">
        <x:v>1</x:v>
      </x:c>
      <x:c r="I3805" s="6" t="str"/>
      <x:c r="J3805" s="6" t="str">
        <x:f>IF(B3805="","",IF(AND(ISNUMBER(SEARCH("平",B3805)),OR(ISNUMBER(SEARCH("上",B3805)),ISNUMBER(SEARCH("去",B3805)),ISNUMBER(SEARCH("入",B3805)))),"Ambiguous",IF(ISNUMBER(SEARCH("平",B3805)),"平","仄")))</x:f>
        <x:v>仄</x:v>
      </x:c>
      <x:c r="K3805" s="6" t="str">
        <x:f>IF(D3805="","",IF(AND(ISNUMBER(SEARCH("平",D3805)),OR(ISNUMBER(SEARCH("上",D3805)),ISNUMBER(SEARCH("去",D3805)),ISNUMBER(SEARCH("入",D3805)))),"Ambiguous",IF(ISNUMBER(SEARCH("平",D3805)),"平","仄")))</x:f>
        <x:v>仄</x:v>
      </x:c>
      <x:c r="L3805" s="7" t="str"/>
    </x:row>
    <x:row r="3806">
      <x:c r="A3806" s="5" t="str">
        <x:v>訣</x:v>
      </x:c>
      <x:c r="B3806" s="6" t="str">
        <x:v>入</x:v>
      </x:c>
      <x:c r="C3806" s="6" t="str">
        <x:f>IF(B3806="","Needs decision","Ready")</x:f>
        <x:v>Ready</x:v>
      </x:c>
      <x:c r="D3806" s="6" t="str">
        <x:v>入</x:v>
      </x:c>
      <x:c r="E3806" s="6" t="str">
        <x:v>kwet (D)</x:v>
      </x:c>
      <x:c r="F3806" s="6" t="str">
        <x:v>入聲九屑</x:v>
      </x:c>
      <x:c r="G3806" s="6" t="str">
        <x:v>Pingshui main list, Wikisource-derived DOCX</x:v>
      </x:c>
      <x:c r="H3806" s="6" t="str">
        <x:v>1</x:v>
      </x:c>
      <x:c r="I3806" s="6" t="str"/>
      <x:c r="J3806" s="6" t="str">
        <x:f>IF(B3806="","",IF(AND(ISNUMBER(SEARCH("平",B3806)),OR(ISNUMBER(SEARCH("上",B3806)),ISNUMBER(SEARCH("去",B3806)),ISNUMBER(SEARCH("入",B3806)))),"Ambiguous",IF(ISNUMBER(SEARCH("平",B3806)),"平","仄")))</x:f>
        <x:v>仄</x:v>
      </x:c>
      <x:c r="K3806" s="6" t="str">
        <x:f>IF(D3806="","",IF(AND(ISNUMBER(SEARCH("平",D3806)),OR(ISNUMBER(SEARCH("上",D3806)),ISNUMBER(SEARCH("去",D3806)),ISNUMBER(SEARCH("入",D3806)))),"Ambiguous",IF(ISNUMBER(SEARCH("平",D3806)),"平","仄")))</x:f>
        <x:v>仄</x:v>
      </x:c>
      <x:c r="L3806" s="7" t="str"/>
    </x:row>
    <x:row r="3807">
      <x:c r="A3807" s="5" t="str">
        <x:v>訥</x:v>
      </x:c>
      <x:c r="B3807" s="6" t="str">
        <x:v>入</x:v>
      </x:c>
      <x:c r="C3807" s="6" t="str">
        <x:f>IF(B3807="","Needs decision","Ready")</x:f>
        <x:v>Ready</x:v>
      </x:c>
      <x:c r="D3807" s="6" t="str">
        <x:v>入</x:v>
      </x:c>
      <x:c r="E3807" s="6" t="str">
        <x:v>nwot (D)</x:v>
      </x:c>
      <x:c r="F3807" s="6" t="str">
        <x:v>入聲六月</x:v>
      </x:c>
      <x:c r="G3807" s="6" t="str">
        <x:v>Pingshui main list, Wikisource-derived DOCX</x:v>
      </x:c>
      <x:c r="H3807" s="6" t="str">
        <x:v>1</x:v>
      </x:c>
      <x:c r="I3807" s="6" t="str"/>
      <x:c r="J3807" s="6" t="str">
        <x:f>IF(B3807="","",IF(AND(ISNUMBER(SEARCH("平",B3807)),OR(ISNUMBER(SEARCH("上",B3807)),ISNUMBER(SEARCH("去",B3807)),ISNUMBER(SEARCH("入",B3807)))),"Ambiguous",IF(ISNUMBER(SEARCH("平",B3807)),"平","仄")))</x:f>
        <x:v>仄</x:v>
      </x:c>
      <x:c r="K3807" s="6" t="str">
        <x:f>IF(D3807="","",IF(AND(ISNUMBER(SEARCH("平",D3807)),OR(ISNUMBER(SEARCH("上",D3807)),ISNUMBER(SEARCH("去",D3807)),ISNUMBER(SEARCH("入",D3807)))),"Ambiguous",IF(ISNUMBER(SEARCH("平",D3807)),"平","仄")))</x:f>
        <x:v>仄</x:v>
      </x:c>
      <x:c r="L3807" s="7" t="str"/>
    </x:row>
    <x:row r="3808">
      <x:c r="A3808" s="5" t="str">
        <x:v>訧</x:v>
      </x:c>
      <x:c r="B3808" s="6" t="str">
        <x:v>平</x:v>
      </x:c>
      <x:c r="C3808" s="6" t="str">
        <x:f>IF(B3808="","Needs decision","Ready")</x:f>
        <x:v>Ready</x:v>
      </x:c>
      <x:c r="D3808" s="6" t="str">
        <x:v>平</x:v>
      </x:c>
      <x:c r="E3808" s="6" t="str">
        <x:v>hjuw (A)</x:v>
      </x:c>
      <x:c r="F3808" s="6" t="str">
        <x:v>下平聲十一尤</x:v>
      </x:c>
      <x:c r="G3808" s="6" t="str">
        <x:v>Pingshui main list, Wikisource-derived DOCX</x:v>
      </x:c>
      <x:c r="H3808" s="6" t="str">
        <x:v>1</x:v>
      </x:c>
      <x:c r="I3808" s="6" t="str"/>
      <x:c r="J3808" s="6" t="str">
        <x:f>IF(B3808="","",IF(AND(ISNUMBER(SEARCH("平",B3808)),OR(ISNUMBER(SEARCH("上",B3808)),ISNUMBER(SEARCH("去",B3808)),ISNUMBER(SEARCH("入",B3808)))),"Ambiguous",IF(ISNUMBER(SEARCH("平",B3808)),"平","仄")))</x:f>
        <x:v>平</x:v>
      </x:c>
      <x:c r="K3808" s="6" t="str">
        <x:f>IF(D3808="","",IF(AND(ISNUMBER(SEARCH("平",D3808)),OR(ISNUMBER(SEARCH("上",D3808)),ISNUMBER(SEARCH("去",D3808)),ISNUMBER(SEARCH("入",D3808)))),"Ambiguous",IF(ISNUMBER(SEARCH("平",D3808)),"平","仄")))</x:f>
        <x:v>平</x:v>
      </x:c>
      <x:c r="L3808" s="7" t="str"/>
    </x:row>
    <x:row r="3809">
      <x:c r="A3809" s="5" t="str">
        <x:v>訩</x:v>
      </x:c>
      <x:c r="B3809" s="6" t="str">
        <x:v>平</x:v>
      </x:c>
      <x:c r="C3809" s="6" t="str">
        <x:f>IF(B3809="","Needs decision","Ready")</x:f>
        <x:v>Ready</x:v>
      </x:c>
      <x:c r="D3809" s="6" t="str">
        <x:v>平</x:v>
      </x:c>
      <x:c r="E3809" s="6" t="str">
        <x:v>xjowng (A)</x:v>
      </x:c>
      <x:c r="F3809" s="6" t="str"/>
      <x:c r="G3809" s="6" t="str"/>
      <x:c r="H3809" s="6" t="str">
        <x:v>1</x:v>
      </x:c>
      <x:c r="I3809" s="6" t="str"/>
      <x:c r="J3809" s="6" t="str">
        <x:f>IF(B3809="","",IF(AND(ISNUMBER(SEARCH("平",B3809)),OR(ISNUMBER(SEARCH("上",B3809)),ISNUMBER(SEARCH("去",B3809)),ISNUMBER(SEARCH("入",B3809)))),"Ambiguous",IF(ISNUMBER(SEARCH("平",B3809)),"平","仄")))</x:f>
        <x:v>平</x:v>
      </x:c>
      <x:c r="K3809" s="6" t="str">
        <x:f>IF(D3809="","",IF(AND(ISNUMBER(SEARCH("平",D3809)),OR(ISNUMBER(SEARCH("上",D3809)),ISNUMBER(SEARCH("去",D3809)),ISNUMBER(SEARCH("入",D3809)))),"Ambiguous",IF(ISNUMBER(SEARCH("平",D3809)),"平","仄")))</x:f>
        <x:v>平</x:v>
      </x:c>
      <x:c r="L3809" s="7" t="str"/>
    </x:row>
    <x:row r="3810">
      <x:c r="A3810" s="5" t="str">
        <x:v>訪</x:v>
      </x:c>
      <x:c r="B3810" s="6" t="str">
        <x:v>去</x:v>
      </x:c>
      <x:c r="C3810" s="6" t="str">
        <x:f>IF(B3810="","Needs decision","Ready")</x:f>
        <x:v>Ready</x:v>
      </x:c>
      <x:c r="D3810" s="6" t="str">
        <x:v>去</x:v>
      </x:c>
      <x:c r="E3810" s="6" t="str">
        <x:v>phjangH (C)</x:v>
      </x:c>
      <x:c r="F3810" s="6" t="str">
        <x:v>去聲二十三漾</x:v>
      </x:c>
      <x:c r="G3810" s="6" t="str">
        <x:v>Pingshui main list, Wikisource-derived DOCX</x:v>
      </x:c>
      <x:c r="H3810" s="6" t="str">
        <x:v>1</x:v>
      </x:c>
      <x:c r="I3810" s="6" t="str"/>
      <x:c r="J3810" s="6" t="str">
        <x:f>IF(B3810="","",IF(AND(ISNUMBER(SEARCH("平",B3810)),OR(ISNUMBER(SEARCH("上",B3810)),ISNUMBER(SEARCH("去",B3810)),ISNUMBER(SEARCH("入",B3810)))),"Ambiguous",IF(ISNUMBER(SEARCH("平",B3810)),"平","仄")))</x:f>
        <x:v>仄</x:v>
      </x:c>
      <x:c r="K3810" s="6" t="str">
        <x:f>IF(D3810="","",IF(AND(ISNUMBER(SEARCH("平",D3810)),OR(ISNUMBER(SEARCH("上",D3810)),ISNUMBER(SEARCH("去",D3810)),ISNUMBER(SEARCH("入",D3810)))),"Ambiguous",IF(ISNUMBER(SEARCH("平",D3810)),"平","仄")))</x:f>
        <x:v>仄</x:v>
      </x:c>
      <x:c r="L3810" s="7" t="str"/>
    </x:row>
    <x:row r="3811">
      <x:c r="A3811" s="5" t="str">
        <x:v>設</x:v>
      </x:c>
      <x:c r="B3811" s="6" t="str">
        <x:v>入</x:v>
      </x:c>
      <x:c r="C3811" s="6" t="str">
        <x:f>IF(B3811="","Needs decision","Ready")</x:f>
        <x:v>Ready</x:v>
      </x:c>
      <x:c r="D3811" s="6" t="str">
        <x:v>入</x:v>
      </x:c>
      <x:c r="E3811" s="6" t="str">
        <x:v>syet (D)</x:v>
      </x:c>
      <x:c r="F3811" s="6" t="str">
        <x:v>入聲九屑</x:v>
      </x:c>
      <x:c r="G3811" s="6" t="str">
        <x:v>Pingshui main list, Wikisource-derived DOCX</x:v>
      </x:c>
      <x:c r="H3811" s="6" t="str">
        <x:v>1</x:v>
      </x:c>
      <x:c r="I3811" s="6" t="str"/>
      <x:c r="J3811" s="6" t="str">
        <x:f>IF(B3811="","",IF(AND(ISNUMBER(SEARCH("平",B3811)),OR(ISNUMBER(SEARCH("上",B3811)),ISNUMBER(SEARCH("去",B3811)),ISNUMBER(SEARCH("入",B3811)))),"Ambiguous",IF(ISNUMBER(SEARCH("平",B3811)),"平","仄")))</x:f>
        <x:v>仄</x:v>
      </x:c>
      <x:c r="K3811" s="6" t="str">
        <x:f>IF(D3811="","",IF(AND(ISNUMBER(SEARCH("平",D3811)),OR(ISNUMBER(SEARCH("上",D3811)),ISNUMBER(SEARCH("去",D3811)),ISNUMBER(SEARCH("入",D3811)))),"Ambiguous",IF(ISNUMBER(SEARCH("平",D3811)),"平","仄")))</x:f>
        <x:v>仄</x:v>
      </x:c>
      <x:c r="L3811" s="7" t="str"/>
    </x:row>
    <x:row r="3812">
      <x:c r="A3812" s="5" t="str">
        <x:v>許</x:v>
      </x:c>
      <x:c r="B3812" s="6" t="str">
        <x:v>上</x:v>
      </x:c>
      <x:c r="C3812" s="6" t="str">
        <x:f>IF(B3812="","Needs decision","Ready")</x:f>
        <x:v>Ready</x:v>
      </x:c>
      <x:c r="D3812" s="6" t="str">
        <x:v>上</x:v>
      </x:c>
      <x:c r="E3812" s="6" t="str">
        <x:v>xuX (B); xjoX (B)</x:v>
      </x:c>
      <x:c r="F3812" s="6" t="str">
        <x:v>上聲六語</x:v>
      </x:c>
      <x:c r="G3812" s="6" t="str">
        <x:v>Pingshui main list, Wikisource-derived DOCX</x:v>
      </x:c>
      <x:c r="H3812" s="6" t="str">
        <x:v>2</x:v>
      </x:c>
      <x:c r="I3812" s="6" t="str"/>
      <x:c r="J3812" s="6" t="str">
        <x:f>IF(B3812="","",IF(AND(ISNUMBER(SEARCH("平",B3812)),OR(ISNUMBER(SEARCH("上",B3812)),ISNUMBER(SEARCH("去",B3812)),ISNUMBER(SEARCH("入",B3812)))),"Ambiguous",IF(ISNUMBER(SEARCH("平",B3812)),"平","仄")))</x:f>
        <x:v>仄</x:v>
      </x:c>
      <x:c r="K3812" s="6" t="str">
        <x:f>IF(D3812="","",IF(AND(ISNUMBER(SEARCH("平",D3812)),OR(ISNUMBER(SEARCH("上",D3812)),ISNUMBER(SEARCH("去",D3812)),ISNUMBER(SEARCH("入",D3812)))),"Ambiguous",IF(ISNUMBER(SEARCH("平",D3812)),"平","仄")))</x:f>
        <x:v>仄</x:v>
      </x:c>
      <x:c r="L3812" s="7" t="str"/>
    </x:row>
    <x:row r="3813">
      <x:c r="A3813" s="5" t="str">
        <x:v>訴</x:v>
      </x:c>
      <x:c r="B3813" s="6" t="str">
        <x:v>去</x:v>
      </x:c>
      <x:c r="C3813" s="6" t="str">
        <x:f>IF(B3813="","Needs decision","Ready")</x:f>
        <x:v>Ready</x:v>
      </x:c>
      <x:c r="D3813" s="6" t="str">
        <x:v>去</x:v>
      </x:c>
      <x:c r="E3813" s="6" t="str">
        <x:v>suH (C)</x:v>
      </x:c>
      <x:c r="F3813" s="6" t="str">
        <x:v>去聲七遇</x:v>
      </x:c>
      <x:c r="G3813" s="6" t="str">
        <x:v>Pingshui main list, Wikisource-derived DOCX</x:v>
      </x:c>
      <x:c r="H3813" s="6" t="str">
        <x:v>1</x:v>
      </x:c>
      <x:c r="I3813" s="6" t="str"/>
      <x:c r="J3813" s="6" t="str">
        <x:f>IF(B3813="","",IF(AND(ISNUMBER(SEARCH("平",B3813)),OR(ISNUMBER(SEARCH("上",B3813)),ISNUMBER(SEARCH("去",B3813)),ISNUMBER(SEARCH("入",B3813)))),"Ambiguous",IF(ISNUMBER(SEARCH("平",B3813)),"平","仄")))</x:f>
        <x:v>仄</x:v>
      </x:c>
      <x:c r="K3813" s="6" t="str">
        <x:f>IF(D3813="","",IF(AND(ISNUMBER(SEARCH("平",D3813)),OR(ISNUMBER(SEARCH("上",D3813)),ISNUMBER(SEARCH("去",D3813)),ISNUMBER(SEARCH("入",D3813)))),"Ambiguous",IF(ISNUMBER(SEARCH("平",D3813)),"平","仄")))</x:f>
        <x:v>仄</x:v>
      </x:c>
      <x:c r="L3813" s="7" t="str"/>
    </x:row>
    <x:row r="3814">
      <x:c r="A3814" s="5" t="str">
        <x:v>訶</x:v>
      </x:c>
      <x:c r="B3814" s="6" t="str">
        <x:v>平</x:v>
      </x:c>
      <x:c r="C3814" s="6" t="str">
        <x:f>IF(B3814="","Needs decision","Ready")</x:f>
        <x:v>Ready</x:v>
      </x:c>
      <x:c r="D3814" s="6" t="str">
        <x:v>平</x:v>
      </x:c>
      <x:c r="E3814" s="6" t="str">
        <x:v>xa (A)</x:v>
      </x:c>
      <x:c r="F3814" s="6" t="str">
        <x:v>下平聲五歌</x:v>
      </x:c>
      <x:c r="G3814" s="6" t="str">
        <x:v>Pingshui main list, Wikisource-derived DOCX</x:v>
      </x:c>
      <x:c r="H3814" s="6" t="str">
        <x:v>1</x:v>
      </x:c>
      <x:c r="I3814" s="6" t="str"/>
      <x:c r="J3814" s="6" t="str">
        <x:f>IF(B3814="","",IF(AND(ISNUMBER(SEARCH("平",B3814)),OR(ISNUMBER(SEARCH("上",B3814)),ISNUMBER(SEARCH("去",B3814)),ISNUMBER(SEARCH("入",B3814)))),"Ambiguous",IF(ISNUMBER(SEARCH("平",B3814)),"平","仄")))</x:f>
        <x:v>平</x:v>
      </x:c>
      <x:c r="K3814" s="6" t="str">
        <x:f>IF(D3814="","",IF(AND(ISNUMBER(SEARCH("平",D3814)),OR(ISNUMBER(SEARCH("上",D3814)),ISNUMBER(SEARCH("去",D3814)),ISNUMBER(SEARCH("入",D3814)))),"Ambiguous",IF(ISNUMBER(SEARCH("平",D3814)),"平","仄")))</x:f>
        <x:v>平</x:v>
      </x:c>
      <x:c r="L3814" s="7" t="str"/>
    </x:row>
    <x:row r="3815">
      <x:c r="A3815" s="5" t="str">
        <x:v>訹</x:v>
      </x:c>
      <x:c r="B3815" s="6" t="str">
        <x:v>入</x:v>
      </x:c>
      <x:c r="C3815" s="6" t="str">
        <x:f>IF(B3815="","Needs decision","Ready")</x:f>
        <x:v>Ready</x:v>
      </x:c>
      <x:c r="D3815" s="6" t="str">
        <x:v>入</x:v>
      </x:c>
      <x:c r="E3815" s="6" t="str">
        <x:v>swit (D)</x:v>
      </x:c>
      <x:c r="F3815" s="6" t="str"/>
      <x:c r="G3815" s="6" t="str"/>
      <x:c r="H3815" s="6" t="str">
        <x:v>1</x:v>
      </x:c>
      <x:c r="I3815" s="6" t="str"/>
      <x:c r="J3815" s="6" t="str">
        <x:f>IF(B3815="","",IF(AND(ISNUMBER(SEARCH("平",B3815)),OR(ISNUMBER(SEARCH("上",B3815)),ISNUMBER(SEARCH("去",B3815)),ISNUMBER(SEARCH("入",B3815)))),"Ambiguous",IF(ISNUMBER(SEARCH("平",B3815)),"平","仄")))</x:f>
        <x:v>仄</x:v>
      </x:c>
      <x:c r="K3815" s="6" t="str">
        <x:f>IF(D3815="","",IF(AND(ISNUMBER(SEARCH("平",D3815)),OR(ISNUMBER(SEARCH("上",D3815)),ISNUMBER(SEARCH("去",D3815)),ISNUMBER(SEARCH("入",D3815)))),"Ambiguous",IF(ISNUMBER(SEARCH("平",D3815)),"平","仄")))</x:f>
        <x:v>仄</x:v>
      </x:c>
      <x:c r="L3815" s="7" t="str"/>
    </x:row>
    <x:row r="3816">
      <x:c r="A3816" s="5" t="str">
        <x:v>診</x:v>
      </x:c>
      <x:c r="B3816" s="6" t="str"/>
      <x:c r="C3816" s="6" t="str">
        <x:f>IF(B3816="","Needs decision","Ready")</x:f>
        <x:v>Needs decision</x:v>
      </x:c>
      <x:c r="D3816" s="6" t="str">
        <x:v>上/去</x:v>
      </x:c>
      <x:c r="E3816" s="6" t="str">
        <x:v>drinH (C); tsyinX (B)</x:v>
      </x:c>
      <x:c r="F3816" s="6" t="str">
        <x:v>上聲十一軫; 去聲十二震</x:v>
      </x:c>
      <x:c r="G3816" s="6" t="str">
        <x:v>Pingshui main list, Wikisource-derived DOCX</x:v>
      </x:c>
      <x:c r="H3816" s="6" t="str">
        <x:v>2</x:v>
      </x:c>
      <x:c r="I3816" s="6" t="str"/>
      <x:c r="J3816" s="6" t="str">
        <x:f>IF(B3816="","",IF(AND(ISNUMBER(SEARCH("平",B3816)),OR(ISNUMBER(SEARCH("上",B3816)),ISNUMBER(SEARCH("去",B3816)),ISNUMBER(SEARCH("入",B3816)))),"Ambiguous",IF(ISNUMBER(SEARCH("平",B3816)),"平","仄")))</x:f>
      </x:c>
      <x:c r="K3816" s="6" t="str">
        <x:f>IF(D3816="","",IF(AND(ISNUMBER(SEARCH("平",D3816)),OR(ISNUMBER(SEARCH("上",D3816)),ISNUMBER(SEARCH("去",D3816)),ISNUMBER(SEARCH("入",D3816)))),"Ambiguous",IF(ISNUMBER(SEARCH("平",D3816)),"平","仄")))</x:f>
        <x:v>仄</x:v>
      </x:c>
      <x:c r="L3816" s="7" t="str"/>
    </x:row>
    <x:row r="3817">
      <x:c r="A3817" s="5" t="str">
        <x:v>証</x:v>
      </x:c>
      <x:c r="B3817" s="6" t="str">
        <x:v>去</x:v>
      </x:c>
      <x:c r="C3817" s="6" t="str">
        <x:f>IF(B3817="","Needs decision","Ready")</x:f>
        <x:v>Ready</x:v>
      </x:c>
      <x:c r="D3817" s="6" t="str">
        <x:v>去</x:v>
      </x:c>
      <x:c r="E3817" s="6" t="str">
        <x:v>tsyengH (C)</x:v>
      </x:c>
      <x:c r="F3817" s="6" t="str">
        <x:v>去聲二十四敬</x:v>
      </x:c>
      <x:c r="G3817" s="6" t="str">
        <x:v>Pingshui main list, Wikisource-derived DOCX</x:v>
      </x:c>
      <x:c r="H3817" s="6" t="str">
        <x:v>1</x:v>
      </x:c>
      <x:c r="I3817" s="6" t="str"/>
      <x:c r="J3817" s="6" t="str">
        <x:f>IF(B3817="","",IF(AND(ISNUMBER(SEARCH("平",B3817)),OR(ISNUMBER(SEARCH("上",B3817)),ISNUMBER(SEARCH("去",B3817)),ISNUMBER(SEARCH("入",B3817)))),"Ambiguous",IF(ISNUMBER(SEARCH("平",B3817)),"平","仄")))</x:f>
        <x:v>仄</x:v>
      </x:c>
      <x:c r="K3817" s="6" t="str">
        <x:f>IF(D3817="","",IF(AND(ISNUMBER(SEARCH("平",D3817)),OR(ISNUMBER(SEARCH("上",D3817)),ISNUMBER(SEARCH("去",D3817)),ISNUMBER(SEARCH("入",D3817)))),"Ambiguous",IF(ISNUMBER(SEARCH("平",D3817)),"平","仄")))</x:f>
        <x:v>仄</x:v>
      </x:c>
      <x:c r="L3817" s="7" t="str"/>
    </x:row>
    <x:row r="3818">
      <x:c r="A3818" s="5" t="str">
        <x:v>訽</x:v>
      </x:c>
      <x:c r="B3818" s="6" t="str">
        <x:v>去</x:v>
      </x:c>
      <x:c r="C3818" s="6" t="str">
        <x:f>IF(B3818="","Needs decision","Ready")</x:f>
        <x:v>Ready</x:v>
      </x:c>
      <x:c r="D3818" s="6" t="str">
        <x:v>去</x:v>
      </x:c>
      <x:c r="E3818" s="6" t="str">
        <x:v>xuwH (C)</x:v>
      </x:c>
      <x:c r="F3818" s="6" t="str"/>
      <x:c r="G3818" s="6" t="str"/>
      <x:c r="H3818" s="6" t="str">
        <x:v>1</x:v>
      </x:c>
      <x:c r="I3818" s="6" t="str"/>
      <x:c r="J3818" s="6" t="str">
        <x:f>IF(B3818="","",IF(AND(ISNUMBER(SEARCH("平",B3818)),OR(ISNUMBER(SEARCH("上",B3818)),ISNUMBER(SEARCH("去",B3818)),ISNUMBER(SEARCH("入",B3818)))),"Ambiguous",IF(ISNUMBER(SEARCH("平",B3818)),"平","仄")))</x:f>
        <x:v>仄</x:v>
      </x:c>
      <x:c r="K3818" s="6" t="str">
        <x:f>IF(D3818="","",IF(AND(ISNUMBER(SEARCH("平",D3818)),OR(ISNUMBER(SEARCH("上",D3818)),ISNUMBER(SEARCH("去",D3818)),ISNUMBER(SEARCH("入",D3818)))),"Ambiguous",IF(ISNUMBER(SEARCH("平",D3818)),"平","仄")))</x:f>
        <x:v>仄</x:v>
      </x:c>
      <x:c r="L3818" s="7" t="str"/>
    </x:row>
    <x:row r="3819">
      <x:c r="A3819" s="5" t="str">
        <x:v>訾</x:v>
      </x:c>
      <x:c r="B3819" s="6" t="str">
        <x:v>平</x:v>
      </x:c>
      <x:c r="C3819" s="6" t="str">
        <x:f>IF(B3819="","Needs decision","Ready")</x:f>
        <x:v>Ready</x:v>
      </x:c>
      <x:c r="D3819" s="6" t="str">
        <x:v>平</x:v>
      </x:c>
      <x:c r="E3819" s="6" t="str">
        <x:v>zje (A)</x:v>
      </x:c>
      <x:c r="F3819" s="6" t="str">
        <x:v>上平聲四支; 上聲四紙</x:v>
      </x:c>
      <x:c r="G3819" s="6" t="str">
        <x:v>Pingshui main list, Wikisource-derived DOCX</x:v>
      </x:c>
      <x:c r="H3819" s="6" t="str">
        <x:v>1</x:v>
      </x:c>
      <x:c r="I3819" s="6" t="str"/>
      <x:c r="J3819" s="6" t="str">
        <x:f>IF(B3819="","",IF(AND(ISNUMBER(SEARCH("平",B3819)),OR(ISNUMBER(SEARCH("上",B3819)),ISNUMBER(SEARCH("去",B3819)),ISNUMBER(SEARCH("入",B3819)))),"Ambiguous",IF(ISNUMBER(SEARCH("平",B3819)),"平","仄")))</x:f>
        <x:v>平</x:v>
      </x:c>
      <x:c r="K3819" s="6" t="str">
        <x:f>IF(D3819="","",IF(AND(ISNUMBER(SEARCH("平",D3819)),OR(ISNUMBER(SEARCH("上",D3819)),ISNUMBER(SEARCH("去",D3819)),ISNUMBER(SEARCH("入",D3819)))),"Ambiguous",IF(ISNUMBER(SEARCH("平",D3819)),"平","仄")))</x:f>
        <x:v>平</x:v>
      </x:c>
      <x:c r="L3819" s="7" t="str"/>
    </x:row>
    <x:row r="3820">
      <x:c r="A3820" s="5" t="str">
        <x:v>詈</x:v>
      </x:c>
      <x:c r="B3820" s="6" t="str">
        <x:v>去</x:v>
      </x:c>
      <x:c r="C3820" s="6" t="str">
        <x:f>IF(B3820="","Needs decision","Ready")</x:f>
        <x:v>Ready</x:v>
      </x:c>
      <x:c r="D3820" s="6" t="str">
        <x:v>去</x:v>
      </x:c>
      <x:c r="E3820" s="6" t="str">
        <x:v>ljeH (C)</x:v>
      </x:c>
      <x:c r="F3820" s="6" t="str">
        <x:v>去聲四寘</x:v>
      </x:c>
      <x:c r="G3820" s="6" t="str">
        <x:v>Pingshui main list, Wikisource-derived DOCX</x:v>
      </x:c>
      <x:c r="H3820" s="6" t="str">
        <x:v>1</x:v>
      </x:c>
      <x:c r="I3820" s="6" t="str"/>
      <x:c r="J3820" s="6" t="str">
        <x:f>IF(B3820="","",IF(AND(ISNUMBER(SEARCH("平",B3820)),OR(ISNUMBER(SEARCH("上",B3820)),ISNUMBER(SEARCH("去",B3820)),ISNUMBER(SEARCH("入",B3820)))),"Ambiguous",IF(ISNUMBER(SEARCH("平",B3820)),"平","仄")))</x:f>
        <x:v>仄</x:v>
      </x:c>
      <x:c r="K3820" s="6" t="str">
        <x:f>IF(D3820="","",IF(AND(ISNUMBER(SEARCH("平",D3820)),OR(ISNUMBER(SEARCH("上",D3820)),ISNUMBER(SEARCH("去",D3820)),ISNUMBER(SEARCH("入",D3820)))),"Ambiguous",IF(ISNUMBER(SEARCH("平",D3820)),"平","仄")))</x:f>
        <x:v>仄</x:v>
      </x:c>
      <x:c r="L3820" s="7" t="str"/>
    </x:row>
    <x:row r="3821">
      <x:c r="A3821" s="5" t="str">
        <x:v>詎</x:v>
      </x:c>
      <x:c r="B3821" s="6" t="str">
        <x:v>去</x:v>
      </x:c>
      <x:c r="C3821" s="6" t="str">
        <x:f>IF(B3821="","Needs decision","Ready")</x:f>
        <x:v>Ready</x:v>
      </x:c>
      <x:c r="D3821" s="6" t="str">
        <x:v>上/去</x:v>
      </x:c>
      <x:c r="E3821" s="6" t="str">
        <x:v>gjoX [羣開三C魚上] ɡɨ̯əʔ; gjoH [羣開三C魚去] ɡɨ̯əh</x:v>
      </x:c>
      <x:c r="F3821" s="6" t="str">
        <x:v>上聲六語; 去聲六御</x:v>
      </x:c>
      <x:c r="G3821" s="6" t="str">
        <x:v>Pingshui main list, Wikisource-derived DOCX</x:v>
      </x:c>
      <x:c r="H3821" s="6" t="str">
        <x:v>2</x:v>
      </x:c>
      <x:c r="I3821" s="6" t="str">
        <x:v>Targeted preliminary fill from Xun Gong; review if uncertain</x:v>
      </x:c>
      <x:c r="J3821" s="6" t="str">
        <x:f>IF(B3821="","",IF(AND(ISNUMBER(SEARCH("平",B3821)),OR(ISNUMBER(SEARCH("上",B3821)),ISNUMBER(SEARCH("去",B3821)),ISNUMBER(SEARCH("入",B3821)))),"Ambiguous",IF(ISNUMBER(SEARCH("平",B3821)),"平","仄")))</x:f>
        <x:v>仄</x:v>
      </x:c>
      <x:c r="K3821" s="6" t="str">
        <x:f>IF(D3821="","",IF(AND(ISNUMBER(SEARCH("平",D3821)),OR(ISNUMBER(SEARCH("上",D3821)),ISNUMBER(SEARCH("去",D3821)),ISNUMBER(SEARCH("入",D3821)))),"Ambiguous",IF(ISNUMBER(SEARCH("平",D3821)),"平","仄")))</x:f>
        <x:v>仄</x:v>
      </x:c>
      <x:c r="L3821" s="7" t="str">
        <x:v>Xun Gong character-readings.csv</x:v>
      </x:c>
    </x:row>
    <x:row r="3822">
      <x:c r="A3822" s="5" t="str">
        <x:v>詐</x:v>
      </x:c>
      <x:c r="B3822" s="6" t="str">
        <x:v>去</x:v>
      </x:c>
      <x:c r="C3822" s="6" t="str">
        <x:f>IF(B3822="","Needs decision","Ready")</x:f>
        <x:v>Ready</x:v>
      </x:c>
      <x:c r="D3822" s="6" t="str">
        <x:v>去</x:v>
      </x:c>
      <x:c r="E3822" s="6" t="str">
        <x:v>tsraeH (C)</x:v>
      </x:c>
      <x:c r="F3822" s="6" t="str">
        <x:v>去聲二十二禡</x:v>
      </x:c>
      <x:c r="G3822" s="6" t="str">
        <x:v>Pingshui main list, Wikisource-derived DOCX</x:v>
      </x:c>
      <x:c r="H3822" s="6" t="str">
        <x:v>1</x:v>
      </x:c>
      <x:c r="I3822" s="6" t="str"/>
      <x:c r="J3822" s="6" t="str">
        <x:f>IF(B3822="","",IF(AND(ISNUMBER(SEARCH("平",B3822)),OR(ISNUMBER(SEARCH("上",B3822)),ISNUMBER(SEARCH("去",B3822)),ISNUMBER(SEARCH("入",B3822)))),"Ambiguous",IF(ISNUMBER(SEARCH("平",B3822)),"平","仄")))</x:f>
        <x:v>仄</x:v>
      </x:c>
      <x:c r="K3822" s="6" t="str">
        <x:f>IF(D3822="","",IF(AND(ISNUMBER(SEARCH("平",D3822)),OR(ISNUMBER(SEARCH("上",D3822)),ISNUMBER(SEARCH("去",D3822)),ISNUMBER(SEARCH("入",D3822)))),"Ambiguous",IF(ISNUMBER(SEARCH("平",D3822)),"平","仄")))</x:f>
        <x:v>仄</x:v>
      </x:c>
      <x:c r="L3822" s="7" t="str"/>
    </x:row>
    <x:row r="3823">
      <x:c r="A3823" s="5" t="str">
        <x:v>詒</x:v>
      </x:c>
      <x:c r="B3823" s="6" t="str"/>
      <x:c r="C3823" s="6" t="str">
        <x:f>IF(B3823="","Needs decision","Ready")</x:f>
        <x:v>Needs decision</x:v>
      </x:c>
      <x:c r="D3823" s="6" t="str">
        <x:v>平/上</x:v>
      </x:c>
      <x:c r="E3823" s="6" t="str">
        <x:v>dojX (B); yi (A)</x:v>
      </x:c>
      <x:c r="F3823" s="6" t="str">
        <x:v>上聲十賄; 去聲四寘</x:v>
      </x:c>
      <x:c r="G3823" s="6" t="str">
        <x:v>Pingshui main list, Wikisource-derived DOCX</x:v>
      </x:c>
      <x:c r="H3823" s="6" t="str">
        <x:v>2</x:v>
      </x:c>
      <x:c r="I3823" s="6" t="str"/>
      <x:c r="J3823" s="6" t="str">
        <x:f>IF(B3823="","",IF(AND(ISNUMBER(SEARCH("平",B3823)),OR(ISNUMBER(SEARCH("上",B3823)),ISNUMBER(SEARCH("去",B3823)),ISNUMBER(SEARCH("入",B3823)))),"Ambiguous",IF(ISNUMBER(SEARCH("平",B3823)),"平","仄")))</x:f>
      </x:c>
      <x:c r="K3823" s="6" t="str">
        <x:f>IF(D3823="","",IF(AND(ISNUMBER(SEARCH("平",D3823)),OR(ISNUMBER(SEARCH("上",D3823)),ISNUMBER(SEARCH("去",D3823)),ISNUMBER(SEARCH("入",D3823)))),"Ambiguous",IF(ISNUMBER(SEARCH("平",D3823)),"平","仄")))</x:f>
        <x:v>Ambiguous</x:v>
      </x:c>
      <x:c r="L3823" s="7" t="str"/>
    </x:row>
    <x:row r="3824">
      <x:c r="A3824" s="5" t="str">
        <x:v>詔</x:v>
      </x:c>
      <x:c r="B3824" s="6" t="str">
        <x:v>去</x:v>
      </x:c>
      <x:c r="C3824" s="6" t="str">
        <x:f>IF(B3824="","Needs decision","Ready")</x:f>
        <x:v>Ready</x:v>
      </x:c>
      <x:c r="D3824" s="6" t="str">
        <x:v>去</x:v>
      </x:c>
      <x:c r="E3824" s="6" t="str">
        <x:v>tsyewH (C)</x:v>
      </x:c>
      <x:c r="F3824" s="6" t="str">
        <x:v>去聲十八嘯</x:v>
      </x:c>
      <x:c r="G3824" s="6" t="str">
        <x:v>Pingshui main list, Wikisource-derived DOCX</x:v>
      </x:c>
      <x:c r="H3824" s="6" t="str">
        <x:v>1</x:v>
      </x:c>
      <x:c r="I3824" s="6" t="str"/>
      <x:c r="J3824" s="6" t="str">
        <x:f>IF(B3824="","",IF(AND(ISNUMBER(SEARCH("平",B3824)),OR(ISNUMBER(SEARCH("上",B3824)),ISNUMBER(SEARCH("去",B3824)),ISNUMBER(SEARCH("入",B3824)))),"Ambiguous",IF(ISNUMBER(SEARCH("平",B3824)),"平","仄")))</x:f>
        <x:v>仄</x:v>
      </x:c>
      <x:c r="K3824" s="6" t="str">
        <x:f>IF(D3824="","",IF(AND(ISNUMBER(SEARCH("平",D3824)),OR(ISNUMBER(SEARCH("上",D3824)),ISNUMBER(SEARCH("去",D3824)),ISNUMBER(SEARCH("入",D3824)))),"Ambiguous",IF(ISNUMBER(SEARCH("平",D3824)),"平","仄")))</x:f>
        <x:v>仄</x:v>
      </x:c>
      <x:c r="L3824" s="7" t="str"/>
    </x:row>
    <x:row r="3825">
      <x:c r="A3825" s="5" t="str">
        <x:v>詞</x:v>
      </x:c>
      <x:c r="B3825" s="6" t="str">
        <x:v>平</x:v>
      </x:c>
      <x:c r="C3825" s="6" t="str">
        <x:f>IF(B3825="","Needs decision","Ready")</x:f>
        <x:v>Ready</x:v>
      </x:c>
      <x:c r="D3825" s="6" t="str">
        <x:v>平</x:v>
      </x:c>
      <x:c r="E3825" s="6" t="str">
        <x:v>zi (A)</x:v>
      </x:c>
      <x:c r="F3825" s="6" t="str">
        <x:v>上平聲四支</x:v>
      </x:c>
      <x:c r="G3825" s="6" t="str">
        <x:v>Pingshui main list, Wikisource-derived DOCX</x:v>
      </x:c>
      <x:c r="H3825" s="6" t="str">
        <x:v>1</x:v>
      </x:c>
      <x:c r="I3825" s="6" t="str"/>
      <x:c r="J3825" s="6" t="str">
        <x:f>IF(B3825="","",IF(AND(ISNUMBER(SEARCH("平",B3825)),OR(ISNUMBER(SEARCH("上",B3825)),ISNUMBER(SEARCH("去",B3825)),ISNUMBER(SEARCH("入",B3825)))),"Ambiguous",IF(ISNUMBER(SEARCH("平",B3825)),"平","仄")))</x:f>
        <x:v>平</x:v>
      </x:c>
      <x:c r="K3825" s="6" t="str">
        <x:f>IF(D3825="","",IF(AND(ISNUMBER(SEARCH("平",D3825)),OR(ISNUMBER(SEARCH("上",D3825)),ISNUMBER(SEARCH("去",D3825)),ISNUMBER(SEARCH("入",D3825)))),"Ambiguous",IF(ISNUMBER(SEARCH("平",D3825)),"平","仄")))</x:f>
        <x:v>平</x:v>
      </x:c>
      <x:c r="L3825" s="7" t="str"/>
    </x:row>
    <x:row r="3826">
      <x:c r="A3826" s="5" t="str">
        <x:v>詠</x:v>
      </x:c>
      <x:c r="B3826" s="6" t="str">
        <x:v>去</x:v>
      </x:c>
      <x:c r="C3826" s="6" t="str">
        <x:f>IF(B3826="","Needs decision","Ready")</x:f>
        <x:v>Ready</x:v>
      </x:c>
      <x:c r="D3826" s="6" t="str">
        <x:v>去</x:v>
      </x:c>
      <x:c r="E3826" s="6" t="str">
        <x:v>hjwaengH (C)</x:v>
      </x:c>
      <x:c r="F3826" s="6" t="str">
        <x:v>去聲二十四敬</x:v>
      </x:c>
      <x:c r="G3826" s="6" t="str">
        <x:v>Pingshui main list, Wikisource-derived DOCX</x:v>
      </x:c>
      <x:c r="H3826" s="6" t="str">
        <x:v>1</x:v>
      </x:c>
      <x:c r="I3826" s="6" t="str"/>
      <x:c r="J3826" s="6" t="str">
        <x:f>IF(B3826="","",IF(AND(ISNUMBER(SEARCH("平",B3826)),OR(ISNUMBER(SEARCH("上",B3826)),ISNUMBER(SEARCH("去",B3826)),ISNUMBER(SEARCH("入",B3826)))),"Ambiguous",IF(ISNUMBER(SEARCH("平",B3826)),"平","仄")))</x:f>
        <x:v>仄</x:v>
      </x:c>
      <x:c r="K3826" s="6" t="str">
        <x:f>IF(D3826="","",IF(AND(ISNUMBER(SEARCH("平",D3826)),OR(ISNUMBER(SEARCH("上",D3826)),ISNUMBER(SEARCH("去",D3826)),ISNUMBER(SEARCH("入",D3826)))),"Ambiguous",IF(ISNUMBER(SEARCH("平",D3826)),"平","仄")))</x:f>
        <x:v>仄</x:v>
      </x:c>
      <x:c r="L3826" s="7" t="str"/>
    </x:row>
    <x:row r="3827">
      <x:c r="A3827" s="5" t="str">
        <x:v>詢</x:v>
      </x:c>
      <x:c r="B3827" s="6" t="str">
        <x:v>平</x:v>
      </x:c>
      <x:c r="C3827" s="6" t="str">
        <x:f>IF(B3827="","Needs decision","Ready")</x:f>
        <x:v>Ready</x:v>
      </x:c>
      <x:c r="D3827" s="6" t="str">
        <x:v>平</x:v>
      </x:c>
      <x:c r="E3827" s="6" t="str"/>
      <x:c r="F3827" s="6" t="str">
        <x:v>上平聲十一真</x:v>
      </x:c>
      <x:c r="G3827" s="6" t="str">
        <x:v>Pingshui main list, Wikisource-derived DOCX</x:v>
      </x:c>
      <x:c r="H3827" s="6" t="str"/>
      <x:c r="I3827" s="6" t="str">
        <x:v>Manual user correction/addition</x:v>
      </x:c>
      <x:c r="J3827" s="6" t="str">
        <x:f>IF(B3827="","",IF(AND(ISNUMBER(SEARCH("平",B3827)),OR(ISNUMBER(SEARCH("上",B3827)),ISNUMBER(SEARCH("去",B3827)),ISNUMBER(SEARCH("入",B3827)))),"Ambiguous",IF(ISNUMBER(SEARCH("平",B3827)),"平","仄")))</x:f>
        <x:v>平</x:v>
      </x:c>
      <x:c r="K3827" s="6" t="str">
        <x:f>IF(D3827="","",IF(AND(ISNUMBER(SEARCH("平",D3827)),OR(ISNUMBER(SEARCH("上",D3827)),ISNUMBER(SEARCH("去",D3827)),ISNUMBER(SEARCH("入",D3827)))),"Ambiguous",IF(ISNUMBER(SEARCH("平",D3827)),"平","仄")))</x:f>
        <x:v>平</x:v>
      </x:c>
      <x:c r="L3827" s="7" t="str">
        <x:v>manual user correction</x:v>
      </x:c>
    </x:row>
    <x:row r="3828">
      <x:c r="A3828" s="5" t="str">
        <x:v>詣</x:v>
      </x:c>
      <x:c r="B3828" s="6" t="str">
        <x:v>去</x:v>
      </x:c>
      <x:c r="C3828" s="6" t="str">
        <x:f>IF(B3828="","Needs decision","Ready")</x:f>
        <x:v>Ready</x:v>
      </x:c>
      <x:c r="D3828" s="6" t="str">
        <x:v>去</x:v>
      </x:c>
      <x:c r="E3828" s="6" t="str">
        <x:v>ngejH (C)</x:v>
      </x:c>
      <x:c r="F3828" s="6" t="str">
        <x:v>去聲八霽</x:v>
      </x:c>
      <x:c r="G3828" s="6" t="str">
        <x:v>Pingshui main list, Wikisource-derived DOCX</x:v>
      </x:c>
      <x:c r="H3828" s="6" t="str">
        <x:v>1</x:v>
      </x:c>
      <x:c r="I3828" s="6" t="str"/>
      <x:c r="J3828" s="6" t="str">
        <x:f>IF(B3828="","",IF(AND(ISNUMBER(SEARCH("平",B3828)),OR(ISNUMBER(SEARCH("上",B3828)),ISNUMBER(SEARCH("去",B3828)),ISNUMBER(SEARCH("入",B3828)))),"Ambiguous",IF(ISNUMBER(SEARCH("平",B3828)),"平","仄")))</x:f>
        <x:v>仄</x:v>
      </x:c>
      <x:c r="K3828" s="6" t="str">
        <x:f>IF(D3828="","",IF(AND(ISNUMBER(SEARCH("平",D3828)),OR(ISNUMBER(SEARCH("上",D3828)),ISNUMBER(SEARCH("去",D3828)),ISNUMBER(SEARCH("入",D3828)))),"Ambiguous",IF(ISNUMBER(SEARCH("平",D3828)),"平","仄")))</x:f>
        <x:v>仄</x:v>
      </x:c>
      <x:c r="L3828" s="7" t="str"/>
    </x:row>
    <x:row r="3829">
      <x:c r="A3829" s="5" t="str">
        <x:v>詤</x:v>
      </x:c>
      <x:c r="B3829" s="6" t="str"/>
      <x:c r="C3829" s="6" t="str">
        <x:f>IF(B3829="","Needs decision","Ready")</x:f>
        <x:v>Needs decision</x:v>
      </x:c>
      <x:c r="D3829" s="6" t="str">
        <x:v>平/上</x:v>
      </x:c>
      <x:c r="E3829" s="6" t="str">
        <x:v>xwang (A); xwangX (B)</x:v>
      </x:c>
      <x:c r="F3829" s="6" t="str"/>
      <x:c r="G3829" s="6" t="str"/>
      <x:c r="H3829" s="6" t="str">
        <x:v>2</x:v>
      </x:c>
      <x:c r="I3829" s="6" t="str"/>
      <x:c r="J3829" s="6" t="str">
        <x:f>IF(B3829="","",IF(AND(ISNUMBER(SEARCH("平",B3829)),OR(ISNUMBER(SEARCH("上",B3829)),ISNUMBER(SEARCH("去",B3829)),ISNUMBER(SEARCH("入",B3829)))),"Ambiguous",IF(ISNUMBER(SEARCH("平",B3829)),"平","仄")))</x:f>
      </x:c>
      <x:c r="K3829" s="6" t="str">
        <x:f>IF(D3829="","",IF(AND(ISNUMBER(SEARCH("平",D3829)),OR(ISNUMBER(SEARCH("上",D3829)),ISNUMBER(SEARCH("去",D3829)),ISNUMBER(SEARCH("入",D3829)))),"Ambiguous",IF(ISNUMBER(SEARCH("平",D3829)),"平","仄")))</x:f>
        <x:v>Ambiguous</x:v>
      </x:c>
      <x:c r="L3829" s="7" t="str"/>
    </x:row>
    <x:row r="3830">
      <x:c r="A3830" s="5" t="str">
        <x:v>試</x:v>
      </x:c>
      <x:c r="B3830" s="6" t="str">
        <x:v>去</x:v>
      </x:c>
      <x:c r="C3830" s="6" t="str">
        <x:f>IF(B3830="","Needs decision","Ready")</x:f>
        <x:v>Ready</x:v>
      </x:c>
      <x:c r="D3830" s="6" t="str">
        <x:v>去</x:v>
      </x:c>
      <x:c r="E3830" s="6" t="str">
        <x:v>syiH (C)</x:v>
      </x:c>
      <x:c r="F3830" s="6" t="str">
        <x:v>去聲四寘</x:v>
      </x:c>
      <x:c r="G3830" s="6" t="str">
        <x:v>Pingshui main list, Wikisource-derived DOCX</x:v>
      </x:c>
      <x:c r="H3830" s="6" t="str">
        <x:v>1</x:v>
      </x:c>
      <x:c r="I3830" s="6" t="str"/>
      <x:c r="J3830" s="6" t="str">
        <x:f>IF(B3830="","",IF(AND(ISNUMBER(SEARCH("平",B3830)),OR(ISNUMBER(SEARCH("上",B3830)),ISNUMBER(SEARCH("去",B3830)),ISNUMBER(SEARCH("入",B3830)))),"Ambiguous",IF(ISNUMBER(SEARCH("平",B3830)),"平","仄")))</x:f>
        <x:v>仄</x:v>
      </x:c>
      <x:c r="K3830" s="6" t="str">
        <x:f>IF(D3830="","",IF(AND(ISNUMBER(SEARCH("平",D3830)),OR(ISNUMBER(SEARCH("上",D3830)),ISNUMBER(SEARCH("去",D3830)),ISNUMBER(SEARCH("入",D3830)))),"Ambiguous",IF(ISNUMBER(SEARCH("平",D3830)),"平","仄")))</x:f>
        <x:v>仄</x:v>
      </x:c>
      <x:c r="L3830" s="7" t="str"/>
    </x:row>
    <x:row r="3831">
      <x:c r="A3831" s="5" t="str">
        <x:v>詩</x:v>
      </x:c>
      <x:c r="B3831" s="6" t="str">
        <x:v>平</x:v>
      </x:c>
      <x:c r="C3831" s="6" t="str">
        <x:f>IF(B3831="","Needs decision","Ready")</x:f>
        <x:v>Ready</x:v>
      </x:c>
      <x:c r="D3831" s="6" t="str">
        <x:v>平</x:v>
      </x:c>
      <x:c r="E3831" s="6" t="str">
        <x:v>syi (A)</x:v>
      </x:c>
      <x:c r="F3831" s="6" t="str">
        <x:v>上平聲四支</x:v>
      </x:c>
      <x:c r="G3831" s="6" t="str">
        <x:v>Pingshui main list, Wikisource-derived DOCX</x:v>
      </x:c>
      <x:c r="H3831" s="6" t="str">
        <x:v>1</x:v>
      </x:c>
      <x:c r="I3831" s="6" t="str"/>
      <x:c r="J3831" s="6" t="str">
        <x:f>IF(B3831="","",IF(AND(ISNUMBER(SEARCH("平",B3831)),OR(ISNUMBER(SEARCH("上",B3831)),ISNUMBER(SEARCH("去",B3831)),ISNUMBER(SEARCH("入",B3831)))),"Ambiguous",IF(ISNUMBER(SEARCH("平",B3831)),"平","仄")))</x:f>
        <x:v>平</x:v>
      </x:c>
      <x:c r="K3831" s="6" t="str">
        <x:f>IF(D3831="","",IF(AND(ISNUMBER(SEARCH("平",D3831)),OR(ISNUMBER(SEARCH("上",D3831)),ISNUMBER(SEARCH("去",D3831)),ISNUMBER(SEARCH("入",D3831)))),"Ambiguous",IF(ISNUMBER(SEARCH("平",D3831)),"平","仄")))</x:f>
        <x:v>平</x:v>
      </x:c>
      <x:c r="L3831" s="7" t="str"/>
    </x:row>
    <x:row r="3832">
      <x:c r="A3832" s="5" t="str">
        <x:v>詫</x:v>
      </x:c>
      <x:c r="B3832" s="6" t="str">
        <x:v>去</x:v>
      </x:c>
      <x:c r="C3832" s="6" t="str">
        <x:f>IF(B3832="","Needs decision","Ready")</x:f>
        <x:v>Ready</x:v>
      </x:c>
      <x:c r="D3832" s="6" t="str">
        <x:v>去</x:v>
      </x:c>
      <x:c r="E3832" s="6" t="str">
        <x:v>trhaeH (C)</x:v>
      </x:c>
      <x:c r="F3832" s="6" t="str">
        <x:v>去聲二十二禡</x:v>
      </x:c>
      <x:c r="G3832" s="6" t="str">
        <x:v>Pingshui main list, Wikisource-derived DOCX</x:v>
      </x:c>
      <x:c r="H3832" s="6" t="str">
        <x:v>1</x:v>
      </x:c>
      <x:c r="I3832" s="6" t="str"/>
      <x:c r="J3832" s="6" t="str">
        <x:f>IF(B3832="","",IF(AND(ISNUMBER(SEARCH("平",B3832)),OR(ISNUMBER(SEARCH("上",B3832)),ISNUMBER(SEARCH("去",B3832)),ISNUMBER(SEARCH("入",B3832)))),"Ambiguous",IF(ISNUMBER(SEARCH("平",B3832)),"平","仄")))</x:f>
        <x:v>仄</x:v>
      </x:c>
      <x:c r="K3832" s="6" t="str">
        <x:f>IF(D3832="","",IF(AND(ISNUMBER(SEARCH("平",D3832)),OR(ISNUMBER(SEARCH("上",D3832)),ISNUMBER(SEARCH("去",D3832)),ISNUMBER(SEARCH("入",D3832)))),"Ambiguous",IF(ISNUMBER(SEARCH("平",D3832)),"平","仄")))</x:f>
        <x:v>仄</x:v>
      </x:c>
      <x:c r="L3832" s="7" t="str"/>
    </x:row>
    <x:row r="3833">
      <x:c r="A3833" s="5" t="str">
        <x:v>詭</x:v>
      </x:c>
      <x:c r="B3833" s="6" t="str">
        <x:v>上</x:v>
      </x:c>
      <x:c r="C3833" s="6" t="str">
        <x:f>IF(B3833="","Needs decision","Ready")</x:f>
        <x:v>Ready</x:v>
      </x:c>
      <x:c r="D3833" s="6" t="str">
        <x:v>上</x:v>
      </x:c>
      <x:c r="E3833" s="6" t="str">
        <x:v>kjweX (B)</x:v>
      </x:c>
      <x:c r="F3833" s="6" t="str">
        <x:v>上聲四紙</x:v>
      </x:c>
      <x:c r="G3833" s="6" t="str">
        <x:v>Pingshui main list, Wikisource-derived DOCX</x:v>
      </x:c>
      <x:c r="H3833" s="6" t="str">
        <x:v>1</x:v>
      </x:c>
      <x:c r="I3833" s="6" t="str"/>
      <x:c r="J3833" s="6" t="str">
        <x:f>IF(B3833="","",IF(AND(ISNUMBER(SEARCH("平",B3833)),OR(ISNUMBER(SEARCH("上",B3833)),ISNUMBER(SEARCH("去",B3833)),ISNUMBER(SEARCH("入",B3833)))),"Ambiguous",IF(ISNUMBER(SEARCH("平",B3833)),"平","仄")))</x:f>
        <x:v>仄</x:v>
      </x:c>
      <x:c r="K3833" s="6" t="str">
        <x:f>IF(D3833="","",IF(AND(ISNUMBER(SEARCH("平",D3833)),OR(ISNUMBER(SEARCH("上",D3833)),ISNUMBER(SEARCH("去",D3833)),ISNUMBER(SEARCH("入",D3833)))),"Ambiguous",IF(ISNUMBER(SEARCH("平",D3833)),"平","仄")))</x:f>
        <x:v>仄</x:v>
      </x:c>
      <x:c r="L3833" s="7" t="str"/>
    </x:row>
    <x:row r="3834">
      <x:c r="A3834" s="5" t="str">
        <x:v>詰</x:v>
      </x:c>
      <x:c r="B3834" s="6" t="str">
        <x:v>入</x:v>
      </x:c>
      <x:c r="C3834" s="6" t="str">
        <x:f>IF(B3834="","Needs decision","Ready")</x:f>
        <x:v>Ready</x:v>
      </x:c>
      <x:c r="D3834" s="6" t="str">
        <x:v>入</x:v>
      </x:c>
      <x:c r="E3834" s="6" t="str">
        <x:v>khjit (D)</x:v>
      </x:c>
      <x:c r="F3834" s="6" t="str">
        <x:v>入聲四質</x:v>
      </x:c>
      <x:c r="G3834" s="6" t="str">
        <x:v>Pingshui main list, Wikisource-derived DOCX</x:v>
      </x:c>
      <x:c r="H3834" s="6" t="str">
        <x:v>1</x:v>
      </x:c>
      <x:c r="I3834" s="6" t="str"/>
      <x:c r="J3834" s="6" t="str">
        <x:f>IF(B3834="","",IF(AND(ISNUMBER(SEARCH("平",B3834)),OR(ISNUMBER(SEARCH("上",B3834)),ISNUMBER(SEARCH("去",B3834)),ISNUMBER(SEARCH("入",B3834)))),"Ambiguous",IF(ISNUMBER(SEARCH("平",B3834)),"平","仄")))</x:f>
        <x:v>仄</x:v>
      </x:c>
      <x:c r="K3834" s="6" t="str">
        <x:f>IF(D3834="","",IF(AND(ISNUMBER(SEARCH("平",D3834)),OR(ISNUMBER(SEARCH("上",D3834)),ISNUMBER(SEARCH("去",D3834)),ISNUMBER(SEARCH("入",D3834)))),"Ambiguous",IF(ISNUMBER(SEARCH("平",D3834)),"平","仄")))</x:f>
        <x:v>仄</x:v>
      </x:c>
      <x:c r="L3834" s="7" t="str"/>
    </x:row>
    <x:row r="3835">
      <x:c r="A3835" s="5" t="str">
        <x:v>話</x:v>
      </x:c>
      <x:c r="B3835" s="6" t="str">
        <x:v>去</x:v>
      </x:c>
      <x:c r="C3835" s="6" t="str">
        <x:f>IF(B3835="","Needs decision","Ready")</x:f>
        <x:v>Ready</x:v>
      </x:c>
      <x:c r="D3835" s="6" t="str">
        <x:v>去</x:v>
      </x:c>
      <x:c r="E3835" s="6" t="str">
        <x:v>hwaejH (C)</x:v>
      </x:c>
      <x:c r="F3835" s="6" t="str">
        <x:v>去聲十卦</x:v>
      </x:c>
      <x:c r="G3835" s="6" t="str">
        <x:v>Pingshui main list, Wikisource-derived DOCX</x:v>
      </x:c>
      <x:c r="H3835" s="6" t="str">
        <x:v>1</x:v>
      </x:c>
      <x:c r="I3835" s="6" t="str"/>
      <x:c r="J3835" s="6" t="str">
        <x:f>IF(B3835="","",IF(AND(ISNUMBER(SEARCH("平",B3835)),OR(ISNUMBER(SEARCH("上",B3835)),ISNUMBER(SEARCH("去",B3835)),ISNUMBER(SEARCH("入",B3835)))),"Ambiguous",IF(ISNUMBER(SEARCH("平",B3835)),"平","仄")))</x:f>
        <x:v>仄</x:v>
      </x:c>
      <x:c r="K3835" s="6" t="str">
        <x:f>IF(D3835="","",IF(AND(ISNUMBER(SEARCH("平",D3835)),OR(ISNUMBER(SEARCH("上",D3835)),ISNUMBER(SEARCH("去",D3835)),ISNUMBER(SEARCH("入",D3835)))),"Ambiguous",IF(ISNUMBER(SEARCH("平",D3835)),"平","仄")))</x:f>
        <x:v>仄</x:v>
      </x:c>
      <x:c r="L3835" s="7" t="str"/>
    </x:row>
    <x:row r="3836">
      <x:c r="A3836" s="5" t="str">
        <x:v>該</x:v>
      </x:c>
      <x:c r="B3836" s="6" t="str">
        <x:v>平</x:v>
      </x:c>
      <x:c r="C3836" s="6" t="str">
        <x:f>IF(B3836="","Needs decision","Ready")</x:f>
        <x:v>Ready</x:v>
      </x:c>
      <x:c r="D3836" s="6" t="str">
        <x:v>平</x:v>
      </x:c>
      <x:c r="E3836" s="6" t="str">
        <x:v>koj (A)</x:v>
      </x:c>
      <x:c r="F3836" s="6" t="str">
        <x:v>上平聲十灰</x:v>
      </x:c>
      <x:c r="G3836" s="6" t="str">
        <x:v>Pingshui main list, Wikisource-derived DOCX</x:v>
      </x:c>
      <x:c r="H3836" s="6" t="str">
        <x:v>1</x:v>
      </x:c>
      <x:c r="I3836" s="6" t="str"/>
      <x:c r="J3836" s="6" t="str">
        <x:f>IF(B3836="","",IF(AND(ISNUMBER(SEARCH("平",B3836)),OR(ISNUMBER(SEARCH("上",B3836)),ISNUMBER(SEARCH("去",B3836)),ISNUMBER(SEARCH("入",B3836)))),"Ambiguous",IF(ISNUMBER(SEARCH("平",B3836)),"平","仄")))</x:f>
        <x:v>平</x:v>
      </x:c>
      <x:c r="K3836" s="6" t="str">
        <x:f>IF(D3836="","",IF(AND(ISNUMBER(SEARCH("平",D3836)),OR(ISNUMBER(SEARCH("上",D3836)),ISNUMBER(SEARCH("去",D3836)),ISNUMBER(SEARCH("入",D3836)))),"Ambiguous",IF(ISNUMBER(SEARCH("平",D3836)),"平","仄")))</x:f>
        <x:v>平</x:v>
      </x:c>
      <x:c r="L3836" s="7" t="str"/>
    </x:row>
    <x:row r="3837">
      <x:c r="A3837" s="5" t="str">
        <x:v>詳</x:v>
      </x:c>
      <x:c r="B3837" s="6" t="str">
        <x:v>平</x:v>
      </x:c>
      <x:c r="C3837" s="6" t="str">
        <x:f>IF(B3837="","Needs decision","Ready")</x:f>
        <x:v>Ready</x:v>
      </x:c>
      <x:c r="D3837" s="6" t="str">
        <x:v>平</x:v>
      </x:c>
      <x:c r="E3837" s="6" t="str">
        <x:v>zjang (A)</x:v>
      </x:c>
      <x:c r="F3837" s="6" t="str">
        <x:v>下平聲七陽</x:v>
      </x:c>
      <x:c r="G3837" s="6" t="str">
        <x:v>Pingshui main list, Wikisource-derived DOCX</x:v>
      </x:c>
      <x:c r="H3837" s="6" t="str">
        <x:v>1</x:v>
      </x:c>
      <x:c r="I3837" s="6" t="str"/>
      <x:c r="J3837" s="6" t="str">
        <x:f>IF(B3837="","",IF(AND(ISNUMBER(SEARCH("平",B3837)),OR(ISNUMBER(SEARCH("上",B3837)),ISNUMBER(SEARCH("去",B3837)),ISNUMBER(SEARCH("入",B3837)))),"Ambiguous",IF(ISNUMBER(SEARCH("平",B3837)),"平","仄")))</x:f>
        <x:v>平</x:v>
      </x:c>
      <x:c r="K3837" s="6" t="str">
        <x:f>IF(D3837="","",IF(AND(ISNUMBER(SEARCH("平",D3837)),OR(ISNUMBER(SEARCH("上",D3837)),ISNUMBER(SEARCH("去",D3837)),ISNUMBER(SEARCH("入",D3837)))),"Ambiguous",IF(ISNUMBER(SEARCH("平",D3837)),"平","仄")))</x:f>
        <x:v>平</x:v>
      </x:c>
      <x:c r="L3837" s="7" t="str"/>
    </x:row>
    <x:row r="3838">
      <x:c r="A3838" s="5" t="str">
        <x:v>詵</x:v>
      </x:c>
      <x:c r="B3838" s="6" t="str">
        <x:v>平</x:v>
      </x:c>
      <x:c r="C3838" s="6" t="str">
        <x:f>IF(B3838="","Needs decision","Ready")</x:f>
        <x:v>Ready</x:v>
      </x:c>
      <x:c r="D3838" s="6" t="str">
        <x:v>平</x:v>
      </x:c>
      <x:c r="E3838" s="6" t="str">
        <x:v>srin (A)</x:v>
      </x:c>
      <x:c r="F3838" s="6" t="str">
        <x:v>上平聲十一真</x:v>
      </x:c>
      <x:c r="G3838" s="6" t="str">
        <x:v>Pingshui main list, Wikisource-derived DOCX</x:v>
      </x:c>
      <x:c r="H3838" s="6" t="str">
        <x:v>1</x:v>
      </x:c>
      <x:c r="I3838" s="6" t="str"/>
      <x:c r="J3838" s="6" t="str">
        <x:f>IF(B3838="","",IF(AND(ISNUMBER(SEARCH("平",B3838)),OR(ISNUMBER(SEARCH("上",B3838)),ISNUMBER(SEARCH("去",B3838)),ISNUMBER(SEARCH("入",B3838)))),"Ambiguous",IF(ISNUMBER(SEARCH("平",B3838)),"平","仄")))</x:f>
        <x:v>平</x:v>
      </x:c>
      <x:c r="K3838" s="6" t="str">
        <x:f>IF(D3838="","",IF(AND(ISNUMBER(SEARCH("平",D3838)),OR(ISNUMBER(SEARCH("上",D3838)),ISNUMBER(SEARCH("去",D3838)),ISNUMBER(SEARCH("入",D3838)))),"Ambiguous",IF(ISNUMBER(SEARCH("平",D3838)),"平","仄")))</x:f>
        <x:v>平</x:v>
      </x:c>
      <x:c r="L3838" s="7" t="str"/>
    </x:row>
    <x:row r="3839">
      <x:c r="A3839" s="5" t="str">
        <x:v>詹</x:v>
      </x:c>
      <x:c r="B3839" s="6" t="str">
        <x:v>平</x:v>
      </x:c>
      <x:c r="C3839" s="6" t="str">
        <x:f>IF(B3839="","Needs decision","Ready")</x:f>
        <x:v>Ready</x:v>
      </x:c>
      <x:c r="D3839" s="6" t="str">
        <x:v>平</x:v>
      </x:c>
      <x:c r="E3839" s="6" t="str">
        <x:v>tsyem (A)</x:v>
      </x:c>
      <x:c r="F3839" s="6" t="str">
        <x:v>下平聲十四鹽</x:v>
      </x:c>
      <x:c r="G3839" s="6" t="str">
        <x:v>Pingshui main list, Wikisource-derived DOCX</x:v>
      </x:c>
      <x:c r="H3839" s="6" t="str">
        <x:v>1</x:v>
      </x:c>
      <x:c r="I3839" s="6" t="str"/>
      <x:c r="J3839" s="6" t="str">
        <x:f>IF(B3839="","",IF(AND(ISNUMBER(SEARCH("平",B3839)),OR(ISNUMBER(SEARCH("上",B3839)),ISNUMBER(SEARCH("去",B3839)),ISNUMBER(SEARCH("入",B3839)))),"Ambiguous",IF(ISNUMBER(SEARCH("平",B3839)),"平","仄")))</x:f>
        <x:v>平</x:v>
      </x:c>
      <x:c r="K3839" s="6" t="str">
        <x:f>IF(D3839="","",IF(AND(ISNUMBER(SEARCH("平",D3839)),OR(ISNUMBER(SEARCH("上",D3839)),ISNUMBER(SEARCH("去",D3839)),ISNUMBER(SEARCH("入",D3839)))),"Ambiguous",IF(ISNUMBER(SEARCH("平",D3839)),"平","仄")))</x:f>
        <x:v>平</x:v>
      </x:c>
      <x:c r="L3839" s="7" t="str"/>
    </x:row>
    <x:row r="3840">
      <x:c r="A3840" s="5" t="str">
        <x:v>誄</x:v>
      </x:c>
      <x:c r="B3840" s="6" t="str">
        <x:v>上</x:v>
      </x:c>
      <x:c r="C3840" s="6" t="str">
        <x:f>IF(B3840="","Needs decision","Ready")</x:f>
        <x:v>Ready</x:v>
      </x:c>
      <x:c r="D3840" s="6" t="str">
        <x:v>上</x:v>
      </x:c>
      <x:c r="E3840" s="6" t="str">
        <x:v>lwijX (B)</x:v>
      </x:c>
      <x:c r="F3840" s="6" t="str">
        <x:v>上聲四紙</x:v>
      </x:c>
      <x:c r="G3840" s="6" t="str">
        <x:v>Pingshui main list, Wikisource-derived DOCX</x:v>
      </x:c>
      <x:c r="H3840" s="6" t="str">
        <x:v>1</x:v>
      </x:c>
      <x:c r="I3840" s="6" t="str"/>
      <x:c r="J3840" s="6" t="str">
        <x:f>IF(B3840="","",IF(AND(ISNUMBER(SEARCH("平",B3840)),OR(ISNUMBER(SEARCH("上",B3840)),ISNUMBER(SEARCH("去",B3840)),ISNUMBER(SEARCH("入",B3840)))),"Ambiguous",IF(ISNUMBER(SEARCH("平",B3840)),"平","仄")))</x:f>
        <x:v>仄</x:v>
      </x:c>
      <x:c r="K3840" s="6" t="str">
        <x:f>IF(D3840="","",IF(AND(ISNUMBER(SEARCH("平",D3840)),OR(ISNUMBER(SEARCH("上",D3840)),ISNUMBER(SEARCH("去",D3840)),ISNUMBER(SEARCH("入",D3840)))),"Ambiguous",IF(ISNUMBER(SEARCH("平",D3840)),"平","仄")))</x:f>
        <x:v>仄</x:v>
      </x:c>
      <x:c r="L3840" s="7" t="str"/>
    </x:row>
    <x:row r="3841">
      <x:c r="A3841" s="5" t="str">
        <x:v>誅</x:v>
      </x:c>
      <x:c r="B3841" s="6" t="str">
        <x:v>平</x:v>
      </x:c>
      <x:c r="C3841" s="6" t="str">
        <x:f>IF(B3841="","Needs decision","Ready")</x:f>
        <x:v>Ready</x:v>
      </x:c>
      <x:c r="D3841" s="6" t="str">
        <x:v>平</x:v>
      </x:c>
      <x:c r="E3841" s="6" t="str">
        <x:v>trju (A)</x:v>
      </x:c>
      <x:c r="F3841" s="6" t="str">
        <x:v>上平聲七虞</x:v>
      </x:c>
      <x:c r="G3841" s="6" t="str">
        <x:v>Pingshui main list, Wikisource-derived DOCX</x:v>
      </x:c>
      <x:c r="H3841" s="6" t="str">
        <x:v>1</x:v>
      </x:c>
      <x:c r="I3841" s="6" t="str"/>
      <x:c r="J3841" s="6" t="str">
        <x:f>IF(B3841="","",IF(AND(ISNUMBER(SEARCH("平",B3841)),OR(ISNUMBER(SEARCH("上",B3841)),ISNUMBER(SEARCH("去",B3841)),ISNUMBER(SEARCH("入",B3841)))),"Ambiguous",IF(ISNUMBER(SEARCH("平",B3841)),"平","仄")))</x:f>
        <x:v>平</x:v>
      </x:c>
      <x:c r="K3841" s="6" t="str">
        <x:f>IF(D3841="","",IF(AND(ISNUMBER(SEARCH("平",D3841)),OR(ISNUMBER(SEARCH("上",D3841)),ISNUMBER(SEARCH("去",D3841)),ISNUMBER(SEARCH("入",D3841)))),"Ambiguous",IF(ISNUMBER(SEARCH("平",D3841)),"平","仄")))</x:f>
        <x:v>平</x:v>
      </x:c>
      <x:c r="L3841" s="7" t="str"/>
    </x:row>
    <x:row r="3842">
      <x:c r="A3842" s="5" t="str">
        <x:v>誇</x:v>
      </x:c>
      <x:c r="B3842" s="6" t="str">
        <x:v>平</x:v>
      </x:c>
      <x:c r="C3842" s="6" t="str">
        <x:f>IF(B3842="","Needs decision","Ready")</x:f>
        <x:v>Ready</x:v>
      </x:c>
      <x:c r="D3842" s="6" t="str">
        <x:v>平</x:v>
      </x:c>
      <x:c r="E3842" s="6" t="str">
        <x:v>khwae (A)</x:v>
      </x:c>
      <x:c r="F3842" s="6" t="str"/>
      <x:c r="G3842" s="6" t="str"/>
      <x:c r="H3842" s="6" t="str">
        <x:v>1</x:v>
      </x:c>
      <x:c r="I3842" s="6" t="str"/>
      <x:c r="J3842" s="6" t="str">
        <x:f>IF(B3842="","",IF(AND(ISNUMBER(SEARCH("平",B3842)),OR(ISNUMBER(SEARCH("上",B3842)),ISNUMBER(SEARCH("去",B3842)),ISNUMBER(SEARCH("入",B3842)))),"Ambiguous",IF(ISNUMBER(SEARCH("平",B3842)),"平","仄")))</x:f>
        <x:v>平</x:v>
      </x:c>
      <x:c r="K3842" s="6" t="str">
        <x:f>IF(D3842="","",IF(AND(ISNUMBER(SEARCH("平",D3842)),OR(ISNUMBER(SEARCH("上",D3842)),ISNUMBER(SEARCH("去",D3842)),ISNUMBER(SEARCH("入",D3842)))),"Ambiguous",IF(ISNUMBER(SEARCH("平",D3842)),"平","仄")))</x:f>
        <x:v>平</x:v>
      </x:c>
      <x:c r="L3842" s="7" t="str"/>
    </x:row>
    <x:row r="3843">
      <x:c r="A3843" s="5" t="str">
        <x:v>誌</x:v>
      </x:c>
      <x:c r="B3843" s="6" t="str">
        <x:v>去</x:v>
      </x:c>
      <x:c r="C3843" s="6" t="str">
        <x:f>IF(B3843="","Needs decision","Ready")</x:f>
        <x:v>Ready</x:v>
      </x:c>
      <x:c r="D3843" s="6" t="str">
        <x:v>去</x:v>
      </x:c>
      <x:c r="E3843" s="6" t="str">
        <x:v>tsyiH (C)</x:v>
      </x:c>
      <x:c r="F3843" s="6" t="str">
        <x:v>去聲四寘</x:v>
      </x:c>
      <x:c r="G3843" s="6" t="str">
        <x:v>Pingshui main list, Wikisource-derived DOCX</x:v>
      </x:c>
      <x:c r="H3843" s="6" t="str">
        <x:v>1</x:v>
      </x:c>
      <x:c r="I3843" s="6" t="str"/>
      <x:c r="J3843" s="6" t="str">
        <x:f>IF(B3843="","",IF(AND(ISNUMBER(SEARCH("平",B3843)),OR(ISNUMBER(SEARCH("上",B3843)),ISNUMBER(SEARCH("去",B3843)),ISNUMBER(SEARCH("入",B3843)))),"Ambiguous",IF(ISNUMBER(SEARCH("平",B3843)),"平","仄")))</x:f>
        <x:v>仄</x:v>
      </x:c>
      <x:c r="K3843" s="6" t="str">
        <x:f>IF(D3843="","",IF(AND(ISNUMBER(SEARCH("平",D3843)),OR(ISNUMBER(SEARCH("上",D3843)),ISNUMBER(SEARCH("去",D3843)),ISNUMBER(SEARCH("入",D3843)))),"Ambiguous",IF(ISNUMBER(SEARCH("平",D3843)),"平","仄")))</x:f>
        <x:v>仄</x:v>
      </x:c>
      <x:c r="L3843" s="7" t="str"/>
    </x:row>
    <x:row r="3844">
      <x:c r="A3844" s="5" t="str">
        <x:v>認</x:v>
      </x:c>
      <x:c r="B3844" s="6" t="str">
        <x:v>去</x:v>
      </x:c>
      <x:c r="C3844" s="6" t="str">
        <x:f>IF(B3844="","Needs decision","Ready")</x:f>
        <x:v>Ready</x:v>
      </x:c>
      <x:c r="D3844" s="6" t="str">
        <x:v>去</x:v>
      </x:c>
      <x:c r="E3844" s="6" t="str">
        <x:v>nyinH (C)</x:v>
      </x:c>
      <x:c r="F3844" s="6" t="str">
        <x:v>去聲十二震</x:v>
      </x:c>
      <x:c r="G3844" s="6" t="str">
        <x:v>Pingshui main list, Wikisource-derived DOCX</x:v>
      </x:c>
      <x:c r="H3844" s="6" t="str">
        <x:v>1</x:v>
      </x:c>
      <x:c r="I3844" s="6" t="str"/>
      <x:c r="J3844" s="6" t="str">
        <x:f>IF(B3844="","",IF(AND(ISNUMBER(SEARCH("平",B3844)),OR(ISNUMBER(SEARCH("上",B3844)),ISNUMBER(SEARCH("去",B3844)),ISNUMBER(SEARCH("入",B3844)))),"Ambiguous",IF(ISNUMBER(SEARCH("平",B3844)),"平","仄")))</x:f>
        <x:v>仄</x:v>
      </x:c>
      <x:c r="K3844" s="6" t="str">
        <x:f>IF(D3844="","",IF(AND(ISNUMBER(SEARCH("平",D3844)),OR(ISNUMBER(SEARCH("上",D3844)),ISNUMBER(SEARCH("去",D3844)),ISNUMBER(SEARCH("入",D3844)))),"Ambiguous",IF(ISNUMBER(SEARCH("平",D3844)),"平","仄")))</x:f>
        <x:v>仄</x:v>
      </x:c>
      <x:c r="L3844" s="7" t="str"/>
    </x:row>
    <x:row r="3845">
      <x:c r="A3845" s="5" t="str">
        <x:v>誓</x:v>
      </x:c>
      <x:c r="B3845" s="6" t="str">
        <x:v>去</x:v>
      </x:c>
      <x:c r="C3845" s="6" t="str">
        <x:f>IF(B3845="","Needs decision","Ready")</x:f>
        <x:v>Ready</x:v>
      </x:c>
      <x:c r="D3845" s="6" t="str">
        <x:v>去</x:v>
      </x:c>
      <x:c r="E3845" s="6" t="str">
        <x:v>dzyejH (C)</x:v>
      </x:c>
      <x:c r="F3845" s="6" t="str">
        <x:v>去聲八霽</x:v>
      </x:c>
      <x:c r="G3845" s="6" t="str">
        <x:v>Pingshui main list, Wikisource-derived DOCX</x:v>
      </x:c>
      <x:c r="H3845" s="6" t="str">
        <x:v>1</x:v>
      </x:c>
      <x:c r="I3845" s="6" t="str"/>
      <x:c r="J3845" s="6" t="str">
        <x:f>IF(B3845="","",IF(AND(ISNUMBER(SEARCH("平",B3845)),OR(ISNUMBER(SEARCH("上",B3845)),ISNUMBER(SEARCH("去",B3845)),ISNUMBER(SEARCH("入",B3845)))),"Ambiguous",IF(ISNUMBER(SEARCH("平",B3845)),"平","仄")))</x:f>
        <x:v>仄</x:v>
      </x:c>
      <x:c r="K3845" s="6" t="str">
        <x:f>IF(D3845="","",IF(AND(ISNUMBER(SEARCH("平",D3845)),OR(ISNUMBER(SEARCH("上",D3845)),ISNUMBER(SEARCH("去",D3845)),ISNUMBER(SEARCH("入",D3845)))),"Ambiguous",IF(ISNUMBER(SEARCH("平",D3845)),"平","仄")))</x:f>
        <x:v>仄</x:v>
      </x:c>
      <x:c r="L3845" s="7" t="str"/>
    </x:row>
    <x:row r="3846">
      <x:c r="A3846" s="5" t="str">
        <x:v>誕</x:v>
      </x:c>
      <x:c r="B3846" s="6" t="str">
        <x:v>上</x:v>
      </x:c>
      <x:c r="C3846" s="6" t="str">
        <x:f>IF(B3846="","Needs decision","Ready")</x:f>
        <x:v>Ready</x:v>
      </x:c>
      <x:c r="D3846" s="6" t="str">
        <x:v>上</x:v>
      </x:c>
      <x:c r="E3846" s="6" t="str"/>
      <x:c r="F3846" s="6" t="str">
        <x:v>上聲十四旱</x:v>
      </x:c>
      <x:c r="G3846" s="6" t="str">
        <x:v>Pingshui main list, Wikisource-derived DOCX</x:v>
      </x:c>
      <x:c r="H3846" s="6" t="str"/>
      <x:c r="I3846" s="6" t="str">
        <x:v>Manual user correction/addition</x:v>
      </x:c>
      <x:c r="J3846" s="6" t="str">
        <x:f>IF(B3846="","",IF(AND(ISNUMBER(SEARCH("平",B3846)),OR(ISNUMBER(SEARCH("上",B3846)),ISNUMBER(SEARCH("去",B3846)),ISNUMBER(SEARCH("入",B3846)))),"Ambiguous",IF(ISNUMBER(SEARCH("平",B3846)),"平","仄")))</x:f>
        <x:v>仄</x:v>
      </x:c>
      <x:c r="K3846" s="6" t="str">
        <x:f>IF(D3846="","",IF(AND(ISNUMBER(SEARCH("平",D3846)),OR(ISNUMBER(SEARCH("上",D3846)),ISNUMBER(SEARCH("去",D3846)),ISNUMBER(SEARCH("入",D3846)))),"Ambiguous",IF(ISNUMBER(SEARCH("平",D3846)),"平","仄")))</x:f>
        <x:v>仄</x:v>
      </x:c>
      <x:c r="L3846" s="7" t="str">
        <x:v>manual user correction</x:v>
      </x:c>
    </x:row>
    <x:row r="3847">
      <x:c r="A3847" s="5" t="str">
        <x:v>誖</x:v>
      </x:c>
      <x:c r="B3847" s="6" t="str"/>
      <x:c r="C3847" s="6" t="str">
        <x:f>IF(B3847="","Needs decision","Ready")</x:f>
        <x:v>Needs decision</x:v>
      </x:c>
      <x:c r="D3847" s="6" t="str">
        <x:v>去/入</x:v>
      </x:c>
      <x:c r="E3847" s="6" t="str">
        <x:v>bwojH (C); bwot (D)</x:v>
      </x:c>
      <x:c r="F3847" s="6" t="str">
        <x:v>去聲十一隊; 入聲六月</x:v>
      </x:c>
      <x:c r="G3847" s="6" t="str">
        <x:v>Pingshui main list, Wikisource-derived DOCX</x:v>
      </x:c>
      <x:c r="H3847" s="6" t="str">
        <x:v>2</x:v>
      </x:c>
      <x:c r="I3847" s="6" t="str"/>
      <x:c r="J3847" s="6" t="str">
        <x:f>IF(B3847="","",IF(AND(ISNUMBER(SEARCH("平",B3847)),OR(ISNUMBER(SEARCH("上",B3847)),ISNUMBER(SEARCH("去",B3847)),ISNUMBER(SEARCH("入",B3847)))),"Ambiguous",IF(ISNUMBER(SEARCH("平",B3847)),"平","仄")))</x:f>
      </x:c>
      <x:c r="K3847" s="6" t="str">
        <x:f>IF(D3847="","",IF(AND(ISNUMBER(SEARCH("平",D3847)),OR(ISNUMBER(SEARCH("上",D3847)),ISNUMBER(SEARCH("去",D3847)),ISNUMBER(SEARCH("入",D3847)))),"Ambiguous",IF(ISNUMBER(SEARCH("平",D3847)),"平","仄")))</x:f>
        <x:v>仄</x:v>
      </x:c>
      <x:c r="L3847" s="7" t="str"/>
    </x:row>
    <x:row r="3848">
      <x:c r="A3848" s="5" t="str">
        <x:v>誘</x:v>
      </x:c>
      <x:c r="B3848" s="6" t="str">
        <x:v>上</x:v>
      </x:c>
      <x:c r="C3848" s="6" t="str">
        <x:f>IF(B3848="","Needs decision","Ready")</x:f>
        <x:v>Ready</x:v>
      </x:c>
      <x:c r="D3848" s="6" t="str">
        <x:v>上</x:v>
      </x:c>
      <x:c r="E3848" s="6" t="str">
        <x:v>yuwX (B)</x:v>
      </x:c>
      <x:c r="F3848" s="6" t="str">
        <x:v>上聲二十五有</x:v>
      </x:c>
      <x:c r="G3848" s="6" t="str">
        <x:v>Pingshui main list, Wikisource-derived DOCX</x:v>
      </x:c>
      <x:c r="H3848" s="6" t="str">
        <x:v>1</x:v>
      </x:c>
      <x:c r="I3848" s="6" t="str"/>
      <x:c r="J3848" s="6" t="str">
        <x:f>IF(B3848="","",IF(AND(ISNUMBER(SEARCH("平",B3848)),OR(ISNUMBER(SEARCH("上",B3848)),ISNUMBER(SEARCH("去",B3848)),ISNUMBER(SEARCH("入",B3848)))),"Ambiguous",IF(ISNUMBER(SEARCH("平",B3848)),"平","仄")))</x:f>
        <x:v>仄</x:v>
      </x:c>
      <x:c r="K3848" s="6" t="str">
        <x:f>IF(D3848="","",IF(AND(ISNUMBER(SEARCH("平",D3848)),OR(ISNUMBER(SEARCH("上",D3848)),ISNUMBER(SEARCH("去",D3848)),ISNUMBER(SEARCH("入",D3848)))),"Ambiguous",IF(ISNUMBER(SEARCH("平",D3848)),"平","仄")))</x:f>
        <x:v>仄</x:v>
      </x:c>
      <x:c r="L3848" s="7" t="str"/>
    </x:row>
    <x:row r="3849">
      <x:c r="A3849" s="5" t="str">
        <x:v>語</x:v>
      </x:c>
      <x:c r="B3849" s="6" t="str">
        <x:v>上</x:v>
      </x:c>
      <x:c r="C3849" s="6" t="str">
        <x:f>IF(B3849="","Needs decision","Ready")</x:f>
        <x:v>Ready</x:v>
      </x:c>
      <x:c r="D3849" s="6" t="str">
        <x:v>上/去</x:v>
      </x:c>
      <x:c r="E3849" s="6" t="str">
        <x:v>ngjoX (B); ngjoH (C)</x:v>
      </x:c>
      <x:c r="F3849" s="6" t="str">
        <x:v>上聲六語; 去聲六御</x:v>
      </x:c>
      <x:c r="G3849" s="6" t="str">
        <x:v>Pingshui main list, Wikisource-derived DOCX</x:v>
      </x:c>
      <x:c r="H3849" s="6" t="str">
        <x:v>2</x:v>
      </x:c>
      <x:c r="I3849" s="6" t="str">
        <x:v>User workbook edit 2026-09-03</x:v>
      </x:c>
      <x:c r="J3849" s="6" t="str">
        <x:f>IF(B3849="","",IF(AND(ISNUMBER(SEARCH("平",B3849)),OR(ISNUMBER(SEARCH("上",B3849)),ISNUMBER(SEARCH("去",B3849)),ISNUMBER(SEARCH("入",B3849)))),"Ambiguous",IF(ISNUMBER(SEARCH("平",B3849)),"平","仄")))</x:f>
        <x:v>仄</x:v>
      </x:c>
      <x:c r="K3849" s="6" t="str">
        <x:f>IF(D3849="","",IF(AND(ISNUMBER(SEARCH("平",D3849)),OR(ISNUMBER(SEARCH("上",D3849)),ISNUMBER(SEARCH("去",D3849)),ISNUMBER(SEARCH("入",D3849)))),"Ambiguous",IF(ISNUMBER(SEARCH("平",D3849)),"平","仄")))</x:f>
        <x:v>仄</x:v>
      </x:c>
      <x:c r="L3849" s="7" t="str">
        <x:v>manual user correction</x:v>
      </x:c>
    </x:row>
    <x:row r="3850">
      <x:c r="A3850" s="5" t="str">
        <x:v>誠</x:v>
      </x:c>
      <x:c r="B3850" s="6" t="str">
        <x:v>平</x:v>
      </x:c>
      <x:c r="C3850" s="6" t="str">
        <x:f>IF(B3850="","Needs decision","Ready")</x:f>
        <x:v>Ready</x:v>
      </x:c>
      <x:c r="D3850" s="6" t="str">
        <x:v>平</x:v>
      </x:c>
      <x:c r="E3850" s="6" t="str">
        <x:v>dzyeng (A)</x:v>
      </x:c>
      <x:c r="F3850" s="6" t="str">
        <x:v>下平聲八庚</x:v>
      </x:c>
      <x:c r="G3850" s="6" t="str">
        <x:v>Pingshui main list, Wikisource-derived DOCX</x:v>
      </x:c>
      <x:c r="H3850" s="6" t="str">
        <x:v>1</x:v>
      </x:c>
      <x:c r="I3850" s="6" t="str"/>
      <x:c r="J3850" s="6" t="str">
        <x:f>IF(B3850="","",IF(AND(ISNUMBER(SEARCH("平",B3850)),OR(ISNUMBER(SEARCH("上",B3850)),ISNUMBER(SEARCH("去",B3850)),ISNUMBER(SEARCH("入",B3850)))),"Ambiguous",IF(ISNUMBER(SEARCH("平",B3850)),"平","仄")))</x:f>
        <x:v>平</x:v>
      </x:c>
      <x:c r="K3850" s="6" t="str">
        <x:f>IF(D3850="","",IF(AND(ISNUMBER(SEARCH("平",D3850)),OR(ISNUMBER(SEARCH("上",D3850)),ISNUMBER(SEARCH("去",D3850)),ISNUMBER(SEARCH("入",D3850)))),"Ambiguous",IF(ISNUMBER(SEARCH("平",D3850)),"平","仄")))</x:f>
        <x:v>平</x:v>
      </x:c>
      <x:c r="L3850" s="7" t="str"/>
    </x:row>
    <x:row r="3851">
      <x:c r="A3851" s="5" t="str">
        <x:v>誡</x:v>
      </x:c>
      <x:c r="B3851" s="6" t="str">
        <x:v>去</x:v>
      </x:c>
      <x:c r="C3851" s="6" t="str">
        <x:f>IF(B3851="","Needs decision","Ready")</x:f>
        <x:v>Ready</x:v>
      </x:c>
      <x:c r="D3851" s="6" t="str">
        <x:v>去</x:v>
      </x:c>
      <x:c r="E3851" s="6" t="str">
        <x:v>keajH (C)</x:v>
      </x:c>
      <x:c r="F3851" s="6" t="str">
        <x:v>去聲十卦</x:v>
      </x:c>
      <x:c r="G3851" s="6" t="str">
        <x:v>Pingshui main list, Wikisource-derived DOCX</x:v>
      </x:c>
      <x:c r="H3851" s="6" t="str">
        <x:v>1</x:v>
      </x:c>
      <x:c r="I3851" s="6" t="str"/>
      <x:c r="J3851" s="6" t="str">
        <x:f>IF(B3851="","",IF(AND(ISNUMBER(SEARCH("平",B3851)),OR(ISNUMBER(SEARCH("上",B3851)),ISNUMBER(SEARCH("去",B3851)),ISNUMBER(SEARCH("入",B3851)))),"Ambiguous",IF(ISNUMBER(SEARCH("平",B3851)),"平","仄")))</x:f>
        <x:v>仄</x:v>
      </x:c>
      <x:c r="K3851" s="6" t="str">
        <x:f>IF(D3851="","",IF(AND(ISNUMBER(SEARCH("平",D3851)),OR(ISNUMBER(SEARCH("上",D3851)),ISNUMBER(SEARCH("去",D3851)),ISNUMBER(SEARCH("入",D3851)))),"Ambiguous",IF(ISNUMBER(SEARCH("平",D3851)),"平","仄")))</x:f>
        <x:v>仄</x:v>
      </x:c>
      <x:c r="L3851" s="7" t="str"/>
    </x:row>
    <x:row r="3852">
      <x:c r="A3852" s="5" t="str">
        <x:v>誣</x:v>
      </x:c>
      <x:c r="B3852" s="6" t="str">
        <x:v>平</x:v>
      </x:c>
      <x:c r="C3852" s="6" t="str">
        <x:f>IF(B3852="","Needs decision","Ready")</x:f>
        <x:v>Ready</x:v>
      </x:c>
      <x:c r="D3852" s="6" t="str">
        <x:v>平</x:v>
      </x:c>
      <x:c r="E3852" s="6" t="str">
        <x:v>mju (A)</x:v>
      </x:c>
      <x:c r="F3852" s="6" t="str">
        <x:v>上平聲七虞</x:v>
      </x:c>
      <x:c r="G3852" s="6" t="str">
        <x:v>Pingshui main list, Wikisource-derived DOCX</x:v>
      </x:c>
      <x:c r="H3852" s="6" t="str">
        <x:v>1</x:v>
      </x:c>
      <x:c r="I3852" s="6" t="str"/>
      <x:c r="J3852" s="6" t="str">
        <x:f>IF(B3852="","",IF(AND(ISNUMBER(SEARCH("平",B3852)),OR(ISNUMBER(SEARCH("上",B3852)),ISNUMBER(SEARCH("去",B3852)),ISNUMBER(SEARCH("入",B3852)))),"Ambiguous",IF(ISNUMBER(SEARCH("平",B3852)),"平","仄")))</x:f>
        <x:v>平</x:v>
      </x:c>
      <x:c r="K3852" s="6" t="str">
        <x:f>IF(D3852="","",IF(AND(ISNUMBER(SEARCH("平",D3852)),OR(ISNUMBER(SEARCH("上",D3852)),ISNUMBER(SEARCH("去",D3852)),ISNUMBER(SEARCH("入",D3852)))),"Ambiguous",IF(ISNUMBER(SEARCH("平",D3852)),"平","仄")))</x:f>
        <x:v>平</x:v>
      </x:c>
      <x:c r="L3852" s="7" t="str"/>
    </x:row>
    <x:row r="3853">
      <x:c r="A3853" s="5" t="str">
        <x:v>誤</x:v>
      </x:c>
      <x:c r="B3853" s="6" t="str">
        <x:v>去</x:v>
      </x:c>
      <x:c r="C3853" s="6" t="str">
        <x:f>IF(B3853="","Needs decision","Ready")</x:f>
        <x:v>Ready</x:v>
      </x:c>
      <x:c r="D3853" s="6" t="str">
        <x:v>去</x:v>
      </x:c>
      <x:c r="E3853" s="6" t="str">
        <x:v>nguH (C)</x:v>
      </x:c>
      <x:c r="F3853" s="6" t="str">
        <x:v>去聲七遇</x:v>
      </x:c>
      <x:c r="G3853" s="6" t="str">
        <x:v>Pingshui main list, Wikisource-derived DOCX</x:v>
      </x:c>
      <x:c r="H3853" s="6" t="str">
        <x:v>1</x:v>
      </x:c>
      <x:c r="I3853" s="6" t="str"/>
      <x:c r="J3853" s="6" t="str">
        <x:f>IF(B3853="","",IF(AND(ISNUMBER(SEARCH("平",B3853)),OR(ISNUMBER(SEARCH("上",B3853)),ISNUMBER(SEARCH("去",B3853)),ISNUMBER(SEARCH("入",B3853)))),"Ambiguous",IF(ISNUMBER(SEARCH("平",B3853)),"平","仄")))</x:f>
        <x:v>仄</x:v>
      </x:c>
      <x:c r="K3853" s="6" t="str">
        <x:f>IF(D3853="","",IF(AND(ISNUMBER(SEARCH("平",D3853)),OR(ISNUMBER(SEARCH("上",D3853)),ISNUMBER(SEARCH("去",D3853)),ISNUMBER(SEARCH("入",D3853)))),"Ambiguous",IF(ISNUMBER(SEARCH("平",D3853)),"平","仄")))</x:f>
        <x:v>仄</x:v>
      </x:c>
      <x:c r="L3853" s="7" t="str"/>
    </x:row>
    <x:row r="3854">
      <x:c r="A3854" s="5" t="str">
        <x:v>誥</x:v>
      </x:c>
      <x:c r="B3854" s="6" t="str">
        <x:v>去</x:v>
      </x:c>
      <x:c r="C3854" s="6" t="str">
        <x:f>IF(B3854="","Needs decision","Ready")</x:f>
        <x:v>Ready</x:v>
      </x:c>
      <x:c r="D3854" s="6" t="str">
        <x:v>去</x:v>
      </x:c>
      <x:c r="E3854" s="6" t="str">
        <x:v>kawH (C)</x:v>
      </x:c>
      <x:c r="F3854" s="6" t="str">
        <x:v>去聲二十號</x:v>
      </x:c>
      <x:c r="G3854" s="6" t="str">
        <x:v>Pingshui main list, Wikisource-derived DOCX</x:v>
      </x:c>
      <x:c r="H3854" s="6" t="str">
        <x:v>1</x:v>
      </x:c>
      <x:c r="I3854" s="6" t="str"/>
      <x:c r="J3854" s="6" t="str">
        <x:f>IF(B3854="","",IF(AND(ISNUMBER(SEARCH("平",B3854)),OR(ISNUMBER(SEARCH("上",B3854)),ISNUMBER(SEARCH("去",B3854)),ISNUMBER(SEARCH("入",B3854)))),"Ambiguous",IF(ISNUMBER(SEARCH("平",B3854)),"平","仄")))</x:f>
        <x:v>仄</x:v>
      </x:c>
      <x:c r="K3854" s="6" t="str">
        <x:f>IF(D3854="","",IF(AND(ISNUMBER(SEARCH("平",D3854)),OR(ISNUMBER(SEARCH("上",D3854)),ISNUMBER(SEARCH("去",D3854)),ISNUMBER(SEARCH("入",D3854)))),"Ambiguous",IF(ISNUMBER(SEARCH("平",D3854)),"平","仄")))</x:f>
        <x:v>仄</x:v>
      </x:c>
      <x:c r="L3854" s="7" t="str"/>
    </x:row>
    <x:row r="3855">
      <x:c r="A3855" s="5" t="str">
        <x:v>誦</x:v>
      </x:c>
      <x:c r="B3855" s="6" t="str">
        <x:v>去</x:v>
      </x:c>
      <x:c r="C3855" s="6" t="str">
        <x:f>IF(B3855="","Needs decision","Ready")</x:f>
        <x:v>Ready</x:v>
      </x:c>
      <x:c r="D3855" s="6" t="str">
        <x:v>去</x:v>
      </x:c>
      <x:c r="E3855" s="6" t="str">
        <x:v>zjowngH (C)</x:v>
      </x:c>
      <x:c r="F3855" s="6" t="str">
        <x:v>去聲二宋</x:v>
      </x:c>
      <x:c r="G3855" s="6" t="str">
        <x:v>Pingshui main list, Wikisource-derived DOCX</x:v>
      </x:c>
      <x:c r="H3855" s="6" t="str">
        <x:v>1</x:v>
      </x:c>
      <x:c r="I3855" s="6" t="str"/>
      <x:c r="J3855" s="6" t="str">
        <x:f>IF(B3855="","",IF(AND(ISNUMBER(SEARCH("平",B3855)),OR(ISNUMBER(SEARCH("上",B3855)),ISNUMBER(SEARCH("去",B3855)),ISNUMBER(SEARCH("入",B3855)))),"Ambiguous",IF(ISNUMBER(SEARCH("平",B3855)),"平","仄")))</x:f>
        <x:v>仄</x:v>
      </x:c>
      <x:c r="K3855" s="6" t="str">
        <x:f>IF(D3855="","",IF(AND(ISNUMBER(SEARCH("平",D3855)),OR(ISNUMBER(SEARCH("上",D3855)),ISNUMBER(SEARCH("去",D3855)),ISNUMBER(SEARCH("入",D3855)))),"Ambiguous",IF(ISNUMBER(SEARCH("平",D3855)),"平","仄")))</x:f>
        <x:v>仄</x:v>
      </x:c>
      <x:c r="L3855" s="7" t="str"/>
    </x:row>
    <x:row r="3856">
      <x:c r="A3856" s="5" t="str">
        <x:v>誨</x:v>
      </x:c>
      <x:c r="B3856" s="6" t="str">
        <x:v>去</x:v>
      </x:c>
      <x:c r="C3856" s="6" t="str">
        <x:f>IF(B3856="","Needs decision","Ready")</x:f>
        <x:v>Ready</x:v>
      </x:c>
      <x:c r="D3856" s="6" t="str">
        <x:v>去</x:v>
      </x:c>
      <x:c r="E3856" s="6" t="str">
        <x:v>xwojH (C)</x:v>
      </x:c>
      <x:c r="F3856" s="6" t="str">
        <x:v>去聲十一隊</x:v>
      </x:c>
      <x:c r="G3856" s="6" t="str">
        <x:v>Pingshui main list, Wikisource-derived DOCX</x:v>
      </x:c>
      <x:c r="H3856" s="6" t="str">
        <x:v>1</x:v>
      </x:c>
      <x:c r="I3856" s="6" t="str"/>
      <x:c r="J3856" s="6" t="str">
        <x:f>IF(B3856="","",IF(AND(ISNUMBER(SEARCH("平",B3856)),OR(ISNUMBER(SEARCH("上",B3856)),ISNUMBER(SEARCH("去",B3856)),ISNUMBER(SEARCH("入",B3856)))),"Ambiguous",IF(ISNUMBER(SEARCH("平",B3856)),"平","仄")))</x:f>
        <x:v>仄</x:v>
      </x:c>
      <x:c r="K3856" s="6" t="str">
        <x:f>IF(D3856="","",IF(AND(ISNUMBER(SEARCH("平",D3856)),OR(ISNUMBER(SEARCH("上",D3856)),ISNUMBER(SEARCH("去",D3856)),ISNUMBER(SEARCH("入",D3856)))),"Ambiguous",IF(ISNUMBER(SEARCH("平",D3856)),"平","仄")))</x:f>
        <x:v>仄</x:v>
      </x:c>
      <x:c r="L3856" s="7" t="str"/>
    </x:row>
    <x:row r="3857">
      <x:c r="A3857" s="5" t="str">
        <x:v>說</x:v>
      </x:c>
      <x:c r="B3857" s="6" t="str"/>
      <x:c r="C3857" s="6" t="str">
        <x:f>IF(B3857="","Needs decision","Ready")</x:f>
        <x:v>Needs decision</x:v>
      </x:c>
      <x:c r="D3857" s="6" t="str">
        <x:v>去/入</x:v>
      </x:c>
      <x:c r="E3857" s="6" t="str">
        <x:v>ywet [以合三仙入] jwet; sywet [書合三仙入] ɕwet; sywejH [書合三祭去] ɕwejh</x:v>
      </x:c>
      <x:c r="F3857" s="6" t="str">
        <x:v>去聲八霽; 入聲九屑</x:v>
      </x:c>
      <x:c r="G3857" s="6" t="str">
        <x:v>Pingshui main list, Wikisource-derived DOCX</x:v>
      </x:c>
      <x:c r="H3857" s="6" t="str">
        <x:v>3</x:v>
      </x:c>
      <x:c r="I3857" s="6" t="str">
        <x:v>Targeted preliminary fill from Xun Gong; review if uncertain</x:v>
      </x:c>
      <x:c r="J3857" s="6" t="str">
        <x:f>IF(B3857="","",IF(AND(ISNUMBER(SEARCH("平",B3857)),OR(ISNUMBER(SEARCH("上",B3857)),ISNUMBER(SEARCH("去",B3857)),ISNUMBER(SEARCH("入",B3857)))),"Ambiguous",IF(ISNUMBER(SEARCH("平",B3857)),"平","仄")))</x:f>
      </x:c>
      <x:c r="K3857" s="6" t="str">
        <x:f>IF(D3857="","",IF(AND(ISNUMBER(SEARCH("平",D3857)),OR(ISNUMBER(SEARCH("上",D3857)),ISNUMBER(SEARCH("去",D3857)),ISNUMBER(SEARCH("入",D3857)))),"Ambiguous",IF(ISNUMBER(SEARCH("平",D3857)),"平","仄")))</x:f>
        <x:v>仄</x:v>
      </x:c>
      <x:c r="L3857" s="7" t="str">
        <x:v>Xun Gong character-readings.csv</x:v>
      </x:c>
    </x:row>
    <x:row r="3858">
      <x:c r="A3858" s="5" t="str">
        <x:v>説</x:v>
      </x:c>
      <x:c r="B3858" s="6" t="str"/>
      <x:c r="C3858" s="6" t="str">
        <x:f>IF(B3858="","Needs decision","Ready")</x:f>
        <x:v>Needs decision</x:v>
      </x:c>
      <x:c r="D3858" s="6" t="str">
        <x:v>去/入</x:v>
      </x:c>
      <x:c r="E3858" s="6" t="str">
        <x:v>sywejH (C); sywet (D); ywet (D)</x:v>
      </x:c>
      <x:c r="F3858" s="6" t="str"/>
      <x:c r="G3858" s="6" t="str"/>
      <x:c r="H3858" s="6" t="str">
        <x:v>3</x:v>
      </x:c>
      <x:c r="I3858" s="6" t="str"/>
      <x:c r="J3858" s="6" t="str">
        <x:f>IF(B3858="","",IF(AND(ISNUMBER(SEARCH("平",B3858)),OR(ISNUMBER(SEARCH("上",B3858)),ISNUMBER(SEARCH("去",B3858)),ISNUMBER(SEARCH("入",B3858)))),"Ambiguous",IF(ISNUMBER(SEARCH("平",B3858)),"平","仄")))</x:f>
      </x:c>
      <x:c r="K3858" s="6" t="str">
        <x:f>IF(D3858="","",IF(AND(ISNUMBER(SEARCH("平",D3858)),OR(ISNUMBER(SEARCH("上",D3858)),ISNUMBER(SEARCH("去",D3858)),ISNUMBER(SEARCH("入",D3858)))),"Ambiguous",IF(ISNUMBER(SEARCH("平",D3858)),"平","仄")))</x:f>
        <x:v>仄</x:v>
      </x:c>
      <x:c r="L3858" s="7" t="str"/>
    </x:row>
    <x:row r="3859">
      <x:c r="A3859" s="5" t="str">
        <x:v>誰</x:v>
      </x:c>
      <x:c r="B3859" s="6" t="str">
        <x:v>平</x:v>
      </x:c>
      <x:c r="C3859" s="6" t="str">
        <x:f>IF(B3859="","Needs decision","Ready")</x:f>
        <x:v>Ready</x:v>
      </x:c>
      <x:c r="D3859" s="6" t="str">
        <x:v>平</x:v>
      </x:c>
      <x:c r="E3859" s="6" t="str">
        <x:v>dzywij (A)</x:v>
      </x:c>
      <x:c r="F3859" s="6" t="str">
        <x:v>上平聲四支</x:v>
      </x:c>
      <x:c r="G3859" s="6" t="str">
        <x:v>Pingshui main list, Wikisource-derived DOCX</x:v>
      </x:c>
      <x:c r="H3859" s="6" t="str">
        <x:v>1</x:v>
      </x:c>
      <x:c r="I3859" s="6" t="str"/>
      <x:c r="J3859" s="6" t="str">
        <x:f>IF(B3859="","",IF(AND(ISNUMBER(SEARCH("平",B3859)),OR(ISNUMBER(SEARCH("上",B3859)),ISNUMBER(SEARCH("去",B3859)),ISNUMBER(SEARCH("入",B3859)))),"Ambiguous",IF(ISNUMBER(SEARCH("平",B3859)),"平","仄")))</x:f>
        <x:v>平</x:v>
      </x:c>
      <x:c r="K3859" s="6" t="str">
        <x:f>IF(D3859="","",IF(AND(ISNUMBER(SEARCH("平",D3859)),OR(ISNUMBER(SEARCH("上",D3859)),ISNUMBER(SEARCH("去",D3859)),ISNUMBER(SEARCH("入",D3859)))),"Ambiguous",IF(ISNUMBER(SEARCH("平",D3859)),"平","仄")))</x:f>
        <x:v>平</x:v>
      </x:c>
      <x:c r="L3859" s="7" t="str"/>
    </x:row>
    <x:row r="3860">
      <x:c r="A3860" s="5" t="str">
        <x:v>課</x:v>
      </x:c>
      <x:c r="B3860" s="6" t="str">
        <x:v>去</x:v>
      </x:c>
      <x:c r="C3860" s="6" t="str">
        <x:f>IF(B3860="","Needs decision","Ready")</x:f>
        <x:v>Ready</x:v>
      </x:c>
      <x:c r="D3860" s="6" t="str">
        <x:v>平/去</x:v>
      </x:c>
      <x:c r="E3860" s="6" t="str">
        <x:v>khwaH [溪合一歌去] qʰwɑh; khwa [溪合一歌平] qʰwɑ</x:v>
      </x:c>
      <x:c r="F3860" s="6" t="str">
        <x:v>去聲二十一箇</x:v>
      </x:c>
      <x:c r="G3860" s="6" t="str">
        <x:v>Pingshui main list, Wikisource-derived DOCX</x:v>
      </x:c>
      <x:c r="H3860" s="6" t="str">
        <x:v>2</x:v>
      </x:c>
      <x:c r="I3860" s="6" t="str">
        <x:v>Targeted preliminary fill from Xun Gong; review if uncertain; User workbook edit 2026-09-03</x:v>
      </x:c>
      <x:c r="J3860" s="6" t="str">
        <x:f>IF(B3860="","",IF(AND(ISNUMBER(SEARCH("平",B3860)),OR(ISNUMBER(SEARCH("上",B3860)),ISNUMBER(SEARCH("去",B3860)),ISNUMBER(SEARCH("入",B3860)))),"Ambiguous",IF(ISNUMBER(SEARCH("平",B3860)),"平","仄")))</x:f>
        <x:v>仄</x:v>
      </x:c>
      <x:c r="K3860" s="6" t="str">
        <x:f>IF(D3860="","",IF(AND(ISNUMBER(SEARCH("平",D3860)),OR(ISNUMBER(SEARCH("上",D3860)),ISNUMBER(SEARCH("去",D3860)),ISNUMBER(SEARCH("入",D3860)))),"Ambiguous",IF(ISNUMBER(SEARCH("平",D3860)),"平","仄")))</x:f>
        <x:v>Ambiguous</x:v>
      </x:c>
      <x:c r="L3860" s="7" t="str">
        <x:v>manual user correction</x:v>
      </x:c>
    </x:row>
    <x:row r="3861">
      <x:c r="A3861" s="5" t="str">
        <x:v>誶</x:v>
      </x:c>
      <x:c r="B3861" s="6" t="str"/>
      <x:c r="C3861" s="6" t="str">
        <x:f>IF(B3861="","Needs decision","Ready")</x:f>
        <x:v>Needs decision</x:v>
      </x:c>
      <x:c r="D3861" s="6" t="str">
        <x:v>去/入</x:v>
      </x:c>
      <x:c r="E3861" s="6" t="str">
        <x:v>dzwit (D); swijH (C)</x:v>
      </x:c>
      <x:c r="F3861" s="6" t="str">
        <x:v>去聲四寘; 去聲十一隊</x:v>
      </x:c>
      <x:c r="G3861" s="6" t="str">
        <x:v>Pingshui main list, Wikisource-derived DOCX</x:v>
      </x:c>
      <x:c r="H3861" s="6" t="str">
        <x:v>2</x:v>
      </x:c>
      <x:c r="I3861" s="6" t="str"/>
      <x:c r="J3861" s="6" t="str">
        <x:f>IF(B3861="","",IF(AND(ISNUMBER(SEARCH("平",B3861)),OR(ISNUMBER(SEARCH("上",B3861)),ISNUMBER(SEARCH("去",B3861)),ISNUMBER(SEARCH("入",B3861)))),"Ambiguous",IF(ISNUMBER(SEARCH("平",B3861)),"平","仄")))</x:f>
      </x:c>
      <x:c r="K3861" s="6" t="str">
        <x:f>IF(D3861="","",IF(AND(ISNUMBER(SEARCH("平",D3861)),OR(ISNUMBER(SEARCH("上",D3861)),ISNUMBER(SEARCH("去",D3861)),ISNUMBER(SEARCH("入",D3861)))),"Ambiguous",IF(ISNUMBER(SEARCH("平",D3861)),"平","仄")))</x:f>
        <x:v>仄</x:v>
      </x:c>
      <x:c r="L3861" s="7" t="str"/>
    </x:row>
    <x:row r="3862">
      <x:c r="A3862" s="5" t="str">
        <x:v>誸</x:v>
      </x:c>
      <x:c r="B3862" s="6" t="str">
        <x:v>平</x:v>
      </x:c>
      <x:c r="C3862" s="6" t="str">
        <x:f>IF(B3862="","Needs decision","Ready")</x:f>
        <x:v>Ready</x:v>
      </x:c>
      <x:c r="D3862" s="6" t="str">
        <x:v>平</x:v>
      </x:c>
      <x:c r="E3862" s="6" t="str">
        <x:v>hen (A)</x:v>
      </x:c>
      <x:c r="F3862" s="6" t="str"/>
      <x:c r="G3862" s="6" t="str"/>
      <x:c r="H3862" s="6" t="str">
        <x:v>1</x:v>
      </x:c>
      <x:c r="I3862" s="6" t="str"/>
      <x:c r="J3862" s="6" t="str">
        <x:f>IF(B3862="","",IF(AND(ISNUMBER(SEARCH("平",B3862)),OR(ISNUMBER(SEARCH("上",B3862)),ISNUMBER(SEARCH("去",B3862)),ISNUMBER(SEARCH("入",B3862)))),"Ambiguous",IF(ISNUMBER(SEARCH("平",B3862)),"平","仄")))</x:f>
        <x:v>平</x:v>
      </x:c>
      <x:c r="K3862" s="6" t="str">
        <x:f>IF(D3862="","",IF(AND(ISNUMBER(SEARCH("平",D3862)),OR(ISNUMBER(SEARCH("上",D3862)),ISNUMBER(SEARCH("去",D3862)),ISNUMBER(SEARCH("入",D3862)))),"Ambiguous",IF(ISNUMBER(SEARCH("平",D3862)),"平","仄")))</x:f>
        <x:v>平</x:v>
      </x:c>
      <x:c r="L3862" s="7" t="str"/>
    </x:row>
    <x:row r="3863">
      <x:c r="A3863" s="5" t="str">
        <x:v>誹</x:v>
      </x:c>
      <x:c r="B3863" s="6" t="str">
        <x:v>平</x:v>
      </x:c>
      <x:c r="C3863" s="6" t="str">
        <x:f>IF(B3863="","Needs decision","Ready")</x:f>
        <x:v>Ready</x:v>
      </x:c>
      <x:c r="D3863" s="6" t="str">
        <x:v>平</x:v>
      </x:c>
      <x:c r="E3863" s="6" t="str">
        <x:v>pj+j (A)</x:v>
      </x:c>
      <x:c r="F3863" s="6" t="str">
        <x:v>上平聲五微; 上聲五尾; 去聲五未</x:v>
      </x:c>
      <x:c r="G3863" s="6" t="str">
        <x:v>Pingshui main list, Wikisource-derived DOCX</x:v>
      </x:c>
      <x:c r="H3863" s="6" t="str">
        <x:v>1</x:v>
      </x:c>
      <x:c r="I3863" s="6" t="str"/>
      <x:c r="J3863" s="6" t="str">
        <x:f>IF(B3863="","",IF(AND(ISNUMBER(SEARCH("平",B3863)),OR(ISNUMBER(SEARCH("上",B3863)),ISNUMBER(SEARCH("去",B3863)),ISNUMBER(SEARCH("入",B3863)))),"Ambiguous",IF(ISNUMBER(SEARCH("平",B3863)),"平","仄")))</x:f>
        <x:v>平</x:v>
      </x:c>
      <x:c r="K3863" s="6" t="str">
        <x:f>IF(D3863="","",IF(AND(ISNUMBER(SEARCH("平",D3863)),OR(ISNUMBER(SEARCH("上",D3863)),ISNUMBER(SEARCH("去",D3863)),ISNUMBER(SEARCH("入",D3863)))),"Ambiguous",IF(ISNUMBER(SEARCH("平",D3863)),"平","仄")))</x:f>
        <x:v>平</x:v>
      </x:c>
      <x:c r="L3863" s="7" t="str"/>
    </x:row>
    <x:row r="3864">
      <x:c r="A3864" s="5" t="str">
        <x:v>誼</x:v>
      </x:c>
      <x:c r="B3864" s="6" t="str">
        <x:v>去</x:v>
      </x:c>
      <x:c r="C3864" s="6" t="str">
        <x:f>IF(B3864="","Needs decision","Ready")</x:f>
        <x:v>Ready</x:v>
      </x:c>
      <x:c r="D3864" s="6" t="str">
        <x:v>去</x:v>
      </x:c>
      <x:c r="E3864" s="6" t="str">
        <x:v>ngjeH [ŋɨ̯ieh] (去)</x:v>
      </x:c>
      <x:c r="F3864" s="6" t="str">
        <x:v>去聲四寘</x:v>
      </x:c>
      <x:c r="G3864" s="6" t="str">
        <x:v>Pingshui main list, Wikisource-derived DOCX</x:v>
      </x:c>
      <x:c r="H3864" s="6" t="str">
        <x:v>1</x:v>
      </x:c>
      <x:c r="I3864" s="6" t="str">
        <x:v>Tang 300 gap; frequency 1; provisional from Xun Gong</x:v>
      </x:c>
      <x:c r="J3864" s="6" t="str">
        <x:f>IF(B3864="","",IF(AND(ISNUMBER(SEARCH("平",B3864)),OR(ISNUMBER(SEARCH("上",B3864)),ISNUMBER(SEARCH("去",B3864)),ISNUMBER(SEARCH("入",B3864)))),"Ambiguous",IF(ISNUMBER(SEARCH("平",B3864)),"平","仄")))</x:f>
        <x:v>仄</x:v>
      </x:c>
      <x:c r="K3864" s="6" t="str">
        <x:f>IF(D3864="","",IF(AND(ISNUMBER(SEARCH("平",D3864)),OR(ISNUMBER(SEARCH("上",D3864)),ISNUMBER(SEARCH("去",D3864)),ISNUMBER(SEARCH("入",D3864)))),"Ambiguous",IF(ISNUMBER(SEARCH("平",D3864)),"平","仄")))</x:f>
        <x:v>仄</x:v>
      </x:c>
      <x:c r="L3864" s="7" t="str">
        <x:v>Xun Gong, Tang 300 gap fill</x:v>
      </x:c>
    </x:row>
    <x:row r="3865">
      <x:c r="A3865" s="5" t="str">
        <x:v>誾</x:v>
      </x:c>
      <x:c r="B3865" s="6" t="str">
        <x:v>平</x:v>
      </x:c>
      <x:c r="C3865" s="6" t="str">
        <x:f>IF(B3865="","Needs decision","Ready")</x:f>
        <x:v>Ready</x:v>
      </x:c>
      <x:c r="D3865" s="6" t="str">
        <x:v>平</x:v>
      </x:c>
      <x:c r="E3865" s="6" t="str">
        <x:v>ngin (A)</x:v>
      </x:c>
      <x:c r="F3865" s="6" t="str">
        <x:v>上平聲十一真; 上平聲十二文</x:v>
      </x:c>
      <x:c r="G3865" s="6" t="str">
        <x:v>Pingshui main list, Wikisource-derived DOCX</x:v>
      </x:c>
      <x:c r="H3865" s="6" t="str">
        <x:v>1</x:v>
      </x:c>
      <x:c r="I3865" s="6" t="str"/>
      <x:c r="J3865" s="6" t="str">
        <x:f>IF(B3865="","",IF(AND(ISNUMBER(SEARCH("平",B3865)),OR(ISNUMBER(SEARCH("上",B3865)),ISNUMBER(SEARCH("去",B3865)),ISNUMBER(SEARCH("入",B3865)))),"Ambiguous",IF(ISNUMBER(SEARCH("平",B3865)),"平","仄")))</x:f>
        <x:v>平</x:v>
      </x:c>
      <x:c r="K3865" s="6" t="str">
        <x:f>IF(D3865="","",IF(AND(ISNUMBER(SEARCH("平",D3865)),OR(ISNUMBER(SEARCH("上",D3865)),ISNUMBER(SEARCH("去",D3865)),ISNUMBER(SEARCH("入",D3865)))),"Ambiguous",IF(ISNUMBER(SEARCH("平",D3865)),"平","仄")))</x:f>
        <x:v>平</x:v>
      </x:c>
      <x:c r="L3865" s="7" t="str"/>
    </x:row>
    <x:row r="3866">
      <x:c r="A3866" s="5" t="str">
        <x:v>調</x:v>
      </x:c>
      <x:c r="B3866" s="6" t="str">
        <x:v>平/去</x:v>
      </x:c>
      <x:c r="C3866" s="6" t="str">
        <x:f>IF(B3866="","Needs decision","Ready")</x:f>
        <x:v>Ready</x:v>
      </x:c>
      <x:c r="D3866" s="6" t="str">
        <x:v>平/去</x:v>
      </x:c>
      <x:c r="E3866" s="6" t="str">
        <x:v>dew (A)</x:v>
      </x:c>
      <x:c r="F3866" s="6" t="str">
        <x:v>下平聲二蕭; 下平聲十一尤; 去聲十八嘯</x:v>
      </x:c>
      <x:c r="G3866" s="6" t="str">
        <x:v>Pingshui main list, Wikisource-derived DOCX</x:v>
      </x:c>
      <x:c r="H3866" s="6" t="str">
        <x:v>1</x:v>
      </x:c>
      <x:c r="I3866" s="6" t="str">
        <x:v>User correction 2026-09-08</x:v>
      </x:c>
      <x:c r="J3866" s="6" t="str">
        <x:f>IF(B3866="","",IF(AND(ISNUMBER(SEARCH("平",B3866)),OR(ISNUMBER(SEARCH("上",B3866)),ISNUMBER(SEARCH("去",B3866)),ISNUMBER(SEARCH("入",B3866)))),"Ambiguous",IF(ISNUMBER(SEARCH("平",B3866)),"平","仄")))</x:f>
        <x:v>Ambiguous</x:v>
      </x:c>
      <x:c r="K3866" s="6" t="str">
        <x:f>IF(D3866="","",IF(AND(ISNUMBER(SEARCH("平",D3866)),OR(ISNUMBER(SEARCH("上",D3866)),ISNUMBER(SEARCH("去",D3866)),ISNUMBER(SEARCH("入",D3866)))),"Ambiguous",IF(ISNUMBER(SEARCH("平",D3866)),"平","仄")))</x:f>
        <x:v>Ambiguous</x:v>
      </x:c>
      <x:c r="L3866" s="7" t="str"/>
    </x:row>
    <x:row r="3867">
      <x:c r="A3867" s="5" t="str">
        <x:v>諀</x:v>
      </x:c>
      <x:c r="B3867" s="6" t="str">
        <x:v>上</x:v>
      </x:c>
      <x:c r="C3867" s="6" t="str">
        <x:f>IF(B3867="","Needs decision","Ready")</x:f>
        <x:v>Ready</x:v>
      </x:c>
      <x:c r="D3867" s="6" t="str">
        <x:v>上</x:v>
      </x:c>
      <x:c r="E3867" s="6" t="str">
        <x:v>phjieX (B)</x:v>
      </x:c>
      <x:c r="F3867" s="6" t="str"/>
      <x:c r="G3867" s="6" t="str"/>
      <x:c r="H3867" s="6" t="str">
        <x:v>1</x:v>
      </x:c>
      <x:c r="I3867" s="6" t="str"/>
      <x:c r="J3867" s="6" t="str">
        <x:f>IF(B3867="","",IF(AND(ISNUMBER(SEARCH("平",B3867)),OR(ISNUMBER(SEARCH("上",B3867)),ISNUMBER(SEARCH("去",B3867)),ISNUMBER(SEARCH("入",B3867)))),"Ambiguous",IF(ISNUMBER(SEARCH("平",B3867)),"平","仄")))</x:f>
        <x:v>仄</x:v>
      </x:c>
      <x:c r="K3867" s="6" t="str">
        <x:f>IF(D3867="","",IF(AND(ISNUMBER(SEARCH("平",D3867)),OR(ISNUMBER(SEARCH("上",D3867)),ISNUMBER(SEARCH("去",D3867)),ISNUMBER(SEARCH("入",D3867)))),"Ambiguous",IF(ISNUMBER(SEARCH("平",D3867)),"平","仄")))</x:f>
        <x:v>仄</x:v>
      </x:c>
      <x:c r="L3867" s="7" t="str"/>
    </x:row>
    <x:row r="3868">
      <x:c r="A3868" s="5" t="str">
        <x:v>諂</x:v>
      </x:c>
      <x:c r="B3868" s="6" t="str">
        <x:v>上</x:v>
      </x:c>
      <x:c r="C3868" s="6" t="str">
        <x:f>IF(B3868="","Needs decision","Ready")</x:f>
        <x:v>Ready</x:v>
      </x:c>
      <x:c r="D3868" s="6" t="str">
        <x:v>上</x:v>
      </x:c>
      <x:c r="E3868" s="6" t="str">
        <x:v>trhjemX (B)</x:v>
      </x:c>
      <x:c r="F3868" s="6" t="str">
        <x:v>上聲二十八琰</x:v>
      </x:c>
      <x:c r="G3868" s="6" t="str">
        <x:v>Pingshui main list, Wikisource-derived DOCX</x:v>
      </x:c>
      <x:c r="H3868" s="6" t="str">
        <x:v>1</x:v>
      </x:c>
      <x:c r="I3868" s="6" t="str"/>
      <x:c r="J3868" s="6" t="str">
        <x:f>IF(B3868="","",IF(AND(ISNUMBER(SEARCH("平",B3868)),OR(ISNUMBER(SEARCH("上",B3868)),ISNUMBER(SEARCH("去",B3868)),ISNUMBER(SEARCH("入",B3868)))),"Ambiguous",IF(ISNUMBER(SEARCH("平",B3868)),"平","仄")))</x:f>
        <x:v>仄</x:v>
      </x:c>
      <x:c r="K3868" s="6" t="str">
        <x:f>IF(D3868="","",IF(AND(ISNUMBER(SEARCH("平",D3868)),OR(ISNUMBER(SEARCH("上",D3868)),ISNUMBER(SEARCH("去",D3868)),ISNUMBER(SEARCH("入",D3868)))),"Ambiguous",IF(ISNUMBER(SEARCH("平",D3868)),"平","仄")))</x:f>
        <x:v>仄</x:v>
      </x:c>
      <x:c r="L3868" s="7" t="str"/>
    </x:row>
    <x:row r="3869">
      <x:c r="A3869" s="5" t="str">
        <x:v>談</x:v>
      </x:c>
      <x:c r="B3869" s="6" t="str">
        <x:v>平</x:v>
      </x:c>
      <x:c r="C3869" s="6" t="str">
        <x:f>IF(B3869="","Needs decision","Ready")</x:f>
        <x:v>Ready</x:v>
      </x:c>
      <x:c r="D3869" s="6" t="str">
        <x:v>平</x:v>
      </x:c>
      <x:c r="E3869" s="6" t="str">
        <x:v>dam (A)</x:v>
      </x:c>
      <x:c r="F3869" s="6" t="str">
        <x:v>下平聲十三覃</x:v>
      </x:c>
      <x:c r="G3869" s="6" t="str">
        <x:v>Pingshui main list, Wikisource-derived DOCX</x:v>
      </x:c>
      <x:c r="H3869" s="6" t="str">
        <x:v>1</x:v>
      </x:c>
      <x:c r="I3869" s="6" t="str"/>
      <x:c r="J3869" s="6" t="str">
        <x:f>IF(B3869="","",IF(AND(ISNUMBER(SEARCH("平",B3869)),OR(ISNUMBER(SEARCH("上",B3869)),ISNUMBER(SEARCH("去",B3869)),ISNUMBER(SEARCH("入",B3869)))),"Ambiguous",IF(ISNUMBER(SEARCH("平",B3869)),"平","仄")))</x:f>
        <x:v>平</x:v>
      </x:c>
      <x:c r="K3869" s="6" t="str">
        <x:f>IF(D3869="","",IF(AND(ISNUMBER(SEARCH("平",D3869)),OR(ISNUMBER(SEARCH("上",D3869)),ISNUMBER(SEARCH("去",D3869)),ISNUMBER(SEARCH("入",D3869)))),"Ambiguous",IF(ISNUMBER(SEARCH("平",D3869)),"平","仄")))</x:f>
        <x:v>平</x:v>
      </x:c>
      <x:c r="L3869" s="7" t="str"/>
    </x:row>
    <x:row r="3870">
      <x:c r="A3870" s="5" t="str">
        <x:v>諉</x:v>
      </x:c>
      <x:c r="B3870" s="6" t="str">
        <x:v>去</x:v>
      </x:c>
      <x:c r="C3870" s="6" t="str">
        <x:f>IF(B3870="","Needs decision","Ready")</x:f>
        <x:v>Ready</x:v>
      </x:c>
      <x:c r="D3870" s="6" t="str">
        <x:v>去</x:v>
      </x:c>
      <x:c r="E3870" s="6" t="str">
        <x:v>nrjweH (C)</x:v>
      </x:c>
      <x:c r="F3870" s="6" t="str">
        <x:v>去聲四寘</x:v>
      </x:c>
      <x:c r="G3870" s="6" t="str">
        <x:v>Pingshui main list, Wikisource-derived DOCX</x:v>
      </x:c>
      <x:c r="H3870" s="6" t="str">
        <x:v>1</x:v>
      </x:c>
      <x:c r="I3870" s="6" t="str"/>
      <x:c r="J3870" s="6" t="str">
        <x:f>IF(B3870="","",IF(AND(ISNUMBER(SEARCH("平",B3870)),OR(ISNUMBER(SEARCH("上",B3870)),ISNUMBER(SEARCH("去",B3870)),ISNUMBER(SEARCH("入",B3870)))),"Ambiguous",IF(ISNUMBER(SEARCH("平",B3870)),"平","仄")))</x:f>
        <x:v>仄</x:v>
      </x:c>
      <x:c r="K3870" s="6" t="str">
        <x:f>IF(D3870="","",IF(AND(ISNUMBER(SEARCH("平",D3870)),OR(ISNUMBER(SEARCH("上",D3870)),ISNUMBER(SEARCH("去",D3870)),ISNUMBER(SEARCH("入",D3870)))),"Ambiguous",IF(ISNUMBER(SEARCH("平",D3870)),"平","仄")))</x:f>
        <x:v>仄</x:v>
      </x:c>
      <x:c r="L3870" s="7" t="str"/>
    </x:row>
    <x:row r="3871">
      <x:c r="A3871" s="5" t="str">
        <x:v>請</x:v>
      </x:c>
      <x:c r="B3871" s="6" t="str">
        <x:v>上</x:v>
      </x:c>
      <x:c r="C3871" s="6" t="str">
        <x:f>IF(B3871="","Needs decision","Ready")</x:f>
        <x:v>Ready</x:v>
      </x:c>
      <x:c r="D3871" s="6" t="str">
        <x:v>平/上</x:v>
      </x:c>
      <x:c r="E3871" s="6" t="str">
        <x:v>dzjeng (A); tshjengX (B)</x:v>
      </x:c>
      <x:c r="F3871" s="6" t="str">
        <x:v>上聲二十三梗; 去聲二十四敬</x:v>
      </x:c>
      <x:c r="G3871" s="6" t="str">
        <x:v>Pingshui main list, Wikisource-derived DOCX</x:v>
      </x:c>
      <x:c r="H3871" s="6" t="str">
        <x:v>2</x:v>
      </x:c>
      <x:c r="I3871" s="6" t="str">
        <x:v>User workbook edit 2026-09-03</x:v>
      </x:c>
      <x:c r="J3871" s="6" t="str">
        <x:f>IF(B3871="","",IF(AND(ISNUMBER(SEARCH("平",B3871)),OR(ISNUMBER(SEARCH("上",B3871)),ISNUMBER(SEARCH("去",B3871)),ISNUMBER(SEARCH("入",B3871)))),"Ambiguous",IF(ISNUMBER(SEARCH("平",B3871)),"平","仄")))</x:f>
        <x:v>仄</x:v>
      </x:c>
      <x:c r="K3871" s="6" t="str">
        <x:f>IF(D3871="","",IF(AND(ISNUMBER(SEARCH("平",D3871)),OR(ISNUMBER(SEARCH("上",D3871)),ISNUMBER(SEARCH("去",D3871)),ISNUMBER(SEARCH("入",D3871)))),"Ambiguous",IF(ISNUMBER(SEARCH("平",D3871)),"平","仄")))</x:f>
        <x:v>Ambiguous</x:v>
      </x:c>
      <x:c r="L3871" s="7" t="str">
        <x:v>manual user correction</x:v>
      </x:c>
    </x:row>
    <x:row r="3872">
      <x:c r="A3872" s="5" t="str">
        <x:v>諍</x:v>
      </x:c>
      <x:c r="B3872" s="6" t="str">
        <x:v>去</x:v>
      </x:c>
      <x:c r="C3872" s="6" t="str">
        <x:f>IF(B3872="","Needs decision","Ready")</x:f>
        <x:v>Ready</x:v>
      </x:c>
      <x:c r="D3872" s="6" t="str">
        <x:v>去</x:v>
      </x:c>
      <x:c r="E3872" s="6" t="str">
        <x:v>tsreangH [莊開二耕去] tʂeˤŋh</x:v>
      </x:c>
      <x:c r="F3872" s="6" t="str">
        <x:v>去聲二十四敬</x:v>
      </x:c>
      <x:c r="G3872" s="6" t="str">
        <x:v>Pingshui main list, Wikisource-derived DOCX</x:v>
      </x:c>
      <x:c r="H3872" s="6" t="str">
        <x:v>1</x:v>
      </x:c>
      <x:c r="I3872" s="6" t="str">
        <x:v>Targeted preliminary fill from Xun Gong; review if uncertain</x:v>
      </x:c>
      <x:c r="J3872" s="6" t="str">
        <x:f>IF(B3872="","",IF(AND(ISNUMBER(SEARCH("平",B3872)),OR(ISNUMBER(SEARCH("上",B3872)),ISNUMBER(SEARCH("去",B3872)),ISNUMBER(SEARCH("入",B3872)))),"Ambiguous",IF(ISNUMBER(SEARCH("平",B3872)),"平","仄")))</x:f>
        <x:v>仄</x:v>
      </x:c>
      <x:c r="K3872" s="6" t="str">
        <x:f>IF(D3872="","",IF(AND(ISNUMBER(SEARCH("平",D3872)),OR(ISNUMBER(SEARCH("上",D3872)),ISNUMBER(SEARCH("去",D3872)),ISNUMBER(SEARCH("入",D3872)))),"Ambiguous",IF(ISNUMBER(SEARCH("平",D3872)),"平","仄")))</x:f>
        <x:v>仄</x:v>
      </x:c>
      <x:c r="L3872" s="7" t="str">
        <x:v>Xun Gong character-readings.csv</x:v>
      </x:c>
    </x:row>
    <x:row r="3873">
      <x:c r="A3873" s="5" t="str">
        <x:v>諏</x:v>
      </x:c>
      <x:c r="B3873" s="6" t="str">
        <x:v>平</x:v>
      </x:c>
      <x:c r="C3873" s="6" t="str">
        <x:f>IF(B3873="","Needs decision","Ready")</x:f>
        <x:v>Ready</x:v>
      </x:c>
      <x:c r="D3873" s="6" t="str">
        <x:v>平</x:v>
      </x:c>
      <x:c r="E3873" s="6" t="str">
        <x:v>tsju (A)</x:v>
      </x:c>
      <x:c r="F3873" s="6" t="str">
        <x:v>上平聲七虞; 下平聲十一尤</x:v>
      </x:c>
      <x:c r="G3873" s="6" t="str">
        <x:v>Pingshui main list, Wikisource-derived DOCX</x:v>
      </x:c>
      <x:c r="H3873" s="6" t="str">
        <x:v>1</x:v>
      </x:c>
      <x:c r="I3873" s="6" t="str"/>
      <x:c r="J3873" s="6" t="str">
        <x:f>IF(B3873="","",IF(AND(ISNUMBER(SEARCH("平",B3873)),OR(ISNUMBER(SEARCH("上",B3873)),ISNUMBER(SEARCH("去",B3873)),ISNUMBER(SEARCH("入",B3873)))),"Ambiguous",IF(ISNUMBER(SEARCH("平",B3873)),"平","仄")))</x:f>
        <x:v>平</x:v>
      </x:c>
      <x:c r="K3873" s="6" t="str">
        <x:f>IF(D3873="","",IF(AND(ISNUMBER(SEARCH("平",D3873)),OR(ISNUMBER(SEARCH("上",D3873)),ISNUMBER(SEARCH("去",D3873)),ISNUMBER(SEARCH("入",D3873)))),"Ambiguous",IF(ISNUMBER(SEARCH("平",D3873)),"平","仄")))</x:f>
        <x:v>平</x:v>
      </x:c>
      <x:c r="L3873" s="7" t="str"/>
    </x:row>
    <x:row r="3874">
      <x:c r="A3874" s="5" t="str">
        <x:v>諒</x:v>
      </x:c>
      <x:c r="B3874" s="6" t="str">
        <x:v>去</x:v>
      </x:c>
      <x:c r="C3874" s="6" t="str">
        <x:f>IF(B3874="","Needs decision","Ready")</x:f>
        <x:v>Ready</x:v>
      </x:c>
      <x:c r="D3874" s="6" t="str">
        <x:v>去</x:v>
      </x:c>
      <x:c r="E3874" s="6" t="str">
        <x:v>ljangH (C)</x:v>
      </x:c>
      <x:c r="F3874" s="6" t="str">
        <x:v>去聲二十三漾</x:v>
      </x:c>
      <x:c r="G3874" s="6" t="str">
        <x:v>Pingshui main list, Wikisource-derived DOCX</x:v>
      </x:c>
      <x:c r="H3874" s="6" t="str">
        <x:v>1</x:v>
      </x:c>
      <x:c r="I3874" s="6" t="str"/>
      <x:c r="J3874" s="6" t="str">
        <x:f>IF(B3874="","",IF(AND(ISNUMBER(SEARCH("平",B3874)),OR(ISNUMBER(SEARCH("上",B3874)),ISNUMBER(SEARCH("去",B3874)),ISNUMBER(SEARCH("入",B3874)))),"Ambiguous",IF(ISNUMBER(SEARCH("平",B3874)),"平","仄")))</x:f>
        <x:v>仄</x:v>
      </x:c>
      <x:c r="K3874" s="6" t="str">
        <x:f>IF(D3874="","",IF(AND(ISNUMBER(SEARCH("平",D3874)),OR(ISNUMBER(SEARCH("上",D3874)),ISNUMBER(SEARCH("去",D3874)),ISNUMBER(SEARCH("入",D3874)))),"Ambiguous",IF(ISNUMBER(SEARCH("平",D3874)),"平","仄")))</x:f>
        <x:v>仄</x:v>
      </x:c>
      <x:c r="L3874" s="7" t="str"/>
    </x:row>
    <x:row r="3875">
      <x:c r="A3875" s="5" t="str">
        <x:v>論</x:v>
      </x:c>
      <x:c r="B3875" s="6" t="str">
        <x:v>去</x:v>
      </x:c>
      <x:c r="C3875" s="6" t="str">
        <x:f>IF(B3875="","Needs decision","Ready")</x:f>
        <x:v>Ready</x:v>
      </x:c>
      <x:c r="D3875" s="6" t="str">
        <x:v>平/去</x:v>
      </x:c>
      <x:c r="E3875" s="6" t="str">
        <x:v>lwin (A); lwon (A); lwonH (C)</x:v>
      </x:c>
      <x:c r="F3875" s="6" t="str">
        <x:v>上平聲十三元; 去聲十四願</x:v>
      </x:c>
      <x:c r="G3875" s="6" t="str">
        <x:v>Pingshui main list, Wikisource-derived DOCX</x:v>
      </x:c>
      <x:c r="H3875" s="6" t="str">
        <x:v>3</x:v>
      </x:c>
      <x:c r="I3875" s="6" t="str">
        <x:v>User workbook edit 2026-09-03</x:v>
      </x:c>
      <x:c r="J3875" s="6" t="str">
        <x:f>IF(B3875="","",IF(AND(ISNUMBER(SEARCH("平",B3875)),OR(ISNUMBER(SEARCH("上",B3875)),ISNUMBER(SEARCH("去",B3875)),ISNUMBER(SEARCH("入",B3875)))),"Ambiguous",IF(ISNUMBER(SEARCH("平",B3875)),"平","仄")))</x:f>
        <x:v>仄</x:v>
      </x:c>
      <x:c r="K3875" s="6" t="str">
        <x:f>IF(D3875="","",IF(AND(ISNUMBER(SEARCH("平",D3875)),OR(ISNUMBER(SEARCH("上",D3875)),ISNUMBER(SEARCH("去",D3875)),ISNUMBER(SEARCH("入",D3875)))),"Ambiguous",IF(ISNUMBER(SEARCH("平",D3875)),"平","仄")))</x:f>
        <x:v>Ambiguous</x:v>
      </x:c>
      <x:c r="L3875" s="7" t="str">
        <x:v>manual user correction</x:v>
      </x:c>
    </x:row>
    <x:row r="3876">
      <x:c r="A3876" s="5" t="str">
        <x:v>諗</x:v>
      </x:c>
      <x:c r="B3876" s="6" t="str">
        <x:v>上</x:v>
      </x:c>
      <x:c r="C3876" s="6" t="str">
        <x:f>IF(B3876="","Needs decision","Ready")</x:f>
        <x:v>Ready</x:v>
      </x:c>
      <x:c r="D3876" s="6" t="str">
        <x:v>上</x:v>
      </x:c>
      <x:c r="E3876" s="6" t="str">
        <x:v>syimX (B)</x:v>
      </x:c>
      <x:c r="F3876" s="6" t="str">
        <x:v>上聲二十六寢</x:v>
      </x:c>
      <x:c r="G3876" s="6" t="str">
        <x:v>Pingshui main list, Wikisource-derived DOCX</x:v>
      </x:c>
      <x:c r="H3876" s="6" t="str">
        <x:v>1</x:v>
      </x:c>
      <x:c r="I3876" s="6" t="str"/>
      <x:c r="J3876" s="6" t="str">
        <x:f>IF(B3876="","",IF(AND(ISNUMBER(SEARCH("平",B3876)),OR(ISNUMBER(SEARCH("上",B3876)),ISNUMBER(SEARCH("去",B3876)),ISNUMBER(SEARCH("入",B3876)))),"Ambiguous",IF(ISNUMBER(SEARCH("平",B3876)),"平","仄")))</x:f>
        <x:v>仄</x:v>
      </x:c>
      <x:c r="K3876" s="6" t="str">
        <x:f>IF(D3876="","",IF(AND(ISNUMBER(SEARCH("平",D3876)),OR(ISNUMBER(SEARCH("上",D3876)),ISNUMBER(SEARCH("去",D3876)),ISNUMBER(SEARCH("入",D3876)))),"Ambiguous",IF(ISNUMBER(SEARCH("平",D3876)),"平","仄")))</x:f>
        <x:v>仄</x:v>
      </x:c>
      <x:c r="L3876" s="7" t="str"/>
    </x:row>
    <x:row r="3877">
      <x:c r="A3877" s="5" t="str">
        <x:v>諛</x:v>
      </x:c>
      <x:c r="B3877" s="6" t="str">
        <x:v>平</x:v>
      </x:c>
      <x:c r="C3877" s="6" t="str">
        <x:f>IF(B3877="","Needs decision","Ready")</x:f>
        <x:v>Ready</x:v>
      </x:c>
      <x:c r="D3877" s="6" t="str">
        <x:v>平</x:v>
      </x:c>
      <x:c r="E3877" s="6" t="str">
        <x:v>yu (A)</x:v>
      </x:c>
      <x:c r="F3877" s="6" t="str">
        <x:v>上平聲七虞</x:v>
      </x:c>
      <x:c r="G3877" s="6" t="str">
        <x:v>Pingshui main list, Wikisource-derived DOCX</x:v>
      </x:c>
      <x:c r="H3877" s="6" t="str">
        <x:v>1</x:v>
      </x:c>
      <x:c r="I3877" s="6" t="str"/>
      <x:c r="J3877" s="6" t="str">
        <x:f>IF(B3877="","",IF(AND(ISNUMBER(SEARCH("平",B3877)),OR(ISNUMBER(SEARCH("上",B3877)),ISNUMBER(SEARCH("去",B3877)),ISNUMBER(SEARCH("入",B3877)))),"Ambiguous",IF(ISNUMBER(SEARCH("平",B3877)),"平","仄")))</x:f>
        <x:v>平</x:v>
      </x:c>
      <x:c r="K3877" s="6" t="str">
        <x:f>IF(D3877="","",IF(AND(ISNUMBER(SEARCH("平",D3877)),OR(ISNUMBER(SEARCH("上",D3877)),ISNUMBER(SEARCH("去",D3877)),ISNUMBER(SEARCH("入",D3877)))),"Ambiguous",IF(ISNUMBER(SEARCH("平",D3877)),"平","仄")))</x:f>
        <x:v>平</x:v>
      </x:c>
      <x:c r="L3877" s="7" t="str"/>
    </x:row>
    <x:row r="3878">
      <x:c r="A3878" s="5" t="str">
        <x:v>諞</x:v>
      </x:c>
      <x:c r="B3878" s="6" t="str">
        <x:v>上</x:v>
      </x:c>
      <x:c r="C3878" s="6" t="str">
        <x:f>IF(B3878="","Needs decision","Ready")</x:f>
        <x:v>Ready</x:v>
      </x:c>
      <x:c r="D3878" s="6" t="str">
        <x:v>平/上</x:v>
      </x:c>
      <x:c r="E3878" s="6" t="str">
        <x:v>bjienX (B); bjien (A)</x:v>
      </x:c>
      <x:c r="F3878" s="6" t="str">
        <x:v>上聲十六銑</x:v>
      </x:c>
      <x:c r="G3878" s="6" t="str">
        <x:v>Pingshui main list, Wikisource-derived DOCX</x:v>
      </x:c>
      <x:c r="H3878" s="6" t="str">
        <x:v>2</x:v>
      </x:c>
      <x:c r="I3878" s="6" t="str"/>
      <x:c r="J3878" s="6" t="str">
        <x:f>IF(B3878="","",IF(AND(ISNUMBER(SEARCH("平",B3878)),OR(ISNUMBER(SEARCH("上",B3878)),ISNUMBER(SEARCH("去",B3878)),ISNUMBER(SEARCH("入",B3878)))),"Ambiguous",IF(ISNUMBER(SEARCH("平",B3878)),"平","仄")))</x:f>
        <x:v>仄</x:v>
      </x:c>
      <x:c r="K3878" s="6" t="str">
        <x:f>IF(D3878="","",IF(AND(ISNUMBER(SEARCH("平",D3878)),OR(ISNUMBER(SEARCH("上",D3878)),ISNUMBER(SEARCH("去",D3878)),ISNUMBER(SEARCH("入",D3878)))),"Ambiguous",IF(ISNUMBER(SEARCH("平",D3878)),"平","仄")))</x:f>
        <x:v>Ambiguous</x:v>
      </x:c>
      <x:c r="L3878" s="7" t="str"/>
    </x:row>
    <x:row r="3879">
      <x:c r="A3879" s="5" t="str">
        <x:v>諠</x:v>
      </x:c>
      <x:c r="B3879" s="6" t="str">
        <x:v>平</x:v>
      </x:c>
      <x:c r="C3879" s="6" t="str">
        <x:f>IF(B3879="","Needs decision","Ready")</x:f>
        <x:v>Ready</x:v>
      </x:c>
      <x:c r="D3879" s="6" t="str">
        <x:v>平</x:v>
      </x:c>
      <x:c r="E3879" s="6" t="str">
        <x:v>xjwon (A)</x:v>
      </x:c>
      <x:c r="F3879" s="6" t="str"/>
      <x:c r="G3879" s="6" t="str"/>
      <x:c r="H3879" s="6" t="str">
        <x:v>1</x:v>
      </x:c>
      <x:c r="I3879" s="6" t="str"/>
      <x:c r="J3879" s="6" t="str">
        <x:f>IF(B3879="","",IF(AND(ISNUMBER(SEARCH("平",B3879)),OR(ISNUMBER(SEARCH("上",B3879)),ISNUMBER(SEARCH("去",B3879)),ISNUMBER(SEARCH("入",B3879)))),"Ambiguous",IF(ISNUMBER(SEARCH("平",B3879)),"平","仄")))</x:f>
        <x:v>平</x:v>
      </x:c>
      <x:c r="K3879" s="6" t="str">
        <x:f>IF(D3879="","",IF(AND(ISNUMBER(SEARCH("平",D3879)),OR(ISNUMBER(SEARCH("上",D3879)),ISNUMBER(SEARCH("去",D3879)),ISNUMBER(SEARCH("入",D3879)))),"Ambiguous",IF(ISNUMBER(SEARCH("平",D3879)),"平","仄")))</x:f>
        <x:v>平</x:v>
      </x:c>
      <x:c r="L3879" s="7" t="str"/>
    </x:row>
    <x:row r="3880">
      <x:c r="A3880" s="5" t="str">
        <x:v>諤</x:v>
      </x:c>
      <x:c r="B3880" s="6" t="str">
        <x:v>入</x:v>
      </x:c>
      <x:c r="C3880" s="6" t="str">
        <x:f>IF(B3880="","Needs decision","Ready")</x:f>
        <x:v>Ready</x:v>
      </x:c>
      <x:c r="D3880" s="6" t="str">
        <x:v>入</x:v>
      </x:c>
      <x:c r="E3880" s="6" t="str">
        <x:v>ngak (D)</x:v>
      </x:c>
      <x:c r="F3880" s="6" t="str">
        <x:v>入聲十藥</x:v>
      </x:c>
      <x:c r="G3880" s="6" t="str">
        <x:v>Pingshui main list, Wikisource-derived DOCX</x:v>
      </x:c>
      <x:c r="H3880" s="6" t="str">
        <x:v>1</x:v>
      </x:c>
      <x:c r="I3880" s="6" t="str"/>
      <x:c r="J3880" s="6" t="str">
        <x:f>IF(B3880="","",IF(AND(ISNUMBER(SEARCH("平",B3880)),OR(ISNUMBER(SEARCH("上",B3880)),ISNUMBER(SEARCH("去",B3880)),ISNUMBER(SEARCH("入",B3880)))),"Ambiguous",IF(ISNUMBER(SEARCH("平",B3880)),"平","仄")))</x:f>
        <x:v>仄</x:v>
      </x:c>
      <x:c r="K3880" s="6" t="str">
        <x:f>IF(D3880="","",IF(AND(ISNUMBER(SEARCH("平",D3880)),OR(ISNUMBER(SEARCH("上",D3880)),ISNUMBER(SEARCH("去",D3880)),ISNUMBER(SEARCH("入",D3880)))),"Ambiguous",IF(ISNUMBER(SEARCH("平",D3880)),"平","仄")))</x:f>
        <x:v>仄</x:v>
      </x:c>
      <x:c r="L3880" s="7" t="str"/>
    </x:row>
    <x:row r="3881">
      <x:c r="A3881" s="5" t="str">
        <x:v>諦</x:v>
      </x:c>
      <x:c r="B3881" s="6" t="str">
        <x:v>去</x:v>
      </x:c>
      <x:c r="C3881" s="6" t="str">
        <x:f>IF(B3881="","Needs decision","Ready")</x:f>
        <x:v>Ready</x:v>
      </x:c>
      <x:c r="D3881" s="6" t="str">
        <x:v>去</x:v>
      </x:c>
      <x:c r="E3881" s="6" t="str"/>
      <x:c r="F3881" s="6" t="str">
        <x:v>去聲八霽</x:v>
      </x:c>
      <x:c r="G3881" s="6" t="str">
        <x:v>Pingshui main list, Wikisource-derived DOCX</x:v>
      </x:c>
      <x:c r="H3881" s="6" t="str"/>
      <x:c r="I3881" s="6" t="str">
        <x:v>Manual user correction/addition</x:v>
      </x:c>
      <x:c r="J3881" s="6" t="str">
        <x:f>IF(B3881="","",IF(AND(ISNUMBER(SEARCH("平",B3881)),OR(ISNUMBER(SEARCH("上",B3881)),ISNUMBER(SEARCH("去",B3881)),ISNUMBER(SEARCH("入",B3881)))),"Ambiguous",IF(ISNUMBER(SEARCH("平",B3881)),"平","仄")))</x:f>
        <x:v>仄</x:v>
      </x:c>
      <x:c r="K3881" s="6" t="str">
        <x:f>IF(D3881="","",IF(AND(ISNUMBER(SEARCH("平",D3881)),OR(ISNUMBER(SEARCH("上",D3881)),ISNUMBER(SEARCH("去",D3881)),ISNUMBER(SEARCH("入",D3881)))),"Ambiguous",IF(ISNUMBER(SEARCH("平",D3881)),"平","仄")))</x:f>
        <x:v>仄</x:v>
      </x:c>
      <x:c r="L3881" s="7" t="str">
        <x:v>manual user correction</x:v>
      </x:c>
    </x:row>
    <x:row r="3882">
      <x:c r="A3882" s="5" t="str">
        <x:v>諧</x:v>
      </x:c>
      <x:c r="B3882" s="6" t="str">
        <x:v>平</x:v>
      </x:c>
      <x:c r="C3882" s="6" t="str">
        <x:f>IF(B3882="","Needs decision","Ready")</x:f>
        <x:v>Ready</x:v>
      </x:c>
      <x:c r="D3882" s="6" t="str">
        <x:v>平</x:v>
      </x:c>
      <x:c r="E3882" s="6" t="str"/>
      <x:c r="F3882" s="6" t="str">
        <x:v>上平聲九佳</x:v>
      </x:c>
      <x:c r="G3882" s="6" t="str">
        <x:v>Pingshui main list, Wikisource-derived DOCX</x:v>
      </x:c>
      <x:c r="H3882" s="6" t="str">
        <x:v>0</x:v>
      </x:c>
      <x:c r="I3882" s="6" t="str">
        <x:v>User correction 2026-09-08; added manually</x:v>
      </x:c>
      <x:c r="J3882" s="6" t="str">
        <x:f>IF(B3882="","",IF(AND(ISNUMBER(SEARCH("平",B3882)),OR(ISNUMBER(SEARCH("上",B3882)),ISNUMBER(SEARCH("去",B3882)),ISNUMBER(SEARCH("入",B3882)))),"Ambiguous",IF(ISNUMBER(SEARCH("平",B3882)),"平","仄")))</x:f>
        <x:v>平</x:v>
      </x:c>
      <x:c r="K3882" s="6" t="str">
        <x:f>IF(D3882="","",IF(AND(ISNUMBER(SEARCH("平",D3882)),OR(ISNUMBER(SEARCH("上",D3882)),ISNUMBER(SEARCH("去",D3882)),ISNUMBER(SEARCH("入",D3882)))),"Ambiguous",IF(ISNUMBER(SEARCH("平",D3882)),"平","仄")))</x:f>
        <x:v>平</x:v>
      </x:c>
      <x:c r="L3882" s="7" t="str">
        <x:v>User correction</x:v>
      </x:c>
    </x:row>
    <x:row r="3883">
      <x:c r="A3883" s="5" t="str">
        <x:v>諫</x:v>
      </x:c>
      <x:c r="B3883" s="6" t="str">
        <x:v>去</x:v>
      </x:c>
      <x:c r="C3883" s="6" t="str">
        <x:f>IF(B3883="","Needs decision","Ready")</x:f>
        <x:v>Ready</x:v>
      </x:c>
      <x:c r="D3883" s="6" t="str">
        <x:v>去</x:v>
      </x:c>
      <x:c r="E3883" s="6" t="str">
        <x:v>kaenH (C)</x:v>
      </x:c>
      <x:c r="F3883" s="6" t="str">
        <x:v>去聲十六諫</x:v>
      </x:c>
      <x:c r="G3883" s="6" t="str">
        <x:v>Pingshui main list, Wikisource-derived DOCX</x:v>
      </x:c>
      <x:c r="H3883" s="6" t="str">
        <x:v>1</x:v>
      </x:c>
      <x:c r="I3883" s="6" t="str"/>
      <x:c r="J3883" s="6" t="str">
        <x:f>IF(B3883="","",IF(AND(ISNUMBER(SEARCH("平",B3883)),OR(ISNUMBER(SEARCH("上",B3883)),ISNUMBER(SEARCH("去",B3883)),ISNUMBER(SEARCH("入",B3883)))),"Ambiguous",IF(ISNUMBER(SEARCH("平",B3883)),"平","仄")))</x:f>
        <x:v>仄</x:v>
      </x:c>
      <x:c r="K3883" s="6" t="str">
        <x:f>IF(D3883="","",IF(AND(ISNUMBER(SEARCH("平",D3883)),OR(ISNUMBER(SEARCH("上",D3883)),ISNUMBER(SEARCH("去",D3883)),ISNUMBER(SEARCH("入",D3883)))),"Ambiguous",IF(ISNUMBER(SEARCH("平",D3883)),"平","仄")))</x:f>
        <x:v>仄</x:v>
      </x:c>
      <x:c r="L3883" s="7" t="str"/>
    </x:row>
    <x:row r="3884">
      <x:c r="A3884" s="5" t="str">
        <x:v>諮</x:v>
      </x:c>
      <x:c r="B3884" s="6" t="str">
        <x:v>平</x:v>
      </x:c>
      <x:c r="C3884" s="6" t="str">
        <x:f>IF(B3884="","Needs decision","Ready")</x:f>
        <x:v>Ready</x:v>
      </x:c>
      <x:c r="D3884" s="6" t="str">
        <x:v>平</x:v>
      </x:c>
      <x:c r="E3884" s="6" t="str">
        <x:v>tsij (A)</x:v>
      </x:c>
      <x:c r="F3884" s="6" t="str"/>
      <x:c r="G3884" s="6" t="str"/>
      <x:c r="H3884" s="6" t="str">
        <x:v>1</x:v>
      </x:c>
      <x:c r="I3884" s="6" t="str"/>
      <x:c r="J3884" s="6" t="str">
        <x:f>IF(B3884="","",IF(AND(ISNUMBER(SEARCH("平",B3884)),OR(ISNUMBER(SEARCH("上",B3884)),ISNUMBER(SEARCH("去",B3884)),ISNUMBER(SEARCH("入",B3884)))),"Ambiguous",IF(ISNUMBER(SEARCH("平",B3884)),"平","仄")))</x:f>
        <x:v>平</x:v>
      </x:c>
      <x:c r="K3884" s="6" t="str">
        <x:f>IF(D3884="","",IF(AND(ISNUMBER(SEARCH("平",D3884)),OR(ISNUMBER(SEARCH("上",D3884)),ISNUMBER(SEARCH("去",D3884)),ISNUMBER(SEARCH("入",D3884)))),"Ambiguous",IF(ISNUMBER(SEARCH("平",D3884)),"平","仄")))</x:f>
        <x:v>平</x:v>
      </x:c>
      <x:c r="L3884" s="7" t="str"/>
    </x:row>
    <x:row r="3885">
      <x:c r="A3885" s="5" t="str">
        <x:v>諳</x:v>
      </x:c>
      <x:c r="B3885" s="6" t="str">
        <x:v>平</x:v>
      </x:c>
      <x:c r="C3885" s="6" t="str">
        <x:f>IF(B3885="","Needs decision","Ready")</x:f>
        <x:v>Ready</x:v>
      </x:c>
      <x:c r="D3885" s="6" t="str">
        <x:v>平</x:v>
      </x:c>
      <x:c r="E3885" s="6" t="str">
        <x:v>'om [ʔ̙əm] (平)</x:v>
      </x:c>
      <x:c r="F3885" s="6" t="str">
        <x:v>下平聲十三覃</x:v>
      </x:c>
      <x:c r="G3885" s="6" t="str">
        <x:v>Pingshui main list, Wikisource-derived DOCX</x:v>
      </x:c>
      <x:c r="H3885" s="6" t="str">
        <x:v>1</x:v>
      </x:c>
      <x:c r="I3885" s="6" t="str">
        <x:v>Tang 300 gap; frequency 1; provisional from Xun Gong</x:v>
      </x:c>
      <x:c r="J3885" s="6" t="str">
        <x:f>IF(B3885="","",IF(AND(ISNUMBER(SEARCH("平",B3885)),OR(ISNUMBER(SEARCH("上",B3885)),ISNUMBER(SEARCH("去",B3885)),ISNUMBER(SEARCH("入",B3885)))),"Ambiguous",IF(ISNUMBER(SEARCH("平",B3885)),"平","仄")))</x:f>
        <x:v>平</x:v>
      </x:c>
      <x:c r="K3885" s="6" t="str">
        <x:f>IF(D3885="","",IF(AND(ISNUMBER(SEARCH("平",D3885)),OR(ISNUMBER(SEARCH("上",D3885)),ISNUMBER(SEARCH("去",D3885)),ISNUMBER(SEARCH("入",D3885)))),"Ambiguous",IF(ISNUMBER(SEARCH("平",D3885)),"平","仄")))</x:f>
        <x:v>平</x:v>
      </x:c>
      <x:c r="L3885" s="7" t="str">
        <x:v>Xun Gong, Tang 300 gap fill</x:v>
      </x:c>
    </x:row>
    <x:row r="3886">
      <x:c r="A3886" s="5" t="str">
        <x:v>諶</x:v>
      </x:c>
      <x:c r="B3886" s="6" t="str">
        <x:v>平</x:v>
      </x:c>
      <x:c r="C3886" s="6" t="str">
        <x:f>IF(B3886="","Needs decision","Ready")</x:f>
        <x:v>Ready</x:v>
      </x:c>
      <x:c r="D3886" s="6" t="str">
        <x:v>平</x:v>
      </x:c>
      <x:c r="E3886" s="6" t="str">
        <x:v>dzyim (A)</x:v>
      </x:c>
      <x:c r="F3886" s="6" t="str">
        <x:v>下平聲十二侵</x:v>
      </x:c>
      <x:c r="G3886" s="6" t="str">
        <x:v>Pingshui main list, Wikisource-derived DOCX</x:v>
      </x:c>
      <x:c r="H3886" s="6" t="str">
        <x:v>1</x:v>
      </x:c>
      <x:c r="I3886" s="6" t="str"/>
      <x:c r="J3886" s="6" t="str">
        <x:f>IF(B3886="","",IF(AND(ISNUMBER(SEARCH("平",B3886)),OR(ISNUMBER(SEARCH("上",B3886)),ISNUMBER(SEARCH("去",B3886)),ISNUMBER(SEARCH("入",B3886)))),"Ambiguous",IF(ISNUMBER(SEARCH("平",B3886)),"平","仄")))</x:f>
        <x:v>平</x:v>
      </x:c>
      <x:c r="K3886" s="6" t="str">
        <x:f>IF(D3886="","",IF(AND(ISNUMBER(SEARCH("平",D3886)),OR(ISNUMBER(SEARCH("上",D3886)),ISNUMBER(SEARCH("去",D3886)),ISNUMBER(SEARCH("入",D3886)))),"Ambiguous",IF(ISNUMBER(SEARCH("平",D3886)),"平","仄")))</x:f>
        <x:v>平</x:v>
      </x:c>
      <x:c r="L3886" s="7" t="str"/>
    </x:row>
    <x:row r="3887">
      <x:c r="A3887" s="5" t="str">
        <x:v>諷</x:v>
      </x:c>
      <x:c r="B3887" s="6" t="str">
        <x:v>去</x:v>
      </x:c>
      <x:c r="C3887" s="6" t="str">
        <x:f>IF(B3887="","Needs decision","Ready")</x:f>
        <x:v>Ready</x:v>
      </x:c>
      <x:c r="D3887" s="6" t="str">
        <x:v>去</x:v>
      </x:c>
      <x:c r="E3887" s="6" t="str">
        <x:v>pjuwngH (C)</x:v>
      </x:c>
      <x:c r="F3887" s="6" t="str">
        <x:v>去聲一送</x:v>
      </x:c>
      <x:c r="G3887" s="6" t="str">
        <x:v>Pingshui main list, Wikisource-derived DOCX</x:v>
      </x:c>
      <x:c r="H3887" s="6" t="str">
        <x:v>1</x:v>
      </x:c>
      <x:c r="I3887" s="6" t="str"/>
      <x:c r="J3887" s="6" t="str">
        <x:f>IF(B3887="","",IF(AND(ISNUMBER(SEARCH("平",B3887)),OR(ISNUMBER(SEARCH("上",B3887)),ISNUMBER(SEARCH("去",B3887)),ISNUMBER(SEARCH("入",B3887)))),"Ambiguous",IF(ISNUMBER(SEARCH("平",B3887)),"平","仄")))</x:f>
        <x:v>仄</x:v>
      </x:c>
      <x:c r="K3887" s="6" t="str">
        <x:f>IF(D3887="","",IF(AND(ISNUMBER(SEARCH("平",D3887)),OR(ISNUMBER(SEARCH("上",D3887)),ISNUMBER(SEARCH("去",D3887)),ISNUMBER(SEARCH("入",D3887)))),"Ambiguous",IF(ISNUMBER(SEARCH("平",D3887)),"平","仄")))</x:f>
        <x:v>仄</x:v>
      </x:c>
      <x:c r="L3887" s="7" t="str"/>
    </x:row>
    <x:row r="3888">
      <x:c r="A3888" s="5" t="str">
        <x:v>諸</x:v>
      </x:c>
      <x:c r="B3888" s="6" t="str">
        <x:v>平</x:v>
      </x:c>
      <x:c r="C3888" s="6" t="str">
        <x:f>IF(B3888="","Needs decision","Ready")</x:f>
        <x:v>Ready</x:v>
      </x:c>
      <x:c r="D3888" s="6" t="str">
        <x:v>平</x:v>
      </x:c>
      <x:c r="E3888" s="6" t="str">
        <x:v>tsyo (A)</x:v>
      </x:c>
      <x:c r="F3888" s="6" t="str">
        <x:v>上平聲六魚</x:v>
      </x:c>
      <x:c r="G3888" s="6" t="str">
        <x:v>Pingshui main list, Wikisource-derived DOCX</x:v>
      </x:c>
      <x:c r="H3888" s="6" t="str">
        <x:v>1</x:v>
      </x:c>
      <x:c r="I3888" s="6" t="str"/>
      <x:c r="J3888" s="6" t="str">
        <x:f>IF(B3888="","",IF(AND(ISNUMBER(SEARCH("平",B3888)),OR(ISNUMBER(SEARCH("上",B3888)),ISNUMBER(SEARCH("去",B3888)),ISNUMBER(SEARCH("入",B3888)))),"Ambiguous",IF(ISNUMBER(SEARCH("平",B3888)),"平","仄")))</x:f>
        <x:v>平</x:v>
      </x:c>
      <x:c r="K3888" s="6" t="str">
        <x:f>IF(D3888="","",IF(AND(ISNUMBER(SEARCH("平",D3888)),OR(ISNUMBER(SEARCH("上",D3888)),ISNUMBER(SEARCH("去",D3888)),ISNUMBER(SEARCH("入",D3888)))),"Ambiguous",IF(ISNUMBER(SEARCH("平",D3888)),"平","仄")))</x:f>
        <x:v>平</x:v>
      </x:c>
      <x:c r="L3888" s="7" t="str"/>
    </x:row>
    <x:row r="3889">
      <x:c r="A3889" s="5" t="str">
        <x:v>諺</x:v>
      </x:c>
      <x:c r="B3889" s="6" t="str">
        <x:v>去</x:v>
      </x:c>
      <x:c r="C3889" s="6" t="str">
        <x:f>IF(B3889="","Needs decision","Ready")</x:f>
        <x:v>Ready</x:v>
      </x:c>
      <x:c r="D3889" s="6" t="str">
        <x:v>去</x:v>
      </x:c>
      <x:c r="E3889" s="6" t="str">
        <x:v>ngjenH (C)</x:v>
      </x:c>
      <x:c r="F3889" s="6" t="str">
        <x:v>去聲十七霰</x:v>
      </x:c>
      <x:c r="G3889" s="6" t="str">
        <x:v>Pingshui main list, Wikisource-derived DOCX</x:v>
      </x:c>
      <x:c r="H3889" s="6" t="str">
        <x:v>1</x:v>
      </x:c>
      <x:c r="I3889" s="6" t="str"/>
      <x:c r="J3889" s="6" t="str">
        <x:f>IF(B3889="","",IF(AND(ISNUMBER(SEARCH("平",B3889)),OR(ISNUMBER(SEARCH("上",B3889)),ISNUMBER(SEARCH("去",B3889)),ISNUMBER(SEARCH("入",B3889)))),"Ambiguous",IF(ISNUMBER(SEARCH("平",B3889)),"平","仄")))</x:f>
        <x:v>仄</x:v>
      </x:c>
      <x:c r="K3889" s="6" t="str">
        <x:f>IF(D3889="","",IF(AND(ISNUMBER(SEARCH("平",D3889)),OR(ISNUMBER(SEARCH("上",D3889)),ISNUMBER(SEARCH("去",D3889)),ISNUMBER(SEARCH("入",D3889)))),"Ambiguous",IF(ISNUMBER(SEARCH("平",D3889)),"平","仄")))</x:f>
        <x:v>仄</x:v>
      </x:c>
      <x:c r="L3889" s="7" t="str"/>
    </x:row>
    <x:row r="3890">
      <x:c r="A3890" s="5" t="str">
        <x:v>諼</x:v>
      </x:c>
      <x:c r="B3890" s="6" t="str">
        <x:v>平</x:v>
      </x:c>
      <x:c r="C3890" s="6" t="str">
        <x:f>IF(B3890="","Needs decision","Ready")</x:f>
        <x:v>Ready</x:v>
      </x:c>
      <x:c r="D3890" s="6" t="str">
        <x:v>平</x:v>
      </x:c>
      <x:c r="E3890" s="6" t="str">
        <x:v>xjwon (A)</x:v>
      </x:c>
      <x:c r="F3890" s="6" t="str">
        <x:v>上平聲十三元</x:v>
      </x:c>
      <x:c r="G3890" s="6" t="str">
        <x:v>Pingshui main list, Wikisource-derived DOCX</x:v>
      </x:c>
      <x:c r="H3890" s="6" t="str">
        <x:v>1</x:v>
      </x:c>
      <x:c r="I3890" s="6" t="str"/>
      <x:c r="J3890" s="6" t="str">
        <x:f>IF(B3890="","",IF(AND(ISNUMBER(SEARCH("平",B3890)),OR(ISNUMBER(SEARCH("上",B3890)),ISNUMBER(SEARCH("去",B3890)),ISNUMBER(SEARCH("入",B3890)))),"Ambiguous",IF(ISNUMBER(SEARCH("平",B3890)),"平","仄")))</x:f>
        <x:v>平</x:v>
      </x:c>
      <x:c r="K3890" s="6" t="str">
        <x:f>IF(D3890="","",IF(AND(ISNUMBER(SEARCH("平",D3890)),OR(ISNUMBER(SEARCH("上",D3890)),ISNUMBER(SEARCH("去",D3890)),ISNUMBER(SEARCH("入",D3890)))),"Ambiguous",IF(ISNUMBER(SEARCH("平",D3890)),"平","仄")))</x:f>
        <x:v>平</x:v>
      </x:c>
      <x:c r="L3890" s="7" t="str"/>
    </x:row>
    <x:row r="3891">
      <x:c r="A3891" s="5" t="str">
        <x:v>諾</x:v>
      </x:c>
      <x:c r="B3891" s="6" t="str">
        <x:v>入</x:v>
      </x:c>
      <x:c r="C3891" s="6" t="str">
        <x:f>IF(B3891="","Needs decision","Ready")</x:f>
        <x:v>Ready</x:v>
      </x:c>
      <x:c r="D3891" s="6" t="str">
        <x:v>入</x:v>
      </x:c>
      <x:c r="E3891" s="6" t="str">
        <x:v>nak (D)</x:v>
      </x:c>
      <x:c r="F3891" s="6" t="str">
        <x:v>入聲十藥</x:v>
      </x:c>
      <x:c r="G3891" s="6" t="str">
        <x:v>Pingshui main list, Wikisource-derived DOCX</x:v>
      </x:c>
      <x:c r="H3891" s="6" t="str">
        <x:v>1</x:v>
      </x:c>
      <x:c r="I3891" s="6" t="str"/>
      <x:c r="J3891" s="6" t="str">
        <x:f>IF(B3891="","",IF(AND(ISNUMBER(SEARCH("平",B3891)),OR(ISNUMBER(SEARCH("上",B3891)),ISNUMBER(SEARCH("去",B3891)),ISNUMBER(SEARCH("入",B3891)))),"Ambiguous",IF(ISNUMBER(SEARCH("平",B3891)),"平","仄")))</x:f>
        <x:v>仄</x:v>
      </x:c>
      <x:c r="K3891" s="6" t="str">
        <x:f>IF(D3891="","",IF(AND(ISNUMBER(SEARCH("平",D3891)),OR(ISNUMBER(SEARCH("上",D3891)),ISNUMBER(SEARCH("去",D3891)),ISNUMBER(SEARCH("入",D3891)))),"Ambiguous",IF(ISNUMBER(SEARCH("平",D3891)),"平","仄")))</x:f>
        <x:v>仄</x:v>
      </x:c>
      <x:c r="L3891" s="7" t="str"/>
    </x:row>
    <x:row r="3892">
      <x:c r="A3892" s="5" t="str">
        <x:v>謀</x:v>
      </x:c>
      <x:c r="B3892" s="6" t="str">
        <x:v>平</x:v>
      </x:c>
      <x:c r="C3892" s="6" t="str">
        <x:f>IF(B3892="","Needs decision","Ready")</x:f>
        <x:v>Ready</x:v>
      </x:c>
      <x:c r="D3892" s="6" t="str">
        <x:v>平</x:v>
      </x:c>
      <x:c r="E3892" s="6" t="str">
        <x:v>mjuw (A)</x:v>
      </x:c>
      <x:c r="F3892" s="6" t="str">
        <x:v>下平聲十一尤</x:v>
      </x:c>
      <x:c r="G3892" s="6" t="str">
        <x:v>Pingshui main list, Wikisource-derived DOCX</x:v>
      </x:c>
      <x:c r="H3892" s="6" t="str">
        <x:v>1</x:v>
      </x:c>
      <x:c r="I3892" s="6" t="str"/>
      <x:c r="J3892" s="6" t="str">
        <x:f>IF(B3892="","",IF(AND(ISNUMBER(SEARCH("平",B3892)),OR(ISNUMBER(SEARCH("上",B3892)),ISNUMBER(SEARCH("去",B3892)),ISNUMBER(SEARCH("入",B3892)))),"Ambiguous",IF(ISNUMBER(SEARCH("平",B3892)),"平","仄")))</x:f>
        <x:v>平</x:v>
      </x:c>
      <x:c r="K3892" s="6" t="str">
        <x:f>IF(D3892="","",IF(AND(ISNUMBER(SEARCH("平",D3892)),OR(ISNUMBER(SEARCH("上",D3892)),ISNUMBER(SEARCH("去",D3892)),ISNUMBER(SEARCH("入",D3892)))),"Ambiguous",IF(ISNUMBER(SEARCH("平",D3892)),"平","仄")))</x:f>
        <x:v>平</x:v>
      </x:c>
      <x:c r="L3892" s="7" t="str"/>
    </x:row>
    <x:row r="3893">
      <x:c r="A3893" s="5" t="str">
        <x:v>謁</x:v>
      </x:c>
      <x:c r="B3893" s="6" t="str">
        <x:v>入</x:v>
      </x:c>
      <x:c r="C3893" s="6" t="str">
        <x:f>IF(B3893="","Needs decision","Ready")</x:f>
        <x:v>Ready</x:v>
      </x:c>
      <x:c r="D3893" s="6" t="str">
        <x:v>入</x:v>
      </x:c>
      <x:c r="E3893" s="6" t="str">
        <x:v>'jot (D)</x:v>
      </x:c>
      <x:c r="F3893" s="6" t="str">
        <x:v>入聲六月</x:v>
      </x:c>
      <x:c r="G3893" s="6" t="str">
        <x:v>Pingshui main list, Wikisource-derived DOCX</x:v>
      </x:c>
      <x:c r="H3893" s="6" t="str">
        <x:v>1</x:v>
      </x:c>
      <x:c r="I3893" s="6" t="str"/>
      <x:c r="J3893" s="6" t="str">
        <x:f>IF(B3893="","",IF(AND(ISNUMBER(SEARCH("平",B3893)),OR(ISNUMBER(SEARCH("上",B3893)),ISNUMBER(SEARCH("去",B3893)),ISNUMBER(SEARCH("入",B3893)))),"Ambiguous",IF(ISNUMBER(SEARCH("平",B3893)),"平","仄")))</x:f>
        <x:v>仄</x:v>
      </x:c>
      <x:c r="K3893" s="6" t="str">
        <x:f>IF(D3893="","",IF(AND(ISNUMBER(SEARCH("平",D3893)),OR(ISNUMBER(SEARCH("上",D3893)),ISNUMBER(SEARCH("去",D3893)),ISNUMBER(SEARCH("入",D3893)))),"Ambiguous",IF(ISNUMBER(SEARCH("平",D3893)),"平","仄")))</x:f>
        <x:v>仄</x:v>
      </x:c>
      <x:c r="L3893" s="7" t="str"/>
    </x:row>
    <x:row r="3894">
      <x:c r="A3894" s="5" t="str">
        <x:v>謂</x:v>
      </x:c>
      <x:c r="B3894" s="6" t="str">
        <x:v>去</x:v>
      </x:c>
      <x:c r="C3894" s="6" t="str">
        <x:f>IF(B3894="","Needs decision","Ready")</x:f>
        <x:v>Ready</x:v>
      </x:c>
      <x:c r="D3894" s="6" t="str">
        <x:v>去</x:v>
      </x:c>
      <x:c r="E3894" s="6" t="str">
        <x:v>hjw+jH (C)</x:v>
      </x:c>
      <x:c r="F3894" s="6" t="str">
        <x:v>去聲五未</x:v>
      </x:c>
      <x:c r="G3894" s="6" t="str">
        <x:v>Pingshui main list, Wikisource-derived DOCX</x:v>
      </x:c>
      <x:c r="H3894" s="6" t="str">
        <x:v>1</x:v>
      </x:c>
      <x:c r="I3894" s="6" t="str"/>
      <x:c r="J3894" s="6" t="str">
        <x:f>IF(B3894="","",IF(AND(ISNUMBER(SEARCH("平",B3894)),OR(ISNUMBER(SEARCH("上",B3894)),ISNUMBER(SEARCH("去",B3894)),ISNUMBER(SEARCH("入",B3894)))),"Ambiguous",IF(ISNUMBER(SEARCH("平",B3894)),"平","仄")))</x:f>
        <x:v>仄</x:v>
      </x:c>
      <x:c r="K3894" s="6" t="str">
        <x:f>IF(D3894="","",IF(AND(ISNUMBER(SEARCH("平",D3894)),OR(ISNUMBER(SEARCH("上",D3894)),ISNUMBER(SEARCH("去",D3894)),ISNUMBER(SEARCH("入",D3894)))),"Ambiguous",IF(ISNUMBER(SEARCH("平",D3894)),"平","仄")))</x:f>
        <x:v>仄</x:v>
      </x:c>
      <x:c r="L3894" s="7" t="str"/>
    </x:row>
    <x:row r="3895">
      <x:c r="A3895" s="5" t="str">
        <x:v>謐</x:v>
      </x:c>
      <x:c r="B3895" s="6" t="str">
        <x:v>入</x:v>
      </x:c>
      <x:c r="C3895" s="6" t="str">
        <x:f>IF(B3895="","Needs decision","Ready")</x:f>
        <x:v>Ready</x:v>
      </x:c>
      <x:c r="D3895" s="6" t="str">
        <x:v>入</x:v>
      </x:c>
      <x:c r="E3895" s="6" t="str">
        <x:v>mjit (D)</x:v>
      </x:c>
      <x:c r="F3895" s="6" t="str">
        <x:v>入聲四質</x:v>
      </x:c>
      <x:c r="G3895" s="6" t="str">
        <x:v>Pingshui main list, Wikisource-derived DOCX</x:v>
      </x:c>
      <x:c r="H3895" s="6" t="str">
        <x:v>1</x:v>
      </x:c>
      <x:c r="I3895" s="6" t="str"/>
      <x:c r="J3895" s="6" t="str">
        <x:f>IF(B3895="","",IF(AND(ISNUMBER(SEARCH("平",B3895)),OR(ISNUMBER(SEARCH("上",B3895)),ISNUMBER(SEARCH("去",B3895)),ISNUMBER(SEARCH("入",B3895)))),"Ambiguous",IF(ISNUMBER(SEARCH("平",B3895)),"平","仄")))</x:f>
        <x:v>仄</x:v>
      </x:c>
      <x:c r="K3895" s="6" t="str">
        <x:f>IF(D3895="","",IF(AND(ISNUMBER(SEARCH("平",D3895)),OR(ISNUMBER(SEARCH("上",D3895)),ISNUMBER(SEARCH("去",D3895)),ISNUMBER(SEARCH("入",D3895)))),"Ambiguous",IF(ISNUMBER(SEARCH("平",D3895)),"平","仄")))</x:f>
        <x:v>仄</x:v>
      </x:c>
      <x:c r="L3895" s="7" t="str"/>
    </x:row>
    <x:row r="3896">
      <x:c r="A3896" s="5" t="str">
        <x:v>謔</x:v>
      </x:c>
      <x:c r="B3896" s="6" t="str">
        <x:v>入</x:v>
      </x:c>
      <x:c r="C3896" s="6" t="str">
        <x:f>IF(B3896="","Needs decision","Ready")</x:f>
        <x:v>Ready</x:v>
      </x:c>
      <x:c r="D3896" s="6" t="str">
        <x:v>入</x:v>
      </x:c>
      <x:c r="E3896" s="6" t="str">
        <x:v>xjak (D)</x:v>
      </x:c>
      <x:c r="F3896" s="6" t="str">
        <x:v>入聲十藥</x:v>
      </x:c>
      <x:c r="G3896" s="6" t="str">
        <x:v>Pingshui main list, Wikisource-derived DOCX</x:v>
      </x:c>
      <x:c r="H3896" s="6" t="str">
        <x:v>1</x:v>
      </x:c>
      <x:c r="I3896" s="6" t="str"/>
      <x:c r="J3896" s="6" t="str">
        <x:f>IF(B3896="","",IF(AND(ISNUMBER(SEARCH("平",B3896)),OR(ISNUMBER(SEARCH("上",B3896)),ISNUMBER(SEARCH("去",B3896)),ISNUMBER(SEARCH("入",B3896)))),"Ambiguous",IF(ISNUMBER(SEARCH("平",B3896)),"平","仄")))</x:f>
        <x:v>仄</x:v>
      </x:c>
      <x:c r="K3896" s="6" t="str">
        <x:f>IF(D3896="","",IF(AND(ISNUMBER(SEARCH("平",D3896)),OR(ISNUMBER(SEARCH("上",D3896)),ISNUMBER(SEARCH("去",D3896)),ISNUMBER(SEARCH("入",D3896)))),"Ambiguous",IF(ISNUMBER(SEARCH("平",D3896)),"平","仄")))</x:f>
        <x:v>仄</x:v>
      </x:c>
      <x:c r="L3896" s="7" t="str"/>
    </x:row>
    <x:row r="3897">
      <x:c r="A3897" s="5" t="str">
        <x:v>謗</x:v>
      </x:c>
      <x:c r="B3897" s="6" t="str">
        <x:v>去</x:v>
      </x:c>
      <x:c r="C3897" s="6" t="str">
        <x:f>IF(B3897="","Needs decision","Ready")</x:f>
        <x:v>Ready</x:v>
      </x:c>
      <x:c r="D3897" s="6" t="str">
        <x:v>去</x:v>
      </x:c>
      <x:c r="E3897" s="6" t="str">
        <x:v>pangH (C)</x:v>
      </x:c>
      <x:c r="F3897" s="6" t="str">
        <x:v>去聲二十三漾</x:v>
      </x:c>
      <x:c r="G3897" s="6" t="str">
        <x:v>Pingshui main list, Wikisource-derived DOCX</x:v>
      </x:c>
      <x:c r="H3897" s="6" t="str">
        <x:v>1</x:v>
      </x:c>
      <x:c r="I3897" s="6" t="str"/>
      <x:c r="J3897" s="6" t="str">
        <x:f>IF(B3897="","",IF(AND(ISNUMBER(SEARCH("平",B3897)),OR(ISNUMBER(SEARCH("上",B3897)),ISNUMBER(SEARCH("去",B3897)),ISNUMBER(SEARCH("入",B3897)))),"Ambiguous",IF(ISNUMBER(SEARCH("平",B3897)),"平","仄")))</x:f>
        <x:v>仄</x:v>
      </x:c>
      <x:c r="K3897" s="6" t="str">
        <x:f>IF(D3897="","",IF(AND(ISNUMBER(SEARCH("平",D3897)),OR(ISNUMBER(SEARCH("上",D3897)),ISNUMBER(SEARCH("去",D3897)),ISNUMBER(SEARCH("入",D3897)))),"Ambiguous",IF(ISNUMBER(SEARCH("平",D3897)),"平","仄")))</x:f>
        <x:v>仄</x:v>
      </x:c>
      <x:c r="L3897" s="7" t="str"/>
    </x:row>
    <x:row r="3898">
      <x:c r="A3898" s="5" t="str">
        <x:v>謙</x:v>
      </x:c>
      <x:c r="B3898" s="6" t="str">
        <x:v>平</x:v>
      </x:c>
      <x:c r="C3898" s="6" t="str">
        <x:f>IF(B3898="","Needs decision","Ready")</x:f>
        <x:v>Ready</x:v>
      </x:c>
      <x:c r="D3898" s="6" t="str">
        <x:v>平</x:v>
      </x:c>
      <x:c r="E3898" s="6" t="str">
        <x:v>khem (A)</x:v>
      </x:c>
      <x:c r="F3898" s="6" t="str">
        <x:v>下平聲十四鹽</x:v>
      </x:c>
      <x:c r="G3898" s="6" t="str">
        <x:v>Pingshui main list, Wikisource-derived DOCX</x:v>
      </x:c>
      <x:c r="H3898" s="6" t="str">
        <x:v>1</x:v>
      </x:c>
      <x:c r="I3898" s="6" t="str"/>
      <x:c r="J3898" s="6" t="str">
        <x:f>IF(B3898="","",IF(AND(ISNUMBER(SEARCH("平",B3898)),OR(ISNUMBER(SEARCH("上",B3898)),ISNUMBER(SEARCH("去",B3898)),ISNUMBER(SEARCH("入",B3898)))),"Ambiguous",IF(ISNUMBER(SEARCH("平",B3898)),"平","仄")))</x:f>
        <x:v>平</x:v>
      </x:c>
      <x:c r="K3898" s="6" t="str">
        <x:f>IF(D3898="","",IF(AND(ISNUMBER(SEARCH("平",D3898)),OR(ISNUMBER(SEARCH("上",D3898)),ISNUMBER(SEARCH("去",D3898)),ISNUMBER(SEARCH("入",D3898)))),"Ambiguous",IF(ISNUMBER(SEARCH("平",D3898)),"平","仄")))</x:f>
        <x:v>平</x:v>
      </x:c>
      <x:c r="L3898" s="7" t="str"/>
    </x:row>
    <x:row r="3899">
      <x:c r="A3899" s="5" t="str">
        <x:v>講</x:v>
      </x:c>
      <x:c r="B3899" s="6" t="str">
        <x:v>上</x:v>
      </x:c>
      <x:c r="C3899" s="6" t="str">
        <x:f>IF(B3899="","Needs decision","Ready")</x:f>
        <x:v>Ready</x:v>
      </x:c>
      <x:c r="D3899" s="6" t="str">
        <x:v>上</x:v>
      </x:c>
      <x:c r="E3899" s="6" t="str">
        <x:v>kaewngX (B)</x:v>
      </x:c>
      <x:c r="F3899" s="6" t="str">
        <x:v>上聲三講</x:v>
      </x:c>
      <x:c r="G3899" s="6" t="str">
        <x:v>Pingshui main list, Wikisource-derived DOCX</x:v>
      </x:c>
      <x:c r="H3899" s="6" t="str">
        <x:v>1</x:v>
      </x:c>
      <x:c r="I3899" s="6" t="str"/>
      <x:c r="J3899" s="6" t="str">
        <x:f>IF(B3899="","",IF(AND(ISNUMBER(SEARCH("平",B3899)),OR(ISNUMBER(SEARCH("上",B3899)),ISNUMBER(SEARCH("去",B3899)),ISNUMBER(SEARCH("入",B3899)))),"Ambiguous",IF(ISNUMBER(SEARCH("平",B3899)),"平","仄")))</x:f>
        <x:v>仄</x:v>
      </x:c>
      <x:c r="K3899" s="6" t="str">
        <x:f>IF(D3899="","",IF(AND(ISNUMBER(SEARCH("平",D3899)),OR(ISNUMBER(SEARCH("上",D3899)),ISNUMBER(SEARCH("去",D3899)),ISNUMBER(SEARCH("入",D3899)))),"Ambiguous",IF(ISNUMBER(SEARCH("平",D3899)),"平","仄")))</x:f>
        <x:v>仄</x:v>
      </x:c>
      <x:c r="L3899" s="7" t="str"/>
    </x:row>
    <x:row r="3900">
      <x:c r="A3900" s="5" t="str">
        <x:v>謝</x:v>
      </x:c>
      <x:c r="B3900" s="6" t="str">
        <x:v>去</x:v>
      </x:c>
      <x:c r="C3900" s="6" t="str">
        <x:f>IF(B3900="","Needs decision","Ready")</x:f>
        <x:v>Ready</x:v>
      </x:c>
      <x:c r="D3900" s="6" t="str">
        <x:v>去</x:v>
      </x:c>
      <x:c r="E3900" s="6" t="str">
        <x:v>zjaeH (C)</x:v>
      </x:c>
      <x:c r="F3900" s="6" t="str">
        <x:v>去聲二十二禡</x:v>
      </x:c>
      <x:c r="G3900" s="6" t="str">
        <x:v>Pingshui main list, Wikisource-derived DOCX</x:v>
      </x:c>
      <x:c r="H3900" s="6" t="str">
        <x:v>1</x:v>
      </x:c>
      <x:c r="I3900" s="6" t="str"/>
      <x:c r="J3900" s="6" t="str">
        <x:f>IF(B3900="","",IF(AND(ISNUMBER(SEARCH("平",B3900)),OR(ISNUMBER(SEARCH("上",B3900)),ISNUMBER(SEARCH("去",B3900)),ISNUMBER(SEARCH("入",B3900)))),"Ambiguous",IF(ISNUMBER(SEARCH("平",B3900)),"平","仄")))</x:f>
        <x:v>仄</x:v>
      </x:c>
      <x:c r="K3900" s="6" t="str">
        <x:f>IF(D3900="","",IF(AND(ISNUMBER(SEARCH("平",D3900)),OR(ISNUMBER(SEARCH("上",D3900)),ISNUMBER(SEARCH("去",D3900)),ISNUMBER(SEARCH("入",D3900)))),"Ambiguous",IF(ISNUMBER(SEARCH("平",D3900)),"平","仄")))</x:f>
        <x:v>仄</x:v>
      </x:c>
      <x:c r="L3900" s="7" t="str"/>
    </x:row>
    <x:row r="3901">
      <x:c r="A3901" s="5" t="str">
        <x:v>謠</x:v>
      </x:c>
      <x:c r="B3901" s="6" t="str">
        <x:v>平</x:v>
      </x:c>
      <x:c r="C3901" s="6" t="str">
        <x:f>IF(B3901="","Needs decision","Ready")</x:f>
        <x:v>Ready</x:v>
      </x:c>
      <x:c r="D3901" s="6" t="str">
        <x:v>平</x:v>
      </x:c>
      <x:c r="E3901" s="6" t="str">
        <x:v>yew (A)</x:v>
      </x:c>
      <x:c r="F3901" s="6" t="str">
        <x:v>下平聲二蕭</x:v>
      </x:c>
      <x:c r="G3901" s="6" t="str">
        <x:v>Pingshui main list, Wikisource-derived DOCX</x:v>
      </x:c>
      <x:c r="H3901" s="6" t="str">
        <x:v>1</x:v>
      </x:c>
      <x:c r="I3901" s="6" t="str"/>
      <x:c r="J3901" s="6" t="str">
        <x:f>IF(B3901="","",IF(AND(ISNUMBER(SEARCH("平",B3901)),OR(ISNUMBER(SEARCH("上",B3901)),ISNUMBER(SEARCH("去",B3901)),ISNUMBER(SEARCH("入",B3901)))),"Ambiguous",IF(ISNUMBER(SEARCH("平",B3901)),"平","仄")))</x:f>
        <x:v>平</x:v>
      </x:c>
      <x:c r="K3901" s="6" t="str">
        <x:f>IF(D3901="","",IF(AND(ISNUMBER(SEARCH("平",D3901)),OR(ISNUMBER(SEARCH("上",D3901)),ISNUMBER(SEARCH("去",D3901)),ISNUMBER(SEARCH("入",D3901)))),"Ambiguous",IF(ISNUMBER(SEARCH("平",D3901)),"平","仄")))</x:f>
        <x:v>平</x:v>
      </x:c>
      <x:c r="L3901" s="7" t="str"/>
    </x:row>
    <x:row r="3902">
      <x:c r="A3902" s="5" t="str">
        <x:v>謦</x:v>
      </x:c>
      <x:c r="B3902" s="6" t="str">
        <x:v>上</x:v>
      </x:c>
      <x:c r="C3902" s="6" t="str">
        <x:f>IF(B3902="","Needs decision","Ready")</x:f>
        <x:v>Ready</x:v>
      </x:c>
      <x:c r="D3902" s="6" t="str">
        <x:v>上</x:v>
      </x:c>
      <x:c r="E3902" s="6" t="str">
        <x:v>khengX (B)</x:v>
      </x:c>
      <x:c r="F3902" s="6" t="str"/>
      <x:c r="G3902" s="6" t="str"/>
      <x:c r="H3902" s="6" t="str">
        <x:v>1</x:v>
      </x:c>
      <x:c r="I3902" s="6" t="str"/>
      <x:c r="J3902" s="6" t="str">
        <x:f>IF(B3902="","",IF(AND(ISNUMBER(SEARCH("平",B3902)),OR(ISNUMBER(SEARCH("上",B3902)),ISNUMBER(SEARCH("去",B3902)),ISNUMBER(SEARCH("入",B3902)))),"Ambiguous",IF(ISNUMBER(SEARCH("平",B3902)),"平","仄")))</x:f>
        <x:v>仄</x:v>
      </x:c>
      <x:c r="K3902" s="6" t="str">
        <x:f>IF(D3902="","",IF(AND(ISNUMBER(SEARCH("平",D3902)),OR(ISNUMBER(SEARCH("上",D3902)),ISNUMBER(SEARCH("去",D3902)),ISNUMBER(SEARCH("入",D3902)))),"Ambiguous",IF(ISNUMBER(SEARCH("平",D3902)),"平","仄")))</x:f>
        <x:v>仄</x:v>
      </x:c>
      <x:c r="L3902" s="7" t="str"/>
    </x:row>
    <x:row r="3903">
      <x:c r="A3903" s="5" t="str">
        <x:v>謨</x:v>
      </x:c>
      <x:c r="B3903" s="6" t="str">
        <x:v>平</x:v>
      </x:c>
      <x:c r="C3903" s="6" t="str">
        <x:f>IF(B3903="","Needs decision","Ready")</x:f>
        <x:v>Ready</x:v>
      </x:c>
      <x:c r="D3903" s="6" t="str">
        <x:v>平</x:v>
      </x:c>
      <x:c r="E3903" s="6" t="str">
        <x:v>mu (A)</x:v>
      </x:c>
      <x:c r="F3903" s="6" t="str">
        <x:v>上平聲七虞</x:v>
      </x:c>
      <x:c r="G3903" s="6" t="str">
        <x:v>Pingshui main list, Wikisource-derived DOCX</x:v>
      </x:c>
      <x:c r="H3903" s="6" t="str">
        <x:v>1</x:v>
      </x:c>
      <x:c r="I3903" s="6" t="str"/>
      <x:c r="J3903" s="6" t="str">
        <x:f>IF(B3903="","",IF(AND(ISNUMBER(SEARCH("平",B3903)),OR(ISNUMBER(SEARCH("上",B3903)),ISNUMBER(SEARCH("去",B3903)),ISNUMBER(SEARCH("入",B3903)))),"Ambiguous",IF(ISNUMBER(SEARCH("平",B3903)),"平","仄")))</x:f>
        <x:v>平</x:v>
      </x:c>
      <x:c r="K3903" s="6" t="str">
        <x:f>IF(D3903="","",IF(AND(ISNUMBER(SEARCH("平",D3903)),OR(ISNUMBER(SEARCH("上",D3903)),ISNUMBER(SEARCH("去",D3903)),ISNUMBER(SEARCH("入",D3903)))),"Ambiguous",IF(ISNUMBER(SEARCH("平",D3903)),"平","仄")))</x:f>
        <x:v>平</x:v>
      </x:c>
      <x:c r="L3903" s="7" t="str"/>
    </x:row>
    <x:row r="3904">
      <x:c r="A3904" s="5" t="str">
        <x:v>謫</x:v>
      </x:c>
      <x:c r="B3904" s="6" t="str">
        <x:v>入</x:v>
      </x:c>
      <x:c r="C3904" s="6" t="str">
        <x:f>IF(B3904="","Needs decision","Ready")</x:f>
        <x:v>Ready</x:v>
      </x:c>
      <x:c r="D3904" s="6" t="str">
        <x:v>入</x:v>
      </x:c>
      <x:c r="E3904" s="6" t="str">
        <x:v>dreak (D); treak (D)</x:v>
      </x:c>
      <x:c r="F3904" s="6" t="str">
        <x:v>入聲十一陌</x:v>
      </x:c>
      <x:c r="G3904" s="6" t="str">
        <x:v>Pingshui main list, Wikisource-derived DOCX</x:v>
      </x:c>
      <x:c r="H3904" s="6" t="str">
        <x:v>2</x:v>
      </x:c>
      <x:c r="I3904" s="6" t="str"/>
      <x:c r="J3904" s="6" t="str">
        <x:f>IF(B3904="","",IF(AND(ISNUMBER(SEARCH("平",B3904)),OR(ISNUMBER(SEARCH("上",B3904)),ISNUMBER(SEARCH("去",B3904)),ISNUMBER(SEARCH("入",B3904)))),"Ambiguous",IF(ISNUMBER(SEARCH("平",B3904)),"平","仄")))</x:f>
        <x:v>仄</x:v>
      </x:c>
      <x:c r="K3904" s="6" t="str">
        <x:f>IF(D3904="","",IF(AND(ISNUMBER(SEARCH("平",D3904)),OR(ISNUMBER(SEARCH("上",D3904)),ISNUMBER(SEARCH("去",D3904)),ISNUMBER(SEARCH("入",D3904)))),"Ambiguous",IF(ISNUMBER(SEARCH("平",D3904)),"平","仄")))</x:f>
        <x:v>仄</x:v>
      </x:c>
      <x:c r="L3904" s="7" t="str"/>
    </x:row>
    <x:row r="3905">
      <x:c r="A3905" s="5" t="str">
        <x:v>謬</x:v>
      </x:c>
      <x:c r="B3905" s="6" t="str">
        <x:v>去</x:v>
      </x:c>
      <x:c r="C3905" s="6" t="str">
        <x:f>IF(B3905="","Needs decision","Ready")</x:f>
        <x:v>Ready</x:v>
      </x:c>
      <x:c r="D3905" s="6" t="str">
        <x:v>去</x:v>
      </x:c>
      <x:c r="E3905" s="6" t="str">
        <x:v>mjiwH (C)</x:v>
      </x:c>
      <x:c r="F3905" s="6" t="str">
        <x:v>去聲二十六宥</x:v>
      </x:c>
      <x:c r="G3905" s="6" t="str">
        <x:v>Pingshui main list, Wikisource-derived DOCX</x:v>
      </x:c>
      <x:c r="H3905" s="6" t="str">
        <x:v>1</x:v>
      </x:c>
      <x:c r="I3905" s="6" t="str"/>
      <x:c r="J3905" s="6" t="str">
        <x:f>IF(B3905="","",IF(AND(ISNUMBER(SEARCH("平",B3905)),OR(ISNUMBER(SEARCH("上",B3905)),ISNUMBER(SEARCH("去",B3905)),ISNUMBER(SEARCH("入",B3905)))),"Ambiguous",IF(ISNUMBER(SEARCH("平",B3905)),"平","仄")))</x:f>
        <x:v>仄</x:v>
      </x:c>
      <x:c r="K3905" s="6" t="str">
        <x:f>IF(D3905="","",IF(AND(ISNUMBER(SEARCH("平",D3905)),OR(ISNUMBER(SEARCH("上",D3905)),ISNUMBER(SEARCH("去",D3905)),ISNUMBER(SEARCH("入",D3905)))),"Ambiguous",IF(ISNUMBER(SEARCH("平",D3905)),"平","仄")))</x:f>
        <x:v>仄</x:v>
      </x:c>
      <x:c r="L3905" s="7" t="str"/>
    </x:row>
    <x:row r="3906">
      <x:c r="A3906" s="5" t="str">
        <x:v>謳</x:v>
      </x:c>
      <x:c r="B3906" s="6" t="str">
        <x:v>平</x:v>
      </x:c>
      <x:c r="C3906" s="6" t="str">
        <x:f>IF(B3906="","Needs decision","Ready")</x:f>
        <x:v>Ready</x:v>
      </x:c>
      <x:c r="D3906" s="6" t="str">
        <x:v>平</x:v>
      </x:c>
      <x:c r="E3906" s="6" t="str">
        <x:v>'uw [ʔ̙u] (平)</x:v>
      </x:c>
      <x:c r="F3906" s="6" t="str">
        <x:v>下平聲十一尤</x:v>
      </x:c>
      <x:c r="G3906" s="6" t="str">
        <x:v>Pingshui main list, Wikisource-derived DOCX</x:v>
      </x:c>
      <x:c r="H3906" s="6" t="str">
        <x:v>1</x:v>
      </x:c>
      <x:c r="I3906" s="6" t="str">
        <x:v>Tang 300 gap; frequency 1; provisional from Xun Gong</x:v>
      </x:c>
      <x:c r="J3906" s="6" t="str">
        <x:f>IF(B3906="","",IF(AND(ISNUMBER(SEARCH("平",B3906)),OR(ISNUMBER(SEARCH("上",B3906)),ISNUMBER(SEARCH("去",B3906)),ISNUMBER(SEARCH("入",B3906)))),"Ambiguous",IF(ISNUMBER(SEARCH("平",B3906)),"平","仄")))</x:f>
        <x:v>平</x:v>
      </x:c>
      <x:c r="K3906" s="6" t="str">
        <x:f>IF(D3906="","",IF(AND(ISNUMBER(SEARCH("平",D3906)),OR(ISNUMBER(SEARCH("上",D3906)),ISNUMBER(SEARCH("去",D3906)),ISNUMBER(SEARCH("入",D3906)))),"Ambiguous",IF(ISNUMBER(SEARCH("平",D3906)),"平","仄")))</x:f>
        <x:v>平</x:v>
      </x:c>
      <x:c r="L3906" s="7" t="str">
        <x:v>Xun Gong, Tang 300 gap fill</x:v>
      </x:c>
    </x:row>
    <x:row r="3907">
      <x:c r="A3907" s="5" t="str">
        <x:v>謹</x:v>
      </x:c>
      <x:c r="B3907" s="6" t="str">
        <x:v>上</x:v>
      </x:c>
      <x:c r="C3907" s="6" t="str">
        <x:f>IF(B3907="","Needs decision","Ready")</x:f>
        <x:v>Ready</x:v>
      </x:c>
      <x:c r="D3907" s="6" t="str">
        <x:v>上</x:v>
      </x:c>
      <x:c r="E3907" s="6" t="str">
        <x:v>kj+nX (B)</x:v>
      </x:c>
      <x:c r="F3907" s="6" t="str">
        <x:v>上聲十二吻</x:v>
      </x:c>
      <x:c r="G3907" s="6" t="str">
        <x:v>Pingshui main list, Wikisource-derived DOCX</x:v>
      </x:c>
      <x:c r="H3907" s="6" t="str">
        <x:v>1</x:v>
      </x:c>
      <x:c r="I3907" s="6" t="str"/>
      <x:c r="J3907" s="6" t="str">
        <x:f>IF(B3907="","",IF(AND(ISNUMBER(SEARCH("平",B3907)),OR(ISNUMBER(SEARCH("上",B3907)),ISNUMBER(SEARCH("去",B3907)),ISNUMBER(SEARCH("入",B3907)))),"Ambiguous",IF(ISNUMBER(SEARCH("平",B3907)),"平","仄")))</x:f>
        <x:v>仄</x:v>
      </x:c>
      <x:c r="K3907" s="6" t="str">
        <x:f>IF(D3907="","",IF(AND(ISNUMBER(SEARCH("平",D3907)),OR(ISNUMBER(SEARCH("上",D3907)),ISNUMBER(SEARCH("去",D3907)),ISNUMBER(SEARCH("入",D3907)))),"Ambiguous",IF(ISNUMBER(SEARCH("平",D3907)),"平","仄")))</x:f>
        <x:v>仄</x:v>
      </x:c>
      <x:c r="L3907" s="7" t="str"/>
    </x:row>
    <x:row r="3908">
      <x:c r="A3908" s="5" t="str">
        <x:v>謾</x:v>
      </x:c>
      <x:c r="B3908" s="6" t="str">
        <x:v>去</x:v>
      </x:c>
      <x:c r="C3908" s="6" t="str">
        <x:f>IF(B3908="","Needs decision","Ready")</x:f>
        <x:v>Ready</x:v>
      </x:c>
      <x:c r="D3908" s="6" t="str">
        <x:v>平/去</x:v>
      </x:c>
      <x:c r="E3908" s="6" t="str">
        <x:v>maen [m̙aˤn] (平); maenH [m̙aˤnh] (去); man [m̙ɑn] (平); manH [m̙ɑnh] (去); mjien [mjen] (平)</x:v>
      </x:c>
      <x:c r="F3908" s="6" t="str">
        <x:v>上平聲十四寒; 去聲十五翰; 去聲十六諫</x:v>
      </x:c>
      <x:c r="G3908" s="6" t="str">
        <x:v>Pingshui main list, Wikisource-derived DOCX</x:v>
      </x:c>
      <x:c r="H3908" s="6" t="str">
        <x:v>5</x:v>
      </x:c>
      <x:c r="I3908" s="6" t="str">
        <x:v>Tang 300 gap; frequency 1; ambiguous in Xun Gong</x:v>
      </x:c>
      <x:c r="J3908" s="6" t="str">
        <x:f>IF(B3908="","",IF(AND(ISNUMBER(SEARCH("平",B3908)),OR(ISNUMBER(SEARCH("上",B3908)),ISNUMBER(SEARCH("去",B3908)),ISNUMBER(SEARCH("入",B3908)))),"Ambiguous",IF(ISNUMBER(SEARCH("平",B3908)),"平","仄")))</x:f>
        <x:v>仄</x:v>
      </x:c>
      <x:c r="K3908" s="6" t="str">
        <x:f>IF(D3908="","",IF(AND(ISNUMBER(SEARCH("平",D3908)),OR(ISNUMBER(SEARCH("上",D3908)),ISNUMBER(SEARCH("去",D3908)),ISNUMBER(SEARCH("入",D3908)))),"Ambiguous",IF(ISNUMBER(SEARCH("平",D3908)),"平","仄")))</x:f>
        <x:v>Ambiguous</x:v>
      </x:c>
      <x:c r="L3908" s="7" t="str">
        <x:v>Xun Gong, Tang 300 gap fill</x:v>
      </x:c>
    </x:row>
    <x:row r="3909">
      <x:c r="A3909" s="5" t="str">
        <x:v>譁</x:v>
      </x:c>
      <x:c r="B3909" s="6" t="str">
        <x:v>平</x:v>
      </x:c>
      <x:c r="C3909" s="6" t="str">
        <x:f>IF(B3909="","Needs decision","Ready")</x:f>
        <x:v>Ready</x:v>
      </x:c>
      <x:c r="D3909" s="6" t="str">
        <x:v>平</x:v>
      </x:c>
      <x:c r="E3909" s="6" t="str">
        <x:v>xwae (A)</x:v>
      </x:c>
      <x:c r="F3909" s="6" t="str">
        <x:v>下平聲六麻</x:v>
      </x:c>
      <x:c r="G3909" s="6" t="str">
        <x:v>Pingshui main list, Wikisource-derived DOCX</x:v>
      </x:c>
      <x:c r="H3909" s="6" t="str">
        <x:v>1</x:v>
      </x:c>
      <x:c r="I3909" s="6" t="str"/>
      <x:c r="J3909" s="6" t="str">
        <x:f>IF(B3909="","",IF(AND(ISNUMBER(SEARCH("平",B3909)),OR(ISNUMBER(SEARCH("上",B3909)),ISNUMBER(SEARCH("去",B3909)),ISNUMBER(SEARCH("入",B3909)))),"Ambiguous",IF(ISNUMBER(SEARCH("平",B3909)),"平","仄")))</x:f>
        <x:v>平</x:v>
      </x:c>
      <x:c r="K3909" s="6" t="str">
        <x:f>IF(D3909="","",IF(AND(ISNUMBER(SEARCH("平",D3909)),OR(ISNUMBER(SEARCH("上",D3909)),ISNUMBER(SEARCH("去",D3909)),ISNUMBER(SEARCH("入",D3909)))),"Ambiguous",IF(ISNUMBER(SEARCH("平",D3909)),"平","仄")))</x:f>
        <x:v>平</x:v>
      </x:c>
      <x:c r="L3909" s="7" t="str"/>
    </x:row>
    <x:row r="3910">
      <x:c r="A3910" s="5" t="str">
        <x:v>證</x:v>
      </x:c>
      <x:c r="B3910" s="6" t="str">
        <x:v>去</x:v>
      </x:c>
      <x:c r="C3910" s="6" t="str">
        <x:f>IF(B3910="","Needs decision","Ready")</x:f>
        <x:v>Ready</x:v>
      </x:c>
      <x:c r="D3910" s="6" t="str">
        <x:v>去</x:v>
      </x:c>
      <x:c r="E3910" s="6" t="str">
        <x:v>tsyingH (C)</x:v>
      </x:c>
      <x:c r="F3910" s="6" t="str">
        <x:v>去聲二十五徑</x:v>
      </x:c>
      <x:c r="G3910" s="6" t="str">
        <x:v>Pingshui main list, Wikisource-derived DOCX</x:v>
      </x:c>
      <x:c r="H3910" s="6" t="str">
        <x:v>1</x:v>
      </x:c>
      <x:c r="I3910" s="6" t="str"/>
      <x:c r="J3910" s="6" t="str">
        <x:f>IF(B3910="","",IF(AND(ISNUMBER(SEARCH("平",B3910)),OR(ISNUMBER(SEARCH("上",B3910)),ISNUMBER(SEARCH("去",B3910)),ISNUMBER(SEARCH("入",B3910)))),"Ambiguous",IF(ISNUMBER(SEARCH("平",B3910)),"平","仄")))</x:f>
        <x:v>仄</x:v>
      </x:c>
      <x:c r="K3910" s="6" t="str">
        <x:f>IF(D3910="","",IF(AND(ISNUMBER(SEARCH("平",D3910)),OR(ISNUMBER(SEARCH("上",D3910)),ISNUMBER(SEARCH("去",D3910)),ISNUMBER(SEARCH("入",D3910)))),"Ambiguous",IF(ISNUMBER(SEARCH("平",D3910)),"平","仄")))</x:f>
        <x:v>仄</x:v>
      </x:c>
      <x:c r="L3910" s="7" t="str"/>
    </x:row>
    <x:row r="3911">
      <x:c r="A3911" s="5" t="str">
        <x:v>譌</x:v>
      </x:c>
      <x:c r="B3911" s="6" t="str">
        <x:v>平</x:v>
      </x:c>
      <x:c r="C3911" s="6" t="str">
        <x:f>IF(B3911="","Needs decision","Ready")</x:f>
        <x:v>Ready</x:v>
      </x:c>
      <x:c r="D3911" s="6" t="str">
        <x:v>平</x:v>
      </x:c>
      <x:c r="E3911" s="6" t="str">
        <x:v>ngwa (A)</x:v>
      </x:c>
      <x:c r="F3911" s="6" t="str"/>
      <x:c r="G3911" s="6" t="str"/>
      <x:c r="H3911" s="6" t="str">
        <x:v>1</x:v>
      </x:c>
      <x:c r="I3911" s="6" t="str"/>
      <x:c r="J3911" s="6" t="str">
        <x:f>IF(B3911="","",IF(AND(ISNUMBER(SEARCH("平",B3911)),OR(ISNUMBER(SEARCH("上",B3911)),ISNUMBER(SEARCH("去",B3911)),ISNUMBER(SEARCH("入",B3911)))),"Ambiguous",IF(ISNUMBER(SEARCH("平",B3911)),"平","仄")))</x:f>
        <x:v>平</x:v>
      </x:c>
      <x:c r="K3911" s="6" t="str">
        <x:f>IF(D3911="","",IF(AND(ISNUMBER(SEARCH("平",D3911)),OR(ISNUMBER(SEARCH("上",D3911)),ISNUMBER(SEARCH("去",D3911)),ISNUMBER(SEARCH("入",D3911)))),"Ambiguous",IF(ISNUMBER(SEARCH("平",D3911)),"平","仄")))</x:f>
        <x:v>平</x:v>
      </x:c>
      <x:c r="L3911" s="7" t="str"/>
    </x:row>
    <x:row r="3912">
      <x:c r="A3912" s="5" t="str">
        <x:v>譎</x:v>
      </x:c>
      <x:c r="B3912" s="6" t="str">
        <x:v>入</x:v>
      </x:c>
      <x:c r="C3912" s="6" t="str">
        <x:f>IF(B3912="","Needs decision","Ready")</x:f>
        <x:v>Ready</x:v>
      </x:c>
      <x:c r="D3912" s="6" t="str">
        <x:v>入</x:v>
      </x:c>
      <x:c r="E3912" s="6" t="str">
        <x:v>kwet (D)</x:v>
      </x:c>
      <x:c r="F3912" s="6" t="str">
        <x:v>入聲九屑</x:v>
      </x:c>
      <x:c r="G3912" s="6" t="str">
        <x:v>Pingshui main list, Wikisource-derived DOCX</x:v>
      </x:c>
      <x:c r="H3912" s="6" t="str">
        <x:v>1</x:v>
      </x:c>
      <x:c r="I3912" s="6" t="str"/>
      <x:c r="J3912" s="6" t="str">
        <x:f>IF(B3912="","",IF(AND(ISNUMBER(SEARCH("平",B3912)),OR(ISNUMBER(SEARCH("上",B3912)),ISNUMBER(SEARCH("去",B3912)),ISNUMBER(SEARCH("入",B3912)))),"Ambiguous",IF(ISNUMBER(SEARCH("平",B3912)),"平","仄")))</x:f>
        <x:v>仄</x:v>
      </x:c>
      <x:c r="K3912" s="6" t="str">
        <x:f>IF(D3912="","",IF(AND(ISNUMBER(SEARCH("平",D3912)),OR(ISNUMBER(SEARCH("上",D3912)),ISNUMBER(SEARCH("去",D3912)),ISNUMBER(SEARCH("入",D3912)))),"Ambiguous",IF(ISNUMBER(SEARCH("平",D3912)),"平","仄")))</x:f>
        <x:v>仄</x:v>
      </x:c>
      <x:c r="L3912" s="7" t="str"/>
    </x:row>
    <x:row r="3913">
      <x:c r="A3913" s="5" t="str">
        <x:v>譕</x:v>
      </x:c>
      <x:c r="B3913" s="6" t="str">
        <x:v>平</x:v>
      </x:c>
      <x:c r="C3913" s="6" t="str">
        <x:f>IF(B3913="","Needs decision","Ready")</x:f>
        <x:v>Ready</x:v>
      </x:c>
      <x:c r="D3913" s="6" t="str">
        <x:v>平</x:v>
      </x:c>
      <x:c r="E3913" s="6" t="str">
        <x:v>mju (A)</x:v>
      </x:c>
      <x:c r="F3913" s="6" t="str"/>
      <x:c r="G3913" s="6" t="str"/>
      <x:c r="H3913" s="6" t="str">
        <x:v>1</x:v>
      </x:c>
      <x:c r="I3913" s="6" t="str"/>
      <x:c r="J3913" s="6" t="str">
        <x:f>IF(B3913="","",IF(AND(ISNUMBER(SEARCH("平",B3913)),OR(ISNUMBER(SEARCH("上",B3913)),ISNUMBER(SEARCH("去",B3913)),ISNUMBER(SEARCH("入",B3913)))),"Ambiguous",IF(ISNUMBER(SEARCH("平",B3913)),"平","仄")))</x:f>
        <x:v>平</x:v>
      </x:c>
      <x:c r="K3913" s="6" t="str">
        <x:f>IF(D3913="","",IF(AND(ISNUMBER(SEARCH("平",D3913)),OR(ISNUMBER(SEARCH("上",D3913)),ISNUMBER(SEARCH("去",D3913)),ISNUMBER(SEARCH("入",D3913)))),"Ambiguous",IF(ISNUMBER(SEARCH("平",D3913)),"平","仄")))</x:f>
        <x:v>平</x:v>
      </x:c>
      <x:c r="L3913" s="7" t="str"/>
    </x:row>
    <x:row r="3914">
      <x:c r="A3914" s="5" t="str">
        <x:v>譖</x:v>
      </x:c>
      <x:c r="B3914" s="6" t="str">
        <x:v>去</x:v>
      </x:c>
      <x:c r="C3914" s="6" t="str">
        <x:f>IF(B3914="","Needs decision","Ready")</x:f>
        <x:v>Ready</x:v>
      </x:c>
      <x:c r="D3914" s="6" t="str">
        <x:v>去</x:v>
      </x:c>
      <x:c r="E3914" s="6" t="str">
        <x:v>tsrimH (C)</x:v>
      </x:c>
      <x:c r="F3914" s="6" t="str">
        <x:v>去聲二十七沁</x:v>
      </x:c>
      <x:c r="G3914" s="6" t="str">
        <x:v>Pingshui main list, Wikisource-derived DOCX</x:v>
      </x:c>
      <x:c r="H3914" s="6" t="str">
        <x:v>1</x:v>
      </x:c>
      <x:c r="I3914" s="6" t="str"/>
      <x:c r="J3914" s="6" t="str">
        <x:f>IF(B3914="","",IF(AND(ISNUMBER(SEARCH("平",B3914)),OR(ISNUMBER(SEARCH("上",B3914)),ISNUMBER(SEARCH("去",B3914)),ISNUMBER(SEARCH("入",B3914)))),"Ambiguous",IF(ISNUMBER(SEARCH("平",B3914)),"平","仄")))</x:f>
        <x:v>仄</x:v>
      </x:c>
      <x:c r="K3914" s="6" t="str">
        <x:f>IF(D3914="","",IF(AND(ISNUMBER(SEARCH("平",D3914)),OR(ISNUMBER(SEARCH("上",D3914)),ISNUMBER(SEARCH("去",D3914)),ISNUMBER(SEARCH("入",D3914)))),"Ambiguous",IF(ISNUMBER(SEARCH("平",D3914)),"平","仄")))</x:f>
        <x:v>仄</x:v>
      </x:c>
      <x:c r="L3914" s="7" t="str"/>
    </x:row>
    <x:row r="3915">
      <x:c r="A3915" s="5" t="str">
        <x:v>識</x:v>
      </x:c>
      <x:c r="B3915" s="6" t="str">
        <x:v>入</x:v>
      </x:c>
      <x:c r="C3915" s="6" t="str">
        <x:f>IF(B3915="","Needs decision","Ready")</x:f>
        <x:v>Ready</x:v>
      </x:c>
      <x:c r="D3915" s="6" t="str">
        <x:v>去/入</x:v>
      </x:c>
      <x:c r="E3915" s="6" t="str">
        <x:v>syik (D); tsyiH (C)</x:v>
      </x:c>
      <x:c r="F3915" s="6" t="str">
        <x:v>去聲四寘; 入聲十三職</x:v>
      </x:c>
      <x:c r="G3915" s="6" t="str">
        <x:v>Pingshui main list, Wikisource-derived DOCX</x:v>
      </x:c>
      <x:c r="H3915" s="6" t="str">
        <x:v>2</x:v>
      </x:c>
      <x:c r="I3915" s="6" t="str"/>
      <x:c r="J3915" s="6" t="str">
        <x:f>IF(B3915="","",IF(AND(ISNUMBER(SEARCH("平",B3915)),OR(ISNUMBER(SEARCH("上",B3915)),ISNUMBER(SEARCH("去",B3915)),ISNUMBER(SEARCH("入",B3915)))),"Ambiguous",IF(ISNUMBER(SEARCH("平",B3915)),"平","仄")))</x:f>
        <x:v>仄</x:v>
      </x:c>
      <x:c r="K3915" s="6" t="str">
        <x:f>IF(D3915="","",IF(AND(ISNUMBER(SEARCH("平",D3915)),OR(ISNUMBER(SEARCH("上",D3915)),ISNUMBER(SEARCH("去",D3915)),ISNUMBER(SEARCH("入",D3915)))),"Ambiguous",IF(ISNUMBER(SEARCH("平",D3915)),"平","仄")))</x:f>
        <x:v>仄</x:v>
      </x:c>
      <x:c r="L3915" s="7" t="str"/>
    </x:row>
    <x:row r="3916">
      <x:c r="A3916" s="5" t="str">
        <x:v>譟</x:v>
      </x:c>
      <x:c r="B3916" s="6" t="str">
        <x:v>去</x:v>
      </x:c>
      <x:c r="C3916" s="6" t="str">
        <x:f>IF(B3916="","Needs decision","Ready")</x:f>
        <x:v>Ready</x:v>
      </x:c>
      <x:c r="D3916" s="6" t="str">
        <x:v>去</x:v>
      </x:c>
      <x:c r="E3916" s="6" t="str">
        <x:v>sawH (C)</x:v>
      </x:c>
      <x:c r="F3916" s="6" t="str">
        <x:v>去聲二十號</x:v>
      </x:c>
      <x:c r="G3916" s="6" t="str">
        <x:v>Pingshui main list, Wikisource-derived DOCX</x:v>
      </x:c>
      <x:c r="H3916" s="6" t="str">
        <x:v>1</x:v>
      </x:c>
      <x:c r="I3916" s="6" t="str"/>
      <x:c r="J3916" s="6" t="str">
        <x:f>IF(B3916="","",IF(AND(ISNUMBER(SEARCH("平",B3916)),OR(ISNUMBER(SEARCH("上",B3916)),ISNUMBER(SEARCH("去",B3916)),ISNUMBER(SEARCH("入",B3916)))),"Ambiguous",IF(ISNUMBER(SEARCH("平",B3916)),"平","仄")))</x:f>
        <x:v>仄</x:v>
      </x:c>
      <x:c r="K3916" s="6" t="str">
        <x:f>IF(D3916="","",IF(AND(ISNUMBER(SEARCH("平",D3916)),OR(ISNUMBER(SEARCH("上",D3916)),ISNUMBER(SEARCH("去",D3916)),ISNUMBER(SEARCH("入",D3916)))),"Ambiguous",IF(ISNUMBER(SEARCH("平",D3916)),"平","仄")))</x:f>
        <x:v>仄</x:v>
      </x:c>
      <x:c r="L3916" s="7" t="str"/>
    </x:row>
    <x:row r="3917">
      <x:c r="A3917" s="5" t="str">
        <x:v>譣</x:v>
      </x:c>
      <x:c r="B3917" s="6" t="str"/>
      <x:c r="C3917" s="6" t="str">
        <x:f>IF(B3917="","Needs decision","Ready")</x:f>
        <x:v>Needs decision</x:v>
      </x:c>
      <x:c r="D3917" s="6" t="str">
        <x:v>平/上</x:v>
      </x:c>
      <x:c r="E3917" s="6" t="str">
        <x:v>tshjem (A); tshjemX (B); sjem (A)</x:v>
      </x:c>
      <x:c r="F3917" s="6" t="str"/>
      <x:c r="G3917" s="6" t="str"/>
      <x:c r="H3917" s="6" t="str">
        <x:v>3</x:v>
      </x:c>
      <x:c r="I3917" s="6" t="str"/>
      <x:c r="J3917" s="6" t="str">
        <x:f>IF(B3917="","",IF(AND(ISNUMBER(SEARCH("平",B3917)),OR(ISNUMBER(SEARCH("上",B3917)),ISNUMBER(SEARCH("去",B3917)),ISNUMBER(SEARCH("入",B3917)))),"Ambiguous",IF(ISNUMBER(SEARCH("平",B3917)),"平","仄")))</x:f>
      </x:c>
      <x:c r="K3917" s="6" t="str">
        <x:f>IF(D3917="","",IF(AND(ISNUMBER(SEARCH("平",D3917)),OR(ISNUMBER(SEARCH("上",D3917)),ISNUMBER(SEARCH("去",D3917)),ISNUMBER(SEARCH("入",D3917)))),"Ambiguous",IF(ISNUMBER(SEARCH("平",D3917)),"平","仄")))</x:f>
        <x:v>Ambiguous</x:v>
      </x:c>
      <x:c r="L3917" s="7" t="str"/>
    </x:row>
    <x:row r="3918">
      <x:c r="A3918" s="5" t="str">
        <x:v>警</x:v>
      </x:c>
      <x:c r="B3918" s="6" t="str">
        <x:v>上</x:v>
      </x:c>
      <x:c r="C3918" s="6" t="str">
        <x:f>IF(B3918="","Needs decision","Ready")</x:f>
        <x:v>Ready</x:v>
      </x:c>
      <x:c r="D3918" s="6" t="str">
        <x:v>上</x:v>
      </x:c>
      <x:c r="E3918" s="6" t="str">
        <x:v>kjaengX (B)</x:v>
      </x:c>
      <x:c r="F3918" s="6" t="str">
        <x:v>上聲二十三梗</x:v>
      </x:c>
      <x:c r="G3918" s="6" t="str">
        <x:v>Pingshui main list, Wikisource-derived DOCX</x:v>
      </x:c>
      <x:c r="H3918" s="6" t="str">
        <x:v>1</x:v>
      </x:c>
      <x:c r="I3918" s="6" t="str"/>
      <x:c r="J3918" s="6" t="str">
        <x:f>IF(B3918="","",IF(AND(ISNUMBER(SEARCH("平",B3918)),OR(ISNUMBER(SEARCH("上",B3918)),ISNUMBER(SEARCH("去",B3918)),ISNUMBER(SEARCH("入",B3918)))),"Ambiguous",IF(ISNUMBER(SEARCH("平",B3918)),"平","仄")))</x:f>
        <x:v>仄</x:v>
      </x:c>
      <x:c r="K3918" s="6" t="str">
        <x:f>IF(D3918="","",IF(AND(ISNUMBER(SEARCH("平",D3918)),OR(ISNUMBER(SEARCH("上",D3918)),ISNUMBER(SEARCH("去",D3918)),ISNUMBER(SEARCH("入",D3918)))),"Ambiguous",IF(ISNUMBER(SEARCH("平",D3918)),"平","仄")))</x:f>
        <x:v>仄</x:v>
      </x:c>
      <x:c r="L3918" s="7" t="str"/>
    </x:row>
    <x:row r="3919">
      <x:c r="A3919" s="5" t="str">
        <x:v>譬</x:v>
      </x:c>
      <x:c r="B3919" s="6" t="str">
        <x:v>去</x:v>
      </x:c>
      <x:c r="C3919" s="6" t="str">
        <x:f>IF(B3919="","Needs decision","Ready")</x:f>
        <x:v>Ready</x:v>
      </x:c>
      <x:c r="D3919" s="6" t="str">
        <x:v>去</x:v>
      </x:c>
      <x:c r="E3919" s="6" t="str">
        <x:v>phjieH (C)</x:v>
      </x:c>
      <x:c r="F3919" s="6" t="str">
        <x:v>去聲四寘</x:v>
      </x:c>
      <x:c r="G3919" s="6" t="str">
        <x:v>Pingshui main list, Wikisource-derived DOCX</x:v>
      </x:c>
      <x:c r="H3919" s="6" t="str">
        <x:v>1</x:v>
      </x:c>
      <x:c r="I3919" s="6" t="str"/>
      <x:c r="J3919" s="6" t="str">
        <x:f>IF(B3919="","",IF(AND(ISNUMBER(SEARCH("平",B3919)),OR(ISNUMBER(SEARCH("上",B3919)),ISNUMBER(SEARCH("去",B3919)),ISNUMBER(SEARCH("入",B3919)))),"Ambiguous",IF(ISNUMBER(SEARCH("平",B3919)),"平","仄")))</x:f>
        <x:v>仄</x:v>
      </x:c>
      <x:c r="K3919" s="6" t="str">
        <x:f>IF(D3919="","",IF(AND(ISNUMBER(SEARCH("平",D3919)),OR(ISNUMBER(SEARCH("上",D3919)),ISNUMBER(SEARCH("去",D3919)),ISNUMBER(SEARCH("入",D3919)))),"Ambiguous",IF(ISNUMBER(SEARCH("平",D3919)),"平","仄")))</x:f>
        <x:v>仄</x:v>
      </x:c>
      <x:c r="L3919" s="7" t="str"/>
    </x:row>
    <x:row r="3920">
      <x:c r="A3920" s="5" t="str">
        <x:v>譯</x:v>
      </x:c>
      <x:c r="B3920" s="6" t="str">
        <x:v>入</x:v>
      </x:c>
      <x:c r="C3920" s="6" t="str">
        <x:f>IF(B3920="","Needs decision","Ready")</x:f>
        <x:v>Ready</x:v>
      </x:c>
      <x:c r="D3920" s="6" t="str">
        <x:v>入</x:v>
      </x:c>
      <x:c r="E3920" s="6" t="str">
        <x:v>yek (D)</x:v>
      </x:c>
      <x:c r="F3920" s="6" t="str">
        <x:v>入聲十一陌</x:v>
      </x:c>
      <x:c r="G3920" s="6" t="str">
        <x:v>Pingshui main list, Wikisource-derived DOCX</x:v>
      </x:c>
      <x:c r="H3920" s="6" t="str">
        <x:v>1</x:v>
      </x:c>
      <x:c r="I3920" s="6" t="str"/>
      <x:c r="J3920" s="6" t="str">
        <x:f>IF(B3920="","",IF(AND(ISNUMBER(SEARCH("平",B3920)),OR(ISNUMBER(SEARCH("上",B3920)),ISNUMBER(SEARCH("去",B3920)),ISNUMBER(SEARCH("入",B3920)))),"Ambiguous",IF(ISNUMBER(SEARCH("平",B3920)),"平","仄")))</x:f>
        <x:v>仄</x:v>
      </x:c>
      <x:c r="K3920" s="6" t="str">
        <x:f>IF(D3920="","",IF(AND(ISNUMBER(SEARCH("平",D3920)),OR(ISNUMBER(SEARCH("上",D3920)),ISNUMBER(SEARCH("去",D3920)),ISNUMBER(SEARCH("入",D3920)))),"Ambiguous",IF(ISNUMBER(SEARCH("平",D3920)),"平","仄")))</x:f>
        <x:v>仄</x:v>
      </x:c>
      <x:c r="L3920" s="7" t="str"/>
    </x:row>
    <x:row r="3921">
      <x:c r="A3921" s="5" t="str">
        <x:v>議</x:v>
      </x:c>
      <x:c r="B3921" s="6" t="str">
        <x:v>去</x:v>
      </x:c>
      <x:c r="C3921" s="6" t="str">
        <x:f>IF(B3921="","Needs decision","Ready")</x:f>
        <x:v>Ready</x:v>
      </x:c>
      <x:c r="D3921" s="6" t="str">
        <x:v>去</x:v>
      </x:c>
      <x:c r="E3921" s="6" t="str">
        <x:v>ngjeH (C)</x:v>
      </x:c>
      <x:c r="F3921" s="6" t="str">
        <x:v>去聲四寘</x:v>
      </x:c>
      <x:c r="G3921" s="6" t="str">
        <x:v>Pingshui main list, Wikisource-derived DOCX</x:v>
      </x:c>
      <x:c r="H3921" s="6" t="str">
        <x:v>1</x:v>
      </x:c>
      <x:c r="I3921" s="6" t="str"/>
      <x:c r="J3921" s="6" t="str">
        <x:f>IF(B3921="","",IF(AND(ISNUMBER(SEARCH("平",B3921)),OR(ISNUMBER(SEARCH("上",B3921)),ISNUMBER(SEARCH("去",B3921)),ISNUMBER(SEARCH("入",B3921)))),"Ambiguous",IF(ISNUMBER(SEARCH("平",B3921)),"平","仄")))</x:f>
        <x:v>仄</x:v>
      </x:c>
      <x:c r="K3921" s="6" t="str">
        <x:f>IF(D3921="","",IF(AND(ISNUMBER(SEARCH("平",D3921)),OR(ISNUMBER(SEARCH("上",D3921)),ISNUMBER(SEARCH("去",D3921)),ISNUMBER(SEARCH("入",D3921)))),"Ambiguous",IF(ISNUMBER(SEARCH("平",D3921)),"平","仄")))</x:f>
        <x:v>仄</x:v>
      </x:c>
      <x:c r="L3921" s="7" t="str"/>
    </x:row>
    <x:row r="3922">
      <x:c r="A3922" s="5" t="str">
        <x:v>護</x:v>
      </x:c>
      <x:c r="B3922" s="6" t="str">
        <x:v>去</x:v>
      </x:c>
      <x:c r="C3922" s="6" t="str">
        <x:f>IF(B3922="","Needs decision","Ready")</x:f>
        <x:v>Ready</x:v>
      </x:c>
      <x:c r="D3922" s="6" t="str">
        <x:v>去</x:v>
      </x:c>
      <x:c r="E3922" s="6" t="str">
        <x:v>huH (C)</x:v>
      </x:c>
      <x:c r="F3922" s="6" t="str">
        <x:v>去聲七遇</x:v>
      </x:c>
      <x:c r="G3922" s="6" t="str">
        <x:v>Pingshui main list, Wikisource-derived DOCX</x:v>
      </x:c>
      <x:c r="H3922" s="6" t="str">
        <x:v>1</x:v>
      </x:c>
      <x:c r="I3922" s="6" t="str"/>
      <x:c r="J3922" s="6" t="str">
        <x:f>IF(B3922="","",IF(AND(ISNUMBER(SEARCH("平",B3922)),OR(ISNUMBER(SEARCH("上",B3922)),ISNUMBER(SEARCH("去",B3922)),ISNUMBER(SEARCH("入",B3922)))),"Ambiguous",IF(ISNUMBER(SEARCH("平",B3922)),"平","仄")))</x:f>
        <x:v>仄</x:v>
      </x:c>
      <x:c r="K3922" s="6" t="str">
        <x:f>IF(D3922="","",IF(AND(ISNUMBER(SEARCH("平",D3922)),OR(ISNUMBER(SEARCH("上",D3922)),ISNUMBER(SEARCH("去",D3922)),ISNUMBER(SEARCH("入",D3922)))),"Ambiguous",IF(ISNUMBER(SEARCH("平",D3922)),"平","仄")))</x:f>
        <x:v>仄</x:v>
      </x:c>
      <x:c r="L3922" s="7" t="str"/>
    </x:row>
    <x:row r="3923">
      <x:c r="A3923" s="5" t="str">
        <x:v>譽</x:v>
      </x:c>
      <x:c r="B3923" s="6" t="str">
        <x:v>去</x:v>
      </x:c>
      <x:c r="C3923" s="6" t="str">
        <x:f>IF(B3923="","Needs decision","Ready")</x:f>
        <x:v>Ready</x:v>
      </x:c>
      <x:c r="D3923" s="6" t="str">
        <x:v>平/去</x:v>
      </x:c>
      <x:c r="E3923" s="6" t="str">
        <x:v>yo (A); yoH (C)</x:v>
      </x:c>
      <x:c r="F3923" s="6" t="str">
        <x:v>上平聲六魚; 去聲六御</x:v>
      </x:c>
      <x:c r="G3923" s="6" t="str">
        <x:v>Pingshui main list, Wikisource-derived DOCX</x:v>
      </x:c>
      <x:c r="H3923" s="6" t="str">
        <x:v>2</x:v>
      </x:c>
      <x:c r="I3923" s="6" t="str"/>
      <x:c r="J3923" s="6" t="str">
        <x:f>IF(B3923="","",IF(AND(ISNUMBER(SEARCH("平",B3923)),OR(ISNUMBER(SEARCH("上",B3923)),ISNUMBER(SEARCH("去",B3923)),ISNUMBER(SEARCH("入",B3923)))),"Ambiguous",IF(ISNUMBER(SEARCH("平",B3923)),"平","仄")))</x:f>
        <x:v>仄</x:v>
      </x:c>
      <x:c r="K3923" s="6" t="str">
        <x:f>IF(D3923="","",IF(AND(ISNUMBER(SEARCH("平",D3923)),OR(ISNUMBER(SEARCH("上",D3923)),ISNUMBER(SEARCH("去",D3923)),ISNUMBER(SEARCH("入",D3923)))),"Ambiguous",IF(ISNUMBER(SEARCH("平",D3923)),"平","仄")))</x:f>
        <x:v>Ambiguous</x:v>
      </x:c>
      <x:c r="L3923" s="7" t="str"/>
    </x:row>
    <x:row r="3924">
      <x:c r="A3924" s="5" t="str">
        <x:v>讀</x:v>
      </x:c>
      <x:c r="B3924" s="6" t="str">
        <x:v>入</x:v>
      </x:c>
      <x:c r="C3924" s="6" t="str">
        <x:f>IF(B3924="","Needs decision","Ready")</x:f>
        <x:v>Ready</x:v>
      </x:c>
      <x:c r="D3924" s="6" t="str">
        <x:v>入</x:v>
      </x:c>
      <x:c r="E3924" s="6" t="str">
        <x:v>duwk (D)</x:v>
      </x:c>
      <x:c r="F3924" s="6" t="str">
        <x:v>去聲二十六宥; 入聲一屋</x:v>
      </x:c>
      <x:c r="G3924" s="6" t="str">
        <x:v>Pingshui main list, Wikisource-derived DOCX</x:v>
      </x:c>
      <x:c r="H3924" s="6" t="str">
        <x:v>1</x:v>
      </x:c>
      <x:c r="I3924" s="6" t="str"/>
      <x:c r="J3924" s="6" t="str">
        <x:f>IF(B3924="","",IF(AND(ISNUMBER(SEARCH("平",B3924)),OR(ISNUMBER(SEARCH("上",B3924)),ISNUMBER(SEARCH("去",B3924)),ISNUMBER(SEARCH("入",B3924)))),"Ambiguous",IF(ISNUMBER(SEARCH("平",B3924)),"平","仄")))</x:f>
        <x:v>仄</x:v>
      </x:c>
      <x:c r="K3924" s="6" t="str">
        <x:f>IF(D3924="","",IF(AND(ISNUMBER(SEARCH("平",D3924)),OR(ISNUMBER(SEARCH("上",D3924)),ISNUMBER(SEARCH("去",D3924)),ISNUMBER(SEARCH("入",D3924)))),"Ambiguous",IF(ISNUMBER(SEARCH("平",D3924)),"平","仄")))</x:f>
        <x:v>仄</x:v>
      </x:c>
      <x:c r="L3924" s="7" t="str"/>
    </x:row>
    <x:row r="3925">
      <x:c r="A3925" s="5" t="str">
        <x:v>讇</x:v>
      </x:c>
      <x:c r="B3925" s="6" t="str">
        <x:v>上</x:v>
      </x:c>
      <x:c r="C3925" s="6" t="str">
        <x:f>IF(B3925="","Needs decision","Ready")</x:f>
        <x:v>Ready</x:v>
      </x:c>
      <x:c r="D3925" s="6" t="str">
        <x:v>上</x:v>
      </x:c>
      <x:c r="E3925" s="6" t="str">
        <x:v>trhjemX (B)</x:v>
      </x:c>
      <x:c r="F3925" s="6" t="str"/>
      <x:c r="G3925" s="6" t="str"/>
      <x:c r="H3925" s="6" t="str">
        <x:v>1</x:v>
      </x:c>
      <x:c r="I3925" s="6" t="str"/>
      <x:c r="J3925" s="6" t="str">
        <x:f>IF(B3925="","",IF(AND(ISNUMBER(SEARCH("平",B3925)),OR(ISNUMBER(SEARCH("上",B3925)),ISNUMBER(SEARCH("去",B3925)),ISNUMBER(SEARCH("入",B3925)))),"Ambiguous",IF(ISNUMBER(SEARCH("平",B3925)),"平","仄")))</x:f>
        <x:v>仄</x:v>
      </x:c>
      <x:c r="K3925" s="6" t="str">
        <x:f>IF(D3925="","",IF(AND(ISNUMBER(SEARCH("平",D3925)),OR(ISNUMBER(SEARCH("上",D3925)),ISNUMBER(SEARCH("去",D3925)),ISNUMBER(SEARCH("入",D3925)))),"Ambiguous",IF(ISNUMBER(SEARCH("平",D3925)),"平","仄")))</x:f>
        <x:v>仄</x:v>
      </x:c>
      <x:c r="L3925" s="7" t="str"/>
    </x:row>
    <x:row r="3926">
      <x:c r="A3926" s="5" t="str">
        <x:v>變</x:v>
      </x:c>
      <x:c r="B3926" s="6" t="str">
        <x:v>去</x:v>
      </x:c>
      <x:c r="C3926" s="6" t="str">
        <x:f>IF(B3926="","Needs decision","Ready")</x:f>
        <x:v>Ready</x:v>
      </x:c>
      <x:c r="D3926" s="6" t="str">
        <x:v>去</x:v>
      </x:c>
      <x:c r="E3926" s="6" t="str">
        <x:v>pjenH (C)</x:v>
      </x:c>
      <x:c r="F3926" s="6" t="str">
        <x:v>去聲十七霰</x:v>
      </x:c>
      <x:c r="G3926" s="6" t="str">
        <x:v>Pingshui main list, Wikisource-derived DOCX</x:v>
      </x:c>
      <x:c r="H3926" s="6" t="str">
        <x:v>1</x:v>
      </x:c>
      <x:c r="I3926" s="6" t="str"/>
      <x:c r="J3926" s="6" t="str">
        <x:f>IF(B3926="","",IF(AND(ISNUMBER(SEARCH("平",B3926)),OR(ISNUMBER(SEARCH("上",B3926)),ISNUMBER(SEARCH("去",B3926)),ISNUMBER(SEARCH("入",B3926)))),"Ambiguous",IF(ISNUMBER(SEARCH("平",B3926)),"平","仄")))</x:f>
        <x:v>仄</x:v>
      </x:c>
      <x:c r="K3926" s="6" t="str">
        <x:f>IF(D3926="","",IF(AND(ISNUMBER(SEARCH("平",D3926)),OR(ISNUMBER(SEARCH("上",D3926)),ISNUMBER(SEARCH("去",D3926)),ISNUMBER(SEARCH("入",D3926)))),"Ambiguous",IF(ISNUMBER(SEARCH("平",D3926)),"平","仄")))</x:f>
        <x:v>仄</x:v>
      </x:c>
      <x:c r="L3926" s="7" t="str"/>
    </x:row>
    <x:row r="3927">
      <x:c r="A3927" s="5" t="str">
        <x:v>讌</x:v>
      </x:c>
      <x:c r="B3927" s="6" t="str">
        <x:v>去</x:v>
      </x:c>
      <x:c r="C3927" s="6" t="str">
        <x:f>IF(B3927="","Needs decision","Ready")</x:f>
        <x:v>Ready</x:v>
      </x:c>
      <x:c r="D3927" s="6" t="str">
        <x:v>去</x:v>
      </x:c>
      <x:c r="E3927" s="6" t="str"/>
      <x:c r="F3927" s="6" t="str"/>
      <x:c r="G3927" s="6" t="str"/>
      <x:c r="H3927" s="6" t="str"/>
      <x:c r="I3927" s="6" t="str">
        <x:v>Manual user correction/addition</x:v>
      </x:c>
      <x:c r="J3927" s="6" t="str">
        <x:f>IF(B3927="","",IF(AND(ISNUMBER(SEARCH("平",B3927)),OR(ISNUMBER(SEARCH("上",B3927)),ISNUMBER(SEARCH("去",B3927)),ISNUMBER(SEARCH("入",B3927)))),"Ambiguous",IF(ISNUMBER(SEARCH("平",B3927)),"平","仄")))</x:f>
        <x:v>仄</x:v>
      </x:c>
      <x:c r="K3927" s="6" t="str">
        <x:f>IF(D3927="","",IF(AND(ISNUMBER(SEARCH("平",D3927)),OR(ISNUMBER(SEARCH("上",D3927)),ISNUMBER(SEARCH("去",D3927)),ISNUMBER(SEARCH("入",D3927)))),"Ambiguous",IF(ISNUMBER(SEARCH("平",D3927)),"平","仄")))</x:f>
        <x:v>仄</x:v>
      </x:c>
      <x:c r="L3927" s="7" t="str">
        <x:v>manual user correction</x:v>
      </x:c>
    </x:row>
    <x:row r="3928">
      <x:c r="A3928" s="5" t="str">
        <x:v>讎</x:v>
      </x:c>
      <x:c r="B3928" s="6" t="str">
        <x:v>平</x:v>
      </x:c>
      <x:c r="C3928" s="6" t="str">
        <x:f>IF(B3928="","Needs decision","Ready")</x:f>
        <x:v>Ready</x:v>
      </x:c>
      <x:c r="D3928" s="6" t="str">
        <x:v>平</x:v>
      </x:c>
      <x:c r="E3928" s="6" t="str">
        <x:v>dzyuw (A)</x:v>
      </x:c>
      <x:c r="F3928" s="6" t="str">
        <x:v>下平聲十一尤</x:v>
      </x:c>
      <x:c r="G3928" s="6" t="str">
        <x:v>Pingshui main list, Wikisource-derived DOCX</x:v>
      </x:c>
      <x:c r="H3928" s="6" t="str">
        <x:v>1</x:v>
      </x:c>
      <x:c r="I3928" s="6" t="str"/>
      <x:c r="J3928" s="6" t="str">
        <x:f>IF(B3928="","",IF(AND(ISNUMBER(SEARCH("平",B3928)),OR(ISNUMBER(SEARCH("上",B3928)),ISNUMBER(SEARCH("去",B3928)),ISNUMBER(SEARCH("入",B3928)))),"Ambiguous",IF(ISNUMBER(SEARCH("平",B3928)),"平","仄")))</x:f>
        <x:v>平</x:v>
      </x:c>
      <x:c r="K3928" s="6" t="str">
        <x:f>IF(D3928="","",IF(AND(ISNUMBER(SEARCH("平",D3928)),OR(ISNUMBER(SEARCH("上",D3928)),ISNUMBER(SEARCH("去",D3928)),ISNUMBER(SEARCH("入",D3928)))),"Ambiguous",IF(ISNUMBER(SEARCH("平",D3928)),"平","仄")))</x:f>
        <x:v>平</x:v>
      </x:c>
      <x:c r="L3928" s="7" t="str"/>
    </x:row>
    <x:row r="3929">
      <x:c r="A3929" s="5" t="str">
        <x:v>讐</x:v>
      </x:c>
      <x:c r="B3929" s="6" t="str">
        <x:v>平</x:v>
      </x:c>
      <x:c r="C3929" s="6" t="str">
        <x:f>IF(B3929="","Needs decision","Ready")</x:f>
        <x:v>Ready</x:v>
      </x:c>
      <x:c r="D3929" s="6" t="str"/>
      <x:c r="E3929" s="6" t="str"/>
      <x:c r="F3929" s="6" t="str"/>
      <x:c r="G3929" s="6" t="str"/>
      <x:c r="H3929" s="6" t="str"/>
      <x:c r="I3929" s="6" t="str">
        <x:v>Missing from current table and Xun Gong source; needs manual lookup</x:v>
      </x:c>
      <x:c r="J3929" s="6" t="str">
        <x:f>IF(B3929="","",IF(AND(ISNUMBER(SEARCH("平",B3929)),OR(ISNUMBER(SEARCH("上",B3929)),ISNUMBER(SEARCH("去",B3929)),ISNUMBER(SEARCH("入",B3929)))),"Ambiguous",IF(ISNUMBER(SEARCH("平",B3929)),"平","仄")))</x:f>
        <x:v>平</x:v>
      </x:c>
      <x:c r="K3929" s="6" t="str">
        <x:f>IF(D3929="","",IF(AND(ISNUMBER(SEARCH("平",D3929)),OR(ISNUMBER(SEARCH("上",D3929)),ISNUMBER(SEARCH("去",D3929)),ISNUMBER(SEARCH("入",D3929)))),"Ambiguous",IF(ISNUMBER(SEARCH("平",D3929)),"平","仄")))</x:f>
      </x:c>
      <x:c r="L3929" s="7" t="str"/>
    </x:row>
    <x:row r="3930">
      <x:c r="A3930" s="5" t="str">
        <x:v>讒</x:v>
      </x:c>
      <x:c r="B3930" s="6" t="str">
        <x:v>平</x:v>
      </x:c>
      <x:c r="C3930" s="6" t="str">
        <x:f>IF(B3930="","Needs decision","Ready")</x:f>
        <x:v>Ready</x:v>
      </x:c>
      <x:c r="D3930" s="6" t="str">
        <x:v>平</x:v>
      </x:c>
      <x:c r="E3930" s="6" t="str"/>
      <x:c r="F3930" s="6" t="str">
        <x:v>下平聲十五咸; 去聲三十陷</x:v>
      </x:c>
      <x:c r="G3930" s="6" t="str">
        <x:v>Pingshui main list, Wikisource-derived DOCX</x:v>
      </x:c>
      <x:c r="H3930" s="6" t="str"/>
      <x:c r="I3930" s="6" t="str">
        <x:v>Manual user correction/addition</x:v>
      </x:c>
      <x:c r="J3930" s="6" t="str">
        <x:f>IF(B3930="","",IF(AND(ISNUMBER(SEARCH("平",B3930)),OR(ISNUMBER(SEARCH("上",B3930)),ISNUMBER(SEARCH("去",B3930)),ISNUMBER(SEARCH("入",B3930)))),"Ambiguous",IF(ISNUMBER(SEARCH("平",B3930)),"平","仄")))</x:f>
        <x:v>平</x:v>
      </x:c>
      <x:c r="K3930" s="6" t="str">
        <x:f>IF(D3930="","",IF(AND(ISNUMBER(SEARCH("平",D3930)),OR(ISNUMBER(SEARCH("上",D3930)),ISNUMBER(SEARCH("去",D3930)),ISNUMBER(SEARCH("入",D3930)))),"Ambiguous",IF(ISNUMBER(SEARCH("平",D3930)),"平","仄")))</x:f>
        <x:v>平</x:v>
      </x:c>
      <x:c r="L3930" s="7" t="str">
        <x:v>manual user correction</x:v>
      </x:c>
    </x:row>
    <x:row r="3931">
      <x:c r="A3931" s="5" t="str">
        <x:v>讓</x:v>
      </x:c>
      <x:c r="B3931" s="6" t="str">
        <x:v>去</x:v>
      </x:c>
      <x:c r="C3931" s="6" t="str">
        <x:f>IF(B3931="","Needs decision","Ready")</x:f>
        <x:v>Ready</x:v>
      </x:c>
      <x:c r="D3931" s="6" t="str">
        <x:v>去</x:v>
      </x:c>
      <x:c r="E3931" s="6" t="str">
        <x:v>nyangH (C)</x:v>
      </x:c>
      <x:c r="F3931" s="6" t="str">
        <x:v>去聲二十三漾</x:v>
      </x:c>
      <x:c r="G3931" s="6" t="str">
        <x:v>Pingshui main list, Wikisource-derived DOCX</x:v>
      </x:c>
      <x:c r="H3931" s="6" t="str">
        <x:v>1</x:v>
      </x:c>
      <x:c r="I3931" s="6" t="str"/>
      <x:c r="J3931" s="6" t="str">
        <x:f>IF(B3931="","",IF(AND(ISNUMBER(SEARCH("平",B3931)),OR(ISNUMBER(SEARCH("上",B3931)),ISNUMBER(SEARCH("去",B3931)),ISNUMBER(SEARCH("入",B3931)))),"Ambiguous",IF(ISNUMBER(SEARCH("平",B3931)),"平","仄")))</x:f>
        <x:v>仄</x:v>
      </x:c>
      <x:c r="K3931" s="6" t="str">
        <x:f>IF(D3931="","",IF(AND(ISNUMBER(SEARCH("平",D3931)),OR(ISNUMBER(SEARCH("上",D3931)),ISNUMBER(SEARCH("去",D3931)),ISNUMBER(SEARCH("入",D3931)))),"Ambiguous",IF(ISNUMBER(SEARCH("平",D3931)),"平","仄")))</x:f>
        <x:v>仄</x:v>
      </x:c>
      <x:c r="L3931" s="7" t="str"/>
    </x:row>
    <x:row r="3932">
      <x:c r="A3932" s="5" t="str">
        <x:v>讙</x:v>
      </x:c>
      <x:c r="B3932" s="6" t="str">
        <x:v>平</x:v>
      </x:c>
      <x:c r="C3932" s="6" t="str">
        <x:f>IF(B3932="","Needs decision","Ready")</x:f>
        <x:v>Ready</x:v>
      </x:c>
      <x:c r="D3932" s="6" t="str">
        <x:v>平</x:v>
      </x:c>
      <x:c r="E3932" s="6" t="str">
        <x:v>xjwon (A)</x:v>
      </x:c>
      <x:c r="F3932" s="6" t="str">
        <x:v>上平聲十四寒</x:v>
      </x:c>
      <x:c r="G3932" s="6" t="str">
        <x:v>Pingshui main list, Wikisource-derived DOCX</x:v>
      </x:c>
      <x:c r="H3932" s="6" t="str">
        <x:v>1</x:v>
      </x:c>
      <x:c r="I3932" s="6" t="str"/>
      <x:c r="J3932" s="6" t="str">
        <x:f>IF(B3932="","",IF(AND(ISNUMBER(SEARCH("平",B3932)),OR(ISNUMBER(SEARCH("上",B3932)),ISNUMBER(SEARCH("去",B3932)),ISNUMBER(SEARCH("入",B3932)))),"Ambiguous",IF(ISNUMBER(SEARCH("平",B3932)),"平","仄")))</x:f>
        <x:v>平</x:v>
      </x:c>
      <x:c r="K3932" s="6" t="str">
        <x:f>IF(D3932="","",IF(AND(ISNUMBER(SEARCH("平",D3932)),OR(ISNUMBER(SEARCH("上",D3932)),ISNUMBER(SEARCH("去",D3932)),ISNUMBER(SEARCH("入",D3932)))),"Ambiguous",IF(ISNUMBER(SEARCH("平",D3932)),"平","仄")))</x:f>
        <x:v>平</x:v>
      </x:c>
      <x:c r="L3932" s="7" t="str"/>
    </x:row>
    <x:row r="3933">
      <x:c r="A3933" s="5" t="str">
        <x:v>讚</x:v>
      </x:c>
      <x:c r="B3933" s="6" t="str">
        <x:v>去</x:v>
      </x:c>
      <x:c r="C3933" s="6" t="str">
        <x:f>IF(B3933="","Needs decision","Ready")</x:f>
        <x:v>Ready</x:v>
      </x:c>
      <x:c r="D3933" s="6" t="str">
        <x:v>去</x:v>
      </x:c>
      <x:c r="E3933" s="6" t="str"/>
      <x:c r="F3933" s="6" t="str">
        <x:v>去聲十五翰</x:v>
      </x:c>
      <x:c r="G3933" s="6" t="str">
        <x:v>Pingshui main list, Wikisource-derived DOCX</x:v>
      </x:c>
      <x:c r="H3933" s="6" t="str"/>
      <x:c r="I3933" s="6" t="str">
        <x:v>Manual user correction/addition</x:v>
      </x:c>
      <x:c r="J3933" s="6" t="str">
        <x:f>IF(B3933="","",IF(AND(ISNUMBER(SEARCH("平",B3933)),OR(ISNUMBER(SEARCH("上",B3933)),ISNUMBER(SEARCH("去",B3933)),ISNUMBER(SEARCH("入",B3933)))),"Ambiguous",IF(ISNUMBER(SEARCH("平",B3933)),"平","仄")))</x:f>
        <x:v>仄</x:v>
      </x:c>
      <x:c r="K3933" s="6" t="str">
        <x:f>IF(D3933="","",IF(AND(ISNUMBER(SEARCH("平",D3933)),OR(ISNUMBER(SEARCH("上",D3933)),ISNUMBER(SEARCH("去",D3933)),ISNUMBER(SEARCH("入",D3933)))),"Ambiguous",IF(ISNUMBER(SEARCH("平",D3933)),"平","仄")))</x:f>
        <x:v>仄</x:v>
      </x:c>
      <x:c r="L3933" s="7" t="str">
        <x:v>manual user correction</x:v>
      </x:c>
    </x:row>
    <x:row r="3934">
      <x:c r="A3934" s="5" t="str">
        <x:v>讞</x:v>
      </x:c>
      <x:c r="B3934" s="6" t="str">
        <x:v>去</x:v>
      </x:c>
      <x:c r="C3934" s="6" t="str">
        <x:f>IF(B3934="","Needs decision","Ready")</x:f>
        <x:v>Ready</x:v>
      </x:c>
      <x:c r="D3934" s="6" t="str">
        <x:v>去/入</x:v>
      </x:c>
      <x:c r="E3934" s="6" t="str">
        <x:v>ngjenH (C); ngjet (D)</x:v>
      </x:c>
      <x:c r="F3934" s="6" t="str">
        <x:v>上聲十六銑; 入聲九屑</x:v>
      </x:c>
      <x:c r="G3934" s="6" t="str">
        <x:v>Pingshui main list, Wikisource-derived DOCX</x:v>
      </x:c>
      <x:c r="H3934" s="6" t="str">
        <x:v>2</x:v>
      </x:c>
      <x:c r="I3934" s="6" t="str"/>
      <x:c r="J3934" s="6" t="str">
        <x:f>IF(B3934="","",IF(AND(ISNUMBER(SEARCH("平",B3934)),OR(ISNUMBER(SEARCH("上",B3934)),ISNUMBER(SEARCH("去",B3934)),ISNUMBER(SEARCH("入",B3934)))),"Ambiguous",IF(ISNUMBER(SEARCH("平",B3934)),"平","仄")))</x:f>
        <x:v>仄</x:v>
      </x:c>
      <x:c r="K3934" s="6" t="str">
        <x:f>IF(D3934="","",IF(AND(ISNUMBER(SEARCH("平",D3934)),OR(ISNUMBER(SEARCH("上",D3934)),ISNUMBER(SEARCH("去",D3934)),ISNUMBER(SEARCH("入",D3934)))),"Ambiguous",IF(ISNUMBER(SEARCH("平",D3934)),"平","仄")))</x:f>
        <x:v>仄</x:v>
      </x:c>
      <x:c r="L3934" s="7" t="str"/>
    </x:row>
    <x:row r="3935">
      <x:c r="A3935" s="5" t="str">
        <x:v>谷</x:v>
      </x:c>
      <x:c r="B3935" s="6" t="str">
        <x:v>入</x:v>
      </x:c>
      <x:c r="C3935" s="6" t="str">
        <x:f>IF(B3935="","Needs decision","Ready")</x:f>
        <x:v>Ready</x:v>
      </x:c>
      <x:c r="D3935" s="6" t="str">
        <x:v>入</x:v>
      </x:c>
      <x:c r="E3935" s="6" t="str">
        <x:v>kuwk (D)</x:v>
      </x:c>
      <x:c r="F3935" s="6" t="str">
        <x:v>入聲一屋</x:v>
      </x:c>
      <x:c r="G3935" s="6" t="str">
        <x:v>Pingshui main list, Wikisource-derived DOCX</x:v>
      </x:c>
      <x:c r="H3935" s="6" t="str">
        <x:v>1</x:v>
      </x:c>
      <x:c r="I3935" s="6" t="str"/>
      <x:c r="J3935" s="6" t="str">
        <x:f>IF(B3935="","",IF(AND(ISNUMBER(SEARCH("平",B3935)),OR(ISNUMBER(SEARCH("上",B3935)),ISNUMBER(SEARCH("去",B3935)),ISNUMBER(SEARCH("入",B3935)))),"Ambiguous",IF(ISNUMBER(SEARCH("平",B3935)),"平","仄")))</x:f>
        <x:v>仄</x:v>
      </x:c>
      <x:c r="K3935" s="6" t="str">
        <x:f>IF(D3935="","",IF(AND(ISNUMBER(SEARCH("平",D3935)),OR(ISNUMBER(SEARCH("上",D3935)),ISNUMBER(SEARCH("去",D3935)),ISNUMBER(SEARCH("入",D3935)))),"Ambiguous",IF(ISNUMBER(SEARCH("平",D3935)),"平","仄")))</x:f>
        <x:v>仄</x:v>
      </x:c>
      <x:c r="L3935" s="7" t="str"/>
    </x:row>
    <x:row r="3936">
      <x:c r="A3936" s="5" t="str">
        <x:v>谿</x:v>
      </x:c>
      <x:c r="B3936" s="6" t="str">
        <x:v>平</x:v>
      </x:c>
      <x:c r="C3936" s="6" t="str">
        <x:f>IF(B3936="","Needs decision","Ready")</x:f>
        <x:v>Ready</x:v>
      </x:c>
      <x:c r="D3936" s="6" t="str">
        <x:v>平</x:v>
      </x:c>
      <x:c r="E3936" s="6" t="str">
        <x:v>khej (A)</x:v>
      </x:c>
      <x:c r="F3936" s="6" t="str">
        <x:v>上平聲八齊</x:v>
      </x:c>
      <x:c r="G3936" s="6" t="str">
        <x:v>Pingshui main list, Wikisource-derived DOCX</x:v>
      </x:c>
      <x:c r="H3936" s="6" t="str">
        <x:v>1</x:v>
      </x:c>
      <x:c r="I3936" s="6" t="str"/>
      <x:c r="J3936" s="6" t="str">
        <x:f>IF(B3936="","",IF(AND(ISNUMBER(SEARCH("平",B3936)),OR(ISNUMBER(SEARCH("上",B3936)),ISNUMBER(SEARCH("去",B3936)),ISNUMBER(SEARCH("入",B3936)))),"Ambiguous",IF(ISNUMBER(SEARCH("平",B3936)),"平","仄")))</x:f>
        <x:v>平</x:v>
      </x:c>
      <x:c r="K3936" s="6" t="str">
        <x:f>IF(D3936="","",IF(AND(ISNUMBER(SEARCH("平",D3936)),OR(ISNUMBER(SEARCH("上",D3936)),ISNUMBER(SEARCH("去",D3936)),ISNUMBER(SEARCH("入",D3936)))),"Ambiguous",IF(ISNUMBER(SEARCH("平",D3936)),"平","仄")))</x:f>
        <x:v>平</x:v>
      </x:c>
      <x:c r="L3936" s="7" t="str"/>
    </x:row>
    <x:row r="3937">
      <x:c r="A3937" s="5" t="str">
        <x:v>豆</x:v>
      </x:c>
      <x:c r="B3937" s="6" t="str">
        <x:v>去</x:v>
      </x:c>
      <x:c r="C3937" s="6" t="str">
        <x:f>IF(B3937="","Needs decision","Ready")</x:f>
        <x:v>Ready</x:v>
      </x:c>
      <x:c r="D3937" s="6" t="str">
        <x:v>去</x:v>
      </x:c>
      <x:c r="E3937" s="6" t="str">
        <x:v>duwH (C)</x:v>
      </x:c>
      <x:c r="F3937" s="6" t="str">
        <x:v>去聲二十六宥</x:v>
      </x:c>
      <x:c r="G3937" s="6" t="str">
        <x:v>Pingshui main list, Wikisource-derived DOCX</x:v>
      </x:c>
      <x:c r="H3937" s="6" t="str">
        <x:v>1</x:v>
      </x:c>
      <x:c r="I3937" s="6" t="str"/>
      <x:c r="J3937" s="6" t="str">
        <x:f>IF(B3937="","",IF(AND(ISNUMBER(SEARCH("平",B3937)),OR(ISNUMBER(SEARCH("上",B3937)),ISNUMBER(SEARCH("去",B3937)),ISNUMBER(SEARCH("入",B3937)))),"Ambiguous",IF(ISNUMBER(SEARCH("平",B3937)),"平","仄")))</x:f>
        <x:v>仄</x:v>
      </x:c>
      <x:c r="K3937" s="6" t="str">
        <x:f>IF(D3937="","",IF(AND(ISNUMBER(SEARCH("平",D3937)),OR(ISNUMBER(SEARCH("上",D3937)),ISNUMBER(SEARCH("去",D3937)),ISNUMBER(SEARCH("入",D3937)))),"Ambiguous",IF(ISNUMBER(SEARCH("平",D3937)),"平","仄")))</x:f>
        <x:v>仄</x:v>
      </x:c>
      <x:c r="L3937" s="7" t="str"/>
    </x:row>
    <x:row r="3938">
      <x:c r="A3938" s="5" t="str">
        <x:v>豈</x:v>
      </x:c>
      <x:c r="B3938" s="6" t="str">
        <x:v>上</x:v>
      </x:c>
      <x:c r="C3938" s="6" t="str">
        <x:f>IF(B3938="","Needs decision","Ready")</x:f>
        <x:v>Ready</x:v>
      </x:c>
      <x:c r="D3938" s="6" t="str">
        <x:v>上</x:v>
      </x:c>
      <x:c r="E3938" s="6" t="str">
        <x:v>khojX (B); khj+jX (B)</x:v>
      </x:c>
      <x:c r="F3938" s="6" t="str">
        <x:v>上聲五尾</x:v>
      </x:c>
      <x:c r="G3938" s="6" t="str">
        <x:v>Pingshui main list, Wikisource-derived DOCX</x:v>
      </x:c>
      <x:c r="H3938" s="6" t="str">
        <x:v>2</x:v>
      </x:c>
      <x:c r="I3938" s="6" t="str"/>
      <x:c r="J3938" s="6" t="str">
        <x:f>IF(B3938="","",IF(AND(ISNUMBER(SEARCH("平",B3938)),OR(ISNUMBER(SEARCH("上",B3938)),ISNUMBER(SEARCH("去",B3938)),ISNUMBER(SEARCH("入",B3938)))),"Ambiguous",IF(ISNUMBER(SEARCH("平",B3938)),"平","仄")))</x:f>
        <x:v>仄</x:v>
      </x:c>
      <x:c r="K3938" s="6" t="str">
        <x:f>IF(D3938="","",IF(AND(ISNUMBER(SEARCH("平",D3938)),OR(ISNUMBER(SEARCH("上",D3938)),ISNUMBER(SEARCH("去",D3938)),ISNUMBER(SEARCH("入",D3938)))),"Ambiguous",IF(ISNUMBER(SEARCH("平",D3938)),"平","仄")))</x:f>
        <x:v>仄</x:v>
      </x:c>
      <x:c r="L3938" s="7" t="str"/>
    </x:row>
    <x:row r="3939">
      <x:c r="A3939" s="5" t="str">
        <x:v>豊</x:v>
      </x:c>
      <x:c r="B3939" s="6" t="str">
        <x:v>上</x:v>
      </x:c>
      <x:c r="C3939" s="6" t="str">
        <x:f>IF(B3939="","Needs decision","Ready")</x:f>
        <x:v>Ready</x:v>
      </x:c>
      <x:c r="D3939" s="6" t="str">
        <x:v>上</x:v>
      </x:c>
      <x:c r="E3939" s="6" t="str">
        <x:v>lejX (B)</x:v>
      </x:c>
      <x:c r="F3939" s="6" t="str"/>
      <x:c r="G3939" s="6" t="str"/>
      <x:c r="H3939" s="6" t="str">
        <x:v>1</x:v>
      </x:c>
      <x:c r="I3939" s="6" t="str"/>
      <x:c r="J3939" s="6" t="str">
        <x:f>IF(B3939="","",IF(AND(ISNUMBER(SEARCH("平",B3939)),OR(ISNUMBER(SEARCH("上",B3939)),ISNUMBER(SEARCH("去",B3939)),ISNUMBER(SEARCH("入",B3939)))),"Ambiguous",IF(ISNUMBER(SEARCH("平",B3939)),"平","仄")))</x:f>
        <x:v>仄</x:v>
      </x:c>
      <x:c r="K3939" s="6" t="str">
        <x:f>IF(D3939="","",IF(AND(ISNUMBER(SEARCH("平",D3939)),OR(ISNUMBER(SEARCH("上",D3939)),ISNUMBER(SEARCH("去",D3939)),ISNUMBER(SEARCH("入",D3939)))),"Ambiguous",IF(ISNUMBER(SEARCH("平",D3939)),"平","仄")))</x:f>
        <x:v>仄</x:v>
      </x:c>
      <x:c r="L3939" s="7" t="str"/>
    </x:row>
    <x:row r="3940">
      <x:c r="A3940" s="5" t="str">
        <x:v>豋</x:v>
      </x:c>
      <x:c r="B3940" s="6" t="str">
        <x:v>平</x:v>
      </x:c>
      <x:c r="C3940" s="6" t="str">
        <x:f>IF(B3940="","Needs decision","Ready")</x:f>
        <x:v>Ready</x:v>
      </x:c>
      <x:c r="D3940" s="6" t="str">
        <x:v>平</x:v>
      </x:c>
      <x:c r="E3940" s="6" t="str">
        <x:v>tong (A)</x:v>
      </x:c>
      <x:c r="F3940" s="6" t="str"/>
      <x:c r="G3940" s="6" t="str"/>
      <x:c r="H3940" s="6" t="str">
        <x:v>1</x:v>
      </x:c>
      <x:c r="I3940" s="6" t="str"/>
      <x:c r="J3940" s="6" t="str">
        <x:f>IF(B3940="","",IF(AND(ISNUMBER(SEARCH("平",B3940)),OR(ISNUMBER(SEARCH("上",B3940)),ISNUMBER(SEARCH("去",B3940)),ISNUMBER(SEARCH("入",B3940)))),"Ambiguous",IF(ISNUMBER(SEARCH("平",B3940)),"平","仄")))</x:f>
        <x:v>平</x:v>
      </x:c>
      <x:c r="K3940" s="6" t="str">
        <x:f>IF(D3940="","",IF(AND(ISNUMBER(SEARCH("平",D3940)),OR(ISNUMBER(SEARCH("上",D3940)),ISNUMBER(SEARCH("去",D3940)),ISNUMBER(SEARCH("入",D3940)))),"Ambiguous",IF(ISNUMBER(SEARCH("平",D3940)),"平","仄")))</x:f>
        <x:v>平</x:v>
      </x:c>
      <x:c r="L3940" s="7" t="str"/>
    </x:row>
    <x:row r="3941">
      <x:c r="A3941" s="5" t="str">
        <x:v>豎</x:v>
      </x:c>
      <x:c r="B3941" s="6" t="str">
        <x:v>上</x:v>
      </x:c>
      <x:c r="C3941" s="6" t="str">
        <x:f>IF(B3941="","Needs decision","Ready")</x:f>
        <x:v>Ready</x:v>
      </x:c>
      <x:c r="D3941" s="6" t="str">
        <x:v>上</x:v>
      </x:c>
      <x:c r="E3941" s="6" t="str">
        <x:v>dzyuX (B)</x:v>
      </x:c>
      <x:c r="F3941" s="6" t="str">
        <x:v>上聲七麌</x:v>
      </x:c>
      <x:c r="G3941" s="6" t="str">
        <x:v>Pingshui main list, Wikisource-derived DOCX</x:v>
      </x:c>
      <x:c r="H3941" s="6" t="str">
        <x:v>1</x:v>
      </x:c>
      <x:c r="I3941" s="6" t="str"/>
      <x:c r="J3941" s="6" t="str">
        <x:f>IF(B3941="","",IF(AND(ISNUMBER(SEARCH("平",B3941)),OR(ISNUMBER(SEARCH("上",B3941)),ISNUMBER(SEARCH("去",B3941)),ISNUMBER(SEARCH("入",B3941)))),"Ambiguous",IF(ISNUMBER(SEARCH("平",B3941)),"平","仄")))</x:f>
        <x:v>仄</x:v>
      </x:c>
      <x:c r="K3941" s="6" t="str">
        <x:f>IF(D3941="","",IF(AND(ISNUMBER(SEARCH("平",D3941)),OR(ISNUMBER(SEARCH("上",D3941)),ISNUMBER(SEARCH("去",D3941)),ISNUMBER(SEARCH("入",D3941)))),"Ambiguous",IF(ISNUMBER(SEARCH("平",D3941)),"平","仄")))</x:f>
        <x:v>仄</x:v>
      </x:c>
      <x:c r="L3941" s="7" t="str"/>
    </x:row>
    <x:row r="3942">
      <x:c r="A3942" s="5" t="str">
        <x:v>豐</x:v>
      </x:c>
      <x:c r="B3942" s="6" t="str">
        <x:v>平</x:v>
      </x:c>
      <x:c r="C3942" s="6" t="str">
        <x:f>IF(B3942="","Needs decision","Ready")</x:f>
        <x:v>Ready</x:v>
      </x:c>
      <x:c r="D3942" s="6" t="str">
        <x:v>平</x:v>
      </x:c>
      <x:c r="E3942" s="6" t="str">
        <x:v>phjowng (A); phjuwng (A)</x:v>
      </x:c>
      <x:c r="F3942" s="6" t="str">
        <x:v>上平聲一東; 上平聲二冬</x:v>
      </x:c>
      <x:c r="G3942" s="6" t="str">
        <x:v>Pingshui main list, Wikisource-derived DOCX</x:v>
      </x:c>
      <x:c r="H3942" s="6" t="str">
        <x:v>2</x:v>
      </x:c>
      <x:c r="I3942" s="6" t="str"/>
      <x:c r="J3942" s="6" t="str">
        <x:f>IF(B3942="","",IF(AND(ISNUMBER(SEARCH("平",B3942)),OR(ISNUMBER(SEARCH("上",B3942)),ISNUMBER(SEARCH("去",B3942)),ISNUMBER(SEARCH("入",B3942)))),"Ambiguous",IF(ISNUMBER(SEARCH("平",B3942)),"平","仄")))</x:f>
        <x:v>平</x:v>
      </x:c>
      <x:c r="K3942" s="6" t="str">
        <x:f>IF(D3942="","",IF(AND(ISNUMBER(SEARCH("平",D3942)),OR(ISNUMBER(SEARCH("上",D3942)),ISNUMBER(SEARCH("去",D3942)),ISNUMBER(SEARCH("入",D3942)))),"Ambiguous",IF(ISNUMBER(SEARCH("平",D3942)),"平","仄")))</x:f>
        <x:v>平</x:v>
      </x:c>
      <x:c r="L3942" s="7" t="str"/>
    </x:row>
    <x:row r="3943">
      <x:c r="A3943" s="5" t="str">
        <x:v>豔</x:v>
      </x:c>
      <x:c r="B3943" s="6" t="str">
        <x:v>去</x:v>
      </x:c>
      <x:c r="C3943" s="6" t="str">
        <x:f>IF(B3943="","Needs decision","Ready")</x:f>
        <x:v>Ready</x:v>
      </x:c>
      <x:c r="D3943" s="6" t="str">
        <x:v>去</x:v>
      </x:c>
      <x:c r="E3943" s="6" t="str"/>
      <x:c r="F3943" s="6" t="str">
        <x:v>去聲二十九豔</x:v>
      </x:c>
      <x:c r="G3943" s="6" t="str">
        <x:v>Pingshui main list, Wikisource-derived DOCX</x:v>
      </x:c>
      <x:c r="H3943" s="6" t="str"/>
      <x:c r="I3943" s="6" t="str">
        <x:v>Manual user correction/addition</x:v>
      </x:c>
      <x:c r="J3943" s="6" t="str">
        <x:f>IF(B3943="","",IF(AND(ISNUMBER(SEARCH("平",B3943)),OR(ISNUMBER(SEARCH("上",B3943)),ISNUMBER(SEARCH("去",B3943)),ISNUMBER(SEARCH("入",B3943)))),"Ambiguous",IF(ISNUMBER(SEARCH("平",B3943)),"平","仄")))</x:f>
        <x:v>仄</x:v>
      </x:c>
      <x:c r="K3943" s="6" t="str">
        <x:f>IF(D3943="","",IF(AND(ISNUMBER(SEARCH("平",D3943)),OR(ISNUMBER(SEARCH("上",D3943)),ISNUMBER(SEARCH("去",D3943)),ISNUMBER(SEARCH("入",D3943)))),"Ambiguous",IF(ISNUMBER(SEARCH("平",D3943)),"平","仄")))</x:f>
        <x:v>仄</x:v>
      </x:c>
      <x:c r="L3943" s="7" t="str">
        <x:v>manual user correction</x:v>
      </x:c>
    </x:row>
    <x:row r="3944">
      <x:c r="A3944" s="5" t="str">
        <x:v>豕</x:v>
      </x:c>
      <x:c r="B3944" s="6" t="str">
        <x:v>上</x:v>
      </x:c>
      <x:c r="C3944" s="6" t="str">
        <x:f>IF(B3944="","Needs decision","Ready")</x:f>
        <x:v>Ready</x:v>
      </x:c>
      <x:c r="D3944" s="6" t="str">
        <x:v>上</x:v>
      </x:c>
      <x:c r="E3944" s="6" t="str">
        <x:v>syeX (B)</x:v>
      </x:c>
      <x:c r="F3944" s="6" t="str">
        <x:v>上聲四紙</x:v>
      </x:c>
      <x:c r="G3944" s="6" t="str">
        <x:v>Pingshui main list, Wikisource-derived DOCX</x:v>
      </x:c>
      <x:c r="H3944" s="6" t="str">
        <x:v>1</x:v>
      </x:c>
      <x:c r="I3944" s="6" t="str"/>
      <x:c r="J3944" s="6" t="str">
        <x:f>IF(B3944="","",IF(AND(ISNUMBER(SEARCH("平",B3944)),OR(ISNUMBER(SEARCH("上",B3944)),ISNUMBER(SEARCH("去",B3944)),ISNUMBER(SEARCH("入",B3944)))),"Ambiguous",IF(ISNUMBER(SEARCH("平",B3944)),"平","仄")))</x:f>
        <x:v>仄</x:v>
      </x:c>
      <x:c r="K3944" s="6" t="str">
        <x:f>IF(D3944="","",IF(AND(ISNUMBER(SEARCH("平",D3944)),OR(ISNUMBER(SEARCH("上",D3944)),ISNUMBER(SEARCH("去",D3944)),ISNUMBER(SEARCH("入",D3944)))),"Ambiguous",IF(ISNUMBER(SEARCH("平",D3944)),"平","仄")))</x:f>
        <x:v>仄</x:v>
      </x:c>
      <x:c r="L3944" s="7" t="str"/>
    </x:row>
    <x:row r="3945">
      <x:c r="A3945" s="5" t="str">
        <x:v>豖</x:v>
      </x:c>
      <x:c r="B3945" s="6" t="str">
        <x:v>入</x:v>
      </x:c>
      <x:c r="C3945" s="6" t="str">
        <x:f>IF(B3945="","Needs decision","Ready")</x:f>
        <x:v>Ready</x:v>
      </x:c>
      <x:c r="D3945" s="6" t="str">
        <x:v>入</x:v>
      </x:c>
      <x:c r="E3945" s="6" t="str">
        <x:v>trhjowk (D)</x:v>
      </x:c>
      <x:c r="F3945" s="6" t="str"/>
      <x:c r="G3945" s="6" t="str"/>
      <x:c r="H3945" s="6" t="str">
        <x:v>1</x:v>
      </x:c>
      <x:c r="I3945" s="6" t="str"/>
      <x:c r="J3945" s="6" t="str">
        <x:f>IF(B3945="","",IF(AND(ISNUMBER(SEARCH("平",B3945)),OR(ISNUMBER(SEARCH("上",B3945)),ISNUMBER(SEARCH("去",B3945)),ISNUMBER(SEARCH("入",B3945)))),"Ambiguous",IF(ISNUMBER(SEARCH("平",B3945)),"平","仄")))</x:f>
        <x:v>仄</x:v>
      </x:c>
      <x:c r="K3945" s="6" t="str">
        <x:f>IF(D3945="","",IF(AND(ISNUMBER(SEARCH("平",D3945)),OR(ISNUMBER(SEARCH("上",D3945)),ISNUMBER(SEARCH("去",D3945)),ISNUMBER(SEARCH("入",D3945)))),"Ambiguous",IF(ISNUMBER(SEARCH("平",D3945)),"平","仄")))</x:f>
        <x:v>仄</x:v>
      </x:c>
      <x:c r="L3945" s="7" t="str"/>
    </x:row>
    <x:row r="3946">
      <x:c r="A3946" s="5" t="str">
        <x:v>豗</x:v>
      </x:c>
      <x:c r="B3946" s="6" t="str">
        <x:v>平</x:v>
      </x:c>
      <x:c r="C3946" s="6" t="str">
        <x:f>IF(B3946="","Needs decision","Ready")</x:f>
        <x:v>Ready</x:v>
      </x:c>
      <x:c r="D3946" s="6" t="str">
        <x:v>平</x:v>
      </x:c>
      <x:c r="E3946" s="6" t="str">
        <x:v>xwoj [χwəj] (平)</x:v>
      </x:c>
      <x:c r="F3946" s="6" t="str">
        <x:v>上平聲十灰</x:v>
      </x:c>
      <x:c r="G3946" s="6" t="str">
        <x:v>Pingshui main list, Wikisource-derived DOCX</x:v>
      </x:c>
      <x:c r="H3946" s="6" t="str">
        <x:v>1</x:v>
      </x:c>
      <x:c r="I3946" s="6" t="str">
        <x:v>Tang 300 gap; frequency 1; provisional from Xun Gong</x:v>
      </x:c>
      <x:c r="J3946" s="6" t="str">
        <x:f>IF(B3946="","",IF(AND(ISNUMBER(SEARCH("平",B3946)),OR(ISNUMBER(SEARCH("上",B3946)),ISNUMBER(SEARCH("去",B3946)),ISNUMBER(SEARCH("入",B3946)))),"Ambiguous",IF(ISNUMBER(SEARCH("平",B3946)),"平","仄")))</x:f>
        <x:v>平</x:v>
      </x:c>
      <x:c r="K3946" s="6" t="str">
        <x:f>IF(D3946="","",IF(AND(ISNUMBER(SEARCH("平",D3946)),OR(ISNUMBER(SEARCH("上",D3946)),ISNUMBER(SEARCH("去",D3946)),ISNUMBER(SEARCH("入",D3946)))),"Ambiguous",IF(ISNUMBER(SEARCH("平",D3946)),"平","仄")))</x:f>
        <x:v>平</x:v>
      </x:c>
      <x:c r="L3946" s="7" t="str">
        <x:v>Xun Gong, Tang 300 gap fill</x:v>
      </x:c>
    </x:row>
    <x:row r="3947">
      <x:c r="A3947" s="5" t="str">
        <x:v>豙</x:v>
      </x:c>
      <x:c r="B3947" s="6" t="str">
        <x:v>去</x:v>
      </x:c>
      <x:c r="C3947" s="6" t="str">
        <x:f>IF(B3947="","Needs decision","Ready")</x:f>
        <x:v>Ready</x:v>
      </x:c>
      <x:c r="D3947" s="6" t="str">
        <x:v>去</x:v>
      </x:c>
      <x:c r="E3947" s="6" t="str">
        <x:v>ngj+jH (C)</x:v>
      </x:c>
      <x:c r="F3947" s="6" t="str"/>
      <x:c r="G3947" s="6" t="str"/>
      <x:c r="H3947" s="6" t="str">
        <x:v>1</x:v>
      </x:c>
      <x:c r="I3947" s="6" t="str"/>
      <x:c r="J3947" s="6" t="str">
        <x:f>IF(B3947="","",IF(AND(ISNUMBER(SEARCH("平",B3947)),OR(ISNUMBER(SEARCH("上",B3947)),ISNUMBER(SEARCH("去",B3947)),ISNUMBER(SEARCH("入",B3947)))),"Ambiguous",IF(ISNUMBER(SEARCH("平",B3947)),"平","仄")))</x:f>
        <x:v>仄</x:v>
      </x:c>
      <x:c r="K3947" s="6" t="str">
        <x:f>IF(D3947="","",IF(AND(ISNUMBER(SEARCH("平",D3947)),OR(ISNUMBER(SEARCH("上",D3947)),ISNUMBER(SEARCH("去",D3947)),ISNUMBER(SEARCH("入",D3947)))),"Ambiguous",IF(ISNUMBER(SEARCH("平",D3947)),"平","仄")))</x:f>
        <x:v>仄</x:v>
      </x:c>
      <x:c r="L3947" s="7" t="str"/>
    </x:row>
    <x:row r="3948">
      <x:c r="A3948" s="5" t="str">
        <x:v>豚</x:v>
      </x:c>
      <x:c r="B3948" s="6" t="str">
        <x:v>平</x:v>
      </x:c>
      <x:c r="C3948" s="6" t="str">
        <x:f>IF(B3948="","Needs decision","Ready")</x:f>
        <x:v>Ready</x:v>
      </x:c>
      <x:c r="D3948" s="6" t="str">
        <x:v>平/上</x:v>
      </x:c>
      <x:c r="E3948" s="6" t="str">
        <x:v>dwonX (B); dwon (A)</x:v>
      </x:c>
      <x:c r="F3948" s="6" t="str">
        <x:v>上平聲十三元</x:v>
      </x:c>
      <x:c r="G3948" s="6" t="str">
        <x:v>Pingshui main list, Wikisource-derived DOCX</x:v>
      </x:c>
      <x:c r="H3948" s="6" t="str">
        <x:v>2</x:v>
      </x:c>
      <x:c r="I3948" s="6" t="str"/>
      <x:c r="J3948" s="6" t="str">
        <x:f>IF(B3948="","",IF(AND(ISNUMBER(SEARCH("平",B3948)),OR(ISNUMBER(SEARCH("上",B3948)),ISNUMBER(SEARCH("去",B3948)),ISNUMBER(SEARCH("入",B3948)))),"Ambiguous",IF(ISNUMBER(SEARCH("平",B3948)),"平","仄")))</x:f>
        <x:v>平</x:v>
      </x:c>
      <x:c r="K3948" s="6" t="str">
        <x:f>IF(D3948="","",IF(AND(ISNUMBER(SEARCH("平",D3948)),OR(ISNUMBER(SEARCH("上",D3948)),ISNUMBER(SEARCH("去",D3948)),ISNUMBER(SEARCH("入",D3948)))),"Ambiguous",IF(ISNUMBER(SEARCH("平",D3948)),"平","仄")))</x:f>
        <x:v>Ambiguous</x:v>
      </x:c>
      <x:c r="L3948" s="7" t="str"/>
    </x:row>
    <x:row r="3949">
      <x:c r="A3949" s="5" t="str">
        <x:v>豝</x:v>
      </x:c>
      <x:c r="B3949" s="6" t="str">
        <x:v>平</x:v>
      </x:c>
      <x:c r="C3949" s="6" t="str">
        <x:f>IF(B3949="","Needs decision","Ready")</x:f>
        <x:v>Ready</x:v>
      </x:c>
      <x:c r="D3949" s="6" t="str">
        <x:v>平</x:v>
      </x:c>
      <x:c r="E3949" s="6" t="str">
        <x:v>pae (A)</x:v>
      </x:c>
      <x:c r="F3949" s="6" t="str">
        <x:v>下平聲六麻</x:v>
      </x:c>
      <x:c r="G3949" s="6" t="str">
        <x:v>Pingshui main list, Wikisource-derived DOCX</x:v>
      </x:c>
      <x:c r="H3949" s="6" t="str">
        <x:v>1</x:v>
      </x:c>
      <x:c r="I3949" s="6" t="str"/>
      <x:c r="J3949" s="6" t="str">
        <x:f>IF(B3949="","",IF(AND(ISNUMBER(SEARCH("平",B3949)),OR(ISNUMBER(SEARCH("上",B3949)),ISNUMBER(SEARCH("去",B3949)),ISNUMBER(SEARCH("入",B3949)))),"Ambiguous",IF(ISNUMBER(SEARCH("平",B3949)),"平","仄")))</x:f>
        <x:v>平</x:v>
      </x:c>
      <x:c r="K3949" s="6" t="str">
        <x:f>IF(D3949="","",IF(AND(ISNUMBER(SEARCH("平",D3949)),OR(ISNUMBER(SEARCH("上",D3949)),ISNUMBER(SEARCH("去",D3949)),ISNUMBER(SEARCH("入",D3949)))),"Ambiguous",IF(ISNUMBER(SEARCH("平",D3949)),"平","仄")))</x:f>
        <x:v>平</x:v>
      </x:c>
      <x:c r="L3949" s="7" t="str"/>
    </x:row>
    <x:row r="3950">
      <x:c r="A3950" s="5" t="str">
        <x:v>象</x:v>
      </x:c>
      <x:c r="B3950" s="6" t="str">
        <x:v>上</x:v>
      </x:c>
      <x:c r="C3950" s="6" t="str">
        <x:f>IF(B3950="","Needs decision","Ready")</x:f>
        <x:v>Ready</x:v>
      </x:c>
      <x:c r="D3950" s="6" t="str">
        <x:v>上</x:v>
      </x:c>
      <x:c r="E3950" s="6" t="str">
        <x:v>zjangX (B)</x:v>
      </x:c>
      <x:c r="F3950" s="6" t="str">
        <x:v>上聲二十二養</x:v>
      </x:c>
      <x:c r="G3950" s="6" t="str">
        <x:v>Pingshui main list, Wikisource-derived DOCX</x:v>
      </x:c>
      <x:c r="H3950" s="6" t="str">
        <x:v>1</x:v>
      </x:c>
      <x:c r="I3950" s="6" t="str"/>
      <x:c r="J3950" s="6" t="str">
        <x:f>IF(B3950="","",IF(AND(ISNUMBER(SEARCH("平",B3950)),OR(ISNUMBER(SEARCH("上",B3950)),ISNUMBER(SEARCH("去",B3950)),ISNUMBER(SEARCH("入",B3950)))),"Ambiguous",IF(ISNUMBER(SEARCH("平",B3950)),"平","仄")))</x:f>
        <x:v>仄</x:v>
      </x:c>
      <x:c r="K3950" s="6" t="str">
        <x:f>IF(D3950="","",IF(AND(ISNUMBER(SEARCH("平",D3950)),OR(ISNUMBER(SEARCH("上",D3950)),ISNUMBER(SEARCH("去",D3950)),ISNUMBER(SEARCH("入",D3950)))),"Ambiguous",IF(ISNUMBER(SEARCH("平",D3950)),"平","仄")))</x:f>
        <x:v>仄</x:v>
      </x:c>
      <x:c r="L3950" s="7" t="str"/>
    </x:row>
    <x:row r="3951">
      <x:c r="A3951" s="5" t="str">
        <x:v>豣</x:v>
      </x:c>
      <x:c r="B3951" s="6" t="str">
        <x:v>平</x:v>
      </x:c>
      <x:c r="C3951" s="6" t="str">
        <x:f>IF(B3951="","Needs decision","Ready")</x:f>
        <x:v>Ready</x:v>
      </x:c>
      <x:c r="D3951" s="6" t="str">
        <x:v>平</x:v>
      </x:c>
      <x:c r="E3951" s="6" t="str">
        <x:v>ken (A)</x:v>
      </x:c>
      <x:c r="F3951" s="6" t="str"/>
      <x:c r="G3951" s="6" t="str"/>
      <x:c r="H3951" s="6" t="str">
        <x:v>1</x:v>
      </x:c>
      <x:c r="I3951" s="6" t="str"/>
      <x:c r="J3951" s="6" t="str">
        <x:f>IF(B3951="","",IF(AND(ISNUMBER(SEARCH("平",B3951)),OR(ISNUMBER(SEARCH("上",B3951)),ISNUMBER(SEARCH("去",B3951)),ISNUMBER(SEARCH("入",B3951)))),"Ambiguous",IF(ISNUMBER(SEARCH("平",B3951)),"平","仄")))</x:f>
        <x:v>平</x:v>
      </x:c>
      <x:c r="K3951" s="6" t="str">
        <x:f>IF(D3951="","",IF(AND(ISNUMBER(SEARCH("平",D3951)),OR(ISNUMBER(SEARCH("上",D3951)),ISNUMBER(SEARCH("去",D3951)),ISNUMBER(SEARCH("入",D3951)))),"Ambiguous",IF(ISNUMBER(SEARCH("平",D3951)),"平","仄")))</x:f>
        <x:v>平</x:v>
      </x:c>
      <x:c r="L3951" s="7" t="str"/>
    </x:row>
    <x:row r="3952">
      <x:c r="A3952" s="5" t="str">
        <x:v>豨</x:v>
      </x:c>
      <x:c r="B3952" s="6" t="str"/>
      <x:c r="C3952" s="6" t="str">
        <x:f>IF(B3952="","Needs decision","Ready")</x:f>
        <x:v>Needs decision</x:v>
      </x:c>
      <x:c r="D3952" s="6" t="str">
        <x:v>平/上</x:v>
      </x:c>
      <x:c r="E3952" s="6" t="str">
        <x:v>xj+j (A); xj+jX (B)</x:v>
      </x:c>
      <x:c r="F3952" s="6" t="str">
        <x:v>上平聲五微</x:v>
      </x:c>
      <x:c r="G3952" s="6" t="str">
        <x:v>Pingshui main list, Wikisource-derived DOCX</x:v>
      </x:c>
      <x:c r="H3952" s="6" t="str">
        <x:v>2</x:v>
      </x:c>
      <x:c r="I3952" s="6" t="str"/>
      <x:c r="J3952" s="6" t="str">
        <x:f>IF(B3952="","",IF(AND(ISNUMBER(SEARCH("平",B3952)),OR(ISNUMBER(SEARCH("上",B3952)),ISNUMBER(SEARCH("去",B3952)),ISNUMBER(SEARCH("入",B3952)))),"Ambiguous",IF(ISNUMBER(SEARCH("平",B3952)),"平","仄")))</x:f>
      </x:c>
      <x:c r="K3952" s="6" t="str">
        <x:f>IF(D3952="","",IF(AND(ISNUMBER(SEARCH("平",D3952)),OR(ISNUMBER(SEARCH("上",D3952)),ISNUMBER(SEARCH("去",D3952)),ISNUMBER(SEARCH("入",D3952)))),"Ambiguous",IF(ISNUMBER(SEARCH("平",D3952)),"平","仄")))</x:f>
        <x:v>Ambiguous</x:v>
      </x:c>
      <x:c r="L3952" s="7" t="str"/>
    </x:row>
    <x:row r="3953">
      <x:c r="A3953" s="5" t="str">
        <x:v>豪</x:v>
      </x:c>
      <x:c r="B3953" s="6" t="str">
        <x:v>平</x:v>
      </x:c>
      <x:c r="C3953" s="6" t="str">
        <x:f>IF(B3953="","Needs decision","Ready")</x:f>
        <x:v>Ready</x:v>
      </x:c>
      <x:c r="D3953" s="6" t="str">
        <x:v>平</x:v>
      </x:c>
      <x:c r="E3953" s="6" t="str">
        <x:v>haw (A)</x:v>
      </x:c>
      <x:c r="F3953" s="6" t="str">
        <x:v>下平聲四豪</x:v>
      </x:c>
      <x:c r="G3953" s="6" t="str">
        <x:v>Pingshui main list, Wikisource-derived DOCX</x:v>
      </x:c>
      <x:c r="H3953" s="6" t="str">
        <x:v>1</x:v>
      </x:c>
      <x:c r="I3953" s="6" t="str"/>
      <x:c r="J3953" s="6" t="str">
        <x:f>IF(B3953="","",IF(AND(ISNUMBER(SEARCH("平",B3953)),OR(ISNUMBER(SEARCH("上",B3953)),ISNUMBER(SEARCH("去",B3953)),ISNUMBER(SEARCH("入",B3953)))),"Ambiguous",IF(ISNUMBER(SEARCH("平",B3953)),"平","仄")))</x:f>
        <x:v>平</x:v>
      </x:c>
      <x:c r="K3953" s="6" t="str">
        <x:f>IF(D3953="","",IF(AND(ISNUMBER(SEARCH("平",D3953)),OR(ISNUMBER(SEARCH("上",D3953)),ISNUMBER(SEARCH("去",D3953)),ISNUMBER(SEARCH("入",D3953)))),"Ambiguous",IF(ISNUMBER(SEARCH("平",D3953)),"平","仄")))</x:f>
        <x:v>平</x:v>
      </x:c>
      <x:c r="L3953" s="7" t="str"/>
    </x:row>
    <x:row r="3954">
      <x:c r="A3954" s="5" t="str">
        <x:v>豫</x:v>
      </x:c>
      <x:c r="B3954" s="6" t="str">
        <x:v>去</x:v>
      </x:c>
      <x:c r="C3954" s="6" t="str">
        <x:f>IF(B3954="","Needs decision","Ready")</x:f>
        <x:v>Ready</x:v>
      </x:c>
      <x:c r="D3954" s="6" t="str">
        <x:v>去</x:v>
      </x:c>
      <x:c r="E3954" s="6" t="str">
        <x:v>yoH (C)</x:v>
      </x:c>
      <x:c r="F3954" s="6" t="str">
        <x:v>去聲六御</x:v>
      </x:c>
      <x:c r="G3954" s="6" t="str">
        <x:v>Pingshui main list, Wikisource-derived DOCX</x:v>
      </x:c>
      <x:c r="H3954" s="6" t="str">
        <x:v>1</x:v>
      </x:c>
      <x:c r="I3954" s="6" t="str"/>
      <x:c r="J3954" s="6" t="str">
        <x:f>IF(B3954="","",IF(AND(ISNUMBER(SEARCH("平",B3954)),OR(ISNUMBER(SEARCH("上",B3954)),ISNUMBER(SEARCH("去",B3954)),ISNUMBER(SEARCH("入",B3954)))),"Ambiguous",IF(ISNUMBER(SEARCH("平",B3954)),"平","仄")))</x:f>
        <x:v>仄</x:v>
      </x:c>
      <x:c r="K3954" s="6" t="str">
        <x:f>IF(D3954="","",IF(AND(ISNUMBER(SEARCH("平",D3954)),OR(ISNUMBER(SEARCH("上",D3954)),ISNUMBER(SEARCH("去",D3954)),ISNUMBER(SEARCH("入",D3954)))),"Ambiguous",IF(ISNUMBER(SEARCH("平",D3954)),"平","仄")))</x:f>
        <x:v>仄</x:v>
      </x:c>
      <x:c r="L3954" s="7" t="str"/>
    </x:row>
    <x:row r="3955">
      <x:c r="A3955" s="5" t="str">
        <x:v>豬</x:v>
      </x:c>
      <x:c r="B3955" s="6" t="str">
        <x:v>平</x:v>
      </x:c>
      <x:c r="C3955" s="6" t="str">
        <x:f>IF(B3955="","Needs decision","Ready")</x:f>
        <x:v>Ready</x:v>
      </x:c>
      <x:c r="D3955" s="6" t="str">
        <x:v>平</x:v>
      </x:c>
      <x:c r="E3955" s="6" t="str">
        <x:v>trjo (A)</x:v>
      </x:c>
      <x:c r="F3955" s="6" t="str">
        <x:v>上平聲六魚; 上聲五尾</x:v>
      </x:c>
      <x:c r="G3955" s="6" t="str">
        <x:v>Pingshui main list, Wikisource-derived DOCX</x:v>
      </x:c>
      <x:c r="H3955" s="6" t="str">
        <x:v>1</x:v>
      </x:c>
      <x:c r="I3955" s="6" t="str"/>
      <x:c r="J3955" s="6" t="str">
        <x:f>IF(B3955="","",IF(AND(ISNUMBER(SEARCH("平",B3955)),OR(ISNUMBER(SEARCH("上",B3955)),ISNUMBER(SEARCH("去",B3955)),ISNUMBER(SEARCH("入",B3955)))),"Ambiguous",IF(ISNUMBER(SEARCH("平",B3955)),"平","仄")))</x:f>
        <x:v>平</x:v>
      </x:c>
      <x:c r="K3955" s="6" t="str">
        <x:f>IF(D3955="","",IF(AND(ISNUMBER(SEARCH("平",D3955)),OR(ISNUMBER(SEARCH("上",D3955)),ISNUMBER(SEARCH("去",D3955)),ISNUMBER(SEARCH("入",D3955)))),"Ambiguous",IF(ISNUMBER(SEARCH("平",D3955)),"平","仄")))</x:f>
        <x:v>平</x:v>
      </x:c>
      <x:c r="L3955" s="7" t="str"/>
    </x:row>
    <x:row r="3956">
      <x:c r="A3956" s="5" t="str">
        <x:v>豭</x:v>
      </x:c>
      <x:c r="B3956" s="6" t="str">
        <x:v>平</x:v>
      </x:c>
      <x:c r="C3956" s="6" t="str">
        <x:f>IF(B3956="","Needs decision","Ready")</x:f>
        <x:v>Ready</x:v>
      </x:c>
      <x:c r="D3956" s="6" t="str">
        <x:v>平</x:v>
      </x:c>
      <x:c r="E3956" s="6" t="str">
        <x:v>kae (A)</x:v>
      </x:c>
      <x:c r="F3956" s="6" t="str">
        <x:v>下平聲六麻</x:v>
      </x:c>
      <x:c r="G3956" s="6" t="str">
        <x:v>Pingshui main list, Wikisource-derived DOCX</x:v>
      </x:c>
      <x:c r="H3956" s="6" t="str">
        <x:v>1</x:v>
      </x:c>
      <x:c r="I3956" s="6" t="str"/>
      <x:c r="J3956" s="6" t="str">
        <x:f>IF(B3956="","",IF(AND(ISNUMBER(SEARCH("平",B3956)),OR(ISNUMBER(SEARCH("上",B3956)),ISNUMBER(SEARCH("去",B3956)),ISNUMBER(SEARCH("入",B3956)))),"Ambiguous",IF(ISNUMBER(SEARCH("平",B3956)),"平","仄")))</x:f>
        <x:v>平</x:v>
      </x:c>
      <x:c r="K3956" s="6" t="str">
        <x:f>IF(D3956="","",IF(AND(ISNUMBER(SEARCH("平",D3956)),OR(ISNUMBER(SEARCH("上",D3956)),ISNUMBER(SEARCH("去",D3956)),ISNUMBER(SEARCH("入",D3956)))),"Ambiguous",IF(ISNUMBER(SEARCH("平",D3956)),"平","仄")))</x:f>
        <x:v>平</x:v>
      </x:c>
      <x:c r="L3956" s="7" t="str"/>
    </x:row>
    <x:row r="3957">
      <x:c r="A3957" s="5" t="str">
        <x:v>豳</x:v>
      </x:c>
      <x:c r="B3957" s="6" t="str">
        <x:v>平</x:v>
      </x:c>
      <x:c r="C3957" s="6" t="str">
        <x:f>IF(B3957="","Needs decision","Ready")</x:f>
        <x:v>Ready</x:v>
      </x:c>
      <x:c r="D3957" s="6" t="str">
        <x:v>平</x:v>
      </x:c>
      <x:c r="E3957" s="6" t="str">
        <x:v>pin (A)</x:v>
      </x:c>
      <x:c r="F3957" s="6" t="str">
        <x:v>上平聲十一真</x:v>
      </x:c>
      <x:c r="G3957" s="6" t="str">
        <x:v>Pingshui main list, Wikisource-derived DOCX</x:v>
      </x:c>
      <x:c r="H3957" s="6" t="str">
        <x:v>1</x:v>
      </x:c>
      <x:c r="I3957" s="6" t="str"/>
      <x:c r="J3957" s="6" t="str">
        <x:f>IF(B3957="","",IF(AND(ISNUMBER(SEARCH("平",B3957)),OR(ISNUMBER(SEARCH("上",B3957)),ISNUMBER(SEARCH("去",B3957)),ISNUMBER(SEARCH("入",B3957)))),"Ambiguous",IF(ISNUMBER(SEARCH("平",B3957)),"平","仄")))</x:f>
        <x:v>平</x:v>
      </x:c>
      <x:c r="K3957" s="6" t="str">
        <x:f>IF(D3957="","",IF(AND(ISNUMBER(SEARCH("平",D3957)),OR(ISNUMBER(SEARCH("上",D3957)),ISNUMBER(SEARCH("去",D3957)),ISNUMBER(SEARCH("入",D3957)))),"Ambiguous",IF(ISNUMBER(SEARCH("平",D3957)),"平","仄")))</x:f>
        <x:v>平</x:v>
      </x:c>
      <x:c r="L3957" s="7" t="str"/>
    </x:row>
    <x:row r="3958">
      <x:c r="A3958" s="5" t="str">
        <x:v>豵</x:v>
      </x:c>
      <x:c r="B3958" s="6" t="str">
        <x:v>平</x:v>
      </x:c>
      <x:c r="C3958" s="6" t="str">
        <x:f>IF(B3958="","Needs decision","Ready")</x:f>
        <x:v>Ready</x:v>
      </x:c>
      <x:c r="D3958" s="6" t="str">
        <x:v>平</x:v>
      </x:c>
      <x:c r="E3958" s="6" t="str">
        <x:v>tsuwng (A)</x:v>
      </x:c>
      <x:c r="F3958" s="6" t="str">
        <x:v>上平聲一東</x:v>
      </x:c>
      <x:c r="G3958" s="6" t="str">
        <x:v>Pingshui main list, Wikisource-derived DOCX</x:v>
      </x:c>
      <x:c r="H3958" s="6" t="str">
        <x:v>1</x:v>
      </x:c>
      <x:c r="I3958" s="6" t="str"/>
      <x:c r="J3958" s="6" t="str">
        <x:f>IF(B3958="","",IF(AND(ISNUMBER(SEARCH("平",B3958)),OR(ISNUMBER(SEARCH("上",B3958)),ISNUMBER(SEARCH("去",B3958)),ISNUMBER(SEARCH("入",B3958)))),"Ambiguous",IF(ISNUMBER(SEARCH("平",B3958)),"平","仄")))</x:f>
        <x:v>平</x:v>
      </x:c>
      <x:c r="K3958" s="6" t="str">
        <x:f>IF(D3958="","",IF(AND(ISNUMBER(SEARCH("平",D3958)),OR(ISNUMBER(SEARCH("上",D3958)),ISNUMBER(SEARCH("去",D3958)),ISNUMBER(SEARCH("入",D3958)))),"Ambiguous",IF(ISNUMBER(SEARCH("平",D3958)),"平","仄")))</x:f>
        <x:v>平</x:v>
      </x:c>
      <x:c r="L3958" s="7" t="str"/>
    </x:row>
    <x:row r="3959">
      <x:c r="A3959" s="5" t="str">
        <x:v>豸</x:v>
      </x:c>
      <x:c r="B3959" s="6" t="str">
        <x:v>上</x:v>
      </x:c>
      <x:c r="C3959" s="6" t="str">
        <x:f>IF(B3959="","Needs decision","Ready")</x:f>
        <x:v>Ready</x:v>
      </x:c>
      <x:c r="D3959" s="6" t="str">
        <x:v>上</x:v>
      </x:c>
      <x:c r="E3959" s="6" t="str">
        <x:v>dreaX (B); drjeX (B)</x:v>
      </x:c>
      <x:c r="F3959" s="6" t="str">
        <x:v>上聲四紙</x:v>
      </x:c>
      <x:c r="G3959" s="6" t="str">
        <x:v>Pingshui main list, Wikisource-derived DOCX</x:v>
      </x:c>
      <x:c r="H3959" s="6" t="str">
        <x:v>2</x:v>
      </x:c>
      <x:c r="I3959" s="6" t="str"/>
      <x:c r="J3959" s="6" t="str">
        <x:f>IF(B3959="","",IF(AND(ISNUMBER(SEARCH("平",B3959)),OR(ISNUMBER(SEARCH("上",B3959)),ISNUMBER(SEARCH("去",B3959)),ISNUMBER(SEARCH("入",B3959)))),"Ambiguous",IF(ISNUMBER(SEARCH("平",B3959)),"平","仄")))</x:f>
        <x:v>仄</x:v>
      </x:c>
      <x:c r="K3959" s="6" t="str">
        <x:f>IF(D3959="","",IF(AND(ISNUMBER(SEARCH("平",D3959)),OR(ISNUMBER(SEARCH("上",D3959)),ISNUMBER(SEARCH("去",D3959)),ISNUMBER(SEARCH("入",D3959)))),"Ambiguous",IF(ISNUMBER(SEARCH("平",D3959)),"平","仄")))</x:f>
        <x:v>仄</x:v>
      </x:c>
      <x:c r="L3959" s="7" t="str"/>
    </x:row>
    <x:row r="3960">
      <x:c r="A3960" s="5" t="str">
        <x:v>豹</x:v>
      </x:c>
      <x:c r="B3960" s="6" t="str">
        <x:v>去</x:v>
      </x:c>
      <x:c r="C3960" s="6" t="str">
        <x:f>IF(B3960="","Needs decision","Ready")</x:f>
        <x:v>Ready</x:v>
      </x:c>
      <x:c r="D3960" s="6" t="str">
        <x:v>去</x:v>
      </x:c>
      <x:c r="E3960" s="6" t="str">
        <x:v>paewH (C)</x:v>
      </x:c>
      <x:c r="F3960" s="6" t="str">
        <x:v>去聲十九效</x:v>
      </x:c>
      <x:c r="G3960" s="6" t="str">
        <x:v>Pingshui main list, Wikisource-derived DOCX</x:v>
      </x:c>
      <x:c r="H3960" s="6" t="str">
        <x:v>1</x:v>
      </x:c>
      <x:c r="I3960" s="6" t="str"/>
      <x:c r="J3960" s="6" t="str">
        <x:f>IF(B3960="","",IF(AND(ISNUMBER(SEARCH("平",B3960)),OR(ISNUMBER(SEARCH("上",B3960)),ISNUMBER(SEARCH("去",B3960)),ISNUMBER(SEARCH("入",B3960)))),"Ambiguous",IF(ISNUMBER(SEARCH("平",B3960)),"平","仄")))</x:f>
        <x:v>仄</x:v>
      </x:c>
      <x:c r="K3960" s="6" t="str">
        <x:f>IF(D3960="","",IF(AND(ISNUMBER(SEARCH("平",D3960)),OR(ISNUMBER(SEARCH("上",D3960)),ISNUMBER(SEARCH("去",D3960)),ISNUMBER(SEARCH("入",D3960)))),"Ambiguous",IF(ISNUMBER(SEARCH("平",D3960)),"平","仄")))</x:f>
        <x:v>仄</x:v>
      </x:c>
      <x:c r="L3960" s="7" t="str"/>
    </x:row>
    <x:row r="3961">
      <x:c r="A3961" s="5" t="str">
        <x:v>豺</x:v>
      </x:c>
      <x:c r="B3961" s="6" t="str">
        <x:v>平</x:v>
      </x:c>
      <x:c r="C3961" s="6" t="str">
        <x:f>IF(B3961="","Needs decision","Ready")</x:f>
        <x:v>Ready</x:v>
      </x:c>
      <x:c r="D3961" s="6" t="str">
        <x:v>平</x:v>
      </x:c>
      <x:c r="E3961" s="6" t="str">
        <x:v>dzreaj (A)</x:v>
      </x:c>
      <x:c r="F3961" s="6" t="str">
        <x:v>上平聲九佳</x:v>
      </x:c>
      <x:c r="G3961" s="6" t="str">
        <x:v>Pingshui main list, Wikisource-derived DOCX</x:v>
      </x:c>
      <x:c r="H3961" s="6" t="str">
        <x:v>1</x:v>
      </x:c>
      <x:c r="I3961" s="6" t="str"/>
      <x:c r="J3961" s="6" t="str">
        <x:f>IF(B3961="","",IF(AND(ISNUMBER(SEARCH("平",B3961)),OR(ISNUMBER(SEARCH("上",B3961)),ISNUMBER(SEARCH("去",B3961)),ISNUMBER(SEARCH("入",B3961)))),"Ambiguous",IF(ISNUMBER(SEARCH("平",B3961)),"平","仄")))</x:f>
        <x:v>平</x:v>
      </x:c>
      <x:c r="K3961" s="6" t="str">
        <x:f>IF(D3961="","",IF(AND(ISNUMBER(SEARCH("平",D3961)),OR(ISNUMBER(SEARCH("上",D3961)),ISNUMBER(SEARCH("去",D3961)),ISNUMBER(SEARCH("入",D3961)))),"Ambiguous",IF(ISNUMBER(SEARCH("平",D3961)),"平","仄")))</x:f>
        <x:v>平</x:v>
      </x:c>
      <x:c r="L3961" s="7" t="str"/>
    </x:row>
    <x:row r="3962">
      <x:c r="A3962" s="5" t="str">
        <x:v>豻</x:v>
      </x:c>
      <x:c r="B3962" s="6" t="str">
        <x:v>去</x:v>
      </x:c>
      <x:c r="C3962" s="6" t="str">
        <x:f>IF(B3962="","Needs decision","Ready")</x:f>
        <x:v>Ready</x:v>
      </x:c>
      <x:c r="D3962" s="6" t="str">
        <x:v>去</x:v>
      </x:c>
      <x:c r="E3962" s="6" t="str">
        <x:v>nganH (C)</x:v>
      </x:c>
      <x:c r="F3962" s="6" t="str">
        <x:v>上平聲十四寒; 上平聲十五刪; 去聲十五翰</x:v>
      </x:c>
      <x:c r="G3962" s="6" t="str">
        <x:v>Pingshui main list, Wikisource-derived DOCX</x:v>
      </x:c>
      <x:c r="H3962" s="6" t="str">
        <x:v>1</x:v>
      </x:c>
      <x:c r="I3962" s="6" t="str"/>
      <x:c r="J3962" s="6" t="str">
        <x:f>IF(B3962="","",IF(AND(ISNUMBER(SEARCH("平",B3962)),OR(ISNUMBER(SEARCH("上",B3962)),ISNUMBER(SEARCH("去",B3962)),ISNUMBER(SEARCH("入",B3962)))),"Ambiguous",IF(ISNUMBER(SEARCH("平",B3962)),"平","仄")))</x:f>
        <x:v>仄</x:v>
      </x:c>
      <x:c r="K3962" s="6" t="str">
        <x:f>IF(D3962="","",IF(AND(ISNUMBER(SEARCH("平",D3962)),OR(ISNUMBER(SEARCH("上",D3962)),ISNUMBER(SEARCH("去",D3962)),ISNUMBER(SEARCH("入",D3962)))),"Ambiguous",IF(ISNUMBER(SEARCH("平",D3962)),"平","仄")))</x:f>
        <x:v>仄</x:v>
      </x:c>
      <x:c r="L3962" s="7" t="str"/>
    </x:row>
    <x:row r="3963">
      <x:c r="A3963" s="5" t="str">
        <x:v>貂</x:v>
      </x:c>
      <x:c r="B3963" s="6" t="str">
        <x:v>平</x:v>
      </x:c>
      <x:c r="C3963" s="6" t="str">
        <x:f>IF(B3963="","Needs decision","Ready")</x:f>
        <x:v>Ready</x:v>
      </x:c>
      <x:c r="D3963" s="6" t="str">
        <x:v>平</x:v>
      </x:c>
      <x:c r="E3963" s="6" t="str">
        <x:v>tew [t̙ew] (平)</x:v>
      </x:c>
      <x:c r="F3963" s="6" t="str">
        <x:v>下平聲二蕭</x:v>
      </x:c>
      <x:c r="G3963" s="6" t="str">
        <x:v>Pingshui main list, Wikisource-derived DOCX</x:v>
      </x:c>
      <x:c r="H3963" s="6" t="str">
        <x:v>1</x:v>
      </x:c>
      <x:c r="I3963" s="6" t="str">
        <x:v>Tang 300 gap; frequency 1; provisional from Xun Gong</x:v>
      </x:c>
      <x:c r="J3963" s="6" t="str">
        <x:f>IF(B3963="","",IF(AND(ISNUMBER(SEARCH("平",B3963)),OR(ISNUMBER(SEARCH("上",B3963)),ISNUMBER(SEARCH("去",B3963)),ISNUMBER(SEARCH("入",B3963)))),"Ambiguous",IF(ISNUMBER(SEARCH("平",B3963)),"平","仄")))</x:f>
        <x:v>平</x:v>
      </x:c>
      <x:c r="K3963" s="6" t="str">
        <x:f>IF(D3963="","",IF(AND(ISNUMBER(SEARCH("平",D3963)),OR(ISNUMBER(SEARCH("上",D3963)),ISNUMBER(SEARCH("去",D3963)),ISNUMBER(SEARCH("入",D3963)))),"Ambiguous",IF(ISNUMBER(SEARCH("平",D3963)),"平","仄")))</x:f>
        <x:v>平</x:v>
      </x:c>
      <x:c r="L3963" s="7" t="str">
        <x:v>Xun Gong, Tang 300 gap fill</x:v>
      </x:c>
    </x:row>
    <x:row r="3964">
      <x:c r="A3964" s="5" t="str">
        <x:v>貆</x:v>
      </x:c>
      <x:c r="B3964" s="6" t="str">
        <x:v>平</x:v>
      </x:c>
      <x:c r="C3964" s="6" t="str">
        <x:f>IF(B3964="","Needs decision","Ready")</x:f>
        <x:v>Ready</x:v>
      </x:c>
      <x:c r="D3964" s="6" t="str">
        <x:v>平</x:v>
      </x:c>
      <x:c r="E3964" s="6" t="str">
        <x:v>xjwon (A)</x:v>
      </x:c>
      <x:c r="F3964" s="6" t="str">
        <x:v>上平聲十三元; 上平聲十四寒</x:v>
      </x:c>
      <x:c r="G3964" s="6" t="str">
        <x:v>Pingshui main list, Wikisource-derived DOCX</x:v>
      </x:c>
      <x:c r="H3964" s="6" t="str">
        <x:v>1</x:v>
      </x:c>
      <x:c r="I3964" s="6" t="str"/>
      <x:c r="J3964" s="6" t="str">
        <x:f>IF(B3964="","",IF(AND(ISNUMBER(SEARCH("平",B3964)),OR(ISNUMBER(SEARCH("上",B3964)),ISNUMBER(SEARCH("去",B3964)),ISNUMBER(SEARCH("入",B3964)))),"Ambiguous",IF(ISNUMBER(SEARCH("平",B3964)),"平","仄")))</x:f>
        <x:v>平</x:v>
      </x:c>
      <x:c r="K3964" s="6" t="str">
        <x:f>IF(D3964="","",IF(AND(ISNUMBER(SEARCH("平",D3964)),OR(ISNUMBER(SEARCH("上",D3964)),ISNUMBER(SEARCH("去",D3964)),ISNUMBER(SEARCH("入",D3964)))),"Ambiguous",IF(ISNUMBER(SEARCH("平",D3964)),"平","仄")))</x:f>
        <x:v>平</x:v>
      </x:c>
      <x:c r="L3964" s="7" t="str"/>
    </x:row>
    <x:row r="3965">
      <x:c r="A3965" s="5" t="str">
        <x:v>貉</x:v>
      </x:c>
      <x:c r="B3965" s="6" t="str">
        <x:v>入</x:v>
      </x:c>
      <x:c r="C3965" s="6" t="str">
        <x:f>IF(B3965="","Needs decision","Ready")</x:f>
        <x:v>Ready</x:v>
      </x:c>
      <x:c r="D3965" s="6" t="str">
        <x:v>入</x:v>
      </x:c>
      <x:c r="E3965" s="6" t="str">
        <x:v>maek (D)</x:v>
      </x:c>
      <x:c r="F3965" s="6" t="str">
        <x:v>入聲十藥</x:v>
      </x:c>
      <x:c r="G3965" s="6" t="str">
        <x:v>Pingshui main list, Wikisource-derived DOCX</x:v>
      </x:c>
      <x:c r="H3965" s="6" t="str">
        <x:v>1</x:v>
      </x:c>
      <x:c r="I3965" s="6" t="str"/>
      <x:c r="J3965" s="6" t="str">
        <x:f>IF(B3965="","",IF(AND(ISNUMBER(SEARCH("平",B3965)),OR(ISNUMBER(SEARCH("上",B3965)),ISNUMBER(SEARCH("去",B3965)),ISNUMBER(SEARCH("入",B3965)))),"Ambiguous",IF(ISNUMBER(SEARCH("平",B3965)),"平","仄")))</x:f>
        <x:v>仄</x:v>
      </x:c>
      <x:c r="K3965" s="6" t="str">
        <x:f>IF(D3965="","",IF(AND(ISNUMBER(SEARCH("平",D3965)),OR(ISNUMBER(SEARCH("上",D3965)),ISNUMBER(SEARCH("去",D3965)),ISNUMBER(SEARCH("入",D3965)))),"Ambiguous",IF(ISNUMBER(SEARCH("平",D3965)),"平","仄")))</x:f>
        <x:v>仄</x:v>
      </x:c>
      <x:c r="L3965" s="7" t="str"/>
    </x:row>
    <x:row r="3966">
      <x:c r="A3966" s="5" t="str">
        <x:v>貌</x:v>
      </x:c>
      <x:c r="B3966" s="6" t="str">
        <x:v>去</x:v>
      </x:c>
      <x:c r="C3966" s="6" t="str">
        <x:f>IF(B3966="","Needs decision","Ready")</x:f>
        <x:v>Ready</x:v>
      </x:c>
      <x:c r="D3966" s="6" t="str">
        <x:v>去</x:v>
      </x:c>
      <x:c r="E3966" s="6" t="str">
        <x:v>maewH (C)</x:v>
      </x:c>
      <x:c r="F3966" s="6" t="str">
        <x:v>去聲十九效</x:v>
      </x:c>
      <x:c r="G3966" s="6" t="str">
        <x:v>Pingshui main list, Wikisource-derived DOCX</x:v>
      </x:c>
      <x:c r="H3966" s="6" t="str">
        <x:v>1</x:v>
      </x:c>
      <x:c r="I3966" s="6" t="str"/>
      <x:c r="J3966" s="6" t="str">
        <x:f>IF(B3966="","",IF(AND(ISNUMBER(SEARCH("平",B3966)),OR(ISNUMBER(SEARCH("上",B3966)),ISNUMBER(SEARCH("去",B3966)),ISNUMBER(SEARCH("入",B3966)))),"Ambiguous",IF(ISNUMBER(SEARCH("平",B3966)),"平","仄")))</x:f>
        <x:v>仄</x:v>
      </x:c>
      <x:c r="K3966" s="6" t="str">
        <x:f>IF(D3966="","",IF(AND(ISNUMBER(SEARCH("平",D3966)),OR(ISNUMBER(SEARCH("上",D3966)),ISNUMBER(SEARCH("去",D3966)),ISNUMBER(SEARCH("入",D3966)))),"Ambiguous",IF(ISNUMBER(SEARCH("平",D3966)),"平","仄")))</x:f>
        <x:v>仄</x:v>
      </x:c>
      <x:c r="L3966" s="7" t="str"/>
    </x:row>
    <x:row r="3967">
      <x:c r="A3967" s="5" t="str">
        <x:v>貍</x:v>
      </x:c>
      <x:c r="B3967" s="6" t="str">
        <x:v>平</x:v>
      </x:c>
      <x:c r="C3967" s="6" t="str">
        <x:f>IF(B3967="","Needs decision","Ready")</x:f>
        <x:v>Ready</x:v>
      </x:c>
      <x:c r="D3967" s="6" t="str">
        <x:v>平</x:v>
      </x:c>
      <x:c r="E3967" s="6" t="str">
        <x:v>li (A)</x:v>
      </x:c>
      <x:c r="F3967" s="6" t="str">
        <x:v>上平聲四支</x:v>
      </x:c>
      <x:c r="G3967" s="6" t="str">
        <x:v>Pingshui main list, Wikisource-derived DOCX</x:v>
      </x:c>
      <x:c r="H3967" s="6" t="str">
        <x:v>1</x:v>
      </x:c>
      <x:c r="I3967" s="6" t="str"/>
      <x:c r="J3967" s="6" t="str">
        <x:f>IF(B3967="","",IF(AND(ISNUMBER(SEARCH("平",B3967)),OR(ISNUMBER(SEARCH("上",B3967)),ISNUMBER(SEARCH("去",B3967)),ISNUMBER(SEARCH("入",B3967)))),"Ambiguous",IF(ISNUMBER(SEARCH("平",B3967)),"平","仄")))</x:f>
        <x:v>平</x:v>
      </x:c>
      <x:c r="K3967" s="6" t="str">
        <x:f>IF(D3967="","",IF(AND(ISNUMBER(SEARCH("平",D3967)),OR(ISNUMBER(SEARCH("上",D3967)),ISNUMBER(SEARCH("去",D3967)),ISNUMBER(SEARCH("入",D3967)))),"Ambiguous",IF(ISNUMBER(SEARCH("平",D3967)),"平","仄")))</x:f>
        <x:v>平</x:v>
      </x:c>
      <x:c r="L3967" s="7" t="str"/>
    </x:row>
    <x:row r="3968">
      <x:c r="A3968" s="5" t="str">
        <x:v>貓</x:v>
      </x:c>
      <x:c r="B3968" s="6" t="str">
        <x:v>平</x:v>
      </x:c>
      <x:c r="C3968" s="6" t="str">
        <x:f>IF(B3968="","Needs decision","Ready")</x:f>
        <x:v>Ready</x:v>
      </x:c>
      <x:c r="D3968" s="6" t="str">
        <x:v>平</x:v>
      </x:c>
      <x:c r="E3968" s="6" t="str">
        <x:v>maew (A)</x:v>
      </x:c>
      <x:c r="F3968" s="6" t="str">
        <x:v>下平聲二蕭</x:v>
      </x:c>
      <x:c r="G3968" s="6" t="str">
        <x:v>Pingshui main list, Wikisource-derived DOCX</x:v>
      </x:c>
      <x:c r="H3968" s="6" t="str">
        <x:v>1</x:v>
      </x:c>
      <x:c r="I3968" s="6" t="str"/>
      <x:c r="J3968" s="6" t="str">
        <x:f>IF(B3968="","",IF(AND(ISNUMBER(SEARCH("平",B3968)),OR(ISNUMBER(SEARCH("上",B3968)),ISNUMBER(SEARCH("去",B3968)),ISNUMBER(SEARCH("入",B3968)))),"Ambiguous",IF(ISNUMBER(SEARCH("平",B3968)),"平","仄")))</x:f>
        <x:v>平</x:v>
      </x:c>
      <x:c r="K3968" s="6" t="str">
        <x:f>IF(D3968="","",IF(AND(ISNUMBER(SEARCH("平",D3968)),OR(ISNUMBER(SEARCH("上",D3968)),ISNUMBER(SEARCH("去",D3968)),ISNUMBER(SEARCH("入",D3968)))),"Ambiguous",IF(ISNUMBER(SEARCH("平",D3968)),"平","仄")))</x:f>
        <x:v>平</x:v>
      </x:c>
      <x:c r="L3968" s="7" t="str"/>
    </x:row>
    <x:row r="3969">
      <x:c r="A3969" s="5" t="str">
        <x:v>貔</x:v>
      </x:c>
      <x:c r="B3969" s="6" t="str">
        <x:v>平</x:v>
      </x:c>
      <x:c r="C3969" s="6" t="str">
        <x:f>IF(B3969="","Needs decision","Ready")</x:f>
        <x:v>Ready</x:v>
      </x:c>
      <x:c r="D3969" s="6" t="str">
        <x:v>平</x:v>
      </x:c>
      <x:c r="E3969" s="6" t="str">
        <x:v>bjij (A)</x:v>
      </x:c>
      <x:c r="F3969" s="6" t="str">
        <x:v>上平聲四支</x:v>
      </x:c>
      <x:c r="G3969" s="6" t="str">
        <x:v>Pingshui main list, Wikisource-derived DOCX</x:v>
      </x:c>
      <x:c r="H3969" s="6" t="str">
        <x:v>1</x:v>
      </x:c>
      <x:c r="I3969" s="6" t="str"/>
      <x:c r="J3969" s="6" t="str">
        <x:f>IF(B3969="","",IF(AND(ISNUMBER(SEARCH("平",B3969)),OR(ISNUMBER(SEARCH("上",B3969)),ISNUMBER(SEARCH("去",B3969)),ISNUMBER(SEARCH("入",B3969)))),"Ambiguous",IF(ISNUMBER(SEARCH("平",B3969)),"平","仄")))</x:f>
        <x:v>平</x:v>
      </x:c>
      <x:c r="K3969" s="6" t="str">
        <x:f>IF(D3969="","",IF(AND(ISNUMBER(SEARCH("平",D3969)),OR(ISNUMBER(SEARCH("上",D3969)),ISNUMBER(SEARCH("去",D3969)),ISNUMBER(SEARCH("入",D3969)))),"Ambiguous",IF(ISNUMBER(SEARCH("平",D3969)),"平","仄")))</x:f>
        <x:v>平</x:v>
      </x:c>
      <x:c r="L3969" s="7" t="str"/>
    </x:row>
    <x:row r="3970">
      <x:c r="A3970" s="5" t="str">
        <x:v>貙</x:v>
      </x:c>
      <x:c r="B3970" s="6" t="str">
        <x:v>平</x:v>
      </x:c>
      <x:c r="C3970" s="6" t="str">
        <x:f>IF(B3970="","Needs decision","Ready")</x:f>
        <x:v>Ready</x:v>
      </x:c>
      <x:c r="D3970" s="6" t="str">
        <x:v>平</x:v>
      </x:c>
      <x:c r="E3970" s="6" t="str">
        <x:v>trhju [ʈʰjo] (平)</x:v>
      </x:c>
      <x:c r="F3970" s="6" t="str">
        <x:v>上平聲七虞</x:v>
      </x:c>
      <x:c r="G3970" s="6" t="str">
        <x:v>Pingshui main list, Wikisource-derived DOCX</x:v>
      </x:c>
      <x:c r="H3970" s="6" t="str">
        <x:v>1</x:v>
      </x:c>
      <x:c r="I3970" s="6" t="str">
        <x:v>Tang 300 gap; frequency 2; provisional from Xun Gong</x:v>
      </x:c>
      <x:c r="J3970" s="6" t="str">
        <x:f>IF(B3970="","",IF(AND(ISNUMBER(SEARCH("平",B3970)),OR(ISNUMBER(SEARCH("上",B3970)),ISNUMBER(SEARCH("去",B3970)),ISNUMBER(SEARCH("入",B3970)))),"Ambiguous",IF(ISNUMBER(SEARCH("平",B3970)),"平","仄")))</x:f>
        <x:v>平</x:v>
      </x:c>
      <x:c r="K3970" s="6" t="str">
        <x:f>IF(D3970="","",IF(AND(ISNUMBER(SEARCH("平",D3970)),OR(ISNUMBER(SEARCH("上",D3970)),ISNUMBER(SEARCH("去",D3970)),ISNUMBER(SEARCH("入",D3970)))),"Ambiguous",IF(ISNUMBER(SEARCH("平",D3970)),"平","仄")))</x:f>
        <x:v>平</x:v>
      </x:c>
      <x:c r="L3970" s="7" t="str">
        <x:v>Xun Gong, Tang 300 gap fill</x:v>
      </x:c>
    </x:row>
    <x:row r="3971">
      <x:c r="A3971" s="5" t="str">
        <x:v>貝</x:v>
      </x:c>
      <x:c r="B3971" s="6" t="str">
        <x:v>去</x:v>
      </x:c>
      <x:c r="C3971" s="6" t="str">
        <x:f>IF(B3971="","Needs decision","Ready")</x:f>
        <x:v>Ready</x:v>
      </x:c>
      <x:c r="D3971" s="6" t="str">
        <x:v>去</x:v>
      </x:c>
      <x:c r="E3971" s="6" t="str">
        <x:v>pajH (C)</x:v>
      </x:c>
      <x:c r="F3971" s="6" t="str">
        <x:v>去聲九泰</x:v>
      </x:c>
      <x:c r="G3971" s="6" t="str">
        <x:v>Pingshui main list, Wikisource-derived DOCX</x:v>
      </x:c>
      <x:c r="H3971" s="6" t="str">
        <x:v>1</x:v>
      </x:c>
      <x:c r="I3971" s="6" t="str"/>
      <x:c r="J3971" s="6" t="str">
        <x:f>IF(B3971="","",IF(AND(ISNUMBER(SEARCH("平",B3971)),OR(ISNUMBER(SEARCH("上",B3971)),ISNUMBER(SEARCH("去",B3971)),ISNUMBER(SEARCH("入",B3971)))),"Ambiguous",IF(ISNUMBER(SEARCH("平",B3971)),"平","仄")))</x:f>
        <x:v>仄</x:v>
      </x:c>
      <x:c r="K3971" s="6" t="str">
        <x:f>IF(D3971="","",IF(AND(ISNUMBER(SEARCH("平",D3971)),OR(ISNUMBER(SEARCH("上",D3971)),ISNUMBER(SEARCH("去",D3971)),ISNUMBER(SEARCH("入",D3971)))),"Ambiguous",IF(ISNUMBER(SEARCH("平",D3971)),"平","仄")))</x:f>
        <x:v>仄</x:v>
      </x:c>
      <x:c r="L3971" s="7" t="str"/>
    </x:row>
    <x:row r="3972">
      <x:c r="A3972" s="5" t="str">
        <x:v>貞</x:v>
      </x:c>
      <x:c r="B3972" s="6" t="str">
        <x:v>平</x:v>
      </x:c>
      <x:c r="C3972" s="6" t="str">
        <x:f>IF(B3972="","Needs decision","Ready")</x:f>
        <x:v>Ready</x:v>
      </x:c>
      <x:c r="D3972" s="6" t="str">
        <x:v>平</x:v>
      </x:c>
      <x:c r="E3972" s="6" t="str">
        <x:v>trjeng (A)</x:v>
      </x:c>
      <x:c r="F3972" s="6" t="str">
        <x:v>下平聲八庚</x:v>
      </x:c>
      <x:c r="G3972" s="6" t="str">
        <x:v>Pingshui main list, Wikisource-derived DOCX</x:v>
      </x:c>
      <x:c r="H3972" s="6" t="str">
        <x:v>1</x:v>
      </x:c>
      <x:c r="I3972" s="6" t="str"/>
      <x:c r="J3972" s="6" t="str">
        <x:f>IF(B3972="","",IF(AND(ISNUMBER(SEARCH("平",B3972)),OR(ISNUMBER(SEARCH("上",B3972)),ISNUMBER(SEARCH("去",B3972)),ISNUMBER(SEARCH("入",B3972)))),"Ambiguous",IF(ISNUMBER(SEARCH("平",B3972)),"平","仄")))</x:f>
        <x:v>平</x:v>
      </x:c>
      <x:c r="K3972" s="6" t="str">
        <x:f>IF(D3972="","",IF(AND(ISNUMBER(SEARCH("平",D3972)),OR(ISNUMBER(SEARCH("上",D3972)),ISNUMBER(SEARCH("去",D3972)),ISNUMBER(SEARCH("入",D3972)))),"Ambiguous",IF(ISNUMBER(SEARCH("平",D3972)),"平","仄")))</x:f>
        <x:v>平</x:v>
      </x:c>
      <x:c r="L3972" s="7" t="str"/>
    </x:row>
    <x:row r="3973">
      <x:c r="A3973" s="5" t="str">
        <x:v>負</x:v>
      </x:c>
      <x:c r="B3973" s="6" t="str">
        <x:v>上</x:v>
      </x:c>
      <x:c r="C3973" s="6" t="str">
        <x:f>IF(B3973="","Needs decision","Ready")</x:f>
        <x:v>Ready</x:v>
      </x:c>
      <x:c r="D3973" s="6" t="str">
        <x:v>上</x:v>
      </x:c>
      <x:c r="E3973" s="6" t="str">
        <x:v>bjuwX (B)</x:v>
      </x:c>
      <x:c r="F3973" s="6" t="str">
        <x:v>上聲二十五有</x:v>
      </x:c>
      <x:c r="G3973" s="6" t="str">
        <x:v>Pingshui main list, Wikisource-derived DOCX</x:v>
      </x:c>
      <x:c r="H3973" s="6" t="str">
        <x:v>1</x:v>
      </x:c>
      <x:c r="I3973" s="6" t="str"/>
      <x:c r="J3973" s="6" t="str">
        <x:f>IF(B3973="","",IF(AND(ISNUMBER(SEARCH("平",B3973)),OR(ISNUMBER(SEARCH("上",B3973)),ISNUMBER(SEARCH("去",B3973)),ISNUMBER(SEARCH("入",B3973)))),"Ambiguous",IF(ISNUMBER(SEARCH("平",B3973)),"平","仄")))</x:f>
        <x:v>仄</x:v>
      </x:c>
      <x:c r="K3973" s="6" t="str">
        <x:f>IF(D3973="","",IF(AND(ISNUMBER(SEARCH("平",D3973)),OR(ISNUMBER(SEARCH("上",D3973)),ISNUMBER(SEARCH("去",D3973)),ISNUMBER(SEARCH("入",D3973)))),"Ambiguous",IF(ISNUMBER(SEARCH("平",D3973)),"平","仄")))</x:f>
        <x:v>仄</x:v>
      </x:c>
      <x:c r="L3973" s="7" t="str"/>
    </x:row>
    <x:row r="3974">
      <x:c r="A3974" s="5" t="str">
        <x:v>財</x:v>
      </x:c>
      <x:c r="B3974" s="6" t="str">
        <x:v>平</x:v>
      </x:c>
      <x:c r="C3974" s="6" t="str">
        <x:f>IF(B3974="","Needs decision","Ready")</x:f>
        <x:v>Ready</x:v>
      </x:c>
      <x:c r="D3974" s="6" t="str">
        <x:v>平</x:v>
      </x:c>
      <x:c r="E3974" s="6" t="str">
        <x:v>dzoj (A)</x:v>
      </x:c>
      <x:c r="F3974" s="6" t="str">
        <x:v>上平聲十灰</x:v>
      </x:c>
      <x:c r="G3974" s="6" t="str">
        <x:v>Pingshui main list, Wikisource-derived DOCX</x:v>
      </x:c>
      <x:c r="H3974" s="6" t="str">
        <x:v>1</x:v>
      </x:c>
      <x:c r="I3974" s="6" t="str"/>
      <x:c r="J3974" s="6" t="str">
        <x:f>IF(B3974="","",IF(AND(ISNUMBER(SEARCH("平",B3974)),OR(ISNUMBER(SEARCH("上",B3974)),ISNUMBER(SEARCH("去",B3974)),ISNUMBER(SEARCH("入",B3974)))),"Ambiguous",IF(ISNUMBER(SEARCH("平",B3974)),"平","仄")))</x:f>
        <x:v>平</x:v>
      </x:c>
      <x:c r="K3974" s="6" t="str">
        <x:f>IF(D3974="","",IF(AND(ISNUMBER(SEARCH("平",D3974)),OR(ISNUMBER(SEARCH("上",D3974)),ISNUMBER(SEARCH("去",D3974)),ISNUMBER(SEARCH("入",D3974)))),"Ambiguous",IF(ISNUMBER(SEARCH("平",D3974)),"平","仄")))</x:f>
        <x:v>平</x:v>
      </x:c>
      <x:c r="L3974" s="7" t="str"/>
    </x:row>
    <x:row r="3975">
      <x:c r="A3975" s="5" t="str">
        <x:v>貢</x:v>
      </x:c>
      <x:c r="B3975" s="6" t="str">
        <x:v>去</x:v>
      </x:c>
      <x:c r="C3975" s="6" t="str">
        <x:f>IF(B3975="","Needs decision","Ready")</x:f>
        <x:v>Ready</x:v>
      </x:c>
      <x:c r="D3975" s="6" t="str">
        <x:v>去</x:v>
      </x:c>
      <x:c r="E3975" s="6" t="str">
        <x:v>kuwngH (C)</x:v>
      </x:c>
      <x:c r="F3975" s="6" t="str">
        <x:v>去聲一送</x:v>
      </x:c>
      <x:c r="G3975" s="6" t="str">
        <x:v>Pingshui main list, Wikisource-derived DOCX</x:v>
      </x:c>
      <x:c r="H3975" s="6" t="str">
        <x:v>1</x:v>
      </x:c>
      <x:c r="I3975" s="6" t="str"/>
      <x:c r="J3975" s="6" t="str">
        <x:f>IF(B3975="","",IF(AND(ISNUMBER(SEARCH("平",B3975)),OR(ISNUMBER(SEARCH("上",B3975)),ISNUMBER(SEARCH("去",B3975)),ISNUMBER(SEARCH("入",B3975)))),"Ambiguous",IF(ISNUMBER(SEARCH("平",B3975)),"平","仄")))</x:f>
        <x:v>仄</x:v>
      </x:c>
      <x:c r="K3975" s="6" t="str">
        <x:f>IF(D3975="","",IF(AND(ISNUMBER(SEARCH("平",D3975)),OR(ISNUMBER(SEARCH("上",D3975)),ISNUMBER(SEARCH("去",D3975)),ISNUMBER(SEARCH("入",D3975)))),"Ambiguous",IF(ISNUMBER(SEARCH("平",D3975)),"平","仄")))</x:f>
        <x:v>仄</x:v>
      </x:c>
      <x:c r="L3975" s="7" t="str"/>
    </x:row>
    <x:row r="3976">
      <x:c r="A3976" s="5" t="str">
        <x:v>貧</x:v>
      </x:c>
      <x:c r="B3976" s="6" t="str">
        <x:v>平</x:v>
      </x:c>
      <x:c r="C3976" s="6" t="str">
        <x:f>IF(B3976="","Needs decision","Ready")</x:f>
        <x:v>Ready</x:v>
      </x:c>
      <x:c r="D3976" s="6" t="str">
        <x:v>平</x:v>
      </x:c>
      <x:c r="E3976" s="6" t="str">
        <x:v>bin (A)</x:v>
      </x:c>
      <x:c r="F3976" s="6" t="str">
        <x:v>上平聲十一真</x:v>
      </x:c>
      <x:c r="G3976" s="6" t="str">
        <x:v>Pingshui main list, Wikisource-derived DOCX</x:v>
      </x:c>
      <x:c r="H3976" s="6" t="str">
        <x:v>1</x:v>
      </x:c>
      <x:c r="I3976" s="6" t="str"/>
      <x:c r="J3976" s="6" t="str">
        <x:f>IF(B3976="","",IF(AND(ISNUMBER(SEARCH("平",B3976)),OR(ISNUMBER(SEARCH("上",B3976)),ISNUMBER(SEARCH("去",B3976)),ISNUMBER(SEARCH("入",B3976)))),"Ambiguous",IF(ISNUMBER(SEARCH("平",B3976)),"平","仄")))</x:f>
        <x:v>平</x:v>
      </x:c>
      <x:c r="K3976" s="6" t="str">
        <x:f>IF(D3976="","",IF(AND(ISNUMBER(SEARCH("平",D3976)),OR(ISNUMBER(SEARCH("上",D3976)),ISNUMBER(SEARCH("去",D3976)),ISNUMBER(SEARCH("入",D3976)))),"Ambiguous",IF(ISNUMBER(SEARCH("平",D3976)),"平","仄")))</x:f>
        <x:v>平</x:v>
      </x:c>
      <x:c r="L3976" s="7" t="str"/>
    </x:row>
    <x:row r="3977">
      <x:c r="A3977" s="5" t="str">
        <x:v>貨</x:v>
      </x:c>
      <x:c r="B3977" s="6" t="str">
        <x:v>去</x:v>
      </x:c>
      <x:c r="C3977" s="6" t="str">
        <x:f>IF(B3977="","Needs decision","Ready")</x:f>
        <x:v>Ready</x:v>
      </x:c>
      <x:c r="D3977" s="6" t="str">
        <x:v>去</x:v>
      </x:c>
      <x:c r="E3977" s="6" t="str">
        <x:v>xwaH (C)</x:v>
      </x:c>
      <x:c r="F3977" s="6" t="str">
        <x:v>去聲二十一箇</x:v>
      </x:c>
      <x:c r="G3977" s="6" t="str">
        <x:v>Pingshui main list, Wikisource-derived DOCX</x:v>
      </x:c>
      <x:c r="H3977" s="6" t="str">
        <x:v>1</x:v>
      </x:c>
      <x:c r="I3977" s="6" t="str"/>
      <x:c r="J3977" s="6" t="str">
        <x:f>IF(B3977="","",IF(AND(ISNUMBER(SEARCH("平",B3977)),OR(ISNUMBER(SEARCH("上",B3977)),ISNUMBER(SEARCH("去",B3977)),ISNUMBER(SEARCH("入",B3977)))),"Ambiguous",IF(ISNUMBER(SEARCH("平",B3977)),"平","仄")))</x:f>
        <x:v>仄</x:v>
      </x:c>
      <x:c r="K3977" s="6" t="str">
        <x:f>IF(D3977="","",IF(AND(ISNUMBER(SEARCH("平",D3977)),OR(ISNUMBER(SEARCH("上",D3977)),ISNUMBER(SEARCH("去",D3977)),ISNUMBER(SEARCH("入",D3977)))),"Ambiguous",IF(ISNUMBER(SEARCH("平",D3977)),"平","仄")))</x:f>
        <x:v>仄</x:v>
      </x:c>
      <x:c r="L3977" s="7" t="str"/>
    </x:row>
    <x:row r="3978">
      <x:c r="A3978" s="5" t="str">
        <x:v>貪</x:v>
      </x:c>
      <x:c r="B3978" s="6" t="str">
        <x:v>平</x:v>
      </x:c>
      <x:c r="C3978" s="6" t="str">
        <x:f>IF(B3978="","Needs decision","Ready")</x:f>
        <x:v>Ready</x:v>
      </x:c>
      <x:c r="D3978" s="6" t="str">
        <x:v>平</x:v>
      </x:c>
      <x:c r="E3978" s="6" t="str">
        <x:v>thom (A)</x:v>
      </x:c>
      <x:c r="F3978" s="6" t="str">
        <x:v>下平聲十三覃</x:v>
      </x:c>
      <x:c r="G3978" s="6" t="str">
        <x:v>Pingshui main list, Wikisource-derived DOCX</x:v>
      </x:c>
      <x:c r="H3978" s="6" t="str">
        <x:v>1</x:v>
      </x:c>
      <x:c r="I3978" s="6" t="str"/>
      <x:c r="J3978" s="6" t="str">
        <x:f>IF(B3978="","",IF(AND(ISNUMBER(SEARCH("平",B3978)),OR(ISNUMBER(SEARCH("上",B3978)),ISNUMBER(SEARCH("去",B3978)),ISNUMBER(SEARCH("入",B3978)))),"Ambiguous",IF(ISNUMBER(SEARCH("平",B3978)),"平","仄")))</x:f>
        <x:v>平</x:v>
      </x:c>
      <x:c r="K3978" s="6" t="str">
        <x:f>IF(D3978="","",IF(AND(ISNUMBER(SEARCH("平",D3978)),OR(ISNUMBER(SEARCH("上",D3978)),ISNUMBER(SEARCH("去",D3978)),ISNUMBER(SEARCH("入",D3978)))),"Ambiguous",IF(ISNUMBER(SEARCH("平",D3978)),"平","仄")))</x:f>
        <x:v>平</x:v>
      </x:c>
      <x:c r="L3978" s="7" t="str"/>
    </x:row>
    <x:row r="3979">
      <x:c r="A3979" s="5" t="str">
        <x:v>貫</x:v>
      </x:c>
      <x:c r="B3979" s="6" t="str">
        <x:v>去</x:v>
      </x:c>
      <x:c r="C3979" s="6" t="str">
        <x:f>IF(B3979="","Needs decision","Ready")</x:f>
        <x:v>Ready</x:v>
      </x:c>
      <x:c r="D3979" s="6" t="str">
        <x:v>平/去</x:v>
      </x:c>
      <x:c r="E3979" s="6" t="str">
        <x:v>kwan (A); kwanH (C)</x:v>
      </x:c>
      <x:c r="F3979" s="6" t="str">
        <x:v>去聲十五翰</x:v>
      </x:c>
      <x:c r="G3979" s="6" t="str">
        <x:v>Pingshui main list, Wikisource-derived DOCX</x:v>
      </x:c>
      <x:c r="H3979" s="6" t="str">
        <x:v>2</x:v>
      </x:c>
      <x:c r="I3979" s="6" t="str">
        <x:v>User workbook edit 2026-09-03</x:v>
      </x:c>
      <x:c r="J3979" s="6" t="str">
        <x:f>IF(B3979="","",IF(AND(ISNUMBER(SEARCH("平",B3979)),OR(ISNUMBER(SEARCH("上",B3979)),ISNUMBER(SEARCH("去",B3979)),ISNUMBER(SEARCH("入",B3979)))),"Ambiguous",IF(ISNUMBER(SEARCH("平",B3979)),"平","仄")))</x:f>
        <x:v>仄</x:v>
      </x:c>
      <x:c r="K3979" s="6" t="str">
        <x:f>IF(D3979="","",IF(AND(ISNUMBER(SEARCH("平",D3979)),OR(ISNUMBER(SEARCH("上",D3979)),ISNUMBER(SEARCH("去",D3979)),ISNUMBER(SEARCH("入",D3979)))),"Ambiguous",IF(ISNUMBER(SEARCH("平",D3979)),"平","仄")))</x:f>
        <x:v>Ambiguous</x:v>
      </x:c>
      <x:c r="L3979" s="7" t="str">
        <x:v>manual user correction</x:v>
      </x:c>
    </x:row>
    <x:row r="3980">
      <x:c r="A3980" s="5" t="str">
        <x:v>責</x:v>
      </x:c>
      <x:c r="B3980" s="6" t="str"/>
      <x:c r="C3980" s="6" t="str">
        <x:f>IF(B3980="","Needs decision","Ready")</x:f>
        <x:v>Needs decision</x:v>
      </x:c>
      <x:c r="D3980" s="6" t="str">
        <x:v>去/入</x:v>
      </x:c>
      <x:c r="E3980" s="6" t="str">
        <x:v>tsreak (D); tsreaH (C)</x:v>
      </x:c>
      <x:c r="F3980" s="6" t="str">
        <x:v>入聲十一陌</x:v>
      </x:c>
      <x:c r="G3980" s="6" t="str">
        <x:v>Pingshui main list, Wikisource-derived DOCX</x:v>
      </x:c>
      <x:c r="H3980" s="6" t="str">
        <x:v>2</x:v>
      </x:c>
      <x:c r="I3980" s="6" t="str"/>
      <x:c r="J3980" s="6" t="str">
        <x:f>IF(B3980="","",IF(AND(ISNUMBER(SEARCH("平",B3980)),OR(ISNUMBER(SEARCH("上",B3980)),ISNUMBER(SEARCH("去",B3980)),ISNUMBER(SEARCH("入",B3980)))),"Ambiguous",IF(ISNUMBER(SEARCH("平",B3980)),"平","仄")))</x:f>
      </x:c>
      <x:c r="K3980" s="6" t="str">
        <x:f>IF(D3980="","",IF(AND(ISNUMBER(SEARCH("平",D3980)),OR(ISNUMBER(SEARCH("上",D3980)),ISNUMBER(SEARCH("去",D3980)),ISNUMBER(SEARCH("入",D3980)))),"Ambiguous",IF(ISNUMBER(SEARCH("平",D3980)),"平","仄")))</x:f>
        <x:v>仄</x:v>
      </x:c>
      <x:c r="L3980" s="7" t="str"/>
    </x:row>
    <x:row r="3981">
      <x:c r="A3981" s="5" t="str">
        <x:v>貯</x:v>
      </x:c>
      <x:c r="B3981" s="6" t="str">
        <x:v>上</x:v>
      </x:c>
      <x:c r="C3981" s="6" t="str">
        <x:f>IF(B3981="","Needs decision","Ready")</x:f>
        <x:v>Ready</x:v>
      </x:c>
      <x:c r="D3981" s="6" t="str">
        <x:v>上</x:v>
      </x:c>
      <x:c r="E3981" s="6" t="str">
        <x:v>trjoX [ʈjəʔ] (上)</x:v>
      </x:c>
      <x:c r="F3981" s="6" t="str">
        <x:v>上聲六語</x:v>
      </x:c>
      <x:c r="G3981" s="6" t="str">
        <x:v>Pingshui main list, Wikisource-derived DOCX</x:v>
      </x:c>
      <x:c r="H3981" s="6" t="str">
        <x:v>1</x:v>
      </x:c>
      <x:c r="I3981" s="6" t="str">
        <x:v>Tang 300 gap; frequency 1; provisional from Xun Gong</x:v>
      </x:c>
      <x:c r="J3981" s="6" t="str">
        <x:f>IF(B3981="","",IF(AND(ISNUMBER(SEARCH("平",B3981)),OR(ISNUMBER(SEARCH("上",B3981)),ISNUMBER(SEARCH("去",B3981)),ISNUMBER(SEARCH("入",B3981)))),"Ambiguous",IF(ISNUMBER(SEARCH("平",B3981)),"平","仄")))</x:f>
        <x:v>仄</x:v>
      </x:c>
      <x:c r="K3981" s="6" t="str">
        <x:f>IF(D3981="","",IF(AND(ISNUMBER(SEARCH("平",D3981)),OR(ISNUMBER(SEARCH("上",D3981)),ISNUMBER(SEARCH("去",D3981)),ISNUMBER(SEARCH("入",D3981)))),"Ambiguous",IF(ISNUMBER(SEARCH("平",D3981)),"平","仄")))</x:f>
        <x:v>仄</x:v>
      </x:c>
      <x:c r="L3981" s="7" t="str">
        <x:v>Xun Gong, Tang 300 gap fill</x:v>
      </x:c>
    </x:row>
    <x:row r="3982">
      <x:c r="A3982" s="5" t="str">
        <x:v>貰</x:v>
      </x:c>
      <x:c r="B3982" s="6" t="str">
        <x:v>去</x:v>
      </x:c>
      <x:c r="C3982" s="6" t="str">
        <x:f>IF(B3982="","Needs decision","Ready")</x:f>
        <x:v>Ready</x:v>
      </x:c>
      <x:c r="D3982" s="6" t="str">
        <x:v>去</x:v>
      </x:c>
      <x:c r="E3982" s="6" t="str">
        <x:v>syejH (C)</x:v>
      </x:c>
      <x:c r="F3982" s="6" t="str">
        <x:v>去聲八霽; 去聲二十二禡</x:v>
      </x:c>
      <x:c r="G3982" s="6" t="str">
        <x:v>Pingshui main list, Wikisource-derived DOCX</x:v>
      </x:c>
      <x:c r="H3982" s="6" t="str">
        <x:v>1</x:v>
      </x:c>
      <x:c r="I3982" s="6" t="str"/>
      <x:c r="J3982" s="6" t="str">
        <x:f>IF(B3982="","",IF(AND(ISNUMBER(SEARCH("平",B3982)),OR(ISNUMBER(SEARCH("上",B3982)),ISNUMBER(SEARCH("去",B3982)),ISNUMBER(SEARCH("入",B3982)))),"Ambiguous",IF(ISNUMBER(SEARCH("平",B3982)),"平","仄")))</x:f>
        <x:v>仄</x:v>
      </x:c>
      <x:c r="K3982" s="6" t="str">
        <x:f>IF(D3982="","",IF(AND(ISNUMBER(SEARCH("平",D3982)),OR(ISNUMBER(SEARCH("上",D3982)),ISNUMBER(SEARCH("去",D3982)),ISNUMBER(SEARCH("入",D3982)))),"Ambiguous",IF(ISNUMBER(SEARCH("平",D3982)),"平","仄")))</x:f>
        <x:v>仄</x:v>
      </x:c>
      <x:c r="L3982" s="7" t="str"/>
    </x:row>
    <x:row r="3983">
      <x:c r="A3983" s="5" t="str">
        <x:v>貳</x:v>
      </x:c>
      <x:c r="B3983" s="6" t="str">
        <x:v>去</x:v>
      </x:c>
      <x:c r="C3983" s="6" t="str">
        <x:f>IF(B3983="","Needs decision","Ready")</x:f>
        <x:v>Ready</x:v>
      </x:c>
      <x:c r="D3983" s="6" t="str">
        <x:v>去</x:v>
      </x:c>
      <x:c r="E3983" s="6" t="str">
        <x:v>nyijH (C)</x:v>
      </x:c>
      <x:c r="F3983" s="6" t="str">
        <x:v>去聲四寘</x:v>
      </x:c>
      <x:c r="G3983" s="6" t="str">
        <x:v>Pingshui main list, Wikisource-derived DOCX</x:v>
      </x:c>
      <x:c r="H3983" s="6" t="str">
        <x:v>1</x:v>
      </x:c>
      <x:c r="I3983" s="6" t="str"/>
      <x:c r="J3983" s="6" t="str">
        <x:f>IF(B3983="","",IF(AND(ISNUMBER(SEARCH("平",B3983)),OR(ISNUMBER(SEARCH("上",B3983)),ISNUMBER(SEARCH("去",B3983)),ISNUMBER(SEARCH("入",B3983)))),"Ambiguous",IF(ISNUMBER(SEARCH("平",B3983)),"平","仄")))</x:f>
        <x:v>仄</x:v>
      </x:c>
      <x:c r="K3983" s="6" t="str">
        <x:f>IF(D3983="","",IF(AND(ISNUMBER(SEARCH("平",D3983)),OR(ISNUMBER(SEARCH("上",D3983)),ISNUMBER(SEARCH("去",D3983)),ISNUMBER(SEARCH("入",D3983)))),"Ambiguous",IF(ISNUMBER(SEARCH("平",D3983)),"平","仄")))</x:f>
        <x:v>仄</x:v>
      </x:c>
      <x:c r="L3983" s="7" t="str"/>
    </x:row>
    <x:row r="3984">
      <x:c r="A3984" s="5" t="str">
        <x:v>貴</x:v>
      </x:c>
      <x:c r="B3984" s="6" t="str">
        <x:v>去</x:v>
      </x:c>
      <x:c r="C3984" s="6" t="str">
        <x:f>IF(B3984="","Needs decision","Ready")</x:f>
        <x:v>Ready</x:v>
      </x:c>
      <x:c r="D3984" s="6" t="str">
        <x:v>去</x:v>
      </x:c>
      <x:c r="E3984" s="6" t="str">
        <x:v>kjw+jH (C)</x:v>
      </x:c>
      <x:c r="F3984" s="6" t="str">
        <x:v>去聲五未</x:v>
      </x:c>
      <x:c r="G3984" s="6" t="str">
        <x:v>Pingshui main list, Wikisource-derived DOCX</x:v>
      </x:c>
      <x:c r="H3984" s="6" t="str">
        <x:v>1</x:v>
      </x:c>
      <x:c r="I3984" s="6" t="str"/>
      <x:c r="J3984" s="6" t="str">
        <x:f>IF(B3984="","",IF(AND(ISNUMBER(SEARCH("平",B3984)),OR(ISNUMBER(SEARCH("上",B3984)),ISNUMBER(SEARCH("去",B3984)),ISNUMBER(SEARCH("入",B3984)))),"Ambiguous",IF(ISNUMBER(SEARCH("平",B3984)),"平","仄")))</x:f>
        <x:v>仄</x:v>
      </x:c>
      <x:c r="K3984" s="6" t="str">
        <x:f>IF(D3984="","",IF(AND(ISNUMBER(SEARCH("平",D3984)),OR(ISNUMBER(SEARCH("上",D3984)),ISNUMBER(SEARCH("去",D3984)),ISNUMBER(SEARCH("入",D3984)))),"Ambiguous",IF(ISNUMBER(SEARCH("平",D3984)),"平","仄")))</x:f>
        <x:v>仄</x:v>
      </x:c>
      <x:c r="L3984" s="7" t="str"/>
    </x:row>
    <x:row r="3985">
      <x:c r="A3985" s="5" t="str">
        <x:v>貶</x:v>
      </x:c>
      <x:c r="B3985" s="6" t="str">
        <x:v>上</x:v>
      </x:c>
      <x:c r="C3985" s="6" t="str">
        <x:f>IF(B3985="","Needs decision","Ready")</x:f>
        <x:v>Ready</x:v>
      </x:c>
      <x:c r="D3985" s="6" t="str">
        <x:v>上</x:v>
      </x:c>
      <x:c r="E3985" s="6" t="str">
        <x:v>pjemX (B)</x:v>
      </x:c>
      <x:c r="F3985" s="6" t="str">
        <x:v>上聲二十八琰</x:v>
      </x:c>
      <x:c r="G3985" s="6" t="str">
        <x:v>Pingshui main list, Wikisource-derived DOCX</x:v>
      </x:c>
      <x:c r="H3985" s="6" t="str">
        <x:v>1</x:v>
      </x:c>
      <x:c r="I3985" s="6" t="str"/>
      <x:c r="J3985" s="6" t="str">
        <x:f>IF(B3985="","",IF(AND(ISNUMBER(SEARCH("平",B3985)),OR(ISNUMBER(SEARCH("上",B3985)),ISNUMBER(SEARCH("去",B3985)),ISNUMBER(SEARCH("入",B3985)))),"Ambiguous",IF(ISNUMBER(SEARCH("平",B3985)),"平","仄")))</x:f>
        <x:v>仄</x:v>
      </x:c>
      <x:c r="K3985" s="6" t="str">
        <x:f>IF(D3985="","",IF(AND(ISNUMBER(SEARCH("平",D3985)),OR(ISNUMBER(SEARCH("上",D3985)),ISNUMBER(SEARCH("去",D3985)),ISNUMBER(SEARCH("入",D3985)))),"Ambiguous",IF(ISNUMBER(SEARCH("平",D3985)),"平","仄")))</x:f>
        <x:v>仄</x:v>
      </x:c>
      <x:c r="L3985" s="7" t="str"/>
    </x:row>
    <x:row r="3986">
      <x:c r="A3986" s="5" t="str">
        <x:v>買</x:v>
      </x:c>
      <x:c r="B3986" s="6" t="str">
        <x:v>上</x:v>
      </x:c>
      <x:c r="C3986" s="6" t="str">
        <x:f>IF(B3986="","Needs decision","Ready")</x:f>
        <x:v>Ready</x:v>
      </x:c>
      <x:c r="D3986" s="6" t="str">
        <x:v>上</x:v>
      </x:c>
      <x:c r="E3986" s="6" t="str">
        <x:v>meaX (B)</x:v>
      </x:c>
      <x:c r="F3986" s="6" t="str">
        <x:v>上聲九蟹</x:v>
      </x:c>
      <x:c r="G3986" s="6" t="str">
        <x:v>Pingshui main list, Wikisource-derived DOCX</x:v>
      </x:c>
      <x:c r="H3986" s="6" t="str">
        <x:v>1</x:v>
      </x:c>
      <x:c r="I3986" s="6" t="str"/>
      <x:c r="J3986" s="6" t="str">
        <x:f>IF(B3986="","",IF(AND(ISNUMBER(SEARCH("平",B3986)),OR(ISNUMBER(SEARCH("上",B3986)),ISNUMBER(SEARCH("去",B3986)),ISNUMBER(SEARCH("入",B3986)))),"Ambiguous",IF(ISNUMBER(SEARCH("平",B3986)),"平","仄")))</x:f>
        <x:v>仄</x:v>
      </x:c>
      <x:c r="K3986" s="6" t="str">
        <x:f>IF(D3986="","",IF(AND(ISNUMBER(SEARCH("平",D3986)),OR(ISNUMBER(SEARCH("上",D3986)),ISNUMBER(SEARCH("去",D3986)),ISNUMBER(SEARCH("入",D3986)))),"Ambiguous",IF(ISNUMBER(SEARCH("平",D3986)),"平","仄")))</x:f>
        <x:v>仄</x:v>
      </x:c>
      <x:c r="L3986" s="7" t="str"/>
    </x:row>
    <x:row r="3987">
      <x:c r="A3987" s="5" t="str">
        <x:v>貸</x:v>
      </x:c>
      <x:c r="B3987" s="6" t="str">
        <x:v>去</x:v>
      </x:c>
      <x:c r="C3987" s="6" t="str">
        <x:f>IF(B3987="","Needs decision","Ready")</x:f>
        <x:v>Ready</x:v>
      </x:c>
      <x:c r="D3987" s="6" t="str">
        <x:v>去</x:v>
      </x:c>
      <x:c r="E3987" s="6" t="str">
        <x:v>thojH (C)</x:v>
      </x:c>
      <x:c r="F3987" s="6" t="str">
        <x:v>去聲十一隊</x:v>
      </x:c>
      <x:c r="G3987" s="6" t="str">
        <x:v>Pingshui main list, Wikisource-derived DOCX</x:v>
      </x:c>
      <x:c r="H3987" s="6" t="str">
        <x:v>1</x:v>
      </x:c>
      <x:c r="I3987" s="6" t="str"/>
      <x:c r="J3987" s="6" t="str">
        <x:f>IF(B3987="","",IF(AND(ISNUMBER(SEARCH("平",B3987)),OR(ISNUMBER(SEARCH("上",B3987)),ISNUMBER(SEARCH("去",B3987)),ISNUMBER(SEARCH("入",B3987)))),"Ambiguous",IF(ISNUMBER(SEARCH("平",B3987)),"平","仄")))</x:f>
        <x:v>仄</x:v>
      </x:c>
      <x:c r="K3987" s="6" t="str">
        <x:f>IF(D3987="","",IF(AND(ISNUMBER(SEARCH("平",D3987)),OR(ISNUMBER(SEARCH("上",D3987)),ISNUMBER(SEARCH("去",D3987)),ISNUMBER(SEARCH("入",D3987)))),"Ambiguous",IF(ISNUMBER(SEARCH("平",D3987)),"平","仄")))</x:f>
        <x:v>仄</x:v>
      </x:c>
      <x:c r="L3987" s="7" t="str"/>
    </x:row>
    <x:row r="3988">
      <x:c r="A3988" s="5" t="str">
        <x:v>費</x:v>
      </x:c>
      <x:c r="B3988" s="6" t="str">
        <x:v>去</x:v>
      </x:c>
      <x:c r="C3988" s="6" t="str">
        <x:f>IF(B3988="","Needs decision","Ready")</x:f>
        <x:v>Ready</x:v>
      </x:c>
      <x:c r="D3988" s="6" t="str">
        <x:v>去</x:v>
      </x:c>
      <x:c r="E3988" s="6" t="str">
        <x:v>phj+jH (C)</x:v>
      </x:c>
      <x:c r="F3988" s="6" t="str">
        <x:v>去聲五未</x:v>
      </x:c>
      <x:c r="G3988" s="6" t="str">
        <x:v>Pingshui main list, Wikisource-derived DOCX</x:v>
      </x:c>
      <x:c r="H3988" s="6" t="str">
        <x:v>1</x:v>
      </x:c>
      <x:c r="I3988" s="6" t="str"/>
      <x:c r="J3988" s="6" t="str">
        <x:f>IF(B3988="","",IF(AND(ISNUMBER(SEARCH("平",B3988)),OR(ISNUMBER(SEARCH("上",B3988)),ISNUMBER(SEARCH("去",B3988)),ISNUMBER(SEARCH("入",B3988)))),"Ambiguous",IF(ISNUMBER(SEARCH("平",B3988)),"平","仄")))</x:f>
        <x:v>仄</x:v>
      </x:c>
      <x:c r="K3988" s="6" t="str">
        <x:f>IF(D3988="","",IF(AND(ISNUMBER(SEARCH("平",D3988)),OR(ISNUMBER(SEARCH("上",D3988)),ISNUMBER(SEARCH("去",D3988)),ISNUMBER(SEARCH("入",D3988)))),"Ambiguous",IF(ISNUMBER(SEARCH("平",D3988)),"平","仄")))</x:f>
        <x:v>仄</x:v>
      </x:c>
      <x:c r="L3988" s="7" t="str"/>
    </x:row>
    <x:row r="3989">
      <x:c r="A3989" s="5" t="str">
        <x:v>貼</x:v>
      </x:c>
      <x:c r="B3989" s="6" t="str">
        <x:v>入</x:v>
      </x:c>
      <x:c r="C3989" s="6" t="str">
        <x:f>IF(B3989="","Needs decision","Ready")</x:f>
        <x:v>Ready</x:v>
      </x:c>
      <x:c r="D3989" s="6" t="str">
        <x:v>入</x:v>
      </x:c>
      <x:c r="E3989" s="6" t="str">
        <x:v>thep (D)</x:v>
      </x:c>
      <x:c r="F3989" s="6" t="str">
        <x:v>入聲十六葉</x:v>
      </x:c>
      <x:c r="G3989" s="6" t="str">
        <x:v>Pingshui main list, Wikisource-derived DOCX</x:v>
      </x:c>
      <x:c r="H3989" s="6" t="str">
        <x:v>1</x:v>
      </x:c>
      <x:c r="I3989" s="6" t="str"/>
      <x:c r="J3989" s="6" t="str">
        <x:f>IF(B3989="","",IF(AND(ISNUMBER(SEARCH("平",B3989)),OR(ISNUMBER(SEARCH("上",B3989)),ISNUMBER(SEARCH("去",B3989)),ISNUMBER(SEARCH("入",B3989)))),"Ambiguous",IF(ISNUMBER(SEARCH("平",B3989)),"平","仄")))</x:f>
        <x:v>仄</x:v>
      </x:c>
      <x:c r="K3989" s="6" t="str">
        <x:f>IF(D3989="","",IF(AND(ISNUMBER(SEARCH("平",D3989)),OR(ISNUMBER(SEARCH("上",D3989)),ISNUMBER(SEARCH("去",D3989)),ISNUMBER(SEARCH("入",D3989)))),"Ambiguous",IF(ISNUMBER(SEARCH("平",D3989)),"平","仄")))</x:f>
        <x:v>仄</x:v>
      </x:c>
      <x:c r="L3989" s="7" t="str"/>
    </x:row>
    <x:row r="3990">
      <x:c r="A3990" s="5" t="str">
        <x:v>貽</x:v>
      </x:c>
      <x:c r="B3990" s="6" t="str">
        <x:v>平</x:v>
      </x:c>
      <x:c r="C3990" s="6" t="str">
        <x:f>IF(B3990="","Needs decision","Ready")</x:f>
        <x:v>Ready</x:v>
      </x:c>
      <x:c r="D3990" s="6" t="str">
        <x:v>平</x:v>
      </x:c>
      <x:c r="E3990" s="6" t="str">
        <x:v>yi (A)</x:v>
      </x:c>
      <x:c r="F3990" s="6" t="str">
        <x:v>上平聲四支</x:v>
      </x:c>
      <x:c r="G3990" s="6" t="str">
        <x:v>Pingshui main list, Wikisource-derived DOCX</x:v>
      </x:c>
      <x:c r="H3990" s="6" t="str">
        <x:v>1</x:v>
      </x:c>
      <x:c r="I3990" s="6" t="str"/>
      <x:c r="J3990" s="6" t="str">
        <x:f>IF(B3990="","",IF(AND(ISNUMBER(SEARCH("平",B3990)),OR(ISNUMBER(SEARCH("上",B3990)),ISNUMBER(SEARCH("去",B3990)),ISNUMBER(SEARCH("入",B3990)))),"Ambiguous",IF(ISNUMBER(SEARCH("平",B3990)),"平","仄")))</x:f>
        <x:v>平</x:v>
      </x:c>
      <x:c r="K3990" s="6" t="str">
        <x:f>IF(D3990="","",IF(AND(ISNUMBER(SEARCH("平",D3990)),OR(ISNUMBER(SEARCH("上",D3990)),ISNUMBER(SEARCH("去",D3990)),ISNUMBER(SEARCH("入",D3990)))),"Ambiguous",IF(ISNUMBER(SEARCH("平",D3990)),"平","仄")))</x:f>
        <x:v>平</x:v>
      </x:c>
      <x:c r="L3990" s="7" t="str"/>
    </x:row>
    <x:row r="3991">
      <x:c r="A3991" s="5" t="str">
        <x:v>貿</x:v>
      </x:c>
      <x:c r="B3991" s="6" t="str">
        <x:v>去</x:v>
      </x:c>
      <x:c r="C3991" s="6" t="str">
        <x:f>IF(B3991="","Needs decision","Ready")</x:f>
        <x:v>Ready</x:v>
      </x:c>
      <x:c r="D3991" s="6" t="str">
        <x:v>去</x:v>
      </x:c>
      <x:c r="E3991" s="6" t="str">
        <x:v>muwH (C)</x:v>
      </x:c>
      <x:c r="F3991" s="6" t="str">
        <x:v>去聲二十六宥</x:v>
      </x:c>
      <x:c r="G3991" s="6" t="str">
        <x:v>Pingshui main list, Wikisource-derived DOCX</x:v>
      </x:c>
      <x:c r="H3991" s="6" t="str">
        <x:v>1</x:v>
      </x:c>
      <x:c r="I3991" s="6" t="str"/>
      <x:c r="J3991" s="6" t="str">
        <x:f>IF(B3991="","",IF(AND(ISNUMBER(SEARCH("平",B3991)),OR(ISNUMBER(SEARCH("上",B3991)),ISNUMBER(SEARCH("去",B3991)),ISNUMBER(SEARCH("入",B3991)))),"Ambiguous",IF(ISNUMBER(SEARCH("平",B3991)),"平","仄")))</x:f>
        <x:v>仄</x:v>
      </x:c>
      <x:c r="K3991" s="6" t="str">
        <x:f>IF(D3991="","",IF(AND(ISNUMBER(SEARCH("平",D3991)),OR(ISNUMBER(SEARCH("上",D3991)),ISNUMBER(SEARCH("去",D3991)),ISNUMBER(SEARCH("入",D3991)))),"Ambiguous",IF(ISNUMBER(SEARCH("平",D3991)),"平","仄")))</x:f>
        <x:v>仄</x:v>
      </x:c>
      <x:c r="L3991" s="7" t="str"/>
    </x:row>
    <x:row r="3992">
      <x:c r="A3992" s="5" t="str">
        <x:v>賀</x:v>
      </x:c>
      <x:c r="B3992" s="6" t="str">
        <x:v>去</x:v>
      </x:c>
      <x:c r="C3992" s="6" t="str">
        <x:f>IF(B3992="","Needs decision","Ready")</x:f>
        <x:v>Ready</x:v>
      </x:c>
      <x:c r="D3992" s="6" t="str">
        <x:v>去</x:v>
      </x:c>
      <x:c r="E3992" s="6" t="str">
        <x:v>haH (C)</x:v>
      </x:c>
      <x:c r="F3992" s="6" t="str">
        <x:v>去聲二十一箇</x:v>
      </x:c>
      <x:c r="G3992" s="6" t="str">
        <x:v>Pingshui main list, Wikisource-derived DOCX</x:v>
      </x:c>
      <x:c r="H3992" s="6" t="str">
        <x:v>1</x:v>
      </x:c>
      <x:c r="I3992" s="6" t="str"/>
      <x:c r="J3992" s="6" t="str">
        <x:f>IF(B3992="","",IF(AND(ISNUMBER(SEARCH("平",B3992)),OR(ISNUMBER(SEARCH("上",B3992)),ISNUMBER(SEARCH("去",B3992)),ISNUMBER(SEARCH("入",B3992)))),"Ambiguous",IF(ISNUMBER(SEARCH("平",B3992)),"平","仄")))</x:f>
        <x:v>仄</x:v>
      </x:c>
      <x:c r="K3992" s="6" t="str">
        <x:f>IF(D3992="","",IF(AND(ISNUMBER(SEARCH("平",D3992)),OR(ISNUMBER(SEARCH("上",D3992)),ISNUMBER(SEARCH("去",D3992)),ISNUMBER(SEARCH("入",D3992)))),"Ambiguous",IF(ISNUMBER(SEARCH("平",D3992)),"平","仄")))</x:f>
        <x:v>仄</x:v>
      </x:c>
      <x:c r="L3992" s="7" t="str"/>
    </x:row>
    <x:row r="3993">
      <x:c r="A3993" s="5" t="str">
        <x:v>賁</x:v>
      </x:c>
      <x:c r="B3993" s="6" t="str"/>
      <x:c r="C3993" s="6" t="str">
        <x:f>IF(B3993="","Needs decision","Ready")</x:f>
        <x:v>Needs decision</x:v>
      </x:c>
      <x:c r="D3993" s="6" t="str">
        <x:v>平/去</x:v>
      </x:c>
      <x:c r="E3993" s="6" t="str">
        <x:v>pwon (A); pjeH (C); bjun (A)</x:v>
      </x:c>
      <x:c r="F3993" s="6" t="str">
        <x:v>上平聲十二文; 上平聲十三元; 去聲四寘</x:v>
      </x:c>
      <x:c r="G3993" s="6" t="str">
        <x:v>Pingshui main list, Wikisource-derived DOCX</x:v>
      </x:c>
      <x:c r="H3993" s="6" t="str">
        <x:v>3</x:v>
      </x:c>
      <x:c r="I3993" s="6" t="str"/>
      <x:c r="J3993" s="6" t="str">
        <x:f>IF(B3993="","",IF(AND(ISNUMBER(SEARCH("平",B3993)),OR(ISNUMBER(SEARCH("上",B3993)),ISNUMBER(SEARCH("去",B3993)),ISNUMBER(SEARCH("入",B3993)))),"Ambiguous",IF(ISNUMBER(SEARCH("平",B3993)),"平","仄")))</x:f>
      </x:c>
      <x:c r="K3993" s="6" t="str">
        <x:f>IF(D3993="","",IF(AND(ISNUMBER(SEARCH("平",D3993)),OR(ISNUMBER(SEARCH("上",D3993)),ISNUMBER(SEARCH("去",D3993)),ISNUMBER(SEARCH("入",D3993)))),"Ambiguous",IF(ISNUMBER(SEARCH("平",D3993)),"平","仄")))</x:f>
        <x:v>Ambiguous</x:v>
      </x:c>
      <x:c r="L3993" s="7" t="str"/>
    </x:row>
    <x:row r="3994">
      <x:c r="A3994" s="5" t="str">
        <x:v>賂</x:v>
      </x:c>
      <x:c r="B3994" s="6" t="str">
        <x:v>去</x:v>
      </x:c>
      <x:c r="C3994" s="6" t="str">
        <x:f>IF(B3994="","Needs decision","Ready")</x:f>
        <x:v>Ready</x:v>
      </x:c>
      <x:c r="D3994" s="6" t="str">
        <x:v>去</x:v>
      </x:c>
      <x:c r="E3994" s="6" t="str">
        <x:v>luH (C)</x:v>
      </x:c>
      <x:c r="F3994" s="6" t="str">
        <x:v>去聲七遇</x:v>
      </x:c>
      <x:c r="G3994" s="6" t="str">
        <x:v>Pingshui main list, Wikisource-derived DOCX</x:v>
      </x:c>
      <x:c r="H3994" s="6" t="str">
        <x:v>1</x:v>
      </x:c>
      <x:c r="I3994" s="6" t="str"/>
      <x:c r="J3994" s="6" t="str">
        <x:f>IF(B3994="","",IF(AND(ISNUMBER(SEARCH("平",B3994)),OR(ISNUMBER(SEARCH("上",B3994)),ISNUMBER(SEARCH("去",B3994)),ISNUMBER(SEARCH("入",B3994)))),"Ambiguous",IF(ISNUMBER(SEARCH("平",B3994)),"平","仄")))</x:f>
        <x:v>仄</x:v>
      </x:c>
      <x:c r="K3994" s="6" t="str">
        <x:f>IF(D3994="","",IF(AND(ISNUMBER(SEARCH("平",D3994)),OR(ISNUMBER(SEARCH("上",D3994)),ISNUMBER(SEARCH("去",D3994)),ISNUMBER(SEARCH("入",D3994)))),"Ambiguous",IF(ISNUMBER(SEARCH("平",D3994)),"平","仄")))</x:f>
        <x:v>仄</x:v>
      </x:c>
      <x:c r="L3994" s="7" t="str"/>
    </x:row>
    <x:row r="3995">
      <x:c r="A3995" s="5" t="str">
        <x:v>賄</x:v>
      </x:c>
      <x:c r="B3995" s="6" t="str">
        <x:v>上</x:v>
      </x:c>
      <x:c r="C3995" s="6" t="str">
        <x:f>IF(B3995="","Needs decision","Ready")</x:f>
        <x:v>Ready</x:v>
      </x:c>
      <x:c r="D3995" s="6" t="str">
        <x:v>上</x:v>
      </x:c>
      <x:c r="E3995" s="6" t="str">
        <x:v>xwojX (B)</x:v>
      </x:c>
      <x:c r="F3995" s="6" t="str">
        <x:v>上聲十賄</x:v>
      </x:c>
      <x:c r="G3995" s="6" t="str">
        <x:v>Pingshui main list, Wikisource-derived DOCX</x:v>
      </x:c>
      <x:c r="H3995" s="6" t="str">
        <x:v>1</x:v>
      </x:c>
      <x:c r="I3995" s="6" t="str"/>
      <x:c r="J3995" s="6" t="str">
        <x:f>IF(B3995="","",IF(AND(ISNUMBER(SEARCH("平",B3995)),OR(ISNUMBER(SEARCH("上",B3995)),ISNUMBER(SEARCH("去",B3995)),ISNUMBER(SEARCH("入",B3995)))),"Ambiguous",IF(ISNUMBER(SEARCH("平",B3995)),"平","仄")))</x:f>
        <x:v>仄</x:v>
      </x:c>
      <x:c r="K3995" s="6" t="str">
        <x:f>IF(D3995="","",IF(AND(ISNUMBER(SEARCH("平",D3995)),OR(ISNUMBER(SEARCH("上",D3995)),ISNUMBER(SEARCH("去",D3995)),ISNUMBER(SEARCH("入",D3995)))),"Ambiguous",IF(ISNUMBER(SEARCH("平",D3995)),"平","仄")))</x:f>
        <x:v>仄</x:v>
      </x:c>
      <x:c r="L3995" s="7" t="str"/>
    </x:row>
    <x:row r="3996">
      <x:c r="A3996" s="5" t="str">
        <x:v>資</x:v>
      </x:c>
      <x:c r="B3996" s="6" t="str">
        <x:v>平</x:v>
      </x:c>
      <x:c r="C3996" s="6" t="str">
        <x:f>IF(B3996="","Needs decision","Ready")</x:f>
        <x:v>Ready</x:v>
      </x:c>
      <x:c r="D3996" s="6" t="str">
        <x:v>平</x:v>
      </x:c>
      <x:c r="E3996" s="6" t="str">
        <x:v>tsij (A)</x:v>
      </x:c>
      <x:c r="F3996" s="6" t="str">
        <x:v>上平聲四支</x:v>
      </x:c>
      <x:c r="G3996" s="6" t="str">
        <x:v>Pingshui main list, Wikisource-derived DOCX</x:v>
      </x:c>
      <x:c r="H3996" s="6" t="str">
        <x:v>1</x:v>
      </x:c>
      <x:c r="I3996" s="6" t="str"/>
      <x:c r="J3996" s="6" t="str">
        <x:f>IF(B3996="","",IF(AND(ISNUMBER(SEARCH("平",B3996)),OR(ISNUMBER(SEARCH("上",B3996)),ISNUMBER(SEARCH("去",B3996)),ISNUMBER(SEARCH("入",B3996)))),"Ambiguous",IF(ISNUMBER(SEARCH("平",B3996)),"平","仄")))</x:f>
        <x:v>平</x:v>
      </x:c>
      <x:c r="K3996" s="6" t="str">
        <x:f>IF(D3996="","",IF(AND(ISNUMBER(SEARCH("平",D3996)),OR(ISNUMBER(SEARCH("上",D3996)),ISNUMBER(SEARCH("去",D3996)),ISNUMBER(SEARCH("入",D3996)))),"Ambiguous",IF(ISNUMBER(SEARCH("平",D3996)),"平","仄")))</x:f>
        <x:v>平</x:v>
      </x:c>
      <x:c r="L3996" s="7" t="str"/>
    </x:row>
    <x:row r="3997">
      <x:c r="A3997" s="5" t="str">
        <x:v>賈</x:v>
      </x:c>
      <x:c r="B3997" s="6" t="str">
        <x:v>上</x:v>
      </x:c>
      <x:c r="C3997" s="6" t="str">
        <x:f>IF(B3997="","Needs decision","Ready")</x:f>
        <x:v>Ready</x:v>
      </x:c>
      <x:c r="D3997" s="6" t="str">
        <x:v>上/去</x:v>
      </x:c>
      <x:c r="E3997" s="6" t="str">
        <x:v>kuX (B); kaeH (C)</x:v>
      </x:c>
      <x:c r="F3997" s="6" t="str">
        <x:v>上聲七麌; 上聲二十一馬</x:v>
      </x:c>
      <x:c r="G3997" s="6" t="str">
        <x:v>Pingshui main list, Wikisource-derived DOCX</x:v>
      </x:c>
      <x:c r="H3997" s="6" t="str">
        <x:v>2</x:v>
      </x:c>
      <x:c r="I3997" s="6" t="str">
        <x:v>User correction 2026-09-08</x:v>
      </x:c>
      <x:c r="J3997" s="6" t="str">
        <x:f>IF(B3997="","",IF(AND(ISNUMBER(SEARCH("平",B3997)),OR(ISNUMBER(SEARCH("上",B3997)),ISNUMBER(SEARCH("去",B3997)),ISNUMBER(SEARCH("入",B3997)))),"Ambiguous",IF(ISNUMBER(SEARCH("平",B3997)),"平","仄")))</x:f>
        <x:v>仄</x:v>
      </x:c>
      <x:c r="K3997" s="6" t="str">
        <x:f>IF(D3997="","",IF(AND(ISNUMBER(SEARCH("平",D3997)),OR(ISNUMBER(SEARCH("上",D3997)),ISNUMBER(SEARCH("去",D3997)),ISNUMBER(SEARCH("入",D3997)))),"Ambiguous",IF(ISNUMBER(SEARCH("平",D3997)),"平","仄")))</x:f>
        <x:v>仄</x:v>
      </x:c>
      <x:c r="L3997" s="7" t="str"/>
    </x:row>
    <x:row r="3998">
      <x:c r="A3998" s="5" t="str">
        <x:v>賊</x:v>
      </x:c>
      <x:c r="B3998" s="6" t="str">
        <x:v>入</x:v>
      </x:c>
      <x:c r="C3998" s="6" t="str">
        <x:f>IF(B3998="","Needs decision","Ready")</x:f>
        <x:v>Ready</x:v>
      </x:c>
      <x:c r="D3998" s="6" t="str">
        <x:v>入</x:v>
      </x:c>
      <x:c r="E3998" s="6" t="str">
        <x:v>dzok (D)</x:v>
      </x:c>
      <x:c r="F3998" s="6" t="str">
        <x:v>入聲十三職</x:v>
      </x:c>
      <x:c r="G3998" s="6" t="str">
        <x:v>Pingshui main list, Wikisource-derived DOCX</x:v>
      </x:c>
      <x:c r="H3998" s="6" t="str">
        <x:v>1</x:v>
      </x:c>
      <x:c r="I3998" s="6" t="str"/>
      <x:c r="J3998" s="6" t="str">
        <x:f>IF(B3998="","",IF(AND(ISNUMBER(SEARCH("平",B3998)),OR(ISNUMBER(SEARCH("上",B3998)),ISNUMBER(SEARCH("去",B3998)),ISNUMBER(SEARCH("入",B3998)))),"Ambiguous",IF(ISNUMBER(SEARCH("平",B3998)),"平","仄")))</x:f>
        <x:v>仄</x:v>
      </x:c>
      <x:c r="K3998" s="6" t="str">
        <x:f>IF(D3998="","",IF(AND(ISNUMBER(SEARCH("平",D3998)),OR(ISNUMBER(SEARCH("上",D3998)),ISNUMBER(SEARCH("去",D3998)),ISNUMBER(SEARCH("入",D3998)))),"Ambiguous",IF(ISNUMBER(SEARCH("平",D3998)),"平","仄")))</x:f>
        <x:v>仄</x:v>
      </x:c>
      <x:c r="L3998" s="7" t="str"/>
    </x:row>
    <x:row r="3999">
      <x:c r="A3999" s="5" t="str">
        <x:v>賑</x:v>
      </x:c>
      <x:c r="B3999" s="6" t="str"/>
      <x:c r="C3999" s="6" t="str">
        <x:f>IF(B3999="","Needs decision","Ready")</x:f>
        <x:v>Needs decision</x:v>
      </x:c>
      <x:c r="D3999" s="6" t="str">
        <x:v>上/去</x:v>
      </x:c>
      <x:c r="E3999" s="6" t="str">
        <x:v>tsyinX [章開三真上] tɕinʔ; tsyinH [章開三真去] tɕinh</x:v>
      </x:c>
      <x:c r="F3999" s="6" t="str">
        <x:v>上聲十一軫; 去聲十二震</x:v>
      </x:c>
      <x:c r="G3999" s="6" t="str">
        <x:v>Pingshui main list, Wikisource-derived DOCX</x:v>
      </x:c>
      <x:c r="H3999" s="6" t="str">
        <x:v>2</x:v>
      </x:c>
      <x:c r="I3999" s="6" t="str">
        <x:v>Targeted preliminary fill from Xun Gong; review if uncertain</x:v>
      </x:c>
      <x:c r="J3999" s="6" t="str">
        <x:f>IF(B3999="","",IF(AND(ISNUMBER(SEARCH("平",B3999)),OR(ISNUMBER(SEARCH("上",B3999)),ISNUMBER(SEARCH("去",B3999)),ISNUMBER(SEARCH("入",B3999)))),"Ambiguous",IF(ISNUMBER(SEARCH("平",B3999)),"平","仄")))</x:f>
      </x:c>
      <x:c r="K3999" s="6" t="str">
        <x:f>IF(D3999="","",IF(AND(ISNUMBER(SEARCH("平",D3999)),OR(ISNUMBER(SEARCH("上",D3999)),ISNUMBER(SEARCH("去",D3999)),ISNUMBER(SEARCH("入",D3999)))),"Ambiguous",IF(ISNUMBER(SEARCH("平",D3999)),"平","仄")))</x:f>
        <x:v>仄</x:v>
      </x:c>
      <x:c r="L3999" s="7" t="str">
        <x:v>Xun Gong character-readings.csv</x:v>
      </x:c>
    </x:row>
    <x:row r="4000">
      <x:c r="A4000" s="5" t="str">
        <x:v>賒</x:v>
      </x:c>
      <x:c r="B4000" s="6" t="str">
        <x:v>平</x:v>
      </x:c>
      <x:c r="C4000" s="6" t="str">
        <x:f>IF(B4000="","Needs decision","Ready")</x:f>
        <x:v>Ready</x:v>
      </x:c>
      <x:c r="D4000" s="6" t="str">
        <x:v>平</x:v>
      </x:c>
      <x:c r="E4000" s="6" t="str">
        <x:v>syae (A)</x:v>
      </x:c>
      <x:c r="F4000" s="6" t="str">
        <x:v>下平聲六麻</x:v>
      </x:c>
      <x:c r="G4000" s="6" t="str">
        <x:v>Pingshui main list, Wikisource-derived DOCX</x:v>
      </x:c>
      <x:c r="H4000" s="6" t="str">
        <x:v>1</x:v>
      </x:c>
      <x:c r="I4000" s="6" t="str"/>
      <x:c r="J4000" s="6" t="str">
        <x:f>IF(B4000="","",IF(AND(ISNUMBER(SEARCH("平",B4000)),OR(ISNUMBER(SEARCH("上",B4000)),ISNUMBER(SEARCH("去",B4000)),ISNUMBER(SEARCH("入",B4000)))),"Ambiguous",IF(ISNUMBER(SEARCH("平",B4000)),"平","仄")))</x:f>
        <x:v>平</x:v>
      </x:c>
      <x:c r="K4000" s="6" t="str">
        <x:f>IF(D4000="","",IF(AND(ISNUMBER(SEARCH("平",D4000)),OR(ISNUMBER(SEARCH("上",D4000)),ISNUMBER(SEARCH("去",D4000)),ISNUMBER(SEARCH("入",D4000)))),"Ambiguous",IF(ISNUMBER(SEARCH("平",D4000)),"平","仄")))</x:f>
        <x:v>平</x:v>
      </x:c>
      <x:c r="L4000" s="7" t="str"/>
    </x:row>
    <x:row r="4001">
      <x:c r="A4001" s="5" t="str">
        <x:v>賓</x:v>
      </x:c>
      <x:c r="B4001" s="6" t="str">
        <x:v>平</x:v>
      </x:c>
      <x:c r="C4001" s="6" t="str">
        <x:f>IF(B4001="","Needs decision","Ready")</x:f>
        <x:v>Ready</x:v>
      </x:c>
      <x:c r="D4001" s="6" t="str">
        <x:v>平</x:v>
      </x:c>
      <x:c r="E4001" s="6" t="str">
        <x:v>pjin (A)</x:v>
      </x:c>
      <x:c r="F4001" s="6" t="str">
        <x:v>上平聲十一真</x:v>
      </x:c>
      <x:c r="G4001" s="6" t="str">
        <x:v>Pingshui main list, Wikisource-derived DOCX</x:v>
      </x:c>
      <x:c r="H4001" s="6" t="str">
        <x:v>1</x:v>
      </x:c>
      <x:c r="I4001" s="6" t="str"/>
      <x:c r="J4001" s="6" t="str">
        <x:f>IF(B4001="","",IF(AND(ISNUMBER(SEARCH("平",B4001)),OR(ISNUMBER(SEARCH("上",B4001)),ISNUMBER(SEARCH("去",B4001)),ISNUMBER(SEARCH("入",B4001)))),"Ambiguous",IF(ISNUMBER(SEARCH("平",B4001)),"平","仄")))</x:f>
        <x:v>平</x:v>
      </x:c>
      <x:c r="K4001" s="6" t="str">
        <x:f>IF(D4001="","",IF(AND(ISNUMBER(SEARCH("平",D4001)),OR(ISNUMBER(SEARCH("上",D4001)),ISNUMBER(SEARCH("去",D4001)),ISNUMBER(SEARCH("入",D4001)))),"Ambiguous",IF(ISNUMBER(SEARCH("平",D4001)),"平","仄")))</x:f>
        <x:v>平</x:v>
      </x:c>
      <x:c r="L4001" s="7" t="str"/>
    </x:row>
    <x:row r="4002">
      <x:c r="A4002" s="5" t="str">
        <x:v>賖</x:v>
      </x:c>
      <x:c r="B4002" s="6" t="str">
        <x:v>平</x:v>
      </x:c>
      <x:c r="C4002" s="6" t="str">
        <x:f>IF(B4002="","Needs decision","Ready")</x:f>
        <x:v>Ready</x:v>
      </x:c>
      <x:c r="D4002" s="6" t="str">
        <x:v>平</x:v>
      </x:c>
      <x:c r="E4002" s="6" t="str">
        <x:v>syae (A)</x:v>
      </x:c>
      <x:c r="F4002" s="6" t="str"/>
      <x:c r="G4002" s="6" t="str"/>
      <x:c r="H4002" s="6" t="str">
        <x:v>1</x:v>
      </x:c>
      <x:c r="I4002" s="6" t="str"/>
      <x:c r="J4002" s="6" t="str">
        <x:f>IF(B4002="","",IF(AND(ISNUMBER(SEARCH("平",B4002)),OR(ISNUMBER(SEARCH("上",B4002)),ISNUMBER(SEARCH("去",B4002)),ISNUMBER(SEARCH("入",B4002)))),"Ambiguous",IF(ISNUMBER(SEARCH("平",B4002)),"平","仄")))</x:f>
        <x:v>平</x:v>
      </x:c>
      <x:c r="K4002" s="6" t="str">
        <x:f>IF(D4002="","",IF(AND(ISNUMBER(SEARCH("平",D4002)),OR(ISNUMBER(SEARCH("上",D4002)),ISNUMBER(SEARCH("去",D4002)),ISNUMBER(SEARCH("入",D4002)))),"Ambiguous",IF(ISNUMBER(SEARCH("平",D4002)),"平","仄")))</x:f>
        <x:v>平</x:v>
      </x:c>
      <x:c r="L4002" s="7" t="str"/>
    </x:row>
    <x:row r="4003">
      <x:c r="A4003" s="5" t="str">
        <x:v>賚</x:v>
      </x:c>
      <x:c r="B4003" s="6" t="str">
        <x:v>去</x:v>
      </x:c>
      <x:c r="C4003" s="6" t="str">
        <x:f>IF(B4003="","Needs decision","Ready")</x:f>
        <x:v>Ready</x:v>
      </x:c>
      <x:c r="D4003" s="6" t="str">
        <x:v>去</x:v>
      </x:c>
      <x:c r="E4003" s="6" t="str">
        <x:v>lojH (C)</x:v>
      </x:c>
      <x:c r="F4003" s="6" t="str">
        <x:v>去聲十一隊</x:v>
      </x:c>
      <x:c r="G4003" s="6" t="str">
        <x:v>Pingshui main list, Wikisource-derived DOCX</x:v>
      </x:c>
      <x:c r="H4003" s="6" t="str">
        <x:v>1</x:v>
      </x:c>
      <x:c r="I4003" s="6" t="str"/>
      <x:c r="J4003" s="6" t="str">
        <x:f>IF(B4003="","",IF(AND(ISNUMBER(SEARCH("平",B4003)),OR(ISNUMBER(SEARCH("上",B4003)),ISNUMBER(SEARCH("去",B4003)),ISNUMBER(SEARCH("入",B4003)))),"Ambiguous",IF(ISNUMBER(SEARCH("平",B4003)),"平","仄")))</x:f>
        <x:v>仄</x:v>
      </x:c>
      <x:c r="K4003" s="6" t="str">
        <x:f>IF(D4003="","",IF(AND(ISNUMBER(SEARCH("平",D4003)),OR(ISNUMBER(SEARCH("上",D4003)),ISNUMBER(SEARCH("去",D4003)),ISNUMBER(SEARCH("入",D4003)))),"Ambiguous",IF(ISNUMBER(SEARCH("平",D4003)),"平","仄")))</x:f>
        <x:v>仄</x:v>
      </x:c>
      <x:c r="L4003" s="7" t="str"/>
    </x:row>
    <x:row r="4004">
      <x:c r="A4004" s="5" t="str">
        <x:v>賜</x:v>
      </x:c>
      <x:c r="B4004" s="6" t="str">
        <x:v>去</x:v>
      </x:c>
      <x:c r="C4004" s="6" t="str">
        <x:f>IF(B4004="","Needs decision","Ready")</x:f>
        <x:v>Ready</x:v>
      </x:c>
      <x:c r="D4004" s="6" t="str">
        <x:v>去</x:v>
      </x:c>
      <x:c r="E4004" s="6" t="str">
        <x:v>sjeH (C)</x:v>
      </x:c>
      <x:c r="F4004" s="6" t="str">
        <x:v>去聲四寘</x:v>
      </x:c>
      <x:c r="G4004" s="6" t="str">
        <x:v>Pingshui main list, Wikisource-derived DOCX</x:v>
      </x:c>
      <x:c r="H4004" s="6" t="str">
        <x:v>1</x:v>
      </x:c>
      <x:c r="I4004" s="6" t="str"/>
      <x:c r="J4004" s="6" t="str">
        <x:f>IF(B4004="","",IF(AND(ISNUMBER(SEARCH("平",B4004)),OR(ISNUMBER(SEARCH("上",B4004)),ISNUMBER(SEARCH("去",B4004)),ISNUMBER(SEARCH("入",B4004)))),"Ambiguous",IF(ISNUMBER(SEARCH("平",B4004)),"平","仄")))</x:f>
        <x:v>仄</x:v>
      </x:c>
      <x:c r="K4004" s="6" t="str">
        <x:f>IF(D4004="","",IF(AND(ISNUMBER(SEARCH("平",D4004)),OR(ISNUMBER(SEARCH("上",D4004)),ISNUMBER(SEARCH("去",D4004)),ISNUMBER(SEARCH("入",D4004)))),"Ambiguous",IF(ISNUMBER(SEARCH("平",D4004)),"平","仄")))</x:f>
        <x:v>仄</x:v>
      </x:c>
      <x:c r="L4004" s="7" t="str"/>
    </x:row>
    <x:row r="4005">
      <x:c r="A4005" s="5" t="str">
        <x:v>賞</x:v>
      </x:c>
      <x:c r="B4005" s="6" t="str">
        <x:v>上</x:v>
      </x:c>
      <x:c r="C4005" s="6" t="str">
        <x:f>IF(B4005="","Needs decision","Ready")</x:f>
        <x:v>Ready</x:v>
      </x:c>
      <x:c r="D4005" s="6" t="str">
        <x:v>上</x:v>
      </x:c>
      <x:c r="E4005" s="6" t="str">
        <x:v>syangX (B)</x:v>
      </x:c>
      <x:c r="F4005" s="6" t="str">
        <x:v>上聲二十二養</x:v>
      </x:c>
      <x:c r="G4005" s="6" t="str">
        <x:v>Pingshui main list, Wikisource-derived DOCX</x:v>
      </x:c>
      <x:c r="H4005" s="6" t="str">
        <x:v>1</x:v>
      </x:c>
      <x:c r="I4005" s="6" t="str"/>
      <x:c r="J4005" s="6" t="str">
        <x:f>IF(B4005="","",IF(AND(ISNUMBER(SEARCH("平",B4005)),OR(ISNUMBER(SEARCH("上",B4005)),ISNUMBER(SEARCH("去",B4005)),ISNUMBER(SEARCH("入",B4005)))),"Ambiguous",IF(ISNUMBER(SEARCH("平",B4005)),"平","仄")))</x:f>
        <x:v>仄</x:v>
      </x:c>
      <x:c r="K4005" s="6" t="str">
        <x:f>IF(D4005="","",IF(AND(ISNUMBER(SEARCH("平",D4005)),OR(ISNUMBER(SEARCH("上",D4005)),ISNUMBER(SEARCH("去",D4005)),ISNUMBER(SEARCH("入",D4005)))),"Ambiguous",IF(ISNUMBER(SEARCH("平",D4005)),"平","仄")))</x:f>
        <x:v>仄</x:v>
      </x:c>
      <x:c r="L4005" s="7" t="str"/>
    </x:row>
    <x:row r="4006">
      <x:c r="A4006" s="5" t="str">
        <x:v>賢</x:v>
      </x:c>
      <x:c r="B4006" s="6" t="str">
        <x:v>平</x:v>
      </x:c>
      <x:c r="C4006" s="6" t="str">
        <x:f>IF(B4006="","Needs decision","Ready")</x:f>
        <x:v>Ready</x:v>
      </x:c>
      <x:c r="D4006" s="6" t="str">
        <x:v>平</x:v>
      </x:c>
      <x:c r="E4006" s="6" t="str">
        <x:v>hen (A)</x:v>
      </x:c>
      <x:c r="F4006" s="6" t="str">
        <x:v>下平聲一先</x:v>
      </x:c>
      <x:c r="G4006" s="6" t="str">
        <x:v>Pingshui main list, Wikisource-derived DOCX</x:v>
      </x:c>
      <x:c r="H4006" s="6" t="str">
        <x:v>1</x:v>
      </x:c>
      <x:c r="I4006" s="6" t="str"/>
      <x:c r="J4006" s="6" t="str">
        <x:f>IF(B4006="","",IF(AND(ISNUMBER(SEARCH("平",B4006)),OR(ISNUMBER(SEARCH("上",B4006)),ISNUMBER(SEARCH("去",B4006)),ISNUMBER(SEARCH("入",B4006)))),"Ambiguous",IF(ISNUMBER(SEARCH("平",B4006)),"平","仄")))</x:f>
        <x:v>平</x:v>
      </x:c>
      <x:c r="K4006" s="6" t="str">
        <x:f>IF(D4006="","",IF(AND(ISNUMBER(SEARCH("平",D4006)),OR(ISNUMBER(SEARCH("上",D4006)),ISNUMBER(SEARCH("去",D4006)),ISNUMBER(SEARCH("入",D4006)))),"Ambiguous",IF(ISNUMBER(SEARCH("平",D4006)),"平","仄")))</x:f>
        <x:v>平</x:v>
      </x:c>
      <x:c r="L4006" s="7" t="str"/>
    </x:row>
    <x:row r="4007">
      <x:c r="A4007" s="5" t="str">
        <x:v>賣</x:v>
      </x:c>
      <x:c r="B4007" s="6" t="str">
        <x:v>去</x:v>
      </x:c>
      <x:c r="C4007" s="6" t="str">
        <x:f>IF(B4007="","Needs decision","Ready")</x:f>
        <x:v>Ready</x:v>
      </x:c>
      <x:c r="D4007" s="6" t="str">
        <x:v>去</x:v>
      </x:c>
      <x:c r="E4007" s="6" t="str">
        <x:v>meaH (C)</x:v>
      </x:c>
      <x:c r="F4007" s="6" t="str">
        <x:v>去聲十卦</x:v>
      </x:c>
      <x:c r="G4007" s="6" t="str">
        <x:v>Pingshui main list, Wikisource-derived DOCX</x:v>
      </x:c>
      <x:c r="H4007" s="6" t="str">
        <x:v>1</x:v>
      </x:c>
      <x:c r="I4007" s="6" t="str"/>
      <x:c r="J4007" s="6" t="str">
        <x:f>IF(B4007="","",IF(AND(ISNUMBER(SEARCH("平",B4007)),OR(ISNUMBER(SEARCH("上",B4007)),ISNUMBER(SEARCH("去",B4007)),ISNUMBER(SEARCH("入",B4007)))),"Ambiguous",IF(ISNUMBER(SEARCH("平",B4007)),"平","仄")))</x:f>
        <x:v>仄</x:v>
      </x:c>
      <x:c r="K4007" s="6" t="str">
        <x:f>IF(D4007="","",IF(AND(ISNUMBER(SEARCH("平",D4007)),OR(ISNUMBER(SEARCH("上",D4007)),ISNUMBER(SEARCH("去",D4007)),ISNUMBER(SEARCH("入",D4007)))),"Ambiguous",IF(ISNUMBER(SEARCH("平",D4007)),"平","仄")))</x:f>
        <x:v>仄</x:v>
      </x:c>
      <x:c r="L4007" s="7" t="str"/>
    </x:row>
    <x:row r="4008">
      <x:c r="A4008" s="5" t="str">
        <x:v>賤</x:v>
      </x:c>
      <x:c r="B4008" s="6" t="str">
        <x:v>去</x:v>
      </x:c>
      <x:c r="C4008" s="6" t="str">
        <x:f>IF(B4008="","Needs decision","Ready")</x:f>
        <x:v>Ready</x:v>
      </x:c>
      <x:c r="D4008" s="6" t="str">
        <x:v>去</x:v>
      </x:c>
      <x:c r="E4008" s="6" t="str">
        <x:v>dzjenH (C)</x:v>
      </x:c>
      <x:c r="F4008" s="6" t="str">
        <x:v>去聲十七霰</x:v>
      </x:c>
      <x:c r="G4008" s="6" t="str">
        <x:v>Pingshui main list, Wikisource-derived DOCX</x:v>
      </x:c>
      <x:c r="H4008" s="6" t="str">
        <x:v>1</x:v>
      </x:c>
      <x:c r="I4008" s="6" t="str"/>
      <x:c r="J4008" s="6" t="str">
        <x:f>IF(B4008="","",IF(AND(ISNUMBER(SEARCH("平",B4008)),OR(ISNUMBER(SEARCH("上",B4008)),ISNUMBER(SEARCH("去",B4008)),ISNUMBER(SEARCH("入",B4008)))),"Ambiguous",IF(ISNUMBER(SEARCH("平",B4008)),"平","仄")))</x:f>
        <x:v>仄</x:v>
      </x:c>
      <x:c r="K4008" s="6" t="str">
        <x:f>IF(D4008="","",IF(AND(ISNUMBER(SEARCH("平",D4008)),OR(ISNUMBER(SEARCH("上",D4008)),ISNUMBER(SEARCH("去",D4008)),ISNUMBER(SEARCH("入",D4008)))),"Ambiguous",IF(ISNUMBER(SEARCH("平",D4008)),"平","仄")))</x:f>
        <x:v>仄</x:v>
      </x:c>
      <x:c r="L4008" s="7" t="str"/>
    </x:row>
    <x:row r="4009">
      <x:c r="A4009" s="5" t="str">
        <x:v>賦</x:v>
      </x:c>
      <x:c r="B4009" s="6" t="str">
        <x:v>去</x:v>
      </x:c>
      <x:c r="C4009" s="6" t="str">
        <x:f>IF(B4009="","Needs decision","Ready")</x:f>
        <x:v>Ready</x:v>
      </x:c>
      <x:c r="D4009" s="6" t="str">
        <x:v>去</x:v>
      </x:c>
      <x:c r="E4009" s="6" t="str">
        <x:v>pjuH (C)</x:v>
      </x:c>
      <x:c r="F4009" s="6" t="str">
        <x:v>去聲七遇</x:v>
      </x:c>
      <x:c r="G4009" s="6" t="str">
        <x:v>Pingshui main list, Wikisource-derived DOCX</x:v>
      </x:c>
      <x:c r="H4009" s="6" t="str">
        <x:v>1</x:v>
      </x:c>
      <x:c r="I4009" s="6" t="str"/>
      <x:c r="J4009" s="6" t="str">
        <x:f>IF(B4009="","",IF(AND(ISNUMBER(SEARCH("平",B4009)),OR(ISNUMBER(SEARCH("上",B4009)),ISNUMBER(SEARCH("去",B4009)),ISNUMBER(SEARCH("入",B4009)))),"Ambiguous",IF(ISNUMBER(SEARCH("平",B4009)),"平","仄")))</x:f>
        <x:v>仄</x:v>
      </x:c>
      <x:c r="K4009" s="6" t="str">
        <x:f>IF(D4009="","",IF(AND(ISNUMBER(SEARCH("平",D4009)),OR(ISNUMBER(SEARCH("上",D4009)),ISNUMBER(SEARCH("去",D4009)),ISNUMBER(SEARCH("入",D4009)))),"Ambiguous",IF(ISNUMBER(SEARCH("平",D4009)),"平","仄")))</x:f>
        <x:v>仄</x:v>
      </x:c>
      <x:c r="L4009" s="7" t="str"/>
    </x:row>
    <x:row r="4010">
      <x:c r="A4010" s="5" t="str">
        <x:v>質</x:v>
      </x:c>
      <x:c r="B4010" s="6" t="str">
        <x:v>入</x:v>
      </x:c>
      <x:c r="C4010" s="6" t="str">
        <x:f>IF(B4010="","Needs decision","Ready")</x:f>
        <x:v>Ready</x:v>
      </x:c>
      <x:c r="D4010" s="6" t="str">
        <x:v>去/入</x:v>
      </x:c>
      <x:c r="E4010" s="6" t="str">
        <x:v>trijH (C); tsyit (D)</x:v>
      </x:c>
      <x:c r="F4010" s="6" t="str">
        <x:v>入聲四質</x:v>
      </x:c>
      <x:c r="G4010" s="6" t="str">
        <x:v>Pingshui main list, Wikisource-derived DOCX</x:v>
      </x:c>
      <x:c r="H4010" s="6" t="str">
        <x:v>2</x:v>
      </x:c>
      <x:c r="I4010" s="6" t="str">
        <x:v>User workbook edit 2026-09-03</x:v>
      </x:c>
      <x:c r="J4010" s="6" t="str">
        <x:f>IF(B4010="","",IF(AND(ISNUMBER(SEARCH("平",B4010)),OR(ISNUMBER(SEARCH("上",B4010)),ISNUMBER(SEARCH("去",B4010)),ISNUMBER(SEARCH("入",B4010)))),"Ambiguous",IF(ISNUMBER(SEARCH("平",B4010)),"平","仄")))</x:f>
        <x:v>仄</x:v>
      </x:c>
      <x:c r="K4010" s="6" t="str">
        <x:f>IF(D4010="","",IF(AND(ISNUMBER(SEARCH("平",D4010)),OR(ISNUMBER(SEARCH("上",D4010)),ISNUMBER(SEARCH("去",D4010)),ISNUMBER(SEARCH("入",D4010)))),"Ambiguous",IF(ISNUMBER(SEARCH("平",D4010)),"平","仄")))</x:f>
        <x:v>仄</x:v>
      </x:c>
      <x:c r="L4010" s="7" t="str">
        <x:v>manual user correction</x:v>
      </x:c>
    </x:row>
    <x:row r="4011">
      <x:c r="A4011" s="5" t="str">
        <x:v>賭</x:v>
      </x:c>
      <x:c r="B4011" s="6" t="str">
        <x:v>上</x:v>
      </x:c>
      <x:c r="C4011" s="6" t="str">
        <x:f>IF(B4011="","Needs decision","Ready")</x:f>
        <x:v>Ready</x:v>
      </x:c>
      <x:c r="D4011" s="6" t="str">
        <x:v>上</x:v>
      </x:c>
      <x:c r="E4011" s="6" t="str">
        <x:v>tuX (B)</x:v>
      </x:c>
      <x:c r="F4011" s="6" t="str">
        <x:v>上聲七麌</x:v>
      </x:c>
      <x:c r="G4011" s="6" t="str">
        <x:v>Pingshui main list, Wikisource-derived DOCX</x:v>
      </x:c>
      <x:c r="H4011" s="6" t="str">
        <x:v>1</x:v>
      </x:c>
      <x:c r="I4011" s="6" t="str"/>
      <x:c r="J4011" s="6" t="str">
        <x:f>IF(B4011="","",IF(AND(ISNUMBER(SEARCH("平",B4011)),OR(ISNUMBER(SEARCH("上",B4011)),ISNUMBER(SEARCH("去",B4011)),ISNUMBER(SEARCH("入",B4011)))),"Ambiguous",IF(ISNUMBER(SEARCH("平",B4011)),"平","仄")))</x:f>
        <x:v>仄</x:v>
      </x:c>
      <x:c r="K4011" s="6" t="str">
        <x:f>IF(D4011="","",IF(AND(ISNUMBER(SEARCH("平",D4011)),OR(ISNUMBER(SEARCH("上",D4011)),ISNUMBER(SEARCH("去",D4011)),ISNUMBER(SEARCH("入",D4011)))),"Ambiguous",IF(ISNUMBER(SEARCH("平",D4011)),"平","仄")))</x:f>
        <x:v>仄</x:v>
      </x:c>
      <x:c r="L4011" s="7" t="str"/>
    </x:row>
    <x:row r="4012">
      <x:c r="A4012" s="5" t="str">
        <x:v>賴</x:v>
      </x:c>
      <x:c r="B4012" s="6" t="str">
        <x:v>去</x:v>
      </x:c>
      <x:c r="C4012" s="6" t="str">
        <x:f>IF(B4012="","Needs decision","Ready")</x:f>
        <x:v>Ready</x:v>
      </x:c>
      <x:c r="D4012" s="6" t="str">
        <x:v>去</x:v>
      </x:c>
      <x:c r="E4012" s="6" t="str">
        <x:v>lajH (C)</x:v>
      </x:c>
      <x:c r="F4012" s="6" t="str">
        <x:v>去聲九泰</x:v>
      </x:c>
      <x:c r="G4012" s="6" t="str">
        <x:v>Pingshui main list, Wikisource-derived DOCX</x:v>
      </x:c>
      <x:c r="H4012" s="6" t="str">
        <x:v>1</x:v>
      </x:c>
      <x:c r="I4012" s="6" t="str"/>
      <x:c r="J4012" s="6" t="str">
        <x:f>IF(B4012="","",IF(AND(ISNUMBER(SEARCH("平",B4012)),OR(ISNUMBER(SEARCH("上",B4012)),ISNUMBER(SEARCH("去",B4012)),ISNUMBER(SEARCH("入",B4012)))),"Ambiguous",IF(ISNUMBER(SEARCH("平",B4012)),"平","仄")))</x:f>
        <x:v>仄</x:v>
      </x:c>
      <x:c r="K4012" s="6" t="str">
        <x:f>IF(D4012="","",IF(AND(ISNUMBER(SEARCH("平",D4012)),OR(ISNUMBER(SEARCH("上",D4012)),ISNUMBER(SEARCH("去",D4012)),ISNUMBER(SEARCH("入",D4012)))),"Ambiguous",IF(ISNUMBER(SEARCH("平",D4012)),"平","仄")))</x:f>
        <x:v>仄</x:v>
      </x:c>
      <x:c r="L4012" s="7" t="str"/>
    </x:row>
    <x:row r="4013">
      <x:c r="A4013" s="5" t="str">
        <x:v>賵</x:v>
      </x:c>
      <x:c r="B4013" s="6" t="str">
        <x:v>去</x:v>
      </x:c>
      <x:c r="C4013" s="6" t="str">
        <x:f>IF(B4013="","Needs decision","Ready")</x:f>
        <x:v>Ready</x:v>
      </x:c>
      <x:c r="D4013" s="6" t="str">
        <x:v>去</x:v>
      </x:c>
      <x:c r="E4013" s="6" t="str">
        <x:v>phjuwngH (C)</x:v>
      </x:c>
      <x:c r="F4013" s="6" t="str">
        <x:v>去聲一送</x:v>
      </x:c>
      <x:c r="G4013" s="6" t="str">
        <x:v>Pingshui main list, Wikisource-derived DOCX</x:v>
      </x:c>
      <x:c r="H4013" s="6" t="str">
        <x:v>1</x:v>
      </x:c>
      <x:c r="I4013" s="6" t="str"/>
      <x:c r="J4013" s="6" t="str">
        <x:f>IF(B4013="","",IF(AND(ISNUMBER(SEARCH("平",B4013)),OR(ISNUMBER(SEARCH("上",B4013)),ISNUMBER(SEARCH("去",B4013)),ISNUMBER(SEARCH("入",B4013)))),"Ambiguous",IF(ISNUMBER(SEARCH("平",B4013)),"平","仄")))</x:f>
        <x:v>仄</x:v>
      </x:c>
      <x:c r="K4013" s="6" t="str">
        <x:f>IF(D4013="","",IF(AND(ISNUMBER(SEARCH("平",D4013)),OR(ISNUMBER(SEARCH("上",D4013)),ISNUMBER(SEARCH("去",D4013)),ISNUMBER(SEARCH("入",D4013)))),"Ambiguous",IF(ISNUMBER(SEARCH("平",D4013)),"平","仄")))</x:f>
        <x:v>仄</x:v>
      </x:c>
      <x:c r="L4013" s="7" t="str"/>
    </x:row>
    <x:row r="4014">
      <x:c r="A4014" s="5" t="str">
        <x:v>購</x:v>
      </x:c>
      <x:c r="B4014" s="6" t="str">
        <x:v>去</x:v>
      </x:c>
      <x:c r="C4014" s="6" t="str">
        <x:f>IF(B4014="","Needs decision","Ready")</x:f>
        <x:v>Ready</x:v>
      </x:c>
      <x:c r="D4014" s="6" t="str">
        <x:v>去</x:v>
      </x:c>
      <x:c r="E4014" s="6" t="str">
        <x:v>kuwH (C)</x:v>
      </x:c>
      <x:c r="F4014" s="6" t="str">
        <x:v>去聲二十六宥</x:v>
      </x:c>
      <x:c r="G4014" s="6" t="str">
        <x:v>Pingshui main list, Wikisource-derived DOCX</x:v>
      </x:c>
      <x:c r="H4014" s="6" t="str">
        <x:v>1</x:v>
      </x:c>
      <x:c r="I4014" s="6" t="str"/>
      <x:c r="J4014" s="6" t="str">
        <x:f>IF(B4014="","",IF(AND(ISNUMBER(SEARCH("平",B4014)),OR(ISNUMBER(SEARCH("上",B4014)),ISNUMBER(SEARCH("去",B4014)),ISNUMBER(SEARCH("入",B4014)))),"Ambiguous",IF(ISNUMBER(SEARCH("平",B4014)),"平","仄")))</x:f>
        <x:v>仄</x:v>
      </x:c>
      <x:c r="K4014" s="6" t="str">
        <x:f>IF(D4014="","",IF(AND(ISNUMBER(SEARCH("平",D4014)),OR(ISNUMBER(SEARCH("上",D4014)),ISNUMBER(SEARCH("去",D4014)),ISNUMBER(SEARCH("入",D4014)))),"Ambiguous",IF(ISNUMBER(SEARCH("平",D4014)),"平","仄")))</x:f>
        <x:v>仄</x:v>
      </x:c>
      <x:c r="L4014" s="7" t="str"/>
    </x:row>
    <x:row r="4015">
      <x:c r="A4015" s="5" t="str">
        <x:v>贈</x:v>
      </x:c>
      <x:c r="B4015" s="6" t="str">
        <x:v>去</x:v>
      </x:c>
      <x:c r="C4015" s="6" t="str">
        <x:f>IF(B4015="","Needs decision","Ready")</x:f>
        <x:v>Ready</x:v>
      </x:c>
      <x:c r="D4015" s="6" t="str">
        <x:v>去</x:v>
      </x:c>
      <x:c r="E4015" s="6" t="str">
        <x:v>dzongH (C)</x:v>
      </x:c>
      <x:c r="F4015" s="6" t="str">
        <x:v>去聲二十五徑</x:v>
      </x:c>
      <x:c r="G4015" s="6" t="str">
        <x:v>Pingshui main list, Wikisource-derived DOCX</x:v>
      </x:c>
      <x:c r="H4015" s="6" t="str">
        <x:v>1</x:v>
      </x:c>
      <x:c r="I4015" s="6" t="str"/>
      <x:c r="J4015" s="6" t="str">
        <x:f>IF(B4015="","",IF(AND(ISNUMBER(SEARCH("平",B4015)),OR(ISNUMBER(SEARCH("上",B4015)),ISNUMBER(SEARCH("去",B4015)),ISNUMBER(SEARCH("入",B4015)))),"Ambiguous",IF(ISNUMBER(SEARCH("平",B4015)),"平","仄")))</x:f>
        <x:v>仄</x:v>
      </x:c>
      <x:c r="K4015" s="6" t="str">
        <x:f>IF(D4015="","",IF(AND(ISNUMBER(SEARCH("平",D4015)),OR(ISNUMBER(SEARCH("上",D4015)),ISNUMBER(SEARCH("去",D4015)),ISNUMBER(SEARCH("入",D4015)))),"Ambiguous",IF(ISNUMBER(SEARCH("平",D4015)),"平","仄")))</x:f>
        <x:v>仄</x:v>
      </x:c>
      <x:c r="L4015" s="7" t="str"/>
    </x:row>
    <x:row r="4016">
      <x:c r="A4016" s="5" t="str">
        <x:v>贊</x:v>
      </x:c>
      <x:c r="B4016" s="6" t="str">
        <x:v>去</x:v>
      </x:c>
      <x:c r="C4016" s="6" t="str">
        <x:f>IF(B4016="","Needs decision","Ready")</x:f>
        <x:v>Ready</x:v>
      </x:c>
      <x:c r="D4016" s="6" t="str">
        <x:v>去</x:v>
      </x:c>
      <x:c r="E4016" s="6" t="str">
        <x:v>tsanH (C)</x:v>
      </x:c>
      <x:c r="F4016" s="6" t="str">
        <x:v>去聲十五翰</x:v>
      </x:c>
      <x:c r="G4016" s="6" t="str">
        <x:v>Pingshui main list, Wikisource-derived DOCX</x:v>
      </x:c>
      <x:c r="H4016" s="6" t="str">
        <x:v>1</x:v>
      </x:c>
      <x:c r="I4016" s="6" t="str"/>
      <x:c r="J4016" s="6" t="str">
        <x:f>IF(B4016="","",IF(AND(ISNUMBER(SEARCH("平",B4016)),OR(ISNUMBER(SEARCH("上",B4016)),ISNUMBER(SEARCH("去",B4016)),ISNUMBER(SEARCH("入",B4016)))),"Ambiguous",IF(ISNUMBER(SEARCH("平",B4016)),"平","仄")))</x:f>
        <x:v>仄</x:v>
      </x:c>
      <x:c r="K4016" s="6" t="str">
        <x:f>IF(D4016="","",IF(AND(ISNUMBER(SEARCH("平",D4016)),OR(ISNUMBER(SEARCH("上",D4016)),ISNUMBER(SEARCH("去",D4016)),ISNUMBER(SEARCH("入",D4016)))),"Ambiguous",IF(ISNUMBER(SEARCH("平",D4016)),"平","仄")))</x:f>
        <x:v>仄</x:v>
      </x:c>
      <x:c r="L4016" s="7" t="str"/>
    </x:row>
    <x:row r="4017">
      <x:c r="A4017" s="5" t="str">
        <x:v>贍</x:v>
      </x:c>
      <x:c r="B4017" s="6" t="str">
        <x:v>去</x:v>
      </x:c>
      <x:c r="C4017" s="6" t="str">
        <x:f>IF(B4017="","Needs decision","Ready")</x:f>
        <x:v>Ready</x:v>
      </x:c>
      <x:c r="D4017" s="6" t="str">
        <x:v>去</x:v>
      </x:c>
      <x:c r="E4017" s="6" t="str">
        <x:v>dzyemH (C)</x:v>
      </x:c>
      <x:c r="F4017" s="6" t="str">
        <x:v>去聲二十九豔</x:v>
      </x:c>
      <x:c r="G4017" s="6" t="str">
        <x:v>Pingshui main list, Wikisource-derived DOCX</x:v>
      </x:c>
      <x:c r="H4017" s="6" t="str">
        <x:v>1</x:v>
      </x:c>
      <x:c r="I4017" s="6" t="str"/>
      <x:c r="J4017" s="6" t="str">
        <x:f>IF(B4017="","",IF(AND(ISNUMBER(SEARCH("平",B4017)),OR(ISNUMBER(SEARCH("上",B4017)),ISNUMBER(SEARCH("去",B4017)),ISNUMBER(SEARCH("入",B4017)))),"Ambiguous",IF(ISNUMBER(SEARCH("平",B4017)),"平","仄")))</x:f>
        <x:v>仄</x:v>
      </x:c>
      <x:c r="K4017" s="6" t="str">
        <x:f>IF(D4017="","",IF(AND(ISNUMBER(SEARCH("平",D4017)),OR(ISNUMBER(SEARCH("上",D4017)),ISNUMBER(SEARCH("去",D4017)),ISNUMBER(SEARCH("入",D4017)))),"Ambiguous",IF(ISNUMBER(SEARCH("平",D4017)),"平","仄")))</x:f>
        <x:v>仄</x:v>
      </x:c>
      <x:c r="L4017" s="7" t="str"/>
    </x:row>
    <x:row r="4018">
      <x:c r="A4018" s="5" t="str">
        <x:v>贏</x:v>
      </x:c>
      <x:c r="B4018" s="6" t="str">
        <x:v>平</x:v>
      </x:c>
      <x:c r="C4018" s="6" t="str">
        <x:f>IF(B4018="","Needs decision","Ready")</x:f>
        <x:v>Ready</x:v>
      </x:c>
      <x:c r="D4018" s="6" t="str">
        <x:v>平</x:v>
      </x:c>
      <x:c r="E4018" s="6" t="str">
        <x:v>yeng (A)</x:v>
      </x:c>
      <x:c r="F4018" s="6" t="str">
        <x:v>下平聲八庚</x:v>
      </x:c>
      <x:c r="G4018" s="6" t="str">
        <x:v>Pingshui main list, Wikisource-derived DOCX</x:v>
      </x:c>
      <x:c r="H4018" s="6" t="str">
        <x:v>1</x:v>
      </x:c>
      <x:c r="I4018" s="6" t="str"/>
      <x:c r="J4018" s="6" t="str">
        <x:f>IF(B4018="","",IF(AND(ISNUMBER(SEARCH("平",B4018)),OR(ISNUMBER(SEARCH("上",B4018)),ISNUMBER(SEARCH("去",B4018)),ISNUMBER(SEARCH("入",B4018)))),"Ambiguous",IF(ISNUMBER(SEARCH("平",B4018)),"平","仄")))</x:f>
        <x:v>平</x:v>
      </x:c>
      <x:c r="K4018" s="6" t="str">
        <x:f>IF(D4018="","",IF(AND(ISNUMBER(SEARCH("平",D4018)),OR(ISNUMBER(SEARCH("上",D4018)),ISNUMBER(SEARCH("去",D4018)),ISNUMBER(SEARCH("入",D4018)))),"Ambiguous",IF(ISNUMBER(SEARCH("平",D4018)),"平","仄")))</x:f>
        <x:v>平</x:v>
      </x:c>
      <x:c r="L4018" s="7" t="str"/>
    </x:row>
    <x:row r="4019">
      <x:c r="A4019" s="5" t="str">
        <x:v>贓</x:v>
      </x:c>
      <x:c r="B4019" s="6" t="str">
        <x:v>平</x:v>
      </x:c>
      <x:c r="C4019" s="6" t="str">
        <x:f>IF(B4019="","Needs decision","Ready")</x:f>
        <x:v>Ready</x:v>
      </x:c>
      <x:c r="D4019" s="6" t="str">
        <x:v>平</x:v>
      </x:c>
      <x:c r="E4019" s="6" t="str">
        <x:v>tsang (A)</x:v>
      </x:c>
      <x:c r="F4019" s="6" t="str">
        <x:v>下平聲七陽</x:v>
      </x:c>
      <x:c r="G4019" s="6" t="str">
        <x:v>Pingshui main list, Wikisource-derived DOCX</x:v>
      </x:c>
      <x:c r="H4019" s="6" t="str">
        <x:v>1</x:v>
      </x:c>
      <x:c r="I4019" s="6" t="str"/>
      <x:c r="J4019" s="6" t="str">
        <x:f>IF(B4019="","",IF(AND(ISNUMBER(SEARCH("平",B4019)),OR(ISNUMBER(SEARCH("上",B4019)),ISNUMBER(SEARCH("去",B4019)),ISNUMBER(SEARCH("入",B4019)))),"Ambiguous",IF(ISNUMBER(SEARCH("平",B4019)),"平","仄")))</x:f>
        <x:v>平</x:v>
      </x:c>
      <x:c r="K4019" s="6" t="str">
        <x:f>IF(D4019="","",IF(AND(ISNUMBER(SEARCH("平",D4019)),OR(ISNUMBER(SEARCH("上",D4019)),ISNUMBER(SEARCH("去",D4019)),ISNUMBER(SEARCH("入",D4019)))),"Ambiguous",IF(ISNUMBER(SEARCH("平",D4019)),"平","仄")))</x:f>
        <x:v>平</x:v>
      </x:c>
      <x:c r="L4019" s="7" t="str"/>
    </x:row>
    <x:row r="4020">
      <x:c r="A4020" s="5" t="str">
        <x:v>贖</x:v>
      </x:c>
      <x:c r="B4020" s="6" t="str">
        <x:v>入</x:v>
      </x:c>
      <x:c r="C4020" s="6" t="str">
        <x:f>IF(B4020="","Needs decision","Ready")</x:f>
        <x:v>Ready</x:v>
      </x:c>
      <x:c r="D4020" s="6" t="str">
        <x:v>入</x:v>
      </x:c>
      <x:c r="E4020" s="6" t="str">
        <x:v>zyowk (D)</x:v>
      </x:c>
      <x:c r="F4020" s="6" t="str">
        <x:v>入聲二沃</x:v>
      </x:c>
      <x:c r="G4020" s="6" t="str">
        <x:v>Pingshui main list, Wikisource-derived DOCX</x:v>
      </x:c>
      <x:c r="H4020" s="6" t="str">
        <x:v>1</x:v>
      </x:c>
      <x:c r="I4020" s="6" t="str"/>
      <x:c r="J4020" s="6" t="str">
        <x:f>IF(B4020="","",IF(AND(ISNUMBER(SEARCH("平",B4020)),OR(ISNUMBER(SEARCH("上",B4020)),ISNUMBER(SEARCH("去",B4020)),ISNUMBER(SEARCH("入",B4020)))),"Ambiguous",IF(ISNUMBER(SEARCH("平",B4020)),"平","仄")))</x:f>
        <x:v>仄</x:v>
      </x:c>
      <x:c r="K4020" s="6" t="str">
        <x:f>IF(D4020="","",IF(AND(ISNUMBER(SEARCH("平",D4020)),OR(ISNUMBER(SEARCH("上",D4020)),ISNUMBER(SEARCH("去",D4020)),ISNUMBER(SEARCH("入",D4020)))),"Ambiguous",IF(ISNUMBER(SEARCH("平",D4020)),"平","仄")))</x:f>
        <x:v>仄</x:v>
      </x:c>
      <x:c r="L4020" s="7" t="str"/>
    </x:row>
    <x:row r="4021">
      <x:c r="A4021" s="5" t="str">
        <x:v>贛</x:v>
      </x:c>
      <x:c r="B4021" s="6" t="str"/>
      <x:c r="C4021" s="6" t="str">
        <x:f>IF(B4021="","Needs decision","Ready")</x:f>
        <x:v>Needs decision</x:v>
      </x:c>
      <x:c r="D4021" s="6" t="str">
        <x:v>上/去</x:v>
      </x:c>
      <x:c r="E4021" s="6" t="str">
        <x:v>komX (B); komH (C); kuwngH (C)</x:v>
      </x:c>
      <x:c r="F4021" s="6" t="str">
        <x:v>上聲二十七感; 去聲一送</x:v>
      </x:c>
      <x:c r="G4021" s="6" t="str">
        <x:v>Pingshui main list, Wikisource-derived DOCX</x:v>
      </x:c>
      <x:c r="H4021" s="6" t="str">
        <x:v>3</x:v>
      </x:c>
      <x:c r="I4021" s="6" t="str"/>
      <x:c r="J4021" s="6" t="str">
        <x:f>IF(B4021="","",IF(AND(ISNUMBER(SEARCH("平",B4021)),OR(ISNUMBER(SEARCH("上",B4021)),ISNUMBER(SEARCH("去",B4021)),ISNUMBER(SEARCH("入",B4021)))),"Ambiguous",IF(ISNUMBER(SEARCH("平",B4021)),"平","仄")))</x:f>
      </x:c>
      <x:c r="K4021" s="6" t="str">
        <x:f>IF(D4021="","",IF(AND(ISNUMBER(SEARCH("平",D4021)),OR(ISNUMBER(SEARCH("上",D4021)),ISNUMBER(SEARCH("去",D4021)),ISNUMBER(SEARCH("入",D4021)))),"Ambiguous",IF(ISNUMBER(SEARCH("平",D4021)),"平","仄")))</x:f>
        <x:v>仄</x:v>
      </x:c>
      <x:c r="L4021" s="7" t="str"/>
    </x:row>
    <x:row r="4022">
      <x:c r="A4022" s="5" t="str">
        <x:v>赤</x:v>
      </x:c>
      <x:c r="B4022" s="6" t="str">
        <x:v>入</x:v>
      </x:c>
      <x:c r="C4022" s="6" t="str">
        <x:f>IF(B4022="","Needs decision","Ready")</x:f>
        <x:v>Ready</x:v>
      </x:c>
      <x:c r="D4022" s="6" t="str">
        <x:v>入</x:v>
      </x:c>
      <x:c r="E4022" s="6" t="str">
        <x:v>tsyhek (D)</x:v>
      </x:c>
      <x:c r="F4022" s="6" t="str">
        <x:v>入聲十一陌</x:v>
      </x:c>
      <x:c r="G4022" s="6" t="str">
        <x:v>Pingshui main list, Wikisource-derived DOCX</x:v>
      </x:c>
      <x:c r="H4022" s="6" t="str">
        <x:v>1</x:v>
      </x:c>
      <x:c r="I4022" s="6" t="str"/>
      <x:c r="J4022" s="6" t="str">
        <x:f>IF(B4022="","",IF(AND(ISNUMBER(SEARCH("平",B4022)),OR(ISNUMBER(SEARCH("上",B4022)),ISNUMBER(SEARCH("去",B4022)),ISNUMBER(SEARCH("入",B4022)))),"Ambiguous",IF(ISNUMBER(SEARCH("平",B4022)),"平","仄")))</x:f>
        <x:v>仄</x:v>
      </x:c>
      <x:c r="K4022" s="6" t="str">
        <x:f>IF(D4022="","",IF(AND(ISNUMBER(SEARCH("平",D4022)),OR(ISNUMBER(SEARCH("上",D4022)),ISNUMBER(SEARCH("去",D4022)),ISNUMBER(SEARCH("入",D4022)))),"Ambiguous",IF(ISNUMBER(SEARCH("平",D4022)),"平","仄")))</x:f>
        <x:v>仄</x:v>
      </x:c>
      <x:c r="L4022" s="7" t="str"/>
    </x:row>
    <x:row r="4023">
      <x:c r="A4023" s="5" t="str">
        <x:v>赦</x:v>
      </x:c>
      <x:c r="B4023" s="6" t="str">
        <x:v>去</x:v>
      </x:c>
      <x:c r="C4023" s="6" t="str">
        <x:f>IF(B4023="","Needs decision","Ready")</x:f>
        <x:v>Ready</x:v>
      </x:c>
      <x:c r="D4023" s="6" t="str">
        <x:v>去</x:v>
      </x:c>
      <x:c r="E4023" s="6" t="str">
        <x:v>syaeH (C)</x:v>
      </x:c>
      <x:c r="F4023" s="6" t="str">
        <x:v>去聲二十二禡</x:v>
      </x:c>
      <x:c r="G4023" s="6" t="str">
        <x:v>Pingshui main list, Wikisource-derived DOCX</x:v>
      </x:c>
      <x:c r="H4023" s="6" t="str">
        <x:v>1</x:v>
      </x:c>
      <x:c r="I4023" s="6" t="str"/>
      <x:c r="J4023" s="6" t="str">
        <x:f>IF(B4023="","",IF(AND(ISNUMBER(SEARCH("平",B4023)),OR(ISNUMBER(SEARCH("上",B4023)),ISNUMBER(SEARCH("去",B4023)),ISNUMBER(SEARCH("入",B4023)))),"Ambiguous",IF(ISNUMBER(SEARCH("平",B4023)),"平","仄")))</x:f>
        <x:v>仄</x:v>
      </x:c>
      <x:c r="K4023" s="6" t="str">
        <x:f>IF(D4023="","",IF(AND(ISNUMBER(SEARCH("平",D4023)),OR(ISNUMBER(SEARCH("上",D4023)),ISNUMBER(SEARCH("去",D4023)),ISNUMBER(SEARCH("入",D4023)))),"Ambiguous",IF(ISNUMBER(SEARCH("平",D4023)),"平","仄")))</x:f>
        <x:v>仄</x:v>
      </x:c>
      <x:c r="L4023" s="7" t="str"/>
    </x:row>
    <x:row r="4024">
      <x:c r="A4024" s="5" t="str">
        <x:v>赫</x:v>
      </x:c>
      <x:c r="B4024" s="6" t="str">
        <x:v>入</x:v>
      </x:c>
      <x:c r="C4024" s="6" t="str">
        <x:f>IF(B4024="","Needs decision","Ready")</x:f>
        <x:v>Ready</x:v>
      </x:c>
      <x:c r="D4024" s="6" t="str">
        <x:v>入</x:v>
      </x:c>
      <x:c r="E4024" s="6" t="str">
        <x:v>xaek (D)</x:v>
      </x:c>
      <x:c r="F4024" s="6" t="str">
        <x:v>入聲十一陌</x:v>
      </x:c>
      <x:c r="G4024" s="6" t="str">
        <x:v>Pingshui main list, Wikisource-derived DOCX</x:v>
      </x:c>
      <x:c r="H4024" s="6" t="str">
        <x:v>1</x:v>
      </x:c>
      <x:c r="I4024" s="6" t="str"/>
      <x:c r="J4024" s="6" t="str">
        <x:f>IF(B4024="","",IF(AND(ISNUMBER(SEARCH("平",B4024)),OR(ISNUMBER(SEARCH("上",B4024)),ISNUMBER(SEARCH("去",B4024)),ISNUMBER(SEARCH("入",B4024)))),"Ambiguous",IF(ISNUMBER(SEARCH("平",B4024)),"平","仄")))</x:f>
        <x:v>仄</x:v>
      </x:c>
      <x:c r="K4024" s="6" t="str">
        <x:f>IF(D4024="","",IF(AND(ISNUMBER(SEARCH("平",D4024)),OR(ISNUMBER(SEARCH("上",D4024)),ISNUMBER(SEARCH("去",D4024)),ISNUMBER(SEARCH("入",D4024)))),"Ambiguous",IF(ISNUMBER(SEARCH("平",D4024)),"平","仄")))</x:f>
        <x:v>仄</x:v>
      </x:c>
      <x:c r="L4024" s="7" t="str"/>
    </x:row>
    <x:row r="4025">
      <x:c r="A4025" s="5" t="str">
        <x:v>赬</x:v>
      </x:c>
      <x:c r="B4025" s="6" t="str">
        <x:v>平</x:v>
      </x:c>
      <x:c r="C4025" s="6" t="str">
        <x:f>IF(B4025="","Needs decision","Ready")</x:f>
        <x:v>Ready</x:v>
      </x:c>
      <x:c r="D4025" s="6" t="str">
        <x:v>平</x:v>
      </x:c>
      <x:c r="E4025" s="6" t="str">
        <x:v>trhjeng (A)</x:v>
      </x:c>
      <x:c r="F4025" s="6" t="str">
        <x:v>下平聲八庚</x:v>
      </x:c>
      <x:c r="G4025" s="6" t="str">
        <x:v>Pingshui main list, Wikisource-derived DOCX</x:v>
      </x:c>
      <x:c r="H4025" s="6" t="str">
        <x:v>1</x:v>
      </x:c>
      <x:c r="I4025" s="6" t="str"/>
      <x:c r="J4025" s="6" t="str">
        <x:f>IF(B4025="","",IF(AND(ISNUMBER(SEARCH("平",B4025)),OR(ISNUMBER(SEARCH("上",B4025)),ISNUMBER(SEARCH("去",B4025)),ISNUMBER(SEARCH("入",B4025)))),"Ambiguous",IF(ISNUMBER(SEARCH("平",B4025)),"平","仄")))</x:f>
        <x:v>平</x:v>
      </x:c>
      <x:c r="K4025" s="6" t="str">
        <x:f>IF(D4025="","",IF(AND(ISNUMBER(SEARCH("平",D4025)),OR(ISNUMBER(SEARCH("上",D4025)),ISNUMBER(SEARCH("去",D4025)),ISNUMBER(SEARCH("入",D4025)))),"Ambiguous",IF(ISNUMBER(SEARCH("平",D4025)),"平","仄")))</x:f>
        <x:v>平</x:v>
      </x:c>
      <x:c r="L4025" s="7" t="str"/>
    </x:row>
    <x:row r="4026">
      <x:c r="A4026" s="5" t="str">
        <x:v>赭</x:v>
      </x:c>
      <x:c r="B4026" s="6" t="str">
        <x:v>上</x:v>
      </x:c>
      <x:c r="C4026" s="6" t="str">
        <x:f>IF(B4026="","Needs decision","Ready")</x:f>
        <x:v>Ready</x:v>
      </x:c>
      <x:c r="D4026" s="6" t="str">
        <x:v>上</x:v>
      </x:c>
      <x:c r="E4026" s="6" t="str">
        <x:v>tsyaeX (B)</x:v>
      </x:c>
      <x:c r="F4026" s="6" t="str">
        <x:v>上聲二十一馬</x:v>
      </x:c>
      <x:c r="G4026" s="6" t="str">
        <x:v>Pingshui main list, Wikisource-derived DOCX</x:v>
      </x:c>
      <x:c r="H4026" s="6" t="str">
        <x:v>1</x:v>
      </x:c>
      <x:c r="I4026" s="6" t="str"/>
      <x:c r="J4026" s="6" t="str">
        <x:f>IF(B4026="","",IF(AND(ISNUMBER(SEARCH("平",B4026)),OR(ISNUMBER(SEARCH("上",B4026)),ISNUMBER(SEARCH("去",B4026)),ISNUMBER(SEARCH("入",B4026)))),"Ambiguous",IF(ISNUMBER(SEARCH("平",B4026)),"平","仄")))</x:f>
        <x:v>仄</x:v>
      </x:c>
      <x:c r="K4026" s="6" t="str">
        <x:f>IF(D4026="","",IF(AND(ISNUMBER(SEARCH("平",D4026)),OR(ISNUMBER(SEARCH("上",D4026)),ISNUMBER(SEARCH("去",D4026)),ISNUMBER(SEARCH("入",D4026)))),"Ambiguous",IF(ISNUMBER(SEARCH("平",D4026)),"平","仄")))</x:f>
        <x:v>仄</x:v>
      </x:c>
      <x:c r="L4026" s="7" t="str"/>
    </x:row>
    <x:row r="4027">
      <x:c r="A4027" s="5" t="str">
        <x:v>走</x:v>
      </x:c>
      <x:c r="B4027" s="6" t="str">
        <x:v>上</x:v>
      </x:c>
      <x:c r="C4027" s="6" t="str">
        <x:f>IF(B4027="","Needs decision","Ready")</x:f>
        <x:v>Ready</x:v>
      </x:c>
      <x:c r="D4027" s="6" t="str">
        <x:v>上</x:v>
      </x:c>
      <x:c r="E4027" s="6" t="str">
        <x:v>tsuwX (B)</x:v>
      </x:c>
      <x:c r="F4027" s="6" t="str">
        <x:v>上聲二十五有; 去聲二十六宥</x:v>
      </x:c>
      <x:c r="G4027" s="6" t="str">
        <x:v>Pingshui main list, Wikisource-derived DOCX</x:v>
      </x:c>
      <x:c r="H4027" s="6" t="str">
        <x:v>1</x:v>
      </x:c>
      <x:c r="I4027" s="6" t="str"/>
      <x:c r="J4027" s="6" t="str">
        <x:f>IF(B4027="","",IF(AND(ISNUMBER(SEARCH("平",B4027)),OR(ISNUMBER(SEARCH("上",B4027)),ISNUMBER(SEARCH("去",B4027)),ISNUMBER(SEARCH("入",B4027)))),"Ambiguous",IF(ISNUMBER(SEARCH("平",B4027)),"平","仄")))</x:f>
        <x:v>仄</x:v>
      </x:c>
      <x:c r="K4027" s="6" t="str">
        <x:f>IF(D4027="","",IF(AND(ISNUMBER(SEARCH("平",D4027)),OR(ISNUMBER(SEARCH("上",D4027)),ISNUMBER(SEARCH("去",D4027)),ISNUMBER(SEARCH("入",D4027)))),"Ambiguous",IF(ISNUMBER(SEARCH("平",D4027)),"平","仄")))</x:f>
        <x:v>仄</x:v>
      </x:c>
      <x:c r="L4027" s="7" t="str"/>
    </x:row>
    <x:row r="4028">
      <x:c r="A4028" s="5" t="str">
        <x:v>赴</x:v>
      </x:c>
      <x:c r="B4028" s="6" t="str">
        <x:v>去</x:v>
      </x:c>
      <x:c r="C4028" s="6" t="str">
        <x:f>IF(B4028="","Needs decision","Ready")</x:f>
        <x:v>Ready</x:v>
      </x:c>
      <x:c r="D4028" s="6" t="str">
        <x:v>去</x:v>
      </x:c>
      <x:c r="E4028" s="6" t="str">
        <x:v>phjuH (C)</x:v>
      </x:c>
      <x:c r="F4028" s="6" t="str">
        <x:v>去聲七遇</x:v>
      </x:c>
      <x:c r="G4028" s="6" t="str">
        <x:v>Pingshui main list, Wikisource-derived DOCX</x:v>
      </x:c>
      <x:c r="H4028" s="6" t="str">
        <x:v>1</x:v>
      </x:c>
      <x:c r="I4028" s="6" t="str"/>
      <x:c r="J4028" s="6" t="str">
        <x:f>IF(B4028="","",IF(AND(ISNUMBER(SEARCH("平",B4028)),OR(ISNUMBER(SEARCH("上",B4028)),ISNUMBER(SEARCH("去",B4028)),ISNUMBER(SEARCH("入",B4028)))),"Ambiguous",IF(ISNUMBER(SEARCH("平",B4028)),"平","仄")))</x:f>
        <x:v>仄</x:v>
      </x:c>
      <x:c r="K4028" s="6" t="str">
        <x:f>IF(D4028="","",IF(AND(ISNUMBER(SEARCH("平",D4028)),OR(ISNUMBER(SEARCH("上",D4028)),ISNUMBER(SEARCH("去",D4028)),ISNUMBER(SEARCH("入",D4028)))),"Ambiguous",IF(ISNUMBER(SEARCH("平",D4028)),"平","仄")))</x:f>
        <x:v>仄</x:v>
      </x:c>
      <x:c r="L4028" s="7" t="str"/>
    </x:row>
    <x:row r="4029">
      <x:c r="A4029" s="5" t="str">
        <x:v>起</x:v>
      </x:c>
      <x:c r="B4029" s="6" t="str">
        <x:v>上</x:v>
      </x:c>
      <x:c r="C4029" s="6" t="str">
        <x:f>IF(B4029="","Needs decision","Ready")</x:f>
        <x:v>Ready</x:v>
      </x:c>
      <x:c r="D4029" s="6" t="str">
        <x:v>上</x:v>
      </x:c>
      <x:c r="E4029" s="6" t="str">
        <x:v>khiX (B)</x:v>
      </x:c>
      <x:c r="F4029" s="6" t="str">
        <x:v>上聲四紙</x:v>
      </x:c>
      <x:c r="G4029" s="6" t="str">
        <x:v>Pingshui main list, Wikisource-derived DOCX</x:v>
      </x:c>
      <x:c r="H4029" s="6" t="str">
        <x:v>1</x:v>
      </x:c>
      <x:c r="I4029" s="6" t="str"/>
      <x:c r="J4029" s="6" t="str">
        <x:f>IF(B4029="","",IF(AND(ISNUMBER(SEARCH("平",B4029)),OR(ISNUMBER(SEARCH("上",B4029)),ISNUMBER(SEARCH("去",B4029)),ISNUMBER(SEARCH("入",B4029)))),"Ambiguous",IF(ISNUMBER(SEARCH("平",B4029)),"平","仄")))</x:f>
        <x:v>仄</x:v>
      </x:c>
      <x:c r="K4029" s="6" t="str">
        <x:f>IF(D4029="","",IF(AND(ISNUMBER(SEARCH("平",D4029)),OR(ISNUMBER(SEARCH("上",D4029)),ISNUMBER(SEARCH("去",D4029)),ISNUMBER(SEARCH("入",D4029)))),"Ambiguous",IF(ISNUMBER(SEARCH("平",D4029)),"平","仄")))</x:f>
        <x:v>仄</x:v>
      </x:c>
      <x:c r="L4029" s="7" t="str"/>
    </x:row>
    <x:row r="4030">
      <x:c r="A4030" s="5" t="str">
        <x:v>趁</x:v>
      </x:c>
      <x:c r="B4030" s="6" t="str"/>
      <x:c r="C4030" s="6" t="str">
        <x:f>IF(B4030="","Needs decision","Ready")</x:f>
        <x:v>Needs decision</x:v>
      </x:c>
      <x:c r="D4030" s="6" t="str">
        <x:v>平/上/去</x:v>
      </x:c>
      <x:c r="E4030" s="6" t="str">
        <x:v>drin [ɖin] (平); nrjenX [ɳjenʔ] (上); trhinH [ʈʰinh] (去)</x:v>
      </x:c>
      <x:c r="F4030" s="6" t="str">
        <x:v>上聲十六銑; 去聲十二震</x:v>
      </x:c>
      <x:c r="G4030" s="6" t="str">
        <x:v>Pingshui main list, Wikisource-derived DOCX</x:v>
      </x:c>
      <x:c r="H4030" s="6" t="str">
        <x:v>3</x:v>
      </x:c>
      <x:c r="I4030" s="6" t="str">
        <x:v>Tang 300 gap; frequency 1; ambiguous in Xun Gong</x:v>
      </x:c>
      <x:c r="J4030" s="6" t="str">
        <x:f>IF(B4030="","",IF(AND(ISNUMBER(SEARCH("平",B4030)),OR(ISNUMBER(SEARCH("上",B4030)),ISNUMBER(SEARCH("去",B4030)),ISNUMBER(SEARCH("入",B4030)))),"Ambiguous",IF(ISNUMBER(SEARCH("平",B4030)),"平","仄")))</x:f>
      </x:c>
      <x:c r="K4030" s="6" t="str">
        <x:f>IF(D4030="","",IF(AND(ISNUMBER(SEARCH("平",D4030)),OR(ISNUMBER(SEARCH("上",D4030)),ISNUMBER(SEARCH("去",D4030)),ISNUMBER(SEARCH("入",D4030)))),"Ambiguous",IF(ISNUMBER(SEARCH("平",D4030)),"平","仄")))</x:f>
        <x:v>Ambiguous</x:v>
      </x:c>
      <x:c r="L4030" s="7" t="str">
        <x:v>Xun Gong, Tang 300 gap fill</x:v>
      </x:c>
    </x:row>
    <x:row r="4031">
      <x:c r="A4031" s="5" t="str">
        <x:v>超</x:v>
      </x:c>
      <x:c r="B4031" s="6" t="str">
        <x:v>平</x:v>
      </x:c>
      <x:c r="C4031" s="6" t="str">
        <x:f>IF(B4031="","Needs decision","Ready")</x:f>
        <x:v>Ready</x:v>
      </x:c>
      <x:c r="D4031" s="6" t="str">
        <x:v>平</x:v>
      </x:c>
      <x:c r="E4031" s="6" t="str">
        <x:v>trhjew (A)</x:v>
      </x:c>
      <x:c r="F4031" s="6" t="str">
        <x:v>下平聲二蕭</x:v>
      </x:c>
      <x:c r="G4031" s="6" t="str">
        <x:v>Pingshui main list, Wikisource-derived DOCX</x:v>
      </x:c>
      <x:c r="H4031" s="6" t="str">
        <x:v>1</x:v>
      </x:c>
      <x:c r="I4031" s="6" t="str"/>
      <x:c r="J4031" s="6" t="str">
        <x:f>IF(B4031="","",IF(AND(ISNUMBER(SEARCH("平",B4031)),OR(ISNUMBER(SEARCH("上",B4031)),ISNUMBER(SEARCH("去",B4031)),ISNUMBER(SEARCH("入",B4031)))),"Ambiguous",IF(ISNUMBER(SEARCH("平",B4031)),"平","仄")))</x:f>
        <x:v>平</x:v>
      </x:c>
      <x:c r="K4031" s="6" t="str">
        <x:f>IF(D4031="","",IF(AND(ISNUMBER(SEARCH("平",D4031)),OR(ISNUMBER(SEARCH("上",D4031)),ISNUMBER(SEARCH("去",D4031)),ISNUMBER(SEARCH("入",D4031)))),"Ambiguous",IF(ISNUMBER(SEARCH("平",D4031)),"平","仄")))</x:f>
        <x:v>平</x:v>
      </x:c>
      <x:c r="L4031" s="7" t="str"/>
    </x:row>
    <x:row r="4032">
      <x:c r="A4032" s="5" t="str">
        <x:v>越</x:v>
      </x:c>
      <x:c r="B4032" s="6" t="str">
        <x:v>入</x:v>
      </x:c>
      <x:c r="C4032" s="6" t="str">
        <x:f>IF(B4032="","Needs decision","Ready")</x:f>
        <x:v>Ready</x:v>
      </x:c>
      <x:c r="D4032" s="6" t="str">
        <x:v>入</x:v>
      </x:c>
      <x:c r="E4032" s="6" t="str">
        <x:v>hjwot (D)</x:v>
      </x:c>
      <x:c r="F4032" s="6" t="str">
        <x:v>入聲六月; 入聲七曷</x:v>
      </x:c>
      <x:c r="G4032" s="6" t="str">
        <x:v>Pingshui main list, Wikisource-derived DOCX</x:v>
      </x:c>
      <x:c r="H4032" s="6" t="str">
        <x:v>1</x:v>
      </x:c>
      <x:c r="I4032" s="6" t="str"/>
      <x:c r="J4032" s="6" t="str">
        <x:f>IF(B4032="","",IF(AND(ISNUMBER(SEARCH("平",B4032)),OR(ISNUMBER(SEARCH("上",B4032)),ISNUMBER(SEARCH("去",B4032)),ISNUMBER(SEARCH("入",B4032)))),"Ambiguous",IF(ISNUMBER(SEARCH("平",B4032)),"平","仄")))</x:f>
        <x:v>仄</x:v>
      </x:c>
      <x:c r="K4032" s="6" t="str">
        <x:f>IF(D4032="","",IF(AND(ISNUMBER(SEARCH("平",D4032)),OR(ISNUMBER(SEARCH("上",D4032)),ISNUMBER(SEARCH("去",D4032)),ISNUMBER(SEARCH("入",D4032)))),"Ambiguous",IF(ISNUMBER(SEARCH("平",D4032)),"平","仄")))</x:f>
        <x:v>仄</x:v>
      </x:c>
      <x:c r="L4032" s="7" t="str"/>
    </x:row>
    <x:row r="4033">
      <x:c r="A4033" s="5" t="str">
        <x:v>趙</x:v>
      </x:c>
      <x:c r="B4033" s="6" t="str">
        <x:v>上</x:v>
      </x:c>
      <x:c r="C4033" s="6" t="str">
        <x:f>IF(B4033="","Needs decision","Ready")</x:f>
        <x:v>Ready</x:v>
      </x:c>
      <x:c r="D4033" s="6" t="str">
        <x:v>上</x:v>
      </x:c>
      <x:c r="E4033" s="6" t="str">
        <x:v>drjewX (B)</x:v>
      </x:c>
      <x:c r="F4033" s="6" t="str">
        <x:v>上聲十七篠</x:v>
      </x:c>
      <x:c r="G4033" s="6" t="str">
        <x:v>Pingshui main list, Wikisource-derived DOCX</x:v>
      </x:c>
      <x:c r="H4033" s="6" t="str">
        <x:v>1</x:v>
      </x:c>
      <x:c r="I4033" s="6" t="str"/>
      <x:c r="J4033" s="6" t="str">
        <x:f>IF(B4033="","",IF(AND(ISNUMBER(SEARCH("平",B4033)),OR(ISNUMBER(SEARCH("上",B4033)),ISNUMBER(SEARCH("去",B4033)),ISNUMBER(SEARCH("入",B4033)))),"Ambiguous",IF(ISNUMBER(SEARCH("平",B4033)),"平","仄")))</x:f>
        <x:v>仄</x:v>
      </x:c>
      <x:c r="K4033" s="6" t="str">
        <x:f>IF(D4033="","",IF(AND(ISNUMBER(SEARCH("平",D4033)),OR(ISNUMBER(SEARCH("上",D4033)),ISNUMBER(SEARCH("去",D4033)),ISNUMBER(SEARCH("入",D4033)))),"Ambiguous",IF(ISNUMBER(SEARCH("平",D4033)),"平","仄")))</x:f>
        <x:v>仄</x:v>
      </x:c>
      <x:c r="L4033" s="7" t="str"/>
    </x:row>
    <x:row r="4034">
      <x:c r="A4034" s="5" t="str">
        <x:v>趣</x:v>
      </x:c>
      <x:c r="B4034" s="6" t="str">
        <x:v>去</x:v>
      </x:c>
      <x:c r="C4034" s="6" t="str">
        <x:f>IF(B4034="","Needs decision","Ready")</x:f>
        <x:v>Ready</x:v>
      </x:c>
      <x:c r="D4034" s="6" t="str">
        <x:v>去/入</x:v>
      </x:c>
      <x:c r="E4034" s="6" t="str">
        <x:v>tshjowk (D); tshjuH (C)</x:v>
      </x:c>
      <x:c r="F4034" s="6" t="str">
        <x:v>上聲二十五有; 去聲七遇</x:v>
      </x:c>
      <x:c r="G4034" s="6" t="str">
        <x:v>Pingshui main list, Wikisource-derived DOCX</x:v>
      </x:c>
      <x:c r="H4034" s="6" t="str">
        <x:v>2</x:v>
      </x:c>
      <x:c r="I4034" s="6" t="str">
        <x:v>User correction 2026-09-08</x:v>
      </x:c>
      <x:c r="J4034" s="6" t="str">
        <x:f>IF(B4034="","",IF(AND(ISNUMBER(SEARCH("平",B4034)),OR(ISNUMBER(SEARCH("上",B4034)),ISNUMBER(SEARCH("去",B4034)),ISNUMBER(SEARCH("入",B4034)))),"Ambiguous",IF(ISNUMBER(SEARCH("平",B4034)),"平","仄")))</x:f>
        <x:v>仄</x:v>
      </x:c>
      <x:c r="K4034" s="6" t="str">
        <x:f>IF(D4034="","",IF(AND(ISNUMBER(SEARCH("平",D4034)),OR(ISNUMBER(SEARCH("上",D4034)),ISNUMBER(SEARCH("去",D4034)),ISNUMBER(SEARCH("入",D4034)))),"Ambiguous",IF(ISNUMBER(SEARCH("平",D4034)),"平","仄")))</x:f>
        <x:v>仄</x:v>
      </x:c>
      <x:c r="L4034" s="7" t="str"/>
    </x:row>
    <x:row r="4035">
      <x:c r="A4035" s="5" t="str">
        <x:v>趨</x:v>
      </x:c>
      <x:c r="B4035" s="6" t="str">
        <x:v>平</x:v>
      </x:c>
      <x:c r="C4035" s="6" t="str">
        <x:f>IF(B4035="","Needs decision","Ready")</x:f>
        <x:v>Ready</x:v>
      </x:c>
      <x:c r="D4035" s="6" t="str">
        <x:v>平</x:v>
      </x:c>
      <x:c r="E4035" s="6" t="str">
        <x:v>tsrhju (A)</x:v>
      </x:c>
      <x:c r="F4035" s="6" t="str">
        <x:v>上平聲七虞</x:v>
      </x:c>
      <x:c r="G4035" s="6" t="str">
        <x:v>Pingshui main list, Wikisource-derived DOCX</x:v>
      </x:c>
      <x:c r="H4035" s="6" t="str">
        <x:v>1</x:v>
      </x:c>
      <x:c r="I4035" s="6" t="str"/>
      <x:c r="J4035" s="6" t="str">
        <x:f>IF(B4035="","",IF(AND(ISNUMBER(SEARCH("平",B4035)),OR(ISNUMBER(SEARCH("上",B4035)),ISNUMBER(SEARCH("去",B4035)),ISNUMBER(SEARCH("入",B4035)))),"Ambiguous",IF(ISNUMBER(SEARCH("平",B4035)),"平","仄")))</x:f>
        <x:v>平</x:v>
      </x:c>
      <x:c r="K4035" s="6" t="str">
        <x:f>IF(D4035="","",IF(AND(ISNUMBER(SEARCH("平",D4035)),OR(ISNUMBER(SEARCH("上",D4035)),ISNUMBER(SEARCH("去",D4035)),ISNUMBER(SEARCH("入",D4035)))),"Ambiguous",IF(ISNUMBER(SEARCH("平",D4035)),"平","仄")))</x:f>
        <x:v>平</x:v>
      </x:c>
      <x:c r="L4035" s="7" t="str"/>
    </x:row>
    <x:row r="4036">
      <x:c r="A4036" s="5" t="str">
        <x:v>足</x:v>
      </x:c>
      <x:c r="B4036" s="6" t="str">
        <x:v>入</x:v>
      </x:c>
      <x:c r="C4036" s="6" t="str">
        <x:f>IF(B4036="","Needs decision","Ready")</x:f>
        <x:v>Ready</x:v>
      </x:c>
      <x:c r="D4036" s="6" t="str">
        <x:v>去/入</x:v>
      </x:c>
      <x:c r="E4036" s="6" t="str">
        <x:v>tsjuH (C); tsjowk (D)</x:v>
      </x:c>
      <x:c r="F4036" s="6" t="str">
        <x:v>去聲七遇; 入聲二沃</x:v>
      </x:c>
      <x:c r="G4036" s="6" t="str">
        <x:v>Pingshui main list, Wikisource-derived DOCX</x:v>
      </x:c>
      <x:c r="H4036" s="6" t="str">
        <x:v>2</x:v>
      </x:c>
      <x:c r="I4036" s="6" t="str">
        <x:v>User correction 2026-09-08</x:v>
      </x:c>
      <x:c r="J4036" s="6" t="str">
        <x:f>IF(B4036="","",IF(AND(ISNUMBER(SEARCH("平",B4036)),OR(ISNUMBER(SEARCH("上",B4036)),ISNUMBER(SEARCH("去",B4036)),ISNUMBER(SEARCH("入",B4036)))),"Ambiguous",IF(ISNUMBER(SEARCH("平",B4036)),"平","仄")))</x:f>
        <x:v>仄</x:v>
      </x:c>
      <x:c r="K4036" s="6" t="str">
        <x:f>IF(D4036="","",IF(AND(ISNUMBER(SEARCH("平",D4036)),OR(ISNUMBER(SEARCH("上",D4036)),ISNUMBER(SEARCH("去",D4036)),ISNUMBER(SEARCH("入",D4036)))),"Ambiguous",IF(ISNUMBER(SEARCH("平",D4036)),"平","仄")))</x:f>
        <x:v>仄</x:v>
      </x:c>
      <x:c r="L4036" s="7" t="str"/>
    </x:row>
    <x:row r="4037">
      <x:c r="A4037" s="5" t="str">
        <x:v>趾</x:v>
      </x:c>
      <x:c r="B4037" s="6" t="str">
        <x:v>上</x:v>
      </x:c>
      <x:c r="C4037" s="6" t="str">
        <x:f>IF(B4037="","Needs decision","Ready")</x:f>
        <x:v>Ready</x:v>
      </x:c>
      <x:c r="D4037" s="6" t="str">
        <x:v>上</x:v>
      </x:c>
      <x:c r="E4037" s="6" t="str">
        <x:v>tsyiX (B)</x:v>
      </x:c>
      <x:c r="F4037" s="6" t="str">
        <x:v>上聲四紙</x:v>
      </x:c>
      <x:c r="G4037" s="6" t="str">
        <x:v>Pingshui main list, Wikisource-derived DOCX</x:v>
      </x:c>
      <x:c r="H4037" s="6" t="str">
        <x:v>1</x:v>
      </x:c>
      <x:c r="I4037" s="6" t="str"/>
      <x:c r="J4037" s="6" t="str">
        <x:f>IF(B4037="","",IF(AND(ISNUMBER(SEARCH("平",B4037)),OR(ISNUMBER(SEARCH("上",B4037)),ISNUMBER(SEARCH("去",B4037)),ISNUMBER(SEARCH("入",B4037)))),"Ambiguous",IF(ISNUMBER(SEARCH("平",B4037)),"平","仄")))</x:f>
        <x:v>仄</x:v>
      </x:c>
      <x:c r="K4037" s="6" t="str">
        <x:f>IF(D4037="","",IF(AND(ISNUMBER(SEARCH("平",D4037)),OR(ISNUMBER(SEARCH("上",D4037)),ISNUMBER(SEARCH("去",D4037)),ISNUMBER(SEARCH("入",D4037)))),"Ambiguous",IF(ISNUMBER(SEARCH("平",D4037)),"平","仄")))</x:f>
        <x:v>仄</x:v>
      </x:c>
      <x:c r="L4037" s="7" t="str"/>
    </x:row>
    <x:row r="4038">
      <x:c r="A4038" s="5" t="str">
        <x:v>跌</x:v>
      </x:c>
      <x:c r="B4038" s="6" t="str">
        <x:v>入</x:v>
      </x:c>
      <x:c r="C4038" s="6" t="str">
        <x:f>IF(B4038="","Needs decision","Ready")</x:f>
        <x:v>Ready</x:v>
      </x:c>
      <x:c r="D4038" s="6" t="str">
        <x:v>入</x:v>
      </x:c>
      <x:c r="E4038" s="6" t="str">
        <x:v>det (D)</x:v>
      </x:c>
      <x:c r="F4038" s="6" t="str">
        <x:v>入聲九屑</x:v>
      </x:c>
      <x:c r="G4038" s="6" t="str">
        <x:v>Pingshui main list, Wikisource-derived DOCX</x:v>
      </x:c>
      <x:c r="H4038" s="6" t="str">
        <x:v>1</x:v>
      </x:c>
      <x:c r="I4038" s="6" t="str"/>
      <x:c r="J4038" s="6" t="str">
        <x:f>IF(B4038="","",IF(AND(ISNUMBER(SEARCH("平",B4038)),OR(ISNUMBER(SEARCH("上",B4038)),ISNUMBER(SEARCH("去",B4038)),ISNUMBER(SEARCH("入",B4038)))),"Ambiguous",IF(ISNUMBER(SEARCH("平",B4038)),"平","仄")))</x:f>
        <x:v>仄</x:v>
      </x:c>
      <x:c r="K4038" s="6" t="str">
        <x:f>IF(D4038="","",IF(AND(ISNUMBER(SEARCH("平",D4038)),OR(ISNUMBER(SEARCH("上",D4038)),ISNUMBER(SEARCH("去",D4038)),ISNUMBER(SEARCH("入",D4038)))),"Ambiguous",IF(ISNUMBER(SEARCH("平",D4038)),"平","仄")))</x:f>
        <x:v>仄</x:v>
      </x:c>
      <x:c r="L4038" s="7" t="str"/>
    </x:row>
    <x:row r="4039">
      <x:c r="A4039" s="5" t="str">
        <x:v>跎</x:v>
      </x:c>
      <x:c r="B4039" s="6" t="str">
        <x:v>平</x:v>
      </x:c>
      <x:c r="C4039" s="6" t="str">
        <x:f>IF(B4039="","Needs decision","Ready")</x:f>
        <x:v>Ready</x:v>
      </x:c>
      <x:c r="D4039" s="6" t="str">
        <x:v>平</x:v>
      </x:c>
      <x:c r="E4039" s="6" t="str">
        <x:v>da [d̙ɑ] (平)</x:v>
      </x:c>
      <x:c r="F4039" s="6" t="str">
        <x:v>下平聲五歌</x:v>
      </x:c>
      <x:c r="G4039" s="6" t="str">
        <x:v>Pingshui main list, Wikisource-derived DOCX</x:v>
      </x:c>
      <x:c r="H4039" s="6" t="str">
        <x:v>1</x:v>
      </x:c>
      <x:c r="I4039" s="6" t="str">
        <x:v>Tang 300 gap; frequency 3; provisional from Xun Gong</x:v>
      </x:c>
      <x:c r="J4039" s="6" t="str">
        <x:f>IF(B4039="","",IF(AND(ISNUMBER(SEARCH("平",B4039)),OR(ISNUMBER(SEARCH("上",B4039)),ISNUMBER(SEARCH("去",B4039)),ISNUMBER(SEARCH("入",B4039)))),"Ambiguous",IF(ISNUMBER(SEARCH("平",B4039)),"平","仄")))</x:f>
        <x:v>平</x:v>
      </x:c>
      <x:c r="K4039" s="6" t="str">
        <x:f>IF(D4039="","",IF(AND(ISNUMBER(SEARCH("平",D4039)),OR(ISNUMBER(SEARCH("上",D4039)),ISNUMBER(SEARCH("去",D4039)),ISNUMBER(SEARCH("入",D4039)))),"Ambiguous",IF(ISNUMBER(SEARCH("平",D4039)),"平","仄")))</x:f>
        <x:v>平</x:v>
      </x:c>
      <x:c r="L4039" s="7" t="str">
        <x:v>Xun Gong, Tang 300 gap fill</x:v>
      </x:c>
    </x:row>
    <x:row r="4040">
      <x:c r="A4040" s="5" t="str">
        <x:v>跛</x:v>
      </x:c>
      <x:c r="B4040" s="6" t="str">
        <x:v>上</x:v>
      </x:c>
      <x:c r="C4040" s="6" t="str">
        <x:f>IF(B4040="","Needs decision","Ready")</x:f>
        <x:v>Ready</x:v>
      </x:c>
      <x:c r="D4040" s="6" t="str">
        <x:v>上</x:v>
      </x:c>
      <x:c r="E4040" s="6" t="str">
        <x:v>paX (B)</x:v>
      </x:c>
      <x:c r="F4040" s="6" t="str">
        <x:v>上聲二十哿</x:v>
      </x:c>
      <x:c r="G4040" s="6" t="str">
        <x:v>Pingshui main list, Wikisource-derived DOCX</x:v>
      </x:c>
      <x:c r="H4040" s="6" t="str">
        <x:v>1</x:v>
      </x:c>
      <x:c r="I4040" s="6" t="str"/>
      <x:c r="J4040" s="6" t="str">
        <x:f>IF(B4040="","",IF(AND(ISNUMBER(SEARCH("平",B4040)),OR(ISNUMBER(SEARCH("上",B4040)),ISNUMBER(SEARCH("去",B4040)),ISNUMBER(SEARCH("入",B4040)))),"Ambiguous",IF(ISNUMBER(SEARCH("平",B4040)),"平","仄")))</x:f>
        <x:v>仄</x:v>
      </x:c>
      <x:c r="K4040" s="6" t="str">
        <x:f>IF(D4040="","",IF(AND(ISNUMBER(SEARCH("平",D4040)),OR(ISNUMBER(SEARCH("上",D4040)),ISNUMBER(SEARCH("去",D4040)),ISNUMBER(SEARCH("入",D4040)))),"Ambiguous",IF(ISNUMBER(SEARCH("平",D4040)),"平","仄")))</x:f>
        <x:v>仄</x:v>
      </x:c>
      <x:c r="L4040" s="7" t="str"/>
    </x:row>
    <x:row r="4041">
      <x:c r="A4041" s="5" t="str">
        <x:v>距</x:v>
      </x:c>
      <x:c r="B4041" s="6" t="str">
        <x:v>上</x:v>
      </x:c>
      <x:c r="C4041" s="6" t="str">
        <x:f>IF(B4041="","Needs decision","Ready")</x:f>
        <x:v>Ready</x:v>
      </x:c>
      <x:c r="D4041" s="6" t="str">
        <x:v>上</x:v>
      </x:c>
      <x:c r="E4041" s="6" t="str"/>
      <x:c r="F4041" s="6" t="str">
        <x:v>上聲六語</x:v>
      </x:c>
      <x:c r="G4041" s="6" t="str">
        <x:v>Pingshui main list, Wikisource-derived DOCX</x:v>
      </x:c>
      <x:c r="H4041" s="6" t="str"/>
      <x:c r="I4041" s="6" t="str">
        <x:v>Manual user correction/addition</x:v>
      </x:c>
      <x:c r="J4041" s="6" t="str">
        <x:f>IF(B4041="","",IF(AND(ISNUMBER(SEARCH("平",B4041)),OR(ISNUMBER(SEARCH("上",B4041)),ISNUMBER(SEARCH("去",B4041)),ISNUMBER(SEARCH("入",B4041)))),"Ambiguous",IF(ISNUMBER(SEARCH("平",B4041)),"平","仄")))</x:f>
        <x:v>仄</x:v>
      </x:c>
      <x:c r="K4041" s="6" t="str">
        <x:f>IF(D4041="","",IF(AND(ISNUMBER(SEARCH("平",D4041)),OR(ISNUMBER(SEARCH("上",D4041)),ISNUMBER(SEARCH("去",D4041)),ISNUMBER(SEARCH("入",D4041)))),"Ambiguous",IF(ISNUMBER(SEARCH("平",D4041)),"平","仄")))</x:f>
        <x:v>仄</x:v>
      </x:c>
      <x:c r="L4041" s="7" t="str">
        <x:v>manual user correction</x:v>
      </x:c>
    </x:row>
    <x:row r="4042">
      <x:c r="A4042" s="5" t="str">
        <x:v>跡</x:v>
      </x:c>
      <x:c r="B4042" s="6" t="str">
        <x:v>入</x:v>
      </x:c>
      <x:c r="C4042" s="6" t="str">
        <x:f>IF(B4042="","Needs decision","Ready")</x:f>
        <x:v>Ready</x:v>
      </x:c>
      <x:c r="D4042" s="6" t="str">
        <x:v>入</x:v>
      </x:c>
      <x:c r="E4042" s="6" t="str">
        <x:v>tsjek (D)</x:v>
      </x:c>
      <x:c r="F4042" s="6" t="str"/>
      <x:c r="G4042" s="6" t="str"/>
      <x:c r="H4042" s="6" t="str">
        <x:v>1</x:v>
      </x:c>
      <x:c r="I4042" s="6" t="str"/>
      <x:c r="J4042" s="6" t="str">
        <x:f>IF(B4042="","",IF(AND(ISNUMBER(SEARCH("平",B4042)),OR(ISNUMBER(SEARCH("上",B4042)),ISNUMBER(SEARCH("去",B4042)),ISNUMBER(SEARCH("入",B4042)))),"Ambiguous",IF(ISNUMBER(SEARCH("平",B4042)),"平","仄")))</x:f>
        <x:v>仄</x:v>
      </x:c>
      <x:c r="K4042" s="6" t="str">
        <x:f>IF(D4042="","",IF(AND(ISNUMBER(SEARCH("平",D4042)),OR(ISNUMBER(SEARCH("上",D4042)),ISNUMBER(SEARCH("去",D4042)),ISNUMBER(SEARCH("入",D4042)))),"Ambiguous",IF(ISNUMBER(SEARCH("平",D4042)),"平","仄")))</x:f>
        <x:v>仄</x:v>
      </x:c>
      <x:c r="L4042" s="7" t="str"/>
    </x:row>
    <x:row r="4043">
      <x:c r="A4043" s="5" t="str">
        <x:v>跨</x:v>
      </x:c>
      <x:c r="B4043" s="6" t="str"/>
      <x:c r="C4043" s="6" t="str">
        <x:f>IF(B4043="","Needs decision","Ready")</x:f>
        <x:v>Needs decision</x:v>
      </x:c>
      <x:c r="D4043" s="6" t="str">
        <x:v>平/上/去</x:v>
      </x:c>
      <x:c r="E4043" s="6" t="str">
        <x:v>khuH [qʰoh] (去); khwae [qʰwaˤ] (平); khwaeH [qʰwaˤh] (去); khwaeX [qʰwaˤʔ] (上)</x:v>
      </x:c>
      <x:c r="F4043" s="6" t="str">
        <x:v>去聲二十二禡</x:v>
      </x:c>
      <x:c r="G4043" s="6" t="str">
        <x:v>Pingshui main list, Wikisource-derived DOCX</x:v>
      </x:c>
      <x:c r="H4043" s="6" t="str">
        <x:v>4</x:v>
      </x:c>
      <x:c r="I4043" s="6" t="str">
        <x:v>Tang 300 gap; frequency 1; ambiguous in Xun Gong</x:v>
      </x:c>
      <x:c r="J4043" s="6" t="str">
        <x:f>IF(B4043="","",IF(AND(ISNUMBER(SEARCH("平",B4043)),OR(ISNUMBER(SEARCH("上",B4043)),ISNUMBER(SEARCH("去",B4043)),ISNUMBER(SEARCH("入",B4043)))),"Ambiguous",IF(ISNUMBER(SEARCH("平",B4043)),"平","仄")))</x:f>
      </x:c>
      <x:c r="K4043" s="6" t="str">
        <x:f>IF(D4043="","",IF(AND(ISNUMBER(SEARCH("平",D4043)),OR(ISNUMBER(SEARCH("上",D4043)),ISNUMBER(SEARCH("去",D4043)),ISNUMBER(SEARCH("入",D4043)))),"Ambiguous",IF(ISNUMBER(SEARCH("平",D4043)),"平","仄")))</x:f>
        <x:v>Ambiguous</x:v>
      </x:c>
      <x:c r="L4043" s="7" t="str">
        <x:v>Xun Gong, Tang 300 gap fill</x:v>
      </x:c>
    </x:row>
    <x:row r="4044">
      <x:c r="A4044" s="5" t="str">
        <x:v>跪</x:v>
      </x:c>
      <x:c r="B4044" s="6" t="str">
        <x:v>上</x:v>
      </x:c>
      <x:c r="C4044" s="6" t="str">
        <x:f>IF(B4044="","Needs decision","Ready")</x:f>
        <x:v>Ready</x:v>
      </x:c>
      <x:c r="D4044" s="6" t="str">
        <x:v>上</x:v>
      </x:c>
      <x:c r="E4044" s="6" t="str">
        <x:v>gjweX (B)</x:v>
      </x:c>
      <x:c r="F4044" s="6" t="str">
        <x:v>上聲四紙</x:v>
      </x:c>
      <x:c r="G4044" s="6" t="str">
        <x:v>Pingshui main list, Wikisource-derived DOCX</x:v>
      </x:c>
      <x:c r="H4044" s="6" t="str">
        <x:v>1</x:v>
      </x:c>
      <x:c r="I4044" s="6" t="str"/>
      <x:c r="J4044" s="6" t="str">
        <x:f>IF(B4044="","",IF(AND(ISNUMBER(SEARCH("平",B4044)),OR(ISNUMBER(SEARCH("上",B4044)),ISNUMBER(SEARCH("去",B4044)),ISNUMBER(SEARCH("入",B4044)))),"Ambiguous",IF(ISNUMBER(SEARCH("平",B4044)),"平","仄")))</x:f>
        <x:v>仄</x:v>
      </x:c>
      <x:c r="K4044" s="6" t="str">
        <x:f>IF(D4044="","",IF(AND(ISNUMBER(SEARCH("平",D4044)),OR(ISNUMBER(SEARCH("上",D4044)),ISNUMBER(SEARCH("去",D4044)),ISNUMBER(SEARCH("入",D4044)))),"Ambiguous",IF(ISNUMBER(SEARCH("平",D4044)),"平","仄")))</x:f>
        <x:v>仄</x:v>
      </x:c>
      <x:c r="L4044" s="7" t="str"/>
    </x:row>
    <x:row r="4045">
      <x:c r="A4045" s="5" t="str">
        <x:v>路</x:v>
      </x:c>
      <x:c r="B4045" s="6" t="str">
        <x:v>去</x:v>
      </x:c>
      <x:c r="C4045" s="6" t="str">
        <x:f>IF(B4045="","Needs decision","Ready")</x:f>
        <x:v>Ready</x:v>
      </x:c>
      <x:c r="D4045" s="6" t="str">
        <x:v>去</x:v>
      </x:c>
      <x:c r="E4045" s="6" t="str">
        <x:v>luH (C)</x:v>
      </x:c>
      <x:c r="F4045" s="6" t="str">
        <x:v>去聲七遇</x:v>
      </x:c>
      <x:c r="G4045" s="6" t="str">
        <x:v>Pingshui main list, Wikisource-derived DOCX</x:v>
      </x:c>
      <x:c r="H4045" s="6" t="str">
        <x:v>1</x:v>
      </x:c>
      <x:c r="I4045" s="6" t="str"/>
      <x:c r="J4045" s="6" t="str">
        <x:f>IF(B4045="","",IF(AND(ISNUMBER(SEARCH("平",B4045)),OR(ISNUMBER(SEARCH("上",B4045)),ISNUMBER(SEARCH("去",B4045)),ISNUMBER(SEARCH("入",B4045)))),"Ambiguous",IF(ISNUMBER(SEARCH("平",B4045)),"平","仄")))</x:f>
        <x:v>仄</x:v>
      </x:c>
      <x:c r="K4045" s="6" t="str">
        <x:f>IF(D4045="","",IF(AND(ISNUMBER(SEARCH("平",D4045)),OR(ISNUMBER(SEARCH("上",D4045)),ISNUMBER(SEARCH("去",D4045)),ISNUMBER(SEARCH("入",D4045)))),"Ambiguous",IF(ISNUMBER(SEARCH("平",D4045)),"平","仄")))</x:f>
        <x:v>仄</x:v>
      </x:c>
      <x:c r="L4045" s="7" t="str"/>
    </x:row>
    <x:row r="4046">
      <x:c r="A4046" s="5" t="str">
        <x:v>跲</x:v>
      </x:c>
      <x:c r="B4046" s="6" t="str">
        <x:v>入</x:v>
      </x:c>
      <x:c r="C4046" s="6" t="str">
        <x:f>IF(B4046="","Needs decision","Ready")</x:f>
        <x:v>Ready</x:v>
      </x:c>
      <x:c r="D4046" s="6" t="str">
        <x:v>入</x:v>
      </x:c>
      <x:c r="E4046" s="6" t="str">
        <x:v>kjaep (D)</x:v>
      </x:c>
      <x:c r="F4046" s="6" t="str">
        <x:v>入聲十七洽</x:v>
      </x:c>
      <x:c r="G4046" s="6" t="str">
        <x:v>Pingshui main list, Wikisource-derived DOCX</x:v>
      </x:c>
      <x:c r="H4046" s="6" t="str">
        <x:v>1</x:v>
      </x:c>
      <x:c r="I4046" s="6" t="str"/>
      <x:c r="J4046" s="6" t="str">
        <x:f>IF(B4046="","",IF(AND(ISNUMBER(SEARCH("平",B4046)),OR(ISNUMBER(SEARCH("上",B4046)),ISNUMBER(SEARCH("去",B4046)),ISNUMBER(SEARCH("入",B4046)))),"Ambiguous",IF(ISNUMBER(SEARCH("平",B4046)),"平","仄")))</x:f>
        <x:v>仄</x:v>
      </x:c>
      <x:c r="K4046" s="6" t="str">
        <x:f>IF(D4046="","",IF(AND(ISNUMBER(SEARCH("平",D4046)),OR(ISNUMBER(SEARCH("上",D4046)),ISNUMBER(SEARCH("去",D4046)),ISNUMBER(SEARCH("入",D4046)))),"Ambiguous",IF(ISNUMBER(SEARCH("平",D4046)),"平","仄")))</x:f>
        <x:v>仄</x:v>
      </x:c>
      <x:c r="L4046" s="7" t="str"/>
    </x:row>
    <x:row r="4047">
      <x:c r="A4047" s="5" t="str">
        <x:v>跳</x:v>
      </x:c>
      <x:c r="B4047" s="6" t="str">
        <x:v>平</x:v>
      </x:c>
      <x:c r="C4047" s="6" t="str">
        <x:f>IF(B4047="","Needs decision","Ready")</x:f>
        <x:v>Ready</x:v>
      </x:c>
      <x:c r="D4047" s="6" t="str">
        <x:v>平</x:v>
      </x:c>
      <x:c r="E4047" s="6" t="str">
        <x:v>dew (A)</x:v>
      </x:c>
      <x:c r="F4047" s="6" t="str">
        <x:v>下平聲二蕭</x:v>
      </x:c>
      <x:c r="G4047" s="6" t="str">
        <x:v>Pingshui main list, Wikisource-derived DOCX</x:v>
      </x:c>
      <x:c r="H4047" s="6" t="str">
        <x:v>1</x:v>
      </x:c>
      <x:c r="I4047" s="6" t="str"/>
      <x:c r="J4047" s="6" t="str">
        <x:f>IF(B4047="","",IF(AND(ISNUMBER(SEARCH("平",B4047)),OR(ISNUMBER(SEARCH("上",B4047)),ISNUMBER(SEARCH("去",B4047)),ISNUMBER(SEARCH("入",B4047)))),"Ambiguous",IF(ISNUMBER(SEARCH("平",B4047)),"平","仄")))</x:f>
        <x:v>平</x:v>
      </x:c>
      <x:c r="K4047" s="6" t="str">
        <x:f>IF(D4047="","",IF(AND(ISNUMBER(SEARCH("平",D4047)),OR(ISNUMBER(SEARCH("上",D4047)),ISNUMBER(SEARCH("去",D4047)),ISNUMBER(SEARCH("入",D4047)))),"Ambiguous",IF(ISNUMBER(SEARCH("平",D4047)),"平","仄")))</x:f>
        <x:v>平</x:v>
      </x:c>
      <x:c r="L4047" s="7" t="str"/>
    </x:row>
    <x:row r="4048">
      <x:c r="A4048" s="5" t="str">
        <x:v>跼</x:v>
      </x:c>
      <x:c r="B4048" s="6" t="str">
        <x:v>入</x:v>
      </x:c>
      <x:c r="C4048" s="6" t="str">
        <x:f>IF(B4048="","Needs decision","Ready")</x:f>
        <x:v>Ready</x:v>
      </x:c>
      <x:c r="D4048" s="6" t="str">
        <x:v>入</x:v>
      </x:c>
      <x:c r="E4048" s="6" t="str">
        <x:v>gjowk [ɡɨ̯ok] (入)</x:v>
      </x:c>
      <x:c r="F4048" s="6" t="str">
        <x:v>入聲二沃</x:v>
      </x:c>
      <x:c r="G4048" s="6" t="str">
        <x:v>Pingshui main list, Wikisource-derived DOCX</x:v>
      </x:c>
      <x:c r="H4048" s="6" t="str">
        <x:v>1</x:v>
      </x:c>
      <x:c r="I4048" s="6" t="str">
        <x:v>Tang 300 gap; frequency 1; provisional from Xun Gong</x:v>
      </x:c>
      <x:c r="J4048" s="6" t="str">
        <x:f>IF(B4048="","",IF(AND(ISNUMBER(SEARCH("平",B4048)),OR(ISNUMBER(SEARCH("上",B4048)),ISNUMBER(SEARCH("去",B4048)),ISNUMBER(SEARCH("入",B4048)))),"Ambiguous",IF(ISNUMBER(SEARCH("平",B4048)),"平","仄")))</x:f>
        <x:v>仄</x:v>
      </x:c>
      <x:c r="K4048" s="6" t="str">
        <x:f>IF(D4048="","",IF(AND(ISNUMBER(SEARCH("平",D4048)),OR(ISNUMBER(SEARCH("上",D4048)),ISNUMBER(SEARCH("去",D4048)),ISNUMBER(SEARCH("入",D4048)))),"Ambiguous",IF(ISNUMBER(SEARCH("平",D4048)),"平","仄")))</x:f>
        <x:v>仄</x:v>
      </x:c>
      <x:c r="L4048" s="7" t="str">
        <x:v>Xun Gong, Tang 300 gap fill</x:v>
      </x:c>
    </x:row>
    <x:row r="4049">
      <x:c r="A4049" s="5" t="str">
        <x:v>踂</x:v>
      </x:c>
      <x:c r="B4049" s="6" t="str">
        <x:v>入</x:v>
      </x:c>
      <x:c r="C4049" s="6" t="str">
        <x:f>IF(B4049="","Needs decision","Ready")</x:f>
        <x:v>Ready</x:v>
      </x:c>
      <x:c r="D4049" s="6" t="str">
        <x:v>入</x:v>
      </x:c>
      <x:c r="E4049" s="6" t="str">
        <x:v>nrjep (D)</x:v>
      </x:c>
      <x:c r="F4049" s="6" t="str"/>
      <x:c r="G4049" s="6" t="str"/>
      <x:c r="H4049" s="6" t="str">
        <x:v>1</x:v>
      </x:c>
      <x:c r="I4049" s="6" t="str"/>
      <x:c r="J4049" s="6" t="str">
        <x:f>IF(B4049="","",IF(AND(ISNUMBER(SEARCH("平",B4049)),OR(ISNUMBER(SEARCH("上",B4049)),ISNUMBER(SEARCH("去",B4049)),ISNUMBER(SEARCH("入",B4049)))),"Ambiguous",IF(ISNUMBER(SEARCH("平",B4049)),"平","仄")))</x:f>
        <x:v>仄</x:v>
      </x:c>
      <x:c r="K4049" s="6" t="str">
        <x:f>IF(D4049="","",IF(AND(ISNUMBER(SEARCH("平",D4049)),OR(ISNUMBER(SEARCH("上",D4049)),ISNUMBER(SEARCH("去",D4049)),ISNUMBER(SEARCH("入",D4049)))),"Ambiguous",IF(ISNUMBER(SEARCH("平",D4049)),"平","仄")))</x:f>
        <x:v>仄</x:v>
      </x:c>
      <x:c r="L4049" s="7" t="str"/>
    </x:row>
    <x:row r="4050">
      <x:c r="A4050" s="5" t="str">
        <x:v>踊</x:v>
      </x:c>
      <x:c r="B4050" s="6" t="str">
        <x:v>上</x:v>
      </x:c>
      <x:c r="C4050" s="6" t="str">
        <x:f>IF(B4050="","Needs decision","Ready")</x:f>
        <x:v>Ready</x:v>
      </x:c>
      <x:c r="D4050" s="6" t="str">
        <x:v>上</x:v>
      </x:c>
      <x:c r="E4050" s="6" t="str">
        <x:v>yowngX (B)</x:v>
      </x:c>
      <x:c r="F4050" s="6" t="str"/>
      <x:c r="G4050" s="6" t="str"/>
      <x:c r="H4050" s="6" t="str">
        <x:v>1</x:v>
      </x:c>
      <x:c r="I4050" s="6" t="str"/>
      <x:c r="J4050" s="6" t="str">
        <x:f>IF(B4050="","",IF(AND(ISNUMBER(SEARCH("平",B4050)),OR(ISNUMBER(SEARCH("上",B4050)),ISNUMBER(SEARCH("去",B4050)),ISNUMBER(SEARCH("入",B4050)))),"Ambiguous",IF(ISNUMBER(SEARCH("平",B4050)),"平","仄")))</x:f>
        <x:v>仄</x:v>
      </x:c>
      <x:c r="K4050" s="6" t="str">
        <x:f>IF(D4050="","",IF(AND(ISNUMBER(SEARCH("平",D4050)),OR(ISNUMBER(SEARCH("上",D4050)),ISNUMBER(SEARCH("去",D4050)),ISNUMBER(SEARCH("入",D4050)))),"Ambiguous",IF(ISNUMBER(SEARCH("平",D4050)),"平","仄")))</x:f>
        <x:v>仄</x:v>
      </x:c>
      <x:c r="L4050" s="7" t="str"/>
    </x:row>
    <x:row r="4051">
      <x:c r="A4051" s="5" t="str">
        <x:v>踏</x:v>
      </x:c>
      <x:c r="B4051" s="6" t="str">
        <x:v>入</x:v>
      </x:c>
      <x:c r="C4051" s="6" t="str">
        <x:f>IF(B4051="","Needs decision","Ready")</x:f>
        <x:v>Ready</x:v>
      </x:c>
      <x:c r="D4051" s="6" t="str">
        <x:v>入</x:v>
      </x:c>
      <x:c r="E4051" s="6" t="str">
        <x:v>thop [t̙ʰəp] (入)</x:v>
      </x:c>
      <x:c r="F4051" s="6" t="str">
        <x:v>入聲十五合</x:v>
      </x:c>
      <x:c r="G4051" s="6" t="str">
        <x:v>Pingshui main list, Wikisource-derived DOCX</x:v>
      </x:c>
      <x:c r="H4051" s="6" t="str">
        <x:v>1</x:v>
      </x:c>
      <x:c r="I4051" s="6" t="str">
        <x:v>Tang 300 gap; frequency 2; provisional from Xun Gong</x:v>
      </x:c>
      <x:c r="J4051" s="6" t="str">
        <x:f>IF(B4051="","",IF(AND(ISNUMBER(SEARCH("平",B4051)),OR(ISNUMBER(SEARCH("上",B4051)),ISNUMBER(SEARCH("去",B4051)),ISNUMBER(SEARCH("入",B4051)))),"Ambiguous",IF(ISNUMBER(SEARCH("平",B4051)),"平","仄")))</x:f>
        <x:v>仄</x:v>
      </x:c>
      <x:c r="K4051" s="6" t="str">
        <x:f>IF(D4051="","",IF(AND(ISNUMBER(SEARCH("平",D4051)),OR(ISNUMBER(SEARCH("上",D4051)),ISNUMBER(SEARCH("去",D4051)),ISNUMBER(SEARCH("入",D4051)))),"Ambiguous",IF(ISNUMBER(SEARCH("平",D4051)),"平","仄")))</x:f>
        <x:v>仄</x:v>
      </x:c>
      <x:c r="L4051" s="7" t="str">
        <x:v>Xun Gong, Tang 300 gap fill</x:v>
      </x:c>
    </x:row>
    <x:row r="4052">
      <x:c r="A4052" s="5" t="str">
        <x:v>踐</x:v>
      </x:c>
      <x:c r="B4052" s="6" t="str">
        <x:v>上</x:v>
      </x:c>
      <x:c r="C4052" s="6" t="str">
        <x:f>IF(B4052="","Needs decision","Ready")</x:f>
        <x:v>Ready</x:v>
      </x:c>
      <x:c r="D4052" s="6" t="str">
        <x:v>上</x:v>
      </x:c>
      <x:c r="E4052" s="6" t="str">
        <x:v>dzjenX (B)</x:v>
      </x:c>
      <x:c r="F4052" s="6" t="str">
        <x:v>上聲十六銑</x:v>
      </x:c>
      <x:c r="G4052" s="6" t="str">
        <x:v>Pingshui main list, Wikisource-derived DOCX</x:v>
      </x:c>
      <x:c r="H4052" s="6" t="str">
        <x:v>1</x:v>
      </x:c>
      <x:c r="I4052" s="6" t="str"/>
      <x:c r="J4052" s="6" t="str">
        <x:f>IF(B4052="","",IF(AND(ISNUMBER(SEARCH("平",B4052)),OR(ISNUMBER(SEARCH("上",B4052)),ISNUMBER(SEARCH("去",B4052)),ISNUMBER(SEARCH("入",B4052)))),"Ambiguous",IF(ISNUMBER(SEARCH("平",B4052)),"平","仄")))</x:f>
        <x:v>仄</x:v>
      </x:c>
      <x:c r="K4052" s="6" t="str">
        <x:f>IF(D4052="","",IF(AND(ISNUMBER(SEARCH("平",D4052)),OR(ISNUMBER(SEARCH("上",D4052)),ISNUMBER(SEARCH("去",D4052)),ISNUMBER(SEARCH("入",D4052)))),"Ambiguous",IF(ISNUMBER(SEARCH("平",D4052)),"平","仄")))</x:f>
        <x:v>仄</x:v>
      </x:c>
      <x:c r="L4052" s="7" t="str"/>
    </x:row>
    <x:row r="4053">
      <x:c r="A4053" s="5" t="str">
        <x:v>踝</x:v>
      </x:c>
      <x:c r="B4053" s="6" t="str">
        <x:v>上</x:v>
      </x:c>
      <x:c r="C4053" s="6" t="str">
        <x:f>IF(B4053="","Needs decision","Ready")</x:f>
        <x:v>Ready</x:v>
      </x:c>
      <x:c r="D4053" s="6" t="str">
        <x:v>上</x:v>
      </x:c>
      <x:c r="E4053" s="6" t="str">
        <x:v>hwaeX (B)</x:v>
      </x:c>
      <x:c r="F4053" s="6" t="str">
        <x:v>上聲二十一馬</x:v>
      </x:c>
      <x:c r="G4053" s="6" t="str">
        <x:v>Pingshui main list, Wikisource-derived DOCX</x:v>
      </x:c>
      <x:c r="H4053" s="6" t="str">
        <x:v>1</x:v>
      </x:c>
      <x:c r="I4053" s="6" t="str"/>
      <x:c r="J4053" s="6" t="str">
        <x:f>IF(B4053="","",IF(AND(ISNUMBER(SEARCH("平",B4053)),OR(ISNUMBER(SEARCH("上",B4053)),ISNUMBER(SEARCH("去",B4053)),ISNUMBER(SEARCH("入",B4053)))),"Ambiguous",IF(ISNUMBER(SEARCH("平",B4053)),"平","仄")))</x:f>
        <x:v>仄</x:v>
      </x:c>
      <x:c r="K4053" s="6" t="str">
        <x:f>IF(D4053="","",IF(AND(ISNUMBER(SEARCH("平",D4053)),OR(ISNUMBER(SEARCH("上",D4053)),ISNUMBER(SEARCH("去",D4053)),ISNUMBER(SEARCH("入",D4053)))),"Ambiguous",IF(ISNUMBER(SEARCH("平",D4053)),"平","仄")))</x:f>
        <x:v>仄</x:v>
      </x:c>
      <x:c r="L4053" s="7" t="str"/>
    </x:row>
    <x:row r="4054">
      <x:c r="A4054" s="5" t="str">
        <x:v>踟</x:v>
      </x:c>
      <x:c r="B4054" s="6" t="str">
        <x:v>平</x:v>
      </x:c>
      <x:c r="C4054" s="6" t="str">
        <x:f>IF(B4054="","Needs decision","Ready")</x:f>
        <x:v>Ready</x:v>
      </x:c>
      <x:c r="D4054" s="6" t="str">
        <x:v>平</x:v>
      </x:c>
      <x:c r="E4054" s="6" t="str">
        <x:v>drje (A)</x:v>
      </x:c>
      <x:c r="F4054" s="6" t="str">
        <x:v>上平聲四支</x:v>
      </x:c>
      <x:c r="G4054" s="6" t="str">
        <x:v>Pingshui main list, Wikisource-derived DOCX</x:v>
      </x:c>
      <x:c r="H4054" s="6" t="str">
        <x:v>1</x:v>
      </x:c>
      <x:c r="I4054" s="6" t="str"/>
      <x:c r="J4054" s="6" t="str">
        <x:f>IF(B4054="","",IF(AND(ISNUMBER(SEARCH("平",B4054)),OR(ISNUMBER(SEARCH("上",B4054)),ISNUMBER(SEARCH("去",B4054)),ISNUMBER(SEARCH("入",B4054)))),"Ambiguous",IF(ISNUMBER(SEARCH("平",B4054)),"平","仄")))</x:f>
        <x:v>平</x:v>
      </x:c>
      <x:c r="K4054" s="6" t="str">
        <x:f>IF(D4054="","",IF(AND(ISNUMBER(SEARCH("平",D4054)),OR(ISNUMBER(SEARCH("上",D4054)),ISNUMBER(SEARCH("去",D4054)),ISNUMBER(SEARCH("入",D4054)))),"Ambiguous",IF(ISNUMBER(SEARCH("平",D4054)),"平","仄")))</x:f>
        <x:v>平</x:v>
      </x:c>
      <x:c r="L4054" s="7" t="str"/>
    </x:row>
    <x:row r="4055">
      <x:c r="A4055" s="5" t="str">
        <x:v>踦</x:v>
      </x:c>
      <x:c r="B4055" s="6" t="str">
        <x:v>上</x:v>
      </x:c>
      <x:c r="C4055" s="6" t="str">
        <x:f>IF(B4055="","Needs decision","Ready")</x:f>
        <x:v>Ready</x:v>
      </x:c>
      <x:c r="D4055" s="6" t="str">
        <x:v>上</x:v>
      </x:c>
      <x:c r="E4055" s="6" t="str">
        <x:v>gjeX (B)</x:v>
      </x:c>
      <x:c r="F4055" s="6" t="str">
        <x:v>上平聲四支; 上聲四紙</x:v>
      </x:c>
      <x:c r="G4055" s="6" t="str">
        <x:v>Pingshui main list, Wikisource-derived DOCX</x:v>
      </x:c>
      <x:c r="H4055" s="6" t="str">
        <x:v>1</x:v>
      </x:c>
      <x:c r="I4055" s="6" t="str"/>
      <x:c r="J4055" s="6" t="str">
        <x:f>IF(B4055="","",IF(AND(ISNUMBER(SEARCH("平",B4055)),OR(ISNUMBER(SEARCH("上",B4055)),ISNUMBER(SEARCH("去",B4055)),ISNUMBER(SEARCH("入",B4055)))),"Ambiguous",IF(ISNUMBER(SEARCH("平",B4055)),"平","仄")))</x:f>
        <x:v>仄</x:v>
      </x:c>
      <x:c r="K4055" s="6" t="str">
        <x:f>IF(D4055="","",IF(AND(ISNUMBER(SEARCH("平",D4055)),OR(ISNUMBER(SEARCH("上",D4055)),ISNUMBER(SEARCH("去",D4055)),ISNUMBER(SEARCH("入",D4055)))),"Ambiguous",IF(ISNUMBER(SEARCH("平",D4055)),"平","仄")))</x:f>
        <x:v>仄</x:v>
      </x:c>
      <x:c r="L4055" s="7" t="str"/>
    </x:row>
    <x:row r="4056">
      <x:c r="A4056" s="5" t="str">
        <x:v>踰</x:v>
      </x:c>
      <x:c r="B4056" s="6" t="str">
        <x:v>平</x:v>
      </x:c>
      <x:c r="C4056" s="6" t="str">
        <x:f>IF(B4056="","Needs decision","Ready")</x:f>
        <x:v>Ready</x:v>
      </x:c>
      <x:c r="D4056" s="6" t="str">
        <x:v>平</x:v>
      </x:c>
      <x:c r="E4056" s="6" t="str">
        <x:v>yu (A)</x:v>
      </x:c>
      <x:c r="F4056" s="6" t="str"/>
      <x:c r="G4056" s="6" t="str"/>
      <x:c r="H4056" s="6" t="str">
        <x:v>1</x:v>
      </x:c>
      <x:c r="I4056" s="6" t="str"/>
      <x:c r="J4056" s="6" t="str">
        <x:f>IF(B4056="","",IF(AND(ISNUMBER(SEARCH("平",B4056)),OR(ISNUMBER(SEARCH("上",B4056)),ISNUMBER(SEARCH("去",B4056)),ISNUMBER(SEARCH("入",B4056)))),"Ambiguous",IF(ISNUMBER(SEARCH("平",B4056)),"平","仄")))</x:f>
        <x:v>平</x:v>
      </x:c>
      <x:c r="K4056" s="6" t="str">
        <x:f>IF(D4056="","",IF(AND(ISNUMBER(SEARCH("平",D4056)),OR(ISNUMBER(SEARCH("上",D4056)),ISNUMBER(SEARCH("去",D4056)),ISNUMBER(SEARCH("入",D4056)))),"Ambiguous",IF(ISNUMBER(SEARCH("平",D4056)),"平","仄")))</x:f>
        <x:v>平</x:v>
      </x:c>
      <x:c r="L4056" s="7" t="str"/>
    </x:row>
    <x:row r="4057">
      <x:c r="A4057" s="5" t="str">
        <x:v>踵</x:v>
      </x:c>
      <x:c r="B4057" s="6" t="str">
        <x:v>上</x:v>
      </x:c>
      <x:c r="C4057" s="6" t="str">
        <x:f>IF(B4057="","Needs decision","Ready")</x:f>
        <x:v>Ready</x:v>
      </x:c>
      <x:c r="D4057" s="6" t="str">
        <x:v>上</x:v>
      </x:c>
      <x:c r="E4057" s="6" t="str">
        <x:v>tsyowngX [章三鍾上] tɕoŋʔ</x:v>
      </x:c>
      <x:c r="F4057" s="6" t="str">
        <x:v>上聲二腫</x:v>
      </x:c>
      <x:c r="G4057" s="6" t="str">
        <x:v>Pingshui main list, Wikisource-derived DOCX</x:v>
      </x:c>
      <x:c r="H4057" s="6" t="str">
        <x:v>1</x:v>
      </x:c>
      <x:c r="I4057" s="6" t="str">
        <x:v>Targeted preliminary fill from Xun Gong; review if uncertain</x:v>
      </x:c>
      <x:c r="J4057" s="6" t="str">
        <x:f>IF(B4057="","",IF(AND(ISNUMBER(SEARCH("平",B4057)),OR(ISNUMBER(SEARCH("上",B4057)),ISNUMBER(SEARCH("去",B4057)),ISNUMBER(SEARCH("入",B4057)))),"Ambiguous",IF(ISNUMBER(SEARCH("平",B4057)),"平","仄")))</x:f>
        <x:v>仄</x:v>
      </x:c>
      <x:c r="K4057" s="6" t="str">
        <x:f>IF(D4057="","",IF(AND(ISNUMBER(SEARCH("平",D4057)),OR(ISNUMBER(SEARCH("上",D4057)),ISNUMBER(SEARCH("去",D4057)),ISNUMBER(SEARCH("入",D4057)))),"Ambiguous",IF(ISNUMBER(SEARCH("平",D4057)),"平","仄")))</x:f>
        <x:v>仄</x:v>
      </x:c>
      <x:c r="L4057" s="7" t="str">
        <x:v>Xun Gong character-readings.csv</x:v>
      </x:c>
    </x:row>
    <x:row r="4058">
      <x:c r="A4058" s="5" t="str">
        <x:v>蹁</x:v>
      </x:c>
      <x:c r="B4058" s="6" t="str">
        <x:v>平</x:v>
      </x:c>
      <x:c r="C4058" s="6" t="str">
        <x:f>IF(B4058="","Needs decision","Ready")</x:f>
        <x:v>Ready</x:v>
      </x:c>
      <x:c r="D4058" s="6" t="str">
        <x:v>平</x:v>
      </x:c>
      <x:c r="E4058" s="6" t="str">
        <x:v>ben (A)</x:v>
      </x:c>
      <x:c r="F4058" s="6" t="str"/>
      <x:c r="G4058" s="6" t="str"/>
      <x:c r="H4058" s="6" t="str">
        <x:v>1</x:v>
      </x:c>
      <x:c r="I4058" s="6" t="str"/>
      <x:c r="J4058" s="6" t="str">
        <x:f>IF(B4058="","",IF(AND(ISNUMBER(SEARCH("平",B4058)),OR(ISNUMBER(SEARCH("上",B4058)),ISNUMBER(SEARCH("去",B4058)),ISNUMBER(SEARCH("入",B4058)))),"Ambiguous",IF(ISNUMBER(SEARCH("平",B4058)),"平","仄")))</x:f>
        <x:v>平</x:v>
      </x:c>
      <x:c r="K4058" s="6" t="str">
        <x:f>IF(D4058="","",IF(AND(ISNUMBER(SEARCH("平",D4058)),OR(ISNUMBER(SEARCH("上",D4058)),ISNUMBER(SEARCH("去",D4058)),ISNUMBER(SEARCH("入",D4058)))),"Ambiguous",IF(ISNUMBER(SEARCH("平",D4058)),"平","仄")))</x:f>
        <x:v>平</x:v>
      </x:c>
      <x:c r="L4058" s="7" t="str"/>
    </x:row>
    <x:row r="4059">
      <x:c r="A4059" s="5" t="str">
        <x:v>蹄</x:v>
      </x:c>
      <x:c r="B4059" s="6" t="str">
        <x:v>平</x:v>
      </x:c>
      <x:c r="C4059" s="6" t="str">
        <x:f>IF(B4059="","Needs decision","Ready")</x:f>
        <x:v>Ready</x:v>
      </x:c>
      <x:c r="D4059" s="6" t="str">
        <x:v>平</x:v>
      </x:c>
      <x:c r="E4059" s="6" t="str">
        <x:v>dej [d̙ej] (平)</x:v>
      </x:c>
      <x:c r="F4059" s="6" t="str"/>
      <x:c r="G4059" s="6" t="str"/>
      <x:c r="H4059" s="6" t="str">
        <x:v>1</x:v>
      </x:c>
      <x:c r="I4059" s="6" t="str">
        <x:v>Tang 300 gap; frequency 3; provisional from Xun Gong</x:v>
      </x:c>
      <x:c r="J4059" s="6" t="str">
        <x:f>IF(B4059="","",IF(AND(ISNUMBER(SEARCH("平",B4059)),OR(ISNUMBER(SEARCH("上",B4059)),ISNUMBER(SEARCH("去",B4059)),ISNUMBER(SEARCH("入",B4059)))),"Ambiguous",IF(ISNUMBER(SEARCH("平",B4059)),"平","仄")))</x:f>
        <x:v>平</x:v>
      </x:c>
      <x:c r="K4059" s="6" t="str">
        <x:f>IF(D4059="","",IF(AND(ISNUMBER(SEARCH("平",D4059)),OR(ISNUMBER(SEARCH("上",D4059)),ISNUMBER(SEARCH("去",D4059)),ISNUMBER(SEARCH("入",D4059)))),"Ambiguous",IF(ISNUMBER(SEARCH("平",D4059)),"平","仄")))</x:f>
        <x:v>平</x:v>
      </x:c>
      <x:c r="L4059" s="7" t="str">
        <x:v>Xun Gong, Tang 300 gap fill</x:v>
      </x:c>
    </x:row>
    <x:row r="4060">
      <x:c r="A4060" s="5" t="str">
        <x:v>蹈</x:v>
      </x:c>
      <x:c r="B4060" s="6" t="str">
        <x:v>去</x:v>
      </x:c>
      <x:c r="C4060" s="6" t="str">
        <x:f>IF(B4060="","Needs decision","Ready")</x:f>
        <x:v>Ready</x:v>
      </x:c>
      <x:c r="D4060" s="6" t="str">
        <x:v>去</x:v>
      </x:c>
      <x:c r="E4060" s="6" t="str">
        <x:v>dawH [d̙əwh] (去)</x:v>
      </x:c>
      <x:c r="F4060" s="6" t="str">
        <x:v>去聲二十號</x:v>
      </x:c>
      <x:c r="G4060" s="6" t="str">
        <x:v>Pingshui main list, Wikisource-derived DOCX</x:v>
      </x:c>
      <x:c r="H4060" s="6" t="str">
        <x:v>1</x:v>
      </x:c>
      <x:c r="I4060" s="6" t="str">
        <x:v>Tang 300 gap; frequency 1; provisional from Xun Gong</x:v>
      </x:c>
      <x:c r="J4060" s="6" t="str">
        <x:f>IF(B4060="","",IF(AND(ISNUMBER(SEARCH("平",B4060)),OR(ISNUMBER(SEARCH("上",B4060)),ISNUMBER(SEARCH("去",B4060)),ISNUMBER(SEARCH("入",B4060)))),"Ambiguous",IF(ISNUMBER(SEARCH("平",B4060)),"平","仄")))</x:f>
        <x:v>仄</x:v>
      </x:c>
      <x:c r="K4060" s="6" t="str">
        <x:f>IF(D4060="","",IF(AND(ISNUMBER(SEARCH("平",D4060)),OR(ISNUMBER(SEARCH("上",D4060)),ISNUMBER(SEARCH("去",D4060)),ISNUMBER(SEARCH("入",D4060)))),"Ambiguous",IF(ISNUMBER(SEARCH("平",D4060)),"平","仄")))</x:f>
        <x:v>仄</x:v>
      </x:c>
      <x:c r="L4060" s="7" t="str">
        <x:v>Xun Gong, Tang 300 gap fill</x:v>
      </x:c>
    </x:row>
    <x:row r="4061">
      <x:c r="A4061" s="5" t="str">
        <x:v>蹉</x:v>
      </x:c>
      <x:c r="B4061" s="6" t="str">
        <x:v>平</x:v>
      </x:c>
      <x:c r="C4061" s="6" t="str">
        <x:f>IF(B4061="","Needs decision","Ready")</x:f>
        <x:v>Ready</x:v>
      </x:c>
      <x:c r="D4061" s="6" t="str">
        <x:v>平</x:v>
      </x:c>
      <x:c r="E4061" s="6" t="str">
        <x:v>tsha [t̙s̙ʰɑ] (平)</x:v>
      </x:c>
      <x:c r="F4061" s="6" t="str">
        <x:v>下平聲五歌</x:v>
      </x:c>
      <x:c r="G4061" s="6" t="str">
        <x:v>Pingshui main list, Wikisource-derived DOCX</x:v>
      </x:c>
      <x:c r="H4061" s="6" t="str">
        <x:v>1</x:v>
      </x:c>
      <x:c r="I4061" s="6" t="str">
        <x:v>Tang 300 gap; frequency 3; provisional from Xun Gong</x:v>
      </x:c>
      <x:c r="J4061" s="6" t="str">
        <x:f>IF(B4061="","",IF(AND(ISNUMBER(SEARCH("平",B4061)),OR(ISNUMBER(SEARCH("上",B4061)),ISNUMBER(SEARCH("去",B4061)),ISNUMBER(SEARCH("入",B4061)))),"Ambiguous",IF(ISNUMBER(SEARCH("平",B4061)),"平","仄")))</x:f>
        <x:v>平</x:v>
      </x:c>
      <x:c r="K4061" s="6" t="str">
        <x:f>IF(D4061="","",IF(AND(ISNUMBER(SEARCH("平",D4061)),OR(ISNUMBER(SEARCH("上",D4061)),ISNUMBER(SEARCH("去",D4061)),ISNUMBER(SEARCH("入",D4061)))),"Ambiguous",IF(ISNUMBER(SEARCH("平",D4061)),"平","仄")))</x:f>
        <x:v>平</x:v>
      </x:c>
      <x:c r="L4061" s="7" t="str">
        <x:v>Xun Gong, Tang 300 gap fill</x:v>
      </x:c>
    </x:row>
    <x:row r="4062">
      <x:c r="A4062" s="5" t="str">
        <x:v>蹊</x:v>
      </x:c>
      <x:c r="B4062" s="6" t="str">
        <x:v>平</x:v>
      </x:c>
      <x:c r="C4062" s="6" t="str">
        <x:f>IF(B4062="","Needs decision","Ready")</x:f>
        <x:v>Ready</x:v>
      </x:c>
      <x:c r="D4062" s="6" t="str">
        <x:v>平</x:v>
      </x:c>
      <x:c r="E4062" s="6" t="str">
        <x:v>hej (A)</x:v>
      </x:c>
      <x:c r="F4062" s="6" t="str">
        <x:v>上平聲八齊</x:v>
      </x:c>
      <x:c r="G4062" s="6" t="str">
        <x:v>Pingshui main list, Wikisource-derived DOCX</x:v>
      </x:c>
      <x:c r="H4062" s="6" t="str">
        <x:v>1</x:v>
      </x:c>
      <x:c r="I4062" s="6" t="str"/>
      <x:c r="J4062" s="6" t="str">
        <x:f>IF(B4062="","",IF(AND(ISNUMBER(SEARCH("平",B4062)),OR(ISNUMBER(SEARCH("上",B4062)),ISNUMBER(SEARCH("去",B4062)),ISNUMBER(SEARCH("入",B4062)))),"Ambiguous",IF(ISNUMBER(SEARCH("平",B4062)),"平","仄")))</x:f>
        <x:v>平</x:v>
      </x:c>
      <x:c r="K4062" s="6" t="str">
        <x:f>IF(D4062="","",IF(AND(ISNUMBER(SEARCH("平",D4062)),OR(ISNUMBER(SEARCH("上",D4062)),ISNUMBER(SEARCH("去",D4062)),ISNUMBER(SEARCH("入",D4062)))),"Ambiguous",IF(ISNUMBER(SEARCH("平",D4062)),"平","仄")))</x:f>
        <x:v>平</x:v>
      </x:c>
      <x:c r="L4062" s="7" t="str"/>
    </x:row>
    <x:row r="4063">
      <x:c r="A4063" s="5" t="str">
        <x:v>蹋</x:v>
      </x:c>
      <x:c r="B4063" s="6" t="str">
        <x:v>入</x:v>
      </x:c>
      <x:c r="C4063" s="6" t="str">
        <x:f>IF(B4063="","Needs decision","Ready")</x:f>
        <x:v>Ready</x:v>
      </x:c>
      <x:c r="D4063" s="6" t="str">
        <x:v>入</x:v>
      </x:c>
      <x:c r="E4063" s="6" t="str">
        <x:v>dap (D)</x:v>
      </x:c>
      <x:c r="F4063" s="6" t="str"/>
      <x:c r="G4063" s="6" t="str"/>
      <x:c r="H4063" s="6" t="str">
        <x:v>1</x:v>
      </x:c>
      <x:c r="I4063" s="6" t="str"/>
      <x:c r="J4063" s="6" t="str">
        <x:f>IF(B4063="","",IF(AND(ISNUMBER(SEARCH("平",B4063)),OR(ISNUMBER(SEARCH("上",B4063)),ISNUMBER(SEARCH("去",B4063)),ISNUMBER(SEARCH("入",B4063)))),"Ambiguous",IF(ISNUMBER(SEARCH("平",B4063)),"平","仄")))</x:f>
        <x:v>仄</x:v>
      </x:c>
      <x:c r="K4063" s="6" t="str">
        <x:f>IF(D4063="","",IF(AND(ISNUMBER(SEARCH("平",D4063)),OR(ISNUMBER(SEARCH("上",D4063)),ISNUMBER(SEARCH("去",D4063)),ISNUMBER(SEARCH("入",D4063)))),"Ambiguous",IF(ISNUMBER(SEARCH("平",D4063)),"平","仄")))</x:f>
        <x:v>仄</x:v>
      </x:c>
      <x:c r="L4063" s="7" t="str"/>
    </x:row>
    <x:row r="4064">
      <x:c r="A4064" s="5" t="str">
        <x:v>蹍</x:v>
      </x:c>
      <x:c r="B4064" s="6" t="str">
        <x:v>上</x:v>
      </x:c>
      <x:c r="C4064" s="6" t="str">
        <x:f>IF(B4064="","Needs decision","Ready")</x:f>
        <x:v>Ready</x:v>
      </x:c>
      <x:c r="D4064" s="6" t="str">
        <x:v>上</x:v>
      </x:c>
      <x:c r="E4064" s="6" t="str">
        <x:v>nrjenX (B)</x:v>
      </x:c>
      <x:c r="F4064" s="6" t="str"/>
      <x:c r="G4064" s="6" t="str"/>
      <x:c r="H4064" s="6" t="str">
        <x:v>1</x:v>
      </x:c>
      <x:c r="I4064" s="6" t="str"/>
      <x:c r="J4064" s="6" t="str">
        <x:f>IF(B4064="","",IF(AND(ISNUMBER(SEARCH("平",B4064)),OR(ISNUMBER(SEARCH("上",B4064)),ISNUMBER(SEARCH("去",B4064)),ISNUMBER(SEARCH("入",B4064)))),"Ambiguous",IF(ISNUMBER(SEARCH("平",B4064)),"平","仄")))</x:f>
        <x:v>仄</x:v>
      </x:c>
      <x:c r="K4064" s="6" t="str">
        <x:f>IF(D4064="","",IF(AND(ISNUMBER(SEARCH("平",D4064)),OR(ISNUMBER(SEARCH("上",D4064)),ISNUMBER(SEARCH("去",D4064)),ISNUMBER(SEARCH("入",D4064)))),"Ambiguous",IF(ISNUMBER(SEARCH("平",D4064)),"平","仄")))</x:f>
        <x:v>仄</x:v>
      </x:c>
      <x:c r="L4064" s="7" t="str"/>
    </x:row>
    <x:row r="4065">
      <x:c r="A4065" s="5" t="str">
        <x:v>蹕</x:v>
      </x:c>
      <x:c r="B4065" s="6" t="str">
        <x:v>入</x:v>
      </x:c>
      <x:c r="C4065" s="6" t="str">
        <x:f>IF(B4065="","Needs decision","Ready")</x:f>
        <x:v>Ready</x:v>
      </x:c>
      <x:c r="D4065" s="6" t="str">
        <x:v>入</x:v>
      </x:c>
      <x:c r="E4065" s="6" t="str">
        <x:v>pjit (D)</x:v>
      </x:c>
      <x:c r="F4065" s="6" t="str">
        <x:v>去聲四寘; 入聲四質</x:v>
      </x:c>
      <x:c r="G4065" s="6" t="str">
        <x:v>Pingshui main list, Wikisource-derived DOCX</x:v>
      </x:c>
      <x:c r="H4065" s="6" t="str">
        <x:v>1</x:v>
      </x:c>
      <x:c r="I4065" s="6" t="str"/>
      <x:c r="J4065" s="6" t="str">
        <x:f>IF(B4065="","",IF(AND(ISNUMBER(SEARCH("平",B4065)),OR(ISNUMBER(SEARCH("上",B4065)),ISNUMBER(SEARCH("去",B4065)),ISNUMBER(SEARCH("入",B4065)))),"Ambiguous",IF(ISNUMBER(SEARCH("平",B4065)),"平","仄")))</x:f>
        <x:v>仄</x:v>
      </x:c>
      <x:c r="K4065" s="6" t="str">
        <x:f>IF(D4065="","",IF(AND(ISNUMBER(SEARCH("平",D4065)),OR(ISNUMBER(SEARCH("上",D4065)),ISNUMBER(SEARCH("去",D4065)),ISNUMBER(SEARCH("入",D4065)))),"Ambiguous",IF(ISNUMBER(SEARCH("平",D4065)),"平","仄")))</x:f>
        <x:v>仄</x:v>
      </x:c>
      <x:c r="L4065" s="7" t="str"/>
    </x:row>
    <x:row r="4066">
      <x:c r="A4066" s="5" t="str">
        <x:v>蹙</x:v>
      </x:c>
      <x:c r="B4066" s="6" t="str">
        <x:v>入</x:v>
      </x:c>
      <x:c r="C4066" s="6" t="str">
        <x:f>IF(B4066="","Needs decision","Ready")</x:f>
        <x:v>Ready</x:v>
      </x:c>
      <x:c r="D4066" s="6" t="str">
        <x:v>入</x:v>
      </x:c>
      <x:c r="E4066" s="6" t="str">
        <x:v>tsjuwk [tsjuk] (入)</x:v>
      </x:c>
      <x:c r="F4066" s="6" t="str">
        <x:v>入聲一屋</x:v>
      </x:c>
      <x:c r="G4066" s="6" t="str">
        <x:v>Pingshui main list, Wikisource-derived DOCX</x:v>
      </x:c>
      <x:c r="H4066" s="6" t="str">
        <x:v>1</x:v>
      </x:c>
      <x:c r="I4066" s="6" t="str">
        <x:v>Tang 300 gap; frequency 1; provisional from Xun Gong</x:v>
      </x:c>
      <x:c r="J4066" s="6" t="str">
        <x:f>IF(B4066="","",IF(AND(ISNUMBER(SEARCH("平",B4066)),OR(ISNUMBER(SEARCH("上",B4066)),ISNUMBER(SEARCH("去",B4066)),ISNUMBER(SEARCH("入",B4066)))),"Ambiguous",IF(ISNUMBER(SEARCH("平",B4066)),"平","仄")))</x:f>
        <x:v>仄</x:v>
      </x:c>
      <x:c r="K4066" s="6" t="str">
        <x:f>IF(D4066="","",IF(AND(ISNUMBER(SEARCH("平",D4066)),OR(ISNUMBER(SEARCH("上",D4066)),ISNUMBER(SEARCH("去",D4066)),ISNUMBER(SEARCH("入",D4066)))),"Ambiguous",IF(ISNUMBER(SEARCH("平",D4066)),"平","仄")))</x:f>
        <x:v>仄</x:v>
      </x:c>
      <x:c r="L4066" s="7" t="str">
        <x:v>Xun Gong, Tang 300 gap fill</x:v>
      </x:c>
    </x:row>
    <x:row r="4067">
      <x:c r="A4067" s="5" t="str">
        <x:v>蹟</x:v>
      </x:c>
      <x:c r="B4067" s="6" t="str">
        <x:v>入</x:v>
      </x:c>
      <x:c r="C4067" s="6" t="str">
        <x:f>IF(B4067="","Needs decision","Ready")</x:f>
        <x:v>Ready</x:v>
      </x:c>
      <x:c r="D4067" s="6" t="str">
        <x:v>入</x:v>
      </x:c>
      <x:c r="E4067" s="6" t="str">
        <x:v>tsjek (D)</x:v>
      </x:c>
      <x:c r="F4067" s="6" t="str"/>
      <x:c r="G4067" s="6" t="str"/>
      <x:c r="H4067" s="6" t="str">
        <x:v>1</x:v>
      </x:c>
      <x:c r="I4067" s="6" t="str"/>
      <x:c r="J4067" s="6" t="str">
        <x:f>IF(B4067="","",IF(AND(ISNUMBER(SEARCH("平",B4067)),OR(ISNUMBER(SEARCH("上",B4067)),ISNUMBER(SEARCH("去",B4067)),ISNUMBER(SEARCH("入",B4067)))),"Ambiguous",IF(ISNUMBER(SEARCH("平",B4067)),"平","仄")))</x:f>
        <x:v>仄</x:v>
      </x:c>
      <x:c r="K4067" s="6" t="str">
        <x:f>IF(D4067="","",IF(AND(ISNUMBER(SEARCH("平",D4067)),OR(ISNUMBER(SEARCH("上",D4067)),ISNUMBER(SEARCH("去",D4067)),ISNUMBER(SEARCH("入",D4067)))),"Ambiguous",IF(ISNUMBER(SEARCH("平",D4067)),"平","仄")))</x:f>
        <x:v>仄</x:v>
      </x:c>
      <x:c r="L4067" s="7" t="str"/>
    </x:row>
    <x:row r="4068">
      <x:c r="A4068" s="5" t="str">
        <x:v>蹠</x:v>
      </x:c>
      <x:c r="B4068" s="6" t="str">
        <x:v>入</x:v>
      </x:c>
      <x:c r="C4068" s="6" t="str">
        <x:f>IF(B4068="","Needs decision","Ready")</x:f>
        <x:v>Ready</x:v>
      </x:c>
      <x:c r="D4068" s="6" t="str">
        <x:v>入</x:v>
      </x:c>
      <x:c r="E4068" s="6" t="str"/>
      <x:c r="F4068" s="6" t="str">
        <x:v>入聲十一陌</x:v>
      </x:c>
      <x:c r="G4068" s="6" t="str">
        <x:v>Pingshui main list, Wikisource-derived DOCX</x:v>
      </x:c>
      <x:c r="H4068" s="6" t="str"/>
      <x:c r="I4068" s="6" t="str">
        <x:v>Manual user correction/addition</x:v>
      </x:c>
      <x:c r="J4068" s="6" t="str">
        <x:f>IF(B4068="","",IF(AND(ISNUMBER(SEARCH("平",B4068)),OR(ISNUMBER(SEARCH("上",B4068)),ISNUMBER(SEARCH("去",B4068)),ISNUMBER(SEARCH("入",B4068)))),"Ambiguous",IF(ISNUMBER(SEARCH("平",B4068)),"平","仄")))</x:f>
        <x:v>仄</x:v>
      </x:c>
      <x:c r="K4068" s="6" t="str">
        <x:f>IF(D4068="","",IF(AND(ISNUMBER(SEARCH("平",D4068)),OR(ISNUMBER(SEARCH("上",D4068)),ISNUMBER(SEARCH("去",D4068)),ISNUMBER(SEARCH("入",D4068)))),"Ambiguous",IF(ISNUMBER(SEARCH("平",D4068)),"平","仄")))</x:f>
        <x:v>仄</x:v>
      </x:c>
      <x:c r="L4068" s="7" t="str">
        <x:v>manual user correction</x:v>
      </x:c>
    </x:row>
    <x:row r="4069">
      <x:c r="A4069" s="5" t="str">
        <x:v>蹢</x:v>
      </x:c>
      <x:c r="B4069" s="6" t="str">
        <x:v>入</x:v>
      </x:c>
      <x:c r="C4069" s="6" t="str">
        <x:f>IF(B4069="","Needs decision","Ready")</x:f>
        <x:v>Ready</x:v>
      </x:c>
      <x:c r="D4069" s="6" t="str">
        <x:v>入</x:v>
      </x:c>
      <x:c r="E4069" s="6" t="str">
        <x:v>tek (D)</x:v>
      </x:c>
      <x:c r="F4069" s="6" t="str">
        <x:v>入聲十二錫</x:v>
      </x:c>
      <x:c r="G4069" s="6" t="str">
        <x:v>Pingshui main list, Wikisource-derived DOCX</x:v>
      </x:c>
      <x:c r="H4069" s="6" t="str">
        <x:v>1</x:v>
      </x:c>
      <x:c r="I4069" s="6" t="str"/>
      <x:c r="J4069" s="6" t="str">
        <x:f>IF(B4069="","",IF(AND(ISNUMBER(SEARCH("平",B4069)),OR(ISNUMBER(SEARCH("上",B4069)),ISNUMBER(SEARCH("去",B4069)),ISNUMBER(SEARCH("入",B4069)))),"Ambiguous",IF(ISNUMBER(SEARCH("平",B4069)),"平","仄")))</x:f>
        <x:v>仄</x:v>
      </x:c>
      <x:c r="K4069" s="6" t="str">
        <x:f>IF(D4069="","",IF(AND(ISNUMBER(SEARCH("平",D4069)),OR(ISNUMBER(SEARCH("上",D4069)),ISNUMBER(SEARCH("去",D4069)),ISNUMBER(SEARCH("入",D4069)))),"Ambiguous",IF(ISNUMBER(SEARCH("平",D4069)),"平","仄")))</x:f>
        <x:v>仄</x:v>
      </x:c>
      <x:c r="L4069" s="7" t="str"/>
    </x:row>
    <x:row r="4070">
      <x:c r="A4070" s="5" t="str">
        <x:v>蹤</x:v>
      </x:c>
      <x:c r="B4070" s="6" t="str">
        <x:v>平</x:v>
      </x:c>
      <x:c r="C4070" s="6" t="str">
        <x:f>IF(B4070="","Needs decision","Ready")</x:f>
        <x:v>Ready</x:v>
      </x:c>
      <x:c r="D4070" s="6" t="str">
        <x:v>平</x:v>
      </x:c>
      <x:c r="E4070" s="6" t="str">
        <x:v>tsjowng [tsjoŋ] (平)</x:v>
      </x:c>
      <x:c r="F4070" s="6" t="str">
        <x:v>上平聲二冬</x:v>
      </x:c>
      <x:c r="G4070" s="6" t="str">
        <x:v>Pingshui main list, Wikisource-derived DOCX</x:v>
      </x:c>
      <x:c r="H4070" s="6" t="str">
        <x:v>1</x:v>
      </x:c>
      <x:c r="I4070" s="6" t="str">
        <x:v>Tang 300 gap; frequency 2; provisional from Xun Gong</x:v>
      </x:c>
      <x:c r="J4070" s="6" t="str">
        <x:f>IF(B4070="","",IF(AND(ISNUMBER(SEARCH("平",B4070)),OR(ISNUMBER(SEARCH("上",B4070)),ISNUMBER(SEARCH("去",B4070)),ISNUMBER(SEARCH("入",B4070)))),"Ambiguous",IF(ISNUMBER(SEARCH("平",B4070)),"平","仄")))</x:f>
        <x:v>平</x:v>
      </x:c>
      <x:c r="K4070" s="6" t="str">
        <x:f>IF(D4070="","",IF(AND(ISNUMBER(SEARCH("平",D4070)),OR(ISNUMBER(SEARCH("上",D4070)),ISNUMBER(SEARCH("去",D4070)),ISNUMBER(SEARCH("入",D4070)))),"Ambiguous",IF(ISNUMBER(SEARCH("平",D4070)),"平","仄")))</x:f>
        <x:v>平</x:v>
      </x:c>
      <x:c r="L4070" s="7" t="str">
        <x:v>Xun Gong, Tang 300 gap fill</x:v>
      </x:c>
    </x:row>
    <x:row r="4071">
      <x:c r="A4071" s="5" t="str">
        <x:v>蹮</x:v>
      </x:c>
      <x:c r="B4071" s="6" t="str">
        <x:v>平</x:v>
      </x:c>
      <x:c r="C4071" s="6" t="str">
        <x:f>IF(B4071="","Needs decision","Ready")</x:f>
        <x:v>Ready</x:v>
      </x:c>
      <x:c r="D4071" s="6" t="str">
        <x:v>平</x:v>
      </x:c>
      <x:c r="E4071" s="6" t="str">
        <x:v>sen (A)</x:v>
      </x:c>
      <x:c r="F4071" s="6" t="str"/>
      <x:c r="G4071" s="6" t="str"/>
      <x:c r="H4071" s="6" t="str">
        <x:v>1</x:v>
      </x:c>
      <x:c r="I4071" s="6" t="str"/>
      <x:c r="J4071" s="6" t="str">
        <x:f>IF(B4071="","",IF(AND(ISNUMBER(SEARCH("平",B4071)),OR(ISNUMBER(SEARCH("上",B4071)),ISNUMBER(SEARCH("去",B4071)),ISNUMBER(SEARCH("入",B4071)))),"Ambiguous",IF(ISNUMBER(SEARCH("平",B4071)),"平","仄")))</x:f>
        <x:v>平</x:v>
      </x:c>
      <x:c r="K4071" s="6" t="str">
        <x:f>IF(D4071="","",IF(AND(ISNUMBER(SEARCH("平",D4071)),OR(ISNUMBER(SEARCH("上",D4071)),ISNUMBER(SEARCH("去",D4071)),ISNUMBER(SEARCH("入",D4071)))),"Ambiguous",IF(ISNUMBER(SEARCH("平",D4071)),"平","仄")))</x:f>
        <x:v>平</x:v>
      </x:c>
      <x:c r="L4071" s="7" t="str"/>
    </x:row>
    <x:row r="4072">
      <x:c r="A4072" s="5" t="str">
        <x:v>蹴</x:v>
      </x:c>
      <x:c r="B4072" s="6" t="str">
        <x:v>入</x:v>
      </x:c>
      <x:c r="C4072" s="6" t="str">
        <x:f>IF(B4072="","Needs decision","Ready")</x:f>
        <x:v>Ready</x:v>
      </x:c>
      <x:c r="D4072" s="6" t="str">
        <x:v>入</x:v>
      </x:c>
      <x:c r="E4072" s="6" t="str">
        <x:v>tshjuwk [tsʰjuk] (入); tsjuwk [tsjuk] (入)</x:v>
      </x:c>
      <x:c r="F4072" s="6" t="str">
        <x:v>入聲一屋</x:v>
      </x:c>
      <x:c r="G4072" s="6" t="str">
        <x:v>Pingshui main list, Wikisource-derived DOCX</x:v>
      </x:c>
      <x:c r="H4072" s="6" t="str">
        <x:v>2</x:v>
      </x:c>
      <x:c r="I4072" s="6" t="str">
        <x:v>Tang 300 gap; frequency 1; provisional from Xun Gong</x:v>
      </x:c>
      <x:c r="J4072" s="6" t="str">
        <x:f>IF(B4072="","",IF(AND(ISNUMBER(SEARCH("平",B4072)),OR(ISNUMBER(SEARCH("上",B4072)),ISNUMBER(SEARCH("去",B4072)),ISNUMBER(SEARCH("入",B4072)))),"Ambiguous",IF(ISNUMBER(SEARCH("平",B4072)),"平","仄")))</x:f>
        <x:v>仄</x:v>
      </x:c>
      <x:c r="K4072" s="6" t="str">
        <x:f>IF(D4072="","",IF(AND(ISNUMBER(SEARCH("平",D4072)),OR(ISNUMBER(SEARCH("上",D4072)),ISNUMBER(SEARCH("去",D4072)),ISNUMBER(SEARCH("入",D4072)))),"Ambiguous",IF(ISNUMBER(SEARCH("平",D4072)),"平","仄")))</x:f>
        <x:v>仄</x:v>
      </x:c>
      <x:c r="L4072" s="7" t="str">
        <x:v>Xun Gong, Tang 300 gap fill</x:v>
      </x:c>
    </x:row>
    <x:row r="4073">
      <x:c r="A4073" s="5" t="str">
        <x:v>蹶</x:v>
      </x:c>
      <x:c r="B4073" s="6" t="str">
        <x:v>入</x:v>
      </x:c>
      <x:c r="C4073" s="6" t="str">
        <x:f>IF(B4073="","Needs decision","Ready")</x:f>
        <x:v>Ready</x:v>
      </x:c>
      <x:c r="D4073" s="6" t="str">
        <x:v>入</x:v>
      </x:c>
      <x:c r="E4073" s="6" t="str">
        <x:v>kjwot (D)</x:v>
      </x:c>
      <x:c r="F4073" s="6" t="str">
        <x:v>去聲八霽; 入聲六月</x:v>
      </x:c>
      <x:c r="G4073" s="6" t="str">
        <x:v>Pingshui main list, Wikisource-derived DOCX</x:v>
      </x:c>
      <x:c r="H4073" s="6" t="str">
        <x:v>1</x:v>
      </x:c>
      <x:c r="I4073" s="6" t="str"/>
      <x:c r="J4073" s="6" t="str">
        <x:f>IF(B4073="","",IF(AND(ISNUMBER(SEARCH("平",B4073)),OR(ISNUMBER(SEARCH("上",B4073)),ISNUMBER(SEARCH("去",B4073)),ISNUMBER(SEARCH("入",B4073)))),"Ambiguous",IF(ISNUMBER(SEARCH("平",B4073)),"平","仄")))</x:f>
        <x:v>仄</x:v>
      </x:c>
      <x:c r="K4073" s="6" t="str">
        <x:f>IF(D4073="","",IF(AND(ISNUMBER(SEARCH("平",D4073)),OR(ISNUMBER(SEARCH("上",D4073)),ISNUMBER(SEARCH("去",D4073)),ISNUMBER(SEARCH("入",D4073)))),"Ambiguous",IF(ISNUMBER(SEARCH("平",D4073)),"平","仄")))</x:f>
        <x:v>仄</x:v>
      </x:c>
      <x:c r="L4073" s="7" t="str"/>
    </x:row>
    <x:row r="4074">
      <x:c r="A4074" s="5" t="str">
        <x:v>蹷</x:v>
      </x:c>
      <x:c r="B4074" s="6" t="str"/>
      <x:c r="C4074" s="6" t="str">
        <x:f>IF(B4074="","Needs decision","Ready")</x:f>
        <x:v>Needs decision</x:v>
      </x:c>
      <x:c r="D4074" s="6" t="str">
        <x:v>去/入</x:v>
      </x:c>
      <x:c r="E4074" s="6" t="str">
        <x:v>gjwot (D); kjwejH (C)</x:v>
      </x:c>
      <x:c r="F4074" s="6" t="str"/>
      <x:c r="G4074" s="6" t="str"/>
      <x:c r="H4074" s="6" t="str">
        <x:v>2</x:v>
      </x:c>
      <x:c r="I4074" s="6" t="str"/>
      <x:c r="J4074" s="6" t="str">
        <x:f>IF(B4074="","",IF(AND(ISNUMBER(SEARCH("平",B4074)),OR(ISNUMBER(SEARCH("上",B4074)),ISNUMBER(SEARCH("去",B4074)),ISNUMBER(SEARCH("入",B4074)))),"Ambiguous",IF(ISNUMBER(SEARCH("平",B4074)),"平","仄")))</x:f>
      </x:c>
      <x:c r="K4074" s="6" t="str">
        <x:f>IF(D4074="","",IF(AND(ISNUMBER(SEARCH("平",D4074)),OR(ISNUMBER(SEARCH("上",D4074)),ISNUMBER(SEARCH("去",D4074)),ISNUMBER(SEARCH("入",D4074)))),"Ambiguous",IF(ISNUMBER(SEARCH("平",D4074)),"平","仄")))</x:f>
        <x:v>仄</x:v>
      </x:c>
      <x:c r="L4074" s="7" t="str"/>
    </x:row>
    <x:row r="4075">
      <x:c r="A4075" s="5" t="str">
        <x:v>蹻</x:v>
      </x:c>
      <x:c r="B4075" s="6" t="str"/>
      <x:c r="C4075" s="6" t="str">
        <x:f>IF(B4075="","Needs decision","Ready")</x:f>
        <x:v>Needs decision</x:v>
      </x:c>
      <x:c r="D4075" s="6" t="str">
        <x:v>上/入</x:v>
      </x:c>
      <x:c r="E4075" s="6" t="str">
        <x:v>kjewX (B); gjak (D)</x:v>
      </x:c>
      <x:c r="F4075" s="6" t="str">
        <x:v>上聲十七篠; 入聲十藥</x:v>
      </x:c>
      <x:c r="G4075" s="6" t="str">
        <x:v>Pingshui main list, Wikisource-derived DOCX</x:v>
      </x:c>
      <x:c r="H4075" s="6" t="str">
        <x:v>2</x:v>
      </x:c>
      <x:c r="I4075" s="6" t="str"/>
      <x:c r="J4075" s="6" t="str">
        <x:f>IF(B4075="","",IF(AND(ISNUMBER(SEARCH("平",B4075)),OR(ISNUMBER(SEARCH("上",B4075)),ISNUMBER(SEARCH("去",B4075)),ISNUMBER(SEARCH("入",B4075)))),"Ambiguous",IF(ISNUMBER(SEARCH("平",B4075)),"平","仄")))</x:f>
      </x:c>
      <x:c r="K4075" s="6" t="str">
        <x:f>IF(D4075="","",IF(AND(ISNUMBER(SEARCH("平",D4075)),OR(ISNUMBER(SEARCH("上",D4075)),ISNUMBER(SEARCH("去",D4075)),ISNUMBER(SEARCH("入",D4075)))),"Ambiguous",IF(ISNUMBER(SEARCH("平",D4075)),"平","仄")))</x:f>
        <x:v>仄</x:v>
      </x:c>
      <x:c r="L4075" s="7" t="str"/>
    </x:row>
    <x:row r="4076">
      <x:c r="A4076" s="5" t="str">
        <x:v>躅</x:v>
      </x:c>
      <x:c r="B4076" s="6" t="str">
        <x:v>入</x:v>
      </x:c>
      <x:c r="C4076" s="6" t="str">
        <x:f>IF(B4076="","Needs decision","Ready")</x:f>
        <x:v>Ready</x:v>
      </x:c>
      <x:c r="D4076" s="6" t="str">
        <x:v>入</x:v>
      </x:c>
      <x:c r="E4076" s="6" t="str">
        <x:v>drjowk (D)</x:v>
      </x:c>
      <x:c r="F4076" s="6" t="str">
        <x:v>入聲二沃</x:v>
      </x:c>
      <x:c r="G4076" s="6" t="str">
        <x:v>Pingshui main list, Wikisource-derived DOCX</x:v>
      </x:c>
      <x:c r="H4076" s="6" t="str">
        <x:v>1</x:v>
      </x:c>
      <x:c r="I4076" s="6" t="str"/>
      <x:c r="J4076" s="6" t="str">
        <x:f>IF(B4076="","",IF(AND(ISNUMBER(SEARCH("平",B4076)),OR(ISNUMBER(SEARCH("上",B4076)),ISNUMBER(SEARCH("去",B4076)),ISNUMBER(SEARCH("入",B4076)))),"Ambiguous",IF(ISNUMBER(SEARCH("平",B4076)),"平","仄")))</x:f>
        <x:v>仄</x:v>
      </x:c>
      <x:c r="K4076" s="6" t="str">
        <x:f>IF(D4076="","",IF(AND(ISNUMBER(SEARCH("平",D4076)),OR(ISNUMBER(SEARCH("上",D4076)),ISNUMBER(SEARCH("去",D4076)),ISNUMBER(SEARCH("入",D4076)))),"Ambiguous",IF(ISNUMBER(SEARCH("平",D4076)),"平","仄")))</x:f>
        <x:v>仄</x:v>
      </x:c>
      <x:c r="L4076" s="7" t="str"/>
    </x:row>
    <x:row r="4077">
      <x:c r="A4077" s="5" t="str">
        <x:v>躇</x:v>
      </x:c>
      <x:c r="B4077" s="6" t="str">
        <x:v>入</x:v>
      </x:c>
      <x:c r="C4077" s="6" t="str">
        <x:f>IF(B4077="","Needs decision","Ready")</x:f>
        <x:v>Ready</x:v>
      </x:c>
      <x:c r="D4077" s="6" t="str">
        <x:v>入</x:v>
      </x:c>
      <x:c r="E4077" s="6" t="str">
        <x:v>trhjak (D)</x:v>
      </x:c>
      <x:c r="F4077" s="6" t="str">
        <x:v>上平聲六魚; 入聲十藥</x:v>
      </x:c>
      <x:c r="G4077" s="6" t="str">
        <x:v>Pingshui main list, Wikisource-derived DOCX</x:v>
      </x:c>
      <x:c r="H4077" s="6" t="str">
        <x:v>1</x:v>
      </x:c>
      <x:c r="I4077" s="6" t="str"/>
      <x:c r="J4077" s="6" t="str">
        <x:f>IF(B4077="","",IF(AND(ISNUMBER(SEARCH("平",B4077)),OR(ISNUMBER(SEARCH("上",B4077)),ISNUMBER(SEARCH("去",B4077)),ISNUMBER(SEARCH("入",B4077)))),"Ambiguous",IF(ISNUMBER(SEARCH("平",B4077)),"平","仄")))</x:f>
        <x:v>仄</x:v>
      </x:c>
      <x:c r="K4077" s="6" t="str">
        <x:f>IF(D4077="","",IF(AND(ISNUMBER(SEARCH("平",D4077)),OR(ISNUMBER(SEARCH("上",D4077)),ISNUMBER(SEARCH("去",D4077)),ISNUMBER(SEARCH("入",D4077)))),"Ambiguous",IF(ISNUMBER(SEARCH("平",D4077)),"平","仄")))</x:f>
        <x:v>仄</x:v>
      </x:c>
      <x:c r="L4077" s="7" t="str"/>
    </x:row>
    <x:row r="4078">
      <x:c r="A4078" s="5" t="str">
        <x:v>躊</x:v>
      </x:c>
      <x:c r="B4078" s="6" t="str">
        <x:v>平</x:v>
      </x:c>
      <x:c r="C4078" s="6" t="str">
        <x:f>IF(B4078="","Needs decision","Ready")</x:f>
        <x:v>Ready</x:v>
      </x:c>
      <x:c r="D4078" s="6" t="str">
        <x:v>平</x:v>
      </x:c>
      <x:c r="E4078" s="6" t="str">
        <x:v>drjuw [ɖju] (平)</x:v>
      </x:c>
      <x:c r="F4078" s="6" t="str"/>
      <x:c r="G4078" s="6" t="str"/>
      <x:c r="H4078" s="6" t="str">
        <x:v>1</x:v>
      </x:c>
      <x:c r="I4078" s="6" t="str">
        <x:v>Tang 300 gap; frequency 2; provisional from Xun Gong</x:v>
      </x:c>
      <x:c r="J4078" s="6" t="str">
        <x:f>IF(B4078="","",IF(AND(ISNUMBER(SEARCH("平",B4078)),OR(ISNUMBER(SEARCH("上",B4078)),ISNUMBER(SEARCH("去",B4078)),ISNUMBER(SEARCH("入",B4078)))),"Ambiguous",IF(ISNUMBER(SEARCH("平",B4078)),"平","仄")))</x:f>
        <x:v>平</x:v>
      </x:c>
      <x:c r="K4078" s="6" t="str">
        <x:f>IF(D4078="","",IF(AND(ISNUMBER(SEARCH("平",D4078)),OR(ISNUMBER(SEARCH("上",D4078)),ISNUMBER(SEARCH("去",D4078)),ISNUMBER(SEARCH("入",D4078)))),"Ambiguous",IF(ISNUMBER(SEARCH("平",D4078)),"平","仄")))</x:f>
        <x:v>平</x:v>
      </x:c>
      <x:c r="L4078" s="7" t="str">
        <x:v>Xun Gong, Tang 300 gap fill</x:v>
      </x:c>
    </x:row>
    <x:row r="4079">
      <x:c r="A4079" s="5" t="str">
        <x:v>躋</x:v>
      </x:c>
      <x:c r="B4079" s="6" t="str">
        <x:v>平</x:v>
      </x:c>
      <x:c r="C4079" s="6" t="str">
        <x:f>IF(B4079="","Needs decision","Ready")</x:f>
        <x:v>Ready</x:v>
      </x:c>
      <x:c r="D4079" s="6" t="str">
        <x:v>平</x:v>
      </x:c>
      <x:c r="E4079" s="6" t="str">
        <x:v>tsej (A)</x:v>
      </x:c>
      <x:c r="F4079" s="6" t="str">
        <x:v>上平聲八齊</x:v>
      </x:c>
      <x:c r="G4079" s="6" t="str">
        <x:v>Pingshui main list, Wikisource-derived DOCX</x:v>
      </x:c>
      <x:c r="H4079" s="6" t="str">
        <x:v>1</x:v>
      </x:c>
      <x:c r="I4079" s="6" t="str"/>
      <x:c r="J4079" s="6" t="str">
        <x:f>IF(B4079="","",IF(AND(ISNUMBER(SEARCH("平",B4079)),OR(ISNUMBER(SEARCH("上",B4079)),ISNUMBER(SEARCH("去",B4079)),ISNUMBER(SEARCH("入",B4079)))),"Ambiguous",IF(ISNUMBER(SEARCH("平",B4079)),"平","仄")))</x:f>
        <x:v>平</x:v>
      </x:c>
      <x:c r="K4079" s="6" t="str">
        <x:f>IF(D4079="","",IF(AND(ISNUMBER(SEARCH("平",D4079)),OR(ISNUMBER(SEARCH("上",D4079)),ISNUMBER(SEARCH("去",D4079)),ISNUMBER(SEARCH("入",D4079)))),"Ambiguous",IF(ISNUMBER(SEARCH("平",D4079)),"平","仄")))</x:f>
        <x:v>平</x:v>
      </x:c>
      <x:c r="L4079" s="7" t="str"/>
    </x:row>
    <x:row r="4080">
      <x:c r="A4080" s="5" t="str">
        <x:v>躍</x:v>
      </x:c>
      <x:c r="B4080" s="6" t="str">
        <x:v>入</x:v>
      </x:c>
      <x:c r="C4080" s="6" t="str">
        <x:f>IF(B4080="","Needs decision","Ready")</x:f>
        <x:v>Ready</x:v>
      </x:c>
      <x:c r="D4080" s="6" t="str">
        <x:v>入</x:v>
      </x:c>
      <x:c r="E4080" s="6" t="str">
        <x:v>yak (D)</x:v>
      </x:c>
      <x:c r="F4080" s="6" t="str">
        <x:v>入聲十藥</x:v>
      </x:c>
      <x:c r="G4080" s="6" t="str">
        <x:v>Pingshui main list, Wikisource-derived DOCX</x:v>
      </x:c>
      <x:c r="H4080" s="6" t="str">
        <x:v>1</x:v>
      </x:c>
      <x:c r="I4080" s="6" t="str"/>
      <x:c r="J4080" s="6" t="str">
        <x:f>IF(B4080="","",IF(AND(ISNUMBER(SEARCH("平",B4080)),OR(ISNUMBER(SEARCH("上",B4080)),ISNUMBER(SEARCH("去",B4080)),ISNUMBER(SEARCH("入",B4080)))),"Ambiguous",IF(ISNUMBER(SEARCH("平",B4080)),"平","仄")))</x:f>
        <x:v>仄</x:v>
      </x:c>
      <x:c r="K4080" s="6" t="str">
        <x:f>IF(D4080="","",IF(AND(ISNUMBER(SEARCH("平",D4080)),OR(ISNUMBER(SEARCH("上",D4080)),ISNUMBER(SEARCH("去",D4080)),ISNUMBER(SEARCH("入",D4080)))),"Ambiguous",IF(ISNUMBER(SEARCH("平",D4080)),"平","仄")))</x:f>
        <x:v>仄</x:v>
      </x:c>
      <x:c r="L4080" s="7" t="str"/>
    </x:row>
    <x:row r="4081">
      <x:c r="A4081" s="5" t="str">
        <x:v>躐</x:v>
      </x:c>
      <x:c r="B4081" s="6" t="str">
        <x:v>入</x:v>
      </x:c>
      <x:c r="C4081" s="6" t="str">
        <x:f>IF(B4081="","Needs decision","Ready")</x:f>
        <x:v>Ready</x:v>
      </x:c>
      <x:c r="D4081" s="6" t="str">
        <x:v>入</x:v>
      </x:c>
      <x:c r="E4081" s="6" t="str">
        <x:v>ljep (D)</x:v>
      </x:c>
      <x:c r="F4081" s="6" t="str">
        <x:v>入聲十六葉</x:v>
      </x:c>
      <x:c r="G4081" s="6" t="str">
        <x:v>Pingshui main list, Wikisource-derived DOCX</x:v>
      </x:c>
      <x:c r="H4081" s="6" t="str">
        <x:v>1</x:v>
      </x:c>
      <x:c r="I4081" s="6" t="str"/>
      <x:c r="J4081" s="6" t="str">
        <x:f>IF(B4081="","",IF(AND(ISNUMBER(SEARCH("平",B4081)),OR(ISNUMBER(SEARCH("上",B4081)),ISNUMBER(SEARCH("去",B4081)),ISNUMBER(SEARCH("入",B4081)))),"Ambiguous",IF(ISNUMBER(SEARCH("平",B4081)),"平","仄")))</x:f>
        <x:v>仄</x:v>
      </x:c>
      <x:c r="K4081" s="6" t="str">
        <x:f>IF(D4081="","",IF(AND(ISNUMBER(SEARCH("平",D4081)),OR(ISNUMBER(SEARCH("上",D4081)),ISNUMBER(SEARCH("去",D4081)),ISNUMBER(SEARCH("入",D4081)))),"Ambiguous",IF(ISNUMBER(SEARCH("平",D4081)),"平","仄")))</x:f>
        <x:v>仄</x:v>
      </x:c>
      <x:c r="L4081" s="7" t="str"/>
    </x:row>
    <x:row r="4082">
      <x:c r="A4082" s="5" t="str">
        <x:v>躑</x:v>
      </x:c>
      <x:c r="B4082" s="6" t="str">
        <x:v>入</x:v>
      </x:c>
      <x:c r="C4082" s="6" t="str">
        <x:f>IF(B4082="","Needs decision","Ready")</x:f>
        <x:v>Ready</x:v>
      </x:c>
      <x:c r="D4082" s="6" t="str">
        <x:v>入</x:v>
      </x:c>
      <x:c r="E4082" s="6" t="str">
        <x:v>drjek (D)</x:v>
      </x:c>
      <x:c r="F4082" s="6" t="str">
        <x:v>入聲十一陌</x:v>
      </x:c>
      <x:c r="G4082" s="6" t="str">
        <x:v>Pingshui main list, Wikisource-derived DOCX</x:v>
      </x:c>
      <x:c r="H4082" s="6" t="str">
        <x:v>1</x:v>
      </x:c>
      <x:c r="I4082" s="6" t="str"/>
      <x:c r="J4082" s="6" t="str">
        <x:f>IF(B4082="","",IF(AND(ISNUMBER(SEARCH("平",B4082)),OR(ISNUMBER(SEARCH("上",B4082)),ISNUMBER(SEARCH("去",B4082)),ISNUMBER(SEARCH("入",B4082)))),"Ambiguous",IF(ISNUMBER(SEARCH("平",B4082)),"平","仄")))</x:f>
        <x:v>仄</x:v>
      </x:c>
      <x:c r="K4082" s="6" t="str">
        <x:f>IF(D4082="","",IF(AND(ISNUMBER(SEARCH("平",D4082)),OR(ISNUMBER(SEARCH("上",D4082)),ISNUMBER(SEARCH("去",D4082)),ISNUMBER(SEARCH("入",D4082)))),"Ambiguous",IF(ISNUMBER(SEARCH("平",D4082)),"平","仄")))</x:f>
        <x:v>仄</x:v>
      </x:c>
      <x:c r="L4082" s="7" t="str"/>
    </x:row>
    <x:row r="4083">
      <x:c r="A4083" s="5" t="str">
        <x:v>躔</x:v>
      </x:c>
      <x:c r="B4083" s="6" t="str">
        <x:v>平</x:v>
      </x:c>
      <x:c r="C4083" s="6" t="str">
        <x:f>IF(B4083="","Needs decision","Ready")</x:f>
        <x:v>Ready</x:v>
      </x:c>
      <x:c r="D4083" s="6" t="str">
        <x:v>平</x:v>
      </x:c>
      <x:c r="E4083" s="6" t="str">
        <x:v>drjen (A)</x:v>
      </x:c>
      <x:c r="F4083" s="6" t="str">
        <x:v>下平聲一先</x:v>
      </x:c>
      <x:c r="G4083" s="6" t="str">
        <x:v>Pingshui main list, Wikisource-derived DOCX</x:v>
      </x:c>
      <x:c r="H4083" s="6" t="str">
        <x:v>1</x:v>
      </x:c>
      <x:c r="I4083" s="6" t="str"/>
      <x:c r="J4083" s="6" t="str">
        <x:f>IF(B4083="","",IF(AND(ISNUMBER(SEARCH("平",B4083)),OR(ISNUMBER(SEARCH("上",B4083)),ISNUMBER(SEARCH("去",B4083)),ISNUMBER(SEARCH("入",B4083)))),"Ambiguous",IF(ISNUMBER(SEARCH("平",B4083)),"平","仄")))</x:f>
        <x:v>平</x:v>
      </x:c>
      <x:c r="K4083" s="6" t="str">
        <x:f>IF(D4083="","",IF(AND(ISNUMBER(SEARCH("平",D4083)),OR(ISNUMBER(SEARCH("上",D4083)),ISNUMBER(SEARCH("去",D4083)),ISNUMBER(SEARCH("入",D4083)))),"Ambiguous",IF(ISNUMBER(SEARCH("平",D4083)),"平","仄")))</x:f>
        <x:v>平</x:v>
      </x:c>
      <x:c r="L4083" s="7" t="str"/>
    </x:row>
    <x:row r="4084">
      <x:c r="A4084" s="5" t="str">
        <x:v>躕</x:v>
      </x:c>
      <x:c r="B4084" s="6" t="str">
        <x:v>平</x:v>
      </x:c>
      <x:c r="C4084" s="6" t="str">
        <x:f>IF(B4084="","Needs decision","Ready")</x:f>
        <x:v>Ready</x:v>
      </x:c>
      <x:c r="D4084" s="6" t="str">
        <x:v>平</x:v>
      </x:c>
      <x:c r="E4084" s="6" t="str">
        <x:v>drju (A)</x:v>
      </x:c>
      <x:c r="F4084" s="6" t="str">
        <x:v>上平聲七虞</x:v>
      </x:c>
      <x:c r="G4084" s="6" t="str">
        <x:v>Pingshui main list, Wikisource-derived DOCX</x:v>
      </x:c>
      <x:c r="H4084" s="6" t="str">
        <x:v>1</x:v>
      </x:c>
      <x:c r="I4084" s="6" t="str"/>
      <x:c r="J4084" s="6" t="str">
        <x:f>IF(B4084="","",IF(AND(ISNUMBER(SEARCH("平",B4084)),OR(ISNUMBER(SEARCH("上",B4084)),ISNUMBER(SEARCH("去",B4084)),ISNUMBER(SEARCH("入",B4084)))),"Ambiguous",IF(ISNUMBER(SEARCH("平",B4084)),"平","仄")))</x:f>
        <x:v>平</x:v>
      </x:c>
      <x:c r="K4084" s="6" t="str">
        <x:f>IF(D4084="","",IF(AND(ISNUMBER(SEARCH("平",D4084)),OR(ISNUMBER(SEARCH("上",D4084)),ISNUMBER(SEARCH("去",D4084)),ISNUMBER(SEARCH("入",D4084)))),"Ambiguous",IF(ISNUMBER(SEARCH("平",D4084)),"平","仄")))</x:f>
        <x:v>平</x:v>
      </x:c>
      <x:c r="L4084" s="7" t="str"/>
    </x:row>
    <x:row r="4085">
      <x:c r="A4085" s="5" t="str">
        <x:v>躡</x:v>
      </x:c>
      <x:c r="B4085" s="6" t="str">
        <x:v>入</x:v>
      </x:c>
      <x:c r="C4085" s="6" t="str">
        <x:f>IF(B4085="","Needs decision","Ready")</x:f>
        <x:v>Ready</x:v>
      </x:c>
      <x:c r="D4085" s="6" t="str">
        <x:v>入</x:v>
      </x:c>
      <x:c r="E4085" s="6" t="str">
        <x:v>nrjep (D)</x:v>
      </x:c>
      <x:c r="F4085" s="6" t="str">
        <x:v>入聲十六葉</x:v>
      </x:c>
      <x:c r="G4085" s="6" t="str">
        <x:v>Pingshui main list, Wikisource-derived DOCX</x:v>
      </x:c>
      <x:c r="H4085" s="6" t="str">
        <x:v>1</x:v>
      </x:c>
      <x:c r="I4085" s="6" t="str"/>
      <x:c r="J4085" s="6" t="str">
        <x:f>IF(B4085="","",IF(AND(ISNUMBER(SEARCH("平",B4085)),OR(ISNUMBER(SEARCH("上",B4085)),ISNUMBER(SEARCH("去",B4085)),ISNUMBER(SEARCH("入",B4085)))),"Ambiguous",IF(ISNUMBER(SEARCH("平",B4085)),"平","仄")))</x:f>
        <x:v>仄</x:v>
      </x:c>
      <x:c r="K4085" s="6" t="str">
        <x:f>IF(D4085="","",IF(AND(ISNUMBER(SEARCH("平",D4085)),OR(ISNUMBER(SEARCH("上",D4085)),ISNUMBER(SEARCH("去",D4085)),ISNUMBER(SEARCH("入",D4085)))),"Ambiguous",IF(ISNUMBER(SEARCH("平",D4085)),"平","仄")))</x:f>
        <x:v>仄</x:v>
      </x:c>
      <x:c r="L4085" s="7" t="str"/>
    </x:row>
    <x:row r="4086">
      <x:c r="A4086" s="5" t="str">
        <x:v>身</x:v>
      </x:c>
      <x:c r="B4086" s="6" t="str">
        <x:v>平</x:v>
      </x:c>
      <x:c r="C4086" s="6" t="str">
        <x:f>IF(B4086="","Needs decision","Ready")</x:f>
        <x:v>Ready</x:v>
      </x:c>
      <x:c r="D4086" s="6" t="str">
        <x:v>平</x:v>
      </x:c>
      <x:c r="E4086" s="6" t="str">
        <x:v>syin (A)</x:v>
      </x:c>
      <x:c r="F4086" s="6" t="str">
        <x:v>上平聲十一真</x:v>
      </x:c>
      <x:c r="G4086" s="6" t="str">
        <x:v>Pingshui main list, Wikisource-derived DOCX</x:v>
      </x:c>
      <x:c r="H4086" s="6" t="str">
        <x:v>1</x:v>
      </x:c>
      <x:c r="I4086" s="6" t="str"/>
      <x:c r="J4086" s="6" t="str">
        <x:f>IF(B4086="","",IF(AND(ISNUMBER(SEARCH("平",B4086)),OR(ISNUMBER(SEARCH("上",B4086)),ISNUMBER(SEARCH("去",B4086)),ISNUMBER(SEARCH("入",B4086)))),"Ambiguous",IF(ISNUMBER(SEARCH("平",B4086)),"平","仄")))</x:f>
        <x:v>平</x:v>
      </x:c>
      <x:c r="K4086" s="6" t="str">
        <x:f>IF(D4086="","",IF(AND(ISNUMBER(SEARCH("平",D4086)),OR(ISNUMBER(SEARCH("上",D4086)),ISNUMBER(SEARCH("去",D4086)),ISNUMBER(SEARCH("入",D4086)))),"Ambiguous",IF(ISNUMBER(SEARCH("平",D4086)),"平","仄")))</x:f>
        <x:v>平</x:v>
      </x:c>
      <x:c r="L4086" s="7" t="str"/>
    </x:row>
    <x:row r="4087">
      <x:c r="A4087" s="5" t="str">
        <x:v>躬</x:v>
      </x:c>
      <x:c r="B4087" s="6" t="str">
        <x:v>平</x:v>
      </x:c>
      <x:c r="C4087" s="6" t="str">
        <x:f>IF(B4087="","Needs decision","Ready")</x:f>
        <x:v>Ready</x:v>
      </x:c>
      <x:c r="D4087" s="6" t="str">
        <x:v>平</x:v>
      </x:c>
      <x:c r="E4087" s="6" t="str">
        <x:v>kjuwng (A)</x:v>
      </x:c>
      <x:c r="F4087" s="6" t="str">
        <x:v>上平聲一東</x:v>
      </x:c>
      <x:c r="G4087" s="6" t="str">
        <x:v>Pingshui main list, Wikisource-derived DOCX</x:v>
      </x:c>
      <x:c r="H4087" s="6" t="str">
        <x:v>1</x:v>
      </x:c>
      <x:c r="I4087" s="6" t="str"/>
      <x:c r="J4087" s="6" t="str">
        <x:f>IF(B4087="","",IF(AND(ISNUMBER(SEARCH("平",B4087)),OR(ISNUMBER(SEARCH("上",B4087)),ISNUMBER(SEARCH("去",B4087)),ISNUMBER(SEARCH("入",B4087)))),"Ambiguous",IF(ISNUMBER(SEARCH("平",B4087)),"平","仄")))</x:f>
        <x:v>平</x:v>
      </x:c>
      <x:c r="K4087" s="6" t="str">
        <x:f>IF(D4087="","",IF(AND(ISNUMBER(SEARCH("平",D4087)),OR(ISNUMBER(SEARCH("上",D4087)),ISNUMBER(SEARCH("去",D4087)),ISNUMBER(SEARCH("入",D4087)))),"Ambiguous",IF(ISNUMBER(SEARCH("平",D4087)),"平","仄")))</x:f>
        <x:v>平</x:v>
      </x:c>
      <x:c r="L4087" s="7" t="str"/>
    </x:row>
    <x:row r="4088">
      <x:c r="A4088" s="5" t="str">
        <x:v>躳</x:v>
      </x:c>
      <x:c r="B4088" s="6" t="str">
        <x:v>平</x:v>
      </x:c>
      <x:c r="C4088" s="6" t="str">
        <x:f>IF(B4088="","Needs decision","Ready")</x:f>
        <x:v>Ready</x:v>
      </x:c>
      <x:c r="D4088" s="6" t="str">
        <x:v>平</x:v>
      </x:c>
      <x:c r="E4088" s="6" t="str">
        <x:v>kjuwng (A)</x:v>
      </x:c>
      <x:c r="F4088" s="6" t="str"/>
      <x:c r="G4088" s="6" t="str"/>
      <x:c r="H4088" s="6" t="str">
        <x:v>1</x:v>
      </x:c>
      <x:c r="I4088" s="6" t="str"/>
      <x:c r="J4088" s="6" t="str">
        <x:f>IF(B4088="","",IF(AND(ISNUMBER(SEARCH("平",B4088)),OR(ISNUMBER(SEARCH("上",B4088)),ISNUMBER(SEARCH("去",B4088)),ISNUMBER(SEARCH("入",B4088)))),"Ambiguous",IF(ISNUMBER(SEARCH("平",B4088)),"平","仄")))</x:f>
        <x:v>平</x:v>
      </x:c>
      <x:c r="K4088" s="6" t="str">
        <x:f>IF(D4088="","",IF(AND(ISNUMBER(SEARCH("平",D4088)),OR(ISNUMBER(SEARCH("上",D4088)),ISNUMBER(SEARCH("去",D4088)),ISNUMBER(SEARCH("入",D4088)))),"Ambiguous",IF(ISNUMBER(SEARCH("平",D4088)),"平","仄")))</x:f>
        <x:v>平</x:v>
      </x:c>
      <x:c r="L4088" s="7" t="str"/>
    </x:row>
    <x:row r="4089">
      <x:c r="A4089" s="5" t="str">
        <x:v>軀</x:v>
      </x:c>
      <x:c r="B4089" s="6" t="str">
        <x:v>平</x:v>
      </x:c>
      <x:c r="C4089" s="6" t="str">
        <x:f>IF(B4089="","Needs decision","Ready")</x:f>
        <x:v>Ready</x:v>
      </x:c>
      <x:c r="D4089" s="6" t="str">
        <x:v>平</x:v>
      </x:c>
      <x:c r="E4089" s="6" t="str"/>
      <x:c r="F4089" s="6" t="str">
        <x:v>上平聲七虞</x:v>
      </x:c>
      <x:c r="G4089" s="6" t="str">
        <x:v>Pingshui main list, Wikisource-derived DOCX</x:v>
      </x:c>
      <x:c r="H4089" s="6" t="str"/>
      <x:c r="I4089" s="6" t="str">
        <x:v>Manual user correction/addition</x:v>
      </x:c>
      <x:c r="J4089" s="6" t="str">
        <x:f>IF(B4089="","",IF(AND(ISNUMBER(SEARCH("平",B4089)),OR(ISNUMBER(SEARCH("上",B4089)),ISNUMBER(SEARCH("去",B4089)),ISNUMBER(SEARCH("入",B4089)))),"Ambiguous",IF(ISNUMBER(SEARCH("平",B4089)),"平","仄")))</x:f>
        <x:v>平</x:v>
      </x:c>
      <x:c r="K4089" s="6" t="str">
        <x:f>IF(D4089="","",IF(AND(ISNUMBER(SEARCH("平",D4089)),OR(ISNUMBER(SEARCH("上",D4089)),ISNUMBER(SEARCH("去",D4089)),ISNUMBER(SEARCH("入",D4089)))),"Ambiguous",IF(ISNUMBER(SEARCH("平",D4089)),"平","仄")))</x:f>
        <x:v>平</x:v>
      </x:c>
      <x:c r="L4089" s="7" t="str">
        <x:v>manual user correction</x:v>
      </x:c>
    </x:row>
    <x:row r="4090">
      <x:c r="A4090" s="5" t="str">
        <x:v>車</x:v>
      </x:c>
      <x:c r="B4090" s="6" t="str">
        <x:v>平</x:v>
      </x:c>
      <x:c r="C4090" s="6" t="str">
        <x:f>IF(B4090="","Needs decision","Ready")</x:f>
        <x:v>Ready</x:v>
      </x:c>
      <x:c r="D4090" s="6" t="str">
        <x:v>平</x:v>
      </x:c>
      <x:c r="E4090" s="6" t="str">
        <x:v>tsyhae (A); kjo (A)</x:v>
      </x:c>
      <x:c r="F4090" s="6" t="str">
        <x:v>上平聲六魚; 下平聲六麻</x:v>
      </x:c>
      <x:c r="G4090" s="6" t="str">
        <x:v>Pingshui main list, Wikisource-derived DOCX</x:v>
      </x:c>
      <x:c r="H4090" s="6" t="str">
        <x:v>2</x:v>
      </x:c>
      <x:c r="I4090" s="6" t="str"/>
      <x:c r="J4090" s="6" t="str">
        <x:f>IF(B4090="","",IF(AND(ISNUMBER(SEARCH("平",B4090)),OR(ISNUMBER(SEARCH("上",B4090)),ISNUMBER(SEARCH("去",B4090)),ISNUMBER(SEARCH("入",B4090)))),"Ambiguous",IF(ISNUMBER(SEARCH("平",B4090)),"平","仄")))</x:f>
        <x:v>平</x:v>
      </x:c>
      <x:c r="K4090" s="6" t="str">
        <x:f>IF(D4090="","",IF(AND(ISNUMBER(SEARCH("平",D4090)),OR(ISNUMBER(SEARCH("上",D4090)),ISNUMBER(SEARCH("去",D4090)),ISNUMBER(SEARCH("入",D4090)))),"Ambiguous",IF(ISNUMBER(SEARCH("平",D4090)),"平","仄")))</x:f>
        <x:v>平</x:v>
      </x:c>
      <x:c r="L4090" s="7" t="str"/>
    </x:row>
    <x:row r="4091">
      <x:c r="A4091" s="5" t="str">
        <x:v>軋</x:v>
      </x:c>
      <x:c r="B4091" s="6" t="str">
        <x:v>入</x:v>
      </x:c>
      <x:c r="C4091" s="6" t="str">
        <x:f>IF(B4091="","Needs decision","Ready")</x:f>
        <x:v>Ready</x:v>
      </x:c>
      <x:c r="D4091" s="6" t="str">
        <x:v>入</x:v>
      </x:c>
      <x:c r="E4091" s="6" t="str">
        <x:v>'eat (D)</x:v>
      </x:c>
      <x:c r="F4091" s="6" t="str">
        <x:v>入聲八黠</x:v>
      </x:c>
      <x:c r="G4091" s="6" t="str">
        <x:v>Pingshui main list, Wikisource-derived DOCX</x:v>
      </x:c>
      <x:c r="H4091" s="6" t="str">
        <x:v>1</x:v>
      </x:c>
      <x:c r="I4091" s="6" t="str"/>
      <x:c r="J4091" s="6" t="str">
        <x:f>IF(B4091="","",IF(AND(ISNUMBER(SEARCH("平",B4091)),OR(ISNUMBER(SEARCH("上",B4091)),ISNUMBER(SEARCH("去",B4091)),ISNUMBER(SEARCH("入",B4091)))),"Ambiguous",IF(ISNUMBER(SEARCH("平",B4091)),"平","仄")))</x:f>
        <x:v>仄</x:v>
      </x:c>
      <x:c r="K4091" s="6" t="str">
        <x:f>IF(D4091="","",IF(AND(ISNUMBER(SEARCH("平",D4091)),OR(ISNUMBER(SEARCH("上",D4091)),ISNUMBER(SEARCH("去",D4091)),ISNUMBER(SEARCH("入",D4091)))),"Ambiguous",IF(ISNUMBER(SEARCH("平",D4091)),"平","仄")))</x:f>
        <x:v>仄</x:v>
      </x:c>
      <x:c r="L4091" s="7" t="str"/>
    </x:row>
    <x:row r="4092">
      <x:c r="A4092" s="5" t="str">
        <x:v>軌</x:v>
      </x:c>
      <x:c r="B4092" s="6" t="str">
        <x:v>上</x:v>
      </x:c>
      <x:c r="C4092" s="6" t="str">
        <x:f>IF(B4092="","Needs decision","Ready")</x:f>
        <x:v>Ready</x:v>
      </x:c>
      <x:c r="D4092" s="6" t="str">
        <x:v>上</x:v>
      </x:c>
      <x:c r="E4092" s="6" t="str">
        <x:v>kwijX (B)</x:v>
      </x:c>
      <x:c r="F4092" s="6" t="str">
        <x:v>上聲四紙</x:v>
      </x:c>
      <x:c r="G4092" s="6" t="str">
        <x:v>Pingshui main list, Wikisource-derived DOCX</x:v>
      </x:c>
      <x:c r="H4092" s="6" t="str">
        <x:v>1</x:v>
      </x:c>
      <x:c r="I4092" s="6" t="str"/>
      <x:c r="J4092" s="6" t="str">
        <x:f>IF(B4092="","",IF(AND(ISNUMBER(SEARCH("平",B4092)),OR(ISNUMBER(SEARCH("上",B4092)),ISNUMBER(SEARCH("去",B4092)),ISNUMBER(SEARCH("入",B4092)))),"Ambiguous",IF(ISNUMBER(SEARCH("平",B4092)),"平","仄")))</x:f>
        <x:v>仄</x:v>
      </x:c>
      <x:c r="K4092" s="6" t="str">
        <x:f>IF(D4092="","",IF(AND(ISNUMBER(SEARCH("平",D4092)),OR(ISNUMBER(SEARCH("上",D4092)),ISNUMBER(SEARCH("去",D4092)),ISNUMBER(SEARCH("入",D4092)))),"Ambiguous",IF(ISNUMBER(SEARCH("平",D4092)),"平","仄")))</x:f>
        <x:v>仄</x:v>
      </x:c>
      <x:c r="L4092" s="7" t="str"/>
    </x:row>
    <x:row r="4093">
      <x:c r="A4093" s="5" t="str">
        <x:v>軍</x:v>
      </x:c>
      <x:c r="B4093" s="6" t="str">
        <x:v>平</x:v>
      </x:c>
      <x:c r="C4093" s="6" t="str">
        <x:f>IF(B4093="","Needs decision","Ready")</x:f>
        <x:v>Ready</x:v>
      </x:c>
      <x:c r="D4093" s="6" t="str">
        <x:v>平</x:v>
      </x:c>
      <x:c r="E4093" s="6" t="str">
        <x:v>kjun (A)</x:v>
      </x:c>
      <x:c r="F4093" s="6" t="str">
        <x:v>上平聲十二文</x:v>
      </x:c>
      <x:c r="G4093" s="6" t="str">
        <x:v>Pingshui main list, Wikisource-derived DOCX</x:v>
      </x:c>
      <x:c r="H4093" s="6" t="str">
        <x:v>1</x:v>
      </x:c>
      <x:c r="I4093" s="6" t="str"/>
      <x:c r="J4093" s="6" t="str">
        <x:f>IF(B4093="","",IF(AND(ISNUMBER(SEARCH("平",B4093)),OR(ISNUMBER(SEARCH("上",B4093)),ISNUMBER(SEARCH("去",B4093)),ISNUMBER(SEARCH("入",B4093)))),"Ambiguous",IF(ISNUMBER(SEARCH("平",B4093)),"平","仄")))</x:f>
        <x:v>平</x:v>
      </x:c>
      <x:c r="K4093" s="6" t="str">
        <x:f>IF(D4093="","",IF(AND(ISNUMBER(SEARCH("平",D4093)),OR(ISNUMBER(SEARCH("上",D4093)),ISNUMBER(SEARCH("去",D4093)),ISNUMBER(SEARCH("入",D4093)))),"Ambiguous",IF(ISNUMBER(SEARCH("平",D4093)),"平","仄")))</x:f>
        <x:v>平</x:v>
      </x:c>
      <x:c r="L4093" s="7" t="str"/>
    </x:row>
    <x:row r="4094">
      <x:c r="A4094" s="5" t="str">
        <x:v>軑</x:v>
      </x:c>
      <x:c r="B4094" s="6" t="str">
        <x:v>去</x:v>
      </x:c>
      <x:c r="C4094" s="6" t="str">
        <x:f>IF(B4094="","Needs decision","Ready")</x:f>
        <x:v>Ready</x:v>
      </x:c>
      <x:c r="D4094" s="6" t="str">
        <x:v>去</x:v>
      </x:c>
      <x:c r="E4094" s="6" t="str">
        <x:v>dejH (C)</x:v>
      </x:c>
      <x:c r="F4094" s="6" t="str">
        <x:v>去聲八霽; 去聲九泰</x:v>
      </x:c>
      <x:c r="G4094" s="6" t="str">
        <x:v>Pingshui main list, Wikisource-derived DOCX</x:v>
      </x:c>
      <x:c r="H4094" s="6" t="str">
        <x:v>1</x:v>
      </x:c>
      <x:c r="I4094" s="6" t="str"/>
      <x:c r="J4094" s="6" t="str">
        <x:f>IF(B4094="","",IF(AND(ISNUMBER(SEARCH("平",B4094)),OR(ISNUMBER(SEARCH("上",B4094)),ISNUMBER(SEARCH("去",B4094)),ISNUMBER(SEARCH("入",B4094)))),"Ambiguous",IF(ISNUMBER(SEARCH("平",B4094)),"平","仄")))</x:f>
        <x:v>仄</x:v>
      </x:c>
      <x:c r="K4094" s="6" t="str">
        <x:f>IF(D4094="","",IF(AND(ISNUMBER(SEARCH("平",D4094)),OR(ISNUMBER(SEARCH("上",D4094)),ISNUMBER(SEARCH("去",D4094)),ISNUMBER(SEARCH("入",D4094)))),"Ambiguous",IF(ISNUMBER(SEARCH("平",D4094)),"平","仄")))</x:f>
        <x:v>仄</x:v>
      </x:c>
      <x:c r="L4094" s="7" t="str"/>
    </x:row>
    <x:row r="4095">
      <x:c r="A4095" s="5" t="str">
        <x:v>軒</x:v>
      </x:c>
      <x:c r="B4095" s="6" t="str">
        <x:v>平</x:v>
      </x:c>
      <x:c r="C4095" s="6" t="str">
        <x:f>IF(B4095="","Needs decision","Ready")</x:f>
        <x:v>Ready</x:v>
      </x:c>
      <x:c r="D4095" s="6" t="str">
        <x:v>平</x:v>
      </x:c>
      <x:c r="E4095" s="6" t="str">
        <x:v>xjon (A)</x:v>
      </x:c>
      <x:c r="F4095" s="6" t="str">
        <x:v>上平聲十三元</x:v>
      </x:c>
      <x:c r="G4095" s="6" t="str">
        <x:v>Pingshui main list, Wikisource-derived DOCX</x:v>
      </x:c>
      <x:c r="H4095" s="6" t="str">
        <x:v>1</x:v>
      </x:c>
      <x:c r="I4095" s="6" t="str"/>
      <x:c r="J4095" s="6" t="str">
        <x:f>IF(B4095="","",IF(AND(ISNUMBER(SEARCH("平",B4095)),OR(ISNUMBER(SEARCH("上",B4095)),ISNUMBER(SEARCH("去",B4095)),ISNUMBER(SEARCH("入",B4095)))),"Ambiguous",IF(ISNUMBER(SEARCH("平",B4095)),"平","仄")))</x:f>
        <x:v>平</x:v>
      </x:c>
      <x:c r="K4095" s="6" t="str">
        <x:f>IF(D4095="","",IF(AND(ISNUMBER(SEARCH("平",D4095)),OR(ISNUMBER(SEARCH("上",D4095)),ISNUMBER(SEARCH("去",D4095)),ISNUMBER(SEARCH("入",D4095)))),"Ambiguous",IF(ISNUMBER(SEARCH("平",D4095)),"平","仄")))</x:f>
        <x:v>平</x:v>
      </x:c>
      <x:c r="L4095" s="7" t="str"/>
    </x:row>
    <x:row r="4096">
      <x:c r="A4096" s="5" t="str">
        <x:v>軔</x:v>
      </x:c>
      <x:c r="B4096" s="6" t="str">
        <x:v>去</x:v>
      </x:c>
      <x:c r="C4096" s="6" t="str">
        <x:f>IF(B4096="","Needs decision","Ready")</x:f>
        <x:v>Ready</x:v>
      </x:c>
      <x:c r="D4096" s="6" t="str">
        <x:v>去</x:v>
      </x:c>
      <x:c r="E4096" s="6" t="str">
        <x:v>nyinH (C)</x:v>
      </x:c>
      <x:c r="F4096" s="6" t="str">
        <x:v>去聲十二震</x:v>
      </x:c>
      <x:c r="G4096" s="6" t="str">
        <x:v>Pingshui main list, Wikisource-derived DOCX</x:v>
      </x:c>
      <x:c r="H4096" s="6" t="str">
        <x:v>1</x:v>
      </x:c>
      <x:c r="I4096" s="6" t="str"/>
      <x:c r="J4096" s="6" t="str">
        <x:f>IF(B4096="","",IF(AND(ISNUMBER(SEARCH("平",B4096)),OR(ISNUMBER(SEARCH("上",B4096)),ISNUMBER(SEARCH("去",B4096)),ISNUMBER(SEARCH("入",B4096)))),"Ambiguous",IF(ISNUMBER(SEARCH("平",B4096)),"平","仄")))</x:f>
        <x:v>仄</x:v>
      </x:c>
      <x:c r="K4096" s="6" t="str">
        <x:f>IF(D4096="","",IF(AND(ISNUMBER(SEARCH("平",D4096)),OR(ISNUMBER(SEARCH("上",D4096)),ISNUMBER(SEARCH("去",D4096)),ISNUMBER(SEARCH("入",D4096)))),"Ambiguous",IF(ISNUMBER(SEARCH("平",D4096)),"平","仄")))</x:f>
        <x:v>仄</x:v>
      </x:c>
      <x:c r="L4096" s="7" t="str"/>
    </x:row>
    <x:row r="4097">
      <x:c r="A4097" s="5" t="str">
        <x:v>軛</x:v>
      </x:c>
      <x:c r="B4097" s="6" t="str">
        <x:v>入</x:v>
      </x:c>
      <x:c r="C4097" s="6" t="str">
        <x:f>IF(B4097="","Needs decision","Ready")</x:f>
        <x:v>Ready</x:v>
      </x:c>
      <x:c r="D4097" s="6" t="str">
        <x:v>入</x:v>
      </x:c>
      <x:c r="E4097" s="6" t="str">
        <x:v>'eak (D)</x:v>
      </x:c>
      <x:c r="F4097" s="6" t="str"/>
      <x:c r="G4097" s="6" t="str"/>
      <x:c r="H4097" s="6" t="str">
        <x:v>1</x:v>
      </x:c>
      <x:c r="I4097" s="6" t="str"/>
      <x:c r="J4097" s="6" t="str">
        <x:f>IF(B4097="","",IF(AND(ISNUMBER(SEARCH("平",B4097)),OR(ISNUMBER(SEARCH("上",B4097)),ISNUMBER(SEARCH("去",B4097)),ISNUMBER(SEARCH("入",B4097)))),"Ambiguous",IF(ISNUMBER(SEARCH("平",B4097)),"平","仄")))</x:f>
        <x:v>仄</x:v>
      </x:c>
      <x:c r="K4097" s="6" t="str">
        <x:f>IF(D4097="","",IF(AND(ISNUMBER(SEARCH("平",D4097)),OR(ISNUMBER(SEARCH("上",D4097)),ISNUMBER(SEARCH("去",D4097)),ISNUMBER(SEARCH("入",D4097)))),"Ambiguous",IF(ISNUMBER(SEARCH("平",D4097)),"平","仄")))</x:f>
        <x:v>仄</x:v>
      </x:c>
      <x:c r="L4097" s="7" t="str"/>
    </x:row>
    <x:row r="4098">
      <x:c r="A4098" s="5" t="str">
        <x:v>軨</x:v>
      </x:c>
      <x:c r="B4098" s="6" t="str">
        <x:v>平</x:v>
      </x:c>
      <x:c r="C4098" s="6" t="str">
        <x:f>IF(B4098="","Needs decision","Ready")</x:f>
        <x:v>Ready</x:v>
      </x:c>
      <x:c r="D4098" s="6" t="str">
        <x:v>平</x:v>
      </x:c>
      <x:c r="E4098" s="6" t="str"/>
      <x:c r="F4098" s="6" t="str">
        <x:v>下平聲九青</x:v>
      </x:c>
      <x:c r="G4098" s="6" t="str">
        <x:v>Pingshui main list, Wikisource-derived DOCX</x:v>
      </x:c>
      <x:c r="H4098" s="6" t="str"/>
      <x:c r="I4098" s="6" t="str">
        <x:v>Manual user correction/addition</x:v>
      </x:c>
      <x:c r="J4098" s="6" t="str">
        <x:f>IF(B4098="","",IF(AND(ISNUMBER(SEARCH("平",B4098)),OR(ISNUMBER(SEARCH("上",B4098)),ISNUMBER(SEARCH("去",B4098)),ISNUMBER(SEARCH("入",B4098)))),"Ambiguous",IF(ISNUMBER(SEARCH("平",B4098)),"平","仄")))</x:f>
        <x:v>平</x:v>
      </x:c>
      <x:c r="K4098" s="6" t="str">
        <x:f>IF(D4098="","",IF(AND(ISNUMBER(SEARCH("平",D4098)),OR(ISNUMBER(SEARCH("上",D4098)),ISNUMBER(SEARCH("去",D4098)),ISNUMBER(SEARCH("入",D4098)))),"Ambiguous",IF(ISNUMBER(SEARCH("平",D4098)),"平","仄")))</x:f>
        <x:v>平</x:v>
      </x:c>
      <x:c r="L4098" s="7" t="str">
        <x:v>manual user correction</x:v>
      </x:c>
    </x:row>
    <x:row r="4099">
      <x:c r="A4099" s="5" t="str">
        <x:v>軫</x:v>
      </x:c>
      <x:c r="B4099" s="6" t="str">
        <x:v>上</x:v>
      </x:c>
      <x:c r="C4099" s="6" t="str">
        <x:f>IF(B4099="","Needs decision","Ready")</x:f>
        <x:v>Ready</x:v>
      </x:c>
      <x:c r="D4099" s="6" t="str">
        <x:v>上</x:v>
      </x:c>
      <x:c r="E4099" s="6" t="str">
        <x:v>tsyinX (B)</x:v>
      </x:c>
      <x:c r="F4099" s="6" t="str">
        <x:v>上聲十一軫</x:v>
      </x:c>
      <x:c r="G4099" s="6" t="str">
        <x:v>Pingshui main list, Wikisource-derived DOCX</x:v>
      </x:c>
      <x:c r="H4099" s="6" t="str">
        <x:v>1</x:v>
      </x:c>
      <x:c r="I4099" s="6" t="str"/>
      <x:c r="J4099" s="6" t="str">
        <x:f>IF(B4099="","",IF(AND(ISNUMBER(SEARCH("平",B4099)),OR(ISNUMBER(SEARCH("上",B4099)),ISNUMBER(SEARCH("去",B4099)),ISNUMBER(SEARCH("入",B4099)))),"Ambiguous",IF(ISNUMBER(SEARCH("平",B4099)),"平","仄")))</x:f>
        <x:v>仄</x:v>
      </x:c>
      <x:c r="K4099" s="6" t="str">
        <x:f>IF(D4099="","",IF(AND(ISNUMBER(SEARCH("平",D4099)),OR(ISNUMBER(SEARCH("上",D4099)),ISNUMBER(SEARCH("去",D4099)),ISNUMBER(SEARCH("入",D4099)))),"Ambiguous",IF(ISNUMBER(SEARCH("平",D4099)),"平","仄")))</x:f>
        <x:v>仄</x:v>
      </x:c>
      <x:c r="L4099" s="7" t="str"/>
    </x:row>
    <x:row r="4100">
      <x:c r="A4100" s="5" t="str">
        <x:v>軷</x:v>
      </x:c>
      <x:c r="B4100" s="6" t="str">
        <x:v>入</x:v>
      </x:c>
      <x:c r="C4100" s="6" t="str">
        <x:f>IF(B4100="","Needs decision","Ready")</x:f>
        <x:v>Ready</x:v>
      </x:c>
      <x:c r="D4100" s="6" t="str">
        <x:v>入</x:v>
      </x:c>
      <x:c r="E4100" s="6" t="str">
        <x:v>bat (D)</x:v>
      </x:c>
      <x:c r="F4100" s="6" t="str">
        <x:v>入聲七曷</x:v>
      </x:c>
      <x:c r="G4100" s="6" t="str">
        <x:v>Pingshui main list, Wikisource-derived DOCX</x:v>
      </x:c>
      <x:c r="H4100" s="6" t="str">
        <x:v>1</x:v>
      </x:c>
      <x:c r="I4100" s="6" t="str"/>
      <x:c r="J4100" s="6" t="str">
        <x:f>IF(B4100="","",IF(AND(ISNUMBER(SEARCH("平",B4100)),OR(ISNUMBER(SEARCH("上",B4100)),ISNUMBER(SEARCH("去",B4100)),ISNUMBER(SEARCH("入",B4100)))),"Ambiguous",IF(ISNUMBER(SEARCH("平",B4100)),"平","仄")))</x:f>
        <x:v>仄</x:v>
      </x:c>
      <x:c r="K4100" s="6" t="str">
        <x:f>IF(D4100="","",IF(AND(ISNUMBER(SEARCH("平",D4100)),OR(ISNUMBER(SEARCH("上",D4100)),ISNUMBER(SEARCH("去",D4100)),ISNUMBER(SEARCH("入",D4100)))),"Ambiguous",IF(ISNUMBER(SEARCH("平",D4100)),"平","仄")))</x:f>
        <x:v>仄</x:v>
      </x:c>
      <x:c r="L4100" s="7" t="str"/>
    </x:row>
    <x:row r="4101">
      <x:c r="A4101" s="5" t="str">
        <x:v>軸</x:v>
      </x:c>
      <x:c r="B4101" s="6" t="str">
        <x:v>入</x:v>
      </x:c>
      <x:c r="C4101" s="6" t="str">
        <x:f>IF(B4101="","Needs decision","Ready")</x:f>
        <x:v>Ready</x:v>
      </x:c>
      <x:c r="D4101" s="6" t="str">
        <x:v>入</x:v>
      </x:c>
      <x:c r="E4101" s="6" t="str">
        <x:v>drjuwk (D)</x:v>
      </x:c>
      <x:c r="F4101" s="6" t="str">
        <x:v>入聲一屋</x:v>
      </x:c>
      <x:c r="G4101" s="6" t="str">
        <x:v>Pingshui main list, Wikisource-derived DOCX</x:v>
      </x:c>
      <x:c r="H4101" s="6" t="str">
        <x:v>1</x:v>
      </x:c>
      <x:c r="I4101" s="6" t="str"/>
      <x:c r="J4101" s="6" t="str">
        <x:f>IF(B4101="","",IF(AND(ISNUMBER(SEARCH("平",B4101)),OR(ISNUMBER(SEARCH("上",B4101)),ISNUMBER(SEARCH("去",B4101)),ISNUMBER(SEARCH("入",B4101)))),"Ambiguous",IF(ISNUMBER(SEARCH("平",B4101)),"平","仄")))</x:f>
        <x:v>仄</x:v>
      </x:c>
      <x:c r="K4101" s="6" t="str">
        <x:f>IF(D4101="","",IF(AND(ISNUMBER(SEARCH("平",D4101)),OR(ISNUMBER(SEARCH("上",D4101)),ISNUMBER(SEARCH("去",D4101)),ISNUMBER(SEARCH("入",D4101)))),"Ambiguous",IF(ISNUMBER(SEARCH("平",D4101)),"平","仄")))</x:f>
        <x:v>仄</x:v>
      </x:c>
      <x:c r="L4101" s="7" t="str"/>
    </x:row>
    <x:row r="4102">
      <x:c r="A4102" s="5" t="str">
        <x:v>軻</x:v>
      </x:c>
      <x:c r="B4102" s="6" t="str"/>
      <x:c r="C4102" s="6" t="str">
        <x:f>IF(B4102="","Needs decision","Ready")</x:f>
        <x:v>Needs decision</x:v>
      </x:c>
      <x:c r="D4102" s="6" t="str">
        <x:v>平/上/去</x:v>
      </x:c>
      <x:c r="E4102" s="6" t="str">
        <x:v>kha [qʰɑ] (平); khaH [qʰɑh] (去); khaX [qʰɑʔ] (上)</x:v>
      </x:c>
      <x:c r="F4102" s="6" t="str">
        <x:v>下平聲五歌; 上聲二十哿; 去聲二十一箇</x:v>
      </x:c>
      <x:c r="G4102" s="6" t="str">
        <x:v>Pingshui main list, Wikisource-derived DOCX</x:v>
      </x:c>
      <x:c r="H4102" s="6" t="str">
        <x:v>3</x:v>
      </x:c>
      <x:c r="I4102" s="6" t="str">
        <x:v>Tang 300 gap; frequency 2; ambiguous in Xun Gong</x:v>
      </x:c>
      <x:c r="J4102" s="6" t="str">
        <x:f>IF(B4102="","",IF(AND(ISNUMBER(SEARCH("平",B4102)),OR(ISNUMBER(SEARCH("上",B4102)),ISNUMBER(SEARCH("去",B4102)),ISNUMBER(SEARCH("入",B4102)))),"Ambiguous",IF(ISNUMBER(SEARCH("平",B4102)),"平","仄")))</x:f>
      </x:c>
      <x:c r="K4102" s="6" t="str">
        <x:f>IF(D4102="","",IF(AND(ISNUMBER(SEARCH("平",D4102)),OR(ISNUMBER(SEARCH("上",D4102)),ISNUMBER(SEARCH("去",D4102)),ISNUMBER(SEARCH("入",D4102)))),"Ambiguous",IF(ISNUMBER(SEARCH("平",D4102)),"平","仄")))</x:f>
        <x:v>Ambiguous</x:v>
      </x:c>
      <x:c r="L4102" s="7" t="str">
        <x:v>Xun Gong, Tang 300 gap fill</x:v>
      </x:c>
    </x:row>
    <x:row r="4103">
      <x:c r="A4103" s="5" t="str">
        <x:v>軾</x:v>
      </x:c>
      <x:c r="B4103" s="6" t="str">
        <x:v>入</x:v>
      </x:c>
      <x:c r="C4103" s="6" t="str">
        <x:f>IF(B4103="","Needs decision","Ready")</x:f>
        <x:v>Ready</x:v>
      </x:c>
      <x:c r="D4103" s="6" t="str">
        <x:v>入</x:v>
      </x:c>
      <x:c r="E4103" s="6" t="str"/>
      <x:c r="F4103" s="6" t="str">
        <x:v>入聲十三職</x:v>
      </x:c>
      <x:c r="G4103" s="6" t="str">
        <x:v>Pingshui main list, Wikisource-derived DOCX</x:v>
      </x:c>
      <x:c r="H4103" s="6" t="str"/>
      <x:c r="I4103" s="6" t="str">
        <x:v>Manual user correction/addition</x:v>
      </x:c>
      <x:c r="J4103" s="6" t="str">
        <x:f>IF(B4103="","",IF(AND(ISNUMBER(SEARCH("平",B4103)),OR(ISNUMBER(SEARCH("上",B4103)),ISNUMBER(SEARCH("去",B4103)),ISNUMBER(SEARCH("入",B4103)))),"Ambiguous",IF(ISNUMBER(SEARCH("平",B4103)),"平","仄")))</x:f>
        <x:v>仄</x:v>
      </x:c>
      <x:c r="K4103" s="6" t="str">
        <x:f>IF(D4103="","",IF(AND(ISNUMBER(SEARCH("平",D4103)),OR(ISNUMBER(SEARCH("上",D4103)),ISNUMBER(SEARCH("去",D4103)),ISNUMBER(SEARCH("入",D4103)))),"Ambiguous",IF(ISNUMBER(SEARCH("平",D4103)),"平","仄")))</x:f>
        <x:v>仄</x:v>
      </x:c>
      <x:c r="L4103" s="7" t="str">
        <x:v>manual user correction</x:v>
      </x:c>
    </x:row>
    <x:row r="4104">
      <x:c r="A4104" s="5" t="str">
        <x:v>軿</x:v>
      </x:c>
      <x:c r="B4104" s="6" t="str">
        <x:v>平</x:v>
      </x:c>
      <x:c r="C4104" s="6" t="str">
        <x:f>IF(B4104="","Needs decision","Ready")</x:f>
        <x:v>Ready</x:v>
      </x:c>
      <x:c r="D4104" s="6" t="str">
        <x:v>平</x:v>
      </x:c>
      <x:c r="E4104" s="6" t="str"/>
      <x:c r="F4104" s="6" t="str">
        <x:v>下平聲一先; 下平聲九青</x:v>
      </x:c>
      <x:c r="G4104" s="6" t="str">
        <x:v>Pingshui main list, Wikisource-derived DOCX</x:v>
      </x:c>
      <x:c r="H4104" s="6" t="str">
        <x:v>0</x:v>
      </x:c>
      <x:c r="I4104" s="6" t="str">
        <x:v>User correction 2026-09-08; added manually</x:v>
      </x:c>
      <x:c r="J4104" s="6" t="str">
        <x:f>IF(B4104="","",IF(AND(ISNUMBER(SEARCH("平",B4104)),OR(ISNUMBER(SEARCH("上",B4104)),ISNUMBER(SEARCH("去",B4104)),ISNUMBER(SEARCH("入",B4104)))),"Ambiguous",IF(ISNUMBER(SEARCH("平",B4104)),"平","仄")))</x:f>
        <x:v>平</x:v>
      </x:c>
      <x:c r="K4104" s="6" t="str">
        <x:f>IF(D4104="","",IF(AND(ISNUMBER(SEARCH("平",D4104)),OR(ISNUMBER(SEARCH("上",D4104)),ISNUMBER(SEARCH("去",D4104)),ISNUMBER(SEARCH("入",D4104)))),"Ambiguous",IF(ISNUMBER(SEARCH("平",D4104)),"平","仄")))</x:f>
        <x:v>平</x:v>
      </x:c>
      <x:c r="L4104" s="7" t="str">
        <x:v>User correction</x:v>
      </x:c>
    </x:row>
    <x:row r="4105">
      <x:c r="A4105" s="5" t="str">
        <x:v>較</x:v>
      </x:c>
      <x:c r="B4105" s="6" t="str">
        <x:v>去</x:v>
      </x:c>
      <x:c r="C4105" s="6" t="str">
        <x:f>IF(B4105="","Needs decision","Ready")</x:f>
        <x:v>Ready</x:v>
      </x:c>
      <x:c r="D4105" s="6" t="str">
        <x:v>去</x:v>
      </x:c>
      <x:c r="E4105" s="6" t="str"/>
      <x:c r="F4105" s="6" t="str">
        <x:v>去聲十九效; 入聲三覺</x:v>
      </x:c>
      <x:c r="G4105" s="6" t="str">
        <x:v>Pingshui main list, Wikisource-derived DOCX</x:v>
      </x:c>
      <x:c r="H4105" s="6" t="str"/>
      <x:c r="I4105" s="6" t="str">
        <x:v>Manual user correction/addition</x:v>
      </x:c>
      <x:c r="J4105" s="6" t="str">
        <x:f>IF(B4105="","",IF(AND(ISNUMBER(SEARCH("平",B4105)),OR(ISNUMBER(SEARCH("上",B4105)),ISNUMBER(SEARCH("去",B4105)),ISNUMBER(SEARCH("入",B4105)))),"Ambiguous",IF(ISNUMBER(SEARCH("平",B4105)),"平","仄")))</x:f>
        <x:v>仄</x:v>
      </x:c>
      <x:c r="K4105" s="6" t="str">
        <x:f>IF(D4105="","",IF(AND(ISNUMBER(SEARCH("平",D4105)),OR(ISNUMBER(SEARCH("上",D4105)),ISNUMBER(SEARCH("去",D4105)),ISNUMBER(SEARCH("入",D4105)))),"Ambiguous",IF(ISNUMBER(SEARCH("平",D4105)),"平","仄")))</x:f>
        <x:v>仄</x:v>
      </x:c>
      <x:c r="L4105" s="7" t="str">
        <x:v>manual user correction</x:v>
      </x:c>
    </x:row>
    <x:row r="4106">
      <x:c r="A4106" s="5" t="str">
        <x:v>載</x:v>
      </x:c>
      <x:c r="B4106" s="6" t="str"/>
      <x:c r="C4106" s="6" t="str">
        <x:f>IF(B4106="","Needs decision","Ready")</x:f>
        <x:v>Needs decision</x:v>
      </x:c>
      <x:c r="D4106" s="6" t="str">
        <x:v>上/去</x:v>
      </x:c>
      <x:c r="E4106" s="6" t="str">
        <x:v>tsojX (B); dzojH (C); tsojH (C)</x:v>
      </x:c>
      <x:c r="F4106" s="6" t="str">
        <x:v>上聲十賄; 去聲十一隊</x:v>
      </x:c>
      <x:c r="G4106" s="6" t="str">
        <x:v>Pingshui main list, Wikisource-derived DOCX</x:v>
      </x:c>
      <x:c r="H4106" s="6" t="str">
        <x:v>3</x:v>
      </x:c>
      <x:c r="I4106" s="6" t="str"/>
      <x:c r="J4106" s="6" t="str">
        <x:f>IF(B4106="","",IF(AND(ISNUMBER(SEARCH("平",B4106)),OR(ISNUMBER(SEARCH("上",B4106)),ISNUMBER(SEARCH("去",B4106)),ISNUMBER(SEARCH("入",B4106)))),"Ambiguous",IF(ISNUMBER(SEARCH("平",B4106)),"平","仄")))</x:f>
      </x:c>
      <x:c r="K4106" s="6" t="str">
        <x:f>IF(D4106="","",IF(AND(ISNUMBER(SEARCH("平",D4106)),OR(ISNUMBER(SEARCH("上",D4106)),ISNUMBER(SEARCH("去",D4106)),ISNUMBER(SEARCH("入",D4106)))),"Ambiguous",IF(ISNUMBER(SEARCH("平",D4106)),"平","仄")))</x:f>
        <x:v>仄</x:v>
      </x:c>
      <x:c r="L4106" s="7" t="str"/>
    </x:row>
    <x:row r="4107">
      <x:c r="A4107" s="5" t="str">
        <x:v>輒</x:v>
      </x:c>
      <x:c r="B4107" s="6" t="str">
        <x:v>入</x:v>
      </x:c>
      <x:c r="C4107" s="6" t="str">
        <x:f>IF(B4107="","Needs decision","Ready")</x:f>
        <x:v>Ready</x:v>
      </x:c>
      <x:c r="D4107" s="6" t="str">
        <x:v>入</x:v>
      </x:c>
      <x:c r="E4107" s="6" t="str">
        <x:v>tep (D); trjep (D)</x:v>
      </x:c>
      <x:c r="F4107" s="6" t="str"/>
      <x:c r="G4107" s="6" t="str"/>
      <x:c r="H4107" s="6" t="str">
        <x:v>2</x:v>
      </x:c>
      <x:c r="I4107" s="6" t="str"/>
      <x:c r="J4107" s="6" t="str">
        <x:f>IF(B4107="","",IF(AND(ISNUMBER(SEARCH("平",B4107)),OR(ISNUMBER(SEARCH("上",B4107)),ISNUMBER(SEARCH("去",B4107)),ISNUMBER(SEARCH("入",B4107)))),"Ambiguous",IF(ISNUMBER(SEARCH("平",B4107)),"平","仄")))</x:f>
        <x:v>仄</x:v>
      </x:c>
      <x:c r="K4107" s="6" t="str">
        <x:f>IF(D4107="","",IF(AND(ISNUMBER(SEARCH("平",D4107)),OR(ISNUMBER(SEARCH("上",D4107)),ISNUMBER(SEARCH("去",D4107)),ISNUMBER(SEARCH("入",D4107)))),"Ambiguous",IF(ISNUMBER(SEARCH("平",D4107)),"平","仄")))</x:f>
        <x:v>仄</x:v>
      </x:c>
      <x:c r="L4107" s="7" t="str"/>
    </x:row>
    <x:row r="4108">
      <x:c r="A4108" s="5" t="str">
        <x:v>輔</x:v>
      </x:c>
      <x:c r="B4108" s="6" t="str">
        <x:v>上</x:v>
      </x:c>
      <x:c r="C4108" s="6" t="str">
        <x:f>IF(B4108="","Needs decision","Ready")</x:f>
        <x:v>Ready</x:v>
      </x:c>
      <x:c r="D4108" s="6" t="str">
        <x:v>上</x:v>
      </x:c>
      <x:c r="E4108" s="6" t="str">
        <x:v>bjuX (B)</x:v>
      </x:c>
      <x:c r="F4108" s="6" t="str">
        <x:v>上聲七麌</x:v>
      </x:c>
      <x:c r="G4108" s="6" t="str">
        <x:v>Pingshui main list, Wikisource-derived DOCX</x:v>
      </x:c>
      <x:c r="H4108" s="6" t="str">
        <x:v>1</x:v>
      </x:c>
      <x:c r="I4108" s="6" t="str"/>
      <x:c r="J4108" s="6" t="str">
        <x:f>IF(B4108="","",IF(AND(ISNUMBER(SEARCH("平",B4108)),OR(ISNUMBER(SEARCH("上",B4108)),ISNUMBER(SEARCH("去",B4108)),ISNUMBER(SEARCH("入",B4108)))),"Ambiguous",IF(ISNUMBER(SEARCH("平",B4108)),"平","仄")))</x:f>
        <x:v>仄</x:v>
      </x:c>
      <x:c r="K4108" s="6" t="str">
        <x:f>IF(D4108="","",IF(AND(ISNUMBER(SEARCH("平",D4108)),OR(ISNUMBER(SEARCH("上",D4108)),ISNUMBER(SEARCH("去",D4108)),ISNUMBER(SEARCH("入",D4108)))),"Ambiguous",IF(ISNUMBER(SEARCH("平",D4108)),"平","仄")))</x:f>
        <x:v>仄</x:v>
      </x:c>
      <x:c r="L4108" s="7" t="str"/>
    </x:row>
    <x:row r="4109">
      <x:c r="A4109" s="5" t="str">
        <x:v>輕</x:v>
      </x:c>
      <x:c r="B4109" s="6" t="str">
        <x:v>平</x:v>
      </x:c>
      <x:c r="C4109" s="6" t="str">
        <x:f>IF(B4109="","Needs decision","Ready")</x:f>
        <x:v>Ready</x:v>
      </x:c>
      <x:c r="D4109" s="6" t="str">
        <x:v>平</x:v>
      </x:c>
      <x:c r="E4109" s="6" t="str">
        <x:v>khjieng (A)</x:v>
      </x:c>
      <x:c r="F4109" s="6" t="str">
        <x:v>下平聲八庚; 去聲二十四敬</x:v>
      </x:c>
      <x:c r="G4109" s="6" t="str">
        <x:v>Pingshui main list, Wikisource-derived DOCX</x:v>
      </x:c>
      <x:c r="H4109" s="6" t="str">
        <x:v>1</x:v>
      </x:c>
      <x:c r="I4109" s="6" t="str"/>
      <x:c r="J4109" s="6" t="str">
        <x:f>IF(B4109="","",IF(AND(ISNUMBER(SEARCH("平",B4109)),OR(ISNUMBER(SEARCH("上",B4109)),ISNUMBER(SEARCH("去",B4109)),ISNUMBER(SEARCH("入",B4109)))),"Ambiguous",IF(ISNUMBER(SEARCH("平",B4109)),"平","仄")))</x:f>
        <x:v>平</x:v>
      </x:c>
      <x:c r="K4109" s="6" t="str">
        <x:f>IF(D4109="","",IF(AND(ISNUMBER(SEARCH("平",D4109)),OR(ISNUMBER(SEARCH("上",D4109)),ISNUMBER(SEARCH("去",D4109)),ISNUMBER(SEARCH("入",D4109)))),"Ambiguous",IF(ISNUMBER(SEARCH("平",D4109)),"平","仄")))</x:f>
        <x:v>平</x:v>
      </x:c>
      <x:c r="L4109" s="7" t="str"/>
    </x:row>
    <x:row r="4110">
      <x:c r="A4110" s="5" t="str">
        <x:v>輜</x:v>
      </x:c>
      <x:c r="B4110" s="6" t="str">
        <x:v>平</x:v>
      </x:c>
      <x:c r="C4110" s="6" t="str">
        <x:f>IF(B4110="","Needs decision","Ready")</x:f>
        <x:v>Ready</x:v>
      </x:c>
      <x:c r="D4110" s="6" t="str">
        <x:v>平</x:v>
      </x:c>
      <x:c r="E4110" s="6" t="str"/>
      <x:c r="F4110" s="6" t="str">
        <x:v>上平聲四支</x:v>
      </x:c>
      <x:c r="G4110" s="6" t="str">
        <x:v>Pingshui main list, Wikisource-derived DOCX</x:v>
      </x:c>
      <x:c r="H4110" s="6" t="str"/>
      <x:c r="I4110" s="6" t="str">
        <x:v>Manual user correction/addition</x:v>
      </x:c>
      <x:c r="J4110" s="6" t="str">
        <x:f>IF(B4110="","",IF(AND(ISNUMBER(SEARCH("平",B4110)),OR(ISNUMBER(SEARCH("上",B4110)),ISNUMBER(SEARCH("去",B4110)),ISNUMBER(SEARCH("入",B4110)))),"Ambiguous",IF(ISNUMBER(SEARCH("平",B4110)),"平","仄")))</x:f>
        <x:v>平</x:v>
      </x:c>
      <x:c r="K4110" s="6" t="str">
        <x:f>IF(D4110="","",IF(AND(ISNUMBER(SEARCH("平",D4110)),OR(ISNUMBER(SEARCH("上",D4110)),ISNUMBER(SEARCH("去",D4110)),ISNUMBER(SEARCH("入",D4110)))),"Ambiguous",IF(ISNUMBER(SEARCH("平",D4110)),"平","仄")))</x:f>
        <x:v>平</x:v>
      </x:c>
      <x:c r="L4110" s="7" t="str">
        <x:v>manual user correction</x:v>
      </x:c>
    </x:row>
    <x:row r="4111">
      <x:c r="A4111" s="5" t="str">
        <x:v>輝</x:v>
      </x:c>
      <x:c r="B4111" s="6" t="str">
        <x:v>平</x:v>
      </x:c>
      <x:c r="C4111" s="6" t="str">
        <x:f>IF(B4111="","Needs decision","Ready")</x:f>
        <x:v>Ready</x:v>
      </x:c>
      <x:c r="D4111" s="6" t="str">
        <x:v>平</x:v>
      </x:c>
      <x:c r="E4111" s="6" t="str">
        <x:v>xjw+j (A)</x:v>
      </x:c>
      <x:c r="F4111" s="6" t="str">
        <x:v>上平聲五微</x:v>
      </x:c>
      <x:c r="G4111" s="6" t="str">
        <x:v>Pingshui main list, Wikisource-derived DOCX</x:v>
      </x:c>
      <x:c r="H4111" s="6" t="str">
        <x:v>1</x:v>
      </x:c>
      <x:c r="I4111" s="6" t="str"/>
      <x:c r="J4111" s="6" t="str">
        <x:f>IF(B4111="","",IF(AND(ISNUMBER(SEARCH("平",B4111)),OR(ISNUMBER(SEARCH("上",B4111)),ISNUMBER(SEARCH("去",B4111)),ISNUMBER(SEARCH("入",B4111)))),"Ambiguous",IF(ISNUMBER(SEARCH("平",B4111)),"平","仄")))</x:f>
        <x:v>平</x:v>
      </x:c>
      <x:c r="K4111" s="6" t="str">
        <x:f>IF(D4111="","",IF(AND(ISNUMBER(SEARCH("平",D4111)),OR(ISNUMBER(SEARCH("上",D4111)),ISNUMBER(SEARCH("去",D4111)),ISNUMBER(SEARCH("入",D4111)))),"Ambiguous",IF(ISNUMBER(SEARCH("平",D4111)),"平","仄")))</x:f>
        <x:v>平</x:v>
      </x:c>
      <x:c r="L4111" s="7" t="str"/>
    </x:row>
    <x:row r="4112">
      <x:c r="A4112" s="5" t="str">
        <x:v>輟</x:v>
      </x:c>
      <x:c r="B4112" s="6" t="str">
        <x:v>入</x:v>
      </x:c>
      <x:c r="C4112" s="6" t="str">
        <x:f>IF(B4112="","Needs decision","Ready")</x:f>
        <x:v>Ready</x:v>
      </x:c>
      <x:c r="D4112" s="6" t="str">
        <x:v>入</x:v>
      </x:c>
      <x:c r="E4112" s="6" t="str">
        <x:v>trjwet (D)</x:v>
      </x:c>
      <x:c r="F4112" s="6" t="str">
        <x:v>入聲九屑</x:v>
      </x:c>
      <x:c r="G4112" s="6" t="str">
        <x:v>Pingshui main list, Wikisource-derived DOCX</x:v>
      </x:c>
      <x:c r="H4112" s="6" t="str">
        <x:v>1</x:v>
      </x:c>
      <x:c r="I4112" s="6" t="str"/>
      <x:c r="J4112" s="6" t="str">
        <x:f>IF(B4112="","",IF(AND(ISNUMBER(SEARCH("平",B4112)),OR(ISNUMBER(SEARCH("上",B4112)),ISNUMBER(SEARCH("去",B4112)),ISNUMBER(SEARCH("入",B4112)))),"Ambiguous",IF(ISNUMBER(SEARCH("平",B4112)),"平","仄")))</x:f>
        <x:v>仄</x:v>
      </x:c>
      <x:c r="K4112" s="6" t="str">
        <x:f>IF(D4112="","",IF(AND(ISNUMBER(SEARCH("平",D4112)),OR(ISNUMBER(SEARCH("上",D4112)),ISNUMBER(SEARCH("去",D4112)),ISNUMBER(SEARCH("入",D4112)))),"Ambiguous",IF(ISNUMBER(SEARCH("平",D4112)),"平","仄")))</x:f>
        <x:v>仄</x:v>
      </x:c>
      <x:c r="L4112" s="7" t="str"/>
    </x:row>
    <x:row r="4113">
      <x:c r="A4113" s="5" t="str">
        <x:v>輠</x:v>
      </x:c>
      <x:c r="B4113" s="6" t="str">
        <x:v>上</x:v>
      </x:c>
      <x:c r="C4113" s="6" t="str">
        <x:f>IF(B4113="","Needs decision","Ready")</x:f>
        <x:v>Ready</x:v>
      </x:c>
      <x:c r="D4113" s="6" t="str">
        <x:v>上</x:v>
      </x:c>
      <x:c r="E4113" s="6" t="str">
        <x:v>hwaeX (B); hwanX (B); hwojX (B)</x:v>
      </x:c>
      <x:c r="F4113" s="6" t="str">
        <x:v>上聲二十哿; 上聲二十一馬</x:v>
      </x:c>
      <x:c r="G4113" s="6" t="str">
        <x:v>Pingshui main list, Wikisource-derived DOCX</x:v>
      </x:c>
      <x:c r="H4113" s="6" t="str">
        <x:v>3</x:v>
      </x:c>
      <x:c r="I4113" s="6" t="str"/>
      <x:c r="J4113" s="6" t="str">
        <x:f>IF(B4113="","",IF(AND(ISNUMBER(SEARCH("平",B4113)),OR(ISNUMBER(SEARCH("上",B4113)),ISNUMBER(SEARCH("去",B4113)),ISNUMBER(SEARCH("入",B4113)))),"Ambiguous",IF(ISNUMBER(SEARCH("平",B4113)),"平","仄")))</x:f>
        <x:v>仄</x:v>
      </x:c>
      <x:c r="K4113" s="6" t="str">
        <x:f>IF(D4113="","",IF(AND(ISNUMBER(SEARCH("平",D4113)),OR(ISNUMBER(SEARCH("上",D4113)),ISNUMBER(SEARCH("去",D4113)),ISNUMBER(SEARCH("入",D4113)))),"Ambiguous",IF(ISNUMBER(SEARCH("平",D4113)),"平","仄")))</x:f>
        <x:v>仄</x:v>
      </x:c>
      <x:c r="L4113" s="7" t="str"/>
    </x:row>
    <x:row r="4114">
      <x:c r="A4114" s="5" t="str">
        <x:v>輦</x:v>
      </x:c>
      <x:c r="B4114" s="6" t="str">
        <x:v>上</x:v>
      </x:c>
      <x:c r="C4114" s="6" t="str">
        <x:f>IF(B4114="","Needs decision","Ready")</x:f>
        <x:v>Ready</x:v>
      </x:c>
      <x:c r="D4114" s="6" t="str">
        <x:v>上</x:v>
      </x:c>
      <x:c r="E4114" s="6" t="str">
        <x:v>ljenX (B)</x:v>
      </x:c>
      <x:c r="F4114" s="6" t="str">
        <x:v>上聲十六銑</x:v>
      </x:c>
      <x:c r="G4114" s="6" t="str">
        <x:v>Pingshui main list, Wikisource-derived DOCX</x:v>
      </x:c>
      <x:c r="H4114" s="6" t="str">
        <x:v>1</x:v>
      </x:c>
      <x:c r="I4114" s="6" t="str"/>
      <x:c r="J4114" s="6" t="str">
        <x:f>IF(B4114="","",IF(AND(ISNUMBER(SEARCH("平",B4114)),OR(ISNUMBER(SEARCH("上",B4114)),ISNUMBER(SEARCH("去",B4114)),ISNUMBER(SEARCH("入",B4114)))),"Ambiguous",IF(ISNUMBER(SEARCH("平",B4114)),"平","仄")))</x:f>
        <x:v>仄</x:v>
      </x:c>
      <x:c r="K4114" s="6" t="str">
        <x:f>IF(D4114="","",IF(AND(ISNUMBER(SEARCH("平",D4114)),OR(ISNUMBER(SEARCH("上",D4114)),ISNUMBER(SEARCH("去",D4114)),ISNUMBER(SEARCH("入",D4114)))),"Ambiguous",IF(ISNUMBER(SEARCH("平",D4114)),"平","仄")))</x:f>
        <x:v>仄</x:v>
      </x:c>
      <x:c r="L4114" s="7" t="str"/>
    </x:row>
    <x:row r="4115">
      <x:c r="A4115" s="5" t="str">
        <x:v>輩</x:v>
      </x:c>
      <x:c r="B4115" s="6" t="str">
        <x:v>去</x:v>
      </x:c>
      <x:c r="C4115" s="6" t="str">
        <x:f>IF(B4115="","Needs decision","Ready")</x:f>
        <x:v>Ready</x:v>
      </x:c>
      <x:c r="D4115" s="6" t="str">
        <x:v>去</x:v>
      </x:c>
      <x:c r="E4115" s="6" t="str">
        <x:v>pwojH [幫一灰去] p̙wəjh</x:v>
      </x:c>
      <x:c r="F4115" s="6" t="str">
        <x:v>去聲十一隊</x:v>
      </x:c>
      <x:c r="G4115" s="6" t="str">
        <x:v>Pingshui main list, Wikisource-derived DOCX</x:v>
      </x:c>
      <x:c r="H4115" s="6" t="str">
        <x:v>1</x:v>
      </x:c>
      <x:c r="I4115" s="6" t="str">
        <x:v>Targeted preliminary fill from Xun Gong; review if uncertain</x:v>
      </x:c>
      <x:c r="J4115" s="6" t="str">
        <x:f>IF(B4115="","",IF(AND(ISNUMBER(SEARCH("平",B4115)),OR(ISNUMBER(SEARCH("上",B4115)),ISNUMBER(SEARCH("去",B4115)),ISNUMBER(SEARCH("入",B4115)))),"Ambiguous",IF(ISNUMBER(SEARCH("平",B4115)),"平","仄")))</x:f>
        <x:v>仄</x:v>
      </x:c>
      <x:c r="K4115" s="6" t="str">
        <x:f>IF(D4115="","",IF(AND(ISNUMBER(SEARCH("平",D4115)),OR(ISNUMBER(SEARCH("上",D4115)),ISNUMBER(SEARCH("去",D4115)),ISNUMBER(SEARCH("入",D4115)))),"Ambiguous",IF(ISNUMBER(SEARCH("平",D4115)),"平","仄")))</x:f>
        <x:v>仄</x:v>
      </x:c>
      <x:c r="L4115" s="7" t="str">
        <x:v>Xun Gong character-readings.csv</x:v>
      </x:c>
    </x:row>
    <x:row r="4116">
      <x:c r="A4116" s="5" t="str">
        <x:v>輪</x:v>
      </x:c>
      <x:c r="B4116" s="6" t="str">
        <x:v>平</x:v>
      </x:c>
      <x:c r="C4116" s="6" t="str">
        <x:f>IF(B4116="","Needs decision","Ready")</x:f>
        <x:v>Ready</x:v>
      </x:c>
      <x:c r="D4116" s="6" t="str">
        <x:v>平</x:v>
      </x:c>
      <x:c r="E4116" s="6" t="str">
        <x:v>lwin (A)</x:v>
      </x:c>
      <x:c r="F4116" s="6" t="str">
        <x:v>上平聲十一真</x:v>
      </x:c>
      <x:c r="G4116" s="6" t="str">
        <x:v>Pingshui main list, Wikisource-derived DOCX</x:v>
      </x:c>
      <x:c r="H4116" s="6" t="str">
        <x:v>1</x:v>
      </x:c>
      <x:c r="I4116" s="6" t="str"/>
      <x:c r="J4116" s="6" t="str">
        <x:f>IF(B4116="","",IF(AND(ISNUMBER(SEARCH("平",B4116)),OR(ISNUMBER(SEARCH("上",B4116)),ISNUMBER(SEARCH("去",B4116)),ISNUMBER(SEARCH("入",B4116)))),"Ambiguous",IF(ISNUMBER(SEARCH("平",B4116)),"平","仄")))</x:f>
        <x:v>平</x:v>
      </x:c>
      <x:c r="K4116" s="6" t="str">
        <x:f>IF(D4116="","",IF(AND(ISNUMBER(SEARCH("平",D4116)),OR(ISNUMBER(SEARCH("上",D4116)),ISNUMBER(SEARCH("去",D4116)),ISNUMBER(SEARCH("入",D4116)))),"Ambiguous",IF(ISNUMBER(SEARCH("平",D4116)),"平","仄")))</x:f>
        <x:v>平</x:v>
      </x:c>
      <x:c r="L4116" s="7" t="str"/>
    </x:row>
    <x:row r="4117">
      <x:c r="A4117" s="5" t="str">
        <x:v>輯</x:v>
      </x:c>
      <x:c r="B4117" s="6" t="str">
        <x:v>入</x:v>
      </x:c>
      <x:c r="C4117" s="6" t="str">
        <x:f>IF(B4117="","Needs decision","Ready")</x:f>
        <x:v>Ready</x:v>
      </x:c>
      <x:c r="D4117" s="6" t="str">
        <x:v>入</x:v>
      </x:c>
      <x:c r="E4117" s="6" t="str">
        <x:v>dzip (D); tsrip (D)</x:v>
      </x:c>
      <x:c r="F4117" s="6" t="str">
        <x:v>入聲十四緝</x:v>
      </x:c>
      <x:c r="G4117" s="6" t="str">
        <x:v>Pingshui main list, Wikisource-derived DOCX</x:v>
      </x:c>
      <x:c r="H4117" s="6" t="str">
        <x:v>2</x:v>
      </x:c>
      <x:c r="I4117" s="6" t="str"/>
      <x:c r="J4117" s="6" t="str">
        <x:f>IF(B4117="","",IF(AND(ISNUMBER(SEARCH("平",B4117)),OR(ISNUMBER(SEARCH("上",B4117)),ISNUMBER(SEARCH("去",B4117)),ISNUMBER(SEARCH("入",B4117)))),"Ambiguous",IF(ISNUMBER(SEARCH("平",B4117)),"平","仄")))</x:f>
        <x:v>仄</x:v>
      </x:c>
      <x:c r="K4117" s="6" t="str">
        <x:f>IF(D4117="","",IF(AND(ISNUMBER(SEARCH("平",D4117)),OR(ISNUMBER(SEARCH("上",D4117)),ISNUMBER(SEARCH("去",D4117)),ISNUMBER(SEARCH("入",D4117)))),"Ambiguous",IF(ISNUMBER(SEARCH("平",D4117)),"平","仄")))</x:f>
        <x:v>仄</x:v>
      </x:c>
      <x:c r="L4117" s="7" t="str"/>
    </x:row>
    <x:row r="4118">
      <x:c r="A4118" s="5" t="str">
        <x:v>輲</x:v>
      </x:c>
      <x:c r="B4118" s="6" t="str">
        <x:v>平</x:v>
      </x:c>
      <x:c r="C4118" s="6" t="str">
        <x:f>IF(B4118="","Needs decision","Ready")</x:f>
        <x:v>Ready</x:v>
      </x:c>
      <x:c r="D4118" s="6" t="str">
        <x:v>平</x:v>
      </x:c>
      <x:c r="E4118" s="6" t="str">
        <x:v>dzywen (A)</x:v>
      </x:c>
      <x:c r="F4118" s="6" t="str"/>
      <x:c r="G4118" s="6" t="str"/>
      <x:c r="H4118" s="6" t="str">
        <x:v>1</x:v>
      </x:c>
      <x:c r="I4118" s="6" t="str"/>
      <x:c r="J4118" s="6" t="str">
        <x:f>IF(B4118="","",IF(AND(ISNUMBER(SEARCH("平",B4118)),OR(ISNUMBER(SEARCH("上",B4118)),ISNUMBER(SEARCH("去",B4118)),ISNUMBER(SEARCH("入",B4118)))),"Ambiguous",IF(ISNUMBER(SEARCH("平",B4118)),"平","仄")))</x:f>
        <x:v>平</x:v>
      </x:c>
      <x:c r="K4118" s="6" t="str">
        <x:f>IF(D4118="","",IF(AND(ISNUMBER(SEARCH("平",D4118)),OR(ISNUMBER(SEARCH("上",D4118)),ISNUMBER(SEARCH("去",D4118)),ISNUMBER(SEARCH("入",D4118)))),"Ambiguous",IF(ISNUMBER(SEARCH("平",D4118)),"平","仄")))</x:f>
        <x:v>平</x:v>
      </x:c>
      <x:c r="L4118" s="7" t="str"/>
    </x:row>
    <x:row r="4119">
      <x:c r="A4119" s="5" t="str">
        <x:v>輴</x:v>
      </x:c>
      <x:c r="B4119" s="6" t="str">
        <x:v>平</x:v>
      </x:c>
      <x:c r="C4119" s="6" t="str">
        <x:f>IF(B4119="","Needs decision","Ready")</x:f>
        <x:v>Ready</x:v>
      </x:c>
      <x:c r="D4119" s="6" t="str">
        <x:v>平</x:v>
      </x:c>
      <x:c r="E4119" s="6" t="str">
        <x:v>trhwin (A)</x:v>
      </x:c>
      <x:c r="F4119" s="6" t="str"/>
      <x:c r="G4119" s="6" t="str"/>
      <x:c r="H4119" s="6" t="str">
        <x:v>1</x:v>
      </x:c>
      <x:c r="I4119" s="6" t="str"/>
      <x:c r="J4119" s="6" t="str">
        <x:f>IF(B4119="","",IF(AND(ISNUMBER(SEARCH("平",B4119)),OR(ISNUMBER(SEARCH("上",B4119)),ISNUMBER(SEARCH("去",B4119)),ISNUMBER(SEARCH("入",B4119)))),"Ambiguous",IF(ISNUMBER(SEARCH("平",B4119)),"平","仄")))</x:f>
        <x:v>平</x:v>
      </x:c>
      <x:c r="K4119" s="6" t="str">
        <x:f>IF(D4119="","",IF(AND(ISNUMBER(SEARCH("平",D4119)),OR(ISNUMBER(SEARCH("上",D4119)),ISNUMBER(SEARCH("去",D4119)),ISNUMBER(SEARCH("入",D4119)))),"Ambiguous",IF(ISNUMBER(SEARCH("平",D4119)),"平","仄")))</x:f>
        <x:v>平</x:v>
      </x:c>
      <x:c r="L4119" s="7" t="str"/>
    </x:row>
    <x:row r="4120">
      <x:c r="A4120" s="5" t="str">
        <x:v>輸</x:v>
      </x:c>
      <x:c r="B4120" s="6" t="str">
        <x:v>平</x:v>
      </x:c>
      <x:c r="C4120" s="6" t="str">
        <x:f>IF(B4120="","Needs decision","Ready")</x:f>
        <x:v>Ready</x:v>
      </x:c>
      <x:c r="D4120" s="6" t="str">
        <x:v>平</x:v>
      </x:c>
      <x:c r="E4120" s="6" t="str">
        <x:v>syu (A)</x:v>
      </x:c>
      <x:c r="F4120" s="6" t="str">
        <x:v>上平聲七虞; 去聲七遇</x:v>
      </x:c>
      <x:c r="G4120" s="6" t="str">
        <x:v>Pingshui main list, Wikisource-derived DOCX</x:v>
      </x:c>
      <x:c r="H4120" s="6" t="str">
        <x:v>1</x:v>
      </x:c>
      <x:c r="I4120" s="6" t="str"/>
      <x:c r="J4120" s="6" t="str">
        <x:f>IF(B4120="","",IF(AND(ISNUMBER(SEARCH("平",B4120)),OR(ISNUMBER(SEARCH("上",B4120)),ISNUMBER(SEARCH("去",B4120)),ISNUMBER(SEARCH("入",B4120)))),"Ambiguous",IF(ISNUMBER(SEARCH("平",B4120)),"平","仄")))</x:f>
        <x:v>平</x:v>
      </x:c>
      <x:c r="K4120" s="6" t="str">
        <x:f>IF(D4120="","",IF(AND(ISNUMBER(SEARCH("平",D4120)),OR(ISNUMBER(SEARCH("上",D4120)),ISNUMBER(SEARCH("去",D4120)),ISNUMBER(SEARCH("入",D4120)))),"Ambiguous",IF(ISNUMBER(SEARCH("平",D4120)),"平","仄")))</x:f>
        <x:v>平</x:v>
      </x:c>
      <x:c r="L4120" s="7" t="str"/>
    </x:row>
    <x:row r="4121">
      <x:c r="A4121" s="5" t="str">
        <x:v>輹</x:v>
      </x:c>
      <x:c r="B4121" s="6" t="str">
        <x:v>入</x:v>
      </x:c>
      <x:c r="C4121" s="6" t="str">
        <x:f>IF(B4121="","Needs decision","Ready")</x:f>
        <x:v>Ready</x:v>
      </x:c>
      <x:c r="D4121" s="6" t="str">
        <x:v>入</x:v>
      </x:c>
      <x:c r="E4121" s="6" t="str">
        <x:v>bjuwk (D)</x:v>
      </x:c>
      <x:c r="F4121" s="6" t="str">
        <x:v>入聲一屋</x:v>
      </x:c>
      <x:c r="G4121" s="6" t="str">
        <x:v>Pingshui main list, Wikisource-derived DOCX</x:v>
      </x:c>
      <x:c r="H4121" s="6" t="str">
        <x:v>1</x:v>
      </x:c>
      <x:c r="I4121" s="6" t="str"/>
      <x:c r="J4121" s="6" t="str">
        <x:f>IF(B4121="","",IF(AND(ISNUMBER(SEARCH("平",B4121)),OR(ISNUMBER(SEARCH("上",B4121)),ISNUMBER(SEARCH("去",B4121)),ISNUMBER(SEARCH("入",B4121)))),"Ambiguous",IF(ISNUMBER(SEARCH("平",B4121)),"平","仄")))</x:f>
        <x:v>仄</x:v>
      </x:c>
      <x:c r="K4121" s="6" t="str">
        <x:f>IF(D4121="","",IF(AND(ISNUMBER(SEARCH("平",D4121)),OR(ISNUMBER(SEARCH("上",D4121)),ISNUMBER(SEARCH("去",D4121)),ISNUMBER(SEARCH("入",D4121)))),"Ambiguous",IF(ISNUMBER(SEARCH("平",D4121)),"平","仄")))</x:f>
        <x:v>仄</x:v>
      </x:c>
      <x:c r="L4121" s="7" t="str"/>
    </x:row>
    <x:row r="4122">
      <x:c r="A4122" s="5" t="str">
        <x:v>輻</x:v>
      </x:c>
      <x:c r="B4122" s="6" t="str">
        <x:v>入</x:v>
      </x:c>
      <x:c r="C4122" s="6" t="str">
        <x:f>IF(B4122="","Needs decision","Ready")</x:f>
        <x:v>Ready</x:v>
      </x:c>
      <x:c r="D4122" s="6" t="str">
        <x:v>入</x:v>
      </x:c>
      <x:c r="E4122" s="6" t="str">
        <x:v>pjuwk (D)</x:v>
      </x:c>
      <x:c r="F4122" s="6" t="str">
        <x:v>去聲二十六宥; 入聲一屋</x:v>
      </x:c>
      <x:c r="G4122" s="6" t="str">
        <x:v>Pingshui main list, Wikisource-derived DOCX</x:v>
      </x:c>
      <x:c r="H4122" s="6" t="str">
        <x:v>1</x:v>
      </x:c>
      <x:c r="I4122" s="6" t="str"/>
      <x:c r="J4122" s="6" t="str">
        <x:f>IF(B4122="","",IF(AND(ISNUMBER(SEARCH("平",B4122)),OR(ISNUMBER(SEARCH("上",B4122)),ISNUMBER(SEARCH("去",B4122)),ISNUMBER(SEARCH("入",B4122)))),"Ambiguous",IF(ISNUMBER(SEARCH("平",B4122)),"平","仄")))</x:f>
        <x:v>仄</x:v>
      </x:c>
      <x:c r="K4122" s="6" t="str">
        <x:f>IF(D4122="","",IF(AND(ISNUMBER(SEARCH("平",D4122)),OR(ISNUMBER(SEARCH("上",D4122)),ISNUMBER(SEARCH("去",D4122)),ISNUMBER(SEARCH("入",D4122)))),"Ambiguous",IF(ISNUMBER(SEARCH("平",D4122)),"平","仄")))</x:f>
        <x:v>仄</x:v>
      </x:c>
      <x:c r="L4122" s="7" t="str"/>
    </x:row>
    <x:row r="4123">
      <x:c r="A4123" s="5" t="str">
        <x:v>輾</x:v>
      </x:c>
      <x:c r="B4123" s="6" t="str">
        <x:v>上</x:v>
      </x:c>
      <x:c r="C4123" s="6" t="str">
        <x:f>IF(B4123="","Needs decision","Ready")</x:f>
        <x:v>Ready</x:v>
      </x:c>
      <x:c r="D4123" s="6" t="str">
        <x:v>上</x:v>
      </x:c>
      <x:c r="E4123" s="6" t="str">
        <x:v>trjenX (B)</x:v>
      </x:c>
      <x:c r="F4123" s="6" t="str">
        <x:v>上聲十六銑; 去聲十七霰</x:v>
      </x:c>
      <x:c r="G4123" s="6" t="str">
        <x:v>Pingshui main list, Wikisource-derived DOCX</x:v>
      </x:c>
      <x:c r="H4123" s="6" t="str">
        <x:v>1</x:v>
      </x:c>
      <x:c r="I4123" s="6" t="str"/>
      <x:c r="J4123" s="6" t="str">
        <x:f>IF(B4123="","",IF(AND(ISNUMBER(SEARCH("平",B4123)),OR(ISNUMBER(SEARCH("上",B4123)),ISNUMBER(SEARCH("去",B4123)),ISNUMBER(SEARCH("入",B4123)))),"Ambiguous",IF(ISNUMBER(SEARCH("平",B4123)),"平","仄")))</x:f>
        <x:v>仄</x:v>
      </x:c>
      <x:c r="K4123" s="6" t="str">
        <x:f>IF(D4123="","",IF(AND(ISNUMBER(SEARCH("平",D4123)),OR(ISNUMBER(SEARCH("上",D4123)),ISNUMBER(SEARCH("去",D4123)),ISNUMBER(SEARCH("入",D4123)))),"Ambiguous",IF(ISNUMBER(SEARCH("平",D4123)),"平","仄")))</x:f>
        <x:v>仄</x:v>
      </x:c>
      <x:c r="L4123" s="7" t="str"/>
    </x:row>
    <x:row r="4124">
      <x:c r="A4124" s="5" t="str">
        <x:v>輿</x:v>
      </x:c>
      <x:c r="B4124" s="6" t="str">
        <x:v>平</x:v>
      </x:c>
      <x:c r="C4124" s="6" t="str">
        <x:f>IF(B4124="","Needs decision","Ready")</x:f>
        <x:v>Ready</x:v>
      </x:c>
      <x:c r="D4124" s="6" t="str">
        <x:v>平</x:v>
      </x:c>
      <x:c r="E4124" s="6" t="str">
        <x:v>yo (A)</x:v>
      </x:c>
      <x:c r="F4124" s="6" t="str">
        <x:v>上平聲六魚</x:v>
      </x:c>
      <x:c r="G4124" s="6" t="str">
        <x:v>Pingshui main list, Wikisource-derived DOCX</x:v>
      </x:c>
      <x:c r="H4124" s="6" t="str">
        <x:v>1</x:v>
      </x:c>
      <x:c r="I4124" s="6" t="str"/>
      <x:c r="J4124" s="6" t="str">
        <x:f>IF(B4124="","",IF(AND(ISNUMBER(SEARCH("平",B4124)),OR(ISNUMBER(SEARCH("上",B4124)),ISNUMBER(SEARCH("去",B4124)),ISNUMBER(SEARCH("入",B4124)))),"Ambiguous",IF(ISNUMBER(SEARCH("平",B4124)),"平","仄")))</x:f>
        <x:v>平</x:v>
      </x:c>
      <x:c r="K4124" s="6" t="str">
        <x:f>IF(D4124="","",IF(AND(ISNUMBER(SEARCH("平",D4124)),OR(ISNUMBER(SEARCH("上",D4124)),ISNUMBER(SEARCH("去",D4124)),ISNUMBER(SEARCH("入",D4124)))),"Ambiguous",IF(ISNUMBER(SEARCH("平",D4124)),"平","仄")))</x:f>
        <x:v>平</x:v>
      </x:c>
      <x:c r="L4124" s="7" t="str"/>
    </x:row>
    <x:row r="4125">
      <x:c r="A4125" s="5" t="str">
        <x:v>轂</x:v>
      </x:c>
      <x:c r="B4125" s="6" t="str">
        <x:v>入</x:v>
      </x:c>
      <x:c r="C4125" s="6" t="str">
        <x:f>IF(B4125="","Needs decision","Ready")</x:f>
        <x:v>Ready</x:v>
      </x:c>
      <x:c r="D4125" s="6" t="str">
        <x:v>入</x:v>
      </x:c>
      <x:c r="E4125" s="6" t="str">
        <x:v>kuwk (D)</x:v>
      </x:c>
      <x:c r="F4125" s="6" t="str">
        <x:v>入聲一屋</x:v>
      </x:c>
      <x:c r="G4125" s="6" t="str">
        <x:v>Pingshui main list, Wikisource-derived DOCX</x:v>
      </x:c>
      <x:c r="H4125" s="6" t="str">
        <x:v>1</x:v>
      </x:c>
      <x:c r="I4125" s="6" t="str"/>
      <x:c r="J4125" s="6" t="str">
        <x:f>IF(B4125="","",IF(AND(ISNUMBER(SEARCH("平",B4125)),OR(ISNUMBER(SEARCH("上",B4125)),ISNUMBER(SEARCH("去",B4125)),ISNUMBER(SEARCH("入",B4125)))),"Ambiguous",IF(ISNUMBER(SEARCH("平",B4125)),"平","仄")))</x:f>
        <x:v>仄</x:v>
      </x:c>
      <x:c r="K4125" s="6" t="str">
        <x:f>IF(D4125="","",IF(AND(ISNUMBER(SEARCH("平",D4125)),OR(ISNUMBER(SEARCH("上",D4125)),ISNUMBER(SEARCH("去",D4125)),ISNUMBER(SEARCH("入",D4125)))),"Ambiguous",IF(ISNUMBER(SEARCH("平",D4125)),"平","仄")))</x:f>
        <x:v>仄</x:v>
      </x:c>
      <x:c r="L4125" s="7" t="str"/>
    </x:row>
    <x:row r="4126">
      <x:c r="A4126" s="5" t="str">
        <x:v>轄</x:v>
      </x:c>
      <x:c r="B4126" s="6" t="str">
        <x:v>入</x:v>
      </x:c>
      <x:c r="C4126" s="6" t="str">
        <x:f>IF(B4126="","Needs decision","Ready")</x:f>
        <x:v>Ready</x:v>
      </x:c>
      <x:c r="D4126" s="6" t="str">
        <x:v>入</x:v>
      </x:c>
      <x:c r="E4126" s="6" t="str">
        <x:v>haet (D)</x:v>
      </x:c>
      <x:c r="F4126" s="6" t="str"/>
      <x:c r="G4126" s="6" t="str"/>
      <x:c r="H4126" s="6" t="str">
        <x:v>1</x:v>
      </x:c>
      <x:c r="I4126" s="6" t="str"/>
      <x:c r="J4126" s="6" t="str">
        <x:f>IF(B4126="","",IF(AND(ISNUMBER(SEARCH("平",B4126)),OR(ISNUMBER(SEARCH("上",B4126)),ISNUMBER(SEARCH("去",B4126)),ISNUMBER(SEARCH("入",B4126)))),"Ambiguous",IF(ISNUMBER(SEARCH("平",B4126)),"平","仄")))</x:f>
        <x:v>仄</x:v>
      </x:c>
      <x:c r="K4126" s="6" t="str">
        <x:f>IF(D4126="","",IF(AND(ISNUMBER(SEARCH("平",D4126)),OR(ISNUMBER(SEARCH("上",D4126)),ISNUMBER(SEARCH("去",D4126)),ISNUMBER(SEARCH("入",D4126)))),"Ambiguous",IF(ISNUMBER(SEARCH("平",D4126)),"平","仄")))</x:f>
        <x:v>仄</x:v>
      </x:c>
      <x:c r="L4126" s="7" t="str"/>
    </x:row>
    <x:row r="4127">
      <x:c r="A4127" s="5" t="str">
        <x:v>轅</x:v>
      </x:c>
      <x:c r="B4127" s="6" t="str">
        <x:v>平</x:v>
      </x:c>
      <x:c r="C4127" s="6" t="str">
        <x:f>IF(B4127="","Needs decision","Ready")</x:f>
        <x:v>Ready</x:v>
      </x:c>
      <x:c r="D4127" s="6" t="str">
        <x:v>平</x:v>
      </x:c>
      <x:c r="E4127" s="6" t="str">
        <x:v>hjwon (A)</x:v>
      </x:c>
      <x:c r="F4127" s="6" t="str">
        <x:v>上平聲十三元</x:v>
      </x:c>
      <x:c r="G4127" s="6" t="str">
        <x:v>Pingshui main list, Wikisource-derived DOCX</x:v>
      </x:c>
      <x:c r="H4127" s="6" t="str">
        <x:v>1</x:v>
      </x:c>
      <x:c r="I4127" s="6" t="str"/>
      <x:c r="J4127" s="6" t="str">
        <x:f>IF(B4127="","",IF(AND(ISNUMBER(SEARCH("平",B4127)),OR(ISNUMBER(SEARCH("上",B4127)),ISNUMBER(SEARCH("去",B4127)),ISNUMBER(SEARCH("入",B4127)))),"Ambiguous",IF(ISNUMBER(SEARCH("平",B4127)),"平","仄")))</x:f>
        <x:v>平</x:v>
      </x:c>
      <x:c r="K4127" s="6" t="str">
        <x:f>IF(D4127="","",IF(AND(ISNUMBER(SEARCH("平",D4127)),OR(ISNUMBER(SEARCH("上",D4127)),ISNUMBER(SEARCH("去",D4127)),ISNUMBER(SEARCH("入",D4127)))),"Ambiguous",IF(ISNUMBER(SEARCH("平",D4127)),"平","仄")))</x:f>
        <x:v>平</x:v>
      </x:c>
      <x:c r="L4127" s="7" t="str"/>
    </x:row>
    <x:row r="4128">
      <x:c r="A4128" s="5" t="str">
        <x:v>轉</x:v>
      </x:c>
      <x:c r="B4128" s="6" t="str">
        <x:v>上</x:v>
      </x:c>
      <x:c r="C4128" s="6" t="str">
        <x:f>IF(B4128="","Needs decision","Ready")</x:f>
        <x:v>Ready</x:v>
      </x:c>
      <x:c r="D4128" s="6" t="str">
        <x:v>上</x:v>
      </x:c>
      <x:c r="E4128" s="6" t="str">
        <x:v>trjwenX (B)</x:v>
      </x:c>
      <x:c r="F4128" s="6" t="str">
        <x:v>上聲十六銑; 去聲十七霰</x:v>
      </x:c>
      <x:c r="G4128" s="6" t="str">
        <x:v>Pingshui main list, Wikisource-derived DOCX</x:v>
      </x:c>
      <x:c r="H4128" s="6" t="str">
        <x:v>1</x:v>
      </x:c>
      <x:c r="I4128" s="6" t="str"/>
      <x:c r="J4128" s="6" t="str">
        <x:f>IF(B4128="","",IF(AND(ISNUMBER(SEARCH("平",B4128)),OR(ISNUMBER(SEARCH("上",B4128)),ISNUMBER(SEARCH("去",B4128)),ISNUMBER(SEARCH("入",B4128)))),"Ambiguous",IF(ISNUMBER(SEARCH("平",B4128)),"平","仄")))</x:f>
        <x:v>仄</x:v>
      </x:c>
      <x:c r="K4128" s="6" t="str">
        <x:f>IF(D4128="","",IF(AND(ISNUMBER(SEARCH("平",D4128)),OR(ISNUMBER(SEARCH("上",D4128)),ISNUMBER(SEARCH("去",D4128)),ISNUMBER(SEARCH("入",D4128)))),"Ambiguous",IF(ISNUMBER(SEARCH("平",D4128)),"平","仄")))</x:f>
        <x:v>仄</x:v>
      </x:c>
      <x:c r="L4128" s="7" t="str"/>
    </x:row>
    <x:row r="4129">
      <x:c r="A4129" s="5" t="str">
        <x:v>轍</x:v>
      </x:c>
      <x:c r="B4129" s="6" t="str">
        <x:v>入</x:v>
      </x:c>
      <x:c r="C4129" s="6" t="str">
        <x:f>IF(B4129="","Needs decision","Ready")</x:f>
        <x:v>Ready</x:v>
      </x:c>
      <x:c r="D4129" s="6" t="str">
        <x:v>入</x:v>
      </x:c>
      <x:c r="E4129" s="6" t="str">
        <x:v>drjet (D)</x:v>
      </x:c>
      <x:c r="F4129" s="6" t="str">
        <x:v>入聲九屑</x:v>
      </x:c>
      <x:c r="G4129" s="6" t="str">
        <x:v>Pingshui main list, Wikisource-derived DOCX</x:v>
      </x:c>
      <x:c r="H4129" s="6" t="str">
        <x:v>1</x:v>
      </x:c>
      <x:c r="I4129" s="6" t="str"/>
      <x:c r="J4129" s="6" t="str">
        <x:f>IF(B4129="","",IF(AND(ISNUMBER(SEARCH("平",B4129)),OR(ISNUMBER(SEARCH("上",B4129)),ISNUMBER(SEARCH("去",B4129)),ISNUMBER(SEARCH("入",B4129)))),"Ambiguous",IF(ISNUMBER(SEARCH("平",B4129)),"平","仄")))</x:f>
        <x:v>仄</x:v>
      </x:c>
      <x:c r="K4129" s="6" t="str">
        <x:f>IF(D4129="","",IF(AND(ISNUMBER(SEARCH("平",D4129)),OR(ISNUMBER(SEARCH("上",D4129)),ISNUMBER(SEARCH("去",D4129)),ISNUMBER(SEARCH("入",D4129)))),"Ambiguous",IF(ISNUMBER(SEARCH("平",D4129)),"平","仄")))</x:f>
        <x:v>仄</x:v>
      </x:c>
      <x:c r="L4129" s="7" t="str"/>
    </x:row>
    <x:row r="4130">
      <x:c r="A4130" s="5" t="str">
        <x:v>轏</x:v>
      </x:c>
      <x:c r="B4130" s="6" t="str">
        <x:v>上</x:v>
      </x:c>
      <x:c r="C4130" s="6" t="str">
        <x:f>IF(B4130="","Needs decision","Ready")</x:f>
        <x:v>Ready</x:v>
      </x:c>
      <x:c r="D4130" s="6" t="str">
        <x:v>上</x:v>
      </x:c>
      <x:c r="E4130" s="6" t="str">
        <x:v>dzreanX (B)</x:v>
      </x:c>
      <x:c r="F4130" s="6" t="str"/>
      <x:c r="G4130" s="6" t="str"/>
      <x:c r="H4130" s="6" t="str">
        <x:v>1</x:v>
      </x:c>
      <x:c r="I4130" s="6" t="str"/>
      <x:c r="J4130" s="6" t="str">
        <x:f>IF(B4130="","",IF(AND(ISNUMBER(SEARCH("平",B4130)),OR(ISNUMBER(SEARCH("上",B4130)),ISNUMBER(SEARCH("去",B4130)),ISNUMBER(SEARCH("入",B4130)))),"Ambiguous",IF(ISNUMBER(SEARCH("平",B4130)),"平","仄")))</x:f>
        <x:v>仄</x:v>
      </x:c>
      <x:c r="K4130" s="6" t="str">
        <x:f>IF(D4130="","",IF(AND(ISNUMBER(SEARCH("平",D4130)),OR(ISNUMBER(SEARCH("上",D4130)),ISNUMBER(SEARCH("去",D4130)),ISNUMBER(SEARCH("入",D4130)))),"Ambiguous",IF(ISNUMBER(SEARCH("平",D4130)),"平","仄")))</x:f>
        <x:v>仄</x:v>
      </x:c>
      <x:c r="L4130" s="7" t="str"/>
    </x:row>
    <x:row r="4131">
      <x:c r="A4131" s="5" t="str">
        <x:v>轔</x:v>
      </x:c>
      <x:c r="B4131" s="6" t="str">
        <x:v>平</x:v>
      </x:c>
      <x:c r="C4131" s="6" t="str">
        <x:f>IF(B4131="","Needs decision","Ready")</x:f>
        <x:v>Ready</x:v>
      </x:c>
      <x:c r="D4131" s="6" t="str">
        <x:v>平</x:v>
      </x:c>
      <x:c r="E4131" s="6" t="str"/>
      <x:c r="F4131" s="6" t="str">
        <x:v>上平聲十一真</x:v>
      </x:c>
      <x:c r="G4131" s="6" t="str">
        <x:v>Pingshui main list, Wikisource-derived DOCX</x:v>
      </x:c>
      <x:c r="H4131" s="6" t="str"/>
      <x:c r="I4131" s="6" t="str">
        <x:v>Manual user correction/addition</x:v>
      </x:c>
      <x:c r="J4131" s="6" t="str">
        <x:f>IF(B4131="","",IF(AND(ISNUMBER(SEARCH("平",B4131)),OR(ISNUMBER(SEARCH("上",B4131)),ISNUMBER(SEARCH("去",B4131)),ISNUMBER(SEARCH("入",B4131)))),"Ambiguous",IF(ISNUMBER(SEARCH("平",B4131)),"平","仄")))</x:f>
        <x:v>平</x:v>
      </x:c>
      <x:c r="K4131" s="6" t="str">
        <x:f>IF(D4131="","",IF(AND(ISNUMBER(SEARCH("平",D4131)),OR(ISNUMBER(SEARCH("上",D4131)),ISNUMBER(SEARCH("去",D4131)),ISNUMBER(SEARCH("入",D4131)))),"Ambiguous",IF(ISNUMBER(SEARCH("平",D4131)),"平","仄")))</x:f>
        <x:v>平</x:v>
      </x:c>
      <x:c r="L4131" s="7" t="str">
        <x:v>manual user correction</x:v>
      </x:c>
    </x:row>
    <x:row r="4132">
      <x:c r="A4132" s="5" t="str">
        <x:v>轘</x:v>
      </x:c>
      <x:c r="B4132" s="6" t="str">
        <x:v>平</x:v>
      </x:c>
      <x:c r="C4132" s="6" t="str">
        <x:f>IF(B4132="","Needs decision","Ready")</x:f>
        <x:v>Ready</x:v>
      </x:c>
      <x:c r="D4132" s="6" t="str">
        <x:v>平</x:v>
      </x:c>
      <x:c r="E4132" s="6" t="str"/>
      <x:c r="F4132" s="6" t="str">
        <x:v>上平聲十五刪</x:v>
      </x:c>
      <x:c r="G4132" s="6" t="str">
        <x:v>Pingshui main list, Wikisource-derived DOCX</x:v>
      </x:c>
      <x:c r="H4132" s="6" t="str">
        <x:v>0</x:v>
      </x:c>
      <x:c r="I4132" s="6" t="str">
        <x:v>User correction 2026-09-08; added manually</x:v>
      </x:c>
      <x:c r="J4132" s="6" t="str">
        <x:f>IF(B4132="","",IF(AND(ISNUMBER(SEARCH("平",B4132)),OR(ISNUMBER(SEARCH("上",B4132)),ISNUMBER(SEARCH("去",B4132)),ISNUMBER(SEARCH("入",B4132)))),"Ambiguous",IF(ISNUMBER(SEARCH("平",B4132)),"平","仄")))</x:f>
        <x:v>平</x:v>
      </x:c>
      <x:c r="K4132" s="6" t="str">
        <x:f>IF(D4132="","",IF(AND(ISNUMBER(SEARCH("平",D4132)),OR(ISNUMBER(SEARCH("上",D4132)),ISNUMBER(SEARCH("去",D4132)),ISNUMBER(SEARCH("入",D4132)))),"Ambiguous",IF(ISNUMBER(SEARCH("平",D4132)),"平","仄")))</x:f>
        <x:v>平</x:v>
      </x:c>
      <x:c r="L4132" s="7" t="str">
        <x:v>User correction</x:v>
      </x:c>
    </x:row>
    <x:row r="4133">
      <x:c r="A4133" s="5" t="str">
        <x:v>轛</x:v>
      </x:c>
      <x:c r="B4133" s="6" t="str">
        <x:v>去</x:v>
      </x:c>
      <x:c r="C4133" s="6" t="str">
        <x:f>IF(B4133="","Needs decision","Ready")</x:f>
        <x:v>Ready</x:v>
      </x:c>
      <x:c r="D4133" s="6" t="str">
        <x:v>去</x:v>
      </x:c>
      <x:c r="E4133" s="6" t="str">
        <x:v>trwijH (C)</x:v>
      </x:c>
      <x:c r="F4133" s="6" t="str"/>
      <x:c r="G4133" s="6" t="str"/>
      <x:c r="H4133" s="6" t="str">
        <x:v>1</x:v>
      </x:c>
      <x:c r="I4133" s="6" t="str"/>
      <x:c r="J4133" s="6" t="str">
        <x:f>IF(B4133="","",IF(AND(ISNUMBER(SEARCH("平",B4133)),OR(ISNUMBER(SEARCH("上",B4133)),ISNUMBER(SEARCH("去",B4133)),ISNUMBER(SEARCH("入",B4133)))),"Ambiguous",IF(ISNUMBER(SEARCH("平",B4133)),"平","仄")))</x:f>
        <x:v>仄</x:v>
      </x:c>
      <x:c r="K4133" s="6" t="str">
        <x:f>IF(D4133="","",IF(AND(ISNUMBER(SEARCH("平",D4133)),OR(ISNUMBER(SEARCH("上",D4133)),ISNUMBER(SEARCH("去",D4133)),ISNUMBER(SEARCH("入",D4133)))),"Ambiguous",IF(ISNUMBER(SEARCH("平",D4133)),"平","仄")))</x:f>
        <x:v>仄</x:v>
      </x:c>
      <x:c r="L4133" s="7" t="str"/>
    </x:row>
    <x:row r="4134">
      <x:c r="A4134" s="5" t="str">
        <x:v>轡</x:v>
      </x:c>
      <x:c r="B4134" s="6" t="str">
        <x:v>去</x:v>
      </x:c>
      <x:c r="C4134" s="6" t="str">
        <x:f>IF(B4134="","Needs decision","Ready")</x:f>
        <x:v>Ready</x:v>
      </x:c>
      <x:c r="D4134" s="6" t="str">
        <x:v>去</x:v>
      </x:c>
      <x:c r="E4134" s="6" t="str">
        <x:v>pijH (C)</x:v>
      </x:c>
      <x:c r="F4134" s="6" t="str">
        <x:v>去聲四寘</x:v>
      </x:c>
      <x:c r="G4134" s="6" t="str">
        <x:v>Pingshui main list, Wikisource-derived DOCX</x:v>
      </x:c>
      <x:c r="H4134" s="6" t="str">
        <x:v>1</x:v>
      </x:c>
      <x:c r="I4134" s="6" t="str"/>
      <x:c r="J4134" s="6" t="str">
        <x:f>IF(B4134="","",IF(AND(ISNUMBER(SEARCH("平",B4134)),OR(ISNUMBER(SEARCH("上",B4134)),ISNUMBER(SEARCH("去",B4134)),ISNUMBER(SEARCH("入",B4134)))),"Ambiguous",IF(ISNUMBER(SEARCH("平",B4134)),"平","仄")))</x:f>
        <x:v>仄</x:v>
      </x:c>
      <x:c r="K4134" s="6" t="str">
        <x:f>IF(D4134="","",IF(AND(ISNUMBER(SEARCH("平",D4134)),OR(ISNUMBER(SEARCH("上",D4134)),ISNUMBER(SEARCH("去",D4134)),ISNUMBER(SEARCH("入",D4134)))),"Ambiguous",IF(ISNUMBER(SEARCH("平",D4134)),"平","仄")))</x:f>
        <x:v>仄</x:v>
      </x:c>
      <x:c r="L4134" s="7" t="str"/>
    </x:row>
    <x:row r="4135">
      <x:c r="A4135" s="5" t="str">
        <x:v>轢</x:v>
      </x:c>
      <x:c r="B4135" s="6" t="str">
        <x:v>入</x:v>
      </x:c>
      <x:c r="C4135" s="6" t="str">
        <x:f>IF(B4135="","Needs decision","Ready")</x:f>
        <x:v>Ready</x:v>
      </x:c>
      <x:c r="D4135" s="6" t="str">
        <x:v>入</x:v>
      </x:c>
      <x:c r="E4135" s="6" t="str">
        <x:v>lak (D); lek (D)</x:v>
      </x:c>
      <x:c r="F4135" s="6" t="str">
        <x:v>入聲十二錫</x:v>
      </x:c>
      <x:c r="G4135" s="6" t="str">
        <x:v>Pingshui main list, Wikisource-derived DOCX</x:v>
      </x:c>
      <x:c r="H4135" s="6" t="str">
        <x:v>2</x:v>
      </x:c>
      <x:c r="I4135" s="6" t="str"/>
      <x:c r="J4135" s="6" t="str">
        <x:f>IF(B4135="","",IF(AND(ISNUMBER(SEARCH("平",B4135)),OR(ISNUMBER(SEARCH("上",B4135)),ISNUMBER(SEARCH("去",B4135)),ISNUMBER(SEARCH("入",B4135)))),"Ambiguous",IF(ISNUMBER(SEARCH("平",B4135)),"平","仄")))</x:f>
        <x:v>仄</x:v>
      </x:c>
      <x:c r="K4135" s="6" t="str">
        <x:f>IF(D4135="","",IF(AND(ISNUMBER(SEARCH("平",D4135)),OR(ISNUMBER(SEARCH("上",D4135)),ISNUMBER(SEARCH("去",D4135)),ISNUMBER(SEARCH("入",D4135)))),"Ambiguous",IF(ISNUMBER(SEARCH("平",D4135)),"平","仄")))</x:f>
        <x:v>仄</x:v>
      </x:c>
      <x:c r="L4135" s="7" t="str"/>
    </x:row>
    <x:row r="4136">
      <x:c r="A4136" s="5" t="str">
        <x:v>辛</x:v>
      </x:c>
      <x:c r="B4136" s="6" t="str">
        <x:v>平</x:v>
      </x:c>
      <x:c r="C4136" s="6" t="str">
        <x:f>IF(B4136="","Needs decision","Ready")</x:f>
        <x:v>Ready</x:v>
      </x:c>
      <x:c r="D4136" s="6" t="str">
        <x:v>平</x:v>
      </x:c>
      <x:c r="E4136" s="6" t="str">
        <x:v>sin (A)</x:v>
      </x:c>
      <x:c r="F4136" s="6" t="str">
        <x:v>上平聲十一真</x:v>
      </x:c>
      <x:c r="G4136" s="6" t="str">
        <x:v>Pingshui main list, Wikisource-derived DOCX</x:v>
      </x:c>
      <x:c r="H4136" s="6" t="str">
        <x:v>1</x:v>
      </x:c>
      <x:c r="I4136" s="6" t="str"/>
      <x:c r="J4136" s="6" t="str">
        <x:f>IF(B4136="","",IF(AND(ISNUMBER(SEARCH("平",B4136)),OR(ISNUMBER(SEARCH("上",B4136)),ISNUMBER(SEARCH("去",B4136)),ISNUMBER(SEARCH("入",B4136)))),"Ambiguous",IF(ISNUMBER(SEARCH("平",B4136)),"平","仄")))</x:f>
        <x:v>平</x:v>
      </x:c>
      <x:c r="K4136" s="6" t="str">
        <x:f>IF(D4136="","",IF(AND(ISNUMBER(SEARCH("平",D4136)),OR(ISNUMBER(SEARCH("上",D4136)),ISNUMBER(SEARCH("去",D4136)),ISNUMBER(SEARCH("入",D4136)))),"Ambiguous",IF(ISNUMBER(SEARCH("平",D4136)),"平","仄")))</x:f>
        <x:v>平</x:v>
      </x:c>
      <x:c r="L4136" s="7" t="str"/>
    </x:row>
    <x:row r="4137">
      <x:c r="A4137" s="5" t="str">
        <x:v>辜</x:v>
      </x:c>
      <x:c r="B4137" s="6" t="str">
        <x:v>平</x:v>
      </x:c>
      <x:c r="C4137" s="6" t="str">
        <x:f>IF(B4137="","Needs decision","Ready")</x:f>
        <x:v>Ready</x:v>
      </x:c>
      <x:c r="D4137" s="6" t="str">
        <x:v>平</x:v>
      </x:c>
      <x:c r="E4137" s="6" t="str">
        <x:v>ku [qo] (平)</x:v>
      </x:c>
      <x:c r="F4137" s="6" t="str">
        <x:v>上平聲七虞</x:v>
      </x:c>
      <x:c r="G4137" s="6" t="str">
        <x:v>Pingshui main list, Wikisource-derived DOCX</x:v>
      </x:c>
      <x:c r="H4137" s="6" t="str">
        <x:v>1</x:v>
      </x:c>
      <x:c r="I4137" s="6" t="str">
        <x:v>Tang 300 gap; frequency 1; provisional from Xun Gong</x:v>
      </x:c>
      <x:c r="J4137" s="6" t="str">
        <x:f>IF(B4137="","",IF(AND(ISNUMBER(SEARCH("平",B4137)),OR(ISNUMBER(SEARCH("上",B4137)),ISNUMBER(SEARCH("去",B4137)),ISNUMBER(SEARCH("入",B4137)))),"Ambiguous",IF(ISNUMBER(SEARCH("平",B4137)),"平","仄")))</x:f>
        <x:v>平</x:v>
      </x:c>
      <x:c r="K4137" s="6" t="str">
        <x:f>IF(D4137="","",IF(AND(ISNUMBER(SEARCH("平",D4137)),OR(ISNUMBER(SEARCH("上",D4137)),ISNUMBER(SEARCH("去",D4137)),ISNUMBER(SEARCH("入",D4137)))),"Ambiguous",IF(ISNUMBER(SEARCH("平",D4137)),"平","仄")))</x:f>
        <x:v>平</x:v>
      </x:c>
      <x:c r="L4137" s="7" t="str">
        <x:v>Xun Gong, Tang 300 gap fill</x:v>
      </x:c>
    </x:row>
    <x:row r="4138">
      <x:c r="A4138" s="5" t="str">
        <x:v>辟</x:v>
      </x:c>
      <x:c r="B4138" s="6" t="str">
        <x:v>入</x:v>
      </x:c>
      <x:c r="C4138" s="6" t="str">
        <x:f>IF(B4138="","Needs decision","Ready")</x:f>
        <x:v>Ready</x:v>
      </x:c>
      <x:c r="D4138" s="6" t="str">
        <x:v>入</x:v>
      </x:c>
      <x:c r="E4138" s="6" t="str">
        <x:v>bek (D); bjiek (D); pjiek (D)</x:v>
      </x:c>
      <x:c r="F4138" s="6" t="str">
        <x:v>入聲十一陌</x:v>
      </x:c>
      <x:c r="G4138" s="6" t="str">
        <x:v>Pingshui main list, Wikisource-derived DOCX</x:v>
      </x:c>
      <x:c r="H4138" s="6" t="str">
        <x:v>3</x:v>
      </x:c>
      <x:c r="I4138" s="6" t="str"/>
      <x:c r="J4138" s="6" t="str">
        <x:f>IF(B4138="","",IF(AND(ISNUMBER(SEARCH("平",B4138)),OR(ISNUMBER(SEARCH("上",B4138)),ISNUMBER(SEARCH("去",B4138)),ISNUMBER(SEARCH("入",B4138)))),"Ambiguous",IF(ISNUMBER(SEARCH("平",B4138)),"平","仄")))</x:f>
        <x:v>仄</x:v>
      </x:c>
      <x:c r="K4138" s="6" t="str">
        <x:f>IF(D4138="","",IF(AND(ISNUMBER(SEARCH("平",D4138)),OR(ISNUMBER(SEARCH("上",D4138)),ISNUMBER(SEARCH("去",D4138)),ISNUMBER(SEARCH("入",D4138)))),"Ambiguous",IF(ISNUMBER(SEARCH("平",D4138)),"平","仄")))</x:f>
        <x:v>仄</x:v>
      </x:c>
      <x:c r="L4138" s="7" t="str"/>
    </x:row>
    <x:row r="4139">
      <x:c r="A4139" s="5" t="str">
        <x:v>辡</x:v>
      </x:c>
      <x:c r="B4139" s="6" t="str">
        <x:v>上</x:v>
      </x:c>
      <x:c r="C4139" s="6" t="str">
        <x:f>IF(B4139="","Needs decision","Ready")</x:f>
        <x:v>Ready</x:v>
      </x:c>
      <x:c r="D4139" s="6" t="str">
        <x:v>上</x:v>
      </x:c>
      <x:c r="E4139" s="6" t="str">
        <x:v>pjenX (B)</x:v>
      </x:c>
      <x:c r="F4139" s="6" t="str"/>
      <x:c r="G4139" s="6" t="str"/>
      <x:c r="H4139" s="6" t="str">
        <x:v>1</x:v>
      </x:c>
      <x:c r="I4139" s="6" t="str"/>
      <x:c r="J4139" s="6" t="str">
        <x:f>IF(B4139="","",IF(AND(ISNUMBER(SEARCH("平",B4139)),OR(ISNUMBER(SEARCH("上",B4139)),ISNUMBER(SEARCH("去",B4139)),ISNUMBER(SEARCH("入",B4139)))),"Ambiguous",IF(ISNUMBER(SEARCH("平",B4139)),"平","仄")))</x:f>
        <x:v>仄</x:v>
      </x:c>
      <x:c r="K4139" s="6" t="str">
        <x:f>IF(D4139="","",IF(AND(ISNUMBER(SEARCH("平",D4139)),OR(ISNUMBER(SEARCH("上",D4139)),ISNUMBER(SEARCH("去",D4139)),ISNUMBER(SEARCH("入",D4139)))),"Ambiguous",IF(ISNUMBER(SEARCH("平",D4139)),"平","仄")))</x:f>
        <x:v>仄</x:v>
      </x:c>
      <x:c r="L4139" s="7" t="str"/>
    </x:row>
    <x:row r="4140">
      <x:c r="A4140" s="5" t="str">
        <x:v>辣</x:v>
      </x:c>
      <x:c r="B4140" s="6" t="str">
        <x:v>入</x:v>
      </x:c>
      <x:c r="C4140" s="6" t="str">
        <x:f>IF(B4140="","Needs decision","Ready")</x:f>
        <x:v>Ready</x:v>
      </x:c>
      <x:c r="D4140" s="6" t="str">
        <x:v>入</x:v>
      </x:c>
      <x:c r="E4140" s="6" t="str">
        <x:v>lat (D)</x:v>
      </x:c>
      <x:c r="F4140" s="6" t="str"/>
      <x:c r="G4140" s="6" t="str"/>
      <x:c r="H4140" s="6" t="str">
        <x:v>1</x:v>
      </x:c>
      <x:c r="I4140" s="6" t="str"/>
      <x:c r="J4140" s="6" t="str">
        <x:f>IF(B4140="","",IF(AND(ISNUMBER(SEARCH("平",B4140)),OR(ISNUMBER(SEARCH("上",B4140)),ISNUMBER(SEARCH("去",B4140)),ISNUMBER(SEARCH("入",B4140)))),"Ambiguous",IF(ISNUMBER(SEARCH("平",B4140)),"平","仄")))</x:f>
        <x:v>仄</x:v>
      </x:c>
      <x:c r="K4140" s="6" t="str">
        <x:f>IF(D4140="","",IF(AND(ISNUMBER(SEARCH("平",D4140)),OR(ISNUMBER(SEARCH("上",D4140)),ISNUMBER(SEARCH("去",D4140)),ISNUMBER(SEARCH("入",D4140)))),"Ambiguous",IF(ISNUMBER(SEARCH("平",D4140)),"平","仄")))</x:f>
        <x:v>仄</x:v>
      </x:c>
      <x:c r="L4140" s="7" t="str"/>
    </x:row>
    <x:row r="4141">
      <x:c r="A4141" s="5" t="str">
        <x:v>辥</x:v>
      </x:c>
      <x:c r="B4141" s="6" t="str">
        <x:v>入</x:v>
      </x:c>
      <x:c r="C4141" s="6" t="str">
        <x:f>IF(B4141="","Needs decision","Ready")</x:f>
        <x:v>Ready</x:v>
      </x:c>
      <x:c r="D4141" s="6" t="str">
        <x:v>入</x:v>
      </x:c>
      <x:c r="E4141" s="6" t="str">
        <x:v>sjet (D)</x:v>
      </x:c>
      <x:c r="F4141" s="6" t="str"/>
      <x:c r="G4141" s="6" t="str"/>
      <x:c r="H4141" s="6" t="str">
        <x:v>1</x:v>
      </x:c>
      <x:c r="I4141" s="6" t="str"/>
      <x:c r="J4141" s="6" t="str">
        <x:f>IF(B4141="","",IF(AND(ISNUMBER(SEARCH("平",B4141)),OR(ISNUMBER(SEARCH("上",B4141)),ISNUMBER(SEARCH("去",B4141)),ISNUMBER(SEARCH("入",B4141)))),"Ambiguous",IF(ISNUMBER(SEARCH("平",B4141)),"平","仄")))</x:f>
        <x:v>仄</x:v>
      </x:c>
      <x:c r="K4141" s="6" t="str">
        <x:f>IF(D4141="","",IF(AND(ISNUMBER(SEARCH("平",D4141)),OR(ISNUMBER(SEARCH("上",D4141)),ISNUMBER(SEARCH("去",D4141)),ISNUMBER(SEARCH("入",D4141)))),"Ambiguous",IF(ISNUMBER(SEARCH("平",D4141)),"平","仄")))</x:f>
        <x:v>仄</x:v>
      </x:c>
      <x:c r="L4141" s="7" t="str"/>
    </x:row>
    <x:row r="4142">
      <x:c r="A4142" s="5" t="str">
        <x:v>辦</x:v>
      </x:c>
      <x:c r="B4142" s="6" t="str">
        <x:v>去</x:v>
      </x:c>
      <x:c r="C4142" s="6" t="str">
        <x:f>IF(B4142="","Needs decision","Ready")</x:f>
        <x:v>Ready</x:v>
      </x:c>
      <x:c r="D4142" s="6" t="str">
        <x:v>去</x:v>
      </x:c>
      <x:c r="E4142" s="6" t="str">
        <x:v>beanH (C)</x:v>
      </x:c>
      <x:c r="F4142" s="6" t="str">
        <x:v>去聲十六諫</x:v>
      </x:c>
      <x:c r="G4142" s="6" t="str">
        <x:v>Pingshui main list, Wikisource-derived DOCX</x:v>
      </x:c>
      <x:c r="H4142" s="6" t="str">
        <x:v>1</x:v>
      </x:c>
      <x:c r="I4142" s="6" t="str"/>
      <x:c r="J4142" s="6" t="str">
        <x:f>IF(B4142="","",IF(AND(ISNUMBER(SEARCH("平",B4142)),OR(ISNUMBER(SEARCH("上",B4142)),ISNUMBER(SEARCH("去",B4142)),ISNUMBER(SEARCH("入",B4142)))),"Ambiguous",IF(ISNUMBER(SEARCH("平",B4142)),"平","仄")))</x:f>
        <x:v>仄</x:v>
      </x:c>
      <x:c r="K4142" s="6" t="str">
        <x:f>IF(D4142="","",IF(AND(ISNUMBER(SEARCH("平",D4142)),OR(ISNUMBER(SEARCH("上",D4142)),ISNUMBER(SEARCH("去",D4142)),ISNUMBER(SEARCH("入",D4142)))),"Ambiguous",IF(ISNUMBER(SEARCH("平",D4142)),"平","仄")))</x:f>
        <x:v>仄</x:v>
      </x:c>
      <x:c r="L4142" s="7" t="str"/>
    </x:row>
    <x:row r="4143">
      <x:c r="A4143" s="5" t="str">
        <x:v>辨</x:v>
      </x:c>
      <x:c r="B4143" s="6" t="str">
        <x:v>上</x:v>
      </x:c>
      <x:c r="C4143" s="6" t="str">
        <x:f>IF(B4143="","Needs decision","Ready")</x:f>
        <x:v>Ready</x:v>
      </x:c>
      <x:c r="D4143" s="6" t="str">
        <x:v>上</x:v>
      </x:c>
      <x:c r="E4143" s="6" t="str">
        <x:v>bjenX (B)</x:v>
      </x:c>
      <x:c r="F4143" s="6" t="str">
        <x:v>上聲十六銑</x:v>
      </x:c>
      <x:c r="G4143" s="6" t="str">
        <x:v>Pingshui main list, Wikisource-derived DOCX</x:v>
      </x:c>
      <x:c r="H4143" s="6" t="str">
        <x:v>1</x:v>
      </x:c>
      <x:c r="I4143" s="6" t="str"/>
      <x:c r="J4143" s="6" t="str">
        <x:f>IF(B4143="","",IF(AND(ISNUMBER(SEARCH("平",B4143)),OR(ISNUMBER(SEARCH("上",B4143)),ISNUMBER(SEARCH("去",B4143)),ISNUMBER(SEARCH("入",B4143)))),"Ambiguous",IF(ISNUMBER(SEARCH("平",B4143)),"平","仄")))</x:f>
        <x:v>仄</x:v>
      </x:c>
      <x:c r="K4143" s="6" t="str">
        <x:f>IF(D4143="","",IF(AND(ISNUMBER(SEARCH("平",D4143)),OR(ISNUMBER(SEARCH("上",D4143)),ISNUMBER(SEARCH("去",D4143)),ISNUMBER(SEARCH("入",D4143)))),"Ambiguous",IF(ISNUMBER(SEARCH("平",D4143)),"平","仄")))</x:f>
        <x:v>仄</x:v>
      </x:c>
      <x:c r="L4143" s="7" t="str"/>
    </x:row>
    <x:row r="4144">
      <x:c r="A4144" s="5" t="str">
        <x:v>辭</x:v>
      </x:c>
      <x:c r="B4144" s="6" t="str">
        <x:v>平</x:v>
      </x:c>
      <x:c r="C4144" s="6" t="str">
        <x:f>IF(B4144="","Needs decision","Ready")</x:f>
        <x:v>Ready</x:v>
      </x:c>
      <x:c r="D4144" s="6" t="str">
        <x:v>平</x:v>
      </x:c>
      <x:c r="E4144" s="6" t="str">
        <x:v>zi (A)</x:v>
      </x:c>
      <x:c r="F4144" s="6" t="str">
        <x:v>上平聲四支</x:v>
      </x:c>
      <x:c r="G4144" s="6" t="str">
        <x:v>Pingshui main list, Wikisource-derived DOCX</x:v>
      </x:c>
      <x:c r="H4144" s="6" t="str">
        <x:v>1</x:v>
      </x:c>
      <x:c r="I4144" s="6" t="str"/>
      <x:c r="J4144" s="6" t="str">
        <x:f>IF(B4144="","",IF(AND(ISNUMBER(SEARCH("平",B4144)),OR(ISNUMBER(SEARCH("上",B4144)),ISNUMBER(SEARCH("去",B4144)),ISNUMBER(SEARCH("入",B4144)))),"Ambiguous",IF(ISNUMBER(SEARCH("平",B4144)),"平","仄")))</x:f>
        <x:v>平</x:v>
      </x:c>
      <x:c r="K4144" s="6" t="str">
        <x:f>IF(D4144="","",IF(AND(ISNUMBER(SEARCH("平",D4144)),OR(ISNUMBER(SEARCH("上",D4144)),ISNUMBER(SEARCH("去",D4144)),ISNUMBER(SEARCH("入",D4144)))),"Ambiguous",IF(ISNUMBER(SEARCH("平",D4144)),"平","仄")))</x:f>
        <x:v>平</x:v>
      </x:c>
      <x:c r="L4144" s="7" t="str"/>
    </x:row>
    <x:row r="4145">
      <x:c r="A4145" s="5" t="str">
        <x:v>辮</x:v>
      </x:c>
      <x:c r="B4145" s="6" t="str">
        <x:v>上</x:v>
      </x:c>
      <x:c r="C4145" s="6" t="str">
        <x:f>IF(B4145="","Needs decision","Ready")</x:f>
        <x:v>Ready</x:v>
      </x:c>
      <x:c r="D4145" s="6" t="str">
        <x:v>上</x:v>
      </x:c>
      <x:c r="E4145" s="6" t="str">
        <x:v>benX (B)</x:v>
      </x:c>
      <x:c r="F4145" s="6" t="str">
        <x:v>上聲十六銑</x:v>
      </x:c>
      <x:c r="G4145" s="6" t="str">
        <x:v>Pingshui main list, Wikisource-derived DOCX</x:v>
      </x:c>
      <x:c r="H4145" s="6" t="str">
        <x:v>1</x:v>
      </x:c>
      <x:c r="I4145" s="6" t="str"/>
      <x:c r="J4145" s="6" t="str">
        <x:f>IF(B4145="","",IF(AND(ISNUMBER(SEARCH("平",B4145)),OR(ISNUMBER(SEARCH("上",B4145)),ISNUMBER(SEARCH("去",B4145)),ISNUMBER(SEARCH("入",B4145)))),"Ambiguous",IF(ISNUMBER(SEARCH("平",B4145)),"平","仄")))</x:f>
        <x:v>仄</x:v>
      </x:c>
      <x:c r="K4145" s="6" t="str">
        <x:f>IF(D4145="","",IF(AND(ISNUMBER(SEARCH("平",D4145)),OR(ISNUMBER(SEARCH("上",D4145)),ISNUMBER(SEARCH("去",D4145)),ISNUMBER(SEARCH("入",D4145)))),"Ambiguous",IF(ISNUMBER(SEARCH("平",D4145)),"平","仄")))</x:f>
        <x:v>仄</x:v>
      </x:c>
      <x:c r="L4145" s="7" t="str"/>
    </x:row>
    <x:row r="4146">
      <x:c r="A4146" s="5" t="str">
        <x:v>辯</x:v>
      </x:c>
      <x:c r="B4146" s="6" t="str">
        <x:v>上</x:v>
      </x:c>
      <x:c r="C4146" s="6" t="str">
        <x:f>IF(B4146="","Needs decision","Ready")</x:f>
        <x:v>Ready</x:v>
      </x:c>
      <x:c r="D4146" s="6" t="str">
        <x:v>上</x:v>
      </x:c>
      <x:c r="E4146" s="6" t="str">
        <x:v>bjenX (B)</x:v>
      </x:c>
      <x:c r="F4146" s="6" t="str">
        <x:v>上聲十六銑</x:v>
      </x:c>
      <x:c r="G4146" s="6" t="str">
        <x:v>Pingshui main list, Wikisource-derived DOCX</x:v>
      </x:c>
      <x:c r="H4146" s="6" t="str">
        <x:v>1</x:v>
      </x:c>
      <x:c r="I4146" s="6" t="str"/>
      <x:c r="J4146" s="6" t="str">
        <x:f>IF(B4146="","",IF(AND(ISNUMBER(SEARCH("平",B4146)),OR(ISNUMBER(SEARCH("上",B4146)),ISNUMBER(SEARCH("去",B4146)),ISNUMBER(SEARCH("入",B4146)))),"Ambiguous",IF(ISNUMBER(SEARCH("平",B4146)),"平","仄")))</x:f>
        <x:v>仄</x:v>
      </x:c>
      <x:c r="K4146" s="6" t="str">
        <x:f>IF(D4146="","",IF(AND(ISNUMBER(SEARCH("平",D4146)),OR(ISNUMBER(SEARCH("上",D4146)),ISNUMBER(SEARCH("去",D4146)),ISNUMBER(SEARCH("入",D4146)))),"Ambiguous",IF(ISNUMBER(SEARCH("平",D4146)),"平","仄")))</x:f>
        <x:v>仄</x:v>
      </x:c>
      <x:c r="L4146" s="7" t="str"/>
    </x:row>
    <x:row r="4147">
      <x:c r="A4147" s="5" t="str">
        <x:v>辰</x:v>
      </x:c>
      <x:c r="B4147" s="6" t="str">
        <x:v>平</x:v>
      </x:c>
      <x:c r="C4147" s="6" t="str">
        <x:f>IF(B4147="","Needs decision","Ready")</x:f>
        <x:v>Ready</x:v>
      </x:c>
      <x:c r="D4147" s="6" t="str">
        <x:v>平</x:v>
      </x:c>
      <x:c r="E4147" s="6" t="str">
        <x:v>dzyin (A)</x:v>
      </x:c>
      <x:c r="F4147" s="6" t="str">
        <x:v>上平聲十一真</x:v>
      </x:c>
      <x:c r="G4147" s="6" t="str">
        <x:v>Pingshui main list, Wikisource-derived DOCX</x:v>
      </x:c>
      <x:c r="H4147" s="6" t="str">
        <x:v>1</x:v>
      </x:c>
      <x:c r="I4147" s="6" t="str"/>
      <x:c r="J4147" s="6" t="str">
        <x:f>IF(B4147="","",IF(AND(ISNUMBER(SEARCH("平",B4147)),OR(ISNUMBER(SEARCH("上",B4147)),ISNUMBER(SEARCH("去",B4147)),ISNUMBER(SEARCH("入",B4147)))),"Ambiguous",IF(ISNUMBER(SEARCH("平",B4147)),"平","仄")))</x:f>
        <x:v>平</x:v>
      </x:c>
      <x:c r="K4147" s="6" t="str">
        <x:f>IF(D4147="","",IF(AND(ISNUMBER(SEARCH("平",D4147)),OR(ISNUMBER(SEARCH("上",D4147)),ISNUMBER(SEARCH("去",D4147)),ISNUMBER(SEARCH("入",D4147)))),"Ambiguous",IF(ISNUMBER(SEARCH("平",D4147)),"平","仄")))</x:f>
        <x:v>平</x:v>
      </x:c>
      <x:c r="L4147" s="7" t="str"/>
    </x:row>
    <x:row r="4148">
      <x:c r="A4148" s="5" t="str">
        <x:v>辱</x:v>
      </x:c>
      <x:c r="B4148" s="6" t="str">
        <x:v>入</x:v>
      </x:c>
      <x:c r="C4148" s="6" t="str">
        <x:f>IF(B4148="","Needs decision","Ready")</x:f>
        <x:v>Ready</x:v>
      </x:c>
      <x:c r="D4148" s="6" t="str">
        <x:v>入</x:v>
      </x:c>
      <x:c r="E4148" s="6" t="str">
        <x:v>nyowk (D)</x:v>
      </x:c>
      <x:c r="F4148" s="6" t="str">
        <x:v>入聲二沃</x:v>
      </x:c>
      <x:c r="G4148" s="6" t="str">
        <x:v>Pingshui main list, Wikisource-derived DOCX</x:v>
      </x:c>
      <x:c r="H4148" s="6" t="str">
        <x:v>1</x:v>
      </x:c>
      <x:c r="I4148" s="6" t="str"/>
      <x:c r="J4148" s="6" t="str">
        <x:f>IF(B4148="","",IF(AND(ISNUMBER(SEARCH("平",B4148)),OR(ISNUMBER(SEARCH("上",B4148)),ISNUMBER(SEARCH("去",B4148)),ISNUMBER(SEARCH("入",B4148)))),"Ambiguous",IF(ISNUMBER(SEARCH("平",B4148)),"平","仄")))</x:f>
        <x:v>仄</x:v>
      </x:c>
      <x:c r="K4148" s="6" t="str">
        <x:f>IF(D4148="","",IF(AND(ISNUMBER(SEARCH("平",D4148)),OR(ISNUMBER(SEARCH("上",D4148)),ISNUMBER(SEARCH("去",D4148)),ISNUMBER(SEARCH("入",D4148)))),"Ambiguous",IF(ISNUMBER(SEARCH("平",D4148)),"平","仄")))</x:f>
        <x:v>仄</x:v>
      </x:c>
      <x:c r="L4148" s="7" t="str"/>
    </x:row>
    <x:row r="4149">
      <x:c r="A4149" s="5" t="str">
        <x:v>農</x:v>
      </x:c>
      <x:c r="B4149" s="6" t="str">
        <x:v>平</x:v>
      </x:c>
      <x:c r="C4149" s="6" t="str">
        <x:f>IF(B4149="","Needs decision","Ready")</x:f>
        <x:v>Ready</x:v>
      </x:c>
      <x:c r="D4149" s="6" t="str">
        <x:v>平</x:v>
      </x:c>
      <x:c r="E4149" s="6" t="str">
        <x:v>nowng (A)</x:v>
      </x:c>
      <x:c r="F4149" s="6" t="str">
        <x:v>上平聲二冬</x:v>
      </x:c>
      <x:c r="G4149" s="6" t="str">
        <x:v>Pingshui main list, Wikisource-derived DOCX</x:v>
      </x:c>
      <x:c r="H4149" s="6" t="str">
        <x:v>1</x:v>
      </x:c>
      <x:c r="I4149" s="6" t="str"/>
      <x:c r="J4149" s="6" t="str">
        <x:f>IF(B4149="","",IF(AND(ISNUMBER(SEARCH("平",B4149)),OR(ISNUMBER(SEARCH("上",B4149)),ISNUMBER(SEARCH("去",B4149)),ISNUMBER(SEARCH("入",B4149)))),"Ambiguous",IF(ISNUMBER(SEARCH("平",B4149)),"平","仄")))</x:f>
        <x:v>平</x:v>
      </x:c>
      <x:c r="K4149" s="6" t="str">
        <x:f>IF(D4149="","",IF(AND(ISNUMBER(SEARCH("平",D4149)),OR(ISNUMBER(SEARCH("上",D4149)),ISNUMBER(SEARCH("去",D4149)),ISNUMBER(SEARCH("入",D4149)))),"Ambiguous",IF(ISNUMBER(SEARCH("平",D4149)),"平","仄")))</x:f>
        <x:v>平</x:v>
      </x:c>
      <x:c r="L4149" s="7" t="str"/>
    </x:row>
    <x:row r="4150">
      <x:c r="A4150" s="5" t="str">
        <x:v>辴</x:v>
      </x:c>
      <x:c r="B4150" s="6" t="str"/>
      <x:c r="C4150" s="6" t="str">
        <x:f>IF(B4150="","Needs decision","Ready")</x:f>
        <x:v>Needs decision</x:v>
      </x:c>
      <x:c r="D4150" s="6" t="str">
        <x:v>平/上</x:v>
      </x:c>
      <x:c r="E4150" s="6" t="str">
        <x:v>trhij (A); trhinX (B)</x:v>
      </x:c>
      <x:c r="F4150" s="6" t="str">
        <x:v>上聲十一軫</x:v>
      </x:c>
      <x:c r="G4150" s="6" t="str">
        <x:v>Pingshui main list, Wikisource-derived DOCX</x:v>
      </x:c>
      <x:c r="H4150" s="6" t="str">
        <x:v>2</x:v>
      </x:c>
      <x:c r="I4150" s="6" t="str"/>
      <x:c r="J4150" s="6" t="str">
        <x:f>IF(B4150="","",IF(AND(ISNUMBER(SEARCH("平",B4150)),OR(ISNUMBER(SEARCH("上",B4150)),ISNUMBER(SEARCH("去",B4150)),ISNUMBER(SEARCH("入",B4150)))),"Ambiguous",IF(ISNUMBER(SEARCH("平",B4150)),"平","仄")))</x:f>
      </x:c>
      <x:c r="K4150" s="6" t="str">
        <x:f>IF(D4150="","",IF(AND(ISNUMBER(SEARCH("平",D4150)),OR(ISNUMBER(SEARCH("上",D4150)),ISNUMBER(SEARCH("去",D4150)),ISNUMBER(SEARCH("入",D4150)))),"Ambiguous",IF(ISNUMBER(SEARCH("平",D4150)),"平","仄")))</x:f>
        <x:v>Ambiguous</x:v>
      </x:c>
      <x:c r="L4150" s="7" t="str"/>
    </x:row>
    <x:row r="4151">
      <x:c r="A4151" s="5" t="str">
        <x:v>迂</x:v>
      </x:c>
      <x:c r="B4151" s="6" t="str">
        <x:v>平</x:v>
      </x:c>
      <x:c r="C4151" s="6" t="str">
        <x:f>IF(B4151="","Needs decision","Ready")</x:f>
        <x:v>Ready</x:v>
      </x:c>
      <x:c r="D4151" s="6" t="str">
        <x:v>平</x:v>
      </x:c>
      <x:c r="E4151" s="6" t="str">
        <x:v>'ju (A); hju (A)</x:v>
      </x:c>
      <x:c r="F4151" s="6" t="str">
        <x:v>上平聲七虞</x:v>
      </x:c>
      <x:c r="G4151" s="6" t="str">
        <x:v>Pingshui main list, Wikisource-derived DOCX</x:v>
      </x:c>
      <x:c r="H4151" s="6" t="str">
        <x:v>2</x:v>
      </x:c>
      <x:c r="I4151" s="6" t="str"/>
      <x:c r="J4151" s="6" t="str">
        <x:f>IF(B4151="","",IF(AND(ISNUMBER(SEARCH("平",B4151)),OR(ISNUMBER(SEARCH("上",B4151)),ISNUMBER(SEARCH("去",B4151)),ISNUMBER(SEARCH("入",B4151)))),"Ambiguous",IF(ISNUMBER(SEARCH("平",B4151)),"平","仄")))</x:f>
        <x:v>平</x:v>
      </x:c>
      <x:c r="K4151" s="6" t="str">
        <x:f>IF(D4151="","",IF(AND(ISNUMBER(SEARCH("平",D4151)),OR(ISNUMBER(SEARCH("上",D4151)),ISNUMBER(SEARCH("去",D4151)),ISNUMBER(SEARCH("入",D4151)))),"Ambiguous",IF(ISNUMBER(SEARCH("平",D4151)),"平","仄")))</x:f>
        <x:v>平</x:v>
      </x:c>
      <x:c r="L4151" s="7" t="str"/>
    </x:row>
    <x:row r="4152">
      <x:c r="A4152" s="5" t="str">
        <x:v>迅</x:v>
      </x:c>
      <x:c r="B4152" s="6" t="str">
        <x:v>去</x:v>
      </x:c>
      <x:c r="C4152" s="6" t="str">
        <x:f>IF(B4152="","Needs decision","Ready")</x:f>
        <x:v>Ready</x:v>
      </x:c>
      <x:c r="D4152" s="6" t="str">
        <x:v>去</x:v>
      </x:c>
      <x:c r="E4152" s="6" t="str">
        <x:v>swinH [心合三真去] sjwinh; sinH [心開三真去] sinh</x:v>
      </x:c>
      <x:c r="F4152" s="6" t="str">
        <x:v>去聲十二震</x:v>
      </x:c>
      <x:c r="G4152" s="6" t="str">
        <x:v>Pingshui main list, Wikisource-derived DOCX</x:v>
      </x:c>
      <x:c r="H4152" s="6" t="str">
        <x:v>2</x:v>
      </x:c>
      <x:c r="I4152" s="6" t="str">
        <x:v>Targeted preliminary fill from Xun Gong; review if uncertain</x:v>
      </x:c>
      <x:c r="J4152" s="6" t="str">
        <x:f>IF(B4152="","",IF(AND(ISNUMBER(SEARCH("平",B4152)),OR(ISNUMBER(SEARCH("上",B4152)),ISNUMBER(SEARCH("去",B4152)),ISNUMBER(SEARCH("入",B4152)))),"Ambiguous",IF(ISNUMBER(SEARCH("平",B4152)),"平","仄")))</x:f>
        <x:v>仄</x:v>
      </x:c>
      <x:c r="K4152" s="6" t="str">
        <x:f>IF(D4152="","",IF(AND(ISNUMBER(SEARCH("平",D4152)),OR(ISNUMBER(SEARCH("上",D4152)),ISNUMBER(SEARCH("去",D4152)),ISNUMBER(SEARCH("入",D4152)))),"Ambiguous",IF(ISNUMBER(SEARCH("平",D4152)),"平","仄")))</x:f>
        <x:v>仄</x:v>
      </x:c>
      <x:c r="L4152" s="7" t="str">
        <x:v>Xun Gong character-readings.csv</x:v>
      </x:c>
    </x:row>
    <x:row r="4153">
      <x:c r="A4153" s="5" t="str">
        <x:v>迋</x:v>
      </x:c>
      <x:c r="B4153" s="6" t="str"/>
      <x:c r="C4153" s="6" t="str">
        <x:f>IF(B4153="","Needs decision","Ready")</x:f>
        <x:v>Needs decision</x:v>
      </x:c>
      <x:c r="D4153" s="6" t="str">
        <x:v>上/去</x:v>
      </x:c>
      <x:c r="E4153" s="6" t="str">
        <x:v>hjwangX (B); hjwangH (C)</x:v>
      </x:c>
      <x:c r="F4153" s="6" t="str">
        <x:v>上聲二十二養; 去聲二十三漾</x:v>
      </x:c>
      <x:c r="G4153" s="6" t="str">
        <x:v>Pingshui main list, Wikisource-derived DOCX</x:v>
      </x:c>
      <x:c r="H4153" s="6" t="str">
        <x:v>2</x:v>
      </x:c>
      <x:c r="I4153" s="6" t="str"/>
      <x:c r="J4153" s="6" t="str">
        <x:f>IF(B4153="","",IF(AND(ISNUMBER(SEARCH("平",B4153)),OR(ISNUMBER(SEARCH("上",B4153)),ISNUMBER(SEARCH("去",B4153)),ISNUMBER(SEARCH("入",B4153)))),"Ambiguous",IF(ISNUMBER(SEARCH("平",B4153)),"平","仄")))</x:f>
      </x:c>
      <x:c r="K4153" s="6" t="str">
        <x:f>IF(D4153="","",IF(AND(ISNUMBER(SEARCH("平",D4153)),OR(ISNUMBER(SEARCH("上",D4153)),ISNUMBER(SEARCH("去",D4153)),ISNUMBER(SEARCH("入",D4153)))),"Ambiguous",IF(ISNUMBER(SEARCH("平",D4153)),"平","仄")))</x:f>
        <x:v>仄</x:v>
      </x:c>
      <x:c r="L4153" s="7" t="str"/>
    </x:row>
    <x:row r="4154">
      <x:c r="A4154" s="5" t="str">
        <x:v>迎</x:v>
      </x:c>
      <x:c r="B4154" s="6" t="str">
        <x:v>平</x:v>
      </x:c>
      <x:c r="C4154" s="6" t="str">
        <x:f>IF(B4154="","Needs decision","Ready")</x:f>
        <x:v>Ready</x:v>
      </x:c>
      <x:c r="D4154" s="6" t="str">
        <x:v>平/去</x:v>
      </x:c>
      <x:c r="E4154" s="6" t="str">
        <x:v>ngjaeng (A); ngjaengH (C)</x:v>
      </x:c>
      <x:c r="F4154" s="6" t="str">
        <x:v>下平聲八庚; 去聲二十四敬</x:v>
      </x:c>
      <x:c r="G4154" s="6" t="str">
        <x:v>Pingshui main list, Wikisource-derived DOCX</x:v>
      </x:c>
      <x:c r="H4154" s="6" t="str">
        <x:v>2</x:v>
      </x:c>
      <x:c r="I4154" s="6" t="str">
        <x:v>User workbook edit 2026-09-03</x:v>
      </x:c>
      <x:c r="J4154" s="6" t="str">
        <x:f>IF(B4154="","",IF(AND(ISNUMBER(SEARCH("平",B4154)),OR(ISNUMBER(SEARCH("上",B4154)),ISNUMBER(SEARCH("去",B4154)),ISNUMBER(SEARCH("入",B4154)))),"Ambiguous",IF(ISNUMBER(SEARCH("平",B4154)),"平","仄")))</x:f>
        <x:v>平</x:v>
      </x:c>
      <x:c r="K4154" s="6" t="str">
        <x:f>IF(D4154="","",IF(AND(ISNUMBER(SEARCH("平",D4154)),OR(ISNUMBER(SEARCH("上",D4154)),ISNUMBER(SEARCH("去",D4154)),ISNUMBER(SEARCH("入",D4154)))),"Ambiguous",IF(ISNUMBER(SEARCH("平",D4154)),"平","仄")))</x:f>
        <x:v>Ambiguous</x:v>
      </x:c>
      <x:c r="L4154" s="7" t="str">
        <x:v>manual user correction</x:v>
      </x:c>
    </x:row>
    <x:row r="4155">
      <x:c r="A4155" s="5" t="str">
        <x:v>近</x:v>
      </x:c>
      <x:c r="B4155" s="6" t="str"/>
      <x:c r="C4155" s="6" t="str">
        <x:f>IF(B4155="","Needs decision","Ready")</x:f>
        <x:v>Needs decision</x:v>
      </x:c>
      <x:c r="D4155" s="6" t="str">
        <x:v>上/去</x:v>
      </x:c>
      <x:c r="E4155" s="6" t="str">
        <x:v>gj+nX (B); gj+nH (C)</x:v>
      </x:c>
      <x:c r="F4155" s="6" t="str">
        <x:v>上聲十二吻; 去聲四寘; 去聲十三問</x:v>
      </x:c>
      <x:c r="G4155" s="6" t="str">
        <x:v>Pingshui main list, Wikisource-derived DOCX</x:v>
      </x:c>
      <x:c r="H4155" s="6" t="str">
        <x:v>2</x:v>
      </x:c>
      <x:c r="I4155" s="6" t="str"/>
      <x:c r="J4155" s="6" t="str">
        <x:f>IF(B4155="","",IF(AND(ISNUMBER(SEARCH("平",B4155)),OR(ISNUMBER(SEARCH("上",B4155)),ISNUMBER(SEARCH("去",B4155)),ISNUMBER(SEARCH("入",B4155)))),"Ambiguous",IF(ISNUMBER(SEARCH("平",B4155)),"平","仄")))</x:f>
      </x:c>
      <x:c r="K4155" s="6" t="str">
        <x:f>IF(D4155="","",IF(AND(ISNUMBER(SEARCH("平",D4155)),OR(ISNUMBER(SEARCH("上",D4155)),ISNUMBER(SEARCH("去",D4155)),ISNUMBER(SEARCH("入",D4155)))),"Ambiguous",IF(ISNUMBER(SEARCH("平",D4155)),"平","仄")))</x:f>
        <x:v>仄</x:v>
      </x:c>
      <x:c r="L4155" s="7" t="str"/>
    </x:row>
    <x:row r="4156">
      <x:c r="A4156" s="5" t="str">
        <x:v>迓</x:v>
      </x:c>
      <x:c r="B4156" s="6" t="str">
        <x:v>去</x:v>
      </x:c>
      <x:c r="C4156" s="6" t="str">
        <x:f>IF(B4156="","Needs decision","Ready")</x:f>
        <x:v>Ready</x:v>
      </x:c>
      <x:c r="D4156" s="6" t="str">
        <x:v>去</x:v>
      </x:c>
      <x:c r="E4156" s="6" t="str">
        <x:v>ngaeH (C)</x:v>
      </x:c>
      <x:c r="F4156" s="6" t="str">
        <x:v>去聲二十二禡</x:v>
      </x:c>
      <x:c r="G4156" s="6" t="str">
        <x:v>Pingshui main list, Wikisource-derived DOCX</x:v>
      </x:c>
      <x:c r="H4156" s="6" t="str">
        <x:v>1</x:v>
      </x:c>
      <x:c r="I4156" s="6" t="str"/>
      <x:c r="J4156" s="6" t="str">
        <x:f>IF(B4156="","",IF(AND(ISNUMBER(SEARCH("平",B4156)),OR(ISNUMBER(SEARCH("上",B4156)),ISNUMBER(SEARCH("去",B4156)),ISNUMBER(SEARCH("入",B4156)))),"Ambiguous",IF(ISNUMBER(SEARCH("平",B4156)),"平","仄")))</x:f>
        <x:v>仄</x:v>
      </x:c>
      <x:c r="K4156" s="6" t="str">
        <x:f>IF(D4156="","",IF(AND(ISNUMBER(SEARCH("平",D4156)),OR(ISNUMBER(SEARCH("上",D4156)),ISNUMBER(SEARCH("去",D4156)),ISNUMBER(SEARCH("入",D4156)))),"Ambiguous",IF(ISNUMBER(SEARCH("平",D4156)),"平","仄")))</x:f>
        <x:v>仄</x:v>
      </x:c>
      <x:c r="L4156" s="7" t="str"/>
    </x:row>
    <x:row r="4157">
      <x:c r="A4157" s="5" t="str">
        <x:v>返</x:v>
      </x:c>
      <x:c r="B4157" s="6" t="str">
        <x:v>上</x:v>
      </x:c>
      <x:c r="C4157" s="6" t="str">
        <x:f>IF(B4157="","Needs decision","Ready")</x:f>
        <x:v>Ready</x:v>
      </x:c>
      <x:c r="D4157" s="6" t="str">
        <x:v>上</x:v>
      </x:c>
      <x:c r="E4157" s="6" t="str">
        <x:v>pjonX (B)</x:v>
      </x:c>
      <x:c r="F4157" s="6" t="str">
        <x:v>上聲十三阮</x:v>
      </x:c>
      <x:c r="G4157" s="6" t="str">
        <x:v>Pingshui main list, Wikisource-derived DOCX</x:v>
      </x:c>
      <x:c r="H4157" s="6" t="str">
        <x:v>1</x:v>
      </x:c>
      <x:c r="I4157" s="6" t="str"/>
      <x:c r="J4157" s="6" t="str">
        <x:f>IF(B4157="","",IF(AND(ISNUMBER(SEARCH("平",B4157)),OR(ISNUMBER(SEARCH("上",B4157)),ISNUMBER(SEARCH("去",B4157)),ISNUMBER(SEARCH("入",B4157)))),"Ambiguous",IF(ISNUMBER(SEARCH("平",B4157)),"平","仄")))</x:f>
        <x:v>仄</x:v>
      </x:c>
      <x:c r="K4157" s="6" t="str">
        <x:f>IF(D4157="","",IF(AND(ISNUMBER(SEARCH("平",D4157)),OR(ISNUMBER(SEARCH("上",D4157)),ISNUMBER(SEARCH("去",D4157)),ISNUMBER(SEARCH("入",D4157)))),"Ambiguous",IF(ISNUMBER(SEARCH("平",D4157)),"平","仄")))</x:f>
        <x:v>仄</x:v>
      </x:c>
      <x:c r="L4157" s="7" t="str"/>
    </x:row>
    <x:row r="4158">
      <x:c r="A4158" s="5" t="str">
        <x:v>迢</x:v>
      </x:c>
      <x:c r="B4158" s="6" t="str">
        <x:v>平</x:v>
      </x:c>
      <x:c r="C4158" s="6" t="str">
        <x:f>IF(B4158="","Needs decision","Ready")</x:f>
        <x:v>Ready</x:v>
      </x:c>
      <x:c r="D4158" s="6" t="str">
        <x:v>平</x:v>
      </x:c>
      <x:c r="E4158" s="6" t="str"/>
      <x:c r="F4158" s="6" t="str">
        <x:v>下平聲二蕭</x:v>
      </x:c>
      <x:c r="G4158" s="6" t="str">
        <x:v>Pingshui main list, Wikisource-derived DOCX</x:v>
      </x:c>
      <x:c r="H4158" s="6" t="str"/>
      <x:c r="I4158" s="6" t="str">
        <x:v>Manual user correction/addition</x:v>
      </x:c>
      <x:c r="J4158" s="6" t="str">
        <x:f>IF(B4158="","",IF(AND(ISNUMBER(SEARCH("平",B4158)),OR(ISNUMBER(SEARCH("上",B4158)),ISNUMBER(SEARCH("去",B4158)),ISNUMBER(SEARCH("入",B4158)))),"Ambiguous",IF(ISNUMBER(SEARCH("平",B4158)),"平","仄")))</x:f>
        <x:v>平</x:v>
      </x:c>
      <x:c r="K4158" s="6" t="str">
        <x:f>IF(D4158="","",IF(AND(ISNUMBER(SEARCH("平",D4158)),OR(ISNUMBER(SEARCH("上",D4158)),ISNUMBER(SEARCH("去",D4158)),ISNUMBER(SEARCH("入",D4158)))),"Ambiguous",IF(ISNUMBER(SEARCH("平",D4158)),"平","仄")))</x:f>
        <x:v>平</x:v>
      </x:c>
      <x:c r="L4158" s="7" t="str">
        <x:v>manual user correction</x:v>
      </x:c>
    </x:row>
    <x:row r="4159">
      <x:c r="A4159" s="5" t="str">
        <x:v>迤</x:v>
      </x:c>
      <x:c r="B4159" s="6" t="str"/>
      <x:c r="C4159" s="6" t="str">
        <x:f>IF(B4159="","Needs decision","Ready")</x:f>
        <x:v>Needs decision</x:v>
      </x:c>
      <x:c r="D4159" s="6" t="str">
        <x:v>平/上</x:v>
      </x:c>
      <x:c r="E4159" s="6" t="str"/>
      <x:c r="F4159" s="6" t="str">
        <x:v>上聲四紙</x:v>
      </x:c>
      <x:c r="G4159" s="6" t="str">
        <x:v>Pingshui main list, Wikisource-derived DOCX</x:v>
      </x:c>
      <x:c r="H4159" s="6" t="str"/>
      <x:c r="I4159" s="6" t="str">
        <x:v>Manual user correction; ambiguous 平/上</x:v>
      </x:c>
      <x:c r="J4159" s="6" t="str">
        <x:f>IF(B4159="","",IF(AND(ISNUMBER(SEARCH("平",B4159)),OR(ISNUMBER(SEARCH("上",B4159)),ISNUMBER(SEARCH("去",B4159)),ISNUMBER(SEARCH("入",B4159)))),"Ambiguous",IF(ISNUMBER(SEARCH("平",B4159)),"平","仄")))</x:f>
      </x:c>
      <x:c r="K4159" s="6" t="str">
        <x:f>IF(D4159="","",IF(AND(ISNUMBER(SEARCH("平",D4159)),OR(ISNUMBER(SEARCH("上",D4159)),ISNUMBER(SEARCH("去",D4159)),ISNUMBER(SEARCH("入",D4159)))),"Ambiguous",IF(ISNUMBER(SEARCH("平",D4159)),"平","仄")))</x:f>
        <x:v>Ambiguous</x:v>
      </x:c>
      <x:c r="L4159" s="7" t="str">
        <x:v>manual user correction</x:v>
      </x:c>
    </x:row>
    <x:row r="4160">
      <x:c r="A4160" s="5" t="str">
        <x:v>迥</x:v>
      </x:c>
      <x:c r="B4160" s="6" t="str">
        <x:v>上</x:v>
      </x:c>
      <x:c r="C4160" s="6" t="str">
        <x:f>IF(B4160="","Needs decision","Ready")</x:f>
        <x:v>Ready</x:v>
      </x:c>
      <x:c r="D4160" s="6" t="str">
        <x:v>上</x:v>
      </x:c>
      <x:c r="E4160" s="6" t="str">
        <x:v>hwengX [ʁweŋʔ] (上)</x:v>
      </x:c>
      <x:c r="F4160" s="6" t="str">
        <x:v>上聲二十四迥</x:v>
      </x:c>
      <x:c r="G4160" s="6" t="str">
        <x:v>Pingshui main list, Wikisource-derived DOCX</x:v>
      </x:c>
      <x:c r="H4160" s="6" t="str">
        <x:v>1</x:v>
      </x:c>
      <x:c r="I4160" s="6" t="str">
        <x:v>Tang 300 gap; frequency 4; provisional from Xun Gong</x:v>
      </x:c>
      <x:c r="J4160" s="6" t="str">
        <x:f>IF(B4160="","",IF(AND(ISNUMBER(SEARCH("平",B4160)),OR(ISNUMBER(SEARCH("上",B4160)),ISNUMBER(SEARCH("去",B4160)),ISNUMBER(SEARCH("入",B4160)))),"Ambiguous",IF(ISNUMBER(SEARCH("平",B4160)),"平","仄")))</x:f>
        <x:v>仄</x:v>
      </x:c>
      <x:c r="K4160" s="6" t="str">
        <x:f>IF(D4160="","",IF(AND(ISNUMBER(SEARCH("平",D4160)),OR(ISNUMBER(SEARCH("上",D4160)),ISNUMBER(SEARCH("去",D4160)),ISNUMBER(SEARCH("入",D4160)))),"Ambiguous",IF(ISNUMBER(SEARCH("平",D4160)),"平","仄")))</x:f>
        <x:v>仄</x:v>
      </x:c>
      <x:c r="L4160" s="7" t="str">
        <x:v>Xun Gong, Tang 300 gap fill</x:v>
      </x:c>
    </x:row>
    <x:row r="4161">
      <x:c r="A4161" s="5" t="str">
        <x:v>迨</x:v>
      </x:c>
      <x:c r="B4161" s="6" t="str">
        <x:v>上</x:v>
      </x:c>
      <x:c r="C4161" s="6" t="str">
        <x:f>IF(B4161="","Needs decision","Ready")</x:f>
        <x:v>Ready</x:v>
      </x:c>
      <x:c r="D4161" s="6" t="str">
        <x:v>上</x:v>
      </x:c>
      <x:c r="E4161" s="6" t="str">
        <x:v>dojX (B)</x:v>
      </x:c>
      <x:c r="F4161" s="6" t="str"/>
      <x:c r="G4161" s="6" t="str"/>
      <x:c r="H4161" s="6" t="str">
        <x:v>1</x:v>
      </x:c>
      <x:c r="I4161" s="6" t="str"/>
      <x:c r="J4161" s="6" t="str">
        <x:f>IF(B4161="","",IF(AND(ISNUMBER(SEARCH("平",B4161)),OR(ISNUMBER(SEARCH("上",B4161)),ISNUMBER(SEARCH("去",B4161)),ISNUMBER(SEARCH("入",B4161)))),"Ambiguous",IF(ISNUMBER(SEARCH("平",B4161)),"平","仄")))</x:f>
        <x:v>仄</x:v>
      </x:c>
      <x:c r="K4161" s="6" t="str">
        <x:f>IF(D4161="","",IF(AND(ISNUMBER(SEARCH("平",D4161)),OR(ISNUMBER(SEARCH("上",D4161)),ISNUMBER(SEARCH("去",D4161)),ISNUMBER(SEARCH("入",D4161)))),"Ambiguous",IF(ISNUMBER(SEARCH("平",D4161)),"平","仄")))</x:f>
        <x:v>仄</x:v>
      </x:c>
      <x:c r="L4161" s="7" t="str"/>
    </x:row>
    <x:row r="4162">
      <x:c r="A4162" s="5" t="str">
        <x:v>迫</x:v>
      </x:c>
      <x:c r="B4162" s="6" t="str">
        <x:v>入</x:v>
      </x:c>
      <x:c r="C4162" s="6" t="str">
        <x:f>IF(B4162="","Needs decision","Ready")</x:f>
        <x:v>Ready</x:v>
      </x:c>
      <x:c r="D4162" s="6" t="str">
        <x:v>入</x:v>
      </x:c>
      <x:c r="E4162" s="6" t="str">
        <x:v>paek (D)</x:v>
      </x:c>
      <x:c r="F4162" s="6" t="str">
        <x:v>入聲十一陌</x:v>
      </x:c>
      <x:c r="G4162" s="6" t="str">
        <x:v>Pingshui main list, Wikisource-derived DOCX</x:v>
      </x:c>
      <x:c r="H4162" s="6" t="str">
        <x:v>1</x:v>
      </x:c>
      <x:c r="I4162" s="6" t="str"/>
      <x:c r="J4162" s="6" t="str">
        <x:f>IF(B4162="","",IF(AND(ISNUMBER(SEARCH("平",B4162)),OR(ISNUMBER(SEARCH("上",B4162)),ISNUMBER(SEARCH("去",B4162)),ISNUMBER(SEARCH("入",B4162)))),"Ambiguous",IF(ISNUMBER(SEARCH("平",B4162)),"平","仄")))</x:f>
        <x:v>仄</x:v>
      </x:c>
      <x:c r="K4162" s="6" t="str">
        <x:f>IF(D4162="","",IF(AND(ISNUMBER(SEARCH("平",D4162)),OR(ISNUMBER(SEARCH("上",D4162)),ISNUMBER(SEARCH("去",D4162)),ISNUMBER(SEARCH("入",D4162)))),"Ambiguous",IF(ISNUMBER(SEARCH("平",D4162)),"平","仄")))</x:f>
        <x:v>仄</x:v>
      </x:c>
      <x:c r="L4162" s="7" t="str"/>
    </x:row>
    <x:row r="4163">
      <x:c r="A4163" s="5" t="str">
        <x:v>迭</x:v>
      </x:c>
      <x:c r="B4163" s="6" t="str">
        <x:v>入</x:v>
      </x:c>
      <x:c r="C4163" s="6" t="str">
        <x:f>IF(B4163="","Needs decision","Ready")</x:f>
        <x:v>Ready</x:v>
      </x:c>
      <x:c r="D4163" s="6" t="str">
        <x:v>入</x:v>
      </x:c>
      <x:c r="E4163" s="6" t="str">
        <x:v>det (D)</x:v>
      </x:c>
      <x:c r="F4163" s="6" t="str">
        <x:v>入聲九屑</x:v>
      </x:c>
      <x:c r="G4163" s="6" t="str">
        <x:v>Pingshui main list, Wikisource-derived DOCX</x:v>
      </x:c>
      <x:c r="H4163" s="6" t="str">
        <x:v>1</x:v>
      </x:c>
      <x:c r="I4163" s="6" t="str"/>
      <x:c r="J4163" s="6" t="str">
        <x:f>IF(B4163="","",IF(AND(ISNUMBER(SEARCH("平",B4163)),OR(ISNUMBER(SEARCH("上",B4163)),ISNUMBER(SEARCH("去",B4163)),ISNUMBER(SEARCH("入",B4163)))),"Ambiguous",IF(ISNUMBER(SEARCH("平",B4163)),"平","仄")))</x:f>
        <x:v>仄</x:v>
      </x:c>
      <x:c r="K4163" s="6" t="str">
        <x:f>IF(D4163="","",IF(AND(ISNUMBER(SEARCH("平",D4163)),OR(ISNUMBER(SEARCH("上",D4163)),ISNUMBER(SEARCH("去",D4163)),ISNUMBER(SEARCH("入",D4163)))),"Ambiguous",IF(ISNUMBER(SEARCH("平",D4163)),"平","仄")))</x:f>
        <x:v>仄</x:v>
      </x:c>
      <x:c r="L4163" s="7" t="str"/>
    </x:row>
    <x:row r="4164">
      <x:c r="A4164" s="5" t="str">
        <x:v>述</x:v>
      </x:c>
      <x:c r="B4164" s="6" t="str">
        <x:v>入</x:v>
      </x:c>
      <x:c r="C4164" s="6" t="str">
        <x:f>IF(B4164="","Needs decision","Ready")</x:f>
        <x:v>Ready</x:v>
      </x:c>
      <x:c r="D4164" s="6" t="str">
        <x:v>入</x:v>
      </x:c>
      <x:c r="E4164" s="6" t="str">
        <x:v>zywit (D)</x:v>
      </x:c>
      <x:c r="F4164" s="6" t="str">
        <x:v>入聲四質</x:v>
      </x:c>
      <x:c r="G4164" s="6" t="str">
        <x:v>Pingshui main list, Wikisource-derived DOCX</x:v>
      </x:c>
      <x:c r="H4164" s="6" t="str">
        <x:v>1</x:v>
      </x:c>
      <x:c r="I4164" s="6" t="str"/>
      <x:c r="J4164" s="6" t="str">
        <x:f>IF(B4164="","",IF(AND(ISNUMBER(SEARCH("平",B4164)),OR(ISNUMBER(SEARCH("上",B4164)),ISNUMBER(SEARCH("去",B4164)),ISNUMBER(SEARCH("入",B4164)))),"Ambiguous",IF(ISNUMBER(SEARCH("平",B4164)),"平","仄")))</x:f>
        <x:v>仄</x:v>
      </x:c>
      <x:c r="K4164" s="6" t="str">
        <x:f>IF(D4164="","",IF(AND(ISNUMBER(SEARCH("平",D4164)),OR(ISNUMBER(SEARCH("上",D4164)),ISNUMBER(SEARCH("去",D4164)),ISNUMBER(SEARCH("入",D4164)))),"Ambiguous",IF(ISNUMBER(SEARCH("平",D4164)),"平","仄")))</x:f>
        <x:v>仄</x:v>
      </x:c>
      <x:c r="L4164" s="7" t="str"/>
    </x:row>
    <x:row r="4165">
      <x:c r="A4165" s="5" t="str">
        <x:v>迴</x:v>
      </x:c>
      <x:c r="B4165" s="6" t="str">
        <x:v>平</x:v>
      </x:c>
      <x:c r="C4165" s="6" t="str">
        <x:f>IF(B4165="","Needs decision","Ready")</x:f>
        <x:v>Ready</x:v>
      </x:c>
      <x:c r="D4165" s="6" t="str">
        <x:v>平</x:v>
      </x:c>
      <x:c r="E4165" s="6" t="str">
        <x:v>hwoj (A)</x:v>
      </x:c>
      <x:c r="F4165" s="6" t="str"/>
      <x:c r="G4165" s="6" t="str"/>
      <x:c r="H4165" s="6" t="str">
        <x:v>1</x:v>
      </x:c>
      <x:c r="I4165" s="6" t="str"/>
      <x:c r="J4165" s="6" t="str">
        <x:f>IF(B4165="","",IF(AND(ISNUMBER(SEARCH("平",B4165)),OR(ISNUMBER(SEARCH("上",B4165)),ISNUMBER(SEARCH("去",B4165)),ISNUMBER(SEARCH("入",B4165)))),"Ambiguous",IF(ISNUMBER(SEARCH("平",B4165)),"平","仄")))</x:f>
        <x:v>平</x:v>
      </x:c>
      <x:c r="K4165" s="6" t="str">
        <x:f>IF(D4165="","",IF(AND(ISNUMBER(SEARCH("平",D4165)),OR(ISNUMBER(SEARCH("上",D4165)),ISNUMBER(SEARCH("去",D4165)),ISNUMBER(SEARCH("入",D4165)))),"Ambiguous",IF(ISNUMBER(SEARCH("平",D4165)),"平","仄")))</x:f>
        <x:v>平</x:v>
      </x:c>
      <x:c r="L4165" s="7" t="str"/>
    </x:row>
    <x:row r="4166">
      <x:c r="A4166" s="5" t="str">
        <x:v>迷</x:v>
      </x:c>
      <x:c r="B4166" s="6" t="str">
        <x:v>平</x:v>
      </x:c>
      <x:c r="C4166" s="6" t="str">
        <x:f>IF(B4166="","Needs decision","Ready")</x:f>
        <x:v>Ready</x:v>
      </x:c>
      <x:c r="D4166" s="6" t="str">
        <x:v>平</x:v>
      </x:c>
      <x:c r="E4166" s="6" t="str">
        <x:v>mej (A)</x:v>
      </x:c>
      <x:c r="F4166" s="6" t="str">
        <x:v>上平聲八齊</x:v>
      </x:c>
      <x:c r="G4166" s="6" t="str">
        <x:v>Pingshui main list, Wikisource-derived DOCX</x:v>
      </x:c>
      <x:c r="H4166" s="6" t="str">
        <x:v>1</x:v>
      </x:c>
      <x:c r="I4166" s="6" t="str"/>
      <x:c r="J4166" s="6" t="str">
        <x:f>IF(B4166="","",IF(AND(ISNUMBER(SEARCH("平",B4166)),OR(ISNUMBER(SEARCH("上",B4166)),ISNUMBER(SEARCH("去",B4166)),ISNUMBER(SEARCH("入",B4166)))),"Ambiguous",IF(ISNUMBER(SEARCH("平",B4166)),"平","仄")))</x:f>
        <x:v>平</x:v>
      </x:c>
      <x:c r="K4166" s="6" t="str">
        <x:f>IF(D4166="","",IF(AND(ISNUMBER(SEARCH("平",D4166)),OR(ISNUMBER(SEARCH("上",D4166)),ISNUMBER(SEARCH("去",D4166)),ISNUMBER(SEARCH("入",D4166)))),"Ambiguous",IF(ISNUMBER(SEARCH("平",D4166)),"平","仄")))</x:f>
        <x:v>平</x:v>
      </x:c>
      <x:c r="L4166" s="7" t="str"/>
    </x:row>
    <x:row r="4167">
      <x:c r="A4167" s="5" t="str">
        <x:v>迸</x:v>
      </x:c>
      <x:c r="B4167" s="6" t="str">
        <x:v>去</x:v>
      </x:c>
      <x:c r="C4167" s="6" t="str">
        <x:f>IF(B4167="","Needs decision","Ready")</x:f>
        <x:v>Ready</x:v>
      </x:c>
      <x:c r="D4167" s="6" t="str">
        <x:v>去</x:v>
      </x:c>
      <x:c r="E4167" s="6" t="str">
        <x:v>peangH (C)</x:v>
      </x:c>
      <x:c r="F4167" s="6" t="str">
        <x:v>去聲二十四敬</x:v>
      </x:c>
      <x:c r="G4167" s="6" t="str">
        <x:v>Pingshui main list, Wikisource-derived DOCX</x:v>
      </x:c>
      <x:c r="H4167" s="6" t="str">
        <x:v>1</x:v>
      </x:c>
      <x:c r="I4167" s="6" t="str"/>
      <x:c r="J4167" s="6" t="str">
        <x:f>IF(B4167="","",IF(AND(ISNUMBER(SEARCH("平",B4167)),OR(ISNUMBER(SEARCH("上",B4167)),ISNUMBER(SEARCH("去",B4167)),ISNUMBER(SEARCH("入",B4167)))),"Ambiguous",IF(ISNUMBER(SEARCH("平",B4167)),"平","仄")))</x:f>
        <x:v>仄</x:v>
      </x:c>
      <x:c r="K4167" s="6" t="str">
        <x:f>IF(D4167="","",IF(AND(ISNUMBER(SEARCH("平",D4167)),OR(ISNUMBER(SEARCH("上",D4167)),ISNUMBER(SEARCH("去",D4167)),ISNUMBER(SEARCH("入",D4167)))),"Ambiguous",IF(ISNUMBER(SEARCH("平",D4167)),"平","仄")))</x:f>
        <x:v>仄</x:v>
      </x:c>
      <x:c r="L4167" s="7" t="str"/>
    </x:row>
    <x:row r="4168">
      <x:c r="A4168" s="5" t="str">
        <x:v>迹</x:v>
      </x:c>
      <x:c r="B4168" s="6" t="str">
        <x:v>入</x:v>
      </x:c>
      <x:c r="C4168" s="6" t="str">
        <x:f>IF(B4168="","Needs decision","Ready")</x:f>
        <x:v>Ready</x:v>
      </x:c>
      <x:c r="D4168" s="6" t="str">
        <x:v>入</x:v>
      </x:c>
      <x:c r="E4168" s="6" t="str">
        <x:v>tsjek (D)</x:v>
      </x:c>
      <x:c r="F4168" s="6" t="str"/>
      <x:c r="G4168" s="6" t="str"/>
      <x:c r="H4168" s="6" t="str">
        <x:v>1</x:v>
      </x:c>
      <x:c r="I4168" s="6" t="str"/>
      <x:c r="J4168" s="6" t="str">
        <x:f>IF(B4168="","",IF(AND(ISNUMBER(SEARCH("平",B4168)),OR(ISNUMBER(SEARCH("上",B4168)),ISNUMBER(SEARCH("去",B4168)),ISNUMBER(SEARCH("入",B4168)))),"Ambiguous",IF(ISNUMBER(SEARCH("平",B4168)),"平","仄")))</x:f>
        <x:v>仄</x:v>
      </x:c>
      <x:c r="K4168" s="6" t="str">
        <x:f>IF(D4168="","",IF(AND(ISNUMBER(SEARCH("平",D4168)),OR(ISNUMBER(SEARCH("上",D4168)),ISNUMBER(SEARCH("去",D4168)),ISNUMBER(SEARCH("入",D4168)))),"Ambiguous",IF(ISNUMBER(SEARCH("平",D4168)),"平","仄")))</x:f>
        <x:v>仄</x:v>
      </x:c>
      <x:c r="L4168" s="7" t="str"/>
    </x:row>
    <x:row r="4169">
      <x:c r="A4169" s="5" t="str">
        <x:v>迺</x:v>
      </x:c>
      <x:c r="B4169" s="6" t="str">
        <x:v>上</x:v>
      </x:c>
      <x:c r="C4169" s="6" t="str">
        <x:f>IF(B4169="","Needs decision","Ready")</x:f>
        <x:v>Ready</x:v>
      </x:c>
      <x:c r="D4169" s="6" t="str">
        <x:v>上</x:v>
      </x:c>
      <x:c r="E4169" s="6" t="str">
        <x:v>nojX (B)</x:v>
      </x:c>
      <x:c r="F4169" s="6" t="str"/>
      <x:c r="G4169" s="6" t="str"/>
      <x:c r="H4169" s="6" t="str">
        <x:v>1</x:v>
      </x:c>
      <x:c r="I4169" s="6" t="str"/>
      <x:c r="J4169" s="6" t="str">
        <x:f>IF(B4169="","",IF(AND(ISNUMBER(SEARCH("平",B4169)),OR(ISNUMBER(SEARCH("上",B4169)),ISNUMBER(SEARCH("去",B4169)),ISNUMBER(SEARCH("入",B4169)))),"Ambiguous",IF(ISNUMBER(SEARCH("平",B4169)),"平","仄")))</x:f>
        <x:v>仄</x:v>
      </x:c>
      <x:c r="K4169" s="6" t="str">
        <x:f>IF(D4169="","",IF(AND(ISNUMBER(SEARCH("平",D4169)),OR(ISNUMBER(SEARCH("上",D4169)),ISNUMBER(SEARCH("去",D4169)),ISNUMBER(SEARCH("入",D4169)))),"Ambiguous",IF(ISNUMBER(SEARCH("平",D4169)),"平","仄")))</x:f>
        <x:v>仄</x:v>
      </x:c>
      <x:c r="L4169" s="7" t="str"/>
    </x:row>
    <x:row r="4170">
      <x:c r="A4170" s="5" t="str">
        <x:v>迻</x:v>
      </x:c>
      <x:c r="B4170" s="6" t="str">
        <x:v>平</x:v>
      </x:c>
      <x:c r="C4170" s="6" t="str">
        <x:f>IF(B4170="","Needs decision","Ready")</x:f>
        <x:v>Ready</x:v>
      </x:c>
      <x:c r="D4170" s="6" t="str">
        <x:v>平</x:v>
      </x:c>
      <x:c r="E4170" s="6" t="str">
        <x:v>ye (A)</x:v>
      </x:c>
      <x:c r="F4170" s="6" t="str"/>
      <x:c r="G4170" s="6" t="str"/>
      <x:c r="H4170" s="6" t="str">
        <x:v>1</x:v>
      </x:c>
      <x:c r="I4170" s="6" t="str"/>
      <x:c r="J4170" s="6" t="str">
        <x:f>IF(B4170="","",IF(AND(ISNUMBER(SEARCH("平",B4170)),OR(ISNUMBER(SEARCH("上",B4170)),ISNUMBER(SEARCH("去",B4170)),ISNUMBER(SEARCH("入",B4170)))),"Ambiguous",IF(ISNUMBER(SEARCH("平",B4170)),"平","仄")))</x:f>
        <x:v>平</x:v>
      </x:c>
      <x:c r="K4170" s="6" t="str">
        <x:f>IF(D4170="","",IF(AND(ISNUMBER(SEARCH("平",D4170)),OR(ISNUMBER(SEARCH("上",D4170)),ISNUMBER(SEARCH("去",D4170)),ISNUMBER(SEARCH("入",D4170)))),"Ambiguous",IF(ISNUMBER(SEARCH("平",D4170)),"平","仄")))</x:f>
        <x:v>平</x:v>
      </x:c>
      <x:c r="L4170" s="7" t="str"/>
    </x:row>
    <x:row r="4171">
      <x:c r="A4171" s="5" t="str">
        <x:v>追</x:v>
      </x:c>
      <x:c r="B4171" s="6" t="str">
        <x:v>平</x:v>
      </x:c>
      <x:c r="C4171" s="6" t="str">
        <x:f>IF(B4171="","Needs decision","Ready")</x:f>
        <x:v>Ready</x:v>
      </x:c>
      <x:c r="D4171" s="6" t="str">
        <x:v>平</x:v>
      </x:c>
      <x:c r="E4171" s="6" t="str">
        <x:v>trwij (A)</x:v>
      </x:c>
      <x:c r="F4171" s="6" t="str">
        <x:v>上平聲四支</x:v>
      </x:c>
      <x:c r="G4171" s="6" t="str">
        <x:v>Pingshui main list, Wikisource-derived DOCX</x:v>
      </x:c>
      <x:c r="H4171" s="6" t="str">
        <x:v>1</x:v>
      </x:c>
      <x:c r="I4171" s="6" t="str"/>
      <x:c r="J4171" s="6" t="str">
        <x:f>IF(B4171="","",IF(AND(ISNUMBER(SEARCH("平",B4171)),OR(ISNUMBER(SEARCH("上",B4171)),ISNUMBER(SEARCH("去",B4171)),ISNUMBER(SEARCH("入",B4171)))),"Ambiguous",IF(ISNUMBER(SEARCH("平",B4171)),"平","仄")))</x:f>
        <x:v>平</x:v>
      </x:c>
      <x:c r="K4171" s="6" t="str">
        <x:f>IF(D4171="","",IF(AND(ISNUMBER(SEARCH("平",D4171)),OR(ISNUMBER(SEARCH("上",D4171)),ISNUMBER(SEARCH("去",D4171)),ISNUMBER(SEARCH("入",D4171)))),"Ambiguous",IF(ISNUMBER(SEARCH("平",D4171)),"平","仄")))</x:f>
        <x:v>平</x:v>
      </x:c>
      <x:c r="L4171" s="7" t="str"/>
    </x:row>
    <x:row r="4172">
      <x:c r="A4172" s="5" t="str">
        <x:v>退</x:v>
      </x:c>
      <x:c r="B4172" s="6" t="str">
        <x:v>去</x:v>
      </x:c>
      <x:c r="C4172" s="6" t="str">
        <x:f>IF(B4172="","Needs decision","Ready")</x:f>
        <x:v>Ready</x:v>
      </x:c>
      <x:c r="D4172" s="6" t="str">
        <x:v>去</x:v>
      </x:c>
      <x:c r="E4172" s="6" t="str">
        <x:v>thwojH (C)</x:v>
      </x:c>
      <x:c r="F4172" s="6" t="str">
        <x:v>去聲十一隊</x:v>
      </x:c>
      <x:c r="G4172" s="6" t="str">
        <x:v>Pingshui main list, Wikisource-derived DOCX</x:v>
      </x:c>
      <x:c r="H4172" s="6" t="str">
        <x:v>1</x:v>
      </x:c>
      <x:c r="I4172" s="6" t="str"/>
      <x:c r="J4172" s="6" t="str">
        <x:f>IF(B4172="","",IF(AND(ISNUMBER(SEARCH("平",B4172)),OR(ISNUMBER(SEARCH("上",B4172)),ISNUMBER(SEARCH("去",B4172)),ISNUMBER(SEARCH("入",B4172)))),"Ambiguous",IF(ISNUMBER(SEARCH("平",B4172)),"平","仄")))</x:f>
        <x:v>仄</x:v>
      </x:c>
      <x:c r="K4172" s="6" t="str">
        <x:f>IF(D4172="","",IF(AND(ISNUMBER(SEARCH("平",D4172)),OR(ISNUMBER(SEARCH("上",D4172)),ISNUMBER(SEARCH("去",D4172)),ISNUMBER(SEARCH("入",D4172)))),"Ambiguous",IF(ISNUMBER(SEARCH("平",D4172)),"平","仄")))</x:f>
        <x:v>仄</x:v>
      </x:c>
      <x:c r="L4172" s="7" t="str"/>
    </x:row>
    <x:row r="4173">
      <x:c r="A4173" s="5" t="str">
        <x:v>送</x:v>
      </x:c>
      <x:c r="B4173" s="6" t="str">
        <x:v>去</x:v>
      </x:c>
      <x:c r="C4173" s="6" t="str">
        <x:f>IF(B4173="","Needs decision","Ready")</x:f>
        <x:v>Ready</x:v>
      </x:c>
      <x:c r="D4173" s="6" t="str">
        <x:v>去</x:v>
      </x:c>
      <x:c r="E4173" s="6" t="str">
        <x:v>suwngH (C)</x:v>
      </x:c>
      <x:c r="F4173" s="6" t="str">
        <x:v>去聲一送</x:v>
      </x:c>
      <x:c r="G4173" s="6" t="str">
        <x:v>Pingshui main list, Wikisource-derived DOCX</x:v>
      </x:c>
      <x:c r="H4173" s="6" t="str">
        <x:v>1</x:v>
      </x:c>
      <x:c r="I4173" s="6" t="str"/>
      <x:c r="J4173" s="6" t="str">
        <x:f>IF(B4173="","",IF(AND(ISNUMBER(SEARCH("平",B4173)),OR(ISNUMBER(SEARCH("上",B4173)),ISNUMBER(SEARCH("去",B4173)),ISNUMBER(SEARCH("入",B4173)))),"Ambiguous",IF(ISNUMBER(SEARCH("平",B4173)),"平","仄")))</x:f>
        <x:v>仄</x:v>
      </x:c>
      <x:c r="K4173" s="6" t="str">
        <x:f>IF(D4173="","",IF(AND(ISNUMBER(SEARCH("平",D4173)),OR(ISNUMBER(SEARCH("上",D4173)),ISNUMBER(SEARCH("去",D4173)),ISNUMBER(SEARCH("入",D4173)))),"Ambiguous",IF(ISNUMBER(SEARCH("平",D4173)),"平","仄")))</x:f>
        <x:v>仄</x:v>
      </x:c>
      <x:c r="L4173" s="7" t="str"/>
    </x:row>
    <x:row r="4174">
      <x:c r="A4174" s="5" t="str">
        <x:v>逃</x:v>
      </x:c>
      <x:c r="B4174" s="6" t="str">
        <x:v>平</x:v>
      </x:c>
      <x:c r="C4174" s="6" t="str">
        <x:f>IF(B4174="","Needs decision","Ready")</x:f>
        <x:v>Ready</x:v>
      </x:c>
      <x:c r="D4174" s="6" t="str">
        <x:v>平</x:v>
      </x:c>
      <x:c r="E4174" s="6" t="str">
        <x:v>daw (A)</x:v>
      </x:c>
      <x:c r="F4174" s="6" t="str">
        <x:v>下平聲四豪</x:v>
      </x:c>
      <x:c r="G4174" s="6" t="str">
        <x:v>Pingshui main list, Wikisource-derived DOCX</x:v>
      </x:c>
      <x:c r="H4174" s="6" t="str">
        <x:v>1</x:v>
      </x:c>
      <x:c r="I4174" s="6" t="str"/>
      <x:c r="J4174" s="6" t="str">
        <x:f>IF(B4174="","",IF(AND(ISNUMBER(SEARCH("平",B4174)),OR(ISNUMBER(SEARCH("上",B4174)),ISNUMBER(SEARCH("去",B4174)),ISNUMBER(SEARCH("入",B4174)))),"Ambiguous",IF(ISNUMBER(SEARCH("平",B4174)),"平","仄")))</x:f>
        <x:v>平</x:v>
      </x:c>
      <x:c r="K4174" s="6" t="str">
        <x:f>IF(D4174="","",IF(AND(ISNUMBER(SEARCH("平",D4174)),OR(ISNUMBER(SEARCH("上",D4174)),ISNUMBER(SEARCH("去",D4174)),ISNUMBER(SEARCH("入",D4174)))),"Ambiguous",IF(ISNUMBER(SEARCH("平",D4174)),"平","仄")))</x:f>
        <x:v>平</x:v>
      </x:c>
      <x:c r="L4174" s="7" t="str"/>
    </x:row>
    <x:row r="4175">
      <x:c r="A4175" s="5" t="str">
        <x:v>逅</x:v>
      </x:c>
      <x:c r="B4175" s="6" t="str">
        <x:v>去</x:v>
      </x:c>
      <x:c r="C4175" s="6" t="str">
        <x:f>IF(B4175="","Needs decision","Ready")</x:f>
        <x:v>Ready</x:v>
      </x:c>
      <x:c r="D4175" s="6" t="str">
        <x:v>去</x:v>
      </x:c>
      <x:c r="E4175" s="6" t="str">
        <x:v>huwH (C)</x:v>
      </x:c>
      <x:c r="F4175" s="6" t="str">
        <x:v>去聲二十六宥</x:v>
      </x:c>
      <x:c r="G4175" s="6" t="str">
        <x:v>Pingshui main list, Wikisource-derived DOCX</x:v>
      </x:c>
      <x:c r="H4175" s="6" t="str">
        <x:v>1</x:v>
      </x:c>
      <x:c r="I4175" s="6" t="str"/>
      <x:c r="J4175" s="6" t="str">
        <x:f>IF(B4175="","",IF(AND(ISNUMBER(SEARCH("平",B4175)),OR(ISNUMBER(SEARCH("上",B4175)),ISNUMBER(SEARCH("去",B4175)),ISNUMBER(SEARCH("入",B4175)))),"Ambiguous",IF(ISNUMBER(SEARCH("平",B4175)),"平","仄")))</x:f>
        <x:v>仄</x:v>
      </x:c>
      <x:c r="K4175" s="6" t="str">
        <x:f>IF(D4175="","",IF(AND(ISNUMBER(SEARCH("平",D4175)),OR(ISNUMBER(SEARCH("上",D4175)),ISNUMBER(SEARCH("去",D4175)),ISNUMBER(SEARCH("入",D4175)))),"Ambiguous",IF(ISNUMBER(SEARCH("平",D4175)),"平","仄")))</x:f>
        <x:v>仄</x:v>
      </x:c>
      <x:c r="L4175" s="7" t="str"/>
    </x:row>
    <x:row r="4176">
      <x:c r="A4176" s="5" t="str">
        <x:v>逆</x:v>
      </x:c>
      <x:c r="B4176" s="6" t="str">
        <x:v>入</x:v>
      </x:c>
      <x:c r="C4176" s="6" t="str">
        <x:f>IF(B4176="","Needs decision","Ready")</x:f>
        <x:v>Ready</x:v>
      </x:c>
      <x:c r="D4176" s="6" t="str">
        <x:v>入</x:v>
      </x:c>
      <x:c r="E4176" s="6" t="str">
        <x:v>ngjaek (D)</x:v>
      </x:c>
      <x:c r="F4176" s="6" t="str">
        <x:v>入聲十一陌</x:v>
      </x:c>
      <x:c r="G4176" s="6" t="str">
        <x:v>Pingshui main list, Wikisource-derived DOCX</x:v>
      </x:c>
      <x:c r="H4176" s="6" t="str">
        <x:v>1</x:v>
      </x:c>
      <x:c r="I4176" s="6" t="str"/>
      <x:c r="J4176" s="6" t="str">
        <x:f>IF(B4176="","",IF(AND(ISNUMBER(SEARCH("平",B4176)),OR(ISNUMBER(SEARCH("上",B4176)),ISNUMBER(SEARCH("去",B4176)),ISNUMBER(SEARCH("入",B4176)))),"Ambiguous",IF(ISNUMBER(SEARCH("平",B4176)),"平","仄")))</x:f>
        <x:v>仄</x:v>
      </x:c>
      <x:c r="K4176" s="6" t="str">
        <x:f>IF(D4176="","",IF(AND(ISNUMBER(SEARCH("平",D4176)),OR(ISNUMBER(SEARCH("上",D4176)),ISNUMBER(SEARCH("去",D4176)),ISNUMBER(SEARCH("入",D4176)))),"Ambiguous",IF(ISNUMBER(SEARCH("平",D4176)),"平","仄")))</x:f>
        <x:v>仄</x:v>
      </x:c>
      <x:c r="L4176" s="7" t="str"/>
    </x:row>
    <x:row r="4177">
      <x:c r="A4177" s="5" t="str">
        <x:v>逍</x:v>
      </x:c>
      <x:c r="B4177" s="6" t="str">
        <x:v>平</x:v>
      </x:c>
      <x:c r="C4177" s="6" t="str">
        <x:f>IF(B4177="","Needs decision","Ready")</x:f>
        <x:v>Ready</x:v>
      </x:c>
      <x:c r="D4177" s="6" t="str">
        <x:v>平</x:v>
      </x:c>
      <x:c r="E4177" s="6" t="str">
        <x:v>sjew (A)</x:v>
      </x:c>
      <x:c r="F4177" s="6" t="str">
        <x:v>下平聲二蕭</x:v>
      </x:c>
      <x:c r="G4177" s="6" t="str">
        <x:v>Pingshui main list, Wikisource-derived DOCX</x:v>
      </x:c>
      <x:c r="H4177" s="6" t="str">
        <x:v>1</x:v>
      </x:c>
      <x:c r="I4177" s="6" t="str"/>
      <x:c r="J4177" s="6" t="str">
        <x:f>IF(B4177="","",IF(AND(ISNUMBER(SEARCH("平",B4177)),OR(ISNUMBER(SEARCH("上",B4177)),ISNUMBER(SEARCH("去",B4177)),ISNUMBER(SEARCH("入",B4177)))),"Ambiguous",IF(ISNUMBER(SEARCH("平",B4177)),"平","仄")))</x:f>
        <x:v>平</x:v>
      </x:c>
      <x:c r="K4177" s="6" t="str">
        <x:f>IF(D4177="","",IF(AND(ISNUMBER(SEARCH("平",D4177)),OR(ISNUMBER(SEARCH("上",D4177)),ISNUMBER(SEARCH("去",D4177)),ISNUMBER(SEARCH("入",D4177)))),"Ambiguous",IF(ISNUMBER(SEARCH("平",D4177)),"平","仄")))</x:f>
        <x:v>平</x:v>
      </x:c>
      <x:c r="L4177" s="7" t="str"/>
    </x:row>
    <x:row r="4178">
      <x:c r="A4178" s="5" t="str">
        <x:v>透</x:v>
      </x:c>
      <x:c r="B4178" s="6" t="str">
        <x:v>去</x:v>
      </x:c>
      <x:c r="C4178" s="6" t="str">
        <x:f>IF(B4178="","Needs decision","Ready")</x:f>
        <x:v>Ready</x:v>
      </x:c>
      <x:c r="D4178" s="6" t="str">
        <x:v>去/入</x:v>
      </x:c>
      <x:c r="E4178" s="6" t="str">
        <x:v>syuwk [ɕuk] (入); thuwH [t̙ʰuh] (去)</x:v>
      </x:c>
      <x:c r="F4178" s="6" t="str">
        <x:v>去聲二十六宥</x:v>
      </x:c>
      <x:c r="G4178" s="6" t="str">
        <x:v>Pingshui main list, Wikisource-derived DOCX</x:v>
      </x:c>
      <x:c r="H4178" s="6" t="str">
        <x:v>2</x:v>
      </x:c>
      <x:c r="I4178" s="6" t="str">
        <x:v>Tang 300 gap; frequency 1; ambiguous in Xun Gong</x:v>
      </x:c>
      <x:c r="J4178" s="6" t="str">
        <x:f>IF(B4178="","",IF(AND(ISNUMBER(SEARCH("平",B4178)),OR(ISNUMBER(SEARCH("上",B4178)),ISNUMBER(SEARCH("去",B4178)),ISNUMBER(SEARCH("入",B4178)))),"Ambiguous",IF(ISNUMBER(SEARCH("平",B4178)),"平","仄")))</x:f>
        <x:v>仄</x:v>
      </x:c>
      <x:c r="K4178" s="6" t="str">
        <x:f>IF(D4178="","",IF(AND(ISNUMBER(SEARCH("平",D4178)),OR(ISNUMBER(SEARCH("上",D4178)),ISNUMBER(SEARCH("去",D4178)),ISNUMBER(SEARCH("入",D4178)))),"Ambiguous",IF(ISNUMBER(SEARCH("平",D4178)),"平","仄")))</x:f>
        <x:v>仄</x:v>
      </x:c>
      <x:c r="L4178" s="7" t="str">
        <x:v>Xun Gong, Tang 300 gap fill</x:v>
      </x:c>
    </x:row>
    <x:row r="4179">
      <x:c r="A4179" s="5" t="str">
        <x:v>逐</x:v>
      </x:c>
      <x:c r="B4179" s="6" t="str">
        <x:v>入</x:v>
      </x:c>
      <x:c r="C4179" s="6" t="str">
        <x:f>IF(B4179="","Needs decision","Ready")</x:f>
        <x:v>Ready</x:v>
      </x:c>
      <x:c r="D4179" s="6" t="str">
        <x:v>入</x:v>
      </x:c>
      <x:c r="E4179" s="6" t="str">
        <x:v>drjuwk (D)</x:v>
      </x:c>
      <x:c r="F4179" s="6" t="str">
        <x:v>入聲一屋</x:v>
      </x:c>
      <x:c r="G4179" s="6" t="str">
        <x:v>Pingshui main list, Wikisource-derived DOCX</x:v>
      </x:c>
      <x:c r="H4179" s="6" t="str">
        <x:v>1</x:v>
      </x:c>
      <x:c r="I4179" s="6" t="str"/>
      <x:c r="J4179" s="6" t="str">
        <x:f>IF(B4179="","",IF(AND(ISNUMBER(SEARCH("平",B4179)),OR(ISNUMBER(SEARCH("上",B4179)),ISNUMBER(SEARCH("去",B4179)),ISNUMBER(SEARCH("入",B4179)))),"Ambiguous",IF(ISNUMBER(SEARCH("平",B4179)),"平","仄")))</x:f>
        <x:v>仄</x:v>
      </x:c>
      <x:c r="K4179" s="6" t="str">
        <x:f>IF(D4179="","",IF(AND(ISNUMBER(SEARCH("平",D4179)),OR(ISNUMBER(SEARCH("上",D4179)),ISNUMBER(SEARCH("去",D4179)),ISNUMBER(SEARCH("入",D4179)))),"Ambiguous",IF(ISNUMBER(SEARCH("平",D4179)),"平","仄")))</x:f>
        <x:v>仄</x:v>
      </x:c>
      <x:c r="L4179" s="7" t="str"/>
    </x:row>
    <x:row r="4180">
      <x:c r="A4180" s="5" t="str">
        <x:v>逑</x:v>
      </x:c>
      <x:c r="B4180" s="6" t="str">
        <x:v>平</x:v>
      </x:c>
      <x:c r="C4180" s="6" t="str">
        <x:f>IF(B4180="","Needs decision","Ready")</x:f>
        <x:v>Ready</x:v>
      </x:c>
      <x:c r="D4180" s="6" t="str">
        <x:v>平</x:v>
      </x:c>
      <x:c r="E4180" s="6" t="str">
        <x:v>gjuw (A)</x:v>
      </x:c>
      <x:c r="F4180" s="6" t="str">
        <x:v>下平聲十一尤</x:v>
      </x:c>
      <x:c r="G4180" s="6" t="str">
        <x:v>Pingshui main list, Wikisource-derived DOCX</x:v>
      </x:c>
      <x:c r="H4180" s="6" t="str">
        <x:v>1</x:v>
      </x:c>
      <x:c r="I4180" s="6" t="str"/>
      <x:c r="J4180" s="6" t="str">
        <x:f>IF(B4180="","",IF(AND(ISNUMBER(SEARCH("平",B4180)),OR(ISNUMBER(SEARCH("上",B4180)),ISNUMBER(SEARCH("去",B4180)),ISNUMBER(SEARCH("入",B4180)))),"Ambiguous",IF(ISNUMBER(SEARCH("平",B4180)),"平","仄")))</x:f>
        <x:v>平</x:v>
      </x:c>
      <x:c r="K4180" s="6" t="str">
        <x:f>IF(D4180="","",IF(AND(ISNUMBER(SEARCH("平",D4180)),OR(ISNUMBER(SEARCH("上",D4180)),ISNUMBER(SEARCH("去",D4180)),ISNUMBER(SEARCH("入",D4180)))),"Ambiguous",IF(ISNUMBER(SEARCH("平",D4180)),"平","仄")))</x:f>
        <x:v>平</x:v>
      </x:c>
      <x:c r="L4180" s="7" t="str"/>
    </x:row>
    <x:row r="4181">
      <x:c r="A4181" s="5" t="str">
        <x:v>途</x:v>
      </x:c>
      <x:c r="B4181" s="6" t="str">
        <x:v>平</x:v>
      </x:c>
      <x:c r="C4181" s="6" t="str">
        <x:f>IF(B4181="","Needs decision","Ready")</x:f>
        <x:v>Ready</x:v>
      </x:c>
      <x:c r="D4181" s="6" t="str">
        <x:v>平</x:v>
      </x:c>
      <x:c r="E4181" s="6" t="str">
        <x:v>du (A)</x:v>
      </x:c>
      <x:c r="F4181" s="6" t="str">
        <x:v>上平聲七虞</x:v>
      </x:c>
      <x:c r="G4181" s="6" t="str">
        <x:v>Pingshui main list, Wikisource-derived DOCX</x:v>
      </x:c>
      <x:c r="H4181" s="6" t="str">
        <x:v>1</x:v>
      </x:c>
      <x:c r="I4181" s="6" t="str"/>
      <x:c r="J4181" s="6" t="str">
        <x:f>IF(B4181="","",IF(AND(ISNUMBER(SEARCH("平",B4181)),OR(ISNUMBER(SEARCH("上",B4181)),ISNUMBER(SEARCH("去",B4181)),ISNUMBER(SEARCH("入",B4181)))),"Ambiguous",IF(ISNUMBER(SEARCH("平",B4181)),"平","仄")))</x:f>
        <x:v>平</x:v>
      </x:c>
      <x:c r="K4181" s="6" t="str">
        <x:f>IF(D4181="","",IF(AND(ISNUMBER(SEARCH("平",D4181)),OR(ISNUMBER(SEARCH("上",D4181)),ISNUMBER(SEARCH("去",D4181)),ISNUMBER(SEARCH("入",D4181)))),"Ambiguous",IF(ISNUMBER(SEARCH("平",D4181)),"平","仄")))</x:f>
        <x:v>平</x:v>
      </x:c>
      <x:c r="L4181" s="7" t="str"/>
    </x:row>
    <x:row r="4182">
      <x:c r="A4182" s="5" t="str">
        <x:v>逕</x:v>
      </x:c>
      <x:c r="B4182" s="6" t="str">
        <x:v>去</x:v>
      </x:c>
      <x:c r="C4182" s="6" t="str">
        <x:f>IF(B4182="","Needs decision","Ready")</x:f>
        <x:v>Ready</x:v>
      </x:c>
      <x:c r="D4182" s="6" t="str">
        <x:v>去</x:v>
      </x:c>
      <x:c r="E4182" s="6" t="str">
        <x:v>kengH [qeŋh] (去)</x:v>
      </x:c>
      <x:c r="F4182" s="6" t="str"/>
      <x:c r="G4182" s="6" t="str"/>
      <x:c r="H4182" s="6" t="str">
        <x:v>1</x:v>
      </x:c>
      <x:c r="I4182" s="6" t="str">
        <x:v>Tang 300 gap; frequency 2; provisional from Xun Gong</x:v>
      </x:c>
      <x:c r="J4182" s="6" t="str">
        <x:f>IF(B4182="","",IF(AND(ISNUMBER(SEARCH("平",B4182)),OR(ISNUMBER(SEARCH("上",B4182)),ISNUMBER(SEARCH("去",B4182)),ISNUMBER(SEARCH("入",B4182)))),"Ambiguous",IF(ISNUMBER(SEARCH("平",B4182)),"平","仄")))</x:f>
        <x:v>仄</x:v>
      </x:c>
      <x:c r="K4182" s="6" t="str">
        <x:f>IF(D4182="","",IF(AND(ISNUMBER(SEARCH("平",D4182)),OR(ISNUMBER(SEARCH("上",D4182)),ISNUMBER(SEARCH("去",D4182)),ISNUMBER(SEARCH("入",D4182)))),"Ambiguous",IF(ISNUMBER(SEARCH("平",D4182)),"平","仄")))</x:f>
        <x:v>仄</x:v>
      </x:c>
      <x:c r="L4182" s="7" t="str">
        <x:v>Xun Gong, Tang 300 gap fill</x:v>
      </x:c>
    </x:row>
    <x:row r="4183">
      <x:c r="A4183" s="5" t="str">
        <x:v>逗</x:v>
      </x:c>
      <x:c r="B4183" s="6" t="str">
        <x:v>去</x:v>
      </x:c>
      <x:c r="C4183" s="6" t="str">
        <x:f>IF(B4183="","Needs decision","Ready")</x:f>
        <x:v>Ready</x:v>
      </x:c>
      <x:c r="D4183" s="6" t="str">
        <x:v>去</x:v>
      </x:c>
      <x:c r="E4183" s="6" t="str">
        <x:v>drjuH [ɖjoh] (去); duwH [d̙uh] (去)</x:v>
      </x:c>
      <x:c r="F4183" s="6" t="str">
        <x:v>去聲二十六宥</x:v>
      </x:c>
      <x:c r="G4183" s="6" t="str">
        <x:v>Pingshui main list, Wikisource-derived DOCX</x:v>
      </x:c>
      <x:c r="H4183" s="6" t="str">
        <x:v>2</x:v>
      </x:c>
      <x:c r="I4183" s="6" t="str">
        <x:v>Tang 300 gap; frequency 1; provisional from Xun Gong</x:v>
      </x:c>
      <x:c r="J4183" s="6" t="str">
        <x:f>IF(B4183="","",IF(AND(ISNUMBER(SEARCH("平",B4183)),OR(ISNUMBER(SEARCH("上",B4183)),ISNUMBER(SEARCH("去",B4183)),ISNUMBER(SEARCH("入",B4183)))),"Ambiguous",IF(ISNUMBER(SEARCH("平",B4183)),"平","仄")))</x:f>
        <x:v>仄</x:v>
      </x:c>
      <x:c r="K4183" s="6" t="str">
        <x:f>IF(D4183="","",IF(AND(ISNUMBER(SEARCH("平",D4183)),OR(ISNUMBER(SEARCH("上",D4183)),ISNUMBER(SEARCH("去",D4183)),ISNUMBER(SEARCH("入",D4183)))),"Ambiguous",IF(ISNUMBER(SEARCH("平",D4183)),"平","仄")))</x:f>
        <x:v>仄</x:v>
      </x:c>
      <x:c r="L4183" s="7" t="str">
        <x:v>Xun Gong, Tang 300 gap fill</x:v>
      </x:c>
    </x:row>
    <x:row r="4184">
      <x:c r="A4184" s="5" t="str">
        <x:v>通</x:v>
      </x:c>
      <x:c r="B4184" s="6" t="str">
        <x:v>平</x:v>
      </x:c>
      <x:c r="C4184" s="6" t="str">
        <x:f>IF(B4184="","Needs decision","Ready")</x:f>
        <x:v>Ready</x:v>
      </x:c>
      <x:c r="D4184" s="6" t="str">
        <x:v>平</x:v>
      </x:c>
      <x:c r="E4184" s="6" t="str">
        <x:v>thuwng (A)</x:v>
      </x:c>
      <x:c r="F4184" s="6" t="str">
        <x:v>上平聲一東</x:v>
      </x:c>
      <x:c r="G4184" s="6" t="str">
        <x:v>Pingshui main list, Wikisource-derived DOCX</x:v>
      </x:c>
      <x:c r="H4184" s="6" t="str">
        <x:v>1</x:v>
      </x:c>
      <x:c r="I4184" s="6" t="str"/>
      <x:c r="J4184" s="6" t="str">
        <x:f>IF(B4184="","",IF(AND(ISNUMBER(SEARCH("平",B4184)),OR(ISNUMBER(SEARCH("上",B4184)),ISNUMBER(SEARCH("去",B4184)),ISNUMBER(SEARCH("入",B4184)))),"Ambiguous",IF(ISNUMBER(SEARCH("平",B4184)),"平","仄")))</x:f>
        <x:v>平</x:v>
      </x:c>
      <x:c r="K4184" s="6" t="str">
        <x:f>IF(D4184="","",IF(AND(ISNUMBER(SEARCH("平",D4184)),OR(ISNUMBER(SEARCH("上",D4184)),ISNUMBER(SEARCH("去",D4184)),ISNUMBER(SEARCH("入",D4184)))),"Ambiguous",IF(ISNUMBER(SEARCH("平",D4184)),"平","仄")))</x:f>
        <x:v>平</x:v>
      </x:c>
      <x:c r="L4184" s="7" t="str"/>
    </x:row>
    <x:row r="4185">
      <x:c r="A4185" s="5" t="str">
        <x:v>逝</x:v>
      </x:c>
      <x:c r="B4185" s="6" t="str">
        <x:v>去</x:v>
      </x:c>
      <x:c r="C4185" s="6" t="str">
        <x:f>IF(B4185="","Needs decision","Ready")</x:f>
        <x:v>Ready</x:v>
      </x:c>
      <x:c r="D4185" s="6" t="str">
        <x:v>去</x:v>
      </x:c>
      <x:c r="E4185" s="6" t="str">
        <x:v>dzyejH (C)</x:v>
      </x:c>
      <x:c r="F4185" s="6" t="str">
        <x:v>去聲八霽</x:v>
      </x:c>
      <x:c r="G4185" s="6" t="str">
        <x:v>Pingshui main list, Wikisource-derived DOCX</x:v>
      </x:c>
      <x:c r="H4185" s="6" t="str">
        <x:v>1</x:v>
      </x:c>
      <x:c r="I4185" s="6" t="str"/>
      <x:c r="J4185" s="6" t="str">
        <x:f>IF(B4185="","",IF(AND(ISNUMBER(SEARCH("平",B4185)),OR(ISNUMBER(SEARCH("上",B4185)),ISNUMBER(SEARCH("去",B4185)),ISNUMBER(SEARCH("入",B4185)))),"Ambiguous",IF(ISNUMBER(SEARCH("平",B4185)),"平","仄")))</x:f>
        <x:v>仄</x:v>
      </x:c>
      <x:c r="K4185" s="6" t="str">
        <x:f>IF(D4185="","",IF(AND(ISNUMBER(SEARCH("平",D4185)),OR(ISNUMBER(SEARCH("上",D4185)),ISNUMBER(SEARCH("去",D4185)),ISNUMBER(SEARCH("入",D4185)))),"Ambiguous",IF(ISNUMBER(SEARCH("平",D4185)),"平","仄")))</x:f>
        <x:v>仄</x:v>
      </x:c>
      <x:c r="L4185" s="7" t="str"/>
    </x:row>
    <x:row r="4186">
      <x:c r="A4186" s="5" t="str">
        <x:v>逞</x:v>
      </x:c>
      <x:c r="B4186" s="6" t="str">
        <x:v>上</x:v>
      </x:c>
      <x:c r="C4186" s="6" t="str">
        <x:f>IF(B4186="","Needs decision","Ready")</x:f>
        <x:v>Ready</x:v>
      </x:c>
      <x:c r="D4186" s="6" t="str">
        <x:v>上</x:v>
      </x:c>
      <x:c r="E4186" s="6" t="str">
        <x:v>trhjengX (B)</x:v>
      </x:c>
      <x:c r="F4186" s="6" t="str">
        <x:v>上聲二十三梗</x:v>
      </x:c>
      <x:c r="G4186" s="6" t="str">
        <x:v>Pingshui main list, Wikisource-derived DOCX</x:v>
      </x:c>
      <x:c r="H4186" s="6" t="str">
        <x:v>1</x:v>
      </x:c>
      <x:c r="I4186" s="6" t="str"/>
      <x:c r="J4186" s="6" t="str">
        <x:f>IF(B4186="","",IF(AND(ISNUMBER(SEARCH("平",B4186)),OR(ISNUMBER(SEARCH("上",B4186)),ISNUMBER(SEARCH("去",B4186)),ISNUMBER(SEARCH("入",B4186)))),"Ambiguous",IF(ISNUMBER(SEARCH("平",B4186)),"平","仄")))</x:f>
        <x:v>仄</x:v>
      </x:c>
      <x:c r="K4186" s="6" t="str">
        <x:f>IF(D4186="","",IF(AND(ISNUMBER(SEARCH("平",D4186)),OR(ISNUMBER(SEARCH("上",D4186)),ISNUMBER(SEARCH("去",D4186)),ISNUMBER(SEARCH("入",D4186)))),"Ambiguous",IF(ISNUMBER(SEARCH("平",D4186)),"平","仄")))</x:f>
        <x:v>仄</x:v>
      </x:c>
      <x:c r="L4186" s="7" t="str"/>
    </x:row>
    <x:row r="4187">
      <x:c r="A4187" s="5" t="str">
        <x:v>速</x:v>
      </x:c>
      <x:c r="B4187" s="6" t="str">
        <x:v>入</x:v>
      </x:c>
      <x:c r="C4187" s="6" t="str">
        <x:f>IF(B4187="","Needs decision","Ready")</x:f>
        <x:v>Ready</x:v>
      </x:c>
      <x:c r="D4187" s="6" t="str">
        <x:v>入</x:v>
      </x:c>
      <x:c r="E4187" s="6" t="str">
        <x:v>suwk (D)</x:v>
      </x:c>
      <x:c r="F4187" s="6" t="str">
        <x:v>入聲一屋</x:v>
      </x:c>
      <x:c r="G4187" s="6" t="str">
        <x:v>Pingshui main list, Wikisource-derived DOCX</x:v>
      </x:c>
      <x:c r="H4187" s="6" t="str">
        <x:v>1</x:v>
      </x:c>
      <x:c r="I4187" s="6" t="str"/>
      <x:c r="J4187" s="6" t="str">
        <x:f>IF(B4187="","",IF(AND(ISNUMBER(SEARCH("平",B4187)),OR(ISNUMBER(SEARCH("上",B4187)),ISNUMBER(SEARCH("去",B4187)),ISNUMBER(SEARCH("入",B4187)))),"Ambiguous",IF(ISNUMBER(SEARCH("平",B4187)),"平","仄")))</x:f>
        <x:v>仄</x:v>
      </x:c>
      <x:c r="K4187" s="6" t="str">
        <x:f>IF(D4187="","",IF(AND(ISNUMBER(SEARCH("平",D4187)),OR(ISNUMBER(SEARCH("上",D4187)),ISNUMBER(SEARCH("去",D4187)),ISNUMBER(SEARCH("入",D4187)))),"Ambiguous",IF(ISNUMBER(SEARCH("平",D4187)),"平","仄")))</x:f>
        <x:v>仄</x:v>
      </x:c>
      <x:c r="L4187" s="7" t="str"/>
    </x:row>
    <x:row r="4188">
      <x:c r="A4188" s="5" t="str">
        <x:v>造</x:v>
      </x:c>
      <x:c r="B4188" s="6" t="str">
        <x:v>去</x:v>
      </x:c>
      <x:c r="C4188" s="6" t="str">
        <x:f>IF(B4188="","Needs decision","Ready")</x:f>
        <x:v>Ready</x:v>
      </x:c>
      <x:c r="D4188" s="6" t="str">
        <x:v>上/去</x:v>
      </x:c>
      <x:c r="E4188" s="6" t="str">
        <x:v>dzawX (B); tshawH (C)</x:v>
      </x:c>
      <x:c r="F4188" s="6" t="str">
        <x:v>上聲十九皓; 去聲二十號</x:v>
      </x:c>
      <x:c r="G4188" s="6" t="str">
        <x:v>Pingshui main list, Wikisource-derived DOCX</x:v>
      </x:c>
      <x:c r="H4188" s="6" t="str">
        <x:v>2</x:v>
      </x:c>
      <x:c r="I4188" s="6" t="str"/>
      <x:c r="J4188" s="6" t="str">
        <x:f>IF(B4188="","",IF(AND(ISNUMBER(SEARCH("平",B4188)),OR(ISNUMBER(SEARCH("上",B4188)),ISNUMBER(SEARCH("去",B4188)),ISNUMBER(SEARCH("入",B4188)))),"Ambiguous",IF(ISNUMBER(SEARCH("平",B4188)),"平","仄")))</x:f>
        <x:v>仄</x:v>
      </x:c>
      <x:c r="K4188" s="6" t="str">
        <x:f>IF(D4188="","",IF(AND(ISNUMBER(SEARCH("平",D4188)),OR(ISNUMBER(SEARCH("上",D4188)),ISNUMBER(SEARCH("去",D4188)),ISNUMBER(SEARCH("入",D4188)))),"Ambiguous",IF(ISNUMBER(SEARCH("平",D4188)),"平","仄")))</x:f>
        <x:v>仄</x:v>
      </x:c>
      <x:c r="L4188" s="7" t="str"/>
    </x:row>
    <x:row r="4189">
      <x:c r="A4189" s="5" t="str">
        <x:v>逡</x:v>
      </x:c>
      <x:c r="B4189" s="6" t="str">
        <x:v>平</x:v>
      </x:c>
      <x:c r="C4189" s="6" t="str">
        <x:f>IF(B4189="","Needs decision","Ready")</x:f>
        <x:v>Ready</x:v>
      </x:c>
      <x:c r="D4189" s="6" t="str">
        <x:v>平</x:v>
      </x:c>
      <x:c r="E4189" s="6" t="str">
        <x:v>tshwin [tsʰjwin] (平)</x:v>
      </x:c>
      <x:c r="F4189" s="6" t="str">
        <x:v>上平聲十一真</x:v>
      </x:c>
      <x:c r="G4189" s="6" t="str">
        <x:v>Pingshui main list, Wikisource-derived DOCX</x:v>
      </x:c>
      <x:c r="H4189" s="6" t="str">
        <x:v>1</x:v>
      </x:c>
      <x:c r="I4189" s="6" t="str">
        <x:v>Tang 300 gap; frequency 1; provisional from Xun Gong</x:v>
      </x:c>
      <x:c r="J4189" s="6" t="str">
        <x:f>IF(B4189="","",IF(AND(ISNUMBER(SEARCH("平",B4189)),OR(ISNUMBER(SEARCH("上",B4189)),ISNUMBER(SEARCH("去",B4189)),ISNUMBER(SEARCH("入",B4189)))),"Ambiguous",IF(ISNUMBER(SEARCH("平",B4189)),"平","仄")))</x:f>
        <x:v>平</x:v>
      </x:c>
      <x:c r="K4189" s="6" t="str">
        <x:f>IF(D4189="","",IF(AND(ISNUMBER(SEARCH("平",D4189)),OR(ISNUMBER(SEARCH("上",D4189)),ISNUMBER(SEARCH("去",D4189)),ISNUMBER(SEARCH("入",D4189)))),"Ambiguous",IF(ISNUMBER(SEARCH("平",D4189)),"平","仄")))</x:f>
        <x:v>平</x:v>
      </x:c>
      <x:c r="L4189" s="7" t="str">
        <x:v>Xun Gong, Tang 300 gap fill</x:v>
      </x:c>
    </x:row>
    <x:row r="4190">
      <x:c r="A4190" s="5" t="str">
        <x:v>逢</x:v>
      </x:c>
      <x:c r="B4190" s="6" t="str">
        <x:v>平</x:v>
      </x:c>
      <x:c r="C4190" s="6" t="str">
        <x:f>IF(B4190="","Needs decision","Ready")</x:f>
        <x:v>Ready</x:v>
      </x:c>
      <x:c r="D4190" s="6" t="str">
        <x:v>平</x:v>
      </x:c>
      <x:c r="E4190" s="6" t="str">
        <x:v>bjowng (A); buwng (A)</x:v>
      </x:c>
      <x:c r="F4190" s="6" t="str">
        <x:v>上平聲一東; 上平聲二冬; 上平聲三江</x:v>
      </x:c>
      <x:c r="G4190" s="6" t="str">
        <x:v>Pingshui main list, Wikisource-derived DOCX</x:v>
      </x:c>
      <x:c r="H4190" s="6" t="str">
        <x:v>2</x:v>
      </x:c>
      <x:c r="I4190" s="6" t="str"/>
      <x:c r="J4190" s="6" t="str">
        <x:f>IF(B4190="","",IF(AND(ISNUMBER(SEARCH("平",B4190)),OR(ISNUMBER(SEARCH("上",B4190)),ISNUMBER(SEARCH("去",B4190)),ISNUMBER(SEARCH("入",B4190)))),"Ambiguous",IF(ISNUMBER(SEARCH("平",B4190)),"平","仄")))</x:f>
        <x:v>平</x:v>
      </x:c>
      <x:c r="K4190" s="6" t="str">
        <x:f>IF(D4190="","",IF(AND(ISNUMBER(SEARCH("平",D4190)),OR(ISNUMBER(SEARCH("上",D4190)),ISNUMBER(SEARCH("去",D4190)),ISNUMBER(SEARCH("入",D4190)))),"Ambiguous",IF(ISNUMBER(SEARCH("平",D4190)),"平","仄")))</x:f>
        <x:v>平</x:v>
      </x:c>
      <x:c r="L4190" s="7" t="str"/>
    </x:row>
    <x:row r="4191">
      <x:c r="A4191" s="5" t="str">
        <x:v>連</x:v>
      </x:c>
      <x:c r="B4191" s="6" t="str">
        <x:v>平</x:v>
      </x:c>
      <x:c r="C4191" s="6" t="str">
        <x:f>IF(B4191="","Needs decision","Ready")</x:f>
        <x:v>Ready</x:v>
      </x:c>
      <x:c r="D4191" s="6" t="str">
        <x:v>平</x:v>
      </x:c>
      <x:c r="E4191" s="6" t="str">
        <x:v>ljen (A)</x:v>
      </x:c>
      <x:c r="F4191" s="6" t="str">
        <x:v>下平聲一先</x:v>
      </x:c>
      <x:c r="G4191" s="6" t="str">
        <x:v>Pingshui main list, Wikisource-derived DOCX</x:v>
      </x:c>
      <x:c r="H4191" s="6" t="str">
        <x:v>1</x:v>
      </x:c>
      <x:c r="I4191" s="6" t="str"/>
      <x:c r="J4191" s="6" t="str">
        <x:f>IF(B4191="","",IF(AND(ISNUMBER(SEARCH("平",B4191)),OR(ISNUMBER(SEARCH("上",B4191)),ISNUMBER(SEARCH("去",B4191)),ISNUMBER(SEARCH("入",B4191)))),"Ambiguous",IF(ISNUMBER(SEARCH("平",B4191)),"平","仄")))</x:f>
        <x:v>平</x:v>
      </x:c>
      <x:c r="K4191" s="6" t="str">
        <x:f>IF(D4191="","",IF(AND(ISNUMBER(SEARCH("平",D4191)),OR(ISNUMBER(SEARCH("上",D4191)),ISNUMBER(SEARCH("去",D4191)),ISNUMBER(SEARCH("入",D4191)))),"Ambiguous",IF(ISNUMBER(SEARCH("平",D4191)),"平","仄")))</x:f>
        <x:v>平</x:v>
      </x:c>
      <x:c r="L4191" s="7" t="str"/>
    </x:row>
    <x:row r="4192">
      <x:c r="A4192" s="5" t="str">
        <x:v>逮</x:v>
      </x:c>
      <x:c r="B4192" s="6" t="str">
        <x:v>去</x:v>
      </x:c>
      <x:c r="C4192" s="6" t="str">
        <x:f>IF(B4192="","Needs decision","Ready")</x:f>
        <x:v>Ready</x:v>
      </x:c>
      <x:c r="D4192" s="6" t="str">
        <x:v>去</x:v>
      </x:c>
      <x:c r="E4192" s="6" t="str">
        <x:v>dojH (C)</x:v>
      </x:c>
      <x:c r="F4192" s="6" t="str">
        <x:v>去聲八霽; 去聲十一隊</x:v>
      </x:c>
      <x:c r="G4192" s="6" t="str">
        <x:v>Pingshui main list, Wikisource-derived DOCX</x:v>
      </x:c>
      <x:c r="H4192" s="6" t="str">
        <x:v>1</x:v>
      </x:c>
      <x:c r="I4192" s="6" t="str"/>
      <x:c r="J4192" s="6" t="str">
        <x:f>IF(B4192="","",IF(AND(ISNUMBER(SEARCH("平",B4192)),OR(ISNUMBER(SEARCH("上",B4192)),ISNUMBER(SEARCH("去",B4192)),ISNUMBER(SEARCH("入",B4192)))),"Ambiguous",IF(ISNUMBER(SEARCH("平",B4192)),"平","仄")))</x:f>
        <x:v>仄</x:v>
      </x:c>
      <x:c r="K4192" s="6" t="str">
        <x:f>IF(D4192="","",IF(AND(ISNUMBER(SEARCH("平",D4192)),OR(ISNUMBER(SEARCH("上",D4192)),ISNUMBER(SEARCH("去",D4192)),ISNUMBER(SEARCH("入",D4192)))),"Ambiguous",IF(ISNUMBER(SEARCH("平",D4192)),"平","仄")))</x:f>
        <x:v>仄</x:v>
      </x:c>
      <x:c r="L4192" s="7" t="str"/>
    </x:row>
    <x:row r="4193">
      <x:c r="A4193" s="5" t="str">
        <x:v>進</x:v>
      </x:c>
      <x:c r="B4193" s="6" t="str">
        <x:v>去</x:v>
      </x:c>
      <x:c r="C4193" s="6" t="str">
        <x:f>IF(B4193="","Needs decision","Ready")</x:f>
        <x:v>Ready</x:v>
      </x:c>
      <x:c r="D4193" s="6" t="str">
        <x:v>去</x:v>
      </x:c>
      <x:c r="E4193" s="6" t="str">
        <x:v>tsinH (C)</x:v>
      </x:c>
      <x:c r="F4193" s="6" t="str">
        <x:v>去聲十二震</x:v>
      </x:c>
      <x:c r="G4193" s="6" t="str">
        <x:v>Pingshui main list, Wikisource-derived DOCX</x:v>
      </x:c>
      <x:c r="H4193" s="6" t="str">
        <x:v>1</x:v>
      </x:c>
      <x:c r="I4193" s="6" t="str"/>
      <x:c r="J4193" s="6" t="str">
        <x:f>IF(B4193="","",IF(AND(ISNUMBER(SEARCH("平",B4193)),OR(ISNUMBER(SEARCH("上",B4193)),ISNUMBER(SEARCH("去",B4193)),ISNUMBER(SEARCH("入",B4193)))),"Ambiguous",IF(ISNUMBER(SEARCH("平",B4193)),"平","仄")))</x:f>
        <x:v>仄</x:v>
      </x:c>
      <x:c r="K4193" s="6" t="str">
        <x:f>IF(D4193="","",IF(AND(ISNUMBER(SEARCH("平",D4193)),OR(ISNUMBER(SEARCH("上",D4193)),ISNUMBER(SEARCH("去",D4193)),ISNUMBER(SEARCH("入",D4193)))),"Ambiguous",IF(ISNUMBER(SEARCH("平",D4193)),"平","仄")))</x:f>
        <x:v>仄</x:v>
      </x:c>
      <x:c r="L4193" s="7" t="str"/>
    </x:row>
    <x:row r="4194">
      <x:c r="A4194" s="5" t="str">
        <x:v>逵</x:v>
      </x:c>
      <x:c r="B4194" s="6" t="str">
        <x:v>平</x:v>
      </x:c>
      <x:c r="C4194" s="6" t="str">
        <x:f>IF(B4194="","Needs decision","Ready")</x:f>
        <x:v>Ready</x:v>
      </x:c>
      <x:c r="D4194" s="6" t="str">
        <x:v>平</x:v>
      </x:c>
      <x:c r="E4194" s="6" t="str">
        <x:v>gwij (A)</x:v>
      </x:c>
      <x:c r="F4194" s="6" t="str">
        <x:v>上平聲四支</x:v>
      </x:c>
      <x:c r="G4194" s="6" t="str">
        <x:v>Pingshui main list, Wikisource-derived DOCX</x:v>
      </x:c>
      <x:c r="H4194" s="6" t="str">
        <x:v>1</x:v>
      </x:c>
      <x:c r="I4194" s="6" t="str"/>
      <x:c r="J4194" s="6" t="str">
        <x:f>IF(B4194="","",IF(AND(ISNUMBER(SEARCH("平",B4194)),OR(ISNUMBER(SEARCH("上",B4194)),ISNUMBER(SEARCH("去",B4194)),ISNUMBER(SEARCH("入",B4194)))),"Ambiguous",IF(ISNUMBER(SEARCH("平",B4194)),"平","仄")))</x:f>
        <x:v>平</x:v>
      </x:c>
      <x:c r="K4194" s="6" t="str">
        <x:f>IF(D4194="","",IF(AND(ISNUMBER(SEARCH("平",D4194)),OR(ISNUMBER(SEARCH("上",D4194)),ISNUMBER(SEARCH("去",D4194)),ISNUMBER(SEARCH("入",D4194)))),"Ambiguous",IF(ISNUMBER(SEARCH("平",D4194)),"平","仄")))</x:f>
        <x:v>平</x:v>
      </x:c>
      <x:c r="L4194" s="7" t="str"/>
    </x:row>
    <x:row r="4195">
      <x:c r="A4195" s="5" t="str">
        <x:v>逶</x:v>
      </x:c>
      <x:c r="B4195" s="6" t="str">
        <x:v>平</x:v>
      </x:c>
      <x:c r="C4195" s="6" t="str">
        <x:f>IF(B4195="","Needs decision","Ready")</x:f>
        <x:v>Ready</x:v>
      </x:c>
      <x:c r="D4195" s="6" t="str">
        <x:v>平</x:v>
      </x:c>
      <x:c r="E4195" s="6" t="str">
        <x:v>'jwe [ʔwɨ̯ie] (平)</x:v>
      </x:c>
      <x:c r="F4195" s="6" t="str">
        <x:v>上平聲四支</x:v>
      </x:c>
      <x:c r="G4195" s="6" t="str">
        <x:v>Pingshui main list, Wikisource-derived DOCX</x:v>
      </x:c>
      <x:c r="H4195" s="6" t="str">
        <x:v>1</x:v>
      </x:c>
      <x:c r="I4195" s="6" t="str">
        <x:v>Tang 300 gap; frequency 1; provisional from Xun Gong</x:v>
      </x:c>
      <x:c r="J4195" s="6" t="str">
        <x:f>IF(B4195="","",IF(AND(ISNUMBER(SEARCH("平",B4195)),OR(ISNUMBER(SEARCH("上",B4195)),ISNUMBER(SEARCH("去",B4195)),ISNUMBER(SEARCH("入",B4195)))),"Ambiguous",IF(ISNUMBER(SEARCH("平",B4195)),"平","仄")))</x:f>
        <x:v>平</x:v>
      </x:c>
      <x:c r="K4195" s="6" t="str">
        <x:f>IF(D4195="","",IF(AND(ISNUMBER(SEARCH("平",D4195)),OR(ISNUMBER(SEARCH("上",D4195)),ISNUMBER(SEARCH("去",D4195)),ISNUMBER(SEARCH("入",D4195)))),"Ambiguous",IF(ISNUMBER(SEARCH("平",D4195)),"平","仄")))</x:f>
        <x:v>平</x:v>
      </x:c>
      <x:c r="L4195" s="7" t="str">
        <x:v>Xun Gong, Tang 300 gap fill</x:v>
      </x:c>
    </x:row>
    <x:row r="4196">
      <x:c r="A4196" s="5" t="str">
        <x:v>逸</x:v>
      </x:c>
      <x:c r="B4196" s="6" t="str">
        <x:v>入</x:v>
      </x:c>
      <x:c r="C4196" s="6" t="str">
        <x:f>IF(B4196="","Needs decision","Ready")</x:f>
        <x:v>Ready</x:v>
      </x:c>
      <x:c r="D4196" s="6" t="str">
        <x:v>入</x:v>
      </x:c>
      <x:c r="E4196" s="6" t="str">
        <x:v>yit (D)</x:v>
      </x:c>
      <x:c r="F4196" s="6" t="str">
        <x:v>入聲四質</x:v>
      </x:c>
      <x:c r="G4196" s="6" t="str">
        <x:v>Pingshui main list, Wikisource-derived DOCX</x:v>
      </x:c>
      <x:c r="H4196" s="6" t="str">
        <x:v>1</x:v>
      </x:c>
      <x:c r="I4196" s="6" t="str"/>
      <x:c r="J4196" s="6" t="str">
        <x:f>IF(B4196="","",IF(AND(ISNUMBER(SEARCH("平",B4196)),OR(ISNUMBER(SEARCH("上",B4196)),ISNUMBER(SEARCH("去",B4196)),ISNUMBER(SEARCH("入",B4196)))),"Ambiguous",IF(ISNUMBER(SEARCH("平",B4196)),"平","仄")))</x:f>
        <x:v>仄</x:v>
      </x:c>
      <x:c r="K4196" s="6" t="str">
        <x:f>IF(D4196="","",IF(AND(ISNUMBER(SEARCH("平",D4196)),OR(ISNUMBER(SEARCH("上",D4196)),ISNUMBER(SEARCH("去",D4196)),ISNUMBER(SEARCH("入",D4196)))),"Ambiguous",IF(ISNUMBER(SEARCH("平",D4196)),"平","仄")))</x:f>
        <x:v>仄</x:v>
      </x:c>
      <x:c r="L4196" s="7" t="str"/>
    </x:row>
    <x:row r="4197">
      <x:c r="A4197" s="5" t="str">
        <x:v>逼</x:v>
      </x:c>
      <x:c r="B4197" s="6" t="str">
        <x:v>入</x:v>
      </x:c>
      <x:c r="C4197" s="6" t="str">
        <x:f>IF(B4197="","Needs decision","Ready")</x:f>
        <x:v>Ready</x:v>
      </x:c>
      <x:c r="D4197" s="6" t="str">
        <x:v>入</x:v>
      </x:c>
      <x:c r="E4197" s="6" t="str">
        <x:v>pik (D)</x:v>
      </x:c>
      <x:c r="F4197" s="6" t="str">
        <x:v>入聲十三職</x:v>
      </x:c>
      <x:c r="G4197" s="6" t="str">
        <x:v>Pingshui main list, Wikisource-derived DOCX</x:v>
      </x:c>
      <x:c r="H4197" s="6" t="str">
        <x:v>1</x:v>
      </x:c>
      <x:c r="I4197" s="6" t="str"/>
      <x:c r="J4197" s="6" t="str">
        <x:f>IF(B4197="","",IF(AND(ISNUMBER(SEARCH("平",B4197)),OR(ISNUMBER(SEARCH("上",B4197)),ISNUMBER(SEARCH("去",B4197)),ISNUMBER(SEARCH("入",B4197)))),"Ambiguous",IF(ISNUMBER(SEARCH("平",B4197)),"平","仄")))</x:f>
        <x:v>仄</x:v>
      </x:c>
      <x:c r="K4197" s="6" t="str">
        <x:f>IF(D4197="","",IF(AND(ISNUMBER(SEARCH("平",D4197)),OR(ISNUMBER(SEARCH("上",D4197)),ISNUMBER(SEARCH("去",D4197)),ISNUMBER(SEARCH("入",D4197)))),"Ambiguous",IF(ISNUMBER(SEARCH("平",D4197)),"平","仄")))</x:f>
        <x:v>仄</x:v>
      </x:c>
      <x:c r="L4197" s="7" t="str"/>
    </x:row>
    <x:row r="4198">
      <x:c r="A4198" s="5" t="str">
        <x:v>逾</x:v>
      </x:c>
      <x:c r="B4198" s="6" t="str">
        <x:v>平</x:v>
      </x:c>
      <x:c r="C4198" s="6" t="str">
        <x:f>IF(B4198="","Needs decision","Ready")</x:f>
        <x:v>Ready</x:v>
      </x:c>
      <x:c r="D4198" s="6" t="str">
        <x:v>平</x:v>
      </x:c>
      <x:c r="E4198" s="6" t="str">
        <x:v>yu (A)</x:v>
      </x:c>
      <x:c r="F4198" s="6" t="str">
        <x:v>上平聲七虞</x:v>
      </x:c>
      <x:c r="G4198" s="6" t="str">
        <x:v>Pingshui main list, Wikisource-derived DOCX</x:v>
      </x:c>
      <x:c r="H4198" s="6" t="str">
        <x:v>1</x:v>
      </x:c>
      <x:c r="I4198" s="6" t="str"/>
      <x:c r="J4198" s="6" t="str">
        <x:f>IF(B4198="","",IF(AND(ISNUMBER(SEARCH("平",B4198)),OR(ISNUMBER(SEARCH("上",B4198)),ISNUMBER(SEARCH("去",B4198)),ISNUMBER(SEARCH("入",B4198)))),"Ambiguous",IF(ISNUMBER(SEARCH("平",B4198)),"平","仄")))</x:f>
        <x:v>平</x:v>
      </x:c>
      <x:c r="K4198" s="6" t="str">
        <x:f>IF(D4198="","",IF(AND(ISNUMBER(SEARCH("平",D4198)),OR(ISNUMBER(SEARCH("上",D4198)),ISNUMBER(SEARCH("去",D4198)),ISNUMBER(SEARCH("入",D4198)))),"Ambiguous",IF(ISNUMBER(SEARCH("平",D4198)),"平","仄")))</x:f>
        <x:v>平</x:v>
      </x:c>
      <x:c r="L4198" s="7" t="str"/>
    </x:row>
    <x:row r="4199">
      <x:c r="A4199" s="5" t="str">
        <x:v>遁</x:v>
      </x:c>
      <x:c r="B4199" s="6" t="str"/>
      <x:c r="C4199" s="6" t="str">
        <x:f>IF(B4199="","Needs decision","Ready")</x:f>
        <x:v>Needs decision</x:v>
      </x:c>
      <x:c r="D4199" s="6" t="str">
        <x:v>上/去</x:v>
      </x:c>
      <x:c r="E4199" s="6" t="str">
        <x:v>dwonX (B); dwonH (C)</x:v>
      </x:c>
      <x:c r="F4199" s="6" t="str"/>
      <x:c r="G4199" s="6" t="str"/>
      <x:c r="H4199" s="6" t="str">
        <x:v>2</x:v>
      </x:c>
      <x:c r="I4199" s="6" t="str"/>
      <x:c r="J4199" s="6" t="str">
        <x:f>IF(B4199="","",IF(AND(ISNUMBER(SEARCH("平",B4199)),OR(ISNUMBER(SEARCH("上",B4199)),ISNUMBER(SEARCH("去",B4199)),ISNUMBER(SEARCH("入",B4199)))),"Ambiguous",IF(ISNUMBER(SEARCH("平",B4199)),"平","仄")))</x:f>
      </x:c>
      <x:c r="K4199" s="6" t="str">
        <x:f>IF(D4199="","",IF(AND(ISNUMBER(SEARCH("平",D4199)),OR(ISNUMBER(SEARCH("上",D4199)),ISNUMBER(SEARCH("去",D4199)),ISNUMBER(SEARCH("入",D4199)))),"Ambiguous",IF(ISNUMBER(SEARCH("平",D4199)),"平","仄")))</x:f>
        <x:v>仄</x:v>
      </x:c>
      <x:c r="L4199" s="7" t="str"/>
    </x:row>
    <x:row r="4200">
      <x:c r="A4200" s="5" t="str">
        <x:v>遂</x:v>
      </x:c>
      <x:c r="B4200" s="6" t="str">
        <x:v>去</x:v>
      </x:c>
      <x:c r="C4200" s="6" t="str">
        <x:f>IF(B4200="","Needs decision","Ready")</x:f>
        <x:v>Ready</x:v>
      </x:c>
      <x:c r="D4200" s="6" t="str">
        <x:v>去</x:v>
      </x:c>
      <x:c r="E4200" s="6" t="str">
        <x:v>zwijH (C)</x:v>
      </x:c>
      <x:c r="F4200" s="6" t="str">
        <x:v>去聲四寘</x:v>
      </x:c>
      <x:c r="G4200" s="6" t="str">
        <x:v>Pingshui main list, Wikisource-derived DOCX</x:v>
      </x:c>
      <x:c r="H4200" s="6" t="str">
        <x:v>1</x:v>
      </x:c>
      <x:c r="I4200" s="6" t="str"/>
      <x:c r="J4200" s="6" t="str">
        <x:f>IF(B4200="","",IF(AND(ISNUMBER(SEARCH("平",B4200)),OR(ISNUMBER(SEARCH("上",B4200)),ISNUMBER(SEARCH("去",B4200)),ISNUMBER(SEARCH("入",B4200)))),"Ambiguous",IF(ISNUMBER(SEARCH("平",B4200)),"平","仄")))</x:f>
        <x:v>仄</x:v>
      </x:c>
      <x:c r="K4200" s="6" t="str">
        <x:f>IF(D4200="","",IF(AND(ISNUMBER(SEARCH("平",D4200)),OR(ISNUMBER(SEARCH("上",D4200)),ISNUMBER(SEARCH("去",D4200)),ISNUMBER(SEARCH("入",D4200)))),"Ambiguous",IF(ISNUMBER(SEARCH("平",D4200)),"平","仄")))</x:f>
        <x:v>仄</x:v>
      </x:c>
      <x:c r="L4200" s="7" t="str"/>
    </x:row>
    <x:row r="4201">
      <x:c r="A4201" s="5" t="str">
        <x:v>遇</x:v>
      </x:c>
      <x:c r="B4201" s="6" t="str">
        <x:v>去</x:v>
      </x:c>
      <x:c r="C4201" s="6" t="str">
        <x:f>IF(B4201="","Needs decision","Ready")</x:f>
        <x:v>Ready</x:v>
      </x:c>
      <x:c r="D4201" s="6" t="str">
        <x:v>去</x:v>
      </x:c>
      <x:c r="E4201" s="6" t="str">
        <x:v>ngjuH (C)</x:v>
      </x:c>
      <x:c r="F4201" s="6" t="str">
        <x:v>去聲七遇</x:v>
      </x:c>
      <x:c r="G4201" s="6" t="str">
        <x:v>Pingshui main list, Wikisource-derived DOCX</x:v>
      </x:c>
      <x:c r="H4201" s="6" t="str">
        <x:v>1</x:v>
      </x:c>
      <x:c r="I4201" s="6" t="str"/>
      <x:c r="J4201" s="6" t="str">
        <x:f>IF(B4201="","",IF(AND(ISNUMBER(SEARCH("平",B4201)),OR(ISNUMBER(SEARCH("上",B4201)),ISNUMBER(SEARCH("去",B4201)),ISNUMBER(SEARCH("入",B4201)))),"Ambiguous",IF(ISNUMBER(SEARCH("平",B4201)),"平","仄")))</x:f>
        <x:v>仄</x:v>
      </x:c>
      <x:c r="K4201" s="6" t="str">
        <x:f>IF(D4201="","",IF(AND(ISNUMBER(SEARCH("平",D4201)),OR(ISNUMBER(SEARCH("上",D4201)),ISNUMBER(SEARCH("去",D4201)),ISNUMBER(SEARCH("入",D4201)))),"Ambiguous",IF(ISNUMBER(SEARCH("平",D4201)),"平","仄")))</x:f>
        <x:v>仄</x:v>
      </x:c>
      <x:c r="L4201" s="7" t="str"/>
    </x:row>
    <x:row r="4202">
      <x:c r="A4202" s="5" t="str">
        <x:v>遊</x:v>
      </x:c>
      <x:c r="B4202" s="6" t="str">
        <x:v>平</x:v>
      </x:c>
      <x:c r="C4202" s="6" t="str">
        <x:f>IF(B4202="","Needs decision","Ready")</x:f>
        <x:v>Ready</x:v>
      </x:c>
      <x:c r="D4202" s="6" t="str">
        <x:v>平</x:v>
      </x:c>
      <x:c r="E4202" s="6" t="str">
        <x:v>yuw (A)</x:v>
      </x:c>
      <x:c r="F4202" s="6" t="str"/>
      <x:c r="G4202" s="6" t="str"/>
      <x:c r="H4202" s="6" t="str">
        <x:v>1</x:v>
      </x:c>
      <x:c r="I4202" s="6" t="str"/>
      <x:c r="J4202" s="6" t="str">
        <x:f>IF(B4202="","",IF(AND(ISNUMBER(SEARCH("平",B4202)),OR(ISNUMBER(SEARCH("上",B4202)),ISNUMBER(SEARCH("去",B4202)),ISNUMBER(SEARCH("入",B4202)))),"Ambiguous",IF(ISNUMBER(SEARCH("平",B4202)),"平","仄")))</x:f>
        <x:v>平</x:v>
      </x:c>
      <x:c r="K4202" s="6" t="str">
        <x:f>IF(D4202="","",IF(AND(ISNUMBER(SEARCH("平",D4202)),OR(ISNUMBER(SEARCH("上",D4202)),ISNUMBER(SEARCH("去",D4202)),ISNUMBER(SEARCH("入",D4202)))),"Ambiguous",IF(ISNUMBER(SEARCH("平",D4202)),"平","仄")))</x:f>
        <x:v>平</x:v>
      </x:c>
      <x:c r="L4202" s="7" t="str"/>
    </x:row>
    <x:row r="4203">
      <x:c r="A4203" s="5" t="str">
        <x:v>運</x:v>
      </x:c>
      <x:c r="B4203" s="6" t="str">
        <x:v>去</x:v>
      </x:c>
      <x:c r="C4203" s="6" t="str">
        <x:f>IF(B4203="","Needs decision","Ready")</x:f>
        <x:v>Ready</x:v>
      </x:c>
      <x:c r="D4203" s="6" t="str">
        <x:v>去</x:v>
      </x:c>
      <x:c r="E4203" s="6" t="str">
        <x:v>hjunH (C)</x:v>
      </x:c>
      <x:c r="F4203" s="6" t="str">
        <x:v>去聲十三問</x:v>
      </x:c>
      <x:c r="G4203" s="6" t="str">
        <x:v>Pingshui main list, Wikisource-derived DOCX</x:v>
      </x:c>
      <x:c r="H4203" s="6" t="str">
        <x:v>1</x:v>
      </x:c>
      <x:c r="I4203" s="6" t="str"/>
      <x:c r="J4203" s="6" t="str">
        <x:f>IF(B4203="","",IF(AND(ISNUMBER(SEARCH("平",B4203)),OR(ISNUMBER(SEARCH("上",B4203)),ISNUMBER(SEARCH("去",B4203)),ISNUMBER(SEARCH("入",B4203)))),"Ambiguous",IF(ISNUMBER(SEARCH("平",B4203)),"平","仄")))</x:f>
        <x:v>仄</x:v>
      </x:c>
      <x:c r="K4203" s="6" t="str">
        <x:f>IF(D4203="","",IF(AND(ISNUMBER(SEARCH("平",D4203)),OR(ISNUMBER(SEARCH("上",D4203)),ISNUMBER(SEARCH("去",D4203)),ISNUMBER(SEARCH("入",D4203)))),"Ambiguous",IF(ISNUMBER(SEARCH("平",D4203)),"平","仄")))</x:f>
        <x:v>仄</x:v>
      </x:c>
      <x:c r="L4203" s="7" t="str"/>
    </x:row>
    <x:row r="4204">
      <x:c r="A4204" s="5" t="str">
        <x:v>遌</x:v>
      </x:c>
      <x:c r="B4204" s="6" t="str">
        <x:v>入</x:v>
      </x:c>
      <x:c r="C4204" s="6" t="str">
        <x:f>IF(B4204="","Needs decision","Ready")</x:f>
        <x:v>Ready</x:v>
      </x:c>
      <x:c r="D4204" s="6" t="str">
        <x:v>入</x:v>
      </x:c>
      <x:c r="E4204" s="6" t="str">
        <x:v>ngak (D)</x:v>
      </x:c>
      <x:c r="F4204" s="6" t="str"/>
      <x:c r="G4204" s="6" t="str"/>
      <x:c r="H4204" s="6" t="str">
        <x:v>1</x:v>
      </x:c>
      <x:c r="I4204" s="6" t="str"/>
      <x:c r="J4204" s="6" t="str">
        <x:f>IF(B4204="","",IF(AND(ISNUMBER(SEARCH("平",B4204)),OR(ISNUMBER(SEARCH("上",B4204)),ISNUMBER(SEARCH("去",B4204)),ISNUMBER(SEARCH("入",B4204)))),"Ambiguous",IF(ISNUMBER(SEARCH("平",B4204)),"平","仄")))</x:f>
        <x:v>仄</x:v>
      </x:c>
      <x:c r="K4204" s="6" t="str">
        <x:f>IF(D4204="","",IF(AND(ISNUMBER(SEARCH("平",D4204)),OR(ISNUMBER(SEARCH("上",D4204)),ISNUMBER(SEARCH("去",D4204)),ISNUMBER(SEARCH("入",D4204)))),"Ambiguous",IF(ISNUMBER(SEARCH("平",D4204)),"平","仄")))</x:f>
        <x:v>仄</x:v>
      </x:c>
      <x:c r="L4204" s="7" t="str"/>
    </x:row>
    <x:row r="4205">
      <x:c r="A4205" s="5" t="str">
        <x:v>遍</x:v>
      </x:c>
      <x:c r="B4205" s="6" t="str">
        <x:v>去</x:v>
      </x:c>
      <x:c r="C4205" s="6" t="str">
        <x:f>IF(B4205="","Needs decision","Ready")</x:f>
        <x:v>Ready</x:v>
      </x:c>
      <x:c r="D4205" s="6" t="str">
        <x:v>去</x:v>
      </x:c>
      <x:c r="E4205" s="6" t="str">
        <x:v>penH [p̙enh] (去)</x:v>
      </x:c>
      <x:c r="F4205" s="6" t="str"/>
      <x:c r="G4205" s="6" t="str"/>
      <x:c r="H4205" s="6" t="str">
        <x:v>1</x:v>
      </x:c>
      <x:c r="I4205" s="6" t="str">
        <x:v>Tang 300 gap; frequency 5; provisional from Xun Gong</x:v>
      </x:c>
      <x:c r="J4205" s="6" t="str">
        <x:f>IF(B4205="","",IF(AND(ISNUMBER(SEARCH("平",B4205)),OR(ISNUMBER(SEARCH("上",B4205)),ISNUMBER(SEARCH("去",B4205)),ISNUMBER(SEARCH("入",B4205)))),"Ambiguous",IF(ISNUMBER(SEARCH("平",B4205)),"平","仄")))</x:f>
        <x:v>仄</x:v>
      </x:c>
      <x:c r="K4205" s="6" t="str">
        <x:f>IF(D4205="","",IF(AND(ISNUMBER(SEARCH("平",D4205)),OR(ISNUMBER(SEARCH("上",D4205)),ISNUMBER(SEARCH("去",D4205)),ISNUMBER(SEARCH("入",D4205)))),"Ambiguous",IF(ISNUMBER(SEARCH("平",D4205)),"平","仄")))</x:f>
        <x:v>仄</x:v>
      </x:c>
      <x:c r="L4205" s="7" t="str">
        <x:v>Xun Gong, Tang 300 gap fill</x:v>
      </x:c>
    </x:row>
    <x:row r="4206">
      <x:c r="A4206" s="5" t="str">
        <x:v>過</x:v>
      </x:c>
      <x:c r="B4206" s="6" t="str"/>
      <x:c r="C4206" s="6" t="str">
        <x:f>IF(B4206="","Needs decision","Ready")</x:f>
        <x:v>Needs decision</x:v>
      </x:c>
      <x:c r="D4206" s="6" t="str">
        <x:v>平/去</x:v>
      </x:c>
      <x:c r="E4206" s="6" t="str">
        <x:v>kwa (A); kwaH (C)</x:v>
      </x:c>
      <x:c r="F4206" s="6" t="str">
        <x:v>下平聲五歌; 去聲二十一箇</x:v>
      </x:c>
      <x:c r="G4206" s="6" t="str">
        <x:v>Pingshui main list, Wikisource-derived DOCX</x:v>
      </x:c>
      <x:c r="H4206" s="6" t="str">
        <x:v>2</x:v>
      </x:c>
      <x:c r="I4206" s="6" t="str"/>
      <x:c r="J4206" s="6" t="str">
        <x:f>IF(B4206="","",IF(AND(ISNUMBER(SEARCH("平",B4206)),OR(ISNUMBER(SEARCH("上",B4206)),ISNUMBER(SEARCH("去",B4206)),ISNUMBER(SEARCH("入",B4206)))),"Ambiguous",IF(ISNUMBER(SEARCH("平",B4206)),"平","仄")))</x:f>
      </x:c>
      <x:c r="K4206" s="6" t="str">
        <x:f>IF(D4206="","",IF(AND(ISNUMBER(SEARCH("平",D4206)),OR(ISNUMBER(SEARCH("上",D4206)),ISNUMBER(SEARCH("去",D4206)),ISNUMBER(SEARCH("入",D4206)))),"Ambiguous",IF(ISNUMBER(SEARCH("平",D4206)),"平","仄")))</x:f>
        <x:v>Ambiguous</x:v>
      </x:c>
      <x:c r="L4206" s="7" t="str"/>
    </x:row>
    <x:row r="4207">
      <x:c r="A4207" s="5" t="str">
        <x:v>遏</x:v>
      </x:c>
      <x:c r="B4207" s="6" t="str">
        <x:v>入</x:v>
      </x:c>
      <x:c r="C4207" s="6" t="str">
        <x:f>IF(B4207="","Needs decision","Ready")</x:f>
        <x:v>Ready</x:v>
      </x:c>
      <x:c r="D4207" s="6" t="str">
        <x:v>入</x:v>
      </x:c>
      <x:c r="E4207" s="6" t="str">
        <x:v>'at (D)</x:v>
      </x:c>
      <x:c r="F4207" s="6" t="str">
        <x:v>入聲七曷</x:v>
      </x:c>
      <x:c r="G4207" s="6" t="str">
        <x:v>Pingshui main list, Wikisource-derived DOCX</x:v>
      </x:c>
      <x:c r="H4207" s="6" t="str">
        <x:v>1</x:v>
      </x:c>
      <x:c r="I4207" s="6" t="str"/>
      <x:c r="J4207" s="6" t="str">
        <x:f>IF(B4207="","",IF(AND(ISNUMBER(SEARCH("平",B4207)),OR(ISNUMBER(SEARCH("上",B4207)),ISNUMBER(SEARCH("去",B4207)),ISNUMBER(SEARCH("入",B4207)))),"Ambiguous",IF(ISNUMBER(SEARCH("平",B4207)),"平","仄")))</x:f>
        <x:v>仄</x:v>
      </x:c>
      <x:c r="K4207" s="6" t="str">
        <x:f>IF(D4207="","",IF(AND(ISNUMBER(SEARCH("平",D4207)),OR(ISNUMBER(SEARCH("上",D4207)),ISNUMBER(SEARCH("去",D4207)),ISNUMBER(SEARCH("入",D4207)))),"Ambiguous",IF(ISNUMBER(SEARCH("平",D4207)),"平","仄")))</x:f>
        <x:v>仄</x:v>
      </x:c>
      <x:c r="L4207" s="7" t="str"/>
    </x:row>
    <x:row r="4208">
      <x:c r="A4208" s="5" t="str">
        <x:v>遐</x:v>
      </x:c>
      <x:c r="B4208" s="6" t="str">
        <x:v>平</x:v>
      </x:c>
      <x:c r="C4208" s="6" t="str">
        <x:f>IF(B4208="","Needs decision","Ready")</x:f>
        <x:v>Ready</x:v>
      </x:c>
      <x:c r="D4208" s="6" t="str">
        <x:v>平</x:v>
      </x:c>
      <x:c r="E4208" s="6" t="str">
        <x:v>hae (A)</x:v>
      </x:c>
      <x:c r="F4208" s="6" t="str">
        <x:v>下平聲六麻</x:v>
      </x:c>
      <x:c r="G4208" s="6" t="str">
        <x:v>Pingshui main list, Wikisource-derived DOCX</x:v>
      </x:c>
      <x:c r="H4208" s="6" t="str">
        <x:v>1</x:v>
      </x:c>
      <x:c r="I4208" s="6" t="str"/>
      <x:c r="J4208" s="6" t="str">
        <x:f>IF(B4208="","",IF(AND(ISNUMBER(SEARCH("平",B4208)),OR(ISNUMBER(SEARCH("上",B4208)),ISNUMBER(SEARCH("去",B4208)),ISNUMBER(SEARCH("入",B4208)))),"Ambiguous",IF(ISNUMBER(SEARCH("平",B4208)),"平","仄")))</x:f>
        <x:v>平</x:v>
      </x:c>
      <x:c r="K4208" s="6" t="str">
        <x:f>IF(D4208="","",IF(AND(ISNUMBER(SEARCH("平",D4208)),OR(ISNUMBER(SEARCH("上",D4208)),ISNUMBER(SEARCH("去",D4208)),ISNUMBER(SEARCH("入",D4208)))),"Ambiguous",IF(ISNUMBER(SEARCH("平",D4208)),"平","仄")))</x:f>
        <x:v>平</x:v>
      </x:c>
      <x:c r="L4208" s="7" t="str"/>
    </x:row>
    <x:row r="4209">
      <x:c r="A4209" s="5" t="str">
        <x:v>遑</x:v>
      </x:c>
      <x:c r="B4209" s="6" t="str">
        <x:v>平</x:v>
      </x:c>
      <x:c r="C4209" s="6" t="str">
        <x:f>IF(B4209="","Needs decision","Ready")</x:f>
        <x:v>Ready</x:v>
      </x:c>
      <x:c r="D4209" s="6" t="str">
        <x:v>平</x:v>
      </x:c>
      <x:c r="E4209" s="6" t="str">
        <x:v>hwang [匣合一唐平] ʁwɑŋ</x:v>
      </x:c>
      <x:c r="F4209" s="6" t="str">
        <x:v>下平聲七陽</x:v>
      </x:c>
      <x:c r="G4209" s="6" t="str">
        <x:v>Pingshui main list, Wikisource-derived DOCX</x:v>
      </x:c>
      <x:c r="H4209" s="6" t="str">
        <x:v>1</x:v>
      </x:c>
      <x:c r="I4209" s="6" t="str">
        <x:v>Targeted preliminary fill from Xun Gong; review if uncertain</x:v>
      </x:c>
      <x:c r="J4209" s="6" t="str">
        <x:f>IF(B4209="","",IF(AND(ISNUMBER(SEARCH("平",B4209)),OR(ISNUMBER(SEARCH("上",B4209)),ISNUMBER(SEARCH("去",B4209)),ISNUMBER(SEARCH("入",B4209)))),"Ambiguous",IF(ISNUMBER(SEARCH("平",B4209)),"平","仄")))</x:f>
        <x:v>平</x:v>
      </x:c>
      <x:c r="K4209" s="6" t="str">
        <x:f>IF(D4209="","",IF(AND(ISNUMBER(SEARCH("平",D4209)),OR(ISNUMBER(SEARCH("上",D4209)),ISNUMBER(SEARCH("去",D4209)),ISNUMBER(SEARCH("入",D4209)))),"Ambiguous",IF(ISNUMBER(SEARCH("平",D4209)),"平","仄")))</x:f>
        <x:v>平</x:v>
      </x:c>
      <x:c r="L4209" s="7" t="str">
        <x:v>Xun Gong character-readings.csv</x:v>
      </x:c>
    </x:row>
    <x:row r="4210">
      <x:c r="A4210" s="5" t="str">
        <x:v>遒</x:v>
      </x:c>
      <x:c r="B4210" s="6" t="str">
        <x:v>平</x:v>
      </x:c>
      <x:c r="C4210" s="6" t="str">
        <x:f>IF(B4210="","Needs decision","Ready")</x:f>
        <x:v>Ready</x:v>
      </x:c>
      <x:c r="D4210" s="6" t="str">
        <x:v>平</x:v>
      </x:c>
      <x:c r="E4210" s="6" t="str">
        <x:v>tsjuw (A)</x:v>
      </x:c>
      <x:c r="F4210" s="6" t="str">
        <x:v>下平聲十一尤</x:v>
      </x:c>
      <x:c r="G4210" s="6" t="str">
        <x:v>Pingshui main list, Wikisource-derived DOCX</x:v>
      </x:c>
      <x:c r="H4210" s="6" t="str">
        <x:v>1</x:v>
      </x:c>
      <x:c r="I4210" s="6" t="str"/>
      <x:c r="J4210" s="6" t="str">
        <x:f>IF(B4210="","",IF(AND(ISNUMBER(SEARCH("平",B4210)),OR(ISNUMBER(SEARCH("上",B4210)),ISNUMBER(SEARCH("去",B4210)),ISNUMBER(SEARCH("入",B4210)))),"Ambiguous",IF(ISNUMBER(SEARCH("平",B4210)),"平","仄")))</x:f>
        <x:v>平</x:v>
      </x:c>
      <x:c r="K4210" s="6" t="str">
        <x:f>IF(D4210="","",IF(AND(ISNUMBER(SEARCH("平",D4210)),OR(ISNUMBER(SEARCH("上",D4210)),ISNUMBER(SEARCH("去",D4210)),ISNUMBER(SEARCH("入",D4210)))),"Ambiguous",IF(ISNUMBER(SEARCH("平",D4210)),"平","仄")))</x:f>
        <x:v>平</x:v>
      </x:c>
      <x:c r="L4210" s="7" t="str"/>
    </x:row>
    <x:row r="4211">
      <x:c r="A4211" s="5" t="str">
        <x:v>道</x:v>
      </x:c>
      <x:c r="B4211" s="6" t="str">
        <x:v>上</x:v>
      </x:c>
      <x:c r="C4211" s="6" t="str">
        <x:f>IF(B4211="","Needs decision","Ready")</x:f>
        <x:v>Ready</x:v>
      </x:c>
      <x:c r="D4211" s="6" t="str">
        <x:v>上/去</x:v>
      </x:c>
      <x:c r="E4211" s="6" t="str">
        <x:v>dawH (C); dawX (B)</x:v>
      </x:c>
      <x:c r="F4211" s="6" t="str">
        <x:v>上聲十九皓</x:v>
      </x:c>
      <x:c r="G4211" s="6" t="str">
        <x:v>Pingshui main list, Wikisource-derived DOCX</x:v>
      </x:c>
      <x:c r="H4211" s="6" t="str">
        <x:v>2</x:v>
      </x:c>
      <x:c r="I4211" s="6" t="str">
        <x:v>User correction 2026-09-08</x:v>
      </x:c>
      <x:c r="J4211" s="6" t="str">
        <x:f>IF(B4211="","",IF(AND(ISNUMBER(SEARCH("平",B4211)),OR(ISNUMBER(SEARCH("上",B4211)),ISNUMBER(SEARCH("去",B4211)),ISNUMBER(SEARCH("入",B4211)))),"Ambiguous",IF(ISNUMBER(SEARCH("平",B4211)),"平","仄")))</x:f>
        <x:v>仄</x:v>
      </x:c>
      <x:c r="K4211" s="6" t="str">
        <x:f>IF(D4211="","",IF(AND(ISNUMBER(SEARCH("平",D4211)),OR(ISNUMBER(SEARCH("上",D4211)),ISNUMBER(SEARCH("去",D4211)),ISNUMBER(SEARCH("入",D4211)))),"Ambiguous",IF(ISNUMBER(SEARCH("平",D4211)),"平","仄")))</x:f>
        <x:v>仄</x:v>
      </x:c>
      <x:c r="L4211" s="7" t="str"/>
    </x:row>
    <x:row r="4212">
      <x:c r="A4212" s="5" t="str">
        <x:v>達</x:v>
      </x:c>
      <x:c r="B4212" s="6" t="str">
        <x:v>入</x:v>
      </x:c>
      <x:c r="C4212" s="6" t="str">
        <x:f>IF(B4212="","Needs decision","Ready")</x:f>
        <x:v>Ready</x:v>
      </x:c>
      <x:c r="D4212" s="6" t="str">
        <x:v>入</x:v>
      </x:c>
      <x:c r="E4212" s="6" t="str">
        <x:v>dat (D)</x:v>
      </x:c>
      <x:c r="F4212" s="6" t="str">
        <x:v>入聲七曷</x:v>
      </x:c>
      <x:c r="G4212" s="6" t="str">
        <x:v>Pingshui main list, Wikisource-derived DOCX</x:v>
      </x:c>
      <x:c r="H4212" s="6" t="str">
        <x:v>1</x:v>
      </x:c>
      <x:c r="I4212" s="6" t="str"/>
      <x:c r="J4212" s="6" t="str">
        <x:f>IF(B4212="","",IF(AND(ISNUMBER(SEARCH("平",B4212)),OR(ISNUMBER(SEARCH("上",B4212)),ISNUMBER(SEARCH("去",B4212)),ISNUMBER(SEARCH("入",B4212)))),"Ambiguous",IF(ISNUMBER(SEARCH("平",B4212)),"平","仄")))</x:f>
        <x:v>仄</x:v>
      </x:c>
      <x:c r="K4212" s="6" t="str">
        <x:f>IF(D4212="","",IF(AND(ISNUMBER(SEARCH("平",D4212)),OR(ISNUMBER(SEARCH("上",D4212)),ISNUMBER(SEARCH("去",D4212)),ISNUMBER(SEARCH("入",D4212)))),"Ambiguous",IF(ISNUMBER(SEARCH("平",D4212)),"平","仄")))</x:f>
        <x:v>仄</x:v>
      </x:c>
      <x:c r="L4212" s="7" t="str"/>
    </x:row>
    <x:row r="4213">
      <x:c r="A4213" s="5" t="str">
        <x:v>違</x:v>
      </x:c>
      <x:c r="B4213" s="6" t="str">
        <x:v>平</x:v>
      </x:c>
      <x:c r="C4213" s="6" t="str">
        <x:f>IF(B4213="","Needs decision","Ready")</x:f>
        <x:v>Ready</x:v>
      </x:c>
      <x:c r="D4213" s="6" t="str">
        <x:v>平</x:v>
      </x:c>
      <x:c r="E4213" s="6" t="str">
        <x:v>hjw+j (A)</x:v>
      </x:c>
      <x:c r="F4213" s="6" t="str">
        <x:v>上平聲五微</x:v>
      </x:c>
      <x:c r="G4213" s="6" t="str">
        <x:v>Pingshui main list, Wikisource-derived DOCX</x:v>
      </x:c>
      <x:c r="H4213" s="6" t="str">
        <x:v>1</x:v>
      </x:c>
      <x:c r="I4213" s="6" t="str"/>
      <x:c r="J4213" s="6" t="str">
        <x:f>IF(B4213="","",IF(AND(ISNUMBER(SEARCH("平",B4213)),OR(ISNUMBER(SEARCH("上",B4213)),ISNUMBER(SEARCH("去",B4213)),ISNUMBER(SEARCH("入",B4213)))),"Ambiguous",IF(ISNUMBER(SEARCH("平",B4213)),"平","仄")))</x:f>
        <x:v>平</x:v>
      </x:c>
      <x:c r="K4213" s="6" t="str">
        <x:f>IF(D4213="","",IF(AND(ISNUMBER(SEARCH("平",D4213)),OR(ISNUMBER(SEARCH("上",D4213)),ISNUMBER(SEARCH("去",D4213)),ISNUMBER(SEARCH("入",D4213)))),"Ambiguous",IF(ISNUMBER(SEARCH("平",D4213)),"平","仄")))</x:f>
        <x:v>平</x:v>
      </x:c>
      <x:c r="L4213" s="7" t="str"/>
    </x:row>
    <x:row r="4214">
      <x:c r="A4214" s="5" t="str">
        <x:v>遙</x:v>
      </x:c>
      <x:c r="B4214" s="6" t="str">
        <x:v>平</x:v>
      </x:c>
      <x:c r="C4214" s="6" t="str">
        <x:f>IF(B4214="","Needs decision","Ready")</x:f>
        <x:v>Ready</x:v>
      </x:c>
      <x:c r="D4214" s="6" t="str">
        <x:v>平</x:v>
      </x:c>
      <x:c r="E4214" s="6" t="str">
        <x:v>yew [以開三宵平] jew</x:v>
      </x:c>
      <x:c r="F4214" s="6" t="str">
        <x:v>下平聲二蕭</x:v>
      </x:c>
      <x:c r="G4214" s="6" t="str">
        <x:v>Pingshui main list, Wikisource-derived DOCX</x:v>
      </x:c>
      <x:c r="H4214" s="6" t="str">
        <x:v>1</x:v>
      </x:c>
      <x:c r="I4214" s="6" t="str">
        <x:v>Targeted preliminary fill from Xun Gong; review if uncertain</x:v>
      </x:c>
      <x:c r="J4214" s="6" t="str">
        <x:f>IF(B4214="","",IF(AND(ISNUMBER(SEARCH("平",B4214)),OR(ISNUMBER(SEARCH("上",B4214)),ISNUMBER(SEARCH("去",B4214)),ISNUMBER(SEARCH("入",B4214)))),"Ambiguous",IF(ISNUMBER(SEARCH("平",B4214)),"平","仄")))</x:f>
        <x:v>平</x:v>
      </x:c>
      <x:c r="K4214" s="6" t="str">
        <x:f>IF(D4214="","",IF(AND(ISNUMBER(SEARCH("平",D4214)),OR(ISNUMBER(SEARCH("上",D4214)),ISNUMBER(SEARCH("去",D4214)),ISNUMBER(SEARCH("入",D4214)))),"Ambiguous",IF(ISNUMBER(SEARCH("平",D4214)),"平","仄")))</x:f>
        <x:v>平</x:v>
      </x:c>
      <x:c r="L4214" s="7" t="str">
        <x:v>Xun Gong character-readings.csv</x:v>
      </x:c>
    </x:row>
    <x:row r="4215">
      <x:c r="A4215" s="5" t="str">
        <x:v>遝</x:v>
      </x:c>
      <x:c r="B4215" s="6" t="str">
        <x:v>入</x:v>
      </x:c>
      <x:c r="C4215" s="6" t="str">
        <x:f>IF(B4215="","Needs decision","Ready")</x:f>
        <x:v>Ready</x:v>
      </x:c>
      <x:c r="D4215" s="6" t="str">
        <x:v>入</x:v>
      </x:c>
      <x:c r="E4215" s="6" t="str">
        <x:v>dop (D)</x:v>
      </x:c>
      <x:c r="F4215" s="6" t="str">
        <x:v>入聲十五合</x:v>
      </x:c>
      <x:c r="G4215" s="6" t="str">
        <x:v>Pingshui main list, Wikisource-derived DOCX</x:v>
      </x:c>
      <x:c r="H4215" s="6" t="str">
        <x:v>1</x:v>
      </x:c>
      <x:c r="I4215" s="6" t="str"/>
      <x:c r="J4215" s="6" t="str">
        <x:f>IF(B4215="","",IF(AND(ISNUMBER(SEARCH("平",B4215)),OR(ISNUMBER(SEARCH("上",B4215)),ISNUMBER(SEARCH("去",B4215)),ISNUMBER(SEARCH("入",B4215)))),"Ambiguous",IF(ISNUMBER(SEARCH("平",B4215)),"平","仄")))</x:f>
        <x:v>仄</x:v>
      </x:c>
      <x:c r="K4215" s="6" t="str">
        <x:f>IF(D4215="","",IF(AND(ISNUMBER(SEARCH("平",D4215)),OR(ISNUMBER(SEARCH("上",D4215)),ISNUMBER(SEARCH("去",D4215)),ISNUMBER(SEARCH("入",D4215)))),"Ambiguous",IF(ISNUMBER(SEARCH("平",D4215)),"平","仄")))</x:f>
        <x:v>仄</x:v>
      </x:c>
      <x:c r="L4215" s="7" t="str"/>
    </x:row>
    <x:row r="4216">
      <x:c r="A4216" s="5" t="str">
        <x:v>遞</x:v>
      </x:c>
      <x:c r="B4216" s="6" t="str">
        <x:v>上</x:v>
      </x:c>
      <x:c r="C4216" s="6" t="str">
        <x:f>IF(B4216="","Needs decision","Ready")</x:f>
        <x:v>Ready</x:v>
      </x:c>
      <x:c r="D4216" s="6" t="str">
        <x:v>上</x:v>
      </x:c>
      <x:c r="E4216" s="6" t="str">
        <x:v>dejX (B)</x:v>
      </x:c>
      <x:c r="F4216" s="6" t="str">
        <x:v>上聲八薺; 去聲八霽</x:v>
      </x:c>
      <x:c r="G4216" s="6" t="str">
        <x:v>Pingshui main list, Wikisource-derived DOCX</x:v>
      </x:c>
      <x:c r="H4216" s="6" t="str">
        <x:v>1</x:v>
      </x:c>
      <x:c r="I4216" s="6" t="str"/>
      <x:c r="J4216" s="6" t="str">
        <x:f>IF(B4216="","",IF(AND(ISNUMBER(SEARCH("平",B4216)),OR(ISNUMBER(SEARCH("上",B4216)),ISNUMBER(SEARCH("去",B4216)),ISNUMBER(SEARCH("入",B4216)))),"Ambiguous",IF(ISNUMBER(SEARCH("平",B4216)),"平","仄")))</x:f>
        <x:v>仄</x:v>
      </x:c>
      <x:c r="K4216" s="6" t="str">
        <x:f>IF(D4216="","",IF(AND(ISNUMBER(SEARCH("平",D4216)),OR(ISNUMBER(SEARCH("上",D4216)),ISNUMBER(SEARCH("去",D4216)),ISNUMBER(SEARCH("入",D4216)))),"Ambiguous",IF(ISNUMBER(SEARCH("平",D4216)),"平","仄")))</x:f>
        <x:v>仄</x:v>
      </x:c>
      <x:c r="L4216" s="7" t="str"/>
    </x:row>
    <x:row r="4217">
      <x:c r="A4217" s="5" t="str">
        <x:v>遟</x:v>
      </x:c>
      <x:c r="B4217" s="6" t="str">
        <x:v>平</x:v>
      </x:c>
      <x:c r="C4217" s="6" t="str">
        <x:f>IF(B4217="","Needs decision","Ready")</x:f>
        <x:v>Ready</x:v>
      </x:c>
      <x:c r="D4217" s="6" t="str">
        <x:v>平</x:v>
      </x:c>
      <x:c r="E4217" s="6" t="str">
        <x:v>drij (A)</x:v>
      </x:c>
      <x:c r="F4217" s="6" t="str"/>
      <x:c r="G4217" s="6" t="str"/>
      <x:c r="H4217" s="6" t="str">
        <x:v>1</x:v>
      </x:c>
      <x:c r="I4217" s="6" t="str"/>
      <x:c r="J4217" s="6" t="str">
        <x:f>IF(B4217="","",IF(AND(ISNUMBER(SEARCH("平",B4217)),OR(ISNUMBER(SEARCH("上",B4217)),ISNUMBER(SEARCH("去",B4217)),ISNUMBER(SEARCH("入",B4217)))),"Ambiguous",IF(ISNUMBER(SEARCH("平",B4217)),"平","仄")))</x:f>
        <x:v>平</x:v>
      </x:c>
      <x:c r="K4217" s="6" t="str">
        <x:f>IF(D4217="","",IF(AND(ISNUMBER(SEARCH("平",D4217)),OR(ISNUMBER(SEARCH("上",D4217)),ISNUMBER(SEARCH("去",D4217)),ISNUMBER(SEARCH("入",D4217)))),"Ambiguous",IF(ISNUMBER(SEARCH("平",D4217)),"平","仄")))</x:f>
        <x:v>平</x:v>
      </x:c>
      <x:c r="L4217" s="7" t="str"/>
    </x:row>
    <x:row r="4218">
      <x:c r="A4218" s="5" t="str">
        <x:v>遠</x:v>
      </x:c>
      <x:c r="B4218" s="6" t="str">
        <x:v>上</x:v>
      </x:c>
      <x:c r="C4218" s="6" t="str">
        <x:f>IF(B4218="","Needs decision","Ready")</x:f>
        <x:v>Ready</x:v>
      </x:c>
      <x:c r="D4218" s="6" t="str">
        <x:v>上</x:v>
      </x:c>
      <x:c r="E4218" s="6" t="str">
        <x:v>hjwonX (B)</x:v>
      </x:c>
      <x:c r="F4218" s="6" t="str">
        <x:v>上聲十三阮; 去聲十四願</x:v>
      </x:c>
      <x:c r="G4218" s="6" t="str">
        <x:v>Pingshui main list, Wikisource-derived DOCX</x:v>
      </x:c>
      <x:c r="H4218" s="6" t="str">
        <x:v>1</x:v>
      </x:c>
      <x:c r="I4218" s="6" t="str"/>
      <x:c r="J4218" s="6" t="str">
        <x:f>IF(B4218="","",IF(AND(ISNUMBER(SEARCH("平",B4218)),OR(ISNUMBER(SEARCH("上",B4218)),ISNUMBER(SEARCH("去",B4218)),ISNUMBER(SEARCH("入",B4218)))),"Ambiguous",IF(ISNUMBER(SEARCH("平",B4218)),"平","仄")))</x:f>
        <x:v>仄</x:v>
      </x:c>
      <x:c r="K4218" s="6" t="str">
        <x:f>IF(D4218="","",IF(AND(ISNUMBER(SEARCH("平",D4218)),OR(ISNUMBER(SEARCH("上",D4218)),ISNUMBER(SEARCH("去",D4218)),ISNUMBER(SEARCH("入",D4218)))),"Ambiguous",IF(ISNUMBER(SEARCH("平",D4218)),"平","仄")))</x:f>
        <x:v>仄</x:v>
      </x:c>
      <x:c r="L4218" s="7" t="str"/>
    </x:row>
    <x:row r="4219">
      <x:c r="A4219" s="5" t="str">
        <x:v>遡</x:v>
      </x:c>
      <x:c r="B4219" s="6" t="str">
        <x:v>去</x:v>
      </x:c>
      <x:c r="C4219" s="6" t="str">
        <x:f>IF(B4219="","Needs decision","Ready")</x:f>
        <x:v>Ready</x:v>
      </x:c>
      <x:c r="D4219" s="6" t="str">
        <x:v>去</x:v>
      </x:c>
      <x:c r="E4219" s="6" t="str">
        <x:v>suH (C)</x:v>
      </x:c>
      <x:c r="F4219" s="6" t="str"/>
      <x:c r="G4219" s="6" t="str"/>
      <x:c r="H4219" s="6" t="str">
        <x:v>1</x:v>
      </x:c>
      <x:c r="I4219" s="6" t="str"/>
      <x:c r="J4219" s="6" t="str">
        <x:f>IF(B4219="","",IF(AND(ISNUMBER(SEARCH("平",B4219)),OR(ISNUMBER(SEARCH("上",B4219)),ISNUMBER(SEARCH("去",B4219)),ISNUMBER(SEARCH("入",B4219)))),"Ambiguous",IF(ISNUMBER(SEARCH("平",B4219)),"平","仄")))</x:f>
        <x:v>仄</x:v>
      </x:c>
      <x:c r="K4219" s="6" t="str">
        <x:f>IF(D4219="","",IF(AND(ISNUMBER(SEARCH("平",D4219)),OR(ISNUMBER(SEARCH("上",D4219)),ISNUMBER(SEARCH("去",D4219)),ISNUMBER(SEARCH("入",D4219)))),"Ambiguous",IF(ISNUMBER(SEARCH("平",D4219)),"平","仄")))</x:f>
        <x:v>仄</x:v>
      </x:c>
      <x:c r="L4219" s="7" t="str"/>
    </x:row>
    <x:row r="4220">
      <x:c r="A4220" s="5" t="str">
        <x:v>遣</x:v>
      </x:c>
      <x:c r="B4220" s="6" t="str"/>
      <x:c r="C4220" s="6" t="str">
        <x:f>IF(B4220="","Needs decision","Ready")</x:f>
        <x:v>Needs decision</x:v>
      </x:c>
      <x:c r="D4220" s="6" t="str">
        <x:v>上/去</x:v>
      </x:c>
      <x:c r="E4220" s="6" t="str">
        <x:v>khjienX (B); khjienH (C)</x:v>
      </x:c>
      <x:c r="F4220" s="6" t="str">
        <x:v>上聲十六銑; 去聲十七霰</x:v>
      </x:c>
      <x:c r="G4220" s="6" t="str">
        <x:v>Pingshui main list, Wikisource-derived DOCX</x:v>
      </x:c>
      <x:c r="H4220" s="6" t="str">
        <x:v>2</x:v>
      </x:c>
      <x:c r="I4220" s="6" t="str"/>
      <x:c r="J4220" s="6" t="str">
        <x:f>IF(B4220="","",IF(AND(ISNUMBER(SEARCH("平",B4220)),OR(ISNUMBER(SEARCH("上",B4220)),ISNUMBER(SEARCH("去",B4220)),ISNUMBER(SEARCH("入",B4220)))),"Ambiguous",IF(ISNUMBER(SEARCH("平",B4220)),"平","仄")))</x:f>
      </x:c>
      <x:c r="K4220" s="6" t="str">
        <x:f>IF(D4220="","",IF(AND(ISNUMBER(SEARCH("平",D4220)),OR(ISNUMBER(SEARCH("上",D4220)),ISNUMBER(SEARCH("去",D4220)),ISNUMBER(SEARCH("入",D4220)))),"Ambiguous",IF(ISNUMBER(SEARCH("平",D4220)),"平","仄")))</x:f>
        <x:v>仄</x:v>
      </x:c>
      <x:c r="L4220" s="7" t="str"/>
    </x:row>
    <x:row r="4221">
      <x:c r="A4221" s="5" t="str">
        <x:v>遨</x:v>
      </x:c>
      <x:c r="B4221" s="6" t="str">
        <x:v>平</x:v>
      </x:c>
      <x:c r="C4221" s="6" t="str">
        <x:f>IF(B4221="","Needs decision","Ready")</x:f>
        <x:v>Ready</x:v>
      </x:c>
      <x:c r="D4221" s="6" t="str">
        <x:v>平</x:v>
      </x:c>
      <x:c r="E4221" s="6" t="str"/>
      <x:c r="F4221" s="6" t="str"/>
      <x:c r="G4221" s="6" t="str"/>
      <x:c r="H4221" s="6" t="str">
        <x:v>0</x:v>
      </x:c>
      <x:c r="I4221" s="6" t="str">
        <x:v>User correction 2026-09-08; added manually</x:v>
      </x:c>
      <x:c r="J4221" s="6" t="str">
        <x:f>IF(B4221="","",IF(AND(ISNUMBER(SEARCH("平",B4221)),OR(ISNUMBER(SEARCH("上",B4221)),ISNUMBER(SEARCH("去",B4221)),ISNUMBER(SEARCH("入",B4221)))),"Ambiguous",IF(ISNUMBER(SEARCH("平",B4221)),"平","仄")))</x:f>
        <x:v>平</x:v>
      </x:c>
      <x:c r="K4221" s="6" t="str">
        <x:f>IF(D4221="","",IF(AND(ISNUMBER(SEARCH("平",D4221)),OR(ISNUMBER(SEARCH("上",D4221)),ISNUMBER(SEARCH("去",D4221)),ISNUMBER(SEARCH("入",D4221)))),"Ambiguous",IF(ISNUMBER(SEARCH("平",D4221)),"平","仄")))</x:f>
        <x:v>平</x:v>
      </x:c>
      <x:c r="L4221" s="7" t="str">
        <x:v>User correction</x:v>
      </x:c>
    </x:row>
    <x:row r="4222">
      <x:c r="A4222" s="5" t="str">
        <x:v>適</x:v>
      </x:c>
      <x:c r="B4222" s="6" t="str">
        <x:v>入</x:v>
      </x:c>
      <x:c r="C4222" s="6" t="str">
        <x:f>IF(B4222="","Needs decision","Ready")</x:f>
        <x:v>Ready</x:v>
      </x:c>
      <x:c r="D4222" s="6" t="str">
        <x:v>入</x:v>
      </x:c>
      <x:c r="E4222" s="6" t="str">
        <x:v>syek (D); tsyek (D)</x:v>
      </x:c>
      <x:c r="F4222" s="6" t="str">
        <x:v>入聲七曷; 入聲十一陌; 入聲十二錫</x:v>
      </x:c>
      <x:c r="G4222" s="6" t="str">
        <x:v>Pingshui main list, Wikisource-derived DOCX</x:v>
      </x:c>
      <x:c r="H4222" s="6" t="str">
        <x:v>2</x:v>
      </x:c>
      <x:c r="I4222" s="6" t="str"/>
      <x:c r="J4222" s="6" t="str">
        <x:f>IF(B4222="","",IF(AND(ISNUMBER(SEARCH("平",B4222)),OR(ISNUMBER(SEARCH("上",B4222)),ISNUMBER(SEARCH("去",B4222)),ISNUMBER(SEARCH("入",B4222)))),"Ambiguous",IF(ISNUMBER(SEARCH("平",B4222)),"平","仄")))</x:f>
        <x:v>仄</x:v>
      </x:c>
      <x:c r="K4222" s="6" t="str">
        <x:f>IF(D4222="","",IF(AND(ISNUMBER(SEARCH("平",D4222)),OR(ISNUMBER(SEARCH("上",D4222)),ISNUMBER(SEARCH("去",D4222)),ISNUMBER(SEARCH("入",D4222)))),"Ambiguous",IF(ISNUMBER(SEARCH("平",D4222)),"平","仄")))</x:f>
        <x:v>仄</x:v>
      </x:c>
      <x:c r="L4222" s="7" t="str"/>
    </x:row>
    <x:row r="4223">
      <x:c r="A4223" s="5" t="str">
        <x:v>遭</x:v>
      </x:c>
      <x:c r="B4223" s="6" t="str">
        <x:v>平</x:v>
      </x:c>
      <x:c r="C4223" s="6" t="str">
        <x:f>IF(B4223="","Needs decision","Ready")</x:f>
        <x:v>Ready</x:v>
      </x:c>
      <x:c r="D4223" s="6" t="str">
        <x:v>平</x:v>
      </x:c>
      <x:c r="E4223" s="6" t="str">
        <x:v>tsaw (A)</x:v>
      </x:c>
      <x:c r="F4223" s="6" t="str">
        <x:v>下平聲四豪</x:v>
      </x:c>
      <x:c r="G4223" s="6" t="str">
        <x:v>Pingshui main list, Wikisource-derived DOCX</x:v>
      </x:c>
      <x:c r="H4223" s="6" t="str">
        <x:v>1</x:v>
      </x:c>
      <x:c r="I4223" s="6" t="str"/>
      <x:c r="J4223" s="6" t="str">
        <x:f>IF(B4223="","",IF(AND(ISNUMBER(SEARCH("平",B4223)),OR(ISNUMBER(SEARCH("上",B4223)),ISNUMBER(SEARCH("去",B4223)),ISNUMBER(SEARCH("入",B4223)))),"Ambiguous",IF(ISNUMBER(SEARCH("平",B4223)),"平","仄")))</x:f>
        <x:v>平</x:v>
      </x:c>
      <x:c r="K4223" s="6" t="str">
        <x:f>IF(D4223="","",IF(AND(ISNUMBER(SEARCH("平",D4223)),OR(ISNUMBER(SEARCH("上",D4223)),ISNUMBER(SEARCH("去",D4223)),ISNUMBER(SEARCH("入",D4223)))),"Ambiguous",IF(ISNUMBER(SEARCH("平",D4223)),"平","仄")))</x:f>
        <x:v>平</x:v>
      </x:c>
      <x:c r="L4223" s="7" t="str"/>
    </x:row>
    <x:row r="4224">
      <x:c r="A4224" s="5" t="str">
        <x:v>遮</x:v>
      </x:c>
      <x:c r="B4224" s="6" t="str">
        <x:v>平</x:v>
      </x:c>
      <x:c r="C4224" s="6" t="str">
        <x:f>IF(B4224="","Needs decision","Ready")</x:f>
        <x:v>Ready</x:v>
      </x:c>
      <x:c r="D4224" s="6" t="str">
        <x:v>平</x:v>
      </x:c>
      <x:c r="E4224" s="6" t="str">
        <x:v>tsyae (A)</x:v>
      </x:c>
      <x:c r="F4224" s="6" t="str">
        <x:v>下平聲六麻</x:v>
      </x:c>
      <x:c r="G4224" s="6" t="str">
        <x:v>Pingshui main list, Wikisource-derived DOCX</x:v>
      </x:c>
      <x:c r="H4224" s="6" t="str">
        <x:v>1</x:v>
      </x:c>
      <x:c r="I4224" s="6" t="str"/>
      <x:c r="J4224" s="6" t="str">
        <x:f>IF(B4224="","",IF(AND(ISNUMBER(SEARCH("平",B4224)),OR(ISNUMBER(SEARCH("上",B4224)),ISNUMBER(SEARCH("去",B4224)),ISNUMBER(SEARCH("入",B4224)))),"Ambiguous",IF(ISNUMBER(SEARCH("平",B4224)),"平","仄")))</x:f>
        <x:v>平</x:v>
      </x:c>
      <x:c r="K4224" s="6" t="str">
        <x:f>IF(D4224="","",IF(AND(ISNUMBER(SEARCH("平",D4224)),OR(ISNUMBER(SEARCH("上",D4224)),ISNUMBER(SEARCH("去",D4224)),ISNUMBER(SEARCH("入",D4224)))),"Ambiguous",IF(ISNUMBER(SEARCH("平",D4224)),"平","仄")))</x:f>
        <x:v>平</x:v>
      </x:c>
      <x:c r="L4224" s="7" t="str"/>
    </x:row>
    <x:row r="4225">
      <x:c r="A4225" s="5" t="str">
        <x:v>遯</x:v>
      </x:c>
      <x:c r="B4225" s="6" t="str"/>
      <x:c r="C4225" s="6" t="str">
        <x:f>IF(B4225="","Needs decision","Ready")</x:f>
        <x:v>Needs decision</x:v>
      </x:c>
      <x:c r="D4225" s="6" t="str">
        <x:v>上/去</x:v>
      </x:c>
      <x:c r="E4225" s="6" t="str">
        <x:v>dwonX (B); dwonH (C)</x:v>
      </x:c>
      <x:c r="F4225" s="6" t="str">
        <x:v>上聲十三阮; 去聲十四願</x:v>
      </x:c>
      <x:c r="G4225" s="6" t="str">
        <x:v>Pingshui main list, Wikisource-derived DOCX</x:v>
      </x:c>
      <x:c r="H4225" s="6" t="str">
        <x:v>2</x:v>
      </x:c>
      <x:c r="I4225" s="6" t="str"/>
      <x:c r="J4225" s="6" t="str">
        <x:f>IF(B4225="","",IF(AND(ISNUMBER(SEARCH("平",B4225)),OR(ISNUMBER(SEARCH("上",B4225)),ISNUMBER(SEARCH("去",B4225)),ISNUMBER(SEARCH("入",B4225)))),"Ambiguous",IF(ISNUMBER(SEARCH("平",B4225)),"平","仄")))</x:f>
      </x:c>
      <x:c r="K4225" s="6" t="str">
        <x:f>IF(D4225="","",IF(AND(ISNUMBER(SEARCH("平",D4225)),OR(ISNUMBER(SEARCH("上",D4225)),ISNUMBER(SEARCH("去",D4225)),ISNUMBER(SEARCH("入",D4225)))),"Ambiguous",IF(ISNUMBER(SEARCH("平",D4225)),"平","仄")))</x:f>
        <x:v>仄</x:v>
      </x:c>
      <x:c r="L4225" s="7" t="str"/>
    </x:row>
    <x:row r="4226">
      <x:c r="A4226" s="5" t="str">
        <x:v>遲</x:v>
      </x:c>
      <x:c r="B4226" s="6" t="str">
        <x:v>平</x:v>
      </x:c>
      <x:c r="C4226" s="6" t="str">
        <x:f>IF(B4226="","Needs decision","Ready")</x:f>
        <x:v>Ready</x:v>
      </x:c>
      <x:c r="D4226" s="6" t="str">
        <x:v>平</x:v>
      </x:c>
      <x:c r="E4226" s="6" t="str">
        <x:v>drij (A)</x:v>
      </x:c>
      <x:c r="F4226" s="6" t="str">
        <x:v>上平聲四支; 去聲四寘</x:v>
      </x:c>
      <x:c r="G4226" s="6" t="str">
        <x:v>Pingshui main list, Wikisource-derived DOCX</x:v>
      </x:c>
      <x:c r="H4226" s="6" t="str">
        <x:v>1</x:v>
      </x:c>
      <x:c r="I4226" s="6" t="str"/>
      <x:c r="J4226" s="6" t="str">
        <x:f>IF(B4226="","",IF(AND(ISNUMBER(SEARCH("平",B4226)),OR(ISNUMBER(SEARCH("上",B4226)),ISNUMBER(SEARCH("去",B4226)),ISNUMBER(SEARCH("入",B4226)))),"Ambiguous",IF(ISNUMBER(SEARCH("平",B4226)),"平","仄")))</x:f>
        <x:v>平</x:v>
      </x:c>
      <x:c r="K4226" s="6" t="str">
        <x:f>IF(D4226="","",IF(AND(ISNUMBER(SEARCH("平",D4226)),OR(ISNUMBER(SEARCH("上",D4226)),ISNUMBER(SEARCH("去",D4226)),ISNUMBER(SEARCH("入",D4226)))),"Ambiguous",IF(ISNUMBER(SEARCH("平",D4226)),"平","仄")))</x:f>
        <x:v>平</x:v>
      </x:c>
      <x:c r="L4226" s="7" t="str"/>
    </x:row>
    <x:row r="4227">
      <x:c r="A4227" s="5" t="str">
        <x:v>遵</x:v>
      </x:c>
      <x:c r="B4227" s="6" t="str">
        <x:v>平</x:v>
      </x:c>
      <x:c r="C4227" s="6" t="str">
        <x:f>IF(B4227="","Needs decision","Ready")</x:f>
        <x:v>Ready</x:v>
      </x:c>
      <x:c r="D4227" s="6" t="str">
        <x:v>平</x:v>
      </x:c>
      <x:c r="E4227" s="6" t="str">
        <x:v>tswin (A)</x:v>
      </x:c>
      <x:c r="F4227" s="6" t="str">
        <x:v>上平聲十一真</x:v>
      </x:c>
      <x:c r="G4227" s="6" t="str">
        <x:v>Pingshui main list, Wikisource-derived DOCX</x:v>
      </x:c>
      <x:c r="H4227" s="6" t="str">
        <x:v>1</x:v>
      </x:c>
      <x:c r="I4227" s="6" t="str"/>
      <x:c r="J4227" s="6" t="str">
        <x:f>IF(B4227="","",IF(AND(ISNUMBER(SEARCH("平",B4227)),OR(ISNUMBER(SEARCH("上",B4227)),ISNUMBER(SEARCH("去",B4227)),ISNUMBER(SEARCH("入",B4227)))),"Ambiguous",IF(ISNUMBER(SEARCH("平",B4227)),"平","仄")))</x:f>
        <x:v>平</x:v>
      </x:c>
      <x:c r="K4227" s="6" t="str">
        <x:f>IF(D4227="","",IF(AND(ISNUMBER(SEARCH("平",D4227)),OR(ISNUMBER(SEARCH("上",D4227)),ISNUMBER(SEARCH("去",D4227)),ISNUMBER(SEARCH("入",D4227)))),"Ambiguous",IF(ISNUMBER(SEARCH("平",D4227)),"平","仄")))</x:f>
        <x:v>平</x:v>
      </x:c>
      <x:c r="L4227" s="7" t="str"/>
    </x:row>
    <x:row r="4228">
      <x:c r="A4228" s="5" t="str">
        <x:v>遷</x:v>
      </x:c>
      <x:c r="B4228" s="6" t="str">
        <x:v>平</x:v>
      </x:c>
      <x:c r="C4228" s="6" t="str">
        <x:f>IF(B4228="","Needs decision","Ready")</x:f>
        <x:v>Ready</x:v>
      </x:c>
      <x:c r="D4228" s="6" t="str">
        <x:v>平</x:v>
      </x:c>
      <x:c r="E4228" s="6" t="str">
        <x:v>tshjen (A)</x:v>
      </x:c>
      <x:c r="F4228" s="6" t="str">
        <x:v>下平聲一先</x:v>
      </x:c>
      <x:c r="G4228" s="6" t="str">
        <x:v>Pingshui main list, Wikisource-derived DOCX</x:v>
      </x:c>
      <x:c r="H4228" s="6" t="str">
        <x:v>1</x:v>
      </x:c>
      <x:c r="I4228" s="6" t="str"/>
      <x:c r="J4228" s="6" t="str">
        <x:f>IF(B4228="","",IF(AND(ISNUMBER(SEARCH("平",B4228)),OR(ISNUMBER(SEARCH("上",B4228)),ISNUMBER(SEARCH("去",B4228)),ISNUMBER(SEARCH("入",B4228)))),"Ambiguous",IF(ISNUMBER(SEARCH("平",B4228)),"平","仄")))</x:f>
        <x:v>平</x:v>
      </x:c>
      <x:c r="K4228" s="6" t="str">
        <x:f>IF(D4228="","",IF(AND(ISNUMBER(SEARCH("平",D4228)),OR(ISNUMBER(SEARCH("上",D4228)),ISNUMBER(SEARCH("去",D4228)),ISNUMBER(SEARCH("入",D4228)))),"Ambiguous",IF(ISNUMBER(SEARCH("平",D4228)),"平","仄")))</x:f>
        <x:v>平</x:v>
      </x:c>
      <x:c r="L4228" s="7" t="str"/>
    </x:row>
    <x:row r="4229">
      <x:c r="A4229" s="5" t="str">
        <x:v>選</x:v>
      </x:c>
      <x:c r="B4229" s="6" t="str">
        <x:v>上</x:v>
      </x:c>
      <x:c r="C4229" s="6" t="str">
        <x:f>IF(B4229="","Needs decision","Ready")</x:f>
        <x:v>Ready</x:v>
      </x:c>
      <x:c r="D4229" s="6" t="str">
        <x:v>上/去</x:v>
      </x:c>
      <x:c r="E4229" s="6" t="str">
        <x:v>sjwenX (B); sjwenH (C)</x:v>
      </x:c>
      <x:c r="F4229" s="6" t="str">
        <x:v>上聲十六銑; 去聲十七霰</x:v>
      </x:c>
      <x:c r="G4229" s="6" t="str">
        <x:v>Pingshui main list, Wikisource-derived DOCX</x:v>
      </x:c>
      <x:c r="H4229" s="6" t="str">
        <x:v>2</x:v>
      </x:c>
      <x:c r="I4229" s="6" t="str">
        <x:v>User workbook edit 2026-09-03</x:v>
      </x:c>
      <x:c r="J4229" s="6" t="str">
        <x:f>IF(B4229="","",IF(AND(ISNUMBER(SEARCH("平",B4229)),OR(ISNUMBER(SEARCH("上",B4229)),ISNUMBER(SEARCH("去",B4229)),ISNUMBER(SEARCH("入",B4229)))),"Ambiguous",IF(ISNUMBER(SEARCH("平",B4229)),"平","仄")))</x:f>
        <x:v>仄</x:v>
      </x:c>
      <x:c r="K4229" s="6" t="str">
        <x:f>IF(D4229="","",IF(AND(ISNUMBER(SEARCH("平",D4229)),OR(ISNUMBER(SEARCH("上",D4229)),ISNUMBER(SEARCH("去",D4229)),ISNUMBER(SEARCH("入",D4229)))),"Ambiguous",IF(ISNUMBER(SEARCH("平",D4229)),"平","仄")))</x:f>
        <x:v>仄</x:v>
      </x:c>
      <x:c r="L4229" s="7" t="str">
        <x:v>manual user correction</x:v>
      </x:c>
    </x:row>
    <x:row r="4230">
      <x:c r="A4230" s="5" t="str">
        <x:v>遹</x:v>
      </x:c>
      <x:c r="B4230" s="6" t="str">
        <x:v>入</x:v>
      </x:c>
      <x:c r="C4230" s="6" t="str">
        <x:f>IF(B4230="","Needs decision","Ready")</x:f>
        <x:v>Ready</x:v>
      </x:c>
      <x:c r="D4230" s="6" t="str">
        <x:v>入</x:v>
      </x:c>
      <x:c r="E4230" s="6" t="str">
        <x:v>ywit (D)</x:v>
      </x:c>
      <x:c r="F4230" s="6" t="str">
        <x:v>入聲四質</x:v>
      </x:c>
      <x:c r="G4230" s="6" t="str">
        <x:v>Pingshui main list, Wikisource-derived DOCX</x:v>
      </x:c>
      <x:c r="H4230" s="6" t="str">
        <x:v>1</x:v>
      </x:c>
      <x:c r="I4230" s="6" t="str"/>
      <x:c r="J4230" s="6" t="str">
        <x:f>IF(B4230="","",IF(AND(ISNUMBER(SEARCH("平",B4230)),OR(ISNUMBER(SEARCH("上",B4230)),ISNUMBER(SEARCH("去",B4230)),ISNUMBER(SEARCH("入",B4230)))),"Ambiguous",IF(ISNUMBER(SEARCH("平",B4230)),"平","仄")))</x:f>
        <x:v>仄</x:v>
      </x:c>
      <x:c r="K4230" s="6" t="str">
        <x:f>IF(D4230="","",IF(AND(ISNUMBER(SEARCH("平",D4230)),OR(ISNUMBER(SEARCH("上",D4230)),ISNUMBER(SEARCH("去",D4230)),ISNUMBER(SEARCH("入",D4230)))),"Ambiguous",IF(ISNUMBER(SEARCH("平",D4230)),"平","仄")))</x:f>
        <x:v>仄</x:v>
      </x:c>
      <x:c r="L4230" s="7" t="str"/>
    </x:row>
    <x:row r="4231">
      <x:c r="A4231" s="5" t="str">
        <x:v>遺</x:v>
      </x:c>
      <x:c r="B4231" s="6" t="str">
        <x:v>平</x:v>
      </x:c>
      <x:c r="C4231" s="6" t="str">
        <x:f>IF(B4231="","Needs decision","Ready")</x:f>
        <x:v>Ready</x:v>
      </x:c>
      <x:c r="D4231" s="6" t="str">
        <x:v>平/去</x:v>
      </x:c>
      <x:c r="E4231" s="6" t="str">
        <x:v>ywijH (C); ywij (A)</x:v>
      </x:c>
      <x:c r="F4231" s="6" t="str">
        <x:v>上平聲四支; 去聲四寘</x:v>
      </x:c>
      <x:c r="G4231" s="6" t="str">
        <x:v>Pingshui main list, Wikisource-derived DOCX</x:v>
      </x:c>
      <x:c r="H4231" s="6" t="str">
        <x:v>2</x:v>
      </x:c>
      <x:c r="I4231" s="6" t="str"/>
      <x:c r="J4231" s="6" t="str">
        <x:f>IF(B4231="","",IF(AND(ISNUMBER(SEARCH("平",B4231)),OR(ISNUMBER(SEARCH("上",B4231)),ISNUMBER(SEARCH("去",B4231)),ISNUMBER(SEARCH("入",B4231)))),"Ambiguous",IF(ISNUMBER(SEARCH("平",B4231)),"平","仄")))</x:f>
        <x:v>平</x:v>
      </x:c>
      <x:c r="K4231" s="6" t="str">
        <x:f>IF(D4231="","",IF(AND(ISNUMBER(SEARCH("平",D4231)),OR(ISNUMBER(SEARCH("上",D4231)),ISNUMBER(SEARCH("去",D4231)),ISNUMBER(SEARCH("入",D4231)))),"Ambiguous",IF(ISNUMBER(SEARCH("平",D4231)),"平","仄")))</x:f>
        <x:v>Ambiguous</x:v>
      </x:c>
      <x:c r="L4231" s="7" t="str"/>
    </x:row>
    <x:row r="4232">
      <x:c r="A4232" s="5" t="str">
        <x:v>遻</x:v>
      </x:c>
      <x:c r="B4232" s="6" t="str">
        <x:v>去</x:v>
      </x:c>
      <x:c r="C4232" s="6" t="str">
        <x:f>IF(B4232="","Needs decision","Ready")</x:f>
        <x:v>Ready</x:v>
      </x:c>
      <x:c r="D4232" s="6" t="str">
        <x:v>去</x:v>
      </x:c>
      <x:c r="E4232" s="6" t="str">
        <x:v>nguH (C)</x:v>
      </x:c>
      <x:c r="F4232" s="6" t="str"/>
      <x:c r="G4232" s="6" t="str"/>
      <x:c r="H4232" s="6" t="str">
        <x:v>1</x:v>
      </x:c>
      <x:c r="I4232" s="6" t="str"/>
      <x:c r="J4232" s="6" t="str">
        <x:f>IF(B4232="","",IF(AND(ISNUMBER(SEARCH("平",B4232)),OR(ISNUMBER(SEARCH("上",B4232)),ISNUMBER(SEARCH("去",B4232)),ISNUMBER(SEARCH("入",B4232)))),"Ambiguous",IF(ISNUMBER(SEARCH("平",B4232)),"平","仄")))</x:f>
        <x:v>仄</x:v>
      </x:c>
      <x:c r="K4232" s="6" t="str">
        <x:f>IF(D4232="","",IF(AND(ISNUMBER(SEARCH("平",D4232)),OR(ISNUMBER(SEARCH("上",D4232)),ISNUMBER(SEARCH("去",D4232)),ISNUMBER(SEARCH("入",D4232)))),"Ambiguous",IF(ISNUMBER(SEARCH("平",D4232)),"平","仄")))</x:f>
        <x:v>仄</x:v>
      </x:c>
      <x:c r="L4232" s="7" t="str"/>
    </x:row>
    <x:row r="4233">
      <x:c r="A4233" s="5" t="str">
        <x:v>遼</x:v>
      </x:c>
      <x:c r="B4233" s="6" t="str">
        <x:v>平</x:v>
      </x:c>
      <x:c r="C4233" s="6" t="str">
        <x:f>IF(B4233="","Needs decision","Ready")</x:f>
        <x:v>Ready</x:v>
      </x:c>
      <x:c r="D4233" s="6" t="str">
        <x:v>平</x:v>
      </x:c>
      <x:c r="E4233" s="6" t="str"/>
      <x:c r="F4233" s="6" t="str">
        <x:v>下平聲二蕭</x:v>
      </x:c>
      <x:c r="G4233" s="6" t="str">
        <x:v>Pingshui main list, Wikisource-derived DOCX</x:v>
      </x:c>
      <x:c r="H4233" s="6" t="str"/>
      <x:c r="I4233" s="6" t="str">
        <x:v>Manual user correction/addition</x:v>
      </x:c>
      <x:c r="J4233" s="6" t="str">
        <x:f>IF(B4233="","",IF(AND(ISNUMBER(SEARCH("平",B4233)),OR(ISNUMBER(SEARCH("上",B4233)),ISNUMBER(SEARCH("去",B4233)),ISNUMBER(SEARCH("入",B4233)))),"Ambiguous",IF(ISNUMBER(SEARCH("平",B4233)),"平","仄")))</x:f>
        <x:v>平</x:v>
      </x:c>
      <x:c r="K4233" s="6" t="str">
        <x:f>IF(D4233="","",IF(AND(ISNUMBER(SEARCH("平",D4233)),OR(ISNUMBER(SEARCH("上",D4233)),ISNUMBER(SEARCH("去",D4233)),ISNUMBER(SEARCH("入",D4233)))),"Ambiguous",IF(ISNUMBER(SEARCH("平",D4233)),"平","仄")))</x:f>
        <x:v>平</x:v>
      </x:c>
      <x:c r="L4233" s="7" t="str">
        <x:v>manual user correction</x:v>
      </x:c>
    </x:row>
    <x:row r="4234">
      <x:c r="A4234" s="5" t="str">
        <x:v>遽</x:v>
      </x:c>
      <x:c r="B4234" s="6" t="str">
        <x:v>去</x:v>
      </x:c>
      <x:c r="C4234" s="6" t="str">
        <x:f>IF(B4234="","Needs decision","Ready")</x:f>
        <x:v>Ready</x:v>
      </x:c>
      <x:c r="D4234" s="6" t="str">
        <x:v>去</x:v>
      </x:c>
      <x:c r="E4234" s="6" t="str">
        <x:v>gjoH (C)</x:v>
      </x:c>
      <x:c r="F4234" s="6" t="str">
        <x:v>去聲六御</x:v>
      </x:c>
      <x:c r="G4234" s="6" t="str">
        <x:v>Pingshui main list, Wikisource-derived DOCX</x:v>
      </x:c>
      <x:c r="H4234" s="6" t="str">
        <x:v>1</x:v>
      </x:c>
      <x:c r="I4234" s="6" t="str"/>
      <x:c r="J4234" s="6" t="str">
        <x:f>IF(B4234="","",IF(AND(ISNUMBER(SEARCH("平",B4234)),OR(ISNUMBER(SEARCH("上",B4234)),ISNUMBER(SEARCH("去",B4234)),ISNUMBER(SEARCH("入",B4234)))),"Ambiguous",IF(ISNUMBER(SEARCH("平",B4234)),"平","仄")))</x:f>
        <x:v>仄</x:v>
      </x:c>
      <x:c r="K4234" s="6" t="str">
        <x:f>IF(D4234="","",IF(AND(ISNUMBER(SEARCH("平",D4234)),OR(ISNUMBER(SEARCH("上",D4234)),ISNUMBER(SEARCH("去",D4234)),ISNUMBER(SEARCH("入",D4234)))),"Ambiguous",IF(ISNUMBER(SEARCH("平",D4234)),"平","仄")))</x:f>
        <x:v>仄</x:v>
      </x:c>
      <x:c r="L4234" s="7" t="str"/>
    </x:row>
    <x:row r="4235">
      <x:c r="A4235" s="5" t="str">
        <x:v>避</x:v>
      </x:c>
      <x:c r="B4235" s="6" t="str">
        <x:v>去</x:v>
      </x:c>
      <x:c r="C4235" s="6" t="str">
        <x:f>IF(B4235="","Needs decision","Ready")</x:f>
        <x:v>Ready</x:v>
      </x:c>
      <x:c r="D4235" s="6" t="str">
        <x:v>去</x:v>
      </x:c>
      <x:c r="E4235" s="6" t="str">
        <x:v>bjieH (C)</x:v>
      </x:c>
      <x:c r="F4235" s="6" t="str">
        <x:v>去聲四寘</x:v>
      </x:c>
      <x:c r="G4235" s="6" t="str">
        <x:v>Pingshui main list, Wikisource-derived DOCX</x:v>
      </x:c>
      <x:c r="H4235" s="6" t="str">
        <x:v>1</x:v>
      </x:c>
      <x:c r="I4235" s="6" t="str"/>
      <x:c r="J4235" s="6" t="str">
        <x:f>IF(B4235="","",IF(AND(ISNUMBER(SEARCH("平",B4235)),OR(ISNUMBER(SEARCH("上",B4235)),ISNUMBER(SEARCH("去",B4235)),ISNUMBER(SEARCH("入",B4235)))),"Ambiguous",IF(ISNUMBER(SEARCH("平",B4235)),"平","仄")))</x:f>
        <x:v>仄</x:v>
      </x:c>
      <x:c r="K4235" s="6" t="str">
        <x:f>IF(D4235="","",IF(AND(ISNUMBER(SEARCH("平",D4235)),OR(ISNUMBER(SEARCH("上",D4235)),ISNUMBER(SEARCH("去",D4235)),ISNUMBER(SEARCH("入",D4235)))),"Ambiguous",IF(ISNUMBER(SEARCH("平",D4235)),"平","仄")))</x:f>
        <x:v>仄</x:v>
      </x:c>
      <x:c r="L4235" s="7" t="str"/>
    </x:row>
    <x:row r="4236">
      <x:c r="A4236" s="5" t="str">
        <x:v>邀</x:v>
      </x:c>
      <x:c r="B4236" s="6" t="str">
        <x:v>平</x:v>
      </x:c>
      <x:c r="C4236" s="6" t="str">
        <x:f>IF(B4236="","Needs decision","Ready")</x:f>
        <x:v>Ready</x:v>
      </x:c>
      <x:c r="D4236" s="6" t="str">
        <x:v>平</x:v>
      </x:c>
      <x:c r="E4236" s="6" t="str">
        <x:v>'jiew [ʔjew] (平); kew [qew] (平)</x:v>
      </x:c>
      <x:c r="F4236" s="6" t="str">
        <x:v>下平聲二蕭</x:v>
      </x:c>
      <x:c r="G4236" s="6" t="str">
        <x:v>Pingshui main list, Wikisource-derived DOCX</x:v>
      </x:c>
      <x:c r="H4236" s="6" t="str">
        <x:v>2</x:v>
      </x:c>
      <x:c r="I4236" s="6" t="str">
        <x:v>Tang 300 gap; frequency 5; provisional from Xun Gong</x:v>
      </x:c>
      <x:c r="J4236" s="6" t="str">
        <x:f>IF(B4236="","",IF(AND(ISNUMBER(SEARCH("平",B4236)),OR(ISNUMBER(SEARCH("上",B4236)),ISNUMBER(SEARCH("去",B4236)),ISNUMBER(SEARCH("入",B4236)))),"Ambiguous",IF(ISNUMBER(SEARCH("平",B4236)),"平","仄")))</x:f>
        <x:v>平</x:v>
      </x:c>
      <x:c r="K4236" s="6" t="str">
        <x:f>IF(D4236="","",IF(AND(ISNUMBER(SEARCH("平",D4236)),OR(ISNUMBER(SEARCH("上",D4236)),ISNUMBER(SEARCH("去",D4236)),ISNUMBER(SEARCH("入",D4236)))),"Ambiguous",IF(ISNUMBER(SEARCH("平",D4236)),"平","仄")))</x:f>
        <x:v>平</x:v>
      </x:c>
      <x:c r="L4236" s="7" t="str">
        <x:v>Xun Gong, Tang 300 gap fill</x:v>
      </x:c>
    </x:row>
    <x:row r="4237">
      <x:c r="A4237" s="5" t="str">
        <x:v>邁</x:v>
      </x:c>
      <x:c r="B4237" s="6" t="str">
        <x:v>去</x:v>
      </x:c>
      <x:c r="C4237" s="6" t="str">
        <x:f>IF(B4237="","Needs decision","Ready")</x:f>
        <x:v>Ready</x:v>
      </x:c>
      <x:c r="D4237" s="6" t="str">
        <x:v>去</x:v>
      </x:c>
      <x:c r="E4237" s="6" t="str">
        <x:v>maejH (C)</x:v>
      </x:c>
      <x:c r="F4237" s="6" t="str">
        <x:v>去聲十卦</x:v>
      </x:c>
      <x:c r="G4237" s="6" t="str">
        <x:v>Pingshui main list, Wikisource-derived DOCX</x:v>
      </x:c>
      <x:c r="H4237" s="6" t="str">
        <x:v>1</x:v>
      </x:c>
      <x:c r="I4237" s="6" t="str"/>
      <x:c r="J4237" s="6" t="str">
        <x:f>IF(B4237="","",IF(AND(ISNUMBER(SEARCH("平",B4237)),OR(ISNUMBER(SEARCH("上",B4237)),ISNUMBER(SEARCH("去",B4237)),ISNUMBER(SEARCH("入",B4237)))),"Ambiguous",IF(ISNUMBER(SEARCH("平",B4237)),"平","仄")))</x:f>
        <x:v>仄</x:v>
      </x:c>
      <x:c r="K4237" s="6" t="str">
        <x:f>IF(D4237="","",IF(AND(ISNUMBER(SEARCH("平",D4237)),OR(ISNUMBER(SEARCH("上",D4237)),ISNUMBER(SEARCH("去",D4237)),ISNUMBER(SEARCH("入",D4237)))),"Ambiguous",IF(ISNUMBER(SEARCH("平",D4237)),"平","仄")))</x:f>
        <x:v>仄</x:v>
      </x:c>
      <x:c r="L4237" s="7" t="str"/>
    </x:row>
    <x:row r="4238">
      <x:c r="A4238" s="5" t="str">
        <x:v>邂</x:v>
      </x:c>
      <x:c r="B4238" s="6" t="str">
        <x:v>去</x:v>
      </x:c>
      <x:c r="C4238" s="6" t="str">
        <x:f>IF(B4238="","Needs decision","Ready")</x:f>
        <x:v>Ready</x:v>
      </x:c>
      <x:c r="D4238" s="6" t="str">
        <x:v>去</x:v>
      </x:c>
      <x:c r="E4238" s="6" t="str">
        <x:v>heaH (C)</x:v>
      </x:c>
      <x:c r="F4238" s="6" t="str"/>
      <x:c r="G4238" s="6" t="str"/>
      <x:c r="H4238" s="6" t="str">
        <x:v>1</x:v>
      </x:c>
      <x:c r="I4238" s="6" t="str"/>
      <x:c r="J4238" s="6" t="str">
        <x:f>IF(B4238="","",IF(AND(ISNUMBER(SEARCH("平",B4238)),OR(ISNUMBER(SEARCH("上",B4238)),ISNUMBER(SEARCH("去",B4238)),ISNUMBER(SEARCH("入",B4238)))),"Ambiguous",IF(ISNUMBER(SEARCH("平",B4238)),"平","仄")))</x:f>
        <x:v>仄</x:v>
      </x:c>
      <x:c r="K4238" s="6" t="str">
        <x:f>IF(D4238="","",IF(AND(ISNUMBER(SEARCH("平",D4238)),OR(ISNUMBER(SEARCH("上",D4238)),ISNUMBER(SEARCH("去",D4238)),ISNUMBER(SEARCH("入",D4238)))),"Ambiguous",IF(ISNUMBER(SEARCH("平",D4238)),"平","仄")))</x:f>
        <x:v>仄</x:v>
      </x:c>
      <x:c r="L4238" s="7" t="str"/>
    </x:row>
    <x:row r="4239">
      <x:c r="A4239" s="5" t="str">
        <x:v>還</x:v>
      </x:c>
      <x:c r="B4239" s="6" t="str">
        <x:v>平</x:v>
      </x:c>
      <x:c r="C4239" s="6" t="str">
        <x:f>IF(B4239="","Needs decision","Ready")</x:f>
        <x:v>Ready</x:v>
      </x:c>
      <x:c r="D4239" s="6" t="str">
        <x:v>平</x:v>
      </x:c>
      <x:c r="E4239" s="6" t="str">
        <x:v>hwaen (A); zjwen (A)</x:v>
      </x:c>
      <x:c r="F4239" s="6" t="str">
        <x:v>上平聲十五刪; 下平聲一先</x:v>
      </x:c>
      <x:c r="G4239" s="6" t="str">
        <x:v>Pingshui main list, Wikisource-derived DOCX</x:v>
      </x:c>
      <x:c r="H4239" s="6" t="str">
        <x:v>2</x:v>
      </x:c>
      <x:c r="I4239" s="6" t="str"/>
      <x:c r="J4239" s="6" t="str">
        <x:f>IF(B4239="","",IF(AND(ISNUMBER(SEARCH("平",B4239)),OR(ISNUMBER(SEARCH("上",B4239)),ISNUMBER(SEARCH("去",B4239)),ISNUMBER(SEARCH("入",B4239)))),"Ambiguous",IF(ISNUMBER(SEARCH("平",B4239)),"平","仄")))</x:f>
        <x:v>平</x:v>
      </x:c>
      <x:c r="K4239" s="6" t="str">
        <x:f>IF(D4239="","",IF(AND(ISNUMBER(SEARCH("平",D4239)),OR(ISNUMBER(SEARCH("上",D4239)),ISNUMBER(SEARCH("去",D4239)),ISNUMBER(SEARCH("入",D4239)))),"Ambiguous",IF(ISNUMBER(SEARCH("平",D4239)),"平","仄")))</x:f>
        <x:v>平</x:v>
      </x:c>
      <x:c r="L4239" s="7" t="str"/>
    </x:row>
    <x:row r="4240">
      <x:c r="A4240" s="5" t="str">
        <x:v>邇</x:v>
      </x:c>
      <x:c r="B4240" s="6" t="str">
        <x:v>上</x:v>
      </x:c>
      <x:c r="C4240" s="6" t="str">
        <x:f>IF(B4240="","Needs decision","Ready")</x:f>
        <x:v>Ready</x:v>
      </x:c>
      <x:c r="D4240" s="6" t="str">
        <x:v>上</x:v>
      </x:c>
      <x:c r="E4240" s="6" t="str">
        <x:v>nyeX (B)</x:v>
      </x:c>
      <x:c r="F4240" s="6" t="str">
        <x:v>上聲四紙</x:v>
      </x:c>
      <x:c r="G4240" s="6" t="str">
        <x:v>Pingshui main list, Wikisource-derived DOCX</x:v>
      </x:c>
      <x:c r="H4240" s="6" t="str">
        <x:v>1</x:v>
      </x:c>
      <x:c r="I4240" s="6" t="str"/>
      <x:c r="J4240" s="6" t="str">
        <x:f>IF(B4240="","",IF(AND(ISNUMBER(SEARCH("平",B4240)),OR(ISNUMBER(SEARCH("上",B4240)),ISNUMBER(SEARCH("去",B4240)),ISNUMBER(SEARCH("入",B4240)))),"Ambiguous",IF(ISNUMBER(SEARCH("平",B4240)),"平","仄")))</x:f>
        <x:v>仄</x:v>
      </x:c>
      <x:c r="K4240" s="6" t="str">
        <x:f>IF(D4240="","",IF(AND(ISNUMBER(SEARCH("平",D4240)),OR(ISNUMBER(SEARCH("上",D4240)),ISNUMBER(SEARCH("去",D4240)),ISNUMBER(SEARCH("入",D4240)))),"Ambiguous",IF(ISNUMBER(SEARCH("平",D4240)),"平","仄")))</x:f>
        <x:v>仄</x:v>
      </x:c>
      <x:c r="L4240" s="7" t="str"/>
    </x:row>
    <x:row r="4241">
      <x:c r="A4241" s="5" t="str">
        <x:v>邈</x:v>
      </x:c>
      <x:c r="B4241" s="6" t="str">
        <x:v>入</x:v>
      </x:c>
      <x:c r="C4241" s="6" t="str">
        <x:f>IF(B4241="","Needs decision","Ready")</x:f>
        <x:v>Ready</x:v>
      </x:c>
      <x:c r="D4241" s="6" t="str">
        <x:v>入</x:v>
      </x:c>
      <x:c r="E4241" s="6" t="str">
        <x:v>maewk (D)</x:v>
      </x:c>
      <x:c r="F4241" s="6" t="str">
        <x:v>入聲三覺</x:v>
      </x:c>
      <x:c r="G4241" s="6" t="str">
        <x:v>Pingshui main list, Wikisource-derived DOCX</x:v>
      </x:c>
      <x:c r="H4241" s="6" t="str">
        <x:v>1</x:v>
      </x:c>
      <x:c r="I4241" s="6" t="str"/>
      <x:c r="J4241" s="6" t="str">
        <x:f>IF(B4241="","",IF(AND(ISNUMBER(SEARCH("平",B4241)),OR(ISNUMBER(SEARCH("上",B4241)),ISNUMBER(SEARCH("去",B4241)),ISNUMBER(SEARCH("入",B4241)))),"Ambiguous",IF(ISNUMBER(SEARCH("平",B4241)),"平","仄")))</x:f>
        <x:v>仄</x:v>
      </x:c>
      <x:c r="K4241" s="6" t="str">
        <x:f>IF(D4241="","",IF(AND(ISNUMBER(SEARCH("平",D4241)),OR(ISNUMBER(SEARCH("上",D4241)),ISNUMBER(SEARCH("去",D4241)),ISNUMBER(SEARCH("入",D4241)))),"Ambiguous",IF(ISNUMBER(SEARCH("平",D4241)),"平","仄")))</x:f>
        <x:v>仄</x:v>
      </x:c>
      <x:c r="L4241" s="7" t="str"/>
    </x:row>
    <x:row r="4242">
      <x:c r="A4242" s="5" t="str">
        <x:v>邊</x:v>
      </x:c>
      <x:c r="B4242" s="6" t="str">
        <x:v>平</x:v>
      </x:c>
      <x:c r="C4242" s="6" t="str">
        <x:f>IF(B4242="","Needs decision","Ready")</x:f>
        <x:v>Ready</x:v>
      </x:c>
      <x:c r="D4242" s="6" t="str">
        <x:v>平</x:v>
      </x:c>
      <x:c r="E4242" s="6" t="str">
        <x:v>pen (A)</x:v>
      </x:c>
      <x:c r="F4242" s="6" t="str">
        <x:v>下平聲一先</x:v>
      </x:c>
      <x:c r="G4242" s="6" t="str">
        <x:v>Pingshui main list, Wikisource-derived DOCX</x:v>
      </x:c>
      <x:c r="H4242" s="6" t="str">
        <x:v>1</x:v>
      </x:c>
      <x:c r="I4242" s="6" t="str"/>
      <x:c r="J4242" s="6" t="str">
        <x:f>IF(B4242="","",IF(AND(ISNUMBER(SEARCH("平",B4242)),OR(ISNUMBER(SEARCH("上",B4242)),ISNUMBER(SEARCH("去",B4242)),ISNUMBER(SEARCH("入",B4242)))),"Ambiguous",IF(ISNUMBER(SEARCH("平",B4242)),"平","仄")))</x:f>
        <x:v>平</x:v>
      </x:c>
      <x:c r="K4242" s="6" t="str">
        <x:f>IF(D4242="","",IF(AND(ISNUMBER(SEARCH("平",D4242)),OR(ISNUMBER(SEARCH("上",D4242)),ISNUMBER(SEARCH("去",D4242)),ISNUMBER(SEARCH("入",D4242)))),"Ambiguous",IF(ISNUMBER(SEARCH("平",D4242)),"平","仄")))</x:f>
        <x:v>平</x:v>
      </x:c>
      <x:c r="L4242" s="7" t="str"/>
    </x:row>
    <x:row r="4243">
      <x:c r="A4243" s="5" t="str">
        <x:v>邏</x:v>
      </x:c>
      <x:c r="B4243" s="6" t="str">
        <x:v>去</x:v>
      </x:c>
      <x:c r="C4243" s="6" t="str">
        <x:f>IF(B4243="","Needs decision","Ready")</x:f>
        <x:v>Ready</x:v>
      </x:c>
      <x:c r="D4243" s="6" t="str">
        <x:v>去</x:v>
      </x:c>
      <x:c r="E4243" s="6" t="str">
        <x:v>laH [l̙ɑh] (去)</x:v>
      </x:c>
      <x:c r="F4243" s="6" t="str">
        <x:v>去聲二十一箇</x:v>
      </x:c>
      <x:c r="G4243" s="6" t="str">
        <x:v>Pingshui main list, Wikisource-derived DOCX</x:v>
      </x:c>
      <x:c r="H4243" s="6" t="str">
        <x:v>1</x:v>
      </x:c>
      <x:c r="I4243" s="6" t="str">
        <x:v>Tang 300 gap; frequency 1; provisional from Xun Gong</x:v>
      </x:c>
      <x:c r="J4243" s="6" t="str">
        <x:f>IF(B4243="","",IF(AND(ISNUMBER(SEARCH("平",B4243)),OR(ISNUMBER(SEARCH("上",B4243)),ISNUMBER(SEARCH("去",B4243)),ISNUMBER(SEARCH("入",B4243)))),"Ambiguous",IF(ISNUMBER(SEARCH("平",B4243)),"平","仄")))</x:f>
        <x:v>仄</x:v>
      </x:c>
      <x:c r="K4243" s="6" t="str">
        <x:f>IF(D4243="","",IF(AND(ISNUMBER(SEARCH("平",D4243)),OR(ISNUMBER(SEARCH("上",D4243)),ISNUMBER(SEARCH("去",D4243)),ISNUMBER(SEARCH("入",D4243)))),"Ambiguous",IF(ISNUMBER(SEARCH("平",D4243)),"平","仄")))</x:f>
        <x:v>仄</x:v>
      </x:c>
      <x:c r="L4243" s="7" t="str">
        <x:v>Xun Gong, Tang 300 gap fill</x:v>
      </x:c>
    </x:row>
    <x:row r="4244">
      <x:c r="A4244" s="5" t="str">
        <x:v>邐</x:v>
      </x:c>
      <x:c r="B4244" s="6" t="str">
        <x:v>上</x:v>
      </x:c>
      <x:c r="C4244" s="6" t="str">
        <x:f>IF(B4244="","Needs decision","Ready")</x:f>
        <x:v>Ready</x:v>
      </x:c>
      <x:c r="D4244" s="6" t="str">
        <x:v>上</x:v>
      </x:c>
      <x:c r="E4244" s="6" t="str">
        <x:v>ljeX [lieʔ] (上)</x:v>
      </x:c>
      <x:c r="F4244" s="6" t="str">
        <x:v>上聲四紙</x:v>
      </x:c>
      <x:c r="G4244" s="6" t="str">
        <x:v>Pingshui main list, Wikisource-derived DOCX</x:v>
      </x:c>
      <x:c r="H4244" s="6" t="str">
        <x:v>1</x:v>
      </x:c>
      <x:c r="I4244" s="6" t="str">
        <x:v>Tang 300 gap; frequency 1; provisional from Xun Gong</x:v>
      </x:c>
      <x:c r="J4244" s="6" t="str">
        <x:f>IF(B4244="","",IF(AND(ISNUMBER(SEARCH("平",B4244)),OR(ISNUMBER(SEARCH("上",B4244)),ISNUMBER(SEARCH("去",B4244)),ISNUMBER(SEARCH("入",B4244)))),"Ambiguous",IF(ISNUMBER(SEARCH("平",B4244)),"平","仄")))</x:f>
        <x:v>仄</x:v>
      </x:c>
      <x:c r="K4244" s="6" t="str">
        <x:f>IF(D4244="","",IF(AND(ISNUMBER(SEARCH("平",D4244)),OR(ISNUMBER(SEARCH("上",D4244)),ISNUMBER(SEARCH("去",D4244)),ISNUMBER(SEARCH("入",D4244)))),"Ambiguous",IF(ISNUMBER(SEARCH("平",D4244)),"平","仄")))</x:f>
        <x:v>仄</x:v>
      </x:c>
      <x:c r="L4244" s="7" t="str">
        <x:v>Xun Gong, Tang 300 gap fill</x:v>
      </x:c>
    </x:row>
    <x:row r="4245">
      <x:c r="A4245" s="5" t="str">
        <x:v>邑</x:v>
      </x:c>
      <x:c r="B4245" s="6" t="str">
        <x:v>入</x:v>
      </x:c>
      <x:c r="C4245" s="6" t="str">
        <x:f>IF(B4245="","Needs decision","Ready")</x:f>
        <x:v>Ready</x:v>
      </x:c>
      <x:c r="D4245" s="6" t="str">
        <x:v>入</x:v>
      </x:c>
      <x:c r="E4245" s="6" t="str">
        <x:v>'ip (D)</x:v>
      </x:c>
      <x:c r="F4245" s="6" t="str">
        <x:v>入聲十四緝</x:v>
      </x:c>
      <x:c r="G4245" s="6" t="str">
        <x:v>Pingshui main list, Wikisource-derived DOCX</x:v>
      </x:c>
      <x:c r="H4245" s="6" t="str">
        <x:v>1</x:v>
      </x:c>
      <x:c r="I4245" s="6" t="str"/>
      <x:c r="J4245" s="6" t="str">
        <x:f>IF(B4245="","",IF(AND(ISNUMBER(SEARCH("平",B4245)),OR(ISNUMBER(SEARCH("上",B4245)),ISNUMBER(SEARCH("去",B4245)),ISNUMBER(SEARCH("入",B4245)))),"Ambiguous",IF(ISNUMBER(SEARCH("平",B4245)),"平","仄")))</x:f>
        <x:v>仄</x:v>
      </x:c>
      <x:c r="K4245" s="6" t="str">
        <x:f>IF(D4245="","",IF(AND(ISNUMBER(SEARCH("平",D4245)),OR(ISNUMBER(SEARCH("上",D4245)),ISNUMBER(SEARCH("去",D4245)),ISNUMBER(SEARCH("入",D4245)))),"Ambiguous",IF(ISNUMBER(SEARCH("平",D4245)),"平","仄")))</x:f>
        <x:v>仄</x:v>
      </x:c>
      <x:c r="L4245" s="7" t="str"/>
    </x:row>
    <x:row r="4246">
      <x:c r="A4246" s="5" t="str">
        <x:v>邕</x:v>
      </x:c>
      <x:c r="B4246" s="6" t="str">
        <x:v>平</x:v>
      </x:c>
      <x:c r="C4246" s="6" t="str">
        <x:f>IF(B4246="","Needs decision","Ready")</x:f>
        <x:v>Ready</x:v>
      </x:c>
      <x:c r="D4246" s="6" t="str">
        <x:v>平</x:v>
      </x:c>
      <x:c r="E4246" s="6" t="str">
        <x:v>'jowng (A)</x:v>
      </x:c>
      <x:c r="F4246" s="6" t="str">
        <x:v>上平聲二冬</x:v>
      </x:c>
      <x:c r="G4246" s="6" t="str">
        <x:v>Pingshui main list, Wikisource-derived DOCX</x:v>
      </x:c>
      <x:c r="H4246" s="6" t="str">
        <x:v>1</x:v>
      </x:c>
      <x:c r="I4246" s="6" t="str"/>
      <x:c r="J4246" s="6" t="str">
        <x:f>IF(B4246="","",IF(AND(ISNUMBER(SEARCH("平",B4246)),OR(ISNUMBER(SEARCH("上",B4246)),ISNUMBER(SEARCH("去",B4246)),ISNUMBER(SEARCH("入",B4246)))),"Ambiguous",IF(ISNUMBER(SEARCH("平",B4246)),"平","仄")))</x:f>
        <x:v>平</x:v>
      </x:c>
      <x:c r="K4246" s="6" t="str">
        <x:f>IF(D4246="","",IF(AND(ISNUMBER(SEARCH("平",D4246)),OR(ISNUMBER(SEARCH("上",D4246)),ISNUMBER(SEARCH("去",D4246)),ISNUMBER(SEARCH("入",D4246)))),"Ambiguous",IF(ISNUMBER(SEARCH("平",D4246)),"平","仄")))</x:f>
        <x:v>平</x:v>
      </x:c>
      <x:c r="L4246" s="7" t="str"/>
    </x:row>
    <x:row r="4247">
      <x:c r="A4247" s="5" t="str">
        <x:v>邛</x:v>
      </x:c>
      <x:c r="B4247" s="6" t="str">
        <x:v>平</x:v>
      </x:c>
      <x:c r="C4247" s="6" t="str">
        <x:f>IF(B4247="","Needs decision","Ready")</x:f>
        <x:v>Ready</x:v>
      </x:c>
      <x:c r="D4247" s="6" t="str">
        <x:v>平</x:v>
      </x:c>
      <x:c r="E4247" s="6" t="str">
        <x:v>gjowng [ɡɨ̯oŋ] (平)</x:v>
      </x:c>
      <x:c r="F4247" s="6" t="str">
        <x:v>上平聲二冬</x:v>
      </x:c>
      <x:c r="G4247" s="6" t="str">
        <x:v>Pingshui main list, Wikisource-derived DOCX</x:v>
      </x:c>
      <x:c r="H4247" s="6" t="str">
        <x:v>1</x:v>
      </x:c>
      <x:c r="I4247" s="6" t="str">
        <x:v>Tang 300 gap; frequency 1; provisional from Xun Gong</x:v>
      </x:c>
      <x:c r="J4247" s="6" t="str">
        <x:f>IF(B4247="","",IF(AND(ISNUMBER(SEARCH("平",B4247)),OR(ISNUMBER(SEARCH("上",B4247)),ISNUMBER(SEARCH("去",B4247)),ISNUMBER(SEARCH("入",B4247)))),"Ambiguous",IF(ISNUMBER(SEARCH("平",B4247)),"平","仄")))</x:f>
        <x:v>平</x:v>
      </x:c>
      <x:c r="K4247" s="6" t="str">
        <x:f>IF(D4247="","",IF(AND(ISNUMBER(SEARCH("平",D4247)),OR(ISNUMBER(SEARCH("上",D4247)),ISNUMBER(SEARCH("去",D4247)),ISNUMBER(SEARCH("入",D4247)))),"Ambiguous",IF(ISNUMBER(SEARCH("平",D4247)),"平","仄")))</x:f>
        <x:v>平</x:v>
      </x:c>
      <x:c r="L4247" s="7" t="str">
        <x:v>Xun Gong, Tang 300 gap fill</x:v>
      </x:c>
    </x:row>
    <x:row r="4248">
      <x:c r="A4248" s="5" t="str">
        <x:v>邢</x:v>
      </x:c>
      <x:c r="B4248" s="6" t="str">
        <x:v>平</x:v>
      </x:c>
      <x:c r="C4248" s="6" t="str">
        <x:f>IF(B4248="","Needs decision","Ready")</x:f>
        <x:v>Ready</x:v>
      </x:c>
      <x:c r="D4248" s="6" t="str">
        <x:v>平</x:v>
      </x:c>
      <x:c r="E4248" s="6" t="str">
        <x:v>heng (A)</x:v>
      </x:c>
      <x:c r="F4248" s="6" t="str">
        <x:v>下平聲九青</x:v>
      </x:c>
      <x:c r="G4248" s="6" t="str">
        <x:v>Pingshui main list, Wikisource-derived DOCX</x:v>
      </x:c>
      <x:c r="H4248" s="6" t="str">
        <x:v>1</x:v>
      </x:c>
      <x:c r="I4248" s="6" t="str"/>
      <x:c r="J4248" s="6" t="str">
        <x:f>IF(B4248="","",IF(AND(ISNUMBER(SEARCH("平",B4248)),OR(ISNUMBER(SEARCH("上",B4248)),ISNUMBER(SEARCH("去",B4248)),ISNUMBER(SEARCH("入",B4248)))),"Ambiguous",IF(ISNUMBER(SEARCH("平",B4248)),"平","仄")))</x:f>
        <x:v>平</x:v>
      </x:c>
      <x:c r="K4248" s="6" t="str">
        <x:f>IF(D4248="","",IF(AND(ISNUMBER(SEARCH("平",D4248)),OR(ISNUMBER(SEARCH("上",D4248)),ISNUMBER(SEARCH("去",D4248)),ISNUMBER(SEARCH("入",D4248)))),"Ambiguous",IF(ISNUMBER(SEARCH("平",D4248)),"平","仄")))</x:f>
        <x:v>平</x:v>
      </x:c>
      <x:c r="L4248" s="7" t="str"/>
    </x:row>
    <x:row r="4249">
      <x:c r="A4249" s="5" t="str">
        <x:v>那</x:v>
      </x:c>
      <x:c r="B4249" s="6" t="str">
        <x:v>平</x:v>
      </x:c>
      <x:c r="C4249" s="6" t="str">
        <x:f>IF(B4249="","Needs decision","Ready")</x:f>
        <x:v>Ready</x:v>
      </x:c>
      <x:c r="D4249" s="6" t="str">
        <x:v>平</x:v>
      </x:c>
      <x:c r="E4249" s="6" t="str">
        <x:v>na (A)</x:v>
      </x:c>
      <x:c r="F4249" s="6" t="str">
        <x:v>下平聲五歌; 上聲二十哿; 去聲二十一箇</x:v>
      </x:c>
      <x:c r="G4249" s="6" t="str">
        <x:v>Pingshui main list, Wikisource-derived DOCX</x:v>
      </x:c>
      <x:c r="H4249" s="6" t="str">
        <x:v>1</x:v>
      </x:c>
      <x:c r="I4249" s="6" t="str"/>
      <x:c r="J4249" s="6" t="str">
        <x:f>IF(B4249="","",IF(AND(ISNUMBER(SEARCH("平",B4249)),OR(ISNUMBER(SEARCH("上",B4249)),ISNUMBER(SEARCH("去",B4249)),ISNUMBER(SEARCH("入",B4249)))),"Ambiguous",IF(ISNUMBER(SEARCH("平",B4249)),"平","仄")))</x:f>
        <x:v>平</x:v>
      </x:c>
      <x:c r="K4249" s="6" t="str">
        <x:f>IF(D4249="","",IF(AND(ISNUMBER(SEARCH("平",D4249)),OR(ISNUMBER(SEARCH("上",D4249)),ISNUMBER(SEARCH("去",D4249)),ISNUMBER(SEARCH("入",D4249)))),"Ambiguous",IF(ISNUMBER(SEARCH("平",D4249)),"平","仄")))</x:f>
        <x:v>平</x:v>
      </x:c>
      <x:c r="L4249" s="7" t="str"/>
    </x:row>
    <x:row r="4250">
      <x:c r="A4250" s="5" t="str">
        <x:v>邦</x:v>
      </x:c>
      <x:c r="B4250" s="6" t="str">
        <x:v>平</x:v>
      </x:c>
      <x:c r="C4250" s="6" t="str">
        <x:f>IF(B4250="","Needs decision","Ready")</x:f>
        <x:v>Ready</x:v>
      </x:c>
      <x:c r="D4250" s="6" t="str">
        <x:v>平</x:v>
      </x:c>
      <x:c r="E4250" s="6" t="str">
        <x:v>paewng (A)</x:v>
      </x:c>
      <x:c r="F4250" s="6" t="str">
        <x:v>上平聲三江</x:v>
      </x:c>
      <x:c r="G4250" s="6" t="str">
        <x:v>Pingshui main list, Wikisource-derived DOCX</x:v>
      </x:c>
      <x:c r="H4250" s="6" t="str">
        <x:v>1</x:v>
      </x:c>
      <x:c r="I4250" s="6" t="str"/>
      <x:c r="J4250" s="6" t="str">
        <x:f>IF(B4250="","",IF(AND(ISNUMBER(SEARCH("平",B4250)),OR(ISNUMBER(SEARCH("上",B4250)),ISNUMBER(SEARCH("去",B4250)),ISNUMBER(SEARCH("入",B4250)))),"Ambiguous",IF(ISNUMBER(SEARCH("平",B4250)),"平","仄")))</x:f>
        <x:v>平</x:v>
      </x:c>
      <x:c r="K4250" s="6" t="str">
        <x:f>IF(D4250="","",IF(AND(ISNUMBER(SEARCH("平",D4250)),OR(ISNUMBER(SEARCH("上",D4250)),ISNUMBER(SEARCH("去",D4250)),ISNUMBER(SEARCH("入",D4250)))),"Ambiguous",IF(ISNUMBER(SEARCH("平",D4250)),"平","仄")))</x:f>
        <x:v>平</x:v>
      </x:c>
      <x:c r="L4250" s="7" t="str"/>
    </x:row>
    <x:row r="4251">
      <x:c r="A4251" s="5" t="str">
        <x:v>邪</x:v>
      </x:c>
      <x:c r="B4251" s="6" t="str">
        <x:v>平</x:v>
      </x:c>
      <x:c r="C4251" s="6" t="str">
        <x:f>IF(B4251="","Needs decision","Ready")</x:f>
        <x:v>Ready</x:v>
      </x:c>
      <x:c r="D4251" s="6" t="str">
        <x:v>平</x:v>
      </x:c>
      <x:c r="E4251" s="6" t="str">
        <x:v>zjae (A); zjo (A); yae (A)</x:v>
      </x:c>
      <x:c r="F4251" s="6" t="str">
        <x:v>下平聲六麻</x:v>
      </x:c>
      <x:c r="G4251" s="6" t="str">
        <x:v>Pingshui main list, Wikisource-derived DOCX</x:v>
      </x:c>
      <x:c r="H4251" s="6" t="str">
        <x:v>3</x:v>
      </x:c>
      <x:c r="I4251" s="6" t="str"/>
      <x:c r="J4251" s="6" t="str">
        <x:f>IF(B4251="","",IF(AND(ISNUMBER(SEARCH("平",B4251)),OR(ISNUMBER(SEARCH("上",B4251)),ISNUMBER(SEARCH("去",B4251)),ISNUMBER(SEARCH("入",B4251)))),"Ambiguous",IF(ISNUMBER(SEARCH("平",B4251)),"平","仄")))</x:f>
        <x:v>平</x:v>
      </x:c>
      <x:c r="K4251" s="6" t="str">
        <x:f>IF(D4251="","",IF(AND(ISNUMBER(SEARCH("平",D4251)),OR(ISNUMBER(SEARCH("上",D4251)),ISNUMBER(SEARCH("去",D4251)),ISNUMBER(SEARCH("入",D4251)))),"Ambiguous",IF(ISNUMBER(SEARCH("平",D4251)),"平","仄")))</x:f>
        <x:v>平</x:v>
      </x:c>
      <x:c r="L4251" s="7" t="str"/>
    </x:row>
    <x:row r="4252">
      <x:c r="A4252" s="5" t="str">
        <x:v>邯</x:v>
      </x:c>
      <x:c r="B4252" s="6" t="str">
        <x:v>平</x:v>
      </x:c>
      <x:c r="C4252" s="6" t="str">
        <x:f>IF(B4252="","Needs decision","Ready")</x:f>
        <x:v>Ready</x:v>
      </x:c>
      <x:c r="D4252" s="6" t="str">
        <x:v>平</x:v>
      </x:c>
      <x:c r="E4252" s="6" t="str">
        <x:v>ham (A); han (A)</x:v>
      </x:c>
      <x:c r="F4252" s="6" t="str">
        <x:v>下平聲十三覃</x:v>
      </x:c>
      <x:c r="G4252" s="6" t="str">
        <x:v>Pingshui main list, Wikisource-derived DOCX</x:v>
      </x:c>
      <x:c r="H4252" s="6" t="str">
        <x:v>2</x:v>
      </x:c>
      <x:c r="I4252" s="6" t="str"/>
      <x:c r="J4252" s="6" t="str">
        <x:f>IF(B4252="","",IF(AND(ISNUMBER(SEARCH("平",B4252)),OR(ISNUMBER(SEARCH("上",B4252)),ISNUMBER(SEARCH("去",B4252)),ISNUMBER(SEARCH("入",B4252)))),"Ambiguous",IF(ISNUMBER(SEARCH("平",B4252)),"平","仄")))</x:f>
        <x:v>平</x:v>
      </x:c>
      <x:c r="K4252" s="6" t="str">
        <x:f>IF(D4252="","",IF(AND(ISNUMBER(SEARCH("平",D4252)),OR(ISNUMBER(SEARCH("上",D4252)),ISNUMBER(SEARCH("去",D4252)),ISNUMBER(SEARCH("入",D4252)))),"Ambiguous",IF(ISNUMBER(SEARCH("平",D4252)),"平","仄")))</x:f>
        <x:v>平</x:v>
      </x:c>
      <x:c r="L4252" s="7" t="str"/>
    </x:row>
    <x:row r="4253">
      <x:c r="A4253" s="5" t="str">
        <x:v>邱</x:v>
      </x:c>
      <x:c r="B4253" s="6" t="str">
        <x:v>平</x:v>
      </x:c>
      <x:c r="C4253" s="6" t="str">
        <x:f>IF(B4253="","Needs decision","Ready")</x:f>
        <x:v>Ready</x:v>
      </x:c>
      <x:c r="D4253" s="6" t="str">
        <x:v>平</x:v>
      </x:c>
      <x:c r="E4253" s="6" t="str">
        <x:v>khjuw [kʰɨ̯u] (平)</x:v>
      </x:c>
      <x:c r="F4253" s="6" t="str"/>
      <x:c r="G4253" s="6" t="str"/>
      <x:c r="H4253" s="6" t="str">
        <x:v>1</x:v>
      </x:c>
      <x:c r="I4253" s="6" t="str">
        <x:v>Tang 300 gap; frequency 7; provisional from Xun Gong</x:v>
      </x:c>
      <x:c r="J4253" s="6" t="str">
        <x:f>IF(B4253="","",IF(AND(ISNUMBER(SEARCH("平",B4253)),OR(ISNUMBER(SEARCH("上",B4253)),ISNUMBER(SEARCH("去",B4253)),ISNUMBER(SEARCH("入",B4253)))),"Ambiguous",IF(ISNUMBER(SEARCH("平",B4253)),"平","仄")))</x:f>
        <x:v>平</x:v>
      </x:c>
      <x:c r="K4253" s="6" t="str">
        <x:f>IF(D4253="","",IF(AND(ISNUMBER(SEARCH("平",D4253)),OR(ISNUMBER(SEARCH("上",D4253)),ISNUMBER(SEARCH("去",D4253)),ISNUMBER(SEARCH("入",D4253)))),"Ambiguous",IF(ISNUMBER(SEARCH("平",D4253)),"平","仄")))</x:f>
        <x:v>平</x:v>
      </x:c>
      <x:c r="L4253" s="7" t="str">
        <x:v>Xun Gong, Tang 300 gap fill</x:v>
      </x:c>
    </x:row>
    <x:row r="4254">
      <x:c r="A4254" s="5" t="str">
        <x:v>邲</x:v>
      </x:c>
      <x:c r="B4254" s="6" t="str">
        <x:v>入</x:v>
      </x:c>
      <x:c r="C4254" s="6" t="str">
        <x:f>IF(B4254="","Needs decision","Ready")</x:f>
        <x:v>Ready</x:v>
      </x:c>
      <x:c r="D4254" s="6" t="str">
        <x:v>入</x:v>
      </x:c>
      <x:c r="E4254" s="6" t="str">
        <x:v>bit (D); bjit (D)</x:v>
      </x:c>
      <x:c r="F4254" s="6" t="str">
        <x:v>去聲四寘</x:v>
      </x:c>
      <x:c r="G4254" s="6" t="str">
        <x:v>Pingshui main list, Wikisource-derived DOCX</x:v>
      </x:c>
      <x:c r="H4254" s="6" t="str">
        <x:v>2</x:v>
      </x:c>
      <x:c r="I4254" s="6" t="str"/>
      <x:c r="J4254" s="6" t="str">
        <x:f>IF(B4254="","",IF(AND(ISNUMBER(SEARCH("平",B4254)),OR(ISNUMBER(SEARCH("上",B4254)),ISNUMBER(SEARCH("去",B4254)),ISNUMBER(SEARCH("入",B4254)))),"Ambiguous",IF(ISNUMBER(SEARCH("平",B4254)),"平","仄")))</x:f>
        <x:v>仄</x:v>
      </x:c>
      <x:c r="K4254" s="6" t="str">
        <x:f>IF(D4254="","",IF(AND(ISNUMBER(SEARCH("平",D4254)),OR(ISNUMBER(SEARCH("上",D4254)),ISNUMBER(SEARCH("去",D4254)),ISNUMBER(SEARCH("入",D4254)))),"Ambiguous",IF(ISNUMBER(SEARCH("平",D4254)),"平","仄")))</x:f>
        <x:v>仄</x:v>
      </x:c>
      <x:c r="L4254" s="7" t="str"/>
    </x:row>
    <x:row r="4255">
      <x:c r="A4255" s="5" t="str">
        <x:v>邳</x:v>
      </x:c>
      <x:c r="B4255" s="6" t="str">
        <x:v>平</x:v>
      </x:c>
      <x:c r="C4255" s="6" t="str">
        <x:f>IF(B4255="","Needs decision","Ready")</x:f>
        <x:v>Ready</x:v>
      </x:c>
      <x:c r="D4255" s="6" t="str">
        <x:v>平</x:v>
      </x:c>
      <x:c r="E4255" s="6" t="str">
        <x:v>bij (A)</x:v>
      </x:c>
      <x:c r="F4255" s="6" t="str">
        <x:v>上平聲四支</x:v>
      </x:c>
      <x:c r="G4255" s="6" t="str">
        <x:v>Pingshui main list, Wikisource-derived DOCX</x:v>
      </x:c>
      <x:c r="H4255" s="6" t="str">
        <x:v>1</x:v>
      </x:c>
      <x:c r="I4255" s="6" t="str"/>
      <x:c r="J4255" s="6" t="str">
        <x:f>IF(B4255="","",IF(AND(ISNUMBER(SEARCH("平",B4255)),OR(ISNUMBER(SEARCH("上",B4255)),ISNUMBER(SEARCH("去",B4255)),ISNUMBER(SEARCH("入",B4255)))),"Ambiguous",IF(ISNUMBER(SEARCH("平",B4255)),"平","仄")))</x:f>
        <x:v>平</x:v>
      </x:c>
      <x:c r="K4255" s="6" t="str">
        <x:f>IF(D4255="","",IF(AND(ISNUMBER(SEARCH("平",D4255)),OR(ISNUMBER(SEARCH("上",D4255)),ISNUMBER(SEARCH("去",D4255)),ISNUMBER(SEARCH("入",D4255)))),"Ambiguous",IF(ISNUMBER(SEARCH("平",D4255)),"平","仄")))</x:f>
        <x:v>平</x:v>
      </x:c>
      <x:c r="L4255" s="7" t="str"/>
    </x:row>
    <x:row r="4256">
      <x:c r="A4256" s="5" t="str">
        <x:v>邴</x:v>
      </x:c>
      <x:c r="B4256" s="6" t="str">
        <x:v>上</x:v>
      </x:c>
      <x:c r="C4256" s="6" t="str">
        <x:f>IF(B4256="","Needs decision","Ready")</x:f>
        <x:v>Ready</x:v>
      </x:c>
      <x:c r="D4256" s="6" t="str">
        <x:v>上</x:v>
      </x:c>
      <x:c r="E4256" s="6" t="str">
        <x:v>pjaengX (B)</x:v>
      </x:c>
      <x:c r="F4256" s="6" t="str">
        <x:v>上聲二十三梗; 去聲二十四敬</x:v>
      </x:c>
      <x:c r="G4256" s="6" t="str">
        <x:v>Pingshui main list, Wikisource-derived DOCX</x:v>
      </x:c>
      <x:c r="H4256" s="6" t="str">
        <x:v>1</x:v>
      </x:c>
      <x:c r="I4256" s="6" t="str"/>
      <x:c r="J4256" s="6" t="str">
        <x:f>IF(B4256="","",IF(AND(ISNUMBER(SEARCH("平",B4256)),OR(ISNUMBER(SEARCH("上",B4256)),ISNUMBER(SEARCH("去",B4256)),ISNUMBER(SEARCH("入",B4256)))),"Ambiguous",IF(ISNUMBER(SEARCH("平",B4256)),"平","仄")))</x:f>
        <x:v>仄</x:v>
      </x:c>
      <x:c r="K4256" s="6" t="str">
        <x:f>IF(D4256="","",IF(AND(ISNUMBER(SEARCH("平",D4256)),OR(ISNUMBER(SEARCH("上",D4256)),ISNUMBER(SEARCH("去",D4256)),ISNUMBER(SEARCH("入",D4256)))),"Ambiguous",IF(ISNUMBER(SEARCH("平",D4256)),"平","仄")))</x:f>
        <x:v>仄</x:v>
      </x:c>
      <x:c r="L4256" s="7" t="str"/>
    </x:row>
    <x:row r="4257">
      <x:c r="A4257" s="5" t="str">
        <x:v>邵</x:v>
      </x:c>
      <x:c r="B4257" s="6" t="str">
        <x:v>去</x:v>
      </x:c>
      <x:c r="C4257" s="6" t="str">
        <x:f>IF(B4257="","Needs decision","Ready")</x:f>
        <x:v>Ready</x:v>
      </x:c>
      <x:c r="D4257" s="6" t="str">
        <x:v>去</x:v>
      </x:c>
      <x:c r="E4257" s="6" t="str">
        <x:v>dzyewH (C)</x:v>
      </x:c>
      <x:c r="F4257" s="6" t="str">
        <x:v>去聲十八嘯</x:v>
      </x:c>
      <x:c r="G4257" s="6" t="str">
        <x:v>Pingshui main list, Wikisource-derived DOCX</x:v>
      </x:c>
      <x:c r="H4257" s="6" t="str">
        <x:v>1</x:v>
      </x:c>
      <x:c r="I4257" s="6" t="str"/>
      <x:c r="J4257" s="6" t="str">
        <x:f>IF(B4257="","",IF(AND(ISNUMBER(SEARCH("平",B4257)),OR(ISNUMBER(SEARCH("上",B4257)),ISNUMBER(SEARCH("去",B4257)),ISNUMBER(SEARCH("入",B4257)))),"Ambiguous",IF(ISNUMBER(SEARCH("平",B4257)),"平","仄")))</x:f>
        <x:v>仄</x:v>
      </x:c>
      <x:c r="K4257" s="6" t="str">
        <x:f>IF(D4257="","",IF(AND(ISNUMBER(SEARCH("平",D4257)),OR(ISNUMBER(SEARCH("上",D4257)),ISNUMBER(SEARCH("去",D4257)),ISNUMBER(SEARCH("入",D4257)))),"Ambiguous",IF(ISNUMBER(SEARCH("平",D4257)),"平","仄")))</x:f>
        <x:v>仄</x:v>
      </x:c>
      <x:c r="L4257" s="7" t="str"/>
    </x:row>
    <x:row r="4258">
      <x:c r="A4258" s="5" t="str">
        <x:v>邾</x:v>
      </x:c>
      <x:c r="B4258" s="6" t="str">
        <x:v>平</x:v>
      </x:c>
      <x:c r="C4258" s="6" t="str">
        <x:f>IF(B4258="","Needs decision","Ready")</x:f>
        <x:v>Ready</x:v>
      </x:c>
      <x:c r="D4258" s="6" t="str">
        <x:v>平</x:v>
      </x:c>
      <x:c r="E4258" s="6" t="str">
        <x:v>trju (A)</x:v>
      </x:c>
      <x:c r="F4258" s="6" t="str">
        <x:v>上平聲七虞</x:v>
      </x:c>
      <x:c r="G4258" s="6" t="str">
        <x:v>Pingshui main list, Wikisource-derived DOCX</x:v>
      </x:c>
      <x:c r="H4258" s="6" t="str">
        <x:v>1</x:v>
      </x:c>
      <x:c r="I4258" s="6" t="str"/>
      <x:c r="J4258" s="6" t="str">
        <x:f>IF(B4258="","",IF(AND(ISNUMBER(SEARCH("平",B4258)),OR(ISNUMBER(SEARCH("上",B4258)),ISNUMBER(SEARCH("去",B4258)),ISNUMBER(SEARCH("入",B4258)))),"Ambiguous",IF(ISNUMBER(SEARCH("平",B4258)),"平","仄")))</x:f>
        <x:v>平</x:v>
      </x:c>
      <x:c r="K4258" s="6" t="str">
        <x:f>IF(D4258="","",IF(AND(ISNUMBER(SEARCH("平",D4258)),OR(ISNUMBER(SEARCH("上",D4258)),ISNUMBER(SEARCH("去",D4258)),ISNUMBER(SEARCH("入",D4258)))),"Ambiguous",IF(ISNUMBER(SEARCH("平",D4258)),"平","仄")))</x:f>
        <x:v>平</x:v>
      </x:c>
      <x:c r="L4258" s="7" t="str"/>
    </x:row>
    <x:row r="4259">
      <x:c r="A4259" s="5" t="str">
        <x:v>郁</x:v>
      </x:c>
      <x:c r="B4259" s="6" t="str">
        <x:v>入</x:v>
      </x:c>
      <x:c r="C4259" s="6" t="str">
        <x:f>IF(B4259="","Needs decision","Ready")</x:f>
        <x:v>Ready</x:v>
      </x:c>
      <x:c r="D4259" s="6" t="str">
        <x:v>入</x:v>
      </x:c>
      <x:c r="E4259" s="6" t="str">
        <x:v>'juwk (D)</x:v>
      </x:c>
      <x:c r="F4259" s="6" t="str">
        <x:v>入聲一屋</x:v>
      </x:c>
      <x:c r="G4259" s="6" t="str">
        <x:v>Pingshui main list, Wikisource-derived DOCX</x:v>
      </x:c>
      <x:c r="H4259" s="6" t="str">
        <x:v>1</x:v>
      </x:c>
      <x:c r="I4259" s="6" t="str"/>
      <x:c r="J4259" s="6" t="str">
        <x:f>IF(B4259="","",IF(AND(ISNUMBER(SEARCH("平",B4259)),OR(ISNUMBER(SEARCH("上",B4259)),ISNUMBER(SEARCH("去",B4259)),ISNUMBER(SEARCH("入",B4259)))),"Ambiguous",IF(ISNUMBER(SEARCH("平",B4259)),"平","仄")))</x:f>
        <x:v>仄</x:v>
      </x:c>
      <x:c r="K4259" s="6" t="str">
        <x:f>IF(D4259="","",IF(AND(ISNUMBER(SEARCH("平",D4259)),OR(ISNUMBER(SEARCH("上",D4259)),ISNUMBER(SEARCH("去",D4259)),ISNUMBER(SEARCH("入",D4259)))),"Ambiguous",IF(ISNUMBER(SEARCH("平",D4259)),"平","仄")))</x:f>
        <x:v>仄</x:v>
      </x:c>
      <x:c r="L4259" s="7" t="str"/>
    </x:row>
    <x:row r="4260">
      <x:c r="A4260" s="5" t="str">
        <x:v>郅</x:v>
      </x:c>
      <x:c r="B4260" s="6" t="str">
        <x:v>入</x:v>
      </x:c>
      <x:c r="C4260" s="6" t="str">
        <x:f>IF(B4260="","Needs decision","Ready")</x:f>
        <x:v>Ready</x:v>
      </x:c>
      <x:c r="D4260" s="6" t="str">
        <x:v>入</x:v>
      </x:c>
      <x:c r="E4260" s="6" t="str"/>
      <x:c r="F4260" s="6" t="str">
        <x:v>入聲四質</x:v>
      </x:c>
      <x:c r="G4260" s="6" t="str">
        <x:v>Pingshui main list, Wikisource-derived DOCX</x:v>
      </x:c>
      <x:c r="H4260" s="6" t="str"/>
      <x:c r="I4260" s="6" t="str">
        <x:v>Manual user correction/addition</x:v>
      </x:c>
      <x:c r="J4260" s="6" t="str">
        <x:f>IF(B4260="","",IF(AND(ISNUMBER(SEARCH("平",B4260)),OR(ISNUMBER(SEARCH("上",B4260)),ISNUMBER(SEARCH("去",B4260)),ISNUMBER(SEARCH("入",B4260)))),"Ambiguous",IF(ISNUMBER(SEARCH("平",B4260)),"平","仄")))</x:f>
        <x:v>仄</x:v>
      </x:c>
      <x:c r="K4260" s="6" t="str">
        <x:f>IF(D4260="","",IF(AND(ISNUMBER(SEARCH("平",D4260)),OR(ISNUMBER(SEARCH("上",D4260)),ISNUMBER(SEARCH("去",D4260)),ISNUMBER(SEARCH("入",D4260)))),"Ambiguous",IF(ISNUMBER(SEARCH("平",D4260)),"平","仄")))</x:f>
        <x:v>仄</x:v>
      </x:c>
      <x:c r="L4260" s="7" t="str">
        <x:v>manual user correction</x:v>
      </x:c>
    </x:row>
    <x:row r="4261">
      <x:c r="A4261" s="5" t="str">
        <x:v>郊</x:v>
      </x:c>
      <x:c r="B4261" s="6" t="str">
        <x:v>平</x:v>
      </x:c>
      <x:c r="C4261" s="6" t="str">
        <x:f>IF(B4261="","Needs decision","Ready")</x:f>
        <x:v>Ready</x:v>
      </x:c>
      <x:c r="D4261" s="6" t="str">
        <x:v>平</x:v>
      </x:c>
      <x:c r="E4261" s="6" t="str">
        <x:v>kaew (A)</x:v>
      </x:c>
      <x:c r="F4261" s="6" t="str">
        <x:v>下平聲三肴</x:v>
      </x:c>
      <x:c r="G4261" s="6" t="str">
        <x:v>Pingshui main list, Wikisource-derived DOCX</x:v>
      </x:c>
      <x:c r="H4261" s="6" t="str">
        <x:v>1</x:v>
      </x:c>
      <x:c r="I4261" s="6" t="str"/>
      <x:c r="J4261" s="6" t="str">
        <x:f>IF(B4261="","",IF(AND(ISNUMBER(SEARCH("平",B4261)),OR(ISNUMBER(SEARCH("上",B4261)),ISNUMBER(SEARCH("去",B4261)),ISNUMBER(SEARCH("入",B4261)))),"Ambiguous",IF(ISNUMBER(SEARCH("平",B4261)),"平","仄")))</x:f>
        <x:v>平</x:v>
      </x:c>
      <x:c r="K4261" s="6" t="str">
        <x:f>IF(D4261="","",IF(AND(ISNUMBER(SEARCH("平",D4261)),OR(ISNUMBER(SEARCH("上",D4261)),ISNUMBER(SEARCH("去",D4261)),ISNUMBER(SEARCH("入",D4261)))),"Ambiguous",IF(ISNUMBER(SEARCH("平",D4261)),"平","仄")))</x:f>
        <x:v>平</x:v>
      </x:c>
      <x:c r="L4261" s="7" t="str"/>
    </x:row>
    <x:row r="4262">
      <x:c r="A4262" s="5" t="str">
        <x:v>郎</x:v>
      </x:c>
      <x:c r="B4262" s="6" t="str">
        <x:v>平</x:v>
      </x:c>
      <x:c r="C4262" s="6" t="str">
        <x:f>IF(B4262="","Needs decision","Ready")</x:f>
        <x:v>Ready</x:v>
      </x:c>
      <x:c r="D4262" s="6" t="str">
        <x:v>平</x:v>
      </x:c>
      <x:c r="E4262" s="6" t="str">
        <x:v>lang (A)</x:v>
      </x:c>
      <x:c r="F4262" s="6" t="str">
        <x:v>下平聲七陽</x:v>
      </x:c>
      <x:c r="G4262" s="6" t="str">
        <x:v>Pingshui main list, Wikisource-derived DOCX</x:v>
      </x:c>
      <x:c r="H4262" s="6" t="str">
        <x:v>1</x:v>
      </x:c>
      <x:c r="I4262" s="6" t="str"/>
      <x:c r="J4262" s="6" t="str">
        <x:f>IF(B4262="","",IF(AND(ISNUMBER(SEARCH("平",B4262)),OR(ISNUMBER(SEARCH("上",B4262)),ISNUMBER(SEARCH("去",B4262)),ISNUMBER(SEARCH("入",B4262)))),"Ambiguous",IF(ISNUMBER(SEARCH("平",B4262)),"平","仄")))</x:f>
        <x:v>平</x:v>
      </x:c>
      <x:c r="K4262" s="6" t="str">
        <x:f>IF(D4262="","",IF(AND(ISNUMBER(SEARCH("平",D4262)),OR(ISNUMBER(SEARCH("上",D4262)),ISNUMBER(SEARCH("去",D4262)),ISNUMBER(SEARCH("入",D4262)))),"Ambiguous",IF(ISNUMBER(SEARCH("平",D4262)),"平","仄")))</x:f>
        <x:v>平</x:v>
      </x:c>
      <x:c r="L4262" s="7" t="str"/>
    </x:row>
    <x:row r="4263">
      <x:c r="A4263" s="5" t="str">
        <x:v>郜</x:v>
      </x:c>
      <x:c r="B4263" s="6" t="str">
        <x:v>入</x:v>
      </x:c>
      <x:c r="C4263" s="6" t="str">
        <x:f>IF(B4263="","Needs decision","Ready")</x:f>
        <x:v>Ready</x:v>
      </x:c>
      <x:c r="D4263" s="6" t="str">
        <x:v>入</x:v>
      </x:c>
      <x:c r="E4263" s="6" t="str">
        <x:v>kowk (D)</x:v>
      </x:c>
      <x:c r="F4263" s="6" t="str">
        <x:v>去聲二十號</x:v>
      </x:c>
      <x:c r="G4263" s="6" t="str">
        <x:v>Pingshui main list, Wikisource-derived DOCX</x:v>
      </x:c>
      <x:c r="H4263" s="6" t="str">
        <x:v>1</x:v>
      </x:c>
      <x:c r="I4263" s="6" t="str"/>
      <x:c r="J4263" s="6" t="str">
        <x:f>IF(B4263="","",IF(AND(ISNUMBER(SEARCH("平",B4263)),OR(ISNUMBER(SEARCH("上",B4263)),ISNUMBER(SEARCH("去",B4263)),ISNUMBER(SEARCH("入",B4263)))),"Ambiguous",IF(ISNUMBER(SEARCH("平",B4263)),"平","仄")))</x:f>
        <x:v>仄</x:v>
      </x:c>
      <x:c r="K4263" s="6" t="str">
        <x:f>IF(D4263="","",IF(AND(ISNUMBER(SEARCH("平",D4263)),OR(ISNUMBER(SEARCH("上",D4263)),ISNUMBER(SEARCH("去",D4263)),ISNUMBER(SEARCH("入",D4263)))),"Ambiguous",IF(ISNUMBER(SEARCH("平",D4263)),"平","仄")))</x:f>
        <x:v>仄</x:v>
      </x:c>
      <x:c r="L4263" s="7" t="str"/>
    </x:row>
    <x:row r="4264">
      <x:c r="A4264" s="5" t="str">
        <x:v>郞</x:v>
      </x:c>
      <x:c r="B4264" s="6" t="str">
        <x:v>平</x:v>
      </x:c>
      <x:c r="C4264" s="6" t="str">
        <x:f>IF(B4264="","Needs decision","Ready")</x:f>
        <x:v>Ready</x:v>
      </x:c>
      <x:c r="D4264" s="6" t="str">
        <x:v>平</x:v>
      </x:c>
      <x:c r="E4264" s="6" t="str"/>
      <x:c r="F4264" s="6" t="str"/>
      <x:c r="G4264" s="6" t="str"/>
      <x:c r="H4264" s="6" t="str"/>
      <x:c r="I4264" s="6" t="str">
        <x:v>Manual user correction/addition</x:v>
      </x:c>
      <x:c r="J4264" s="6" t="str">
        <x:f>IF(B4264="","",IF(AND(ISNUMBER(SEARCH("平",B4264)),OR(ISNUMBER(SEARCH("上",B4264)),ISNUMBER(SEARCH("去",B4264)),ISNUMBER(SEARCH("入",B4264)))),"Ambiguous",IF(ISNUMBER(SEARCH("平",B4264)),"平","仄")))</x:f>
        <x:v>平</x:v>
      </x:c>
      <x:c r="K4264" s="6" t="str">
        <x:f>IF(D4264="","",IF(AND(ISNUMBER(SEARCH("平",D4264)),OR(ISNUMBER(SEARCH("上",D4264)),ISNUMBER(SEARCH("去",D4264)),ISNUMBER(SEARCH("入",D4264)))),"Ambiguous",IF(ISNUMBER(SEARCH("平",D4264)),"平","仄")))</x:f>
        <x:v>平</x:v>
      </x:c>
      <x:c r="L4264" s="7" t="str">
        <x:v>manual user correction</x:v>
      </x:c>
    </x:row>
    <x:row r="4265">
      <x:c r="A4265" s="5" t="str">
        <x:v>郡</x:v>
      </x:c>
      <x:c r="B4265" s="6" t="str">
        <x:v>去</x:v>
      </x:c>
      <x:c r="C4265" s="6" t="str">
        <x:f>IF(B4265="","Needs decision","Ready")</x:f>
        <x:v>Ready</x:v>
      </x:c>
      <x:c r="D4265" s="6" t="str">
        <x:v>去</x:v>
      </x:c>
      <x:c r="E4265" s="6" t="str">
        <x:v>gjunH (C)</x:v>
      </x:c>
      <x:c r="F4265" s="6" t="str">
        <x:v>去聲十三問</x:v>
      </x:c>
      <x:c r="G4265" s="6" t="str">
        <x:v>Pingshui main list, Wikisource-derived DOCX</x:v>
      </x:c>
      <x:c r="H4265" s="6" t="str">
        <x:v>1</x:v>
      </x:c>
      <x:c r="I4265" s="6" t="str"/>
      <x:c r="J4265" s="6" t="str">
        <x:f>IF(B4265="","",IF(AND(ISNUMBER(SEARCH("平",B4265)),OR(ISNUMBER(SEARCH("上",B4265)),ISNUMBER(SEARCH("去",B4265)),ISNUMBER(SEARCH("入",B4265)))),"Ambiguous",IF(ISNUMBER(SEARCH("平",B4265)),"平","仄")))</x:f>
        <x:v>仄</x:v>
      </x:c>
      <x:c r="K4265" s="6" t="str">
        <x:f>IF(D4265="","",IF(AND(ISNUMBER(SEARCH("平",D4265)),OR(ISNUMBER(SEARCH("上",D4265)),ISNUMBER(SEARCH("去",D4265)),ISNUMBER(SEARCH("入",D4265)))),"Ambiguous",IF(ISNUMBER(SEARCH("平",D4265)),"平","仄")))</x:f>
        <x:v>仄</x:v>
      </x:c>
      <x:c r="L4265" s="7" t="str"/>
    </x:row>
    <x:row r="4266">
      <x:c r="A4266" s="5" t="str">
        <x:v>郢</x:v>
      </x:c>
      <x:c r="B4266" s="6" t="str">
        <x:v>上</x:v>
      </x:c>
      <x:c r="C4266" s="6" t="str">
        <x:f>IF(B4266="","Needs decision","Ready")</x:f>
        <x:v>Ready</x:v>
      </x:c>
      <x:c r="D4266" s="6" t="str">
        <x:v>上</x:v>
      </x:c>
      <x:c r="E4266" s="6" t="str">
        <x:v>yengX (B)</x:v>
      </x:c>
      <x:c r="F4266" s="6" t="str">
        <x:v>上聲二十三梗</x:v>
      </x:c>
      <x:c r="G4266" s="6" t="str">
        <x:v>Pingshui main list, Wikisource-derived DOCX</x:v>
      </x:c>
      <x:c r="H4266" s="6" t="str">
        <x:v>1</x:v>
      </x:c>
      <x:c r="I4266" s="6" t="str"/>
      <x:c r="J4266" s="6" t="str">
        <x:f>IF(B4266="","",IF(AND(ISNUMBER(SEARCH("平",B4266)),OR(ISNUMBER(SEARCH("上",B4266)),ISNUMBER(SEARCH("去",B4266)),ISNUMBER(SEARCH("入",B4266)))),"Ambiguous",IF(ISNUMBER(SEARCH("平",B4266)),"平","仄")))</x:f>
        <x:v>仄</x:v>
      </x:c>
      <x:c r="K4266" s="6" t="str">
        <x:f>IF(D4266="","",IF(AND(ISNUMBER(SEARCH("平",D4266)),OR(ISNUMBER(SEARCH("上",D4266)),ISNUMBER(SEARCH("去",D4266)),ISNUMBER(SEARCH("入",D4266)))),"Ambiguous",IF(ISNUMBER(SEARCH("平",D4266)),"平","仄")))</x:f>
        <x:v>仄</x:v>
      </x:c>
      <x:c r="L4266" s="7" t="str"/>
    </x:row>
    <x:row r="4267">
      <x:c r="A4267" s="5" t="str">
        <x:v>郤</x:v>
      </x:c>
      <x:c r="B4267" s="6" t="str">
        <x:v>入</x:v>
      </x:c>
      <x:c r="C4267" s="6" t="str">
        <x:f>IF(B4267="","Needs decision","Ready")</x:f>
        <x:v>Ready</x:v>
      </x:c>
      <x:c r="D4267" s="6" t="str">
        <x:v>入</x:v>
      </x:c>
      <x:c r="E4267" s="6" t="str">
        <x:v>khjaek (D)</x:v>
      </x:c>
      <x:c r="F4267" s="6" t="str">
        <x:v>入聲十藥; 入聲十一陌</x:v>
      </x:c>
      <x:c r="G4267" s="6" t="str">
        <x:v>Pingshui main list, Wikisource-derived DOCX</x:v>
      </x:c>
      <x:c r="H4267" s="6" t="str">
        <x:v>1</x:v>
      </x:c>
      <x:c r="I4267" s="6" t="str"/>
      <x:c r="J4267" s="6" t="str">
        <x:f>IF(B4267="","",IF(AND(ISNUMBER(SEARCH("平",B4267)),OR(ISNUMBER(SEARCH("上",B4267)),ISNUMBER(SEARCH("去",B4267)),ISNUMBER(SEARCH("入",B4267)))),"Ambiguous",IF(ISNUMBER(SEARCH("平",B4267)),"平","仄")))</x:f>
        <x:v>仄</x:v>
      </x:c>
      <x:c r="K4267" s="6" t="str">
        <x:f>IF(D4267="","",IF(AND(ISNUMBER(SEARCH("平",D4267)),OR(ISNUMBER(SEARCH("上",D4267)),ISNUMBER(SEARCH("去",D4267)),ISNUMBER(SEARCH("入",D4267)))),"Ambiguous",IF(ISNUMBER(SEARCH("平",D4267)),"平","仄")))</x:f>
        <x:v>仄</x:v>
      </x:c>
      <x:c r="L4267" s="7" t="str"/>
    </x:row>
    <x:row r="4268">
      <x:c r="A4268" s="5" t="str">
        <x:v>部</x:v>
      </x:c>
      <x:c r="B4268" s="6" t="str">
        <x:v>上</x:v>
      </x:c>
      <x:c r="C4268" s="6" t="str">
        <x:f>IF(B4268="","Needs decision","Ready")</x:f>
        <x:v>Ready</x:v>
      </x:c>
      <x:c r="D4268" s="6" t="str">
        <x:v>上</x:v>
      </x:c>
      <x:c r="E4268" s="6" t="str">
        <x:v>buwX (B)</x:v>
      </x:c>
      <x:c r="F4268" s="6" t="str">
        <x:v>上聲七麌</x:v>
      </x:c>
      <x:c r="G4268" s="6" t="str">
        <x:v>Pingshui main list, Wikisource-derived DOCX</x:v>
      </x:c>
      <x:c r="H4268" s="6" t="str">
        <x:v>1</x:v>
      </x:c>
      <x:c r="I4268" s="6" t="str"/>
      <x:c r="J4268" s="6" t="str">
        <x:f>IF(B4268="","",IF(AND(ISNUMBER(SEARCH("平",B4268)),OR(ISNUMBER(SEARCH("上",B4268)),ISNUMBER(SEARCH("去",B4268)),ISNUMBER(SEARCH("入",B4268)))),"Ambiguous",IF(ISNUMBER(SEARCH("平",B4268)),"平","仄")))</x:f>
        <x:v>仄</x:v>
      </x:c>
      <x:c r="K4268" s="6" t="str">
        <x:f>IF(D4268="","",IF(AND(ISNUMBER(SEARCH("平",D4268)),OR(ISNUMBER(SEARCH("上",D4268)),ISNUMBER(SEARCH("去",D4268)),ISNUMBER(SEARCH("入",D4268)))),"Ambiguous",IF(ISNUMBER(SEARCH("平",D4268)),"平","仄")))</x:f>
        <x:v>仄</x:v>
      </x:c>
      <x:c r="L4268" s="7" t="str"/>
    </x:row>
    <x:row r="4269">
      <x:c r="A4269" s="5" t="str">
        <x:v>郭</x:v>
      </x:c>
      <x:c r="B4269" s="6" t="str">
        <x:v>入</x:v>
      </x:c>
      <x:c r="C4269" s="6" t="str">
        <x:f>IF(B4269="","Needs decision","Ready")</x:f>
        <x:v>Ready</x:v>
      </x:c>
      <x:c r="D4269" s="6" t="str">
        <x:v>入</x:v>
      </x:c>
      <x:c r="E4269" s="6" t="str">
        <x:v>kwak (D)</x:v>
      </x:c>
      <x:c r="F4269" s="6" t="str">
        <x:v>入聲十藥</x:v>
      </x:c>
      <x:c r="G4269" s="6" t="str">
        <x:v>Pingshui main list, Wikisource-derived DOCX</x:v>
      </x:c>
      <x:c r="H4269" s="6" t="str">
        <x:v>1</x:v>
      </x:c>
      <x:c r="I4269" s="6" t="str"/>
      <x:c r="J4269" s="6" t="str">
        <x:f>IF(B4269="","",IF(AND(ISNUMBER(SEARCH("平",B4269)),OR(ISNUMBER(SEARCH("上",B4269)),ISNUMBER(SEARCH("去",B4269)),ISNUMBER(SEARCH("入",B4269)))),"Ambiguous",IF(ISNUMBER(SEARCH("平",B4269)),"平","仄")))</x:f>
        <x:v>仄</x:v>
      </x:c>
      <x:c r="K4269" s="6" t="str">
        <x:f>IF(D4269="","",IF(AND(ISNUMBER(SEARCH("平",D4269)),OR(ISNUMBER(SEARCH("上",D4269)),ISNUMBER(SEARCH("去",D4269)),ISNUMBER(SEARCH("入",D4269)))),"Ambiguous",IF(ISNUMBER(SEARCH("平",D4269)),"平","仄")))</x:f>
        <x:v>仄</x:v>
      </x:c>
      <x:c r="L4269" s="7" t="str"/>
    </x:row>
    <x:row r="4270">
      <x:c r="A4270" s="5" t="str">
        <x:v>都</x:v>
      </x:c>
      <x:c r="B4270" s="6" t="str">
        <x:v>平</x:v>
      </x:c>
      <x:c r="C4270" s="6" t="str">
        <x:f>IF(B4270="","Needs decision","Ready")</x:f>
        <x:v>Ready</x:v>
      </x:c>
      <x:c r="D4270" s="6" t="str">
        <x:v>平</x:v>
      </x:c>
      <x:c r="E4270" s="6" t="str">
        <x:v>tu (A)</x:v>
      </x:c>
      <x:c r="F4270" s="6" t="str">
        <x:v>上平聲七虞</x:v>
      </x:c>
      <x:c r="G4270" s="6" t="str">
        <x:v>Pingshui main list, Wikisource-derived DOCX</x:v>
      </x:c>
      <x:c r="H4270" s="6" t="str">
        <x:v>1</x:v>
      </x:c>
      <x:c r="I4270" s="6" t="str"/>
      <x:c r="J4270" s="6" t="str">
        <x:f>IF(B4270="","",IF(AND(ISNUMBER(SEARCH("平",B4270)),OR(ISNUMBER(SEARCH("上",B4270)),ISNUMBER(SEARCH("去",B4270)),ISNUMBER(SEARCH("入",B4270)))),"Ambiguous",IF(ISNUMBER(SEARCH("平",B4270)),"平","仄")))</x:f>
        <x:v>平</x:v>
      </x:c>
      <x:c r="K4270" s="6" t="str">
        <x:f>IF(D4270="","",IF(AND(ISNUMBER(SEARCH("平",D4270)),OR(ISNUMBER(SEARCH("上",D4270)),ISNUMBER(SEARCH("去",D4270)),ISNUMBER(SEARCH("入",D4270)))),"Ambiguous",IF(ISNUMBER(SEARCH("平",D4270)),"平","仄")))</x:f>
        <x:v>平</x:v>
      </x:c>
      <x:c r="L4270" s="7" t="str"/>
    </x:row>
    <x:row r="4271">
      <x:c r="A4271" s="5" t="str">
        <x:v>鄂</x:v>
      </x:c>
      <x:c r="B4271" s="6" t="str">
        <x:v>入</x:v>
      </x:c>
      <x:c r="C4271" s="6" t="str">
        <x:f>IF(B4271="","Needs decision","Ready")</x:f>
        <x:v>Ready</x:v>
      </x:c>
      <x:c r="D4271" s="6" t="str">
        <x:v>入</x:v>
      </x:c>
      <x:c r="E4271" s="6" t="str">
        <x:v>ngak [ɴɑk] (入)</x:v>
      </x:c>
      <x:c r="F4271" s="6" t="str">
        <x:v>入聲十藥</x:v>
      </x:c>
      <x:c r="G4271" s="6" t="str">
        <x:v>Pingshui main list, Wikisource-derived DOCX</x:v>
      </x:c>
      <x:c r="H4271" s="6" t="str">
        <x:v>1</x:v>
      </x:c>
      <x:c r="I4271" s="6" t="str">
        <x:v>Tang 300 gap; frequency 1; provisional from Xun Gong</x:v>
      </x:c>
      <x:c r="J4271" s="6" t="str">
        <x:f>IF(B4271="","",IF(AND(ISNUMBER(SEARCH("平",B4271)),OR(ISNUMBER(SEARCH("上",B4271)),ISNUMBER(SEARCH("去",B4271)),ISNUMBER(SEARCH("入",B4271)))),"Ambiguous",IF(ISNUMBER(SEARCH("平",B4271)),"平","仄")))</x:f>
        <x:v>仄</x:v>
      </x:c>
      <x:c r="K4271" s="6" t="str">
        <x:f>IF(D4271="","",IF(AND(ISNUMBER(SEARCH("平",D4271)),OR(ISNUMBER(SEARCH("上",D4271)),ISNUMBER(SEARCH("去",D4271)),ISNUMBER(SEARCH("入",D4271)))),"Ambiguous",IF(ISNUMBER(SEARCH("平",D4271)),"平","仄")))</x:f>
        <x:v>仄</x:v>
      </x:c>
      <x:c r="L4271" s="7" t="str">
        <x:v>Xun Gong, Tang 300 gap fill</x:v>
      </x:c>
    </x:row>
    <x:row r="4272">
      <x:c r="A4272" s="5" t="str">
        <x:v>鄉</x:v>
      </x:c>
      <x:c r="B4272" s="6" t="str">
        <x:v>平</x:v>
      </x:c>
      <x:c r="C4272" s="6" t="str">
        <x:f>IF(B4272="","Needs decision","Ready")</x:f>
        <x:v>Ready</x:v>
      </x:c>
      <x:c r="D4272" s="6" t="str">
        <x:v>平/上/去</x:v>
      </x:c>
      <x:c r="E4272" s="6" t="str">
        <x:v>xjang (A); xjangX (B); xjangH (C)</x:v>
      </x:c>
      <x:c r="F4272" s="6" t="str">
        <x:v>下平聲七陽</x:v>
      </x:c>
      <x:c r="G4272" s="6" t="str">
        <x:v>Pingshui main list, Wikisource-derived DOCX</x:v>
      </x:c>
      <x:c r="H4272" s="6" t="str">
        <x:v>3</x:v>
      </x:c>
      <x:c r="I4272" s="6" t="str">
        <x:v>User correction 2026-09-08</x:v>
      </x:c>
      <x:c r="J4272" s="6" t="str">
        <x:f>IF(B4272="","",IF(AND(ISNUMBER(SEARCH("平",B4272)),OR(ISNUMBER(SEARCH("上",B4272)),ISNUMBER(SEARCH("去",B4272)),ISNUMBER(SEARCH("入",B4272)))),"Ambiguous",IF(ISNUMBER(SEARCH("平",B4272)),"平","仄")))</x:f>
        <x:v>平</x:v>
      </x:c>
      <x:c r="K4272" s="6" t="str">
        <x:f>IF(D4272="","",IF(AND(ISNUMBER(SEARCH("平",D4272)),OR(ISNUMBER(SEARCH("上",D4272)),ISNUMBER(SEARCH("去",D4272)),ISNUMBER(SEARCH("入",D4272)))),"Ambiguous",IF(ISNUMBER(SEARCH("平",D4272)),"平","仄")))</x:f>
        <x:v>Ambiguous</x:v>
      </x:c>
      <x:c r="L4272" s="7" t="str"/>
    </x:row>
    <x:row r="4273">
      <x:c r="A4273" s="5" t="str">
        <x:v>鄍</x:v>
      </x:c>
      <x:c r="B4273" s="6" t="str">
        <x:v>平</x:v>
      </x:c>
      <x:c r="C4273" s="6" t="str">
        <x:f>IF(B4273="","Needs decision","Ready")</x:f>
        <x:v>Ready</x:v>
      </x:c>
      <x:c r="D4273" s="6" t="str">
        <x:v>平</x:v>
      </x:c>
      <x:c r="E4273" s="6" t="str">
        <x:v>meng (A)</x:v>
      </x:c>
      <x:c r="F4273" s="6" t="str"/>
      <x:c r="G4273" s="6" t="str"/>
      <x:c r="H4273" s="6" t="str">
        <x:v>1</x:v>
      </x:c>
      <x:c r="I4273" s="6" t="str"/>
      <x:c r="J4273" s="6" t="str">
        <x:f>IF(B4273="","",IF(AND(ISNUMBER(SEARCH("平",B4273)),OR(ISNUMBER(SEARCH("上",B4273)),ISNUMBER(SEARCH("去",B4273)),ISNUMBER(SEARCH("入",B4273)))),"Ambiguous",IF(ISNUMBER(SEARCH("平",B4273)),"平","仄")))</x:f>
        <x:v>平</x:v>
      </x:c>
      <x:c r="K4273" s="6" t="str">
        <x:f>IF(D4273="","",IF(AND(ISNUMBER(SEARCH("平",D4273)),OR(ISNUMBER(SEARCH("上",D4273)),ISNUMBER(SEARCH("去",D4273)),ISNUMBER(SEARCH("入",D4273)))),"Ambiguous",IF(ISNUMBER(SEARCH("平",D4273)),"平","仄")))</x:f>
        <x:v>平</x:v>
      </x:c>
      <x:c r="L4273" s="7" t="str"/>
    </x:row>
    <x:row r="4274">
      <x:c r="A4274" s="5" t="str">
        <x:v>鄙</x:v>
      </x:c>
      <x:c r="B4274" s="6" t="str">
        <x:v>上</x:v>
      </x:c>
      <x:c r="C4274" s="6" t="str">
        <x:f>IF(B4274="","Needs decision","Ready")</x:f>
        <x:v>Ready</x:v>
      </x:c>
      <x:c r="D4274" s="6" t="str">
        <x:v>上</x:v>
      </x:c>
      <x:c r="E4274" s="6" t="str">
        <x:v>pijX (B)</x:v>
      </x:c>
      <x:c r="F4274" s="6" t="str">
        <x:v>上聲四紙</x:v>
      </x:c>
      <x:c r="G4274" s="6" t="str">
        <x:v>Pingshui main list, Wikisource-derived DOCX</x:v>
      </x:c>
      <x:c r="H4274" s="6" t="str">
        <x:v>1</x:v>
      </x:c>
      <x:c r="I4274" s="6" t="str"/>
      <x:c r="J4274" s="6" t="str">
        <x:f>IF(B4274="","",IF(AND(ISNUMBER(SEARCH("平",B4274)),OR(ISNUMBER(SEARCH("上",B4274)),ISNUMBER(SEARCH("去",B4274)),ISNUMBER(SEARCH("入",B4274)))),"Ambiguous",IF(ISNUMBER(SEARCH("平",B4274)),"平","仄")))</x:f>
        <x:v>仄</x:v>
      </x:c>
      <x:c r="K4274" s="6" t="str">
        <x:f>IF(D4274="","",IF(AND(ISNUMBER(SEARCH("平",D4274)),OR(ISNUMBER(SEARCH("上",D4274)),ISNUMBER(SEARCH("去",D4274)),ISNUMBER(SEARCH("入",D4274)))),"Ambiguous",IF(ISNUMBER(SEARCH("平",D4274)),"平","仄")))</x:f>
        <x:v>仄</x:v>
      </x:c>
      <x:c r="L4274" s="7" t="str"/>
    </x:row>
    <x:row r="4275">
      <x:c r="A4275" s="5" t="str">
        <x:v>鄜</x:v>
      </x:c>
      <x:c r="B4275" s="6" t="str"/>
      <x:c r="C4275" s="6" t="str">
        <x:f>IF(B4275="","Needs decision","Ready")</x:f>
        <x:v>Needs decision</x:v>
      </x:c>
      <x:c r="D4275" s="6" t="str">
        <x:v>平/入</x:v>
      </x:c>
      <x:c r="E4275" s="6" t="str">
        <x:v>luwk [l̙uk] (入); phju [pʰɨ̯o] (平)</x:v>
      </x:c>
      <x:c r="F4275" s="6" t="str"/>
      <x:c r="G4275" s="6" t="str"/>
      <x:c r="H4275" s="6" t="str">
        <x:v>2</x:v>
      </x:c>
      <x:c r="I4275" s="6" t="str">
        <x:v>Tang 300 gap; frequency 1; ambiguous in Xun Gong</x:v>
      </x:c>
      <x:c r="J4275" s="6" t="str">
        <x:f>IF(B4275="","",IF(AND(ISNUMBER(SEARCH("平",B4275)),OR(ISNUMBER(SEARCH("上",B4275)),ISNUMBER(SEARCH("去",B4275)),ISNUMBER(SEARCH("入",B4275)))),"Ambiguous",IF(ISNUMBER(SEARCH("平",B4275)),"平","仄")))</x:f>
      </x:c>
      <x:c r="K4275" s="6" t="str">
        <x:f>IF(D4275="","",IF(AND(ISNUMBER(SEARCH("平",D4275)),OR(ISNUMBER(SEARCH("上",D4275)),ISNUMBER(SEARCH("去",D4275)),ISNUMBER(SEARCH("入",D4275)))),"Ambiguous",IF(ISNUMBER(SEARCH("平",D4275)),"平","仄")))</x:f>
        <x:v>Ambiguous</x:v>
      </x:c>
      <x:c r="L4275" s="7" t="str">
        <x:v>Xun Gong, Tang 300 gap fill</x:v>
      </x:c>
    </x:row>
    <x:row r="4276">
      <x:c r="A4276" s="5" t="str">
        <x:v>鄢</x:v>
      </x:c>
      <x:c r="B4276" s="6" t="str"/>
      <x:c r="C4276" s="6" t="str">
        <x:f>IF(B4276="","Needs decision","Ready")</x:f>
        <x:v>Needs decision</x:v>
      </x:c>
      <x:c r="D4276" s="6" t="str">
        <x:v>平/上</x:v>
      </x:c>
      <x:c r="E4276" s="6" t="str">
        <x:v>'jen (A); 'jon (A); 'jonX (B)</x:v>
      </x:c>
      <x:c r="F4276" s="6" t="str">
        <x:v>下平聲一先; 上聲十三阮</x:v>
      </x:c>
      <x:c r="G4276" s="6" t="str">
        <x:v>Pingshui main list, Wikisource-derived DOCX</x:v>
      </x:c>
      <x:c r="H4276" s="6" t="str">
        <x:v>3</x:v>
      </x:c>
      <x:c r="I4276" s="6" t="str"/>
      <x:c r="J4276" s="6" t="str">
        <x:f>IF(B4276="","",IF(AND(ISNUMBER(SEARCH("平",B4276)),OR(ISNUMBER(SEARCH("上",B4276)),ISNUMBER(SEARCH("去",B4276)),ISNUMBER(SEARCH("入",B4276)))),"Ambiguous",IF(ISNUMBER(SEARCH("平",B4276)),"平","仄")))</x:f>
      </x:c>
      <x:c r="K4276" s="6" t="str">
        <x:f>IF(D4276="","",IF(AND(ISNUMBER(SEARCH("平",D4276)),OR(ISNUMBER(SEARCH("上",D4276)),ISNUMBER(SEARCH("去",D4276)),ISNUMBER(SEARCH("入",D4276)))),"Ambiguous",IF(ISNUMBER(SEARCH("平",D4276)),"平","仄")))</x:f>
        <x:v>Ambiguous</x:v>
      </x:c>
      <x:c r="L4276" s="7" t="str"/>
    </x:row>
    <x:row r="4277">
      <x:c r="A4277" s="5" t="str">
        <x:v>鄧</x:v>
      </x:c>
      <x:c r="B4277" s="6" t="str">
        <x:v>去</x:v>
      </x:c>
      <x:c r="C4277" s="6" t="str">
        <x:f>IF(B4277="","Needs decision","Ready")</x:f>
        <x:v>Ready</x:v>
      </x:c>
      <x:c r="D4277" s="6" t="str">
        <x:v>去</x:v>
      </x:c>
      <x:c r="E4277" s="6" t="str">
        <x:v>dongH [d̙əŋh] (去)</x:v>
      </x:c>
      <x:c r="F4277" s="6" t="str">
        <x:v>去聲二十五徑</x:v>
      </x:c>
      <x:c r="G4277" s="6" t="str">
        <x:v>Pingshui main list, Wikisource-derived DOCX</x:v>
      </x:c>
      <x:c r="H4277" s="6" t="str">
        <x:v>1</x:v>
      </x:c>
      <x:c r="I4277" s="6" t="str">
        <x:v>Tang 300 gap; frequency 1; provisional from Xun Gong</x:v>
      </x:c>
      <x:c r="J4277" s="6" t="str">
        <x:f>IF(B4277="","",IF(AND(ISNUMBER(SEARCH("平",B4277)),OR(ISNUMBER(SEARCH("上",B4277)),ISNUMBER(SEARCH("去",B4277)),ISNUMBER(SEARCH("入",B4277)))),"Ambiguous",IF(ISNUMBER(SEARCH("平",B4277)),"平","仄")))</x:f>
        <x:v>仄</x:v>
      </x:c>
      <x:c r="K4277" s="6" t="str">
        <x:f>IF(D4277="","",IF(AND(ISNUMBER(SEARCH("平",D4277)),OR(ISNUMBER(SEARCH("上",D4277)),ISNUMBER(SEARCH("去",D4277)),ISNUMBER(SEARCH("入",D4277)))),"Ambiguous",IF(ISNUMBER(SEARCH("平",D4277)),"平","仄")))</x:f>
        <x:v>仄</x:v>
      </x:c>
      <x:c r="L4277" s="7" t="str">
        <x:v>Xun Gong, Tang 300 gap fill</x:v>
      </x:c>
    </x:row>
    <x:row r="4278">
      <x:c r="A4278" s="5" t="str">
        <x:v>鄭</x:v>
      </x:c>
      <x:c r="B4278" s="6" t="str">
        <x:v>去</x:v>
      </x:c>
      <x:c r="C4278" s="6" t="str">
        <x:f>IF(B4278="","Needs decision","Ready")</x:f>
        <x:v>Ready</x:v>
      </x:c>
      <x:c r="D4278" s="6" t="str">
        <x:v>去</x:v>
      </x:c>
      <x:c r="E4278" s="6" t="str">
        <x:v>drjengH (C)</x:v>
      </x:c>
      <x:c r="F4278" s="6" t="str">
        <x:v>去聲二十四敬</x:v>
      </x:c>
      <x:c r="G4278" s="6" t="str">
        <x:v>Pingshui main list, Wikisource-derived DOCX</x:v>
      </x:c>
      <x:c r="H4278" s="6" t="str">
        <x:v>1</x:v>
      </x:c>
      <x:c r="I4278" s="6" t="str"/>
      <x:c r="J4278" s="6" t="str">
        <x:f>IF(B4278="","",IF(AND(ISNUMBER(SEARCH("平",B4278)),OR(ISNUMBER(SEARCH("上",B4278)),ISNUMBER(SEARCH("去",B4278)),ISNUMBER(SEARCH("入",B4278)))),"Ambiguous",IF(ISNUMBER(SEARCH("平",B4278)),"平","仄")))</x:f>
        <x:v>仄</x:v>
      </x:c>
      <x:c r="K4278" s="6" t="str">
        <x:f>IF(D4278="","",IF(AND(ISNUMBER(SEARCH("平",D4278)),OR(ISNUMBER(SEARCH("上",D4278)),ISNUMBER(SEARCH("去",D4278)),ISNUMBER(SEARCH("入",D4278)))),"Ambiguous",IF(ISNUMBER(SEARCH("平",D4278)),"平","仄")))</x:f>
        <x:v>仄</x:v>
      </x:c>
      <x:c r="L4278" s="7" t="str"/>
    </x:row>
    <x:row r="4279">
      <x:c r="A4279" s="5" t="str">
        <x:v>鄰</x:v>
      </x:c>
      <x:c r="B4279" s="6" t="str">
        <x:v>平</x:v>
      </x:c>
      <x:c r="C4279" s="6" t="str">
        <x:f>IF(B4279="","Needs decision","Ready")</x:f>
        <x:v>Ready</x:v>
      </x:c>
      <x:c r="D4279" s="6" t="str">
        <x:v>平</x:v>
      </x:c>
      <x:c r="E4279" s="6" t="str">
        <x:v>lin (A)</x:v>
      </x:c>
      <x:c r="F4279" s="6" t="str">
        <x:v>上平聲十一真</x:v>
      </x:c>
      <x:c r="G4279" s="6" t="str">
        <x:v>Pingshui main list, Wikisource-derived DOCX</x:v>
      </x:c>
      <x:c r="H4279" s="6" t="str">
        <x:v>1</x:v>
      </x:c>
      <x:c r="I4279" s="6" t="str"/>
      <x:c r="J4279" s="6" t="str">
        <x:f>IF(B4279="","",IF(AND(ISNUMBER(SEARCH("平",B4279)),OR(ISNUMBER(SEARCH("上",B4279)),ISNUMBER(SEARCH("去",B4279)),ISNUMBER(SEARCH("入",B4279)))),"Ambiguous",IF(ISNUMBER(SEARCH("平",B4279)),"平","仄")))</x:f>
        <x:v>平</x:v>
      </x:c>
      <x:c r="K4279" s="6" t="str">
        <x:f>IF(D4279="","",IF(AND(ISNUMBER(SEARCH("平",D4279)),OR(ISNUMBER(SEARCH("上",D4279)),ISNUMBER(SEARCH("去",D4279)),ISNUMBER(SEARCH("入",D4279)))),"Ambiguous",IF(ISNUMBER(SEARCH("平",D4279)),"平","仄")))</x:f>
        <x:v>平</x:v>
      </x:c>
      <x:c r="L4279" s="7" t="str"/>
    </x:row>
    <x:row r="4280">
      <x:c r="A4280" s="5" t="str">
        <x:v>鄱</x:v>
      </x:c>
      <x:c r="B4280" s="6" t="str">
        <x:v>平</x:v>
      </x:c>
      <x:c r="C4280" s="6" t="str">
        <x:f>IF(B4280="","Needs decision","Ready")</x:f>
        <x:v>Ready</x:v>
      </x:c>
      <x:c r="D4280" s="6" t="str">
        <x:v>平</x:v>
      </x:c>
      <x:c r="E4280" s="6" t="str">
        <x:v>ba (A)</x:v>
      </x:c>
      <x:c r="F4280" s="6" t="str"/>
      <x:c r="G4280" s="6" t="str"/>
      <x:c r="H4280" s="6" t="str">
        <x:v>1</x:v>
      </x:c>
      <x:c r="I4280" s="6" t="str"/>
      <x:c r="J4280" s="6" t="str">
        <x:f>IF(B4280="","",IF(AND(ISNUMBER(SEARCH("平",B4280)),OR(ISNUMBER(SEARCH("上",B4280)),ISNUMBER(SEARCH("去",B4280)),ISNUMBER(SEARCH("入",B4280)))),"Ambiguous",IF(ISNUMBER(SEARCH("平",B4280)),"平","仄")))</x:f>
        <x:v>平</x:v>
      </x:c>
      <x:c r="K4280" s="6" t="str">
        <x:f>IF(D4280="","",IF(AND(ISNUMBER(SEARCH("平",D4280)),OR(ISNUMBER(SEARCH("上",D4280)),ISNUMBER(SEARCH("去",D4280)),ISNUMBER(SEARCH("入",D4280)))),"Ambiguous",IF(ISNUMBER(SEARCH("平",D4280)),"平","仄")))</x:f>
        <x:v>平</x:v>
      </x:c>
      <x:c r="L4280" s="7" t="str"/>
    </x:row>
    <x:row r="4281">
      <x:c r="A4281" s="5" t="str">
        <x:v>鄲</x:v>
      </x:c>
      <x:c r="B4281" s="6" t="str">
        <x:v>平</x:v>
      </x:c>
      <x:c r="C4281" s="6" t="str">
        <x:f>IF(B4281="","Needs decision","Ready")</x:f>
        <x:v>Ready</x:v>
      </x:c>
      <x:c r="D4281" s="6" t="str">
        <x:v>平</x:v>
      </x:c>
      <x:c r="E4281" s="6" t="str">
        <x:v>tan (A)</x:v>
      </x:c>
      <x:c r="F4281" s="6" t="str">
        <x:v>上平聲十四寒</x:v>
      </x:c>
      <x:c r="G4281" s="6" t="str">
        <x:v>Pingshui main list, Wikisource-derived DOCX</x:v>
      </x:c>
      <x:c r="H4281" s="6" t="str">
        <x:v>1</x:v>
      </x:c>
      <x:c r="I4281" s="6" t="str"/>
      <x:c r="J4281" s="6" t="str">
        <x:f>IF(B4281="","",IF(AND(ISNUMBER(SEARCH("平",B4281)),OR(ISNUMBER(SEARCH("上",B4281)),ISNUMBER(SEARCH("去",B4281)),ISNUMBER(SEARCH("入",B4281)))),"Ambiguous",IF(ISNUMBER(SEARCH("平",B4281)),"平","仄")))</x:f>
        <x:v>平</x:v>
      </x:c>
      <x:c r="K4281" s="6" t="str">
        <x:f>IF(D4281="","",IF(AND(ISNUMBER(SEARCH("平",D4281)),OR(ISNUMBER(SEARCH("上",D4281)),ISNUMBER(SEARCH("去",D4281)),ISNUMBER(SEARCH("入",D4281)))),"Ambiguous",IF(ISNUMBER(SEARCH("平",D4281)),"平","仄")))</x:f>
        <x:v>平</x:v>
      </x:c>
      <x:c r="L4281" s="7" t="str"/>
    </x:row>
    <x:row r="4282">
      <x:c r="A4282" s="5" t="str">
        <x:v>鄴</x:v>
      </x:c>
      <x:c r="B4282" s="6" t="str">
        <x:v>入</x:v>
      </x:c>
      <x:c r="C4282" s="6" t="str">
        <x:f>IF(B4282="","Needs decision","Ready")</x:f>
        <x:v>Ready</x:v>
      </x:c>
      <x:c r="D4282" s="6" t="str">
        <x:v>入</x:v>
      </x:c>
      <x:c r="E4282" s="6" t="str"/>
      <x:c r="F4282" s="6" t="str">
        <x:v>入聲十七洽</x:v>
      </x:c>
      <x:c r="G4282" s="6" t="str">
        <x:v>Pingshui main list, Wikisource-derived DOCX</x:v>
      </x:c>
      <x:c r="H4282" s="6" t="str"/>
      <x:c r="I4282" s="6" t="str">
        <x:v>Manual user correction/addition</x:v>
      </x:c>
      <x:c r="J4282" s="6" t="str">
        <x:f>IF(B4282="","",IF(AND(ISNUMBER(SEARCH("平",B4282)),OR(ISNUMBER(SEARCH("上",B4282)),ISNUMBER(SEARCH("去",B4282)),ISNUMBER(SEARCH("入",B4282)))),"Ambiguous",IF(ISNUMBER(SEARCH("平",B4282)),"平","仄")))</x:f>
        <x:v>仄</x:v>
      </x:c>
      <x:c r="K4282" s="6" t="str">
        <x:f>IF(D4282="","",IF(AND(ISNUMBER(SEARCH("平",D4282)),OR(ISNUMBER(SEARCH("上",D4282)),ISNUMBER(SEARCH("去",D4282)),ISNUMBER(SEARCH("入",D4282)))),"Ambiguous",IF(ISNUMBER(SEARCH("平",D4282)),"平","仄")))</x:f>
        <x:v>仄</x:v>
      </x:c>
      <x:c r="L4282" s="7" t="str">
        <x:v>manual user correction</x:v>
      </x:c>
    </x:row>
    <x:row r="4283">
      <x:c r="A4283" s="5" t="str">
        <x:v>鄹</x:v>
      </x:c>
      <x:c r="B4283" s="6" t="str"/>
      <x:c r="C4283" s="6" t="str">
        <x:f>IF(B4283="","Needs decision","Ready")</x:f>
        <x:v>Needs decision</x:v>
      </x:c>
      <x:c r="D4283" s="6" t="str">
        <x:v>平/上</x:v>
      </x:c>
      <x:c r="E4283" s="6" t="str">
        <x:v>dzjuX [dzjoʔ] (上); tsrjuw [tʂɨ̯u] (平)</x:v>
      </x:c>
      <x:c r="F4283" s="6" t="str"/>
      <x:c r="G4283" s="6" t="str"/>
      <x:c r="H4283" s="6" t="str">
        <x:v>2</x:v>
      </x:c>
      <x:c r="I4283" s="6" t="str">
        <x:v>Tang 300 gap; frequency 1; ambiguous in Xun Gong</x:v>
      </x:c>
      <x:c r="J4283" s="6" t="str">
        <x:f>IF(B4283="","",IF(AND(ISNUMBER(SEARCH("平",B4283)),OR(ISNUMBER(SEARCH("上",B4283)),ISNUMBER(SEARCH("去",B4283)),ISNUMBER(SEARCH("入",B4283)))),"Ambiguous",IF(ISNUMBER(SEARCH("平",B4283)),"平","仄")))</x:f>
      </x:c>
      <x:c r="K4283" s="6" t="str">
        <x:f>IF(D4283="","",IF(AND(ISNUMBER(SEARCH("平",D4283)),OR(ISNUMBER(SEARCH("上",D4283)),ISNUMBER(SEARCH("去",D4283)),ISNUMBER(SEARCH("入",D4283)))),"Ambiguous",IF(ISNUMBER(SEARCH("平",D4283)),"平","仄")))</x:f>
        <x:v>Ambiguous</x:v>
      </x:c>
      <x:c r="L4283" s="7" t="str">
        <x:v>Xun Gong, Tang 300 gap fill</x:v>
      </x:c>
    </x:row>
    <x:row r="4284">
      <x:c r="A4284" s="5" t="str">
        <x:v>酉</x:v>
      </x:c>
      <x:c r="B4284" s="6" t="str">
        <x:v>上</x:v>
      </x:c>
      <x:c r="C4284" s="6" t="str">
        <x:f>IF(B4284="","Needs decision","Ready")</x:f>
        <x:v>Ready</x:v>
      </x:c>
      <x:c r="D4284" s="6" t="str">
        <x:v>上</x:v>
      </x:c>
      <x:c r="E4284" s="6" t="str">
        <x:v>yuwX (B)</x:v>
      </x:c>
      <x:c r="F4284" s="6" t="str">
        <x:v>上聲二十五有</x:v>
      </x:c>
      <x:c r="G4284" s="6" t="str">
        <x:v>Pingshui main list, Wikisource-derived DOCX</x:v>
      </x:c>
      <x:c r="H4284" s="6" t="str">
        <x:v>1</x:v>
      </x:c>
      <x:c r="I4284" s="6" t="str"/>
      <x:c r="J4284" s="6" t="str">
        <x:f>IF(B4284="","",IF(AND(ISNUMBER(SEARCH("平",B4284)),OR(ISNUMBER(SEARCH("上",B4284)),ISNUMBER(SEARCH("去",B4284)),ISNUMBER(SEARCH("入",B4284)))),"Ambiguous",IF(ISNUMBER(SEARCH("平",B4284)),"平","仄")))</x:f>
        <x:v>仄</x:v>
      </x:c>
      <x:c r="K4284" s="6" t="str">
        <x:f>IF(D4284="","",IF(AND(ISNUMBER(SEARCH("平",D4284)),OR(ISNUMBER(SEARCH("上",D4284)),ISNUMBER(SEARCH("去",D4284)),ISNUMBER(SEARCH("入",D4284)))),"Ambiguous",IF(ISNUMBER(SEARCH("平",D4284)),"平","仄")))</x:f>
        <x:v>仄</x:v>
      </x:c>
      <x:c r="L4284" s="7" t="str"/>
    </x:row>
    <x:row r="4285">
      <x:c r="A4285" s="5" t="str">
        <x:v>酋</x:v>
      </x:c>
      <x:c r="B4285" s="6" t="str">
        <x:v>平</x:v>
      </x:c>
      <x:c r="C4285" s="6" t="str">
        <x:f>IF(B4285="","Needs decision","Ready")</x:f>
        <x:v>Ready</x:v>
      </x:c>
      <x:c r="D4285" s="6" t="str">
        <x:v>平</x:v>
      </x:c>
      <x:c r="E4285" s="6" t="str">
        <x:v>dzjuw (A)</x:v>
      </x:c>
      <x:c r="F4285" s="6" t="str">
        <x:v>下平聲十一尤</x:v>
      </x:c>
      <x:c r="G4285" s="6" t="str">
        <x:v>Pingshui main list, Wikisource-derived DOCX</x:v>
      </x:c>
      <x:c r="H4285" s="6" t="str">
        <x:v>1</x:v>
      </x:c>
      <x:c r="I4285" s="6" t="str"/>
      <x:c r="J4285" s="6" t="str">
        <x:f>IF(B4285="","",IF(AND(ISNUMBER(SEARCH("平",B4285)),OR(ISNUMBER(SEARCH("上",B4285)),ISNUMBER(SEARCH("去",B4285)),ISNUMBER(SEARCH("入",B4285)))),"Ambiguous",IF(ISNUMBER(SEARCH("平",B4285)),"平","仄")))</x:f>
        <x:v>平</x:v>
      </x:c>
      <x:c r="K4285" s="6" t="str">
        <x:f>IF(D4285="","",IF(AND(ISNUMBER(SEARCH("平",D4285)),OR(ISNUMBER(SEARCH("上",D4285)),ISNUMBER(SEARCH("去",D4285)),ISNUMBER(SEARCH("入",D4285)))),"Ambiguous",IF(ISNUMBER(SEARCH("平",D4285)),"平","仄")))</x:f>
        <x:v>平</x:v>
      </x:c>
      <x:c r="L4285" s="7" t="str"/>
    </x:row>
    <x:row r="4286">
      <x:c r="A4286" s="5" t="str">
        <x:v>酌</x:v>
      </x:c>
      <x:c r="B4286" s="6" t="str">
        <x:v>入</x:v>
      </x:c>
      <x:c r="C4286" s="6" t="str">
        <x:f>IF(B4286="","Needs decision","Ready")</x:f>
        <x:v>Ready</x:v>
      </x:c>
      <x:c r="D4286" s="6" t="str">
        <x:v>入</x:v>
      </x:c>
      <x:c r="E4286" s="6" t="str">
        <x:v>tsyak (D)</x:v>
      </x:c>
      <x:c r="F4286" s="6" t="str">
        <x:v>入聲十藥</x:v>
      </x:c>
      <x:c r="G4286" s="6" t="str">
        <x:v>Pingshui main list, Wikisource-derived DOCX</x:v>
      </x:c>
      <x:c r="H4286" s="6" t="str">
        <x:v>1</x:v>
      </x:c>
      <x:c r="I4286" s="6" t="str"/>
      <x:c r="J4286" s="6" t="str">
        <x:f>IF(B4286="","",IF(AND(ISNUMBER(SEARCH("平",B4286)),OR(ISNUMBER(SEARCH("上",B4286)),ISNUMBER(SEARCH("去",B4286)),ISNUMBER(SEARCH("入",B4286)))),"Ambiguous",IF(ISNUMBER(SEARCH("平",B4286)),"平","仄")))</x:f>
        <x:v>仄</x:v>
      </x:c>
      <x:c r="K4286" s="6" t="str">
        <x:f>IF(D4286="","",IF(AND(ISNUMBER(SEARCH("平",D4286)),OR(ISNUMBER(SEARCH("上",D4286)),ISNUMBER(SEARCH("去",D4286)),ISNUMBER(SEARCH("入",D4286)))),"Ambiguous",IF(ISNUMBER(SEARCH("平",D4286)),"平","仄")))</x:f>
        <x:v>仄</x:v>
      </x:c>
      <x:c r="L4286" s="7" t="str"/>
    </x:row>
    <x:row r="4287">
      <x:c r="A4287" s="5" t="str">
        <x:v>配</x:v>
      </x:c>
      <x:c r="B4287" s="6" t="str">
        <x:v>去</x:v>
      </x:c>
      <x:c r="C4287" s="6" t="str">
        <x:f>IF(B4287="","Needs decision","Ready")</x:f>
        <x:v>Ready</x:v>
      </x:c>
      <x:c r="D4287" s="6" t="str">
        <x:v>去</x:v>
      </x:c>
      <x:c r="E4287" s="6" t="str">
        <x:v>phwojH (C)</x:v>
      </x:c>
      <x:c r="F4287" s="6" t="str">
        <x:v>去聲十一隊</x:v>
      </x:c>
      <x:c r="G4287" s="6" t="str">
        <x:v>Pingshui main list, Wikisource-derived DOCX</x:v>
      </x:c>
      <x:c r="H4287" s="6" t="str">
        <x:v>1</x:v>
      </x:c>
      <x:c r="I4287" s="6" t="str"/>
      <x:c r="J4287" s="6" t="str">
        <x:f>IF(B4287="","",IF(AND(ISNUMBER(SEARCH("平",B4287)),OR(ISNUMBER(SEARCH("上",B4287)),ISNUMBER(SEARCH("去",B4287)),ISNUMBER(SEARCH("入",B4287)))),"Ambiguous",IF(ISNUMBER(SEARCH("平",B4287)),"平","仄")))</x:f>
        <x:v>仄</x:v>
      </x:c>
      <x:c r="K4287" s="6" t="str">
        <x:f>IF(D4287="","",IF(AND(ISNUMBER(SEARCH("平",D4287)),OR(ISNUMBER(SEARCH("上",D4287)),ISNUMBER(SEARCH("去",D4287)),ISNUMBER(SEARCH("入",D4287)))),"Ambiguous",IF(ISNUMBER(SEARCH("平",D4287)),"平","仄")))</x:f>
        <x:v>仄</x:v>
      </x:c>
      <x:c r="L4287" s="7" t="str"/>
    </x:row>
    <x:row r="4288">
      <x:c r="A4288" s="5" t="str">
        <x:v>酎</x:v>
      </x:c>
      <x:c r="B4288" s="6" t="str">
        <x:v>上</x:v>
      </x:c>
      <x:c r="C4288" s="6" t="str">
        <x:f>IF(B4288="","Needs decision","Ready")</x:f>
        <x:v>Ready</x:v>
      </x:c>
      <x:c r="D4288" s="6" t="str">
        <x:v>上</x:v>
      </x:c>
      <x:c r="E4288" s="6" t="str">
        <x:v>drjuwX (B)</x:v>
      </x:c>
      <x:c r="F4288" s="6" t="str">
        <x:v>去聲二十六宥</x:v>
      </x:c>
      <x:c r="G4288" s="6" t="str">
        <x:v>Pingshui main list, Wikisource-derived DOCX</x:v>
      </x:c>
      <x:c r="H4288" s="6" t="str">
        <x:v>1</x:v>
      </x:c>
      <x:c r="I4288" s="6" t="str"/>
      <x:c r="J4288" s="6" t="str">
        <x:f>IF(B4288="","",IF(AND(ISNUMBER(SEARCH("平",B4288)),OR(ISNUMBER(SEARCH("上",B4288)),ISNUMBER(SEARCH("去",B4288)),ISNUMBER(SEARCH("入",B4288)))),"Ambiguous",IF(ISNUMBER(SEARCH("平",B4288)),"平","仄")))</x:f>
        <x:v>仄</x:v>
      </x:c>
      <x:c r="K4288" s="6" t="str">
        <x:f>IF(D4288="","",IF(AND(ISNUMBER(SEARCH("平",D4288)),OR(ISNUMBER(SEARCH("上",D4288)),ISNUMBER(SEARCH("去",D4288)),ISNUMBER(SEARCH("入",D4288)))),"Ambiguous",IF(ISNUMBER(SEARCH("平",D4288)),"平","仄")))</x:f>
        <x:v>仄</x:v>
      </x:c>
      <x:c r="L4288" s="7" t="str"/>
    </x:row>
    <x:row r="4289">
      <x:c r="A4289" s="5" t="str">
        <x:v>酒</x:v>
      </x:c>
      <x:c r="B4289" s="6" t="str">
        <x:v>上</x:v>
      </x:c>
      <x:c r="C4289" s="6" t="str">
        <x:f>IF(B4289="","Needs decision","Ready")</x:f>
        <x:v>Ready</x:v>
      </x:c>
      <x:c r="D4289" s="6" t="str">
        <x:v>上</x:v>
      </x:c>
      <x:c r="E4289" s="6" t="str">
        <x:v>tsjuwX (B)</x:v>
      </x:c>
      <x:c r="F4289" s="6" t="str">
        <x:v>上聲二十五有</x:v>
      </x:c>
      <x:c r="G4289" s="6" t="str">
        <x:v>Pingshui main list, Wikisource-derived DOCX</x:v>
      </x:c>
      <x:c r="H4289" s="6" t="str">
        <x:v>1</x:v>
      </x:c>
      <x:c r="I4289" s="6" t="str"/>
      <x:c r="J4289" s="6" t="str">
        <x:f>IF(B4289="","",IF(AND(ISNUMBER(SEARCH("平",B4289)),OR(ISNUMBER(SEARCH("上",B4289)),ISNUMBER(SEARCH("去",B4289)),ISNUMBER(SEARCH("入",B4289)))),"Ambiguous",IF(ISNUMBER(SEARCH("平",B4289)),"平","仄")))</x:f>
        <x:v>仄</x:v>
      </x:c>
      <x:c r="K4289" s="6" t="str">
        <x:f>IF(D4289="","",IF(AND(ISNUMBER(SEARCH("平",D4289)),OR(ISNUMBER(SEARCH("上",D4289)),ISNUMBER(SEARCH("去",D4289)),ISNUMBER(SEARCH("入",D4289)))),"Ambiguous",IF(ISNUMBER(SEARCH("平",D4289)),"平","仄")))</x:f>
        <x:v>仄</x:v>
      </x:c>
      <x:c r="L4289" s="7" t="str"/>
    </x:row>
    <x:row r="4290">
      <x:c r="A4290" s="5" t="str">
        <x:v>酖</x:v>
      </x:c>
      <x:c r="B4290" s="6" t="str">
        <x:v>去</x:v>
      </x:c>
      <x:c r="C4290" s="6" t="str">
        <x:f>IF(B4290="","Needs decision","Ready")</x:f>
        <x:v>Ready</x:v>
      </x:c>
      <x:c r="D4290" s="6" t="str">
        <x:v>去</x:v>
      </x:c>
      <x:c r="E4290" s="6" t="str">
        <x:v>drimH (C)</x:v>
      </x:c>
      <x:c r="F4290" s="6" t="str">
        <x:v>下平聲十三覃</x:v>
      </x:c>
      <x:c r="G4290" s="6" t="str">
        <x:v>Pingshui main list, Wikisource-derived DOCX</x:v>
      </x:c>
      <x:c r="H4290" s="6" t="str">
        <x:v>1</x:v>
      </x:c>
      <x:c r="I4290" s="6" t="str"/>
      <x:c r="J4290" s="6" t="str">
        <x:f>IF(B4290="","",IF(AND(ISNUMBER(SEARCH("平",B4290)),OR(ISNUMBER(SEARCH("上",B4290)),ISNUMBER(SEARCH("去",B4290)),ISNUMBER(SEARCH("入",B4290)))),"Ambiguous",IF(ISNUMBER(SEARCH("平",B4290)),"平","仄")))</x:f>
        <x:v>仄</x:v>
      </x:c>
      <x:c r="K4290" s="6" t="str">
        <x:f>IF(D4290="","",IF(AND(ISNUMBER(SEARCH("平",D4290)),OR(ISNUMBER(SEARCH("上",D4290)),ISNUMBER(SEARCH("去",D4290)),ISNUMBER(SEARCH("入",D4290)))),"Ambiguous",IF(ISNUMBER(SEARCH("平",D4290)),"平","仄")))</x:f>
        <x:v>仄</x:v>
      </x:c>
      <x:c r="L4290" s="7" t="str"/>
    </x:row>
    <x:row r="4291">
      <x:c r="A4291" s="5" t="str">
        <x:v>酣</x:v>
      </x:c>
      <x:c r="B4291" s="6" t="str">
        <x:v>平</x:v>
      </x:c>
      <x:c r="C4291" s="6" t="str">
        <x:f>IF(B4291="","Needs decision","Ready")</x:f>
        <x:v>Ready</x:v>
      </x:c>
      <x:c r="D4291" s="6" t="str">
        <x:v>平</x:v>
      </x:c>
      <x:c r="E4291" s="6" t="str">
        <x:v>ham (A)</x:v>
      </x:c>
      <x:c r="F4291" s="6" t="str">
        <x:v>下平聲十三覃</x:v>
      </x:c>
      <x:c r="G4291" s="6" t="str">
        <x:v>Pingshui main list, Wikisource-derived DOCX</x:v>
      </x:c>
      <x:c r="H4291" s="6" t="str">
        <x:v>1</x:v>
      </x:c>
      <x:c r="I4291" s="6" t="str"/>
      <x:c r="J4291" s="6" t="str">
        <x:f>IF(B4291="","",IF(AND(ISNUMBER(SEARCH("平",B4291)),OR(ISNUMBER(SEARCH("上",B4291)),ISNUMBER(SEARCH("去",B4291)),ISNUMBER(SEARCH("入",B4291)))),"Ambiguous",IF(ISNUMBER(SEARCH("平",B4291)),"平","仄")))</x:f>
        <x:v>平</x:v>
      </x:c>
      <x:c r="K4291" s="6" t="str">
        <x:f>IF(D4291="","",IF(AND(ISNUMBER(SEARCH("平",D4291)),OR(ISNUMBER(SEARCH("上",D4291)),ISNUMBER(SEARCH("去",D4291)),ISNUMBER(SEARCH("入",D4291)))),"Ambiguous",IF(ISNUMBER(SEARCH("平",D4291)),"平","仄")))</x:f>
        <x:v>平</x:v>
      </x:c>
      <x:c r="L4291" s="7" t="str"/>
    </x:row>
    <x:row r="4292">
      <x:c r="A4292" s="5" t="str">
        <x:v>酤</x:v>
      </x:c>
      <x:c r="B4292" s="6" t="str"/>
      <x:c r="C4292" s="6" t="str">
        <x:f>IF(B4292="","Needs decision","Ready")</x:f>
        <x:v>Needs decision</x:v>
      </x:c>
      <x:c r="D4292" s="6" t="str">
        <x:v>平/上/去</x:v>
      </x:c>
      <x:c r="E4292" s="6" t="str">
        <x:v>huX [ʁoʔ] (上); ku [qo] (平); kuH [qoh] (去)</x:v>
      </x:c>
      <x:c r="F4292" s="6" t="str">
        <x:v>上平聲七虞; 上聲七麌; 去聲七遇</x:v>
      </x:c>
      <x:c r="G4292" s="6" t="str">
        <x:v>Pingshui main list, Wikisource-derived DOCX</x:v>
      </x:c>
      <x:c r="H4292" s="6" t="str">
        <x:v>3</x:v>
      </x:c>
      <x:c r="I4292" s="6" t="str">
        <x:v>Tang 300 gap; frequency 1; ambiguous in Xun Gong</x:v>
      </x:c>
      <x:c r="J4292" s="6" t="str">
        <x:f>IF(B4292="","",IF(AND(ISNUMBER(SEARCH("平",B4292)),OR(ISNUMBER(SEARCH("上",B4292)),ISNUMBER(SEARCH("去",B4292)),ISNUMBER(SEARCH("入",B4292)))),"Ambiguous",IF(ISNUMBER(SEARCH("平",B4292)),"平","仄")))</x:f>
      </x:c>
      <x:c r="K4292" s="6" t="str">
        <x:f>IF(D4292="","",IF(AND(ISNUMBER(SEARCH("平",D4292)),OR(ISNUMBER(SEARCH("上",D4292)),ISNUMBER(SEARCH("去",D4292)),ISNUMBER(SEARCH("入",D4292)))),"Ambiguous",IF(ISNUMBER(SEARCH("平",D4292)),"平","仄")))</x:f>
        <x:v>Ambiguous</x:v>
      </x:c>
      <x:c r="L4292" s="7" t="str">
        <x:v>Xun Gong, Tang 300 gap fill</x:v>
      </x:c>
    </x:row>
    <x:row r="4293">
      <x:c r="A4293" s="5" t="str">
        <x:v>酬</x:v>
      </x:c>
      <x:c r="B4293" s="6" t="str">
        <x:v>平</x:v>
      </x:c>
      <x:c r="C4293" s="6" t="str">
        <x:f>IF(B4293="","Needs decision","Ready")</x:f>
        <x:v>Ready</x:v>
      </x:c>
      <x:c r="D4293" s="6" t="str">
        <x:v>平</x:v>
      </x:c>
      <x:c r="E4293" s="6" t="str">
        <x:v>dzyuw [常三尤平] dʑu</x:v>
      </x:c>
      <x:c r="F4293" s="6" t="str">
        <x:v>下平聲十一尤</x:v>
      </x:c>
      <x:c r="G4293" s="6" t="str">
        <x:v>Pingshui main list, Wikisource-derived DOCX</x:v>
      </x:c>
      <x:c r="H4293" s="6" t="str">
        <x:v>1</x:v>
      </x:c>
      <x:c r="I4293" s="6" t="str">
        <x:v>Targeted preliminary fill from Xun Gong; review if uncertain</x:v>
      </x:c>
      <x:c r="J4293" s="6" t="str">
        <x:f>IF(B4293="","",IF(AND(ISNUMBER(SEARCH("平",B4293)),OR(ISNUMBER(SEARCH("上",B4293)),ISNUMBER(SEARCH("去",B4293)),ISNUMBER(SEARCH("入",B4293)))),"Ambiguous",IF(ISNUMBER(SEARCH("平",B4293)),"平","仄")))</x:f>
        <x:v>平</x:v>
      </x:c>
      <x:c r="K4293" s="6" t="str">
        <x:f>IF(D4293="","",IF(AND(ISNUMBER(SEARCH("平",D4293)),OR(ISNUMBER(SEARCH("上",D4293)),ISNUMBER(SEARCH("去",D4293)),ISNUMBER(SEARCH("入",D4293)))),"Ambiguous",IF(ISNUMBER(SEARCH("平",D4293)),"平","仄")))</x:f>
        <x:v>平</x:v>
      </x:c>
      <x:c r="L4293" s="7" t="str">
        <x:v>Xun Gong character-readings.csv</x:v>
      </x:c>
    </x:row>
    <x:row r="4294">
      <x:c r="A4294" s="5" t="str">
        <x:v>酷</x:v>
      </x:c>
      <x:c r="B4294" s="6" t="str">
        <x:v>入</x:v>
      </x:c>
      <x:c r="C4294" s="6" t="str">
        <x:f>IF(B4294="","Needs decision","Ready")</x:f>
        <x:v>Ready</x:v>
      </x:c>
      <x:c r="D4294" s="6" t="str">
        <x:v>入</x:v>
      </x:c>
      <x:c r="E4294" s="6" t="str">
        <x:v>khowk (D)</x:v>
      </x:c>
      <x:c r="F4294" s="6" t="str">
        <x:v>入聲二沃</x:v>
      </x:c>
      <x:c r="G4294" s="6" t="str">
        <x:v>Pingshui main list, Wikisource-derived DOCX</x:v>
      </x:c>
      <x:c r="H4294" s="6" t="str">
        <x:v>1</x:v>
      </x:c>
      <x:c r="I4294" s="6" t="str"/>
      <x:c r="J4294" s="6" t="str">
        <x:f>IF(B4294="","",IF(AND(ISNUMBER(SEARCH("平",B4294)),OR(ISNUMBER(SEARCH("上",B4294)),ISNUMBER(SEARCH("去",B4294)),ISNUMBER(SEARCH("入",B4294)))),"Ambiguous",IF(ISNUMBER(SEARCH("平",B4294)),"平","仄")))</x:f>
        <x:v>仄</x:v>
      </x:c>
      <x:c r="K4294" s="6" t="str">
        <x:f>IF(D4294="","",IF(AND(ISNUMBER(SEARCH("平",D4294)),OR(ISNUMBER(SEARCH("上",D4294)),ISNUMBER(SEARCH("去",D4294)),ISNUMBER(SEARCH("入",D4294)))),"Ambiguous",IF(ISNUMBER(SEARCH("平",D4294)),"平","仄")))</x:f>
        <x:v>仄</x:v>
      </x:c>
      <x:c r="L4294" s="7" t="str"/>
    </x:row>
    <x:row r="4295">
      <x:c r="A4295" s="5" t="str">
        <x:v>酸</x:v>
      </x:c>
      <x:c r="B4295" s="6" t="str">
        <x:v>平</x:v>
      </x:c>
      <x:c r="C4295" s="6" t="str">
        <x:f>IF(B4295="","Needs decision","Ready")</x:f>
        <x:v>Ready</x:v>
      </x:c>
      <x:c r="D4295" s="6" t="str">
        <x:v>平</x:v>
      </x:c>
      <x:c r="E4295" s="6" t="str">
        <x:v>swan (A)</x:v>
      </x:c>
      <x:c r="F4295" s="6" t="str">
        <x:v>上平聲十四寒</x:v>
      </x:c>
      <x:c r="G4295" s="6" t="str">
        <x:v>Pingshui main list, Wikisource-derived DOCX</x:v>
      </x:c>
      <x:c r="H4295" s="6" t="str">
        <x:v>1</x:v>
      </x:c>
      <x:c r="I4295" s="6" t="str"/>
      <x:c r="J4295" s="6" t="str">
        <x:f>IF(B4295="","",IF(AND(ISNUMBER(SEARCH("平",B4295)),OR(ISNUMBER(SEARCH("上",B4295)),ISNUMBER(SEARCH("去",B4295)),ISNUMBER(SEARCH("入",B4295)))),"Ambiguous",IF(ISNUMBER(SEARCH("平",B4295)),"平","仄")))</x:f>
        <x:v>平</x:v>
      </x:c>
      <x:c r="K4295" s="6" t="str">
        <x:f>IF(D4295="","",IF(AND(ISNUMBER(SEARCH("平",D4295)),OR(ISNUMBER(SEARCH("上",D4295)),ISNUMBER(SEARCH("去",D4295)),ISNUMBER(SEARCH("入",D4295)))),"Ambiguous",IF(ISNUMBER(SEARCH("平",D4295)),"平","仄")))</x:f>
        <x:v>平</x:v>
      </x:c>
      <x:c r="L4295" s="7" t="str"/>
    </x:row>
    <x:row r="4296">
      <x:c r="A4296" s="5" t="str">
        <x:v>醁</x:v>
      </x:c>
      <x:c r="B4296" s="6" t="str">
        <x:v>入</x:v>
      </x:c>
      <x:c r="C4296" s="6" t="str">
        <x:f>IF(B4296="","Needs decision","Ready")</x:f>
        <x:v>Ready</x:v>
      </x:c>
      <x:c r="D4296" s="6" t="str">
        <x:v>入</x:v>
      </x:c>
      <x:c r="E4296" s="6" t="str"/>
      <x:c r="F4296" s="6" t="str">
        <x:v>入聲二沃</x:v>
      </x:c>
      <x:c r="G4296" s="6" t="str">
        <x:v>Pingshui main list, Wikisource-derived DOCX</x:v>
      </x:c>
      <x:c r="H4296" s="6" t="str"/>
      <x:c r="I4296" s="6" t="str">
        <x:v>Manual user correction/addition</x:v>
      </x:c>
      <x:c r="J4296" s="6" t="str">
        <x:f>IF(B4296="","",IF(AND(ISNUMBER(SEARCH("平",B4296)),OR(ISNUMBER(SEARCH("上",B4296)),ISNUMBER(SEARCH("去",B4296)),ISNUMBER(SEARCH("入",B4296)))),"Ambiguous",IF(ISNUMBER(SEARCH("平",B4296)),"平","仄")))</x:f>
        <x:v>仄</x:v>
      </x:c>
      <x:c r="K4296" s="6" t="str">
        <x:f>IF(D4296="","",IF(AND(ISNUMBER(SEARCH("平",D4296)),OR(ISNUMBER(SEARCH("上",D4296)),ISNUMBER(SEARCH("去",D4296)),ISNUMBER(SEARCH("入",D4296)))),"Ambiguous",IF(ISNUMBER(SEARCH("平",D4296)),"平","仄")))</x:f>
        <x:v>仄</x:v>
      </x:c>
      <x:c r="L4296" s="7" t="str">
        <x:v>manual user correction</x:v>
      </x:c>
    </x:row>
    <x:row r="4297">
      <x:c r="A4297" s="5" t="str">
        <x:v>醅</x:v>
      </x:c>
      <x:c r="B4297" s="6" t="str">
        <x:v>平</x:v>
      </x:c>
      <x:c r="C4297" s="6" t="str">
        <x:f>IF(B4297="","Needs decision","Ready")</x:f>
        <x:v>Ready</x:v>
      </x:c>
      <x:c r="D4297" s="6" t="str">
        <x:v>平</x:v>
      </x:c>
      <x:c r="E4297" s="6" t="str">
        <x:v>phjuw [pʰɨ̯u] (平); phwoj [p̙ʰwəj] (平)</x:v>
      </x:c>
      <x:c r="F4297" s="6" t="str">
        <x:v>上平聲十灰</x:v>
      </x:c>
      <x:c r="G4297" s="6" t="str">
        <x:v>Pingshui main list, Wikisource-derived DOCX</x:v>
      </x:c>
      <x:c r="H4297" s="6" t="str">
        <x:v>2</x:v>
      </x:c>
      <x:c r="I4297" s="6" t="str">
        <x:v>Tang 300 gap; frequency 2; provisional from Xun Gong</x:v>
      </x:c>
      <x:c r="J4297" s="6" t="str">
        <x:f>IF(B4297="","",IF(AND(ISNUMBER(SEARCH("平",B4297)),OR(ISNUMBER(SEARCH("上",B4297)),ISNUMBER(SEARCH("去",B4297)),ISNUMBER(SEARCH("入",B4297)))),"Ambiguous",IF(ISNUMBER(SEARCH("平",B4297)),"平","仄")))</x:f>
        <x:v>平</x:v>
      </x:c>
      <x:c r="K4297" s="6" t="str">
        <x:f>IF(D4297="","",IF(AND(ISNUMBER(SEARCH("平",D4297)),OR(ISNUMBER(SEARCH("上",D4297)),ISNUMBER(SEARCH("去",D4297)),ISNUMBER(SEARCH("入",D4297)))),"Ambiguous",IF(ISNUMBER(SEARCH("平",D4297)),"平","仄")))</x:f>
        <x:v>平</x:v>
      </x:c>
      <x:c r="L4297" s="7" t="str">
        <x:v>Xun Gong, Tang 300 gap fill</x:v>
      </x:c>
    </x:row>
    <x:row r="4298">
      <x:c r="A4298" s="5" t="str">
        <x:v>醉</x:v>
      </x:c>
      <x:c r="B4298" s="6" t="str">
        <x:v>去</x:v>
      </x:c>
      <x:c r="C4298" s="6" t="str">
        <x:f>IF(B4298="","Needs decision","Ready")</x:f>
        <x:v>Ready</x:v>
      </x:c>
      <x:c r="D4298" s="6" t="str">
        <x:v>去</x:v>
      </x:c>
      <x:c r="E4298" s="6" t="str">
        <x:v>tswijH (C)</x:v>
      </x:c>
      <x:c r="F4298" s="6" t="str">
        <x:v>去聲四寘</x:v>
      </x:c>
      <x:c r="G4298" s="6" t="str">
        <x:v>Pingshui main list, Wikisource-derived DOCX</x:v>
      </x:c>
      <x:c r="H4298" s="6" t="str">
        <x:v>1</x:v>
      </x:c>
      <x:c r="I4298" s="6" t="str"/>
      <x:c r="J4298" s="6" t="str">
        <x:f>IF(B4298="","",IF(AND(ISNUMBER(SEARCH("平",B4298)),OR(ISNUMBER(SEARCH("上",B4298)),ISNUMBER(SEARCH("去",B4298)),ISNUMBER(SEARCH("入",B4298)))),"Ambiguous",IF(ISNUMBER(SEARCH("平",B4298)),"平","仄")))</x:f>
        <x:v>仄</x:v>
      </x:c>
      <x:c r="K4298" s="6" t="str">
        <x:f>IF(D4298="","",IF(AND(ISNUMBER(SEARCH("平",D4298)),OR(ISNUMBER(SEARCH("上",D4298)),ISNUMBER(SEARCH("去",D4298)),ISNUMBER(SEARCH("入",D4298)))),"Ambiguous",IF(ISNUMBER(SEARCH("平",D4298)),"平","仄")))</x:f>
        <x:v>仄</x:v>
      </x:c>
      <x:c r="L4298" s="7" t="str"/>
    </x:row>
    <x:row r="4299">
      <x:c r="A4299" s="5" t="str">
        <x:v>醑</x:v>
      </x:c>
      <x:c r="B4299" s="6" t="str">
        <x:v>上</x:v>
      </x:c>
      <x:c r="C4299" s="6" t="str">
        <x:f>IF(B4299="","Needs decision","Ready")</x:f>
        <x:v>Ready</x:v>
      </x:c>
      <x:c r="D4299" s="6" t="str">
        <x:v>上</x:v>
      </x:c>
      <x:c r="E4299" s="6" t="str"/>
      <x:c r="F4299" s="6" t="str">
        <x:v>上聲六語</x:v>
      </x:c>
      <x:c r="G4299" s="6" t="str">
        <x:v>Pingshui main list, Wikisource-derived DOCX</x:v>
      </x:c>
      <x:c r="H4299" s="6" t="str">
        <x:v>0</x:v>
      </x:c>
      <x:c r="I4299" s="6" t="str">
        <x:v>User correction 2026-09-08; added manually</x:v>
      </x:c>
      <x:c r="J4299" s="6" t="str">
        <x:f>IF(B4299="","",IF(AND(ISNUMBER(SEARCH("平",B4299)),OR(ISNUMBER(SEARCH("上",B4299)),ISNUMBER(SEARCH("去",B4299)),ISNUMBER(SEARCH("入",B4299)))),"Ambiguous",IF(ISNUMBER(SEARCH("平",B4299)),"平","仄")))</x:f>
        <x:v>仄</x:v>
      </x:c>
      <x:c r="K4299" s="6" t="str">
        <x:f>IF(D4299="","",IF(AND(ISNUMBER(SEARCH("平",D4299)),OR(ISNUMBER(SEARCH("上",D4299)),ISNUMBER(SEARCH("去",D4299)),ISNUMBER(SEARCH("入",D4299)))),"Ambiguous",IF(ISNUMBER(SEARCH("平",D4299)),"平","仄")))</x:f>
        <x:v>仄</x:v>
      </x:c>
      <x:c r="L4299" s="7" t="str">
        <x:v>User correction</x:v>
      </x:c>
    </x:row>
    <x:row r="4300">
      <x:c r="A4300" s="5" t="str">
        <x:v>醒</x:v>
      </x:c>
      <x:c r="B4300" s="6" t="str">
        <x:v>上</x:v>
      </x:c>
      <x:c r="C4300" s="6" t="str">
        <x:f>IF(B4300="","Needs decision","Ready")</x:f>
        <x:v>Ready</x:v>
      </x:c>
      <x:c r="D4300" s="6" t="str">
        <x:v>上</x:v>
      </x:c>
      <x:c r="E4300" s="6" t="str">
        <x:v>sengX (B)</x:v>
      </x:c>
      <x:c r="F4300" s="6" t="str">
        <x:v>下平聲九青; 上聲二十四迥; 去聲二十五徑</x:v>
      </x:c>
      <x:c r="G4300" s="6" t="str">
        <x:v>Pingshui main list, Wikisource-derived DOCX</x:v>
      </x:c>
      <x:c r="H4300" s="6" t="str">
        <x:v>1</x:v>
      </x:c>
      <x:c r="I4300" s="6" t="str"/>
      <x:c r="J4300" s="6" t="str">
        <x:f>IF(B4300="","",IF(AND(ISNUMBER(SEARCH("平",B4300)),OR(ISNUMBER(SEARCH("上",B4300)),ISNUMBER(SEARCH("去",B4300)),ISNUMBER(SEARCH("入",B4300)))),"Ambiguous",IF(ISNUMBER(SEARCH("平",B4300)),"平","仄")))</x:f>
        <x:v>仄</x:v>
      </x:c>
      <x:c r="K4300" s="6" t="str">
        <x:f>IF(D4300="","",IF(AND(ISNUMBER(SEARCH("平",D4300)),OR(ISNUMBER(SEARCH("上",D4300)),ISNUMBER(SEARCH("去",D4300)),ISNUMBER(SEARCH("入",D4300)))),"Ambiguous",IF(ISNUMBER(SEARCH("平",D4300)),"平","仄")))</x:f>
        <x:v>仄</x:v>
      </x:c>
      <x:c r="L4300" s="7" t="str"/>
    </x:row>
    <x:row r="4301">
      <x:c r="A4301" s="5" t="str">
        <x:v>醓</x:v>
      </x:c>
      <x:c r="B4301" s="6" t="str">
        <x:v>上</x:v>
      </x:c>
      <x:c r="C4301" s="6" t="str">
        <x:f>IF(B4301="","Needs decision","Ready")</x:f>
        <x:v>Ready</x:v>
      </x:c>
      <x:c r="D4301" s="6" t="str">
        <x:v>上</x:v>
      </x:c>
      <x:c r="E4301" s="6" t="str">
        <x:v>thomX (B)</x:v>
      </x:c>
      <x:c r="F4301" s="6" t="str"/>
      <x:c r="G4301" s="6" t="str"/>
      <x:c r="H4301" s="6" t="str">
        <x:v>1</x:v>
      </x:c>
      <x:c r="I4301" s="6" t="str"/>
      <x:c r="J4301" s="6" t="str">
        <x:f>IF(B4301="","",IF(AND(ISNUMBER(SEARCH("平",B4301)),OR(ISNUMBER(SEARCH("上",B4301)),ISNUMBER(SEARCH("去",B4301)),ISNUMBER(SEARCH("入",B4301)))),"Ambiguous",IF(ISNUMBER(SEARCH("平",B4301)),"平","仄")))</x:f>
        <x:v>仄</x:v>
      </x:c>
      <x:c r="K4301" s="6" t="str">
        <x:f>IF(D4301="","",IF(AND(ISNUMBER(SEARCH("平",D4301)),OR(ISNUMBER(SEARCH("上",D4301)),ISNUMBER(SEARCH("去",D4301)),ISNUMBER(SEARCH("入",D4301)))),"Ambiguous",IF(ISNUMBER(SEARCH("平",D4301)),"平","仄")))</x:f>
        <x:v>仄</x:v>
      </x:c>
      <x:c r="L4301" s="7" t="str"/>
    </x:row>
    <x:row r="4302">
      <x:c r="A4302" s="5" t="str">
        <x:v>醜</x:v>
      </x:c>
      <x:c r="B4302" s="6" t="str">
        <x:v>上</x:v>
      </x:c>
      <x:c r="C4302" s="6" t="str">
        <x:f>IF(B4302="","Needs decision","Ready")</x:f>
        <x:v>Ready</x:v>
      </x:c>
      <x:c r="D4302" s="6" t="str">
        <x:v>上</x:v>
      </x:c>
      <x:c r="E4302" s="6" t="str">
        <x:v>tsyhuwX (B)</x:v>
      </x:c>
      <x:c r="F4302" s="6" t="str">
        <x:v>上聲二十五有</x:v>
      </x:c>
      <x:c r="G4302" s="6" t="str">
        <x:v>Pingshui main list, Wikisource-derived DOCX</x:v>
      </x:c>
      <x:c r="H4302" s="6" t="str">
        <x:v>1</x:v>
      </x:c>
      <x:c r="I4302" s="6" t="str"/>
      <x:c r="J4302" s="6" t="str">
        <x:f>IF(B4302="","",IF(AND(ISNUMBER(SEARCH("平",B4302)),OR(ISNUMBER(SEARCH("上",B4302)),ISNUMBER(SEARCH("去",B4302)),ISNUMBER(SEARCH("入",B4302)))),"Ambiguous",IF(ISNUMBER(SEARCH("平",B4302)),"平","仄")))</x:f>
        <x:v>仄</x:v>
      </x:c>
      <x:c r="K4302" s="6" t="str">
        <x:f>IF(D4302="","",IF(AND(ISNUMBER(SEARCH("平",D4302)),OR(ISNUMBER(SEARCH("上",D4302)),ISNUMBER(SEARCH("去",D4302)),ISNUMBER(SEARCH("入",D4302)))),"Ambiguous",IF(ISNUMBER(SEARCH("平",D4302)),"平","仄")))</x:f>
        <x:v>仄</x:v>
      </x:c>
      <x:c r="L4302" s="7" t="str"/>
    </x:row>
    <x:row r="4303">
      <x:c r="A4303" s="5" t="str">
        <x:v>醫</x:v>
      </x:c>
      <x:c r="B4303" s="6" t="str">
        <x:v>平</x:v>
      </x:c>
      <x:c r="C4303" s="6" t="str">
        <x:f>IF(B4303="","Needs decision","Ready")</x:f>
        <x:v>Ready</x:v>
      </x:c>
      <x:c r="D4303" s="6" t="str"/>
      <x:c r="E4303" s="6" t="str"/>
      <x:c r="F4303" s="6" t="str">
        <x:v>上平聲四支</x:v>
      </x:c>
      <x:c r="G4303" s="6" t="str">
        <x:v>Pingshui main list, Wikisource-derived DOCX</x:v>
      </x:c>
      <x:c r="H4303" s="6" t="str"/>
      <x:c r="I4303" s="6" t="str">
        <x:v>Manual addition from user correction; normal reading</x:v>
      </x:c>
      <x:c r="J4303" s="6" t="str">
        <x:f>IF(B4303="","",IF(AND(ISNUMBER(SEARCH("平",B4303)),OR(ISNUMBER(SEARCH("上",B4303)),ISNUMBER(SEARCH("去",B4303)),ISNUMBER(SEARCH("入",B4303)))),"Ambiguous",IF(ISNUMBER(SEARCH("平",B4303)),"平","仄")))</x:f>
        <x:v>平</x:v>
      </x:c>
      <x:c r="K4303" s="6" t="str">
        <x:f>IF(D4303="","",IF(AND(ISNUMBER(SEARCH("平",D4303)),OR(ISNUMBER(SEARCH("上",D4303)),ISNUMBER(SEARCH("去",D4303)),ISNUMBER(SEARCH("入",D4303)))),"Ambiguous",IF(ISNUMBER(SEARCH("平",D4303)),"平","仄")))</x:f>
      </x:c>
      <x:c r="L4303" s="7" t="str"/>
    </x:row>
    <x:row r="4304">
      <x:c r="A4304" s="5" t="str">
        <x:v>醬</x:v>
      </x:c>
      <x:c r="B4304" s="6" t="str">
        <x:v>去</x:v>
      </x:c>
      <x:c r="C4304" s="6" t="str">
        <x:f>IF(B4304="","Needs decision","Ready")</x:f>
        <x:v>Ready</x:v>
      </x:c>
      <x:c r="D4304" s="6" t="str">
        <x:v>去</x:v>
      </x:c>
      <x:c r="E4304" s="6" t="str">
        <x:v>tsjangH (C)</x:v>
      </x:c>
      <x:c r="F4304" s="6" t="str">
        <x:v>去聲二十三漾</x:v>
      </x:c>
      <x:c r="G4304" s="6" t="str">
        <x:v>Pingshui main list, Wikisource-derived DOCX</x:v>
      </x:c>
      <x:c r="H4304" s="6" t="str">
        <x:v>1</x:v>
      </x:c>
      <x:c r="I4304" s="6" t="str"/>
      <x:c r="J4304" s="6" t="str">
        <x:f>IF(B4304="","",IF(AND(ISNUMBER(SEARCH("平",B4304)),OR(ISNUMBER(SEARCH("上",B4304)),ISNUMBER(SEARCH("去",B4304)),ISNUMBER(SEARCH("入",B4304)))),"Ambiguous",IF(ISNUMBER(SEARCH("平",B4304)),"平","仄")))</x:f>
        <x:v>仄</x:v>
      </x:c>
      <x:c r="K4304" s="6" t="str">
        <x:f>IF(D4304="","",IF(AND(ISNUMBER(SEARCH("平",D4304)),OR(ISNUMBER(SEARCH("上",D4304)),ISNUMBER(SEARCH("去",D4304)),ISNUMBER(SEARCH("入",D4304)))),"Ambiguous",IF(ISNUMBER(SEARCH("平",D4304)),"平","仄")))</x:f>
        <x:v>仄</x:v>
      </x:c>
      <x:c r="L4304" s="7" t="str"/>
    </x:row>
    <x:row r="4305">
      <x:c r="A4305" s="5" t="str">
        <x:v>醴</x:v>
      </x:c>
      <x:c r="B4305" s="6" t="str">
        <x:v>上</x:v>
      </x:c>
      <x:c r="C4305" s="6" t="str">
        <x:f>IF(B4305="","Needs decision","Ready")</x:f>
        <x:v>Ready</x:v>
      </x:c>
      <x:c r="D4305" s="6" t="str">
        <x:v>上</x:v>
      </x:c>
      <x:c r="E4305" s="6" t="str">
        <x:v>lejX [來開四齊上] l̙ejʔ</x:v>
      </x:c>
      <x:c r="F4305" s="6" t="str">
        <x:v>上聲八薺</x:v>
      </x:c>
      <x:c r="G4305" s="6" t="str">
        <x:v>Pingshui main list, Wikisource-derived DOCX</x:v>
      </x:c>
      <x:c r="H4305" s="6" t="str">
        <x:v>1</x:v>
      </x:c>
      <x:c r="I4305" s="6" t="str">
        <x:v>Targeted preliminary fill from Xun Gong; review if uncertain</x:v>
      </x:c>
      <x:c r="J4305" s="6" t="str">
        <x:f>IF(B4305="","",IF(AND(ISNUMBER(SEARCH("平",B4305)),OR(ISNUMBER(SEARCH("上",B4305)),ISNUMBER(SEARCH("去",B4305)),ISNUMBER(SEARCH("入",B4305)))),"Ambiguous",IF(ISNUMBER(SEARCH("平",B4305)),"平","仄")))</x:f>
        <x:v>仄</x:v>
      </x:c>
      <x:c r="K4305" s="6" t="str">
        <x:f>IF(D4305="","",IF(AND(ISNUMBER(SEARCH("平",D4305)),OR(ISNUMBER(SEARCH("上",D4305)),ISNUMBER(SEARCH("去",D4305)),ISNUMBER(SEARCH("入",D4305)))),"Ambiguous",IF(ISNUMBER(SEARCH("平",D4305)),"平","仄")))</x:f>
        <x:v>仄</x:v>
      </x:c>
      <x:c r="L4305" s="7" t="str">
        <x:v>Xun Gong character-readings.csv</x:v>
      </x:c>
    </x:row>
    <x:row r="4306">
      <x:c r="A4306" s="5" t="str">
        <x:v>醵</x:v>
      </x:c>
      <x:c r="B4306" s="6" t="str">
        <x:v>去</x:v>
      </x:c>
      <x:c r="C4306" s="6" t="str">
        <x:f>IF(B4306="","Needs decision","Ready")</x:f>
        <x:v>Ready</x:v>
      </x:c>
      <x:c r="D4306" s="6" t="str">
        <x:v>去</x:v>
      </x:c>
      <x:c r="E4306" s="6" t="str">
        <x:v>gjoH (C)</x:v>
      </x:c>
      <x:c r="F4306" s="6" t="str">
        <x:v>上平聲六魚; 去聲六御; 入聲十藥</x:v>
      </x:c>
      <x:c r="G4306" s="6" t="str">
        <x:v>Pingshui main list, Wikisource-derived DOCX</x:v>
      </x:c>
      <x:c r="H4306" s="6" t="str">
        <x:v>1</x:v>
      </x:c>
      <x:c r="I4306" s="6" t="str"/>
      <x:c r="J4306" s="6" t="str">
        <x:f>IF(B4306="","",IF(AND(ISNUMBER(SEARCH("平",B4306)),OR(ISNUMBER(SEARCH("上",B4306)),ISNUMBER(SEARCH("去",B4306)),ISNUMBER(SEARCH("入",B4306)))),"Ambiguous",IF(ISNUMBER(SEARCH("平",B4306)),"平","仄")))</x:f>
        <x:v>仄</x:v>
      </x:c>
      <x:c r="K4306" s="6" t="str">
        <x:f>IF(D4306="","",IF(AND(ISNUMBER(SEARCH("平",D4306)),OR(ISNUMBER(SEARCH("上",D4306)),ISNUMBER(SEARCH("去",D4306)),ISNUMBER(SEARCH("入",D4306)))),"Ambiguous",IF(ISNUMBER(SEARCH("平",D4306)),"平","仄")))</x:f>
        <x:v>仄</x:v>
      </x:c>
      <x:c r="L4306" s="7" t="str"/>
    </x:row>
    <x:row r="4307">
      <x:c r="A4307" s="5" t="str">
        <x:v>釁</x:v>
      </x:c>
      <x:c r="B4307" s="6" t="str">
        <x:v>去</x:v>
      </x:c>
      <x:c r="C4307" s="6" t="str">
        <x:f>IF(B4307="","Needs decision","Ready")</x:f>
        <x:v>Ready</x:v>
      </x:c>
      <x:c r="D4307" s="6" t="str">
        <x:v>去</x:v>
      </x:c>
      <x:c r="E4307" s="6" t="str">
        <x:v>xinH (C)</x:v>
      </x:c>
      <x:c r="F4307" s="6" t="str">
        <x:v>去聲十二震</x:v>
      </x:c>
      <x:c r="G4307" s="6" t="str">
        <x:v>Pingshui main list, Wikisource-derived DOCX</x:v>
      </x:c>
      <x:c r="H4307" s="6" t="str">
        <x:v>1</x:v>
      </x:c>
      <x:c r="I4307" s="6" t="str"/>
      <x:c r="J4307" s="6" t="str">
        <x:f>IF(B4307="","",IF(AND(ISNUMBER(SEARCH("平",B4307)),OR(ISNUMBER(SEARCH("上",B4307)),ISNUMBER(SEARCH("去",B4307)),ISNUMBER(SEARCH("入",B4307)))),"Ambiguous",IF(ISNUMBER(SEARCH("平",B4307)),"平","仄")))</x:f>
        <x:v>仄</x:v>
      </x:c>
      <x:c r="K4307" s="6" t="str">
        <x:f>IF(D4307="","",IF(AND(ISNUMBER(SEARCH("平",D4307)),OR(ISNUMBER(SEARCH("上",D4307)),ISNUMBER(SEARCH("去",D4307)),ISNUMBER(SEARCH("入",D4307)))),"Ambiguous",IF(ISNUMBER(SEARCH("平",D4307)),"平","仄")))</x:f>
        <x:v>仄</x:v>
      </x:c>
      <x:c r="L4307" s="7" t="str"/>
    </x:row>
    <x:row r="4308">
      <x:c r="A4308" s="5" t="str">
        <x:v>釃</x:v>
      </x:c>
      <x:c r="B4308" s="6" t="str">
        <x:v>平</x:v>
      </x:c>
      <x:c r="C4308" s="6" t="str">
        <x:f>IF(B4308="","Needs decision","Ready")</x:f>
        <x:v>Ready</x:v>
      </x:c>
      <x:c r="D4308" s="6" t="str">
        <x:v>平</x:v>
      </x:c>
      <x:c r="E4308" s="6" t="str">
        <x:v>srje (A)</x:v>
      </x:c>
      <x:c r="F4308" s="6" t="str">
        <x:v>上平聲四支; 上聲四紙</x:v>
      </x:c>
      <x:c r="G4308" s="6" t="str">
        <x:v>Pingshui main list, Wikisource-derived DOCX</x:v>
      </x:c>
      <x:c r="H4308" s="6" t="str">
        <x:v>1</x:v>
      </x:c>
      <x:c r="I4308" s="6" t="str"/>
      <x:c r="J4308" s="6" t="str">
        <x:f>IF(B4308="","",IF(AND(ISNUMBER(SEARCH("平",B4308)),OR(ISNUMBER(SEARCH("上",B4308)),ISNUMBER(SEARCH("去",B4308)),ISNUMBER(SEARCH("入",B4308)))),"Ambiguous",IF(ISNUMBER(SEARCH("平",B4308)),"平","仄")))</x:f>
        <x:v>平</x:v>
      </x:c>
      <x:c r="K4308" s="6" t="str">
        <x:f>IF(D4308="","",IF(AND(ISNUMBER(SEARCH("平",D4308)),OR(ISNUMBER(SEARCH("上",D4308)),ISNUMBER(SEARCH("去",D4308)),ISNUMBER(SEARCH("入",D4308)))),"Ambiguous",IF(ISNUMBER(SEARCH("平",D4308)),"平","仄")))</x:f>
        <x:v>平</x:v>
      </x:c>
      <x:c r="L4308" s="7" t="str"/>
    </x:row>
    <x:row r="4309">
      <x:c r="A4309" s="5" t="str">
        <x:v>釆</x:v>
      </x:c>
      <x:c r="B4309" s="6" t="str">
        <x:v>去</x:v>
      </x:c>
      <x:c r="C4309" s="6" t="str">
        <x:f>IF(B4309="","Needs decision","Ready")</x:f>
        <x:v>Ready</x:v>
      </x:c>
      <x:c r="D4309" s="6" t="str">
        <x:v>去</x:v>
      </x:c>
      <x:c r="E4309" s="6" t="str">
        <x:v>beanH (C)</x:v>
      </x:c>
      <x:c r="F4309" s="6" t="str"/>
      <x:c r="G4309" s="6" t="str"/>
      <x:c r="H4309" s="6" t="str">
        <x:v>1</x:v>
      </x:c>
      <x:c r="I4309" s="6" t="str"/>
      <x:c r="J4309" s="6" t="str">
        <x:f>IF(B4309="","",IF(AND(ISNUMBER(SEARCH("平",B4309)),OR(ISNUMBER(SEARCH("上",B4309)),ISNUMBER(SEARCH("去",B4309)),ISNUMBER(SEARCH("入",B4309)))),"Ambiguous",IF(ISNUMBER(SEARCH("平",B4309)),"平","仄")))</x:f>
        <x:v>仄</x:v>
      </x:c>
      <x:c r="K4309" s="6" t="str">
        <x:f>IF(D4309="","",IF(AND(ISNUMBER(SEARCH("平",D4309)),OR(ISNUMBER(SEARCH("上",D4309)),ISNUMBER(SEARCH("去",D4309)),ISNUMBER(SEARCH("入",D4309)))),"Ambiguous",IF(ISNUMBER(SEARCH("平",D4309)),"平","仄")))</x:f>
        <x:v>仄</x:v>
      </x:c>
      <x:c r="L4309" s="7" t="str"/>
    </x:row>
    <x:row r="4310">
      <x:c r="A4310" s="5" t="str">
        <x:v>采</x:v>
      </x:c>
      <x:c r="B4310" s="6" t="str">
        <x:v>上</x:v>
      </x:c>
      <x:c r="C4310" s="6" t="str">
        <x:f>IF(B4310="","Needs decision","Ready")</x:f>
        <x:v>Ready</x:v>
      </x:c>
      <x:c r="D4310" s="6" t="str">
        <x:v>上</x:v>
      </x:c>
      <x:c r="E4310" s="6" t="str">
        <x:v>tshojX (B)</x:v>
      </x:c>
      <x:c r="F4310" s="6" t="str"/>
      <x:c r="G4310" s="6" t="str"/>
      <x:c r="H4310" s="6" t="str">
        <x:v>1</x:v>
      </x:c>
      <x:c r="I4310" s="6" t="str"/>
      <x:c r="J4310" s="6" t="str">
        <x:f>IF(B4310="","",IF(AND(ISNUMBER(SEARCH("平",B4310)),OR(ISNUMBER(SEARCH("上",B4310)),ISNUMBER(SEARCH("去",B4310)),ISNUMBER(SEARCH("入",B4310)))),"Ambiguous",IF(ISNUMBER(SEARCH("平",B4310)),"平","仄")))</x:f>
        <x:v>仄</x:v>
      </x:c>
      <x:c r="K4310" s="6" t="str">
        <x:f>IF(D4310="","",IF(AND(ISNUMBER(SEARCH("平",D4310)),OR(ISNUMBER(SEARCH("上",D4310)),ISNUMBER(SEARCH("去",D4310)),ISNUMBER(SEARCH("入",D4310)))),"Ambiguous",IF(ISNUMBER(SEARCH("平",D4310)),"平","仄")))</x:f>
        <x:v>仄</x:v>
      </x:c>
      <x:c r="L4310" s="7" t="str"/>
    </x:row>
    <x:row r="4311">
      <x:c r="A4311" s="5" t="str">
        <x:v>釋</x:v>
      </x:c>
      <x:c r="B4311" s="6" t="str">
        <x:v>入</x:v>
      </x:c>
      <x:c r="C4311" s="6" t="str">
        <x:f>IF(B4311="","Needs decision","Ready")</x:f>
        <x:v>Ready</x:v>
      </x:c>
      <x:c r="D4311" s="6" t="str">
        <x:v>入</x:v>
      </x:c>
      <x:c r="E4311" s="6" t="str">
        <x:v>syek (D)</x:v>
      </x:c>
      <x:c r="F4311" s="6" t="str">
        <x:v>入聲十一陌</x:v>
      </x:c>
      <x:c r="G4311" s="6" t="str">
        <x:v>Pingshui main list, Wikisource-derived DOCX</x:v>
      </x:c>
      <x:c r="H4311" s="6" t="str">
        <x:v>1</x:v>
      </x:c>
      <x:c r="I4311" s="6" t="str"/>
      <x:c r="J4311" s="6" t="str">
        <x:f>IF(B4311="","",IF(AND(ISNUMBER(SEARCH("平",B4311)),OR(ISNUMBER(SEARCH("上",B4311)),ISNUMBER(SEARCH("去",B4311)),ISNUMBER(SEARCH("入",B4311)))),"Ambiguous",IF(ISNUMBER(SEARCH("平",B4311)),"平","仄")))</x:f>
        <x:v>仄</x:v>
      </x:c>
      <x:c r="K4311" s="6" t="str">
        <x:f>IF(D4311="","",IF(AND(ISNUMBER(SEARCH("平",D4311)),OR(ISNUMBER(SEARCH("上",D4311)),ISNUMBER(SEARCH("去",D4311)),ISNUMBER(SEARCH("入",D4311)))),"Ambiguous",IF(ISNUMBER(SEARCH("平",D4311)),"平","仄")))</x:f>
        <x:v>仄</x:v>
      </x:c>
      <x:c r="L4311" s="7" t="str"/>
    </x:row>
    <x:row r="4312">
      <x:c r="A4312" s="5" t="str">
        <x:v>里</x:v>
      </x:c>
      <x:c r="B4312" s="6" t="str">
        <x:v>上</x:v>
      </x:c>
      <x:c r="C4312" s="6" t="str">
        <x:f>IF(B4312="","Needs decision","Ready")</x:f>
        <x:v>Ready</x:v>
      </x:c>
      <x:c r="D4312" s="6" t="str">
        <x:v>上</x:v>
      </x:c>
      <x:c r="E4312" s="6" t="str">
        <x:v>liX (B)</x:v>
      </x:c>
      <x:c r="F4312" s="6" t="str">
        <x:v>上聲四紙</x:v>
      </x:c>
      <x:c r="G4312" s="6" t="str">
        <x:v>Pingshui main list, Wikisource-derived DOCX</x:v>
      </x:c>
      <x:c r="H4312" s="6" t="str">
        <x:v>1</x:v>
      </x:c>
      <x:c r="I4312" s="6" t="str"/>
      <x:c r="J4312" s="6" t="str">
        <x:f>IF(B4312="","",IF(AND(ISNUMBER(SEARCH("平",B4312)),OR(ISNUMBER(SEARCH("上",B4312)),ISNUMBER(SEARCH("去",B4312)),ISNUMBER(SEARCH("入",B4312)))),"Ambiguous",IF(ISNUMBER(SEARCH("平",B4312)),"平","仄")))</x:f>
        <x:v>仄</x:v>
      </x:c>
      <x:c r="K4312" s="6" t="str">
        <x:f>IF(D4312="","",IF(AND(ISNUMBER(SEARCH("平",D4312)),OR(ISNUMBER(SEARCH("上",D4312)),ISNUMBER(SEARCH("去",D4312)),ISNUMBER(SEARCH("入",D4312)))),"Ambiguous",IF(ISNUMBER(SEARCH("平",D4312)),"平","仄")))</x:f>
        <x:v>仄</x:v>
      </x:c>
      <x:c r="L4312" s="7" t="str"/>
    </x:row>
    <x:row r="4313">
      <x:c r="A4313" s="5" t="str">
        <x:v>重</x:v>
      </x:c>
      <x:c r="B4313" s="6" t="str"/>
      <x:c r="C4313" s="6" t="str">
        <x:f>IF(B4313="","Needs decision","Ready")</x:f>
        <x:v>Needs decision</x:v>
      </x:c>
      <x:c r="D4313" s="6" t="str">
        <x:v>平/上/去</x:v>
      </x:c>
      <x:c r="E4313" s="6" t="str">
        <x:v>drjowng (A); drjowngX (B); drjowngH (C)</x:v>
      </x:c>
      <x:c r="F4313" s="6" t="str">
        <x:v>上平聲二冬; 上聲二腫; 去聲二宋</x:v>
      </x:c>
      <x:c r="G4313" s="6" t="str">
        <x:v>Pingshui main list, Wikisource-derived DOCX</x:v>
      </x:c>
      <x:c r="H4313" s="6" t="str">
        <x:v>3</x:v>
      </x:c>
      <x:c r="I4313" s="6" t="str"/>
      <x:c r="J4313" s="6" t="str">
        <x:f>IF(B4313="","",IF(AND(ISNUMBER(SEARCH("平",B4313)),OR(ISNUMBER(SEARCH("上",B4313)),ISNUMBER(SEARCH("去",B4313)),ISNUMBER(SEARCH("入",B4313)))),"Ambiguous",IF(ISNUMBER(SEARCH("平",B4313)),"平","仄")))</x:f>
      </x:c>
      <x:c r="K4313" s="6" t="str">
        <x:f>IF(D4313="","",IF(AND(ISNUMBER(SEARCH("平",D4313)),OR(ISNUMBER(SEARCH("上",D4313)),ISNUMBER(SEARCH("去",D4313)),ISNUMBER(SEARCH("入",D4313)))),"Ambiguous",IF(ISNUMBER(SEARCH("平",D4313)),"平","仄")))</x:f>
        <x:v>Ambiguous</x:v>
      </x:c>
      <x:c r="L4313" s="7" t="str"/>
    </x:row>
    <x:row r="4314">
      <x:c r="A4314" s="5" t="str">
        <x:v>野</x:v>
      </x:c>
      <x:c r="B4314" s="6" t="str">
        <x:v>上</x:v>
      </x:c>
      <x:c r="C4314" s="6" t="str">
        <x:f>IF(B4314="","Needs decision","Ready")</x:f>
        <x:v>Ready</x:v>
      </x:c>
      <x:c r="D4314" s="6" t="str">
        <x:v>上</x:v>
      </x:c>
      <x:c r="E4314" s="6" t="str">
        <x:v>yaeX (B)</x:v>
      </x:c>
      <x:c r="F4314" s="6" t="str">
        <x:v>上聲二十一馬</x:v>
      </x:c>
      <x:c r="G4314" s="6" t="str">
        <x:v>Pingshui main list, Wikisource-derived DOCX</x:v>
      </x:c>
      <x:c r="H4314" s="6" t="str">
        <x:v>1</x:v>
      </x:c>
      <x:c r="I4314" s="6" t="str"/>
      <x:c r="J4314" s="6" t="str">
        <x:f>IF(B4314="","",IF(AND(ISNUMBER(SEARCH("平",B4314)),OR(ISNUMBER(SEARCH("上",B4314)),ISNUMBER(SEARCH("去",B4314)),ISNUMBER(SEARCH("入",B4314)))),"Ambiguous",IF(ISNUMBER(SEARCH("平",B4314)),"平","仄")))</x:f>
        <x:v>仄</x:v>
      </x:c>
      <x:c r="K4314" s="6" t="str">
        <x:f>IF(D4314="","",IF(AND(ISNUMBER(SEARCH("平",D4314)),OR(ISNUMBER(SEARCH("上",D4314)),ISNUMBER(SEARCH("去",D4314)),ISNUMBER(SEARCH("入",D4314)))),"Ambiguous",IF(ISNUMBER(SEARCH("平",D4314)),"平","仄")))</x:f>
        <x:v>仄</x:v>
      </x:c>
      <x:c r="L4314" s="7" t="str"/>
    </x:row>
    <x:row r="4315">
      <x:c r="A4315" s="5" t="str">
        <x:v>量</x:v>
      </x:c>
      <x:c r="B4315" s="6" t="str">
        <x:v>去</x:v>
      </x:c>
      <x:c r="C4315" s="6" t="str">
        <x:f>IF(B4315="","Needs decision","Ready")</x:f>
        <x:v>Ready</x:v>
      </x:c>
      <x:c r="D4315" s="6" t="str">
        <x:v>平/去</x:v>
      </x:c>
      <x:c r="E4315" s="6" t="str">
        <x:v>ljang (A); ljangH (C)</x:v>
      </x:c>
      <x:c r="F4315" s="6" t="str">
        <x:v>下平聲七陽; 去聲二十三漾</x:v>
      </x:c>
      <x:c r="G4315" s="6" t="str">
        <x:v>Pingshui main list, Wikisource-derived DOCX</x:v>
      </x:c>
      <x:c r="H4315" s="6" t="str">
        <x:v>2</x:v>
      </x:c>
      <x:c r="I4315" s="6" t="str"/>
      <x:c r="J4315" s="6" t="str">
        <x:f>IF(B4315="","",IF(AND(ISNUMBER(SEARCH("平",B4315)),OR(ISNUMBER(SEARCH("上",B4315)),ISNUMBER(SEARCH("去",B4315)),ISNUMBER(SEARCH("入",B4315)))),"Ambiguous",IF(ISNUMBER(SEARCH("平",B4315)),"平","仄")))</x:f>
        <x:v>仄</x:v>
      </x:c>
      <x:c r="K4315" s="6" t="str">
        <x:f>IF(D4315="","",IF(AND(ISNUMBER(SEARCH("平",D4315)),OR(ISNUMBER(SEARCH("上",D4315)),ISNUMBER(SEARCH("去",D4315)),ISNUMBER(SEARCH("入",D4315)))),"Ambiguous",IF(ISNUMBER(SEARCH("平",D4315)),"平","仄")))</x:f>
        <x:v>Ambiguous</x:v>
      </x:c>
      <x:c r="L4315" s="7" t="str"/>
    </x:row>
    <x:row r="4316">
      <x:c r="A4316" s="5" t="str">
        <x:v>釐</x:v>
      </x:c>
      <x:c r="B4316" s="6" t="str">
        <x:v>平</x:v>
      </x:c>
      <x:c r="C4316" s="6" t="str">
        <x:f>IF(B4316="","Needs decision","Ready")</x:f>
        <x:v>Ready</x:v>
      </x:c>
      <x:c r="D4316" s="6" t="str">
        <x:v>平</x:v>
      </x:c>
      <x:c r="E4316" s="6" t="str">
        <x:v>li (A)</x:v>
      </x:c>
      <x:c r="F4316" s="6" t="str">
        <x:v>上平聲四支</x:v>
      </x:c>
      <x:c r="G4316" s="6" t="str">
        <x:v>Pingshui main list, Wikisource-derived DOCX</x:v>
      </x:c>
      <x:c r="H4316" s="6" t="str">
        <x:v>1</x:v>
      </x:c>
      <x:c r="I4316" s="6" t="str"/>
      <x:c r="J4316" s="6" t="str">
        <x:f>IF(B4316="","",IF(AND(ISNUMBER(SEARCH("平",B4316)),OR(ISNUMBER(SEARCH("上",B4316)),ISNUMBER(SEARCH("去",B4316)),ISNUMBER(SEARCH("入",B4316)))),"Ambiguous",IF(ISNUMBER(SEARCH("平",B4316)),"平","仄")))</x:f>
        <x:v>平</x:v>
      </x:c>
      <x:c r="K4316" s="6" t="str">
        <x:f>IF(D4316="","",IF(AND(ISNUMBER(SEARCH("平",D4316)),OR(ISNUMBER(SEARCH("上",D4316)),ISNUMBER(SEARCH("去",D4316)),ISNUMBER(SEARCH("入",D4316)))),"Ambiguous",IF(ISNUMBER(SEARCH("平",D4316)),"平","仄")))</x:f>
        <x:v>平</x:v>
      </x:c>
      <x:c r="L4316" s="7" t="str"/>
    </x:row>
    <x:row r="4317">
      <x:c r="A4317" s="5" t="str">
        <x:v>金</x:v>
      </x:c>
      <x:c r="B4317" s="6" t="str">
        <x:v>平</x:v>
      </x:c>
      <x:c r="C4317" s="6" t="str">
        <x:f>IF(B4317="","Needs decision","Ready")</x:f>
        <x:v>Ready</x:v>
      </x:c>
      <x:c r="D4317" s="6" t="str">
        <x:v>平</x:v>
      </x:c>
      <x:c r="E4317" s="6" t="str">
        <x:v>kim (A)</x:v>
      </x:c>
      <x:c r="F4317" s="6" t="str">
        <x:v>下平聲十二侵</x:v>
      </x:c>
      <x:c r="G4317" s="6" t="str">
        <x:v>Pingshui main list, Wikisource-derived DOCX</x:v>
      </x:c>
      <x:c r="H4317" s="6" t="str">
        <x:v>1</x:v>
      </x:c>
      <x:c r="I4317" s="6" t="str"/>
      <x:c r="J4317" s="6" t="str">
        <x:f>IF(B4317="","",IF(AND(ISNUMBER(SEARCH("平",B4317)),OR(ISNUMBER(SEARCH("上",B4317)),ISNUMBER(SEARCH("去",B4317)),ISNUMBER(SEARCH("入",B4317)))),"Ambiguous",IF(ISNUMBER(SEARCH("平",B4317)),"平","仄")))</x:f>
        <x:v>平</x:v>
      </x:c>
      <x:c r="K4317" s="6" t="str">
        <x:f>IF(D4317="","",IF(AND(ISNUMBER(SEARCH("平",D4317)),OR(ISNUMBER(SEARCH("上",D4317)),ISNUMBER(SEARCH("去",D4317)),ISNUMBER(SEARCH("入",D4317)))),"Ambiguous",IF(ISNUMBER(SEARCH("平",D4317)),"平","仄")))</x:f>
        <x:v>平</x:v>
      </x:c>
      <x:c r="L4317" s="7" t="str"/>
    </x:row>
    <x:row r="4318">
      <x:c r="A4318" s="5" t="str">
        <x:v>釘</x:v>
      </x:c>
      <x:c r="B4318" s="6" t="str">
        <x:v>平</x:v>
      </x:c>
      <x:c r="C4318" s="6" t="str">
        <x:f>IF(B4318="","Needs decision","Ready")</x:f>
        <x:v>Ready</x:v>
      </x:c>
      <x:c r="D4318" s="6" t="str">
        <x:v>平/去</x:v>
      </x:c>
      <x:c r="E4318" s="6" t="str">
        <x:v>teng (A); tengH (C)</x:v>
      </x:c>
      <x:c r="F4318" s="6" t="str">
        <x:v>下平聲九青; 去聲二十五徑</x:v>
      </x:c>
      <x:c r="G4318" s="6" t="str">
        <x:v>Pingshui main list, Wikisource-derived DOCX</x:v>
      </x:c>
      <x:c r="H4318" s="6" t="str">
        <x:v>2</x:v>
      </x:c>
      <x:c r="I4318" s="6" t="str"/>
      <x:c r="J4318" s="6" t="str">
        <x:f>IF(B4318="","",IF(AND(ISNUMBER(SEARCH("平",B4318)),OR(ISNUMBER(SEARCH("上",B4318)),ISNUMBER(SEARCH("去",B4318)),ISNUMBER(SEARCH("入",B4318)))),"Ambiguous",IF(ISNUMBER(SEARCH("平",B4318)),"平","仄")))</x:f>
        <x:v>平</x:v>
      </x:c>
      <x:c r="K4318" s="6" t="str">
        <x:f>IF(D4318="","",IF(AND(ISNUMBER(SEARCH("平",D4318)),OR(ISNUMBER(SEARCH("上",D4318)),ISNUMBER(SEARCH("去",D4318)),ISNUMBER(SEARCH("入",D4318)))),"Ambiguous",IF(ISNUMBER(SEARCH("平",D4318)),"平","仄")))</x:f>
        <x:v>Ambiguous</x:v>
      </x:c>
      <x:c r="L4318" s="7" t="str"/>
    </x:row>
    <x:row r="4319">
      <x:c r="A4319" s="5" t="str">
        <x:v>釜</x:v>
      </x:c>
      <x:c r="B4319" s="6" t="str">
        <x:v>上</x:v>
      </x:c>
      <x:c r="C4319" s="6" t="str">
        <x:f>IF(B4319="","Needs decision","Ready")</x:f>
        <x:v>Ready</x:v>
      </x:c>
      <x:c r="D4319" s="6" t="str">
        <x:v>上</x:v>
      </x:c>
      <x:c r="E4319" s="6" t="str">
        <x:v>bjuX [bɨ̯oʔ] (上)</x:v>
      </x:c>
      <x:c r="F4319" s="6" t="str"/>
      <x:c r="G4319" s="6" t="str"/>
      <x:c r="H4319" s="6" t="str">
        <x:v>1</x:v>
      </x:c>
      <x:c r="I4319" s="6" t="str">
        <x:v>Tang 300 gap; frequency 1; provisional from Xun Gong</x:v>
      </x:c>
      <x:c r="J4319" s="6" t="str">
        <x:f>IF(B4319="","",IF(AND(ISNUMBER(SEARCH("平",B4319)),OR(ISNUMBER(SEARCH("上",B4319)),ISNUMBER(SEARCH("去",B4319)),ISNUMBER(SEARCH("入",B4319)))),"Ambiguous",IF(ISNUMBER(SEARCH("平",B4319)),"平","仄")))</x:f>
        <x:v>仄</x:v>
      </x:c>
      <x:c r="K4319" s="6" t="str">
        <x:f>IF(D4319="","",IF(AND(ISNUMBER(SEARCH("平",D4319)),OR(ISNUMBER(SEARCH("上",D4319)),ISNUMBER(SEARCH("去",D4319)),ISNUMBER(SEARCH("入",D4319)))),"Ambiguous",IF(ISNUMBER(SEARCH("平",D4319)),"平","仄")))</x:f>
        <x:v>仄</x:v>
      </x:c>
      <x:c r="L4319" s="7" t="str">
        <x:v>Xun Gong, Tang 300 gap fill</x:v>
      </x:c>
    </x:row>
    <x:row r="4320">
      <x:c r="A4320" s="5" t="str">
        <x:v>針</x:v>
      </x:c>
      <x:c r="B4320" s="6" t="str">
        <x:v>平</x:v>
      </x:c>
      <x:c r="C4320" s="6" t="str">
        <x:f>IF(B4320="","Needs decision","Ready")</x:f>
        <x:v>Ready</x:v>
      </x:c>
      <x:c r="D4320" s="6" t="str">
        <x:v>平</x:v>
      </x:c>
      <x:c r="E4320" s="6" t="str">
        <x:v>tsyim (A)</x:v>
      </x:c>
      <x:c r="F4320" s="6" t="str"/>
      <x:c r="G4320" s="6" t="str"/>
      <x:c r="H4320" s="6" t="str">
        <x:v>1</x:v>
      </x:c>
      <x:c r="I4320" s="6" t="str"/>
      <x:c r="J4320" s="6" t="str">
        <x:f>IF(B4320="","",IF(AND(ISNUMBER(SEARCH("平",B4320)),OR(ISNUMBER(SEARCH("上",B4320)),ISNUMBER(SEARCH("去",B4320)),ISNUMBER(SEARCH("入",B4320)))),"Ambiguous",IF(ISNUMBER(SEARCH("平",B4320)),"平","仄")))</x:f>
        <x:v>平</x:v>
      </x:c>
      <x:c r="K4320" s="6" t="str">
        <x:f>IF(D4320="","",IF(AND(ISNUMBER(SEARCH("平",D4320)),OR(ISNUMBER(SEARCH("上",D4320)),ISNUMBER(SEARCH("去",D4320)),ISNUMBER(SEARCH("入",D4320)))),"Ambiguous",IF(ISNUMBER(SEARCH("平",D4320)),"平","仄")))</x:f>
        <x:v>平</x:v>
      </x:c>
      <x:c r="L4320" s="7" t="str"/>
    </x:row>
    <x:row r="4321">
      <x:c r="A4321" s="5" t="str">
        <x:v>釣</x:v>
      </x:c>
      <x:c r="B4321" s="6" t="str">
        <x:v>去</x:v>
      </x:c>
      <x:c r="C4321" s="6" t="str">
        <x:f>IF(B4321="","Needs decision","Ready")</x:f>
        <x:v>Ready</x:v>
      </x:c>
      <x:c r="D4321" s="6" t="str">
        <x:v>去</x:v>
      </x:c>
      <x:c r="E4321" s="6" t="str">
        <x:v>tewH (C)</x:v>
      </x:c>
      <x:c r="F4321" s="6" t="str">
        <x:v>去聲十八嘯</x:v>
      </x:c>
      <x:c r="G4321" s="6" t="str">
        <x:v>Pingshui main list, Wikisource-derived DOCX</x:v>
      </x:c>
      <x:c r="H4321" s="6" t="str">
        <x:v>1</x:v>
      </x:c>
      <x:c r="I4321" s="6" t="str"/>
      <x:c r="J4321" s="6" t="str">
        <x:f>IF(B4321="","",IF(AND(ISNUMBER(SEARCH("平",B4321)),OR(ISNUMBER(SEARCH("上",B4321)),ISNUMBER(SEARCH("去",B4321)),ISNUMBER(SEARCH("入",B4321)))),"Ambiguous",IF(ISNUMBER(SEARCH("平",B4321)),"平","仄")))</x:f>
        <x:v>仄</x:v>
      </x:c>
      <x:c r="K4321" s="6" t="str">
        <x:f>IF(D4321="","",IF(AND(ISNUMBER(SEARCH("平",D4321)),OR(ISNUMBER(SEARCH("上",D4321)),ISNUMBER(SEARCH("去",D4321)),ISNUMBER(SEARCH("入",D4321)))),"Ambiguous",IF(ISNUMBER(SEARCH("平",D4321)),"平","仄")))</x:f>
        <x:v>仄</x:v>
      </x:c>
      <x:c r="L4321" s="7" t="str"/>
    </x:row>
    <x:row r="4322">
      <x:c r="A4322" s="5" t="str">
        <x:v>釵</x:v>
      </x:c>
      <x:c r="B4322" s="6" t="str">
        <x:v>平</x:v>
      </x:c>
      <x:c r="C4322" s="6" t="str">
        <x:f>IF(B4322="","Needs decision","Ready")</x:f>
        <x:v>Ready</x:v>
      </x:c>
      <x:c r="D4322" s="6" t="str">
        <x:v>平</x:v>
      </x:c>
      <x:c r="E4322" s="6" t="str">
        <x:v>tsrhea [tʂʰeˤ] (平)</x:v>
      </x:c>
      <x:c r="F4322" s="6" t="str">
        <x:v>上平聲九佳</x:v>
      </x:c>
      <x:c r="G4322" s="6" t="str">
        <x:v>Pingshui main list, Wikisource-derived DOCX</x:v>
      </x:c>
      <x:c r="H4322" s="6" t="str">
        <x:v>1</x:v>
      </x:c>
      <x:c r="I4322" s="6" t="str">
        <x:v>Tang 300 gap; frequency 5; provisional from Xun Gong</x:v>
      </x:c>
      <x:c r="J4322" s="6" t="str">
        <x:f>IF(B4322="","",IF(AND(ISNUMBER(SEARCH("平",B4322)),OR(ISNUMBER(SEARCH("上",B4322)),ISNUMBER(SEARCH("去",B4322)),ISNUMBER(SEARCH("入",B4322)))),"Ambiguous",IF(ISNUMBER(SEARCH("平",B4322)),"平","仄")))</x:f>
        <x:v>平</x:v>
      </x:c>
      <x:c r="K4322" s="6" t="str">
        <x:f>IF(D4322="","",IF(AND(ISNUMBER(SEARCH("平",D4322)),OR(ISNUMBER(SEARCH("上",D4322)),ISNUMBER(SEARCH("去",D4322)),ISNUMBER(SEARCH("入",D4322)))),"Ambiguous",IF(ISNUMBER(SEARCH("平",D4322)),"平","仄")))</x:f>
        <x:v>平</x:v>
      </x:c>
      <x:c r="L4322" s="7" t="str">
        <x:v>Xun Gong, Tang 300 gap fill</x:v>
      </x:c>
    </x:row>
    <x:row r="4323">
      <x:c r="A4323" s="5" t="str">
        <x:v>鈇</x:v>
      </x:c>
      <x:c r="B4323" s="6" t="str">
        <x:v>上</x:v>
      </x:c>
      <x:c r="C4323" s="6" t="str">
        <x:f>IF(B4323="","Needs decision","Ready")</x:f>
        <x:v>Ready</x:v>
      </x:c>
      <x:c r="D4323" s="6" t="str">
        <x:v>上</x:v>
      </x:c>
      <x:c r="E4323" s="6" t="str">
        <x:v>pjuX (B)</x:v>
      </x:c>
      <x:c r="F4323" s="6" t="str">
        <x:v>上平聲七虞</x:v>
      </x:c>
      <x:c r="G4323" s="6" t="str">
        <x:v>Pingshui main list, Wikisource-derived DOCX</x:v>
      </x:c>
      <x:c r="H4323" s="6" t="str">
        <x:v>1</x:v>
      </x:c>
      <x:c r="I4323" s="6" t="str"/>
      <x:c r="J4323" s="6" t="str">
        <x:f>IF(B4323="","",IF(AND(ISNUMBER(SEARCH("平",B4323)),OR(ISNUMBER(SEARCH("上",B4323)),ISNUMBER(SEARCH("去",B4323)),ISNUMBER(SEARCH("入",B4323)))),"Ambiguous",IF(ISNUMBER(SEARCH("平",B4323)),"平","仄")))</x:f>
        <x:v>仄</x:v>
      </x:c>
      <x:c r="K4323" s="6" t="str">
        <x:f>IF(D4323="","",IF(AND(ISNUMBER(SEARCH("平",D4323)),OR(ISNUMBER(SEARCH("上",D4323)),ISNUMBER(SEARCH("去",D4323)),ISNUMBER(SEARCH("入",D4323)))),"Ambiguous",IF(ISNUMBER(SEARCH("平",D4323)),"平","仄")))</x:f>
        <x:v>仄</x:v>
      </x:c>
      <x:c r="L4323" s="7" t="str"/>
    </x:row>
    <x:row r="4324">
      <x:c r="A4324" s="5" t="str">
        <x:v>鈕</x:v>
      </x:c>
      <x:c r="B4324" s="6" t="str">
        <x:v>上</x:v>
      </x:c>
      <x:c r="C4324" s="6" t="str">
        <x:f>IF(B4324="","Needs decision","Ready")</x:f>
        <x:v>Ready</x:v>
      </x:c>
      <x:c r="D4324" s="6" t="str">
        <x:v>上</x:v>
      </x:c>
      <x:c r="E4324" s="6" t="str">
        <x:v>nrjuwX [ɳjuʔ] (上)</x:v>
      </x:c>
      <x:c r="F4324" s="6" t="str">
        <x:v>上聲二十五有</x:v>
      </x:c>
      <x:c r="G4324" s="6" t="str">
        <x:v>Pingshui main list, Wikisource-derived DOCX</x:v>
      </x:c>
      <x:c r="H4324" s="6" t="str">
        <x:v>1</x:v>
      </x:c>
      <x:c r="I4324" s="6" t="str">
        <x:v>Tang 300 gap; frequency 1; provisional from Xun Gong</x:v>
      </x:c>
      <x:c r="J4324" s="6" t="str">
        <x:f>IF(B4324="","",IF(AND(ISNUMBER(SEARCH("平",B4324)),OR(ISNUMBER(SEARCH("上",B4324)),ISNUMBER(SEARCH("去",B4324)),ISNUMBER(SEARCH("入",B4324)))),"Ambiguous",IF(ISNUMBER(SEARCH("平",B4324)),"平","仄")))</x:f>
        <x:v>仄</x:v>
      </x:c>
      <x:c r="K4324" s="6" t="str">
        <x:f>IF(D4324="","",IF(AND(ISNUMBER(SEARCH("平",D4324)),OR(ISNUMBER(SEARCH("上",D4324)),ISNUMBER(SEARCH("去",D4324)),ISNUMBER(SEARCH("入",D4324)))),"Ambiguous",IF(ISNUMBER(SEARCH("平",D4324)),"平","仄")))</x:f>
        <x:v>仄</x:v>
      </x:c>
      <x:c r="L4324" s="7" t="str">
        <x:v>Xun Gong, Tang 300 gap fill</x:v>
      </x:c>
    </x:row>
    <x:row r="4325">
      <x:c r="A4325" s="5" t="str">
        <x:v>鈞</x:v>
      </x:c>
      <x:c r="B4325" s="6" t="str">
        <x:v>平</x:v>
      </x:c>
      <x:c r="C4325" s="6" t="str">
        <x:f>IF(B4325="","Needs decision","Ready")</x:f>
        <x:v>Ready</x:v>
      </x:c>
      <x:c r="D4325" s="6" t="str">
        <x:v>平</x:v>
      </x:c>
      <x:c r="E4325" s="6" t="str">
        <x:v>kjwin (A)</x:v>
      </x:c>
      <x:c r="F4325" s="6" t="str">
        <x:v>上平聲十一真</x:v>
      </x:c>
      <x:c r="G4325" s="6" t="str">
        <x:v>Pingshui main list, Wikisource-derived DOCX</x:v>
      </x:c>
      <x:c r="H4325" s="6" t="str">
        <x:v>1</x:v>
      </x:c>
      <x:c r="I4325" s="6" t="str"/>
      <x:c r="J4325" s="6" t="str">
        <x:f>IF(B4325="","",IF(AND(ISNUMBER(SEARCH("平",B4325)),OR(ISNUMBER(SEARCH("上",B4325)),ISNUMBER(SEARCH("去",B4325)),ISNUMBER(SEARCH("入",B4325)))),"Ambiguous",IF(ISNUMBER(SEARCH("平",B4325)),"平","仄")))</x:f>
        <x:v>平</x:v>
      </x:c>
      <x:c r="K4325" s="6" t="str">
        <x:f>IF(D4325="","",IF(AND(ISNUMBER(SEARCH("平",D4325)),OR(ISNUMBER(SEARCH("上",D4325)),ISNUMBER(SEARCH("去",D4325)),ISNUMBER(SEARCH("入",D4325)))),"Ambiguous",IF(ISNUMBER(SEARCH("平",D4325)),"平","仄")))</x:f>
        <x:v>平</x:v>
      </x:c>
      <x:c r="L4325" s="7" t="str"/>
    </x:row>
    <x:row r="4326">
      <x:c r="A4326" s="5" t="str">
        <x:v>鈴</x:v>
      </x:c>
      <x:c r="B4326" s="6" t="str">
        <x:v>平</x:v>
      </x:c>
      <x:c r="C4326" s="6" t="str">
        <x:f>IF(B4326="","Needs decision","Ready")</x:f>
        <x:v>Ready</x:v>
      </x:c>
      <x:c r="D4326" s="6" t="str">
        <x:v>平</x:v>
      </x:c>
      <x:c r="E4326" s="6" t="str">
        <x:v>leng [l̙eŋ] (平)</x:v>
      </x:c>
      <x:c r="F4326" s="6" t="str">
        <x:v>下平聲九青; 下平聲十四鹽</x:v>
      </x:c>
      <x:c r="G4326" s="6" t="str">
        <x:v>Pingshui main list, Wikisource-derived DOCX</x:v>
      </x:c>
      <x:c r="H4326" s="6" t="str">
        <x:v>1</x:v>
      </x:c>
      <x:c r="I4326" s="6" t="str">
        <x:v>Tang 300 gap; frequency 1; provisional from Xun Gong</x:v>
      </x:c>
      <x:c r="J4326" s="6" t="str">
        <x:f>IF(B4326="","",IF(AND(ISNUMBER(SEARCH("平",B4326)),OR(ISNUMBER(SEARCH("上",B4326)),ISNUMBER(SEARCH("去",B4326)),ISNUMBER(SEARCH("入",B4326)))),"Ambiguous",IF(ISNUMBER(SEARCH("平",B4326)),"平","仄")))</x:f>
        <x:v>平</x:v>
      </x:c>
      <x:c r="K4326" s="6" t="str">
        <x:f>IF(D4326="","",IF(AND(ISNUMBER(SEARCH("平",D4326)),OR(ISNUMBER(SEARCH("上",D4326)),ISNUMBER(SEARCH("去",D4326)),ISNUMBER(SEARCH("入",D4326)))),"Ambiguous",IF(ISNUMBER(SEARCH("平",D4326)),"平","仄")))</x:f>
        <x:v>平</x:v>
      </x:c>
      <x:c r="L4326" s="7" t="str">
        <x:v>Xun Gong, Tang 300 gap fill</x:v>
      </x:c>
    </x:row>
    <x:row r="4327">
      <x:c r="A4327" s="5" t="str">
        <x:v>鈶</x:v>
      </x:c>
      <x:c r="B4327" s="6" t="str">
        <x:v>上</x:v>
      </x:c>
      <x:c r="C4327" s="6" t="str">
        <x:f>IF(B4327="","Needs decision","Ready")</x:f>
        <x:v>Ready</x:v>
      </x:c>
      <x:c r="D4327" s="6" t="str">
        <x:v>上</x:v>
      </x:c>
      <x:c r="E4327" s="6" t="str">
        <x:v>ziX (B)</x:v>
      </x:c>
      <x:c r="F4327" s="6" t="str"/>
      <x:c r="G4327" s="6" t="str"/>
      <x:c r="H4327" s="6" t="str">
        <x:v>1</x:v>
      </x:c>
      <x:c r="I4327" s="6" t="str"/>
      <x:c r="J4327" s="6" t="str">
        <x:f>IF(B4327="","",IF(AND(ISNUMBER(SEARCH("平",B4327)),OR(ISNUMBER(SEARCH("上",B4327)),ISNUMBER(SEARCH("去",B4327)),ISNUMBER(SEARCH("入",B4327)))),"Ambiguous",IF(ISNUMBER(SEARCH("平",B4327)),"平","仄")))</x:f>
        <x:v>仄</x:v>
      </x:c>
      <x:c r="K4327" s="6" t="str">
        <x:f>IF(D4327="","",IF(AND(ISNUMBER(SEARCH("平",D4327)),OR(ISNUMBER(SEARCH("上",D4327)),ISNUMBER(SEARCH("去",D4327)),ISNUMBER(SEARCH("入",D4327)))),"Ambiguous",IF(ISNUMBER(SEARCH("平",D4327)),"平","仄")))</x:f>
        <x:v>仄</x:v>
      </x:c>
      <x:c r="L4327" s="7" t="str"/>
    </x:row>
    <x:row r="4328">
      <x:c r="A4328" s="5" t="str">
        <x:v>鈿</x:v>
      </x:c>
      <x:c r="B4328" s="6" t="str">
        <x:v>去</x:v>
      </x:c>
      <x:c r="C4328" s="6" t="str">
        <x:f>IF(B4328="","Needs decision","Ready")</x:f>
        <x:v>Ready</x:v>
      </x:c>
      <x:c r="D4328" s="6" t="str">
        <x:v>平/去</x:v>
      </x:c>
      <x:c r="E4328" s="6" t="str">
        <x:v>den [d̙en] (平); denH [d̙enh] (去)</x:v>
      </x:c>
      <x:c r="F4328" s="6" t="str">
        <x:v>下平聲一先; 去聲十七霰</x:v>
      </x:c>
      <x:c r="G4328" s="6" t="str">
        <x:v>Pingshui main list, Wikisource-derived DOCX</x:v>
      </x:c>
      <x:c r="H4328" s="6" t="str">
        <x:v>2</x:v>
      </x:c>
      <x:c r="I4328" s="6" t="str">
        <x:v>Tang 300 gap; frequency 5; ambiguous in Xun Gong</x:v>
      </x:c>
      <x:c r="J4328" s="6" t="str">
        <x:f>IF(B4328="","",IF(AND(ISNUMBER(SEARCH("平",B4328)),OR(ISNUMBER(SEARCH("上",B4328)),ISNUMBER(SEARCH("去",B4328)),ISNUMBER(SEARCH("入",B4328)))),"Ambiguous",IF(ISNUMBER(SEARCH("平",B4328)),"平","仄")))</x:f>
        <x:v>仄</x:v>
      </x:c>
      <x:c r="K4328" s="6" t="str">
        <x:f>IF(D4328="","",IF(AND(ISNUMBER(SEARCH("平",D4328)),OR(ISNUMBER(SEARCH("上",D4328)),ISNUMBER(SEARCH("去",D4328)),ISNUMBER(SEARCH("入",D4328)))),"Ambiguous",IF(ISNUMBER(SEARCH("平",D4328)),"平","仄")))</x:f>
        <x:v>Ambiguous</x:v>
      </x:c>
      <x:c r="L4328" s="7" t="str">
        <x:v>Xun Gong, Tang 300 gap fill</x:v>
      </x:c>
    </x:row>
    <x:row r="4329">
      <x:c r="A4329" s="5" t="str">
        <x:v>鉏</x:v>
      </x:c>
      <x:c r="B4329" s="6" t="str">
        <x:v>平</x:v>
      </x:c>
      <x:c r="C4329" s="6" t="str">
        <x:f>IF(B4329="","Needs decision","Ready")</x:f>
        <x:v>Ready</x:v>
      </x:c>
      <x:c r="D4329" s="6" t="str">
        <x:v>平</x:v>
      </x:c>
      <x:c r="E4329" s="6" t="str">
        <x:v>dzrjo (A)</x:v>
      </x:c>
      <x:c r="F4329" s="6" t="str"/>
      <x:c r="G4329" s="6" t="str"/>
      <x:c r="H4329" s="6" t="str">
        <x:v>1</x:v>
      </x:c>
      <x:c r="I4329" s="6" t="str"/>
      <x:c r="J4329" s="6" t="str">
        <x:f>IF(B4329="","",IF(AND(ISNUMBER(SEARCH("平",B4329)),OR(ISNUMBER(SEARCH("上",B4329)),ISNUMBER(SEARCH("去",B4329)),ISNUMBER(SEARCH("入",B4329)))),"Ambiguous",IF(ISNUMBER(SEARCH("平",B4329)),"平","仄")))</x:f>
        <x:v>平</x:v>
      </x:c>
      <x:c r="K4329" s="6" t="str">
        <x:f>IF(D4329="","",IF(AND(ISNUMBER(SEARCH("平",D4329)),OR(ISNUMBER(SEARCH("上",D4329)),ISNUMBER(SEARCH("去",D4329)),ISNUMBER(SEARCH("入",D4329)))),"Ambiguous",IF(ISNUMBER(SEARCH("平",D4329)),"平","仄")))</x:f>
        <x:v>平</x:v>
      </x:c>
      <x:c r="L4329" s="7" t="str"/>
    </x:row>
    <x:row r="4330">
      <x:c r="A4330" s="5" t="str">
        <x:v>鉗</x:v>
      </x:c>
      <x:c r="B4330" s="6" t="str">
        <x:v>平</x:v>
      </x:c>
      <x:c r="C4330" s="6" t="str">
        <x:f>IF(B4330="","Needs decision","Ready")</x:f>
        <x:v>Ready</x:v>
      </x:c>
      <x:c r="D4330" s="6" t="str">
        <x:v>平</x:v>
      </x:c>
      <x:c r="E4330" s="6" t="str">
        <x:v>gjem (A)</x:v>
      </x:c>
      <x:c r="F4330" s="6" t="str"/>
      <x:c r="G4330" s="6" t="str"/>
      <x:c r="H4330" s="6" t="str">
        <x:v>1</x:v>
      </x:c>
      <x:c r="I4330" s="6" t="str"/>
      <x:c r="J4330" s="6" t="str">
        <x:f>IF(B4330="","",IF(AND(ISNUMBER(SEARCH("平",B4330)),OR(ISNUMBER(SEARCH("上",B4330)),ISNUMBER(SEARCH("去",B4330)),ISNUMBER(SEARCH("入",B4330)))),"Ambiguous",IF(ISNUMBER(SEARCH("平",B4330)),"平","仄")))</x:f>
        <x:v>平</x:v>
      </x:c>
      <x:c r="K4330" s="6" t="str">
        <x:f>IF(D4330="","",IF(AND(ISNUMBER(SEARCH("平",D4330)),OR(ISNUMBER(SEARCH("上",D4330)),ISNUMBER(SEARCH("去",D4330)),ISNUMBER(SEARCH("入",D4330)))),"Ambiguous",IF(ISNUMBER(SEARCH("平",D4330)),"平","仄")))</x:f>
        <x:v>平</x:v>
      </x:c>
      <x:c r="L4330" s="7" t="str"/>
    </x:row>
    <x:row r="4331">
      <x:c r="A4331" s="5" t="str">
        <x:v>鉛</x:v>
      </x:c>
      <x:c r="B4331" s="6" t="str">
        <x:v>平</x:v>
      </x:c>
      <x:c r="C4331" s="6" t="str">
        <x:f>IF(B4331="","Needs decision","Ready")</x:f>
        <x:v>Ready</x:v>
      </x:c>
      <x:c r="D4331" s="6" t="str">
        <x:v>平</x:v>
      </x:c>
      <x:c r="E4331" s="6" t="str">
        <x:v>ywen [jwen] (平)</x:v>
      </x:c>
      <x:c r="F4331" s="6" t="str">
        <x:v>下平聲一先</x:v>
      </x:c>
      <x:c r="G4331" s="6" t="str">
        <x:v>Pingshui main list, Wikisource-derived DOCX</x:v>
      </x:c>
      <x:c r="H4331" s="6" t="str">
        <x:v>1</x:v>
      </x:c>
      <x:c r="I4331" s="6" t="str">
        <x:v>Tang 300 gap; frequency 1; provisional from Xun Gong</x:v>
      </x:c>
      <x:c r="J4331" s="6" t="str">
        <x:f>IF(B4331="","",IF(AND(ISNUMBER(SEARCH("平",B4331)),OR(ISNUMBER(SEARCH("上",B4331)),ISNUMBER(SEARCH("去",B4331)),ISNUMBER(SEARCH("入",B4331)))),"Ambiguous",IF(ISNUMBER(SEARCH("平",B4331)),"平","仄")))</x:f>
        <x:v>平</x:v>
      </x:c>
      <x:c r="K4331" s="6" t="str">
        <x:f>IF(D4331="","",IF(AND(ISNUMBER(SEARCH("平",D4331)),OR(ISNUMBER(SEARCH("上",D4331)),ISNUMBER(SEARCH("去",D4331)),ISNUMBER(SEARCH("入",D4331)))),"Ambiguous",IF(ISNUMBER(SEARCH("平",D4331)),"平","仄")))</x:f>
        <x:v>平</x:v>
      </x:c>
      <x:c r="L4331" s="7" t="str">
        <x:v>Xun Gong, Tang 300 gap fill</x:v>
      </x:c>
    </x:row>
    <x:row r="4332">
      <x:c r="A4332" s="5" t="str">
        <x:v>鉞</x:v>
      </x:c>
      <x:c r="B4332" s="6" t="str">
        <x:v>入</x:v>
      </x:c>
      <x:c r="C4332" s="6" t="str">
        <x:f>IF(B4332="","Needs decision","Ready")</x:f>
        <x:v>Ready</x:v>
      </x:c>
      <x:c r="D4332" s="6" t="str">
        <x:v>入</x:v>
      </x:c>
      <x:c r="E4332" s="6" t="str">
        <x:v>hjwot (D)</x:v>
      </x:c>
      <x:c r="F4332" s="6" t="str">
        <x:v>入聲六月</x:v>
      </x:c>
      <x:c r="G4332" s="6" t="str">
        <x:v>Pingshui main list, Wikisource-derived DOCX</x:v>
      </x:c>
      <x:c r="H4332" s="6" t="str">
        <x:v>1</x:v>
      </x:c>
      <x:c r="I4332" s="6" t="str"/>
      <x:c r="J4332" s="6" t="str">
        <x:f>IF(B4332="","",IF(AND(ISNUMBER(SEARCH("平",B4332)),OR(ISNUMBER(SEARCH("上",B4332)),ISNUMBER(SEARCH("去",B4332)),ISNUMBER(SEARCH("入",B4332)))),"Ambiguous",IF(ISNUMBER(SEARCH("平",B4332)),"平","仄")))</x:f>
        <x:v>仄</x:v>
      </x:c>
      <x:c r="K4332" s="6" t="str">
        <x:f>IF(D4332="","",IF(AND(ISNUMBER(SEARCH("平",D4332)),OR(ISNUMBER(SEARCH("上",D4332)),ISNUMBER(SEARCH("去",D4332)),ISNUMBER(SEARCH("入",D4332)))),"Ambiguous",IF(ISNUMBER(SEARCH("平",D4332)),"平","仄")))</x:f>
        <x:v>仄</x:v>
      </x:c>
      <x:c r="L4332" s="7" t="str"/>
    </x:row>
    <x:row r="4333">
      <x:c r="A4333" s="5" t="str">
        <x:v>鉤</x:v>
      </x:c>
      <x:c r="B4333" s="6" t="str">
        <x:v>平</x:v>
      </x:c>
      <x:c r="C4333" s="6" t="str">
        <x:f>IF(B4333="","Needs decision","Ready")</x:f>
        <x:v>Ready</x:v>
      </x:c>
      <x:c r="D4333" s="6" t="str">
        <x:v>平</x:v>
      </x:c>
      <x:c r="E4333" s="6" t="str">
        <x:v>kuw (A)</x:v>
      </x:c>
      <x:c r="F4333" s="6" t="str">
        <x:v>下平聲十一尤</x:v>
      </x:c>
      <x:c r="G4333" s="6" t="str">
        <x:v>Pingshui main list, Wikisource-derived DOCX</x:v>
      </x:c>
      <x:c r="H4333" s="6" t="str">
        <x:v>1</x:v>
      </x:c>
      <x:c r="I4333" s="6" t="str"/>
      <x:c r="J4333" s="6" t="str">
        <x:f>IF(B4333="","",IF(AND(ISNUMBER(SEARCH("平",B4333)),OR(ISNUMBER(SEARCH("上",B4333)),ISNUMBER(SEARCH("去",B4333)),ISNUMBER(SEARCH("入",B4333)))),"Ambiguous",IF(ISNUMBER(SEARCH("平",B4333)),"平","仄")))</x:f>
        <x:v>平</x:v>
      </x:c>
      <x:c r="K4333" s="6" t="str">
        <x:f>IF(D4333="","",IF(AND(ISNUMBER(SEARCH("平",D4333)),OR(ISNUMBER(SEARCH("上",D4333)),ISNUMBER(SEARCH("去",D4333)),ISNUMBER(SEARCH("入",D4333)))),"Ambiguous",IF(ISNUMBER(SEARCH("平",D4333)),"平","仄")))</x:f>
        <x:v>平</x:v>
      </x:c>
      <x:c r="L4333" s="7" t="str"/>
    </x:row>
    <x:row r="4334">
      <x:c r="A4334" s="5" t="str">
        <x:v>鉥</x:v>
      </x:c>
      <x:c r="B4334" s="6" t="str">
        <x:v>入</x:v>
      </x:c>
      <x:c r="C4334" s="6" t="str">
        <x:f>IF(B4334="","Needs decision","Ready")</x:f>
        <x:v>Ready</x:v>
      </x:c>
      <x:c r="D4334" s="6" t="str">
        <x:v>入</x:v>
      </x:c>
      <x:c r="E4334" s="6" t="str">
        <x:v>zywit (D)</x:v>
      </x:c>
      <x:c r="F4334" s="6" t="str"/>
      <x:c r="G4334" s="6" t="str"/>
      <x:c r="H4334" s="6" t="str">
        <x:v>1</x:v>
      </x:c>
      <x:c r="I4334" s="6" t="str"/>
      <x:c r="J4334" s="6" t="str">
        <x:f>IF(B4334="","",IF(AND(ISNUMBER(SEARCH("平",B4334)),OR(ISNUMBER(SEARCH("上",B4334)),ISNUMBER(SEARCH("去",B4334)),ISNUMBER(SEARCH("入",B4334)))),"Ambiguous",IF(ISNUMBER(SEARCH("平",B4334)),"平","仄")))</x:f>
        <x:v>仄</x:v>
      </x:c>
      <x:c r="K4334" s="6" t="str">
        <x:f>IF(D4334="","",IF(AND(ISNUMBER(SEARCH("平",D4334)),OR(ISNUMBER(SEARCH("上",D4334)),ISNUMBER(SEARCH("去",D4334)),ISNUMBER(SEARCH("入",D4334)))),"Ambiguous",IF(ISNUMBER(SEARCH("平",D4334)),"平","仄")))</x:f>
        <x:v>仄</x:v>
      </x:c>
      <x:c r="L4334" s="7" t="str"/>
    </x:row>
    <x:row r="4335">
      <x:c r="A4335" s="5" t="str">
        <x:v>鉸</x:v>
      </x:c>
      <x:c r="B4335" s="6" t="str">
        <x:v>上</x:v>
      </x:c>
      <x:c r="C4335" s="6" t="str">
        <x:f>IF(B4335="","Needs decision","Ready")</x:f>
        <x:v>Ready</x:v>
      </x:c>
      <x:c r="D4335" s="6" t="str">
        <x:v>上</x:v>
      </x:c>
      <x:c r="E4335" s="6" t="str">
        <x:v>kaewX (B)</x:v>
      </x:c>
      <x:c r="F4335" s="6" t="str">
        <x:v>上聲十八巧</x:v>
      </x:c>
      <x:c r="G4335" s="6" t="str">
        <x:v>Pingshui main list, Wikisource-derived DOCX</x:v>
      </x:c>
      <x:c r="H4335" s="6" t="str">
        <x:v>1</x:v>
      </x:c>
      <x:c r="I4335" s="6" t="str"/>
      <x:c r="J4335" s="6" t="str">
        <x:f>IF(B4335="","",IF(AND(ISNUMBER(SEARCH("平",B4335)),OR(ISNUMBER(SEARCH("上",B4335)),ISNUMBER(SEARCH("去",B4335)),ISNUMBER(SEARCH("入",B4335)))),"Ambiguous",IF(ISNUMBER(SEARCH("平",B4335)),"平","仄")))</x:f>
        <x:v>仄</x:v>
      </x:c>
      <x:c r="K4335" s="6" t="str">
        <x:f>IF(D4335="","",IF(AND(ISNUMBER(SEARCH("平",D4335)),OR(ISNUMBER(SEARCH("上",D4335)),ISNUMBER(SEARCH("去",D4335)),ISNUMBER(SEARCH("入",D4335)))),"Ambiguous",IF(ISNUMBER(SEARCH("平",D4335)),"平","仄")))</x:f>
        <x:v>仄</x:v>
      </x:c>
      <x:c r="L4335" s="7" t="str"/>
    </x:row>
    <x:row r="4336">
      <x:c r="A4336" s="5" t="str">
        <x:v>銀</x:v>
      </x:c>
      <x:c r="B4336" s="6" t="str">
        <x:v>平</x:v>
      </x:c>
      <x:c r="C4336" s="6" t="str">
        <x:f>IF(B4336="","Needs decision","Ready")</x:f>
        <x:v>Ready</x:v>
      </x:c>
      <x:c r="D4336" s="6" t="str">
        <x:v>平</x:v>
      </x:c>
      <x:c r="E4336" s="6" t="str">
        <x:v>ngin (A)</x:v>
      </x:c>
      <x:c r="F4336" s="6" t="str">
        <x:v>上平聲十一真</x:v>
      </x:c>
      <x:c r="G4336" s="6" t="str">
        <x:v>Pingshui main list, Wikisource-derived DOCX</x:v>
      </x:c>
      <x:c r="H4336" s="6" t="str">
        <x:v>1</x:v>
      </x:c>
      <x:c r="I4336" s="6" t="str"/>
      <x:c r="J4336" s="6" t="str">
        <x:f>IF(B4336="","",IF(AND(ISNUMBER(SEARCH("平",B4336)),OR(ISNUMBER(SEARCH("上",B4336)),ISNUMBER(SEARCH("去",B4336)),ISNUMBER(SEARCH("入",B4336)))),"Ambiguous",IF(ISNUMBER(SEARCH("平",B4336)),"平","仄")))</x:f>
        <x:v>平</x:v>
      </x:c>
      <x:c r="K4336" s="6" t="str">
        <x:f>IF(D4336="","",IF(AND(ISNUMBER(SEARCH("平",D4336)),OR(ISNUMBER(SEARCH("上",D4336)),ISNUMBER(SEARCH("去",D4336)),ISNUMBER(SEARCH("入",D4336)))),"Ambiguous",IF(ISNUMBER(SEARCH("平",D4336)),"平","仄")))</x:f>
        <x:v>平</x:v>
      </x:c>
      <x:c r="L4336" s="7" t="str"/>
    </x:row>
    <x:row r="4337">
      <x:c r="A4337" s="5" t="str">
        <x:v>銅</x:v>
      </x:c>
      <x:c r="B4337" s="6" t="str">
        <x:v>平</x:v>
      </x:c>
      <x:c r="C4337" s="6" t="str">
        <x:f>IF(B4337="","Needs decision","Ready")</x:f>
        <x:v>Ready</x:v>
      </x:c>
      <x:c r="D4337" s="6" t="str">
        <x:v>平</x:v>
      </x:c>
      <x:c r="E4337" s="6" t="str">
        <x:v>duwng (A)</x:v>
      </x:c>
      <x:c r="F4337" s="6" t="str">
        <x:v>上平聲一東</x:v>
      </x:c>
      <x:c r="G4337" s="6" t="str">
        <x:v>Pingshui main list, Wikisource-derived DOCX</x:v>
      </x:c>
      <x:c r="H4337" s="6" t="str">
        <x:v>1</x:v>
      </x:c>
      <x:c r="I4337" s="6" t="str"/>
      <x:c r="J4337" s="6" t="str">
        <x:f>IF(B4337="","",IF(AND(ISNUMBER(SEARCH("平",B4337)),OR(ISNUMBER(SEARCH("上",B4337)),ISNUMBER(SEARCH("去",B4337)),ISNUMBER(SEARCH("入",B4337)))),"Ambiguous",IF(ISNUMBER(SEARCH("平",B4337)),"平","仄")))</x:f>
        <x:v>平</x:v>
      </x:c>
      <x:c r="K4337" s="6" t="str">
        <x:f>IF(D4337="","",IF(AND(ISNUMBER(SEARCH("平",D4337)),OR(ISNUMBER(SEARCH("上",D4337)),ISNUMBER(SEARCH("去",D4337)),ISNUMBER(SEARCH("入",D4337)))),"Ambiguous",IF(ISNUMBER(SEARCH("平",D4337)),"平","仄")))</x:f>
        <x:v>平</x:v>
      </x:c>
      <x:c r="L4337" s="7" t="str"/>
    </x:row>
    <x:row r="4338">
      <x:c r="A4338" s="5" t="str">
        <x:v>銑</x:v>
      </x:c>
      <x:c r="B4338" s="6" t="str">
        <x:v>上</x:v>
      </x:c>
      <x:c r="C4338" s="6" t="str">
        <x:f>IF(B4338="","Needs decision","Ready")</x:f>
        <x:v>Ready</x:v>
      </x:c>
      <x:c r="D4338" s="6" t="str">
        <x:v>上</x:v>
      </x:c>
      <x:c r="E4338" s="6" t="str">
        <x:v>senX [s̙enʔ] (上)</x:v>
      </x:c>
      <x:c r="F4338" s="6" t="str">
        <x:v>上聲十六銑</x:v>
      </x:c>
      <x:c r="G4338" s="6" t="str">
        <x:v>Pingshui main list, Wikisource-derived DOCX</x:v>
      </x:c>
      <x:c r="H4338" s="6" t="str">
        <x:v>1</x:v>
      </x:c>
      <x:c r="I4338" s="6" t="str">
        <x:v>Tang 300 gap; frequency 1; provisional from Xun Gong</x:v>
      </x:c>
      <x:c r="J4338" s="6" t="str">
        <x:f>IF(B4338="","",IF(AND(ISNUMBER(SEARCH("平",B4338)),OR(ISNUMBER(SEARCH("上",B4338)),ISNUMBER(SEARCH("去",B4338)),ISNUMBER(SEARCH("入",B4338)))),"Ambiguous",IF(ISNUMBER(SEARCH("平",B4338)),"平","仄")))</x:f>
        <x:v>仄</x:v>
      </x:c>
      <x:c r="K4338" s="6" t="str">
        <x:f>IF(D4338="","",IF(AND(ISNUMBER(SEARCH("平",D4338)),OR(ISNUMBER(SEARCH("上",D4338)),ISNUMBER(SEARCH("去",D4338)),ISNUMBER(SEARCH("入",D4338)))),"Ambiguous",IF(ISNUMBER(SEARCH("平",D4338)),"平","仄")))</x:f>
        <x:v>仄</x:v>
      </x:c>
      <x:c r="L4338" s="7" t="str">
        <x:v>Xun Gong, Tang 300 gap fill</x:v>
      </x:c>
    </x:row>
    <x:row r="4339">
      <x:c r="A4339" s="5" t="str">
        <x:v>銖</x:v>
      </x:c>
      <x:c r="B4339" s="6" t="str">
        <x:v>平</x:v>
      </x:c>
      <x:c r="C4339" s="6" t="str">
        <x:f>IF(B4339="","Needs decision","Ready")</x:f>
        <x:v>Ready</x:v>
      </x:c>
      <x:c r="D4339" s="6" t="str">
        <x:v>平</x:v>
      </x:c>
      <x:c r="E4339" s="6" t="str">
        <x:v>dzyu [dʑo] (平)</x:v>
      </x:c>
      <x:c r="F4339" s="6" t="str">
        <x:v>上平聲七虞</x:v>
      </x:c>
      <x:c r="G4339" s="6" t="str">
        <x:v>Pingshui main list, Wikisource-derived DOCX</x:v>
      </x:c>
      <x:c r="H4339" s="6" t="str">
        <x:v>1</x:v>
      </x:c>
      <x:c r="I4339" s="6" t="str">
        <x:v>Tang 300 gap; frequency 1; provisional from Xun Gong</x:v>
      </x:c>
      <x:c r="J4339" s="6" t="str">
        <x:f>IF(B4339="","",IF(AND(ISNUMBER(SEARCH("平",B4339)),OR(ISNUMBER(SEARCH("上",B4339)),ISNUMBER(SEARCH("去",B4339)),ISNUMBER(SEARCH("入",B4339)))),"Ambiguous",IF(ISNUMBER(SEARCH("平",B4339)),"平","仄")))</x:f>
        <x:v>平</x:v>
      </x:c>
      <x:c r="K4339" s="6" t="str">
        <x:f>IF(D4339="","",IF(AND(ISNUMBER(SEARCH("平",D4339)),OR(ISNUMBER(SEARCH("上",D4339)),ISNUMBER(SEARCH("去",D4339)),ISNUMBER(SEARCH("入",D4339)))),"Ambiguous",IF(ISNUMBER(SEARCH("平",D4339)),"平","仄")))</x:f>
        <x:v>平</x:v>
      </x:c>
      <x:c r="L4339" s="7" t="str">
        <x:v>Xun Gong, Tang 300 gap fill</x:v>
      </x:c>
    </x:row>
    <x:row r="4340">
      <x:c r="A4340" s="5" t="str">
        <x:v>銘</x:v>
      </x:c>
      <x:c r="B4340" s="6" t="str">
        <x:v>平</x:v>
      </x:c>
      <x:c r="C4340" s="6" t="str">
        <x:f>IF(B4340="","Needs decision","Ready")</x:f>
        <x:v>Ready</x:v>
      </x:c>
      <x:c r="D4340" s="6" t="str">
        <x:v>平</x:v>
      </x:c>
      <x:c r="E4340" s="6" t="str">
        <x:v>meng (A)</x:v>
      </x:c>
      <x:c r="F4340" s="6" t="str">
        <x:v>下平聲九青</x:v>
      </x:c>
      <x:c r="G4340" s="6" t="str">
        <x:v>Pingshui main list, Wikisource-derived DOCX</x:v>
      </x:c>
      <x:c r="H4340" s="6" t="str">
        <x:v>1</x:v>
      </x:c>
      <x:c r="I4340" s="6" t="str"/>
      <x:c r="J4340" s="6" t="str">
        <x:f>IF(B4340="","",IF(AND(ISNUMBER(SEARCH("平",B4340)),OR(ISNUMBER(SEARCH("上",B4340)),ISNUMBER(SEARCH("去",B4340)),ISNUMBER(SEARCH("入",B4340)))),"Ambiguous",IF(ISNUMBER(SEARCH("平",B4340)),"平","仄")))</x:f>
        <x:v>平</x:v>
      </x:c>
      <x:c r="K4340" s="6" t="str">
        <x:f>IF(D4340="","",IF(AND(ISNUMBER(SEARCH("平",D4340)),OR(ISNUMBER(SEARCH("上",D4340)),ISNUMBER(SEARCH("去",D4340)),ISNUMBER(SEARCH("入",D4340)))),"Ambiguous",IF(ISNUMBER(SEARCH("平",D4340)),"平","仄")))</x:f>
        <x:v>平</x:v>
      </x:c>
      <x:c r="L4340" s="7" t="str"/>
    </x:row>
    <x:row r="4341">
      <x:c r="A4341" s="5" t="str">
        <x:v>銜</x:v>
      </x:c>
      <x:c r="B4341" s="6" t="str">
        <x:v>平</x:v>
      </x:c>
      <x:c r="C4341" s="6" t="str">
        <x:f>IF(B4341="","Needs decision","Ready")</x:f>
        <x:v>Ready</x:v>
      </x:c>
      <x:c r="D4341" s="6" t="str">
        <x:v>平</x:v>
      </x:c>
      <x:c r="E4341" s="6" t="str">
        <x:v>haem (A)</x:v>
      </x:c>
      <x:c r="F4341" s="6" t="str">
        <x:v>下平聲十五咸</x:v>
      </x:c>
      <x:c r="G4341" s="6" t="str">
        <x:v>Pingshui main list, Wikisource-derived DOCX</x:v>
      </x:c>
      <x:c r="H4341" s="6" t="str">
        <x:v>1</x:v>
      </x:c>
      <x:c r="I4341" s="6" t="str"/>
      <x:c r="J4341" s="6" t="str">
        <x:f>IF(B4341="","",IF(AND(ISNUMBER(SEARCH("平",B4341)),OR(ISNUMBER(SEARCH("上",B4341)),ISNUMBER(SEARCH("去",B4341)),ISNUMBER(SEARCH("入",B4341)))),"Ambiguous",IF(ISNUMBER(SEARCH("平",B4341)),"平","仄")))</x:f>
        <x:v>平</x:v>
      </x:c>
      <x:c r="K4341" s="6" t="str">
        <x:f>IF(D4341="","",IF(AND(ISNUMBER(SEARCH("平",D4341)),OR(ISNUMBER(SEARCH("上",D4341)),ISNUMBER(SEARCH("去",D4341)),ISNUMBER(SEARCH("入",D4341)))),"Ambiguous",IF(ISNUMBER(SEARCH("平",D4341)),"平","仄")))</x:f>
        <x:v>平</x:v>
      </x:c>
      <x:c r="L4341" s="7" t="str"/>
    </x:row>
    <x:row r="4342">
      <x:c r="A4342" s="5" t="str">
        <x:v>銳</x:v>
      </x:c>
      <x:c r="B4342" s="6" t="str">
        <x:v>去</x:v>
      </x:c>
      <x:c r="C4342" s="6" t="str">
        <x:f>IF(B4342="","Needs decision","Ready")</x:f>
        <x:v>Ready</x:v>
      </x:c>
      <x:c r="D4342" s="6" t="str">
        <x:v>去</x:v>
      </x:c>
      <x:c r="E4342" s="6" t="str">
        <x:v>dwajH [d̙wɑjh] (去); ywejH [jwejh] (去)</x:v>
      </x:c>
      <x:c r="F4342" s="6" t="str">
        <x:v>去聲八霽</x:v>
      </x:c>
      <x:c r="G4342" s="6" t="str">
        <x:v>Pingshui main list, Wikisource-derived DOCX</x:v>
      </x:c>
      <x:c r="H4342" s="6" t="str">
        <x:v>2</x:v>
      </x:c>
      <x:c r="I4342" s="6" t="str">
        <x:v>Tang 300 gap; frequency 1; provisional from Xun Gong</x:v>
      </x:c>
      <x:c r="J4342" s="6" t="str">
        <x:f>IF(B4342="","",IF(AND(ISNUMBER(SEARCH("平",B4342)),OR(ISNUMBER(SEARCH("上",B4342)),ISNUMBER(SEARCH("去",B4342)),ISNUMBER(SEARCH("入",B4342)))),"Ambiguous",IF(ISNUMBER(SEARCH("平",B4342)),"平","仄")))</x:f>
        <x:v>仄</x:v>
      </x:c>
      <x:c r="K4342" s="6" t="str">
        <x:f>IF(D4342="","",IF(AND(ISNUMBER(SEARCH("平",D4342)),OR(ISNUMBER(SEARCH("上",D4342)),ISNUMBER(SEARCH("去",D4342)),ISNUMBER(SEARCH("入",D4342)))),"Ambiguous",IF(ISNUMBER(SEARCH("平",D4342)),"平","仄")))</x:f>
        <x:v>仄</x:v>
      </x:c>
      <x:c r="L4342" s="7" t="str">
        <x:v>Xun Gong, Tang 300 gap fill</x:v>
      </x:c>
    </x:row>
    <x:row r="4343">
      <x:c r="A4343" s="5" t="str">
        <x:v>銷</x:v>
      </x:c>
      <x:c r="B4343" s="6" t="str">
        <x:v>平</x:v>
      </x:c>
      <x:c r="C4343" s="6" t="str">
        <x:f>IF(B4343="","Needs decision","Ready")</x:f>
        <x:v>Ready</x:v>
      </x:c>
      <x:c r="D4343" s="6" t="str">
        <x:v>平</x:v>
      </x:c>
      <x:c r="E4343" s="6" t="str"/>
      <x:c r="F4343" s="6" t="str">
        <x:v>下平聲二蕭</x:v>
      </x:c>
      <x:c r="G4343" s="6" t="str">
        <x:v>Pingshui main list, Wikisource-derived DOCX</x:v>
      </x:c>
      <x:c r="H4343" s="6" t="str"/>
      <x:c r="I4343" s="6" t="str">
        <x:v>Manual user correction/addition</x:v>
      </x:c>
      <x:c r="J4343" s="6" t="str">
        <x:f>IF(B4343="","",IF(AND(ISNUMBER(SEARCH("平",B4343)),OR(ISNUMBER(SEARCH("上",B4343)),ISNUMBER(SEARCH("去",B4343)),ISNUMBER(SEARCH("入",B4343)))),"Ambiguous",IF(ISNUMBER(SEARCH("平",B4343)),"平","仄")))</x:f>
        <x:v>平</x:v>
      </x:c>
      <x:c r="K4343" s="6" t="str">
        <x:f>IF(D4343="","",IF(AND(ISNUMBER(SEARCH("平",D4343)),OR(ISNUMBER(SEARCH("上",D4343)),ISNUMBER(SEARCH("去",D4343)),ISNUMBER(SEARCH("入",D4343)))),"Ambiguous",IF(ISNUMBER(SEARCH("平",D4343)),"平","仄")))</x:f>
        <x:v>平</x:v>
      </x:c>
      <x:c r="L4343" s="7" t="str">
        <x:v>manual user correction</x:v>
      </x:c>
    </x:row>
    <x:row r="4344">
      <x:c r="A4344" s="5" t="str">
        <x:v>鋒</x:v>
      </x:c>
      <x:c r="B4344" s="6" t="str">
        <x:v>平</x:v>
      </x:c>
      <x:c r="C4344" s="6" t="str">
        <x:f>IF(B4344="","Needs decision","Ready")</x:f>
        <x:v>Ready</x:v>
      </x:c>
      <x:c r="D4344" s="6" t="str">
        <x:v>平</x:v>
      </x:c>
      <x:c r="E4344" s="6" t="str">
        <x:v>phjowng (A)</x:v>
      </x:c>
      <x:c r="F4344" s="6" t="str">
        <x:v>上平聲二冬</x:v>
      </x:c>
      <x:c r="G4344" s="6" t="str">
        <x:v>Pingshui main list, Wikisource-derived DOCX</x:v>
      </x:c>
      <x:c r="H4344" s="6" t="str">
        <x:v>1</x:v>
      </x:c>
      <x:c r="I4344" s="6" t="str"/>
      <x:c r="J4344" s="6" t="str">
        <x:f>IF(B4344="","",IF(AND(ISNUMBER(SEARCH("平",B4344)),OR(ISNUMBER(SEARCH("上",B4344)),ISNUMBER(SEARCH("去",B4344)),ISNUMBER(SEARCH("入",B4344)))),"Ambiguous",IF(ISNUMBER(SEARCH("平",B4344)),"平","仄")))</x:f>
        <x:v>平</x:v>
      </x:c>
      <x:c r="K4344" s="6" t="str">
        <x:f>IF(D4344="","",IF(AND(ISNUMBER(SEARCH("平",D4344)),OR(ISNUMBER(SEARCH("上",D4344)),ISNUMBER(SEARCH("去",D4344)),ISNUMBER(SEARCH("入",D4344)))),"Ambiguous",IF(ISNUMBER(SEARCH("平",D4344)),"平","仄")))</x:f>
        <x:v>平</x:v>
      </x:c>
      <x:c r="L4344" s="7" t="str"/>
    </x:row>
    <x:row r="4345">
      <x:c r="A4345" s="5" t="str">
        <x:v>鋙</x:v>
      </x:c>
      <x:c r="B4345" s="6" t="str"/>
      <x:c r="C4345" s="6" t="str">
        <x:f>IF(B4345="","Needs decision","Ready")</x:f>
        <x:v>Needs decision</x:v>
      </x:c>
      <x:c r="D4345" s="6" t="str">
        <x:v>平/上</x:v>
      </x:c>
      <x:c r="E4345" s="6" t="str">
        <x:v>ngjo (A); ngjoX (B)</x:v>
      </x:c>
      <x:c r="F4345" s="6" t="str">
        <x:v>上平聲六魚</x:v>
      </x:c>
      <x:c r="G4345" s="6" t="str">
        <x:v>Pingshui main list, Wikisource-derived DOCX</x:v>
      </x:c>
      <x:c r="H4345" s="6" t="str">
        <x:v>2</x:v>
      </x:c>
      <x:c r="I4345" s="6" t="str"/>
      <x:c r="J4345" s="6" t="str">
        <x:f>IF(B4345="","",IF(AND(ISNUMBER(SEARCH("平",B4345)),OR(ISNUMBER(SEARCH("上",B4345)),ISNUMBER(SEARCH("去",B4345)),ISNUMBER(SEARCH("入",B4345)))),"Ambiguous",IF(ISNUMBER(SEARCH("平",B4345)),"平","仄")))</x:f>
      </x:c>
      <x:c r="K4345" s="6" t="str">
        <x:f>IF(D4345="","",IF(AND(ISNUMBER(SEARCH("平",D4345)),OR(ISNUMBER(SEARCH("上",D4345)),ISNUMBER(SEARCH("去",D4345)),ISNUMBER(SEARCH("入",D4345)))),"Ambiguous",IF(ISNUMBER(SEARCH("平",D4345)),"平","仄")))</x:f>
        <x:v>Ambiguous</x:v>
      </x:c>
      <x:c r="L4345" s="7" t="str"/>
    </x:row>
    <x:row r="4346">
      <x:c r="A4346" s="5" t="str">
        <x:v>鋤</x:v>
      </x:c>
      <x:c r="B4346" s="6" t="str">
        <x:v>平</x:v>
      </x:c>
      <x:c r="C4346" s="6" t="str">
        <x:f>IF(B4346="","Needs decision","Ready")</x:f>
        <x:v>Ready</x:v>
      </x:c>
      <x:c r="D4346" s="6" t="str">
        <x:v>平</x:v>
      </x:c>
      <x:c r="E4346" s="6" t="str">
        <x:v>dzrjo (A)</x:v>
      </x:c>
      <x:c r="F4346" s="6" t="str">
        <x:v>上平聲六魚</x:v>
      </x:c>
      <x:c r="G4346" s="6" t="str">
        <x:v>Pingshui main list, Wikisource-derived DOCX</x:v>
      </x:c>
      <x:c r="H4346" s="6" t="str">
        <x:v>1</x:v>
      </x:c>
      <x:c r="I4346" s="6" t="str"/>
      <x:c r="J4346" s="6" t="str">
        <x:f>IF(B4346="","",IF(AND(ISNUMBER(SEARCH("平",B4346)),OR(ISNUMBER(SEARCH("上",B4346)),ISNUMBER(SEARCH("去",B4346)),ISNUMBER(SEARCH("入",B4346)))),"Ambiguous",IF(ISNUMBER(SEARCH("平",B4346)),"平","仄")))</x:f>
        <x:v>平</x:v>
      </x:c>
      <x:c r="K4346" s="6" t="str">
        <x:f>IF(D4346="","",IF(AND(ISNUMBER(SEARCH("平",D4346)),OR(ISNUMBER(SEARCH("上",D4346)),ISNUMBER(SEARCH("去",D4346)),ISNUMBER(SEARCH("入",D4346)))),"Ambiguous",IF(ISNUMBER(SEARCH("平",D4346)),"平","仄")))</x:f>
        <x:v>平</x:v>
      </x:c>
      <x:c r="L4346" s="7" t="str"/>
    </x:row>
    <x:row r="4347">
      <x:c r="A4347" s="5" t="str">
        <x:v>鋩</x:v>
      </x:c>
      <x:c r="B4347" s="6" t="str">
        <x:v>平</x:v>
      </x:c>
      <x:c r="C4347" s="6" t="str">
        <x:f>IF(B4347="","Needs decision","Ready")</x:f>
        <x:v>Ready</x:v>
      </x:c>
      <x:c r="D4347" s="6" t="str">
        <x:v>平</x:v>
      </x:c>
      <x:c r="E4347" s="6" t="str">
        <x:v>mjang (A)</x:v>
      </x:c>
      <x:c r="F4347" s="6" t="str">
        <x:v>下平聲七陽</x:v>
      </x:c>
      <x:c r="G4347" s="6" t="str">
        <x:v>Pingshui main list, Wikisource-derived DOCX</x:v>
      </x:c>
      <x:c r="H4347" s="6" t="str">
        <x:v>1</x:v>
      </x:c>
      <x:c r="I4347" s="6" t="str"/>
      <x:c r="J4347" s="6" t="str">
        <x:f>IF(B4347="","",IF(AND(ISNUMBER(SEARCH("平",B4347)),OR(ISNUMBER(SEARCH("上",B4347)),ISNUMBER(SEARCH("去",B4347)),ISNUMBER(SEARCH("入",B4347)))),"Ambiguous",IF(ISNUMBER(SEARCH("平",B4347)),"平","仄")))</x:f>
        <x:v>平</x:v>
      </x:c>
      <x:c r="K4347" s="6" t="str">
        <x:f>IF(D4347="","",IF(AND(ISNUMBER(SEARCH("平",D4347)),OR(ISNUMBER(SEARCH("上",D4347)),ISNUMBER(SEARCH("去",D4347)),ISNUMBER(SEARCH("入",D4347)))),"Ambiguous",IF(ISNUMBER(SEARCH("平",D4347)),"平","仄")))</x:f>
        <x:v>平</x:v>
      </x:c>
      <x:c r="L4347" s="7" t="str"/>
    </x:row>
    <x:row r="4348">
      <x:c r="A4348" s="5" t="str">
        <x:v>鋪</x:v>
      </x:c>
      <x:c r="B4348" s="6" t="str">
        <x:v>平</x:v>
      </x:c>
      <x:c r="C4348" s="6" t="str">
        <x:f>IF(B4348="","Needs decision","Ready")</x:f>
        <x:v>Ready</x:v>
      </x:c>
      <x:c r="D4348" s="6" t="str">
        <x:v>平</x:v>
      </x:c>
      <x:c r="E4348" s="6" t="str">
        <x:v>phju (A); phu (A)</x:v>
      </x:c>
      <x:c r="F4348" s="6" t="str">
        <x:v>上平聲七虞; 去聲七遇</x:v>
      </x:c>
      <x:c r="G4348" s="6" t="str">
        <x:v>Pingshui main list, Wikisource-derived DOCX</x:v>
      </x:c>
      <x:c r="H4348" s="6" t="str">
        <x:v>2</x:v>
      </x:c>
      <x:c r="I4348" s="6" t="str"/>
      <x:c r="J4348" s="6" t="str">
        <x:f>IF(B4348="","",IF(AND(ISNUMBER(SEARCH("平",B4348)),OR(ISNUMBER(SEARCH("上",B4348)),ISNUMBER(SEARCH("去",B4348)),ISNUMBER(SEARCH("入",B4348)))),"Ambiguous",IF(ISNUMBER(SEARCH("平",B4348)),"平","仄")))</x:f>
        <x:v>平</x:v>
      </x:c>
      <x:c r="K4348" s="6" t="str">
        <x:f>IF(D4348="","",IF(AND(ISNUMBER(SEARCH("平",D4348)),OR(ISNUMBER(SEARCH("上",D4348)),ISNUMBER(SEARCH("去",D4348)),ISNUMBER(SEARCH("入",D4348)))),"Ambiguous",IF(ISNUMBER(SEARCH("平",D4348)),"平","仄")))</x:f>
        <x:v>平</x:v>
      </x:c>
      <x:c r="L4348" s="7" t="str"/>
    </x:row>
    <x:row r="4349">
      <x:c r="A4349" s="5" t="str">
        <x:v>鋭</x:v>
      </x:c>
      <x:c r="B4349" s="6" t="str">
        <x:v>去</x:v>
      </x:c>
      <x:c r="C4349" s="6" t="str">
        <x:f>IF(B4349="","Needs decision","Ready")</x:f>
        <x:v>Ready</x:v>
      </x:c>
      <x:c r="D4349" s="6" t="str">
        <x:v>去</x:v>
      </x:c>
      <x:c r="E4349" s="6" t="str">
        <x:v>ywejH (C)</x:v>
      </x:c>
      <x:c r="F4349" s="6" t="str"/>
      <x:c r="G4349" s="6" t="str"/>
      <x:c r="H4349" s="6" t="str">
        <x:v>1</x:v>
      </x:c>
      <x:c r="I4349" s="6" t="str"/>
      <x:c r="J4349" s="6" t="str">
        <x:f>IF(B4349="","",IF(AND(ISNUMBER(SEARCH("平",B4349)),OR(ISNUMBER(SEARCH("上",B4349)),ISNUMBER(SEARCH("去",B4349)),ISNUMBER(SEARCH("入",B4349)))),"Ambiguous",IF(ISNUMBER(SEARCH("平",B4349)),"平","仄")))</x:f>
        <x:v>仄</x:v>
      </x:c>
      <x:c r="K4349" s="6" t="str">
        <x:f>IF(D4349="","",IF(AND(ISNUMBER(SEARCH("平",D4349)),OR(ISNUMBER(SEARCH("上",D4349)),ISNUMBER(SEARCH("去",D4349)),ISNUMBER(SEARCH("入",D4349)))),"Ambiguous",IF(ISNUMBER(SEARCH("平",D4349)),"平","仄")))</x:f>
        <x:v>仄</x:v>
      </x:c>
      <x:c r="L4349" s="7" t="str"/>
    </x:row>
    <x:row r="4350">
      <x:c r="A4350" s="5" t="str">
        <x:v>鋸</x:v>
      </x:c>
      <x:c r="B4350" s="6" t="str">
        <x:v>去</x:v>
      </x:c>
      <x:c r="C4350" s="6" t="str">
        <x:f>IF(B4350="","Needs decision","Ready")</x:f>
        <x:v>Ready</x:v>
      </x:c>
      <x:c r="D4350" s="6" t="str">
        <x:v>去</x:v>
      </x:c>
      <x:c r="E4350" s="6" t="str">
        <x:v>kjoH (C)</x:v>
      </x:c>
      <x:c r="F4350" s="6" t="str">
        <x:v>去聲六御</x:v>
      </x:c>
      <x:c r="G4350" s="6" t="str">
        <x:v>Pingshui main list, Wikisource-derived DOCX</x:v>
      </x:c>
      <x:c r="H4350" s="6" t="str">
        <x:v>1</x:v>
      </x:c>
      <x:c r="I4350" s="6" t="str"/>
      <x:c r="J4350" s="6" t="str">
        <x:f>IF(B4350="","",IF(AND(ISNUMBER(SEARCH("平",B4350)),OR(ISNUMBER(SEARCH("上",B4350)),ISNUMBER(SEARCH("去",B4350)),ISNUMBER(SEARCH("入",B4350)))),"Ambiguous",IF(ISNUMBER(SEARCH("平",B4350)),"平","仄")))</x:f>
        <x:v>仄</x:v>
      </x:c>
      <x:c r="K4350" s="6" t="str">
        <x:f>IF(D4350="","",IF(AND(ISNUMBER(SEARCH("平",D4350)),OR(ISNUMBER(SEARCH("上",D4350)),ISNUMBER(SEARCH("去",D4350)),ISNUMBER(SEARCH("入",D4350)))),"Ambiguous",IF(ISNUMBER(SEARCH("平",D4350)),"平","仄")))</x:f>
        <x:v>仄</x:v>
      </x:c>
      <x:c r="L4350" s="7" t="str"/>
    </x:row>
    <x:row r="4351">
      <x:c r="A4351" s="5" t="str">
        <x:v>鋼</x:v>
      </x:c>
      <x:c r="B4351" s="6" t="str">
        <x:v>平</x:v>
      </x:c>
      <x:c r="C4351" s="6" t="str">
        <x:f>IF(B4351="","Needs decision","Ready")</x:f>
        <x:v>Ready</x:v>
      </x:c>
      <x:c r="D4351" s="6" t="str">
        <x:v>平</x:v>
      </x:c>
      <x:c r="E4351" s="6" t="str">
        <x:v>kang (A)</x:v>
      </x:c>
      <x:c r="F4351" s="6" t="str">
        <x:v>下平聲七陽</x:v>
      </x:c>
      <x:c r="G4351" s="6" t="str">
        <x:v>Pingshui main list, Wikisource-derived DOCX</x:v>
      </x:c>
      <x:c r="H4351" s="6" t="str">
        <x:v>1</x:v>
      </x:c>
      <x:c r="I4351" s="6" t="str"/>
      <x:c r="J4351" s="6" t="str">
        <x:f>IF(B4351="","",IF(AND(ISNUMBER(SEARCH("平",B4351)),OR(ISNUMBER(SEARCH("上",B4351)),ISNUMBER(SEARCH("去",B4351)),ISNUMBER(SEARCH("入",B4351)))),"Ambiguous",IF(ISNUMBER(SEARCH("平",B4351)),"平","仄")))</x:f>
        <x:v>平</x:v>
      </x:c>
      <x:c r="K4351" s="6" t="str">
        <x:f>IF(D4351="","",IF(AND(ISNUMBER(SEARCH("平",D4351)),OR(ISNUMBER(SEARCH("上",D4351)),ISNUMBER(SEARCH("去",D4351)),ISNUMBER(SEARCH("入",D4351)))),"Ambiguous",IF(ISNUMBER(SEARCH("平",D4351)),"平","仄")))</x:f>
        <x:v>平</x:v>
      </x:c>
      <x:c r="L4351" s="7" t="str"/>
    </x:row>
    <x:row r="4352">
      <x:c r="A4352" s="5" t="str">
        <x:v>錄</x:v>
      </x:c>
      <x:c r="B4352" s="6" t="str">
        <x:v>入</x:v>
      </x:c>
      <x:c r="C4352" s="6" t="str">
        <x:f>IF(B4352="","Needs decision","Ready")</x:f>
        <x:v>Ready</x:v>
      </x:c>
      <x:c r="D4352" s="6" t="str">
        <x:v>入</x:v>
      </x:c>
      <x:c r="E4352" s="6" t="str">
        <x:v>ljowk (D)</x:v>
      </x:c>
      <x:c r="F4352" s="6" t="str">
        <x:v>入聲二沃</x:v>
      </x:c>
      <x:c r="G4352" s="6" t="str">
        <x:v>Pingshui main list, Wikisource-derived DOCX</x:v>
      </x:c>
      <x:c r="H4352" s="6" t="str">
        <x:v>1</x:v>
      </x:c>
      <x:c r="I4352" s="6" t="str"/>
      <x:c r="J4352" s="6" t="str">
        <x:f>IF(B4352="","",IF(AND(ISNUMBER(SEARCH("平",B4352)),OR(ISNUMBER(SEARCH("上",B4352)),ISNUMBER(SEARCH("去",B4352)),ISNUMBER(SEARCH("入",B4352)))),"Ambiguous",IF(ISNUMBER(SEARCH("平",B4352)),"平","仄")))</x:f>
        <x:v>仄</x:v>
      </x:c>
      <x:c r="K4352" s="6" t="str">
        <x:f>IF(D4352="","",IF(AND(ISNUMBER(SEARCH("平",D4352)),OR(ISNUMBER(SEARCH("上",D4352)),ISNUMBER(SEARCH("去",D4352)),ISNUMBER(SEARCH("入",D4352)))),"Ambiguous",IF(ISNUMBER(SEARCH("平",D4352)),"平","仄")))</x:f>
        <x:v>仄</x:v>
      </x:c>
      <x:c r="L4352" s="7" t="str"/>
    </x:row>
    <x:row r="4353">
      <x:c r="A4353" s="5" t="str">
        <x:v>錘</x:v>
      </x:c>
      <x:c r="B4353" s="6" t="str">
        <x:v>平</x:v>
      </x:c>
      <x:c r="C4353" s="6" t="str">
        <x:f>IF(B4353="","Needs decision","Ready")</x:f>
        <x:v>Ready</x:v>
      </x:c>
      <x:c r="D4353" s="6" t="str">
        <x:v>平</x:v>
      </x:c>
      <x:c r="E4353" s="6" t="str">
        <x:v>drjwe (A)</x:v>
      </x:c>
      <x:c r="F4353" s="6" t="str">
        <x:v>去聲四寘</x:v>
      </x:c>
      <x:c r="G4353" s="6" t="str">
        <x:v>Pingshui main list, Wikisource-derived DOCX</x:v>
      </x:c>
      <x:c r="H4353" s="6" t="str">
        <x:v>1</x:v>
      </x:c>
      <x:c r="I4353" s="6" t="str"/>
      <x:c r="J4353" s="6" t="str">
        <x:f>IF(B4353="","",IF(AND(ISNUMBER(SEARCH("平",B4353)),OR(ISNUMBER(SEARCH("上",B4353)),ISNUMBER(SEARCH("去",B4353)),ISNUMBER(SEARCH("入",B4353)))),"Ambiguous",IF(ISNUMBER(SEARCH("平",B4353)),"平","仄")))</x:f>
        <x:v>平</x:v>
      </x:c>
      <x:c r="K4353" s="6" t="str">
        <x:f>IF(D4353="","",IF(AND(ISNUMBER(SEARCH("平",D4353)),OR(ISNUMBER(SEARCH("上",D4353)),ISNUMBER(SEARCH("去",D4353)),ISNUMBER(SEARCH("入",D4353)))),"Ambiguous",IF(ISNUMBER(SEARCH("平",D4353)),"平","仄")))</x:f>
        <x:v>平</x:v>
      </x:c>
      <x:c r="L4353" s="7" t="str"/>
    </x:row>
    <x:row r="4354">
      <x:c r="A4354" s="5" t="str">
        <x:v>錠</x:v>
      </x:c>
      <x:c r="B4354" s="6" t="str">
        <x:v>去</x:v>
      </x:c>
      <x:c r="C4354" s="6" t="str">
        <x:f>IF(B4354="","Needs decision","Ready")</x:f>
        <x:v>Ready</x:v>
      </x:c>
      <x:c r="D4354" s="6" t="str">
        <x:v>去</x:v>
      </x:c>
      <x:c r="E4354" s="6" t="str"/>
      <x:c r="F4354" s="6" t="str">
        <x:v>去聲二十五徑</x:v>
      </x:c>
      <x:c r="G4354" s="6" t="str">
        <x:v>Pingshui main list, Wikisource-derived DOCX</x:v>
      </x:c>
      <x:c r="H4354" s="6" t="str"/>
      <x:c r="I4354" s="6" t="str">
        <x:v>Manual user correction/addition</x:v>
      </x:c>
      <x:c r="J4354" s="6" t="str">
        <x:f>IF(B4354="","",IF(AND(ISNUMBER(SEARCH("平",B4354)),OR(ISNUMBER(SEARCH("上",B4354)),ISNUMBER(SEARCH("去",B4354)),ISNUMBER(SEARCH("入",B4354)))),"Ambiguous",IF(ISNUMBER(SEARCH("平",B4354)),"平","仄")))</x:f>
        <x:v>仄</x:v>
      </x:c>
      <x:c r="K4354" s="6" t="str">
        <x:f>IF(D4354="","",IF(AND(ISNUMBER(SEARCH("平",D4354)),OR(ISNUMBER(SEARCH("上",D4354)),ISNUMBER(SEARCH("去",D4354)),ISNUMBER(SEARCH("入",D4354)))),"Ambiguous",IF(ISNUMBER(SEARCH("平",D4354)),"平","仄")))</x:f>
        <x:v>仄</x:v>
      </x:c>
      <x:c r="L4354" s="7" t="str">
        <x:v>manual user correction</x:v>
      </x:c>
    </x:row>
    <x:row r="4355">
      <x:c r="A4355" s="5" t="str">
        <x:v>錡</x:v>
      </x:c>
      <x:c r="B4355" s="6" t="str"/>
      <x:c r="C4355" s="6" t="str">
        <x:f>IF(B4355="","Needs decision","Ready")</x:f>
        <x:v>Needs decision</x:v>
      </x:c>
      <x:c r="D4355" s="6" t="str">
        <x:v>平/上</x:v>
      </x:c>
      <x:c r="E4355" s="6" t="str">
        <x:v>gje (A); ngjeX (B)</x:v>
      </x:c>
      <x:c r="F4355" s="6" t="str">
        <x:v>上平聲四支; 上聲四紙</x:v>
      </x:c>
      <x:c r="G4355" s="6" t="str">
        <x:v>Pingshui main list, Wikisource-derived DOCX</x:v>
      </x:c>
      <x:c r="H4355" s="6" t="str">
        <x:v>2</x:v>
      </x:c>
      <x:c r="I4355" s="6" t="str"/>
      <x:c r="J4355" s="6" t="str">
        <x:f>IF(B4355="","",IF(AND(ISNUMBER(SEARCH("平",B4355)),OR(ISNUMBER(SEARCH("上",B4355)),ISNUMBER(SEARCH("去",B4355)),ISNUMBER(SEARCH("入",B4355)))),"Ambiguous",IF(ISNUMBER(SEARCH("平",B4355)),"平","仄")))</x:f>
      </x:c>
      <x:c r="K4355" s="6" t="str">
        <x:f>IF(D4355="","",IF(AND(ISNUMBER(SEARCH("平",D4355)),OR(ISNUMBER(SEARCH("上",D4355)),ISNUMBER(SEARCH("去",D4355)),ISNUMBER(SEARCH("入",D4355)))),"Ambiguous",IF(ISNUMBER(SEARCH("平",D4355)),"平","仄")))</x:f>
        <x:v>Ambiguous</x:v>
      </x:c>
      <x:c r="L4355" s="7" t="str"/>
    </x:row>
    <x:row r="4356">
      <x:c r="A4356" s="5" t="str">
        <x:v>錢</x:v>
      </x:c>
      <x:c r="B4356" s="6" t="str">
        <x:v>平</x:v>
      </x:c>
      <x:c r="C4356" s="6" t="str">
        <x:f>IF(B4356="","Needs decision","Ready")</x:f>
        <x:v>Ready</x:v>
      </x:c>
      <x:c r="D4356" s="6" t="str">
        <x:v>平</x:v>
      </x:c>
      <x:c r="E4356" s="6" t="str">
        <x:v>dzjen (A)</x:v>
      </x:c>
      <x:c r="F4356" s="6" t="str">
        <x:v>下平聲一先; 上聲十六銑</x:v>
      </x:c>
      <x:c r="G4356" s="6" t="str">
        <x:v>Pingshui main list, Wikisource-derived DOCX</x:v>
      </x:c>
      <x:c r="H4356" s="6" t="str">
        <x:v>1</x:v>
      </x:c>
      <x:c r="I4356" s="6" t="str"/>
      <x:c r="J4356" s="6" t="str">
        <x:f>IF(B4356="","",IF(AND(ISNUMBER(SEARCH("平",B4356)),OR(ISNUMBER(SEARCH("上",B4356)),ISNUMBER(SEARCH("去",B4356)),ISNUMBER(SEARCH("入",B4356)))),"Ambiguous",IF(ISNUMBER(SEARCH("平",B4356)),"平","仄")))</x:f>
        <x:v>平</x:v>
      </x:c>
      <x:c r="K4356" s="6" t="str">
        <x:f>IF(D4356="","",IF(AND(ISNUMBER(SEARCH("平",D4356)),OR(ISNUMBER(SEARCH("上",D4356)),ISNUMBER(SEARCH("去",D4356)),ISNUMBER(SEARCH("入",D4356)))),"Ambiguous",IF(ISNUMBER(SEARCH("平",D4356)),"平","仄")))</x:f>
        <x:v>平</x:v>
      </x:c>
      <x:c r="L4356" s="7" t="str"/>
    </x:row>
    <x:row r="4357">
      <x:c r="A4357" s="5" t="str">
        <x:v>錣</x:v>
      </x:c>
      <x:c r="B4357" s="6" t="str">
        <x:v>入</x:v>
      </x:c>
      <x:c r="C4357" s="6" t="str">
        <x:f>IF(B4357="","Needs decision","Ready")</x:f>
        <x:v>Ready</x:v>
      </x:c>
      <x:c r="D4357" s="6" t="str">
        <x:v>入</x:v>
      </x:c>
      <x:c r="E4357" s="6" t="str">
        <x:v>trwaet (D)</x:v>
      </x:c>
      <x:c r="F4357" s="6" t="str">
        <x:v>入聲八黠</x:v>
      </x:c>
      <x:c r="G4357" s="6" t="str">
        <x:v>Pingshui main list, Wikisource-derived DOCX</x:v>
      </x:c>
      <x:c r="H4357" s="6" t="str">
        <x:v>1</x:v>
      </x:c>
      <x:c r="I4357" s="6" t="str"/>
      <x:c r="J4357" s="6" t="str">
        <x:f>IF(B4357="","",IF(AND(ISNUMBER(SEARCH("平",B4357)),OR(ISNUMBER(SEARCH("上",B4357)),ISNUMBER(SEARCH("去",B4357)),ISNUMBER(SEARCH("入",B4357)))),"Ambiguous",IF(ISNUMBER(SEARCH("平",B4357)),"平","仄")))</x:f>
        <x:v>仄</x:v>
      </x:c>
      <x:c r="K4357" s="6" t="str">
        <x:f>IF(D4357="","",IF(AND(ISNUMBER(SEARCH("平",D4357)),OR(ISNUMBER(SEARCH("上",D4357)),ISNUMBER(SEARCH("去",D4357)),ISNUMBER(SEARCH("入",D4357)))),"Ambiguous",IF(ISNUMBER(SEARCH("平",D4357)),"平","仄")))</x:f>
        <x:v>仄</x:v>
      </x:c>
      <x:c r="L4357" s="7" t="str"/>
    </x:row>
    <x:row r="4358">
      <x:c r="A4358" s="5" t="str">
        <x:v>錦</x:v>
      </x:c>
      <x:c r="B4358" s="6" t="str">
        <x:v>上</x:v>
      </x:c>
      <x:c r="C4358" s="6" t="str">
        <x:f>IF(B4358="","Needs decision","Ready")</x:f>
        <x:v>Ready</x:v>
      </x:c>
      <x:c r="D4358" s="6" t="str">
        <x:v>上</x:v>
      </x:c>
      <x:c r="E4358" s="6" t="str">
        <x:v>kimX (B)</x:v>
      </x:c>
      <x:c r="F4358" s="6" t="str">
        <x:v>上聲二十六寢</x:v>
      </x:c>
      <x:c r="G4358" s="6" t="str">
        <x:v>Pingshui main list, Wikisource-derived DOCX</x:v>
      </x:c>
      <x:c r="H4358" s="6" t="str">
        <x:v>1</x:v>
      </x:c>
      <x:c r="I4358" s="6" t="str"/>
      <x:c r="J4358" s="6" t="str">
        <x:f>IF(B4358="","",IF(AND(ISNUMBER(SEARCH("平",B4358)),OR(ISNUMBER(SEARCH("上",B4358)),ISNUMBER(SEARCH("去",B4358)),ISNUMBER(SEARCH("入",B4358)))),"Ambiguous",IF(ISNUMBER(SEARCH("平",B4358)),"平","仄")))</x:f>
        <x:v>仄</x:v>
      </x:c>
      <x:c r="K4358" s="6" t="str">
        <x:f>IF(D4358="","",IF(AND(ISNUMBER(SEARCH("平",D4358)),OR(ISNUMBER(SEARCH("上",D4358)),ISNUMBER(SEARCH("去",D4358)),ISNUMBER(SEARCH("入",D4358)))),"Ambiguous",IF(ISNUMBER(SEARCH("平",D4358)),"平","仄")))</x:f>
        <x:v>仄</x:v>
      </x:c>
      <x:c r="L4358" s="7" t="str"/>
    </x:row>
    <x:row r="4359">
      <x:c r="A4359" s="5" t="str">
        <x:v>錫</x:v>
      </x:c>
      <x:c r="B4359" s="6" t="str">
        <x:v>入</x:v>
      </x:c>
      <x:c r="C4359" s="6" t="str">
        <x:f>IF(B4359="","Needs decision","Ready")</x:f>
        <x:v>Ready</x:v>
      </x:c>
      <x:c r="D4359" s="6" t="str">
        <x:v>入</x:v>
      </x:c>
      <x:c r="E4359" s="6" t="str">
        <x:v>sek (D)</x:v>
      </x:c>
      <x:c r="F4359" s="6" t="str">
        <x:v>入聲十二錫</x:v>
      </x:c>
      <x:c r="G4359" s="6" t="str">
        <x:v>Pingshui main list, Wikisource-derived DOCX</x:v>
      </x:c>
      <x:c r="H4359" s="6" t="str">
        <x:v>1</x:v>
      </x:c>
      <x:c r="I4359" s="6" t="str"/>
      <x:c r="J4359" s="6" t="str">
        <x:f>IF(B4359="","",IF(AND(ISNUMBER(SEARCH("平",B4359)),OR(ISNUMBER(SEARCH("上",B4359)),ISNUMBER(SEARCH("去",B4359)),ISNUMBER(SEARCH("入",B4359)))),"Ambiguous",IF(ISNUMBER(SEARCH("平",B4359)),"平","仄")))</x:f>
        <x:v>仄</x:v>
      </x:c>
      <x:c r="K4359" s="6" t="str">
        <x:f>IF(D4359="","",IF(AND(ISNUMBER(SEARCH("平",D4359)),OR(ISNUMBER(SEARCH("上",D4359)),ISNUMBER(SEARCH("去",D4359)),ISNUMBER(SEARCH("入",D4359)))),"Ambiguous",IF(ISNUMBER(SEARCH("平",D4359)),"平","仄")))</x:f>
        <x:v>仄</x:v>
      </x:c>
      <x:c r="L4359" s="7" t="str"/>
    </x:row>
    <x:row r="4360">
      <x:c r="A4360" s="5" t="str">
        <x:v>錮</x:v>
      </x:c>
      <x:c r="B4360" s="6" t="str">
        <x:v>去</x:v>
      </x:c>
      <x:c r="C4360" s="6" t="str">
        <x:f>IF(B4360="","Needs decision","Ready")</x:f>
        <x:v>Ready</x:v>
      </x:c>
      <x:c r="D4360" s="6" t="str">
        <x:v>去</x:v>
      </x:c>
      <x:c r="E4360" s="6" t="str">
        <x:v>kuH (C)</x:v>
      </x:c>
      <x:c r="F4360" s="6" t="str">
        <x:v>去聲七遇</x:v>
      </x:c>
      <x:c r="G4360" s="6" t="str">
        <x:v>Pingshui main list, Wikisource-derived DOCX</x:v>
      </x:c>
      <x:c r="H4360" s="6" t="str">
        <x:v>1</x:v>
      </x:c>
      <x:c r="I4360" s="6" t="str"/>
      <x:c r="J4360" s="6" t="str">
        <x:f>IF(B4360="","",IF(AND(ISNUMBER(SEARCH("平",B4360)),OR(ISNUMBER(SEARCH("上",B4360)),ISNUMBER(SEARCH("去",B4360)),ISNUMBER(SEARCH("入",B4360)))),"Ambiguous",IF(ISNUMBER(SEARCH("平",B4360)),"平","仄")))</x:f>
        <x:v>仄</x:v>
      </x:c>
      <x:c r="K4360" s="6" t="str">
        <x:f>IF(D4360="","",IF(AND(ISNUMBER(SEARCH("平",D4360)),OR(ISNUMBER(SEARCH("上",D4360)),ISNUMBER(SEARCH("去",D4360)),ISNUMBER(SEARCH("入",D4360)))),"Ambiguous",IF(ISNUMBER(SEARCH("平",D4360)),"平","仄")))</x:f>
        <x:v>仄</x:v>
      </x:c>
      <x:c r="L4360" s="7" t="str"/>
    </x:row>
    <x:row r="4361">
      <x:c r="A4361" s="5" t="str">
        <x:v>錯</x:v>
      </x:c>
      <x:c r="B4361" s="6" t="str">
        <x:v>入</x:v>
      </x:c>
      <x:c r="C4361" s="6" t="str">
        <x:f>IF(B4361="","Needs decision","Ready")</x:f>
        <x:v>Ready</x:v>
      </x:c>
      <x:c r="D4361" s="6" t="str">
        <x:v>入</x:v>
      </x:c>
      <x:c r="E4361" s="6" t="str">
        <x:v>tshak (D)</x:v>
      </x:c>
      <x:c r="F4361" s="6" t="str">
        <x:v>去聲七遇; 入聲十藥</x:v>
      </x:c>
      <x:c r="G4361" s="6" t="str">
        <x:v>Pingshui main list, Wikisource-derived DOCX</x:v>
      </x:c>
      <x:c r="H4361" s="6" t="str">
        <x:v>1</x:v>
      </x:c>
      <x:c r="I4361" s="6" t="str"/>
      <x:c r="J4361" s="6" t="str">
        <x:f>IF(B4361="","",IF(AND(ISNUMBER(SEARCH("平",B4361)),OR(ISNUMBER(SEARCH("上",B4361)),ISNUMBER(SEARCH("去",B4361)),ISNUMBER(SEARCH("入",B4361)))),"Ambiguous",IF(ISNUMBER(SEARCH("平",B4361)),"平","仄")))</x:f>
        <x:v>仄</x:v>
      </x:c>
      <x:c r="K4361" s="6" t="str">
        <x:f>IF(D4361="","",IF(AND(ISNUMBER(SEARCH("平",D4361)),OR(ISNUMBER(SEARCH("上",D4361)),ISNUMBER(SEARCH("去",D4361)),ISNUMBER(SEARCH("入",D4361)))),"Ambiguous",IF(ISNUMBER(SEARCH("平",D4361)),"平","仄")))</x:f>
        <x:v>仄</x:v>
      </x:c>
      <x:c r="L4361" s="7" t="str"/>
    </x:row>
    <x:row r="4362">
      <x:c r="A4362" s="5" t="str">
        <x:v>鍊</x:v>
      </x:c>
      <x:c r="B4362" s="6" t="str">
        <x:v>去</x:v>
      </x:c>
      <x:c r="C4362" s="6" t="str">
        <x:f>IF(B4362="","Needs decision","Ready")</x:f>
        <x:v>Ready</x:v>
      </x:c>
      <x:c r="D4362" s="6" t="str">
        <x:v>去</x:v>
      </x:c>
      <x:c r="E4362" s="6" t="str">
        <x:v>lenH (C)</x:v>
      </x:c>
      <x:c r="F4362" s="6" t="str">
        <x:v>去聲十七霰</x:v>
      </x:c>
      <x:c r="G4362" s="6" t="str">
        <x:v>Pingshui main list, Wikisource-derived DOCX</x:v>
      </x:c>
      <x:c r="H4362" s="6" t="str">
        <x:v>1</x:v>
      </x:c>
      <x:c r="I4362" s="6" t="str"/>
      <x:c r="J4362" s="6" t="str">
        <x:f>IF(B4362="","",IF(AND(ISNUMBER(SEARCH("平",B4362)),OR(ISNUMBER(SEARCH("上",B4362)),ISNUMBER(SEARCH("去",B4362)),ISNUMBER(SEARCH("入",B4362)))),"Ambiguous",IF(ISNUMBER(SEARCH("平",B4362)),"平","仄")))</x:f>
        <x:v>仄</x:v>
      </x:c>
      <x:c r="K4362" s="6" t="str">
        <x:f>IF(D4362="","",IF(AND(ISNUMBER(SEARCH("平",D4362)),OR(ISNUMBER(SEARCH("上",D4362)),ISNUMBER(SEARCH("去",D4362)),ISNUMBER(SEARCH("入",D4362)))),"Ambiguous",IF(ISNUMBER(SEARCH("平",D4362)),"平","仄")))</x:f>
        <x:v>仄</x:v>
      </x:c>
      <x:c r="L4362" s="7" t="str"/>
    </x:row>
    <x:row r="4363">
      <x:c r="A4363" s="5" t="str">
        <x:v>鍚</x:v>
      </x:c>
      <x:c r="B4363" s="6" t="str">
        <x:v>平</x:v>
      </x:c>
      <x:c r="C4363" s="6" t="str">
        <x:f>IF(B4363="","Needs decision","Ready")</x:f>
        <x:v>Ready</x:v>
      </x:c>
      <x:c r="D4363" s="6" t="str">
        <x:v>平</x:v>
      </x:c>
      <x:c r="E4363" s="6" t="str">
        <x:v>yang (A)</x:v>
      </x:c>
      <x:c r="F4363" s="6" t="str">
        <x:v>下平聲七陽</x:v>
      </x:c>
      <x:c r="G4363" s="6" t="str">
        <x:v>Pingshui main list, Wikisource-derived DOCX</x:v>
      </x:c>
      <x:c r="H4363" s="6" t="str">
        <x:v>1</x:v>
      </x:c>
      <x:c r="I4363" s="6" t="str"/>
      <x:c r="J4363" s="6" t="str">
        <x:f>IF(B4363="","",IF(AND(ISNUMBER(SEARCH("平",B4363)),OR(ISNUMBER(SEARCH("上",B4363)),ISNUMBER(SEARCH("去",B4363)),ISNUMBER(SEARCH("入",B4363)))),"Ambiguous",IF(ISNUMBER(SEARCH("平",B4363)),"平","仄")))</x:f>
        <x:v>平</x:v>
      </x:c>
      <x:c r="K4363" s="6" t="str">
        <x:f>IF(D4363="","",IF(AND(ISNUMBER(SEARCH("平",D4363)),OR(ISNUMBER(SEARCH("上",D4363)),ISNUMBER(SEARCH("去",D4363)),ISNUMBER(SEARCH("入",D4363)))),"Ambiguous",IF(ISNUMBER(SEARCH("平",D4363)),"平","仄")))</x:f>
        <x:v>平</x:v>
      </x:c>
      <x:c r="L4363" s="7" t="str"/>
    </x:row>
    <x:row r="4364">
      <x:c r="A4364" s="5" t="str">
        <x:v>鍥</x:v>
      </x:c>
      <x:c r="B4364" s="6" t="str">
        <x:v>入</x:v>
      </x:c>
      <x:c r="C4364" s="6" t="str">
        <x:f>IF(B4364="","Needs decision","Ready")</x:f>
        <x:v>Ready</x:v>
      </x:c>
      <x:c r="D4364" s="6" t="str">
        <x:v>入</x:v>
      </x:c>
      <x:c r="E4364" s="6" t="str">
        <x:v>khet (D)</x:v>
      </x:c>
      <x:c r="F4364" s="6" t="str">
        <x:v>入聲九屑</x:v>
      </x:c>
      <x:c r="G4364" s="6" t="str">
        <x:v>Pingshui main list, Wikisource-derived DOCX</x:v>
      </x:c>
      <x:c r="H4364" s="6" t="str">
        <x:v>1</x:v>
      </x:c>
      <x:c r="I4364" s="6" t="str"/>
      <x:c r="J4364" s="6" t="str">
        <x:f>IF(B4364="","",IF(AND(ISNUMBER(SEARCH("平",B4364)),OR(ISNUMBER(SEARCH("上",B4364)),ISNUMBER(SEARCH("去",B4364)),ISNUMBER(SEARCH("入",B4364)))),"Ambiguous",IF(ISNUMBER(SEARCH("平",B4364)),"平","仄")))</x:f>
        <x:v>仄</x:v>
      </x:c>
      <x:c r="K4364" s="6" t="str">
        <x:f>IF(D4364="","",IF(AND(ISNUMBER(SEARCH("平",D4364)),OR(ISNUMBER(SEARCH("上",D4364)),ISNUMBER(SEARCH("去",D4364)),ISNUMBER(SEARCH("入",D4364)))),"Ambiguous",IF(ISNUMBER(SEARCH("平",D4364)),"平","仄")))</x:f>
        <x:v>仄</x:v>
      </x:c>
      <x:c r="L4364" s="7" t="str"/>
    </x:row>
    <x:row r="4365">
      <x:c r="A4365" s="5" t="str">
        <x:v>鍭</x:v>
      </x:c>
      <x:c r="B4365" s="6" t="str"/>
      <x:c r="C4365" s="6" t="str">
        <x:f>IF(B4365="","Needs decision","Ready")</x:f>
        <x:v>Needs decision</x:v>
      </x:c>
      <x:c r="D4365" s="6" t="str">
        <x:v>平/去</x:v>
      </x:c>
      <x:c r="E4365" s="6" t="str">
        <x:v>huw (A); huwH (C)</x:v>
      </x:c>
      <x:c r="F4365" s="6" t="str">
        <x:v>下平聲十一尤; 去聲二十六宥</x:v>
      </x:c>
      <x:c r="G4365" s="6" t="str">
        <x:v>Pingshui main list, Wikisource-derived DOCX</x:v>
      </x:c>
      <x:c r="H4365" s="6" t="str">
        <x:v>2</x:v>
      </x:c>
      <x:c r="I4365" s="6" t="str"/>
      <x:c r="J4365" s="6" t="str">
        <x:f>IF(B4365="","",IF(AND(ISNUMBER(SEARCH("平",B4365)),OR(ISNUMBER(SEARCH("上",B4365)),ISNUMBER(SEARCH("去",B4365)),ISNUMBER(SEARCH("入",B4365)))),"Ambiguous",IF(ISNUMBER(SEARCH("平",B4365)),"平","仄")))</x:f>
      </x:c>
      <x:c r="K4365" s="6" t="str">
        <x:f>IF(D4365="","",IF(AND(ISNUMBER(SEARCH("平",D4365)),OR(ISNUMBER(SEARCH("上",D4365)),ISNUMBER(SEARCH("去",D4365)),ISNUMBER(SEARCH("入",D4365)))),"Ambiguous",IF(ISNUMBER(SEARCH("平",D4365)),"平","仄")))</x:f>
        <x:v>Ambiguous</x:v>
      </x:c>
      <x:c r="L4365" s="7" t="str"/>
    </x:row>
    <x:row r="4366">
      <x:c r="A4366" s="5" t="str">
        <x:v>鍼</x:v>
      </x:c>
      <x:c r="B4366" s="6" t="str">
        <x:v>平</x:v>
      </x:c>
      <x:c r="C4366" s="6" t="str">
        <x:f>IF(B4366="","Needs decision","Ready")</x:f>
        <x:v>Ready</x:v>
      </x:c>
      <x:c r="D4366" s="6" t="str">
        <x:v>平</x:v>
      </x:c>
      <x:c r="E4366" s="6" t="str">
        <x:v>tsyim (A)</x:v>
      </x:c>
      <x:c r="F4366" s="6" t="str">
        <x:v>下平聲十二侵; 下平聲十四鹽</x:v>
      </x:c>
      <x:c r="G4366" s="6" t="str">
        <x:v>Pingshui main list, Wikisource-derived DOCX</x:v>
      </x:c>
      <x:c r="H4366" s="6" t="str">
        <x:v>1</x:v>
      </x:c>
      <x:c r="I4366" s="6" t="str"/>
      <x:c r="J4366" s="6" t="str">
        <x:f>IF(B4366="","",IF(AND(ISNUMBER(SEARCH("平",B4366)),OR(ISNUMBER(SEARCH("上",B4366)),ISNUMBER(SEARCH("去",B4366)),ISNUMBER(SEARCH("入",B4366)))),"Ambiguous",IF(ISNUMBER(SEARCH("平",B4366)),"平","仄")))</x:f>
        <x:v>平</x:v>
      </x:c>
      <x:c r="K4366" s="6" t="str">
        <x:f>IF(D4366="","",IF(AND(ISNUMBER(SEARCH("平",D4366)),OR(ISNUMBER(SEARCH("上",D4366)),ISNUMBER(SEARCH("去",D4366)),ISNUMBER(SEARCH("入",D4366)))),"Ambiguous",IF(ISNUMBER(SEARCH("平",D4366)),"平","仄")))</x:f>
        <x:v>平</x:v>
      </x:c>
      <x:c r="L4366" s="7" t="str"/>
    </x:row>
    <x:row r="4367">
      <x:c r="A4367" s="5" t="str">
        <x:v>鍾</x:v>
      </x:c>
      <x:c r="B4367" s="6" t="str">
        <x:v>平</x:v>
      </x:c>
      <x:c r="C4367" s="6" t="str">
        <x:f>IF(B4367="","Needs decision","Ready")</x:f>
        <x:v>Ready</x:v>
      </x:c>
      <x:c r="D4367" s="6" t="str">
        <x:v>平</x:v>
      </x:c>
      <x:c r="E4367" s="6" t="str">
        <x:v>tsyowng (A)</x:v>
      </x:c>
      <x:c r="F4367" s="6" t="str">
        <x:v>上平聲二冬</x:v>
      </x:c>
      <x:c r="G4367" s="6" t="str">
        <x:v>Pingshui main list, Wikisource-derived DOCX</x:v>
      </x:c>
      <x:c r="H4367" s="6" t="str">
        <x:v>1</x:v>
      </x:c>
      <x:c r="I4367" s="6" t="str"/>
      <x:c r="J4367" s="6" t="str">
        <x:f>IF(B4367="","",IF(AND(ISNUMBER(SEARCH("平",B4367)),OR(ISNUMBER(SEARCH("上",B4367)),ISNUMBER(SEARCH("去",B4367)),ISNUMBER(SEARCH("入",B4367)))),"Ambiguous",IF(ISNUMBER(SEARCH("平",B4367)),"平","仄")))</x:f>
        <x:v>平</x:v>
      </x:c>
      <x:c r="K4367" s="6" t="str">
        <x:f>IF(D4367="","",IF(AND(ISNUMBER(SEARCH("平",D4367)),OR(ISNUMBER(SEARCH("上",D4367)),ISNUMBER(SEARCH("去",D4367)),ISNUMBER(SEARCH("入",D4367)))),"Ambiguous",IF(ISNUMBER(SEARCH("平",D4367)),"平","仄")))</x:f>
        <x:v>平</x:v>
      </x:c>
      <x:c r="L4367" s="7" t="str"/>
    </x:row>
    <x:row r="4368">
      <x:c r="A4368" s="5" t="str">
        <x:v>鎌</x:v>
      </x:c>
      <x:c r="B4368" s="6" t="str">
        <x:v>平</x:v>
      </x:c>
      <x:c r="C4368" s="6" t="str">
        <x:f>IF(B4368="","Needs decision","Ready")</x:f>
        <x:v>Ready</x:v>
      </x:c>
      <x:c r="D4368" s="6" t="str">
        <x:v>平</x:v>
      </x:c>
      <x:c r="E4368" s="6" t="str">
        <x:v>ljem (A)</x:v>
      </x:c>
      <x:c r="F4368" s="6" t="str"/>
      <x:c r="G4368" s="6" t="str"/>
      <x:c r="H4368" s="6" t="str">
        <x:v>1</x:v>
      </x:c>
      <x:c r="I4368" s="6" t="str"/>
      <x:c r="J4368" s="6" t="str">
        <x:f>IF(B4368="","",IF(AND(ISNUMBER(SEARCH("平",B4368)),OR(ISNUMBER(SEARCH("上",B4368)),ISNUMBER(SEARCH("去",B4368)),ISNUMBER(SEARCH("入",B4368)))),"Ambiguous",IF(ISNUMBER(SEARCH("平",B4368)),"平","仄")))</x:f>
        <x:v>平</x:v>
      </x:c>
      <x:c r="K4368" s="6" t="str">
        <x:f>IF(D4368="","",IF(AND(ISNUMBER(SEARCH("平",D4368)),OR(ISNUMBER(SEARCH("上",D4368)),ISNUMBER(SEARCH("去",D4368)),ISNUMBER(SEARCH("入",D4368)))),"Ambiguous",IF(ISNUMBER(SEARCH("平",D4368)),"平","仄")))</x:f>
        <x:v>平</x:v>
      </x:c>
      <x:c r="L4368" s="7" t="str"/>
    </x:row>
    <x:row r="4369">
      <x:c r="A4369" s="5" t="str">
        <x:v>鎖</x:v>
      </x:c>
      <x:c r="B4369" s="6" t="str">
        <x:v>上</x:v>
      </x:c>
      <x:c r="C4369" s="6" t="str">
        <x:f>IF(B4369="","Needs decision","Ready")</x:f>
        <x:v>Ready</x:v>
      </x:c>
      <x:c r="D4369" s="6" t="str">
        <x:v>上</x:v>
      </x:c>
      <x:c r="E4369" s="6" t="str">
        <x:v>swaX (B)</x:v>
      </x:c>
      <x:c r="F4369" s="6" t="str">
        <x:v>上聲二十哿</x:v>
      </x:c>
      <x:c r="G4369" s="6" t="str">
        <x:v>Pingshui main list, Wikisource-derived DOCX</x:v>
      </x:c>
      <x:c r="H4369" s="6" t="str">
        <x:v>1</x:v>
      </x:c>
      <x:c r="I4369" s="6" t="str"/>
      <x:c r="J4369" s="6" t="str">
        <x:f>IF(B4369="","",IF(AND(ISNUMBER(SEARCH("平",B4369)),OR(ISNUMBER(SEARCH("上",B4369)),ISNUMBER(SEARCH("去",B4369)),ISNUMBER(SEARCH("入",B4369)))),"Ambiguous",IF(ISNUMBER(SEARCH("平",B4369)),"平","仄")))</x:f>
        <x:v>仄</x:v>
      </x:c>
      <x:c r="K4369" s="6" t="str">
        <x:f>IF(D4369="","",IF(AND(ISNUMBER(SEARCH("平",D4369)),OR(ISNUMBER(SEARCH("上",D4369)),ISNUMBER(SEARCH("去",D4369)),ISNUMBER(SEARCH("入",D4369)))),"Ambiguous",IF(ISNUMBER(SEARCH("平",D4369)),"平","仄")))</x:f>
        <x:v>仄</x:v>
      </x:c>
      <x:c r="L4369" s="7" t="str"/>
    </x:row>
    <x:row r="4370">
      <x:c r="A4370" s="5" t="str">
        <x:v>鎧</x:v>
      </x:c>
      <x:c r="B4370" s="6" t="str">
        <x:v>上</x:v>
      </x:c>
      <x:c r="C4370" s="6" t="str">
        <x:f>IF(B4370="","Needs decision","Ready")</x:f>
        <x:v>Ready</x:v>
      </x:c>
      <x:c r="D4370" s="6" t="str">
        <x:v>上/去</x:v>
      </x:c>
      <x:c r="E4370" s="6" t="str">
        <x:v>khojX (B); khojH (C)</x:v>
      </x:c>
      <x:c r="F4370" s="6" t="str">
        <x:v>上聲十賄; 去聲十一隊</x:v>
      </x:c>
      <x:c r="G4370" s="6" t="str">
        <x:v>Pingshui main list, Wikisource-derived DOCX</x:v>
      </x:c>
      <x:c r="H4370" s="6" t="str">
        <x:v>2</x:v>
      </x:c>
      <x:c r="I4370" s="6" t="str"/>
      <x:c r="J4370" s="6" t="str">
        <x:f>IF(B4370="","",IF(AND(ISNUMBER(SEARCH("平",B4370)),OR(ISNUMBER(SEARCH("上",B4370)),ISNUMBER(SEARCH("去",B4370)),ISNUMBER(SEARCH("入",B4370)))),"Ambiguous",IF(ISNUMBER(SEARCH("平",B4370)),"平","仄")))</x:f>
        <x:v>仄</x:v>
      </x:c>
      <x:c r="K4370" s="6" t="str">
        <x:f>IF(D4370="","",IF(AND(ISNUMBER(SEARCH("平",D4370)),OR(ISNUMBER(SEARCH("上",D4370)),ISNUMBER(SEARCH("去",D4370)),ISNUMBER(SEARCH("入",D4370)))),"Ambiguous",IF(ISNUMBER(SEARCH("平",D4370)),"平","仄")))</x:f>
        <x:v>仄</x:v>
      </x:c>
      <x:c r="L4370" s="7" t="str"/>
    </x:row>
    <x:row r="4371">
      <x:c r="A4371" s="5" t="str">
        <x:v>鎮</x:v>
      </x:c>
      <x:c r="B4371" s="6" t="str">
        <x:v>去</x:v>
      </x:c>
      <x:c r="C4371" s="6" t="str">
        <x:f>IF(B4371="","Needs decision","Ready")</x:f>
        <x:v>Ready</x:v>
      </x:c>
      <x:c r="D4371" s="6" t="str">
        <x:v>去</x:v>
      </x:c>
      <x:c r="E4371" s="6" t="str">
        <x:v>trinH (C)</x:v>
      </x:c>
      <x:c r="F4371" s="6" t="str">
        <x:v>去聲十二震</x:v>
      </x:c>
      <x:c r="G4371" s="6" t="str">
        <x:v>Pingshui main list, Wikisource-derived DOCX</x:v>
      </x:c>
      <x:c r="H4371" s="6" t="str">
        <x:v>1</x:v>
      </x:c>
      <x:c r="I4371" s="6" t="str"/>
      <x:c r="J4371" s="6" t="str">
        <x:f>IF(B4371="","",IF(AND(ISNUMBER(SEARCH("平",B4371)),OR(ISNUMBER(SEARCH("上",B4371)),ISNUMBER(SEARCH("去",B4371)),ISNUMBER(SEARCH("入",B4371)))),"Ambiguous",IF(ISNUMBER(SEARCH("平",B4371)),"平","仄")))</x:f>
        <x:v>仄</x:v>
      </x:c>
      <x:c r="K4371" s="6" t="str">
        <x:f>IF(D4371="","",IF(AND(ISNUMBER(SEARCH("平",D4371)),OR(ISNUMBER(SEARCH("上",D4371)),ISNUMBER(SEARCH("去",D4371)),ISNUMBER(SEARCH("入",D4371)))),"Ambiguous",IF(ISNUMBER(SEARCH("平",D4371)),"平","仄")))</x:f>
        <x:v>仄</x:v>
      </x:c>
      <x:c r="L4371" s="7" t="str"/>
    </x:row>
    <x:row r="4372">
      <x:c r="A4372" s="5" t="str">
        <x:v>鎰</x:v>
      </x:c>
      <x:c r="B4372" s="6" t="str">
        <x:v>入</x:v>
      </x:c>
      <x:c r="C4372" s="6" t="str">
        <x:f>IF(B4372="","Needs decision","Ready")</x:f>
        <x:v>Ready</x:v>
      </x:c>
      <x:c r="D4372" s="6" t="str">
        <x:v>入</x:v>
      </x:c>
      <x:c r="E4372" s="6" t="str">
        <x:v>yit (D)</x:v>
      </x:c>
      <x:c r="F4372" s="6" t="str">
        <x:v>入聲四質</x:v>
      </x:c>
      <x:c r="G4372" s="6" t="str">
        <x:v>Pingshui main list, Wikisource-derived DOCX</x:v>
      </x:c>
      <x:c r="H4372" s="6" t="str">
        <x:v>1</x:v>
      </x:c>
      <x:c r="I4372" s="6" t="str"/>
      <x:c r="J4372" s="6" t="str">
        <x:f>IF(B4372="","",IF(AND(ISNUMBER(SEARCH("平",B4372)),OR(ISNUMBER(SEARCH("上",B4372)),ISNUMBER(SEARCH("去",B4372)),ISNUMBER(SEARCH("入",B4372)))),"Ambiguous",IF(ISNUMBER(SEARCH("平",B4372)),"平","仄")))</x:f>
        <x:v>仄</x:v>
      </x:c>
      <x:c r="K4372" s="6" t="str">
        <x:f>IF(D4372="","",IF(AND(ISNUMBER(SEARCH("平",D4372)),OR(ISNUMBER(SEARCH("上",D4372)),ISNUMBER(SEARCH("去",D4372)),ISNUMBER(SEARCH("入",D4372)))),"Ambiguous",IF(ISNUMBER(SEARCH("平",D4372)),"平","仄")))</x:f>
        <x:v>仄</x:v>
      </x:c>
      <x:c r="L4372" s="7" t="str"/>
    </x:row>
    <x:row r="4373">
      <x:c r="A4373" s="5" t="str">
        <x:v>鏁</x:v>
      </x:c>
      <x:c r="B4373" s="6" t="str">
        <x:v>上</x:v>
      </x:c>
      <x:c r="C4373" s="6" t="str">
        <x:f>IF(B4373="","Needs decision","Ready")</x:f>
        <x:v>Ready</x:v>
      </x:c>
      <x:c r="D4373" s="6" t="str">
        <x:v>上</x:v>
      </x:c>
      <x:c r="E4373" s="6" t="str">
        <x:v>swaX (B)</x:v>
      </x:c>
      <x:c r="F4373" s="6" t="str"/>
      <x:c r="G4373" s="6" t="str"/>
      <x:c r="H4373" s="6" t="str">
        <x:v>1</x:v>
      </x:c>
      <x:c r="I4373" s="6" t="str"/>
      <x:c r="J4373" s="6" t="str">
        <x:f>IF(B4373="","",IF(AND(ISNUMBER(SEARCH("平",B4373)),OR(ISNUMBER(SEARCH("上",B4373)),ISNUMBER(SEARCH("去",B4373)),ISNUMBER(SEARCH("入",B4373)))),"Ambiguous",IF(ISNUMBER(SEARCH("平",B4373)),"平","仄")))</x:f>
        <x:v>仄</x:v>
      </x:c>
      <x:c r="K4373" s="6" t="str">
        <x:f>IF(D4373="","",IF(AND(ISNUMBER(SEARCH("平",D4373)),OR(ISNUMBER(SEARCH("上",D4373)),ISNUMBER(SEARCH("去",D4373)),ISNUMBER(SEARCH("入",D4373)))),"Ambiguous",IF(ISNUMBER(SEARCH("平",D4373)),"平","仄")))</x:f>
        <x:v>仄</x:v>
      </x:c>
      <x:c r="L4373" s="7" t="str"/>
    </x:row>
    <x:row r="4374">
      <x:c r="A4374" s="5" t="str">
        <x:v>鏃</x:v>
      </x:c>
      <x:c r="B4374" s="6" t="str">
        <x:v>入</x:v>
      </x:c>
      <x:c r="C4374" s="6" t="str">
        <x:f>IF(B4374="","Needs decision","Ready")</x:f>
        <x:v>Ready</x:v>
      </x:c>
      <x:c r="D4374" s="6" t="str">
        <x:v>入</x:v>
      </x:c>
      <x:c r="E4374" s="6" t="str">
        <x:v>tsuwk (D)</x:v>
      </x:c>
      <x:c r="F4374" s="6" t="str">
        <x:v>入聲一屋</x:v>
      </x:c>
      <x:c r="G4374" s="6" t="str">
        <x:v>Pingshui main list, Wikisource-derived DOCX</x:v>
      </x:c>
      <x:c r="H4374" s="6" t="str">
        <x:v>1</x:v>
      </x:c>
      <x:c r="I4374" s="6" t="str"/>
      <x:c r="J4374" s="6" t="str">
        <x:f>IF(B4374="","",IF(AND(ISNUMBER(SEARCH("平",B4374)),OR(ISNUMBER(SEARCH("上",B4374)),ISNUMBER(SEARCH("去",B4374)),ISNUMBER(SEARCH("入",B4374)))),"Ambiguous",IF(ISNUMBER(SEARCH("平",B4374)),"平","仄")))</x:f>
        <x:v>仄</x:v>
      </x:c>
      <x:c r="K4374" s="6" t="str">
        <x:f>IF(D4374="","",IF(AND(ISNUMBER(SEARCH("平",D4374)),OR(ISNUMBER(SEARCH("上",D4374)),ISNUMBER(SEARCH("去",D4374)),ISNUMBER(SEARCH("入",D4374)))),"Ambiguous",IF(ISNUMBER(SEARCH("平",D4374)),"平","仄")))</x:f>
        <x:v>仄</x:v>
      </x:c>
      <x:c r="L4374" s="7" t="str"/>
    </x:row>
    <x:row r="4375">
      <x:c r="A4375" s="5" t="str">
        <x:v>鏐</x:v>
      </x:c>
      <x:c r="B4375" s="6" t="str">
        <x:v>平</x:v>
      </x:c>
      <x:c r="C4375" s="6" t="str">
        <x:f>IF(B4375="","Needs decision","Ready")</x:f>
        <x:v>Ready</x:v>
      </x:c>
      <x:c r="D4375" s="6" t="str">
        <x:v>平</x:v>
      </x:c>
      <x:c r="E4375" s="6" t="str">
        <x:v>ljiw (A); ljuw (A)</x:v>
      </x:c>
      <x:c r="F4375" s="6" t="str">
        <x:v>下平聲十一尤</x:v>
      </x:c>
      <x:c r="G4375" s="6" t="str">
        <x:v>Pingshui main list, Wikisource-derived DOCX</x:v>
      </x:c>
      <x:c r="H4375" s="6" t="str">
        <x:v>2</x:v>
      </x:c>
      <x:c r="I4375" s="6" t="str"/>
      <x:c r="J4375" s="6" t="str">
        <x:f>IF(B4375="","",IF(AND(ISNUMBER(SEARCH("平",B4375)),OR(ISNUMBER(SEARCH("上",B4375)),ISNUMBER(SEARCH("去",B4375)),ISNUMBER(SEARCH("入",B4375)))),"Ambiguous",IF(ISNUMBER(SEARCH("平",B4375)),"平","仄")))</x:f>
        <x:v>平</x:v>
      </x:c>
      <x:c r="K4375" s="6" t="str">
        <x:f>IF(D4375="","",IF(AND(ISNUMBER(SEARCH("平",D4375)),OR(ISNUMBER(SEARCH("上",D4375)),ISNUMBER(SEARCH("去",D4375)),ISNUMBER(SEARCH("入",D4375)))),"Ambiguous",IF(ISNUMBER(SEARCH("平",D4375)),"平","仄")))</x:f>
        <x:v>平</x:v>
      </x:c>
      <x:c r="L4375" s="7" t="str"/>
    </x:row>
    <x:row r="4376">
      <x:c r="A4376" s="5" t="str">
        <x:v>鏘</x:v>
      </x:c>
      <x:c r="B4376" s="6" t="str">
        <x:v>平</x:v>
      </x:c>
      <x:c r="C4376" s="6" t="str">
        <x:f>IF(B4376="","Needs decision","Ready")</x:f>
        <x:v>Ready</x:v>
      </x:c>
      <x:c r="D4376" s="6" t="str">
        <x:v>平</x:v>
      </x:c>
      <x:c r="E4376" s="6" t="str"/>
      <x:c r="F4376" s="6" t="str">
        <x:v>下平聲七陽</x:v>
      </x:c>
      <x:c r="G4376" s="6" t="str">
        <x:v>Pingshui main list, Wikisource-derived DOCX</x:v>
      </x:c>
      <x:c r="H4376" s="6" t="str"/>
      <x:c r="I4376" s="6" t="str">
        <x:v>Manual user correction/addition</x:v>
      </x:c>
      <x:c r="J4376" s="6" t="str">
        <x:f>IF(B4376="","",IF(AND(ISNUMBER(SEARCH("平",B4376)),OR(ISNUMBER(SEARCH("上",B4376)),ISNUMBER(SEARCH("去",B4376)),ISNUMBER(SEARCH("入",B4376)))),"Ambiguous",IF(ISNUMBER(SEARCH("平",B4376)),"平","仄")))</x:f>
        <x:v>平</x:v>
      </x:c>
      <x:c r="K4376" s="6" t="str">
        <x:f>IF(D4376="","",IF(AND(ISNUMBER(SEARCH("平",D4376)),OR(ISNUMBER(SEARCH("上",D4376)),ISNUMBER(SEARCH("去",D4376)),ISNUMBER(SEARCH("入",D4376)))),"Ambiguous",IF(ISNUMBER(SEARCH("平",D4376)),"平","仄")))</x:f>
        <x:v>平</x:v>
      </x:c>
      <x:c r="L4376" s="7" t="str">
        <x:v>manual user correction</x:v>
      </x:c>
    </x:row>
    <x:row r="4377">
      <x:c r="A4377" s="5" t="str">
        <x:v>鏚</x:v>
      </x:c>
      <x:c r="B4377" s="6" t="str">
        <x:v>入</x:v>
      </x:c>
      <x:c r="C4377" s="6" t="str">
        <x:f>IF(B4377="","Needs decision","Ready")</x:f>
        <x:v>Ready</x:v>
      </x:c>
      <x:c r="D4377" s="6" t="str">
        <x:v>入</x:v>
      </x:c>
      <x:c r="E4377" s="6" t="str">
        <x:v>tshek (D)</x:v>
      </x:c>
      <x:c r="F4377" s="6" t="str">
        <x:v>入聲十二錫</x:v>
      </x:c>
      <x:c r="G4377" s="6" t="str">
        <x:v>Pingshui main list, Wikisource-derived DOCX</x:v>
      </x:c>
      <x:c r="H4377" s="6" t="str">
        <x:v>1</x:v>
      </x:c>
      <x:c r="I4377" s="6" t="str"/>
      <x:c r="J4377" s="6" t="str">
        <x:f>IF(B4377="","",IF(AND(ISNUMBER(SEARCH("平",B4377)),OR(ISNUMBER(SEARCH("上",B4377)),ISNUMBER(SEARCH("去",B4377)),ISNUMBER(SEARCH("入",B4377)))),"Ambiguous",IF(ISNUMBER(SEARCH("平",B4377)),"平","仄")))</x:f>
        <x:v>仄</x:v>
      </x:c>
      <x:c r="K4377" s="6" t="str">
        <x:f>IF(D4377="","",IF(AND(ISNUMBER(SEARCH("平",D4377)),OR(ISNUMBER(SEARCH("上",D4377)),ISNUMBER(SEARCH("去",D4377)),ISNUMBER(SEARCH("入",D4377)))),"Ambiguous",IF(ISNUMBER(SEARCH("平",D4377)),"平","仄")))</x:f>
        <x:v>仄</x:v>
      </x:c>
      <x:c r="L4377" s="7" t="str"/>
    </x:row>
    <x:row r="4378">
      <x:c r="A4378" s="5" t="str">
        <x:v>鏜</x:v>
      </x:c>
      <x:c r="B4378" s="6" t="str">
        <x:v>平</x:v>
      </x:c>
      <x:c r="C4378" s="6" t="str">
        <x:f>IF(B4378="","Needs decision","Ready")</x:f>
        <x:v>Ready</x:v>
      </x:c>
      <x:c r="D4378" s="6" t="str">
        <x:v>平</x:v>
      </x:c>
      <x:c r="E4378" s="6" t="str">
        <x:v>thang (A)</x:v>
      </x:c>
      <x:c r="F4378" s="6" t="str">
        <x:v>下平聲七陽</x:v>
      </x:c>
      <x:c r="G4378" s="6" t="str">
        <x:v>Pingshui main list, Wikisource-derived DOCX</x:v>
      </x:c>
      <x:c r="H4378" s="6" t="str">
        <x:v>1</x:v>
      </x:c>
      <x:c r="I4378" s="6" t="str"/>
      <x:c r="J4378" s="6" t="str">
        <x:f>IF(B4378="","",IF(AND(ISNUMBER(SEARCH("平",B4378)),OR(ISNUMBER(SEARCH("上",B4378)),ISNUMBER(SEARCH("去",B4378)),ISNUMBER(SEARCH("入",B4378)))),"Ambiguous",IF(ISNUMBER(SEARCH("平",B4378)),"平","仄")))</x:f>
        <x:v>平</x:v>
      </x:c>
      <x:c r="K4378" s="6" t="str">
        <x:f>IF(D4378="","",IF(AND(ISNUMBER(SEARCH("平",D4378)),OR(ISNUMBER(SEARCH("上",D4378)),ISNUMBER(SEARCH("去",D4378)),ISNUMBER(SEARCH("入",D4378)))),"Ambiguous",IF(ISNUMBER(SEARCH("平",D4378)),"平","仄")))</x:f>
        <x:v>平</x:v>
      </x:c>
      <x:c r="L4378" s="7" t="str"/>
    </x:row>
    <x:row r="4379">
      <x:c r="A4379" s="5" t="str">
        <x:v>鏡</x:v>
      </x:c>
      <x:c r="B4379" s="6" t="str">
        <x:v>去</x:v>
      </x:c>
      <x:c r="C4379" s="6" t="str">
        <x:f>IF(B4379="","Needs decision","Ready")</x:f>
        <x:v>Ready</x:v>
      </x:c>
      <x:c r="D4379" s="6" t="str">
        <x:v>去</x:v>
      </x:c>
      <x:c r="E4379" s="6" t="str">
        <x:v>kjaengH (C)</x:v>
      </x:c>
      <x:c r="F4379" s="6" t="str">
        <x:v>去聲二十四敬</x:v>
      </x:c>
      <x:c r="G4379" s="6" t="str">
        <x:v>Pingshui main list, Wikisource-derived DOCX</x:v>
      </x:c>
      <x:c r="H4379" s="6" t="str">
        <x:v>1</x:v>
      </x:c>
      <x:c r="I4379" s="6" t="str"/>
      <x:c r="J4379" s="6" t="str">
        <x:f>IF(B4379="","",IF(AND(ISNUMBER(SEARCH("平",B4379)),OR(ISNUMBER(SEARCH("上",B4379)),ISNUMBER(SEARCH("去",B4379)),ISNUMBER(SEARCH("入",B4379)))),"Ambiguous",IF(ISNUMBER(SEARCH("平",B4379)),"平","仄")))</x:f>
        <x:v>仄</x:v>
      </x:c>
      <x:c r="K4379" s="6" t="str">
        <x:f>IF(D4379="","",IF(AND(ISNUMBER(SEARCH("平",D4379)),OR(ISNUMBER(SEARCH("上",D4379)),ISNUMBER(SEARCH("去",D4379)),ISNUMBER(SEARCH("入",D4379)))),"Ambiguous",IF(ISNUMBER(SEARCH("平",D4379)),"平","仄")))</x:f>
        <x:v>仄</x:v>
      </x:c>
      <x:c r="L4379" s="7" t="str"/>
    </x:row>
    <x:row r="4380">
      <x:c r="A4380" s="5" t="str">
        <x:v>鏤</x:v>
      </x:c>
      <x:c r="B4380" s="6" t="str">
        <x:v>去</x:v>
      </x:c>
      <x:c r="C4380" s="6" t="str">
        <x:f>IF(B4380="","Needs decision","Ready")</x:f>
        <x:v>Ready</x:v>
      </x:c>
      <x:c r="D4380" s="6" t="str">
        <x:v>去</x:v>
      </x:c>
      <x:c r="E4380" s="6" t="str">
        <x:v>luwH (C)</x:v>
      </x:c>
      <x:c r="F4380" s="6" t="str">
        <x:v>上平聲七虞; 去聲二十六宥</x:v>
      </x:c>
      <x:c r="G4380" s="6" t="str">
        <x:v>Pingshui main list, Wikisource-derived DOCX</x:v>
      </x:c>
      <x:c r="H4380" s="6" t="str">
        <x:v>1</x:v>
      </x:c>
      <x:c r="I4380" s="6" t="str"/>
      <x:c r="J4380" s="6" t="str">
        <x:f>IF(B4380="","",IF(AND(ISNUMBER(SEARCH("平",B4380)),OR(ISNUMBER(SEARCH("上",B4380)),ISNUMBER(SEARCH("去",B4380)),ISNUMBER(SEARCH("入",B4380)))),"Ambiguous",IF(ISNUMBER(SEARCH("平",B4380)),"平","仄")))</x:f>
        <x:v>仄</x:v>
      </x:c>
      <x:c r="K4380" s="6" t="str">
        <x:f>IF(D4380="","",IF(AND(ISNUMBER(SEARCH("平",D4380)),OR(ISNUMBER(SEARCH("上",D4380)),ISNUMBER(SEARCH("去",D4380)),ISNUMBER(SEARCH("入",D4380)))),"Ambiguous",IF(ISNUMBER(SEARCH("平",D4380)),"平","仄")))</x:f>
        <x:v>仄</x:v>
      </x:c>
      <x:c r="L4380" s="7" t="str"/>
    </x:row>
    <x:row r="4381">
      <x:c r="A4381" s="5" t="str">
        <x:v>鐃</x:v>
      </x:c>
      <x:c r="B4381" s="6" t="str">
        <x:v>平</x:v>
      </x:c>
      <x:c r="C4381" s="6" t="str">
        <x:f>IF(B4381="","Needs decision","Ready")</x:f>
        <x:v>Ready</x:v>
      </x:c>
      <x:c r="D4381" s="6" t="str">
        <x:v>平</x:v>
      </x:c>
      <x:c r="E4381" s="6" t="str">
        <x:v>nraew (A)</x:v>
      </x:c>
      <x:c r="F4381" s="6" t="str">
        <x:v>下平聲三肴</x:v>
      </x:c>
      <x:c r="G4381" s="6" t="str">
        <x:v>Pingshui main list, Wikisource-derived DOCX</x:v>
      </x:c>
      <x:c r="H4381" s="6" t="str">
        <x:v>1</x:v>
      </x:c>
      <x:c r="I4381" s="6" t="str"/>
      <x:c r="J4381" s="6" t="str">
        <x:f>IF(B4381="","",IF(AND(ISNUMBER(SEARCH("平",B4381)),OR(ISNUMBER(SEARCH("上",B4381)),ISNUMBER(SEARCH("去",B4381)),ISNUMBER(SEARCH("入",B4381)))),"Ambiguous",IF(ISNUMBER(SEARCH("平",B4381)),"平","仄")))</x:f>
        <x:v>平</x:v>
      </x:c>
      <x:c r="K4381" s="6" t="str">
        <x:f>IF(D4381="","",IF(AND(ISNUMBER(SEARCH("平",D4381)),OR(ISNUMBER(SEARCH("上",D4381)),ISNUMBER(SEARCH("去",D4381)),ISNUMBER(SEARCH("入",D4381)))),"Ambiguous",IF(ISNUMBER(SEARCH("平",D4381)),"平","仄")))</x:f>
        <x:v>平</x:v>
      </x:c>
      <x:c r="L4381" s="7" t="str"/>
    </x:row>
    <x:row r="4382">
      <x:c r="A4382" s="5" t="str">
        <x:v>鐘</x:v>
      </x:c>
      <x:c r="B4382" s="6" t="str">
        <x:v>平</x:v>
      </x:c>
      <x:c r="C4382" s="6" t="str">
        <x:f>IF(B4382="","Needs decision","Ready")</x:f>
        <x:v>Ready</x:v>
      </x:c>
      <x:c r="D4382" s="6" t="str">
        <x:v>平</x:v>
      </x:c>
      <x:c r="E4382" s="6" t="str">
        <x:v>tsyowng (A)</x:v>
      </x:c>
      <x:c r="F4382" s="6" t="str">
        <x:v>上平聲二冬</x:v>
      </x:c>
      <x:c r="G4382" s="6" t="str">
        <x:v>Pingshui main list, Wikisource-derived DOCX</x:v>
      </x:c>
      <x:c r="H4382" s="6" t="str">
        <x:v>1</x:v>
      </x:c>
      <x:c r="I4382" s="6" t="str"/>
      <x:c r="J4382" s="6" t="str">
        <x:f>IF(B4382="","",IF(AND(ISNUMBER(SEARCH("平",B4382)),OR(ISNUMBER(SEARCH("上",B4382)),ISNUMBER(SEARCH("去",B4382)),ISNUMBER(SEARCH("入",B4382)))),"Ambiguous",IF(ISNUMBER(SEARCH("平",B4382)),"平","仄")))</x:f>
        <x:v>平</x:v>
      </x:c>
      <x:c r="K4382" s="6" t="str">
        <x:f>IF(D4382="","",IF(AND(ISNUMBER(SEARCH("平",D4382)),OR(ISNUMBER(SEARCH("上",D4382)),ISNUMBER(SEARCH("去",D4382)),ISNUMBER(SEARCH("入",D4382)))),"Ambiguous",IF(ISNUMBER(SEARCH("平",D4382)),"平","仄")))</x:f>
        <x:v>平</x:v>
      </x:c>
      <x:c r="L4382" s="7" t="str"/>
    </x:row>
    <x:row r="4383">
      <x:c r="A4383" s="5" t="str">
        <x:v>鐙</x:v>
      </x:c>
      <x:c r="B4383" s="6" t="str">
        <x:v>平</x:v>
      </x:c>
      <x:c r="C4383" s="6" t="str">
        <x:f>IF(B4383="","Needs decision","Ready")</x:f>
        <x:v>Ready</x:v>
      </x:c>
      <x:c r="D4383" s="6" t="str">
        <x:v>平</x:v>
      </x:c>
      <x:c r="E4383" s="6" t="str">
        <x:v>tong (A)</x:v>
      </x:c>
      <x:c r="F4383" s="6" t="str">
        <x:v>去聲二十五徑</x:v>
      </x:c>
      <x:c r="G4383" s="6" t="str">
        <x:v>Pingshui main list, Wikisource-derived DOCX</x:v>
      </x:c>
      <x:c r="H4383" s="6" t="str">
        <x:v>1</x:v>
      </x:c>
      <x:c r="I4383" s="6" t="str"/>
      <x:c r="J4383" s="6" t="str">
        <x:f>IF(B4383="","",IF(AND(ISNUMBER(SEARCH("平",B4383)),OR(ISNUMBER(SEARCH("上",B4383)),ISNUMBER(SEARCH("去",B4383)),ISNUMBER(SEARCH("入",B4383)))),"Ambiguous",IF(ISNUMBER(SEARCH("平",B4383)),"平","仄")))</x:f>
        <x:v>平</x:v>
      </x:c>
      <x:c r="K4383" s="6" t="str">
        <x:f>IF(D4383="","",IF(AND(ISNUMBER(SEARCH("平",D4383)),OR(ISNUMBER(SEARCH("上",D4383)),ISNUMBER(SEARCH("去",D4383)),ISNUMBER(SEARCH("入",D4383)))),"Ambiguous",IF(ISNUMBER(SEARCH("平",D4383)),"平","仄")))</x:f>
        <x:v>平</x:v>
      </x:c>
      <x:c r="L4383" s="7" t="str"/>
    </x:row>
    <x:row r="4384">
      <x:c r="A4384" s="5" t="str">
        <x:v>鐫</x:v>
      </x:c>
      <x:c r="B4384" s="6" t="str">
        <x:v>平</x:v>
      </x:c>
      <x:c r="C4384" s="6" t="str">
        <x:f>IF(B4384="","Needs decision","Ready")</x:f>
        <x:v>Ready</x:v>
      </x:c>
      <x:c r="D4384" s="6" t="str">
        <x:v>平</x:v>
      </x:c>
      <x:c r="E4384" s="6" t="str">
        <x:v>tsjwen [tsjwen] (平)</x:v>
      </x:c>
      <x:c r="F4384" s="6" t="str">
        <x:v>下平聲一先</x:v>
      </x:c>
      <x:c r="G4384" s="6" t="str">
        <x:v>Pingshui main list, Wikisource-derived DOCX</x:v>
      </x:c>
      <x:c r="H4384" s="6" t="str">
        <x:v>1</x:v>
      </x:c>
      <x:c r="I4384" s="6" t="str">
        <x:v>Tang 300 gap; frequency 1; provisional from Xun Gong</x:v>
      </x:c>
      <x:c r="J4384" s="6" t="str">
        <x:f>IF(B4384="","",IF(AND(ISNUMBER(SEARCH("平",B4384)),OR(ISNUMBER(SEARCH("上",B4384)),ISNUMBER(SEARCH("去",B4384)),ISNUMBER(SEARCH("入",B4384)))),"Ambiguous",IF(ISNUMBER(SEARCH("平",B4384)),"平","仄")))</x:f>
        <x:v>平</x:v>
      </x:c>
      <x:c r="K4384" s="6" t="str">
        <x:f>IF(D4384="","",IF(AND(ISNUMBER(SEARCH("平",D4384)),OR(ISNUMBER(SEARCH("上",D4384)),ISNUMBER(SEARCH("去",D4384)),ISNUMBER(SEARCH("入",D4384)))),"Ambiguous",IF(ISNUMBER(SEARCH("平",D4384)),"平","仄")))</x:f>
        <x:v>平</x:v>
      </x:c>
      <x:c r="L4384" s="7" t="str">
        <x:v>Xun Gong, Tang 300 gap fill</x:v>
      </x:c>
    </x:row>
    <x:row r="4385">
      <x:c r="A4385" s="5" t="str">
        <x:v>鐵</x:v>
      </x:c>
      <x:c r="B4385" s="6" t="str">
        <x:v>入</x:v>
      </x:c>
      <x:c r="C4385" s="6" t="str">
        <x:f>IF(B4385="","Needs decision","Ready")</x:f>
        <x:v>Ready</x:v>
      </x:c>
      <x:c r="D4385" s="6" t="str">
        <x:v>入</x:v>
      </x:c>
      <x:c r="E4385" s="6" t="str">
        <x:v>thet (D)</x:v>
      </x:c>
      <x:c r="F4385" s="6" t="str">
        <x:v>入聲九屑</x:v>
      </x:c>
      <x:c r="G4385" s="6" t="str">
        <x:v>Pingshui main list, Wikisource-derived DOCX</x:v>
      </x:c>
      <x:c r="H4385" s="6" t="str">
        <x:v>1</x:v>
      </x:c>
      <x:c r="I4385" s="6" t="str"/>
      <x:c r="J4385" s="6" t="str">
        <x:f>IF(B4385="","",IF(AND(ISNUMBER(SEARCH("平",B4385)),OR(ISNUMBER(SEARCH("上",B4385)),ISNUMBER(SEARCH("去",B4385)),ISNUMBER(SEARCH("入",B4385)))),"Ambiguous",IF(ISNUMBER(SEARCH("平",B4385)),"平","仄")))</x:f>
        <x:v>仄</x:v>
      </x:c>
      <x:c r="K4385" s="6" t="str">
        <x:f>IF(D4385="","",IF(AND(ISNUMBER(SEARCH("平",D4385)),OR(ISNUMBER(SEARCH("上",D4385)),ISNUMBER(SEARCH("去",D4385)),ISNUMBER(SEARCH("入",D4385)))),"Ambiguous",IF(ISNUMBER(SEARCH("平",D4385)),"平","仄")))</x:f>
        <x:v>仄</x:v>
      </x:c>
      <x:c r="L4385" s="7" t="str"/>
    </x:row>
    <x:row r="4386">
      <x:c r="A4386" s="5" t="str">
        <x:v>鐸</x:v>
      </x:c>
      <x:c r="B4386" s="6" t="str">
        <x:v>入</x:v>
      </x:c>
      <x:c r="C4386" s="6" t="str">
        <x:f>IF(B4386="","Needs decision","Ready")</x:f>
        <x:v>Ready</x:v>
      </x:c>
      <x:c r="D4386" s="6" t="str">
        <x:v>入</x:v>
      </x:c>
      <x:c r="E4386" s="6" t="str">
        <x:v>dak (D)</x:v>
      </x:c>
      <x:c r="F4386" s="6" t="str">
        <x:v>入聲十藥</x:v>
      </x:c>
      <x:c r="G4386" s="6" t="str">
        <x:v>Pingshui main list, Wikisource-derived DOCX</x:v>
      </x:c>
      <x:c r="H4386" s="6" t="str">
        <x:v>1</x:v>
      </x:c>
      <x:c r="I4386" s="6" t="str"/>
      <x:c r="J4386" s="6" t="str">
        <x:f>IF(B4386="","",IF(AND(ISNUMBER(SEARCH("平",B4386)),OR(ISNUMBER(SEARCH("上",B4386)),ISNUMBER(SEARCH("去",B4386)),ISNUMBER(SEARCH("入",B4386)))),"Ambiguous",IF(ISNUMBER(SEARCH("平",B4386)),"平","仄")))</x:f>
        <x:v>仄</x:v>
      </x:c>
      <x:c r="K4386" s="6" t="str">
        <x:f>IF(D4386="","",IF(AND(ISNUMBER(SEARCH("平",D4386)),OR(ISNUMBER(SEARCH("上",D4386)),ISNUMBER(SEARCH("去",D4386)),ISNUMBER(SEARCH("入",D4386)))),"Ambiguous",IF(ISNUMBER(SEARCH("平",D4386)),"平","仄")))</x:f>
        <x:v>仄</x:v>
      </x:c>
      <x:c r="L4386" s="7" t="str"/>
    </x:row>
    <x:row r="4387">
      <x:c r="A4387" s="5" t="str">
        <x:v>鑄</x:v>
      </x:c>
      <x:c r="B4387" s="6" t="str">
        <x:v>去</x:v>
      </x:c>
      <x:c r="C4387" s="6" t="str">
        <x:f>IF(B4387="","Needs decision","Ready")</x:f>
        <x:v>Ready</x:v>
      </x:c>
      <x:c r="D4387" s="6" t="str">
        <x:v>去</x:v>
      </x:c>
      <x:c r="E4387" s="6" t="str">
        <x:v>tsyuH (C)</x:v>
      </x:c>
      <x:c r="F4387" s="6" t="str">
        <x:v>去聲七遇</x:v>
      </x:c>
      <x:c r="G4387" s="6" t="str">
        <x:v>Pingshui main list, Wikisource-derived DOCX</x:v>
      </x:c>
      <x:c r="H4387" s="6" t="str">
        <x:v>1</x:v>
      </x:c>
      <x:c r="I4387" s="6" t="str"/>
      <x:c r="J4387" s="6" t="str">
        <x:f>IF(B4387="","",IF(AND(ISNUMBER(SEARCH("平",B4387)),OR(ISNUMBER(SEARCH("上",B4387)),ISNUMBER(SEARCH("去",B4387)),ISNUMBER(SEARCH("入",B4387)))),"Ambiguous",IF(ISNUMBER(SEARCH("平",B4387)),"平","仄")))</x:f>
        <x:v>仄</x:v>
      </x:c>
      <x:c r="K4387" s="6" t="str">
        <x:f>IF(D4387="","",IF(AND(ISNUMBER(SEARCH("平",D4387)),OR(ISNUMBER(SEARCH("上",D4387)),ISNUMBER(SEARCH("去",D4387)),ISNUMBER(SEARCH("入",D4387)))),"Ambiguous",IF(ISNUMBER(SEARCH("平",D4387)),"平","仄")))</x:f>
        <x:v>仄</x:v>
      </x:c>
      <x:c r="L4387" s="7" t="str"/>
    </x:row>
    <x:row r="4388">
      <x:c r="A4388" s="5" t="str">
        <x:v>鑒</x:v>
      </x:c>
      <x:c r="B4388" s="6" t="str">
        <x:v>去</x:v>
      </x:c>
      <x:c r="C4388" s="6" t="str">
        <x:f>IF(B4388="","Needs decision","Ready")</x:f>
        <x:v>Ready</x:v>
      </x:c>
      <x:c r="D4388" s="6" t="str">
        <x:v>去</x:v>
      </x:c>
      <x:c r="E4388" s="6" t="str">
        <x:v>kaemH [見開二銜去] qaˤmh</x:v>
      </x:c>
      <x:c r="F4388" s="6" t="str"/>
      <x:c r="G4388" s="6" t="str"/>
      <x:c r="H4388" s="6" t="str">
        <x:v>1</x:v>
      </x:c>
      <x:c r="I4388" s="6" t="str">
        <x:v>Targeted preliminary fill from Xun Gong; review if uncertain</x:v>
      </x:c>
      <x:c r="J4388" s="6" t="str">
        <x:f>IF(B4388="","",IF(AND(ISNUMBER(SEARCH("平",B4388)),OR(ISNUMBER(SEARCH("上",B4388)),ISNUMBER(SEARCH("去",B4388)),ISNUMBER(SEARCH("入",B4388)))),"Ambiguous",IF(ISNUMBER(SEARCH("平",B4388)),"平","仄")))</x:f>
        <x:v>仄</x:v>
      </x:c>
      <x:c r="K4388" s="6" t="str">
        <x:f>IF(D4388="","",IF(AND(ISNUMBER(SEARCH("平",D4388)),OR(ISNUMBER(SEARCH("上",D4388)),ISNUMBER(SEARCH("去",D4388)),ISNUMBER(SEARCH("入",D4388)))),"Ambiguous",IF(ISNUMBER(SEARCH("平",D4388)),"平","仄")))</x:f>
        <x:v>仄</x:v>
      </x:c>
      <x:c r="L4388" s="7" t="str">
        <x:v>Xun Gong character-readings.csv</x:v>
      </x:c>
    </x:row>
    <x:row r="4389">
      <x:c r="A4389" s="5" t="str">
        <x:v>鑠</x:v>
      </x:c>
      <x:c r="B4389" s="6" t="str">
        <x:v>入</x:v>
      </x:c>
      <x:c r="C4389" s="6" t="str">
        <x:f>IF(B4389="","Needs decision","Ready")</x:f>
        <x:v>Ready</x:v>
      </x:c>
      <x:c r="D4389" s="6" t="str">
        <x:v>入</x:v>
      </x:c>
      <x:c r="E4389" s="6" t="str">
        <x:v>syak (D)</x:v>
      </x:c>
      <x:c r="F4389" s="6" t="str">
        <x:v>入聲十藥</x:v>
      </x:c>
      <x:c r="G4389" s="6" t="str">
        <x:v>Pingshui main list, Wikisource-derived DOCX</x:v>
      </x:c>
      <x:c r="H4389" s="6" t="str">
        <x:v>1</x:v>
      </x:c>
      <x:c r="I4389" s="6" t="str"/>
      <x:c r="J4389" s="6" t="str">
        <x:f>IF(B4389="","",IF(AND(ISNUMBER(SEARCH("平",B4389)),OR(ISNUMBER(SEARCH("上",B4389)),ISNUMBER(SEARCH("去",B4389)),ISNUMBER(SEARCH("入",B4389)))),"Ambiguous",IF(ISNUMBER(SEARCH("平",B4389)),"平","仄")))</x:f>
        <x:v>仄</x:v>
      </x:c>
      <x:c r="K4389" s="6" t="str">
        <x:f>IF(D4389="","",IF(AND(ISNUMBER(SEARCH("平",D4389)),OR(ISNUMBER(SEARCH("上",D4389)),ISNUMBER(SEARCH("去",D4389)),ISNUMBER(SEARCH("入",D4389)))),"Ambiguous",IF(ISNUMBER(SEARCH("平",D4389)),"平","仄")))</x:f>
        <x:v>仄</x:v>
      </x:c>
      <x:c r="L4389" s="7" t="str"/>
    </x:row>
    <x:row r="4390">
      <x:c r="A4390" s="5" t="str">
        <x:v>鑣</x:v>
      </x:c>
      <x:c r="B4390" s="6" t="str">
        <x:v>平</x:v>
      </x:c>
      <x:c r="C4390" s="6" t="str">
        <x:f>IF(B4390="","Needs decision","Ready")</x:f>
        <x:v>Ready</x:v>
      </x:c>
      <x:c r="D4390" s="6" t="str">
        <x:v>平</x:v>
      </x:c>
      <x:c r="E4390" s="6" t="str"/>
      <x:c r="F4390" s="6" t="str"/>
      <x:c r="G4390" s="6" t="str"/>
      <x:c r="H4390" s="6" t="str"/>
      <x:c r="I4390" s="6" t="str">
        <x:v>Manual user correction/addition</x:v>
      </x:c>
      <x:c r="J4390" s="6" t="str">
        <x:f>IF(B4390="","",IF(AND(ISNUMBER(SEARCH("平",B4390)),OR(ISNUMBER(SEARCH("上",B4390)),ISNUMBER(SEARCH("去",B4390)),ISNUMBER(SEARCH("入",B4390)))),"Ambiguous",IF(ISNUMBER(SEARCH("平",B4390)),"平","仄")))</x:f>
        <x:v>平</x:v>
      </x:c>
      <x:c r="K4390" s="6" t="str">
        <x:f>IF(D4390="","",IF(AND(ISNUMBER(SEARCH("平",D4390)),OR(ISNUMBER(SEARCH("上",D4390)),ISNUMBER(SEARCH("去",D4390)),ISNUMBER(SEARCH("入",D4390)))),"Ambiguous",IF(ISNUMBER(SEARCH("平",D4390)),"平","仄")))</x:f>
        <x:v>平</x:v>
      </x:c>
      <x:c r="L4390" s="7" t="str">
        <x:v>manual user correction</x:v>
      </x:c>
    </x:row>
    <x:row r="4391">
      <x:c r="A4391" s="5" t="str">
        <x:v>鑪</x:v>
      </x:c>
      <x:c r="B4391" s="6" t="str">
        <x:v>平</x:v>
      </x:c>
      <x:c r="C4391" s="6" t="str">
        <x:f>IF(B4391="","Needs decision","Ready")</x:f>
        <x:v>Ready</x:v>
      </x:c>
      <x:c r="D4391" s="6" t="str">
        <x:v>平</x:v>
      </x:c>
      <x:c r="E4391" s="6" t="str">
        <x:v>lu (A)</x:v>
      </x:c>
      <x:c r="F4391" s="6" t="str">
        <x:v>上平聲七虞</x:v>
      </x:c>
      <x:c r="G4391" s="6" t="str">
        <x:v>Pingshui main list, Wikisource-derived DOCX</x:v>
      </x:c>
      <x:c r="H4391" s="6" t="str">
        <x:v>1</x:v>
      </x:c>
      <x:c r="I4391" s="6" t="str"/>
      <x:c r="J4391" s="6" t="str">
        <x:f>IF(B4391="","",IF(AND(ISNUMBER(SEARCH("平",B4391)),OR(ISNUMBER(SEARCH("上",B4391)),ISNUMBER(SEARCH("去",B4391)),ISNUMBER(SEARCH("入",B4391)))),"Ambiguous",IF(ISNUMBER(SEARCH("平",B4391)),"平","仄")))</x:f>
        <x:v>平</x:v>
      </x:c>
      <x:c r="K4391" s="6" t="str">
        <x:f>IF(D4391="","",IF(AND(ISNUMBER(SEARCH("平",D4391)),OR(ISNUMBER(SEARCH("上",D4391)),ISNUMBER(SEARCH("去",D4391)),ISNUMBER(SEARCH("入",D4391)))),"Ambiguous",IF(ISNUMBER(SEARCH("平",D4391)),"平","仄")))</x:f>
        <x:v>平</x:v>
      </x:c>
      <x:c r="L4391" s="7" t="str"/>
    </x:row>
    <x:row r="4392">
      <x:c r="A4392" s="5" t="str">
        <x:v>鑰</x:v>
      </x:c>
      <x:c r="B4392" s="6" t="str">
        <x:v>入</x:v>
      </x:c>
      <x:c r="C4392" s="6" t="str">
        <x:f>IF(B4392="","Needs decision","Ready")</x:f>
        <x:v>Ready</x:v>
      </x:c>
      <x:c r="D4392" s="6" t="str">
        <x:v>入</x:v>
      </x:c>
      <x:c r="E4392" s="6" t="str">
        <x:v>yak [jɑk] (入)</x:v>
      </x:c>
      <x:c r="F4392" s="6" t="str">
        <x:v>入聲十藥</x:v>
      </x:c>
      <x:c r="G4392" s="6" t="str">
        <x:v>Pingshui main list, Wikisource-derived DOCX</x:v>
      </x:c>
      <x:c r="H4392" s="6" t="str">
        <x:v>1</x:v>
      </x:c>
      <x:c r="I4392" s="6" t="str">
        <x:v>Tang 300 gap; frequency 1; provisional from Xun Gong</x:v>
      </x:c>
      <x:c r="J4392" s="6" t="str">
        <x:f>IF(B4392="","",IF(AND(ISNUMBER(SEARCH("平",B4392)),OR(ISNUMBER(SEARCH("上",B4392)),ISNUMBER(SEARCH("去",B4392)),ISNUMBER(SEARCH("入",B4392)))),"Ambiguous",IF(ISNUMBER(SEARCH("平",B4392)),"平","仄")))</x:f>
        <x:v>仄</x:v>
      </x:c>
      <x:c r="K4392" s="6" t="str">
        <x:f>IF(D4392="","",IF(AND(ISNUMBER(SEARCH("平",D4392)),OR(ISNUMBER(SEARCH("上",D4392)),ISNUMBER(SEARCH("去",D4392)),ISNUMBER(SEARCH("入",D4392)))),"Ambiguous",IF(ISNUMBER(SEARCH("平",D4392)),"平","仄")))</x:f>
        <x:v>仄</x:v>
      </x:c>
      <x:c r="L4392" s="7" t="str">
        <x:v>Xun Gong, Tang 300 gap fill</x:v>
      </x:c>
    </x:row>
    <x:row r="4393">
      <x:c r="A4393" s="5" t="str">
        <x:v>鑽</x:v>
      </x:c>
      <x:c r="B4393" s="6" t="str">
        <x:v>平</x:v>
      </x:c>
      <x:c r="C4393" s="6" t="str">
        <x:f>IF(B4393="","Needs decision","Ready")</x:f>
        <x:v>Ready</x:v>
      </x:c>
      <x:c r="D4393" s="6" t="str">
        <x:v>平</x:v>
      </x:c>
      <x:c r="E4393" s="6" t="str">
        <x:v>tswan (A)</x:v>
      </x:c>
      <x:c r="F4393" s="6" t="str">
        <x:v>上平聲十四寒; 去聲十五翰</x:v>
      </x:c>
      <x:c r="G4393" s="6" t="str">
        <x:v>Pingshui main list, Wikisource-derived DOCX</x:v>
      </x:c>
      <x:c r="H4393" s="6" t="str">
        <x:v>1</x:v>
      </x:c>
      <x:c r="I4393" s="6" t="str"/>
      <x:c r="J4393" s="6" t="str">
        <x:f>IF(B4393="","",IF(AND(ISNUMBER(SEARCH("平",B4393)),OR(ISNUMBER(SEARCH("上",B4393)),ISNUMBER(SEARCH("去",B4393)),ISNUMBER(SEARCH("入",B4393)))),"Ambiguous",IF(ISNUMBER(SEARCH("平",B4393)),"平","仄")))</x:f>
        <x:v>平</x:v>
      </x:c>
      <x:c r="K4393" s="6" t="str">
        <x:f>IF(D4393="","",IF(AND(ISNUMBER(SEARCH("平",D4393)),OR(ISNUMBER(SEARCH("上",D4393)),ISNUMBER(SEARCH("去",D4393)),ISNUMBER(SEARCH("入",D4393)))),"Ambiguous",IF(ISNUMBER(SEARCH("平",D4393)),"平","仄")))</x:f>
        <x:v>平</x:v>
      </x:c>
      <x:c r="L4393" s="7" t="str"/>
    </x:row>
    <x:row r="4394">
      <x:c r="A4394" s="5" t="str">
        <x:v>鑾</x:v>
      </x:c>
      <x:c r="B4394" s="6" t="str">
        <x:v>平</x:v>
      </x:c>
      <x:c r="C4394" s="6" t="str">
        <x:f>IF(B4394="","Needs decision","Ready")</x:f>
        <x:v>Ready</x:v>
      </x:c>
      <x:c r="D4394" s="6" t="str">
        <x:v>平</x:v>
      </x:c>
      <x:c r="E4394" s="6" t="str">
        <x:v>lwan (A)</x:v>
      </x:c>
      <x:c r="F4394" s="6" t="str">
        <x:v>上平聲十四寒</x:v>
      </x:c>
      <x:c r="G4394" s="6" t="str">
        <x:v>Pingshui main list, Wikisource-derived DOCX</x:v>
      </x:c>
      <x:c r="H4394" s="6" t="str">
        <x:v>1</x:v>
      </x:c>
      <x:c r="I4394" s="6" t="str"/>
      <x:c r="J4394" s="6" t="str">
        <x:f>IF(B4394="","",IF(AND(ISNUMBER(SEARCH("平",B4394)),OR(ISNUMBER(SEARCH("上",B4394)),ISNUMBER(SEARCH("去",B4394)),ISNUMBER(SEARCH("入",B4394)))),"Ambiguous",IF(ISNUMBER(SEARCH("平",B4394)),"平","仄")))</x:f>
        <x:v>平</x:v>
      </x:c>
      <x:c r="K4394" s="6" t="str">
        <x:f>IF(D4394="","",IF(AND(ISNUMBER(SEARCH("平",D4394)),OR(ISNUMBER(SEARCH("上",D4394)),ISNUMBER(SEARCH("去",D4394)),ISNUMBER(SEARCH("入",D4394)))),"Ambiguous",IF(ISNUMBER(SEARCH("平",D4394)),"平","仄")))</x:f>
        <x:v>平</x:v>
      </x:c>
      <x:c r="L4394" s="7" t="str"/>
    </x:row>
    <x:row r="4395">
      <x:c r="A4395" s="5" t="str">
        <x:v>鑿</x:v>
      </x:c>
      <x:c r="B4395" s="6" t="str">
        <x:v>入</x:v>
      </x:c>
      <x:c r="C4395" s="6" t="str">
        <x:f>IF(B4395="","Needs decision","Ready")</x:f>
        <x:v>Ready</x:v>
      </x:c>
      <x:c r="D4395" s="6" t="str">
        <x:v>入</x:v>
      </x:c>
      <x:c r="E4395" s="6" t="str">
        <x:v>dzak (D); dzowk (D)</x:v>
      </x:c>
      <x:c r="F4395" s="6" t="str">
        <x:v>去聲二十號; 入聲十藥</x:v>
      </x:c>
      <x:c r="G4395" s="6" t="str">
        <x:v>Pingshui main list, Wikisource-derived DOCX</x:v>
      </x:c>
      <x:c r="H4395" s="6" t="str">
        <x:v>2</x:v>
      </x:c>
      <x:c r="I4395" s="6" t="str"/>
      <x:c r="J4395" s="6" t="str">
        <x:f>IF(B4395="","",IF(AND(ISNUMBER(SEARCH("平",B4395)),OR(ISNUMBER(SEARCH("上",B4395)),ISNUMBER(SEARCH("去",B4395)),ISNUMBER(SEARCH("入",B4395)))),"Ambiguous",IF(ISNUMBER(SEARCH("平",B4395)),"平","仄")))</x:f>
        <x:v>仄</x:v>
      </x:c>
      <x:c r="K4395" s="6" t="str">
        <x:f>IF(D4395="","",IF(AND(ISNUMBER(SEARCH("平",D4395)),OR(ISNUMBER(SEARCH("上",D4395)),ISNUMBER(SEARCH("去",D4395)),ISNUMBER(SEARCH("入",D4395)))),"Ambiguous",IF(ISNUMBER(SEARCH("平",D4395)),"平","仄")))</x:f>
        <x:v>仄</x:v>
      </x:c>
      <x:c r="L4395" s="7" t="str"/>
    </x:row>
    <x:row r="4396">
      <x:c r="A4396" s="5" t="str">
        <x:v>長</x:v>
      </x:c>
      <x:c r="B4396" s="6" t="str"/>
      <x:c r="C4396" s="6" t="str">
        <x:f>IF(B4396="","Needs decision","Ready")</x:f>
        <x:v>Needs decision</x:v>
      </x:c>
      <x:c r="D4396" s="6" t="str">
        <x:v>平/上</x:v>
      </x:c>
      <x:c r="E4396" s="6" t="str">
        <x:v>drjang (A); trjangX (B)</x:v>
      </x:c>
      <x:c r="F4396" s="6" t="str">
        <x:v>下平聲七陽; 上聲二十二養; 去聲二十三漾</x:v>
      </x:c>
      <x:c r="G4396" s="6" t="str">
        <x:v>Pingshui main list, Wikisource-derived DOCX</x:v>
      </x:c>
      <x:c r="H4396" s="6" t="str">
        <x:v>2</x:v>
      </x:c>
      <x:c r="I4396" s="6" t="str"/>
      <x:c r="J4396" s="6" t="str">
        <x:f>IF(B4396="","",IF(AND(ISNUMBER(SEARCH("平",B4396)),OR(ISNUMBER(SEARCH("上",B4396)),ISNUMBER(SEARCH("去",B4396)),ISNUMBER(SEARCH("入",B4396)))),"Ambiguous",IF(ISNUMBER(SEARCH("平",B4396)),"平","仄")))</x:f>
      </x:c>
      <x:c r="K4396" s="6" t="str">
        <x:f>IF(D4396="","",IF(AND(ISNUMBER(SEARCH("平",D4396)),OR(ISNUMBER(SEARCH("上",D4396)),ISNUMBER(SEARCH("去",D4396)),ISNUMBER(SEARCH("入",D4396)))),"Ambiguous",IF(ISNUMBER(SEARCH("平",D4396)),"平","仄")))</x:f>
        <x:v>Ambiguous</x:v>
      </x:c>
      <x:c r="L4396" s="7" t="str"/>
    </x:row>
    <x:row r="4397">
      <x:c r="A4397" s="5" t="str">
        <x:v>門</x:v>
      </x:c>
      <x:c r="B4397" s="6" t="str">
        <x:v>平</x:v>
      </x:c>
      <x:c r="C4397" s="6" t="str">
        <x:f>IF(B4397="","Needs decision","Ready")</x:f>
        <x:v>Ready</x:v>
      </x:c>
      <x:c r="D4397" s="6" t="str">
        <x:v>平</x:v>
      </x:c>
      <x:c r="E4397" s="6" t="str">
        <x:v>mwon (A)</x:v>
      </x:c>
      <x:c r="F4397" s="6" t="str">
        <x:v>上平聲十三元</x:v>
      </x:c>
      <x:c r="G4397" s="6" t="str">
        <x:v>Pingshui main list, Wikisource-derived DOCX</x:v>
      </x:c>
      <x:c r="H4397" s="6" t="str">
        <x:v>1</x:v>
      </x:c>
      <x:c r="I4397" s="6" t="str"/>
      <x:c r="J4397" s="6" t="str">
        <x:f>IF(B4397="","",IF(AND(ISNUMBER(SEARCH("平",B4397)),OR(ISNUMBER(SEARCH("上",B4397)),ISNUMBER(SEARCH("去",B4397)),ISNUMBER(SEARCH("入",B4397)))),"Ambiguous",IF(ISNUMBER(SEARCH("平",B4397)),"平","仄")))</x:f>
        <x:v>平</x:v>
      </x:c>
      <x:c r="K4397" s="6" t="str">
        <x:f>IF(D4397="","",IF(AND(ISNUMBER(SEARCH("平",D4397)),OR(ISNUMBER(SEARCH("上",D4397)),ISNUMBER(SEARCH("去",D4397)),ISNUMBER(SEARCH("入",D4397)))),"Ambiguous",IF(ISNUMBER(SEARCH("平",D4397)),"平","仄")))</x:f>
        <x:v>平</x:v>
      </x:c>
      <x:c r="L4397" s="7" t="str"/>
    </x:row>
    <x:row r="4398">
      <x:c r="A4398" s="5" t="str">
        <x:v>閉</x:v>
      </x:c>
      <x:c r="B4398" s="6" t="str">
        <x:v>去</x:v>
      </x:c>
      <x:c r="C4398" s="6" t="str">
        <x:f>IF(B4398="","Needs decision","Ready")</x:f>
        <x:v>Ready</x:v>
      </x:c>
      <x:c r="D4398" s="6" t="str">
        <x:v>去</x:v>
      </x:c>
      <x:c r="E4398" s="6" t="str">
        <x:v>pejH (C)</x:v>
      </x:c>
      <x:c r="F4398" s="6" t="str">
        <x:v>去聲八霽; 入聲九屑</x:v>
      </x:c>
      <x:c r="G4398" s="6" t="str">
        <x:v>Pingshui main list, Wikisource-derived DOCX</x:v>
      </x:c>
      <x:c r="H4398" s="6" t="str">
        <x:v>1</x:v>
      </x:c>
      <x:c r="I4398" s="6" t="str"/>
      <x:c r="J4398" s="6" t="str">
        <x:f>IF(B4398="","",IF(AND(ISNUMBER(SEARCH("平",B4398)),OR(ISNUMBER(SEARCH("上",B4398)),ISNUMBER(SEARCH("去",B4398)),ISNUMBER(SEARCH("入",B4398)))),"Ambiguous",IF(ISNUMBER(SEARCH("平",B4398)),"平","仄")))</x:f>
        <x:v>仄</x:v>
      </x:c>
      <x:c r="K4398" s="6" t="str">
        <x:f>IF(D4398="","",IF(AND(ISNUMBER(SEARCH("平",D4398)),OR(ISNUMBER(SEARCH("上",D4398)),ISNUMBER(SEARCH("去",D4398)),ISNUMBER(SEARCH("入",D4398)))),"Ambiguous",IF(ISNUMBER(SEARCH("平",D4398)),"平","仄")))</x:f>
        <x:v>仄</x:v>
      </x:c>
      <x:c r="L4398" s="7" t="str"/>
    </x:row>
    <x:row r="4399">
      <x:c r="A4399" s="5" t="str">
        <x:v>開</x:v>
      </x:c>
      <x:c r="B4399" s="6" t="str">
        <x:v>平</x:v>
      </x:c>
      <x:c r="C4399" s="6" t="str">
        <x:f>IF(B4399="","Needs decision","Ready")</x:f>
        <x:v>Ready</x:v>
      </x:c>
      <x:c r="D4399" s="6" t="str">
        <x:v>平</x:v>
      </x:c>
      <x:c r="E4399" s="6" t="str">
        <x:v>khoj (A)</x:v>
      </x:c>
      <x:c r="F4399" s="6" t="str">
        <x:v>上平聲十灰</x:v>
      </x:c>
      <x:c r="G4399" s="6" t="str">
        <x:v>Pingshui main list, Wikisource-derived DOCX</x:v>
      </x:c>
      <x:c r="H4399" s="6" t="str">
        <x:v>1</x:v>
      </x:c>
      <x:c r="I4399" s="6" t="str"/>
      <x:c r="J4399" s="6" t="str">
        <x:f>IF(B4399="","",IF(AND(ISNUMBER(SEARCH("平",B4399)),OR(ISNUMBER(SEARCH("上",B4399)),ISNUMBER(SEARCH("去",B4399)),ISNUMBER(SEARCH("入",B4399)))),"Ambiguous",IF(ISNUMBER(SEARCH("平",B4399)),"平","仄")))</x:f>
        <x:v>平</x:v>
      </x:c>
      <x:c r="K4399" s="6" t="str">
        <x:f>IF(D4399="","",IF(AND(ISNUMBER(SEARCH("平",D4399)),OR(ISNUMBER(SEARCH("上",D4399)),ISNUMBER(SEARCH("去",D4399)),ISNUMBER(SEARCH("入",D4399)))),"Ambiguous",IF(ISNUMBER(SEARCH("平",D4399)),"平","仄")))</x:f>
        <x:v>平</x:v>
      </x:c>
      <x:c r="L4399" s="7" t="str"/>
    </x:row>
    <x:row r="4400">
      <x:c r="A4400" s="5" t="str">
        <x:v>閏</x:v>
      </x:c>
      <x:c r="B4400" s="6" t="str">
        <x:v>去</x:v>
      </x:c>
      <x:c r="C4400" s="6" t="str">
        <x:f>IF(B4400="","Needs decision","Ready")</x:f>
        <x:v>Ready</x:v>
      </x:c>
      <x:c r="D4400" s="6" t="str">
        <x:v>去</x:v>
      </x:c>
      <x:c r="E4400" s="6" t="str">
        <x:v>nywinH (C)</x:v>
      </x:c>
      <x:c r="F4400" s="6" t="str">
        <x:v>去聲十二震</x:v>
      </x:c>
      <x:c r="G4400" s="6" t="str">
        <x:v>Pingshui main list, Wikisource-derived DOCX</x:v>
      </x:c>
      <x:c r="H4400" s="6" t="str">
        <x:v>1</x:v>
      </x:c>
      <x:c r="I4400" s="6" t="str"/>
      <x:c r="J4400" s="6" t="str">
        <x:f>IF(B4400="","",IF(AND(ISNUMBER(SEARCH("平",B4400)),OR(ISNUMBER(SEARCH("上",B4400)),ISNUMBER(SEARCH("去",B4400)),ISNUMBER(SEARCH("入",B4400)))),"Ambiguous",IF(ISNUMBER(SEARCH("平",B4400)),"平","仄")))</x:f>
        <x:v>仄</x:v>
      </x:c>
      <x:c r="K4400" s="6" t="str">
        <x:f>IF(D4400="","",IF(AND(ISNUMBER(SEARCH("平",D4400)),OR(ISNUMBER(SEARCH("上",D4400)),ISNUMBER(SEARCH("去",D4400)),ISNUMBER(SEARCH("入",D4400)))),"Ambiguous",IF(ISNUMBER(SEARCH("平",D4400)),"平","仄")))</x:f>
        <x:v>仄</x:v>
      </x:c>
      <x:c r="L4400" s="7" t="str"/>
    </x:row>
    <x:row r="4401">
      <x:c r="A4401" s="5" t="str">
        <x:v>閑</x:v>
      </x:c>
      <x:c r="B4401" s="6" t="str">
        <x:v>平</x:v>
      </x:c>
      <x:c r="C4401" s="6" t="str">
        <x:f>IF(B4401="","Needs decision","Ready")</x:f>
        <x:v>Ready</x:v>
      </x:c>
      <x:c r="D4401" s="6" t="str">
        <x:v>平</x:v>
      </x:c>
      <x:c r="E4401" s="6" t="str">
        <x:v>hean (A)</x:v>
      </x:c>
      <x:c r="F4401" s="6" t="str">
        <x:v>上平聲十五刪</x:v>
      </x:c>
      <x:c r="G4401" s="6" t="str">
        <x:v>Pingshui main list, Wikisource-derived DOCX</x:v>
      </x:c>
      <x:c r="H4401" s="6" t="str">
        <x:v>1</x:v>
      </x:c>
      <x:c r="I4401" s="6" t="str"/>
      <x:c r="J4401" s="6" t="str">
        <x:f>IF(B4401="","",IF(AND(ISNUMBER(SEARCH("平",B4401)),OR(ISNUMBER(SEARCH("上",B4401)),ISNUMBER(SEARCH("去",B4401)),ISNUMBER(SEARCH("入",B4401)))),"Ambiguous",IF(ISNUMBER(SEARCH("平",B4401)),"平","仄")))</x:f>
        <x:v>平</x:v>
      </x:c>
      <x:c r="K4401" s="6" t="str">
        <x:f>IF(D4401="","",IF(AND(ISNUMBER(SEARCH("平",D4401)),OR(ISNUMBER(SEARCH("上",D4401)),ISNUMBER(SEARCH("去",D4401)),ISNUMBER(SEARCH("入",D4401)))),"Ambiguous",IF(ISNUMBER(SEARCH("平",D4401)),"平","仄")))</x:f>
        <x:v>平</x:v>
      </x:c>
      <x:c r="L4401" s="7" t="str"/>
    </x:row>
    <x:row r="4402">
      <x:c r="A4402" s="5" t="str">
        <x:v>閒</x:v>
      </x:c>
      <x:c r="B4402" s="6" t="str">
        <x:v>平</x:v>
      </x:c>
      <x:c r="C4402" s="6" t="str">
        <x:f>IF(B4402="","Needs decision","Ready")</x:f>
        <x:v>Ready</x:v>
      </x:c>
      <x:c r="D4402" s="6" t="str">
        <x:v>平/去</x:v>
      </x:c>
      <x:c r="E4402" s="6" t="str">
        <x:v>kean [qeˤn] (平); keanH [qeˤnh] (去)</x:v>
      </x:c>
      <x:c r="F4402" s="6" t="str">
        <x:v>上平聲十五刪</x:v>
      </x:c>
      <x:c r="G4402" s="6" t="str">
        <x:v>Pingshui main list, Wikisource-derived DOCX</x:v>
      </x:c>
      <x:c r="H4402" s="6" t="str">
        <x:v>2</x:v>
      </x:c>
      <x:c r="I4402" s="6" t="str">
        <x:v>Tang 300 gap; frequency 18; ambiguous in Xun Gong; User workbook edit 2026-09-03</x:v>
      </x:c>
      <x:c r="J4402" s="6" t="str">
        <x:f>IF(B4402="","",IF(AND(ISNUMBER(SEARCH("平",B4402)),OR(ISNUMBER(SEARCH("上",B4402)),ISNUMBER(SEARCH("去",B4402)),ISNUMBER(SEARCH("入",B4402)))),"Ambiguous",IF(ISNUMBER(SEARCH("平",B4402)),"平","仄")))</x:f>
        <x:v>平</x:v>
      </x:c>
      <x:c r="K4402" s="6" t="str">
        <x:f>IF(D4402="","",IF(AND(ISNUMBER(SEARCH("平",D4402)),OR(ISNUMBER(SEARCH("上",D4402)),ISNUMBER(SEARCH("去",D4402)),ISNUMBER(SEARCH("入",D4402)))),"Ambiguous",IF(ISNUMBER(SEARCH("平",D4402)),"平","仄")))</x:f>
        <x:v>Ambiguous</x:v>
      </x:c>
      <x:c r="L4402" s="7" t="str">
        <x:v>manual user correction</x:v>
      </x:c>
    </x:row>
    <x:row r="4403">
      <x:c r="A4403" s="5" t="str">
        <x:v>間</x:v>
      </x:c>
      <x:c r="B4403" s="6" t="str">
        <x:v>平</x:v>
      </x:c>
      <x:c r="C4403" s="6" t="str">
        <x:f>IF(B4403="","Needs decision","Ready")</x:f>
        <x:v>Ready</x:v>
      </x:c>
      <x:c r="D4403" s="6" t="str">
        <x:v>平</x:v>
      </x:c>
      <x:c r="E4403" s="6" t="str">
        <x:v>kean (A); hean (A)</x:v>
      </x:c>
      <x:c r="F4403" s="6" t="str">
        <x:v>上平聲十五刪; 去聲十六諫</x:v>
      </x:c>
      <x:c r="G4403" s="6" t="str">
        <x:v>Pingshui main list, Wikisource-derived DOCX</x:v>
      </x:c>
      <x:c r="H4403" s="6" t="str">
        <x:v>2</x:v>
      </x:c>
      <x:c r="I4403" s="6" t="str"/>
      <x:c r="J4403" s="6" t="str">
        <x:f>IF(B4403="","",IF(AND(ISNUMBER(SEARCH("平",B4403)),OR(ISNUMBER(SEARCH("上",B4403)),ISNUMBER(SEARCH("去",B4403)),ISNUMBER(SEARCH("入",B4403)))),"Ambiguous",IF(ISNUMBER(SEARCH("平",B4403)),"平","仄")))</x:f>
        <x:v>平</x:v>
      </x:c>
      <x:c r="K4403" s="6" t="str">
        <x:f>IF(D4403="","",IF(AND(ISNUMBER(SEARCH("平",D4403)),OR(ISNUMBER(SEARCH("上",D4403)),ISNUMBER(SEARCH("去",D4403)),ISNUMBER(SEARCH("入",D4403)))),"Ambiguous",IF(ISNUMBER(SEARCH("平",D4403)),"平","仄")))</x:f>
        <x:v>平</x:v>
      </x:c>
      <x:c r="L4403" s="7" t="str"/>
    </x:row>
    <x:row r="4404">
      <x:c r="A4404" s="5" t="str">
        <x:v>閔</x:v>
      </x:c>
      <x:c r="B4404" s="6" t="str">
        <x:v>上</x:v>
      </x:c>
      <x:c r="C4404" s="6" t="str">
        <x:f>IF(B4404="","Needs decision","Ready")</x:f>
        <x:v>Ready</x:v>
      </x:c>
      <x:c r="D4404" s="6" t="str">
        <x:v>上</x:v>
      </x:c>
      <x:c r="E4404" s="6" t="str">
        <x:v>minX (B)</x:v>
      </x:c>
      <x:c r="F4404" s="6" t="str">
        <x:v>上聲十一軫</x:v>
      </x:c>
      <x:c r="G4404" s="6" t="str">
        <x:v>Pingshui main list, Wikisource-derived DOCX</x:v>
      </x:c>
      <x:c r="H4404" s="6" t="str">
        <x:v>1</x:v>
      </x:c>
      <x:c r="I4404" s="6" t="str"/>
      <x:c r="J4404" s="6" t="str">
        <x:f>IF(B4404="","",IF(AND(ISNUMBER(SEARCH("平",B4404)),OR(ISNUMBER(SEARCH("上",B4404)),ISNUMBER(SEARCH("去",B4404)),ISNUMBER(SEARCH("入",B4404)))),"Ambiguous",IF(ISNUMBER(SEARCH("平",B4404)),"平","仄")))</x:f>
        <x:v>仄</x:v>
      </x:c>
      <x:c r="K4404" s="6" t="str">
        <x:f>IF(D4404="","",IF(AND(ISNUMBER(SEARCH("平",D4404)),OR(ISNUMBER(SEARCH("上",D4404)),ISNUMBER(SEARCH("去",D4404)),ISNUMBER(SEARCH("入",D4404)))),"Ambiguous",IF(ISNUMBER(SEARCH("平",D4404)),"平","仄")))</x:f>
        <x:v>仄</x:v>
      </x:c>
      <x:c r="L4404" s="7" t="str"/>
    </x:row>
    <x:row r="4405">
      <x:c r="A4405" s="5" t="str">
        <x:v>閟</x:v>
      </x:c>
      <x:c r="B4405" s="6" t="str">
        <x:v>去</x:v>
      </x:c>
      <x:c r="C4405" s="6" t="str">
        <x:f>IF(B4405="","Needs decision","Ready")</x:f>
        <x:v>Ready</x:v>
      </x:c>
      <x:c r="D4405" s="6" t="str">
        <x:v>去</x:v>
      </x:c>
      <x:c r="E4405" s="6" t="str">
        <x:v>pijH (C)</x:v>
      </x:c>
      <x:c r="F4405" s="6" t="str">
        <x:v>去聲四寘</x:v>
      </x:c>
      <x:c r="G4405" s="6" t="str">
        <x:v>Pingshui main list, Wikisource-derived DOCX</x:v>
      </x:c>
      <x:c r="H4405" s="6" t="str">
        <x:v>1</x:v>
      </x:c>
      <x:c r="I4405" s="6" t="str"/>
      <x:c r="J4405" s="6" t="str">
        <x:f>IF(B4405="","",IF(AND(ISNUMBER(SEARCH("平",B4405)),OR(ISNUMBER(SEARCH("上",B4405)),ISNUMBER(SEARCH("去",B4405)),ISNUMBER(SEARCH("入",B4405)))),"Ambiguous",IF(ISNUMBER(SEARCH("平",B4405)),"平","仄")))</x:f>
        <x:v>仄</x:v>
      </x:c>
      <x:c r="K4405" s="6" t="str">
        <x:f>IF(D4405="","",IF(AND(ISNUMBER(SEARCH("平",D4405)),OR(ISNUMBER(SEARCH("上",D4405)),ISNUMBER(SEARCH("去",D4405)),ISNUMBER(SEARCH("入",D4405)))),"Ambiguous",IF(ISNUMBER(SEARCH("平",D4405)),"平","仄")))</x:f>
        <x:v>仄</x:v>
      </x:c>
      <x:c r="L4405" s="7" t="str"/>
    </x:row>
    <x:row r="4406">
      <x:c r="A4406" s="5" t="str">
        <x:v>閣</x:v>
      </x:c>
      <x:c r="B4406" s="6" t="str">
        <x:v>入</x:v>
      </x:c>
      <x:c r="C4406" s="6" t="str">
        <x:f>IF(B4406="","Needs decision","Ready")</x:f>
        <x:v>Ready</x:v>
      </x:c>
      <x:c r="D4406" s="6" t="str">
        <x:v>入</x:v>
      </x:c>
      <x:c r="E4406" s="6" t="str">
        <x:v>kak (D)</x:v>
      </x:c>
      <x:c r="F4406" s="6" t="str">
        <x:v>入聲十藥</x:v>
      </x:c>
      <x:c r="G4406" s="6" t="str">
        <x:v>Pingshui main list, Wikisource-derived DOCX</x:v>
      </x:c>
      <x:c r="H4406" s="6" t="str">
        <x:v>1</x:v>
      </x:c>
      <x:c r="I4406" s="6" t="str"/>
      <x:c r="J4406" s="6" t="str">
        <x:f>IF(B4406="","",IF(AND(ISNUMBER(SEARCH("平",B4406)),OR(ISNUMBER(SEARCH("上",B4406)),ISNUMBER(SEARCH("去",B4406)),ISNUMBER(SEARCH("入",B4406)))),"Ambiguous",IF(ISNUMBER(SEARCH("平",B4406)),"平","仄")))</x:f>
        <x:v>仄</x:v>
      </x:c>
      <x:c r="K4406" s="6" t="str">
        <x:f>IF(D4406="","",IF(AND(ISNUMBER(SEARCH("平",D4406)),OR(ISNUMBER(SEARCH("上",D4406)),ISNUMBER(SEARCH("去",D4406)),ISNUMBER(SEARCH("入",D4406)))),"Ambiguous",IF(ISNUMBER(SEARCH("平",D4406)),"平","仄")))</x:f>
        <x:v>仄</x:v>
      </x:c>
      <x:c r="L4406" s="7" t="str"/>
    </x:row>
    <x:row r="4407">
      <x:c r="A4407" s="5" t="str">
        <x:v>閤</x:v>
      </x:c>
      <x:c r="B4407" s="6" t="str">
        <x:v>入</x:v>
      </x:c>
      <x:c r="C4407" s="6" t="str">
        <x:f>IF(B4407="","Needs decision","Ready")</x:f>
        <x:v>Ready</x:v>
      </x:c>
      <x:c r="D4407" s="6" t="str">
        <x:v>入</x:v>
      </x:c>
      <x:c r="E4407" s="6" t="str">
        <x:v>kop (D)</x:v>
      </x:c>
      <x:c r="F4407" s="6" t="str">
        <x:v>入聲十五合</x:v>
      </x:c>
      <x:c r="G4407" s="6" t="str">
        <x:v>Pingshui main list, Wikisource-derived DOCX</x:v>
      </x:c>
      <x:c r="H4407" s="6" t="str">
        <x:v>1</x:v>
      </x:c>
      <x:c r="I4407" s="6" t="str"/>
      <x:c r="J4407" s="6" t="str">
        <x:f>IF(B4407="","",IF(AND(ISNUMBER(SEARCH("平",B4407)),OR(ISNUMBER(SEARCH("上",B4407)),ISNUMBER(SEARCH("去",B4407)),ISNUMBER(SEARCH("入",B4407)))),"Ambiguous",IF(ISNUMBER(SEARCH("平",B4407)),"平","仄")))</x:f>
        <x:v>仄</x:v>
      </x:c>
      <x:c r="K4407" s="6" t="str">
        <x:f>IF(D4407="","",IF(AND(ISNUMBER(SEARCH("平",D4407)),OR(ISNUMBER(SEARCH("上",D4407)),ISNUMBER(SEARCH("去",D4407)),ISNUMBER(SEARCH("入",D4407)))),"Ambiguous",IF(ISNUMBER(SEARCH("平",D4407)),"平","仄")))</x:f>
        <x:v>仄</x:v>
      </x:c>
      <x:c r="L4407" s="7" t="str"/>
    </x:row>
    <x:row r="4408">
      <x:c r="A4408" s="5" t="str">
        <x:v>閨</x:v>
      </x:c>
      <x:c r="B4408" s="6" t="str">
        <x:v>平</x:v>
      </x:c>
      <x:c r="C4408" s="6" t="str">
        <x:f>IF(B4408="","Needs decision","Ready")</x:f>
        <x:v>Ready</x:v>
      </x:c>
      <x:c r="D4408" s="6" t="str">
        <x:v>平</x:v>
      </x:c>
      <x:c r="E4408" s="6" t="str"/>
      <x:c r="F4408" s="6" t="str"/>
      <x:c r="G4408" s="6" t="str"/>
      <x:c r="H4408" s="6" t="str"/>
      <x:c r="I4408" s="6" t="str">
        <x:v>Manual user correction/addition</x:v>
      </x:c>
      <x:c r="J4408" s="6" t="str">
        <x:f>IF(B4408="","",IF(AND(ISNUMBER(SEARCH("平",B4408)),OR(ISNUMBER(SEARCH("上",B4408)),ISNUMBER(SEARCH("去",B4408)),ISNUMBER(SEARCH("入",B4408)))),"Ambiguous",IF(ISNUMBER(SEARCH("平",B4408)),"平","仄")))</x:f>
        <x:v>平</x:v>
      </x:c>
      <x:c r="K4408" s="6" t="str">
        <x:f>IF(D4408="","",IF(AND(ISNUMBER(SEARCH("平",D4408)),OR(ISNUMBER(SEARCH("上",D4408)),ISNUMBER(SEARCH("去",D4408)),ISNUMBER(SEARCH("入",D4408)))),"Ambiguous",IF(ISNUMBER(SEARCH("平",D4408)),"平","仄")))</x:f>
        <x:v>平</x:v>
      </x:c>
      <x:c r="L4408" s="7" t="str">
        <x:v>manual user correction</x:v>
      </x:c>
    </x:row>
    <x:row r="4409">
      <x:c r="A4409" s="5" t="str">
        <x:v>閩</x:v>
      </x:c>
      <x:c r="B4409" s="6" t="str">
        <x:v>平</x:v>
      </x:c>
      <x:c r="C4409" s="6" t="str">
        <x:f>IF(B4409="","Needs decision","Ready")</x:f>
        <x:v>Ready</x:v>
      </x:c>
      <x:c r="D4409" s="6" t="str">
        <x:v>平</x:v>
      </x:c>
      <x:c r="E4409" s="6" t="str">
        <x:v>min (A)</x:v>
      </x:c>
      <x:c r="F4409" s="6" t="str">
        <x:v>上平聲十一真</x:v>
      </x:c>
      <x:c r="G4409" s="6" t="str">
        <x:v>Pingshui main list, Wikisource-derived DOCX</x:v>
      </x:c>
      <x:c r="H4409" s="6" t="str">
        <x:v>1</x:v>
      </x:c>
      <x:c r="I4409" s="6" t="str"/>
      <x:c r="J4409" s="6" t="str">
        <x:f>IF(B4409="","",IF(AND(ISNUMBER(SEARCH("平",B4409)),OR(ISNUMBER(SEARCH("上",B4409)),ISNUMBER(SEARCH("去",B4409)),ISNUMBER(SEARCH("入",B4409)))),"Ambiguous",IF(ISNUMBER(SEARCH("平",B4409)),"平","仄")))</x:f>
        <x:v>平</x:v>
      </x:c>
      <x:c r="K4409" s="6" t="str">
        <x:f>IF(D4409="","",IF(AND(ISNUMBER(SEARCH("平",D4409)),OR(ISNUMBER(SEARCH("上",D4409)),ISNUMBER(SEARCH("去",D4409)),ISNUMBER(SEARCH("入",D4409)))),"Ambiguous",IF(ISNUMBER(SEARCH("平",D4409)),"平","仄")))</x:f>
        <x:v>平</x:v>
      </x:c>
      <x:c r="L4409" s="7" t="str"/>
    </x:row>
    <x:row r="4410">
      <x:c r="A4410" s="5" t="str">
        <x:v>閭</x:v>
      </x:c>
      <x:c r="B4410" s="6" t="str">
        <x:v>平</x:v>
      </x:c>
      <x:c r="C4410" s="6" t="str">
        <x:f>IF(B4410="","Needs decision","Ready")</x:f>
        <x:v>Ready</x:v>
      </x:c>
      <x:c r="D4410" s="6" t="str">
        <x:v>平</x:v>
      </x:c>
      <x:c r="E4410" s="6" t="str"/>
      <x:c r="F4410" s="6" t="str">
        <x:v>上平聲六魚</x:v>
      </x:c>
      <x:c r="G4410" s="6" t="str">
        <x:v>Pingshui main list, Wikisource-derived DOCX</x:v>
      </x:c>
      <x:c r="H4410" s="6" t="str"/>
      <x:c r="I4410" s="6" t="str">
        <x:v>Manual user correction/addition</x:v>
      </x:c>
      <x:c r="J4410" s="6" t="str">
        <x:f>IF(B4410="","",IF(AND(ISNUMBER(SEARCH("平",B4410)),OR(ISNUMBER(SEARCH("上",B4410)),ISNUMBER(SEARCH("去",B4410)),ISNUMBER(SEARCH("入",B4410)))),"Ambiguous",IF(ISNUMBER(SEARCH("平",B4410)),"平","仄")))</x:f>
        <x:v>平</x:v>
      </x:c>
      <x:c r="K4410" s="6" t="str">
        <x:f>IF(D4410="","",IF(AND(ISNUMBER(SEARCH("平",D4410)),OR(ISNUMBER(SEARCH("上",D4410)),ISNUMBER(SEARCH("去",D4410)),ISNUMBER(SEARCH("入",D4410)))),"Ambiguous",IF(ISNUMBER(SEARCH("平",D4410)),"平","仄")))</x:f>
        <x:v>平</x:v>
      </x:c>
      <x:c r="L4410" s="7" t="str">
        <x:v>manual user correction</x:v>
      </x:c>
    </x:row>
    <x:row r="4411">
      <x:c r="A4411" s="5" t="str">
        <x:v>閱</x:v>
      </x:c>
      <x:c r="B4411" s="6" t="str">
        <x:v>入</x:v>
      </x:c>
      <x:c r="C4411" s="6" t="str">
        <x:f>IF(B4411="","Needs decision","Ready")</x:f>
        <x:v>Ready</x:v>
      </x:c>
      <x:c r="D4411" s="6" t="str">
        <x:v>入</x:v>
      </x:c>
      <x:c r="E4411" s="6" t="str"/>
      <x:c r="F4411" s="6" t="str">
        <x:v>入聲九屑</x:v>
      </x:c>
      <x:c r="G4411" s="6" t="str">
        <x:v>Pingshui main list, Wikisource-derived DOCX</x:v>
      </x:c>
      <x:c r="H4411" s="6" t="str"/>
      <x:c r="I4411" s="6" t="str">
        <x:v>Manual user correction/addition</x:v>
      </x:c>
      <x:c r="J4411" s="6" t="str">
        <x:f>IF(B4411="","",IF(AND(ISNUMBER(SEARCH("平",B4411)),OR(ISNUMBER(SEARCH("上",B4411)),ISNUMBER(SEARCH("去",B4411)),ISNUMBER(SEARCH("入",B4411)))),"Ambiguous",IF(ISNUMBER(SEARCH("平",B4411)),"平","仄")))</x:f>
        <x:v>仄</x:v>
      </x:c>
      <x:c r="K4411" s="6" t="str">
        <x:f>IF(D4411="","",IF(AND(ISNUMBER(SEARCH("平",D4411)),OR(ISNUMBER(SEARCH("上",D4411)),ISNUMBER(SEARCH("去",D4411)),ISNUMBER(SEARCH("入",D4411)))),"Ambiguous",IF(ISNUMBER(SEARCH("平",D4411)),"平","仄")))</x:f>
        <x:v>仄</x:v>
      </x:c>
      <x:c r="L4411" s="7" t="str">
        <x:v>manual user correction</x:v>
      </x:c>
    </x:row>
    <x:row r="4412">
      <x:c r="A4412" s="5" t="str">
        <x:v>閲</x:v>
      </x:c>
      <x:c r="B4412" s="6" t="str">
        <x:v>入</x:v>
      </x:c>
      <x:c r="C4412" s="6" t="str">
        <x:f>IF(B4412="","Needs decision","Ready")</x:f>
        <x:v>Ready</x:v>
      </x:c>
      <x:c r="D4412" s="6" t="str">
        <x:v>入</x:v>
      </x:c>
      <x:c r="E4412" s="6" t="str">
        <x:v>ywet (D)</x:v>
      </x:c>
      <x:c r="F4412" s="6" t="str"/>
      <x:c r="G4412" s="6" t="str"/>
      <x:c r="H4412" s="6" t="str">
        <x:v>1</x:v>
      </x:c>
      <x:c r="I4412" s="6" t="str"/>
      <x:c r="J4412" s="6" t="str">
        <x:f>IF(B4412="","",IF(AND(ISNUMBER(SEARCH("平",B4412)),OR(ISNUMBER(SEARCH("上",B4412)),ISNUMBER(SEARCH("去",B4412)),ISNUMBER(SEARCH("入",B4412)))),"Ambiguous",IF(ISNUMBER(SEARCH("平",B4412)),"平","仄")))</x:f>
        <x:v>仄</x:v>
      </x:c>
      <x:c r="K4412" s="6" t="str">
        <x:f>IF(D4412="","",IF(AND(ISNUMBER(SEARCH("平",D4412)),OR(ISNUMBER(SEARCH("上",D4412)),ISNUMBER(SEARCH("去",D4412)),ISNUMBER(SEARCH("入",D4412)))),"Ambiguous",IF(ISNUMBER(SEARCH("平",D4412)),"平","仄")))</x:f>
        <x:v>仄</x:v>
      </x:c>
      <x:c r="L4412" s="7" t="str"/>
    </x:row>
    <x:row r="4413">
      <x:c r="A4413" s="5" t="str">
        <x:v>閶</x:v>
      </x:c>
      <x:c r="B4413" s="6" t="str">
        <x:v>平</x:v>
      </x:c>
      <x:c r="C4413" s="6" t="str">
        <x:f>IF(B4413="","Needs decision","Ready")</x:f>
        <x:v>Ready</x:v>
      </x:c>
      <x:c r="D4413" s="6" t="str">
        <x:v>平</x:v>
      </x:c>
      <x:c r="E4413" s="6" t="str">
        <x:v>tsyhang [tɕʰɑŋ] (平)</x:v>
      </x:c>
      <x:c r="F4413" s="6" t="str">
        <x:v>下平聲七陽</x:v>
      </x:c>
      <x:c r="G4413" s="6" t="str">
        <x:v>Pingshui main list, Wikisource-derived DOCX</x:v>
      </x:c>
      <x:c r="H4413" s="6" t="str">
        <x:v>1</x:v>
      </x:c>
      <x:c r="I4413" s="6" t="str">
        <x:v>Tang 300 gap; frequency 2; provisional from Xun Gong</x:v>
      </x:c>
      <x:c r="J4413" s="6" t="str">
        <x:f>IF(B4413="","",IF(AND(ISNUMBER(SEARCH("平",B4413)),OR(ISNUMBER(SEARCH("上",B4413)),ISNUMBER(SEARCH("去",B4413)),ISNUMBER(SEARCH("入",B4413)))),"Ambiguous",IF(ISNUMBER(SEARCH("平",B4413)),"平","仄")))</x:f>
        <x:v>平</x:v>
      </x:c>
      <x:c r="K4413" s="6" t="str">
        <x:f>IF(D4413="","",IF(AND(ISNUMBER(SEARCH("平",D4413)),OR(ISNUMBER(SEARCH("上",D4413)),ISNUMBER(SEARCH("去",D4413)),ISNUMBER(SEARCH("入",D4413)))),"Ambiguous",IF(ISNUMBER(SEARCH("平",D4413)),"平","仄")))</x:f>
        <x:v>平</x:v>
      </x:c>
      <x:c r="L4413" s="7" t="str">
        <x:v>Xun Gong, Tang 300 gap fill</x:v>
      </x:c>
    </x:row>
    <x:row r="4414">
      <x:c r="A4414" s="5" t="str">
        <x:v>閻</x:v>
      </x:c>
      <x:c r="B4414" s="6" t="str">
        <x:v>平</x:v>
      </x:c>
      <x:c r="C4414" s="6" t="str">
        <x:f>IF(B4414="","Needs decision","Ready")</x:f>
        <x:v>Ready</x:v>
      </x:c>
      <x:c r="D4414" s="6" t="str">
        <x:v>平</x:v>
      </x:c>
      <x:c r="E4414" s="6" t="str">
        <x:v>yem (A)</x:v>
      </x:c>
      <x:c r="F4414" s="6" t="str">
        <x:v>下平聲十四鹽</x:v>
      </x:c>
      <x:c r="G4414" s="6" t="str">
        <x:v>Pingshui main list, Wikisource-derived DOCX</x:v>
      </x:c>
      <x:c r="H4414" s="6" t="str">
        <x:v>1</x:v>
      </x:c>
      <x:c r="I4414" s="6" t="str"/>
      <x:c r="J4414" s="6" t="str">
        <x:f>IF(B4414="","",IF(AND(ISNUMBER(SEARCH("平",B4414)),OR(ISNUMBER(SEARCH("上",B4414)),ISNUMBER(SEARCH("去",B4414)),ISNUMBER(SEARCH("入",B4414)))),"Ambiguous",IF(ISNUMBER(SEARCH("平",B4414)),"平","仄")))</x:f>
        <x:v>平</x:v>
      </x:c>
      <x:c r="K4414" s="6" t="str">
        <x:f>IF(D4414="","",IF(AND(ISNUMBER(SEARCH("平",D4414)),OR(ISNUMBER(SEARCH("上",D4414)),ISNUMBER(SEARCH("去",D4414)),ISNUMBER(SEARCH("入",D4414)))),"Ambiguous",IF(ISNUMBER(SEARCH("平",D4414)),"平","仄")))</x:f>
        <x:v>平</x:v>
      </x:c>
      <x:c r="L4414" s="7" t="str"/>
    </x:row>
    <x:row r="4415">
      <x:c r="A4415" s="5" t="str">
        <x:v>閼</x:v>
      </x:c>
      <x:c r="B4415" s="6" t="str">
        <x:v>入</x:v>
      </x:c>
      <x:c r="C4415" s="6" t="str">
        <x:f>IF(B4415="","Needs decision","Ready")</x:f>
        <x:v>Ready</x:v>
      </x:c>
      <x:c r="D4415" s="6" t="str">
        <x:v>入</x:v>
      </x:c>
      <x:c r="E4415" s="6" t="str">
        <x:v>'at (D)</x:v>
      </x:c>
      <x:c r="F4415" s="6" t="str">
        <x:v>入聲六月; 入聲七曷</x:v>
      </x:c>
      <x:c r="G4415" s="6" t="str">
        <x:v>Pingshui main list, Wikisource-derived DOCX</x:v>
      </x:c>
      <x:c r="H4415" s="6" t="str">
        <x:v>1</x:v>
      </x:c>
      <x:c r="I4415" s="6" t="str"/>
      <x:c r="J4415" s="6" t="str">
        <x:f>IF(B4415="","",IF(AND(ISNUMBER(SEARCH("平",B4415)),OR(ISNUMBER(SEARCH("上",B4415)),ISNUMBER(SEARCH("去",B4415)),ISNUMBER(SEARCH("入",B4415)))),"Ambiguous",IF(ISNUMBER(SEARCH("平",B4415)),"平","仄")))</x:f>
        <x:v>仄</x:v>
      </x:c>
      <x:c r="K4415" s="6" t="str">
        <x:f>IF(D4415="","",IF(AND(ISNUMBER(SEARCH("平",D4415)),OR(ISNUMBER(SEARCH("上",D4415)),ISNUMBER(SEARCH("去",D4415)),ISNUMBER(SEARCH("入",D4415)))),"Ambiguous",IF(ISNUMBER(SEARCH("平",D4415)),"平","仄")))</x:f>
        <x:v>仄</x:v>
      </x:c>
      <x:c r="L4415" s="7" t="str"/>
    </x:row>
    <x:row r="4416">
      <x:c r="A4416" s="5" t="str">
        <x:v>闃</x:v>
      </x:c>
      <x:c r="B4416" s="6" t="str">
        <x:v>入</x:v>
      </x:c>
      <x:c r="C4416" s="6" t="str">
        <x:f>IF(B4416="","Needs decision","Ready")</x:f>
        <x:v>Ready</x:v>
      </x:c>
      <x:c r="D4416" s="6" t="str">
        <x:v>入</x:v>
      </x:c>
      <x:c r="E4416" s="6" t="str">
        <x:v>khwek (D)</x:v>
      </x:c>
      <x:c r="F4416" s="6" t="str"/>
      <x:c r="G4416" s="6" t="str"/>
      <x:c r="H4416" s="6" t="str">
        <x:v>1</x:v>
      </x:c>
      <x:c r="I4416" s="6" t="str"/>
      <x:c r="J4416" s="6" t="str">
        <x:f>IF(B4416="","",IF(AND(ISNUMBER(SEARCH("平",B4416)),OR(ISNUMBER(SEARCH("上",B4416)),ISNUMBER(SEARCH("去",B4416)),ISNUMBER(SEARCH("入",B4416)))),"Ambiguous",IF(ISNUMBER(SEARCH("平",B4416)),"平","仄")))</x:f>
        <x:v>仄</x:v>
      </x:c>
      <x:c r="K4416" s="6" t="str">
        <x:f>IF(D4416="","",IF(AND(ISNUMBER(SEARCH("平",D4416)),OR(ISNUMBER(SEARCH("上",D4416)),ISNUMBER(SEARCH("去",D4416)),ISNUMBER(SEARCH("入",D4416)))),"Ambiguous",IF(ISNUMBER(SEARCH("平",D4416)),"平","仄")))</x:f>
        <x:v>仄</x:v>
      </x:c>
      <x:c r="L4416" s="7" t="str"/>
    </x:row>
    <x:row r="4417">
      <x:c r="A4417" s="5" t="str">
        <x:v>闇</x:v>
      </x:c>
      <x:c r="B4417" s="6" t="str">
        <x:v>去</x:v>
      </x:c>
      <x:c r="C4417" s="6" t="str">
        <x:f>IF(B4417="","Needs decision","Ready")</x:f>
        <x:v>Ready</x:v>
      </x:c>
      <x:c r="D4417" s="6" t="str">
        <x:v>去</x:v>
      </x:c>
      <x:c r="E4417" s="6" t="str">
        <x:v>'omH [影開一覃去] ʔ̙əmh</x:v>
      </x:c>
      <x:c r="F4417" s="6" t="str">
        <x:v>下平聲十三覃; 上聲二十七感</x:v>
      </x:c>
      <x:c r="G4417" s="6" t="str">
        <x:v>Pingshui main list, Wikisource-derived DOCX</x:v>
      </x:c>
      <x:c r="H4417" s="6" t="str">
        <x:v>1</x:v>
      </x:c>
      <x:c r="I4417" s="6" t="str">
        <x:v>Targeted preliminary fill from Xun Gong; review if uncertain</x:v>
      </x:c>
      <x:c r="J4417" s="6" t="str">
        <x:f>IF(B4417="","",IF(AND(ISNUMBER(SEARCH("平",B4417)),OR(ISNUMBER(SEARCH("上",B4417)),ISNUMBER(SEARCH("去",B4417)),ISNUMBER(SEARCH("入",B4417)))),"Ambiguous",IF(ISNUMBER(SEARCH("平",B4417)),"平","仄")))</x:f>
        <x:v>仄</x:v>
      </x:c>
      <x:c r="K4417" s="6" t="str">
        <x:f>IF(D4417="","",IF(AND(ISNUMBER(SEARCH("平",D4417)),OR(ISNUMBER(SEARCH("上",D4417)),ISNUMBER(SEARCH("去",D4417)),ISNUMBER(SEARCH("入",D4417)))),"Ambiguous",IF(ISNUMBER(SEARCH("平",D4417)),"平","仄")))</x:f>
        <x:v>仄</x:v>
      </x:c>
      <x:c r="L4417" s="7" t="str">
        <x:v>Xun Gong character-readings.csv</x:v>
      </x:c>
    </x:row>
    <x:row r="4418">
      <x:c r="A4418" s="5" t="str">
        <x:v>闈</x:v>
      </x:c>
      <x:c r="B4418" s="6" t="str">
        <x:v>平</x:v>
      </x:c>
      <x:c r="C4418" s="6" t="str">
        <x:f>IF(B4418="","Needs decision","Ready")</x:f>
        <x:v>Ready</x:v>
      </x:c>
      <x:c r="D4418" s="6" t="str">
        <x:v>平</x:v>
      </x:c>
      <x:c r="E4418" s="6" t="str">
        <x:v>hjw+j [wɨj] (平)</x:v>
      </x:c>
      <x:c r="F4418" s="6" t="str">
        <x:v>上平聲五微</x:v>
      </x:c>
      <x:c r="G4418" s="6" t="str">
        <x:v>Pingshui main list, Wikisource-derived DOCX</x:v>
      </x:c>
      <x:c r="H4418" s="6" t="str">
        <x:v>1</x:v>
      </x:c>
      <x:c r="I4418" s="6" t="str">
        <x:v>Tang 300 gap; frequency 1; provisional from Xun Gong</x:v>
      </x:c>
      <x:c r="J4418" s="6" t="str">
        <x:f>IF(B4418="","",IF(AND(ISNUMBER(SEARCH("平",B4418)),OR(ISNUMBER(SEARCH("上",B4418)),ISNUMBER(SEARCH("去",B4418)),ISNUMBER(SEARCH("入",B4418)))),"Ambiguous",IF(ISNUMBER(SEARCH("平",B4418)),"平","仄")))</x:f>
        <x:v>平</x:v>
      </x:c>
      <x:c r="K4418" s="6" t="str">
        <x:f>IF(D4418="","",IF(AND(ISNUMBER(SEARCH("平",D4418)),OR(ISNUMBER(SEARCH("上",D4418)),ISNUMBER(SEARCH("去",D4418)),ISNUMBER(SEARCH("入",D4418)))),"Ambiguous",IF(ISNUMBER(SEARCH("平",D4418)),"平","仄")))</x:f>
        <x:v>平</x:v>
      </x:c>
      <x:c r="L4418" s="7" t="str">
        <x:v>Xun Gong, Tang 300 gap fill</x:v>
      </x:c>
    </x:row>
    <x:row r="4419">
      <x:c r="A4419" s="5" t="str">
        <x:v>闊</x:v>
      </x:c>
      <x:c r="B4419" s="6" t="str">
        <x:v>入</x:v>
      </x:c>
      <x:c r="C4419" s="6" t="str">
        <x:f>IF(B4419="","Needs decision","Ready")</x:f>
        <x:v>Ready</x:v>
      </x:c>
      <x:c r="D4419" s="6" t="str">
        <x:v>入</x:v>
      </x:c>
      <x:c r="E4419" s="6" t="str">
        <x:v>khwat (D)</x:v>
      </x:c>
      <x:c r="F4419" s="6" t="str">
        <x:v>入聲七曷</x:v>
      </x:c>
      <x:c r="G4419" s="6" t="str">
        <x:v>Pingshui main list, Wikisource-derived DOCX</x:v>
      </x:c>
      <x:c r="H4419" s="6" t="str">
        <x:v>1</x:v>
      </x:c>
      <x:c r="I4419" s="6" t="str"/>
      <x:c r="J4419" s="6" t="str">
        <x:f>IF(B4419="","",IF(AND(ISNUMBER(SEARCH("平",B4419)),OR(ISNUMBER(SEARCH("上",B4419)),ISNUMBER(SEARCH("去",B4419)),ISNUMBER(SEARCH("入",B4419)))),"Ambiguous",IF(ISNUMBER(SEARCH("平",B4419)),"平","仄")))</x:f>
        <x:v>仄</x:v>
      </x:c>
      <x:c r="K4419" s="6" t="str">
        <x:f>IF(D4419="","",IF(AND(ISNUMBER(SEARCH("平",D4419)),OR(ISNUMBER(SEARCH("上",D4419)),ISNUMBER(SEARCH("去",D4419)),ISNUMBER(SEARCH("入",D4419)))),"Ambiguous",IF(ISNUMBER(SEARCH("平",D4419)),"平","仄")))</x:f>
        <x:v>仄</x:v>
      </x:c>
      <x:c r="L4419" s="7" t="str"/>
    </x:row>
    <x:row r="4420">
      <x:c r="A4420" s="5" t="str">
        <x:v>闋</x:v>
      </x:c>
      <x:c r="B4420" s="6" t="str">
        <x:v>入</x:v>
      </x:c>
      <x:c r="C4420" s="6" t="str">
        <x:f>IF(B4420="","Needs decision","Ready")</x:f>
        <x:v>Ready</x:v>
      </x:c>
      <x:c r="D4420" s="6" t="str">
        <x:v>入</x:v>
      </x:c>
      <x:c r="E4420" s="6" t="str">
        <x:v>khwet (D)</x:v>
      </x:c>
      <x:c r="F4420" s="6" t="str">
        <x:v>入聲九屑</x:v>
      </x:c>
      <x:c r="G4420" s="6" t="str">
        <x:v>Pingshui main list, Wikisource-derived DOCX</x:v>
      </x:c>
      <x:c r="H4420" s="6" t="str">
        <x:v>1</x:v>
      </x:c>
      <x:c r="I4420" s="6" t="str"/>
      <x:c r="J4420" s="6" t="str">
        <x:f>IF(B4420="","",IF(AND(ISNUMBER(SEARCH("平",B4420)),OR(ISNUMBER(SEARCH("上",B4420)),ISNUMBER(SEARCH("去",B4420)),ISNUMBER(SEARCH("入",B4420)))),"Ambiguous",IF(ISNUMBER(SEARCH("平",B4420)),"平","仄")))</x:f>
        <x:v>仄</x:v>
      </x:c>
      <x:c r="K4420" s="6" t="str">
        <x:f>IF(D4420="","",IF(AND(ISNUMBER(SEARCH("平",D4420)),OR(ISNUMBER(SEARCH("上",D4420)),ISNUMBER(SEARCH("去",D4420)),ISNUMBER(SEARCH("入",D4420)))),"Ambiguous",IF(ISNUMBER(SEARCH("平",D4420)),"平","仄")))</x:f>
        <x:v>仄</x:v>
      </x:c>
      <x:c r="L4420" s="7" t="str"/>
    </x:row>
    <x:row r="4421">
      <x:c r="A4421" s="5" t="str">
        <x:v>闌</x:v>
      </x:c>
      <x:c r="B4421" s="6" t="str">
        <x:v>平</x:v>
      </x:c>
      <x:c r="C4421" s="6" t="str">
        <x:f>IF(B4421="","Needs decision","Ready")</x:f>
        <x:v>Ready</x:v>
      </x:c>
      <x:c r="D4421" s="6" t="str">
        <x:v>平</x:v>
      </x:c>
      <x:c r="E4421" s="6" t="str">
        <x:v>lan (A)</x:v>
      </x:c>
      <x:c r="F4421" s="6" t="str">
        <x:v>上平聲十四寒</x:v>
      </x:c>
      <x:c r="G4421" s="6" t="str">
        <x:v>Pingshui main list, Wikisource-derived DOCX</x:v>
      </x:c>
      <x:c r="H4421" s="6" t="str">
        <x:v>1</x:v>
      </x:c>
      <x:c r="I4421" s="6" t="str"/>
      <x:c r="J4421" s="6" t="str">
        <x:f>IF(B4421="","",IF(AND(ISNUMBER(SEARCH("平",B4421)),OR(ISNUMBER(SEARCH("上",B4421)),ISNUMBER(SEARCH("去",B4421)),ISNUMBER(SEARCH("入",B4421)))),"Ambiguous",IF(ISNUMBER(SEARCH("平",B4421)),"平","仄")))</x:f>
        <x:v>平</x:v>
      </x:c>
      <x:c r="K4421" s="6" t="str">
        <x:f>IF(D4421="","",IF(AND(ISNUMBER(SEARCH("平",D4421)),OR(ISNUMBER(SEARCH("上",D4421)),ISNUMBER(SEARCH("去",D4421)),ISNUMBER(SEARCH("入",D4421)))),"Ambiguous",IF(ISNUMBER(SEARCH("平",D4421)),"平","仄")))</x:f>
        <x:v>平</x:v>
      </x:c>
      <x:c r="L4421" s="7" t="str"/>
    </x:row>
    <x:row r="4422">
      <x:c r="A4422" s="5" t="str">
        <x:v>闍</x:v>
      </x:c>
      <x:c r="B4422" s="6" t="str">
        <x:v>平</x:v>
      </x:c>
      <x:c r="C4422" s="6" t="str">
        <x:f>IF(B4422="","Needs decision","Ready")</x:f>
        <x:v>Ready</x:v>
      </x:c>
      <x:c r="D4422" s="6" t="str">
        <x:v>平</x:v>
      </x:c>
      <x:c r="E4422" s="6" t="str"/>
      <x:c r="F4422" s="6" t="str">
        <x:v>上平聲七虞; 下平聲六麻</x:v>
      </x:c>
      <x:c r="G4422" s="6" t="str">
        <x:v>Pingshui main list, Wikisource-derived DOCX</x:v>
      </x:c>
      <x:c r="H4422" s="6" t="str"/>
      <x:c r="I4422" s="6" t="str">
        <x:v>Manual user correction/addition</x:v>
      </x:c>
      <x:c r="J4422" s="6" t="str">
        <x:f>IF(B4422="","",IF(AND(ISNUMBER(SEARCH("平",B4422)),OR(ISNUMBER(SEARCH("上",B4422)),ISNUMBER(SEARCH("去",B4422)),ISNUMBER(SEARCH("入",B4422)))),"Ambiguous",IF(ISNUMBER(SEARCH("平",B4422)),"平","仄")))</x:f>
        <x:v>平</x:v>
      </x:c>
      <x:c r="K4422" s="6" t="str">
        <x:f>IF(D4422="","",IF(AND(ISNUMBER(SEARCH("平",D4422)),OR(ISNUMBER(SEARCH("上",D4422)),ISNUMBER(SEARCH("去",D4422)),ISNUMBER(SEARCH("入",D4422)))),"Ambiguous",IF(ISNUMBER(SEARCH("平",D4422)),"平","仄")))</x:f>
        <x:v>平</x:v>
      </x:c>
      <x:c r="L4422" s="7" t="str">
        <x:v>manual user correction</x:v>
      </x:c>
    </x:row>
    <x:row r="4423">
      <x:c r="A4423" s="5" t="str">
        <x:v>闐</x:v>
      </x:c>
      <x:c r="B4423" s="6" t="str">
        <x:v>平</x:v>
      </x:c>
      <x:c r="C4423" s="6" t="str">
        <x:f>IF(B4423="","Needs decision","Ready")</x:f>
        <x:v>Ready</x:v>
      </x:c>
      <x:c r="D4423" s="6" t="str">
        <x:v>平</x:v>
      </x:c>
      <x:c r="E4423" s="6" t="str"/>
      <x:c r="F4423" s="6" t="str">
        <x:v>下平聲一先</x:v>
      </x:c>
      <x:c r="G4423" s="6" t="str">
        <x:v>Pingshui main list, Wikisource-derived DOCX</x:v>
      </x:c>
      <x:c r="H4423" s="6" t="str"/>
      <x:c r="I4423" s="6" t="str">
        <x:v>Manual user correction/addition</x:v>
      </x:c>
      <x:c r="J4423" s="6" t="str">
        <x:f>IF(B4423="","",IF(AND(ISNUMBER(SEARCH("平",B4423)),OR(ISNUMBER(SEARCH("上",B4423)),ISNUMBER(SEARCH("去",B4423)),ISNUMBER(SEARCH("入",B4423)))),"Ambiguous",IF(ISNUMBER(SEARCH("平",B4423)),"平","仄")))</x:f>
        <x:v>平</x:v>
      </x:c>
      <x:c r="K4423" s="6" t="str">
        <x:f>IF(D4423="","",IF(AND(ISNUMBER(SEARCH("平",D4423)),OR(ISNUMBER(SEARCH("上",D4423)),ISNUMBER(SEARCH("去",D4423)),ISNUMBER(SEARCH("入",D4423)))),"Ambiguous",IF(ISNUMBER(SEARCH("平",D4423)),"平","仄")))</x:f>
        <x:v>平</x:v>
      </x:c>
      <x:c r="L4423" s="7" t="str">
        <x:v>manual user correction</x:v>
      </x:c>
    </x:row>
    <x:row r="4424">
      <x:c r="A4424" s="5" t="str">
        <x:v>闑</x:v>
      </x:c>
      <x:c r="B4424" s="6" t="str">
        <x:v>入</x:v>
      </x:c>
      <x:c r="C4424" s="6" t="str">
        <x:f>IF(B4424="","Needs decision","Ready")</x:f>
        <x:v>Ready</x:v>
      </x:c>
      <x:c r="D4424" s="6" t="str">
        <x:v>入</x:v>
      </x:c>
      <x:c r="E4424" s="6" t="str">
        <x:v>nget (D); ngjet (D)</x:v>
      </x:c>
      <x:c r="F4424" s="6" t="str">
        <x:v>入聲九屑</x:v>
      </x:c>
      <x:c r="G4424" s="6" t="str">
        <x:v>Pingshui main list, Wikisource-derived DOCX</x:v>
      </x:c>
      <x:c r="H4424" s="6" t="str">
        <x:v>2</x:v>
      </x:c>
      <x:c r="I4424" s="6" t="str"/>
      <x:c r="J4424" s="6" t="str">
        <x:f>IF(B4424="","",IF(AND(ISNUMBER(SEARCH("平",B4424)),OR(ISNUMBER(SEARCH("上",B4424)),ISNUMBER(SEARCH("去",B4424)),ISNUMBER(SEARCH("入",B4424)))),"Ambiguous",IF(ISNUMBER(SEARCH("平",B4424)),"平","仄")))</x:f>
        <x:v>仄</x:v>
      </x:c>
      <x:c r="K4424" s="6" t="str">
        <x:f>IF(D4424="","",IF(AND(ISNUMBER(SEARCH("平",D4424)),OR(ISNUMBER(SEARCH("上",D4424)),ISNUMBER(SEARCH("去",D4424)),ISNUMBER(SEARCH("入",D4424)))),"Ambiguous",IF(ISNUMBER(SEARCH("平",D4424)),"平","仄")))</x:f>
        <x:v>仄</x:v>
      </x:c>
      <x:c r="L4424" s="7" t="str"/>
    </x:row>
    <x:row r="4425">
      <x:c r="A4425" s="5" t="str">
        <x:v>闔</x:v>
      </x:c>
      <x:c r="B4425" s="6" t="str">
        <x:v>入</x:v>
      </x:c>
      <x:c r="C4425" s="6" t="str">
        <x:f>IF(B4425="","Needs decision","Ready")</x:f>
        <x:v>Ready</x:v>
      </x:c>
      <x:c r="D4425" s="6" t="str">
        <x:v>入</x:v>
      </x:c>
      <x:c r="E4425" s="6" t="str"/>
      <x:c r="F4425" s="6" t="str">
        <x:v>入聲十五合</x:v>
      </x:c>
      <x:c r="G4425" s="6" t="str">
        <x:v>Pingshui main list, Wikisource-derived DOCX</x:v>
      </x:c>
      <x:c r="H4425" s="6" t="str"/>
      <x:c r="I4425" s="6" t="str">
        <x:v>Manual user correction/addition</x:v>
      </x:c>
      <x:c r="J4425" s="6" t="str">
        <x:f>IF(B4425="","",IF(AND(ISNUMBER(SEARCH("平",B4425)),OR(ISNUMBER(SEARCH("上",B4425)),ISNUMBER(SEARCH("去",B4425)),ISNUMBER(SEARCH("入",B4425)))),"Ambiguous",IF(ISNUMBER(SEARCH("平",B4425)),"平","仄")))</x:f>
        <x:v>仄</x:v>
      </x:c>
      <x:c r="K4425" s="6" t="str">
        <x:f>IF(D4425="","",IF(AND(ISNUMBER(SEARCH("平",D4425)),OR(ISNUMBER(SEARCH("上",D4425)),ISNUMBER(SEARCH("去",D4425)),ISNUMBER(SEARCH("入",D4425)))),"Ambiguous",IF(ISNUMBER(SEARCH("平",D4425)),"平","仄")))</x:f>
        <x:v>仄</x:v>
      </x:c>
      <x:c r="L4425" s="7" t="str">
        <x:v>manual user correction</x:v>
      </x:c>
    </x:row>
    <x:row r="4426">
      <x:c r="A4426" s="5" t="str">
        <x:v>闕</x:v>
      </x:c>
      <x:c r="B4426" s="6" t="str">
        <x:v>入</x:v>
      </x:c>
      <x:c r="C4426" s="6" t="str">
        <x:f>IF(B4426="","Needs decision","Ready")</x:f>
        <x:v>Ready</x:v>
      </x:c>
      <x:c r="D4426" s="6" t="str">
        <x:v>入</x:v>
      </x:c>
      <x:c r="E4426" s="6" t="str">
        <x:v>khjwot (D)</x:v>
      </x:c>
      <x:c r="F4426" s="6" t="str">
        <x:v>入聲六月</x:v>
      </x:c>
      <x:c r="G4426" s="6" t="str">
        <x:v>Pingshui main list, Wikisource-derived DOCX</x:v>
      </x:c>
      <x:c r="H4426" s="6" t="str">
        <x:v>1</x:v>
      </x:c>
      <x:c r="I4426" s="6" t="str"/>
      <x:c r="J4426" s="6" t="str">
        <x:f>IF(B4426="","",IF(AND(ISNUMBER(SEARCH("平",B4426)),OR(ISNUMBER(SEARCH("上",B4426)),ISNUMBER(SEARCH("去",B4426)),ISNUMBER(SEARCH("入",B4426)))),"Ambiguous",IF(ISNUMBER(SEARCH("平",B4426)),"平","仄")))</x:f>
        <x:v>仄</x:v>
      </x:c>
      <x:c r="K4426" s="6" t="str">
        <x:f>IF(D4426="","",IF(AND(ISNUMBER(SEARCH("平",D4426)),OR(ISNUMBER(SEARCH("上",D4426)),ISNUMBER(SEARCH("去",D4426)),ISNUMBER(SEARCH("入",D4426)))),"Ambiguous",IF(ISNUMBER(SEARCH("平",D4426)),"平","仄")))</x:f>
        <x:v>仄</x:v>
      </x:c>
      <x:c r="L4426" s="7" t="str"/>
    </x:row>
    <x:row r="4427">
      <x:c r="A4427" s="5" t="str">
        <x:v>關</x:v>
      </x:c>
      <x:c r="B4427" s="6" t="str">
        <x:v>平</x:v>
      </x:c>
      <x:c r="C4427" s="6" t="str">
        <x:f>IF(B4427="","Needs decision","Ready")</x:f>
        <x:v>Ready</x:v>
      </x:c>
      <x:c r="D4427" s="6" t="str">
        <x:v>平</x:v>
      </x:c>
      <x:c r="E4427" s="6" t="str">
        <x:v>kwaen (A)</x:v>
      </x:c>
      <x:c r="F4427" s="6" t="str">
        <x:v>上平聲十五刪</x:v>
      </x:c>
      <x:c r="G4427" s="6" t="str">
        <x:v>Pingshui main list, Wikisource-derived DOCX</x:v>
      </x:c>
      <x:c r="H4427" s="6" t="str">
        <x:v>1</x:v>
      </x:c>
      <x:c r="I4427" s="6" t="str"/>
      <x:c r="J4427" s="6" t="str">
        <x:f>IF(B4427="","",IF(AND(ISNUMBER(SEARCH("平",B4427)),OR(ISNUMBER(SEARCH("上",B4427)),ISNUMBER(SEARCH("去",B4427)),ISNUMBER(SEARCH("入",B4427)))),"Ambiguous",IF(ISNUMBER(SEARCH("平",B4427)),"平","仄")))</x:f>
        <x:v>平</x:v>
      </x:c>
      <x:c r="K4427" s="6" t="str">
        <x:f>IF(D4427="","",IF(AND(ISNUMBER(SEARCH("平",D4427)),OR(ISNUMBER(SEARCH("上",D4427)),ISNUMBER(SEARCH("去",D4427)),ISNUMBER(SEARCH("入",D4427)))),"Ambiguous",IF(ISNUMBER(SEARCH("平",D4427)),"平","仄")))</x:f>
        <x:v>平</x:v>
      </x:c>
      <x:c r="L4427" s="7" t="str"/>
    </x:row>
    <x:row r="4428">
      <x:c r="A4428" s="5" t="str">
        <x:v>闢</x:v>
      </x:c>
      <x:c r="B4428" s="6" t="str">
        <x:v>入</x:v>
      </x:c>
      <x:c r="C4428" s="6" t="str">
        <x:f>IF(B4428="","Needs decision","Ready")</x:f>
        <x:v>Ready</x:v>
      </x:c>
      <x:c r="D4428" s="6" t="str">
        <x:v>入</x:v>
      </x:c>
      <x:c r="E4428" s="6" t="str"/>
      <x:c r="F4428" s="6" t="str">
        <x:v>入聲十一陌</x:v>
      </x:c>
      <x:c r="G4428" s="6" t="str">
        <x:v>Pingshui main list, Wikisource-derived DOCX</x:v>
      </x:c>
      <x:c r="H4428" s="6" t="str">
        <x:v>0</x:v>
      </x:c>
      <x:c r="I4428" s="6" t="str">
        <x:v>User correction 2026-09-08; added manually</x:v>
      </x:c>
      <x:c r="J4428" s="6" t="str">
        <x:f>IF(B4428="","",IF(AND(ISNUMBER(SEARCH("平",B4428)),OR(ISNUMBER(SEARCH("上",B4428)),ISNUMBER(SEARCH("去",B4428)),ISNUMBER(SEARCH("入",B4428)))),"Ambiguous",IF(ISNUMBER(SEARCH("平",B4428)),"平","仄")))</x:f>
        <x:v>仄</x:v>
      </x:c>
      <x:c r="K4428" s="6" t="str">
        <x:f>IF(D4428="","",IF(AND(ISNUMBER(SEARCH("平",D4428)),OR(ISNUMBER(SEARCH("上",D4428)),ISNUMBER(SEARCH("去",D4428)),ISNUMBER(SEARCH("入",D4428)))),"Ambiguous",IF(ISNUMBER(SEARCH("平",D4428)),"平","仄")))</x:f>
        <x:v>仄</x:v>
      </x:c>
      <x:c r="L4428" s="7" t="str">
        <x:v>User correction</x:v>
      </x:c>
    </x:row>
    <x:row r="4429">
      <x:c r="A4429" s="5" t="str">
        <x:v>阜</x:v>
      </x:c>
      <x:c r="B4429" s="6" t="str">
        <x:v>上</x:v>
      </x:c>
      <x:c r="C4429" s="6" t="str">
        <x:f>IF(B4429="","Needs decision","Ready")</x:f>
        <x:v>Ready</x:v>
      </x:c>
      <x:c r="D4429" s="6" t="str">
        <x:v>上</x:v>
      </x:c>
      <x:c r="E4429" s="6" t="str">
        <x:v>bjuwX (B)</x:v>
      </x:c>
      <x:c r="F4429" s="6" t="str">
        <x:v>上聲二十五有</x:v>
      </x:c>
      <x:c r="G4429" s="6" t="str">
        <x:v>Pingshui main list, Wikisource-derived DOCX</x:v>
      </x:c>
      <x:c r="H4429" s="6" t="str">
        <x:v>1</x:v>
      </x:c>
      <x:c r="I4429" s="6" t="str"/>
      <x:c r="J4429" s="6" t="str">
        <x:f>IF(B4429="","",IF(AND(ISNUMBER(SEARCH("平",B4429)),OR(ISNUMBER(SEARCH("上",B4429)),ISNUMBER(SEARCH("去",B4429)),ISNUMBER(SEARCH("入",B4429)))),"Ambiguous",IF(ISNUMBER(SEARCH("平",B4429)),"平","仄")))</x:f>
        <x:v>仄</x:v>
      </x:c>
      <x:c r="K4429" s="6" t="str">
        <x:f>IF(D4429="","",IF(AND(ISNUMBER(SEARCH("平",D4429)),OR(ISNUMBER(SEARCH("上",D4429)),ISNUMBER(SEARCH("去",D4429)),ISNUMBER(SEARCH("入",D4429)))),"Ambiguous",IF(ISNUMBER(SEARCH("平",D4429)),"平","仄")))</x:f>
        <x:v>仄</x:v>
      </x:c>
      <x:c r="L4429" s="7" t="str"/>
    </x:row>
    <x:row r="4430">
      <x:c r="A4430" s="5" t="str">
        <x:v>阡</x:v>
      </x:c>
      <x:c r="B4430" s="6" t="str">
        <x:v>平</x:v>
      </x:c>
      <x:c r="C4430" s="6" t="str">
        <x:f>IF(B4430="","Needs decision","Ready")</x:f>
        <x:v>Ready</x:v>
      </x:c>
      <x:c r="D4430" s="6" t="str">
        <x:v>平</x:v>
      </x:c>
      <x:c r="E4430" s="6" t="str">
        <x:v>tshen (A)</x:v>
      </x:c>
      <x:c r="F4430" s="6" t="str">
        <x:v>下平聲一先</x:v>
      </x:c>
      <x:c r="G4430" s="6" t="str">
        <x:v>Pingshui main list, Wikisource-derived DOCX</x:v>
      </x:c>
      <x:c r="H4430" s="6" t="str">
        <x:v>1</x:v>
      </x:c>
      <x:c r="I4430" s="6" t="str"/>
      <x:c r="J4430" s="6" t="str">
        <x:f>IF(B4430="","",IF(AND(ISNUMBER(SEARCH("平",B4430)),OR(ISNUMBER(SEARCH("上",B4430)),ISNUMBER(SEARCH("去",B4430)),ISNUMBER(SEARCH("入",B4430)))),"Ambiguous",IF(ISNUMBER(SEARCH("平",B4430)),"平","仄")))</x:f>
        <x:v>平</x:v>
      </x:c>
      <x:c r="K4430" s="6" t="str">
        <x:f>IF(D4430="","",IF(AND(ISNUMBER(SEARCH("平",D4430)),OR(ISNUMBER(SEARCH("上",D4430)),ISNUMBER(SEARCH("去",D4430)),ISNUMBER(SEARCH("入",D4430)))),"Ambiguous",IF(ISNUMBER(SEARCH("平",D4430)),"平","仄")))</x:f>
        <x:v>平</x:v>
      </x:c>
      <x:c r="L4430" s="7" t="str"/>
    </x:row>
    <x:row r="4431">
      <x:c r="A4431" s="5" t="str">
        <x:v>阨</x:v>
      </x:c>
      <x:c r="B4431" s="6" t="str">
        <x:v>入</x:v>
      </x:c>
      <x:c r="C4431" s="6" t="str">
        <x:f>IF(B4431="","Needs decision","Ready")</x:f>
        <x:v>Ready</x:v>
      </x:c>
      <x:c r="D4431" s="6" t="str">
        <x:v>入</x:v>
      </x:c>
      <x:c r="E4431" s="6" t="str">
        <x:v>'eak (D)</x:v>
      </x:c>
      <x:c r="F4431" s="6" t="str"/>
      <x:c r="G4431" s="6" t="str"/>
      <x:c r="H4431" s="6" t="str">
        <x:v>1</x:v>
      </x:c>
      <x:c r="I4431" s="6" t="str"/>
      <x:c r="J4431" s="6" t="str">
        <x:f>IF(B4431="","",IF(AND(ISNUMBER(SEARCH("平",B4431)),OR(ISNUMBER(SEARCH("上",B4431)),ISNUMBER(SEARCH("去",B4431)),ISNUMBER(SEARCH("入",B4431)))),"Ambiguous",IF(ISNUMBER(SEARCH("平",B4431)),"平","仄")))</x:f>
        <x:v>仄</x:v>
      </x:c>
      <x:c r="K4431" s="6" t="str">
        <x:f>IF(D4431="","",IF(AND(ISNUMBER(SEARCH("平",D4431)),OR(ISNUMBER(SEARCH("上",D4431)),ISNUMBER(SEARCH("去",D4431)),ISNUMBER(SEARCH("入",D4431)))),"Ambiguous",IF(ISNUMBER(SEARCH("平",D4431)),"平","仄")))</x:f>
        <x:v>仄</x:v>
      </x:c>
      <x:c r="L4431" s="7" t="str"/>
    </x:row>
    <x:row r="4432">
      <x:c r="A4432" s="5" t="str">
        <x:v>阪</x:v>
      </x:c>
      <x:c r="B4432" s="6" t="str">
        <x:v>上</x:v>
      </x:c>
      <x:c r="C4432" s="6" t="str">
        <x:f>IF(B4432="","Needs decision","Ready")</x:f>
        <x:v>Ready</x:v>
      </x:c>
      <x:c r="D4432" s="6" t="str">
        <x:v>上</x:v>
      </x:c>
      <x:c r="E4432" s="6" t="str">
        <x:v>pjonX (B)</x:v>
      </x:c>
      <x:c r="F4432" s="6" t="str">
        <x:v>上聲十三阮</x:v>
      </x:c>
      <x:c r="G4432" s="6" t="str">
        <x:v>Pingshui main list, Wikisource-derived DOCX</x:v>
      </x:c>
      <x:c r="H4432" s="6" t="str">
        <x:v>1</x:v>
      </x:c>
      <x:c r="I4432" s="6" t="str"/>
      <x:c r="J4432" s="6" t="str">
        <x:f>IF(B4432="","",IF(AND(ISNUMBER(SEARCH("平",B4432)),OR(ISNUMBER(SEARCH("上",B4432)),ISNUMBER(SEARCH("去",B4432)),ISNUMBER(SEARCH("入",B4432)))),"Ambiguous",IF(ISNUMBER(SEARCH("平",B4432)),"平","仄")))</x:f>
        <x:v>仄</x:v>
      </x:c>
      <x:c r="K4432" s="6" t="str">
        <x:f>IF(D4432="","",IF(AND(ISNUMBER(SEARCH("平",D4432)),OR(ISNUMBER(SEARCH("上",D4432)),ISNUMBER(SEARCH("去",D4432)),ISNUMBER(SEARCH("入",D4432)))),"Ambiguous",IF(ISNUMBER(SEARCH("平",D4432)),"平","仄")))</x:f>
        <x:v>仄</x:v>
      </x:c>
      <x:c r="L4432" s="7" t="str"/>
    </x:row>
    <x:row r="4433">
      <x:c r="A4433" s="5" t="str">
        <x:v>阮</x:v>
      </x:c>
      <x:c r="B4433" s="6" t="str">
        <x:v>上</x:v>
      </x:c>
      <x:c r="C4433" s="6" t="str">
        <x:f>IF(B4433="","Needs decision","Ready")</x:f>
        <x:v>Ready</x:v>
      </x:c>
      <x:c r="D4433" s="6" t="str">
        <x:v>上</x:v>
      </x:c>
      <x:c r="E4433" s="6" t="str"/>
      <x:c r="F4433" s="6" t="str">
        <x:v>上平聲十三元; 上聲十三阮</x:v>
      </x:c>
      <x:c r="G4433" s="6" t="str">
        <x:v>Pingshui main list, Wikisource-derived DOCX</x:v>
      </x:c>
      <x:c r="H4433" s="6" t="str"/>
      <x:c r="I4433" s="6" t="str">
        <x:v>Manual user correction/addition</x:v>
      </x:c>
      <x:c r="J4433" s="6" t="str">
        <x:f>IF(B4433="","",IF(AND(ISNUMBER(SEARCH("平",B4433)),OR(ISNUMBER(SEARCH("上",B4433)),ISNUMBER(SEARCH("去",B4433)),ISNUMBER(SEARCH("入",B4433)))),"Ambiguous",IF(ISNUMBER(SEARCH("平",B4433)),"平","仄")))</x:f>
        <x:v>仄</x:v>
      </x:c>
      <x:c r="K4433" s="6" t="str">
        <x:f>IF(D4433="","",IF(AND(ISNUMBER(SEARCH("平",D4433)),OR(ISNUMBER(SEARCH("上",D4433)),ISNUMBER(SEARCH("去",D4433)),ISNUMBER(SEARCH("入",D4433)))),"Ambiguous",IF(ISNUMBER(SEARCH("平",D4433)),"平","仄")))</x:f>
        <x:v>仄</x:v>
      </x:c>
      <x:c r="L4433" s="7" t="str">
        <x:v>manual user correction</x:v>
      </x:c>
    </x:row>
    <x:row r="4434">
      <x:c r="A4434" s="5" t="str">
        <x:v>防</x:v>
      </x:c>
      <x:c r="B4434" s="6" t="str">
        <x:v>平</x:v>
      </x:c>
      <x:c r="C4434" s="6" t="str">
        <x:f>IF(B4434="","Needs decision","Ready")</x:f>
        <x:v>Ready</x:v>
      </x:c>
      <x:c r="D4434" s="6" t="str">
        <x:v>平</x:v>
      </x:c>
      <x:c r="E4434" s="6" t="str">
        <x:v>bjang (A)</x:v>
      </x:c>
      <x:c r="F4434" s="6" t="str">
        <x:v>下平聲七陽; 去聲二十三漾</x:v>
      </x:c>
      <x:c r="G4434" s="6" t="str">
        <x:v>Pingshui main list, Wikisource-derived DOCX</x:v>
      </x:c>
      <x:c r="H4434" s="6" t="str">
        <x:v>1</x:v>
      </x:c>
      <x:c r="I4434" s="6" t="str"/>
      <x:c r="J4434" s="6" t="str">
        <x:f>IF(B4434="","",IF(AND(ISNUMBER(SEARCH("平",B4434)),OR(ISNUMBER(SEARCH("上",B4434)),ISNUMBER(SEARCH("去",B4434)),ISNUMBER(SEARCH("入",B4434)))),"Ambiguous",IF(ISNUMBER(SEARCH("平",B4434)),"平","仄")))</x:f>
        <x:v>平</x:v>
      </x:c>
      <x:c r="K4434" s="6" t="str">
        <x:f>IF(D4434="","",IF(AND(ISNUMBER(SEARCH("平",D4434)),OR(ISNUMBER(SEARCH("上",D4434)),ISNUMBER(SEARCH("去",D4434)),ISNUMBER(SEARCH("入",D4434)))),"Ambiguous",IF(ISNUMBER(SEARCH("平",D4434)),"平","仄")))</x:f>
        <x:v>平</x:v>
      </x:c>
      <x:c r="L4434" s="7" t="str"/>
    </x:row>
    <x:row r="4435">
      <x:c r="A4435" s="5" t="str">
        <x:v>阸</x:v>
      </x:c>
      <x:c r="B4435" s="6" t="str">
        <x:v>去</x:v>
      </x:c>
      <x:c r="C4435" s="6" t="str">
        <x:f>IF(B4435="","Needs decision","Ready")</x:f>
        <x:v>Ready</x:v>
      </x:c>
      <x:c r="D4435" s="6" t="str">
        <x:v>去</x:v>
      </x:c>
      <x:c r="E4435" s="6" t="str">
        <x:v>'eaH (C)</x:v>
      </x:c>
      <x:c r="F4435" s="6" t="str"/>
      <x:c r="G4435" s="6" t="str"/>
      <x:c r="H4435" s="6" t="str">
        <x:v>1</x:v>
      </x:c>
      <x:c r="I4435" s="6" t="str"/>
      <x:c r="J4435" s="6" t="str">
        <x:f>IF(B4435="","",IF(AND(ISNUMBER(SEARCH("平",B4435)),OR(ISNUMBER(SEARCH("上",B4435)),ISNUMBER(SEARCH("去",B4435)),ISNUMBER(SEARCH("入",B4435)))),"Ambiguous",IF(ISNUMBER(SEARCH("平",B4435)),"平","仄")))</x:f>
        <x:v>仄</x:v>
      </x:c>
      <x:c r="K4435" s="6" t="str">
        <x:f>IF(D4435="","",IF(AND(ISNUMBER(SEARCH("平",D4435)),OR(ISNUMBER(SEARCH("上",D4435)),ISNUMBER(SEARCH("去",D4435)),ISNUMBER(SEARCH("入",D4435)))),"Ambiguous",IF(ISNUMBER(SEARCH("平",D4435)),"平","仄")))</x:f>
        <x:v>仄</x:v>
      </x:c>
      <x:c r="L4435" s="7" t="str"/>
    </x:row>
    <x:row r="4436">
      <x:c r="A4436" s="5" t="str">
        <x:v>阻</x:v>
      </x:c>
      <x:c r="B4436" s="6" t="str">
        <x:v>上</x:v>
      </x:c>
      <x:c r="C4436" s="6" t="str">
        <x:f>IF(B4436="","Needs decision","Ready")</x:f>
        <x:v>Ready</x:v>
      </x:c>
      <x:c r="D4436" s="6" t="str">
        <x:v>上</x:v>
      </x:c>
      <x:c r="E4436" s="6" t="str">
        <x:v>tsrjoX (B)</x:v>
      </x:c>
      <x:c r="F4436" s="6" t="str">
        <x:v>上聲六語</x:v>
      </x:c>
      <x:c r="G4436" s="6" t="str">
        <x:v>Pingshui main list, Wikisource-derived DOCX</x:v>
      </x:c>
      <x:c r="H4436" s="6" t="str">
        <x:v>1</x:v>
      </x:c>
      <x:c r="I4436" s="6" t="str"/>
      <x:c r="J4436" s="6" t="str">
        <x:f>IF(B4436="","",IF(AND(ISNUMBER(SEARCH("平",B4436)),OR(ISNUMBER(SEARCH("上",B4436)),ISNUMBER(SEARCH("去",B4436)),ISNUMBER(SEARCH("入",B4436)))),"Ambiguous",IF(ISNUMBER(SEARCH("平",B4436)),"平","仄")))</x:f>
        <x:v>仄</x:v>
      </x:c>
      <x:c r="K4436" s="6" t="str">
        <x:f>IF(D4436="","",IF(AND(ISNUMBER(SEARCH("平",D4436)),OR(ISNUMBER(SEARCH("上",D4436)),ISNUMBER(SEARCH("去",D4436)),ISNUMBER(SEARCH("入",D4436)))),"Ambiguous",IF(ISNUMBER(SEARCH("平",D4436)),"平","仄")))</x:f>
        <x:v>仄</x:v>
      </x:c>
      <x:c r="L4436" s="7" t="str"/>
    </x:row>
    <x:row r="4437">
      <x:c r="A4437" s="5" t="str">
        <x:v>阽</x:v>
      </x:c>
      <x:c r="B4437" s="6" t="str">
        <x:v>平</x:v>
      </x:c>
      <x:c r="C4437" s="6" t="str">
        <x:f>IF(B4437="","Needs decision","Ready")</x:f>
        <x:v>Ready</x:v>
      </x:c>
      <x:c r="D4437" s="6" t="str">
        <x:v>平</x:v>
      </x:c>
      <x:c r="E4437" s="6" t="str">
        <x:v>yem (A)</x:v>
      </x:c>
      <x:c r="F4437" s="6" t="str">
        <x:v>下平聲十四鹽</x:v>
      </x:c>
      <x:c r="G4437" s="6" t="str">
        <x:v>Pingshui main list, Wikisource-derived DOCX</x:v>
      </x:c>
      <x:c r="H4437" s="6" t="str">
        <x:v>1</x:v>
      </x:c>
      <x:c r="I4437" s="6" t="str"/>
      <x:c r="J4437" s="6" t="str">
        <x:f>IF(B4437="","",IF(AND(ISNUMBER(SEARCH("平",B4437)),OR(ISNUMBER(SEARCH("上",B4437)),ISNUMBER(SEARCH("去",B4437)),ISNUMBER(SEARCH("入",B4437)))),"Ambiguous",IF(ISNUMBER(SEARCH("平",B4437)),"平","仄")))</x:f>
        <x:v>平</x:v>
      </x:c>
      <x:c r="K4437" s="6" t="str">
        <x:f>IF(D4437="","",IF(AND(ISNUMBER(SEARCH("平",D4437)),OR(ISNUMBER(SEARCH("上",D4437)),ISNUMBER(SEARCH("去",D4437)),ISNUMBER(SEARCH("入",D4437)))),"Ambiguous",IF(ISNUMBER(SEARCH("平",D4437)),"平","仄")))</x:f>
        <x:v>平</x:v>
      </x:c>
      <x:c r="L4437" s="7" t="str"/>
    </x:row>
    <x:row r="4438">
      <x:c r="A4438" s="5" t="str">
        <x:v>阿</x:v>
      </x:c>
      <x:c r="B4438" s="6" t="str">
        <x:v>平</x:v>
      </x:c>
      <x:c r="C4438" s="6" t="str">
        <x:f>IF(B4438="","Needs decision","Ready")</x:f>
        <x:v>Ready</x:v>
      </x:c>
      <x:c r="D4438" s="6" t="str">
        <x:v>平</x:v>
      </x:c>
      <x:c r="E4438" s="6" t="str">
        <x:v>'a (A)</x:v>
      </x:c>
      <x:c r="F4438" s="6" t="str">
        <x:v>下平聲五歌</x:v>
      </x:c>
      <x:c r="G4438" s="6" t="str">
        <x:v>Pingshui main list, Wikisource-derived DOCX</x:v>
      </x:c>
      <x:c r="H4438" s="6" t="str">
        <x:v>1</x:v>
      </x:c>
      <x:c r="I4438" s="6" t="str"/>
      <x:c r="J4438" s="6" t="str">
        <x:f>IF(B4438="","",IF(AND(ISNUMBER(SEARCH("平",B4438)),OR(ISNUMBER(SEARCH("上",B4438)),ISNUMBER(SEARCH("去",B4438)),ISNUMBER(SEARCH("入",B4438)))),"Ambiguous",IF(ISNUMBER(SEARCH("平",B4438)),"平","仄")))</x:f>
        <x:v>平</x:v>
      </x:c>
      <x:c r="K4438" s="6" t="str">
        <x:f>IF(D4438="","",IF(AND(ISNUMBER(SEARCH("平",D4438)),OR(ISNUMBER(SEARCH("上",D4438)),ISNUMBER(SEARCH("去",D4438)),ISNUMBER(SEARCH("入",D4438)))),"Ambiguous",IF(ISNUMBER(SEARCH("平",D4438)),"平","仄")))</x:f>
        <x:v>平</x:v>
      </x:c>
      <x:c r="L4438" s="7" t="str"/>
    </x:row>
    <x:row r="4439">
      <x:c r="A4439" s="5" t="str">
        <x:v>陂</x:v>
      </x:c>
      <x:c r="B4439" s="6" t="str">
        <x:v>平</x:v>
      </x:c>
      <x:c r="C4439" s="6" t="str">
        <x:f>IF(B4439="","Needs decision","Ready")</x:f>
        <x:v>Ready</x:v>
      </x:c>
      <x:c r="D4439" s="6" t="str">
        <x:v>平</x:v>
      </x:c>
      <x:c r="E4439" s="6" t="str">
        <x:v>pje (A)</x:v>
      </x:c>
      <x:c r="F4439" s="6" t="str">
        <x:v>上平聲四支; 去聲四寘</x:v>
      </x:c>
      <x:c r="G4439" s="6" t="str">
        <x:v>Pingshui main list, Wikisource-derived DOCX</x:v>
      </x:c>
      <x:c r="H4439" s="6" t="str">
        <x:v>1</x:v>
      </x:c>
      <x:c r="I4439" s="6" t="str"/>
      <x:c r="J4439" s="6" t="str">
        <x:f>IF(B4439="","",IF(AND(ISNUMBER(SEARCH("平",B4439)),OR(ISNUMBER(SEARCH("上",B4439)),ISNUMBER(SEARCH("去",B4439)),ISNUMBER(SEARCH("入",B4439)))),"Ambiguous",IF(ISNUMBER(SEARCH("平",B4439)),"平","仄")))</x:f>
        <x:v>平</x:v>
      </x:c>
      <x:c r="K4439" s="6" t="str">
        <x:f>IF(D4439="","",IF(AND(ISNUMBER(SEARCH("平",D4439)),OR(ISNUMBER(SEARCH("上",D4439)),ISNUMBER(SEARCH("去",D4439)),ISNUMBER(SEARCH("入",D4439)))),"Ambiguous",IF(ISNUMBER(SEARCH("平",D4439)),"平","仄")))</x:f>
        <x:v>平</x:v>
      </x:c>
      <x:c r="L4439" s="7" t="str"/>
    </x:row>
    <x:row r="4440">
      <x:c r="A4440" s="5" t="str">
        <x:v>附</x:v>
      </x:c>
      <x:c r="B4440" s="6" t="str">
        <x:v>去</x:v>
      </x:c>
      <x:c r="C4440" s="6" t="str">
        <x:f>IF(B4440="","Needs decision","Ready")</x:f>
        <x:v>Ready</x:v>
      </x:c>
      <x:c r="D4440" s="6" t="str">
        <x:v>去</x:v>
      </x:c>
      <x:c r="E4440" s="6" t="str">
        <x:v>bjuH (C)</x:v>
      </x:c>
      <x:c r="F4440" s="6" t="str">
        <x:v>去聲七遇</x:v>
      </x:c>
      <x:c r="G4440" s="6" t="str">
        <x:v>Pingshui main list, Wikisource-derived DOCX</x:v>
      </x:c>
      <x:c r="H4440" s="6" t="str">
        <x:v>1</x:v>
      </x:c>
      <x:c r="I4440" s="6" t="str"/>
      <x:c r="J4440" s="6" t="str">
        <x:f>IF(B4440="","",IF(AND(ISNUMBER(SEARCH("平",B4440)),OR(ISNUMBER(SEARCH("上",B4440)),ISNUMBER(SEARCH("去",B4440)),ISNUMBER(SEARCH("入",B4440)))),"Ambiguous",IF(ISNUMBER(SEARCH("平",B4440)),"平","仄")))</x:f>
        <x:v>仄</x:v>
      </x:c>
      <x:c r="K4440" s="6" t="str">
        <x:f>IF(D4440="","",IF(AND(ISNUMBER(SEARCH("平",D4440)),OR(ISNUMBER(SEARCH("上",D4440)),ISNUMBER(SEARCH("去",D4440)),ISNUMBER(SEARCH("入",D4440)))),"Ambiguous",IF(ISNUMBER(SEARCH("平",D4440)),"平","仄")))</x:f>
        <x:v>仄</x:v>
      </x:c>
      <x:c r="L4440" s="7" t="str"/>
    </x:row>
    <x:row r="4441">
      <x:c r="A4441" s="5" t="str">
        <x:v>陋</x:v>
      </x:c>
      <x:c r="B4441" s="6" t="str">
        <x:v>去</x:v>
      </x:c>
      <x:c r="C4441" s="6" t="str">
        <x:f>IF(B4441="","Needs decision","Ready")</x:f>
        <x:v>Ready</x:v>
      </x:c>
      <x:c r="D4441" s="6" t="str">
        <x:v>去</x:v>
      </x:c>
      <x:c r="E4441" s="6" t="str">
        <x:v>luwH (C)</x:v>
      </x:c>
      <x:c r="F4441" s="6" t="str">
        <x:v>去聲二十六宥</x:v>
      </x:c>
      <x:c r="G4441" s="6" t="str">
        <x:v>Pingshui main list, Wikisource-derived DOCX</x:v>
      </x:c>
      <x:c r="H4441" s="6" t="str">
        <x:v>1</x:v>
      </x:c>
      <x:c r="I4441" s="6" t="str"/>
      <x:c r="J4441" s="6" t="str">
        <x:f>IF(B4441="","",IF(AND(ISNUMBER(SEARCH("平",B4441)),OR(ISNUMBER(SEARCH("上",B4441)),ISNUMBER(SEARCH("去",B4441)),ISNUMBER(SEARCH("入",B4441)))),"Ambiguous",IF(ISNUMBER(SEARCH("平",B4441)),"平","仄")))</x:f>
        <x:v>仄</x:v>
      </x:c>
      <x:c r="K4441" s="6" t="str">
        <x:f>IF(D4441="","",IF(AND(ISNUMBER(SEARCH("平",D4441)),OR(ISNUMBER(SEARCH("上",D4441)),ISNUMBER(SEARCH("去",D4441)),ISNUMBER(SEARCH("入",D4441)))),"Ambiguous",IF(ISNUMBER(SEARCH("平",D4441)),"平","仄")))</x:f>
        <x:v>仄</x:v>
      </x:c>
      <x:c r="L4441" s="7" t="str"/>
    </x:row>
    <x:row r="4442">
      <x:c r="A4442" s="5" t="str">
        <x:v>陌</x:v>
      </x:c>
      <x:c r="B4442" s="6" t="str">
        <x:v>入</x:v>
      </x:c>
      <x:c r="C4442" s="6" t="str">
        <x:f>IF(B4442="","Needs decision","Ready")</x:f>
        <x:v>Ready</x:v>
      </x:c>
      <x:c r="D4442" s="6" t="str">
        <x:v>入</x:v>
      </x:c>
      <x:c r="E4442" s="6" t="str">
        <x:v>maek (D)</x:v>
      </x:c>
      <x:c r="F4442" s="6" t="str">
        <x:v>入聲十一陌</x:v>
      </x:c>
      <x:c r="G4442" s="6" t="str">
        <x:v>Pingshui main list, Wikisource-derived DOCX</x:v>
      </x:c>
      <x:c r="H4442" s="6" t="str">
        <x:v>1</x:v>
      </x:c>
      <x:c r="I4442" s="6" t="str"/>
      <x:c r="J4442" s="6" t="str">
        <x:f>IF(B4442="","",IF(AND(ISNUMBER(SEARCH("平",B4442)),OR(ISNUMBER(SEARCH("上",B4442)),ISNUMBER(SEARCH("去",B4442)),ISNUMBER(SEARCH("入",B4442)))),"Ambiguous",IF(ISNUMBER(SEARCH("平",B4442)),"平","仄")))</x:f>
        <x:v>仄</x:v>
      </x:c>
      <x:c r="K4442" s="6" t="str">
        <x:f>IF(D4442="","",IF(AND(ISNUMBER(SEARCH("平",D4442)),OR(ISNUMBER(SEARCH("上",D4442)),ISNUMBER(SEARCH("去",D4442)),ISNUMBER(SEARCH("入",D4442)))),"Ambiguous",IF(ISNUMBER(SEARCH("平",D4442)),"平","仄")))</x:f>
        <x:v>仄</x:v>
      </x:c>
      <x:c r="L4442" s="7" t="str"/>
    </x:row>
    <x:row r="4443">
      <x:c r="A4443" s="5" t="str">
        <x:v>降</x:v>
      </x:c>
      <x:c r="B4443" s="6" t="str"/>
      <x:c r="C4443" s="6" t="str">
        <x:f>IF(B4443="","Needs decision","Ready")</x:f>
        <x:v>Needs decision</x:v>
      </x:c>
      <x:c r="D4443" s="6" t="str">
        <x:v>平/去</x:v>
      </x:c>
      <x:c r="E4443" s="6" t="str">
        <x:v>kaewngH (C); haewng (A)</x:v>
      </x:c>
      <x:c r="F4443" s="6" t="str">
        <x:v>上平聲三江; 去聲三絳</x:v>
      </x:c>
      <x:c r="G4443" s="6" t="str">
        <x:v>Pingshui main list, Wikisource-derived DOCX</x:v>
      </x:c>
      <x:c r="H4443" s="6" t="str">
        <x:v>2</x:v>
      </x:c>
      <x:c r="I4443" s="6" t="str"/>
      <x:c r="J4443" s="6" t="str">
        <x:f>IF(B4443="","",IF(AND(ISNUMBER(SEARCH("平",B4443)),OR(ISNUMBER(SEARCH("上",B4443)),ISNUMBER(SEARCH("去",B4443)),ISNUMBER(SEARCH("入",B4443)))),"Ambiguous",IF(ISNUMBER(SEARCH("平",B4443)),"平","仄")))</x:f>
      </x:c>
      <x:c r="K4443" s="6" t="str">
        <x:f>IF(D4443="","",IF(AND(ISNUMBER(SEARCH("平",D4443)),OR(ISNUMBER(SEARCH("上",D4443)),ISNUMBER(SEARCH("去",D4443)),ISNUMBER(SEARCH("入",D4443)))),"Ambiguous",IF(ISNUMBER(SEARCH("平",D4443)),"平","仄")))</x:f>
        <x:v>Ambiguous</x:v>
      </x:c>
      <x:c r="L4443" s="7" t="str"/>
    </x:row>
    <x:row r="4444">
      <x:c r="A4444" s="5" t="str">
        <x:v>限</x:v>
      </x:c>
      <x:c r="B4444" s="6" t="str">
        <x:v>上</x:v>
      </x:c>
      <x:c r="C4444" s="6" t="str">
        <x:f>IF(B4444="","Needs decision","Ready")</x:f>
        <x:v>Ready</x:v>
      </x:c>
      <x:c r="D4444" s="6" t="str">
        <x:v>上</x:v>
      </x:c>
      <x:c r="E4444" s="6" t="str">
        <x:v>heanX (B)</x:v>
      </x:c>
      <x:c r="F4444" s="6" t="str">
        <x:v>上聲十五潸</x:v>
      </x:c>
      <x:c r="G4444" s="6" t="str">
        <x:v>Pingshui main list, Wikisource-derived DOCX</x:v>
      </x:c>
      <x:c r="H4444" s="6" t="str">
        <x:v>1</x:v>
      </x:c>
      <x:c r="I4444" s="6" t="str"/>
      <x:c r="J4444" s="6" t="str">
        <x:f>IF(B4444="","",IF(AND(ISNUMBER(SEARCH("平",B4444)),OR(ISNUMBER(SEARCH("上",B4444)),ISNUMBER(SEARCH("去",B4444)),ISNUMBER(SEARCH("入",B4444)))),"Ambiguous",IF(ISNUMBER(SEARCH("平",B4444)),"平","仄")))</x:f>
        <x:v>仄</x:v>
      </x:c>
      <x:c r="K4444" s="6" t="str">
        <x:f>IF(D4444="","",IF(AND(ISNUMBER(SEARCH("平",D4444)),OR(ISNUMBER(SEARCH("上",D4444)),ISNUMBER(SEARCH("去",D4444)),ISNUMBER(SEARCH("入",D4444)))),"Ambiguous",IF(ISNUMBER(SEARCH("平",D4444)),"平","仄")))</x:f>
        <x:v>仄</x:v>
      </x:c>
      <x:c r="L4444" s="7" t="str"/>
    </x:row>
    <x:row r="4445">
      <x:c r="A4445" s="5" t="str">
        <x:v>陘</x:v>
      </x:c>
      <x:c r="B4445" s="6" t="str">
        <x:v>平</x:v>
      </x:c>
      <x:c r="C4445" s="6" t="str">
        <x:f>IF(B4445="","Needs decision","Ready")</x:f>
        <x:v>Ready</x:v>
      </x:c>
      <x:c r="D4445" s="6" t="str">
        <x:v>平</x:v>
      </x:c>
      <x:c r="E4445" s="6" t="str">
        <x:v>heng (A)</x:v>
      </x:c>
      <x:c r="F4445" s="6" t="str">
        <x:v>下平聲九青</x:v>
      </x:c>
      <x:c r="G4445" s="6" t="str">
        <x:v>Pingshui main list, Wikisource-derived DOCX</x:v>
      </x:c>
      <x:c r="H4445" s="6" t="str">
        <x:v>1</x:v>
      </x:c>
      <x:c r="I4445" s="6" t="str"/>
      <x:c r="J4445" s="6" t="str">
        <x:f>IF(B4445="","",IF(AND(ISNUMBER(SEARCH("平",B4445)),OR(ISNUMBER(SEARCH("上",B4445)),ISNUMBER(SEARCH("去",B4445)),ISNUMBER(SEARCH("入",B4445)))),"Ambiguous",IF(ISNUMBER(SEARCH("平",B4445)),"平","仄")))</x:f>
        <x:v>平</x:v>
      </x:c>
      <x:c r="K4445" s="6" t="str">
        <x:f>IF(D4445="","",IF(AND(ISNUMBER(SEARCH("平",D4445)),OR(ISNUMBER(SEARCH("上",D4445)),ISNUMBER(SEARCH("去",D4445)),ISNUMBER(SEARCH("入",D4445)))),"Ambiguous",IF(ISNUMBER(SEARCH("平",D4445)),"平","仄")))</x:f>
        <x:v>平</x:v>
      </x:c>
      <x:c r="L4445" s="7" t="str"/>
    </x:row>
    <x:row r="4446">
      <x:c r="A4446" s="5" t="str">
        <x:v>陛</x:v>
      </x:c>
      <x:c r="B4446" s="6" t="str">
        <x:v>上</x:v>
      </x:c>
      <x:c r="C4446" s="6" t="str">
        <x:f>IF(B4446="","Needs decision","Ready")</x:f>
        <x:v>Ready</x:v>
      </x:c>
      <x:c r="D4446" s="6" t="str">
        <x:v>上</x:v>
      </x:c>
      <x:c r="E4446" s="6" t="str">
        <x:v>bejX [b̙ejʔ] (上)</x:v>
      </x:c>
      <x:c r="F4446" s="6" t="str">
        <x:v>上聲八薺</x:v>
      </x:c>
      <x:c r="G4446" s="6" t="str">
        <x:v>Pingshui main list, Wikisource-derived DOCX</x:v>
      </x:c>
      <x:c r="H4446" s="6" t="str">
        <x:v>1</x:v>
      </x:c>
      <x:c r="I4446" s="6" t="str">
        <x:v>Tang 300 gap; frequency 1; provisional from Xun Gong</x:v>
      </x:c>
      <x:c r="J4446" s="6" t="str">
        <x:f>IF(B4446="","",IF(AND(ISNUMBER(SEARCH("平",B4446)),OR(ISNUMBER(SEARCH("上",B4446)),ISNUMBER(SEARCH("去",B4446)),ISNUMBER(SEARCH("入",B4446)))),"Ambiguous",IF(ISNUMBER(SEARCH("平",B4446)),"平","仄")))</x:f>
        <x:v>仄</x:v>
      </x:c>
      <x:c r="K4446" s="6" t="str">
        <x:f>IF(D4446="","",IF(AND(ISNUMBER(SEARCH("平",D4446)),OR(ISNUMBER(SEARCH("上",D4446)),ISNUMBER(SEARCH("去",D4446)),ISNUMBER(SEARCH("入",D4446)))),"Ambiguous",IF(ISNUMBER(SEARCH("平",D4446)),"平","仄")))</x:f>
        <x:v>仄</x:v>
      </x:c>
      <x:c r="L4446" s="7" t="str">
        <x:v>Xun Gong, Tang 300 gap fill</x:v>
      </x:c>
    </x:row>
    <x:row r="4447">
      <x:c r="A4447" s="5" t="str">
        <x:v>陞</x:v>
      </x:c>
      <x:c r="B4447" s="6" t="str">
        <x:v>平</x:v>
      </x:c>
      <x:c r="C4447" s="6" t="str">
        <x:f>IF(B4447="","Needs decision","Ready")</x:f>
        <x:v>Ready</x:v>
      </x:c>
      <x:c r="D4447" s="6" t="str">
        <x:v>平</x:v>
      </x:c>
      <x:c r="E4447" s="6" t="str">
        <x:v>sying (A)</x:v>
      </x:c>
      <x:c r="F4447" s="6" t="str"/>
      <x:c r="G4447" s="6" t="str"/>
      <x:c r="H4447" s="6" t="str">
        <x:v>1</x:v>
      </x:c>
      <x:c r="I4447" s="6" t="str"/>
      <x:c r="J4447" s="6" t="str">
        <x:f>IF(B4447="","",IF(AND(ISNUMBER(SEARCH("平",B4447)),OR(ISNUMBER(SEARCH("上",B4447)),ISNUMBER(SEARCH("去",B4447)),ISNUMBER(SEARCH("入",B4447)))),"Ambiguous",IF(ISNUMBER(SEARCH("平",B4447)),"平","仄")))</x:f>
        <x:v>平</x:v>
      </x:c>
      <x:c r="K4447" s="6" t="str">
        <x:f>IF(D4447="","",IF(AND(ISNUMBER(SEARCH("平",D4447)),OR(ISNUMBER(SEARCH("上",D4447)),ISNUMBER(SEARCH("去",D4447)),ISNUMBER(SEARCH("入",D4447)))),"Ambiguous",IF(ISNUMBER(SEARCH("平",D4447)),"平","仄")))</x:f>
        <x:v>平</x:v>
      </x:c>
      <x:c r="L4447" s="7" t="str"/>
    </x:row>
    <x:row r="4448">
      <x:c r="A4448" s="5" t="str">
        <x:v>陟</x:v>
      </x:c>
      <x:c r="B4448" s="6" t="str">
        <x:v>入</x:v>
      </x:c>
      <x:c r="C4448" s="6" t="str">
        <x:f>IF(B4448="","Needs decision","Ready")</x:f>
        <x:v>Ready</x:v>
      </x:c>
      <x:c r="D4448" s="6" t="str">
        <x:v>入</x:v>
      </x:c>
      <x:c r="E4448" s="6" t="str">
        <x:v>trik (D)</x:v>
      </x:c>
      <x:c r="F4448" s="6" t="str">
        <x:v>入聲十三職</x:v>
      </x:c>
      <x:c r="G4448" s="6" t="str">
        <x:v>Pingshui main list, Wikisource-derived DOCX</x:v>
      </x:c>
      <x:c r="H4448" s="6" t="str">
        <x:v>1</x:v>
      </x:c>
      <x:c r="I4448" s="6" t="str"/>
      <x:c r="J4448" s="6" t="str">
        <x:f>IF(B4448="","",IF(AND(ISNUMBER(SEARCH("平",B4448)),OR(ISNUMBER(SEARCH("上",B4448)),ISNUMBER(SEARCH("去",B4448)),ISNUMBER(SEARCH("入",B4448)))),"Ambiguous",IF(ISNUMBER(SEARCH("平",B4448)),"平","仄")))</x:f>
        <x:v>仄</x:v>
      </x:c>
      <x:c r="K4448" s="6" t="str">
        <x:f>IF(D4448="","",IF(AND(ISNUMBER(SEARCH("平",D4448)),OR(ISNUMBER(SEARCH("上",D4448)),ISNUMBER(SEARCH("去",D4448)),ISNUMBER(SEARCH("入",D4448)))),"Ambiguous",IF(ISNUMBER(SEARCH("平",D4448)),"平","仄")))</x:f>
        <x:v>仄</x:v>
      </x:c>
      <x:c r="L4448" s="7" t="str"/>
    </x:row>
    <x:row r="4449">
      <x:c r="A4449" s="5" t="str">
        <x:v>院</x:v>
      </x:c>
      <x:c r="B4449" s="6" t="str">
        <x:v>去</x:v>
      </x:c>
      <x:c r="C4449" s="6" t="str">
        <x:f>IF(B4449="","Needs decision","Ready")</x:f>
        <x:v>Ready</x:v>
      </x:c>
      <x:c r="D4449" s="6" t="str">
        <x:v>去</x:v>
      </x:c>
      <x:c r="E4449" s="6" t="str">
        <x:v>hjwenH (C)</x:v>
      </x:c>
      <x:c r="F4449" s="6" t="str">
        <x:v>去聲十七霰</x:v>
      </x:c>
      <x:c r="G4449" s="6" t="str">
        <x:v>Pingshui main list, Wikisource-derived DOCX</x:v>
      </x:c>
      <x:c r="H4449" s="6" t="str">
        <x:v>1</x:v>
      </x:c>
      <x:c r="I4449" s="6" t="str"/>
      <x:c r="J4449" s="6" t="str">
        <x:f>IF(B4449="","",IF(AND(ISNUMBER(SEARCH("平",B4449)),OR(ISNUMBER(SEARCH("上",B4449)),ISNUMBER(SEARCH("去",B4449)),ISNUMBER(SEARCH("入",B4449)))),"Ambiguous",IF(ISNUMBER(SEARCH("平",B4449)),"平","仄")))</x:f>
        <x:v>仄</x:v>
      </x:c>
      <x:c r="K4449" s="6" t="str">
        <x:f>IF(D4449="","",IF(AND(ISNUMBER(SEARCH("平",D4449)),OR(ISNUMBER(SEARCH("上",D4449)),ISNUMBER(SEARCH("去",D4449)),ISNUMBER(SEARCH("入",D4449)))),"Ambiguous",IF(ISNUMBER(SEARCH("平",D4449)),"平","仄")))</x:f>
        <x:v>仄</x:v>
      </x:c>
      <x:c r="L4449" s="7" t="str"/>
    </x:row>
    <x:row r="4450">
      <x:c r="A4450" s="5" t="str">
        <x:v>陣</x:v>
      </x:c>
      <x:c r="B4450" s="6" t="str">
        <x:v>去</x:v>
      </x:c>
      <x:c r="C4450" s="6" t="str">
        <x:f>IF(B4450="","Needs decision","Ready")</x:f>
        <x:v>Ready</x:v>
      </x:c>
      <x:c r="D4450" s="6" t="str">
        <x:v>去</x:v>
      </x:c>
      <x:c r="E4450" s="6" t="str">
        <x:v>drinH (C)</x:v>
      </x:c>
      <x:c r="F4450" s="6" t="str">
        <x:v>去聲十二震</x:v>
      </x:c>
      <x:c r="G4450" s="6" t="str">
        <x:v>Pingshui main list, Wikisource-derived DOCX</x:v>
      </x:c>
      <x:c r="H4450" s="6" t="str">
        <x:v>1</x:v>
      </x:c>
      <x:c r="I4450" s="6" t="str"/>
      <x:c r="J4450" s="6" t="str">
        <x:f>IF(B4450="","",IF(AND(ISNUMBER(SEARCH("平",B4450)),OR(ISNUMBER(SEARCH("上",B4450)),ISNUMBER(SEARCH("去",B4450)),ISNUMBER(SEARCH("入",B4450)))),"Ambiguous",IF(ISNUMBER(SEARCH("平",B4450)),"平","仄")))</x:f>
        <x:v>仄</x:v>
      </x:c>
      <x:c r="K4450" s="6" t="str">
        <x:f>IF(D4450="","",IF(AND(ISNUMBER(SEARCH("平",D4450)),OR(ISNUMBER(SEARCH("上",D4450)),ISNUMBER(SEARCH("去",D4450)),ISNUMBER(SEARCH("入",D4450)))),"Ambiguous",IF(ISNUMBER(SEARCH("平",D4450)),"平","仄")))</x:f>
        <x:v>仄</x:v>
      </x:c>
      <x:c r="L4450" s="7" t="str"/>
    </x:row>
    <x:row r="4451">
      <x:c r="A4451" s="5" t="str">
        <x:v>除</x:v>
      </x:c>
      <x:c r="B4451" s="6" t="str">
        <x:v>平</x:v>
      </x:c>
      <x:c r="C4451" s="6" t="str">
        <x:f>IF(B4451="","Needs decision","Ready")</x:f>
        <x:v>Ready</x:v>
      </x:c>
      <x:c r="D4451" s="6" t="str">
        <x:v>平/去</x:v>
      </x:c>
      <x:c r="E4451" s="6" t="str">
        <x:v>drjo (A); drjoH (C)</x:v>
      </x:c>
      <x:c r="F4451" s="6" t="str">
        <x:v>上平聲六魚; 去聲六御</x:v>
      </x:c>
      <x:c r="G4451" s="6" t="str">
        <x:v>Pingshui main list, Wikisource-derived DOCX</x:v>
      </x:c>
      <x:c r="H4451" s="6" t="str">
        <x:v>2</x:v>
      </x:c>
      <x:c r="I4451" s="6" t="str">
        <x:v>User workbook edit 2026-09-03</x:v>
      </x:c>
      <x:c r="J4451" s="6" t="str">
        <x:f>IF(B4451="","",IF(AND(ISNUMBER(SEARCH("平",B4451)),OR(ISNUMBER(SEARCH("上",B4451)),ISNUMBER(SEARCH("去",B4451)),ISNUMBER(SEARCH("入",B4451)))),"Ambiguous",IF(ISNUMBER(SEARCH("平",B4451)),"平","仄")))</x:f>
        <x:v>平</x:v>
      </x:c>
      <x:c r="K4451" s="6" t="str">
        <x:f>IF(D4451="","",IF(AND(ISNUMBER(SEARCH("平",D4451)),OR(ISNUMBER(SEARCH("上",D4451)),ISNUMBER(SEARCH("去",D4451)),ISNUMBER(SEARCH("入",D4451)))),"Ambiguous",IF(ISNUMBER(SEARCH("平",D4451)),"平","仄")))</x:f>
        <x:v>Ambiguous</x:v>
      </x:c>
      <x:c r="L4451" s="7" t="str">
        <x:v>manual user correction</x:v>
      </x:c>
    </x:row>
    <x:row r="4452">
      <x:c r="A4452" s="5" t="str">
        <x:v>陪</x:v>
      </x:c>
      <x:c r="B4452" s="6" t="str">
        <x:v>平</x:v>
      </x:c>
      <x:c r="C4452" s="6" t="str">
        <x:f>IF(B4452="","Needs decision","Ready")</x:f>
        <x:v>Ready</x:v>
      </x:c>
      <x:c r="D4452" s="6" t="str">
        <x:v>平</x:v>
      </x:c>
      <x:c r="E4452" s="6" t="str">
        <x:v>bwoj [b̙wəj] (平)</x:v>
      </x:c>
      <x:c r="F4452" s="6" t="str">
        <x:v>上平聲十灰</x:v>
      </x:c>
      <x:c r="G4452" s="6" t="str">
        <x:v>Pingshui main list, Wikisource-derived DOCX</x:v>
      </x:c>
      <x:c r="H4452" s="6" t="str">
        <x:v>1</x:v>
      </x:c>
      <x:c r="I4452" s="6" t="str">
        <x:v>Tang 300 gap; frequency 1; provisional from Xun Gong</x:v>
      </x:c>
      <x:c r="J4452" s="6" t="str">
        <x:f>IF(B4452="","",IF(AND(ISNUMBER(SEARCH("平",B4452)),OR(ISNUMBER(SEARCH("上",B4452)),ISNUMBER(SEARCH("去",B4452)),ISNUMBER(SEARCH("入",B4452)))),"Ambiguous",IF(ISNUMBER(SEARCH("平",B4452)),"平","仄")))</x:f>
        <x:v>平</x:v>
      </x:c>
      <x:c r="K4452" s="6" t="str">
        <x:f>IF(D4452="","",IF(AND(ISNUMBER(SEARCH("平",D4452)),OR(ISNUMBER(SEARCH("上",D4452)),ISNUMBER(SEARCH("去",D4452)),ISNUMBER(SEARCH("入",D4452)))),"Ambiguous",IF(ISNUMBER(SEARCH("平",D4452)),"平","仄")))</x:f>
        <x:v>平</x:v>
      </x:c>
      <x:c r="L4452" s="7" t="str">
        <x:v>Xun Gong, Tang 300 gap fill</x:v>
      </x:c>
    </x:row>
    <x:row r="4453">
      <x:c r="A4453" s="5" t="str">
        <x:v>陬</x:v>
      </x:c>
      <x:c r="B4453" s="6" t="str">
        <x:v>平</x:v>
      </x:c>
      <x:c r="C4453" s="6" t="str">
        <x:f>IF(B4453="","Needs decision","Ready")</x:f>
        <x:v>Ready</x:v>
      </x:c>
      <x:c r="D4453" s="6" t="str">
        <x:v>平</x:v>
      </x:c>
      <x:c r="E4453" s="6" t="str">
        <x:v>tsrjuw [莊三尤平] tʂɨ̯u; tsuw [精一侯平] t̙s̙u; tsju [精合三虞平] tsjo</x:v>
      </x:c>
      <x:c r="F4453" s="6" t="str">
        <x:v>下平聲十一尤</x:v>
      </x:c>
      <x:c r="G4453" s="6" t="str">
        <x:v>Pingshui main list, Wikisource-derived DOCX</x:v>
      </x:c>
      <x:c r="H4453" s="6" t="str">
        <x:v>3</x:v>
      </x:c>
      <x:c r="I4453" s="6" t="str">
        <x:v>Targeted preliminary fill from Xun Gong; review if uncertain</x:v>
      </x:c>
      <x:c r="J4453" s="6" t="str">
        <x:f>IF(B4453="","",IF(AND(ISNUMBER(SEARCH("平",B4453)),OR(ISNUMBER(SEARCH("上",B4453)),ISNUMBER(SEARCH("去",B4453)),ISNUMBER(SEARCH("入",B4453)))),"Ambiguous",IF(ISNUMBER(SEARCH("平",B4453)),"平","仄")))</x:f>
        <x:v>平</x:v>
      </x:c>
      <x:c r="K4453" s="6" t="str">
        <x:f>IF(D4453="","",IF(AND(ISNUMBER(SEARCH("平",D4453)),OR(ISNUMBER(SEARCH("上",D4453)),ISNUMBER(SEARCH("去",D4453)),ISNUMBER(SEARCH("入",D4453)))),"Ambiguous",IF(ISNUMBER(SEARCH("平",D4453)),"平","仄")))</x:f>
        <x:v>平</x:v>
      </x:c>
      <x:c r="L4453" s="7" t="str">
        <x:v>Xun Gong character-readings.csv</x:v>
      </x:c>
    </x:row>
    <x:row r="4454">
      <x:c r="A4454" s="5" t="str">
        <x:v>陰</x:v>
      </x:c>
      <x:c r="B4454" s="6" t="str">
        <x:v>平</x:v>
      </x:c>
      <x:c r="C4454" s="6" t="str">
        <x:f>IF(B4454="","Needs decision","Ready")</x:f>
        <x:v>Ready</x:v>
      </x:c>
      <x:c r="D4454" s="6" t="str">
        <x:v>平</x:v>
      </x:c>
      <x:c r="E4454" s="6" t="str">
        <x:v>'im (A)</x:v>
      </x:c>
      <x:c r="F4454" s="6" t="str">
        <x:v>下平聲十二侵</x:v>
      </x:c>
      <x:c r="G4454" s="6" t="str">
        <x:v>Pingshui main list, Wikisource-derived DOCX</x:v>
      </x:c>
      <x:c r="H4454" s="6" t="str">
        <x:v>1</x:v>
      </x:c>
      <x:c r="I4454" s="6" t="str"/>
      <x:c r="J4454" s="6" t="str">
        <x:f>IF(B4454="","",IF(AND(ISNUMBER(SEARCH("平",B4454)),OR(ISNUMBER(SEARCH("上",B4454)),ISNUMBER(SEARCH("去",B4454)),ISNUMBER(SEARCH("入",B4454)))),"Ambiguous",IF(ISNUMBER(SEARCH("平",B4454)),"平","仄")))</x:f>
        <x:v>平</x:v>
      </x:c>
      <x:c r="K4454" s="6" t="str">
        <x:f>IF(D4454="","",IF(AND(ISNUMBER(SEARCH("平",D4454)),OR(ISNUMBER(SEARCH("上",D4454)),ISNUMBER(SEARCH("去",D4454)),ISNUMBER(SEARCH("入",D4454)))),"Ambiguous",IF(ISNUMBER(SEARCH("平",D4454)),"平","仄")))</x:f>
        <x:v>平</x:v>
      </x:c>
      <x:c r="L4454" s="7" t="str"/>
    </x:row>
    <x:row r="4455">
      <x:c r="A4455" s="5" t="str">
        <x:v>陲</x:v>
      </x:c>
      <x:c r="B4455" s="6" t="str">
        <x:v>平</x:v>
      </x:c>
      <x:c r="C4455" s="6" t="str">
        <x:f>IF(B4455="","Needs decision","Ready")</x:f>
        <x:v>Ready</x:v>
      </x:c>
      <x:c r="D4455" s="6" t="str">
        <x:v>平</x:v>
      </x:c>
      <x:c r="E4455" s="6" t="str">
        <x:v>dzywe [dʑwie] (平)</x:v>
      </x:c>
      <x:c r="F4455" s="6" t="str">
        <x:v>上平聲四支</x:v>
      </x:c>
      <x:c r="G4455" s="6" t="str">
        <x:v>Pingshui main list, Wikisource-derived DOCX</x:v>
      </x:c>
      <x:c r="H4455" s="6" t="str">
        <x:v>1</x:v>
      </x:c>
      <x:c r="I4455" s="6" t="str">
        <x:v>Tang 300 gap; frequency 2; provisional from Xun Gong</x:v>
      </x:c>
      <x:c r="J4455" s="6" t="str">
        <x:f>IF(B4455="","",IF(AND(ISNUMBER(SEARCH("平",B4455)),OR(ISNUMBER(SEARCH("上",B4455)),ISNUMBER(SEARCH("去",B4455)),ISNUMBER(SEARCH("入",B4455)))),"Ambiguous",IF(ISNUMBER(SEARCH("平",B4455)),"平","仄")))</x:f>
        <x:v>平</x:v>
      </x:c>
      <x:c r="K4455" s="6" t="str">
        <x:f>IF(D4455="","",IF(AND(ISNUMBER(SEARCH("平",D4455)),OR(ISNUMBER(SEARCH("上",D4455)),ISNUMBER(SEARCH("去",D4455)),ISNUMBER(SEARCH("入",D4455)))),"Ambiguous",IF(ISNUMBER(SEARCH("平",D4455)),"平","仄")))</x:f>
        <x:v>平</x:v>
      </x:c>
      <x:c r="L4455" s="7" t="str">
        <x:v>Xun Gong, Tang 300 gap fill</x:v>
      </x:c>
    </x:row>
    <x:row r="4456">
      <x:c r="A4456" s="5" t="str">
        <x:v>陳</x:v>
      </x:c>
      <x:c r="B4456" s="6" t="str">
        <x:v>平</x:v>
      </x:c>
      <x:c r="C4456" s="6" t="str">
        <x:f>IF(B4456="","Needs decision","Ready")</x:f>
        <x:v>Ready</x:v>
      </x:c>
      <x:c r="D4456" s="6" t="str">
        <x:v>平/去</x:v>
      </x:c>
      <x:c r="E4456" s="6" t="str">
        <x:v>drin (A); drinH (C)</x:v>
      </x:c>
      <x:c r="F4456" s="6" t="str">
        <x:v>上平聲十一真</x:v>
      </x:c>
      <x:c r="G4456" s="6" t="str">
        <x:v>Pingshui main list, Wikisource-derived DOCX</x:v>
      </x:c>
      <x:c r="H4456" s="6" t="str">
        <x:v>2</x:v>
      </x:c>
      <x:c r="I4456" s="6" t="str">
        <x:v>User workbook edit 2026-09-03</x:v>
      </x:c>
      <x:c r="J4456" s="6" t="str">
        <x:f>IF(B4456="","",IF(AND(ISNUMBER(SEARCH("平",B4456)),OR(ISNUMBER(SEARCH("上",B4456)),ISNUMBER(SEARCH("去",B4456)),ISNUMBER(SEARCH("入",B4456)))),"Ambiguous",IF(ISNUMBER(SEARCH("平",B4456)),"平","仄")))</x:f>
        <x:v>平</x:v>
      </x:c>
      <x:c r="K4456" s="6" t="str">
        <x:f>IF(D4456="","",IF(AND(ISNUMBER(SEARCH("平",D4456)),OR(ISNUMBER(SEARCH("上",D4456)),ISNUMBER(SEARCH("去",D4456)),ISNUMBER(SEARCH("入",D4456)))),"Ambiguous",IF(ISNUMBER(SEARCH("平",D4456)),"平","仄")))</x:f>
        <x:v>Ambiguous</x:v>
      </x:c>
      <x:c r="L4456" s="7" t="str">
        <x:v>manual user correction</x:v>
      </x:c>
    </x:row>
    <x:row r="4457">
      <x:c r="A4457" s="5" t="str">
        <x:v>陵</x:v>
      </x:c>
      <x:c r="B4457" s="6" t="str">
        <x:v>平</x:v>
      </x:c>
      <x:c r="C4457" s="6" t="str">
        <x:f>IF(B4457="","Needs decision","Ready")</x:f>
        <x:v>Ready</x:v>
      </x:c>
      <x:c r="D4457" s="6" t="str">
        <x:v>平</x:v>
      </x:c>
      <x:c r="E4457" s="6" t="str">
        <x:v>ling (A)</x:v>
      </x:c>
      <x:c r="F4457" s="6" t="str">
        <x:v>下平聲十蒸</x:v>
      </x:c>
      <x:c r="G4457" s="6" t="str">
        <x:v>Pingshui main list, Wikisource-derived DOCX</x:v>
      </x:c>
      <x:c r="H4457" s="6" t="str">
        <x:v>1</x:v>
      </x:c>
      <x:c r="I4457" s="6" t="str"/>
      <x:c r="J4457" s="6" t="str">
        <x:f>IF(B4457="","",IF(AND(ISNUMBER(SEARCH("平",B4457)),OR(ISNUMBER(SEARCH("上",B4457)),ISNUMBER(SEARCH("去",B4457)),ISNUMBER(SEARCH("入",B4457)))),"Ambiguous",IF(ISNUMBER(SEARCH("平",B4457)),"平","仄")))</x:f>
        <x:v>平</x:v>
      </x:c>
      <x:c r="K4457" s="6" t="str">
        <x:f>IF(D4457="","",IF(AND(ISNUMBER(SEARCH("平",D4457)),OR(ISNUMBER(SEARCH("上",D4457)),ISNUMBER(SEARCH("去",D4457)),ISNUMBER(SEARCH("入",D4457)))),"Ambiguous",IF(ISNUMBER(SEARCH("平",D4457)),"平","仄")))</x:f>
        <x:v>平</x:v>
      </x:c>
      <x:c r="L4457" s="7" t="str"/>
    </x:row>
    <x:row r="4458">
      <x:c r="A4458" s="5" t="str">
        <x:v>陶</x:v>
      </x:c>
      <x:c r="B4458" s="6" t="str">
        <x:v>平</x:v>
      </x:c>
      <x:c r="C4458" s="6" t="str">
        <x:f>IF(B4458="","Needs decision","Ready")</x:f>
        <x:v>Ready</x:v>
      </x:c>
      <x:c r="D4458" s="6" t="str">
        <x:v>平</x:v>
      </x:c>
      <x:c r="E4458" s="6" t="str"/>
      <x:c r="F4458" s="6" t="str">
        <x:v>下平聲二蕭; 下平聲四豪</x:v>
      </x:c>
      <x:c r="G4458" s="6" t="str">
        <x:v>Pingshui main list, Wikisource-derived DOCX</x:v>
      </x:c>
      <x:c r="H4458" s="6" t="str"/>
      <x:c r="I4458" s="6" t="str">
        <x:v>Manual user correction/addition</x:v>
      </x:c>
      <x:c r="J4458" s="6" t="str">
        <x:f>IF(B4458="","",IF(AND(ISNUMBER(SEARCH("平",B4458)),OR(ISNUMBER(SEARCH("上",B4458)),ISNUMBER(SEARCH("去",B4458)),ISNUMBER(SEARCH("入",B4458)))),"Ambiguous",IF(ISNUMBER(SEARCH("平",B4458)),"平","仄")))</x:f>
        <x:v>平</x:v>
      </x:c>
      <x:c r="K4458" s="6" t="str">
        <x:f>IF(D4458="","",IF(AND(ISNUMBER(SEARCH("平",D4458)),OR(ISNUMBER(SEARCH("上",D4458)),ISNUMBER(SEARCH("去",D4458)),ISNUMBER(SEARCH("入",D4458)))),"Ambiguous",IF(ISNUMBER(SEARCH("平",D4458)),"平","仄")))</x:f>
        <x:v>平</x:v>
      </x:c>
      <x:c r="L4458" s="7" t="str">
        <x:v>manual user correction</x:v>
      </x:c>
    </x:row>
    <x:row r="4459">
      <x:c r="A4459" s="5" t="str">
        <x:v>陷</x:v>
      </x:c>
      <x:c r="B4459" s="6" t="str">
        <x:v>去</x:v>
      </x:c>
      <x:c r="C4459" s="6" t="str">
        <x:f>IF(B4459="","Needs decision","Ready")</x:f>
        <x:v>Ready</x:v>
      </x:c>
      <x:c r="D4459" s="6" t="str">
        <x:v>去</x:v>
      </x:c>
      <x:c r="E4459" s="6" t="str">
        <x:v>heamH (C)</x:v>
      </x:c>
      <x:c r="F4459" s="6" t="str">
        <x:v>去聲三十陷</x:v>
      </x:c>
      <x:c r="G4459" s="6" t="str">
        <x:v>Pingshui main list, Wikisource-derived DOCX</x:v>
      </x:c>
      <x:c r="H4459" s="6" t="str">
        <x:v>1</x:v>
      </x:c>
      <x:c r="I4459" s="6" t="str"/>
      <x:c r="J4459" s="6" t="str">
        <x:f>IF(B4459="","",IF(AND(ISNUMBER(SEARCH("平",B4459)),OR(ISNUMBER(SEARCH("上",B4459)),ISNUMBER(SEARCH("去",B4459)),ISNUMBER(SEARCH("入",B4459)))),"Ambiguous",IF(ISNUMBER(SEARCH("平",B4459)),"平","仄")))</x:f>
        <x:v>仄</x:v>
      </x:c>
      <x:c r="K4459" s="6" t="str">
        <x:f>IF(D4459="","",IF(AND(ISNUMBER(SEARCH("平",D4459)),OR(ISNUMBER(SEARCH("上",D4459)),ISNUMBER(SEARCH("去",D4459)),ISNUMBER(SEARCH("入",D4459)))),"Ambiguous",IF(ISNUMBER(SEARCH("平",D4459)),"平","仄")))</x:f>
        <x:v>仄</x:v>
      </x:c>
      <x:c r="L4459" s="7" t="str"/>
    </x:row>
    <x:row r="4460">
      <x:c r="A4460" s="5" t="str">
        <x:v>陸</x:v>
      </x:c>
      <x:c r="B4460" s="6" t="str">
        <x:v>入</x:v>
      </x:c>
      <x:c r="C4460" s="6" t="str">
        <x:f>IF(B4460="","Needs decision","Ready")</x:f>
        <x:v>Ready</x:v>
      </x:c>
      <x:c r="D4460" s="6" t="str">
        <x:v>入</x:v>
      </x:c>
      <x:c r="E4460" s="6" t="str">
        <x:v>ljuwk (D)</x:v>
      </x:c>
      <x:c r="F4460" s="6" t="str">
        <x:v>入聲一屋</x:v>
      </x:c>
      <x:c r="G4460" s="6" t="str">
        <x:v>Pingshui main list, Wikisource-derived DOCX</x:v>
      </x:c>
      <x:c r="H4460" s="6" t="str">
        <x:v>1</x:v>
      </x:c>
      <x:c r="I4460" s="6" t="str"/>
      <x:c r="J4460" s="6" t="str">
        <x:f>IF(B4460="","",IF(AND(ISNUMBER(SEARCH("平",B4460)),OR(ISNUMBER(SEARCH("上",B4460)),ISNUMBER(SEARCH("去",B4460)),ISNUMBER(SEARCH("入",B4460)))),"Ambiguous",IF(ISNUMBER(SEARCH("平",B4460)),"平","仄")))</x:f>
        <x:v>仄</x:v>
      </x:c>
      <x:c r="K4460" s="6" t="str">
        <x:f>IF(D4460="","",IF(AND(ISNUMBER(SEARCH("平",D4460)),OR(ISNUMBER(SEARCH("上",D4460)),ISNUMBER(SEARCH("去",D4460)),ISNUMBER(SEARCH("入",D4460)))),"Ambiguous",IF(ISNUMBER(SEARCH("平",D4460)),"平","仄")))</x:f>
        <x:v>仄</x:v>
      </x:c>
      <x:c r="L4460" s="7" t="str"/>
    </x:row>
    <x:row r="4461">
      <x:c r="A4461" s="5" t="str">
        <x:v>陻</x:v>
      </x:c>
      <x:c r="B4461" s="6" t="str">
        <x:v>平</x:v>
      </x:c>
      <x:c r="C4461" s="6" t="str">
        <x:f>IF(B4461="","Needs decision","Ready")</x:f>
        <x:v>Ready</x:v>
      </x:c>
      <x:c r="D4461" s="6" t="str">
        <x:v>平</x:v>
      </x:c>
      <x:c r="E4461" s="6" t="str">
        <x:v>'jin (A)</x:v>
      </x:c>
      <x:c r="F4461" s="6" t="str"/>
      <x:c r="G4461" s="6" t="str"/>
      <x:c r="H4461" s="6" t="str">
        <x:v>1</x:v>
      </x:c>
      <x:c r="I4461" s="6" t="str"/>
      <x:c r="J4461" s="6" t="str">
        <x:f>IF(B4461="","",IF(AND(ISNUMBER(SEARCH("平",B4461)),OR(ISNUMBER(SEARCH("上",B4461)),ISNUMBER(SEARCH("去",B4461)),ISNUMBER(SEARCH("入",B4461)))),"Ambiguous",IF(ISNUMBER(SEARCH("平",B4461)),"平","仄")))</x:f>
        <x:v>平</x:v>
      </x:c>
      <x:c r="K4461" s="6" t="str">
        <x:f>IF(D4461="","",IF(AND(ISNUMBER(SEARCH("平",D4461)),OR(ISNUMBER(SEARCH("上",D4461)),ISNUMBER(SEARCH("去",D4461)),ISNUMBER(SEARCH("入",D4461)))),"Ambiguous",IF(ISNUMBER(SEARCH("平",D4461)),"平","仄")))</x:f>
        <x:v>平</x:v>
      </x:c>
      <x:c r="L4461" s="7" t="str"/>
    </x:row>
    <x:row r="4462">
      <x:c r="A4462" s="5" t="str">
        <x:v>陼</x:v>
      </x:c>
      <x:c r="B4462" s="6" t="str">
        <x:v>上</x:v>
      </x:c>
      <x:c r="C4462" s="6" t="str">
        <x:f>IF(B4462="","Needs decision","Ready")</x:f>
        <x:v>Ready</x:v>
      </x:c>
      <x:c r="D4462" s="6" t="str">
        <x:v>上</x:v>
      </x:c>
      <x:c r="E4462" s="6" t="str">
        <x:v>tsyoX (B)</x:v>
      </x:c>
      <x:c r="F4462" s="6" t="str"/>
      <x:c r="G4462" s="6" t="str"/>
      <x:c r="H4462" s="6" t="str">
        <x:v>1</x:v>
      </x:c>
      <x:c r="I4462" s="6" t="str"/>
      <x:c r="J4462" s="6" t="str">
        <x:f>IF(B4462="","",IF(AND(ISNUMBER(SEARCH("平",B4462)),OR(ISNUMBER(SEARCH("上",B4462)),ISNUMBER(SEARCH("去",B4462)),ISNUMBER(SEARCH("入",B4462)))),"Ambiguous",IF(ISNUMBER(SEARCH("平",B4462)),"平","仄")))</x:f>
        <x:v>仄</x:v>
      </x:c>
      <x:c r="K4462" s="6" t="str">
        <x:f>IF(D4462="","",IF(AND(ISNUMBER(SEARCH("平",D4462)),OR(ISNUMBER(SEARCH("上",D4462)),ISNUMBER(SEARCH("去",D4462)),ISNUMBER(SEARCH("入",D4462)))),"Ambiguous",IF(ISNUMBER(SEARCH("平",D4462)),"平","仄")))</x:f>
        <x:v>仄</x:v>
      </x:c>
      <x:c r="L4462" s="7" t="str"/>
    </x:row>
    <x:row r="4463">
      <x:c r="A4463" s="5" t="str">
        <x:v>陽</x:v>
      </x:c>
      <x:c r="B4463" s="6" t="str">
        <x:v>平</x:v>
      </x:c>
      <x:c r="C4463" s="6" t="str">
        <x:f>IF(B4463="","Needs decision","Ready")</x:f>
        <x:v>Ready</x:v>
      </x:c>
      <x:c r="D4463" s="6" t="str">
        <x:v>平</x:v>
      </x:c>
      <x:c r="E4463" s="6" t="str">
        <x:v>yang (A)</x:v>
      </x:c>
      <x:c r="F4463" s="6" t="str">
        <x:v>下平聲七陽</x:v>
      </x:c>
      <x:c r="G4463" s="6" t="str">
        <x:v>Pingshui main list, Wikisource-derived DOCX</x:v>
      </x:c>
      <x:c r="H4463" s="6" t="str">
        <x:v>1</x:v>
      </x:c>
      <x:c r="I4463" s="6" t="str"/>
      <x:c r="J4463" s="6" t="str">
        <x:f>IF(B4463="","",IF(AND(ISNUMBER(SEARCH("平",B4463)),OR(ISNUMBER(SEARCH("上",B4463)),ISNUMBER(SEARCH("去",B4463)),ISNUMBER(SEARCH("入",B4463)))),"Ambiguous",IF(ISNUMBER(SEARCH("平",B4463)),"平","仄")))</x:f>
        <x:v>平</x:v>
      </x:c>
      <x:c r="K4463" s="6" t="str">
        <x:f>IF(D4463="","",IF(AND(ISNUMBER(SEARCH("平",D4463)),OR(ISNUMBER(SEARCH("上",D4463)),ISNUMBER(SEARCH("去",D4463)),ISNUMBER(SEARCH("入",D4463)))),"Ambiguous",IF(ISNUMBER(SEARCH("平",D4463)),"平","仄")))</x:f>
        <x:v>平</x:v>
      </x:c>
      <x:c r="L4463" s="7" t="str"/>
    </x:row>
    <x:row r="4464">
      <x:c r="A4464" s="5" t="str">
        <x:v>隄</x:v>
      </x:c>
      <x:c r="B4464" s="6" t="str">
        <x:v>平</x:v>
      </x:c>
      <x:c r="C4464" s="6" t="str">
        <x:f>IF(B4464="","Needs decision","Ready")</x:f>
        <x:v>Ready</x:v>
      </x:c>
      <x:c r="D4464" s="6" t="str">
        <x:v>平</x:v>
      </x:c>
      <x:c r="E4464" s="6" t="str">
        <x:v>dej [d̙ej] (平); tej [t̙ej] (平)</x:v>
      </x:c>
      <x:c r="F4464" s="6" t="str">
        <x:v>上平聲八齊</x:v>
      </x:c>
      <x:c r="G4464" s="6" t="str">
        <x:v>Pingshui main list, Wikisource-derived DOCX</x:v>
      </x:c>
      <x:c r="H4464" s="6" t="str">
        <x:v>2</x:v>
      </x:c>
      <x:c r="I4464" s="6" t="str">
        <x:v>Tang 300 gap; frequency 2; provisional from Xun Gong</x:v>
      </x:c>
      <x:c r="J4464" s="6" t="str">
        <x:f>IF(B4464="","",IF(AND(ISNUMBER(SEARCH("平",B4464)),OR(ISNUMBER(SEARCH("上",B4464)),ISNUMBER(SEARCH("去",B4464)),ISNUMBER(SEARCH("入",B4464)))),"Ambiguous",IF(ISNUMBER(SEARCH("平",B4464)),"平","仄")))</x:f>
        <x:v>平</x:v>
      </x:c>
      <x:c r="K4464" s="6" t="str">
        <x:f>IF(D4464="","",IF(AND(ISNUMBER(SEARCH("平",D4464)),OR(ISNUMBER(SEARCH("上",D4464)),ISNUMBER(SEARCH("去",D4464)),ISNUMBER(SEARCH("入",D4464)))),"Ambiguous",IF(ISNUMBER(SEARCH("平",D4464)),"平","仄")))</x:f>
        <x:v>平</x:v>
      </x:c>
      <x:c r="L4464" s="7" t="str">
        <x:v>Xun Gong, Tang 300 gap fill</x:v>
      </x:c>
    </x:row>
    <x:row r="4465">
      <x:c r="A4465" s="5" t="str">
        <x:v>隅</x:v>
      </x:c>
      <x:c r="B4465" s="6" t="str">
        <x:v>平</x:v>
      </x:c>
      <x:c r="C4465" s="6" t="str">
        <x:f>IF(B4465="","Needs decision","Ready")</x:f>
        <x:v>Ready</x:v>
      </x:c>
      <x:c r="D4465" s="6" t="str">
        <x:v>平</x:v>
      </x:c>
      <x:c r="E4465" s="6" t="str">
        <x:v>ngju (A)</x:v>
      </x:c>
      <x:c r="F4465" s="6" t="str">
        <x:v>上平聲七虞</x:v>
      </x:c>
      <x:c r="G4465" s="6" t="str">
        <x:v>Pingshui main list, Wikisource-derived DOCX</x:v>
      </x:c>
      <x:c r="H4465" s="6" t="str">
        <x:v>1</x:v>
      </x:c>
      <x:c r="I4465" s="6" t="str"/>
      <x:c r="J4465" s="6" t="str">
        <x:f>IF(B4465="","",IF(AND(ISNUMBER(SEARCH("平",B4465)),OR(ISNUMBER(SEARCH("上",B4465)),ISNUMBER(SEARCH("去",B4465)),ISNUMBER(SEARCH("入",B4465)))),"Ambiguous",IF(ISNUMBER(SEARCH("平",B4465)),"平","仄")))</x:f>
        <x:v>平</x:v>
      </x:c>
      <x:c r="K4465" s="6" t="str">
        <x:f>IF(D4465="","",IF(AND(ISNUMBER(SEARCH("平",D4465)),OR(ISNUMBER(SEARCH("上",D4465)),ISNUMBER(SEARCH("去",D4465)),ISNUMBER(SEARCH("入",D4465)))),"Ambiguous",IF(ISNUMBER(SEARCH("平",D4465)),"平","仄")))</x:f>
        <x:v>平</x:v>
      </x:c>
      <x:c r="L4465" s="7" t="str"/>
    </x:row>
    <x:row r="4466">
      <x:c r="A4466" s="5" t="str">
        <x:v>隆</x:v>
      </x:c>
      <x:c r="B4466" s="6" t="str">
        <x:v>平</x:v>
      </x:c>
      <x:c r="C4466" s="6" t="str">
        <x:f>IF(B4466="","Needs decision","Ready")</x:f>
        <x:v>Ready</x:v>
      </x:c>
      <x:c r="D4466" s="6" t="str">
        <x:v>平</x:v>
      </x:c>
      <x:c r="E4466" s="6" t="str">
        <x:v>ljuwng (A)</x:v>
      </x:c>
      <x:c r="F4466" s="6" t="str">
        <x:v>上平聲一東</x:v>
      </x:c>
      <x:c r="G4466" s="6" t="str">
        <x:v>Pingshui main list, Wikisource-derived DOCX</x:v>
      </x:c>
      <x:c r="H4466" s="6" t="str">
        <x:v>1</x:v>
      </x:c>
      <x:c r="I4466" s="6" t="str"/>
      <x:c r="J4466" s="6" t="str">
        <x:f>IF(B4466="","",IF(AND(ISNUMBER(SEARCH("平",B4466)),OR(ISNUMBER(SEARCH("上",B4466)),ISNUMBER(SEARCH("去",B4466)),ISNUMBER(SEARCH("入",B4466)))),"Ambiguous",IF(ISNUMBER(SEARCH("平",B4466)),"平","仄")))</x:f>
        <x:v>平</x:v>
      </x:c>
      <x:c r="K4466" s="6" t="str">
        <x:f>IF(D4466="","",IF(AND(ISNUMBER(SEARCH("平",D4466)),OR(ISNUMBER(SEARCH("上",D4466)),ISNUMBER(SEARCH("去",D4466)),ISNUMBER(SEARCH("入",D4466)))),"Ambiguous",IF(ISNUMBER(SEARCH("平",D4466)),"平","仄")))</x:f>
        <x:v>平</x:v>
      </x:c>
      <x:c r="L4466" s="7" t="str"/>
    </x:row>
    <x:row r="4467">
      <x:c r="A4467" s="5" t="str">
        <x:v>隈</x:v>
      </x:c>
      <x:c r="B4467" s="6" t="str">
        <x:v>平</x:v>
      </x:c>
      <x:c r="C4467" s="6" t="str">
        <x:f>IF(B4467="","Needs decision","Ready")</x:f>
        <x:v>Ready</x:v>
      </x:c>
      <x:c r="D4467" s="6" t="str">
        <x:v>平</x:v>
      </x:c>
      <x:c r="E4467" s="6" t="str">
        <x:v>'woj (A)</x:v>
      </x:c>
      <x:c r="F4467" s="6" t="str">
        <x:v>上平聲十灰</x:v>
      </x:c>
      <x:c r="G4467" s="6" t="str">
        <x:v>Pingshui main list, Wikisource-derived DOCX</x:v>
      </x:c>
      <x:c r="H4467" s="6" t="str">
        <x:v>1</x:v>
      </x:c>
      <x:c r="I4467" s="6" t="str"/>
      <x:c r="J4467" s="6" t="str">
        <x:f>IF(B4467="","",IF(AND(ISNUMBER(SEARCH("平",B4467)),OR(ISNUMBER(SEARCH("上",B4467)),ISNUMBER(SEARCH("去",B4467)),ISNUMBER(SEARCH("入",B4467)))),"Ambiguous",IF(ISNUMBER(SEARCH("平",B4467)),"平","仄")))</x:f>
        <x:v>平</x:v>
      </x:c>
      <x:c r="K4467" s="6" t="str">
        <x:f>IF(D4467="","",IF(AND(ISNUMBER(SEARCH("平",D4467)),OR(ISNUMBER(SEARCH("上",D4467)),ISNUMBER(SEARCH("去",D4467)),ISNUMBER(SEARCH("入",D4467)))),"Ambiguous",IF(ISNUMBER(SEARCH("平",D4467)),"平","仄")))</x:f>
        <x:v>平</x:v>
      </x:c>
      <x:c r="L4467" s="7" t="str"/>
    </x:row>
    <x:row r="4468">
      <x:c r="A4468" s="5" t="str">
        <x:v>隊</x:v>
      </x:c>
      <x:c r="B4468" s="6" t="str">
        <x:v>去</x:v>
      </x:c>
      <x:c r="C4468" s="6" t="str">
        <x:f>IF(B4468="","Needs decision","Ready")</x:f>
        <x:v>Ready</x:v>
      </x:c>
      <x:c r="D4468" s="6" t="str">
        <x:v>去</x:v>
      </x:c>
      <x:c r="E4468" s="6" t="str">
        <x:v>dwojH (C); drwijH (C)</x:v>
      </x:c>
      <x:c r="F4468" s="6" t="str">
        <x:v>去聲十一隊</x:v>
      </x:c>
      <x:c r="G4468" s="6" t="str">
        <x:v>Pingshui main list, Wikisource-derived DOCX</x:v>
      </x:c>
      <x:c r="H4468" s="6" t="str">
        <x:v>2</x:v>
      </x:c>
      <x:c r="I4468" s="6" t="str"/>
      <x:c r="J4468" s="6" t="str">
        <x:f>IF(B4468="","",IF(AND(ISNUMBER(SEARCH("平",B4468)),OR(ISNUMBER(SEARCH("上",B4468)),ISNUMBER(SEARCH("去",B4468)),ISNUMBER(SEARCH("入",B4468)))),"Ambiguous",IF(ISNUMBER(SEARCH("平",B4468)),"平","仄")))</x:f>
        <x:v>仄</x:v>
      </x:c>
      <x:c r="K4468" s="6" t="str">
        <x:f>IF(D4468="","",IF(AND(ISNUMBER(SEARCH("平",D4468)),OR(ISNUMBER(SEARCH("上",D4468)),ISNUMBER(SEARCH("去",D4468)),ISNUMBER(SEARCH("入",D4468)))),"Ambiguous",IF(ISNUMBER(SEARCH("平",D4468)),"平","仄")))</x:f>
        <x:v>仄</x:v>
      </x:c>
      <x:c r="L4468" s="7" t="str"/>
    </x:row>
    <x:row r="4469">
      <x:c r="A4469" s="5" t="str">
        <x:v>隋</x:v>
      </x:c>
      <x:c r="B4469" s="6" t="str">
        <x:v>平</x:v>
      </x:c>
      <x:c r="C4469" s="6" t="str">
        <x:f>IF(B4469="","Needs decision","Ready")</x:f>
        <x:v>Ready</x:v>
      </x:c>
      <x:c r="D4469" s="6" t="str">
        <x:v>平/上/去</x:v>
      </x:c>
      <x:c r="E4469" s="6" t="str">
        <x:v>xjwieH (C); dwaX (B); zjwe (A); sjweH (C); thwaX (B)</x:v>
      </x:c>
      <x:c r="F4469" s="6" t="str">
        <x:v>上平聲四支</x:v>
      </x:c>
      <x:c r="G4469" s="6" t="str">
        <x:v>Pingshui main list, Wikisource-derived DOCX</x:v>
      </x:c>
      <x:c r="H4469" s="6" t="str">
        <x:v>5</x:v>
      </x:c>
      <x:c r="I4469" s="6" t="str">
        <x:v>User workbook edit 2026-09-03</x:v>
      </x:c>
      <x:c r="J4469" s="6" t="str">
        <x:f>IF(B4469="","",IF(AND(ISNUMBER(SEARCH("平",B4469)),OR(ISNUMBER(SEARCH("上",B4469)),ISNUMBER(SEARCH("去",B4469)),ISNUMBER(SEARCH("入",B4469)))),"Ambiguous",IF(ISNUMBER(SEARCH("平",B4469)),"平","仄")))</x:f>
        <x:v>平</x:v>
      </x:c>
      <x:c r="K4469" s="6" t="str">
        <x:f>IF(D4469="","",IF(AND(ISNUMBER(SEARCH("平",D4469)),OR(ISNUMBER(SEARCH("上",D4469)),ISNUMBER(SEARCH("去",D4469)),ISNUMBER(SEARCH("入",D4469)))),"Ambiguous",IF(ISNUMBER(SEARCH("平",D4469)),"平","仄")))</x:f>
        <x:v>Ambiguous</x:v>
      </x:c>
      <x:c r="L4469" s="7" t="str">
        <x:v>manual user correction</x:v>
      </x:c>
    </x:row>
    <x:row r="4470">
      <x:c r="A4470" s="5" t="str">
        <x:v>隍</x:v>
      </x:c>
      <x:c r="B4470" s="6" t="str">
        <x:v>平</x:v>
      </x:c>
      <x:c r="C4470" s="6" t="str">
        <x:f>IF(B4470="","Needs decision","Ready")</x:f>
        <x:v>Ready</x:v>
      </x:c>
      <x:c r="D4470" s="6" t="str">
        <x:v>平</x:v>
      </x:c>
      <x:c r="E4470" s="6" t="str">
        <x:v>hwang (A)</x:v>
      </x:c>
      <x:c r="F4470" s="6" t="str">
        <x:v>下平聲七陽</x:v>
      </x:c>
      <x:c r="G4470" s="6" t="str">
        <x:v>Pingshui main list, Wikisource-derived DOCX</x:v>
      </x:c>
      <x:c r="H4470" s="6" t="str">
        <x:v>1</x:v>
      </x:c>
      <x:c r="I4470" s="6" t="str"/>
      <x:c r="J4470" s="6" t="str">
        <x:f>IF(B4470="","",IF(AND(ISNUMBER(SEARCH("平",B4470)),OR(ISNUMBER(SEARCH("上",B4470)),ISNUMBER(SEARCH("去",B4470)),ISNUMBER(SEARCH("入",B4470)))),"Ambiguous",IF(ISNUMBER(SEARCH("平",B4470)),"平","仄")))</x:f>
        <x:v>平</x:v>
      </x:c>
      <x:c r="K4470" s="6" t="str">
        <x:f>IF(D4470="","",IF(AND(ISNUMBER(SEARCH("平",D4470)),OR(ISNUMBER(SEARCH("上",D4470)),ISNUMBER(SEARCH("去",D4470)),ISNUMBER(SEARCH("入",D4470)))),"Ambiguous",IF(ISNUMBER(SEARCH("平",D4470)),"平","仄")))</x:f>
        <x:v>平</x:v>
      </x:c>
      <x:c r="L4470" s="7" t="str"/>
    </x:row>
    <x:row r="4471">
      <x:c r="A4471" s="5" t="str">
        <x:v>階</x:v>
      </x:c>
      <x:c r="B4471" s="6" t="str">
        <x:v>平</x:v>
      </x:c>
      <x:c r="C4471" s="6" t="str">
        <x:f>IF(B4471="","Needs decision","Ready")</x:f>
        <x:v>Ready</x:v>
      </x:c>
      <x:c r="D4471" s="6" t="str">
        <x:v>平</x:v>
      </x:c>
      <x:c r="E4471" s="6" t="str">
        <x:v>keaj (A)</x:v>
      </x:c>
      <x:c r="F4471" s="6" t="str">
        <x:v>上平聲九佳</x:v>
      </x:c>
      <x:c r="G4471" s="6" t="str">
        <x:v>Pingshui main list, Wikisource-derived DOCX</x:v>
      </x:c>
      <x:c r="H4471" s="6" t="str">
        <x:v>1</x:v>
      </x:c>
      <x:c r="I4471" s="6" t="str"/>
      <x:c r="J4471" s="6" t="str">
        <x:f>IF(B4471="","",IF(AND(ISNUMBER(SEARCH("平",B4471)),OR(ISNUMBER(SEARCH("上",B4471)),ISNUMBER(SEARCH("去",B4471)),ISNUMBER(SEARCH("入",B4471)))),"Ambiguous",IF(ISNUMBER(SEARCH("平",B4471)),"平","仄")))</x:f>
        <x:v>平</x:v>
      </x:c>
      <x:c r="K4471" s="6" t="str">
        <x:f>IF(D4471="","",IF(AND(ISNUMBER(SEARCH("平",D4471)),OR(ISNUMBER(SEARCH("上",D4471)),ISNUMBER(SEARCH("去",D4471)),ISNUMBER(SEARCH("入",D4471)))),"Ambiguous",IF(ISNUMBER(SEARCH("平",D4471)),"平","仄")))</x:f>
        <x:v>平</x:v>
      </x:c>
      <x:c r="L4471" s="7" t="str"/>
    </x:row>
    <x:row r="4472">
      <x:c r="A4472" s="5" t="str">
        <x:v>隓</x:v>
      </x:c>
      <x:c r="B4472" s="6" t="str">
        <x:v>上</x:v>
      </x:c>
      <x:c r="C4472" s="6" t="str">
        <x:f>IF(B4472="","Needs decision","Ready")</x:f>
        <x:v>Ready</x:v>
      </x:c>
      <x:c r="D4472" s="6" t="str">
        <x:v>上</x:v>
      </x:c>
      <x:c r="E4472" s="6" t="str">
        <x:v>dwaX (B)</x:v>
      </x:c>
      <x:c r="F4472" s="6" t="str"/>
      <x:c r="G4472" s="6" t="str"/>
      <x:c r="H4472" s="6" t="str">
        <x:v>1</x:v>
      </x:c>
      <x:c r="I4472" s="6" t="str"/>
      <x:c r="J4472" s="6" t="str">
        <x:f>IF(B4472="","",IF(AND(ISNUMBER(SEARCH("平",B4472)),OR(ISNUMBER(SEARCH("上",B4472)),ISNUMBER(SEARCH("去",B4472)),ISNUMBER(SEARCH("入",B4472)))),"Ambiguous",IF(ISNUMBER(SEARCH("平",B4472)),"平","仄")))</x:f>
        <x:v>仄</x:v>
      </x:c>
      <x:c r="K4472" s="6" t="str">
        <x:f>IF(D4472="","",IF(AND(ISNUMBER(SEARCH("平",D4472)),OR(ISNUMBER(SEARCH("上",D4472)),ISNUMBER(SEARCH("去",D4472)),ISNUMBER(SEARCH("入",D4472)))),"Ambiguous",IF(ISNUMBER(SEARCH("平",D4472)),"平","仄")))</x:f>
        <x:v>仄</x:v>
      </x:c>
      <x:c r="L4472" s="7" t="str"/>
    </x:row>
    <x:row r="4473">
      <x:c r="A4473" s="5" t="str">
        <x:v>隔</x:v>
      </x:c>
      <x:c r="B4473" s="6" t="str">
        <x:v>入</x:v>
      </x:c>
      <x:c r="C4473" s="6" t="str">
        <x:f>IF(B4473="","Needs decision","Ready")</x:f>
        <x:v>Ready</x:v>
      </x:c>
      <x:c r="D4473" s="6" t="str">
        <x:v>入</x:v>
      </x:c>
      <x:c r="E4473" s="6" t="str">
        <x:v>keak (D)</x:v>
      </x:c>
      <x:c r="F4473" s="6" t="str">
        <x:v>入聲十一陌</x:v>
      </x:c>
      <x:c r="G4473" s="6" t="str">
        <x:v>Pingshui main list, Wikisource-derived DOCX</x:v>
      </x:c>
      <x:c r="H4473" s="6" t="str">
        <x:v>1</x:v>
      </x:c>
      <x:c r="I4473" s="6" t="str"/>
      <x:c r="J4473" s="6" t="str">
        <x:f>IF(B4473="","",IF(AND(ISNUMBER(SEARCH("平",B4473)),OR(ISNUMBER(SEARCH("上",B4473)),ISNUMBER(SEARCH("去",B4473)),ISNUMBER(SEARCH("入",B4473)))),"Ambiguous",IF(ISNUMBER(SEARCH("平",B4473)),"平","仄")))</x:f>
        <x:v>仄</x:v>
      </x:c>
      <x:c r="K4473" s="6" t="str">
        <x:f>IF(D4473="","",IF(AND(ISNUMBER(SEARCH("平",D4473)),OR(ISNUMBER(SEARCH("上",D4473)),ISNUMBER(SEARCH("去",D4473)),ISNUMBER(SEARCH("入",D4473)))),"Ambiguous",IF(ISNUMBER(SEARCH("平",D4473)),"平","仄")))</x:f>
        <x:v>仄</x:v>
      </x:c>
      <x:c r="L4473" s="7" t="str"/>
    </x:row>
    <x:row r="4474">
      <x:c r="A4474" s="5" t="str">
        <x:v>隕</x:v>
      </x:c>
      <x:c r="B4474" s="6" t="str">
        <x:v>上</x:v>
      </x:c>
      <x:c r="C4474" s="6" t="str">
        <x:f>IF(B4474="","Needs decision","Ready")</x:f>
        <x:v>Ready</x:v>
      </x:c>
      <x:c r="D4474" s="6" t="str">
        <x:v>上</x:v>
      </x:c>
      <x:c r="E4474" s="6" t="str">
        <x:v>hwinX (B)</x:v>
      </x:c>
      <x:c r="F4474" s="6" t="str">
        <x:v>上聲十一軫</x:v>
      </x:c>
      <x:c r="G4474" s="6" t="str">
        <x:v>Pingshui main list, Wikisource-derived DOCX</x:v>
      </x:c>
      <x:c r="H4474" s="6" t="str">
        <x:v>1</x:v>
      </x:c>
      <x:c r="I4474" s="6" t="str"/>
      <x:c r="J4474" s="6" t="str">
        <x:f>IF(B4474="","",IF(AND(ISNUMBER(SEARCH("平",B4474)),OR(ISNUMBER(SEARCH("上",B4474)),ISNUMBER(SEARCH("去",B4474)),ISNUMBER(SEARCH("入",B4474)))),"Ambiguous",IF(ISNUMBER(SEARCH("平",B4474)),"平","仄")))</x:f>
        <x:v>仄</x:v>
      </x:c>
      <x:c r="K4474" s="6" t="str">
        <x:f>IF(D4474="","",IF(AND(ISNUMBER(SEARCH("平",D4474)),OR(ISNUMBER(SEARCH("上",D4474)),ISNUMBER(SEARCH("去",D4474)),ISNUMBER(SEARCH("入",D4474)))),"Ambiguous",IF(ISNUMBER(SEARCH("平",D4474)),"平","仄")))</x:f>
        <x:v>仄</x:v>
      </x:c>
      <x:c r="L4474" s="7" t="str"/>
    </x:row>
    <x:row r="4475">
      <x:c r="A4475" s="5" t="str">
        <x:v>隗</x:v>
      </x:c>
      <x:c r="B4475" s="6" t="str">
        <x:v>上</x:v>
      </x:c>
      <x:c r="C4475" s="6" t="str">
        <x:f>IF(B4475="","Needs decision","Ready")</x:f>
        <x:v>Ready</x:v>
      </x:c>
      <x:c r="D4475" s="6" t="str">
        <x:v>上</x:v>
      </x:c>
      <x:c r="E4475" s="6" t="str">
        <x:v>ngwojX [ɴwəjʔ] (上)</x:v>
      </x:c>
      <x:c r="F4475" s="6" t="str">
        <x:v>上平聲十灰; 上聲十賄</x:v>
      </x:c>
      <x:c r="G4475" s="6" t="str">
        <x:v>Pingshui main list, Wikisource-derived DOCX</x:v>
      </x:c>
      <x:c r="H4475" s="6" t="str">
        <x:v>1</x:v>
      </x:c>
      <x:c r="I4475" s="6" t="str">
        <x:v>Tang 300 gap; frequency 1; provisional from Xun Gong</x:v>
      </x:c>
      <x:c r="J4475" s="6" t="str">
        <x:f>IF(B4475="","",IF(AND(ISNUMBER(SEARCH("平",B4475)),OR(ISNUMBER(SEARCH("上",B4475)),ISNUMBER(SEARCH("去",B4475)),ISNUMBER(SEARCH("入",B4475)))),"Ambiguous",IF(ISNUMBER(SEARCH("平",B4475)),"平","仄")))</x:f>
        <x:v>仄</x:v>
      </x:c>
      <x:c r="K4475" s="6" t="str">
        <x:f>IF(D4475="","",IF(AND(ISNUMBER(SEARCH("平",D4475)),OR(ISNUMBER(SEARCH("上",D4475)),ISNUMBER(SEARCH("去",D4475)),ISNUMBER(SEARCH("入",D4475)))),"Ambiguous",IF(ISNUMBER(SEARCH("平",D4475)),"平","仄")))</x:f>
        <x:v>仄</x:v>
      </x:c>
      <x:c r="L4475" s="7" t="str">
        <x:v>Xun Gong, Tang 300 gap fill</x:v>
      </x:c>
    </x:row>
    <x:row r="4476">
      <x:c r="A4476" s="5" t="str">
        <x:v>隘</x:v>
      </x:c>
      <x:c r="B4476" s="6" t="str"/>
      <x:c r="C4476" s="6" t="str">
        <x:f>IF(B4476="","Needs decision","Ready")</x:f>
        <x:v>Needs decision</x:v>
      </x:c>
      <x:c r="D4476" s="6" t="str">
        <x:v>去/入</x:v>
      </x:c>
      <x:c r="E4476" s="6" t="str">
        <x:v>'eaH (C); 'eak (D)</x:v>
      </x:c>
      <x:c r="F4476" s="6" t="str">
        <x:v>去聲十卦</x:v>
      </x:c>
      <x:c r="G4476" s="6" t="str">
        <x:v>Pingshui main list, Wikisource-derived DOCX</x:v>
      </x:c>
      <x:c r="H4476" s="6" t="str">
        <x:v>2</x:v>
      </x:c>
      <x:c r="I4476" s="6" t="str"/>
      <x:c r="J4476" s="6" t="str">
        <x:f>IF(B4476="","",IF(AND(ISNUMBER(SEARCH("平",B4476)),OR(ISNUMBER(SEARCH("上",B4476)),ISNUMBER(SEARCH("去",B4476)),ISNUMBER(SEARCH("入",B4476)))),"Ambiguous",IF(ISNUMBER(SEARCH("平",B4476)),"平","仄")))</x:f>
      </x:c>
      <x:c r="K4476" s="6" t="str">
        <x:f>IF(D4476="","",IF(AND(ISNUMBER(SEARCH("平",D4476)),OR(ISNUMBER(SEARCH("上",D4476)),ISNUMBER(SEARCH("去",D4476)),ISNUMBER(SEARCH("入",D4476)))),"Ambiguous",IF(ISNUMBER(SEARCH("平",D4476)),"平","仄")))</x:f>
        <x:v>仄</x:v>
      </x:c>
      <x:c r="L4476" s="7" t="str"/>
    </x:row>
    <x:row r="4477">
      <x:c r="A4477" s="5" t="str">
        <x:v>隙</x:v>
      </x:c>
      <x:c r="B4477" s="6" t="str">
        <x:v>入</x:v>
      </x:c>
      <x:c r="C4477" s="6" t="str">
        <x:f>IF(B4477="","Needs decision","Ready")</x:f>
        <x:v>Ready</x:v>
      </x:c>
      <x:c r="D4477" s="6" t="str">
        <x:v>入</x:v>
      </x:c>
      <x:c r="E4477" s="6" t="str">
        <x:v>khjaek (D)</x:v>
      </x:c>
      <x:c r="F4477" s="6" t="str">
        <x:v>入聲十一陌</x:v>
      </x:c>
      <x:c r="G4477" s="6" t="str">
        <x:v>Pingshui main list, Wikisource-derived DOCX</x:v>
      </x:c>
      <x:c r="H4477" s="6" t="str">
        <x:v>1</x:v>
      </x:c>
      <x:c r="I4477" s="6" t="str"/>
      <x:c r="J4477" s="6" t="str">
        <x:f>IF(B4477="","",IF(AND(ISNUMBER(SEARCH("平",B4477)),OR(ISNUMBER(SEARCH("上",B4477)),ISNUMBER(SEARCH("去",B4477)),ISNUMBER(SEARCH("入",B4477)))),"Ambiguous",IF(ISNUMBER(SEARCH("平",B4477)),"平","仄")))</x:f>
        <x:v>仄</x:v>
      </x:c>
      <x:c r="K4477" s="6" t="str">
        <x:f>IF(D4477="","",IF(AND(ISNUMBER(SEARCH("平",D4477)),OR(ISNUMBER(SEARCH("上",D4477)),ISNUMBER(SEARCH("去",D4477)),ISNUMBER(SEARCH("入",D4477)))),"Ambiguous",IF(ISNUMBER(SEARCH("平",D4477)),"平","仄")))</x:f>
        <x:v>仄</x:v>
      </x:c>
      <x:c r="L4477" s="7" t="str"/>
    </x:row>
    <x:row r="4478">
      <x:c r="A4478" s="5" t="str">
        <x:v>際</x:v>
      </x:c>
      <x:c r="B4478" s="6" t="str">
        <x:v>去</x:v>
      </x:c>
      <x:c r="C4478" s="6" t="str">
        <x:f>IF(B4478="","Needs decision","Ready")</x:f>
        <x:v>Ready</x:v>
      </x:c>
      <x:c r="D4478" s="6" t="str">
        <x:v>去</x:v>
      </x:c>
      <x:c r="E4478" s="6" t="str">
        <x:v>tsjejH (C)</x:v>
      </x:c>
      <x:c r="F4478" s="6" t="str">
        <x:v>去聲八霽</x:v>
      </x:c>
      <x:c r="G4478" s="6" t="str">
        <x:v>Pingshui main list, Wikisource-derived DOCX</x:v>
      </x:c>
      <x:c r="H4478" s="6" t="str">
        <x:v>1</x:v>
      </x:c>
      <x:c r="I4478" s="6" t="str"/>
      <x:c r="J4478" s="6" t="str">
        <x:f>IF(B4478="","",IF(AND(ISNUMBER(SEARCH("平",B4478)),OR(ISNUMBER(SEARCH("上",B4478)),ISNUMBER(SEARCH("去",B4478)),ISNUMBER(SEARCH("入",B4478)))),"Ambiguous",IF(ISNUMBER(SEARCH("平",B4478)),"平","仄")))</x:f>
        <x:v>仄</x:v>
      </x:c>
      <x:c r="K4478" s="6" t="str">
        <x:f>IF(D4478="","",IF(AND(ISNUMBER(SEARCH("平",D4478)),OR(ISNUMBER(SEARCH("上",D4478)),ISNUMBER(SEARCH("去",D4478)),ISNUMBER(SEARCH("入",D4478)))),"Ambiguous",IF(ISNUMBER(SEARCH("平",D4478)),"平","仄")))</x:f>
        <x:v>仄</x:v>
      </x:c>
      <x:c r="L4478" s="7" t="str"/>
    </x:row>
    <x:row r="4479">
      <x:c r="A4479" s="5" t="str">
        <x:v>障</x:v>
      </x:c>
      <x:c r="B4479" s="6" t="str">
        <x:v>去</x:v>
      </x:c>
      <x:c r="C4479" s="6" t="str">
        <x:f>IF(B4479="","Needs decision","Ready")</x:f>
        <x:v>Ready</x:v>
      </x:c>
      <x:c r="D4479" s="6" t="str">
        <x:v>平/去</x:v>
      </x:c>
      <x:c r="E4479" s="6" t="str">
        <x:v>tsyangH [章開三陽去] tɕɑŋh; tsyang [章開三陽平] tɕɑŋ</x:v>
      </x:c>
      <x:c r="F4479" s="6" t="str">
        <x:v>下平聲七陽; 去聲二十三漾</x:v>
      </x:c>
      <x:c r="G4479" s="6" t="str">
        <x:v>Pingshui main list, Wikisource-derived DOCX</x:v>
      </x:c>
      <x:c r="H4479" s="6" t="str">
        <x:v>2</x:v>
      </x:c>
      <x:c r="I4479" s="6" t="str">
        <x:v>Targeted preliminary fill from Xun Gong; review if uncertain; User correction 2026-09-08</x:v>
      </x:c>
      <x:c r="J4479" s="6" t="str">
        <x:f>IF(B4479="","",IF(AND(ISNUMBER(SEARCH("平",B4479)),OR(ISNUMBER(SEARCH("上",B4479)),ISNUMBER(SEARCH("去",B4479)),ISNUMBER(SEARCH("入",B4479)))),"Ambiguous",IF(ISNUMBER(SEARCH("平",B4479)),"平","仄")))</x:f>
        <x:v>仄</x:v>
      </x:c>
      <x:c r="K4479" s="6" t="str">
        <x:f>IF(D4479="","",IF(AND(ISNUMBER(SEARCH("平",D4479)),OR(ISNUMBER(SEARCH("上",D4479)),ISNUMBER(SEARCH("去",D4479)),ISNUMBER(SEARCH("入",D4479)))),"Ambiguous",IF(ISNUMBER(SEARCH("平",D4479)),"平","仄")))</x:f>
        <x:v>Ambiguous</x:v>
      </x:c>
      <x:c r="L4479" s="7" t="str">
        <x:v>Xun Gong character-readings.csv</x:v>
      </x:c>
    </x:row>
    <x:row r="4480">
      <x:c r="A4480" s="5" t="str">
        <x:v>隤</x:v>
      </x:c>
      <x:c r="B4480" s="6" t="str">
        <x:v>平</x:v>
      </x:c>
      <x:c r="C4480" s="6" t="str">
        <x:f>IF(B4480="","Needs decision","Ready")</x:f>
        <x:v>Ready</x:v>
      </x:c>
      <x:c r="D4480" s="6" t="str">
        <x:v>平</x:v>
      </x:c>
      <x:c r="E4480" s="6" t="str">
        <x:v>dwoj (A)</x:v>
      </x:c>
      <x:c r="F4480" s="6" t="str">
        <x:v>上平聲十灰</x:v>
      </x:c>
      <x:c r="G4480" s="6" t="str">
        <x:v>Pingshui main list, Wikisource-derived DOCX</x:v>
      </x:c>
      <x:c r="H4480" s="6" t="str">
        <x:v>1</x:v>
      </x:c>
      <x:c r="I4480" s="6" t="str"/>
      <x:c r="J4480" s="6" t="str">
        <x:f>IF(B4480="","",IF(AND(ISNUMBER(SEARCH("平",B4480)),OR(ISNUMBER(SEARCH("上",B4480)),ISNUMBER(SEARCH("去",B4480)),ISNUMBER(SEARCH("入",B4480)))),"Ambiguous",IF(ISNUMBER(SEARCH("平",B4480)),"平","仄")))</x:f>
        <x:v>平</x:v>
      </x:c>
      <x:c r="K4480" s="6" t="str">
        <x:f>IF(D4480="","",IF(AND(ISNUMBER(SEARCH("平",D4480)),OR(ISNUMBER(SEARCH("上",D4480)),ISNUMBER(SEARCH("去",D4480)),ISNUMBER(SEARCH("入",D4480)))),"Ambiguous",IF(ISNUMBER(SEARCH("平",D4480)),"平","仄")))</x:f>
        <x:v>平</x:v>
      </x:c>
      <x:c r="L4480" s="7" t="str"/>
    </x:row>
    <x:row r="4481">
      <x:c r="A4481" s="5" t="str">
        <x:v>隧</x:v>
      </x:c>
      <x:c r="B4481" s="6" t="str">
        <x:v>去</x:v>
      </x:c>
      <x:c r="C4481" s="6" t="str">
        <x:f>IF(B4481="","Needs decision","Ready")</x:f>
        <x:v>Ready</x:v>
      </x:c>
      <x:c r="D4481" s="6" t="str">
        <x:v>去</x:v>
      </x:c>
      <x:c r="E4481" s="6" t="str">
        <x:v>zwijH (C)</x:v>
      </x:c>
      <x:c r="F4481" s="6" t="str">
        <x:v>去聲四寘</x:v>
      </x:c>
      <x:c r="G4481" s="6" t="str">
        <x:v>Pingshui main list, Wikisource-derived DOCX</x:v>
      </x:c>
      <x:c r="H4481" s="6" t="str">
        <x:v>1</x:v>
      </x:c>
      <x:c r="I4481" s="6" t="str"/>
      <x:c r="J4481" s="6" t="str">
        <x:f>IF(B4481="","",IF(AND(ISNUMBER(SEARCH("平",B4481)),OR(ISNUMBER(SEARCH("上",B4481)),ISNUMBER(SEARCH("去",B4481)),ISNUMBER(SEARCH("入",B4481)))),"Ambiguous",IF(ISNUMBER(SEARCH("平",B4481)),"平","仄")))</x:f>
        <x:v>仄</x:v>
      </x:c>
      <x:c r="K4481" s="6" t="str">
        <x:f>IF(D4481="","",IF(AND(ISNUMBER(SEARCH("平",D4481)),OR(ISNUMBER(SEARCH("上",D4481)),ISNUMBER(SEARCH("去",D4481)),ISNUMBER(SEARCH("入",D4481)))),"Ambiguous",IF(ISNUMBER(SEARCH("平",D4481)),"平","仄")))</x:f>
        <x:v>仄</x:v>
      </x:c>
      <x:c r="L4481" s="7" t="str"/>
    </x:row>
    <x:row r="4482">
      <x:c r="A4482" s="5" t="str">
        <x:v>隨</x:v>
      </x:c>
      <x:c r="B4482" s="6" t="str">
        <x:v>平</x:v>
      </x:c>
      <x:c r="C4482" s="6" t="str">
        <x:f>IF(B4482="","Needs decision","Ready")</x:f>
        <x:v>Ready</x:v>
      </x:c>
      <x:c r="D4482" s="6" t="str">
        <x:v>平</x:v>
      </x:c>
      <x:c r="E4482" s="6" t="str">
        <x:v>zjwe (A)</x:v>
      </x:c>
      <x:c r="F4482" s="6" t="str">
        <x:v>上平聲四支</x:v>
      </x:c>
      <x:c r="G4482" s="6" t="str">
        <x:v>Pingshui main list, Wikisource-derived DOCX</x:v>
      </x:c>
      <x:c r="H4482" s="6" t="str">
        <x:v>1</x:v>
      </x:c>
      <x:c r="I4482" s="6" t="str"/>
      <x:c r="J4482" s="6" t="str">
        <x:f>IF(B4482="","",IF(AND(ISNUMBER(SEARCH("平",B4482)),OR(ISNUMBER(SEARCH("上",B4482)),ISNUMBER(SEARCH("去",B4482)),ISNUMBER(SEARCH("入",B4482)))),"Ambiguous",IF(ISNUMBER(SEARCH("平",B4482)),"平","仄")))</x:f>
        <x:v>平</x:v>
      </x:c>
      <x:c r="K4482" s="6" t="str">
        <x:f>IF(D4482="","",IF(AND(ISNUMBER(SEARCH("平",D4482)),OR(ISNUMBER(SEARCH("上",D4482)),ISNUMBER(SEARCH("去",D4482)),ISNUMBER(SEARCH("入",D4482)))),"Ambiguous",IF(ISNUMBER(SEARCH("平",D4482)),"平","仄")))</x:f>
        <x:v>平</x:v>
      </x:c>
      <x:c r="L4482" s="7" t="str"/>
    </x:row>
    <x:row r="4483">
      <x:c r="A4483" s="5" t="str">
        <x:v>隩</x:v>
      </x:c>
      <x:c r="B4483" s="6" t="str"/>
      <x:c r="C4483" s="6" t="str">
        <x:f>IF(B4483="","Needs decision","Ready")</x:f>
        <x:v>Needs decision</x:v>
      </x:c>
      <x:c r="D4483" s="6" t="str">
        <x:v>去/入</x:v>
      </x:c>
      <x:c r="E4483" s="6" t="str">
        <x:v>'awH [ʔ̙əwh] (去); 'juwk [ʔɨ̯uk] (入)</x:v>
      </x:c>
      <x:c r="F4483" s="6" t="str">
        <x:v>去聲二十號</x:v>
      </x:c>
      <x:c r="G4483" s="6" t="str">
        <x:v>Pingshui main list, Wikisource-derived DOCX</x:v>
      </x:c>
      <x:c r="H4483" s="6" t="str">
        <x:v>2</x:v>
      </x:c>
      <x:c r="I4483" s="6" t="str">
        <x:v>Tang 300 gap; frequency 1; ambiguous in Xun Gong</x:v>
      </x:c>
      <x:c r="J4483" s="6" t="str">
        <x:f>IF(B4483="","",IF(AND(ISNUMBER(SEARCH("平",B4483)),OR(ISNUMBER(SEARCH("上",B4483)),ISNUMBER(SEARCH("去",B4483)),ISNUMBER(SEARCH("入",B4483)))),"Ambiguous",IF(ISNUMBER(SEARCH("平",B4483)),"平","仄")))</x:f>
      </x:c>
      <x:c r="K4483" s="6" t="str">
        <x:f>IF(D4483="","",IF(AND(ISNUMBER(SEARCH("平",D4483)),OR(ISNUMBER(SEARCH("上",D4483)),ISNUMBER(SEARCH("去",D4483)),ISNUMBER(SEARCH("入",D4483)))),"Ambiguous",IF(ISNUMBER(SEARCH("平",D4483)),"平","仄")))</x:f>
        <x:v>仄</x:v>
      </x:c>
      <x:c r="L4483" s="7" t="str">
        <x:v>Xun Gong, Tang 300 gap fill</x:v>
      </x:c>
    </x:row>
    <x:row r="4484">
      <x:c r="A4484" s="5" t="str">
        <x:v>險</x:v>
      </x:c>
      <x:c r="B4484" s="6" t="str">
        <x:v>上</x:v>
      </x:c>
      <x:c r="C4484" s="6" t="str">
        <x:f>IF(B4484="","Needs decision","Ready")</x:f>
        <x:v>Ready</x:v>
      </x:c>
      <x:c r="D4484" s="6" t="str">
        <x:v>上</x:v>
      </x:c>
      <x:c r="E4484" s="6" t="str">
        <x:v>xjaemX (B); xjemX (B)</x:v>
      </x:c>
      <x:c r="F4484" s="6" t="str">
        <x:v>上聲二十八琰</x:v>
      </x:c>
      <x:c r="G4484" s="6" t="str">
        <x:v>Pingshui main list, Wikisource-derived DOCX</x:v>
      </x:c>
      <x:c r="H4484" s="6" t="str">
        <x:v>2</x:v>
      </x:c>
      <x:c r="I4484" s="6" t="str"/>
      <x:c r="J4484" s="6" t="str">
        <x:f>IF(B4484="","",IF(AND(ISNUMBER(SEARCH("平",B4484)),OR(ISNUMBER(SEARCH("上",B4484)),ISNUMBER(SEARCH("去",B4484)),ISNUMBER(SEARCH("入",B4484)))),"Ambiguous",IF(ISNUMBER(SEARCH("平",B4484)),"平","仄")))</x:f>
        <x:v>仄</x:v>
      </x:c>
      <x:c r="K4484" s="6" t="str">
        <x:f>IF(D4484="","",IF(AND(ISNUMBER(SEARCH("平",D4484)),OR(ISNUMBER(SEARCH("上",D4484)),ISNUMBER(SEARCH("去",D4484)),ISNUMBER(SEARCH("入",D4484)))),"Ambiguous",IF(ISNUMBER(SEARCH("平",D4484)),"平","仄")))</x:f>
        <x:v>仄</x:v>
      </x:c>
      <x:c r="L4484" s="7" t="str"/>
    </x:row>
    <x:row r="4485">
      <x:c r="A4485" s="5" t="str">
        <x:v>隮</x:v>
      </x:c>
      <x:c r="B4485" s="6" t="str">
        <x:v>平</x:v>
      </x:c>
      <x:c r="C4485" s="6" t="str">
        <x:f>IF(B4485="","Needs decision","Ready")</x:f>
        <x:v>Ready</x:v>
      </x:c>
      <x:c r="D4485" s="6" t="str">
        <x:v>平</x:v>
      </x:c>
      <x:c r="E4485" s="6" t="str">
        <x:v>tsej (A)</x:v>
      </x:c>
      <x:c r="F4485" s="6" t="str"/>
      <x:c r="G4485" s="6" t="str"/>
      <x:c r="H4485" s="6" t="str">
        <x:v>1</x:v>
      </x:c>
      <x:c r="I4485" s="6" t="str"/>
      <x:c r="J4485" s="6" t="str">
        <x:f>IF(B4485="","",IF(AND(ISNUMBER(SEARCH("平",B4485)),OR(ISNUMBER(SEARCH("上",B4485)),ISNUMBER(SEARCH("去",B4485)),ISNUMBER(SEARCH("入",B4485)))),"Ambiguous",IF(ISNUMBER(SEARCH("平",B4485)),"平","仄")))</x:f>
        <x:v>平</x:v>
      </x:c>
      <x:c r="K4485" s="6" t="str">
        <x:f>IF(D4485="","",IF(AND(ISNUMBER(SEARCH("平",D4485)),OR(ISNUMBER(SEARCH("上",D4485)),ISNUMBER(SEARCH("去",D4485)),ISNUMBER(SEARCH("入",D4485)))),"Ambiguous",IF(ISNUMBER(SEARCH("平",D4485)),"平","仄")))</x:f>
        <x:v>平</x:v>
      </x:c>
      <x:c r="L4485" s="7" t="str"/>
    </x:row>
    <x:row r="4486">
      <x:c r="A4486" s="5" t="str">
        <x:v>隰</x:v>
      </x:c>
      <x:c r="B4486" s="6" t="str">
        <x:v>入</x:v>
      </x:c>
      <x:c r="C4486" s="6" t="str">
        <x:f>IF(B4486="","Needs decision","Ready")</x:f>
        <x:v>Ready</x:v>
      </x:c>
      <x:c r="D4486" s="6" t="str">
        <x:v>入</x:v>
      </x:c>
      <x:c r="E4486" s="6" t="str">
        <x:v>zip (D)</x:v>
      </x:c>
      <x:c r="F4486" s="6" t="str">
        <x:v>入聲十四緝</x:v>
      </x:c>
      <x:c r="G4486" s="6" t="str">
        <x:v>Pingshui main list, Wikisource-derived DOCX</x:v>
      </x:c>
      <x:c r="H4486" s="6" t="str">
        <x:v>1</x:v>
      </x:c>
      <x:c r="I4486" s="6" t="str"/>
      <x:c r="J4486" s="6" t="str">
        <x:f>IF(B4486="","",IF(AND(ISNUMBER(SEARCH("平",B4486)),OR(ISNUMBER(SEARCH("上",B4486)),ISNUMBER(SEARCH("去",B4486)),ISNUMBER(SEARCH("入",B4486)))),"Ambiguous",IF(ISNUMBER(SEARCH("平",B4486)),"平","仄")))</x:f>
        <x:v>仄</x:v>
      </x:c>
      <x:c r="K4486" s="6" t="str">
        <x:f>IF(D4486="","",IF(AND(ISNUMBER(SEARCH("平",D4486)),OR(ISNUMBER(SEARCH("上",D4486)),ISNUMBER(SEARCH("去",D4486)),ISNUMBER(SEARCH("入",D4486)))),"Ambiguous",IF(ISNUMBER(SEARCH("平",D4486)),"平","仄")))</x:f>
        <x:v>仄</x:v>
      </x:c>
      <x:c r="L4486" s="7" t="str"/>
    </x:row>
    <x:row r="4487">
      <x:c r="A4487" s="5" t="str">
        <x:v>隱</x:v>
      </x:c>
      <x:c r="B4487" s="6" t="str">
        <x:v>上</x:v>
      </x:c>
      <x:c r="C4487" s="6" t="str">
        <x:f>IF(B4487="","Needs decision","Ready")</x:f>
        <x:v>Ready</x:v>
      </x:c>
      <x:c r="D4487" s="6" t="str">
        <x:v>上/去</x:v>
      </x:c>
      <x:c r="E4487" s="6" t="str">
        <x:v>'j+nX (B); 'j+nH (C)</x:v>
      </x:c>
      <x:c r="F4487" s="6" t="str">
        <x:v>上聲十二吻; 去聲十三問</x:v>
      </x:c>
      <x:c r="G4487" s="6" t="str">
        <x:v>Pingshui main list, Wikisource-derived DOCX</x:v>
      </x:c>
      <x:c r="H4487" s="6" t="str">
        <x:v>2</x:v>
      </x:c>
      <x:c r="I4487" s="6" t="str"/>
      <x:c r="J4487" s="6" t="str">
        <x:f>IF(B4487="","",IF(AND(ISNUMBER(SEARCH("平",B4487)),OR(ISNUMBER(SEARCH("上",B4487)),ISNUMBER(SEARCH("去",B4487)),ISNUMBER(SEARCH("入",B4487)))),"Ambiguous",IF(ISNUMBER(SEARCH("平",B4487)),"平","仄")))</x:f>
        <x:v>仄</x:v>
      </x:c>
      <x:c r="K4487" s="6" t="str">
        <x:f>IF(D4487="","",IF(AND(ISNUMBER(SEARCH("平",D4487)),OR(ISNUMBER(SEARCH("上",D4487)),ISNUMBER(SEARCH("去",D4487)),ISNUMBER(SEARCH("入",D4487)))),"Ambiguous",IF(ISNUMBER(SEARCH("平",D4487)),"平","仄")))</x:f>
        <x:v>仄</x:v>
      </x:c>
      <x:c r="L4487" s="7" t="str"/>
    </x:row>
    <x:row r="4488">
      <x:c r="A4488" s="5" t="str">
        <x:v>隳</x:v>
      </x:c>
      <x:c r="B4488" s="6" t="str">
        <x:v>平</x:v>
      </x:c>
      <x:c r="C4488" s="6" t="str">
        <x:f>IF(B4488="","Needs decision","Ready")</x:f>
        <x:v>Ready</x:v>
      </x:c>
      <x:c r="D4488" s="6" t="str">
        <x:v>平</x:v>
      </x:c>
      <x:c r="E4488" s="6" t="str">
        <x:v>xjwie (A)</x:v>
      </x:c>
      <x:c r="F4488" s="6" t="str"/>
      <x:c r="G4488" s="6" t="str"/>
      <x:c r="H4488" s="6" t="str">
        <x:v>1</x:v>
      </x:c>
      <x:c r="I4488" s="6" t="str"/>
      <x:c r="J4488" s="6" t="str">
        <x:f>IF(B4488="","",IF(AND(ISNUMBER(SEARCH("平",B4488)),OR(ISNUMBER(SEARCH("上",B4488)),ISNUMBER(SEARCH("去",B4488)),ISNUMBER(SEARCH("入",B4488)))),"Ambiguous",IF(ISNUMBER(SEARCH("平",B4488)),"平","仄")))</x:f>
        <x:v>平</x:v>
      </x:c>
      <x:c r="K4488" s="6" t="str">
        <x:f>IF(D4488="","",IF(AND(ISNUMBER(SEARCH("平",D4488)),OR(ISNUMBER(SEARCH("上",D4488)),ISNUMBER(SEARCH("去",D4488)),ISNUMBER(SEARCH("入",D4488)))),"Ambiguous",IF(ISNUMBER(SEARCH("平",D4488)),"平","仄")))</x:f>
        <x:v>平</x:v>
      </x:c>
      <x:c r="L4488" s="7" t="str"/>
    </x:row>
    <x:row r="4489">
      <x:c r="A4489" s="5" t="str">
        <x:v>隴</x:v>
      </x:c>
      <x:c r="B4489" s="6" t="str">
        <x:v>上</x:v>
      </x:c>
      <x:c r="C4489" s="6" t="str">
        <x:f>IF(B4489="","Needs decision","Ready")</x:f>
        <x:v>Ready</x:v>
      </x:c>
      <x:c r="D4489" s="6" t="str">
        <x:v>上</x:v>
      </x:c>
      <x:c r="E4489" s="6" t="str">
        <x:v>ljowngX (B)</x:v>
      </x:c>
      <x:c r="F4489" s="6" t="str">
        <x:v>上聲二腫</x:v>
      </x:c>
      <x:c r="G4489" s="6" t="str">
        <x:v>Pingshui main list, Wikisource-derived DOCX</x:v>
      </x:c>
      <x:c r="H4489" s="6" t="str">
        <x:v>1</x:v>
      </x:c>
      <x:c r="I4489" s="6" t="str"/>
      <x:c r="J4489" s="6" t="str">
        <x:f>IF(B4489="","",IF(AND(ISNUMBER(SEARCH("平",B4489)),OR(ISNUMBER(SEARCH("上",B4489)),ISNUMBER(SEARCH("去",B4489)),ISNUMBER(SEARCH("入",B4489)))),"Ambiguous",IF(ISNUMBER(SEARCH("平",B4489)),"平","仄")))</x:f>
        <x:v>仄</x:v>
      </x:c>
      <x:c r="K4489" s="6" t="str">
        <x:f>IF(D4489="","",IF(AND(ISNUMBER(SEARCH("平",D4489)),OR(ISNUMBER(SEARCH("上",D4489)),ISNUMBER(SEARCH("去",D4489)),ISNUMBER(SEARCH("入",D4489)))),"Ambiguous",IF(ISNUMBER(SEARCH("平",D4489)),"平","仄")))</x:f>
        <x:v>仄</x:v>
      </x:c>
      <x:c r="L4489" s="7" t="str"/>
    </x:row>
    <x:row r="4490">
      <x:c r="A4490" s="5" t="str">
        <x:v>隶</x:v>
      </x:c>
      <x:c r="B4490" s="6" t="str">
        <x:v>去</x:v>
      </x:c>
      <x:c r="C4490" s="6" t="str">
        <x:f>IF(B4490="","Needs decision","Ready")</x:f>
        <x:v>Ready</x:v>
      </x:c>
      <x:c r="D4490" s="6" t="str">
        <x:v>去</x:v>
      </x:c>
      <x:c r="E4490" s="6" t="str">
        <x:v>dojH (C)</x:v>
      </x:c>
      <x:c r="F4490" s="6" t="str"/>
      <x:c r="G4490" s="6" t="str"/>
      <x:c r="H4490" s="6" t="str">
        <x:v>1</x:v>
      </x:c>
      <x:c r="I4490" s="6" t="str"/>
      <x:c r="J4490" s="6" t="str">
        <x:f>IF(B4490="","",IF(AND(ISNUMBER(SEARCH("平",B4490)),OR(ISNUMBER(SEARCH("上",B4490)),ISNUMBER(SEARCH("去",B4490)),ISNUMBER(SEARCH("入",B4490)))),"Ambiguous",IF(ISNUMBER(SEARCH("平",B4490)),"平","仄")))</x:f>
        <x:v>仄</x:v>
      </x:c>
      <x:c r="K4490" s="6" t="str">
        <x:f>IF(D4490="","",IF(AND(ISNUMBER(SEARCH("平",D4490)),OR(ISNUMBER(SEARCH("上",D4490)),ISNUMBER(SEARCH("去",D4490)),ISNUMBER(SEARCH("入",D4490)))),"Ambiguous",IF(ISNUMBER(SEARCH("平",D4490)),"平","仄")))</x:f>
        <x:v>仄</x:v>
      </x:c>
      <x:c r="L4490" s="7" t="str"/>
    </x:row>
    <x:row r="4491">
      <x:c r="A4491" s="5" t="str">
        <x:v>隸</x:v>
      </x:c>
      <x:c r="B4491" s="6" t="str">
        <x:v>去</x:v>
      </x:c>
      <x:c r="C4491" s="6" t="str">
        <x:f>IF(B4491="","Needs decision","Ready")</x:f>
        <x:v>Ready</x:v>
      </x:c>
      <x:c r="D4491" s="6" t="str">
        <x:v>去</x:v>
      </x:c>
      <x:c r="E4491" s="6" t="str">
        <x:v>lejH (C)</x:v>
      </x:c>
      <x:c r="F4491" s="6" t="str">
        <x:v>去聲八霽</x:v>
      </x:c>
      <x:c r="G4491" s="6" t="str">
        <x:v>Pingshui main list, Wikisource-derived DOCX</x:v>
      </x:c>
      <x:c r="H4491" s="6" t="str">
        <x:v>1</x:v>
      </x:c>
      <x:c r="I4491" s="6" t="str"/>
      <x:c r="J4491" s="6" t="str">
        <x:f>IF(B4491="","",IF(AND(ISNUMBER(SEARCH("平",B4491)),OR(ISNUMBER(SEARCH("上",B4491)),ISNUMBER(SEARCH("去",B4491)),ISNUMBER(SEARCH("入",B4491)))),"Ambiguous",IF(ISNUMBER(SEARCH("平",B4491)),"平","仄")))</x:f>
        <x:v>仄</x:v>
      </x:c>
      <x:c r="K4491" s="6" t="str">
        <x:f>IF(D4491="","",IF(AND(ISNUMBER(SEARCH("平",D4491)),OR(ISNUMBER(SEARCH("上",D4491)),ISNUMBER(SEARCH("去",D4491)),ISNUMBER(SEARCH("入",D4491)))),"Ambiguous",IF(ISNUMBER(SEARCH("平",D4491)),"平","仄")))</x:f>
        <x:v>仄</x:v>
      </x:c>
      <x:c r="L4491" s="7" t="str"/>
    </x:row>
    <x:row r="4492">
      <x:c r="A4492" s="5" t="str">
        <x:v>隹</x:v>
      </x:c>
      <x:c r="B4492" s="6" t="str">
        <x:v>平</x:v>
      </x:c>
      <x:c r="C4492" s="6" t="str">
        <x:f>IF(B4492="","Needs decision","Ready")</x:f>
        <x:v>Ready</x:v>
      </x:c>
      <x:c r="D4492" s="6" t="str">
        <x:v>平</x:v>
      </x:c>
      <x:c r="E4492" s="6" t="str">
        <x:v>tsywij (A)</x:v>
      </x:c>
      <x:c r="F4492" s="6" t="str"/>
      <x:c r="G4492" s="6" t="str"/>
      <x:c r="H4492" s="6" t="str">
        <x:v>1</x:v>
      </x:c>
      <x:c r="I4492" s="6" t="str"/>
      <x:c r="J4492" s="6" t="str">
        <x:f>IF(B4492="","",IF(AND(ISNUMBER(SEARCH("平",B4492)),OR(ISNUMBER(SEARCH("上",B4492)),ISNUMBER(SEARCH("去",B4492)),ISNUMBER(SEARCH("入",B4492)))),"Ambiguous",IF(ISNUMBER(SEARCH("平",B4492)),"平","仄")))</x:f>
        <x:v>平</x:v>
      </x:c>
      <x:c r="K4492" s="6" t="str">
        <x:f>IF(D4492="","",IF(AND(ISNUMBER(SEARCH("平",D4492)),OR(ISNUMBER(SEARCH("上",D4492)),ISNUMBER(SEARCH("去",D4492)),ISNUMBER(SEARCH("入",D4492)))),"Ambiguous",IF(ISNUMBER(SEARCH("平",D4492)),"平","仄")))</x:f>
        <x:v>平</x:v>
      </x:c>
      <x:c r="L4492" s="7" t="str"/>
    </x:row>
    <x:row r="4493">
      <x:c r="A4493" s="5" t="str">
        <x:v>隺</x:v>
      </x:c>
      <x:c r="B4493" s="6" t="str">
        <x:v>入</x:v>
      </x:c>
      <x:c r="C4493" s="6" t="str">
        <x:f>IF(B4493="","Needs decision","Ready")</x:f>
        <x:v>Ready</x:v>
      </x:c>
      <x:c r="D4493" s="6" t="str">
        <x:v>入</x:v>
      </x:c>
      <x:c r="E4493" s="6" t="str">
        <x:v>howk (D)</x:v>
      </x:c>
      <x:c r="F4493" s="6" t="str"/>
      <x:c r="G4493" s="6" t="str"/>
      <x:c r="H4493" s="6" t="str">
        <x:v>1</x:v>
      </x:c>
      <x:c r="I4493" s="6" t="str"/>
      <x:c r="J4493" s="6" t="str">
        <x:f>IF(B4493="","",IF(AND(ISNUMBER(SEARCH("平",B4493)),OR(ISNUMBER(SEARCH("上",B4493)),ISNUMBER(SEARCH("去",B4493)),ISNUMBER(SEARCH("入",B4493)))),"Ambiguous",IF(ISNUMBER(SEARCH("平",B4493)),"平","仄")))</x:f>
        <x:v>仄</x:v>
      </x:c>
      <x:c r="K4493" s="6" t="str">
        <x:f>IF(D4493="","",IF(AND(ISNUMBER(SEARCH("平",D4493)),OR(ISNUMBER(SEARCH("上",D4493)),ISNUMBER(SEARCH("去",D4493)),ISNUMBER(SEARCH("入",D4493)))),"Ambiguous",IF(ISNUMBER(SEARCH("平",D4493)),"平","仄")))</x:f>
        <x:v>仄</x:v>
      </x:c>
      <x:c r="L4493" s="7" t="str"/>
    </x:row>
    <x:row r="4494">
      <x:c r="A4494" s="5" t="str">
        <x:v>隻</x:v>
      </x:c>
      <x:c r="B4494" s="6" t="str">
        <x:v>入</x:v>
      </x:c>
      <x:c r="C4494" s="6" t="str">
        <x:f>IF(B4494="","Needs decision","Ready")</x:f>
        <x:v>Ready</x:v>
      </x:c>
      <x:c r="D4494" s="6" t="str">
        <x:v>入</x:v>
      </x:c>
      <x:c r="E4494" s="6" t="str">
        <x:v>tsyek (D)</x:v>
      </x:c>
      <x:c r="F4494" s="6" t="str">
        <x:v>入聲十一陌</x:v>
      </x:c>
      <x:c r="G4494" s="6" t="str">
        <x:v>Pingshui main list, Wikisource-derived DOCX</x:v>
      </x:c>
      <x:c r="H4494" s="6" t="str">
        <x:v>1</x:v>
      </x:c>
      <x:c r="I4494" s="6" t="str"/>
      <x:c r="J4494" s="6" t="str">
        <x:f>IF(B4494="","",IF(AND(ISNUMBER(SEARCH("平",B4494)),OR(ISNUMBER(SEARCH("上",B4494)),ISNUMBER(SEARCH("去",B4494)),ISNUMBER(SEARCH("入",B4494)))),"Ambiguous",IF(ISNUMBER(SEARCH("平",B4494)),"平","仄")))</x:f>
        <x:v>仄</x:v>
      </x:c>
      <x:c r="K4494" s="6" t="str">
        <x:f>IF(D4494="","",IF(AND(ISNUMBER(SEARCH("平",D4494)),OR(ISNUMBER(SEARCH("上",D4494)),ISNUMBER(SEARCH("去",D4494)),ISNUMBER(SEARCH("入",D4494)))),"Ambiguous",IF(ISNUMBER(SEARCH("平",D4494)),"平","仄")))</x:f>
        <x:v>仄</x:v>
      </x:c>
      <x:c r="L4494" s="7" t="str"/>
    </x:row>
    <x:row r="4495">
      <x:c r="A4495" s="5" t="str">
        <x:v>隼</x:v>
      </x:c>
      <x:c r="B4495" s="6" t="str">
        <x:v>上</x:v>
      </x:c>
      <x:c r="C4495" s="6" t="str">
        <x:f>IF(B4495="","Needs decision","Ready")</x:f>
        <x:v>Ready</x:v>
      </x:c>
      <x:c r="D4495" s="6" t="str">
        <x:v>上</x:v>
      </x:c>
      <x:c r="E4495" s="6" t="str">
        <x:v>swinX (B)</x:v>
      </x:c>
      <x:c r="F4495" s="6" t="str">
        <x:v>上聲十一軫</x:v>
      </x:c>
      <x:c r="G4495" s="6" t="str">
        <x:v>Pingshui main list, Wikisource-derived DOCX</x:v>
      </x:c>
      <x:c r="H4495" s="6" t="str">
        <x:v>1</x:v>
      </x:c>
      <x:c r="I4495" s="6" t="str"/>
      <x:c r="J4495" s="6" t="str">
        <x:f>IF(B4495="","",IF(AND(ISNUMBER(SEARCH("平",B4495)),OR(ISNUMBER(SEARCH("上",B4495)),ISNUMBER(SEARCH("去",B4495)),ISNUMBER(SEARCH("入",B4495)))),"Ambiguous",IF(ISNUMBER(SEARCH("平",B4495)),"平","仄")))</x:f>
        <x:v>仄</x:v>
      </x:c>
      <x:c r="K4495" s="6" t="str">
        <x:f>IF(D4495="","",IF(AND(ISNUMBER(SEARCH("平",D4495)),OR(ISNUMBER(SEARCH("上",D4495)),ISNUMBER(SEARCH("去",D4495)),ISNUMBER(SEARCH("入",D4495)))),"Ambiguous",IF(ISNUMBER(SEARCH("平",D4495)),"平","仄")))</x:f>
        <x:v>仄</x:v>
      </x:c>
      <x:c r="L4495" s="7" t="str"/>
    </x:row>
    <x:row r="4496">
      <x:c r="A4496" s="5" t="str">
        <x:v>雀</x:v>
      </x:c>
      <x:c r="B4496" s="6" t="str">
        <x:v>入</x:v>
      </x:c>
      <x:c r="C4496" s="6" t="str">
        <x:f>IF(B4496="","Needs decision","Ready")</x:f>
        <x:v>Ready</x:v>
      </x:c>
      <x:c r="D4496" s="6" t="str">
        <x:v>入</x:v>
      </x:c>
      <x:c r="E4496" s="6" t="str">
        <x:v>tsjak (D)</x:v>
      </x:c>
      <x:c r="F4496" s="6" t="str">
        <x:v>入聲十藥</x:v>
      </x:c>
      <x:c r="G4496" s="6" t="str">
        <x:v>Pingshui main list, Wikisource-derived DOCX</x:v>
      </x:c>
      <x:c r="H4496" s="6" t="str">
        <x:v>1</x:v>
      </x:c>
      <x:c r="I4496" s="6" t="str"/>
      <x:c r="J4496" s="6" t="str">
        <x:f>IF(B4496="","",IF(AND(ISNUMBER(SEARCH("平",B4496)),OR(ISNUMBER(SEARCH("上",B4496)),ISNUMBER(SEARCH("去",B4496)),ISNUMBER(SEARCH("入",B4496)))),"Ambiguous",IF(ISNUMBER(SEARCH("平",B4496)),"平","仄")))</x:f>
        <x:v>仄</x:v>
      </x:c>
      <x:c r="K4496" s="6" t="str">
        <x:f>IF(D4496="","",IF(AND(ISNUMBER(SEARCH("平",D4496)),OR(ISNUMBER(SEARCH("上",D4496)),ISNUMBER(SEARCH("去",D4496)),ISNUMBER(SEARCH("入",D4496)))),"Ambiguous",IF(ISNUMBER(SEARCH("平",D4496)),"平","仄")))</x:f>
        <x:v>仄</x:v>
      </x:c>
      <x:c r="L4496" s="7" t="str"/>
    </x:row>
    <x:row r="4497">
      <x:c r="A4497" s="5" t="str">
        <x:v>雁</x:v>
      </x:c>
      <x:c r="B4497" s="6" t="str">
        <x:v>去</x:v>
      </x:c>
      <x:c r="C4497" s="6" t="str">
        <x:f>IF(B4497="","Needs decision","Ready")</x:f>
        <x:v>Ready</x:v>
      </x:c>
      <x:c r="D4497" s="6" t="str">
        <x:v>去</x:v>
      </x:c>
      <x:c r="E4497" s="6" t="str">
        <x:v>ngaenH (C)</x:v>
      </x:c>
      <x:c r="F4497" s="6" t="str"/>
      <x:c r="G4497" s="6" t="str"/>
      <x:c r="H4497" s="6" t="str">
        <x:v>1</x:v>
      </x:c>
      <x:c r="I4497" s="6" t="str"/>
      <x:c r="J4497" s="6" t="str">
        <x:f>IF(B4497="","",IF(AND(ISNUMBER(SEARCH("平",B4497)),OR(ISNUMBER(SEARCH("上",B4497)),ISNUMBER(SEARCH("去",B4497)),ISNUMBER(SEARCH("入",B4497)))),"Ambiguous",IF(ISNUMBER(SEARCH("平",B4497)),"平","仄")))</x:f>
        <x:v>仄</x:v>
      </x:c>
      <x:c r="K4497" s="6" t="str">
        <x:f>IF(D4497="","",IF(AND(ISNUMBER(SEARCH("平",D4497)),OR(ISNUMBER(SEARCH("上",D4497)),ISNUMBER(SEARCH("去",D4497)),ISNUMBER(SEARCH("入",D4497)))),"Ambiguous",IF(ISNUMBER(SEARCH("平",D4497)),"平","仄")))</x:f>
        <x:v>仄</x:v>
      </x:c>
      <x:c r="L4497" s="7" t="str"/>
    </x:row>
    <x:row r="4498">
      <x:c r="A4498" s="5" t="str">
        <x:v>雄</x:v>
      </x:c>
      <x:c r="B4498" s="6" t="str">
        <x:v>平</x:v>
      </x:c>
      <x:c r="C4498" s="6" t="str">
        <x:f>IF(B4498="","Needs decision","Ready")</x:f>
        <x:v>Ready</x:v>
      </x:c>
      <x:c r="D4498" s="6" t="str">
        <x:v>平</x:v>
      </x:c>
      <x:c r="E4498" s="6" t="str">
        <x:v>hjuwng (A)</x:v>
      </x:c>
      <x:c r="F4498" s="6" t="str">
        <x:v>上平聲一東</x:v>
      </x:c>
      <x:c r="G4498" s="6" t="str">
        <x:v>Pingshui main list, Wikisource-derived DOCX</x:v>
      </x:c>
      <x:c r="H4498" s="6" t="str">
        <x:v>1</x:v>
      </x:c>
      <x:c r="I4498" s="6" t="str"/>
      <x:c r="J4498" s="6" t="str">
        <x:f>IF(B4498="","",IF(AND(ISNUMBER(SEARCH("平",B4498)),OR(ISNUMBER(SEARCH("上",B4498)),ISNUMBER(SEARCH("去",B4498)),ISNUMBER(SEARCH("入",B4498)))),"Ambiguous",IF(ISNUMBER(SEARCH("平",B4498)),"平","仄")))</x:f>
        <x:v>平</x:v>
      </x:c>
      <x:c r="K4498" s="6" t="str">
        <x:f>IF(D4498="","",IF(AND(ISNUMBER(SEARCH("平",D4498)),OR(ISNUMBER(SEARCH("上",D4498)),ISNUMBER(SEARCH("去",D4498)),ISNUMBER(SEARCH("入",D4498)))),"Ambiguous",IF(ISNUMBER(SEARCH("平",D4498)),"平","仄")))</x:f>
        <x:v>平</x:v>
      </x:c>
      <x:c r="L4498" s="7" t="str"/>
    </x:row>
    <x:row r="4499">
      <x:c r="A4499" s="5" t="str">
        <x:v>雅</x:v>
      </x:c>
      <x:c r="B4499" s="6" t="str">
        <x:v>上</x:v>
      </x:c>
      <x:c r="C4499" s="6" t="str">
        <x:f>IF(B4499="","Needs decision","Ready")</x:f>
        <x:v>Ready</x:v>
      </x:c>
      <x:c r="D4499" s="6" t="str">
        <x:v>上</x:v>
      </x:c>
      <x:c r="E4499" s="6" t="str">
        <x:v>ngaeX (B)</x:v>
      </x:c>
      <x:c r="F4499" s="6" t="str">
        <x:v>上聲二十一馬</x:v>
      </x:c>
      <x:c r="G4499" s="6" t="str">
        <x:v>Pingshui main list, Wikisource-derived DOCX</x:v>
      </x:c>
      <x:c r="H4499" s="6" t="str">
        <x:v>1</x:v>
      </x:c>
      <x:c r="I4499" s="6" t="str"/>
      <x:c r="J4499" s="6" t="str">
        <x:f>IF(B4499="","",IF(AND(ISNUMBER(SEARCH("平",B4499)),OR(ISNUMBER(SEARCH("上",B4499)),ISNUMBER(SEARCH("去",B4499)),ISNUMBER(SEARCH("入",B4499)))),"Ambiguous",IF(ISNUMBER(SEARCH("平",B4499)),"平","仄")))</x:f>
        <x:v>仄</x:v>
      </x:c>
      <x:c r="K4499" s="6" t="str">
        <x:f>IF(D4499="","",IF(AND(ISNUMBER(SEARCH("平",D4499)),OR(ISNUMBER(SEARCH("上",D4499)),ISNUMBER(SEARCH("去",D4499)),ISNUMBER(SEARCH("入",D4499)))),"Ambiguous",IF(ISNUMBER(SEARCH("平",D4499)),"平","仄")))</x:f>
        <x:v>仄</x:v>
      </x:c>
      <x:c r="L4499" s="7" t="str"/>
    </x:row>
    <x:row r="4500">
      <x:c r="A4500" s="5" t="str">
        <x:v>集</x:v>
      </x:c>
      <x:c r="B4500" s="6" t="str">
        <x:v>入</x:v>
      </x:c>
      <x:c r="C4500" s="6" t="str">
        <x:f>IF(B4500="","Needs decision","Ready")</x:f>
        <x:v>Ready</x:v>
      </x:c>
      <x:c r="D4500" s="6" t="str">
        <x:v>入</x:v>
      </x:c>
      <x:c r="E4500" s="6" t="str">
        <x:v>dzip (D)</x:v>
      </x:c>
      <x:c r="F4500" s="6" t="str">
        <x:v>入聲十四緝</x:v>
      </x:c>
      <x:c r="G4500" s="6" t="str">
        <x:v>Pingshui main list, Wikisource-derived DOCX</x:v>
      </x:c>
      <x:c r="H4500" s="6" t="str">
        <x:v>1</x:v>
      </x:c>
      <x:c r="I4500" s="6" t="str"/>
      <x:c r="J4500" s="6" t="str">
        <x:f>IF(B4500="","",IF(AND(ISNUMBER(SEARCH("平",B4500)),OR(ISNUMBER(SEARCH("上",B4500)),ISNUMBER(SEARCH("去",B4500)),ISNUMBER(SEARCH("入",B4500)))),"Ambiguous",IF(ISNUMBER(SEARCH("平",B4500)),"平","仄")))</x:f>
        <x:v>仄</x:v>
      </x:c>
      <x:c r="K4500" s="6" t="str">
        <x:f>IF(D4500="","",IF(AND(ISNUMBER(SEARCH("平",D4500)),OR(ISNUMBER(SEARCH("上",D4500)),ISNUMBER(SEARCH("去",D4500)),ISNUMBER(SEARCH("入",D4500)))),"Ambiguous",IF(ISNUMBER(SEARCH("平",D4500)),"平","仄")))</x:f>
        <x:v>仄</x:v>
      </x:c>
      <x:c r="L4500" s="7" t="str"/>
    </x:row>
    <x:row r="4501">
      <x:c r="A4501" s="5" t="str">
        <x:v>雇</x:v>
      </x:c>
      <x:c r="B4501" s="6" t="str">
        <x:v>去</x:v>
      </x:c>
      <x:c r="C4501" s="6" t="str">
        <x:f>IF(B4501="","Needs decision","Ready")</x:f>
        <x:v>Ready</x:v>
      </x:c>
      <x:c r="D4501" s="6" t="str">
        <x:v>去</x:v>
      </x:c>
      <x:c r="E4501" s="6" t="str">
        <x:v>kuH (C)</x:v>
      </x:c>
      <x:c r="F4501" s="6" t="str">
        <x:v>上聲七麌; 去聲七遇</x:v>
      </x:c>
      <x:c r="G4501" s="6" t="str">
        <x:v>Pingshui main list, Wikisource-derived DOCX</x:v>
      </x:c>
      <x:c r="H4501" s="6" t="str">
        <x:v>1</x:v>
      </x:c>
      <x:c r="I4501" s="6" t="str"/>
      <x:c r="J4501" s="6" t="str">
        <x:f>IF(B4501="","",IF(AND(ISNUMBER(SEARCH("平",B4501)),OR(ISNUMBER(SEARCH("上",B4501)),ISNUMBER(SEARCH("去",B4501)),ISNUMBER(SEARCH("入",B4501)))),"Ambiguous",IF(ISNUMBER(SEARCH("平",B4501)),"平","仄")))</x:f>
        <x:v>仄</x:v>
      </x:c>
      <x:c r="K4501" s="6" t="str">
        <x:f>IF(D4501="","",IF(AND(ISNUMBER(SEARCH("平",D4501)),OR(ISNUMBER(SEARCH("上",D4501)),ISNUMBER(SEARCH("去",D4501)),ISNUMBER(SEARCH("入",D4501)))),"Ambiguous",IF(ISNUMBER(SEARCH("平",D4501)),"平","仄")))</x:f>
        <x:v>仄</x:v>
      </x:c>
      <x:c r="L4501" s="7" t="str"/>
    </x:row>
    <x:row r="4502">
      <x:c r="A4502" s="5" t="str">
        <x:v>雈</x:v>
      </x:c>
      <x:c r="B4502" s="6" t="str">
        <x:v>平</x:v>
      </x:c>
      <x:c r="C4502" s="6" t="str">
        <x:f>IF(B4502="","Needs decision","Ready")</x:f>
        <x:v>Ready</x:v>
      </x:c>
      <x:c r="D4502" s="6" t="str">
        <x:v>平</x:v>
      </x:c>
      <x:c r="E4502" s="6" t="str">
        <x:v>hwan (A)</x:v>
      </x:c>
      <x:c r="F4502" s="6" t="str"/>
      <x:c r="G4502" s="6" t="str"/>
      <x:c r="H4502" s="6" t="str">
        <x:v>1</x:v>
      </x:c>
      <x:c r="I4502" s="6" t="str"/>
      <x:c r="J4502" s="6" t="str">
        <x:f>IF(B4502="","",IF(AND(ISNUMBER(SEARCH("平",B4502)),OR(ISNUMBER(SEARCH("上",B4502)),ISNUMBER(SEARCH("去",B4502)),ISNUMBER(SEARCH("入",B4502)))),"Ambiguous",IF(ISNUMBER(SEARCH("平",B4502)),"平","仄")))</x:f>
        <x:v>平</x:v>
      </x:c>
      <x:c r="K4502" s="6" t="str">
        <x:f>IF(D4502="","",IF(AND(ISNUMBER(SEARCH("平",D4502)),OR(ISNUMBER(SEARCH("上",D4502)),ISNUMBER(SEARCH("去",D4502)),ISNUMBER(SEARCH("入",D4502)))),"Ambiguous",IF(ISNUMBER(SEARCH("平",D4502)),"平","仄")))</x:f>
        <x:v>平</x:v>
      </x:c>
      <x:c r="L4502" s="7" t="str"/>
    </x:row>
    <x:row r="4503">
      <x:c r="A4503" s="5" t="str">
        <x:v>雉</x:v>
      </x:c>
      <x:c r="B4503" s="6" t="str">
        <x:v>上</x:v>
      </x:c>
      <x:c r="C4503" s="6" t="str">
        <x:f>IF(B4503="","Needs decision","Ready")</x:f>
        <x:v>Ready</x:v>
      </x:c>
      <x:c r="D4503" s="6" t="str">
        <x:v>上</x:v>
      </x:c>
      <x:c r="E4503" s="6" t="str">
        <x:v>drijX (B)</x:v>
      </x:c>
      <x:c r="F4503" s="6" t="str">
        <x:v>上聲四紙</x:v>
      </x:c>
      <x:c r="G4503" s="6" t="str">
        <x:v>Pingshui main list, Wikisource-derived DOCX</x:v>
      </x:c>
      <x:c r="H4503" s="6" t="str">
        <x:v>1</x:v>
      </x:c>
      <x:c r="I4503" s="6" t="str"/>
      <x:c r="J4503" s="6" t="str">
        <x:f>IF(B4503="","",IF(AND(ISNUMBER(SEARCH("平",B4503)),OR(ISNUMBER(SEARCH("上",B4503)),ISNUMBER(SEARCH("去",B4503)),ISNUMBER(SEARCH("入",B4503)))),"Ambiguous",IF(ISNUMBER(SEARCH("平",B4503)),"平","仄")))</x:f>
        <x:v>仄</x:v>
      </x:c>
      <x:c r="K4503" s="6" t="str">
        <x:f>IF(D4503="","",IF(AND(ISNUMBER(SEARCH("平",D4503)),OR(ISNUMBER(SEARCH("上",D4503)),ISNUMBER(SEARCH("去",D4503)),ISNUMBER(SEARCH("入",D4503)))),"Ambiguous",IF(ISNUMBER(SEARCH("平",D4503)),"平","仄")))</x:f>
        <x:v>仄</x:v>
      </x:c>
      <x:c r="L4503" s="7" t="str"/>
    </x:row>
    <x:row r="4504">
      <x:c r="A4504" s="5" t="str">
        <x:v>雊</x:v>
      </x:c>
      <x:c r="B4504" s="6" t="str">
        <x:v>去</x:v>
      </x:c>
      <x:c r="C4504" s="6" t="str">
        <x:f>IF(B4504="","Needs decision","Ready")</x:f>
        <x:v>Ready</x:v>
      </x:c>
      <x:c r="D4504" s="6" t="str">
        <x:v>去</x:v>
      </x:c>
      <x:c r="E4504" s="6" t="str">
        <x:v>kuwH [quh] (去)</x:v>
      </x:c>
      <x:c r="F4504" s="6" t="str">
        <x:v>去聲二十六宥</x:v>
      </x:c>
      <x:c r="G4504" s="6" t="str">
        <x:v>Pingshui main list, Wikisource-derived DOCX</x:v>
      </x:c>
      <x:c r="H4504" s="6" t="str">
        <x:v>1</x:v>
      </x:c>
      <x:c r="I4504" s="6" t="str">
        <x:v>Tang 300 gap; frequency 1; provisional from Xun Gong</x:v>
      </x:c>
      <x:c r="J4504" s="6" t="str">
        <x:f>IF(B4504="","",IF(AND(ISNUMBER(SEARCH("平",B4504)),OR(ISNUMBER(SEARCH("上",B4504)),ISNUMBER(SEARCH("去",B4504)),ISNUMBER(SEARCH("入",B4504)))),"Ambiguous",IF(ISNUMBER(SEARCH("平",B4504)),"平","仄")))</x:f>
        <x:v>仄</x:v>
      </x:c>
      <x:c r="K4504" s="6" t="str">
        <x:f>IF(D4504="","",IF(AND(ISNUMBER(SEARCH("平",D4504)),OR(ISNUMBER(SEARCH("上",D4504)),ISNUMBER(SEARCH("去",D4504)),ISNUMBER(SEARCH("入",D4504)))),"Ambiguous",IF(ISNUMBER(SEARCH("平",D4504)),"平","仄")))</x:f>
        <x:v>仄</x:v>
      </x:c>
      <x:c r="L4504" s="7" t="str">
        <x:v>Xun Gong, Tang 300 gap fill</x:v>
      </x:c>
    </x:row>
    <x:row r="4505">
      <x:c r="A4505" s="5" t="str">
        <x:v>雌</x:v>
      </x:c>
      <x:c r="B4505" s="6" t="str">
        <x:v>平</x:v>
      </x:c>
      <x:c r="C4505" s="6" t="str">
        <x:f>IF(B4505="","Needs decision","Ready")</x:f>
        <x:v>Ready</x:v>
      </x:c>
      <x:c r="D4505" s="6" t="str">
        <x:v>平</x:v>
      </x:c>
      <x:c r="E4505" s="6" t="str">
        <x:v>tshje [tsʰie] (平)</x:v>
      </x:c>
      <x:c r="F4505" s="6" t="str">
        <x:v>上平聲四支</x:v>
      </x:c>
      <x:c r="G4505" s="6" t="str">
        <x:v>Pingshui main list, Wikisource-derived DOCX</x:v>
      </x:c>
      <x:c r="H4505" s="6" t="str">
        <x:v>1</x:v>
      </x:c>
      <x:c r="I4505" s="6" t="str">
        <x:v>Tang 300 gap; frequency 1; provisional from Xun Gong</x:v>
      </x:c>
      <x:c r="J4505" s="6" t="str">
        <x:f>IF(B4505="","",IF(AND(ISNUMBER(SEARCH("平",B4505)),OR(ISNUMBER(SEARCH("上",B4505)),ISNUMBER(SEARCH("去",B4505)),ISNUMBER(SEARCH("入",B4505)))),"Ambiguous",IF(ISNUMBER(SEARCH("平",B4505)),"平","仄")))</x:f>
        <x:v>平</x:v>
      </x:c>
      <x:c r="K4505" s="6" t="str">
        <x:f>IF(D4505="","",IF(AND(ISNUMBER(SEARCH("平",D4505)),OR(ISNUMBER(SEARCH("上",D4505)),ISNUMBER(SEARCH("去",D4505)),ISNUMBER(SEARCH("入",D4505)))),"Ambiguous",IF(ISNUMBER(SEARCH("平",D4505)),"平","仄")))</x:f>
        <x:v>平</x:v>
      </x:c>
      <x:c r="L4505" s="7" t="str">
        <x:v>Xun Gong, Tang 300 gap fill</x:v>
      </x:c>
    </x:row>
    <x:row r="4506">
      <x:c r="A4506" s="5" t="str">
        <x:v>雍</x:v>
      </x:c>
      <x:c r="B4506" s="6" t="str">
        <x:v>平</x:v>
      </x:c>
      <x:c r="C4506" s="6" t="str">
        <x:f>IF(B4506="","Needs decision","Ready")</x:f>
        <x:v>Ready</x:v>
      </x:c>
      <x:c r="D4506" s="6" t="str">
        <x:v>平/去</x:v>
      </x:c>
      <x:c r="E4506" s="6" t="str">
        <x:v>'jowngH [影三C鍾去] ʔɨ̯oŋh; 'jowng [影三C鍾平] ʔɨ̯oŋ</x:v>
      </x:c>
      <x:c r="F4506" s="6" t="str">
        <x:v>上平聲二冬; 去聲二宋</x:v>
      </x:c>
      <x:c r="G4506" s="6" t="str">
        <x:v>Pingshui main list, Wikisource-derived DOCX</x:v>
      </x:c>
      <x:c r="H4506" s="6" t="str">
        <x:v>2</x:v>
      </x:c>
      <x:c r="I4506" s="6" t="str">
        <x:v>Targeted preliminary fill from Xun Gong; review if uncertain; User workbook edit 2026-09-03</x:v>
      </x:c>
      <x:c r="J4506" s="6" t="str">
        <x:f>IF(B4506="","",IF(AND(ISNUMBER(SEARCH("平",B4506)),OR(ISNUMBER(SEARCH("上",B4506)),ISNUMBER(SEARCH("去",B4506)),ISNUMBER(SEARCH("入",B4506)))),"Ambiguous",IF(ISNUMBER(SEARCH("平",B4506)),"平","仄")))</x:f>
        <x:v>平</x:v>
      </x:c>
      <x:c r="K4506" s="6" t="str">
        <x:f>IF(D4506="","",IF(AND(ISNUMBER(SEARCH("平",D4506)),OR(ISNUMBER(SEARCH("上",D4506)),ISNUMBER(SEARCH("去",D4506)),ISNUMBER(SEARCH("入",D4506)))),"Ambiguous",IF(ISNUMBER(SEARCH("平",D4506)),"平","仄")))</x:f>
        <x:v>Ambiguous</x:v>
      </x:c>
      <x:c r="L4506" s="7" t="str">
        <x:v>manual user correction</x:v>
      </x:c>
    </x:row>
    <x:row r="4507">
      <x:c r="A4507" s="5" t="str">
        <x:v>雎</x:v>
      </x:c>
      <x:c r="B4507" s="6" t="str">
        <x:v>平</x:v>
      </x:c>
      <x:c r="C4507" s="6" t="str">
        <x:f>IF(B4507="","Needs decision","Ready")</x:f>
        <x:v>Ready</x:v>
      </x:c>
      <x:c r="D4507" s="6" t="str">
        <x:v>平</x:v>
      </x:c>
      <x:c r="E4507" s="6" t="str">
        <x:v>tshjo (A)</x:v>
      </x:c>
      <x:c r="F4507" s="6" t="str">
        <x:v>上平聲四支; 上平聲六魚</x:v>
      </x:c>
      <x:c r="G4507" s="6" t="str">
        <x:v>Pingshui main list, Wikisource-derived DOCX</x:v>
      </x:c>
      <x:c r="H4507" s="6" t="str">
        <x:v>1</x:v>
      </x:c>
      <x:c r="I4507" s="6" t="str"/>
      <x:c r="J4507" s="6" t="str">
        <x:f>IF(B4507="","",IF(AND(ISNUMBER(SEARCH("平",B4507)),OR(ISNUMBER(SEARCH("上",B4507)),ISNUMBER(SEARCH("去",B4507)),ISNUMBER(SEARCH("入",B4507)))),"Ambiguous",IF(ISNUMBER(SEARCH("平",B4507)),"平","仄")))</x:f>
        <x:v>平</x:v>
      </x:c>
      <x:c r="K4507" s="6" t="str">
        <x:f>IF(D4507="","",IF(AND(ISNUMBER(SEARCH("平",D4507)),OR(ISNUMBER(SEARCH("上",D4507)),ISNUMBER(SEARCH("去",D4507)),ISNUMBER(SEARCH("入",D4507)))),"Ambiguous",IF(ISNUMBER(SEARCH("平",D4507)),"平","仄")))</x:f>
        <x:v>平</x:v>
      </x:c>
      <x:c r="L4507" s="7" t="str"/>
    </x:row>
    <x:row r="4508">
      <x:c r="A4508" s="5" t="str">
        <x:v>雕</x:v>
      </x:c>
      <x:c r="B4508" s="6" t="str">
        <x:v>平</x:v>
      </x:c>
      <x:c r="C4508" s="6" t="str">
        <x:f>IF(B4508="","Needs decision","Ready")</x:f>
        <x:v>Ready</x:v>
      </x:c>
      <x:c r="D4508" s="6" t="str">
        <x:v>平</x:v>
      </x:c>
      <x:c r="E4508" s="6" t="str">
        <x:v>tew (A)</x:v>
      </x:c>
      <x:c r="F4508" s="6" t="str">
        <x:v>下平聲二蕭</x:v>
      </x:c>
      <x:c r="G4508" s="6" t="str">
        <x:v>Pingshui main list, Wikisource-derived DOCX</x:v>
      </x:c>
      <x:c r="H4508" s="6" t="str">
        <x:v>1</x:v>
      </x:c>
      <x:c r="I4508" s="6" t="str"/>
      <x:c r="J4508" s="6" t="str">
        <x:f>IF(B4508="","",IF(AND(ISNUMBER(SEARCH("平",B4508)),OR(ISNUMBER(SEARCH("上",B4508)),ISNUMBER(SEARCH("去",B4508)),ISNUMBER(SEARCH("入",B4508)))),"Ambiguous",IF(ISNUMBER(SEARCH("平",B4508)),"平","仄")))</x:f>
        <x:v>平</x:v>
      </x:c>
      <x:c r="K4508" s="6" t="str">
        <x:f>IF(D4508="","",IF(AND(ISNUMBER(SEARCH("平",D4508)),OR(ISNUMBER(SEARCH("上",D4508)),ISNUMBER(SEARCH("去",D4508)),ISNUMBER(SEARCH("入",D4508)))),"Ambiguous",IF(ISNUMBER(SEARCH("平",D4508)),"平","仄")))</x:f>
        <x:v>平</x:v>
      </x:c>
      <x:c r="L4508" s="7" t="str"/>
    </x:row>
    <x:row r="4509">
      <x:c r="A4509" s="5" t="str">
        <x:v>雖</x:v>
      </x:c>
      <x:c r="B4509" s="6" t="str">
        <x:v>平</x:v>
      </x:c>
      <x:c r="C4509" s="6" t="str">
        <x:f>IF(B4509="","Needs decision","Ready")</x:f>
        <x:v>Ready</x:v>
      </x:c>
      <x:c r="D4509" s="6" t="str">
        <x:v>平</x:v>
      </x:c>
      <x:c r="E4509" s="6" t="str">
        <x:v>swij (A)</x:v>
      </x:c>
      <x:c r="F4509" s="6" t="str">
        <x:v>上平聲四支</x:v>
      </x:c>
      <x:c r="G4509" s="6" t="str">
        <x:v>Pingshui main list, Wikisource-derived DOCX</x:v>
      </x:c>
      <x:c r="H4509" s="6" t="str">
        <x:v>1</x:v>
      </x:c>
      <x:c r="I4509" s="6" t="str"/>
      <x:c r="J4509" s="6" t="str">
        <x:f>IF(B4509="","",IF(AND(ISNUMBER(SEARCH("平",B4509)),OR(ISNUMBER(SEARCH("上",B4509)),ISNUMBER(SEARCH("去",B4509)),ISNUMBER(SEARCH("入",B4509)))),"Ambiguous",IF(ISNUMBER(SEARCH("平",B4509)),"平","仄")))</x:f>
        <x:v>平</x:v>
      </x:c>
      <x:c r="K4509" s="6" t="str">
        <x:f>IF(D4509="","",IF(AND(ISNUMBER(SEARCH("平",D4509)),OR(ISNUMBER(SEARCH("上",D4509)),ISNUMBER(SEARCH("去",D4509)),ISNUMBER(SEARCH("入",D4509)))),"Ambiguous",IF(ISNUMBER(SEARCH("平",D4509)),"平","仄")))</x:f>
        <x:v>平</x:v>
      </x:c>
      <x:c r="L4509" s="7" t="str"/>
    </x:row>
    <x:row r="4510">
      <x:c r="A4510" s="5" t="str">
        <x:v>雙</x:v>
      </x:c>
      <x:c r="B4510" s="6" t="str">
        <x:v>平</x:v>
      </x:c>
      <x:c r="C4510" s="6" t="str">
        <x:f>IF(B4510="","Needs decision","Ready")</x:f>
        <x:v>Ready</x:v>
      </x:c>
      <x:c r="D4510" s="6" t="str">
        <x:v>平</x:v>
      </x:c>
      <x:c r="E4510" s="6" t="str">
        <x:v>sraewng (A)</x:v>
      </x:c>
      <x:c r="F4510" s="6" t="str">
        <x:v>上平聲三江</x:v>
      </x:c>
      <x:c r="G4510" s="6" t="str">
        <x:v>Pingshui main list, Wikisource-derived DOCX</x:v>
      </x:c>
      <x:c r="H4510" s="6" t="str">
        <x:v>1</x:v>
      </x:c>
      <x:c r="I4510" s="6" t="str"/>
      <x:c r="J4510" s="6" t="str">
        <x:f>IF(B4510="","",IF(AND(ISNUMBER(SEARCH("平",B4510)),OR(ISNUMBER(SEARCH("上",B4510)),ISNUMBER(SEARCH("去",B4510)),ISNUMBER(SEARCH("入",B4510)))),"Ambiguous",IF(ISNUMBER(SEARCH("平",B4510)),"平","仄")))</x:f>
        <x:v>平</x:v>
      </x:c>
      <x:c r="K4510" s="6" t="str">
        <x:f>IF(D4510="","",IF(AND(ISNUMBER(SEARCH("平",D4510)),OR(ISNUMBER(SEARCH("上",D4510)),ISNUMBER(SEARCH("去",D4510)),ISNUMBER(SEARCH("入",D4510)))),"Ambiguous",IF(ISNUMBER(SEARCH("平",D4510)),"平","仄")))</x:f>
        <x:v>平</x:v>
      </x:c>
      <x:c r="L4510" s="7" t="str"/>
    </x:row>
    <x:row r="4511">
      <x:c r="A4511" s="5" t="str">
        <x:v>雚</x:v>
      </x:c>
      <x:c r="B4511" s="6" t="str">
        <x:v>去</x:v>
      </x:c>
      <x:c r="C4511" s="6" t="str">
        <x:f>IF(B4511="","Needs decision","Ready")</x:f>
        <x:v>Ready</x:v>
      </x:c>
      <x:c r="D4511" s="6" t="str">
        <x:v>去</x:v>
      </x:c>
      <x:c r="E4511" s="6" t="str">
        <x:v>kwanH (C)</x:v>
      </x:c>
      <x:c r="F4511" s="6" t="str">
        <x:v>去聲十五翰</x:v>
      </x:c>
      <x:c r="G4511" s="6" t="str">
        <x:v>Pingshui main list, Wikisource-derived DOCX</x:v>
      </x:c>
      <x:c r="H4511" s="6" t="str">
        <x:v>1</x:v>
      </x:c>
      <x:c r="I4511" s="6" t="str"/>
      <x:c r="J4511" s="6" t="str">
        <x:f>IF(B4511="","",IF(AND(ISNUMBER(SEARCH("平",B4511)),OR(ISNUMBER(SEARCH("上",B4511)),ISNUMBER(SEARCH("去",B4511)),ISNUMBER(SEARCH("入",B4511)))),"Ambiguous",IF(ISNUMBER(SEARCH("平",B4511)),"平","仄")))</x:f>
        <x:v>仄</x:v>
      </x:c>
      <x:c r="K4511" s="6" t="str">
        <x:f>IF(D4511="","",IF(AND(ISNUMBER(SEARCH("平",D4511)),OR(ISNUMBER(SEARCH("上",D4511)),ISNUMBER(SEARCH("去",D4511)),ISNUMBER(SEARCH("入",D4511)))),"Ambiguous",IF(ISNUMBER(SEARCH("平",D4511)),"平","仄")))</x:f>
        <x:v>仄</x:v>
      </x:c>
      <x:c r="L4511" s="7" t="str"/>
    </x:row>
    <x:row r="4512">
      <x:c r="A4512" s="5" t="str">
        <x:v>雛</x:v>
      </x:c>
      <x:c r="B4512" s="6" t="str">
        <x:v>平</x:v>
      </x:c>
      <x:c r="C4512" s="6" t="str">
        <x:f>IF(B4512="","Needs decision","Ready")</x:f>
        <x:v>Ready</x:v>
      </x:c>
      <x:c r="D4512" s="6" t="str">
        <x:v>平</x:v>
      </x:c>
      <x:c r="E4512" s="6" t="str">
        <x:v>dzrju [dʐɨ̯o] (平)</x:v>
      </x:c>
      <x:c r="F4512" s="6" t="str">
        <x:v>上平聲七虞</x:v>
      </x:c>
      <x:c r="G4512" s="6" t="str">
        <x:v>Pingshui main list, Wikisource-derived DOCX</x:v>
      </x:c>
      <x:c r="H4512" s="6" t="str">
        <x:v>1</x:v>
      </x:c>
      <x:c r="I4512" s="6" t="str">
        <x:v>Tang 300 gap; frequency 2; provisional from Xun Gong</x:v>
      </x:c>
      <x:c r="J4512" s="6" t="str">
        <x:f>IF(B4512="","",IF(AND(ISNUMBER(SEARCH("平",B4512)),OR(ISNUMBER(SEARCH("上",B4512)),ISNUMBER(SEARCH("去",B4512)),ISNUMBER(SEARCH("入",B4512)))),"Ambiguous",IF(ISNUMBER(SEARCH("平",B4512)),"平","仄")))</x:f>
        <x:v>平</x:v>
      </x:c>
      <x:c r="K4512" s="6" t="str">
        <x:f>IF(D4512="","",IF(AND(ISNUMBER(SEARCH("平",D4512)),OR(ISNUMBER(SEARCH("上",D4512)),ISNUMBER(SEARCH("去",D4512)),ISNUMBER(SEARCH("入",D4512)))),"Ambiguous",IF(ISNUMBER(SEARCH("平",D4512)),"平","仄")))</x:f>
        <x:v>平</x:v>
      </x:c>
      <x:c r="L4512" s="7" t="str">
        <x:v>Xun Gong, Tang 300 gap fill</x:v>
      </x:c>
    </x:row>
    <x:row r="4513">
      <x:c r="A4513" s="5" t="str">
        <x:v>雜</x:v>
      </x:c>
      <x:c r="B4513" s="6" t="str">
        <x:v>入</x:v>
      </x:c>
      <x:c r="C4513" s="6" t="str">
        <x:f>IF(B4513="","Needs decision","Ready")</x:f>
        <x:v>Ready</x:v>
      </x:c>
      <x:c r="D4513" s="6" t="str">
        <x:v>入</x:v>
      </x:c>
      <x:c r="E4513" s="6" t="str">
        <x:v>dzop (D)</x:v>
      </x:c>
      <x:c r="F4513" s="6" t="str">
        <x:v>入聲十五合</x:v>
      </x:c>
      <x:c r="G4513" s="6" t="str">
        <x:v>Pingshui main list, Wikisource-derived DOCX</x:v>
      </x:c>
      <x:c r="H4513" s="6" t="str">
        <x:v>1</x:v>
      </x:c>
      <x:c r="I4513" s="6" t="str"/>
      <x:c r="J4513" s="6" t="str">
        <x:f>IF(B4513="","",IF(AND(ISNUMBER(SEARCH("平",B4513)),OR(ISNUMBER(SEARCH("上",B4513)),ISNUMBER(SEARCH("去",B4513)),ISNUMBER(SEARCH("入",B4513)))),"Ambiguous",IF(ISNUMBER(SEARCH("平",B4513)),"平","仄")))</x:f>
        <x:v>仄</x:v>
      </x:c>
      <x:c r="K4513" s="6" t="str">
        <x:f>IF(D4513="","",IF(AND(ISNUMBER(SEARCH("平",D4513)),OR(ISNUMBER(SEARCH("上",D4513)),ISNUMBER(SEARCH("去",D4513)),ISNUMBER(SEARCH("入",D4513)))),"Ambiguous",IF(ISNUMBER(SEARCH("平",D4513)),"平","仄")))</x:f>
        <x:v>仄</x:v>
      </x:c>
      <x:c r="L4513" s="7" t="str"/>
    </x:row>
    <x:row r="4514">
      <x:c r="A4514" s="5" t="str">
        <x:v>雞</x:v>
      </x:c>
      <x:c r="B4514" s="6" t="str">
        <x:v>平</x:v>
      </x:c>
      <x:c r="C4514" s="6" t="str">
        <x:f>IF(B4514="","Needs decision","Ready")</x:f>
        <x:v>Ready</x:v>
      </x:c>
      <x:c r="D4514" s="6" t="str">
        <x:v>平</x:v>
      </x:c>
      <x:c r="E4514" s="6" t="str">
        <x:v>kej (A)</x:v>
      </x:c>
      <x:c r="F4514" s="6" t="str">
        <x:v>上平聲八齊</x:v>
      </x:c>
      <x:c r="G4514" s="6" t="str">
        <x:v>Pingshui main list, Wikisource-derived DOCX</x:v>
      </x:c>
      <x:c r="H4514" s="6" t="str">
        <x:v>1</x:v>
      </x:c>
      <x:c r="I4514" s="6" t="str"/>
      <x:c r="J4514" s="6" t="str">
        <x:f>IF(B4514="","",IF(AND(ISNUMBER(SEARCH("平",B4514)),OR(ISNUMBER(SEARCH("上",B4514)),ISNUMBER(SEARCH("去",B4514)),ISNUMBER(SEARCH("入",B4514)))),"Ambiguous",IF(ISNUMBER(SEARCH("平",B4514)),"平","仄")))</x:f>
        <x:v>平</x:v>
      </x:c>
      <x:c r="K4514" s="6" t="str">
        <x:f>IF(D4514="","",IF(AND(ISNUMBER(SEARCH("平",D4514)),OR(ISNUMBER(SEARCH("上",D4514)),ISNUMBER(SEARCH("去",D4514)),ISNUMBER(SEARCH("入",D4514)))),"Ambiguous",IF(ISNUMBER(SEARCH("平",D4514)),"平","仄")))</x:f>
        <x:v>平</x:v>
      </x:c>
      <x:c r="L4514" s="7" t="str"/>
    </x:row>
    <x:row r="4515">
      <x:c r="A4515" s="5" t="str">
        <x:v>離</x:v>
      </x:c>
      <x:c r="B4515" s="6" t="str">
        <x:v>平</x:v>
      </x:c>
      <x:c r="C4515" s="6" t="str">
        <x:f>IF(B4515="","Needs decision","Ready")</x:f>
        <x:v>Ready</x:v>
      </x:c>
      <x:c r="D4515" s="6" t="str">
        <x:v>平/去</x:v>
      </x:c>
      <x:c r="E4515" s="6" t="str">
        <x:v>lje (A); ljeH (C)</x:v>
      </x:c>
      <x:c r="F4515" s="6" t="str">
        <x:v>上平聲四支; 去聲八霽</x:v>
      </x:c>
      <x:c r="G4515" s="6" t="str">
        <x:v>Pingshui main list, Wikisource-derived DOCX</x:v>
      </x:c>
      <x:c r="H4515" s="6" t="str">
        <x:v>2</x:v>
      </x:c>
      <x:c r="I4515" s="6" t="str"/>
      <x:c r="J4515" s="6" t="str">
        <x:f>IF(B4515="","",IF(AND(ISNUMBER(SEARCH("平",B4515)),OR(ISNUMBER(SEARCH("上",B4515)),ISNUMBER(SEARCH("去",B4515)),ISNUMBER(SEARCH("入",B4515)))),"Ambiguous",IF(ISNUMBER(SEARCH("平",B4515)),"平","仄")))</x:f>
        <x:v>平</x:v>
      </x:c>
      <x:c r="K4515" s="6" t="str">
        <x:f>IF(D4515="","",IF(AND(ISNUMBER(SEARCH("平",D4515)),OR(ISNUMBER(SEARCH("上",D4515)),ISNUMBER(SEARCH("去",D4515)),ISNUMBER(SEARCH("入",D4515)))),"Ambiguous",IF(ISNUMBER(SEARCH("平",D4515)),"平","仄")))</x:f>
        <x:v>Ambiguous</x:v>
      </x:c>
      <x:c r="L4515" s="7" t="str"/>
    </x:row>
    <x:row r="4516">
      <x:c r="A4516" s="5" t="str">
        <x:v>難</x:v>
      </x:c>
      <x:c r="B4516" s="6" t="str"/>
      <x:c r="C4516" s="6" t="str">
        <x:f>IF(B4516="","Needs decision","Ready")</x:f>
        <x:v>Needs decision</x:v>
      </x:c>
      <x:c r="D4516" s="6" t="str">
        <x:v>平/去</x:v>
      </x:c>
      <x:c r="E4516" s="6" t="str">
        <x:v>nan (A); nanH (C)</x:v>
      </x:c>
      <x:c r="F4516" s="6" t="str">
        <x:v>上平聲十四寒; 去聲十五翰</x:v>
      </x:c>
      <x:c r="G4516" s="6" t="str">
        <x:v>Pingshui main list, Wikisource-derived DOCX</x:v>
      </x:c>
      <x:c r="H4516" s="6" t="str">
        <x:v>2</x:v>
      </x:c>
      <x:c r="I4516" s="6" t="str"/>
      <x:c r="J4516" s="6" t="str">
        <x:f>IF(B4516="","",IF(AND(ISNUMBER(SEARCH("平",B4516)),OR(ISNUMBER(SEARCH("上",B4516)),ISNUMBER(SEARCH("去",B4516)),ISNUMBER(SEARCH("入",B4516)))),"Ambiguous",IF(ISNUMBER(SEARCH("平",B4516)),"平","仄")))</x:f>
      </x:c>
      <x:c r="K4516" s="6" t="str">
        <x:f>IF(D4516="","",IF(AND(ISNUMBER(SEARCH("平",D4516)),OR(ISNUMBER(SEARCH("上",D4516)),ISNUMBER(SEARCH("去",D4516)),ISNUMBER(SEARCH("入",D4516)))),"Ambiguous",IF(ISNUMBER(SEARCH("平",D4516)),"平","仄")))</x:f>
        <x:v>Ambiguous</x:v>
      </x:c>
      <x:c r="L4516" s="7" t="str"/>
    </x:row>
    <x:row r="4517">
      <x:c r="A4517" s="5" t="str">
        <x:v>雨</x:v>
      </x:c>
      <x:c r="B4517" s="6" t="str">
        <x:v>上</x:v>
      </x:c>
      <x:c r="C4517" s="6" t="str">
        <x:f>IF(B4517="","Needs decision","Ready")</x:f>
        <x:v>Ready</x:v>
      </x:c>
      <x:c r="D4517" s="6" t="str">
        <x:v>上/去</x:v>
      </x:c>
      <x:c r="E4517" s="6" t="str">
        <x:v>hjuX (B); hjuH (C)</x:v>
      </x:c>
      <x:c r="F4517" s="6" t="str">
        <x:v>上聲七麌; 去聲七遇</x:v>
      </x:c>
      <x:c r="G4517" s="6" t="str">
        <x:v>Pingshui main list, Wikisource-derived DOCX</x:v>
      </x:c>
      <x:c r="H4517" s="6" t="str">
        <x:v>2</x:v>
      </x:c>
      <x:c r="I4517" s="6" t="str">
        <x:v>User workbook edit 2026-09-03</x:v>
      </x:c>
      <x:c r="J4517" s="6" t="str">
        <x:f>IF(B4517="","",IF(AND(ISNUMBER(SEARCH("平",B4517)),OR(ISNUMBER(SEARCH("上",B4517)),ISNUMBER(SEARCH("去",B4517)),ISNUMBER(SEARCH("入",B4517)))),"Ambiguous",IF(ISNUMBER(SEARCH("平",B4517)),"平","仄")))</x:f>
        <x:v>仄</x:v>
      </x:c>
      <x:c r="K4517" s="6" t="str">
        <x:f>IF(D4517="","",IF(AND(ISNUMBER(SEARCH("平",D4517)),OR(ISNUMBER(SEARCH("上",D4517)),ISNUMBER(SEARCH("去",D4517)),ISNUMBER(SEARCH("入",D4517)))),"Ambiguous",IF(ISNUMBER(SEARCH("平",D4517)),"平","仄")))</x:f>
        <x:v>仄</x:v>
      </x:c>
      <x:c r="L4517" s="7" t="str">
        <x:v>manual user correction</x:v>
      </x:c>
    </x:row>
    <x:row r="4518">
      <x:c r="A4518" s="5" t="str">
        <x:v>雩</x:v>
      </x:c>
      <x:c r="B4518" s="6" t="str">
        <x:v>平</x:v>
      </x:c>
      <x:c r="C4518" s="6" t="str">
        <x:f>IF(B4518="","Needs decision","Ready")</x:f>
        <x:v>Ready</x:v>
      </x:c>
      <x:c r="D4518" s="6" t="str">
        <x:v>平</x:v>
      </x:c>
      <x:c r="E4518" s="6" t="str">
        <x:v>hju (A)</x:v>
      </x:c>
      <x:c r="F4518" s="6" t="str">
        <x:v>上平聲七虞</x:v>
      </x:c>
      <x:c r="G4518" s="6" t="str">
        <x:v>Pingshui main list, Wikisource-derived DOCX</x:v>
      </x:c>
      <x:c r="H4518" s="6" t="str">
        <x:v>1</x:v>
      </x:c>
      <x:c r="I4518" s="6" t="str"/>
      <x:c r="J4518" s="6" t="str">
        <x:f>IF(B4518="","",IF(AND(ISNUMBER(SEARCH("平",B4518)),OR(ISNUMBER(SEARCH("上",B4518)),ISNUMBER(SEARCH("去",B4518)),ISNUMBER(SEARCH("入",B4518)))),"Ambiguous",IF(ISNUMBER(SEARCH("平",B4518)),"平","仄")))</x:f>
        <x:v>平</x:v>
      </x:c>
      <x:c r="K4518" s="6" t="str">
        <x:f>IF(D4518="","",IF(AND(ISNUMBER(SEARCH("平",D4518)),OR(ISNUMBER(SEARCH("上",D4518)),ISNUMBER(SEARCH("去",D4518)),ISNUMBER(SEARCH("入",D4518)))),"Ambiguous",IF(ISNUMBER(SEARCH("平",D4518)),"平","仄")))</x:f>
        <x:v>平</x:v>
      </x:c>
      <x:c r="L4518" s="7" t="str"/>
    </x:row>
    <x:row r="4519">
      <x:c r="A4519" s="5" t="str">
        <x:v>雪</x:v>
      </x:c>
      <x:c r="B4519" s="6" t="str">
        <x:v>入</x:v>
      </x:c>
      <x:c r="C4519" s="6" t="str">
        <x:f>IF(B4519="","Needs decision","Ready")</x:f>
        <x:v>Ready</x:v>
      </x:c>
      <x:c r="D4519" s="6" t="str">
        <x:v>入</x:v>
      </x:c>
      <x:c r="E4519" s="6" t="str">
        <x:v>sjwet (D)</x:v>
      </x:c>
      <x:c r="F4519" s="6" t="str">
        <x:v>入聲九屑</x:v>
      </x:c>
      <x:c r="G4519" s="6" t="str">
        <x:v>Pingshui main list, Wikisource-derived DOCX</x:v>
      </x:c>
      <x:c r="H4519" s="6" t="str">
        <x:v>1</x:v>
      </x:c>
      <x:c r="I4519" s="6" t="str"/>
      <x:c r="J4519" s="6" t="str">
        <x:f>IF(B4519="","",IF(AND(ISNUMBER(SEARCH("平",B4519)),OR(ISNUMBER(SEARCH("上",B4519)),ISNUMBER(SEARCH("去",B4519)),ISNUMBER(SEARCH("入",B4519)))),"Ambiguous",IF(ISNUMBER(SEARCH("平",B4519)),"平","仄")))</x:f>
        <x:v>仄</x:v>
      </x:c>
      <x:c r="K4519" s="6" t="str">
        <x:f>IF(D4519="","",IF(AND(ISNUMBER(SEARCH("平",D4519)),OR(ISNUMBER(SEARCH("上",D4519)),ISNUMBER(SEARCH("去",D4519)),ISNUMBER(SEARCH("入",D4519)))),"Ambiguous",IF(ISNUMBER(SEARCH("平",D4519)),"平","仄")))</x:f>
        <x:v>仄</x:v>
      </x:c>
      <x:c r="L4519" s="7" t="str"/>
    </x:row>
    <x:row r="4520">
      <x:c r="A4520" s="5" t="str">
        <x:v>雱</x:v>
      </x:c>
      <x:c r="B4520" s="6" t="str">
        <x:v>平</x:v>
      </x:c>
      <x:c r="C4520" s="6" t="str">
        <x:f>IF(B4520="","Needs decision","Ready")</x:f>
        <x:v>Ready</x:v>
      </x:c>
      <x:c r="D4520" s="6" t="str">
        <x:v>平</x:v>
      </x:c>
      <x:c r="E4520" s="6" t="str">
        <x:v>phang (A)</x:v>
      </x:c>
      <x:c r="F4520" s="6" t="str">
        <x:v>下平聲七陽</x:v>
      </x:c>
      <x:c r="G4520" s="6" t="str">
        <x:v>Pingshui main list, Wikisource-derived DOCX</x:v>
      </x:c>
      <x:c r="H4520" s="6" t="str">
        <x:v>1</x:v>
      </x:c>
      <x:c r="I4520" s="6" t="str"/>
      <x:c r="J4520" s="6" t="str">
        <x:f>IF(B4520="","",IF(AND(ISNUMBER(SEARCH("平",B4520)),OR(ISNUMBER(SEARCH("上",B4520)),ISNUMBER(SEARCH("去",B4520)),ISNUMBER(SEARCH("入",B4520)))),"Ambiguous",IF(ISNUMBER(SEARCH("平",B4520)),"平","仄")))</x:f>
        <x:v>平</x:v>
      </x:c>
      <x:c r="K4520" s="6" t="str">
        <x:f>IF(D4520="","",IF(AND(ISNUMBER(SEARCH("平",D4520)),OR(ISNUMBER(SEARCH("上",D4520)),ISNUMBER(SEARCH("去",D4520)),ISNUMBER(SEARCH("入",D4520)))),"Ambiguous",IF(ISNUMBER(SEARCH("平",D4520)),"平","仄")))</x:f>
        <x:v>平</x:v>
      </x:c>
      <x:c r="L4520" s="7" t="str"/>
    </x:row>
    <x:row r="4521">
      <x:c r="A4521" s="5" t="str">
        <x:v>雲</x:v>
      </x:c>
      <x:c r="B4521" s="6" t="str">
        <x:v>平</x:v>
      </x:c>
      <x:c r="C4521" s="6" t="str">
        <x:f>IF(B4521="","Needs decision","Ready")</x:f>
        <x:v>Ready</x:v>
      </x:c>
      <x:c r="D4521" s="6" t="str">
        <x:v>平</x:v>
      </x:c>
      <x:c r="E4521" s="6" t="str">
        <x:v>hjun (A)</x:v>
      </x:c>
      <x:c r="F4521" s="6" t="str">
        <x:v>上平聲十二文</x:v>
      </x:c>
      <x:c r="G4521" s="6" t="str">
        <x:v>Pingshui main list, Wikisource-derived DOCX</x:v>
      </x:c>
      <x:c r="H4521" s="6" t="str">
        <x:v>1</x:v>
      </x:c>
      <x:c r="I4521" s="6" t="str"/>
      <x:c r="J4521" s="6" t="str">
        <x:f>IF(B4521="","",IF(AND(ISNUMBER(SEARCH("平",B4521)),OR(ISNUMBER(SEARCH("上",B4521)),ISNUMBER(SEARCH("去",B4521)),ISNUMBER(SEARCH("入",B4521)))),"Ambiguous",IF(ISNUMBER(SEARCH("平",B4521)),"平","仄")))</x:f>
        <x:v>平</x:v>
      </x:c>
      <x:c r="K4521" s="6" t="str">
        <x:f>IF(D4521="","",IF(AND(ISNUMBER(SEARCH("平",D4521)),OR(ISNUMBER(SEARCH("上",D4521)),ISNUMBER(SEARCH("去",D4521)),ISNUMBER(SEARCH("入",D4521)))),"Ambiguous",IF(ISNUMBER(SEARCH("平",D4521)),"平","仄")))</x:f>
        <x:v>平</x:v>
      </x:c>
      <x:c r="L4521" s="7" t="str"/>
    </x:row>
    <x:row r="4522">
      <x:c r="A4522" s="5" t="str">
        <x:v>零</x:v>
      </x:c>
      <x:c r="B4522" s="6" t="str">
        <x:v>平</x:v>
      </x:c>
      <x:c r="C4522" s="6" t="str">
        <x:f>IF(B4522="","Needs decision","Ready")</x:f>
        <x:v>Ready</x:v>
      </x:c>
      <x:c r="D4522" s="6" t="str">
        <x:v>平</x:v>
      </x:c>
      <x:c r="E4522" s="6" t="str">
        <x:v>leng (A)</x:v>
      </x:c>
      <x:c r="F4522" s="6" t="str">
        <x:v>下平聲一先; 下平聲九青</x:v>
      </x:c>
      <x:c r="G4522" s="6" t="str">
        <x:v>Pingshui main list, Wikisource-derived DOCX</x:v>
      </x:c>
      <x:c r="H4522" s="6" t="str">
        <x:v>1</x:v>
      </x:c>
      <x:c r="I4522" s="6" t="str"/>
      <x:c r="J4522" s="6" t="str">
        <x:f>IF(B4522="","",IF(AND(ISNUMBER(SEARCH("平",B4522)),OR(ISNUMBER(SEARCH("上",B4522)),ISNUMBER(SEARCH("去",B4522)),ISNUMBER(SEARCH("入",B4522)))),"Ambiguous",IF(ISNUMBER(SEARCH("平",B4522)),"平","仄")))</x:f>
        <x:v>平</x:v>
      </x:c>
      <x:c r="K4522" s="6" t="str">
        <x:f>IF(D4522="","",IF(AND(ISNUMBER(SEARCH("平",D4522)),OR(ISNUMBER(SEARCH("上",D4522)),ISNUMBER(SEARCH("去",D4522)),ISNUMBER(SEARCH("入",D4522)))),"Ambiguous",IF(ISNUMBER(SEARCH("平",D4522)),"平","仄")))</x:f>
        <x:v>平</x:v>
      </x:c>
      <x:c r="L4522" s="7" t="str"/>
    </x:row>
    <x:row r="4523">
      <x:c r="A4523" s="5" t="str">
        <x:v>雷</x:v>
      </x:c>
      <x:c r="B4523" s="6" t="str">
        <x:v>平</x:v>
      </x:c>
      <x:c r="C4523" s="6" t="str">
        <x:f>IF(B4523="","Needs decision","Ready")</x:f>
        <x:v>Ready</x:v>
      </x:c>
      <x:c r="D4523" s="6" t="str">
        <x:v>平</x:v>
      </x:c>
      <x:c r="E4523" s="6" t="str">
        <x:v>lwoj (A)</x:v>
      </x:c>
      <x:c r="F4523" s="6" t="str">
        <x:v>上平聲十灰</x:v>
      </x:c>
      <x:c r="G4523" s="6" t="str">
        <x:v>Pingshui main list, Wikisource-derived DOCX</x:v>
      </x:c>
      <x:c r="H4523" s="6" t="str">
        <x:v>1</x:v>
      </x:c>
      <x:c r="I4523" s="6" t="str"/>
      <x:c r="J4523" s="6" t="str">
        <x:f>IF(B4523="","",IF(AND(ISNUMBER(SEARCH("平",B4523)),OR(ISNUMBER(SEARCH("上",B4523)),ISNUMBER(SEARCH("去",B4523)),ISNUMBER(SEARCH("入",B4523)))),"Ambiguous",IF(ISNUMBER(SEARCH("平",B4523)),"平","仄")))</x:f>
        <x:v>平</x:v>
      </x:c>
      <x:c r="K4523" s="6" t="str">
        <x:f>IF(D4523="","",IF(AND(ISNUMBER(SEARCH("平",D4523)),OR(ISNUMBER(SEARCH("上",D4523)),ISNUMBER(SEARCH("去",D4523)),ISNUMBER(SEARCH("入",D4523)))),"Ambiguous",IF(ISNUMBER(SEARCH("平",D4523)),"平","仄")))</x:f>
        <x:v>平</x:v>
      </x:c>
      <x:c r="L4523" s="7" t="str"/>
    </x:row>
    <x:row r="4524">
      <x:c r="A4524" s="5" t="str">
        <x:v>雹</x:v>
      </x:c>
      <x:c r="B4524" s="6" t="str">
        <x:v>入</x:v>
      </x:c>
      <x:c r="C4524" s="6" t="str">
        <x:f>IF(B4524="","Needs decision","Ready")</x:f>
        <x:v>Ready</x:v>
      </x:c>
      <x:c r="D4524" s="6" t="str">
        <x:v>入</x:v>
      </x:c>
      <x:c r="E4524" s="6" t="str">
        <x:v>baewk (D)</x:v>
      </x:c>
      <x:c r="F4524" s="6" t="str">
        <x:v>入聲三覺</x:v>
      </x:c>
      <x:c r="G4524" s="6" t="str">
        <x:v>Pingshui main list, Wikisource-derived DOCX</x:v>
      </x:c>
      <x:c r="H4524" s="6" t="str">
        <x:v>1</x:v>
      </x:c>
      <x:c r="I4524" s="6" t="str"/>
      <x:c r="J4524" s="6" t="str">
        <x:f>IF(B4524="","",IF(AND(ISNUMBER(SEARCH("平",B4524)),OR(ISNUMBER(SEARCH("上",B4524)),ISNUMBER(SEARCH("去",B4524)),ISNUMBER(SEARCH("入",B4524)))),"Ambiguous",IF(ISNUMBER(SEARCH("平",B4524)),"平","仄")))</x:f>
        <x:v>仄</x:v>
      </x:c>
      <x:c r="K4524" s="6" t="str">
        <x:f>IF(D4524="","",IF(AND(ISNUMBER(SEARCH("平",D4524)),OR(ISNUMBER(SEARCH("上",D4524)),ISNUMBER(SEARCH("去",D4524)),ISNUMBER(SEARCH("入",D4524)))),"Ambiguous",IF(ISNUMBER(SEARCH("平",D4524)),"平","仄")))</x:f>
        <x:v>仄</x:v>
      </x:c>
      <x:c r="L4524" s="7" t="str"/>
    </x:row>
    <x:row r="4525">
      <x:c r="A4525" s="5" t="str">
        <x:v>電</x:v>
      </x:c>
      <x:c r="B4525" s="6" t="str">
        <x:v>去</x:v>
      </x:c>
      <x:c r="C4525" s="6" t="str">
        <x:f>IF(B4525="","Needs decision","Ready")</x:f>
        <x:v>Ready</x:v>
      </x:c>
      <x:c r="D4525" s="6" t="str">
        <x:v>去</x:v>
      </x:c>
      <x:c r="E4525" s="6" t="str">
        <x:v>denH (C)</x:v>
      </x:c>
      <x:c r="F4525" s="6" t="str">
        <x:v>去聲十七霰</x:v>
      </x:c>
      <x:c r="G4525" s="6" t="str">
        <x:v>Pingshui main list, Wikisource-derived DOCX</x:v>
      </x:c>
      <x:c r="H4525" s="6" t="str">
        <x:v>1</x:v>
      </x:c>
      <x:c r="I4525" s="6" t="str"/>
      <x:c r="J4525" s="6" t="str">
        <x:f>IF(B4525="","",IF(AND(ISNUMBER(SEARCH("平",B4525)),OR(ISNUMBER(SEARCH("上",B4525)),ISNUMBER(SEARCH("去",B4525)),ISNUMBER(SEARCH("入",B4525)))),"Ambiguous",IF(ISNUMBER(SEARCH("平",B4525)),"平","仄")))</x:f>
        <x:v>仄</x:v>
      </x:c>
      <x:c r="K4525" s="6" t="str">
        <x:f>IF(D4525="","",IF(AND(ISNUMBER(SEARCH("平",D4525)),OR(ISNUMBER(SEARCH("上",D4525)),ISNUMBER(SEARCH("去",D4525)),ISNUMBER(SEARCH("入",D4525)))),"Ambiguous",IF(ISNUMBER(SEARCH("平",D4525)),"平","仄")))</x:f>
        <x:v>仄</x:v>
      </x:c>
      <x:c r="L4525" s="7" t="str"/>
    </x:row>
    <x:row r="4526">
      <x:c r="A4526" s="5" t="str">
        <x:v>需</x:v>
      </x:c>
      <x:c r="B4526" s="6" t="str">
        <x:v>平</x:v>
      </x:c>
      <x:c r="C4526" s="6" t="str">
        <x:f>IF(B4526="","Needs decision","Ready")</x:f>
        <x:v>Ready</x:v>
      </x:c>
      <x:c r="D4526" s="6" t="str">
        <x:v>平</x:v>
      </x:c>
      <x:c r="E4526" s="6" t="str">
        <x:v>sju (A)</x:v>
      </x:c>
      <x:c r="F4526" s="6" t="str">
        <x:v>上平聲七虞</x:v>
      </x:c>
      <x:c r="G4526" s="6" t="str">
        <x:v>Pingshui main list, Wikisource-derived DOCX</x:v>
      </x:c>
      <x:c r="H4526" s="6" t="str">
        <x:v>1</x:v>
      </x:c>
      <x:c r="I4526" s="6" t="str"/>
      <x:c r="J4526" s="6" t="str">
        <x:f>IF(B4526="","",IF(AND(ISNUMBER(SEARCH("平",B4526)),OR(ISNUMBER(SEARCH("上",B4526)),ISNUMBER(SEARCH("去",B4526)),ISNUMBER(SEARCH("入",B4526)))),"Ambiguous",IF(ISNUMBER(SEARCH("平",B4526)),"平","仄")))</x:f>
        <x:v>平</x:v>
      </x:c>
      <x:c r="K4526" s="6" t="str">
        <x:f>IF(D4526="","",IF(AND(ISNUMBER(SEARCH("平",D4526)),OR(ISNUMBER(SEARCH("上",D4526)),ISNUMBER(SEARCH("去",D4526)),ISNUMBER(SEARCH("入",D4526)))),"Ambiguous",IF(ISNUMBER(SEARCH("平",D4526)),"平","仄")))</x:f>
        <x:v>平</x:v>
      </x:c>
      <x:c r="L4526" s="7" t="str"/>
    </x:row>
    <x:row r="4527">
      <x:c r="A4527" s="5" t="str">
        <x:v>霂</x:v>
      </x:c>
      <x:c r="B4527" s="6" t="str">
        <x:v>入</x:v>
      </x:c>
      <x:c r="C4527" s="6" t="str">
        <x:f>IF(B4527="","Needs decision","Ready")</x:f>
        <x:v>Ready</x:v>
      </x:c>
      <x:c r="D4527" s="6" t="str">
        <x:v>入</x:v>
      </x:c>
      <x:c r="E4527" s="6" t="str"/>
      <x:c r="F4527" s="6" t="str">
        <x:v>入聲一屋</x:v>
      </x:c>
      <x:c r="G4527" s="6" t="str">
        <x:v>Pingshui main list, Wikisource-derived DOCX</x:v>
      </x:c>
      <x:c r="H4527" s="6" t="str">
        <x:v>0</x:v>
      </x:c>
      <x:c r="I4527" s="6" t="str">
        <x:v>User correction 2026-09-08; added manually</x:v>
      </x:c>
      <x:c r="J4527" s="6" t="str">
        <x:f>IF(B4527="","",IF(AND(ISNUMBER(SEARCH("平",B4527)),OR(ISNUMBER(SEARCH("上",B4527)),ISNUMBER(SEARCH("去",B4527)),ISNUMBER(SEARCH("入",B4527)))),"Ambiguous",IF(ISNUMBER(SEARCH("平",B4527)),"平","仄")))</x:f>
        <x:v>仄</x:v>
      </x:c>
      <x:c r="K4527" s="6" t="str">
        <x:f>IF(D4527="","",IF(AND(ISNUMBER(SEARCH("平",D4527)),OR(ISNUMBER(SEARCH("上",D4527)),ISNUMBER(SEARCH("去",D4527)),ISNUMBER(SEARCH("入",D4527)))),"Ambiguous",IF(ISNUMBER(SEARCH("平",D4527)),"平","仄")))</x:f>
        <x:v>仄</x:v>
      </x:c>
      <x:c r="L4527" s="7" t="str">
        <x:v>User correction</x:v>
      </x:c>
    </x:row>
    <x:row r="4528">
      <x:c r="A4528" s="5" t="str">
        <x:v>霄</x:v>
      </x:c>
      <x:c r="B4528" s="6" t="str">
        <x:v>平</x:v>
      </x:c>
      <x:c r="C4528" s="6" t="str">
        <x:f>IF(B4528="","Needs decision","Ready")</x:f>
        <x:v>Ready</x:v>
      </x:c>
      <x:c r="D4528" s="6" t="str">
        <x:v>平</x:v>
      </x:c>
      <x:c r="E4528" s="6" t="str">
        <x:v>sjew (A)</x:v>
      </x:c>
      <x:c r="F4528" s="6" t="str">
        <x:v>下平聲二蕭</x:v>
      </x:c>
      <x:c r="G4528" s="6" t="str">
        <x:v>Pingshui main list, Wikisource-derived DOCX</x:v>
      </x:c>
      <x:c r="H4528" s="6" t="str">
        <x:v>1</x:v>
      </x:c>
      <x:c r="I4528" s="6" t="str"/>
      <x:c r="J4528" s="6" t="str">
        <x:f>IF(B4528="","",IF(AND(ISNUMBER(SEARCH("平",B4528)),OR(ISNUMBER(SEARCH("上",B4528)),ISNUMBER(SEARCH("去",B4528)),ISNUMBER(SEARCH("入",B4528)))),"Ambiguous",IF(ISNUMBER(SEARCH("平",B4528)),"平","仄")))</x:f>
        <x:v>平</x:v>
      </x:c>
      <x:c r="K4528" s="6" t="str">
        <x:f>IF(D4528="","",IF(AND(ISNUMBER(SEARCH("平",D4528)),OR(ISNUMBER(SEARCH("上",D4528)),ISNUMBER(SEARCH("去",D4528)),ISNUMBER(SEARCH("入",D4528)))),"Ambiguous",IF(ISNUMBER(SEARCH("平",D4528)),"平","仄")))</x:f>
        <x:v>平</x:v>
      </x:c>
      <x:c r="L4528" s="7" t="str"/>
    </x:row>
    <x:row r="4529">
      <x:c r="A4529" s="5" t="str">
        <x:v>霆</x:v>
      </x:c>
      <x:c r="B4529" s="6" t="str"/>
      <x:c r="C4529" s="6" t="str">
        <x:f>IF(B4529="","Needs decision","Ready")</x:f>
        <x:v>Needs decision</x:v>
      </x:c>
      <x:c r="D4529" s="6" t="str">
        <x:v>平/上</x:v>
      </x:c>
      <x:c r="E4529" s="6" t="str">
        <x:v>deng [d̙eŋ] (平); dengX [d̙eŋʔ] (上)</x:v>
      </x:c>
      <x:c r="F4529" s="6" t="str">
        <x:v>下平聲九青</x:v>
      </x:c>
      <x:c r="G4529" s="6" t="str">
        <x:v>Pingshui main list, Wikisource-derived DOCX</x:v>
      </x:c>
      <x:c r="H4529" s="6" t="str">
        <x:v>2</x:v>
      </x:c>
      <x:c r="I4529" s="6" t="str">
        <x:v>Tang 300 gap; frequency 1; ambiguous in Xun Gong</x:v>
      </x:c>
      <x:c r="J4529" s="6" t="str">
        <x:f>IF(B4529="","",IF(AND(ISNUMBER(SEARCH("平",B4529)),OR(ISNUMBER(SEARCH("上",B4529)),ISNUMBER(SEARCH("去",B4529)),ISNUMBER(SEARCH("入",B4529)))),"Ambiguous",IF(ISNUMBER(SEARCH("平",B4529)),"平","仄")))</x:f>
      </x:c>
      <x:c r="K4529" s="6" t="str">
        <x:f>IF(D4529="","",IF(AND(ISNUMBER(SEARCH("平",D4529)),OR(ISNUMBER(SEARCH("上",D4529)),ISNUMBER(SEARCH("去",D4529)),ISNUMBER(SEARCH("入",D4529)))),"Ambiguous",IF(ISNUMBER(SEARCH("平",D4529)),"平","仄")))</x:f>
        <x:v>Ambiguous</x:v>
      </x:c>
      <x:c r="L4529" s="7" t="str">
        <x:v>Xun Gong, Tang 300 gap fill</x:v>
      </x:c>
    </x:row>
    <x:row r="4530">
      <x:c r="A4530" s="5" t="str">
        <x:v>震</x:v>
      </x:c>
      <x:c r="B4530" s="6" t="str">
        <x:v>去</x:v>
      </x:c>
      <x:c r="C4530" s="6" t="str">
        <x:f>IF(B4530="","Needs decision","Ready")</x:f>
        <x:v>Ready</x:v>
      </x:c>
      <x:c r="D4530" s="6" t="str">
        <x:v>去</x:v>
      </x:c>
      <x:c r="E4530" s="6" t="str">
        <x:v>tsyinH (C)</x:v>
      </x:c>
      <x:c r="F4530" s="6" t="str">
        <x:v>去聲十二震</x:v>
      </x:c>
      <x:c r="G4530" s="6" t="str">
        <x:v>Pingshui main list, Wikisource-derived DOCX</x:v>
      </x:c>
      <x:c r="H4530" s="6" t="str">
        <x:v>1</x:v>
      </x:c>
      <x:c r="I4530" s="6" t="str"/>
      <x:c r="J4530" s="6" t="str">
        <x:f>IF(B4530="","",IF(AND(ISNUMBER(SEARCH("平",B4530)),OR(ISNUMBER(SEARCH("上",B4530)),ISNUMBER(SEARCH("去",B4530)),ISNUMBER(SEARCH("入",B4530)))),"Ambiguous",IF(ISNUMBER(SEARCH("平",B4530)),"平","仄")))</x:f>
        <x:v>仄</x:v>
      </x:c>
      <x:c r="K4530" s="6" t="str">
        <x:f>IF(D4530="","",IF(AND(ISNUMBER(SEARCH("平",D4530)),OR(ISNUMBER(SEARCH("上",D4530)),ISNUMBER(SEARCH("去",D4530)),ISNUMBER(SEARCH("入",D4530)))),"Ambiguous",IF(ISNUMBER(SEARCH("平",D4530)),"平","仄")))</x:f>
        <x:v>仄</x:v>
      </x:c>
      <x:c r="L4530" s="7" t="str"/>
    </x:row>
    <x:row r="4531">
      <x:c r="A4531" s="5" t="str">
        <x:v>霏</x:v>
      </x:c>
      <x:c r="B4531" s="6" t="str">
        <x:v>平</x:v>
      </x:c>
      <x:c r="C4531" s="6" t="str">
        <x:f>IF(B4531="","Needs decision","Ready")</x:f>
        <x:v>Ready</x:v>
      </x:c>
      <x:c r="D4531" s="6" t="str">
        <x:v>平</x:v>
      </x:c>
      <x:c r="E4531" s="6" t="str">
        <x:v>phj+j [滂三C微平] pʰwɨj</x:v>
      </x:c>
      <x:c r="F4531" s="6" t="str">
        <x:v>上平聲五微</x:v>
      </x:c>
      <x:c r="G4531" s="6" t="str">
        <x:v>Pingshui main list, Wikisource-derived DOCX</x:v>
      </x:c>
      <x:c r="H4531" s="6" t="str">
        <x:v>1</x:v>
      </x:c>
      <x:c r="I4531" s="6" t="str">
        <x:v>Targeted preliminary fill from Xun Gong; review if uncertain</x:v>
      </x:c>
      <x:c r="J4531" s="6" t="str">
        <x:f>IF(B4531="","",IF(AND(ISNUMBER(SEARCH("平",B4531)),OR(ISNUMBER(SEARCH("上",B4531)),ISNUMBER(SEARCH("去",B4531)),ISNUMBER(SEARCH("入",B4531)))),"Ambiguous",IF(ISNUMBER(SEARCH("平",B4531)),"平","仄")))</x:f>
        <x:v>平</x:v>
      </x:c>
      <x:c r="K4531" s="6" t="str">
        <x:f>IF(D4531="","",IF(AND(ISNUMBER(SEARCH("平",D4531)),OR(ISNUMBER(SEARCH("上",D4531)),ISNUMBER(SEARCH("去",D4531)),ISNUMBER(SEARCH("入",D4531)))),"Ambiguous",IF(ISNUMBER(SEARCH("平",D4531)),"平","仄")))</x:f>
        <x:v>平</x:v>
      </x:c>
      <x:c r="L4531" s="7" t="str">
        <x:v>Xun Gong character-readings.csv</x:v>
      </x:c>
    </x:row>
    <x:row r="4532">
      <x:c r="A4532" s="5" t="str">
        <x:v>霑</x:v>
      </x:c>
      <x:c r="B4532" s="6" t="str">
        <x:v>平</x:v>
      </x:c>
      <x:c r="C4532" s="6" t="str">
        <x:f>IF(B4532="","Needs decision","Ready")</x:f>
        <x:v>Ready</x:v>
      </x:c>
      <x:c r="D4532" s="6" t="str">
        <x:v>平</x:v>
      </x:c>
      <x:c r="E4532" s="6" t="str"/>
      <x:c r="F4532" s="6" t="str">
        <x:v>下平聲十四鹽</x:v>
      </x:c>
      <x:c r="G4532" s="6" t="str">
        <x:v>Pingshui main list, Wikisource-derived DOCX</x:v>
      </x:c>
      <x:c r="H4532" s="6" t="str"/>
      <x:c r="I4532" s="6" t="str">
        <x:v>Manual user correction/addition</x:v>
      </x:c>
      <x:c r="J4532" s="6" t="str">
        <x:f>IF(B4532="","",IF(AND(ISNUMBER(SEARCH("平",B4532)),OR(ISNUMBER(SEARCH("上",B4532)),ISNUMBER(SEARCH("去",B4532)),ISNUMBER(SEARCH("入",B4532)))),"Ambiguous",IF(ISNUMBER(SEARCH("平",B4532)),"平","仄")))</x:f>
        <x:v>平</x:v>
      </x:c>
      <x:c r="K4532" s="6" t="str">
        <x:f>IF(D4532="","",IF(AND(ISNUMBER(SEARCH("平",D4532)),OR(ISNUMBER(SEARCH("上",D4532)),ISNUMBER(SEARCH("去",D4532)),ISNUMBER(SEARCH("入",D4532)))),"Ambiguous",IF(ISNUMBER(SEARCH("平",D4532)),"平","仄")))</x:f>
        <x:v>平</x:v>
      </x:c>
      <x:c r="L4532" s="7" t="str">
        <x:v>manual user correction</x:v>
      </x:c>
    </x:row>
    <x:row r="4533">
      <x:c r="A4533" s="5" t="str">
        <x:v>霓</x:v>
      </x:c>
      <x:c r="B4533" s="6" t="str">
        <x:v>平</x:v>
      </x:c>
      <x:c r="C4533" s="6" t="str">
        <x:f>IF(B4533="","Needs decision","Ready")</x:f>
        <x:v>Ready</x:v>
      </x:c>
      <x:c r="D4533" s="6" t="str">
        <x:v>平</x:v>
      </x:c>
      <x:c r="E4533" s="6" t="str"/>
      <x:c r="F4533" s="6" t="str">
        <x:v>上平聲八齊; 入聲十二錫</x:v>
      </x:c>
      <x:c r="G4533" s="6" t="str">
        <x:v>Pingshui main list, Wikisource-derived DOCX</x:v>
      </x:c>
      <x:c r="H4533" s="6" t="str"/>
      <x:c r="I4533" s="6" t="str">
        <x:v>Manual user correction/addition</x:v>
      </x:c>
      <x:c r="J4533" s="6" t="str">
        <x:f>IF(B4533="","",IF(AND(ISNUMBER(SEARCH("平",B4533)),OR(ISNUMBER(SEARCH("上",B4533)),ISNUMBER(SEARCH("去",B4533)),ISNUMBER(SEARCH("入",B4533)))),"Ambiguous",IF(ISNUMBER(SEARCH("平",B4533)),"平","仄")))</x:f>
        <x:v>平</x:v>
      </x:c>
      <x:c r="K4533" s="6" t="str">
        <x:f>IF(D4533="","",IF(AND(ISNUMBER(SEARCH("平",D4533)),OR(ISNUMBER(SEARCH("上",D4533)),ISNUMBER(SEARCH("去",D4533)),ISNUMBER(SEARCH("入",D4533)))),"Ambiguous",IF(ISNUMBER(SEARCH("平",D4533)),"平","仄")))</x:f>
        <x:v>平</x:v>
      </x:c>
      <x:c r="L4533" s="7" t="str">
        <x:v>manual user correction</x:v>
      </x:c>
    </x:row>
    <x:row r="4534">
      <x:c r="A4534" s="5" t="str">
        <x:v>霜</x:v>
      </x:c>
      <x:c r="B4534" s="6" t="str">
        <x:v>平</x:v>
      </x:c>
      <x:c r="C4534" s="6" t="str">
        <x:f>IF(B4534="","Needs decision","Ready")</x:f>
        <x:v>Ready</x:v>
      </x:c>
      <x:c r="D4534" s="6" t="str">
        <x:v>平</x:v>
      </x:c>
      <x:c r="E4534" s="6" t="str">
        <x:v>srjang (A)</x:v>
      </x:c>
      <x:c r="F4534" s="6" t="str">
        <x:v>下平聲七陽</x:v>
      </x:c>
      <x:c r="G4534" s="6" t="str">
        <x:v>Pingshui main list, Wikisource-derived DOCX</x:v>
      </x:c>
      <x:c r="H4534" s="6" t="str">
        <x:v>1</x:v>
      </x:c>
      <x:c r="I4534" s="6" t="str"/>
      <x:c r="J4534" s="6" t="str">
        <x:f>IF(B4534="","",IF(AND(ISNUMBER(SEARCH("平",B4534)),OR(ISNUMBER(SEARCH("上",B4534)),ISNUMBER(SEARCH("去",B4534)),ISNUMBER(SEARCH("入",B4534)))),"Ambiguous",IF(ISNUMBER(SEARCH("平",B4534)),"平","仄")))</x:f>
        <x:v>平</x:v>
      </x:c>
      <x:c r="K4534" s="6" t="str">
        <x:f>IF(D4534="","",IF(AND(ISNUMBER(SEARCH("平",D4534)),OR(ISNUMBER(SEARCH("上",D4534)),ISNUMBER(SEARCH("去",D4534)),ISNUMBER(SEARCH("入",D4534)))),"Ambiguous",IF(ISNUMBER(SEARCH("平",D4534)),"平","仄")))</x:f>
        <x:v>平</x:v>
      </x:c>
      <x:c r="L4534" s="7" t="str"/>
    </x:row>
    <x:row r="4535">
      <x:c r="A4535" s="5" t="str">
        <x:v>霞</x:v>
      </x:c>
      <x:c r="B4535" s="6" t="str">
        <x:v>平</x:v>
      </x:c>
      <x:c r="C4535" s="6" t="str">
        <x:f>IF(B4535="","Needs decision","Ready")</x:f>
        <x:v>Ready</x:v>
      </x:c>
      <x:c r="D4535" s="6" t="str">
        <x:v>平</x:v>
      </x:c>
      <x:c r="E4535" s="6" t="str"/>
      <x:c r="F4535" s="6" t="str">
        <x:v>下平聲六麻</x:v>
      </x:c>
      <x:c r="G4535" s="6" t="str">
        <x:v>Pingshui main list, Wikisource-derived DOCX</x:v>
      </x:c>
      <x:c r="H4535" s="6" t="str"/>
      <x:c r="I4535" s="6" t="str">
        <x:v>Manual user correction/addition</x:v>
      </x:c>
      <x:c r="J4535" s="6" t="str">
        <x:f>IF(B4535="","",IF(AND(ISNUMBER(SEARCH("平",B4535)),OR(ISNUMBER(SEARCH("上",B4535)),ISNUMBER(SEARCH("去",B4535)),ISNUMBER(SEARCH("入",B4535)))),"Ambiguous",IF(ISNUMBER(SEARCH("平",B4535)),"平","仄")))</x:f>
        <x:v>平</x:v>
      </x:c>
      <x:c r="K4535" s="6" t="str">
        <x:f>IF(D4535="","",IF(AND(ISNUMBER(SEARCH("平",D4535)),OR(ISNUMBER(SEARCH("上",D4535)),ISNUMBER(SEARCH("去",D4535)),ISNUMBER(SEARCH("入",D4535)))),"Ambiguous",IF(ISNUMBER(SEARCH("平",D4535)),"平","仄")))</x:f>
        <x:v>平</x:v>
      </x:c>
      <x:c r="L4535" s="7" t="str">
        <x:v>manual user correction</x:v>
      </x:c>
    </x:row>
    <x:row r="4536">
      <x:c r="A4536" s="5" t="str">
        <x:v>霧</x:v>
      </x:c>
      <x:c r="B4536" s="6" t="str">
        <x:v>去</x:v>
      </x:c>
      <x:c r="C4536" s="6" t="str">
        <x:f>IF(B4536="","Needs decision","Ready")</x:f>
        <x:v>Ready</x:v>
      </x:c>
      <x:c r="D4536" s="6" t="str">
        <x:v>去</x:v>
      </x:c>
      <x:c r="E4536" s="6" t="str">
        <x:v>mjuH (C)</x:v>
      </x:c>
      <x:c r="F4536" s="6" t="str">
        <x:v>去聲七遇</x:v>
      </x:c>
      <x:c r="G4536" s="6" t="str">
        <x:v>Pingshui main list, Wikisource-derived DOCX</x:v>
      </x:c>
      <x:c r="H4536" s="6" t="str">
        <x:v>1</x:v>
      </x:c>
      <x:c r="I4536" s="6" t="str"/>
      <x:c r="J4536" s="6" t="str">
        <x:f>IF(B4536="","",IF(AND(ISNUMBER(SEARCH("平",B4536)),OR(ISNUMBER(SEARCH("上",B4536)),ISNUMBER(SEARCH("去",B4536)),ISNUMBER(SEARCH("入",B4536)))),"Ambiguous",IF(ISNUMBER(SEARCH("平",B4536)),"平","仄")))</x:f>
        <x:v>仄</x:v>
      </x:c>
      <x:c r="K4536" s="6" t="str">
        <x:f>IF(D4536="","",IF(AND(ISNUMBER(SEARCH("平",D4536)),OR(ISNUMBER(SEARCH("上",D4536)),ISNUMBER(SEARCH("去",D4536)),ISNUMBER(SEARCH("入",D4536)))),"Ambiguous",IF(ISNUMBER(SEARCH("平",D4536)),"平","仄")))</x:f>
        <x:v>仄</x:v>
      </x:c>
      <x:c r="L4536" s="7" t="str"/>
    </x:row>
    <x:row r="4537">
      <x:c r="A4537" s="5" t="str">
        <x:v>霰</x:v>
      </x:c>
      <x:c r="B4537" s="6" t="str">
        <x:v>去</x:v>
      </x:c>
      <x:c r="C4537" s="6" t="str">
        <x:f>IF(B4537="","Needs decision","Ready")</x:f>
        <x:v>Ready</x:v>
      </x:c>
      <x:c r="D4537" s="6" t="str">
        <x:v>去</x:v>
      </x:c>
      <x:c r="E4537" s="6" t="str">
        <x:v>senH (C)</x:v>
      </x:c>
      <x:c r="F4537" s="6" t="str">
        <x:v>去聲十七霰</x:v>
      </x:c>
      <x:c r="G4537" s="6" t="str">
        <x:v>Pingshui main list, Wikisource-derived DOCX</x:v>
      </x:c>
      <x:c r="H4537" s="6" t="str">
        <x:v>1</x:v>
      </x:c>
      <x:c r="I4537" s="6" t="str"/>
      <x:c r="J4537" s="6" t="str">
        <x:f>IF(B4537="","",IF(AND(ISNUMBER(SEARCH("平",B4537)),OR(ISNUMBER(SEARCH("上",B4537)),ISNUMBER(SEARCH("去",B4537)),ISNUMBER(SEARCH("入",B4537)))),"Ambiguous",IF(ISNUMBER(SEARCH("平",B4537)),"平","仄")))</x:f>
        <x:v>仄</x:v>
      </x:c>
      <x:c r="K4537" s="6" t="str">
        <x:f>IF(D4537="","",IF(AND(ISNUMBER(SEARCH("平",D4537)),OR(ISNUMBER(SEARCH("上",D4537)),ISNUMBER(SEARCH("去",D4537)),ISNUMBER(SEARCH("入",D4537)))),"Ambiguous",IF(ISNUMBER(SEARCH("平",D4537)),"平","仄")))</x:f>
        <x:v>仄</x:v>
      </x:c>
      <x:c r="L4537" s="7" t="str"/>
    </x:row>
    <x:row r="4538">
      <x:c r="A4538" s="5" t="str">
        <x:v>露</x:v>
      </x:c>
      <x:c r="B4538" s="6" t="str">
        <x:v>去</x:v>
      </x:c>
      <x:c r="C4538" s="6" t="str">
        <x:f>IF(B4538="","Needs decision","Ready")</x:f>
        <x:v>Ready</x:v>
      </x:c>
      <x:c r="D4538" s="6" t="str">
        <x:v>去</x:v>
      </x:c>
      <x:c r="E4538" s="6" t="str">
        <x:v>luH (C)</x:v>
      </x:c>
      <x:c r="F4538" s="6" t="str">
        <x:v>去聲七遇</x:v>
      </x:c>
      <x:c r="G4538" s="6" t="str">
        <x:v>Pingshui main list, Wikisource-derived DOCX</x:v>
      </x:c>
      <x:c r="H4538" s="6" t="str">
        <x:v>1</x:v>
      </x:c>
      <x:c r="I4538" s="6" t="str"/>
      <x:c r="J4538" s="6" t="str">
        <x:f>IF(B4538="","",IF(AND(ISNUMBER(SEARCH("平",B4538)),OR(ISNUMBER(SEARCH("上",B4538)),ISNUMBER(SEARCH("去",B4538)),ISNUMBER(SEARCH("入",B4538)))),"Ambiguous",IF(ISNUMBER(SEARCH("平",B4538)),"平","仄")))</x:f>
        <x:v>仄</x:v>
      </x:c>
      <x:c r="K4538" s="6" t="str">
        <x:f>IF(D4538="","",IF(AND(ISNUMBER(SEARCH("平",D4538)),OR(ISNUMBER(SEARCH("上",D4538)),ISNUMBER(SEARCH("去",D4538)),ISNUMBER(SEARCH("入",D4538)))),"Ambiguous",IF(ISNUMBER(SEARCH("平",D4538)),"平","仄")))</x:f>
        <x:v>仄</x:v>
      </x:c>
      <x:c r="L4538" s="7" t="str"/>
    </x:row>
    <x:row r="4539">
      <x:c r="A4539" s="5" t="str">
        <x:v>霸</x:v>
      </x:c>
      <x:c r="B4539" s="6" t="str"/>
      <x:c r="C4539" s="6" t="str">
        <x:f>IF(B4539="","Needs decision","Ready")</x:f>
        <x:v>Needs decision</x:v>
      </x:c>
      <x:c r="D4539" s="6" t="str">
        <x:v>去/入</x:v>
      </x:c>
      <x:c r="E4539" s="6" t="str">
        <x:v>paeH (C); phaek (D)</x:v>
      </x:c>
      <x:c r="F4539" s="6" t="str">
        <x:v>去聲二十二禡; 入聲十一陌</x:v>
      </x:c>
      <x:c r="G4539" s="6" t="str">
        <x:v>Pingshui main list, Wikisource-derived DOCX</x:v>
      </x:c>
      <x:c r="H4539" s="6" t="str">
        <x:v>2</x:v>
      </x:c>
      <x:c r="I4539" s="6" t="str"/>
      <x:c r="J4539" s="6" t="str">
        <x:f>IF(B4539="","",IF(AND(ISNUMBER(SEARCH("平",B4539)),OR(ISNUMBER(SEARCH("上",B4539)),ISNUMBER(SEARCH("去",B4539)),ISNUMBER(SEARCH("入",B4539)))),"Ambiguous",IF(ISNUMBER(SEARCH("平",B4539)),"平","仄")))</x:f>
      </x:c>
      <x:c r="K4539" s="6" t="str">
        <x:f>IF(D4539="","",IF(AND(ISNUMBER(SEARCH("平",D4539)),OR(ISNUMBER(SEARCH("上",D4539)),ISNUMBER(SEARCH("去",D4539)),ISNUMBER(SEARCH("入",D4539)))),"Ambiguous",IF(ISNUMBER(SEARCH("平",D4539)),"平","仄")))</x:f>
        <x:v>仄</x:v>
      </x:c>
      <x:c r="L4539" s="7" t="str"/>
    </x:row>
    <x:row r="4540">
      <x:c r="A4540" s="5" t="str">
        <x:v>霹</x:v>
      </x:c>
      <x:c r="B4540" s="6" t="str">
        <x:v>入</x:v>
      </x:c>
      <x:c r="C4540" s="6" t="str">
        <x:f>IF(B4540="","Needs decision","Ready")</x:f>
        <x:v>Ready</x:v>
      </x:c>
      <x:c r="D4540" s="6" t="str">
        <x:v>入</x:v>
      </x:c>
      <x:c r="E4540" s="6" t="str">
        <x:v>phek [p̙ʰek] (入)</x:v>
      </x:c>
      <x:c r="F4540" s="6" t="str">
        <x:v>入聲十一陌; 入聲十二錫</x:v>
      </x:c>
      <x:c r="G4540" s="6" t="str">
        <x:v>Pingshui main list, Wikisource-derived DOCX</x:v>
      </x:c>
      <x:c r="H4540" s="6" t="str">
        <x:v>1</x:v>
      </x:c>
      <x:c r="I4540" s="6" t="str">
        <x:v>Tang 300 gap; frequency 3; provisional from Xun Gong</x:v>
      </x:c>
      <x:c r="J4540" s="6" t="str">
        <x:f>IF(B4540="","",IF(AND(ISNUMBER(SEARCH("平",B4540)),OR(ISNUMBER(SEARCH("上",B4540)),ISNUMBER(SEARCH("去",B4540)),ISNUMBER(SEARCH("入",B4540)))),"Ambiguous",IF(ISNUMBER(SEARCH("平",B4540)),"平","仄")))</x:f>
        <x:v>仄</x:v>
      </x:c>
      <x:c r="K4540" s="6" t="str">
        <x:f>IF(D4540="","",IF(AND(ISNUMBER(SEARCH("平",D4540)),OR(ISNUMBER(SEARCH("上",D4540)),ISNUMBER(SEARCH("去",D4540)),ISNUMBER(SEARCH("入",D4540)))),"Ambiguous",IF(ISNUMBER(SEARCH("平",D4540)),"平","仄")))</x:f>
        <x:v>仄</x:v>
      </x:c>
      <x:c r="L4540" s="7" t="str">
        <x:v>Xun Gong, Tang 300 gap fill</x:v>
      </x:c>
    </x:row>
    <x:row r="4541">
      <x:c r="A4541" s="5" t="str">
        <x:v>霽</x:v>
      </x:c>
      <x:c r="B4541" s="6" t="str">
        <x:v>去</x:v>
      </x:c>
      <x:c r="C4541" s="6" t="str">
        <x:f>IF(B4541="","Needs decision","Ready")</x:f>
        <x:v>Ready</x:v>
      </x:c>
      <x:c r="D4541" s="6" t="str">
        <x:v>去</x:v>
      </x:c>
      <x:c r="E4541" s="6" t="str"/>
      <x:c r="F4541" s="6" t="str">
        <x:v>去聲八霽</x:v>
      </x:c>
      <x:c r="G4541" s="6" t="str">
        <x:v>Pingshui main list, Wikisource-derived DOCX</x:v>
      </x:c>
      <x:c r="H4541" s="6" t="str"/>
      <x:c r="I4541" s="6" t="str">
        <x:v>Manual user correction/addition</x:v>
      </x:c>
      <x:c r="J4541" s="6" t="str">
        <x:f>IF(B4541="","",IF(AND(ISNUMBER(SEARCH("平",B4541)),OR(ISNUMBER(SEARCH("上",B4541)),ISNUMBER(SEARCH("去",B4541)),ISNUMBER(SEARCH("入",B4541)))),"Ambiguous",IF(ISNUMBER(SEARCH("平",B4541)),"平","仄")))</x:f>
        <x:v>仄</x:v>
      </x:c>
      <x:c r="K4541" s="6" t="str">
        <x:f>IF(D4541="","",IF(AND(ISNUMBER(SEARCH("平",D4541)),OR(ISNUMBER(SEARCH("上",D4541)),ISNUMBER(SEARCH("去",D4541)),ISNUMBER(SEARCH("入",D4541)))),"Ambiguous",IF(ISNUMBER(SEARCH("平",D4541)),"平","仄")))</x:f>
        <x:v>仄</x:v>
      </x:c>
      <x:c r="L4541" s="7" t="str">
        <x:v>manual user correction</x:v>
      </x:c>
    </x:row>
    <x:row r="4542">
      <x:c r="A4542" s="5" t="str">
        <x:v>霾</x:v>
      </x:c>
      <x:c r="B4542" s="6" t="str">
        <x:v>平</x:v>
      </x:c>
      <x:c r="C4542" s="6" t="str">
        <x:f>IF(B4542="","Needs decision","Ready")</x:f>
        <x:v>Ready</x:v>
      </x:c>
      <x:c r="D4542" s="6" t="str">
        <x:v>平</x:v>
      </x:c>
      <x:c r="E4542" s="6" t="str">
        <x:v>meaj (A)</x:v>
      </x:c>
      <x:c r="F4542" s="6" t="str">
        <x:v>上平聲九佳</x:v>
      </x:c>
      <x:c r="G4542" s="6" t="str">
        <x:v>Pingshui main list, Wikisource-derived DOCX</x:v>
      </x:c>
      <x:c r="H4542" s="6" t="str">
        <x:v>1</x:v>
      </x:c>
      <x:c r="I4542" s="6" t="str"/>
      <x:c r="J4542" s="6" t="str">
        <x:f>IF(B4542="","",IF(AND(ISNUMBER(SEARCH("平",B4542)),OR(ISNUMBER(SEARCH("上",B4542)),ISNUMBER(SEARCH("去",B4542)),ISNUMBER(SEARCH("入",B4542)))),"Ambiguous",IF(ISNUMBER(SEARCH("平",B4542)),"平","仄")))</x:f>
        <x:v>平</x:v>
      </x:c>
      <x:c r="K4542" s="6" t="str">
        <x:f>IF(D4542="","",IF(AND(ISNUMBER(SEARCH("平",D4542)),OR(ISNUMBER(SEARCH("上",D4542)),ISNUMBER(SEARCH("去",D4542)),ISNUMBER(SEARCH("入",D4542)))),"Ambiguous",IF(ISNUMBER(SEARCH("平",D4542)),"平","仄")))</x:f>
        <x:v>平</x:v>
      </x:c>
      <x:c r="L4542" s="7" t="str"/>
    </x:row>
    <x:row r="4543">
      <x:c r="A4543" s="5" t="str">
        <x:v>靁</x:v>
      </x:c>
      <x:c r="B4543" s="6" t="str">
        <x:v>平</x:v>
      </x:c>
      <x:c r="C4543" s="6" t="str">
        <x:f>IF(B4543="","Needs decision","Ready")</x:f>
        <x:v>Ready</x:v>
      </x:c>
      <x:c r="D4543" s="6" t="str">
        <x:v>平</x:v>
      </x:c>
      <x:c r="E4543" s="6" t="str">
        <x:v>lwoj (A)</x:v>
      </x:c>
      <x:c r="F4543" s="6" t="str"/>
      <x:c r="G4543" s="6" t="str"/>
      <x:c r="H4543" s="6" t="str">
        <x:v>1</x:v>
      </x:c>
      <x:c r="I4543" s="6" t="str"/>
      <x:c r="J4543" s="6" t="str">
        <x:f>IF(B4543="","",IF(AND(ISNUMBER(SEARCH("平",B4543)),OR(ISNUMBER(SEARCH("上",B4543)),ISNUMBER(SEARCH("去",B4543)),ISNUMBER(SEARCH("入",B4543)))),"Ambiguous",IF(ISNUMBER(SEARCH("平",B4543)),"平","仄")))</x:f>
        <x:v>平</x:v>
      </x:c>
      <x:c r="K4543" s="6" t="str">
        <x:f>IF(D4543="","",IF(AND(ISNUMBER(SEARCH("平",D4543)),OR(ISNUMBER(SEARCH("上",D4543)),ISNUMBER(SEARCH("去",D4543)),ISNUMBER(SEARCH("入",D4543)))),"Ambiguous",IF(ISNUMBER(SEARCH("平",D4543)),"平","仄")))</x:f>
        <x:v>平</x:v>
      </x:c>
      <x:c r="L4543" s="7" t="str"/>
    </x:row>
    <x:row r="4544">
      <x:c r="A4544" s="5" t="str">
        <x:v>靂</x:v>
      </x:c>
      <x:c r="B4544" s="6" t="str">
        <x:v>入</x:v>
      </x:c>
      <x:c r="C4544" s="6" t="str">
        <x:f>IF(B4544="","Needs decision","Ready")</x:f>
        <x:v>Ready</x:v>
      </x:c>
      <x:c r="D4544" s="6" t="str">
        <x:v>入</x:v>
      </x:c>
      <x:c r="E4544" s="6" t="str">
        <x:v>lek [l̙ek] (入)</x:v>
      </x:c>
      <x:c r="F4544" s="6" t="str">
        <x:v>入聲十二錫</x:v>
      </x:c>
      <x:c r="G4544" s="6" t="str">
        <x:v>Pingshui main list, Wikisource-derived DOCX</x:v>
      </x:c>
      <x:c r="H4544" s="6" t="str">
        <x:v>1</x:v>
      </x:c>
      <x:c r="I4544" s="6" t="str">
        <x:v>Tang 300 gap; frequency 3; provisional from Xun Gong</x:v>
      </x:c>
      <x:c r="J4544" s="6" t="str">
        <x:f>IF(B4544="","",IF(AND(ISNUMBER(SEARCH("平",B4544)),OR(ISNUMBER(SEARCH("上",B4544)),ISNUMBER(SEARCH("去",B4544)),ISNUMBER(SEARCH("入",B4544)))),"Ambiguous",IF(ISNUMBER(SEARCH("平",B4544)),"平","仄")))</x:f>
        <x:v>仄</x:v>
      </x:c>
      <x:c r="K4544" s="6" t="str">
        <x:f>IF(D4544="","",IF(AND(ISNUMBER(SEARCH("平",D4544)),OR(ISNUMBER(SEARCH("上",D4544)),ISNUMBER(SEARCH("去",D4544)),ISNUMBER(SEARCH("入",D4544)))),"Ambiguous",IF(ISNUMBER(SEARCH("平",D4544)),"平","仄")))</x:f>
        <x:v>仄</x:v>
      </x:c>
      <x:c r="L4544" s="7" t="str">
        <x:v>Xun Gong, Tang 300 gap fill</x:v>
      </x:c>
    </x:row>
    <x:row r="4545">
      <x:c r="A4545" s="5" t="str">
        <x:v>靄</x:v>
      </x:c>
      <x:c r="B4545" s="6" t="str"/>
      <x:c r="C4545" s="6" t="str">
        <x:f>IF(B4545="","Needs decision","Ready")</x:f>
        <x:v>Needs decision</x:v>
      </x:c>
      <x:c r="D4545" s="6" t="str">
        <x:v>去/入</x:v>
      </x:c>
      <x:c r="E4545" s="6" t="str">
        <x:v>'ajH [ʔ̙ɑjh] (去); 'at [ʔ̙ɑt] (入)</x:v>
      </x:c>
      <x:c r="F4545" s="6" t="str">
        <x:v>去聲九泰</x:v>
      </x:c>
      <x:c r="G4545" s="6" t="str">
        <x:v>Pingshui main list, Wikisource-derived DOCX</x:v>
      </x:c>
      <x:c r="H4545" s="6" t="str">
        <x:v>2</x:v>
      </x:c>
      <x:c r="I4545" s="6" t="str">
        <x:v>Tang 300 gap; frequency 3; ambiguous in Xun Gong</x:v>
      </x:c>
      <x:c r="J4545" s="6" t="str">
        <x:f>IF(B4545="","",IF(AND(ISNUMBER(SEARCH("平",B4545)),OR(ISNUMBER(SEARCH("上",B4545)),ISNUMBER(SEARCH("去",B4545)),ISNUMBER(SEARCH("入",B4545)))),"Ambiguous",IF(ISNUMBER(SEARCH("平",B4545)),"平","仄")))</x:f>
      </x:c>
      <x:c r="K4545" s="6" t="str">
        <x:f>IF(D4545="","",IF(AND(ISNUMBER(SEARCH("平",D4545)),OR(ISNUMBER(SEARCH("上",D4545)),ISNUMBER(SEARCH("去",D4545)),ISNUMBER(SEARCH("入",D4545)))),"Ambiguous",IF(ISNUMBER(SEARCH("平",D4545)),"平","仄")))</x:f>
        <x:v>仄</x:v>
      </x:c>
      <x:c r="L4545" s="7" t="str">
        <x:v>Xun Gong, Tang 300 gap fill</x:v>
      </x:c>
    </x:row>
    <x:row r="4546">
      <x:c r="A4546" s="5" t="str">
        <x:v>靈</x:v>
      </x:c>
      <x:c r="B4546" s="6" t="str">
        <x:v>平</x:v>
      </x:c>
      <x:c r="C4546" s="6" t="str">
        <x:f>IF(B4546="","Needs decision","Ready")</x:f>
        <x:v>Ready</x:v>
      </x:c>
      <x:c r="D4546" s="6" t="str">
        <x:v>平</x:v>
      </x:c>
      <x:c r="E4546" s="6" t="str">
        <x:v>leng (A)</x:v>
      </x:c>
      <x:c r="F4546" s="6" t="str">
        <x:v>下平聲九青</x:v>
      </x:c>
      <x:c r="G4546" s="6" t="str">
        <x:v>Pingshui main list, Wikisource-derived DOCX</x:v>
      </x:c>
      <x:c r="H4546" s="6" t="str">
        <x:v>1</x:v>
      </x:c>
      <x:c r="I4546" s="6" t="str"/>
      <x:c r="J4546" s="6" t="str">
        <x:f>IF(B4546="","",IF(AND(ISNUMBER(SEARCH("平",B4546)),OR(ISNUMBER(SEARCH("上",B4546)),ISNUMBER(SEARCH("去",B4546)),ISNUMBER(SEARCH("入",B4546)))),"Ambiguous",IF(ISNUMBER(SEARCH("平",B4546)),"平","仄")))</x:f>
        <x:v>平</x:v>
      </x:c>
      <x:c r="K4546" s="6" t="str">
        <x:f>IF(D4546="","",IF(AND(ISNUMBER(SEARCH("平",D4546)),OR(ISNUMBER(SEARCH("上",D4546)),ISNUMBER(SEARCH("去",D4546)),ISNUMBER(SEARCH("入",D4546)))),"Ambiguous",IF(ISNUMBER(SEARCH("平",D4546)),"平","仄")))</x:f>
        <x:v>平</x:v>
      </x:c>
      <x:c r="L4546" s="7" t="str"/>
    </x:row>
    <x:row r="4547">
      <x:c r="A4547" s="5" t="str">
        <x:v>靑</x:v>
      </x:c>
      <x:c r="B4547" s="6" t="str">
        <x:v>平</x:v>
      </x:c>
      <x:c r="C4547" s="6" t="str">
        <x:f>IF(B4547="","Needs decision","Ready")</x:f>
        <x:v>Ready</x:v>
      </x:c>
      <x:c r="D4547" s="6" t="str">
        <x:v>平</x:v>
      </x:c>
      <x:c r="E4547" s="6" t="str">
        <x:v>tsheng [清開四青平] t̙s̙ʰeŋ</x:v>
      </x:c>
      <x:c r="F4547" s="6" t="str"/>
      <x:c r="G4547" s="6" t="str"/>
      <x:c r="H4547" s="6" t="str">
        <x:v>1</x:v>
      </x:c>
      <x:c r="I4547" s="6" t="str">
        <x:v>Targeted preliminary fill from Xun Gong; review if uncertain (looked up under 青)</x:v>
      </x:c>
      <x:c r="J4547" s="6" t="str">
        <x:f>IF(B4547="","",IF(AND(ISNUMBER(SEARCH("平",B4547)),OR(ISNUMBER(SEARCH("上",B4547)),ISNUMBER(SEARCH("去",B4547)),ISNUMBER(SEARCH("入",B4547)))),"Ambiguous",IF(ISNUMBER(SEARCH("平",B4547)),"平","仄")))</x:f>
        <x:v>平</x:v>
      </x:c>
      <x:c r="K4547" s="6" t="str">
        <x:f>IF(D4547="","",IF(AND(ISNUMBER(SEARCH("平",D4547)),OR(ISNUMBER(SEARCH("上",D4547)),ISNUMBER(SEARCH("去",D4547)),ISNUMBER(SEARCH("入",D4547)))),"Ambiguous",IF(ISNUMBER(SEARCH("平",D4547)),"平","仄")))</x:f>
        <x:v>平</x:v>
      </x:c>
      <x:c r="L4547" s="7" t="str">
        <x:v>Xun Gong character-readings.csv</x:v>
      </x:c>
    </x:row>
    <x:row r="4548">
      <x:c r="A4548" s="5" t="str">
        <x:v>青</x:v>
      </x:c>
      <x:c r="B4548" s="6" t="str">
        <x:v>平</x:v>
      </x:c>
      <x:c r="C4548" s="6" t="str">
        <x:f>IF(B4548="","Needs decision","Ready")</x:f>
        <x:v>Ready</x:v>
      </x:c>
      <x:c r="D4548" s="6" t="str">
        <x:v>平</x:v>
      </x:c>
      <x:c r="E4548" s="6" t="str">
        <x:v>tsheng (A)</x:v>
      </x:c>
      <x:c r="F4548" s="6" t="str">
        <x:v>下平聲九青</x:v>
      </x:c>
      <x:c r="G4548" s="6" t="str">
        <x:v>Pingshui main list, Wikisource-derived DOCX</x:v>
      </x:c>
      <x:c r="H4548" s="6" t="str">
        <x:v>1</x:v>
      </x:c>
      <x:c r="I4548" s="6" t="str"/>
      <x:c r="J4548" s="6" t="str">
        <x:f>IF(B4548="","",IF(AND(ISNUMBER(SEARCH("平",B4548)),OR(ISNUMBER(SEARCH("上",B4548)),ISNUMBER(SEARCH("去",B4548)),ISNUMBER(SEARCH("入",B4548)))),"Ambiguous",IF(ISNUMBER(SEARCH("平",B4548)),"平","仄")))</x:f>
        <x:v>平</x:v>
      </x:c>
      <x:c r="K4548" s="6" t="str">
        <x:f>IF(D4548="","",IF(AND(ISNUMBER(SEARCH("平",D4548)),OR(ISNUMBER(SEARCH("上",D4548)),ISNUMBER(SEARCH("去",D4548)),ISNUMBER(SEARCH("入",D4548)))),"Ambiguous",IF(ISNUMBER(SEARCH("平",D4548)),"平","仄")))</x:f>
        <x:v>平</x:v>
      </x:c>
      <x:c r="L4548" s="7" t="str"/>
    </x:row>
    <x:row r="4549">
      <x:c r="A4549" s="5" t="str">
        <x:v>靖</x:v>
      </x:c>
      <x:c r="B4549" s="6" t="str">
        <x:v>上</x:v>
      </x:c>
      <x:c r="C4549" s="6" t="str">
        <x:f>IF(B4549="","Needs decision","Ready")</x:f>
        <x:v>Ready</x:v>
      </x:c>
      <x:c r="D4549" s="6" t="str">
        <x:v>上</x:v>
      </x:c>
      <x:c r="E4549" s="6" t="str"/>
      <x:c r="F4549" s="6" t="str">
        <x:v>上聲二十三梗</x:v>
      </x:c>
      <x:c r="G4549" s="6" t="str">
        <x:v>Pingshui main list, Wikisource-derived DOCX</x:v>
      </x:c>
      <x:c r="H4549" s="6" t="str"/>
      <x:c r="I4549" s="6" t="str">
        <x:v>Manual user correction/addition</x:v>
      </x:c>
      <x:c r="J4549" s="6" t="str">
        <x:f>IF(B4549="","",IF(AND(ISNUMBER(SEARCH("平",B4549)),OR(ISNUMBER(SEARCH("上",B4549)),ISNUMBER(SEARCH("去",B4549)),ISNUMBER(SEARCH("入",B4549)))),"Ambiguous",IF(ISNUMBER(SEARCH("平",B4549)),"平","仄")))</x:f>
        <x:v>仄</x:v>
      </x:c>
      <x:c r="K4549" s="6" t="str">
        <x:f>IF(D4549="","",IF(AND(ISNUMBER(SEARCH("平",D4549)),OR(ISNUMBER(SEARCH("上",D4549)),ISNUMBER(SEARCH("去",D4549)),ISNUMBER(SEARCH("入",D4549)))),"Ambiguous",IF(ISNUMBER(SEARCH("平",D4549)),"平","仄")))</x:f>
        <x:v>仄</x:v>
      </x:c>
      <x:c r="L4549" s="7" t="str">
        <x:v>manual user correction</x:v>
      </x:c>
    </x:row>
    <x:row r="4550">
      <x:c r="A4550" s="5" t="str">
        <x:v>靜</x:v>
      </x:c>
      <x:c r="B4550" s="6" t="str">
        <x:v>上</x:v>
      </x:c>
      <x:c r="C4550" s="6" t="str">
        <x:f>IF(B4550="","Needs decision","Ready")</x:f>
        <x:v>Ready</x:v>
      </x:c>
      <x:c r="D4550" s="6" t="str">
        <x:v>上</x:v>
      </x:c>
      <x:c r="E4550" s="6" t="str">
        <x:v>dzjengX [dzjaŋʔ] (上)</x:v>
      </x:c>
      <x:c r="F4550" s="6" t="str">
        <x:v>上聲二十三梗</x:v>
      </x:c>
      <x:c r="G4550" s="6" t="str">
        <x:v>Pingshui main list, Wikisource-derived DOCX</x:v>
      </x:c>
      <x:c r="H4550" s="6" t="str">
        <x:v>1</x:v>
      </x:c>
      <x:c r="I4550" s="6" t="str">
        <x:v>Tang 300 gap; frequency 17; provisional from Xun Gong</x:v>
      </x:c>
      <x:c r="J4550" s="6" t="str">
        <x:f>IF(B4550="","",IF(AND(ISNUMBER(SEARCH("平",B4550)),OR(ISNUMBER(SEARCH("上",B4550)),ISNUMBER(SEARCH("去",B4550)),ISNUMBER(SEARCH("入",B4550)))),"Ambiguous",IF(ISNUMBER(SEARCH("平",B4550)),"平","仄")))</x:f>
        <x:v>仄</x:v>
      </x:c>
      <x:c r="K4550" s="6" t="str">
        <x:f>IF(D4550="","",IF(AND(ISNUMBER(SEARCH("平",D4550)),OR(ISNUMBER(SEARCH("上",D4550)),ISNUMBER(SEARCH("去",D4550)),ISNUMBER(SEARCH("入",D4550)))),"Ambiguous",IF(ISNUMBER(SEARCH("平",D4550)),"平","仄")))</x:f>
        <x:v>仄</x:v>
      </x:c>
      <x:c r="L4550" s="7" t="str">
        <x:v>Xun Gong, Tang 300 gap fill</x:v>
      </x:c>
    </x:row>
    <x:row r="4551">
      <x:c r="A4551" s="5" t="str">
        <x:v>非</x:v>
      </x:c>
      <x:c r="B4551" s="6" t="str">
        <x:v>平</x:v>
      </x:c>
      <x:c r="C4551" s="6" t="str">
        <x:f>IF(B4551="","Needs decision","Ready")</x:f>
        <x:v>Ready</x:v>
      </x:c>
      <x:c r="D4551" s="6" t="str">
        <x:v>平</x:v>
      </x:c>
      <x:c r="E4551" s="6" t="str">
        <x:v>pj+j (A)</x:v>
      </x:c>
      <x:c r="F4551" s="6" t="str">
        <x:v>上平聲五微</x:v>
      </x:c>
      <x:c r="G4551" s="6" t="str">
        <x:v>Pingshui main list, Wikisource-derived DOCX</x:v>
      </x:c>
      <x:c r="H4551" s="6" t="str">
        <x:v>1</x:v>
      </x:c>
      <x:c r="I4551" s="6" t="str"/>
      <x:c r="J4551" s="6" t="str">
        <x:f>IF(B4551="","",IF(AND(ISNUMBER(SEARCH("平",B4551)),OR(ISNUMBER(SEARCH("上",B4551)),ISNUMBER(SEARCH("去",B4551)),ISNUMBER(SEARCH("入",B4551)))),"Ambiguous",IF(ISNUMBER(SEARCH("平",B4551)),"平","仄")))</x:f>
        <x:v>平</x:v>
      </x:c>
      <x:c r="K4551" s="6" t="str">
        <x:f>IF(D4551="","",IF(AND(ISNUMBER(SEARCH("平",D4551)),OR(ISNUMBER(SEARCH("上",D4551)),ISNUMBER(SEARCH("去",D4551)),ISNUMBER(SEARCH("入",D4551)))),"Ambiguous",IF(ISNUMBER(SEARCH("平",D4551)),"平","仄")))</x:f>
        <x:v>平</x:v>
      </x:c>
      <x:c r="L4551" s="7" t="str"/>
    </x:row>
    <x:row r="4552">
      <x:c r="A4552" s="5" t="str">
        <x:v>靡</x:v>
      </x:c>
      <x:c r="B4552" s="6" t="str">
        <x:v>上</x:v>
      </x:c>
      <x:c r="C4552" s="6" t="str">
        <x:f>IF(B4552="","Needs decision","Ready")</x:f>
        <x:v>Ready</x:v>
      </x:c>
      <x:c r="D4552" s="6" t="str">
        <x:v>平/上</x:v>
      </x:c>
      <x:c r="E4552" s="6" t="str">
        <x:v>mje (A); mjeX (B)</x:v>
      </x:c>
      <x:c r="F4552" s="6" t="str">
        <x:v>上聲四紙</x:v>
      </x:c>
      <x:c r="G4552" s="6" t="str">
        <x:v>Pingshui main list, Wikisource-derived DOCX</x:v>
      </x:c>
      <x:c r="H4552" s="6" t="str">
        <x:v>2</x:v>
      </x:c>
      <x:c r="I4552" s="6" t="str">
        <x:v>Manual user correction/addition</x:v>
      </x:c>
      <x:c r="J4552" s="6" t="str">
        <x:f>IF(B4552="","",IF(AND(ISNUMBER(SEARCH("平",B4552)),OR(ISNUMBER(SEARCH("上",B4552)),ISNUMBER(SEARCH("去",B4552)),ISNUMBER(SEARCH("入",B4552)))),"Ambiguous",IF(ISNUMBER(SEARCH("平",B4552)),"平","仄")))</x:f>
        <x:v>仄</x:v>
      </x:c>
      <x:c r="K4552" s="6" t="str">
        <x:f>IF(D4552="","",IF(AND(ISNUMBER(SEARCH("平",D4552)),OR(ISNUMBER(SEARCH("上",D4552)),ISNUMBER(SEARCH("去",D4552)),ISNUMBER(SEARCH("入",D4552)))),"Ambiguous",IF(ISNUMBER(SEARCH("平",D4552)),"平","仄")))</x:f>
        <x:v>Ambiguous</x:v>
      </x:c>
      <x:c r="L4552" s="7" t="str">
        <x:v>manual user correction</x:v>
      </x:c>
    </x:row>
    <x:row r="4553">
      <x:c r="A4553" s="5" t="str">
        <x:v>面</x:v>
      </x:c>
      <x:c r="B4553" s="6" t="str">
        <x:v>去</x:v>
      </x:c>
      <x:c r="C4553" s="6" t="str">
        <x:f>IF(B4553="","Needs decision","Ready")</x:f>
        <x:v>Ready</x:v>
      </x:c>
      <x:c r="D4553" s="6" t="str">
        <x:v>去</x:v>
      </x:c>
      <x:c r="E4553" s="6" t="str">
        <x:v>mjienH (C)</x:v>
      </x:c>
      <x:c r="F4553" s="6" t="str">
        <x:v>去聲十七霰</x:v>
      </x:c>
      <x:c r="G4553" s="6" t="str">
        <x:v>Pingshui main list, Wikisource-derived DOCX</x:v>
      </x:c>
      <x:c r="H4553" s="6" t="str">
        <x:v>1</x:v>
      </x:c>
      <x:c r="I4553" s="6" t="str"/>
      <x:c r="J4553" s="6" t="str">
        <x:f>IF(B4553="","",IF(AND(ISNUMBER(SEARCH("平",B4553)),OR(ISNUMBER(SEARCH("上",B4553)),ISNUMBER(SEARCH("去",B4553)),ISNUMBER(SEARCH("入",B4553)))),"Ambiguous",IF(ISNUMBER(SEARCH("平",B4553)),"平","仄")))</x:f>
        <x:v>仄</x:v>
      </x:c>
      <x:c r="K4553" s="6" t="str">
        <x:f>IF(D4553="","",IF(AND(ISNUMBER(SEARCH("平",D4553)),OR(ISNUMBER(SEARCH("上",D4553)),ISNUMBER(SEARCH("去",D4553)),ISNUMBER(SEARCH("入",D4553)))),"Ambiguous",IF(ISNUMBER(SEARCH("平",D4553)),"平","仄")))</x:f>
        <x:v>仄</x:v>
      </x:c>
      <x:c r="L4553" s="7" t="str"/>
    </x:row>
    <x:row r="4554">
      <x:c r="A4554" s="5" t="str">
        <x:v>靧</x:v>
      </x:c>
      <x:c r="B4554" s="6" t="str">
        <x:v>去</x:v>
      </x:c>
      <x:c r="C4554" s="6" t="str">
        <x:f>IF(B4554="","Needs decision","Ready")</x:f>
        <x:v>Ready</x:v>
      </x:c>
      <x:c r="D4554" s="6" t="str">
        <x:v>去</x:v>
      </x:c>
      <x:c r="E4554" s="6" t="str">
        <x:v>xwojH (C)</x:v>
      </x:c>
      <x:c r="F4554" s="6" t="str"/>
      <x:c r="G4554" s="6" t="str"/>
      <x:c r="H4554" s="6" t="str">
        <x:v>1</x:v>
      </x:c>
      <x:c r="I4554" s="6" t="str"/>
      <x:c r="J4554" s="6" t="str">
        <x:f>IF(B4554="","",IF(AND(ISNUMBER(SEARCH("平",B4554)),OR(ISNUMBER(SEARCH("上",B4554)),ISNUMBER(SEARCH("去",B4554)),ISNUMBER(SEARCH("入",B4554)))),"Ambiguous",IF(ISNUMBER(SEARCH("平",B4554)),"平","仄")))</x:f>
        <x:v>仄</x:v>
      </x:c>
      <x:c r="K4554" s="6" t="str">
        <x:f>IF(D4554="","",IF(AND(ISNUMBER(SEARCH("平",D4554)),OR(ISNUMBER(SEARCH("上",D4554)),ISNUMBER(SEARCH("去",D4554)),ISNUMBER(SEARCH("入",D4554)))),"Ambiguous",IF(ISNUMBER(SEARCH("平",D4554)),"平","仄")))</x:f>
        <x:v>仄</x:v>
      </x:c>
      <x:c r="L4554" s="7" t="str"/>
    </x:row>
    <x:row r="4555">
      <x:c r="A4555" s="5" t="str">
        <x:v>革</x:v>
      </x:c>
      <x:c r="B4555" s="6" t="str">
        <x:v>入</x:v>
      </x:c>
      <x:c r="C4555" s="6" t="str">
        <x:f>IF(B4555="","Needs decision","Ready")</x:f>
        <x:v>Ready</x:v>
      </x:c>
      <x:c r="D4555" s="6" t="str">
        <x:v>入</x:v>
      </x:c>
      <x:c r="E4555" s="6" t="str">
        <x:v>keak (D)</x:v>
      </x:c>
      <x:c r="F4555" s="6" t="str">
        <x:v>入聲十一陌</x:v>
      </x:c>
      <x:c r="G4555" s="6" t="str">
        <x:v>Pingshui main list, Wikisource-derived DOCX</x:v>
      </x:c>
      <x:c r="H4555" s="6" t="str">
        <x:v>1</x:v>
      </x:c>
      <x:c r="I4555" s="6" t="str"/>
      <x:c r="J4555" s="6" t="str">
        <x:f>IF(B4555="","",IF(AND(ISNUMBER(SEARCH("平",B4555)),OR(ISNUMBER(SEARCH("上",B4555)),ISNUMBER(SEARCH("去",B4555)),ISNUMBER(SEARCH("入",B4555)))),"Ambiguous",IF(ISNUMBER(SEARCH("平",B4555)),"平","仄")))</x:f>
        <x:v>仄</x:v>
      </x:c>
      <x:c r="K4555" s="6" t="str">
        <x:f>IF(D4555="","",IF(AND(ISNUMBER(SEARCH("平",D4555)),OR(ISNUMBER(SEARCH("上",D4555)),ISNUMBER(SEARCH("去",D4555)),ISNUMBER(SEARCH("入",D4555)))),"Ambiguous",IF(ISNUMBER(SEARCH("平",D4555)),"平","仄")))</x:f>
        <x:v>仄</x:v>
      </x:c>
      <x:c r="L4555" s="7" t="str"/>
    </x:row>
    <x:row r="4556">
      <x:c r="A4556" s="5" t="str">
        <x:v>鞀</x:v>
      </x:c>
      <x:c r="B4556" s="6" t="str">
        <x:v>平</x:v>
      </x:c>
      <x:c r="C4556" s="6" t="str">
        <x:f>IF(B4556="","Needs decision","Ready")</x:f>
        <x:v>Ready</x:v>
      </x:c>
      <x:c r="D4556" s="6" t="str">
        <x:v>平</x:v>
      </x:c>
      <x:c r="E4556" s="6" t="str">
        <x:v>daw (A)</x:v>
      </x:c>
      <x:c r="F4556" s="6" t="str"/>
      <x:c r="G4556" s="6" t="str"/>
      <x:c r="H4556" s="6" t="str">
        <x:v>1</x:v>
      </x:c>
      <x:c r="I4556" s="6" t="str"/>
      <x:c r="J4556" s="6" t="str">
        <x:f>IF(B4556="","",IF(AND(ISNUMBER(SEARCH("平",B4556)),OR(ISNUMBER(SEARCH("上",B4556)),ISNUMBER(SEARCH("去",B4556)),ISNUMBER(SEARCH("入",B4556)))),"Ambiguous",IF(ISNUMBER(SEARCH("平",B4556)),"平","仄")))</x:f>
        <x:v>平</x:v>
      </x:c>
      <x:c r="K4556" s="6" t="str">
        <x:f>IF(D4556="","",IF(AND(ISNUMBER(SEARCH("平",D4556)),OR(ISNUMBER(SEARCH("上",D4556)),ISNUMBER(SEARCH("去",D4556)),ISNUMBER(SEARCH("入",D4556)))),"Ambiguous",IF(ISNUMBER(SEARCH("平",D4556)),"平","仄")))</x:f>
        <x:v>平</x:v>
      </x:c>
      <x:c r="L4556" s="7" t="str"/>
    </x:row>
    <x:row r="4557">
      <x:c r="A4557" s="5" t="str">
        <x:v>鞋</x:v>
      </x:c>
      <x:c r="B4557" s="6" t="str">
        <x:v>平</x:v>
      </x:c>
      <x:c r="C4557" s="6" t="str">
        <x:f>IF(B4557="","Needs decision","Ready")</x:f>
        <x:v>Ready</x:v>
      </x:c>
      <x:c r="D4557" s="6" t="str">
        <x:v>平</x:v>
      </x:c>
      <x:c r="E4557" s="6" t="str">
        <x:v>hea (A)</x:v>
      </x:c>
      <x:c r="F4557" s="6" t="str">
        <x:v>上平聲九佳</x:v>
      </x:c>
      <x:c r="G4557" s="6" t="str">
        <x:v>Pingshui main list, Wikisource-derived DOCX</x:v>
      </x:c>
      <x:c r="H4557" s="6" t="str">
        <x:v>1</x:v>
      </x:c>
      <x:c r="I4557" s="6" t="str"/>
      <x:c r="J4557" s="6" t="str">
        <x:f>IF(B4557="","",IF(AND(ISNUMBER(SEARCH("平",B4557)),OR(ISNUMBER(SEARCH("上",B4557)),ISNUMBER(SEARCH("去",B4557)),ISNUMBER(SEARCH("入",B4557)))),"Ambiguous",IF(ISNUMBER(SEARCH("平",B4557)),"平","仄")))</x:f>
        <x:v>平</x:v>
      </x:c>
      <x:c r="K4557" s="6" t="str">
        <x:f>IF(D4557="","",IF(AND(ISNUMBER(SEARCH("平",D4557)),OR(ISNUMBER(SEARCH("上",D4557)),ISNUMBER(SEARCH("去",D4557)),ISNUMBER(SEARCH("入",D4557)))),"Ambiguous",IF(ISNUMBER(SEARCH("平",D4557)),"平","仄")))</x:f>
        <x:v>平</x:v>
      </x:c>
      <x:c r="L4557" s="7" t="str"/>
    </x:row>
    <x:row r="4558">
      <x:c r="A4558" s="5" t="str">
        <x:v>鞌</x:v>
      </x:c>
      <x:c r="B4558" s="6" t="str">
        <x:v>平</x:v>
      </x:c>
      <x:c r="C4558" s="6" t="str">
        <x:f>IF(B4558="","Needs decision","Ready")</x:f>
        <x:v>Ready</x:v>
      </x:c>
      <x:c r="D4558" s="6" t="str">
        <x:v>平</x:v>
      </x:c>
      <x:c r="E4558" s="6" t="str">
        <x:v>'an (A)</x:v>
      </x:c>
      <x:c r="F4558" s="6" t="str"/>
      <x:c r="G4558" s="6" t="str"/>
      <x:c r="H4558" s="6" t="str">
        <x:v>1</x:v>
      </x:c>
      <x:c r="I4558" s="6" t="str"/>
      <x:c r="J4558" s="6" t="str">
        <x:f>IF(B4558="","",IF(AND(ISNUMBER(SEARCH("平",B4558)),OR(ISNUMBER(SEARCH("上",B4558)),ISNUMBER(SEARCH("去",B4558)),ISNUMBER(SEARCH("入",B4558)))),"Ambiguous",IF(ISNUMBER(SEARCH("平",B4558)),"平","仄")))</x:f>
        <x:v>平</x:v>
      </x:c>
      <x:c r="K4558" s="6" t="str">
        <x:f>IF(D4558="","",IF(AND(ISNUMBER(SEARCH("平",D4558)),OR(ISNUMBER(SEARCH("上",D4558)),ISNUMBER(SEARCH("去",D4558)),ISNUMBER(SEARCH("入",D4558)))),"Ambiguous",IF(ISNUMBER(SEARCH("平",D4558)),"平","仄")))</x:f>
        <x:v>平</x:v>
      </x:c>
      <x:c r="L4558" s="7" t="str"/>
    </x:row>
    <x:row r="4559">
      <x:c r="A4559" s="5" t="str">
        <x:v>鞍</x:v>
      </x:c>
      <x:c r="B4559" s="6" t="str">
        <x:v>平</x:v>
      </x:c>
      <x:c r="C4559" s="6" t="str">
        <x:f>IF(B4559="","Needs decision","Ready")</x:f>
        <x:v>Ready</x:v>
      </x:c>
      <x:c r="D4559" s="6" t="str">
        <x:v>平</x:v>
      </x:c>
      <x:c r="E4559" s="6" t="str">
        <x:v>'an (A)</x:v>
      </x:c>
      <x:c r="F4559" s="6" t="str"/>
      <x:c r="G4559" s="6" t="str"/>
      <x:c r="H4559" s="6" t="str">
        <x:v>1</x:v>
      </x:c>
      <x:c r="I4559" s="6" t="str"/>
      <x:c r="J4559" s="6" t="str">
        <x:f>IF(B4559="","",IF(AND(ISNUMBER(SEARCH("平",B4559)),OR(ISNUMBER(SEARCH("上",B4559)),ISNUMBER(SEARCH("去",B4559)),ISNUMBER(SEARCH("入",B4559)))),"Ambiguous",IF(ISNUMBER(SEARCH("平",B4559)),"平","仄")))</x:f>
        <x:v>平</x:v>
      </x:c>
      <x:c r="K4559" s="6" t="str">
        <x:f>IF(D4559="","",IF(AND(ISNUMBER(SEARCH("平",D4559)),OR(ISNUMBER(SEARCH("上",D4559)),ISNUMBER(SEARCH("去",D4559)),ISNUMBER(SEARCH("入",D4559)))),"Ambiguous",IF(ISNUMBER(SEARCH("平",D4559)),"平","仄")))</x:f>
        <x:v>平</x:v>
      </x:c>
      <x:c r="L4559" s="7" t="str"/>
    </x:row>
    <x:row r="4560">
      <x:c r="A4560" s="5" t="str">
        <x:v>鞏</x:v>
      </x:c>
      <x:c r="B4560" s="6" t="str">
        <x:v>上</x:v>
      </x:c>
      <x:c r="C4560" s="6" t="str">
        <x:f>IF(B4560="","Needs decision","Ready")</x:f>
        <x:v>Ready</x:v>
      </x:c>
      <x:c r="D4560" s="6" t="str">
        <x:v>上</x:v>
      </x:c>
      <x:c r="E4560" s="6" t="str">
        <x:v>kjowngX (B)</x:v>
      </x:c>
      <x:c r="F4560" s="6" t="str">
        <x:v>上聲二腫</x:v>
      </x:c>
      <x:c r="G4560" s="6" t="str">
        <x:v>Pingshui main list, Wikisource-derived DOCX</x:v>
      </x:c>
      <x:c r="H4560" s="6" t="str">
        <x:v>1</x:v>
      </x:c>
      <x:c r="I4560" s="6" t="str"/>
      <x:c r="J4560" s="6" t="str">
        <x:f>IF(B4560="","",IF(AND(ISNUMBER(SEARCH("平",B4560)),OR(ISNUMBER(SEARCH("上",B4560)),ISNUMBER(SEARCH("去",B4560)),ISNUMBER(SEARCH("入",B4560)))),"Ambiguous",IF(ISNUMBER(SEARCH("平",B4560)),"平","仄")))</x:f>
        <x:v>仄</x:v>
      </x:c>
      <x:c r="K4560" s="6" t="str">
        <x:f>IF(D4560="","",IF(AND(ISNUMBER(SEARCH("平",D4560)),OR(ISNUMBER(SEARCH("上",D4560)),ISNUMBER(SEARCH("去",D4560)),ISNUMBER(SEARCH("入",D4560)))),"Ambiguous",IF(ISNUMBER(SEARCH("平",D4560)),"平","仄")))</x:f>
        <x:v>仄</x:v>
      </x:c>
      <x:c r="L4560" s="7" t="str"/>
    </x:row>
    <x:row r="4561">
      <x:c r="A4561" s="5" t="str">
        <x:v>鞙</x:v>
      </x:c>
      <x:c r="B4561" s="6" t="str">
        <x:v>上</x:v>
      </x:c>
      <x:c r="C4561" s="6" t="str">
        <x:f>IF(B4561="","Needs decision","Ready")</x:f>
        <x:v>Ready</x:v>
      </x:c>
      <x:c r="D4561" s="6" t="str">
        <x:v>上</x:v>
      </x:c>
      <x:c r="E4561" s="6" t="str">
        <x:v>hwenX (B)</x:v>
      </x:c>
      <x:c r="F4561" s="6" t="str"/>
      <x:c r="G4561" s="6" t="str"/>
      <x:c r="H4561" s="6" t="str">
        <x:v>1</x:v>
      </x:c>
      <x:c r="I4561" s="6" t="str"/>
      <x:c r="J4561" s="6" t="str">
        <x:f>IF(B4561="","",IF(AND(ISNUMBER(SEARCH("平",B4561)),OR(ISNUMBER(SEARCH("上",B4561)),ISNUMBER(SEARCH("去",B4561)),ISNUMBER(SEARCH("入",B4561)))),"Ambiguous",IF(ISNUMBER(SEARCH("平",B4561)),"平","仄")))</x:f>
        <x:v>仄</x:v>
      </x:c>
      <x:c r="K4561" s="6" t="str">
        <x:f>IF(D4561="","",IF(AND(ISNUMBER(SEARCH("平",D4561)),OR(ISNUMBER(SEARCH("上",D4561)),ISNUMBER(SEARCH("去",D4561)),ISNUMBER(SEARCH("入",D4561)))),"Ambiguous",IF(ISNUMBER(SEARCH("平",D4561)),"平","仄")))</x:f>
        <x:v>仄</x:v>
      </x:c>
      <x:c r="L4561" s="7" t="str"/>
    </x:row>
    <x:row r="4562">
      <x:c r="A4562" s="5" t="str">
        <x:v>鞚</x:v>
      </x:c>
      <x:c r="B4562" s="6" t="str">
        <x:v>去</x:v>
      </x:c>
      <x:c r="C4562" s="6" t="str">
        <x:f>IF(B4562="","Needs decision","Ready")</x:f>
        <x:v>Ready</x:v>
      </x:c>
      <x:c r="D4562" s="6" t="str">
        <x:v>去</x:v>
      </x:c>
      <x:c r="E4562" s="6" t="str">
        <x:v>khuwngH [qʰuŋh] (去)</x:v>
      </x:c>
      <x:c r="F4562" s="6" t="str">
        <x:v>去聲一送</x:v>
      </x:c>
      <x:c r="G4562" s="6" t="str">
        <x:v>Pingshui main list, Wikisource-derived DOCX</x:v>
      </x:c>
      <x:c r="H4562" s="6" t="str">
        <x:v>1</x:v>
      </x:c>
      <x:c r="I4562" s="6" t="str">
        <x:v>Tang 300 gap; frequency 1; provisional from Xun Gong</x:v>
      </x:c>
      <x:c r="J4562" s="6" t="str">
        <x:f>IF(B4562="","",IF(AND(ISNUMBER(SEARCH("平",B4562)),OR(ISNUMBER(SEARCH("上",B4562)),ISNUMBER(SEARCH("去",B4562)),ISNUMBER(SEARCH("入",B4562)))),"Ambiguous",IF(ISNUMBER(SEARCH("平",B4562)),"平","仄")))</x:f>
        <x:v>仄</x:v>
      </x:c>
      <x:c r="K4562" s="6" t="str">
        <x:f>IF(D4562="","",IF(AND(ISNUMBER(SEARCH("平",D4562)),OR(ISNUMBER(SEARCH("上",D4562)),ISNUMBER(SEARCH("去",D4562)),ISNUMBER(SEARCH("入",D4562)))),"Ambiguous",IF(ISNUMBER(SEARCH("平",D4562)),"平","仄")))</x:f>
        <x:v>仄</x:v>
      </x:c>
      <x:c r="L4562" s="7" t="str">
        <x:v>Xun Gong, Tang 300 gap fill</x:v>
      </x:c>
    </x:row>
    <x:row r="4563">
      <x:c r="A4563" s="5" t="str">
        <x:v>鞠</x:v>
      </x:c>
      <x:c r="B4563" s="6" t="str">
        <x:v>入</x:v>
      </x:c>
      <x:c r="C4563" s="6" t="str">
        <x:f>IF(B4563="","Needs decision","Ready")</x:f>
        <x:v>Ready</x:v>
      </x:c>
      <x:c r="D4563" s="6" t="str">
        <x:v>入</x:v>
      </x:c>
      <x:c r="E4563" s="6" t="str">
        <x:v>gjuwk [ɡɨ̯uk] (入); khjuwk [kʰɨ̯uk] (入); kjuwk [kɨ̯uk] (入)</x:v>
      </x:c>
      <x:c r="F4563" s="6" t="str">
        <x:v>入聲一屋</x:v>
      </x:c>
      <x:c r="G4563" s="6" t="str">
        <x:v>Pingshui main list, Wikisource-derived DOCX</x:v>
      </x:c>
      <x:c r="H4563" s="6" t="str">
        <x:v>3</x:v>
      </x:c>
      <x:c r="I4563" s="6" t="str">
        <x:v>Tang 300 gap; frequency 1; provisional from Xun Gong</x:v>
      </x:c>
      <x:c r="J4563" s="6" t="str">
        <x:f>IF(B4563="","",IF(AND(ISNUMBER(SEARCH("平",B4563)),OR(ISNUMBER(SEARCH("上",B4563)),ISNUMBER(SEARCH("去",B4563)),ISNUMBER(SEARCH("入",B4563)))),"Ambiguous",IF(ISNUMBER(SEARCH("平",B4563)),"平","仄")))</x:f>
        <x:v>仄</x:v>
      </x:c>
      <x:c r="K4563" s="6" t="str">
        <x:f>IF(D4563="","",IF(AND(ISNUMBER(SEARCH("平",D4563)),OR(ISNUMBER(SEARCH("上",D4563)),ISNUMBER(SEARCH("去",D4563)),ISNUMBER(SEARCH("入",D4563)))),"Ambiguous",IF(ISNUMBER(SEARCH("平",D4563)),"平","仄")))</x:f>
        <x:v>仄</x:v>
      </x:c>
      <x:c r="L4563" s="7" t="str">
        <x:v>Xun Gong, Tang 300 gap fill</x:v>
      </x:c>
    </x:row>
    <x:row r="4564">
      <x:c r="A4564" s="5" t="str">
        <x:v>鞫</x:v>
      </x:c>
      <x:c r="B4564" s="6" t="str">
        <x:v>入</x:v>
      </x:c>
      <x:c r="C4564" s="6" t="str">
        <x:f>IF(B4564="","Needs decision","Ready")</x:f>
        <x:v>Ready</x:v>
      </x:c>
      <x:c r="D4564" s="6" t="str">
        <x:v>入</x:v>
      </x:c>
      <x:c r="E4564" s="6" t="str">
        <x:v>kjuwk (D)</x:v>
      </x:c>
      <x:c r="F4564" s="6" t="str">
        <x:v>入聲一屋</x:v>
      </x:c>
      <x:c r="G4564" s="6" t="str">
        <x:v>Pingshui main list, Wikisource-derived DOCX</x:v>
      </x:c>
      <x:c r="H4564" s="6" t="str">
        <x:v>1</x:v>
      </x:c>
      <x:c r="I4564" s="6" t="str"/>
      <x:c r="J4564" s="6" t="str">
        <x:f>IF(B4564="","",IF(AND(ISNUMBER(SEARCH("平",B4564)),OR(ISNUMBER(SEARCH("上",B4564)),ISNUMBER(SEARCH("去",B4564)),ISNUMBER(SEARCH("入",B4564)))),"Ambiguous",IF(ISNUMBER(SEARCH("平",B4564)),"平","仄")))</x:f>
        <x:v>仄</x:v>
      </x:c>
      <x:c r="K4564" s="6" t="str">
        <x:f>IF(D4564="","",IF(AND(ISNUMBER(SEARCH("平",D4564)),OR(ISNUMBER(SEARCH("上",D4564)),ISNUMBER(SEARCH("去",D4564)),ISNUMBER(SEARCH("入",D4564)))),"Ambiguous",IF(ISNUMBER(SEARCH("平",D4564)),"平","仄")))</x:f>
        <x:v>仄</x:v>
      </x:c>
      <x:c r="L4564" s="7" t="str"/>
    </x:row>
    <x:row r="4565">
      <x:c r="A4565" s="5" t="str">
        <x:v>鞭</x:v>
      </x:c>
      <x:c r="B4565" s="6" t="str">
        <x:v>平</x:v>
      </x:c>
      <x:c r="C4565" s="6" t="str">
        <x:f>IF(B4565="","Needs decision","Ready")</x:f>
        <x:v>Ready</x:v>
      </x:c>
      <x:c r="D4565" s="6" t="str">
        <x:v>平</x:v>
      </x:c>
      <x:c r="E4565" s="6" t="str">
        <x:v>pjien (A)</x:v>
      </x:c>
      <x:c r="F4565" s="6" t="str">
        <x:v>下平聲一先</x:v>
      </x:c>
      <x:c r="G4565" s="6" t="str">
        <x:v>Pingshui main list, Wikisource-derived DOCX</x:v>
      </x:c>
      <x:c r="H4565" s="6" t="str">
        <x:v>1</x:v>
      </x:c>
      <x:c r="I4565" s="6" t="str"/>
      <x:c r="J4565" s="6" t="str">
        <x:f>IF(B4565="","",IF(AND(ISNUMBER(SEARCH("平",B4565)),OR(ISNUMBER(SEARCH("上",B4565)),ISNUMBER(SEARCH("去",B4565)),ISNUMBER(SEARCH("入",B4565)))),"Ambiguous",IF(ISNUMBER(SEARCH("平",B4565)),"平","仄")))</x:f>
        <x:v>平</x:v>
      </x:c>
      <x:c r="K4565" s="6" t="str">
        <x:f>IF(D4565="","",IF(AND(ISNUMBER(SEARCH("平",D4565)),OR(ISNUMBER(SEARCH("上",D4565)),ISNUMBER(SEARCH("去",D4565)),ISNUMBER(SEARCH("入",D4565)))),"Ambiguous",IF(ISNUMBER(SEARCH("平",D4565)),"平","仄")))</x:f>
        <x:v>平</x:v>
      </x:c>
      <x:c r="L4565" s="7" t="str"/>
    </x:row>
    <x:row r="4566">
      <x:c r="A4566" s="5" t="str">
        <x:v>鞵</x:v>
      </x:c>
      <x:c r="B4566" s="6" t="str">
        <x:v>平</x:v>
      </x:c>
      <x:c r="C4566" s="6" t="str">
        <x:f>IF(B4566="","Needs decision","Ready")</x:f>
        <x:v>Ready</x:v>
      </x:c>
      <x:c r="D4566" s="6" t="str">
        <x:v>平</x:v>
      </x:c>
      <x:c r="E4566" s="6" t="str">
        <x:v>hea (A)</x:v>
      </x:c>
      <x:c r="F4566" s="6" t="str"/>
      <x:c r="G4566" s="6" t="str"/>
      <x:c r="H4566" s="6" t="str">
        <x:v>1</x:v>
      </x:c>
      <x:c r="I4566" s="6" t="str"/>
      <x:c r="J4566" s="6" t="str">
        <x:f>IF(B4566="","",IF(AND(ISNUMBER(SEARCH("平",B4566)),OR(ISNUMBER(SEARCH("上",B4566)),ISNUMBER(SEARCH("去",B4566)),ISNUMBER(SEARCH("入",B4566)))),"Ambiguous",IF(ISNUMBER(SEARCH("平",B4566)),"平","仄")))</x:f>
        <x:v>平</x:v>
      </x:c>
      <x:c r="K4566" s="6" t="str">
        <x:f>IF(D4566="","",IF(AND(ISNUMBER(SEARCH("平",D4566)),OR(ISNUMBER(SEARCH("上",D4566)),ISNUMBER(SEARCH("去",D4566)),ISNUMBER(SEARCH("入",D4566)))),"Ambiguous",IF(ISNUMBER(SEARCH("平",D4566)),"平","仄")))</x:f>
        <x:v>平</x:v>
      </x:c>
      <x:c r="L4566" s="7" t="str"/>
    </x:row>
    <x:row r="4567">
      <x:c r="A4567" s="5" t="str">
        <x:v>鞻</x:v>
      </x:c>
      <x:c r="B4567" s="6" t="str">
        <x:v>去</x:v>
      </x:c>
      <x:c r="C4567" s="6" t="str">
        <x:f>IF(B4567="","Needs decision","Ready")</x:f>
        <x:v>Ready</x:v>
      </x:c>
      <x:c r="D4567" s="6" t="str">
        <x:v>去</x:v>
      </x:c>
      <x:c r="E4567" s="6" t="str">
        <x:v>kjuH (C)</x:v>
      </x:c>
      <x:c r="F4567" s="6" t="str">
        <x:v>下平聲十一尤</x:v>
      </x:c>
      <x:c r="G4567" s="6" t="str">
        <x:v>Pingshui main list, Wikisource-derived DOCX</x:v>
      </x:c>
      <x:c r="H4567" s="6" t="str">
        <x:v>1</x:v>
      </x:c>
      <x:c r="I4567" s="6" t="str"/>
      <x:c r="J4567" s="6" t="str">
        <x:f>IF(B4567="","",IF(AND(ISNUMBER(SEARCH("平",B4567)),OR(ISNUMBER(SEARCH("上",B4567)),ISNUMBER(SEARCH("去",B4567)),ISNUMBER(SEARCH("入",B4567)))),"Ambiguous",IF(ISNUMBER(SEARCH("平",B4567)),"平","仄")))</x:f>
        <x:v>仄</x:v>
      </x:c>
      <x:c r="K4567" s="6" t="str">
        <x:f>IF(D4567="","",IF(AND(ISNUMBER(SEARCH("平",D4567)),OR(ISNUMBER(SEARCH("上",D4567)),ISNUMBER(SEARCH("去",D4567)),ISNUMBER(SEARCH("入",D4567)))),"Ambiguous",IF(ISNUMBER(SEARCH("平",D4567)),"平","仄")))</x:f>
        <x:v>仄</x:v>
      </x:c>
      <x:c r="L4567" s="7" t="str"/>
    </x:row>
    <x:row r="4568">
      <x:c r="A4568" s="5" t="str">
        <x:v>鞿</x:v>
      </x:c>
      <x:c r="B4568" s="6" t="str">
        <x:v>平</x:v>
      </x:c>
      <x:c r="C4568" s="6" t="str">
        <x:f>IF(B4568="","Needs decision","Ready")</x:f>
        <x:v>Ready</x:v>
      </x:c>
      <x:c r="D4568" s="6" t="str">
        <x:v>平</x:v>
      </x:c>
      <x:c r="E4568" s="6" t="str">
        <x:v>kj+j [kɨj] (平)</x:v>
      </x:c>
      <x:c r="F4568" s="6" t="str">
        <x:v>上平聲五微</x:v>
      </x:c>
      <x:c r="G4568" s="6" t="str">
        <x:v>Pingshui main list, Wikisource-derived DOCX</x:v>
      </x:c>
      <x:c r="H4568" s="6" t="str">
        <x:v>1</x:v>
      </x:c>
      <x:c r="I4568" s="6" t="str">
        <x:v>Tang 300 gap; frequency 1; provisional from Xun Gong</x:v>
      </x:c>
      <x:c r="J4568" s="6" t="str">
        <x:f>IF(B4568="","",IF(AND(ISNUMBER(SEARCH("平",B4568)),OR(ISNUMBER(SEARCH("上",B4568)),ISNUMBER(SEARCH("去",B4568)),ISNUMBER(SEARCH("入",B4568)))),"Ambiguous",IF(ISNUMBER(SEARCH("平",B4568)),"平","仄")))</x:f>
        <x:v>平</x:v>
      </x:c>
      <x:c r="K4568" s="6" t="str">
        <x:f>IF(D4568="","",IF(AND(ISNUMBER(SEARCH("平",D4568)),OR(ISNUMBER(SEARCH("上",D4568)),ISNUMBER(SEARCH("去",D4568)),ISNUMBER(SEARCH("入",D4568)))),"Ambiguous",IF(ISNUMBER(SEARCH("平",D4568)),"平","仄")))</x:f>
        <x:v>平</x:v>
      </x:c>
      <x:c r="L4568" s="7" t="str">
        <x:v>Xun Gong, Tang 300 gap fill</x:v>
      </x:c>
    </x:row>
    <x:row r="4569">
      <x:c r="A4569" s="5" t="str">
        <x:v>韈</x:v>
      </x:c>
      <x:c r="B4569" s="6" t="str">
        <x:v>入</x:v>
      </x:c>
      <x:c r="C4569" s="6" t="str">
        <x:f>IF(B4569="","Needs decision","Ready")</x:f>
        <x:v>Ready</x:v>
      </x:c>
      <x:c r="D4569" s="6" t="str">
        <x:v>入</x:v>
      </x:c>
      <x:c r="E4569" s="6" t="str">
        <x:v>mjot (D)</x:v>
      </x:c>
      <x:c r="F4569" s="6" t="str"/>
      <x:c r="G4569" s="6" t="str"/>
      <x:c r="H4569" s="6" t="str">
        <x:v>1</x:v>
      </x:c>
      <x:c r="I4569" s="6" t="str"/>
      <x:c r="J4569" s="6" t="str">
        <x:f>IF(B4569="","",IF(AND(ISNUMBER(SEARCH("平",B4569)),OR(ISNUMBER(SEARCH("上",B4569)),ISNUMBER(SEARCH("去",B4569)),ISNUMBER(SEARCH("入",B4569)))),"Ambiguous",IF(ISNUMBER(SEARCH("平",B4569)),"平","仄")))</x:f>
        <x:v>仄</x:v>
      </x:c>
      <x:c r="K4569" s="6" t="str">
        <x:f>IF(D4569="","",IF(AND(ISNUMBER(SEARCH("平",D4569)),OR(ISNUMBER(SEARCH("上",D4569)),ISNUMBER(SEARCH("去",D4569)),ISNUMBER(SEARCH("入",D4569)))),"Ambiguous",IF(ISNUMBER(SEARCH("平",D4569)),"平","仄")))</x:f>
        <x:v>仄</x:v>
      </x:c>
      <x:c r="L4569" s="7" t="str"/>
    </x:row>
    <x:row r="4570">
      <x:c r="A4570" s="5" t="str">
        <x:v>韋</x:v>
      </x:c>
      <x:c r="B4570" s="6" t="str">
        <x:v>平</x:v>
      </x:c>
      <x:c r="C4570" s="6" t="str">
        <x:f>IF(B4570="","Needs decision","Ready")</x:f>
        <x:v>Ready</x:v>
      </x:c>
      <x:c r="D4570" s="6" t="str">
        <x:v>平</x:v>
      </x:c>
      <x:c r="E4570" s="6" t="str">
        <x:v>hjw+j (A)</x:v>
      </x:c>
      <x:c r="F4570" s="6" t="str">
        <x:v>上平聲五微</x:v>
      </x:c>
      <x:c r="G4570" s="6" t="str">
        <x:v>Pingshui main list, Wikisource-derived DOCX</x:v>
      </x:c>
      <x:c r="H4570" s="6" t="str">
        <x:v>1</x:v>
      </x:c>
      <x:c r="I4570" s="6" t="str"/>
      <x:c r="J4570" s="6" t="str">
        <x:f>IF(B4570="","",IF(AND(ISNUMBER(SEARCH("平",B4570)),OR(ISNUMBER(SEARCH("上",B4570)),ISNUMBER(SEARCH("去",B4570)),ISNUMBER(SEARCH("入",B4570)))),"Ambiguous",IF(ISNUMBER(SEARCH("平",B4570)),"平","仄")))</x:f>
        <x:v>平</x:v>
      </x:c>
      <x:c r="K4570" s="6" t="str">
        <x:f>IF(D4570="","",IF(AND(ISNUMBER(SEARCH("平",D4570)),OR(ISNUMBER(SEARCH("上",D4570)),ISNUMBER(SEARCH("去",D4570)),ISNUMBER(SEARCH("入",D4570)))),"Ambiguous",IF(ISNUMBER(SEARCH("平",D4570)),"平","仄")))</x:f>
        <x:v>平</x:v>
      </x:c>
      <x:c r="L4570" s="7" t="str"/>
    </x:row>
    <x:row r="4571">
      <x:c r="A4571" s="5" t="str">
        <x:v>韐</x:v>
      </x:c>
      <x:c r="B4571" s="6" t="str">
        <x:v>入</x:v>
      </x:c>
      <x:c r="C4571" s="6" t="str">
        <x:f>IF(B4571="","Needs decision","Ready")</x:f>
        <x:v>Ready</x:v>
      </x:c>
      <x:c r="D4571" s="6" t="str">
        <x:v>入</x:v>
      </x:c>
      <x:c r="E4571" s="6" t="str">
        <x:v>keap (D); kop (D)</x:v>
      </x:c>
      <x:c r="F4571" s="6" t="str">
        <x:v>入聲十五合; 入聲十七洽</x:v>
      </x:c>
      <x:c r="G4571" s="6" t="str">
        <x:v>Pingshui main list, Wikisource-derived DOCX</x:v>
      </x:c>
      <x:c r="H4571" s="6" t="str">
        <x:v>2</x:v>
      </x:c>
      <x:c r="I4571" s="6" t="str"/>
      <x:c r="J4571" s="6" t="str">
        <x:f>IF(B4571="","",IF(AND(ISNUMBER(SEARCH("平",B4571)),OR(ISNUMBER(SEARCH("上",B4571)),ISNUMBER(SEARCH("去",B4571)),ISNUMBER(SEARCH("入",B4571)))),"Ambiguous",IF(ISNUMBER(SEARCH("平",B4571)),"平","仄")))</x:f>
        <x:v>仄</x:v>
      </x:c>
      <x:c r="K4571" s="6" t="str">
        <x:f>IF(D4571="","",IF(AND(ISNUMBER(SEARCH("平",D4571)),OR(ISNUMBER(SEARCH("上",D4571)),ISNUMBER(SEARCH("去",D4571)),ISNUMBER(SEARCH("入",D4571)))),"Ambiguous",IF(ISNUMBER(SEARCH("平",D4571)),"平","仄")))</x:f>
        <x:v>仄</x:v>
      </x:c>
      <x:c r="L4571" s="7" t="str"/>
    </x:row>
    <x:row r="4572">
      <x:c r="A4572" s="5" t="str">
        <x:v>韓</x:v>
      </x:c>
      <x:c r="B4572" s="6" t="str">
        <x:v>平</x:v>
      </x:c>
      <x:c r="C4572" s="6" t="str">
        <x:f>IF(B4572="","Needs decision","Ready")</x:f>
        <x:v>Ready</x:v>
      </x:c>
      <x:c r="D4572" s="6" t="str">
        <x:v>平</x:v>
      </x:c>
      <x:c r="E4572" s="6" t="str">
        <x:v>han (A)</x:v>
      </x:c>
      <x:c r="F4572" s="6" t="str">
        <x:v>上平聲十四寒</x:v>
      </x:c>
      <x:c r="G4572" s="6" t="str">
        <x:v>Pingshui main list, Wikisource-derived DOCX</x:v>
      </x:c>
      <x:c r="H4572" s="6" t="str">
        <x:v>1</x:v>
      </x:c>
      <x:c r="I4572" s="6" t="str"/>
      <x:c r="J4572" s="6" t="str">
        <x:f>IF(B4572="","",IF(AND(ISNUMBER(SEARCH("平",B4572)),OR(ISNUMBER(SEARCH("上",B4572)),ISNUMBER(SEARCH("去",B4572)),ISNUMBER(SEARCH("入",B4572)))),"Ambiguous",IF(ISNUMBER(SEARCH("平",B4572)),"平","仄")))</x:f>
        <x:v>平</x:v>
      </x:c>
      <x:c r="K4572" s="6" t="str">
        <x:f>IF(D4572="","",IF(AND(ISNUMBER(SEARCH("平",D4572)),OR(ISNUMBER(SEARCH("上",D4572)),ISNUMBER(SEARCH("去",D4572)),ISNUMBER(SEARCH("入",D4572)))),"Ambiguous",IF(ISNUMBER(SEARCH("平",D4572)),"平","仄")))</x:f>
        <x:v>平</x:v>
      </x:c>
      <x:c r="L4572" s="7" t="str"/>
    </x:row>
    <x:row r="4573">
      <x:c r="A4573" s="5" t="str">
        <x:v>韘</x:v>
      </x:c>
      <x:c r="B4573" s="6" t="str">
        <x:v>入</x:v>
      </x:c>
      <x:c r="C4573" s="6" t="str">
        <x:f>IF(B4573="","Needs decision","Ready")</x:f>
        <x:v>Ready</x:v>
      </x:c>
      <x:c r="D4573" s="6" t="str">
        <x:v>入</x:v>
      </x:c>
      <x:c r="E4573" s="6" t="str">
        <x:v>syep (D)</x:v>
      </x:c>
      <x:c r="F4573" s="6" t="str">
        <x:v>入聲十六葉</x:v>
      </x:c>
      <x:c r="G4573" s="6" t="str">
        <x:v>Pingshui main list, Wikisource-derived DOCX</x:v>
      </x:c>
      <x:c r="H4573" s="6" t="str">
        <x:v>1</x:v>
      </x:c>
      <x:c r="I4573" s="6" t="str"/>
      <x:c r="J4573" s="6" t="str">
        <x:f>IF(B4573="","",IF(AND(ISNUMBER(SEARCH("平",B4573)),OR(ISNUMBER(SEARCH("上",B4573)),ISNUMBER(SEARCH("去",B4573)),ISNUMBER(SEARCH("入",B4573)))),"Ambiguous",IF(ISNUMBER(SEARCH("平",B4573)),"平","仄")))</x:f>
        <x:v>仄</x:v>
      </x:c>
      <x:c r="K4573" s="6" t="str">
        <x:f>IF(D4573="","",IF(AND(ISNUMBER(SEARCH("平",D4573)),OR(ISNUMBER(SEARCH("上",D4573)),ISNUMBER(SEARCH("去",D4573)),ISNUMBER(SEARCH("入",D4573)))),"Ambiguous",IF(ISNUMBER(SEARCH("平",D4573)),"平","仄")))</x:f>
        <x:v>仄</x:v>
      </x:c>
      <x:c r="L4573" s="7" t="str"/>
    </x:row>
    <x:row r="4574">
      <x:c r="A4574" s="5" t="str">
        <x:v>韠</x:v>
      </x:c>
      <x:c r="B4574" s="6" t="str">
        <x:v>入</x:v>
      </x:c>
      <x:c r="C4574" s="6" t="str">
        <x:f>IF(B4574="","Needs decision","Ready")</x:f>
        <x:v>Ready</x:v>
      </x:c>
      <x:c r="D4574" s="6" t="str">
        <x:v>入</x:v>
      </x:c>
      <x:c r="E4574" s="6" t="str">
        <x:v>pjit (D)</x:v>
      </x:c>
      <x:c r="F4574" s="6" t="str"/>
      <x:c r="G4574" s="6" t="str"/>
      <x:c r="H4574" s="6" t="str">
        <x:v>1</x:v>
      </x:c>
      <x:c r="I4574" s="6" t="str"/>
      <x:c r="J4574" s="6" t="str">
        <x:f>IF(B4574="","",IF(AND(ISNUMBER(SEARCH("平",B4574)),OR(ISNUMBER(SEARCH("上",B4574)),ISNUMBER(SEARCH("去",B4574)),ISNUMBER(SEARCH("入",B4574)))),"Ambiguous",IF(ISNUMBER(SEARCH("平",B4574)),"平","仄")))</x:f>
        <x:v>仄</x:v>
      </x:c>
      <x:c r="K4574" s="6" t="str">
        <x:f>IF(D4574="","",IF(AND(ISNUMBER(SEARCH("平",D4574)),OR(ISNUMBER(SEARCH("上",D4574)),ISNUMBER(SEARCH("去",D4574)),ISNUMBER(SEARCH("入",D4574)))),"Ambiguous",IF(ISNUMBER(SEARCH("平",D4574)),"平","仄")))</x:f>
        <x:v>仄</x:v>
      </x:c>
      <x:c r="L4574" s="7" t="str"/>
    </x:row>
    <x:row r="4575">
      <x:c r="A4575" s="5" t="str">
        <x:v>韡</x:v>
      </x:c>
      <x:c r="B4575" s="6" t="str">
        <x:v>上</x:v>
      </x:c>
      <x:c r="C4575" s="6" t="str">
        <x:f>IF(B4575="","Needs decision","Ready")</x:f>
        <x:v>Ready</x:v>
      </x:c>
      <x:c r="D4575" s="6" t="str">
        <x:v>上</x:v>
      </x:c>
      <x:c r="E4575" s="6" t="str">
        <x:v>hjw+jX (B)</x:v>
      </x:c>
      <x:c r="F4575" s="6" t="str">
        <x:v>上聲五尾</x:v>
      </x:c>
      <x:c r="G4575" s="6" t="str">
        <x:v>Pingshui main list, Wikisource-derived DOCX</x:v>
      </x:c>
      <x:c r="H4575" s="6" t="str">
        <x:v>1</x:v>
      </x:c>
      <x:c r="I4575" s="6" t="str"/>
      <x:c r="J4575" s="6" t="str">
        <x:f>IF(B4575="","",IF(AND(ISNUMBER(SEARCH("平",B4575)),OR(ISNUMBER(SEARCH("上",B4575)),ISNUMBER(SEARCH("去",B4575)),ISNUMBER(SEARCH("入",B4575)))),"Ambiguous",IF(ISNUMBER(SEARCH("平",B4575)),"平","仄")))</x:f>
        <x:v>仄</x:v>
      </x:c>
      <x:c r="K4575" s="6" t="str">
        <x:f>IF(D4575="","",IF(AND(ISNUMBER(SEARCH("平",D4575)),OR(ISNUMBER(SEARCH("上",D4575)),ISNUMBER(SEARCH("去",D4575)),ISNUMBER(SEARCH("入",D4575)))),"Ambiguous",IF(ISNUMBER(SEARCH("平",D4575)),"平","仄")))</x:f>
        <x:v>仄</x:v>
      </x:c>
      <x:c r="L4575" s="7" t="str"/>
    </x:row>
    <x:row r="4576">
      <x:c r="A4576" s="5" t="str">
        <x:v>韭</x:v>
      </x:c>
      <x:c r="B4576" s="6" t="str">
        <x:v>上</x:v>
      </x:c>
      <x:c r="C4576" s="6" t="str">
        <x:f>IF(B4576="","Needs decision","Ready")</x:f>
        <x:v>Ready</x:v>
      </x:c>
      <x:c r="D4576" s="6" t="str">
        <x:v>上</x:v>
      </x:c>
      <x:c r="E4576" s="6" t="str">
        <x:v>kjuwX (B)</x:v>
      </x:c>
      <x:c r="F4576" s="6" t="str">
        <x:v>上聲二十五有</x:v>
      </x:c>
      <x:c r="G4576" s="6" t="str">
        <x:v>Pingshui main list, Wikisource-derived DOCX</x:v>
      </x:c>
      <x:c r="H4576" s="6" t="str">
        <x:v>1</x:v>
      </x:c>
      <x:c r="I4576" s="6" t="str"/>
      <x:c r="J4576" s="6" t="str">
        <x:f>IF(B4576="","",IF(AND(ISNUMBER(SEARCH("平",B4576)),OR(ISNUMBER(SEARCH("上",B4576)),ISNUMBER(SEARCH("去",B4576)),ISNUMBER(SEARCH("入",B4576)))),"Ambiguous",IF(ISNUMBER(SEARCH("平",B4576)),"平","仄")))</x:f>
        <x:v>仄</x:v>
      </x:c>
      <x:c r="K4576" s="6" t="str">
        <x:f>IF(D4576="","",IF(AND(ISNUMBER(SEARCH("平",D4576)),OR(ISNUMBER(SEARCH("上",D4576)),ISNUMBER(SEARCH("去",D4576)),ISNUMBER(SEARCH("入",D4576)))),"Ambiguous",IF(ISNUMBER(SEARCH("平",D4576)),"平","仄")))</x:f>
        <x:v>仄</x:v>
      </x:c>
      <x:c r="L4576" s="7" t="str"/>
    </x:row>
    <x:row r="4577">
      <x:c r="A4577" s="5" t="str">
        <x:v>音</x:v>
      </x:c>
      <x:c r="B4577" s="6" t="str">
        <x:v>平</x:v>
      </x:c>
      <x:c r="C4577" s="6" t="str">
        <x:f>IF(B4577="","Needs decision","Ready")</x:f>
        <x:v>Ready</x:v>
      </x:c>
      <x:c r="D4577" s="6" t="str">
        <x:v>平</x:v>
      </x:c>
      <x:c r="E4577" s="6" t="str">
        <x:v>'im (A)</x:v>
      </x:c>
      <x:c r="F4577" s="6" t="str">
        <x:v>下平聲十二侵</x:v>
      </x:c>
      <x:c r="G4577" s="6" t="str">
        <x:v>Pingshui main list, Wikisource-derived DOCX</x:v>
      </x:c>
      <x:c r="H4577" s="6" t="str">
        <x:v>1</x:v>
      </x:c>
      <x:c r="I4577" s="6" t="str"/>
      <x:c r="J4577" s="6" t="str">
        <x:f>IF(B4577="","",IF(AND(ISNUMBER(SEARCH("平",B4577)),OR(ISNUMBER(SEARCH("上",B4577)),ISNUMBER(SEARCH("去",B4577)),ISNUMBER(SEARCH("入",B4577)))),"Ambiguous",IF(ISNUMBER(SEARCH("平",B4577)),"平","仄")))</x:f>
        <x:v>平</x:v>
      </x:c>
      <x:c r="K4577" s="6" t="str">
        <x:f>IF(D4577="","",IF(AND(ISNUMBER(SEARCH("平",D4577)),OR(ISNUMBER(SEARCH("上",D4577)),ISNUMBER(SEARCH("去",D4577)),ISNUMBER(SEARCH("入",D4577)))),"Ambiguous",IF(ISNUMBER(SEARCH("平",D4577)),"平","仄")))</x:f>
        <x:v>平</x:v>
      </x:c>
      <x:c r="L4577" s="7" t="str"/>
    </x:row>
    <x:row r="4578">
      <x:c r="A4578" s="5" t="str">
        <x:v>韵</x:v>
      </x:c>
      <x:c r="B4578" s="6" t="str">
        <x:v>去</x:v>
      </x:c>
      <x:c r="C4578" s="6" t="str">
        <x:f>IF(B4578="","Needs decision","Ready")</x:f>
        <x:v>Ready</x:v>
      </x:c>
      <x:c r="D4578" s="6" t="str">
        <x:v>去</x:v>
      </x:c>
      <x:c r="E4578" s="6" t="str">
        <x:v>hwinH (C)</x:v>
      </x:c>
      <x:c r="F4578" s="6" t="str"/>
      <x:c r="G4578" s="6" t="str"/>
      <x:c r="H4578" s="6" t="str">
        <x:v>1</x:v>
      </x:c>
      <x:c r="I4578" s="6" t="str"/>
      <x:c r="J4578" s="6" t="str">
        <x:f>IF(B4578="","",IF(AND(ISNUMBER(SEARCH("平",B4578)),OR(ISNUMBER(SEARCH("上",B4578)),ISNUMBER(SEARCH("去",B4578)),ISNUMBER(SEARCH("入",B4578)))),"Ambiguous",IF(ISNUMBER(SEARCH("平",B4578)),"平","仄")))</x:f>
        <x:v>仄</x:v>
      </x:c>
      <x:c r="K4578" s="6" t="str">
        <x:f>IF(D4578="","",IF(AND(ISNUMBER(SEARCH("平",D4578)),OR(ISNUMBER(SEARCH("上",D4578)),ISNUMBER(SEARCH("去",D4578)),ISNUMBER(SEARCH("入",D4578)))),"Ambiguous",IF(ISNUMBER(SEARCH("平",D4578)),"平","仄")))</x:f>
        <x:v>仄</x:v>
      </x:c>
      <x:c r="L4578" s="7" t="str"/>
    </x:row>
    <x:row r="4579">
      <x:c r="A4579" s="5" t="str">
        <x:v>韻</x:v>
      </x:c>
      <x:c r="B4579" s="6" t="str">
        <x:v>去</x:v>
      </x:c>
      <x:c r="C4579" s="6" t="str">
        <x:f>IF(B4579="","Needs decision","Ready")</x:f>
        <x:v>Ready</x:v>
      </x:c>
      <x:c r="D4579" s="6" t="str">
        <x:v>去</x:v>
      </x:c>
      <x:c r="E4579" s="6" t="str">
        <x:v>hwinH (C)</x:v>
      </x:c>
      <x:c r="F4579" s="6" t="str">
        <x:v>去聲十三問</x:v>
      </x:c>
      <x:c r="G4579" s="6" t="str">
        <x:v>Pingshui main list, Wikisource-derived DOCX</x:v>
      </x:c>
      <x:c r="H4579" s="6" t="str">
        <x:v>1</x:v>
      </x:c>
      <x:c r="I4579" s="6" t="str"/>
      <x:c r="J4579" s="6" t="str">
        <x:f>IF(B4579="","",IF(AND(ISNUMBER(SEARCH("平",B4579)),OR(ISNUMBER(SEARCH("上",B4579)),ISNUMBER(SEARCH("去",B4579)),ISNUMBER(SEARCH("入",B4579)))),"Ambiguous",IF(ISNUMBER(SEARCH("平",B4579)),"平","仄")))</x:f>
        <x:v>仄</x:v>
      </x:c>
      <x:c r="K4579" s="6" t="str">
        <x:f>IF(D4579="","",IF(AND(ISNUMBER(SEARCH("平",D4579)),OR(ISNUMBER(SEARCH("上",D4579)),ISNUMBER(SEARCH("去",D4579)),ISNUMBER(SEARCH("入",D4579)))),"Ambiguous",IF(ISNUMBER(SEARCH("平",D4579)),"平","仄")))</x:f>
        <x:v>仄</x:v>
      </x:c>
      <x:c r="L4579" s="7" t="str"/>
    </x:row>
    <x:row r="4580">
      <x:c r="A4580" s="5" t="str">
        <x:v>響</x:v>
      </x:c>
      <x:c r="B4580" s="6" t="str">
        <x:v>上</x:v>
      </x:c>
      <x:c r="C4580" s="6" t="str">
        <x:f>IF(B4580="","Needs decision","Ready")</x:f>
        <x:v>Ready</x:v>
      </x:c>
      <x:c r="D4580" s="6" t="str">
        <x:v>上</x:v>
      </x:c>
      <x:c r="E4580" s="6" t="str">
        <x:v>xjangX (B)</x:v>
      </x:c>
      <x:c r="F4580" s="6" t="str">
        <x:v>上聲二十二養</x:v>
      </x:c>
      <x:c r="G4580" s="6" t="str">
        <x:v>Pingshui main list, Wikisource-derived DOCX</x:v>
      </x:c>
      <x:c r="H4580" s="6" t="str">
        <x:v>1</x:v>
      </x:c>
      <x:c r="I4580" s="6" t="str"/>
      <x:c r="J4580" s="6" t="str">
        <x:f>IF(B4580="","",IF(AND(ISNUMBER(SEARCH("平",B4580)),OR(ISNUMBER(SEARCH("上",B4580)),ISNUMBER(SEARCH("去",B4580)),ISNUMBER(SEARCH("入",B4580)))),"Ambiguous",IF(ISNUMBER(SEARCH("平",B4580)),"平","仄")))</x:f>
        <x:v>仄</x:v>
      </x:c>
      <x:c r="K4580" s="6" t="str">
        <x:f>IF(D4580="","",IF(AND(ISNUMBER(SEARCH("平",D4580)),OR(ISNUMBER(SEARCH("上",D4580)),ISNUMBER(SEARCH("去",D4580)),ISNUMBER(SEARCH("入",D4580)))),"Ambiguous",IF(ISNUMBER(SEARCH("平",D4580)),"平","仄")))</x:f>
        <x:v>仄</x:v>
      </x:c>
      <x:c r="L4580" s="7" t="str"/>
    </x:row>
    <x:row r="4581">
      <x:c r="A4581" s="5" t="str">
        <x:v>頁</x:v>
      </x:c>
      <x:c r="B4581" s="6" t="str">
        <x:v>入</x:v>
      </x:c>
      <x:c r="C4581" s="6" t="str">
        <x:f>IF(B4581="","Needs decision","Ready")</x:f>
        <x:v>Ready</x:v>
      </x:c>
      <x:c r="D4581" s="6" t="str">
        <x:v>入</x:v>
      </x:c>
      <x:c r="E4581" s="6" t="str"/>
      <x:c r="F4581" s="6" t="str"/>
      <x:c r="G4581" s="6" t="str"/>
      <x:c r="H4581" s="6" t="str"/>
      <x:c r="I4581" s="6" t="str">
        <x:v>Manual user correction/addition</x:v>
      </x:c>
      <x:c r="J4581" s="6" t="str">
        <x:f>IF(B4581="","",IF(AND(ISNUMBER(SEARCH("平",B4581)),OR(ISNUMBER(SEARCH("上",B4581)),ISNUMBER(SEARCH("去",B4581)),ISNUMBER(SEARCH("入",B4581)))),"Ambiguous",IF(ISNUMBER(SEARCH("平",B4581)),"平","仄")))</x:f>
        <x:v>仄</x:v>
      </x:c>
      <x:c r="K4581" s="6" t="str">
        <x:f>IF(D4581="","",IF(AND(ISNUMBER(SEARCH("平",D4581)),OR(ISNUMBER(SEARCH("上",D4581)),ISNUMBER(SEARCH("去",D4581)),ISNUMBER(SEARCH("入",D4581)))),"Ambiguous",IF(ISNUMBER(SEARCH("平",D4581)),"平","仄")))</x:f>
        <x:v>仄</x:v>
      </x:c>
      <x:c r="L4581" s="7" t="str">
        <x:v>manual user correction</x:v>
      </x:c>
    </x:row>
    <x:row r="4582">
      <x:c r="A4582" s="5" t="str">
        <x:v>頂</x:v>
      </x:c>
      <x:c r="B4582" s="6" t="str">
        <x:v>上</x:v>
      </x:c>
      <x:c r="C4582" s="6" t="str">
        <x:f>IF(B4582="","Needs decision","Ready")</x:f>
        <x:v>Ready</x:v>
      </x:c>
      <x:c r="D4582" s="6" t="str">
        <x:v>上</x:v>
      </x:c>
      <x:c r="E4582" s="6" t="str">
        <x:v>tengX (B)</x:v>
      </x:c>
      <x:c r="F4582" s="6" t="str">
        <x:v>上聲二十四迥</x:v>
      </x:c>
      <x:c r="G4582" s="6" t="str">
        <x:v>Pingshui main list, Wikisource-derived DOCX</x:v>
      </x:c>
      <x:c r="H4582" s="6" t="str">
        <x:v>1</x:v>
      </x:c>
      <x:c r="I4582" s="6" t="str"/>
      <x:c r="J4582" s="6" t="str">
        <x:f>IF(B4582="","",IF(AND(ISNUMBER(SEARCH("平",B4582)),OR(ISNUMBER(SEARCH("上",B4582)),ISNUMBER(SEARCH("去",B4582)),ISNUMBER(SEARCH("入",B4582)))),"Ambiguous",IF(ISNUMBER(SEARCH("平",B4582)),"平","仄")))</x:f>
        <x:v>仄</x:v>
      </x:c>
      <x:c r="K4582" s="6" t="str">
        <x:f>IF(D4582="","",IF(AND(ISNUMBER(SEARCH("平",D4582)),OR(ISNUMBER(SEARCH("上",D4582)),ISNUMBER(SEARCH("去",D4582)),ISNUMBER(SEARCH("入",D4582)))),"Ambiguous",IF(ISNUMBER(SEARCH("平",D4582)),"平","仄")))</x:f>
        <x:v>仄</x:v>
      </x:c>
      <x:c r="L4582" s="7" t="str"/>
    </x:row>
    <x:row r="4583">
      <x:c r="A4583" s="5" t="str">
        <x:v>頃</x:v>
      </x:c>
      <x:c r="B4583" s="6" t="str">
        <x:v>上</x:v>
      </x:c>
      <x:c r="C4583" s="6" t="str">
        <x:f>IF(B4583="","Needs decision","Ready")</x:f>
        <x:v>Ready</x:v>
      </x:c>
      <x:c r="D4583" s="6" t="str">
        <x:v>上</x:v>
      </x:c>
      <x:c r="E4583" s="6" t="str">
        <x:v>khjwiengX (B)</x:v>
      </x:c>
      <x:c r="F4583" s="6" t="str">
        <x:v>下平聲八庚; 上聲二十三梗</x:v>
      </x:c>
      <x:c r="G4583" s="6" t="str">
        <x:v>Pingshui main list, Wikisource-derived DOCX</x:v>
      </x:c>
      <x:c r="H4583" s="6" t="str">
        <x:v>1</x:v>
      </x:c>
      <x:c r="I4583" s="6" t="str"/>
      <x:c r="J4583" s="6" t="str">
        <x:f>IF(B4583="","",IF(AND(ISNUMBER(SEARCH("平",B4583)),OR(ISNUMBER(SEARCH("上",B4583)),ISNUMBER(SEARCH("去",B4583)),ISNUMBER(SEARCH("入",B4583)))),"Ambiguous",IF(ISNUMBER(SEARCH("平",B4583)),"平","仄")))</x:f>
        <x:v>仄</x:v>
      </x:c>
      <x:c r="K4583" s="6" t="str">
        <x:f>IF(D4583="","",IF(AND(ISNUMBER(SEARCH("平",D4583)),OR(ISNUMBER(SEARCH("上",D4583)),ISNUMBER(SEARCH("去",D4583)),ISNUMBER(SEARCH("入",D4583)))),"Ambiguous",IF(ISNUMBER(SEARCH("平",D4583)),"平","仄")))</x:f>
        <x:v>仄</x:v>
      </x:c>
      <x:c r="L4583" s="7" t="str"/>
    </x:row>
    <x:row r="4584">
      <x:c r="A4584" s="5" t="str">
        <x:v>頄</x:v>
      </x:c>
      <x:c r="B4584" s="6" t="str">
        <x:v>平</x:v>
      </x:c>
      <x:c r="C4584" s="6" t="str">
        <x:f>IF(B4584="","Needs decision","Ready")</x:f>
        <x:v>Ready</x:v>
      </x:c>
      <x:c r="D4584" s="6" t="str">
        <x:v>平</x:v>
      </x:c>
      <x:c r="E4584" s="6" t="str">
        <x:v>gwij (A)</x:v>
      </x:c>
      <x:c r="F4584" s="6" t="str">
        <x:v>下平聲十一尤</x:v>
      </x:c>
      <x:c r="G4584" s="6" t="str">
        <x:v>Pingshui main list, Wikisource-derived DOCX</x:v>
      </x:c>
      <x:c r="H4584" s="6" t="str">
        <x:v>1</x:v>
      </x:c>
      <x:c r="I4584" s="6" t="str"/>
      <x:c r="J4584" s="6" t="str">
        <x:f>IF(B4584="","",IF(AND(ISNUMBER(SEARCH("平",B4584)),OR(ISNUMBER(SEARCH("上",B4584)),ISNUMBER(SEARCH("去",B4584)),ISNUMBER(SEARCH("入",B4584)))),"Ambiguous",IF(ISNUMBER(SEARCH("平",B4584)),"平","仄")))</x:f>
        <x:v>平</x:v>
      </x:c>
      <x:c r="K4584" s="6" t="str">
        <x:f>IF(D4584="","",IF(AND(ISNUMBER(SEARCH("平",D4584)),OR(ISNUMBER(SEARCH("上",D4584)),ISNUMBER(SEARCH("去",D4584)),ISNUMBER(SEARCH("入",D4584)))),"Ambiguous",IF(ISNUMBER(SEARCH("平",D4584)),"平","仄")))</x:f>
        <x:v>平</x:v>
      </x:c>
      <x:c r="L4584" s="7" t="str"/>
    </x:row>
    <x:row r="4585">
      <x:c r="A4585" s="5" t="str">
        <x:v>項</x:v>
      </x:c>
      <x:c r="B4585" s="6" t="str">
        <x:v>上</x:v>
      </x:c>
      <x:c r="C4585" s="6" t="str">
        <x:f>IF(B4585="","Needs decision","Ready")</x:f>
        <x:v>Ready</x:v>
      </x:c>
      <x:c r="D4585" s="6" t="str">
        <x:v>上</x:v>
      </x:c>
      <x:c r="E4585" s="6" t="str">
        <x:v>haewngX (B)</x:v>
      </x:c>
      <x:c r="F4585" s="6" t="str">
        <x:v>上聲三講</x:v>
      </x:c>
      <x:c r="G4585" s="6" t="str">
        <x:v>Pingshui main list, Wikisource-derived DOCX</x:v>
      </x:c>
      <x:c r="H4585" s="6" t="str">
        <x:v>1</x:v>
      </x:c>
      <x:c r="I4585" s="6" t="str"/>
      <x:c r="J4585" s="6" t="str">
        <x:f>IF(B4585="","",IF(AND(ISNUMBER(SEARCH("平",B4585)),OR(ISNUMBER(SEARCH("上",B4585)),ISNUMBER(SEARCH("去",B4585)),ISNUMBER(SEARCH("入",B4585)))),"Ambiguous",IF(ISNUMBER(SEARCH("平",B4585)),"平","仄")))</x:f>
        <x:v>仄</x:v>
      </x:c>
      <x:c r="K4585" s="6" t="str">
        <x:f>IF(D4585="","",IF(AND(ISNUMBER(SEARCH("平",D4585)),OR(ISNUMBER(SEARCH("上",D4585)),ISNUMBER(SEARCH("去",D4585)),ISNUMBER(SEARCH("入",D4585)))),"Ambiguous",IF(ISNUMBER(SEARCH("平",D4585)),"平","仄")))</x:f>
        <x:v>仄</x:v>
      </x:c>
      <x:c r="L4585" s="7" t="str"/>
    </x:row>
    <x:row r="4586">
      <x:c r="A4586" s="5" t="str">
        <x:v>順</x:v>
      </x:c>
      <x:c r="B4586" s="6" t="str">
        <x:v>去</x:v>
      </x:c>
      <x:c r="C4586" s="6" t="str">
        <x:f>IF(B4586="","Needs decision","Ready")</x:f>
        <x:v>Ready</x:v>
      </x:c>
      <x:c r="D4586" s="6" t="str">
        <x:v>去</x:v>
      </x:c>
      <x:c r="E4586" s="6" t="str">
        <x:v>zywinH (C)</x:v>
      </x:c>
      <x:c r="F4586" s="6" t="str">
        <x:v>去聲十二震</x:v>
      </x:c>
      <x:c r="G4586" s="6" t="str">
        <x:v>Pingshui main list, Wikisource-derived DOCX</x:v>
      </x:c>
      <x:c r="H4586" s="6" t="str">
        <x:v>1</x:v>
      </x:c>
      <x:c r="I4586" s="6" t="str"/>
      <x:c r="J4586" s="6" t="str">
        <x:f>IF(B4586="","",IF(AND(ISNUMBER(SEARCH("平",B4586)),OR(ISNUMBER(SEARCH("上",B4586)),ISNUMBER(SEARCH("去",B4586)),ISNUMBER(SEARCH("入",B4586)))),"Ambiguous",IF(ISNUMBER(SEARCH("平",B4586)),"平","仄")))</x:f>
        <x:v>仄</x:v>
      </x:c>
      <x:c r="K4586" s="6" t="str">
        <x:f>IF(D4586="","",IF(AND(ISNUMBER(SEARCH("平",D4586)),OR(ISNUMBER(SEARCH("上",D4586)),ISNUMBER(SEARCH("去",D4586)),ISNUMBER(SEARCH("入",D4586)))),"Ambiguous",IF(ISNUMBER(SEARCH("平",D4586)),"平","仄")))</x:f>
        <x:v>仄</x:v>
      </x:c>
      <x:c r="L4586" s="7" t="str"/>
    </x:row>
    <x:row r="4587">
      <x:c r="A4587" s="5" t="str">
        <x:v>須</x:v>
      </x:c>
      <x:c r="B4587" s="6" t="str">
        <x:v>平</x:v>
      </x:c>
      <x:c r="C4587" s="6" t="str">
        <x:f>IF(B4587="","Needs decision","Ready")</x:f>
        <x:v>Ready</x:v>
      </x:c>
      <x:c r="D4587" s="6" t="str">
        <x:v>平</x:v>
      </x:c>
      <x:c r="E4587" s="6" t="str">
        <x:v>sju (A)</x:v>
      </x:c>
      <x:c r="F4587" s="6" t="str">
        <x:v>上平聲七虞</x:v>
      </x:c>
      <x:c r="G4587" s="6" t="str">
        <x:v>Pingshui main list, Wikisource-derived DOCX</x:v>
      </x:c>
      <x:c r="H4587" s="6" t="str">
        <x:v>1</x:v>
      </x:c>
      <x:c r="I4587" s="6" t="str"/>
      <x:c r="J4587" s="6" t="str">
        <x:f>IF(B4587="","",IF(AND(ISNUMBER(SEARCH("平",B4587)),OR(ISNUMBER(SEARCH("上",B4587)),ISNUMBER(SEARCH("去",B4587)),ISNUMBER(SEARCH("入",B4587)))),"Ambiguous",IF(ISNUMBER(SEARCH("平",B4587)),"平","仄")))</x:f>
        <x:v>平</x:v>
      </x:c>
      <x:c r="K4587" s="6" t="str">
        <x:f>IF(D4587="","",IF(AND(ISNUMBER(SEARCH("平",D4587)),OR(ISNUMBER(SEARCH("上",D4587)),ISNUMBER(SEARCH("去",D4587)),ISNUMBER(SEARCH("入",D4587)))),"Ambiguous",IF(ISNUMBER(SEARCH("平",D4587)),"平","仄")))</x:f>
        <x:v>平</x:v>
      </x:c>
      <x:c r="L4587" s="7" t="str"/>
    </x:row>
    <x:row r="4588">
      <x:c r="A4588" s="5" t="str">
        <x:v>頊</x:v>
      </x:c>
      <x:c r="B4588" s="6" t="str">
        <x:v>入</x:v>
      </x:c>
      <x:c r="C4588" s="6" t="str">
        <x:f>IF(B4588="","Needs decision","Ready")</x:f>
        <x:v>Ready</x:v>
      </x:c>
      <x:c r="D4588" s="6" t="str">
        <x:v>入</x:v>
      </x:c>
      <x:c r="E4588" s="6" t="str">
        <x:v>xjowk (D)</x:v>
      </x:c>
      <x:c r="F4588" s="6" t="str">
        <x:v>入聲二沃</x:v>
      </x:c>
      <x:c r="G4588" s="6" t="str">
        <x:v>Pingshui main list, Wikisource-derived DOCX</x:v>
      </x:c>
      <x:c r="H4588" s="6" t="str">
        <x:v>1</x:v>
      </x:c>
      <x:c r="I4588" s="6" t="str"/>
      <x:c r="J4588" s="6" t="str">
        <x:f>IF(B4588="","",IF(AND(ISNUMBER(SEARCH("平",B4588)),OR(ISNUMBER(SEARCH("上",B4588)),ISNUMBER(SEARCH("去",B4588)),ISNUMBER(SEARCH("入",B4588)))),"Ambiguous",IF(ISNUMBER(SEARCH("平",B4588)),"平","仄")))</x:f>
        <x:v>仄</x:v>
      </x:c>
      <x:c r="K4588" s="6" t="str">
        <x:f>IF(D4588="","",IF(AND(ISNUMBER(SEARCH("平",D4588)),OR(ISNUMBER(SEARCH("上",D4588)),ISNUMBER(SEARCH("去",D4588)),ISNUMBER(SEARCH("入",D4588)))),"Ambiguous",IF(ISNUMBER(SEARCH("平",D4588)),"平","仄")))</x:f>
        <x:v>仄</x:v>
      </x:c>
      <x:c r="L4588" s="7" t="str"/>
    </x:row>
    <x:row r="4589">
      <x:c r="A4589" s="5" t="str">
        <x:v>頌</x:v>
      </x:c>
      <x:c r="B4589" s="6" t="str">
        <x:v>去</x:v>
      </x:c>
      <x:c r="C4589" s="6" t="str">
        <x:f>IF(B4589="","Needs decision","Ready")</x:f>
        <x:v>Ready</x:v>
      </x:c>
      <x:c r="D4589" s="6" t="str">
        <x:v>平/去</x:v>
      </x:c>
      <x:c r="E4589" s="6" t="str">
        <x:v>yowng (A); zjowngH (C)</x:v>
      </x:c>
      <x:c r="F4589" s="6" t="str">
        <x:v>去聲二宋</x:v>
      </x:c>
      <x:c r="G4589" s="6" t="str">
        <x:v>Pingshui main list, Wikisource-derived DOCX</x:v>
      </x:c>
      <x:c r="H4589" s="6" t="str">
        <x:v>2</x:v>
      </x:c>
      <x:c r="I4589" s="6" t="str">
        <x:v>User workbook edit 2026-09-03</x:v>
      </x:c>
      <x:c r="J4589" s="6" t="str">
        <x:f>IF(B4589="","",IF(AND(ISNUMBER(SEARCH("平",B4589)),OR(ISNUMBER(SEARCH("上",B4589)),ISNUMBER(SEARCH("去",B4589)),ISNUMBER(SEARCH("入",B4589)))),"Ambiguous",IF(ISNUMBER(SEARCH("平",B4589)),"平","仄")))</x:f>
        <x:v>仄</x:v>
      </x:c>
      <x:c r="K4589" s="6" t="str">
        <x:f>IF(D4589="","",IF(AND(ISNUMBER(SEARCH("平",D4589)),OR(ISNUMBER(SEARCH("上",D4589)),ISNUMBER(SEARCH("去",D4589)),ISNUMBER(SEARCH("入",D4589)))),"Ambiguous",IF(ISNUMBER(SEARCH("平",D4589)),"平","仄")))</x:f>
        <x:v>Ambiguous</x:v>
      </x:c>
      <x:c r="L4589" s="7" t="str">
        <x:v>manual user correction</x:v>
      </x:c>
    </x:row>
    <x:row r="4590">
      <x:c r="A4590" s="5" t="str">
        <x:v>頏</x:v>
      </x:c>
      <x:c r="B4590" s="6" t="str">
        <x:v>平</x:v>
      </x:c>
      <x:c r="C4590" s="6" t="str">
        <x:f>IF(B4590="","Needs decision","Ready")</x:f>
        <x:v>Ready</x:v>
      </x:c>
      <x:c r="D4590" s="6" t="str">
        <x:v>平</x:v>
      </x:c>
      <x:c r="E4590" s="6" t="str"/>
      <x:c r="F4590" s="6" t="str">
        <x:v>下平聲七陽; 去聲二十三漾</x:v>
      </x:c>
      <x:c r="G4590" s="6" t="str">
        <x:v>Pingshui main list, Wikisource-derived DOCX</x:v>
      </x:c>
      <x:c r="H4590" s="6" t="str">
        <x:v>0</x:v>
      </x:c>
      <x:c r="I4590" s="6" t="str">
        <x:v>User correction 2026-09-08; added manually</x:v>
      </x:c>
      <x:c r="J4590" s="6" t="str">
        <x:f>IF(B4590="","",IF(AND(ISNUMBER(SEARCH("平",B4590)),OR(ISNUMBER(SEARCH("上",B4590)),ISNUMBER(SEARCH("去",B4590)),ISNUMBER(SEARCH("入",B4590)))),"Ambiguous",IF(ISNUMBER(SEARCH("平",B4590)),"平","仄")))</x:f>
        <x:v>平</x:v>
      </x:c>
      <x:c r="K4590" s="6" t="str">
        <x:f>IF(D4590="","",IF(AND(ISNUMBER(SEARCH("平",D4590)),OR(ISNUMBER(SEARCH("上",D4590)),ISNUMBER(SEARCH("去",D4590)),ISNUMBER(SEARCH("入",D4590)))),"Ambiguous",IF(ISNUMBER(SEARCH("平",D4590)),"平","仄")))</x:f>
        <x:v>平</x:v>
      </x:c>
      <x:c r="L4590" s="7" t="str">
        <x:v>User correction</x:v>
      </x:c>
    </x:row>
    <x:row r="4591">
      <x:c r="A4591" s="5" t="str">
        <x:v>預</x:v>
      </x:c>
      <x:c r="B4591" s="6" t="str">
        <x:v>去</x:v>
      </x:c>
      <x:c r="C4591" s="6" t="str">
        <x:f>IF(B4591="","Needs decision","Ready")</x:f>
        <x:v>Ready</x:v>
      </x:c>
      <x:c r="D4591" s="6" t="str">
        <x:v>去</x:v>
      </x:c>
      <x:c r="E4591" s="6" t="str"/>
      <x:c r="F4591" s="6" t="str">
        <x:v>去聲六御</x:v>
      </x:c>
      <x:c r="G4591" s="6" t="str">
        <x:v>Pingshui main list, Wikisource-derived DOCX</x:v>
      </x:c>
      <x:c r="H4591" s="6" t="str"/>
      <x:c r="I4591" s="6" t="str">
        <x:v>Manual user correction/addition</x:v>
      </x:c>
      <x:c r="J4591" s="6" t="str">
        <x:f>IF(B4591="","",IF(AND(ISNUMBER(SEARCH("平",B4591)),OR(ISNUMBER(SEARCH("上",B4591)),ISNUMBER(SEARCH("去",B4591)),ISNUMBER(SEARCH("入",B4591)))),"Ambiguous",IF(ISNUMBER(SEARCH("平",B4591)),"平","仄")))</x:f>
        <x:v>仄</x:v>
      </x:c>
      <x:c r="K4591" s="6" t="str">
        <x:f>IF(D4591="","",IF(AND(ISNUMBER(SEARCH("平",D4591)),OR(ISNUMBER(SEARCH("上",D4591)),ISNUMBER(SEARCH("去",D4591)),ISNUMBER(SEARCH("入",D4591)))),"Ambiguous",IF(ISNUMBER(SEARCH("平",D4591)),"平","仄")))</x:f>
        <x:v>仄</x:v>
      </x:c>
      <x:c r="L4591" s="7" t="str">
        <x:v>manual user correction</x:v>
      </x:c>
    </x:row>
    <x:row r="4592">
      <x:c r="A4592" s="5" t="str">
        <x:v>頒</x:v>
      </x:c>
      <x:c r="B4592" s="6" t="str">
        <x:v>平</x:v>
      </x:c>
      <x:c r="C4592" s="6" t="str">
        <x:f>IF(B4592="","Needs decision","Ready")</x:f>
        <x:v>Ready</x:v>
      </x:c>
      <x:c r="D4592" s="6" t="str">
        <x:v>平</x:v>
      </x:c>
      <x:c r="E4592" s="6" t="str">
        <x:v>paen (A)</x:v>
      </x:c>
      <x:c r="F4592" s="6" t="str">
        <x:v>上平聲十五刪</x:v>
      </x:c>
      <x:c r="G4592" s="6" t="str">
        <x:v>Pingshui main list, Wikisource-derived DOCX</x:v>
      </x:c>
      <x:c r="H4592" s="6" t="str">
        <x:v>1</x:v>
      </x:c>
      <x:c r="I4592" s="6" t="str"/>
      <x:c r="J4592" s="6" t="str">
        <x:f>IF(B4592="","",IF(AND(ISNUMBER(SEARCH("平",B4592)),OR(ISNUMBER(SEARCH("上",B4592)),ISNUMBER(SEARCH("去",B4592)),ISNUMBER(SEARCH("入",B4592)))),"Ambiguous",IF(ISNUMBER(SEARCH("平",B4592)),"平","仄")))</x:f>
        <x:v>平</x:v>
      </x:c>
      <x:c r="K4592" s="6" t="str">
        <x:f>IF(D4592="","",IF(AND(ISNUMBER(SEARCH("平",D4592)),OR(ISNUMBER(SEARCH("上",D4592)),ISNUMBER(SEARCH("去",D4592)),ISNUMBER(SEARCH("入",D4592)))),"Ambiguous",IF(ISNUMBER(SEARCH("平",D4592)),"平","仄")))</x:f>
        <x:v>平</x:v>
      </x:c>
      <x:c r="L4592" s="7" t="str"/>
    </x:row>
    <x:row r="4593">
      <x:c r="A4593" s="5" t="str">
        <x:v>頓</x:v>
      </x:c>
      <x:c r="B4593" s="6" t="str">
        <x:v>去</x:v>
      </x:c>
      <x:c r="C4593" s="6" t="str">
        <x:f>IF(B4593="","Needs decision","Ready")</x:f>
        <x:v>Ready</x:v>
      </x:c>
      <x:c r="D4593" s="6" t="str">
        <x:v>去</x:v>
      </x:c>
      <x:c r="E4593" s="6" t="str">
        <x:v>twonH [t̙wənh] (去)</x:v>
      </x:c>
      <x:c r="F4593" s="6" t="str">
        <x:v>去聲十四願</x:v>
      </x:c>
      <x:c r="G4593" s="6" t="str">
        <x:v>Pingshui main list, Wikisource-derived DOCX</x:v>
      </x:c>
      <x:c r="H4593" s="6" t="str">
        <x:v>1</x:v>
      </x:c>
      <x:c r="I4593" s="6" t="str">
        <x:v>Tang 300 gap; frequency 2; provisional from Xun Gong</x:v>
      </x:c>
      <x:c r="J4593" s="6" t="str">
        <x:f>IF(B4593="","",IF(AND(ISNUMBER(SEARCH("平",B4593)),OR(ISNUMBER(SEARCH("上",B4593)),ISNUMBER(SEARCH("去",B4593)),ISNUMBER(SEARCH("入",B4593)))),"Ambiguous",IF(ISNUMBER(SEARCH("平",B4593)),"平","仄")))</x:f>
        <x:v>仄</x:v>
      </x:c>
      <x:c r="K4593" s="6" t="str">
        <x:f>IF(D4593="","",IF(AND(ISNUMBER(SEARCH("平",D4593)),OR(ISNUMBER(SEARCH("上",D4593)),ISNUMBER(SEARCH("去",D4593)),ISNUMBER(SEARCH("入",D4593)))),"Ambiguous",IF(ISNUMBER(SEARCH("平",D4593)),"平","仄")))</x:f>
        <x:v>仄</x:v>
      </x:c>
      <x:c r="L4593" s="7" t="str">
        <x:v>Xun Gong, Tang 300 gap fill</x:v>
      </x:c>
    </x:row>
    <x:row r="4594">
      <x:c r="A4594" s="5" t="str">
        <x:v>頗</x:v>
      </x:c>
      <x:c r="B4594" s="6" t="str">
        <x:v>平</x:v>
      </x:c>
      <x:c r="C4594" s="6" t="str">
        <x:f>IF(B4594="","Needs decision","Ready")</x:f>
        <x:v>Ready</x:v>
      </x:c>
      <x:c r="D4594" s="6" t="str">
        <x:v>平</x:v>
      </x:c>
      <x:c r="E4594" s="6" t="str">
        <x:v>pha (A)</x:v>
      </x:c>
      <x:c r="F4594" s="6" t="str">
        <x:v>下平聲五歌; 上聲二十哿</x:v>
      </x:c>
      <x:c r="G4594" s="6" t="str">
        <x:v>Pingshui main list, Wikisource-derived DOCX</x:v>
      </x:c>
      <x:c r="H4594" s="6" t="str">
        <x:v>1</x:v>
      </x:c>
      <x:c r="I4594" s="6" t="str"/>
      <x:c r="J4594" s="6" t="str">
        <x:f>IF(B4594="","",IF(AND(ISNUMBER(SEARCH("平",B4594)),OR(ISNUMBER(SEARCH("上",B4594)),ISNUMBER(SEARCH("去",B4594)),ISNUMBER(SEARCH("入",B4594)))),"Ambiguous",IF(ISNUMBER(SEARCH("平",B4594)),"平","仄")))</x:f>
        <x:v>平</x:v>
      </x:c>
      <x:c r="K4594" s="6" t="str">
        <x:f>IF(D4594="","",IF(AND(ISNUMBER(SEARCH("平",D4594)),OR(ISNUMBER(SEARCH("上",D4594)),ISNUMBER(SEARCH("去",D4594)),ISNUMBER(SEARCH("入",D4594)))),"Ambiguous",IF(ISNUMBER(SEARCH("平",D4594)),"平","仄")))</x:f>
        <x:v>平</x:v>
      </x:c>
      <x:c r="L4594" s="7" t="str"/>
    </x:row>
    <x:row r="4595">
      <x:c r="A4595" s="5" t="str">
        <x:v>領</x:v>
      </x:c>
      <x:c r="B4595" s="6" t="str">
        <x:v>上</x:v>
      </x:c>
      <x:c r="C4595" s="6" t="str">
        <x:f>IF(B4595="","Needs decision","Ready")</x:f>
        <x:v>Ready</x:v>
      </x:c>
      <x:c r="D4595" s="6" t="str">
        <x:v>上</x:v>
      </x:c>
      <x:c r="E4595" s="6" t="str">
        <x:v>ljengX (B)</x:v>
      </x:c>
      <x:c r="F4595" s="6" t="str">
        <x:v>上聲二十三梗</x:v>
      </x:c>
      <x:c r="G4595" s="6" t="str">
        <x:v>Pingshui main list, Wikisource-derived DOCX</x:v>
      </x:c>
      <x:c r="H4595" s="6" t="str">
        <x:v>1</x:v>
      </x:c>
      <x:c r="I4595" s="6" t="str"/>
      <x:c r="J4595" s="6" t="str">
        <x:f>IF(B4595="","",IF(AND(ISNUMBER(SEARCH("平",B4595)),OR(ISNUMBER(SEARCH("上",B4595)),ISNUMBER(SEARCH("去",B4595)),ISNUMBER(SEARCH("入",B4595)))),"Ambiguous",IF(ISNUMBER(SEARCH("平",B4595)),"平","仄")))</x:f>
        <x:v>仄</x:v>
      </x:c>
      <x:c r="K4595" s="6" t="str">
        <x:f>IF(D4595="","",IF(AND(ISNUMBER(SEARCH("平",D4595)),OR(ISNUMBER(SEARCH("上",D4595)),ISNUMBER(SEARCH("去",D4595)),ISNUMBER(SEARCH("入",D4595)))),"Ambiguous",IF(ISNUMBER(SEARCH("平",D4595)),"平","仄")))</x:f>
        <x:v>仄</x:v>
      </x:c>
      <x:c r="L4595" s="7" t="str"/>
    </x:row>
    <x:row r="4596">
      <x:c r="A4596" s="5" t="str">
        <x:v>頞</x:v>
      </x:c>
      <x:c r="B4596" s="6" t="str">
        <x:v>入</x:v>
      </x:c>
      <x:c r="C4596" s="6" t="str">
        <x:f>IF(B4596="","Needs decision","Ready")</x:f>
        <x:v>Ready</x:v>
      </x:c>
      <x:c r="D4596" s="6" t="str">
        <x:v>入</x:v>
      </x:c>
      <x:c r="E4596" s="6" t="str">
        <x:v>'at (D)</x:v>
      </x:c>
      <x:c r="F4596" s="6" t="str">
        <x:v>入聲七曷</x:v>
      </x:c>
      <x:c r="G4596" s="6" t="str">
        <x:v>Pingshui main list, Wikisource-derived DOCX</x:v>
      </x:c>
      <x:c r="H4596" s="6" t="str">
        <x:v>1</x:v>
      </x:c>
      <x:c r="I4596" s="6" t="str"/>
      <x:c r="J4596" s="6" t="str">
        <x:f>IF(B4596="","",IF(AND(ISNUMBER(SEARCH("平",B4596)),OR(ISNUMBER(SEARCH("上",B4596)),ISNUMBER(SEARCH("去",B4596)),ISNUMBER(SEARCH("入",B4596)))),"Ambiguous",IF(ISNUMBER(SEARCH("平",B4596)),"平","仄")))</x:f>
        <x:v>仄</x:v>
      </x:c>
      <x:c r="K4596" s="6" t="str">
        <x:f>IF(D4596="","",IF(AND(ISNUMBER(SEARCH("平",D4596)),OR(ISNUMBER(SEARCH("上",D4596)),ISNUMBER(SEARCH("去",D4596)),ISNUMBER(SEARCH("入",D4596)))),"Ambiguous",IF(ISNUMBER(SEARCH("平",D4596)),"平","仄")))</x:f>
        <x:v>仄</x:v>
      </x:c>
      <x:c r="L4596" s="7" t="str"/>
    </x:row>
    <x:row r="4597">
      <x:c r="A4597" s="5" t="str">
        <x:v>頤</x:v>
      </x:c>
      <x:c r="B4597" s="6" t="str">
        <x:v>平</x:v>
      </x:c>
      <x:c r="C4597" s="6" t="str">
        <x:f>IF(B4597="","Needs decision","Ready")</x:f>
        <x:v>Ready</x:v>
      </x:c>
      <x:c r="D4597" s="6" t="str">
        <x:v>平</x:v>
      </x:c>
      <x:c r="E4597" s="6" t="str">
        <x:v>yi (A)</x:v>
      </x:c>
      <x:c r="F4597" s="6" t="str">
        <x:v>上平聲四支</x:v>
      </x:c>
      <x:c r="G4597" s="6" t="str">
        <x:v>Pingshui main list, Wikisource-derived DOCX</x:v>
      </x:c>
      <x:c r="H4597" s="6" t="str">
        <x:v>1</x:v>
      </x:c>
      <x:c r="I4597" s="6" t="str"/>
      <x:c r="J4597" s="6" t="str">
        <x:f>IF(B4597="","",IF(AND(ISNUMBER(SEARCH("平",B4597)),OR(ISNUMBER(SEARCH("上",B4597)),ISNUMBER(SEARCH("去",B4597)),ISNUMBER(SEARCH("入",B4597)))),"Ambiguous",IF(ISNUMBER(SEARCH("平",B4597)),"平","仄")))</x:f>
        <x:v>平</x:v>
      </x:c>
      <x:c r="K4597" s="6" t="str">
        <x:f>IF(D4597="","",IF(AND(ISNUMBER(SEARCH("平",D4597)),OR(ISNUMBER(SEARCH("上",D4597)),ISNUMBER(SEARCH("去",D4597)),ISNUMBER(SEARCH("入",D4597)))),"Ambiguous",IF(ISNUMBER(SEARCH("平",D4597)),"平","仄")))</x:f>
        <x:v>平</x:v>
      </x:c>
      <x:c r="L4597" s="7" t="str"/>
    </x:row>
    <x:row r="4598">
      <x:c r="A4598" s="5" t="str">
        <x:v>頭</x:v>
      </x:c>
      <x:c r="B4598" s="6" t="str">
        <x:v>平</x:v>
      </x:c>
      <x:c r="C4598" s="6" t="str">
        <x:f>IF(B4598="","Needs decision","Ready")</x:f>
        <x:v>Ready</x:v>
      </x:c>
      <x:c r="D4598" s="6" t="str">
        <x:v>平</x:v>
      </x:c>
      <x:c r="E4598" s="6" t="str">
        <x:v>duw (A)</x:v>
      </x:c>
      <x:c r="F4598" s="6" t="str">
        <x:v>下平聲十一尤</x:v>
      </x:c>
      <x:c r="G4598" s="6" t="str">
        <x:v>Pingshui main list, Wikisource-derived DOCX</x:v>
      </x:c>
      <x:c r="H4598" s="6" t="str">
        <x:v>1</x:v>
      </x:c>
      <x:c r="I4598" s="6" t="str"/>
      <x:c r="J4598" s="6" t="str">
        <x:f>IF(B4598="","",IF(AND(ISNUMBER(SEARCH("平",B4598)),OR(ISNUMBER(SEARCH("上",B4598)),ISNUMBER(SEARCH("去",B4598)),ISNUMBER(SEARCH("入",B4598)))),"Ambiguous",IF(ISNUMBER(SEARCH("平",B4598)),"平","仄")))</x:f>
        <x:v>平</x:v>
      </x:c>
      <x:c r="K4598" s="6" t="str">
        <x:f>IF(D4598="","",IF(AND(ISNUMBER(SEARCH("平",D4598)),OR(ISNUMBER(SEARCH("上",D4598)),ISNUMBER(SEARCH("去",D4598)),ISNUMBER(SEARCH("入",D4598)))),"Ambiguous",IF(ISNUMBER(SEARCH("平",D4598)),"平","仄")))</x:f>
        <x:v>平</x:v>
      </x:c>
      <x:c r="L4598" s="7" t="str"/>
    </x:row>
    <x:row r="4599">
      <x:c r="A4599" s="5" t="str">
        <x:v>頯</x:v>
      </x:c>
      <x:c r="B4599" s="6" t="str">
        <x:v>平</x:v>
      </x:c>
      <x:c r="C4599" s="6" t="str">
        <x:f>IF(B4599="","Needs decision","Ready")</x:f>
        <x:v>Ready</x:v>
      </x:c>
      <x:c r="D4599" s="6" t="str">
        <x:v>平</x:v>
      </x:c>
      <x:c r="E4599" s="6" t="str">
        <x:v>gwij (A)</x:v>
      </x:c>
      <x:c r="F4599" s="6" t="str">
        <x:v>上平聲四支</x:v>
      </x:c>
      <x:c r="G4599" s="6" t="str">
        <x:v>Pingshui main list, Wikisource-derived DOCX</x:v>
      </x:c>
      <x:c r="H4599" s="6" t="str">
        <x:v>1</x:v>
      </x:c>
      <x:c r="I4599" s="6" t="str"/>
      <x:c r="J4599" s="6" t="str">
        <x:f>IF(B4599="","",IF(AND(ISNUMBER(SEARCH("平",B4599)),OR(ISNUMBER(SEARCH("上",B4599)),ISNUMBER(SEARCH("去",B4599)),ISNUMBER(SEARCH("入",B4599)))),"Ambiguous",IF(ISNUMBER(SEARCH("平",B4599)),"平","仄")))</x:f>
        <x:v>平</x:v>
      </x:c>
      <x:c r="K4599" s="6" t="str">
        <x:f>IF(D4599="","",IF(AND(ISNUMBER(SEARCH("平",D4599)),OR(ISNUMBER(SEARCH("上",D4599)),ISNUMBER(SEARCH("去",D4599)),ISNUMBER(SEARCH("入",D4599)))),"Ambiguous",IF(ISNUMBER(SEARCH("平",D4599)),"平","仄")))</x:f>
        <x:v>平</x:v>
      </x:c>
      <x:c r="L4599" s="7" t="str"/>
    </x:row>
    <x:row r="4600">
      <x:c r="A4600" s="5" t="str">
        <x:v>頷</x:v>
      </x:c>
      <x:c r="B4600" s="6" t="str">
        <x:v>上</x:v>
      </x:c>
      <x:c r="C4600" s="6" t="str">
        <x:f>IF(B4600="","Needs decision","Ready")</x:f>
        <x:v>Ready</x:v>
      </x:c>
      <x:c r="D4600" s="6" t="str">
        <x:v>上</x:v>
      </x:c>
      <x:c r="E4600" s="6" t="str">
        <x:v>homX (B)</x:v>
      </x:c>
      <x:c r="F4600" s="6" t="str">
        <x:v>下平聲十三覃; 上聲二十七感</x:v>
      </x:c>
      <x:c r="G4600" s="6" t="str">
        <x:v>Pingshui main list, Wikisource-derived DOCX</x:v>
      </x:c>
      <x:c r="H4600" s="6" t="str">
        <x:v>1</x:v>
      </x:c>
      <x:c r="I4600" s="6" t="str"/>
      <x:c r="J4600" s="6" t="str">
        <x:f>IF(B4600="","",IF(AND(ISNUMBER(SEARCH("平",B4600)),OR(ISNUMBER(SEARCH("上",B4600)),ISNUMBER(SEARCH("去",B4600)),ISNUMBER(SEARCH("入",B4600)))),"Ambiguous",IF(ISNUMBER(SEARCH("平",B4600)),"平","仄")))</x:f>
        <x:v>仄</x:v>
      </x:c>
      <x:c r="K4600" s="6" t="str">
        <x:f>IF(D4600="","",IF(AND(ISNUMBER(SEARCH("平",D4600)),OR(ISNUMBER(SEARCH("上",D4600)),ISNUMBER(SEARCH("去",D4600)),ISNUMBER(SEARCH("入",D4600)))),"Ambiguous",IF(ISNUMBER(SEARCH("平",D4600)),"平","仄")))</x:f>
        <x:v>仄</x:v>
      </x:c>
      <x:c r="L4600" s="7" t="str"/>
    </x:row>
    <x:row r="4601">
      <x:c r="A4601" s="5" t="str">
        <x:v>頸</x:v>
      </x:c>
      <x:c r="B4601" s="6" t="str">
        <x:v>上</x:v>
      </x:c>
      <x:c r="C4601" s="6" t="str">
        <x:f>IF(B4601="","Needs decision","Ready")</x:f>
        <x:v>Ready</x:v>
      </x:c>
      <x:c r="D4601" s="6" t="str">
        <x:v>平/上</x:v>
      </x:c>
      <x:c r="E4601" s="6" t="str">
        <x:v>gjieng (A); kjiengX (B)</x:v>
      </x:c>
      <x:c r="F4601" s="6" t="str">
        <x:v>上聲二十三梗</x:v>
      </x:c>
      <x:c r="G4601" s="6" t="str">
        <x:v>Pingshui main list, Wikisource-derived DOCX</x:v>
      </x:c>
      <x:c r="H4601" s="6" t="str">
        <x:v>2</x:v>
      </x:c>
      <x:c r="I4601" s="6" t="str">
        <x:v>User workbook edit 2026-09-03</x:v>
      </x:c>
      <x:c r="J4601" s="6" t="str">
        <x:f>IF(B4601="","",IF(AND(ISNUMBER(SEARCH("平",B4601)),OR(ISNUMBER(SEARCH("上",B4601)),ISNUMBER(SEARCH("去",B4601)),ISNUMBER(SEARCH("入",B4601)))),"Ambiguous",IF(ISNUMBER(SEARCH("平",B4601)),"平","仄")))</x:f>
        <x:v>仄</x:v>
      </x:c>
      <x:c r="K4601" s="6" t="str">
        <x:f>IF(D4601="","",IF(AND(ISNUMBER(SEARCH("平",D4601)),OR(ISNUMBER(SEARCH("上",D4601)),ISNUMBER(SEARCH("去",D4601)),ISNUMBER(SEARCH("入",D4601)))),"Ambiguous",IF(ISNUMBER(SEARCH("平",D4601)),"平","仄")))</x:f>
        <x:v>Ambiguous</x:v>
      </x:c>
      <x:c r="L4601" s="7" t="str">
        <x:v>manual user correction</x:v>
      </x:c>
    </x:row>
    <x:row r="4602">
      <x:c r="A4602" s="5" t="str">
        <x:v>頹</x:v>
      </x:c>
      <x:c r="B4602" s="6" t="str">
        <x:v>平</x:v>
      </x:c>
      <x:c r="C4602" s="6" t="str">
        <x:f>IF(B4602="","Needs decision","Ready")</x:f>
        <x:v>Ready</x:v>
      </x:c>
      <x:c r="D4602" s="6" t="str">
        <x:v>平</x:v>
      </x:c>
      <x:c r="E4602" s="6" t="str">
        <x:v>dwoj [定合一灰平] d̙wəj</x:v>
      </x:c>
      <x:c r="F4602" s="6" t="str">
        <x:v>入聲一屋</x:v>
      </x:c>
      <x:c r="G4602" s="6" t="str">
        <x:v>Pingshui main list, Wikisource-derived DOCX</x:v>
      </x:c>
      <x:c r="H4602" s="6" t="str">
        <x:v>1</x:v>
      </x:c>
      <x:c r="I4602" s="6" t="str">
        <x:v>Targeted preliminary fill from Xun Gong; review if uncertain</x:v>
      </x:c>
      <x:c r="J4602" s="6" t="str">
        <x:f>IF(B4602="","",IF(AND(ISNUMBER(SEARCH("平",B4602)),OR(ISNUMBER(SEARCH("上",B4602)),ISNUMBER(SEARCH("去",B4602)),ISNUMBER(SEARCH("入",B4602)))),"Ambiguous",IF(ISNUMBER(SEARCH("平",B4602)),"平","仄")))</x:f>
        <x:v>平</x:v>
      </x:c>
      <x:c r="K4602" s="6" t="str">
        <x:f>IF(D4602="","",IF(AND(ISNUMBER(SEARCH("平",D4602)),OR(ISNUMBER(SEARCH("上",D4602)),ISNUMBER(SEARCH("去",D4602)),ISNUMBER(SEARCH("入",D4602)))),"Ambiguous",IF(ISNUMBER(SEARCH("平",D4602)),"平","仄")))</x:f>
        <x:v>平</x:v>
      </x:c>
      <x:c r="L4602" s="7" t="str">
        <x:v>Xun Gong character-readings.csv</x:v>
      </x:c>
    </x:row>
    <x:row r="4603">
      <x:c r="A4603" s="5" t="str">
        <x:v>頻</x:v>
      </x:c>
      <x:c r="B4603" s="6" t="str">
        <x:v>平</x:v>
      </x:c>
      <x:c r="C4603" s="6" t="str">
        <x:f>IF(B4603="","Needs decision","Ready")</x:f>
        <x:v>Ready</x:v>
      </x:c>
      <x:c r="D4603" s="6" t="str">
        <x:v>平</x:v>
      </x:c>
      <x:c r="E4603" s="6" t="str">
        <x:v>bjin (A)</x:v>
      </x:c>
      <x:c r="F4603" s="6" t="str">
        <x:v>上平聲十一真</x:v>
      </x:c>
      <x:c r="G4603" s="6" t="str">
        <x:v>Pingshui main list, Wikisource-derived DOCX</x:v>
      </x:c>
      <x:c r="H4603" s="6" t="str">
        <x:v>1</x:v>
      </x:c>
      <x:c r="I4603" s="6" t="str"/>
      <x:c r="J4603" s="6" t="str">
        <x:f>IF(B4603="","",IF(AND(ISNUMBER(SEARCH("平",B4603)),OR(ISNUMBER(SEARCH("上",B4603)),ISNUMBER(SEARCH("去",B4603)),ISNUMBER(SEARCH("入",B4603)))),"Ambiguous",IF(ISNUMBER(SEARCH("平",B4603)),"平","仄")))</x:f>
        <x:v>平</x:v>
      </x:c>
      <x:c r="K4603" s="6" t="str">
        <x:f>IF(D4603="","",IF(AND(ISNUMBER(SEARCH("平",D4603)),OR(ISNUMBER(SEARCH("上",D4603)),ISNUMBER(SEARCH("去",D4603)),ISNUMBER(SEARCH("入",D4603)))),"Ambiguous",IF(ISNUMBER(SEARCH("平",D4603)),"平","仄")))</x:f>
        <x:v>平</x:v>
      </x:c>
      <x:c r="L4603" s="7" t="str"/>
    </x:row>
    <x:row r="4604">
      <x:c r="A4604" s="5" t="str">
        <x:v>題</x:v>
      </x:c>
      <x:c r="B4604" s="6" t="str">
        <x:v>平</x:v>
      </x:c>
      <x:c r="C4604" s="6" t="str">
        <x:f>IF(B4604="","Needs decision","Ready")</x:f>
        <x:v>Ready</x:v>
      </x:c>
      <x:c r="D4604" s="6" t="str">
        <x:v>平</x:v>
      </x:c>
      <x:c r="E4604" s="6" t="str"/>
      <x:c r="F4604" s="6" t="str">
        <x:v>上平聲八齊; 去聲八霽</x:v>
      </x:c>
      <x:c r="G4604" s="6" t="str">
        <x:v>Pingshui main list, Wikisource-derived DOCX</x:v>
      </x:c>
      <x:c r="H4604" s="6" t="str"/>
      <x:c r="I4604" s="6" t="str">
        <x:v>Manual user correction/addition</x:v>
      </x:c>
      <x:c r="J4604" s="6" t="str">
        <x:f>IF(B4604="","",IF(AND(ISNUMBER(SEARCH("平",B4604)),OR(ISNUMBER(SEARCH("上",B4604)),ISNUMBER(SEARCH("去",B4604)),ISNUMBER(SEARCH("入",B4604)))),"Ambiguous",IF(ISNUMBER(SEARCH("平",B4604)),"平","仄")))</x:f>
        <x:v>平</x:v>
      </x:c>
      <x:c r="K4604" s="6" t="str">
        <x:f>IF(D4604="","",IF(AND(ISNUMBER(SEARCH("平",D4604)),OR(ISNUMBER(SEARCH("上",D4604)),ISNUMBER(SEARCH("去",D4604)),ISNUMBER(SEARCH("入",D4604)))),"Ambiguous",IF(ISNUMBER(SEARCH("平",D4604)),"平","仄")))</x:f>
        <x:v>平</x:v>
      </x:c>
      <x:c r="L4604" s="7" t="str">
        <x:v>manual user correction</x:v>
      </x:c>
    </x:row>
    <x:row r="4605">
      <x:c r="A4605" s="5" t="str">
        <x:v>額</x:v>
      </x:c>
      <x:c r="B4605" s="6" t="str">
        <x:v>入</x:v>
      </x:c>
      <x:c r="C4605" s="6" t="str">
        <x:f>IF(B4605="","Needs decision","Ready")</x:f>
        <x:v>Ready</x:v>
      </x:c>
      <x:c r="D4605" s="6" t="str">
        <x:v>入</x:v>
      </x:c>
      <x:c r="E4605" s="6" t="str">
        <x:v>ngaek (D)</x:v>
      </x:c>
      <x:c r="F4605" s="6" t="str">
        <x:v>入聲十一陌</x:v>
      </x:c>
      <x:c r="G4605" s="6" t="str">
        <x:v>Pingshui main list, Wikisource-derived DOCX</x:v>
      </x:c>
      <x:c r="H4605" s="6" t="str">
        <x:v>1</x:v>
      </x:c>
      <x:c r="I4605" s="6" t="str"/>
      <x:c r="J4605" s="6" t="str">
        <x:f>IF(B4605="","",IF(AND(ISNUMBER(SEARCH("平",B4605)),OR(ISNUMBER(SEARCH("上",B4605)),ISNUMBER(SEARCH("去",B4605)),ISNUMBER(SEARCH("入",B4605)))),"Ambiguous",IF(ISNUMBER(SEARCH("平",B4605)),"平","仄")))</x:f>
        <x:v>仄</x:v>
      </x:c>
      <x:c r="K4605" s="6" t="str">
        <x:f>IF(D4605="","",IF(AND(ISNUMBER(SEARCH("平",D4605)),OR(ISNUMBER(SEARCH("上",D4605)),ISNUMBER(SEARCH("去",D4605)),ISNUMBER(SEARCH("入",D4605)))),"Ambiguous",IF(ISNUMBER(SEARCH("平",D4605)),"平","仄")))</x:f>
        <x:v>仄</x:v>
      </x:c>
      <x:c r="L4605" s="7" t="str"/>
    </x:row>
    <x:row r="4606">
      <x:c r="A4606" s="5" t="str">
        <x:v>顏</x:v>
      </x:c>
      <x:c r="B4606" s="6" t="str">
        <x:v>平</x:v>
      </x:c>
      <x:c r="C4606" s="6" t="str">
        <x:f>IF(B4606="","Needs decision","Ready")</x:f>
        <x:v>Ready</x:v>
      </x:c>
      <x:c r="D4606" s="6" t="str">
        <x:v>平</x:v>
      </x:c>
      <x:c r="E4606" s="6" t="str">
        <x:v>ngaen (A)</x:v>
      </x:c>
      <x:c r="F4606" s="6" t="str">
        <x:v>上平聲十五刪</x:v>
      </x:c>
      <x:c r="G4606" s="6" t="str">
        <x:v>Pingshui main list, Wikisource-derived DOCX</x:v>
      </x:c>
      <x:c r="H4606" s="6" t="str">
        <x:v>1</x:v>
      </x:c>
      <x:c r="I4606" s="6" t="str"/>
      <x:c r="J4606" s="6" t="str">
        <x:f>IF(B4606="","",IF(AND(ISNUMBER(SEARCH("平",B4606)),OR(ISNUMBER(SEARCH("上",B4606)),ISNUMBER(SEARCH("去",B4606)),ISNUMBER(SEARCH("入",B4606)))),"Ambiguous",IF(ISNUMBER(SEARCH("平",B4606)),"平","仄")))</x:f>
        <x:v>平</x:v>
      </x:c>
      <x:c r="K4606" s="6" t="str">
        <x:f>IF(D4606="","",IF(AND(ISNUMBER(SEARCH("平",D4606)),OR(ISNUMBER(SEARCH("上",D4606)),ISNUMBER(SEARCH("去",D4606)),ISNUMBER(SEARCH("入",D4606)))),"Ambiguous",IF(ISNUMBER(SEARCH("平",D4606)),"平","仄")))</x:f>
        <x:v>平</x:v>
      </x:c>
      <x:c r="L4606" s="7" t="str"/>
    </x:row>
    <x:row r="4607">
      <x:c r="A4607" s="5" t="str">
        <x:v>願</x:v>
      </x:c>
      <x:c r="B4607" s="6" t="str">
        <x:v>去</x:v>
      </x:c>
      <x:c r="C4607" s="6" t="str">
        <x:f>IF(B4607="","Needs decision","Ready")</x:f>
        <x:v>Ready</x:v>
      </x:c>
      <x:c r="D4607" s="6" t="str">
        <x:v>去</x:v>
      </x:c>
      <x:c r="E4607" s="6" t="str">
        <x:v>ngjwonH (C)</x:v>
      </x:c>
      <x:c r="F4607" s="6" t="str">
        <x:v>去聲十四願</x:v>
      </x:c>
      <x:c r="G4607" s="6" t="str">
        <x:v>Pingshui main list, Wikisource-derived DOCX</x:v>
      </x:c>
      <x:c r="H4607" s="6" t="str">
        <x:v>1</x:v>
      </x:c>
      <x:c r="I4607" s="6" t="str"/>
      <x:c r="J4607" s="6" t="str">
        <x:f>IF(B4607="","",IF(AND(ISNUMBER(SEARCH("平",B4607)),OR(ISNUMBER(SEARCH("上",B4607)),ISNUMBER(SEARCH("去",B4607)),ISNUMBER(SEARCH("入",B4607)))),"Ambiguous",IF(ISNUMBER(SEARCH("平",B4607)),"平","仄")))</x:f>
        <x:v>仄</x:v>
      </x:c>
      <x:c r="K4607" s="6" t="str">
        <x:f>IF(D4607="","",IF(AND(ISNUMBER(SEARCH("平",D4607)),OR(ISNUMBER(SEARCH("上",D4607)),ISNUMBER(SEARCH("去",D4607)),ISNUMBER(SEARCH("入",D4607)))),"Ambiguous",IF(ISNUMBER(SEARCH("平",D4607)),"平","仄")))</x:f>
        <x:v>仄</x:v>
      </x:c>
      <x:c r="L4607" s="7" t="str"/>
    </x:row>
    <x:row r="4608">
      <x:c r="A4608" s="5" t="str">
        <x:v>顙</x:v>
      </x:c>
      <x:c r="B4608" s="6" t="str">
        <x:v>上</x:v>
      </x:c>
      <x:c r="C4608" s="6" t="str">
        <x:f>IF(B4608="","Needs decision","Ready")</x:f>
        <x:v>Ready</x:v>
      </x:c>
      <x:c r="D4608" s="6" t="str">
        <x:v>上</x:v>
      </x:c>
      <x:c r="E4608" s="6" t="str">
        <x:v>sangX (B)</x:v>
      </x:c>
      <x:c r="F4608" s="6" t="str">
        <x:v>上聲二十二養</x:v>
      </x:c>
      <x:c r="G4608" s="6" t="str">
        <x:v>Pingshui main list, Wikisource-derived DOCX</x:v>
      </x:c>
      <x:c r="H4608" s="6" t="str">
        <x:v>1</x:v>
      </x:c>
      <x:c r="I4608" s="6" t="str"/>
      <x:c r="J4608" s="6" t="str">
        <x:f>IF(B4608="","",IF(AND(ISNUMBER(SEARCH("平",B4608)),OR(ISNUMBER(SEARCH("上",B4608)),ISNUMBER(SEARCH("去",B4608)),ISNUMBER(SEARCH("入",B4608)))),"Ambiguous",IF(ISNUMBER(SEARCH("平",B4608)),"平","仄")))</x:f>
        <x:v>仄</x:v>
      </x:c>
      <x:c r="K4608" s="6" t="str">
        <x:f>IF(D4608="","",IF(AND(ISNUMBER(SEARCH("平",D4608)),OR(ISNUMBER(SEARCH("上",D4608)),ISNUMBER(SEARCH("去",D4608)),ISNUMBER(SEARCH("入",D4608)))),"Ambiguous",IF(ISNUMBER(SEARCH("平",D4608)),"平","仄")))</x:f>
        <x:v>仄</x:v>
      </x:c>
      <x:c r="L4608" s="7" t="str"/>
    </x:row>
    <x:row r="4609">
      <x:c r="A4609" s="5" t="str">
        <x:v>顛</x:v>
      </x:c>
      <x:c r="B4609" s="6" t="str">
        <x:v>平</x:v>
      </x:c>
      <x:c r="C4609" s="6" t="str">
        <x:f>IF(B4609="","Needs decision","Ready")</x:f>
        <x:v>Ready</x:v>
      </x:c>
      <x:c r="D4609" s="6" t="str">
        <x:v>平</x:v>
      </x:c>
      <x:c r="E4609" s="6" t="str">
        <x:v>ten (A)</x:v>
      </x:c>
      <x:c r="F4609" s="6" t="str">
        <x:v>下平聲一先</x:v>
      </x:c>
      <x:c r="G4609" s="6" t="str">
        <x:v>Pingshui main list, Wikisource-derived DOCX</x:v>
      </x:c>
      <x:c r="H4609" s="6" t="str">
        <x:v>1</x:v>
      </x:c>
      <x:c r="I4609" s="6" t="str"/>
      <x:c r="J4609" s="6" t="str">
        <x:f>IF(B4609="","",IF(AND(ISNUMBER(SEARCH("平",B4609)),OR(ISNUMBER(SEARCH("上",B4609)),ISNUMBER(SEARCH("去",B4609)),ISNUMBER(SEARCH("入",B4609)))),"Ambiguous",IF(ISNUMBER(SEARCH("平",B4609)),"平","仄")))</x:f>
        <x:v>平</x:v>
      </x:c>
      <x:c r="K4609" s="6" t="str">
        <x:f>IF(D4609="","",IF(AND(ISNUMBER(SEARCH("平",D4609)),OR(ISNUMBER(SEARCH("上",D4609)),ISNUMBER(SEARCH("去",D4609)),ISNUMBER(SEARCH("入",D4609)))),"Ambiguous",IF(ISNUMBER(SEARCH("平",D4609)),"平","仄")))</x:f>
        <x:v>平</x:v>
      </x:c>
      <x:c r="L4609" s="7" t="str"/>
    </x:row>
    <x:row r="4610">
      <x:c r="A4610" s="5" t="str">
        <x:v>類</x:v>
      </x:c>
      <x:c r="B4610" s="6" t="str">
        <x:v>去</x:v>
      </x:c>
      <x:c r="C4610" s="6" t="str">
        <x:f>IF(B4610="","Needs decision","Ready")</x:f>
        <x:v>Ready</x:v>
      </x:c>
      <x:c r="D4610" s="6" t="str">
        <x:v>去</x:v>
      </x:c>
      <x:c r="E4610" s="6" t="str">
        <x:v>lwijH (C)</x:v>
      </x:c>
      <x:c r="F4610" s="6" t="str">
        <x:v>去聲四寘</x:v>
      </x:c>
      <x:c r="G4610" s="6" t="str">
        <x:v>Pingshui main list, Wikisource-derived DOCX</x:v>
      </x:c>
      <x:c r="H4610" s="6" t="str">
        <x:v>1</x:v>
      </x:c>
      <x:c r="I4610" s="6" t="str"/>
      <x:c r="J4610" s="6" t="str">
        <x:f>IF(B4610="","",IF(AND(ISNUMBER(SEARCH("平",B4610)),OR(ISNUMBER(SEARCH("上",B4610)),ISNUMBER(SEARCH("去",B4610)),ISNUMBER(SEARCH("入",B4610)))),"Ambiguous",IF(ISNUMBER(SEARCH("平",B4610)),"平","仄")))</x:f>
        <x:v>仄</x:v>
      </x:c>
      <x:c r="K4610" s="6" t="str">
        <x:f>IF(D4610="","",IF(AND(ISNUMBER(SEARCH("平",D4610)),OR(ISNUMBER(SEARCH("上",D4610)),ISNUMBER(SEARCH("去",D4610)),ISNUMBER(SEARCH("入",D4610)))),"Ambiguous",IF(ISNUMBER(SEARCH("平",D4610)),"平","仄")))</x:f>
        <x:v>仄</x:v>
      </x:c>
      <x:c r="L4610" s="7" t="str"/>
    </x:row>
    <x:row r="4611">
      <x:c r="A4611" s="5" t="str">
        <x:v>顧</x:v>
      </x:c>
      <x:c r="B4611" s="6" t="str">
        <x:v>去</x:v>
      </x:c>
      <x:c r="C4611" s="6" t="str">
        <x:f>IF(B4611="","Needs decision","Ready")</x:f>
        <x:v>Ready</x:v>
      </x:c>
      <x:c r="D4611" s="6" t="str">
        <x:v>去</x:v>
      </x:c>
      <x:c r="E4611" s="6" t="str">
        <x:v>kuH (C)</x:v>
      </x:c>
      <x:c r="F4611" s="6" t="str">
        <x:v>去聲七遇</x:v>
      </x:c>
      <x:c r="G4611" s="6" t="str">
        <x:v>Pingshui main list, Wikisource-derived DOCX</x:v>
      </x:c>
      <x:c r="H4611" s="6" t="str">
        <x:v>1</x:v>
      </x:c>
      <x:c r="I4611" s="6" t="str"/>
      <x:c r="J4611" s="6" t="str">
        <x:f>IF(B4611="","",IF(AND(ISNUMBER(SEARCH("平",B4611)),OR(ISNUMBER(SEARCH("上",B4611)),ISNUMBER(SEARCH("去",B4611)),ISNUMBER(SEARCH("入",B4611)))),"Ambiguous",IF(ISNUMBER(SEARCH("平",B4611)),"平","仄")))</x:f>
        <x:v>仄</x:v>
      </x:c>
      <x:c r="K4611" s="6" t="str">
        <x:f>IF(D4611="","",IF(AND(ISNUMBER(SEARCH("平",D4611)),OR(ISNUMBER(SEARCH("上",D4611)),ISNUMBER(SEARCH("去",D4611)),ISNUMBER(SEARCH("入",D4611)))),"Ambiguous",IF(ISNUMBER(SEARCH("平",D4611)),"平","仄")))</x:f>
        <x:v>仄</x:v>
      </x:c>
      <x:c r="L4611" s="7" t="str"/>
    </x:row>
    <x:row r="4612">
      <x:c r="A4612" s="5" t="str">
        <x:v>顪</x:v>
      </x:c>
      <x:c r="B4612" s="6" t="str">
        <x:v>去</x:v>
      </x:c>
      <x:c r="C4612" s="6" t="str">
        <x:f>IF(B4612="","Needs decision","Ready")</x:f>
        <x:v>Ready</x:v>
      </x:c>
      <x:c r="D4612" s="6" t="str">
        <x:v>去</x:v>
      </x:c>
      <x:c r="E4612" s="6" t="str">
        <x:v>xjwojH (C)</x:v>
      </x:c>
      <x:c r="F4612" s="6" t="str">
        <x:v>去聲十一隊</x:v>
      </x:c>
      <x:c r="G4612" s="6" t="str">
        <x:v>Pingshui main list, Wikisource-derived DOCX</x:v>
      </x:c>
      <x:c r="H4612" s="6" t="str">
        <x:v>1</x:v>
      </x:c>
      <x:c r="I4612" s="6" t="str"/>
      <x:c r="J4612" s="6" t="str">
        <x:f>IF(B4612="","",IF(AND(ISNUMBER(SEARCH("平",B4612)),OR(ISNUMBER(SEARCH("上",B4612)),ISNUMBER(SEARCH("去",B4612)),ISNUMBER(SEARCH("入",B4612)))),"Ambiguous",IF(ISNUMBER(SEARCH("平",B4612)),"平","仄")))</x:f>
        <x:v>仄</x:v>
      </x:c>
      <x:c r="K4612" s="6" t="str">
        <x:f>IF(D4612="","",IF(AND(ISNUMBER(SEARCH("平",D4612)),OR(ISNUMBER(SEARCH("上",D4612)),ISNUMBER(SEARCH("去",D4612)),ISNUMBER(SEARCH("入",D4612)))),"Ambiguous",IF(ISNUMBER(SEARCH("平",D4612)),"平","仄")))</x:f>
        <x:v>仄</x:v>
      </x:c>
      <x:c r="L4612" s="7" t="str"/>
    </x:row>
    <x:row r="4613">
      <x:c r="A4613" s="5" t="str">
        <x:v>顯</x:v>
      </x:c>
      <x:c r="B4613" s="6" t="str">
        <x:v>上</x:v>
      </x:c>
      <x:c r="C4613" s="6" t="str">
        <x:f>IF(B4613="","Needs decision","Ready")</x:f>
        <x:v>Ready</x:v>
      </x:c>
      <x:c r="D4613" s="6" t="str">
        <x:v>上</x:v>
      </x:c>
      <x:c r="E4613" s="6" t="str">
        <x:v>xenX (B)</x:v>
      </x:c>
      <x:c r="F4613" s="6" t="str">
        <x:v>上聲十六銑</x:v>
      </x:c>
      <x:c r="G4613" s="6" t="str">
        <x:v>Pingshui main list, Wikisource-derived DOCX</x:v>
      </x:c>
      <x:c r="H4613" s="6" t="str">
        <x:v>1</x:v>
      </x:c>
      <x:c r="I4613" s="6" t="str"/>
      <x:c r="J4613" s="6" t="str">
        <x:f>IF(B4613="","",IF(AND(ISNUMBER(SEARCH("平",B4613)),OR(ISNUMBER(SEARCH("上",B4613)),ISNUMBER(SEARCH("去",B4613)),ISNUMBER(SEARCH("入",B4613)))),"Ambiguous",IF(ISNUMBER(SEARCH("平",B4613)),"平","仄")))</x:f>
        <x:v>仄</x:v>
      </x:c>
      <x:c r="K4613" s="6" t="str">
        <x:f>IF(D4613="","",IF(AND(ISNUMBER(SEARCH("平",D4613)),OR(ISNUMBER(SEARCH("上",D4613)),ISNUMBER(SEARCH("去",D4613)),ISNUMBER(SEARCH("入",D4613)))),"Ambiguous",IF(ISNUMBER(SEARCH("平",D4613)),"平","仄")))</x:f>
        <x:v>仄</x:v>
      </x:c>
      <x:c r="L4613" s="7" t="str"/>
    </x:row>
    <x:row r="4614">
      <x:c r="A4614" s="5" t="str">
        <x:v>顰</x:v>
      </x:c>
      <x:c r="B4614" s="6" t="str">
        <x:v>平</x:v>
      </x:c>
      <x:c r="C4614" s="6" t="str">
        <x:f>IF(B4614="","Needs decision","Ready")</x:f>
        <x:v>Ready</x:v>
      </x:c>
      <x:c r="D4614" s="6" t="str">
        <x:v>平</x:v>
      </x:c>
      <x:c r="E4614" s="6" t="str">
        <x:v>bjin [bjin] (平)</x:v>
      </x:c>
      <x:c r="F4614" s="6" t="str">
        <x:v>上平聲十一真</x:v>
      </x:c>
      <x:c r="G4614" s="6" t="str">
        <x:v>Pingshui main list, Wikisource-derived DOCX</x:v>
      </x:c>
      <x:c r="H4614" s="6" t="str">
        <x:v>1</x:v>
      </x:c>
      <x:c r="I4614" s="6" t="str">
        <x:v>Tang 300 gap; frequency 2; provisional from Xun Gong</x:v>
      </x:c>
      <x:c r="J4614" s="6" t="str">
        <x:f>IF(B4614="","",IF(AND(ISNUMBER(SEARCH("平",B4614)),OR(ISNUMBER(SEARCH("上",B4614)),ISNUMBER(SEARCH("去",B4614)),ISNUMBER(SEARCH("入",B4614)))),"Ambiguous",IF(ISNUMBER(SEARCH("平",B4614)),"平","仄")))</x:f>
        <x:v>平</x:v>
      </x:c>
      <x:c r="K4614" s="6" t="str">
        <x:f>IF(D4614="","",IF(AND(ISNUMBER(SEARCH("平",D4614)),OR(ISNUMBER(SEARCH("上",D4614)),ISNUMBER(SEARCH("去",D4614)),ISNUMBER(SEARCH("入",D4614)))),"Ambiguous",IF(ISNUMBER(SEARCH("平",D4614)),"平","仄")))</x:f>
        <x:v>平</x:v>
      </x:c>
      <x:c r="L4614" s="7" t="str">
        <x:v>Xun Gong, Tang 300 gap fill</x:v>
      </x:c>
    </x:row>
    <x:row r="4615">
      <x:c r="A4615" s="5" t="str">
        <x:v>風</x:v>
      </x:c>
      <x:c r="B4615" s="6" t="str">
        <x:v>平</x:v>
      </x:c>
      <x:c r="C4615" s="6" t="str">
        <x:f>IF(B4615="","Needs decision","Ready")</x:f>
        <x:v>Ready</x:v>
      </x:c>
      <x:c r="D4615" s="6" t="str">
        <x:v>平/去</x:v>
      </x:c>
      <x:c r="E4615" s="6" t="str">
        <x:v>pjuwng (A); pjuwngH (C)</x:v>
      </x:c>
      <x:c r="F4615" s="6" t="str">
        <x:v>上平聲一東</x:v>
      </x:c>
      <x:c r="G4615" s="6" t="str">
        <x:v>Pingshui main list, Wikisource-derived DOCX</x:v>
      </x:c>
      <x:c r="H4615" s="6" t="str">
        <x:v>2</x:v>
      </x:c>
      <x:c r="I4615" s="6" t="str">
        <x:v>User workbook edit 2026-09-03</x:v>
      </x:c>
      <x:c r="J4615" s="6" t="str">
        <x:f>IF(B4615="","",IF(AND(ISNUMBER(SEARCH("平",B4615)),OR(ISNUMBER(SEARCH("上",B4615)),ISNUMBER(SEARCH("去",B4615)),ISNUMBER(SEARCH("入",B4615)))),"Ambiguous",IF(ISNUMBER(SEARCH("平",B4615)),"平","仄")))</x:f>
        <x:v>平</x:v>
      </x:c>
      <x:c r="K4615" s="6" t="str">
        <x:f>IF(D4615="","",IF(AND(ISNUMBER(SEARCH("平",D4615)),OR(ISNUMBER(SEARCH("上",D4615)),ISNUMBER(SEARCH("去",D4615)),ISNUMBER(SEARCH("入",D4615)))),"Ambiguous",IF(ISNUMBER(SEARCH("平",D4615)),"平","仄")))</x:f>
        <x:v>Ambiguous</x:v>
      </x:c>
      <x:c r="L4615" s="7" t="str">
        <x:v>manual user correction</x:v>
      </x:c>
    </x:row>
    <x:row r="4616">
      <x:c r="A4616" s="5" t="str">
        <x:v>颭</x:v>
      </x:c>
      <x:c r="B4616" s="6" t="str">
        <x:v>上</x:v>
      </x:c>
      <x:c r="C4616" s="6" t="str">
        <x:f>IF(B4616="","Needs decision","Ready")</x:f>
        <x:v>Ready</x:v>
      </x:c>
      <x:c r="D4616" s="6" t="str">
        <x:v>上</x:v>
      </x:c>
      <x:c r="E4616" s="6" t="str">
        <x:v>tsyemX [tɕemʔ] (上)</x:v>
      </x:c>
      <x:c r="F4616" s="6" t="str">
        <x:v>上聲二十八琰</x:v>
      </x:c>
      <x:c r="G4616" s="6" t="str">
        <x:v>Pingshui main list, Wikisource-derived DOCX</x:v>
      </x:c>
      <x:c r="H4616" s="6" t="str">
        <x:v>1</x:v>
      </x:c>
      <x:c r="I4616" s="6" t="str">
        <x:v>Tang 300 gap; frequency 1; provisional from Xun Gong</x:v>
      </x:c>
      <x:c r="J4616" s="6" t="str">
        <x:f>IF(B4616="","",IF(AND(ISNUMBER(SEARCH("平",B4616)),OR(ISNUMBER(SEARCH("上",B4616)),ISNUMBER(SEARCH("去",B4616)),ISNUMBER(SEARCH("入",B4616)))),"Ambiguous",IF(ISNUMBER(SEARCH("平",B4616)),"平","仄")))</x:f>
        <x:v>仄</x:v>
      </x:c>
      <x:c r="K4616" s="6" t="str">
        <x:f>IF(D4616="","",IF(AND(ISNUMBER(SEARCH("平",D4616)),OR(ISNUMBER(SEARCH("上",D4616)),ISNUMBER(SEARCH("去",D4616)),ISNUMBER(SEARCH("入",D4616)))),"Ambiguous",IF(ISNUMBER(SEARCH("平",D4616)),"平","仄")))</x:f>
        <x:v>仄</x:v>
      </x:c>
      <x:c r="L4616" s="7" t="str">
        <x:v>Xun Gong, Tang 300 gap fill</x:v>
      </x:c>
    </x:row>
    <x:row r="4617">
      <x:c r="A4617" s="5" t="str">
        <x:v>颯</x:v>
      </x:c>
      <x:c r="B4617" s="6" t="str">
        <x:v>入</x:v>
      </x:c>
      <x:c r="C4617" s="6" t="str">
        <x:f>IF(B4617="","Needs decision","Ready")</x:f>
        <x:v>Ready</x:v>
      </x:c>
      <x:c r="D4617" s="6" t="str">
        <x:v>入</x:v>
      </x:c>
      <x:c r="E4617" s="6" t="str"/>
      <x:c r="F4617" s="6" t="str">
        <x:v>入聲十五合</x:v>
      </x:c>
      <x:c r="G4617" s="6" t="str">
        <x:v>Pingshui main list, Wikisource-derived DOCX</x:v>
      </x:c>
      <x:c r="H4617" s="6" t="str"/>
      <x:c r="I4617" s="6" t="str">
        <x:v>Manual user correction/addition</x:v>
      </x:c>
      <x:c r="J4617" s="6" t="str">
        <x:f>IF(B4617="","",IF(AND(ISNUMBER(SEARCH("平",B4617)),OR(ISNUMBER(SEARCH("上",B4617)),ISNUMBER(SEARCH("去",B4617)),ISNUMBER(SEARCH("入",B4617)))),"Ambiguous",IF(ISNUMBER(SEARCH("平",B4617)),"平","仄")))</x:f>
        <x:v>仄</x:v>
      </x:c>
      <x:c r="K4617" s="6" t="str">
        <x:f>IF(D4617="","",IF(AND(ISNUMBER(SEARCH("平",D4617)),OR(ISNUMBER(SEARCH("上",D4617)),ISNUMBER(SEARCH("去",D4617)),ISNUMBER(SEARCH("入",D4617)))),"Ambiguous",IF(ISNUMBER(SEARCH("平",D4617)),"平","仄")))</x:f>
        <x:v>仄</x:v>
      </x:c>
      <x:c r="L4617" s="7" t="str">
        <x:v>manual user correction</x:v>
      </x:c>
    </x:row>
    <x:row r="4618">
      <x:c r="A4618" s="5" t="str">
        <x:v>颺</x:v>
      </x:c>
      <x:c r="B4618" s="6" t="str">
        <x:v>平</x:v>
      </x:c>
      <x:c r="C4618" s="6" t="str">
        <x:f>IF(B4618="","Needs decision","Ready")</x:f>
        <x:v>Ready</x:v>
      </x:c>
      <x:c r="D4618" s="6" t="str">
        <x:v>平</x:v>
      </x:c>
      <x:c r="E4618" s="6" t="str">
        <x:v>yang (A)</x:v>
      </x:c>
      <x:c r="F4618" s="6" t="str">
        <x:v>下平聲七陽; 去聲二十三漾</x:v>
      </x:c>
      <x:c r="G4618" s="6" t="str">
        <x:v>Pingshui main list, Wikisource-derived DOCX</x:v>
      </x:c>
      <x:c r="H4618" s="6" t="str">
        <x:v>1</x:v>
      </x:c>
      <x:c r="I4618" s="6" t="str"/>
      <x:c r="J4618" s="6" t="str">
        <x:f>IF(B4618="","",IF(AND(ISNUMBER(SEARCH("平",B4618)),OR(ISNUMBER(SEARCH("上",B4618)),ISNUMBER(SEARCH("去",B4618)),ISNUMBER(SEARCH("入",B4618)))),"Ambiguous",IF(ISNUMBER(SEARCH("平",B4618)),"平","仄")))</x:f>
        <x:v>平</x:v>
      </x:c>
      <x:c r="K4618" s="6" t="str">
        <x:f>IF(D4618="","",IF(AND(ISNUMBER(SEARCH("平",D4618)),OR(ISNUMBER(SEARCH("上",D4618)),ISNUMBER(SEARCH("去",D4618)),ISNUMBER(SEARCH("入",D4618)))),"Ambiguous",IF(ISNUMBER(SEARCH("平",D4618)),"平","仄")))</x:f>
        <x:v>平</x:v>
      </x:c>
      <x:c r="L4618" s="7" t="str"/>
    </x:row>
    <x:row r="4619">
      <x:c r="A4619" s="5" t="str">
        <x:v>颻</x:v>
      </x:c>
      <x:c r="B4619" s="6" t="str">
        <x:v>平</x:v>
      </x:c>
      <x:c r="C4619" s="6" t="str">
        <x:f>IF(B4619="","Needs decision","Ready")</x:f>
        <x:v>Ready</x:v>
      </x:c>
      <x:c r="D4619" s="6" t="str">
        <x:v>平</x:v>
      </x:c>
      <x:c r="E4619" s="6" t="str">
        <x:v>yew [jew] (平)</x:v>
      </x:c>
      <x:c r="F4619" s="6" t="str">
        <x:v>下平聲二蕭</x:v>
      </x:c>
      <x:c r="G4619" s="6" t="str">
        <x:v>Pingshui main list, Wikisource-derived DOCX</x:v>
      </x:c>
      <x:c r="H4619" s="6" t="str">
        <x:v>1</x:v>
      </x:c>
      <x:c r="I4619" s="6" t="str">
        <x:v>Tang 300 gap; frequency 1; provisional from Xun Gong</x:v>
      </x:c>
      <x:c r="J4619" s="6" t="str">
        <x:f>IF(B4619="","",IF(AND(ISNUMBER(SEARCH("平",B4619)),OR(ISNUMBER(SEARCH("上",B4619)),ISNUMBER(SEARCH("去",B4619)),ISNUMBER(SEARCH("入",B4619)))),"Ambiguous",IF(ISNUMBER(SEARCH("平",B4619)),"平","仄")))</x:f>
        <x:v>平</x:v>
      </x:c>
      <x:c r="K4619" s="6" t="str">
        <x:f>IF(D4619="","",IF(AND(ISNUMBER(SEARCH("平",D4619)),OR(ISNUMBER(SEARCH("上",D4619)),ISNUMBER(SEARCH("去",D4619)),ISNUMBER(SEARCH("入",D4619)))),"Ambiguous",IF(ISNUMBER(SEARCH("平",D4619)),"平","仄")))</x:f>
        <x:v>平</x:v>
      </x:c>
      <x:c r="L4619" s="7" t="str">
        <x:v>Xun Gong, Tang 300 gap fill</x:v>
      </x:c>
    </x:row>
    <x:row r="4620">
      <x:c r="A4620" s="5" t="str">
        <x:v>颼</x:v>
      </x:c>
      <x:c r="B4620" s="6" t="str">
        <x:v>平</x:v>
      </x:c>
      <x:c r="C4620" s="6" t="str">
        <x:f>IF(B4620="","Needs decision","Ready")</x:f>
        <x:v>Ready</x:v>
      </x:c>
      <x:c r="D4620" s="6" t="str">
        <x:v>平</x:v>
      </x:c>
      <x:c r="E4620" s="6" t="str">
        <x:v>srjuw [ʂɨ̯u] (平)</x:v>
      </x:c>
      <x:c r="F4620" s="6" t="str"/>
      <x:c r="G4620" s="6" t="str"/>
      <x:c r="H4620" s="6" t="str">
        <x:v>1</x:v>
      </x:c>
      <x:c r="I4620" s="6" t="str">
        <x:v>Tang 300 gap; frequency 1; provisional from Xun Gong</x:v>
      </x:c>
      <x:c r="J4620" s="6" t="str">
        <x:f>IF(B4620="","",IF(AND(ISNUMBER(SEARCH("平",B4620)),OR(ISNUMBER(SEARCH("上",B4620)),ISNUMBER(SEARCH("去",B4620)),ISNUMBER(SEARCH("入",B4620)))),"Ambiguous",IF(ISNUMBER(SEARCH("平",B4620)),"平","仄")))</x:f>
        <x:v>平</x:v>
      </x:c>
      <x:c r="K4620" s="6" t="str">
        <x:f>IF(D4620="","",IF(AND(ISNUMBER(SEARCH("平",D4620)),OR(ISNUMBER(SEARCH("上",D4620)),ISNUMBER(SEARCH("去",D4620)),ISNUMBER(SEARCH("入",D4620)))),"Ambiguous",IF(ISNUMBER(SEARCH("平",D4620)),"平","仄")))</x:f>
        <x:v>平</x:v>
      </x:c>
      <x:c r="L4620" s="7" t="str">
        <x:v>Xun Gong, Tang 300 gap fill</x:v>
      </x:c>
    </x:row>
    <x:row r="4621">
      <x:c r="A4621" s="5" t="str">
        <x:v>飀</x:v>
      </x:c>
      <x:c r="B4621" s="6" t="str">
        <x:v>平</x:v>
      </x:c>
      <x:c r="C4621" s="6" t="str">
        <x:f>IF(B4621="","Needs decision","Ready")</x:f>
        <x:v>Ready</x:v>
      </x:c>
      <x:c r="D4621" s="6" t="str">
        <x:v>平</x:v>
      </x:c>
      <x:c r="E4621" s="6" t="str">
        <x:v>ljuw [lju] (平)</x:v>
      </x:c>
      <x:c r="F4621" s="6" t="str"/>
      <x:c r="G4621" s="6" t="str"/>
      <x:c r="H4621" s="6" t="str">
        <x:v>1</x:v>
      </x:c>
      <x:c r="I4621" s="6" t="str">
        <x:v>Tang 300 gap; frequency 1; provisional from Xun Gong</x:v>
      </x:c>
      <x:c r="J4621" s="6" t="str">
        <x:f>IF(B4621="","",IF(AND(ISNUMBER(SEARCH("平",B4621)),OR(ISNUMBER(SEARCH("上",B4621)),ISNUMBER(SEARCH("去",B4621)),ISNUMBER(SEARCH("入",B4621)))),"Ambiguous",IF(ISNUMBER(SEARCH("平",B4621)),"平","仄")))</x:f>
        <x:v>平</x:v>
      </x:c>
      <x:c r="K4621" s="6" t="str">
        <x:f>IF(D4621="","",IF(AND(ISNUMBER(SEARCH("平",D4621)),OR(ISNUMBER(SEARCH("上",D4621)),ISNUMBER(SEARCH("去",D4621)),ISNUMBER(SEARCH("入",D4621)))),"Ambiguous",IF(ISNUMBER(SEARCH("平",D4621)),"平","仄")))</x:f>
        <x:v>平</x:v>
      </x:c>
      <x:c r="L4621" s="7" t="str">
        <x:v>Xun Gong, Tang 300 gap fill</x:v>
      </x:c>
    </x:row>
    <x:row r="4622">
      <x:c r="A4622" s="5" t="str">
        <x:v>飄</x:v>
      </x:c>
      <x:c r="B4622" s="6" t="str">
        <x:v>平</x:v>
      </x:c>
      <x:c r="C4622" s="6" t="str">
        <x:f>IF(B4622="","Needs decision","Ready")</x:f>
        <x:v>Ready</x:v>
      </x:c>
      <x:c r="D4622" s="6" t="str">
        <x:v>平</x:v>
      </x:c>
      <x:c r="E4622" s="6" t="str"/>
      <x:c r="F4622" s="6" t="str">
        <x:v>下平聲二蕭</x:v>
      </x:c>
      <x:c r="G4622" s="6" t="str">
        <x:v>Pingshui main list, Wikisource-derived DOCX</x:v>
      </x:c>
      <x:c r="H4622" s="6" t="str"/>
      <x:c r="I4622" s="6" t="str">
        <x:v>Manual user correction/addition</x:v>
      </x:c>
      <x:c r="J4622" s="6" t="str">
        <x:f>IF(B4622="","",IF(AND(ISNUMBER(SEARCH("平",B4622)),OR(ISNUMBER(SEARCH("上",B4622)),ISNUMBER(SEARCH("去",B4622)),ISNUMBER(SEARCH("入",B4622)))),"Ambiguous",IF(ISNUMBER(SEARCH("平",B4622)),"平","仄")))</x:f>
        <x:v>平</x:v>
      </x:c>
      <x:c r="K4622" s="6" t="str">
        <x:f>IF(D4622="","",IF(AND(ISNUMBER(SEARCH("平",D4622)),OR(ISNUMBER(SEARCH("上",D4622)),ISNUMBER(SEARCH("去",D4622)),ISNUMBER(SEARCH("入",D4622)))),"Ambiguous",IF(ISNUMBER(SEARCH("平",D4622)),"平","仄")))</x:f>
        <x:v>平</x:v>
      </x:c>
      <x:c r="L4622" s="7" t="str">
        <x:v>manual user correction</x:v>
      </x:c>
    </x:row>
    <x:row r="4623">
      <x:c r="A4623" s="5" t="str">
        <x:v>飆</x:v>
      </x:c>
      <x:c r="B4623" s="6" t="str">
        <x:v>平</x:v>
      </x:c>
      <x:c r="C4623" s="6" t="str">
        <x:f>IF(B4623="","Needs decision","Ready")</x:f>
        <x:v>Ready</x:v>
      </x:c>
      <x:c r="D4623" s="6" t="str">
        <x:v>平</x:v>
      </x:c>
      <x:c r="E4623" s="6" t="str">
        <x:v>pjiew [pjew] (平)</x:v>
      </x:c>
      <x:c r="F4623" s="6" t="str">
        <x:v>下平聲二蕭</x:v>
      </x:c>
      <x:c r="G4623" s="6" t="str">
        <x:v>Pingshui main list, Wikisource-derived DOCX</x:v>
      </x:c>
      <x:c r="H4623" s="6" t="str">
        <x:v>1</x:v>
      </x:c>
      <x:c r="I4623" s="6" t="str">
        <x:v>Tang 300 gap; frequency 1; provisional from Xun Gong</x:v>
      </x:c>
      <x:c r="J4623" s="6" t="str">
        <x:f>IF(B4623="","",IF(AND(ISNUMBER(SEARCH("平",B4623)),OR(ISNUMBER(SEARCH("上",B4623)),ISNUMBER(SEARCH("去",B4623)),ISNUMBER(SEARCH("入",B4623)))),"Ambiguous",IF(ISNUMBER(SEARCH("平",B4623)),"平","仄")))</x:f>
        <x:v>平</x:v>
      </x:c>
      <x:c r="K4623" s="6" t="str">
        <x:f>IF(D4623="","",IF(AND(ISNUMBER(SEARCH("平",D4623)),OR(ISNUMBER(SEARCH("上",D4623)),ISNUMBER(SEARCH("去",D4623)),ISNUMBER(SEARCH("入",D4623)))),"Ambiguous",IF(ISNUMBER(SEARCH("平",D4623)),"平","仄")))</x:f>
        <x:v>平</x:v>
      </x:c>
      <x:c r="L4623" s="7" t="str">
        <x:v>Xun Gong, Tang 300 gap fill</x:v>
      </x:c>
    </x:row>
    <x:row r="4624">
      <x:c r="A4624" s="5" t="str">
        <x:v>飈</x:v>
      </x:c>
      <x:c r="B4624" s="6" t="str"/>
      <x:c r="C4624" s="6" t="str">
        <x:f>IF(B4624="","Needs decision","Ready")</x:f>
        <x:v>Needs decision</x:v>
      </x:c>
      <x:c r="D4624" s="6" t="str"/>
      <x:c r="E4624" s="6" t="str"/>
      <x:c r="F4624" s="6" t="str"/>
      <x:c r="G4624" s="6" t="str"/>
      <x:c r="H4624" s="6" t="str"/>
      <x:c r="I4624" s="6" t="str">
        <x:v>Not found in Xun Gong source; needs manual lookup</x:v>
      </x:c>
      <x:c r="J4624" s="6" t="str">
        <x:f>IF(B4624="","",IF(AND(ISNUMBER(SEARCH("平",B4624)),OR(ISNUMBER(SEARCH("上",B4624)),ISNUMBER(SEARCH("去",B4624)),ISNUMBER(SEARCH("入",B4624)))),"Ambiguous",IF(ISNUMBER(SEARCH("平",B4624)),"平","仄")))</x:f>
      </x:c>
      <x:c r="K4624" s="6" t="str">
        <x:f>IF(D4624="","",IF(AND(ISNUMBER(SEARCH("平",D4624)),OR(ISNUMBER(SEARCH("上",D4624)),ISNUMBER(SEARCH("去",D4624)),ISNUMBER(SEARCH("入",D4624)))),"Ambiguous",IF(ISNUMBER(SEARCH("平",D4624)),"平","仄")))</x:f>
      </x:c>
      <x:c r="L4624" s="7" t="str"/>
    </x:row>
    <x:row r="4625">
      <x:c r="A4625" s="5" t="str">
        <x:v>飛</x:v>
      </x:c>
      <x:c r="B4625" s="6" t="str">
        <x:v>平</x:v>
      </x:c>
      <x:c r="C4625" s="6" t="str">
        <x:f>IF(B4625="","Needs decision","Ready")</x:f>
        <x:v>Ready</x:v>
      </x:c>
      <x:c r="D4625" s="6" t="str">
        <x:v>平</x:v>
      </x:c>
      <x:c r="E4625" s="6" t="str">
        <x:v>pj+j (A)</x:v>
      </x:c>
      <x:c r="F4625" s="6" t="str">
        <x:v>上平聲五微</x:v>
      </x:c>
      <x:c r="G4625" s="6" t="str">
        <x:v>Pingshui main list, Wikisource-derived DOCX</x:v>
      </x:c>
      <x:c r="H4625" s="6" t="str">
        <x:v>1</x:v>
      </x:c>
      <x:c r="I4625" s="6" t="str"/>
      <x:c r="J4625" s="6" t="str">
        <x:f>IF(B4625="","",IF(AND(ISNUMBER(SEARCH("平",B4625)),OR(ISNUMBER(SEARCH("上",B4625)),ISNUMBER(SEARCH("去",B4625)),ISNUMBER(SEARCH("入",B4625)))),"Ambiguous",IF(ISNUMBER(SEARCH("平",B4625)),"平","仄")))</x:f>
        <x:v>平</x:v>
      </x:c>
      <x:c r="K4625" s="6" t="str">
        <x:f>IF(D4625="","",IF(AND(ISNUMBER(SEARCH("平",D4625)),OR(ISNUMBER(SEARCH("上",D4625)),ISNUMBER(SEARCH("去",D4625)),ISNUMBER(SEARCH("入",D4625)))),"Ambiguous",IF(ISNUMBER(SEARCH("平",D4625)),"平","仄")))</x:f>
        <x:v>平</x:v>
      </x:c>
      <x:c r="L4625" s="7" t="str"/>
    </x:row>
    <x:row r="4626">
      <x:c r="A4626" s="5" t="str">
        <x:v>食</x:v>
      </x:c>
      <x:c r="B4626" s="6" t="str">
        <x:v>入</x:v>
      </x:c>
      <x:c r="C4626" s="6" t="str">
        <x:f>IF(B4626="","Needs decision","Ready")</x:f>
        <x:v>Ready</x:v>
      </x:c>
      <x:c r="D4626" s="6" t="str">
        <x:v>去/入</x:v>
      </x:c>
      <x:c r="E4626" s="6" t="str">
        <x:v>zyik (D); ziH (C)</x:v>
      </x:c>
      <x:c r="F4626" s="6" t="str">
        <x:v>去聲四寘; 入聲十三職</x:v>
      </x:c>
      <x:c r="G4626" s="6" t="str">
        <x:v>Pingshui main list, Wikisource-derived DOCX</x:v>
      </x:c>
      <x:c r="H4626" s="6" t="str">
        <x:v>2</x:v>
      </x:c>
      <x:c r="I4626" s="6" t="str">
        <x:v>User workbook edit 2026-09-03</x:v>
      </x:c>
      <x:c r="J4626" s="6" t="str">
        <x:f>IF(B4626="","",IF(AND(ISNUMBER(SEARCH("平",B4626)),OR(ISNUMBER(SEARCH("上",B4626)),ISNUMBER(SEARCH("去",B4626)),ISNUMBER(SEARCH("入",B4626)))),"Ambiguous",IF(ISNUMBER(SEARCH("平",B4626)),"平","仄")))</x:f>
        <x:v>仄</x:v>
      </x:c>
      <x:c r="K4626" s="6" t="str">
        <x:f>IF(D4626="","",IF(AND(ISNUMBER(SEARCH("平",D4626)),OR(ISNUMBER(SEARCH("上",D4626)),ISNUMBER(SEARCH("去",D4626)),ISNUMBER(SEARCH("入",D4626)))),"Ambiguous",IF(ISNUMBER(SEARCH("平",D4626)),"平","仄")))</x:f>
        <x:v>仄</x:v>
      </x:c>
      <x:c r="L4626" s="7" t="str">
        <x:v>manual user correction</x:v>
      </x:c>
    </x:row>
    <x:row r="4627">
      <x:c r="A4627" s="5" t="str">
        <x:v>飢</x:v>
      </x:c>
      <x:c r="B4627" s="6" t="str">
        <x:v>平</x:v>
      </x:c>
      <x:c r="C4627" s="6" t="str">
        <x:f>IF(B4627="","Needs decision","Ready")</x:f>
        <x:v>Ready</x:v>
      </x:c>
      <x:c r="D4627" s="6" t="str">
        <x:v>平</x:v>
      </x:c>
      <x:c r="E4627" s="6" t="str">
        <x:v>kij (A)</x:v>
      </x:c>
      <x:c r="F4627" s="6" t="str">
        <x:v>上平聲四支</x:v>
      </x:c>
      <x:c r="G4627" s="6" t="str">
        <x:v>Pingshui main list, Wikisource-derived DOCX</x:v>
      </x:c>
      <x:c r="H4627" s="6" t="str">
        <x:v>1</x:v>
      </x:c>
      <x:c r="I4627" s="6" t="str"/>
      <x:c r="J4627" s="6" t="str">
        <x:f>IF(B4627="","",IF(AND(ISNUMBER(SEARCH("平",B4627)),OR(ISNUMBER(SEARCH("上",B4627)),ISNUMBER(SEARCH("去",B4627)),ISNUMBER(SEARCH("入",B4627)))),"Ambiguous",IF(ISNUMBER(SEARCH("平",B4627)),"平","仄")))</x:f>
        <x:v>平</x:v>
      </x:c>
      <x:c r="K4627" s="6" t="str">
        <x:f>IF(D4627="","",IF(AND(ISNUMBER(SEARCH("平",D4627)),OR(ISNUMBER(SEARCH("上",D4627)),ISNUMBER(SEARCH("去",D4627)),ISNUMBER(SEARCH("入",D4627)))),"Ambiguous",IF(ISNUMBER(SEARCH("平",D4627)),"平","仄")))</x:f>
        <x:v>平</x:v>
      </x:c>
      <x:c r="L4627" s="7" t="str"/>
    </x:row>
    <x:row r="4628">
      <x:c r="A4628" s="5" t="str">
        <x:v>飤</x:v>
      </x:c>
      <x:c r="B4628" s="6" t="str">
        <x:v>去</x:v>
      </x:c>
      <x:c r="C4628" s="6" t="str">
        <x:f>IF(B4628="","Needs decision","Ready")</x:f>
        <x:v>Ready</x:v>
      </x:c>
      <x:c r="D4628" s="6" t="str">
        <x:v>去</x:v>
      </x:c>
      <x:c r="E4628" s="6" t="str">
        <x:v>ziH (C)</x:v>
      </x:c>
      <x:c r="F4628" s="6" t="str"/>
      <x:c r="G4628" s="6" t="str"/>
      <x:c r="H4628" s="6" t="str">
        <x:v>1</x:v>
      </x:c>
      <x:c r="I4628" s="6" t="str"/>
      <x:c r="J4628" s="6" t="str">
        <x:f>IF(B4628="","",IF(AND(ISNUMBER(SEARCH("平",B4628)),OR(ISNUMBER(SEARCH("上",B4628)),ISNUMBER(SEARCH("去",B4628)),ISNUMBER(SEARCH("入",B4628)))),"Ambiguous",IF(ISNUMBER(SEARCH("平",B4628)),"平","仄")))</x:f>
        <x:v>仄</x:v>
      </x:c>
      <x:c r="K4628" s="6" t="str">
        <x:f>IF(D4628="","",IF(AND(ISNUMBER(SEARCH("平",D4628)),OR(ISNUMBER(SEARCH("上",D4628)),ISNUMBER(SEARCH("去",D4628)),ISNUMBER(SEARCH("入",D4628)))),"Ambiguous",IF(ISNUMBER(SEARCH("平",D4628)),"平","仄")))</x:f>
        <x:v>仄</x:v>
      </x:c>
      <x:c r="L4628" s="7" t="str"/>
    </x:row>
    <x:row r="4629">
      <x:c r="A4629" s="5" t="str">
        <x:v>飦</x:v>
      </x:c>
      <x:c r="B4629" s="6" t="str">
        <x:v>平</x:v>
      </x:c>
      <x:c r="C4629" s="6" t="str">
        <x:f>IF(B4629="","Needs decision","Ready")</x:f>
        <x:v>Ready</x:v>
      </x:c>
      <x:c r="D4629" s="6" t="str">
        <x:v>平</x:v>
      </x:c>
      <x:c r="E4629" s="6" t="str">
        <x:v>kan (A)</x:v>
      </x:c>
      <x:c r="F4629" s="6" t="str"/>
      <x:c r="G4629" s="6" t="str"/>
      <x:c r="H4629" s="6" t="str">
        <x:v>1</x:v>
      </x:c>
      <x:c r="I4629" s="6" t="str"/>
      <x:c r="J4629" s="6" t="str">
        <x:f>IF(B4629="","",IF(AND(ISNUMBER(SEARCH("平",B4629)),OR(ISNUMBER(SEARCH("上",B4629)),ISNUMBER(SEARCH("去",B4629)),ISNUMBER(SEARCH("入",B4629)))),"Ambiguous",IF(ISNUMBER(SEARCH("平",B4629)),"平","仄")))</x:f>
        <x:v>平</x:v>
      </x:c>
      <x:c r="K4629" s="6" t="str">
        <x:f>IF(D4629="","",IF(AND(ISNUMBER(SEARCH("平",D4629)),OR(ISNUMBER(SEARCH("上",D4629)),ISNUMBER(SEARCH("去",D4629)),ISNUMBER(SEARCH("入",D4629)))),"Ambiguous",IF(ISNUMBER(SEARCH("平",D4629)),"平","仄")))</x:f>
        <x:v>平</x:v>
      </x:c>
      <x:c r="L4629" s="7" t="str"/>
    </x:row>
    <x:row r="4630">
      <x:c r="A4630" s="5" t="str">
        <x:v>飧</x:v>
      </x:c>
      <x:c r="B4630" s="6" t="str">
        <x:v>平</x:v>
      </x:c>
      <x:c r="C4630" s="6" t="str">
        <x:f>IF(B4630="","Needs decision","Ready")</x:f>
        <x:v>Ready</x:v>
      </x:c>
      <x:c r="D4630" s="6" t="str">
        <x:v>平</x:v>
      </x:c>
      <x:c r="E4630" s="6" t="str">
        <x:v>swon (A)</x:v>
      </x:c>
      <x:c r="F4630" s="6" t="str">
        <x:v>上平聲十三元</x:v>
      </x:c>
      <x:c r="G4630" s="6" t="str">
        <x:v>Pingshui main list, Wikisource-derived DOCX</x:v>
      </x:c>
      <x:c r="H4630" s="6" t="str">
        <x:v>1</x:v>
      </x:c>
      <x:c r="I4630" s="6" t="str"/>
      <x:c r="J4630" s="6" t="str">
        <x:f>IF(B4630="","",IF(AND(ISNUMBER(SEARCH("平",B4630)),OR(ISNUMBER(SEARCH("上",B4630)),ISNUMBER(SEARCH("去",B4630)),ISNUMBER(SEARCH("入",B4630)))),"Ambiguous",IF(ISNUMBER(SEARCH("平",B4630)),"平","仄")))</x:f>
        <x:v>平</x:v>
      </x:c>
      <x:c r="K4630" s="6" t="str">
        <x:f>IF(D4630="","",IF(AND(ISNUMBER(SEARCH("平",D4630)),OR(ISNUMBER(SEARCH("上",D4630)),ISNUMBER(SEARCH("去",D4630)),ISNUMBER(SEARCH("入",D4630)))),"Ambiguous",IF(ISNUMBER(SEARCH("平",D4630)),"平","仄")))</x:f>
        <x:v>平</x:v>
      </x:c>
      <x:c r="L4630" s="7" t="str"/>
    </x:row>
    <x:row r="4631">
      <x:c r="A4631" s="5" t="str">
        <x:v>飪</x:v>
      </x:c>
      <x:c r="B4631" s="6" t="str">
        <x:v>上</x:v>
      </x:c>
      <x:c r="C4631" s="6" t="str">
        <x:f>IF(B4631="","Needs decision","Ready")</x:f>
        <x:v>Ready</x:v>
      </x:c>
      <x:c r="D4631" s="6" t="str">
        <x:v>上</x:v>
      </x:c>
      <x:c r="E4631" s="6" t="str">
        <x:v>nyimX (B)</x:v>
      </x:c>
      <x:c r="F4631" s="6" t="str">
        <x:v>上聲二十六寢</x:v>
      </x:c>
      <x:c r="G4631" s="6" t="str">
        <x:v>Pingshui main list, Wikisource-derived DOCX</x:v>
      </x:c>
      <x:c r="H4631" s="6" t="str">
        <x:v>1</x:v>
      </x:c>
      <x:c r="I4631" s="6" t="str"/>
      <x:c r="J4631" s="6" t="str">
        <x:f>IF(B4631="","",IF(AND(ISNUMBER(SEARCH("平",B4631)),OR(ISNUMBER(SEARCH("上",B4631)),ISNUMBER(SEARCH("去",B4631)),ISNUMBER(SEARCH("入",B4631)))),"Ambiguous",IF(ISNUMBER(SEARCH("平",B4631)),"平","仄")))</x:f>
        <x:v>仄</x:v>
      </x:c>
      <x:c r="K4631" s="6" t="str">
        <x:f>IF(D4631="","",IF(AND(ISNUMBER(SEARCH("平",D4631)),OR(ISNUMBER(SEARCH("上",D4631)),ISNUMBER(SEARCH("去",D4631)),ISNUMBER(SEARCH("入",D4631)))),"Ambiguous",IF(ISNUMBER(SEARCH("平",D4631)),"平","仄")))</x:f>
        <x:v>仄</x:v>
      </x:c>
      <x:c r="L4631" s="7" t="str"/>
    </x:row>
    <x:row r="4632">
      <x:c r="A4632" s="5" t="str">
        <x:v>飫</x:v>
      </x:c>
      <x:c r="B4632" s="6" t="str">
        <x:v>去</x:v>
      </x:c>
      <x:c r="C4632" s="6" t="str">
        <x:f>IF(B4632="","Needs decision","Ready")</x:f>
        <x:v>Ready</x:v>
      </x:c>
      <x:c r="D4632" s="6" t="str">
        <x:v>去</x:v>
      </x:c>
      <x:c r="E4632" s="6" t="str">
        <x:v>'joH [ʔɨ̯əh] (去)</x:v>
      </x:c>
      <x:c r="F4632" s="6" t="str">
        <x:v>去聲六御</x:v>
      </x:c>
      <x:c r="G4632" s="6" t="str">
        <x:v>Pingshui main list, Wikisource-derived DOCX</x:v>
      </x:c>
      <x:c r="H4632" s="6" t="str">
        <x:v>1</x:v>
      </x:c>
      <x:c r="I4632" s="6" t="str">
        <x:v>Tang 300 gap; frequency 1; provisional from Xun Gong</x:v>
      </x:c>
      <x:c r="J4632" s="6" t="str">
        <x:f>IF(B4632="","",IF(AND(ISNUMBER(SEARCH("平",B4632)),OR(ISNUMBER(SEARCH("上",B4632)),ISNUMBER(SEARCH("去",B4632)),ISNUMBER(SEARCH("入",B4632)))),"Ambiguous",IF(ISNUMBER(SEARCH("平",B4632)),"平","仄")))</x:f>
        <x:v>仄</x:v>
      </x:c>
      <x:c r="K4632" s="6" t="str">
        <x:f>IF(D4632="","",IF(AND(ISNUMBER(SEARCH("平",D4632)),OR(ISNUMBER(SEARCH("上",D4632)),ISNUMBER(SEARCH("去",D4632)),ISNUMBER(SEARCH("入",D4632)))),"Ambiguous",IF(ISNUMBER(SEARCH("平",D4632)),"平","仄")))</x:f>
        <x:v>仄</x:v>
      </x:c>
      <x:c r="L4632" s="7" t="str">
        <x:v>Xun Gong, Tang 300 gap fill</x:v>
      </x:c>
    </x:row>
    <x:row r="4633">
      <x:c r="A4633" s="5" t="str">
        <x:v>飯</x:v>
      </x:c>
      <x:c r="B4633" s="6" t="str"/>
      <x:c r="C4633" s="6" t="str">
        <x:f>IF(B4633="","Needs decision","Ready")</x:f>
        <x:v>Needs decision</x:v>
      </x:c>
      <x:c r="D4633" s="6" t="str">
        <x:v>上/去</x:v>
      </x:c>
      <x:c r="E4633" s="6" t="str">
        <x:v>bjonX (B); bjonH (C)</x:v>
      </x:c>
      <x:c r="F4633" s="6" t="str">
        <x:v>上聲十三阮; 去聲十四願</x:v>
      </x:c>
      <x:c r="G4633" s="6" t="str">
        <x:v>Pingshui main list, Wikisource-derived DOCX</x:v>
      </x:c>
      <x:c r="H4633" s="6" t="str">
        <x:v>2</x:v>
      </x:c>
      <x:c r="I4633" s="6" t="str"/>
      <x:c r="J4633" s="6" t="str">
        <x:f>IF(B4633="","",IF(AND(ISNUMBER(SEARCH("平",B4633)),OR(ISNUMBER(SEARCH("上",B4633)),ISNUMBER(SEARCH("去",B4633)),ISNUMBER(SEARCH("入",B4633)))),"Ambiguous",IF(ISNUMBER(SEARCH("平",B4633)),"平","仄")))</x:f>
      </x:c>
      <x:c r="K4633" s="6" t="str">
        <x:f>IF(D4633="","",IF(AND(ISNUMBER(SEARCH("平",D4633)),OR(ISNUMBER(SEARCH("上",D4633)),ISNUMBER(SEARCH("去",D4633)),ISNUMBER(SEARCH("入",D4633)))),"Ambiguous",IF(ISNUMBER(SEARCH("平",D4633)),"平","仄")))</x:f>
        <x:v>仄</x:v>
      </x:c>
      <x:c r="L4633" s="7" t="str"/>
    </x:row>
    <x:row r="4634">
      <x:c r="A4634" s="5" t="str">
        <x:v>飲</x:v>
      </x:c>
      <x:c r="B4634" s="6" t="str">
        <x:v>上</x:v>
      </x:c>
      <x:c r="C4634" s="6" t="str">
        <x:f>IF(B4634="","Needs decision","Ready")</x:f>
        <x:v>Ready</x:v>
      </x:c>
      <x:c r="D4634" s="6" t="str">
        <x:v>上/去</x:v>
      </x:c>
      <x:c r="E4634" s="6" t="str">
        <x:v>'imX (B); 'imH (C)</x:v>
      </x:c>
      <x:c r="F4634" s="6" t="str">
        <x:v>上聲二十六寢; 去聲二十七沁</x:v>
      </x:c>
      <x:c r="G4634" s="6" t="str">
        <x:v>Pingshui main list, Wikisource-derived DOCX</x:v>
      </x:c>
      <x:c r="H4634" s="6" t="str">
        <x:v>2</x:v>
      </x:c>
      <x:c r="I4634" s="6" t="str">
        <x:v>User workbook edit 2026-09-03</x:v>
      </x:c>
      <x:c r="J4634" s="6" t="str">
        <x:f>IF(B4634="","",IF(AND(ISNUMBER(SEARCH("平",B4634)),OR(ISNUMBER(SEARCH("上",B4634)),ISNUMBER(SEARCH("去",B4634)),ISNUMBER(SEARCH("入",B4634)))),"Ambiguous",IF(ISNUMBER(SEARCH("平",B4634)),"平","仄")))</x:f>
        <x:v>仄</x:v>
      </x:c>
      <x:c r="K4634" s="6" t="str">
        <x:f>IF(D4634="","",IF(AND(ISNUMBER(SEARCH("平",D4634)),OR(ISNUMBER(SEARCH("上",D4634)),ISNUMBER(SEARCH("去",D4634)),ISNUMBER(SEARCH("入",D4634)))),"Ambiguous",IF(ISNUMBER(SEARCH("平",D4634)),"平","仄")))</x:f>
        <x:v>仄</x:v>
      </x:c>
      <x:c r="L4634" s="7" t="str">
        <x:v>manual user correction</x:v>
      </x:c>
    </x:row>
    <x:row r="4635">
      <x:c r="A4635" s="5" t="str">
        <x:v>飼</x:v>
      </x:c>
      <x:c r="B4635" s="6" t="str">
        <x:v>去</x:v>
      </x:c>
      <x:c r="C4635" s="6" t="str">
        <x:f>IF(B4635="","Needs decision","Ready")</x:f>
        <x:v>Ready</x:v>
      </x:c>
      <x:c r="D4635" s="6" t="str">
        <x:v>去</x:v>
      </x:c>
      <x:c r="E4635" s="6" t="str">
        <x:v>ziH (C)</x:v>
      </x:c>
      <x:c r="F4635" s="6" t="str">
        <x:v>去聲四寘</x:v>
      </x:c>
      <x:c r="G4635" s="6" t="str">
        <x:v>Pingshui main list, Wikisource-derived DOCX</x:v>
      </x:c>
      <x:c r="H4635" s="6" t="str">
        <x:v>1</x:v>
      </x:c>
      <x:c r="I4635" s="6" t="str"/>
      <x:c r="J4635" s="6" t="str">
        <x:f>IF(B4635="","",IF(AND(ISNUMBER(SEARCH("平",B4635)),OR(ISNUMBER(SEARCH("上",B4635)),ISNUMBER(SEARCH("去",B4635)),ISNUMBER(SEARCH("入",B4635)))),"Ambiguous",IF(ISNUMBER(SEARCH("平",B4635)),"平","仄")))</x:f>
        <x:v>仄</x:v>
      </x:c>
      <x:c r="K4635" s="6" t="str">
        <x:f>IF(D4635="","",IF(AND(ISNUMBER(SEARCH("平",D4635)),OR(ISNUMBER(SEARCH("上",D4635)),ISNUMBER(SEARCH("去",D4635)),ISNUMBER(SEARCH("入",D4635)))),"Ambiguous",IF(ISNUMBER(SEARCH("平",D4635)),"平","仄")))</x:f>
        <x:v>仄</x:v>
      </x:c>
      <x:c r="L4635" s="7" t="str"/>
    </x:row>
    <x:row r="4636">
      <x:c r="A4636" s="5" t="str">
        <x:v>飽</x:v>
      </x:c>
      <x:c r="B4636" s="6" t="str">
        <x:v>上</x:v>
      </x:c>
      <x:c r="C4636" s="6" t="str">
        <x:f>IF(B4636="","Needs decision","Ready")</x:f>
        <x:v>Ready</x:v>
      </x:c>
      <x:c r="D4636" s="6" t="str">
        <x:v>上</x:v>
      </x:c>
      <x:c r="E4636" s="6" t="str">
        <x:v>paewX (B)</x:v>
      </x:c>
      <x:c r="F4636" s="6" t="str">
        <x:v>上聲十八巧</x:v>
      </x:c>
      <x:c r="G4636" s="6" t="str">
        <x:v>Pingshui main list, Wikisource-derived DOCX</x:v>
      </x:c>
      <x:c r="H4636" s="6" t="str">
        <x:v>1</x:v>
      </x:c>
      <x:c r="I4636" s="6" t="str"/>
      <x:c r="J4636" s="6" t="str">
        <x:f>IF(B4636="","",IF(AND(ISNUMBER(SEARCH("平",B4636)),OR(ISNUMBER(SEARCH("上",B4636)),ISNUMBER(SEARCH("去",B4636)),ISNUMBER(SEARCH("入",B4636)))),"Ambiguous",IF(ISNUMBER(SEARCH("平",B4636)),"平","仄")))</x:f>
        <x:v>仄</x:v>
      </x:c>
      <x:c r="K4636" s="6" t="str">
        <x:f>IF(D4636="","",IF(AND(ISNUMBER(SEARCH("平",D4636)),OR(ISNUMBER(SEARCH("上",D4636)),ISNUMBER(SEARCH("去",D4636)),ISNUMBER(SEARCH("入",D4636)))),"Ambiguous",IF(ISNUMBER(SEARCH("平",D4636)),"平","仄")))</x:f>
        <x:v>仄</x:v>
      </x:c>
      <x:c r="L4636" s="7" t="str"/>
    </x:row>
    <x:row r="4637">
      <x:c r="A4637" s="5" t="str">
        <x:v>飾</x:v>
      </x:c>
      <x:c r="B4637" s="6" t="str">
        <x:v>入</x:v>
      </x:c>
      <x:c r="C4637" s="6" t="str">
        <x:f>IF(B4637="","Needs decision","Ready")</x:f>
        <x:v>Ready</x:v>
      </x:c>
      <x:c r="D4637" s="6" t="str">
        <x:v>入</x:v>
      </x:c>
      <x:c r="E4637" s="6" t="str">
        <x:v>syik (D)</x:v>
      </x:c>
      <x:c r="F4637" s="6" t="str">
        <x:v>入聲十三職</x:v>
      </x:c>
      <x:c r="G4637" s="6" t="str">
        <x:v>Pingshui main list, Wikisource-derived DOCX</x:v>
      </x:c>
      <x:c r="H4637" s="6" t="str">
        <x:v>1</x:v>
      </x:c>
      <x:c r="I4637" s="6" t="str"/>
      <x:c r="J4637" s="6" t="str">
        <x:f>IF(B4637="","",IF(AND(ISNUMBER(SEARCH("平",B4637)),OR(ISNUMBER(SEARCH("上",B4637)),ISNUMBER(SEARCH("去",B4637)),ISNUMBER(SEARCH("入",B4637)))),"Ambiguous",IF(ISNUMBER(SEARCH("平",B4637)),"平","仄")))</x:f>
        <x:v>仄</x:v>
      </x:c>
      <x:c r="K4637" s="6" t="str">
        <x:f>IF(D4637="","",IF(AND(ISNUMBER(SEARCH("平",D4637)),OR(ISNUMBER(SEARCH("上",D4637)),ISNUMBER(SEARCH("去",D4637)),ISNUMBER(SEARCH("入",D4637)))),"Ambiguous",IF(ISNUMBER(SEARCH("平",D4637)),"平","仄")))</x:f>
        <x:v>仄</x:v>
      </x:c>
      <x:c r="L4637" s="7" t="str"/>
    </x:row>
    <x:row r="4638">
      <x:c r="A4638" s="5" t="str">
        <x:v>餅</x:v>
      </x:c>
      <x:c r="B4638" s="6" t="str">
        <x:v>上</x:v>
      </x:c>
      <x:c r="C4638" s="6" t="str">
        <x:f>IF(B4638="","Needs decision","Ready")</x:f>
        <x:v>Ready</x:v>
      </x:c>
      <x:c r="D4638" s="6" t="str">
        <x:v>上</x:v>
      </x:c>
      <x:c r="E4638" s="6" t="str">
        <x:v>pjiengX (B)</x:v>
      </x:c>
      <x:c r="F4638" s="6" t="str">
        <x:v>上聲二十三梗</x:v>
      </x:c>
      <x:c r="G4638" s="6" t="str">
        <x:v>Pingshui main list, Wikisource-derived DOCX</x:v>
      </x:c>
      <x:c r="H4638" s="6" t="str">
        <x:v>1</x:v>
      </x:c>
      <x:c r="I4638" s="6" t="str"/>
      <x:c r="J4638" s="6" t="str">
        <x:f>IF(B4638="","",IF(AND(ISNUMBER(SEARCH("平",B4638)),OR(ISNUMBER(SEARCH("上",B4638)),ISNUMBER(SEARCH("去",B4638)),ISNUMBER(SEARCH("入",B4638)))),"Ambiguous",IF(ISNUMBER(SEARCH("平",B4638)),"平","仄")))</x:f>
        <x:v>仄</x:v>
      </x:c>
      <x:c r="K4638" s="6" t="str">
        <x:f>IF(D4638="","",IF(AND(ISNUMBER(SEARCH("平",D4638)),OR(ISNUMBER(SEARCH("上",D4638)),ISNUMBER(SEARCH("去",D4638)),ISNUMBER(SEARCH("入",D4638)))),"Ambiguous",IF(ISNUMBER(SEARCH("平",D4638)),"平","仄")))</x:f>
        <x:v>仄</x:v>
      </x:c>
      <x:c r="L4638" s="7" t="str"/>
    </x:row>
    <x:row r="4639">
      <x:c r="A4639" s="5" t="str">
        <x:v>餈</x:v>
      </x:c>
      <x:c r="B4639" s="6" t="str">
        <x:v>平</x:v>
      </x:c>
      <x:c r="C4639" s="6" t="str">
        <x:f>IF(B4639="","Needs decision","Ready")</x:f>
        <x:v>Ready</x:v>
      </x:c>
      <x:c r="D4639" s="6" t="str">
        <x:v>平</x:v>
      </x:c>
      <x:c r="E4639" s="6" t="str">
        <x:v>dzij (A)</x:v>
      </x:c>
      <x:c r="F4639" s="6" t="str">
        <x:v>上平聲四支</x:v>
      </x:c>
      <x:c r="G4639" s="6" t="str">
        <x:v>Pingshui main list, Wikisource-derived DOCX</x:v>
      </x:c>
      <x:c r="H4639" s="6" t="str">
        <x:v>1</x:v>
      </x:c>
      <x:c r="I4639" s="6" t="str"/>
      <x:c r="J4639" s="6" t="str">
        <x:f>IF(B4639="","",IF(AND(ISNUMBER(SEARCH("平",B4639)),OR(ISNUMBER(SEARCH("上",B4639)),ISNUMBER(SEARCH("去",B4639)),ISNUMBER(SEARCH("入",B4639)))),"Ambiguous",IF(ISNUMBER(SEARCH("平",B4639)),"平","仄")))</x:f>
        <x:v>平</x:v>
      </x:c>
      <x:c r="K4639" s="6" t="str">
        <x:f>IF(D4639="","",IF(AND(ISNUMBER(SEARCH("平",D4639)),OR(ISNUMBER(SEARCH("上",D4639)),ISNUMBER(SEARCH("去",D4639)),ISNUMBER(SEARCH("入",D4639)))),"Ambiguous",IF(ISNUMBER(SEARCH("平",D4639)),"平","仄")))</x:f>
        <x:v>平</x:v>
      </x:c>
      <x:c r="L4639" s="7" t="str"/>
    </x:row>
    <x:row r="4640">
      <x:c r="A4640" s="5" t="str">
        <x:v>餉</x:v>
      </x:c>
      <x:c r="B4640" s="6" t="str">
        <x:v>去</x:v>
      </x:c>
      <x:c r="C4640" s="6" t="str">
        <x:f>IF(B4640="","Needs decision","Ready")</x:f>
        <x:v>Ready</x:v>
      </x:c>
      <x:c r="D4640" s="6" t="str">
        <x:v>去</x:v>
      </x:c>
      <x:c r="E4640" s="6" t="str">
        <x:v>syangH (C)</x:v>
      </x:c>
      <x:c r="F4640" s="6" t="str">
        <x:v>去聲二十三漾</x:v>
      </x:c>
      <x:c r="G4640" s="6" t="str">
        <x:v>Pingshui main list, Wikisource-derived DOCX</x:v>
      </x:c>
      <x:c r="H4640" s="6" t="str">
        <x:v>1</x:v>
      </x:c>
      <x:c r="I4640" s="6" t="str"/>
      <x:c r="J4640" s="6" t="str">
        <x:f>IF(B4640="","",IF(AND(ISNUMBER(SEARCH("平",B4640)),OR(ISNUMBER(SEARCH("上",B4640)),ISNUMBER(SEARCH("去",B4640)),ISNUMBER(SEARCH("入",B4640)))),"Ambiguous",IF(ISNUMBER(SEARCH("平",B4640)),"平","仄")))</x:f>
        <x:v>仄</x:v>
      </x:c>
      <x:c r="K4640" s="6" t="str">
        <x:f>IF(D4640="","",IF(AND(ISNUMBER(SEARCH("平",D4640)),OR(ISNUMBER(SEARCH("上",D4640)),ISNUMBER(SEARCH("去",D4640)),ISNUMBER(SEARCH("入",D4640)))),"Ambiguous",IF(ISNUMBER(SEARCH("平",D4640)),"平","仄")))</x:f>
        <x:v>仄</x:v>
      </x:c>
      <x:c r="L4640" s="7" t="str"/>
    </x:row>
    <x:row r="4641">
      <x:c r="A4641" s="5" t="str">
        <x:v>養</x:v>
      </x:c>
      <x:c r="B4641" s="6" t="str">
        <x:v>上</x:v>
      </x:c>
      <x:c r="C4641" s="6" t="str">
        <x:f>IF(B4641="","Needs decision","Ready")</x:f>
        <x:v>Ready</x:v>
      </x:c>
      <x:c r="D4641" s="6" t="str">
        <x:v>上</x:v>
      </x:c>
      <x:c r="E4641" s="6" t="str">
        <x:v>yangX (B)</x:v>
      </x:c>
      <x:c r="F4641" s="6" t="str">
        <x:v>上聲二十二養; 去聲二十三漾</x:v>
      </x:c>
      <x:c r="G4641" s="6" t="str">
        <x:v>Pingshui main list, Wikisource-derived DOCX</x:v>
      </x:c>
      <x:c r="H4641" s="6" t="str">
        <x:v>1</x:v>
      </x:c>
      <x:c r="I4641" s="6" t="str"/>
      <x:c r="J4641" s="6" t="str">
        <x:f>IF(B4641="","",IF(AND(ISNUMBER(SEARCH("平",B4641)),OR(ISNUMBER(SEARCH("上",B4641)),ISNUMBER(SEARCH("去",B4641)),ISNUMBER(SEARCH("入",B4641)))),"Ambiguous",IF(ISNUMBER(SEARCH("平",B4641)),"平","仄")))</x:f>
        <x:v>仄</x:v>
      </x:c>
      <x:c r="K4641" s="6" t="str">
        <x:f>IF(D4641="","",IF(AND(ISNUMBER(SEARCH("平",D4641)),OR(ISNUMBER(SEARCH("上",D4641)),ISNUMBER(SEARCH("去",D4641)),ISNUMBER(SEARCH("入",D4641)))),"Ambiguous",IF(ISNUMBER(SEARCH("平",D4641)),"平","仄")))</x:f>
        <x:v>仄</x:v>
      </x:c>
      <x:c r="L4641" s="7" t="str"/>
    </x:row>
    <x:row r="4642">
      <x:c r="A4642" s="5" t="str">
        <x:v>餌</x:v>
      </x:c>
      <x:c r="B4642" s="6" t="str">
        <x:v>去</x:v>
      </x:c>
      <x:c r="C4642" s="6" t="str">
        <x:f>IF(B4642="","Needs decision","Ready")</x:f>
        <x:v>Ready</x:v>
      </x:c>
      <x:c r="D4642" s="6" t="str">
        <x:v>去</x:v>
      </x:c>
      <x:c r="E4642" s="6" t="str">
        <x:v>nyiH (C)</x:v>
      </x:c>
      <x:c r="F4642" s="6" t="str">
        <x:v>去聲四寘</x:v>
      </x:c>
      <x:c r="G4642" s="6" t="str">
        <x:v>Pingshui main list, Wikisource-derived DOCX</x:v>
      </x:c>
      <x:c r="H4642" s="6" t="str">
        <x:v>1</x:v>
      </x:c>
      <x:c r="I4642" s="6" t="str"/>
      <x:c r="J4642" s="6" t="str">
        <x:f>IF(B4642="","",IF(AND(ISNUMBER(SEARCH("平",B4642)),OR(ISNUMBER(SEARCH("上",B4642)),ISNUMBER(SEARCH("去",B4642)),ISNUMBER(SEARCH("入",B4642)))),"Ambiguous",IF(ISNUMBER(SEARCH("平",B4642)),"平","仄")))</x:f>
        <x:v>仄</x:v>
      </x:c>
      <x:c r="K4642" s="6" t="str">
        <x:f>IF(D4642="","",IF(AND(ISNUMBER(SEARCH("平",D4642)),OR(ISNUMBER(SEARCH("上",D4642)),ISNUMBER(SEARCH("去",D4642)),ISNUMBER(SEARCH("入",D4642)))),"Ambiguous",IF(ISNUMBER(SEARCH("平",D4642)),"平","仄")))</x:f>
        <x:v>仄</x:v>
      </x:c>
      <x:c r="L4642" s="7" t="str"/>
    </x:row>
    <x:row r="4643">
      <x:c r="A4643" s="5" t="str">
        <x:v>餐</x:v>
      </x:c>
      <x:c r="B4643" s="6" t="str">
        <x:v>平</x:v>
      </x:c>
      <x:c r="C4643" s="6" t="str">
        <x:f>IF(B4643="","Needs decision","Ready")</x:f>
        <x:v>Ready</x:v>
      </x:c>
      <x:c r="D4643" s="6" t="str">
        <x:v>平</x:v>
      </x:c>
      <x:c r="E4643" s="6" t="str">
        <x:v>tshan [t̙s̙ʰɑn] (平)</x:v>
      </x:c>
      <x:c r="F4643" s="6" t="str">
        <x:v>上平聲十四寒</x:v>
      </x:c>
      <x:c r="G4643" s="6" t="str">
        <x:v>Pingshui main list, Wikisource-derived DOCX</x:v>
      </x:c>
      <x:c r="H4643" s="6" t="str">
        <x:v>1</x:v>
      </x:c>
      <x:c r="I4643" s="6" t="str">
        <x:v>Tang 300 gap; frequency 1; provisional from Xun Gong</x:v>
      </x:c>
      <x:c r="J4643" s="6" t="str">
        <x:f>IF(B4643="","",IF(AND(ISNUMBER(SEARCH("平",B4643)),OR(ISNUMBER(SEARCH("上",B4643)),ISNUMBER(SEARCH("去",B4643)),ISNUMBER(SEARCH("入",B4643)))),"Ambiguous",IF(ISNUMBER(SEARCH("平",B4643)),"平","仄")))</x:f>
        <x:v>平</x:v>
      </x:c>
      <x:c r="K4643" s="6" t="str">
        <x:f>IF(D4643="","",IF(AND(ISNUMBER(SEARCH("平",D4643)),OR(ISNUMBER(SEARCH("上",D4643)),ISNUMBER(SEARCH("去",D4643)),ISNUMBER(SEARCH("入",D4643)))),"Ambiguous",IF(ISNUMBER(SEARCH("平",D4643)),"平","仄")))</x:f>
        <x:v>平</x:v>
      </x:c>
      <x:c r="L4643" s="7" t="str">
        <x:v>Xun Gong, Tang 300 gap fill</x:v>
      </x:c>
    </x:row>
    <x:row r="4644">
      <x:c r="A4644" s="5" t="str">
        <x:v>餒</x:v>
      </x:c>
      <x:c r="B4644" s="6" t="str">
        <x:v>上</x:v>
      </x:c>
      <x:c r="C4644" s="6" t="str">
        <x:f>IF(B4644="","Needs decision","Ready")</x:f>
        <x:v>Ready</x:v>
      </x:c>
      <x:c r="D4644" s="6" t="str">
        <x:v>上</x:v>
      </x:c>
      <x:c r="E4644" s="6" t="str">
        <x:v>nwojX (B)</x:v>
      </x:c>
      <x:c r="F4644" s="6" t="str"/>
      <x:c r="G4644" s="6" t="str"/>
      <x:c r="H4644" s="6" t="str">
        <x:v>1</x:v>
      </x:c>
      <x:c r="I4644" s="6" t="str"/>
      <x:c r="J4644" s="6" t="str">
        <x:f>IF(B4644="","",IF(AND(ISNUMBER(SEARCH("平",B4644)),OR(ISNUMBER(SEARCH("上",B4644)),ISNUMBER(SEARCH("去",B4644)),ISNUMBER(SEARCH("入",B4644)))),"Ambiguous",IF(ISNUMBER(SEARCH("平",B4644)),"平","仄")))</x:f>
        <x:v>仄</x:v>
      </x:c>
      <x:c r="K4644" s="6" t="str">
        <x:f>IF(D4644="","",IF(AND(ISNUMBER(SEARCH("平",D4644)),OR(ISNUMBER(SEARCH("上",D4644)),ISNUMBER(SEARCH("去",D4644)),ISNUMBER(SEARCH("入",D4644)))),"Ambiguous",IF(ISNUMBER(SEARCH("平",D4644)),"平","仄")))</x:f>
        <x:v>仄</x:v>
      </x:c>
      <x:c r="L4644" s="7" t="str"/>
    </x:row>
    <x:row r="4645">
      <x:c r="A4645" s="5" t="str">
        <x:v>餓</x:v>
      </x:c>
      <x:c r="B4645" s="6" t="str">
        <x:v>去</x:v>
      </x:c>
      <x:c r="C4645" s="6" t="str">
        <x:f>IF(B4645="","Needs decision","Ready")</x:f>
        <x:v>Ready</x:v>
      </x:c>
      <x:c r="D4645" s="6" t="str">
        <x:v>去</x:v>
      </x:c>
      <x:c r="E4645" s="6" t="str">
        <x:v>ngaH (C)</x:v>
      </x:c>
      <x:c r="F4645" s="6" t="str">
        <x:v>去聲二十一箇</x:v>
      </x:c>
      <x:c r="G4645" s="6" t="str">
        <x:v>Pingshui main list, Wikisource-derived DOCX</x:v>
      </x:c>
      <x:c r="H4645" s="6" t="str">
        <x:v>1</x:v>
      </x:c>
      <x:c r="I4645" s="6" t="str"/>
      <x:c r="J4645" s="6" t="str">
        <x:f>IF(B4645="","",IF(AND(ISNUMBER(SEARCH("平",B4645)),OR(ISNUMBER(SEARCH("上",B4645)),ISNUMBER(SEARCH("去",B4645)),ISNUMBER(SEARCH("入",B4645)))),"Ambiguous",IF(ISNUMBER(SEARCH("平",B4645)),"平","仄")))</x:f>
        <x:v>仄</x:v>
      </x:c>
      <x:c r="K4645" s="6" t="str">
        <x:f>IF(D4645="","",IF(AND(ISNUMBER(SEARCH("平",D4645)),OR(ISNUMBER(SEARCH("上",D4645)),ISNUMBER(SEARCH("去",D4645)),ISNUMBER(SEARCH("入",D4645)))),"Ambiguous",IF(ISNUMBER(SEARCH("平",D4645)),"平","仄")))</x:f>
        <x:v>仄</x:v>
      </x:c>
      <x:c r="L4645" s="7" t="str"/>
    </x:row>
    <x:row r="4646">
      <x:c r="A4646" s="5" t="str">
        <x:v>餘</x:v>
      </x:c>
      <x:c r="B4646" s="6" t="str">
        <x:v>平</x:v>
      </x:c>
      <x:c r="C4646" s="6" t="str">
        <x:f>IF(B4646="","Needs decision","Ready")</x:f>
        <x:v>Ready</x:v>
      </x:c>
      <x:c r="D4646" s="6" t="str">
        <x:v>平</x:v>
      </x:c>
      <x:c r="E4646" s="6" t="str">
        <x:v>yo (A)</x:v>
      </x:c>
      <x:c r="F4646" s="6" t="str">
        <x:v>上平聲六魚</x:v>
      </x:c>
      <x:c r="G4646" s="6" t="str">
        <x:v>Pingshui main list, Wikisource-derived DOCX</x:v>
      </x:c>
      <x:c r="H4646" s="6" t="str">
        <x:v>1</x:v>
      </x:c>
      <x:c r="I4646" s="6" t="str"/>
      <x:c r="J4646" s="6" t="str">
        <x:f>IF(B4646="","",IF(AND(ISNUMBER(SEARCH("平",B4646)),OR(ISNUMBER(SEARCH("上",B4646)),ISNUMBER(SEARCH("去",B4646)),ISNUMBER(SEARCH("入",B4646)))),"Ambiguous",IF(ISNUMBER(SEARCH("平",B4646)),"平","仄")))</x:f>
        <x:v>平</x:v>
      </x:c>
      <x:c r="K4646" s="6" t="str">
        <x:f>IF(D4646="","",IF(AND(ISNUMBER(SEARCH("平",D4646)),OR(ISNUMBER(SEARCH("上",D4646)),ISNUMBER(SEARCH("去",D4646)),ISNUMBER(SEARCH("入",D4646)))),"Ambiguous",IF(ISNUMBER(SEARCH("平",D4646)),"平","仄")))</x:f>
        <x:v>平</x:v>
      </x:c>
      <x:c r="L4646" s="7" t="str"/>
    </x:row>
    <x:row r="4647">
      <x:c r="A4647" s="5" t="str">
        <x:v>館</x:v>
      </x:c>
      <x:c r="B4647" s="6" t="str">
        <x:v>去</x:v>
      </x:c>
      <x:c r="C4647" s="6" t="str">
        <x:f>IF(B4647="","Needs decision","Ready")</x:f>
        <x:v>Ready</x:v>
      </x:c>
      <x:c r="D4647" s="6" t="str">
        <x:v>去</x:v>
      </x:c>
      <x:c r="E4647" s="6" t="str">
        <x:v>kwanH (C)</x:v>
      </x:c>
      <x:c r="F4647" s="6" t="str">
        <x:v>上聲十四旱; 去聲十五翰</x:v>
      </x:c>
      <x:c r="G4647" s="6" t="str">
        <x:v>Pingshui main list, Wikisource-derived DOCX</x:v>
      </x:c>
      <x:c r="H4647" s="6" t="str">
        <x:v>1</x:v>
      </x:c>
      <x:c r="I4647" s="6" t="str"/>
      <x:c r="J4647" s="6" t="str">
        <x:f>IF(B4647="","",IF(AND(ISNUMBER(SEARCH("平",B4647)),OR(ISNUMBER(SEARCH("上",B4647)),ISNUMBER(SEARCH("去",B4647)),ISNUMBER(SEARCH("入",B4647)))),"Ambiguous",IF(ISNUMBER(SEARCH("平",B4647)),"平","仄")))</x:f>
        <x:v>仄</x:v>
      </x:c>
      <x:c r="K4647" s="6" t="str">
        <x:f>IF(D4647="","",IF(AND(ISNUMBER(SEARCH("平",D4647)),OR(ISNUMBER(SEARCH("上",D4647)),ISNUMBER(SEARCH("去",D4647)),ISNUMBER(SEARCH("入",D4647)))),"Ambiguous",IF(ISNUMBER(SEARCH("平",D4647)),"平","仄")))</x:f>
        <x:v>仄</x:v>
      </x:c>
      <x:c r="L4647" s="7" t="str"/>
    </x:row>
    <x:row r="4648">
      <x:c r="A4648" s="5" t="str">
        <x:v>餮</x:v>
      </x:c>
      <x:c r="B4648" s="6" t="str">
        <x:v>入</x:v>
      </x:c>
      <x:c r="C4648" s="6" t="str">
        <x:f>IF(B4648="","Needs decision","Ready")</x:f>
        <x:v>Ready</x:v>
      </x:c>
      <x:c r="D4648" s="6" t="str">
        <x:v>入</x:v>
      </x:c>
      <x:c r="E4648" s="6" t="str">
        <x:v>thet (D)</x:v>
      </x:c>
      <x:c r="F4648" s="6" t="str">
        <x:v>入聲九屑</x:v>
      </x:c>
      <x:c r="G4648" s="6" t="str">
        <x:v>Pingshui main list, Wikisource-derived DOCX</x:v>
      </x:c>
      <x:c r="H4648" s="6" t="str">
        <x:v>1</x:v>
      </x:c>
      <x:c r="I4648" s="6" t="str"/>
      <x:c r="J4648" s="6" t="str">
        <x:f>IF(B4648="","",IF(AND(ISNUMBER(SEARCH("平",B4648)),OR(ISNUMBER(SEARCH("上",B4648)),ISNUMBER(SEARCH("去",B4648)),ISNUMBER(SEARCH("入",B4648)))),"Ambiguous",IF(ISNUMBER(SEARCH("平",B4648)),"平","仄")))</x:f>
        <x:v>仄</x:v>
      </x:c>
      <x:c r="K4648" s="6" t="str">
        <x:f>IF(D4648="","",IF(AND(ISNUMBER(SEARCH("平",D4648)),OR(ISNUMBER(SEARCH("上",D4648)),ISNUMBER(SEARCH("去",D4648)),ISNUMBER(SEARCH("入",D4648)))),"Ambiguous",IF(ISNUMBER(SEARCH("平",D4648)),"平","仄")))</x:f>
        <x:v>仄</x:v>
      </x:c>
      <x:c r="L4648" s="7" t="str"/>
    </x:row>
    <x:row r="4649">
      <x:c r="A4649" s="5" t="str">
        <x:v>餰</x:v>
      </x:c>
      <x:c r="B4649" s="6" t="str">
        <x:v>平</x:v>
      </x:c>
      <x:c r="C4649" s="6" t="str">
        <x:f>IF(B4649="","Needs decision","Ready")</x:f>
        <x:v>Ready</x:v>
      </x:c>
      <x:c r="D4649" s="6" t="str">
        <x:v>平</x:v>
      </x:c>
      <x:c r="E4649" s="6" t="str">
        <x:v>tsyen (A)</x:v>
      </x:c>
      <x:c r="F4649" s="6" t="str"/>
      <x:c r="G4649" s="6" t="str"/>
      <x:c r="H4649" s="6" t="str">
        <x:v>1</x:v>
      </x:c>
      <x:c r="I4649" s="6" t="str"/>
      <x:c r="J4649" s="6" t="str">
        <x:f>IF(B4649="","",IF(AND(ISNUMBER(SEARCH("平",B4649)),OR(ISNUMBER(SEARCH("上",B4649)),ISNUMBER(SEARCH("去",B4649)),ISNUMBER(SEARCH("入",B4649)))),"Ambiguous",IF(ISNUMBER(SEARCH("平",B4649)),"平","仄")))</x:f>
        <x:v>平</x:v>
      </x:c>
      <x:c r="K4649" s="6" t="str">
        <x:f>IF(D4649="","",IF(AND(ISNUMBER(SEARCH("平",D4649)),OR(ISNUMBER(SEARCH("上",D4649)),ISNUMBER(SEARCH("去",D4649)),ISNUMBER(SEARCH("入",D4649)))),"Ambiguous",IF(ISNUMBER(SEARCH("平",D4649)),"平","仄")))</x:f>
        <x:v>平</x:v>
      </x:c>
      <x:c r="L4649" s="7" t="str"/>
    </x:row>
    <x:row r="4650">
      <x:c r="A4650" s="5" t="str">
        <x:v>餳</x:v>
      </x:c>
      <x:c r="B4650" s="6" t="str">
        <x:v>平</x:v>
      </x:c>
      <x:c r="C4650" s="6" t="str">
        <x:f>IF(B4650="","Needs decision","Ready")</x:f>
        <x:v>Ready</x:v>
      </x:c>
      <x:c r="D4650" s="6" t="str">
        <x:v>平</x:v>
      </x:c>
      <x:c r="E4650" s="6" t="str">
        <x:v>dang (A)</x:v>
      </x:c>
      <x:c r="F4650" s="6" t="str">
        <x:v>下平聲八庚</x:v>
      </x:c>
      <x:c r="G4650" s="6" t="str">
        <x:v>Pingshui main list, Wikisource-derived DOCX</x:v>
      </x:c>
      <x:c r="H4650" s="6" t="str">
        <x:v>1</x:v>
      </x:c>
      <x:c r="I4650" s="6" t="str"/>
      <x:c r="J4650" s="6" t="str">
        <x:f>IF(B4650="","",IF(AND(ISNUMBER(SEARCH("平",B4650)),OR(ISNUMBER(SEARCH("上",B4650)),ISNUMBER(SEARCH("去",B4650)),ISNUMBER(SEARCH("入",B4650)))),"Ambiguous",IF(ISNUMBER(SEARCH("平",B4650)),"平","仄")))</x:f>
        <x:v>平</x:v>
      </x:c>
      <x:c r="K4650" s="6" t="str">
        <x:f>IF(D4650="","",IF(AND(ISNUMBER(SEARCH("平",D4650)),OR(ISNUMBER(SEARCH("上",D4650)),ISNUMBER(SEARCH("去",D4650)),ISNUMBER(SEARCH("入",D4650)))),"Ambiguous",IF(ISNUMBER(SEARCH("平",D4650)),"平","仄")))</x:f>
        <x:v>平</x:v>
      </x:c>
      <x:c r="L4650" s="7" t="str"/>
    </x:row>
    <x:row r="4651">
      <x:c r="A4651" s="5" t="str">
        <x:v>餼</x:v>
      </x:c>
      <x:c r="B4651" s="6" t="str">
        <x:v>去</x:v>
      </x:c>
      <x:c r="C4651" s="6" t="str">
        <x:f>IF(B4651="","Needs decision","Ready")</x:f>
        <x:v>Ready</x:v>
      </x:c>
      <x:c r="D4651" s="6" t="str">
        <x:v>去</x:v>
      </x:c>
      <x:c r="E4651" s="6" t="str">
        <x:v>xj+jH (C)</x:v>
      </x:c>
      <x:c r="F4651" s="6" t="str">
        <x:v>去聲五未</x:v>
      </x:c>
      <x:c r="G4651" s="6" t="str">
        <x:v>Pingshui main list, Wikisource-derived DOCX</x:v>
      </x:c>
      <x:c r="H4651" s="6" t="str">
        <x:v>1</x:v>
      </x:c>
      <x:c r="I4651" s="6" t="str"/>
      <x:c r="J4651" s="6" t="str">
        <x:f>IF(B4651="","",IF(AND(ISNUMBER(SEARCH("平",B4651)),OR(ISNUMBER(SEARCH("上",B4651)),ISNUMBER(SEARCH("去",B4651)),ISNUMBER(SEARCH("入",B4651)))),"Ambiguous",IF(ISNUMBER(SEARCH("平",B4651)),"平","仄")))</x:f>
        <x:v>仄</x:v>
      </x:c>
      <x:c r="K4651" s="6" t="str">
        <x:f>IF(D4651="","",IF(AND(ISNUMBER(SEARCH("平",D4651)),OR(ISNUMBER(SEARCH("上",D4651)),ISNUMBER(SEARCH("去",D4651)),ISNUMBER(SEARCH("入",D4651)))),"Ambiguous",IF(ISNUMBER(SEARCH("平",D4651)),"平","仄")))</x:f>
        <x:v>仄</x:v>
      </x:c>
      <x:c r="L4651" s="7" t="str"/>
    </x:row>
    <x:row r="4652">
      <x:c r="A4652" s="5" t="str">
        <x:v>餽</x:v>
      </x:c>
      <x:c r="B4652" s="6" t="str">
        <x:v>去</x:v>
      </x:c>
      <x:c r="C4652" s="6" t="str">
        <x:f>IF(B4652="","Needs decision","Ready")</x:f>
        <x:v>Ready</x:v>
      </x:c>
      <x:c r="D4652" s="6" t="str">
        <x:v>去</x:v>
      </x:c>
      <x:c r="E4652" s="6" t="str">
        <x:v>gwijH (C)</x:v>
      </x:c>
      <x:c r="F4652" s="6" t="str"/>
      <x:c r="G4652" s="6" t="str"/>
      <x:c r="H4652" s="6" t="str">
        <x:v>1</x:v>
      </x:c>
      <x:c r="I4652" s="6" t="str"/>
      <x:c r="J4652" s="6" t="str">
        <x:f>IF(B4652="","",IF(AND(ISNUMBER(SEARCH("平",B4652)),OR(ISNUMBER(SEARCH("上",B4652)),ISNUMBER(SEARCH("去",B4652)),ISNUMBER(SEARCH("入",B4652)))),"Ambiguous",IF(ISNUMBER(SEARCH("平",B4652)),"平","仄")))</x:f>
        <x:v>仄</x:v>
      </x:c>
      <x:c r="K4652" s="6" t="str">
        <x:f>IF(D4652="","",IF(AND(ISNUMBER(SEARCH("平",D4652)),OR(ISNUMBER(SEARCH("上",D4652)),ISNUMBER(SEARCH("去",D4652)),ISNUMBER(SEARCH("入",D4652)))),"Ambiguous",IF(ISNUMBER(SEARCH("平",D4652)),"平","仄")))</x:f>
        <x:v>仄</x:v>
      </x:c>
      <x:c r="L4652" s="7" t="str"/>
    </x:row>
    <x:row r="4653">
      <x:c r="A4653" s="5" t="str">
        <x:v>饉</x:v>
      </x:c>
      <x:c r="B4653" s="6" t="str">
        <x:v>去</x:v>
      </x:c>
      <x:c r="C4653" s="6" t="str">
        <x:f>IF(B4653="","Needs decision","Ready")</x:f>
        <x:v>Ready</x:v>
      </x:c>
      <x:c r="D4653" s="6" t="str">
        <x:v>去</x:v>
      </x:c>
      <x:c r="E4653" s="6" t="str">
        <x:v>ginH (C)</x:v>
      </x:c>
      <x:c r="F4653" s="6" t="str">
        <x:v>去聲十二震</x:v>
      </x:c>
      <x:c r="G4653" s="6" t="str">
        <x:v>Pingshui main list, Wikisource-derived DOCX</x:v>
      </x:c>
      <x:c r="H4653" s="6" t="str">
        <x:v>1</x:v>
      </x:c>
      <x:c r="I4653" s="6" t="str"/>
      <x:c r="J4653" s="6" t="str">
        <x:f>IF(B4653="","",IF(AND(ISNUMBER(SEARCH("平",B4653)),OR(ISNUMBER(SEARCH("上",B4653)),ISNUMBER(SEARCH("去",B4653)),ISNUMBER(SEARCH("入",B4653)))),"Ambiguous",IF(ISNUMBER(SEARCH("平",B4653)),"平","仄")))</x:f>
        <x:v>仄</x:v>
      </x:c>
      <x:c r="K4653" s="6" t="str">
        <x:f>IF(D4653="","",IF(AND(ISNUMBER(SEARCH("平",D4653)),OR(ISNUMBER(SEARCH("上",D4653)),ISNUMBER(SEARCH("去",D4653)),ISNUMBER(SEARCH("入",D4653)))),"Ambiguous",IF(ISNUMBER(SEARCH("平",D4653)),"平","仄")))</x:f>
        <x:v>仄</x:v>
      </x:c>
      <x:c r="L4653" s="7" t="str"/>
    </x:row>
    <x:row r="4654">
      <x:c r="A4654" s="5" t="str">
        <x:v>饋</x:v>
      </x:c>
      <x:c r="B4654" s="6" t="str">
        <x:v>去</x:v>
      </x:c>
      <x:c r="C4654" s="6" t="str">
        <x:f>IF(B4654="","Needs decision","Ready")</x:f>
        <x:v>Ready</x:v>
      </x:c>
      <x:c r="D4654" s="6" t="str">
        <x:v>去</x:v>
      </x:c>
      <x:c r="E4654" s="6" t="str">
        <x:v>gwijH (C)</x:v>
      </x:c>
      <x:c r="F4654" s="6" t="str">
        <x:v>去聲四寘</x:v>
      </x:c>
      <x:c r="G4654" s="6" t="str">
        <x:v>Pingshui main list, Wikisource-derived DOCX</x:v>
      </x:c>
      <x:c r="H4654" s="6" t="str">
        <x:v>1</x:v>
      </x:c>
      <x:c r="I4654" s="6" t="str"/>
      <x:c r="J4654" s="6" t="str">
        <x:f>IF(B4654="","",IF(AND(ISNUMBER(SEARCH("平",B4654)),OR(ISNUMBER(SEARCH("上",B4654)),ISNUMBER(SEARCH("去",B4654)),ISNUMBER(SEARCH("入",B4654)))),"Ambiguous",IF(ISNUMBER(SEARCH("平",B4654)),"平","仄")))</x:f>
        <x:v>仄</x:v>
      </x:c>
      <x:c r="K4654" s="6" t="str">
        <x:f>IF(D4654="","",IF(AND(ISNUMBER(SEARCH("平",D4654)),OR(ISNUMBER(SEARCH("上",D4654)),ISNUMBER(SEARCH("去",D4654)),ISNUMBER(SEARCH("入",D4654)))),"Ambiguous",IF(ISNUMBER(SEARCH("平",D4654)),"平","仄")))</x:f>
        <x:v>仄</x:v>
      </x:c>
      <x:c r="L4654" s="7" t="str"/>
    </x:row>
    <x:row r="4655">
      <x:c r="A4655" s="5" t="str">
        <x:v>饌</x:v>
      </x:c>
      <x:c r="B4655" s="6" t="str"/>
      <x:c r="C4655" s="6" t="str">
        <x:f>IF(B4655="","Needs decision","Ready")</x:f>
        <x:v>Needs decision</x:v>
      </x:c>
      <x:c r="D4655" s="6" t="str">
        <x:v>上/去</x:v>
      </x:c>
      <x:c r="E4655" s="6" t="str">
        <x:v>dzrjwenH [dʐwɨ̯enh] (去); dzrwaenX [dʐwaˤnʔ] (上)</x:v>
      </x:c>
      <x:c r="F4655" s="6" t="str"/>
      <x:c r="G4655" s="6" t="str"/>
      <x:c r="H4655" s="6" t="str">
        <x:v>2</x:v>
      </x:c>
      <x:c r="I4655" s="6" t="str">
        <x:v>Tang 300 gap; frequency 1; ambiguous in Xun Gong</x:v>
      </x:c>
      <x:c r="J4655" s="6" t="str">
        <x:f>IF(B4655="","",IF(AND(ISNUMBER(SEARCH("平",B4655)),OR(ISNUMBER(SEARCH("上",B4655)),ISNUMBER(SEARCH("去",B4655)),ISNUMBER(SEARCH("入",B4655)))),"Ambiguous",IF(ISNUMBER(SEARCH("平",B4655)),"平","仄")))</x:f>
      </x:c>
      <x:c r="K4655" s="6" t="str">
        <x:f>IF(D4655="","",IF(AND(ISNUMBER(SEARCH("平",D4655)),OR(ISNUMBER(SEARCH("上",D4655)),ISNUMBER(SEARCH("去",D4655)),ISNUMBER(SEARCH("入",D4655)))),"Ambiguous",IF(ISNUMBER(SEARCH("平",D4655)),"平","仄")))</x:f>
        <x:v>仄</x:v>
      </x:c>
      <x:c r="L4655" s="7" t="str">
        <x:v>Xun Gong, Tang 300 gap fill</x:v>
      </x:c>
    </x:row>
    <x:row r="4656">
      <x:c r="A4656" s="5" t="str">
        <x:v>饐</x:v>
      </x:c>
      <x:c r="B4656" s="6" t="str">
        <x:v>去</x:v>
      </x:c>
      <x:c r="C4656" s="6" t="str">
        <x:f>IF(B4656="","Needs decision","Ready")</x:f>
        <x:v>Ready</x:v>
      </x:c>
      <x:c r="D4656" s="6" t="str">
        <x:v>去</x:v>
      </x:c>
      <x:c r="E4656" s="6" t="str">
        <x:v>'ijH (C)</x:v>
      </x:c>
      <x:c r="F4656" s="6" t="str"/>
      <x:c r="G4656" s="6" t="str"/>
      <x:c r="H4656" s="6" t="str">
        <x:v>1</x:v>
      </x:c>
      <x:c r="I4656" s="6" t="str"/>
      <x:c r="J4656" s="6" t="str">
        <x:f>IF(B4656="","",IF(AND(ISNUMBER(SEARCH("平",B4656)),OR(ISNUMBER(SEARCH("上",B4656)),ISNUMBER(SEARCH("去",B4656)),ISNUMBER(SEARCH("入",B4656)))),"Ambiguous",IF(ISNUMBER(SEARCH("平",B4656)),"平","仄")))</x:f>
        <x:v>仄</x:v>
      </x:c>
      <x:c r="K4656" s="6" t="str">
        <x:f>IF(D4656="","",IF(AND(ISNUMBER(SEARCH("平",D4656)),OR(ISNUMBER(SEARCH("上",D4656)),ISNUMBER(SEARCH("去",D4656)),ISNUMBER(SEARCH("入",D4656)))),"Ambiguous",IF(ISNUMBER(SEARCH("平",D4656)),"平","仄")))</x:f>
        <x:v>仄</x:v>
      </x:c>
      <x:c r="L4656" s="7" t="str"/>
    </x:row>
    <x:row r="4657">
      <x:c r="A4657" s="5" t="str">
        <x:v>饑</x:v>
      </x:c>
      <x:c r="B4657" s="6" t="str">
        <x:v>平</x:v>
      </x:c>
      <x:c r="C4657" s="6" t="str">
        <x:f>IF(B4657="","Needs decision","Ready")</x:f>
        <x:v>Ready</x:v>
      </x:c>
      <x:c r="D4657" s="6" t="str">
        <x:v>平</x:v>
      </x:c>
      <x:c r="E4657" s="6" t="str">
        <x:v>kj+j (A)</x:v>
      </x:c>
      <x:c r="F4657" s="6" t="str">
        <x:v>上平聲五微</x:v>
      </x:c>
      <x:c r="G4657" s="6" t="str">
        <x:v>Pingshui main list, Wikisource-derived DOCX</x:v>
      </x:c>
      <x:c r="H4657" s="6" t="str">
        <x:v>1</x:v>
      </x:c>
      <x:c r="I4657" s="6" t="str"/>
      <x:c r="J4657" s="6" t="str">
        <x:f>IF(B4657="","",IF(AND(ISNUMBER(SEARCH("平",B4657)),OR(ISNUMBER(SEARCH("上",B4657)),ISNUMBER(SEARCH("去",B4657)),ISNUMBER(SEARCH("入",B4657)))),"Ambiguous",IF(ISNUMBER(SEARCH("平",B4657)),"平","仄")))</x:f>
        <x:v>平</x:v>
      </x:c>
      <x:c r="K4657" s="6" t="str">
        <x:f>IF(D4657="","",IF(AND(ISNUMBER(SEARCH("平",D4657)),OR(ISNUMBER(SEARCH("上",D4657)),ISNUMBER(SEARCH("去",D4657)),ISNUMBER(SEARCH("入",D4657)))),"Ambiguous",IF(ISNUMBER(SEARCH("平",D4657)),"平","仄")))</x:f>
        <x:v>平</x:v>
      </x:c>
      <x:c r="L4657" s="7" t="str"/>
    </x:row>
    <x:row r="4658">
      <x:c r="A4658" s="5" t="str">
        <x:v>饒</x:v>
      </x:c>
      <x:c r="B4658" s="6" t="str">
        <x:v>平</x:v>
      </x:c>
      <x:c r="C4658" s="6" t="str">
        <x:f>IF(B4658="","Needs decision","Ready")</x:f>
        <x:v>Ready</x:v>
      </x:c>
      <x:c r="D4658" s="6" t="str">
        <x:v>平</x:v>
      </x:c>
      <x:c r="E4658" s="6" t="str">
        <x:v>nyew (A)</x:v>
      </x:c>
      <x:c r="F4658" s="6" t="str">
        <x:v>下平聲二蕭</x:v>
      </x:c>
      <x:c r="G4658" s="6" t="str">
        <x:v>Pingshui main list, Wikisource-derived DOCX</x:v>
      </x:c>
      <x:c r="H4658" s="6" t="str">
        <x:v>1</x:v>
      </x:c>
      <x:c r="I4658" s="6" t="str"/>
      <x:c r="J4658" s="6" t="str">
        <x:f>IF(B4658="","",IF(AND(ISNUMBER(SEARCH("平",B4658)),OR(ISNUMBER(SEARCH("上",B4658)),ISNUMBER(SEARCH("去",B4658)),ISNUMBER(SEARCH("入",B4658)))),"Ambiguous",IF(ISNUMBER(SEARCH("平",B4658)),"平","仄")))</x:f>
        <x:v>平</x:v>
      </x:c>
      <x:c r="K4658" s="6" t="str">
        <x:f>IF(D4658="","",IF(AND(ISNUMBER(SEARCH("平",D4658)),OR(ISNUMBER(SEARCH("上",D4658)),ISNUMBER(SEARCH("去",D4658)),ISNUMBER(SEARCH("入",D4658)))),"Ambiguous",IF(ISNUMBER(SEARCH("平",D4658)),"平","仄")))</x:f>
        <x:v>平</x:v>
      </x:c>
      <x:c r="L4658" s="7" t="str"/>
    </x:row>
    <x:row r="4659">
      <x:c r="A4659" s="5" t="str">
        <x:v>饕</x:v>
      </x:c>
      <x:c r="B4659" s="6" t="str">
        <x:v>平</x:v>
      </x:c>
      <x:c r="C4659" s="6" t="str">
        <x:f>IF(B4659="","Needs decision","Ready")</x:f>
        <x:v>Ready</x:v>
      </x:c>
      <x:c r="D4659" s="6" t="str">
        <x:v>平</x:v>
      </x:c>
      <x:c r="E4659" s="6" t="str">
        <x:v>thaw (A)</x:v>
      </x:c>
      <x:c r="F4659" s="6" t="str">
        <x:v>下平聲四豪</x:v>
      </x:c>
      <x:c r="G4659" s="6" t="str">
        <x:v>Pingshui main list, Wikisource-derived DOCX</x:v>
      </x:c>
      <x:c r="H4659" s="6" t="str">
        <x:v>1</x:v>
      </x:c>
      <x:c r="I4659" s="6" t="str"/>
      <x:c r="J4659" s="6" t="str">
        <x:f>IF(B4659="","",IF(AND(ISNUMBER(SEARCH("平",B4659)),OR(ISNUMBER(SEARCH("上",B4659)),ISNUMBER(SEARCH("去",B4659)),ISNUMBER(SEARCH("入",B4659)))),"Ambiguous",IF(ISNUMBER(SEARCH("平",B4659)),"平","仄")))</x:f>
        <x:v>平</x:v>
      </x:c>
      <x:c r="K4659" s="6" t="str">
        <x:f>IF(D4659="","",IF(AND(ISNUMBER(SEARCH("平",D4659)),OR(ISNUMBER(SEARCH("上",D4659)),ISNUMBER(SEARCH("去",D4659)),ISNUMBER(SEARCH("入",D4659)))),"Ambiguous",IF(ISNUMBER(SEARCH("平",D4659)),"平","仄")))</x:f>
        <x:v>平</x:v>
      </x:c>
      <x:c r="L4659" s="7" t="str"/>
    </x:row>
    <x:row r="4660">
      <x:c r="A4660" s="5" t="str">
        <x:v>饗</x:v>
      </x:c>
      <x:c r="B4660" s="6" t="str">
        <x:v>上</x:v>
      </x:c>
      <x:c r="C4660" s="6" t="str">
        <x:f>IF(B4660="","Needs decision","Ready")</x:f>
        <x:v>Ready</x:v>
      </x:c>
      <x:c r="D4660" s="6" t="str">
        <x:v>上</x:v>
      </x:c>
      <x:c r="E4660" s="6" t="str">
        <x:v>xjangX (B)</x:v>
      </x:c>
      <x:c r="F4660" s="6" t="str"/>
      <x:c r="G4660" s="6" t="str"/>
      <x:c r="H4660" s="6" t="str">
        <x:v>1</x:v>
      </x:c>
      <x:c r="I4660" s="6" t="str"/>
      <x:c r="J4660" s="6" t="str">
        <x:f>IF(B4660="","",IF(AND(ISNUMBER(SEARCH("平",B4660)),OR(ISNUMBER(SEARCH("上",B4660)),ISNUMBER(SEARCH("去",B4660)),ISNUMBER(SEARCH("入",B4660)))),"Ambiguous",IF(ISNUMBER(SEARCH("平",B4660)),"平","仄")))</x:f>
        <x:v>仄</x:v>
      </x:c>
      <x:c r="K4660" s="6" t="str">
        <x:f>IF(D4660="","",IF(AND(ISNUMBER(SEARCH("平",D4660)),OR(ISNUMBER(SEARCH("上",D4660)),ISNUMBER(SEARCH("去",D4660)),ISNUMBER(SEARCH("入",D4660)))),"Ambiguous",IF(ISNUMBER(SEARCH("平",D4660)),"平","仄")))</x:f>
        <x:v>仄</x:v>
      </x:c>
      <x:c r="L4660" s="7" t="str"/>
    </x:row>
    <x:row r="4661">
      <x:c r="A4661" s="5" t="str">
        <x:v>饘</x:v>
      </x:c>
      <x:c r="B4661" s="6" t="str">
        <x:v>平</x:v>
      </x:c>
      <x:c r="C4661" s="6" t="str">
        <x:f>IF(B4661="","Needs decision","Ready")</x:f>
        <x:v>Ready</x:v>
      </x:c>
      <x:c r="D4661" s="6" t="str">
        <x:v>平/上</x:v>
      </x:c>
      <x:c r="E4661" s="6" t="str">
        <x:v>tsyen (A); tsyenX (B)</x:v>
      </x:c>
      <x:c r="F4661" s="6" t="str">
        <x:v>下平聲一先</x:v>
      </x:c>
      <x:c r="G4661" s="6" t="str">
        <x:v>Pingshui main list, Wikisource-derived DOCX</x:v>
      </x:c>
      <x:c r="H4661" s="6" t="str">
        <x:v>2</x:v>
      </x:c>
      <x:c r="I4661" s="6" t="str">
        <x:v>User correction 2026-09-08</x:v>
      </x:c>
      <x:c r="J4661" s="6" t="str">
        <x:f>IF(B4661="","",IF(AND(ISNUMBER(SEARCH("平",B4661)),OR(ISNUMBER(SEARCH("上",B4661)),ISNUMBER(SEARCH("去",B4661)),ISNUMBER(SEARCH("入",B4661)))),"Ambiguous",IF(ISNUMBER(SEARCH("平",B4661)),"平","仄")))</x:f>
        <x:v>平</x:v>
      </x:c>
      <x:c r="K4661" s="6" t="str">
        <x:f>IF(D4661="","",IF(AND(ISNUMBER(SEARCH("平",D4661)),OR(ISNUMBER(SEARCH("上",D4661)),ISNUMBER(SEARCH("去",D4661)),ISNUMBER(SEARCH("入",D4661)))),"Ambiguous",IF(ISNUMBER(SEARCH("平",D4661)),"平","仄")))</x:f>
        <x:v>Ambiguous</x:v>
      </x:c>
      <x:c r="L4661" s="7" t="str"/>
    </x:row>
    <x:row r="4662">
      <x:c r="A4662" s="5" t="str">
        <x:v>饙</x:v>
      </x:c>
      <x:c r="B4662" s="6" t="str">
        <x:v>平</x:v>
      </x:c>
      <x:c r="C4662" s="6" t="str">
        <x:f>IF(B4662="","Needs decision","Ready")</x:f>
        <x:v>Ready</x:v>
      </x:c>
      <x:c r="D4662" s="6" t="str">
        <x:v>平</x:v>
      </x:c>
      <x:c r="E4662" s="6" t="str">
        <x:v>pjun (A)</x:v>
      </x:c>
      <x:c r="F4662" s="6" t="str">
        <x:v>上平聲十二文</x:v>
      </x:c>
      <x:c r="G4662" s="6" t="str">
        <x:v>Pingshui main list, Wikisource-derived DOCX</x:v>
      </x:c>
      <x:c r="H4662" s="6" t="str">
        <x:v>1</x:v>
      </x:c>
      <x:c r="I4662" s="6" t="str"/>
      <x:c r="J4662" s="6" t="str">
        <x:f>IF(B4662="","",IF(AND(ISNUMBER(SEARCH("平",B4662)),OR(ISNUMBER(SEARCH("上",B4662)),ISNUMBER(SEARCH("去",B4662)),ISNUMBER(SEARCH("入",B4662)))),"Ambiguous",IF(ISNUMBER(SEARCH("平",B4662)),"平","仄")))</x:f>
        <x:v>平</x:v>
      </x:c>
      <x:c r="K4662" s="6" t="str">
        <x:f>IF(D4662="","",IF(AND(ISNUMBER(SEARCH("平",D4662)),OR(ISNUMBER(SEARCH("上",D4662)),ISNUMBER(SEARCH("去",D4662)),ISNUMBER(SEARCH("入",D4662)))),"Ambiguous",IF(ISNUMBER(SEARCH("平",D4662)),"平","仄")))</x:f>
        <x:v>平</x:v>
      </x:c>
      <x:c r="L4662" s="7" t="str"/>
    </x:row>
    <x:row r="4663">
      <x:c r="A4663" s="5" t="str">
        <x:v>饜</x:v>
      </x:c>
      <x:c r="B4663" s="6" t="str">
        <x:v>去</x:v>
      </x:c>
      <x:c r="C4663" s="6" t="str">
        <x:f>IF(B4663="","Needs decision","Ready")</x:f>
        <x:v>Ready</x:v>
      </x:c>
      <x:c r="D4663" s="6" t="str">
        <x:v>去</x:v>
      </x:c>
      <x:c r="E4663" s="6" t="str">
        <x:v>'jemH (C)</x:v>
      </x:c>
      <x:c r="F4663" s="6" t="str">
        <x:v>去聲二十九豔</x:v>
      </x:c>
      <x:c r="G4663" s="6" t="str">
        <x:v>Pingshui main list, Wikisource-derived DOCX</x:v>
      </x:c>
      <x:c r="H4663" s="6" t="str">
        <x:v>1</x:v>
      </x:c>
      <x:c r="I4663" s="6" t="str"/>
      <x:c r="J4663" s="6" t="str">
        <x:f>IF(B4663="","",IF(AND(ISNUMBER(SEARCH("平",B4663)),OR(ISNUMBER(SEARCH("上",B4663)),ISNUMBER(SEARCH("去",B4663)),ISNUMBER(SEARCH("入",B4663)))),"Ambiguous",IF(ISNUMBER(SEARCH("平",B4663)),"平","仄")))</x:f>
        <x:v>仄</x:v>
      </x:c>
      <x:c r="K4663" s="6" t="str">
        <x:f>IF(D4663="","",IF(AND(ISNUMBER(SEARCH("平",D4663)),OR(ISNUMBER(SEARCH("上",D4663)),ISNUMBER(SEARCH("去",D4663)),ISNUMBER(SEARCH("入",D4663)))),"Ambiguous",IF(ISNUMBER(SEARCH("平",D4663)),"平","仄")))</x:f>
        <x:v>仄</x:v>
      </x:c>
      <x:c r="L4663" s="7" t="str"/>
    </x:row>
    <x:row r="4664">
      <x:c r="A4664" s="5" t="str">
        <x:v>饟</x:v>
      </x:c>
      <x:c r="B4664" s="6" t="str"/>
      <x:c r="C4664" s="6" t="str">
        <x:f>IF(B4664="","Needs decision","Ready")</x:f>
        <x:v>Needs decision</x:v>
      </x:c>
      <x:c r="D4664" s="6" t="str">
        <x:v>平/上/去</x:v>
      </x:c>
      <x:c r="E4664" s="6" t="str">
        <x:v>syang (A); syangX (B); syangH (C)</x:v>
      </x:c>
      <x:c r="F4664" s="6" t="str">
        <x:v>上聲二十二養; 去聲二十三漾</x:v>
      </x:c>
      <x:c r="G4664" s="6" t="str">
        <x:v>Pingshui main list, Wikisource-derived DOCX</x:v>
      </x:c>
      <x:c r="H4664" s="6" t="str">
        <x:v>3</x:v>
      </x:c>
      <x:c r="I4664" s="6" t="str"/>
      <x:c r="J4664" s="6" t="str">
        <x:f>IF(B4664="","",IF(AND(ISNUMBER(SEARCH("平",B4664)),OR(ISNUMBER(SEARCH("上",B4664)),ISNUMBER(SEARCH("去",B4664)),ISNUMBER(SEARCH("入",B4664)))),"Ambiguous",IF(ISNUMBER(SEARCH("平",B4664)),"平","仄")))</x:f>
      </x:c>
      <x:c r="K4664" s="6" t="str">
        <x:f>IF(D4664="","",IF(AND(ISNUMBER(SEARCH("平",D4664)),OR(ISNUMBER(SEARCH("上",D4664)),ISNUMBER(SEARCH("去",D4664)),ISNUMBER(SEARCH("入",D4664)))),"Ambiguous",IF(ISNUMBER(SEARCH("平",D4664)),"平","仄")))</x:f>
        <x:v>Ambiguous</x:v>
      </x:c>
      <x:c r="L4664" s="7" t="str"/>
    </x:row>
    <x:row r="4665">
      <x:c r="A4665" s="5" t="str">
        <x:v>首</x:v>
      </x:c>
      <x:c r="B4665" s="6" t="str">
        <x:v>上</x:v>
      </x:c>
      <x:c r="C4665" s="6" t="str">
        <x:f>IF(B4665="","Needs decision","Ready")</x:f>
        <x:v>Ready</x:v>
      </x:c>
      <x:c r="D4665" s="6" t="str">
        <x:v>上/去</x:v>
      </x:c>
      <x:c r="E4665" s="6" t="str">
        <x:v>syuwX (B); syuwH (C)</x:v>
      </x:c>
      <x:c r="F4665" s="6" t="str">
        <x:v>上聲二十五有; 去聲二十六宥</x:v>
      </x:c>
      <x:c r="G4665" s="6" t="str">
        <x:v>Pingshui main list, Wikisource-derived DOCX</x:v>
      </x:c>
      <x:c r="H4665" s="6" t="str">
        <x:v>2</x:v>
      </x:c>
      <x:c r="I4665" s="6" t="str">
        <x:v>User workbook edit 2026-09-03</x:v>
      </x:c>
      <x:c r="J4665" s="6" t="str">
        <x:f>IF(B4665="","",IF(AND(ISNUMBER(SEARCH("平",B4665)),OR(ISNUMBER(SEARCH("上",B4665)),ISNUMBER(SEARCH("去",B4665)),ISNUMBER(SEARCH("入",B4665)))),"Ambiguous",IF(ISNUMBER(SEARCH("平",B4665)),"平","仄")))</x:f>
        <x:v>仄</x:v>
      </x:c>
      <x:c r="K4665" s="6" t="str">
        <x:f>IF(D4665="","",IF(AND(ISNUMBER(SEARCH("平",D4665)),OR(ISNUMBER(SEARCH("上",D4665)),ISNUMBER(SEARCH("去",D4665)),ISNUMBER(SEARCH("入",D4665)))),"Ambiguous",IF(ISNUMBER(SEARCH("平",D4665)),"平","仄")))</x:f>
        <x:v>仄</x:v>
      </x:c>
      <x:c r="L4665" s="7" t="str">
        <x:v>manual user correction</x:v>
      </x:c>
    </x:row>
    <x:row r="4666">
      <x:c r="A4666" s="5" t="str">
        <x:v>馗</x:v>
      </x:c>
      <x:c r="B4666" s="6" t="str">
        <x:v>平</x:v>
      </x:c>
      <x:c r="C4666" s="6" t="str">
        <x:f>IF(B4666="","Needs decision","Ready")</x:f>
        <x:v>Ready</x:v>
      </x:c>
      <x:c r="D4666" s="6" t="str">
        <x:v>平</x:v>
      </x:c>
      <x:c r="E4666" s="6" t="str">
        <x:v>gwij (A)</x:v>
      </x:c>
      <x:c r="F4666" s="6" t="str">
        <x:v>上平聲四支; 下平聲十一尤</x:v>
      </x:c>
      <x:c r="G4666" s="6" t="str">
        <x:v>Pingshui main list, Wikisource-derived DOCX</x:v>
      </x:c>
      <x:c r="H4666" s="6" t="str">
        <x:v>1</x:v>
      </x:c>
      <x:c r="I4666" s="6" t="str"/>
      <x:c r="J4666" s="6" t="str">
        <x:f>IF(B4666="","",IF(AND(ISNUMBER(SEARCH("平",B4666)),OR(ISNUMBER(SEARCH("上",B4666)),ISNUMBER(SEARCH("去",B4666)),ISNUMBER(SEARCH("入",B4666)))),"Ambiguous",IF(ISNUMBER(SEARCH("平",B4666)),"平","仄")))</x:f>
        <x:v>平</x:v>
      </x:c>
      <x:c r="K4666" s="6" t="str">
        <x:f>IF(D4666="","",IF(AND(ISNUMBER(SEARCH("平",D4666)),OR(ISNUMBER(SEARCH("上",D4666)),ISNUMBER(SEARCH("去",D4666)),ISNUMBER(SEARCH("入",D4666)))),"Ambiguous",IF(ISNUMBER(SEARCH("平",D4666)),"平","仄")))</x:f>
        <x:v>平</x:v>
      </x:c>
      <x:c r="L4666" s="7" t="str"/>
    </x:row>
    <x:row r="4667">
      <x:c r="A4667" s="5" t="str">
        <x:v>馘</x:v>
      </x:c>
      <x:c r="B4667" s="6" t="str">
        <x:v>入</x:v>
      </x:c>
      <x:c r="C4667" s="6" t="str">
        <x:f>IF(B4667="","Needs decision","Ready")</x:f>
        <x:v>Ready</x:v>
      </x:c>
      <x:c r="D4667" s="6" t="str">
        <x:v>入</x:v>
      </x:c>
      <x:c r="E4667" s="6" t="str">
        <x:v>kweak (D)</x:v>
      </x:c>
      <x:c r="F4667" s="6" t="str">
        <x:v>入聲十一陌</x:v>
      </x:c>
      <x:c r="G4667" s="6" t="str">
        <x:v>Pingshui main list, Wikisource-derived DOCX</x:v>
      </x:c>
      <x:c r="H4667" s="6" t="str">
        <x:v>1</x:v>
      </x:c>
      <x:c r="I4667" s="6" t="str"/>
      <x:c r="J4667" s="6" t="str">
        <x:f>IF(B4667="","",IF(AND(ISNUMBER(SEARCH("平",B4667)),OR(ISNUMBER(SEARCH("上",B4667)),ISNUMBER(SEARCH("去",B4667)),ISNUMBER(SEARCH("入",B4667)))),"Ambiguous",IF(ISNUMBER(SEARCH("平",B4667)),"平","仄")))</x:f>
        <x:v>仄</x:v>
      </x:c>
      <x:c r="K4667" s="6" t="str">
        <x:f>IF(D4667="","",IF(AND(ISNUMBER(SEARCH("平",D4667)),OR(ISNUMBER(SEARCH("上",D4667)),ISNUMBER(SEARCH("去",D4667)),ISNUMBER(SEARCH("入",D4667)))),"Ambiguous",IF(ISNUMBER(SEARCH("平",D4667)),"平","仄")))</x:f>
        <x:v>仄</x:v>
      </x:c>
      <x:c r="L4667" s="7" t="str"/>
    </x:row>
    <x:row r="4668">
      <x:c r="A4668" s="5" t="str">
        <x:v>香</x:v>
      </x:c>
      <x:c r="B4668" s="6" t="str">
        <x:v>平</x:v>
      </x:c>
      <x:c r="C4668" s="6" t="str">
        <x:f>IF(B4668="","Needs decision","Ready")</x:f>
        <x:v>Ready</x:v>
      </x:c>
      <x:c r="D4668" s="6" t="str">
        <x:v>平</x:v>
      </x:c>
      <x:c r="E4668" s="6" t="str">
        <x:v>xjang (A)</x:v>
      </x:c>
      <x:c r="F4668" s="6" t="str">
        <x:v>下平聲七陽</x:v>
      </x:c>
      <x:c r="G4668" s="6" t="str">
        <x:v>Pingshui main list, Wikisource-derived DOCX</x:v>
      </x:c>
      <x:c r="H4668" s="6" t="str">
        <x:v>1</x:v>
      </x:c>
      <x:c r="I4668" s="6" t="str"/>
      <x:c r="J4668" s="6" t="str">
        <x:f>IF(B4668="","",IF(AND(ISNUMBER(SEARCH("平",B4668)),OR(ISNUMBER(SEARCH("上",B4668)),ISNUMBER(SEARCH("去",B4668)),ISNUMBER(SEARCH("入",B4668)))),"Ambiguous",IF(ISNUMBER(SEARCH("平",B4668)),"平","仄")))</x:f>
        <x:v>平</x:v>
      </x:c>
      <x:c r="K4668" s="6" t="str">
        <x:f>IF(D4668="","",IF(AND(ISNUMBER(SEARCH("平",D4668)),OR(ISNUMBER(SEARCH("上",D4668)),ISNUMBER(SEARCH("去",D4668)),ISNUMBER(SEARCH("入",D4668)))),"Ambiguous",IF(ISNUMBER(SEARCH("平",D4668)),"平","仄")))</x:f>
        <x:v>平</x:v>
      </x:c>
      <x:c r="L4668" s="7" t="str"/>
    </x:row>
    <x:row r="4669">
      <x:c r="A4669" s="5" t="str">
        <x:v>馨</x:v>
      </x:c>
      <x:c r="B4669" s="6" t="str">
        <x:v>平</x:v>
      </x:c>
      <x:c r="C4669" s="6" t="str">
        <x:f>IF(B4669="","Needs decision","Ready")</x:f>
        <x:v>Ready</x:v>
      </x:c>
      <x:c r="D4669" s="6" t="str">
        <x:v>平</x:v>
      </x:c>
      <x:c r="E4669" s="6" t="str">
        <x:v>xeng (A)</x:v>
      </x:c>
      <x:c r="F4669" s="6" t="str">
        <x:v>下平聲九青</x:v>
      </x:c>
      <x:c r="G4669" s="6" t="str">
        <x:v>Pingshui main list, Wikisource-derived DOCX</x:v>
      </x:c>
      <x:c r="H4669" s="6" t="str">
        <x:v>1</x:v>
      </x:c>
      <x:c r="I4669" s="6" t="str"/>
      <x:c r="J4669" s="6" t="str">
        <x:f>IF(B4669="","",IF(AND(ISNUMBER(SEARCH("平",B4669)),OR(ISNUMBER(SEARCH("上",B4669)),ISNUMBER(SEARCH("去",B4669)),ISNUMBER(SEARCH("入",B4669)))),"Ambiguous",IF(ISNUMBER(SEARCH("平",B4669)),"平","仄")))</x:f>
        <x:v>平</x:v>
      </x:c>
      <x:c r="K4669" s="6" t="str">
        <x:f>IF(D4669="","",IF(AND(ISNUMBER(SEARCH("平",D4669)),OR(ISNUMBER(SEARCH("上",D4669)),ISNUMBER(SEARCH("去",D4669)),ISNUMBER(SEARCH("入",D4669)))),"Ambiguous",IF(ISNUMBER(SEARCH("平",D4669)),"平","仄")))</x:f>
        <x:v>平</x:v>
      </x:c>
      <x:c r="L4669" s="7" t="str"/>
    </x:row>
    <x:row r="4670">
      <x:c r="A4670" s="5" t="str">
        <x:v>馬</x:v>
      </x:c>
      <x:c r="B4670" s="6" t="str">
        <x:v>上</x:v>
      </x:c>
      <x:c r="C4670" s="6" t="str">
        <x:f>IF(B4670="","Needs decision","Ready")</x:f>
        <x:v>Ready</x:v>
      </x:c>
      <x:c r="D4670" s="6" t="str">
        <x:v>上</x:v>
      </x:c>
      <x:c r="E4670" s="6" t="str">
        <x:v>maeX (B)</x:v>
      </x:c>
      <x:c r="F4670" s="6" t="str">
        <x:v>上聲二十一馬</x:v>
      </x:c>
      <x:c r="G4670" s="6" t="str">
        <x:v>Pingshui main list, Wikisource-derived DOCX</x:v>
      </x:c>
      <x:c r="H4670" s="6" t="str">
        <x:v>1</x:v>
      </x:c>
      <x:c r="I4670" s="6" t="str"/>
      <x:c r="J4670" s="6" t="str">
        <x:f>IF(B4670="","",IF(AND(ISNUMBER(SEARCH("平",B4670)),OR(ISNUMBER(SEARCH("上",B4670)),ISNUMBER(SEARCH("去",B4670)),ISNUMBER(SEARCH("入",B4670)))),"Ambiguous",IF(ISNUMBER(SEARCH("平",B4670)),"平","仄")))</x:f>
        <x:v>仄</x:v>
      </x:c>
      <x:c r="K4670" s="6" t="str">
        <x:f>IF(D4670="","",IF(AND(ISNUMBER(SEARCH("平",D4670)),OR(ISNUMBER(SEARCH("上",D4670)),ISNUMBER(SEARCH("去",D4670)),ISNUMBER(SEARCH("入",D4670)))),"Ambiguous",IF(ISNUMBER(SEARCH("平",D4670)),"平","仄")))</x:f>
        <x:v>仄</x:v>
      </x:c>
      <x:c r="L4670" s="7" t="str"/>
    </x:row>
    <x:row r="4671">
      <x:c r="A4671" s="5" t="str">
        <x:v>馭</x:v>
      </x:c>
      <x:c r="B4671" s="6" t="str">
        <x:v>去</x:v>
      </x:c>
      <x:c r="C4671" s="6" t="str">
        <x:f>IF(B4671="","Needs decision","Ready")</x:f>
        <x:v>Ready</x:v>
      </x:c>
      <x:c r="D4671" s="6" t="str">
        <x:v>去</x:v>
      </x:c>
      <x:c r="E4671" s="6" t="str">
        <x:v>ngjoH (C)</x:v>
      </x:c>
      <x:c r="F4671" s="6" t="str">
        <x:v>去聲六御</x:v>
      </x:c>
      <x:c r="G4671" s="6" t="str">
        <x:v>Pingshui main list, Wikisource-derived DOCX</x:v>
      </x:c>
      <x:c r="H4671" s="6" t="str">
        <x:v>1</x:v>
      </x:c>
      <x:c r="I4671" s="6" t="str"/>
      <x:c r="J4671" s="6" t="str">
        <x:f>IF(B4671="","",IF(AND(ISNUMBER(SEARCH("平",B4671)),OR(ISNUMBER(SEARCH("上",B4671)),ISNUMBER(SEARCH("去",B4671)),ISNUMBER(SEARCH("入",B4671)))),"Ambiguous",IF(ISNUMBER(SEARCH("平",B4671)),"平","仄")))</x:f>
        <x:v>仄</x:v>
      </x:c>
      <x:c r="K4671" s="6" t="str">
        <x:f>IF(D4671="","",IF(AND(ISNUMBER(SEARCH("平",D4671)),OR(ISNUMBER(SEARCH("上",D4671)),ISNUMBER(SEARCH("去",D4671)),ISNUMBER(SEARCH("入",D4671)))),"Ambiguous",IF(ISNUMBER(SEARCH("平",D4671)),"平","仄")))</x:f>
        <x:v>仄</x:v>
      </x:c>
      <x:c r="L4671" s="7" t="str"/>
    </x:row>
    <x:row r="4672">
      <x:c r="A4672" s="5" t="str">
        <x:v>馮</x:v>
      </x:c>
      <x:c r="B4672" s="6" t="str">
        <x:v>平</x:v>
      </x:c>
      <x:c r="C4672" s="6" t="str">
        <x:f>IF(B4672="","Needs decision","Ready")</x:f>
        <x:v>Ready</x:v>
      </x:c>
      <x:c r="D4672" s="6" t="str">
        <x:v>平</x:v>
      </x:c>
      <x:c r="E4672" s="6" t="str">
        <x:v>bing (A); bjuwng (A)</x:v>
      </x:c>
      <x:c r="F4672" s="6" t="str">
        <x:v>上平聲一東; 下平聲十蒸</x:v>
      </x:c>
      <x:c r="G4672" s="6" t="str">
        <x:v>Pingshui main list, Wikisource-derived DOCX</x:v>
      </x:c>
      <x:c r="H4672" s="6" t="str">
        <x:v>2</x:v>
      </x:c>
      <x:c r="I4672" s="6" t="str"/>
      <x:c r="J4672" s="6" t="str">
        <x:f>IF(B4672="","",IF(AND(ISNUMBER(SEARCH("平",B4672)),OR(ISNUMBER(SEARCH("上",B4672)),ISNUMBER(SEARCH("去",B4672)),ISNUMBER(SEARCH("入",B4672)))),"Ambiguous",IF(ISNUMBER(SEARCH("平",B4672)),"平","仄")))</x:f>
        <x:v>平</x:v>
      </x:c>
      <x:c r="K4672" s="6" t="str">
        <x:f>IF(D4672="","",IF(AND(ISNUMBER(SEARCH("平",D4672)),OR(ISNUMBER(SEARCH("上",D4672)),ISNUMBER(SEARCH("去",D4672)),ISNUMBER(SEARCH("入",D4672)))),"Ambiguous",IF(ISNUMBER(SEARCH("平",D4672)),"平","仄")))</x:f>
        <x:v>平</x:v>
      </x:c>
      <x:c r="L4672" s="7" t="str"/>
    </x:row>
    <x:row r="4673">
      <x:c r="A4673" s="5" t="str">
        <x:v>馳</x:v>
      </x:c>
      <x:c r="B4673" s="6" t="str">
        <x:v>平</x:v>
      </x:c>
      <x:c r="C4673" s="6" t="str">
        <x:f>IF(B4673="","Needs decision","Ready")</x:f>
        <x:v>Ready</x:v>
      </x:c>
      <x:c r="D4673" s="6" t="str">
        <x:v>平</x:v>
      </x:c>
      <x:c r="E4673" s="6" t="str">
        <x:v>drje (A)</x:v>
      </x:c>
      <x:c r="F4673" s="6" t="str">
        <x:v>上平聲四支</x:v>
      </x:c>
      <x:c r="G4673" s="6" t="str">
        <x:v>Pingshui main list, Wikisource-derived DOCX</x:v>
      </x:c>
      <x:c r="H4673" s="6" t="str">
        <x:v>1</x:v>
      </x:c>
      <x:c r="I4673" s="6" t="str"/>
      <x:c r="J4673" s="6" t="str">
        <x:f>IF(B4673="","",IF(AND(ISNUMBER(SEARCH("平",B4673)),OR(ISNUMBER(SEARCH("上",B4673)),ISNUMBER(SEARCH("去",B4673)),ISNUMBER(SEARCH("入",B4673)))),"Ambiguous",IF(ISNUMBER(SEARCH("平",B4673)),"平","仄")))</x:f>
        <x:v>平</x:v>
      </x:c>
      <x:c r="K4673" s="6" t="str">
        <x:f>IF(D4673="","",IF(AND(ISNUMBER(SEARCH("平",D4673)),OR(ISNUMBER(SEARCH("上",D4673)),ISNUMBER(SEARCH("去",D4673)),ISNUMBER(SEARCH("入",D4673)))),"Ambiguous",IF(ISNUMBER(SEARCH("平",D4673)),"平","仄")))</x:f>
        <x:v>平</x:v>
      </x:c>
      <x:c r="L4673" s="7" t="str"/>
    </x:row>
    <x:row r="4674">
      <x:c r="A4674" s="5" t="str">
        <x:v>馴</x:v>
      </x:c>
      <x:c r="B4674" s="6" t="str">
        <x:v>平</x:v>
      </x:c>
      <x:c r="C4674" s="6" t="str">
        <x:f>IF(B4674="","Needs decision","Ready")</x:f>
        <x:v>Ready</x:v>
      </x:c>
      <x:c r="D4674" s="6" t="str">
        <x:v>平</x:v>
      </x:c>
      <x:c r="E4674" s="6" t="str">
        <x:v>zwin (A)</x:v>
      </x:c>
      <x:c r="F4674" s="6" t="str">
        <x:v>上平聲十一真</x:v>
      </x:c>
      <x:c r="G4674" s="6" t="str">
        <x:v>Pingshui main list, Wikisource-derived DOCX</x:v>
      </x:c>
      <x:c r="H4674" s="6" t="str">
        <x:v>1</x:v>
      </x:c>
      <x:c r="I4674" s="6" t="str"/>
      <x:c r="J4674" s="6" t="str">
        <x:f>IF(B4674="","",IF(AND(ISNUMBER(SEARCH("平",B4674)),OR(ISNUMBER(SEARCH("上",B4674)),ISNUMBER(SEARCH("去",B4674)),ISNUMBER(SEARCH("入",B4674)))),"Ambiguous",IF(ISNUMBER(SEARCH("平",B4674)),"平","仄")))</x:f>
        <x:v>平</x:v>
      </x:c>
      <x:c r="K4674" s="6" t="str">
        <x:f>IF(D4674="","",IF(AND(ISNUMBER(SEARCH("平",D4674)),OR(ISNUMBER(SEARCH("上",D4674)),ISNUMBER(SEARCH("去",D4674)),ISNUMBER(SEARCH("入",D4674)))),"Ambiguous",IF(ISNUMBER(SEARCH("平",D4674)),"平","仄")))</x:f>
        <x:v>平</x:v>
      </x:c>
      <x:c r="L4674" s="7" t="str"/>
    </x:row>
    <x:row r="4675">
      <x:c r="A4675" s="5" t="str">
        <x:v>馵</x:v>
      </x:c>
      <x:c r="B4675" s="6" t="str">
        <x:v>去</x:v>
      </x:c>
      <x:c r="C4675" s="6" t="str">
        <x:f>IF(B4675="","Needs decision","Ready")</x:f>
        <x:v>Ready</x:v>
      </x:c>
      <x:c r="D4675" s="6" t="str">
        <x:v>去</x:v>
      </x:c>
      <x:c r="E4675" s="6" t="str">
        <x:v>tsyuH (C)</x:v>
      </x:c>
      <x:c r="F4675" s="6" t="str">
        <x:v>去聲七遇; 入聲十四緝</x:v>
      </x:c>
      <x:c r="G4675" s="6" t="str">
        <x:v>Pingshui main list, Wikisource-derived DOCX</x:v>
      </x:c>
      <x:c r="H4675" s="6" t="str">
        <x:v>1</x:v>
      </x:c>
      <x:c r="I4675" s="6" t="str"/>
      <x:c r="J4675" s="6" t="str">
        <x:f>IF(B4675="","",IF(AND(ISNUMBER(SEARCH("平",B4675)),OR(ISNUMBER(SEARCH("上",B4675)),ISNUMBER(SEARCH("去",B4675)),ISNUMBER(SEARCH("入",B4675)))),"Ambiguous",IF(ISNUMBER(SEARCH("平",B4675)),"平","仄")))</x:f>
        <x:v>仄</x:v>
      </x:c>
      <x:c r="K4675" s="6" t="str">
        <x:f>IF(D4675="","",IF(AND(ISNUMBER(SEARCH("平",D4675)),OR(ISNUMBER(SEARCH("上",D4675)),ISNUMBER(SEARCH("去",D4675)),ISNUMBER(SEARCH("入",D4675)))),"Ambiguous",IF(ISNUMBER(SEARCH("平",D4675)),"平","仄")))</x:f>
        <x:v>仄</x:v>
      </x:c>
      <x:c r="L4675" s="7" t="str"/>
    </x:row>
    <x:row r="4676">
      <x:c r="A4676" s="5" t="str">
        <x:v>駁</x:v>
      </x:c>
      <x:c r="B4676" s="6" t="str">
        <x:v>入</x:v>
      </x:c>
      <x:c r="C4676" s="6" t="str">
        <x:f>IF(B4676="","Needs decision","Ready")</x:f>
        <x:v>Ready</x:v>
      </x:c>
      <x:c r="D4676" s="6" t="str">
        <x:v>入</x:v>
      </x:c>
      <x:c r="E4676" s="6" t="str">
        <x:v>paewk (D)</x:v>
      </x:c>
      <x:c r="F4676" s="6" t="str">
        <x:v>入聲三覺</x:v>
      </x:c>
      <x:c r="G4676" s="6" t="str">
        <x:v>Pingshui main list, Wikisource-derived DOCX</x:v>
      </x:c>
      <x:c r="H4676" s="6" t="str">
        <x:v>1</x:v>
      </x:c>
      <x:c r="I4676" s="6" t="str"/>
      <x:c r="J4676" s="6" t="str">
        <x:f>IF(B4676="","",IF(AND(ISNUMBER(SEARCH("平",B4676)),OR(ISNUMBER(SEARCH("上",B4676)),ISNUMBER(SEARCH("去",B4676)),ISNUMBER(SEARCH("入",B4676)))),"Ambiguous",IF(ISNUMBER(SEARCH("平",B4676)),"平","仄")))</x:f>
        <x:v>仄</x:v>
      </x:c>
      <x:c r="K4676" s="6" t="str">
        <x:f>IF(D4676="","",IF(AND(ISNUMBER(SEARCH("平",D4676)),OR(ISNUMBER(SEARCH("上",D4676)),ISNUMBER(SEARCH("去",D4676)),ISNUMBER(SEARCH("入",D4676)))),"Ambiguous",IF(ISNUMBER(SEARCH("平",D4676)),"平","仄")))</x:f>
        <x:v>仄</x:v>
      </x:c>
      <x:c r="L4676" s="7" t="str"/>
    </x:row>
    <x:row r="4677">
      <x:c r="A4677" s="5" t="str">
        <x:v>駐</x:v>
      </x:c>
      <x:c r="B4677" s="6" t="str">
        <x:v>去</x:v>
      </x:c>
      <x:c r="C4677" s="6" t="str">
        <x:f>IF(B4677="","Needs decision","Ready")</x:f>
        <x:v>Ready</x:v>
      </x:c>
      <x:c r="D4677" s="6" t="str">
        <x:v>去</x:v>
      </x:c>
      <x:c r="E4677" s="6" t="str">
        <x:v>trjuH [ʈjoh] (去)</x:v>
      </x:c>
      <x:c r="F4677" s="6" t="str">
        <x:v>去聲七遇</x:v>
      </x:c>
      <x:c r="G4677" s="6" t="str">
        <x:v>Pingshui main list, Wikisource-derived DOCX</x:v>
      </x:c>
      <x:c r="H4677" s="6" t="str">
        <x:v>1</x:v>
      </x:c>
      <x:c r="I4677" s="6" t="str">
        <x:v>Tang 300 gap; frequency 4; provisional from Xun Gong</x:v>
      </x:c>
      <x:c r="J4677" s="6" t="str">
        <x:f>IF(B4677="","",IF(AND(ISNUMBER(SEARCH("平",B4677)),OR(ISNUMBER(SEARCH("上",B4677)),ISNUMBER(SEARCH("去",B4677)),ISNUMBER(SEARCH("入",B4677)))),"Ambiguous",IF(ISNUMBER(SEARCH("平",B4677)),"平","仄")))</x:f>
        <x:v>仄</x:v>
      </x:c>
      <x:c r="K4677" s="6" t="str">
        <x:f>IF(D4677="","",IF(AND(ISNUMBER(SEARCH("平",D4677)),OR(ISNUMBER(SEARCH("上",D4677)),ISNUMBER(SEARCH("去",D4677)),ISNUMBER(SEARCH("入",D4677)))),"Ambiguous",IF(ISNUMBER(SEARCH("平",D4677)),"平","仄")))</x:f>
        <x:v>仄</x:v>
      </x:c>
      <x:c r="L4677" s="7" t="str">
        <x:v>Xun Gong, Tang 300 gap fill</x:v>
      </x:c>
    </x:row>
    <x:row r="4678">
      <x:c r="A4678" s="5" t="str">
        <x:v>駑</x:v>
      </x:c>
      <x:c r="B4678" s="6" t="str">
        <x:v>平</x:v>
      </x:c>
      <x:c r="C4678" s="6" t="str">
        <x:f>IF(B4678="","Needs decision","Ready")</x:f>
        <x:v>Ready</x:v>
      </x:c>
      <x:c r="D4678" s="6" t="str">
        <x:v>平</x:v>
      </x:c>
      <x:c r="E4678" s="6" t="str"/>
      <x:c r="F4678" s="6" t="str">
        <x:v>上平聲七虞</x:v>
      </x:c>
      <x:c r="G4678" s="6" t="str">
        <x:v>Pingshui main list, Wikisource-derived DOCX</x:v>
      </x:c>
      <x:c r="H4678" s="6" t="str"/>
      <x:c r="I4678" s="6" t="str">
        <x:v>Manual user correction/addition</x:v>
      </x:c>
      <x:c r="J4678" s="6" t="str">
        <x:f>IF(B4678="","",IF(AND(ISNUMBER(SEARCH("平",B4678)),OR(ISNUMBER(SEARCH("上",B4678)),ISNUMBER(SEARCH("去",B4678)),ISNUMBER(SEARCH("入",B4678)))),"Ambiguous",IF(ISNUMBER(SEARCH("平",B4678)),"平","仄")))</x:f>
        <x:v>平</x:v>
      </x:c>
      <x:c r="K4678" s="6" t="str">
        <x:f>IF(D4678="","",IF(AND(ISNUMBER(SEARCH("平",D4678)),OR(ISNUMBER(SEARCH("上",D4678)),ISNUMBER(SEARCH("去",D4678)),ISNUMBER(SEARCH("入",D4678)))),"Ambiguous",IF(ISNUMBER(SEARCH("平",D4678)),"平","仄")))</x:f>
        <x:v>平</x:v>
      </x:c>
      <x:c r="L4678" s="7" t="str">
        <x:v>manual user correction</x:v>
      </x:c>
    </x:row>
    <x:row r="4679">
      <x:c r="A4679" s="5" t="str">
        <x:v>駒</x:v>
      </x:c>
      <x:c r="B4679" s="6" t="str">
        <x:v>平</x:v>
      </x:c>
      <x:c r="C4679" s="6" t="str">
        <x:f>IF(B4679="","Needs decision","Ready")</x:f>
        <x:v>Ready</x:v>
      </x:c>
      <x:c r="D4679" s="6" t="str">
        <x:v>平</x:v>
      </x:c>
      <x:c r="E4679" s="6" t="str"/>
      <x:c r="F4679" s="6" t="str">
        <x:v>上平聲七虞</x:v>
      </x:c>
      <x:c r="G4679" s="6" t="str">
        <x:v>Pingshui main list, Wikisource-derived DOCX</x:v>
      </x:c>
      <x:c r="H4679" s="6" t="str">
        <x:v>0</x:v>
      </x:c>
      <x:c r="I4679" s="6" t="str">
        <x:v>User correction 2026-09-08; added manually</x:v>
      </x:c>
      <x:c r="J4679" s="6" t="str">
        <x:f>IF(B4679="","",IF(AND(ISNUMBER(SEARCH("平",B4679)),OR(ISNUMBER(SEARCH("上",B4679)),ISNUMBER(SEARCH("去",B4679)),ISNUMBER(SEARCH("入",B4679)))),"Ambiguous",IF(ISNUMBER(SEARCH("平",B4679)),"平","仄")))</x:f>
        <x:v>平</x:v>
      </x:c>
      <x:c r="K4679" s="6" t="str">
        <x:f>IF(D4679="","",IF(AND(ISNUMBER(SEARCH("平",D4679)),OR(ISNUMBER(SEARCH("上",D4679)),ISNUMBER(SEARCH("去",D4679)),ISNUMBER(SEARCH("入",D4679)))),"Ambiguous",IF(ISNUMBER(SEARCH("平",D4679)),"平","仄")))</x:f>
        <x:v>平</x:v>
      </x:c>
      <x:c r="L4679" s="7" t="str">
        <x:v>User correction</x:v>
      </x:c>
    </x:row>
    <x:row r="4680">
      <x:c r="A4680" s="5" t="str">
        <x:v>駕</x:v>
      </x:c>
      <x:c r="B4680" s="6" t="str">
        <x:v>去</x:v>
      </x:c>
      <x:c r="C4680" s="6" t="str">
        <x:f>IF(B4680="","Needs decision","Ready")</x:f>
        <x:v>Ready</x:v>
      </x:c>
      <x:c r="D4680" s="6" t="str">
        <x:v>去</x:v>
      </x:c>
      <x:c r="E4680" s="6" t="str">
        <x:v>kaeH (C)</x:v>
      </x:c>
      <x:c r="F4680" s="6" t="str">
        <x:v>去聲二十二禡</x:v>
      </x:c>
      <x:c r="G4680" s="6" t="str">
        <x:v>Pingshui main list, Wikisource-derived DOCX</x:v>
      </x:c>
      <x:c r="H4680" s="6" t="str">
        <x:v>1</x:v>
      </x:c>
      <x:c r="I4680" s="6" t="str"/>
      <x:c r="J4680" s="6" t="str">
        <x:f>IF(B4680="","",IF(AND(ISNUMBER(SEARCH("平",B4680)),OR(ISNUMBER(SEARCH("上",B4680)),ISNUMBER(SEARCH("去",B4680)),ISNUMBER(SEARCH("入",B4680)))),"Ambiguous",IF(ISNUMBER(SEARCH("平",B4680)),"平","仄")))</x:f>
        <x:v>仄</x:v>
      </x:c>
      <x:c r="K4680" s="6" t="str">
        <x:f>IF(D4680="","",IF(AND(ISNUMBER(SEARCH("平",D4680)),OR(ISNUMBER(SEARCH("上",D4680)),ISNUMBER(SEARCH("去",D4680)),ISNUMBER(SEARCH("入",D4680)))),"Ambiguous",IF(ISNUMBER(SEARCH("平",D4680)),"平","仄")))</x:f>
        <x:v>仄</x:v>
      </x:c>
      <x:c r="L4680" s="7" t="str"/>
    </x:row>
    <x:row r="4681">
      <x:c r="A4681" s="5" t="str">
        <x:v>駝</x:v>
      </x:c>
      <x:c r="B4681" s="6" t="str">
        <x:v>平</x:v>
      </x:c>
      <x:c r="C4681" s="6" t="str">
        <x:f>IF(B4681="","Needs decision","Ready")</x:f>
        <x:v>Ready</x:v>
      </x:c>
      <x:c r="D4681" s="6" t="str">
        <x:v>平</x:v>
      </x:c>
      <x:c r="E4681" s="6" t="str">
        <x:v>da [d̙ɑ] (平)</x:v>
      </x:c>
      <x:c r="F4681" s="6" t="str">
        <x:v>下平聲五歌</x:v>
      </x:c>
      <x:c r="G4681" s="6" t="str">
        <x:v>Pingshui main list, Wikisource-derived DOCX</x:v>
      </x:c>
      <x:c r="H4681" s="6" t="str">
        <x:v>1</x:v>
      </x:c>
      <x:c r="I4681" s="6" t="str">
        <x:v>Tang 300 gap; frequency 2; provisional from Xun Gong</x:v>
      </x:c>
      <x:c r="J4681" s="6" t="str">
        <x:f>IF(B4681="","",IF(AND(ISNUMBER(SEARCH("平",B4681)),OR(ISNUMBER(SEARCH("上",B4681)),ISNUMBER(SEARCH("去",B4681)),ISNUMBER(SEARCH("入",B4681)))),"Ambiguous",IF(ISNUMBER(SEARCH("平",B4681)),"平","仄")))</x:f>
        <x:v>平</x:v>
      </x:c>
      <x:c r="K4681" s="6" t="str">
        <x:f>IF(D4681="","",IF(AND(ISNUMBER(SEARCH("平",D4681)),OR(ISNUMBER(SEARCH("上",D4681)),ISNUMBER(SEARCH("去",D4681)),ISNUMBER(SEARCH("入",D4681)))),"Ambiguous",IF(ISNUMBER(SEARCH("平",D4681)),"平","仄")))</x:f>
        <x:v>平</x:v>
      </x:c>
      <x:c r="L4681" s="7" t="str">
        <x:v>Xun Gong, Tang 300 gap fill</x:v>
      </x:c>
    </x:row>
    <x:row r="4682">
      <x:c r="A4682" s="5" t="str">
        <x:v>駞</x:v>
      </x:c>
      <x:c r="B4682" s="6" t="str">
        <x:v>平</x:v>
      </x:c>
      <x:c r="C4682" s="6" t="str">
        <x:f>IF(B4682="","Needs decision","Ready")</x:f>
        <x:v>Ready</x:v>
      </x:c>
      <x:c r="D4682" s="6" t="str">
        <x:v>平</x:v>
      </x:c>
      <x:c r="E4682" s="6" t="str">
        <x:v>da [d̙ɑ] (平)</x:v>
      </x:c>
      <x:c r="F4682" s="6" t="str"/>
      <x:c r="G4682" s="6" t="str"/>
      <x:c r="H4682" s="6" t="str">
        <x:v>1</x:v>
      </x:c>
      <x:c r="I4682" s="6" t="str">
        <x:v>Tang 300 gap; frequency 1; provisional from Xun Gong</x:v>
      </x:c>
      <x:c r="J4682" s="6" t="str">
        <x:f>IF(B4682="","",IF(AND(ISNUMBER(SEARCH("平",B4682)),OR(ISNUMBER(SEARCH("上",B4682)),ISNUMBER(SEARCH("去",B4682)),ISNUMBER(SEARCH("入",B4682)))),"Ambiguous",IF(ISNUMBER(SEARCH("平",B4682)),"平","仄")))</x:f>
        <x:v>平</x:v>
      </x:c>
      <x:c r="K4682" s="6" t="str">
        <x:f>IF(D4682="","",IF(AND(ISNUMBER(SEARCH("平",D4682)),OR(ISNUMBER(SEARCH("上",D4682)),ISNUMBER(SEARCH("去",D4682)),ISNUMBER(SEARCH("入",D4682)))),"Ambiguous",IF(ISNUMBER(SEARCH("平",D4682)),"平","仄")))</x:f>
        <x:v>平</x:v>
      </x:c>
      <x:c r="L4682" s="7" t="str">
        <x:v>Xun Gong, Tang 300 gap fill</x:v>
      </x:c>
    </x:row>
    <x:row r="4683">
      <x:c r="A4683" s="5" t="str">
        <x:v>駟</x:v>
      </x:c>
      <x:c r="B4683" s="6" t="str">
        <x:v>去</x:v>
      </x:c>
      <x:c r="C4683" s="6" t="str">
        <x:f>IF(B4683="","Needs decision","Ready")</x:f>
        <x:v>Ready</x:v>
      </x:c>
      <x:c r="D4683" s="6" t="str">
        <x:v>去</x:v>
      </x:c>
      <x:c r="E4683" s="6" t="str">
        <x:v>sijH (C)</x:v>
      </x:c>
      <x:c r="F4683" s="6" t="str">
        <x:v>去聲四寘</x:v>
      </x:c>
      <x:c r="G4683" s="6" t="str">
        <x:v>Pingshui main list, Wikisource-derived DOCX</x:v>
      </x:c>
      <x:c r="H4683" s="6" t="str">
        <x:v>1</x:v>
      </x:c>
      <x:c r="I4683" s="6" t="str"/>
      <x:c r="J4683" s="6" t="str">
        <x:f>IF(B4683="","",IF(AND(ISNUMBER(SEARCH("平",B4683)),OR(ISNUMBER(SEARCH("上",B4683)),ISNUMBER(SEARCH("去",B4683)),ISNUMBER(SEARCH("入",B4683)))),"Ambiguous",IF(ISNUMBER(SEARCH("平",B4683)),"平","仄")))</x:f>
        <x:v>仄</x:v>
      </x:c>
      <x:c r="K4683" s="6" t="str">
        <x:f>IF(D4683="","",IF(AND(ISNUMBER(SEARCH("平",D4683)),OR(ISNUMBER(SEARCH("上",D4683)),ISNUMBER(SEARCH("去",D4683)),ISNUMBER(SEARCH("入",D4683)))),"Ambiguous",IF(ISNUMBER(SEARCH("平",D4683)),"平","仄")))</x:f>
        <x:v>仄</x:v>
      </x:c>
      <x:c r="L4683" s="7" t="str"/>
    </x:row>
    <x:row r="4684">
      <x:c r="A4684" s="5" t="str">
        <x:v>駢</x:v>
      </x:c>
      <x:c r="B4684" s="6" t="str">
        <x:v>平</x:v>
      </x:c>
      <x:c r="C4684" s="6" t="str">
        <x:f>IF(B4684="","Needs decision","Ready")</x:f>
        <x:v>Ready</x:v>
      </x:c>
      <x:c r="D4684" s="6" t="str">
        <x:v>平</x:v>
      </x:c>
      <x:c r="E4684" s="6" t="str"/>
      <x:c r="F4684" s="6" t="str">
        <x:v>下平聲一先</x:v>
      </x:c>
      <x:c r="G4684" s="6" t="str">
        <x:v>Pingshui main list, Wikisource-derived DOCX</x:v>
      </x:c>
      <x:c r="H4684" s="6" t="str">
        <x:v>0</x:v>
      </x:c>
      <x:c r="I4684" s="6" t="str">
        <x:v>User correction 2026-09-08; added manually</x:v>
      </x:c>
      <x:c r="J4684" s="6" t="str">
        <x:f>IF(B4684="","",IF(AND(ISNUMBER(SEARCH("平",B4684)),OR(ISNUMBER(SEARCH("上",B4684)),ISNUMBER(SEARCH("去",B4684)),ISNUMBER(SEARCH("入",B4684)))),"Ambiguous",IF(ISNUMBER(SEARCH("平",B4684)),"平","仄")))</x:f>
        <x:v>平</x:v>
      </x:c>
      <x:c r="K4684" s="6" t="str">
        <x:f>IF(D4684="","",IF(AND(ISNUMBER(SEARCH("平",D4684)),OR(ISNUMBER(SEARCH("上",D4684)),ISNUMBER(SEARCH("去",D4684)),ISNUMBER(SEARCH("入",D4684)))),"Ambiguous",IF(ISNUMBER(SEARCH("平",D4684)),"平","仄")))</x:f>
        <x:v>平</x:v>
      </x:c>
      <x:c r="L4684" s="7" t="str">
        <x:v>User correction</x:v>
      </x:c>
    </x:row>
    <x:row r="4685">
      <x:c r="A4685" s="5" t="str">
        <x:v>駭</x:v>
      </x:c>
      <x:c r="B4685" s="6" t="str">
        <x:v>上</x:v>
      </x:c>
      <x:c r="C4685" s="6" t="str">
        <x:f>IF(B4685="","Needs decision","Ready")</x:f>
        <x:v>Ready</x:v>
      </x:c>
      <x:c r="D4685" s="6" t="str">
        <x:v>上</x:v>
      </x:c>
      <x:c r="E4685" s="6" t="str">
        <x:v>heajX (B)</x:v>
      </x:c>
      <x:c r="F4685" s="6" t="str">
        <x:v>上聲九蟹</x:v>
      </x:c>
      <x:c r="G4685" s="6" t="str">
        <x:v>Pingshui main list, Wikisource-derived DOCX</x:v>
      </x:c>
      <x:c r="H4685" s="6" t="str">
        <x:v>1</x:v>
      </x:c>
      <x:c r="I4685" s="6" t="str"/>
      <x:c r="J4685" s="6" t="str">
        <x:f>IF(B4685="","",IF(AND(ISNUMBER(SEARCH("平",B4685)),OR(ISNUMBER(SEARCH("上",B4685)),ISNUMBER(SEARCH("去",B4685)),ISNUMBER(SEARCH("入",B4685)))),"Ambiguous",IF(ISNUMBER(SEARCH("平",B4685)),"平","仄")))</x:f>
        <x:v>仄</x:v>
      </x:c>
      <x:c r="K4685" s="6" t="str">
        <x:f>IF(D4685="","",IF(AND(ISNUMBER(SEARCH("平",D4685)),OR(ISNUMBER(SEARCH("上",D4685)),ISNUMBER(SEARCH("去",D4685)),ISNUMBER(SEARCH("入",D4685)))),"Ambiguous",IF(ISNUMBER(SEARCH("平",D4685)),"平","仄")))</x:f>
        <x:v>仄</x:v>
      </x:c>
      <x:c r="L4685" s="7" t="str"/>
    </x:row>
    <x:row r="4686">
      <x:c r="A4686" s="5" t="str">
        <x:v>駰</x:v>
      </x:c>
      <x:c r="B4686" s="6" t="str">
        <x:v>平</x:v>
      </x:c>
      <x:c r="C4686" s="6" t="str">
        <x:f>IF(B4686="","Needs decision","Ready")</x:f>
        <x:v>Ready</x:v>
      </x:c>
      <x:c r="D4686" s="6" t="str">
        <x:v>平</x:v>
      </x:c>
      <x:c r="E4686" s="6" t="str">
        <x:v>'in (A)</x:v>
      </x:c>
      <x:c r="F4686" s="6" t="str">
        <x:v>上平聲十一真</x:v>
      </x:c>
      <x:c r="G4686" s="6" t="str">
        <x:v>Pingshui main list, Wikisource-derived DOCX</x:v>
      </x:c>
      <x:c r="H4686" s="6" t="str">
        <x:v>1</x:v>
      </x:c>
      <x:c r="I4686" s="6" t="str"/>
      <x:c r="J4686" s="6" t="str">
        <x:f>IF(B4686="","",IF(AND(ISNUMBER(SEARCH("平",B4686)),OR(ISNUMBER(SEARCH("上",B4686)),ISNUMBER(SEARCH("去",B4686)),ISNUMBER(SEARCH("入",B4686)))),"Ambiguous",IF(ISNUMBER(SEARCH("平",B4686)),"平","仄")))</x:f>
        <x:v>平</x:v>
      </x:c>
      <x:c r="K4686" s="6" t="str">
        <x:f>IF(D4686="","",IF(AND(ISNUMBER(SEARCH("平",D4686)),OR(ISNUMBER(SEARCH("上",D4686)),ISNUMBER(SEARCH("去",D4686)),ISNUMBER(SEARCH("入",D4686)))),"Ambiguous",IF(ISNUMBER(SEARCH("平",D4686)),"平","仄")))</x:f>
        <x:v>平</x:v>
      </x:c>
      <x:c r="L4686" s="7" t="str"/>
    </x:row>
    <x:row r="4687">
      <x:c r="A4687" s="5" t="str">
        <x:v>駱</x:v>
      </x:c>
      <x:c r="B4687" s="6" t="str">
        <x:v>入</x:v>
      </x:c>
      <x:c r="C4687" s="6" t="str">
        <x:f>IF(B4687="","Needs decision","Ready")</x:f>
        <x:v>Ready</x:v>
      </x:c>
      <x:c r="D4687" s="6" t="str">
        <x:v>入</x:v>
      </x:c>
      <x:c r="E4687" s="6" t="str">
        <x:v>lak (D)</x:v>
      </x:c>
      <x:c r="F4687" s="6" t="str">
        <x:v>入聲十藥</x:v>
      </x:c>
      <x:c r="G4687" s="6" t="str">
        <x:v>Pingshui main list, Wikisource-derived DOCX</x:v>
      </x:c>
      <x:c r="H4687" s="6" t="str">
        <x:v>1</x:v>
      </x:c>
      <x:c r="I4687" s="6" t="str"/>
      <x:c r="J4687" s="6" t="str">
        <x:f>IF(B4687="","",IF(AND(ISNUMBER(SEARCH("平",B4687)),OR(ISNUMBER(SEARCH("上",B4687)),ISNUMBER(SEARCH("去",B4687)),ISNUMBER(SEARCH("入",B4687)))),"Ambiguous",IF(ISNUMBER(SEARCH("平",B4687)),"平","仄")))</x:f>
        <x:v>仄</x:v>
      </x:c>
      <x:c r="K4687" s="6" t="str">
        <x:f>IF(D4687="","",IF(AND(ISNUMBER(SEARCH("平",D4687)),OR(ISNUMBER(SEARCH("上",D4687)),ISNUMBER(SEARCH("去",D4687)),ISNUMBER(SEARCH("入",D4687)))),"Ambiguous",IF(ISNUMBER(SEARCH("平",D4687)),"平","仄")))</x:f>
        <x:v>仄</x:v>
      </x:c>
      <x:c r="L4687" s="7" t="str"/>
    </x:row>
    <x:row r="4688">
      <x:c r="A4688" s="5" t="str">
        <x:v>駸</x:v>
      </x:c>
      <x:c r="B4688" s="6" t="str">
        <x:v>平</x:v>
      </x:c>
      <x:c r="C4688" s="6" t="str">
        <x:f>IF(B4688="","Needs decision","Ready")</x:f>
        <x:v>Ready</x:v>
      </x:c>
      <x:c r="D4688" s="6" t="str">
        <x:v>平</x:v>
      </x:c>
      <x:c r="E4688" s="6" t="str">
        <x:v>tshim (A); tsrhim (A)</x:v>
      </x:c>
      <x:c r="F4688" s="6" t="str">
        <x:v>下平聲十二侵</x:v>
      </x:c>
      <x:c r="G4688" s="6" t="str">
        <x:v>Pingshui main list, Wikisource-derived DOCX</x:v>
      </x:c>
      <x:c r="H4688" s="6" t="str">
        <x:v>2</x:v>
      </x:c>
      <x:c r="I4688" s="6" t="str"/>
      <x:c r="J4688" s="6" t="str">
        <x:f>IF(B4688="","",IF(AND(ISNUMBER(SEARCH("平",B4688)),OR(ISNUMBER(SEARCH("上",B4688)),ISNUMBER(SEARCH("去",B4688)),ISNUMBER(SEARCH("入",B4688)))),"Ambiguous",IF(ISNUMBER(SEARCH("平",B4688)),"平","仄")))</x:f>
        <x:v>平</x:v>
      </x:c>
      <x:c r="K4688" s="6" t="str">
        <x:f>IF(D4688="","",IF(AND(ISNUMBER(SEARCH("平",D4688)),OR(ISNUMBER(SEARCH("上",D4688)),ISNUMBER(SEARCH("去",D4688)),ISNUMBER(SEARCH("入",D4688)))),"Ambiguous",IF(ISNUMBER(SEARCH("平",D4688)),"平","仄")))</x:f>
        <x:v>平</x:v>
      </x:c>
      <x:c r="L4688" s="7" t="str"/>
    </x:row>
    <x:row r="4689">
      <x:c r="A4689" s="5" t="str">
        <x:v>駹</x:v>
      </x:c>
      <x:c r="B4689" s="6" t="str">
        <x:v>平</x:v>
      </x:c>
      <x:c r="C4689" s="6" t="str">
        <x:f>IF(B4689="","Needs decision","Ready")</x:f>
        <x:v>Ready</x:v>
      </x:c>
      <x:c r="D4689" s="6" t="str">
        <x:v>平</x:v>
      </x:c>
      <x:c r="E4689" s="6" t="str">
        <x:v>maewng (A)</x:v>
      </x:c>
      <x:c r="F4689" s="6" t="str">
        <x:v>上平聲三江</x:v>
      </x:c>
      <x:c r="G4689" s="6" t="str">
        <x:v>Pingshui main list, Wikisource-derived DOCX</x:v>
      </x:c>
      <x:c r="H4689" s="6" t="str">
        <x:v>1</x:v>
      </x:c>
      <x:c r="I4689" s="6" t="str"/>
      <x:c r="J4689" s="6" t="str">
        <x:f>IF(B4689="","",IF(AND(ISNUMBER(SEARCH("平",B4689)),OR(ISNUMBER(SEARCH("上",B4689)),ISNUMBER(SEARCH("去",B4689)),ISNUMBER(SEARCH("入",B4689)))),"Ambiguous",IF(ISNUMBER(SEARCH("平",B4689)),"平","仄")))</x:f>
        <x:v>平</x:v>
      </x:c>
      <x:c r="K4689" s="6" t="str">
        <x:f>IF(D4689="","",IF(AND(ISNUMBER(SEARCH("平",D4689)),OR(ISNUMBER(SEARCH("上",D4689)),ISNUMBER(SEARCH("去",D4689)),ISNUMBER(SEARCH("入",D4689)))),"Ambiguous",IF(ISNUMBER(SEARCH("平",D4689)),"平","仄")))</x:f>
        <x:v>平</x:v>
      </x:c>
      <x:c r="L4689" s="7" t="str"/>
    </x:row>
    <x:row r="4690">
      <x:c r="A4690" s="5" t="str">
        <x:v>駽</x:v>
      </x:c>
      <x:c r="B4690" s="6" t="str"/>
      <x:c r="C4690" s="6" t="str">
        <x:f>IF(B4690="","Needs decision","Ready")</x:f>
        <x:v>Needs decision</x:v>
      </x:c>
      <x:c r="D4690" s="6" t="str">
        <x:v>平/去</x:v>
      </x:c>
      <x:c r="E4690" s="6" t="str">
        <x:v>xwen (A); xwenH (C)</x:v>
      </x:c>
      <x:c r="F4690" s="6" t="str">
        <x:v>下平聲一先</x:v>
      </x:c>
      <x:c r="G4690" s="6" t="str">
        <x:v>Pingshui main list, Wikisource-derived DOCX</x:v>
      </x:c>
      <x:c r="H4690" s="6" t="str">
        <x:v>2</x:v>
      </x:c>
      <x:c r="I4690" s="6" t="str"/>
      <x:c r="J4690" s="6" t="str">
        <x:f>IF(B4690="","",IF(AND(ISNUMBER(SEARCH("平",B4690)),OR(ISNUMBER(SEARCH("上",B4690)),ISNUMBER(SEARCH("去",B4690)),ISNUMBER(SEARCH("入",B4690)))),"Ambiguous",IF(ISNUMBER(SEARCH("平",B4690)),"平","仄")))</x:f>
      </x:c>
      <x:c r="K4690" s="6" t="str">
        <x:f>IF(D4690="","",IF(AND(ISNUMBER(SEARCH("平",D4690)),OR(ISNUMBER(SEARCH("上",D4690)),ISNUMBER(SEARCH("去",D4690)),ISNUMBER(SEARCH("入",D4690)))),"Ambiguous",IF(ISNUMBER(SEARCH("平",D4690)),"平","仄")))</x:f>
        <x:v>Ambiguous</x:v>
      </x:c>
      <x:c r="L4690" s="7" t="str"/>
    </x:row>
    <x:row r="4691">
      <x:c r="A4691" s="5" t="str">
        <x:v>駿</x:v>
      </x:c>
      <x:c r="B4691" s="6" t="str">
        <x:v>去</x:v>
      </x:c>
      <x:c r="C4691" s="6" t="str">
        <x:f>IF(B4691="","Needs decision","Ready")</x:f>
        <x:v>Ready</x:v>
      </x:c>
      <x:c r="D4691" s="6" t="str">
        <x:v>去</x:v>
      </x:c>
      <x:c r="E4691" s="6" t="str">
        <x:v>tswinH (C)</x:v>
      </x:c>
      <x:c r="F4691" s="6" t="str">
        <x:v>去聲十二震</x:v>
      </x:c>
      <x:c r="G4691" s="6" t="str">
        <x:v>Pingshui main list, Wikisource-derived DOCX</x:v>
      </x:c>
      <x:c r="H4691" s="6" t="str">
        <x:v>1</x:v>
      </x:c>
      <x:c r="I4691" s="6" t="str"/>
      <x:c r="J4691" s="6" t="str">
        <x:f>IF(B4691="","",IF(AND(ISNUMBER(SEARCH("平",B4691)),OR(ISNUMBER(SEARCH("上",B4691)),ISNUMBER(SEARCH("去",B4691)),ISNUMBER(SEARCH("入",B4691)))),"Ambiguous",IF(ISNUMBER(SEARCH("平",B4691)),"平","仄")))</x:f>
        <x:v>仄</x:v>
      </x:c>
      <x:c r="K4691" s="6" t="str">
        <x:f>IF(D4691="","",IF(AND(ISNUMBER(SEARCH("平",D4691)),OR(ISNUMBER(SEARCH("上",D4691)),ISNUMBER(SEARCH("去",D4691)),ISNUMBER(SEARCH("入",D4691)))),"Ambiguous",IF(ISNUMBER(SEARCH("平",D4691)),"平","仄")))</x:f>
        <x:v>仄</x:v>
      </x:c>
      <x:c r="L4691" s="7" t="str"/>
    </x:row>
    <x:row r="4692">
      <x:c r="A4692" s="5" t="str">
        <x:v>騁</x:v>
      </x:c>
      <x:c r="B4692" s="6" t="str">
        <x:v>上</x:v>
      </x:c>
      <x:c r="C4692" s="6" t="str">
        <x:f>IF(B4692="","Needs decision","Ready")</x:f>
        <x:v>Ready</x:v>
      </x:c>
      <x:c r="D4692" s="6" t="str">
        <x:v>上</x:v>
      </x:c>
      <x:c r="E4692" s="6" t="str">
        <x:v>trhjengX (B)</x:v>
      </x:c>
      <x:c r="F4692" s="6" t="str">
        <x:v>上聲二十三梗</x:v>
      </x:c>
      <x:c r="G4692" s="6" t="str">
        <x:v>Pingshui main list, Wikisource-derived DOCX</x:v>
      </x:c>
      <x:c r="H4692" s="6" t="str">
        <x:v>1</x:v>
      </x:c>
      <x:c r="I4692" s="6" t="str"/>
      <x:c r="J4692" s="6" t="str">
        <x:f>IF(B4692="","",IF(AND(ISNUMBER(SEARCH("平",B4692)),OR(ISNUMBER(SEARCH("上",B4692)),ISNUMBER(SEARCH("去",B4692)),ISNUMBER(SEARCH("入",B4692)))),"Ambiguous",IF(ISNUMBER(SEARCH("平",B4692)),"平","仄")))</x:f>
        <x:v>仄</x:v>
      </x:c>
      <x:c r="K4692" s="6" t="str">
        <x:f>IF(D4692="","",IF(AND(ISNUMBER(SEARCH("平",D4692)),OR(ISNUMBER(SEARCH("上",D4692)),ISNUMBER(SEARCH("去",D4692)),ISNUMBER(SEARCH("入",D4692)))),"Ambiguous",IF(ISNUMBER(SEARCH("平",D4692)),"平","仄")))</x:f>
        <x:v>仄</x:v>
      </x:c>
      <x:c r="L4692" s="7" t="str"/>
    </x:row>
    <x:row r="4693">
      <x:c r="A4693" s="5" t="str">
        <x:v>騅</x:v>
      </x:c>
      <x:c r="B4693" s="6" t="str">
        <x:v>平</x:v>
      </x:c>
      <x:c r="C4693" s="6" t="str">
        <x:f>IF(B4693="","Needs decision","Ready")</x:f>
        <x:v>Ready</x:v>
      </x:c>
      <x:c r="D4693" s="6" t="str">
        <x:v>平</x:v>
      </x:c>
      <x:c r="E4693" s="6" t="str">
        <x:v>tsywij [tɕwi] (平)</x:v>
      </x:c>
      <x:c r="F4693" s="6" t="str">
        <x:v>上平聲四支</x:v>
      </x:c>
      <x:c r="G4693" s="6" t="str">
        <x:v>Pingshui main list, Wikisource-derived DOCX</x:v>
      </x:c>
      <x:c r="H4693" s="6" t="str">
        <x:v>1</x:v>
      </x:c>
      <x:c r="I4693" s="6" t="str">
        <x:v>Tang 300 gap; frequency 1; provisional from Xun Gong</x:v>
      </x:c>
      <x:c r="J4693" s="6" t="str">
        <x:f>IF(B4693="","",IF(AND(ISNUMBER(SEARCH("平",B4693)),OR(ISNUMBER(SEARCH("上",B4693)),ISNUMBER(SEARCH("去",B4693)),ISNUMBER(SEARCH("入",B4693)))),"Ambiguous",IF(ISNUMBER(SEARCH("平",B4693)),"平","仄")))</x:f>
        <x:v>平</x:v>
      </x:c>
      <x:c r="K4693" s="6" t="str">
        <x:f>IF(D4693="","",IF(AND(ISNUMBER(SEARCH("平",D4693)),OR(ISNUMBER(SEARCH("上",D4693)),ISNUMBER(SEARCH("去",D4693)),ISNUMBER(SEARCH("入",D4693)))),"Ambiguous",IF(ISNUMBER(SEARCH("平",D4693)),"平","仄")))</x:f>
        <x:v>平</x:v>
      </x:c>
      <x:c r="L4693" s="7" t="str">
        <x:v>Xun Gong, Tang 300 gap fill</x:v>
      </x:c>
    </x:row>
    <x:row r="4694">
      <x:c r="A4694" s="5" t="str">
        <x:v>騎</x:v>
      </x:c>
      <x:c r="B4694" s="6" t="str"/>
      <x:c r="C4694" s="6" t="str">
        <x:f>IF(B4694="","Needs decision","Ready")</x:f>
        <x:v>Needs decision</x:v>
      </x:c>
      <x:c r="D4694" s="6" t="str">
        <x:v>平/去</x:v>
      </x:c>
      <x:c r="E4694" s="6" t="str">
        <x:v>gje (A); gjeH (C)</x:v>
      </x:c>
      <x:c r="F4694" s="6" t="str">
        <x:v>上平聲四支; 去聲四寘</x:v>
      </x:c>
      <x:c r="G4694" s="6" t="str">
        <x:v>Pingshui main list, Wikisource-derived DOCX</x:v>
      </x:c>
      <x:c r="H4694" s="6" t="str">
        <x:v>2</x:v>
      </x:c>
      <x:c r="I4694" s="6" t="str"/>
      <x:c r="J4694" s="6" t="str">
        <x:f>IF(B4694="","",IF(AND(ISNUMBER(SEARCH("平",B4694)),OR(ISNUMBER(SEARCH("上",B4694)),ISNUMBER(SEARCH("去",B4694)),ISNUMBER(SEARCH("入",B4694)))),"Ambiguous",IF(ISNUMBER(SEARCH("平",B4694)),"平","仄")))</x:f>
      </x:c>
      <x:c r="K4694" s="6" t="str">
        <x:f>IF(D4694="","",IF(AND(ISNUMBER(SEARCH("平",D4694)),OR(ISNUMBER(SEARCH("上",D4694)),ISNUMBER(SEARCH("去",D4694)),ISNUMBER(SEARCH("入",D4694)))),"Ambiguous",IF(ISNUMBER(SEARCH("平",D4694)),"平","仄")))</x:f>
        <x:v>Ambiguous</x:v>
      </x:c>
      <x:c r="L4694" s="7" t="str"/>
    </x:row>
    <x:row r="4695">
      <x:c r="A4695" s="5" t="str">
        <x:v>騏</x:v>
      </x:c>
      <x:c r="B4695" s="6" t="str">
        <x:v>平</x:v>
      </x:c>
      <x:c r="C4695" s="6" t="str">
        <x:f>IF(B4695="","Needs decision","Ready")</x:f>
        <x:v>Ready</x:v>
      </x:c>
      <x:c r="D4695" s="6" t="str">
        <x:v>平</x:v>
      </x:c>
      <x:c r="E4695" s="6" t="str">
        <x:v>gi (A)</x:v>
      </x:c>
      <x:c r="F4695" s="6" t="str">
        <x:v>上平聲四支</x:v>
      </x:c>
      <x:c r="G4695" s="6" t="str">
        <x:v>Pingshui main list, Wikisource-derived DOCX</x:v>
      </x:c>
      <x:c r="H4695" s="6" t="str">
        <x:v>1</x:v>
      </x:c>
      <x:c r="I4695" s="6" t="str"/>
      <x:c r="J4695" s="6" t="str">
        <x:f>IF(B4695="","",IF(AND(ISNUMBER(SEARCH("平",B4695)),OR(ISNUMBER(SEARCH("上",B4695)),ISNUMBER(SEARCH("去",B4695)),ISNUMBER(SEARCH("入",B4695)))),"Ambiguous",IF(ISNUMBER(SEARCH("平",B4695)),"平","仄")))</x:f>
        <x:v>平</x:v>
      </x:c>
      <x:c r="K4695" s="6" t="str">
        <x:f>IF(D4695="","",IF(AND(ISNUMBER(SEARCH("平",D4695)),OR(ISNUMBER(SEARCH("上",D4695)),ISNUMBER(SEARCH("去",D4695)),ISNUMBER(SEARCH("入",D4695)))),"Ambiguous",IF(ISNUMBER(SEARCH("平",D4695)),"平","仄")))</x:f>
        <x:v>平</x:v>
      </x:c>
      <x:c r="L4695" s="7" t="str"/>
    </x:row>
    <x:row r="4696">
      <x:c r="A4696" s="5" t="str">
        <x:v>騖</x:v>
      </x:c>
      <x:c r="B4696" s="6" t="str">
        <x:v>去</x:v>
      </x:c>
      <x:c r="C4696" s="6" t="str">
        <x:f>IF(B4696="","Needs decision","Ready")</x:f>
        <x:v>Ready</x:v>
      </x:c>
      <x:c r="D4696" s="6" t="str">
        <x:v>去</x:v>
      </x:c>
      <x:c r="E4696" s="6" t="str">
        <x:v>mjuH [明三C虞去] mɨ̯oh</x:v>
      </x:c>
      <x:c r="F4696" s="6" t="str">
        <x:v>去聲七遇</x:v>
      </x:c>
      <x:c r="G4696" s="6" t="str">
        <x:v>Pingshui main list, Wikisource-derived DOCX</x:v>
      </x:c>
      <x:c r="H4696" s="6" t="str">
        <x:v>1</x:v>
      </x:c>
      <x:c r="I4696" s="6" t="str">
        <x:v>Targeted preliminary fill from Xun Gong; review if uncertain</x:v>
      </x:c>
      <x:c r="J4696" s="6" t="str">
        <x:f>IF(B4696="","",IF(AND(ISNUMBER(SEARCH("平",B4696)),OR(ISNUMBER(SEARCH("上",B4696)),ISNUMBER(SEARCH("去",B4696)),ISNUMBER(SEARCH("入",B4696)))),"Ambiguous",IF(ISNUMBER(SEARCH("平",B4696)),"平","仄")))</x:f>
        <x:v>仄</x:v>
      </x:c>
      <x:c r="K4696" s="6" t="str">
        <x:f>IF(D4696="","",IF(AND(ISNUMBER(SEARCH("平",D4696)),OR(ISNUMBER(SEARCH("上",D4696)),ISNUMBER(SEARCH("去",D4696)),ISNUMBER(SEARCH("入",D4696)))),"Ambiguous",IF(ISNUMBER(SEARCH("平",D4696)),"平","仄")))</x:f>
        <x:v>仄</x:v>
      </x:c>
      <x:c r="L4696" s="7" t="str">
        <x:v>Xun Gong character-readings.csv</x:v>
      </x:c>
    </x:row>
    <x:row r="4697">
      <x:c r="A4697" s="5" t="str">
        <x:v>騙</x:v>
      </x:c>
      <x:c r="B4697" s="6" t="str">
        <x:v>去</x:v>
      </x:c>
      <x:c r="C4697" s="6" t="str">
        <x:f>IF(B4697="","Needs decision","Ready")</x:f>
        <x:v>Ready</x:v>
      </x:c>
      <x:c r="D4697" s="6" t="str">
        <x:v>去</x:v>
      </x:c>
      <x:c r="E4697" s="6" t="str">
        <x:v>phjienH (C)</x:v>
      </x:c>
      <x:c r="F4697" s="6" t="str"/>
      <x:c r="G4697" s="6" t="str"/>
      <x:c r="H4697" s="6" t="str">
        <x:v>1</x:v>
      </x:c>
      <x:c r="I4697" s="6" t="str"/>
      <x:c r="J4697" s="6" t="str">
        <x:f>IF(B4697="","",IF(AND(ISNUMBER(SEARCH("平",B4697)),OR(ISNUMBER(SEARCH("上",B4697)),ISNUMBER(SEARCH("去",B4697)),ISNUMBER(SEARCH("入",B4697)))),"Ambiguous",IF(ISNUMBER(SEARCH("平",B4697)),"平","仄")))</x:f>
        <x:v>仄</x:v>
      </x:c>
      <x:c r="K4697" s="6" t="str">
        <x:f>IF(D4697="","",IF(AND(ISNUMBER(SEARCH("平",D4697)),OR(ISNUMBER(SEARCH("上",D4697)),ISNUMBER(SEARCH("去",D4697)),ISNUMBER(SEARCH("入",D4697)))),"Ambiguous",IF(ISNUMBER(SEARCH("平",D4697)),"平","仄")))</x:f>
        <x:v>仄</x:v>
      </x:c>
      <x:c r="L4697" s="7" t="str"/>
    </x:row>
    <x:row r="4698">
      <x:c r="A4698" s="5" t="str">
        <x:v>騢</x:v>
      </x:c>
      <x:c r="B4698" s="6" t="str">
        <x:v>平</x:v>
      </x:c>
      <x:c r="C4698" s="6" t="str">
        <x:f>IF(B4698="","Needs decision","Ready")</x:f>
        <x:v>Ready</x:v>
      </x:c>
      <x:c r="D4698" s="6" t="str">
        <x:v>平</x:v>
      </x:c>
      <x:c r="E4698" s="6" t="str">
        <x:v>hae (A)</x:v>
      </x:c>
      <x:c r="F4698" s="6" t="str">
        <x:v>下平聲六麻</x:v>
      </x:c>
      <x:c r="G4698" s="6" t="str">
        <x:v>Pingshui main list, Wikisource-derived DOCX</x:v>
      </x:c>
      <x:c r="H4698" s="6" t="str">
        <x:v>1</x:v>
      </x:c>
      <x:c r="I4698" s="6" t="str"/>
      <x:c r="J4698" s="6" t="str">
        <x:f>IF(B4698="","",IF(AND(ISNUMBER(SEARCH("平",B4698)),OR(ISNUMBER(SEARCH("上",B4698)),ISNUMBER(SEARCH("去",B4698)),ISNUMBER(SEARCH("入",B4698)))),"Ambiguous",IF(ISNUMBER(SEARCH("平",B4698)),"平","仄")))</x:f>
        <x:v>平</x:v>
      </x:c>
      <x:c r="K4698" s="6" t="str">
        <x:f>IF(D4698="","",IF(AND(ISNUMBER(SEARCH("平",D4698)),OR(ISNUMBER(SEARCH("上",D4698)),ISNUMBER(SEARCH("去",D4698)),ISNUMBER(SEARCH("入",D4698)))),"Ambiguous",IF(ISNUMBER(SEARCH("平",D4698)),"平","仄")))</x:f>
        <x:v>平</x:v>
      </x:c>
      <x:c r="L4698" s="7" t="str"/>
    </x:row>
    <x:row r="4699">
      <x:c r="A4699" s="5" t="str">
        <x:v>騧</x:v>
      </x:c>
      <x:c r="B4699" s="6" t="str">
        <x:v>平</x:v>
      </x:c>
      <x:c r="C4699" s="6" t="str">
        <x:f>IF(B4699="","Needs decision","Ready")</x:f>
        <x:v>Ready</x:v>
      </x:c>
      <x:c r="D4699" s="6" t="str">
        <x:v>平</x:v>
      </x:c>
      <x:c r="E4699" s="6" t="str">
        <x:v>kwae (A)</x:v>
      </x:c>
      <x:c r="F4699" s="6" t="str">
        <x:v>上平聲九佳; 下平聲六麻</x:v>
      </x:c>
      <x:c r="G4699" s="6" t="str">
        <x:v>Pingshui main list, Wikisource-derived DOCX</x:v>
      </x:c>
      <x:c r="H4699" s="6" t="str">
        <x:v>1</x:v>
      </x:c>
      <x:c r="I4699" s="6" t="str"/>
      <x:c r="J4699" s="6" t="str">
        <x:f>IF(B4699="","",IF(AND(ISNUMBER(SEARCH("平",B4699)),OR(ISNUMBER(SEARCH("上",B4699)),ISNUMBER(SEARCH("去",B4699)),ISNUMBER(SEARCH("入",B4699)))),"Ambiguous",IF(ISNUMBER(SEARCH("平",B4699)),"平","仄")))</x:f>
        <x:v>平</x:v>
      </x:c>
      <x:c r="K4699" s="6" t="str">
        <x:f>IF(D4699="","",IF(AND(ISNUMBER(SEARCH("平",D4699)),OR(ISNUMBER(SEARCH("上",D4699)),ISNUMBER(SEARCH("去",D4699)),ISNUMBER(SEARCH("入",D4699)))),"Ambiguous",IF(ISNUMBER(SEARCH("平",D4699)),"平","仄")))</x:f>
        <x:v>平</x:v>
      </x:c>
      <x:c r="L4699" s="7" t="str"/>
    </x:row>
    <x:row r="4700">
      <x:c r="A4700" s="5" t="str">
        <x:v>騮</x:v>
      </x:c>
      <x:c r="B4700" s="6" t="str">
        <x:v>平</x:v>
      </x:c>
      <x:c r="C4700" s="6" t="str">
        <x:f>IF(B4700="","Needs decision","Ready")</x:f>
        <x:v>Ready</x:v>
      </x:c>
      <x:c r="D4700" s="6" t="str">
        <x:v>平</x:v>
      </x:c>
      <x:c r="E4700" s="6" t="str">
        <x:v>ljuw [lju] (平)</x:v>
      </x:c>
      <x:c r="F4700" s="6" t="str">
        <x:v>下平聲十一尤</x:v>
      </x:c>
      <x:c r="G4700" s="6" t="str">
        <x:v>Pingshui main list, Wikisource-derived DOCX</x:v>
      </x:c>
      <x:c r="H4700" s="6" t="str">
        <x:v>1</x:v>
      </x:c>
      <x:c r="I4700" s="6" t="str">
        <x:v>Tang 300 gap; frequency 2; provisional from Xun Gong</x:v>
      </x:c>
      <x:c r="J4700" s="6" t="str">
        <x:f>IF(B4700="","",IF(AND(ISNUMBER(SEARCH("平",B4700)),OR(ISNUMBER(SEARCH("上",B4700)),ISNUMBER(SEARCH("去",B4700)),ISNUMBER(SEARCH("入",B4700)))),"Ambiguous",IF(ISNUMBER(SEARCH("平",B4700)),"平","仄")))</x:f>
        <x:v>平</x:v>
      </x:c>
      <x:c r="K4700" s="6" t="str">
        <x:f>IF(D4700="","",IF(AND(ISNUMBER(SEARCH("平",D4700)),OR(ISNUMBER(SEARCH("上",D4700)),ISNUMBER(SEARCH("去",D4700)),ISNUMBER(SEARCH("入",D4700)))),"Ambiguous",IF(ISNUMBER(SEARCH("平",D4700)),"平","仄")))</x:f>
        <x:v>平</x:v>
      </x:c>
      <x:c r="L4700" s="7" t="str">
        <x:v>Xun Gong, Tang 300 gap fill</x:v>
      </x:c>
    </x:row>
    <x:row r="4701">
      <x:c r="A4701" s="5" t="str">
        <x:v>騰</x:v>
      </x:c>
      <x:c r="B4701" s="6" t="str">
        <x:v>平</x:v>
      </x:c>
      <x:c r="C4701" s="6" t="str">
        <x:f>IF(B4701="","Needs decision","Ready")</x:f>
        <x:v>Ready</x:v>
      </x:c>
      <x:c r="D4701" s="6" t="str">
        <x:v>平</x:v>
      </x:c>
      <x:c r="E4701" s="6" t="str">
        <x:v>dong (A)</x:v>
      </x:c>
      <x:c r="F4701" s="6" t="str">
        <x:v>下平聲十蒸</x:v>
      </x:c>
      <x:c r="G4701" s="6" t="str">
        <x:v>Pingshui main list, Wikisource-derived DOCX</x:v>
      </x:c>
      <x:c r="H4701" s="6" t="str">
        <x:v>1</x:v>
      </x:c>
      <x:c r="I4701" s="6" t="str"/>
      <x:c r="J4701" s="6" t="str">
        <x:f>IF(B4701="","",IF(AND(ISNUMBER(SEARCH("平",B4701)),OR(ISNUMBER(SEARCH("上",B4701)),ISNUMBER(SEARCH("去",B4701)),ISNUMBER(SEARCH("入",B4701)))),"Ambiguous",IF(ISNUMBER(SEARCH("平",B4701)),"平","仄")))</x:f>
        <x:v>平</x:v>
      </x:c>
      <x:c r="K4701" s="6" t="str">
        <x:f>IF(D4701="","",IF(AND(ISNUMBER(SEARCH("平",D4701)),OR(ISNUMBER(SEARCH("上",D4701)),ISNUMBER(SEARCH("去",D4701)),ISNUMBER(SEARCH("入",D4701)))),"Ambiguous",IF(ISNUMBER(SEARCH("平",D4701)),"平","仄")))</x:f>
        <x:v>平</x:v>
      </x:c>
      <x:c r="L4701" s="7" t="str"/>
    </x:row>
    <x:row r="4702">
      <x:c r="A4702" s="5" t="str">
        <x:v>騱</x:v>
      </x:c>
      <x:c r="B4702" s="6" t="str">
        <x:v>平</x:v>
      </x:c>
      <x:c r="C4702" s="6" t="str">
        <x:f>IF(B4702="","Needs decision","Ready")</x:f>
        <x:v>Ready</x:v>
      </x:c>
      <x:c r="D4702" s="6" t="str">
        <x:v>平</x:v>
      </x:c>
      <x:c r="E4702" s="6" t="str">
        <x:v>hej (A)</x:v>
      </x:c>
      <x:c r="F4702" s="6" t="str">
        <x:v>上平聲八齊</x:v>
      </x:c>
      <x:c r="G4702" s="6" t="str">
        <x:v>Pingshui main list, Wikisource-derived DOCX</x:v>
      </x:c>
      <x:c r="H4702" s="6" t="str">
        <x:v>1</x:v>
      </x:c>
      <x:c r="I4702" s="6" t="str"/>
      <x:c r="J4702" s="6" t="str">
        <x:f>IF(B4702="","",IF(AND(ISNUMBER(SEARCH("平",B4702)),OR(ISNUMBER(SEARCH("上",B4702)),ISNUMBER(SEARCH("去",B4702)),ISNUMBER(SEARCH("入",B4702)))),"Ambiguous",IF(ISNUMBER(SEARCH("平",B4702)),"平","仄")))</x:f>
        <x:v>平</x:v>
      </x:c>
      <x:c r="K4702" s="6" t="str">
        <x:f>IF(D4702="","",IF(AND(ISNUMBER(SEARCH("平",D4702)),OR(ISNUMBER(SEARCH("上",D4702)),ISNUMBER(SEARCH("去",D4702)),ISNUMBER(SEARCH("入",D4702)))),"Ambiguous",IF(ISNUMBER(SEARCH("平",D4702)),"平","仄")))</x:f>
        <x:v>平</x:v>
      </x:c>
      <x:c r="L4702" s="7" t="str"/>
    </x:row>
    <x:row r="4703">
      <x:c r="A4703" s="5" t="str">
        <x:v>騶</x:v>
      </x:c>
      <x:c r="B4703" s="6" t="str"/>
      <x:c r="C4703" s="6" t="str">
        <x:f>IF(B4703="","Needs decision","Ready")</x:f>
        <x:v>Needs decision</x:v>
      </x:c>
      <x:c r="D4703" s="6" t="str">
        <x:v>平/去</x:v>
      </x:c>
      <x:c r="E4703" s="6" t="str">
        <x:v>dzrjuwH (C); tsrjuw (A)</x:v>
      </x:c>
      <x:c r="F4703" s="6" t="str">
        <x:v>上平聲七虞; 下平聲十一尤</x:v>
      </x:c>
      <x:c r="G4703" s="6" t="str">
        <x:v>Pingshui main list, Wikisource-derived DOCX</x:v>
      </x:c>
      <x:c r="H4703" s="6" t="str">
        <x:v>2</x:v>
      </x:c>
      <x:c r="I4703" s="6" t="str"/>
      <x:c r="J4703" s="6" t="str">
        <x:f>IF(B4703="","",IF(AND(ISNUMBER(SEARCH("平",B4703)),OR(ISNUMBER(SEARCH("上",B4703)),ISNUMBER(SEARCH("去",B4703)),ISNUMBER(SEARCH("入",B4703)))),"Ambiguous",IF(ISNUMBER(SEARCH("平",B4703)),"平","仄")))</x:f>
      </x:c>
      <x:c r="K4703" s="6" t="str">
        <x:f>IF(D4703="","",IF(AND(ISNUMBER(SEARCH("平",D4703)),OR(ISNUMBER(SEARCH("上",D4703)),ISNUMBER(SEARCH("去",D4703)),ISNUMBER(SEARCH("入",D4703)))),"Ambiguous",IF(ISNUMBER(SEARCH("平",D4703)),"平","仄")))</x:f>
        <x:v>Ambiguous</x:v>
      </x:c>
      <x:c r="L4703" s="7" t="str"/>
    </x:row>
    <x:row r="4704">
      <x:c r="A4704" s="5" t="str">
        <x:v>騷</x:v>
      </x:c>
      <x:c r="B4704" s="6" t="str">
        <x:v>平</x:v>
      </x:c>
      <x:c r="C4704" s="6" t="str">
        <x:f>IF(B4704="","Needs decision","Ready")</x:f>
        <x:v>Ready</x:v>
      </x:c>
      <x:c r="D4704" s="6" t="str">
        <x:v>平</x:v>
      </x:c>
      <x:c r="E4704" s="6" t="str">
        <x:v>saw (A)</x:v>
      </x:c>
      <x:c r="F4704" s="6" t="str">
        <x:v>下平聲四豪</x:v>
      </x:c>
      <x:c r="G4704" s="6" t="str">
        <x:v>Pingshui main list, Wikisource-derived DOCX</x:v>
      </x:c>
      <x:c r="H4704" s="6" t="str">
        <x:v>1</x:v>
      </x:c>
      <x:c r="I4704" s="6" t="str"/>
      <x:c r="J4704" s="6" t="str">
        <x:f>IF(B4704="","",IF(AND(ISNUMBER(SEARCH("平",B4704)),OR(ISNUMBER(SEARCH("上",B4704)),ISNUMBER(SEARCH("去",B4704)),ISNUMBER(SEARCH("入",B4704)))),"Ambiguous",IF(ISNUMBER(SEARCH("平",B4704)),"平","仄")))</x:f>
        <x:v>平</x:v>
      </x:c>
      <x:c r="K4704" s="6" t="str">
        <x:f>IF(D4704="","",IF(AND(ISNUMBER(SEARCH("平",D4704)),OR(ISNUMBER(SEARCH("上",D4704)),ISNUMBER(SEARCH("去",D4704)),ISNUMBER(SEARCH("入",D4704)))),"Ambiguous",IF(ISNUMBER(SEARCH("平",D4704)),"平","仄")))</x:f>
        <x:v>平</x:v>
      </x:c>
      <x:c r="L4704" s="7" t="str"/>
    </x:row>
    <x:row r="4705">
      <x:c r="A4705" s="5" t="str">
        <x:v>驂</x:v>
      </x:c>
      <x:c r="B4705" s="6" t="str">
        <x:v>平</x:v>
      </x:c>
      <x:c r="C4705" s="6" t="str">
        <x:f>IF(B4705="","Needs decision","Ready")</x:f>
        <x:v>Ready</x:v>
      </x:c>
      <x:c r="D4705" s="6" t="str">
        <x:v>平</x:v>
      </x:c>
      <x:c r="E4705" s="6" t="str">
        <x:v>tshom (A)</x:v>
      </x:c>
      <x:c r="F4705" s="6" t="str">
        <x:v>下平聲十三覃</x:v>
      </x:c>
      <x:c r="G4705" s="6" t="str">
        <x:v>Pingshui main list, Wikisource-derived DOCX</x:v>
      </x:c>
      <x:c r="H4705" s="6" t="str">
        <x:v>1</x:v>
      </x:c>
      <x:c r="I4705" s="6" t="str"/>
      <x:c r="J4705" s="6" t="str">
        <x:f>IF(B4705="","",IF(AND(ISNUMBER(SEARCH("平",B4705)),OR(ISNUMBER(SEARCH("上",B4705)),ISNUMBER(SEARCH("去",B4705)),ISNUMBER(SEARCH("入",B4705)))),"Ambiguous",IF(ISNUMBER(SEARCH("平",B4705)),"平","仄")))</x:f>
        <x:v>平</x:v>
      </x:c>
      <x:c r="K4705" s="6" t="str">
        <x:f>IF(D4705="","",IF(AND(ISNUMBER(SEARCH("平",D4705)),OR(ISNUMBER(SEARCH("上",D4705)),ISNUMBER(SEARCH("去",D4705)),ISNUMBER(SEARCH("入",D4705)))),"Ambiguous",IF(ISNUMBER(SEARCH("平",D4705)),"平","仄")))</x:f>
        <x:v>平</x:v>
      </x:c>
      <x:c r="L4705" s="7" t="str"/>
    </x:row>
    <x:row r="4706">
      <x:c r="A4706" s="5" t="str">
        <x:v>驄</x:v>
      </x:c>
      <x:c r="B4706" s="6" t="str">
        <x:v>平</x:v>
      </x:c>
      <x:c r="C4706" s="6" t="str">
        <x:f>IF(B4706="","Needs decision","Ready")</x:f>
        <x:v>Ready</x:v>
      </x:c>
      <x:c r="D4706" s="6" t="str">
        <x:v>平</x:v>
      </x:c>
      <x:c r="E4706" s="6" t="str">
        <x:v>tshuwng [t̙s̙ʰuŋ] (平)</x:v>
      </x:c>
      <x:c r="F4706" s="6" t="str">
        <x:v>上平聲一東</x:v>
      </x:c>
      <x:c r="G4706" s="6" t="str">
        <x:v>Pingshui main list, Wikisource-derived DOCX</x:v>
      </x:c>
      <x:c r="H4706" s="6" t="str">
        <x:v>1</x:v>
      </x:c>
      <x:c r="I4706" s="6" t="str">
        <x:v>Tang 300 gap; frequency 3; provisional from Xun Gong</x:v>
      </x:c>
      <x:c r="J4706" s="6" t="str">
        <x:f>IF(B4706="","",IF(AND(ISNUMBER(SEARCH("平",B4706)),OR(ISNUMBER(SEARCH("上",B4706)),ISNUMBER(SEARCH("去",B4706)),ISNUMBER(SEARCH("入",B4706)))),"Ambiguous",IF(ISNUMBER(SEARCH("平",B4706)),"平","仄")))</x:f>
        <x:v>平</x:v>
      </x:c>
      <x:c r="K4706" s="6" t="str">
        <x:f>IF(D4706="","",IF(AND(ISNUMBER(SEARCH("平",D4706)),OR(ISNUMBER(SEARCH("上",D4706)),ISNUMBER(SEARCH("去",D4706)),ISNUMBER(SEARCH("入",D4706)))),"Ambiguous",IF(ISNUMBER(SEARCH("平",D4706)),"平","仄")))</x:f>
        <x:v>平</x:v>
      </x:c>
      <x:c r="L4706" s="7" t="str">
        <x:v>Xun Gong, Tang 300 gap fill</x:v>
      </x:c>
    </x:row>
    <x:row r="4707">
      <x:c r="A4707" s="5" t="str">
        <x:v>驅</x:v>
      </x:c>
      <x:c r="B4707" s="6" t="str">
        <x:v>平</x:v>
      </x:c>
      <x:c r="C4707" s="6" t="str">
        <x:f>IF(B4707="","Needs decision","Ready")</x:f>
        <x:v>Ready</x:v>
      </x:c>
      <x:c r="D4707" s="6" t="str">
        <x:v>平</x:v>
      </x:c>
      <x:c r="E4707" s="6" t="str">
        <x:v>khju (A)</x:v>
      </x:c>
      <x:c r="F4707" s="6" t="str">
        <x:v>上平聲七虞; 去聲七遇</x:v>
      </x:c>
      <x:c r="G4707" s="6" t="str">
        <x:v>Pingshui main list, Wikisource-derived DOCX</x:v>
      </x:c>
      <x:c r="H4707" s="6" t="str">
        <x:v>1</x:v>
      </x:c>
      <x:c r="I4707" s="6" t="str"/>
      <x:c r="J4707" s="6" t="str">
        <x:f>IF(B4707="","",IF(AND(ISNUMBER(SEARCH("平",B4707)),OR(ISNUMBER(SEARCH("上",B4707)),ISNUMBER(SEARCH("去",B4707)),ISNUMBER(SEARCH("入",B4707)))),"Ambiguous",IF(ISNUMBER(SEARCH("平",B4707)),"平","仄")))</x:f>
        <x:v>平</x:v>
      </x:c>
      <x:c r="K4707" s="6" t="str">
        <x:f>IF(D4707="","",IF(AND(ISNUMBER(SEARCH("平",D4707)),OR(ISNUMBER(SEARCH("上",D4707)),ISNUMBER(SEARCH("去",D4707)),ISNUMBER(SEARCH("入",D4707)))),"Ambiguous",IF(ISNUMBER(SEARCH("平",D4707)),"平","仄")))</x:f>
        <x:v>平</x:v>
      </x:c>
      <x:c r="L4707" s="7" t="str"/>
    </x:row>
    <x:row r="4708">
      <x:c r="A4708" s="5" t="str">
        <x:v>驊</x:v>
      </x:c>
      <x:c r="B4708" s="6" t="str">
        <x:v>平</x:v>
      </x:c>
      <x:c r="C4708" s="6" t="str">
        <x:f>IF(B4708="","Needs decision","Ready")</x:f>
        <x:v>Ready</x:v>
      </x:c>
      <x:c r="D4708" s="6" t="str">
        <x:v>平</x:v>
      </x:c>
      <x:c r="E4708" s="6" t="str">
        <x:v>hwae [ʁwaˤ] (平)</x:v>
      </x:c>
      <x:c r="F4708" s="6" t="str">
        <x:v>下平聲六麻</x:v>
      </x:c>
      <x:c r="G4708" s="6" t="str">
        <x:v>Pingshui main list, Wikisource-derived DOCX</x:v>
      </x:c>
      <x:c r="H4708" s="6" t="str">
        <x:v>1</x:v>
      </x:c>
      <x:c r="I4708" s="6" t="str">
        <x:v>Tang 300 gap; frequency 1; provisional from Xun Gong</x:v>
      </x:c>
      <x:c r="J4708" s="6" t="str">
        <x:f>IF(B4708="","",IF(AND(ISNUMBER(SEARCH("平",B4708)),OR(ISNUMBER(SEARCH("上",B4708)),ISNUMBER(SEARCH("去",B4708)),ISNUMBER(SEARCH("入",B4708)))),"Ambiguous",IF(ISNUMBER(SEARCH("平",B4708)),"平","仄")))</x:f>
        <x:v>平</x:v>
      </x:c>
      <x:c r="K4708" s="6" t="str">
        <x:f>IF(D4708="","",IF(AND(ISNUMBER(SEARCH("平",D4708)),OR(ISNUMBER(SEARCH("上",D4708)),ISNUMBER(SEARCH("去",D4708)),ISNUMBER(SEARCH("入",D4708)))),"Ambiguous",IF(ISNUMBER(SEARCH("平",D4708)),"平","仄")))</x:f>
        <x:v>平</x:v>
      </x:c>
      <x:c r="L4708" s="7" t="str">
        <x:v>Xun Gong, Tang 300 gap fill</x:v>
      </x:c>
    </x:row>
    <x:row r="4709">
      <x:c r="A4709" s="5" t="str">
        <x:v>驒</x:v>
      </x:c>
      <x:c r="B4709" s="6" t="str">
        <x:v>平</x:v>
      </x:c>
      <x:c r="C4709" s="6" t="str">
        <x:f>IF(B4709="","Needs decision","Ready")</x:f>
        <x:v>Ready</x:v>
      </x:c>
      <x:c r="D4709" s="6" t="str">
        <x:v>平</x:v>
      </x:c>
      <x:c r="E4709" s="6" t="str">
        <x:v>da (A); ten (A)</x:v>
      </x:c>
      <x:c r="F4709" s="6" t="str">
        <x:v>下平聲五歌</x:v>
      </x:c>
      <x:c r="G4709" s="6" t="str">
        <x:v>Pingshui main list, Wikisource-derived DOCX</x:v>
      </x:c>
      <x:c r="H4709" s="6" t="str">
        <x:v>2</x:v>
      </x:c>
      <x:c r="I4709" s="6" t="str"/>
      <x:c r="J4709" s="6" t="str">
        <x:f>IF(B4709="","",IF(AND(ISNUMBER(SEARCH("平",B4709)),OR(ISNUMBER(SEARCH("上",B4709)),ISNUMBER(SEARCH("去",B4709)),ISNUMBER(SEARCH("入",B4709)))),"Ambiguous",IF(ISNUMBER(SEARCH("平",B4709)),"平","仄")))</x:f>
        <x:v>平</x:v>
      </x:c>
      <x:c r="K4709" s="6" t="str">
        <x:f>IF(D4709="","",IF(AND(ISNUMBER(SEARCH("平",D4709)),OR(ISNUMBER(SEARCH("上",D4709)),ISNUMBER(SEARCH("去",D4709)),ISNUMBER(SEARCH("入",D4709)))),"Ambiguous",IF(ISNUMBER(SEARCH("平",D4709)),"平","仄")))</x:f>
        <x:v>平</x:v>
      </x:c>
      <x:c r="L4709" s="7" t="str"/>
    </x:row>
    <x:row r="4710">
      <x:c r="A4710" s="5" t="str">
        <x:v>驔</x:v>
      </x:c>
      <x:c r="B4710" s="6" t="str">
        <x:v>上</x:v>
      </x:c>
      <x:c r="C4710" s="6" t="str">
        <x:f>IF(B4710="","Needs decision","Ready")</x:f>
        <x:v>Ready</x:v>
      </x:c>
      <x:c r="D4710" s="6" t="str">
        <x:v>上</x:v>
      </x:c>
      <x:c r="E4710" s="6" t="str">
        <x:v>demX (B)</x:v>
      </x:c>
      <x:c r="F4710" s="6" t="str">
        <x:v>下平聲十三覃</x:v>
      </x:c>
      <x:c r="G4710" s="6" t="str">
        <x:v>Pingshui main list, Wikisource-derived DOCX</x:v>
      </x:c>
      <x:c r="H4710" s="6" t="str">
        <x:v>1</x:v>
      </x:c>
      <x:c r="I4710" s="6" t="str"/>
      <x:c r="J4710" s="6" t="str">
        <x:f>IF(B4710="","",IF(AND(ISNUMBER(SEARCH("平",B4710)),OR(ISNUMBER(SEARCH("上",B4710)),ISNUMBER(SEARCH("去",B4710)),ISNUMBER(SEARCH("入",B4710)))),"Ambiguous",IF(ISNUMBER(SEARCH("平",B4710)),"平","仄")))</x:f>
        <x:v>仄</x:v>
      </x:c>
      <x:c r="K4710" s="6" t="str">
        <x:f>IF(D4710="","",IF(AND(ISNUMBER(SEARCH("平",D4710)),OR(ISNUMBER(SEARCH("上",D4710)),ISNUMBER(SEARCH("去",D4710)),ISNUMBER(SEARCH("入",D4710)))),"Ambiguous",IF(ISNUMBER(SEARCH("平",D4710)),"平","仄")))</x:f>
        <x:v>仄</x:v>
      </x:c>
      <x:c r="L4710" s="7" t="str"/>
    </x:row>
    <x:row r="4711">
      <x:c r="A4711" s="5" t="str">
        <x:v>驕</x:v>
      </x:c>
      <x:c r="B4711" s="6" t="str">
        <x:v>平</x:v>
      </x:c>
      <x:c r="C4711" s="6" t="str">
        <x:f>IF(B4711="","Needs decision","Ready")</x:f>
        <x:v>Ready</x:v>
      </x:c>
      <x:c r="D4711" s="6" t="str">
        <x:v>平</x:v>
      </x:c>
      <x:c r="E4711" s="6" t="str">
        <x:v>kjew [kɨ̯ew] (平)</x:v>
      </x:c>
      <x:c r="F4711" s="6" t="str">
        <x:v>下平聲二蕭</x:v>
      </x:c>
      <x:c r="G4711" s="6" t="str">
        <x:v>Pingshui main list, Wikisource-derived DOCX</x:v>
      </x:c>
      <x:c r="H4711" s="6" t="str">
        <x:v>1</x:v>
      </x:c>
      <x:c r="I4711" s="6" t="str">
        <x:v>Tang 300 gap; frequency 2; provisional from Xun Gong</x:v>
      </x:c>
      <x:c r="J4711" s="6" t="str">
        <x:f>IF(B4711="","",IF(AND(ISNUMBER(SEARCH("平",B4711)),OR(ISNUMBER(SEARCH("上",B4711)),ISNUMBER(SEARCH("去",B4711)),ISNUMBER(SEARCH("入",B4711)))),"Ambiguous",IF(ISNUMBER(SEARCH("平",B4711)),"平","仄")))</x:f>
        <x:v>平</x:v>
      </x:c>
      <x:c r="K4711" s="6" t="str">
        <x:f>IF(D4711="","",IF(AND(ISNUMBER(SEARCH("平",D4711)),OR(ISNUMBER(SEARCH("上",D4711)),ISNUMBER(SEARCH("去",D4711)),ISNUMBER(SEARCH("入",D4711)))),"Ambiguous",IF(ISNUMBER(SEARCH("平",D4711)),"平","仄")))</x:f>
        <x:v>平</x:v>
      </x:c>
      <x:c r="L4711" s="7" t="str">
        <x:v>Xun Gong, Tang 300 gap fill</x:v>
      </x:c>
    </x:row>
    <x:row r="4712">
      <x:c r="A4712" s="5" t="str">
        <x:v>驗</x:v>
      </x:c>
      <x:c r="B4712" s="6" t="str">
        <x:v>去</x:v>
      </x:c>
      <x:c r="C4712" s="6" t="str">
        <x:f>IF(B4712="","Needs decision","Ready")</x:f>
        <x:v>Ready</x:v>
      </x:c>
      <x:c r="D4712" s="6" t="str">
        <x:v>去</x:v>
      </x:c>
      <x:c r="E4712" s="6" t="str">
        <x:v>ngjemH (C)</x:v>
      </x:c>
      <x:c r="F4712" s="6" t="str">
        <x:v>去聲二十九豔</x:v>
      </x:c>
      <x:c r="G4712" s="6" t="str">
        <x:v>Pingshui main list, Wikisource-derived DOCX</x:v>
      </x:c>
      <x:c r="H4712" s="6" t="str">
        <x:v>1</x:v>
      </x:c>
      <x:c r="I4712" s="6" t="str"/>
      <x:c r="J4712" s="6" t="str">
        <x:f>IF(B4712="","",IF(AND(ISNUMBER(SEARCH("平",B4712)),OR(ISNUMBER(SEARCH("上",B4712)),ISNUMBER(SEARCH("去",B4712)),ISNUMBER(SEARCH("入",B4712)))),"Ambiguous",IF(ISNUMBER(SEARCH("平",B4712)),"平","仄")))</x:f>
        <x:v>仄</x:v>
      </x:c>
      <x:c r="K4712" s="6" t="str">
        <x:f>IF(D4712="","",IF(AND(ISNUMBER(SEARCH("平",D4712)),OR(ISNUMBER(SEARCH("上",D4712)),ISNUMBER(SEARCH("去",D4712)),ISNUMBER(SEARCH("入",D4712)))),"Ambiguous",IF(ISNUMBER(SEARCH("平",D4712)),"平","仄")))</x:f>
        <x:v>仄</x:v>
      </x:c>
      <x:c r="L4712" s="7" t="str"/>
    </x:row>
    <x:row r="4713">
      <x:c r="A4713" s="5" t="str">
        <x:v>驚</x:v>
      </x:c>
      <x:c r="B4713" s="6" t="str">
        <x:v>平</x:v>
      </x:c>
      <x:c r="C4713" s="6" t="str">
        <x:f>IF(B4713="","Needs decision","Ready")</x:f>
        <x:v>Ready</x:v>
      </x:c>
      <x:c r="D4713" s="6" t="str">
        <x:v>平</x:v>
      </x:c>
      <x:c r="E4713" s="6" t="str">
        <x:v>kjaeng (A)</x:v>
      </x:c>
      <x:c r="F4713" s="6" t="str">
        <x:v>下平聲八庚</x:v>
      </x:c>
      <x:c r="G4713" s="6" t="str">
        <x:v>Pingshui main list, Wikisource-derived DOCX</x:v>
      </x:c>
      <x:c r="H4713" s="6" t="str">
        <x:v>1</x:v>
      </x:c>
      <x:c r="I4713" s="6" t="str"/>
      <x:c r="J4713" s="6" t="str">
        <x:f>IF(B4713="","",IF(AND(ISNUMBER(SEARCH("平",B4713)),OR(ISNUMBER(SEARCH("上",B4713)),ISNUMBER(SEARCH("去",B4713)),ISNUMBER(SEARCH("入",B4713)))),"Ambiguous",IF(ISNUMBER(SEARCH("平",B4713)),"平","仄")))</x:f>
        <x:v>平</x:v>
      </x:c>
      <x:c r="K4713" s="6" t="str">
        <x:f>IF(D4713="","",IF(AND(ISNUMBER(SEARCH("平",D4713)),OR(ISNUMBER(SEARCH("上",D4713)),ISNUMBER(SEARCH("去",D4713)),ISNUMBER(SEARCH("入",D4713)))),"Ambiguous",IF(ISNUMBER(SEARCH("平",D4713)),"平","仄")))</x:f>
        <x:v>平</x:v>
      </x:c>
      <x:c r="L4713" s="7" t="str"/>
    </x:row>
    <x:row r="4714">
      <x:c r="A4714" s="5" t="str">
        <x:v>驛</x:v>
      </x:c>
      <x:c r="B4714" s="6" t="str">
        <x:v>入</x:v>
      </x:c>
      <x:c r="C4714" s="6" t="str">
        <x:f>IF(B4714="","Needs decision","Ready")</x:f>
        <x:v>Ready</x:v>
      </x:c>
      <x:c r="D4714" s="6" t="str">
        <x:v>入</x:v>
      </x:c>
      <x:c r="E4714" s="6" t="str">
        <x:v>yek (D)</x:v>
      </x:c>
      <x:c r="F4714" s="6" t="str">
        <x:v>入聲十一陌</x:v>
      </x:c>
      <x:c r="G4714" s="6" t="str">
        <x:v>Pingshui main list, Wikisource-derived DOCX</x:v>
      </x:c>
      <x:c r="H4714" s="6" t="str">
        <x:v>1</x:v>
      </x:c>
      <x:c r="I4714" s="6" t="str"/>
      <x:c r="J4714" s="6" t="str">
        <x:f>IF(B4714="","",IF(AND(ISNUMBER(SEARCH("平",B4714)),OR(ISNUMBER(SEARCH("上",B4714)),ISNUMBER(SEARCH("去",B4714)),ISNUMBER(SEARCH("入",B4714)))),"Ambiguous",IF(ISNUMBER(SEARCH("平",B4714)),"平","仄")))</x:f>
        <x:v>仄</x:v>
      </x:c>
      <x:c r="K4714" s="6" t="str">
        <x:f>IF(D4714="","",IF(AND(ISNUMBER(SEARCH("平",D4714)),OR(ISNUMBER(SEARCH("上",D4714)),ISNUMBER(SEARCH("去",D4714)),ISNUMBER(SEARCH("入",D4714)))),"Ambiguous",IF(ISNUMBER(SEARCH("平",D4714)),"平","仄")))</x:f>
        <x:v>仄</x:v>
      </x:c>
      <x:c r="L4714" s="7" t="str"/>
    </x:row>
    <x:row r="4715">
      <x:c r="A4715" s="5" t="str">
        <x:v>驟</x:v>
      </x:c>
      <x:c r="B4715" s="6" t="str">
        <x:v>去</x:v>
      </x:c>
      <x:c r="C4715" s="6" t="str">
        <x:f>IF(B4715="","Needs decision","Ready")</x:f>
        <x:v>Ready</x:v>
      </x:c>
      <x:c r="D4715" s="6" t="str">
        <x:v>去</x:v>
      </x:c>
      <x:c r="E4715" s="6" t="str">
        <x:v>dzrjuwH (C)</x:v>
      </x:c>
      <x:c r="F4715" s="6" t="str">
        <x:v>去聲二十六宥</x:v>
      </x:c>
      <x:c r="G4715" s="6" t="str">
        <x:v>Pingshui main list, Wikisource-derived DOCX</x:v>
      </x:c>
      <x:c r="H4715" s="6" t="str">
        <x:v>1</x:v>
      </x:c>
      <x:c r="I4715" s="6" t="str"/>
      <x:c r="J4715" s="6" t="str">
        <x:f>IF(B4715="","",IF(AND(ISNUMBER(SEARCH("平",B4715)),OR(ISNUMBER(SEARCH("上",B4715)),ISNUMBER(SEARCH("去",B4715)),ISNUMBER(SEARCH("入",B4715)))),"Ambiguous",IF(ISNUMBER(SEARCH("平",B4715)),"平","仄")))</x:f>
        <x:v>仄</x:v>
      </x:c>
      <x:c r="K4715" s="6" t="str">
        <x:f>IF(D4715="","",IF(AND(ISNUMBER(SEARCH("平",D4715)),OR(ISNUMBER(SEARCH("上",D4715)),ISNUMBER(SEARCH("去",D4715)),ISNUMBER(SEARCH("入",D4715)))),"Ambiguous",IF(ISNUMBER(SEARCH("平",D4715)),"平","仄")))</x:f>
        <x:v>仄</x:v>
      </x:c>
      <x:c r="L4715" s="7" t="str"/>
    </x:row>
    <x:row r="4716">
      <x:c r="A4716" s="5" t="str">
        <x:v>驤</x:v>
      </x:c>
      <x:c r="B4716" s="6" t="str">
        <x:v>平</x:v>
      </x:c>
      <x:c r="C4716" s="6" t="str">
        <x:f>IF(B4716="","Needs decision","Ready")</x:f>
        <x:v>Ready</x:v>
      </x:c>
      <x:c r="D4716" s="6" t="str">
        <x:v>平</x:v>
      </x:c>
      <x:c r="E4716" s="6" t="str">
        <x:v>sjang [sjɑŋ] (平)</x:v>
      </x:c>
      <x:c r="F4716" s="6" t="str"/>
      <x:c r="G4716" s="6" t="str"/>
      <x:c r="H4716" s="6" t="str">
        <x:v>1</x:v>
      </x:c>
      <x:c r="I4716" s="6" t="str">
        <x:v>Tang 300 gap; frequency 1; provisional from Xun Gong</x:v>
      </x:c>
      <x:c r="J4716" s="6" t="str">
        <x:f>IF(B4716="","",IF(AND(ISNUMBER(SEARCH("平",B4716)),OR(ISNUMBER(SEARCH("上",B4716)),ISNUMBER(SEARCH("去",B4716)),ISNUMBER(SEARCH("入",B4716)))),"Ambiguous",IF(ISNUMBER(SEARCH("平",B4716)),"平","仄")))</x:f>
        <x:v>平</x:v>
      </x:c>
      <x:c r="K4716" s="6" t="str">
        <x:f>IF(D4716="","",IF(AND(ISNUMBER(SEARCH("平",D4716)),OR(ISNUMBER(SEARCH("上",D4716)),ISNUMBER(SEARCH("去",D4716)),ISNUMBER(SEARCH("入",D4716)))),"Ambiguous",IF(ISNUMBER(SEARCH("平",D4716)),"平","仄")))</x:f>
        <x:v>平</x:v>
      </x:c>
      <x:c r="L4716" s="7" t="str">
        <x:v>Xun Gong, Tang 300 gap fill</x:v>
      </x:c>
    </x:row>
    <x:row r="4717">
      <x:c r="A4717" s="5" t="str">
        <x:v>驥</x:v>
      </x:c>
      <x:c r="B4717" s="6" t="str">
        <x:v>去</x:v>
      </x:c>
      <x:c r="C4717" s="6" t="str">
        <x:f>IF(B4717="","Needs decision","Ready")</x:f>
        <x:v>Ready</x:v>
      </x:c>
      <x:c r="D4717" s="6" t="str">
        <x:v>去</x:v>
      </x:c>
      <x:c r="E4717" s="6" t="str"/>
      <x:c r="F4717" s="6" t="str">
        <x:v>去聲四寘</x:v>
      </x:c>
      <x:c r="G4717" s="6" t="str">
        <x:v>Pingshui main list, Wikisource-derived DOCX</x:v>
      </x:c>
      <x:c r="H4717" s="6" t="str"/>
      <x:c r="I4717" s="6" t="str">
        <x:v>Manual user correction/addition</x:v>
      </x:c>
      <x:c r="J4717" s="6" t="str">
        <x:f>IF(B4717="","",IF(AND(ISNUMBER(SEARCH("平",B4717)),OR(ISNUMBER(SEARCH("上",B4717)),ISNUMBER(SEARCH("去",B4717)),ISNUMBER(SEARCH("入",B4717)))),"Ambiguous",IF(ISNUMBER(SEARCH("平",B4717)),"平","仄")))</x:f>
        <x:v>仄</x:v>
      </x:c>
      <x:c r="K4717" s="6" t="str">
        <x:f>IF(D4717="","",IF(AND(ISNUMBER(SEARCH("平",D4717)),OR(ISNUMBER(SEARCH("上",D4717)),ISNUMBER(SEARCH("去",D4717)),ISNUMBER(SEARCH("入",D4717)))),"Ambiguous",IF(ISNUMBER(SEARCH("平",D4717)),"平","仄")))</x:f>
        <x:v>仄</x:v>
      </x:c>
      <x:c r="L4717" s="7" t="str">
        <x:v>manual user correction</x:v>
      </x:c>
    </x:row>
    <x:row r="4718">
      <x:c r="A4718" s="5" t="str">
        <x:v>驩</x:v>
      </x:c>
      <x:c r="B4718" s="6" t="str">
        <x:v>平</x:v>
      </x:c>
      <x:c r="C4718" s="6" t="str">
        <x:f>IF(B4718="","Needs decision","Ready")</x:f>
        <x:v>Ready</x:v>
      </x:c>
      <x:c r="D4718" s="6" t="str">
        <x:v>平</x:v>
      </x:c>
      <x:c r="E4718" s="6" t="str">
        <x:v>xwan (A)</x:v>
      </x:c>
      <x:c r="F4718" s="6" t="str">
        <x:v>上平聲十四寒</x:v>
      </x:c>
      <x:c r="G4718" s="6" t="str">
        <x:v>Pingshui main list, Wikisource-derived DOCX</x:v>
      </x:c>
      <x:c r="H4718" s="6" t="str">
        <x:v>1</x:v>
      </x:c>
      <x:c r="I4718" s="6" t="str"/>
      <x:c r="J4718" s="6" t="str">
        <x:f>IF(B4718="","",IF(AND(ISNUMBER(SEARCH("平",B4718)),OR(ISNUMBER(SEARCH("上",B4718)),ISNUMBER(SEARCH("去",B4718)),ISNUMBER(SEARCH("入",B4718)))),"Ambiguous",IF(ISNUMBER(SEARCH("平",B4718)),"平","仄")))</x:f>
        <x:v>平</x:v>
      </x:c>
      <x:c r="K4718" s="6" t="str">
        <x:f>IF(D4718="","",IF(AND(ISNUMBER(SEARCH("平",D4718)),OR(ISNUMBER(SEARCH("上",D4718)),ISNUMBER(SEARCH("去",D4718)),ISNUMBER(SEARCH("入",D4718)))),"Ambiguous",IF(ISNUMBER(SEARCH("平",D4718)),"平","仄")))</x:f>
        <x:v>平</x:v>
      </x:c>
      <x:c r="L4718" s="7" t="str"/>
    </x:row>
    <x:row r="4719">
      <x:c r="A4719" s="5" t="str">
        <x:v>驪</x:v>
      </x:c>
      <x:c r="B4719" s="6" t="str">
        <x:v>平</x:v>
      </x:c>
      <x:c r="C4719" s="6" t="str">
        <x:f>IF(B4719="","Needs decision","Ready")</x:f>
        <x:v>Ready</x:v>
      </x:c>
      <x:c r="D4719" s="6" t="str">
        <x:v>平</x:v>
      </x:c>
      <x:c r="E4719" s="6" t="str">
        <x:v>lej [l̙ej] (平); lje [lie] (平)</x:v>
      </x:c>
      <x:c r="F4719" s="6" t="str">
        <x:v>上平聲四支; 上平聲八齊</x:v>
      </x:c>
      <x:c r="G4719" s="6" t="str">
        <x:v>Pingshui main list, Wikisource-derived DOCX</x:v>
      </x:c>
      <x:c r="H4719" s="6" t="str">
        <x:v>2</x:v>
      </x:c>
      <x:c r="I4719" s="6" t="str">
        <x:v>Tang 300 gap; frequency 1; provisional from Xun Gong</x:v>
      </x:c>
      <x:c r="J4719" s="6" t="str">
        <x:f>IF(B4719="","",IF(AND(ISNUMBER(SEARCH("平",B4719)),OR(ISNUMBER(SEARCH("上",B4719)),ISNUMBER(SEARCH("去",B4719)),ISNUMBER(SEARCH("入",B4719)))),"Ambiguous",IF(ISNUMBER(SEARCH("平",B4719)),"平","仄")))</x:f>
        <x:v>平</x:v>
      </x:c>
      <x:c r="K4719" s="6" t="str">
        <x:f>IF(D4719="","",IF(AND(ISNUMBER(SEARCH("平",D4719)),OR(ISNUMBER(SEARCH("上",D4719)),ISNUMBER(SEARCH("去",D4719)),ISNUMBER(SEARCH("入",D4719)))),"Ambiguous",IF(ISNUMBER(SEARCH("平",D4719)),"平","仄")))</x:f>
        <x:v>平</x:v>
      </x:c>
      <x:c r="L4719" s="7" t="str">
        <x:v>Xun Gong, Tang 300 gap fill</x:v>
      </x:c>
    </x:row>
    <x:row r="4720">
      <x:c r="A4720" s="5" t="str">
        <x:v>骨</x:v>
      </x:c>
      <x:c r="B4720" s="6" t="str">
        <x:v>入</x:v>
      </x:c>
      <x:c r="C4720" s="6" t="str">
        <x:f>IF(B4720="","Needs decision","Ready")</x:f>
        <x:v>Ready</x:v>
      </x:c>
      <x:c r="D4720" s="6" t="str">
        <x:v>入</x:v>
      </x:c>
      <x:c r="E4720" s="6" t="str">
        <x:v>kwot (D)</x:v>
      </x:c>
      <x:c r="F4720" s="6" t="str">
        <x:v>入聲六月</x:v>
      </x:c>
      <x:c r="G4720" s="6" t="str">
        <x:v>Pingshui main list, Wikisource-derived DOCX</x:v>
      </x:c>
      <x:c r="H4720" s="6" t="str">
        <x:v>1</x:v>
      </x:c>
      <x:c r="I4720" s="6" t="str"/>
      <x:c r="J4720" s="6" t="str">
        <x:f>IF(B4720="","",IF(AND(ISNUMBER(SEARCH("平",B4720)),OR(ISNUMBER(SEARCH("上",B4720)),ISNUMBER(SEARCH("去",B4720)),ISNUMBER(SEARCH("入",B4720)))),"Ambiguous",IF(ISNUMBER(SEARCH("平",B4720)),"平","仄")))</x:f>
        <x:v>仄</x:v>
      </x:c>
      <x:c r="K4720" s="6" t="str">
        <x:f>IF(D4720="","",IF(AND(ISNUMBER(SEARCH("平",D4720)),OR(ISNUMBER(SEARCH("上",D4720)),ISNUMBER(SEARCH("去",D4720)),ISNUMBER(SEARCH("入",D4720)))),"Ambiguous",IF(ISNUMBER(SEARCH("平",D4720)),"平","仄")))</x:f>
        <x:v>仄</x:v>
      </x:c>
      <x:c r="L4720" s="7" t="str"/>
    </x:row>
    <x:row r="4721">
      <x:c r="A4721" s="5" t="str">
        <x:v>骫</x:v>
      </x:c>
      <x:c r="B4721" s="6" t="str">
        <x:v>上</x:v>
      </x:c>
      <x:c r="C4721" s="6" t="str">
        <x:f>IF(B4721="","Needs decision","Ready")</x:f>
        <x:v>Ready</x:v>
      </x:c>
      <x:c r="D4721" s="6" t="str">
        <x:v>上</x:v>
      </x:c>
      <x:c r="E4721" s="6" t="str">
        <x:v>'jweX (B)</x:v>
      </x:c>
      <x:c r="F4721" s="6" t="str"/>
      <x:c r="G4721" s="6" t="str"/>
      <x:c r="H4721" s="6" t="str">
        <x:v>1</x:v>
      </x:c>
      <x:c r="I4721" s="6" t="str"/>
      <x:c r="J4721" s="6" t="str">
        <x:f>IF(B4721="","",IF(AND(ISNUMBER(SEARCH("平",B4721)),OR(ISNUMBER(SEARCH("上",B4721)),ISNUMBER(SEARCH("去",B4721)),ISNUMBER(SEARCH("入",B4721)))),"Ambiguous",IF(ISNUMBER(SEARCH("平",B4721)),"平","仄")))</x:f>
        <x:v>仄</x:v>
      </x:c>
      <x:c r="K4721" s="6" t="str">
        <x:f>IF(D4721="","",IF(AND(ISNUMBER(SEARCH("平",D4721)),OR(ISNUMBER(SEARCH("上",D4721)),ISNUMBER(SEARCH("去",D4721)),ISNUMBER(SEARCH("入",D4721)))),"Ambiguous",IF(ISNUMBER(SEARCH("平",D4721)),"平","仄")))</x:f>
        <x:v>仄</x:v>
      </x:c>
      <x:c r="L4721" s="7" t="str"/>
    </x:row>
    <x:row r="4722">
      <x:c r="A4722" s="5" t="str">
        <x:v>骸</x:v>
      </x:c>
      <x:c r="B4722" s="6" t="str">
        <x:v>平</x:v>
      </x:c>
      <x:c r="C4722" s="6" t="str">
        <x:f>IF(B4722="","Needs decision","Ready")</x:f>
        <x:v>Ready</x:v>
      </x:c>
      <x:c r="D4722" s="6" t="str">
        <x:v>平</x:v>
      </x:c>
      <x:c r="E4722" s="6" t="str">
        <x:v>heaj (A)</x:v>
      </x:c>
      <x:c r="F4722" s="6" t="str">
        <x:v>上平聲九佳</x:v>
      </x:c>
      <x:c r="G4722" s="6" t="str">
        <x:v>Pingshui main list, Wikisource-derived DOCX</x:v>
      </x:c>
      <x:c r="H4722" s="6" t="str">
        <x:v>1</x:v>
      </x:c>
      <x:c r="I4722" s="6" t="str"/>
      <x:c r="J4722" s="6" t="str">
        <x:f>IF(B4722="","",IF(AND(ISNUMBER(SEARCH("平",B4722)),OR(ISNUMBER(SEARCH("上",B4722)),ISNUMBER(SEARCH("去",B4722)),ISNUMBER(SEARCH("入",B4722)))),"Ambiguous",IF(ISNUMBER(SEARCH("平",B4722)),"平","仄")))</x:f>
        <x:v>平</x:v>
      </x:c>
      <x:c r="K4722" s="6" t="str">
        <x:f>IF(D4722="","",IF(AND(ISNUMBER(SEARCH("平",D4722)),OR(ISNUMBER(SEARCH("上",D4722)),ISNUMBER(SEARCH("去",D4722)),ISNUMBER(SEARCH("入",D4722)))),"Ambiguous",IF(ISNUMBER(SEARCH("平",D4722)),"平","仄")))</x:f>
        <x:v>平</x:v>
      </x:c>
      <x:c r="L4722" s="7" t="str"/>
    </x:row>
    <x:row r="4723">
      <x:c r="A4723" s="5" t="str">
        <x:v>骹</x:v>
      </x:c>
      <x:c r="B4723" s="6" t="str">
        <x:v>平</x:v>
      </x:c>
      <x:c r="C4723" s="6" t="str">
        <x:f>IF(B4723="","Needs decision","Ready")</x:f>
        <x:v>Ready</x:v>
      </x:c>
      <x:c r="D4723" s="6" t="str">
        <x:v>平</x:v>
      </x:c>
      <x:c r="E4723" s="6" t="str">
        <x:v>khaew (A)</x:v>
      </x:c>
      <x:c r="F4723" s="6" t="str">
        <x:v>下平聲三肴</x:v>
      </x:c>
      <x:c r="G4723" s="6" t="str">
        <x:v>Pingshui main list, Wikisource-derived DOCX</x:v>
      </x:c>
      <x:c r="H4723" s="6" t="str">
        <x:v>1</x:v>
      </x:c>
      <x:c r="I4723" s="6" t="str"/>
      <x:c r="J4723" s="6" t="str">
        <x:f>IF(B4723="","",IF(AND(ISNUMBER(SEARCH("平",B4723)),OR(ISNUMBER(SEARCH("上",B4723)),ISNUMBER(SEARCH("去",B4723)),ISNUMBER(SEARCH("入",B4723)))),"Ambiguous",IF(ISNUMBER(SEARCH("平",B4723)),"平","仄")))</x:f>
        <x:v>平</x:v>
      </x:c>
      <x:c r="K4723" s="6" t="str">
        <x:f>IF(D4723="","",IF(AND(ISNUMBER(SEARCH("平",D4723)),OR(ISNUMBER(SEARCH("上",D4723)),ISNUMBER(SEARCH("去",D4723)),ISNUMBER(SEARCH("入",D4723)))),"Ambiguous",IF(ISNUMBER(SEARCH("平",D4723)),"平","仄")))</x:f>
        <x:v>平</x:v>
      </x:c>
      <x:c r="L4723" s="7" t="str"/>
    </x:row>
    <x:row r="4724">
      <x:c r="A4724" s="5" t="str">
        <x:v>髀</x:v>
      </x:c>
      <x:c r="B4724" s="6" t="str">
        <x:v>上</x:v>
      </x:c>
      <x:c r="C4724" s="6" t="str">
        <x:f>IF(B4724="","Needs decision","Ready")</x:f>
        <x:v>Ready</x:v>
      </x:c>
      <x:c r="D4724" s="6" t="str">
        <x:v>上</x:v>
      </x:c>
      <x:c r="E4724" s="6" t="str">
        <x:v>bejX (B); pjieX (B)</x:v>
      </x:c>
      <x:c r="F4724" s="6" t="str">
        <x:v>上聲四紙; 上聲八薺</x:v>
      </x:c>
      <x:c r="G4724" s="6" t="str">
        <x:v>Pingshui main list, Wikisource-derived DOCX</x:v>
      </x:c>
      <x:c r="H4724" s="6" t="str">
        <x:v>2</x:v>
      </x:c>
      <x:c r="I4724" s="6" t="str"/>
      <x:c r="J4724" s="6" t="str">
        <x:f>IF(B4724="","",IF(AND(ISNUMBER(SEARCH("平",B4724)),OR(ISNUMBER(SEARCH("上",B4724)),ISNUMBER(SEARCH("去",B4724)),ISNUMBER(SEARCH("入",B4724)))),"Ambiguous",IF(ISNUMBER(SEARCH("平",B4724)),"平","仄")))</x:f>
        <x:v>仄</x:v>
      </x:c>
      <x:c r="K4724" s="6" t="str">
        <x:f>IF(D4724="","",IF(AND(ISNUMBER(SEARCH("平",D4724)),OR(ISNUMBER(SEARCH("上",D4724)),ISNUMBER(SEARCH("去",D4724)),ISNUMBER(SEARCH("入",D4724)))),"Ambiguous",IF(ISNUMBER(SEARCH("平",D4724)),"平","仄")))</x:f>
        <x:v>仄</x:v>
      </x:c>
      <x:c r="L4724" s="7" t="str"/>
    </x:row>
    <x:row r="4725">
      <x:c r="A4725" s="5" t="str">
        <x:v>髓</x:v>
      </x:c>
      <x:c r="B4725" s="6" t="str">
        <x:v>上</x:v>
      </x:c>
      <x:c r="C4725" s="6" t="str">
        <x:f>IF(B4725="","Needs decision","Ready")</x:f>
        <x:v>Ready</x:v>
      </x:c>
      <x:c r="D4725" s="6" t="str">
        <x:v>上</x:v>
      </x:c>
      <x:c r="E4725" s="6" t="str">
        <x:v>sjweX (B)</x:v>
      </x:c>
      <x:c r="F4725" s="6" t="str">
        <x:v>上聲四紙</x:v>
      </x:c>
      <x:c r="G4725" s="6" t="str">
        <x:v>Pingshui main list, Wikisource-derived DOCX</x:v>
      </x:c>
      <x:c r="H4725" s="6" t="str">
        <x:v>1</x:v>
      </x:c>
      <x:c r="I4725" s="6" t="str"/>
      <x:c r="J4725" s="6" t="str">
        <x:f>IF(B4725="","",IF(AND(ISNUMBER(SEARCH("平",B4725)),OR(ISNUMBER(SEARCH("上",B4725)),ISNUMBER(SEARCH("去",B4725)),ISNUMBER(SEARCH("入",B4725)))),"Ambiguous",IF(ISNUMBER(SEARCH("平",B4725)),"平","仄")))</x:f>
        <x:v>仄</x:v>
      </x:c>
      <x:c r="K4725" s="6" t="str">
        <x:f>IF(D4725="","",IF(AND(ISNUMBER(SEARCH("平",D4725)),OR(ISNUMBER(SEARCH("上",D4725)),ISNUMBER(SEARCH("去",D4725)),ISNUMBER(SEARCH("入",D4725)))),"Ambiguous",IF(ISNUMBER(SEARCH("平",D4725)),"平","仄")))</x:f>
        <x:v>仄</x:v>
      </x:c>
      <x:c r="L4725" s="7" t="str"/>
    </x:row>
    <x:row r="4726">
      <x:c r="A4726" s="5" t="str">
        <x:v>體</x:v>
      </x:c>
      <x:c r="B4726" s="6" t="str">
        <x:v>上</x:v>
      </x:c>
      <x:c r="C4726" s="6" t="str">
        <x:f>IF(B4726="","Needs decision","Ready")</x:f>
        <x:v>Ready</x:v>
      </x:c>
      <x:c r="D4726" s="6" t="str">
        <x:v>上</x:v>
      </x:c>
      <x:c r="E4726" s="6" t="str">
        <x:v>thejX (B)</x:v>
      </x:c>
      <x:c r="F4726" s="6" t="str">
        <x:v>上聲八薺</x:v>
      </x:c>
      <x:c r="G4726" s="6" t="str">
        <x:v>Pingshui main list, Wikisource-derived DOCX</x:v>
      </x:c>
      <x:c r="H4726" s="6" t="str">
        <x:v>1</x:v>
      </x:c>
      <x:c r="I4726" s="6" t="str"/>
      <x:c r="J4726" s="6" t="str">
        <x:f>IF(B4726="","",IF(AND(ISNUMBER(SEARCH("平",B4726)),OR(ISNUMBER(SEARCH("上",B4726)),ISNUMBER(SEARCH("去",B4726)),ISNUMBER(SEARCH("入",B4726)))),"Ambiguous",IF(ISNUMBER(SEARCH("平",B4726)),"平","仄")))</x:f>
        <x:v>仄</x:v>
      </x:c>
      <x:c r="K4726" s="6" t="str">
        <x:f>IF(D4726="","",IF(AND(ISNUMBER(SEARCH("平",D4726)),OR(ISNUMBER(SEARCH("上",D4726)),ISNUMBER(SEARCH("去",D4726)),ISNUMBER(SEARCH("入",D4726)))),"Ambiguous",IF(ISNUMBER(SEARCH("平",D4726)),"平","仄")))</x:f>
        <x:v>仄</x:v>
      </x:c>
      <x:c r="L4726" s="7" t="str"/>
    </x:row>
    <x:row r="4727">
      <x:c r="A4727" s="5" t="str">
        <x:v>高</x:v>
      </x:c>
      <x:c r="B4727" s="6" t="str">
        <x:v>平</x:v>
      </x:c>
      <x:c r="C4727" s="6" t="str">
        <x:f>IF(B4727="","Needs decision","Ready")</x:f>
        <x:v>Ready</x:v>
      </x:c>
      <x:c r="D4727" s="6" t="str">
        <x:v>平</x:v>
      </x:c>
      <x:c r="E4727" s="6" t="str">
        <x:v>kaw (A)</x:v>
      </x:c>
      <x:c r="F4727" s="6" t="str">
        <x:v>下平聲四豪</x:v>
      </x:c>
      <x:c r="G4727" s="6" t="str">
        <x:v>Pingshui main list, Wikisource-derived DOCX</x:v>
      </x:c>
      <x:c r="H4727" s="6" t="str">
        <x:v>1</x:v>
      </x:c>
      <x:c r="I4727" s="6" t="str"/>
      <x:c r="J4727" s="6" t="str">
        <x:f>IF(B4727="","",IF(AND(ISNUMBER(SEARCH("平",B4727)),OR(ISNUMBER(SEARCH("上",B4727)),ISNUMBER(SEARCH("去",B4727)),ISNUMBER(SEARCH("入",B4727)))),"Ambiguous",IF(ISNUMBER(SEARCH("平",B4727)),"平","仄")))</x:f>
        <x:v>平</x:v>
      </x:c>
      <x:c r="K4727" s="6" t="str">
        <x:f>IF(D4727="","",IF(AND(ISNUMBER(SEARCH("平",D4727)),OR(ISNUMBER(SEARCH("上",D4727)),ISNUMBER(SEARCH("去",D4727)),ISNUMBER(SEARCH("入",D4727)))),"Ambiguous",IF(ISNUMBER(SEARCH("平",D4727)),"平","仄")))</x:f>
        <x:v>平</x:v>
      </x:c>
      <x:c r="L4727" s="7" t="str"/>
    </x:row>
    <x:row r="4728">
      <x:c r="A4728" s="5" t="str">
        <x:v>髟</x:v>
      </x:c>
      <x:c r="B4728" s="6" t="str">
        <x:v>平</x:v>
      </x:c>
      <x:c r="C4728" s="6" t="str">
        <x:f>IF(B4728="","Needs decision","Ready")</x:f>
        <x:v>Ready</x:v>
      </x:c>
      <x:c r="D4728" s="6" t="str">
        <x:v>平</x:v>
      </x:c>
      <x:c r="E4728" s="6" t="str">
        <x:v>pjiw (A); sraem (A)</x:v>
      </x:c>
      <x:c r="F4728" s="6" t="str">
        <x:v>下平聲二蕭; 下平聲十一尤; 下平聲十五咸</x:v>
      </x:c>
      <x:c r="G4728" s="6" t="str">
        <x:v>Pingshui main list, Wikisource-derived DOCX</x:v>
      </x:c>
      <x:c r="H4728" s="6" t="str">
        <x:v>2</x:v>
      </x:c>
      <x:c r="I4728" s="6" t="str"/>
      <x:c r="J4728" s="6" t="str">
        <x:f>IF(B4728="","",IF(AND(ISNUMBER(SEARCH("平",B4728)),OR(ISNUMBER(SEARCH("上",B4728)),ISNUMBER(SEARCH("去",B4728)),ISNUMBER(SEARCH("入",B4728)))),"Ambiguous",IF(ISNUMBER(SEARCH("平",B4728)),"平","仄")))</x:f>
        <x:v>平</x:v>
      </x:c>
      <x:c r="K4728" s="6" t="str">
        <x:f>IF(D4728="","",IF(AND(ISNUMBER(SEARCH("平",D4728)),OR(ISNUMBER(SEARCH("上",D4728)),ISNUMBER(SEARCH("去",D4728)),ISNUMBER(SEARCH("入",D4728)))),"Ambiguous",IF(ISNUMBER(SEARCH("平",D4728)),"平","仄")))</x:f>
        <x:v>平</x:v>
      </x:c>
      <x:c r="L4728" s="7" t="str"/>
    </x:row>
    <x:row r="4729">
      <x:c r="A4729" s="5" t="str">
        <x:v>髣</x:v>
      </x:c>
      <x:c r="B4729" s="6" t="str">
        <x:v>上</x:v>
      </x:c>
      <x:c r="C4729" s="6" t="str">
        <x:f>IF(B4729="","Needs decision","Ready")</x:f>
        <x:v>Ready</x:v>
      </x:c>
      <x:c r="D4729" s="6" t="str">
        <x:v>上</x:v>
      </x:c>
      <x:c r="E4729" s="6" t="str">
        <x:v>phjangX (B)</x:v>
      </x:c>
      <x:c r="F4729" s="6" t="str"/>
      <x:c r="G4729" s="6" t="str"/>
      <x:c r="H4729" s="6" t="str">
        <x:v>1</x:v>
      </x:c>
      <x:c r="I4729" s="6" t="str"/>
      <x:c r="J4729" s="6" t="str">
        <x:f>IF(B4729="","",IF(AND(ISNUMBER(SEARCH("平",B4729)),OR(ISNUMBER(SEARCH("上",B4729)),ISNUMBER(SEARCH("去",B4729)),ISNUMBER(SEARCH("入",B4729)))),"Ambiguous",IF(ISNUMBER(SEARCH("平",B4729)),"平","仄")))</x:f>
        <x:v>仄</x:v>
      </x:c>
      <x:c r="K4729" s="6" t="str">
        <x:f>IF(D4729="","",IF(AND(ISNUMBER(SEARCH("平",D4729)),OR(ISNUMBER(SEARCH("上",D4729)),ISNUMBER(SEARCH("去",D4729)),ISNUMBER(SEARCH("入",D4729)))),"Ambiguous",IF(ISNUMBER(SEARCH("平",D4729)),"平","仄")))</x:f>
        <x:v>仄</x:v>
      </x:c>
      <x:c r="L4729" s="7" t="str"/>
    </x:row>
    <x:row r="4730">
      <x:c r="A4730" s="5" t="str">
        <x:v>髮</x:v>
      </x:c>
      <x:c r="B4730" s="6" t="str">
        <x:v>入</x:v>
      </x:c>
      <x:c r="C4730" s="6" t="str">
        <x:f>IF(B4730="","Needs decision","Ready")</x:f>
        <x:v>Ready</x:v>
      </x:c>
      <x:c r="D4730" s="6" t="str">
        <x:v>入</x:v>
      </x:c>
      <x:c r="E4730" s="6" t="str">
        <x:v>pjot (D)</x:v>
      </x:c>
      <x:c r="F4730" s="6" t="str">
        <x:v>入聲六月</x:v>
      </x:c>
      <x:c r="G4730" s="6" t="str">
        <x:v>Pingshui main list, Wikisource-derived DOCX</x:v>
      </x:c>
      <x:c r="H4730" s="6" t="str">
        <x:v>1</x:v>
      </x:c>
      <x:c r="I4730" s="6" t="str"/>
      <x:c r="J4730" s="6" t="str">
        <x:f>IF(B4730="","",IF(AND(ISNUMBER(SEARCH("平",B4730)),OR(ISNUMBER(SEARCH("上",B4730)),ISNUMBER(SEARCH("去",B4730)),ISNUMBER(SEARCH("入",B4730)))),"Ambiguous",IF(ISNUMBER(SEARCH("平",B4730)),"平","仄")))</x:f>
        <x:v>仄</x:v>
      </x:c>
      <x:c r="K4730" s="6" t="str">
        <x:f>IF(D4730="","",IF(AND(ISNUMBER(SEARCH("平",D4730)),OR(ISNUMBER(SEARCH("上",D4730)),ISNUMBER(SEARCH("去",D4730)),ISNUMBER(SEARCH("入",D4730)))),"Ambiguous",IF(ISNUMBER(SEARCH("平",D4730)),"平","仄")))</x:f>
        <x:v>仄</x:v>
      </x:c>
      <x:c r="L4730" s="7" t="str"/>
    </x:row>
    <x:row r="4731">
      <x:c r="A4731" s="5" t="str">
        <x:v>髯</x:v>
      </x:c>
      <x:c r="B4731" s="6" t="str">
        <x:v>平</x:v>
      </x:c>
      <x:c r="C4731" s="6" t="str">
        <x:f>IF(B4731="","Needs decision","Ready")</x:f>
        <x:v>Ready</x:v>
      </x:c>
      <x:c r="D4731" s="6" t="str">
        <x:v>平</x:v>
      </x:c>
      <x:c r="E4731" s="6" t="str">
        <x:v>nyem (A)</x:v>
      </x:c>
      <x:c r="F4731" s="6" t="str">
        <x:v>下平聲十四鹽</x:v>
      </x:c>
      <x:c r="G4731" s="6" t="str">
        <x:v>Pingshui main list, Wikisource-derived DOCX</x:v>
      </x:c>
      <x:c r="H4731" s="6" t="str">
        <x:v>1</x:v>
      </x:c>
      <x:c r="I4731" s="6" t="str"/>
      <x:c r="J4731" s="6" t="str">
        <x:f>IF(B4731="","",IF(AND(ISNUMBER(SEARCH("平",B4731)),OR(ISNUMBER(SEARCH("上",B4731)),ISNUMBER(SEARCH("去",B4731)),ISNUMBER(SEARCH("入",B4731)))),"Ambiguous",IF(ISNUMBER(SEARCH("平",B4731)),"平","仄")))</x:f>
        <x:v>平</x:v>
      </x:c>
      <x:c r="K4731" s="6" t="str">
        <x:f>IF(D4731="","",IF(AND(ISNUMBER(SEARCH("平",D4731)),OR(ISNUMBER(SEARCH("上",D4731)),ISNUMBER(SEARCH("去",D4731)),ISNUMBER(SEARCH("入",D4731)))),"Ambiguous",IF(ISNUMBER(SEARCH("平",D4731)),"平","仄")))</x:f>
        <x:v>平</x:v>
      </x:c>
      <x:c r="L4731" s="7" t="str"/>
    </x:row>
    <x:row r="4732">
      <x:c r="A4732" s="5" t="str">
        <x:v>髻</x:v>
      </x:c>
      <x:c r="B4732" s="6" t="str">
        <x:v>去</x:v>
      </x:c>
      <x:c r="C4732" s="6" t="str">
        <x:f>IF(B4732="","Needs decision","Ready")</x:f>
        <x:v>Ready</x:v>
      </x:c>
      <x:c r="D4732" s="6" t="str">
        <x:v>去</x:v>
      </x:c>
      <x:c r="E4732" s="6" t="str">
        <x:v>kejH (C)</x:v>
      </x:c>
      <x:c r="F4732" s="6" t="str">
        <x:v>去聲八霽</x:v>
      </x:c>
      <x:c r="G4732" s="6" t="str">
        <x:v>Pingshui main list, Wikisource-derived DOCX</x:v>
      </x:c>
      <x:c r="H4732" s="6" t="str">
        <x:v>1</x:v>
      </x:c>
      <x:c r="I4732" s="6" t="str"/>
      <x:c r="J4732" s="6" t="str">
        <x:f>IF(B4732="","",IF(AND(ISNUMBER(SEARCH("平",B4732)),OR(ISNUMBER(SEARCH("上",B4732)),ISNUMBER(SEARCH("去",B4732)),ISNUMBER(SEARCH("入",B4732)))),"Ambiguous",IF(ISNUMBER(SEARCH("平",B4732)),"平","仄")))</x:f>
        <x:v>仄</x:v>
      </x:c>
      <x:c r="K4732" s="6" t="str">
        <x:f>IF(D4732="","",IF(AND(ISNUMBER(SEARCH("平",D4732)),OR(ISNUMBER(SEARCH("上",D4732)),ISNUMBER(SEARCH("去",D4732)),ISNUMBER(SEARCH("入",D4732)))),"Ambiguous",IF(ISNUMBER(SEARCH("平",D4732)),"平","仄")))</x:f>
        <x:v>仄</x:v>
      </x:c>
      <x:c r="L4732" s="7" t="str"/>
    </x:row>
    <x:row r="4733">
      <x:c r="A4733" s="5" t="str">
        <x:v>髽</x:v>
      </x:c>
      <x:c r="B4733" s="6" t="str">
        <x:v>平</x:v>
      </x:c>
      <x:c r="C4733" s="6" t="str">
        <x:f>IF(B4733="","Needs decision","Ready")</x:f>
        <x:v>Ready</x:v>
      </x:c>
      <x:c r="D4733" s="6" t="str">
        <x:v>平</x:v>
      </x:c>
      <x:c r="E4733" s="6" t="str">
        <x:v>tsrwae (A)</x:v>
      </x:c>
      <x:c r="F4733" s="6" t="str">
        <x:v>下平聲六麻</x:v>
      </x:c>
      <x:c r="G4733" s="6" t="str">
        <x:v>Pingshui main list, Wikisource-derived DOCX</x:v>
      </x:c>
      <x:c r="H4733" s="6" t="str">
        <x:v>1</x:v>
      </x:c>
      <x:c r="I4733" s="6" t="str"/>
      <x:c r="J4733" s="6" t="str">
        <x:f>IF(B4733="","",IF(AND(ISNUMBER(SEARCH("平",B4733)),OR(ISNUMBER(SEARCH("上",B4733)),ISNUMBER(SEARCH("去",B4733)),ISNUMBER(SEARCH("入",B4733)))),"Ambiguous",IF(ISNUMBER(SEARCH("平",B4733)),"平","仄")))</x:f>
        <x:v>平</x:v>
      </x:c>
      <x:c r="K4733" s="6" t="str">
        <x:f>IF(D4733="","",IF(AND(ISNUMBER(SEARCH("平",D4733)),OR(ISNUMBER(SEARCH("上",D4733)),ISNUMBER(SEARCH("去",D4733)),ISNUMBER(SEARCH("入",D4733)))),"Ambiguous",IF(ISNUMBER(SEARCH("平",D4733)),"平","仄")))</x:f>
        <x:v>平</x:v>
      </x:c>
      <x:c r="L4733" s="7" t="str"/>
    </x:row>
    <x:row r="4734">
      <x:c r="A4734" s="5" t="str">
        <x:v>鬈</x:v>
      </x:c>
      <x:c r="B4734" s="6" t="str">
        <x:v>平</x:v>
      </x:c>
      <x:c r="C4734" s="6" t="str">
        <x:f>IF(B4734="","Needs decision","Ready")</x:f>
        <x:v>Ready</x:v>
      </x:c>
      <x:c r="D4734" s="6" t="str">
        <x:v>平</x:v>
      </x:c>
      <x:c r="E4734" s="6" t="str">
        <x:v>gjwen (A)</x:v>
      </x:c>
      <x:c r="F4734" s="6" t="str">
        <x:v>下平聲一先</x:v>
      </x:c>
      <x:c r="G4734" s="6" t="str">
        <x:v>Pingshui main list, Wikisource-derived DOCX</x:v>
      </x:c>
      <x:c r="H4734" s="6" t="str">
        <x:v>1</x:v>
      </x:c>
      <x:c r="I4734" s="6" t="str"/>
      <x:c r="J4734" s="6" t="str">
        <x:f>IF(B4734="","",IF(AND(ISNUMBER(SEARCH("平",B4734)),OR(ISNUMBER(SEARCH("上",B4734)),ISNUMBER(SEARCH("去",B4734)),ISNUMBER(SEARCH("入",B4734)))),"Ambiguous",IF(ISNUMBER(SEARCH("平",B4734)),"平","仄")))</x:f>
        <x:v>平</x:v>
      </x:c>
      <x:c r="K4734" s="6" t="str">
        <x:f>IF(D4734="","",IF(AND(ISNUMBER(SEARCH("平",D4734)),OR(ISNUMBER(SEARCH("上",D4734)),ISNUMBER(SEARCH("去",D4734)),ISNUMBER(SEARCH("入",D4734)))),"Ambiguous",IF(ISNUMBER(SEARCH("平",D4734)),"平","仄")))</x:f>
        <x:v>平</x:v>
      </x:c>
      <x:c r="L4734" s="7" t="str"/>
    </x:row>
    <x:row r="4735">
      <x:c r="A4735" s="5" t="str">
        <x:v>鬒</x:v>
      </x:c>
      <x:c r="B4735" s="6" t="str">
        <x:v>上</x:v>
      </x:c>
      <x:c r="C4735" s="6" t="str">
        <x:f>IF(B4735="","Needs decision","Ready")</x:f>
        <x:v>Ready</x:v>
      </x:c>
      <x:c r="D4735" s="6" t="str">
        <x:v>上</x:v>
      </x:c>
      <x:c r="E4735" s="6" t="str">
        <x:v>tsyinX (B)</x:v>
      </x:c>
      <x:c r="F4735" s="6" t="str"/>
      <x:c r="G4735" s="6" t="str"/>
      <x:c r="H4735" s="6" t="str">
        <x:v>1</x:v>
      </x:c>
      <x:c r="I4735" s="6" t="str"/>
      <x:c r="J4735" s="6" t="str">
        <x:f>IF(B4735="","",IF(AND(ISNUMBER(SEARCH("平",B4735)),OR(ISNUMBER(SEARCH("上",B4735)),ISNUMBER(SEARCH("去",B4735)),ISNUMBER(SEARCH("入",B4735)))),"Ambiguous",IF(ISNUMBER(SEARCH("平",B4735)),"平","仄")))</x:f>
        <x:v>仄</x:v>
      </x:c>
      <x:c r="K4735" s="6" t="str">
        <x:f>IF(D4735="","",IF(AND(ISNUMBER(SEARCH("平",D4735)),OR(ISNUMBER(SEARCH("上",D4735)),ISNUMBER(SEARCH("去",D4735)),ISNUMBER(SEARCH("入",D4735)))),"Ambiguous",IF(ISNUMBER(SEARCH("平",D4735)),"平","仄")))</x:f>
        <x:v>仄</x:v>
      </x:c>
      <x:c r="L4735" s="7" t="str"/>
    </x:row>
    <x:row r="4736">
      <x:c r="A4736" s="5" t="str">
        <x:v>鬚</x:v>
      </x:c>
      <x:c r="B4736" s="6" t="str">
        <x:v>平</x:v>
      </x:c>
      <x:c r="C4736" s="6" t="str">
        <x:f>IF(B4736="","Needs decision","Ready")</x:f>
        <x:v>Ready</x:v>
      </x:c>
      <x:c r="D4736" s="6" t="str">
        <x:v>平</x:v>
      </x:c>
      <x:c r="E4736" s="6" t="str">
        <x:v>sju (A)</x:v>
      </x:c>
      <x:c r="F4736" s="6" t="str">
        <x:v>上平聲七虞</x:v>
      </x:c>
      <x:c r="G4736" s="6" t="str">
        <x:v>Pingshui main list, Wikisource-derived DOCX</x:v>
      </x:c>
      <x:c r="H4736" s="6" t="str">
        <x:v>1</x:v>
      </x:c>
      <x:c r="I4736" s="6" t="str"/>
      <x:c r="J4736" s="6" t="str">
        <x:f>IF(B4736="","",IF(AND(ISNUMBER(SEARCH("平",B4736)),OR(ISNUMBER(SEARCH("上",B4736)),ISNUMBER(SEARCH("去",B4736)),ISNUMBER(SEARCH("入",B4736)))),"Ambiguous",IF(ISNUMBER(SEARCH("平",B4736)),"平","仄")))</x:f>
        <x:v>平</x:v>
      </x:c>
      <x:c r="K4736" s="6" t="str">
        <x:f>IF(D4736="","",IF(AND(ISNUMBER(SEARCH("平",D4736)),OR(ISNUMBER(SEARCH("上",D4736)),ISNUMBER(SEARCH("去",D4736)),ISNUMBER(SEARCH("入",D4736)))),"Ambiguous",IF(ISNUMBER(SEARCH("平",D4736)),"平","仄")))</x:f>
        <x:v>平</x:v>
      </x:c>
      <x:c r="L4736" s="7" t="str"/>
    </x:row>
    <x:row r="4737">
      <x:c r="A4737" s="5" t="str">
        <x:v>鬟</x:v>
      </x:c>
      <x:c r="B4737" s="6" t="str">
        <x:v>平</x:v>
      </x:c>
      <x:c r="C4737" s="6" t="str">
        <x:f>IF(B4737="","Needs decision","Ready")</x:f>
        <x:v>Ready</x:v>
      </x:c>
      <x:c r="D4737" s="6" t="str">
        <x:v>平</x:v>
      </x:c>
      <x:c r="E4737" s="6" t="str">
        <x:v>hwaen [ʁwaˤn] (平)</x:v>
      </x:c>
      <x:c r="F4737" s="6" t="str">
        <x:v>上平聲十五刪</x:v>
      </x:c>
      <x:c r="G4737" s="6" t="str">
        <x:v>Pingshui main list, Wikisource-derived DOCX</x:v>
      </x:c>
      <x:c r="H4737" s="6" t="str">
        <x:v>1</x:v>
      </x:c>
      <x:c r="I4737" s="6" t="str">
        <x:v>Tang 300 gap; frequency 1; provisional from Xun Gong</x:v>
      </x:c>
      <x:c r="J4737" s="6" t="str">
        <x:f>IF(B4737="","",IF(AND(ISNUMBER(SEARCH("平",B4737)),OR(ISNUMBER(SEARCH("上",B4737)),ISNUMBER(SEARCH("去",B4737)),ISNUMBER(SEARCH("入",B4737)))),"Ambiguous",IF(ISNUMBER(SEARCH("平",B4737)),"平","仄")))</x:f>
        <x:v>平</x:v>
      </x:c>
      <x:c r="K4737" s="6" t="str">
        <x:f>IF(D4737="","",IF(AND(ISNUMBER(SEARCH("平",D4737)),OR(ISNUMBER(SEARCH("上",D4737)),ISNUMBER(SEARCH("去",D4737)),ISNUMBER(SEARCH("入",D4737)))),"Ambiguous",IF(ISNUMBER(SEARCH("平",D4737)),"平","仄")))</x:f>
        <x:v>平</x:v>
      </x:c>
      <x:c r="L4737" s="7" t="str">
        <x:v>Xun Gong, Tang 300 gap fill</x:v>
      </x:c>
    </x:row>
    <x:row r="4738">
      <x:c r="A4738" s="5" t="str">
        <x:v>鬠</x:v>
      </x:c>
      <x:c r="B4738" s="6" t="str">
        <x:v>去</x:v>
      </x:c>
      <x:c r="C4738" s="6" t="str">
        <x:f>IF(B4738="","Needs decision","Ready")</x:f>
        <x:v>Ready</x:v>
      </x:c>
      <x:c r="D4738" s="6" t="str">
        <x:v>去</x:v>
      </x:c>
      <x:c r="E4738" s="6" t="str">
        <x:v>kwajH (C)</x:v>
      </x:c>
      <x:c r="F4738" s="6" t="str"/>
      <x:c r="G4738" s="6" t="str"/>
      <x:c r="H4738" s="6" t="str">
        <x:v>1</x:v>
      </x:c>
      <x:c r="I4738" s="6" t="str"/>
      <x:c r="J4738" s="6" t="str">
        <x:f>IF(B4738="","",IF(AND(ISNUMBER(SEARCH("平",B4738)),OR(ISNUMBER(SEARCH("上",B4738)),ISNUMBER(SEARCH("去",B4738)),ISNUMBER(SEARCH("入",B4738)))),"Ambiguous",IF(ISNUMBER(SEARCH("平",B4738)),"平","仄")))</x:f>
        <x:v>仄</x:v>
      </x:c>
      <x:c r="K4738" s="6" t="str">
        <x:f>IF(D4738="","",IF(AND(ISNUMBER(SEARCH("平",D4738)),OR(ISNUMBER(SEARCH("上",D4738)),ISNUMBER(SEARCH("去",D4738)),ISNUMBER(SEARCH("入",D4738)))),"Ambiguous",IF(ISNUMBER(SEARCH("平",D4738)),"平","仄")))</x:f>
        <x:v>仄</x:v>
      </x:c>
      <x:c r="L4738" s="7" t="str"/>
    </x:row>
    <x:row r="4739">
      <x:c r="A4739" s="5" t="str">
        <x:v>鬢</x:v>
      </x:c>
      <x:c r="B4739" s="6" t="str">
        <x:v>去</x:v>
      </x:c>
      <x:c r="C4739" s="6" t="str">
        <x:f>IF(B4739="","Needs decision","Ready")</x:f>
        <x:v>Ready</x:v>
      </x:c>
      <x:c r="D4739" s="6" t="str">
        <x:v>去</x:v>
      </x:c>
      <x:c r="E4739" s="6" t="str">
        <x:v>pjinH [pjinh] (去)</x:v>
      </x:c>
      <x:c r="F4739" s="6" t="str">
        <x:v>去聲十二震</x:v>
      </x:c>
      <x:c r="G4739" s="6" t="str">
        <x:v>Pingshui main list, Wikisource-derived DOCX</x:v>
      </x:c>
      <x:c r="H4739" s="6" t="str">
        <x:v>1</x:v>
      </x:c>
      <x:c r="I4739" s="6" t="str">
        <x:v>Tang 300 gap; frequency 10; provisional from Xun Gong</x:v>
      </x:c>
      <x:c r="J4739" s="6" t="str">
        <x:f>IF(B4739="","",IF(AND(ISNUMBER(SEARCH("平",B4739)),OR(ISNUMBER(SEARCH("上",B4739)),ISNUMBER(SEARCH("去",B4739)),ISNUMBER(SEARCH("入",B4739)))),"Ambiguous",IF(ISNUMBER(SEARCH("平",B4739)),"平","仄")))</x:f>
        <x:v>仄</x:v>
      </x:c>
      <x:c r="K4739" s="6" t="str">
        <x:f>IF(D4739="","",IF(AND(ISNUMBER(SEARCH("平",D4739)),OR(ISNUMBER(SEARCH("上",D4739)),ISNUMBER(SEARCH("去",D4739)),ISNUMBER(SEARCH("入",D4739)))),"Ambiguous",IF(ISNUMBER(SEARCH("平",D4739)),"平","仄")))</x:f>
        <x:v>仄</x:v>
      </x:c>
      <x:c r="L4739" s="7" t="str">
        <x:v>Xun Gong, Tang 300 gap fill</x:v>
      </x:c>
    </x:row>
    <x:row r="4740">
      <x:c r="A4740" s="5" t="str">
        <x:v>鬥</x:v>
      </x:c>
      <x:c r="B4740" s="6" t="str">
        <x:v>去</x:v>
      </x:c>
      <x:c r="C4740" s="6" t="str">
        <x:f>IF(B4740="","Needs decision","Ready")</x:f>
        <x:v>Ready</x:v>
      </x:c>
      <x:c r="D4740" s="6" t="str">
        <x:v>去</x:v>
      </x:c>
      <x:c r="E4740" s="6" t="str">
        <x:v>tuwH (C)</x:v>
      </x:c>
      <x:c r="F4740" s="6" t="str">
        <x:v>上聲二十五有</x:v>
      </x:c>
      <x:c r="G4740" s="6" t="str">
        <x:v>Pingshui main list, Wikisource-derived DOCX</x:v>
      </x:c>
      <x:c r="H4740" s="6" t="str">
        <x:v>1</x:v>
      </x:c>
      <x:c r="I4740" s="6" t="str"/>
      <x:c r="J4740" s="6" t="str">
        <x:f>IF(B4740="","",IF(AND(ISNUMBER(SEARCH("平",B4740)),OR(ISNUMBER(SEARCH("上",B4740)),ISNUMBER(SEARCH("去",B4740)),ISNUMBER(SEARCH("入",B4740)))),"Ambiguous",IF(ISNUMBER(SEARCH("平",B4740)),"平","仄")))</x:f>
        <x:v>仄</x:v>
      </x:c>
      <x:c r="K4740" s="6" t="str">
        <x:f>IF(D4740="","",IF(AND(ISNUMBER(SEARCH("平",D4740)),OR(ISNUMBER(SEARCH("上",D4740)),ISNUMBER(SEARCH("去",D4740)),ISNUMBER(SEARCH("入",D4740)))),"Ambiguous",IF(ISNUMBER(SEARCH("平",D4740)),"平","仄")))</x:f>
        <x:v>仄</x:v>
      </x:c>
      <x:c r="L4740" s="7" t="str"/>
    </x:row>
    <x:row r="4741">
      <x:c r="A4741" s="5" t="str">
        <x:v>鬨</x:v>
      </x:c>
      <x:c r="B4741" s="6" t="str">
        <x:v>去</x:v>
      </x:c>
      <x:c r="C4741" s="6" t="str">
        <x:f>IF(B4741="","Needs decision","Ready")</x:f>
        <x:v>Ready</x:v>
      </x:c>
      <x:c r="D4741" s="6" t="str">
        <x:v>去</x:v>
      </x:c>
      <x:c r="E4741" s="6" t="str">
        <x:v>huwngH (C)</x:v>
      </x:c>
      <x:c r="F4741" s="6" t="str">
        <x:v>去聲一送; 去聲三絳</x:v>
      </x:c>
      <x:c r="G4741" s="6" t="str">
        <x:v>Pingshui main list, Wikisource-derived DOCX</x:v>
      </x:c>
      <x:c r="H4741" s="6" t="str">
        <x:v>1</x:v>
      </x:c>
      <x:c r="I4741" s="6" t="str"/>
      <x:c r="J4741" s="6" t="str">
        <x:f>IF(B4741="","",IF(AND(ISNUMBER(SEARCH("平",B4741)),OR(ISNUMBER(SEARCH("上",B4741)),ISNUMBER(SEARCH("去",B4741)),ISNUMBER(SEARCH("入",B4741)))),"Ambiguous",IF(ISNUMBER(SEARCH("平",B4741)),"平","仄")))</x:f>
        <x:v>仄</x:v>
      </x:c>
      <x:c r="K4741" s="6" t="str">
        <x:f>IF(D4741="","",IF(AND(ISNUMBER(SEARCH("平",D4741)),OR(ISNUMBER(SEARCH("上",D4741)),ISNUMBER(SEARCH("去",D4741)),ISNUMBER(SEARCH("入",D4741)))),"Ambiguous",IF(ISNUMBER(SEARCH("平",D4741)),"平","仄")))</x:f>
        <x:v>仄</x:v>
      </x:c>
      <x:c r="L4741" s="7" t="str"/>
    </x:row>
    <x:row r="4742">
      <x:c r="A4742" s="5" t="str">
        <x:v>鬩</x:v>
      </x:c>
      <x:c r="B4742" s="6" t="str">
        <x:v>入</x:v>
      </x:c>
      <x:c r="C4742" s="6" t="str">
        <x:f>IF(B4742="","Needs decision","Ready")</x:f>
        <x:v>Ready</x:v>
      </x:c>
      <x:c r="D4742" s="6" t="str">
        <x:v>入</x:v>
      </x:c>
      <x:c r="E4742" s="6" t="str">
        <x:v>xek (D)</x:v>
      </x:c>
      <x:c r="F4742" s="6" t="str">
        <x:v>入聲十二錫</x:v>
      </x:c>
      <x:c r="G4742" s="6" t="str">
        <x:v>Pingshui main list, Wikisource-derived DOCX</x:v>
      </x:c>
      <x:c r="H4742" s="6" t="str">
        <x:v>1</x:v>
      </x:c>
      <x:c r="I4742" s="6" t="str"/>
      <x:c r="J4742" s="6" t="str">
        <x:f>IF(B4742="","",IF(AND(ISNUMBER(SEARCH("平",B4742)),OR(ISNUMBER(SEARCH("上",B4742)),ISNUMBER(SEARCH("去",B4742)),ISNUMBER(SEARCH("入",B4742)))),"Ambiguous",IF(ISNUMBER(SEARCH("平",B4742)),"平","仄")))</x:f>
        <x:v>仄</x:v>
      </x:c>
      <x:c r="K4742" s="6" t="str">
        <x:f>IF(D4742="","",IF(AND(ISNUMBER(SEARCH("平",D4742)),OR(ISNUMBER(SEARCH("上",D4742)),ISNUMBER(SEARCH("去",D4742)),ISNUMBER(SEARCH("入",D4742)))),"Ambiguous",IF(ISNUMBER(SEARCH("平",D4742)),"平","仄")))</x:f>
        <x:v>仄</x:v>
      </x:c>
      <x:c r="L4742" s="7" t="str"/>
    </x:row>
    <x:row r="4743">
      <x:c r="A4743" s="5" t="str">
        <x:v>鬭</x:v>
      </x:c>
      <x:c r="B4743" s="6" t="str">
        <x:v>去</x:v>
      </x:c>
      <x:c r="C4743" s="6" t="str">
        <x:f>IF(B4743="","Needs decision","Ready")</x:f>
        <x:v>Ready</x:v>
      </x:c>
      <x:c r="D4743" s="6" t="str">
        <x:v>去</x:v>
      </x:c>
      <x:c r="E4743" s="6" t="str">
        <x:v>tuwH (C)</x:v>
      </x:c>
      <x:c r="F4743" s="6" t="str"/>
      <x:c r="G4743" s="6" t="str"/>
      <x:c r="H4743" s="6" t="str">
        <x:v>1</x:v>
      </x:c>
      <x:c r="I4743" s="6" t="str"/>
      <x:c r="J4743" s="6" t="str">
        <x:f>IF(B4743="","",IF(AND(ISNUMBER(SEARCH("平",B4743)),OR(ISNUMBER(SEARCH("上",B4743)),ISNUMBER(SEARCH("去",B4743)),ISNUMBER(SEARCH("入",B4743)))),"Ambiguous",IF(ISNUMBER(SEARCH("平",B4743)),"平","仄")))</x:f>
        <x:v>仄</x:v>
      </x:c>
      <x:c r="K4743" s="6" t="str">
        <x:f>IF(D4743="","",IF(AND(ISNUMBER(SEARCH("平",D4743)),OR(ISNUMBER(SEARCH("上",D4743)),ISNUMBER(SEARCH("去",D4743)),ISNUMBER(SEARCH("入",D4743)))),"Ambiguous",IF(ISNUMBER(SEARCH("平",D4743)),"平","仄")))</x:f>
        <x:v>仄</x:v>
      </x:c>
      <x:c r="L4743" s="7" t="str"/>
    </x:row>
    <x:row r="4744">
      <x:c r="A4744" s="5" t="str">
        <x:v>鬯</x:v>
      </x:c>
      <x:c r="B4744" s="6" t="str">
        <x:v>去</x:v>
      </x:c>
      <x:c r="C4744" s="6" t="str">
        <x:f>IF(B4744="","Needs decision","Ready")</x:f>
        <x:v>Ready</x:v>
      </x:c>
      <x:c r="D4744" s="6" t="str">
        <x:v>去</x:v>
      </x:c>
      <x:c r="E4744" s="6" t="str">
        <x:v>trhjangH (C)</x:v>
      </x:c>
      <x:c r="F4744" s="6" t="str">
        <x:v>去聲二十三漾</x:v>
      </x:c>
      <x:c r="G4744" s="6" t="str">
        <x:v>Pingshui main list, Wikisource-derived DOCX</x:v>
      </x:c>
      <x:c r="H4744" s="6" t="str">
        <x:v>1</x:v>
      </x:c>
      <x:c r="I4744" s="6" t="str"/>
      <x:c r="J4744" s="6" t="str">
        <x:f>IF(B4744="","",IF(AND(ISNUMBER(SEARCH("平",B4744)),OR(ISNUMBER(SEARCH("上",B4744)),ISNUMBER(SEARCH("去",B4744)),ISNUMBER(SEARCH("入",B4744)))),"Ambiguous",IF(ISNUMBER(SEARCH("平",B4744)),"平","仄")))</x:f>
        <x:v>仄</x:v>
      </x:c>
      <x:c r="K4744" s="6" t="str">
        <x:f>IF(D4744="","",IF(AND(ISNUMBER(SEARCH("平",D4744)),OR(ISNUMBER(SEARCH("上",D4744)),ISNUMBER(SEARCH("去",D4744)),ISNUMBER(SEARCH("入",D4744)))),"Ambiguous",IF(ISNUMBER(SEARCH("平",D4744)),"平","仄")))</x:f>
        <x:v>仄</x:v>
      </x:c>
      <x:c r="L4744" s="7" t="str"/>
    </x:row>
    <x:row r="4745">
      <x:c r="A4745" s="5" t="str">
        <x:v>鬱</x:v>
      </x:c>
      <x:c r="B4745" s="6" t="str">
        <x:v>入</x:v>
      </x:c>
      <x:c r="C4745" s="6" t="str">
        <x:f>IF(B4745="","Needs decision","Ready")</x:f>
        <x:v>Ready</x:v>
      </x:c>
      <x:c r="D4745" s="6" t="str">
        <x:v>入</x:v>
      </x:c>
      <x:c r="E4745" s="6" t="str">
        <x:v>'jut (D)</x:v>
      </x:c>
      <x:c r="F4745" s="6" t="str">
        <x:v>入聲五物</x:v>
      </x:c>
      <x:c r="G4745" s="6" t="str">
        <x:v>Pingshui main list, Wikisource-derived DOCX</x:v>
      </x:c>
      <x:c r="H4745" s="6" t="str">
        <x:v>1</x:v>
      </x:c>
      <x:c r="I4745" s="6" t="str"/>
      <x:c r="J4745" s="6" t="str">
        <x:f>IF(B4745="","",IF(AND(ISNUMBER(SEARCH("平",B4745)),OR(ISNUMBER(SEARCH("上",B4745)),ISNUMBER(SEARCH("去",B4745)),ISNUMBER(SEARCH("入",B4745)))),"Ambiguous",IF(ISNUMBER(SEARCH("平",B4745)),"平","仄")))</x:f>
        <x:v>仄</x:v>
      </x:c>
      <x:c r="K4745" s="6" t="str">
        <x:f>IF(D4745="","",IF(AND(ISNUMBER(SEARCH("平",D4745)),OR(ISNUMBER(SEARCH("上",D4745)),ISNUMBER(SEARCH("去",D4745)),ISNUMBER(SEARCH("入",D4745)))),"Ambiguous",IF(ISNUMBER(SEARCH("平",D4745)),"平","仄")))</x:f>
        <x:v>仄</x:v>
      </x:c>
      <x:c r="L4745" s="7" t="str"/>
    </x:row>
    <x:row r="4746">
      <x:c r="A4746" s="5" t="str">
        <x:v>鬲</x:v>
      </x:c>
      <x:c r="B4746" s="6" t="str">
        <x:v>入</x:v>
      </x:c>
      <x:c r="C4746" s="6" t="str">
        <x:f>IF(B4746="","Needs decision","Ready")</x:f>
        <x:v>Ready</x:v>
      </x:c>
      <x:c r="D4746" s="6" t="str">
        <x:v>入</x:v>
      </x:c>
      <x:c r="E4746" s="6" t="str">
        <x:v>keak (D); lek (D)</x:v>
      </x:c>
      <x:c r="F4746" s="6" t="str">
        <x:v>入聲十一陌; 入聲十二錫</x:v>
      </x:c>
      <x:c r="G4746" s="6" t="str">
        <x:v>Pingshui main list, Wikisource-derived DOCX</x:v>
      </x:c>
      <x:c r="H4746" s="6" t="str">
        <x:v>2</x:v>
      </x:c>
      <x:c r="I4746" s="6" t="str"/>
      <x:c r="J4746" s="6" t="str">
        <x:f>IF(B4746="","",IF(AND(ISNUMBER(SEARCH("平",B4746)),OR(ISNUMBER(SEARCH("上",B4746)),ISNUMBER(SEARCH("去",B4746)),ISNUMBER(SEARCH("入",B4746)))),"Ambiguous",IF(ISNUMBER(SEARCH("平",B4746)),"平","仄")))</x:f>
        <x:v>仄</x:v>
      </x:c>
      <x:c r="K4746" s="6" t="str">
        <x:f>IF(D4746="","",IF(AND(ISNUMBER(SEARCH("平",D4746)),OR(ISNUMBER(SEARCH("上",D4746)),ISNUMBER(SEARCH("去",D4746)),ISNUMBER(SEARCH("入",D4746)))),"Ambiguous",IF(ISNUMBER(SEARCH("平",D4746)),"平","仄")))</x:f>
        <x:v>仄</x:v>
      </x:c>
      <x:c r="L4746" s="7" t="str"/>
    </x:row>
    <x:row r="4747">
      <x:c r="A4747" s="5" t="str">
        <x:v>鬳</x:v>
      </x:c>
      <x:c r="B4747" s="6" t="str">
        <x:v>去</x:v>
      </x:c>
      <x:c r="C4747" s="6" t="str">
        <x:f>IF(B4747="","Needs decision","Ready")</x:f>
        <x:v>Ready</x:v>
      </x:c>
      <x:c r="D4747" s="6" t="str">
        <x:v>去</x:v>
      </x:c>
      <x:c r="E4747" s="6" t="str">
        <x:v>ngjonH (C)</x:v>
      </x:c>
      <x:c r="F4747" s="6" t="str"/>
      <x:c r="G4747" s="6" t="str"/>
      <x:c r="H4747" s="6" t="str">
        <x:v>1</x:v>
      </x:c>
      <x:c r="I4747" s="6" t="str"/>
      <x:c r="J4747" s="6" t="str">
        <x:f>IF(B4747="","",IF(AND(ISNUMBER(SEARCH("平",B4747)),OR(ISNUMBER(SEARCH("上",B4747)),ISNUMBER(SEARCH("去",B4747)),ISNUMBER(SEARCH("入",B4747)))),"Ambiguous",IF(ISNUMBER(SEARCH("平",B4747)),"平","仄")))</x:f>
        <x:v>仄</x:v>
      </x:c>
      <x:c r="K4747" s="6" t="str">
        <x:f>IF(D4747="","",IF(AND(ISNUMBER(SEARCH("平",D4747)),OR(ISNUMBER(SEARCH("上",D4747)),ISNUMBER(SEARCH("去",D4747)),ISNUMBER(SEARCH("入",D4747)))),"Ambiguous",IF(ISNUMBER(SEARCH("平",D4747)),"平","仄")))</x:f>
        <x:v>仄</x:v>
      </x:c>
      <x:c r="L4747" s="7" t="str"/>
    </x:row>
    <x:row r="4748">
      <x:c r="A4748" s="5" t="str">
        <x:v>鬵</x:v>
      </x:c>
      <x:c r="B4748" s="6" t="str">
        <x:v>平</x:v>
      </x:c>
      <x:c r="C4748" s="6" t="str">
        <x:f>IF(B4748="","Needs decision","Ready")</x:f>
        <x:v>Ready</x:v>
      </x:c>
      <x:c r="D4748" s="6" t="str">
        <x:v>平</x:v>
      </x:c>
      <x:c r="E4748" s="6" t="str">
        <x:v>dzim (A); zim (A)</x:v>
      </x:c>
      <x:c r="F4748" s="6" t="str"/>
      <x:c r="G4748" s="6" t="str"/>
      <x:c r="H4748" s="6" t="str">
        <x:v>2</x:v>
      </x:c>
      <x:c r="I4748" s="6" t="str"/>
      <x:c r="J4748" s="6" t="str">
        <x:f>IF(B4748="","",IF(AND(ISNUMBER(SEARCH("平",B4748)),OR(ISNUMBER(SEARCH("上",B4748)),ISNUMBER(SEARCH("去",B4748)),ISNUMBER(SEARCH("入",B4748)))),"Ambiguous",IF(ISNUMBER(SEARCH("平",B4748)),"平","仄")))</x:f>
        <x:v>平</x:v>
      </x:c>
      <x:c r="K4748" s="6" t="str">
        <x:f>IF(D4748="","",IF(AND(ISNUMBER(SEARCH("平",D4748)),OR(ISNUMBER(SEARCH("上",D4748)),ISNUMBER(SEARCH("去",D4748)),ISNUMBER(SEARCH("入",D4748)))),"Ambiguous",IF(ISNUMBER(SEARCH("平",D4748)),"平","仄")))</x:f>
        <x:v>平</x:v>
      </x:c>
      <x:c r="L4748" s="7" t="str"/>
    </x:row>
    <x:row r="4749">
      <x:c r="A4749" s="5" t="str">
        <x:v>鬻</x:v>
      </x:c>
      <x:c r="B4749" s="6" t="str">
        <x:v>入</x:v>
      </x:c>
      <x:c r="C4749" s="6" t="str">
        <x:f>IF(B4749="","Needs decision","Ready")</x:f>
        <x:v>Ready</x:v>
      </x:c>
      <x:c r="D4749" s="6" t="str">
        <x:v>入</x:v>
      </x:c>
      <x:c r="E4749" s="6" t="str">
        <x:v>yuwk (D); tsyuwk (D)</x:v>
      </x:c>
      <x:c r="F4749" s="6" t="str">
        <x:v>入聲一屋</x:v>
      </x:c>
      <x:c r="G4749" s="6" t="str">
        <x:v>Pingshui main list, Wikisource-derived DOCX</x:v>
      </x:c>
      <x:c r="H4749" s="6" t="str">
        <x:v>2</x:v>
      </x:c>
      <x:c r="I4749" s="6" t="str"/>
      <x:c r="J4749" s="6" t="str">
        <x:f>IF(B4749="","",IF(AND(ISNUMBER(SEARCH("平",B4749)),OR(ISNUMBER(SEARCH("上",B4749)),ISNUMBER(SEARCH("去",B4749)),ISNUMBER(SEARCH("入",B4749)))),"Ambiguous",IF(ISNUMBER(SEARCH("平",B4749)),"平","仄")))</x:f>
        <x:v>仄</x:v>
      </x:c>
      <x:c r="K4749" s="6" t="str">
        <x:f>IF(D4749="","",IF(AND(ISNUMBER(SEARCH("平",D4749)),OR(ISNUMBER(SEARCH("上",D4749)),ISNUMBER(SEARCH("去",D4749)),ISNUMBER(SEARCH("入",D4749)))),"Ambiguous",IF(ISNUMBER(SEARCH("平",D4749)),"平","仄")))</x:f>
        <x:v>仄</x:v>
      </x:c>
      <x:c r="L4749" s="7" t="str"/>
    </x:row>
    <x:row r="4750">
      <x:c r="A4750" s="5" t="str">
        <x:v>鬼</x:v>
      </x:c>
      <x:c r="B4750" s="6" t="str">
        <x:v>上</x:v>
      </x:c>
      <x:c r="C4750" s="6" t="str">
        <x:f>IF(B4750="","Needs decision","Ready")</x:f>
        <x:v>Ready</x:v>
      </x:c>
      <x:c r="D4750" s="6" t="str">
        <x:v>上</x:v>
      </x:c>
      <x:c r="E4750" s="6" t="str">
        <x:v>kjw+jX (B)</x:v>
      </x:c>
      <x:c r="F4750" s="6" t="str">
        <x:v>上聲五尾</x:v>
      </x:c>
      <x:c r="G4750" s="6" t="str">
        <x:v>Pingshui main list, Wikisource-derived DOCX</x:v>
      </x:c>
      <x:c r="H4750" s="6" t="str">
        <x:v>1</x:v>
      </x:c>
      <x:c r="I4750" s="6" t="str"/>
      <x:c r="J4750" s="6" t="str">
        <x:f>IF(B4750="","",IF(AND(ISNUMBER(SEARCH("平",B4750)),OR(ISNUMBER(SEARCH("上",B4750)),ISNUMBER(SEARCH("去",B4750)),ISNUMBER(SEARCH("入",B4750)))),"Ambiguous",IF(ISNUMBER(SEARCH("平",B4750)),"平","仄")))</x:f>
        <x:v>仄</x:v>
      </x:c>
      <x:c r="K4750" s="6" t="str">
        <x:f>IF(D4750="","",IF(AND(ISNUMBER(SEARCH("平",D4750)),OR(ISNUMBER(SEARCH("上",D4750)),ISNUMBER(SEARCH("去",D4750)),ISNUMBER(SEARCH("入",D4750)))),"Ambiguous",IF(ISNUMBER(SEARCH("平",D4750)),"平","仄")))</x:f>
        <x:v>仄</x:v>
      </x:c>
      <x:c r="L4750" s="7" t="str"/>
    </x:row>
    <x:row r="4751">
      <x:c r="A4751" s="5" t="str">
        <x:v>魁</x:v>
      </x:c>
      <x:c r="B4751" s="6" t="str">
        <x:v>平</x:v>
      </x:c>
      <x:c r="C4751" s="6" t="str">
        <x:f>IF(B4751="","Needs decision","Ready")</x:f>
        <x:v>Ready</x:v>
      </x:c>
      <x:c r="D4751" s="6" t="str">
        <x:v>平</x:v>
      </x:c>
      <x:c r="E4751" s="6" t="str">
        <x:v>khwoj (A)</x:v>
      </x:c>
      <x:c r="F4751" s="6" t="str">
        <x:v>上平聲十灰</x:v>
      </x:c>
      <x:c r="G4751" s="6" t="str">
        <x:v>Pingshui main list, Wikisource-derived DOCX</x:v>
      </x:c>
      <x:c r="H4751" s="6" t="str">
        <x:v>1</x:v>
      </x:c>
      <x:c r="I4751" s="6" t="str"/>
      <x:c r="J4751" s="6" t="str">
        <x:f>IF(B4751="","",IF(AND(ISNUMBER(SEARCH("平",B4751)),OR(ISNUMBER(SEARCH("上",B4751)),ISNUMBER(SEARCH("去",B4751)),ISNUMBER(SEARCH("入",B4751)))),"Ambiguous",IF(ISNUMBER(SEARCH("平",B4751)),"平","仄")))</x:f>
        <x:v>平</x:v>
      </x:c>
      <x:c r="K4751" s="6" t="str">
        <x:f>IF(D4751="","",IF(AND(ISNUMBER(SEARCH("平",D4751)),OR(ISNUMBER(SEARCH("上",D4751)),ISNUMBER(SEARCH("去",D4751)),ISNUMBER(SEARCH("入",D4751)))),"Ambiguous",IF(ISNUMBER(SEARCH("平",D4751)),"平","仄")))</x:f>
        <x:v>平</x:v>
      </x:c>
      <x:c r="L4751" s="7" t="str"/>
    </x:row>
    <x:row r="4752">
      <x:c r="A4752" s="5" t="str">
        <x:v>魂</x:v>
      </x:c>
      <x:c r="B4752" s="6" t="str">
        <x:v>平</x:v>
      </x:c>
      <x:c r="C4752" s="6" t="str">
        <x:f>IF(B4752="","Needs decision","Ready")</x:f>
        <x:v>Ready</x:v>
      </x:c>
      <x:c r="D4752" s="6" t="str">
        <x:v>平</x:v>
      </x:c>
      <x:c r="E4752" s="6" t="str">
        <x:v>hwon (A)</x:v>
      </x:c>
      <x:c r="F4752" s="6" t="str">
        <x:v>上平聲十三元</x:v>
      </x:c>
      <x:c r="G4752" s="6" t="str">
        <x:v>Pingshui main list, Wikisource-derived DOCX</x:v>
      </x:c>
      <x:c r="H4752" s="6" t="str">
        <x:v>1</x:v>
      </x:c>
      <x:c r="I4752" s="6" t="str"/>
      <x:c r="J4752" s="6" t="str">
        <x:f>IF(B4752="","",IF(AND(ISNUMBER(SEARCH("平",B4752)),OR(ISNUMBER(SEARCH("上",B4752)),ISNUMBER(SEARCH("去",B4752)),ISNUMBER(SEARCH("入",B4752)))),"Ambiguous",IF(ISNUMBER(SEARCH("平",B4752)),"平","仄")))</x:f>
        <x:v>平</x:v>
      </x:c>
      <x:c r="K4752" s="6" t="str">
        <x:f>IF(D4752="","",IF(AND(ISNUMBER(SEARCH("平",D4752)),OR(ISNUMBER(SEARCH("上",D4752)),ISNUMBER(SEARCH("去",D4752)),ISNUMBER(SEARCH("入",D4752)))),"Ambiguous",IF(ISNUMBER(SEARCH("平",D4752)),"平","仄")))</x:f>
        <x:v>平</x:v>
      </x:c>
      <x:c r="L4752" s="7" t="str"/>
    </x:row>
    <x:row r="4753">
      <x:c r="A4753" s="5" t="str">
        <x:v>魄</x:v>
      </x:c>
      <x:c r="B4753" s="6" t="str">
        <x:v>入</x:v>
      </x:c>
      <x:c r="C4753" s="6" t="str">
        <x:f>IF(B4753="","Needs decision","Ready")</x:f>
        <x:v>Ready</x:v>
      </x:c>
      <x:c r="D4753" s="6" t="str">
        <x:v>入</x:v>
      </x:c>
      <x:c r="E4753" s="6" t="str">
        <x:v>phaek (D)</x:v>
      </x:c>
      <x:c r="F4753" s="6" t="str">
        <x:v>入聲十藥; 入聲十一陌</x:v>
      </x:c>
      <x:c r="G4753" s="6" t="str">
        <x:v>Pingshui main list, Wikisource-derived DOCX</x:v>
      </x:c>
      <x:c r="H4753" s="6" t="str">
        <x:v>1</x:v>
      </x:c>
      <x:c r="I4753" s="6" t="str"/>
      <x:c r="J4753" s="6" t="str">
        <x:f>IF(B4753="","",IF(AND(ISNUMBER(SEARCH("平",B4753)),OR(ISNUMBER(SEARCH("上",B4753)),ISNUMBER(SEARCH("去",B4753)),ISNUMBER(SEARCH("入",B4753)))),"Ambiguous",IF(ISNUMBER(SEARCH("平",B4753)),"平","仄")))</x:f>
        <x:v>仄</x:v>
      </x:c>
      <x:c r="K4753" s="6" t="str">
        <x:f>IF(D4753="","",IF(AND(ISNUMBER(SEARCH("平",D4753)),OR(ISNUMBER(SEARCH("上",D4753)),ISNUMBER(SEARCH("去",D4753)),ISNUMBER(SEARCH("入",D4753)))),"Ambiguous",IF(ISNUMBER(SEARCH("平",D4753)),"平","仄")))</x:f>
        <x:v>仄</x:v>
      </x:c>
      <x:c r="L4753" s="7" t="str"/>
    </x:row>
    <x:row r="4754">
      <x:c r="A4754" s="5" t="str">
        <x:v>魅</x:v>
      </x:c>
      <x:c r="B4754" s="6" t="str">
        <x:v>去</x:v>
      </x:c>
      <x:c r="C4754" s="6" t="str">
        <x:f>IF(B4754="","Needs decision","Ready")</x:f>
        <x:v>Ready</x:v>
      </x:c>
      <x:c r="D4754" s="6" t="str">
        <x:v>去</x:v>
      </x:c>
      <x:c r="E4754" s="6" t="str">
        <x:v>mijH (C)</x:v>
      </x:c>
      <x:c r="F4754" s="6" t="str">
        <x:v>去聲四寘</x:v>
      </x:c>
      <x:c r="G4754" s="6" t="str">
        <x:v>Pingshui main list, Wikisource-derived DOCX</x:v>
      </x:c>
      <x:c r="H4754" s="6" t="str">
        <x:v>1</x:v>
      </x:c>
      <x:c r="I4754" s="6" t="str"/>
      <x:c r="J4754" s="6" t="str">
        <x:f>IF(B4754="","",IF(AND(ISNUMBER(SEARCH("平",B4754)),OR(ISNUMBER(SEARCH("上",B4754)),ISNUMBER(SEARCH("去",B4754)),ISNUMBER(SEARCH("入",B4754)))),"Ambiguous",IF(ISNUMBER(SEARCH("平",B4754)),"平","仄")))</x:f>
        <x:v>仄</x:v>
      </x:c>
      <x:c r="K4754" s="6" t="str">
        <x:f>IF(D4754="","",IF(AND(ISNUMBER(SEARCH("平",D4754)),OR(ISNUMBER(SEARCH("上",D4754)),ISNUMBER(SEARCH("去",D4754)),ISNUMBER(SEARCH("入",D4754)))),"Ambiguous",IF(ISNUMBER(SEARCH("平",D4754)),"平","仄")))</x:f>
        <x:v>仄</x:v>
      </x:c>
      <x:c r="L4754" s="7" t="str"/>
    </x:row>
    <x:row r="4755">
      <x:c r="A4755" s="5" t="str">
        <x:v>魏</x:v>
      </x:c>
      <x:c r="B4755" s="6" t="str"/>
      <x:c r="C4755" s="6" t="str">
        <x:f>IF(B4755="","Needs decision","Ready")</x:f>
        <x:v>Needs decision</x:v>
      </x:c>
      <x:c r="D4755" s="6" t="str">
        <x:v>平/去</x:v>
      </x:c>
      <x:c r="E4755" s="6" t="str">
        <x:v>ngjw+j (A); ngjw+jH (C)</x:v>
      </x:c>
      <x:c r="F4755" s="6" t="str">
        <x:v>去聲五未</x:v>
      </x:c>
      <x:c r="G4755" s="6" t="str">
        <x:v>Pingshui main list, Wikisource-derived DOCX</x:v>
      </x:c>
      <x:c r="H4755" s="6" t="str">
        <x:v>2</x:v>
      </x:c>
      <x:c r="I4755" s="6" t="str"/>
      <x:c r="J4755" s="6" t="str">
        <x:f>IF(B4755="","",IF(AND(ISNUMBER(SEARCH("平",B4755)),OR(ISNUMBER(SEARCH("上",B4755)),ISNUMBER(SEARCH("去",B4755)),ISNUMBER(SEARCH("入",B4755)))),"Ambiguous",IF(ISNUMBER(SEARCH("平",B4755)),"平","仄")))</x:f>
      </x:c>
      <x:c r="K4755" s="6" t="str">
        <x:f>IF(D4755="","",IF(AND(ISNUMBER(SEARCH("平",D4755)),OR(ISNUMBER(SEARCH("上",D4755)),ISNUMBER(SEARCH("去",D4755)),ISNUMBER(SEARCH("入",D4755)))),"Ambiguous",IF(ISNUMBER(SEARCH("平",D4755)),"平","仄")))</x:f>
        <x:v>Ambiguous</x:v>
      </x:c>
      <x:c r="L4755" s="7" t="str"/>
    </x:row>
    <x:row r="4756">
      <x:c r="A4756" s="5" t="str">
        <x:v>魑</x:v>
      </x:c>
      <x:c r="B4756" s="6" t="str">
        <x:v>平</x:v>
      </x:c>
      <x:c r="C4756" s="6" t="str">
        <x:f>IF(B4756="","Needs decision","Ready")</x:f>
        <x:v>Ready</x:v>
      </x:c>
      <x:c r="D4756" s="6" t="str">
        <x:v>平</x:v>
      </x:c>
      <x:c r="E4756" s="6" t="str">
        <x:v>trhje (A)</x:v>
      </x:c>
      <x:c r="F4756" s="6" t="str">
        <x:v>上平聲四支</x:v>
      </x:c>
      <x:c r="G4756" s="6" t="str">
        <x:v>Pingshui main list, Wikisource-derived DOCX</x:v>
      </x:c>
      <x:c r="H4756" s="6" t="str">
        <x:v>1</x:v>
      </x:c>
      <x:c r="I4756" s="6" t="str"/>
      <x:c r="J4756" s="6" t="str">
        <x:f>IF(B4756="","",IF(AND(ISNUMBER(SEARCH("平",B4756)),OR(ISNUMBER(SEARCH("上",B4756)),ISNUMBER(SEARCH("去",B4756)),ISNUMBER(SEARCH("入",B4756)))),"Ambiguous",IF(ISNUMBER(SEARCH("平",B4756)),"平","仄")))</x:f>
        <x:v>平</x:v>
      </x:c>
      <x:c r="K4756" s="6" t="str">
        <x:f>IF(D4756="","",IF(AND(ISNUMBER(SEARCH("平",D4756)),OR(ISNUMBER(SEARCH("上",D4756)),ISNUMBER(SEARCH("去",D4756)),ISNUMBER(SEARCH("入",D4756)))),"Ambiguous",IF(ISNUMBER(SEARCH("平",D4756)),"平","仄")))</x:f>
        <x:v>平</x:v>
      </x:c>
      <x:c r="L4756" s="7" t="str"/>
    </x:row>
    <x:row r="4757">
      <x:c r="A4757" s="5" t="str">
        <x:v>魔</x:v>
      </x:c>
      <x:c r="B4757" s="6" t="str">
        <x:v>平</x:v>
      </x:c>
      <x:c r="C4757" s="6" t="str">
        <x:f>IF(B4757="","Needs decision","Ready")</x:f>
        <x:v>Ready</x:v>
      </x:c>
      <x:c r="D4757" s="6" t="str">
        <x:v>平</x:v>
      </x:c>
      <x:c r="E4757" s="6" t="str">
        <x:v>ma [明一歌平] m̙ɑ</x:v>
      </x:c>
      <x:c r="F4757" s="6" t="str">
        <x:v>下平聲五歌</x:v>
      </x:c>
      <x:c r="G4757" s="6" t="str">
        <x:v>Pingshui main list, Wikisource-derived DOCX</x:v>
      </x:c>
      <x:c r="H4757" s="6" t="str">
        <x:v>1</x:v>
      </x:c>
      <x:c r="I4757" s="6" t="str">
        <x:v>Targeted preliminary fill from Xun Gong; review if uncertain</x:v>
      </x:c>
      <x:c r="J4757" s="6" t="str">
        <x:f>IF(B4757="","",IF(AND(ISNUMBER(SEARCH("平",B4757)),OR(ISNUMBER(SEARCH("上",B4757)),ISNUMBER(SEARCH("去",B4757)),ISNUMBER(SEARCH("入",B4757)))),"Ambiguous",IF(ISNUMBER(SEARCH("平",B4757)),"平","仄")))</x:f>
        <x:v>平</x:v>
      </x:c>
      <x:c r="K4757" s="6" t="str">
        <x:f>IF(D4757="","",IF(AND(ISNUMBER(SEARCH("平",D4757)),OR(ISNUMBER(SEARCH("上",D4757)),ISNUMBER(SEARCH("去",D4757)),ISNUMBER(SEARCH("入",D4757)))),"Ambiguous",IF(ISNUMBER(SEARCH("平",D4757)),"平","仄")))</x:f>
        <x:v>平</x:v>
      </x:c>
      <x:c r="L4757" s="7" t="str">
        <x:v>Xun Gong character-readings.csv</x:v>
      </x:c>
    </x:row>
    <x:row r="4758">
      <x:c r="A4758" s="5" t="str">
        <x:v>魚</x:v>
      </x:c>
      <x:c r="B4758" s="6" t="str">
        <x:v>平</x:v>
      </x:c>
      <x:c r="C4758" s="6" t="str">
        <x:f>IF(B4758="","Needs decision","Ready")</x:f>
        <x:v>Ready</x:v>
      </x:c>
      <x:c r="D4758" s="6" t="str">
        <x:v>平</x:v>
      </x:c>
      <x:c r="E4758" s="6" t="str">
        <x:v>ngjo (A)</x:v>
      </x:c>
      <x:c r="F4758" s="6" t="str">
        <x:v>上平聲六魚</x:v>
      </x:c>
      <x:c r="G4758" s="6" t="str">
        <x:v>Pingshui main list, Wikisource-derived DOCX</x:v>
      </x:c>
      <x:c r="H4758" s="6" t="str">
        <x:v>1</x:v>
      </x:c>
      <x:c r="I4758" s="6" t="str"/>
      <x:c r="J4758" s="6" t="str">
        <x:f>IF(B4758="","",IF(AND(ISNUMBER(SEARCH("平",B4758)),OR(ISNUMBER(SEARCH("上",B4758)),ISNUMBER(SEARCH("去",B4758)),ISNUMBER(SEARCH("入",B4758)))),"Ambiguous",IF(ISNUMBER(SEARCH("平",B4758)),"平","仄")))</x:f>
        <x:v>平</x:v>
      </x:c>
      <x:c r="K4758" s="6" t="str">
        <x:f>IF(D4758="","",IF(AND(ISNUMBER(SEARCH("平",D4758)),OR(ISNUMBER(SEARCH("上",D4758)),ISNUMBER(SEARCH("去",D4758)),ISNUMBER(SEARCH("入",D4758)))),"Ambiguous",IF(ISNUMBER(SEARCH("平",D4758)),"平","仄")))</x:f>
        <x:v>平</x:v>
      </x:c>
      <x:c r="L4758" s="7" t="str"/>
    </x:row>
    <x:row r="4759">
      <x:c r="A4759" s="5" t="str">
        <x:v>魯</x:v>
      </x:c>
      <x:c r="B4759" s="6" t="str">
        <x:v>上</x:v>
      </x:c>
      <x:c r="C4759" s="6" t="str">
        <x:f>IF(B4759="","Needs decision","Ready")</x:f>
        <x:v>Ready</x:v>
      </x:c>
      <x:c r="D4759" s="6" t="str">
        <x:v>上</x:v>
      </x:c>
      <x:c r="E4759" s="6" t="str">
        <x:v>luX (B)</x:v>
      </x:c>
      <x:c r="F4759" s="6" t="str">
        <x:v>上聲七麌</x:v>
      </x:c>
      <x:c r="G4759" s="6" t="str">
        <x:v>Pingshui main list, Wikisource-derived DOCX</x:v>
      </x:c>
      <x:c r="H4759" s="6" t="str">
        <x:v>1</x:v>
      </x:c>
      <x:c r="I4759" s="6" t="str"/>
      <x:c r="J4759" s="6" t="str">
        <x:f>IF(B4759="","",IF(AND(ISNUMBER(SEARCH("平",B4759)),OR(ISNUMBER(SEARCH("上",B4759)),ISNUMBER(SEARCH("去",B4759)),ISNUMBER(SEARCH("入",B4759)))),"Ambiguous",IF(ISNUMBER(SEARCH("平",B4759)),"平","仄")))</x:f>
        <x:v>仄</x:v>
      </x:c>
      <x:c r="K4759" s="6" t="str">
        <x:f>IF(D4759="","",IF(AND(ISNUMBER(SEARCH("平",D4759)),OR(ISNUMBER(SEARCH("上",D4759)),ISNUMBER(SEARCH("去",D4759)),ISNUMBER(SEARCH("入",D4759)))),"Ambiguous",IF(ISNUMBER(SEARCH("平",D4759)),"平","仄")))</x:f>
        <x:v>仄</x:v>
      </x:c>
      <x:c r="L4759" s="7" t="str"/>
    </x:row>
    <x:row r="4760">
      <x:c r="A4760" s="5" t="str">
        <x:v>魴</x:v>
      </x:c>
      <x:c r="B4760" s="6" t="str">
        <x:v>平</x:v>
      </x:c>
      <x:c r="C4760" s="6" t="str">
        <x:f>IF(B4760="","Needs decision","Ready")</x:f>
        <x:v>Ready</x:v>
      </x:c>
      <x:c r="D4760" s="6" t="str">
        <x:v>平</x:v>
      </x:c>
      <x:c r="E4760" s="6" t="str">
        <x:v>bjang (A)</x:v>
      </x:c>
      <x:c r="F4760" s="6" t="str">
        <x:v>下平聲七陽</x:v>
      </x:c>
      <x:c r="G4760" s="6" t="str">
        <x:v>Pingshui main list, Wikisource-derived DOCX</x:v>
      </x:c>
      <x:c r="H4760" s="6" t="str">
        <x:v>1</x:v>
      </x:c>
      <x:c r="I4760" s="6" t="str"/>
      <x:c r="J4760" s="6" t="str">
        <x:f>IF(B4760="","",IF(AND(ISNUMBER(SEARCH("平",B4760)),OR(ISNUMBER(SEARCH("上",B4760)),ISNUMBER(SEARCH("去",B4760)),ISNUMBER(SEARCH("入",B4760)))),"Ambiguous",IF(ISNUMBER(SEARCH("平",B4760)),"平","仄")))</x:f>
        <x:v>平</x:v>
      </x:c>
      <x:c r="K4760" s="6" t="str">
        <x:f>IF(D4760="","",IF(AND(ISNUMBER(SEARCH("平",D4760)),OR(ISNUMBER(SEARCH("上",D4760)),ISNUMBER(SEARCH("去",D4760)),ISNUMBER(SEARCH("入",D4760)))),"Ambiguous",IF(ISNUMBER(SEARCH("平",D4760)),"平","仄")))</x:f>
        <x:v>平</x:v>
      </x:c>
      <x:c r="L4760" s="7" t="str"/>
    </x:row>
    <x:row r="4761">
      <x:c r="A4761" s="5" t="str">
        <x:v>鮪</x:v>
      </x:c>
      <x:c r="B4761" s="6" t="str">
        <x:v>上</x:v>
      </x:c>
      <x:c r="C4761" s="6" t="str">
        <x:f>IF(B4761="","Needs decision","Ready")</x:f>
        <x:v>Ready</x:v>
      </x:c>
      <x:c r="D4761" s="6" t="str">
        <x:v>上</x:v>
      </x:c>
      <x:c r="E4761" s="6" t="str">
        <x:v>hwijX (B)</x:v>
      </x:c>
      <x:c r="F4761" s="6" t="str">
        <x:v>上聲四紙</x:v>
      </x:c>
      <x:c r="G4761" s="6" t="str">
        <x:v>Pingshui main list, Wikisource-derived DOCX</x:v>
      </x:c>
      <x:c r="H4761" s="6" t="str">
        <x:v>1</x:v>
      </x:c>
      <x:c r="I4761" s="6" t="str"/>
      <x:c r="J4761" s="6" t="str">
        <x:f>IF(B4761="","",IF(AND(ISNUMBER(SEARCH("平",B4761)),OR(ISNUMBER(SEARCH("上",B4761)),ISNUMBER(SEARCH("去",B4761)),ISNUMBER(SEARCH("入",B4761)))),"Ambiguous",IF(ISNUMBER(SEARCH("平",B4761)),"平","仄")))</x:f>
        <x:v>仄</x:v>
      </x:c>
      <x:c r="K4761" s="6" t="str">
        <x:f>IF(D4761="","",IF(AND(ISNUMBER(SEARCH("平",D4761)),OR(ISNUMBER(SEARCH("上",D4761)),ISNUMBER(SEARCH("去",D4761)),ISNUMBER(SEARCH("入",D4761)))),"Ambiguous",IF(ISNUMBER(SEARCH("平",D4761)),"平","仄")))</x:f>
        <x:v>仄</x:v>
      </x:c>
      <x:c r="L4761" s="7" t="str"/>
    </x:row>
    <x:row r="4762">
      <x:c r="A4762" s="5" t="str">
        <x:v>鮮</x:v>
      </x:c>
      <x:c r="B4762" s="6" t="str"/>
      <x:c r="C4762" s="6" t="str">
        <x:f>IF(B4762="","Needs decision","Ready")</x:f>
        <x:v>Needs decision</x:v>
      </x:c>
      <x:c r="D4762" s="6" t="str">
        <x:v>平/上</x:v>
      </x:c>
      <x:c r="E4762" s="6" t="str">
        <x:v>sjen (A); sjenX (B)</x:v>
      </x:c>
      <x:c r="F4762" s="6" t="str">
        <x:v>下平聲一先; 上聲十六銑</x:v>
      </x:c>
      <x:c r="G4762" s="6" t="str">
        <x:v>Pingshui main list, Wikisource-derived DOCX</x:v>
      </x:c>
      <x:c r="H4762" s="6" t="str">
        <x:v>2</x:v>
      </x:c>
      <x:c r="I4762" s="6" t="str"/>
      <x:c r="J4762" s="6" t="str">
        <x:f>IF(B4762="","",IF(AND(ISNUMBER(SEARCH("平",B4762)),OR(ISNUMBER(SEARCH("上",B4762)),ISNUMBER(SEARCH("去",B4762)),ISNUMBER(SEARCH("入",B4762)))),"Ambiguous",IF(ISNUMBER(SEARCH("平",B4762)),"平","仄")))</x:f>
      </x:c>
      <x:c r="K4762" s="6" t="str">
        <x:f>IF(D4762="","",IF(AND(ISNUMBER(SEARCH("平",D4762)),OR(ISNUMBER(SEARCH("上",D4762)),ISNUMBER(SEARCH("去",D4762)),ISNUMBER(SEARCH("入",D4762)))),"Ambiguous",IF(ISNUMBER(SEARCH("平",D4762)),"平","仄")))</x:f>
        <x:v>Ambiguous</x:v>
      </x:c>
      <x:c r="L4762" s="7" t="str"/>
    </x:row>
    <x:row r="4763">
      <x:c r="A4763" s="5" t="str">
        <x:v>鯉</x:v>
      </x:c>
      <x:c r="B4763" s="6" t="str">
        <x:v>上</x:v>
      </x:c>
      <x:c r="C4763" s="6" t="str">
        <x:f>IF(B4763="","Needs decision","Ready")</x:f>
        <x:v>Ready</x:v>
      </x:c>
      <x:c r="D4763" s="6" t="str">
        <x:v>上</x:v>
      </x:c>
      <x:c r="E4763" s="6" t="str">
        <x:v>liX (B)</x:v>
      </x:c>
      <x:c r="F4763" s="6" t="str">
        <x:v>上聲四紙</x:v>
      </x:c>
      <x:c r="G4763" s="6" t="str">
        <x:v>Pingshui main list, Wikisource-derived DOCX</x:v>
      </x:c>
      <x:c r="H4763" s="6" t="str">
        <x:v>1</x:v>
      </x:c>
      <x:c r="I4763" s="6" t="str"/>
      <x:c r="J4763" s="6" t="str">
        <x:f>IF(B4763="","",IF(AND(ISNUMBER(SEARCH("平",B4763)),OR(ISNUMBER(SEARCH("上",B4763)),ISNUMBER(SEARCH("去",B4763)),ISNUMBER(SEARCH("入",B4763)))),"Ambiguous",IF(ISNUMBER(SEARCH("平",B4763)),"平","仄")))</x:f>
        <x:v>仄</x:v>
      </x:c>
      <x:c r="K4763" s="6" t="str">
        <x:f>IF(D4763="","",IF(AND(ISNUMBER(SEARCH("平",D4763)),OR(ISNUMBER(SEARCH("上",D4763)),ISNUMBER(SEARCH("去",D4763)),ISNUMBER(SEARCH("入",D4763)))),"Ambiguous",IF(ISNUMBER(SEARCH("平",D4763)),"平","仄")))</x:f>
        <x:v>仄</x:v>
      </x:c>
      <x:c r="L4763" s="7" t="str"/>
    </x:row>
    <x:row r="4764">
      <x:c r="A4764" s="5" t="str">
        <x:v>鯨</x:v>
      </x:c>
      <x:c r="B4764" s="6" t="str">
        <x:v>平</x:v>
      </x:c>
      <x:c r="C4764" s="6" t="str">
        <x:f>IF(B4764="","Needs decision","Ready")</x:f>
        <x:v>Ready</x:v>
      </x:c>
      <x:c r="D4764" s="6" t="str">
        <x:v>平</x:v>
      </x:c>
      <x:c r="E4764" s="6" t="str">
        <x:v>gjaeng (A)</x:v>
      </x:c>
      <x:c r="F4764" s="6" t="str">
        <x:v>下平聲八庚</x:v>
      </x:c>
      <x:c r="G4764" s="6" t="str">
        <x:v>Pingshui main list, Wikisource-derived DOCX</x:v>
      </x:c>
      <x:c r="H4764" s="6" t="str">
        <x:v>1</x:v>
      </x:c>
      <x:c r="I4764" s="6" t="str"/>
      <x:c r="J4764" s="6" t="str">
        <x:f>IF(B4764="","",IF(AND(ISNUMBER(SEARCH("平",B4764)),OR(ISNUMBER(SEARCH("上",B4764)),ISNUMBER(SEARCH("去",B4764)),ISNUMBER(SEARCH("入",B4764)))),"Ambiguous",IF(ISNUMBER(SEARCH("平",B4764)),"平","仄")))</x:f>
        <x:v>平</x:v>
      </x:c>
      <x:c r="K4764" s="6" t="str">
        <x:f>IF(D4764="","",IF(AND(ISNUMBER(SEARCH("平",D4764)),OR(ISNUMBER(SEARCH("上",D4764)),ISNUMBER(SEARCH("去",D4764)),ISNUMBER(SEARCH("入",D4764)))),"Ambiguous",IF(ISNUMBER(SEARCH("平",D4764)),"平","仄")))</x:f>
        <x:v>平</x:v>
      </x:c>
      <x:c r="L4764" s="7" t="str"/>
    </x:row>
    <x:row r="4765">
      <x:c r="A4765" s="5" t="str">
        <x:v>鰥</x:v>
      </x:c>
      <x:c r="B4765" s="6" t="str">
        <x:v>平</x:v>
      </x:c>
      <x:c r="C4765" s="6" t="str">
        <x:f>IF(B4765="","Needs decision","Ready")</x:f>
        <x:v>Ready</x:v>
      </x:c>
      <x:c r="D4765" s="6" t="str">
        <x:v>平</x:v>
      </x:c>
      <x:c r="E4765" s="6" t="str">
        <x:v>kwean (A)</x:v>
      </x:c>
      <x:c r="F4765" s="6" t="str">
        <x:v>上平聲十五刪</x:v>
      </x:c>
      <x:c r="G4765" s="6" t="str">
        <x:v>Pingshui main list, Wikisource-derived DOCX</x:v>
      </x:c>
      <x:c r="H4765" s="6" t="str">
        <x:v>1</x:v>
      </x:c>
      <x:c r="I4765" s="6" t="str"/>
      <x:c r="J4765" s="6" t="str">
        <x:f>IF(B4765="","",IF(AND(ISNUMBER(SEARCH("平",B4765)),OR(ISNUMBER(SEARCH("上",B4765)),ISNUMBER(SEARCH("去",B4765)),ISNUMBER(SEARCH("入",B4765)))),"Ambiguous",IF(ISNUMBER(SEARCH("平",B4765)),"平","仄")))</x:f>
        <x:v>平</x:v>
      </x:c>
      <x:c r="K4765" s="6" t="str">
        <x:f>IF(D4765="","",IF(AND(ISNUMBER(SEARCH("平",D4765)),OR(ISNUMBER(SEARCH("上",D4765)),ISNUMBER(SEARCH("去",D4765)),ISNUMBER(SEARCH("入",D4765)))),"Ambiguous",IF(ISNUMBER(SEARCH("平",D4765)),"平","仄")))</x:f>
        <x:v>平</x:v>
      </x:c>
      <x:c r="L4765" s="7" t="str"/>
    </x:row>
    <x:row r="4766">
      <x:c r="A4766" s="5" t="str">
        <x:v>鰭</x:v>
      </x:c>
      <x:c r="B4766" s="6" t="str">
        <x:v>平</x:v>
      </x:c>
      <x:c r="C4766" s="6" t="str">
        <x:f>IF(B4766="","Needs decision","Ready")</x:f>
        <x:v>Ready</x:v>
      </x:c>
      <x:c r="D4766" s="6" t="str">
        <x:v>平</x:v>
      </x:c>
      <x:c r="E4766" s="6" t="str">
        <x:v>gij (A)</x:v>
      </x:c>
      <x:c r="F4766" s="6" t="str">
        <x:v>上平聲四支</x:v>
      </x:c>
      <x:c r="G4766" s="6" t="str">
        <x:v>Pingshui main list, Wikisource-derived DOCX</x:v>
      </x:c>
      <x:c r="H4766" s="6" t="str">
        <x:v>1</x:v>
      </x:c>
      <x:c r="I4766" s="6" t="str"/>
      <x:c r="J4766" s="6" t="str">
        <x:f>IF(B4766="","",IF(AND(ISNUMBER(SEARCH("平",B4766)),OR(ISNUMBER(SEARCH("上",B4766)),ISNUMBER(SEARCH("去",B4766)),ISNUMBER(SEARCH("入",B4766)))),"Ambiguous",IF(ISNUMBER(SEARCH("平",B4766)),"平","仄")))</x:f>
        <x:v>平</x:v>
      </x:c>
      <x:c r="K4766" s="6" t="str">
        <x:f>IF(D4766="","",IF(AND(ISNUMBER(SEARCH("平",D4766)),OR(ISNUMBER(SEARCH("上",D4766)),ISNUMBER(SEARCH("去",D4766)),ISNUMBER(SEARCH("入",D4766)))),"Ambiguous",IF(ISNUMBER(SEARCH("平",D4766)),"平","仄")))</x:f>
        <x:v>平</x:v>
      </x:c>
      <x:c r="L4766" s="7" t="str"/>
    </x:row>
    <x:row r="4767">
      <x:c r="A4767" s="5" t="str">
        <x:v>鱉</x:v>
      </x:c>
      <x:c r="B4767" s="6" t="str">
        <x:v>入</x:v>
      </x:c>
      <x:c r="C4767" s="6" t="str">
        <x:f>IF(B4767="","Needs decision","Ready")</x:f>
        <x:v>Ready</x:v>
      </x:c>
      <x:c r="D4767" s="6" t="str">
        <x:v>入</x:v>
      </x:c>
      <x:c r="E4767" s="6" t="str">
        <x:v>pjiet (D)</x:v>
      </x:c>
      <x:c r="F4767" s="6" t="str">
        <x:v>入聲九屑</x:v>
      </x:c>
      <x:c r="G4767" s="6" t="str">
        <x:v>Pingshui main list, Wikisource-derived DOCX</x:v>
      </x:c>
      <x:c r="H4767" s="6" t="str">
        <x:v>1</x:v>
      </x:c>
      <x:c r="I4767" s="6" t="str"/>
      <x:c r="J4767" s="6" t="str">
        <x:f>IF(B4767="","",IF(AND(ISNUMBER(SEARCH("平",B4767)),OR(ISNUMBER(SEARCH("上",B4767)),ISNUMBER(SEARCH("去",B4767)),ISNUMBER(SEARCH("入",B4767)))),"Ambiguous",IF(ISNUMBER(SEARCH("平",B4767)),"平","仄")))</x:f>
        <x:v>仄</x:v>
      </x:c>
      <x:c r="K4767" s="6" t="str">
        <x:f>IF(D4767="","",IF(AND(ISNUMBER(SEARCH("平",D4767)),OR(ISNUMBER(SEARCH("上",D4767)),ISNUMBER(SEARCH("去",D4767)),ISNUMBER(SEARCH("入",D4767)))),"Ambiguous",IF(ISNUMBER(SEARCH("平",D4767)),"平","仄")))</x:f>
        <x:v>仄</x:v>
      </x:c>
      <x:c r="L4767" s="7" t="str"/>
    </x:row>
    <x:row r="4768">
      <x:c r="A4768" s="5" t="str">
        <x:v>鱗</x:v>
      </x:c>
      <x:c r="B4768" s="6" t="str">
        <x:v>平</x:v>
      </x:c>
      <x:c r="C4768" s="6" t="str">
        <x:f>IF(B4768="","Needs decision","Ready")</x:f>
        <x:v>Ready</x:v>
      </x:c>
      <x:c r="D4768" s="6" t="str">
        <x:v>平</x:v>
      </x:c>
      <x:c r="E4768" s="6" t="str">
        <x:v>lin (A)</x:v>
      </x:c>
      <x:c r="F4768" s="6" t="str">
        <x:v>上平聲十一真</x:v>
      </x:c>
      <x:c r="G4768" s="6" t="str">
        <x:v>Pingshui main list, Wikisource-derived DOCX</x:v>
      </x:c>
      <x:c r="H4768" s="6" t="str">
        <x:v>1</x:v>
      </x:c>
      <x:c r="I4768" s="6" t="str"/>
      <x:c r="J4768" s="6" t="str">
        <x:f>IF(B4768="","",IF(AND(ISNUMBER(SEARCH("平",B4768)),OR(ISNUMBER(SEARCH("上",B4768)),ISNUMBER(SEARCH("去",B4768)),ISNUMBER(SEARCH("入",B4768)))),"Ambiguous",IF(ISNUMBER(SEARCH("平",B4768)),"平","仄")))</x:f>
        <x:v>平</x:v>
      </x:c>
      <x:c r="K4768" s="6" t="str">
        <x:f>IF(D4768="","",IF(AND(ISNUMBER(SEARCH("平",D4768)),OR(ISNUMBER(SEARCH("上",D4768)),ISNUMBER(SEARCH("去",D4768)),ISNUMBER(SEARCH("入",D4768)))),"Ambiguous",IF(ISNUMBER(SEARCH("平",D4768)),"平","仄")))</x:f>
        <x:v>平</x:v>
      </x:c>
      <x:c r="L4768" s="7" t="str"/>
    </x:row>
    <x:row r="4769">
      <x:c r="A4769" s="5" t="str">
        <x:v>鱢</x:v>
      </x:c>
      <x:c r="B4769" s="6" t="str">
        <x:v>平</x:v>
      </x:c>
      <x:c r="C4769" s="6" t="str">
        <x:f>IF(B4769="","Needs decision","Ready")</x:f>
        <x:v>Ready</x:v>
      </x:c>
      <x:c r="D4769" s="6" t="str">
        <x:v>平</x:v>
      </x:c>
      <x:c r="E4769" s="6" t="str">
        <x:v>saw (A)</x:v>
      </x:c>
      <x:c r="F4769" s="6" t="str"/>
      <x:c r="G4769" s="6" t="str"/>
      <x:c r="H4769" s="6" t="str">
        <x:v>1</x:v>
      </x:c>
      <x:c r="I4769" s="6" t="str"/>
      <x:c r="J4769" s="6" t="str">
        <x:f>IF(B4769="","",IF(AND(ISNUMBER(SEARCH("平",B4769)),OR(ISNUMBER(SEARCH("上",B4769)),ISNUMBER(SEARCH("去",B4769)),ISNUMBER(SEARCH("入",B4769)))),"Ambiguous",IF(ISNUMBER(SEARCH("平",B4769)),"平","仄")))</x:f>
        <x:v>平</x:v>
      </x:c>
      <x:c r="K4769" s="6" t="str">
        <x:f>IF(D4769="","",IF(AND(ISNUMBER(SEARCH("平",D4769)),OR(ISNUMBER(SEARCH("上",D4769)),ISNUMBER(SEARCH("去",D4769)),ISNUMBER(SEARCH("入",D4769)))),"Ambiguous",IF(ISNUMBER(SEARCH("平",D4769)),"平","仄")))</x:f>
        <x:v>平</x:v>
      </x:c>
      <x:c r="L4769" s="7" t="str"/>
    </x:row>
    <x:row r="4770">
      <x:c r="A4770" s="5" t="str">
        <x:v>鱣</x:v>
      </x:c>
      <x:c r="B4770" s="6" t="str">
        <x:v>平</x:v>
      </x:c>
      <x:c r="C4770" s="6" t="str">
        <x:f>IF(B4770="","Needs decision","Ready")</x:f>
        <x:v>Ready</x:v>
      </x:c>
      <x:c r="D4770" s="6" t="str">
        <x:v>平</x:v>
      </x:c>
      <x:c r="E4770" s="6" t="str">
        <x:v>trjen (A)</x:v>
      </x:c>
      <x:c r="F4770" s="6" t="str">
        <x:v>下平聲一先</x:v>
      </x:c>
      <x:c r="G4770" s="6" t="str">
        <x:v>Pingshui main list, Wikisource-derived DOCX</x:v>
      </x:c>
      <x:c r="H4770" s="6" t="str">
        <x:v>1</x:v>
      </x:c>
      <x:c r="I4770" s="6" t="str"/>
      <x:c r="J4770" s="6" t="str">
        <x:f>IF(B4770="","",IF(AND(ISNUMBER(SEARCH("平",B4770)),OR(ISNUMBER(SEARCH("上",B4770)),ISNUMBER(SEARCH("去",B4770)),ISNUMBER(SEARCH("入",B4770)))),"Ambiguous",IF(ISNUMBER(SEARCH("平",B4770)),"平","仄")))</x:f>
        <x:v>平</x:v>
      </x:c>
      <x:c r="K4770" s="6" t="str">
        <x:f>IF(D4770="","",IF(AND(ISNUMBER(SEARCH("平",D4770)),OR(ISNUMBER(SEARCH("上",D4770)),ISNUMBER(SEARCH("去",D4770)),ISNUMBER(SEARCH("入",D4770)))),"Ambiguous",IF(ISNUMBER(SEARCH("平",D4770)),"平","仄")))</x:f>
        <x:v>平</x:v>
      </x:c>
      <x:c r="L4770" s="7" t="str"/>
    </x:row>
    <x:row r="4771">
      <x:c r="A4771" s="5" t="str">
        <x:v>鳥</x:v>
      </x:c>
      <x:c r="B4771" s="6" t="str">
        <x:v>上</x:v>
      </x:c>
      <x:c r="C4771" s="6" t="str">
        <x:f>IF(B4771="","Needs decision","Ready")</x:f>
        <x:v>Ready</x:v>
      </x:c>
      <x:c r="D4771" s="6" t="str">
        <x:v>上</x:v>
      </x:c>
      <x:c r="E4771" s="6" t="str">
        <x:v>tewX (B)</x:v>
      </x:c>
      <x:c r="F4771" s="6" t="str">
        <x:v>上聲十七篠</x:v>
      </x:c>
      <x:c r="G4771" s="6" t="str">
        <x:v>Pingshui main list, Wikisource-derived DOCX</x:v>
      </x:c>
      <x:c r="H4771" s="6" t="str">
        <x:v>1</x:v>
      </x:c>
      <x:c r="I4771" s="6" t="str"/>
      <x:c r="J4771" s="6" t="str">
        <x:f>IF(B4771="","",IF(AND(ISNUMBER(SEARCH("平",B4771)),OR(ISNUMBER(SEARCH("上",B4771)),ISNUMBER(SEARCH("去",B4771)),ISNUMBER(SEARCH("入",B4771)))),"Ambiguous",IF(ISNUMBER(SEARCH("平",B4771)),"平","仄")))</x:f>
        <x:v>仄</x:v>
      </x:c>
      <x:c r="K4771" s="6" t="str">
        <x:f>IF(D4771="","",IF(AND(ISNUMBER(SEARCH("平",D4771)),OR(ISNUMBER(SEARCH("上",D4771)),ISNUMBER(SEARCH("去",D4771)),ISNUMBER(SEARCH("入",D4771)))),"Ambiguous",IF(ISNUMBER(SEARCH("平",D4771)),"平","仄")))</x:f>
        <x:v>仄</x:v>
      </x:c>
      <x:c r="L4771" s="7" t="str"/>
    </x:row>
    <x:row r="4772">
      <x:c r="A4772" s="5" t="str">
        <x:v>鳧</x:v>
      </x:c>
      <x:c r="B4772" s="6" t="str">
        <x:v>平</x:v>
      </x:c>
      <x:c r="C4772" s="6" t="str">
        <x:f>IF(B4772="","Needs decision","Ready")</x:f>
        <x:v>Ready</x:v>
      </x:c>
      <x:c r="D4772" s="6" t="str">
        <x:v>平</x:v>
      </x:c>
      <x:c r="E4772" s="6" t="str">
        <x:v>bju [bɨ̯o] (平)</x:v>
      </x:c>
      <x:c r="F4772" s="6" t="str">
        <x:v>上平聲七虞</x:v>
      </x:c>
      <x:c r="G4772" s="6" t="str">
        <x:v>Pingshui main list, Wikisource-derived DOCX</x:v>
      </x:c>
      <x:c r="H4772" s="6" t="str">
        <x:v>1</x:v>
      </x:c>
      <x:c r="I4772" s="6" t="str">
        <x:v>Tang 300 gap; frequency 1; provisional from Xun Gong</x:v>
      </x:c>
      <x:c r="J4772" s="6" t="str">
        <x:f>IF(B4772="","",IF(AND(ISNUMBER(SEARCH("平",B4772)),OR(ISNUMBER(SEARCH("上",B4772)),ISNUMBER(SEARCH("去",B4772)),ISNUMBER(SEARCH("入",B4772)))),"Ambiguous",IF(ISNUMBER(SEARCH("平",B4772)),"平","仄")))</x:f>
        <x:v>平</x:v>
      </x:c>
      <x:c r="K4772" s="6" t="str">
        <x:f>IF(D4772="","",IF(AND(ISNUMBER(SEARCH("平",D4772)),OR(ISNUMBER(SEARCH("上",D4772)),ISNUMBER(SEARCH("去",D4772)),ISNUMBER(SEARCH("入",D4772)))),"Ambiguous",IF(ISNUMBER(SEARCH("平",D4772)),"平","仄")))</x:f>
        <x:v>平</x:v>
      </x:c>
      <x:c r="L4772" s="7" t="str">
        <x:v>Xun Gong, Tang 300 gap fill</x:v>
      </x:c>
    </x:row>
    <x:row r="4773">
      <x:c r="A4773" s="5" t="str">
        <x:v>鳩</x:v>
      </x:c>
      <x:c r="B4773" s="6" t="str">
        <x:v>平</x:v>
      </x:c>
      <x:c r="C4773" s="6" t="str">
        <x:f>IF(B4773="","Needs decision","Ready")</x:f>
        <x:v>Ready</x:v>
      </x:c>
      <x:c r="D4773" s="6" t="str">
        <x:v>平</x:v>
      </x:c>
      <x:c r="E4773" s="6" t="str">
        <x:v>kjuw (A)</x:v>
      </x:c>
      <x:c r="F4773" s="6" t="str">
        <x:v>下平聲十一尤</x:v>
      </x:c>
      <x:c r="G4773" s="6" t="str">
        <x:v>Pingshui main list, Wikisource-derived DOCX</x:v>
      </x:c>
      <x:c r="H4773" s="6" t="str">
        <x:v>1</x:v>
      </x:c>
      <x:c r="I4773" s="6" t="str"/>
      <x:c r="J4773" s="6" t="str">
        <x:f>IF(B4773="","",IF(AND(ISNUMBER(SEARCH("平",B4773)),OR(ISNUMBER(SEARCH("上",B4773)),ISNUMBER(SEARCH("去",B4773)),ISNUMBER(SEARCH("入",B4773)))),"Ambiguous",IF(ISNUMBER(SEARCH("平",B4773)),"平","仄")))</x:f>
        <x:v>平</x:v>
      </x:c>
      <x:c r="K4773" s="6" t="str">
        <x:f>IF(D4773="","",IF(AND(ISNUMBER(SEARCH("平",D4773)),OR(ISNUMBER(SEARCH("上",D4773)),ISNUMBER(SEARCH("去",D4773)),ISNUMBER(SEARCH("入",D4773)))),"Ambiguous",IF(ISNUMBER(SEARCH("平",D4773)),"平","仄")))</x:f>
        <x:v>平</x:v>
      </x:c>
      <x:c r="L4773" s="7" t="str"/>
    </x:row>
    <x:row r="4774">
      <x:c r="A4774" s="5" t="str">
        <x:v>鳳</x:v>
      </x:c>
      <x:c r="B4774" s="6" t="str">
        <x:v>去</x:v>
      </x:c>
      <x:c r="C4774" s="6" t="str">
        <x:f>IF(B4774="","Needs decision","Ready")</x:f>
        <x:v>Ready</x:v>
      </x:c>
      <x:c r="D4774" s="6" t="str">
        <x:v>去</x:v>
      </x:c>
      <x:c r="E4774" s="6" t="str">
        <x:v>bjuwngH [並三C東去] bɨ̯uŋh</x:v>
      </x:c>
      <x:c r="F4774" s="6" t="str">
        <x:v>去聲一送</x:v>
      </x:c>
      <x:c r="G4774" s="6" t="str">
        <x:v>Pingshui main list, Wikisource-derived DOCX</x:v>
      </x:c>
      <x:c r="H4774" s="6" t="str">
        <x:v>1</x:v>
      </x:c>
      <x:c r="I4774" s="6" t="str">
        <x:v>Targeted preliminary fill from Xun Gong; review if uncertain</x:v>
      </x:c>
      <x:c r="J4774" s="6" t="str">
        <x:f>IF(B4774="","",IF(AND(ISNUMBER(SEARCH("平",B4774)),OR(ISNUMBER(SEARCH("上",B4774)),ISNUMBER(SEARCH("去",B4774)),ISNUMBER(SEARCH("入",B4774)))),"Ambiguous",IF(ISNUMBER(SEARCH("平",B4774)),"平","仄")))</x:f>
        <x:v>仄</x:v>
      </x:c>
      <x:c r="K4774" s="6" t="str">
        <x:f>IF(D4774="","",IF(AND(ISNUMBER(SEARCH("平",D4774)),OR(ISNUMBER(SEARCH("上",D4774)),ISNUMBER(SEARCH("去",D4774)),ISNUMBER(SEARCH("入",D4774)))),"Ambiguous",IF(ISNUMBER(SEARCH("平",D4774)),"平","仄")))</x:f>
        <x:v>仄</x:v>
      </x:c>
      <x:c r="L4774" s="7" t="str">
        <x:v>Xun Gong character-readings.csv</x:v>
      </x:c>
    </x:row>
    <x:row r="4775">
      <x:c r="A4775" s="5" t="str">
        <x:v>鳴</x:v>
      </x:c>
      <x:c r="B4775" s="6" t="str">
        <x:v>平</x:v>
      </x:c>
      <x:c r="C4775" s="6" t="str">
        <x:f>IF(B4775="","Needs decision","Ready")</x:f>
        <x:v>Ready</x:v>
      </x:c>
      <x:c r="D4775" s="6" t="str">
        <x:v>平</x:v>
      </x:c>
      <x:c r="E4775" s="6" t="str">
        <x:v>mjaeng (A)</x:v>
      </x:c>
      <x:c r="F4775" s="6" t="str">
        <x:v>下平聲八庚</x:v>
      </x:c>
      <x:c r="G4775" s="6" t="str">
        <x:v>Pingshui main list, Wikisource-derived DOCX</x:v>
      </x:c>
      <x:c r="H4775" s="6" t="str">
        <x:v>1</x:v>
      </x:c>
      <x:c r="I4775" s="6" t="str"/>
      <x:c r="J4775" s="6" t="str">
        <x:f>IF(B4775="","",IF(AND(ISNUMBER(SEARCH("平",B4775)),OR(ISNUMBER(SEARCH("上",B4775)),ISNUMBER(SEARCH("去",B4775)),ISNUMBER(SEARCH("入",B4775)))),"Ambiguous",IF(ISNUMBER(SEARCH("平",B4775)),"平","仄")))</x:f>
        <x:v>平</x:v>
      </x:c>
      <x:c r="K4775" s="6" t="str">
        <x:f>IF(D4775="","",IF(AND(ISNUMBER(SEARCH("平",D4775)),OR(ISNUMBER(SEARCH("上",D4775)),ISNUMBER(SEARCH("去",D4775)),ISNUMBER(SEARCH("入",D4775)))),"Ambiguous",IF(ISNUMBER(SEARCH("平",D4775)),"平","仄")))</x:f>
        <x:v>平</x:v>
      </x:c>
      <x:c r="L4775" s="7" t="str"/>
    </x:row>
    <x:row r="4776">
      <x:c r="A4776" s="5" t="str">
        <x:v>鳸</x:v>
      </x:c>
      <x:c r="B4776" s="6" t="str">
        <x:v>上</x:v>
      </x:c>
      <x:c r="C4776" s="6" t="str">
        <x:f>IF(B4776="","Needs decision","Ready")</x:f>
        <x:v>Ready</x:v>
      </x:c>
      <x:c r="D4776" s="6" t="str">
        <x:v>上</x:v>
      </x:c>
      <x:c r="E4776" s="6" t="str">
        <x:v>huX (B)</x:v>
      </x:c>
      <x:c r="F4776" s="6" t="str"/>
      <x:c r="G4776" s="6" t="str"/>
      <x:c r="H4776" s="6" t="str">
        <x:v>1</x:v>
      </x:c>
      <x:c r="I4776" s="6" t="str"/>
      <x:c r="J4776" s="6" t="str">
        <x:f>IF(B4776="","",IF(AND(ISNUMBER(SEARCH("平",B4776)),OR(ISNUMBER(SEARCH("上",B4776)),ISNUMBER(SEARCH("去",B4776)),ISNUMBER(SEARCH("入",B4776)))),"Ambiguous",IF(ISNUMBER(SEARCH("平",B4776)),"平","仄")))</x:f>
        <x:v>仄</x:v>
      </x:c>
      <x:c r="K4776" s="6" t="str">
        <x:f>IF(D4776="","",IF(AND(ISNUMBER(SEARCH("平",D4776)),OR(ISNUMBER(SEARCH("上",D4776)),ISNUMBER(SEARCH("去",D4776)),ISNUMBER(SEARCH("入",D4776)))),"Ambiguous",IF(ISNUMBER(SEARCH("平",D4776)),"平","仄")))</x:f>
        <x:v>仄</x:v>
      </x:c>
      <x:c r="L4776" s="7" t="str"/>
    </x:row>
    <x:row r="4777">
      <x:c r="A4777" s="5" t="str">
        <x:v>鴆</x:v>
      </x:c>
      <x:c r="B4777" s="6" t="str">
        <x:v>去</x:v>
      </x:c>
      <x:c r="C4777" s="6" t="str">
        <x:f>IF(B4777="","Needs decision","Ready")</x:f>
        <x:v>Ready</x:v>
      </x:c>
      <x:c r="D4777" s="6" t="str">
        <x:v>去</x:v>
      </x:c>
      <x:c r="E4777" s="6" t="str">
        <x:v>drimH (C)</x:v>
      </x:c>
      <x:c r="F4777" s="6" t="str">
        <x:v>去聲二十七沁</x:v>
      </x:c>
      <x:c r="G4777" s="6" t="str">
        <x:v>Pingshui main list, Wikisource-derived DOCX</x:v>
      </x:c>
      <x:c r="H4777" s="6" t="str">
        <x:v>1</x:v>
      </x:c>
      <x:c r="I4777" s="6" t="str"/>
      <x:c r="J4777" s="6" t="str">
        <x:f>IF(B4777="","",IF(AND(ISNUMBER(SEARCH("平",B4777)),OR(ISNUMBER(SEARCH("上",B4777)),ISNUMBER(SEARCH("去",B4777)),ISNUMBER(SEARCH("入",B4777)))),"Ambiguous",IF(ISNUMBER(SEARCH("平",B4777)),"平","仄")))</x:f>
        <x:v>仄</x:v>
      </x:c>
      <x:c r="K4777" s="6" t="str">
        <x:f>IF(D4777="","",IF(AND(ISNUMBER(SEARCH("平",D4777)),OR(ISNUMBER(SEARCH("上",D4777)),ISNUMBER(SEARCH("去",D4777)),ISNUMBER(SEARCH("入",D4777)))),"Ambiguous",IF(ISNUMBER(SEARCH("平",D4777)),"平","仄")))</x:f>
        <x:v>仄</x:v>
      </x:c>
      <x:c r="L4777" s="7" t="str"/>
    </x:row>
    <x:row r="4778">
      <x:c r="A4778" s="5" t="str">
        <x:v>鴈</x:v>
      </x:c>
      <x:c r="B4778" s="6" t="str">
        <x:v>去</x:v>
      </x:c>
      <x:c r="C4778" s="6" t="str">
        <x:f>IF(B4778="","Needs decision","Ready")</x:f>
        <x:v>Ready</x:v>
      </x:c>
      <x:c r="D4778" s="6" t="str">
        <x:v>去</x:v>
      </x:c>
      <x:c r="E4778" s="6" t="str">
        <x:v>ngaenH (C)</x:v>
      </x:c>
      <x:c r="F4778" s="6" t="str">
        <x:v>去聲十六諫</x:v>
      </x:c>
      <x:c r="G4778" s="6" t="str">
        <x:v>Pingshui main list, Wikisource-derived DOCX</x:v>
      </x:c>
      <x:c r="H4778" s="6" t="str">
        <x:v>1</x:v>
      </x:c>
      <x:c r="I4778" s="6" t="str"/>
      <x:c r="J4778" s="6" t="str">
        <x:f>IF(B4778="","",IF(AND(ISNUMBER(SEARCH("平",B4778)),OR(ISNUMBER(SEARCH("上",B4778)),ISNUMBER(SEARCH("去",B4778)),ISNUMBER(SEARCH("入",B4778)))),"Ambiguous",IF(ISNUMBER(SEARCH("平",B4778)),"平","仄")))</x:f>
        <x:v>仄</x:v>
      </x:c>
      <x:c r="K4778" s="6" t="str">
        <x:f>IF(D4778="","",IF(AND(ISNUMBER(SEARCH("平",D4778)),OR(ISNUMBER(SEARCH("上",D4778)),ISNUMBER(SEARCH("去",D4778)),ISNUMBER(SEARCH("入",D4778)))),"Ambiguous",IF(ISNUMBER(SEARCH("平",D4778)),"平","仄")))</x:f>
        <x:v>仄</x:v>
      </x:c>
      <x:c r="L4778" s="7" t="str"/>
    </x:row>
    <x:row r="4779">
      <x:c r="A4779" s="5" t="str">
        <x:v>鴉</x:v>
      </x:c>
      <x:c r="B4779" s="6" t="str">
        <x:v>平</x:v>
      </x:c>
      <x:c r="C4779" s="6" t="str">
        <x:f>IF(B4779="","Needs decision","Ready")</x:f>
        <x:v>Ready</x:v>
      </x:c>
      <x:c r="D4779" s="6" t="str">
        <x:v>平</x:v>
      </x:c>
      <x:c r="E4779" s="6" t="str">
        <x:v>'ae (A)</x:v>
      </x:c>
      <x:c r="F4779" s="6" t="str">
        <x:v>下平聲六麻</x:v>
      </x:c>
      <x:c r="G4779" s="6" t="str">
        <x:v>Pingshui main list, Wikisource-derived DOCX</x:v>
      </x:c>
      <x:c r="H4779" s="6" t="str">
        <x:v>1</x:v>
      </x:c>
      <x:c r="I4779" s="6" t="str"/>
      <x:c r="J4779" s="6" t="str">
        <x:f>IF(B4779="","",IF(AND(ISNUMBER(SEARCH("平",B4779)),OR(ISNUMBER(SEARCH("上",B4779)),ISNUMBER(SEARCH("去",B4779)),ISNUMBER(SEARCH("入",B4779)))),"Ambiguous",IF(ISNUMBER(SEARCH("平",B4779)),"平","仄")))</x:f>
        <x:v>平</x:v>
      </x:c>
      <x:c r="K4779" s="6" t="str">
        <x:f>IF(D4779="","",IF(AND(ISNUMBER(SEARCH("平",D4779)),OR(ISNUMBER(SEARCH("上",D4779)),ISNUMBER(SEARCH("去",D4779)),ISNUMBER(SEARCH("入",D4779)))),"Ambiguous",IF(ISNUMBER(SEARCH("平",D4779)),"平","仄")))</x:f>
        <x:v>平</x:v>
      </x:c>
      <x:c r="L4779" s="7" t="str"/>
    </x:row>
    <x:row r="4780">
      <x:c r="A4780" s="5" t="str">
        <x:v>鴛</x:v>
      </x:c>
      <x:c r="B4780" s="6" t="str">
        <x:v>平</x:v>
      </x:c>
      <x:c r="C4780" s="6" t="str">
        <x:f>IF(B4780="","Needs decision","Ready")</x:f>
        <x:v>Ready</x:v>
      </x:c>
      <x:c r="D4780" s="6" t="str">
        <x:v>平</x:v>
      </x:c>
      <x:c r="E4780" s="6" t="str">
        <x:v>'jwon [ʔwɨ̯ən] (平); 'won [ʔ̙wən] (平)</x:v>
      </x:c>
      <x:c r="F4780" s="6" t="str">
        <x:v>上平聲十三元</x:v>
      </x:c>
      <x:c r="G4780" s="6" t="str">
        <x:v>Pingshui main list, Wikisource-derived DOCX</x:v>
      </x:c>
      <x:c r="H4780" s="6" t="str">
        <x:v>2</x:v>
      </x:c>
      <x:c r="I4780" s="6" t="str">
        <x:v>Tang 300 gap; frequency 5; provisional from Xun Gong</x:v>
      </x:c>
      <x:c r="J4780" s="6" t="str">
        <x:f>IF(B4780="","",IF(AND(ISNUMBER(SEARCH("平",B4780)),OR(ISNUMBER(SEARCH("上",B4780)),ISNUMBER(SEARCH("去",B4780)),ISNUMBER(SEARCH("入",B4780)))),"Ambiguous",IF(ISNUMBER(SEARCH("平",B4780)),"平","仄")))</x:f>
        <x:v>平</x:v>
      </x:c>
      <x:c r="K4780" s="6" t="str">
        <x:f>IF(D4780="","",IF(AND(ISNUMBER(SEARCH("平",D4780)),OR(ISNUMBER(SEARCH("上",D4780)),ISNUMBER(SEARCH("去",D4780)),ISNUMBER(SEARCH("入",D4780)))),"Ambiguous",IF(ISNUMBER(SEARCH("平",D4780)),"平","仄")))</x:f>
        <x:v>平</x:v>
      </x:c>
      <x:c r="L4780" s="7" t="str">
        <x:v>Xun Gong, Tang 300 gap fill</x:v>
      </x:c>
    </x:row>
    <x:row r="4781">
      <x:c r="A4781" s="5" t="str">
        <x:v>鴞</x:v>
      </x:c>
      <x:c r="B4781" s="6" t="str">
        <x:v>平</x:v>
      </x:c>
      <x:c r="C4781" s="6" t="str">
        <x:f>IF(B4781="","Needs decision","Ready")</x:f>
        <x:v>Ready</x:v>
      </x:c>
      <x:c r="D4781" s="6" t="str">
        <x:v>平</x:v>
      </x:c>
      <x:c r="E4781" s="6" t="str">
        <x:v>hjew (A)</x:v>
      </x:c>
      <x:c r="F4781" s="6" t="str">
        <x:v>下平聲二蕭</x:v>
      </x:c>
      <x:c r="G4781" s="6" t="str">
        <x:v>Pingshui main list, Wikisource-derived DOCX</x:v>
      </x:c>
      <x:c r="H4781" s="6" t="str">
        <x:v>1</x:v>
      </x:c>
      <x:c r="I4781" s="6" t="str"/>
      <x:c r="J4781" s="6" t="str">
        <x:f>IF(B4781="","",IF(AND(ISNUMBER(SEARCH("平",B4781)),OR(ISNUMBER(SEARCH("上",B4781)),ISNUMBER(SEARCH("去",B4781)),ISNUMBER(SEARCH("入",B4781)))),"Ambiguous",IF(ISNUMBER(SEARCH("平",B4781)),"平","仄")))</x:f>
        <x:v>平</x:v>
      </x:c>
      <x:c r="K4781" s="6" t="str">
        <x:f>IF(D4781="","",IF(AND(ISNUMBER(SEARCH("平",D4781)),OR(ISNUMBER(SEARCH("上",D4781)),ISNUMBER(SEARCH("去",D4781)),ISNUMBER(SEARCH("入",D4781)))),"Ambiguous",IF(ISNUMBER(SEARCH("平",D4781)),"平","仄")))</x:f>
        <x:v>平</x:v>
      </x:c>
      <x:c r="L4781" s="7" t="str"/>
    </x:row>
    <x:row r="4782">
      <x:c r="A4782" s="5" t="str">
        <x:v>鴟</x:v>
      </x:c>
      <x:c r="B4782" s="6" t="str">
        <x:v>平</x:v>
      </x:c>
      <x:c r="C4782" s="6" t="str">
        <x:f>IF(B4782="","Needs decision","Ready")</x:f>
        <x:v>Ready</x:v>
      </x:c>
      <x:c r="D4782" s="6" t="str">
        <x:v>平</x:v>
      </x:c>
      <x:c r="E4782" s="6" t="str">
        <x:v>tsyhij (A)</x:v>
      </x:c>
      <x:c r="F4782" s="6" t="str">
        <x:v>上平聲四支</x:v>
      </x:c>
      <x:c r="G4782" s="6" t="str">
        <x:v>Pingshui main list, Wikisource-derived DOCX</x:v>
      </x:c>
      <x:c r="H4782" s="6" t="str">
        <x:v>1</x:v>
      </x:c>
      <x:c r="I4782" s="6" t="str"/>
      <x:c r="J4782" s="6" t="str">
        <x:f>IF(B4782="","",IF(AND(ISNUMBER(SEARCH("平",B4782)),OR(ISNUMBER(SEARCH("上",B4782)),ISNUMBER(SEARCH("去",B4782)),ISNUMBER(SEARCH("入",B4782)))),"Ambiguous",IF(ISNUMBER(SEARCH("平",B4782)),"平","仄")))</x:f>
        <x:v>平</x:v>
      </x:c>
      <x:c r="K4782" s="6" t="str">
        <x:f>IF(D4782="","",IF(AND(ISNUMBER(SEARCH("平",D4782)),OR(ISNUMBER(SEARCH("上",D4782)),ISNUMBER(SEARCH("去",D4782)),ISNUMBER(SEARCH("入",D4782)))),"Ambiguous",IF(ISNUMBER(SEARCH("平",D4782)),"平","仄")))</x:f>
        <x:v>平</x:v>
      </x:c>
      <x:c r="L4782" s="7" t="str"/>
    </x:row>
    <x:row r="4783">
      <x:c r="A4783" s="5" t="str">
        <x:v>鴡</x:v>
      </x:c>
      <x:c r="B4783" s="6" t="str">
        <x:v>平</x:v>
      </x:c>
      <x:c r="C4783" s="6" t="str">
        <x:f>IF(B4783="","Needs decision","Ready")</x:f>
        <x:v>Ready</x:v>
      </x:c>
      <x:c r="D4783" s="6" t="str">
        <x:v>平</x:v>
      </x:c>
      <x:c r="E4783" s="6" t="str">
        <x:v>tshjo (A)</x:v>
      </x:c>
      <x:c r="F4783" s="6" t="str"/>
      <x:c r="G4783" s="6" t="str"/>
      <x:c r="H4783" s="6" t="str">
        <x:v>1</x:v>
      </x:c>
      <x:c r="I4783" s="6" t="str"/>
      <x:c r="J4783" s="6" t="str">
        <x:f>IF(B4783="","",IF(AND(ISNUMBER(SEARCH("平",B4783)),OR(ISNUMBER(SEARCH("上",B4783)),ISNUMBER(SEARCH("去",B4783)),ISNUMBER(SEARCH("入",B4783)))),"Ambiguous",IF(ISNUMBER(SEARCH("平",B4783)),"平","仄")))</x:f>
        <x:v>平</x:v>
      </x:c>
      <x:c r="K4783" s="6" t="str">
        <x:f>IF(D4783="","",IF(AND(ISNUMBER(SEARCH("平",D4783)),OR(ISNUMBER(SEARCH("上",D4783)),ISNUMBER(SEARCH("去",D4783)),ISNUMBER(SEARCH("入",D4783)))),"Ambiguous",IF(ISNUMBER(SEARCH("平",D4783)),"平","仄")))</x:f>
        <x:v>平</x:v>
      </x:c>
      <x:c r="L4783" s="7" t="str"/>
    </x:row>
    <x:row r="4784">
      <x:c r="A4784" s="5" t="str">
        <x:v>鴦</x:v>
      </x:c>
      <x:c r="B4784" s="6" t="str">
        <x:v>平</x:v>
      </x:c>
      <x:c r="C4784" s="6" t="str">
        <x:f>IF(B4784="","Needs decision","Ready")</x:f>
        <x:v>Ready</x:v>
      </x:c>
      <x:c r="D4784" s="6" t="str">
        <x:v>平</x:v>
      </x:c>
      <x:c r="E4784" s="6" t="str">
        <x:v>'jang (A)</x:v>
      </x:c>
      <x:c r="F4784" s="6" t="str">
        <x:v>下平聲七陽</x:v>
      </x:c>
      <x:c r="G4784" s="6" t="str">
        <x:v>Pingshui main list, Wikisource-derived DOCX</x:v>
      </x:c>
      <x:c r="H4784" s="6" t="str">
        <x:v>1</x:v>
      </x:c>
      <x:c r="I4784" s="6" t="str"/>
      <x:c r="J4784" s="6" t="str">
        <x:f>IF(B4784="","",IF(AND(ISNUMBER(SEARCH("平",B4784)),OR(ISNUMBER(SEARCH("上",B4784)),ISNUMBER(SEARCH("去",B4784)),ISNUMBER(SEARCH("入",B4784)))),"Ambiguous",IF(ISNUMBER(SEARCH("平",B4784)),"平","仄")))</x:f>
        <x:v>平</x:v>
      </x:c>
      <x:c r="K4784" s="6" t="str">
        <x:f>IF(D4784="","",IF(AND(ISNUMBER(SEARCH("平",D4784)),OR(ISNUMBER(SEARCH("上",D4784)),ISNUMBER(SEARCH("去",D4784)),ISNUMBER(SEARCH("入",D4784)))),"Ambiguous",IF(ISNUMBER(SEARCH("平",D4784)),"平","仄")))</x:f>
        <x:v>平</x:v>
      </x:c>
      <x:c r="L4784" s="7" t="str"/>
    </x:row>
    <x:row r="4785">
      <x:c r="A4785" s="5" t="str">
        <x:v>鴨</x:v>
      </x:c>
      <x:c r="B4785" s="6" t="str">
        <x:v>入</x:v>
      </x:c>
      <x:c r="C4785" s="6" t="str">
        <x:f>IF(B4785="","Needs decision","Ready")</x:f>
        <x:v>Ready</x:v>
      </x:c>
      <x:c r="D4785" s="6" t="str">
        <x:v>入</x:v>
      </x:c>
      <x:c r="E4785" s="6" t="str"/>
      <x:c r="F4785" s="6" t="str">
        <x:v>入聲十七洽</x:v>
      </x:c>
      <x:c r="G4785" s="6" t="str">
        <x:v>Pingshui main list, Wikisource-derived DOCX</x:v>
      </x:c>
      <x:c r="H4785" s="6" t="str"/>
      <x:c r="I4785" s="6" t="str">
        <x:v>Manual user correction/addition</x:v>
      </x:c>
      <x:c r="J4785" s="6" t="str">
        <x:f>IF(B4785="","",IF(AND(ISNUMBER(SEARCH("平",B4785)),OR(ISNUMBER(SEARCH("上",B4785)),ISNUMBER(SEARCH("去",B4785)),ISNUMBER(SEARCH("入",B4785)))),"Ambiguous",IF(ISNUMBER(SEARCH("平",B4785)),"平","仄")))</x:f>
        <x:v>仄</x:v>
      </x:c>
      <x:c r="K4785" s="6" t="str">
        <x:f>IF(D4785="","",IF(AND(ISNUMBER(SEARCH("平",D4785)),OR(ISNUMBER(SEARCH("上",D4785)),ISNUMBER(SEARCH("去",D4785)),ISNUMBER(SEARCH("入",D4785)))),"Ambiguous",IF(ISNUMBER(SEARCH("平",D4785)),"平","仄")))</x:f>
        <x:v>仄</x:v>
      </x:c>
      <x:c r="L4785" s="7" t="str">
        <x:v>manual user correction</x:v>
      </x:c>
    </x:row>
    <x:row r="4786">
      <x:c r="A4786" s="5" t="str">
        <x:v>鴳</x:v>
      </x:c>
      <x:c r="B4786" s="6" t="str">
        <x:v>去</x:v>
      </x:c>
      <x:c r="C4786" s="6" t="str">
        <x:f>IF(B4786="","Needs decision","Ready")</x:f>
        <x:v>Ready</x:v>
      </x:c>
      <x:c r="D4786" s="6" t="str">
        <x:v>去</x:v>
      </x:c>
      <x:c r="E4786" s="6" t="str">
        <x:v>'aenH (C)</x:v>
      </x:c>
      <x:c r="F4786" s="6" t="str"/>
      <x:c r="G4786" s="6" t="str"/>
      <x:c r="H4786" s="6" t="str">
        <x:v>1</x:v>
      </x:c>
      <x:c r="I4786" s="6" t="str"/>
      <x:c r="J4786" s="6" t="str">
        <x:f>IF(B4786="","",IF(AND(ISNUMBER(SEARCH("平",B4786)),OR(ISNUMBER(SEARCH("上",B4786)),ISNUMBER(SEARCH("去",B4786)),ISNUMBER(SEARCH("入",B4786)))),"Ambiguous",IF(ISNUMBER(SEARCH("平",B4786)),"平","仄")))</x:f>
        <x:v>仄</x:v>
      </x:c>
      <x:c r="K4786" s="6" t="str">
        <x:f>IF(D4786="","",IF(AND(ISNUMBER(SEARCH("平",D4786)),OR(ISNUMBER(SEARCH("上",D4786)),ISNUMBER(SEARCH("去",D4786)),ISNUMBER(SEARCH("入",D4786)))),"Ambiguous",IF(ISNUMBER(SEARCH("平",D4786)),"平","仄")))</x:f>
        <x:v>仄</x:v>
      </x:c>
      <x:c r="L4786" s="7" t="str"/>
    </x:row>
    <x:row r="4787">
      <x:c r="A4787" s="5" t="str">
        <x:v>鴻</x:v>
      </x:c>
      <x:c r="B4787" s="6" t="str">
        <x:v>平</x:v>
      </x:c>
      <x:c r="C4787" s="6" t="str">
        <x:f>IF(B4787="","Needs decision","Ready")</x:f>
        <x:v>Ready</x:v>
      </x:c>
      <x:c r="D4787" s="6" t="str">
        <x:v>平</x:v>
      </x:c>
      <x:c r="E4787" s="6" t="str">
        <x:v>huwng (A)</x:v>
      </x:c>
      <x:c r="F4787" s="6" t="str">
        <x:v>上平聲一東</x:v>
      </x:c>
      <x:c r="G4787" s="6" t="str">
        <x:v>Pingshui main list, Wikisource-derived DOCX</x:v>
      </x:c>
      <x:c r="H4787" s="6" t="str">
        <x:v>1</x:v>
      </x:c>
      <x:c r="I4787" s="6" t="str"/>
      <x:c r="J4787" s="6" t="str">
        <x:f>IF(B4787="","",IF(AND(ISNUMBER(SEARCH("平",B4787)),OR(ISNUMBER(SEARCH("上",B4787)),ISNUMBER(SEARCH("去",B4787)),ISNUMBER(SEARCH("入",B4787)))),"Ambiguous",IF(ISNUMBER(SEARCH("平",B4787)),"平","仄")))</x:f>
        <x:v>平</x:v>
      </x:c>
      <x:c r="K4787" s="6" t="str">
        <x:f>IF(D4787="","",IF(AND(ISNUMBER(SEARCH("平",D4787)),OR(ISNUMBER(SEARCH("上",D4787)),ISNUMBER(SEARCH("去",D4787)),ISNUMBER(SEARCH("入",D4787)))),"Ambiguous",IF(ISNUMBER(SEARCH("平",D4787)),"平","仄")))</x:f>
        <x:v>平</x:v>
      </x:c>
      <x:c r="L4787" s="7" t="str"/>
    </x:row>
    <x:row r="4788">
      <x:c r="A4788" s="5" t="str">
        <x:v>鴿</x:v>
      </x:c>
      <x:c r="B4788" s="6" t="str">
        <x:v>入</x:v>
      </x:c>
      <x:c r="C4788" s="6" t="str">
        <x:f>IF(B4788="","Needs decision","Ready")</x:f>
        <x:v>Ready</x:v>
      </x:c>
      <x:c r="D4788" s="6" t="str">
        <x:v>入</x:v>
      </x:c>
      <x:c r="E4788" s="6" t="str">
        <x:v>kop (D)</x:v>
      </x:c>
      <x:c r="F4788" s="6" t="str">
        <x:v>入聲十五合</x:v>
      </x:c>
      <x:c r="G4788" s="6" t="str">
        <x:v>Pingshui main list, Wikisource-derived DOCX</x:v>
      </x:c>
      <x:c r="H4788" s="6" t="str">
        <x:v>1</x:v>
      </x:c>
      <x:c r="I4788" s="6" t="str"/>
      <x:c r="J4788" s="6" t="str">
        <x:f>IF(B4788="","",IF(AND(ISNUMBER(SEARCH("平",B4788)),OR(ISNUMBER(SEARCH("上",B4788)),ISNUMBER(SEARCH("去",B4788)),ISNUMBER(SEARCH("入",B4788)))),"Ambiguous",IF(ISNUMBER(SEARCH("平",B4788)),"平","仄")))</x:f>
        <x:v>仄</x:v>
      </x:c>
      <x:c r="K4788" s="6" t="str">
        <x:f>IF(D4788="","",IF(AND(ISNUMBER(SEARCH("平",D4788)),OR(ISNUMBER(SEARCH("上",D4788)),ISNUMBER(SEARCH("去",D4788)),ISNUMBER(SEARCH("入",D4788)))),"Ambiguous",IF(ISNUMBER(SEARCH("平",D4788)),"平","仄")))</x:f>
        <x:v>仄</x:v>
      </x:c>
      <x:c r="L4788" s="7" t="str"/>
    </x:row>
    <x:row r="4789">
      <x:c r="A4789" s="5" t="str">
        <x:v>鵂</x:v>
      </x:c>
      <x:c r="B4789" s="6" t="str">
        <x:v>平</x:v>
      </x:c>
      <x:c r="C4789" s="6" t="str">
        <x:f>IF(B4789="","Needs decision","Ready")</x:f>
        <x:v>Ready</x:v>
      </x:c>
      <x:c r="D4789" s="6" t="str">
        <x:v>平</x:v>
      </x:c>
      <x:c r="E4789" s="6" t="str">
        <x:v>xjuw (A)</x:v>
      </x:c>
      <x:c r="F4789" s="6" t="str">
        <x:v>下平聲十一尤</x:v>
      </x:c>
      <x:c r="G4789" s="6" t="str">
        <x:v>Pingshui main list, Wikisource-derived DOCX</x:v>
      </x:c>
      <x:c r="H4789" s="6" t="str">
        <x:v>1</x:v>
      </x:c>
      <x:c r="I4789" s="6" t="str"/>
      <x:c r="J4789" s="6" t="str">
        <x:f>IF(B4789="","",IF(AND(ISNUMBER(SEARCH("平",B4789)),OR(ISNUMBER(SEARCH("上",B4789)),ISNUMBER(SEARCH("去",B4789)),ISNUMBER(SEARCH("入",B4789)))),"Ambiguous",IF(ISNUMBER(SEARCH("平",B4789)),"平","仄")))</x:f>
        <x:v>平</x:v>
      </x:c>
      <x:c r="K4789" s="6" t="str">
        <x:f>IF(D4789="","",IF(AND(ISNUMBER(SEARCH("平",D4789)),OR(ISNUMBER(SEARCH("上",D4789)),ISNUMBER(SEARCH("去",D4789)),ISNUMBER(SEARCH("入",D4789)))),"Ambiguous",IF(ISNUMBER(SEARCH("平",D4789)),"平","仄")))</x:f>
        <x:v>平</x:v>
      </x:c>
      <x:c r="L4789" s="7" t="str"/>
    </x:row>
    <x:row r="4790">
      <x:c r="A4790" s="5" t="str">
        <x:v>鵑</x:v>
      </x:c>
      <x:c r="B4790" s="6" t="str">
        <x:v>平</x:v>
      </x:c>
      <x:c r="C4790" s="6" t="str">
        <x:f>IF(B4790="","Needs decision","Ready")</x:f>
        <x:v>Ready</x:v>
      </x:c>
      <x:c r="D4790" s="6" t="str">
        <x:v>平</x:v>
      </x:c>
      <x:c r="E4790" s="6" t="str">
        <x:v>kwen [qwen] (平)</x:v>
      </x:c>
      <x:c r="F4790" s="6" t="str">
        <x:v>下平聲一先</x:v>
      </x:c>
      <x:c r="G4790" s="6" t="str">
        <x:v>Pingshui main list, Wikisource-derived DOCX</x:v>
      </x:c>
      <x:c r="H4790" s="6" t="str">
        <x:v>1</x:v>
      </x:c>
      <x:c r="I4790" s="6" t="str">
        <x:v>Tang 300 gap; frequency 4; provisional from Xun Gong</x:v>
      </x:c>
      <x:c r="J4790" s="6" t="str">
        <x:f>IF(B4790="","",IF(AND(ISNUMBER(SEARCH("平",B4790)),OR(ISNUMBER(SEARCH("上",B4790)),ISNUMBER(SEARCH("去",B4790)),ISNUMBER(SEARCH("入",B4790)))),"Ambiguous",IF(ISNUMBER(SEARCH("平",B4790)),"平","仄")))</x:f>
        <x:v>平</x:v>
      </x:c>
      <x:c r="K4790" s="6" t="str">
        <x:f>IF(D4790="","",IF(AND(ISNUMBER(SEARCH("平",D4790)),OR(ISNUMBER(SEARCH("上",D4790)),ISNUMBER(SEARCH("去",D4790)),ISNUMBER(SEARCH("入",D4790)))),"Ambiguous",IF(ISNUMBER(SEARCH("平",D4790)),"平","仄")))</x:f>
        <x:v>平</x:v>
      </x:c>
      <x:c r="L4790" s="7" t="str">
        <x:v>Xun Gong, Tang 300 gap fill</x:v>
      </x:c>
    </x:row>
    <x:row r="4791">
      <x:c r="A4791" s="5" t="str">
        <x:v>鵙</x:v>
      </x:c>
      <x:c r="B4791" s="6" t="str">
        <x:v>入</x:v>
      </x:c>
      <x:c r="C4791" s="6" t="str">
        <x:f>IF(B4791="","Needs decision","Ready")</x:f>
        <x:v>Ready</x:v>
      </x:c>
      <x:c r="D4791" s="6" t="str">
        <x:v>入</x:v>
      </x:c>
      <x:c r="E4791" s="6" t="str">
        <x:v>kwek (D)</x:v>
      </x:c>
      <x:c r="F4791" s="6" t="str">
        <x:v>入聲十二錫</x:v>
      </x:c>
      <x:c r="G4791" s="6" t="str">
        <x:v>Pingshui main list, Wikisource-derived DOCX</x:v>
      </x:c>
      <x:c r="H4791" s="6" t="str">
        <x:v>1</x:v>
      </x:c>
      <x:c r="I4791" s="6" t="str"/>
      <x:c r="J4791" s="6" t="str">
        <x:f>IF(B4791="","",IF(AND(ISNUMBER(SEARCH("平",B4791)),OR(ISNUMBER(SEARCH("上",B4791)),ISNUMBER(SEARCH("去",B4791)),ISNUMBER(SEARCH("入",B4791)))),"Ambiguous",IF(ISNUMBER(SEARCH("平",B4791)),"平","仄")))</x:f>
        <x:v>仄</x:v>
      </x:c>
      <x:c r="K4791" s="6" t="str">
        <x:f>IF(D4791="","",IF(AND(ISNUMBER(SEARCH("平",D4791)),OR(ISNUMBER(SEARCH("上",D4791)),ISNUMBER(SEARCH("去",D4791)),ISNUMBER(SEARCH("入",D4791)))),"Ambiguous",IF(ISNUMBER(SEARCH("平",D4791)),"平","仄")))</x:f>
        <x:v>仄</x:v>
      </x:c>
      <x:c r="L4791" s="7" t="str"/>
    </x:row>
    <x:row r="4792">
      <x:c r="A4792" s="5" t="str">
        <x:v>鵝</x:v>
      </x:c>
      <x:c r="B4792" s="6" t="str">
        <x:v>平</x:v>
      </x:c>
      <x:c r="C4792" s="6" t="str">
        <x:f>IF(B4792="","Needs decision","Ready")</x:f>
        <x:v>Ready</x:v>
      </x:c>
      <x:c r="D4792" s="6" t="str">
        <x:v>平</x:v>
      </x:c>
      <x:c r="E4792" s="6" t="str">
        <x:v>nga (A)</x:v>
      </x:c>
      <x:c r="F4792" s="6" t="str">
        <x:v>下平聲五歌</x:v>
      </x:c>
      <x:c r="G4792" s="6" t="str">
        <x:v>Pingshui main list, Wikisource-derived DOCX</x:v>
      </x:c>
      <x:c r="H4792" s="6" t="str">
        <x:v>1</x:v>
      </x:c>
      <x:c r="I4792" s="6" t="str"/>
      <x:c r="J4792" s="6" t="str">
        <x:f>IF(B4792="","",IF(AND(ISNUMBER(SEARCH("平",B4792)),OR(ISNUMBER(SEARCH("上",B4792)),ISNUMBER(SEARCH("去",B4792)),ISNUMBER(SEARCH("入",B4792)))),"Ambiguous",IF(ISNUMBER(SEARCH("平",B4792)),"平","仄")))</x:f>
        <x:v>平</x:v>
      </x:c>
      <x:c r="K4792" s="6" t="str">
        <x:f>IF(D4792="","",IF(AND(ISNUMBER(SEARCH("平",D4792)),OR(ISNUMBER(SEARCH("上",D4792)),ISNUMBER(SEARCH("去",D4792)),ISNUMBER(SEARCH("入",D4792)))),"Ambiguous",IF(ISNUMBER(SEARCH("平",D4792)),"平","仄")))</x:f>
        <x:v>平</x:v>
      </x:c>
      <x:c r="L4792" s="7" t="str"/>
    </x:row>
    <x:row r="4793">
      <x:c r="A4793" s="5" t="str">
        <x:v>鵡</x:v>
      </x:c>
      <x:c r="B4793" s="6" t="str">
        <x:v>上</x:v>
      </x:c>
      <x:c r="C4793" s="6" t="str">
        <x:f>IF(B4793="","Needs decision","Ready")</x:f>
        <x:v>Ready</x:v>
      </x:c>
      <x:c r="D4793" s="6" t="str">
        <x:v>上</x:v>
      </x:c>
      <x:c r="E4793" s="6" t="str">
        <x:v>mjuX [mɨ̯oʔ] (上)</x:v>
      </x:c>
      <x:c r="F4793" s="6" t="str">
        <x:v>上聲七麌</x:v>
      </x:c>
      <x:c r="G4793" s="6" t="str">
        <x:v>Pingshui main list, Wikisource-derived DOCX</x:v>
      </x:c>
      <x:c r="H4793" s="6" t="str">
        <x:v>1</x:v>
      </x:c>
      <x:c r="I4793" s="6" t="str">
        <x:v>Tang 300 gap; frequency 2; provisional from Xun Gong</x:v>
      </x:c>
      <x:c r="J4793" s="6" t="str">
        <x:f>IF(B4793="","",IF(AND(ISNUMBER(SEARCH("平",B4793)),OR(ISNUMBER(SEARCH("上",B4793)),ISNUMBER(SEARCH("去",B4793)),ISNUMBER(SEARCH("入",B4793)))),"Ambiguous",IF(ISNUMBER(SEARCH("平",B4793)),"平","仄")))</x:f>
        <x:v>仄</x:v>
      </x:c>
      <x:c r="K4793" s="6" t="str">
        <x:f>IF(D4793="","",IF(AND(ISNUMBER(SEARCH("平",D4793)),OR(ISNUMBER(SEARCH("上",D4793)),ISNUMBER(SEARCH("去",D4793)),ISNUMBER(SEARCH("入",D4793)))),"Ambiguous",IF(ISNUMBER(SEARCH("平",D4793)),"平","仄")))</x:f>
        <x:v>仄</x:v>
      </x:c>
      <x:c r="L4793" s="7" t="str">
        <x:v>Xun Gong, Tang 300 gap fill</x:v>
      </x:c>
    </x:row>
    <x:row r="4794">
      <x:c r="A4794" s="5" t="str">
        <x:v>鵲</x:v>
      </x:c>
      <x:c r="B4794" s="6" t="str">
        <x:v>入</x:v>
      </x:c>
      <x:c r="C4794" s="6" t="str">
        <x:f>IF(B4794="","Needs decision","Ready")</x:f>
        <x:v>Ready</x:v>
      </x:c>
      <x:c r="D4794" s="6" t="str">
        <x:v>入</x:v>
      </x:c>
      <x:c r="E4794" s="6" t="str">
        <x:v>tshjak (D)</x:v>
      </x:c>
      <x:c r="F4794" s="6" t="str">
        <x:v>入聲十藥</x:v>
      </x:c>
      <x:c r="G4794" s="6" t="str">
        <x:v>Pingshui main list, Wikisource-derived DOCX</x:v>
      </x:c>
      <x:c r="H4794" s="6" t="str">
        <x:v>1</x:v>
      </x:c>
      <x:c r="I4794" s="6" t="str"/>
      <x:c r="J4794" s="6" t="str">
        <x:f>IF(B4794="","",IF(AND(ISNUMBER(SEARCH("平",B4794)),OR(ISNUMBER(SEARCH("上",B4794)),ISNUMBER(SEARCH("去",B4794)),ISNUMBER(SEARCH("入",B4794)))),"Ambiguous",IF(ISNUMBER(SEARCH("平",B4794)),"平","仄")))</x:f>
        <x:v>仄</x:v>
      </x:c>
      <x:c r="K4794" s="6" t="str">
        <x:f>IF(D4794="","",IF(AND(ISNUMBER(SEARCH("平",D4794)),OR(ISNUMBER(SEARCH("上",D4794)),ISNUMBER(SEARCH("去",D4794)),ISNUMBER(SEARCH("入",D4794)))),"Ambiguous",IF(ISNUMBER(SEARCH("平",D4794)),"平","仄")))</x:f>
        <x:v>仄</x:v>
      </x:c>
      <x:c r="L4794" s="7" t="str"/>
    </x:row>
    <x:row r="4795">
      <x:c r="A4795" s="5" t="str">
        <x:v>鶉</x:v>
      </x:c>
      <x:c r="B4795" s="6" t="str">
        <x:v>平</x:v>
      </x:c>
      <x:c r="C4795" s="6" t="str">
        <x:f>IF(B4795="","Needs decision","Ready")</x:f>
        <x:v>Ready</x:v>
      </x:c>
      <x:c r="D4795" s="6" t="str">
        <x:v>平</x:v>
      </x:c>
      <x:c r="E4795" s="6" t="str">
        <x:v>dzywin (A)</x:v>
      </x:c>
      <x:c r="F4795" s="6" t="str">
        <x:v>上平聲十一真</x:v>
      </x:c>
      <x:c r="G4795" s="6" t="str">
        <x:v>Pingshui main list, Wikisource-derived DOCX</x:v>
      </x:c>
      <x:c r="H4795" s="6" t="str">
        <x:v>1</x:v>
      </x:c>
      <x:c r="I4795" s="6" t="str"/>
      <x:c r="J4795" s="6" t="str">
        <x:f>IF(B4795="","",IF(AND(ISNUMBER(SEARCH("平",B4795)),OR(ISNUMBER(SEARCH("上",B4795)),ISNUMBER(SEARCH("去",B4795)),ISNUMBER(SEARCH("入",B4795)))),"Ambiguous",IF(ISNUMBER(SEARCH("平",B4795)),"平","仄")))</x:f>
        <x:v>平</x:v>
      </x:c>
      <x:c r="K4795" s="6" t="str">
        <x:f>IF(D4795="","",IF(AND(ISNUMBER(SEARCH("平",D4795)),OR(ISNUMBER(SEARCH("上",D4795)),ISNUMBER(SEARCH("去",D4795)),ISNUMBER(SEARCH("入",D4795)))),"Ambiguous",IF(ISNUMBER(SEARCH("平",D4795)),"平","仄")))</x:f>
        <x:v>平</x:v>
      </x:c>
      <x:c r="L4795" s="7" t="str"/>
    </x:row>
    <x:row r="4796">
      <x:c r="A4796" s="5" t="str">
        <x:v>鶩</x:v>
      </x:c>
      <x:c r="B4796" s="6" t="str">
        <x:v>去</x:v>
      </x:c>
      <x:c r="C4796" s="6" t="str">
        <x:f>IF(B4796="","Needs decision","Ready")</x:f>
        <x:v>Ready</x:v>
      </x:c>
      <x:c r="D4796" s="6" t="str">
        <x:v>去</x:v>
      </x:c>
      <x:c r="E4796" s="6" t="str"/>
      <x:c r="F4796" s="6" t="str">
        <x:v>去聲七遇; 入聲一屋</x:v>
      </x:c>
      <x:c r="G4796" s="6" t="str">
        <x:v>Pingshui main list, Wikisource-derived DOCX</x:v>
      </x:c>
      <x:c r="H4796" s="6" t="str">
        <x:v>0</x:v>
      </x:c>
      <x:c r="I4796" s="6" t="str">
        <x:v>User correction 2026-09-08; added manually</x:v>
      </x:c>
      <x:c r="J4796" s="6" t="str">
        <x:f>IF(B4796="","",IF(AND(ISNUMBER(SEARCH("平",B4796)),OR(ISNUMBER(SEARCH("上",B4796)),ISNUMBER(SEARCH("去",B4796)),ISNUMBER(SEARCH("入",B4796)))),"Ambiguous",IF(ISNUMBER(SEARCH("平",B4796)),"平","仄")))</x:f>
        <x:v>仄</x:v>
      </x:c>
      <x:c r="K4796" s="6" t="str">
        <x:f>IF(D4796="","",IF(AND(ISNUMBER(SEARCH("平",D4796)),OR(ISNUMBER(SEARCH("上",D4796)),ISNUMBER(SEARCH("去",D4796)),ISNUMBER(SEARCH("入",D4796)))),"Ambiguous",IF(ISNUMBER(SEARCH("平",D4796)),"平","仄")))</x:f>
        <x:v>仄</x:v>
      </x:c>
      <x:c r="L4796" s="7" t="str">
        <x:v>User correction</x:v>
      </x:c>
    </x:row>
    <x:row r="4797">
      <x:c r="A4797" s="5" t="str">
        <x:v>鶪</x:v>
      </x:c>
      <x:c r="B4797" s="6" t="str">
        <x:v>入</x:v>
      </x:c>
      <x:c r="C4797" s="6" t="str">
        <x:f>IF(B4797="","Needs decision","Ready")</x:f>
        <x:v>Ready</x:v>
      </x:c>
      <x:c r="D4797" s="6" t="str">
        <x:v>入</x:v>
      </x:c>
      <x:c r="E4797" s="6" t="str">
        <x:v>kwek (D)</x:v>
      </x:c>
      <x:c r="F4797" s="6" t="str"/>
      <x:c r="G4797" s="6" t="str"/>
      <x:c r="H4797" s="6" t="str">
        <x:v>1</x:v>
      </x:c>
      <x:c r="I4797" s="6" t="str"/>
      <x:c r="J4797" s="6" t="str">
        <x:f>IF(B4797="","",IF(AND(ISNUMBER(SEARCH("平",B4797)),OR(ISNUMBER(SEARCH("上",B4797)),ISNUMBER(SEARCH("去",B4797)),ISNUMBER(SEARCH("入",B4797)))),"Ambiguous",IF(ISNUMBER(SEARCH("平",B4797)),"平","仄")))</x:f>
        <x:v>仄</x:v>
      </x:c>
      <x:c r="K4797" s="6" t="str">
        <x:f>IF(D4797="","",IF(AND(ISNUMBER(SEARCH("平",D4797)),OR(ISNUMBER(SEARCH("上",D4797)),ISNUMBER(SEARCH("去",D4797)),ISNUMBER(SEARCH("入",D4797)))),"Ambiguous",IF(ISNUMBER(SEARCH("平",D4797)),"平","仄")))</x:f>
        <x:v>仄</x:v>
      </x:c>
      <x:c r="L4797" s="7" t="str"/>
    </x:row>
    <x:row r="4798">
      <x:c r="A4798" s="5" t="str">
        <x:v>鶯</x:v>
      </x:c>
      <x:c r="B4798" s="6" t="str">
        <x:v>平</x:v>
      </x:c>
      <x:c r="C4798" s="6" t="str">
        <x:f>IF(B4798="","Needs decision","Ready")</x:f>
        <x:v>Ready</x:v>
      </x:c>
      <x:c r="D4798" s="6" t="str">
        <x:v>平</x:v>
      </x:c>
      <x:c r="E4798" s="6" t="str">
        <x:v>'eang [ʔ̙eˤŋ] (平)</x:v>
      </x:c>
      <x:c r="F4798" s="6" t="str">
        <x:v>下平聲八庚</x:v>
      </x:c>
      <x:c r="G4798" s="6" t="str">
        <x:v>Pingshui main list, Wikisource-derived DOCX</x:v>
      </x:c>
      <x:c r="H4798" s="6" t="str">
        <x:v>1</x:v>
      </x:c>
      <x:c r="I4798" s="6" t="str">
        <x:v>Tang 300 gap; frequency 5; provisional from Xun Gong</x:v>
      </x:c>
      <x:c r="J4798" s="6" t="str">
        <x:f>IF(B4798="","",IF(AND(ISNUMBER(SEARCH("平",B4798)),OR(ISNUMBER(SEARCH("上",B4798)),ISNUMBER(SEARCH("去",B4798)),ISNUMBER(SEARCH("入",B4798)))),"Ambiguous",IF(ISNUMBER(SEARCH("平",B4798)),"平","仄")))</x:f>
        <x:v>平</x:v>
      </x:c>
      <x:c r="K4798" s="6" t="str">
        <x:f>IF(D4798="","",IF(AND(ISNUMBER(SEARCH("平",D4798)),OR(ISNUMBER(SEARCH("上",D4798)),ISNUMBER(SEARCH("去",D4798)),ISNUMBER(SEARCH("入",D4798)))),"Ambiguous",IF(ISNUMBER(SEARCH("平",D4798)),"平","仄")))</x:f>
        <x:v>平</x:v>
      </x:c>
      <x:c r="L4798" s="7" t="str">
        <x:v>Xun Gong, Tang 300 gap fill</x:v>
      </x:c>
    </x:row>
    <x:row r="4799">
      <x:c r="A4799" s="5" t="str">
        <x:v>鶴</x:v>
      </x:c>
      <x:c r="B4799" s="6" t="str">
        <x:v>入</x:v>
      </x:c>
      <x:c r="C4799" s="6" t="str">
        <x:f>IF(B4799="","Needs decision","Ready")</x:f>
        <x:v>Ready</x:v>
      </x:c>
      <x:c r="D4799" s="6" t="str">
        <x:v>入</x:v>
      </x:c>
      <x:c r="E4799" s="6" t="str">
        <x:v>haewk (D); hak (D)</x:v>
      </x:c>
      <x:c r="F4799" s="6" t="str">
        <x:v>入聲十藥</x:v>
      </x:c>
      <x:c r="G4799" s="6" t="str">
        <x:v>Pingshui main list, Wikisource-derived DOCX</x:v>
      </x:c>
      <x:c r="H4799" s="6" t="str">
        <x:v>2</x:v>
      </x:c>
      <x:c r="I4799" s="6" t="str"/>
      <x:c r="J4799" s="6" t="str">
        <x:f>IF(B4799="","",IF(AND(ISNUMBER(SEARCH("平",B4799)),OR(ISNUMBER(SEARCH("上",B4799)),ISNUMBER(SEARCH("去",B4799)),ISNUMBER(SEARCH("入",B4799)))),"Ambiguous",IF(ISNUMBER(SEARCH("平",B4799)),"平","仄")))</x:f>
        <x:v>仄</x:v>
      </x:c>
      <x:c r="K4799" s="6" t="str">
        <x:f>IF(D4799="","",IF(AND(ISNUMBER(SEARCH("平",D4799)),OR(ISNUMBER(SEARCH("上",D4799)),ISNUMBER(SEARCH("去",D4799)),ISNUMBER(SEARCH("入",D4799)))),"Ambiguous",IF(ISNUMBER(SEARCH("平",D4799)),"平","仄")))</x:f>
        <x:v>仄</x:v>
      </x:c>
      <x:c r="L4799" s="7" t="str"/>
    </x:row>
    <x:row r="4800">
      <x:c r="A4800" s="5" t="str">
        <x:v>鷁</x:v>
      </x:c>
      <x:c r="B4800" s="6" t="str">
        <x:v>入</x:v>
      </x:c>
      <x:c r="C4800" s="6" t="str">
        <x:f>IF(B4800="","Needs decision","Ready")</x:f>
        <x:v>Ready</x:v>
      </x:c>
      <x:c r="D4800" s="6" t="str">
        <x:v>入</x:v>
      </x:c>
      <x:c r="E4800" s="6" t="str">
        <x:v>ngek (D)</x:v>
      </x:c>
      <x:c r="F4800" s="6" t="str">
        <x:v>入聲十二錫</x:v>
      </x:c>
      <x:c r="G4800" s="6" t="str">
        <x:v>Pingshui main list, Wikisource-derived DOCX</x:v>
      </x:c>
      <x:c r="H4800" s="6" t="str">
        <x:v>1</x:v>
      </x:c>
      <x:c r="I4800" s="6" t="str"/>
      <x:c r="J4800" s="6" t="str">
        <x:f>IF(B4800="","",IF(AND(ISNUMBER(SEARCH("平",B4800)),OR(ISNUMBER(SEARCH("上",B4800)),ISNUMBER(SEARCH("去",B4800)),ISNUMBER(SEARCH("入",B4800)))),"Ambiguous",IF(ISNUMBER(SEARCH("平",B4800)),"平","仄")))</x:f>
        <x:v>仄</x:v>
      </x:c>
      <x:c r="K4800" s="6" t="str">
        <x:f>IF(D4800="","",IF(AND(ISNUMBER(SEARCH("平",D4800)),OR(ISNUMBER(SEARCH("上",D4800)),ISNUMBER(SEARCH("去",D4800)),ISNUMBER(SEARCH("入",D4800)))),"Ambiguous",IF(ISNUMBER(SEARCH("平",D4800)),"平","仄")))</x:f>
        <x:v>仄</x:v>
      </x:c>
      <x:c r="L4800" s="7" t="str"/>
    </x:row>
    <x:row r="4801">
      <x:c r="A4801" s="5" t="str">
        <x:v>鷄</x:v>
      </x:c>
      <x:c r="B4801" s="6" t="str">
        <x:v>平</x:v>
      </x:c>
      <x:c r="C4801" s="6" t="str">
        <x:f>IF(B4801="","Needs decision","Ready")</x:f>
        <x:v>Ready</x:v>
      </x:c>
      <x:c r="D4801" s="6" t="str">
        <x:v>平</x:v>
      </x:c>
      <x:c r="E4801" s="6" t="str">
        <x:v>kej (A)</x:v>
      </x:c>
      <x:c r="F4801" s="6" t="str"/>
      <x:c r="G4801" s="6" t="str"/>
      <x:c r="H4801" s="6" t="str">
        <x:v>1</x:v>
      </x:c>
      <x:c r="I4801" s="6" t="str"/>
      <x:c r="J4801" s="6" t="str">
        <x:f>IF(B4801="","",IF(AND(ISNUMBER(SEARCH("平",B4801)),OR(ISNUMBER(SEARCH("上",B4801)),ISNUMBER(SEARCH("去",B4801)),ISNUMBER(SEARCH("入",B4801)))),"Ambiguous",IF(ISNUMBER(SEARCH("平",B4801)),"平","仄")))</x:f>
        <x:v>平</x:v>
      </x:c>
      <x:c r="K4801" s="6" t="str">
        <x:f>IF(D4801="","",IF(AND(ISNUMBER(SEARCH("平",D4801)),OR(ISNUMBER(SEARCH("上",D4801)),ISNUMBER(SEARCH("去",D4801)),ISNUMBER(SEARCH("入",D4801)))),"Ambiguous",IF(ISNUMBER(SEARCH("平",D4801)),"平","仄")))</x:f>
        <x:v>平</x:v>
      </x:c>
      <x:c r="L4801" s="7" t="str"/>
    </x:row>
    <x:row r="4802">
      <x:c r="A4802" s="5" t="str">
        <x:v>鷖</x:v>
      </x:c>
      <x:c r="B4802" s="6" t="str">
        <x:v>平</x:v>
      </x:c>
      <x:c r="C4802" s="6" t="str">
        <x:f>IF(B4802="","Needs decision","Ready")</x:f>
        <x:v>Ready</x:v>
      </x:c>
      <x:c r="D4802" s="6" t="str">
        <x:v>平</x:v>
      </x:c>
      <x:c r="E4802" s="6" t="str">
        <x:v>'ej (A)</x:v>
      </x:c>
      <x:c r="F4802" s="6" t="str">
        <x:v>上平聲八齊</x:v>
      </x:c>
      <x:c r="G4802" s="6" t="str">
        <x:v>Pingshui main list, Wikisource-derived DOCX</x:v>
      </x:c>
      <x:c r="H4802" s="6" t="str">
        <x:v>1</x:v>
      </x:c>
      <x:c r="I4802" s="6" t="str"/>
      <x:c r="J4802" s="6" t="str">
        <x:f>IF(B4802="","",IF(AND(ISNUMBER(SEARCH("平",B4802)),OR(ISNUMBER(SEARCH("上",B4802)),ISNUMBER(SEARCH("去",B4802)),ISNUMBER(SEARCH("入",B4802)))),"Ambiguous",IF(ISNUMBER(SEARCH("平",B4802)),"平","仄")))</x:f>
        <x:v>平</x:v>
      </x:c>
      <x:c r="K4802" s="6" t="str">
        <x:f>IF(D4802="","",IF(AND(ISNUMBER(SEARCH("平",D4802)),OR(ISNUMBER(SEARCH("上",D4802)),ISNUMBER(SEARCH("去",D4802)),ISNUMBER(SEARCH("入",D4802)))),"Ambiguous",IF(ISNUMBER(SEARCH("平",D4802)),"平","仄")))</x:f>
        <x:v>平</x:v>
      </x:c>
      <x:c r="L4802" s="7" t="str"/>
    </x:row>
    <x:row r="4803">
      <x:c r="A4803" s="5" t="str">
        <x:v>鷗</x:v>
      </x:c>
      <x:c r="B4803" s="6" t="str">
        <x:v>平</x:v>
      </x:c>
      <x:c r="C4803" s="6" t="str">
        <x:f>IF(B4803="","Needs decision","Ready")</x:f>
        <x:v>Ready</x:v>
      </x:c>
      <x:c r="D4803" s="6" t="str">
        <x:v>平</x:v>
      </x:c>
      <x:c r="E4803" s="6" t="str">
        <x:v>'uw [ʔ̙u] (平)</x:v>
      </x:c>
      <x:c r="F4803" s="6" t="str">
        <x:v>下平聲十一尤</x:v>
      </x:c>
      <x:c r="G4803" s="6" t="str">
        <x:v>Pingshui main list, Wikisource-derived DOCX</x:v>
      </x:c>
      <x:c r="H4803" s="6" t="str">
        <x:v>1</x:v>
      </x:c>
      <x:c r="I4803" s="6" t="str">
        <x:v>Tang 300 gap; frequency 4; provisional from Xun Gong</x:v>
      </x:c>
      <x:c r="J4803" s="6" t="str">
        <x:f>IF(B4803="","",IF(AND(ISNUMBER(SEARCH("平",B4803)),OR(ISNUMBER(SEARCH("上",B4803)),ISNUMBER(SEARCH("去",B4803)),ISNUMBER(SEARCH("入",B4803)))),"Ambiguous",IF(ISNUMBER(SEARCH("平",B4803)),"平","仄")))</x:f>
        <x:v>平</x:v>
      </x:c>
      <x:c r="K4803" s="6" t="str">
        <x:f>IF(D4803="","",IF(AND(ISNUMBER(SEARCH("平",D4803)),OR(ISNUMBER(SEARCH("上",D4803)),ISNUMBER(SEARCH("去",D4803)),ISNUMBER(SEARCH("入",D4803)))),"Ambiguous",IF(ISNUMBER(SEARCH("平",D4803)),"平","仄")))</x:f>
        <x:v>平</x:v>
      </x:c>
      <x:c r="L4803" s="7" t="str">
        <x:v>Xun Gong, Tang 300 gap fill</x:v>
      </x:c>
    </x:row>
    <x:row r="4804">
      <x:c r="A4804" s="5" t="str">
        <x:v>鷙</x:v>
      </x:c>
      <x:c r="B4804" s="6" t="str">
        <x:v>去</x:v>
      </x:c>
      <x:c r="C4804" s="6" t="str">
        <x:f>IF(B4804="","Needs decision","Ready")</x:f>
        <x:v>Ready</x:v>
      </x:c>
      <x:c r="D4804" s="6" t="str">
        <x:v>去</x:v>
      </x:c>
      <x:c r="E4804" s="6" t="str">
        <x:v>tsyijH (C)</x:v>
      </x:c>
      <x:c r="F4804" s="6" t="str">
        <x:v>去聲四寘</x:v>
      </x:c>
      <x:c r="G4804" s="6" t="str">
        <x:v>Pingshui main list, Wikisource-derived DOCX</x:v>
      </x:c>
      <x:c r="H4804" s="6" t="str">
        <x:v>1</x:v>
      </x:c>
      <x:c r="I4804" s="6" t="str"/>
      <x:c r="J4804" s="6" t="str">
        <x:f>IF(B4804="","",IF(AND(ISNUMBER(SEARCH("平",B4804)),OR(ISNUMBER(SEARCH("上",B4804)),ISNUMBER(SEARCH("去",B4804)),ISNUMBER(SEARCH("入",B4804)))),"Ambiguous",IF(ISNUMBER(SEARCH("平",B4804)),"平","仄")))</x:f>
        <x:v>仄</x:v>
      </x:c>
      <x:c r="K4804" s="6" t="str">
        <x:f>IF(D4804="","",IF(AND(ISNUMBER(SEARCH("平",D4804)),OR(ISNUMBER(SEARCH("上",D4804)),ISNUMBER(SEARCH("去",D4804)),ISNUMBER(SEARCH("入",D4804)))),"Ambiguous",IF(ISNUMBER(SEARCH("平",D4804)),"平","仄")))</x:f>
        <x:v>仄</x:v>
      </x:c>
      <x:c r="L4804" s="7" t="str"/>
    </x:row>
    <x:row r="4805">
      <x:c r="A4805" s="5" t="str">
        <x:v>鷲</x:v>
      </x:c>
      <x:c r="B4805" s="6" t="str">
        <x:v>去</x:v>
      </x:c>
      <x:c r="C4805" s="6" t="str">
        <x:f>IF(B4805="","Needs decision","Ready")</x:f>
        <x:v>Ready</x:v>
      </x:c>
      <x:c r="D4805" s="6" t="str">
        <x:v>去</x:v>
      </x:c>
      <x:c r="E4805" s="6" t="str">
        <x:v>dzjuwH [dzjuh] (去)</x:v>
      </x:c>
      <x:c r="F4805" s="6" t="str">
        <x:v>去聲二十六宥</x:v>
      </x:c>
      <x:c r="G4805" s="6" t="str">
        <x:v>Pingshui main list, Wikisource-derived DOCX</x:v>
      </x:c>
      <x:c r="H4805" s="6" t="str">
        <x:v>1</x:v>
      </x:c>
      <x:c r="I4805" s="6" t="str">
        <x:v>Tang 300 gap; frequency 1; provisional from Xun Gong</x:v>
      </x:c>
      <x:c r="J4805" s="6" t="str">
        <x:f>IF(B4805="","",IF(AND(ISNUMBER(SEARCH("平",B4805)),OR(ISNUMBER(SEARCH("上",B4805)),ISNUMBER(SEARCH("去",B4805)),ISNUMBER(SEARCH("入",B4805)))),"Ambiguous",IF(ISNUMBER(SEARCH("平",B4805)),"平","仄")))</x:f>
        <x:v>仄</x:v>
      </x:c>
      <x:c r="K4805" s="6" t="str">
        <x:f>IF(D4805="","",IF(AND(ISNUMBER(SEARCH("平",D4805)),OR(ISNUMBER(SEARCH("上",D4805)),ISNUMBER(SEARCH("去",D4805)),ISNUMBER(SEARCH("入",D4805)))),"Ambiguous",IF(ISNUMBER(SEARCH("平",D4805)),"平","仄")))</x:f>
        <x:v>仄</x:v>
      </x:c>
      <x:c r="L4805" s="7" t="str">
        <x:v>Xun Gong, Tang 300 gap fill</x:v>
      </x:c>
    </x:row>
    <x:row r="4806">
      <x:c r="A4806" s="5" t="str">
        <x:v>鷹</x:v>
      </x:c>
      <x:c r="B4806" s="6" t="str">
        <x:v>平</x:v>
      </x:c>
      <x:c r="C4806" s="6" t="str">
        <x:f>IF(B4806="","Needs decision","Ready")</x:f>
        <x:v>Ready</x:v>
      </x:c>
      <x:c r="D4806" s="6" t="str">
        <x:v>平</x:v>
      </x:c>
      <x:c r="E4806" s="6" t="str">
        <x:v>'ing (A)</x:v>
      </x:c>
      <x:c r="F4806" s="6" t="str">
        <x:v>下平聲十蒸</x:v>
      </x:c>
      <x:c r="G4806" s="6" t="str">
        <x:v>Pingshui main list, Wikisource-derived DOCX</x:v>
      </x:c>
      <x:c r="H4806" s="6" t="str">
        <x:v>1</x:v>
      </x:c>
      <x:c r="I4806" s="6" t="str"/>
      <x:c r="J4806" s="6" t="str">
        <x:f>IF(B4806="","",IF(AND(ISNUMBER(SEARCH("平",B4806)),OR(ISNUMBER(SEARCH("上",B4806)),ISNUMBER(SEARCH("去",B4806)),ISNUMBER(SEARCH("入",B4806)))),"Ambiguous",IF(ISNUMBER(SEARCH("平",B4806)),"平","仄")))</x:f>
        <x:v>平</x:v>
      </x:c>
      <x:c r="K4806" s="6" t="str">
        <x:f>IF(D4806="","",IF(AND(ISNUMBER(SEARCH("平",D4806)),OR(ISNUMBER(SEARCH("上",D4806)),ISNUMBER(SEARCH("去",D4806)),ISNUMBER(SEARCH("入",D4806)))),"Ambiguous",IF(ISNUMBER(SEARCH("平",D4806)),"平","仄")))</x:f>
        <x:v>平</x:v>
      </x:c>
      <x:c r="L4806" s="7" t="str"/>
    </x:row>
    <x:row r="4807">
      <x:c r="A4807" s="5" t="str">
        <x:v>鷺</x:v>
      </x:c>
      <x:c r="B4807" s="6" t="str">
        <x:v>去</x:v>
      </x:c>
      <x:c r="C4807" s="6" t="str">
        <x:f>IF(B4807="","Needs decision","Ready")</x:f>
        <x:v>Ready</x:v>
      </x:c>
      <x:c r="D4807" s="6" t="str">
        <x:v>去</x:v>
      </x:c>
      <x:c r="E4807" s="6" t="str">
        <x:v>luH [l̙oh] (去)</x:v>
      </x:c>
      <x:c r="F4807" s="6" t="str">
        <x:v>去聲七遇</x:v>
      </x:c>
      <x:c r="G4807" s="6" t="str">
        <x:v>Pingshui main list, Wikisource-derived DOCX</x:v>
      </x:c>
      <x:c r="H4807" s="6" t="str">
        <x:v>1</x:v>
      </x:c>
      <x:c r="I4807" s="6" t="str">
        <x:v>Tang 300 gap; frequency 5; provisional from Xun Gong</x:v>
      </x:c>
      <x:c r="J4807" s="6" t="str">
        <x:f>IF(B4807="","",IF(AND(ISNUMBER(SEARCH("平",B4807)),OR(ISNUMBER(SEARCH("上",B4807)),ISNUMBER(SEARCH("去",B4807)),ISNUMBER(SEARCH("入",B4807)))),"Ambiguous",IF(ISNUMBER(SEARCH("平",B4807)),"平","仄")))</x:f>
        <x:v>仄</x:v>
      </x:c>
      <x:c r="K4807" s="6" t="str">
        <x:f>IF(D4807="","",IF(AND(ISNUMBER(SEARCH("平",D4807)),OR(ISNUMBER(SEARCH("上",D4807)),ISNUMBER(SEARCH("去",D4807)),ISNUMBER(SEARCH("入",D4807)))),"Ambiguous",IF(ISNUMBER(SEARCH("平",D4807)),"平","仄")))</x:f>
        <x:v>仄</x:v>
      </x:c>
      <x:c r="L4807" s="7" t="str">
        <x:v>Xun Gong, Tang 300 gap fill</x:v>
      </x:c>
    </x:row>
    <x:row r="4808">
      <x:c r="A4808" s="5" t="str">
        <x:v>鷽</x:v>
      </x:c>
      <x:c r="B4808" s="6" t="str">
        <x:v>入</x:v>
      </x:c>
      <x:c r="C4808" s="6" t="str">
        <x:f>IF(B4808="","Needs decision","Ready")</x:f>
        <x:v>Ready</x:v>
      </x:c>
      <x:c r="D4808" s="6" t="str">
        <x:v>入</x:v>
      </x:c>
      <x:c r="E4808" s="6" t="str">
        <x:v>'aewk (D); haewk (D)</x:v>
      </x:c>
      <x:c r="F4808" s="6" t="str">
        <x:v>入聲三覺</x:v>
      </x:c>
      <x:c r="G4808" s="6" t="str">
        <x:v>Pingshui main list, Wikisource-derived DOCX</x:v>
      </x:c>
      <x:c r="H4808" s="6" t="str">
        <x:v>2</x:v>
      </x:c>
      <x:c r="I4808" s="6" t="str"/>
      <x:c r="J4808" s="6" t="str">
        <x:f>IF(B4808="","",IF(AND(ISNUMBER(SEARCH("平",B4808)),OR(ISNUMBER(SEARCH("上",B4808)),ISNUMBER(SEARCH("去",B4808)),ISNUMBER(SEARCH("入",B4808)))),"Ambiguous",IF(ISNUMBER(SEARCH("平",B4808)),"平","仄")))</x:f>
        <x:v>仄</x:v>
      </x:c>
      <x:c r="K4808" s="6" t="str">
        <x:f>IF(D4808="","",IF(AND(ISNUMBER(SEARCH("平",D4808)),OR(ISNUMBER(SEARCH("上",D4808)),ISNUMBER(SEARCH("去",D4808)),ISNUMBER(SEARCH("入",D4808)))),"Ambiguous",IF(ISNUMBER(SEARCH("平",D4808)),"平","仄")))</x:f>
        <x:v>仄</x:v>
      </x:c>
      <x:c r="L4808" s="7" t="str"/>
    </x:row>
    <x:row r="4809">
      <x:c r="A4809" s="5" t="str">
        <x:v>鸇</x:v>
      </x:c>
      <x:c r="B4809" s="6" t="str">
        <x:v>平</x:v>
      </x:c>
      <x:c r="C4809" s="6" t="str">
        <x:f>IF(B4809="","Needs decision","Ready")</x:f>
        <x:v>Ready</x:v>
      </x:c>
      <x:c r="D4809" s="6" t="str">
        <x:v>平</x:v>
      </x:c>
      <x:c r="E4809" s="6" t="str">
        <x:v>tsyen (A)</x:v>
      </x:c>
      <x:c r="F4809" s="6" t="str">
        <x:v>下平聲一先</x:v>
      </x:c>
      <x:c r="G4809" s="6" t="str">
        <x:v>Pingshui main list, Wikisource-derived DOCX</x:v>
      </x:c>
      <x:c r="H4809" s="6" t="str">
        <x:v>1</x:v>
      </x:c>
      <x:c r="I4809" s="6" t="str"/>
      <x:c r="J4809" s="6" t="str">
        <x:f>IF(B4809="","",IF(AND(ISNUMBER(SEARCH("平",B4809)),OR(ISNUMBER(SEARCH("上",B4809)),ISNUMBER(SEARCH("去",B4809)),ISNUMBER(SEARCH("入",B4809)))),"Ambiguous",IF(ISNUMBER(SEARCH("平",B4809)),"平","仄")))</x:f>
        <x:v>平</x:v>
      </x:c>
      <x:c r="K4809" s="6" t="str">
        <x:f>IF(D4809="","",IF(AND(ISNUMBER(SEARCH("平",D4809)),OR(ISNUMBER(SEARCH("上",D4809)),ISNUMBER(SEARCH("去",D4809)),ISNUMBER(SEARCH("入",D4809)))),"Ambiguous",IF(ISNUMBER(SEARCH("平",D4809)),"平","仄")))</x:f>
        <x:v>平</x:v>
      </x:c>
      <x:c r="L4809" s="7" t="str"/>
    </x:row>
    <x:row r="4810">
      <x:c r="A4810" s="5" t="str">
        <x:v>鸒</x:v>
      </x:c>
      <x:c r="B4810" s="6" t="str">
        <x:v>去</x:v>
      </x:c>
      <x:c r="C4810" s="6" t="str">
        <x:f>IF(B4810="","Needs decision","Ready")</x:f>
        <x:v>Ready</x:v>
      </x:c>
      <x:c r="D4810" s="6" t="str">
        <x:v>去</x:v>
      </x:c>
      <x:c r="E4810" s="6" t="str">
        <x:v>yoH (C)</x:v>
      </x:c>
      <x:c r="F4810" s="6" t="str">
        <x:v>去聲六御</x:v>
      </x:c>
      <x:c r="G4810" s="6" t="str">
        <x:v>Pingshui main list, Wikisource-derived DOCX</x:v>
      </x:c>
      <x:c r="H4810" s="6" t="str">
        <x:v>1</x:v>
      </x:c>
      <x:c r="I4810" s="6" t="str"/>
      <x:c r="J4810" s="6" t="str">
        <x:f>IF(B4810="","",IF(AND(ISNUMBER(SEARCH("平",B4810)),OR(ISNUMBER(SEARCH("上",B4810)),ISNUMBER(SEARCH("去",B4810)),ISNUMBER(SEARCH("入",B4810)))),"Ambiguous",IF(ISNUMBER(SEARCH("平",B4810)),"平","仄")))</x:f>
        <x:v>仄</x:v>
      </x:c>
      <x:c r="K4810" s="6" t="str">
        <x:f>IF(D4810="","",IF(AND(ISNUMBER(SEARCH("平",D4810)),OR(ISNUMBER(SEARCH("上",D4810)),ISNUMBER(SEARCH("去",D4810)),ISNUMBER(SEARCH("入",D4810)))),"Ambiguous",IF(ISNUMBER(SEARCH("平",D4810)),"平","仄")))</x:f>
        <x:v>仄</x:v>
      </x:c>
      <x:c r="L4810" s="7" t="str"/>
    </x:row>
    <x:row r="4811">
      <x:c r="A4811" s="5" t="str">
        <x:v>鸚</x:v>
      </x:c>
      <x:c r="B4811" s="6" t="str">
        <x:v>平</x:v>
      </x:c>
      <x:c r="C4811" s="6" t="str">
        <x:f>IF(B4811="","Needs decision","Ready")</x:f>
        <x:v>Ready</x:v>
      </x:c>
      <x:c r="D4811" s="6" t="str">
        <x:v>平</x:v>
      </x:c>
      <x:c r="E4811" s="6" t="str">
        <x:v>'eang [ʔ̙eˤŋ] (平)</x:v>
      </x:c>
      <x:c r="F4811" s="6" t="str">
        <x:v>下平聲八庚</x:v>
      </x:c>
      <x:c r="G4811" s="6" t="str">
        <x:v>Pingshui main list, Wikisource-derived DOCX</x:v>
      </x:c>
      <x:c r="H4811" s="6" t="str">
        <x:v>1</x:v>
      </x:c>
      <x:c r="I4811" s="6" t="str">
        <x:v>Tang 300 gap; frequency 2; provisional from Xun Gong</x:v>
      </x:c>
      <x:c r="J4811" s="6" t="str">
        <x:f>IF(B4811="","",IF(AND(ISNUMBER(SEARCH("平",B4811)),OR(ISNUMBER(SEARCH("上",B4811)),ISNUMBER(SEARCH("去",B4811)),ISNUMBER(SEARCH("入",B4811)))),"Ambiguous",IF(ISNUMBER(SEARCH("平",B4811)),"平","仄")))</x:f>
        <x:v>平</x:v>
      </x:c>
      <x:c r="K4811" s="6" t="str">
        <x:f>IF(D4811="","",IF(AND(ISNUMBER(SEARCH("平",D4811)),OR(ISNUMBER(SEARCH("上",D4811)),ISNUMBER(SEARCH("去",D4811)),ISNUMBER(SEARCH("入",D4811)))),"Ambiguous",IF(ISNUMBER(SEARCH("平",D4811)),"平","仄")))</x:f>
        <x:v>平</x:v>
      </x:c>
      <x:c r="L4811" s="7" t="str">
        <x:v>Xun Gong, Tang 300 gap fill</x:v>
      </x:c>
    </x:row>
    <x:row r="4812">
      <x:c r="A4812" s="5" t="str">
        <x:v>鸛</x:v>
      </x:c>
      <x:c r="B4812" s="6" t="str">
        <x:v>去</x:v>
      </x:c>
      <x:c r="C4812" s="6" t="str">
        <x:f>IF(B4812="","Needs decision","Ready")</x:f>
        <x:v>Ready</x:v>
      </x:c>
      <x:c r="D4812" s="6" t="str">
        <x:v>去</x:v>
      </x:c>
      <x:c r="E4812" s="6" t="str">
        <x:v>kwanH (C)</x:v>
      </x:c>
      <x:c r="F4812" s="6" t="str"/>
      <x:c r="G4812" s="6" t="str"/>
      <x:c r="H4812" s="6" t="str">
        <x:v>1</x:v>
      </x:c>
      <x:c r="I4812" s="6" t="str"/>
      <x:c r="J4812" s="6" t="str">
        <x:f>IF(B4812="","",IF(AND(ISNUMBER(SEARCH("平",B4812)),OR(ISNUMBER(SEARCH("上",B4812)),ISNUMBER(SEARCH("去",B4812)),ISNUMBER(SEARCH("入",B4812)))),"Ambiguous",IF(ISNUMBER(SEARCH("平",B4812)),"平","仄")))</x:f>
        <x:v>仄</x:v>
      </x:c>
      <x:c r="K4812" s="6" t="str">
        <x:f>IF(D4812="","",IF(AND(ISNUMBER(SEARCH("平",D4812)),OR(ISNUMBER(SEARCH("上",D4812)),ISNUMBER(SEARCH("去",D4812)),ISNUMBER(SEARCH("入",D4812)))),"Ambiguous",IF(ISNUMBER(SEARCH("平",D4812)),"平","仄")))</x:f>
        <x:v>仄</x:v>
      </x:c>
      <x:c r="L4812" s="7" t="str"/>
    </x:row>
    <x:row r="4813">
      <x:c r="A4813" s="5" t="str">
        <x:v>鸝</x:v>
      </x:c>
      <x:c r="B4813" s="6" t="str">
        <x:v>平</x:v>
      </x:c>
      <x:c r="C4813" s="6" t="str">
        <x:f>IF(B4813="","Needs decision","Ready")</x:f>
        <x:v>Ready</x:v>
      </x:c>
      <x:c r="D4813" s="6" t="str">
        <x:v>平</x:v>
      </x:c>
      <x:c r="E4813" s="6" t="str">
        <x:v>lje [lie] (平)</x:v>
      </x:c>
      <x:c r="F4813" s="6" t="str">
        <x:v>上平聲四支; 上平聲八齊</x:v>
      </x:c>
      <x:c r="G4813" s="6" t="str">
        <x:v>Pingshui main list, Wikisource-derived DOCX</x:v>
      </x:c>
      <x:c r="H4813" s="6" t="str">
        <x:v>1</x:v>
      </x:c>
      <x:c r="I4813" s="6" t="str">
        <x:v>Tang 300 gap; frequency 4; provisional from Xun Gong</x:v>
      </x:c>
      <x:c r="J4813" s="6" t="str">
        <x:f>IF(B4813="","",IF(AND(ISNUMBER(SEARCH("平",B4813)),OR(ISNUMBER(SEARCH("上",B4813)),ISNUMBER(SEARCH("去",B4813)),ISNUMBER(SEARCH("入",B4813)))),"Ambiguous",IF(ISNUMBER(SEARCH("平",B4813)),"平","仄")))</x:f>
        <x:v>平</x:v>
      </x:c>
      <x:c r="K4813" s="6" t="str">
        <x:f>IF(D4813="","",IF(AND(ISNUMBER(SEARCH("平",D4813)),OR(ISNUMBER(SEARCH("上",D4813)),ISNUMBER(SEARCH("去",D4813)),ISNUMBER(SEARCH("入",D4813)))),"Ambiguous",IF(ISNUMBER(SEARCH("平",D4813)),"平","仄")))</x:f>
        <x:v>平</x:v>
      </x:c>
      <x:c r="L4813" s="7" t="str">
        <x:v>Xun Gong, Tang 300 gap fill</x:v>
      </x:c>
    </x:row>
    <x:row r="4814">
      <x:c r="A4814" s="5" t="str">
        <x:v>鸞</x:v>
      </x:c>
      <x:c r="B4814" s="6" t="str">
        <x:v>平</x:v>
      </x:c>
      <x:c r="C4814" s="6" t="str">
        <x:f>IF(B4814="","Needs decision","Ready")</x:f>
        <x:v>Ready</x:v>
      </x:c>
      <x:c r="D4814" s="6" t="str">
        <x:v>平</x:v>
      </x:c>
      <x:c r="E4814" s="6" t="str">
        <x:v>lwan (A)</x:v>
      </x:c>
      <x:c r="F4814" s="6" t="str">
        <x:v>上平聲十四寒</x:v>
      </x:c>
      <x:c r="G4814" s="6" t="str">
        <x:v>Pingshui main list, Wikisource-derived DOCX</x:v>
      </x:c>
      <x:c r="H4814" s="6" t="str">
        <x:v>1</x:v>
      </x:c>
      <x:c r="I4814" s="6" t="str"/>
      <x:c r="J4814" s="6" t="str">
        <x:f>IF(B4814="","",IF(AND(ISNUMBER(SEARCH("平",B4814)),OR(ISNUMBER(SEARCH("上",B4814)),ISNUMBER(SEARCH("去",B4814)),ISNUMBER(SEARCH("入",B4814)))),"Ambiguous",IF(ISNUMBER(SEARCH("平",B4814)),"平","仄")))</x:f>
        <x:v>平</x:v>
      </x:c>
      <x:c r="K4814" s="6" t="str">
        <x:f>IF(D4814="","",IF(AND(ISNUMBER(SEARCH("平",D4814)),OR(ISNUMBER(SEARCH("上",D4814)),ISNUMBER(SEARCH("去",D4814)),ISNUMBER(SEARCH("入",D4814)))),"Ambiguous",IF(ISNUMBER(SEARCH("平",D4814)),"平","仄")))</x:f>
        <x:v>平</x:v>
      </x:c>
      <x:c r="L4814" s="7" t="str"/>
    </x:row>
    <x:row r="4815">
      <x:c r="A4815" s="5" t="str">
        <x:v>鹵</x:v>
      </x:c>
      <x:c r="B4815" s="6" t="str">
        <x:v>上</x:v>
      </x:c>
      <x:c r="C4815" s="6" t="str">
        <x:f>IF(B4815="","Needs decision","Ready")</x:f>
        <x:v>Ready</x:v>
      </x:c>
      <x:c r="D4815" s="6" t="str">
        <x:v>上</x:v>
      </x:c>
      <x:c r="E4815" s="6" t="str">
        <x:v>luX (B)</x:v>
      </x:c>
      <x:c r="F4815" s="6" t="str">
        <x:v>上聲七麌</x:v>
      </x:c>
      <x:c r="G4815" s="6" t="str">
        <x:v>Pingshui main list, Wikisource-derived DOCX</x:v>
      </x:c>
      <x:c r="H4815" s="6" t="str">
        <x:v>1</x:v>
      </x:c>
      <x:c r="I4815" s="6" t="str"/>
      <x:c r="J4815" s="6" t="str">
        <x:f>IF(B4815="","",IF(AND(ISNUMBER(SEARCH("平",B4815)),OR(ISNUMBER(SEARCH("上",B4815)),ISNUMBER(SEARCH("去",B4815)),ISNUMBER(SEARCH("入",B4815)))),"Ambiguous",IF(ISNUMBER(SEARCH("平",B4815)),"平","仄")))</x:f>
        <x:v>仄</x:v>
      </x:c>
      <x:c r="K4815" s="6" t="str">
        <x:f>IF(D4815="","",IF(AND(ISNUMBER(SEARCH("平",D4815)),OR(ISNUMBER(SEARCH("上",D4815)),ISNUMBER(SEARCH("去",D4815)),ISNUMBER(SEARCH("入",D4815)))),"Ambiguous",IF(ISNUMBER(SEARCH("平",D4815)),"平","仄")))</x:f>
        <x:v>仄</x:v>
      </x:c>
      <x:c r="L4815" s="7" t="str"/>
    </x:row>
    <x:row r="4816">
      <x:c r="A4816" s="5" t="str">
        <x:v>鹹</x:v>
      </x:c>
      <x:c r="B4816" s="6" t="str">
        <x:v>平</x:v>
      </x:c>
      <x:c r="C4816" s="6" t="str">
        <x:f>IF(B4816="","Needs decision","Ready")</x:f>
        <x:v>Ready</x:v>
      </x:c>
      <x:c r="D4816" s="6" t="str">
        <x:v>平</x:v>
      </x:c>
      <x:c r="E4816" s="6" t="str">
        <x:v>heam (A)</x:v>
      </x:c>
      <x:c r="F4816" s="6" t="str">
        <x:v>下平聲十五咸</x:v>
      </x:c>
      <x:c r="G4816" s="6" t="str">
        <x:v>Pingshui main list, Wikisource-derived DOCX</x:v>
      </x:c>
      <x:c r="H4816" s="6" t="str">
        <x:v>1</x:v>
      </x:c>
      <x:c r="I4816" s="6" t="str"/>
      <x:c r="J4816" s="6" t="str">
        <x:f>IF(B4816="","",IF(AND(ISNUMBER(SEARCH("平",B4816)),OR(ISNUMBER(SEARCH("上",B4816)),ISNUMBER(SEARCH("去",B4816)),ISNUMBER(SEARCH("入",B4816)))),"Ambiguous",IF(ISNUMBER(SEARCH("平",B4816)),"平","仄")))</x:f>
        <x:v>平</x:v>
      </x:c>
      <x:c r="K4816" s="6" t="str">
        <x:f>IF(D4816="","",IF(AND(ISNUMBER(SEARCH("平",D4816)),OR(ISNUMBER(SEARCH("上",D4816)),ISNUMBER(SEARCH("去",D4816)),ISNUMBER(SEARCH("入",D4816)))),"Ambiguous",IF(ISNUMBER(SEARCH("平",D4816)),"平","仄")))</x:f>
        <x:v>平</x:v>
      </x:c>
      <x:c r="L4816" s="7" t="str"/>
    </x:row>
    <x:row r="4817">
      <x:c r="A4817" s="5" t="str">
        <x:v>鹺</x:v>
      </x:c>
      <x:c r="B4817" s="6" t="str">
        <x:v>平</x:v>
      </x:c>
      <x:c r="C4817" s="6" t="str">
        <x:f>IF(B4817="","Needs decision","Ready")</x:f>
        <x:v>Ready</x:v>
      </x:c>
      <x:c r="D4817" s="6" t="str">
        <x:v>平</x:v>
      </x:c>
      <x:c r="E4817" s="6" t="str">
        <x:v>dza (A)</x:v>
      </x:c>
      <x:c r="F4817" s="6" t="str">
        <x:v>下平聲五歌</x:v>
      </x:c>
      <x:c r="G4817" s="6" t="str">
        <x:v>Pingshui main list, Wikisource-derived DOCX</x:v>
      </x:c>
      <x:c r="H4817" s="6" t="str">
        <x:v>1</x:v>
      </x:c>
      <x:c r="I4817" s="6" t="str"/>
      <x:c r="J4817" s="6" t="str">
        <x:f>IF(B4817="","",IF(AND(ISNUMBER(SEARCH("平",B4817)),OR(ISNUMBER(SEARCH("上",B4817)),ISNUMBER(SEARCH("去",B4817)),ISNUMBER(SEARCH("入",B4817)))),"Ambiguous",IF(ISNUMBER(SEARCH("平",B4817)),"平","仄")))</x:f>
        <x:v>平</x:v>
      </x:c>
      <x:c r="K4817" s="6" t="str">
        <x:f>IF(D4817="","",IF(AND(ISNUMBER(SEARCH("平",D4817)),OR(ISNUMBER(SEARCH("上",D4817)),ISNUMBER(SEARCH("去",D4817)),ISNUMBER(SEARCH("入",D4817)))),"Ambiguous",IF(ISNUMBER(SEARCH("平",D4817)),"平","仄")))</x:f>
        <x:v>平</x:v>
      </x:c>
      <x:c r="L4817" s="7" t="str"/>
    </x:row>
    <x:row r="4818">
      <x:c r="A4818" s="5" t="str">
        <x:v>鹽</x:v>
      </x:c>
      <x:c r="B4818" s="6" t="str"/>
      <x:c r="C4818" s="6" t="str">
        <x:f>IF(B4818="","Needs decision","Ready")</x:f>
        <x:v>Needs decision</x:v>
      </x:c>
      <x:c r="D4818" s="6" t="str">
        <x:v>平/去</x:v>
      </x:c>
      <x:c r="E4818" s="6" t="str">
        <x:v>yem (A); yemH (C)</x:v>
      </x:c>
      <x:c r="F4818" s="6" t="str">
        <x:v>下平聲十四鹽; 去聲二十九豔</x:v>
      </x:c>
      <x:c r="G4818" s="6" t="str">
        <x:v>Pingshui main list, Wikisource-derived DOCX</x:v>
      </x:c>
      <x:c r="H4818" s="6" t="str">
        <x:v>2</x:v>
      </x:c>
      <x:c r="I4818" s="6" t="str"/>
      <x:c r="J4818" s="6" t="str">
        <x:f>IF(B4818="","",IF(AND(ISNUMBER(SEARCH("平",B4818)),OR(ISNUMBER(SEARCH("上",B4818)),ISNUMBER(SEARCH("去",B4818)),ISNUMBER(SEARCH("入",B4818)))),"Ambiguous",IF(ISNUMBER(SEARCH("平",B4818)),"平","仄")))</x:f>
      </x:c>
      <x:c r="K4818" s="6" t="str">
        <x:f>IF(D4818="","",IF(AND(ISNUMBER(SEARCH("平",D4818)),OR(ISNUMBER(SEARCH("上",D4818)),ISNUMBER(SEARCH("去",D4818)),ISNUMBER(SEARCH("入",D4818)))),"Ambiguous",IF(ISNUMBER(SEARCH("平",D4818)),"平","仄")))</x:f>
        <x:v>Ambiguous</x:v>
      </x:c>
      <x:c r="L4818" s="7" t="str"/>
    </x:row>
    <x:row r="4819">
      <x:c r="A4819" s="5" t="str">
        <x:v>鹿</x:v>
      </x:c>
      <x:c r="B4819" s="6" t="str">
        <x:v>入</x:v>
      </x:c>
      <x:c r="C4819" s="6" t="str">
        <x:f>IF(B4819="","Needs decision","Ready")</x:f>
        <x:v>Ready</x:v>
      </x:c>
      <x:c r="D4819" s="6" t="str">
        <x:v>入</x:v>
      </x:c>
      <x:c r="E4819" s="6" t="str">
        <x:v>luwk (D)</x:v>
      </x:c>
      <x:c r="F4819" s="6" t="str">
        <x:v>入聲一屋</x:v>
      </x:c>
      <x:c r="G4819" s="6" t="str">
        <x:v>Pingshui main list, Wikisource-derived DOCX</x:v>
      </x:c>
      <x:c r="H4819" s="6" t="str">
        <x:v>1</x:v>
      </x:c>
      <x:c r="I4819" s="6" t="str"/>
      <x:c r="J4819" s="6" t="str">
        <x:f>IF(B4819="","",IF(AND(ISNUMBER(SEARCH("平",B4819)),OR(ISNUMBER(SEARCH("上",B4819)),ISNUMBER(SEARCH("去",B4819)),ISNUMBER(SEARCH("入",B4819)))),"Ambiguous",IF(ISNUMBER(SEARCH("平",B4819)),"平","仄")))</x:f>
        <x:v>仄</x:v>
      </x:c>
      <x:c r="K4819" s="6" t="str">
        <x:f>IF(D4819="","",IF(AND(ISNUMBER(SEARCH("平",D4819)),OR(ISNUMBER(SEARCH("上",D4819)),ISNUMBER(SEARCH("去",D4819)),ISNUMBER(SEARCH("入",D4819)))),"Ambiguous",IF(ISNUMBER(SEARCH("平",D4819)),"平","仄")))</x:f>
        <x:v>仄</x:v>
      </x:c>
      <x:c r="L4819" s="7" t="str"/>
    </x:row>
    <x:row r="4820">
      <x:c r="A4820" s="5" t="str">
        <x:v>麇</x:v>
      </x:c>
      <x:c r="B4820" s="6" t="str">
        <x:v>平</x:v>
      </x:c>
      <x:c r="C4820" s="6" t="str">
        <x:f>IF(B4820="","Needs decision","Ready")</x:f>
        <x:v>Ready</x:v>
      </x:c>
      <x:c r="D4820" s="6" t="str">
        <x:v>平</x:v>
      </x:c>
      <x:c r="E4820" s="6" t="str">
        <x:v>kwin (A)</x:v>
      </x:c>
      <x:c r="F4820" s="6" t="str">
        <x:v>上平聲十一真</x:v>
      </x:c>
      <x:c r="G4820" s="6" t="str">
        <x:v>Pingshui main list, Wikisource-derived DOCX</x:v>
      </x:c>
      <x:c r="H4820" s="6" t="str">
        <x:v>1</x:v>
      </x:c>
      <x:c r="I4820" s="6" t="str"/>
      <x:c r="J4820" s="6" t="str">
        <x:f>IF(B4820="","",IF(AND(ISNUMBER(SEARCH("平",B4820)),OR(ISNUMBER(SEARCH("上",B4820)),ISNUMBER(SEARCH("去",B4820)),ISNUMBER(SEARCH("入",B4820)))),"Ambiguous",IF(ISNUMBER(SEARCH("平",B4820)),"平","仄")))</x:f>
        <x:v>平</x:v>
      </x:c>
      <x:c r="K4820" s="6" t="str">
        <x:f>IF(D4820="","",IF(AND(ISNUMBER(SEARCH("平",D4820)),OR(ISNUMBER(SEARCH("上",D4820)),ISNUMBER(SEARCH("去",D4820)),ISNUMBER(SEARCH("入",D4820)))),"Ambiguous",IF(ISNUMBER(SEARCH("平",D4820)),"平","仄")))</x:f>
        <x:v>平</x:v>
      </x:c>
      <x:c r="L4820" s="7" t="str"/>
    </x:row>
    <x:row r="4821">
      <x:c r="A4821" s="5" t="str">
        <x:v>麋</x:v>
      </x:c>
      <x:c r="B4821" s="6" t="str">
        <x:v>平</x:v>
      </x:c>
      <x:c r="C4821" s="6" t="str">
        <x:f>IF(B4821="","Needs decision","Ready")</x:f>
        <x:v>Ready</x:v>
      </x:c>
      <x:c r="D4821" s="6" t="str">
        <x:v>平</x:v>
      </x:c>
      <x:c r="E4821" s="6" t="str">
        <x:v>mij (A)</x:v>
      </x:c>
      <x:c r="F4821" s="6" t="str">
        <x:v>上平聲四支</x:v>
      </x:c>
      <x:c r="G4821" s="6" t="str">
        <x:v>Pingshui main list, Wikisource-derived DOCX</x:v>
      </x:c>
      <x:c r="H4821" s="6" t="str">
        <x:v>1</x:v>
      </x:c>
      <x:c r="I4821" s="6" t="str"/>
      <x:c r="J4821" s="6" t="str">
        <x:f>IF(B4821="","",IF(AND(ISNUMBER(SEARCH("平",B4821)),OR(ISNUMBER(SEARCH("上",B4821)),ISNUMBER(SEARCH("去",B4821)),ISNUMBER(SEARCH("入",B4821)))),"Ambiguous",IF(ISNUMBER(SEARCH("平",B4821)),"平","仄")))</x:f>
        <x:v>平</x:v>
      </x:c>
      <x:c r="K4821" s="6" t="str">
        <x:f>IF(D4821="","",IF(AND(ISNUMBER(SEARCH("平",D4821)),OR(ISNUMBER(SEARCH("上",D4821)),ISNUMBER(SEARCH("去",D4821)),ISNUMBER(SEARCH("入",D4821)))),"Ambiguous",IF(ISNUMBER(SEARCH("平",D4821)),"平","仄")))</x:f>
        <x:v>平</x:v>
      </x:c>
      <x:c r="L4821" s="7" t="str"/>
    </x:row>
    <x:row r="4822">
      <x:c r="A4822" s="5" t="str">
        <x:v>麏</x:v>
      </x:c>
      <x:c r="B4822" s="6" t="str">
        <x:v>平</x:v>
      </x:c>
      <x:c r="C4822" s="6" t="str">
        <x:f>IF(B4822="","Needs decision","Ready")</x:f>
        <x:v>Ready</x:v>
      </x:c>
      <x:c r="D4822" s="6" t="str">
        <x:v>平</x:v>
      </x:c>
      <x:c r="E4822" s="6" t="str">
        <x:v>kwin (A)</x:v>
      </x:c>
      <x:c r="F4822" s="6" t="str"/>
      <x:c r="G4822" s="6" t="str"/>
      <x:c r="H4822" s="6" t="str">
        <x:v>1</x:v>
      </x:c>
      <x:c r="I4822" s="6" t="str"/>
      <x:c r="J4822" s="6" t="str">
        <x:f>IF(B4822="","",IF(AND(ISNUMBER(SEARCH("平",B4822)),OR(ISNUMBER(SEARCH("上",B4822)),ISNUMBER(SEARCH("去",B4822)),ISNUMBER(SEARCH("入",B4822)))),"Ambiguous",IF(ISNUMBER(SEARCH("平",B4822)),"平","仄")))</x:f>
        <x:v>平</x:v>
      </x:c>
      <x:c r="K4822" s="6" t="str">
        <x:f>IF(D4822="","",IF(AND(ISNUMBER(SEARCH("平",D4822)),OR(ISNUMBER(SEARCH("上",D4822)),ISNUMBER(SEARCH("去",D4822)),ISNUMBER(SEARCH("入",D4822)))),"Ambiguous",IF(ISNUMBER(SEARCH("平",D4822)),"平","仄")))</x:f>
        <x:v>平</x:v>
      </x:c>
      <x:c r="L4822" s="7" t="str"/>
    </x:row>
    <x:row r="4823">
      <x:c r="A4823" s="5" t="str">
        <x:v>麑</x:v>
      </x:c>
      <x:c r="B4823" s="6" t="str">
        <x:v>平</x:v>
      </x:c>
      <x:c r="C4823" s="6" t="str">
        <x:f>IF(B4823="","Needs decision","Ready")</x:f>
        <x:v>Ready</x:v>
      </x:c>
      <x:c r="D4823" s="6" t="str">
        <x:v>平</x:v>
      </x:c>
      <x:c r="E4823" s="6" t="str">
        <x:v>mej (A)</x:v>
      </x:c>
      <x:c r="F4823" s="6" t="str"/>
      <x:c r="G4823" s="6" t="str"/>
      <x:c r="H4823" s="6" t="str">
        <x:v>1</x:v>
      </x:c>
      <x:c r="I4823" s="6" t="str"/>
      <x:c r="J4823" s="6" t="str">
        <x:f>IF(B4823="","",IF(AND(ISNUMBER(SEARCH("平",B4823)),OR(ISNUMBER(SEARCH("上",B4823)),ISNUMBER(SEARCH("去",B4823)),ISNUMBER(SEARCH("入",B4823)))),"Ambiguous",IF(ISNUMBER(SEARCH("平",B4823)),"平","仄")))</x:f>
        <x:v>平</x:v>
      </x:c>
      <x:c r="K4823" s="6" t="str">
        <x:f>IF(D4823="","",IF(AND(ISNUMBER(SEARCH("平",D4823)),OR(ISNUMBER(SEARCH("上",D4823)),ISNUMBER(SEARCH("去",D4823)),ISNUMBER(SEARCH("入",D4823)))),"Ambiguous",IF(ISNUMBER(SEARCH("平",D4823)),"平","仄")))</x:f>
        <x:v>平</x:v>
      </x:c>
      <x:c r="L4823" s="7" t="str"/>
    </x:row>
    <x:row r="4824">
      <x:c r="A4824" s="5" t="str">
        <x:v>麒</x:v>
      </x:c>
      <x:c r="B4824" s="6" t="str">
        <x:v>平</x:v>
      </x:c>
      <x:c r="C4824" s="6" t="str">
        <x:f>IF(B4824="","Needs decision","Ready")</x:f>
        <x:v>Ready</x:v>
      </x:c>
      <x:c r="D4824" s="6" t="str">
        <x:v>平</x:v>
      </x:c>
      <x:c r="E4824" s="6" t="str">
        <x:v>gi [ɡɨ] (平)</x:v>
      </x:c>
      <x:c r="F4824" s="6" t="str">
        <x:v>上平聲四支</x:v>
      </x:c>
      <x:c r="G4824" s="6" t="str">
        <x:v>Pingshui main list, Wikisource-derived DOCX</x:v>
      </x:c>
      <x:c r="H4824" s="6" t="str">
        <x:v>1</x:v>
      </x:c>
      <x:c r="I4824" s="6" t="str">
        <x:v>Tang 300 gap; frequency 2; provisional from Xun Gong</x:v>
      </x:c>
      <x:c r="J4824" s="6" t="str">
        <x:f>IF(B4824="","",IF(AND(ISNUMBER(SEARCH("平",B4824)),OR(ISNUMBER(SEARCH("上",B4824)),ISNUMBER(SEARCH("去",B4824)),ISNUMBER(SEARCH("入",B4824)))),"Ambiguous",IF(ISNUMBER(SEARCH("平",B4824)),"平","仄")))</x:f>
        <x:v>平</x:v>
      </x:c>
      <x:c r="K4824" s="6" t="str">
        <x:f>IF(D4824="","",IF(AND(ISNUMBER(SEARCH("平",D4824)),OR(ISNUMBER(SEARCH("上",D4824)),ISNUMBER(SEARCH("去",D4824)),ISNUMBER(SEARCH("入",D4824)))),"Ambiguous",IF(ISNUMBER(SEARCH("平",D4824)),"平","仄")))</x:f>
        <x:v>平</x:v>
      </x:c>
      <x:c r="L4824" s="7" t="str">
        <x:v>Xun Gong, Tang 300 gap fill</x:v>
      </x:c>
    </x:row>
    <x:row r="4825">
      <x:c r="A4825" s="5" t="str">
        <x:v>麕</x:v>
      </x:c>
      <x:c r="B4825" s="6" t="str">
        <x:v>平</x:v>
      </x:c>
      <x:c r="C4825" s="6" t="str">
        <x:f>IF(B4825="","Needs decision","Ready")</x:f>
        <x:v>Ready</x:v>
      </x:c>
      <x:c r="D4825" s="6" t="str">
        <x:v>平</x:v>
      </x:c>
      <x:c r="E4825" s="6" t="str">
        <x:v>kwin (A)</x:v>
      </x:c>
      <x:c r="F4825" s="6" t="str"/>
      <x:c r="G4825" s="6" t="str"/>
      <x:c r="H4825" s="6" t="str">
        <x:v>1</x:v>
      </x:c>
      <x:c r="I4825" s="6" t="str"/>
      <x:c r="J4825" s="6" t="str">
        <x:f>IF(B4825="","",IF(AND(ISNUMBER(SEARCH("平",B4825)),OR(ISNUMBER(SEARCH("上",B4825)),ISNUMBER(SEARCH("去",B4825)),ISNUMBER(SEARCH("入",B4825)))),"Ambiguous",IF(ISNUMBER(SEARCH("平",B4825)),"平","仄")))</x:f>
        <x:v>平</x:v>
      </x:c>
      <x:c r="K4825" s="6" t="str">
        <x:f>IF(D4825="","",IF(AND(ISNUMBER(SEARCH("平",D4825)),OR(ISNUMBER(SEARCH("上",D4825)),ISNUMBER(SEARCH("去",D4825)),ISNUMBER(SEARCH("入",D4825)))),"Ambiguous",IF(ISNUMBER(SEARCH("平",D4825)),"平","仄")))</x:f>
        <x:v>平</x:v>
      </x:c>
      <x:c r="L4825" s="7" t="str"/>
    </x:row>
    <x:row r="4826">
      <x:c r="A4826" s="5" t="str">
        <x:v>麗</x:v>
      </x:c>
      <x:c r="B4826" s="6" t="str">
        <x:v>去</x:v>
      </x:c>
      <x:c r="C4826" s="6" t="str">
        <x:f>IF(B4826="","Needs decision","Ready")</x:f>
        <x:v>Ready</x:v>
      </x:c>
      <x:c r="D4826" s="6" t="str">
        <x:v>去</x:v>
      </x:c>
      <x:c r="E4826" s="6" t="str">
        <x:v>lejH (C)</x:v>
      </x:c>
      <x:c r="F4826" s="6" t="str">
        <x:v>上平聲四支; 去聲八霽</x:v>
      </x:c>
      <x:c r="G4826" s="6" t="str">
        <x:v>Pingshui main list, Wikisource-derived DOCX</x:v>
      </x:c>
      <x:c r="H4826" s="6" t="str">
        <x:v>1</x:v>
      </x:c>
      <x:c r="I4826" s="6" t="str"/>
      <x:c r="J4826" s="6" t="str">
        <x:f>IF(B4826="","",IF(AND(ISNUMBER(SEARCH("平",B4826)),OR(ISNUMBER(SEARCH("上",B4826)),ISNUMBER(SEARCH("去",B4826)),ISNUMBER(SEARCH("入",B4826)))),"Ambiguous",IF(ISNUMBER(SEARCH("平",B4826)),"平","仄")))</x:f>
        <x:v>仄</x:v>
      </x:c>
      <x:c r="K4826" s="6" t="str">
        <x:f>IF(D4826="","",IF(AND(ISNUMBER(SEARCH("平",D4826)),OR(ISNUMBER(SEARCH("上",D4826)),ISNUMBER(SEARCH("去",D4826)),ISNUMBER(SEARCH("入",D4826)))),"Ambiguous",IF(ISNUMBER(SEARCH("平",D4826)),"平","仄")))</x:f>
        <x:v>仄</x:v>
      </x:c>
      <x:c r="L4826" s="7" t="str"/>
    </x:row>
    <x:row r="4827">
      <x:c r="A4827" s="5" t="str">
        <x:v>麛</x:v>
      </x:c>
      <x:c r="B4827" s="6" t="str">
        <x:v>平</x:v>
      </x:c>
      <x:c r="C4827" s="6" t="str">
        <x:f>IF(B4827="","Needs decision","Ready")</x:f>
        <x:v>Ready</x:v>
      </x:c>
      <x:c r="D4827" s="6" t="str">
        <x:v>平</x:v>
      </x:c>
      <x:c r="E4827" s="6" t="str">
        <x:v>mej (A)</x:v>
      </x:c>
      <x:c r="F4827" s="6" t="str">
        <x:v>上平聲八齊</x:v>
      </x:c>
      <x:c r="G4827" s="6" t="str">
        <x:v>Pingshui main list, Wikisource-derived DOCX</x:v>
      </x:c>
      <x:c r="H4827" s="6" t="str">
        <x:v>1</x:v>
      </x:c>
      <x:c r="I4827" s="6" t="str"/>
      <x:c r="J4827" s="6" t="str">
        <x:f>IF(B4827="","",IF(AND(ISNUMBER(SEARCH("平",B4827)),OR(ISNUMBER(SEARCH("上",B4827)),ISNUMBER(SEARCH("去",B4827)),ISNUMBER(SEARCH("入",B4827)))),"Ambiguous",IF(ISNUMBER(SEARCH("平",B4827)),"平","仄")))</x:f>
        <x:v>平</x:v>
      </x:c>
      <x:c r="K4827" s="6" t="str">
        <x:f>IF(D4827="","",IF(AND(ISNUMBER(SEARCH("平",D4827)),OR(ISNUMBER(SEARCH("上",D4827)),ISNUMBER(SEARCH("去",D4827)),ISNUMBER(SEARCH("入",D4827)))),"Ambiguous",IF(ISNUMBER(SEARCH("平",D4827)),"平","仄")))</x:f>
        <x:v>平</x:v>
      </x:c>
      <x:c r="L4827" s="7" t="str"/>
    </x:row>
    <x:row r="4828">
      <x:c r="A4828" s="5" t="str">
        <x:v>麝</x:v>
      </x:c>
      <x:c r="B4828" s="6" t="str"/>
      <x:c r="C4828" s="6" t="str">
        <x:f>IF(B4828="","Needs decision","Ready")</x:f>
        <x:v>Needs decision</x:v>
      </x:c>
      <x:c r="D4828" s="6" t="str">
        <x:v>去/入</x:v>
      </x:c>
      <x:c r="E4828" s="6" t="str">
        <x:v>zyaeH [ʑah] (去); zyek [ʑak] (入)</x:v>
      </x:c>
      <x:c r="F4828" s="6" t="str">
        <x:v>去聲二十二禡</x:v>
      </x:c>
      <x:c r="G4828" s="6" t="str">
        <x:v>Pingshui main list, Wikisource-derived DOCX</x:v>
      </x:c>
      <x:c r="H4828" s="6" t="str">
        <x:v>2</x:v>
      </x:c>
      <x:c r="I4828" s="6" t="str">
        <x:v>Tang 300 gap; frequency 1; ambiguous in Xun Gong</x:v>
      </x:c>
      <x:c r="J4828" s="6" t="str">
        <x:f>IF(B4828="","",IF(AND(ISNUMBER(SEARCH("平",B4828)),OR(ISNUMBER(SEARCH("上",B4828)),ISNUMBER(SEARCH("去",B4828)),ISNUMBER(SEARCH("入",B4828)))),"Ambiguous",IF(ISNUMBER(SEARCH("平",B4828)),"平","仄")))</x:f>
      </x:c>
      <x:c r="K4828" s="6" t="str">
        <x:f>IF(D4828="","",IF(AND(ISNUMBER(SEARCH("平",D4828)),OR(ISNUMBER(SEARCH("上",D4828)),ISNUMBER(SEARCH("去",D4828)),ISNUMBER(SEARCH("入",D4828)))),"Ambiguous",IF(ISNUMBER(SEARCH("平",D4828)),"平","仄")))</x:f>
        <x:v>仄</x:v>
      </x:c>
      <x:c r="L4828" s="7" t="str">
        <x:v>Xun Gong, Tang 300 gap fill</x:v>
      </x:c>
    </x:row>
    <x:row r="4829">
      <x:c r="A4829" s="5" t="str">
        <x:v>麟</x:v>
      </x:c>
      <x:c r="B4829" s="6" t="str">
        <x:v>平</x:v>
      </x:c>
      <x:c r="C4829" s="6" t="str">
        <x:f>IF(B4829="","Needs decision","Ready")</x:f>
        <x:v>Ready</x:v>
      </x:c>
      <x:c r="D4829" s="6" t="str">
        <x:v>平</x:v>
      </x:c>
      <x:c r="E4829" s="6" t="str">
        <x:v>lin [lin] (平)</x:v>
      </x:c>
      <x:c r="F4829" s="6" t="str">
        <x:v>上平聲十一真</x:v>
      </x:c>
      <x:c r="G4829" s="6" t="str">
        <x:v>Pingshui main list, Wikisource-derived DOCX</x:v>
      </x:c>
      <x:c r="H4829" s="6" t="str">
        <x:v>1</x:v>
      </x:c>
      <x:c r="I4829" s="6" t="str">
        <x:v>Tang 300 gap; frequency 3; provisional from Xun Gong</x:v>
      </x:c>
      <x:c r="J4829" s="6" t="str">
        <x:f>IF(B4829="","",IF(AND(ISNUMBER(SEARCH("平",B4829)),OR(ISNUMBER(SEARCH("上",B4829)),ISNUMBER(SEARCH("去",B4829)),ISNUMBER(SEARCH("入",B4829)))),"Ambiguous",IF(ISNUMBER(SEARCH("平",B4829)),"平","仄")))</x:f>
        <x:v>平</x:v>
      </x:c>
      <x:c r="K4829" s="6" t="str">
        <x:f>IF(D4829="","",IF(AND(ISNUMBER(SEARCH("平",D4829)),OR(ISNUMBER(SEARCH("上",D4829)),ISNUMBER(SEARCH("去",D4829)),ISNUMBER(SEARCH("入",D4829)))),"Ambiguous",IF(ISNUMBER(SEARCH("平",D4829)),"平","仄")))</x:f>
        <x:v>平</x:v>
      </x:c>
      <x:c r="L4829" s="7" t="str">
        <x:v>Xun Gong, Tang 300 gap fill</x:v>
      </x:c>
    </x:row>
    <x:row r="4830">
      <x:c r="A4830" s="5" t="str">
        <x:v>麤</x:v>
      </x:c>
      <x:c r="B4830" s="6" t="str">
        <x:v>平</x:v>
      </x:c>
      <x:c r="C4830" s="6" t="str">
        <x:f>IF(B4830="","Needs decision","Ready")</x:f>
        <x:v>Ready</x:v>
      </x:c>
      <x:c r="D4830" s="6" t="str">
        <x:v>平</x:v>
      </x:c>
      <x:c r="E4830" s="6" t="str">
        <x:v>tshu [t̙s̙ʰo] (平)</x:v>
      </x:c>
      <x:c r="F4830" s="6" t="str">
        <x:v>上平聲七虞</x:v>
      </x:c>
      <x:c r="G4830" s="6" t="str">
        <x:v>Pingshui main list, Wikisource-derived DOCX</x:v>
      </x:c>
      <x:c r="H4830" s="6" t="str">
        <x:v>1</x:v>
      </x:c>
      <x:c r="I4830" s="6" t="str">
        <x:v>Tang 300 gap; frequency 1; provisional from Xun Gong</x:v>
      </x:c>
      <x:c r="J4830" s="6" t="str">
        <x:f>IF(B4830="","",IF(AND(ISNUMBER(SEARCH("平",B4830)),OR(ISNUMBER(SEARCH("上",B4830)),ISNUMBER(SEARCH("去",B4830)),ISNUMBER(SEARCH("入",B4830)))),"Ambiguous",IF(ISNUMBER(SEARCH("平",B4830)),"平","仄")))</x:f>
        <x:v>平</x:v>
      </x:c>
      <x:c r="K4830" s="6" t="str">
        <x:f>IF(D4830="","",IF(AND(ISNUMBER(SEARCH("平",D4830)),OR(ISNUMBER(SEARCH("上",D4830)),ISNUMBER(SEARCH("去",D4830)),ISNUMBER(SEARCH("入",D4830)))),"Ambiguous",IF(ISNUMBER(SEARCH("平",D4830)),"平","仄")))</x:f>
        <x:v>平</x:v>
      </x:c>
      <x:c r="L4830" s="7" t="str">
        <x:v>Xun Gong, Tang 300 gap fill</x:v>
      </x:c>
    </x:row>
    <x:row r="4831">
      <x:c r="A4831" s="5" t="str">
        <x:v>麥</x:v>
      </x:c>
      <x:c r="B4831" s="6" t="str">
        <x:v>入</x:v>
      </x:c>
      <x:c r="C4831" s="6" t="str">
        <x:f>IF(B4831="","Needs decision","Ready")</x:f>
        <x:v>Ready</x:v>
      </x:c>
      <x:c r="D4831" s="6" t="str">
        <x:v>入</x:v>
      </x:c>
      <x:c r="E4831" s="6" t="str">
        <x:v>meak (D)</x:v>
      </x:c>
      <x:c r="F4831" s="6" t="str">
        <x:v>入聲十一陌</x:v>
      </x:c>
      <x:c r="G4831" s="6" t="str">
        <x:v>Pingshui main list, Wikisource-derived DOCX</x:v>
      </x:c>
      <x:c r="H4831" s="6" t="str">
        <x:v>1</x:v>
      </x:c>
      <x:c r="I4831" s="6" t="str"/>
      <x:c r="J4831" s="6" t="str">
        <x:f>IF(B4831="","",IF(AND(ISNUMBER(SEARCH("平",B4831)),OR(ISNUMBER(SEARCH("上",B4831)),ISNUMBER(SEARCH("去",B4831)),ISNUMBER(SEARCH("入",B4831)))),"Ambiguous",IF(ISNUMBER(SEARCH("平",B4831)),"平","仄")))</x:f>
        <x:v>仄</x:v>
      </x:c>
      <x:c r="K4831" s="6" t="str">
        <x:f>IF(D4831="","",IF(AND(ISNUMBER(SEARCH("平",D4831)),OR(ISNUMBER(SEARCH("上",D4831)),ISNUMBER(SEARCH("去",D4831)),ISNUMBER(SEARCH("入",D4831)))),"Ambiguous",IF(ISNUMBER(SEARCH("平",D4831)),"平","仄")))</x:f>
        <x:v>仄</x:v>
      </x:c>
      <x:c r="L4831" s="7" t="str"/>
    </x:row>
    <x:row r="4832">
      <x:c r="A4832" s="5" t="str">
        <x:v>麻</x:v>
      </x:c>
      <x:c r="B4832" s="6" t="str">
        <x:v>平</x:v>
      </x:c>
      <x:c r="C4832" s="6" t="str">
        <x:f>IF(B4832="","Needs decision","Ready")</x:f>
        <x:v>Ready</x:v>
      </x:c>
      <x:c r="D4832" s="6" t="str">
        <x:v>平</x:v>
      </x:c>
      <x:c r="E4832" s="6" t="str">
        <x:v>mae (A)</x:v>
      </x:c>
      <x:c r="F4832" s="6" t="str">
        <x:v>下平聲六麻</x:v>
      </x:c>
      <x:c r="G4832" s="6" t="str">
        <x:v>Pingshui main list, Wikisource-derived DOCX</x:v>
      </x:c>
      <x:c r="H4832" s="6" t="str">
        <x:v>1</x:v>
      </x:c>
      <x:c r="I4832" s="6" t="str"/>
      <x:c r="J4832" s="6" t="str">
        <x:f>IF(B4832="","",IF(AND(ISNUMBER(SEARCH("平",B4832)),OR(ISNUMBER(SEARCH("上",B4832)),ISNUMBER(SEARCH("去",B4832)),ISNUMBER(SEARCH("入",B4832)))),"Ambiguous",IF(ISNUMBER(SEARCH("平",B4832)),"平","仄")))</x:f>
        <x:v>平</x:v>
      </x:c>
      <x:c r="K4832" s="6" t="str">
        <x:f>IF(D4832="","",IF(AND(ISNUMBER(SEARCH("平",D4832)),OR(ISNUMBER(SEARCH("上",D4832)),ISNUMBER(SEARCH("去",D4832)),ISNUMBER(SEARCH("入",D4832)))),"Ambiguous",IF(ISNUMBER(SEARCH("平",D4832)),"平","仄")))</x:f>
        <x:v>平</x:v>
      </x:c>
      <x:c r="L4832" s="7" t="str"/>
    </x:row>
    <x:row r="4833">
      <x:c r="A4833" s="5" t="str">
        <x:v>麾</x:v>
      </x:c>
      <x:c r="B4833" s="6" t="str">
        <x:v>平</x:v>
      </x:c>
      <x:c r="C4833" s="6" t="str">
        <x:f>IF(B4833="","Needs decision","Ready")</x:f>
        <x:v>Ready</x:v>
      </x:c>
      <x:c r="D4833" s="6" t="str">
        <x:v>平</x:v>
      </x:c>
      <x:c r="E4833" s="6" t="str">
        <x:v>xjwe [xwɨ̯ie] (平)</x:v>
      </x:c>
      <x:c r="F4833" s="6" t="str">
        <x:v>上平聲四支</x:v>
      </x:c>
      <x:c r="G4833" s="6" t="str">
        <x:v>Pingshui main list, Wikisource-derived DOCX</x:v>
      </x:c>
      <x:c r="H4833" s="6" t="str">
        <x:v>1</x:v>
      </x:c>
      <x:c r="I4833" s="6" t="str">
        <x:v>Tang 300 gap; frequency 2; provisional from Xun Gong</x:v>
      </x:c>
      <x:c r="J4833" s="6" t="str">
        <x:f>IF(B4833="","",IF(AND(ISNUMBER(SEARCH("平",B4833)),OR(ISNUMBER(SEARCH("上",B4833)),ISNUMBER(SEARCH("去",B4833)),ISNUMBER(SEARCH("入",B4833)))),"Ambiguous",IF(ISNUMBER(SEARCH("平",B4833)),"平","仄")))</x:f>
        <x:v>平</x:v>
      </x:c>
      <x:c r="K4833" s="6" t="str">
        <x:f>IF(D4833="","",IF(AND(ISNUMBER(SEARCH("平",D4833)),OR(ISNUMBER(SEARCH("上",D4833)),ISNUMBER(SEARCH("去",D4833)),ISNUMBER(SEARCH("入",D4833)))),"Ambiguous",IF(ISNUMBER(SEARCH("平",D4833)),"平","仄")))</x:f>
        <x:v>平</x:v>
      </x:c>
      <x:c r="L4833" s="7" t="str">
        <x:v>Xun Gong, Tang 300 gap fill</x:v>
      </x:c>
    </x:row>
    <x:row r="4834">
      <x:c r="A4834" s="5" t="str">
        <x:v>黃</x:v>
      </x:c>
      <x:c r="B4834" s="6" t="str">
        <x:v>平</x:v>
      </x:c>
      <x:c r="C4834" s="6" t="str">
        <x:f>IF(B4834="","Needs decision","Ready")</x:f>
        <x:v>Ready</x:v>
      </x:c>
      <x:c r="D4834" s="6" t="str">
        <x:v>平</x:v>
      </x:c>
      <x:c r="E4834" s="6" t="str">
        <x:v>hwang (A)</x:v>
      </x:c>
      <x:c r="F4834" s="6" t="str">
        <x:v>下平聲七陽</x:v>
      </x:c>
      <x:c r="G4834" s="6" t="str">
        <x:v>Pingshui main list, Wikisource-derived DOCX</x:v>
      </x:c>
      <x:c r="H4834" s="6" t="str">
        <x:v>1</x:v>
      </x:c>
      <x:c r="I4834" s="6" t="str"/>
      <x:c r="J4834" s="6" t="str">
        <x:f>IF(B4834="","",IF(AND(ISNUMBER(SEARCH("平",B4834)),OR(ISNUMBER(SEARCH("上",B4834)),ISNUMBER(SEARCH("去",B4834)),ISNUMBER(SEARCH("入",B4834)))),"Ambiguous",IF(ISNUMBER(SEARCH("平",B4834)),"平","仄")))</x:f>
        <x:v>平</x:v>
      </x:c>
      <x:c r="K4834" s="6" t="str">
        <x:f>IF(D4834="","",IF(AND(ISNUMBER(SEARCH("平",D4834)),OR(ISNUMBER(SEARCH("上",D4834)),ISNUMBER(SEARCH("去",D4834)),ISNUMBER(SEARCH("入",D4834)))),"Ambiguous",IF(ISNUMBER(SEARCH("平",D4834)),"平","仄")))</x:f>
        <x:v>平</x:v>
      </x:c>
      <x:c r="L4834" s="7" t="str"/>
    </x:row>
    <x:row r="4835">
      <x:c r="A4835" s="5" t="str">
        <x:v>黍</x:v>
      </x:c>
      <x:c r="B4835" s="6" t="str">
        <x:v>上</x:v>
      </x:c>
      <x:c r="C4835" s="6" t="str">
        <x:f>IF(B4835="","Needs decision","Ready")</x:f>
        <x:v>Ready</x:v>
      </x:c>
      <x:c r="D4835" s="6" t="str">
        <x:v>上</x:v>
      </x:c>
      <x:c r="E4835" s="6" t="str">
        <x:v>syoX (B)</x:v>
      </x:c>
      <x:c r="F4835" s="6" t="str">
        <x:v>上聲六語</x:v>
      </x:c>
      <x:c r="G4835" s="6" t="str">
        <x:v>Pingshui main list, Wikisource-derived DOCX</x:v>
      </x:c>
      <x:c r="H4835" s="6" t="str">
        <x:v>1</x:v>
      </x:c>
      <x:c r="I4835" s="6" t="str"/>
      <x:c r="J4835" s="6" t="str">
        <x:f>IF(B4835="","",IF(AND(ISNUMBER(SEARCH("平",B4835)),OR(ISNUMBER(SEARCH("上",B4835)),ISNUMBER(SEARCH("去",B4835)),ISNUMBER(SEARCH("入",B4835)))),"Ambiguous",IF(ISNUMBER(SEARCH("平",B4835)),"平","仄")))</x:f>
        <x:v>仄</x:v>
      </x:c>
      <x:c r="K4835" s="6" t="str">
        <x:f>IF(D4835="","",IF(AND(ISNUMBER(SEARCH("平",D4835)),OR(ISNUMBER(SEARCH("上",D4835)),ISNUMBER(SEARCH("去",D4835)),ISNUMBER(SEARCH("入",D4835)))),"Ambiguous",IF(ISNUMBER(SEARCH("平",D4835)),"平","仄")))</x:f>
        <x:v>仄</x:v>
      </x:c>
      <x:c r="L4835" s="7" t="str"/>
    </x:row>
    <x:row r="4836">
      <x:c r="A4836" s="5" t="str">
        <x:v>黎</x:v>
      </x:c>
      <x:c r="B4836" s="6" t="str">
        <x:v>平</x:v>
      </x:c>
      <x:c r="C4836" s="6" t="str">
        <x:f>IF(B4836="","Needs decision","Ready")</x:f>
        <x:v>Ready</x:v>
      </x:c>
      <x:c r="D4836" s="6" t="str">
        <x:v>平</x:v>
      </x:c>
      <x:c r="E4836" s="6" t="str">
        <x:v>lej (A)</x:v>
      </x:c>
      <x:c r="F4836" s="6" t="str">
        <x:v>上平聲八齊</x:v>
      </x:c>
      <x:c r="G4836" s="6" t="str">
        <x:v>Pingshui main list, Wikisource-derived DOCX</x:v>
      </x:c>
      <x:c r="H4836" s="6" t="str">
        <x:v>1</x:v>
      </x:c>
      <x:c r="I4836" s="6" t="str"/>
      <x:c r="J4836" s="6" t="str">
        <x:f>IF(B4836="","",IF(AND(ISNUMBER(SEARCH("平",B4836)),OR(ISNUMBER(SEARCH("上",B4836)),ISNUMBER(SEARCH("去",B4836)),ISNUMBER(SEARCH("入",B4836)))),"Ambiguous",IF(ISNUMBER(SEARCH("平",B4836)),"平","仄")))</x:f>
        <x:v>平</x:v>
      </x:c>
      <x:c r="K4836" s="6" t="str">
        <x:f>IF(D4836="","",IF(AND(ISNUMBER(SEARCH("平",D4836)),OR(ISNUMBER(SEARCH("上",D4836)),ISNUMBER(SEARCH("去",D4836)),ISNUMBER(SEARCH("入",D4836)))),"Ambiguous",IF(ISNUMBER(SEARCH("平",D4836)),"平","仄")))</x:f>
        <x:v>平</x:v>
      </x:c>
      <x:c r="L4836" s="7" t="str"/>
    </x:row>
    <x:row r="4837">
      <x:c r="A4837" s="5" t="str">
        <x:v>黑</x:v>
      </x:c>
      <x:c r="B4837" s="6" t="str">
        <x:v>入</x:v>
      </x:c>
      <x:c r="C4837" s="6" t="str">
        <x:f>IF(B4837="","Needs decision","Ready")</x:f>
        <x:v>Ready</x:v>
      </x:c>
      <x:c r="D4837" s="6" t="str">
        <x:v>入</x:v>
      </x:c>
      <x:c r="E4837" s="6" t="str">
        <x:v>xok (D)</x:v>
      </x:c>
      <x:c r="F4837" s="6" t="str">
        <x:v>入聲十三職</x:v>
      </x:c>
      <x:c r="G4837" s="6" t="str">
        <x:v>Pingshui main list, Wikisource-derived DOCX</x:v>
      </x:c>
      <x:c r="H4837" s="6" t="str">
        <x:v>1</x:v>
      </x:c>
      <x:c r="I4837" s="6" t="str"/>
      <x:c r="J4837" s="6" t="str">
        <x:f>IF(B4837="","",IF(AND(ISNUMBER(SEARCH("平",B4837)),OR(ISNUMBER(SEARCH("上",B4837)),ISNUMBER(SEARCH("去",B4837)),ISNUMBER(SEARCH("入",B4837)))),"Ambiguous",IF(ISNUMBER(SEARCH("平",B4837)),"平","仄")))</x:f>
        <x:v>仄</x:v>
      </x:c>
      <x:c r="K4837" s="6" t="str">
        <x:f>IF(D4837="","",IF(AND(ISNUMBER(SEARCH("平",D4837)),OR(ISNUMBER(SEARCH("上",D4837)),ISNUMBER(SEARCH("去",D4837)),ISNUMBER(SEARCH("入",D4837)))),"Ambiguous",IF(ISNUMBER(SEARCH("平",D4837)),"平","仄")))</x:f>
        <x:v>仄</x:v>
      </x:c>
      <x:c r="L4837" s="7" t="str"/>
    </x:row>
    <x:row r="4838">
      <x:c r="A4838" s="5" t="str">
        <x:v>黔</x:v>
      </x:c>
      <x:c r="B4838" s="6" t="str">
        <x:v>平</x:v>
      </x:c>
      <x:c r="C4838" s="6" t="str">
        <x:f>IF(B4838="","Needs decision","Ready")</x:f>
        <x:v>Ready</x:v>
      </x:c>
      <x:c r="D4838" s="6" t="str">
        <x:v>平</x:v>
      </x:c>
      <x:c r="E4838" s="6" t="str">
        <x:v>gjem (A)</x:v>
      </x:c>
      <x:c r="F4838" s="6" t="str">
        <x:v>下平聲十二侵; 下平聲十四鹽</x:v>
      </x:c>
      <x:c r="G4838" s="6" t="str">
        <x:v>Pingshui main list, Wikisource-derived DOCX</x:v>
      </x:c>
      <x:c r="H4838" s="6" t="str">
        <x:v>1</x:v>
      </x:c>
      <x:c r="I4838" s="6" t="str"/>
      <x:c r="J4838" s="6" t="str">
        <x:f>IF(B4838="","",IF(AND(ISNUMBER(SEARCH("平",B4838)),OR(ISNUMBER(SEARCH("上",B4838)),ISNUMBER(SEARCH("去",B4838)),ISNUMBER(SEARCH("入",B4838)))),"Ambiguous",IF(ISNUMBER(SEARCH("平",B4838)),"平","仄")))</x:f>
        <x:v>平</x:v>
      </x:c>
      <x:c r="K4838" s="6" t="str">
        <x:f>IF(D4838="","",IF(AND(ISNUMBER(SEARCH("平",D4838)),OR(ISNUMBER(SEARCH("上",D4838)),ISNUMBER(SEARCH("去",D4838)),ISNUMBER(SEARCH("入",D4838)))),"Ambiguous",IF(ISNUMBER(SEARCH("平",D4838)),"平","仄")))</x:f>
        <x:v>平</x:v>
      </x:c>
      <x:c r="L4838" s="7" t="str"/>
    </x:row>
    <x:row r="4839">
      <x:c r="A4839" s="5" t="str">
        <x:v>默</x:v>
      </x:c>
      <x:c r="B4839" s="6" t="str">
        <x:v>入</x:v>
      </x:c>
      <x:c r="C4839" s="6" t="str">
        <x:f>IF(B4839="","Needs decision","Ready")</x:f>
        <x:v>Ready</x:v>
      </x:c>
      <x:c r="D4839" s="6" t="str">
        <x:v>入</x:v>
      </x:c>
      <x:c r="E4839" s="6" t="str">
        <x:v>mok [m̙ək] (入)</x:v>
      </x:c>
      <x:c r="F4839" s="6" t="str">
        <x:v>入聲十三職</x:v>
      </x:c>
      <x:c r="G4839" s="6" t="str">
        <x:v>Pingshui main list, Wikisource-derived DOCX</x:v>
      </x:c>
      <x:c r="H4839" s="6" t="str">
        <x:v>1</x:v>
      </x:c>
      <x:c r="I4839" s="6" t="str">
        <x:v>Tang 300 gap; frequency 3; provisional from Xun Gong</x:v>
      </x:c>
      <x:c r="J4839" s="6" t="str">
        <x:f>IF(B4839="","",IF(AND(ISNUMBER(SEARCH("平",B4839)),OR(ISNUMBER(SEARCH("上",B4839)),ISNUMBER(SEARCH("去",B4839)),ISNUMBER(SEARCH("入",B4839)))),"Ambiguous",IF(ISNUMBER(SEARCH("平",B4839)),"平","仄")))</x:f>
        <x:v>仄</x:v>
      </x:c>
      <x:c r="K4839" s="6" t="str">
        <x:f>IF(D4839="","",IF(AND(ISNUMBER(SEARCH("平",D4839)),OR(ISNUMBER(SEARCH("上",D4839)),ISNUMBER(SEARCH("去",D4839)),ISNUMBER(SEARCH("入",D4839)))),"Ambiguous",IF(ISNUMBER(SEARCH("平",D4839)),"平","仄")))</x:f>
        <x:v>仄</x:v>
      </x:c>
      <x:c r="L4839" s="7" t="str">
        <x:v>Xun Gong, Tang 300 gap fill</x:v>
      </x:c>
    </x:row>
    <x:row r="4840">
      <x:c r="A4840" s="5" t="str">
        <x:v>黛</x:v>
      </x:c>
      <x:c r="B4840" s="6" t="str">
        <x:v>去</x:v>
      </x:c>
      <x:c r="C4840" s="6" t="str">
        <x:f>IF(B4840="","Needs decision","Ready")</x:f>
        <x:v>Ready</x:v>
      </x:c>
      <x:c r="D4840" s="6" t="str">
        <x:v>去</x:v>
      </x:c>
      <x:c r="E4840" s="6" t="str">
        <x:v>dojH [d̙əjh] (去)</x:v>
      </x:c>
      <x:c r="F4840" s="6" t="str">
        <x:v>去聲十一隊</x:v>
      </x:c>
      <x:c r="G4840" s="6" t="str">
        <x:v>Pingshui main list, Wikisource-derived DOCX</x:v>
      </x:c>
      <x:c r="H4840" s="6" t="str">
        <x:v>1</x:v>
      </x:c>
      <x:c r="I4840" s="6" t="str">
        <x:v>Tang 300 gap; frequency 3; provisional from Xun Gong</x:v>
      </x:c>
      <x:c r="J4840" s="6" t="str">
        <x:f>IF(B4840="","",IF(AND(ISNUMBER(SEARCH("平",B4840)),OR(ISNUMBER(SEARCH("上",B4840)),ISNUMBER(SEARCH("去",B4840)),ISNUMBER(SEARCH("入",B4840)))),"Ambiguous",IF(ISNUMBER(SEARCH("平",B4840)),"平","仄")))</x:f>
        <x:v>仄</x:v>
      </x:c>
      <x:c r="K4840" s="6" t="str">
        <x:f>IF(D4840="","",IF(AND(ISNUMBER(SEARCH("平",D4840)),OR(ISNUMBER(SEARCH("上",D4840)),ISNUMBER(SEARCH("去",D4840)),ISNUMBER(SEARCH("入",D4840)))),"Ambiguous",IF(ISNUMBER(SEARCH("平",D4840)),"平","仄")))</x:f>
        <x:v>仄</x:v>
      </x:c>
      <x:c r="L4840" s="7" t="str">
        <x:v>Xun Gong, Tang 300 gap fill</x:v>
      </x:c>
    </x:row>
    <x:row r="4841">
      <x:c r="A4841" s="5" t="str">
        <x:v>黜</x:v>
      </x:c>
      <x:c r="B4841" s="6" t="str">
        <x:v>入</x:v>
      </x:c>
      <x:c r="C4841" s="6" t="str">
        <x:f>IF(B4841="","Needs decision","Ready")</x:f>
        <x:v>Ready</x:v>
      </x:c>
      <x:c r="D4841" s="6" t="str">
        <x:v>入</x:v>
      </x:c>
      <x:c r="E4841" s="6" t="str">
        <x:v>trhwit (D)</x:v>
      </x:c>
      <x:c r="F4841" s="6" t="str">
        <x:v>入聲四質</x:v>
      </x:c>
      <x:c r="G4841" s="6" t="str">
        <x:v>Pingshui main list, Wikisource-derived DOCX</x:v>
      </x:c>
      <x:c r="H4841" s="6" t="str">
        <x:v>1</x:v>
      </x:c>
      <x:c r="I4841" s="6" t="str"/>
      <x:c r="J4841" s="6" t="str">
        <x:f>IF(B4841="","",IF(AND(ISNUMBER(SEARCH("平",B4841)),OR(ISNUMBER(SEARCH("上",B4841)),ISNUMBER(SEARCH("去",B4841)),ISNUMBER(SEARCH("入",B4841)))),"Ambiguous",IF(ISNUMBER(SEARCH("平",B4841)),"平","仄")))</x:f>
        <x:v>仄</x:v>
      </x:c>
      <x:c r="K4841" s="6" t="str">
        <x:f>IF(D4841="","",IF(AND(ISNUMBER(SEARCH("平",D4841)),OR(ISNUMBER(SEARCH("上",D4841)),ISNUMBER(SEARCH("去",D4841)),ISNUMBER(SEARCH("入",D4841)))),"Ambiguous",IF(ISNUMBER(SEARCH("平",D4841)),"平","仄")))</x:f>
        <x:v>仄</x:v>
      </x:c>
      <x:c r="L4841" s="7" t="str"/>
    </x:row>
    <x:row r="4842">
      <x:c r="A4842" s="5" t="str">
        <x:v>點</x:v>
      </x:c>
      <x:c r="B4842" s="6" t="str">
        <x:v>上</x:v>
      </x:c>
      <x:c r="C4842" s="6" t="str">
        <x:f>IF(B4842="","Needs decision","Ready")</x:f>
        <x:v>Ready</x:v>
      </x:c>
      <x:c r="D4842" s="6" t="str">
        <x:v>上</x:v>
      </x:c>
      <x:c r="E4842" s="6" t="str">
        <x:v>temX (B)</x:v>
      </x:c>
      <x:c r="F4842" s="6" t="str">
        <x:v>上聲二十八琰</x:v>
      </x:c>
      <x:c r="G4842" s="6" t="str">
        <x:v>Pingshui main list, Wikisource-derived DOCX</x:v>
      </x:c>
      <x:c r="H4842" s="6" t="str">
        <x:v>1</x:v>
      </x:c>
      <x:c r="I4842" s="6" t="str"/>
      <x:c r="J4842" s="6" t="str">
        <x:f>IF(B4842="","",IF(AND(ISNUMBER(SEARCH("平",B4842)),OR(ISNUMBER(SEARCH("上",B4842)),ISNUMBER(SEARCH("去",B4842)),ISNUMBER(SEARCH("入",B4842)))),"Ambiguous",IF(ISNUMBER(SEARCH("平",B4842)),"平","仄")))</x:f>
        <x:v>仄</x:v>
      </x:c>
      <x:c r="K4842" s="6" t="str">
        <x:f>IF(D4842="","",IF(AND(ISNUMBER(SEARCH("平",D4842)),OR(ISNUMBER(SEARCH("上",D4842)),ISNUMBER(SEARCH("去",D4842)),ISNUMBER(SEARCH("入",D4842)))),"Ambiguous",IF(ISNUMBER(SEARCH("平",D4842)),"平","仄")))</x:f>
        <x:v>仄</x:v>
      </x:c>
      <x:c r="L4842" s="7" t="str"/>
    </x:row>
    <x:row r="4843">
      <x:c r="A4843" s="5" t="str">
        <x:v>黠</x:v>
      </x:c>
      <x:c r="B4843" s="6" t="str">
        <x:v>入</x:v>
      </x:c>
      <x:c r="C4843" s="6" t="str">
        <x:f>IF(B4843="","Needs decision","Ready")</x:f>
        <x:v>Ready</x:v>
      </x:c>
      <x:c r="D4843" s="6" t="str">
        <x:v>入</x:v>
      </x:c>
      <x:c r="E4843" s="6" t="str">
        <x:v>heat (D)</x:v>
      </x:c>
      <x:c r="F4843" s="6" t="str">
        <x:v>入聲八黠</x:v>
      </x:c>
      <x:c r="G4843" s="6" t="str">
        <x:v>Pingshui main list, Wikisource-derived DOCX</x:v>
      </x:c>
      <x:c r="H4843" s="6" t="str">
        <x:v>1</x:v>
      </x:c>
      <x:c r="I4843" s="6" t="str"/>
      <x:c r="J4843" s="6" t="str">
        <x:f>IF(B4843="","",IF(AND(ISNUMBER(SEARCH("平",B4843)),OR(ISNUMBER(SEARCH("上",B4843)),ISNUMBER(SEARCH("去",B4843)),ISNUMBER(SEARCH("入",B4843)))),"Ambiguous",IF(ISNUMBER(SEARCH("平",B4843)),"平","仄")))</x:f>
        <x:v>仄</x:v>
      </x:c>
      <x:c r="K4843" s="6" t="str">
        <x:f>IF(D4843="","",IF(AND(ISNUMBER(SEARCH("平",D4843)),OR(ISNUMBER(SEARCH("上",D4843)),ISNUMBER(SEARCH("去",D4843)),ISNUMBER(SEARCH("入",D4843)))),"Ambiguous",IF(ISNUMBER(SEARCH("平",D4843)),"平","仄")))</x:f>
        <x:v>仄</x:v>
      </x:c>
      <x:c r="L4843" s="7" t="str"/>
    </x:row>
    <x:row r="4844">
      <x:c r="A4844" s="5" t="str">
        <x:v>黨</x:v>
      </x:c>
      <x:c r="B4844" s="6" t="str">
        <x:v>上</x:v>
      </x:c>
      <x:c r="C4844" s="6" t="str">
        <x:f>IF(B4844="","Needs decision","Ready")</x:f>
        <x:v>Ready</x:v>
      </x:c>
      <x:c r="D4844" s="6" t="str">
        <x:v>上</x:v>
      </x:c>
      <x:c r="E4844" s="6" t="str">
        <x:v>tangX (B)</x:v>
      </x:c>
      <x:c r="F4844" s="6" t="str">
        <x:v>上聲二十二養</x:v>
      </x:c>
      <x:c r="G4844" s="6" t="str">
        <x:v>Pingshui main list, Wikisource-derived DOCX</x:v>
      </x:c>
      <x:c r="H4844" s="6" t="str">
        <x:v>1</x:v>
      </x:c>
      <x:c r="I4844" s="6" t="str"/>
      <x:c r="J4844" s="6" t="str">
        <x:f>IF(B4844="","",IF(AND(ISNUMBER(SEARCH("平",B4844)),OR(ISNUMBER(SEARCH("上",B4844)),ISNUMBER(SEARCH("去",B4844)),ISNUMBER(SEARCH("入",B4844)))),"Ambiguous",IF(ISNUMBER(SEARCH("平",B4844)),"平","仄")))</x:f>
        <x:v>仄</x:v>
      </x:c>
      <x:c r="K4844" s="6" t="str">
        <x:f>IF(D4844="","",IF(AND(ISNUMBER(SEARCH("平",D4844)),OR(ISNUMBER(SEARCH("上",D4844)),ISNUMBER(SEARCH("去",D4844)),ISNUMBER(SEARCH("入",D4844)))),"Ambiguous",IF(ISNUMBER(SEARCH("平",D4844)),"平","仄")))</x:f>
        <x:v>仄</x:v>
      </x:c>
      <x:c r="L4844" s="7" t="str"/>
    </x:row>
    <x:row r="4845">
      <x:c r="A4845" s="5" t="str">
        <x:v>黬</x:v>
      </x:c>
      <x:c r="B4845" s="6" t="str">
        <x:v>平</x:v>
      </x:c>
      <x:c r="C4845" s="6" t="str">
        <x:f>IF(B4845="","Needs decision","Ready")</x:f>
        <x:v>Ready</x:v>
      </x:c>
      <x:c r="D4845" s="6" t="str">
        <x:v>平</x:v>
      </x:c>
      <x:c r="E4845" s="6" t="str">
        <x:v>keam (A)</x:v>
      </x:c>
      <x:c r="F4845" s="6" t="str"/>
      <x:c r="G4845" s="6" t="str"/>
      <x:c r="H4845" s="6" t="str">
        <x:v>1</x:v>
      </x:c>
      <x:c r="I4845" s="6" t="str"/>
      <x:c r="J4845" s="6" t="str">
        <x:f>IF(B4845="","",IF(AND(ISNUMBER(SEARCH("平",B4845)),OR(ISNUMBER(SEARCH("上",B4845)),ISNUMBER(SEARCH("去",B4845)),ISNUMBER(SEARCH("入",B4845)))),"Ambiguous",IF(ISNUMBER(SEARCH("平",B4845)),"平","仄")))</x:f>
        <x:v>平</x:v>
      </x:c>
      <x:c r="K4845" s="6" t="str">
        <x:f>IF(D4845="","",IF(AND(ISNUMBER(SEARCH("平",D4845)),OR(ISNUMBER(SEARCH("上",D4845)),ISNUMBER(SEARCH("去",D4845)),ISNUMBER(SEARCH("入",D4845)))),"Ambiguous",IF(ISNUMBER(SEARCH("平",D4845)),"平","仄")))</x:f>
        <x:v>平</x:v>
      </x:c>
      <x:c r="L4845" s="7" t="str"/>
    </x:row>
    <x:row r="4846">
      <x:c r="A4846" s="5" t="str">
        <x:v>黯</x:v>
      </x:c>
      <x:c r="B4846" s="6" t="str">
        <x:v>上</x:v>
      </x:c>
      <x:c r="C4846" s="6" t="str">
        <x:f>IF(B4846="","Needs decision","Ready")</x:f>
        <x:v>Ready</x:v>
      </x:c>
      <x:c r="D4846" s="6" t="str">
        <x:v>平/上</x:v>
      </x:c>
      <x:c r="E4846" s="6" t="str">
        <x:v>'eam [ʔ̙eˤm] (平); 'eamX [ʔ̙eˤmʔ] (上)</x:v>
      </x:c>
      <x:c r="F4846" s="6" t="str">
        <x:v>上聲二十九豏</x:v>
      </x:c>
      <x:c r="G4846" s="6" t="str">
        <x:v>Pingshui main list, Wikisource-derived DOCX</x:v>
      </x:c>
      <x:c r="H4846" s="6" t="str">
        <x:v>2</x:v>
      </x:c>
      <x:c r="I4846" s="6" t="str">
        <x:v>Tang 300 gap; frequency 6; ambiguous in Xun Gong</x:v>
      </x:c>
      <x:c r="J4846" s="6" t="str">
        <x:f>IF(B4846="","",IF(AND(ISNUMBER(SEARCH("平",B4846)),OR(ISNUMBER(SEARCH("上",B4846)),ISNUMBER(SEARCH("去",B4846)),ISNUMBER(SEARCH("入",B4846)))),"Ambiguous",IF(ISNUMBER(SEARCH("平",B4846)),"平","仄")))</x:f>
        <x:v>仄</x:v>
      </x:c>
      <x:c r="K4846" s="6" t="str">
        <x:f>IF(D4846="","",IF(AND(ISNUMBER(SEARCH("平",D4846)),OR(ISNUMBER(SEARCH("上",D4846)),ISNUMBER(SEARCH("去",D4846)),ISNUMBER(SEARCH("入",D4846)))),"Ambiguous",IF(ISNUMBER(SEARCH("平",D4846)),"平","仄")))</x:f>
        <x:v>Ambiguous</x:v>
      </x:c>
      <x:c r="L4846" s="7" t="str">
        <x:v>Xun Gong, Tang 300 gap fill</x:v>
      </x:c>
    </x:row>
    <x:row r="4847">
      <x:c r="A4847" s="5" t="str">
        <x:v>黹</x:v>
      </x:c>
      <x:c r="B4847" s="6" t="str">
        <x:v>上</x:v>
      </x:c>
      <x:c r="C4847" s="6" t="str">
        <x:f>IF(B4847="","Needs decision","Ready")</x:f>
        <x:v>Ready</x:v>
      </x:c>
      <x:c r="D4847" s="6" t="str">
        <x:v>上</x:v>
      </x:c>
      <x:c r="E4847" s="6" t="str">
        <x:v>trijX (B)</x:v>
      </x:c>
      <x:c r="F4847" s="6" t="str"/>
      <x:c r="G4847" s="6" t="str"/>
      <x:c r="H4847" s="6" t="str">
        <x:v>1</x:v>
      </x:c>
      <x:c r="I4847" s="6" t="str"/>
      <x:c r="J4847" s="6" t="str">
        <x:f>IF(B4847="","",IF(AND(ISNUMBER(SEARCH("平",B4847)),OR(ISNUMBER(SEARCH("上",B4847)),ISNUMBER(SEARCH("去",B4847)),ISNUMBER(SEARCH("入",B4847)))),"Ambiguous",IF(ISNUMBER(SEARCH("平",B4847)),"平","仄")))</x:f>
        <x:v>仄</x:v>
      </x:c>
      <x:c r="K4847" s="6" t="str">
        <x:f>IF(D4847="","",IF(AND(ISNUMBER(SEARCH("平",D4847)),OR(ISNUMBER(SEARCH("上",D4847)),ISNUMBER(SEARCH("去",D4847)),ISNUMBER(SEARCH("入",D4847)))),"Ambiguous",IF(ISNUMBER(SEARCH("平",D4847)),"平","仄")))</x:f>
        <x:v>仄</x:v>
      </x:c>
      <x:c r="L4847" s="7" t="str"/>
    </x:row>
    <x:row r="4848">
      <x:c r="A4848" s="5" t="str">
        <x:v>黻</x:v>
      </x:c>
      <x:c r="B4848" s="6" t="str">
        <x:v>入</x:v>
      </x:c>
      <x:c r="C4848" s="6" t="str">
        <x:f>IF(B4848="","Needs decision","Ready")</x:f>
        <x:v>Ready</x:v>
      </x:c>
      <x:c r="D4848" s="6" t="str">
        <x:v>入</x:v>
      </x:c>
      <x:c r="E4848" s="6" t="str">
        <x:v>pjut [幫三C文入] pɨ̯ut</x:v>
      </x:c>
      <x:c r="F4848" s="6" t="str">
        <x:v>入聲五物</x:v>
      </x:c>
      <x:c r="G4848" s="6" t="str">
        <x:v>Pingshui main list, Wikisource-derived DOCX</x:v>
      </x:c>
      <x:c r="H4848" s="6" t="str">
        <x:v>1</x:v>
      </x:c>
      <x:c r="I4848" s="6" t="str">
        <x:v>Targeted preliminary fill from Xun Gong; review if uncertain</x:v>
      </x:c>
      <x:c r="J4848" s="6" t="str">
        <x:f>IF(B4848="","",IF(AND(ISNUMBER(SEARCH("平",B4848)),OR(ISNUMBER(SEARCH("上",B4848)),ISNUMBER(SEARCH("去",B4848)),ISNUMBER(SEARCH("入",B4848)))),"Ambiguous",IF(ISNUMBER(SEARCH("平",B4848)),"平","仄")))</x:f>
        <x:v>仄</x:v>
      </x:c>
      <x:c r="K4848" s="6" t="str">
        <x:f>IF(D4848="","",IF(AND(ISNUMBER(SEARCH("平",D4848)),OR(ISNUMBER(SEARCH("上",D4848)),ISNUMBER(SEARCH("去",D4848)),ISNUMBER(SEARCH("入",D4848)))),"Ambiguous",IF(ISNUMBER(SEARCH("平",D4848)),"平","仄")))</x:f>
        <x:v>仄</x:v>
      </x:c>
      <x:c r="L4848" s="7" t="str">
        <x:v>Xun Gong character-readings.csv</x:v>
      </x:c>
    </x:row>
    <x:row r="4849">
      <x:c r="A4849" s="5" t="str">
        <x:v>黽</x:v>
      </x:c>
      <x:c r="B4849" s="6" t="str">
        <x:v>上</x:v>
      </x:c>
      <x:c r="C4849" s="6" t="str">
        <x:f>IF(B4849="","Needs decision","Ready")</x:f>
        <x:v>Ready</x:v>
      </x:c>
      <x:c r="D4849" s="6" t="str">
        <x:v>上</x:v>
      </x:c>
      <x:c r="E4849" s="6" t="str">
        <x:v>meangX (B)</x:v>
      </x:c>
      <x:c r="F4849" s="6" t="str">
        <x:v>上聲十一軫; 上聲十六銑; 上聲二十三梗</x:v>
      </x:c>
      <x:c r="G4849" s="6" t="str">
        <x:v>Pingshui main list, Wikisource-derived DOCX</x:v>
      </x:c>
      <x:c r="H4849" s="6" t="str">
        <x:v>1</x:v>
      </x:c>
      <x:c r="I4849" s="6" t="str"/>
      <x:c r="J4849" s="6" t="str">
        <x:f>IF(B4849="","",IF(AND(ISNUMBER(SEARCH("平",B4849)),OR(ISNUMBER(SEARCH("上",B4849)),ISNUMBER(SEARCH("去",B4849)),ISNUMBER(SEARCH("入",B4849)))),"Ambiguous",IF(ISNUMBER(SEARCH("平",B4849)),"平","仄")))</x:f>
        <x:v>仄</x:v>
      </x:c>
      <x:c r="K4849" s="6" t="str">
        <x:f>IF(D4849="","",IF(AND(ISNUMBER(SEARCH("平",D4849)),OR(ISNUMBER(SEARCH("上",D4849)),ISNUMBER(SEARCH("去",D4849)),ISNUMBER(SEARCH("入",D4849)))),"Ambiguous",IF(ISNUMBER(SEARCH("平",D4849)),"平","仄")))</x:f>
        <x:v>仄</x:v>
      </x:c>
      <x:c r="L4849" s="7" t="str"/>
    </x:row>
    <x:row r="4850">
      <x:c r="A4850" s="5" t="str">
        <x:v>鼃</x:v>
      </x:c>
      <x:c r="B4850" s="6" t="str">
        <x:v>平</x:v>
      </x:c>
      <x:c r="C4850" s="6" t="str">
        <x:f>IF(B4850="","Needs decision","Ready")</x:f>
        <x:v>Ready</x:v>
      </x:c>
      <x:c r="D4850" s="6" t="str">
        <x:v>平</x:v>
      </x:c>
      <x:c r="E4850" s="6" t="str">
        <x:v>'wae (A); 'wea (A); hwae (A); hwea (A)</x:v>
      </x:c>
      <x:c r="F4850" s="6" t="str"/>
      <x:c r="G4850" s="6" t="str"/>
      <x:c r="H4850" s="6" t="str">
        <x:v>4</x:v>
      </x:c>
      <x:c r="I4850" s="6" t="str"/>
      <x:c r="J4850" s="6" t="str">
        <x:f>IF(B4850="","",IF(AND(ISNUMBER(SEARCH("平",B4850)),OR(ISNUMBER(SEARCH("上",B4850)),ISNUMBER(SEARCH("去",B4850)),ISNUMBER(SEARCH("入",B4850)))),"Ambiguous",IF(ISNUMBER(SEARCH("平",B4850)),"平","仄")))</x:f>
        <x:v>平</x:v>
      </x:c>
      <x:c r="K4850" s="6" t="str">
        <x:f>IF(D4850="","",IF(AND(ISNUMBER(SEARCH("平",D4850)),OR(ISNUMBER(SEARCH("上",D4850)),ISNUMBER(SEARCH("去",D4850)),ISNUMBER(SEARCH("入",D4850)))),"Ambiguous",IF(ISNUMBER(SEARCH("平",D4850)),"平","仄")))</x:f>
        <x:v>平</x:v>
      </x:c>
      <x:c r="L4850" s="7" t="str"/>
    </x:row>
    <x:row r="4851">
      <x:c r="A4851" s="5" t="str">
        <x:v>鼇</x:v>
      </x:c>
      <x:c r="B4851" s="6" t="str">
        <x:v>平</x:v>
      </x:c>
      <x:c r="C4851" s="6" t="str">
        <x:f>IF(B4851="","Needs decision","Ready")</x:f>
        <x:v>Ready</x:v>
      </x:c>
      <x:c r="D4851" s="6" t="str">
        <x:v>平</x:v>
      </x:c>
      <x:c r="E4851" s="6" t="str">
        <x:v>ngaw [ɴəw] (平)</x:v>
      </x:c>
      <x:c r="F4851" s="6" t="str">
        <x:v>下平聲四豪</x:v>
      </x:c>
      <x:c r="G4851" s="6" t="str">
        <x:v>Pingshui main list, Wikisource-derived DOCX</x:v>
      </x:c>
      <x:c r="H4851" s="6" t="str">
        <x:v>1</x:v>
      </x:c>
      <x:c r="I4851" s="6" t="str">
        <x:v>Tang 300 gap; frequency 1; provisional from Xun Gong</x:v>
      </x:c>
      <x:c r="J4851" s="6" t="str">
        <x:f>IF(B4851="","",IF(AND(ISNUMBER(SEARCH("平",B4851)),OR(ISNUMBER(SEARCH("上",B4851)),ISNUMBER(SEARCH("去",B4851)),ISNUMBER(SEARCH("入",B4851)))),"Ambiguous",IF(ISNUMBER(SEARCH("平",B4851)),"平","仄")))</x:f>
        <x:v>平</x:v>
      </x:c>
      <x:c r="K4851" s="6" t="str">
        <x:f>IF(D4851="","",IF(AND(ISNUMBER(SEARCH("平",D4851)),OR(ISNUMBER(SEARCH("上",D4851)),ISNUMBER(SEARCH("去",D4851)),ISNUMBER(SEARCH("入",D4851)))),"Ambiguous",IF(ISNUMBER(SEARCH("平",D4851)),"平","仄")))</x:f>
        <x:v>平</x:v>
      </x:c>
      <x:c r="L4851" s="7" t="str">
        <x:v>Xun Gong, Tang 300 gap fill</x:v>
      </x:c>
    </x:row>
    <x:row r="4852">
      <x:c r="A4852" s="5" t="str">
        <x:v>鼉</x:v>
      </x:c>
      <x:c r="B4852" s="6" t="str">
        <x:v>平</x:v>
      </x:c>
      <x:c r="C4852" s="6" t="str">
        <x:f>IF(B4852="","Needs decision","Ready")</x:f>
        <x:v>Ready</x:v>
      </x:c>
      <x:c r="D4852" s="6" t="str">
        <x:v>平</x:v>
      </x:c>
      <x:c r="E4852" s="6" t="str">
        <x:v>da (A); dan (A)</x:v>
      </x:c>
      <x:c r="F4852" s="6" t="str"/>
      <x:c r="G4852" s="6" t="str"/>
      <x:c r="H4852" s="6" t="str">
        <x:v>2</x:v>
      </x:c>
      <x:c r="I4852" s="6" t="str"/>
      <x:c r="J4852" s="6" t="str">
        <x:f>IF(B4852="","",IF(AND(ISNUMBER(SEARCH("平",B4852)),OR(ISNUMBER(SEARCH("上",B4852)),ISNUMBER(SEARCH("去",B4852)),ISNUMBER(SEARCH("入",B4852)))),"Ambiguous",IF(ISNUMBER(SEARCH("平",B4852)),"平","仄")))</x:f>
        <x:v>平</x:v>
      </x:c>
      <x:c r="K4852" s="6" t="str">
        <x:f>IF(D4852="","",IF(AND(ISNUMBER(SEARCH("平",D4852)),OR(ISNUMBER(SEARCH("上",D4852)),ISNUMBER(SEARCH("去",D4852)),ISNUMBER(SEARCH("入",D4852)))),"Ambiguous",IF(ISNUMBER(SEARCH("平",D4852)),"平","仄")))</x:f>
        <x:v>平</x:v>
      </x:c>
      <x:c r="L4852" s="7" t="str"/>
    </x:row>
    <x:row r="4853">
      <x:c r="A4853" s="5" t="str">
        <x:v>鼎</x:v>
      </x:c>
      <x:c r="B4853" s="6" t="str">
        <x:v>上</x:v>
      </x:c>
      <x:c r="C4853" s="6" t="str">
        <x:f>IF(B4853="","Needs decision","Ready")</x:f>
        <x:v>Ready</x:v>
      </x:c>
      <x:c r="D4853" s="6" t="str">
        <x:v>上</x:v>
      </x:c>
      <x:c r="E4853" s="6" t="str">
        <x:v>tengX (B)</x:v>
      </x:c>
      <x:c r="F4853" s="6" t="str">
        <x:v>上聲二十四迥</x:v>
      </x:c>
      <x:c r="G4853" s="6" t="str">
        <x:v>Pingshui main list, Wikisource-derived DOCX</x:v>
      </x:c>
      <x:c r="H4853" s="6" t="str">
        <x:v>1</x:v>
      </x:c>
      <x:c r="I4853" s="6" t="str"/>
      <x:c r="J4853" s="6" t="str">
        <x:f>IF(B4853="","",IF(AND(ISNUMBER(SEARCH("平",B4853)),OR(ISNUMBER(SEARCH("上",B4853)),ISNUMBER(SEARCH("去",B4853)),ISNUMBER(SEARCH("入",B4853)))),"Ambiguous",IF(ISNUMBER(SEARCH("平",B4853)),"平","仄")))</x:f>
        <x:v>仄</x:v>
      </x:c>
      <x:c r="K4853" s="6" t="str">
        <x:f>IF(D4853="","",IF(AND(ISNUMBER(SEARCH("平",D4853)),OR(ISNUMBER(SEARCH("上",D4853)),ISNUMBER(SEARCH("去",D4853)),ISNUMBER(SEARCH("入",D4853)))),"Ambiguous",IF(ISNUMBER(SEARCH("平",D4853)),"平","仄")))</x:f>
        <x:v>仄</x:v>
      </x:c>
      <x:c r="L4853" s="7" t="str"/>
    </x:row>
    <x:row r="4854">
      <x:c r="A4854" s="5" t="str">
        <x:v>鼓</x:v>
      </x:c>
      <x:c r="B4854" s="6" t="str">
        <x:v>上</x:v>
      </x:c>
      <x:c r="C4854" s="6" t="str">
        <x:f>IF(B4854="","Needs decision","Ready")</x:f>
        <x:v>Ready</x:v>
      </x:c>
      <x:c r="D4854" s="6" t="str">
        <x:v>上</x:v>
      </x:c>
      <x:c r="E4854" s="6" t="str">
        <x:v>kuX (B)</x:v>
      </x:c>
      <x:c r="F4854" s="6" t="str">
        <x:v>上聲七麌</x:v>
      </x:c>
      <x:c r="G4854" s="6" t="str">
        <x:v>Pingshui main list, Wikisource-derived DOCX</x:v>
      </x:c>
      <x:c r="H4854" s="6" t="str">
        <x:v>1</x:v>
      </x:c>
      <x:c r="I4854" s="6" t="str"/>
      <x:c r="J4854" s="6" t="str">
        <x:f>IF(B4854="","",IF(AND(ISNUMBER(SEARCH("平",B4854)),OR(ISNUMBER(SEARCH("上",B4854)),ISNUMBER(SEARCH("去",B4854)),ISNUMBER(SEARCH("入",B4854)))),"Ambiguous",IF(ISNUMBER(SEARCH("平",B4854)),"平","仄")))</x:f>
        <x:v>仄</x:v>
      </x:c>
      <x:c r="K4854" s="6" t="str">
        <x:f>IF(D4854="","",IF(AND(ISNUMBER(SEARCH("平",D4854)),OR(ISNUMBER(SEARCH("上",D4854)),ISNUMBER(SEARCH("去",D4854)),ISNUMBER(SEARCH("入",D4854)))),"Ambiguous",IF(ISNUMBER(SEARCH("平",D4854)),"平","仄")))</x:f>
        <x:v>仄</x:v>
      </x:c>
      <x:c r="L4854" s="7" t="str"/>
    </x:row>
    <x:row r="4855">
      <x:c r="A4855" s="5" t="str">
        <x:v>鼔</x:v>
      </x:c>
      <x:c r="B4855" s="6" t="str">
        <x:v>上</x:v>
      </x:c>
      <x:c r="C4855" s="6" t="str">
        <x:f>IF(B4855="","Needs decision","Ready")</x:f>
        <x:v>Ready</x:v>
      </x:c>
      <x:c r="D4855" s="6" t="str">
        <x:v>上</x:v>
      </x:c>
      <x:c r="E4855" s="6" t="str">
        <x:v>kuX (B)</x:v>
      </x:c>
      <x:c r="F4855" s="6" t="str"/>
      <x:c r="G4855" s="6" t="str"/>
      <x:c r="H4855" s="6" t="str">
        <x:v>1</x:v>
      </x:c>
      <x:c r="I4855" s="6" t="str"/>
      <x:c r="J4855" s="6" t="str">
        <x:f>IF(B4855="","",IF(AND(ISNUMBER(SEARCH("平",B4855)),OR(ISNUMBER(SEARCH("上",B4855)),ISNUMBER(SEARCH("去",B4855)),ISNUMBER(SEARCH("入",B4855)))),"Ambiguous",IF(ISNUMBER(SEARCH("平",B4855)),"平","仄")))</x:f>
        <x:v>仄</x:v>
      </x:c>
      <x:c r="K4855" s="6" t="str">
        <x:f>IF(D4855="","",IF(AND(ISNUMBER(SEARCH("平",D4855)),OR(ISNUMBER(SEARCH("上",D4855)),ISNUMBER(SEARCH("去",D4855)),ISNUMBER(SEARCH("入",D4855)))),"Ambiguous",IF(ISNUMBER(SEARCH("平",D4855)),"平","仄")))</x:f>
        <x:v>仄</x:v>
      </x:c>
      <x:c r="L4855" s="7" t="str"/>
    </x:row>
    <x:row r="4856">
      <x:c r="A4856" s="5" t="str">
        <x:v>鼙</x:v>
      </x:c>
      <x:c r="B4856" s="6" t="str">
        <x:v>平</x:v>
      </x:c>
      <x:c r="C4856" s="6" t="str">
        <x:f>IF(B4856="","Needs decision","Ready")</x:f>
        <x:v>Ready</x:v>
      </x:c>
      <x:c r="D4856" s="6" t="str">
        <x:v>平</x:v>
      </x:c>
      <x:c r="E4856" s="6" t="str">
        <x:v>bej (A)</x:v>
      </x:c>
      <x:c r="F4856" s="6" t="str">
        <x:v>上平聲八齊</x:v>
      </x:c>
      <x:c r="G4856" s="6" t="str">
        <x:v>Pingshui main list, Wikisource-derived DOCX</x:v>
      </x:c>
      <x:c r="H4856" s="6" t="str">
        <x:v>1</x:v>
      </x:c>
      <x:c r="I4856" s="6" t="str"/>
      <x:c r="J4856" s="6" t="str">
        <x:f>IF(B4856="","",IF(AND(ISNUMBER(SEARCH("平",B4856)),OR(ISNUMBER(SEARCH("上",B4856)),ISNUMBER(SEARCH("去",B4856)),ISNUMBER(SEARCH("入",B4856)))),"Ambiguous",IF(ISNUMBER(SEARCH("平",B4856)),"平","仄")))</x:f>
        <x:v>平</x:v>
      </x:c>
      <x:c r="K4856" s="6" t="str">
        <x:f>IF(D4856="","",IF(AND(ISNUMBER(SEARCH("平",D4856)),OR(ISNUMBER(SEARCH("上",D4856)),ISNUMBER(SEARCH("去",D4856)),ISNUMBER(SEARCH("入",D4856)))),"Ambiguous",IF(ISNUMBER(SEARCH("平",D4856)),"平","仄")))</x:f>
        <x:v>平</x:v>
      </x:c>
      <x:c r="L4856" s="7" t="str"/>
    </x:row>
    <x:row r="4857">
      <x:c r="A4857" s="5" t="str">
        <x:v>鼛</x:v>
      </x:c>
      <x:c r="B4857" s="6" t="str">
        <x:v>平</x:v>
      </x:c>
      <x:c r="C4857" s="6" t="str">
        <x:f>IF(B4857="","Needs decision","Ready")</x:f>
        <x:v>Ready</x:v>
      </x:c>
      <x:c r="D4857" s="6" t="str">
        <x:v>平</x:v>
      </x:c>
      <x:c r="E4857" s="6" t="str">
        <x:v>kaw (A)</x:v>
      </x:c>
      <x:c r="F4857" s="6" t="str">
        <x:v>下平聲四豪</x:v>
      </x:c>
      <x:c r="G4857" s="6" t="str">
        <x:v>Pingshui main list, Wikisource-derived DOCX</x:v>
      </x:c>
      <x:c r="H4857" s="6" t="str">
        <x:v>1</x:v>
      </x:c>
      <x:c r="I4857" s="6" t="str"/>
      <x:c r="J4857" s="6" t="str">
        <x:f>IF(B4857="","",IF(AND(ISNUMBER(SEARCH("平",B4857)),OR(ISNUMBER(SEARCH("上",B4857)),ISNUMBER(SEARCH("去",B4857)),ISNUMBER(SEARCH("入",B4857)))),"Ambiguous",IF(ISNUMBER(SEARCH("平",B4857)),"平","仄")))</x:f>
        <x:v>平</x:v>
      </x:c>
      <x:c r="K4857" s="6" t="str">
        <x:f>IF(D4857="","",IF(AND(ISNUMBER(SEARCH("平",D4857)),OR(ISNUMBER(SEARCH("上",D4857)),ISNUMBER(SEARCH("去",D4857)),ISNUMBER(SEARCH("入",D4857)))),"Ambiguous",IF(ISNUMBER(SEARCH("平",D4857)),"平","仄")))</x:f>
        <x:v>平</x:v>
      </x:c>
      <x:c r="L4857" s="7" t="str"/>
    </x:row>
    <x:row r="4858">
      <x:c r="A4858" s="5" t="str">
        <x:v>鼠</x:v>
      </x:c>
      <x:c r="B4858" s="6" t="str">
        <x:v>上</x:v>
      </x:c>
      <x:c r="C4858" s="6" t="str">
        <x:f>IF(B4858="","Needs decision","Ready")</x:f>
        <x:v>Ready</x:v>
      </x:c>
      <x:c r="D4858" s="6" t="str">
        <x:v>上</x:v>
      </x:c>
      <x:c r="E4858" s="6" t="str">
        <x:v>syoX (B)</x:v>
      </x:c>
      <x:c r="F4858" s="6" t="str">
        <x:v>上聲六語</x:v>
      </x:c>
      <x:c r="G4858" s="6" t="str">
        <x:v>Pingshui main list, Wikisource-derived DOCX</x:v>
      </x:c>
      <x:c r="H4858" s="6" t="str">
        <x:v>1</x:v>
      </x:c>
      <x:c r="I4858" s="6" t="str"/>
      <x:c r="J4858" s="6" t="str">
        <x:f>IF(B4858="","",IF(AND(ISNUMBER(SEARCH("平",B4858)),OR(ISNUMBER(SEARCH("上",B4858)),ISNUMBER(SEARCH("去",B4858)),ISNUMBER(SEARCH("入",B4858)))),"Ambiguous",IF(ISNUMBER(SEARCH("平",B4858)),"平","仄")))</x:f>
        <x:v>仄</x:v>
      </x:c>
      <x:c r="K4858" s="6" t="str">
        <x:f>IF(D4858="","",IF(AND(ISNUMBER(SEARCH("平",D4858)),OR(ISNUMBER(SEARCH("上",D4858)),ISNUMBER(SEARCH("去",D4858)),ISNUMBER(SEARCH("入",D4858)))),"Ambiguous",IF(ISNUMBER(SEARCH("平",D4858)),"平","仄")))</x:f>
        <x:v>仄</x:v>
      </x:c>
      <x:c r="L4858" s="7" t="str"/>
    </x:row>
    <x:row r="4859">
      <x:c r="A4859" s="5" t="str">
        <x:v>鼫</x:v>
      </x:c>
      <x:c r="B4859" s="6" t="str">
        <x:v>入</x:v>
      </x:c>
      <x:c r="C4859" s="6" t="str">
        <x:f>IF(B4859="","Needs decision","Ready")</x:f>
        <x:v>Ready</x:v>
      </x:c>
      <x:c r="D4859" s="6" t="str">
        <x:v>入</x:v>
      </x:c>
      <x:c r="E4859" s="6" t="str"/>
      <x:c r="F4859" s="6" t="str">
        <x:v>入聲十一陌</x:v>
      </x:c>
      <x:c r="G4859" s="6" t="str">
        <x:v>Pingshui main list, Wikisource-derived DOCX</x:v>
      </x:c>
      <x:c r="H4859" s="6" t="str"/>
      <x:c r="I4859" s="6" t="str">
        <x:v>Manual user correction/addition</x:v>
      </x:c>
      <x:c r="J4859" s="6" t="str">
        <x:f>IF(B4859="","",IF(AND(ISNUMBER(SEARCH("平",B4859)),OR(ISNUMBER(SEARCH("上",B4859)),ISNUMBER(SEARCH("去",B4859)),ISNUMBER(SEARCH("入",B4859)))),"Ambiguous",IF(ISNUMBER(SEARCH("平",B4859)),"平","仄")))</x:f>
        <x:v>仄</x:v>
      </x:c>
      <x:c r="K4859" s="6" t="str">
        <x:f>IF(D4859="","",IF(AND(ISNUMBER(SEARCH("平",D4859)),OR(ISNUMBER(SEARCH("上",D4859)),ISNUMBER(SEARCH("去",D4859)),ISNUMBER(SEARCH("入",D4859)))),"Ambiguous",IF(ISNUMBER(SEARCH("平",D4859)),"平","仄")))</x:f>
        <x:v>仄</x:v>
      </x:c>
      <x:c r="L4859" s="7" t="str">
        <x:v>manual user correction</x:v>
      </x:c>
    </x:row>
    <x:row r="4860">
      <x:c r="A4860" s="5" t="str">
        <x:v>鼯</x:v>
      </x:c>
      <x:c r="B4860" s="6" t="str">
        <x:v>平</x:v>
      </x:c>
      <x:c r="C4860" s="6" t="str">
        <x:f>IF(B4860="","Needs decision","Ready")</x:f>
        <x:v>Ready</x:v>
      </x:c>
      <x:c r="D4860" s="6" t="str">
        <x:v>平</x:v>
      </x:c>
      <x:c r="E4860" s="6" t="str">
        <x:v>ngu [ɴo] (平)</x:v>
      </x:c>
      <x:c r="F4860" s="6" t="str">
        <x:v>上平聲七虞</x:v>
      </x:c>
      <x:c r="G4860" s="6" t="str">
        <x:v>Pingshui main list, Wikisource-derived DOCX</x:v>
      </x:c>
      <x:c r="H4860" s="6" t="str">
        <x:v>1</x:v>
      </x:c>
      <x:c r="I4860" s="6" t="str">
        <x:v>Tang 300 gap; frequency 1; provisional from Xun Gong</x:v>
      </x:c>
      <x:c r="J4860" s="6" t="str">
        <x:f>IF(B4860="","",IF(AND(ISNUMBER(SEARCH("平",B4860)),OR(ISNUMBER(SEARCH("上",B4860)),ISNUMBER(SEARCH("去",B4860)),ISNUMBER(SEARCH("入",B4860)))),"Ambiguous",IF(ISNUMBER(SEARCH("平",B4860)),"平","仄")))</x:f>
        <x:v>平</x:v>
      </x:c>
      <x:c r="K4860" s="6" t="str">
        <x:f>IF(D4860="","",IF(AND(ISNUMBER(SEARCH("平",D4860)),OR(ISNUMBER(SEARCH("上",D4860)),ISNUMBER(SEARCH("去",D4860)),ISNUMBER(SEARCH("入",D4860)))),"Ambiguous",IF(ISNUMBER(SEARCH("平",D4860)),"平","仄")))</x:f>
        <x:v>平</x:v>
      </x:c>
      <x:c r="L4860" s="7" t="str">
        <x:v>Xun Gong, Tang 300 gap fill</x:v>
      </x:c>
    </x:row>
    <x:row r="4861">
      <x:c r="A4861" s="5" t="str">
        <x:v>鼻</x:v>
      </x:c>
      <x:c r="B4861" s="6" t="str">
        <x:v>去</x:v>
      </x:c>
      <x:c r="C4861" s="6" t="str">
        <x:f>IF(B4861="","Needs decision","Ready")</x:f>
        <x:v>Ready</x:v>
      </x:c>
      <x:c r="D4861" s="6" t="str">
        <x:v>去</x:v>
      </x:c>
      <x:c r="E4861" s="6" t="str">
        <x:v>bjijH (C)</x:v>
      </x:c>
      <x:c r="F4861" s="6" t="str">
        <x:v>去聲四寘</x:v>
      </x:c>
      <x:c r="G4861" s="6" t="str">
        <x:v>Pingshui main list, Wikisource-derived DOCX</x:v>
      </x:c>
      <x:c r="H4861" s="6" t="str">
        <x:v>1</x:v>
      </x:c>
      <x:c r="I4861" s="6" t="str"/>
      <x:c r="J4861" s="6" t="str">
        <x:f>IF(B4861="","",IF(AND(ISNUMBER(SEARCH("平",B4861)),OR(ISNUMBER(SEARCH("上",B4861)),ISNUMBER(SEARCH("去",B4861)),ISNUMBER(SEARCH("入",B4861)))),"Ambiguous",IF(ISNUMBER(SEARCH("平",B4861)),"平","仄")))</x:f>
        <x:v>仄</x:v>
      </x:c>
      <x:c r="K4861" s="6" t="str">
        <x:f>IF(D4861="","",IF(AND(ISNUMBER(SEARCH("平",D4861)),OR(ISNUMBER(SEARCH("上",D4861)),ISNUMBER(SEARCH("去",D4861)),ISNUMBER(SEARCH("入",D4861)))),"Ambiguous",IF(ISNUMBER(SEARCH("平",D4861)),"平","仄")))</x:f>
        <x:v>仄</x:v>
      </x:c>
      <x:c r="L4861" s="7" t="str"/>
    </x:row>
    <x:row r="4862">
      <x:c r="A4862" s="5" t="str">
        <x:v>齊</x:v>
      </x:c>
      <x:c r="B4862" s="6" t="str">
        <x:v>平</x:v>
      </x:c>
      <x:c r="C4862" s="6" t="str">
        <x:f>IF(B4862="","Needs decision","Ready")</x:f>
        <x:v>Ready</x:v>
      </x:c>
      <x:c r="D4862" s="6" t="str">
        <x:v>平</x:v>
      </x:c>
      <x:c r="E4862" s="6" t="str">
        <x:v>dzej (A)</x:v>
      </x:c>
      <x:c r="F4862" s="6" t="str">
        <x:v>上平聲八齊; 去聲八霽</x:v>
      </x:c>
      <x:c r="G4862" s="6" t="str">
        <x:v>Pingshui main list, Wikisource-derived DOCX</x:v>
      </x:c>
      <x:c r="H4862" s="6" t="str">
        <x:v>1</x:v>
      </x:c>
      <x:c r="I4862" s="6" t="str"/>
      <x:c r="J4862" s="6" t="str">
        <x:f>IF(B4862="","",IF(AND(ISNUMBER(SEARCH("平",B4862)),OR(ISNUMBER(SEARCH("上",B4862)),ISNUMBER(SEARCH("去",B4862)),ISNUMBER(SEARCH("入",B4862)))),"Ambiguous",IF(ISNUMBER(SEARCH("平",B4862)),"平","仄")))</x:f>
        <x:v>平</x:v>
      </x:c>
      <x:c r="K4862" s="6" t="str">
        <x:f>IF(D4862="","",IF(AND(ISNUMBER(SEARCH("平",D4862)),OR(ISNUMBER(SEARCH("上",D4862)),ISNUMBER(SEARCH("去",D4862)),ISNUMBER(SEARCH("入",D4862)))),"Ambiguous",IF(ISNUMBER(SEARCH("平",D4862)),"平","仄")))</x:f>
        <x:v>平</x:v>
      </x:c>
      <x:c r="L4862" s="7" t="str"/>
    </x:row>
    <x:row r="4863">
      <x:c r="A4863" s="5" t="str">
        <x:v>齋</x:v>
      </x:c>
      <x:c r="B4863" s="6" t="str">
        <x:v>平</x:v>
      </x:c>
      <x:c r="C4863" s="6" t="str">
        <x:f>IF(B4863="","Needs decision","Ready")</x:f>
        <x:v>Ready</x:v>
      </x:c>
      <x:c r="D4863" s="6" t="str">
        <x:v>平</x:v>
      </x:c>
      <x:c r="E4863" s="6" t="str">
        <x:v>tsreaj (A)</x:v>
      </x:c>
      <x:c r="F4863" s="6" t="str">
        <x:v>上平聲九佳</x:v>
      </x:c>
      <x:c r="G4863" s="6" t="str">
        <x:v>Pingshui main list, Wikisource-derived DOCX</x:v>
      </x:c>
      <x:c r="H4863" s="6" t="str">
        <x:v>1</x:v>
      </x:c>
      <x:c r="I4863" s="6" t="str"/>
      <x:c r="J4863" s="6" t="str">
        <x:f>IF(B4863="","",IF(AND(ISNUMBER(SEARCH("平",B4863)),OR(ISNUMBER(SEARCH("上",B4863)),ISNUMBER(SEARCH("去",B4863)),ISNUMBER(SEARCH("入",B4863)))),"Ambiguous",IF(ISNUMBER(SEARCH("平",B4863)),"平","仄")))</x:f>
        <x:v>平</x:v>
      </x:c>
      <x:c r="K4863" s="6" t="str">
        <x:f>IF(D4863="","",IF(AND(ISNUMBER(SEARCH("平",D4863)),OR(ISNUMBER(SEARCH("上",D4863)),ISNUMBER(SEARCH("去",D4863)),ISNUMBER(SEARCH("入",D4863)))),"Ambiguous",IF(ISNUMBER(SEARCH("平",D4863)),"平","仄")))</x:f>
        <x:v>平</x:v>
      </x:c>
      <x:c r="L4863" s="7" t="str"/>
    </x:row>
    <x:row r="4864">
      <x:c r="A4864" s="5" t="str">
        <x:v>齍</x:v>
      </x:c>
      <x:c r="B4864" s="6" t="str">
        <x:v>平</x:v>
      </x:c>
      <x:c r="C4864" s="6" t="str">
        <x:f>IF(B4864="","Needs decision","Ready")</x:f>
        <x:v>Ready</x:v>
      </x:c>
      <x:c r="D4864" s="6" t="str">
        <x:v>平</x:v>
      </x:c>
      <x:c r="E4864" s="6" t="str">
        <x:v>tsij (A)</x:v>
      </x:c>
      <x:c r="F4864" s="6" t="str">
        <x:v>上平聲四支</x:v>
      </x:c>
      <x:c r="G4864" s="6" t="str">
        <x:v>Pingshui main list, Wikisource-derived DOCX</x:v>
      </x:c>
      <x:c r="H4864" s="6" t="str">
        <x:v>1</x:v>
      </x:c>
      <x:c r="I4864" s="6" t="str"/>
      <x:c r="J4864" s="6" t="str">
        <x:f>IF(B4864="","",IF(AND(ISNUMBER(SEARCH("平",B4864)),OR(ISNUMBER(SEARCH("上",B4864)),ISNUMBER(SEARCH("去",B4864)),ISNUMBER(SEARCH("入",B4864)))),"Ambiguous",IF(ISNUMBER(SEARCH("平",B4864)),"平","仄")))</x:f>
        <x:v>平</x:v>
      </x:c>
      <x:c r="K4864" s="6" t="str">
        <x:f>IF(D4864="","",IF(AND(ISNUMBER(SEARCH("平",D4864)),OR(ISNUMBER(SEARCH("上",D4864)),ISNUMBER(SEARCH("去",D4864)),ISNUMBER(SEARCH("入",D4864)))),"Ambiguous",IF(ISNUMBER(SEARCH("平",D4864)),"平","仄")))</x:f>
        <x:v>平</x:v>
      </x:c>
      <x:c r="L4864" s="7" t="str"/>
    </x:row>
    <x:row r="4865">
      <x:c r="A4865" s="5" t="str">
        <x:v>齒</x:v>
      </x:c>
      <x:c r="B4865" s="6" t="str">
        <x:v>上</x:v>
      </x:c>
      <x:c r="C4865" s="6" t="str">
        <x:f>IF(B4865="","Needs decision","Ready")</x:f>
        <x:v>Ready</x:v>
      </x:c>
      <x:c r="D4865" s="6" t="str">
        <x:v>上</x:v>
      </x:c>
      <x:c r="E4865" s="6" t="str">
        <x:v>tsyhiX (B)</x:v>
      </x:c>
      <x:c r="F4865" s="6" t="str">
        <x:v>上聲四紙</x:v>
      </x:c>
      <x:c r="G4865" s="6" t="str">
        <x:v>Pingshui main list, Wikisource-derived DOCX</x:v>
      </x:c>
      <x:c r="H4865" s="6" t="str">
        <x:v>1</x:v>
      </x:c>
      <x:c r="I4865" s="6" t="str"/>
      <x:c r="J4865" s="6" t="str">
        <x:f>IF(B4865="","",IF(AND(ISNUMBER(SEARCH("平",B4865)),OR(ISNUMBER(SEARCH("上",B4865)),ISNUMBER(SEARCH("去",B4865)),ISNUMBER(SEARCH("入",B4865)))),"Ambiguous",IF(ISNUMBER(SEARCH("平",B4865)),"平","仄")))</x:f>
        <x:v>仄</x:v>
      </x:c>
      <x:c r="K4865" s="6" t="str">
        <x:f>IF(D4865="","",IF(AND(ISNUMBER(SEARCH("平",D4865)),OR(ISNUMBER(SEARCH("上",D4865)),ISNUMBER(SEARCH("去",D4865)),ISNUMBER(SEARCH("入",D4865)))),"Ambiguous",IF(ISNUMBER(SEARCH("平",D4865)),"平","仄")))</x:f>
        <x:v>仄</x:v>
      </x:c>
      <x:c r="L4865" s="7" t="str"/>
    </x:row>
    <x:row r="4866">
      <x:c r="A4866" s="5" t="str">
        <x:v>齕</x:v>
      </x:c>
      <x:c r="B4866" s="6" t="str">
        <x:v>入</x:v>
      </x:c>
      <x:c r="C4866" s="6" t="str">
        <x:f>IF(B4866="","Needs decision","Ready")</x:f>
        <x:v>Ready</x:v>
      </x:c>
      <x:c r="D4866" s="6" t="str">
        <x:v>入</x:v>
      </x:c>
      <x:c r="E4866" s="6" t="str">
        <x:v>hot (D)</x:v>
      </x:c>
      <x:c r="F4866" s="6" t="str">
        <x:v>入聲六月</x:v>
      </x:c>
      <x:c r="G4866" s="6" t="str">
        <x:v>Pingshui main list, Wikisource-derived DOCX</x:v>
      </x:c>
      <x:c r="H4866" s="6" t="str">
        <x:v>1</x:v>
      </x:c>
      <x:c r="I4866" s="6" t="str"/>
      <x:c r="J4866" s="6" t="str">
        <x:f>IF(B4866="","",IF(AND(ISNUMBER(SEARCH("平",B4866)),OR(ISNUMBER(SEARCH("上",B4866)),ISNUMBER(SEARCH("去",B4866)),ISNUMBER(SEARCH("入",B4866)))),"Ambiguous",IF(ISNUMBER(SEARCH("平",B4866)),"平","仄")))</x:f>
        <x:v>仄</x:v>
      </x:c>
      <x:c r="K4866" s="6" t="str">
        <x:f>IF(D4866="","",IF(AND(ISNUMBER(SEARCH("平",D4866)),OR(ISNUMBER(SEARCH("上",D4866)),ISNUMBER(SEARCH("去",D4866)),ISNUMBER(SEARCH("入",D4866)))),"Ambiguous",IF(ISNUMBER(SEARCH("平",D4866)),"平","仄")))</x:f>
        <x:v>仄</x:v>
      </x:c>
      <x:c r="L4866" s="7" t="str"/>
    </x:row>
    <x:row r="4867">
      <x:c r="A4867" s="5" t="str">
        <x:v>齡</x:v>
      </x:c>
      <x:c r="B4867" s="6" t="str">
        <x:v>平</x:v>
      </x:c>
      <x:c r="C4867" s="6" t="str">
        <x:f>IF(B4867="","Needs decision","Ready")</x:f>
        <x:v>Ready</x:v>
      </x:c>
      <x:c r="D4867" s="6" t="str">
        <x:v>平</x:v>
      </x:c>
      <x:c r="E4867" s="6" t="str"/>
      <x:c r="F4867" s="6" t="str">
        <x:v>下平聲九青</x:v>
      </x:c>
      <x:c r="G4867" s="6" t="str">
        <x:v>Pingshui main list, Wikisource-derived DOCX</x:v>
      </x:c>
      <x:c r="H4867" s="6" t="str"/>
      <x:c r="I4867" s="6" t="str">
        <x:v>Manual user correction/addition</x:v>
      </x:c>
      <x:c r="J4867" s="6" t="str">
        <x:f>IF(B4867="","",IF(AND(ISNUMBER(SEARCH("平",B4867)),OR(ISNUMBER(SEARCH("上",B4867)),ISNUMBER(SEARCH("去",B4867)),ISNUMBER(SEARCH("入",B4867)))),"Ambiguous",IF(ISNUMBER(SEARCH("平",B4867)),"平","仄")))</x:f>
        <x:v>平</x:v>
      </x:c>
      <x:c r="K4867" s="6" t="str">
        <x:f>IF(D4867="","",IF(AND(ISNUMBER(SEARCH("平",D4867)),OR(ISNUMBER(SEARCH("上",D4867)),ISNUMBER(SEARCH("去",D4867)),ISNUMBER(SEARCH("入",D4867)))),"Ambiguous",IF(ISNUMBER(SEARCH("平",D4867)),"平","仄")))</x:f>
        <x:v>平</x:v>
      </x:c>
      <x:c r="L4867" s="7" t="str">
        <x:v>manual user correction</x:v>
      </x:c>
    </x:row>
    <x:row r="4868">
      <x:c r="A4868" s="5" t="str">
        <x:v>齧</x:v>
      </x:c>
      <x:c r="B4868" s="6" t="str">
        <x:v>入</x:v>
      </x:c>
      <x:c r="C4868" s="6" t="str">
        <x:f>IF(B4868="","Needs decision","Ready")</x:f>
        <x:v>Ready</x:v>
      </x:c>
      <x:c r="D4868" s="6" t="str">
        <x:v>入</x:v>
      </x:c>
      <x:c r="E4868" s="6" t="str">
        <x:v>nget (D)</x:v>
      </x:c>
      <x:c r="F4868" s="6" t="str">
        <x:v>入聲九屑</x:v>
      </x:c>
      <x:c r="G4868" s="6" t="str">
        <x:v>Pingshui main list, Wikisource-derived DOCX</x:v>
      </x:c>
      <x:c r="H4868" s="6" t="str">
        <x:v>1</x:v>
      </x:c>
      <x:c r="I4868" s="6" t="str"/>
      <x:c r="J4868" s="6" t="str">
        <x:f>IF(B4868="","",IF(AND(ISNUMBER(SEARCH("平",B4868)),OR(ISNUMBER(SEARCH("上",B4868)),ISNUMBER(SEARCH("去",B4868)),ISNUMBER(SEARCH("入",B4868)))),"Ambiguous",IF(ISNUMBER(SEARCH("平",B4868)),"平","仄")))</x:f>
        <x:v>仄</x:v>
      </x:c>
      <x:c r="K4868" s="6" t="str">
        <x:f>IF(D4868="","",IF(AND(ISNUMBER(SEARCH("平",D4868)),OR(ISNUMBER(SEARCH("上",D4868)),ISNUMBER(SEARCH("去",D4868)),ISNUMBER(SEARCH("入",D4868)))),"Ambiguous",IF(ISNUMBER(SEARCH("平",D4868)),"平","仄")))</x:f>
        <x:v>仄</x:v>
      </x:c>
      <x:c r="L4868" s="7" t="str"/>
    </x:row>
    <x:row r="4869">
      <x:c r="A4869" s="5" t="str">
        <x:v>齪</x:v>
      </x:c>
      <x:c r="B4869" s="6" t="str">
        <x:v>入</x:v>
      </x:c>
      <x:c r="C4869" s="6" t="str">
        <x:f>IF(B4869="","Needs decision","Ready")</x:f>
        <x:v>Ready</x:v>
      </x:c>
      <x:c r="D4869" s="6" t="str">
        <x:v>入</x:v>
      </x:c>
      <x:c r="E4869" s="6" t="str">
        <x:v>tsrhaewk [初二江入] tʂʰoˤk</x:v>
      </x:c>
      <x:c r="F4869" s="6" t="str"/>
      <x:c r="G4869" s="6" t="str"/>
      <x:c r="H4869" s="6" t="str">
        <x:v>1</x:v>
      </x:c>
      <x:c r="I4869" s="6" t="str">
        <x:v>Targeted preliminary fill from Xun Gong; review if uncertain</x:v>
      </x:c>
      <x:c r="J4869" s="6" t="str">
        <x:f>IF(B4869="","",IF(AND(ISNUMBER(SEARCH("平",B4869)),OR(ISNUMBER(SEARCH("上",B4869)),ISNUMBER(SEARCH("去",B4869)),ISNUMBER(SEARCH("入",B4869)))),"Ambiguous",IF(ISNUMBER(SEARCH("平",B4869)),"平","仄")))</x:f>
        <x:v>仄</x:v>
      </x:c>
      <x:c r="K4869" s="6" t="str">
        <x:f>IF(D4869="","",IF(AND(ISNUMBER(SEARCH("平",D4869)),OR(ISNUMBER(SEARCH("上",D4869)),ISNUMBER(SEARCH("去",D4869)),ISNUMBER(SEARCH("入",D4869)))),"Ambiguous",IF(ISNUMBER(SEARCH("平",D4869)),"平","仄")))</x:f>
        <x:v>仄</x:v>
      </x:c>
      <x:c r="L4869" s="7" t="str">
        <x:v>Xun Gong character-readings.csv</x:v>
      </x:c>
    </x:row>
    <x:row r="4870">
      <x:c r="A4870" s="5" t="str">
        <x:v>齷</x:v>
      </x:c>
      <x:c r="B4870" s="6" t="str">
        <x:v>入</x:v>
      </x:c>
      <x:c r="C4870" s="6" t="str">
        <x:f>IF(B4870="","Needs decision","Ready")</x:f>
        <x:v>Ready</x:v>
      </x:c>
      <x:c r="D4870" s="6" t="str">
        <x:v>入</x:v>
      </x:c>
      <x:c r="E4870" s="6" t="str">
        <x:v>'aewk [影二江入] ʔ̙oˤk</x:v>
      </x:c>
      <x:c r="F4870" s="6" t="str"/>
      <x:c r="G4870" s="6" t="str"/>
      <x:c r="H4870" s="6" t="str">
        <x:v>1</x:v>
      </x:c>
      <x:c r="I4870" s="6" t="str">
        <x:v>Targeted preliminary fill from Xun Gong; review if uncertain</x:v>
      </x:c>
      <x:c r="J4870" s="6" t="str">
        <x:f>IF(B4870="","",IF(AND(ISNUMBER(SEARCH("平",B4870)),OR(ISNUMBER(SEARCH("上",B4870)),ISNUMBER(SEARCH("去",B4870)),ISNUMBER(SEARCH("入",B4870)))),"Ambiguous",IF(ISNUMBER(SEARCH("平",B4870)),"平","仄")))</x:f>
        <x:v>仄</x:v>
      </x:c>
      <x:c r="K4870" s="6" t="str">
        <x:f>IF(D4870="","",IF(AND(ISNUMBER(SEARCH("平",D4870)),OR(ISNUMBER(SEARCH("上",D4870)),ISNUMBER(SEARCH("去",D4870)),ISNUMBER(SEARCH("入",D4870)))),"Ambiguous",IF(ISNUMBER(SEARCH("平",D4870)),"平","仄")))</x:f>
        <x:v>仄</x:v>
      </x:c>
      <x:c r="L4870" s="7" t="str">
        <x:v>Xun Gong character-readings.csv</x:v>
      </x:c>
    </x:row>
    <x:row r="4871">
      <x:c r="A4871" s="5" t="str">
        <x:v>龍</x:v>
      </x:c>
      <x:c r="B4871" s="6" t="str">
        <x:v>平</x:v>
      </x:c>
      <x:c r="C4871" s="6" t="str">
        <x:f>IF(B4871="","Needs decision","Ready")</x:f>
        <x:v>Ready</x:v>
      </x:c>
      <x:c r="D4871" s="6" t="str">
        <x:v>平</x:v>
      </x:c>
      <x:c r="E4871" s="6" t="str">
        <x:v>ljowng (A); maewng (A)</x:v>
      </x:c>
      <x:c r="F4871" s="6" t="str">
        <x:v>上平聲二冬; 入聲十四緝</x:v>
      </x:c>
      <x:c r="G4871" s="6" t="str">
        <x:v>Pingshui main list, Wikisource-derived DOCX</x:v>
      </x:c>
      <x:c r="H4871" s="6" t="str">
        <x:v>2</x:v>
      </x:c>
      <x:c r="I4871" s="6" t="str"/>
      <x:c r="J4871" s="6" t="str">
        <x:f>IF(B4871="","",IF(AND(ISNUMBER(SEARCH("平",B4871)),OR(ISNUMBER(SEARCH("上",B4871)),ISNUMBER(SEARCH("去",B4871)),ISNUMBER(SEARCH("入",B4871)))),"Ambiguous",IF(ISNUMBER(SEARCH("平",B4871)),"平","仄")))</x:f>
        <x:v>平</x:v>
      </x:c>
      <x:c r="K4871" s="6" t="str">
        <x:f>IF(D4871="","",IF(AND(ISNUMBER(SEARCH("平",D4871)),OR(ISNUMBER(SEARCH("上",D4871)),ISNUMBER(SEARCH("去",D4871)),ISNUMBER(SEARCH("入",D4871)))),"Ambiguous",IF(ISNUMBER(SEARCH("平",D4871)),"平","仄")))</x:f>
        <x:v>平</x:v>
      </x:c>
      <x:c r="L4871" s="7" t="str"/>
    </x:row>
    <x:row r="4872">
      <x:c r="A4872" s="5" t="str">
        <x:v>龏</x:v>
      </x:c>
      <x:c r="B4872" s="6" t="str">
        <x:v>平</x:v>
      </x:c>
      <x:c r="C4872" s="6" t="str">
        <x:f>IF(B4872="","Needs decision","Ready")</x:f>
        <x:v>Ready</x:v>
      </x:c>
      <x:c r="D4872" s="6" t="str">
        <x:v>平</x:v>
      </x:c>
      <x:c r="E4872" s="6" t="str">
        <x:v>kjowng (A)</x:v>
      </x:c>
      <x:c r="F4872" s="6" t="str"/>
      <x:c r="G4872" s="6" t="str"/>
      <x:c r="H4872" s="6" t="str">
        <x:v>1</x:v>
      </x:c>
      <x:c r="I4872" s="6" t="str"/>
      <x:c r="J4872" s="6" t="str">
        <x:f>IF(B4872="","",IF(AND(ISNUMBER(SEARCH("平",B4872)),OR(ISNUMBER(SEARCH("上",B4872)),ISNUMBER(SEARCH("去",B4872)),ISNUMBER(SEARCH("入",B4872)))),"Ambiguous",IF(ISNUMBER(SEARCH("平",B4872)),"平","仄")))</x:f>
        <x:v>平</x:v>
      </x:c>
      <x:c r="K4872" s="6" t="str">
        <x:f>IF(D4872="","",IF(AND(ISNUMBER(SEARCH("平",D4872)),OR(ISNUMBER(SEARCH("上",D4872)),ISNUMBER(SEARCH("去",D4872)),ISNUMBER(SEARCH("入",D4872)))),"Ambiguous",IF(ISNUMBER(SEARCH("平",D4872)),"平","仄")))</x:f>
        <x:v>平</x:v>
      </x:c>
      <x:c r="L4872" s="7" t="str"/>
    </x:row>
    <x:row r="4873">
      <x:c r="A4873" s="5" t="str">
        <x:v>龐</x:v>
      </x:c>
      <x:c r="B4873" s="6" t="str">
        <x:v>平</x:v>
      </x:c>
      <x:c r="C4873" s="6" t="str">
        <x:f>IF(B4873="","Needs decision","Ready")</x:f>
        <x:v>Ready</x:v>
      </x:c>
      <x:c r="D4873" s="6" t="str">
        <x:v>平</x:v>
      </x:c>
      <x:c r="E4873" s="6" t="str">
        <x:v>baewng (A)</x:v>
      </x:c>
      <x:c r="F4873" s="6" t="str">
        <x:v>上平聲一東; 上平聲三江</x:v>
      </x:c>
      <x:c r="G4873" s="6" t="str">
        <x:v>Pingshui main list, Wikisource-derived DOCX</x:v>
      </x:c>
      <x:c r="H4873" s="6" t="str">
        <x:v>1</x:v>
      </x:c>
      <x:c r="I4873" s="6" t="str"/>
      <x:c r="J4873" s="6" t="str">
        <x:f>IF(B4873="","",IF(AND(ISNUMBER(SEARCH("平",B4873)),OR(ISNUMBER(SEARCH("上",B4873)),ISNUMBER(SEARCH("去",B4873)),ISNUMBER(SEARCH("入",B4873)))),"Ambiguous",IF(ISNUMBER(SEARCH("平",B4873)),"平","仄")))</x:f>
        <x:v>平</x:v>
      </x:c>
      <x:c r="K4873" s="6" t="str">
        <x:f>IF(D4873="","",IF(AND(ISNUMBER(SEARCH("平",D4873)),OR(ISNUMBER(SEARCH("上",D4873)),ISNUMBER(SEARCH("去",D4873)),ISNUMBER(SEARCH("入",D4873)))),"Ambiguous",IF(ISNUMBER(SEARCH("平",D4873)),"平","仄")))</x:f>
        <x:v>平</x:v>
      </x:c>
      <x:c r="L4873" s="7" t="str"/>
    </x:row>
    <x:row r="4874">
      <x:c r="A4874" s="5" t="str">
        <x:v>龔</x:v>
      </x:c>
      <x:c r="B4874" s="6" t="str">
        <x:v>平</x:v>
      </x:c>
      <x:c r="C4874" s="6" t="str">
        <x:f>IF(B4874="","Needs decision","Ready")</x:f>
        <x:v>Ready</x:v>
      </x:c>
      <x:c r="D4874" s="6" t="str">
        <x:v>平</x:v>
      </x:c>
      <x:c r="E4874" s="6" t="str">
        <x:v>kjowng (A)</x:v>
      </x:c>
      <x:c r="F4874" s="6" t="str">
        <x:v>上平聲二冬</x:v>
      </x:c>
      <x:c r="G4874" s="6" t="str">
        <x:v>Pingshui main list, Wikisource-derived DOCX</x:v>
      </x:c>
      <x:c r="H4874" s="6" t="str">
        <x:v>1</x:v>
      </x:c>
      <x:c r="I4874" s="6" t="str"/>
      <x:c r="J4874" s="6" t="str">
        <x:f>IF(B4874="","",IF(AND(ISNUMBER(SEARCH("平",B4874)),OR(ISNUMBER(SEARCH("上",B4874)),ISNUMBER(SEARCH("去",B4874)),ISNUMBER(SEARCH("入",B4874)))),"Ambiguous",IF(ISNUMBER(SEARCH("平",B4874)),"平","仄")))</x:f>
        <x:v>平</x:v>
      </x:c>
      <x:c r="K4874" s="6" t="str">
        <x:f>IF(D4874="","",IF(AND(ISNUMBER(SEARCH("平",D4874)),OR(ISNUMBER(SEARCH("上",D4874)),ISNUMBER(SEARCH("去",D4874)),ISNUMBER(SEARCH("入",D4874)))),"Ambiguous",IF(ISNUMBER(SEARCH("平",D4874)),"平","仄")))</x:f>
        <x:v>平</x:v>
      </x:c>
      <x:c r="L4874" s="7" t="str"/>
    </x:row>
    <x:row r="4875">
      <x:c r="A4875" s="5" t="str">
        <x:v>龜</x:v>
      </x:c>
      <x:c r="B4875" s="6" t="str">
        <x:v>平</x:v>
      </x:c>
      <x:c r="C4875" s="6" t="str">
        <x:f>IF(B4875="","Needs decision","Ready")</x:f>
        <x:v>Ready</x:v>
      </x:c>
      <x:c r="D4875" s="6" t="str">
        <x:v>平</x:v>
      </x:c>
      <x:c r="E4875" s="6" t="str">
        <x:v>kjuw (A); kwij (A)</x:v>
      </x:c>
      <x:c r="F4875" s="6" t="str">
        <x:v>上平聲四支; 下平聲十一尤</x:v>
      </x:c>
      <x:c r="G4875" s="6" t="str">
        <x:v>Pingshui main list, Wikisource-derived DOCX</x:v>
      </x:c>
      <x:c r="H4875" s="6" t="str">
        <x:v>2</x:v>
      </x:c>
      <x:c r="I4875" s="6" t="str"/>
      <x:c r="J4875" s="6" t="str">
        <x:f>IF(B4875="","",IF(AND(ISNUMBER(SEARCH("平",B4875)),OR(ISNUMBER(SEARCH("上",B4875)),ISNUMBER(SEARCH("去",B4875)),ISNUMBER(SEARCH("入",B4875)))),"Ambiguous",IF(ISNUMBER(SEARCH("平",B4875)),"平","仄")))</x:f>
        <x:v>平</x:v>
      </x:c>
      <x:c r="K4875" s="6" t="str">
        <x:f>IF(D4875="","",IF(AND(ISNUMBER(SEARCH("平",D4875)),OR(ISNUMBER(SEARCH("上",D4875)),ISNUMBER(SEARCH("去",D4875)),ISNUMBER(SEARCH("入",D4875)))),"Ambiguous",IF(ISNUMBER(SEARCH("平",D4875)),"平","仄")))</x:f>
        <x:v>平</x:v>
      </x:c>
      <x:c r="L4875" s="7" t="str"/>
    </x:row>
    <x:row r="4876">
      <x:c r="A4876" s="5" t="str">
        <x:v>龠</x:v>
      </x:c>
      <x:c r="B4876" s="6" t="str">
        <x:v>入</x:v>
      </x:c>
      <x:c r="C4876" s="6" t="str">
        <x:f>IF(B4876="","Needs decision","Ready")</x:f>
        <x:v>Ready</x:v>
      </x:c>
      <x:c r="D4876" s="6" t="str">
        <x:v>入</x:v>
      </x:c>
      <x:c r="E4876" s="6" t="str">
        <x:v>yak (D)</x:v>
      </x:c>
      <x:c r="F4876" s="6" t="str">
        <x:v>入聲十藥</x:v>
      </x:c>
      <x:c r="G4876" s="6" t="str">
        <x:v>Pingshui main list, Wikisource-derived DOCX</x:v>
      </x:c>
      <x:c r="H4876" s="6" t="str">
        <x:v>1</x:v>
      </x:c>
      <x:c r="I4876" s="6" t="str"/>
      <x:c r="J4876" s="6" t="str">
        <x:f>IF(B4876="","",IF(AND(ISNUMBER(SEARCH("平",B4876)),OR(ISNUMBER(SEARCH("上",B4876)),ISNUMBER(SEARCH("去",B4876)),ISNUMBER(SEARCH("入",B4876)))),"Ambiguous",IF(ISNUMBER(SEARCH("平",B4876)),"平","仄")))</x:f>
        <x:v>仄</x:v>
      </x:c>
      <x:c r="K4876" s="6" t="str">
        <x:f>IF(D4876="","",IF(AND(ISNUMBER(SEARCH("平",D4876)),OR(ISNUMBER(SEARCH("上",D4876)),ISNUMBER(SEARCH("去",D4876)),ISNUMBER(SEARCH("入",D4876)))),"Ambiguous",IF(ISNUMBER(SEARCH("平",D4876)),"平","仄")))</x:f>
        <x:v>仄</x:v>
      </x:c>
      <x:c r="L4876" s="7" t="str"/>
    </x:row>
    <x:row r="4877">
      <x:c r="A4877" s="5" t="str">
        <x:v>𠂤</x:v>
      </x:c>
      <x:c r="B4877" s="6" t="str">
        <x:v>平</x:v>
      </x:c>
      <x:c r="C4877" s="6" t="str">
        <x:f>IF(B4877="","Needs decision","Ready")</x:f>
        <x:v>Ready</x:v>
      </x:c>
      <x:c r="D4877" s="6" t="str">
        <x:v>平</x:v>
      </x:c>
      <x:c r="E4877" s="6" t="str">
        <x:v>twoj (A)</x:v>
      </x:c>
      <x:c r="F4877" s="6" t="str"/>
      <x:c r="G4877" s="6" t="str"/>
      <x:c r="H4877" s="6" t="str">
        <x:v>1</x:v>
      </x:c>
      <x:c r="I4877" s="6" t="str"/>
      <x:c r="J4877" s="6" t="str">
        <x:f>IF(B4877="","",IF(AND(ISNUMBER(SEARCH("平",B4877)),OR(ISNUMBER(SEARCH("上",B4877)),ISNUMBER(SEARCH("去",B4877)),ISNUMBER(SEARCH("入",B4877)))),"Ambiguous",IF(ISNUMBER(SEARCH("平",B4877)),"平","仄")))</x:f>
        <x:v>平</x:v>
      </x:c>
      <x:c r="K4877" s="6" t="str">
        <x:f>IF(D4877="","",IF(AND(ISNUMBER(SEARCH("平",D4877)),OR(ISNUMBER(SEARCH("上",D4877)),ISNUMBER(SEARCH("去",D4877)),ISNUMBER(SEARCH("入",D4877)))),"Ambiguous",IF(ISNUMBER(SEARCH("平",D4877)),"平","仄")))</x:f>
        <x:v>平</x:v>
      </x:c>
      <x:c r="L4877" s="7" t="str"/>
    </x:row>
    <x:row r="4878">
      <x:c r="A4878" s="5" t="str">
        <x:v>𠃋</x:v>
      </x:c>
      <x:c r="B4878" s="6" t="str">
        <x:v>平</x:v>
      </x:c>
      <x:c r="C4878" s="6" t="str">
        <x:f>IF(B4878="","Needs decision","Ready")</x:f>
        <x:v>Ready</x:v>
      </x:c>
      <x:c r="D4878" s="6" t="str">
        <x:v>平</x:v>
      </x:c>
      <x:c r="E4878" s="6" t="str">
        <x:v>kwong (A)</x:v>
      </x:c>
      <x:c r="F4878" s="6" t="str"/>
      <x:c r="G4878" s="6" t="str"/>
      <x:c r="H4878" s="6" t="str">
        <x:v>1</x:v>
      </x:c>
      <x:c r="I4878" s="6" t="str"/>
      <x:c r="J4878" s="6" t="str">
        <x:f>IF(B4878="","",IF(AND(ISNUMBER(SEARCH("平",B4878)),OR(ISNUMBER(SEARCH("上",B4878)),ISNUMBER(SEARCH("去",B4878)),ISNUMBER(SEARCH("入",B4878)))),"Ambiguous",IF(ISNUMBER(SEARCH("平",B4878)),"平","仄")))</x:f>
        <x:v>平</x:v>
      </x:c>
      <x:c r="K4878" s="6" t="str">
        <x:f>IF(D4878="","",IF(AND(ISNUMBER(SEARCH("平",D4878)),OR(ISNUMBER(SEARCH("上",D4878)),ISNUMBER(SEARCH("去",D4878)),ISNUMBER(SEARCH("入",D4878)))),"Ambiguous",IF(ISNUMBER(SEARCH("平",D4878)),"平","仄")))</x:f>
        <x:v>平</x:v>
      </x:c>
      <x:c r="L4878" s="7" t="str"/>
    </x:row>
    <x:row r="4879">
      <x:c r="A4879" s="5" t="str">
        <x:v>𠃬</x:v>
      </x:c>
      <x:c r="B4879" s="6" t="str">
        <x:v>平</x:v>
      </x:c>
      <x:c r="C4879" s="6" t="str">
        <x:f>IF(B4879="","Needs decision","Ready")</x:f>
        <x:v>Ready</x:v>
      </x:c>
      <x:c r="D4879" s="6" t="str">
        <x:v>平</x:v>
      </x:c>
      <x:c r="E4879" s="6" t="str">
        <x:v>drjuw (A)</x:v>
      </x:c>
      <x:c r="F4879" s="6" t="str"/>
      <x:c r="G4879" s="6" t="str"/>
      <x:c r="H4879" s="6" t="str">
        <x:v>1</x:v>
      </x:c>
      <x:c r="I4879" s="6" t="str"/>
      <x:c r="J4879" s="6" t="str">
        <x:f>IF(B4879="","",IF(AND(ISNUMBER(SEARCH("平",B4879)),OR(ISNUMBER(SEARCH("上",B4879)),ISNUMBER(SEARCH("去",B4879)),ISNUMBER(SEARCH("入",B4879)))),"Ambiguous",IF(ISNUMBER(SEARCH("平",B4879)),"平","仄")))</x:f>
        <x:v>平</x:v>
      </x:c>
      <x:c r="K4879" s="6" t="str">
        <x:f>IF(D4879="","",IF(AND(ISNUMBER(SEARCH("平",D4879)),OR(ISNUMBER(SEARCH("上",D4879)),ISNUMBER(SEARCH("去",D4879)),ISNUMBER(SEARCH("入",D4879)))),"Ambiguous",IF(ISNUMBER(SEARCH("平",D4879)),"平","仄")))</x:f>
        <x:v>平</x:v>
      </x:c>
      <x:c r="L4879" s="7" t="str"/>
    </x:row>
    <x:row r="4880">
      <x:c r="A4880" s="5" t="str">
        <x:v>𠓥</x:v>
      </x:c>
      <x:c r="B4880" s="6" t="str">
        <x:v>平</x:v>
      </x:c>
      <x:c r="C4880" s="6" t="str">
        <x:f>IF(B4880="","Needs decision","Ready")</x:f>
        <x:v>Ready</x:v>
      </x:c>
      <x:c r="D4880" s="6" t="str">
        <x:v>平</x:v>
      </x:c>
      <x:c r="E4880" s="6" t="str">
        <x:v>pjien (A)</x:v>
      </x:c>
      <x:c r="F4880" s="6" t="str"/>
      <x:c r="G4880" s="6" t="str"/>
      <x:c r="H4880" s="6" t="str">
        <x:v>1</x:v>
      </x:c>
      <x:c r="I4880" s="6" t="str"/>
      <x:c r="J4880" s="6" t="str">
        <x:f>IF(B4880="","",IF(AND(ISNUMBER(SEARCH("平",B4880)),OR(ISNUMBER(SEARCH("上",B4880)),ISNUMBER(SEARCH("去",B4880)),ISNUMBER(SEARCH("入",B4880)))),"Ambiguous",IF(ISNUMBER(SEARCH("平",B4880)),"平","仄")))</x:f>
        <x:v>平</x:v>
      </x:c>
      <x:c r="K4880" s="6" t="str">
        <x:f>IF(D4880="","",IF(AND(ISNUMBER(SEARCH("平",D4880)),OR(ISNUMBER(SEARCH("上",D4880)),ISNUMBER(SEARCH("去",D4880)),ISNUMBER(SEARCH("入",D4880)))),"Ambiguous",IF(ISNUMBER(SEARCH("平",D4880)),"平","仄")))</x:f>
        <x:v>平</x:v>
      </x:c>
      <x:c r="L4880" s="7" t="str"/>
    </x:row>
    <x:row r="4881">
      <x:c r="A4881" s="5" t="str">
        <x:v>𠠦</x:v>
      </x:c>
      <x:c r="B4881" s="6" t="str">
        <x:v>入</x:v>
      </x:c>
      <x:c r="C4881" s="6" t="str">
        <x:f>IF(B4881="","Needs decision","Ready")</x:f>
        <x:v>Ready</x:v>
      </x:c>
      <x:c r="D4881" s="6" t="str">
        <x:v>入</x:v>
      </x:c>
      <x:c r="E4881" s="6" t="str">
        <x:v>peak (D)</x:v>
      </x:c>
      <x:c r="F4881" s="6" t="str"/>
      <x:c r="G4881" s="6" t="str"/>
      <x:c r="H4881" s="6" t="str">
        <x:v>1</x:v>
      </x:c>
      <x:c r="I4881" s="6" t="str"/>
      <x:c r="J4881" s="6" t="str">
        <x:f>IF(B4881="","",IF(AND(ISNUMBER(SEARCH("平",B4881)),OR(ISNUMBER(SEARCH("上",B4881)),ISNUMBER(SEARCH("去",B4881)),ISNUMBER(SEARCH("入",B4881)))),"Ambiguous",IF(ISNUMBER(SEARCH("平",B4881)),"平","仄")))</x:f>
        <x:v>仄</x:v>
      </x:c>
      <x:c r="K4881" s="6" t="str">
        <x:f>IF(D4881="","",IF(AND(ISNUMBER(SEARCH("平",D4881)),OR(ISNUMBER(SEARCH("上",D4881)),ISNUMBER(SEARCH("去",D4881)),ISNUMBER(SEARCH("入",D4881)))),"Ambiguous",IF(ISNUMBER(SEARCH("平",D4881)),"平","仄")))</x:f>
        <x:v>仄</x:v>
      </x:c>
      <x:c r="L4881" s="7" t="str"/>
    </x:row>
    <x:row r="4882">
      <x:c r="A4882" s="5" t="str">
        <x:v>𠨧</x:v>
      </x:c>
      <x:c r="B4882" s="6" t="str">
        <x:v>平</x:v>
      </x:c>
      <x:c r="C4882" s="6" t="str">
        <x:f>IF(B4882="","Needs decision","Ready")</x:f>
        <x:v>Ready</x:v>
      </x:c>
      <x:c r="D4882" s="6" t="str">
        <x:v>平</x:v>
      </x:c>
      <x:c r="E4882" s="6" t="str">
        <x:v>tshjen (A)</x:v>
      </x:c>
      <x:c r="F4882" s="6" t="str"/>
      <x:c r="G4882" s="6" t="str"/>
      <x:c r="H4882" s="6" t="str">
        <x:v>1</x:v>
      </x:c>
      <x:c r="I4882" s="6" t="str"/>
      <x:c r="J4882" s="6" t="str">
        <x:f>IF(B4882="","",IF(AND(ISNUMBER(SEARCH("平",B4882)),OR(ISNUMBER(SEARCH("上",B4882)),ISNUMBER(SEARCH("去",B4882)),ISNUMBER(SEARCH("入",B4882)))),"Ambiguous",IF(ISNUMBER(SEARCH("平",B4882)),"平","仄")))</x:f>
        <x:v>平</x:v>
      </x:c>
      <x:c r="K4882" s="6" t="str">
        <x:f>IF(D4882="","",IF(AND(ISNUMBER(SEARCH("平",D4882)),OR(ISNUMBER(SEARCH("上",D4882)),ISNUMBER(SEARCH("去",D4882)),ISNUMBER(SEARCH("入",D4882)))),"Ambiguous",IF(ISNUMBER(SEARCH("平",D4882)),"平","仄")))</x:f>
        <x:v>平</x:v>
      </x:c>
      <x:c r="L4882" s="7" t="str"/>
    </x:row>
    <x:row r="4883">
      <x:c r="A4883" s="5" t="str">
        <x:v>𠨮</x:v>
      </x:c>
      <x:c r="B4883" s="6" t="str">
        <x:v>入</x:v>
      </x:c>
      <x:c r="C4883" s="6" t="str">
        <x:f>IF(B4883="","Needs decision","Ready")</x:f>
        <x:v>Ready</x:v>
      </x:c>
      <x:c r="D4883" s="6" t="str">
        <x:v>入</x:v>
      </x:c>
      <x:c r="E4883" s="6" t="str">
        <x:v>tsrik (D)</x:v>
      </x:c>
      <x:c r="F4883" s="6" t="str"/>
      <x:c r="G4883" s="6" t="str"/>
      <x:c r="H4883" s="6" t="str">
        <x:v>1</x:v>
      </x:c>
      <x:c r="I4883" s="6" t="str"/>
      <x:c r="J4883" s="6" t="str">
        <x:f>IF(B4883="","",IF(AND(ISNUMBER(SEARCH("平",B4883)),OR(ISNUMBER(SEARCH("上",B4883)),ISNUMBER(SEARCH("去",B4883)),ISNUMBER(SEARCH("入",B4883)))),"Ambiguous",IF(ISNUMBER(SEARCH("平",B4883)),"平","仄")))</x:f>
        <x:v>仄</x:v>
      </x:c>
      <x:c r="K4883" s="6" t="str">
        <x:f>IF(D4883="","",IF(AND(ISNUMBER(SEARCH("平",D4883)),OR(ISNUMBER(SEARCH("上",D4883)),ISNUMBER(SEARCH("去",D4883)),ISNUMBER(SEARCH("入",D4883)))),"Ambiguous",IF(ISNUMBER(SEARCH("平",D4883)),"平","仄")))</x:f>
        <x:v>仄</x:v>
      </x:c>
      <x:c r="L4883" s="7" t="str"/>
    </x:row>
    <x:row r="4884">
      <x:c r="A4884" s="5" t="str">
        <x:v>𠪚</x:v>
      </x:c>
      <x:c r="B4884" s="6" t="str">
        <x:v>平</x:v>
      </x:c>
      <x:c r="C4884" s="6" t="str">
        <x:f>IF(B4884="","Needs decision","Ready")</x:f>
        <x:v>Ready</x:v>
      </x:c>
      <x:c r="D4884" s="6" t="str">
        <x:v>平</x:v>
      </x:c>
      <x:c r="E4884" s="6" t="str">
        <x:v>ngim (A)</x:v>
      </x:c>
      <x:c r="F4884" s="6" t="str"/>
      <x:c r="G4884" s="6" t="str"/>
      <x:c r="H4884" s="6" t="str">
        <x:v>1</x:v>
      </x:c>
      <x:c r="I4884" s="6" t="str"/>
      <x:c r="J4884" s="6" t="str">
        <x:f>IF(B4884="","",IF(AND(ISNUMBER(SEARCH("平",B4884)),OR(ISNUMBER(SEARCH("上",B4884)),ISNUMBER(SEARCH("去",B4884)),ISNUMBER(SEARCH("入",B4884)))),"Ambiguous",IF(ISNUMBER(SEARCH("平",B4884)),"平","仄")))</x:f>
        <x:v>平</x:v>
      </x:c>
      <x:c r="K4884" s="6" t="str">
        <x:f>IF(D4884="","",IF(AND(ISNUMBER(SEARCH("平",D4884)),OR(ISNUMBER(SEARCH("上",D4884)),ISNUMBER(SEARCH("去",D4884)),ISNUMBER(SEARCH("入",D4884)))),"Ambiguous",IF(ISNUMBER(SEARCH("平",D4884)),"平","仄")))</x:f>
        <x:v>平</x:v>
      </x:c>
      <x:c r="L4884" s="7" t="str"/>
    </x:row>
    <x:row r="4885">
      <x:c r="A4885" s="5" t="str">
        <x:v>𠬛</x:v>
      </x:c>
      <x:c r="B4885" s="6" t="str">
        <x:v>入</x:v>
      </x:c>
      <x:c r="C4885" s="6" t="str">
        <x:f>IF(B4885="","Needs decision","Ready")</x:f>
        <x:v>Ready</x:v>
      </x:c>
      <x:c r="D4885" s="6" t="str">
        <x:v>入</x:v>
      </x:c>
      <x:c r="E4885" s="6" t="str">
        <x:v>mwot (D)</x:v>
      </x:c>
      <x:c r="F4885" s="6" t="str"/>
      <x:c r="G4885" s="6" t="str"/>
      <x:c r="H4885" s="6" t="str">
        <x:v>1</x:v>
      </x:c>
      <x:c r="I4885" s="6" t="str"/>
      <x:c r="J4885" s="6" t="str">
        <x:f>IF(B4885="","",IF(AND(ISNUMBER(SEARCH("平",B4885)),OR(ISNUMBER(SEARCH("上",B4885)),ISNUMBER(SEARCH("去",B4885)),ISNUMBER(SEARCH("入",B4885)))),"Ambiguous",IF(ISNUMBER(SEARCH("平",B4885)),"平","仄")))</x:f>
        <x:v>仄</x:v>
      </x:c>
      <x:c r="K4885" s="6" t="str">
        <x:f>IF(D4885="","",IF(AND(ISNUMBER(SEARCH("平",D4885)),OR(ISNUMBER(SEARCH("上",D4885)),ISNUMBER(SEARCH("去",D4885)),ISNUMBER(SEARCH("入",D4885)))),"Ambiguous",IF(ISNUMBER(SEARCH("平",D4885)),"平","仄")))</x:f>
        <x:v>仄</x:v>
      </x:c>
      <x:c r="L4885" s="7" t="str"/>
    </x:row>
    <x:row r="4886">
      <x:c r="A4886" s="5" t="str">
        <x:v>𠬝</x:v>
      </x:c>
      <x:c r="B4886" s="6" t="str">
        <x:v>入</x:v>
      </x:c>
      <x:c r="C4886" s="6" t="str">
        <x:f>IF(B4886="","Needs decision","Ready")</x:f>
        <x:v>Ready</x:v>
      </x:c>
      <x:c r="D4886" s="6" t="str">
        <x:v>入</x:v>
      </x:c>
      <x:c r="E4886" s="6" t="str">
        <x:v>bjuwk (D)</x:v>
      </x:c>
      <x:c r="F4886" s="6" t="str"/>
      <x:c r="G4886" s="6" t="str"/>
      <x:c r="H4886" s="6" t="str">
        <x:v>1</x:v>
      </x:c>
      <x:c r="I4886" s="6" t="str"/>
      <x:c r="J4886" s="6" t="str">
        <x:f>IF(B4886="","",IF(AND(ISNUMBER(SEARCH("平",B4886)),OR(ISNUMBER(SEARCH("上",B4886)),ISNUMBER(SEARCH("去",B4886)),ISNUMBER(SEARCH("入",B4886)))),"Ambiguous",IF(ISNUMBER(SEARCH("平",B4886)),"平","仄")))</x:f>
        <x:v>仄</x:v>
      </x:c>
      <x:c r="K4886" s="6" t="str">
        <x:f>IF(D4886="","",IF(AND(ISNUMBER(SEARCH("平",D4886)),OR(ISNUMBER(SEARCH("上",D4886)),ISNUMBER(SEARCH("去",D4886)),ISNUMBER(SEARCH("入",D4886)))),"Ambiguous",IF(ISNUMBER(SEARCH("平",D4886)),"平","仄")))</x:f>
        <x:v>仄</x:v>
      </x:c>
      <x:c r="L4886" s="7" t="str"/>
    </x:row>
    <x:row r="4887">
      <x:c r="A4887" s="5" t="str">
        <x:v>𠬞</x:v>
      </x:c>
      <x:c r="B4887" s="6" t="str">
        <x:v>上</x:v>
      </x:c>
      <x:c r="C4887" s="6" t="str">
        <x:f>IF(B4887="","Needs decision","Ready")</x:f>
        <x:v>Ready</x:v>
      </x:c>
      <x:c r="D4887" s="6" t="str">
        <x:v>上</x:v>
      </x:c>
      <x:c r="E4887" s="6" t="str">
        <x:v>kjowngX (B)</x:v>
      </x:c>
      <x:c r="F4887" s="6" t="str"/>
      <x:c r="G4887" s="6" t="str"/>
      <x:c r="H4887" s="6" t="str">
        <x:v>1</x:v>
      </x:c>
      <x:c r="I4887" s="6" t="str"/>
      <x:c r="J4887" s="6" t="str">
        <x:f>IF(B4887="","",IF(AND(ISNUMBER(SEARCH("平",B4887)),OR(ISNUMBER(SEARCH("上",B4887)),ISNUMBER(SEARCH("去",B4887)),ISNUMBER(SEARCH("入",B4887)))),"Ambiguous",IF(ISNUMBER(SEARCH("平",B4887)),"平","仄")))</x:f>
        <x:v>仄</x:v>
      </x:c>
      <x:c r="K4887" s="6" t="str">
        <x:f>IF(D4887="","",IF(AND(ISNUMBER(SEARCH("平",D4887)),OR(ISNUMBER(SEARCH("上",D4887)),ISNUMBER(SEARCH("去",D4887)),ISNUMBER(SEARCH("入",D4887)))),"Ambiguous",IF(ISNUMBER(SEARCH("平",D4887)),"平","仄")))</x:f>
        <x:v>仄</x:v>
      </x:c>
      <x:c r="L4887" s="7" t="str"/>
    </x:row>
    <x:row r="4888">
      <x:c r="A4888" s="5" t="str">
        <x:v>𠯑</x:v>
      </x:c>
      <x:c r="B4888" s="6" t="str">
        <x:v>入</x:v>
      </x:c>
      <x:c r="C4888" s="6" t="str">
        <x:f>IF(B4888="","Needs decision","Ready")</x:f>
        <x:v>Ready</x:v>
      </x:c>
      <x:c r="D4888" s="6" t="str">
        <x:v>入</x:v>
      </x:c>
      <x:c r="E4888" s="6" t="str">
        <x:v>kwat (D)</x:v>
      </x:c>
      <x:c r="F4888" s="6" t="str"/>
      <x:c r="G4888" s="6" t="str"/>
      <x:c r="H4888" s="6" t="str">
        <x:v>1</x:v>
      </x:c>
      <x:c r="I4888" s="6" t="str"/>
      <x:c r="J4888" s="6" t="str">
        <x:f>IF(B4888="","",IF(AND(ISNUMBER(SEARCH("平",B4888)),OR(ISNUMBER(SEARCH("上",B4888)),ISNUMBER(SEARCH("去",B4888)),ISNUMBER(SEARCH("入",B4888)))),"Ambiguous",IF(ISNUMBER(SEARCH("平",B4888)),"平","仄")))</x:f>
        <x:v>仄</x:v>
      </x:c>
      <x:c r="K4888" s="6" t="str">
        <x:f>IF(D4888="","",IF(AND(ISNUMBER(SEARCH("平",D4888)),OR(ISNUMBER(SEARCH("上",D4888)),ISNUMBER(SEARCH("去",D4888)),ISNUMBER(SEARCH("入",D4888)))),"Ambiguous",IF(ISNUMBER(SEARCH("平",D4888)),"平","仄")))</x:f>
        <x:v>仄</x:v>
      </x:c>
      <x:c r="L4888" s="7" t="str"/>
    </x:row>
    <x:row r="4889">
      <x:c r="A4889" s="5" t="str">
        <x:v>𡈼</x:v>
      </x:c>
      <x:c r="B4889" s="6" t="str">
        <x:v>上</x:v>
      </x:c>
      <x:c r="C4889" s="6" t="str">
        <x:f>IF(B4889="","Needs decision","Ready")</x:f>
        <x:v>Ready</x:v>
      </x:c>
      <x:c r="D4889" s="6" t="str">
        <x:v>上</x:v>
      </x:c>
      <x:c r="E4889" s="6" t="str">
        <x:v>thengX (B)</x:v>
      </x:c>
      <x:c r="F4889" s="6" t="str"/>
      <x:c r="G4889" s="6" t="str"/>
      <x:c r="H4889" s="6" t="str">
        <x:v>1</x:v>
      </x:c>
      <x:c r="I4889" s="6" t="str"/>
      <x:c r="J4889" s="6" t="str">
        <x:f>IF(B4889="","",IF(AND(ISNUMBER(SEARCH("平",B4889)),OR(ISNUMBER(SEARCH("上",B4889)),ISNUMBER(SEARCH("去",B4889)),ISNUMBER(SEARCH("入",B4889)))),"Ambiguous",IF(ISNUMBER(SEARCH("平",B4889)),"平","仄")))</x:f>
        <x:v>仄</x:v>
      </x:c>
      <x:c r="K4889" s="6" t="str">
        <x:f>IF(D4889="","",IF(AND(ISNUMBER(SEARCH("平",D4889)),OR(ISNUMBER(SEARCH("上",D4889)),ISNUMBER(SEARCH("去",D4889)),ISNUMBER(SEARCH("入",D4889)))),"Ambiguous",IF(ISNUMBER(SEARCH("平",D4889)),"平","仄")))</x:f>
        <x:v>仄</x:v>
      </x:c>
      <x:c r="L4889" s="7" t="str"/>
    </x:row>
    <x:row r="4890">
      <x:c r="A4890" s="5" t="str">
        <x:v>𡍬</x:v>
      </x:c>
      <x:c r="B4890" s="6" t="str">
        <x:v>入</x:v>
      </x:c>
      <x:c r="C4890" s="6" t="str">
        <x:f>IF(B4890="","Needs decision","Ready")</x:f>
        <x:v>Ready</x:v>
      </x:c>
      <x:c r="D4890" s="6" t="str">
        <x:v>入</x:v>
      </x:c>
      <x:c r="E4890" s="6" t="str">
        <x:v>mjuwk (D)</x:v>
      </x:c>
      <x:c r="F4890" s="6" t="str"/>
      <x:c r="G4890" s="6" t="str"/>
      <x:c r="H4890" s="6" t="str">
        <x:v>1</x:v>
      </x:c>
      <x:c r="I4890" s="6" t="str"/>
      <x:c r="J4890" s="6" t="str">
        <x:f>IF(B4890="","",IF(AND(ISNUMBER(SEARCH("平",B4890)),OR(ISNUMBER(SEARCH("上",B4890)),ISNUMBER(SEARCH("去",B4890)),ISNUMBER(SEARCH("入",B4890)))),"Ambiguous",IF(ISNUMBER(SEARCH("平",B4890)),"平","仄")))</x:f>
        <x:v>仄</x:v>
      </x:c>
      <x:c r="K4890" s="6" t="str">
        <x:f>IF(D4890="","",IF(AND(ISNUMBER(SEARCH("平",D4890)),OR(ISNUMBER(SEARCH("上",D4890)),ISNUMBER(SEARCH("去",D4890)),ISNUMBER(SEARCH("入",D4890)))),"Ambiguous",IF(ISNUMBER(SEARCH("平",D4890)),"平","仄")))</x:f>
        <x:v>仄</x:v>
      </x:c>
      <x:c r="L4890" s="7" t="str"/>
    </x:row>
    <x:row r="4891">
      <x:c r="A4891" s="5" t="str">
        <x:v>𡏳</x:v>
      </x:c>
      <x:c r="B4891" s="6" t="str">
        <x:v>平</x:v>
      </x:c>
      <x:c r="C4891" s="6" t="str">
        <x:f>IF(B4891="","Needs decision","Ready")</x:f>
        <x:v>Ready</x:v>
      </x:c>
      <x:c r="D4891" s="6" t="str">
        <x:v>平</x:v>
      </x:c>
      <x:c r="E4891" s="6" t="str">
        <x:v>kean (A)</x:v>
      </x:c>
      <x:c r="F4891" s="6" t="str"/>
      <x:c r="G4891" s="6" t="str"/>
      <x:c r="H4891" s="6" t="str">
        <x:v>1</x:v>
      </x:c>
      <x:c r="I4891" s="6" t="str"/>
      <x:c r="J4891" s="6" t="str">
        <x:f>IF(B4891="","",IF(AND(ISNUMBER(SEARCH("平",B4891)),OR(ISNUMBER(SEARCH("上",B4891)),ISNUMBER(SEARCH("去",B4891)),ISNUMBER(SEARCH("入",B4891)))),"Ambiguous",IF(ISNUMBER(SEARCH("平",B4891)),"平","仄")))</x:f>
        <x:v>平</x:v>
      </x:c>
      <x:c r="K4891" s="6" t="str">
        <x:f>IF(D4891="","",IF(AND(ISNUMBER(SEARCH("平",D4891)),OR(ISNUMBER(SEARCH("上",D4891)),ISNUMBER(SEARCH("去",D4891)),ISNUMBER(SEARCH("入",D4891)))),"Ambiguous",IF(ISNUMBER(SEARCH("平",D4891)),"平","仄")))</x:f>
        <x:v>平</x:v>
      </x:c>
      <x:c r="L4891" s="7" t="str"/>
    </x:row>
    <x:row r="4892">
      <x:c r="A4892" s="5" t="str">
        <x:v>𡐨</x:v>
      </x:c>
      <x:c r="B4892" s="6" t="str">
        <x:v>上</x:v>
      </x:c>
      <x:c r="C4892" s="6" t="str">
        <x:f>IF(B4892="","Needs decision","Ready")</x:f>
        <x:v>Ready</x:v>
      </x:c>
      <x:c r="D4892" s="6" t="str">
        <x:v>上</x:v>
      </x:c>
      <x:c r="E4892" s="6" t="str">
        <x:v>yaeX (B)</x:v>
      </x:c>
      <x:c r="F4892" s="6" t="str"/>
      <x:c r="G4892" s="6" t="str"/>
      <x:c r="H4892" s="6" t="str">
        <x:v>1</x:v>
      </x:c>
      <x:c r="I4892" s="6" t="str"/>
      <x:c r="J4892" s="6" t="str">
        <x:f>IF(B4892="","",IF(AND(ISNUMBER(SEARCH("平",B4892)),OR(ISNUMBER(SEARCH("上",B4892)),ISNUMBER(SEARCH("去",B4892)),ISNUMBER(SEARCH("入",B4892)))),"Ambiguous",IF(ISNUMBER(SEARCH("平",B4892)),"平","仄")))</x:f>
        <x:v>仄</x:v>
      </x:c>
      <x:c r="K4892" s="6" t="str">
        <x:f>IF(D4892="","",IF(AND(ISNUMBER(SEARCH("平",D4892)),OR(ISNUMBER(SEARCH("上",D4892)),ISNUMBER(SEARCH("去",D4892)),ISNUMBER(SEARCH("入",D4892)))),"Ambiguous",IF(ISNUMBER(SEARCH("平",D4892)),"平","仄")))</x:f>
        <x:v>仄</x:v>
      </x:c>
      <x:c r="L4892" s="7" t="str"/>
    </x:row>
    <x:row r="4893">
      <x:c r="A4893" s="5" t="str">
        <x:v>𡭴</x:v>
      </x:c>
      <x:c r="B4893" s="6" t="str">
        <x:v>入</x:v>
      </x:c>
      <x:c r="C4893" s="6" t="str">
        <x:f>IF(B4893="","Needs decision","Ready")</x:f>
        <x:v>Ready</x:v>
      </x:c>
      <x:c r="D4893" s="6" t="str">
        <x:v>入</x:v>
      </x:c>
      <x:c r="E4893" s="6" t="str">
        <x:v>khjaek (D)</x:v>
      </x:c>
      <x:c r="F4893" s="6" t="str"/>
      <x:c r="G4893" s="6" t="str"/>
      <x:c r="H4893" s="6" t="str">
        <x:v>1</x:v>
      </x:c>
      <x:c r="I4893" s="6" t="str"/>
      <x:c r="J4893" s="6" t="str">
        <x:f>IF(B4893="","",IF(AND(ISNUMBER(SEARCH("平",B4893)),OR(ISNUMBER(SEARCH("上",B4893)),ISNUMBER(SEARCH("去",B4893)),ISNUMBER(SEARCH("入",B4893)))),"Ambiguous",IF(ISNUMBER(SEARCH("平",B4893)),"平","仄")))</x:f>
        <x:v>仄</x:v>
      </x:c>
      <x:c r="K4893" s="6" t="str">
        <x:f>IF(D4893="","",IF(AND(ISNUMBER(SEARCH("平",D4893)),OR(ISNUMBER(SEARCH("上",D4893)),ISNUMBER(SEARCH("去",D4893)),ISNUMBER(SEARCH("入",D4893)))),"Ambiguous",IF(ISNUMBER(SEARCH("平",D4893)),"平","仄")))</x:f>
        <x:v>仄</x:v>
      </x:c>
      <x:c r="L4893" s="7" t="str"/>
    </x:row>
    <x:row r="4894">
      <x:c r="A4894" s="5" t="str">
        <x:v>𡱂</x:v>
      </x:c>
      <x:c r="B4894" s="6" t="str">
        <x:v>平</x:v>
      </x:c>
      <x:c r="C4894" s="6" t="str">
        <x:f>IF(B4894="","Needs decision","Ready")</x:f>
        <x:v>Ready</x:v>
      </x:c>
      <x:c r="D4894" s="6" t="str">
        <x:v>平</x:v>
      </x:c>
      <x:c r="E4894" s="6" t="str">
        <x:v>dwon (A)</x:v>
      </x:c>
      <x:c r="F4894" s="6" t="str"/>
      <x:c r="G4894" s="6" t="str"/>
      <x:c r="H4894" s="6" t="str">
        <x:v>1</x:v>
      </x:c>
      <x:c r="I4894" s="6" t="str"/>
      <x:c r="J4894" s="6" t="str">
        <x:f>IF(B4894="","",IF(AND(ISNUMBER(SEARCH("平",B4894)),OR(ISNUMBER(SEARCH("上",B4894)),ISNUMBER(SEARCH("去",B4894)),ISNUMBER(SEARCH("入",B4894)))),"Ambiguous",IF(ISNUMBER(SEARCH("平",B4894)),"平","仄")))</x:f>
        <x:v>平</x:v>
      </x:c>
      <x:c r="K4894" s="6" t="str">
        <x:f>IF(D4894="","",IF(AND(ISNUMBER(SEARCH("平",D4894)),OR(ISNUMBER(SEARCH("上",D4894)),ISNUMBER(SEARCH("去",D4894)),ISNUMBER(SEARCH("入",D4894)))),"Ambiguous",IF(ISNUMBER(SEARCH("平",D4894)),"平","仄")))</x:f>
        <x:v>平</x:v>
      </x:c>
      <x:c r="L4894" s="7" t="str"/>
    </x:row>
    <x:row r="4895">
      <x:c r="A4895" s="5" t="str">
        <x:v>𢀜</x:v>
      </x:c>
      <x:c r="B4895" s="6" t="str">
        <x:v>上</x:v>
      </x:c>
      <x:c r="C4895" s="6" t="str">
        <x:f>IF(B4895="","Needs decision","Ready")</x:f>
        <x:v>Ready</x:v>
      </x:c>
      <x:c r="D4895" s="6" t="str">
        <x:v>上</x:v>
      </x:c>
      <x:c r="E4895" s="6" t="str">
        <x:v>kjowngX (B)</x:v>
      </x:c>
      <x:c r="F4895" s="6" t="str"/>
      <x:c r="G4895" s="6" t="str"/>
      <x:c r="H4895" s="6" t="str">
        <x:v>1</x:v>
      </x:c>
      <x:c r="I4895" s="6" t="str"/>
      <x:c r="J4895" s="6" t="str">
        <x:f>IF(B4895="","",IF(AND(ISNUMBER(SEARCH("平",B4895)),OR(ISNUMBER(SEARCH("上",B4895)),ISNUMBER(SEARCH("去",B4895)),ISNUMBER(SEARCH("入",B4895)))),"Ambiguous",IF(ISNUMBER(SEARCH("平",B4895)),"平","仄")))</x:f>
        <x:v>仄</x:v>
      </x:c>
      <x:c r="K4895" s="6" t="str">
        <x:f>IF(D4895="","",IF(AND(ISNUMBER(SEARCH("平",D4895)),OR(ISNUMBER(SEARCH("上",D4895)),ISNUMBER(SEARCH("去",D4895)),ISNUMBER(SEARCH("入",D4895)))),"Ambiguous",IF(ISNUMBER(SEARCH("平",D4895)),"平","仄")))</x:f>
        <x:v>仄</x:v>
      </x:c>
      <x:c r="L4895" s="7" t="str"/>
    </x:row>
    <x:row r="4896">
      <x:c r="A4896" s="5" t="str">
        <x:v>𢄉</x:v>
      </x:c>
      <x:c r="B4896" s="6" t="str">
        <x:v>平</x:v>
      </x:c>
      <x:c r="C4896" s="6" t="str">
        <x:f>IF(B4896="","Needs decision","Ready")</x:f>
        <x:v>Ready</x:v>
      </x:c>
      <x:c r="D4896" s="6" t="str">
        <x:v>平</x:v>
      </x:c>
      <x:c r="E4896" s="6" t="str">
        <x:v>dwon (A)</x:v>
      </x:c>
      <x:c r="F4896" s="6" t="str"/>
      <x:c r="G4896" s="6" t="str"/>
      <x:c r="H4896" s="6" t="str">
        <x:v>1</x:v>
      </x:c>
      <x:c r="I4896" s="6" t="str"/>
      <x:c r="J4896" s="6" t="str">
        <x:f>IF(B4896="","",IF(AND(ISNUMBER(SEARCH("平",B4896)),OR(ISNUMBER(SEARCH("上",B4896)),ISNUMBER(SEARCH("去",B4896)),ISNUMBER(SEARCH("入",B4896)))),"Ambiguous",IF(ISNUMBER(SEARCH("平",B4896)),"平","仄")))</x:f>
        <x:v>平</x:v>
      </x:c>
      <x:c r="K4896" s="6" t="str">
        <x:f>IF(D4896="","",IF(AND(ISNUMBER(SEARCH("平",D4896)),OR(ISNUMBER(SEARCH("上",D4896)),ISNUMBER(SEARCH("去",D4896)),ISNUMBER(SEARCH("入",D4896)))),"Ambiguous",IF(ISNUMBER(SEARCH("平",D4896)),"平","仄")))</x:f>
        <x:v>平</x:v>
      </x:c>
      <x:c r="L4896" s="7" t="str"/>
    </x:row>
    <x:row r="4897">
      <x:c r="A4897" s="5" t="str">
        <x:v>𢏚</x:v>
      </x:c>
      <x:c r="B4897" s="6" t="str">
        <x:v>平</x:v>
      </x:c>
      <x:c r="C4897" s="6" t="str">
        <x:f>IF(B4897="","Needs decision","Ready")</x:f>
        <x:v>Ready</x:v>
      </x:c>
      <x:c r="D4897" s="6" t="str">
        <x:v>平</x:v>
      </x:c>
      <x:c r="E4897" s="6" t="str">
        <x:v>drjuw (A)</x:v>
      </x:c>
      <x:c r="F4897" s="6" t="str"/>
      <x:c r="G4897" s="6" t="str"/>
      <x:c r="H4897" s="6" t="str">
        <x:v>1</x:v>
      </x:c>
      <x:c r="I4897" s="6" t="str"/>
      <x:c r="J4897" s="6" t="str">
        <x:f>IF(B4897="","",IF(AND(ISNUMBER(SEARCH("平",B4897)),OR(ISNUMBER(SEARCH("上",B4897)),ISNUMBER(SEARCH("去",B4897)),ISNUMBER(SEARCH("入",B4897)))),"Ambiguous",IF(ISNUMBER(SEARCH("平",B4897)),"平","仄")))</x:f>
        <x:v>平</x:v>
      </x:c>
      <x:c r="K4897" s="6" t="str">
        <x:f>IF(D4897="","",IF(AND(ISNUMBER(SEARCH("平",D4897)),OR(ISNUMBER(SEARCH("上",D4897)),ISNUMBER(SEARCH("去",D4897)),ISNUMBER(SEARCH("入",D4897)))),"Ambiguous",IF(ISNUMBER(SEARCH("平",D4897)),"平","仄")))</x:f>
        <x:v>平</x:v>
      </x:c>
      <x:c r="L4897" s="7" t="str"/>
    </x:row>
    <x:row r="4898">
      <x:c r="A4898" s="5" t="str">
        <x:v>𢓜</x:v>
      </x:c>
      <x:c r="B4898" s="6" t="str">
        <x:v>入</x:v>
      </x:c>
      <x:c r="C4898" s="6" t="str">
        <x:f>IF(B4898="","Needs decision","Ready")</x:f>
        <x:v>Ready</x:v>
      </x:c>
      <x:c r="D4898" s="6" t="str">
        <x:v>入</x:v>
      </x:c>
      <x:c r="E4898" s="6" t="str">
        <x:v>kaek (D)</x:v>
      </x:c>
      <x:c r="F4898" s="6" t="str"/>
      <x:c r="G4898" s="6" t="str"/>
      <x:c r="H4898" s="6" t="str">
        <x:v>1</x:v>
      </x:c>
      <x:c r="I4898" s="6" t="str"/>
      <x:c r="J4898" s="6" t="str">
        <x:f>IF(B4898="","",IF(AND(ISNUMBER(SEARCH("平",B4898)),OR(ISNUMBER(SEARCH("上",B4898)),ISNUMBER(SEARCH("去",B4898)),ISNUMBER(SEARCH("入",B4898)))),"Ambiguous",IF(ISNUMBER(SEARCH("平",B4898)),"平","仄")))</x:f>
        <x:v>仄</x:v>
      </x:c>
      <x:c r="K4898" s="6" t="str">
        <x:f>IF(D4898="","",IF(AND(ISNUMBER(SEARCH("平",D4898)),OR(ISNUMBER(SEARCH("上",D4898)),ISNUMBER(SEARCH("去",D4898)),ISNUMBER(SEARCH("入",D4898)))),"Ambiguous",IF(ISNUMBER(SEARCH("平",D4898)),"平","仄")))</x:f>
        <x:v>仄</x:v>
      </x:c>
      <x:c r="L4898" s="7" t="str"/>
    </x:row>
    <x:row r="4899">
      <x:c r="A4899" s="5" t="str">
        <x:v>𢦏</x:v>
      </x:c>
      <x:c r="B4899" s="6" t="str">
        <x:v>平</x:v>
      </x:c>
      <x:c r="C4899" s="6" t="str">
        <x:f>IF(B4899="","Needs decision","Ready")</x:f>
        <x:v>Ready</x:v>
      </x:c>
      <x:c r="D4899" s="6" t="str">
        <x:v>平</x:v>
      </x:c>
      <x:c r="E4899" s="6" t="str">
        <x:v>tsoj (A)</x:v>
      </x:c>
      <x:c r="F4899" s="6" t="str"/>
      <x:c r="G4899" s="6" t="str"/>
      <x:c r="H4899" s="6" t="str">
        <x:v>1</x:v>
      </x:c>
      <x:c r="I4899" s="6" t="str"/>
      <x:c r="J4899" s="6" t="str">
        <x:f>IF(B4899="","",IF(AND(ISNUMBER(SEARCH("平",B4899)),OR(ISNUMBER(SEARCH("上",B4899)),ISNUMBER(SEARCH("去",B4899)),ISNUMBER(SEARCH("入",B4899)))),"Ambiguous",IF(ISNUMBER(SEARCH("平",B4899)),"平","仄")))</x:f>
        <x:v>平</x:v>
      </x:c>
      <x:c r="K4899" s="6" t="str">
        <x:f>IF(D4899="","",IF(AND(ISNUMBER(SEARCH("平",D4899)),OR(ISNUMBER(SEARCH("上",D4899)),ISNUMBER(SEARCH("去",D4899)),ISNUMBER(SEARCH("入",D4899)))),"Ambiguous",IF(ISNUMBER(SEARCH("平",D4899)),"平","仄")))</x:f>
        <x:v>平</x:v>
      </x:c>
      <x:c r="L4899" s="7" t="str"/>
    </x:row>
    <x:row r="4900">
      <x:c r="A4900" s="5" t="str">
        <x:v>𢦒</x:v>
      </x:c>
      <x:c r="B4900" s="6" t="str">
        <x:v>平</x:v>
      </x:c>
      <x:c r="C4900" s="6" t="str">
        <x:f>IF(B4900="","Needs decision","Ready")</x:f>
        <x:v>Ready</x:v>
      </x:c>
      <x:c r="D4900" s="6" t="str">
        <x:v>平</x:v>
      </x:c>
      <x:c r="E4900" s="6" t="str">
        <x:v>tsoj (A)</x:v>
      </x:c>
      <x:c r="F4900" s="6" t="str"/>
      <x:c r="G4900" s="6" t="str"/>
      <x:c r="H4900" s="6" t="str">
        <x:v>1</x:v>
      </x:c>
      <x:c r="I4900" s="6" t="str"/>
      <x:c r="J4900" s="6" t="str">
        <x:f>IF(B4900="","",IF(AND(ISNUMBER(SEARCH("平",B4900)),OR(ISNUMBER(SEARCH("上",B4900)),ISNUMBER(SEARCH("去",B4900)),ISNUMBER(SEARCH("入",B4900)))),"Ambiguous",IF(ISNUMBER(SEARCH("平",B4900)),"平","仄")))</x:f>
        <x:v>平</x:v>
      </x:c>
      <x:c r="K4900" s="6" t="str">
        <x:f>IF(D4900="","",IF(AND(ISNUMBER(SEARCH("平",D4900)),OR(ISNUMBER(SEARCH("上",D4900)),ISNUMBER(SEARCH("去",D4900)),ISNUMBER(SEARCH("入",D4900)))),"Ambiguous",IF(ISNUMBER(SEARCH("平",D4900)),"平","仄")))</x:f>
        <x:v>平</x:v>
      </x:c>
      <x:c r="L4900" s="7" t="str"/>
    </x:row>
    <x:row r="4901">
      <x:c r="A4901" s="5" t="str">
        <x:v>𢵈</x:v>
      </x:c>
      <x:c r="B4901" s="6" t="str">
        <x:v>上</x:v>
      </x:c>
      <x:c r="C4901" s="6" t="str">
        <x:f>IF(B4901="","Needs decision","Ready")</x:f>
        <x:v>Ready</x:v>
      </x:c>
      <x:c r="D4901" s="6" t="str">
        <x:v>上</x:v>
      </x:c>
      <x:c r="E4901" s="6" t="str">
        <x:v>kjenX (B)</x:v>
      </x:c>
      <x:c r="F4901" s="6" t="str"/>
      <x:c r="G4901" s="6" t="str"/>
      <x:c r="H4901" s="6" t="str">
        <x:v>1</x:v>
      </x:c>
      <x:c r="I4901" s="6" t="str"/>
      <x:c r="J4901" s="6" t="str">
        <x:f>IF(B4901="","",IF(AND(ISNUMBER(SEARCH("平",B4901)),OR(ISNUMBER(SEARCH("上",B4901)),ISNUMBER(SEARCH("去",B4901)),ISNUMBER(SEARCH("入",B4901)))),"Ambiguous",IF(ISNUMBER(SEARCH("平",B4901)),"平","仄")))</x:f>
        <x:v>仄</x:v>
      </x:c>
      <x:c r="K4901" s="6" t="str">
        <x:f>IF(D4901="","",IF(AND(ISNUMBER(SEARCH("平",D4901)),OR(ISNUMBER(SEARCH("上",D4901)),ISNUMBER(SEARCH("去",D4901)),ISNUMBER(SEARCH("入",D4901)))),"Ambiguous",IF(ISNUMBER(SEARCH("平",D4901)),"平","仄")))</x:f>
        <x:v>仄</x:v>
      </x:c>
      <x:c r="L4901" s="7" t="str"/>
    </x:row>
    <x:row r="4902">
      <x:c r="A4902" s="5" t="str">
        <x:v>𣅔</x:v>
      </x:c>
      <x:c r="B4902" s="6" t="str">
        <x:v>入</x:v>
      </x:c>
      <x:c r="C4902" s="6" t="str">
        <x:f>IF(B4902="","Needs decision","Ready")</x:f>
        <x:v>Ready</x:v>
      </x:c>
      <x:c r="D4902" s="6" t="str">
        <x:v>入</x:v>
      </x:c>
      <x:c r="E4902" s="6" t="str">
        <x:v>tsrik (D)</x:v>
      </x:c>
      <x:c r="F4902" s="6" t="str"/>
      <x:c r="G4902" s="6" t="str"/>
      <x:c r="H4902" s="6" t="str">
        <x:v>1</x:v>
      </x:c>
      <x:c r="I4902" s="6" t="str"/>
      <x:c r="J4902" s="6" t="str">
        <x:f>IF(B4902="","",IF(AND(ISNUMBER(SEARCH("平",B4902)),OR(ISNUMBER(SEARCH("上",B4902)),ISNUMBER(SEARCH("去",B4902)),ISNUMBER(SEARCH("入",B4902)))),"Ambiguous",IF(ISNUMBER(SEARCH("平",B4902)),"平","仄")))</x:f>
        <x:v>仄</x:v>
      </x:c>
      <x:c r="K4902" s="6" t="str">
        <x:f>IF(D4902="","",IF(AND(ISNUMBER(SEARCH("平",D4902)),OR(ISNUMBER(SEARCH("上",D4902)),ISNUMBER(SEARCH("去",D4902)),ISNUMBER(SEARCH("入",D4902)))),"Ambiguous",IF(ISNUMBER(SEARCH("平",D4902)),"平","仄")))</x:f>
        <x:v>仄</x:v>
      </x:c>
      <x:c r="L4902" s="7" t="str"/>
    </x:row>
    <x:row r="4903">
      <x:c r="A4903" s="5" t="str">
        <x:v>𣅛</x:v>
      </x:c>
      <x:c r="B4903" s="6" t="str">
        <x:v>入</x:v>
      </x:c>
      <x:c r="C4903" s="6" t="str">
        <x:f>IF(B4903="","Needs decision","Ready")</x:f>
        <x:v>Ready</x:v>
      </x:c>
      <x:c r="D4903" s="6" t="str">
        <x:v>入</x:v>
      </x:c>
      <x:c r="E4903" s="6" t="str">
        <x:v>tsrik (D)</x:v>
      </x:c>
      <x:c r="F4903" s="6" t="str"/>
      <x:c r="G4903" s="6" t="str"/>
      <x:c r="H4903" s="6" t="str">
        <x:v>1</x:v>
      </x:c>
      <x:c r="I4903" s="6" t="str"/>
      <x:c r="J4903" s="6" t="str">
        <x:f>IF(B4903="","",IF(AND(ISNUMBER(SEARCH("平",B4903)),OR(ISNUMBER(SEARCH("上",B4903)),ISNUMBER(SEARCH("去",B4903)),ISNUMBER(SEARCH("入",B4903)))),"Ambiguous",IF(ISNUMBER(SEARCH("平",B4903)),"平","仄")))</x:f>
        <x:v>仄</x:v>
      </x:c>
      <x:c r="K4903" s="6" t="str">
        <x:f>IF(D4903="","",IF(AND(ISNUMBER(SEARCH("平",D4903)),OR(ISNUMBER(SEARCH("上",D4903)),ISNUMBER(SEARCH("去",D4903)),ISNUMBER(SEARCH("入",D4903)))),"Ambiguous",IF(ISNUMBER(SEARCH("平",D4903)),"平","仄")))</x:f>
        <x:v>仄</x:v>
      </x:c>
      <x:c r="L4903" s="7" t="str"/>
    </x:row>
    <x:row r="4904">
      <x:c r="A4904" s="5" t="str">
        <x:v>𣥺</x:v>
      </x:c>
      <x:c r="B4904" s="6" t="str">
        <x:v>平</x:v>
      </x:c>
      <x:c r="C4904" s="6" t="str">
        <x:f>IF(B4904="","Needs decision","Ready")</x:f>
        <x:v>Ready</x:v>
      </x:c>
      <x:c r="D4904" s="6" t="str">
        <x:v>平</x:v>
      </x:c>
      <x:c r="E4904" s="6" t="str">
        <x:v>draeng (A)</x:v>
      </x:c>
      <x:c r="F4904" s="6" t="str"/>
      <x:c r="G4904" s="6" t="str"/>
      <x:c r="H4904" s="6" t="str">
        <x:v>1</x:v>
      </x:c>
      <x:c r="I4904" s="6" t="str"/>
      <x:c r="J4904" s="6" t="str">
        <x:f>IF(B4904="","",IF(AND(ISNUMBER(SEARCH("平",B4904)),OR(ISNUMBER(SEARCH("上",B4904)),ISNUMBER(SEARCH("去",B4904)),ISNUMBER(SEARCH("入",B4904)))),"Ambiguous",IF(ISNUMBER(SEARCH("平",B4904)),"平","仄")))</x:f>
        <x:v>平</x:v>
      </x:c>
      <x:c r="K4904" s="6" t="str">
        <x:f>IF(D4904="","",IF(AND(ISNUMBER(SEARCH("平",D4904)),OR(ISNUMBER(SEARCH("上",D4904)),ISNUMBER(SEARCH("去",D4904)),ISNUMBER(SEARCH("入",D4904)))),"Ambiguous",IF(ISNUMBER(SEARCH("平",D4904)),"平","仄")))</x:f>
        <x:v>平</x:v>
      </x:c>
      <x:c r="L4904" s="7" t="str"/>
    </x:row>
    <x:row r="4905">
      <x:c r="A4905" s="5" t="str">
        <x:v>𤈦</x:v>
      </x:c>
      <x:c r="B4905" s="6" t="str">
        <x:v>上</x:v>
      </x:c>
      <x:c r="C4905" s="6" t="str">
        <x:f>IF(B4905="","Needs decision","Ready")</x:f>
        <x:v>Ready</x:v>
      </x:c>
      <x:c r="D4905" s="6" t="str">
        <x:v>上</x:v>
      </x:c>
      <x:c r="E4905" s="6" t="str">
        <x:v>xjw+jX (B)</x:v>
      </x:c>
      <x:c r="F4905" s="6" t="str"/>
      <x:c r="G4905" s="6" t="str"/>
      <x:c r="H4905" s="6" t="str">
        <x:v>1</x:v>
      </x:c>
      <x:c r="I4905" s="6" t="str"/>
      <x:c r="J4905" s="6" t="str">
        <x:f>IF(B4905="","",IF(AND(ISNUMBER(SEARCH("平",B4905)),OR(ISNUMBER(SEARCH("上",B4905)),ISNUMBER(SEARCH("去",B4905)),ISNUMBER(SEARCH("入",B4905)))),"Ambiguous",IF(ISNUMBER(SEARCH("平",B4905)),"平","仄")))</x:f>
        <x:v>仄</x:v>
      </x:c>
      <x:c r="K4905" s="6" t="str">
        <x:f>IF(D4905="","",IF(AND(ISNUMBER(SEARCH("平",D4905)),OR(ISNUMBER(SEARCH("上",D4905)),ISNUMBER(SEARCH("去",D4905)),ISNUMBER(SEARCH("入",D4905)))),"Ambiguous",IF(ISNUMBER(SEARCH("平",D4905)),"平","仄")))</x:f>
        <x:v>仄</x:v>
      </x:c>
      <x:c r="L4905" s="7" t="str"/>
    </x:row>
    <x:row r="4906">
      <x:c r="A4906" s="5" t="str">
        <x:v>𤔔</x:v>
      </x:c>
      <x:c r="B4906" s="6" t="str">
        <x:v>去</x:v>
      </x:c>
      <x:c r="C4906" s="6" t="str">
        <x:f>IF(B4906="","Needs decision","Ready")</x:f>
        <x:v>Ready</x:v>
      </x:c>
      <x:c r="D4906" s="6" t="str">
        <x:v>去</x:v>
      </x:c>
      <x:c r="E4906" s="6" t="str">
        <x:v>lwanH (C)</x:v>
      </x:c>
      <x:c r="F4906" s="6" t="str"/>
      <x:c r="G4906" s="6" t="str"/>
      <x:c r="H4906" s="6" t="str">
        <x:v>1</x:v>
      </x:c>
      <x:c r="I4906" s="6" t="str"/>
      <x:c r="J4906" s="6" t="str">
        <x:f>IF(B4906="","",IF(AND(ISNUMBER(SEARCH("平",B4906)),OR(ISNUMBER(SEARCH("上",B4906)),ISNUMBER(SEARCH("去",B4906)),ISNUMBER(SEARCH("入",B4906)))),"Ambiguous",IF(ISNUMBER(SEARCH("平",B4906)),"平","仄")))</x:f>
        <x:v>仄</x:v>
      </x:c>
      <x:c r="K4906" s="6" t="str">
        <x:f>IF(D4906="","",IF(AND(ISNUMBER(SEARCH("平",D4906)),OR(ISNUMBER(SEARCH("上",D4906)),ISNUMBER(SEARCH("去",D4906)),ISNUMBER(SEARCH("入",D4906)))),"Ambiguous",IF(ISNUMBER(SEARCH("平",D4906)),"平","仄")))</x:f>
        <x:v>仄</x:v>
      </x:c>
      <x:c r="L4906" s="7" t="str"/>
    </x:row>
    <x:row r="4907">
      <x:c r="A4907" s="5" t="str">
        <x:v>𤣔</x:v>
      </x:c>
      <x:c r="B4907" s="6" t="str">
        <x:v>上</x:v>
      </x:c>
      <x:c r="C4907" s="6" t="str">
        <x:f>IF(B4907="","Needs decision","Ready")</x:f>
        <x:v>Ready</x:v>
      </x:c>
      <x:c r="D4907" s="6" t="str">
        <x:v>上</x:v>
      </x:c>
      <x:c r="E4907" s="6" t="str">
        <x:v>sjenX (B)</x:v>
      </x:c>
      <x:c r="F4907" s="6" t="str"/>
      <x:c r="G4907" s="6" t="str"/>
      <x:c r="H4907" s="6" t="str">
        <x:v>1</x:v>
      </x:c>
      <x:c r="I4907" s="6" t="str"/>
      <x:c r="J4907" s="6" t="str">
        <x:f>IF(B4907="","",IF(AND(ISNUMBER(SEARCH("平",B4907)),OR(ISNUMBER(SEARCH("上",B4907)),ISNUMBER(SEARCH("去",B4907)),ISNUMBER(SEARCH("入",B4907)))),"Ambiguous",IF(ISNUMBER(SEARCH("平",B4907)),"平","仄")))</x:f>
        <x:v>仄</x:v>
      </x:c>
      <x:c r="K4907" s="6" t="str">
        <x:f>IF(D4907="","",IF(AND(ISNUMBER(SEARCH("平",D4907)),OR(ISNUMBER(SEARCH("上",D4907)),ISNUMBER(SEARCH("去",D4907)),ISNUMBER(SEARCH("入",D4907)))),"Ambiguous",IF(ISNUMBER(SEARCH("平",D4907)),"平","仄")))</x:f>
        <x:v>仄</x:v>
      </x:c>
      <x:c r="L4907" s="7" t="str"/>
    </x:row>
    <x:row r="4908">
      <x:c r="A4908" s="5" t="str">
        <x:v>𤺺</x:v>
      </x:c>
      <x:c r="B4908" s="6" t="str">
        <x:v>上</x:v>
      </x:c>
      <x:c r="C4908" s="6" t="str">
        <x:f>IF(B4908="","Needs decision","Ready")</x:f>
        <x:v>Ready</x:v>
      </x:c>
      <x:c r="D4908" s="6" t="str">
        <x:v>上</x:v>
      </x:c>
      <x:c r="E4908" s="6" t="str">
        <x:v>tanX (B)</x:v>
      </x:c>
      <x:c r="F4908" s="6" t="str"/>
      <x:c r="G4908" s="6" t="str"/>
      <x:c r="H4908" s="6" t="str">
        <x:v>1</x:v>
      </x:c>
      <x:c r="I4908" s="6" t="str"/>
      <x:c r="J4908" s="6" t="str">
        <x:f>IF(B4908="","",IF(AND(ISNUMBER(SEARCH("平",B4908)),OR(ISNUMBER(SEARCH("上",B4908)),ISNUMBER(SEARCH("去",B4908)),ISNUMBER(SEARCH("入",B4908)))),"Ambiguous",IF(ISNUMBER(SEARCH("平",B4908)),"平","仄")))</x:f>
        <x:v>仄</x:v>
      </x:c>
      <x:c r="K4908" s="6" t="str">
        <x:f>IF(D4908="","",IF(AND(ISNUMBER(SEARCH("平",D4908)),OR(ISNUMBER(SEARCH("上",D4908)),ISNUMBER(SEARCH("去",D4908)),ISNUMBER(SEARCH("入",D4908)))),"Ambiguous",IF(ISNUMBER(SEARCH("平",D4908)),"平","仄")))</x:f>
        <x:v>仄</x:v>
      </x:c>
      <x:c r="L4908" s="7" t="str"/>
    </x:row>
    <x:row r="4909">
      <x:c r="A4909" s="5" t="str">
        <x:v>𤻲</x:v>
      </x:c>
      <x:c r="B4909" s="6" t="str">
        <x:v>入</x:v>
      </x:c>
      <x:c r="C4909" s="6" t="str">
        <x:f>IF(B4909="","Needs decision","Ready")</x:f>
        <x:v>Ready</x:v>
      </x:c>
      <x:c r="D4909" s="6" t="str">
        <x:v>入</x:v>
      </x:c>
      <x:c r="E4909" s="6" t="str">
        <x:v>lak (D)</x:v>
      </x:c>
      <x:c r="F4909" s="6" t="str"/>
      <x:c r="G4909" s="6" t="str"/>
      <x:c r="H4909" s="6" t="str">
        <x:v>1</x:v>
      </x:c>
      <x:c r="I4909" s="6" t="str"/>
      <x:c r="J4909" s="6" t="str">
        <x:f>IF(B4909="","",IF(AND(ISNUMBER(SEARCH("平",B4909)),OR(ISNUMBER(SEARCH("上",B4909)),ISNUMBER(SEARCH("去",B4909)),ISNUMBER(SEARCH("入",B4909)))),"Ambiguous",IF(ISNUMBER(SEARCH("平",B4909)),"平","仄")))</x:f>
        <x:v>仄</x:v>
      </x:c>
      <x:c r="K4909" s="6" t="str">
        <x:f>IF(D4909="","",IF(AND(ISNUMBER(SEARCH("平",D4909)),OR(ISNUMBER(SEARCH("上",D4909)),ISNUMBER(SEARCH("去",D4909)),ISNUMBER(SEARCH("入",D4909)))),"Ambiguous",IF(ISNUMBER(SEARCH("平",D4909)),"平","仄")))</x:f>
        <x:v>仄</x:v>
      </x:c>
      <x:c r="L4909" s="7" t="str"/>
    </x:row>
    <x:row r="4910">
      <x:c r="A4910" s="5" t="str">
        <x:v>𥁑</x:v>
      </x:c>
      <x:c r="B4910" s="6" t="str">
        <x:v>入</x:v>
      </x:c>
      <x:c r="C4910" s="6" t="str">
        <x:f>IF(B4910="","Needs decision","Ready")</x:f>
        <x:v>Ready</x:v>
      </x:c>
      <x:c r="D4910" s="6" t="str">
        <x:v>入</x:v>
      </x:c>
      <x:c r="E4910" s="6" t="str">
        <x:v>mjit (D)</x:v>
      </x:c>
      <x:c r="F4910" s="6" t="str"/>
      <x:c r="G4910" s="6" t="str"/>
      <x:c r="H4910" s="6" t="str">
        <x:v>1</x:v>
      </x:c>
      <x:c r="I4910" s="6" t="str"/>
      <x:c r="J4910" s="6" t="str">
        <x:f>IF(B4910="","",IF(AND(ISNUMBER(SEARCH("平",B4910)),OR(ISNUMBER(SEARCH("上",B4910)),ISNUMBER(SEARCH("去",B4910)),ISNUMBER(SEARCH("入",B4910)))),"Ambiguous",IF(ISNUMBER(SEARCH("平",B4910)),"平","仄")))</x:f>
        <x:v>仄</x:v>
      </x:c>
      <x:c r="K4910" s="6" t="str">
        <x:f>IF(D4910="","",IF(AND(ISNUMBER(SEARCH("平",D4910)),OR(ISNUMBER(SEARCH("上",D4910)),ISNUMBER(SEARCH("去",D4910)),ISNUMBER(SEARCH("入",D4910)))),"Ambiguous",IF(ISNUMBER(SEARCH("平",D4910)),"平","仄")))</x:f>
        <x:v>仄</x:v>
      </x:c>
      <x:c r="L4910" s="7" t="str"/>
    </x:row>
    <x:row r="4911">
      <x:c r="A4911" s="5" t="str">
        <x:v>𥁕</x:v>
      </x:c>
      <x:c r="B4911" s="6" t="str">
        <x:v>平</x:v>
      </x:c>
      <x:c r="C4911" s="6" t="str">
        <x:f>IF(B4911="","Needs decision","Ready")</x:f>
        <x:v>Ready</x:v>
      </x:c>
      <x:c r="D4911" s="6" t="str">
        <x:v>平</x:v>
      </x:c>
      <x:c r="E4911" s="6" t="str">
        <x:v>'won (A)</x:v>
      </x:c>
      <x:c r="F4911" s="6" t="str"/>
      <x:c r="G4911" s="6" t="str"/>
      <x:c r="H4911" s="6" t="str">
        <x:v>1</x:v>
      </x:c>
      <x:c r="I4911" s="6" t="str"/>
      <x:c r="J4911" s="6" t="str">
        <x:f>IF(B4911="","",IF(AND(ISNUMBER(SEARCH("平",B4911)),OR(ISNUMBER(SEARCH("上",B4911)),ISNUMBER(SEARCH("去",B4911)),ISNUMBER(SEARCH("入",B4911)))),"Ambiguous",IF(ISNUMBER(SEARCH("平",B4911)),"平","仄")))</x:f>
        <x:v>平</x:v>
      </x:c>
      <x:c r="K4911" s="6" t="str">
        <x:f>IF(D4911="","",IF(AND(ISNUMBER(SEARCH("平",D4911)),OR(ISNUMBER(SEARCH("上",D4911)),ISNUMBER(SEARCH("去",D4911)),ISNUMBER(SEARCH("入",D4911)))),"Ambiguous",IF(ISNUMBER(SEARCH("平",D4911)),"平","仄")))</x:f>
        <x:v>平</x:v>
      </x:c>
      <x:c r="L4911" s="7" t="str"/>
    </x:row>
    <x:row r="4912">
      <x:c r="A4912" s="5" t="str">
        <x:v>𥊽</x:v>
      </x:c>
      <x:c r="B4912" s="6" t="str">
        <x:v>平</x:v>
      </x:c>
      <x:c r="C4912" s="6" t="str">
        <x:f>IF(B4912="","Needs decision","Ready")</x:f>
        <x:v>Ready</x:v>
      </x:c>
      <x:c r="D4912" s="6" t="str">
        <x:v>平</x:v>
      </x:c>
      <x:c r="E4912" s="6" t="str">
        <x:v>kwon (A)</x:v>
      </x:c>
      <x:c r="F4912" s="6" t="str"/>
      <x:c r="G4912" s="6" t="str"/>
      <x:c r="H4912" s="6" t="str">
        <x:v>1</x:v>
      </x:c>
      <x:c r="I4912" s="6" t="str"/>
      <x:c r="J4912" s="6" t="str">
        <x:f>IF(B4912="","",IF(AND(ISNUMBER(SEARCH("平",B4912)),OR(ISNUMBER(SEARCH("上",B4912)),ISNUMBER(SEARCH("去",B4912)),ISNUMBER(SEARCH("入",B4912)))),"Ambiguous",IF(ISNUMBER(SEARCH("平",B4912)),"平","仄")))</x:f>
        <x:v>平</x:v>
      </x:c>
      <x:c r="K4912" s="6" t="str">
        <x:f>IF(D4912="","",IF(AND(ISNUMBER(SEARCH("平",D4912)),OR(ISNUMBER(SEARCH("上",D4912)),ISNUMBER(SEARCH("去",D4912)),ISNUMBER(SEARCH("入",D4912)))),"Ambiguous",IF(ISNUMBER(SEARCH("平",D4912)),"平","仄")))</x:f>
        <x:v>平</x:v>
      </x:c>
      <x:c r="L4912" s="7" t="str"/>
    </x:row>
    <x:row r="4913">
      <x:c r="A4913" s="5" t="str">
        <x:v>𥝌</x:v>
      </x:c>
      <x:c r="B4913" s="6" t="str">
        <x:v>平</x:v>
      </x:c>
      <x:c r="C4913" s="6" t="str">
        <x:f>IF(B4913="","Needs decision","Ready")</x:f>
        <x:v>Ready</x:v>
      </x:c>
      <x:c r="D4913" s="6" t="str">
        <x:v>平</x:v>
      </x:c>
      <x:c r="E4913" s="6" t="str">
        <x:v>kej (A)</x:v>
      </x:c>
      <x:c r="F4913" s="6" t="str"/>
      <x:c r="G4913" s="6" t="str"/>
      <x:c r="H4913" s="6" t="str">
        <x:v>1</x:v>
      </x:c>
      <x:c r="I4913" s="6" t="str"/>
      <x:c r="J4913" s="6" t="str">
        <x:f>IF(B4913="","",IF(AND(ISNUMBER(SEARCH("平",B4913)),OR(ISNUMBER(SEARCH("上",B4913)),ISNUMBER(SEARCH("去",B4913)),ISNUMBER(SEARCH("入",B4913)))),"Ambiguous",IF(ISNUMBER(SEARCH("平",B4913)),"平","仄")))</x:f>
        <x:v>平</x:v>
      </x:c>
      <x:c r="K4913" s="6" t="str">
        <x:f>IF(D4913="","",IF(AND(ISNUMBER(SEARCH("平",D4913)),OR(ISNUMBER(SEARCH("上",D4913)),ISNUMBER(SEARCH("去",D4913)),ISNUMBER(SEARCH("入",D4913)))),"Ambiguous",IF(ISNUMBER(SEARCH("平",D4913)),"平","仄")))</x:f>
        <x:v>平</x:v>
      </x:c>
      <x:c r="L4913" s="7" t="str"/>
    </x:row>
    <x:row r="4914">
      <x:c r="A4914" s="5" t="str">
        <x:v>𥝩</x:v>
      </x:c>
      <x:c r="B4914" s="6" t="str">
        <x:v>去</x:v>
      </x:c>
      <x:c r="C4914" s="6" t="str">
        <x:f>IF(B4914="","Needs decision","Ready")</x:f>
        <x:v>Ready</x:v>
      </x:c>
      <x:c r="D4914" s="6" t="str">
        <x:v>去</x:v>
      </x:c>
      <x:c r="E4914" s="6" t="str">
        <x:v>zwijH (C)</x:v>
      </x:c>
      <x:c r="F4914" s="6" t="str"/>
      <x:c r="G4914" s="6" t="str"/>
      <x:c r="H4914" s="6" t="str">
        <x:v>1</x:v>
      </x:c>
      <x:c r="I4914" s="6" t="str"/>
      <x:c r="J4914" s="6" t="str">
        <x:f>IF(B4914="","",IF(AND(ISNUMBER(SEARCH("平",B4914)),OR(ISNUMBER(SEARCH("上",B4914)),ISNUMBER(SEARCH("去",B4914)),ISNUMBER(SEARCH("入",B4914)))),"Ambiguous",IF(ISNUMBER(SEARCH("平",B4914)),"平","仄")))</x:f>
        <x:v>仄</x:v>
      </x:c>
      <x:c r="K4914" s="6" t="str">
        <x:f>IF(D4914="","",IF(AND(ISNUMBER(SEARCH("平",D4914)),OR(ISNUMBER(SEARCH("上",D4914)),ISNUMBER(SEARCH("去",D4914)),ISNUMBER(SEARCH("入",D4914)))),"Ambiguous",IF(ISNUMBER(SEARCH("平",D4914)),"平","仄")))</x:f>
        <x:v>仄</x:v>
      </x:c>
      <x:c r="L4914" s="7" t="str"/>
    </x:row>
    <x:row r="4915">
      <x:c r="A4915" s="5" t="str">
        <x:v>𥥻</x:v>
      </x:c>
      <x:c r="B4915" s="6" t="str">
        <x:v>去</x:v>
      </x:c>
      <x:c r="C4915" s="6" t="str">
        <x:f>IF(B4915="","Needs decision","Ready")</x:f>
        <x:v>Ready</x:v>
      </x:c>
      <x:c r="D4915" s="6" t="str">
        <x:v>去</x:v>
      </x:c>
      <x:c r="E4915" s="6" t="str">
        <x:v>khengH (C)</x:v>
      </x:c>
      <x:c r="F4915" s="6" t="str"/>
      <x:c r="G4915" s="6" t="str"/>
      <x:c r="H4915" s="6" t="str">
        <x:v>1</x:v>
      </x:c>
      <x:c r="I4915" s="6" t="str"/>
      <x:c r="J4915" s="6" t="str">
        <x:f>IF(B4915="","",IF(AND(ISNUMBER(SEARCH("平",B4915)),OR(ISNUMBER(SEARCH("上",B4915)),ISNUMBER(SEARCH("去",B4915)),ISNUMBER(SEARCH("入",B4915)))),"Ambiguous",IF(ISNUMBER(SEARCH("平",B4915)),"平","仄")))</x:f>
        <x:v>仄</x:v>
      </x:c>
      <x:c r="K4915" s="6" t="str">
        <x:f>IF(D4915="","",IF(AND(ISNUMBER(SEARCH("平",D4915)),OR(ISNUMBER(SEARCH("上",D4915)),ISNUMBER(SEARCH("去",D4915)),ISNUMBER(SEARCH("入",D4915)))),"Ambiguous",IF(ISNUMBER(SEARCH("平",D4915)),"平","仄")))</x:f>
        <x:v>仄</x:v>
      </x:c>
      <x:c r="L4915" s="7" t="str"/>
    </x:row>
    <x:row r="4916">
      <x:c r="A4916" s="5" t="str">
        <x:v>𥼶</x:v>
      </x:c>
      <x:c r="B4916" s="6" t="str">
        <x:v>入</x:v>
      </x:c>
      <x:c r="C4916" s="6" t="str">
        <x:f>IF(B4916="","Needs decision","Ready")</x:f>
        <x:v>Ready</x:v>
      </x:c>
      <x:c r="D4916" s="6" t="str">
        <x:v>入</x:v>
      </x:c>
      <x:c r="E4916" s="6" t="str">
        <x:v>syek (D)</x:v>
      </x:c>
      <x:c r="F4916" s="6" t="str"/>
      <x:c r="G4916" s="6" t="str"/>
      <x:c r="H4916" s="6" t="str">
        <x:v>1</x:v>
      </x:c>
      <x:c r="I4916" s="6" t="str"/>
      <x:c r="J4916" s="6" t="str">
        <x:f>IF(B4916="","",IF(AND(ISNUMBER(SEARCH("平",B4916)),OR(ISNUMBER(SEARCH("上",B4916)),ISNUMBER(SEARCH("去",B4916)),ISNUMBER(SEARCH("入",B4916)))),"Ambiguous",IF(ISNUMBER(SEARCH("平",B4916)),"平","仄")))</x:f>
        <x:v>仄</x:v>
      </x:c>
      <x:c r="K4916" s="6" t="str">
        <x:f>IF(D4916="","",IF(AND(ISNUMBER(SEARCH("平",D4916)),OR(ISNUMBER(SEARCH("上",D4916)),ISNUMBER(SEARCH("去",D4916)),ISNUMBER(SEARCH("入",D4916)))),"Ambiguous",IF(ISNUMBER(SEARCH("平",D4916)),"平","仄")))</x:f>
        <x:v>仄</x:v>
      </x:c>
      <x:c r="L4916" s="7" t="str"/>
    </x:row>
    <x:row r="4917">
      <x:c r="A4917" s="5" t="str">
        <x:v>𦊮</x:v>
      </x:c>
      <x:c r="B4917" s="6" t="str">
        <x:v>平</x:v>
      </x:c>
      <x:c r="C4917" s="6" t="str">
        <x:f>IF(B4917="","Needs decision","Ready")</x:f>
        <x:v>Ready</x:v>
      </x:c>
      <x:c r="D4917" s="6" t="str">
        <x:v>平</x:v>
      </x:c>
      <x:c r="E4917" s="6" t="str">
        <x:v>mjie (A)</x:v>
      </x:c>
      <x:c r="F4917" s="6" t="str"/>
      <x:c r="G4917" s="6" t="str"/>
      <x:c r="H4917" s="6" t="str">
        <x:v>1</x:v>
      </x:c>
      <x:c r="I4917" s="6" t="str"/>
      <x:c r="J4917" s="6" t="str">
        <x:f>IF(B4917="","",IF(AND(ISNUMBER(SEARCH("平",B4917)),OR(ISNUMBER(SEARCH("上",B4917)),ISNUMBER(SEARCH("去",B4917)),ISNUMBER(SEARCH("入",B4917)))),"Ambiguous",IF(ISNUMBER(SEARCH("平",B4917)),"平","仄")))</x:f>
        <x:v>平</x:v>
      </x:c>
      <x:c r="K4917" s="6" t="str">
        <x:f>IF(D4917="","",IF(AND(ISNUMBER(SEARCH("平",D4917)),OR(ISNUMBER(SEARCH("上",D4917)),ISNUMBER(SEARCH("去",D4917)),ISNUMBER(SEARCH("入",D4917)))),"Ambiguous",IF(ISNUMBER(SEARCH("平",D4917)),"平","仄")))</x:f>
        <x:v>平</x:v>
      </x:c>
      <x:c r="L4917" s="7" t="str"/>
    </x:row>
    <x:row r="4918">
      <x:c r="A4918" s="5" t="str">
        <x:v>𦍒</x:v>
      </x:c>
      <x:c r="B4918" s="6" t="str">
        <x:v>入</x:v>
      </x:c>
      <x:c r="C4918" s="6" t="str">
        <x:f>IF(B4918="","Needs decision","Ready")</x:f>
        <x:v>Ready</x:v>
      </x:c>
      <x:c r="D4918" s="6" t="str">
        <x:v>入</x:v>
      </x:c>
      <x:c r="E4918" s="6" t="str">
        <x:v>that (D)</x:v>
      </x:c>
      <x:c r="F4918" s="6" t="str"/>
      <x:c r="G4918" s="6" t="str"/>
      <x:c r="H4918" s="6" t="str">
        <x:v>1</x:v>
      </x:c>
      <x:c r="I4918" s="6" t="str"/>
      <x:c r="J4918" s="6" t="str">
        <x:f>IF(B4918="","",IF(AND(ISNUMBER(SEARCH("平",B4918)),OR(ISNUMBER(SEARCH("上",B4918)),ISNUMBER(SEARCH("去",B4918)),ISNUMBER(SEARCH("入",B4918)))),"Ambiguous",IF(ISNUMBER(SEARCH("平",B4918)),"平","仄")))</x:f>
        <x:v>仄</x:v>
      </x:c>
      <x:c r="K4918" s="6" t="str">
        <x:f>IF(D4918="","",IF(AND(ISNUMBER(SEARCH("平",D4918)),OR(ISNUMBER(SEARCH("上",D4918)),ISNUMBER(SEARCH("去",D4918)),ISNUMBER(SEARCH("入",D4918)))),"Ambiguous",IF(ISNUMBER(SEARCH("平",D4918)),"平","仄")))</x:f>
        <x:v>仄</x:v>
      </x:c>
      <x:c r="L4918" s="7" t="str"/>
    </x:row>
    <x:row r="4919">
      <x:c r="A4919" s="5" t="str">
        <x:v>𦐈</x:v>
      </x:c>
      <x:c r="B4919" s="6" t="str">
        <x:v>平</x:v>
      </x:c>
      <x:c r="C4919" s="6" t="str">
        <x:f>IF(B4919="","Needs decision","Ready")</x:f>
        <x:v>Ready</x:v>
      </x:c>
      <x:c r="D4919" s="6" t="str">
        <x:v>平</x:v>
      </x:c>
      <x:c r="E4919" s="6" t="str">
        <x:v>pjun (A)</x:v>
      </x:c>
      <x:c r="F4919" s="6" t="str"/>
      <x:c r="G4919" s="6" t="str"/>
      <x:c r="H4919" s="6" t="str">
        <x:v>1</x:v>
      </x:c>
      <x:c r="I4919" s="6" t="str"/>
      <x:c r="J4919" s="6" t="str">
        <x:f>IF(B4919="","",IF(AND(ISNUMBER(SEARCH("平",B4919)),OR(ISNUMBER(SEARCH("上",B4919)),ISNUMBER(SEARCH("去",B4919)),ISNUMBER(SEARCH("入",B4919)))),"Ambiguous",IF(ISNUMBER(SEARCH("平",B4919)),"平","仄")))</x:f>
        <x:v>平</x:v>
      </x:c>
      <x:c r="K4919" s="6" t="str">
        <x:f>IF(D4919="","",IF(AND(ISNUMBER(SEARCH("平",D4919)),OR(ISNUMBER(SEARCH("上",D4919)),ISNUMBER(SEARCH("去",D4919)),ISNUMBER(SEARCH("入",D4919)))),"Ambiguous",IF(ISNUMBER(SEARCH("平",D4919)),"平","仄")))</x:f>
        <x:v>平</x:v>
      </x:c>
      <x:c r="L4919" s="7" t="str"/>
    </x:row>
    <x:row r="4920">
      <x:c r="A4920" s="5" t="str">
        <x:v>𦣞</x:v>
      </x:c>
      <x:c r="B4920" s="6" t="str">
        <x:v>平</x:v>
      </x:c>
      <x:c r="C4920" s="6" t="str">
        <x:f>IF(B4920="","Needs decision","Ready")</x:f>
        <x:v>Ready</x:v>
      </x:c>
      <x:c r="D4920" s="6" t="str">
        <x:v>平</x:v>
      </x:c>
      <x:c r="E4920" s="6" t="str">
        <x:v>yi (A)</x:v>
      </x:c>
      <x:c r="F4920" s="6" t="str"/>
      <x:c r="G4920" s="6" t="str"/>
      <x:c r="H4920" s="6" t="str">
        <x:v>1</x:v>
      </x:c>
      <x:c r="I4920" s="6" t="str"/>
      <x:c r="J4920" s="6" t="str">
        <x:f>IF(B4920="","",IF(AND(ISNUMBER(SEARCH("平",B4920)),OR(ISNUMBER(SEARCH("上",B4920)),ISNUMBER(SEARCH("去",B4920)),ISNUMBER(SEARCH("入",B4920)))),"Ambiguous",IF(ISNUMBER(SEARCH("平",B4920)),"平","仄")))</x:f>
        <x:v>平</x:v>
      </x:c>
      <x:c r="K4920" s="6" t="str">
        <x:f>IF(D4920="","",IF(AND(ISNUMBER(SEARCH("平",D4920)),OR(ISNUMBER(SEARCH("上",D4920)),ISNUMBER(SEARCH("去",D4920)),ISNUMBER(SEARCH("入",D4920)))),"Ambiguous",IF(ISNUMBER(SEARCH("平",D4920)),"平","仄")))</x:f>
        <x:v>平</x:v>
      </x:c>
      <x:c r="L4920" s="7" t="str"/>
    </x:row>
    <x:row r="4921">
      <x:c r="A4921" s="5" t="str">
        <x:v>𦳊</x:v>
      </x:c>
      <x:c r="B4921" s="6" t="str">
        <x:v>上</x:v>
      </x:c>
      <x:c r="C4921" s="6" t="str">
        <x:f>IF(B4921="","Needs decision","Ready")</x:f>
        <x:v>Ready</x:v>
      </x:c>
      <x:c r="D4921" s="6" t="str">
        <x:v>上</x:v>
      </x:c>
      <x:c r="E4921" s="6" t="str">
        <x:v>syijX (B)</x:v>
      </x:c>
      <x:c r="F4921" s="6" t="str"/>
      <x:c r="G4921" s="6" t="str"/>
      <x:c r="H4921" s="6" t="str">
        <x:v>1</x:v>
      </x:c>
      <x:c r="I4921" s="6" t="str"/>
      <x:c r="J4921" s="6" t="str">
        <x:f>IF(B4921="","",IF(AND(ISNUMBER(SEARCH("平",B4921)),OR(ISNUMBER(SEARCH("上",B4921)),ISNUMBER(SEARCH("去",B4921)),ISNUMBER(SEARCH("入",B4921)))),"Ambiguous",IF(ISNUMBER(SEARCH("平",B4921)),"平","仄")))</x:f>
        <x:v>仄</x:v>
      </x:c>
      <x:c r="K4921" s="6" t="str">
        <x:f>IF(D4921="","",IF(AND(ISNUMBER(SEARCH("平",D4921)),OR(ISNUMBER(SEARCH("上",D4921)),ISNUMBER(SEARCH("去",D4921)),ISNUMBER(SEARCH("入",D4921)))),"Ambiguous",IF(ISNUMBER(SEARCH("平",D4921)),"平","仄")))</x:f>
        <x:v>仄</x:v>
      </x:c>
      <x:c r="L4921" s="7" t="str"/>
    </x:row>
    <x:row r="4922">
      <x:c r="A4922" s="5" t="str">
        <x:v>𧆨</x:v>
      </x:c>
      <x:c r="B4922" s="6" t="str">
        <x:v>平</x:v>
      </x:c>
      <x:c r="C4922" s="6" t="str">
        <x:f>IF(B4922="","Needs decision","Ready")</x:f>
        <x:v>Ready</x:v>
      </x:c>
      <x:c r="D4922" s="6" t="str">
        <x:v>平</x:v>
      </x:c>
      <x:c r="E4922" s="6" t="str">
        <x:v>lu (A)</x:v>
      </x:c>
      <x:c r="F4922" s="6" t="str"/>
      <x:c r="G4922" s="6" t="str"/>
      <x:c r="H4922" s="6" t="str">
        <x:v>1</x:v>
      </x:c>
      <x:c r="I4922" s="6" t="str"/>
      <x:c r="J4922" s="6" t="str">
        <x:f>IF(B4922="","",IF(AND(ISNUMBER(SEARCH("平",B4922)),OR(ISNUMBER(SEARCH("上",B4922)),ISNUMBER(SEARCH("去",B4922)),ISNUMBER(SEARCH("入",B4922)))),"Ambiguous",IF(ISNUMBER(SEARCH("平",B4922)),"平","仄")))</x:f>
        <x:v>平</x:v>
      </x:c>
      <x:c r="K4922" s="6" t="str">
        <x:f>IF(D4922="","",IF(AND(ISNUMBER(SEARCH("平",D4922)),OR(ISNUMBER(SEARCH("上",D4922)),ISNUMBER(SEARCH("去",D4922)),ISNUMBER(SEARCH("入",D4922)))),"Ambiguous",IF(ISNUMBER(SEARCH("平",D4922)),"平","仄")))</x:f>
        <x:v>平</x:v>
      </x:c>
      <x:c r="L4922" s="7" t="str"/>
    </x:row>
    <x:row r="4923">
      <x:c r="A4923" s="5" t="str">
        <x:v>𧪜</x:v>
      </x:c>
      <x:c r="B4923" s="6" t="str">
        <x:v>去</x:v>
      </x:c>
      <x:c r="C4923" s="6" t="str">
        <x:f>IF(B4923="","Needs decision","Ready")</x:f>
        <x:v>Ready</x:v>
      </x:c>
      <x:c r="D4923" s="6" t="str">
        <x:v>去</x:v>
      </x:c>
      <x:c r="E4923" s="6" t="str">
        <x:v>suH (C)</x:v>
      </x:c>
      <x:c r="F4923" s="6" t="str"/>
      <x:c r="G4923" s="6" t="str"/>
      <x:c r="H4923" s="6" t="str">
        <x:v>1</x:v>
      </x:c>
      <x:c r="I4923" s="6" t="str"/>
      <x:c r="J4923" s="6" t="str">
        <x:f>IF(B4923="","",IF(AND(ISNUMBER(SEARCH("平",B4923)),OR(ISNUMBER(SEARCH("上",B4923)),ISNUMBER(SEARCH("去",B4923)),ISNUMBER(SEARCH("入",B4923)))),"Ambiguous",IF(ISNUMBER(SEARCH("平",B4923)),"平","仄")))</x:f>
        <x:v>仄</x:v>
      </x:c>
      <x:c r="K4923" s="6" t="str">
        <x:f>IF(D4923="","",IF(AND(ISNUMBER(SEARCH("平",D4923)),OR(ISNUMBER(SEARCH("上",D4923)),ISNUMBER(SEARCH("去",D4923)),ISNUMBER(SEARCH("入",D4923)))),"Ambiguous",IF(ISNUMBER(SEARCH("平",D4923)),"平","仄")))</x:f>
        <x:v>仄</x:v>
      </x:c>
      <x:c r="L4923" s="7" t="str"/>
    </x:row>
    <x:row r="4924">
      <x:c r="A4924" s="5" t="str">
        <x:v>𧮫</x:v>
      </x:c>
      <x:c r="B4924" s="6" t="str">
        <x:v>入</x:v>
      </x:c>
      <x:c r="C4924" s="6" t="str">
        <x:f>IF(B4924="","Needs decision","Ready")</x:f>
        <x:v>Ready</x:v>
      </x:c>
      <x:c r="D4924" s="6" t="str">
        <x:v>入</x:v>
      </x:c>
      <x:c r="E4924" s="6" t="str">
        <x:v>gjak (D)</x:v>
      </x:c>
      <x:c r="F4924" s="6" t="str"/>
      <x:c r="G4924" s="6" t="str"/>
      <x:c r="H4924" s="6" t="str">
        <x:v>1</x:v>
      </x:c>
      <x:c r="I4924" s="6" t="str"/>
      <x:c r="J4924" s="6" t="str">
        <x:f>IF(B4924="","",IF(AND(ISNUMBER(SEARCH("平",B4924)),OR(ISNUMBER(SEARCH("上",B4924)),ISNUMBER(SEARCH("去",B4924)),ISNUMBER(SEARCH("入",B4924)))),"Ambiguous",IF(ISNUMBER(SEARCH("平",B4924)),"平","仄")))</x:f>
        <x:v>仄</x:v>
      </x:c>
      <x:c r="K4924" s="6" t="str">
        <x:f>IF(D4924="","",IF(AND(ISNUMBER(SEARCH("平",D4924)),OR(ISNUMBER(SEARCH("上",D4924)),ISNUMBER(SEARCH("去",D4924)),ISNUMBER(SEARCH("入",D4924)))),"Ambiguous",IF(ISNUMBER(SEARCH("平",D4924)),"平","仄")))</x:f>
        <x:v>仄</x:v>
      </x:c>
      <x:c r="L4924" s="7" t="str"/>
    </x:row>
    <x:row r="4925">
      <x:c r="A4925" s="5" t="str">
        <x:v>𧰼</x:v>
      </x:c>
      <x:c r="B4925" s="6" t="str">
        <x:v>上</x:v>
      </x:c>
      <x:c r="C4925" s="6" t="str">
        <x:f>IF(B4925="","Needs decision","Ready")</x:f>
        <x:v>Ready</x:v>
      </x:c>
      <x:c r="D4925" s="6" t="str">
        <x:v>上</x:v>
      </x:c>
      <x:c r="E4925" s="6" t="str"/>
      <x:c r="F4925" s="6" t="str"/>
      <x:c r="G4925" s="6" t="str"/>
      <x:c r="H4925" s="6" t="str"/>
      <x:c r="I4925" s="6" t="str">
        <x:v>Manual user correction/addition</x:v>
      </x:c>
      <x:c r="J4925" s="6" t="str">
        <x:f>IF(B4925="","",IF(AND(ISNUMBER(SEARCH("平",B4925)),OR(ISNUMBER(SEARCH("上",B4925)),ISNUMBER(SEARCH("去",B4925)),ISNUMBER(SEARCH("入",B4925)))),"Ambiguous",IF(ISNUMBER(SEARCH("平",B4925)),"平","仄")))</x:f>
        <x:v>仄</x:v>
      </x:c>
      <x:c r="K4925" s="6" t="str">
        <x:f>IF(D4925="","",IF(AND(ISNUMBER(SEARCH("平",D4925)),OR(ISNUMBER(SEARCH("上",D4925)),ISNUMBER(SEARCH("去",D4925)),ISNUMBER(SEARCH("入",D4925)))),"Ambiguous",IF(ISNUMBER(SEARCH("平",D4925)),"平","仄")))</x:f>
        <x:v>仄</x:v>
      </x:c>
      <x:c r="L4925" s="7" t="str">
        <x:v>manual user correction</x:v>
      </x:c>
    </x:row>
    <x:row r="4926">
      <x:c r="A4926" s="5" t="str">
        <x:v>𧳏</x:v>
      </x:c>
      <x:c r="B4926" s="6" t="str">
        <x:v>平</x:v>
      </x:c>
      <x:c r="C4926" s="6" t="str">
        <x:f>IF(B4926="","Needs decision","Ready")</x:f>
        <x:v>Ready</x:v>
      </x:c>
      <x:c r="D4926" s="6" t="str">
        <x:v>平</x:v>
      </x:c>
      <x:c r="E4926" s="6" t="str">
        <x:v>bij (A)</x:v>
      </x:c>
      <x:c r="F4926" s="6" t="str"/>
      <x:c r="G4926" s="6" t="str"/>
      <x:c r="H4926" s="6" t="str">
        <x:v>1</x:v>
      </x:c>
      <x:c r="I4926" s="6" t="str"/>
      <x:c r="J4926" s="6" t="str">
        <x:f>IF(B4926="","",IF(AND(ISNUMBER(SEARCH("平",B4926)),OR(ISNUMBER(SEARCH("上",B4926)),ISNUMBER(SEARCH("去",B4926)),ISNUMBER(SEARCH("入",B4926)))),"Ambiguous",IF(ISNUMBER(SEARCH("平",B4926)),"平","仄")))</x:f>
        <x:v>平</x:v>
      </x:c>
      <x:c r="K4926" s="6" t="str">
        <x:f>IF(D4926="","",IF(AND(ISNUMBER(SEARCH("平",D4926)),OR(ISNUMBER(SEARCH("上",D4926)),ISNUMBER(SEARCH("去",D4926)),ISNUMBER(SEARCH("入",D4926)))),"Ambiguous",IF(ISNUMBER(SEARCH("平",D4926)),"平","仄")))</x:f>
        <x:v>平</x:v>
      </x:c>
      <x:c r="L4926" s="7" t="str"/>
    </x:row>
    <x:row r="4927">
      <x:c r="A4927" s="5" t="str">
        <x:v>𧳟</x:v>
      </x:c>
      <x:c r="B4927" s="6" t="str">
        <x:v>平</x:v>
      </x:c>
      <x:c r="C4927" s="6" t="str">
        <x:f>IF(B4927="","Needs decision","Ready")</x:f>
        <x:v>Ready</x:v>
      </x:c>
      <x:c r="D4927" s="6" t="str">
        <x:v>平</x:v>
      </x:c>
      <x:c r="E4927" s="6" t="str">
        <x:v>loj (A)</x:v>
      </x:c>
      <x:c r="F4927" s="6" t="str"/>
      <x:c r="G4927" s="6" t="str"/>
      <x:c r="H4927" s="6" t="str">
        <x:v>1</x:v>
      </x:c>
      <x:c r="I4927" s="6" t="str"/>
      <x:c r="J4927" s="6" t="str">
        <x:f>IF(B4927="","",IF(AND(ISNUMBER(SEARCH("平",B4927)),OR(ISNUMBER(SEARCH("上",B4927)),ISNUMBER(SEARCH("去",B4927)),ISNUMBER(SEARCH("入",B4927)))),"Ambiguous",IF(ISNUMBER(SEARCH("平",B4927)),"平","仄")))</x:f>
        <x:v>平</x:v>
      </x:c>
      <x:c r="K4927" s="6" t="str">
        <x:f>IF(D4927="","",IF(AND(ISNUMBER(SEARCH("平",D4927)),OR(ISNUMBER(SEARCH("上",D4927)),ISNUMBER(SEARCH("去",D4927)),ISNUMBER(SEARCH("入",D4927)))),"Ambiguous",IF(ISNUMBER(SEARCH("平",D4927)),"平","仄")))</x:f>
        <x:v>平</x:v>
      </x:c>
      <x:c r="L4927" s="7" t="str"/>
    </x:row>
    <x:row r="4928">
      <x:c r="A4928" s="5" t="str">
        <x:v>𧶠</x:v>
      </x:c>
      <x:c r="B4928" s="6" t="str">
        <x:v>入</x:v>
      </x:c>
      <x:c r="C4928" s="6" t="str">
        <x:f>IF(B4928="","Needs decision","Ready")</x:f>
        <x:v>Ready</x:v>
      </x:c>
      <x:c r="D4928" s="6" t="str">
        <x:v>入</x:v>
      </x:c>
      <x:c r="E4928" s="6" t="str">
        <x:v>yuwk (D)</x:v>
      </x:c>
      <x:c r="F4928" s="6" t="str"/>
      <x:c r="G4928" s="6" t="str"/>
      <x:c r="H4928" s="6" t="str">
        <x:v>1</x:v>
      </x:c>
      <x:c r="I4928" s="6" t="str"/>
      <x:c r="J4928" s="6" t="str">
        <x:f>IF(B4928="","",IF(AND(ISNUMBER(SEARCH("平",B4928)),OR(ISNUMBER(SEARCH("上",B4928)),ISNUMBER(SEARCH("去",B4928)),ISNUMBER(SEARCH("入",B4928)))),"Ambiguous",IF(ISNUMBER(SEARCH("平",B4928)),"平","仄")))</x:f>
        <x:v>仄</x:v>
      </x:c>
      <x:c r="K4928" s="6" t="str">
        <x:f>IF(D4928="","",IF(AND(ISNUMBER(SEARCH("平",D4928)),OR(ISNUMBER(SEARCH("上",D4928)),ISNUMBER(SEARCH("去",D4928)),ISNUMBER(SEARCH("入",D4928)))),"Ambiguous",IF(ISNUMBER(SEARCH("平",D4928)),"平","仄")))</x:f>
        <x:v>仄</x:v>
      </x:c>
      <x:c r="L4928" s="7" t="str"/>
    </x:row>
    <x:row r="4929">
      <x:c r="A4929" s="5" t="str">
        <x:v>𨒪</x:v>
      </x:c>
      <x:c r="B4929" s="6" t="str">
        <x:v>入</x:v>
      </x:c>
      <x:c r="C4929" s="6" t="str">
        <x:f>IF(B4929="","Needs decision","Ready")</x:f>
        <x:v>Ready</x:v>
      </x:c>
      <x:c r="D4929" s="6" t="str">
        <x:v>入</x:v>
      </x:c>
      <x:c r="E4929" s="6" t="str">
        <x:v>tsjek (D)</x:v>
      </x:c>
      <x:c r="F4929" s="6" t="str"/>
      <x:c r="G4929" s="6" t="str"/>
      <x:c r="H4929" s="6" t="str">
        <x:v>1</x:v>
      </x:c>
      <x:c r="I4929" s="6" t="str"/>
      <x:c r="J4929" s="6" t="str">
        <x:f>IF(B4929="","",IF(AND(ISNUMBER(SEARCH("平",B4929)),OR(ISNUMBER(SEARCH("上",B4929)),ISNUMBER(SEARCH("去",B4929)),ISNUMBER(SEARCH("入",B4929)))),"Ambiguous",IF(ISNUMBER(SEARCH("平",B4929)),"平","仄")))</x:f>
        <x:v>仄</x:v>
      </x:c>
      <x:c r="K4929" s="6" t="str">
        <x:f>IF(D4929="","",IF(AND(ISNUMBER(SEARCH("平",D4929)),OR(ISNUMBER(SEARCH("上",D4929)),ISNUMBER(SEARCH("去",D4929)),ISNUMBER(SEARCH("入",D4929)))),"Ambiguous",IF(ISNUMBER(SEARCH("平",D4929)),"平","仄")))</x:f>
        <x:v>仄</x:v>
      </x:c>
      <x:c r="L4929" s="7" t="str"/>
    </x:row>
    <x:row r="4930">
      <x:c r="A4930" s="5" t="str">
        <x:v>𨹟</x:v>
      </x:c>
      <x:c r="B4930" s="6" t="str">
        <x:v>去</x:v>
      </x:c>
      <x:c r="C4930" s="6" t="str">
        <x:f>IF(B4930="","Needs decision","Ready")</x:f>
        <x:v>Ready</x:v>
      </x:c>
      <x:c r="D4930" s="6" t="str"/>
      <x:c r="E4930" s="6" t="str"/>
      <x:c r="F4930" s="6" t="str"/>
      <x:c r="G4930" s="6" t="str"/>
      <x:c r="H4930" s="6" t="str"/>
      <x:c r="I4930" s="6" t="str">
        <x:v>Not found in Xun Gong source; needs manual lookup</x:v>
      </x:c>
      <x:c r="J4930" s="6" t="str">
        <x:f>IF(B4930="","",IF(AND(ISNUMBER(SEARCH("平",B4930)),OR(ISNUMBER(SEARCH("上",B4930)),ISNUMBER(SEARCH("去",B4930)),ISNUMBER(SEARCH("入",B4930)))),"Ambiguous",IF(ISNUMBER(SEARCH("平",B4930)),"平","仄")))</x:f>
        <x:v>仄</x:v>
      </x:c>
      <x:c r="K4930" s="6" t="str">
        <x:f>IF(D4930="","",IF(AND(ISNUMBER(SEARCH("平",D4930)),OR(ISNUMBER(SEARCH("上",D4930)),ISNUMBER(SEARCH("去",D4930)),ISNUMBER(SEARCH("入",D4930)))),"Ambiguous",IF(ISNUMBER(SEARCH("平",D4930)),"平","仄")))</x:f>
      </x:c>
      <x:c r="L4930" s="7" t="str"/>
    </x:row>
    <x:row r="4931">
      <x:c r="A4931" s="5" t="str">
        <x:v>𨽿</x:v>
      </x:c>
      <x:c r="B4931" s="6" t="str">
        <x:v>上</x:v>
      </x:c>
      <x:c r="C4931" s="6" t="str">
        <x:f>IF(B4931="","Needs decision","Ready")</x:f>
        <x:v>Ready</x:v>
      </x:c>
      <x:c r="D4931" s="6" t="str">
        <x:v>上</x:v>
      </x:c>
      <x:c r="E4931" s="6" t="str">
        <x:v>dojX (B)</x:v>
      </x:c>
      <x:c r="F4931" s="6" t="str"/>
      <x:c r="G4931" s="6" t="str"/>
      <x:c r="H4931" s="6" t="str">
        <x:v>1</x:v>
      </x:c>
      <x:c r="I4931" s="6" t="str"/>
      <x:c r="J4931" s="6" t="str">
        <x:f>IF(B4931="","",IF(AND(ISNUMBER(SEARCH("平",B4931)),OR(ISNUMBER(SEARCH("上",B4931)),ISNUMBER(SEARCH("去",B4931)),ISNUMBER(SEARCH("入",B4931)))),"Ambiguous",IF(ISNUMBER(SEARCH("平",B4931)),"平","仄")))</x:f>
        <x:v>仄</x:v>
      </x:c>
      <x:c r="K4931" s="6" t="str">
        <x:f>IF(D4931="","",IF(AND(ISNUMBER(SEARCH("平",D4931)),OR(ISNUMBER(SEARCH("上",D4931)),ISNUMBER(SEARCH("去",D4931)),ISNUMBER(SEARCH("入",D4931)))),"Ambiguous",IF(ISNUMBER(SEARCH("平",D4931)),"平","仄")))</x:f>
        <x:v>仄</x:v>
      </x:c>
      <x:c r="L4931" s="7" t="str"/>
    </x:row>
    <x:row r="4932">
      <x:c r="A4932" s="5" t="str">
        <x:v>𩆵</x:v>
      </x:c>
      <x:c r="B4932" s="6" t="str"/>
      <x:c r="C4932" s="6" t="str">
        <x:f>IF(B4932="","Needs decision","Ready")</x:f>
        <x:v>Needs decision</x:v>
      </x:c>
      <x:c r="D4932" s="6" t="str">
        <x:v>平/去</x:v>
      </x:c>
      <x:c r="E4932" s="6" t="str">
        <x:v>sje (A); senH (C)</x:v>
      </x:c>
      <x:c r="F4932" s="6" t="str"/>
      <x:c r="G4932" s="6" t="str"/>
      <x:c r="H4932" s="6" t="str">
        <x:v>2</x:v>
      </x:c>
      <x:c r="I4932" s="6" t="str"/>
      <x:c r="J4932" s="6" t="str">
        <x:f>IF(B4932="","",IF(AND(ISNUMBER(SEARCH("平",B4932)),OR(ISNUMBER(SEARCH("上",B4932)),ISNUMBER(SEARCH("去",B4932)),ISNUMBER(SEARCH("入",B4932)))),"Ambiguous",IF(ISNUMBER(SEARCH("平",B4932)),"平","仄")))</x:f>
      </x:c>
      <x:c r="K4932" s="6" t="str">
        <x:f>IF(D4932="","",IF(AND(ISNUMBER(SEARCH("平",D4932)),OR(ISNUMBER(SEARCH("上",D4932)),ISNUMBER(SEARCH("去",D4932)),ISNUMBER(SEARCH("入",D4932)))),"Ambiguous",IF(ISNUMBER(SEARCH("平",D4932)),"平","仄")))</x:f>
        <x:v>Ambiguous</x:v>
      </x:c>
      <x:c r="L4932" s="7" t="str"/>
    </x:row>
    <x:row r="4933">
      <x:c r="A4933" s="5" t="str">
        <x:v>𩎟</x:v>
      </x:c>
      <x:c r="B4933" s="6" t="str">
        <x:v>去</x:v>
      </x:c>
      <x:c r="C4933" s="6" t="str">
        <x:f>IF(B4933="","Needs decision","Ready")</x:f>
        <x:v>Ready</x:v>
      </x:c>
      <x:c r="D4933" s="6" t="str">
        <x:v>去</x:v>
      </x:c>
      <x:c r="E4933" s="6" t="str">
        <x:v>meajH (C)</x:v>
      </x:c>
      <x:c r="F4933" s="6" t="str"/>
      <x:c r="G4933" s="6" t="str"/>
      <x:c r="H4933" s="6" t="str">
        <x:v>1</x:v>
      </x:c>
      <x:c r="I4933" s="6" t="str"/>
      <x:c r="J4933" s="6" t="str">
        <x:f>IF(B4933="","",IF(AND(ISNUMBER(SEARCH("平",B4933)),OR(ISNUMBER(SEARCH("上",B4933)),ISNUMBER(SEARCH("去",B4933)),ISNUMBER(SEARCH("入",B4933)))),"Ambiguous",IF(ISNUMBER(SEARCH("平",B4933)),"平","仄")))</x:f>
        <x:v>仄</x:v>
      </x:c>
      <x:c r="K4933" s="6" t="str">
        <x:f>IF(D4933="","",IF(AND(ISNUMBER(SEARCH("平",D4933)),OR(ISNUMBER(SEARCH("上",D4933)),ISNUMBER(SEARCH("去",D4933)),ISNUMBER(SEARCH("入",D4933)))),"Ambiguous",IF(ISNUMBER(SEARCH("平",D4933)),"平","仄")))</x:f>
        <x:v>仄</x:v>
      </x:c>
      <x:c r="L4933" s="7" t="str"/>
    </x:row>
    <x:row r="4934">
      <x:c r="A4934" s="5" t="str">
        <x:v>𩕾</x:v>
      </x:c>
      <x:c r="B4934" s="6" t="str">
        <x:v>去</x:v>
      </x:c>
      <x:c r="C4934" s="6" t="str">
        <x:f>IF(B4934="","Needs decision","Ready")</x:f>
        <x:v>Ready</x:v>
      </x:c>
      <x:c r="D4934" s="6" t="str">
        <x:v>去</x:v>
      </x:c>
      <x:c r="E4934" s="6" t="str">
        <x:v>ngjwonH (C)</x:v>
      </x:c>
      <x:c r="F4934" s="6" t="str"/>
      <x:c r="G4934" s="6" t="str"/>
      <x:c r="H4934" s="6" t="str">
        <x:v>1</x:v>
      </x:c>
      <x:c r="I4934" s="6" t="str"/>
      <x:c r="J4934" s="6" t="str">
        <x:f>IF(B4934="","",IF(AND(ISNUMBER(SEARCH("平",B4934)),OR(ISNUMBER(SEARCH("上",B4934)),ISNUMBER(SEARCH("去",B4934)),ISNUMBER(SEARCH("入",B4934)))),"Ambiguous",IF(ISNUMBER(SEARCH("平",B4934)),"平","仄")))</x:f>
        <x:v>仄</x:v>
      </x:c>
      <x:c r="K4934" s="6" t="str">
        <x:f>IF(D4934="","",IF(AND(ISNUMBER(SEARCH("平",D4934)),OR(ISNUMBER(SEARCH("上",D4934)),ISNUMBER(SEARCH("去",D4934)),ISNUMBER(SEARCH("入",D4934)))),"Ambiguous",IF(ISNUMBER(SEARCH("平",D4934)),"平","仄")))</x:f>
        <x:v>仄</x:v>
      </x:c>
      <x:c r="L4934" s="7" t="str"/>
    </x:row>
    <x:row r="4935">
      <x:c r="A4935" s="5" t="str">
        <x:v>𩰲</x:v>
      </x:c>
      <x:c r="B4935" s="6" t="str">
        <x:v>入</x:v>
      </x:c>
      <x:c r="C4935" s="6" t="str">
        <x:f>IF(B4935="","Needs decision","Ready")</x:f>
        <x:v>Ready</x:v>
      </x:c>
      <x:c r="D4935" s="6" t="str">
        <x:v>入</x:v>
      </x:c>
      <x:c r="E4935" s="6" t="str">
        <x:v>lek (D)</x:v>
      </x:c>
      <x:c r="F4935" s="6" t="str"/>
      <x:c r="G4935" s="6" t="str"/>
      <x:c r="H4935" s="6" t="str">
        <x:v>1</x:v>
      </x:c>
      <x:c r="I4935" s="6" t="str"/>
      <x:c r="J4935" s="6" t="str">
        <x:f>IF(B4935="","",IF(AND(ISNUMBER(SEARCH("平",B4935)),OR(ISNUMBER(SEARCH("上",B4935)),ISNUMBER(SEARCH("去",B4935)),ISNUMBER(SEARCH("入",B4935)))),"Ambiguous",IF(ISNUMBER(SEARCH("平",B4935)),"平","仄")))</x:f>
        <x:v>仄</x:v>
      </x:c>
      <x:c r="K4935" s="6" t="str">
        <x:f>IF(D4935="","",IF(AND(ISNUMBER(SEARCH("平",D4935)),OR(ISNUMBER(SEARCH("上",D4935)),ISNUMBER(SEARCH("去",D4935)),ISNUMBER(SEARCH("入",D4935)))),"Ambiguous",IF(ISNUMBER(SEARCH("平",D4935)),"平","仄")))</x:f>
        <x:v>仄</x:v>
      </x:c>
      <x:c r="L4935" s="7" t="str"/>
    </x:row>
    <x:row r="4936">
      <x:c r="A4936" s="5" t="str">
        <x:v>𩱡</x:v>
      </x:c>
      <x:c r="B4936" s="6" t="str">
        <x:v>平</x:v>
      </x:c>
      <x:c r="C4936" s="6" t="str">
        <x:f>IF(B4936="","Needs decision","Ready")</x:f>
        <x:v>Ready</x:v>
      </x:c>
      <x:c r="D4936" s="6" t="str">
        <x:v>平</x:v>
      </x:c>
      <x:c r="E4936" s="6" t="str">
        <x:v>kjon (A)</x:v>
      </x:c>
      <x:c r="F4936" s="6" t="str"/>
      <x:c r="G4936" s="6" t="str"/>
      <x:c r="H4936" s="6" t="str">
        <x:v>1</x:v>
      </x:c>
      <x:c r="I4936" s="6" t="str"/>
      <x:c r="J4936" s="6" t="str">
        <x:f>IF(B4936="","",IF(AND(ISNUMBER(SEARCH("平",B4936)),OR(ISNUMBER(SEARCH("上",B4936)),ISNUMBER(SEARCH("去",B4936)),ISNUMBER(SEARCH("入",B4936)))),"Ambiguous",IF(ISNUMBER(SEARCH("平",B4936)),"平","仄")))</x:f>
        <x:v>平</x:v>
      </x:c>
      <x:c r="K4936" s="6" t="str">
        <x:f>IF(D4936="","",IF(AND(ISNUMBER(SEARCH("平",D4936)),OR(ISNUMBER(SEARCH("上",D4936)),ISNUMBER(SEARCH("去",D4936)),ISNUMBER(SEARCH("入",D4936)))),"Ambiguous",IF(ISNUMBER(SEARCH("平",D4936)),"平","仄")))</x:f>
        <x:v>平</x:v>
      </x:c>
      <x:c r="L4936" s="7" t="str"/>
    </x:row>
    <x:row r="4937">
      <x:c r="A4937" s="5" t="str">
        <x:v>𮘧</x:v>
      </x:c>
      <x:c r="B4937" s="6" t="str"/>
      <x:c r="C4937" s="6" t="str">
        <x:f>IF(B4937="","Needs decision","Ready")</x:f>
        <x:v>Needs decision</x:v>
      </x:c>
      <x:c r="D4937" s="6" t="str"/>
      <x:c r="E4937" s="6" t="str"/>
      <x:c r="F4937" s="6" t="str"/>
      <x:c r="G4937" s="6" t="str"/>
      <x:c r="H4937" s="6" t="str"/>
      <x:c r="I4937" s="6" t="str">
        <x:v>Missing from current table and Xun Gong source; needs manual lookup</x:v>
      </x:c>
      <x:c r="J4937" s="6" t="str">
        <x:f>IF(B4937="","",IF(AND(ISNUMBER(SEARCH("平",B4937)),OR(ISNUMBER(SEARCH("上",B4937)),ISNUMBER(SEARCH("去",B4937)),ISNUMBER(SEARCH("入",B4937)))),"Ambiguous",IF(ISNUMBER(SEARCH("平",B4937)),"平","仄")))</x:f>
      </x:c>
      <x:c r="K4937" s="6" t="str">
        <x:f>IF(D4937="","",IF(AND(ISNUMBER(SEARCH("平",D4937)),OR(ISNUMBER(SEARCH("上",D4937)),ISNUMBER(SEARCH("去",D4937)),ISNUMBER(SEARCH("入",D4937)))),"Ambiguous",IF(ISNUMBER(SEARCH("平",D4937)),"平","仄")))</x:f>
      </x:c>
      <x:c r="L4937" s="7" t="str"/>
    </x:row>
    <x:row r="4938">
      <x:c r="A4938" s="5" t="str">
        <x:v>丱</x:v>
      </x:c>
      <x:c r="B4938" s="6" t="str">
        <x:v>去</x:v>
      </x:c>
      <x:c r="C4938" s="6" t="str">
        <x:f>IF(B4938="","Needs decision","Ready")</x:f>
        <x:v>Ready</x:v>
      </x:c>
      <x:c r="D4938" s="6" t="str">
        <x:v>去</x:v>
      </x:c>
      <x:c r="E4938" s="6" t="str"/>
      <x:c r="F4938" s="6" t="str">
        <x:v>去聲十六諫</x:v>
      </x:c>
      <x:c r="G4938" s="6" t="str">
        <x:v>Pingshui main list, Wikisource-derived DOCX</x:v>
      </x:c>
      <x:c r="H4938" s="6" t="str"/>
      <x:c r="I4938" s="6" t="str">
        <x:v>Lu Qinli gap fill from Pingshui main list; 詞 entries ignored</x:v>
      </x:c>
      <x:c r="J4938" s="6" t="str">
        <x:f>IF(B4938="","",IF(AND(ISNUMBER(SEARCH("平",B4938)),OR(ISNUMBER(SEARCH("上",B4938)),ISNUMBER(SEARCH("去",B4938)),ISNUMBER(SEARCH("入",B4938)))),"Ambiguous",IF(ISNUMBER(SEARCH("平",B4938)),"平","仄")))</x:f>
        <x:v>仄</x:v>
      </x:c>
      <x:c r="K4938" s="6" t="str">
        <x:f>IF(D4938="","",IF(AND(ISNUMBER(SEARCH("平",D4938)),OR(ISNUMBER(SEARCH("上",D4938)),ISNUMBER(SEARCH("去",D4938)),ISNUMBER(SEARCH("入",D4938)))),"Ambiguous",IF(ISNUMBER(SEARCH("平",D4938)),"平","仄")))</x:f>
        <x:v>仄</x:v>
      </x:c>
      <x:c r="L4938" s="7" t="str">
        <x:v>Pingshui main list, Lu Qinli gap fill</x:v>
      </x:c>
    </x:row>
    <x:row r="4939">
      <x:c r="A4939" s="5" t="str">
        <x:v>些</x:v>
      </x:c>
      <x:c r="B4939" s="6" t="str"/>
      <x:c r="C4939" s="6" t="str">
        <x:f>IF(B4939="","Needs decision","Ready")</x:f>
        <x:v>Needs decision</x:v>
      </x:c>
      <x:c r="D4939" s="6" t="str">
        <x:v>平/去</x:v>
      </x:c>
      <x:c r="E4939" s="6" t="str"/>
      <x:c r="F4939" s="6" t="str">
        <x:v>下平聲六麻; 去聲二十一箇</x:v>
      </x:c>
      <x:c r="G4939" s="6" t="str">
        <x:v>Pingshui main list, Wikisource-derived DOCX</x:v>
      </x:c>
      <x:c r="H4939" s="6" t="str"/>
      <x:c r="I4939" s="6" t="str">
        <x:v>Lu Qinli gap fill from Pingshui main list; 詞 entries ignored</x:v>
      </x:c>
      <x:c r="J4939" s="6" t="str">
        <x:f>IF(B4939="","",IF(AND(ISNUMBER(SEARCH("平",B4939)),OR(ISNUMBER(SEARCH("上",B4939)),ISNUMBER(SEARCH("去",B4939)),ISNUMBER(SEARCH("入",B4939)))),"Ambiguous",IF(ISNUMBER(SEARCH("平",B4939)),"平","仄")))</x:f>
      </x:c>
      <x:c r="K4939" s="6" t="str">
        <x:f>IF(D4939="","",IF(AND(ISNUMBER(SEARCH("平",D4939)),OR(ISNUMBER(SEARCH("上",D4939)),ISNUMBER(SEARCH("去",D4939)),ISNUMBER(SEARCH("入",D4939)))),"Ambiguous",IF(ISNUMBER(SEARCH("平",D4939)),"平","仄")))</x:f>
        <x:v>Ambiguous</x:v>
      </x:c>
      <x:c r="L4939" s="7" t="str">
        <x:v>Pingshui main list, Lu Qinli gap fill</x:v>
      </x:c>
    </x:row>
    <x:row r="4940">
      <x:c r="A4940" s="5" t="str">
        <x:v>亳</x:v>
      </x:c>
      <x:c r="B4940" s="6" t="str">
        <x:v>入</x:v>
      </x:c>
      <x:c r="C4940" s="6" t="str">
        <x:f>IF(B4940="","Needs decision","Ready")</x:f>
        <x:v>Ready</x:v>
      </x:c>
      <x:c r="D4940" s="6" t="str">
        <x:v>入</x:v>
      </x:c>
      <x:c r="E4940" s="6" t="str"/>
      <x:c r="F4940" s="6" t="str">
        <x:v>入聲十藥</x:v>
      </x:c>
      <x:c r="G4940" s="6" t="str">
        <x:v>Pingshui main list, Wikisource-derived DOCX</x:v>
      </x:c>
      <x:c r="H4940" s="6" t="str"/>
      <x:c r="I4940" s="6" t="str">
        <x:v>Lu Qinli gap fill from Pingshui main list; 詞 entries ignored</x:v>
      </x:c>
      <x:c r="J4940" s="6" t="str">
        <x:f>IF(B4940="","",IF(AND(ISNUMBER(SEARCH("平",B4940)),OR(ISNUMBER(SEARCH("上",B4940)),ISNUMBER(SEARCH("去",B4940)),ISNUMBER(SEARCH("入",B4940)))),"Ambiguous",IF(ISNUMBER(SEARCH("平",B4940)),"平","仄")))</x:f>
        <x:v>仄</x:v>
      </x:c>
      <x:c r="K4940" s="6" t="str">
        <x:f>IF(D4940="","",IF(AND(ISNUMBER(SEARCH("平",D4940)),OR(ISNUMBER(SEARCH("上",D4940)),ISNUMBER(SEARCH("去",D4940)),ISNUMBER(SEARCH("入",D4940)))),"Ambiguous",IF(ISNUMBER(SEARCH("平",D4940)),"平","仄")))</x:f>
        <x:v>仄</x:v>
      </x:c>
      <x:c r="L4940" s="7" t="str">
        <x:v>Pingshui main list, Lu Qinli gap fill</x:v>
      </x:c>
    </x:row>
    <x:row r="4941">
      <x:c r="A4941" s="5" t="str">
        <x:v>仟</x:v>
      </x:c>
      <x:c r="B4941" s="6" t="str">
        <x:v>平</x:v>
      </x:c>
      <x:c r="C4941" s="6" t="str">
        <x:f>IF(B4941="","Needs decision","Ready")</x:f>
        <x:v>Ready</x:v>
      </x:c>
      <x:c r="D4941" s="6" t="str">
        <x:v>平</x:v>
      </x:c>
      <x:c r="E4941" s="6" t="str"/>
      <x:c r="F4941" s="6" t="str">
        <x:v>下平聲一先</x:v>
      </x:c>
      <x:c r="G4941" s="6" t="str">
        <x:v>Pingshui main list, Wikisource-derived DOCX</x:v>
      </x:c>
      <x:c r="H4941" s="6" t="str"/>
      <x:c r="I4941" s="6" t="str">
        <x:v>Lu Qinli gap fill from Pingshui main list; 詞 entries ignored</x:v>
      </x:c>
      <x:c r="J4941" s="6" t="str">
        <x:f>IF(B4941="","",IF(AND(ISNUMBER(SEARCH("平",B4941)),OR(ISNUMBER(SEARCH("上",B4941)),ISNUMBER(SEARCH("去",B4941)),ISNUMBER(SEARCH("入",B4941)))),"Ambiguous",IF(ISNUMBER(SEARCH("平",B4941)),"平","仄")))</x:f>
        <x:v>平</x:v>
      </x:c>
      <x:c r="K4941" s="6" t="str">
        <x:f>IF(D4941="","",IF(AND(ISNUMBER(SEARCH("平",D4941)),OR(ISNUMBER(SEARCH("上",D4941)),ISNUMBER(SEARCH("去",D4941)),ISNUMBER(SEARCH("入",D4941)))),"Ambiguous",IF(ISNUMBER(SEARCH("平",D4941)),"平","仄")))</x:f>
        <x:v>平</x:v>
      </x:c>
      <x:c r="L4941" s="7" t="str">
        <x:v>Pingshui main list, Lu Qinli gap fill</x:v>
      </x:c>
    </x:row>
    <x:row r="4942">
      <x:c r="A4942" s="5" t="str">
        <x:v>仿</x:v>
      </x:c>
      <x:c r="B4942" s="6" t="str">
        <x:v>上</x:v>
      </x:c>
      <x:c r="C4942" s="6" t="str">
        <x:f>IF(B4942="","Needs decision","Ready")</x:f>
        <x:v>Ready</x:v>
      </x:c>
      <x:c r="D4942" s="6" t="str">
        <x:v>上</x:v>
      </x:c>
      <x:c r="E4942" s="6" t="str"/>
      <x:c r="F4942" s="6" t="str">
        <x:v>上聲二十二養</x:v>
      </x:c>
      <x:c r="G4942" s="6" t="str">
        <x:v>Pingshui main list, Wikisource-derived DOCX</x:v>
      </x:c>
      <x:c r="H4942" s="6" t="str"/>
      <x:c r="I4942" s="6" t="str">
        <x:v>Lu Qinli gap fill from Pingshui main list; 詞 entries ignored</x:v>
      </x:c>
      <x:c r="J4942" s="6" t="str">
        <x:f>IF(B4942="","",IF(AND(ISNUMBER(SEARCH("平",B4942)),OR(ISNUMBER(SEARCH("上",B4942)),ISNUMBER(SEARCH("去",B4942)),ISNUMBER(SEARCH("入",B4942)))),"Ambiguous",IF(ISNUMBER(SEARCH("平",B4942)),"平","仄")))</x:f>
        <x:v>仄</x:v>
      </x:c>
      <x:c r="K4942" s="6" t="str">
        <x:f>IF(D4942="","",IF(AND(ISNUMBER(SEARCH("平",D4942)),OR(ISNUMBER(SEARCH("上",D4942)),ISNUMBER(SEARCH("去",D4942)),ISNUMBER(SEARCH("入",D4942)))),"Ambiguous",IF(ISNUMBER(SEARCH("平",D4942)),"平","仄")))</x:f>
        <x:v>仄</x:v>
      </x:c>
      <x:c r="L4942" s="7" t="str">
        <x:v>Pingshui main list, Lu Qinli gap fill</x:v>
      </x:c>
    </x:row>
    <x:row r="4943">
      <x:c r="A4943" s="5" t="str">
        <x:v>伉</x:v>
      </x:c>
      <x:c r="B4943" s="6" t="str">
        <x:v>去</x:v>
      </x:c>
      <x:c r="C4943" s="6" t="str">
        <x:f>IF(B4943="","Needs decision","Ready")</x:f>
        <x:v>Ready</x:v>
      </x:c>
      <x:c r="D4943" s="6" t="str">
        <x:v>去</x:v>
      </x:c>
      <x:c r="E4943" s="6" t="str"/>
      <x:c r="F4943" s="6" t="str">
        <x:v>去聲二十三漾</x:v>
      </x:c>
      <x:c r="G4943" s="6" t="str">
        <x:v>Pingshui main list, Wikisource-derived DOCX</x:v>
      </x:c>
      <x:c r="H4943" s="6" t="str"/>
      <x:c r="I4943" s="6" t="str">
        <x:v>Lu Qinli gap fill from Pingshui main list; 詞 entries ignored</x:v>
      </x:c>
      <x:c r="J4943" s="6" t="str">
        <x:f>IF(B4943="","",IF(AND(ISNUMBER(SEARCH("平",B4943)),OR(ISNUMBER(SEARCH("上",B4943)),ISNUMBER(SEARCH("去",B4943)),ISNUMBER(SEARCH("入",B4943)))),"Ambiguous",IF(ISNUMBER(SEARCH("平",B4943)),"平","仄")))</x:f>
        <x:v>仄</x:v>
      </x:c>
      <x:c r="K4943" s="6" t="str">
        <x:f>IF(D4943="","",IF(AND(ISNUMBER(SEARCH("平",D4943)),OR(ISNUMBER(SEARCH("上",D4943)),ISNUMBER(SEARCH("去",D4943)),ISNUMBER(SEARCH("入",D4943)))),"Ambiguous",IF(ISNUMBER(SEARCH("平",D4943)),"平","仄")))</x:f>
        <x:v>仄</x:v>
      </x:c>
      <x:c r="L4943" s="7" t="str">
        <x:v>Pingshui main list, Lu Qinli gap fill</x:v>
      </x:c>
    </x:row>
    <x:row r="4944">
      <x:c r="A4944" s="5" t="str">
        <x:v>伋</x:v>
      </x:c>
      <x:c r="B4944" s="6" t="str">
        <x:v>入</x:v>
      </x:c>
      <x:c r="C4944" s="6" t="str">
        <x:f>IF(B4944="","Needs decision","Ready")</x:f>
        <x:v>Ready</x:v>
      </x:c>
      <x:c r="D4944" s="6" t="str">
        <x:v>入</x:v>
      </x:c>
      <x:c r="E4944" s="6" t="str"/>
      <x:c r="F4944" s="6" t="str">
        <x:v>入聲十四緝</x:v>
      </x:c>
      <x:c r="G4944" s="6" t="str">
        <x:v>Pingshui main list, Wikisource-derived DOCX</x:v>
      </x:c>
      <x:c r="H4944" s="6" t="str"/>
      <x:c r="I4944" s="6" t="str">
        <x:v>Lu Qinli gap fill from Pingshui main list; 詞 entries ignored</x:v>
      </x:c>
      <x:c r="J4944" s="6" t="str">
        <x:f>IF(B4944="","",IF(AND(ISNUMBER(SEARCH("平",B4944)),OR(ISNUMBER(SEARCH("上",B4944)),ISNUMBER(SEARCH("去",B4944)),ISNUMBER(SEARCH("入",B4944)))),"Ambiguous",IF(ISNUMBER(SEARCH("平",B4944)),"平","仄")))</x:f>
        <x:v>仄</x:v>
      </x:c>
      <x:c r="K4944" s="6" t="str">
        <x:f>IF(D4944="","",IF(AND(ISNUMBER(SEARCH("平",D4944)),OR(ISNUMBER(SEARCH("上",D4944)),ISNUMBER(SEARCH("去",D4944)),ISNUMBER(SEARCH("入",D4944)))),"Ambiguous",IF(ISNUMBER(SEARCH("平",D4944)),"平","仄")))</x:f>
        <x:v>仄</x:v>
      </x:c>
      <x:c r="L4944" s="7" t="str">
        <x:v>Pingshui main list, Lu Qinli gap fill</x:v>
      </x:c>
    </x:row>
    <x:row r="4945">
      <x:c r="A4945" s="5" t="str">
        <x:v>伽</x:v>
      </x:c>
      <x:c r="B4945" s="6" t="str">
        <x:v>平</x:v>
      </x:c>
      <x:c r="C4945" s="6" t="str">
        <x:f>IF(B4945="","Needs decision","Ready")</x:f>
        <x:v>Ready</x:v>
      </x:c>
      <x:c r="D4945" s="6" t="str">
        <x:v>平</x:v>
      </x:c>
      <x:c r="E4945" s="6" t="str"/>
      <x:c r="F4945" s="6" t="str">
        <x:v>下平聲五歌</x:v>
      </x:c>
      <x:c r="G4945" s="6" t="str">
        <x:v>Pingshui main list, Wikisource-derived DOCX</x:v>
      </x:c>
      <x:c r="H4945" s="6" t="str"/>
      <x:c r="I4945" s="6" t="str">
        <x:v>Lu Qinli gap fill from Pingshui main list; 詞 entries ignored</x:v>
      </x:c>
      <x:c r="J4945" s="6" t="str">
        <x:f>IF(B4945="","",IF(AND(ISNUMBER(SEARCH("平",B4945)),OR(ISNUMBER(SEARCH("上",B4945)),ISNUMBER(SEARCH("去",B4945)),ISNUMBER(SEARCH("入",B4945)))),"Ambiguous",IF(ISNUMBER(SEARCH("平",B4945)),"平","仄")))</x:f>
        <x:v>平</x:v>
      </x:c>
      <x:c r="K4945" s="6" t="str">
        <x:f>IF(D4945="","",IF(AND(ISNUMBER(SEARCH("平",D4945)),OR(ISNUMBER(SEARCH("上",D4945)),ISNUMBER(SEARCH("去",D4945)),ISNUMBER(SEARCH("入",D4945)))),"Ambiguous",IF(ISNUMBER(SEARCH("平",D4945)),"平","仄")))</x:f>
        <x:v>平</x:v>
      </x:c>
      <x:c r="L4945" s="7" t="str">
        <x:v>Pingshui main list, Lu Qinli gap fill</x:v>
      </x:c>
    </x:row>
    <x:row r="4946">
      <x:c r="A4946" s="5" t="str">
        <x:v>佔</x:v>
      </x:c>
      <x:c r="B4946" s="6" t="str">
        <x:v>平</x:v>
      </x:c>
      <x:c r="C4946" s="6" t="str">
        <x:f>IF(B4946="","Needs decision","Ready")</x:f>
        <x:v>Ready</x:v>
      </x:c>
      <x:c r="D4946" s="6" t="str">
        <x:v>平</x:v>
      </x:c>
      <x:c r="E4946" s="6" t="str"/>
      <x:c r="F4946" s="6" t="str">
        <x:v>下平聲十四鹽</x:v>
      </x:c>
      <x:c r="G4946" s="6" t="str">
        <x:v>Pingshui main list, Wikisource-derived DOCX</x:v>
      </x:c>
      <x:c r="H4946" s="6" t="str"/>
      <x:c r="I4946" s="6" t="str">
        <x:v>Lu Qinli gap fill from Pingshui main list; 詞 entries ignored</x:v>
      </x:c>
      <x:c r="J4946" s="6" t="str">
        <x:f>IF(B4946="","",IF(AND(ISNUMBER(SEARCH("平",B4946)),OR(ISNUMBER(SEARCH("上",B4946)),ISNUMBER(SEARCH("去",B4946)),ISNUMBER(SEARCH("入",B4946)))),"Ambiguous",IF(ISNUMBER(SEARCH("平",B4946)),"平","仄")))</x:f>
        <x:v>平</x:v>
      </x:c>
      <x:c r="K4946" s="6" t="str">
        <x:f>IF(D4946="","",IF(AND(ISNUMBER(SEARCH("平",D4946)),OR(ISNUMBER(SEARCH("上",D4946)),ISNUMBER(SEARCH("去",D4946)),ISNUMBER(SEARCH("入",D4946)))),"Ambiguous",IF(ISNUMBER(SEARCH("平",D4946)),"平","仄")))</x:f>
        <x:v>平</x:v>
      </x:c>
      <x:c r="L4946" s="7" t="str">
        <x:v>Pingshui main list, Lu Qinli gap fill</x:v>
      </x:c>
    </x:row>
    <x:row r="4947">
      <x:c r="A4947" s="5" t="str">
        <x:v>佯</x:v>
      </x:c>
      <x:c r="B4947" s="6" t="str">
        <x:v>平</x:v>
      </x:c>
      <x:c r="C4947" s="6" t="str">
        <x:f>IF(B4947="","Needs decision","Ready")</x:f>
        <x:v>Ready</x:v>
      </x:c>
      <x:c r="D4947" s="6" t="str">
        <x:v>平</x:v>
      </x:c>
      <x:c r="E4947" s="6" t="str"/>
      <x:c r="F4947" s="6" t="str">
        <x:v>下平聲七陽</x:v>
      </x:c>
      <x:c r="G4947" s="6" t="str">
        <x:v>Pingshui main list, Wikisource-derived DOCX</x:v>
      </x:c>
      <x:c r="H4947" s="6" t="str"/>
      <x:c r="I4947" s="6" t="str">
        <x:v>Lu Qinli gap fill from Pingshui main list; 詞 entries ignored</x:v>
      </x:c>
      <x:c r="J4947" s="6" t="str">
        <x:f>IF(B4947="","",IF(AND(ISNUMBER(SEARCH("平",B4947)),OR(ISNUMBER(SEARCH("上",B4947)),ISNUMBER(SEARCH("去",B4947)),ISNUMBER(SEARCH("入",B4947)))),"Ambiguous",IF(ISNUMBER(SEARCH("平",B4947)),"平","仄")))</x:f>
        <x:v>平</x:v>
      </x:c>
      <x:c r="K4947" s="6" t="str">
        <x:f>IF(D4947="","",IF(AND(ISNUMBER(SEARCH("平",D4947)),OR(ISNUMBER(SEARCH("上",D4947)),ISNUMBER(SEARCH("去",D4947)),ISNUMBER(SEARCH("入",D4947)))),"Ambiguous",IF(ISNUMBER(SEARCH("平",D4947)),"平","仄")))</x:f>
        <x:v>平</x:v>
      </x:c>
      <x:c r="L4947" s="7" t="str">
        <x:v>Pingshui main list, Lu Qinli gap fill</x:v>
      </x:c>
    </x:row>
    <x:row r="4948">
      <x:c r="A4948" s="5" t="str">
        <x:v>併</x:v>
      </x:c>
      <x:c r="B4948" s="6" t="str"/>
      <x:c r="C4948" s="6" t="str">
        <x:f>IF(B4948="","Needs decision","Ready")</x:f>
        <x:v>Needs decision</x:v>
      </x:c>
      <x:c r="D4948" s="6" t="str">
        <x:v>上/去</x:v>
      </x:c>
      <x:c r="E4948" s="6" t="str"/>
      <x:c r="F4948" s="6" t="str">
        <x:v>上聲二十三梗; 去聲二十四敬</x:v>
      </x:c>
      <x:c r="G4948" s="6" t="str">
        <x:v>Pingshui main list, Wikisource-derived DOCX</x:v>
      </x:c>
      <x:c r="H4948" s="6" t="str"/>
      <x:c r="I4948" s="6" t="str">
        <x:v>Lu Qinli gap fill from Pingshui main list; 詞 entries ignored</x:v>
      </x:c>
      <x:c r="J4948" s="6" t="str">
        <x:f>IF(B4948="","",IF(AND(ISNUMBER(SEARCH("平",B4948)),OR(ISNUMBER(SEARCH("上",B4948)),ISNUMBER(SEARCH("去",B4948)),ISNUMBER(SEARCH("入",B4948)))),"Ambiguous",IF(ISNUMBER(SEARCH("平",B4948)),"平","仄")))</x:f>
      </x:c>
      <x:c r="K4948" s="6" t="str">
        <x:f>IF(D4948="","",IF(AND(ISNUMBER(SEARCH("平",D4948)),OR(ISNUMBER(SEARCH("上",D4948)),ISNUMBER(SEARCH("去",D4948)),ISNUMBER(SEARCH("入",D4948)))),"Ambiguous",IF(ISNUMBER(SEARCH("平",D4948)),"平","仄")))</x:f>
        <x:v>仄</x:v>
      </x:c>
      <x:c r="L4948" s="7" t="str">
        <x:v>Pingshui main list, Lu Qinli gap fill</x:v>
      </x:c>
    </x:row>
    <x:row r="4949">
      <x:c r="A4949" s="5" t="str">
        <x:v>佹</x:v>
      </x:c>
      <x:c r="B4949" s="6" t="str">
        <x:v>上</x:v>
      </x:c>
      <x:c r="C4949" s="6" t="str">
        <x:f>IF(B4949="","Needs decision","Ready")</x:f>
        <x:v>Ready</x:v>
      </x:c>
      <x:c r="D4949" s="6" t="str">
        <x:v>上</x:v>
      </x:c>
      <x:c r="E4949" s="6" t="str"/>
      <x:c r="F4949" s="6" t="str">
        <x:v>上聲四紙</x:v>
      </x:c>
      <x:c r="G4949" s="6" t="str">
        <x:v>Pingshui main list, Wikisource-derived DOCX</x:v>
      </x:c>
      <x:c r="H4949" s="6" t="str"/>
      <x:c r="I4949" s="6" t="str">
        <x:v>Lu Qinli gap fill from Pingshui main list; 詞 entries ignored</x:v>
      </x:c>
      <x:c r="J4949" s="6" t="str">
        <x:f>IF(B4949="","",IF(AND(ISNUMBER(SEARCH("平",B4949)),OR(ISNUMBER(SEARCH("上",B4949)),ISNUMBER(SEARCH("去",B4949)),ISNUMBER(SEARCH("入",B4949)))),"Ambiguous",IF(ISNUMBER(SEARCH("平",B4949)),"平","仄")))</x:f>
        <x:v>仄</x:v>
      </x:c>
      <x:c r="K4949" s="6" t="str">
        <x:f>IF(D4949="","",IF(AND(ISNUMBER(SEARCH("平",D4949)),OR(ISNUMBER(SEARCH("上",D4949)),ISNUMBER(SEARCH("去",D4949)),ISNUMBER(SEARCH("入",D4949)))),"Ambiguous",IF(ISNUMBER(SEARCH("平",D4949)),"平","仄")))</x:f>
        <x:v>仄</x:v>
      </x:c>
      <x:c r="L4949" s="7" t="str">
        <x:v>Pingshui main list, Lu Qinli gap fill</x:v>
      </x:c>
    </x:row>
    <x:row r="4950">
      <x:c r="A4950" s="5" t="str">
        <x:v>佻</x:v>
      </x:c>
      <x:c r="B4950" s="6" t="str"/>
      <x:c r="C4950" s="6" t="str">
        <x:f>IF(B4950="","Needs decision","Ready")</x:f>
        <x:v>Needs decision</x:v>
      </x:c>
      <x:c r="D4950" s="6" t="str">
        <x:v>平/上</x:v>
      </x:c>
      <x:c r="E4950" s="6" t="str"/>
      <x:c r="F4950" s="6" t="str">
        <x:v>下平聲二蕭; 上聲十七篠</x:v>
      </x:c>
      <x:c r="G4950" s="6" t="str">
        <x:v>Pingshui main list, Wikisource-derived DOCX</x:v>
      </x:c>
      <x:c r="H4950" s="6" t="str"/>
      <x:c r="I4950" s="6" t="str">
        <x:v>Lu Qinli gap fill from Pingshui main list; 詞 entries ignored</x:v>
      </x:c>
      <x:c r="J4950" s="6" t="str">
        <x:f>IF(B4950="","",IF(AND(ISNUMBER(SEARCH("平",B4950)),OR(ISNUMBER(SEARCH("上",B4950)),ISNUMBER(SEARCH("去",B4950)),ISNUMBER(SEARCH("入",B4950)))),"Ambiguous",IF(ISNUMBER(SEARCH("平",B4950)),"平","仄")))</x:f>
      </x:c>
      <x:c r="K4950" s="6" t="str">
        <x:f>IF(D4950="","",IF(AND(ISNUMBER(SEARCH("平",D4950)),OR(ISNUMBER(SEARCH("上",D4950)),ISNUMBER(SEARCH("去",D4950)),ISNUMBER(SEARCH("入",D4950)))),"Ambiguous",IF(ISNUMBER(SEARCH("平",D4950)),"平","仄")))</x:f>
        <x:v>Ambiguous</x:v>
      </x:c>
      <x:c r="L4950" s="7" t="str">
        <x:v>Pingshui main list, Lu Qinli gap fill</x:v>
      </x:c>
    </x:row>
    <x:row r="4951">
      <x:c r="A4951" s="5" t="str">
        <x:v>佼</x:v>
      </x:c>
      <x:c r="B4951" s="6" t="str"/>
      <x:c r="C4951" s="6" t="str">
        <x:f>IF(B4951="","Needs decision","Ready")</x:f>
        <x:v>Needs decision</x:v>
      </x:c>
      <x:c r="D4951" s="6" t="str">
        <x:v>平/上</x:v>
      </x:c>
      <x:c r="E4951" s="6" t="str"/>
      <x:c r="F4951" s="6" t="str">
        <x:v>下平聲三肴; 上聲十八巧</x:v>
      </x:c>
      <x:c r="G4951" s="6" t="str">
        <x:v>Pingshui main list, Wikisource-derived DOCX</x:v>
      </x:c>
      <x:c r="H4951" s="6" t="str"/>
      <x:c r="I4951" s="6" t="str">
        <x:v>Lu Qinli gap fill from Pingshui main list; 詞 entries ignored</x:v>
      </x:c>
      <x:c r="J4951" s="6" t="str">
        <x:f>IF(B4951="","",IF(AND(ISNUMBER(SEARCH("平",B4951)),OR(ISNUMBER(SEARCH("上",B4951)),ISNUMBER(SEARCH("去",B4951)),ISNUMBER(SEARCH("入",B4951)))),"Ambiguous",IF(ISNUMBER(SEARCH("平",B4951)),"平","仄")))</x:f>
      </x:c>
      <x:c r="K4951" s="6" t="str">
        <x:f>IF(D4951="","",IF(AND(ISNUMBER(SEARCH("平",D4951)),OR(ISNUMBER(SEARCH("上",D4951)),ISNUMBER(SEARCH("去",D4951)),ISNUMBER(SEARCH("入",D4951)))),"Ambiguous",IF(ISNUMBER(SEARCH("平",D4951)),"平","仄")))</x:f>
        <x:v>Ambiguous</x:v>
      </x:c>
      <x:c r="L4951" s="7" t="str">
        <x:v>Pingshui main list, Lu Qinli gap fill</x:v>
      </x:c>
    </x:row>
    <x:row r="4952">
      <x:c r="A4952" s="5" t="str">
        <x:v>佽</x:v>
      </x:c>
      <x:c r="B4952" s="6" t="str">
        <x:v>去</x:v>
      </x:c>
      <x:c r="C4952" s="6" t="str">
        <x:f>IF(B4952="","Needs decision","Ready")</x:f>
        <x:v>Ready</x:v>
      </x:c>
      <x:c r="D4952" s="6" t="str">
        <x:v>去</x:v>
      </x:c>
      <x:c r="E4952" s="6" t="str"/>
      <x:c r="F4952" s="6" t="str">
        <x:v>去聲四寘</x:v>
      </x:c>
      <x:c r="G4952" s="6" t="str">
        <x:v>Pingshui main list, Wikisource-derived DOCX</x:v>
      </x:c>
      <x:c r="H4952" s="6" t="str"/>
      <x:c r="I4952" s="6" t="str">
        <x:v>Lu Qinli gap fill from Pingshui main list; 詞 entries ignored</x:v>
      </x:c>
      <x:c r="J4952" s="6" t="str">
        <x:f>IF(B4952="","",IF(AND(ISNUMBER(SEARCH("平",B4952)),OR(ISNUMBER(SEARCH("上",B4952)),ISNUMBER(SEARCH("去",B4952)),ISNUMBER(SEARCH("入",B4952)))),"Ambiguous",IF(ISNUMBER(SEARCH("平",B4952)),"平","仄")))</x:f>
        <x:v>仄</x:v>
      </x:c>
      <x:c r="K4952" s="6" t="str">
        <x:f>IF(D4952="","",IF(AND(ISNUMBER(SEARCH("平",D4952)),OR(ISNUMBER(SEARCH("上",D4952)),ISNUMBER(SEARCH("去",D4952)),ISNUMBER(SEARCH("入",D4952)))),"Ambiguous",IF(ISNUMBER(SEARCH("平",D4952)),"平","仄")))</x:f>
        <x:v>仄</x:v>
      </x:c>
      <x:c r="L4952" s="7" t="str">
        <x:v>Pingshui main list, Lu Qinli gap fill</x:v>
      </x:c>
    </x:row>
    <x:row r="4953">
      <x:c r="A4953" s="5" t="str">
        <x:v>侃</x:v>
      </x:c>
      <x:c r="B4953" s="6" t="str"/>
      <x:c r="C4953" s="6" t="str">
        <x:f>IF(B4953="","Needs decision","Ready")</x:f>
        <x:v>Needs decision</x:v>
      </x:c>
      <x:c r="D4953" s="6" t="str">
        <x:v>上/去</x:v>
      </x:c>
      <x:c r="E4953" s="6" t="str"/>
      <x:c r="F4953" s="6" t="str">
        <x:v>上聲十四旱; 去聲十五翰</x:v>
      </x:c>
      <x:c r="G4953" s="6" t="str">
        <x:v>Pingshui main list, Wikisource-derived DOCX</x:v>
      </x:c>
      <x:c r="H4953" s="6" t="str"/>
      <x:c r="I4953" s="6" t="str">
        <x:v>Lu Qinli gap fill from Pingshui main list; 詞 entries ignored</x:v>
      </x:c>
      <x:c r="J4953" s="6" t="str">
        <x:f>IF(B4953="","",IF(AND(ISNUMBER(SEARCH("平",B4953)),OR(ISNUMBER(SEARCH("上",B4953)),ISNUMBER(SEARCH("去",B4953)),ISNUMBER(SEARCH("入",B4953)))),"Ambiguous",IF(ISNUMBER(SEARCH("平",B4953)),"平","仄")))</x:f>
      </x:c>
      <x:c r="K4953" s="6" t="str">
        <x:f>IF(D4953="","",IF(AND(ISNUMBER(SEARCH("平",D4953)),OR(ISNUMBER(SEARCH("上",D4953)),ISNUMBER(SEARCH("去",D4953)),ISNUMBER(SEARCH("入",D4953)))),"Ambiguous",IF(ISNUMBER(SEARCH("平",D4953)),"平","仄")))</x:f>
        <x:v>仄</x:v>
      </x:c>
      <x:c r="L4953" s="7" t="str">
        <x:v>Pingshui main list, Lu Qinli gap fill</x:v>
      </x:c>
    </x:row>
    <x:row r="4954">
      <x:c r="A4954" s="5" t="str">
        <x:v>侑</x:v>
      </x:c>
      <x:c r="B4954" s="6" t="str">
        <x:v>去</x:v>
      </x:c>
      <x:c r="C4954" s="6" t="str">
        <x:f>IF(B4954="","Needs decision","Ready")</x:f>
        <x:v>Ready</x:v>
      </x:c>
      <x:c r="D4954" s="6" t="str">
        <x:v>去</x:v>
      </x:c>
      <x:c r="E4954" s="6" t="str"/>
      <x:c r="F4954" s="6" t="str">
        <x:v>去聲二十六宥</x:v>
      </x:c>
      <x:c r="G4954" s="6" t="str">
        <x:v>Pingshui main list, Wikisource-derived DOCX</x:v>
      </x:c>
      <x:c r="H4954" s="6" t="str"/>
      <x:c r="I4954" s="6" t="str">
        <x:v>Lu Qinli gap fill from Pingshui main list; 詞 entries ignored</x:v>
      </x:c>
      <x:c r="J4954" s="6" t="str">
        <x:f>IF(B4954="","",IF(AND(ISNUMBER(SEARCH("平",B4954)),OR(ISNUMBER(SEARCH("上",B4954)),ISNUMBER(SEARCH("去",B4954)),ISNUMBER(SEARCH("入",B4954)))),"Ambiguous",IF(ISNUMBER(SEARCH("平",B4954)),"平","仄")))</x:f>
        <x:v>仄</x:v>
      </x:c>
      <x:c r="K4954" s="6" t="str">
        <x:f>IF(D4954="","",IF(AND(ISNUMBER(SEARCH("平",D4954)),OR(ISNUMBER(SEARCH("上",D4954)),ISNUMBER(SEARCH("去",D4954)),ISNUMBER(SEARCH("入",D4954)))),"Ambiguous",IF(ISNUMBER(SEARCH("平",D4954)),"平","仄")))</x:f>
        <x:v>仄</x:v>
      </x:c>
      <x:c r="L4954" s="7" t="str">
        <x:v>Pingshui main list, Lu Qinli gap fill</x:v>
      </x:c>
    </x:row>
    <x:row r="4955">
      <x:c r="A4955" s="5" t="str">
        <x:v>侔</x:v>
      </x:c>
      <x:c r="B4955" s="6" t="str">
        <x:v>平</x:v>
      </x:c>
      <x:c r="C4955" s="6" t="str">
        <x:f>IF(B4955="","Needs decision","Ready")</x:f>
        <x:v>Ready</x:v>
      </x:c>
      <x:c r="D4955" s="6" t="str">
        <x:v>平</x:v>
      </x:c>
      <x:c r="E4955" s="6" t="str"/>
      <x:c r="F4955" s="6" t="str">
        <x:v>下平聲十一尤</x:v>
      </x:c>
      <x:c r="G4955" s="6" t="str">
        <x:v>Pingshui main list, Wikisource-derived DOCX</x:v>
      </x:c>
      <x:c r="H4955" s="6" t="str"/>
      <x:c r="I4955" s="6" t="str">
        <x:v>Lu Qinli gap fill from Pingshui main list; 詞 entries ignored</x:v>
      </x:c>
      <x:c r="J4955" s="6" t="str">
        <x:f>IF(B4955="","",IF(AND(ISNUMBER(SEARCH("平",B4955)),OR(ISNUMBER(SEARCH("上",B4955)),ISNUMBER(SEARCH("去",B4955)),ISNUMBER(SEARCH("入",B4955)))),"Ambiguous",IF(ISNUMBER(SEARCH("平",B4955)),"平","仄")))</x:f>
        <x:v>平</x:v>
      </x:c>
      <x:c r="K4955" s="6" t="str">
        <x:f>IF(D4955="","",IF(AND(ISNUMBER(SEARCH("平",D4955)),OR(ISNUMBER(SEARCH("上",D4955)),ISNUMBER(SEARCH("去",D4955)),ISNUMBER(SEARCH("入",D4955)))),"Ambiguous",IF(ISNUMBER(SEARCH("平",D4955)),"平","仄")))</x:f>
        <x:v>平</x:v>
      </x:c>
      <x:c r="L4955" s="7" t="str">
        <x:v>Pingshui main list, Lu Qinli gap fill</x:v>
      </x:c>
    </x:row>
    <x:row r="4956">
      <x:c r="A4956" s="5" t="str">
        <x:v>侗</x:v>
      </x:c>
      <x:c r="B4956" s="6" t="str"/>
      <x:c r="C4956" s="6" t="str">
        <x:f>IF(B4956="","Needs decision","Ready")</x:f>
        <x:v>Needs decision</x:v>
      </x:c>
      <x:c r="D4956" s="6" t="str">
        <x:v>平/上</x:v>
      </x:c>
      <x:c r="E4956" s="6" t="str"/>
      <x:c r="F4956" s="6" t="str">
        <x:v>上平聲一東; 上聲一董</x:v>
      </x:c>
      <x:c r="G4956" s="6" t="str">
        <x:v>Pingshui main list, Wikisource-derived DOCX</x:v>
      </x:c>
      <x:c r="H4956" s="6" t="str"/>
      <x:c r="I4956" s="6" t="str">
        <x:v>Lu Qinli gap fill from Pingshui main list; 詞 entries ignored</x:v>
      </x:c>
      <x:c r="J4956" s="6" t="str">
        <x:f>IF(B4956="","",IF(AND(ISNUMBER(SEARCH("平",B4956)),OR(ISNUMBER(SEARCH("上",B4956)),ISNUMBER(SEARCH("去",B4956)),ISNUMBER(SEARCH("入",B4956)))),"Ambiguous",IF(ISNUMBER(SEARCH("平",B4956)),"平","仄")))</x:f>
      </x:c>
      <x:c r="K4956" s="6" t="str">
        <x:f>IF(D4956="","",IF(AND(ISNUMBER(SEARCH("平",D4956)),OR(ISNUMBER(SEARCH("上",D4956)),ISNUMBER(SEARCH("去",D4956)),ISNUMBER(SEARCH("入",D4956)))),"Ambiguous",IF(ISNUMBER(SEARCH("平",D4956)),"平","仄")))</x:f>
        <x:v>Ambiguous</x:v>
      </x:c>
      <x:c r="L4956" s="7" t="str">
        <x:v>Pingshui main list, Lu Qinli gap fill</x:v>
      </x:c>
    </x:row>
    <x:row r="4957">
      <x:c r="A4957" s="5" t="str">
        <x:v>侜</x:v>
      </x:c>
      <x:c r="B4957" s="6" t="str">
        <x:v>平</x:v>
      </x:c>
      <x:c r="C4957" s="6" t="str">
        <x:f>IF(B4957="","Needs decision","Ready")</x:f>
        <x:v>Ready</x:v>
      </x:c>
      <x:c r="D4957" s="6" t="str">
        <x:v>平</x:v>
      </x:c>
      <x:c r="E4957" s="6" t="str"/>
      <x:c r="F4957" s="6" t="str">
        <x:v>下平聲十一尤</x:v>
      </x:c>
      <x:c r="G4957" s="6" t="str">
        <x:v>Pingshui main list, Wikisource-derived DOCX</x:v>
      </x:c>
      <x:c r="H4957" s="6" t="str"/>
      <x:c r="I4957" s="6" t="str">
        <x:v>Lu Qinli gap fill from Pingshui main list; 詞 entries ignored</x:v>
      </x:c>
      <x:c r="J4957" s="6" t="str">
        <x:f>IF(B4957="","",IF(AND(ISNUMBER(SEARCH("平",B4957)),OR(ISNUMBER(SEARCH("上",B4957)),ISNUMBER(SEARCH("去",B4957)),ISNUMBER(SEARCH("入",B4957)))),"Ambiguous",IF(ISNUMBER(SEARCH("平",B4957)),"平","仄")))</x:f>
        <x:v>平</x:v>
      </x:c>
      <x:c r="K4957" s="6" t="str">
        <x:f>IF(D4957="","",IF(AND(ISNUMBER(SEARCH("平",D4957)),OR(ISNUMBER(SEARCH("上",D4957)),ISNUMBER(SEARCH("去",D4957)),ISNUMBER(SEARCH("入",D4957)))),"Ambiguous",IF(ISNUMBER(SEARCH("平",D4957)),"平","仄")))</x:f>
        <x:v>平</x:v>
      </x:c>
      <x:c r="L4957" s="7" t="str">
        <x:v>Pingshui main list, Lu Qinli gap fill</x:v>
      </x:c>
    </x:row>
    <x:row r="4958">
      <x:c r="A4958" s="5" t="str">
        <x:v>俁</x:v>
      </x:c>
      <x:c r="B4958" s="6" t="str">
        <x:v>上</x:v>
      </x:c>
      <x:c r="C4958" s="6" t="str">
        <x:f>IF(B4958="","Needs decision","Ready")</x:f>
        <x:v>Ready</x:v>
      </x:c>
      <x:c r="D4958" s="6" t="str">
        <x:v>上</x:v>
      </x:c>
      <x:c r="E4958" s="6" t="str"/>
      <x:c r="F4958" s="6" t="str">
        <x:v>上聲七麌</x:v>
      </x:c>
      <x:c r="G4958" s="6" t="str">
        <x:v>Pingshui main list, Wikisource-derived DOCX</x:v>
      </x:c>
      <x:c r="H4958" s="6" t="str"/>
      <x:c r="I4958" s="6" t="str">
        <x:v>Lu Qinli gap fill from Pingshui main list; 詞 entries ignored</x:v>
      </x:c>
      <x:c r="J4958" s="6" t="str">
        <x:f>IF(B4958="","",IF(AND(ISNUMBER(SEARCH("平",B4958)),OR(ISNUMBER(SEARCH("上",B4958)),ISNUMBER(SEARCH("去",B4958)),ISNUMBER(SEARCH("入",B4958)))),"Ambiguous",IF(ISNUMBER(SEARCH("平",B4958)),"平","仄")))</x:f>
        <x:v>仄</x:v>
      </x:c>
      <x:c r="K4958" s="6" t="str">
        <x:f>IF(D4958="","",IF(AND(ISNUMBER(SEARCH("平",D4958)),OR(ISNUMBER(SEARCH("上",D4958)),ISNUMBER(SEARCH("去",D4958)),ISNUMBER(SEARCH("入",D4958)))),"Ambiguous",IF(ISNUMBER(SEARCH("平",D4958)),"平","仄")))</x:f>
        <x:v>仄</x:v>
      </x:c>
      <x:c r="L4958" s="7" t="str">
        <x:v>Pingshui main list, Lu Qinli gap fill</x:v>
      </x:c>
    </x:row>
    <x:row r="4959">
      <x:c r="A4959" s="5" t="str">
        <x:v>俎</x:v>
      </x:c>
      <x:c r="B4959" s="6" t="str">
        <x:v>上</x:v>
      </x:c>
      <x:c r="C4959" s="6" t="str">
        <x:f>IF(B4959="","Needs decision","Ready")</x:f>
        <x:v>Ready</x:v>
      </x:c>
      <x:c r="D4959" s="6" t="str">
        <x:v>上</x:v>
      </x:c>
      <x:c r="E4959" s="6" t="str"/>
      <x:c r="F4959" s="6" t="str">
        <x:v>上聲六語</x:v>
      </x:c>
      <x:c r="G4959" s="6" t="str">
        <x:v>Pingshui main list, Wikisource-derived DOCX</x:v>
      </x:c>
      <x:c r="H4959" s="6" t="str"/>
      <x:c r="I4959" s="6" t="str">
        <x:v>Lu Qinli gap fill from Pingshui main list; 詞 entries ignored</x:v>
      </x:c>
      <x:c r="J4959" s="6" t="str">
        <x:f>IF(B4959="","",IF(AND(ISNUMBER(SEARCH("平",B4959)),OR(ISNUMBER(SEARCH("上",B4959)),ISNUMBER(SEARCH("去",B4959)),ISNUMBER(SEARCH("入",B4959)))),"Ambiguous",IF(ISNUMBER(SEARCH("平",B4959)),"平","仄")))</x:f>
        <x:v>仄</x:v>
      </x:c>
      <x:c r="K4959" s="6" t="str">
        <x:f>IF(D4959="","",IF(AND(ISNUMBER(SEARCH("平",D4959)),OR(ISNUMBER(SEARCH("上",D4959)),ISNUMBER(SEARCH("去",D4959)),ISNUMBER(SEARCH("入",D4959)))),"Ambiguous",IF(ISNUMBER(SEARCH("平",D4959)),"平","仄")))</x:f>
        <x:v>仄</x:v>
      </x:c>
      <x:c r="L4959" s="7" t="str">
        <x:v>Pingshui main list, Lu Qinli gap fill</x:v>
      </x:c>
    </x:row>
    <x:row r="4960">
      <x:c r="A4960" s="5" t="str">
        <x:v>俘</x:v>
      </x:c>
      <x:c r="B4960" s="6" t="str">
        <x:v>平</x:v>
      </x:c>
      <x:c r="C4960" s="6" t="str">
        <x:f>IF(B4960="","Needs decision","Ready")</x:f>
        <x:v>Ready</x:v>
      </x:c>
      <x:c r="D4960" s="6" t="str">
        <x:v>平</x:v>
      </x:c>
      <x:c r="E4960" s="6" t="str"/>
      <x:c r="F4960" s="6" t="str">
        <x:v>上平聲七虞</x:v>
      </x:c>
      <x:c r="G4960" s="6" t="str">
        <x:v>Pingshui main list, Wikisource-derived DOCX</x:v>
      </x:c>
      <x:c r="H4960" s="6" t="str"/>
      <x:c r="I4960" s="6" t="str">
        <x:v>Lu Qinli gap fill from Pingshui main list; 詞 entries ignored</x:v>
      </x:c>
      <x:c r="J4960" s="6" t="str">
        <x:f>IF(B4960="","",IF(AND(ISNUMBER(SEARCH("平",B4960)),OR(ISNUMBER(SEARCH("上",B4960)),ISNUMBER(SEARCH("去",B4960)),ISNUMBER(SEARCH("入",B4960)))),"Ambiguous",IF(ISNUMBER(SEARCH("平",B4960)),"平","仄")))</x:f>
        <x:v>平</x:v>
      </x:c>
      <x:c r="K4960" s="6" t="str">
        <x:f>IF(D4960="","",IF(AND(ISNUMBER(SEARCH("平",D4960)),OR(ISNUMBER(SEARCH("上",D4960)),ISNUMBER(SEARCH("去",D4960)),ISNUMBER(SEARCH("入",D4960)))),"Ambiguous",IF(ISNUMBER(SEARCH("平",D4960)),"平","仄")))</x:f>
        <x:v>平</x:v>
      </x:c>
      <x:c r="L4960" s="7" t="str">
        <x:v>Pingshui main list, Lu Qinli gap fill</x:v>
      </x:c>
    </x:row>
    <x:row r="4961">
      <x:c r="A4961" s="5" t="str">
        <x:v>俚</x:v>
      </x:c>
      <x:c r="B4961" s="6" t="str">
        <x:v>上</x:v>
      </x:c>
      <x:c r="C4961" s="6" t="str">
        <x:f>IF(B4961="","Needs decision","Ready")</x:f>
        <x:v>Ready</x:v>
      </x:c>
      <x:c r="D4961" s="6" t="str">
        <x:v>上</x:v>
      </x:c>
      <x:c r="E4961" s="6" t="str"/>
      <x:c r="F4961" s="6" t="str">
        <x:v>上聲四紙</x:v>
      </x:c>
      <x:c r="G4961" s="6" t="str">
        <x:v>Pingshui main list, Wikisource-derived DOCX</x:v>
      </x:c>
      <x:c r="H4961" s="6" t="str"/>
      <x:c r="I4961" s="6" t="str">
        <x:v>Lu Qinli gap fill from Pingshui main list; 詞 entries ignored</x:v>
      </x:c>
      <x:c r="J4961" s="6" t="str">
        <x:f>IF(B4961="","",IF(AND(ISNUMBER(SEARCH("平",B4961)),OR(ISNUMBER(SEARCH("上",B4961)),ISNUMBER(SEARCH("去",B4961)),ISNUMBER(SEARCH("入",B4961)))),"Ambiguous",IF(ISNUMBER(SEARCH("平",B4961)),"平","仄")))</x:f>
        <x:v>仄</x:v>
      </x:c>
      <x:c r="K4961" s="6" t="str">
        <x:f>IF(D4961="","",IF(AND(ISNUMBER(SEARCH("平",D4961)),OR(ISNUMBER(SEARCH("上",D4961)),ISNUMBER(SEARCH("去",D4961)),ISNUMBER(SEARCH("入",D4961)))),"Ambiguous",IF(ISNUMBER(SEARCH("平",D4961)),"平","仄")))</x:f>
        <x:v>仄</x:v>
      </x:c>
      <x:c r="L4961" s="7" t="str">
        <x:v>Pingshui main list, Lu Qinli gap fill</x:v>
      </x:c>
    </x:row>
    <x:row r="4962">
      <x:c r="A4962" s="5" t="str">
        <x:v>俳</x:v>
      </x:c>
      <x:c r="B4962" s="6" t="str">
        <x:v>平</x:v>
      </x:c>
      <x:c r="C4962" s="6" t="str">
        <x:f>IF(B4962="","Needs decision","Ready")</x:f>
        <x:v>Ready</x:v>
      </x:c>
      <x:c r="D4962" s="6" t="str">
        <x:v>平</x:v>
      </x:c>
      <x:c r="E4962" s="6" t="str"/>
      <x:c r="F4962" s="6" t="str">
        <x:v>上平聲九佳</x:v>
      </x:c>
      <x:c r="G4962" s="6" t="str">
        <x:v>Pingshui main list, Wikisource-derived DOCX</x:v>
      </x:c>
      <x:c r="H4962" s="6" t="str"/>
      <x:c r="I4962" s="6" t="str">
        <x:v>Lu Qinli gap fill from Pingshui main list; 詞 entries ignored</x:v>
      </x:c>
      <x:c r="J4962" s="6" t="str">
        <x:f>IF(B4962="","",IF(AND(ISNUMBER(SEARCH("平",B4962)),OR(ISNUMBER(SEARCH("上",B4962)),ISNUMBER(SEARCH("去",B4962)),ISNUMBER(SEARCH("入",B4962)))),"Ambiguous",IF(ISNUMBER(SEARCH("平",B4962)),"平","仄")))</x:f>
        <x:v>平</x:v>
      </x:c>
      <x:c r="K4962" s="6" t="str">
        <x:f>IF(D4962="","",IF(AND(ISNUMBER(SEARCH("平",D4962)),OR(ISNUMBER(SEARCH("上",D4962)),ISNUMBER(SEARCH("去",D4962)),ISNUMBER(SEARCH("入",D4962)))),"Ambiguous",IF(ISNUMBER(SEARCH("平",D4962)),"平","仄")))</x:f>
        <x:v>平</x:v>
      </x:c>
      <x:c r="L4962" s="7" t="str">
        <x:v>Pingshui main list, Lu Qinli gap fill</x:v>
      </x:c>
    </x:row>
    <x:row r="4963">
      <x:c r="A4963" s="5" t="str">
        <x:v>俾</x:v>
      </x:c>
      <x:c r="B4963" s="6" t="str">
        <x:v>上</x:v>
      </x:c>
      <x:c r="C4963" s="6" t="str">
        <x:f>IF(B4963="","Needs decision","Ready")</x:f>
        <x:v>Ready</x:v>
      </x:c>
      <x:c r="D4963" s="6" t="str">
        <x:v>上</x:v>
      </x:c>
      <x:c r="E4963" s="6" t="str"/>
      <x:c r="F4963" s="6" t="str">
        <x:v>上聲四紙</x:v>
      </x:c>
      <x:c r="G4963" s="6" t="str">
        <x:v>Pingshui main list, Wikisource-derived DOCX</x:v>
      </x:c>
      <x:c r="H4963" s="6" t="str"/>
      <x:c r="I4963" s="6" t="str">
        <x:v>Lu Qinli gap fill from Pingshui main list; 詞 entries ignored</x:v>
      </x:c>
      <x:c r="J4963" s="6" t="str">
        <x:f>IF(B4963="","",IF(AND(ISNUMBER(SEARCH("平",B4963)),OR(ISNUMBER(SEARCH("上",B4963)),ISNUMBER(SEARCH("去",B4963)),ISNUMBER(SEARCH("入",B4963)))),"Ambiguous",IF(ISNUMBER(SEARCH("平",B4963)),"平","仄")))</x:f>
        <x:v>仄</x:v>
      </x:c>
      <x:c r="K4963" s="6" t="str">
        <x:f>IF(D4963="","",IF(AND(ISNUMBER(SEARCH("平",D4963)),OR(ISNUMBER(SEARCH("上",D4963)),ISNUMBER(SEARCH("去",D4963)),ISNUMBER(SEARCH("入",D4963)))),"Ambiguous",IF(ISNUMBER(SEARCH("平",D4963)),"平","仄")))</x:f>
        <x:v>仄</x:v>
      </x:c>
      <x:c r="L4963" s="7" t="str">
        <x:v>Pingshui main list, Lu Qinli gap fill</x:v>
      </x:c>
    </x:row>
    <x:row r="4964">
      <x:c r="A4964" s="5" t="str">
        <x:v>倀</x:v>
      </x:c>
      <x:c r="B4964" s="6" t="str">
        <x:v>平</x:v>
      </x:c>
      <x:c r="C4964" s="6" t="str">
        <x:f>IF(B4964="","Needs decision","Ready")</x:f>
        <x:v>Ready</x:v>
      </x:c>
      <x:c r="D4964" s="6" t="str">
        <x:v>平</x:v>
      </x:c>
      <x:c r="E4964" s="6" t="str"/>
      <x:c r="F4964" s="6" t="str">
        <x:v>下平聲七陽</x:v>
      </x:c>
      <x:c r="G4964" s="6" t="str">
        <x:v>Pingshui main list, Wikisource-derived DOCX</x:v>
      </x:c>
      <x:c r="H4964" s="6" t="str"/>
      <x:c r="I4964" s="6" t="str">
        <x:v>Lu Qinli gap fill from Pingshui main list; 詞 entries ignored</x:v>
      </x:c>
      <x:c r="J4964" s="6" t="str">
        <x:f>IF(B4964="","",IF(AND(ISNUMBER(SEARCH("平",B4964)),OR(ISNUMBER(SEARCH("上",B4964)),ISNUMBER(SEARCH("去",B4964)),ISNUMBER(SEARCH("入",B4964)))),"Ambiguous",IF(ISNUMBER(SEARCH("平",B4964)),"平","仄")))</x:f>
        <x:v>平</x:v>
      </x:c>
      <x:c r="K4964" s="6" t="str">
        <x:f>IF(D4964="","",IF(AND(ISNUMBER(SEARCH("平",D4964)),OR(ISNUMBER(SEARCH("上",D4964)),ISNUMBER(SEARCH("去",D4964)),ISNUMBER(SEARCH("入",D4964)))),"Ambiguous",IF(ISNUMBER(SEARCH("平",D4964)),"平","仄")))</x:f>
        <x:v>平</x:v>
      </x:c>
      <x:c r="L4964" s="7" t="str">
        <x:v>Pingshui main list, Lu Qinli gap fill</x:v>
      </x:c>
    </x:row>
    <x:row r="4965">
      <x:c r="A4965" s="5" t="str">
        <x:v>倕</x:v>
      </x:c>
      <x:c r="B4965" s="6" t="str">
        <x:v>平</x:v>
      </x:c>
      <x:c r="C4965" s="6" t="str">
        <x:f>IF(B4965="","Needs decision","Ready")</x:f>
        <x:v>Ready</x:v>
      </x:c>
      <x:c r="D4965" s="6" t="str">
        <x:v>平</x:v>
      </x:c>
      <x:c r="E4965" s="6" t="str"/>
      <x:c r="F4965" s="6" t="str">
        <x:v>上平聲四支</x:v>
      </x:c>
      <x:c r="G4965" s="6" t="str">
        <x:v>Pingshui main list, Wikisource-derived DOCX</x:v>
      </x:c>
      <x:c r="H4965" s="6" t="str"/>
      <x:c r="I4965" s="6" t="str">
        <x:v>Lu Qinli gap fill from Pingshui main list; 詞 entries ignored</x:v>
      </x:c>
      <x:c r="J4965" s="6" t="str">
        <x:f>IF(B4965="","",IF(AND(ISNUMBER(SEARCH("平",B4965)),OR(ISNUMBER(SEARCH("上",B4965)),ISNUMBER(SEARCH("去",B4965)),ISNUMBER(SEARCH("入",B4965)))),"Ambiguous",IF(ISNUMBER(SEARCH("平",B4965)),"平","仄")))</x:f>
        <x:v>平</x:v>
      </x:c>
      <x:c r="K4965" s="6" t="str">
        <x:f>IF(D4965="","",IF(AND(ISNUMBER(SEARCH("平",D4965)),OR(ISNUMBER(SEARCH("上",D4965)),ISNUMBER(SEARCH("去",D4965)),ISNUMBER(SEARCH("入",D4965)))),"Ambiguous",IF(ISNUMBER(SEARCH("平",D4965)),"平","仄")))</x:f>
        <x:v>平</x:v>
      </x:c>
      <x:c r="L4965" s="7" t="str">
        <x:v>Pingshui main list, Lu Qinli gap fill</x:v>
      </x:c>
    </x:row>
    <x:row r="4966">
      <x:c r="A4966" s="5" t="str">
        <x:v>倜</x:v>
      </x:c>
      <x:c r="B4966" s="6" t="str">
        <x:v>入</x:v>
      </x:c>
      <x:c r="C4966" s="6" t="str">
        <x:f>IF(B4966="","Needs decision","Ready")</x:f>
        <x:v>Ready</x:v>
      </x:c>
      <x:c r="D4966" s="6" t="str">
        <x:v>入</x:v>
      </x:c>
      <x:c r="E4966" s="6" t="str"/>
      <x:c r="F4966" s="6" t="str">
        <x:v>入聲十二錫</x:v>
      </x:c>
      <x:c r="G4966" s="6" t="str">
        <x:v>Pingshui main list, Wikisource-derived DOCX</x:v>
      </x:c>
      <x:c r="H4966" s="6" t="str"/>
      <x:c r="I4966" s="6" t="str">
        <x:v>Lu Qinli gap fill from Pingshui main list; 詞 entries ignored</x:v>
      </x:c>
      <x:c r="J4966" s="6" t="str">
        <x:f>IF(B4966="","",IF(AND(ISNUMBER(SEARCH("平",B4966)),OR(ISNUMBER(SEARCH("上",B4966)),ISNUMBER(SEARCH("去",B4966)),ISNUMBER(SEARCH("入",B4966)))),"Ambiguous",IF(ISNUMBER(SEARCH("平",B4966)),"平","仄")))</x:f>
        <x:v>仄</x:v>
      </x:c>
      <x:c r="K4966" s="6" t="str">
        <x:f>IF(D4966="","",IF(AND(ISNUMBER(SEARCH("平",D4966)),OR(ISNUMBER(SEARCH("上",D4966)),ISNUMBER(SEARCH("去",D4966)),ISNUMBER(SEARCH("入",D4966)))),"Ambiguous",IF(ISNUMBER(SEARCH("平",D4966)),"平","仄")))</x:f>
        <x:v>仄</x:v>
      </x:c>
      <x:c r="L4966" s="7" t="str">
        <x:v>Pingshui main list, Lu Qinli gap fill</x:v>
      </x:c>
    </x:row>
    <x:row r="4967">
      <x:c r="A4967" s="5" t="str">
        <x:v>倢</x:v>
      </x:c>
      <x:c r="B4967" s="6" t="str">
        <x:v>入</x:v>
      </x:c>
      <x:c r="C4967" s="6" t="str">
        <x:f>IF(B4967="","Needs decision","Ready")</x:f>
        <x:v>Ready</x:v>
      </x:c>
      <x:c r="D4967" s="6" t="str">
        <x:v>入</x:v>
      </x:c>
      <x:c r="E4967" s="6" t="str"/>
      <x:c r="F4967" s="6" t="str">
        <x:v>入聲十六葉</x:v>
      </x:c>
      <x:c r="G4967" s="6" t="str">
        <x:v>Pingshui main list, Wikisource-derived DOCX</x:v>
      </x:c>
      <x:c r="H4967" s="6" t="str"/>
      <x:c r="I4967" s="6" t="str">
        <x:v>Lu Qinli gap fill from Pingshui main list; 詞 entries ignored</x:v>
      </x:c>
      <x:c r="J4967" s="6" t="str">
        <x:f>IF(B4967="","",IF(AND(ISNUMBER(SEARCH("平",B4967)),OR(ISNUMBER(SEARCH("上",B4967)),ISNUMBER(SEARCH("去",B4967)),ISNUMBER(SEARCH("入",B4967)))),"Ambiguous",IF(ISNUMBER(SEARCH("平",B4967)),"平","仄")))</x:f>
        <x:v>仄</x:v>
      </x:c>
      <x:c r="K4967" s="6" t="str">
        <x:f>IF(D4967="","",IF(AND(ISNUMBER(SEARCH("平",D4967)),OR(ISNUMBER(SEARCH("上",D4967)),ISNUMBER(SEARCH("去",D4967)),ISNUMBER(SEARCH("入",D4967)))),"Ambiguous",IF(ISNUMBER(SEARCH("平",D4967)),"平","仄")))</x:f>
        <x:v>仄</x:v>
      </x:c>
      <x:c r="L4967" s="7" t="str">
        <x:v>Pingshui main list, Lu Qinli gap fill</x:v>
      </x:c>
    </x:row>
    <x:row r="4968">
      <x:c r="A4968" s="5" t="str">
        <x:v>倥</x:v>
      </x:c>
      <x:c r="B4968" s="6" t="str">
        <x:v>平</x:v>
      </x:c>
      <x:c r="C4968" s="6" t="str">
        <x:f>IF(B4968="","Needs decision","Ready")</x:f>
        <x:v>Ready</x:v>
      </x:c>
      <x:c r="D4968" s="6" t="str">
        <x:v>平</x:v>
      </x:c>
      <x:c r="E4968" s="6" t="str"/>
      <x:c r="F4968" s="6" t="str">
        <x:v>上平聲一東</x:v>
      </x:c>
      <x:c r="G4968" s="6" t="str">
        <x:v>Pingshui main list, Wikisource-derived DOCX</x:v>
      </x:c>
      <x:c r="H4968" s="6" t="str"/>
      <x:c r="I4968" s="6" t="str">
        <x:v>Lu Qinli gap fill from Pingshui main list; 詞 entries ignored</x:v>
      </x:c>
      <x:c r="J4968" s="6" t="str">
        <x:f>IF(B4968="","",IF(AND(ISNUMBER(SEARCH("平",B4968)),OR(ISNUMBER(SEARCH("上",B4968)),ISNUMBER(SEARCH("去",B4968)),ISNUMBER(SEARCH("入",B4968)))),"Ambiguous",IF(ISNUMBER(SEARCH("平",B4968)),"平","仄")))</x:f>
        <x:v>平</x:v>
      </x:c>
      <x:c r="K4968" s="6" t="str">
        <x:f>IF(D4968="","",IF(AND(ISNUMBER(SEARCH("平",D4968)),OR(ISNUMBER(SEARCH("上",D4968)),ISNUMBER(SEARCH("去",D4968)),ISNUMBER(SEARCH("入",D4968)))),"Ambiguous",IF(ISNUMBER(SEARCH("平",D4968)),"平","仄")))</x:f>
        <x:v>平</x:v>
      </x:c>
      <x:c r="L4968" s="7" t="str">
        <x:v>Pingshui main list, Lu Qinli gap fill</x:v>
      </x:c>
    </x:row>
    <x:row r="4969">
      <x:c r="A4969" s="5" t="str">
        <x:v>倩</x:v>
      </x:c>
      <x:c r="B4969" s="6" t="str">
        <x:v>去</x:v>
      </x:c>
      <x:c r="C4969" s="6" t="str">
        <x:f>IF(B4969="","Needs decision","Ready")</x:f>
        <x:v>Ready</x:v>
      </x:c>
      <x:c r="D4969" s="6" t="str">
        <x:v>去</x:v>
      </x:c>
      <x:c r="E4969" s="6" t="str"/>
      <x:c r="F4969" s="6" t="str">
        <x:v>去聲十七霰; 去聲二十四敬</x:v>
      </x:c>
      <x:c r="G4969" s="6" t="str">
        <x:v>Pingshui main list, Wikisource-derived DOCX</x:v>
      </x:c>
      <x:c r="H4969" s="6" t="str"/>
      <x:c r="I4969" s="6" t="str">
        <x:v>Lu Qinli gap fill from Pingshui main list; 詞 entries ignored</x:v>
      </x:c>
      <x:c r="J4969" s="6" t="str">
        <x:f>IF(B4969="","",IF(AND(ISNUMBER(SEARCH("平",B4969)),OR(ISNUMBER(SEARCH("上",B4969)),ISNUMBER(SEARCH("去",B4969)),ISNUMBER(SEARCH("入",B4969)))),"Ambiguous",IF(ISNUMBER(SEARCH("平",B4969)),"平","仄")))</x:f>
        <x:v>仄</x:v>
      </x:c>
      <x:c r="K4969" s="6" t="str">
        <x:f>IF(D4969="","",IF(AND(ISNUMBER(SEARCH("平",D4969)),OR(ISNUMBER(SEARCH("上",D4969)),ISNUMBER(SEARCH("去",D4969)),ISNUMBER(SEARCH("入",D4969)))),"Ambiguous",IF(ISNUMBER(SEARCH("平",D4969)),"平","仄")))</x:f>
        <x:v>仄</x:v>
      </x:c>
      <x:c r="L4969" s="7" t="str">
        <x:v>Pingshui main list, Lu Qinli gap fill</x:v>
      </x:c>
    </x:row>
    <x:row r="4970">
      <x:c r="A4970" s="5" t="str">
        <x:v>倬</x:v>
      </x:c>
      <x:c r="B4970" s="6" t="str">
        <x:v>入</x:v>
      </x:c>
      <x:c r="C4970" s="6" t="str">
        <x:f>IF(B4970="","Needs decision","Ready")</x:f>
        <x:v>Ready</x:v>
      </x:c>
      <x:c r="D4970" s="6" t="str">
        <x:v>入</x:v>
      </x:c>
      <x:c r="E4970" s="6" t="str"/>
      <x:c r="F4970" s="6" t="str">
        <x:v>入聲三覺</x:v>
      </x:c>
      <x:c r="G4970" s="6" t="str">
        <x:v>Pingshui main list, Wikisource-derived DOCX</x:v>
      </x:c>
      <x:c r="H4970" s="6" t="str"/>
      <x:c r="I4970" s="6" t="str">
        <x:v>Lu Qinli gap fill from Pingshui main list; 詞 entries ignored</x:v>
      </x:c>
      <x:c r="J4970" s="6" t="str">
        <x:f>IF(B4970="","",IF(AND(ISNUMBER(SEARCH("平",B4970)),OR(ISNUMBER(SEARCH("上",B4970)),ISNUMBER(SEARCH("去",B4970)),ISNUMBER(SEARCH("入",B4970)))),"Ambiguous",IF(ISNUMBER(SEARCH("平",B4970)),"平","仄")))</x:f>
        <x:v>仄</x:v>
      </x:c>
      <x:c r="K4970" s="6" t="str">
        <x:f>IF(D4970="","",IF(AND(ISNUMBER(SEARCH("平",D4970)),OR(ISNUMBER(SEARCH("上",D4970)),ISNUMBER(SEARCH("去",D4970)),ISNUMBER(SEARCH("入",D4970)))),"Ambiguous",IF(ISNUMBER(SEARCH("平",D4970)),"平","仄")))</x:f>
        <x:v>仄</x:v>
      </x:c>
      <x:c r="L4970" s="7" t="str">
        <x:v>Pingshui main list, Lu Qinli gap fill</x:v>
      </x:c>
    </x:row>
    <x:row r="4971">
      <x:c r="A4971" s="5" t="str">
        <x:v>倭</x:v>
      </x:c>
      <x:c r="B4971" s="6" t="str">
        <x:v>平</x:v>
      </x:c>
      <x:c r="C4971" s="6" t="str">
        <x:f>IF(B4971="","Needs decision","Ready")</x:f>
        <x:v>Ready</x:v>
      </x:c>
      <x:c r="D4971" s="6" t="str">
        <x:v>平</x:v>
      </x:c>
      <x:c r="E4971" s="6" t="str"/>
      <x:c r="F4971" s="6" t="str">
        <x:v>上平聲四支; 下平聲五歌</x:v>
      </x:c>
      <x:c r="G4971" s="6" t="str">
        <x:v>Pingshui main list, Wikisource-derived DOCX</x:v>
      </x:c>
      <x:c r="H4971" s="6" t="str"/>
      <x:c r="I4971" s="6" t="str">
        <x:v>Lu Qinli gap fill from Pingshui main list; 詞 entries ignored</x:v>
      </x:c>
      <x:c r="J4971" s="6" t="str">
        <x:f>IF(B4971="","",IF(AND(ISNUMBER(SEARCH("平",B4971)),OR(ISNUMBER(SEARCH("上",B4971)),ISNUMBER(SEARCH("去",B4971)),ISNUMBER(SEARCH("入",B4971)))),"Ambiguous",IF(ISNUMBER(SEARCH("平",B4971)),"平","仄")))</x:f>
        <x:v>平</x:v>
      </x:c>
      <x:c r="K4971" s="6" t="str">
        <x:f>IF(D4971="","",IF(AND(ISNUMBER(SEARCH("平",D4971)),OR(ISNUMBER(SEARCH("上",D4971)),ISNUMBER(SEARCH("去",D4971)),ISNUMBER(SEARCH("入",D4971)))),"Ambiguous",IF(ISNUMBER(SEARCH("平",D4971)),"平","仄")))</x:f>
        <x:v>平</x:v>
      </x:c>
      <x:c r="L4971" s="7" t="str">
        <x:v>Pingshui main list, Lu Qinli gap fill</x:v>
      </x:c>
    </x:row>
    <x:row r="4972">
      <x:c r="A4972" s="5" t="str">
        <x:v>偈</x:v>
      </x:c>
      <x:c r="B4972" s="6" t="str"/>
      <x:c r="C4972" s="6" t="str">
        <x:f>IF(B4972="","Needs decision","Ready")</x:f>
        <x:v>Needs decision</x:v>
      </x:c>
      <x:c r="D4972" s="6" t="str">
        <x:v>去/入</x:v>
      </x:c>
      <x:c r="E4972" s="6" t="str"/>
      <x:c r="F4972" s="6" t="str">
        <x:v>去聲八霽; 入聲九屑</x:v>
      </x:c>
      <x:c r="G4972" s="6" t="str">
        <x:v>Pingshui main list, Wikisource-derived DOCX</x:v>
      </x:c>
      <x:c r="H4972" s="6" t="str"/>
      <x:c r="I4972" s="6" t="str">
        <x:v>Lu Qinli gap fill from Pingshui main list; 詞 entries ignored</x:v>
      </x:c>
      <x:c r="J4972" s="6" t="str">
        <x:f>IF(B4972="","",IF(AND(ISNUMBER(SEARCH("平",B4972)),OR(ISNUMBER(SEARCH("上",B4972)),ISNUMBER(SEARCH("去",B4972)),ISNUMBER(SEARCH("入",B4972)))),"Ambiguous",IF(ISNUMBER(SEARCH("平",B4972)),"平","仄")))</x:f>
      </x:c>
      <x:c r="K4972" s="6" t="str">
        <x:f>IF(D4972="","",IF(AND(ISNUMBER(SEARCH("平",D4972)),OR(ISNUMBER(SEARCH("上",D4972)),ISNUMBER(SEARCH("去",D4972)),ISNUMBER(SEARCH("入",D4972)))),"Ambiguous",IF(ISNUMBER(SEARCH("平",D4972)),"平","仄")))</x:f>
        <x:v>仄</x:v>
      </x:c>
      <x:c r="L4972" s="7" t="str">
        <x:v>Pingshui main list, Lu Qinli gap fill</x:v>
      </x:c>
    </x:row>
    <x:row r="4973">
      <x:c r="A4973" s="5" t="str">
        <x:v>偲</x:v>
      </x:c>
      <x:c r="B4973" s="6" t="str">
        <x:v>平</x:v>
      </x:c>
      <x:c r="C4973" s="6" t="str">
        <x:f>IF(B4973="","Needs decision","Ready")</x:f>
        <x:v>Ready</x:v>
      </x:c>
      <x:c r="D4973" s="6" t="str">
        <x:v>平</x:v>
      </x:c>
      <x:c r="E4973" s="6" t="str"/>
      <x:c r="F4973" s="6" t="str">
        <x:v>上平聲四支</x:v>
      </x:c>
      <x:c r="G4973" s="6" t="str">
        <x:v>Pingshui main list, Wikisource-derived DOCX</x:v>
      </x:c>
      <x:c r="H4973" s="6" t="str"/>
      <x:c r="I4973" s="6" t="str">
        <x:v>Lu Qinli gap fill from Pingshui main list; 詞 entries ignored</x:v>
      </x:c>
      <x:c r="J4973" s="6" t="str">
        <x:f>IF(B4973="","",IF(AND(ISNUMBER(SEARCH("平",B4973)),OR(ISNUMBER(SEARCH("上",B4973)),ISNUMBER(SEARCH("去",B4973)),ISNUMBER(SEARCH("入",B4973)))),"Ambiguous",IF(ISNUMBER(SEARCH("平",B4973)),"平","仄")))</x:f>
        <x:v>平</x:v>
      </x:c>
      <x:c r="K4973" s="6" t="str">
        <x:f>IF(D4973="","",IF(AND(ISNUMBER(SEARCH("平",D4973)),OR(ISNUMBER(SEARCH("上",D4973)),ISNUMBER(SEARCH("去",D4973)),ISNUMBER(SEARCH("入",D4973)))),"Ambiguous",IF(ISNUMBER(SEARCH("平",D4973)),"平","仄")))</x:f>
        <x:v>平</x:v>
      </x:c>
      <x:c r="L4973" s="7" t="str">
        <x:v>Pingshui main list, Lu Qinli gap fill</x:v>
      </x:c>
    </x:row>
    <x:row r="4974">
      <x:c r="A4974" s="5" t="str">
        <x:v>偵</x:v>
      </x:c>
      <x:c r="B4974" s="6" t="str"/>
      <x:c r="C4974" s="6" t="str">
        <x:f>IF(B4974="","Needs decision","Ready")</x:f>
        <x:v>Needs decision</x:v>
      </x:c>
      <x:c r="D4974" s="6" t="str">
        <x:v>平/去</x:v>
      </x:c>
      <x:c r="E4974" s="6" t="str"/>
      <x:c r="F4974" s="6" t="str">
        <x:v>下平聲八庚; 去聲二十四敬</x:v>
      </x:c>
      <x:c r="G4974" s="6" t="str">
        <x:v>Pingshui main list, Wikisource-derived DOCX</x:v>
      </x:c>
      <x:c r="H4974" s="6" t="str"/>
      <x:c r="I4974" s="6" t="str">
        <x:v>Lu Qinli gap fill from Pingshui main list; 詞 entries ignored</x:v>
      </x:c>
      <x:c r="J4974" s="6" t="str">
        <x:f>IF(B4974="","",IF(AND(ISNUMBER(SEARCH("平",B4974)),OR(ISNUMBER(SEARCH("上",B4974)),ISNUMBER(SEARCH("去",B4974)),ISNUMBER(SEARCH("入",B4974)))),"Ambiguous",IF(ISNUMBER(SEARCH("平",B4974)),"平","仄")))</x:f>
      </x:c>
      <x:c r="K4974" s="6" t="str">
        <x:f>IF(D4974="","",IF(AND(ISNUMBER(SEARCH("平",D4974)),OR(ISNUMBER(SEARCH("上",D4974)),ISNUMBER(SEARCH("去",D4974)),ISNUMBER(SEARCH("入",D4974)))),"Ambiguous",IF(ISNUMBER(SEARCH("平",D4974)),"平","仄")))</x:f>
        <x:v>Ambiguous</x:v>
      </x:c>
      <x:c r="L4974" s="7" t="str">
        <x:v>Pingshui main list, Lu Qinli gap fill</x:v>
      </x:c>
    </x:row>
    <x:row r="4975">
      <x:c r="A4975" s="5" t="str">
        <x:v>傀</x:v>
      </x:c>
      <x:c r="B4975" s="6" t="str"/>
      <x:c r="C4975" s="6" t="str">
        <x:f>IF(B4975="","Needs decision","Ready")</x:f>
        <x:v>Needs decision</x:v>
      </x:c>
      <x:c r="D4975" s="6" t="str">
        <x:v>平/上</x:v>
      </x:c>
      <x:c r="E4975" s="6" t="str"/>
      <x:c r="F4975" s="6" t="str">
        <x:v>上平聲十灰; 上聲四紙</x:v>
      </x:c>
      <x:c r="G4975" s="6" t="str">
        <x:v>Pingshui main list, Wikisource-derived DOCX</x:v>
      </x:c>
      <x:c r="H4975" s="6" t="str"/>
      <x:c r="I4975" s="6" t="str">
        <x:v>Lu Qinli gap fill from Pingshui main list; 詞 entries ignored</x:v>
      </x:c>
      <x:c r="J4975" s="6" t="str">
        <x:f>IF(B4975="","",IF(AND(ISNUMBER(SEARCH("平",B4975)),OR(ISNUMBER(SEARCH("上",B4975)),ISNUMBER(SEARCH("去",B4975)),ISNUMBER(SEARCH("入",B4975)))),"Ambiguous",IF(ISNUMBER(SEARCH("平",B4975)),"平","仄")))</x:f>
      </x:c>
      <x:c r="K4975" s="6" t="str">
        <x:f>IF(D4975="","",IF(AND(ISNUMBER(SEARCH("平",D4975)),OR(ISNUMBER(SEARCH("上",D4975)),ISNUMBER(SEARCH("去",D4975)),ISNUMBER(SEARCH("入",D4975)))),"Ambiguous",IF(ISNUMBER(SEARCH("平",D4975)),"平","仄")))</x:f>
        <x:v>Ambiguous</x:v>
      </x:c>
      <x:c r="L4975" s="7" t="str">
        <x:v>Pingshui main list, Lu Qinli gap fill</x:v>
      </x:c>
    </x:row>
    <x:row r="4976">
      <x:c r="A4976" s="5" t="str">
        <x:v>傃</x:v>
      </x:c>
      <x:c r="B4976" s="6" t="str">
        <x:v>去</x:v>
      </x:c>
      <x:c r="C4976" s="6" t="str">
        <x:f>IF(B4976="","Needs decision","Ready")</x:f>
        <x:v>Ready</x:v>
      </x:c>
      <x:c r="D4976" s="6" t="str">
        <x:v>去</x:v>
      </x:c>
      <x:c r="E4976" s="6" t="str"/>
      <x:c r="F4976" s="6" t="str">
        <x:v>去聲七遇</x:v>
      </x:c>
      <x:c r="G4976" s="6" t="str">
        <x:v>Pingshui main list, Wikisource-derived DOCX</x:v>
      </x:c>
      <x:c r="H4976" s="6" t="str"/>
      <x:c r="I4976" s="6" t="str">
        <x:v>Lu Qinli gap fill from Pingshui main list; 詞 entries ignored</x:v>
      </x:c>
      <x:c r="J4976" s="6" t="str">
        <x:f>IF(B4976="","",IF(AND(ISNUMBER(SEARCH("平",B4976)),OR(ISNUMBER(SEARCH("上",B4976)),ISNUMBER(SEARCH("去",B4976)),ISNUMBER(SEARCH("入",B4976)))),"Ambiguous",IF(ISNUMBER(SEARCH("平",B4976)),"平","仄")))</x:f>
        <x:v>仄</x:v>
      </x:c>
      <x:c r="K4976" s="6" t="str">
        <x:f>IF(D4976="","",IF(AND(ISNUMBER(SEARCH("平",D4976)),OR(ISNUMBER(SEARCH("上",D4976)),ISNUMBER(SEARCH("去",D4976)),ISNUMBER(SEARCH("入",D4976)))),"Ambiguous",IF(ISNUMBER(SEARCH("平",D4976)),"平","仄")))</x:f>
        <x:v>仄</x:v>
      </x:c>
      <x:c r="L4976" s="7" t="str">
        <x:v>Pingshui main list, Lu Qinli gap fill</x:v>
      </x:c>
    </x:row>
    <x:row r="4977">
      <x:c r="A4977" s="5" t="str">
        <x:v>傒</x:v>
      </x:c>
      <x:c r="B4977" s="6" t="str">
        <x:v>平</x:v>
      </x:c>
      <x:c r="C4977" s="6" t="str">
        <x:f>IF(B4977="","Needs decision","Ready")</x:f>
        <x:v>Ready</x:v>
      </x:c>
      <x:c r="D4977" s="6" t="str">
        <x:v>平</x:v>
      </x:c>
      <x:c r="E4977" s="6" t="str"/>
      <x:c r="F4977" s="6" t="str">
        <x:v>上平聲八齊</x:v>
      </x:c>
      <x:c r="G4977" s="6" t="str">
        <x:v>Pingshui main list, Wikisource-derived DOCX</x:v>
      </x:c>
      <x:c r="H4977" s="6" t="str"/>
      <x:c r="I4977" s="6" t="str">
        <x:v>Lu Qinli gap fill from Pingshui main list; 詞 entries ignored</x:v>
      </x:c>
      <x:c r="J4977" s="6" t="str">
        <x:f>IF(B4977="","",IF(AND(ISNUMBER(SEARCH("平",B4977)),OR(ISNUMBER(SEARCH("上",B4977)),ISNUMBER(SEARCH("去",B4977)),ISNUMBER(SEARCH("入",B4977)))),"Ambiguous",IF(ISNUMBER(SEARCH("平",B4977)),"平","仄")))</x:f>
        <x:v>平</x:v>
      </x:c>
      <x:c r="K4977" s="6" t="str">
        <x:f>IF(D4977="","",IF(AND(ISNUMBER(SEARCH("平",D4977)),OR(ISNUMBER(SEARCH("上",D4977)),ISNUMBER(SEARCH("去",D4977)),ISNUMBER(SEARCH("入",D4977)))),"Ambiguous",IF(ISNUMBER(SEARCH("平",D4977)),"平","仄")))</x:f>
        <x:v>平</x:v>
      </x:c>
      <x:c r="L4977" s="7" t="str">
        <x:v>Pingshui main list, Lu Qinli gap fill</x:v>
      </x:c>
    </x:row>
    <x:row r="4978">
      <x:c r="A4978" s="5" t="str">
        <x:v>傖</x:v>
      </x:c>
      <x:c r="B4978" s="6" t="str">
        <x:v>平</x:v>
      </x:c>
      <x:c r="C4978" s="6" t="str">
        <x:f>IF(B4978="","Needs decision","Ready")</x:f>
        <x:v>Ready</x:v>
      </x:c>
      <x:c r="D4978" s="6" t="str">
        <x:v>平</x:v>
      </x:c>
      <x:c r="E4978" s="6" t="str"/>
      <x:c r="F4978" s="6" t="str">
        <x:v>下平聲八庚</x:v>
      </x:c>
      <x:c r="G4978" s="6" t="str">
        <x:v>Pingshui main list, Wikisource-derived DOCX</x:v>
      </x:c>
      <x:c r="H4978" s="6" t="str"/>
      <x:c r="I4978" s="6" t="str">
        <x:v>Lu Qinli gap fill from Pingshui main list; 詞 entries ignored</x:v>
      </x:c>
      <x:c r="J4978" s="6" t="str">
        <x:f>IF(B4978="","",IF(AND(ISNUMBER(SEARCH("平",B4978)),OR(ISNUMBER(SEARCH("上",B4978)),ISNUMBER(SEARCH("去",B4978)),ISNUMBER(SEARCH("入",B4978)))),"Ambiguous",IF(ISNUMBER(SEARCH("平",B4978)),"平","仄")))</x:f>
        <x:v>平</x:v>
      </x:c>
      <x:c r="K4978" s="6" t="str">
        <x:f>IF(D4978="","",IF(AND(ISNUMBER(SEARCH("平",D4978)),OR(ISNUMBER(SEARCH("上",D4978)),ISNUMBER(SEARCH("去",D4978)),ISNUMBER(SEARCH("入",D4978)))),"Ambiguous",IF(ISNUMBER(SEARCH("平",D4978)),"平","仄")))</x:f>
        <x:v>平</x:v>
      </x:c>
      <x:c r="L4978" s="7" t="str">
        <x:v>Pingshui main list, Lu Qinli gap fill</x:v>
      </x:c>
    </x:row>
    <x:row r="4979">
      <x:c r="A4979" s="5" t="str">
        <x:v>傞</x:v>
      </x:c>
      <x:c r="B4979" s="6" t="str">
        <x:v>平</x:v>
      </x:c>
      <x:c r="C4979" s="6" t="str">
        <x:f>IF(B4979="","Needs decision","Ready")</x:f>
        <x:v>Ready</x:v>
      </x:c>
      <x:c r="D4979" s="6" t="str">
        <x:v>平</x:v>
      </x:c>
      <x:c r="E4979" s="6" t="str"/>
      <x:c r="F4979" s="6" t="str">
        <x:v>下平聲五歌</x:v>
      </x:c>
      <x:c r="G4979" s="6" t="str">
        <x:v>Pingshui main list, Wikisource-derived DOCX</x:v>
      </x:c>
      <x:c r="H4979" s="6" t="str"/>
      <x:c r="I4979" s="6" t="str">
        <x:v>Lu Qinli gap fill from Pingshui main list; 詞 entries ignored</x:v>
      </x:c>
      <x:c r="J4979" s="6" t="str">
        <x:f>IF(B4979="","",IF(AND(ISNUMBER(SEARCH("平",B4979)),OR(ISNUMBER(SEARCH("上",B4979)),ISNUMBER(SEARCH("去",B4979)),ISNUMBER(SEARCH("入",B4979)))),"Ambiguous",IF(ISNUMBER(SEARCH("平",B4979)),"平","仄")))</x:f>
        <x:v>平</x:v>
      </x:c>
      <x:c r="K4979" s="6" t="str">
        <x:f>IF(D4979="","",IF(AND(ISNUMBER(SEARCH("平",D4979)),OR(ISNUMBER(SEARCH("上",D4979)),ISNUMBER(SEARCH("去",D4979)),ISNUMBER(SEARCH("入",D4979)))),"Ambiguous",IF(ISNUMBER(SEARCH("平",D4979)),"平","仄")))</x:f>
        <x:v>平</x:v>
      </x:c>
      <x:c r="L4979" s="7" t="str">
        <x:v>Pingshui main list, Lu Qinli gap fill</x:v>
      </x:c>
    </x:row>
    <x:row r="4980">
      <x:c r="A4980" s="5" t="str">
        <x:v>傲</x:v>
      </x:c>
      <x:c r="B4980" s="6" t="str">
        <x:v>去</x:v>
      </x:c>
      <x:c r="C4980" s="6" t="str">
        <x:f>IF(B4980="","Needs decision","Ready")</x:f>
        <x:v>Ready</x:v>
      </x:c>
      <x:c r="D4980" s="6" t="str">
        <x:v>去</x:v>
      </x:c>
      <x:c r="E4980" s="6" t="str"/>
      <x:c r="F4980" s="6" t="str">
        <x:v>去聲二十號</x:v>
      </x:c>
      <x:c r="G4980" s="6" t="str">
        <x:v>Pingshui main list, Wikisource-derived DOCX</x:v>
      </x:c>
      <x:c r="H4980" s="6" t="str"/>
      <x:c r="I4980" s="6" t="str">
        <x:v>Lu Qinli gap fill from Pingshui main list; 詞 entries ignored</x:v>
      </x:c>
      <x:c r="J4980" s="6" t="str">
        <x:f>IF(B4980="","",IF(AND(ISNUMBER(SEARCH("平",B4980)),OR(ISNUMBER(SEARCH("上",B4980)),ISNUMBER(SEARCH("去",B4980)),ISNUMBER(SEARCH("入",B4980)))),"Ambiguous",IF(ISNUMBER(SEARCH("平",B4980)),"平","仄")))</x:f>
        <x:v>仄</x:v>
      </x:c>
      <x:c r="K4980" s="6" t="str">
        <x:f>IF(D4980="","",IF(AND(ISNUMBER(SEARCH("平",D4980)),OR(ISNUMBER(SEARCH("上",D4980)),ISNUMBER(SEARCH("去",D4980)),ISNUMBER(SEARCH("入",D4980)))),"Ambiguous",IF(ISNUMBER(SEARCH("平",D4980)),"平","仄")))</x:f>
        <x:v>仄</x:v>
      </x:c>
      <x:c r="L4980" s="7" t="str">
        <x:v>Pingshui main list, Lu Qinli gap fill</x:v>
      </x:c>
    </x:row>
    <x:row r="4981">
      <x:c r="A4981" s="5" t="str">
        <x:v>傺</x:v>
      </x:c>
      <x:c r="B4981" s="6" t="str">
        <x:v>去</x:v>
      </x:c>
      <x:c r="C4981" s="6" t="str">
        <x:f>IF(B4981="","Needs decision","Ready")</x:f>
        <x:v>Ready</x:v>
      </x:c>
      <x:c r="D4981" s="6" t="str">
        <x:v>去</x:v>
      </x:c>
      <x:c r="E4981" s="6" t="str"/>
      <x:c r="F4981" s="6" t="str">
        <x:v>去聲八霽</x:v>
      </x:c>
      <x:c r="G4981" s="6" t="str">
        <x:v>Pingshui main list, Wikisource-derived DOCX</x:v>
      </x:c>
      <x:c r="H4981" s="6" t="str"/>
      <x:c r="I4981" s="6" t="str">
        <x:v>Lu Qinli gap fill from Pingshui main list; 詞 entries ignored</x:v>
      </x:c>
      <x:c r="J4981" s="6" t="str">
        <x:f>IF(B4981="","",IF(AND(ISNUMBER(SEARCH("平",B4981)),OR(ISNUMBER(SEARCH("上",B4981)),ISNUMBER(SEARCH("去",B4981)),ISNUMBER(SEARCH("入",B4981)))),"Ambiguous",IF(ISNUMBER(SEARCH("平",B4981)),"平","仄")))</x:f>
        <x:v>仄</x:v>
      </x:c>
      <x:c r="K4981" s="6" t="str">
        <x:f>IF(D4981="","",IF(AND(ISNUMBER(SEARCH("平",D4981)),OR(ISNUMBER(SEARCH("上",D4981)),ISNUMBER(SEARCH("去",D4981)),ISNUMBER(SEARCH("入",D4981)))),"Ambiguous",IF(ISNUMBER(SEARCH("平",D4981)),"平","仄")))</x:f>
        <x:v>仄</x:v>
      </x:c>
      <x:c r="L4981" s="7" t="str">
        <x:v>Pingshui main list, Lu Qinli gap fill</x:v>
      </x:c>
    </x:row>
    <x:row r="4982">
      <x:c r="A4982" s="5" t="str">
        <x:v>僑</x:v>
      </x:c>
      <x:c r="B4982" s="6" t="str">
        <x:v>平</x:v>
      </x:c>
      <x:c r="C4982" s="6" t="str">
        <x:f>IF(B4982="","Needs decision","Ready")</x:f>
        <x:v>Ready</x:v>
      </x:c>
      <x:c r="D4982" s="6" t="str">
        <x:v>平</x:v>
      </x:c>
      <x:c r="E4982" s="6" t="str"/>
      <x:c r="F4982" s="6" t="str">
        <x:v>下平聲二蕭</x:v>
      </x:c>
      <x:c r="G4982" s="6" t="str">
        <x:v>Pingshui main list, Wikisource-derived DOCX</x:v>
      </x:c>
      <x:c r="H4982" s="6" t="str"/>
      <x:c r="I4982" s="6" t="str">
        <x:v>Lu Qinli gap fill from Pingshui main list; 詞 entries ignored</x:v>
      </x:c>
      <x:c r="J4982" s="6" t="str">
        <x:f>IF(B4982="","",IF(AND(ISNUMBER(SEARCH("平",B4982)),OR(ISNUMBER(SEARCH("上",B4982)),ISNUMBER(SEARCH("去",B4982)),ISNUMBER(SEARCH("入",B4982)))),"Ambiguous",IF(ISNUMBER(SEARCH("平",B4982)),"平","仄")))</x:f>
        <x:v>平</x:v>
      </x:c>
      <x:c r="K4982" s="6" t="str">
        <x:f>IF(D4982="","",IF(AND(ISNUMBER(SEARCH("平",D4982)),OR(ISNUMBER(SEARCH("上",D4982)),ISNUMBER(SEARCH("去",D4982)),ISNUMBER(SEARCH("入",D4982)))),"Ambiguous",IF(ISNUMBER(SEARCH("平",D4982)),"平","仄")))</x:f>
        <x:v>平</x:v>
      </x:c>
      <x:c r="L4982" s="7" t="str">
        <x:v>Pingshui main list, Lu Qinli gap fill</x:v>
      </x:c>
    </x:row>
    <x:row r="4983">
      <x:c r="A4983" s="5" t="str">
        <x:v>僖</x:v>
      </x:c>
      <x:c r="B4983" s="6" t="str">
        <x:v>平</x:v>
      </x:c>
      <x:c r="C4983" s="6" t="str">
        <x:f>IF(B4983="","Needs decision","Ready")</x:f>
        <x:v>Ready</x:v>
      </x:c>
      <x:c r="D4983" s="6" t="str">
        <x:v>平</x:v>
      </x:c>
      <x:c r="E4983" s="6" t="str"/>
      <x:c r="F4983" s="6" t="str">
        <x:v>上平聲四支</x:v>
      </x:c>
      <x:c r="G4983" s="6" t="str">
        <x:v>Pingshui main list, Wikisource-derived DOCX</x:v>
      </x:c>
      <x:c r="H4983" s="6" t="str"/>
      <x:c r="I4983" s="6" t="str">
        <x:v>Lu Qinli gap fill from Pingshui main list; 詞 entries ignored</x:v>
      </x:c>
      <x:c r="J4983" s="6" t="str">
        <x:f>IF(B4983="","",IF(AND(ISNUMBER(SEARCH("平",B4983)),OR(ISNUMBER(SEARCH("上",B4983)),ISNUMBER(SEARCH("去",B4983)),ISNUMBER(SEARCH("入",B4983)))),"Ambiguous",IF(ISNUMBER(SEARCH("平",B4983)),"平","仄")))</x:f>
        <x:v>平</x:v>
      </x:c>
      <x:c r="K4983" s="6" t="str">
        <x:f>IF(D4983="","",IF(AND(ISNUMBER(SEARCH("平",D4983)),OR(ISNUMBER(SEARCH("上",D4983)),ISNUMBER(SEARCH("去",D4983)),ISNUMBER(SEARCH("入",D4983)))),"Ambiguous",IF(ISNUMBER(SEARCH("平",D4983)),"平","仄")))</x:f>
        <x:v>平</x:v>
      </x:c>
      <x:c r="L4983" s="7" t="str">
        <x:v>Pingshui main list, Lu Qinli gap fill</x:v>
      </x:c>
    </x:row>
    <x:row r="4984">
      <x:c r="A4984" s="5" t="str">
        <x:v>僝</x:v>
      </x:c>
      <x:c r="B4984" s="6" t="str">
        <x:v>上</x:v>
      </x:c>
      <x:c r="C4984" s="6" t="str">
        <x:f>IF(B4984="","Needs decision","Ready")</x:f>
        <x:v>Ready</x:v>
      </x:c>
      <x:c r="D4984" s="6" t="str">
        <x:v>上</x:v>
      </x:c>
      <x:c r="E4984" s="6" t="str"/>
      <x:c r="F4984" s="6" t="str">
        <x:v>上聲十五潸</x:v>
      </x:c>
      <x:c r="G4984" s="6" t="str">
        <x:v>Pingshui main list, Wikisource-derived DOCX</x:v>
      </x:c>
      <x:c r="H4984" s="6" t="str"/>
      <x:c r="I4984" s="6" t="str">
        <x:v>Lu Qinli gap fill from Pingshui main list; 詞 entries ignored</x:v>
      </x:c>
      <x:c r="J4984" s="6" t="str">
        <x:f>IF(B4984="","",IF(AND(ISNUMBER(SEARCH("平",B4984)),OR(ISNUMBER(SEARCH("上",B4984)),ISNUMBER(SEARCH("去",B4984)),ISNUMBER(SEARCH("入",B4984)))),"Ambiguous",IF(ISNUMBER(SEARCH("平",B4984)),"平","仄")))</x:f>
        <x:v>仄</x:v>
      </x:c>
      <x:c r="K4984" s="6" t="str">
        <x:f>IF(D4984="","",IF(AND(ISNUMBER(SEARCH("平",D4984)),OR(ISNUMBER(SEARCH("上",D4984)),ISNUMBER(SEARCH("去",D4984)),ISNUMBER(SEARCH("入",D4984)))),"Ambiguous",IF(ISNUMBER(SEARCH("平",D4984)),"平","仄")))</x:f>
        <x:v>仄</x:v>
      </x:c>
      <x:c r="L4984" s="7" t="str">
        <x:v>Pingshui main list, Lu Qinli gap fill</x:v>
      </x:c>
    </x:row>
    <x:row r="4985">
      <x:c r="A4985" s="5" t="str">
        <x:v>僨</x:v>
      </x:c>
      <x:c r="B4985" s="6" t="str">
        <x:v>去</x:v>
      </x:c>
      <x:c r="C4985" s="6" t="str">
        <x:f>IF(B4985="","Needs decision","Ready")</x:f>
        <x:v>Ready</x:v>
      </x:c>
      <x:c r="D4985" s="6" t="str">
        <x:v>去</x:v>
      </x:c>
      <x:c r="E4985" s="6" t="str"/>
      <x:c r="F4985" s="6" t="str">
        <x:v>去聲十三問</x:v>
      </x:c>
      <x:c r="G4985" s="6" t="str">
        <x:v>Pingshui main list, Wikisource-derived DOCX</x:v>
      </x:c>
      <x:c r="H4985" s="6" t="str"/>
      <x:c r="I4985" s="6" t="str">
        <x:v>Lu Qinli gap fill from Pingshui main list; 詞 entries ignored</x:v>
      </x:c>
      <x:c r="J4985" s="6" t="str">
        <x:f>IF(B4985="","",IF(AND(ISNUMBER(SEARCH("平",B4985)),OR(ISNUMBER(SEARCH("上",B4985)),ISNUMBER(SEARCH("去",B4985)),ISNUMBER(SEARCH("入",B4985)))),"Ambiguous",IF(ISNUMBER(SEARCH("平",B4985)),"平","仄")))</x:f>
        <x:v>仄</x:v>
      </x:c>
      <x:c r="K4985" s="6" t="str">
        <x:f>IF(D4985="","",IF(AND(ISNUMBER(SEARCH("平",D4985)),OR(ISNUMBER(SEARCH("上",D4985)),ISNUMBER(SEARCH("去",D4985)),ISNUMBER(SEARCH("入",D4985)))),"Ambiguous",IF(ISNUMBER(SEARCH("平",D4985)),"平","仄")))</x:f>
        <x:v>仄</x:v>
      </x:c>
      <x:c r="L4985" s="7" t="str">
        <x:v>Pingshui main list, Lu Qinli gap fill</x:v>
      </x:c>
    </x:row>
    <x:row r="4986">
      <x:c r="A4986" s="5" t="str">
        <x:v>僰</x:v>
      </x:c>
      <x:c r="B4986" s="6" t="str">
        <x:v>入</x:v>
      </x:c>
      <x:c r="C4986" s="6" t="str">
        <x:f>IF(B4986="","Needs decision","Ready")</x:f>
        <x:v>Ready</x:v>
      </x:c>
      <x:c r="D4986" s="6" t="str">
        <x:v>入</x:v>
      </x:c>
      <x:c r="E4986" s="6" t="str"/>
      <x:c r="F4986" s="6" t="str">
        <x:v>入聲十三職</x:v>
      </x:c>
      <x:c r="G4986" s="6" t="str">
        <x:v>Pingshui main list, Wikisource-derived DOCX</x:v>
      </x:c>
      <x:c r="H4986" s="6" t="str"/>
      <x:c r="I4986" s="6" t="str">
        <x:v>Lu Qinli gap fill from Pingshui main list; 詞 entries ignored</x:v>
      </x:c>
      <x:c r="J4986" s="6" t="str">
        <x:f>IF(B4986="","",IF(AND(ISNUMBER(SEARCH("平",B4986)),OR(ISNUMBER(SEARCH("上",B4986)),ISNUMBER(SEARCH("去",B4986)),ISNUMBER(SEARCH("入",B4986)))),"Ambiguous",IF(ISNUMBER(SEARCH("平",B4986)),"平","仄")))</x:f>
        <x:v>仄</x:v>
      </x:c>
      <x:c r="K4986" s="6" t="str">
        <x:f>IF(D4986="","",IF(AND(ISNUMBER(SEARCH("平",D4986)),OR(ISNUMBER(SEARCH("上",D4986)),ISNUMBER(SEARCH("去",D4986)),ISNUMBER(SEARCH("入",D4986)))),"Ambiguous",IF(ISNUMBER(SEARCH("平",D4986)),"平","仄")))</x:f>
        <x:v>仄</x:v>
      </x:c>
      <x:c r="L4986" s="7" t="str">
        <x:v>Pingshui main list, Lu Qinli gap fill</x:v>
      </x:c>
    </x:row>
    <x:row r="4987">
      <x:c r="A4987" s="5" t="str">
        <x:v>僵</x:v>
      </x:c>
      <x:c r="B4987" s="6" t="str">
        <x:v>平</x:v>
      </x:c>
      <x:c r="C4987" s="6" t="str">
        <x:f>IF(B4987="","Needs decision","Ready")</x:f>
        <x:v>Ready</x:v>
      </x:c>
      <x:c r="D4987" s="6" t="str">
        <x:v>平</x:v>
      </x:c>
      <x:c r="E4987" s="6" t="str"/>
      <x:c r="F4987" s="6" t="str">
        <x:v>下平聲七陽</x:v>
      </x:c>
      <x:c r="G4987" s="6" t="str">
        <x:v>Pingshui main list, Wikisource-derived DOCX</x:v>
      </x:c>
      <x:c r="H4987" s="6" t="str"/>
      <x:c r="I4987" s="6" t="str">
        <x:v>Lu Qinli gap fill from Pingshui main list; 詞 entries ignored</x:v>
      </x:c>
      <x:c r="J4987" s="6" t="str">
        <x:f>IF(B4987="","",IF(AND(ISNUMBER(SEARCH("平",B4987)),OR(ISNUMBER(SEARCH("上",B4987)),ISNUMBER(SEARCH("去",B4987)),ISNUMBER(SEARCH("入",B4987)))),"Ambiguous",IF(ISNUMBER(SEARCH("平",B4987)),"平","仄")))</x:f>
        <x:v>平</x:v>
      </x:c>
      <x:c r="K4987" s="6" t="str">
        <x:f>IF(D4987="","",IF(AND(ISNUMBER(SEARCH("平",D4987)),OR(ISNUMBER(SEARCH("上",D4987)),ISNUMBER(SEARCH("去",D4987)),ISNUMBER(SEARCH("入",D4987)))),"Ambiguous",IF(ISNUMBER(SEARCH("平",D4987)),"平","仄")))</x:f>
        <x:v>平</x:v>
      </x:c>
      <x:c r="L4987" s="7" t="str">
        <x:v>Pingshui main list, Lu Qinli gap fill</x:v>
      </x:c>
    </x:row>
    <x:row r="4988">
      <x:c r="A4988" s="5" t="str">
        <x:v>儂</x:v>
      </x:c>
      <x:c r="B4988" s="6" t="str">
        <x:v>平</x:v>
      </x:c>
      <x:c r="C4988" s="6" t="str">
        <x:f>IF(B4988="","Needs decision","Ready")</x:f>
        <x:v>Ready</x:v>
      </x:c>
      <x:c r="D4988" s="6" t="str">
        <x:v>平</x:v>
      </x:c>
      <x:c r="E4988" s="6" t="str"/>
      <x:c r="F4988" s="6" t="str">
        <x:v>上平聲二冬</x:v>
      </x:c>
      <x:c r="G4988" s="6" t="str">
        <x:v>Pingshui main list, Wikisource-derived DOCX</x:v>
      </x:c>
      <x:c r="H4988" s="6" t="str"/>
      <x:c r="I4988" s="6" t="str">
        <x:v>Lu Qinli gap fill from Pingshui main list; 詞 entries ignored</x:v>
      </x:c>
      <x:c r="J4988" s="6" t="str">
        <x:f>IF(B4988="","",IF(AND(ISNUMBER(SEARCH("平",B4988)),OR(ISNUMBER(SEARCH("上",B4988)),ISNUMBER(SEARCH("去",B4988)),ISNUMBER(SEARCH("入",B4988)))),"Ambiguous",IF(ISNUMBER(SEARCH("平",B4988)),"平","仄")))</x:f>
        <x:v>平</x:v>
      </x:c>
      <x:c r="K4988" s="6" t="str">
        <x:f>IF(D4988="","",IF(AND(ISNUMBER(SEARCH("平",D4988)),OR(ISNUMBER(SEARCH("上",D4988)),ISNUMBER(SEARCH("去",D4988)),ISNUMBER(SEARCH("入",D4988)))),"Ambiguous",IF(ISNUMBER(SEARCH("平",D4988)),"平","仄")))</x:f>
        <x:v>平</x:v>
      </x:c>
      <x:c r="L4988" s="7" t="str">
        <x:v>Pingshui main list, Lu Qinli gap fill</x:v>
      </x:c>
    </x:row>
    <x:row r="4989">
      <x:c r="A4989" s="5" t="str">
        <x:v>儆</x:v>
      </x:c>
      <x:c r="B4989" s="6" t="str">
        <x:v>去</x:v>
      </x:c>
      <x:c r="C4989" s="6" t="str">
        <x:f>IF(B4989="","Needs decision","Ready")</x:f>
        <x:v>Ready</x:v>
      </x:c>
      <x:c r="D4989" s="6" t="str">
        <x:v>去</x:v>
      </x:c>
      <x:c r="E4989" s="6" t="str"/>
      <x:c r="F4989" s="6" t="str">
        <x:v>去聲二十四敬</x:v>
      </x:c>
      <x:c r="G4989" s="6" t="str">
        <x:v>Pingshui main list, Wikisource-derived DOCX</x:v>
      </x:c>
      <x:c r="H4989" s="6" t="str"/>
      <x:c r="I4989" s="6" t="str">
        <x:v>Lu Qinli gap fill from Pingshui main list; 詞 entries ignored</x:v>
      </x:c>
      <x:c r="J4989" s="6" t="str">
        <x:f>IF(B4989="","",IF(AND(ISNUMBER(SEARCH("平",B4989)),OR(ISNUMBER(SEARCH("上",B4989)),ISNUMBER(SEARCH("去",B4989)),ISNUMBER(SEARCH("入",B4989)))),"Ambiguous",IF(ISNUMBER(SEARCH("平",B4989)),"平","仄")))</x:f>
        <x:v>仄</x:v>
      </x:c>
      <x:c r="K4989" s="6" t="str">
        <x:f>IF(D4989="","",IF(AND(ISNUMBER(SEARCH("平",D4989)),OR(ISNUMBER(SEARCH("上",D4989)),ISNUMBER(SEARCH("去",D4989)),ISNUMBER(SEARCH("入",D4989)))),"Ambiguous",IF(ISNUMBER(SEARCH("平",D4989)),"平","仄")))</x:f>
        <x:v>仄</x:v>
      </x:c>
      <x:c r="L4989" s="7" t="str">
        <x:v>Pingshui main list, Lu Qinli gap fill</x:v>
      </x:c>
    </x:row>
    <x:row r="4990">
      <x:c r="A4990" s="5" t="str">
        <x:v>儈</x:v>
      </x:c>
      <x:c r="B4990" s="6" t="str">
        <x:v>去</x:v>
      </x:c>
      <x:c r="C4990" s="6" t="str">
        <x:f>IF(B4990="","Needs decision","Ready")</x:f>
        <x:v>Ready</x:v>
      </x:c>
      <x:c r="D4990" s="6" t="str">
        <x:v>去</x:v>
      </x:c>
      <x:c r="E4990" s="6" t="str"/>
      <x:c r="F4990" s="6" t="str">
        <x:v>去聲九泰</x:v>
      </x:c>
      <x:c r="G4990" s="6" t="str">
        <x:v>Pingshui main list, Wikisource-derived DOCX</x:v>
      </x:c>
      <x:c r="H4990" s="6" t="str"/>
      <x:c r="I4990" s="6" t="str">
        <x:v>Lu Qinli gap fill from Pingshui main list; 詞 entries ignored</x:v>
      </x:c>
      <x:c r="J4990" s="6" t="str">
        <x:f>IF(B4990="","",IF(AND(ISNUMBER(SEARCH("平",B4990)),OR(ISNUMBER(SEARCH("上",B4990)),ISNUMBER(SEARCH("去",B4990)),ISNUMBER(SEARCH("入",B4990)))),"Ambiguous",IF(ISNUMBER(SEARCH("平",B4990)),"平","仄")))</x:f>
        <x:v>仄</x:v>
      </x:c>
      <x:c r="K4990" s="6" t="str">
        <x:f>IF(D4990="","",IF(AND(ISNUMBER(SEARCH("平",D4990)),OR(ISNUMBER(SEARCH("上",D4990)),ISNUMBER(SEARCH("去",D4990)),ISNUMBER(SEARCH("入",D4990)))),"Ambiguous",IF(ISNUMBER(SEARCH("平",D4990)),"平","仄")))</x:f>
        <x:v>仄</x:v>
      </x:c>
      <x:c r="L4990" s="7" t="str">
        <x:v>Pingshui main list, Lu Qinli gap fill</x:v>
      </x:c>
    </x:row>
    <x:row r="4991">
      <x:c r="A4991" s="5" t="str">
        <x:v>儐</x:v>
      </x:c>
      <x:c r="B4991" s="6" t="str"/>
      <x:c r="C4991" s="6" t="str">
        <x:f>IF(B4991="","Needs decision","Ready")</x:f>
        <x:v>Needs decision</x:v>
      </x:c>
      <x:c r="D4991" s="6" t="str">
        <x:v>平/去</x:v>
      </x:c>
      <x:c r="E4991" s="6" t="str"/>
      <x:c r="F4991" s="6" t="str">
        <x:v>上平聲十一真; 去聲十二震</x:v>
      </x:c>
      <x:c r="G4991" s="6" t="str">
        <x:v>Pingshui main list, Wikisource-derived DOCX</x:v>
      </x:c>
      <x:c r="H4991" s="6" t="str"/>
      <x:c r="I4991" s="6" t="str">
        <x:v>Lu Qinli gap fill from Pingshui main list; 詞 entries ignored</x:v>
      </x:c>
      <x:c r="J4991" s="6" t="str">
        <x:f>IF(B4991="","",IF(AND(ISNUMBER(SEARCH("平",B4991)),OR(ISNUMBER(SEARCH("上",B4991)),ISNUMBER(SEARCH("去",B4991)),ISNUMBER(SEARCH("入",B4991)))),"Ambiguous",IF(ISNUMBER(SEARCH("平",B4991)),"平","仄")))</x:f>
      </x:c>
      <x:c r="K4991" s="6" t="str">
        <x:f>IF(D4991="","",IF(AND(ISNUMBER(SEARCH("平",D4991)),OR(ISNUMBER(SEARCH("上",D4991)),ISNUMBER(SEARCH("去",D4991)),ISNUMBER(SEARCH("入",D4991)))),"Ambiguous",IF(ISNUMBER(SEARCH("平",D4991)),"平","仄")))</x:f>
        <x:v>Ambiguous</x:v>
      </x:c>
      <x:c r="L4991" s="7" t="str">
        <x:v>Pingshui main list, Lu Qinli gap fill</x:v>
      </x:c>
    </x:row>
    <x:row r="4992">
      <x:c r="A4992" s="5" t="str">
        <x:v>儔</x:v>
      </x:c>
      <x:c r="B4992" s="6" t="str">
        <x:v>平</x:v>
      </x:c>
      <x:c r="C4992" s="6" t="str">
        <x:f>IF(B4992="","Needs decision","Ready")</x:f>
        <x:v>Ready</x:v>
      </x:c>
      <x:c r="D4992" s="6" t="str">
        <x:v>平</x:v>
      </x:c>
      <x:c r="E4992" s="6" t="str"/>
      <x:c r="F4992" s="6" t="str">
        <x:v>下平聲十一尤</x:v>
      </x:c>
      <x:c r="G4992" s="6" t="str">
        <x:v>Pingshui main list, Wikisource-derived DOCX</x:v>
      </x:c>
      <x:c r="H4992" s="6" t="str"/>
      <x:c r="I4992" s="6" t="str">
        <x:v>Lu Qinli gap fill from Pingshui main list; 詞 entries ignored</x:v>
      </x:c>
      <x:c r="J4992" s="6" t="str">
        <x:f>IF(B4992="","",IF(AND(ISNUMBER(SEARCH("平",B4992)),OR(ISNUMBER(SEARCH("上",B4992)),ISNUMBER(SEARCH("去",B4992)),ISNUMBER(SEARCH("入",B4992)))),"Ambiguous",IF(ISNUMBER(SEARCH("平",B4992)),"平","仄")))</x:f>
        <x:v>平</x:v>
      </x:c>
      <x:c r="K4992" s="6" t="str">
        <x:f>IF(D4992="","",IF(AND(ISNUMBER(SEARCH("平",D4992)),OR(ISNUMBER(SEARCH("上",D4992)),ISNUMBER(SEARCH("去",D4992)),ISNUMBER(SEARCH("入",D4992)))),"Ambiguous",IF(ISNUMBER(SEARCH("平",D4992)),"平","仄")))</x:f>
        <x:v>平</x:v>
      </x:c>
      <x:c r="L4992" s="7" t="str">
        <x:v>Pingshui main list, Lu Qinli gap fill</x:v>
      </x:c>
    </x:row>
    <x:row r="4993">
      <x:c r="A4993" s="5" t="str">
        <x:v>償</x:v>
      </x:c>
      <x:c r="B4993" s="6" t="str"/>
      <x:c r="C4993" s="6" t="str">
        <x:f>IF(B4993="","Needs decision","Ready")</x:f>
        <x:v>Needs decision</x:v>
      </x:c>
      <x:c r="D4993" s="6" t="str">
        <x:v>平/去</x:v>
      </x:c>
      <x:c r="E4993" s="6" t="str"/>
      <x:c r="F4993" s="6" t="str">
        <x:v>下平聲七陽; 去聲二十三漾</x:v>
      </x:c>
      <x:c r="G4993" s="6" t="str">
        <x:v>Pingshui main list, Wikisource-derived DOCX</x:v>
      </x:c>
      <x:c r="H4993" s="6" t="str"/>
      <x:c r="I4993" s="6" t="str">
        <x:v>Lu Qinli gap fill from Pingshui main list; 詞 entries ignored</x:v>
      </x:c>
      <x:c r="J4993" s="6" t="str">
        <x:f>IF(B4993="","",IF(AND(ISNUMBER(SEARCH("平",B4993)),OR(ISNUMBER(SEARCH("上",B4993)),ISNUMBER(SEARCH("去",B4993)),ISNUMBER(SEARCH("入",B4993)))),"Ambiguous",IF(ISNUMBER(SEARCH("平",B4993)),"平","仄")))</x:f>
      </x:c>
      <x:c r="K4993" s="6" t="str">
        <x:f>IF(D4993="","",IF(AND(ISNUMBER(SEARCH("平",D4993)),OR(ISNUMBER(SEARCH("上",D4993)),ISNUMBER(SEARCH("去",D4993)),ISNUMBER(SEARCH("入",D4993)))),"Ambiguous",IF(ISNUMBER(SEARCH("平",D4993)),"平","仄")))</x:f>
        <x:v>Ambiguous</x:v>
      </x:c>
      <x:c r="L4993" s="7" t="str">
        <x:v>Pingshui main list, Lu Qinli gap fill</x:v>
      </x:c>
    </x:row>
    <x:row r="4994">
      <x:c r="A4994" s="5" t="str">
        <x:v>儡</x:v>
      </x:c>
      <x:c r="B4994" s="6" t="str">
        <x:v>上</x:v>
      </x:c>
      <x:c r="C4994" s="6" t="str">
        <x:f>IF(B4994="","Needs decision","Ready")</x:f>
        <x:v>Ready</x:v>
      </x:c>
      <x:c r="D4994" s="6" t="str">
        <x:v>上</x:v>
      </x:c>
      <x:c r="E4994" s="6" t="str"/>
      <x:c r="F4994" s="6" t="str">
        <x:v>上聲十賄</x:v>
      </x:c>
      <x:c r="G4994" s="6" t="str">
        <x:v>Pingshui main list, Wikisource-derived DOCX</x:v>
      </x:c>
      <x:c r="H4994" s="6" t="str"/>
      <x:c r="I4994" s="6" t="str">
        <x:v>Lu Qinli gap fill from Pingshui main list; 詞 entries ignored</x:v>
      </x:c>
      <x:c r="J4994" s="6" t="str">
        <x:f>IF(B4994="","",IF(AND(ISNUMBER(SEARCH("平",B4994)),OR(ISNUMBER(SEARCH("上",B4994)),ISNUMBER(SEARCH("去",B4994)),ISNUMBER(SEARCH("入",B4994)))),"Ambiguous",IF(ISNUMBER(SEARCH("平",B4994)),"平","仄")))</x:f>
        <x:v>仄</x:v>
      </x:c>
      <x:c r="K4994" s="6" t="str">
        <x:f>IF(D4994="","",IF(AND(ISNUMBER(SEARCH("平",D4994)),OR(ISNUMBER(SEARCH("上",D4994)),ISNUMBER(SEARCH("去",D4994)),ISNUMBER(SEARCH("入",D4994)))),"Ambiguous",IF(ISNUMBER(SEARCH("平",D4994)),"平","仄")))</x:f>
        <x:v>仄</x:v>
      </x:c>
      <x:c r="L4994" s="7" t="str">
        <x:v>Pingshui main list, Lu Qinli gap fill</x:v>
      </x:c>
    </x:row>
    <x:row r="4995">
      <x:c r="A4995" s="5" t="str">
        <x:v>儳</x:v>
      </x:c>
      <x:c r="B4995" s="6" t="str"/>
      <x:c r="C4995" s="6" t="str">
        <x:f>IF(B4995="","Needs decision","Ready")</x:f>
        <x:v>Needs decision</x:v>
      </x:c>
      <x:c r="D4995" s="6" t="str">
        <x:v>平/去</x:v>
      </x:c>
      <x:c r="E4995" s="6" t="str"/>
      <x:c r="F4995" s="6" t="str">
        <x:v>下平聲十五咸; 去聲三十陷</x:v>
      </x:c>
      <x:c r="G4995" s="6" t="str">
        <x:v>Pingshui main list, Wikisource-derived DOCX</x:v>
      </x:c>
      <x:c r="H4995" s="6" t="str"/>
      <x:c r="I4995" s="6" t="str">
        <x:v>Lu Qinli gap fill from Pingshui main list; 詞 entries ignored</x:v>
      </x:c>
      <x:c r="J4995" s="6" t="str">
        <x:f>IF(B4995="","",IF(AND(ISNUMBER(SEARCH("平",B4995)),OR(ISNUMBER(SEARCH("上",B4995)),ISNUMBER(SEARCH("去",B4995)),ISNUMBER(SEARCH("入",B4995)))),"Ambiguous",IF(ISNUMBER(SEARCH("平",B4995)),"平","仄")))</x:f>
      </x:c>
      <x:c r="K4995" s="6" t="str">
        <x:f>IF(D4995="","",IF(AND(ISNUMBER(SEARCH("平",D4995)),OR(ISNUMBER(SEARCH("上",D4995)),ISNUMBER(SEARCH("去",D4995)),ISNUMBER(SEARCH("入",D4995)))),"Ambiguous",IF(ISNUMBER(SEARCH("平",D4995)),"平","仄")))</x:f>
        <x:v>Ambiguous</x:v>
      </x:c>
      <x:c r="L4995" s="7" t="str">
        <x:v>Pingshui main list, Lu Qinli gap fill</x:v>
      </x:c>
    </x:row>
    <x:row r="4996">
      <x:c r="A4996" s="5" t="str">
        <x:v>儵</x:v>
      </x:c>
      <x:c r="B4996" s="6" t="str">
        <x:v>入</x:v>
      </x:c>
      <x:c r="C4996" s="6" t="str">
        <x:f>IF(B4996="","Needs decision","Ready")</x:f>
        <x:v>Ready</x:v>
      </x:c>
      <x:c r="D4996" s="6" t="str">
        <x:v>入</x:v>
      </x:c>
      <x:c r="E4996" s="6" t="str"/>
      <x:c r="F4996" s="6" t="str">
        <x:v>入聲一屋</x:v>
      </x:c>
      <x:c r="G4996" s="6" t="str">
        <x:v>Pingshui main list, Wikisource-derived DOCX</x:v>
      </x:c>
      <x:c r="H4996" s="6" t="str"/>
      <x:c r="I4996" s="6" t="str">
        <x:v>Lu Qinli gap fill from Pingshui main list; 詞 entries ignored</x:v>
      </x:c>
      <x:c r="J4996" s="6" t="str">
        <x:f>IF(B4996="","",IF(AND(ISNUMBER(SEARCH("平",B4996)),OR(ISNUMBER(SEARCH("上",B4996)),ISNUMBER(SEARCH("去",B4996)),ISNUMBER(SEARCH("入",B4996)))),"Ambiguous",IF(ISNUMBER(SEARCH("平",B4996)),"平","仄")))</x:f>
        <x:v>仄</x:v>
      </x:c>
      <x:c r="K4996" s="6" t="str">
        <x:f>IF(D4996="","",IF(AND(ISNUMBER(SEARCH("平",D4996)),OR(ISNUMBER(SEARCH("上",D4996)),ISNUMBER(SEARCH("去",D4996)),ISNUMBER(SEARCH("入",D4996)))),"Ambiguous",IF(ISNUMBER(SEARCH("平",D4996)),"平","仄")))</x:f>
        <x:v>仄</x:v>
      </x:c>
      <x:c r="L4996" s="7" t="str">
        <x:v>Pingshui main list, Lu Qinli gap fill</x:v>
      </x:c>
    </x:row>
    <x:row r="4997">
      <x:c r="A4997" s="5" t="str">
        <x:v>儷</x:v>
      </x:c>
      <x:c r="B4997" s="6" t="str">
        <x:v>去</x:v>
      </x:c>
      <x:c r="C4997" s="6" t="str">
        <x:f>IF(B4997="","Needs decision","Ready")</x:f>
        <x:v>Ready</x:v>
      </x:c>
      <x:c r="D4997" s="6" t="str">
        <x:v>去</x:v>
      </x:c>
      <x:c r="E4997" s="6" t="str"/>
      <x:c r="F4997" s="6" t="str">
        <x:v>去聲八霽</x:v>
      </x:c>
      <x:c r="G4997" s="6" t="str">
        <x:v>Pingshui main list, Wikisource-derived DOCX</x:v>
      </x:c>
      <x:c r="H4997" s="6" t="str"/>
      <x:c r="I4997" s="6" t="str">
        <x:v>Lu Qinli gap fill from Pingshui main list; 詞 entries ignored</x:v>
      </x:c>
      <x:c r="J4997" s="6" t="str">
        <x:f>IF(B4997="","",IF(AND(ISNUMBER(SEARCH("平",B4997)),OR(ISNUMBER(SEARCH("上",B4997)),ISNUMBER(SEARCH("去",B4997)),ISNUMBER(SEARCH("入",B4997)))),"Ambiguous",IF(ISNUMBER(SEARCH("平",B4997)),"平","仄")))</x:f>
        <x:v>仄</x:v>
      </x:c>
      <x:c r="K4997" s="6" t="str">
        <x:f>IF(D4997="","",IF(AND(ISNUMBER(SEARCH("平",D4997)),OR(ISNUMBER(SEARCH("上",D4997)),ISNUMBER(SEARCH("去",D4997)),ISNUMBER(SEARCH("入",D4997)))),"Ambiguous",IF(ISNUMBER(SEARCH("平",D4997)),"平","仄")))</x:f>
        <x:v>仄</x:v>
      </x:c>
      <x:c r="L4997" s="7" t="str">
        <x:v>Pingshui main list, Lu Qinli gap fill</x:v>
      </x:c>
    </x:row>
    <x:row r="4998">
      <x:c r="A4998" s="5" t="str">
        <x:v>兌</x:v>
      </x:c>
      <x:c r="B4998" s="6" t="str">
        <x:v>去</x:v>
      </x:c>
      <x:c r="C4998" s="6" t="str">
        <x:f>IF(B4998="","Needs decision","Ready")</x:f>
        <x:v>Ready</x:v>
      </x:c>
      <x:c r="D4998" s="6" t="str">
        <x:v>去</x:v>
      </x:c>
      <x:c r="E4998" s="6" t="str"/>
      <x:c r="F4998" s="6" t="str">
        <x:v>去聲九泰</x:v>
      </x:c>
      <x:c r="G4998" s="6" t="str">
        <x:v>Pingshui main list, Wikisource-derived DOCX</x:v>
      </x:c>
      <x:c r="H4998" s="6" t="str"/>
      <x:c r="I4998" s="6" t="str">
        <x:v>Lu Qinli gap fill from Pingshui main list; 詞 entries ignored</x:v>
      </x:c>
      <x:c r="J4998" s="6" t="str">
        <x:f>IF(B4998="","",IF(AND(ISNUMBER(SEARCH("平",B4998)),OR(ISNUMBER(SEARCH("上",B4998)),ISNUMBER(SEARCH("去",B4998)),ISNUMBER(SEARCH("入",B4998)))),"Ambiguous",IF(ISNUMBER(SEARCH("平",B4998)),"平","仄")))</x:f>
        <x:v>仄</x:v>
      </x:c>
      <x:c r="K4998" s="6" t="str">
        <x:f>IF(D4998="","",IF(AND(ISNUMBER(SEARCH("平",D4998)),OR(ISNUMBER(SEARCH("上",D4998)),ISNUMBER(SEARCH("去",D4998)),ISNUMBER(SEARCH("入",D4998)))),"Ambiguous",IF(ISNUMBER(SEARCH("平",D4998)),"平","仄")))</x:f>
        <x:v>仄</x:v>
      </x:c>
      <x:c r="L4998" s="7" t="str">
        <x:v>Pingshui main list, Lu Qinli gap fill</x:v>
      </x:c>
    </x:row>
    <x:row r="4999">
      <x:c r="A4999" s="5" t="str">
        <x:v>兗</x:v>
      </x:c>
      <x:c r="B4999" s="6" t="str">
        <x:v>上</x:v>
      </x:c>
      <x:c r="C4999" s="6" t="str">
        <x:f>IF(B4999="","Needs decision","Ready")</x:f>
        <x:v>Ready</x:v>
      </x:c>
      <x:c r="D4999" s="6" t="str">
        <x:v>上</x:v>
      </x:c>
      <x:c r="E4999" s="6" t="str"/>
      <x:c r="F4999" s="6" t="str">
        <x:v>上聲十六銑</x:v>
      </x:c>
      <x:c r="G4999" s="6" t="str">
        <x:v>Pingshui main list, Wikisource-derived DOCX</x:v>
      </x:c>
      <x:c r="H4999" s="6" t="str"/>
      <x:c r="I4999" s="6" t="str">
        <x:v>Lu Qinli gap fill from Pingshui main list; 詞 entries ignored</x:v>
      </x:c>
      <x:c r="J4999" s="6" t="str">
        <x:f>IF(B4999="","",IF(AND(ISNUMBER(SEARCH("平",B4999)),OR(ISNUMBER(SEARCH("上",B4999)),ISNUMBER(SEARCH("去",B4999)),ISNUMBER(SEARCH("入",B4999)))),"Ambiguous",IF(ISNUMBER(SEARCH("平",B4999)),"平","仄")))</x:f>
        <x:v>仄</x:v>
      </x:c>
      <x:c r="K4999" s="6" t="str">
        <x:f>IF(D4999="","",IF(AND(ISNUMBER(SEARCH("平",D4999)),OR(ISNUMBER(SEARCH("上",D4999)),ISNUMBER(SEARCH("去",D4999)),ISNUMBER(SEARCH("入",D4999)))),"Ambiguous",IF(ISNUMBER(SEARCH("平",D4999)),"平","仄")))</x:f>
        <x:v>仄</x:v>
      </x:c>
      <x:c r="L4999" s="7" t="str">
        <x:v>Pingshui main list, Lu Qinli gap fill</x:v>
      </x:c>
    </x:row>
    <x:row r="5000">
      <x:c r="A5000" s="5" t="str">
        <x:v>冏</x:v>
      </x:c>
      <x:c r="B5000" s="6" t="str">
        <x:v>上</x:v>
      </x:c>
      <x:c r="C5000" s="6" t="str">
        <x:f>IF(B5000="","Needs decision","Ready")</x:f>
        <x:v>Ready</x:v>
      </x:c>
      <x:c r="D5000" s="6" t="str">
        <x:v>上</x:v>
      </x:c>
      <x:c r="E5000" s="6" t="str"/>
      <x:c r="F5000" s="6" t="str">
        <x:v>上聲二十三梗</x:v>
      </x:c>
      <x:c r="G5000" s="6" t="str">
        <x:v>Pingshui main list, Wikisource-derived DOCX</x:v>
      </x:c>
      <x:c r="H5000" s="6" t="str"/>
      <x:c r="I5000" s="6" t="str">
        <x:v>Lu Qinli gap fill from Pingshui main list; 詞 entries ignored</x:v>
      </x:c>
      <x:c r="J5000" s="6" t="str">
        <x:f>IF(B5000="","",IF(AND(ISNUMBER(SEARCH("平",B5000)),OR(ISNUMBER(SEARCH("上",B5000)),ISNUMBER(SEARCH("去",B5000)),ISNUMBER(SEARCH("入",B5000)))),"Ambiguous",IF(ISNUMBER(SEARCH("平",B5000)),"平","仄")))</x:f>
        <x:v>仄</x:v>
      </x:c>
      <x:c r="K5000" s="6" t="str">
        <x:f>IF(D5000="","",IF(AND(ISNUMBER(SEARCH("平",D5000)),OR(ISNUMBER(SEARCH("上",D5000)),ISNUMBER(SEARCH("去",D5000)),ISNUMBER(SEARCH("入",D5000)))),"Ambiguous",IF(ISNUMBER(SEARCH("平",D5000)),"平","仄")))</x:f>
        <x:v>仄</x:v>
      </x:c>
      <x:c r="L5000" s="7" t="str">
        <x:v>Pingshui main list, Lu Qinli gap fill</x:v>
      </x:c>
    </x:row>
    <x:row r="5001">
      <x:c r="A5001" s="5" t="str">
        <x:v>冶</x:v>
      </x:c>
      <x:c r="B5001" s="6" t="str">
        <x:v>上</x:v>
      </x:c>
      <x:c r="C5001" s="6" t="str">
        <x:f>IF(B5001="","Needs decision","Ready")</x:f>
        <x:v>Ready</x:v>
      </x:c>
      <x:c r="D5001" s="6" t="str">
        <x:v>上</x:v>
      </x:c>
      <x:c r="E5001" s="6" t="str"/>
      <x:c r="F5001" s="6" t="str">
        <x:v>上聲二十一馬</x:v>
      </x:c>
      <x:c r="G5001" s="6" t="str">
        <x:v>Pingshui main list, Wikisource-derived DOCX</x:v>
      </x:c>
      <x:c r="H5001" s="6" t="str"/>
      <x:c r="I5001" s="6" t="str">
        <x:v>Lu Qinli gap fill from Pingshui main list; 詞 entries ignored</x:v>
      </x:c>
      <x:c r="J5001" s="6" t="str">
        <x:f>IF(B5001="","",IF(AND(ISNUMBER(SEARCH("平",B5001)),OR(ISNUMBER(SEARCH("上",B5001)),ISNUMBER(SEARCH("去",B5001)),ISNUMBER(SEARCH("入",B5001)))),"Ambiguous",IF(ISNUMBER(SEARCH("平",B5001)),"平","仄")))</x:f>
        <x:v>仄</x:v>
      </x:c>
      <x:c r="K5001" s="6" t="str">
        <x:f>IF(D5001="","",IF(AND(ISNUMBER(SEARCH("平",D5001)),OR(ISNUMBER(SEARCH("上",D5001)),ISNUMBER(SEARCH("去",D5001)),ISNUMBER(SEARCH("入",D5001)))),"Ambiguous",IF(ISNUMBER(SEARCH("平",D5001)),"平","仄")))</x:f>
        <x:v>仄</x:v>
      </x:c>
      <x:c r="L5001" s="7" t="str">
        <x:v>Pingshui main list, Lu Qinli gap fill</x:v>
      </x:c>
    </x:row>
    <x:row r="5002">
      <x:c r="A5002" s="5" t="str">
        <x:v>刊</x:v>
      </x:c>
      <x:c r="B5002" s="6" t="str">
        <x:v>平</x:v>
      </x:c>
      <x:c r="C5002" s="6" t="str">
        <x:f>IF(B5002="","Needs decision","Ready")</x:f>
        <x:v>Ready</x:v>
      </x:c>
      <x:c r="D5002" s="6" t="str">
        <x:v>平</x:v>
      </x:c>
      <x:c r="E5002" s="6" t="str"/>
      <x:c r="F5002" s="6" t="str">
        <x:v>上平聲十四寒</x:v>
      </x:c>
      <x:c r="G5002" s="6" t="str">
        <x:v>Pingshui main list, Wikisource-derived DOCX</x:v>
      </x:c>
      <x:c r="H5002" s="6" t="str"/>
      <x:c r="I5002" s="6" t="str">
        <x:v>Lu Qinli gap fill from Pingshui main list; 詞 entries ignored</x:v>
      </x:c>
      <x:c r="J5002" s="6" t="str">
        <x:f>IF(B5002="","",IF(AND(ISNUMBER(SEARCH("平",B5002)),OR(ISNUMBER(SEARCH("上",B5002)),ISNUMBER(SEARCH("去",B5002)),ISNUMBER(SEARCH("入",B5002)))),"Ambiguous",IF(ISNUMBER(SEARCH("平",B5002)),"平","仄")))</x:f>
        <x:v>平</x:v>
      </x:c>
      <x:c r="K5002" s="6" t="str">
        <x:f>IF(D5002="","",IF(AND(ISNUMBER(SEARCH("平",D5002)),OR(ISNUMBER(SEARCH("上",D5002)),ISNUMBER(SEARCH("去",D5002)),ISNUMBER(SEARCH("入",D5002)))),"Ambiguous",IF(ISNUMBER(SEARCH("平",D5002)),"平","仄")))</x:f>
        <x:v>平</x:v>
      </x:c>
      <x:c r="L5002" s="7" t="str">
        <x:v>Pingshui main list, Lu Qinli gap fill</x:v>
      </x:c>
    </x:row>
    <x:row r="5003">
      <x:c r="A5003" s="5" t="str">
        <x:v>刎</x:v>
      </x:c>
      <x:c r="B5003" s="6" t="str">
        <x:v>上</x:v>
      </x:c>
      <x:c r="C5003" s="6" t="str">
        <x:f>IF(B5003="","Needs decision","Ready")</x:f>
        <x:v>Ready</x:v>
      </x:c>
      <x:c r="D5003" s="6" t="str">
        <x:v>上</x:v>
      </x:c>
      <x:c r="E5003" s="6" t="str"/>
      <x:c r="F5003" s="6" t="str">
        <x:v>上聲十二吻</x:v>
      </x:c>
      <x:c r="G5003" s="6" t="str">
        <x:v>Pingshui main list, Wikisource-derived DOCX</x:v>
      </x:c>
      <x:c r="H5003" s="6" t="str"/>
      <x:c r="I5003" s="6" t="str">
        <x:v>Lu Qinli gap fill from Pingshui main list; 詞 entries ignored</x:v>
      </x:c>
      <x:c r="J5003" s="6" t="str">
        <x:f>IF(B5003="","",IF(AND(ISNUMBER(SEARCH("平",B5003)),OR(ISNUMBER(SEARCH("上",B5003)),ISNUMBER(SEARCH("去",B5003)),ISNUMBER(SEARCH("入",B5003)))),"Ambiguous",IF(ISNUMBER(SEARCH("平",B5003)),"平","仄")))</x:f>
        <x:v>仄</x:v>
      </x:c>
      <x:c r="K5003" s="6" t="str">
        <x:f>IF(D5003="","",IF(AND(ISNUMBER(SEARCH("平",D5003)),OR(ISNUMBER(SEARCH("上",D5003)),ISNUMBER(SEARCH("去",D5003)),ISNUMBER(SEARCH("入",D5003)))),"Ambiguous",IF(ISNUMBER(SEARCH("平",D5003)),"平","仄")))</x:f>
        <x:v>仄</x:v>
      </x:c>
      <x:c r="L5003" s="7" t="str">
        <x:v>Pingshui main list, Lu Qinli gap fill</x:v>
      </x:c>
    </x:row>
    <x:row r="5004">
      <x:c r="A5004" s="5" t="str">
        <x:v>刳</x:v>
      </x:c>
      <x:c r="B5004" s="6" t="str">
        <x:v>平</x:v>
      </x:c>
      <x:c r="C5004" s="6" t="str">
        <x:f>IF(B5004="","Needs decision","Ready")</x:f>
        <x:v>Ready</x:v>
      </x:c>
      <x:c r="D5004" s="6" t="str">
        <x:v>平</x:v>
      </x:c>
      <x:c r="E5004" s="6" t="str"/>
      <x:c r="F5004" s="6" t="str">
        <x:v>上平聲七虞</x:v>
      </x:c>
      <x:c r="G5004" s="6" t="str">
        <x:v>Pingshui main list, Wikisource-derived DOCX</x:v>
      </x:c>
      <x:c r="H5004" s="6" t="str"/>
      <x:c r="I5004" s="6" t="str">
        <x:v>Lu Qinli gap fill from Pingshui main list; 詞 entries ignored</x:v>
      </x:c>
      <x:c r="J5004" s="6" t="str">
        <x:f>IF(B5004="","",IF(AND(ISNUMBER(SEARCH("平",B5004)),OR(ISNUMBER(SEARCH("上",B5004)),ISNUMBER(SEARCH("去",B5004)),ISNUMBER(SEARCH("入",B5004)))),"Ambiguous",IF(ISNUMBER(SEARCH("平",B5004)),"平","仄")))</x:f>
        <x:v>平</x:v>
      </x:c>
      <x:c r="K5004" s="6" t="str">
        <x:f>IF(D5004="","",IF(AND(ISNUMBER(SEARCH("平",D5004)),OR(ISNUMBER(SEARCH("上",D5004)),ISNUMBER(SEARCH("去",D5004)),ISNUMBER(SEARCH("入",D5004)))),"Ambiguous",IF(ISNUMBER(SEARCH("平",D5004)),"平","仄")))</x:f>
        <x:v>平</x:v>
      </x:c>
      <x:c r="L5004" s="7" t="str">
        <x:v>Pingshui main list, Lu Qinli gap fill</x:v>
      </x:c>
    </x:row>
    <x:row r="5005">
      <x:c r="A5005" s="5" t="str">
        <x:v>剋</x:v>
      </x:c>
      <x:c r="B5005" s="6" t="str">
        <x:v>入</x:v>
      </x:c>
      <x:c r="C5005" s="6" t="str">
        <x:f>IF(B5005="","Needs decision","Ready")</x:f>
        <x:v>Ready</x:v>
      </x:c>
      <x:c r="D5005" s="6" t="str">
        <x:v>入</x:v>
      </x:c>
      <x:c r="E5005" s="6" t="str"/>
      <x:c r="F5005" s="6" t="str">
        <x:v>入聲十三職</x:v>
      </x:c>
      <x:c r="G5005" s="6" t="str">
        <x:v>Pingshui main list, Wikisource-derived DOCX</x:v>
      </x:c>
      <x:c r="H5005" s="6" t="str"/>
      <x:c r="I5005" s="6" t="str">
        <x:v>Lu Qinli gap fill from Pingshui main list; 詞 entries ignored</x:v>
      </x:c>
      <x:c r="J5005" s="6" t="str">
        <x:f>IF(B5005="","",IF(AND(ISNUMBER(SEARCH("平",B5005)),OR(ISNUMBER(SEARCH("上",B5005)),ISNUMBER(SEARCH("去",B5005)),ISNUMBER(SEARCH("入",B5005)))),"Ambiguous",IF(ISNUMBER(SEARCH("平",B5005)),"平","仄")))</x:f>
        <x:v>仄</x:v>
      </x:c>
      <x:c r="K5005" s="6" t="str">
        <x:f>IF(D5005="","",IF(AND(ISNUMBER(SEARCH("平",D5005)),OR(ISNUMBER(SEARCH("上",D5005)),ISNUMBER(SEARCH("去",D5005)),ISNUMBER(SEARCH("入",D5005)))),"Ambiguous",IF(ISNUMBER(SEARCH("平",D5005)),"平","仄")))</x:f>
        <x:v>仄</x:v>
      </x:c>
      <x:c r="L5005" s="7" t="str">
        <x:v>Pingshui main list, Lu Qinli gap fill</x:v>
      </x:c>
    </x:row>
    <x:row r="5006">
      <x:c r="A5006" s="5" t="str">
        <x:v>剽</x:v>
      </x:c>
      <x:c r="B5006" s="6" t="str"/>
      <x:c r="C5006" s="6" t="str">
        <x:f>IF(B5006="","Needs decision","Ready")</x:f>
        <x:v>Needs decision</x:v>
      </x:c>
      <x:c r="D5006" s="6" t="str">
        <x:v>平/去</x:v>
      </x:c>
      <x:c r="E5006" s="6" t="str"/>
      <x:c r="F5006" s="6" t="str">
        <x:v>下平聲二蕭; 去聲十八嘯</x:v>
      </x:c>
      <x:c r="G5006" s="6" t="str">
        <x:v>Pingshui main list, Wikisource-derived DOCX</x:v>
      </x:c>
      <x:c r="H5006" s="6" t="str"/>
      <x:c r="I5006" s="6" t="str">
        <x:v>Lu Qinli gap fill from Pingshui main list; 詞 entries ignored</x:v>
      </x:c>
      <x:c r="J5006" s="6" t="str">
        <x:f>IF(B5006="","",IF(AND(ISNUMBER(SEARCH("平",B5006)),OR(ISNUMBER(SEARCH("上",B5006)),ISNUMBER(SEARCH("去",B5006)),ISNUMBER(SEARCH("入",B5006)))),"Ambiguous",IF(ISNUMBER(SEARCH("平",B5006)),"平","仄")))</x:f>
      </x:c>
      <x:c r="K5006" s="6" t="str">
        <x:f>IF(D5006="","",IF(AND(ISNUMBER(SEARCH("平",D5006)),OR(ISNUMBER(SEARCH("上",D5006)),ISNUMBER(SEARCH("去",D5006)),ISNUMBER(SEARCH("入",D5006)))),"Ambiguous",IF(ISNUMBER(SEARCH("平",D5006)),"平","仄")))</x:f>
        <x:v>Ambiguous</x:v>
      </x:c>
      <x:c r="L5006" s="7" t="str">
        <x:v>Pingshui main list, Lu Qinli gap fill</x:v>
      </x:c>
    </x:row>
    <x:row r="5007">
      <x:c r="A5007" s="5" t="str">
        <x:v>劄</x:v>
      </x:c>
      <x:c r="B5007" s="6" t="str">
        <x:v>入</x:v>
      </x:c>
      <x:c r="C5007" s="6" t="str">
        <x:f>IF(B5007="","Needs decision","Ready")</x:f>
        <x:v>Ready</x:v>
      </x:c>
      <x:c r="D5007" s="6" t="str">
        <x:v>入</x:v>
      </x:c>
      <x:c r="E5007" s="6" t="str"/>
      <x:c r="F5007" s="6" t="str">
        <x:v>入聲十七洽</x:v>
      </x:c>
      <x:c r="G5007" s="6" t="str">
        <x:v>Pingshui main list, Wikisource-derived DOCX</x:v>
      </x:c>
      <x:c r="H5007" s="6" t="str"/>
      <x:c r="I5007" s="6" t="str">
        <x:v>Lu Qinli gap fill from Pingshui main list; 詞 entries ignored</x:v>
      </x:c>
      <x:c r="J5007" s="6" t="str">
        <x:f>IF(B5007="","",IF(AND(ISNUMBER(SEARCH("平",B5007)),OR(ISNUMBER(SEARCH("上",B5007)),ISNUMBER(SEARCH("去",B5007)),ISNUMBER(SEARCH("入",B5007)))),"Ambiguous",IF(ISNUMBER(SEARCH("平",B5007)),"平","仄")))</x:f>
        <x:v>仄</x:v>
      </x:c>
      <x:c r="K5007" s="6" t="str">
        <x:f>IF(D5007="","",IF(AND(ISNUMBER(SEARCH("平",D5007)),OR(ISNUMBER(SEARCH("上",D5007)),ISNUMBER(SEARCH("去",D5007)),ISNUMBER(SEARCH("入",D5007)))),"Ambiguous",IF(ISNUMBER(SEARCH("平",D5007)),"平","仄")))</x:f>
        <x:v>仄</x:v>
      </x:c>
      <x:c r="L5007" s="7" t="str">
        <x:v>Pingshui main list, Lu Qinli gap fill</x:v>
      </x:c>
    </x:row>
    <x:row r="5008">
      <x:c r="A5008" s="5" t="str">
        <x:v>劣</x:v>
      </x:c>
      <x:c r="B5008" s="6" t="str">
        <x:v>入</x:v>
      </x:c>
      <x:c r="C5008" s="6" t="str">
        <x:f>IF(B5008="","Needs decision","Ready")</x:f>
        <x:v>Ready</x:v>
      </x:c>
      <x:c r="D5008" s="6" t="str">
        <x:v>入</x:v>
      </x:c>
      <x:c r="E5008" s="6" t="str"/>
      <x:c r="F5008" s="6" t="str">
        <x:v>入聲九屑</x:v>
      </x:c>
      <x:c r="G5008" s="6" t="str">
        <x:v>Pingshui main list, Wikisource-derived DOCX</x:v>
      </x:c>
      <x:c r="H5008" s="6" t="str"/>
      <x:c r="I5008" s="6" t="str">
        <x:v>Lu Qinli gap fill from Pingshui main list; 詞 entries ignored</x:v>
      </x:c>
      <x:c r="J5008" s="6" t="str">
        <x:f>IF(B5008="","",IF(AND(ISNUMBER(SEARCH("平",B5008)),OR(ISNUMBER(SEARCH("上",B5008)),ISNUMBER(SEARCH("去",B5008)),ISNUMBER(SEARCH("入",B5008)))),"Ambiguous",IF(ISNUMBER(SEARCH("平",B5008)),"平","仄")))</x:f>
        <x:v>仄</x:v>
      </x:c>
      <x:c r="K5008" s="6" t="str">
        <x:f>IF(D5008="","",IF(AND(ISNUMBER(SEARCH("平",D5008)),OR(ISNUMBER(SEARCH("上",D5008)),ISNUMBER(SEARCH("去",D5008)),ISNUMBER(SEARCH("入",D5008)))),"Ambiguous",IF(ISNUMBER(SEARCH("平",D5008)),"平","仄")))</x:f>
        <x:v>仄</x:v>
      </x:c>
      <x:c r="L5008" s="7" t="str">
        <x:v>Pingshui main list, Lu Qinli gap fill</x:v>
      </x:c>
    </x:row>
    <x:row r="5009">
      <x:c r="A5009" s="5" t="str">
        <x:v>努</x:v>
      </x:c>
      <x:c r="B5009" s="6" t="str">
        <x:v>上</x:v>
      </x:c>
      <x:c r="C5009" s="6" t="str">
        <x:f>IF(B5009="","Needs decision","Ready")</x:f>
        <x:v>Ready</x:v>
      </x:c>
      <x:c r="D5009" s="6" t="str">
        <x:v>上</x:v>
      </x:c>
      <x:c r="E5009" s="6" t="str"/>
      <x:c r="F5009" s="6" t="str">
        <x:v>上聲七麌</x:v>
      </x:c>
      <x:c r="G5009" s="6" t="str">
        <x:v>Pingshui main list, Wikisource-derived DOCX</x:v>
      </x:c>
      <x:c r="H5009" s="6" t="str"/>
      <x:c r="I5009" s="6" t="str">
        <x:v>Lu Qinli gap fill from Pingshui main list; 詞 entries ignored</x:v>
      </x:c>
      <x:c r="J5009" s="6" t="str">
        <x:f>IF(B5009="","",IF(AND(ISNUMBER(SEARCH("平",B5009)),OR(ISNUMBER(SEARCH("上",B5009)),ISNUMBER(SEARCH("去",B5009)),ISNUMBER(SEARCH("入",B5009)))),"Ambiguous",IF(ISNUMBER(SEARCH("平",B5009)),"平","仄")))</x:f>
        <x:v>仄</x:v>
      </x:c>
      <x:c r="K5009" s="6" t="str">
        <x:f>IF(D5009="","",IF(AND(ISNUMBER(SEARCH("平",D5009)),OR(ISNUMBER(SEARCH("上",D5009)),ISNUMBER(SEARCH("去",D5009)),ISNUMBER(SEARCH("入",D5009)))),"Ambiguous",IF(ISNUMBER(SEARCH("平",D5009)),"平","仄")))</x:f>
        <x:v>仄</x:v>
      </x:c>
      <x:c r="L5009" s="7" t="str">
        <x:v>Pingshui main list, Lu Qinli gap fill</x:v>
      </x:c>
    </x:row>
    <x:row r="5010">
      <x:c r="A5010" s="5" t="str">
        <x:v>劭</x:v>
      </x:c>
      <x:c r="B5010" s="6" t="str"/>
      <x:c r="C5010" s="6" t="str">
        <x:f>IF(B5010="","Needs decision","Ready")</x:f>
        <x:v>Needs decision</x:v>
      </x:c>
      <x:c r="D5010" s="6" t="str">
        <x:v>平/去</x:v>
      </x:c>
      <x:c r="E5010" s="6" t="str"/>
      <x:c r="F5010" s="6" t="str">
        <x:v>下平聲二蕭; 去聲十八嘯</x:v>
      </x:c>
      <x:c r="G5010" s="6" t="str">
        <x:v>Pingshui main list, Wikisource-derived DOCX</x:v>
      </x:c>
      <x:c r="H5010" s="6" t="str"/>
      <x:c r="I5010" s="6" t="str">
        <x:v>Lu Qinli gap fill from Pingshui main list; 詞 entries ignored</x:v>
      </x:c>
      <x:c r="J5010" s="6" t="str">
        <x:f>IF(B5010="","",IF(AND(ISNUMBER(SEARCH("平",B5010)),OR(ISNUMBER(SEARCH("上",B5010)),ISNUMBER(SEARCH("去",B5010)),ISNUMBER(SEARCH("入",B5010)))),"Ambiguous",IF(ISNUMBER(SEARCH("平",B5010)),"平","仄")))</x:f>
      </x:c>
      <x:c r="K5010" s="6" t="str">
        <x:f>IF(D5010="","",IF(AND(ISNUMBER(SEARCH("平",D5010)),OR(ISNUMBER(SEARCH("上",D5010)),ISNUMBER(SEARCH("去",D5010)),ISNUMBER(SEARCH("入",D5010)))),"Ambiguous",IF(ISNUMBER(SEARCH("平",D5010)),"平","仄")))</x:f>
        <x:v>Ambiguous</x:v>
      </x:c>
      <x:c r="L5010" s="7" t="str">
        <x:v>Pingshui main list, Lu Qinli gap fill</x:v>
      </x:c>
    </x:row>
    <x:row r="5011">
      <x:c r="A5011" s="5" t="str">
        <x:v>劼</x:v>
      </x:c>
      <x:c r="B5011" s="6" t="str">
        <x:v>入</x:v>
      </x:c>
      <x:c r="C5011" s="6" t="str">
        <x:f>IF(B5011="","Needs decision","Ready")</x:f>
        <x:v>Ready</x:v>
      </x:c>
      <x:c r="D5011" s="6" t="str">
        <x:v>入</x:v>
      </x:c>
      <x:c r="E5011" s="6" t="str"/>
      <x:c r="F5011" s="6" t="str">
        <x:v>入聲八黠</x:v>
      </x:c>
      <x:c r="G5011" s="6" t="str">
        <x:v>Pingshui main list, Wikisource-derived DOCX</x:v>
      </x:c>
      <x:c r="H5011" s="6" t="str"/>
      <x:c r="I5011" s="6" t="str">
        <x:v>Lu Qinli gap fill from Pingshui main list; 詞 entries ignored</x:v>
      </x:c>
      <x:c r="J5011" s="6" t="str">
        <x:f>IF(B5011="","",IF(AND(ISNUMBER(SEARCH("平",B5011)),OR(ISNUMBER(SEARCH("上",B5011)),ISNUMBER(SEARCH("去",B5011)),ISNUMBER(SEARCH("入",B5011)))),"Ambiguous",IF(ISNUMBER(SEARCH("平",B5011)),"平","仄")))</x:f>
        <x:v>仄</x:v>
      </x:c>
      <x:c r="K5011" s="6" t="str">
        <x:f>IF(D5011="","",IF(AND(ISNUMBER(SEARCH("平",D5011)),OR(ISNUMBER(SEARCH("上",D5011)),ISNUMBER(SEARCH("去",D5011)),ISNUMBER(SEARCH("入",D5011)))),"Ambiguous",IF(ISNUMBER(SEARCH("平",D5011)),"平","仄")))</x:f>
        <x:v>仄</x:v>
      </x:c>
      <x:c r="L5011" s="7" t="str">
        <x:v>Pingshui main list, Lu Qinli gap fill</x:v>
      </x:c>
    </x:row>
    <x:row r="5012">
      <x:c r="A5012" s="5" t="str">
        <x:v>勍</x:v>
      </x:c>
      <x:c r="B5012" s="6" t="str">
        <x:v>平</x:v>
      </x:c>
      <x:c r="C5012" s="6" t="str">
        <x:f>IF(B5012="","Needs decision","Ready")</x:f>
        <x:v>Ready</x:v>
      </x:c>
      <x:c r="D5012" s="6" t="str">
        <x:v>平</x:v>
      </x:c>
      <x:c r="E5012" s="6" t="str"/>
      <x:c r="F5012" s="6" t="str">
        <x:v>下平聲八庚</x:v>
      </x:c>
      <x:c r="G5012" s="6" t="str">
        <x:v>Pingshui main list, Wikisource-derived DOCX</x:v>
      </x:c>
      <x:c r="H5012" s="6" t="str"/>
      <x:c r="I5012" s="6" t="str">
        <x:v>Lu Qinli gap fill from Pingshui main list; 詞 entries ignored</x:v>
      </x:c>
      <x:c r="J5012" s="6" t="str">
        <x:f>IF(B5012="","",IF(AND(ISNUMBER(SEARCH("平",B5012)),OR(ISNUMBER(SEARCH("上",B5012)),ISNUMBER(SEARCH("去",B5012)),ISNUMBER(SEARCH("入",B5012)))),"Ambiguous",IF(ISNUMBER(SEARCH("平",B5012)),"平","仄")))</x:f>
        <x:v>平</x:v>
      </x:c>
      <x:c r="K5012" s="6" t="str">
        <x:f>IF(D5012="","",IF(AND(ISNUMBER(SEARCH("平",D5012)),OR(ISNUMBER(SEARCH("上",D5012)),ISNUMBER(SEARCH("去",D5012)),ISNUMBER(SEARCH("入",D5012)))),"Ambiguous",IF(ISNUMBER(SEARCH("平",D5012)),"平","仄")))</x:f>
        <x:v>平</x:v>
      </x:c>
      <x:c r="L5012" s="7" t="str">
        <x:v>Pingshui main list, Lu Qinli gap fill</x:v>
      </x:c>
    </x:row>
    <x:row r="5013">
      <x:c r="A5013" s="5" t="str">
        <x:v>勘</x:v>
      </x:c>
      <x:c r="B5013" s="6" t="str">
        <x:v>去</x:v>
      </x:c>
      <x:c r="C5013" s="6" t="str">
        <x:f>IF(B5013="","Needs decision","Ready")</x:f>
        <x:v>Ready</x:v>
      </x:c>
      <x:c r="D5013" s="6" t="str">
        <x:v>去</x:v>
      </x:c>
      <x:c r="E5013" s="6" t="str"/>
      <x:c r="F5013" s="6" t="str">
        <x:v>去聲二十八勘</x:v>
      </x:c>
      <x:c r="G5013" s="6" t="str">
        <x:v>Pingshui main list, Wikisource-derived DOCX</x:v>
      </x:c>
      <x:c r="H5013" s="6" t="str"/>
      <x:c r="I5013" s="6" t="str">
        <x:v>Lu Qinli gap fill from Pingshui main list; 詞 entries ignored</x:v>
      </x:c>
      <x:c r="J5013" s="6" t="str">
        <x:f>IF(B5013="","",IF(AND(ISNUMBER(SEARCH("平",B5013)),OR(ISNUMBER(SEARCH("上",B5013)),ISNUMBER(SEARCH("去",B5013)),ISNUMBER(SEARCH("入",B5013)))),"Ambiguous",IF(ISNUMBER(SEARCH("平",B5013)),"平","仄")))</x:f>
        <x:v>仄</x:v>
      </x:c>
      <x:c r="K5013" s="6" t="str">
        <x:f>IF(D5013="","",IF(AND(ISNUMBER(SEARCH("平",D5013)),OR(ISNUMBER(SEARCH("上",D5013)),ISNUMBER(SEARCH("去",D5013)),ISNUMBER(SEARCH("入",D5013)))),"Ambiguous",IF(ISNUMBER(SEARCH("平",D5013)),"平","仄")))</x:f>
        <x:v>仄</x:v>
      </x:c>
      <x:c r="L5013" s="7" t="str">
        <x:v>Pingshui main list, Lu Qinli gap fill</x:v>
      </x:c>
    </x:row>
    <x:row r="5014">
      <x:c r="A5014" s="5" t="str">
        <x:v>勣</x:v>
      </x:c>
      <x:c r="B5014" s="6" t="str">
        <x:v>入</x:v>
      </x:c>
      <x:c r="C5014" s="6" t="str">
        <x:f>IF(B5014="","Needs decision","Ready")</x:f>
        <x:v>Ready</x:v>
      </x:c>
      <x:c r="D5014" s="6" t="str">
        <x:v>入</x:v>
      </x:c>
      <x:c r="E5014" s="6" t="str"/>
      <x:c r="F5014" s="6" t="str">
        <x:v>入聲十二錫</x:v>
      </x:c>
      <x:c r="G5014" s="6" t="str">
        <x:v>Pingshui main list, Wikisource-derived DOCX</x:v>
      </x:c>
      <x:c r="H5014" s="6" t="str"/>
      <x:c r="I5014" s="6" t="str">
        <x:v>Lu Qinli gap fill from Pingshui main list; 詞 entries ignored</x:v>
      </x:c>
      <x:c r="J5014" s="6" t="str">
        <x:f>IF(B5014="","",IF(AND(ISNUMBER(SEARCH("平",B5014)),OR(ISNUMBER(SEARCH("上",B5014)),ISNUMBER(SEARCH("去",B5014)),ISNUMBER(SEARCH("入",B5014)))),"Ambiguous",IF(ISNUMBER(SEARCH("平",B5014)),"平","仄")))</x:f>
        <x:v>仄</x:v>
      </x:c>
      <x:c r="K5014" s="6" t="str">
        <x:f>IF(D5014="","",IF(AND(ISNUMBER(SEARCH("平",D5014)),OR(ISNUMBER(SEARCH("上",D5014)),ISNUMBER(SEARCH("去",D5014)),ISNUMBER(SEARCH("入",D5014)))),"Ambiguous",IF(ISNUMBER(SEARCH("平",D5014)),"平","仄")))</x:f>
        <x:v>仄</x:v>
      </x:c>
      <x:c r="L5014" s="7" t="str">
        <x:v>Pingshui main list, Lu Qinli gap fill</x:v>
      </x:c>
    </x:row>
    <x:row r="5015">
      <x:c r="A5015" s="5" t="str">
        <x:v>勰</x:v>
      </x:c>
      <x:c r="B5015" s="6" t="str">
        <x:v>入</x:v>
      </x:c>
      <x:c r="C5015" s="6" t="str">
        <x:f>IF(B5015="","Needs decision","Ready")</x:f>
        <x:v>Ready</x:v>
      </x:c>
      <x:c r="D5015" s="6" t="str">
        <x:v>入</x:v>
      </x:c>
      <x:c r="E5015" s="6" t="str"/>
      <x:c r="F5015" s="6" t="str">
        <x:v>入聲十六葉</x:v>
      </x:c>
      <x:c r="G5015" s="6" t="str">
        <x:v>Pingshui main list, Wikisource-derived DOCX</x:v>
      </x:c>
      <x:c r="H5015" s="6" t="str"/>
      <x:c r="I5015" s="6" t="str">
        <x:v>Lu Qinli gap fill from Pingshui main list; 詞 entries ignored</x:v>
      </x:c>
      <x:c r="J5015" s="6" t="str">
        <x:f>IF(B5015="","",IF(AND(ISNUMBER(SEARCH("平",B5015)),OR(ISNUMBER(SEARCH("上",B5015)),ISNUMBER(SEARCH("去",B5015)),ISNUMBER(SEARCH("入",B5015)))),"Ambiguous",IF(ISNUMBER(SEARCH("平",B5015)),"平","仄")))</x:f>
        <x:v>仄</x:v>
      </x:c>
      <x:c r="K5015" s="6" t="str">
        <x:f>IF(D5015="","",IF(AND(ISNUMBER(SEARCH("平",D5015)),OR(ISNUMBER(SEARCH("上",D5015)),ISNUMBER(SEARCH("去",D5015)),ISNUMBER(SEARCH("入",D5015)))),"Ambiguous",IF(ISNUMBER(SEARCH("平",D5015)),"平","仄")))</x:f>
        <x:v>仄</x:v>
      </x:c>
      <x:c r="L5015" s="7" t="str">
        <x:v>Pingshui main list, Lu Qinli gap fill</x:v>
      </x:c>
    </x:row>
    <x:row r="5016">
      <x:c r="A5016" s="5" t="str">
        <x:v>勵</x:v>
      </x:c>
      <x:c r="B5016" s="6" t="str">
        <x:v>去</x:v>
      </x:c>
      <x:c r="C5016" s="6" t="str">
        <x:f>IF(B5016="","Needs decision","Ready")</x:f>
        <x:v>Ready</x:v>
      </x:c>
      <x:c r="D5016" s="6" t="str">
        <x:v>去</x:v>
      </x:c>
      <x:c r="E5016" s="6" t="str"/>
      <x:c r="F5016" s="6" t="str">
        <x:v>去聲八霽</x:v>
      </x:c>
      <x:c r="G5016" s="6" t="str">
        <x:v>Pingshui main list, Wikisource-derived DOCX</x:v>
      </x:c>
      <x:c r="H5016" s="6" t="str"/>
      <x:c r="I5016" s="6" t="str">
        <x:v>Lu Qinli gap fill from Pingshui main list; 詞 entries ignored</x:v>
      </x:c>
      <x:c r="J5016" s="6" t="str">
        <x:f>IF(B5016="","",IF(AND(ISNUMBER(SEARCH("平",B5016)),OR(ISNUMBER(SEARCH("上",B5016)),ISNUMBER(SEARCH("去",B5016)),ISNUMBER(SEARCH("入",B5016)))),"Ambiguous",IF(ISNUMBER(SEARCH("平",B5016)),"平","仄")))</x:f>
        <x:v>仄</x:v>
      </x:c>
      <x:c r="K5016" s="6" t="str">
        <x:f>IF(D5016="","",IF(AND(ISNUMBER(SEARCH("平",D5016)),OR(ISNUMBER(SEARCH("上",D5016)),ISNUMBER(SEARCH("去",D5016)),ISNUMBER(SEARCH("入",D5016)))),"Ambiguous",IF(ISNUMBER(SEARCH("平",D5016)),"平","仄")))</x:f>
        <x:v>仄</x:v>
      </x:c>
      <x:c r="L5016" s="7" t="str">
        <x:v>Pingshui main list, Lu Qinli gap fill</x:v>
      </x:c>
    </x:row>
    <x:row r="5017">
      <x:c r="A5017" s="5" t="str">
        <x:v>匆</x:v>
      </x:c>
      <x:c r="B5017" s="6" t="str">
        <x:v>平</x:v>
      </x:c>
      <x:c r="C5017" s="6" t="str">
        <x:f>IF(B5017="","Needs decision","Ready")</x:f>
        <x:v>Ready</x:v>
      </x:c>
      <x:c r="D5017" s="6" t="str">
        <x:v>平</x:v>
      </x:c>
      <x:c r="E5017" s="6" t="str"/>
      <x:c r="F5017" s="6" t="str">
        <x:v>上平聲一東</x:v>
      </x:c>
      <x:c r="G5017" s="6" t="str">
        <x:v>Pingshui main list, Wikisource-derived DOCX</x:v>
      </x:c>
      <x:c r="H5017" s="6" t="str"/>
      <x:c r="I5017" s="6" t="str">
        <x:v>Lu Qinli gap fill from Pingshui main list; 詞 entries ignored</x:v>
      </x:c>
      <x:c r="J5017" s="6" t="str">
        <x:f>IF(B5017="","",IF(AND(ISNUMBER(SEARCH("平",B5017)),OR(ISNUMBER(SEARCH("上",B5017)),ISNUMBER(SEARCH("去",B5017)),ISNUMBER(SEARCH("入",B5017)))),"Ambiguous",IF(ISNUMBER(SEARCH("平",B5017)),"平","仄")))</x:f>
        <x:v>平</x:v>
      </x:c>
      <x:c r="K5017" s="6" t="str">
        <x:f>IF(D5017="","",IF(AND(ISNUMBER(SEARCH("平",D5017)),OR(ISNUMBER(SEARCH("上",D5017)),ISNUMBER(SEARCH("去",D5017)),ISNUMBER(SEARCH("入",D5017)))),"Ambiguous",IF(ISNUMBER(SEARCH("平",D5017)),"平","仄")))</x:f>
        <x:v>平</x:v>
      </x:c>
      <x:c r="L5017" s="7" t="str">
        <x:v>Pingshui main list, Lu Qinli gap fill</x:v>
      </x:c>
    </x:row>
    <x:row r="5018">
      <x:c r="A5018" s="5" t="str">
        <x:v>匯</x:v>
      </x:c>
      <x:c r="B5018" s="6" t="str">
        <x:v>上</x:v>
      </x:c>
      <x:c r="C5018" s="6" t="str">
        <x:f>IF(B5018="","Needs decision","Ready")</x:f>
        <x:v>Ready</x:v>
      </x:c>
      <x:c r="D5018" s="6" t="str">
        <x:v>上</x:v>
      </x:c>
      <x:c r="E5018" s="6" t="str"/>
      <x:c r="F5018" s="6" t="str">
        <x:v>上聲十賄</x:v>
      </x:c>
      <x:c r="G5018" s="6" t="str">
        <x:v>Pingshui main list, Wikisource-derived DOCX</x:v>
      </x:c>
      <x:c r="H5018" s="6" t="str"/>
      <x:c r="I5018" s="6" t="str">
        <x:v>Lu Qinli gap fill from Pingshui main list; 詞 entries ignored</x:v>
      </x:c>
      <x:c r="J5018" s="6" t="str">
        <x:f>IF(B5018="","",IF(AND(ISNUMBER(SEARCH("平",B5018)),OR(ISNUMBER(SEARCH("上",B5018)),ISNUMBER(SEARCH("去",B5018)),ISNUMBER(SEARCH("入",B5018)))),"Ambiguous",IF(ISNUMBER(SEARCH("平",B5018)),"平","仄")))</x:f>
        <x:v>仄</x:v>
      </x:c>
      <x:c r="K5018" s="6" t="str">
        <x:f>IF(D5018="","",IF(AND(ISNUMBER(SEARCH("平",D5018)),OR(ISNUMBER(SEARCH("上",D5018)),ISNUMBER(SEARCH("去",D5018)),ISNUMBER(SEARCH("入",D5018)))),"Ambiguous",IF(ISNUMBER(SEARCH("平",D5018)),"平","仄")))</x:f>
        <x:v>仄</x:v>
      </x:c>
      <x:c r="L5018" s="7" t="str">
        <x:v>Pingshui main list, Lu Qinli gap fill</x:v>
      </x:c>
    </x:row>
    <x:row r="5019">
      <x:c r="A5019" s="5" t="str">
        <x:v>卅</x:v>
      </x:c>
      <x:c r="B5019" s="6" t="str">
        <x:v>入</x:v>
      </x:c>
      <x:c r="C5019" s="6" t="str">
        <x:f>IF(B5019="","Needs decision","Ready")</x:f>
        <x:v>Ready</x:v>
      </x:c>
      <x:c r="D5019" s="6" t="str">
        <x:v>入</x:v>
      </x:c>
      <x:c r="E5019" s="6" t="str"/>
      <x:c r="F5019" s="6" t="str">
        <x:v>入聲十五合</x:v>
      </x:c>
      <x:c r="G5019" s="6" t="str">
        <x:v>Pingshui main list, Wikisource-derived DOCX</x:v>
      </x:c>
      <x:c r="H5019" s="6" t="str"/>
      <x:c r="I5019" s="6" t="str">
        <x:v>Lu Qinli gap fill from Pingshui main list; 詞 entries ignored</x:v>
      </x:c>
      <x:c r="J5019" s="6" t="str">
        <x:f>IF(B5019="","",IF(AND(ISNUMBER(SEARCH("平",B5019)),OR(ISNUMBER(SEARCH("上",B5019)),ISNUMBER(SEARCH("去",B5019)),ISNUMBER(SEARCH("入",B5019)))),"Ambiguous",IF(ISNUMBER(SEARCH("平",B5019)),"平","仄")))</x:f>
        <x:v>仄</x:v>
      </x:c>
      <x:c r="K5019" s="6" t="str">
        <x:f>IF(D5019="","",IF(AND(ISNUMBER(SEARCH("平",D5019)),OR(ISNUMBER(SEARCH("上",D5019)),ISNUMBER(SEARCH("去",D5019)),ISNUMBER(SEARCH("入",D5019)))),"Ambiguous",IF(ISNUMBER(SEARCH("平",D5019)),"平","仄")))</x:f>
        <x:v>仄</x:v>
      </x:c>
      <x:c r="L5019" s="7" t="str">
        <x:v>Pingshui main list, Lu Qinli gap fill</x:v>
      </x:c>
    </x:row>
    <x:row r="5020">
      <x:c r="A5020" s="5" t="str">
        <x:v>叉</x:v>
      </x:c>
      <x:c r="B5020" s="6" t="str">
        <x:v>平</x:v>
      </x:c>
      <x:c r="C5020" s="6" t="str">
        <x:f>IF(B5020="","Needs decision","Ready")</x:f>
        <x:v>Ready</x:v>
      </x:c>
      <x:c r="D5020" s="6" t="str">
        <x:v>平</x:v>
      </x:c>
      <x:c r="E5020" s="6" t="str"/>
      <x:c r="F5020" s="6" t="str">
        <x:v>下平聲六麻</x:v>
      </x:c>
      <x:c r="G5020" s="6" t="str">
        <x:v>Pingshui main list, Wikisource-derived DOCX</x:v>
      </x:c>
      <x:c r="H5020" s="6" t="str"/>
      <x:c r="I5020" s="6" t="str">
        <x:v>Lu Qinli gap fill from Pingshui main list; 詞 entries ignored</x:v>
      </x:c>
      <x:c r="J5020" s="6" t="str">
        <x:f>IF(B5020="","",IF(AND(ISNUMBER(SEARCH("平",B5020)),OR(ISNUMBER(SEARCH("上",B5020)),ISNUMBER(SEARCH("去",B5020)),ISNUMBER(SEARCH("入",B5020)))),"Ambiguous",IF(ISNUMBER(SEARCH("平",B5020)),"平","仄")))</x:f>
        <x:v>平</x:v>
      </x:c>
      <x:c r="K5020" s="6" t="str">
        <x:f>IF(D5020="","",IF(AND(ISNUMBER(SEARCH("平",D5020)),OR(ISNUMBER(SEARCH("上",D5020)),ISNUMBER(SEARCH("去",D5020)),ISNUMBER(SEARCH("入",D5020)))),"Ambiguous",IF(ISNUMBER(SEARCH("平",D5020)),"平","仄")))</x:f>
        <x:v>平</x:v>
      </x:c>
      <x:c r="L5020" s="7" t="str">
        <x:v>Pingshui main list, Lu Qinli gap fill</x:v>
      </x:c>
    </x:row>
    <x:row r="5021">
      <x:c r="A5021" s="5" t="str">
        <x:v>叛</x:v>
      </x:c>
      <x:c r="B5021" s="6" t="str">
        <x:v>去</x:v>
      </x:c>
      <x:c r="C5021" s="6" t="str">
        <x:f>IF(B5021="","Needs decision","Ready")</x:f>
        <x:v>Ready</x:v>
      </x:c>
      <x:c r="D5021" s="6" t="str">
        <x:v>去</x:v>
      </x:c>
      <x:c r="E5021" s="6" t="str"/>
      <x:c r="F5021" s="6" t="str">
        <x:v>去聲十五翰</x:v>
      </x:c>
      <x:c r="G5021" s="6" t="str">
        <x:v>Pingshui main list, Wikisource-derived DOCX</x:v>
      </x:c>
      <x:c r="H5021" s="6" t="str"/>
      <x:c r="I5021" s="6" t="str">
        <x:v>Lu Qinli gap fill from Pingshui main list; 詞 entries ignored</x:v>
      </x:c>
      <x:c r="J5021" s="6" t="str">
        <x:f>IF(B5021="","",IF(AND(ISNUMBER(SEARCH("平",B5021)),OR(ISNUMBER(SEARCH("上",B5021)),ISNUMBER(SEARCH("去",B5021)),ISNUMBER(SEARCH("入",B5021)))),"Ambiguous",IF(ISNUMBER(SEARCH("平",B5021)),"平","仄")))</x:f>
        <x:v>仄</x:v>
      </x:c>
      <x:c r="K5021" s="6" t="str">
        <x:f>IF(D5021="","",IF(AND(ISNUMBER(SEARCH("平",D5021)),OR(ISNUMBER(SEARCH("上",D5021)),ISNUMBER(SEARCH("去",D5021)),ISNUMBER(SEARCH("入",D5021)))),"Ambiguous",IF(ISNUMBER(SEARCH("平",D5021)),"平","仄")))</x:f>
        <x:v>仄</x:v>
      </x:c>
      <x:c r="L5021" s="7" t="str">
        <x:v>Pingshui main list, Lu Qinli gap fill</x:v>
      </x:c>
    </x:row>
    <x:row r="5022">
      <x:c r="A5022" s="5" t="str">
        <x:v>叱</x:v>
      </x:c>
      <x:c r="B5022" s="6" t="str">
        <x:v>入</x:v>
      </x:c>
      <x:c r="C5022" s="6" t="str">
        <x:f>IF(B5022="","Needs decision","Ready")</x:f>
        <x:v>Ready</x:v>
      </x:c>
      <x:c r="D5022" s="6" t="str">
        <x:v>入</x:v>
      </x:c>
      <x:c r="E5022" s="6" t="str"/>
      <x:c r="F5022" s="6" t="str">
        <x:v>入聲四質</x:v>
      </x:c>
      <x:c r="G5022" s="6" t="str">
        <x:v>Pingshui main list, Wikisource-derived DOCX</x:v>
      </x:c>
      <x:c r="H5022" s="6" t="str"/>
      <x:c r="I5022" s="6" t="str">
        <x:v>Lu Qinli gap fill from Pingshui main list; 詞 entries ignored</x:v>
      </x:c>
      <x:c r="J5022" s="6" t="str">
        <x:f>IF(B5022="","",IF(AND(ISNUMBER(SEARCH("平",B5022)),OR(ISNUMBER(SEARCH("上",B5022)),ISNUMBER(SEARCH("去",B5022)),ISNUMBER(SEARCH("入",B5022)))),"Ambiguous",IF(ISNUMBER(SEARCH("平",B5022)),"平","仄")))</x:f>
        <x:v>仄</x:v>
      </x:c>
      <x:c r="K5022" s="6" t="str">
        <x:f>IF(D5022="","",IF(AND(ISNUMBER(SEARCH("平",D5022)),OR(ISNUMBER(SEARCH("上",D5022)),ISNUMBER(SEARCH("去",D5022)),ISNUMBER(SEARCH("入",D5022)))),"Ambiguous",IF(ISNUMBER(SEARCH("平",D5022)),"平","仄")))</x:f>
        <x:v>仄</x:v>
      </x:c>
      <x:c r="L5022" s="7" t="str">
        <x:v>Pingshui main list, Lu Qinli gap fill</x:v>
      </x:c>
    </x:row>
    <x:row r="5023">
      <x:c r="A5023" s="5" t="str">
        <x:v>叵</x:v>
      </x:c>
      <x:c r="B5023" s="6" t="str">
        <x:v>上</x:v>
      </x:c>
      <x:c r="C5023" s="6" t="str">
        <x:f>IF(B5023="","Needs decision","Ready")</x:f>
        <x:v>Ready</x:v>
      </x:c>
      <x:c r="D5023" s="6" t="str">
        <x:v>上</x:v>
      </x:c>
      <x:c r="E5023" s="6" t="str"/>
      <x:c r="F5023" s="6" t="str">
        <x:v>上聲二十哿</x:v>
      </x:c>
      <x:c r="G5023" s="6" t="str">
        <x:v>Pingshui main list, Wikisource-derived DOCX</x:v>
      </x:c>
      <x:c r="H5023" s="6" t="str"/>
      <x:c r="I5023" s="6" t="str">
        <x:v>Lu Qinli gap fill from Pingshui main list; 詞 entries ignored</x:v>
      </x:c>
      <x:c r="J5023" s="6" t="str">
        <x:f>IF(B5023="","",IF(AND(ISNUMBER(SEARCH("平",B5023)),OR(ISNUMBER(SEARCH("上",B5023)),ISNUMBER(SEARCH("去",B5023)),ISNUMBER(SEARCH("入",B5023)))),"Ambiguous",IF(ISNUMBER(SEARCH("平",B5023)),"平","仄")))</x:f>
        <x:v>仄</x:v>
      </x:c>
      <x:c r="K5023" s="6" t="str">
        <x:f>IF(D5023="","",IF(AND(ISNUMBER(SEARCH("平",D5023)),OR(ISNUMBER(SEARCH("上",D5023)),ISNUMBER(SEARCH("去",D5023)),ISNUMBER(SEARCH("入",D5023)))),"Ambiguous",IF(ISNUMBER(SEARCH("平",D5023)),"平","仄")))</x:f>
        <x:v>仄</x:v>
      </x:c>
      <x:c r="L5023" s="7" t="str">
        <x:v>Pingshui main list, Lu Qinli gap fill</x:v>
      </x:c>
    </x:row>
    <x:row r="5024">
      <x:c r="A5024" s="5" t="str">
        <x:v>吭</x:v>
      </x:c>
      <x:c r="B5024" s="6" t="str"/>
      <x:c r="C5024" s="6" t="str">
        <x:f>IF(B5024="","Needs decision","Ready")</x:f>
        <x:v>Needs decision</x:v>
      </x:c>
      <x:c r="D5024" s="6" t="str">
        <x:v>平/上/去</x:v>
      </x:c>
      <x:c r="E5024" s="6" t="str"/>
      <x:c r="F5024" s="6" t="str">
        <x:v>下平聲七陽; 上聲二十二養; 去聲二十三漾</x:v>
      </x:c>
      <x:c r="G5024" s="6" t="str">
        <x:v>Pingshui main list, Wikisource-derived DOCX</x:v>
      </x:c>
      <x:c r="H5024" s="6" t="str"/>
      <x:c r="I5024" s="6" t="str">
        <x:v>Lu Qinli gap fill from Pingshui main list; 詞 entries ignored</x:v>
      </x:c>
      <x:c r="J5024" s="6" t="str">
        <x:f>IF(B5024="","",IF(AND(ISNUMBER(SEARCH("平",B5024)),OR(ISNUMBER(SEARCH("上",B5024)),ISNUMBER(SEARCH("去",B5024)),ISNUMBER(SEARCH("入",B5024)))),"Ambiguous",IF(ISNUMBER(SEARCH("平",B5024)),"平","仄")))</x:f>
      </x:c>
      <x:c r="K5024" s="6" t="str">
        <x:f>IF(D5024="","",IF(AND(ISNUMBER(SEARCH("平",D5024)),OR(ISNUMBER(SEARCH("上",D5024)),ISNUMBER(SEARCH("去",D5024)),ISNUMBER(SEARCH("入",D5024)))),"Ambiguous",IF(ISNUMBER(SEARCH("平",D5024)),"平","仄")))</x:f>
        <x:v>Ambiguous</x:v>
      </x:c>
      <x:c r="L5024" s="7" t="str">
        <x:v>Pingshui main list, Lu Qinli gap fill</x:v>
      </x:c>
    </x:row>
    <x:row r="5025">
      <x:c r="A5025" s="5" t="str">
        <x:v>吻</x:v>
      </x:c>
      <x:c r="B5025" s="6" t="str">
        <x:v>上</x:v>
      </x:c>
      <x:c r="C5025" s="6" t="str">
        <x:f>IF(B5025="","Needs decision","Ready")</x:f>
        <x:v>Ready</x:v>
      </x:c>
      <x:c r="D5025" s="6" t="str">
        <x:v>上</x:v>
      </x:c>
      <x:c r="E5025" s="6" t="str"/>
      <x:c r="F5025" s="6" t="str">
        <x:v>上聲十二吻</x:v>
      </x:c>
      <x:c r="G5025" s="6" t="str">
        <x:v>Pingshui main list, Wikisource-derived DOCX</x:v>
      </x:c>
      <x:c r="H5025" s="6" t="str"/>
      <x:c r="I5025" s="6" t="str">
        <x:v>Lu Qinli gap fill from Pingshui main list; 詞 entries ignored</x:v>
      </x:c>
      <x:c r="J5025" s="6" t="str">
        <x:f>IF(B5025="","",IF(AND(ISNUMBER(SEARCH("平",B5025)),OR(ISNUMBER(SEARCH("上",B5025)),ISNUMBER(SEARCH("去",B5025)),ISNUMBER(SEARCH("入",B5025)))),"Ambiguous",IF(ISNUMBER(SEARCH("平",B5025)),"平","仄")))</x:f>
        <x:v>仄</x:v>
      </x:c>
      <x:c r="K5025" s="6" t="str">
        <x:f>IF(D5025="","",IF(AND(ISNUMBER(SEARCH("平",D5025)),OR(ISNUMBER(SEARCH("上",D5025)),ISNUMBER(SEARCH("去",D5025)),ISNUMBER(SEARCH("入",D5025)))),"Ambiguous",IF(ISNUMBER(SEARCH("平",D5025)),"平","仄")))</x:f>
        <x:v>仄</x:v>
      </x:c>
      <x:c r="L5025" s="7" t="str">
        <x:v>Pingshui main list, Lu Qinli gap fill</x:v>
      </x:c>
    </x:row>
    <x:row r="5026">
      <x:c r="A5026" s="5" t="str">
        <x:v>呀</x:v>
      </x:c>
      <x:c r="B5026" s="6" t="str">
        <x:v>平</x:v>
      </x:c>
      <x:c r="C5026" s="6" t="str">
        <x:f>IF(B5026="","Needs decision","Ready")</x:f>
        <x:v>Ready</x:v>
      </x:c>
      <x:c r="D5026" s="6" t="str">
        <x:v>平</x:v>
      </x:c>
      <x:c r="E5026" s="6" t="str"/>
      <x:c r="F5026" s="6" t="str">
        <x:v>下平聲六麻</x:v>
      </x:c>
      <x:c r="G5026" s="6" t="str">
        <x:v>Pingshui main list, Wikisource-derived DOCX</x:v>
      </x:c>
      <x:c r="H5026" s="6" t="str"/>
      <x:c r="I5026" s="6" t="str">
        <x:v>Lu Qinli gap fill from Pingshui main list; 詞 entries ignored</x:v>
      </x:c>
      <x:c r="J5026" s="6" t="str">
        <x:f>IF(B5026="","",IF(AND(ISNUMBER(SEARCH("平",B5026)),OR(ISNUMBER(SEARCH("上",B5026)),ISNUMBER(SEARCH("去",B5026)),ISNUMBER(SEARCH("入",B5026)))),"Ambiguous",IF(ISNUMBER(SEARCH("平",B5026)),"平","仄")))</x:f>
        <x:v>平</x:v>
      </x:c>
      <x:c r="K5026" s="6" t="str">
        <x:f>IF(D5026="","",IF(AND(ISNUMBER(SEARCH("平",D5026)),OR(ISNUMBER(SEARCH("上",D5026)),ISNUMBER(SEARCH("去",D5026)),ISNUMBER(SEARCH("入",D5026)))),"Ambiguous",IF(ISNUMBER(SEARCH("平",D5026)),"平","仄")))</x:f>
        <x:v>平</x:v>
      </x:c>
      <x:c r="L5026" s="7" t="str">
        <x:v>Pingshui main list, Lu Qinli gap fill</x:v>
      </x:c>
    </x:row>
    <x:row r="5027">
      <x:c r="A5027" s="5" t="str">
        <x:v>呴</x:v>
      </x:c>
      <x:c r="B5027" s="6" t="str">
        <x:v>去</x:v>
      </x:c>
      <x:c r="C5027" s="6" t="str">
        <x:f>IF(B5027="","Needs decision","Ready")</x:f>
        <x:v>Ready</x:v>
      </x:c>
      <x:c r="D5027" s="6" t="str">
        <x:v>去</x:v>
      </x:c>
      <x:c r="E5027" s="6" t="str"/>
      <x:c r="F5027" s="6" t="str">
        <x:v>去聲七遇</x:v>
      </x:c>
      <x:c r="G5027" s="6" t="str">
        <x:v>Pingshui main list, Wikisource-derived DOCX</x:v>
      </x:c>
      <x:c r="H5027" s="6" t="str"/>
      <x:c r="I5027" s="6" t="str">
        <x:v>Lu Qinli gap fill from Pingshui main list; 詞 entries ignored</x:v>
      </x:c>
      <x:c r="J5027" s="6" t="str">
        <x:f>IF(B5027="","",IF(AND(ISNUMBER(SEARCH("平",B5027)),OR(ISNUMBER(SEARCH("上",B5027)),ISNUMBER(SEARCH("去",B5027)),ISNUMBER(SEARCH("入",B5027)))),"Ambiguous",IF(ISNUMBER(SEARCH("平",B5027)),"平","仄")))</x:f>
        <x:v>仄</x:v>
      </x:c>
      <x:c r="K5027" s="6" t="str">
        <x:f>IF(D5027="","",IF(AND(ISNUMBER(SEARCH("平",D5027)),OR(ISNUMBER(SEARCH("上",D5027)),ISNUMBER(SEARCH("去",D5027)),ISNUMBER(SEARCH("入",D5027)))),"Ambiguous",IF(ISNUMBER(SEARCH("平",D5027)),"平","仄")))</x:f>
        <x:v>仄</x:v>
      </x:c>
      <x:c r="L5027" s="7" t="str">
        <x:v>Pingshui main list, Lu Qinli gap fill</x:v>
      </x:c>
    </x:row>
    <x:row r="5028">
      <x:c r="A5028" s="5" t="str">
        <x:v>呶</x:v>
      </x:c>
      <x:c r="B5028" s="6" t="str">
        <x:v>平</x:v>
      </x:c>
      <x:c r="C5028" s="6" t="str">
        <x:f>IF(B5028="","Needs decision","Ready")</x:f>
        <x:v>Ready</x:v>
      </x:c>
      <x:c r="D5028" s="6" t="str">
        <x:v>平</x:v>
      </x:c>
      <x:c r="E5028" s="6" t="str"/>
      <x:c r="F5028" s="6" t="str">
        <x:v>下平聲三肴</x:v>
      </x:c>
      <x:c r="G5028" s="6" t="str">
        <x:v>Pingshui main list, Wikisource-derived DOCX</x:v>
      </x:c>
      <x:c r="H5028" s="6" t="str"/>
      <x:c r="I5028" s="6" t="str">
        <x:v>Lu Qinli gap fill from Pingshui main list; 詞 entries ignored</x:v>
      </x:c>
      <x:c r="J5028" s="6" t="str">
        <x:f>IF(B5028="","",IF(AND(ISNUMBER(SEARCH("平",B5028)),OR(ISNUMBER(SEARCH("上",B5028)),ISNUMBER(SEARCH("去",B5028)),ISNUMBER(SEARCH("入",B5028)))),"Ambiguous",IF(ISNUMBER(SEARCH("平",B5028)),"平","仄")))</x:f>
        <x:v>平</x:v>
      </x:c>
      <x:c r="K5028" s="6" t="str">
        <x:f>IF(D5028="","",IF(AND(ISNUMBER(SEARCH("平",D5028)),OR(ISNUMBER(SEARCH("上",D5028)),ISNUMBER(SEARCH("去",D5028)),ISNUMBER(SEARCH("入",D5028)))),"Ambiguous",IF(ISNUMBER(SEARCH("平",D5028)),"平","仄")))</x:f>
        <x:v>平</x:v>
      </x:c>
      <x:c r="L5028" s="7" t="str">
        <x:v>Pingshui main list, Lu Qinli gap fill</x:v>
      </x:c>
    </x:row>
    <x:row r="5029">
      <x:c r="A5029" s="5" t="str">
        <x:v>咀</x:v>
      </x:c>
      <x:c r="B5029" s="6" t="str"/>
      <x:c r="C5029" s="6" t="str">
        <x:f>IF(B5029="","Needs decision","Ready")</x:f>
        <x:v>Needs decision</x:v>
      </x:c>
      <x:c r="D5029" s="6" t="str">
        <x:v>平/上</x:v>
      </x:c>
      <x:c r="E5029" s="6" t="str"/>
      <x:c r="F5029" s="6" t="str">
        <x:v>上平聲六魚; 上聲六語</x:v>
      </x:c>
      <x:c r="G5029" s="6" t="str">
        <x:v>Pingshui main list, Wikisource-derived DOCX</x:v>
      </x:c>
      <x:c r="H5029" s="6" t="str"/>
      <x:c r="I5029" s="6" t="str">
        <x:v>Lu Qinli gap fill from Pingshui main list; 詞 entries ignored</x:v>
      </x:c>
      <x:c r="J5029" s="6" t="str">
        <x:f>IF(B5029="","",IF(AND(ISNUMBER(SEARCH("平",B5029)),OR(ISNUMBER(SEARCH("上",B5029)),ISNUMBER(SEARCH("去",B5029)),ISNUMBER(SEARCH("入",B5029)))),"Ambiguous",IF(ISNUMBER(SEARCH("平",B5029)),"平","仄")))</x:f>
      </x:c>
      <x:c r="K5029" s="6" t="str">
        <x:f>IF(D5029="","",IF(AND(ISNUMBER(SEARCH("平",D5029)),OR(ISNUMBER(SEARCH("上",D5029)),ISNUMBER(SEARCH("去",D5029)),ISNUMBER(SEARCH("入",D5029)))),"Ambiguous",IF(ISNUMBER(SEARCH("平",D5029)),"平","仄")))</x:f>
        <x:v>Ambiguous</x:v>
      </x:c>
      <x:c r="L5029" s="7" t="str">
        <x:v>Pingshui main list, Lu Qinli gap fill</x:v>
      </x:c>
    </x:row>
    <x:row r="5030">
      <x:c r="A5030" s="5" t="str">
        <x:v>咍</x:v>
      </x:c>
      <x:c r="B5030" s="6" t="str">
        <x:v>平</x:v>
      </x:c>
      <x:c r="C5030" s="6" t="str">
        <x:f>IF(B5030="","Needs decision","Ready")</x:f>
        <x:v>Ready</x:v>
      </x:c>
      <x:c r="D5030" s="6" t="str">
        <x:v>平</x:v>
      </x:c>
      <x:c r="E5030" s="6" t="str"/>
      <x:c r="F5030" s="6" t="str">
        <x:v>上平聲十灰</x:v>
      </x:c>
      <x:c r="G5030" s="6" t="str">
        <x:v>Pingshui main list, Wikisource-derived DOCX</x:v>
      </x:c>
      <x:c r="H5030" s="6" t="str"/>
      <x:c r="I5030" s="6" t="str">
        <x:v>Lu Qinli gap fill from Pingshui main list; 詞 entries ignored</x:v>
      </x:c>
      <x:c r="J5030" s="6" t="str">
        <x:f>IF(B5030="","",IF(AND(ISNUMBER(SEARCH("平",B5030)),OR(ISNUMBER(SEARCH("上",B5030)),ISNUMBER(SEARCH("去",B5030)),ISNUMBER(SEARCH("入",B5030)))),"Ambiguous",IF(ISNUMBER(SEARCH("平",B5030)),"平","仄")))</x:f>
        <x:v>平</x:v>
      </x:c>
      <x:c r="K5030" s="6" t="str">
        <x:f>IF(D5030="","",IF(AND(ISNUMBER(SEARCH("平",D5030)),OR(ISNUMBER(SEARCH("上",D5030)),ISNUMBER(SEARCH("去",D5030)),ISNUMBER(SEARCH("入",D5030)))),"Ambiguous",IF(ISNUMBER(SEARCH("平",D5030)),"平","仄")))</x:f>
        <x:v>平</x:v>
      </x:c>
      <x:c r="L5030" s="7" t="str">
        <x:v>Pingshui main list, Lu Qinli gap fill</x:v>
      </x:c>
    </x:row>
    <x:row r="5031">
      <x:c r="A5031" s="5" t="str">
        <x:v>咡</x:v>
      </x:c>
      <x:c r="B5031" s="6" t="str">
        <x:v>去</x:v>
      </x:c>
      <x:c r="C5031" s="6" t="str">
        <x:f>IF(B5031="","Needs decision","Ready")</x:f>
        <x:v>Ready</x:v>
      </x:c>
      <x:c r="D5031" s="6" t="str">
        <x:v>去</x:v>
      </x:c>
      <x:c r="E5031" s="6" t="str"/>
      <x:c r="F5031" s="6" t="str">
        <x:v>去聲四寘</x:v>
      </x:c>
      <x:c r="G5031" s="6" t="str">
        <x:v>Pingshui main list, Wikisource-derived DOCX</x:v>
      </x:c>
      <x:c r="H5031" s="6" t="str"/>
      <x:c r="I5031" s="6" t="str">
        <x:v>Lu Qinli gap fill from Pingshui main list; 詞 entries ignored</x:v>
      </x:c>
      <x:c r="J5031" s="6" t="str">
        <x:f>IF(B5031="","",IF(AND(ISNUMBER(SEARCH("平",B5031)),OR(ISNUMBER(SEARCH("上",B5031)),ISNUMBER(SEARCH("去",B5031)),ISNUMBER(SEARCH("入",B5031)))),"Ambiguous",IF(ISNUMBER(SEARCH("平",B5031)),"平","仄")))</x:f>
        <x:v>仄</x:v>
      </x:c>
      <x:c r="K5031" s="6" t="str">
        <x:f>IF(D5031="","",IF(AND(ISNUMBER(SEARCH("平",D5031)),OR(ISNUMBER(SEARCH("上",D5031)),ISNUMBER(SEARCH("去",D5031)),ISNUMBER(SEARCH("入",D5031)))),"Ambiguous",IF(ISNUMBER(SEARCH("平",D5031)),"平","仄")))</x:f>
        <x:v>仄</x:v>
      </x:c>
      <x:c r="L5031" s="7" t="str">
        <x:v>Pingshui main list, Lu Qinli gap fill</x:v>
      </x:c>
    </x:row>
    <x:row r="5032">
      <x:c r="A5032" s="5" t="str">
        <x:v>咬</x:v>
      </x:c>
      <x:c r="B5032" s="6" t="str">
        <x:v>平</x:v>
      </x:c>
      <x:c r="C5032" s="6" t="str">
        <x:f>IF(B5032="","Needs decision","Ready")</x:f>
        <x:v>Ready</x:v>
      </x:c>
      <x:c r="D5032" s="6" t="str">
        <x:v>平</x:v>
      </x:c>
      <x:c r="E5032" s="6" t="str"/>
      <x:c r="F5032" s="6" t="str">
        <x:v>下平聲三肴</x:v>
      </x:c>
      <x:c r="G5032" s="6" t="str">
        <x:v>Pingshui main list, Wikisource-derived DOCX</x:v>
      </x:c>
      <x:c r="H5032" s="6" t="str"/>
      <x:c r="I5032" s="6" t="str">
        <x:v>Lu Qinli gap fill from Pingshui main list; 詞 entries ignored</x:v>
      </x:c>
      <x:c r="J5032" s="6" t="str">
        <x:f>IF(B5032="","",IF(AND(ISNUMBER(SEARCH("平",B5032)),OR(ISNUMBER(SEARCH("上",B5032)),ISNUMBER(SEARCH("去",B5032)),ISNUMBER(SEARCH("入",B5032)))),"Ambiguous",IF(ISNUMBER(SEARCH("平",B5032)),"平","仄")))</x:f>
        <x:v>平</x:v>
      </x:c>
      <x:c r="K5032" s="6" t="str">
        <x:f>IF(D5032="","",IF(AND(ISNUMBER(SEARCH("平",D5032)),OR(ISNUMBER(SEARCH("上",D5032)),ISNUMBER(SEARCH("去",D5032)),ISNUMBER(SEARCH("入",D5032)))),"Ambiguous",IF(ISNUMBER(SEARCH("平",D5032)),"平","仄")))</x:f>
        <x:v>平</x:v>
      </x:c>
      <x:c r="L5032" s="7" t="str">
        <x:v>Pingshui main list, Lu Qinli gap fill</x:v>
      </x:c>
    </x:row>
    <x:row r="5033">
      <x:c r="A5033" s="5" t="str">
        <x:v>咷</x:v>
      </x:c>
      <x:c r="B5033" s="6" t="str">
        <x:v>平</x:v>
      </x:c>
      <x:c r="C5033" s="6" t="str">
        <x:f>IF(B5033="","Needs decision","Ready")</x:f>
        <x:v>Ready</x:v>
      </x:c>
      <x:c r="D5033" s="6" t="str">
        <x:v>平</x:v>
      </x:c>
      <x:c r="E5033" s="6" t="str"/>
      <x:c r="F5033" s="6" t="str">
        <x:v>下平聲四豪</x:v>
      </x:c>
      <x:c r="G5033" s="6" t="str">
        <x:v>Pingshui main list, Wikisource-derived DOCX</x:v>
      </x:c>
      <x:c r="H5033" s="6" t="str"/>
      <x:c r="I5033" s="6" t="str">
        <x:v>Lu Qinli gap fill from Pingshui main list; 詞 entries ignored</x:v>
      </x:c>
      <x:c r="J5033" s="6" t="str">
        <x:f>IF(B5033="","",IF(AND(ISNUMBER(SEARCH("平",B5033)),OR(ISNUMBER(SEARCH("上",B5033)),ISNUMBER(SEARCH("去",B5033)),ISNUMBER(SEARCH("入",B5033)))),"Ambiguous",IF(ISNUMBER(SEARCH("平",B5033)),"平","仄")))</x:f>
        <x:v>平</x:v>
      </x:c>
      <x:c r="K5033" s="6" t="str">
        <x:f>IF(D5033="","",IF(AND(ISNUMBER(SEARCH("平",D5033)),OR(ISNUMBER(SEARCH("上",D5033)),ISNUMBER(SEARCH("去",D5033)),ISNUMBER(SEARCH("入",D5033)))),"Ambiguous",IF(ISNUMBER(SEARCH("平",D5033)),"平","仄")))</x:f>
        <x:v>平</x:v>
      </x:c>
      <x:c r="L5033" s="7" t="str">
        <x:v>Pingshui main list, Lu Qinli gap fill</x:v>
      </x:c>
    </x:row>
    <x:row r="5034">
      <x:c r="A5034" s="5" t="str">
        <x:v>咻</x:v>
      </x:c>
      <x:c r="B5034" s="6" t="str"/>
      <x:c r="C5034" s="6" t="str">
        <x:f>IF(B5034="","Needs decision","Ready")</x:f>
        <x:v>Needs decision</x:v>
      </x:c>
      <x:c r="D5034" s="6" t="str">
        <x:v>平/上</x:v>
      </x:c>
      <x:c r="E5034" s="6" t="str"/>
      <x:c r="F5034" s="6" t="str">
        <x:v>下平聲十一尤; 上聲七麌</x:v>
      </x:c>
      <x:c r="G5034" s="6" t="str">
        <x:v>Pingshui main list, Wikisource-derived DOCX</x:v>
      </x:c>
      <x:c r="H5034" s="6" t="str"/>
      <x:c r="I5034" s="6" t="str">
        <x:v>Lu Qinli gap fill from Pingshui main list; 詞 entries ignored</x:v>
      </x:c>
      <x:c r="J5034" s="6" t="str">
        <x:f>IF(B5034="","",IF(AND(ISNUMBER(SEARCH("平",B5034)),OR(ISNUMBER(SEARCH("上",B5034)),ISNUMBER(SEARCH("去",B5034)),ISNUMBER(SEARCH("入",B5034)))),"Ambiguous",IF(ISNUMBER(SEARCH("平",B5034)),"平","仄")))</x:f>
      </x:c>
      <x:c r="K5034" s="6" t="str">
        <x:f>IF(D5034="","",IF(AND(ISNUMBER(SEARCH("平",D5034)),OR(ISNUMBER(SEARCH("上",D5034)),ISNUMBER(SEARCH("去",D5034)),ISNUMBER(SEARCH("入",D5034)))),"Ambiguous",IF(ISNUMBER(SEARCH("平",D5034)),"平","仄")))</x:f>
        <x:v>Ambiguous</x:v>
      </x:c>
      <x:c r="L5034" s="7" t="str">
        <x:v>Pingshui main list, Lu Qinli gap fill</x:v>
      </x:c>
    </x:row>
    <x:row r="5035">
      <x:c r="A5035" s="5" t="str">
        <x:v>哇</x:v>
      </x:c>
      <x:c r="B5035" s="6" t="str">
        <x:v>平</x:v>
      </x:c>
      <x:c r="C5035" s="6" t="str">
        <x:f>IF(B5035="","Needs decision","Ready")</x:f>
        <x:v>Ready</x:v>
      </x:c>
      <x:c r="D5035" s="6" t="str">
        <x:v>平</x:v>
      </x:c>
      <x:c r="E5035" s="6" t="str"/>
      <x:c r="F5035" s="6" t="str">
        <x:v>上平聲九佳; 下平聲六麻</x:v>
      </x:c>
      <x:c r="G5035" s="6" t="str">
        <x:v>Pingshui main list, Wikisource-derived DOCX</x:v>
      </x:c>
      <x:c r="H5035" s="6" t="str"/>
      <x:c r="I5035" s="6" t="str">
        <x:v>Lu Qinli gap fill from Pingshui main list; 詞 entries ignored</x:v>
      </x:c>
      <x:c r="J5035" s="6" t="str">
        <x:f>IF(B5035="","",IF(AND(ISNUMBER(SEARCH("平",B5035)),OR(ISNUMBER(SEARCH("上",B5035)),ISNUMBER(SEARCH("去",B5035)),ISNUMBER(SEARCH("入",B5035)))),"Ambiguous",IF(ISNUMBER(SEARCH("平",B5035)),"平","仄")))</x:f>
        <x:v>平</x:v>
      </x:c>
      <x:c r="K5035" s="6" t="str">
        <x:f>IF(D5035="","",IF(AND(ISNUMBER(SEARCH("平",D5035)),OR(ISNUMBER(SEARCH("上",D5035)),ISNUMBER(SEARCH("去",D5035)),ISNUMBER(SEARCH("入",D5035)))),"Ambiguous",IF(ISNUMBER(SEARCH("平",D5035)),"平","仄")))</x:f>
        <x:v>平</x:v>
      </x:c>
      <x:c r="L5035" s="7" t="str">
        <x:v>Pingshui main list, Lu Qinli gap fill</x:v>
      </x:c>
    </x:row>
    <x:row r="5036">
      <x:c r="A5036" s="5" t="str">
        <x:v>哢</x:v>
      </x:c>
      <x:c r="B5036" s="6" t="str">
        <x:v>去</x:v>
      </x:c>
      <x:c r="C5036" s="6" t="str">
        <x:f>IF(B5036="","Needs decision","Ready")</x:f>
        <x:v>Ready</x:v>
      </x:c>
      <x:c r="D5036" s="6" t="str">
        <x:v>去</x:v>
      </x:c>
      <x:c r="E5036" s="6" t="str"/>
      <x:c r="F5036" s="6" t="str">
        <x:v>去聲一送</x:v>
      </x:c>
      <x:c r="G5036" s="6" t="str">
        <x:v>Pingshui main list, Wikisource-derived DOCX</x:v>
      </x:c>
      <x:c r="H5036" s="6" t="str"/>
      <x:c r="I5036" s="6" t="str">
        <x:v>Lu Qinli gap fill from Pingshui main list; 詞 entries ignored</x:v>
      </x:c>
      <x:c r="J5036" s="6" t="str">
        <x:f>IF(B5036="","",IF(AND(ISNUMBER(SEARCH("平",B5036)),OR(ISNUMBER(SEARCH("上",B5036)),ISNUMBER(SEARCH("去",B5036)),ISNUMBER(SEARCH("入",B5036)))),"Ambiguous",IF(ISNUMBER(SEARCH("平",B5036)),"平","仄")))</x:f>
        <x:v>仄</x:v>
      </x:c>
      <x:c r="K5036" s="6" t="str">
        <x:f>IF(D5036="","",IF(AND(ISNUMBER(SEARCH("平",D5036)),OR(ISNUMBER(SEARCH("上",D5036)),ISNUMBER(SEARCH("去",D5036)),ISNUMBER(SEARCH("入",D5036)))),"Ambiguous",IF(ISNUMBER(SEARCH("平",D5036)),"平","仄")))</x:f>
        <x:v>仄</x:v>
      </x:c>
      <x:c r="L5036" s="7" t="str">
        <x:v>Pingshui main list, Lu Qinli gap fill</x:v>
      </x:c>
    </x:row>
    <x:row r="5037">
      <x:c r="A5037" s="5" t="str">
        <x:v>哽</x:v>
      </x:c>
      <x:c r="B5037" s="6" t="str">
        <x:v>上</x:v>
      </x:c>
      <x:c r="C5037" s="6" t="str">
        <x:f>IF(B5037="","Needs decision","Ready")</x:f>
        <x:v>Ready</x:v>
      </x:c>
      <x:c r="D5037" s="6" t="str">
        <x:v>上</x:v>
      </x:c>
      <x:c r="E5037" s="6" t="str"/>
      <x:c r="F5037" s="6" t="str">
        <x:v>上聲二十三梗</x:v>
      </x:c>
      <x:c r="G5037" s="6" t="str">
        <x:v>Pingshui main list, Wikisource-derived DOCX</x:v>
      </x:c>
      <x:c r="H5037" s="6" t="str"/>
      <x:c r="I5037" s="6" t="str">
        <x:v>Lu Qinli gap fill from Pingshui main list; 詞 entries ignored</x:v>
      </x:c>
      <x:c r="J5037" s="6" t="str">
        <x:f>IF(B5037="","",IF(AND(ISNUMBER(SEARCH("平",B5037)),OR(ISNUMBER(SEARCH("上",B5037)),ISNUMBER(SEARCH("去",B5037)),ISNUMBER(SEARCH("入",B5037)))),"Ambiguous",IF(ISNUMBER(SEARCH("平",B5037)),"平","仄")))</x:f>
        <x:v>仄</x:v>
      </x:c>
      <x:c r="K5037" s="6" t="str">
        <x:f>IF(D5037="","",IF(AND(ISNUMBER(SEARCH("平",D5037)),OR(ISNUMBER(SEARCH("上",D5037)),ISNUMBER(SEARCH("去",D5037)),ISNUMBER(SEARCH("入",D5037)))),"Ambiguous",IF(ISNUMBER(SEARCH("平",D5037)),"平","仄")))</x:f>
        <x:v>仄</x:v>
      </x:c>
      <x:c r="L5037" s="7" t="str">
        <x:v>Pingshui main list, Lu Qinli gap fill</x:v>
      </x:c>
    </x:row>
    <x:row r="5038">
      <x:c r="A5038" s="5" t="str">
        <x:v>唏</x:v>
      </x:c>
      <x:c r="B5038" s="6" t="str">
        <x:v>上</x:v>
      </x:c>
      <x:c r="C5038" s="6" t="str">
        <x:f>IF(B5038="","Needs decision","Ready")</x:f>
        <x:v>Ready</x:v>
      </x:c>
      <x:c r="D5038" s="6" t="str">
        <x:v>上</x:v>
      </x:c>
      <x:c r="E5038" s="6" t="str"/>
      <x:c r="F5038" s="6" t="str">
        <x:v>上聲五尾</x:v>
      </x:c>
      <x:c r="G5038" s="6" t="str">
        <x:v>Pingshui main list, Wikisource-derived DOCX</x:v>
      </x:c>
      <x:c r="H5038" s="6" t="str"/>
      <x:c r="I5038" s="6" t="str">
        <x:v>Lu Qinli gap fill from Pingshui main list; 詞 entries ignored</x:v>
      </x:c>
      <x:c r="J5038" s="6" t="str">
        <x:f>IF(B5038="","",IF(AND(ISNUMBER(SEARCH("平",B5038)),OR(ISNUMBER(SEARCH("上",B5038)),ISNUMBER(SEARCH("去",B5038)),ISNUMBER(SEARCH("入",B5038)))),"Ambiguous",IF(ISNUMBER(SEARCH("平",B5038)),"平","仄")))</x:f>
        <x:v>仄</x:v>
      </x:c>
      <x:c r="K5038" s="6" t="str">
        <x:f>IF(D5038="","",IF(AND(ISNUMBER(SEARCH("平",D5038)),OR(ISNUMBER(SEARCH("上",D5038)),ISNUMBER(SEARCH("去",D5038)),ISNUMBER(SEARCH("入",D5038)))),"Ambiguous",IF(ISNUMBER(SEARCH("平",D5038)),"平","仄")))</x:f>
        <x:v>仄</x:v>
      </x:c>
      <x:c r="L5038" s="7" t="str">
        <x:v>Pingshui main list, Lu Qinli gap fill</x:v>
      </x:c>
    </x:row>
    <x:row r="5039">
      <x:c r="A5039" s="5" t="str">
        <x:v>售</x:v>
      </x:c>
      <x:c r="B5039" s="6" t="str"/>
      <x:c r="C5039" s="6" t="str">
        <x:f>IF(B5039="","Needs decision","Ready")</x:f>
        <x:v>Needs decision</x:v>
      </x:c>
      <x:c r="D5039" s="6" t="str">
        <x:v>平/去</x:v>
      </x:c>
      <x:c r="E5039" s="6" t="str"/>
      <x:c r="F5039" s="6" t="str">
        <x:v>下平聲十一尤; 去聲二十六宥</x:v>
      </x:c>
      <x:c r="G5039" s="6" t="str">
        <x:v>Pingshui main list, Wikisource-derived DOCX</x:v>
      </x:c>
      <x:c r="H5039" s="6" t="str"/>
      <x:c r="I5039" s="6" t="str">
        <x:v>Lu Qinli gap fill from Pingshui main list; 詞 entries ignored</x:v>
      </x:c>
      <x:c r="J5039" s="6" t="str">
        <x:f>IF(B5039="","",IF(AND(ISNUMBER(SEARCH("平",B5039)),OR(ISNUMBER(SEARCH("上",B5039)),ISNUMBER(SEARCH("去",B5039)),ISNUMBER(SEARCH("入",B5039)))),"Ambiguous",IF(ISNUMBER(SEARCH("平",B5039)),"平","仄")))</x:f>
      </x:c>
      <x:c r="K5039" s="6" t="str">
        <x:f>IF(D5039="","",IF(AND(ISNUMBER(SEARCH("平",D5039)),OR(ISNUMBER(SEARCH("上",D5039)),ISNUMBER(SEARCH("去",D5039)),ISNUMBER(SEARCH("入",D5039)))),"Ambiguous",IF(ISNUMBER(SEARCH("平",D5039)),"平","仄")))</x:f>
        <x:v>Ambiguous</x:v>
      </x:c>
      <x:c r="L5039" s="7" t="str">
        <x:v>Pingshui main list, Lu Qinli gap fill</x:v>
      </x:c>
    </x:row>
    <x:row r="5040">
      <x:c r="A5040" s="5" t="str">
        <x:v>唶</x:v>
      </x:c>
      <x:c r="B5040" s="6" t="str">
        <x:v>入</x:v>
      </x:c>
      <x:c r="C5040" s="6" t="str">
        <x:f>IF(B5040="","Needs decision","Ready")</x:f>
        <x:v>Ready</x:v>
      </x:c>
      <x:c r="D5040" s="6" t="str">
        <x:v>入</x:v>
      </x:c>
      <x:c r="E5040" s="6" t="str"/>
      <x:c r="F5040" s="6" t="str">
        <x:v>入聲十一陌</x:v>
      </x:c>
      <x:c r="G5040" s="6" t="str">
        <x:v>Pingshui main list, Wikisource-derived DOCX</x:v>
      </x:c>
      <x:c r="H5040" s="6" t="str"/>
      <x:c r="I5040" s="6" t="str">
        <x:v>Lu Qinli gap fill from Pingshui main list; 詞 entries ignored</x:v>
      </x:c>
      <x:c r="J5040" s="6" t="str">
        <x:f>IF(B5040="","",IF(AND(ISNUMBER(SEARCH("平",B5040)),OR(ISNUMBER(SEARCH("上",B5040)),ISNUMBER(SEARCH("去",B5040)),ISNUMBER(SEARCH("入",B5040)))),"Ambiguous",IF(ISNUMBER(SEARCH("平",B5040)),"平","仄")))</x:f>
        <x:v>仄</x:v>
      </x:c>
      <x:c r="K5040" s="6" t="str">
        <x:f>IF(D5040="","",IF(AND(ISNUMBER(SEARCH("平",D5040)),OR(ISNUMBER(SEARCH("上",D5040)),ISNUMBER(SEARCH("去",D5040)),ISNUMBER(SEARCH("入",D5040)))),"Ambiguous",IF(ISNUMBER(SEARCH("平",D5040)),"平","仄")))</x:f>
        <x:v>仄</x:v>
      </x:c>
      <x:c r="L5040" s="7" t="str">
        <x:v>Pingshui main list, Lu Qinli gap fill</x:v>
      </x:c>
    </x:row>
    <x:row r="5041">
      <x:c r="A5041" s="5" t="str">
        <x:v>唸</x:v>
      </x:c>
      <x:c r="B5041" s="6" t="str">
        <x:v>去</x:v>
      </x:c>
      <x:c r="C5041" s="6" t="str">
        <x:f>IF(B5041="","Needs decision","Ready")</x:f>
        <x:v>Ready</x:v>
      </x:c>
      <x:c r="D5041" s="6" t="str">
        <x:v>去</x:v>
      </x:c>
      <x:c r="E5041" s="6" t="str"/>
      <x:c r="F5041" s="6" t="str">
        <x:v>去聲二十九豔</x:v>
      </x:c>
      <x:c r="G5041" s="6" t="str">
        <x:v>Pingshui main list, Wikisource-derived DOCX</x:v>
      </x:c>
      <x:c r="H5041" s="6" t="str"/>
      <x:c r="I5041" s="6" t="str">
        <x:v>Lu Qinli gap fill from Pingshui main list; 詞 entries ignored</x:v>
      </x:c>
      <x:c r="J5041" s="6" t="str">
        <x:f>IF(B5041="","",IF(AND(ISNUMBER(SEARCH("平",B5041)),OR(ISNUMBER(SEARCH("上",B5041)),ISNUMBER(SEARCH("去",B5041)),ISNUMBER(SEARCH("入",B5041)))),"Ambiguous",IF(ISNUMBER(SEARCH("平",B5041)),"平","仄")))</x:f>
        <x:v>仄</x:v>
      </x:c>
      <x:c r="K5041" s="6" t="str">
        <x:f>IF(D5041="","",IF(AND(ISNUMBER(SEARCH("平",D5041)),OR(ISNUMBER(SEARCH("上",D5041)),ISNUMBER(SEARCH("去",D5041)),ISNUMBER(SEARCH("入",D5041)))),"Ambiguous",IF(ISNUMBER(SEARCH("平",D5041)),"平","仄")))</x:f>
        <x:v>仄</x:v>
      </x:c>
      <x:c r="L5041" s="7" t="str">
        <x:v>Pingshui main list, Lu Qinli gap fill</x:v>
      </x:c>
    </x:row>
    <x:row r="5042">
      <x:c r="A5042" s="5" t="str">
        <x:v>唾</x:v>
      </x:c>
      <x:c r="B5042" s="6" t="str">
        <x:v>去</x:v>
      </x:c>
      <x:c r="C5042" s="6" t="str">
        <x:f>IF(B5042="","Needs decision","Ready")</x:f>
        <x:v>Ready</x:v>
      </x:c>
      <x:c r="D5042" s="6" t="str">
        <x:v>去</x:v>
      </x:c>
      <x:c r="E5042" s="6" t="str"/>
      <x:c r="F5042" s="6" t="str">
        <x:v>去聲二十一箇</x:v>
      </x:c>
      <x:c r="G5042" s="6" t="str">
        <x:v>Pingshui main list, Wikisource-derived DOCX</x:v>
      </x:c>
      <x:c r="H5042" s="6" t="str"/>
      <x:c r="I5042" s="6" t="str">
        <x:v>Lu Qinli gap fill from Pingshui main list; 詞 entries ignored</x:v>
      </x:c>
      <x:c r="J5042" s="6" t="str">
        <x:f>IF(B5042="","",IF(AND(ISNUMBER(SEARCH("平",B5042)),OR(ISNUMBER(SEARCH("上",B5042)),ISNUMBER(SEARCH("去",B5042)),ISNUMBER(SEARCH("入",B5042)))),"Ambiguous",IF(ISNUMBER(SEARCH("平",B5042)),"平","仄")))</x:f>
        <x:v>仄</x:v>
      </x:c>
      <x:c r="K5042" s="6" t="str">
        <x:f>IF(D5042="","",IF(AND(ISNUMBER(SEARCH("平",D5042)),OR(ISNUMBER(SEARCH("上",D5042)),ISNUMBER(SEARCH("去",D5042)),ISNUMBER(SEARCH("入",D5042)))),"Ambiguous",IF(ISNUMBER(SEARCH("平",D5042)),"平","仄")))</x:f>
        <x:v>仄</x:v>
      </x:c>
      <x:c r="L5042" s="7" t="str">
        <x:v>Pingshui main list, Lu Qinli gap fill</x:v>
      </x:c>
    </x:row>
    <x:row r="5043">
      <x:c r="A5043" s="5" t="str">
        <x:v>啻</x:v>
      </x:c>
      <x:c r="B5043" s="6" t="str">
        <x:v>去</x:v>
      </x:c>
      <x:c r="C5043" s="6" t="str">
        <x:f>IF(B5043="","Needs decision","Ready")</x:f>
        <x:v>Ready</x:v>
      </x:c>
      <x:c r="D5043" s="6" t="str">
        <x:v>去</x:v>
      </x:c>
      <x:c r="E5043" s="6" t="str"/>
      <x:c r="F5043" s="6" t="str">
        <x:v>去聲四寘</x:v>
      </x:c>
      <x:c r="G5043" s="6" t="str">
        <x:v>Pingshui main list, Wikisource-derived DOCX</x:v>
      </x:c>
      <x:c r="H5043" s="6" t="str"/>
      <x:c r="I5043" s="6" t="str">
        <x:v>Lu Qinli gap fill from Pingshui main list; 詞 entries ignored</x:v>
      </x:c>
      <x:c r="J5043" s="6" t="str">
        <x:f>IF(B5043="","",IF(AND(ISNUMBER(SEARCH("平",B5043)),OR(ISNUMBER(SEARCH("上",B5043)),ISNUMBER(SEARCH("去",B5043)),ISNUMBER(SEARCH("入",B5043)))),"Ambiguous",IF(ISNUMBER(SEARCH("平",B5043)),"平","仄")))</x:f>
        <x:v>仄</x:v>
      </x:c>
      <x:c r="K5043" s="6" t="str">
        <x:f>IF(D5043="","",IF(AND(ISNUMBER(SEARCH("平",D5043)),OR(ISNUMBER(SEARCH("上",D5043)),ISNUMBER(SEARCH("去",D5043)),ISNUMBER(SEARCH("入",D5043)))),"Ambiguous",IF(ISNUMBER(SEARCH("平",D5043)),"平","仄")))</x:f>
        <x:v>仄</x:v>
      </x:c>
      <x:c r="L5043" s="7" t="str">
        <x:v>Pingshui main list, Lu Qinli gap fill</x:v>
      </x:c>
    </x:row>
    <x:row r="5044">
      <x:c r="A5044" s="5" t="str">
        <x:v>喁</x:v>
      </x:c>
      <x:c r="B5044" s="6" t="str">
        <x:v>平</x:v>
      </x:c>
      <x:c r="C5044" s="6" t="str">
        <x:f>IF(B5044="","Needs decision","Ready")</x:f>
        <x:v>Ready</x:v>
      </x:c>
      <x:c r="D5044" s="6" t="str">
        <x:v>平</x:v>
      </x:c>
      <x:c r="E5044" s="6" t="str"/>
      <x:c r="F5044" s="6" t="str">
        <x:v>上平聲二冬; 上平聲七虞</x:v>
      </x:c>
      <x:c r="G5044" s="6" t="str">
        <x:v>Pingshui main list, Wikisource-derived DOCX</x:v>
      </x:c>
      <x:c r="H5044" s="6" t="str"/>
      <x:c r="I5044" s="6" t="str">
        <x:v>Lu Qinli gap fill from Pingshui main list; 詞 entries ignored</x:v>
      </x:c>
      <x:c r="J5044" s="6" t="str">
        <x:f>IF(B5044="","",IF(AND(ISNUMBER(SEARCH("平",B5044)),OR(ISNUMBER(SEARCH("上",B5044)),ISNUMBER(SEARCH("去",B5044)),ISNUMBER(SEARCH("入",B5044)))),"Ambiguous",IF(ISNUMBER(SEARCH("平",B5044)),"平","仄")))</x:f>
        <x:v>平</x:v>
      </x:c>
      <x:c r="K5044" s="6" t="str">
        <x:f>IF(D5044="","",IF(AND(ISNUMBER(SEARCH("平",D5044)),OR(ISNUMBER(SEARCH("上",D5044)),ISNUMBER(SEARCH("去",D5044)),ISNUMBER(SEARCH("入",D5044)))),"Ambiguous",IF(ISNUMBER(SEARCH("平",D5044)),"平","仄")))</x:f>
        <x:v>平</x:v>
      </x:c>
      <x:c r="L5044" s="7" t="str">
        <x:v>Pingshui main list, Lu Qinli gap fill</x:v>
      </x:c>
    </x:row>
    <x:row r="5045">
      <x:c r="A5045" s="5" t="str">
        <x:v>喋</x:v>
      </x:c>
      <x:c r="B5045" s="6" t="str">
        <x:v>入</x:v>
      </x:c>
      <x:c r="C5045" s="6" t="str">
        <x:f>IF(B5045="","Needs decision","Ready")</x:f>
        <x:v>Ready</x:v>
      </x:c>
      <x:c r="D5045" s="6" t="str">
        <x:v>入</x:v>
      </x:c>
      <x:c r="E5045" s="6" t="str"/>
      <x:c r="F5045" s="6" t="str">
        <x:v>入聲十六葉; 入聲十七洽</x:v>
      </x:c>
      <x:c r="G5045" s="6" t="str">
        <x:v>Pingshui main list, Wikisource-derived DOCX</x:v>
      </x:c>
      <x:c r="H5045" s="6" t="str"/>
      <x:c r="I5045" s="6" t="str">
        <x:v>Lu Qinli gap fill from Pingshui main list; 詞 entries ignored</x:v>
      </x:c>
      <x:c r="J5045" s="6" t="str">
        <x:f>IF(B5045="","",IF(AND(ISNUMBER(SEARCH("平",B5045)),OR(ISNUMBER(SEARCH("上",B5045)),ISNUMBER(SEARCH("去",B5045)),ISNUMBER(SEARCH("入",B5045)))),"Ambiguous",IF(ISNUMBER(SEARCH("平",B5045)),"平","仄")))</x:f>
        <x:v>仄</x:v>
      </x:c>
      <x:c r="K5045" s="6" t="str">
        <x:f>IF(D5045="","",IF(AND(ISNUMBER(SEARCH("平",D5045)),OR(ISNUMBER(SEARCH("上",D5045)),ISNUMBER(SEARCH("去",D5045)),ISNUMBER(SEARCH("入",D5045)))),"Ambiguous",IF(ISNUMBER(SEARCH("平",D5045)),"平","仄")))</x:f>
        <x:v>仄</x:v>
      </x:c>
      <x:c r="L5045" s="7" t="str">
        <x:v>Pingshui main list, Lu Qinli gap fill</x:v>
      </x:c>
    </x:row>
    <x:row r="5046">
      <x:c r="A5046" s="5" t="str">
        <x:v>喑</x:v>
      </x:c>
      <x:c r="B5046" s="6" t="str"/>
      <x:c r="C5046" s="6" t="str">
        <x:f>IF(B5046="","Needs decision","Ready")</x:f>
        <x:v>Needs decision</x:v>
      </x:c>
      <x:c r="D5046" s="6" t="str">
        <x:v>平/去</x:v>
      </x:c>
      <x:c r="E5046" s="6" t="str"/>
      <x:c r="F5046" s="6" t="str">
        <x:v>下平聲十二侵; 去聲二十七沁</x:v>
      </x:c>
      <x:c r="G5046" s="6" t="str">
        <x:v>Pingshui main list, Wikisource-derived DOCX</x:v>
      </x:c>
      <x:c r="H5046" s="6" t="str"/>
      <x:c r="I5046" s="6" t="str">
        <x:v>Lu Qinli gap fill from Pingshui main list; 詞 entries ignored</x:v>
      </x:c>
      <x:c r="J5046" s="6" t="str">
        <x:f>IF(B5046="","",IF(AND(ISNUMBER(SEARCH("平",B5046)),OR(ISNUMBER(SEARCH("上",B5046)),ISNUMBER(SEARCH("去",B5046)),ISNUMBER(SEARCH("入",B5046)))),"Ambiguous",IF(ISNUMBER(SEARCH("平",B5046)),"平","仄")))</x:f>
      </x:c>
      <x:c r="K5046" s="6" t="str">
        <x:f>IF(D5046="","",IF(AND(ISNUMBER(SEARCH("平",D5046)),OR(ISNUMBER(SEARCH("上",D5046)),ISNUMBER(SEARCH("去",D5046)),ISNUMBER(SEARCH("入",D5046)))),"Ambiguous",IF(ISNUMBER(SEARCH("平",D5046)),"平","仄")))</x:f>
        <x:v>Ambiguous</x:v>
      </x:c>
      <x:c r="L5046" s="7" t="str">
        <x:v>Pingshui main list, Lu Qinli gap fill</x:v>
      </x:c>
    </x:row>
    <x:row r="5047">
      <x:c r="A5047" s="5" t="str">
        <x:v>喓</x:v>
      </x:c>
      <x:c r="B5047" s="6" t="str">
        <x:v>平</x:v>
      </x:c>
      <x:c r="C5047" s="6" t="str">
        <x:f>IF(B5047="","Needs decision","Ready")</x:f>
        <x:v>Ready</x:v>
      </x:c>
      <x:c r="D5047" s="6" t="str">
        <x:v>平</x:v>
      </x:c>
      <x:c r="E5047" s="6" t="str"/>
      <x:c r="F5047" s="6" t="str">
        <x:v>下平聲二蕭</x:v>
      </x:c>
      <x:c r="G5047" s="6" t="str">
        <x:v>Pingshui main list, Wikisource-derived DOCX</x:v>
      </x:c>
      <x:c r="H5047" s="6" t="str"/>
      <x:c r="I5047" s="6" t="str">
        <x:v>Lu Qinli gap fill from Pingshui main list; 詞 entries ignored</x:v>
      </x:c>
      <x:c r="J5047" s="6" t="str">
        <x:f>IF(B5047="","",IF(AND(ISNUMBER(SEARCH("平",B5047)),OR(ISNUMBER(SEARCH("上",B5047)),ISNUMBER(SEARCH("去",B5047)),ISNUMBER(SEARCH("入",B5047)))),"Ambiguous",IF(ISNUMBER(SEARCH("平",B5047)),"平","仄")))</x:f>
        <x:v>平</x:v>
      </x:c>
      <x:c r="K5047" s="6" t="str">
        <x:f>IF(D5047="","",IF(AND(ISNUMBER(SEARCH("平",D5047)),OR(ISNUMBER(SEARCH("上",D5047)),ISNUMBER(SEARCH("去",D5047)),ISNUMBER(SEARCH("入",D5047)))),"Ambiguous",IF(ISNUMBER(SEARCH("平",D5047)),"平","仄")))</x:f>
        <x:v>平</x:v>
      </x:c>
      <x:c r="L5047" s="7" t="str">
        <x:v>Pingshui main list, Lu Qinli gap fill</x:v>
      </x:c>
    </x:row>
    <x:row r="5048">
      <x:c r="A5048" s="5" t="str">
        <x:v>喔</x:v>
      </x:c>
      <x:c r="B5048" s="6" t="str">
        <x:v>入</x:v>
      </x:c>
      <x:c r="C5048" s="6" t="str">
        <x:f>IF(B5048="","Needs decision","Ready")</x:f>
        <x:v>Ready</x:v>
      </x:c>
      <x:c r="D5048" s="6" t="str">
        <x:v>入</x:v>
      </x:c>
      <x:c r="E5048" s="6" t="str"/>
      <x:c r="F5048" s="6" t="str">
        <x:v>入聲三覺</x:v>
      </x:c>
      <x:c r="G5048" s="6" t="str">
        <x:v>Pingshui main list, Wikisource-derived DOCX</x:v>
      </x:c>
      <x:c r="H5048" s="6" t="str"/>
      <x:c r="I5048" s="6" t="str">
        <x:v>Lu Qinli gap fill from Pingshui main list; 詞 entries ignored</x:v>
      </x:c>
      <x:c r="J5048" s="6" t="str">
        <x:f>IF(B5048="","",IF(AND(ISNUMBER(SEARCH("平",B5048)),OR(ISNUMBER(SEARCH("上",B5048)),ISNUMBER(SEARCH("去",B5048)),ISNUMBER(SEARCH("入",B5048)))),"Ambiguous",IF(ISNUMBER(SEARCH("平",B5048)),"平","仄")))</x:f>
        <x:v>仄</x:v>
      </x:c>
      <x:c r="K5048" s="6" t="str">
        <x:f>IF(D5048="","",IF(AND(ISNUMBER(SEARCH("平",D5048)),OR(ISNUMBER(SEARCH("上",D5048)),ISNUMBER(SEARCH("去",D5048)),ISNUMBER(SEARCH("入",D5048)))),"Ambiguous",IF(ISNUMBER(SEARCH("平",D5048)),"平","仄")))</x:f>
        <x:v>仄</x:v>
      </x:c>
      <x:c r="L5048" s="7" t="str">
        <x:v>Pingshui main list, Lu Qinli gap fill</x:v>
      </x:c>
    </x:row>
    <x:row r="5049">
      <x:c r="A5049" s="5" t="str">
        <x:v>喝</x:v>
      </x:c>
      <x:c r="B5049" s="6" t="str"/>
      <x:c r="C5049" s="6" t="str">
        <x:f>IF(B5049="","Needs decision","Ready")</x:f>
        <x:v>Needs decision</x:v>
      </x:c>
      <x:c r="D5049" s="6" t="str">
        <x:v>去/入</x:v>
      </x:c>
      <x:c r="E5049" s="6" t="str"/>
      <x:c r="F5049" s="6" t="str">
        <x:v>去聲十卦; 入聲七曷</x:v>
      </x:c>
      <x:c r="G5049" s="6" t="str">
        <x:v>Pingshui main list, Wikisource-derived DOCX</x:v>
      </x:c>
      <x:c r="H5049" s="6" t="str"/>
      <x:c r="I5049" s="6" t="str">
        <x:v>Lu Qinli gap fill from Pingshui main list; 詞 entries ignored</x:v>
      </x:c>
      <x:c r="J5049" s="6" t="str">
        <x:f>IF(B5049="","",IF(AND(ISNUMBER(SEARCH("平",B5049)),OR(ISNUMBER(SEARCH("上",B5049)),ISNUMBER(SEARCH("去",B5049)),ISNUMBER(SEARCH("入",B5049)))),"Ambiguous",IF(ISNUMBER(SEARCH("平",B5049)),"平","仄")))</x:f>
      </x:c>
      <x:c r="K5049" s="6" t="str">
        <x:f>IF(D5049="","",IF(AND(ISNUMBER(SEARCH("平",D5049)),OR(ISNUMBER(SEARCH("上",D5049)),ISNUMBER(SEARCH("去",D5049)),ISNUMBER(SEARCH("入",D5049)))),"Ambiguous",IF(ISNUMBER(SEARCH("平",D5049)),"平","仄")))</x:f>
        <x:v>仄</x:v>
      </x:c>
      <x:c r="L5049" s="7" t="str">
        <x:v>Pingshui main list, Lu Qinli gap fill</x:v>
      </x:c>
    </x:row>
    <x:row r="5050">
      <x:c r="A5050" s="5" t="str">
        <x:v>喤</x:v>
      </x:c>
      <x:c r="B5050" s="6" t="str">
        <x:v>平</x:v>
      </x:c>
      <x:c r="C5050" s="6" t="str">
        <x:f>IF(B5050="","Needs decision","Ready")</x:f>
        <x:v>Ready</x:v>
      </x:c>
      <x:c r="D5050" s="6" t="str">
        <x:v>平</x:v>
      </x:c>
      <x:c r="E5050" s="6" t="str"/>
      <x:c r="F5050" s="6" t="str">
        <x:v>下平聲七陽; 下平聲八庚</x:v>
      </x:c>
      <x:c r="G5050" s="6" t="str">
        <x:v>Pingshui main list, Wikisource-derived DOCX</x:v>
      </x:c>
      <x:c r="H5050" s="6" t="str"/>
      <x:c r="I5050" s="6" t="str">
        <x:v>Lu Qinli gap fill from Pingshui main list; 詞 entries ignored</x:v>
      </x:c>
      <x:c r="J5050" s="6" t="str">
        <x:f>IF(B5050="","",IF(AND(ISNUMBER(SEARCH("平",B5050)),OR(ISNUMBER(SEARCH("上",B5050)),ISNUMBER(SEARCH("去",B5050)),ISNUMBER(SEARCH("入",B5050)))),"Ambiguous",IF(ISNUMBER(SEARCH("平",B5050)),"平","仄")))</x:f>
        <x:v>平</x:v>
      </x:c>
      <x:c r="K5050" s="6" t="str">
        <x:f>IF(D5050="","",IF(AND(ISNUMBER(SEARCH("平",D5050)),OR(ISNUMBER(SEARCH("上",D5050)),ISNUMBER(SEARCH("去",D5050)),ISNUMBER(SEARCH("入",D5050)))),"Ambiguous",IF(ISNUMBER(SEARCH("平",D5050)),"平","仄")))</x:f>
        <x:v>平</x:v>
      </x:c>
      <x:c r="L5050" s="7" t="str">
        <x:v>Pingshui main list, Lu Qinli gap fill</x:v>
      </x:c>
    </x:row>
    <x:row r="5051">
      <x:c r="A5051" s="5" t="str">
        <x:v>喫</x:v>
      </x:c>
      <x:c r="B5051" s="6" t="str">
        <x:v>入</x:v>
      </x:c>
      <x:c r="C5051" s="6" t="str">
        <x:f>IF(B5051="","Needs decision","Ready")</x:f>
        <x:v>Ready</x:v>
      </x:c>
      <x:c r="D5051" s="6" t="str">
        <x:v>入</x:v>
      </x:c>
      <x:c r="E5051" s="6" t="str"/>
      <x:c r="F5051" s="6" t="str">
        <x:v>入聲十二錫</x:v>
      </x:c>
      <x:c r="G5051" s="6" t="str">
        <x:v>Pingshui main list, Wikisource-derived DOCX</x:v>
      </x:c>
      <x:c r="H5051" s="6" t="str"/>
      <x:c r="I5051" s="6" t="str">
        <x:v>Lu Qinli gap fill from Pingshui main list; 詞 entries ignored</x:v>
      </x:c>
      <x:c r="J5051" s="6" t="str">
        <x:f>IF(B5051="","",IF(AND(ISNUMBER(SEARCH("平",B5051)),OR(ISNUMBER(SEARCH("上",B5051)),ISNUMBER(SEARCH("去",B5051)),ISNUMBER(SEARCH("入",B5051)))),"Ambiguous",IF(ISNUMBER(SEARCH("平",B5051)),"平","仄")))</x:f>
        <x:v>仄</x:v>
      </x:c>
      <x:c r="K5051" s="6" t="str">
        <x:f>IF(D5051="","",IF(AND(ISNUMBER(SEARCH("平",D5051)),OR(ISNUMBER(SEARCH("上",D5051)),ISNUMBER(SEARCH("去",D5051)),ISNUMBER(SEARCH("入",D5051)))),"Ambiguous",IF(ISNUMBER(SEARCH("平",D5051)),"平","仄")))</x:f>
        <x:v>仄</x:v>
      </x:c>
      <x:c r="L5051" s="7" t="str">
        <x:v>Pingshui main list, Lu Qinli gap fill</x:v>
      </x:c>
    </x:row>
    <x:row r="5052">
      <x:c r="A5052" s="5" t="str">
        <x:v>喭</x:v>
      </x:c>
      <x:c r="B5052" s="6" t="str">
        <x:v>去</x:v>
      </x:c>
      <x:c r="C5052" s="6" t="str">
        <x:f>IF(B5052="","Needs decision","Ready")</x:f>
        <x:v>Ready</x:v>
      </x:c>
      <x:c r="D5052" s="6" t="str">
        <x:v>去</x:v>
      </x:c>
      <x:c r="E5052" s="6" t="str"/>
      <x:c r="F5052" s="6" t="str">
        <x:v>去聲十五翰</x:v>
      </x:c>
      <x:c r="G5052" s="6" t="str">
        <x:v>Pingshui main list, Wikisource-derived DOCX</x:v>
      </x:c>
      <x:c r="H5052" s="6" t="str"/>
      <x:c r="I5052" s="6" t="str">
        <x:v>Lu Qinli gap fill from Pingshui main list; 詞 entries ignored</x:v>
      </x:c>
      <x:c r="J5052" s="6" t="str">
        <x:f>IF(B5052="","",IF(AND(ISNUMBER(SEARCH("平",B5052)),OR(ISNUMBER(SEARCH("上",B5052)),ISNUMBER(SEARCH("去",B5052)),ISNUMBER(SEARCH("入",B5052)))),"Ambiguous",IF(ISNUMBER(SEARCH("平",B5052)),"平","仄")))</x:f>
        <x:v>仄</x:v>
      </x:c>
      <x:c r="K5052" s="6" t="str">
        <x:f>IF(D5052="","",IF(AND(ISNUMBER(SEARCH("平",D5052)),OR(ISNUMBER(SEARCH("上",D5052)),ISNUMBER(SEARCH("去",D5052)),ISNUMBER(SEARCH("入",D5052)))),"Ambiguous",IF(ISNUMBER(SEARCH("平",D5052)),"平","仄")))</x:f>
        <x:v>仄</x:v>
      </x:c>
      <x:c r="L5052" s="7" t="str">
        <x:v>Pingshui main list, Lu Qinli gap fill</x:v>
      </x:c>
    </x:row>
    <x:row r="5053">
      <x:c r="A5053" s="5" t="str">
        <x:v>嗃</x:v>
      </x:c>
      <x:c r="B5053" s="6" t="str"/>
      <x:c r="C5053" s="6" t="str">
        <x:f>IF(B5053="","Needs decision","Ready")</x:f>
        <x:v>Needs decision</x:v>
      </x:c>
      <x:c r="D5053" s="6" t="str">
        <x:v>平/去/入</x:v>
      </x:c>
      <x:c r="E5053" s="6" t="str"/>
      <x:c r="F5053" s="6" t="str">
        <x:v>下平聲三肴; 去聲十九效; 入聲十藥</x:v>
      </x:c>
      <x:c r="G5053" s="6" t="str">
        <x:v>Pingshui main list, Wikisource-derived DOCX</x:v>
      </x:c>
      <x:c r="H5053" s="6" t="str"/>
      <x:c r="I5053" s="6" t="str">
        <x:v>Lu Qinli gap fill from Pingshui main list; 詞 entries ignored</x:v>
      </x:c>
      <x:c r="J5053" s="6" t="str">
        <x:f>IF(B5053="","",IF(AND(ISNUMBER(SEARCH("平",B5053)),OR(ISNUMBER(SEARCH("上",B5053)),ISNUMBER(SEARCH("去",B5053)),ISNUMBER(SEARCH("入",B5053)))),"Ambiguous",IF(ISNUMBER(SEARCH("平",B5053)),"平","仄")))</x:f>
      </x:c>
      <x:c r="K5053" s="6" t="str">
        <x:f>IF(D5053="","",IF(AND(ISNUMBER(SEARCH("平",D5053)),OR(ISNUMBER(SEARCH("上",D5053)),ISNUMBER(SEARCH("去",D5053)),ISNUMBER(SEARCH("入",D5053)))),"Ambiguous",IF(ISNUMBER(SEARCH("平",D5053)),"平","仄")))</x:f>
        <x:v>Ambiguous</x:v>
      </x:c>
      <x:c r="L5053" s="7" t="str">
        <x:v>Pingshui main list, Lu Qinli gap fill</x:v>
      </x:c>
    </x:row>
    <x:row r="5054">
      <x:c r="A5054" s="5" t="str">
        <x:v>嗉</x:v>
      </x:c>
      <x:c r="B5054" s="6" t="str">
        <x:v>去</x:v>
      </x:c>
      <x:c r="C5054" s="6" t="str">
        <x:f>IF(B5054="","Needs decision","Ready")</x:f>
        <x:v>Ready</x:v>
      </x:c>
      <x:c r="D5054" s="6" t="str">
        <x:v>去</x:v>
      </x:c>
      <x:c r="E5054" s="6" t="str"/>
      <x:c r="F5054" s="6" t="str">
        <x:v>去聲七遇</x:v>
      </x:c>
      <x:c r="G5054" s="6" t="str">
        <x:v>Pingshui main list, Wikisource-derived DOCX</x:v>
      </x:c>
      <x:c r="H5054" s="6" t="str"/>
      <x:c r="I5054" s="6" t="str">
        <x:v>Lu Qinli gap fill from Pingshui main list; 詞 entries ignored</x:v>
      </x:c>
      <x:c r="J5054" s="6" t="str">
        <x:f>IF(B5054="","",IF(AND(ISNUMBER(SEARCH("平",B5054)),OR(ISNUMBER(SEARCH("上",B5054)),ISNUMBER(SEARCH("去",B5054)),ISNUMBER(SEARCH("入",B5054)))),"Ambiguous",IF(ISNUMBER(SEARCH("平",B5054)),"平","仄")))</x:f>
        <x:v>仄</x:v>
      </x:c>
      <x:c r="K5054" s="6" t="str">
        <x:f>IF(D5054="","",IF(AND(ISNUMBER(SEARCH("平",D5054)),OR(ISNUMBER(SEARCH("上",D5054)),ISNUMBER(SEARCH("去",D5054)),ISNUMBER(SEARCH("入",D5054)))),"Ambiguous",IF(ISNUMBER(SEARCH("平",D5054)),"平","仄")))</x:f>
        <x:v>仄</x:v>
      </x:c>
      <x:c r="L5054" s="7" t="str">
        <x:v>Pingshui main list, Lu Qinli gap fill</x:v>
      </x:c>
    </x:row>
    <x:row r="5055">
      <x:c r="A5055" s="5" t="str">
        <x:v>嗑</x:v>
      </x:c>
      <x:c r="B5055" s="6" t="str">
        <x:v>入</x:v>
      </x:c>
      <x:c r="C5055" s="6" t="str">
        <x:f>IF(B5055="","Needs decision","Ready")</x:f>
        <x:v>Ready</x:v>
      </x:c>
      <x:c r="D5055" s="6" t="str">
        <x:v>入</x:v>
      </x:c>
      <x:c r="E5055" s="6" t="str"/>
      <x:c r="F5055" s="6" t="str">
        <x:v>入聲十五合</x:v>
      </x:c>
      <x:c r="G5055" s="6" t="str">
        <x:v>Pingshui main list, Wikisource-derived DOCX</x:v>
      </x:c>
      <x:c r="H5055" s="6" t="str"/>
      <x:c r="I5055" s="6" t="str">
        <x:v>Lu Qinli gap fill from Pingshui main list; 詞 entries ignored</x:v>
      </x:c>
      <x:c r="J5055" s="6" t="str">
        <x:f>IF(B5055="","",IF(AND(ISNUMBER(SEARCH("平",B5055)),OR(ISNUMBER(SEARCH("上",B5055)),ISNUMBER(SEARCH("去",B5055)),ISNUMBER(SEARCH("入",B5055)))),"Ambiguous",IF(ISNUMBER(SEARCH("平",B5055)),"平","仄")))</x:f>
        <x:v>仄</x:v>
      </x:c>
      <x:c r="K5055" s="6" t="str">
        <x:f>IF(D5055="","",IF(AND(ISNUMBER(SEARCH("平",D5055)),OR(ISNUMBER(SEARCH("上",D5055)),ISNUMBER(SEARCH("去",D5055)),ISNUMBER(SEARCH("入",D5055)))),"Ambiguous",IF(ISNUMBER(SEARCH("平",D5055)),"平","仄")))</x:f>
        <x:v>仄</x:v>
      </x:c>
      <x:c r="L5055" s="7" t="str">
        <x:v>Pingshui main list, Lu Qinli gap fill</x:v>
      </x:c>
    </x:row>
    <x:row r="5056">
      <x:c r="A5056" s="5" t="str">
        <x:v>嗥</x:v>
      </x:c>
      <x:c r="B5056" s="6" t="str">
        <x:v>平</x:v>
      </x:c>
      <x:c r="C5056" s="6" t="str">
        <x:f>IF(B5056="","Needs decision","Ready")</x:f>
        <x:v>Ready</x:v>
      </x:c>
      <x:c r="D5056" s="6" t="str">
        <x:v>平</x:v>
      </x:c>
      <x:c r="E5056" s="6" t="str"/>
      <x:c r="F5056" s="6" t="str">
        <x:v>下平聲四豪</x:v>
      </x:c>
      <x:c r="G5056" s="6" t="str">
        <x:v>Pingshui main list, Wikisource-derived DOCX</x:v>
      </x:c>
      <x:c r="H5056" s="6" t="str"/>
      <x:c r="I5056" s="6" t="str">
        <x:v>Lu Qinli gap fill from Pingshui main list; 詞 entries ignored</x:v>
      </x:c>
      <x:c r="J5056" s="6" t="str">
        <x:f>IF(B5056="","",IF(AND(ISNUMBER(SEARCH("平",B5056)),OR(ISNUMBER(SEARCH("上",B5056)),ISNUMBER(SEARCH("去",B5056)),ISNUMBER(SEARCH("入",B5056)))),"Ambiguous",IF(ISNUMBER(SEARCH("平",B5056)),"平","仄")))</x:f>
        <x:v>平</x:v>
      </x:c>
      <x:c r="K5056" s="6" t="str">
        <x:f>IF(D5056="","",IF(AND(ISNUMBER(SEARCH("平",D5056)),OR(ISNUMBER(SEARCH("上",D5056)),ISNUMBER(SEARCH("去",D5056)),ISNUMBER(SEARCH("入",D5056)))),"Ambiguous",IF(ISNUMBER(SEARCH("平",D5056)),"平","仄")))</x:f>
        <x:v>平</x:v>
      </x:c>
      <x:c r="L5056" s="7" t="str">
        <x:v>Pingshui main list, Lu Qinli gap fill</x:v>
      </x:c>
    </x:row>
    <x:row r="5057">
      <x:c r="A5057" s="5" t="str">
        <x:v>嘏</x:v>
      </x:c>
      <x:c r="B5057" s="6" t="str">
        <x:v>上</x:v>
      </x:c>
      <x:c r="C5057" s="6" t="str">
        <x:f>IF(B5057="","Needs decision","Ready")</x:f>
        <x:v>Ready</x:v>
      </x:c>
      <x:c r="D5057" s="6" t="str">
        <x:v>上</x:v>
      </x:c>
      <x:c r="E5057" s="6" t="str"/>
      <x:c r="F5057" s="6" t="str">
        <x:v>上聲二十一馬</x:v>
      </x:c>
      <x:c r="G5057" s="6" t="str">
        <x:v>Pingshui main list, Wikisource-derived DOCX</x:v>
      </x:c>
      <x:c r="H5057" s="6" t="str"/>
      <x:c r="I5057" s="6" t="str">
        <x:v>Lu Qinli gap fill from Pingshui main list; 詞 entries ignored</x:v>
      </x:c>
      <x:c r="J5057" s="6" t="str">
        <x:f>IF(B5057="","",IF(AND(ISNUMBER(SEARCH("平",B5057)),OR(ISNUMBER(SEARCH("上",B5057)),ISNUMBER(SEARCH("去",B5057)),ISNUMBER(SEARCH("入",B5057)))),"Ambiguous",IF(ISNUMBER(SEARCH("平",B5057)),"平","仄")))</x:f>
        <x:v>仄</x:v>
      </x:c>
      <x:c r="K5057" s="6" t="str">
        <x:f>IF(D5057="","",IF(AND(ISNUMBER(SEARCH("平",D5057)),OR(ISNUMBER(SEARCH("上",D5057)),ISNUMBER(SEARCH("去",D5057)),ISNUMBER(SEARCH("入",D5057)))),"Ambiguous",IF(ISNUMBER(SEARCH("平",D5057)),"平","仄")))</x:f>
        <x:v>仄</x:v>
      </x:c>
      <x:c r="L5057" s="7" t="str">
        <x:v>Pingshui main list, Lu Qinli gap fill</x:v>
      </x:c>
    </x:row>
    <x:row r="5058">
      <x:c r="A5058" s="5" t="str">
        <x:v>嘰</x:v>
      </x:c>
      <x:c r="B5058" s="6" t="str">
        <x:v>平</x:v>
      </x:c>
      <x:c r="C5058" s="6" t="str">
        <x:f>IF(B5058="","Needs decision","Ready")</x:f>
        <x:v>Ready</x:v>
      </x:c>
      <x:c r="D5058" s="6" t="str">
        <x:v>平</x:v>
      </x:c>
      <x:c r="E5058" s="6" t="str"/>
      <x:c r="F5058" s="6" t="str">
        <x:v>上平聲五微</x:v>
      </x:c>
      <x:c r="G5058" s="6" t="str">
        <x:v>Pingshui main list, Wikisource-derived DOCX</x:v>
      </x:c>
      <x:c r="H5058" s="6" t="str"/>
      <x:c r="I5058" s="6" t="str">
        <x:v>Lu Qinli gap fill from Pingshui main list; 詞 entries ignored</x:v>
      </x:c>
      <x:c r="J5058" s="6" t="str">
        <x:f>IF(B5058="","",IF(AND(ISNUMBER(SEARCH("平",B5058)),OR(ISNUMBER(SEARCH("上",B5058)),ISNUMBER(SEARCH("去",B5058)),ISNUMBER(SEARCH("入",B5058)))),"Ambiguous",IF(ISNUMBER(SEARCH("平",B5058)),"平","仄")))</x:f>
        <x:v>平</x:v>
      </x:c>
      <x:c r="K5058" s="6" t="str">
        <x:f>IF(D5058="","",IF(AND(ISNUMBER(SEARCH("平",D5058)),OR(ISNUMBER(SEARCH("上",D5058)),ISNUMBER(SEARCH("去",D5058)),ISNUMBER(SEARCH("入",D5058)))),"Ambiguous",IF(ISNUMBER(SEARCH("平",D5058)),"平","仄")))</x:f>
        <x:v>平</x:v>
      </x:c>
      <x:c r="L5058" s="7" t="str">
        <x:v>Pingshui main list, Lu Qinli gap fill</x:v>
      </x:c>
    </x:row>
    <x:row r="5059">
      <x:c r="A5059" s="5" t="str">
        <x:v>嘵</x:v>
      </x:c>
      <x:c r="B5059" s="6" t="str">
        <x:v>平</x:v>
      </x:c>
      <x:c r="C5059" s="6" t="str">
        <x:f>IF(B5059="","Needs decision","Ready")</x:f>
        <x:v>Ready</x:v>
      </x:c>
      <x:c r="D5059" s="6" t="str">
        <x:v>平</x:v>
      </x:c>
      <x:c r="E5059" s="6" t="str"/>
      <x:c r="F5059" s="6" t="str">
        <x:v>下平聲二蕭</x:v>
      </x:c>
      <x:c r="G5059" s="6" t="str">
        <x:v>Pingshui main list, Wikisource-derived DOCX</x:v>
      </x:c>
      <x:c r="H5059" s="6" t="str"/>
      <x:c r="I5059" s="6" t="str">
        <x:v>Lu Qinli gap fill from Pingshui main list; 詞 entries ignored</x:v>
      </x:c>
      <x:c r="J5059" s="6" t="str">
        <x:f>IF(B5059="","",IF(AND(ISNUMBER(SEARCH("平",B5059)),OR(ISNUMBER(SEARCH("上",B5059)),ISNUMBER(SEARCH("去",B5059)),ISNUMBER(SEARCH("入",B5059)))),"Ambiguous",IF(ISNUMBER(SEARCH("平",B5059)),"平","仄")))</x:f>
        <x:v>平</x:v>
      </x:c>
      <x:c r="K5059" s="6" t="str">
        <x:f>IF(D5059="","",IF(AND(ISNUMBER(SEARCH("平",D5059)),OR(ISNUMBER(SEARCH("上",D5059)),ISNUMBER(SEARCH("去",D5059)),ISNUMBER(SEARCH("入",D5059)))),"Ambiguous",IF(ISNUMBER(SEARCH("平",D5059)),"平","仄")))</x:f>
        <x:v>平</x:v>
      </x:c>
      <x:c r="L5059" s="7" t="str">
        <x:v>Pingshui main list, Lu Qinli gap fill</x:v>
      </x:c>
    </x:row>
    <x:row r="5060">
      <x:c r="A5060" s="5" t="str">
        <x:v>嘹</x:v>
      </x:c>
      <x:c r="B5060" s="6" t="str"/>
      <x:c r="C5060" s="6" t="str">
        <x:f>IF(B5060="","Needs decision","Ready")</x:f>
        <x:v>Needs decision</x:v>
      </x:c>
      <x:c r="D5060" s="6" t="str">
        <x:v>平/去</x:v>
      </x:c>
      <x:c r="E5060" s="6" t="str"/>
      <x:c r="F5060" s="6" t="str">
        <x:v>下平聲二蕭; 去聲十八嘯</x:v>
      </x:c>
      <x:c r="G5060" s="6" t="str">
        <x:v>Pingshui main list, Wikisource-derived DOCX</x:v>
      </x:c>
      <x:c r="H5060" s="6" t="str"/>
      <x:c r="I5060" s="6" t="str">
        <x:v>Lu Qinli gap fill from Pingshui main list; 詞 entries ignored</x:v>
      </x:c>
      <x:c r="J5060" s="6" t="str">
        <x:f>IF(B5060="","",IF(AND(ISNUMBER(SEARCH("平",B5060)),OR(ISNUMBER(SEARCH("上",B5060)),ISNUMBER(SEARCH("去",B5060)),ISNUMBER(SEARCH("入",B5060)))),"Ambiguous",IF(ISNUMBER(SEARCH("平",B5060)),"平","仄")))</x:f>
      </x:c>
      <x:c r="K5060" s="6" t="str">
        <x:f>IF(D5060="","",IF(AND(ISNUMBER(SEARCH("平",D5060)),OR(ISNUMBER(SEARCH("上",D5060)),ISNUMBER(SEARCH("去",D5060)),ISNUMBER(SEARCH("入",D5060)))),"Ambiguous",IF(ISNUMBER(SEARCH("平",D5060)),"平","仄")))</x:f>
        <x:v>Ambiguous</x:v>
      </x:c>
      <x:c r="L5060" s="7" t="str">
        <x:v>Pingshui main list, Lu Qinli gap fill</x:v>
      </x:c>
    </x:row>
    <x:row r="5061">
      <x:c r="A5061" s="5" t="str">
        <x:v>嘻</x:v>
      </x:c>
      <x:c r="B5061" s="6" t="str">
        <x:v>平</x:v>
      </x:c>
      <x:c r="C5061" s="6" t="str">
        <x:f>IF(B5061="","Needs decision","Ready")</x:f>
        <x:v>Ready</x:v>
      </x:c>
      <x:c r="D5061" s="6" t="str">
        <x:v>平</x:v>
      </x:c>
      <x:c r="E5061" s="6" t="str"/>
      <x:c r="F5061" s="6" t="str">
        <x:v>上平聲四支</x:v>
      </x:c>
      <x:c r="G5061" s="6" t="str">
        <x:v>Pingshui main list, Wikisource-derived DOCX</x:v>
      </x:c>
      <x:c r="H5061" s="6" t="str"/>
      <x:c r="I5061" s="6" t="str">
        <x:v>Lu Qinli gap fill from Pingshui main list; 詞 entries ignored</x:v>
      </x:c>
      <x:c r="J5061" s="6" t="str">
        <x:f>IF(B5061="","",IF(AND(ISNUMBER(SEARCH("平",B5061)),OR(ISNUMBER(SEARCH("上",B5061)),ISNUMBER(SEARCH("去",B5061)),ISNUMBER(SEARCH("入",B5061)))),"Ambiguous",IF(ISNUMBER(SEARCH("平",B5061)),"平","仄")))</x:f>
        <x:v>平</x:v>
      </x:c>
      <x:c r="K5061" s="6" t="str">
        <x:f>IF(D5061="","",IF(AND(ISNUMBER(SEARCH("平",D5061)),OR(ISNUMBER(SEARCH("上",D5061)),ISNUMBER(SEARCH("去",D5061)),ISNUMBER(SEARCH("入",D5061)))),"Ambiguous",IF(ISNUMBER(SEARCH("平",D5061)),"平","仄")))</x:f>
        <x:v>平</x:v>
      </x:c>
      <x:c r="L5061" s="7" t="str">
        <x:v>Pingshui main list, Lu Qinli gap fill</x:v>
      </x:c>
    </x:row>
    <x:row r="5062">
      <x:c r="A5062" s="5" t="str">
        <x:v>噂</x:v>
      </x:c>
      <x:c r="B5062" s="6" t="str">
        <x:v>上</x:v>
      </x:c>
      <x:c r="C5062" s="6" t="str">
        <x:f>IF(B5062="","Needs decision","Ready")</x:f>
        <x:v>Ready</x:v>
      </x:c>
      <x:c r="D5062" s="6" t="str">
        <x:v>上</x:v>
      </x:c>
      <x:c r="E5062" s="6" t="str"/>
      <x:c r="F5062" s="6" t="str">
        <x:v>上聲十三阮</x:v>
      </x:c>
      <x:c r="G5062" s="6" t="str">
        <x:v>Pingshui main list, Wikisource-derived DOCX</x:v>
      </x:c>
      <x:c r="H5062" s="6" t="str"/>
      <x:c r="I5062" s="6" t="str">
        <x:v>Lu Qinli gap fill from Pingshui main list; 詞 entries ignored</x:v>
      </x:c>
      <x:c r="J5062" s="6" t="str">
        <x:f>IF(B5062="","",IF(AND(ISNUMBER(SEARCH("平",B5062)),OR(ISNUMBER(SEARCH("上",B5062)),ISNUMBER(SEARCH("去",B5062)),ISNUMBER(SEARCH("入",B5062)))),"Ambiguous",IF(ISNUMBER(SEARCH("平",B5062)),"平","仄")))</x:f>
        <x:v>仄</x:v>
      </x:c>
      <x:c r="K5062" s="6" t="str">
        <x:f>IF(D5062="","",IF(AND(ISNUMBER(SEARCH("平",D5062)),OR(ISNUMBER(SEARCH("上",D5062)),ISNUMBER(SEARCH("去",D5062)),ISNUMBER(SEARCH("入",D5062)))),"Ambiguous",IF(ISNUMBER(SEARCH("平",D5062)),"平","仄")))</x:f>
        <x:v>仄</x:v>
      </x:c>
      <x:c r="L5062" s="7" t="str">
        <x:v>Pingshui main list, Lu Qinli gap fill</x:v>
      </x:c>
    </x:row>
    <x:row r="5063">
      <x:c r="A5063" s="5" t="str">
        <x:v>噓</x:v>
      </x:c>
      <x:c r="B5063" s="6" t="str"/>
      <x:c r="C5063" s="6" t="str">
        <x:f>IF(B5063="","Needs decision","Ready")</x:f>
        <x:v>Needs decision</x:v>
      </x:c>
      <x:c r="D5063" s="6" t="str">
        <x:v>平/去</x:v>
      </x:c>
      <x:c r="E5063" s="6" t="str"/>
      <x:c r="F5063" s="6" t="str">
        <x:v>上平聲六魚; 去聲六御</x:v>
      </x:c>
      <x:c r="G5063" s="6" t="str">
        <x:v>Pingshui main list, Wikisource-derived DOCX</x:v>
      </x:c>
      <x:c r="H5063" s="6" t="str"/>
      <x:c r="I5063" s="6" t="str">
        <x:v>Lu Qinli gap fill from Pingshui main list; 詞 entries ignored</x:v>
      </x:c>
      <x:c r="J5063" s="6" t="str">
        <x:f>IF(B5063="","",IF(AND(ISNUMBER(SEARCH("平",B5063)),OR(ISNUMBER(SEARCH("上",B5063)),ISNUMBER(SEARCH("去",B5063)),ISNUMBER(SEARCH("入",B5063)))),"Ambiguous",IF(ISNUMBER(SEARCH("平",B5063)),"平","仄")))</x:f>
      </x:c>
      <x:c r="K5063" s="6" t="str">
        <x:f>IF(D5063="","",IF(AND(ISNUMBER(SEARCH("平",D5063)),OR(ISNUMBER(SEARCH("上",D5063)),ISNUMBER(SEARCH("去",D5063)),ISNUMBER(SEARCH("入",D5063)))),"Ambiguous",IF(ISNUMBER(SEARCH("平",D5063)),"平","仄")))</x:f>
        <x:v>Ambiguous</x:v>
      </x:c>
      <x:c r="L5063" s="7" t="str">
        <x:v>Pingshui main list, Lu Qinli gap fill</x:v>
      </x:c>
    </x:row>
    <x:row r="5064">
      <x:c r="A5064" s="5" t="str">
        <x:v>噞</x:v>
      </x:c>
      <x:c r="B5064" s="6" t="str"/>
      <x:c r="C5064" s="6" t="str">
        <x:f>IF(B5064="","Needs decision","Ready")</x:f>
        <x:v>Needs decision</x:v>
      </x:c>
      <x:c r="D5064" s="6" t="str">
        <x:v>平/去</x:v>
      </x:c>
      <x:c r="E5064" s="6" t="str"/>
      <x:c r="F5064" s="6" t="str">
        <x:v>下平聲十四鹽; 去聲二十九豔</x:v>
      </x:c>
      <x:c r="G5064" s="6" t="str">
        <x:v>Pingshui main list, Wikisource-derived DOCX</x:v>
      </x:c>
      <x:c r="H5064" s="6" t="str"/>
      <x:c r="I5064" s="6" t="str">
        <x:v>Lu Qinli gap fill from Pingshui main list; 詞 entries ignored</x:v>
      </x:c>
      <x:c r="J5064" s="6" t="str">
        <x:f>IF(B5064="","",IF(AND(ISNUMBER(SEARCH("平",B5064)),OR(ISNUMBER(SEARCH("上",B5064)),ISNUMBER(SEARCH("去",B5064)),ISNUMBER(SEARCH("入",B5064)))),"Ambiguous",IF(ISNUMBER(SEARCH("平",B5064)),"平","仄")))</x:f>
      </x:c>
      <x:c r="K5064" s="6" t="str">
        <x:f>IF(D5064="","",IF(AND(ISNUMBER(SEARCH("平",D5064)),OR(ISNUMBER(SEARCH("上",D5064)),ISNUMBER(SEARCH("去",D5064)),ISNUMBER(SEARCH("入",D5064)))),"Ambiguous",IF(ISNUMBER(SEARCH("平",D5064)),"平","仄")))</x:f>
        <x:v>Ambiguous</x:v>
      </x:c>
      <x:c r="L5064" s="7" t="str">
        <x:v>Pingshui main list, Lu Qinli gap fill</x:v>
      </x:c>
    </x:row>
    <x:row r="5065">
      <x:c r="A5065" s="5" t="str">
        <x:v>噣</x:v>
      </x:c>
      <x:c r="B5065" s="6" t="str">
        <x:v>入</x:v>
      </x:c>
      <x:c r="C5065" s="6" t="str">
        <x:f>IF(B5065="","Needs decision","Ready")</x:f>
        <x:v>Ready</x:v>
      </x:c>
      <x:c r="D5065" s="6" t="str">
        <x:v>入</x:v>
      </x:c>
      <x:c r="E5065" s="6" t="str"/>
      <x:c r="F5065" s="6" t="str">
        <x:v>入聲三覺</x:v>
      </x:c>
      <x:c r="G5065" s="6" t="str">
        <x:v>Pingshui main list, Wikisource-derived DOCX</x:v>
      </x:c>
      <x:c r="H5065" s="6" t="str"/>
      <x:c r="I5065" s="6" t="str">
        <x:v>Lu Qinli gap fill from Pingshui main list; 詞 entries ignored</x:v>
      </x:c>
      <x:c r="J5065" s="6" t="str">
        <x:f>IF(B5065="","",IF(AND(ISNUMBER(SEARCH("平",B5065)),OR(ISNUMBER(SEARCH("上",B5065)),ISNUMBER(SEARCH("去",B5065)),ISNUMBER(SEARCH("入",B5065)))),"Ambiguous",IF(ISNUMBER(SEARCH("平",B5065)),"平","仄")))</x:f>
        <x:v>仄</x:v>
      </x:c>
      <x:c r="K5065" s="6" t="str">
        <x:f>IF(D5065="","",IF(AND(ISNUMBER(SEARCH("平",D5065)),OR(ISNUMBER(SEARCH("上",D5065)),ISNUMBER(SEARCH("去",D5065)),ISNUMBER(SEARCH("入",D5065)))),"Ambiguous",IF(ISNUMBER(SEARCH("平",D5065)),"平","仄")))</x:f>
        <x:v>仄</x:v>
      </x:c>
      <x:c r="L5065" s="7" t="str">
        <x:v>Pingshui main list, Lu Qinli gap fill</x:v>
      </x:c>
    </x:row>
    <x:row r="5066">
      <x:c r="A5066" s="5" t="str">
        <x:v>噤</x:v>
      </x:c>
      <x:c r="B5066" s="6" t="str"/>
      <x:c r="C5066" s="6" t="str">
        <x:f>IF(B5066="","Needs decision","Ready")</x:f>
        <x:v>Needs decision</x:v>
      </x:c>
      <x:c r="D5066" s="6" t="str">
        <x:v>上/去</x:v>
      </x:c>
      <x:c r="E5066" s="6" t="str"/>
      <x:c r="F5066" s="6" t="str">
        <x:v>上聲二十六寢; 去聲二十七沁</x:v>
      </x:c>
      <x:c r="G5066" s="6" t="str">
        <x:v>Pingshui main list, Wikisource-derived DOCX</x:v>
      </x:c>
      <x:c r="H5066" s="6" t="str"/>
      <x:c r="I5066" s="6" t="str">
        <x:v>Lu Qinli gap fill from Pingshui main list; 詞 entries ignored</x:v>
      </x:c>
      <x:c r="J5066" s="6" t="str">
        <x:f>IF(B5066="","",IF(AND(ISNUMBER(SEARCH("平",B5066)),OR(ISNUMBER(SEARCH("上",B5066)),ISNUMBER(SEARCH("去",B5066)),ISNUMBER(SEARCH("入",B5066)))),"Ambiguous",IF(ISNUMBER(SEARCH("平",B5066)),"平","仄")))</x:f>
      </x:c>
      <x:c r="K5066" s="6" t="str">
        <x:f>IF(D5066="","",IF(AND(ISNUMBER(SEARCH("平",D5066)),OR(ISNUMBER(SEARCH("上",D5066)),ISNUMBER(SEARCH("去",D5066)),ISNUMBER(SEARCH("入",D5066)))),"Ambiguous",IF(ISNUMBER(SEARCH("平",D5066)),"平","仄")))</x:f>
        <x:v>仄</x:v>
      </x:c>
      <x:c r="L5066" s="7" t="str">
        <x:v>Pingshui main list, Lu Qinli gap fill</x:v>
      </x:c>
    </x:row>
    <x:row r="5067">
      <x:c r="A5067" s="5" t="str">
        <x:v>噦</x:v>
      </x:c>
      <x:c r="B5067" s="6" t="str">
        <x:v>去</x:v>
      </x:c>
      <x:c r="C5067" s="6" t="str">
        <x:f>IF(B5067="","Needs decision","Ready")</x:f>
        <x:v>Ready</x:v>
      </x:c>
      <x:c r="D5067" s="6" t="str">
        <x:v>去</x:v>
      </x:c>
      <x:c r="E5067" s="6" t="str"/>
      <x:c r="F5067" s="6" t="str">
        <x:v>去聲九泰</x:v>
      </x:c>
      <x:c r="G5067" s="6" t="str">
        <x:v>Pingshui main list, Wikisource-derived DOCX</x:v>
      </x:c>
      <x:c r="H5067" s="6" t="str"/>
      <x:c r="I5067" s="6" t="str">
        <x:v>Lu Qinli gap fill from Pingshui main list; 詞 entries ignored</x:v>
      </x:c>
      <x:c r="J5067" s="6" t="str">
        <x:f>IF(B5067="","",IF(AND(ISNUMBER(SEARCH("平",B5067)),OR(ISNUMBER(SEARCH("上",B5067)),ISNUMBER(SEARCH("去",B5067)),ISNUMBER(SEARCH("入",B5067)))),"Ambiguous",IF(ISNUMBER(SEARCH("平",B5067)),"平","仄")))</x:f>
        <x:v>仄</x:v>
      </x:c>
      <x:c r="K5067" s="6" t="str">
        <x:f>IF(D5067="","",IF(AND(ISNUMBER(SEARCH("平",D5067)),OR(ISNUMBER(SEARCH("上",D5067)),ISNUMBER(SEARCH("去",D5067)),ISNUMBER(SEARCH("入",D5067)))),"Ambiguous",IF(ISNUMBER(SEARCH("平",D5067)),"平","仄")))</x:f>
        <x:v>仄</x:v>
      </x:c>
      <x:c r="L5067" s="7" t="str">
        <x:v>Pingshui main list, Lu Qinli gap fill</x:v>
      </x:c>
    </x:row>
    <x:row r="5068">
      <x:c r="A5068" s="5" t="str">
        <x:v>噪</x:v>
      </x:c>
      <x:c r="B5068" s="6" t="str">
        <x:v>去</x:v>
      </x:c>
      <x:c r="C5068" s="6" t="str">
        <x:f>IF(B5068="","Needs decision","Ready")</x:f>
        <x:v>Ready</x:v>
      </x:c>
      <x:c r="D5068" s="6" t="str">
        <x:v>去</x:v>
      </x:c>
      <x:c r="E5068" s="6" t="str"/>
      <x:c r="F5068" s="6" t="str">
        <x:v>去聲二十號</x:v>
      </x:c>
      <x:c r="G5068" s="6" t="str">
        <x:v>Pingshui main list, Wikisource-derived DOCX</x:v>
      </x:c>
      <x:c r="H5068" s="6" t="str"/>
      <x:c r="I5068" s="6" t="str">
        <x:v>Lu Qinli gap fill from Pingshui main list; 詞 entries ignored</x:v>
      </x:c>
      <x:c r="J5068" s="6" t="str">
        <x:f>IF(B5068="","",IF(AND(ISNUMBER(SEARCH("平",B5068)),OR(ISNUMBER(SEARCH("上",B5068)),ISNUMBER(SEARCH("去",B5068)),ISNUMBER(SEARCH("入",B5068)))),"Ambiguous",IF(ISNUMBER(SEARCH("平",B5068)),"平","仄")))</x:f>
        <x:v>仄</x:v>
      </x:c>
      <x:c r="K5068" s="6" t="str">
        <x:f>IF(D5068="","",IF(AND(ISNUMBER(SEARCH("平",D5068)),OR(ISNUMBER(SEARCH("上",D5068)),ISNUMBER(SEARCH("去",D5068)),ISNUMBER(SEARCH("入",D5068)))),"Ambiguous",IF(ISNUMBER(SEARCH("平",D5068)),"平","仄")))</x:f>
        <x:v>仄</x:v>
      </x:c>
      <x:c r="L5068" s="7" t="str">
        <x:v>Pingshui main list, Lu Qinli gap fill</x:v>
      </x:c>
    </x:row>
    <x:row r="5069">
      <x:c r="A5069" s="5" t="str">
        <x:v>噭</x:v>
      </x:c>
      <x:c r="B5069" s="6" t="str">
        <x:v>去</x:v>
      </x:c>
      <x:c r="C5069" s="6" t="str">
        <x:f>IF(B5069="","Needs decision","Ready")</x:f>
        <x:v>Ready</x:v>
      </x:c>
      <x:c r="D5069" s="6" t="str">
        <x:v>去</x:v>
      </x:c>
      <x:c r="E5069" s="6" t="str"/>
      <x:c r="F5069" s="6" t="str">
        <x:v>去聲十八嘯</x:v>
      </x:c>
      <x:c r="G5069" s="6" t="str">
        <x:v>Pingshui main list, Wikisource-derived DOCX</x:v>
      </x:c>
      <x:c r="H5069" s="6" t="str"/>
      <x:c r="I5069" s="6" t="str">
        <x:v>Lu Qinli gap fill from Pingshui main list; 詞 entries ignored</x:v>
      </x:c>
      <x:c r="J5069" s="6" t="str">
        <x:f>IF(B5069="","",IF(AND(ISNUMBER(SEARCH("平",B5069)),OR(ISNUMBER(SEARCH("上",B5069)),ISNUMBER(SEARCH("去",B5069)),ISNUMBER(SEARCH("入",B5069)))),"Ambiguous",IF(ISNUMBER(SEARCH("平",B5069)),"平","仄")))</x:f>
        <x:v>仄</x:v>
      </x:c>
      <x:c r="K5069" s="6" t="str">
        <x:f>IF(D5069="","",IF(AND(ISNUMBER(SEARCH("平",D5069)),OR(ISNUMBER(SEARCH("上",D5069)),ISNUMBER(SEARCH("去",D5069)),ISNUMBER(SEARCH("入",D5069)))),"Ambiguous",IF(ISNUMBER(SEARCH("平",D5069)),"平","仄")))</x:f>
        <x:v>仄</x:v>
      </x:c>
      <x:c r="L5069" s="7" t="str">
        <x:v>Pingshui main list, Lu Qinli gap fill</x:v>
      </x:c>
    </x:row>
    <x:row r="5070">
      <x:c r="A5070" s="5" t="str">
        <x:v>噰</x:v>
      </x:c>
      <x:c r="B5070" s="6" t="str">
        <x:v>平</x:v>
      </x:c>
      <x:c r="C5070" s="6" t="str">
        <x:f>IF(B5070="","Needs decision","Ready")</x:f>
        <x:v>Ready</x:v>
      </x:c>
      <x:c r="D5070" s="6" t="str">
        <x:v>平</x:v>
      </x:c>
      <x:c r="E5070" s="6" t="str"/>
      <x:c r="F5070" s="6" t="str">
        <x:v>上平聲二冬</x:v>
      </x:c>
      <x:c r="G5070" s="6" t="str">
        <x:v>Pingshui main list, Wikisource-derived DOCX</x:v>
      </x:c>
      <x:c r="H5070" s="6" t="str"/>
      <x:c r="I5070" s="6" t="str">
        <x:v>Lu Qinli gap fill from Pingshui main list; 詞 entries ignored</x:v>
      </x:c>
      <x:c r="J5070" s="6" t="str">
        <x:f>IF(B5070="","",IF(AND(ISNUMBER(SEARCH("平",B5070)),OR(ISNUMBER(SEARCH("上",B5070)),ISNUMBER(SEARCH("去",B5070)),ISNUMBER(SEARCH("入",B5070)))),"Ambiguous",IF(ISNUMBER(SEARCH("平",B5070)),"平","仄")))</x:f>
        <x:v>平</x:v>
      </x:c>
      <x:c r="K5070" s="6" t="str">
        <x:f>IF(D5070="","",IF(AND(ISNUMBER(SEARCH("平",D5070)),OR(ISNUMBER(SEARCH("上",D5070)),ISNUMBER(SEARCH("去",D5070)),ISNUMBER(SEARCH("入",D5070)))),"Ambiguous",IF(ISNUMBER(SEARCH("平",D5070)),"平","仄")))</x:f>
        <x:v>平</x:v>
      </x:c>
      <x:c r="L5070" s="7" t="str">
        <x:v>Pingshui main list, Lu Qinli gap fill</x:v>
      </x:c>
    </x:row>
    <x:row r="5071">
      <x:c r="A5071" s="5" t="str">
        <x:v>噱</x:v>
      </x:c>
      <x:c r="B5071" s="6" t="str">
        <x:v>入</x:v>
      </x:c>
      <x:c r="C5071" s="6" t="str">
        <x:f>IF(B5071="","Needs decision","Ready")</x:f>
        <x:v>Ready</x:v>
      </x:c>
      <x:c r="D5071" s="6" t="str">
        <x:v>入</x:v>
      </x:c>
      <x:c r="E5071" s="6" t="str"/>
      <x:c r="F5071" s="6" t="str">
        <x:v>入聲十藥</x:v>
      </x:c>
      <x:c r="G5071" s="6" t="str">
        <x:v>Pingshui main list, Wikisource-derived DOCX</x:v>
      </x:c>
      <x:c r="H5071" s="6" t="str"/>
      <x:c r="I5071" s="6" t="str">
        <x:v>Lu Qinli gap fill from Pingshui main list; 詞 entries ignored</x:v>
      </x:c>
      <x:c r="J5071" s="6" t="str">
        <x:f>IF(B5071="","",IF(AND(ISNUMBER(SEARCH("平",B5071)),OR(ISNUMBER(SEARCH("上",B5071)),ISNUMBER(SEARCH("去",B5071)),ISNUMBER(SEARCH("入",B5071)))),"Ambiguous",IF(ISNUMBER(SEARCH("平",B5071)),"平","仄")))</x:f>
        <x:v>仄</x:v>
      </x:c>
      <x:c r="K5071" s="6" t="str">
        <x:f>IF(D5071="","",IF(AND(ISNUMBER(SEARCH("平",D5071)),OR(ISNUMBER(SEARCH("上",D5071)),ISNUMBER(SEARCH("去",D5071)),ISNUMBER(SEARCH("入",D5071)))),"Ambiguous",IF(ISNUMBER(SEARCH("平",D5071)),"平","仄")))</x:f>
        <x:v>仄</x:v>
      </x:c>
      <x:c r="L5071" s="7" t="str">
        <x:v>Pingshui main list, Lu Qinli gap fill</x:v>
      </x:c>
    </x:row>
    <x:row r="5072">
      <x:c r="A5072" s="5" t="str">
        <x:v>嚥</x:v>
      </x:c>
      <x:c r="B5072" s="6" t="str">
        <x:v>去</x:v>
      </x:c>
      <x:c r="C5072" s="6" t="str">
        <x:f>IF(B5072="","Needs decision","Ready")</x:f>
        <x:v>Ready</x:v>
      </x:c>
      <x:c r="D5072" s="6" t="str">
        <x:v>去</x:v>
      </x:c>
      <x:c r="E5072" s="6" t="str"/>
      <x:c r="F5072" s="6" t="str">
        <x:v>去聲十七霰</x:v>
      </x:c>
      <x:c r="G5072" s="6" t="str">
        <x:v>Pingshui main list, Wikisource-derived DOCX</x:v>
      </x:c>
      <x:c r="H5072" s="6" t="str"/>
      <x:c r="I5072" s="6" t="str">
        <x:v>Lu Qinli gap fill from Pingshui main list; 詞 entries ignored</x:v>
      </x:c>
      <x:c r="J5072" s="6" t="str">
        <x:f>IF(B5072="","",IF(AND(ISNUMBER(SEARCH("平",B5072)),OR(ISNUMBER(SEARCH("上",B5072)),ISNUMBER(SEARCH("去",B5072)),ISNUMBER(SEARCH("入",B5072)))),"Ambiguous",IF(ISNUMBER(SEARCH("平",B5072)),"平","仄")))</x:f>
        <x:v>仄</x:v>
      </x:c>
      <x:c r="K5072" s="6" t="str">
        <x:f>IF(D5072="","",IF(AND(ISNUMBER(SEARCH("平",D5072)),OR(ISNUMBER(SEARCH("上",D5072)),ISNUMBER(SEARCH("去",D5072)),ISNUMBER(SEARCH("入",D5072)))),"Ambiguous",IF(ISNUMBER(SEARCH("平",D5072)),"平","仄")))</x:f>
        <x:v>仄</x:v>
      </x:c>
      <x:c r="L5072" s="7" t="str">
        <x:v>Pingshui main list, Lu Qinli gap fill</x:v>
      </x:c>
    </x:row>
    <x:row r="5073">
      <x:c r="A5073" s="5" t="str">
        <x:v>嚨</x:v>
      </x:c>
      <x:c r="B5073" s="6" t="str">
        <x:v>平</x:v>
      </x:c>
      <x:c r="C5073" s="6" t="str">
        <x:f>IF(B5073="","Needs decision","Ready")</x:f>
        <x:v>Ready</x:v>
      </x:c>
      <x:c r="D5073" s="6" t="str">
        <x:v>平</x:v>
      </x:c>
      <x:c r="E5073" s="6" t="str"/>
      <x:c r="F5073" s="6" t="str">
        <x:v>上平聲一東</x:v>
      </x:c>
      <x:c r="G5073" s="6" t="str">
        <x:v>Pingshui main list, Wikisource-derived DOCX</x:v>
      </x:c>
      <x:c r="H5073" s="6" t="str"/>
      <x:c r="I5073" s="6" t="str">
        <x:v>Lu Qinli gap fill from Pingshui main list; 詞 entries ignored</x:v>
      </x:c>
      <x:c r="J5073" s="6" t="str">
        <x:f>IF(B5073="","",IF(AND(ISNUMBER(SEARCH("平",B5073)),OR(ISNUMBER(SEARCH("上",B5073)),ISNUMBER(SEARCH("去",B5073)),ISNUMBER(SEARCH("入",B5073)))),"Ambiguous",IF(ISNUMBER(SEARCH("平",B5073)),"平","仄")))</x:f>
        <x:v>平</x:v>
      </x:c>
      <x:c r="K5073" s="6" t="str">
        <x:f>IF(D5073="","",IF(AND(ISNUMBER(SEARCH("平",D5073)),OR(ISNUMBER(SEARCH("上",D5073)),ISNUMBER(SEARCH("去",D5073)),ISNUMBER(SEARCH("入",D5073)))),"Ambiguous",IF(ISNUMBER(SEARCH("平",D5073)),"平","仄")))</x:f>
        <x:v>平</x:v>
      </x:c>
      <x:c r="L5073" s="7" t="str">
        <x:v>Pingshui main list, Lu Qinli gap fill</x:v>
      </x:c>
    </x:row>
    <x:row r="5074">
      <x:c r="A5074" s="5" t="str">
        <x:v>嚬</x:v>
      </x:c>
      <x:c r="B5074" s="6" t="str">
        <x:v>平</x:v>
      </x:c>
      <x:c r="C5074" s="6" t="str">
        <x:f>IF(B5074="","Needs decision","Ready")</x:f>
        <x:v>Ready</x:v>
      </x:c>
      <x:c r="D5074" s="6" t="str">
        <x:v>平</x:v>
      </x:c>
      <x:c r="E5074" s="6" t="str"/>
      <x:c r="F5074" s="6" t="str">
        <x:v>上平聲十一真</x:v>
      </x:c>
      <x:c r="G5074" s="6" t="str">
        <x:v>Pingshui main list, Wikisource-derived DOCX</x:v>
      </x:c>
      <x:c r="H5074" s="6" t="str"/>
      <x:c r="I5074" s="6" t="str">
        <x:v>Lu Qinli gap fill from Pingshui main list; 詞 entries ignored</x:v>
      </x:c>
      <x:c r="J5074" s="6" t="str">
        <x:f>IF(B5074="","",IF(AND(ISNUMBER(SEARCH("平",B5074)),OR(ISNUMBER(SEARCH("上",B5074)),ISNUMBER(SEARCH("去",B5074)),ISNUMBER(SEARCH("入",B5074)))),"Ambiguous",IF(ISNUMBER(SEARCH("平",B5074)),"平","仄")))</x:f>
        <x:v>平</x:v>
      </x:c>
      <x:c r="K5074" s="6" t="str">
        <x:f>IF(D5074="","",IF(AND(ISNUMBER(SEARCH("平",D5074)),OR(ISNUMBER(SEARCH("上",D5074)),ISNUMBER(SEARCH("去",D5074)),ISNUMBER(SEARCH("入",D5074)))),"Ambiguous",IF(ISNUMBER(SEARCH("平",D5074)),"平","仄")))</x:f>
        <x:v>平</x:v>
      </x:c>
      <x:c r="L5074" s="7" t="str">
        <x:v>Pingshui main list, Lu Qinli gap fill</x:v>
      </x:c>
    </x:row>
    <x:row r="5075">
      <x:c r="A5075" s="5" t="str">
        <x:v>嚭</x:v>
      </x:c>
      <x:c r="B5075" s="6" t="str">
        <x:v>上</x:v>
      </x:c>
      <x:c r="C5075" s="6" t="str">
        <x:f>IF(B5075="","Needs decision","Ready")</x:f>
        <x:v>Ready</x:v>
      </x:c>
      <x:c r="D5075" s="6" t="str">
        <x:v>上</x:v>
      </x:c>
      <x:c r="E5075" s="6" t="str"/>
      <x:c r="F5075" s="6" t="str">
        <x:v>上聲四紙</x:v>
      </x:c>
      <x:c r="G5075" s="6" t="str">
        <x:v>Pingshui main list, Wikisource-derived DOCX</x:v>
      </x:c>
      <x:c r="H5075" s="6" t="str"/>
      <x:c r="I5075" s="6" t="str">
        <x:v>Lu Qinli gap fill from Pingshui main list; 詞 entries ignored</x:v>
      </x:c>
      <x:c r="J5075" s="6" t="str">
        <x:f>IF(B5075="","",IF(AND(ISNUMBER(SEARCH("平",B5075)),OR(ISNUMBER(SEARCH("上",B5075)),ISNUMBER(SEARCH("去",B5075)),ISNUMBER(SEARCH("入",B5075)))),"Ambiguous",IF(ISNUMBER(SEARCH("平",B5075)),"平","仄")))</x:f>
        <x:v>仄</x:v>
      </x:c>
      <x:c r="K5075" s="6" t="str">
        <x:f>IF(D5075="","",IF(AND(ISNUMBER(SEARCH("平",D5075)),OR(ISNUMBER(SEARCH("上",D5075)),ISNUMBER(SEARCH("去",D5075)),ISNUMBER(SEARCH("入",D5075)))),"Ambiguous",IF(ISNUMBER(SEARCH("平",D5075)),"平","仄")))</x:f>
        <x:v>仄</x:v>
      </x:c>
      <x:c r="L5075" s="7" t="str">
        <x:v>Pingshui main list, Lu Qinli gap fill</x:v>
      </x:c>
    </x:row>
    <x:row r="5076">
      <x:c r="A5076" s="5" t="str">
        <x:v>嚶</x:v>
      </x:c>
      <x:c r="B5076" s="6" t="str">
        <x:v>平</x:v>
      </x:c>
      <x:c r="C5076" s="6" t="str">
        <x:f>IF(B5076="","Needs decision","Ready")</x:f>
        <x:v>Ready</x:v>
      </x:c>
      <x:c r="D5076" s="6" t="str">
        <x:v>平</x:v>
      </x:c>
      <x:c r="E5076" s="6" t="str"/>
      <x:c r="F5076" s="6" t="str">
        <x:v>下平聲八庚</x:v>
      </x:c>
      <x:c r="G5076" s="6" t="str">
        <x:v>Pingshui main list, Wikisource-derived DOCX</x:v>
      </x:c>
      <x:c r="H5076" s="6" t="str"/>
      <x:c r="I5076" s="6" t="str">
        <x:v>Lu Qinli gap fill from Pingshui main list; 詞 entries ignored</x:v>
      </x:c>
      <x:c r="J5076" s="6" t="str">
        <x:f>IF(B5076="","",IF(AND(ISNUMBER(SEARCH("平",B5076)),OR(ISNUMBER(SEARCH("上",B5076)),ISNUMBER(SEARCH("去",B5076)),ISNUMBER(SEARCH("入",B5076)))),"Ambiguous",IF(ISNUMBER(SEARCH("平",B5076)),"平","仄")))</x:f>
        <x:v>平</x:v>
      </x:c>
      <x:c r="K5076" s="6" t="str">
        <x:f>IF(D5076="","",IF(AND(ISNUMBER(SEARCH("平",D5076)),OR(ISNUMBER(SEARCH("上",D5076)),ISNUMBER(SEARCH("去",D5076)),ISNUMBER(SEARCH("入",D5076)))),"Ambiguous",IF(ISNUMBER(SEARCH("平",D5076)),"平","仄")))</x:f>
        <x:v>平</x:v>
      </x:c>
      <x:c r="L5076" s="7" t="str">
        <x:v>Pingshui main list, Lu Qinli gap fill</x:v>
      </x:c>
    </x:row>
    <x:row r="5077">
      <x:c r="A5077" s="5" t="str">
        <x:v>囹</x:v>
      </x:c>
      <x:c r="B5077" s="6" t="str">
        <x:v>平</x:v>
      </x:c>
      <x:c r="C5077" s="6" t="str">
        <x:f>IF(B5077="","Needs decision","Ready")</x:f>
        <x:v>Ready</x:v>
      </x:c>
      <x:c r="D5077" s="6" t="str">
        <x:v>平</x:v>
      </x:c>
      <x:c r="E5077" s="6" t="str"/>
      <x:c r="F5077" s="6" t="str">
        <x:v>下平聲九青</x:v>
      </x:c>
      <x:c r="G5077" s="6" t="str">
        <x:v>Pingshui main list, Wikisource-derived DOCX</x:v>
      </x:c>
      <x:c r="H5077" s="6" t="str"/>
      <x:c r="I5077" s="6" t="str">
        <x:v>Lu Qinli gap fill from Pingshui main list; 詞 entries ignored</x:v>
      </x:c>
      <x:c r="J5077" s="6" t="str">
        <x:f>IF(B5077="","",IF(AND(ISNUMBER(SEARCH("平",B5077)),OR(ISNUMBER(SEARCH("上",B5077)),ISNUMBER(SEARCH("去",B5077)),ISNUMBER(SEARCH("入",B5077)))),"Ambiguous",IF(ISNUMBER(SEARCH("平",B5077)),"平","仄")))</x:f>
        <x:v>平</x:v>
      </x:c>
      <x:c r="K5077" s="6" t="str">
        <x:f>IF(D5077="","",IF(AND(ISNUMBER(SEARCH("平",D5077)),OR(ISNUMBER(SEARCH("上",D5077)),ISNUMBER(SEARCH("去",D5077)),ISNUMBER(SEARCH("入",D5077)))),"Ambiguous",IF(ISNUMBER(SEARCH("平",D5077)),"平","仄")))</x:f>
        <x:v>平</x:v>
      </x:c>
      <x:c r="L5077" s="7" t="str">
        <x:v>Pingshui main list, Lu Qinli gap fill</x:v>
      </x:c>
    </x:row>
    <x:row r="5078">
      <x:c r="A5078" s="5" t="str">
        <x:v>圮</x:v>
      </x:c>
      <x:c r="B5078" s="6" t="str"/>
      <x:c r="C5078" s="6" t="str">
        <x:f>IF(B5078="","Needs decision","Ready")</x:f>
        <x:v>Needs decision</x:v>
      </x:c>
      <x:c r="D5078" s="6" t="str">
        <x:v>平/上</x:v>
      </x:c>
      <x:c r="E5078" s="6" t="str"/>
      <x:c r="F5078" s="6" t="str">
        <x:v>上平聲四支; 上聲四紙</x:v>
      </x:c>
      <x:c r="G5078" s="6" t="str">
        <x:v>Pingshui main list, Wikisource-derived DOCX</x:v>
      </x:c>
      <x:c r="H5078" s="6" t="str"/>
      <x:c r="I5078" s="6" t="str">
        <x:v>Lu Qinli gap fill from Pingshui main list; 詞 entries ignored</x:v>
      </x:c>
      <x:c r="J5078" s="6" t="str">
        <x:f>IF(B5078="","",IF(AND(ISNUMBER(SEARCH("平",B5078)),OR(ISNUMBER(SEARCH("上",B5078)),ISNUMBER(SEARCH("去",B5078)),ISNUMBER(SEARCH("入",B5078)))),"Ambiguous",IF(ISNUMBER(SEARCH("平",B5078)),"平","仄")))</x:f>
      </x:c>
      <x:c r="K5078" s="6" t="str">
        <x:f>IF(D5078="","",IF(AND(ISNUMBER(SEARCH("平",D5078)),OR(ISNUMBER(SEARCH("上",D5078)),ISNUMBER(SEARCH("去",D5078)),ISNUMBER(SEARCH("入",D5078)))),"Ambiguous",IF(ISNUMBER(SEARCH("平",D5078)),"平","仄")))</x:f>
        <x:v>Ambiguous</x:v>
      </x:c>
      <x:c r="L5078" s="7" t="str">
        <x:v>Pingshui main list, Lu Qinli gap fill</x:v>
      </x:c>
    </x:row>
    <x:row r="5079">
      <x:c r="A5079" s="5" t="str">
        <x:v>坷</x:v>
      </x:c>
      <x:c r="B5079" s="6" t="str"/>
      <x:c r="C5079" s="6" t="str">
        <x:f>IF(B5079="","Needs decision","Ready")</x:f>
        <x:v>Needs decision</x:v>
      </x:c>
      <x:c r="D5079" s="6" t="str">
        <x:v>上/去</x:v>
      </x:c>
      <x:c r="E5079" s="6" t="str"/>
      <x:c r="F5079" s="6" t="str">
        <x:v>上聲二十哿; 去聲二十一箇</x:v>
      </x:c>
      <x:c r="G5079" s="6" t="str">
        <x:v>Pingshui main list, Wikisource-derived DOCX</x:v>
      </x:c>
      <x:c r="H5079" s="6" t="str"/>
      <x:c r="I5079" s="6" t="str">
        <x:v>Lu Qinli gap fill from Pingshui main list; 詞 entries ignored</x:v>
      </x:c>
      <x:c r="J5079" s="6" t="str">
        <x:f>IF(B5079="","",IF(AND(ISNUMBER(SEARCH("平",B5079)),OR(ISNUMBER(SEARCH("上",B5079)),ISNUMBER(SEARCH("去",B5079)),ISNUMBER(SEARCH("入",B5079)))),"Ambiguous",IF(ISNUMBER(SEARCH("平",B5079)),"平","仄")))</x:f>
      </x:c>
      <x:c r="K5079" s="6" t="str">
        <x:f>IF(D5079="","",IF(AND(ISNUMBER(SEARCH("平",D5079)),OR(ISNUMBER(SEARCH("上",D5079)),ISNUMBER(SEARCH("去",D5079)),ISNUMBER(SEARCH("入",D5079)))),"Ambiguous",IF(ISNUMBER(SEARCH("平",D5079)),"平","仄")))</x:f>
        <x:v>仄</x:v>
      </x:c>
      <x:c r="L5079" s="7" t="str">
        <x:v>Pingshui main list, Lu Qinli gap fill</x:v>
      </x:c>
    </x:row>
    <x:row r="5080">
      <x:c r="A5080" s="5" t="str">
        <x:v>埆</x:v>
      </x:c>
      <x:c r="B5080" s="6" t="str">
        <x:v>入</x:v>
      </x:c>
      <x:c r="C5080" s="6" t="str">
        <x:f>IF(B5080="","Needs decision","Ready")</x:f>
        <x:v>Ready</x:v>
      </x:c>
      <x:c r="D5080" s="6" t="str">
        <x:v>入</x:v>
      </x:c>
      <x:c r="E5080" s="6" t="str"/>
      <x:c r="F5080" s="6" t="str">
        <x:v>入聲三覺</x:v>
      </x:c>
      <x:c r="G5080" s="6" t="str">
        <x:v>Pingshui main list, Wikisource-derived DOCX</x:v>
      </x:c>
      <x:c r="H5080" s="6" t="str"/>
      <x:c r="I5080" s="6" t="str">
        <x:v>Lu Qinli gap fill from Pingshui main list; 詞 entries ignored</x:v>
      </x:c>
      <x:c r="J5080" s="6" t="str">
        <x:f>IF(B5080="","",IF(AND(ISNUMBER(SEARCH("平",B5080)),OR(ISNUMBER(SEARCH("上",B5080)),ISNUMBER(SEARCH("去",B5080)),ISNUMBER(SEARCH("入",B5080)))),"Ambiguous",IF(ISNUMBER(SEARCH("平",B5080)),"平","仄")))</x:f>
        <x:v>仄</x:v>
      </x:c>
      <x:c r="K5080" s="6" t="str">
        <x:f>IF(D5080="","",IF(AND(ISNUMBER(SEARCH("平",D5080)),OR(ISNUMBER(SEARCH("上",D5080)),ISNUMBER(SEARCH("去",D5080)),ISNUMBER(SEARCH("入",D5080)))),"Ambiguous",IF(ISNUMBER(SEARCH("平",D5080)),"平","仄")))</x:f>
        <x:v>仄</x:v>
      </x:c>
      <x:c r="L5080" s="7" t="str">
        <x:v>Pingshui main list, Lu Qinli gap fill</x:v>
      </x:c>
    </x:row>
    <x:row r="5081">
      <x:c r="A5081" s="5" t="str">
        <x:v>埏</x:v>
      </x:c>
      <x:c r="B5081" s="6" t="str">
        <x:v>平</x:v>
      </x:c>
      <x:c r="C5081" s="6" t="str">
        <x:f>IF(B5081="","Needs decision","Ready")</x:f>
        <x:v>Ready</x:v>
      </x:c>
      <x:c r="D5081" s="6" t="str">
        <x:v>平</x:v>
      </x:c>
      <x:c r="E5081" s="6" t="str"/>
      <x:c r="F5081" s="6" t="str">
        <x:v>下平聲一先</x:v>
      </x:c>
      <x:c r="G5081" s="6" t="str">
        <x:v>Pingshui main list, Wikisource-derived DOCX</x:v>
      </x:c>
      <x:c r="H5081" s="6" t="str"/>
      <x:c r="I5081" s="6" t="str">
        <x:v>Lu Qinli gap fill from Pingshui main list; 詞 entries ignored</x:v>
      </x:c>
      <x:c r="J5081" s="6" t="str">
        <x:f>IF(B5081="","",IF(AND(ISNUMBER(SEARCH("平",B5081)),OR(ISNUMBER(SEARCH("上",B5081)),ISNUMBER(SEARCH("去",B5081)),ISNUMBER(SEARCH("入",B5081)))),"Ambiguous",IF(ISNUMBER(SEARCH("平",B5081)),"平","仄")))</x:f>
        <x:v>平</x:v>
      </x:c>
      <x:c r="K5081" s="6" t="str">
        <x:f>IF(D5081="","",IF(AND(ISNUMBER(SEARCH("平",D5081)),OR(ISNUMBER(SEARCH("上",D5081)),ISNUMBER(SEARCH("去",D5081)),ISNUMBER(SEARCH("入",D5081)))),"Ambiguous",IF(ISNUMBER(SEARCH("平",D5081)),"平","仄")))</x:f>
        <x:v>平</x:v>
      </x:c>
      <x:c r="L5081" s="7" t="str">
        <x:v>Pingshui main list, Lu Qinli gap fill</x:v>
      </x:c>
    </x:row>
    <x:row r="5082">
      <x:c r="A5082" s="5" t="str">
        <x:v>埤</x:v>
      </x:c>
      <x:c r="B5082" s="6" t="str">
        <x:v>平</x:v>
      </x:c>
      <x:c r="C5082" s="6" t="str">
        <x:f>IF(B5082="","Needs decision","Ready")</x:f>
        <x:v>Ready</x:v>
      </x:c>
      <x:c r="D5082" s="6" t="str">
        <x:v>平</x:v>
      </x:c>
      <x:c r="E5082" s="6" t="str"/>
      <x:c r="F5082" s="6" t="str">
        <x:v>上平聲四支</x:v>
      </x:c>
      <x:c r="G5082" s="6" t="str">
        <x:v>Pingshui main list, Wikisource-derived DOCX</x:v>
      </x:c>
      <x:c r="H5082" s="6" t="str"/>
      <x:c r="I5082" s="6" t="str">
        <x:v>Lu Qinli gap fill from Pingshui main list; 詞 entries ignored</x:v>
      </x:c>
      <x:c r="J5082" s="6" t="str">
        <x:f>IF(B5082="","",IF(AND(ISNUMBER(SEARCH("平",B5082)),OR(ISNUMBER(SEARCH("上",B5082)),ISNUMBER(SEARCH("去",B5082)),ISNUMBER(SEARCH("入",B5082)))),"Ambiguous",IF(ISNUMBER(SEARCH("平",B5082)),"平","仄")))</x:f>
        <x:v>平</x:v>
      </x:c>
      <x:c r="K5082" s="6" t="str">
        <x:f>IF(D5082="","",IF(AND(ISNUMBER(SEARCH("平",D5082)),OR(ISNUMBER(SEARCH("上",D5082)),ISNUMBER(SEARCH("去",D5082)),ISNUMBER(SEARCH("入",D5082)))),"Ambiguous",IF(ISNUMBER(SEARCH("平",D5082)),"平","仄")))</x:f>
        <x:v>平</x:v>
      </x:c>
      <x:c r="L5082" s="7" t="str">
        <x:v>Pingshui main list, Lu Qinli gap fill</x:v>
      </x:c>
    </x:row>
    <x:row r="5083">
      <x:c r="A5083" s="5" t="str">
        <x:v>埭</x:v>
      </x:c>
      <x:c r="B5083" s="6" t="str">
        <x:v>去</x:v>
      </x:c>
      <x:c r="C5083" s="6" t="str">
        <x:f>IF(B5083="","Needs decision","Ready")</x:f>
        <x:v>Ready</x:v>
      </x:c>
      <x:c r="D5083" s="6" t="str">
        <x:v>去</x:v>
      </x:c>
      <x:c r="E5083" s="6" t="str"/>
      <x:c r="F5083" s="6" t="str">
        <x:v>去聲十一隊</x:v>
      </x:c>
      <x:c r="G5083" s="6" t="str">
        <x:v>Pingshui main list, Wikisource-derived DOCX</x:v>
      </x:c>
      <x:c r="H5083" s="6" t="str"/>
      <x:c r="I5083" s="6" t="str">
        <x:v>Lu Qinli gap fill from Pingshui main list; 詞 entries ignored</x:v>
      </x:c>
      <x:c r="J5083" s="6" t="str">
        <x:f>IF(B5083="","",IF(AND(ISNUMBER(SEARCH("平",B5083)),OR(ISNUMBER(SEARCH("上",B5083)),ISNUMBER(SEARCH("去",B5083)),ISNUMBER(SEARCH("入",B5083)))),"Ambiguous",IF(ISNUMBER(SEARCH("平",B5083)),"平","仄")))</x:f>
        <x:v>仄</x:v>
      </x:c>
      <x:c r="K5083" s="6" t="str">
        <x:f>IF(D5083="","",IF(AND(ISNUMBER(SEARCH("平",D5083)),OR(ISNUMBER(SEARCH("上",D5083)),ISNUMBER(SEARCH("去",D5083)),ISNUMBER(SEARCH("入",D5083)))),"Ambiguous",IF(ISNUMBER(SEARCH("平",D5083)),"平","仄")))</x:f>
        <x:v>仄</x:v>
      </x:c>
      <x:c r="L5083" s="7" t="str">
        <x:v>Pingshui main list, Lu Qinli gap fill</x:v>
      </x:c>
    </x:row>
    <x:row r="5084">
      <x:c r="A5084" s="5" t="str">
        <x:v>培</x:v>
      </x:c>
      <x:c r="B5084" s="6" t="str"/>
      <x:c r="C5084" s="6" t="str">
        <x:f>IF(B5084="","Needs decision","Ready")</x:f>
        <x:v>Needs decision</x:v>
      </x:c>
      <x:c r="D5084" s="6" t="str">
        <x:v>平/上</x:v>
      </x:c>
      <x:c r="E5084" s="6" t="str"/>
      <x:c r="F5084" s="6" t="str">
        <x:v>上平聲十灰; 上聲二十五有</x:v>
      </x:c>
      <x:c r="G5084" s="6" t="str">
        <x:v>Pingshui main list, Wikisource-derived DOCX</x:v>
      </x:c>
      <x:c r="H5084" s="6" t="str"/>
      <x:c r="I5084" s="6" t="str">
        <x:v>Lu Qinli gap fill from Pingshui main list; 詞 entries ignored</x:v>
      </x:c>
      <x:c r="J5084" s="6" t="str">
        <x:f>IF(B5084="","",IF(AND(ISNUMBER(SEARCH("平",B5084)),OR(ISNUMBER(SEARCH("上",B5084)),ISNUMBER(SEARCH("去",B5084)),ISNUMBER(SEARCH("入",B5084)))),"Ambiguous",IF(ISNUMBER(SEARCH("平",B5084)),"平","仄")))</x:f>
      </x:c>
      <x:c r="K5084" s="6" t="str">
        <x:f>IF(D5084="","",IF(AND(ISNUMBER(SEARCH("平",D5084)),OR(ISNUMBER(SEARCH("上",D5084)),ISNUMBER(SEARCH("去",D5084)),ISNUMBER(SEARCH("入",D5084)))),"Ambiguous",IF(ISNUMBER(SEARCH("平",D5084)),"平","仄")))</x:f>
        <x:v>Ambiguous</x:v>
      </x:c>
      <x:c r="L5084" s="7" t="str">
        <x:v>Pingshui main list, Lu Qinli gap fill</x:v>
      </x:c>
    </x:row>
    <x:row r="5085">
      <x:c r="A5085" s="5" t="str">
        <x:v>埽</x:v>
      </x:c>
      <x:c r="B5085" s="6" t="str"/>
      <x:c r="C5085" s="6" t="str">
        <x:f>IF(B5085="","Needs decision","Ready")</x:f>
        <x:v>Needs decision</x:v>
      </x:c>
      <x:c r="D5085" s="6" t="str">
        <x:v>上/去</x:v>
      </x:c>
      <x:c r="E5085" s="6" t="str"/>
      <x:c r="F5085" s="6" t="str">
        <x:v>上聲十九皓; 去聲二十號</x:v>
      </x:c>
      <x:c r="G5085" s="6" t="str">
        <x:v>Pingshui main list, Wikisource-derived DOCX</x:v>
      </x:c>
      <x:c r="H5085" s="6" t="str"/>
      <x:c r="I5085" s="6" t="str">
        <x:v>Lu Qinli gap fill from Pingshui main list; 詞 entries ignored</x:v>
      </x:c>
      <x:c r="J5085" s="6" t="str">
        <x:f>IF(B5085="","",IF(AND(ISNUMBER(SEARCH("平",B5085)),OR(ISNUMBER(SEARCH("上",B5085)),ISNUMBER(SEARCH("去",B5085)),ISNUMBER(SEARCH("入",B5085)))),"Ambiguous",IF(ISNUMBER(SEARCH("平",B5085)),"平","仄")))</x:f>
      </x:c>
      <x:c r="K5085" s="6" t="str">
        <x:f>IF(D5085="","",IF(AND(ISNUMBER(SEARCH("平",D5085)),OR(ISNUMBER(SEARCH("上",D5085)),ISNUMBER(SEARCH("去",D5085)),ISNUMBER(SEARCH("入",D5085)))),"Ambiguous",IF(ISNUMBER(SEARCH("平",D5085)),"平","仄")))</x:f>
        <x:v>仄</x:v>
      </x:c>
      <x:c r="L5085" s="7" t="str">
        <x:v>Pingshui main list, Lu Qinli gap fill</x:v>
      </x:c>
    </x:row>
    <x:row r="5086">
      <x:c r="A5086" s="5" t="str">
        <x:v>堈</x:v>
      </x:c>
      <x:c r="B5086" s="6" t="str">
        <x:v>平</x:v>
      </x:c>
      <x:c r="C5086" s="6" t="str">
        <x:f>IF(B5086="","Needs decision","Ready")</x:f>
        <x:v>Ready</x:v>
      </x:c>
      <x:c r="D5086" s="6" t="str">
        <x:v>平</x:v>
      </x:c>
      <x:c r="E5086" s="6" t="str"/>
      <x:c r="F5086" s="6" t="str">
        <x:v>下平聲七陽</x:v>
      </x:c>
      <x:c r="G5086" s="6" t="str">
        <x:v>Pingshui main list, Wikisource-derived DOCX</x:v>
      </x:c>
      <x:c r="H5086" s="6" t="str"/>
      <x:c r="I5086" s="6" t="str">
        <x:v>Lu Qinli gap fill from Pingshui main list; 詞 entries ignored</x:v>
      </x:c>
      <x:c r="J5086" s="6" t="str">
        <x:f>IF(B5086="","",IF(AND(ISNUMBER(SEARCH("平",B5086)),OR(ISNUMBER(SEARCH("上",B5086)),ISNUMBER(SEARCH("去",B5086)),ISNUMBER(SEARCH("入",B5086)))),"Ambiguous",IF(ISNUMBER(SEARCH("平",B5086)),"平","仄")))</x:f>
        <x:v>平</x:v>
      </x:c>
      <x:c r="K5086" s="6" t="str">
        <x:f>IF(D5086="","",IF(AND(ISNUMBER(SEARCH("平",D5086)),OR(ISNUMBER(SEARCH("上",D5086)),ISNUMBER(SEARCH("去",D5086)),ISNUMBER(SEARCH("入",D5086)))),"Ambiguous",IF(ISNUMBER(SEARCH("平",D5086)),"平","仄")))</x:f>
        <x:v>平</x:v>
      </x:c>
      <x:c r="L5086" s="7" t="str">
        <x:v>Pingshui main list, Lu Qinli gap fill</x:v>
      </x:c>
    </x:row>
    <x:row r="5087">
      <x:c r="A5087" s="5" t="str">
        <x:v>堙</x:v>
      </x:c>
      <x:c r="B5087" s="6" t="str">
        <x:v>平</x:v>
      </x:c>
      <x:c r="C5087" s="6" t="str">
        <x:f>IF(B5087="","Needs decision","Ready")</x:f>
        <x:v>Ready</x:v>
      </x:c>
      <x:c r="D5087" s="6" t="str">
        <x:v>平</x:v>
      </x:c>
      <x:c r="E5087" s="6" t="str"/>
      <x:c r="F5087" s="6" t="str">
        <x:v>上平聲十一真</x:v>
      </x:c>
      <x:c r="G5087" s="6" t="str">
        <x:v>Pingshui main list, Wikisource-derived DOCX</x:v>
      </x:c>
      <x:c r="H5087" s="6" t="str"/>
      <x:c r="I5087" s="6" t="str">
        <x:v>Lu Qinli gap fill from Pingshui main list; 詞 entries ignored</x:v>
      </x:c>
      <x:c r="J5087" s="6" t="str">
        <x:f>IF(B5087="","",IF(AND(ISNUMBER(SEARCH("平",B5087)),OR(ISNUMBER(SEARCH("上",B5087)),ISNUMBER(SEARCH("去",B5087)),ISNUMBER(SEARCH("入",B5087)))),"Ambiguous",IF(ISNUMBER(SEARCH("平",B5087)),"平","仄")))</x:f>
        <x:v>平</x:v>
      </x:c>
      <x:c r="K5087" s="6" t="str">
        <x:f>IF(D5087="","",IF(AND(ISNUMBER(SEARCH("平",D5087)),OR(ISNUMBER(SEARCH("上",D5087)),ISNUMBER(SEARCH("去",D5087)),ISNUMBER(SEARCH("入",D5087)))),"Ambiguous",IF(ISNUMBER(SEARCH("平",D5087)),"平","仄")))</x:f>
        <x:v>平</x:v>
      </x:c>
      <x:c r="L5087" s="7" t="str">
        <x:v>Pingshui main list, Lu Qinli gap fill</x:v>
      </x:c>
    </x:row>
    <x:row r="5088">
      <x:c r="A5088" s="5" t="str">
        <x:v>堞</x:v>
      </x:c>
      <x:c r="B5088" s="6" t="str">
        <x:v>入</x:v>
      </x:c>
      <x:c r="C5088" s="6" t="str">
        <x:f>IF(B5088="","Needs decision","Ready")</x:f>
        <x:v>Ready</x:v>
      </x:c>
      <x:c r="D5088" s="6" t="str">
        <x:v>入</x:v>
      </x:c>
      <x:c r="E5088" s="6" t="str"/>
      <x:c r="F5088" s="6" t="str">
        <x:v>入聲十六葉</x:v>
      </x:c>
      <x:c r="G5088" s="6" t="str">
        <x:v>Pingshui main list, Wikisource-derived DOCX</x:v>
      </x:c>
      <x:c r="H5088" s="6" t="str"/>
      <x:c r="I5088" s="6" t="str">
        <x:v>Lu Qinli gap fill from Pingshui main list; 詞 entries ignored</x:v>
      </x:c>
      <x:c r="J5088" s="6" t="str">
        <x:f>IF(B5088="","",IF(AND(ISNUMBER(SEARCH("平",B5088)),OR(ISNUMBER(SEARCH("上",B5088)),ISNUMBER(SEARCH("去",B5088)),ISNUMBER(SEARCH("入",B5088)))),"Ambiguous",IF(ISNUMBER(SEARCH("平",B5088)),"平","仄")))</x:f>
        <x:v>仄</x:v>
      </x:c>
      <x:c r="K5088" s="6" t="str">
        <x:f>IF(D5088="","",IF(AND(ISNUMBER(SEARCH("平",D5088)),OR(ISNUMBER(SEARCH("上",D5088)),ISNUMBER(SEARCH("去",D5088)),ISNUMBER(SEARCH("入",D5088)))),"Ambiguous",IF(ISNUMBER(SEARCH("平",D5088)),"平","仄")))</x:f>
        <x:v>仄</x:v>
      </x:c>
      <x:c r="L5088" s="7" t="str">
        <x:v>Pingshui main list, Lu Qinli gap fill</x:v>
      </x:c>
    </x:row>
    <x:row r="5089">
      <x:c r="A5089" s="5" t="str">
        <x:v>堠</x:v>
      </x:c>
      <x:c r="B5089" s="6" t="str">
        <x:v>去</x:v>
      </x:c>
      <x:c r="C5089" s="6" t="str">
        <x:f>IF(B5089="","Needs decision","Ready")</x:f>
        <x:v>Ready</x:v>
      </x:c>
      <x:c r="D5089" s="6" t="str">
        <x:v>去</x:v>
      </x:c>
      <x:c r="E5089" s="6" t="str"/>
      <x:c r="F5089" s="6" t="str">
        <x:v>去聲二十六宥</x:v>
      </x:c>
      <x:c r="G5089" s="6" t="str">
        <x:v>Pingshui main list, Wikisource-derived DOCX</x:v>
      </x:c>
      <x:c r="H5089" s="6" t="str"/>
      <x:c r="I5089" s="6" t="str">
        <x:v>Lu Qinli gap fill from Pingshui main list; 詞 entries ignored</x:v>
      </x:c>
      <x:c r="J5089" s="6" t="str">
        <x:f>IF(B5089="","",IF(AND(ISNUMBER(SEARCH("平",B5089)),OR(ISNUMBER(SEARCH("上",B5089)),ISNUMBER(SEARCH("去",B5089)),ISNUMBER(SEARCH("入",B5089)))),"Ambiguous",IF(ISNUMBER(SEARCH("平",B5089)),"平","仄")))</x:f>
        <x:v>仄</x:v>
      </x:c>
      <x:c r="K5089" s="6" t="str">
        <x:f>IF(D5089="","",IF(AND(ISNUMBER(SEARCH("平",D5089)),OR(ISNUMBER(SEARCH("上",D5089)),ISNUMBER(SEARCH("去",D5089)),ISNUMBER(SEARCH("入",D5089)))),"Ambiguous",IF(ISNUMBER(SEARCH("平",D5089)),"平","仄")))</x:f>
        <x:v>仄</x:v>
      </x:c>
      <x:c r="L5089" s="7" t="str">
        <x:v>Pingshui main list, Lu Qinli gap fill</x:v>
      </x:c>
    </x:row>
    <x:row r="5090">
      <x:c r="A5090" s="5" t="str">
        <x:v>堧</x:v>
      </x:c>
      <x:c r="B5090" s="6" t="str">
        <x:v>平</x:v>
      </x:c>
      <x:c r="C5090" s="6" t="str">
        <x:f>IF(B5090="","Needs decision","Ready")</x:f>
        <x:v>Ready</x:v>
      </x:c>
      <x:c r="D5090" s="6" t="str">
        <x:v>平</x:v>
      </x:c>
      <x:c r="E5090" s="6" t="str"/>
      <x:c r="F5090" s="6" t="str">
        <x:v>下平聲一先</x:v>
      </x:c>
      <x:c r="G5090" s="6" t="str">
        <x:v>Pingshui main list, Wikisource-derived DOCX</x:v>
      </x:c>
      <x:c r="H5090" s="6" t="str"/>
      <x:c r="I5090" s="6" t="str">
        <x:v>Lu Qinli gap fill from Pingshui main list; 詞 entries ignored</x:v>
      </x:c>
      <x:c r="J5090" s="6" t="str">
        <x:f>IF(B5090="","",IF(AND(ISNUMBER(SEARCH("平",B5090)),OR(ISNUMBER(SEARCH("上",B5090)),ISNUMBER(SEARCH("去",B5090)),ISNUMBER(SEARCH("入",B5090)))),"Ambiguous",IF(ISNUMBER(SEARCH("平",B5090)),"平","仄")))</x:f>
        <x:v>平</x:v>
      </x:c>
      <x:c r="K5090" s="6" t="str">
        <x:f>IF(D5090="","",IF(AND(ISNUMBER(SEARCH("平",D5090)),OR(ISNUMBER(SEARCH("上",D5090)),ISNUMBER(SEARCH("去",D5090)),ISNUMBER(SEARCH("入",D5090)))),"Ambiguous",IF(ISNUMBER(SEARCH("平",D5090)),"平","仄")))</x:f>
        <x:v>平</x:v>
      </x:c>
      <x:c r="L5090" s="7" t="str">
        <x:v>Pingshui main list, Lu Qinli gap fill</x:v>
      </x:c>
    </x:row>
    <x:row r="5091">
      <x:c r="A5091" s="5" t="str">
        <x:v>堨</x:v>
      </x:c>
      <x:c r="B5091" s="6" t="str">
        <x:v>入</x:v>
      </x:c>
      <x:c r="C5091" s="6" t="str">
        <x:f>IF(B5091="","Needs decision","Ready")</x:f>
        <x:v>Ready</x:v>
      </x:c>
      <x:c r="D5091" s="6" t="str">
        <x:v>入</x:v>
      </x:c>
      <x:c r="E5091" s="6" t="str"/>
      <x:c r="F5091" s="6" t="str">
        <x:v>入聲六月; 入聲七曷</x:v>
      </x:c>
      <x:c r="G5091" s="6" t="str">
        <x:v>Pingshui main list, Wikisource-derived DOCX</x:v>
      </x:c>
      <x:c r="H5091" s="6" t="str"/>
      <x:c r="I5091" s="6" t="str">
        <x:v>Lu Qinli gap fill from Pingshui main list; 詞 entries ignored</x:v>
      </x:c>
      <x:c r="J5091" s="6" t="str">
        <x:f>IF(B5091="","",IF(AND(ISNUMBER(SEARCH("平",B5091)),OR(ISNUMBER(SEARCH("上",B5091)),ISNUMBER(SEARCH("去",B5091)),ISNUMBER(SEARCH("入",B5091)))),"Ambiguous",IF(ISNUMBER(SEARCH("平",B5091)),"平","仄")))</x:f>
        <x:v>仄</x:v>
      </x:c>
      <x:c r="K5091" s="6" t="str">
        <x:f>IF(D5091="","",IF(AND(ISNUMBER(SEARCH("平",D5091)),OR(ISNUMBER(SEARCH("上",D5091)),ISNUMBER(SEARCH("去",D5091)),ISNUMBER(SEARCH("入",D5091)))),"Ambiguous",IF(ISNUMBER(SEARCH("平",D5091)),"平","仄")))</x:f>
        <x:v>仄</x:v>
      </x:c>
      <x:c r="L5091" s="7" t="str">
        <x:v>Pingshui main list, Lu Qinli gap fill</x:v>
      </x:c>
    </x:row>
    <x:row r="5092">
      <x:c r="A5092" s="5" t="str">
        <x:v>塉</x:v>
      </x:c>
      <x:c r="B5092" s="6" t="str">
        <x:v>入</x:v>
      </x:c>
      <x:c r="C5092" s="6" t="str">
        <x:f>IF(B5092="","Needs decision","Ready")</x:f>
        <x:v>Ready</x:v>
      </x:c>
      <x:c r="D5092" s="6" t="str">
        <x:v>入</x:v>
      </x:c>
      <x:c r="E5092" s="6" t="str"/>
      <x:c r="F5092" s="6" t="str">
        <x:v>入聲十一陌</x:v>
      </x:c>
      <x:c r="G5092" s="6" t="str">
        <x:v>Pingshui main list, Wikisource-derived DOCX</x:v>
      </x:c>
      <x:c r="H5092" s="6" t="str"/>
      <x:c r="I5092" s="6" t="str">
        <x:v>Lu Qinli gap fill from Pingshui main list; 詞 entries ignored</x:v>
      </x:c>
      <x:c r="J5092" s="6" t="str">
        <x:f>IF(B5092="","",IF(AND(ISNUMBER(SEARCH("平",B5092)),OR(ISNUMBER(SEARCH("上",B5092)),ISNUMBER(SEARCH("去",B5092)),ISNUMBER(SEARCH("入",B5092)))),"Ambiguous",IF(ISNUMBER(SEARCH("平",B5092)),"平","仄")))</x:f>
        <x:v>仄</x:v>
      </x:c>
      <x:c r="K5092" s="6" t="str">
        <x:f>IF(D5092="","",IF(AND(ISNUMBER(SEARCH("平",D5092)),OR(ISNUMBER(SEARCH("上",D5092)),ISNUMBER(SEARCH("去",D5092)),ISNUMBER(SEARCH("入",D5092)))),"Ambiguous",IF(ISNUMBER(SEARCH("平",D5092)),"平","仄")))</x:f>
        <x:v>仄</x:v>
      </x:c>
      <x:c r="L5092" s="7" t="str">
        <x:v>Pingshui main list, Lu Qinli gap fill</x:v>
      </x:c>
    </x:row>
    <x:row r="5093">
      <x:c r="A5093" s="5" t="str">
        <x:v>塋</x:v>
      </x:c>
      <x:c r="B5093" s="6" t="str">
        <x:v>平</x:v>
      </x:c>
      <x:c r="C5093" s="6" t="str">
        <x:f>IF(B5093="","Needs decision","Ready")</x:f>
        <x:v>Ready</x:v>
      </x:c>
      <x:c r="D5093" s="6" t="str">
        <x:v>平</x:v>
      </x:c>
      <x:c r="E5093" s="6" t="str"/>
      <x:c r="F5093" s="6" t="str">
        <x:v>下平聲八庚</x:v>
      </x:c>
      <x:c r="G5093" s="6" t="str">
        <x:v>Pingshui main list, Wikisource-derived DOCX</x:v>
      </x:c>
      <x:c r="H5093" s="6" t="str"/>
      <x:c r="I5093" s="6" t="str">
        <x:v>Lu Qinli gap fill from Pingshui main list; 詞 entries ignored</x:v>
      </x:c>
      <x:c r="J5093" s="6" t="str">
        <x:f>IF(B5093="","",IF(AND(ISNUMBER(SEARCH("平",B5093)),OR(ISNUMBER(SEARCH("上",B5093)),ISNUMBER(SEARCH("去",B5093)),ISNUMBER(SEARCH("入",B5093)))),"Ambiguous",IF(ISNUMBER(SEARCH("平",B5093)),"平","仄")))</x:f>
        <x:v>平</x:v>
      </x:c>
      <x:c r="K5093" s="6" t="str">
        <x:f>IF(D5093="","",IF(AND(ISNUMBER(SEARCH("平",D5093)),OR(ISNUMBER(SEARCH("上",D5093)),ISNUMBER(SEARCH("去",D5093)),ISNUMBER(SEARCH("入",D5093)))),"Ambiguous",IF(ISNUMBER(SEARCH("平",D5093)),"平","仄")))</x:f>
        <x:v>平</x:v>
      </x:c>
      <x:c r="L5093" s="7" t="str">
        <x:v>Pingshui main list, Lu Qinli gap fill</x:v>
      </x:c>
    </x:row>
    <x:row r="5094">
      <x:c r="A5094" s="5" t="str">
        <x:v>塒</x:v>
      </x:c>
      <x:c r="B5094" s="6" t="str">
        <x:v>平</x:v>
      </x:c>
      <x:c r="C5094" s="6" t="str">
        <x:f>IF(B5094="","Needs decision","Ready")</x:f>
        <x:v>Ready</x:v>
      </x:c>
      <x:c r="D5094" s="6" t="str">
        <x:v>平</x:v>
      </x:c>
      <x:c r="E5094" s="6" t="str"/>
      <x:c r="F5094" s="6" t="str">
        <x:v>上平聲四支</x:v>
      </x:c>
      <x:c r="G5094" s="6" t="str">
        <x:v>Pingshui main list, Wikisource-derived DOCX</x:v>
      </x:c>
      <x:c r="H5094" s="6" t="str"/>
      <x:c r="I5094" s="6" t="str">
        <x:v>Lu Qinli gap fill from Pingshui main list; 詞 entries ignored</x:v>
      </x:c>
      <x:c r="J5094" s="6" t="str">
        <x:f>IF(B5094="","",IF(AND(ISNUMBER(SEARCH("平",B5094)),OR(ISNUMBER(SEARCH("上",B5094)),ISNUMBER(SEARCH("去",B5094)),ISNUMBER(SEARCH("入",B5094)))),"Ambiguous",IF(ISNUMBER(SEARCH("平",B5094)),"平","仄")))</x:f>
        <x:v>平</x:v>
      </x:c>
      <x:c r="K5094" s="6" t="str">
        <x:f>IF(D5094="","",IF(AND(ISNUMBER(SEARCH("平",D5094)),OR(ISNUMBER(SEARCH("上",D5094)),ISNUMBER(SEARCH("去",D5094)),ISNUMBER(SEARCH("入",D5094)))),"Ambiguous",IF(ISNUMBER(SEARCH("平",D5094)),"平","仄")))</x:f>
        <x:v>平</x:v>
      </x:c>
      <x:c r="L5094" s="7" t="str">
        <x:v>Pingshui main list, Lu Qinli gap fill</x:v>
      </x:c>
    </x:row>
    <x:row r="5095">
      <x:c r="A5095" s="5" t="str">
        <x:v>塾</x:v>
      </x:c>
      <x:c r="B5095" s="6" t="str">
        <x:v>入</x:v>
      </x:c>
      <x:c r="C5095" s="6" t="str">
        <x:f>IF(B5095="","Needs decision","Ready")</x:f>
        <x:v>Ready</x:v>
      </x:c>
      <x:c r="D5095" s="6" t="str">
        <x:v>入</x:v>
      </x:c>
      <x:c r="E5095" s="6" t="str"/>
      <x:c r="F5095" s="6" t="str">
        <x:v>入聲一屋</x:v>
      </x:c>
      <x:c r="G5095" s="6" t="str">
        <x:v>Pingshui main list, Wikisource-derived DOCX</x:v>
      </x:c>
      <x:c r="H5095" s="6" t="str"/>
      <x:c r="I5095" s="6" t="str">
        <x:v>Lu Qinli gap fill from Pingshui main list; 詞 entries ignored</x:v>
      </x:c>
      <x:c r="J5095" s="6" t="str">
        <x:f>IF(B5095="","",IF(AND(ISNUMBER(SEARCH("平",B5095)),OR(ISNUMBER(SEARCH("上",B5095)),ISNUMBER(SEARCH("去",B5095)),ISNUMBER(SEARCH("入",B5095)))),"Ambiguous",IF(ISNUMBER(SEARCH("平",B5095)),"平","仄")))</x:f>
        <x:v>仄</x:v>
      </x:c>
      <x:c r="K5095" s="6" t="str">
        <x:f>IF(D5095="","",IF(AND(ISNUMBER(SEARCH("平",D5095)),OR(ISNUMBER(SEARCH("上",D5095)),ISNUMBER(SEARCH("去",D5095)),ISNUMBER(SEARCH("入",D5095)))),"Ambiguous",IF(ISNUMBER(SEARCH("平",D5095)),"平","仄")))</x:f>
        <x:v>仄</x:v>
      </x:c>
      <x:c r="L5095" s="7" t="str">
        <x:v>Pingshui main list, Lu Qinli gap fill</x:v>
      </x:c>
    </x:row>
    <x:row r="5096">
      <x:c r="A5096" s="5" t="str">
        <x:v>墝</x:v>
      </x:c>
      <x:c r="B5096" s="6" t="str">
        <x:v>平</x:v>
      </x:c>
      <x:c r="C5096" s="6" t="str">
        <x:f>IF(B5096="","Needs decision","Ready")</x:f>
        <x:v>Ready</x:v>
      </x:c>
      <x:c r="D5096" s="6" t="str">
        <x:v>平</x:v>
      </x:c>
      <x:c r="E5096" s="6" t="str"/>
      <x:c r="F5096" s="6" t="str">
        <x:v>下平聲三肴</x:v>
      </x:c>
      <x:c r="G5096" s="6" t="str">
        <x:v>Pingshui main list, Wikisource-derived DOCX</x:v>
      </x:c>
      <x:c r="H5096" s="6" t="str"/>
      <x:c r="I5096" s="6" t="str">
        <x:v>Lu Qinli gap fill from Pingshui main list; 詞 entries ignored</x:v>
      </x:c>
      <x:c r="J5096" s="6" t="str">
        <x:f>IF(B5096="","",IF(AND(ISNUMBER(SEARCH("平",B5096)),OR(ISNUMBER(SEARCH("上",B5096)),ISNUMBER(SEARCH("去",B5096)),ISNUMBER(SEARCH("入",B5096)))),"Ambiguous",IF(ISNUMBER(SEARCH("平",B5096)),"平","仄")))</x:f>
        <x:v>平</x:v>
      </x:c>
      <x:c r="K5096" s="6" t="str">
        <x:f>IF(D5096="","",IF(AND(ISNUMBER(SEARCH("平",D5096)),OR(ISNUMBER(SEARCH("上",D5096)),ISNUMBER(SEARCH("去",D5096)),ISNUMBER(SEARCH("入",D5096)))),"Ambiguous",IF(ISNUMBER(SEARCH("平",D5096)),"平","仄")))</x:f>
        <x:v>平</x:v>
      </x:c>
      <x:c r="L5096" s="7" t="str">
        <x:v>Pingshui main list, Lu Qinli gap fill</x:v>
      </x:c>
    </x:row>
    <x:row r="5097">
      <x:c r="A5097" s="5" t="str">
        <x:v>墱</x:v>
      </x:c>
      <x:c r="B5097" s="6" t="str">
        <x:v>去</x:v>
      </x:c>
      <x:c r="C5097" s="6" t="str">
        <x:f>IF(B5097="","Needs decision","Ready")</x:f>
        <x:v>Ready</x:v>
      </x:c>
      <x:c r="D5097" s="6" t="str">
        <x:v>去</x:v>
      </x:c>
      <x:c r="E5097" s="6" t="str"/>
      <x:c r="F5097" s="6" t="str">
        <x:v>去聲二十五徑</x:v>
      </x:c>
      <x:c r="G5097" s="6" t="str">
        <x:v>Pingshui main list, Wikisource-derived DOCX</x:v>
      </x:c>
      <x:c r="H5097" s="6" t="str"/>
      <x:c r="I5097" s="6" t="str">
        <x:v>Lu Qinli gap fill from Pingshui main list; 詞 entries ignored</x:v>
      </x:c>
      <x:c r="J5097" s="6" t="str">
        <x:f>IF(B5097="","",IF(AND(ISNUMBER(SEARCH("平",B5097)),OR(ISNUMBER(SEARCH("上",B5097)),ISNUMBER(SEARCH("去",B5097)),ISNUMBER(SEARCH("入",B5097)))),"Ambiguous",IF(ISNUMBER(SEARCH("平",B5097)),"平","仄")))</x:f>
        <x:v>仄</x:v>
      </x:c>
      <x:c r="K5097" s="6" t="str">
        <x:f>IF(D5097="","",IF(AND(ISNUMBER(SEARCH("平",D5097)),OR(ISNUMBER(SEARCH("上",D5097)),ISNUMBER(SEARCH("去",D5097)),ISNUMBER(SEARCH("入",D5097)))),"Ambiguous",IF(ISNUMBER(SEARCH("平",D5097)),"平","仄")))</x:f>
        <x:v>仄</x:v>
      </x:c>
      <x:c r="L5097" s="7" t="str">
        <x:v>Pingshui main list, Lu Qinli gap fill</x:v>
      </x:c>
    </x:row>
    <x:row r="5098">
      <x:c r="A5098" s="5" t="str">
        <x:v>墾</x:v>
      </x:c>
      <x:c r="B5098" s="6" t="str">
        <x:v>上</x:v>
      </x:c>
      <x:c r="C5098" s="6" t="str">
        <x:f>IF(B5098="","Needs decision","Ready")</x:f>
        <x:v>Ready</x:v>
      </x:c>
      <x:c r="D5098" s="6" t="str">
        <x:v>上</x:v>
      </x:c>
      <x:c r="E5098" s="6" t="str"/>
      <x:c r="F5098" s="6" t="str">
        <x:v>上聲十三阮</x:v>
      </x:c>
      <x:c r="G5098" s="6" t="str">
        <x:v>Pingshui main list, Wikisource-derived DOCX</x:v>
      </x:c>
      <x:c r="H5098" s="6" t="str"/>
      <x:c r="I5098" s="6" t="str">
        <x:v>Lu Qinli gap fill from Pingshui main list; 詞 entries ignored</x:v>
      </x:c>
      <x:c r="J5098" s="6" t="str">
        <x:f>IF(B5098="","",IF(AND(ISNUMBER(SEARCH("平",B5098)),OR(ISNUMBER(SEARCH("上",B5098)),ISNUMBER(SEARCH("去",B5098)),ISNUMBER(SEARCH("入",B5098)))),"Ambiguous",IF(ISNUMBER(SEARCH("平",B5098)),"平","仄")))</x:f>
        <x:v>仄</x:v>
      </x:c>
      <x:c r="K5098" s="6" t="str">
        <x:f>IF(D5098="","",IF(AND(ISNUMBER(SEARCH("平",D5098)),OR(ISNUMBER(SEARCH("上",D5098)),ISNUMBER(SEARCH("去",D5098)),ISNUMBER(SEARCH("入",D5098)))),"Ambiguous",IF(ISNUMBER(SEARCH("平",D5098)),"平","仄")))</x:f>
        <x:v>仄</x:v>
      </x:c>
      <x:c r="L5098" s="7" t="str">
        <x:v>Pingshui main list, Lu Qinli gap fill</x:v>
      </x:c>
    </x:row>
    <x:row r="5099">
      <x:c r="A5099" s="5" t="str">
        <x:v>壅</x:v>
      </x:c>
      <x:c r="B5099" s="6" t="str"/>
      <x:c r="C5099" s="6" t="str">
        <x:f>IF(B5099="","Needs decision","Ready")</x:f>
        <x:v>Needs decision</x:v>
      </x:c>
      <x:c r="D5099" s="6" t="str">
        <x:v>平/上/去</x:v>
      </x:c>
      <x:c r="E5099" s="6" t="str"/>
      <x:c r="F5099" s="6" t="str">
        <x:v>上平聲二冬; 上聲二腫; 去聲二宋</x:v>
      </x:c>
      <x:c r="G5099" s="6" t="str">
        <x:v>Pingshui main list, Wikisource-derived DOCX</x:v>
      </x:c>
      <x:c r="H5099" s="6" t="str"/>
      <x:c r="I5099" s="6" t="str">
        <x:v>Lu Qinli gap fill from Pingshui main list; 詞 entries ignored</x:v>
      </x:c>
      <x:c r="J5099" s="6" t="str">
        <x:f>IF(B5099="","",IF(AND(ISNUMBER(SEARCH("平",B5099)),OR(ISNUMBER(SEARCH("上",B5099)),ISNUMBER(SEARCH("去",B5099)),ISNUMBER(SEARCH("入",B5099)))),"Ambiguous",IF(ISNUMBER(SEARCH("平",B5099)),"平","仄")))</x:f>
      </x:c>
      <x:c r="K5099" s="6" t="str">
        <x:f>IF(D5099="","",IF(AND(ISNUMBER(SEARCH("平",D5099)),OR(ISNUMBER(SEARCH("上",D5099)),ISNUMBER(SEARCH("去",D5099)),ISNUMBER(SEARCH("入",D5099)))),"Ambiguous",IF(ISNUMBER(SEARCH("平",D5099)),"平","仄")))</x:f>
        <x:v>Ambiguous</x:v>
      </x:c>
      <x:c r="L5099" s="7" t="str">
        <x:v>Pingshui main list, Lu Qinli gap fill</x:v>
      </x:c>
    </x:row>
    <x:row r="5100">
      <x:c r="A5100" s="5" t="str">
        <x:v>壒</x:v>
      </x:c>
      <x:c r="B5100" s="6" t="str">
        <x:v>去</x:v>
      </x:c>
      <x:c r="C5100" s="6" t="str">
        <x:f>IF(B5100="","Needs decision","Ready")</x:f>
        <x:v>Ready</x:v>
      </x:c>
      <x:c r="D5100" s="6" t="str">
        <x:v>去</x:v>
      </x:c>
      <x:c r="E5100" s="6" t="str"/>
      <x:c r="F5100" s="6" t="str">
        <x:v>去聲九泰</x:v>
      </x:c>
      <x:c r="G5100" s="6" t="str">
        <x:v>Pingshui main list, Wikisource-derived DOCX</x:v>
      </x:c>
      <x:c r="H5100" s="6" t="str"/>
      <x:c r="I5100" s="6" t="str">
        <x:v>Lu Qinli gap fill from Pingshui main list; 詞 entries ignored</x:v>
      </x:c>
      <x:c r="J5100" s="6" t="str">
        <x:f>IF(B5100="","",IF(AND(ISNUMBER(SEARCH("平",B5100)),OR(ISNUMBER(SEARCH("上",B5100)),ISNUMBER(SEARCH("去",B5100)),ISNUMBER(SEARCH("入",B5100)))),"Ambiguous",IF(ISNUMBER(SEARCH("平",B5100)),"平","仄")))</x:f>
        <x:v>仄</x:v>
      </x:c>
      <x:c r="K5100" s="6" t="str">
        <x:f>IF(D5100="","",IF(AND(ISNUMBER(SEARCH("平",D5100)),OR(ISNUMBER(SEARCH("上",D5100)),ISNUMBER(SEARCH("去",D5100)),ISNUMBER(SEARCH("入",D5100)))),"Ambiguous",IF(ISNUMBER(SEARCH("平",D5100)),"平","仄")))</x:f>
        <x:v>仄</x:v>
      </x:c>
      <x:c r="L5100" s="7" t="str">
        <x:v>Pingshui main list, Lu Qinli gap fill</x:v>
      </x:c>
    </x:row>
    <x:row r="5101">
      <x:c r="A5101" s="5" t="str">
        <x:v>壚</x:v>
      </x:c>
      <x:c r="B5101" s="6" t="str">
        <x:v>平</x:v>
      </x:c>
      <x:c r="C5101" s="6" t="str">
        <x:f>IF(B5101="","Needs decision","Ready")</x:f>
        <x:v>Ready</x:v>
      </x:c>
      <x:c r="D5101" s="6" t="str">
        <x:v>平</x:v>
      </x:c>
      <x:c r="E5101" s="6" t="str"/>
      <x:c r="F5101" s="6" t="str">
        <x:v>上平聲六魚; 上平聲七虞</x:v>
      </x:c>
      <x:c r="G5101" s="6" t="str">
        <x:v>Pingshui main list, Wikisource-derived DOCX</x:v>
      </x:c>
      <x:c r="H5101" s="6" t="str"/>
      <x:c r="I5101" s="6" t="str">
        <x:v>Lu Qinli gap fill from Pingshui main list; 詞 entries ignored</x:v>
      </x:c>
      <x:c r="J5101" s="6" t="str">
        <x:f>IF(B5101="","",IF(AND(ISNUMBER(SEARCH("平",B5101)),OR(ISNUMBER(SEARCH("上",B5101)),ISNUMBER(SEARCH("去",B5101)),ISNUMBER(SEARCH("入",B5101)))),"Ambiguous",IF(ISNUMBER(SEARCH("平",B5101)),"平","仄")))</x:f>
        <x:v>平</x:v>
      </x:c>
      <x:c r="K5101" s="6" t="str">
        <x:f>IF(D5101="","",IF(AND(ISNUMBER(SEARCH("平",D5101)),OR(ISNUMBER(SEARCH("上",D5101)),ISNUMBER(SEARCH("去",D5101)),ISNUMBER(SEARCH("入",D5101)))),"Ambiguous",IF(ISNUMBER(SEARCH("平",D5101)),"平","仄")))</x:f>
        <x:v>平</x:v>
      </x:c>
      <x:c r="L5101" s="7" t="str">
        <x:v>Pingshui main list, Lu Qinli gap fill</x:v>
      </x:c>
    </x:row>
    <x:row r="5102">
      <x:c r="A5102" s="5" t="str">
        <x:v>壟</x:v>
      </x:c>
      <x:c r="B5102" s="6" t="str">
        <x:v>上</x:v>
      </x:c>
      <x:c r="C5102" s="6" t="str">
        <x:f>IF(B5102="","Needs decision","Ready")</x:f>
        <x:v>Ready</x:v>
      </x:c>
      <x:c r="D5102" s="6" t="str">
        <x:v>上</x:v>
      </x:c>
      <x:c r="E5102" s="6" t="str"/>
      <x:c r="F5102" s="6" t="str">
        <x:v>上聲二腫</x:v>
      </x:c>
      <x:c r="G5102" s="6" t="str">
        <x:v>Pingshui main list, Wikisource-derived DOCX</x:v>
      </x:c>
      <x:c r="H5102" s="6" t="str"/>
      <x:c r="I5102" s="6" t="str">
        <x:v>Lu Qinli gap fill from Pingshui main list; 詞 entries ignored</x:v>
      </x:c>
      <x:c r="J5102" s="6" t="str">
        <x:f>IF(B5102="","",IF(AND(ISNUMBER(SEARCH("平",B5102)),OR(ISNUMBER(SEARCH("上",B5102)),ISNUMBER(SEARCH("去",B5102)),ISNUMBER(SEARCH("入",B5102)))),"Ambiguous",IF(ISNUMBER(SEARCH("平",B5102)),"平","仄")))</x:f>
        <x:v>仄</x:v>
      </x:c>
      <x:c r="K5102" s="6" t="str">
        <x:f>IF(D5102="","",IF(AND(ISNUMBER(SEARCH("平",D5102)),OR(ISNUMBER(SEARCH("上",D5102)),ISNUMBER(SEARCH("去",D5102)),ISNUMBER(SEARCH("入",D5102)))),"Ambiguous",IF(ISNUMBER(SEARCH("平",D5102)),"平","仄")))</x:f>
        <x:v>仄</x:v>
      </x:c>
      <x:c r="L5102" s="7" t="str">
        <x:v>Pingshui main list, Lu Qinli gap fill</x:v>
      </x:c>
    </x:row>
    <x:row r="5103">
      <x:c r="A5103" s="5" t="str">
        <x:v>奎</x:v>
      </x:c>
      <x:c r="B5103" s="6" t="str">
        <x:v>平</x:v>
      </x:c>
      <x:c r="C5103" s="6" t="str">
        <x:f>IF(B5103="","Needs decision","Ready")</x:f>
        <x:v>Ready</x:v>
      </x:c>
      <x:c r="D5103" s="6" t="str">
        <x:v>平</x:v>
      </x:c>
      <x:c r="E5103" s="6" t="str"/>
      <x:c r="F5103" s="6" t="str">
        <x:v>上平聲八齊</x:v>
      </x:c>
      <x:c r="G5103" s="6" t="str">
        <x:v>Pingshui main list, Wikisource-derived DOCX</x:v>
      </x:c>
      <x:c r="H5103" s="6" t="str"/>
      <x:c r="I5103" s="6" t="str">
        <x:v>Lu Qinli gap fill from Pingshui main list; 詞 entries ignored</x:v>
      </x:c>
      <x:c r="J5103" s="6" t="str">
        <x:f>IF(B5103="","",IF(AND(ISNUMBER(SEARCH("平",B5103)),OR(ISNUMBER(SEARCH("上",B5103)),ISNUMBER(SEARCH("去",B5103)),ISNUMBER(SEARCH("入",B5103)))),"Ambiguous",IF(ISNUMBER(SEARCH("平",B5103)),"平","仄")))</x:f>
        <x:v>平</x:v>
      </x:c>
      <x:c r="K5103" s="6" t="str">
        <x:f>IF(D5103="","",IF(AND(ISNUMBER(SEARCH("平",D5103)),OR(ISNUMBER(SEARCH("上",D5103)),ISNUMBER(SEARCH("去",D5103)),ISNUMBER(SEARCH("入",D5103)))),"Ambiguous",IF(ISNUMBER(SEARCH("平",D5103)),"平","仄")))</x:f>
        <x:v>平</x:v>
      </x:c>
      <x:c r="L5103" s="7" t="str">
        <x:v>Pingshui main list, Lu Qinli gap fill</x:v>
      </x:c>
    </x:row>
    <x:row r="5104">
      <x:c r="A5104" s="5" t="str">
        <x:v>奐</x:v>
      </x:c>
      <x:c r="B5104" s="6" t="str">
        <x:v>去</x:v>
      </x:c>
      <x:c r="C5104" s="6" t="str">
        <x:f>IF(B5104="","Needs decision","Ready")</x:f>
        <x:v>Ready</x:v>
      </x:c>
      <x:c r="D5104" s="6" t="str">
        <x:v>去</x:v>
      </x:c>
      <x:c r="E5104" s="6" t="str"/>
      <x:c r="F5104" s="6" t="str">
        <x:v>去聲十五翰</x:v>
      </x:c>
      <x:c r="G5104" s="6" t="str">
        <x:v>Pingshui main list, Wikisource-derived DOCX</x:v>
      </x:c>
      <x:c r="H5104" s="6" t="str"/>
      <x:c r="I5104" s="6" t="str">
        <x:v>Lu Qinli gap fill from Pingshui main list; 詞 entries ignored</x:v>
      </x:c>
      <x:c r="J5104" s="6" t="str">
        <x:f>IF(B5104="","",IF(AND(ISNUMBER(SEARCH("平",B5104)),OR(ISNUMBER(SEARCH("上",B5104)),ISNUMBER(SEARCH("去",B5104)),ISNUMBER(SEARCH("入",B5104)))),"Ambiguous",IF(ISNUMBER(SEARCH("平",B5104)),"平","仄")))</x:f>
        <x:v>仄</x:v>
      </x:c>
      <x:c r="K5104" s="6" t="str">
        <x:f>IF(D5104="","",IF(AND(ISNUMBER(SEARCH("平",D5104)),OR(ISNUMBER(SEARCH("上",D5104)),ISNUMBER(SEARCH("去",D5104)),ISNUMBER(SEARCH("入",D5104)))),"Ambiguous",IF(ISNUMBER(SEARCH("平",D5104)),"平","仄")))</x:f>
        <x:v>仄</x:v>
      </x:c>
      <x:c r="L5104" s="7" t="str">
        <x:v>Pingshui main list, Lu Qinli gap fill</x:v>
      </x:c>
    </x:row>
    <x:row r="5105">
      <x:c r="A5105" s="5" t="str">
        <x:v>奩</x:v>
      </x:c>
      <x:c r="B5105" s="6" t="str">
        <x:v>平</x:v>
      </x:c>
      <x:c r="C5105" s="6" t="str">
        <x:f>IF(B5105="","Needs decision","Ready")</x:f>
        <x:v>Ready</x:v>
      </x:c>
      <x:c r="D5105" s="6" t="str">
        <x:v>平</x:v>
      </x:c>
      <x:c r="E5105" s="6" t="str"/>
      <x:c r="F5105" s="6" t="str">
        <x:v>下平聲十四鹽</x:v>
      </x:c>
      <x:c r="G5105" s="6" t="str">
        <x:v>Pingshui main list, Wikisource-derived DOCX</x:v>
      </x:c>
      <x:c r="H5105" s="6" t="str"/>
      <x:c r="I5105" s="6" t="str">
        <x:v>Lu Qinli gap fill from Pingshui main list; 詞 entries ignored</x:v>
      </x:c>
      <x:c r="J5105" s="6" t="str">
        <x:f>IF(B5105="","",IF(AND(ISNUMBER(SEARCH("平",B5105)),OR(ISNUMBER(SEARCH("上",B5105)),ISNUMBER(SEARCH("去",B5105)),ISNUMBER(SEARCH("入",B5105)))),"Ambiguous",IF(ISNUMBER(SEARCH("平",B5105)),"平","仄")))</x:f>
        <x:v>平</x:v>
      </x:c>
      <x:c r="K5105" s="6" t="str">
        <x:f>IF(D5105="","",IF(AND(ISNUMBER(SEARCH("平",D5105)),OR(ISNUMBER(SEARCH("上",D5105)),ISNUMBER(SEARCH("去",D5105)),ISNUMBER(SEARCH("入",D5105)))),"Ambiguous",IF(ISNUMBER(SEARCH("平",D5105)),"平","仄")))</x:f>
        <x:v>平</x:v>
      </x:c>
      <x:c r="L5105" s="7" t="str">
        <x:v>Pingshui main list, Lu Qinli gap fill</x:v>
      </x:c>
    </x:row>
    <x:row r="5106">
      <x:c r="A5106" s="5" t="str">
        <x:v>奼</x:v>
      </x:c>
      <x:c r="B5106" s="6" t="str"/>
      <x:c r="C5106" s="6" t="str">
        <x:f>IF(B5106="","Needs decision","Ready")</x:f>
        <x:v>Needs decision</x:v>
      </x:c>
      <x:c r="D5106" s="6" t="str">
        <x:v>上/去</x:v>
      </x:c>
      <x:c r="E5106" s="6" t="str"/>
      <x:c r="F5106" s="6" t="str">
        <x:v>上聲二十一馬; 去聲二十二禡</x:v>
      </x:c>
      <x:c r="G5106" s="6" t="str">
        <x:v>Pingshui main list, Wikisource-derived DOCX</x:v>
      </x:c>
      <x:c r="H5106" s="6" t="str"/>
      <x:c r="I5106" s="6" t="str">
        <x:v>Lu Qinli gap fill from Pingshui main list; 詞 entries ignored</x:v>
      </x:c>
      <x:c r="J5106" s="6" t="str">
        <x:f>IF(B5106="","",IF(AND(ISNUMBER(SEARCH("平",B5106)),OR(ISNUMBER(SEARCH("上",B5106)),ISNUMBER(SEARCH("去",B5106)),ISNUMBER(SEARCH("入",B5106)))),"Ambiguous",IF(ISNUMBER(SEARCH("平",B5106)),"平","仄")))</x:f>
      </x:c>
      <x:c r="K5106" s="6" t="str">
        <x:f>IF(D5106="","",IF(AND(ISNUMBER(SEARCH("平",D5106)),OR(ISNUMBER(SEARCH("上",D5106)),ISNUMBER(SEARCH("去",D5106)),ISNUMBER(SEARCH("入",D5106)))),"Ambiguous",IF(ISNUMBER(SEARCH("平",D5106)),"平","仄")))</x:f>
        <x:v>仄</x:v>
      </x:c>
      <x:c r="L5106" s="7" t="str">
        <x:v>Pingshui main list, Lu Qinli gap fill</x:v>
      </x:c>
    </x:row>
    <x:row r="5107">
      <x:c r="A5107" s="5" t="str">
        <x:v>妯</x:v>
      </x:c>
      <x:c r="B5107" s="6" t="str">
        <x:v>平</x:v>
      </x:c>
      <x:c r="C5107" s="6" t="str">
        <x:f>IF(B5107="","Needs decision","Ready")</x:f>
        <x:v>Ready</x:v>
      </x:c>
      <x:c r="D5107" s="6" t="str">
        <x:v>平</x:v>
      </x:c>
      <x:c r="E5107" s="6" t="str"/>
      <x:c r="F5107" s="6" t="str">
        <x:v>下平聲十一尤</x:v>
      </x:c>
      <x:c r="G5107" s="6" t="str">
        <x:v>Pingshui main list, Wikisource-derived DOCX</x:v>
      </x:c>
      <x:c r="H5107" s="6" t="str"/>
      <x:c r="I5107" s="6" t="str">
        <x:v>Lu Qinli gap fill from Pingshui main list; 詞 entries ignored</x:v>
      </x:c>
      <x:c r="J5107" s="6" t="str">
        <x:f>IF(B5107="","",IF(AND(ISNUMBER(SEARCH("平",B5107)),OR(ISNUMBER(SEARCH("上",B5107)),ISNUMBER(SEARCH("去",B5107)),ISNUMBER(SEARCH("入",B5107)))),"Ambiguous",IF(ISNUMBER(SEARCH("平",B5107)),"平","仄")))</x:f>
        <x:v>平</x:v>
      </x:c>
      <x:c r="K5107" s="6" t="str">
        <x:f>IF(D5107="","",IF(AND(ISNUMBER(SEARCH("平",D5107)),OR(ISNUMBER(SEARCH("上",D5107)),ISNUMBER(SEARCH("去",D5107)),ISNUMBER(SEARCH("入",D5107)))),"Ambiguous",IF(ISNUMBER(SEARCH("平",D5107)),"平","仄")))</x:f>
        <x:v>平</x:v>
      </x:c>
      <x:c r="L5107" s="7" t="str">
        <x:v>Pingshui main list, Lu Qinli gap fill</x:v>
      </x:c>
    </x:row>
    <x:row r="5108">
      <x:c r="A5108" s="5" t="str">
        <x:v>姍</x:v>
      </x:c>
      <x:c r="B5108" s="6" t="str">
        <x:v>平</x:v>
      </x:c>
      <x:c r="C5108" s="6" t="str">
        <x:f>IF(B5108="","Needs decision","Ready")</x:f>
        <x:v>Ready</x:v>
      </x:c>
      <x:c r="D5108" s="6" t="str">
        <x:v>平</x:v>
      </x:c>
      <x:c r="E5108" s="6" t="str"/>
      <x:c r="F5108" s="6" t="str">
        <x:v>上平聲十四寒</x:v>
      </x:c>
      <x:c r="G5108" s="6" t="str">
        <x:v>Pingshui main list, Wikisource-derived DOCX</x:v>
      </x:c>
      <x:c r="H5108" s="6" t="str"/>
      <x:c r="I5108" s="6" t="str">
        <x:v>Lu Qinli gap fill from Pingshui main list; 詞 entries ignored</x:v>
      </x:c>
      <x:c r="J5108" s="6" t="str">
        <x:f>IF(B5108="","",IF(AND(ISNUMBER(SEARCH("平",B5108)),OR(ISNUMBER(SEARCH("上",B5108)),ISNUMBER(SEARCH("去",B5108)),ISNUMBER(SEARCH("入",B5108)))),"Ambiguous",IF(ISNUMBER(SEARCH("平",B5108)),"平","仄")))</x:f>
        <x:v>平</x:v>
      </x:c>
      <x:c r="K5108" s="6" t="str">
        <x:f>IF(D5108="","",IF(AND(ISNUMBER(SEARCH("平",D5108)),OR(ISNUMBER(SEARCH("上",D5108)),ISNUMBER(SEARCH("去",D5108)),ISNUMBER(SEARCH("入",D5108)))),"Ambiguous",IF(ISNUMBER(SEARCH("平",D5108)),"平","仄")))</x:f>
        <x:v>平</x:v>
      </x:c>
      <x:c r="L5108" s="7" t="str">
        <x:v>Pingshui main list, Lu Qinli gap fill</x:v>
      </x:c>
    </x:row>
    <x:row r="5109">
      <x:c r="A5109" s="5" t="str">
        <x:v>姒</x:v>
      </x:c>
      <x:c r="B5109" s="6" t="str">
        <x:v>上</x:v>
      </x:c>
      <x:c r="C5109" s="6" t="str">
        <x:f>IF(B5109="","Needs decision","Ready")</x:f>
        <x:v>Ready</x:v>
      </x:c>
      <x:c r="D5109" s="6" t="str">
        <x:v>上</x:v>
      </x:c>
      <x:c r="E5109" s="6" t="str"/>
      <x:c r="F5109" s="6" t="str">
        <x:v>上聲四紙</x:v>
      </x:c>
      <x:c r="G5109" s="6" t="str">
        <x:v>Pingshui main list, Wikisource-derived DOCX</x:v>
      </x:c>
      <x:c r="H5109" s="6" t="str"/>
      <x:c r="I5109" s="6" t="str">
        <x:v>Lu Qinli gap fill from Pingshui main list; 詞 entries ignored</x:v>
      </x:c>
      <x:c r="J5109" s="6" t="str">
        <x:f>IF(B5109="","",IF(AND(ISNUMBER(SEARCH("平",B5109)),OR(ISNUMBER(SEARCH("上",B5109)),ISNUMBER(SEARCH("去",B5109)),ISNUMBER(SEARCH("入",B5109)))),"Ambiguous",IF(ISNUMBER(SEARCH("平",B5109)),"平","仄")))</x:f>
        <x:v>仄</x:v>
      </x:c>
      <x:c r="K5109" s="6" t="str">
        <x:f>IF(D5109="","",IF(AND(ISNUMBER(SEARCH("平",D5109)),OR(ISNUMBER(SEARCH("上",D5109)),ISNUMBER(SEARCH("去",D5109)),ISNUMBER(SEARCH("入",D5109)))),"Ambiguous",IF(ISNUMBER(SEARCH("平",D5109)),"平","仄")))</x:f>
        <x:v>仄</x:v>
      </x:c>
      <x:c r="L5109" s="7" t="str">
        <x:v>Pingshui main list, Lu Qinli gap fill</x:v>
      </x:c>
    </x:row>
    <x:row r="5110">
      <x:c r="A5110" s="5" t="str">
        <x:v>姝</x:v>
      </x:c>
      <x:c r="B5110" s="6" t="str">
        <x:v>平</x:v>
      </x:c>
      <x:c r="C5110" s="6" t="str">
        <x:f>IF(B5110="","Needs decision","Ready")</x:f>
        <x:v>Ready</x:v>
      </x:c>
      <x:c r="D5110" s="6" t="str">
        <x:v>平</x:v>
      </x:c>
      <x:c r="E5110" s="6" t="str"/>
      <x:c r="F5110" s="6" t="str">
        <x:v>上平聲七虞</x:v>
      </x:c>
      <x:c r="G5110" s="6" t="str">
        <x:v>Pingshui main list, Wikisource-derived DOCX</x:v>
      </x:c>
      <x:c r="H5110" s="6" t="str"/>
      <x:c r="I5110" s="6" t="str">
        <x:v>Lu Qinli gap fill from Pingshui main list; 詞 entries ignored</x:v>
      </x:c>
      <x:c r="J5110" s="6" t="str">
        <x:f>IF(B5110="","",IF(AND(ISNUMBER(SEARCH("平",B5110)),OR(ISNUMBER(SEARCH("上",B5110)),ISNUMBER(SEARCH("去",B5110)),ISNUMBER(SEARCH("入",B5110)))),"Ambiguous",IF(ISNUMBER(SEARCH("平",B5110)),"平","仄")))</x:f>
        <x:v>平</x:v>
      </x:c>
      <x:c r="K5110" s="6" t="str">
        <x:f>IF(D5110="","",IF(AND(ISNUMBER(SEARCH("平",D5110)),OR(ISNUMBER(SEARCH("上",D5110)),ISNUMBER(SEARCH("去",D5110)),ISNUMBER(SEARCH("入",D5110)))),"Ambiguous",IF(ISNUMBER(SEARCH("平",D5110)),"平","仄")))</x:f>
        <x:v>平</x:v>
      </x:c>
      <x:c r="L5110" s="7" t="str">
        <x:v>Pingshui main list, Lu Qinli gap fill</x:v>
      </x:c>
    </x:row>
    <x:row r="5111">
      <x:c r="A5111" s="5" t="str">
        <x:v>姤</x:v>
      </x:c>
      <x:c r="B5111" s="6" t="str">
        <x:v>去</x:v>
      </x:c>
      <x:c r="C5111" s="6" t="str">
        <x:f>IF(B5111="","Needs decision","Ready")</x:f>
        <x:v>Ready</x:v>
      </x:c>
      <x:c r="D5111" s="6" t="str">
        <x:v>去</x:v>
      </x:c>
      <x:c r="E5111" s="6" t="str"/>
      <x:c r="F5111" s="6" t="str">
        <x:v>去聲二十六宥</x:v>
      </x:c>
      <x:c r="G5111" s="6" t="str">
        <x:v>Pingshui main list, Wikisource-derived DOCX</x:v>
      </x:c>
      <x:c r="H5111" s="6" t="str"/>
      <x:c r="I5111" s="6" t="str">
        <x:v>Lu Qinli gap fill from Pingshui main list; 詞 entries ignored</x:v>
      </x:c>
      <x:c r="J5111" s="6" t="str">
        <x:f>IF(B5111="","",IF(AND(ISNUMBER(SEARCH("平",B5111)),OR(ISNUMBER(SEARCH("上",B5111)),ISNUMBER(SEARCH("去",B5111)),ISNUMBER(SEARCH("入",B5111)))),"Ambiguous",IF(ISNUMBER(SEARCH("平",B5111)),"平","仄")))</x:f>
        <x:v>仄</x:v>
      </x:c>
      <x:c r="K5111" s="6" t="str">
        <x:f>IF(D5111="","",IF(AND(ISNUMBER(SEARCH("平",D5111)),OR(ISNUMBER(SEARCH("上",D5111)),ISNUMBER(SEARCH("去",D5111)),ISNUMBER(SEARCH("入",D5111)))),"Ambiguous",IF(ISNUMBER(SEARCH("平",D5111)),"平","仄")))</x:f>
        <x:v>仄</x:v>
      </x:c>
      <x:c r="L5111" s="7" t="str">
        <x:v>Pingshui main list, Lu Qinli gap fill</x:v>
      </x:c>
    </x:row>
    <x:row r="5112">
      <x:c r="A5112" s="5" t="str">
        <x:v>姱</x:v>
      </x:c>
      <x:c r="B5112" s="6" t="str">
        <x:v>平</x:v>
      </x:c>
      <x:c r="C5112" s="6" t="str">
        <x:f>IF(B5112="","Needs decision","Ready")</x:f>
        <x:v>Ready</x:v>
      </x:c>
      <x:c r="D5112" s="6" t="str">
        <x:v>平</x:v>
      </x:c>
      <x:c r="E5112" s="6" t="str"/>
      <x:c r="F5112" s="6" t="str">
        <x:v>下平聲六麻</x:v>
      </x:c>
      <x:c r="G5112" s="6" t="str">
        <x:v>Pingshui main list, Wikisource-derived DOCX</x:v>
      </x:c>
      <x:c r="H5112" s="6" t="str"/>
      <x:c r="I5112" s="6" t="str">
        <x:v>Lu Qinli gap fill from Pingshui main list; 詞 entries ignored</x:v>
      </x:c>
      <x:c r="J5112" s="6" t="str">
        <x:f>IF(B5112="","",IF(AND(ISNUMBER(SEARCH("平",B5112)),OR(ISNUMBER(SEARCH("上",B5112)),ISNUMBER(SEARCH("去",B5112)),ISNUMBER(SEARCH("入",B5112)))),"Ambiguous",IF(ISNUMBER(SEARCH("平",B5112)),"平","仄")))</x:f>
        <x:v>平</x:v>
      </x:c>
      <x:c r="K5112" s="6" t="str">
        <x:f>IF(D5112="","",IF(AND(ISNUMBER(SEARCH("平",D5112)),OR(ISNUMBER(SEARCH("上",D5112)),ISNUMBER(SEARCH("去",D5112)),ISNUMBER(SEARCH("入",D5112)))),"Ambiguous",IF(ISNUMBER(SEARCH("平",D5112)),"平","仄")))</x:f>
        <x:v>平</x:v>
      </x:c>
      <x:c r="L5112" s="7" t="str">
        <x:v>Pingshui main list, Lu Qinli gap fill</x:v>
      </x:c>
    </x:row>
    <x:row r="5113">
      <x:c r="A5113" s="5" t="str">
        <x:v>姻</x:v>
      </x:c>
      <x:c r="B5113" s="6" t="str">
        <x:v>平</x:v>
      </x:c>
      <x:c r="C5113" s="6" t="str">
        <x:f>IF(B5113="","Needs decision","Ready")</x:f>
        <x:v>Ready</x:v>
      </x:c>
      <x:c r="D5113" s="6" t="str">
        <x:v>平</x:v>
      </x:c>
      <x:c r="E5113" s="6" t="str"/>
      <x:c r="F5113" s="6" t="str">
        <x:v>上平聲十一真</x:v>
      </x:c>
      <x:c r="G5113" s="6" t="str">
        <x:v>Pingshui main list, Wikisource-derived DOCX</x:v>
      </x:c>
      <x:c r="H5113" s="6" t="str"/>
      <x:c r="I5113" s="6" t="str">
        <x:v>Lu Qinli gap fill from Pingshui main list; 詞 entries ignored</x:v>
      </x:c>
      <x:c r="J5113" s="6" t="str">
        <x:f>IF(B5113="","",IF(AND(ISNUMBER(SEARCH("平",B5113)),OR(ISNUMBER(SEARCH("上",B5113)),ISNUMBER(SEARCH("去",B5113)),ISNUMBER(SEARCH("入",B5113)))),"Ambiguous",IF(ISNUMBER(SEARCH("平",B5113)),"平","仄")))</x:f>
        <x:v>平</x:v>
      </x:c>
      <x:c r="K5113" s="6" t="str">
        <x:f>IF(D5113="","",IF(AND(ISNUMBER(SEARCH("平",D5113)),OR(ISNUMBER(SEARCH("上",D5113)),ISNUMBER(SEARCH("去",D5113)),ISNUMBER(SEARCH("入",D5113)))),"Ambiguous",IF(ISNUMBER(SEARCH("平",D5113)),"平","仄")))</x:f>
        <x:v>平</x:v>
      </x:c>
      <x:c r="L5113" s="7" t="str">
        <x:v>Pingshui main list, Lu Qinli gap fill</x:v>
      </x:c>
    </x:row>
    <x:row r="5114">
      <x:c r="A5114" s="5" t="str">
        <x:v>娃</x:v>
      </x:c>
      <x:c r="B5114" s="6" t="str">
        <x:v>平</x:v>
      </x:c>
      <x:c r="C5114" s="6" t="str">
        <x:f>IF(B5114="","Needs decision","Ready")</x:f>
        <x:v>Ready</x:v>
      </x:c>
      <x:c r="D5114" s="6" t="str">
        <x:v>平</x:v>
      </x:c>
      <x:c r="E5114" s="6" t="str"/>
      <x:c r="F5114" s="6" t="str">
        <x:v>上平聲九佳; 下平聲六麻</x:v>
      </x:c>
      <x:c r="G5114" s="6" t="str">
        <x:v>Pingshui main list, Wikisource-derived DOCX</x:v>
      </x:c>
      <x:c r="H5114" s="6" t="str"/>
      <x:c r="I5114" s="6" t="str">
        <x:v>Lu Qinli gap fill from Pingshui main list; 詞 entries ignored</x:v>
      </x:c>
      <x:c r="J5114" s="6" t="str">
        <x:f>IF(B5114="","",IF(AND(ISNUMBER(SEARCH("平",B5114)),OR(ISNUMBER(SEARCH("上",B5114)),ISNUMBER(SEARCH("去",B5114)),ISNUMBER(SEARCH("入",B5114)))),"Ambiguous",IF(ISNUMBER(SEARCH("平",B5114)),"平","仄")))</x:f>
        <x:v>平</x:v>
      </x:c>
      <x:c r="K5114" s="6" t="str">
        <x:f>IF(D5114="","",IF(AND(ISNUMBER(SEARCH("平",D5114)),OR(ISNUMBER(SEARCH("上",D5114)),ISNUMBER(SEARCH("去",D5114)),ISNUMBER(SEARCH("入",D5114)))),"Ambiguous",IF(ISNUMBER(SEARCH("平",D5114)),"平","仄")))</x:f>
        <x:v>平</x:v>
      </x:c>
      <x:c r="L5114" s="7" t="str">
        <x:v>Pingshui main list, Lu Qinli gap fill</x:v>
      </x:c>
    </x:row>
    <x:row r="5115">
      <x:c r="A5115" s="5" t="str">
        <x:v>娜</x:v>
      </x:c>
      <x:c r="B5115" s="6" t="str">
        <x:v>上</x:v>
      </x:c>
      <x:c r="C5115" s="6" t="str">
        <x:f>IF(B5115="","Needs decision","Ready")</x:f>
        <x:v>Ready</x:v>
      </x:c>
      <x:c r="D5115" s="6" t="str">
        <x:v>上</x:v>
      </x:c>
      <x:c r="E5115" s="6" t="str"/>
      <x:c r="F5115" s="6" t="str">
        <x:v>上聲二十哿</x:v>
      </x:c>
      <x:c r="G5115" s="6" t="str">
        <x:v>Pingshui main list, Wikisource-derived DOCX</x:v>
      </x:c>
      <x:c r="H5115" s="6" t="str"/>
      <x:c r="I5115" s="6" t="str">
        <x:v>Lu Qinli gap fill from Pingshui main list; 詞 entries ignored</x:v>
      </x:c>
      <x:c r="J5115" s="6" t="str">
        <x:f>IF(B5115="","",IF(AND(ISNUMBER(SEARCH("平",B5115)),OR(ISNUMBER(SEARCH("上",B5115)),ISNUMBER(SEARCH("去",B5115)),ISNUMBER(SEARCH("入",B5115)))),"Ambiguous",IF(ISNUMBER(SEARCH("平",B5115)),"平","仄")))</x:f>
        <x:v>仄</x:v>
      </x:c>
      <x:c r="K5115" s="6" t="str">
        <x:f>IF(D5115="","",IF(AND(ISNUMBER(SEARCH("平",D5115)),OR(ISNUMBER(SEARCH("上",D5115)),ISNUMBER(SEARCH("去",D5115)),ISNUMBER(SEARCH("入",D5115)))),"Ambiguous",IF(ISNUMBER(SEARCH("平",D5115)),"平","仄")))</x:f>
        <x:v>仄</x:v>
      </x:c>
      <x:c r="L5115" s="7" t="str">
        <x:v>Pingshui main list, Lu Qinli gap fill</x:v>
      </x:c>
    </x:row>
    <x:row r="5116">
      <x:c r="A5116" s="5" t="str">
        <x:v>娩</x:v>
      </x:c>
      <x:c r="B5116" s="6" t="str">
        <x:v>上</x:v>
      </x:c>
      <x:c r="C5116" s="6" t="str">
        <x:f>IF(B5116="","Needs decision","Ready")</x:f>
        <x:v>Ready</x:v>
      </x:c>
      <x:c r="D5116" s="6" t="str">
        <x:v>上</x:v>
      </x:c>
      <x:c r="E5116" s="6" t="str"/>
      <x:c r="F5116" s="6" t="str">
        <x:v>上聲十三阮</x:v>
      </x:c>
      <x:c r="G5116" s="6" t="str">
        <x:v>Pingshui main list, Wikisource-derived DOCX</x:v>
      </x:c>
      <x:c r="H5116" s="6" t="str"/>
      <x:c r="I5116" s="6" t="str">
        <x:v>Lu Qinli gap fill from Pingshui main list; 詞 entries ignored</x:v>
      </x:c>
      <x:c r="J5116" s="6" t="str">
        <x:f>IF(B5116="","",IF(AND(ISNUMBER(SEARCH("平",B5116)),OR(ISNUMBER(SEARCH("上",B5116)),ISNUMBER(SEARCH("去",B5116)),ISNUMBER(SEARCH("入",B5116)))),"Ambiguous",IF(ISNUMBER(SEARCH("平",B5116)),"平","仄")))</x:f>
        <x:v>仄</x:v>
      </x:c>
      <x:c r="K5116" s="6" t="str">
        <x:f>IF(D5116="","",IF(AND(ISNUMBER(SEARCH("平",D5116)),OR(ISNUMBER(SEARCH("上",D5116)),ISNUMBER(SEARCH("去",D5116)),ISNUMBER(SEARCH("入",D5116)))),"Ambiguous",IF(ISNUMBER(SEARCH("平",D5116)),"平","仄")))</x:f>
        <x:v>仄</x:v>
      </x:c>
      <x:c r="L5116" s="7" t="str">
        <x:v>Pingshui main list, Lu Qinli gap fill</x:v>
      </x:c>
    </x:row>
    <x:row r="5117">
      <x:c r="A5117" s="5" t="str">
        <x:v>娭</x:v>
      </x:c>
      <x:c r="B5117" s="6" t="str">
        <x:v>平</x:v>
      </x:c>
      <x:c r="C5117" s="6" t="str">
        <x:f>IF(B5117="","Needs decision","Ready")</x:f>
        <x:v>Ready</x:v>
      </x:c>
      <x:c r="D5117" s="6" t="str">
        <x:v>平</x:v>
      </x:c>
      <x:c r="E5117" s="6" t="str"/>
      <x:c r="F5117" s="6" t="str">
        <x:v>上平聲四支</x:v>
      </x:c>
      <x:c r="G5117" s="6" t="str">
        <x:v>Pingshui main list, Wikisource-derived DOCX</x:v>
      </x:c>
      <x:c r="H5117" s="6" t="str"/>
      <x:c r="I5117" s="6" t="str">
        <x:v>Lu Qinli gap fill from Pingshui main list; 詞 entries ignored</x:v>
      </x:c>
      <x:c r="J5117" s="6" t="str">
        <x:f>IF(B5117="","",IF(AND(ISNUMBER(SEARCH("平",B5117)),OR(ISNUMBER(SEARCH("上",B5117)),ISNUMBER(SEARCH("去",B5117)),ISNUMBER(SEARCH("入",B5117)))),"Ambiguous",IF(ISNUMBER(SEARCH("平",B5117)),"平","仄")))</x:f>
        <x:v>平</x:v>
      </x:c>
      <x:c r="K5117" s="6" t="str">
        <x:f>IF(D5117="","",IF(AND(ISNUMBER(SEARCH("平",D5117)),OR(ISNUMBER(SEARCH("上",D5117)),ISNUMBER(SEARCH("去",D5117)),ISNUMBER(SEARCH("入",D5117)))),"Ambiguous",IF(ISNUMBER(SEARCH("平",D5117)),"平","仄")))</x:f>
        <x:v>平</x:v>
      </x:c>
      <x:c r="L5117" s="7" t="str">
        <x:v>Pingshui main list, Lu Qinli gap fill</x:v>
      </x:c>
    </x:row>
    <x:row r="5118">
      <x:c r="A5118" s="5" t="str">
        <x:v>娼</x:v>
      </x:c>
      <x:c r="B5118" s="6" t="str">
        <x:v>上</x:v>
      </x:c>
      <x:c r="C5118" s="6" t="str">
        <x:f>IF(B5118="","Needs decision","Ready")</x:f>
        <x:v>Ready</x:v>
      </x:c>
      <x:c r="D5118" s="6" t="str">
        <x:v>上</x:v>
      </x:c>
      <x:c r="E5118" s="6" t="str"/>
      <x:c r="F5118" s="6" t="str">
        <x:v>上聲十九皓</x:v>
      </x:c>
      <x:c r="G5118" s="6" t="str">
        <x:v>Pingshui main list, Wikisource-derived DOCX</x:v>
      </x:c>
      <x:c r="H5118" s="6" t="str"/>
      <x:c r="I5118" s="6" t="str">
        <x:v>Lu Qinli gap fill from Pingshui main list; 詞 entries ignored</x:v>
      </x:c>
      <x:c r="J5118" s="6" t="str">
        <x:f>IF(B5118="","",IF(AND(ISNUMBER(SEARCH("平",B5118)),OR(ISNUMBER(SEARCH("上",B5118)),ISNUMBER(SEARCH("去",B5118)),ISNUMBER(SEARCH("入",B5118)))),"Ambiguous",IF(ISNUMBER(SEARCH("平",B5118)),"平","仄")))</x:f>
        <x:v>仄</x:v>
      </x:c>
      <x:c r="K5118" s="6" t="str">
        <x:f>IF(D5118="","",IF(AND(ISNUMBER(SEARCH("平",D5118)),OR(ISNUMBER(SEARCH("上",D5118)),ISNUMBER(SEARCH("去",D5118)),ISNUMBER(SEARCH("入",D5118)))),"Ambiguous",IF(ISNUMBER(SEARCH("平",D5118)),"平","仄")))</x:f>
        <x:v>仄</x:v>
      </x:c>
      <x:c r="L5118" s="7" t="str">
        <x:v>Pingshui main list, Lu Qinli gap fill</x:v>
      </x:c>
    </x:row>
    <x:row r="5119">
      <x:c r="A5119" s="5" t="str">
        <x:v>婐</x:v>
      </x:c>
      <x:c r="B5119" s="6" t="str">
        <x:v>上</x:v>
      </x:c>
      <x:c r="C5119" s="6" t="str">
        <x:f>IF(B5119="","Needs decision","Ready")</x:f>
        <x:v>Ready</x:v>
      </x:c>
      <x:c r="D5119" s="6" t="str">
        <x:v>上</x:v>
      </x:c>
      <x:c r="E5119" s="6" t="str"/>
      <x:c r="F5119" s="6" t="str">
        <x:v>上聲二十哿</x:v>
      </x:c>
      <x:c r="G5119" s="6" t="str">
        <x:v>Pingshui main list, Wikisource-derived DOCX</x:v>
      </x:c>
      <x:c r="H5119" s="6" t="str"/>
      <x:c r="I5119" s="6" t="str">
        <x:v>Lu Qinli gap fill from Pingshui main list; 詞 entries ignored</x:v>
      </x:c>
      <x:c r="J5119" s="6" t="str">
        <x:f>IF(B5119="","",IF(AND(ISNUMBER(SEARCH("平",B5119)),OR(ISNUMBER(SEARCH("上",B5119)),ISNUMBER(SEARCH("去",B5119)),ISNUMBER(SEARCH("入",B5119)))),"Ambiguous",IF(ISNUMBER(SEARCH("平",B5119)),"平","仄")))</x:f>
        <x:v>仄</x:v>
      </x:c>
      <x:c r="K5119" s="6" t="str">
        <x:f>IF(D5119="","",IF(AND(ISNUMBER(SEARCH("平",D5119)),OR(ISNUMBER(SEARCH("上",D5119)),ISNUMBER(SEARCH("去",D5119)),ISNUMBER(SEARCH("入",D5119)))),"Ambiguous",IF(ISNUMBER(SEARCH("平",D5119)),"平","仄")))</x:f>
        <x:v>仄</x:v>
      </x:c>
      <x:c r="L5119" s="7" t="str">
        <x:v>Pingshui main list, Lu Qinli gap fill</x:v>
      </x:c>
    </x:row>
    <x:row r="5120">
      <x:c r="A5120" s="5" t="str">
        <x:v>婭</x:v>
      </x:c>
      <x:c r="B5120" s="6" t="str">
        <x:v>去</x:v>
      </x:c>
      <x:c r="C5120" s="6" t="str">
        <x:f>IF(B5120="","Needs decision","Ready")</x:f>
        <x:v>Ready</x:v>
      </x:c>
      <x:c r="D5120" s="6" t="str">
        <x:v>去</x:v>
      </x:c>
      <x:c r="E5120" s="6" t="str"/>
      <x:c r="F5120" s="6" t="str">
        <x:v>去聲二十二禡</x:v>
      </x:c>
      <x:c r="G5120" s="6" t="str">
        <x:v>Pingshui main list, Wikisource-derived DOCX</x:v>
      </x:c>
      <x:c r="H5120" s="6" t="str"/>
      <x:c r="I5120" s="6" t="str">
        <x:v>Lu Qinli gap fill from Pingshui main list; 詞 entries ignored</x:v>
      </x:c>
      <x:c r="J5120" s="6" t="str">
        <x:f>IF(B5120="","",IF(AND(ISNUMBER(SEARCH("平",B5120)),OR(ISNUMBER(SEARCH("上",B5120)),ISNUMBER(SEARCH("去",B5120)),ISNUMBER(SEARCH("入",B5120)))),"Ambiguous",IF(ISNUMBER(SEARCH("平",B5120)),"平","仄")))</x:f>
        <x:v>仄</x:v>
      </x:c>
      <x:c r="K5120" s="6" t="str">
        <x:f>IF(D5120="","",IF(AND(ISNUMBER(SEARCH("平",D5120)),OR(ISNUMBER(SEARCH("上",D5120)),ISNUMBER(SEARCH("去",D5120)),ISNUMBER(SEARCH("入",D5120)))),"Ambiguous",IF(ISNUMBER(SEARCH("平",D5120)),"平","仄")))</x:f>
        <x:v>仄</x:v>
      </x:c>
      <x:c r="L5120" s="7" t="str">
        <x:v>Pingshui main list, Lu Qinli gap fill</x:v>
      </x:c>
    </x:row>
    <x:row r="5121">
      <x:c r="A5121" s="5" t="str">
        <x:v>婺</x:v>
      </x:c>
      <x:c r="B5121" s="6" t="str">
        <x:v>去</x:v>
      </x:c>
      <x:c r="C5121" s="6" t="str">
        <x:f>IF(B5121="","Needs decision","Ready")</x:f>
        <x:v>Ready</x:v>
      </x:c>
      <x:c r="D5121" s="6" t="str">
        <x:v>去</x:v>
      </x:c>
      <x:c r="E5121" s="6" t="str"/>
      <x:c r="F5121" s="6" t="str">
        <x:v>去聲七遇</x:v>
      </x:c>
      <x:c r="G5121" s="6" t="str">
        <x:v>Pingshui main list, Wikisource-derived DOCX</x:v>
      </x:c>
      <x:c r="H5121" s="6" t="str"/>
      <x:c r="I5121" s="6" t="str">
        <x:v>Lu Qinli gap fill from Pingshui main list; 詞 entries ignored</x:v>
      </x:c>
      <x:c r="J5121" s="6" t="str">
        <x:f>IF(B5121="","",IF(AND(ISNUMBER(SEARCH("平",B5121)),OR(ISNUMBER(SEARCH("上",B5121)),ISNUMBER(SEARCH("去",B5121)),ISNUMBER(SEARCH("入",B5121)))),"Ambiguous",IF(ISNUMBER(SEARCH("平",B5121)),"平","仄")))</x:f>
        <x:v>仄</x:v>
      </x:c>
      <x:c r="K5121" s="6" t="str">
        <x:f>IF(D5121="","",IF(AND(ISNUMBER(SEARCH("平",D5121)),OR(ISNUMBER(SEARCH("上",D5121)),ISNUMBER(SEARCH("去",D5121)),ISNUMBER(SEARCH("入",D5121)))),"Ambiguous",IF(ISNUMBER(SEARCH("平",D5121)),"平","仄")))</x:f>
        <x:v>仄</x:v>
      </x:c>
      <x:c r="L5121" s="7" t="str">
        <x:v>Pingshui main list, Lu Qinli gap fill</x:v>
      </x:c>
    </x:row>
    <x:row r="5122">
      <x:c r="A5122" s="5" t="str">
        <x:v>婿</x:v>
      </x:c>
      <x:c r="B5122" s="6" t="str">
        <x:v>去</x:v>
      </x:c>
      <x:c r="C5122" s="6" t="str">
        <x:f>IF(B5122="","Needs decision","Ready")</x:f>
        <x:v>Ready</x:v>
      </x:c>
      <x:c r="D5122" s="6" t="str">
        <x:v>去</x:v>
      </x:c>
      <x:c r="E5122" s="6" t="str"/>
      <x:c r="F5122" s="6" t="str">
        <x:v>去聲八霽</x:v>
      </x:c>
      <x:c r="G5122" s="6" t="str">
        <x:v>Pingshui main list, Wikisource-derived DOCX</x:v>
      </x:c>
      <x:c r="H5122" s="6" t="str"/>
      <x:c r="I5122" s="6" t="str">
        <x:v>Lu Qinli gap fill from Pingshui main list; 詞 entries ignored</x:v>
      </x:c>
      <x:c r="J5122" s="6" t="str">
        <x:f>IF(B5122="","",IF(AND(ISNUMBER(SEARCH("平",B5122)),OR(ISNUMBER(SEARCH("上",B5122)),ISNUMBER(SEARCH("去",B5122)),ISNUMBER(SEARCH("入",B5122)))),"Ambiguous",IF(ISNUMBER(SEARCH("平",B5122)),"平","仄")))</x:f>
        <x:v>仄</x:v>
      </x:c>
      <x:c r="K5122" s="6" t="str">
        <x:f>IF(D5122="","",IF(AND(ISNUMBER(SEARCH("平",D5122)),OR(ISNUMBER(SEARCH("上",D5122)),ISNUMBER(SEARCH("去",D5122)),ISNUMBER(SEARCH("入",D5122)))),"Ambiguous",IF(ISNUMBER(SEARCH("平",D5122)),"平","仄")))</x:f>
        <x:v>仄</x:v>
      </x:c>
      <x:c r="L5122" s="7" t="str">
        <x:v>Pingshui main list, Lu Qinli gap fill</x:v>
      </x:c>
    </x:row>
    <x:row r="5123">
      <x:c r="A5123" s="5" t="str">
        <x:v>媞</x:v>
      </x:c>
      <x:c r="B5123" s="6" t="str"/>
      <x:c r="C5123" s="6" t="str">
        <x:f>IF(B5123="","Needs decision","Ready")</x:f>
        <x:v>Needs decision</x:v>
      </x:c>
      <x:c r="D5123" s="6" t="str">
        <x:v>平/上</x:v>
      </x:c>
      <x:c r="E5123" s="6" t="str"/>
      <x:c r="F5123" s="6" t="str">
        <x:v>上平聲八齊; 上聲八薺</x:v>
      </x:c>
      <x:c r="G5123" s="6" t="str">
        <x:v>Pingshui main list, Wikisource-derived DOCX</x:v>
      </x:c>
      <x:c r="H5123" s="6" t="str"/>
      <x:c r="I5123" s="6" t="str">
        <x:v>Lu Qinli gap fill from Pingshui main list; 詞 entries ignored</x:v>
      </x:c>
      <x:c r="J5123" s="6" t="str">
        <x:f>IF(B5123="","",IF(AND(ISNUMBER(SEARCH("平",B5123)),OR(ISNUMBER(SEARCH("上",B5123)),ISNUMBER(SEARCH("去",B5123)),ISNUMBER(SEARCH("入",B5123)))),"Ambiguous",IF(ISNUMBER(SEARCH("平",B5123)),"平","仄")))</x:f>
      </x:c>
      <x:c r="K5123" s="6" t="str">
        <x:f>IF(D5123="","",IF(AND(ISNUMBER(SEARCH("平",D5123)),OR(ISNUMBER(SEARCH("上",D5123)),ISNUMBER(SEARCH("去",D5123)),ISNUMBER(SEARCH("入",D5123)))),"Ambiguous",IF(ISNUMBER(SEARCH("平",D5123)),"平","仄")))</x:f>
        <x:v>Ambiguous</x:v>
      </x:c>
      <x:c r="L5123" s="7" t="str">
        <x:v>Pingshui main list, Lu Qinli gap fill</x:v>
      </x:c>
    </x:row>
    <x:row r="5124">
      <x:c r="A5124" s="5" t="str">
        <x:v>媧</x:v>
      </x:c>
      <x:c r="B5124" s="6" t="str">
        <x:v>平</x:v>
      </x:c>
      <x:c r="C5124" s="6" t="str">
        <x:f>IF(B5124="","Needs decision","Ready")</x:f>
        <x:v>Ready</x:v>
      </x:c>
      <x:c r="D5124" s="6" t="str">
        <x:v>平</x:v>
      </x:c>
      <x:c r="E5124" s="6" t="str"/>
      <x:c r="F5124" s="6" t="str">
        <x:v>上平聲九佳; 下平聲六麻</x:v>
      </x:c>
      <x:c r="G5124" s="6" t="str">
        <x:v>Pingshui main list, Wikisource-derived DOCX</x:v>
      </x:c>
      <x:c r="H5124" s="6" t="str"/>
      <x:c r="I5124" s="6" t="str">
        <x:v>Lu Qinli gap fill from Pingshui main list; 詞 entries ignored</x:v>
      </x:c>
      <x:c r="J5124" s="6" t="str">
        <x:f>IF(B5124="","",IF(AND(ISNUMBER(SEARCH("平",B5124)),OR(ISNUMBER(SEARCH("上",B5124)),ISNUMBER(SEARCH("去",B5124)),ISNUMBER(SEARCH("入",B5124)))),"Ambiguous",IF(ISNUMBER(SEARCH("平",B5124)),"平","仄")))</x:f>
        <x:v>平</x:v>
      </x:c>
      <x:c r="K5124" s="6" t="str">
        <x:f>IF(D5124="","",IF(AND(ISNUMBER(SEARCH("平",D5124)),OR(ISNUMBER(SEARCH("上",D5124)),ISNUMBER(SEARCH("去",D5124)),ISNUMBER(SEARCH("入",D5124)))),"Ambiguous",IF(ISNUMBER(SEARCH("平",D5124)),"平","仄")))</x:f>
        <x:v>平</x:v>
      </x:c>
      <x:c r="L5124" s="7" t="str">
        <x:v>Pingshui main list, Lu Qinli gap fill</x:v>
      </x:c>
    </x:row>
    <x:row r="5125">
      <x:c r="A5125" s="5" t="str">
        <x:v>媮</x:v>
      </x:c>
      <x:c r="B5125" s="6" t="str">
        <x:v>平</x:v>
      </x:c>
      <x:c r="C5125" s="6" t="str">
        <x:f>IF(B5125="","Needs decision","Ready")</x:f>
        <x:v>Ready</x:v>
      </x:c>
      <x:c r="D5125" s="6" t="str">
        <x:v>平</x:v>
      </x:c>
      <x:c r="E5125" s="6" t="str"/>
      <x:c r="F5125" s="6" t="str">
        <x:v>下平聲十一尤</x:v>
      </x:c>
      <x:c r="G5125" s="6" t="str">
        <x:v>Pingshui main list, Wikisource-derived DOCX</x:v>
      </x:c>
      <x:c r="H5125" s="6" t="str"/>
      <x:c r="I5125" s="6" t="str">
        <x:v>Lu Qinli gap fill from Pingshui main list; 詞 entries ignored</x:v>
      </x:c>
      <x:c r="J5125" s="6" t="str">
        <x:f>IF(B5125="","",IF(AND(ISNUMBER(SEARCH("平",B5125)),OR(ISNUMBER(SEARCH("上",B5125)),ISNUMBER(SEARCH("去",B5125)),ISNUMBER(SEARCH("入",B5125)))),"Ambiguous",IF(ISNUMBER(SEARCH("平",B5125)),"平","仄")))</x:f>
        <x:v>平</x:v>
      </x:c>
      <x:c r="K5125" s="6" t="str">
        <x:f>IF(D5125="","",IF(AND(ISNUMBER(SEARCH("平",D5125)),OR(ISNUMBER(SEARCH("上",D5125)),ISNUMBER(SEARCH("去",D5125)),ISNUMBER(SEARCH("入",D5125)))),"Ambiguous",IF(ISNUMBER(SEARCH("平",D5125)),"平","仄")))</x:f>
        <x:v>平</x:v>
      </x:c>
      <x:c r="L5125" s="7" t="str">
        <x:v>Pingshui main list, Lu Qinli gap fill</x:v>
      </x:c>
    </x:row>
    <x:row r="5126">
      <x:c r="A5126" s="5" t="str">
        <x:v>媵</x:v>
      </x:c>
      <x:c r="B5126" s="6" t="str">
        <x:v>去</x:v>
      </x:c>
      <x:c r="C5126" s="6" t="str">
        <x:f>IF(B5126="","Needs decision","Ready")</x:f>
        <x:v>Ready</x:v>
      </x:c>
      <x:c r="D5126" s="6" t="str">
        <x:v>去</x:v>
      </x:c>
      <x:c r="E5126" s="6" t="str"/>
      <x:c r="F5126" s="6" t="str">
        <x:v>去聲二十五徑</x:v>
      </x:c>
      <x:c r="G5126" s="6" t="str">
        <x:v>Pingshui main list, Wikisource-derived DOCX</x:v>
      </x:c>
      <x:c r="H5126" s="6" t="str"/>
      <x:c r="I5126" s="6" t="str">
        <x:v>Lu Qinli gap fill from Pingshui main list; 詞 entries ignored</x:v>
      </x:c>
      <x:c r="J5126" s="6" t="str">
        <x:f>IF(B5126="","",IF(AND(ISNUMBER(SEARCH("平",B5126)),OR(ISNUMBER(SEARCH("上",B5126)),ISNUMBER(SEARCH("去",B5126)),ISNUMBER(SEARCH("入",B5126)))),"Ambiguous",IF(ISNUMBER(SEARCH("平",B5126)),"平","仄")))</x:f>
        <x:v>仄</x:v>
      </x:c>
      <x:c r="K5126" s="6" t="str">
        <x:f>IF(D5126="","",IF(AND(ISNUMBER(SEARCH("平",D5126)),OR(ISNUMBER(SEARCH("上",D5126)),ISNUMBER(SEARCH("去",D5126)),ISNUMBER(SEARCH("入",D5126)))),"Ambiguous",IF(ISNUMBER(SEARCH("平",D5126)),"平","仄")))</x:f>
        <x:v>仄</x:v>
      </x:c>
      <x:c r="L5126" s="7" t="str">
        <x:v>Pingshui main list, Lu Qinli gap fill</x:v>
      </x:c>
    </x:row>
    <x:row r="5127">
      <x:c r="A5127" s="5" t="str">
        <x:v>媸</x:v>
      </x:c>
      <x:c r="B5127" s="6" t="str">
        <x:v>平</x:v>
      </x:c>
      <x:c r="C5127" s="6" t="str">
        <x:f>IF(B5127="","Needs decision","Ready")</x:f>
        <x:v>Ready</x:v>
      </x:c>
      <x:c r="D5127" s="6" t="str">
        <x:v>平</x:v>
      </x:c>
      <x:c r="E5127" s="6" t="str"/>
      <x:c r="F5127" s="6" t="str">
        <x:v>上平聲四支</x:v>
      </x:c>
      <x:c r="G5127" s="6" t="str">
        <x:v>Pingshui main list, Wikisource-derived DOCX</x:v>
      </x:c>
      <x:c r="H5127" s="6" t="str"/>
      <x:c r="I5127" s="6" t="str">
        <x:v>Lu Qinli gap fill from Pingshui main list; 詞 entries ignored</x:v>
      </x:c>
      <x:c r="J5127" s="6" t="str">
        <x:f>IF(B5127="","",IF(AND(ISNUMBER(SEARCH("平",B5127)),OR(ISNUMBER(SEARCH("上",B5127)),ISNUMBER(SEARCH("去",B5127)),ISNUMBER(SEARCH("入",B5127)))),"Ambiguous",IF(ISNUMBER(SEARCH("平",B5127)),"平","仄")))</x:f>
        <x:v>平</x:v>
      </x:c>
      <x:c r="K5127" s="6" t="str">
        <x:f>IF(D5127="","",IF(AND(ISNUMBER(SEARCH("平",D5127)),OR(ISNUMBER(SEARCH("上",D5127)),ISNUMBER(SEARCH("去",D5127)),ISNUMBER(SEARCH("入",D5127)))),"Ambiguous",IF(ISNUMBER(SEARCH("平",D5127)),"平","仄")))</x:f>
        <x:v>平</x:v>
      </x:c>
      <x:c r="L5127" s="7" t="str">
        <x:v>Pingshui main list, Lu Qinli gap fill</x:v>
      </x:c>
    </x:row>
    <x:row r="5128">
      <x:c r="A5128" s="5" t="str">
        <x:v>嫂</x:v>
      </x:c>
      <x:c r="B5128" s="6" t="str">
        <x:v>上</x:v>
      </x:c>
      <x:c r="C5128" s="6" t="str">
        <x:f>IF(B5128="","Needs decision","Ready")</x:f>
        <x:v>Ready</x:v>
      </x:c>
      <x:c r="D5128" s="6" t="str">
        <x:v>上</x:v>
      </x:c>
      <x:c r="E5128" s="6" t="str"/>
      <x:c r="F5128" s="6" t="str">
        <x:v>上聲十九皓</x:v>
      </x:c>
      <x:c r="G5128" s="6" t="str">
        <x:v>Pingshui main list, Wikisource-derived DOCX</x:v>
      </x:c>
      <x:c r="H5128" s="6" t="str"/>
      <x:c r="I5128" s="6" t="str">
        <x:v>Lu Qinli gap fill from Pingshui main list; 詞 entries ignored</x:v>
      </x:c>
      <x:c r="J5128" s="6" t="str">
        <x:f>IF(B5128="","",IF(AND(ISNUMBER(SEARCH("平",B5128)),OR(ISNUMBER(SEARCH("上",B5128)),ISNUMBER(SEARCH("去",B5128)),ISNUMBER(SEARCH("入",B5128)))),"Ambiguous",IF(ISNUMBER(SEARCH("平",B5128)),"平","仄")))</x:f>
        <x:v>仄</x:v>
      </x:c>
      <x:c r="K5128" s="6" t="str">
        <x:f>IF(D5128="","",IF(AND(ISNUMBER(SEARCH("平",D5128)),OR(ISNUMBER(SEARCH("上",D5128)),ISNUMBER(SEARCH("去",D5128)),ISNUMBER(SEARCH("入",D5128)))),"Ambiguous",IF(ISNUMBER(SEARCH("平",D5128)),"平","仄")))</x:f>
        <x:v>仄</x:v>
      </x:c>
      <x:c r="L5128" s="7" t="str">
        <x:v>Pingshui main list, Lu Qinli gap fill</x:v>
      </x:c>
    </x:row>
    <x:row r="5129">
      <x:c r="A5129" s="5" t="str">
        <x:v>嫉</x:v>
      </x:c>
      <x:c r="B5129" s="6" t="str">
        <x:v>入</x:v>
      </x:c>
      <x:c r="C5129" s="6" t="str">
        <x:f>IF(B5129="","Needs decision","Ready")</x:f>
        <x:v>Ready</x:v>
      </x:c>
      <x:c r="D5129" s="6" t="str">
        <x:v>入</x:v>
      </x:c>
      <x:c r="E5129" s="6" t="str"/>
      <x:c r="F5129" s="6" t="str">
        <x:v>入聲四質</x:v>
      </x:c>
      <x:c r="G5129" s="6" t="str">
        <x:v>Pingshui main list, Wikisource-derived DOCX</x:v>
      </x:c>
      <x:c r="H5129" s="6" t="str"/>
      <x:c r="I5129" s="6" t="str">
        <x:v>Lu Qinli gap fill from Pingshui main list; 詞 entries ignored</x:v>
      </x:c>
      <x:c r="J5129" s="6" t="str">
        <x:f>IF(B5129="","",IF(AND(ISNUMBER(SEARCH("平",B5129)),OR(ISNUMBER(SEARCH("上",B5129)),ISNUMBER(SEARCH("去",B5129)),ISNUMBER(SEARCH("入",B5129)))),"Ambiguous",IF(ISNUMBER(SEARCH("平",B5129)),"平","仄")))</x:f>
        <x:v>仄</x:v>
      </x:c>
      <x:c r="K5129" s="6" t="str">
        <x:f>IF(D5129="","",IF(AND(ISNUMBER(SEARCH("平",D5129)),OR(ISNUMBER(SEARCH("上",D5129)),ISNUMBER(SEARCH("去",D5129)),ISNUMBER(SEARCH("入",D5129)))),"Ambiguous",IF(ISNUMBER(SEARCH("平",D5129)),"平","仄")))</x:f>
        <x:v>仄</x:v>
      </x:c>
      <x:c r="L5129" s="7" t="str">
        <x:v>Pingshui main list, Lu Qinli gap fill</x:v>
      </x:c>
    </x:row>
    <x:row r="5130">
      <x:c r="A5130" s="5" t="str">
        <x:v>嫗</x:v>
      </x:c>
      <x:c r="B5130" s="6" t="str">
        <x:v>去</x:v>
      </x:c>
      <x:c r="C5130" s="6" t="str">
        <x:f>IF(B5130="","Needs decision","Ready")</x:f>
        <x:v>Ready</x:v>
      </x:c>
      <x:c r="D5130" s="6" t="str">
        <x:v>去</x:v>
      </x:c>
      <x:c r="E5130" s="6" t="str"/>
      <x:c r="F5130" s="6" t="str">
        <x:v>去聲七遇</x:v>
      </x:c>
      <x:c r="G5130" s="6" t="str">
        <x:v>Pingshui main list, Wikisource-derived DOCX</x:v>
      </x:c>
      <x:c r="H5130" s="6" t="str"/>
      <x:c r="I5130" s="6" t="str">
        <x:v>Lu Qinli gap fill from Pingshui main list; 詞 entries ignored</x:v>
      </x:c>
      <x:c r="J5130" s="6" t="str">
        <x:f>IF(B5130="","",IF(AND(ISNUMBER(SEARCH("平",B5130)),OR(ISNUMBER(SEARCH("上",B5130)),ISNUMBER(SEARCH("去",B5130)),ISNUMBER(SEARCH("入",B5130)))),"Ambiguous",IF(ISNUMBER(SEARCH("平",B5130)),"平","仄")))</x:f>
        <x:v>仄</x:v>
      </x:c>
      <x:c r="K5130" s="6" t="str">
        <x:f>IF(D5130="","",IF(AND(ISNUMBER(SEARCH("平",D5130)),OR(ISNUMBER(SEARCH("上",D5130)),ISNUMBER(SEARCH("去",D5130)),ISNUMBER(SEARCH("入",D5130)))),"Ambiguous",IF(ISNUMBER(SEARCH("平",D5130)),"平","仄")))</x:f>
        <x:v>仄</x:v>
      </x:c>
      <x:c r="L5130" s="7" t="str">
        <x:v>Pingshui main list, Lu Qinli gap fill</x:v>
      </x:c>
    </x:row>
    <x:row r="5131">
      <x:c r="A5131" s="5" t="str">
        <x:v>嫚</x:v>
      </x:c>
      <x:c r="B5131" s="6" t="str">
        <x:v>去</x:v>
      </x:c>
      <x:c r="C5131" s="6" t="str">
        <x:f>IF(B5131="","Needs decision","Ready")</x:f>
        <x:v>Ready</x:v>
      </x:c>
      <x:c r="D5131" s="6" t="str">
        <x:v>去</x:v>
      </x:c>
      <x:c r="E5131" s="6" t="str"/>
      <x:c r="F5131" s="6" t="str">
        <x:v>去聲十六諫</x:v>
      </x:c>
      <x:c r="G5131" s="6" t="str">
        <x:v>Pingshui main list, Wikisource-derived DOCX</x:v>
      </x:c>
      <x:c r="H5131" s="6" t="str"/>
      <x:c r="I5131" s="6" t="str">
        <x:v>Lu Qinli gap fill from Pingshui main list; 詞 entries ignored</x:v>
      </x:c>
      <x:c r="J5131" s="6" t="str">
        <x:f>IF(B5131="","",IF(AND(ISNUMBER(SEARCH("平",B5131)),OR(ISNUMBER(SEARCH("上",B5131)),ISNUMBER(SEARCH("去",B5131)),ISNUMBER(SEARCH("入",B5131)))),"Ambiguous",IF(ISNUMBER(SEARCH("平",B5131)),"平","仄")))</x:f>
        <x:v>仄</x:v>
      </x:c>
      <x:c r="K5131" s="6" t="str">
        <x:f>IF(D5131="","",IF(AND(ISNUMBER(SEARCH("平",D5131)),OR(ISNUMBER(SEARCH("上",D5131)),ISNUMBER(SEARCH("去",D5131)),ISNUMBER(SEARCH("入",D5131)))),"Ambiguous",IF(ISNUMBER(SEARCH("平",D5131)),"平","仄")))</x:f>
        <x:v>仄</x:v>
      </x:c>
      <x:c r="L5131" s="7" t="str">
        <x:v>Pingshui main list, Lu Qinli gap fill</x:v>
      </x:c>
    </x:row>
    <x:row r="5132">
      <x:c r="A5132" s="5" t="str">
        <x:v>嫜</x:v>
      </x:c>
      <x:c r="B5132" s="6" t="str">
        <x:v>平</x:v>
      </x:c>
      <x:c r="C5132" s="6" t="str">
        <x:f>IF(B5132="","Needs decision","Ready")</x:f>
        <x:v>Ready</x:v>
      </x:c>
      <x:c r="D5132" s="6" t="str">
        <x:v>平</x:v>
      </x:c>
      <x:c r="E5132" s="6" t="str"/>
      <x:c r="F5132" s="6" t="str">
        <x:v>下平聲七陽</x:v>
      </x:c>
      <x:c r="G5132" s="6" t="str">
        <x:v>Pingshui main list, Wikisource-derived DOCX</x:v>
      </x:c>
      <x:c r="H5132" s="6" t="str"/>
      <x:c r="I5132" s="6" t="str">
        <x:v>Lu Qinli gap fill from Pingshui main list; 詞 entries ignored</x:v>
      </x:c>
      <x:c r="J5132" s="6" t="str">
        <x:f>IF(B5132="","",IF(AND(ISNUMBER(SEARCH("平",B5132)),OR(ISNUMBER(SEARCH("上",B5132)),ISNUMBER(SEARCH("去",B5132)),ISNUMBER(SEARCH("入",B5132)))),"Ambiguous",IF(ISNUMBER(SEARCH("平",B5132)),"平","仄")))</x:f>
        <x:v>平</x:v>
      </x:c>
      <x:c r="K5132" s="6" t="str">
        <x:f>IF(D5132="","",IF(AND(ISNUMBER(SEARCH("平",D5132)),OR(ISNUMBER(SEARCH("上",D5132)),ISNUMBER(SEARCH("去",D5132)),ISNUMBER(SEARCH("入",D5132)))),"Ambiguous",IF(ISNUMBER(SEARCH("平",D5132)),"平","仄")))</x:f>
        <x:v>平</x:v>
      </x:c>
      <x:c r="L5132" s="7" t="str">
        <x:v>Pingshui main list, Lu Qinli gap fill</x:v>
      </x:c>
    </x:row>
    <x:row r="5133">
      <x:c r="A5133" s="5" t="str">
        <x:v>嫣</x:v>
      </x:c>
      <x:c r="B5133" s="6" t="str">
        <x:v>平</x:v>
      </x:c>
      <x:c r="C5133" s="6" t="str">
        <x:f>IF(B5133="","Needs decision","Ready")</x:f>
        <x:v>Ready</x:v>
      </x:c>
      <x:c r="D5133" s="6" t="str">
        <x:v>平</x:v>
      </x:c>
      <x:c r="E5133" s="6" t="str"/>
      <x:c r="F5133" s="6" t="str">
        <x:v>下平聲一先</x:v>
      </x:c>
      <x:c r="G5133" s="6" t="str">
        <x:v>Pingshui main list, Wikisource-derived DOCX</x:v>
      </x:c>
      <x:c r="H5133" s="6" t="str"/>
      <x:c r="I5133" s="6" t="str">
        <x:v>Lu Qinli gap fill from Pingshui main list; 詞 entries ignored</x:v>
      </x:c>
      <x:c r="J5133" s="6" t="str">
        <x:f>IF(B5133="","",IF(AND(ISNUMBER(SEARCH("平",B5133)),OR(ISNUMBER(SEARCH("上",B5133)),ISNUMBER(SEARCH("去",B5133)),ISNUMBER(SEARCH("入",B5133)))),"Ambiguous",IF(ISNUMBER(SEARCH("平",B5133)),"平","仄")))</x:f>
        <x:v>平</x:v>
      </x:c>
      <x:c r="K5133" s="6" t="str">
        <x:f>IF(D5133="","",IF(AND(ISNUMBER(SEARCH("平",D5133)),OR(ISNUMBER(SEARCH("上",D5133)),ISNUMBER(SEARCH("去",D5133)),ISNUMBER(SEARCH("入",D5133)))),"Ambiguous",IF(ISNUMBER(SEARCH("平",D5133)),"平","仄")))</x:f>
        <x:v>平</x:v>
      </x:c>
      <x:c r="L5133" s="7" t="str">
        <x:v>Pingshui main list, Lu Qinli gap fill</x:v>
      </x:c>
    </x:row>
    <x:row r="5134">
      <x:c r="A5134" s="5" t="str">
        <x:v>嫩</x:v>
      </x:c>
      <x:c r="B5134" s="6" t="str">
        <x:v>去</x:v>
      </x:c>
      <x:c r="C5134" s="6" t="str">
        <x:f>IF(B5134="","Needs decision","Ready")</x:f>
        <x:v>Ready</x:v>
      </x:c>
      <x:c r="D5134" s="6" t="str">
        <x:v>去</x:v>
      </x:c>
      <x:c r="E5134" s="6" t="str"/>
      <x:c r="F5134" s="6" t="str">
        <x:v>去聲十四願</x:v>
      </x:c>
      <x:c r="G5134" s="6" t="str">
        <x:v>Pingshui main list, Wikisource-derived DOCX</x:v>
      </x:c>
      <x:c r="H5134" s="6" t="str"/>
      <x:c r="I5134" s="6" t="str">
        <x:v>Lu Qinli gap fill from Pingshui main list; 詞 entries ignored</x:v>
      </x:c>
      <x:c r="J5134" s="6" t="str">
        <x:f>IF(B5134="","",IF(AND(ISNUMBER(SEARCH("平",B5134)),OR(ISNUMBER(SEARCH("上",B5134)),ISNUMBER(SEARCH("去",B5134)),ISNUMBER(SEARCH("入",B5134)))),"Ambiguous",IF(ISNUMBER(SEARCH("平",B5134)),"平","仄")))</x:f>
        <x:v>仄</x:v>
      </x:c>
      <x:c r="K5134" s="6" t="str">
        <x:f>IF(D5134="","",IF(AND(ISNUMBER(SEARCH("平",D5134)),OR(ISNUMBER(SEARCH("上",D5134)),ISNUMBER(SEARCH("去",D5134)),ISNUMBER(SEARCH("入",D5134)))),"Ambiguous",IF(ISNUMBER(SEARCH("平",D5134)),"平","仄")))</x:f>
        <x:v>仄</x:v>
      </x:c>
      <x:c r="L5134" s="7" t="str">
        <x:v>Pingshui main list, Lu Qinli gap fill</x:v>
      </x:c>
    </x:row>
    <x:row r="5135">
      <x:c r="A5135" s="5" t="str">
        <x:v>嫫</x:v>
      </x:c>
      <x:c r="B5135" s="6" t="str">
        <x:v>平</x:v>
      </x:c>
      <x:c r="C5135" s="6" t="str">
        <x:f>IF(B5135="","Needs decision","Ready")</x:f>
        <x:v>Ready</x:v>
      </x:c>
      <x:c r="D5135" s="6" t="str">
        <x:v>平</x:v>
      </x:c>
      <x:c r="E5135" s="6" t="str"/>
      <x:c r="F5135" s="6" t="str">
        <x:v>上平聲七虞</x:v>
      </x:c>
      <x:c r="G5135" s="6" t="str">
        <x:v>Pingshui main list, Wikisource-derived DOCX</x:v>
      </x:c>
      <x:c r="H5135" s="6" t="str"/>
      <x:c r="I5135" s="6" t="str">
        <x:v>Lu Qinli gap fill from Pingshui main list; 詞 entries ignored</x:v>
      </x:c>
      <x:c r="J5135" s="6" t="str">
        <x:f>IF(B5135="","",IF(AND(ISNUMBER(SEARCH("平",B5135)),OR(ISNUMBER(SEARCH("上",B5135)),ISNUMBER(SEARCH("去",B5135)),ISNUMBER(SEARCH("入",B5135)))),"Ambiguous",IF(ISNUMBER(SEARCH("平",B5135)),"平","仄")))</x:f>
        <x:v>平</x:v>
      </x:c>
      <x:c r="K5135" s="6" t="str">
        <x:f>IF(D5135="","",IF(AND(ISNUMBER(SEARCH("平",D5135)),OR(ISNUMBER(SEARCH("上",D5135)),ISNUMBER(SEARCH("去",D5135)),ISNUMBER(SEARCH("入",D5135)))),"Ambiguous",IF(ISNUMBER(SEARCH("平",D5135)),"平","仄")))</x:f>
        <x:v>平</x:v>
      </x:c>
      <x:c r="L5135" s="7" t="str">
        <x:v>Pingshui main list, Lu Qinli gap fill</x:v>
      </x:c>
    </x:row>
    <x:row r="5136">
      <x:c r="A5136" s="5" t="str">
        <x:v>嫭</x:v>
      </x:c>
      <x:c r="B5136" s="6" t="str">
        <x:v>去</x:v>
      </x:c>
      <x:c r="C5136" s="6" t="str">
        <x:f>IF(B5136="","Needs decision","Ready")</x:f>
        <x:v>Ready</x:v>
      </x:c>
      <x:c r="D5136" s="6" t="str">
        <x:v>去</x:v>
      </x:c>
      <x:c r="E5136" s="6" t="str"/>
      <x:c r="F5136" s="6" t="str">
        <x:v>去聲七遇</x:v>
      </x:c>
      <x:c r="G5136" s="6" t="str">
        <x:v>Pingshui main list, Wikisource-derived DOCX</x:v>
      </x:c>
      <x:c r="H5136" s="6" t="str"/>
      <x:c r="I5136" s="6" t="str">
        <x:v>Lu Qinli gap fill from Pingshui main list; 詞 entries ignored</x:v>
      </x:c>
      <x:c r="J5136" s="6" t="str">
        <x:f>IF(B5136="","",IF(AND(ISNUMBER(SEARCH("平",B5136)),OR(ISNUMBER(SEARCH("上",B5136)),ISNUMBER(SEARCH("去",B5136)),ISNUMBER(SEARCH("入",B5136)))),"Ambiguous",IF(ISNUMBER(SEARCH("平",B5136)),"平","仄")))</x:f>
        <x:v>仄</x:v>
      </x:c>
      <x:c r="K5136" s="6" t="str">
        <x:f>IF(D5136="","",IF(AND(ISNUMBER(SEARCH("平",D5136)),OR(ISNUMBER(SEARCH("上",D5136)),ISNUMBER(SEARCH("去",D5136)),ISNUMBER(SEARCH("入",D5136)))),"Ambiguous",IF(ISNUMBER(SEARCH("平",D5136)),"平","仄")))</x:f>
        <x:v>仄</x:v>
      </x:c>
      <x:c r="L5136" s="7" t="str">
        <x:v>Pingshui main list, Lu Qinli gap fill</x:v>
      </x:c>
    </x:row>
    <x:row r="5137">
      <x:c r="A5137" s="5" t="str">
        <x:v>嫺</x:v>
      </x:c>
      <x:c r="B5137" s="6" t="str">
        <x:v>平</x:v>
      </x:c>
      <x:c r="C5137" s="6" t="str">
        <x:f>IF(B5137="","Needs decision","Ready")</x:f>
        <x:v>Ready</x:v>
      </x:c>
      <x:c r="D5137" s="6" t="str">
        <x:v>平</x:v>
      </x:c>
      <x:c r="E5137" s="6" t="str"/>
      <x:c r="F5137" s="6" t="str">
        <x:v>上平聲十五刪</x:v>
      </x:c>
      <x:c r="G5137" s="6" t="str">
        <x:v>Pingshui main list, Wikisource-derived DOCX</x:v>
      </x:c>
      <x:c r="H5137" s="6" t="str"/>
      <x:c r="I5137" s="6" t="str">
        <x:v>Lu Qinli gap fill from Pingshui main list; 詞 entries ignored</x:v>
      </x:c>
      <x:c r="J5137" s="6" t="str">
        <x:f>IF(B5137="","",IF(AND(ISNUMBER(SEARCH("平",B5137)),OR(ISNUMBER(SEARCH("上",B5137)),ISNUMBER(SEARCH("去",B5137)),ISNUMBER(SEARCH("入",B5137)))),"Ambiguous",IF(ISNUMBER(SEARCH("平",B5137)),"平","仄")))</x:f>
        <x:v>平</x:v>
      </x:c>
      <x:c r="K5137" s="6" t="str">
        <x:f>IF(D5137="","",IF(AND(ISNUMBER(SEARCH("平",D5137)),OR(ISNUMBER(SEARCH("上",D5137)),ISNUMBER(SEARCH("去",D5137)),ISNUMBER(SEARCH("入",D5137)))),"Ambiguous",IF(ISNUMBER(SEARCH("平",D5137)),"平","仄")))</x:f>
        <x:v>平</x:v>
      </x:c>
      <x:c r="L5137" s="7" t="str">
        <x:v>Pingshui main list, Lu Qinli gap fill</x:v>
      </x:c>
    </x:row>
    <x:row r="5138">
      <x:c r="A5138" s="5" t="str">
        <x:v>嬈</x:v>
      </x:c>
      <x:c r="B5138" s="6" t="str"/>
      <x:c r="C5138" s="6" t="str">
        <x:f>IF(B5138="","Needs decision","Ready")</x:f>
        <x:v>Needs decision</x:v>
      </x:c>
      <x:c r="D5138" s="6" t="str">
        <x:v>平/上/去</x:v>
      </x:c>
      <x:c r="E5138" s="6" t="str"/>
      <x:c r="F5138" s="6" t="str">
        <x:v>下平聲二蕭; 上聲十七篠; 去聲十八嘯</x:v>
      </x:c>
      <x:c r="G5138" s="6" t="str">
        <x:v>Pingshui main list, Wikisource-derived DOCX</x:v>
      </x:c>
      <x:c r="H5138" s="6" t="str"/>
      <x:c r="I5138" s="6" t="str">
        <x:v>Lu Qinli gap fill from Pingshui main list; 詞 entries ignored</x:v>
      </x:c>
      <x:c r="J5138" s="6" t="str">
        <x:f>IF(B5138="","",IF(AND(ISNUMBER(SEARCH("平",B5138)),OR(ISNUMBER(SEARCH("上",B5138)),ISNUMBER(SEARCH("去",B5138)),ISNUMBER(SEARCH("入",B5138)))),"Ambiguous",IF(ISNUMBER(SEARCH("平",B5138)),"平","仄")))</x:f>
      </x:c>
      <x:c r="K5138" s="6" t="str">
        <x:f>IF(D5138="","",IF(AND(ISNUMBER(SEARCH("平",D5138)),OR(ISNUMBER(SEARCH("上",D5138)),ISNUMBER(SEARCH("去",D5138)),ISNUMBER(SEARCH("入",D5138)))),"Ambiguous",IF(ISNUMBER(SEARCH("平",D5138)),"平","仄")))</x:f>
        <x:v>Ambiguous</x:v>
      </x:c>
      <x:c r="L5138" s="7" t="str">
        <x:v>Pingshui main list, Lu Qinli gap fill</x:v>
      </x:c>
    </x:row>
    <x:row r="5139">
      <x:c r="A5139" s="5" t="str">
        <x:v>嬉</x:v>
      </x:c>
      <x:c r="B5139" s="6" t="str">
        <x:v>平</x:v>
      </x:c>
      <x:c r="C5139" s="6" t="str">
        <x:f>IF(B5139="","Needs decision","Ready")</x:f>
        <x:v>Ready</x:v>
      </x:c>
      <x:c r="D5139" s="6" t="str">
        <x:v>平</x:v>
      </x:c>
      <x:c r="E5139" s="6" t="str"/>
      <x:c r="F5139" s="6" t="str">
        <x:v>上平聲四支</x:v>
      </x:c>
      <x:c r="G5139" s="6" t="str">
        <x:v>Pingshui main list, Wikisource-derived DOCX</x:v>
      </x:c>
      <x:c r="H5139" s="6" t="str"/>
      <x:c r="I5139" s="6" t="str">
        <x:v>Lu Qinli gap fill from Pingshui main list; 詞 entries ignored</x:v>
      </x:c>
      <x:c r="J5139" s="6" t="str">
        <x:f>IF(B5139="","",IF(AND(ISNUMBER(SEARCH("平",B5139)),OR(ISNUMBER(SEARCH("上",B5139)),ISNUMBER(SEARCH("去",B5139)),ISNUMBER(SEARCH("入",B5139)))),"Ambiguous",IF(ISNUMBER(SEARCH("平",B5139)),"平","仄")))</x:f>
        <x:v>平</x:v>
      </x:c>
      <x:c r="K5139" s="6" t="str">
        <x:f>IF(D5139="","",IF(AND(ISNUMBER(SEARCH("平",D5139)),OR(ISNUMBER(SEARCH("上",D5139)),ISNUMBER(SEARCH("去",D5139)),ISNUMBER(SEARCH("入",D5139)))),"Ambiguous",IF(ISNUMBER(SEARCH("平",D5139)),"平","仄")))</x:f>
        <x:v>平</x:v>
      </x:c>
      <x:c r="L5139" s="7" t="str">
        <x:v>Pingshui main list, Lu Qinli gap fill</x:v>
      </x:c>
    </x:row>
    <x:row r="5140">
      <x:c r="A5140" s="5" t="str">
        <x:v>嬙</x:v>
      </x:c>
      <x:c r="B5140" s="6" t="str">
        <x:v>平</x:v>
      </x:c>
      <x:c r="C5140" s="6" t="str">
        <x:f>IF(B5140="","Needs decision","Ready")</x:f>
        <x:v>Ready</x:v>
      </x:c>
      <x:c r="D5140" s="6" t="str">
        <x:v>平</x:v>
      </x:c>
      <x:c r="E5140" s="6" t="str"/>
      <x:c r="F5140" s="6" t="str">
        <x:v>下平聲七陽</x:v>
      </x:c>
      <x:c r="G5140" s="6" t="str">
        <x:v>Pingshui main list, Wikisource-derived DOCX</x:v>
      </x:c>
      <x:c r="H5140" s="6" t="str"/>
      <x:c r="I5140" s="6" t="str">
        <x:v>Lu Qinli gap fill from Pingshui main list; 詞 entries ignored</x:v>
      </x:c>
      <x:c r="J5140" s="6" t="str">
        <x:f>IF(B5140="","",IF(AND(ISNUMBER(SEARCH("平",B5140)),OR(ISNUMBER(SEARCH("上",B5140)),ISNUMBER(SEARCH("去",B5140)),ISNUMBER(SEARCH("入",B5140)))),"Ambiguous",IF(ISNUMBER(SEARCH("平",B5140)),"平","仄")))</x:f>
        <x:v>平</x:v>
      </x:c>
      <x:c r="K5140" s="6" t="str">
        <x:f>IF(D5140="","",IF(AND(ISNUMBER(SEARCH("平",D5140)),OR(ISNUMBER(SEARCH("上",D5140)),ISNUMBER(SEARCH("去",D5140)),ISNUMBER(SEARCH("入",D5140)))),"Ambiguous",IF(ISNUMBER(SEARCH("平",D5140)),"平","仄")))</x:f>
        <x:v>平</x:v>
      </x:c>
      <x:c r="L5140" s="7" t="str">
        <x:v>Pingshui main list, Lu Qinli gap fill</x:v>
      </x:c>
    </x:row>
    <x:row r="5141">
      <x:c r="A5141" s="5" t="str">
        <x:v>嬛</x:v>
      </x:c>
      <x:c r="B5141" s="6" t="str">
        <x:v>平</x:v>
      </x:c>
      <x:c r="C5141" s="6" t="str">
        <x:f>IF(B5141="","Needs decision","Ready")</x:f>
        <x:v>Ready</x:v>
      </x:c>
      <x:c r="D5141" s="6" t="str">
        <x:v>平</x:v>
      </x:c>
      <x:c r="E5141" s="6" t="str"/>
      <x:c r="F5141" s="6" t="str">
        <x:v>下平聲八庚</x:v>
      </x:c>
      <x:c r="G5141" s="6" t="str">
        <x:v>Pingshui main list, Wikisource-derived DOCX</x:v>
      </x:c>
      <x:c r="H5141" s="6" t="str"/>
      <x:c r="I5141" s="6" t="str">
        <x:v>Lu Qinli gap fill from Pingshui main list; 詞 entries ignored</x:v>
      </x:c>
      <x:c r="J5141" s="6" t="str">
        <x:f>IF(B5141="","",IF(AND(ISNUMBER(SEARCH("平",B5141)),OR(ISNUMBER(SEARCH("上",B5141)),ISNUMBER(SEARCH("去",B5141)),ISNUMBER(SEARCH("入",B5141)))),"Ambiguous",IF(ISNUMBER(SEARCH("平",B5141)),"平","仄")))</x:f>
        <x:v>平</x:v>
      </x:c>
      <x:c r="K5141" s="6" t="str">
        <x:f>IF(D5141="","",IF(AND(ISNUMBER(SEARCH("平",D5141)),OR(ISNUMBER(SEARCH("上",D5141)),ISNUMBER(SEARCH("去",D5141)),ISNUMBER(SEARCH("入",D5141)))),"Ambiguous",IF(ISNUMBER(SEARCH("平",D5141)),"平","仄")))</x:f>
        <x:v>平</x:v>
      </x:c>
      <x:c r="L5141" s="7" t="str">
        <x:v>Pingshui main list, Lu Qinli gap fill</x:v>
      </x:c>
    </x:row>
    <x:row r="5142">
      <x:c r="A5142" s="5" t="str">
        <x:v>嬲</x:v>
      </x:c>
      <x:c r="B5142" s="6" t="str">
        <x:v>上</x:v>
      </x:c>
      <x:c r="C5142" s="6" t="str">
        <x:f>IF(B5142="","Needs decision","Ready")</x:f>
        <x:v>Ready</x:v>
      </x:c>
      <x:c r="D5142" s="6" t="str">
        <x:v>上</x:v>
      </x:c>
      <x:c r="E5142" s="6" t="str"/>
      <x:c r="F5142" s="6" t="str">
        <x:v>上聲十七篠</x:v>
      </x:c>
      <x:c r="G5142" s="6" t="str">
        <x:v>Pingshui main list, Wikisource-derived DOCX</x:v>
      </x:c>
      <x:c r="H5142" s="6" t="str"/>
      <x:c r="I5142" s="6" t="str">
        <x:v>Lu Qinli gap fill from Pingshui main list; 詞 entries ignored</x:v>
      </x:c>
      <x:c r="J5142" s="6" t="str">
        <x:f>IF(B5142="","",IF(AND(ISNUMBER(SEARCH("平",B5142)),OR(ISNUMBER(SEARCH("上",B5142)),ISNUMBER(SEARCH("去",B5142)),ISNUMBER(SEARCH("入",B5142)))),"Ambiguous",IF(ISNUMBER(SEARCH("平",B5142)),"平","仄")))</x:f>
        <x:v>仄</x:v>
      </x:c>
      <x:c r="K5142" s="6" t="str">
        <x:f>IF(D5142="","",IF(AND(ISNUMBER(SEARCH("平",D5142)),OR(ISNUMBER(SEARCH("上",D5142)),ISNUMBER(SEARCH("去",D5142)),ISNUMBER(SEARCH("入",D5142)))),"Ambiguous",IF(ISNUMBER(SEARCH("平",D5142)),"平","仄")))</x:f>
        <x:v>仄</x:v>
      </x:c>
      <x:c r="L5142" s="7" t="str">
        <x:v>Pingshui main list, Lu Qinli gap fill</x:v>
      </x:c>
    </x:row>
    <x:row r="5143">
      <x:c r="A5143" s="5" t="str">
        <x:v>嬿</x:v>
      </x:c>
      <x:c r="B5143" s="6" t="str">
        <x:v>去</x:v>
      </x:c>
      <x:c r="C5143" s="6" t="str">
        <x:f>IF(B5143="","Needs decision","Ready")</x:f>
        <x:v>Ready</x:v>
      </x:c>
      <x:c r="D5143" s="6" t="str">
        <x:v>去</x:v>
      </x:c>
      <x:c r="E5143" s="6" t="str"/>
      <x:c r="F5143" s="6" t="str">
        <x:v>去聲十七霰</x:v>
      </x:c>
      <x:c r="G5143" s="6" t="str">
        <x:v>Pingshui main list, Wikisource-derived DOCX</x:v>
      </x:c>
      <x:c r="H5143" s="6" t="str"/>
      <x:c r="I5143" s="6" t="str">
        <x:v>Lu Qinli gap fill from Pingshui main list; 詞 entries ignored</x:v>
      </x:c>
      <x:c r="J5143" s="6" t="str">
        <x:f>IF(B5143="","",IF(AND(ISNUMBER(SEARCH("平",B5143)),OR(ISNUMBER(SEARCH("上",B5143)),ISNUMBER(SEARCH("去",B5143)),ISNUMBER(SEARCH("入",B5143)))),"Ambiguous",IF(ISNUMBER(SEARCH("平",B5143)),"平","仄")))</x:f>
        <x:v>仄</x:v>
      </x:c>
      <x:c r="K5143" s="6" t="str">
        <x:f>IF(D5143="","",IF(AND(ISNUMBER(SEARCH("平",D5143)),OR(ISNUMBER(SEARCH("上",D5143)),ISNUMBER(SEARCH("去",D5143)),ISNUMBER(SEARCH("入",D5143)))),"Ambiguous",IF(ISNUMBER(SEARCH("平",D5143)),"平","仄")))</x:f>
        <x:v>仄</x:v>
      </x:c>
      <x:c r="L5143" s="7" t="str">
        <x:v>Pingshui main list, Lu Qinli gap fill</x:v>
      </x:c>
    </x:row>
    <x:row r="5144">
      <x:c r="A5144" s="5" t="str">
        <x:v>孀</x:v>
      </x:c>
      <x:c r="B5144" s="6" t="str">
        <x:v>平</x:v>
      </x:c>
      <x:c r="C5144" s="6" t="str">
        <x:f>IF(B5144="","Needs decision","Ready")</x:f>
        <x:v>Ready</x:v>
      </x:c>
      <x:c r="D5144" s="6" t="str">
        <x:v>平</x:v>
      </x:c>
      <x:c r="E5144" s="6" t="str"/>
      <x:c r="F5144" s="6" t="str">
        <x:v>下平聲七陽</x:v>
      </x:c>
      <x:c r="G5144" s="6" t="str">
        <x:v>Pingshui main list, Wikisource-derived DOCX</x:v>
      </x:c>
      <x:c r="H5144" s="6" t="str"/>
      <x:c r="I5144" s="6" t="str">
        <x:v>Lu Qinli gap fill from Pingshui main list; 詞 entries ignored</x:v>
      </x:c>
      <x:c r="J5144" s="6" t="str">
        <x:f>IF(B5144="","",IF(AND(ISNUMBER(SEARCH("平",B5144)),OR(ISNUMBER(SEARCH("上",B5144)),ISNUMBER(SEARCH("去",B5144)),ISNUMBER(SEARCH("入",B5144)))),"Ambiguous",IF(ISNUMBER(SEARCH("平",B5144)),"平","仄")))</x:f>
        <x:v>平</x:v>
      </x:c>
      <x:c r="K5144" s="6" t="str">
        <x:f>IF(D5144="","",IF(AND(ISNUMBER(SEARCH("平",D5144)),OR(ISNUMBER(SEARCH("上",D5144)),ISNUMBER(SEARCH("去",D5144)),ISNUMBER(SEARCH("入",D5144)))),"Ambiguous",IF(ISNUMBER(SEARCH("平",D5144)),"平","仄")))</x:f>
        <x:v>平</x:v>
      </x:c>
      <x:c r="L5144" s="7" t="str">
        <x:v>Pingshui main list, Lu Qinli gap fill</x:v>
      </x:c>
    </x:row>
    <x:row r="5145">
      <x:c r="A5145" s="5" t="str">
        <x:v>孋</x:v>
      </x:c>
      <x:c r="B5145" s="6" t="str">
        <x:v>平</x:v>
      </x:c>
      <x:c r="C5145" s="6" t="str">
        <x:f>IF(B5145="","Needs decision","Ready")</x:f>
        <x:v>Ready</x:v>
      </x:c>
      <x:c r="D5145" s="6" t="str">
        <x:v>平</x:v>
      </x:c>
      <x:c r="E5145" s="6" t="str"/>
      <x:c r="F5145" s="6" t="str">
        <x:v>上平聲四支</x:v>
      </x:c>
      <x:c r="G5145" s="6" t="str">
        <x:v>Pingshui main list, Wikisource-derived DOCX</x:v>
      </x:c>
      <x:c r="H5145" s="6" t="str"/>
      <x:c r="I5145" s="6" t="str">
        <x:v>Lu Qinli gap fill from Pingshui main list; 詞 entries ignored</x:v>
      </x:c>
      <x:c r="J5145" s="6" t="str">
        <x:f>IF(B5145="","",IF(AND(ISNUMBER(SEARCH("平",B5145)),OR(ISNUMBER(SEARCH("上",B5145)),ISNUMBER(SEARCH("去",B5145)),ISNUMBER(SEARCH("入",B5145)))),"Ambiguous",IF(ISNUMBER(SEARCH("平",B5145)),"平","仄")))</x:f>
        <x:v>平</x:v>
      </x:c>
      <x:c r="K5145" s="6" t="str">
        <x:f>IF(D5145="","",IF(AND(ISNUMBER(SEARCH("平",D5145)),OR(ISNUMBER(SEARCH("上",D5145)),ISNUMBER(SEARCH("去",D5145)),ISNUMBER(SEARCH("入",D5145)))),"Ambiguous",IF(ISNUMBER(SEARCH("平",D5145)),"平","仄")))</x:f>
        <x:v>平</x:v>
      </x:c>
      <x:c r="L5145" s="7" t="str">
        <x:v>Pingshui main list, Lu Qinli gap fill</x:v>
      </x:c>
    </x:row>
    <x:row r="5146">
      <x:c r="A5146" s="5" t="str">
        <x:v>孑</x:v>
      </x:c>
      <x:c r="B5146" s="6" t="str">
        <x:v>入</x:v>
      </x:c>
      <x:c r="C5146" s="6" t="str">
        <x:f>IF(B5146="","Needs decision","Ready")</x:f>
        <x:v>Ready</x:v>
      </x:c>
      <x:c r="D5146" s="6" t="str">
        <x:v>入</x:v>
      </x:c>
      <x:c r="E5146" s="6" t="str"/>
      <x:c r="F5146" s="6" t="str">
        <x:v>入聲九屑</x:v>
      </x:c>
      <x:c r="G5146" s="6" t="str">
        <x:v>Pingshui main list, Wikisource-derived DOCX</x:v>
      </x:c>
      <x:c r="H5146" s="6" t="str"/>
      <x:c r="I5146" s="6" t="str">
        <x:v>Lu Qinli gap fill from Pingshui main list; 詞 entries ignored</x:v>
      </x:c>
      <x:c r="J5146" s="6" t="str">
        <x:f>IF(B5146="","",IF(AND(ISNUMBER(SEARCH("平",B5146)),OR(ISNUMBER(SEARCH("上",B5146)),ISNUMBER(SEARCH("去",B5146)),ISNUMBER(SEARCH("入",B5146)))),"Ambiguous",IF(ISNUMBER(SEARCH("平",B5146)),"平","仄")))</x:f>
        <x:v>仄</x:v>
      </x:c>
      <x:c r="K5146" s="6" t="str">
        <x:f>IF(D5146="","",IF(AND(ISNUMBER(SEARCH("平",D5146)),OR(ISNUMBER(SEARCH("上",D5146)),ISNUMBER(SEARCH("去",D5146)),ISNUMBER(SEARCH("入",D5146)))),"Ambiguous",IF(ISNUMBER(SEARCH("平",D5146)),"平","仄")))</x:f>
        <x:v>仄</x:v>
      </x:c>
      <x:c r="L5146" s="7" t="str">
        <x:v>Pingshui main list, Lu Qinli gap fill</x:v>
      </x:c>
    </x:row>
    <x:row r="5147">
      <x:c r="A5147" s="5" t="str">
        <x:v>孚</x:v>
      </x:c>
      <x:c r="B5147" s="6" t="str">
        <x:v>平</x:v>
      </x:c>
      <x:c r="C5147" s="6" t="str">
        <x:f>IF(B5147="","Needs decision","Ready")</x:f>
        <x:v>Ready</x:v>
      </x:c>
      <x:c r="D5147" s="6" t="str">
        <x:v>平</x:v>
      </x:c>
      <x:c r="E5147" s="6" t="str"/>
      <x:c r="F5147" s="6" t="str">
        <x:v>上平聲七虞</x:v>
      </x:c>
      <x:c r="G5147" s="6" t="str">
        <x:v>Pingshui main list, Wikisource-derived DOCX</x:v>
      </x:c>
      <x:c r="H5147" s="6" t="str"/>
      <x:c r="I5147" s="6" t="str">
        <x:v>Lu Qinli gap fill from Pingshui main list; 詞 entries ignored</x:v>
      </x:c>
      <x:c r="J5147" s="6" t="str">
        <x:f>IF(B5147="","",IF(AND(ISNUMBER(SEARCH("平",B5147)),OR(ISNUMBER(SEARCH("上",B5147)),ISNUMBER(SEARCH("去",B5147)),ISNUMBER(SEARCH("入",B5147)))),"Ambiguous",IF(ISNUMBER(SEARCH("平",B5147)),"平","仄")))</x:f>
        <x:v>平</x:v>
      </x:c>
      <x:c r="K5147" s="6" t="str">
        <x:f>IF(D5147="","",IF(AND(ISNUMBER(SEARCH("平",D5147)),OR(ISNUMBER(SEARCH("上",D5147)),ISNUMBER(SEARCH("去",D5147)),ISNUMBER(SEARCH("入",D5147)))),"Ambiguous",IF(ISNUMBER(SEARCH("平",D5147)),"平","仄")))</x:f>
        <x:v>平</x:v>
      </x:c>
      <x:c r="L5147" s="7" t="str">
        <x:v>Pingshui main list, Lu Qinli gap fill</x:v>
      </x:c>
    </x:row>
    <x:row r="5148">
      <x:c r="A5148" s="5" t="str">
        <x:v>孜</x:v>
      </x:c>
      <x:c r="B5148" s="6" t="str">
        <x:v>平</x:v>
      </x:c>
      <x:c r="C5148" s="6" t="str">
        <x:f>IF(B5148="","Needs decision","Ready")</x:f>
        <x:v>Ready</x:v>
      </x:c>
      <x:c r="D5148" s="6" t="str">
        <x:v>平</x:v>
      </x:c>
      <x:c r="E5148" s="6" t="str"/>
      <x:c r="F5148" s="6" t="str">
        <x:v>上平聲四支</x:v>
      </x:c>
      <x:c r="G5148" s="6" t="str">
        <x:v>Pingshui main list, Wikisource-derived DOCX</x:v>
      </x:c>
      <x:c r="H5148" s="6" t="str"/>
      <x:c r="I5148" s="6" t="str">
        <x:v>Lu Qinli gap fill from Pingshui main list; 詞 entries ignored</x:v>
      </x:c>
      <x:c r="J5148" s="6" t="str">
        <x:f>IF(B5148="","",IF(AND(ISNUMBER(SEARCH("平",B5148)),OR(ISNUMBER(SEARCH("上",B5148)),ISNUMBER(SEARCH("去",B5148)),ISNUMBER(SEARCH("入",B5148)))),"Ambiguous",IF(ISNUMBER(SEARCH("平",B5148)),"平","仄")))</x:f>
        <x:v>平</x:v>
      </x:c>
      <x:c r="K5148" s="6" t="str">
        <x:f>IF(D5148="","",IF(AND(ISNUMBER(SEARCH("平",D5148)),OR(ISNUMBER(SEARCH("上",D5148)),ISNUMBER(SEARCH("去",D5148)),ISNUMBER(SEARCH("入",D5148)))),"Ambiguous",IF(ISNUMBER(SEARCH("平",D5148)),"平","仄")))</x:f>
        <x:v>平</x:v>
      </x:c>
      <x:c r="L5148" s="7" t="str">
        <x:v>Pingshui main list, Lu Qinli gap fill</x:v>
      </x:c>
    </x:row>
    <x:row r="5149">
      <x:c r="A5149" s="5" t="str">
        <x:v>孥</x:v>
      </x:c>
      <x:c r="B5149" s="6" t="str">
        <x:v>平</x:v>
      </x:c>
      <x:c r="C5149" s="6" t="str">
        <x:f>IF(B5149="","Needs decision","Ready")</x:f>
        <x:v>Ready</x:v>
      </x:c>
      <x:c r="D5149" s="6" t="str">
        <x:v>平</x:v>
      </x:c>
      <x:c r="E5149" s="6" t="str"/>
      <x:c r="F5149" s="6" t="str">
        <x:v>上平聲七虞</x:v>
      </x:c>
      <x:c r="G5149" s="6" t="str">
        <x:v>Pingshui main list, Wikisource-derived DOCX</x:v>
      </x:c>
      <x:c r="H5149" s="6" t="str"/>
      <x:c r="I5149" s="6" t="str">
        <x:v>Lu Qinli gap fill from Pingshui main list; 詞 entries ignored</x:v>
      </x:c>
      <x:c r="J5149" s="6" t="str">
        <x:f>IF(B5149="","",IF(AND(ISNUMBER(SEARCH("平",B5149)),OR(ISNUMBER(SEARCH("上",B5149)),ISNUMBER(SEARCH("去",B5149)),ISNUMBER(SEARCH("入",B5149)))),"Ambiguous",IF(ISNUMBER(SEARCH("平",B5149)),"平","仄")))</x:f>
        <x:v>平</x:v>
      </x:c>
      <x:c r="K5149" s="6" t="str">
        <x:f>IF(D5149="","",IF(AND(ISNUMBER(SEARCH("平",D5149)),OR(ISNUMBER(SEARCH("上",D5149)),ISNUMBER(SEARCH("去",D5149)),ISNUMBER(SEARCH("入",D5149)))),"Ambiguous",IF(ISNUMBER(SEARCH("平",D5149)),"平","仄")))</x:f>
        <x:v>平</x:v>
      </x:c>
      <x:c r="L5149" s="7" t="str">
        <x:v>Pingshui main list, Lu Qinli gap fill</x:v>
      </x:c>
    </x:row>
    <x:row r="5150">
      <x:c r="A5150" s="5" t="str">
        <x:v>孳</x:v>
      </x:c>
      <x:c r="B5150" s="6" t="str">
        <x:v>去</x:v>
      </x:c>
      <x:c r="C5150" s="6" t="str">
        <x:f>IF(B5150="","Needs decision","Ready")</x:f>
        <x:v>Ready</x:v>
      </x:c>
      <x:c r="D5150" s="6" t="str">
        <x:v>去</x:v>
      </x:c>
      <x:c r="E5150" s="6" t="str"/>
      <x:c r="F5150" s="6" t="str">
        <x:v>去聲四寘</x:v>
      </x:c>
      <x:c r="G5150" s="6" t="str">
        <x:v>Pingshui main list, Wikisource-derived DOCX</x:v>
      </x:c>
      <x:c r="H5150" s="6" t="str"/>
      <x:c r="I5150" s="6" t="str">
        <x:v>Lu Qinli gap fill from Pingshui main list; 詞 entries ignored</x:v>
      </x:c>
      <x:c r="J5150" s="6" t="str">
        <x:f>IF(B5150="","",IF(AND(ISNUMBER(SEARCH("平",B5150)),OR(ISNUMBER(SEARCH("上",B5150)),ISNUMBER(SEARCH("去",B5150)),ISNUMBER(SEARCH("入",B5150)))),"Ambiguous",IF(ISNUMBER(SEARCH("平",B5150)),"平","仄")))</x:f>
        <x:v>仄</x:v>
      </x:c>
      <x:c r="K5150" s="6" t="str">
        <x:f>IF(D5150="","",IF(AND(ISNUMBER(SEARCH("平",D5150)),OR(ISNUMBER(SEARCH("上",D5150)),ISNUMBER(SEARCH("去",D5150)),ISNUMBER(SEARCH("入",D5150)))),"Ambiguous",IF(ISNUMBER(SEARCH("平",D5150)),"平","仄")))</x:f>
        <x:v>仄</x:v>
      </x:c>
      <x:c r="L5150" s="7" t="str">
        <x:v>Pingshui main list, Lu Qinli gap fill</x:v>
      </x:c>
    </x:row>
    <x:row r="5151">
      <x:c r="A5151" s="5" t="str">
        <x:v>孽</x:v>
      </x:c>
      <x:c r="B5151" s="6" t="str">
        <x:v>入</x:v>
      </x:c>
      <x:c r="C5151" s="6" t="str">
        <x:f>IF(B5151="","Needs decision","Ready")</x:f>
        <x:v>Ready</x:v>
      </x:c>
      <x:c r="D5151" s="6" t="str">
        <x:v>入</x:v>
      </x:c>
      <x:c r="E5151" s="6" t="str"/>
      <x:c r="F5151" s="6" t="str">
        <x:v>入聲九屑</x:v>
      </x:c>
      <x:c r="G5151" s="6" t="str">
        <x:v>Pingshui main list, Wikisource-derived DOCX</x:v>
      </x:c>
      <x:c r="H5151" s="6" t="str"/>
      <x:c r="I5151" s="6" t="str">
        <x:v>Lu Qinli gap fill from Pingshui main list; 詞 entries ignored</x:v>
      </x:c>
      <x:c r="J5151" s="6" t="str">
        <x:f>IF(B5151="","",IF(AND(ISNUMBER(SEARCH("平",B5151)),OR(ISNUMBER(SEARCH("上",B5151)),ISNUMBER(SEARCH("去",B5151)),ISNUMBER(SEARCH("入",B5151)))),"Ambiguous",IF(ISNUMBER(SEARCH("平",B5151)),"平","仄")))</x:f>
        <x:v>仄</x:v>
      </x:c>
      <x:c r="K5151" s="6" t="str">
        <x:f>IF(D5151="","",IF(AND(ISNUMBER(SEARCH("平",D5151)),OR(ISNUMBER(SEARCH("上",D5151)),ISNUMBER(SEARCH("去",D5151)),ISNUMBER(SEARCH("入",D5151)))),"Ambiguous",IF(ISNUMBER(SEARCH("平",D5151)),"平","仄")))</x:f>
        <x:v>仄</x:v>
      </x:c>
      <x:c r="L5151" s="7" t="str">
        <x:v>Pingshui main list, Lu Qinli gap fill</x:v>
      </x:c>
    </x:row>
    <x:row r="5152">
      <x:c r="A5152" s="5" t="str">
        <x:v>宄</x:v>
      </x:c>
      <x:c r="B5152" s="6" t="str"/>
      <x:c r="C5152" s="6" t="str">
        <x:f>IF(B5152="","Needs decision","Ready")</x:f>
        <x:v>Needs decision</x:v>
      </x:c>
      <x:c r="D5152" s="6" t="str">
        <x:v>平/上</x:v>
      </x:c>
      <x:c r="E5152" s="6" t="str"/>
      <x:c r="F5152" s="6" t="str">
        <x:v>下平聲十一尤; 上聲四紙</x:v>
      </x:c>
      <x:c r="G5152" s="6" t="str">
        <x:v>Pingshui main list, Wikisource-derived DOCX</x:v>
      </x:c>
      <x:c r="H5152" s="6" t="str"/>
      <x:c r="I5152" s="6" t="str">
        <x:v>Lu Qinli gap fill from Pingshui main list; 詞 entries ignored</x:v>
      </x:c>
      <x:c r="J5152" s="6" t="str">
        <x:f>IF(B5152="","",IF(AND(ISNUMBER(SEARCH("平",B5152)),OR(ISNUMBER(SEARCH("上",B5152)),ISNUMBER(SEARCH("去",B5152)),ISNUMBER(SEARCH("入",B5152)))),"Ambiguous",IF(ISNUMBER(SEARCH("平",B5152)),"平","仄")))</x:f>
      </x:c>
      <x:c r="K5152" s="6" t="str">
        <x:f>IF(D5152="","",IF(AND(ISNUMBER(SEARCH("平",D5152)),OR(ISNUMBER(SEARCH("上",D5152)),ISNUMBER(SEARCH("去",D5152)),ISNUMBER(SEARCH("入",D5152)))),"Ambiguous",IF(ISNUMBER(SEARCH("平",D5152)),"平","仄")))</x:f>
        <x:v>Ambiguous</x:v>
      </x:c>
      <x:c r="L5152" s="7" t="str">
        <x:v>Pingshui main list, Lu Qinli gap fill</x:v>
      </x:c>
    </x:row>
    <x:row r="5153">
      <x:c r="A5153" s="5" t="str">
        <x:v>宕</x:v>
      </x:c>
      <x:c r="B5153" s="6" t="str">
        <x:v>去</x:v>
      </x:c>
      <x:c r="C5153" s="6" t="str">
        <x:f>IF(B5153="","Needs decision","Ready")</x:f>
        <x:v>Ready</x:v>
      </x:c>
      <x:c r="D5153" s="6" t="str">
        <x:v>去</x:v>
      </x:c>
      <x:c r="E5153" s="6" t="str"/>
      <x:c r="F5153" s="6" t="str">
        <x:v>去聲二十三漾</x:v>
      </x:c>
      <x:c r="G5153" s="6" t="str">
        <x:v>Pingshui main list, Wikisource-derived DOCX</x:v>
      </x:c>
      <x:c r="H5153" s="6" t="str"/>
      <x:c r="I5153" s="6" t="str">
        <x:v>Lu Qinli gap fill from Pingshui main list; 詞 entries ignored</x:v>
      </x:c>
      <x:c r="J5153" s="6" t="str">
        <x:f>IF(B5153="","",IF(AND(ISNUMBER(SEARCH("平",B5153)),OR(ISNUMBER(SEARCH("上",B5153)),ISNUMBER(SEARCH("去",B5153)),ISNUMBER(SEARCH("入",B5153)))),"Ambiguous",IF(ISNUMBER(SEARCH("平",B5153)),"平","仄")))</x:f>
        <x:v>仄</x:v>
      </x:c>
      <x:c r="K5153" s="6" t="str">
        <x:f>IF(D5153="","",IF(AND(ISNUMBER(SEARCH("平",D5153)),OR(ISNUMBER(SEARCH("上",D5153)),ISNUMBER(SEARCH("去",D5153)),ISNUMBER(SEARCH("入",D5153)))),"Ambiguous",IF(ISNUMBER(SEARCH("平",D5153)),"平","仄")))</x:f>
        <x:v>仄</x:v>
      </x:c>
      <x:c r="L5153" s="7" t="str">
        <x:v>Pingshui main list, Lu Qinli gap fill</x:v>
      </x:c>
    </x:row>
    <x:row r="5154">
      <x:c r="A5154" s="5" t="str">
        <x:v>宥</x:v>
      </x:c>
      <x:c r="B5154" s="6" t="str">
        <x:v>去</x:v>
      </x:c>
      <x:c r="C5154" s="6" t="str">
        <x:f>IF(B5154="","Needs decision","Ready")</x:f>
        <x:v>Ready</x:v>
      </x:c>
      <x:c r="D5154" s="6" t="str">
        <x:v>去</x:v>
      </x:c>
      <x:c r="E5154" s="6" t="str"/>
      <x:c r="F5154" s="6" t="str">
        <x:v>去聲二十六宥</x:v>
      </x:c>
      <x:c r="G5154" s="6" t="str">
        <x:v>Pingshui main list, Wikisource-derived DOCX</x:v>
      </x:c>
      <x:c r="H5154" s="6" t="str"/>
      <x:c r="I5154" s="6" t="str">
        <x:v>Lu Qinli gap fill from Pingshui main list; 詞 entries ignored</x:v>
      </x:c>
      <x:c r="J5154" s="6" t="str">
        <x:f>IF(B5154="","",IF(AND(ISNUMBER(SEARCH("平",B5154)),OR(ISNUMBER(SEARCH("上",B5154)),ISNUMBER(SEARCH("去",B5154)),ISNUMBER(SEARCH("入",B5154)))),"Ambiguous",IF(ISNUMBER(SEARCH("平",B5154)),"平","仄")))</x:f>
        <x:v>仄</x:v>
      </x:c>
      <x:c r="K5154" s="6" t="str">
        <x:f>IF(D5154="","",IF(AND(ISNUMBER(SEARCH("平",D5154)),OR(ISNUMBER(SEARCH("上",D5154)),ISNUMBER(SEARCH("去",D5154)),ISNUMBER(SEARCH("入",D5154)))),"Ambiguous",IF(ISNUMBER(SEARCH("平",D5154)),"平","仄")))</x:f>
        <x:v>仄</x:v>
      </x:c>
      <x:c r="L5154" s="7" t="str">
        <x:v>Pingshui main list, Lu Qinli gap fill</x:v>
      </x:c>
    </x:row>
    <x:row r="5155">
      <x:c r="A5155" s="5" t="str">
        <x:v>寀</x:v>
      </x:c>
      <x:c r="B5155" s="6" t="str">
        <x:v>上</x:v>
      </x:c>
      <x:c r="C5155" s="6" t="str">
        <x:f>IF(B5155="","Needs decision","Ready")</x:f>
        <x:v>Ready</x:v>
      </x:c>
      <x:c r="D5155" s="6" t="str">
        <x:v>上</x:v>
      </x:c>
      <x:c r="E5155" s="6" t="str"/>
      <x:c r="F5155" s="6" t="str">
        <x:v>上聲十賄</x:v>
      </x:c>
      <x:c r="G5155" s="6" t="str">
        <x:v>Pingshui main list, Wikisource-derived DOCX</x:v>
      </x:c>
      <x:c r="H5155" s="6" t="str"/>
      <x:c r="I5155" s="6" t="str">
        <x:v>Lu Qinli gap fill from Pingshui main list; 詞 entries ignored</x:v>
      </x:c>
      <x:c r="J5155" s="6" t="str">
        <x:f>IF(B5155="","",IF(AND(ISNUMBER(SEARCH("平",B5155)),OR(ISNUMBER(SEARCH("上",B5155)),ISNUMBER(SEARCH("去",B5155)),ISNUMBER(SEARCH("入",B5155)))),"Ambiguous",IF(ISNUMBER(SEARCH("平",B5155)),"平","仄")))</x:f>
        <x:v>仄</x:v>
      </x:c>
      <x:c r="K5155" s="6" t="str">
        <x:f>IF(D5155="","",IF(AND(ISNUMBER(SEARCH("平",D5155)),OR(ISNUMBER(SEARCH("上",D5155)),ISNUMBER(SEARCH("去",D5155)),ISNUMBER(SEARCH("入",D5155)))),"Ambiguous",IF(ISNUMBER(SEARCH("平",D5155)),"平","仄")))</x:f>
        <x:v>仄</x:v>
      </x:c>
      <x:c r="L5155" s="7" t="str">
        <x:v>Pingshui main list, Lu Qinli gap fill</x:v>
      </x:c>
    </x:row>
    <x:row r="5156">
      <x:c r="A5156" s="5" t="str">
        <x:v>寔</x:v>
      </x:c>
      <x:c r="B5156" s="6" t="str">
        <x:v>入</x:v>
      </x:c>
      <x:c r="C5156" s="6" t="str">
        <x:f>IF(B5156="","Needs decision","Ready")</x:f>
        <x:v>Ready</x:v>
      </x:c>
      <x:c r="D5156" s="6" t="str">
        <x:v>入</x:v>
      </x:c>
      <x:c r="E5156" s="6" t="str"/>
      <x:c r="F5156" s="6" t="str">
        <x:v>入聲十三職</x:v>
      </x:c>
      <x:c r="G5156" s="6" t="str">
        <x:v>Pingshui main list, Wikisource-derived DOCX</x:v>
      </x:c>
      <x:c r="H5156" s="6" t="str"/>
      <x:c r="I5156" s="6" t="str">
        <x:v>Lu Qinli gap fill from Pingshui main list; 詞 entries ignored</x:v>
      </x:c>
      <x:c r="J5156" s="6" t="str">
        <x:f>IF(B5156="","",IF(AND(ISNUMBER(SEARCH("平",B5156)),OR(ISNUMBER(SEARCH("上",B5156)),ISNUMBER(SEARCH("去",B5156)),ISNUMBER(SEARCH("入",B5156)))),"Ambiguous",IF(ISNUMBER(SEARCH("平",B5156)),"平","仄")))</x:f>
        <x:v>仄</x:v>
      </x:c>
      <x:c r="K5156" s="6" t="str">
        <x:f>IF(D5156="","",IF(AND(ISNUMBER(SEARCH("平",D5156)),OR(ISNUMBER(SEARCH("上",D5156)),ISNUMBER(SEARCH("去",D5156)),ISNUMBER(SEARCH("入",D5156)))),"Ambiguous",IF(ISNUMBER(SEARCH("平",D5156)),"平","仄")))</x:f>
        <x:v>仄</x:v>
      </x:c>
      <x:c r="L5156" s="7" t="str">
        <x:v>Pingshui main list, Lu Qinli gap fill</x:v>
      </x:c>
    </x:row>
    <x:row r="5157">
      <x:c r="A5157" s="5" t="str">
        <x:v>寮</x:v>
      </x:c>
      <x:c r="B5157" s="6" t="str">
        <x:v>平</x:v>
      </x:c>
      <x:c r="C5157" s="6" t="str">
        <x:f>IF(B5157="","Needs decision","Ready")</x:f>
        <x:v>Ready</x:v>
      </x:c>
      <x:c r="D5157" s="6" t="str">
        <x:v>平</x:v>
      </x:c>
      <x:c r="E5157" s="6" t="str"/>
      <x:c r="F5157" s="6" t="str">
        <x:v>下平聲二蕭</x:v>
      </x:c>
      <x:c r="G5157" s="6" t="str">
        <x:v>Pingshui main list, Wikisource-derived DOCX</x:v>
      </x:c>
      <x:c r="H5157" s="6" t="str"/>
      <x:c r="I5157" s="6" t="str">
        <x:v>Lu Qinli gap fill from Pingshui main list; 詞 entries ignored</x:v>
      </x:c>
      <x:c r="J5157" s="6" t="str">
        <x:f>IF(B5157="","",IF(AND(ISNUMBER(SEARCH("平",B5157)),OR(ISNUMBER(SEARCH("上",B5157)),ISNUMBER(SEARCH("去",B5157)),ISNUMBER(SEARCH("入",B5157)))),"Ambiguous",IF(ISNUMBER(SEARCH("平",B5157)),"平","仄")))</x:f>
        <x:v>平</x:v>
      </x:c>
      <x:c r="K5157" s="6" t="str">
        <x:f>IF(D5157="","",IF(AND(ISNUMBER(SEARCH("平",D5157)),OR(ISNUMBER(SEARCH("上",D5157)),ISNUMBER(SEARCH("去",D5157)),ISNUMBER(SEARCH("入",D5157)))),"Ambiguous",IF(ISNUMBER(SEARCH("平",D5157)),"平","仄")))</x:f>
        <x:v>平</x:v>
      </x:c>
      <x:c r="L5157" s="7" t="str">
        <x:v>Pingshui main list, Lu Qinli gap fill</x:v>
      </x:c>
    </x:row>
    <x:row r="5158">
      <x:c r="A5158" s="5" t="str">
        <x:v>尖</x:v>
      </x:c>
      <x:c r="B5158" s="6" t="str">
        <x:v>平</x:v>
      </x:c>
      <x:c r="C5158" s="6" t="str">
        <x:f>IF(B5158="","Needs decision","Ready")</x:f>
        <x:v>Ready</x:v>
      </x:c>
      <x:c r="D5158" s="6" t="str">
        <x:v>平</x:v>
      </x:c>
      <x:c r="E5158" s="6" t="str"/>
      <x:c r="F5158" s="6" t="str">
        <x:v>下平聲十四鹽</x:v>
      </x:c>
      <x:c r="G5158" s="6" t="str">
        <x:v>Pingshui main list, Wikisource-derived DOCX</x:v>
      </x:c>
      <x:c r="H5158" s="6" t="str"/>
      <x:c r="I5158" s="6" t="str">
        <x:v>Lu Qinli gap fill from Pingshui main list; 詞 entries ignored</x:v>
      </x:c>
      <x:c r="J5158" s="6" t="str">
        <x:f>IF(B5158="","",IF(AND(ISNUMBER(SEARCH("平",B5158)),OR(ISNUMBER(SEARCH("上",B5158)),ISNUMBER(SEARCH("去",B5158)),ISNUMBER(SEARCH("入",B5158)))),"Ambiguous",IF(ISNUMBER(SEARCH("平",B5158)),"平","仄")))</x:f>
        <x:v>平</x:v>
      </x:c>
      <x:c r="K5158" s="6" t="str">
        <x:f>IF(D5158="","",IF(AND(ISNUMBER(SEARCH("平",D5158)),OR(ISNUMBER(SEARCH("上",D5158)),ISNUMBER(SEARCH("去",D5158)),ISNUMBER(SEARCH("入",D5158)))),"Ambiguous",IF(ISNUMBER(SEARCH("平",D5158)),"平","仄")))</x:f>
        <x:v>平</x:v>
      </x:c>
      <x:c r="L5158" s="7" t="str">
        <x:v>Pingshui main list, Lu Qinli gap fill</x:v>
      </x:c>
    </x:row>
    <x:row r="5159">
      <x:c r="A5159" s="5" t="str">
        <x:v>屣</x:v>
      </x:c>
      <x:c r="B5159" s="6" t="str"/>
      <x:c r="C5159" s="6" t="str">
        <x:f>IF(B5159="","Needs decision","Ready")</x:f>
        <x:v>Needs decision</x:v>
      </x:c>
      <x:c r="D5159" s="6" t="str">
        <x:v>上/去</x:v>
      </x:c>
      <x:c r="E5159" s="6" t="str"/>
      <x:c r="F5159" s="6" t="str">
        <x:v>上聲四紙; 去聲四寘</x:v>
      </x:c>
      <x:c r="G5159" s="6" t="str">
        <x:v>Pingshui main list, Wikisource-derived DOCX</x:v>
      </x:c>
      <x:c r="H5159" s="6" t="str"/>
      <x:c r="I5159" s="6" t="str">
        <x:v>Lu Qinli gap fill from Pingshui main list; 詞 entries ignored</x:v>
      </x:c>
      <x:c r="J5159" s="6" t="str">
        <x:f>IF(B5159="","",IF(AND(ISNUMBER(SEARCH("平",B5159)),OR(ISNUMBER(SEARCH("上",B5159)),ISNUMBER(SEARCH("去",B5159)),ISNUMBER(SEARCH("入",B5159)))),"Ambiguous",IF(ISNUMBER(SEARCH("平",B5159)),"平","仄")))</x:f>
      </x:c>
      <x:c r="K5159" s="6" t="str">
        <x:f>IF(D5159="","",IF(AND(ISNUMBER(SEARCH("平",D5159)),OR(ISNUMBER(SEARCH("上",D5159)),ISNUMBER(SEARCH("去",D5159)),ISNUMBER(SEARCH("入",D5159)))),"Ambiguous",IF(ISNUMBER(SEARCH("平",D5159)),"平","仄")))</x:f>
        <x:v>仄</x:v>
      </x:c>
      <x:c r="L5159" s="7" t="str">
        <x:v>Pingshui main list, Lu Qinli gap fill</x:v>
      </x:c>
    </x:row>
    <x:row r="5160">
      <x:c r="A5160" s="5" t="str">
        <x:v>屩</x:v>
      </x:c>
      <x:c r="B5160" s="6" t="str">
        <x:v>入</x:v>
      </x:c>
      <x:c r="C5160" s="6" t="str">
        <x:f>IF(B5160="","Needs decision","Ready")</x:f>
        <x:v>Ready</x:v>
      </x:c>
      <x:c r="D5160" s="6" t="str">
        <x:v>入</x:v>
      </x:c>
      <x:c r="E5160" s="6" t="str"/>
      <x:c r="F5160" s="6" t="str">
        <x:v>入聲十藥</x:v>
      </x:c>
      <x:c r="G5160" s="6" t="str">
        <x:v>Pingshui main list, Wikisource-derived DOCX</x:v>
      </x:c>
      <x:c r="H5160" s="6" t="str"/>
      <x:c r="I5160" s="6" t="str">
        <x:v>Lu Qinli gap fill from Pingshui main list; 詞 entries ignored</x:v>
      </x:c>
      <x:c r="J5160" s="6" t="str">
        <x:f>IF(B5160="","",IF(AND(ISNUMBER(SEARCH("平",B5160)),OR(ISNUMBER(SEARCH("上",B5160)),ISNUMBER(SEARCH("去",B5160)),ISNUMBER(SEARCH("入",B5160)))),"Ambiguous",IF(ISNUMBER(SEARCH("平",B5160)),"平","仄")))</x:f>
        <x:v>仄</x:v>
      </x:c>
      <x:c r="K5160" s="6" t="str">
        <x:f>IF(D5160="","",IF(AND(ISNUMBER(SEARCH("平",D5160)),OR(ISNUMBER(SEARCH("上",D5160)),ISNUMBER(SEARCH("去",D5160)),ISNUMBER(SEARCH("入",D5160)))),"Ambiguous",IF(ISNUMBER(SEARCH("平",D5160)),"平","仄")))</x:f>
        <x:v>仄</x:v>
      </x:c>
      <x:c r="L5160" s="7" t="str">
        <x:v>Pingshui main list, Lu Qinli gap fill</x:v>
      </x:c>
    </x:row>
    <x:row r="5161">
      <x:c r="A5161" s="5" t="str">
        <x:v>岈</x:v>
      </x:c>
      <x:c r="B5161" s="6" t="str">
        <x:v>平</x:v>
      </x:c>
      <x:c r="C5161" s="6" t="str">
        <x:f>IF(B5161="","Needs decision","Ready")</x:f>
        <x:v>Ready</x:v>
      </x:c>
      <x:c r="D5161" s="6" t="str">
        <x:v>平</x:v>
      </x:c>
      <x:c r="E5161" s="6" t="str"/>
      <x:c r="F5161" s="6" t="str">
        <x:v>下平聲六麻</x:v>
      </x:c>
      <x:c r="G5161" s="6" t="str">
        <x:v>Pingshui main list, Wikisource-derived DOCX</x:v>
      </x:c>
      <x:c r="H5161" s="6" t="str"/>
      <x:c r="I5161" s="6" t="str">
        <x:v>Lu Qinli gap fill from Pingshui main list; 詞 entries ignored</x:v>
      </x:c>
      <x:c r="J5161" s="6" t="str">
        <x:f>IF(B5161="","",IF(AND(ISNUMBER(SEARCH("平",B5161)),OR(ISNUMBER(SEARCH("上",B5161)),ISNUMBER(SEARCH("去",B5161)),ISNUMBER(SEARCH("入",B5161)))),"Ambiguous",IF(ISNUMBER(SEARCH("平",B5161)),"平","仄")))</x:f>
        <x:v>平</x:v>
      </x:c>
      <x:c r="K5161" s="6" t="str">
        <x:f>IF(D5161="","",IF(AND(ISNUMBER(SEARCH("平",D5161)),OR(ISNUMBER(SEARCH("上",D5161)),ISNUMBER(SEARCH("去",D5161)),ISNUMBER(SEARCH("入",D5161)))),"Ambiguous",IF(ISNUMBER(SEARCH("平",D5161)),"平","仄")))</x:f>
        <x:v>平</x:v>
      </x:c>
      <x:c r="L5161" s="7" t="str">
        <x:v>Pingshui main list, Lu Qinli gap fill</x:v>
      </x:c>
    </x:row>
    <x:row r="5162">
      <x:c r="A5162" s="5" t="str">
        <x:v>岌</x:v>
      </x:c>
      <x:c r="B5162" s="6" t="str">
        <x:v>入</x:v>
      </x:c>
      <x:c r="C5162" s="6" t="str">
        <x:f>IF(B5162="","Needs decision","Ready")</x:f>
        <x:v>Ready</x:v>
      </x:c>
      <x:c r="D5162" s="6" t="str">
        <x:v>入</x:v>
      </x:c>
      <x:c r="E5162" s="6" t="str"/>
      <x:c r="F5162" s="6" t="str">
        <x:v>入聲十四緝</x:v>
      </x:c>
      <x:c r="G5162" s="6" t="str">
        <x:v>Pingshui main list, Wikisource-derived DOCX</x:v>
      </x:c>
      <x:c r="H5162" s="6" t="str"/>
      <x:c r="I5162" s="6" t="str">
        <x:v>Lu Qinli gap fill from Pingshui main list; 詞 entries ignored</x:v>
      </x:c>
      <x:c r="J5162" s="6" t="str">
        <x:f>IF(B5162="","",IF(AND(ISNUMBER(SEARCH("平",B5162)),OR(ISNUMBER(SEARCH("上",B5162)),ISNUMBER(SEARCH("去",B5162)),ISNUMBER(SEARCH("入",B5162)))),"Ambiguous",IF(ISNUMBER(SEARCH("平",B5162)),"平","仄")))</x:f>
        <x:v>仄</x:v>
      </x:c>
      <x:c r="K5162" s="6" t="str">
        <x:f>IF(D5162="","",IF(AND(ISNUMBER(SEARCH("平",D5162)),OR(ISNUMBER(SEARCH("上",D5162)),ISNUMBER(SEARCH("去",D5162)),ISNUMBER(SEARCH("入",D5162)))),"Ambiguous",IF(ISNUMBER(SEARCH("平",D5162)),"平","仄")))</x:f>
        <x:v>仄</x:v>
      </x:c>
      <x:c r="L5162" s="7" t="str">
        <x:v>Pingshui main list, Lu Qinli gap fill</x:v>
      </x:c>
    </x:row>
    <x:row r="5163">
      <x:c r="A5163" s="5" t="str">
        <x:v>岏</x:v>
      </x:c>
      <x:c r="B5163" s="6" t="str">
        <x:v>平</x:v>
      </x:c>
      <x:c r="C5163" s="6" t="str">
        <x:f>IF(B5163="","Needs decision","Ready")</x:f>
        <x:v>Ready</x:v>
      </x:c>
      <x:c r="D5163" s="6" t="str">
        <x:v>平</x:v>
      </x:c>
      <x:c r="E5163" s="6" t="str"/>
      <x:c r="F5163" s="6" t="str">
        <x:v>上平聲十四寒</x:v>
      </x:c>
      <x:c r="G5163" s="6" t="str">
        <x:v>Pingshui main list, Wikisource-derived DOCX</x:v>
      </x:c>
      <x:c r="H5163" s="6" t="str"/>
      <x:c r="I5163" s="6" t="str">
        <x:v>Lu Qinli gap fill from Pingshui main list; 詞 entries ignored</x:v>
      </x:c>
      <x:c r="J5163" s="6" t="str">
        <x:f>IF(B5163="","",IF(AND(ISNUMBER(SEARCH("平",B5163)),OR(ISNUMBER(SEARCH("上",B5163)),ISNUMBER(SEARCH("去",B5163)),ISNUMBER(SEARCH("入",B5163)))),"Ambiguous",IF(ISNUMBER(SEARCH("平",B5163)),"平","仄")))</x:f>
        <x:v>平</x:v>
      </x:c>
      <x:c r="K5163" s="6" t="str">
        <x:f>IF(D5163="","",IF(AND(ISNUMBER(SEARCH("平",D5163)),OR(ISNUMBER(SEARCH("上",D5163)),ISNUMBER(SEARCH("去",D5163)),ISNUMBER(SEARCH("入",D5163)))),"Ambiguous",IF(ISNUMBER(SEARCH("平",D5163)),"平","仄")))</x:f>
        <x:v>平</x:v>
      </x:c>
      <x:c r="L5163" s="7" t="str">
        <x:v>Pingshui main list, Lu Qinli gap fill</x:v>
      </x:c>
    </x:row>
    <x:row r="5164">
      <x:c r="A5164" s="5" t="str">
        <x:v>岝</x:v>
      </x:c>
      <x:c r="B5164" s="6" t="str">
        <x:v>入</x:v>
      </x:c>
      <x:c r="C5164" s="6" t="str">
        <x:f>IF(B5164="","Needs decision","Ready")</x:f>
        <x:v>Ready</x:v>
      </x:c>
      <x:c r="D5164" s="6" t="str">
        <x:v>入</x:v>
      </x:c>
      <x:c r="E5164" s="6" t="str"/>
      <x:c r="F5164" s="6" t="str">
        <x:v>入聲十藥</x:v>
      </x:c>
      <x:c r="G5164" s="6" t="str">
        <x:v>Pingshui main list, Wikisource-derived DOCX</x:v>
      </x:c>
      <x:c r="H5164" s="6" t="str"/>
      <x:c r="I5164" s="6" t="str">
        <x:v>Lu Qinli gap fill from Pingshui main list; 詞 entries ignored</x:v>
      </x:c>
      <x:c r="J5164" s="6" t="str">
        <x:f>IF(B5164="","",IF(AND(ISNUMBER(SEARCH("平",B5164)),OR(ISNUMBER(SEARCH("上",B5164)),ISNUMBER(SEARCH("去",B5164)),ISNUMBER(SEARCH("入",B5164)))),"Ambiguous",IF(ISNUMBER(SEARCH("平",B5164)),"平","仄")))</x:f>
        <x:v>仄</x:v>
      </x:c>
      <x:c r="K5164" s="6" t="str">
        <x:f>IF(D5164="","",IF(AND(ISNUMBER(SEARCH("平",D5164)),OR(ISNUMBER(SEARCH("上",D5164)),ISNUMBER(SEARCH("去",D5164)),ISNUMBER(SEARCH("入",D5164)))),"Ambiguous",IF(ISNUMBER(SEARCH("平",D5164)),"平","仄")))</x:f>
        <x:v>仄</x:v>
      </x:c>
      <x:c r="L5164" s="7" t="str">
        <x:v>Pingshui main list, Lu Qinli gap fill</x:v>
      </x:c>
    </x:row>
    <x:row r="5165">
      <x:c r="A5165" s="5" t="str">
        <x:v>岵</x:v>
      </x:c>
      <x:c r="B5165" s="6" t="str">
        <x:v>上</x:v>
      </x:c>
      <x:c r="C5165" s="6" t="str">
        <x:f>IF(B5165="","Needs decision","Ready")</x:f>
        <x:v>Ready</x:v>
      </x:c>
      <x:c r="D5165" s="6" t="str">
        <x:v>上</x:v>
      </x:c>
      <x:c r="E5165" s="6" t="str"/>
      <x:c r="F5165" s="6" t="str">
        <x:v>上聲七麌</x:v>
      </x:c>
      <x:c r="G5165" s="6" t="str">
        <x:v>Pingshui main list, Wikisource-derived DOCX</x:v>
      </x:c>
      <x:c r="H5165" s="6" t="str"/>
      <x:c r="I5165" s="6" t="str">
        <x:v>Lu Qinli gap fill from Pingshui main list; 詞 entries ignored</x:v>
      </x:c>
      <x:c r="J5165" s="6" t="str">
        <x:f>IF(B5165="","",IF(AND(ISNUMBER(SEARCH("平",B5165)),OR(ISNUMBER(SEARCH("上",B5165)),ISNUMBER(SEARCH("去",B5165)),ISNUMBER(SEARCH("入",B5165)))),"Ambiguous",IF(ISNUMBER(SEARCH("平",B5165)),"平","仄")))</x:f>
        <x:v>仄</x:v>
      </x:c>
      <x:c r="K5165" s="6" t="str">
        <x:f>IF(D5165="","",IF(AND(ISNUMBER(SEARCH("平",D5165)),OR(ISNUMBER(SEARCH("上",D5165)),ISNUMBER(SEARCH("去",D5165)),ISNUMBER(SEARCH("入",D5165)))),"Ambiguous",IF(ISNUMBER(SEARCH("平",D5165)),"平","仄")))</x:f>
        <x:v>仄</x:v>
      </x:c>
      <x:c r="L5165" s="7" t="str">
        <x:v>Pingshui main list, Lu Qinli gap fill</x:v>
      </x:c>
    </x:row>
    <x:row r="5166">
      <x:c r="A5166" s="5" t="str">
        <x:v>岷</x:v>
      </x:c>
      <x:c r="B5166" s="6" t="str">
        <x:v>平</x:v>
      </x:c>
      <x:c r="C5166" s="6" t="str">
        <x:f>IF(B5166="","Needs decision","Ready")</x:f>
        <x:v>Ready</x:v>
      </x:c>
      <x:c r="D5166" s="6" t="str">
        <x:v>平</x:v>
      </x:c>
      <x:c r="E5166" s="6" t="str"/>
      <x:c r="F5166" s="6" t="str">
        <x:v>上平聲十一真</x:v>
      </x:c>
      <x:c r="G5166" s="6" t="str">
        <x:v>Pingshui main list, Wikisource-derived DOCX</x:v>
      </x:c>
      <x:c r="H5166" s="6" t="str"/>
      <x:c r="I5166" s="6" t="str">
        <x:v>Lu Qinli gap fill from Pingshui main list; 詞 entries ignored</x:v>
      </x:c>
      <x:c r="J5166" s="6" t="str">
        <x:f>IF(B5166="","",IF(AND(ISNUMBER(SEARCH("平",B5166)),OR(ISNUMBER(SEARCH("上",B5166)),ISNUMBER(SEARCH("去",B5166)),ISNUMBER(SEARCH("入",B5166)))),"Ambiguous",IF(ISNUMBER(SEARCH("平",B5166)),"平","仄")))</x:f>
        <x:v>平</x:v>
      </x:c>
      <x:c r="K5166" s="6" t="str">
        <x:f>IF(D5166="","",IF(AND(ISNUMBER(SEARCH("平",D5166)),OR(ISNUMBER(SEARCH("上",D5166)),ISNUMBER(SEARCH("去",D5166)),ISNUMBER(SEARCH("入",D5166)))),"Ambiguous",IF(ISNUMBER(SEARCH("平",D5166)),"平","仄")))</x:f>
        <x:v>平</x:v>
      </x:c>
      <x:c r="L5166" s="7" t="str">
        <x:v>Pingshui main list, Lu Qinli gap fill</x:v>
      </x:c>
    </x:row>
    <x:row r="5167">
      <x:c r="A5167" s="5" t="str">
        <x:v>峋</x:v>
      </x:c>
      <x:c r="B5167" s="6" t="str">
        <x:v>平</x:v>
      </x:c>
      <x:c r="C5167" s="6" t="str">
        <x:f>IF(B5167="","Needs decision","Ready")</x:f>
        <x:v>Ready</x:v>
      </x:c>
      <x:c r="D5167" s="6" t="str">
        <x:v>平</x:v>
      </x:c>
      <x:c r="E5167" s="6" t="str"/>
      <x:c r="F5167" s="6" t="str">
        <x:v>上平聲十一真</x:v>
      </x:c>
      <x:c r="G5167" s="6" t="str">
        <x:v>Pingshui main list, Wikisource-derived DOCX</x:v>
      </x:c>
      <x:c r="H5167" s="6" t="str"/>
      <x:c r="I5167" s="6" t="str">
        <x:v>Lu Qinli gap fill from Pingshui main list; 詞 entries ignored</x:v>
      </x:c>
      <x:c r="J5167" s="6" t="str">
        <x:f>IF(B5167="","",IF(AND(ISNUMBER(SEARCH("平",B5167)),OR(ISNUMBER(SEARCH("上",B5167)),ISNUMBER(SEARCH("去",B5167)),ISNUMBER(SEARCH("入",B5167)))),"Ambiguous",IF(ISNUMBER(SEARCH("平",B5167)),"平","仄")))</x:f>
        <x:v>平</x:v>
      </x:c>
      <x:c r="K5167" s="6" t="str">
        <x:f>IF(D5167="","",IF(AND(ISNUMBER(SEARCH("平",D5167)),OR(ISNUMBER(SEARCH("上",D5167)),ISNUMBER(SEARCH("去",D5167)),ISNUMBER(SEARCH("入",D5167)))),"Ambiguous",IF(ISNUMBER(SEARCH("平",D5167)),"平","仄")))</x:f>
        <x:v>平</x:v>
      </x:c>
      <x:c r="L5167" s="7" t="str">
        <x:v>Pingshui main list, Lu Qinli gap fill</x:v>
      </x:c>
    </x:row>
    <x:row r="5168">
      <x:c r="A5168" s="5" t="str">
        <x:v>峒</x:v>
      </x:c>
      <x:c r="B5168" s="6" t="str">
        <x:v>平</x:v>
      </x:c>
      <x:c r="C5168" s="6" t="str">
        <x:f>IF(B5168="","Needs decision","Ready")</x:f>
        <x:v>Ready</x:v>
      </x:c>
      <x:c r="D5168" s="6" t="str">
        <x:v>平</x:v>
      </x:c>
      <x:c r="E5168" s="6" t="str"/>
      <x:c r="F5168" s="6" t="str">
        <x:v>上平聲一東</x:v>
      </x:c>
      <x:c r="G5168" s="6" t="str">
        <x:v>Pingshui main list, Wikisource-derived DOCX</x:v>
      </x:c>
      <x:c r="H5168" s="6" t="str"/>
      <x:c r="I5168" s="6" t="str">
        <x:v>Lu Qinli gap fill from Pingshui main list; 詞 entries ignored</x:v>
      </x:c>
      <x:c r="J5168" s="6" t="str">
        <x:f>IF(B5168="","",IF(AND(ISNUMBER(SEARCH("平",B5168)),OR(ISNUMBER(SEARCH("上",B5168)),ISNUMBER(SEARCH("去",B5168)),ISNUMBER(SEARCH("入",B5168)))),"Ambiguous",IF(ISNUMBER(SEARCH("平",B5168)),"平","仄")))</x:f>
        <x:v>平</x:v>
      </x:c>
      <x:c r="K5168" s="6" t="str">
        <x:f>IF(D5168="","",IF(AND(ISNUMBER(SEARCH("平",D5168)),OR(ISNUMBER(SEARCH("上",D5168)),ISNUMBER(SEARCH("去",D5168)),ISNUMBER(SEARCH("入",D5168)))),"Ambiguous",IF(ISNUMBER(SEARCH("平",D5168)),"平","仄")))</x:f>
        <x:v>平</x:v>
      </x:c>
      <x:c r="L5168" s="7" t="str">
        <x:v>Pingshui main list, Lu Qinli gap fill</x:v>
      </x:c>
    </x:row>
    <x:row r="5169">
      <x:c r="A5169" s="5" t="str">
        <x:v>峙</x:v>
      </x:c>
      <x:c r="B5169" s="6" t="str">
        <x:v>上</x:v>
      </x:c>
      <x:c r="C5169" s="6" t="str">
        <x:f>IF(B5169="","Needs decision","Ready")</x:f>
        <x:v>Ready</x:v>
      </x:c>
      <x:c r="D5169" s="6" t="str">
        <x:v>上</x:v>
      </x:c>
      <x:c r="E5169" s="6" t="str"/>
      <x:c r="F5169" s="6" t="str">
        <x:v>上聲四紙</x:v>
      </x:c>
      <x:c r="G5169" s="6" t="str">
        <x:v>Pingshui main list, Wikisource-derived DOCX</x:v>
      </x:c>
      <x:c r="H5169" s="6" t="str"/>
      <x:c r="I5169" s="6" t="str">
        <x:v>Lu Qinli gap fill from Pingshui main list; 詞 entries ignored</x:v>
      </x:c>
      <x:c r="J5169" s="6" t="str">
        <x:f>IF(B5169="","",IF(AND(ISNUMBER(SEARCH("平",B5169)),OR(ISNUMBER(SEARCH("上",B5169)),ISNUMBER(SEARCH("去",B5169)),ISNUMBER(SEARCH("入",B5169)))),"Ambiguous",IF(ISNUMBER(SEARCH("平",B5169)),"平","仄")))</x:f>
        <x:v>仄</x:v>
      </x:c>
      <x:c r="K5169" s="6" t="str">
        <x:f>IF(D5169="","",IF(AND(ISNUMBER(SEARCH("平",D5169)),OR(ISNUMBER(SEARCH("上",D5169)),ISNUMBER(SEARCH("去",D5169)),ISNUMBER(SEARCH("入",D5169)))),"Ambiguous",IF(ISNUMBER(SEARCH("平",D5169)),"平","仄")))</x:f>
        <x:v>仄</x:v>
      </x:c>
      <x:c r="L5169" s="7" t="str">
        <x:v>Pingshui main list, Lu Qinli gap fill</x:v>
      </x:c>
    </x:row>
    <x:row r="5170">
      <x:c r="A5170" s="5" t="str">
        <x:v>峴</x:v>
      </x:c>
      <x:c r="B5170" s="6" t="str">
        <x:v>上</x:v>
      </x:c>
      <x:c r="C5170" s="6" t="str">
        <x:f>IF(B5170="","Needs decision","Ready")</x:f>
        <x:v>Ready</x:v>
      </x:c>
      <x:c r="D5170" s="6" t="str">
        <x:v>上</x:v>
      </x:c>
      <x:c r="E5170" s="6" t="str"/>
      <x:c r="F5170" s="6" t="str">
        <x:v>上聲十六銑</x:v>
      </x:c>
      <x:c r="G5170" s="6" t="str">
        <x:v>Pingshui main list, Wikisource-derived DOCX</x:v>
      </x:c>
      <x:c r="H5170" s="6" t="str"/>
      <x:c r="I5170" s="6" t="str">
        <x:v>Lu Qinli gap fill from Pingshui main list; 詞 entries ignored</x:v>
      </x:c>
      <x:c r="J5170" s="6" t="str">
        <x:f>IF(B5170="","",IF(AND(ISNUMBER(SEARCH("平",B5170)),OR(ISNUMBER(SEARCH("上",B5170)),ISNUMBER(SEARCH("去",B5170)),ISNUMBER(SEARCH("入",B5170)))),"Ambiguous",IF(ISNUMBER(SEARCH("平",B5170)),"平","仄")))</x:f>
        <x:v>仄</x:v>
      </x:c>
      <x:c r="K5170" s="6" t="str">
        <x:f>IF(D5170="","",IF(AND(ISNUMBER(SEARCH("平",D5170)),OR(ISNUMBER(SEARCH("上",D5170)),ISNUMBER(SEARCH("去",D5170)),ISNUMBER(SEARCH("入",D5170)))),"Ambiguous",IF(ISNUMBER(SEARCH("平",D5170)),"平","仄")))</x:f>
        <x:v>仄</x:v>
      </x:c>
      <x:c r="L5170" s="7" t="str">
        <x:v>Pingshui main list, Lu Qinli gap fill</x:v>
      </x:c>
    </x:row>
    <x:row r="5171">
      <x:c r="A5171" s="5" t="str">
        <x:v>崑</x:v>
      </x:c>
      <x:c r="B5171" s="6" t="str">
        <x:v>平</x:v>
      </x:c>
      <x:c r="C5171" s="6" t="str">
        <x:f>IF(B5171="","Needs decision","Ready")</x:f>
        <x:v>Ready</x:v>
      </x:c>
      <x:c r="D5171" s="6" t="str">
        <x:v>平</x:v>
      </x:c>
      <x:c r="E5171" s="6" t="str"/>
      <x:c r="F5171" s="6" t="str">
        <x:v>上平聲十三元</x:v>
      </x:c>
      <x:c r="G5171" s="6" t="str">
        <x:v>Pingshui main list, Wikisource-derived DOCX</x:v>
      </x:c>
      <x:c r="H5171" s="6" t="str"/>
      <x:c r="I5171" s="6" t="str">
        <x:v>Lu Qinli gap fill from Pingshui main list; 詞 entries ignored</x:v>
      </x:c>
      <x:c r="J5171" s="6" t="str">
        <x:f>IF(B5171="","",IF(AND(ISNUMBER(SEARCH("平",B5171)),OR(ISNUMBER(SEARCH("上",B5171)),ISNUMBER(SEARCH("去",B5171)),ISNUMBER(SEARCH("入",B5171)))),"Ambiguous",IF(ISNUMBER(SEARCH("平",B5171)),"平","仄")))</x:f>
        <x:v>平</x:v>
      </x:c>
      <x:c r="K5171" s="6" t="str">
        <x:f>IF(D5171="","",IF(AND(ISNUMBER(SEARCH("平",D5171)),OR(ISNUMBER(SEARCH("上",D5171)),ISNUMBER(SEARCH("去",D5171)),ISNUMBER(SEARCH("入",D5171)))),"Ambiguous",IF(ISNUMBER(SEARCH("平",D5171)),"平","仄")))</x:f>
        <x:v>平</x:v>
      </x:c>
      <x:c r="L5171" s="7" t="str">
        <x:v>Pingshui main list, Lu Qinli gap fill</x:v>
      </x:c>
    </x:row>
    <x:row r="5172">
      <x:c r="A5172" s="5" t="str">
        <x:v>崒</x:v>
      </x:c>
      <x:c r="B5172" s="6" t="str">
        <x:v>入</x:v>
      </x:c>
      <x:c r="C5172" s="6" t="str">
        <x:f>IF(B5172="","Needs decision","Ready")</x:f>
        <x:v>Ready</x:v>
      </x:c>
      <x:c r="D5172" s="6" t="str">
        <x:v>入</x:v>
      </x:c>
      <x:c r="E5172" s="6" t="str"/>
      <x:c r="F5172" s="6" t="str">
        <x:v>入聲四質; 入聲六月</x:v>
      </x:c>
      <x:c r="G5172" s="6" t="str">
        <x:v>Pingshui main list, Wikisource-derived DOCX</x:v>
      </x:c>
      <x:c r="H5172" s="6" t="str"/>
      <x:c r="I5172" s="6" t="str">
        <x:v>Lu Qinli gap fill from Pingshui main list; 詞 entries ignored</x:v>
      </x:c>
      <x:c r="J5172" s="6" t="str">
        <x:f>IF(B5172="","",IF(AND(ISNUMBER(SEARCH("平",B5172)),OR(ISNUMBER(SEARCH("上",B5172)),ISNUMBER(SEARCH("去",B5172)),ISNUMBER(SEARCH("入",B5172)))),"Ambiguous",IF(ISNUMBER(SEARCH("平",B5172)),"平","仄")))</x:f>
        <x:v>仄</x:v>
      </x:c>
      <x:c r="K5172" s="6" t="str">
        <x:f>IF(D5172="","",IF(AND(ISNUMBER(SEARCH("平",D5172)),OR(ISNUMBER(SEARCH("上",D5172)),ISNUMBER(SEARCH("去",D5172)),ISNUMBER(SEARCH("入",D5172)))),"Ambiguous",IF(ISNUMBER(SEARCH("平",D5172)),"平","仄")))</x:f>
        <x:v>仄</x:v>
      </x:c>
      <x:c r="L5172" s="7" t="str">
        <x:v>Pingshui main list, Lu Qinli gap fill</x:v>
      </x:c>
    </x:row>
    <x:row r="5173">
      <x:c r="A5173" s="5" t="str">
        <x:v>崙</x:v>
      </x:c>
      <x:c r="B5173" s="6" t="str">
        <x:v>平</x:v>
      </x:c>
      <x:c r="C5173" s="6" t="str">
        <x:f>IF(B5173="","Needs decision","Ready")</x:f>
        <x:v>Ready</x:v>
      </x:c>
      <x:c r="D5173" s="6" t="str">
        <x:v>平</x:v>
      </x:c>
      <x:c r="E5173" s="6" t="str"/>
      <x:c r="F5173" s="6" t="str">
        <x:v>上平聲十三元</x:v>
      </x:c>
      <x:c r="G5173" s="6" t="str">
        <x:v>Pingshui main list, Wikisource-derived DOCX</x:v>
      </x:c>
      <x:c r="H5173" s="6" t="str"/>
      <x:c r="I5173" s="6" t="str">
        <x:v>Lu Qinli gap fill from Pingshui main list; 詞 entries ignored</x:v>
      </x:c>
      <x:c r="J5173" s="6" t="str">
        <x:f>IF(B5173="","",IF(AND(ISNUMBER(SEARCH("平",B5173)),OR(ISNUMBER(SEARCH("上",B5173)),ISNUMBER(SEARCH("去",B5173)),ISNUMBER(SEARCH("入",B5173)))),"Ambiguous",IF(ISNUMBER(SEARCH("平",B5173)),"平","仄")))</x:f>
        <x:v>平</x:v>
      </x:c>
      <x:c r="K5173" s="6" t="str">
        <x:f>IF(D5173="","",IF(AND(ISNUMBER(SEARCH("平",D5173)),OR(ISNUMBER(SEARCH("上",D5173)),ISNUMBER(SEARCH("去",D5173)),ISNUMBER(SEARCH("入",D5173)))),"Ambiguous",IF(ISNUMBER(SEARCH("平",D5173)),"平","仄")))</x:f>
        <x:v>平</x:v>
      </x:c>
      <x:c r="L5173" s="7" t="str">
        <x:v>Pingshui main list, Lu Qinli gap fill</x:v>
      </x:c>
    </x:row>
    <x:row r="5174">
      <x:c r="A5174" s="5" t="str">
        <x:v>崚</x:v>
      </x:c>
      <x:c r="B5174" s="6" t="str">
        <x:v>平</x:v>
      </x:c>
      <x:c r="C5174" s="6" t="str">
        <x:f>IF(B5174="","Needs decision","Ready")</x:f>
        <x:v>Ready</x:v>
      </x:c>
      <x:c r="D5174" s="6" t="str">
        <x:v>平</x:v>
      </x:c>
      <x:c r="E5174" s="6" t="str"/>
      <x:c r="F5174" s="6" t="str">
        <x:v>下平聲十蒸</x:v>
      </x:c>
      <x:c r="G5174" s="6" t="str">
        <x:v>Pingshui main list, Wikisource-derived DOCX</x:v>
      </x:c>
      <x:c r="H5174" s="6" t="str"/>
      <x:c r="I5174" s="6" t="str">
        <x:v>Lu Qinli gap fill from Pingshui main list; 詞 entries ignored</x:v>
      </x:c>
      <x:c r="J5174" s="6" t="str">
        <x:f>IF(B5174="","",IF(AND(ISNUMBER(SEARCH("平",B5174)),OR(ISNUMBER(SEARCH("上",B5174)),ISNUMBER(SEARCH("去",B5174)),ISNUMBER(SEARCH("入",B5174)))),"Ambiguous",IF(ISNUMBER(SEARCH("平",B5174)),"平","仄")))</x:f>
        <x:v>平</x:v>
      </x:c>
      <x:c r="K5174" s="6" t="str">
        <x:f>IF(D5174="","",IF(AND(ISNUMBER(SEARCH("平",D5174)),OR(ISNUMBER(SEARCH("上",D5174)),ISNUMBER(SEARCH("去",D5174)),ISNUMBER(SEARCH("入",D5174)))),"Ambiguous",IF(ISNUMBER(SEARCH("平",D5174)),"平","仄")))</x:f>
        <x:v>平</x:v>
      </x:c>
      <x:c r="L5174" s="7" t="str">
        <x:v>Pingshui main list, Lu Qinli gap fill</x:v>
      </x:c>
    </x:row>
    <x:row r="5175">
      <x:c r="A5175" s="5" t="str">
        <x:v>崛</x:v>
      </x:c>
      <x:c r="B5175" s="6" t="str">
        <x:v>入</x:v>
      </x:c>
      <x:c r="C5175" s="6" t="str">
        <x:f>IF(B5175="","Needs decision","Ready")</x:f>
        <x:v>Ready</x:v>
      </x:c>
      <x:c r="D5175" s="6" t="str">
        <x:v>入</x:v>
      </x:c>
      <x:c r="E5175" s="6" t="str"/>
      <x:c r="F5175" s="6" t="str">
        <x:v>入聲五物</x:v>
      </x:c>
      <x:c r="G5175" s="6" t="str">
        <x:v>Pingshui main list, Wikisource-derived DOCX</x:v>
      </x:c>
      <x:c r="H5175" s="6" t="str"/>
      <x:c r="I5175" s="6" t="str">
        <x:v>Lu Qinli gap fill from Pingshui main list; 詞 entries ignored</x:v>
      </x:c>
      <x:c r="J5175" s="6" t="str">
        <x:f>IF(B5175="","",IF(AND(ISNUMBER(SEARCH("平",B5175)),OR(ISNUMBER(SEARCH("上",B5175)),ISNUMBER(SEARCH("去",B5175)),ISNUMBER(SEARCH("入",B5175)))),"Ambiguous",IF(ISNUMBER(SEARCH("平",B5175)),"平","仄")))</x:f>
        <x:v>仄</x:v>
      </x:c>
      <x:c r="K5175" s="6" t="str">
        <x:f>IF(D5175="","",IF(AND(ISNUMBER(SEARCH("平",D5175)),OR(ISNUMBER(SEARCH("上",D5175)),ISNUMBER(SEARCH("去",D5175)),ISNUMBER(SEARCH("入",D5175)))),"Ambiguous",IF(ISNUMBER(SEARCH("平",D5175)),"平","仄")))</x:f>
        <x:v>仄</x:v>
      </x:c>
      <x:c r="L5175" s="7" t="str">
        <x:v>Pingshui main list, Lu Qinli gap fill</x:v>
      </x:c>
    </x:row>
    <x:row r="5176">
      <x:c r="A5176" s="5" t="str">
        <x:v>崥</x:v>
      </x:c>
      <x:c r="B5176" s="6" t="str">
        <x:v>平</x:v>
      </x:c>
      <x:c r="C5176" s="6" t="str">
        <x:f>IF(B5176="","Needs decision","Ready")</x:f>
        <x:v>Ready</x:v>
      </x:c>
      <x:c r="D5176" s="6" t="str">
        <x:v>平</x:v>
      </x:c>
      <x:c r="E5176" s="6" t="str"/>
      <x:c r="F5176" s="6" t="str">
        <x:v>上平聲四支</x:v>
      </x:c>
      <x:c r="G5176" s="6" t="str">
        <x:v>Pingshui main list, Wikisource-derived DOCX</x:v>
      </x:c>
      <x:c r="H5176" s="6" t="str"/>
      <x:c r="I5176" s="6" t="str">
        <x:v>Lu Qinli gap fill from Pingshui main list; 詞 entries ignored</x:v>
      </x:c>
      <x:c r="J5176" s="6" t="str">
        <x:f>IF(B5176="","",IF(AND(ISNUMBER(SEARCH("平",B5176)),OR(ISNUMBER(SEARCH("上",B5176)),ISNUMBER(SEARCH("去",B5176)),ISNUMBER(SEARCH("入",B5176)))),"Ambiguous",IF(ISNUMBER(SEARCH("平",B5176)),"平","仄")))</x:f>
        <x:v>平</x:v>
      </x:c>
      <x:c r="K5176" s="6" t="str">
        <x:f>IF(D5176="","",IF(AND(ISNUMBER(SEARCH("平",D5176)),OR(ISNUMBER(SEARCH("上",D5176)),ISNUMBER(SEARCH("去",D5176)),ISNUMBER(SEARCH("入",D5176)))),"Ambiguous",IF(ISNUMBER(SEARCH("平",D5176)),"平","仄")))</x:f>
        <x:v>平</x:v>
      </x:c>
      <x:c r="L5176" s="7" t="str">
        <x:v>Pingshui main list, Lu Qinli gap fill</x:v>
      </x:c>
    </x:row>
    <x:row r="5177">
      <x:c r="A5177" s="5" t="str">
        <x:v>崱</x:v>
      </x:c>
      <x:c r="B5177" s="6" t="str">
        <x:v>入</x:v>
      </x:c>
      <x:c r="C5177" s="6" t="str">
        <x:f>IF(B5177="","Needs decision","Ready")</x:f>
        <x:v>Ready</x:v>
      </x:c>
      <x:c r="D5177" s="6" t="str">
        <x:v>入</x:v>
      </x:c>
      <x:c r="E5177" s="6" t="str"/>
      <x:c r="F5177" s="6" t="str">
        <x:v>入聲十三職</x:v>
      </x:c>
      <x:c r="G5177" s="6" t="str">
        <x:v>Pingshui main list, Wikisource-derived DOCX</x:v>
      </x:c>
      <x:c r="H5177" s="6" t="str"/>
      <x:c r="I5177" s="6" t="str">
        <x:v>Lu Qinli gap fill from Pingshui main list; 詞 entries ignored</x:v>
      </x:c>
      <x:c r="J5177" s="6" t="str">
        <x:f>IF(B5177="","",IF(AND(ISNUMBER(SEARCH("平",B5177)),OR(ISNUMBER(SEARCH("上",B5177)),ISNUMBER(SEARCH("去",B5177)),ISNUMBER(SEARCH("入",B5177)))),"Ambiguous",IF(ISNUMBER(SEARCH("平",B5177)),"平","仄")))</x:f>
        <x:v>仄</x:v>
      </x:c>
      <x:c r="K5177" s="6" t="str">
        <x:f>IF(D5177="","",IF(AND(ISNUMBER(SEARCH("平",D5177)),OR(ISNUMBER(SEARCH("上",D5177)),ISNUMBER(SEARCH("去",D5177)),ISNUMBER(SEARCH("入",D5177)))),"Ambiguous",IF(ISNUMBER(SEARCH("平",D5177)),"平","仄")))</x:f>
        <x:v>仄</x:v>
      </x:c>
      <x:c r="L5177" s="7" t="str">
        <x:v>Pingshui main list, Lu Qinli gap fill</x:v>
      </x:c>
    </x:row>
    <x:row r="5178">
      <x:c r="A5178" s="5" t="str">
        <x:v>崺</x:v>
      </x:c>
      <x:c r="B5178" s="6" t="str">
        <x:v>上</x:v>
      </x:c>
      <x:c r="C5178" s="6" t="str">
        <x:f>IF(B5178="","Needs decision","Ready")</x:f>
        <x:v>Ready</x:v>
      </x:c>
      <x:c r="D5178" s="6" t="str">
        <x:v>上</x:v>
      </x:c>
      <x:c r="E5178" s="6" t="str"/>
      <x:c r="F5178" s="6" t="str">
        <x:v>上聲四紙</x:v>
      </x:c>
      <x:c r="G5178" s="6" t="str">
        <x:v>Pingshui main list, Wikisource-derived DOCX</x:v>
      </x:c>
      <x:c r="H5178" s="6" t="str"/>
      <x:c r="I5178" s="6" t="str">
        <x:v>Lu Qinli gap fill from Pingshui main list; 詞 entries ignored</x:v>
      </x:c>
      <x:c r="J5178" s="6" t="str">
        <x:f>IF(B5178="","",IF(AND(ISNUMBER(SEARCH("平",B5178)),OR(ISNUMBER(SEARCH("上",B5178)),ISNUMBER(SEARCH("去",B5178)),ISNUMBER(SEARCH("入",B5178)))),"Ambiguous",IF(ISNUMBER(SEARCH("平",B5178)),"平","仄")))</x:f>
        <x:v>仄</x:v>
      </x:c>
      <x:c r="K5178" s="6" t="str">
        <x:f>IF(D5178="","",IF(AND(ISNUMBER(SEARCH("平",D5178)),OR(ISNUMBER(SEARCH("上",D5178)),ISNUMBER(SEARCH("去",D5178)),ISNUMBER(SEARCH("入",D5178)))),"Ambiguous",IF(ISNUMBER(SEARCH("平",D5178)),"平","仄")))</x:f>
        <x:v>仄</x:v>
      </x:c>
      <x:c r="L5178" s="7" t="str">
        <x:v>Pingshui main list, Lu Qinli gap fill</x:v>
      </x:c>
    </x:row>
    <x:row r="5179">
      <x:c r="A5179" s="5" t="str">
        <x:v>嵁</x:v>
      </x:c>
      <x:c r="B5179" s="6" t="str">
        <x:v>平</x:v>
      </x:c>
      <x:c r="C5179" s="6" t="str">
        <x:f>IF(B5179="","Needs decision","Ready")</x:f>
        <x:v>Ready</x:v>
      </x:c>
      <x:c r="D5179" s="6" t="str">
        <x:v>平</x:v>
      </x:c>
      <x:c r="E5179" s="6" t="str"/>
      <x:c r="F5179" s="6" t="str">
        <x:v>下平聲十三覃</x:v>
      </x:c>
      <x:c r="G5179" s="6" t="str">
        <x:v>Pingshui main list, Wikisource-derived DOCX</x:v>
      </x:c>
      <x:c r="H5179" s="6" t="str"/>
      <x:c r="I5179" s="6" t="str">
        <x:v>Lu Qinli gap fill from Pingshui main list; 詞 entries ignored</x:v>
      </x:c>
      <x:c r="J5179" s="6" t="str">
        <x:f>IF(B5179="","",IF(AND(ISNUMBER(SEARCH("平",B5179)),OR(ISNUMBER(SEARCH("上",B5179)),ISNUMBER(SEARCH("去",B5179)),ISNUMBER(SEARCH("入",B5179)))),"Ambiguous",IF(ISNUMBER(SEARCH("平",B5179)),"平","仄")))</x:f>
        <x:v>平</x:v>
      </x:c>
      <x:c r="K5179" s="6" t="str">
        <x:f>IF(D5179="","",IF(AND(ISNUMBER(SEARCH("平",D5179)),OR(ISNUMBER(SEARCH("上",D5179)),ISNUMBER(SEARCH("去",D5179)),ISNUMBER(SEARCH("入",D5179)))),"Ambiguous",IF(ISNUMBER(SEARCH("平",D5179)),"平","仄")))</x:f>
        <x:v>平</x:v>
      </x:c>
      <x:c r="L5179" s="7" t="str">
        <x:v>Pingshui main list, Lu Qinli gap fill</x:v>
      </x:c>
    </x:row>
    <x:row r="5180">
      <x:c r="A5180" s="5" t="str">
        <x:v>嵇</x:v>
      </x:c>
      <x:c r="B5180" s="6" t="str">
        <x:v>平</x:v>
      </x:c>
      <x:c r="C5180" s="6" t="str">
        <x:f>IF(B5180="","Needs decision","Ready")</x:f>
        <x:v>Ready</x:v>
      </x:c>
      <x:c r="D5180" s="6" t="str">
        <x:v>平</x:v>
      </x:c>
      <x:c r="E5180" s="6" t="str"/>
      <x:c r="F5180" s="6" t="str">
        <x:v>上平聲八齊</x:v>
      </x:c>
      <x:c r="G5180" s="6" t="str">
        <x:v>Pingshui main list, Wikisource-derived DOCX</x:v>
      </x:c>
      <x:c r="H5180" s="6" t="str"/>
      <x:c r="I5180" s="6" t="str">
        <x:v>Lu Qinli gap fill from Pingshui main list; 詞 entries ignored</x:v>
      </x:c>
      <x:c r="J5180" s="6" t="str">
        <x:f>IF(B5180="","",IF(AND(ISNUMBER(SEARCH("平",B5180)),OR(ISNUMBER(SEARCH("上",B5180)),ISNUMBER(SEARCH("去",B5180)),ISNUMBER(SEARCH("入",B5180)))),"Ambiguous",IF(ISNUMBER(SEARCH("平",B5180)),"平","仄")))</x:f>
        <x:v>平</x:v>
      </x:c>
      <x:c r="K5180" s="6" t="str">
        <x:f>IF(D5180="","",IF(AND(ISNUMBER(SEARCH("平",D5180)),OR(ISNUMBER(SEARCH("上",D5180)),ISNUMBER(SEARCH("去",D5180)),ISNUMBER(SEARCH("入",D5180)))),"Ambiguous",IF(ISNUMBER(SEARCH("平",D5180)),"平","仄")))</x:f>
        <x:v>平</x:v>
      </x:c>
      <x:c r="L5180" s="7" t="str">
        <x:v>Pingshui main list, Lu Qinli gap fill</x:v>
      </x:c>
    </x:row>
    <x:row r="5181">
      <x:c r="A5181" s="5" t="str">
        <x:v>嵌</x:v>
      </x:c>
      <x:c r="B5181" s="6" t="str"/>
      <x:c r="C5181" s="6" t="str">
        <x:f>IF(B5181="","Needs decision","Ready")</x:f>
        <x:v>Needs decision</x:v>
      </x:c>
      <x:c r="D5181" s="6" t="str">
        <x:v>平/上</x:v>
      </x:c>
      <x:c r="E5181" s="6" t="str"/>
      <x:c r="F5181" s="6" t="str">
        <x:v>下平聲十五咸; 上聲二十七感</x:v>
      </x:c>
      <x:c r="G5181" s="6" t="str">
        <x:v>Pingshui main list, Wikisource-derived DOCX</x:v>
      </x:c>
      <x:c r="H5181" s="6" t="str"/>
      <x:c r="I5181" s="6" t="str">
        <x:v>Lu Qinli gap fill from Pingshui main list; 詞 entries ignored</x:v>
      </x:c>
      <x:c r="J5181" s="6" t="str">
        <x:f>IF(B5181="","",IF(AND(ISNUMBER(SEARCH("平",B5181)),OR(ISNUMBER(SEARCH("上",B5181)),ISNUMBER(SEARCH("去",B5181)),ISNUMBER(SEARCH("入",B5181)))),"Ambiguous",IF(ISNUMBER(SEARCH("平",B5181)),"平","仄")))</x:f>
      </x:c>
      <x:c r="K5181" s="6" t="str">
        <x:f>IF(D5181="","",IF(AND(ISNUMBER(SEARCH("平",D5181)),OR(ISNUMBER(SEARCH("上",D5181)),ISNUMBER(SEARCH("去",D5181)),ISNUMBER(SEARCH("入",D5181)))),"Ambiguous",IF(ISNUMBER(SEARCH("平",D5181)),"平","仄")))</x:f>
        <x:v>Ambiguous</x:v>
      </x:c>
      <x:c r="L5181" s="7" t="str">
        <x:v>Pingshui main list, Lu Qinli gap fill</x:v>
      </x:c>
    </x:row>
    <x:row r="5182">
      <x:c r="A5182" s="5" t="str">
        <x:v>嵎</x:v>
      </x:c>
      <x:c r="B5182" s="6" t="str">
        <x:v>平</x:v>
      </x:c>
      <x:c r="C5182" s="6" t="str">
        <x:f>IF(B5182="","Needs decision","Ready")</x:f>
        <x:v>Ready</x:v>
      </x:c>
      <x:c r="D5182" s="6" t="str">
        <x:v>平</x:v>
      </x:c>
      <x:c r="E5182" s="6" t="str"/>
      <x:c r="F5182" s="6" t="str">
        <x:v>上平聲七虞</x:v>
      </x:c>
      <x:c r="G5182" s="6" t="str">
        <x:v>Pingshui main list, Wikisource-derived DOCX</x:v>
      </x:c>
      <x:c r="H5182" s="6" t="str"/>
      <x:c r="I5182" s="6" t="str">
        <x:v>Lu Qinli gap fill from Pingshui main list; 詞 entries ignored</x:v>
      </x:c>
      <x:c r="J5182" s="6" t="str">
        <x:f>IF(B5182="","",IF(AND(ISNUMBER(SEARCH("平",B5182)),OR(ISNUMBER(SEARCH("上",B5182)),ISNUMBER(SEARCH("去",B5182)),ISNUMBER(SEARCH("入",B5182)))),"Ambiguous",IF(ISNUMBER(SEARCH("平",B5182)),"平","仄")))</x:f>
        <x:v>平</x:v>
      </x:c>
      <x:c r="K5182" s="6" t="str">
        <x:f>IF(D5182="","",IF(AND(ISNUMBER(SEARCH("平",D5182)),OR(ISNUMBER(SEARCH("上",D5182)),ISNUMBER(SEARCH("去",D5182)),ISNUMBER(SEARCH("入",D5182)))),"Ambiguous",IF(ISNUMBER(SEARCH("平",D5182)),"平","仄")))</x:f>
        <x:v>平</x:v>
      </x:c>
      <x:c r="L5182" s="7" t="str">
        <x:v>Pingshui main list, Lu Qinli gap fill</x:v>
      </x:c>
    </x:row>
    <x:row r="5183">
      <x:c r="A5183" s="5" t="str">
        <x:v>嵐</x:v>
      </x:c>
      <x:c r="B5183" s="6" t="str">
        <x:v>平</x:v>
      </x:c>
      <x:c r="C5183" s="6" t="str">
        <x:f>IF(B5183="","Needs decision","Ready")</x:f>
        <x:v>Ready</x:v>
      </x:c>
      <x:c r="D5183" s="6" t="str">
        <x:v>平</x:v>
      </x:c>
      <x:c r="E5183" s="6" t="str"/>
      <x:c r="F5183" s="6" t="str">
        <x:v>下平聲十三覃</x:v>
      </x:c>
      <x:c r="G5183" s="6" t="str">
        <x:v>Pingshui main list, Wikisource-derived DOCX</x:v>
      </x:c>
      <x:c r="H5183" s="6" t="str"/>
      <x:c r="I5183" s="6" t="str">
        <x:v>Lu Qinli gap fill from Pingshui main list; 詞 entries ignored</x:v>
      </x:c>
      <x:c r="J5183" s="6" t="str">
        <x:f>IF(B5183="","",IF(AND(ISNUMBER(SEARCH("平",B5183)),OR(ISNUMBER(SEARCH("上",B5183)),ISNUMBER(SEARCH("去",B5183)),ISNUMBER(SEARCH("入",B5183)))),"Ambiguous",IF(ISNUMBER(SEARCH("平",B5183)),"平","仄")))</x:f>
        <x:v>平</x:v>
      </x:c>
      <x:c r="K5183" s="6" t="str">
        <x:f>IF(D5183="","",IF(AND(ISNUMBER(SEARCH("平",D5183)),OR(ISNUMBER(SEARCH("上",D5183)),ISNUMBER(SEARCH("去",D5183)),ISNUMBER(SEARCH("入",D5183)))),"Ambiguous",IF(ISNUMBER(SEARCH("平",D5183)),"平","仄")))</x:f>
        <x:v>平</x:v>
      </x:c>
      <x:c r="L5183" s="7" t="str">
        <x:v>Pingshui main list, Lu Qinli gap fill</x:v>
      </x:c>
    </x:row>
    <x:row r="5184">
      <x:c r="A5184" s="5" t="str">
        <x:v>嵒</x:v>
      </x:c>
      <x:c r="B5184" s="6" t="str">
        <x:v>平</x:v>
      </x:c>
      <x:c r="C5184" s="6" t="str">
        <x:f>IF(B5184="","Needs decision","Ready")</x:f>
        <x:v>Ready</x:v>
      </x:c>
      <x:c r="D5184" s="6" t="str">
        <x:v>平</x:v>
      </x:c>
      <x:c r="E5184" s="6" t="str"/>
      <x:c r="F5184" s="6" t="str">
        <x:v>下平聲十五咸</x:v>
      </x:c>
      <x:c r="G5184" s="6" t="str">
        <x:v>Pingshui main list, Wikisource-derived DOCX</x:v>
      </x:c>
      <x:c r="H5184" s="6" t="str"/>
      <x:c r="I5184" s="6" t="str">
        <x:v>Lu Qinli gap fill from Pingshui main list; 詞 entries ignored</x:v>
      </x:c>
      <x:c r="J5184" s="6" t="str">
        <x:f>IF(B5184="","",IF(AND(ISNUMBER(SEARCH("平",B5184)),OR(ISNUMBER(SEARCH("上",B5184)),ISNUMBER(SEARCH("去",B5184)),ISNUMBER(SEARCH("入",B5184)))),"Ambiguous",IF(ISNUMBER(SEARCH("平",B5184)),"平","仄")))</x:f>
        <x:v>平</x:v>
      </x:c>
      <x:c r="K5184" s="6" t="str">
        <x:f>IF(D5184="","",IF(AND(ISNUMBER(SEARCH("平",D5184)),OR(ISNUMBER(SEARCH("上",D5184)),ISNUMBER(SEARCH("去",D5184)),ISNUMBER(SEARCH("入",D5184)))),"Ambiguous",IF(ISNUMBER(SEARCH("平",D5184)),"平","仄")))</x:f>
        <x:v>平</x:v>
      </x:c>
      <x:c r="L5184" s="7" t="str">
        <x:v>Pingshui main list, Lu Qinli gap fill</x:v>
      </x:c>
    </x:row>
    <x:row r="5185">
      <x:c r="A5185" s="5" t="str">
        <x:v>嵕</x:v>
      </x:c>
      <x:c r="B5185" s="6" t="str">
        <x:v>平</x:v>
      </x:c>
      <x:c r="C5185" s="6" t="str">
        <x:f>IF(B5185="","Needs decision","Ready")</x:f>
        <x:v>Ready</x:v>
      </x:c>
      <x:c r="D5185" s="6" t="str">
        <x:v>平</x:v>
      </x:c>
      <x:c r="E5185" s="6" t="str"/>
      <x:c r="F5185" s="6" t="str">
        <x:v>上平聲一東; 上平聲三江</x:v>
      </x:c>
      <x:c r="G5185" s="6" t="str">
        <x:v>Pingshui main list, Wikisource-derived DOCX</x:v>
      </x:c>
      <x:c r="H5185" s="6" t="str"/>
      <x:c r="I5185" s="6" t="str">
        <x:v>Lu Qinli gap fill from Pingshui main list; 詞 entries ignored</x:v>
      </x:c>
      <x:c r="J5185" s="6" t="str">
        <x:f>IF(B5185="","",IF(AND(ISNUMBER(SEARCH("平",B5185)),OR(ISNUMBER(SEARCH("上",B5185)),ISNUMBER(SEARCH("去",B5185)),ISNUMBER(SEARCH("入",B5185)))),"Ambiguous",IF(ISNUMBER(SEARCH("平",B5185)),"平","仄")))</x:f>
        <x:v>平</x:v>
      </x:c>
      <x:c r="K5185" s="6" t="str">
        <x:f>IF(D5185="","",IF(AND(ISNUMBER(SEARCH("平",D5185)),OR(ISNUMBER(SEARCH("上",D5185)),ISNUMBER(SEARCH("去",D5185)),ISNUMBER(SEARCH("入",D5185)))),"Ambiguous",IF(ISNUMBER(SEARCH("平",D5185)),"平","仄")))</x:f>
        <x:v>平</x:v>
      </x:c>
      <x:c r="L5185" s="7" t="str">
        <x:v>Pingshui main list, Lu Qinli gap fill</x:v>
      </x:c>
    </x:row>
    <x:row r="5186">
      <x:c r="A5186" s="5" t="str">
        <x:v>嵫</x:v>
      </x:c>
      <x:c r="B5186" s="6" t="str">
        <x:v>平</x:v>
      </x:c>
      <x:c r="C5186" s="6" t="str">
        <x:f>IF(B5186="","Needs decision","Ready")</x:f>
        <x:v>Ready</x:v>
      </x:c>
      <x:c r="D5186" s="6" t="str">
        <x:v>平</x:v>
      </x:c>
      <x:c r="E5186" s="6" t="str"/>
      <x:c r="F5186" s="6" t="str">
        <x:v>上平聲四支</x:v>
      </x:c>
      <x:c r="G5186" s="6" t="str">
        <x:v>Pingshui main list, Wikisource-derived DOCX</x:v>
      </x:c>
      <x:c r="H5186" s="6" t="str"/>
      <x:c r="I5186" s="6" t="str">
        <x:v>Lu Qinli gap fill from Pingshui main list; 詞 entries ignored</x:v>
      </x:c>
      <x:c r="J5186" s="6" t="str">
        <x:f>IF(B5186="","",IF(AND(ISNUMBER(SEARCH("平",B5186)),OR(ISNUMBER(SEARCH("上",B5186)),ISNUMBER(SEARCH("去",B5186)),ISNUMBER(SEARCH("入",B5186)))),"Ambiguous",IF(ISNUMBER(SEARCH("平",B5186)),"平","仄")))</x:f>
        <x:v>平</x:v>
      </x:c>
      <x:c r="K5186" s="6" t="str">
        <x:f>IF(D5186="","",IF(AND(ISNUMBER(SEARCH("平",D5186)),OR(ISNUMBER(SEARCH("上",D5186)),ISNUMBER(SEARCH("去",D5186)),ISNUMBER(SEARCH("入",D5186)))),"Ambiguous",IF(ISNUMBER(SEARCH("平",D5186)),"平","仄")))</x:f>
        <x:v>平</x:v>
      </x:c>
      <x:c r="L5186" s="7" t="str">
        <x:v>Pingshui main list, Lu Qinli gap fill</x:v>
      </x:c>
    </x:row>
    <x:row r="5187">
      <x:c r="A5187" s="5" t="str">
        <x:v>嶔</x:v>
      </x:c>
      <x:c r="B5187" s="6" t="str">
        <x:v>平</x:v>
      </x:c>
      <x:c r="C5187" s="6" t="str">
        <x:f>IF(B5187="","Needs decision","Ready")</x:f>
        <x:v>Ready</x:v>
      </x:c>
      <x:c r="D5187" s="6" t="str">
        <x:v>平</x:v>
      </x:c>
      <x:c r="E5187" s="6" t="str"/>
      <x:c r="F5187" s="6" t="str">
        <x:v>下平聲十二侵</x:v>
      </x:c>
      <x:c r="G5187" s="6" t="str">
        <x:v>Pingshui main list, Wikisource-derived DOCX</x:v>
      </x:c>
      <x:c r="H5187" s="6" t="str"/>
      <x:c r="I5187" s="6" t="str">
        <x:v>Lu Qinli gap fill from Pingshui main list; 詞 entries ignored</x:v>
      </x:c>
      <x:c r="J5187" s="6" t="str">
        <x:f>IF(B5187="","",IF(AND(ISNUMBER(SEARCH("平",B5187)),OR(ISNUMBER(SEARCH("上",B5187)),ISNUMBER(SEARCH("去",B5187)),ISNUMBER(SEARCH("入",B5187)))),"Ambiguous",IF(ISNUMBER(SEARCH("平",B5187)),"平","仄")))</x:f>
        <x:v>平</x:v>
      </x:c>
      <x:c r="K5187" s="6" t="str">
        <x:f>IF(D5187="","",IF(AND(ISNUMBER(SEARCH("平",D5187)),OR(ISNUMBER(SEARCH("上",D5187)),ISNUMBER(SEARCH("去",D5187)),ISNUMBER(SEARCH("入",D5187)))),"Ambiguous",IF(ISNUMBER(SEARCH("平",D5187)),"平","仄")))</x:f>
        <x:v>平</x:v>
      </x:c>
      <x:c r="L5187" s="7" t="str">
        <x:v>Pingshui main list, Lu Qinli gap fill</x:v>
      </x:c>
    </x:row>
    <x:row r="5188">
      <x:c r="A5188" s="5" t="str">
        <x:v>嶙</x:v>
      </x:c>
      <x:c r="B5188" s="6" t="str"/>
      <x:c r="C5188" s="6" t="str">
        <x:f>IF(B5188="","Needs decision","Ready")</x:f>
        <x:v>Needs decision</x:v>
      </x:c>
      <x:c r="D5188" s="6" t="str">
        <x:v>平/上</x:v>
      </x:c>
      <x:c r="E5188" s="6" t="str"/>
      <x:c r="F5188" s="6" t="str">
        <x:v>上平聲十一真; 上聲十一軫</x:v>
      </x:c>
      <x:c r="G5188" s="6" t="str">
        <x:v>Pingshui main list, Wikisource-derived DOCX</x:v>
      </x:c>
      <x:c r="H5188" s="6" t="str"/>
      <x:c r="I5188" s="6" t="str">
        <x:v>Lu Qinli gap fill from Pingshui main list; 詞 entries ignored</x:v>
      </x:c>
      <x:c r="J5188" s="6" t="str">
        <x:f>IF(B5188="","",IF(AND(ISNUMBER(SEARCH("平",B5188)),OR(ISNUMBER(SEARCH("上",B5188)),ISNUMBER(SEARCH("去",B5188)),ISNUMBER(SEARCH("入",B5188)))),"Ambiguous",IF(ISNUMBER(SEARCH("平",B5188)),"平","仄")))</x:f>
      </x:c>
      <x:c r="K5188" s="6" t="str">
        <x:f>IF(D5188="","",IF(AND(ISNUMBER(SEARCH("平",D5188)),OR(ISNUMBER(SEARCH("上",D5188)),ISNUMBER(SEARCH("去",D5188)),ISNUMBER(SEARCH("入",D5188)))),"Ambiguous",IF(ISNUMBER(SEARCH("平",D5188)),"平","仄")))</x:f>
        <x:v>Ambiguous</x:v>
      </x:c>
      <x:c r="L5188" s="7" t="str">
        <x:v>Pingshui main list, Lu Qinli gap fill</x:v>
      </x:c>
    </x:row>
    <x:row r="5189">
      <x:c r="A5189" s="5" t="str">
        <x:v>嶧</x:v>
      </x:c>
      <x:c r="B5189" s="6" t="str">
        <x:v>入</x:v>
      </x:c>
      <x:c r="C5189" s="6" t="str">
        <x:f>IF(B5189="","Needs decision","Ready")</x:f>
        <x:v>Ready</x:v>
      </x:c>
      <x:c r="D5189" s="6" t="str">
        <x:v>入</x:v>
      </x:c>
      <x:c r="E5189" s="6" t="str"/>
      <x:c r="F5189" s="6" t="str">
        <x:v>入聲十一陌</x:v>
      </x:c>
      <x:c r="G5189" s="6" t="str">
        <x:v>Pingshui main list, Wikisource-derived DOCX</x:v>
      </x:c>
      <x:c r="H5189" s="6" t="str"/>
      <x:c r="I5189" s="6" t="str">
        <x:v>Lu Qinli gap fill from Pingshui main list; 詞 entries ignored</x:v>
      </x:c>
      <x:c r="J5189" s="6" t="str">
        <x:f>IF(B5189="","",IF(AND(ISNUMBER(SEARCH("平",B5189)),OR(ISNUMBER(SEARCH("上",B5189)),ISNUMBER(SEARCH("去",B5189)),ISNUMBER(SEARCH("入",B5189)))),"Ambiguous",IF(ISNUMBER(SEARCH("平",B5189)),"平","仄")))</x:f>
        <x:v>仄</x:v>
      </x:c>
      <x:c r="K5189" s="6" t="str">
        <x:f>IF(D5189="","",IF(AND(ISNUMBER(SEARCH("平",D5189)),OR(ISNUMBER(SEARCH("上",D5189)),ISNUMBER(SEARCH("去",D5189)),ISNUMBER(SEARCH("入",D5189)))),"Ambiguous",IF(ISNUMBER(SEARCH("平",D5189)),"平","仄")))</x:f>
        <x:v>仄</x:v>
      </x:c>
      <x:c r="L5189" s="7" t="str">
        <x:v>Pingshui main list, Lu Qinli gap fill</x:v>
      </x:c>
    </x:row>
    <x:row r="5190">
      <x:c r="A5190" s="5" t="str">
        <x:v>嶪</x:v>
      </x:c>
      <x:c r="B5190" s="6" t="str">
        <x:v>入</x:v>
      </x:c>
      <x:c r="C5190" s="6" t="str">
        <x:f>IF(B5190="","Needs decision","Ready")</x:f>
        <x:v>Ready</x:v>
      </x:c>
      <x:c r="D5190" s="6" t="str">
        <x:v>入</x:v>
      </x:c>
      <x:c r="E5190" s="6" t="str"/>
      <x:c r="F5190" s="6" t="str">
        <x:v>入聲十七洽</x:v>
      </x:c>
      <x:c r="G5190" s="6" t="str">
        <x:v>Pingshui main list, Wikisource-derived DOCX</x:v>
      </x:c>
      <x:c r="H5190" s="6" t="str"/>
      <x:c r="I5190" s="6" t="str">
        <x:v>Lu Qinli gap fill from Pingshui main list; 詞 entries ignored</x:v>
      </x:c>
      <x:c r="J5190" s="6" t="str">
        <x:f>IF(B5190="","",IF(AND(ISNUMBER(SEARCH("平",B5190)),OR(ISNUMBER(SEARCH("上",B5190)),ISNUMBER(SEARCH("去",B5190)),ISNUMBER(SEARCH("入",B5190)))),"Ambiguous",IF(ISNUMBER(SEARCH("平",B5190)),"平","仄")))</x:f>
        <x:v>仄</x:v>
      </x:c>
      <x:c r="K5190" s="6" t="str">
        <x:f>IF(D5190="","",IF(AND(ISNUMBER(SEARCH("平",D5190)),OR(ISNUMBER(SEARCH("上",D5190)),ISNUMBER(SEARCH("去",D5190)),ISNUMBER(SEARCH("入",D5190)))),"Ambiguous",IF(ISNUMBER(SEARCH("平",D5190)),"平","仄")))</x:f>
        <x:v>仄</x:v>
      </x:c>
      <x:c r="L5190" s="7" t="str">
        <x:v>Pingshui main list, Lu Qinli gap fill</x:v>
      </x:c>
    </x:row>
    <x:row r="5191">
      <x:c r="A5191" s="5" t="str">
        <x:v>嶬</x:v>
      </x:c>
      <x:c r="B5191" s="6" t="str">
        <x:v>上</x:v>
      </x:c>
      <x:c r="C5191" s="6" t="str">
        <x:f>IF(B5191="","Needs decision","Ready")</x:f>
        <x:v>Ready</x:v>
      </x:c>
      <x:c r="D5191" s="6" t="str">
        <x:v>上</x:v>
      </x:c>
      <x:c r="E5191" s="6" t="str"/>
      <x:c r="F5191" s="6" t="str">
        <x:v>上聲四紙</x:v>
      </x:c>
      <x:c r="G5191" s="6" t="str">
        <x:v>Pingshui main list, Wikisource-derived DOCX</x:v>
      </x:c>
      <x:c r="H5191" s="6" t="str"/>
      <x:c r="I5191" s="6" t="str">
        <x:v>Lu Qinli gap fill from Pingshui main list; 詞 entries ignored</x:v>
      </x:c>
      <x:c r="J5191" s="6" t="str">
        <x:f>IF(B5191="","",IF(AND(ISNUMBER(SEARCH("平",B5191)),OR(ISNUMBER(SEARCH("上",B5191)),ISNUMBER(SEARCH("去",B5191)),ISNUMBER(SEARCH("入",B5191)))),"Ambiguous",IF(ISNUMBER(SEARCH("平",B5191)),"平","仄")))</x:f>
        <x:v>仄</x:v>
      </x:c>
      <x:c r="K5191" s="6" t="str">
        <x:f>IF(D5191="","",IF(AND(ISNUMBER(SEARCH("平",D5191)),OR(ISNUMBER(SEARCH("上",D5191)),ISNUMBER(SEARCH("去",D5191)),ISNUMBER(SEARCH("入",D5191)))),"Ambiguous",IF(ISNUMBER(SEARCH("平",D5191)),"平","仄")))</x:f>
        <x:v>仄</x:v>
      </x:c>
      <x:c r="L5191" s="7" t="str">
        <x:v>Pingshui main list, Lu Qinli gap fill</x:v>
      </x:c>
    </x:row>
    <x:row r="5192">
      <x:c r="A5192" s="5" t="str">
        <x:v>嶷</x:v>
      </x:c>
      <x:c r="B5192" s="6" t="str"/>
      <x:c r="C5192" s="6" t="str">
        <x:f>IF(B5192="","Needs decision","Ready")</x:f>
        <x:v>Needs decision</x:v>
      </x:c>
      <x:c r="D5192" s="6" t="str">
        <x:v>平/入</x:v>
      </x:c>
      <x:c r="E5192" s="6" t="str"/>
      <x:c r="F5192" s="6" t="str">
        <x:v>上平聲四支; 入聲十三職</x:v>
      </x:c>
      <x:c r="G5192" s="6" t="str">
        <x:v>Pingshui main list, Wikisource-derived DOCX</x:v>
      </x:c>
      <x:c r="H5192" s="6" t="str"/>
      <x:c r="I5192" s="6" t="str">
        <x:v>Lu Qinli gap fill from Pingshui main list; 詞 entries ignored</x:v>
      </x:c>
      <x:c r="J5192" s="6" t="str">
        <x:f>IF(B5192="","",IF(AND(ISNUMBER(SEARCH("平",B5192)),OR(ISNUMBER(SEARCH("上",B5192)),ISNUMBER(SEARCH("去",B5192)),ISNUMBER(SEARCH("入",B5192)))),"Ambiguous",IF(ISNUMBER(SEARCH("平",B5192)),"平","仄")))</x:f>
      </x:c>
      <x:c r="K5192" s="6" t="str">
        <x:f>IF(D5192="","",IF(AND(ISNUMBER(SEARCH("平",D5192)),OR(ISNUMBER(SEARCH("上",D5192)),ISNUMBER(SEARCH("去",D5192)),ISNUMBER(SEARCH("入",D5192)))),"Ambiguous",IF(ISNUMBER(SEARCH("平",D5192)),"平","仄")))</x:f>
        <x:v>Ambiguous</x:v>
      </x:c>
      <x:c r="L5192" s="7" t="str">
        <x:v>Pingshui main list, Lu Qinli gap fill</x:v>
      </x:c>
    </x:row>
    <x:row r="5193">
      <x:c r="A5193" s="5" t="str">
        <x:v>嶼</x:v>
      </x:c>
      <x:c r="B5193" s="6" t="str">
        <x:v>上</x:v>
      </x:c>
      <x:c r="C5193" s="6" t="str">
        <x:f>IF(B5193="","Needs decision","Ready")</x:f>
        <x:v>Ready</x:v>
      </x:c>
      <x:c r="D5193" s="6" t="str">
        <x:v>上</x:v>
      </x:c>
      <x:c r="E5193" s="6" t="str"/>
      <x:c r="F5193" s="6" t="str">
        <x:v>上聲六語</x:v>
      </x:c>
      <x:c r="G5193" s="6" t="str">
        <x:v>Pingshui main list, Wikisource-derived DOCX</x:v>
      </x:c>
      <x:c r="H5193" s="6" t="str"/>
      <x:c r="I5193" s="6" t="str">
        <x:v>Lu Qinli gap fill from Pingshui main list; 詞 entries ignored</x:v>
      </x:c>
      <x:c r="J5193" s="6" t="str">
        <x:f>IF(B5193="","",IF(AND(ISNUMBER(SEARCH("平",B5193)),OR(ISNUMBER(SEARCH("上",B5193)),ISNUMBER(SEARCH("去",B5193)),ISNUMBER(SEARCH("入",B5193)))),"Ambiguous",IF(ISNUMBER(SEARCH("平",B5193)),"平","仄")))</x:f>
        <x:v>仄</x:v>
      </x:c>
      <x:c r="K5193" s="6" t="str">
        <x:f>IF(D5193="","",IF(AND(ISNUMBER(SEARCH("平",D5193)),OR(ISNUMBER(SEARCH("上",D5193)),ISNUMBER(SEARCH("去",D5193)),ISNUMBER(SEARCH("入",D5193)))),"Ambiguous",IF(ISNUMBER(SEARCH("平",D5193)),"平","仄")))</x:f>
        <x:v>仄</x:v>
      </x:c>
      <x:c r="L5193" s="7" t="str">
        <x:v>Pingshui main list, Lu Qinli gap fill</x:v>
      </x:c>
    </x:row>
    <x:row r="5194">
      <x:c r="A5194" s="5" t="str">
        <x:v>巇</x:v>
      </x:c>
      <x:c r="B5194" s="6" t="str">
        <x:v>平</x:v>
      </x:c>
      <x:c r="C5194" s="6" t="str">
        <x:f>IF(B5194="","Needs decision","Ready")</x:f>
        <x:v>Ready</x:v>
      </x:c>
      <x:c r="D5194" s="6" t="str">
        <x:v>平</x:v>
      </x:c>
      <x:c r="E5194" s="6" t="str"/>
      <x:c r="F5194" s="6" t="str">
        <x:v>上平聲四支</x:v>
      </x:c>
      <x:c r="G5194" s="6" t="str">
        <x:v>Pingshui main list, Wikisource-derived DOCX</x:v>
      </x:c>
      <x:c r="H5194" s="6" t="str"/>
      <x:c r="I5194" s="6" t="str">
        <x:v>Lu Qinli gap fill from Pingshui main list; 詞 entries ignored</x:v>
      </x:c>
      <x:c r="J5194" s="6" t="str">
        <x:f>IF(B5194="","",IF(AND(ISNUMBER(SEARCH("平",B5194)),OR(ISNUMBER(SEARCH("上",B5194)),ISNUMBER(SEARCH("去",B5194)),ISNUMBER(SEARCH("入",B5194)))),"Ambiguous",IF(ISNUMBER(SEARCH("平",B5194)),"平","仄")))</x:f>
        <x:v>平</x:v>
      </x:c>
      <x:c r="K5194" s="6" t="str">
        <x:f>IF(D5194="","",IF(AND(ISNUMBER(SEARCH("平",D5194)),OR(ISNUMBER(SEARCH("上",D5194)),ISNUMBER(SEARCH("去",D5194)),ISNUMBER(SEARCH("入",D5194)))),"Ambiguous",IF(ISNUMBER(SEARCH("平",D5194)),"平","仄")))</x:f>
        <x:v>平</x:v>
      </x:c>
      <x:c r="L5194" s="7" t="str">
        <x:v>Pingshui main list, Lu Qinli gap fill</x:v>
      </x:c>
    </x:row>
    <x:row r="5195">
      <x:c r="A5195" s="5" t="str">
        <x:v>巋</x:v>
      </x:c>
      <x:c r="B5195" s="6" t="str"/>
      <x:c r="C5195" s="6" t="str">
        <x:f>IF(B5195="","Needs decision","Ready")</x:f>
        <x:v>Needs decision</x:v>
      </x:c>
      <x:c r="D5195" s="6" t="str">
        <x:v>上/去</x:v>
      </x:c>
      <x:c r="E5195" s="6" t="str"/>
      <x:c r="F5195" s="6" t="str">
        <x:v>上聲四紙; 去聲四寘</x:v>
      </x:c>
      <x:c r="G5195" s="6" t="str">
        <x:v>Pingshui main list, Wikisource-derived DOCX</x:v>
      </x:c>
      <x:c r="H5195" s="6" t="str"/>
      <x:c r="I5195" s="6" t="str">
        <x:v>Lu Qinli gap fill from Pingshui main list; 詞 entries ignored</x:v>
      </x:c>
      <x:c r="J5195" s="6" t="str">
        <x:f>IF(B5195="","",IF(AND(ISNUMBER(SEARCH("平",B5195)),OR(ISNUMBER(SEARCH("上",B5195)),ISNUMBER(SEARCH("去",B5195)),ISNUMBER(SEARCH("入",B5195)))),"Ambiguous",IF(ISNUMBER(SEARCH("平",B5195)),"平","仄")))</x:f>
      </x:c>
      <x:c r="K5195" s="6" t="str">
        <x:f>IF(D5195="","",IF(AND(ISNUMBER(SEARCH("平",D5195)),OR(ISNUMBER(SEARCH("上",D5195)),ISNUMBER(SEARCH("去",D5195)),ISNUMBER(SEARCH("入",D5195)))),"Ambiguous",IF(ISNUMBER(SEARCH("平",D5195)),"平","仄")))</x:f>
        <x:v>仄</x:v>
      </x:c>
      <x:c r="L5195" s="7" t="str">
        <x:v>Pingshui main list, Lu Qinli gap fill</x:v>
      </x:c>
    </x:row>
    <x:row r="5196">
      <x:c r="A5196" s="5" t="str">
        <x:v>巑</x:v>
      </x:c>
      <x:c r="B5196" s="6" t="str">
        <x:v>平</x:v>
      </x:c>
      <x:c r="C5196" s="6" t="str">
        <x:f>IF(B5196="","Needs decision","Ready")</x:f>
        <x:v>Ready</x:v>
      </x:c>
      <x:c r="D5196" s="6" t="str">
        <x:v>平</x:v>
      </x:c>
      <x:c r="E5196" s="6" t="str"/>
      <x:c r="F5196" s="6" t="str">
        <x:v>上平聲十四寒</x:v>
      </x:c>
      <x:c r="G5196" s="6" t="str">
        <x:v>Pingshui main list, Wikisource-derived DOCX</x:v>
      </x:c>
      <x:c r="H5196" s="6" t="str"/>
      <x:c r="I5196" s="6" t="str">
        <x:v>Lu Qinli gap fill from Pingshui main list; 詞 entries ignored</x:v>
      </x:c>
      <x:c r="J5196" s="6" t="str">
        <x:f>IF(B5196="","",IF(AND(ISNUMBER(SEARCH("平",B5196)),OR(ISNUMBER(SEARCH("上",B5196)),ISNUMBER(SEARCH("去",B5196)),ISNUMBER(SEARCH("入",B5196)))),"Ambiguous",IF(ISNUMBER(SEARCH("平",B5196)),"平","仄")))</x:f>
        <x:v>平</x:v>
      </x:c>
      <x:c r="K5196" s="6" t="str">
        <x:f>IF(D5196="","",IF(AND(ISNUMBER(SEARCH("平",D5196)),OR(ISNUMBER(SEARCH("上",D5196)),ISNUMBER(SEARCH("去",D5196)),ISNUMBER(SEARCH("入",D5196)))),"Ambiguous",IF(ISNUMBER(SEARCH("平",D5196)),"平","仄")))</x:f>
        <x:v>平</x:v>
      </x:c>
      <x:c r="L5196" s="7" t="str">
        <x:v>Pingshui main list, Lu Qinli gap fill</x:v>
      </x:c>
    </x:row>
    <x:row r="5197">
      <x:c r="A5197" s="5" t="str">
        <x:v>巽</x:v>
      </x:c>
      <x:c r="B5197" s="6" t="str">
        <x:v>去</x:v>
      </x:c>
      <x:c r="C5197" s="6" t="str">
        <x:f>IF(B5197="","Needs decision","Ready")</x:f>
        <x:v>Ready</x:v>
      </x:c>
      <x:c r="D5197" s="6" t="str">
        <x:v>去</x:v>
      </x:c>
      <x:c r="E5197" s="6" t="str"/>
      <x:c r="F5197" s="6" t="str">
        <x:v>去聲十四願</x:v>
      </x:c>
      <x:c r="G5197" s="6" t="str">
        <x:v>Pingshui main list, Wikisource-derived DOCX</x:v>
      </x:c>
      <x:c r="H5197" s="6" t="str"/>
      <x:c r="I5197" s="6" t="str">
        <x:v>Lu Qinli gap fill from Pingshui main list; 詞 entries ignored</x:v>
      </x:c>
      <x:c r="J5197" s="6" t="str">
        <x:f>IF(B5197="","",IF(AND(ISNUMBER(SEARCH("平",B5197)),OR(ISNUMBER(SEARCH("上",B5197)),ISNUMBER(SEARCH("去",B5197)),ISNUMBER(SEARCH("入",B5197)))),"Ambiguous",IF(ISNUMBER(SEARCH("平",B5197)),"平","仄")))</x:f>
        <x:v>仄</x:v>
      </x:c>
      <x:c r="K5197" s="6" t="str">
        <x:f>IF(D5197="","",IF(AND(ISNUMBER(SEARCH("平",D5197)),OR(ISNUMBER(SEARCH("上",D5197)),ISNUMBER(SEARCH("去",D5197)),ISNUMBER(SEARCH("入",D5197)))),"Ambiguous",IF(ISNUMBER(SEARCH("平",D5197)),"平","仄")))</x:f>
        <x:v>仄</x:v>
      </x:c>
      <x:c r="L5197" s="7" t="str">
        <x:v>Pingshui main list, Lu Qinli gap fill</x:v>
      </x:c>
    </x:row>
    <x:row r="5198">
      <x:c r="A5198" s="5" t="str">
        <x:v>帊</x:v>
      </x:c>
      <x:c r="B5198" s="6" t="str">
        <x:v>去</x:v>
      </x:c>
      <x:c r="C5198" s="6" t="str">
        <x:f>IF(B5198="","Needs decision","Ready")</x:f>
        <x:v>Ready</x:v>
      </x:c>
      <x:c r="D5198" s="6" t="str">
        <x:v>去</x:v>
      </x:c>
      <x:c r="E5198" s="6" t="str"/>
      <x:c r="F5198" s="6" t="str">
        <x:v>去聲二十二禡</x:v>
      </x:c>
      <x:c r="G5198" s="6" t="str">
        <x:v>Pingshui main list, Wikisource-derived DOCX</x:v>
      </x:c>
      <x:c r="H5198" s="6" t="str"/>
      <x:c r="I5198" s="6" t="str">
        <x:v>Lu Qinli gap fill from Pingshui main list; 詞 entries ignored</x:v>
      </x:c>
      <x:c r="J5198" s="6" t="str">
        <x:f>IF(B5198="","",IF(AND(ISNUMBER(SEARCH("平",B5198)),OR(ISNUMBER(SEARCH("上",B5198)),ISNUMBER(SEARCH("去",B5198)),ISNUMBER(SEARCH("入",B5198)))),"Ambiguous",IF(ISNUMBER(SEARCH("平",B5198)),"平","仄")))</x:f>
        <x:v>仄</x:v>
      </x:c>
      <x:c r="K5198" s="6" t="str">
        <x:f>IF(D5198="","",IF(AND(ISNUMBER(SEARCH("平",D5198)),OR(ISNUMBER(SEARCH("上",D5198)),ISNUMBER(SEARCH("去",D5198)),ISNUMBER(SEARCH("入",D5198)))),"Ambiguous",IF(ISNUMBER(SEARCH("平",D5198)),"平","仄")))</x:f>
        <x:v>仄</x:v>
      </x:c>
      <x:c r="L5198" s="7" t="str">
        <x:v>Pingshui main list, Lu Qinli gap fill</x:v>
      </x:c>
    </x:row>
    <x:row r="5199">
      <x:c r="A5199" s="5" t="str">
        <x:v>帔</x:v>
      </x:c>
      <x:c r="B5199" s="6" t="str">
        <x:v>去</x:v>
      </x:c>
      <x:c r="C5199" s="6" t="str">
        <x:f>IF(B5199="","Needs decision","Ready")</x:f>
        <x:v>Ready</x:v>
      </x:c>
      <x:c r="D5199" s="6" t="str">
        <x:v>去</x:v>
      </x:c>
      <x:c r="E5199" s="6" t="str"/>
      <x:c r="F5199" s="6" t="str">
        <x:v>去聲四寘</x:v>
      </x:c>
      <x:c r="G5199" s="6" t="str">
        <x:v>Pingshui main list, Wikisource-derived DOCX</x:v>
      </x:c>
      <x:c r="H5199" s="6" t="str"/>
      <x:c r="I5199" s="6" t="str">
        <x:v>Lu Qinli gap fill from Pingshui main list; 詞 entries ignored</x:v>
      </x:c>
      <x:c r="J5199" s="6" t="str">
        <x:f>IF(B5199="","",IF(AND(ISNUMBER(SEARCH("平",B5199)),OR(ISNUMBER(SEARCH("上",B5199)),ISNUMBER(SEARCH("去",B5199)),ISNUMBER(SEARCH("入",B5199)))),"Ambiguous",IF(ISNUMBER(SEARCH("平",B5199)),"平","仄")))</x:f>
        <x:v>仄</x:v>
      </x:c>
      <x:c r="K5199" s="6" t="str">
        <x:f>IF(D5199="","",IF(AND(ISNUMBER(SEARCH("平",D5199)),OR(ISNUMBER(SEARCH("上",D5199)),ISNUMBER(SEARCH("去",D5199)),ISNUMBER(SEARCH("入",D5199)))),"Ambiguous",IF(ISNUMBER(SEARCH("平",D5199)),"平","仄")))</x:f>
        <x:v>仄</x:v>
      </x:c>
      <x:c r="L5199" s="7" t="str">
        <x:v>Pingshui main list, Lu Qinli gap fill</x:v>
      </x:c>
    </x:row>
    <x:row r="5200">
      <x:c r="A5200" s="5" t="str">
        <x:v>帕</x:v>
      </x:c>
      <x:c r="B5200" s="6" t="str">
        <x:v>入</x:v>
      </x:c>
      <x:c r="C5200" s="6" t="str">
        <x:f>IF(B5200="","Needs decision","Ready")</x:f>
        <x:v>Ready</x:v>
      </x:c>
      <x:c r="D5200" s="6" t="str">
        <x:v>入</x:v>
      </x:c>
      <x:c r="E5200" s="6" t="str"/>
      <x:c r="F5200" s="6" t="str">
        <x:v>入聲八黠</x:v>
      </x:c>
      <x:c r="G5200" s="6" t="str">
        <x:v>Pingshui main list, Wikisource-derived DOCX</x:v>
      </x:c>
      <x:c r="H5200" s="6" t="str"/>
      <x:c r="I5200" s="6" t="str">
        <x:v>Lu Qinli gap fill from Pingshui main list; 詞 entries ignored</x:v>
      </x:c>
      <x:c r="J5200" s="6" t="str">
        <x:f>IF(B5200="","",IF(AND(ISNUMBER(SEARCH("平",B5200)),OR(ISNUMBER(SEARCH("上",B5200)),ISNUMBER(SEARCH("去",B5200)),ISNUMBER(SEARCH("入",B5200)))),"Ambiguous",IF(ISNUMBER(SEARCH("平",B5200)),"平","仄")))</x:f>
        <x:v>仄</x:v>
      </x:c>
      <x:c r="K5200" s="6" t="str">
        <x:f>IF(D5200="","",IF(AND(ISNUMBER(SEARCH("平",D5200)),OR(ISNUMBER(SEARCH("上",D5200)),ISNUMBER(SEARCH("去",D5200)),ISNUMBER(SEARCH("入",D5200)))),"Ambiguous",IF(ISNUMBER(SEARCH("平",D5200)),"平","仄")))</x:f>
        <x:v>仄</x:v>
      </x:c>
      <x:c r="L5200" s="7" t="str">
        <x:v>Pingshui main list, Lu Qinli gap fill</x:v>
      </x:c>
    </x:row>
    <x:row r="5201">
      <x:c r="A5201" s="5" t="str">
        <x:v>帙</x:v>
      </x:c>
      <x:c r="B5201" s="6" t="str">
        <x:v>入</x:v>
      </x:c>
      <x:c r="C5201" s="6" t="str">
        <x:f>IF(B5201="","Needs decision","Ready")</x:f>
        <x:v>Ready</x:v>
      </x:c>
      <x:c r="D5201" s="6" t="str">
        <x:v>入</x:v>
      </x:c>
      <x:c r="E5201" s="6" t="str"/>
      <x:c r="F5201" s="6" t="str">
        <x:v>入聲四質</x:v>
      </x:c>
      <x:c r="G5201" s="6" t="str">
        <x:v>Pingshui main list, Wikisource-derived DOCX</x:v>
      </x:c>
      <x:c r="H5201" s="6" t="str"/>
      <x:c r="I5201" s="6" t="str">
        <x:v>Lu Qinli gap fill from Pingshui main list; 詞 entries ignored</x:v>
      </x:c>
      <x:c r="J5201" s="6" t="str">
        <x:f>IF(B5201="","",IF(AND(ISNUMBER(SEARCH("平",B5201)),OR(ISNUMBER(SEARCH("上",B5201)),ISNUMBER(SEARCH("去",B5201)),ISNUMBER(SEARCH("入",B5201)))),"Ambiguous",IF(ISNUMBER(SEARCH("平",B5201)),"平","仄")))</x:f>
        <x:v>仄</x:v>
      </x:c>
      <x:c r="K5201" s="6" t="str">
        <x:f>IF(D5201="","",IF(AND(ISNUMBER(SEARCH("平",D5201)),OR(ISNUMBER(SEARCH("上",D5201)),ISNUMBER(SEARCH("去",D5201)),ISNUMBER(SEARCH("入",D5201)))),"Ambiguous",IF(ISNUMBER(SEARCH("平",D5201)),"平","仄")))</x:f>
        <x:v>仄</x:v>
      </x:c>
      <x:c r="L5201" s="7" t="str">
        <x:v>Pingshui main list, Lu Qinli gap fill</x:v>
      </x:c>
    </x:row>
    <x:row r="5202">
      <x:c r="A5202" s="5" t="str">
        <x:v>帟</x:v>
      </x:c>
      <x:c r="B5202" s="6" t="str">
        <x:v>入</x:v>
      </x:c>
      <x:c r="C5202" s="6" t="str">
        <x:f>IF(B5202="","Needs decision","Ready")</x:f>
        <x:v>Ready</x:v>
      </x:c>
      <x:c r="D5202" s="6" t="str">
        <x:v>入</x:v>
      </x:c>
      <x:c r="E5202" s="6" t="str"/>
      <x:c r="F5202" s="6" t="str">
        <x:v>入聲十一陌</x:v>
      </x:c>
      <x:c r="G5202" s="6" t="str">
        <x:v>Pingshui main list, Wikisource-derived DOCX</x:v>
      </x:c>
      <x:c r="H5202" s="6" t="str"/>
      <x:c r="I5202" s="6" t="str">
        <x:v>Lu Qinli gap fill from Pingshui main list; 詞 entries ignored</x:v>
      </x:c>
      <x:c r="J5202" s="6" t="str">
        <x:f>IF(B5202="","",IF(AND(ISNUMBER(SEARCH("平",B5202)),OR(ISNUMBER(SEARCH("上",B5202)),ISNUMBER(SEARCH("去",B5202)),ISNUMBER(SEARCH("入",B5202)))),"Ambiguous",IF(ISNUMBER(SEARCH("平",B5202)),"平","仄")))</x:f>
        <x:v>仄</x:v>
      </x:c>
      <x:c r="K5202" s="6" t="str">
        <x:f>IF(D5202="","",IF(AND(ISNUMBER(SEARCH("平",D5202)),OR(ISNUMBER(SEARCH("上",D5202)),ISNUMBER(SEARCH("去",D5202)),ISNUMBER(SEARCH("入",D5202)))),"Ambiguous",IF(ISNUMBER(SEARCH("平",D5202)),"平","仄")))</x:f>
        <x:v>仄</x:v>
      </x:c>
      <x:c r="L5202" s="7" t="str">
        <x:v>Pingshui main list, Lu Qinli gap fill</x:v>
      </x:c>
    </x:row>
    <x:row r="5203">
      <x:c r="A5203" s="5" t="str">
        <x:v>幗</x:v>
      </x:c>
      <x:c r="B5203" s="6" t="str">
        <x:v>入</x:v>
      </x:c>
      <x:c r="C5203" s="6" t="str">
        <x:f>IF(B5203="","Needs decision","Ready")</x:f>
        <x:v>Ready</x:v>
      </x:c>
      <x:c r="D5203" s="6" t="str">
        <x:v>入</x:v>
      </x:c>
      <x:c r="E5203" s="6" t="str"/>
      <x:c r="F5203" s="6" t="str">
        <x:v>入聲十一陌</x:v>
      </x:c>
      <x:c r="G5203" s="6" t="str">
        <x:v>Pingshui main list, Wikisource-derived DOCX</x:v>
      </x:c>
      <x:c r="H5203" s="6" t="str"/>
      <x:c r="I5203" s="6" t="str">
        <x:v>Lu Qinli gap fill from Pingshui main list; 詞 entries ignored</x:v>
      </x:c>
      <x:c r="J5203" s="6" t="str">
        <x:f>IF(B5203="","",IF(AND(ISNUMBER(SEARCH("平",B5203)),OR(ISNUMBER(SEARCH("上",B5203)),ISNUMBER(SEARCH("去",B5203)),ISNUMBER(SEARCH("入",B5203)))),"Ambiguous",IF(ISNUMBER(SEARCH("平",B5203)),"平","仄")))</x:f>
        <x:v>仄</x:v>
      </x:c>
      <x:c r="K5203" s="6" t="str">
        <x:f>IF(D5203="","",IF(AND(ISNUMBER(SEARCH("平",D5203)),OR(ISNUMBER(SEARCH("上",D5203)),ISNUMBER(SEARCH("去",D5203)),ISNUMBER(SEARCH("入",D5203)))),"Ambiguous",IF(ISNUMBER(SEARCH("平",D5203)),"平","仄")))</x:f>
        <x:v>仄</x:v>
      </x:c>
      <x:c r="L5203" s="7" t="str">
        <x:v>Pingshui main list, Lu Qinli gap fill</x:v>
      </x:c>
    </x:row>
    <x:row r="5204">
      <x:c r="A5204" s="5" t="str">
        <x:v>幟</x:v>
      </x:c>
      <x:c r="B5204" s="6" t="str">
        <x:v>去</x:v>
      </x:c>
      <x:c r="C5204" s="6" t="str">
        <x:f>IF(B5204="","Needs decision","Ready")</x:f>
        <x:v>Ready</x:v>
      </x:c>
      <x:c r="D5204" s="6" t="str">
        <x:v>去</x:v>
      </x:c>
      <x:c r="E5204" s="6" t="str"/>
      <x:c r="F5204" s="6" t="str">
        <x:v>去聲四寘</x:v>
      </x:c>
      <x:c r="G5204" s="6" t="str">
        <x:v>Pingshui main list, Wikisource-derived DOCX</x:v>
      </x:c>
      <x:c r="H5204" s="6" t="str"/>
      <x:c r="I5204" s="6" t="str">
        <x:v>Lu Qinli gap fill from Pingshui main list; 詞 entries ignored</x:v>
      </x:c>
      <x:c r="J5204" s="6" t="str">
        <x:f>IF(B5204="","",IF(AND(ISNUMBER(SEARCH("平",B5204)),OR(ISNUMBER(SEARCH("上",B5204)),ISNUMBER(SEARCH("去",B5204)),ISNUMBER(SEARCH("入",B5204)))),"Ambiguous",IF(ISNUMBER(SEARCH("平",B5204)),"平","仄")))</x:f>
        <x:v>仄</x:v>
      </x:c>
      <x:c r="K5204" s="6" t="str">
        <x:f>IF(D5204="","",IF(AND(ISNUMBER(SEARCH("平",D5204)),OR(ISNUMBER(SEARCH("上",D5204)),ISNUMBER(SEARCH("去",D5204)),ISNUMBER(SEARCH("入",D5204)))),"Ambiguous",IF(ISNUMBER(SEARCH("平",D5204)),"平","仄")))</x:f>
        <x:v>仄</x:v>
      </x:c>
      <x:c r="L5204" s="7" t="str">
        <x:v>Pingshui main list, Lu Qinli gap fill</x:v>
      </x:c>
    </x:row>
    <x:row r="5205">
      <x:c r="A5205" s="5" t="str">
        <x:v>幡</x:v>
      </x:c>
      <x:c r="B5205" s="6" t="str">
        <x:v>平</x:v>
      </x:c>
      <x:c r="C5205" s="6" t="str">
        <x:f>IF(B5205="","Needs decision","Ready")</x:f>
        <x:v>Ready</x:v>
      </x:c>
      <x:c r="D5205" s="6" t="str">
        <x:v>平</x:v>
      </x:c>
      <x:c r="E5205" s="6" t="str"/>
      <x:c r="F5205" s="6" t="str">
        <x:v>上平聲十三元</x:v>
      </x:c>
      <x:c r="G5205" s="6" t="str">
        <x:v>Pingshui main list, Wikisource-derived DOCX</x:v>
      </x:c>
      <x:c r="H5205" s="6" t="str"/>
      <x:c r="I5205" s="6" t="str">
        <x:v>Lu Qinli gap fill from Pingshui main list; 詞 entries ignored</x:v>
      </x:c>
      <x:c r="J5205" s="6" t="str">
        <x:f>IF(B5205="","",IF(AND(ISNUMBER(SEARCH("平",B5205)),OR(ISNUMBER(SEARCH("上",B5205)),ISNUMBER(SEARCH("去",B5205)),ISNUMBER(SEARCH("入",B5205)))),"Ambiguous",IF(ISNUMBER(SEARCH("平",B5205)),"平","仄")))</x:f>
        <x:v>平</x:v>
      </x:c>
      <x:c r="K5205" s="6" t="str">
        <x:f>IF(D5205="","",IF(AND(ISNUMBER(SEARCH("平",D5205)),OR(ISNUMBER(SEARCH("上",D5205)),ISNUMBER(SEARCH("去",D5205)),ISNUMBER(SEARCH("入",D5205)))),"Ambiguous",IF(ISNUMBER(SEARCH("平",D5205)),"平","仄")))</x:f>
        <x:v>平</x:v>
      </x:c>
      <x:c r="L5205" s="7" t="str">
        <x:v>Pingshui main list, Lu Qinli gap fill</x:v>
      </x:c>
    </x:row>
    <x:row r="5206">
      <x:c r="A5206" s="5" t="str">
        <x:v>幧</x:v>
      </x:c>
      <x:c r="B5206" s="6" t="str">
        <x:v>平</x:v>
      </x:c>
      <x:c r="C5206" s="6" t="str">
        <x:f>IF(B5206="","Needs decision","Ready")</x:f>
        <x:v>Ready</x:v>
      </x:c>
      <x:c r="D5206" s="6" t="str">
        <x:v>平</x:v>
      </x:c>
      <x:c r="E5206" s="6" t="str"/>
      <x:c r="F5206" s="6" t="str">
        <x:v>下平聲二蕭</x:v>
      </x:c>
      <x:c r="G5206" s="6" t="str">
        <x:v>Pingshui main list, Wikisource-derived DOCX</x:v>
      </x:c>
      <x:c r="H5206" s="6" t="str"/>
      <x:c r="I5206" s="6" t="str">
        <x:v>Lu Qinli gap fill from Pingshui main list; 詞 entries ignored</x:v>
      </x:c>
      <x:c r="J5206" s="6" t="str">
        <x:f>IF(B5206="","",IF(AND(ISNUMBER(SEARCH("平",B5206)),OR(ISNUMBER(SEARCH("上",B5206)),ISNUMBER(SEARCH("去",B5206)),ISNUMBER(SEARCH("入",B5206)))),"Ambiguous",IF(ISNUMBER(SEARCH("平",B5206)),"平","仄")))</x:f>
        <x:v>平</x:v>
      </x:c>
      <x:c r="K5206" s="6" t="str">
        <x:f>IF(D5206="","",IF(AND(ISNUMBER(SEARCH("平",D5206)),OR(ISNUMBER(SEARCH("上",D5206)),ISNUMBER(SEARCH("去",D5206)),ISNUMBER(SEARCH("入",D5206)))),"Ambiguous",IF(ISNUMBER(SEARCH("平",D5206)),"平","仄")))</x:f>
        <x:v>平</x:v>
      </x:c>
      <x:c r="L5206" s="7" t="str">
        <x:v>Pingshui main list, Lu Qinli gap fill</x:v>
      </x:c>
    </x:row>
    <x:row r="5207">
      <x:c r="A5207" s="5" t="str">
        <x:v>幪</x:v>
      </x:c>
      <x:c r="B5207" s="6" t="str"/>
      <x:c r="C5207" s="6" t="str">
        <x:f>IF(B5207="","Needs decision","Ready")</x:f>
        <x:v>Needs decision</x:v>
      </x:c>
      <x:c r="D5207" s="6" t="str">
        <x:v>平/上/去</x:v>
      </x:c>
      <x:c r="E5207" s="6" t="str"/>
      <x:c r="F5207" s="6" t="str">
        <x:v>上平聲一東; 上聲一董; 去聲一送</x:v>
      </x:c>
      <x:c r="G5207" s="6" t="str">
        <x:v>Pingshui main list, Wikisource-derived DOCX</x:v>
      </x:c>
      <x:c r="H5207" s="6" t="str"/>
      <x:c r="I5207" s="6" t="str">
        <x:v>Lu Qinli gap fill from Pingshui main list; 詞 entries ignored</x:v>
      </x:c>
      <x:c r="J5207" s="6" t="str">
        <x:f>IF(B5207="","",IF(AND(ISNUMBER(SEARCH("平",B5207)),OR(ISNUMBER(SEARCH("上",B5207)),ISNUMBER(SEARCH("去",B5207)),ISNUMBER(SEARCH("入",B5207)))),"Ambiguous",IF(ISNUMBER(SEARCH("平",B5207)),"平","仄")))</x:f>
      </x:c>
      <x:c r="K5207" s="6" t="str">
        <x:f>IF(D5207="","",IF(AND(ISNUMBER(SEARCH("平",D5207)),OR(ISNUMBER(SEARCH("上",D5207)),ISNUMBER(SEARCH("去",D5207)),ISNUMBER(SEARCH("入",D5207)))),"Ambiguous",IF(ISNUMBER(SEARCH("平",D5207)),"平","仄")))</x:f>
        <x:v>Ambiguous</x:v>
      </x:c>
      <x:c r="L5207" s="7" t="str">
        <x:v>Pingshui main list, Lu Qinli gap fill</x:v>
      </x:c>
    </x:row>
    <x:row r="5208">
      <x:c r="A5208" s="5" t="str">
        <x:v>幰</x:v>
      </x:c>
      <x:c r="B5208" s="6" t="str">
        <x:v>上</x:v>
      </x:c>
      <x:c r="C5208" s="6" t="str">
        <x:f>IF(B5208="","Needs decision","Ready")</x:f>
        <x:v>Ready</x:v>
      </x:c>
      <x:c r="D5208" s="6" t="str">
        <x:v>上</x:v>
      </x:c>
      <x:c r="E5208" s="6" t="str"/>
      <x:c r="F5208" s="6" t="str">
        <x:v>上聲十三阮</x:v>
      </x:c>
      <x:c r="G5208" s="6" t="str">
        <x:v>Pingshui main list, Wikisource-derived DOCX</x:v>
      </x:c>
      <x:c r="H5208" s="6" t="str"/>
      <x:c r="I5208" s="6" t="str">
        <x:v>Lu Qinli gap fill from Pingshui main list; 詞 entries ignored</x:v>
      </x:c>
      <x:c r="J5208" s="6" t="str">
        <x:f>IF(B5208="","",IF(AND(ISNUMBER(SEARCH("平",B5208)),OR(ISNUMBER(SEARCH("上",B5208)),ISNUMBER(SEARCH("去",B5208)),ISNUMBER(SEARCH("入",B5208)))),"Ambiguous",IF(ISNUMBER(SEARCH("平",B5208)),"平","仄")))</x:f>
        <x:v>仄</x:v>
      </x:c>
      <x:c r="K5208" s="6" t="str">
        <x:f>IF(D5208="","",IF(AND(ISNUMBER(SEARCH("平",D5208)),OR(ISNUMBER(SEARCH("上",D5208)),ISNUMBER(SEARCH("去",D5208)),ISNUMBER(SEARCH("入",D5208)))),"Ambiguous",IF(ISNUMBER(SEARCH("平",D5208)),"平","仄")))</x:f>
        <x:v>仄</x:v>
      </x:c>
      <x:c r="L5208" s="7" t="str">
        <x:v>Pingshui main list, Lu Qinli gap fill</x:v>
      </x:c>
    </x:row>
    <x:row r="5209">
      <x:c r="A5209" s="5" t="str">
        <x:v>幻</x:v>
      </x:c>
      <x:c r="B5209" s="6" t="str">
        <x:v>去</x:v>
      </x:c>
      <x:c r="C5209" s="6" t="str">
        <x:f>IF(B5209="","Needs decision","Ready")</x:f>
        <x:v>Ready</x:v>
      </x:c>
      <x:c r="D5209" s="6" t="str">
        <x:v>去</x:v>
      </x:c>
      <x:c r="E5209" s="6" t="str"/>
      <x:c r="F5209" s="6" t="str">
        <x:v>去聲十六諫</x:v>
      </x:c>
      <x:c r="G5209" s="6" t="str">
        <x:v>Pingshui main list, Wikisource-derived DOCX</x:v>
      </x:c>
      <x:c r="H5209" s="6" t="str"/>
      <x:c r="I5209" s="6" t="str">
        <x:v>Lu Qinli gap fill from Pingshui main list; 詞 entries ignored</x:v>
      </x:c>
      <x:c r="J5209" s="6" t="str">
        <x:f>IF(B5209="","",IF(AND(ISNUMBER(SEARCH("平",B5209)),OR(ISNUMBER(SEARCH("上",B5209)),ISNUMBER(SEARCH("去",B5209)),ISNUMBER(SEARCH("入",B5209)))),"Ambiguous",IF(ISNUMBER(SEARCH("平",B5209)),"平","仄")))</x:f>
        <x:v>仄</x:v>
      </x:c>
      <x:c r="K5209" s="6" t="str">
        <x:f>IF(D5209="","",IF(AND(ISNUMBER(SEARCH("平",D5209)),OR(ISNUMBER(SEARCH("上",D5209)),ISNUMBER(SEARCH("去",D5209)),ISNUMBER(SEARCH("入",D5209)))),"Ambiguous",IF(ISNUMBER(SEARCH("平",D5209)),"平","仄")))</x:f>
        <x:v>仄</x:v>
      </x:c>
      <x:c r="L5209" s="7" t="str">
        <x:v>Pingshui main list, Lu Qinli gap fill</x:v>
      </x:c>
    </x:row>
    <x:row r="5210">
      <x:c r="A5210" s="5" t="str">
        <x:v>庖</x:v>
      </x:c>
      <x:c r="B5210" s="6" t="str">
        <x:v>平</x:v>
      </x:c>
      <x:c r="C5210" s="6" t="str">
        <x:f>IF(B5210="","Needs decision","Ready")</x:f>
        <x:v>Ready</x:v>
      </x:c>
      <x:c r="D5210" s="6" t="str">
        <x:v>平</x:v>
      </x:c>
      <x:c r="E5210" s="6" t="str"/>
      <x:c r="F5210" s="6" t="str">
        <x:v>下平聲三肴</x:v>
      </x:c>
      <x:c r="G5210" s="6" t="str">
        <x:v>Pingshui main list, Wikisource-derived DOCX</x:v>
      </x:c>
      <x:c r="H5210" s="6" t="str"/>
      <x:c r="I5210" s="6" t="str">
        <x:v>Lu Qinli gap fill from Pingshui main list; 詞 entries ignored</x:v>
      </x:c>
      <x:c r="J5210" s="6" t="str">
        <x:f>IF(B5210="","",IF(AND(ISNUMBER(SEARCH("平",B5210)),OR(ISNUMBER(SEARCH("上",B5210)),ISNUMBER(SEARCH("去",B5210)),ISNUMBER(SEARCH("入",B5210)))),"Ambiguous",IF(ISNUMBER(SEARCH("平",B5210)),"平","仄")))</x:f>
        <x:v>平</x:v>
      </x:c>
      <x:c r="K5210" s="6" t="str">
        <x:f>IF(D5210="","",IF(AND(ISNUMBER(SEARCH("平",D5210)),OR(ISNUMBER(SEARCH("上",D5210)),ISNUMBER(SEARCH("去",D5210)),ISNUMBER(SEARCH("入",D5210)))),"Ambiguous",IF(ISNUMBER(SEARCH("平",D5210)),"平","仄")))</x:f>
        <x:v>平</x:v>
      </x:c>
      <x:c r="L5210" s="7" t="str">
        <x:v>Pingshui main list, Lu Qinli gap fill</x:v>
      </x:c>
    </x:row>
    <x:row r="5211">
      <x:c r="A5211" s="5" t="str">
        <x:v>庥</x:v>
      </x:c>
      <x:c r="B5211" s="6" t="str">
        <x:v>平</x:v>
      </x:c>
      <x:c r="C5211" s="6" t="str">
        <x:f>IF(B5211="","Needs decision","Ready")</x:f>
        <x:v>Ready</x:v>
      </x:c>
      <x:c r="D5211" s="6" t="str">
        <x:v>平</x:v>
      </x:c>
      <x:c r="E5211" s="6" t="str"/>
      <x:c r="F5211" s="6" t="str">
        <x:v>下平聲十一尤</x:v>
      </x:c>
      <x:c r="G5211" s="6" t="str">
        <x:v>Pingshui main list, Wikisource-derived DOCX</x:v>
      </x:c>
      <x:c r="H5211" s="6" t="str"/>
      <x:c r="I5211" s="6" t="str">
        <x:v>Lu Qinli gap fill from Pingshui main list; 詞 entries ignored</x:v>
      </x:c>
      <x:c r="J5211" s="6" t="str">
        <x:f>IF(B5211="","",IF(AND(ISNUMBER(SEARCH("平",B5211)),OR(ISNUMBER(SEARCH("上",B5211)),ISNUMBER(SEARCH("去",B5211)),ISNUMBER(SEARCH("入",B5211)))),"Ambiguous",IF(ISNUMBER(SEARCH("平",B5211)),"平","仄")))</x:f>
        <x:v>平</x:v>
      </x:c>
      <x:c r="K5211" s="6" t="str">
        <x:f>IF(D5211="","",IF(AND(ISNUMBER(SEARCH("平",D5211)),OR(ISNUMBER(SEARCH("上",D5211)),ISNUMBER(SEARCH("去",D5211)),ISNUMBER(SEARCH("入",D5211)))),"Ambiguous",IF(ISNUMBER(SEARCH("平",D5211)),"平","仄")))</x:f>
        <x:v>平</x:v>
      </x:c>
      <x:c r="L5211" s="7" t="str">
        <x:v>Pingshui main list, Lu Qinli gap fill</x:v>
      </x:c>
    </x:row>
    <x:row r="5212">
      <x:c r="A5212" s="5" t="str">
        <x:v>庵</x:v>
      </x:c>
      <x:c r="B5212" s="6" t="str">
        <x:v>平</x:v>
      </x:c>
      <x:c r="C5212" s="6" t="str">
        <x:f>IF(B5212="","Needs decision","Ready")</x:f>
        <x:v>Ready</x:v>
      </x:c>
      <x:c r="D5212" s="6" t="str">
        <x:v>平</x:v>
      </x:c>
      <x:c r="E5212" s="6" t="str"/>
      <x:c r="F5212" s="6" t="str">
        <x:v>下平聲十三覃</x:v>
      </x:c>
      <x:c r="G5212" s="6" t="str">
        <x:v>Pingshui main list, Wikisource-derived DOCX</x:v>
      </x:c>
      <x:c r="H5212" s="6" t="str"/>
      <x:c r="I5212" s="6" t="str">
        <x:v>Lu Qinli gap fill from Pingshui main list; 詞 entries ignored</x:v>
      </x:c>
      <x:c r="J5212" s="6" t="str">
        <x:f>IF(B5212="","",IF(AND(ISNUMBER(SEARCH("平",B5212)),OR(ISNUMBER(SEARCH("上",B5212)),ISNUMBER(SEARCH("去",B5212)),ISNUMBER(SEARCH("入",B5212)))),"Ambiguous",IF(ISNUMBER(SEARCH("平",B5212)),"平","仄")))</x:f>
        <x:v>平</x:v>
      </x:c>
      <x:c r="K5212" s="6" t="str">
        <x:f>IF(D5212="","",IF(AND(ISNUMBER(SEARCH("平",D5212)),OR(ISNUMBER(SEARCH("上",D5212)),ISNUMBER(SEARCH("去",D5212)),ISNUMBER(SEARCH("入",D5212)))),"Ambiguous",IF(ISNUMBER(SEARCH("平",D5212)),"平","仄")))</x:f>
        <x:v>平</x:v>
      </x:c>
      <x:c r="L5212" s="7" t="str">
        <x:v>Pingshui main list, Lu Qinli gap fill</x:v>
      </x:c>
    </x:row>
    <x:row r="5213">
      <x:c r="A5213" s="5" t="str">
        <x:v>廖</x:v>
      </x:c>
      <x:c r="B5213" s="6" t="str">
        <x:v>去</x:v>
      </x:c>
      <x:c r="C5213" s="6" t="str">
        <x:f>IF(B5213="","Needs decision","Ready")</x:f>
        <x:v>Ready</x:v>
      </x:c>
      <x:c r="D5213" s="6" t="str">
        <x:v>去</x:v>
      </x:c>
      <x:c r="E5213" s="6" t="str"/>
      <x:c r="F5213" s="6" t="str">
        <x:v>去聲二十六宥</x:v>
      </x:c>
      <x:c r="G5213" s="6" t="str">
        <x:v>Pingshui main list, Wikisource-derived DOCX</x:v>
      </x:c>
      <x:c r="H5213" s="6" t="str"/>
      <x:c r="I5213" s="6" t="str">
        <x:v>Lu Qinli gap fill from Pingshui main list; 詞 entries ignored</x:v>
      </x:c>
      <x:c r="J5213" s="6" t="str">
        <x:f>IF(B5213="","",IF(AND(ISNUMBER(SEARCH("平",B5213)),OR(ISNUMBER(SEARCH("上",B5213)),ISNUMBER(SEARCH("去",B5213)),ISNUMBER(SEARCH("入",B5213)))),"Ambiguous",IF(ISNUMBER(SEARCH("平",B5213)),"平","仄")))</x:f>
        <x:v>仄</x:v>
      </x:c>
      <x:c r="K5213" s="6" t="str">
        <x:f>IF(D5213="","",IF(AND(ISNUMBER(SEARCH("平",D5213)),OR(ISNUMBER(SEARCH("上",D5213)),ISNUMBER(SEARCH("去",D5213)),ISNUMBER(SEARCH("入",D5213)))),"Ambiguous",IF(ISNUMBER(SEARCH("平",D5213)),"平","仄")))</x:f>
        <x:v>仄</x:v>
      </x:c>
      <x:c r="L5213" s="7" t="str">
        <x:v>Pingshui main list, Lu Qinli gap fill</x:v>
      </x:c>
    </x:row>
    <x:row r="5214">
      <x:c r="A5214" s="5" t="str">
        <x:v>廙</x:v>
      </x:c>
      <x:c r="B5214" s="6" t="str">
        <x:v>去</x:v>
      </x:c>
      <x:c r="C5214" s="6" t="str">
        <x:f>IF(B5214="","Needs decision","Ready")</x:f>
        <x:v>Ready</x:v>
      </x:c>
      <x:c r="D5214" s="6" t="str">
        <x:v>去</x:v>
      </x:c>
      <x:c r="E5214" s="6" t="str"/>
      <x:c r="F5214" s="6" t="str">
        <x:v>去聲四寘</x:v>
      </x:c>
      <x:c r="G5214" s="6" t="str">
        <x:v>Pingshui main list, Wikisource-derived DOCX</x:v>
      </x:c>
      <x:c r="H5214" s="6" t="str"/>
      <x:c r="I5214" s="6" t="str">
        <x:v>Lu Qinli gap fill from Pingshui main list; 詞 entries ignored</x:v>
      </x:c>
      <x:c r="J5214" s="6" t="str">
        <x:f>IF(B5214="","",IF(AND(ISNUMBER(SEARCH("平",B5214)),OR(ISNUMBER(SEARCH("上",B5214)),ISNUMBER(SEARCH("去",B5214)),ISNUMBER(SEARCH("入",B5214)))),"Ambiguous",IF(ISNUMBER(SEARCH("平",B5214)),"平","仄")))</x:f>
        <x:v>仄</x:v>
      </x:c>
      <x:c r="K5214" s="6" t="str">
        <x:f>IF(D5214="","",IF(AND(ISNUMBER(SEARCH("平",D5214)),OR(ISNUMBER(SEARCH("上",D5214)),ISNUMBER(SEARCH("去",D5214)),ISNUMBER(SEARCH("入",D5214)))),"Ambiguous",IF(ISNUMBER(SEARCH("平",D5214)),"平","仄")))</x:f>
        <x:v>仄</x:v>
      </x:c>
      <x:c r="L5214" s="7" t="str">
        <x:v>Pingshui main list, Lu Qinli gap fill</x:v>
      </x:c>
    </x:row>
    <x:row r="5215">
      <x:c r="A5215" s="5" t="str">
        <x:v>廠</x:v>
      </x:c>
      <x:c r="B5215" s="6" t="str">
        <x:v>上</x:v>
      </x:c>
      <x:c r="C5215" s="6" t="str">
        <x:f>IF(B5215="","Needs decision","Ready")</x:f>
        <x:v>Ready</x:v>
      </x:c>
      <x:c r="D5215" s="6" t="str">
        <x:v>上</x:v>
      </x:c>
      <x:c r="E5215" s="6" t="str"/>
      <x:c r="F5215" s="6" t="str">
        <x:v>上聲二十二養</x:v>
      </x:c>
      <x:c r="G5215" s="6" t="str">
        <x:v>Pingshui main list, Wikisource-derived DOCX</x:v>
      </x:c>
      <x:c r="H5215" s="6" t="str"/>
      <x:c r="I5215" s="6" t="str">
        <x:v>Lu Qinli gap fill from Pingshui main list; 詞 entries ignored</x:v>
      </x:c>
      <x:c r="J5215" s="6" t="str">
        <x:f>IF(B5215="","",IF(AND(ISNUMBER(SEARCH("平",B5215)),OR(ISNUMBER(SEARCH("上",B5215)),ISNUMBER(SEARCH("去",B5215)),ISNUMBER(SEARCH("入",B5215)))),"Ambiguous",IF(ISNUMBER(SEARCH("平",B5215)),"平","仄")))</x:f>
        <x:v>仄</x:v>
      </x:c>
      <x:c r="K5215" s="6" t="str">
        <x:f>IF(D5215="","",IF(AND(ISNUMBER(SEARCH("平",D5215)),OR(ISNUMBER(SEARCH("上",D5215)),ISNUMBER(SEARCH("去",D5215)),ISNUMBER(SEARCH("入",D5215)))),"Ambiguous",IF(ISNUMBER(SEARCH("平",D5215)),"平","仄")))</x:f>
        <x:v>仄</x:v>
      </x:c>
      <x:c r="L5215" s="7" t="str">
        <x:v>Pingshui main list, Lu Qinli gap fill</x:v>
      </x:c>
    </x:row>
    <x:row r="5216">
      <x:c r="A5216" s="5" t="str">
        <x:v>廡</x:v>
      </x:c>
      <x:c r="B5216" s="6" t="str">
        <x:v>上</x:v>
      </x:c>
      <x:c r="C5216" s="6" t="str">
        <x:f>IF(B5216="","Needs decision","Ready")</x:f>
        <x:v>Ready</x:v>
      </x:c>
      <x:c r="D5216" s="6" t="str">
        <x:v>上</x:v>
      </x:c>
      <x:c r="E5216" s="6" t="str"/>
      <x:c r="F5216" s="6" t="str">
        <x:v>上聲七麌</x:v>
      </x:c>
      <x:c r="G5216" s="6" t="str">
        <x:v>Pingshui main list, Wikisource-derived DOCX</x:v>
      </x:c>
      <x:c r="H5216" s="6" t="str"/>
      <x:c r="I5216" s="6" t="str">
        <x:v>Lu Qinli gap fill from Pingshui main list; 詞 entries ignored</x:v>
      </x:c>
      <x:c r="J5216" s="6" t="str">
        <x:f>IF(B5216="","",IF(AND(ISNUMBER(SEARCH("平",B5216)),OR(ISNUMBER(SEARCH("上",B5216)),ISNUMBER(SEARCH("去",B5216)),ISNUMBER(SEARCH("入",B5216)))),"Ambiguous",IF(ISNUMBER(SEARCH("平",B5216)),"平","仄")))</x:f>
        <x:v>仄</x:v>
      </x:c>
      <x:c r="K5216" s="6" t="str">
        <x:f>IF(D5216="","",IF(AND(ISNUMBER(SEARCH("平",D5216)),OR(ISNUMBER(SEARCH("上",D5216)),ISNUMBER(SEARCH("去",D5216)),ISNUMBER(SEARCH("入",D5216)))),"Ambiguous",IF(ISNUMBER(SEARCH("平",D5216)),"平","仄")))</x:f>
        <x:v>仄</x:v>
      </x:c>
      <x:c r="L5216" s="7" t="str">
        <x:v>Pingshui main list, Lu Qinli gap fill</x:v>
      </x:c>
    </x:row>
    <x:row r="5217">
      <x:c r="A5217" s="5" t="str">
        <x:v>廨</x:v>
      </x:c>
      <x:c r="B5217" s="6" t="str">
        <x:v>去</x:v>
      </x:c>
      <x:c r="C5217" s="6" t="str">
        <x:f>IF(B5217="","Needs decision","Ready")</x:f>
        <x:v>Ready</x:v>
      </x:c>
      <x:c r="D5217" s="6" t="str">
        <x:v>去</x:v>
      </x:c>
      <x:c r="E5217" s="6" t="str"/>
      <x:c r="F5217" s="6" t="str">
        <x:v>去聲十卦</x:v>
      </x:c>
      <x:c r="G5217" s="6" t="str">
        <x:v>Pingshui main list, Wikisource-derived DOCX</x:v>
      </x:c>
      <x:c r="H5217" s="6" t="str"/>
      <x:c r="I5217" s="6" t="str">
        <x:v>Lu Qinli gap fill from Pingshui main list; 詞 entries ignored</x:v>
      </x:c>
      <x:c r="J5217" s="6" t="str">
        <x:f>IF(B5217="","",IF(AND(ISNUMBER(SEARCH("平",B5217)),OR(ISNUMBER(SEARCH("上",B5217)),ISNUMBER(SEARCH("去",B5217)),ISNUMBER(SEARCH("入",B5217)))),"Ambiguous",IF(ISNUMBER(SEARCH("平",B5217)),"平","仄")))</x:f>
        <x:v>仄</x:v>
      </x:c>
      <x:c r="K5217" s="6" t="str">
        <x:f>IF(D5217="","",IF(AND(ISNUMBER(SEARCH("平",D5217)),OR(ISNUMBER(SEARCH("上",D5217)),ISNUMBER(SEARCH("去",D5217)),ISNUMBER(SEARCH("入",D5217)))),"Ambiguous",IF(ISNUMBER(SEARCH("平",D5217)),"平","仄")))</x:f>
        <x:v>仄</x:v>
      </x:c>
      <x:c r="L5217" s="7" t="str">
        <x:v>Pingshui main list, Lu Qinli gap fill</x:v>
      </x:c>
    </x:row>
    <x:row r="5218">
      <x:c r="A5218" s="5" t="str">
        <x:v>廳</x:v>
      </x:c>
      <x:c r="B5218" s="6" t="str">
        <x:v>平</x:v>
      </x:c>
      <x:c r="C5218" s="6" t="str">
        <x:f>IF(B5218="","Needs decision","Ready")</x:f>
        <x:v>Ready</x:v>
      </x:c>
      <x:c r="D5218" s="6" t="str">
        <x:v>平</x:v>
      </x:c>
      <x:c r="E5218" s="6" t="str"/>
      <x:c r="F5218" s="6" t="str">
        <x:v>下平聲九青</x:v>
      </x:c>
      <x:c r="G5218" s="6" t="str">
        <x:v>Pingshui main list, Wikisource-derived DOCX</x:v>
      </x:c>
      <x:c r="H5218" s="6" t="str"/>
      <x:c r="I5218" s="6" t="str">
        <x:v>Lu Qinli gap fill from Pingshui main list; 詞 entries ignored</x:v>
      </x:c>
      <x:c r="J5218" s="6" t="str">
        <x:f>IF(B5218="","",IF(AND(ISNUMBER(SEARCH("平",B5218)),OR(ISNUMBER(SEARCH("上",B5218)),ISNUMBER(SEARCH("去",B5218)),ISNUMBER(SEARCH("入",B5218)))),"Ambiguous",IF(ISNUMBER(SEARCH("平",B5218)),"平","仄")))</x:f>
        <x:v>平</x:v>
      </x:c>
      <x:c r="K5218" s="6" t="str">
        <x:f>IF(D5218="","",IF(AND(ISNUMBER(SEARCH("平",D5218)),OR(ISNUMBER(SEARCH("上",D5218)),ISNUMBER(SEARCH("去",D5218)),ISNUMBER(SEARCH("入",D5218)))),"Ambiguous",IF(ISNUMBER(SEARCH("平",D5218)),"平","仄")))</x:f>
        <x:v>平</x:v>
      </x:c>
      <x:c r="L5218" s="7" t="str">
        <x:v>Pingshui main list, Lu Qinli gap fill</x:v>
      </x:c>
    </x:row>
    <x:row r="5219">
      <x:c r="A5219" s="5" t="str">
        <x:v>廿</x:v>
      </x:c>
      <x:c r="B5219" s="6" t="str">
        <x:v>入</x:v>
      </x:c>
      <x:c r="C5219" s="6" t="str">
        <x:f>IF(B5219="","Needs decision","Ready")</x:f>
        <x:v>Ready</x:v>
      </x:c>
      <x:c r="D5219" s="6" t="str">
        <x:v>入</x:v>
      </x:c>
      <x:c r="E5219" s="6" t="str"/>
      <x:c r="F5219" s="6" t="str">
        <x:v>入聲十四緝</x:v>
      </x:c>
      <x:c r="G5219" s="6" t="str">
        <x:v>Pingshui main list, Wikisource-derived DOCX</x:v>
      </x:c>
      <x:c r="H5219" s="6" t="str"/>
      <x:c r="I5219" s="6" t="str">
        <x:v>Lu Qinli gap fill from Pingshui main list; 詞 entries ignored</x:v>
      </x:c>
      <x:c r="J5219" s="6" t="str">
        <x:f>IF(B5219="","",IF(AND(ISNUMBER(SEARCH("平",B5219)),OR(ISNUMBER(SEARCH("上",B5219)),ISNUMBER(SEARCH("去",B5219)),ISNUMBER(SEARCH("入",B5219)))),"Ambiguous",IF(ISNUMBER(SEARCH("平",B5219)),"平","仄")))</x:f>
        <x:v>仄</x:v>
      </x:c>
      <x:c r="K5219" s="6" t="str">
        <x:f>IF(D5219="","",IF(AND(ISNUMBER(SEARCH("平",D5219)),OR(ISNUMBER(SEARCH("上",D5219)),ISNUMBER(SEARCH("去",D5219)),ISNUMBER(SEARCH("入",D5219)))),"Ambiguous",IF(ISNUMBER(SEARCH("平",D5219)),"平","仄")))</x:f>
        <x:v>仄</x:v>
      </x:c>
      <x:c r="L5219" s="7" t="str">
        <x:v>Pingshui main list, Lu Qinli gap fill</x:v>
      </x:c>
    </x:row>
    <x:row r="5220">
      <x:c r="A5220" s="5" t="str">
        <x:v>弇</x:v>
      </x:c>
      <x:c r="B5220" s="6" t="str">
        <x:v>平</x:v>
      </x:c>
      <x:c r="C5220" s="6" t="str">
        <x:f>IF(B5220="","Needs decision","Ready")</x:f>
        <x:v>Ready</x:v>
      </x:c>
      <x:c r="D5220" s="6" t="str">
        <x:v>平</x:v>
      </x:c>
      <x:c r="E5220" s="6" t="str"/>
      <x:c r="F5220" s="6" t="str">
        <x:v>下平聲十三覃</x:v>
      </x:c>
      <x:c r="G5220" s="6" t="str">
        <x:v>Pingshui main list, Wikisource-derived DOCX</x:v>
      </x:c>
      <x:c r="H5220" s="6" t="str"/>
      <x:c r="I5220" s="6" t="str">
        <x:v>Lu Qinli gap fill from Pingshui main list; 詞 entries ignored</x:v>
      </x:c>
      <x:c r="J5220" s="6" t="str">
        <x:f>IF(B5220="","",IF(AND(ISNUMBER(SEARCH("平",B5220)),OR(ISNUMBER(SEARCH("上",B5220)),ISNUMBER(SEARCH("去",B5220)),ISNUMBER(SEARCH("入",B5220)))),"Ambiguous",IF(ISNUMBER(SEARCH("平",B5220)),"平","仄")))</x:f>
        <x:v>平</x:v>
      </x:c>
      <x:c r="K5220" s="6" t="str">
        <x:f>IF(D5220="","",IF(AND(ISNUMBER(SEARCH("平",D5220)),OR(ISNUMBER(SEARCH("上",D5220)),ISNUMBER(SEARCH("去",D5220)),ISNUMBER(SEARCH("入",D5220)))),"Ambiguous",IF(ISNUMBER(SEARCH("平",D5220)),"平","仄")))</x:f>
        <x:v>平</x:v>
      </x:c>
      <x:c r="L5220" s="7" t="str">
        <x:v>Pingshui main list, Lu Qinli gap fill</x:v>
      </x:c>
    </x:row>
    <x:row r="5221">
      <x:c r="A5221" s="5" t="str">
        <x:v>弊</x:v>
      </x:c>
      <x:c r="B5221" s="6" t="str">
        <x:v>去</x:v>
      </x:c>
      <x:c r="C5221" s="6" t="str">
        <x:f>IF(B5221="","Needs decision","Ready")</x:f>
        <x:v>Ready</x:v>
      </x:c>
      <x:c r="D5221" s="6" t="str">
        <x:v>去</x:v>
      </x:c>
      <x:c r="E5221" s="6" t="str"/>
      <x:c r="F5221" s="6" t="str">
        <x:v>去聲八霽</x:v>
      </x:c>
      <x:c r="G5221" s="6" t="str">
        <x:v>Pingshui main list, Wikisource-derived DOCX</x:v>
      </x:c>
      <x:c r="H5221" s="6" t="str"/>
      <x:c r="I5221" s="6" t="str">
        <x:v>Lu Qinli gap fill from Pingshui main list; 詞 entries ignored</x:v>
      </x:c>
      <x:c r="J5221" s="6" t="str">
        <x:f>IF(B5221="","",IF(AND(ISNUMBER(SEARCH("平",B5221)),OR(ISNUMBER(SEARCH("上",B5221)),ISNUMBER(SEARCH("去",B5221)),ISNUMBER(SEARCH("入",B5221)))),"Ambiguous",IF(ISNUMBER(SEARCH("平",B5221)),"平","仄")))</x:f>
        <x:v>仄</x:v>
      </x:c>
      <x:c r="K5221" s="6" t="str">
        <x:f>IF(D5221="","",IF(AND(ISNUMBER(SEARCH("平",D5221)),OR(ISNUMBER(SEARCH("上",D5221)),ISNUMBER(SEARCH("去",D5221)),ISNUMBER(SEARCH("入",D5221)))),"Ambiguous",IF(ISNUMBER(SEARCH("平",D5221)),"平","仄")))</x:f>
        <x:v>仄</x:v>
      </x:c>
      <x:c r="L5221" s="7" t="str">
        <x:v>Pingshui main list, Lu Qinli gap fill</x:v>
      </x:c>
    </x:row>
    <x:row r="5222">
      <x:c r="A5222" s="5" t="str">
        <x:v>弢</x:v>
      </x:c>
      <x:c r="B5222" s="6" t="str">
        <x:v>平</x:v>
      </x:c>
      <x:c r="C5222" s="6" t="str">
        <x:f>IF(B5222="","Needs decision","Ready")</x:f>
        <x:v>Ready</x:v>
      </x:c>
      <x:c r="D5222" s="6" t="str">
        <x:v>平</x:v>
      </x:c>
      <x:c r="E5222" s="6" t="str"/>
      <x:c r="F5222" s="6" t="str">
        <x:v>下平聲四豪</x:v>
      </x:c>
      <x:c r="G5222" s="6" t="str">
        <x:v>Pingshui main list, Wikisource-derived DOCX</x:v>
      </x:c>
      <x:c r="H5222" s="6" t="str"/>
      <x:c r="I5222" s="6" t="str">
        <x:v>Lu Qinli gap fill from Pingshui main list; 詞 entries ignored</x:v>
      </x:c>
      <x:c r="J5222" s="6" t="str">
        <x:f>IF(B5222="","",IF(AND(ISNUMBER(SEARCH("平",B5222)),OR(ISNUMBER(SEARCH("上",B5222)),ISNUMBER(SEARCH("去",B5222)),ISNUMBER(SEARCH("入",B5222)))),"Ambiguous",IF(ISNUMBER(SEARCH("平",B5222)),"平","仄")))</x:f>
        <x:v>平</x:v>
      </x:c>
      <x:c r="K5222" s="6" t="str">
        <x:f>IF(D5222="","",IF(AND(ISNUMBER(SEARCH("平",D5222)),OR(ISNUMBER(SEARCH("上",D5222)),ISNUMBER(SEARCH("去",D5222)),ISNUMBER(SEARCH("入",D5222)))),"Ambiguous",IF(ISNUMBER(SEARCH("平",D5222)),"平","仄")))</x:f>
        <x:v>平</x:v>
      </x:c>
      <x:c r="L5222" s="7" t="str">
        <x:v>Pingshui main list, Lu Qinli gap fill</x:v>
      </x:c>
    </x:row>
    <x:row r="5223">
      <x:c r="A5223" s="5" t="str">
        <x:v>弰</x:v>
      </x:c>
      <x:c r="B5223" s="6" t="str">
        <x:v>平</x:v>
      </x:c>
      <x:c r="C5223" s="6" t="str">
        <x:f>IF(B5223="","Needs decision","Ready")</x:f>
        <x:v>Ready</x:v>
      </x:c>
      <x:c r="D5223" s="6" t="str">
        <x:v>平</x:v>
      </x:c>
      <x:c r="E5223" s="6" t="str"/>
      <x:c r="F5223" s="6" t="str">
        <x:v>下平聲三肴</x:v>
      </x:c>
      <x:c r="G5223" s="6" t="str">
        <x:v>Pingshui main list, Wikisource-derived DOCX</x:v>
      </x:c>
      <x:c r="H5223" s="6" t="str"/>
      <x:c r="I5223" s="6" t="str">
        <x:v>Lu Qinli gap fill from Pingshui main list; 詞 entries ignored</x:v>
      </x:c>
      <x:c r="J5223" s="6" t="str">
        <x:f>IF(B5223="","",IF(AND(ISNUMBER(SEARCH("平",B5223)),OR(ISNUMBER(SEARCH("上",B5223)),ISNUMBER(SEARCH("去",B5223)),ISNUMBER(SEARCH("入",B5223)))),"Ambiguous",IF(ISNUMBER(SEARCH("平",B5223)),"平","仄")))</x:f>
        <x:v>平</x:v>
      </x:c>
      <x:c r="K5223" s="6" t="str">
        <x:f>IF(D5223="","",IF(AND(ISNUMBER(SEARCH("平",D5223)),OR(ISNUMBER(SEARCH("上",D5223)),ISNUMBER(SEARCH("去",D5223)),ISNUMBER(SEARCH("入",D5223)))),"Ambiguous",IF(ISNUMBER(SEARCH("平",D5223)),"平","仄")))</x:f>
        <x:v>平</x:v>
      </x:c>
      <x:c r="L5223" s="7" t="str">
        <x:v>Pingshui main list, Lu Qinli gap fill</x:v>
      </x:c>
    </x:row>
    <x:row r="5224">
      <x:c r="A5224" s="5" t="str">
        <x:v>弼</x:v>
      </x:c>
      <x:c r="B5224" s="6" t="str">
        <x:v>入</x:v>
      </x:c>
      <x:c r="C5224" s="6" t="str">
        <x:f>IF(B5224="","Needs decision","Ready")</x:f>
        <x:v>Ready</x:v>
      </x:c>
      <x:c r="D5224" s="6" t="str">
        <x:v>入</x:v>
      </x:c>
      <x:c r="E5224" s="6" t="str"/>
      <x:c r="F5224" s="6" t="str">
        <x:v>入聲四質</x:v>
      </x:c>
      <x:c r="G5224" s="6" t="str">
        <x:v>Pingshui main list, Wikisource-derived DOCX</x:v>
      </x:c>
      <x:c r="H5224" s="6" t="str"/>
      <x:c r="I5224" s="6" t="str">
        <x:v>Lu Qinli gap fill from Pingshui main list; 詞 entries ignored</x:v>
      </x:c>
      <x:c r="J5224" s="6" t="str">
        <x:f>IF(B5224="","",IF(AND(ISNUMBER(SEARCH("平",B5224)),OR(ISNUMBER(SEARCH("上",B5224)),ISNUMBER(SEARCH("去",B5224)),ISNUMBER(SEARCH("入",B5224)))),"Ambiguous",IF(ISNUMBER(SEARCH("平",B5224)),"平","仄")))</x:f>
        <x:v>仄</x:v>
      </x:c>
      <x:c r="K5224" s="6" t="str">
        <x:f>IF(D5224="","",IF(AND(ISNUMBER(SEARCH("平",D5224)),OR(ISNUMBER(SEARCH("上",D5224)),ISNUMBER(SEARCH("去",D5224)),ISNUMBER(SEARCH("入",D5224)))),"Ambiguous",IF(ISNUMBER(SEARCH("平",D5224)),"平","仄")))</x:f>
        <x:v>仄</x:v>
      </x:c>
      <x:c r="L5224" s="7" t="str">
        <x:v>Pingshui main list, Lu Qinli gap fill</x:v>
      </x:c>
    </x:row>
    <x:row r="5225">
      <x:c r="A5225" s="5" t="str">
        <x:v>彄</x:v>
      </x:c>
      <x:c r="B5225" s="6" t="str">
        <x:v>平</x:v>
      </x:c>
      <x:c r="C5225" s="6" t="str">
        <x:f>IF(B5225="","Needs decision","Ready")</x:f>
        <x:v>Ready</x:v>
      </x:c>
      <x:c r="D5225" s="6" t="str">
        <x:v>平</x:v>
      </x:c>
      <x:c r="E5225" s="6" t="str"/>
      <x:c r="F5225" s="6" t="str">
        <x:v>下平聲十一尤</x:v>
      </x:c>
      <x:c r="G5225" s="6" t="str">
        <x:v>Pingshui main list, Wikisource-derived DOCX</x:v>
      </x:c>
      <x:c r="H5225" s="6" t="str"/>
      <x:c r="I5225" s="6" t="str">
        <x:v>Lu Qinli gap fill from Pingshui main list; 詞 entries ignored</x:v>
      </x:c>
      <x:c r="J5225" s="6" t="str">
        <x:f>IF(B5225="","",IF(AND(ISNUMBER(SEARCH("平",B5225)),OR(ISNUMBER(SEARCH("上",B5225)),ISNUMBER(SEARCH("去",B5225)),ISNUMBER(SEARCH("入",B5225)))),"Ambiguous",IF(ISNUMBER(SEARCH("平",B5225)),"平","仄")))</x:f>
        <x:v>平</x:v>
      </x:c>
      <x:c r="K5225" s="6" t="str">
        <x:f>IF(D5225="","",IF(AND(ISNUMBER(SEARCH("平",D5225)),OR(ISNUMBER(SEARCH("上",D5225)),ISNUMBER(SEARCH("去",D5225)),ISNUMBER(SEARCH("入",D5225)))),"Ambiguous",IF(ISNUMBER(SEARCH("平",D5225)),"平","仄")))</x:f>
        <x:v>平</x:v>
      </x:c>
      <x:c r="L5225" s="7" t="str">
        <x:v>Pingshui main list, Lu Qinli gap fill</x:v>
      </x:c>
    </x:row>
    <x:row r="5226">
      <x:c r="A5226" s="5" t="str">
        <x:v>彎</x:v>
      </x:c>
      <x:c r="B5226" s="6" t="str">
        <x:v>平</x:v>
      </x:c>
      <x:c r="C5226" s="6" t="str">
        <x:f>IF(B5226="","Needs decision","Ready")</x:f>
        <x:v>Ready</x:v>
      </x:c>
      <x:c r="D5226" s="6" t="str">
        <x:v>平</x:v>
      </x:c>
      <x:c r="E5226" s="6" t="str"/>
      <x:c r="F5226" s="6" t="str">
        <x:v>上平聲十五刪</x:v>
      </x:c>
      <x:c r="G5226" s="6" t="str">
        <x:v>Pingshui main list, Wikisource-derived DOCX</x:v>
      </x:c>
      <x:c r="H5226" s="6" t="str"/>
      <x:c r="I5226" s="6" t="str">
        <x:v>Lu Qinli gap fill from Pingshui main list; 詞 entries ignored</x:v>
      </x:c>
      <x:c r="J5226" s="6" t="str">
        <x:f>IF(B5226="","",IF(AND(ISNUMBER(SEARCH("平",B5226)),OR(ISNUMBER(SEARCH("上",B5226)),ISNUMBER(SEARCH("去",B5226)),ISNUMBER(SEARCH("入",B5226)))),"Ambiguous",IF(ISNUMBER(SEARCH("平",B5226)),"平","仄")))</x:f>
        <x:v>平</x:v>
      </x:c>
      <x:c r="K5226" s="6" t="str">
        <x:f>IF(D5226="","",IF(AND(ISNUMBER(SEARCH("平",D5226)),OR(ISNUMBER(SEARCH("上",D5226)),ISNUMBER(SEARCH("去",D5226)),ISNUMBER(SEARCH("入",D5226)))),"Ambiguous",IF(ISNUMBER(SEARCH("平",D5226)),"平","仄")))</x:f>
        <x:v>平</x:v>
      </x:c>
      <x:c r="L5226" s="7" t="str">
        <x:v>Pingshui main list, Lu Qinli gap fill</x:v>
      </x:c>
    </x:row>
    <x:row r="5227">
      <x:c r="A5227" s="5" t="str">
        <x:v>彙</x:v>
      </x:c>
      <x:c r="B5227" s="6" t="str">
        <x:v>去</x:v>
      </x:c>
      <x:c r="C5227" s="6" t="str">
        <x:f>IF(B5227="","Needs decision","Ready")</x:f>
        <x:v>Ready</x:v>
      </x:c>
      <x:c r="D5227" s="6" t="str">
        <x:v>去</x:v>
      </x:c>
      <x:c r="E5227" s="6" t="str"/>
      <x:c r="F5227" s="6" t="str">
        <x:v>去聲五未</x:v>
      </x:c>
      <x:c r="G5227" s="6" t="str">
        <x:v>Pingshui main list, Wikisource-derived DOCX</x:v>
      </x:c>
      <x:c r="H5227" s="6" t="str"/>
      <x:c r="I5227" s="6" t="str">
        <x:v>Lu Qinli gap fill from Pingshui main list; 詞 entries ignored</x:v>
      </x:c>
      <x:c r="J5227" s="6" t="str">
        <x:f>IF(B5227="","",IF(AND(ISNUMBER(SEARCH("平",B5227)),OR(ISNUMBER(SEARCH("上",B5227)),ISNUMBER(SEARCH("去",B5227)),ISNUMBER(SEARCH("入",B5227)))),"Ambiguous",IF(ISNUMBER(SEARCH("平",B5227)),"平","仄")))</x:f>
        <x:v>仄</x:v>
      </x:c>
      <x:c r="K5227" s="6" t="str">
        <x:f>IF(D5227="","",IF(AND(ISNUMBER(SEARCH("平",D5227)),OR(ISNUMBER(SEARCH("上",D5227)),ISNUMBER(SEARCH("去",D5227)),ISNUMBER(SEARCH("入",D5227)))),"Ambiguous",IF(ISNUMBER(SEARCH("平",D5227)),"平","仄")))</x:f>
        <x:v>仄</x:v>
      </x:c>
      <x:c r="L5227" s="7" t="str">
        <x:v>Pingshui main list, Lu Qinli gap fill</x:v>
      </x:c>
    </x:row>
    <x:row r="5228">
      <x:c r="A5228" s="5" t="str">
        <x:v>彪</x:v>
      </x:c>
      <x:c r="B5228" s="6" t="str">
        <x:v>平</x:v>
      </x:c>
      <x:c r="C5228" s="6" t="str">
        <x:f>IF(B5228="","Needs decision","Ready")</x:f>
        <x:v>Ready</x:v>
      </x:c>
      <x:c r="D5228" s="6" t="str">
        <x:v>平</x:v>
      </x:c>
      <x:c r="E5228" s="6" t="str"/>
      <x:c r="F5228" s="6" t="str">
        <x:v>下平聲十一尤</x:v>
      </x:c>
      <x:c r="G5228" s="6" t="str">
        <x:v>Pingshui main list, Wikisource-derived DOCX</x:v>
      </x:c>
      <x:c r="H5228" s="6" t="str"/>
      <x:c r="I5228" s="6" t="str">
        <x:v>Lu Qinli gap fill from Pingshui main list; 詞 entries ignored</x:v>
      </x:c>
      <x:c r="J5228" s="6" t="str">
        <x:f>IF(B5228="","",IF(AND(ISNUMBER(SEARCH("平",B5228)),OR(ISNUMBER(SEARCH("上",B5228)),ISNUMBER(SEARCH("去",B5228)),ISNUMBER(SEARCH("入",B5228)))),"Ambiguous",IF(ISNUMBER(SEARCH("平",B5228)),"平","仄")))</x:f>
        <x:v>平</x:v>
      </x:c>
      <x:c r="K5228" s="6" t="str">
        <x:f>IF(D5228="","",IF(AND(ISNUMBER(SEARCH("平",D5228)),OR(ISNUMBER(SEARCH("上",D5228)),ISNUMBER(SEARCH("去",D5228)),ISNUMBER(SEARCH("入",D5228)))),"Ambiguous",IF(ISNUMBER(SEARCH("平",D5228)),"平","仄")))</x:f>
        <x:v>平</x:v>
      </x:c>
      <x:c r="L5228" s="7" t="str">
        <x:v>Pingshui main list, Lu Qinli gap fill</x:v>
      </x:c>
    </x:row>
    <x:row r="5229">
      <x:c r="A5229" s="5" t="str">
        <x:v>彬</x:v>
      </x:c>
      <x:c r="B5229" s="6" t="str">
        <x:v>平</x:v>
      </x:c>
      <x:c r="C5229" s="6" t="str">
        <x:f>IF(B5229="","Needs decision","Ready")</x:f>
        <x:v>Ready</x:v>
      </x:c>
      <x:c r="D5229" s="6" t="str">
        <x:v>平</x:v>
      </x:c>
      <x:c r="E5229" s="6" t="str"/>
      <x:c r="F5229" s="6" t="str">
        <x:v>上平聲十一真</x:v>
      </x:c>
      <x:c r="G5229" s="6" t="str">
        <x:v>Pingshui main list, Wikisource-derived DOCX</x:v>
      </x:c>
      <x:c r="H5229" s="6" t="str"/>
      <x:c r="I5229" s="6" t="str">
        <x:v>Lu Qinli gap fill from Pingshui main list; 詞 entries ignored</x:v>
      </x:c>
      <x:c r="J5229" s="6" t="str">
        <x:f>IF(B5229="","",IF(AND(ISNUMBER(SEARCH("平",B5229)),OR(ISNUMBER(SEARCH("上",B5229)),ISNUMBER(SEARCH("去",B5229)),ISNUMBER(SEARCH("入",B5229)))),"Ambiguous",IF(ISNUMBER(SEARCH("平",B5229)),"平","仄")))</x:f>
        <x:v>平</x:v>
      </x:c>
      <x:c r="K5229" s="6" t="str">
        <x:f>IF(D5229="","",IF(AND(ISNUMBER(SEARCH("平",D5229)),OR(ISNUMBER(SEARCH("上",D5229)),ISNUMBER(SEARCH("去",D5229)),ISNUMBER(SEARCH("入",D5229)))),"Ambiguous",IF(ISNUMBER(SEARCH("平",D5229)),"平","仄")))</x:f>
        <x:v>平</x:v>
      </x:c>
      <x:c r="L5229" s="7" t="str">
        <x:v>Pingshui main list, Lu Qinli gap fill</x:v>
      </x:c>
    </x:row>
    <x:row r="5230">
      <x:c r="A5230" s="5" t="str">
        <x:v>彯</x:v>
      </x:c>
      <x:c r="B5230" s="6" t="str">
        <x:v>平</x:v>
      </x:c>
      <x:c r="C5230" s="6" t="str">
        <x:f>IF(B5230="","Needs decision","Ready")</x:f>
        <x:v>Ready</x:v>
      </x:c>
      <x:c r="D5230" s="6" t="str">
        <x:v>平</x:v>
      </x:c>
      <x:c r="E5230" s="6" t="str"/>
      <x:c r="F5230" s="6" t="str">
        <x:v>下平聲二蕭</x:v>
      </x:c>
      <x:c r="G5230" s="6" t="str">
        <x:v>Pingshui main list, Wikisource-derived DOCX</x:v>
      </x:c>
      <x:c r="H5230" s="6" t="str"/>
      <x:c r="I5230" s="6" t="str">
        <x:v>Lu Qinli gap fill from Pingshui main list; 詞 entries ignored</x:v>
      </x:c>
      <x:c r="J5230" s="6" t="str">
        <x:f>IF(B5230="","",IF(AND(ISNUMBER(SEARCH("平",B5230)),OR(ISNUMBER(SEARCH("上",B5230)),ISNUMBER(SEARCH("去",B5230)),ISNUMBER(SEARCH("入",B5230)))),"Ambiguous",IF(ISNUMBER(SEARCH("平",B5230)),"平","仄")))</x:f>
        <x:v>平</x:v>
      </x:c>
      <x:c r="K5230" s="6" t="str">
        <x:f>IF(D5230="","",IF(AND(ISNUMBER(SEARCH("平",D5230)),OR(ISNUMBER(SEARCH("上",D5230)),ISNUMBER(SEARCH("去",D5230)),ISNUMBER(SEARCH("入",D5230)))),"Ambiguous",IF(ISNUMBER(SEARCH("平",D5230)),"平","仄")))</x:f>
        <x:v>平</x:v>
      </x:c>
      <x:c r="L5230" s="7" t="str">
        <x:v>Pingshui main list, Lu Qinli gap fill</x:v>
      </x:c>
    </x:row>
    <x:row r="5231">
      <x:c r="A5231" s="5" t="str">
        <x:v>彰</x:v>
      </x:c>
      <x:c r="B5231" s="6" t="str">
        <x:v>平</x:v>
      </x:c>
      <x:c r="C5231" s="6" t="str">
        <x:f>IF(B5231="","Needs decision","Ready")</x:f>
        <x:v>Ready</x:v>
      </x:c>
      <x:c r="D5231" s="6" t="str">
        <x:v>平</x:v>
      </x:c>
      <x:c r="E5231" s="6" t="str"/>
      <x:c r="F5231" s="6" t="str">
        <x:v>下平聲七陽</x:v>
      </x:c>
      <x:c r="G5231" s="6" t="str">
        <x:v>Pingshui main list, Wikisource-derived DOCX</x:v>
      </x:c>
      <x:c r="H5231" s="6" t="str"/>
      <x:c r="I5231" s="6" t="str">
        <x:v>Lu Qinli gap fill from Pingshui main list; 詞 entries ignored</x:v>
      </x:c>
      <x:c r="J5231" s="6" t="str">
        <x:f>IF(B5231="","",IF(AND(ISNUMBER(SEARCH("平",B5231)),OR(ISNUMBER(SEARCH("上",B5231)),ISNUMBER(SEARCH("去",B5231)),ISNUMBER(SEARCH("入",B5231)))),"Ambiguous",IF(ISNUMBER(SEARCH("平",B5231)),"平","仄")))</x:f>
        <x:v>平</x:v>
      </x:c>
      <x:c r="K5231" s="6" t="str">
        <x:f>IF(D5231="","",IF(AND(ISNUMBER(SEARCH("平",D5231)),OR(ISNUMBER(SEARCH("上",D5231)),ISNUMBER(SEARCH("去",D5231)),ISNUMBER(SEARCH("入",D5231)))),"Ambiguous",IF(ISNUMBER(SEARCH("平",D5231)),"平","仄")))</x:f>
        <x:v>平</x:v>
      </x:c>
      <x:c r="L5231" s="7" t="str">
        <x:v>Pingshui main list, Lu Qinli gap fill</x:v>
      </x:c>
    </x:row>
    <x:row r="5232">
      <x:c r="A5232" s="5" t="str">
        <x:v>很</x:v>
      </x:c>
      <x:c r="B5232" s="6" t="str">
        <x:v>上</x:v>
      </x:c>
      <x:c r="C5232" s="6" t="str">
        <x:f>IF(B5232="","Needs decision","Ready")</x:f>
        <x:v>Ready</x:v>
      </x:c>
      <x:c r="D5232" s="6" t="str">
        <x:v>上</x:v>
      </x:c>
      <x:c r="E5232" s="6" t="str"/>
      <x:c r="F5232" s="6" t="str">
        <x:v>上聲十三阮</x:v>
      </x:c>
      <x:c r="G5232" s="6" t="str">
        <x:v>Pingshui main list, Wikisource-derived DOCX</x:v>
      </x:c>
      <x:c r="H5232" s="6" t="str"/>
      <x:c r="I5232" s="6" t="str">
        <x:v>Lu Qinli gap fill from Pingshui main list; 詞 entries ignored</x:v>
      </x:c>
      <x:c r="J5232" s="6" t="str">
        <x:f>IF(B5232="","",IF(AND(ISNUMBER(SEARCH("平",B5232)),OR(ISNUMBER(SEARCH("上",B5232)),ISNUMBER(SEARCH("去",B5232)),ISNUMBER(SEARCH("入",B5232)))),"Ambiguous",IF(ISNUMBER(SEARCH("平",B5232)),"平","仄")))</x:f>
        <x:v>仄</x:v>
      </x:c>
      <x:c r="K5232" s="6" t="str">
        <x:f>IF(D5232="","",IF(AND(ISNUMBER(SEARCH("平",D5232)),OR(ISNUMBER(SEARCH("上",D5232)),ISNUMBER(SEARCH("去",D5232)),ISNUMBER(SEARCH("入",D5232)))),"Ambiguous",IF(ISNUMBER(SEARCH("平",D5232)),"平","仄")))</x:f>
        <x:v>仄</x:v>
      </x:c>
      <x:c r="L5232" s="7" t="str">
        <x:v>Pingshui main list, Lu Qinli gap fill</x:v>
      </x:c>
    </x:row>
    <x:row r="5233">
      <x:c r="A5233" s="5" t="str">
        <x:v>徯</x:v>
      </x:c>
      <x:c r="B5233" s="6" t="str"/>
      <x:c r="C5233" s="6" t="str">
        <x:f>IF(B5233="","Needs decision","Ready")</x:f>
        <x:v>Needs decision</x:v>
      </x:c>
      <x:c r="D5233" s="6" t="str">
        <x:v>平/上</x:v>
      </x:c>
      <x:c r="E5233" s="6" t="str"/>
      <x:c r="F5233" s="6" t="str">
        <x:v>上平聲八齊; 上聲八薺</x:v>
      </x:c>
      <x:c r="G5233" s="6" t="str">
        <x:v>Pingshui main list, Wikisource-derived DOCX</x:v>
      </x:c>
      <x:c r="H5233" s="6" t="str"/>
      <x:c r="I5233" s="6" t="str">
        <x:v>Lu Qinli gap fill from Pingshui main list; 詞 entries ignored</x:v>
      </x:c>
      <x:c r="J5233" s="6" t="str">
        <x:f>IF(B5233="","",IF(AND(ISNUMBER(SEARCH("平",B5233)),OR(ISNUMBER(SEARCH("上",B5233)),ISNUMBER(SEARCH("去",B5233)),ISNUMBER(SEARCH("入",B5233)))),"Ambiguous",IF(ISNUMBER(SEARCH("平",B5233)),"平","仄")))</x:f>
      </x:c>
      <x:c r="K5233" s="6" t="str">
        <x:f>IF(D5233="","",IF(AND(ISNUMBER(SEARCH("平",D5233)),OR(ISNUMBER(SEARCH("上",D5233)),ISNUMBER(SEARCH("去",D5233)),ISNUMBER(SEARCH("入",D5233)))),"Ambiguous",IF(ISNUMBER(SEARCH("平",D5233)),"平","仄")))</x:f>
        <x:v>Ambiguous</x:v>
      </x:c>
      <x:c r="L5233" s="7" t="str">
        <x:v>Pingshui main list, Lu Qinli gap fill</x:v>
      </x:c>
    </x:row>
    <x:row r="5234">
      <x:c r="A5234" s="5" t="str">
        <x:v>忉</x:v>
      </x:c>
      <x:c r="B5234" s="6" t="str">
        <x:v>平</x:v>
      </x:c>
      <x:c r="C5234" s="6" t="str">
        <x:f>IF(B5234="","Needs decision","Ready")</x:f>
        <x:v>Ready</x:v>
      </x:c>
      <x:c r="D5234" s="6" t="str">
        <x:v>平</x:v>
      </x:c>
      <x:c r="E5234" s="6" t="str"/>
      <x:c r="F5234" s="6" t="str">
        <x:v>下平聲四豪</x:v>
      </x:c>
      <x:c r="G5234" s="6" t="str">
        <x:v>Pingshui main list, Wikisource-derived DOCX</x:v>
      </x:c>
      <x:c r="H5234" s="6" t="str"/>
      <x:c r="I5234" s="6" t="str">
        <x:v>Lu Qinli gap fill from Pingshui main list; 詞 entries ignored</x:v>
      </x:c>
      <x:c r="J5234" s="6" t="str">
        <x:f>IF(B5234="","",IF(AND(ISNUMBER(SEARCH("平",B5234)),OR(ISNUMBER(SEARCH("上",B5234)),ISNUMBER(SEARCH("去",B5234)),ISNUMBER(SEARCH("入",B5234)))),"Ambiguous",IF(ISNUMBER(SEARCH("平",B5234)),"平","仄")))</x:f>
        <x:v>平</x:v>
      </x:c>
      <x:c r="K5234" s="6" t="str">
        <x:f>IF(D5234="","",IF(AND(ISNUMBER(SEARCH("平",D5234)),OR(ISNUMBER(SEARCH("上",D5234)),ISNUMBER(SEARCH("去",D5234)),ISNUMBER(SEARCH("入",D5234)))),"Ambiguous",IF(ISNUMBER(SEARCH("平",D5234)),"平","仄")))</x:f>
        <x:v>平</x:v>
      </x:c>
      <x:c r="L5234" s="7" t="str">
        <x:v>Pingshui main list, Lu Qinli gap fill</x:v>
      </x:c>
    </x:row>
    <x:row r="5235">
      <x:c r="A5235" s="5" t="str">
        <x:v>忸</x:v>
      </x:c>
      <x:c r="B5235" s="6" t="str">
        <x:v>上</x:v>
      </x:c>
      <x:c r="C5235" s="6" t="str">
        <x:f>IF(B5235="","Needs decision","Ready")</x:f>
        <x:v>Ready</x:v>
      </x:c>
      <x:c r="D5235" s="6" t="str">
        <x:v>上</x:v>
      </x:c>
      <x:c r="E5235" s="6" t="str"/>
      <x:c r="F5235" s="6" t="str">
        <x:v>上聲二十五有</x:v>
      </x:c>
      <x:c r="G5235" s="6" t="str">
        <x:v>Pingshui main list, Wikisource-derived DOCX</x:v>
      </x:c>
      <x:c r="H5235" s="6" t="str"/>
      <x:c r="I5235" s="6" t="str">
        <x:v>Lu Qinli gap fill from Pingshui main list; 詞 entries ignored</x:v>
      </x:c>
      <x:c r="J5235" s="6" t="str">
        <x:f>IF(B5235="","",IF(AND(ISNUMBER(SEARCH("平",B5235)),OR(ISNUMBER(SEARCH("上",B5235)),ISNUMBER(SEARCH("去",B5235)),ISNUMBER(SEARCH("入",B5235)))),"Ambiguous",IF(ISNUMBER(SEARCH("平",B5235)),"平","仄")))</x:f>
        <x:v>仄</x:v>
      </x:c>
      <x:c r="K5235" s="6" t="str">
        <x:f>IF(D5235="","",IF(AND(ISNUMBER(SEARCH("平",D5235)),OR(ISNUMBER(SEARCH("上",D5235)),ISNUMBER(SEARCH("去",D5235)),ISNUMBER(SEARCH("入",D5235)))),"Ambiguous",IF(ISNUMBER(SEARCH("平",D5235)),"平","仄")))</x:f>
        <x:v>仄</x:v>
      </x:c>
      <x:c r="L5235" s="7" t="str">
        <x:v>Pingshui main list, Lu Qinli gap fill</x:v>
      </x:c>
    </x:row>
    <x:row r="5236">
      <x:c r="A5236" s="5" t="str">
        <x:v>忿</x:v>
      </x:c>
      <x:c r="B5236" s="6" t="str"/>
      <x:c r="C5236" s="6" t="str">
        <x:f>IF(B5236="","Needs decision","Ready")</x:f>
        <x:v>Needs decision</x:v>
      </x:c>
      <x:c r="D5236" s="6" t="str">
        <x:v>上/去</x:v>
      </x:c>
      <x:c r="E5236" s="6" t="str"/>
      <x:c r="F5236" s="6" t="str">
        <x:v>上聲十二吻; 去聲十三問</x:v>
      </x:c>
      <x:c r="G5236" s="6" t="str">
        <x:v>Pingshui main list, Wikisource-derived DOCX</x:v>
      </x:c>
      <x:c r="H5236" s="6" t="str"/>
      <x:c r="I5236" s="6" t="str">
        <x:v>Lu Qinli gap fill from Pingshui main list; 詞 entries ignored</x:v>
      </x:c>
      <x:c r="J5236" s="6" t="str">
        <x:f>IF(B5236="","",IF(AND(ISNUMBER(SEARCH("平",B5236)),OR(ISNUMBER(SEARCH("上",B5236)),ISNUMBER(SEARCH("去",B5236)),ISNUMBER(SEARCH("入",B5236)))),"Ambiguous",IF(ISNUMBER(SEARCH("平",B5236)),"平","仄")))</x:f>
      </x:c>
      <x:c r="K5236" s="6" t="str">
        <x:f>IF(D5236="","",IF(AND(ISNUMBER(SEARCH("平",D5236)),OR(ISNUMBER(SEARCH("上",D5236)),ISNUMBER(SEARCH("去",D5236)),ISNUMBER(SEARCH("入",D5236)))),"Ambiguous",IF(ISNUMBER(SEARCH("平",D5236)),"平","仄")))</x:f>
        <x:v>仄</x:v>
      </x:c>
      <x:c r="L5236" s="7" t="str">
        <x:v>Pingshui main list, Lu Qinli gap fill</x:v>
      </x:c>
    </x:row>
    <x:row r="5237">
      <x:c r="A5237" s="5" t="str">
        <x:v>怍</x:v>
      </x:c>
      <x:c r="B5237" s="6" t="str">
        <x:v>入</x:v>
      </x:c>
      <x:c r="C5237" s="6" t="str">
        <x:f>IF(B5237="","Needs decision","Ready")</x:f>
        <x:v>Ready</x:v>
      </x:c>
      <x:c r="D5237" s="6" t="str">
        <x:v>入</x:v>
      </x:c>
      <x:c r="E5237" s="6" t="str"/>
      <x:c r="F5237" s="6" t="str">
        <x:v>入聲十藥</x:v>
      </x:c>
      <x:c r="G5237" s="6" t="str">
        <x:v>Pingshui main list, Wikisource-derived DOCX</x:v>
      </x:c>
      <x:c r="H5237" s="6" t="str"/>
      <x:c r="I5237" s="6" t="str">
        <x:v>Lu Qinli gap fill from Pingshui main list; 詞 entries ignored</x:v>
      </x:c>
      <x:c r="J5237" s="6" t="str">
        <x:f>IF(B5237="","",IF(AND(ISNUMBER(SEARCH("平",B5237)),OR(ISNUMBER(SEARCH("上",B5237)),ISNUMBER(SEARCH("去",B5237)),ISNUMBER(SEARCH("入",B5237)))),"Ambiguous",IF(ISNUMBER(SEARCH("平",B5237)),"平","仄")))</x:f>
        <x:v>仄</x:v>
      </x:c>
      <x:c r="K5237" s="6" t="str">
        <x:f>IF(D5237="","",IF(AND(ISNUMBER(SEARCH("平",D5237)),OR(ISNUMBER(SEARCH("上",D5237)),ISNUMBER(SEARCH("去",D5237)),ISNUMBER(SEARCH("入",D5237)))),"Ambiguous",IF(ISNUMBER(SEARCH("平",D5237)),"平","仄")))</x:f>
        <x:v>仄</x:v>
      </x:c>
      <x:c r="L5237" s="7" t="str">
        <x:v>Pingshui main list, Lu Qinli gap fill</x:v>
      </x:c>
    </x:row>
    <x:row r="5238">
      <x:c r="A5238" s="5" t="str">
        <x:v>怏</x:v>
      </x:c>
      <x:c r="B5238" s="6" t="str"/>
      <x:c r="C5238" s="6" t="str">
        <x:f>IF(B5238="","Needs decision","Ready")</x:f>
        <x:v>Needs decision</x:v>
      </x:c>
      <x:c r="D5238" s="6" t="str">
        <x:v>上/去</x:v>
      </x:c>
      <x:c r="E5238" s="6" t="str"/>
      <x:c r="F5238" s="6" t="str">
        <x:v>上聲二十二養; 去聲二十三漾</x:v>
      </x:c>
      <x:c r="G5238" s="6" t="str">
        <x:v>Pingshui main list, Wikisource-derived DOCX</x:v>
      </x:c>
      <x:c r="H5238" s="6" t="str"/>
      <x:c r="I5238" s="6" t="str">
        <x:v>Lu Qinli gap fill from Pingshui main list; 詞 entries ignored</x:v>
      </x:c>
      <x:c r="J5238" s="6" t="str">
        <x:f>IF(B5238="","",IF(AND(ISNUMBER(SEARCH("平",B5238)),OR(ISNUMBER(SEARCH("上",B5238)),ISNUMBER(SEARCH("去",B5238)),ISNUMBER(SEARCH("入",B5238)))),"Ambiguous",IF(ISNUMBER(SEARCH("平",B5238)),"平","仄")))</x:f>
      </x:c>
      <x:c r="K5238" s="6" t="str">
        <x:f>IF(D5238="","",IF(AND(ISNUMBER(SEARCH("平",D5238)),OR(ISNUMBER(SEARCH("上",D5238)),ISNUMBER(SEARCH("去",D5238)),ISNUMBER(SEARCH("入",D5238)))),"Ambiguous",IF(ISNUMBER(SEARCH("平",D5238)),"平","仄")))</x:f>
        <x:v>仄</x:v>
      </x:c>
      <x:c r="L5238" s="7" t="str">
        <x:v>Pingshui main list, Lu Qinli gap fill</x:v>
      </x:c>
    </x:row>
    <x:row r="5239">
      <x:c r="A5239" s="5" t="str">
        <x:v>怙</x:v>
      </x:c>
      <x:c r="B5239" s="6" t="str">
        <x:v>上</x:v>
      </x:c>
      <x:c r="C5239" s="6" t="str">
        <x:f>IF(B5239="","Needs decision","Ready")</x:f>
        <x:v>Ready</x:v>
      </x:c>
      <x:c r="D5239" s="6" t="str">
        <x:v>上</x:v>
      </x:c>
      <x:c r="E5239" s="6" t="str"/>
      <x:c r="F5239" s="6" t="str">
        <x:v>上聲七麌</x:v>
      </x:c>
      <x:c r="G5239" s="6" t="str">
        <x:v>Pingshui main list, Wikisource-derived DOCX</x:v>
      </x:c>
      <x:c r="H5239" s="6" t="str"/>
      <x:c r="I5239" s="6" t="str">
        <x:v>Lu Qinli gap fill from Pingshui main list; 詞 entries ignored</x:v>
      </x:c>
      <x:c r="J5239" s="6" t="str">
        <x:f>IF(B5239="","",IF(AND(ISNUMBER(SEARCH("平",B5239)),OR(ISNUMBER(SEARCH("上",B5239)),ISNUMBER(SEARCH("去",B5239)),ISNUMBER(SEARCH("入",B5239)))),"Ambiguous",IF(ISNUMBER(SEARCH("平",B5239)),"平","仄")))</x:f>
        <x:v>仄</x:v>
      </x:c>
      <x:c r="K5239" s="6" t="str">
        <x:f>IF(D5239="","",IF(AND(ISNUMBER(SEARCH("平",D5239)),OR(ISNUMBER(SEARCH("上",D5239)),ISNUMBER(SEARCH("去",D5239)),ISNUMBER(SEARCH("入",D5239)))),"Ambiguous",IF(ISNUMBER(SEARCH("平",D5239)),"平","仄")))</x:f>
        <x:v>仄</x:v>
      </x:c>
      <x:c r="L5239" s="7" t="str">
        <x:v>Pingshui main list, Lu Qinli gap fill</x:v>
      </x:c>
    </x:row>
    <x:row r="5240">
      <x:c r="A5240" s="5" t="str">
        <x:v>怵</x:v>
      </x:c>
      <x:c r="B5240" s="6" t="str">
        <x:v>入</x:v>
      </x:c>
      <x:c r="C5240" s="6" t="str">
        <x:f>IF(B5240="","Needs decision","Ready")</x:f>
        <x:v>Ready</x:v>
      </x:c>
      <x:c r="D5240" s="6" t="str">
        <x:v>入</x:v>
      </x:c>
      <x:c r="E5240" s="6" t="str"/>
      <x:c r="F5240" s="6" t="str">
        <x:v>入聲四質</x:v>
      </x:c>
      <x:c r="G5240" s="6" t="str">
        <x:v>Pingshui main list, Wikisource-derived DOCX</x:v>
      </x:c>
      <x:c r="H5240" s="6" t="str"/>
      <x:c r="I5240" s="6" t="str">
        <x:v>Lu Qinli gap fill from Pingshui main list; 詞 entries ignored</x:v>
      </x:c>
      <x:c r="J5240" s="6" t="str">
        <x:f>IF(B5240="","",IF(AND(ISNUMBER(SEARCH("平",B5240)),OR(ISNUMBER(SEARCH("上",B5240)),ISNUMBER(SEARCH("去",B5240)),ISNUMBER(SEARCH("入",B5240)))),"Ambiguous",IF(ISNUMBER(SEARCH("平",B5240)),"平","仄")))</x:f>
        <x:v>仄</x:v>
      </x:c>
      <x:c r="K5240" s="6" t="str">
        <x:f>IF(D5240="","",IF(AND(ISNUMBER(SEARCH("平",D5240)),OR(ISNUMBER(SEARCH("上",D5240)),ISNUMBER(SEARCH("去",D5240)),ISNUMBER(SEARCH("入",D5240)))),"Ambiguous",IF(ISNUMBER(SEARCH("平",D5240)),"平","仄")))</x:f>
        <x:v>仄</x:v>
      </x:c>
      <x:c r="L5240" s="7" t="str">
        <x:v>Pingshui main list, Lu Qinli gap fill</x:v>
      </x:c>
    </x:row>
    <x:row r="5241">
      <x:c r="A5241" s="5" t="str">
        <x:v>恂</x:v>
      </x:c>
      <x:c r="B5241" s="6" t="str">
        <x:v>平</x:v>
      </x:c>
      <x:c r="C5241" s="6" t="str">
        <x:f>IF(B5241="","Needs decision","Ready")</x:f>
        <x:v>Ready</x:v>
      </x:c>
      <x:c r="D5241" s="6" t="str">
        <x:v>平</x:v>
      </x:c>
      <x:c r="E5241" s="6" t="str"/>
      <x:c r="F5241" s="6" t="str">
        <x:v>上平聲十一真</x:v>
      </x:c>
      <x:c r="G5241" s="6" t="str">
        <x:v>Pingshui main list, Wikisource-derived DOCX</x:v>
      </x:c>
      <x:c r="H5241" s="6" t="str"/>
      <x:c r="I5241" s="6" t="str">
        <x:v>Lu Qinli gap fill from Pingshui main list; 詞 entries ignored</x:v>
      </x:c>
      <x:c r="J5241" s="6" t="str">
        <x:f>IF(B5241="","",IF(AND(ISNUMBER(SEARCH("平",B5241)),OR(ISNUMBER(SEARCH("上",B5241)),ISNUMBER(SEARCH("去",B5241)),ISNUMBER(SEARCH("入",B5241)))),"Ambiguous",IF(ISNUMBER(SEARCH("平",B5241)),"平","仄")))</x:f>
        <x:v>平</x:v>
      </x:c>
      <x:c r="K5241" s="6" t="str">
        <x:f>IF(D5241="","",IF(AND(ISNUMBER(SEARCH("平",D5241)),OR(ISNUMBER(SEARCH("上",D5241)),ISNUMBER(SEARCH("去",D5241)),ISNUMBER(SEARCH("入",D5241)))),"Ambiguous",IF(ISNUMBER(SEARCH("平",D5241)),"平","仄")))</x:f>
        <x:v>平</x:v>
      </x:c>
      <x:c r="L5241" s="7" t="str">
        <x:v>Pingshui main list, Lu Qinli gap fill</x:v>
      </x:c>
    </x:row>
    <x:row r="5242">
      <x:c r="A5242" s="5" t="str">
        <x:v>恇</x:v>
      </x:c>
      <x:c r="B5242" s="6" t="str">
        <x:v>平</x:v>
      </x:c>
      <x:c r="C5242" s="6" t="str">
        <x:f>IF(B5242="","Needs decision","Ready")</x:f>
        <x:v>Ready</x:v>
      </x:c>
      <x:c r="D5242" s="6" t="str">
        <x:v>平</x:v>
      </x:c>
      <x:c r="E5242" s="6" t="str"/>
      <x:c r="F5242" s="6" t="str">
        <x:v>下平聲七陽</x:v>
      </x:c>
      <x:c r="G5242" s="6" t="str">
        <x:v>Pingshui main list, Wikisource-derived DOCX</x:v>
      </x:c>
      <x:c r="H5242" s="6" t="str"/>
      <x:c r="I5242" s="6" t="str">
        <x:v>Lu Qinli gap fill from Pingshui main list; 詞 entries ignored</x:v>
      </x:c>
      <x:c r="J5242" s="6" t="str">
        <x:f>IF(B5242="","",IF(AND(ISNUMBER(SEARCH("平",B5242)),OR(ISNUMBER(SEARCH("上",B5242)),ISNUMBER(SEARCH("去",B5242)),ISNUMBER(SEARCH("入",B5242)))),"Ambiguous",IF(ISNUMBER(SEARCH("平",B5242)),"平","仄")))</x:f>
        <x:v>平</x:v>
      </x:c>
      <x:c r="K5242" s="6" t="str">
        <x:f>IF(D5242="","",IF(AND(ISNUMBER(SEARCH("平",D5242)),OR(ISNUMBER(SEARCH("上",D5242)),ISNUMBER(SEARCH("去",D5242)),ISNUMBER(SEARCH("入",D5242)))),"Ambiguous",IF(ISNUMBER(SEARCH("平",D5242)),"平","仄")))</x:f>
        <x:v>平</x:v>
      </x:c>
      <x:c r="L5242" s="7" t="str">
        <x:v>Pingshui main list, Lu Qinli gap fill</x:v>
      </x:c>
    </x:row>
    <x:row r="5243">
      <x:c r="A5243" s="5" t="str">
        <x:v>恌</x:v>
      </x:c>
      <x:c r="B5243" s="6" t="str">
        <x:v>平</x:v>
      </x:c>
      <x:c r="C5243" s="6" t="str">
        <x:f>IF(B5243="","Needs decision","Ready")</x:f>
        <x:v>Ready</x:v>
      </x:c>
      <x:c r="D5243" s="6" t="str">
        <x:v>平</x:v>
      </x:c>
      <x:c r="E5243" s="6" t="str"/>
      <x:c r="F5243" s="6" t="str">
        <x:v>下平聲二蕭</x:v>
      </x:c>
      <x:c r="G5243" s="6" t="str">
        <x:v>Pingshui main list, Wikisource-derived DOCX</x:v>
      </x:c>
      <x:c r="H5243" s="6" t="str"/>
      <x:c r="I5243" s="6" t="str">
        <x:v>Lu Qinli gap fill from Pingshui main list; 詞 entries ignored</x:v>
      </x:c>
      <x:c r="J5243" s="6" t="str">
        <x:f>IF(B5243="","",IF(AND(ISNUMBER(SEARCH("平",B5243)),OR(ISNUMBER(SEARCH("上",B5243)),ISNUMBER(SEARCH("去",B5243)),ISNUMBER(SEARCH("入",B5243)))),"Ambiguous",IF(ISNUMBER(SEARCH("平",B5243)),"平","仄")))</x:f>
        <x:v>平</x:v>
      </x:c>
      <x:c r="K5243" s="6" t="str">
        <x:f>IF(D5243="","",IF(AND(ISNUMBER(SEARCH("平",D5243)),OR(ISNUMBER(SEARCH("上",D5243)),ISNUMBER(SEARCH("去",D5243)),ISNUMBER(SEARCH("入",D5243)))),"Ambiguous",IF(ISNUMBER(SEARCH("平",D5243)),"平","仄")))</x:f>
        <x:v>平</x:v>
      </x:c>
      <x:c r="L5243" s="7" t="str">
        <x:v>Pingshui main list, Lu Qinli gap fill</x:v>
      </x:c>
    </x:row>
    <x:row r="5244">
      <x:c r="A5244" s="5" t="str">
        <x:v>恙</x:v>
      </x:c>
      <x:c r="B5244" s="6" t="str">
        <x:v>去</x:v>
      </x:c>
      <x:c r="C5244" s="6" t="str">
        <x:f>IF(B5244="","Needs decision","Ready")</x:f>
        <x:v>Ready</x:v>
      </x:c>
      <x:c r="D5244" s="6" t="str">
        <x:v>去</x:v>
      </x:c>
      <x:c r="E5244" s="6" t="str"/>
      <x:c r="F5244" s="6" t="str">
        <x:v>去聲二十三漾</x:v>
      </x:c>
      <x:c r="G5244" s="6" t="str">
        <x:v>Pingshui main list, Wikisource-derived DOCX</x:v>
      </x:c>
      <x:c r="H5244" s="6" t="str"/>
      <x:c r="I5244" s="6" t="str">
        <x:v>Lu Qinli gap fill from Pingshui main list; 詞 entries ignored</x:v>
      </x:c>
      <x:c r="J5244" s="6" t="str">
        <x:f>IF(B5244="","",IF(AND(ISNUMBER(SEARCH("平",B5244)),OR(ISNUMBER(SEARCH("上",B5244)),ISNUMBER(SEARCH("去",B5244)),ISNUMBER(SEARCH("入",B5244)))),"Ambiguous",IF(ISNUMBER(SEARCH("平",B5244)),"平","仄")))</x:f>
        <x:v>仄</x:v>
      </x:c>
      <x:c r="K5244" s="6" t="str">
        <x:f>IF(D5244="","",IF(AND(ISNUMBER(SEARCH("平",D5244)),OR(ISNUMBER(SEARCH("上",D5244)),ISNUMBER(SEARCH("去",D5244)),ISNUMBER(SEARCH("入",D5244)))),"Ambiguous",IF(ISNUMBER(SEARCH("平",D5244)),"平","仄")))</x:f>
        <x:v>仄</x:v>
      </x:c>
      <x:c r="L5244" s="7" t="str">
        <x:v>Pingshui main list, Lu Qinli gap fill</x:v>
      </x:c>
    </x:row>
    <x:row r="5245">
      <x:c r="A5245" s="5" t="str">
        <x:v>恧</x:v>
      </x:c>
      <x:c r="B5245" s="6" t="str">
        <x:v>入</x:v>
      </x:c>
      <x:c r="C5245" s="6" t="str">
        <x:f>IF(B5245="","Needs decision","Ready")</x:f>
        <x:v>Ready</x:v>
      </x:c>
      <x:c r="D5245" s="6" t="str">
        <x:v>入</x:v>
      </x:c>
      <x:c r="E5245" s="6" t="str"/>
      <x:c r="F5245" s="6" t="str">
        <x:v>入聲一屋; 入聲十三職</x:v>
      </x:c>
      <x:c r="G5245" s="6" t="str">
        <x:v>Pingshui main list, Wikisource-derived DOCX</x:v>
      </x:c>
      <x:c r="H5245" s="6" t="str"/>
      <x:c r="I5245" s="6" t="str">
        <x:v>Lu Qinli gap fill from Pingshui main list; 詞 entries ignored</x:v>
      </x:c>
      <x:c r="J5245" s="6" t="str">
        <x:f>IF(B5245="","",IF(AND(ISNUMBER(SEARCH("平",B5245)),OR(ISNUMBER(SEARCH("上",B5245)),ISNUMBER(SEARCH("去",B5245)),ISNUMBER(SEARCH("入",B5245)))),"Ambiguous",IF(ISNUMBER(SEARCH("平",B5245)),"平","仄")))</x:f>
        <x:v>仄</x:v>
      </x:c>
      <x:c r="K5245" s="6" t="str">
        <x:f>IF(D5245="","",IF(AND(ISNUMBER(SEARCH("平",D5245)),OR(ISNUMBER(SEARCH("上",D5245)),ISNUMBER(SEARCH("去",D5245)),ISNUMBER(SEARCH("入",D5245)))),"Ambiguous",IF(ISNUMBER(SEARCH("平",D5245)),"平","仄")))</x:f>
        <x:v>仄</x:v>
      </x:c>
      <x:c r="L5245" s="7" t="str">
        <x:v>Pingshui main list, Lu Qinli gap fill</x:v>
      </x:c>
    </x:row>
    <x:row r="5246">
      <x:c r="A5246" s="5" t="str">
        <x:v>恪</x:v>
      </x:c>
      <x:c r="B5246" s="6" t="str">
        <x:v>入</x:v>
      </x:c>
      <x:c r="C5246" s="6" t="str">
        <x:f>IF(B5246="","Needs decision","Ready")</x:f>
        <x:v>Ready</x:v>
      </x:c>
      <x:c r="D5246" s="6" t="str">
        <x:v>入</x:v>
      </x:c>
      <x:c r="E5246" s="6" t="str"/>
      <x:c r="F5246" s="6" t="str">
        <x:v>入聲十藥</x:v>
      </x:c>
      <x:c r="G5246" s="6" t="str">
        <x:v>Pingshui main list, Wikisource-derived DOCX</x:v>
      </x:c>
      <x:c r="H5246" s="6" t="str"/>
      <x:c r="I5246" s="6" t="str">
        <x:v>Lu Qinli gap fill from Pingshui main list; 詞 entries ignored</x:v>
      </x:c>
      <x:c r="J5246" s="6" t="str">
        <x:f>IF(B5246="","",IF(AND(ISNUMBER(SEARCH("平",B5246)),OR(ISNUMBER(SEARCH("上",B5246)),ISNUMBER(SEARCH("去",B5246)),ISNUMBER(SEARCH("入",B5246)))),"Ambiguous",IF(ISNUMBER(SEARCH("平",B5246)),"平","仄")))</x:f>
        <x:v>仄</x:v>
      </x:c>
      <x:c r="K5246" s="6" t="str">
        <x:f>IF(D5246="","",IF(AND(ISNUMBER(SEARCH("平",D5246)),OR(ISNUMBER(SEARCH("上",D5246)),ISNUMBER(SEARCH("去",D5246)),ISNUMBER(SEARCH("入",D5246)))),"Ambiguous",IF(ISNUMBER(SEARCH("平",D5246)),"平","仄")))</x:f>
        <x:v>仄</x:v>
      </x:c>
      <x:c r="L5246" s="7" t="str">
        <x:v>Pingshui main list, Lu Qinli gap fill</x:v>
      </x:c>
    </x:row>
    <x:row r="5247">
      <x:c r="A5247" s="5" t="str">
        <x:v>恬</x:v>
      </x:c>
      <x:c r="B5247" s="6" t="str">
        <x:v>平</x:v>
      </x:c>
      <x:c r="C5247" s="6" t="str">
        <x:f>IF(B5247="","Needs decision","Ready")</x:f>
        <x:v>Ready</x:v>
      </x:c>
      <x:c r="D5247" s="6" t="str">
        <x:v>平</x:v>
      </x:c>
      <x:c r="E5247" s="6" t="str"/>
      <x:c r="F5247" s="6" t="str">
        <x:v>下平聲十四鹽</x:v>
      </x:c>
      <x:c r="G5247" s="6" t="str">
        <x:v>Pingshui main list, Wikisource-derived DOCX</x:v>
      </x:c>
      <x:c r="H5247" s="6" t="str"/>
      <x:c r="I5247" s="6" t="str">
        <x:v>Lu Qinli gap fill from Pingshui main list; 詞 entries ignored</x:v>
      </x:c>
      <x:c r="J5247" s="6" t="str">
        <x:f>IF(B5247="","",IF(AND(ISNUMBER(SEARCH("平",B5247)),OR(ISNUMBER(SEARCH("上",B5247)),ISNUMBER(SEARCH("去",B5247)),ISNUMBER(SEARCH("入",B5247)))),"Ambiguous",IF(ISNUMBER(SEARCH("平",B5247)),"平","仄")))</x:f>
        <x:v>平</x:v>
      </x:c>
      <x:c r="K5247" s="6" t="str">
        <x:f>IF(D5247="","",IF(AND(ISNUMBER(SEARCH("平",D5247)),OR(ISNUMBER(SEARCH("上",D5247)),ISNUMBER(SEARCH("去",D5247)),ISNUMBER(SEARCH("入",D5247)))),"Ambiguous",IF(ISNUMBER(SEARCH("平",D5247)),"平","仄")))</x:f>
        <x:v>平</x:v>
      </x:c>
      <x:c r="L5247" s="7" t="str">
        <x:v>Pingshui main list, Lu Qinli gap fill</x:v>
      </x:c>
    </x:row>
    <x:row r="5248">
      <x:c r="A5248" s="5" t="str">
        <x:v>恰</x:v>
      </x:c>
      <x:c r="B5248" s="6" t="str">
        <x:v>入</x:v>
      </x:c>
      <x:c r="C5248" s="6" t="str">
        <x:f>IF(B5248="","Needs decision","Ready")</x:f>
        <x:v>Ready</x:v>
      </x:c>
      <x:c r="D5248" s="6" t="str">
        <x:v>入</x:v>
      </x:c>
      <x:c r="E5248" s="6" t="str"/>
      <x:c r="F5248" s="6" t="str">
        <x:v>入聲十七洽</x:v>
      </x:c>
      <x:c r="G5248" s="6" t="str">
        <x:v>Pingshui main list, Wikisource-derived DOCX</x:v>
      </x:c>
      <x:c r="H5248" s="6" t="str"/>
      <x:c r="I5248" s="6" t="str">
        <x:v>Lu Qinli gap fill from Pingshui main list; 詞 entries ignored</x:v>
      </x:c>
      <x:c r="J5248" s="6" t="str">
        <x:f>IF(B5248="","",IF(AND(ISNUMBER(SEARCH("平",B5248)),OR(ISNUMBER(SEARCH("上",B5248)),ISNUMBER(SEARCH("去",B5248)),ISNUMBER(SEARCH("入",B5248)))),"Ambiguous",IF(ISNUMBER(SEARCH("平",B5248)),"平","仄")))</x:f>
        <x:v>仄</x:v>
      </x:c>
      <x:c r="K5248" s="6" t="str">
        <x:f>IF(D5248="","",IF(AND(ISNUMBER(SEARCH("平",D5248)),OR(ISNUMBER(SEARCH("上",D5248)),ISNUMBER(SEARCH("去",D5248)),ISNUMBER(SEARCH("入",D5248)))),"Ambiguous",IF(ISNUMBER(SEARCH("平",D5248)),"平","仄")))</x:f>
        <x:v>仄</x:v>
      </x:c>
      <x:c r="L5248" s="7" t="str">
        <x:v>Pingshui main list, Lu Qinli gap fill</x:v>
      </x:c>
    </x:row>
    <x:row r="5249">
      <x:c r="A5249" s="5" t="str">
        <x:v>悃</x:v>
      </x:c>
      <x:c r="B5249" s="6" t="str">
        <x:v>上</x:v>
      </x:c>
      <x:c r="C5249" s="6" t="str">
        <x:f>IF(B5249="","Needs decision","Ready")</x:f>
        <x:v>Ready</x:v>
      </x:c>
      <x:c r="D5249" s="6" t="str">
        <x:v>上</x:v>
      </x:c>
      <x:c r="E5249" s="6" t="str"/>
      <x:c r="F5249" s="6" t="str">
        <x:v>上聲十三阮</x:v>
      </x:c>
      <x:c r="G5249" s="6" t="str">
        <x:v>Pingshui main list, Wikisource-derived DOCX</x:v>
      </x:c>
      <x:c r="H5249" s="6" t="str"/>
      <x:c r="I5249" s="6" t="str">
        <x:v>Lu Qinli gap fill from Pingshui main list; 詞 entries ignored</x:v>
      </x:c>
      <x:c r="J5249" s="6" t="str">
        <x:f>IF(B5249="","",IF(AND(ISNUMBER(SEARCH("平",B5249)),OR(ISNUMBER(SEARCH("上",B5249)),ISNUMBER(SEARCH("去",B5249)),ISNUMBER(SEARCH("入",B5249)))),"Ambiguous",IF(ISNUMBER(SEARCH("平",B5249)),"平","仄")))</x:f>
        <x:v>仄</x:v>
      </x:c>
      <x:c r="K5249" s="6" t="str">
        <x:f>IF(D5249="","",IF(AND(ISNUMBER(SEARCH("平",D5249)),OR(ISNUMBER(SEARCH("上",D5249)),ISNUMBER(SEARCH("去",D5249)),ISNUMBER(SEARCH("入",D5249)))),"Ambiguous",IF(ISNUMBER(SEARCH("平",D5249)),"平","仄")))</x:f>
        <x:v>仄</x:v>
      </x:c>
      <x:c r="L5249" s="7" t="str">
        <x:v>Pingshui main list, Lu Qinli gap fill</x:v>
      </x:c>
    </x:row>
    <x:row r="5250">
      <x:c r="A5250" s="5" t="str">
        <x:v>悆</x:v>
      </x:c>
      <x:c r="B5250" s="6" t="str">
        <x:v>去</x:v>
      </x:c>
      <x:c r="C5250" s="6" t="str">
        <x:f>IF(B5250="","Needs decision","Ready")</x:f>
        <x:v>Ready</x:v>
      </x:c>
      <x:c r="D5250" s="6" t="str">
        <x:v>去</x:v>
      </x:c>
      <x:c r="E5250" s="6" t="str"/>
      <x:c r="F5250" s="6" t="str">
        <x:v>去聲六御</x:v>
      </x:c>
      <x:c r="G5250" s="6" t="str">
        <x:v>Pingshui main list, Wikisource-derived DOCX</x:v>
      </x:c>
      <x:c r="H5250" s="6" t="str"/>
      <x:c r="I5250" s="6" t="str">
        <x:v>Lu Qinli gap fill from Pingshui main list; 詞 entries ignored</x:v>
      </x:c>
      <x:c r="J5250" s="6" t="str">
        <x:f>IF(B5250="","",IF(AND(ISNUMBER(SEARCH("平",B5250)),OR(ISNUMBER(SEARCH("上",B5250)),ISNUMBER(SEARCH("去",B5250)),ISNUMBER(SEARCH("入",B5250)))),"Ambiguous",IF(ISNUMBER(SEARCH("平",B5250)),"平","仄")))</x:f>
        <x:v>仄</x:v>
      </x:c>
      <x:c r="K5250" s="6" t="str">
        <x:f>IF(D5250="","",IF(AND(ISNUMBER(SEARCH("平",D5250)),OR(ISNUMBER(SEARCH("上",D5250)),ISNUMBER(SEARCH("去",D5250)),ISNUMBER(SEARCH("入",D5250)))),"Ambiguous",IF(ISNUMBER(SEARCH("平",D5250)),"平","仄")))</x:f>
        <x:v>仄</x:v>
      </x:c>
      <x:c r="L5250" s="7" t="str">
        <x:v>Pingshui main list, Lu Qinli gap fill</x:v>
      </x:c>
    </x:row>
    <x:row r="5251">
      <x:c r="A5251" s="5" t="str">
        <x:v>悌</x:v>
      </x:c>
      <x:c r="B5251" s="6" t="str">
        <x:v>上</x:v>
      </x:c>
      <x:c r="C5251" s="6" t="str">
        <x:f>IF(B5251="","Needs decision","Ready")</x:f>
        <x:v>Ready</x:v>
      </x:c>
      <x:c r="D5251" s="6" t="str">
        <x:v>上</x:v>
      </x:c>
      <x:c r="E5251" s="6" t="str"/>
      <x:c r="F5251" s="6" t="str">
        <x:v>上聲八薺</x:v>
      </x:c>
      <x:c r="G5251" s="6" t="str">
        <x:v>Pingshui main list, Wikisource-derived DOCX</x:v>
      </x:c>
      <x:c r="H5251" s="6" t="str"/>
      <x:c r="I5251" s="6" t="str">
        <x:v>Lu Qinli gap fill from Pingshui main list; 詞 entries ignored</x:v>
      </x:c>
      <x:c r="J5251" s="6" t="str">
        <x:f>IF(B5251="","",IF(AND(ISNUMBER(SEARCH("平",B5251)),OR(ISNUMBER(SEARCH("上",B5251)),ISNUMBER(SEARCH("去",B5251)),ISNUMBER(SEARCH("入",B5251)))),"Ambiguous",IF(ISNUMBER(SEARCH("平",B5251)),"平","仄")))</x:f>
        <x:v>仄</x:v>
      </x:c>
      <x:c r="K5251" s="6" t="str">
        <x:f>IF(D5251="","",IF(AND(ISNUMBER(SEARCH("平",D5251)),OR(ISNUMBER(SEARCH("上",D5251)),ISNUMBER(SEARCH("去",D5251)),ISNUMBER(SEARCH("入",D5251)))),"Ambiguous",IF(ISNUMBER(SEARCH("平",D5251)),"平","仄")))</x:f>
        <x:v>仄</x:v>
      </x:c>
      <x:c r="L5251" s="7" t="str">
        <x:v>Pingshui main list, Lu Qinli gap fill</x:v>
      </x:c>
    </x:row>
    <x:row r="5252">
      <x:c r="A5252" s="5" t="str">
        <x:v>悍</x:v>
      </x:c>
      <x:c r="B5252" s="6" t="str"/>
      <x:c r="C5252" s="6" t="str">
        <x:f>IF(B5252="","Needs decision","Ready")</x:f>
        <x:v>Needs decision</x:v>
      </x:c>
      <x:c r="D5252" s="6" t="str">
        <x:v>上/去</x:v>
      </x:c>
      <x:c r="E5252" s="6" t="str"/>
      <x:c r="F5252" s="6" t="str">
        <x:v>上聲十四旱; 去聲十五翰</x:v>
      </x:c>
      <x:c r="G5252" s="6" t="str">
        <x:v>Pingshui main list, Wikisource-derived DOCX</x:v>
      </x:c>
      <x:c r="H5252" s="6" t="str"/>
      <x:c r="I5252" s="6" t="str">
        <x:v>Lu Qinli gap fill from Pingshui main list; 詞 entries ignored</x:v>
      </x:c>
      <x:c r="J5252" s="6" t="str">
        <x:f>IF(B5252="","",IF(AND(ISNUMBER(SEARCH("平",B5252)),OR(ISNUMBER(SEARCH("上",B5252)),ISNUMBER(SEARCH("去",B5252)),ISNUMBER(SEARCH("入",B5252)))),"Ambiguous",IF(ISNUMBER(SEARCH("平",B5252)),"平","仄")))</x:f>
      </x:c>
      <x:c r="K5252" s="6" t="str">
        <x:f>IF(D5252="","",IF(AND(ISNUMBER(SEARCH("平",D5252)),OR(ISNUMBER(SEARCH("上",D5252)),ISNUMBER(SEARCH("去",D5252)),ISNUMBER(SEARCH("入",D5252)))),"Ambiguous",IF(ISNUMBER(SEARCH("平",D5252)),"平","仄")))</x:f>
        <x:v>仄</x:v>
      </x:c>
      <x:c r="L5252" s="7" t="str">
        <x:v>Pingshui main list, Lu Qinli gap fill</x:v>
      </x:c>
    </x:row>
    <x:row r="5253">
      <x:c r="A5253" s="5" t="str">
        <x:v>悒</x:v>
      </x:c>
      <x:c r="B5253" s="6" t="str">
        <x:v>入</x:v>
      </x:c>
      <x:c r="C5253" s="6" t="str">
        <x:f>IF(B5253="","Needs decision","Ready")</x:f>
        <x:v>Ready</x:v>
      </x:c>
      <x:c r="D5253" s="6" t="str">
        <x:v>入</x:v>
      </x:c>
      <x:c r="E5253" s="6" t="str"/>
      <x:c r="F5253" s="6" t="str">
        <x:v>入聲十四緝</x:v>
      </x:c>
      <x:c r="G5253" s="6" t="str">
        <x:v>Pingshui main list, Wikisource-derived DOCX</x:v>
      </x:c>
      <x:c r="H5253" s="6" t="str"/>
      <x:c r="I5253" s="6" t="str">
        <x:v>Lu Qinli gap fill from Pingshui main list; 詞 entries ignored</x:v>
      </x:c>
      <x:c r="J5253" s="6" t="str">
        <x:f>IF(B5253="","",IF(AND(ISNUMBER(SEARCH("平",B5253)),OR(ISNUMBER(SEARCH("上",B5253)),ISNUMBER(SEARCH("去",B5253)),ISNUMBER(SEARCH("入",B5253)))),"Ambiguous",IF(ISNUMBER(SEARCH("平",B5253)),"平","仄")))</x:f>
        <x:v>仄</x:v>
      </x:c>
      <x:c r="K5253" s="6" t="str">
        <x:f>IF(D5253="","",IF(AND(ISNUMBER(SEARCH("平",D5253)),OR(ISNUMBER(SEARCH("上",D5253)),ISNUMBER(SEARCH("去",D5253)),ISNUMBER(SEARCH("入",D5253)))),"Ambiguous",IF(ISNUMBER(SEARCH("平",D5253)),"平","仄")))</x:f>
        <x:v>仄</x:v>
      </x:c>
      <x:c r="L5253" s="7" t="str">
        <x:v>Pingshui main list, Lu Qinli gap fill</x:v>
      </x:c>
    </x:row>
    <x:row r="5254">
      <x:c r="A5254" s="5" t="str">
        <x:v>悚</x:v>
      </x:c>
      <x:c r="B5254" s="6" t="str">
        <x:v>上</x:v>
      </x:c>
      <x:c r="C5254" s="6" t="str">
        <x:f>IF(B5254="","Needs decision","Ready")</x:f>
        <x:v>Ready</x:v>
      </x:c>
      <x:c r="D5254" s="6" t="str">
        <x:v>上</x:v>
      </x:c>
      <x:c r="E5254" s="6" t="str"/>
      <x:c r="F5254" s="6" t="str">
        <x:v>上聲二腫</x:v>
      </x:c>
      <x:c r="G5254" s="6" t="str">
        <x:v>Pingshui main list, Wikisource-derived DOCX</x:v>
      </x:c>
      <x:c r="H5254" s="6" t="str"/>
      <x:c r="I5254" s="6" t="str">
        <x:v>Lu Qinli gap fill from Pingshui main list; 詞 entries ignored</x:v>
      </x:c>
      <x:c r="J5254" s="6" t="str">
        <x:f>IF(B5254="","",IF(AND(ISNUMBER(SEARCH("平",B5254)),OR(ISNUMBER(SEARCH("上",B5254)),ISNUMBER(SEARCH("去",B5254)),ISNUMBER(SEARCH("入",B5254)))),"Ambiguous",IF(ISNUMBER(SEARCH("平",B5254)),"平","仄")))</x:f>
        <x:v>仄</x:v>
      </x:c>
      <x:c r="K5254" s="6" t="str">
        <x:f>IF(D5254="","",IF(AND(ISNUMBER(SEARCH("平",D5254)),OR(ISNUMBER(SEARCH("上",D5254)),ISNUMBER(SEARCH("去",D5254)),ISNUMBER(SEARCH("入",D5254)))),"Ambiguous",IF(ISNUMBER(SEARCH("平",D5254)),"平","仄")))</x:f>
        <x:v>仄</x:v>
      </x:c>
      <x:c r="L5254" s="7" t="str">
        <x:v>Pingshui main list, Lu Qinli gap fill</x:v>
      </x:c>
    </x:row>
    <x:row r="5255">
      <x:c r="A5255" s="5" t="str">
        <x:v>悛</x:v>
      </x:c>
      <x:c r="B5255" s="6" t="str">
        <x:v>平</x:v>
      </x:c>
      <x:c r="C5255" s="6" t="str">
        <x:f>IF(B5255="","Needs decision","Ready")</x:f>
        <x:v>Ready</x:v>
      </x:c>
      <x:c r="D5255" s="6" t="str">
        <x:v>平</x:v>
      </x:c>
      <x:c r="E5255" s="6" t="str"/>
      <x:c r="F5255" s="6" t="str">
        <x:v>下平聲一先</x:v>
      </x:c>
      <x:c r="G5255" s="6" t="str">
        <x:v>Pingshui main list, Wikisource-derived DOCX</x:v>
      </x:c>
      <x:c r="H5255" s="6" t="str"/>
      <x:c r="I5255" s="6" t="str">
        <x:v>Lu Qinli gap fill from Pingshui main list; 詞 entries ignored</x:v>
      </x:c>
      <x:c r="J5255" s="6" t="str">
        <x:f>IF(B5255="","",IF(AND(ISNUMBER(SEARCH("平",B5255)),OR(ISNUMBER(SEARCH("上",B5255)),ISNUMBER(SEARCH("去",B5255)),ISNUMBER(SEARCH("入",B5255)))),"Ambiguous",IF(ISNUMBER(SEARCH("平",B5255)),"平","仄")))</x:f>
        <x:v>平</x:v>
      </x:c>
      <x:c r="K5255" s="6" t="str">
        <x:f>IF(D5255="","",IF(AND(ISNUMBER(SEARCH("平",D5255)),OR(ISNUMBER(SEARCH("上",D5255)),ISNUMBER(SEARCH("去",D5255)),ISNUMBER(SEARCH("入",D5255)))),"Ambiguous",IF(ISNUMBER(SEARCH("平",D5255)),"平","仄")))</x:f>
        <x:v>平</x:v>
      </x:c>
      <x:c r="L5255" s="7" t="str">
        <x:v>Pingshui main list, Lu Qinli gap fill</x:v>
      </x:c>
    </x:row>
    <x:row r="5256">
      <x:c r="A5256" s="5" t="str">
        <x:v>悢</x:v>
      </x:c>
      <x:c r="B5256" s="6" t="str">
        <x:v>去</x:v>
      </x:c>
      <x:c r="C5256" s="6" t="str">
        <x:f>IF(B5256="","Needs decision","Ready")</x:f>
        <x:v>Ready</x:v>
      </x:c>
      <x:c r="D5256" s="6" t="str">
        <x:v>去</x:v>
      </x:c>
      <x:c r="E5256" s="6" t="str"/>
      <x:c r="F5256" s="6" t="str">
        <x:v>去聲二十三漾</x:v>
      </x:c>
      <x:c r="G5256" s="6" t="str">
        <x:v>Pingshui main list, Wikisource-derived DOCX</x:v>
      </x:c>
      <x:c r="H5256" s="6" t="str"/>
      <x:c r="I5256" s="6" t="str">
        <x:v>Lu Qinli gap fill from Pingshui main list; 詞 entries ignored</x:v>
      </x:c>
      <x:c r="J5256" s="6" t="str">
        <x:f>IF(B5256="","",IF(AND(ISNUMBER(SEARCH("平",B5256)),OR(ISNUMBER(SEARCH("上",B5256)),ISNUMBER(SEARCH("去",B5256)),ISNUMBER(SEARCH("入",B5256)))),"Ambiguous",IF(ISNUMBER(SEARCH("平",B5256)),"平","仄")))</x:f>
        <x:v>仄</x:v>
      </x:c>
      <x:c r="K5256" s="6" t="str">
        <x:f>IF(D5256="","",IF(AND(ISNUMBER(SEARCH("平",D5256)),OR(ISNUMBER(SEARCH("上",D5256)),ISNUMBER(SEARCH("去",D5256)),ISNUMBER(SEARCH("入",D5256)))),"Ambiguous",IF(ISNUMBER(SEARCH("平",D5256)),"平","仄")))</x:f>
        <x:v>仄</x:v>
      </x:c>
      <x:c r="L5256" s="7" t="str">
        <x:v>Pingshui main list, Lu Qinli gap fill</x:v>
      </x:c>
    </x:row>
    <x:row r="5257">
      <x:c r="A5257" s="5" t="str">
        <x:v>悰</x:v>
      </x:c>
      <x:c r="B5257" s="6" t="str">
        <x:v>平</x:v>
      </x:c>
      <x:c r="C5257" s="6" t="str">
        <x:f>IF(B5257="","Needs decision","Ready")</x:f>
        <x:v>Ready</x:v>
      </x:c>
      <x:c r="D5257" s="6" t="str">
        <x:v>平</x:v>
      </x:c>
      <x:c r="E5257" s="6" t="str"/>
      <x:c r="F5257" s="6" t="str">
        <x:v>上平聲二冬</x:v>
      </x:c>
      <x:c r="G5257" s="6" t="str">
        <x:v>Pingshui main list, Wikisource-derived DOCX</x:v>
      </x:c>
      <x:c r="H5257" s="6" t="str"/>
      <x:c r="I5257" s="6" t="str">
        <x:v>Lu Qinli gap fill from Pingshui main list; 詞 entries ignored</x:v>
      </x:c>
      <x:c r="J5257" s="6" t="str">
        <x:f>IF(B5257="","",IF(AND(ISNUMBER(SEARCH("平",B5257)),OR(ISNUMBER(SEARCH("上",B5257)),ISNUMBER(SEARCH("去",B5257)),ISNUMBER(SEARCH("入",B5257)))),"Ambiguous",IF(ISNUMBER(SEARCH("平",B5257)),"平","仄")))</x:f>
        <x:v>平</x:v>
      </x:c>
      <x:c r="K5257" s="6" t="str">
        <x:f>IF(D5257="","",IF(AND(ISNUMBER(SEARCH("平",D5257)),OR(ISNUMBER(SEARCH("上",D5257)),ISNUMBER(SEARCH("去",D5257)),ISNUMBER(SEARCH("入",D5257)))),"Ambiguous",IF(ISNUMBER(SEARCH("平",D5257)),"平","仄")))</x:f>
        <x:v>平</x:v>
      </x:c>
      <x:c r="L5257" s="7" t="str">
        <x:v>Pingshui main list, Lu Qinli gap fill</x:v>
      </x:c>
    </x:row>
    <x:row r="5258">
      <x:c r="A5258" s="5" t="str">
        <x:v>悱</x:v>
      </x:c>
      <x:c r="B5258" s="6" t="str">
        <x:v>上</x:v>
      </x:c>
      <x:c r="C5258" s="6" t="str">
        <x:f>IF(B5258="","Needs decision","Ready")</x:f>
        <x:v>Ready</x:v>
      </x:c>
      <x:c r="D5258" s="6" t="str">
        <x:v>上</x:v>
      </x:c>
      <x:c r="E5258" s="6" t="str"/>
      <x:c r="F5258" s="6" t="str">
        <x:v>上聲五尾</x:v>
      </x:c>
      <x:c r="G5258" s="6" t="str">
        <x:v>Pingshui main list, Wikisource-derived DOCX</x:v>
      </x:c>
      <x:c r="H5258" s="6" t="str"/>
      <x:c r="I5258" s="6" t="str">
        <x:v>Lu Qinli gap fill from Pingshui main list; 詞 entries ignored</x:v>
      </x:c>
      <x:c r="J5258" s="6" t="str">
        <x:f>IF(B5258="","",IF(AND(ISNUMBER(SEARCH("平",B5258)),OR(ISNUMBER(SEARCH("上",B5258)),ISNUMBER(SEARCH("去",B5258)),ISNUMBER(SEARCH("入",B5258)))),"Ambiguous",IF(ISNUMBER(SEARCH("平",B5258)),"平","仄")))</x:f>
        <x:v>仄</x:v>
      </x:c>
      <x:c r="K5258" s="6" t="str">
        <x:f>IF(D5258="","",IF(AND(ISNUMBER(SEARCH("平",D5258)),OR(ISNUMBER(SEARCH("上",D5258)),ISNUMBER(SEARCH("去",D5258)),ISNUMBER(SEARCH("入",D5258)))),"Ambiguous",IF(ISNUMBER(SEARCH("平",D5258)),"平","仄")))</x:f>
        <x:v>仄</x:v>
      </x:c>
      <x:c r="L5258" s="7" t="str">
        <x:v>Pingshui main list, Lu Qinli gap fill</x:v>
      </x:c>
    </x:row>
    <x:row r="5259">
      <x:c r="A5259" s="5" t="str">
        <x:v>悶</x:v>
      </x:c>
      <x:c r="B5259" s="6" t="str">
        <x:v>去</x:v>
      </x:c>
      <x:c r="C5259" s="6" t="str">
        <x:f>IF(B5259="","Needs decision","Ready")</x:f>
        <x:v>Ready</x:v>
      </x:c>
      <x:c r="D5259" s="6" t="str">
        <x:v>去</x:v>
      </x:c>
      <x:c r="E5259" s="6" t="str"/>
      <x:c r="F5259" s="6" t="str">
        <x:v>去聲十四願</x:v>
      </x:c>
      <x:c r="G5259" s="6" t="str">
        <x:v>Pingshui main list, Wikisource-derived DOCX</x:v>
      </x:c>
      <x:c r="H5259" s="6" t="str"/>
      <x:c r="I5259" s="6" t="str">
        <x:v>Lu Qinli gap fill from Pingshui main list; 詞 entries ignored</x:v>
      </x:c>
      <x:c r="J5259" s="6" t="str">
        <x:f>IF(B5259="","",IF(AND(ISNUMBER(SEARCH("平",B5259)),OR(ISNUMBER(SEARCH("上",B5259)),ISNUMBER(SEARCH("去",B5259)),ISNUMBER(SEARCH("入",B5259)))),"Ambiguous",IF(ISNUMBER(SEARCH("平",B5259)),"平","仄")))</x:f>
        <x:v>仄</x:v>
      </x:c>
      <x:c r="K5259" s="6" t="str">
        <x:f>IF(D5259="","",IF(AND(ISNUMBER(SEARCH("平",D5259)),OR(ISNUMBER(SEARCH("上",D5259)),ISNUMBER(SEARCH("去",D5259)),ISNUMBER(SEARCH("入",D5259)))),"Ambiguous",IF(ISNUMBER(SEARCH("平",D5259)),"平","仄")))</x:f>
        <x:v>仄</x:v>
      </x:c>
      <x:c r="L5259" s="7" t="str">
        <x:v>Pingshui main list, Lu Qinli gap fill</x:v>
      </x:c>
    </x:row>
    <x:row r="5260">
      <x:c r="A5260" s="5" t="str">
        <x:v>悷</x:v>
      </x:c>
      <x:c r="B5260" s="6" t="str">
        <x:v>去</x:v>
      </x:c>
      <x:c r="C5260" s="6" t="str">
        <x:f>IF(B5260="","Needs decision","Ready")</x:f>
        <x:v>Ready</x:v>
      </x:c>
      <x:c r="D5260" s="6" t="str">
        <x:v>去</x:v>
      </x:c>
      <x:c r="E5260" s="6" t="str"/>
      <x:c r="F5260" s="6" t="str">
        <x:v>去聲八霽</x:v>
      </x:c>
      <x:c r="G5260" s="6" t="str">
        <x:v>Pingshui main list, Wikisource-derived DOCX</x:v>
      </x:c>
      <x:c r="H5260" s="6" t="str"/>
      <x:c r="I5260" s="6" t="str">
        <x:v>Lu Qinli gap fill from Pingshui main list; 詞 entries ignored</x:v>
      </x:c>
      <x:c r="J5260" s="6" t="str">
        <x:f>IF(B5260="","",IF(AND(ISNUMBER(SEARCH("平",B5260)),OR(ISNUMBER(SEARCH("上",B5260)),ISNUMBER(SEARCH("去",B5260)),ISNUMBER(SEARCH("入",B5260)))),"Ambiguous",IF(ISNUMBER(SEARCH("平",B5260)),"平","仄")))</x:f>
        <x:v>仄</x:v>
      </x:c>
      <x:c r="K5260" s="6" t="str">
        <x:f>IF(D5260="","",IF(AND(ISNUMBER(SEARCH("平",D5260)),OR(ISNUMBER(SEARCH("上",D5260)),ISNUMBER(SEARCH("去",D5260)),ISNUMBER(SEARCH("入",D5260)))),"Ambiguous",IF(ISNUMBER(SEARCH("平",D5260)),"平","仄")))</x:f>
        <x:v>仄</x:v>
      </x:c>
      <x:c r="L5260" s="7" t="str">
        <x:v>Pingshui main list, Lu Qinli gap fill</x:v>
      </x:c>
    </x:row>
    <x:row r="5261">
      <x:c r="A5261" s="5" t="str">
        <x:v>惄</x:v>
      </x:c>
      <x:c r="B5261" s="6" t="str">
        <x:v>入</x:v>
      </x:c>
      <x:c r="C5261" s="6" t="str">
        <x:f>IF(B5261="","Needs decision","Ready")</x:f>
        <x:v>Ready</x:v>
      </x:c>
      <x:c r="D5261" s="6" t="str">
        <x:v>入</x:v>
      </x:c>
      <x:c r="E5261" s="6" t="str"/>
      <x:c r="F5261" s="6" t="str">
        <x:v>入聲十二錫</x:v>
      </x:c>
      <x:c r="G5261" s="6" t="str">
        <x:v>Pingshui main list, Wikisource-derived DOCX</x:v>
      </x:c>
      <x:c r="H5261" s="6" t="str"/>
      <x:c r="I5261" s="6" t="str">
        <x:v>Lu Qinli gap fill from Pingshui main list; 詞 entries ignored</x:v>
      </x:c>
      <x:c r="J5261" s="6" t="str">
        <x:f>IF(B5261="","",IF(AND(ISNUMBER(SEARCH("平",B5261)),OR(ISNUMBER(SEARCH("上",B5261)),ISNUMBER(SEARCH("去",B5261)),ISNUMBER(SEARCH("入",B5261)))),"Ambiguous",IF(ISNUMBER(SEARCH("平",B5261)),"平","仄")))</x:f>
        <x:v>仄</x:v>
      </x:c>
      <x:c r="K5261" s="6" t="str">
        <x:f>IF(D5261="","",IF(AND(ISNUMBER(SEARCH("平",D5261)),OR(ISNUMBER(SEARCH("上",D5261)),ISNUMBER(SEARCH("去",D5261)),ISNUMBER(SEARCH("入",D5261)))),"Ambiguous",IF(ISNUMBER(SEARCH("平",D5261)),"平","仄")))</x:f>
        <x:v>仄</x:v>
      </x:c>
      <x:c r="L5261" s="7" t="str">
        <x:v>Pingshui main list, Lu Qinli gap fill</x:v>
      </x:c>
    </x:row>
    <x:row r="5262">
      <x:c r="A5262" s="5" t="str">
        <x:v>惇</x:v>
      </x:c>
      <x:c r="B5262" s="6" t="str">
        <x:v>平</x:v>
      </x:c>
      <x:c r="C5262" s="6" t="str">
        <x:f>IF(B5262="","Needs decision","Ready")</x:f>
        <x:v>Ready</x:v>
      </x:c>
      <x:c r="D5262" s="6" t="str">
        <x:v>平</x:v>
      </x:c>
      <x:c r="E5262" s="6" t="str"/>
      <x:c r="F5262" s="6" t="str">
        <x:v>上平聲十三元</x:v>
      </x:c>
      <x:c r="G5262" s="6" t="str">
        <x:v>Pingshui main list, Wikisource-derived DOCX</x:v>
      </x:c>
      <x:c r="H5262" s="6" t="str"/>
      <x:c r="I5262" s="6" t="str">
        <x:v>Lu Qinli gap fill from Pingshui main list; 詞 entries ignored</x:v>
      </x:c>
      <x:c r="J5262" s="6" t="str">
        <x:f>IF(B5262="","",IF(AND(ISNUMBER(SEARCH("平",B5262)),OR(ISNUMBER(SEARCH("上",B5262)),ISNUMBER(SEARCH("去",B5262)),ISNUMBER(SEARCH("入",B5262)))),"Ambiguous",IF(ISNUMBER(SEARCH("平",B5262)),"平","仄")))</x:f>
        <x:v>平</x:v>
      </x:c>
      <x:c r="K5262" s="6" t="str">
        <x:f>IF(D5262="","",IF(AND(ISNUMBER(SEARCH("平",D5262)),OR(ISNUMBER(SEARCH("上",D5262)),ISNUMBER(SEARCH("去",D5262)),ISNUMBER(SEARCH("入",D5262)))),"Ambiguous",IF(ISNUMBER(SEARCH("平",D5262)),"平","仄")))</x:f>
        <x:v>平</x:v>
      </x:c>
      <x:c r="L5262" s="7" t="str">
        <x:v>Pingshui main list, Lu Qinli gap fill</x:v>
      </x:c>
    </x:row>
    <x:row r="5263">
      <x:c r="A5263" s="5" t="str">
        <x:v>惔</x:v>
      </x:c>
      <x:c r="B5263" s="6" t="str">
        <x:v>平</x:v>
      </x:c>
      <x:c r="C5263" s="6" t="str">
        <x:f>IF(B5263="","Needs decision","Ready")</x:f>
        <x:v>Ready</x:v>
      </x:c>
      <x:c r="D5263" s="6" t="str">
        <x:v>平</x:v>
      </x:c>
      <x:c r="E5263" s="6" t="str"/>
      <x:c r="F5263" s="6" t="str">
        <x:v>下平聲十三覃</x:v>
      </x:c>
      <x:c r="G5263" s="6" t="str">
        <x:v>Pingshui main list, Wikisource-derived DOCX</x:v>
      </x:c>
      <x:c r="H5263" s="6" t="str"/>
      <x:c r="I5263" s="6" t="str">
        <x:v>Lu Qinli gap fill from Pingshui main list; 詞 entries ignored</x:v>
      </x:c>
      <x:c r="J5263" s="6" t="str">
        <x:f>IF(B5263="","",IF(AND(ISNUMBER(SEARCH("平",B5263)),OR(ISNUMBER(SEARCH("上",B5263)),ISNUMBER(SEARCH("去",B5263)),ISNUMBER(SEARCH("入",B5263)))),"Ambiguous",IF(ISNUMBER(SEARCH("平",B5263)),"平","仄")))</x:f>
        <x:v>平</x:v>
      </x:c>
      <x:c r="K5263" s="6" t="str">
        <x:f>IF(D5263="","",IF(AND(ISNUMBER(SEARCH("平",D5263)),OR(ISNUMBER(SEARCH("上",D5263)),ISNUMBER(SEARCH("去",D5263)),ISNUMBER(SEARCH("入",D5263)))),"Ambiguous",IF(ISNUMBER(SEARCH("平",D5263)),"平","仄")))</x:f>
        <x:v>平</x:v>
      </x:c>
      <x:c r="L5263" s="7" t="str">
        <x:v>Pingshui main list, Lu Qinli gap fill</x:v>
      </x:c>
    </x:row>
    <x:row r="5264">
      <x:c r="A5264" s="5" t="str">
        <x:v>惙</x:v>
      </x:c>
      <x:c r="B5264" s="6" t="str">
        <x:v>入</x:v>
      </x:c>
      <x:c r="C5264" s="6" t="str">
        <x:f>IF(B5264="","Needs decision","Ready")</x:f>
        <x:v>Ready</x:v>
      </x:c>
      <x:c r="D5264" s="6" t="str">
        <x:v>入</x:v>
      </x:c>
      <x:c r="E5264" s="6" t="str"/>
      <x:c r="F5264" s="6" t="str">
        <x:v>入聲九屑</x:v>
      </x:c>
      <x:c r="G5264" s="6" t="str">
        <x:v>Pingshui main list, Wikisource-derived DOCX</x:v>
      </x:c>
      <x:c r="H5264" s="6" t="str"/>
      <x:c r="I5264" s="6" t="str">
        <x:v>Lu Qinli gap fill from Pingshui main list; 詞 entries ignored</x:v>
      </x:c>
      <x:c r="J5264" s="6" t="str">
        <x:f>IF(B5264="","",IF(AND(ISNUMBER(SEARCH("平",B5264)),OR(ISNUMBER(SEARCH("上",B5264)),ISNUMBER(SEARCH("去",B5264)),ISNUMBER(SEARCH("入",B5264)))),"Ambiguous",IF(ISNUMBER(SEARCH("平",B5264)),"平","仄")))</x:f>
        <x:v>仄</x:v>
      </x:c>
      <x:c r="K5264" s="6" t="str">
        <x:f>IF(D5264="","",IF(AND(ISNUMBER(SEARCH("平",D5264)),OR(ISNUMBER(SEARCH("上",D5264)),ISNUMBER(SEARCH("去",D5264)),ISNUMBER(SEARCH("入",D5264)))),"Ambiguous",IF(ISNUMBER(SEARCH("平",D5264)),"平","仄")))</x:f>
        <x:v>仄</x:v>
      </x:c>
      <x:c r="L5264" s="7" t="str">
        <x:v>Pingshui main list, Lu Qinli gap fill</x:v>
      </x:c>
    </x:row>
    <x:row r="5265">
      <x:c r="A5265" s="5" t="str">
        <x:v>惛</x:v>
      </x:c>
      <x:c r="B5265" s="6" t="str">
        <x:v>平</x:v>
      </x:c>
      <x:c r="C5265" s="6" t="str">
        <x:f>IF(B5265="","Needs decision","Ready")</x:f>
        <x:v>Ready</x:v>
      </x:c>
      <x:c r="D5265" s="6" t="str">
        <x:v>平</x:v>
      </x:c>
      <x:c r="E5265" s="6" t="str"/>
      <x:c r="F5265" s="6" t="str">
        <x:v>上平聲十三元</x:v>
      </x:c>
      <x:c r="G5265" s="6" t="str">
        <x:v>Pingshui main list, Wikisource-derived DOCX</x:v>
      </x:c>
      <x:c r="H5265" s="6" t="str"/>
      <x:c r="I5265" s="6" t="str">
        <x:v>Lu Qinli gap fill from Pingshui main list; 詞 entries ignored</x:v>
      </x:c>
      <x:c r="J5265" s="6" t="str">
        <x:f>IF(B5265="","",IF(AND(ISNUMBER(SEARCH("平",B5265)),OR(ISNUMBER(SEARCH("上",B5265)),ISNUMBER(SEARCH("去",B5265)),ISNUMBER(SEARCH("入",B5265)))),"Ambiguous",IF(ISNUMBER(SEARCH("平",B5265)),"平","仄")))</x:f>
        <x:v>平</x:v>
      </x:c>
      <x:c r="K5265" s="6" t="str">
        <x:f>IF(D5265="","",IF(AND(ISNUMBER(SEARCH("平",D5265)),OR(ISNUMBER(SEARCH("上",D5265)),ISNUMBER(SEARCH("去",D5265)),ISNUMBER(SEARCH("入",D5265)))),"Ambiguous",IF(ISNUMBER(SEARCH("平",D5265)),"平","仄")))</x:f>
        <x:v>平</x:v>
      </x:c>
      <x:c r="L5265" s="7" t="str">
        <x:v>Pingshui main list, Lu Qinli gap fill</x:v>
      </x:c>
    </x:row>
    <x:row r="5266">
      <x:c r="A5266" s="5" t="str">
        <x:v>惲</x:v>
      </x:c>
      <x:c r="B5266" s="6" t="str">
        <x:v>上</x:v>
      </x:c>
      <x:c r="C5266" s="6" t="str">
        <x:f>IF(B5266="","Needs decision","Ready")</x:f>
        <x:v>Ready</x:v>
      </x:c>
      <x:c r="D5266" s="6" t="str">
        <x:v>上</x:v>
      </x:c>
      <x:c r="E5266" s="6" t="str"/>
      <x:c r="F5266" s="6" t="str">
        <x:v>上聲十二吻</x:v>
      </x:c>
      <x:c r="G5266" s="6" t="str">
        <x:v>Pingshui main list, Wikisource-derived DOCX</x:v>
      </x:c>
      <x:c r="H5266" s="6" t="str"/>
      <x:c r="I5266" s="6" t="str">
        <x:v>Lu Qinli gap fill from Pingshui main list; 詞 entries ignored</x:v>
      </x:c>
      <x:c r="J5266" s="6" t="str">
        <x:f>IF(B5266="","",IF(AND(ISNUMBER(SEARCH("平",B5266)),OR(ISNUMBER(SEARCH("上",B5266)),ISNUMBER(SEARCH("去",B5266)),ISNUMBER(SEARCH("入",B5266)))),"Ambiguous",IF(ISNUMBER(SEARCH("平",B5266)),"平","仄")))</x:f>
        <x:v>仄</x:v>
      </x:c>
      <x:c r="K5266" s="6" t="str">
        <x:f>IF(D5266="","",IF(AND(ISNUMBER(SEARCH("平",D5266)),OR(ISNUMBER(SEARCH("上",D5266)),ISNUMBER(SEARCH("去",D5266)),ISNUMBER(SEARCH("入",D5266)))),"Ambiguous",IF(ISNUMBER(SEARCH("平",D5266)),"平","仄")))</x:f>
        <x:v>仄</x:v>
      </x:c>
      <x:c r="L5266" s="7" t="str">
        <x:v>Pingshui main list, Lu Qinli gap fill</x:v>
      </x:c>
    </x:row>
    <x:row r="5267">
      <x:c r="A5267" s="5" t="str">
        <x:v>惴</x:v>
      </x:c>
      <x:c r="B5267" s="6" t="str">
        <x:v>去</x:v>
      </x:c>
      <x:c r="C5267" s="6" t="str">
        <x:f>IF(B5267="","Needs decision","Ready")</x:f>
        <x:v>Ready</x:v>
      </x:c>
      <x:c r="D5267" s="6" t="str">
        <x:v>去</x:v>
      </x:c>
      <x:c r="E5267" s="6" t="str"/>
      <x:c r="F5267" s="6" t="str">
        <x:v>去聲四寘</x:v>
      </x:c>
      <x:c r="G5267" s="6" t="str">
        <x:v>Pingshui main list, Wikisource-derived DOCX</x:v>
      </x:c>
      <x:c r="H5267" s="6" t="str"/>
      <x:c r="I5267" s="6" t="str">
        <x:v>Lu Qinli gap fill from Pingshui main list; 詞 entries ignored</x:v>
      </x:c>
      <x:c r="J5267" s="6" t="str">
        <x:f>IF(B5267="","",IF(AND(ISNUMBER(SEARCH("平",B5267)),OR(ISNUMBER(SEARCH("上",B5267)),ISNUMBER(SEARCH("去",B5267)),ISNUMBER(SEARCH("入",B5267)))),"Ambiguous",IF(ISNUMBER(SEARCH("平",B5267)),"平","仄")))</x:f>
        <x:v>仄</x:v>
      </x:c>
      <x:c r="K5267" s="6" t="str">
        <x:f>IF(D5267="","",IF(AND(ISNUMBER(SEARCH("平",D5267)),OR(ISNUMBER(SEARCH("上",D5267)),ISNUMBER(SEARCH("去",D5267)),ISNUMBER(SEARCH("入",D5267)))),"Ambiguous",IF(ISNUMBER(SEARCH("平",D5267)),"平","仄")))</x:f>
        <x:v>仄</x:v>
      </x:c>
      <x:c r="L5267" s="7" t="str">
        <x:v>Pingshui main list, Lu Qinli gap fill</x:v>
      </x:c>
    </x:row>
    <x:row r="5268">
      <x:c r="A5268" s="5" t="str">
        <x:v>惵</x:v>
      </x:c>
      <x:c r="B5268" s="6" t="str">
        <x:v>入</x:v>
      </x:c>
      <x:c r="C5268" s="6" t="str">
        <x:f>IF(B5268="","Needs decision","Ready")</x:f>
        <x:v>Ready</x:v>
      </x:c>
      <x:c r="D5268" s="6" t="str">
        <x:v>入</x:v>
      </x:c>
      <x:c r="E5268" s="6" t="str"/>
      <x:c r="F5268" s="6" t="str">
        <x:v>入聲十六葉</x:v>
      </x:c>
      <x:c r="G5268" s="6" t="str">
        <x:v>Pingshui main list, Wikisource-derived DOCX</x:v>
      </x:c>
      <x:c r="H5268" s="6" t="str"/>
      <x:c r="I5268" s="6" t="str">
        <x:v>Lu Qinli gap fill from Pingshui main list; 詞 entries ignored</x:v>
      </x:c>
      <x:c r="J5268" s="6" t="str">
        <x:f>IF(B5268="","",IF(AND(ISNUMBER(SEARCH("平",B5268)),OR(ISNUMBER(SEARCH("上",B5268)),ISNUMBER(SEARCH("去",B5268)),ISNUMBER(SEARCH("入",B5268)))),"Ambiguous",IF(ISNUMBER(SEARCH("平",B5268)),"平","仄")))</x:f>
        <x:v>仄</x:v>
      </x:c>
      <x:c r="K5268" s="6" t="str">
        <x:f>IF(D5268="","",IF(AND(ISNUMBER(SEARCH("平",D5268)),OR(ISNUMBER(SEARCH("上",D5268)),ISNUMBER(SEARCH("去",D5268)),ISNUMBER(SEARCH("入",D5268)))),"Ambiguous",IF(ISNUMBER(SEARCH("平",D5268)),"平","仄")))</x:f>
        <x:v>仄</x:v>
      </x:c>
      <x:c r="L5268" s="7" t="str">
        <x:v>Pingshui main list, Lu Qinli gap fill</x:v>
      </x:c>
    </x:row>
    <x:row r="5269">
      <x:c r="A5269" s="5" t="str">
        <x:v>惶</x:v>
      </x:c>
      <x:c r="B5269" s="6" t="str">
        <x:v>平</x:v>
      </x:c>
      <x:c r="C5269" s="6" t="str">
        <x:f>IF(B5269="","Needs decision","Ready")</x:f>
        <x:v>Ready</x:v>
      </x:c>
      <x:c r="D5269" s="6" t="str">
        <x:v>平</x:v>
      </x:c>
      <x:c r="E5269" s="6" t="str"/>
      <x:c r="F5269" s="6" t="str">
        <x:v>下平聲七陽</x:v>
      </x:c>
      <x:c r="G5269" s="6" t="str">
        <x:v>Pingshui main list, Wikisource-derived DOCX</x:v>
      </x:c>
      <x:c r="H5269" s="6" t="str"/>
      <x:c r="I5269" s="6" t="str">
        <x:v>Lu Qinli gap fill from Pingshui main list; 詞 entries ignored</x:v>
      </x:c>
      <x:c r="J5269" s="6" t="str">
        <x:f>IF(B5269="","",IF(AND(ISNUMBER(SEARCH("平",B5269)),OR(ISNUMBER(SEARCH("上",B5269)),ISNUMBER(SEARCH("去",B5269)),ISNUMBER(SEARCH("入",B5269)))),"Ambiguous",IF(ISNUMBER(SEARCH("平",B5269)),"平","仄")))</x:f>
        <x:v>平</x:v>
      </x:c>
      <x:c r="K5269" s="6" t="str">
        <x:f>IF(D5269="","",IF(AND(ISNUMBER(SEARCH("平",D5269)),OR(ISNUMBER(SEARCH("上",D5269)),ISNUMBER(SEARCH("去",D5269)),ISNUMBER(SEARCH("入",D5269)))),"Ambiguous",IF(ISNUMBER(SEARCH("平",D5269)),"平","仄")))</x:f>
        <x:v>平</x:v>
      </x:c>
      <x:c r="L5269" s="7" t="str">
        <x:v>Pingshui main list, Lu Qinli gap fill</x:v>
      </x:c>
    </x:row>
    <x:row r="5270">
      <x:c r="A5270" s="5" t="str">
        <x:v>愊</x:v>
      </x:c>
      <x:c r="B5270" s="6" t="str">
        <x:v>入</x:v>
      </x:c>
      <x:c r="C5270" s="6" t="str">
        <x:f>IF(B5270="","Needs decision","Ready")</x:f>
        <x:v>Ready</x:v>
      </x:c>
      <x:c r="D5270" s="6" t="str">
        <x:v>入</x:v>
      </x:c>
      <x:c r="E5270" s="6" t="str"/>
      <x:c r="F5270" s="6" t="str">
        <x:v>入聲十三職</x:v>
      </x:c>
      <x:c r="G5270" s="6" t="str">
        <x:v>Pingshui main list, Wikisource-derived DOCX</x:v>
      </x:c>
      <x:c r="H5270" s="6" t="str"/>
      <x:c r="I5270" s="6" t="str">
        <x:v>Lu Qinli gap fill from Pingshui main list; 詞 entries ignored</x:v>
      </x:c>
      <x:c r="J5270" s="6" t="str">
        <x:f>IF(B5270="","",IF(AND(ISNUMBER(SEARCH("平",B5270)),OR(ISNUMBER(SEARCH("上",B5270)),ISNUMBER(SEARCH("去",B5270)),ISNUMBER(SEARCH("入",B5270)))),"Ambiguous",IF(ISNUMBER(SEARCH("平",B5270)),"平","仄")))</x:f>
        <x:v>仄</x:v>
      </x:c>
      <x:c r="K5270" s="6" t="str">
        <x:f>IF(D5270="","",IF(AND(ISNUMBER(SEARCH("平",D5270)),OR(ISNUMBER(SEARCH("上",D5270)),ISNUMBER(SEARCH("去",D5270)),ISNUMBER(SEARCH("入",D5270)))),"Ambiguous",IF(ISNUMBER(SEARCH("平",D5270)),"平","仄")))</x:f>
        <x:v>仄</x:v>
      </x:c>
      <x:c r="L5270" s="7" t="str">
        <x:v>Pingshui main list, Lu Qinli gap fill</x:v>
      </x:c>
    </x:row>
    <x:row r="5271">
      <x:c r="A5271" s="5" t="str">
        <x:v>愜</x:v>
      </x:c>
      <x:c r="B5271" s="6" t="str">
        <x:v>入</x:v>
      </x:c>
      <x:c r="C5271" s="6" t="str">
        <x:f>IF(B5271="","Needs decision","Ready")</x:f>
        <x:v>Ready</x:v>
      </x:c>
      <x:c r="D5271" s="6" t="str">
        <x:v>入</x:v>
      </x:c>
      <x:c r="E5271" s="6" t="str"/>
      <x:c r="F5271" s="6" t="str">
        <x:v>入聲十六葉</x:v>
      </x:c>
      <x:c r="G5271" s="6" t="str">
        <x:v>Pingshui main list, Wikisource-derived DOCX</x:v>
      </x:c>
      <x:c r="H5271" s="6" t="str"/>
      <x:c r="I5271" s="6" t="str">
        <x:v>Lu Qinli gap fill from Pingshui main list; 詞 entries ignored</x:v>
      </x:c>
      <x:c r="J5271" s="6" t="str">
        <x:f>IF(B5271="","",IF(AND(ISNUMBER(SEARCH("平",B5271)),OR(ISNUMBER(SEARCH("上",B5271)),ISNUMBER(SEARCH("去",B5271)),ISNUMBER(SEARCH("入",B5271)))),"Ambiguous",IF(ISNUMBER(SEARCH("平",B5271)),"平","仄")))</x:f>
        <x:v>仄</x:v>
      </x:c>
      <x:c r="K5271" s="6" t="str">
        <x:f>IF(D5271="","",IF(AND(ISNUMBER(SEARCH("平",D5271)),OR(ISNUMBER(SEARCH("上",D5271)),ISNUMBER(SEARCH("去",D5271)),ISNUMBER(SEARCH("入",D5271)))),"Ambiguous",IF(ISNUMBER(SEARCH("平",D5271)),"平","仄")))</x:f>
        <x:v>仄</x:v>
      </x:c>
      <x:c r="L5271" s="7" t="str">
        <x:v>Pingshui main list, Lu Qinli gap fill</x:v>
      </x:c>
    </x:row>
    <x:row r="5272">
      <x:c r="A5272" s="5" t="str">
        <x:v>愨</x:v>
      </x:c>
      <x:c r="B5272" s="6" t="str">
        <x:v>入</x:v>
      </x:c>
      <x:c r="C5272" s="6" t="str">
        <x:f>IF(B5272="","Needs decision","Ready")</x:f>
        <x:v>Ready</x:v>
      </x:c>
      <x:c r="D5272" s="6" t="str">
        <x:v>入</x:v>
      </x:c>
      <x:c r="E5272" s="6" t="str"/>
      <x:c r="F5272" s="6" t="str">
        <x:v>入聲三覺</x:v>
      </x:c>
      <x:c r="G5272" s="6" t="str">
        <x:v>Pingshui main list, Wikisource-derived DOCX</x:v>
      </x:c>
      <x:c r="H5272" s="6" t="str"/>
      <x:c r="I5272" s="6" t="str">
        <x:v>Lu Qinli gap fill from Pingshui main list; 詞 entries ignored</x:v>
      </x:c>
      <x:c r="J5272" s="6" t="str">
        <x:f>IF(B5272="","",IF(AND(ISNUMBER(SEARCH("平",B5272)),OR(ISNUMBER(SEARCH("上",B5272)),ISNUMBER(SEARCH("去",B5272)),ISNUMBER(SEARCH("入",B5272)))),"Ambiguous",IF(ISNUMBER(SEARCH("平",B5272)),"平","仄")))</x:f>
        <x:v>仄</x:v>
      </x:c>
      <x:c r="K5272" s="6" t="str">
        <x:f>IF(D5272="","",IF(AND(ISNUMBER(SEARCH("平",D5272)),OR(ISNUMBER(SEARCH("上",D5272)),ISNUMBER(SEARCH("去",D5272)),ISNUMBER(SEARCH("入",D5272)))),"Ambiguous",IF(ISNUMBER(SEARCH("平",D5272)),"平","仄")))</x:f>
        <x:v>仄</x:v>
      </x:c>
      <x:c r="L5272" s="7" t="str">
        <x:v>Pingshui main list, Lu Qinli gap fill</x:v>
      </x:c>
    </x:row>
    <x:row r="5273">
      <x:c r="A5273" s="5" t="str">
        <x:v>愲</x:v>
      </x:c>
      <x:c r="B5273" s="6" t="str">
        <x:v>入</x:v>
      </x:c>
      <x:c r="C5273" s="6" t="str">
        <x:f>IF(B5273="","Needs decision","Ready")</x:f>
        <x:v>Ready</x:v>
      </x:c>
      <x:c r="D5273" s="6" t="str">
        <x:v>入</x:v>
      </x:c>
      <x:c r="E5273" s="6" t="str"/>
      <x:c r="F5273" s="6" t="str">
        <x:v>入聲六月</x:v>
      </x:c>
      <x:c r="G5273" s="6" t="str">
        <x:v>Pingshui main list, Wikisource-derived DOCX</x:v>
      </x:c>
      <x:c r="H5273" s="6" t="str"/>
      <x:c r="I5273" s="6" t="str">
        <x:v>Lu Qinli gap fill from Pingshui main list; 詞 entries ignored</x:v>
      </x:c>
      <x:c r="J5273" s="6" t="str">
        <x:f>IF(B5273="","",IF(AND(ISNUMBER(SEARCH("平",B5273)),OR(ISNUMBER(SEARCH("上",B5273)),ISNUMBER(SEARCH("去",B5273)),ISNUMBER(SEARCH("入",B5273)))),"Ambiguous",IF(ISNUMBER(SEARCH("平",B5273)),"平","仄")))</x:f>
        <x:v>仄</x:v>
      </x:c>
      <x:c r="K5273" s="6" t="str">
        <x:f>IF(D5273="","",IF(AND(ISNUMBER(SEARCH("平",D5273)),OR(ISNUMBER(SEARCH("上",D5273)),ISNUMBER(SEARCH("去",D5273)),ISNUMBER(SEARCH("入",D5273)))),"Ambiguous",IF(ISNUMBER(SEARCH("平",D5273)),"平","仄")))</x:f>
        <x:v>仄</x:v>
      </x:c>
      <x:c r="L5273" s="7" t="str">
        <x:v>Pingshui main list, Lu Qinli gap fill</x:v>
      </x:c>
    </x:row>
    <x:row r="5274">
      <x:c r="A5274" s="5" t="str">
        <x:v>慅</x:v>
      </x:c>
      <x:c r="B5274" s="6" t="str">
        <x:v>平</x:v>
      </x:c>
      <x:c r="C5274" s="6" t="str">
        <x:f>IF(B5274="","Needs decision","Ready")</x:f>
        <x:v>Ready</x:v>
      </x:c>
      <x:c r="D5274" s="6" t="str">
        <x:v>平</x:v>
      </x:c>
      <x:c r="E5274" s="6" t="str"/>
      <x:c r="F5274" s="6" t="str">
        <x:v>下平聲四豪</x:v>
      </x:c>
      <x:c r="G5274" s="6" t="str">
        <x:v>Pingshui main list, Wikisource-derived DOCX</x:v>
      </x:c>
      <x:c r="H5274" s="6" t="str"/>
      <x:c r="I5274" s="6" t="str">
        <x:v>Lu Qinli gap fill from Pingshui main list; 詞 entries ignored</x:v>
      </x:c>
      <x:c r="J5274" s="6" t="str">
        <x:f>IF(B5274="","",IF(AND(ISNUMBER(SEARCH("平",B5274)),OR(ISNUMBER(SEARCH("上",B5274)),ISNUMBER(SEARCH("去",B5274)),ISNUMBER(SEARCH("入",B5274)))),"Ambiguous",IF(ISNUMBER(SEARCH("平",B5274)),"平","仄")))</x:f>
        <x:v>平</x:v>
      </x:c>
      <x:c r="K5274" s="6" t="str">
        <x:f>IF(D5274="","",IF(AND(ISNUMBER(SEARCH("平",D5274)),OR(ISNUMBER(SEARCH("上",D5274)),ISNUMBER(SEARCH("去",D5274)),ISNUMBER(SEARCH("入",D5274)))),"Ambiguous",IF(ISNUMBER(SEARCH("平",D5274)),"平","仄")))</x:f>
        <x:v>平</x:v>
      </x:c>
      <x:c r="L5274" s="7" t="str">
        <x:v>Pingshui main list, Lu Qinli gap fill</x:v>
      </x:c>
    </x:row>
    <x:row r="5275">
      <x:c r="A5275" s="5" t="str">
        <x:v>慆</x:v>
      </x:c>
      <x:c r="B5275" s="6" t="str">
        <x:v>平</x:v>
      </x:c>
      <x:c r="C5275" s="6" t="str">
        <x:f>IF(B5275="","Needs decision","Ready")</x:f>
        <x:v>Ready</x:v>
      </x:c>
      <x:c r="D5275" s="6" t="str">
        <x:v>平</x:v>
      </x:c>
      <x:c r="E5275" s="6" t="str"/>
      <x:c r="F5275" s="6" t="str">
        <x:v>下平聲四豪</x:v>
      </x:c>
      <x:c r="G5275" s="6" t="str">
        <x:v>Pingshui main list, Wikisource-derived DOCX</x:v>
      </x:c>
      <x:c r="H5275" s="6" t="str"/>
      <x:c r="I5275" s="6" t="str">
        <x:v>Lu Qinli gap fill from Pingshui main list; 詞 entries ignored</x:v>
      </x:c>
      <x:c r="J5275" s="6" t="str">
        <x:f>IF(B5275="","",IF(AND(ISNUMBER(SEARCH("平",B5275)),OR(ISNUMBER(SEARCH("上",B5275)),ISNUMBER(SEARCH("去",B5275)),ISNUMBER(SEARCH("入",B5275)))),"Ambiguous",IF(ISNUMBER(SEARCH("平",B5275)),"平","仄")))</x:f>
        <x:v>平</x:v>
      </x:c>
      <x:c r="K5275" s="6" t="str">
        <x:f>IF(D5275="","",IF(AND(ISNUMBER(SEARCH("平",D5275)),OR(ISNUMBER(SEARCH("上",D5275)),ISNUMBER(SEARCH("去",D5275)),ISNUMBER(SEARCH("入",D5275)))),"Ambiguous",IF(ISNUMBER(SEARCH("平",D5275)),"平","仄")))</x:f>
        <x:v>平</x:v>
      </x:c>
      <x:c r="L5275" s="7" t="str">
        <x:v>Pingshui main list, Lu Qinli gap fill</x:v>
      </x:c>
    </x:row>
    <x:row r="5276">
      <x:c r="A5276" s="5" t="str">
        <x:v>慊</x:v>
      </x:c>
      <x:c r="B5276" s="6" t="str">
        <x:v>上</x:v>
      </x:c>
      <x:c r="C5276" s="6" t="str">
        <x:f>IF(B5276="","Needs decision","Ready")</x:f>
        <x:v>Ready</x:v>
      </x:c>
      <x:c r="D5276" s="6" t="str">
        <x:v>上</x:v>
      </x:c>
      <x:c r="E5276" s="6" t="str"/>
      <x:c r="F5276" s="6" t="str">
        <x:v>上聲二十八琰</x:v>
      </x:c>
      <x:c r="G5276" s="6" t="str">
        <x:v>Pingshui main list, Wikisource-derived DOCX</x:v>
      </x:c>
      <x:c r="H5276" s="6" t="str"/>
      <x:c r="I5276" s="6" t="str">
        <x:v>Lu Qinli gap fill from Pingshui main list; 詞 entries ignored</x:v>
      </x:c>
      <x:c r="J5276" s="6" t="str">
        <x:f>IF(B5276="","",IF(AND(ISNUMBER(SEARCH("平",B5276)),OR(ISNUMBER(SEARCH("上",B5276)),ISNUMBER(SEARCH("去",B5276)),ISNUMBER(SEARCH("入",B5276)))),"Ambiguous",IF(ISNUMBER(SEARCH("平",B5276)),"平","仄")))</x:f>
        <x:v>仄</x:v>
      </x:c>
      <x:c r="K5276" s="6" t="str">
        <x:f>IF(D5276="","",IF(AND(ISNUMBER(SEARCH("平",D5276)),OR(ISNUMBER(SEARCH("上",D5276)),ISNUMBER(SEARCH("去",D5276)),ISNUMBER(SEARCH("入",D5276)))),"Ambiguous",IF(ISNUMBER(SEARCH("平",D5276)),"平","仄")))</x:f>
        <x:v>仄</x:v>
      </x:c>
      <x:c r="L5276" s="7" t="str">
        <x:v>Pingshui main list, Lu Qinli gap fill</x:v>
      </x:c>
    </x:row>
    <x:row r="5277">
      <x:c r="A5277" s="5" t="str">
        <x:v>慍</x:v>
      </x:c>
      <x:c r="B5277" s="6" t="str">
        <x:v>去</x:v>
      </x:c>
      <x:c r="C5277" s="6" t="str">
        <x:f>IF(B5277="","Needs decision","Ready")</x:f>
        <x:v>Ready</x:v>
      </x:c>
      <x:c r="D5277" s="6" t="str">
        <x:v>去</x:v>
      </x:c>
      <x:c r="E5277" s="6" t="str"/>
      <x:c r="F5277" s="6" t="str">
        <x:v>去聲十三問</x:v>
      </x:c>
      <x:c r="G5277" s="6" t="str">
        <x:v>Pingshui main list, Wikisource-derived DOCX</x:v>
      </x:c>
      <x:c r="H5277" s="6" t="str"/>
      <x:c r="I5277" s="6" t="str">
        <x:v>Lu Qinli gap fill from Pingshui main list; 詞 entries ignored</x:v>
      </x:c>
      <x:c r="J5277" s="6" t="str">
        <x:f>IF(B5277="","",IF(AND(ISNUMBER(SEARCH("平",B5277)),OR(ISNUMBER(SEARCH("上",B5277)),ISNUMBER(SEARCH("去",B5277)),ISNUMBER(SEARCH("入",B5277)))),"Ambiguous",IF(ISNUMBER(SEARCH("平",B5277)),"平","仄")))</x:f>
        <x:v>仄</x:v>
      </x:c>
      <x:c r="K5277" s="6" t="str">
        <x:f>IF(D5277="","",IF(AND(ISNUMBER(SEARCH("平",D5277)),OR(ISNUMBER(SEARCH("上",D5277)),ISNUMBER(SEARCH("去",D5277)),ISNUMBER(SEARCH("入",D5277)))),"Ambiguous",IF(ISNUMBER(SEARCH("平",D5277)),"平","仄")))</x:f>
        <x:v>仄</x:v>
      </x:c>
      <x:c r="L5277" s="7" t="str">
        <x:v>Pingshui main list, Lu Qinli gap fill</x:v>
      </x:c>
    </x:row>
    <x:row r="5278">
      <x:c r="A5278" s="5" t="str">
        <x:v>慳</x:v>
      </x:c>
      <x:c r="B5278" s="6" t="str">
        <x:v>平</x:v>
      </x:c>
      <x:c r="C5278" s="6" t="str">
        <x:f>IF(B5278="","Needs decision","Ready")</x:f>
        <x:v>Ready</x:v>
      </x:c>
      <x:c r="D5278" s="6" t="str">
        <x:v>平</x:v>
      </x:c>
      <x:c r="E5278" s="6" t="str"/>
      <x:c r="F5278" s="6" t="str">
        <x:v>上平聲十五刪</x:v>
      </x:c>
      <x:c r="G5278" s="6" t="str">
        <x:v>Pingshui main list, Wikisource-derived DOCX</x:v>
      </x:c>
      <x:c r="H5278" s="6" t="str"/>
      <x:c r="I5278" s="6" t="str">
        <x:v>Lu Qinli gap fill from Pingshui main list; 詞 entries ignored</x:v>
      </x:c>
      <x:c r="J5278" s="6" t="str">
        <x:f>IF(B5278="","",IF(AND(ISNUMBER(SEARCH("平",B5278)),OR(ISNUMBER(SEARCH("上",B5278)),ISNUMBER(SEARCH("去",B5278)),ISNUMBER(SEARCH("入",B5278)))),"Ambiguous",IF(ISNUMBER(SEARCH("平",B5278)),"平","仄")))</x:f>
        <x:v>平</x:v>
      </x:c>
      <x:c r="K5278" s="6" t="str">
        <x:f>IF(D5278="","",IF(AND(ISNUMBER(SEARCH("平",D5278)),OR(ISNUMBER(SEARCH("上",D5278)),ISNUMBER(SEARCH("去",D5278)),ISNUMBER(SEARCH("入",D5278)))),"Ambiguous",IF(ISNUMBER(SEARCH("平",D5278)),"平","仄")))</x:f>
        <x:v>平</x:v>
      </x:c>
      <x:c r="L5278" s="7" t="str">
        <x:v>Pingshui main list, Lu Qinli gap fill</x:v>
      </x:c>
    </x:row>
    <x:row r="5279">
      <x:c r="A5279" s="5" t="str">
        <x:v>慷</x:v>
      </x:c>
      <x:c r="B5279" s="6" t="str">
        <x:v>上</x:v>
      </x:c>
      <x:c r="C5279" s="6" t="str">
        <x:f>IF(B5279="","Needs decision","Ready")</x:f>
        <x:v>Ready</x:v>
      </x:c>
      <x:c r="D5279" s="6" t="str">
        <x:v>上</x:v>
      </x:c>
      <x:c r="E5279" s="6" t="str"/>
      <x:c r="F5279" s="6" t="str">
        <x:v>上聲二十二養</x:v>
      </x:c>
      <x:c r="G5279" s="6" t="str">
        <x:v>Pingshui main list, Wikisource-derived DOCX</x:v>
      </x:c>
      <x:c r="H5279" s="6" t="str"/>
      <x:c r="I5279" s="6" t="str">
        <x:v>Lu Qinli gap fill from Pingshui main list; 詞 entries ignored</x:v>
      </x:c>
      <x:c r="J5279" s="6" t="str">
        <x:f>IF(B5279="","",IF(AND(ISNUMBER(SEARCH("平",B5279)),OR(ISNUMBER(SEARCH("上",B5279)),ISNUMBER(SEARCH("去",B5279)),ISNUMBER(SEARCH("入",B5279)))),"Ambiguous",IF(ISNUMBER(SEARCH("平",B5279)),"平","仄")))</x:f>
        <x:v>仄</x:v>
      </x:c>
      <x:c r="K5279" s="6" t="str">
        <x:f>IF(D5279="","",IF(AND(ISNUMBER(SEARCH("平",D5279)),OR(ISNUMBER(SEARCH("上",D5279)),ISNUMBER(SEARCH("去",D5279)),ISNUMBER(SEARCH("入",D5279)))),"Ambiguous",IF(ISNUMBER(SEARCH("平",D5279)),"平","仄")))</x:f>
        <x:v>仄</x:v>
      </x:c>
      <x:c r="L5279" s="7" t="str">
        <x:v>Pingshui main list, Lu Qinli gap fill</x:v>
      </x:c>
    </x:row>
    <x:row r="5280">
      <x:c r="A5280" s="5" t="str">
        <x:v>慾</x:v>
      </x:c>
      <x:c r="B5280" s="6" t="str">
        <x:v>入</x:v>
      </x:c>
      <x:c r="C5280" s="6" t="str">
        <x:f>IF(B5280="","Needs decision","Ready")</x:f>
        <x:v>Ready</x:v>
      </x:c>
      <x:c r="D5280" s="6" t="str">
        <x:v>入</x:v>
      </x:c>
      <x:c r="E5280" s="6" t="str"/>
      <x:c r="F5280" s="6" t="str">
        <x:v>入聲二沃</x:v>
      </x:c>
      <x:c r="G5280" s="6" t="str">
        <x:v>Pingshui main list, Wikisource-derived DOCX</x:v>
      </x:c>
      <x:c r="H5280" s="6" t="str"/>
      <x:c r="I5280" s="6" t="str">
        <x:v>Lu Qinli gap fill from Pingshui main list; 詞 entries ignored</x:v>
      </x:c>
      <x:c r="J5280" s="6" t="str">
        <x:f>IF(B5280="","",IF(AND(ISNUMBER(SEARCH("平",B5280)),OR(ISNUMBER(SEARCH("上",B5280)),ISNUMBER(SEARCH("去",B5280)),ISNUMBER(SEARCH("入",B5280)))),"Ambiguous",IF(ISNUMBER(SEARCH("平",B5280)),"平","仄")))</x:f>
        <x:v>仄</x:v>
      </x:c>
      <x:c r="K5280" s="6" t="str">
        <x:f>IF(D5280="","",IF(AND(ISNUMBER(SEARCH("平",D5280)),OR(ISNUMBER(SEARCH("上",D5280)),ISNUMBER(SEARCH("去",D5280)),ISNUMBER(SEARCH("入",D5280)))),"Ambiguous",IF(ISNUMBER(SEARCH("平",D5280)),"平","仄")))</x:f>
        <x:v>仄</x:v>
      </x:c>
      <x:c r="L5280" s="7" t="str">
        <x:v>Pingshui main list, Lu Qinli gap fill</x:v>
      </x:c>
    </x:row>
    <x:row r="5281">
      <x:c r="A5281" s="5" t="str">
        <x:v>憊</x:v>
      </x:c>
      <x:c r="B5281" s="6" t="str">
        <x:v>去</x:v>
      </x:c>
      <x:c r="C5281" s="6" t="str">
        <x:f>IF(B5281="","Needs decision","Ready")</x:f>
        <x:v>Ready</x:v>
      </x:c>
      <x:c r="D5281" s="6" t="str">
        <x:v>去</x:v>
      </x:c>
      <x:c r="E5281" s="6" t="str"/>
      <x:c r="F5281" s="6" t="str">
        <x:v>去聲十卦</x:v>
      </x:c>
      <x:c r="G5281" s="6" t="str">
        <x:v>Pingshui main list, Wikisource-derived DOCX</x:v>
      </x:c>
      <x:c r="H5281" s="6" t="str"/>
      <x:c r="I5281" s="6" t="str">
        <x:v>Lu Qinli gap fill from Pingshui main list; 詞 entries ignored</x:v>
      </x:c>
      <x:c r="J5281" s="6" t="str">
        <x:f>IF(B5281="","",IF(AND(ISNUMBER(SEARCH("平",B5281)),OR(ISNUMBER(SEARCH("上",B5281)),ISNUMBER(SEARCH("去",B5281)),ISNUMBER(SEARCH("入",B5281)))),"Ambiguous",IF(ISNUMBER(SEARCH("平",B5281)),"平","仄")))</x:f>
        <x:v>仄</x:v>
      </x:c>
      <x:c r="K5281" s="6" t="str">
        <x:f>IF(D5281="","",IF(AND(ISNUMBER(SEARCH("平",D5281)),OR(ISNUMBER(SEARCH("上",D5281)),ISNUMBER(SEARCH("去",D5281)),ISNUMBER(SEARCH("入",D5281)))),"Ambiguous",IF(ISNUMBER(SEARCH("平",D5281)),"平","仄")))</x:f>
        <x:v>仄</x:v>
      </x:c>
      <x:c r="L5281" s="7" t="str">
        <x:v>Pingshui main list, Lu Qinli gap fill</x:v>
      </x:c>
    </x:row>
    <x:row r="5282">
      <x:c r="A5282" s="5" t="str">
        <x:v>憒</x:v>
      </x:c>
      <x:c r="B5282" s="6" t="str">
        <x:v>去</x:v>
      </x:c>
      <x:c r="C5282" s="6" t="str">
        <x:f>IF(B5282="","Needs decision","Ready")</x:f>
        <x:v>Ready</x:v>
      </x:c>
      <x:c r="D5282" s="6" t="str">
        <x:v>去</x:v>
      </x:c>
      <x:c r="E5282" s="6" t="str"/>
      <x:c r="F5282" s="6" t="str">
        <x:v>去聲十一隊</x:v>
      </x:c>
      <x:c r="G5282" s="6" t="str">
        <x:v>Pingshui main list, Wikisource-derived DOCX</x:v>
      </x:c>
      <x:c r="H5282" s="6" t="str"/>
      <x:c r="I5282" s="6" t="str">
        <x:v>Lu Qinli gap fill from Pingshui main list; 詞 entries ignored</x:v>
      </x:c>
      <x:c r="J5282" s="6" t="str">
        <x:f>IF(B5282="","",IF(AND(ISNUMBER(SEARCH("平",B5282)),OR(ISNUMBER(SEARCH("上",B5282)),ISNUMBER(SEARCH("去",B5282)),ISNUMBER(SEARCH("入",B5282)))),"Ambiguous",IF(ISNUMBER(SEARCH("平",B5282)),"平","仄")))</x:f>
        <x:v>仄</x:v>
      </x:c>
      <x:c r="K5282" s="6" t="str">
        <x:f>IF(D5282="","",IF(AND(ISNUMBER(SEARCH("平",D5282)),OR(ISNUMBER(SEARCH("上",D5282)),ISNUMBER(SEARCH("去",D5282)),ISNUMBER(SEARCH("入",D5282)))),"Ambiguous",IF(ISNUMBER(SEARCH("平",D5282)),"平","仄")))</x:f>
        <x:v>仄</x:v>
      </x:c>
      <x:c r="L5282" s="7" t="str">
        <x:v>Pingshui main list, Lu Qinli gap fill</x:v>
      </x:c>
    </x:row>
    <x:row r="5283">
      <x:c r="A5283" s="5" t="str">
        <x:v>憓</x:v>
      </x:c>
      <x:c r="B5283" s="6" t="str">
        <x:v>去</x:v>
      </x:c>
      <x:c r="C5283" s="6" t="str">
        <x:f>IF(B5283="","Needs decision","Ready")</x:f>
        <x:v>Ready</x:v>
      </x:c>
      <x:c r="D5283" s="6" t="str">
        <x:v>去</x:v>
      </x:c>
      <x:c r="E5283" s="6" t="str"/>
      <x:c r="F5283" s="6" t="str">
        <x:v>去聲八霽</x:v>
      </x:c>
      <x:c r="G5283" s="6" t="str">
        <x:v>Pingshui main list, Wikisource-derived DOCX</x:v>
      </x:c>
      <x:c r="H5283" s="6" t="str"/>
      <x:c r="I5283" s="6" t="str">
        <x:v>Lu Qinli gap fill from Pingshui main list; 詞 entries ignored</x:v>
      </x:c>
      <x:c r="J5283" s="6" t="str">
        <x:f>IF(B5283="","",IF(AND(ISNUMBER(SEARCH("平",B5283)),OR(ISNUMBER(SEARCH("上",B5283)),ISNUMBER(SEARCH("去",B5283)),ISNUMBER(SEARCH("入",B5283)))),"Ambiguous",IF(ISNUMBER(SEARCH("平",B5283)),"平","仄")))</x:f>
        <x:v>仄</x:v>
      </x:c>
      <x:c r="K5283" s="6" t="str">
        <x:f>IF(D5283="","",IF(AND(ISNUMBER(SEARCH("平",D5283)),OR(ISNUMBER(SEARCH("上",D5283)),ISNUMBER(SEARCH("去",D5283)),ISNUMBER(SEARCH("入",D5283)))),"Ambiguous",IF(ISNUMBER(SEARCH("平",D5283)),"平","仄")))</x:f>
        <x:v>仄</x:v>
      </x:c>
      <x:c r="L5283" s="7" t="str">
        <x:v>Pingshui main list, Lu Qinli gap fill</x:v>
      </x:c>
    </x:row>
    <x:row r="5284">
      <x:c r="A5284" s="5" t="str">
        <x:v>憖</x:v>
      </x:c>
      <x:c r="B5284" s="6" t="str">
        <x:v>去</x:v>
      </x:c>
      <x:c r="C5284" s="6" t="str">
        <x:f>IF(B5284="","Needs decision","Ready")</x:f>
        <x:v>Ready</x:v>
      </x:c>
      <x:c r="D5284" s="6" t="str">
        <x:v>去</x:v>
      </x:c>
      <x:c r="E5284" s="6" t="str"/>
      <x:c r="F5284" s="6" t="str">
        <x:v>去聲十二震</x:v>
      </x:c>
      <x:c r="G5284" s="6" t="str">
        <x:v>Pingshui main list, Wikisource-derived DOCX</x:v>
      </x:c>
      <x:c r="H5284" s="6" t="str"/>
      <x:c r="I5284" s="6" t="str">
        <x:v>Lu Qinli gap fill from Pingshui main list; 詞 entries ignored</x:v>
      </x:c>
      <x:c r="J5284" s="6" t="str">
        <x:f>IF(B5284="","",IF(AND(ISNUMBER(SEARCH("平",B5284)),OR(ISNUMBER(SEARCH("上",B5284)),ISNUMBER(SEARCH("去",B5284)),ISNUMBER(SEARCH("入",B5284)))),"Ambiguous",IF(ISNUMBER(SEARCH("平",B5284)),"平","仄")))</x:f>
        <x:v>仄</x:v>
      </x:c>
      <x:c r="K5284" s="6" t="str">
        <x:f>IF(D5284="","",IF(AND(ISNUMBER(SEARCH("平",D5284)),OR(ISNUMBER(SEARCH("上",D5284)),ISNUMBER(SEARCH("去",D5284)),ISNUMBER(SEARCH("入",D5284)))),"Ambiguous",IF(ISNUMBER(SEARCH("平",D5284)),"平","仄")))</x:f>
        <x:v>仄</x:v>
      </x:c>
      <x:c r="L5284" s="7" t="str">
        <x:v>Pingshui main list, Lu Qinli gap fill</x:v>
      </x:c>
    </x:row>
    <x:row r="5285">
      <x:c r="A5285" s="5" t="str">
        <x:v>憚</x:v>
      </x:c>
      <x:c r="B5285" s="6" t="str">
        <x:v>去</x:v>
      </x:c>
      <x:c r="C5285" s="6" t="str">
        <x:f>IF(B5285="","Needs decision","Ready")</x:f>
        <x:v>Ready</x:v>
      </x:c>
      <x:c r="D5285" s="6" t="str">
        <x:v>去</x:v>
      </x:c>
      <x:c r="E5285" s="6" t="str"/>
      <x:c r="F5285" s="6" t="str">
        <x:v>去聲十五翰</x:v>
      </x:c>
      <x:c r="G5285" s="6" t="str">
        <x:v>Pingshui main list, Wikisource-derived DOCX</x:v>
      </x:c>
      <x:c r="H5285" s="6" t="str"/>
      <x:c r="I5285" s="6" t="str">
        <x:v>Lu Qinli gap fill from Pingshui main list; 詞 entries ignored</x:v>
      </x:c>
      <x:c r="J5285" s="6" t="str">
        <x:f>IF(B5285="","",IF(AND(ISNUMBER(SEARCH("平",B5285)),OR(ISNUMBER(SEARCH("上",B5285)),ISNUMBER(SEARCH("去",B5285)),ISNUMBER(SEARCH("入",B5285)))),"Ambiguous",IF(ISNUMBER(SEARCH("平",B5285)),"平","仄")))</x:f>
        <x:v>仄</x:v>
      </x:c>
      <x:c r="K5285" s="6" t="str">
        <x:f>IF(D5285="","",IF(AND(ISNUMBER(SEARCH("平",D5285)),OR(ISNUMBER(SEARCH("上",D5285)),ISNUMBER(SEARCH("去",D5285)),ISNUMBER(SEARCH("入",D5285)))),"Ambiguous",IF(ISNUMBER(SEARCH("平",D5285)),"平","仄")))</x:f>
        <x:v>仄</x:v>
      </x:c>
      <x:c r="L5285" s="7" t="str">
        <x:v>Pingshui main list, Lu Qinli gap fill</x:v>
      </x:c>
    </x:row>
    <x:row r="5286">
      <x:c r="A5286" s="5" t="str">
        <x:v>憬</x:v>
      </x:c>
      <x:c r="B5286" s="6" t="str">
        <x:v>上</x:v>
      </x:c>
      <x:c r="C5286" s="6" t="str">
        <x:f>IF(B5286="","Needs decision","Ready")</x:f>
        <x:v>Ready</x:v>
      </x:c>
      <x:c r="D5286" s="6" t="str">
        <x:v>上</x:v>
      </x:c>
      <x:c r="E5286" s="6" t="str"/>
      <x:c r="F5286" s="6" t="str">
        <x:v>上聲二十三梗</x:v>
      </x:c>
      <x:c r="G5286" s="6" t="str">
        <x:v>Pingshui main list, Wikisource-derived DOCX</x:v>
      </x:c>
      <x:c r="H5286" s="6" t="str"/>
      <x:c r="I5286" s="6" t="str">
        <x:v>Lu Qinli gap fill from Pingshui main list; 詞 entries ignored</x:v>
      </x:c>
      <x:c r="J5286" s="6" t="str">
        <x:f>IF(B5286="","",IF(AND(ISNUMBER(SEARCH("平",B5286)),OR(ISNUMBER(SEARCH("上",B5286)),ISNUMBER(SEARCH("去",B5286)),ISNUMBER(SEARCH("入",B5286)))),"Ambiguous",IF(ISNUMBER(SEARCH("平",B5286)),"平","仄")))</x:f>
        <x:v>仄</x:v>
      </x:c>
      <x:c r="K5286" s="6" t="str">
        <x:f>IF(D5286="","",IF(AND(ISNUMBER(SEARCH("平",D5286)),OR(ISNUMBER(SEARCH("上",D5286)),ISNUMBER(SEARCH("去",D5286)),ISNUMBER(SEARCH("入",D5286)))),"Ambiguous",IF(ISNUMBER(SEARCH("平",D5286)),"平","仄")))</x:f>
        <x:v>仄</x:v>
      </x:c>
      <x:c r="L5286" s="7" t="str">
        <x:v>Pingshui main list, Lu Qinli gap fill</x:v>
      </x:c>
    </x:row>
    <x:row r="5287">
      <x:c r="A5287" s="5" t="str">
        <x:v>憮</x:v>
      </x:c>
      <x:c r="B5287" s="6" t="str"/>
      <x:c r="C5287" s="6" t="str">
        <x:f>IF(B5287="","Needs decision","Ready")</x:f>
        <x:v>Needs decision</x:v>
      </x:c>
      <x:c r="D5287" s="6" t="str">
        <x:v>平/上</x:v>
      </x:c>
      <x:c r="E5287" s="6" t="str"/>
      <x:c r="F5287" s="6" t="str">
        <x:v>上平聲七虞; 上聲七麌</x:v>
      </x:c>
      <x:c r="G5287" s="6" t="str">
        <x:v>Pingshui main list, Wikisource-derived DOCX</x:v>
      </x:c>
      <x:c r="H5287" s="6" t="str"/>
      <x:c r="I5287" s="6" t="str">
        <x:v>Lu Qinli gap fill from Pingshui main list; 詞 entries ignored</x:v>
      </x:c>
      <x:c r="J5287" s="6" t="str">
        <x:f>IF(B5287="","",IF(AND(ISNUMBER(SEARCH("平",B5287)),OR(ISNUMBER(SEARCH("上",B5287)),ISNUMBER(SEARCH("去",B5287)),ISNUMBER(SEARCH("入",B5287)))),"Ambiguous",IF(ISNUMBER(SEARCH("平",B5287)),"平","仄")))</x:f>
      </x:c>
      <x:c r="K5287" s="6" t="str">
        <x:f>IF(D5287="","",IF(AND(ISNUMBER(SEARCH("平",D5287)),OR(ISNUMBER(SEARCH("上",D5287)),ISNUMBER(SEARCH("去",D5287)),ISNUMBER(SEARCH("入",D5287)))),"Ambiguous",IF(ISNUMBER(SEARCH("平",D5287)),"平","仄")))</x:f>
        <x:v>Ambiguous</x:v>
      </x:c>
      <x:c r="L5287" s="7" t="str">
        <x:v>Pingshui main list, Lu Qinli gap fill</x:v>
      </x:c>
    </x:row>
    <x:row r="5288">
      <x:c r="A5288" s="5" t="str">
        <x:v>懇</x:v>
      </x:c>
      <x:c r="B5288" s="6" t="str">
        <x:v>上</x:v>
      </x:c>
      <x:c r="C5288" s="6" t="str">
        <x:f>IF(B5288="","Needs decision","Ready")</x:f>
        <x:v>Ready</x:v>
      </x:c>
      <x:c r="D5288" s="6" t="str">
        <x:v>上</x:v>
      </x:c>
      <x:c r="E5288" s="6" t="str"/>
      <x:c r="F5288" s="6" t="str">
        <x:v>上聲十三阮</x:v>
      </x:c>
      <x:c r="G5288" s="6" t="str">
        <x:v>Pingshui main list, Wikisource-derived DOCX</x:v>
      </x:c>
      <x:c r="H5288" s="6" t="str"/>
      <x:c r="I5288" s="6" t="str">
        <x:v>Lu Qinli gap fill from Pingshui main list; 詞 entries ignored</x:v>
      </x:c>
      <x:c r="J5288" s="6" t="str">
        <x:f>IF(B5288="","",IF(AND(ISNUMBER(SEARCH("平",B5288)),OR(ISNUMBER(SEARCH("上",B5288)),ISNUMBER(SEARCH("去",B5288)),ISNUMBER(SEARCH("入",B5288)))),"Ambiguous",IF(ISNUMBER(SEARCH("平",B5288)),"平","仄")))</x:f>
        <x:v>仄</x:v>
      </x:c>
      <x:c r="K5288" s="6" t="str">
        <x:f>IF(D5288="","",IF(AND(ISNUMBER(SEARCH("平",D5288)),OR(ISNUMBER(SEARCH("上",D5288)),ISNUMBER(SEARCH("去",D5288)),ISNUMBER(SEARCH("入",D5288)))),"Ambiguous",IF(ISNUMBER(SEARCH("平",D5288)),"平","仄")))</x:f>
        <x:v>仄</x:v>
      </x:c>
      <x:c r="L5288" s="7" t="str">
        <x:v>Pingshui main list, Lu Qinli gap fill</x:v>
      </x:c>
    </x:row>
    <x:row r="5289">
      <x:c r="A5289" s="5" t="str">
        <x:v>懊</x:v>
      </x:c>
      <x:c r="B5289" s="6" t="str">
        <x:v>去</x:v>
      </x:c>
      <x:c r="C5289" s="6" t="str">
        <x:f>IF(B5289="","Needs decision","Ready")</x:f>
        <x:v>Ready</x:v>
      </x:c>
      <x:c r="D5289" s="6" t="str">
        <x:v>去</x:v>
      </x:c>
      <x:c r="E5289" s="6" t="str"/>
      <x:c r="F5289" s="6" t="str">
        <x:v>去聲二十號</x:v>
      </x:c>
      <x:c r="G5289" s="6" t="str">
        <x:v>Pingshui main list, Wikisource-derived DOCX</x:v>
      </x:c>
      <x:c r="H5289" s="6" t="str"/>
      <x:c r="I5289" s="6" t="str">
        <x:v>Lu Qinli gap fill from Pingshui main list; 詞 entries ignored</x:v>
      </x:c>
      <x:c r="J5289" s="6" t="str">
        <x:f>IF(B5289="","",IF(AND(ISNUMBER(SEARCH("平",B5289)),OR(ISNUMBER(SEARCH("上",B5289)),ISNUMBER(SEARCH("去",B5289)),ISNUMBER(SEARCH("入",B5289)))),"Ambiguous",IF(ISNUMBER(SEARCH("平",B5289)),"平","仄")))</x:f>
        <x:v>仄</x:v>
      </x:c>
      <x:c r="K5289" s="6" t="str">
        <x:f>IF(D5289="","",IF(AND(ISNUMBER(SEARCH("平",D5289)),OR(ISNUMBER(SEARCH("上",D5289)),ISNUMBER(SEARCH("去",D5289)),ISNUMBER(SEARCH("入",D5289)))),"Ambiguous",IF(ISNUMBER(SEARCH("平",D5289)),"平","仄")))</x:f>
        <x:v>仄</x:v>
      </x:c>
      <x:c r="L5289" s="7" t="str">
        <x:v>Pingshui main list, Lu Qinli gap fill</x:v>
      </x:c>
    </x:row>
    <x:row r="5290">
      <x:c r="A5290" s="5" t="str">
        <x:v>懋</x:v>
      </x:c>
      <x:c r="B5290" s="6" t="str">
        <x:v>去</x:v>
      </x:c>
      <x:c r="C5290" s="6" t="str">
        <x:f>IF(B5290="","Needs decision","Ready")</x:f>
        <x:v>Ready</x:v>
      </x:c>
      <x:c r="D5290" s="6" t="str">
        <x:v>去</x:v>
      </x:c>
      <x:c r="E5290" s="6" t="str"/>
      <x:c r="F5290" s="6" t="str">
        <x:v>去聲二十六宥</x:v>
      </x:c>
      <x:c r="G5290" s="6" t="str">
        <x:v>Pingshui main list, Wikisource-derived DOCX</x:v>
      </x:c>
      <x:c r="H5290" s="6" t="str"/>
      <x:c r="I5290" s="6" t="str">
        <x:v>Lu Qinli gap fill from Pingshui main list; 詞 entries ignored</x:v>
      </x:c>
      <x:c r="J5290" s="6" t="str">
        <x:f>IF(B5290="","",IF(AND(ISNUMBER(SEARCH("平",B5290)),OR(ISNUMBER(SEARCH("上",B5290)),ISNUMBER(SEARCH("去",B5290)),ISNUMBER(SEARCH("入",B5290)))),"Ambiguous",IF(ISNUMBER(SEARCH("平",B5290)),"平","仄")))</x:f>
        <x:v>仄</x:v>
      </x:c>
      <x:c r="K5290" s="6" t="str">
        <x:f>IF(D5290="","",IF(AND(ISNUMBER(SEARCH("平",D5290)),OR(ISNUMBER(SEARCH("上",D5290)),ISNUMBER(SEARCH("去",D5290)),ISNUMBER(SEARCH("入",D5290)))),"Ambiguous",IF(ISNUMBER(SEARCH("平",D5290)),"平","仄")))</x:f>
        <x:v>仄</x:v>
      </x:c>
      <x:c r="L5290" s="7" t="str">
        <x:v>Pingshui main list, Lu Qinli gap fill</x:v>
      </x:c>
    </x:row>
    <x:row r="5291">
      <x:c r="A5291" s="5" t="str">
        <x:v>懌</x:v>
      </x:c>
      <x:c r="B5291" s="6" t="str">
        <x:v>入</x:v>
      </x:c>
      <x:c r="C5291" s="6" t="str">
        <x:f>IF(B5291="","Needs decision","Ready")</x:f>
        <x:v>Ready</x:v>
      </x:c>
      <x:c r="D5291" s="6" t="str">
        <x:v>入</x:v>
      </x:c>
      <x:c r="E5291" s="6" t="str"/>
      <x:c r="F5291" s="6" t="str">
        <x:v>入聲十一陌</x:v>
      </x:c>
      <x:c r="G5291" s="6" t="str">
        <x:v>Pingshui main list, Wikisource-derived DOCX</x:v>
      </x:c>
      <x:c r="H5291" s="6" t="str"/>
      <x:c r="I5291" s="6" t="str">
        <x:v>Lu Qinli gap fill from Pingshui main list; 詞 entries ignored</x:v>
      </x:c>
      <x:c r="J5291" s="6" t="str">
        <x:f>IF(B5291="","",IF(AND(ISNUMBER(SEARCH("平",B5291)),OR(ISNUMBER(SEARCH("上",B5291)),ISNUMBER(SEARCH("去",B5291)),ISNUMBER(SEARCH("入",B5291)))),"Ambiguous",IF(ISNUMBER(SEARCH("平",B5291)),"平","仄")))</x:f>
        <x:v>仄</x:v>
      </x:c>
      <x:c r="K5291" s="6" t="str">
        <x:f>IF(D5291="","",IF(AND(ISNUMBER(SEARCH("平",D5291)),OR(ISNUMBER(SEARCH("上",D5291)),ISNUMBER(SEARCH("去",D5291)),ISNUMBER(SEARCH("入",D5291)))),"Ambiguous",IF(ISNUMBER(SEARCH("平",D5291)),"平","仄")))</x:f>
        <x:v>仄</x:v>
      </x:c>
      <x:c r="L5291" s="7" t="str">
        <x:v>Pingshui main list, Lu Qinli gap fill</x:v>
      </x:c>
    </x:row>
    <x:row r="5292">
      <x:c r="A5292" s="5" t="str">
        <x:v>懍</x:v>
      </x:c>
      <x:c r="B5292" s="6" t="str">
        <x:v>上</x:v>
      </x:c>
      <x:c r="C5292" s="6" t="str">
        <x:f>IF(B5292="","Needs decision","Ready")</x:f>
        <x:v>Ready</x:v>
      </x:c>
      <x:c r="D5292" s="6" t="str">
        <x:v>上</x:v>
      </x:c>
      <x:c r="E5292" s="6" t="str"/>
      <x:c r="F5292" s="6" t="str">
        <x:v>上聲二十六寢</x:v>
      </x:c>
      <x:c r="G5292" s="6" t="str">
        <x:v>Pingshui main list, Wikisource-derived DOCX</x:v>
      </x:c>
      <x:c r="H5292" s="6" t="str"/>
      <x:c r="I5292" s="6" t="str">
        <x:v>Lu Qinli gap fill from Pingshui main list; 詞 entries ignored</x:v>
      </x:c>
      <x:c r="J5292" s="6" t="str">
        <x:f>IF(B5292="","",IF(AND(ISNUMBER(SEARCH("平",B5292)),OR(ISNUMBER(SEARCH("上",B5292)),ISNUMBER(SEARCH("去",B5292)),ISNUMBER(SEARCH("入",B5292)))),"Ambiguous",IF(ISNUMBER(SEARCH("平",B5292)),"平","仄")))</x:f>
        <x:v>仄</x:v>
      </x:c>
      <x:c r="K5292" s="6" t="str">
        <x:f>IF(D5292="","",IF(AND(ISNUMBER(SEARCH("平",D5292)),OR(ISNUMBER(SEARCH("上",D5292)),ISNUMBER(SEARCH("去",D5292)),ISNUMBER(SEARCH("入",D5292)))),"Ambiguous",IF(ISNUMBER(SEARCH("平",D5292)),"平","仄")))</x:f>
        <x:v>仄</x:v>
      </x:c>
      <x:c r="L5292" s="7" t="str">
        <x:v>Pingshui main list, Lu Qinli gap fill</x:v>
      </x:c>
    </x:row>
    <x:row r="5293">
      <x:c r="A5293" s="5" t="str">
        <x:v>懦</x:v>
      </x:c>
      <x:c r="B5293" s="6" t="str">
        <x:v>平</x:v>
      </x:c>
      <x:c r="C5293" s="6" t="str">
        <x:f>IF(B5293="","Needs decision","Ready")</x:f>
        <x:v>Ready</x:v>
      </x:c>
      <x:c r="D5293" s="6" t="str">
        <x:v>平</x:v>
      </x:c>
      <x:c r="E5293" s="6" t="str"/>
      <x:c r="F5293" s="6" t="str">
        <x:v>上平聲七虞</x:v>
      </x:c>
      <x:c r="G5293" s="6" t="str">
        <x:v>Pingshui main list, Wikisource-derived DOCX</x:v>
      </x:c>
      <x:c r="H5293" s="6" t="str"/>
      <x:c r="I5293" s="6" t="str">
        <x:v>Lu Qinli gap fill from Pingshui main list; 詞 entries ignored</x:v>
      </x:c>
      <x:c r="J5293" s="6" t="str">
        <x:f>IF(B5293="","",IF(AND(ISNUMBER(SEARCH("平",B5293)),OR(ISNUMBER(SEARCH("上",B5293)),ISNUMBER(SEARCH("去",B5293)),ISNUMBER(SEARCH("入",B5293)))),"Ambiguous",IF(ISNUMBER(SEARCH("平",B5293)),"平","仄")))</x:f>
        <x:v>平</x:v>
      </x:c>
      <x:c r="K5293" s="6" t="str">
        <x:f>IF(D5293="","",IF(AND(ISNUMBER(SEARCH("平",D5293)),OR(ISNUMBER(SEARCH("上",D5293)),ISNUMBER(SEARCH("去",D5293)),ISNUMBER(SEARCH("入",D5293)))),"Ambiguous",IF(ISNUMBER(SEARCH("平",D5293)),"平","仄")))</x:f>
        <x:v>平</x:v>
      </x:c>
      <x:c r="L5293" s="7" t="str">
        <x:v>Pingshui main list, Lu Qinli gap fill</x:v>
      </x:c>
    </x:row>
    <x:row r="5294">
      <x:c r="A5294" s="5" t="str">
        <x:v>懵</x:v>
      </x:c>
      <x:c r="B5294" s="6" t="str"/>
      <x:c r="C5294" s="6" t="str">
        <x:f>IF(B5294="","Needs decision","Ready")</x:f>
        <x:v>Needs decision</x:v>
      </x:c>
      <x:c r="D5294" s="6" t="str">
        <x:v>平/上</x:v>
      </x:c>
      <x:c r="E5294" s="6" t="str"/>
      <x:c r="F5294" s="6" t="str">
        <x:v>上平聲一東; 上平聲二冬; 上聲一董</x:v>
      </x:c>
      <x:c r="G5294" s="6" t="str">
        <x:v>Pingshui main list, Wikisource-derived DOCX</x:v>
      </x:c>
      <x:c r="H5294" s="6" t="str"/>
      <x:c r="I5294" s="6" t="str">
        <x:v>Lu Qinli gap fill from Pingshui main list; 詞 entries ignored</x:v>
      </x:c>
      <x:c r="J5294" s="6" t="str">
        <x:f>IF(B5294="","",IF(AND(ISNUMBER(SEARCH("平",B5294)),OR(ISNUMBER(SEARCH("上",B5294)),ISNUMBER(SEARCH("去",B5294)),ISNUMBER(SEARCH("入",B5294)))),"Ambiguous",IF(ISNUMBER(SEARCH("平",B5294)),"平","仄")))</x:f>
      </x:c>
      <x:c r="K5294" s="6" t="str">
        <x:f>IF(D5294="","",IF(AND(ISNUMBER(SEARCH("平",D5294)),OR(ISNUMBER(SEARCH("上",D5294)),ISNUMBER(SEARCH("去",D5294)),ISNUMBER(SEARCH("入",D5294)))),"Ambiguous",IF(ISNUMBER(SEARCH("平",D5294)),"平","仄")))</x:f>
        <x:v>Ambiguous</x:v>
      </x:c>
      <x:c r="L5294" s="7" t="str">
        <x:v>Pingshui main list, Lu Qinli gap fill</x:v>
      </x:c>
    </x:row>
    <x:row r="5295">
      <x:c r="A5295" s="5" t="str">
        <x:v>懺</x:v>
      </x:c>
      <x:c r="B5295" s="6" t="str">
        <x:v>去</x:v>
      </x:c>
      <x:c r="C5295" s="6" t="str">
        <x:f>IF(B5295="","Needs decision","Ready")</x:f>
        <x:v>Ready</x:v>
      </x:c>
      <x:c r="D5295" s="6" t="str">
        <x:v>去</x:v>
      </x:c>
      <x:c r="E5295" s="6" t="str"/>
      <x:c r="F5295" s="6" t="str">
        <x:v>去聲三十陷</x:v>
      </x:c>
      <x:c r="G5295" s="6" t="str">
        <x:v>Pingshui main list, Wikisource-derived DOCX</x:v>
      </x:c>
      <x:c r="H5295" s="6" t="str"/>
      <x:c r="I5295" s="6" t="str">
        <x:v>Lu Qinli gap fill from Pingshui main list; 詞 entries ignored</x:v>
      </x:c>
      <x:c r="J5295" s="6" t="str">
        <x:f>IF(B5295="","",IF(AND(ISNUMBER(SEARCH("平",B5295)),OR(ISNUMBER(SEARCH("上",B5295)),ISNUMBER(SEARCH("去",B5295)),ISNUMBER(SEARCH("入",B5295)))),"Ambiguous",IF(ISNUMBER(SEARCH("平",B5295)),"平","仄")))</x:f>
        <x:v>仄</x:v>
      </x:c>
      <x:c r="K5295" s="6" t="str">
        <x:f>IF(D5295="","",IF(AND(ISNUMBER(SEARCH("平",D5295)),OR(ISNUMBER(SEARCH("上",D5295)),ISNUMBER(SEARCH("去",D5295)),ISNUMBER(SEARCH("入",D5295)))),"Ambiguous",IF(ISNUMBER(SEARCH("平",D5295)),"平","仄")))</x:f>
        <x:v>仄</x:v>
      </x:c>
      <x:c r="L5295" s="7" t="str">
        <x:v>Pingshui main list, Lu Qinli gap fill</x:v>
      </x:c>
    </x:row>
    <x:row r="5296">
      <x:c r="A5296" s="5" t="str">
        <x:v>戕</x:v>
      </x:c>
      <x:c r="B5296" s="6" t="str">
        <x:v>平</x:v>
      </x:c>
      <x:c r="C5296" s="6" t="str">
        <x:f>IF(B5296="","Needs decision","Ready")</x:f>
        <x:v>Ready</x:v>
      </x:c>
      <x:c r="D5296" s="6" t="str">
        <x:v>平</x:v>
      </x:c>
      <x:c r="E5296" s="6" t="str"/>
      <x:c r="F5296" s="6" t="str">
        <x:v>下平聲七陽</x:v>
      </x:c>
      <x:c r="G5296" s="6" t="str">
        <x:v>Pingshui main list, Wikisource-derived DOCX</x:v>
      </x:c>
      <x:c r="H5296" s="6" t="str"/>
      <x:c r="I5296" s="6" t="str">
        <x:v>Lu Qinli gap fill from Pingshui main list; 詞 entries ignored</x:v>
      </x:c>
      <x:c r="J5296" s="6" t="str">
        <x:f>IF(B5296="","",IF(AND(ISNUMBER(SEARCH("平",B5296)),OR(ISNUMBER(SEARCH("上",B5296)),ISNUMBER(SEARCH("去",B5296)),ISNUMBER(SEARCH("入",B5296)))),"Ambiguous",IF(ISNUMBER(SEARCH("平",B5296)),"平","仄")))</x:f>
        <x:v>平</x:v>
      </x:c>
      <x:c r="K5296" s="6" t="str">
        <x:f>IF(D5296="","",IF(AND(ISNUMBER(SEARCH("平",D5296)),OR(ISNUMBER(SEARCH("上",D5296)),ISNUMBER(SEARCH("去",D5296)),ISNUMBER(SEARCH("入",D5296)))),"Ambiguous",IF(ISNUMBER(SEARCH("平",D5296)),"平","仄")))</x:f>
        <x:v>平</x:v>
      </x:c>
      <x:c r="L5296" s="7" t="str">
        <x:v>Pingshui main list, Lu Qinli gap fill</x:v>
      </x:c>
    </x:row>
    <x:row r="5297">
      <x:c r="A5297" s="5" t="str">
        <x:v>戢</x:v>
      </x:c>
      <x:c r="B5297" s="6" t="str">
        <x:v>入</x:v>
      </x:c>
      <x:c r="C5297" s="6" t="str">
        <x:f>IF(B5297="","Needs decision","Ready")</x:f>
        <x:v>Ready</x:v>
      </x:c>
      <x:c r="D5297" s="6" t="str">
        <x:v>入</x:v>
      </x:c>
      <x:c r="E5297" s="6" t="str"/>
      <x:c r="F5297" s="6" t="str">
        <x:v>入聲十四緝</x:v>
      </x:c>
      <x:c r="G5297" s="6" t="str">
        <x:v>Pingshui main list, Wikisource-derived DOCX</x:v>
      </x:c>
      <x:c r="H5297" s="6" t="str"/>
      <x:c r="I5297" s="6" t="str">
        <x:v>Lu Qinli gap fill from Pingshui main list; 詞 entries ignored</x:v>
      </x:c>
      <x:c r="J5297" s="6" t="str">
        <x:f>IF(B5297="","",IF(AND(ISNUMBER(SEARCH("平",B5297)),OR(ISNUMBER(SEARCH("上",B5297)),ISNUMBER(SEARCH("去",B5297)),ISNUMBER(SEARCH("入",B5297)))),"Ambiguous",IF(ISNUMBER(SEARCH("平",B5297)),"平","仄")))</x:f>
        <x:v>仄</x:v>
      </x:c>
      <x:c r="K5297" s="6" t="str">
        <x:f>IF(D5297="","",IF(AND(ISNUMBER(SEARCH("平",D5297)),OR(ISNUMBER(SEARCH("上",D5297)),ISNUMBER(SEARCH("去",D5297)),ISNUMBER(SEARCH("入",D5297)))),"Ambiguous",IF(ISNUMBER(SEARCH("平",D5297)),"平","仄")))</x:f>
        <x:v>仄</x:v>
      </x:c>
      <x:c r="L5297" s="7" t="str">
        <x:v>Pingshui main list, Lu Qinli gap fill</x:v>
      </x:c>
    </x:row>
    <x:row r="5298">
      <x:c r="A5298" s="5" t="str">
        <x:v>戩</x:v>
      </x:c>
      <x:c r="B5298" s="6" t="str">
        <x:v>上</x:v>
      </x:c>
      <x:c r="C5298" s="6" t="str">
        <x:f>IF(B5298="","Needs decision","Ready")</x:f>
        <x:v>Ready</x:v>
      </x:c>
      <x:c r="D5298" s="6" t="str">
        <x:v>上</x:v>
      </x:c>
      <x:c r="E5298" s="6" t="str"/>
      <x:c r="F5298" s="6" t="str">
        <x:v>上聲十六銑</x:v>
      </x:c>
      <x:c r="G5298" s="6" t="str">
        <x:v>Pingshui main list, Wikisource-derived DOCX</x:v>
      </x:c>
      <x:c r="H5298" s="6" t="str"/>
      <x:c r="I5298" s="6" t="str">
        <x:v>Lu Qinli gap fill from Pingshui main list; 詞 entries ignored</x:v>
      </x:c>
      <x:c r="J5298" s="6" t="str">
        <x:f>IF(B5298="","",IF(AND(ISNUMBER(SEARCH("平",B5298)),OR(ISNUMBER(SEARCH("上",B5298)),ISNUMBER(SEARCH("去",B5298)),ISNUMBER(SEARCH("入",B5298)))),"Ambiguous",IF(ISNUMBER(SEARCH("平",B5298)),"平","仄")))</x:f>
        <x:v>仄</x:v>
      </x:c>
      <x:c r="K5298" s="6" t="str">
        <x:f>IF(D5298="","",IF(AND(ISNUMBER(SEARCH("平",D5298)),OR(ISNUMBER(SEARCH("上",D5298)),ISNUMBER(SEARCH("去",D5298)),ISNUMBER(SEARCH("入",D5298)))),"Ambiguous",IF(ISNUMBER(SEARCH("平",D5298)),"平","仄")))</x:f>
        <x:v>仄</x:v>
      </x:c>
      <x:c r="L5298" s="7" t="str">
        <x:v>Pingshui main list, Lu Qinli gap fill</x:v>
      </x:c>
    </x:row>
    <x:row r="5299">
      <x:c r="A5299" s="5" t="str">
        <x:v>戺</x:v>
      </x:c>
      <x:c r="B5299" s="6" t="str">
        <x:v>上</x:v>
      </x:c>
      <x:c r="C5299" s="6" t="str">
        <x:f>IF(B5299="","Needs decision","Ready")</x:f>
        <x:v>Ready</x:v>
      </x:c>
      <x:c r="D5299" s="6" t="str">
        <x:v>上</x:v>
      </x:c>
      <x:c r="E5299" s="6" t="str"/>
      <x:c r="F5299" s="6" t="str">
        <x:v>上聲四紙</x:v>
      </x:c>
      <x:c r="G5299" s="6" t="str">
        <x:v>Pingshui main list, Wikisource-derived DOCX</x:v>
      </x:c>
      <x:c r="H5299" s="6" t="str"/>
      <x:c r="I5299" s="6" t="str">
        <x:v>Lu Qinli gap fill from Pingshui main list; 詞 entries ignored</x:v>
      </x:c>
      <x:c r="J5299" s="6" t="str">
        <x:f>IF(B5299="","",IF(AND(ISNUMBER(SEARCH("平",B5299)),OR(ISNUMBER(SEARCH("上",B5299)),ISNUMBER(SEARCH("去",B5299)),ISNUMBER(SEARCH("入",B5299)))),"Ambiguous",IF(ISNUMBER(SEARCH("平",B5299)),"平","仄")))</x:f>
        <x:v>仄</x:v>
      </x:c>
      <x:c r="K5299" s="6" t="str">
        <x:f>IF(D5299="","",IF(AND(ISNUMBER(SEARCH("平",D5299)),OR(ISNUMBER(SEARCH("上",D5299)),ISNUMBER(SEARCH("去",D5299)),ISNUMBER(SEARCH("入",D5299)))),"Ambiguous",IF(ISNUMBER(SEARCH("平",D5299)),"平","仄")))</x:f>
        <x:v>仄</x:v>
      </x:c>
      <x:c r="L5299" s="7" t="str">
        <x:v>Pingshui main list, Lu Qinli gap fill</x:v>
      </x:c>
    </x:row>
    <x:row r="5300">
      <x:c r="A5300" s="5" t="str">
        <x:v>扆</x:v>
      </x:c>
      <x:c r="B5300" s="6" t="str">
        <x:v>上</x:v>
      </x:c>
      <x:c r="C5300" s="6" t="str">
        <x:f>IF(B5300="","Needs decision","Ready")</x:f>
        <x:v>Ready</x:v>
      </x:c>
      <x:c r="D5300" s="6" t="str">
        <x:v>上</x:v>
      </x:c>
      <x:c r="E5300" s="6" t="str"/>
      <x:c r="F5300" s="6" t="str">
        <x:v>上聲五尾</x:v>
      </x:c>
      <x:c r="G5300" s="6" t="str">
        <x:v>Pingshui main list, Wikisource-derived DOCX</x:v>
      </x:c>
      <x:c r="H5300" s="6" t="str"/>
      <x:c r="I5300" s="6" t="str">
        <x:v>Lu Qinli gap fill from Pingshui main list; 詞 entries ignored</x:v>
      </x:c>
      <x:c r="J5300" s="6" t="str">
        <x:f>IF(B5300="","",IF(AND(ISNUMBER(SEARCH("平",B5300)),OR(ISNUMBER(SEARCH("上",B5300)),ISNUMBER(SEARCH("去",B5300)),ISNUMBER(SEARCH("入",B5300)))),"Ambiguous",IF(ISNUMBER(SEARCH("平",B5300)),"平","仄")))</x:f>
        <x:v>仄</x:v>
      </x:c>
      <x:c r="K5300" s="6" t="str">
        <x:f>IF(D5300="","",IF(AND(ISNUMBER(SEARCH("平",D5300)),OR(ISNUMBER(SEARCH("上",D5300)),ISNUMBER(SEARCH("去",D5300)),ISNUMBER(SEARCH("入",D5300)))),"Ambiguous",IF(ISNUMBER(SEARCH("平",D5300)),"平","仄")))</x:f>
        <x:v>仄</x:v>
      </x:c>
      <x:c r="L5300" s="7" t="str">
        <x:v>Pingshui main list, Lu Qinli gap fill</x:v>
      </x:c>
    </x:row>
    <x:row r="5301">
      <x:c r="A5301" s="5" t="str">
        <x:v>扔</x:v>
      </x:c>
      <x:c r="B5301" s="6" t="str">
        <x:v>平</x:v>
      </x:c>
      <x:c r="C5301" s="6" t="str">
        <x:f>IF(B5301="","Needs decision","Ready")</x:f>
        <x:v>Ready</x:v>
      </x:c>
      <x:c r="D5301" s="6" t="str">
        <x:v>平</x:v>
      </x:c>
      <x:c r="E5301" s="6" t="str"/>
      <x:c r="F5301" s="6" t="str">
        <x:v>下平聲十蒸</x:v>
      </x:c>
      <x:c r="G5301" s="6" t="str">
        <x:v>Pingshui main list, Wikisource-derived DOCX</x:v>
      </x:c>
      <x:c r="H5301" s="6" t="str"/>
      <x:c r="I5301" s="6" t="str">
        <x:v>Lu Qinli gap fill from Pingshui main list; 詞 entries ignored</x:v>
      </x:c>
      <x:c r="J5301" s="6" t="str">
        <x:f>IF(B5301="","",IF(AND(ISNUMBER(SEARCH("平",B5301)),OR(ISNUMBER(SEARCH("上",B5301)),ISNUMBER(SEARCH("去",B5301)),ISNUMBER(SEARCH("入",B5301)))),"Ambiguous",IF(ISNUMBER(SEARCH("平",B5301)),"平","仄")))</x:f>
        <x:v>平</x:v>
      </x:c>
      <x:c r="K5301" s="6" t="str">
        <x:f>IF(D5301="","",IF(AND(ISNUMBER(SEARCH("平",D5301)),OR(ISNUMBER(SEARCH("上",D5301)),ISNUMBER(SEARCH("去",D5301)),ISNUMBER(SEARCH("入",D5301)))),"Ambiguous",IF(ISNUMBER(SEARCH("平",D5301)),"平","仄")))</x:f>
        <x:v>平</x:v>
      </x:c>
      <x:c r="L5301" s="7" t="str">
        <x:v>Pingshui main list, Lu Qinli gap fill</x:v>
      </x:c>
    </x:row>
    <x:row r="5302">
      <x:c r="A5302" s="5" t="str">
        <x:v>扛</x:v>
      </x:c>
      <x:c r="B5302" s="6" t="str">
        <x:v>平</x:v>
      </x:c>
      <x:c r="C5302" s="6" t="str">
        <x:f>IF(B5302="","Needs decision","Ready")</x:f>
        <x:v>Ready</x:v>
      </x:c>
      <x:c r="D5302" s="6" t="str">
        <x:v>平</x:v>
      </x:c>
      <x:c r="E5302" s="6" t="str"/>
      <x:c r="F5302" s="6" t="str">
        <x:v>上平聲三江</x:v>
      </x:c>
      <x:c r="G5302" s="6" t="str">
        <x:v>Pingshui main list, Wikisource-derived DOCX</x:v>
      </x:c>
      <x:c r="H5302" s="6" t="str"/>
      <x:c r="I5302" s="6" t="str">
        <x:v>Lu Qinli gap fill from Pingshui main list; 詞 entries ignored</x:v>
      </x:c>
      <x:c r="J5302" s="6" t="str">
        <x:f>IF(B5302="","",IF(AND(ISNUMBER(SEARCH("平",B5302)),OR(ISNUMBER(SEARCH("上",B5302)),ISNUMBER(SEARCH("去",B5302)),ISNUMBER(SEARCH("入",B5302)))),"Ambiguous",IF(ISNUMBER(SEARCH("平",B5302)),"平","仄")))</x:f>
        <x:v>平</x:v>
      </x:c>
      <x:c r="K5302" s="6" t="str">
        <x:f>IF(D5302="","",IF(AND(ISNUMBER(SEARCH("平",D5302)),OR(ISNUMBER(SEARCH("上",D5302)),ISNUMBER(SEARCH("去",D5302)),ISNUMBER(SEARCH("入",D5302)))),"Ambiguous",IF(ISNUMBER(SEARCH("平",D5302)),"平","仄")))</x:f>
        <x:v>平</x:v>
      </x:c>
      <x:c r="L5302" s="7" t="str">
        <x:v>Pingshui main list, Lu Qinli gap fill</x:v>
      </x:c>
    </x:row>
    <x:row r="5303">
      <x:c r="A5303" s="5" t="str">
        <x:v>扢</x:v>
      </x:c>
      <x:c r="B5303" s="6" t="str">
        <x:v>入</x:v>
      </x:c>
      <x:c r="C5303" s="6" t="str">
        <x:f>IF(B5303="","Needs decision","Ready")</x:f>
        <x:v>Ready</x:v>
      </x:c>
      <x:c r="D5303" s="6" t="str">
        <x:v>入</x:v>
      </x:c>
      <x:c r="E5303" s="6" t="str"/>
      <x:c r="F5303" s="6" t="str">
        <x:v>入聲六月</x:v>
      </x:c>
      <x:c r="G5303" s="6" t="str">
        <x:v>Pingshui main list, Wikisource-derived DOCX</x:v>
      </x:c>
      <x:c r="H5303" s="6" t="str"/>
      <x:c r="I5303" s="6" t="str">
        <x:v>Lu Qinli gap fill from Pingshui main list; 詞 entries ignored</x:v>
      </x:c>
      <x:c r="J5303" s="6" t="str">
        <x:f>IF(B5303="","",IF(AND(ISNUMBER(SEARCH("平",B5303)),OR(ISNUMBER(SEARCH("上",B5303)),ISNUMBER(SEARCH("去",B5303)),ISNUMBER(SEARCH("入",B5303)))),"Ambiguous",IF(ISNUMBER(SEARCH("平",B5303)),"平","仄")))</x:f>
        <x:v>仄</x:v>
      </x:c>
      <x:c r="K5303" s="6" t="str">
        <x:f>IF(D5303="","",IF(AND(ISNUMBER(SEARCH("平",D5303)),OR(ISNUMBER(SEARCH("上",D5303)),ISNUMBER(SEARCH("去",D5303)),ISNUMBER(SEARCH("入",D5303)))),"Ambiguous",IF(ISNUMBER(SEARCH("平",D5303)),"平","仄")))</x:f>
        <x:v>仄</x:v>
      </x:c>
      <x:c r="L5303" s="7" t="str">
        <x:v>Pingshui main list, Lu Qinli gap fill</x:v>
      </x:c>
    </x:row>
    <x:row r="5304">
      <x:c r="A5304" s="5" t="str">
        <x:v>扣</x:v>
      </x:c>
      <x:c r="B5304" s="6" t="str"/>
      <x:c r="C5304" s="6" t="str">
        <x:f>IF(B5304="","Needs decision","Ready")</x:f>
        <x:v>Needs decision</x:v>
      </x:c>
      <x:c r="D5304" s="6" t="str">
        <x:v>上/去</x:v>
      </x:c>
      <x:c r="E5304" s="6" t="str"/>
      <x:c r="F5304" s="6" t="str">
        <x:v>上聲二十五有; 去聲二十六宥</x:v>
      </x:c>
      <x:c r="G5304" s="6" t="str">
        <x:v>Pingshui main list, Wikisource-derived DOCX</x:v>
      </x:c>
      <x:c r="H5304" s="6" t="str"/>
      <x:c r="I5304" s="6" t="str">
        <x:v>Lu Qinli gap fill from Pingshui main list; 詞 entries ignored</x:v>
      </x:c>
      <x:c r="J5304" s="6" t="str">
        <x:f>IF(B5304="","",IF(AND(ISNUMBER(SEARCH("平",B5304)),OR(ISNUMBER(SEARCH("上",B5304)),ISNUMBER(SEARCH("去",B5304)),ISNUMBER(SEARCH("入",B5304)))),"Ambiguous",IF(ISNUMBER(SEARCH("平",B5304)),"平","仄")))</x:f>
      </x:c>
      <x:c r="K5304" s="6" t="str">
        <x:f>IF(D5304="","",IF(AND(ISNUMBER(SEARCH("平",D5304)),OR(ISNUMBER(SEARCH("上",D5304)),ISNUMBER(SEARCH("去",D5304)),ISNUMBER(SEARCH("入",D5304)))),"Ambiguous",IF(ISNUMBER(SEARCH("平",D5304)),"平","仄")))</x:f>
        <x:v>仄</x:v>
      </x:c>
      <x:c r="L5304" s="7" t="str">
        <x:v>Pingshui main list, Lu Qinli gap fill</x:v>
      </x:c>
    </x:row>
    <x:row r="5305">
      <x:c r="A5305" s="5" t="str">
        <x:v>扤</x:v>
      </x:c>
      <x:c r="B5305" s="6" t="str">
        <x:v>入</x:v>
      </x:c>
      <x:c r="C5305" s="6" t="str">
        <x:f>IF(B5305="","Needs decision","Ready")</x:f>
        <x:v>Ready</x:v>
      </x:c>
      <x:c r="D5305" s="6" t="str">
        <x:v>入</x:v>
      </x:c>
      <x:c r="E5305" s="6" t="str"/>
      <x:c r="F5305" s="6" t="str">
        <x:v>入聲六月</x:v>
      </x:c>
      <x:c r="G5305" s="6" t="str">
        <x:v>Pingshui main list, Wikisource-derived DOCX</x:v>
      </x:c>
      <x:c r="H5305" s="6" t="str"/>
      <x:c r="I5305" s="6" t="str">
        <x:v>Lu Qinli gap fill from Pingshui main list; 詞 entries ignored</x:v>
      </x:c>
      <x:c r="J5305" s="6" t="str">
        <x:f>IF(B5305="","",IF(AND(ISNUMBER(SEARCH("平",B5305)),OR(ISNUMBER(SEARCH("上",B5305)),ISNUMBER(SEARCH("去",B5305)),ISNUMBER(SEARCH("入",B5305)))),"Ambiguous",IF(ISNUMBER(SEARCH("平",B5305)),"平","仄")))</x:f>
        <x:v>仄</x:v>
      </x:c>
      <x:c r="K5305" s="6" t="str">
        <x:f>IF(D5305="","",IF(AND(ISNUMBER(SEARCH("平",D5305)),OR(ISNUMBER(SEARCH("上",D5305)),ISNUMBER(SEARCH("去",D5305)),ISNUMBER(SEARCH("入",D5305)))),"Ambiguous",IF(ISNUMBER(SEARCH("平",D5305)),"平","仄")))</x:f>
        <x:v>仄</x:v>
      </x:c>
      <x:c r="L5305" s="7" t="str">
        <x:v>Pingshui main list, Lu Qinli gap fill</x:v>
      </x:c>
    </x:row>
    <x:row r="5306">
      <x:c r="A5306" s="5" t="str">
        <x:v>批</x:v>
      </x:c>
      <x:c r="B5306" s="6" t="str"/>
      <x:c r="C5306" s="6" t="str">
        <x:f>IF(B5306="","Needs decision","Ready")</x:f>
        <x:v>Needs decision</x:v>
      </x:c>
      <x:c r="D5306" s="6" t="str">
        <x:v>平/入</x:v>
      </x:c>
      <x:c r="E5306" s="6" t="str"/>
      <x:c r="F5306" s="6" t="str">
        <x:v>上平聲八齊; 入聲九屑</x:v>
      </x:c>
      <x:c r="G5306" s="6" t="str">
        <x:v>Pingshui main list, Wikisource-derived DOCX</x:v>
      </x:c>
      <x:c r="H5306" s="6" t="str"/>
      <x:c r="I5306" s="6" t="str">
        <x:v>Lu Qinli gap fill from Pingshui main list; 詞 entries ignored</x:v>
      </x:c>
      <x:c r="J5306" s="6" t="str">
        <x:f>IF(B5306="","",IF(AND(ISNUMBER(SEARCH("平",B5306)),OR(ISNUMBER(SEARCH("上",B5306)),ISNUMBER(SEARCH("去",B5306)),ISNUMBER(SEARCH("入",B5306)))),"Ambiguous",IF(ISNUMBER(SEARCH("平",B5306)),"平","仄")))</x:f>
      </x:c>
      <x:c r="K5306" s="6" t="str">
        <x:f>IF(D5306="","",IF(AND(ISNUMBER(SEARCH("平",D5306)),OR(ISNUMBER(SEARCH("上",D5306)),ISNUMBER(SEARCH("去",D5306)),ISNUMBER(SEARCH("入",D5306)))),"Ambiguous",IF(ISNUMBER(SEARCH("平",D5306)),"平","仄")))</x:f>
        <x:v>Ambiguous</x:v>
      </x:c>
      <x:c r="L5306" s="7" t="str">
        <x:v>Pingshui main list, Lu Qinli gap fill</x:v>
      </x:c>
    </x:row>
    <x:row r="5307">
      <x:c r="A5307" s="5" t="str">
        <x:v>抆</x:v>
      </x:c>
      <x:c r="B5307" s="6" t="str">
        <x:v>去</x:v>
      </x:c>
      <x:c r="C5307" s="6" t="str">
        <x:f>IF(B5307="","Needs decision","Ready")</x:f>
        <x:v>Ready</x:v>
      </x:c>
      <x:c r="D5307" s="6" t="str">
        <x:v>去</x:v>
      </x:c>
      <x:c r="E5307" s="6" t="str"/>
      <x:c r="F5307" s="6" t="str">
        <x:v>去聲十三問</x:v>
      </x:c>
      <x:c r="G5307" s="6" t="str">
        <x:v>Pingshui main list, Wikisource-derived DOCX</x:v>
      </x:c>
      <x:c r="H5307" s="6" t="str"/>
      <x:c r="I5307" s="6" t="str">
        <x:v>Lu Qinli gap fill from Pingshui main list; 詞 entries ignored</x:v>
      </x:c>
      <x:c r="J5307" s="6" t="str">
        <x:f>IF(B5307="","",IF(AND(ISNUMBER(SEARCH("平",B5307)),OR(ISNUMBER(SEARCH("上",B5307)),ISNUMBER(SEARCH("去",B5307)),ISNUMBER(SEARCH("入",B5307)))),"Ambiguous",IF(ISNUMBER(SEARCH("平",B5307)),"平","仄")))</x:f>
        <x:v>仄</x:v>
      </x:c>
      <x:c r="K5307" s="6" t="str">
        <x:f>IF(D5307="","",IF(AND(ISNUMBER(SEARCH("平",D5307)),OR(ISNUMBER(SEARCH("上",D5307)),ISNUMBER(SEARCH("去",D5307)),ISNUMBER(SEARCH("入",D5307)))),"Ambiguous",IF(ISNUMBER(SEARCH("平",D5307)),"平","仄")))</x:f>
        <x:v>仄</x:v>
      </x:c>
      <x:c r="L5307" s="7" t="str">
        <x:v>Pingshui main list, Lu Qinli gap fill</x:v>
      </x:c>
    </x:row>
    <x:row r="5308">
      <x:c r="A5308" s="5" t="str">
        <x:v>抔</x:v>
      </x:c>
      <x:c r="B5308" s="6" t="str">
        <x:v>平</x:v>
      </x:c>
      <x:c r="C5308" s="6" t="str">
        <x:f>IF(B5308="","Needs decision","Ready")</x:f>
        <x:v>Ready</x:v>
      </x:c>
      <x:c r="D5308" s="6" t="str">
        <x:v>平</x:v>
      </x:c>
      <x:c r="E5308" s="6" t="str"/>
      <x:c r="F5308" s="6" t="str">
        <x:v>下平聲十一尤</x:v>
      </x:c>
      <x:c r="G5308" s="6" t="str">
        <x:v>Pingshui main list, Wikisource-derived DOCX</x:v>
      </x:c>
      <x:c r="H5308" s="6" t="str"/>
      <x:c r="I5308" s="6" t="str">
        <x:v>Lu Qinli gap fill from Pingshui main list; 詞 entries ignored</x:v>
      </x:c>
      <x:c r="J5308" s="6" t="str">
        <x:f>IF(B5308="","",IF(AND(ISNUMBER(SEARCH("平",B5308)),OR(ISNUMBER(SEARCH("上",B5308)),ISNUMBER(SEARCH("去",B5308)),ISNUMBER(SEARCH("入",B5308)))),"Ambiguous",IF(ISNUMBER(SEARCH("平",B5308)),"平","仄")))</x:f>
        <x:v>平</x:v>
      </x:c>
      <x:c r="K5308" s="6" t="str">
        <x:f>IF(D5308="","",IF(AND(ISNUMBER(SEARCH("平",D5308)),OR(ISNUMBER(SEARCH("上",D5308)),ISNUMBER(SEARCH("去",D5308)),ISNUMBER(SEARCH("入",D5308)))),"Ambiguous",IF(ISNUMBER(SEARCH("平",D5308)),"平","仄")))</x:f>
        <x:v>平</x:v>
      </x:c>
      <x:c r="L5308" s="7" t="str">
        <x:v>Pingshui main list, Lu Qinli gap fill</x:v>
      </x:c>
    </x:row>
    <x:row r="5309">
      <x:c r="A5309" s="5" t="str">
        <x:v>抨</x:v>
      </x:c>
      <x:c r="B5309" s="6" t="str">
        <x:v>平</x:v>
      </x:c>
      <x:c r="C5309" s="6" t="str">
        <x:f>IF(B5309="","Needs decision","Ready")</x:f>
        <x:v>Ready</x:v>
      </x:c>
      <x:c r="D5309" s="6" t="str">
        <x:v>平</x:v>
      </x:c>
      <x:c r="E5309" s="6" t="str"/>
      <x:c r="F5309" s="6" t="str">
        <x:v>下平聲八庚</x:v>
      </x:c>
      <x:c r="G5309" s="6" t="str">
        <x:v>Pingshui main list, Wikisource-derived DOCX</x:v>
      </x:c>
      <x:c r="H5309" s="6" t="str"/>
      <x:c r="I5309" s="6" t="str">
        <x:v>Lu Qinli gap fill from Pingshui main list; 詞 entries ignored</x:v>
      </x:c>
      <x:c r="J5309" s="6" t="str">
        <x:f>IF(B5309="","",IF(AND(ISNUMBER(SEARCH("平",B5309)),OR(ISNUMBER(SEARCH("上",B5309)),ISNUMBER(SEARCH("去",B5309)),ISNUMBER(SEARCH("入",B5309)))),"Ambiguous",IF(ISNUMBER(SEARCH("平",B5309)),"平","仄")))</x:f>
        <x:v>平</x:v>
      </x:c>
      <x:c r="K5309" s="6" t="str">
        <x:f>IF(D5309="","",IF(AND(ISNUMBER(SEARCH("平",D5309)),OR(ISNUMBER(SEARCH("上",D5309)),ISNUMBER(SEARCH("去",D5309)),ISNUMBER(SEARCH("入",D5309)))),"Ambiguous",IF(ISNUMBER(SEARCH("平",D5309)),"平","仄")))</x:f>
        <x:v>平</x:v>
      </x:c>
      <x:c r="L5309" s="7" t="str">
        <x:v>Pingshui main list, Lu Qinli gap fill</x:v>
      </x:c>
    </x:row>
    <x:row r="5310">
      <x:c r="A5310" s="5" t="str">
        <x:v>拊</x:v>
      </x:c>
      <x:c r="B5310" s="6" t="str">
        <x:v>上</x:v>
      </x:c>
      <x:c r="C5310" s="6" t="str">
        <x:f>IF(B5310="","Needs decision","Ready")</x:f>
        <x:v>Ready</x:v>
      </x:c>
      <x:c r="D5310" s="6" t="str">
        <x:v>上</x:v>
      </x:c>
      <x:c r="E5310" s="6" t="str"/>
      <x:c r="F5310" s="6" t="str">
        <x:v>上聲七麌</x:v>
      </x:c>
      <x:c r="G5310" s="6" t="str">
        <x:v>Pingshui main list, Wikisource-derived DOCX</x:v>
      </x:c>
      <x:c r="H5310" s="6" t="str"/>
      <x:c r="I5310" s="6" t="str">
        <x:v>Lu Qinli gap fill from Pingshui main list; 詞 entries ignored</x:v>
      </x:c>
      <x:c r="J5310" s="6" t="str">
        <x:f>IF(B5310="","",IF(AND(ISNUMBER(SEARCH("平",B5310)),OR(ISNUMBER(SEARCH("上",B5310)),ISNUMBER(SEARCH("去",B5310)),ISNUMBER(SEARCH("入",B5310)))),"Ambiguous",IF(ISNUMBER(SEARCH("平",B5310)),"平","仄")))</x:f>
        <x:v>仄</x:v>
      </x:c>
      <x:c r="K5310" s="6" t="str">
        <x:f>IF(D5310="","",IF(AND(ISNUMBER(SEARCH("平",D5310)),OR(ISNUMBER(SEARCH("上",D5310)),ISNUMBER(SEARCH("去",D5310)),ISNUMBER(SEARCH("入",D5310)))),"Ambiguous",IF(ISNUMBER(SEARCH("平",D5310)),"平","仄")))</x:f>
        <x:v>仄</x:v>
      </x:c>
      <x:c r="L5310" s="7" t="str">
        <x:v>Pingshui main list, Lu Qinli gap fill</x:v>
      </x:c>
    </x:row>
    <x:row r="5311">
      <x:c r="A5311" s="5" t="str">
        <x:v>拋</x:v>
      </x:c>
      <x:c r="B5311" s="6" t="str">
        <x:v>平</x:v>
      </x:c>
      <x:c r="C5311" s="6" t="str">
        <x:f>IF(B5311="","Needs decision","Ready")</x:f>
        <x:v>Ready</x:v>
      </x:c>
      <x:c r="D5311" s="6" t="str">
        <x:v>平</x:v>
      </x:c>
      <x:c r="E5311" s="6" t="str"/>
      <x:c r="F5311" s="6" t="str">
        <x:v>下平聲三肴</x:v>
      </x:c>
      <x:c r="G5311" s="6" t="str">
        <x:v>Pingshui main list, Wikisource-derived DOCX</x:v>
      </x:c>
      <x:c r="H5311" s="6" t="str"/>
      <x:c r="I5311" s="6" t="str">
        <x:v>Lu Qinli gap fill from Pingshui main list; 詞 entries ignored</x:v>
      </x:c>
      <x:c r="J5311" s="6" t="str">
        <x:f>IF(B5311="","",IF(AND(ISNUMBER(SEARCH("平",B5311)),OR(ISNUMBER(SEARCH("上",B5311)),ISNUMBER(SEARCH("去",B5311)),ISNUMBER(SEARCH("入",B5311)))),"Ambiguous",IF(ISNUMBER(SEARCH("平",B5311)),"平","仄")))</x:f>
        <x:v>平</x:v>
      </x:c>
      <x:c r="K5311" s="6" t="str">
        <x:f>IF(D5311="","",IF(AND(ISNUMBER(SEARCH("平",D5311)),OR(ISNUMBER(SEARCH("上",D5311)),ISNUMBER(SEARCH("去",D5311)),ISNUMBER(SEARCH("入",D5311)))),"Ambiguous",IF(ISNUMBER(SEARCH("平",D5311)),"平","仄")))</x:f>
        <x:v>平</x:v>
      </x:c>
      <x:c r="L5311" s="7" t="str">
        <x:v>Pingshui main list, Lu Qinli gap fill</x:v>
      </x:c>
    </x:row>
    <x:row r="5312">
      <x:c r="A5312" s="5" t="str">
        <x:v>拌</x:v>
      </x:c>
      <x:c r="B5312" s="6" t="str">
        <x:v>平</x:v>
      </x:c>
      <x:c r="C5312" s="6" t="str">
        <x:f>IF(B5312="","Needs decision","Ready")</x:f>
        <x:v>Ready</x:v>
      </x:c>
      <x:c r="D5312" s="6" t="str">
        <x:v>平</x:v>
      </x:c>
      <x:c r="E5312" s="6" t="str"/>
      <x:c r="F5312" s="6" t="str">
        <x:v>上平聲十四寒</x:v>
      </x:c>
      <x:c r="G5312" s="6" t="str">
        <x:v>Pingshui main list, Wikisource-derived DOCX</x:v>
      </x:c>
      <x:c r="H5312" s="6" t="str"/>
      <x:c r="I5312" s="6" t="str">
        <x:v>Lu Qinli gap fill from Pingshui main list; 詞 entries ignored</x:v>
      </x:c>
      <x:c r="J5312" s="6" t="str">
        <x:f>IF(B5312="","",IF(AND(ISNUMBER(SEARCH("平",B5312)),OR(ISNUMBER(SEARCH("上",B5312)),ISNUMBER(SEARCH("去",B5312)),ISNUMBER(SEARCH("入",B5312)))),"Ambiguous",IF(ISNUMBER(SEARCH("平",B5312)),"平","仄")))</x:f>
        <x:v>平</x:v>
      </x:c>
      <x:c r="K5312" s="6" t="str">
        <x:f>IF(D5312="","",IF(AND(ISNUMBER(SEARCH("平",D5312)),OR(ISNUMBER(SEARCH("上",D5312)),ISNUMBER(SEARCH("去",D5312)),ISNUMBER(SEARCH("入",D5312)))),"Ambiguous",IF(ISNUMBER(SEARCH("平",D5312)),"平","仄")))</x:f>
        <x:v>平</x:v>
      </x:c>
      <x:c r="L5312" s="7" t="str">
        <x:v>Pingshui main list, Lu Qinli gap fill</x:v>
      </x:c>
    </x:row>
    <x:row r="5313">
      <x:c r="A5313" s="5" t="str">
        <x:v>拓</x:v>
      </x:c>
      <x:c r="B5313" s="6" t="str">
        <x:v>入</x:v>
      </x:c>
      <x:c r="C5313" s="6" t="str">
        <x:f>IF(B5313="","Needs decision","Ready")</x:f>
        <x:v>Ready</x:v>
      </x:c>
      <x:c r="D5313" s="6" t="str">
        <x:v>入</x:v>
      </x:c>
      <x:c r="E5313" s="6" t="str"/>
      <x:c r="F5313" s="6" t="str">
        <x:v>入聲十藥</x:v>
      </x:c>
      <x:c r="G5313" s="6" t="str">
        <x:v>Pingshui main list, Wikisource-derived DOCX</x:v>
      </x:c>
      <x:c r="H5313" s="6" t="str"/>
      <x:c r="I5313" s="6" t="str">
        <x:v>Lu Qinli gap fill from Pingshui main list; 詞 entries ignored</x:v>
      </x:c>
      <x:c r="J5313" s="6" t="str">
        <x:f>IF(B5313="","",IF(AND(ISNUMBER(SEARCH("平",B5313)),OR(ISNUMBER(SEARCH("上",B5313)),ISNUMBER(SEARCH("去",B5313)),ISNUMBER(SEARCH("入",B5313)))),"Ambiguous",IF(ISNUMBER(SEARCH("平",B5313)),"平","仄")))</x:f>
        <x:v>仄</x:v>
      </x:c>
      <x:c r="K5313" s="6" t="str">
        <x:f>IF(D5313="","",IF(AND(ISNUMBER(SEARCH("平",D5313)),OR(ISNUMBER(SEARCH("上",D5313)),ISNUMBER(SEARCH("去",D5313)),ISNUMBER(SEARCH("入",D5313)))),"Ambiguous",IF(ISNUMBER(SEARCH("平",D5313)),"平","仄")))</x:f>
        <x:v>仄</x:v>
      </x:c>
      <x:c r="L5313" s="7" t="str">
        <x:v>Pingshui main list, Lu Qinli gap fill</x:v>
      </x:c>
    </x:row>
    <x:row r="5314">
      <x:c r="A5314" s="5" t="str">
        <x:v>拗</x:v>
      </x:c>
      <x:c r="B5314" s="6" t="str"/>
      <x:c r="C5314" s="6" t="str">
        <x:f>IF(B5314="","Needs decision","Ready")</x:f>
        <x:v>Needs decision</x:v>
      </x:c>
      <x:c r="D5314" s="6" t="str">
        <x:v>上/去</x:v>
      </x:c>
      <x:c r="E5314" s="6" t="str"/>
      <x:c r="F5314" s="6" t="str">
        <x:v>上聲十八巧; 去聲十九效</x:v>
      </x:c>
      <x:c r="G5314" s="6" t="str">
        <x:v>Pingshui main list, Wikisource-derived DOCX</x:v>
      </x:c>
      <x:c r="H5314" s="6" t="str"/>
      <x:c r="I5314" s="6" t="str">
        <x:v>Lu Qinli gap fill from Pingshui main list; 詞 entries ignored</x:v>
      </x:c>
      <x:c r="J5314" s="6" t="str">
        <x:f>IF(B5314="","",IF(AND(ISNUMBER(SEARCH("平",B5314)),OR(ISNUMBER(SEARCH("上",B5314)),ISNUMBER(SEARCH("去",B5314)),ISNUMBER(SEARCH("入",B5314)))),"Ambiguous",IF(ISNUMBER(SEARCH("平",B5314)),"平","仄")))</x:f>
      </x:c>
      <x:c r="K5314" s="6" t="str">
        <x:f>IF(D5314="","",IF(AND(ISNUMBER(SEARCH("平",D5314)),OR(ISNUMBER(SEARCH("上",D5314)),ISNUMBER(SEARCH("去",D5314)),ISNUMBER(SEARCH("入",D5314)))),"Ambiguous",IF(ISNUMBER(SEARCH("平",D5314)),"平","仄")))</x:f>
        <x:v>仄</x:v>
      </x:c>
      <x:c r="L5314" s="7" t="str">
        <x:v>Pingshui main list, Lu Qinli gap fill</x:v>
      </x:c>
    </x:row>
    <x:row r="5315">
      <x:c r="A5315" s="5" t="str">
        <x:v>拘</x:v>
      </x:c>
      <x:c r="B5315" s="6" t="str">
        <x:v>平</x:v>
      </x:c>
      <x:c r="C5315" s="6" t="str">
        <x:f>IF(B5315="","Needs decision","Ready")</x:f>
        <x:v>Ready</x:v>
      </x:c>
      <x:c r="D5315" s="6" t="str">
        <x:v>平</x:v>
      </x:c>
      <x:c r="E5315" s="6" t="str"/>
      <x:c r="F5315" s="6" t="str">
        <x:v>上平聲七虞</x:v>
      </x:c>
      <x:c r="G5315" s="6" t="str">
        <x:v>Pingshui main list, Wikisource-derived DOCX</x:v>
      </x:c>
      <x:c r="H5315" s="6" t="str"/>
      <x:c r="I5315" s="6" t="str">
        <x:v>Lu Qinli gap fill from Pingshui main list; 詞 entries ignored</x:v>
      </x:c>
      <x:c r="J5315" s="6" t="str">
        <x:f>IF(B5315="","",IF(AND(ISNUMBER(SEARCH("平",B5315)),OR(ISNUMBER(SEARCH("上",B5315)),ISNUMBER(SEARCH("去",B5315)),ISNUMBER(SEARCH("入",B5315)))),"Ambiguous",IF(ISNUMBER(SEARCH("平",B5315)),"平","仄")))</x:f>
        <x:v>平</x:v>
      </x:c>
      <x:c r="K5315" s="6" t="str">
        <x:f>IF(D5315="","",IF(AND(ISNUMBER(SEARCH("平",D5315)),OR(ISNUMBER(SEARCH("上",D5315)),ISNUMBER(SEARCH("去",D5315)),ISNUMBER(SEARCH("入",D5315)))),"Ambiguous",IF(ISNUMBER(SEARCH("平",D5315)),"平","仄")))</x:f>
        <x:v>平</x:v>
      </x:c>
      <x:c r="L5315" s="7" t="str">
        <x:v>Pingshui main list, Lu Qinli gap fill</x:v>
      </x:c>
    </x:row>
    <x:row r="5316">
      <x:c r="A5316" s="5" t="str">
        <x:v>括</x:v>
      </x:c>
      <x:c r="B5316" s="6" t="str">
        <x:v>入</x:v>
      </x:c>
      <x:c r="C5316" s="6" t="str">
        <x:f>IF(B5316="","Needs decision","Ready")</x:f>
        <x:v>Ready</x:v>
      </x:c>
      <x:c r="D5316" s="6" t="str">
        <x:v>入</x:v>
      </x:c>
      <x:c r="E5316" s="6" t="str"/>
      <x:c r="F5316" s="6" t="str">
        <x:v>入聲七曷</x:v>
      </x:c>
      <x:c r="G5316" s="6" t="str">
        <x:v>Pingshui main list, Wikisource-derived DOCX</x:v>
      </x:c>
      <x:c r="H5316" s="6" t="str"/>
      <x:c r="I5316" s="6" t="str">
        <x:v>Lu Qinli gap fill from Pingshui main list; 詞 entries ignored</x:v>
      </x:c>
      <x:c r="J5316" s="6" t="str">
        <x:f>IF(B5316="","",IF(AND(ISNUMBER(SEARCH("平",B5316)),OR(ISNUMBER(SEARCH("上",B5316)),ISNUMBER(SEARCH("去",B5316)),ISNUMBER(SEARCH("入",B5316)))),"Ambiguous",IF(ISNUMBER(SEARCH("平",B5316)),"平","仄")))</x:f>
        <x:v>仄</x:v>
      </x:c>
      <x:c r="K5316" s="6" t="str">
        <x:f>IF(D5316="","",IF(AND(ISNUMBER(SEARCH("平",D5316)),OR(ISNUMBER(SEARCH("上",D5316)),ISNUMBER(SEARCH("去",D5316)),ISNUMBER(SEARCH("入",D5316)))),"Ambiguous",IF(ISNUMBER(SEARCH("平",D5316)),"平","仄")))</x:f>
        <x:v>仄</x:v>
      </x:c>
      <x:c r="L5316" s="7" t="str">
        <x:v>Pingshui main list, Lu Qinli gap fill</x:v>
      </x:c>
    </x:row>
    <x:row r="5317">
      <x:c r="A5317" s="5" t="str">
        <x:v>挈</x:v>
      </x:c>
      <x:c r="B5317" s="6" t="str">
        <x:v>入</x:v>
      </x:c>
      <x:c r="C5317" s="6" t="str">
        <x:f>IF(B5317="","Needs decision","Ready")</x:f>
        <x:v>Ready</x:v>
      </x:c>
      <x:c r="D5317" s="6" t="str">
        <x:v>入</x:v>
      </x:c>
      <x:c r="E5317" s="6" t="str"/>
      <x:c r="F5317" s="6" t="str">
        <x:v>入聲九屑</x:v>
      </x:c>
      <x:c r="G5317" s="6" t="str">
        <x:v>Pingshui main list, Wikisource-derived DOCX</x:v>
      </x:c>
      <x:c r="H5317" s="6" t="str"/>
      <x:c r="I5317" s="6" t="str">
        <x:v>Lu Qinli gap fill from Pingshui main list; 詞 entries ignored</x:v>
      </x:c>
      <x:c r="J5317" s="6" t="str">
        <x:f>IF(B5317="","",IF(AND(ISNUMBER(SEARCH("平",B5317)),OR(ISNUMBER(SEARCH("上",B5317)),ISNUMBER(SEARCH("去",B5317)),ISNUMBER(SEARCH("入",B5317)))),"Ambiguous",IF(ISNUMBER(SEARCH("平",B5317)),"平","仄")))</x:f>
        <x:v>仄</x:v>
      </x:c>
      <x:c r="K5317" s="6" t="str">
        <x:f>IF(D5317="","",IF(AND(ISNUMBER(SEARCH("平",D5317)),OR(ISNUMBER(SEARCH("上",D5317)),ISNUMBER(SEARCH("去",D5317)),ISNUMBER(SEARCH("入",D5317)))),"Ambiguous",IF(ISNUMBER(SEARCH("平",D5317)),"平","仄")))</x:f>
        <x:v>仄</x:v>
      </x:c>
      <x:c r="L5317" s="7" t="str">
        <x:v>Pingshui main list, Lu Qinli gap fill</x:v>
      </x:c>
    </x:row>
    <x:row r="5318">
      <x:c r="A5318" s="5" t="str">
        <x:v>挫</x:v>
      </x:c>
      <x:c r="B5318" s="6" t="str">
        <x:v>去</x:v>
      </x:c>
      <x:c r="C5318" s="6" t="str">
        <x:f>IF(B5318="","Needs decision","Ready")</x:f>
        <x:v>Ready</x:v>
      </x:c>
      <x:c r="D5318" s="6" t="str">
        <x:v>去</x:v>
      </x:c>
      <x:c r="E5318" s="6" t="str"/>
      <x:c r="F5318" s="6" t="str">
        <x:v>去聲二十一箇</x:v>
      </x:c>
      <x:c r="G5318" s="6" t="str">
        <x:v>Pingshui main list, Wikisource-derived DOCX</x:v>
      </x:c>
      <x:c r="H5318" s="6" t="str"/>
      <x:c r="I5318" s="6" t="str">
        <x:v>Lu Qinli gap fill from Pingshui main list; 詞 entries ignored</x:v>
      </x:c>
      <x:c r="J5318" s="6" t="str">
        <x:f>IF(B5318="","",IF(AND(ISNUMBER(SEARCH("平",B5318)),OR(ISNUMBER(SEARCH("上",B5318)),ISNUMBER(SEARCH("去",B5318)),ISNUMBER(SEARCH("入",B5318)))),"Ambiguous",IF(ISNUMBER(SEARCH("平",B5318)),"平","仄")))</x:f>
        <x:v>仄</x:v>
      </x:c>
      <x:c r="K5318" s="6" t="str">
        <x:f>IF(D5318="","",IF(AND(ISNUMBER(SEARCH("平",D5318)),OR(ISNUMBER(SEARCH("上",D5318)),ISNUMBER(SEARCH("去",D5318)),ISNUMBER(SEARCH("入",D5318)))),"Ambiguous",IF(ISNUMBER(SEARCH("平",D5318)),"平","仄")))</x:f>
        <x:v>仄</x:v>
      </x:c>
      <x:c r="L5318" s="7" t="str">
        <x:v>Pingshui main list, Lu Qinli gap fill</x:v>
      </x:c>
    </x:row>
    <x:row r="5319">
      <x:c r="A5319" s="5" t="str">
        <x:v>捄</x:v>
      </x:c>
      <x:c r="B5319" s="6" t="str">
        <x:v>平</x:v>
      </x:c>
      <x:c r="C5319" s="6" t="str">
        <x:f>IF(B5319="","Needs decision","Ready")</x:f>
        <x:v>Ready</x:v>
      </x:c>
      <x:c r="D5319" s="6" t="str">
        <x:v>平</x:v>
      </x:c>
      <x:c r="E5319" s="6" t="str"/>
      <x:c r="F5319" s="6" t="str">
        <x:v>上平聲七虞; 下平聲十一尤</x:v>
      </x:c>
      <x:c r="G5319" s="6" t="str">
        <x:v>Pingshui main list, Wikisource-derived DOCX</x:v>
      </x:c>
      <x:c r="H5319" s="6" t="str"/>
      <x:c r="I5319" s="6" t="str">
        <x:v>Lu Qinli gap fill from Pingshui main list; 詞 entries ignored</x:v>
      </x:c>
      <x:c r="J5319" s="6" t="str">
        <x:f>IF(B5319="","",IF(AND(ISNUMBER(SEARCH("平",B5319)),OR(ISNUMBER(SEARCH("上",B5319)),ISNUMBER(SEARCH("去",B5319)),ISNUMBER(SEARCH("入",B5319)))),"Ambiguous",IF(ISNUMBER(SEARCH("平",B5319)),"平","仄")))</x:f>
        <x:v>平</x:v>
      </x:c>
      <x:c r="K5319" s="6" t="str">
        <x:f>IF(D5319="","",IF(AND(ISNUMBER(SEARCH("平",D5319)),OR(ISNUMBER(SEARCH("上",D5319)),ISNUMBER(SEARCH("去",D5319)),ISNUMBER(SEARCH("入",D5319)))),"Ambiguous",IF(ISNUMBER(SEARCH("平",D5319)),"平","仄")))</x:f>
        <x:v>平</x:v>
      </x:c>
      <x:c r="L5319" s="7" t="str">
        <x:v>Pingshui main list, Lu Qinli gap fill</x:v>
      </x:c>
    </x:row>
    <x:row r="5320">
      <x:c r="A5320" s="5" t="str">
        <x:v>捕</x:v>
      </x:c>
      <x:c r="B5320" s="6" t="str">
        <x:v>去</x:v>
      </x:c>
      <x:c r="C5320" s="6" t="str">
        <x:f>IF(B5320="","Needs decision","Ready")</x:f>
        <x:v>Ready</x:v>
      </x:c>
      <x:c r="D5320" s="6" t="str">
        <x:v>去</x:v>
      </x:c>
      <x:c r="E5320" s="6" t="str"/>
      <x:c r="F5320" s="6" t="str">
        <x:v>去聲七遇</x:v>
      </x:c>
      <x:c r="G5320" s="6" t="str">
        <x:v>Pingshui main list, Wikisource-derived DOCX</x:v>
      </x:c>
      <x:c r="H5320" s="6" t="str"/>
      <x:c r="I5320" s="6" t="str">
        <x:v>Lu Qinli gap fill from Pingshui main list; 詞 entries ignored</x:v>
      </x:c>
      <x:c r="J5320" s="6" t="str">
        <x:f>IF(B5320="","",IF(AND(ISNUMBER(SEARCH("平",B5320)),OR(ISNUMBER(SEARCH("上",B5320)),ISNUMBER(SEARCH("去",B5320)),ISNUMBER(SEARCH("入",B5320)))),"Ambiguous",IF(ISNUMBER(SEARCH("平",B5320)),"平","仄")))</x:f>
        <x:v>仄</x:v>
      </x:c>
      <x:c r="K5320" s="6" t="str">
        <x:f>IF(D5320="","",IF(AND(ISNUMBER(SEARCH("平",D5320)),OR(ISNUMBER(SEARCH("上",D5320)),ISNUMBER(SEARCH("去",D5320)),ISNUMBER(SEARCH("入",D5320)))),"Ambiguous",IF(ISNUMBER(SEARCH("平",D5320)),"平","仄")))</x:f>
        <x:v>仄</x:v>
      </x:c>
      <x:c r="L5320" s="7" t="str">
        <x:v>Pingshui main list, Lu Qinli gap fill</x:v>
      </x:c>
    </x:row>
    <x:row r="5321">
      <x:c r="A5321" s="5" t="str">
        <x:v>捩</x:v>
      </x:c>
      <x:c r="B5321" s="6" t="str"/>
      <x:c r="C5321" s="6" t="str">
        <x:f>IF(B5321="","Needs decision","Ready")</x:f>
        <x:v>Needs decision</x:v>
      </x:c>
      <x:c r="D5321" s="6" t="str">
        <x:v>去/入</x:v>
      </x:c>
      <x:c r="E5321" s="6" t="str"/>
      <x:c r="F5321" s="6" t="str">
        <x:v>去聲八霽; 入聲九屑</x:v>
      </x:c>
      <x:c r="G5321" s="6" t="str">
        <x:v>Pingshui main list, Wikisource-derived DOCX</x:v>
      </x:c>
      <x:c r="H5321" s="6" t="str"/>
      <x:c r="I5321" s="6" t="str">
        <x:v>Lu Qinli gap fill from Pingshui main list; 詞 entries ignored</x:v>
      </x:c>
      <x:c r="J5321" s="6" t="str">
        <x:f>IF(B5321="","",IF(AND(ISNUMBER(SEARCH("平",B5321)),OR(ISNUMBER(SEARCH("上",B5321)),ISNUMBER(SEARCH("去",B5321)),ISNUMBER(SEARCH("入",B5321)))),"Ambiguous",IF(ISNUMBER(SEARCH("平",B5321)),"平","仄")))</x:f>
      </x:c>
      <x:c r="K5321" s="6" t="str">
        <x:f>IF(D5321="","",IF(AND(ISNUMBER(SEARCH("平",D5321)),OR(ISNUMBER(SEARCH("上",D5321)),ISNUMBER(SEARCH("去",D5321)),ISNUMBER(SEARCH("入",D5321)))),"Ambiguous",IF(ISNUMBER(SEARCH("平",D5321)),"平","仄")))</x:f>
        <x:v>仄</x:v>
      </x:c>
      <x:c r="L5321" s="7" t="str">
        <x:v>Pingshui main list, Lu Qinli gap fill</x:v>
      </x:c>
    </x:row>
    <x:row r="5322">
      <x:c r="A5322" s="5" t="str">
        <x:v>捻</x:v>
      </x:c>
      <x:c r="B5322" s="6" t="str">
        <x:v>入</x:v>
      </x:c>
      <x:c r="C5322" s="6" t="str">
        <x:f>IF(B5322="","Needs decision","Ready")</x:f>
        <x:v>Ready</x:v>
      </x:c>
      <x:c r="D5322" s="6" t="str">
        <x:v>入</x:v>
      </x:c>
      <x:c r="E5322" s="6" t="str"/>
      <x:c r="F5322" s="6" t="str">
        <x:v>入聲十六葉</x:v>
      </x:c>
      <x:c r="G5322" s="6" t="str">
        <x:v>Pingshui main list, Wikisource-derived DOCX</x:v>
      </x:c>
      <x:c r="H5322" s="6" t="str"/>
      <x:c r="I5322" s="6" t="str">
        <x:v>Lu Qinli gap fill from Pingshui main list; 詞 entries ignored</x:v>
      </x:c>
      <x:c r="J5322" s="6" t="str">
        <x:f>IF(B5322="","",IF(AND(ISNUMBER(SEARCH("平",B5322)),OR(ISNUMBER(SEARCH("上",B5322)),ISNUMBER(SEARCH("去",B5322)),ISNUMBER(SEARCH("入",B5322)))),"Ambiguous",IF(ISNUMBER(SEARCH("平",B5322)),"平","仄")))</x:f>
        <x:v>仄</x:v>
      </x:c>
      <x:c r="K5322" s="6" t="str">
        <x:f>IF(D5322="","",IF(AND(ISNUMBER(SEARCH("平",D5322)),OR(ISNUMBER(SEARCH("上",D5322)),ISNUMBER(SEARCH("去",D5322)),ISNUMBER(SEARCH("入",D5322)))),"Ambiguous",IF(ISNUMBER(SEARCH("平",D5322)),"平","仄")))</x:f>
        <x:v>仄</x:v>
      </x:c>
      <x:c r="L5322" s="7" t="str">
        <x:v>Pingshui main list, Lu Qinli gap fill</x:v>
      </x:c>
    </x:row>
    <x:row r="5323">
      <x:c r="A5323" s="5" t="str">
        <x:v>掉</x:v>
      </x:c>
      <x:c r="B5323" s="6" t="str"/>
      <x:c r="C5323" s="6" t="str">
        <x:f>IF(B5323="","Needs decision","Ready")</x:f>
        <x:v>Needs decision</x:v>
      </x:c>
      <x:c r="D5323" s="6" t="str">
        <x:v>上/去</x:v>
      </x:c>
      <x:c r="E5323" s="6" t="str"/>
      <x:c r="F5323" s="6" t="str">
        <x:v>上聲十七篠; 去聲十八嘯</x:v>
      </x:c>
      <x:c r="G5323" s="6" t="str">
        <x:v>Pingshui main list, Wikisource-derived DOCX</x:v>
      </x:c>
      <x:c r="H5323" s="6" t="str"/>
      <x:c r="I5323" s="6" t="str">
        <x:v>Lu Qinli gap fill from Pingshui main list; 詞 entries ignored</x:v>
      </x:c>
      <x:c r="J5323" s="6" t="str">
        <x:f>IF(B5323="","",IF(AND(ISNUMBER(SEARCH("平",B5323)),OR(ISNUMBER(SEARCH("上",B5323)),ISNUMBER(SEARCH("去",B5323)),ISNUMBER(SEARCH("入",B5323)))),"Ambiguous",IF(ISNUMBER(SEARCH("平",B5323)),"平","仄")))</x:f>
      </x:c>
      <x:c r="K5323" s="6" t="str">
        <x:f>IF(D5323="","",IF(AND(ISNUMBER(SEARCH("平",D5323)),OR(ISNUMBER(SEARCH("上",D5323)),ISNUMBER(SEARCH("去",D5323)),ISNUMBER(SEARCH("入",D5323)))),"Ambiguous",IF(ISNUMBER(SEARCH("平",D5323)),"平","仄")))</x:f>
        <x:v>仄</x:v>
      </x:c>
      <x:c r="L5323" s="7" t="str">
        <x:v>Pingshui main list, Lu Qinli gap fill</x:v>
      </x:c>
    </x:row>
    <x:row r="5324">
      <x:c r="A5324" s="5" t="str">
        <x:v>掊</x:v>
      </x:c>
      <x:c r="B5324" s="6" t="str"/>
      <x:c r="C5324" s="6" t="str">
        <x:f>IF(B5324="","Needs decision","Ready")</x:f>
        <x:v>Needs decision</x:v>
      </x:c>
      <x:c r="D5324" s="6" t="str">
        <x:v>平/上</x:v>
      </x:c>
      <x:c r="E5324" s="6" t="str"/>
      <x:c r="F5324" s="6" t="str">
        <x:v>下平聲三肴; 上聲二十五有</x:v>
      </x:c>
      <x:c r="G5324" s="6" t="str">
        <x:v>Pingshui main list, Wikisource-derived DOCX</x:v>
      </x:c>
      <x:c r="H5324" s="6" t="str"/>
      <x:c r="I5324" s="6" t="str">
        <x:v>Lu Qinli gap fill from Pingshui main list; 詞 entries ignored</x:v>
      </x:c>
      <x:c r="J5324" s="6" t="str">
        <x:f>IF(B5324="","",IF(AND(ISNUMBER(SEARCH("平",B5324)),OR(ISNUMBER(SEARCH("上",B5324)),ISNUMBER(SEARCH("去",B5324)),ISNUMBER(SEARCH("入",B5324)))),"Ambiguous",IF(ISNUMBER(SEARCH("平",B5324)),"平","仄")))</x:f>
      </x:c>
      <x:c r="K5324" s="6" t="str">
        <x:f>IF(D5324="","",IF(AND(ISNUMBER(SEARCH("平",D5324)),OR(ISNUMBER(SEARCH("上",D5324)),ISNUMBER(SEARCH("去",D5324)),ISNUMBER(SEARCH("入",D5324)))),"Ambiguous",IF(ISNUMBER(SEARCH("平",D5324)),"平","仄")))</x:f>
        <x:v>Ambiguous</x:v>
      </x:c>
      <x:c r="L5324" s="7" t="str">
        <x:v>Pingshui main list, Lu Qinli gap fill</x:v>
      </x:c>
    </x:row>
    <x:row r="5325">
      <x:c r="A5325" s="5" t="str">
        <x:v>掞</x:v>
      </x:c>
      <x:c r="B5325" s="6" t="str">
        <x:v>去</x:v>
      </x:c>
      <x:c r="C5325" s="6" t="str">
        <x:f>IF(B5325="","Needs decision","Ready")</x:f>
        <x:v>Ready</x:v>
      </x:c>
      <x:c r="D5325" s="6" t="str">
        <x:v>去</x:v>
      </x:c>
      <x:c r="E5325" s="6" t="str"/>
      <x:c r="F5325" s="6" t="str">
        <x:v>去聲二十九豔</x:v>
      </x:c>
      <x:c r="G5325" s="6" t="str">
        <x:v>Pingshui main list, Wikisource-derived DOCX</x:v>
      </x:c>
      <x:c r="H5325" s="6" t="str"/>
      <x:c r="I5325" s="6" t="str">
        <x:v>Lu Qinli gap fill from Pingshui main list; 詞 entries ignored</x:v>
      </x:c>
      <x:c r="J5325" s="6" t="str">
        <x:f>IF(B5325="","",IF(AND(ISNUMBER(SEARCH("平",B5325)),OR(ISNUMBER(SEARCH("上",B5325)),ISNUMBER(SEARCH("去",B5325)),ISNUMBER(SEARCH("入",B5325)))),"Ambiguous",IF(ISNUMBER(SEARCH("平",B5325)),"平","仄")))</x:f>
        <x:v>仄</x:v>
      </x:c>
      <x:c r="K5325" s="6" t="str">
        <x:f>IF(D5325="","",IF(AND(ISNUMBER(SEARCH("平",D5325)),OR(ISNUMBER(SEARCH("上",D5325)),ISNUMBER(SEARCH("去",D5325)),ISNUMBER(SEARCH("入",D5325)))),"Ambiguous",IF(ISNUMBER(SEARCH("平",D5325)),"平","仄")))</x:f>
        <x:v>仄</x:v>
      </x:c>
      <x:c r="L5325" s="7" t="str">
        <x:v>Pingshui main list, Lu Qinli gap fill</x:v>
      </x:c>
    </x:row>
    <x:row r="5326">
      <x:c r="A5326" s="5" t="str">
        <x:v>掠</x:v>
      </x:c>
      <x:c r="B5326" s="6" t="str"/>
      <x:c r="C5326" s="6" t="str">
        <x:f>IF(B5326="","Needs decision","Ready")</x:f>
        <x:v>Needs decision</x:v>
      </x:c>
      <x:c r="D5326" s="6" t="str">
        <x:v>去/入</x:v>
      </x:c>
      <x:c r="E5326" s="6" t="str"/>
      <x:c r="F5326" s="6" t="str">
        <x:v>去聲二十三漾; 入聲十藥</x:v>
      </x:c>
      <x:c r="G5326" s="6" t="str">
        <x:v>Pingshui main list, Wikisource-derived DOCX</x:v>
      </x:c>
      <x:c r="H5326" s="6" t="str"/>
      <x:c r="I5326" s="6" t="str">
        <x:v>Lu Qinli gap fill from Pingshui main list; 詞 entries ignored</x:v>
      </x:c>
      <x:c r="J5326" s="6" t="str">
        <x:f>IF(B5326="","",IF(AND(ISNUMBER(SEARCH("平",B5326)),OR(ISNUMBER(SEARCH("上",B5326)),ISNUMBER(SEARCH("去",B5326)),ISNUMBER(SEARCH("入",B5326)))),"Ambiguous",IF(ISNUMBER(SEARCH("平",B5326)),"平","仄")))</x:f>
      </x:c>
      <x:c r="K5326" s="6" t="str">
        <x:f>IF(D5326="","",IF(AND(ISNUMBER(SEARCH("平",D5326)),OR(ISNUMBER(SEARCH("上",D5326)),ISNUMBER(SEARCH("去",D5326)),ISNUMBER(SEARCH("入",D5326)))),"Ambiguous",IF(ISNUMBER(SEARCH("平",D5326)),"平","仄")))</x:f>
        <x:v>仄</x:v>
      </x:c>
      <x:c r="L5326" s="7" t="str">
        <x:v>Pingshui main list, Lu Qinli gap fill</x:v>
      </x:c>
    </x:row>
    <x:row r="5327">
      <x:c r="A5327" s="5" t="str">
        <x:v>揃</x:v>
      </x:c>
      <x:c r="B5327" s="6" t="str">
        <x:v>上</x:v>
      </x:c>
      <x:c r="C5327" s="6" t="str">
        <x:f>IF(B5327="","Needs decision","Ready")</x:f>
        <x:v>Ready</x:v>
      </x:c>
      <x:c r="D5327" s="6" t="str">
        <x:v>上</x:v>
      </x:c>
      <x:c r="E5327" s="6" t="str"/>
      <x:c r="F5327" s="6" t="str">
        <x:v>上聲十六銑</x:v>
      </x:c>
      <x:c r="G5327" s="6" t="str">
        <x:v>Pingshui main list, Wikisource-derived DOCX</x:v>
      </x:c>
      <x:c r="H5327" s="6" t="str"/>
      <x:c r="I5327" s="6" t="str">
        <x:v>Lu Qinli gap fill from Pingshui main list; 詞 entries ignored</x:v>
      </x:c>
      <x:c r="J5327" s="6" t="str">
        <x:f>IF(B5327="","",IF(AND(ISNUMBER(SEARCH("平",B5327)),OR(ISNUMBER(SEARCH("上",B5327)),ISNUMBER(SEARCH("去",B5327)),ISNUMBER(SEARCH("入",B5327)))),"Ambiguous",IF(ISNUMBER(SEARCH("平",B5327)),"平","仄")))</x:f>
        <x:v>仄</x:v>
      </x:c>
      <x:c r="K5327" s="6" t="str">
        <x:f>IF(D5327="","",IF(AND(ISNUMBER(SEARCH("平",D5327)),OR(ISNUMBER(SEARCH("上",D5327)),ISNUMBER(SEARCH("去",D5327)),ISNUMBER(SEARCH("入",D5327)))),"Ambiguous",IF(ISNUMBER(SEARCH("平",D5327)),"平","仄")))</x:f>
        <x:v>仄</x:v>
      </x:c>
      <x:c r="L5327" s="7" t="str">
        <x:v>Pingshui main list, Lu Qinli gap fill</x:v>
      </x:c>
    </x:row>
    <x:row r="5328">
      <x:c r="A5328" s="5" t="str">
        <x:v>揄</x:v>
      </x:c>
      <x:c r="B5328" s="6" t="str">
        <x:v>平</x:v>
      </x:c>
      <x:c r="C5328" s="6" t="str">
        <x:f>IF(B5328="","Needs decision","Ready")</x:f>
        <x:v>Ready</x:v>
      </x:c>
      <x:c r="D5328" s="6" t="str">
        <x:v>平</x:v>
      </x:c>
      <x:c r="E5328" s="6" t="str"/>
      <x:c r="F5328" s="6" t="str">
        <x:v>上平聲七虞</x:v>
      </x:c>
      <x:c r="G5328" s="6" t="str">
        <x:v>Pingshui main list, Wikisource-derived DOCX</x:v>
      </x:c>
      <x:c r="H5328" s="6" t="str"/>
      <x:c r="I5328" s="6" t="str">
        <x:v>Lu Qinli gap fill from Pingshui main list; 詞 entries ignored</x:v>
      </x:c>
      <x:c r="J5328" s="6" t="str">
        <x:f>IF(B5328="","",IF(AND(ISNUMBER(SEARCH("平",B5328)),OR(ISNUMBER(SEARCH("上",B5328)),ISNUMBER(SEARCH("去",B5328)),ISNUMBER(SEARCH("入",B5328)))),"Ambiguous",IF(ISNUMBER(SEARCH("平",B5328)),"平","仄")))</x:f>
        <x:v>平</x:v>
      </x:c>
      <x:c r="K5328" s="6" t="str">
        <x:f>IF(D5328="","",IF(AND(ISNUMBER(SEARCH("平",D5328)),OR(ISNUMBER(SEARCH("上",D5328)),ISNUMBER(SEARCH("去",D5328)),ISNUMBER(SEARCH("入",D5328)))),"Ambiguous",IF(ISNUMBER(SEARCH("平",D5328)),"平","仄")))</x:f>
        <x:v>平</x:v>
      </x:c>
      <x:c r="L5328" s="7" t="str">
        <x:v>Pingshui main list, Lu Qinli gap fill</x:v>
      </x:c>
    </x:row>
    <x:row r="5329">
      <x:c r="A5329" s="5" t="str">
        <x:v>揉</x:v>
      </x:c>
      <x:c r="B5329" s="6" t="str">
        <x:v>平</x:v>
      </x:c>
      <x:c r="C5329" s="6" t="str">
        <x:f>IF(B5329="","Needs decision","Ready")</x:f>
        <x:v>Ready</x:v>
      </x:c>
      <x:c r="D5329" s="6" t="str">
        <x:v>平</x:v>
      </x:c>
      <x:c r="E5329" s="6" t="str"/>
      <x:c r="F5329" s="6" t="str">
        <x:v>下平聲十一尤</x:v>
      </x:c>
      <x:c r="G5329" s="6" t="str">
        <x:v>Pingshui main list, Wikisource-derived DOCX</x:v>
      </x:c>
      <x:c r="H5329" s="6" t="str"/>
      <x:c r="I5329" s="6" t="str">
        <x:v>Lu Qinli gap fill from Pingshui main list; 詞 entries ignored</x:v>
      </x:c>
      <x:c r="J5329" s="6" t="str">
        <x:f>IF(B5329="","",IF(AND(ISNUMBER(SEARCH("平",B5329)),OR(ISNUMBER(SEARCH("上",B5329)),ISNUMBER(SEARCH("去",B5329)),ISNUMBER(SEARCH("入",B5329)))),"Ambiguous",IF(ISNUMBER(SEARCH("平",B5329)),"平","仄")))</x:f>
        <x:v>平</x:v>
      </x:c>
      <x:c r="K5329" s="6" t="str">
        <x:f>IF(D5329="","",IF(AND(ISNUMBER(SEARCH("平",D5329)),OR(ISNUMBER(SEARCH("上",D5329)),ISNUMBER(SEARCH("去",D5329)),ISNUMBER(SEARCH("入",D5329)))),"Ambiguous",IF(ISNUMBER(SEARCH("平",D5329)),"平","仄")))</x:f>
        <x:v>平</x:v>
      </x:c>
      <x:c r="L5329" s="7" t="str">
        <x:v>Pingshui main list, Lu Qinli gap fill</x:v>
      </x:c>
    </x:row>
    <x:row r="5330">
      <x:c r="A5330" s="5" t="str">
        <x:v>揜</x:v>
      </x:c>
      <x:c r="B5330" s="6" t="str">
        <x:v>上</x:v>
      </x:c>
      <x:c r="C5330" s="6" t="str">
        <x:f>IF(B5330="","Needs decision","Ready")</x:f>
        <x:v>Ready</x:v>
      </x:c>
      <x:c r="D5330" s="6" t="str">
        <x:v>上</x:v>
      </x:c>
      <x:c r="E5330" s="6" t="str"/>
      <x:c r="F5330" s="6" t="str">
        <x:v>上聲二十七感</x:v>
      </x:c>
      <x:c r="G5330" s="6" t="str">
        <x:v>Pingshui main list, Wikisource-derived DOCX</x:v>
      </x:c>
      <x:c r="H5330" s="6" t="str"/>
      <x:c r="I5330" s="6" t="str">
        <x:v>Lu Qinli gap fill from Pingshui main list; 詞 entries ignored</x:v>
      </x:c>
      <x:c r="J5330" s="6" t="str">
        <x:f>IF(B5330="","",IF(AND(ISNUMBER(SEARCH("平",B5330)),OR(ISNUMBER(SEARCH("上",B5330)),ISNUMBER(SEARCH("去",B5330)),ISNUMBER(SEARCH("入",B5330)))),"Ambiguous",IF(ISNUMBER(SEARCH("平",B5330)),"平","仄")))</x:f>
        <x:v>仄</x:v>
      </x:c>
      <x:c r="K5330" s="6" t="str">
        <x:f>IF(D5330="","",IF(AND(ISNUMBER(SEARCH("平",D5330)),OR(ISNUMBER(SEARCH("上",D5330)),ISNUMBER(SEARCH("去",D5330)),ISNUMBER(SEARCH("入",D5330)))),"Ambiguous",IF(ISNUMBER(SEARCH("平",D5330)),"平","仄")))</x:f>
        <x:v>仄</x:v>
      </x:c>
      <x:c r="L5330" s="7" t="str">
        <x:v>Pingshui main list, Lu Qinli gap fill</x:v>
      </x:c>
    </x:row>
    <x:row r="5331">
      <x:c r="A5331" s="5" t="str">
        <x:v>揵</x:v>
      </x:c>
      <x:c r="B5331" s="6" t="str">
        <x:v>上</x:v>
      </x:c>
      <x:c r="C5331" s="6" t="str">
        <x:f>IF(B5331="","Needs decision","Ready")</x:f>
        <x:v>Ready</x:v>
      </x:c>
      <x:c r="D5331" s="6" t="str">
        <x:v>上</x:v>
      </x:c>
      <x:c r="E5331" s="6" t="str"/>
      <x:c r="F5331" s="6" t="str">
        <x:v>上聲十三阮</x:v>
      </x:c>
      <x:c r="G5331" s="6" t="str">
        <x:v>Pingshui main list, Wikisource-derived DOCX</x:v>
      </x:c>
      <x:c r="H5331" s="6" t="str"/>
      <x:c r="I5331" s="6" t="str">
        <x:v>Lu Qinli gap fill from Pingshui main list; 詞 entries ignored</x:v>
      </x:c>
      <x:c r="J5331" s="6" t="str">
        <x:f>IF(B5331="","",IF(AND(ISNUMBER(SEARCH("平",B5331)),OR(ISNUMBER(SEARCH("上",B5331)),ISNUMBER(SEARCH("去",B5331)),ISNUMBER(SEARCH("入",B5331)))),"Ambiguous",IF(ISNUMBER(SEARCH("平",B5331)),"平","仄")))</x:f>
        <x:v>仄</x:v>
      </x:c>
      <x:c r="K5331" s="6" t="str">
        <x:f>IF(D5331="","",IF(AND(ISNUMBER(SEARCH("平",D5331)),OR(ISNUMBER(SEARCH("上",D5331)),ISNUMBER(SEARCH("去",D5331)),ISNUMBER(SEARCH("入",D5331)))),"Ambiguous",IF(ISNUMBER(SEARCH("平",D5331)),"平","仄")))</x:f>
        <x:v>仄</x:v>
      </x:c>
      <x:c r="L5331" s="7" t="str">
        <x:v>Pingshui main list, Lu Qinli gap fill</x:v>
      </x:c>
    </x:row>
    <x:row r="5332">
      <x:c r="A5332" s="5" t="str">
        <x:v>搉</x:v>
      </x:c>
      <x:c r="B5332" s="6" t="str">
        <x:v>入</x:v>
      </x:c>
      <x:c r="C5332" s="6" t="str">
        <x:f>IF(B5332="","Needs decision","Ready")</x:f>
        <x:v>Ready</x:v>
      </x:c>
      <x:c r="D5332" s="6" t="str">
        <x:v>入</x:v>
      </x:c>
      <x:c r="E5332" s="6" t="str"/>
      <x:c r="F5332" s="6" t="str">
        <x:v>入聲三覺</x:v>
      </x:c>
      <x:c r="G5332" s="6" t="str">
        <x:v>Pingshui main list, Wikisource-derived DOCX</x:v>
      </x:c>
      <x:c r="H5332" s="6" t="str"/>
      <x:c r="I5332" s="6" t="str">
        <x:v>Lu Qinli gap fill from Pingshui main list; 詞 entries ignored</x:v>
      </x:c>
      <x:c r="J5332" s="6" t="str">
        <x:f>IF(B5332="","",IF(AND(ISNUMBER(SEARCH("平",B5332)),OR(ISNUMBER(SEARCH("上",B5332)),ISNUMBER(SEARCH("去",B5332)),ISNUMBER(SEARCH("入",B5332)))),"Ambiguous",IF(ISNUMBER(SEARCH("平",B5332)),"平","仄")))</x:f>
        <x:v>仄</x:v>
      </x:c>
      <x:c r="K5332" s="6" t="str">
        <x:f>IF(D5332="","",IF(AND(ISNUMBER(SEARCH("平",D5332)),OR(ISNUMBER(SEARCH("上",D5332)),ISNUMBER(SEARCH("去",D5332)),ISNUMBER(SEARCH("入",D5332)))),"Ambiguous",IF(ISNUMBER(SEARCH("平",D5332)),"平","仄")))</x:f>
        <x:v>仄</x:v>
      </x:c>
      <x:c r="L5332" s="7" t="str">
        <x:v>Pingshui main list, Lu Qinli gap fill</x:v>
      </x:c>
    </x:row>
    <x:row r="5333">
      <x:c r="A5333" s="5" t="str">
        <x:v>搢</x:v>
      </x:c>
      <x:c r="B5333" s="6" t="str">
        <x:v>去</x:v>
      </x:c>
      <x:c r="C5333" s="6" t="str">
        <x:f>IF(B5333="","Needs decision","Ready")</x:f>
        <x:v>Ready</x:v>
      </x:c>
      <x:c r="D5333" s="6" t="str">
        <x:v>去</x:v>
      </x:c>
      <x:c r="E5333" s="6" t="str"/>
      <x:c r="F5333" s="6" t="str">
        <x:v>去聲十二震</x:v>
      </x:c>
      <x:c r="G5333" s="6" t="str">
        <x:v>Pingshui main list, Wikisource-derived DOCX</x:v>
      </x:c>
      <x:c r="H5333" s="6" t="str"/>
      <x:c r="I5333" s="6" t="str">
        <x:v>Lu Qinli gap fill from Pingshui main list; 詞 entries ignored</x:v>
      </x:c>
      <x:c r="J5333" s="6" t="str">
        <x:f>IF(B5333="","",IF(AND(ISNUMBER(SEARCH("平",B5333)),OR(ISNUMBER(SEARCH("上",B5333)),ISNUMBER(SEARCH("去",B5333)),ISNUMBER(SEARCH("入",B5333)))),"Ambiguous",IF(ISNUMBER(SEARCH("平",B5333)),"平","仄")))</x:f>
        <x:v>仄</x:v>
      </x:c>
      <x:c r="K5333" s="6" t="str">
        <x:f>IF(D5333="","",IF(AND(ISNUMBER(SEARCH("平",D5333)),OR(ISNUMBER(SEARCH("上",D5333)),ISNUMBER(SEARCH("去",D5333)),ISNUMBER(SEARCH("入",D5333)))),"Ambiguous",IF(ISNUMBER(SEARCH("平",D5333)),"平","仄")))</x:f>
        <x:v>仄</x:v>
      </x:c>
      <x:c r="L5333" s="7" t="str">
        <x:v>Pingshui main list, Lu Qinli gap fill</x:v>
      </x:c>
    </x:row>
    <x:row r="5334">
      <x:c r="A5334" s="5" t="str">
        <x:v>搦</x:v>
      </x:c>
      <x:c r="B5334" s="6" t="str">
        <x:v>入</x:v>
      </x:c>
      <x:c r="C5334" s="6" t="str">
        <x:f>IF(B5334="","Needs decision","Ready")</x:f>
        <x:v>Ready</x:v>
      </x:c>
      <x:c r="D5334" s="6" t="str">
        <x:v>入</x:v>
      </x:c>
      <x:c r="E5334" s="6" t="str"/>
      <x:c r="F5334" s="6" t="str">
        <x:v>入聲三覺</x:v>
      </x:c>
      <x:c r="G5334" s="6" t="str">
        <x:v>Pingshui main list, Wikisource-derived DOCX</x:v>
      </x:c>
      <x:c r="H5334" s="6" t="str"/>
      <x:c r="I5334" s="6" t="str">
        <x:v>Lu Qinli gap fill from Pingshui main list; 詞 entries ignored</x:v>
      </x:c>
      <x:c r="J5334" s="6" t="str">
        <x:f>IF(B5334="","",IF(AND(ISNUMBER(SEARCH("平",B5334)),OR(ISNUMBER(SEARCH("上",B5334)),ISNUMBER(SEARCH("去",B5334)),ISNUMBER(SEARCH("入",B5334)))),"Ambiguous",IF(ISNUMBER(SEARCH("平",B5334)),"平","仄")))</x:f>
        <x:v>仄</x:v>
      </x:c>
      <x:c r="K5334" s="6" t="str">
        <x:f>IF(D5334="","",IF(AND(ISNUMBER(SEARCH("平",D5334)),OR(ISNUMBER(SEARCH("上",D5334)),ISNUMBER(SEARCH("去",D5334)),ISNUMBER(SEARCH("入",D5334)))),"Ambiguous",IF(ISNUMBER(SEARCH("平",D5334)),"平","仄")))</x:f>
        <x:v>仄</x:v>
      </x:c>
      <x:c r="L5334" s="7" t="str">
        <x:v>Pingshui main list, Lu Qinli gap fill</x:v>
      </x:c>
    </x:row>
    <x:row r="5335">
      <x:c r="A5335" s="5" t="str">
        <x:v>搨</x:v>
      </x:c>
      <x:c r="B5335" s="6" t="str">
        <x:v>入</x:v>
      </x:c>
      <x:c r="C5335" s="6" t="str">
        <x:f>IF(B5335="","Needs decision","Ready")</x:f>
        <x:v>Ready</x:v>
      </x:c>
      <x:c r="D5335" s="6" t="str">
        <x:v>入</x:v>
      </x:c>
      <x:c r="E5335" s="6" t="str"/>
      <x:c r="F5335" s="6" t="str">
        <x:v>入聲十五合</x:v>
      </x:c>
      <x:c r="G5335" s="6" t="str">
        <x:v>Pingshui main list, Wikisource-derived DOCX</x:v>
      </x:c>
      <x:c r="H5335" s="6" t="str"/>
      <x:c r="I5335" s="6" t="str">
        <x:v>Lu Qinli gap fill from Pingshui main list; 詞 entries ignored</x:v>
      </x:c>
      <x:c r="J5335" s="6" t="str">
        <x:f>IF(B5335="","",IF(AND(ISNUMBER(SEARCH("平",B5335)),OR(ISNUMBER(SEARCH("上",B5335)),ISNUMBER(SEARCH("去",B5335)),ISNUMBER(SEARCH("入",B5335)))),"Ambiguous",IF(ISNUMBER(SEARCH("平",B5335)),"平","仄")))</x:f>
        <x:v>仄</x:v>
      </x:c>
      <x:c r="K5335" s="6" t="str">
        <x:f>IF(D5335="","",IF(AND(ISNUMBER(SEARCH("平",D5335)),OR(ISNUMBER(SEARCH("上",D5335)),ISNUMBER(SEARCH("去",D5335)),ISNUMBER(SEARCH("入",D5335)))),"Ambiguous",IF(ISNUMBER(SEARCH("平",D5335)),"平","仄")))</x:f>
        <x:v>仄</x:v>
      </x:c>
      <x:c r="L5335" s="7" t="str">
        <x:v>Pingshui main list, Lu Qinli gap fill</x:v>
      </x:c>
    </x:row>
    <x:row r="5336">
      <x:c r="A5336" s="5" t="str">
        <x:v>搯</x:v>
      </x:c>
      <x:c r="B5336" s="6" t="str">
        <x:v>入</x:v>
      </x:c>
      <x:c r="C5336" s="6" t="str">
        <x:f>IF(B5336="","Needs decision","Ready")</x:f>
        <x:v>Ready</x:v>
      </x:c>
      <x:c r="D5336" s="6" t="str">
        <x:v>入</x:v>
      </x:c>
      <x:c r="E5336" s="6" t="str"/>
      <x:c r="F5336" s="6" t="str">
        <x:v>入聲十七洽</x:v>
      </x:c>
      <x:c r="G5336" s="6" t="str">
        <x:v>Pingshui main list, Wikisource-derived DOCX</x:v>
      </x:c>
      <x:c r="H5336" s="6" t="str"/>
      <x:c r="I5336" s="6" t="str">
        <x:v>Lu Qinli gap fill from Pingshui main list; 詞 entries ignored</x:v>
      </x:c>
      <x:c r="J5336" s="6" t="str">
        <x:f>IF(B5336="","",IF(AND(ISNUMBER(SEARCH("平",B5336)),OR(ISNUMBER(SEARCH("上",B5336)),ISNUMBER(SEARCH("去",B5336)),ISNUMBER(SEARCH("入",B5336)))),"Ambiguous",IF(ISNUMBER(SEARCH("平",B5336)),"平","仄")))</x:f>
        <x:v>仄</x:v>
      </x:c>
      <x:c r="K5336" s="6" t="str">
        <x:f>IF(D5336="","",IF(AND(ISNUMBER(SEARCH("平",D5336)),OR(ISNUMBER(SEARCH("上",D5336)),ISNUMBER(SEARCH("去",D5336)),ISNUMBER(SEARCH("入",D5336)))),"Ambiguous",IF(ISNUMBER(SEARCH("平",D5336)),"平","仄")))</x:f>
        <x:v>仄</x:v>
      </x:c>
      <x:c r="L5336" s="7" t="str">
        <x:v>Pingshui main list, Lu Qinli gap fill</x:v>
      </x:c>
    </x:row>
    <x:row r="5337">
      <x:c r="A5337" s="5" t="str">
        <x:v>摛</x:v>
      </x:c>
      <x:c r="B5337" s="6" t="str">
        <x:v>平</x:v>
      </x:c>
      <x:c r="C5337" s="6" t="str">
        <x:f>IF(B5337="","Needs decision","Ready")</x:f>
        <x:v>Ready</x:v>
      </x:c>
      <x:c r="D5337" s="6" t="str">
        <x:v>平</x:v>
      </x:c>
      <x:c r="E5337" s="6" t="str"/>
      <x:c r="F5337" s="6" t="str">
        <x:v>上平聲四支</x:v>
      </x:c>
      <x:c r="G5337" s="6" t="str">
        <x:v>Pingshui main list, Wikisource-derived DOCX</x:v>
      </x:c>
      <x:c r="H5337" s="6" t="str"/>
      <x:c r="I5337" s="6" t="str">
        <x:v>Lu Qinli gap fill from Pingshui main list; 詞 entries ignored</x:v>
      </x:c>
      <x:c r="J5337" s="6" t="str">
        <x:f>IF(B5337="","",IF(AND(ISNUMBER(SEARCH("平",B5337)),OR(ISNUMBER(SEARCH("上",B5337)),ISNUMBER(SEARCH("去",B5337)),ISNUMBER(SEARCH("入",B5337)))),"Ambiguous",IF(ISNUMBER(SEARCH("平",B5337)),"平","仄")))</x:f>
        <x:v>平</x:v>
      </x:c>
      <x:c r="K5337" s="6" t="str">
        <x:f>IF(D5337="","",IF(AND(ISNUMBER(SEARCH("平",D5337)),OR(ISNUMBER(SEARCH("上",D5337)),ISNUMBER(SEARCH("去",D5337)),ISNUMBER(SEARCH("入",D5337)))),"Ambiguous",IF(ISNUMBER(SEARCH("平",D5337)),"平","仄")))</x:f>
        <x:v>平</x:v>
      </x:c>
      <x:c r="L5337" s="7" t="str">
        <x:v>Pingshui main list, Lu Qinli gap fill</x:v>
      </x:c>
    </x:row>
    <x:row r="5338">
      <x:c r="A5338" s="5" t="str">
        <x:v>摴</x:v>
      </x:c>
      <x:c r="B5338" s="6" t="str">
        <x:v>平</x:v>
      </x:c>
      <x:c r="C5338" s="6" t="str">
        <x:f>IF(B5338="","Needs decision","Ready")</x:f>
        <x:v>Ready</x:v>
      </x:c>
      <x:c r="D5338" s="6" t="str">
        <x:v>平</x:v>
      </x:c>
      <x:c r="E5338" s="6" t="str"/>
      <x:c r="F5338" s="6" t="str">
        <x:v>上平聲六魚</x:v>
      </x:c>
      <x:c r="G5338" s="6" t="str">
        <x:v>Pingshui main list, Wikisource-derived DOCX</x:v>
      </x:c>
      <x:c r="H5338" s="6" t="str"/>
      <x:c r="I5338" s="6" t="str">
        <x:v>Lu Qinli gap fill from Pingshui main list; 詞 entries ignored</x:v>
      </x:c>
      <x:c r="J5338" s="6" t="str">
        <x:f>IF(B5338="","",IF(AND(ISNUMBER(SEARCH("平",B5338)),OR(ISNUMBER(SEARCH("上",B5338)),ISNUMBER(SEARCH("去",B5338)),ISNUMBER(SEARCH("入",B5338)))),"Ambiguous",IF(ISNUMBER(SEARCH("平",B5338)),"平","仄")))</x:f>
        <x:v>平</x:v>
      </x:c>
      <x:c r="K5338" s="6" t="str">
        <x:f>IF(D5338="","",IF(AND(ISNUMBER(SEARCH("平",D5338)),OR(ISNUMBER(SEARCH("上",D5338)),ISNUMBER(SEARCH("去",D5338)),ISNUMBER(SEARCH("入",D5338)))),"Ambiguous",IF(ISNUMBER(SEARCH("平",D5338)),"平","仄")))</x:f>
        <x:v>平</x:v>
      </x:c>
      <x:c r="L5338" s="7" t="str">
        <x:v>Pingshui main list, Lu Qinli gap fill</x:v>
      </x:c>
    </x:row>
    <x:row r="5339">
      <x:c r="A5339" s="5" t="str">
        <x:v>摹</x:v>
      </x:c>
      <x:c r="B5339" s="6" t="str">
        <x:v>平</x:v>
      </x:c>
      <x:c r="C5339" s="6" t="str">
        <x:f>IF(B5339="","Needs decision","Ready")</x:f>
        <x:v>Ready</x:v>
      </x:c>
      <x:c r="D5339" s="6" t="str">
        <x:v>平</x:v>
      </x:c>
      <x:c r="E5339" s="6" t="str"/>
      <x:c r="F5339" s="6" t="str">
        <x:v>上平聲七虞</x:v>
      </x:c>
      <x:c r="G5339" s="6" t="str">
        <x:v>Pingshui main list, Wikisource-derived DOCX</x:v>
      </x:c>
      <x:c r="H5339" s="6" t="str"/>
      <x:c r="I5339" s="6" t="str">
        <x:v>Lu Qinli gap fill from Pingshui main list; 詞 entries ignored</x:v>
      </x:c>
      <x:c r="J5339" s="6" t="str">
        <x:f>IF(B5339="","",IF(AND(ISNUMBER(SEARCH("平",B5339)),OR(ISNUMBER(SEARCH("上",B5339)),ISNUMBER(SEARCH("去",B5339)),ISNUMBER(SEARCH("入",B5339)))),"Ambiguous",IF(ISNUMBER(SEARCH("平",B5339)),"平","仄")))</x:f>
        <x:v>平</x:v>
      </x:c>
      <x:c r="K5339" s="6" t="str">
        <x:f>IF(D5339="","",IF(AND(ISNUMBER(SEARCH("平",D5339)),OR(ISNUMBER(SEARCH("上",D5339)),ISNUMBER(SEARCH("去",D5339)),ISNUMBER(SEARCH("入",D5339)))),"Ambiguous",IF(ISNUMBER(SEARCH("平",D5339)),"平","仄")))</x:f>
        <x:v>平</x:v>
      </x:c>
      <x:c r="L5339" s="7" t="str">
        <x:v>Pingshui main list, Lu Qinli gap fill</x:v>
      </x:c>
    </x:row>
    <x:row r="5340">
      <x:c r="A5340" s="5" t="str">
        <x:v>摺</x:v>
      </x:c>
      <x:c r="B5340" s="6" t="str">
        <x:v>入</x:v>
      </x:c>
      <x:c r="C5340" s="6" t="str">
        <x:f>IF(B5340="","Needs decision","Ready")</x:f>
        <x:v>Ready</x:v>
      </x:c>
      <x:c r="D5340" s="6" t="str">
        <x:v>入</x:v>
      </x:c>
      <x:c r="E5340" s="6" t="str"/>
      <x:c r="F5340" s="6" t="str">
        <x:v>入聲十六葉</x:v>
      </x:c>
      <x:c r="G5340" s="6" t="str">
        <x:v>Pingshui main list, Wikisource-derived DOCX</x:v>
      </x:c>
      <x:c r="H5340" s="6" t="str"/>
      <x:c r="I5340" s="6" t="str">
        <x:v>Lu Qinli gap fill from Pingshui main list; 詞 entries ignored</x:v>
      </x:c>
      <x:c r="J5340" s="6" t="str">
        <x:f>IF(B5340="","",IF(AND(ISNUMBER(SEARCH("平",B5340)),OR(ISNUMBER(SEARCH("上",B5340)),ISNUMBER(SEARCH("去",B5340)),ISNUMBER(SEARCH("入",B5340)))),"Ambiguous",IF(ISNUMBER(SEARCH("平",B5340)),"平","仄")))</x:f>
        <x:v>仄</x:v>
      </x:c>
      <x:c r="K5340" s="6" t="str">
        <x:f>IF(D5340="","",IF(AND(ISNUMBER(SEARCH("平",D5340)),OR(ISNUMBER(SEARCH("上",D5340)),ISNUMBER(SEARCH("去",D5340)),ISNUMBER(SEARCH("入",D5340)))),"Ambiguous",IF(ISNUMBER(SEARCH("平",D5340)),"平","仄")))</x:f>
        <x:v>仄</x:v>
      </x:c>
      <x:c r="L5340" s="7" t="str">
        <x:v>Pingshui main list, Lu Qinli gap fill</x:v>
      </x:c>
    </x:row>
    <x:row r="5341">
      <x:c r="A5341" s="5" t="str">
        <x:v>撐</x:v>
      </x:c>
      <x:c r="B5341" s="6" t="str">
        <x:v>平</x:v>
      </x:c>
      <x:c r="C5341" s="6" t="str">
        <x:f>IF(B5341="","Needs decision","Ready")</x:f>
        <x:v>Ready</x:v>
      </x:c>
      <x:c r="D5341" s="6" t="str">
        <x:v>平</x:v>
      </x:c>
      <x:c r="E5341" s="6" t="str"/>
      <x:c r="F5341" s="6" t="str">
        <x:v>下平聲八庚</x:v>
      </x:c>
      <x:c r="G5341" s="6" t="str">
        <x:v>Pingshui main list, Wikisource-derived DOCX</x:v>
      </x:c>
      <x:c r="H5341" s="6" t="str"/>
      <x:c r="I5341" s="6" t="str">
        <x:v>Lu Qinli gap fill from Pingshui main list; 詞 entries ignored</x:v>
      </x:c>
      <x:c r="J5341" s="6" t="str">
        <x:f>IF(B5341="","",IF(AND(ISNUMBER(SEARCH("平",B5341)),OR(ISNUMBER(SEARCH("上",B5341)),ISNUMBER(SEARCH("去",B5341)),ISNUMBER(SEARCH("入",B5341)))),"Ambiguous",IF(ISNUMBER(SEARCH("平",B5341)),"平","仄")))</x:f>
        <x:v>平</x:v>
      </x:c>
      <x:c r="K5341" s="6" t="str">
        <x:f>IF(D5341="","",IF(AND(ISNUMBER(SEARCH("平",D5341)),OR(ISNUMBER(SEARCH("上",D5341)),ISNUMBER(SEARCH("去",D5341)),ISNUMBER(SEARCH("入",D5341)))),"Ambiguous",IF(ISNUMBER(SEARCH("平",D5341)),"平","仄")))</x:f>
        <x:v>平</x:v>
      </x:c>
      <x:c r="L5341" s="7" t="str">
        <x:v>Pingshui main list, Lu Qinli gap fill</x:v>
      </x:c>
    </x:row>
    <x:row r="5342">
      <x:c r="A5342" s="5" t="str">
        <x:v>撣</x:v>
      </x:c>
      <x:c r="B5342" s="6" t="str">
        <x:v>平</x:v>
      </x:c>
      <x:c r="C5342" s="6" t="str">
        <x:f>IF(B5342="","Needs decision","Ready")</x:f>
        <x:v>Ready</x:v>
      </x:c>
      <x:c r="D5342" s="6" t="str">
        <x:v>平</x:v>
      </x:c>
      <x:c r="E5342" s="6" t="str"/>
      <x:c r="F5342" s="6" t="str">
        <x:v>上平聲十四寒</x:v>
      </x:c>
      <x:c r="G5342" s="6" t="str">
        <x:v>Pingshui main list, Wikisource-derived DOCX</x:v>
      </x:c>
      <x:c r="H5342" s="6" t="str"/>
      <x:c r="I5342" s="6" t="str">
        <x:v>Lu Qinli gap fill from Pingshui main list; 詞 entries ignored</x:v>
      </x:c>
      <x:c r="J5342" s="6" t="str">
        <x:f>IF(B5342="","",IF(AND(ISNUMBER(SEARCH("平",B5342)),OR(ISNUMBER(SEARCH("上",B5342)),ISNUMBER(SEARCH("去",B5342)),ISNUMBER(SEARCH("入",B5342)))),"Ambiguous",IF(ISNUMBER(SEARCH("平",B5342)),"平","仄")))</x:f>
        <x:v>平</x:v>
      </x:c>
      <x:c r="K5342" s="6" t="str">
        <x:f>IF(D5342="","",IF(AND(ISNUMBER(SEARCH("平",D5342)),OR(ISNUMBER(SEARCH("上",D5342)),ISNUMBER(SEARCH("去",D5342)),ISNUMBER(SEARCH("入",D5342)))),"Ambiguous",IF(ISNUMBER(SEARCH("平",D5342)),"平","仄")))</x:f>
        <x:v>平</x:v>
      </x:c>
      <x:c r="L5342" s="7" t="str">
        <x:v>Pingshui main list, Lu Qinli gap fill</x:v>
      </x:c>
    </x:row>
    <x:row r="5343">
      <x:c r="A5343" s="5" t="str">
        <x:v>撩</x:v>
      </x:c>
      <x:c r="B5343" s="6" t="str">
        <x:v>平</x:v>
      </x:c>
      <x:c r="C5343" s="6" t="str">
        <x:f>IF(B5343="","Needs decision","Ready")</x:f>
        <x:v>Ready</x:v>
      </x:c>
      <x:c r="D5343" s="6" t="str">
        <x:v>平</x:v>
      </x:c>
      <x:c r="E5343" s="6" t="str"/>
      <x:c r="F5343" s="6" t="str">
        <x:v>下平聲二蕭</x:v>
      </x:c>
      <x:c r="G5343" s="6" t="str">
        <x:v>Pingshui main list, Wikisource-derived DOCX</x:v>
      </x:c>
      <x:c r="H5343" s="6" t="str"/>
      <x:c r="I5343" s="6" t="str">
        <x:v>Lu Qinli gap fill from Pingshui main list; 詞 entries ignored</x:v>
      </x:c>
      <x:c r="J5343" s="6" t="str">
        <x:f>IF(B5343="","",IF(AND(ISNUMBER(SEARCH("平",B5343)),OR(ISNUMBER(SEARCH("上",B5343)),ISNUMBER(SEARCH("去",B5343)),ISNUMBER(SEARCH("入",B5343)))),"Ambiguous",IF(ISNUMBER(SEARCH("平",B5343)),"平","仄")))</x:f>
        <x:v>平</x:v>
      </x:c>
      <x:c r="K5343" s="6" t="str">
        <x:f>IF(D5343="","",IF(AND(ISNUMBER(SEARCH("平",D5343)),OR(ISNUMBER(SEARCH("上",D5343)),ISNUMBER(SEARCH("去",D5343)),ISNUMBER(SEARCH("入",D5343)))),"Ambiguous",IF(ISNUMBER(SEARCH("平",D5343)),"平","仄")))</x:f>
        <x:v>平</x:v>
      </x:c>
      <x:c r="L5343" s="7" t="str">
        <x:v>Pingshui main list, Lu Qinli gap fill</x:v>
      </x:c>
    </x:row>
    <x:row r="5344">
      <x:c r="A5344" s="5" t="str">
        <x:v>撻</x:v>
      </x:c>
      <x:c r="B5344" s="6" t="str">
        <x:v>入</x:v>
      </x:c>
      <x:c r="C5344" s="6" t="str">
        <x:f>IF(B5344="","Needs decision","Ready")</x:f>
        <x:v>Ready</x:v>
      </x:c>
      <x:c r="D5344" s="6" t="str">
        <x:v>入</x:v>
      </x:c>
      <x:c r="E5344" s="6" t="str"/>
      <x:c r="F5344" s="6" t="str">
        <x:v>入聲七曷</x:v>
      </x:c>
      <x:c r="G5344" s="6" t="str">
        <x:v>Pingshui main list, Wikisource-derived DOCX</x:v>
      </x:c>
      <x:c r="H5344" s="6" t="str"/>
      <x:c r="I5344" s="6" t="str">
        <x:v>Lu Qinli gap fill from Pingshui main list; 詞 entries ignored</x:v>
      </x:c>
      <x:c r="J5344" s="6" t="str">
        <x:f>IF(B5344="","",IF(AND(ISNUMBER(SEARCH("平",B5344)),OR(ISNUMBER(SEARCH("上",B5344)),ISNUMBER(SEARCH("去",B5344)),ISNUMBER(SEARCH("入",B5344)))),"Ambiguous",IF(ISNUMBER(SEARCH("平",B5344)),"平","仄")))</x:f>
        <x:v>仄</x:v>
      </x:c>
      <x:c r="K5344" s="6" t="str">
        <x:f>IF(D5344="","",IF(AND(ISNUMBER(SEARCH("平",D5344)),OR(ISNUMBER(SEARCH("上",D5344)),ISNUMBER(SEARCH("去",D5344)),ISNUMBER(SEARCH("入",D5344)))),"Ambiguous",IF(ISNUMBER(SEARCH("平",D5344)),"平","仄")))</x:f>
        <x:v>仄</x:v>
      </x:c>
      <x:c r="L5344" s="7" t="str">
        <x:v>Pingshui main list, Lu Qinli gap fill</x:v>
      </x:c>
    </x:row>
    <x:row r="5345">
      <x:c r="A5345" s="5" t="str">
        <x:v>撾</x:v>
      </x:c>
      <x:c r="B5345" s="6" t="str">
        <x:v>平</x:v>
      </x:c>
      <x:c r="C5345" s="6" t="str">
        <x:f>IF(B5345="","Needs decision","Ready")</x:f>
        <x:v>Ready</x:v>
      </x:c>
      <x:c r="D5345" s="6" t="str">
        <x:v>平</x:v>
      </x:c>
      <x:c r="E5345" s="6" t="str"/>
      <x:c r="F5345" s="6" t="str">
        <x:v>下平聲六麻</x:v>
      </x:c>
      <x:c r="G5345" s="6" t="str">
        <x:v>Pingshui main list, Wikisource-derived DOCX</x:v>
      </x:c>
      <x:c r="H5345" s="6" t="str"/>
      <x:c r="I5345" s="6" t="str">
        <x:v>Lu Qinli gap fill from Pingshui main list; 詞 entries ignored</x:v>
      </x:c>
      <x:c r="J5345" s="6" t="str">
        <x:f>IF(B5345="","",IF(AND(ISNUMBER(SEARCH("平",B5345)),OR(ISNUMBER(SEARCH("上",B5345)),ISNUMBER(SEARCH("去",B5345)),ISNUMBER(SEARCH("入",B5345)))),"Ambiguous",IF(ISNUMBER(SEARCH("平",B5345)),"平","仄")))</x:f>
        <x:v>平</x:v>
      </x:c>
      <x:c r="K5345" s="6" t="str">
        <x:f>IF(D5345="","",IF(AND(ISNUMBER(SEARCH("平",D5345)),OR(ISNUMBER(SEARCH("上",D5345)),ISNUMBER(SEARCH("去",D5345)),ISNUMBER(SEARCH("入",D5345)))),"Ambiguous",IF(ISNUMBER(SEARCH("平",D5345)),"平","仄")))</x:f>
        <x:v>平</x:v>
      </x:c>
      <x:c r="L5345" s="7" t="str">
        <x:v>Pingshui main list, Lu Qinli gap fill</x:v>
      </x:c>
    </x:row>
    <x:row r="5346">
      <x:c r="A5346" s="5" t="str">
        <x:v>擯</x:v>
      </x:c>
      <x:c r="B5346" s="6" t="str">
        <x:v>去</x:v>
      </x:c>
      <x:c r="C5346" s="6" t="str">
        <x:f>IF(B5346="","Needs decision","Ready")</x:f>
        <x:v>Ready</x:v>
      </x:c>
      <x:c r="D5346" s="6" t="str">
        <x:v>去</x:v>
      </x:c>
      <x:c r="E5346" s="6" t="str"/>
      <x:c r="F5346" s="6" t="str">
        <x:v>去聲十二震</x:v>
      </x:c>
      <x:c r="G5346" s="6" t="str">
        <x:v>Pingshui main list, Wikisource-derived DOCX</x:v>
      </x:c>
      <x:c r="H5346" s="6" t="str"/>
      <x:c r="I5346" s="6" t="str">
        <x:v>Lu Qinli gap fill from Pingshui main list; 詞 entries ignored</x:v>
      </x:c>
      <x:c r="J5346" s="6" t="str">
        <x:f>IF(B5346="","",IF(AND(ISNUMBER(SEARCH("平",B5346)),OR(ISNUMBER(SEARCH("上",B5346)),ISNUMBER(SEARCH("去",B5346)),ISNUMBER(SEARCH("入",B5346)))),"Ambiguous",IF(ISNUMBER(SEARCH("平",B5346)),"平","仄")))</x:f>
        <x:v>仄</x:v>
      </x:c>
      <x:c r="K5346" s="6" t="str">
        <x:f>IF(D5346="","",IF(AND(ISNUMBER(SEARCH("平",D5346)),OR(ISNUMBER(SEARCH("上",D5346)),ISNUMBER(SEARCH("去",D5346)),ISNUMBER(SEARCH("入",D5346)))),"Ambiguous",IF(ISNUMBER(SEARCH("平",D5346)),"平","仄")))</x:f>
        <x:v>仄</x:v>
      </x:c>
      <x:c r="L5346" s="7" t="str">
        <x:v>Pingshui main list, Lu Qinli gap fill</x:v>
      </x:c>
    </x:row>
    <x:row r="5347">
      <x:c r="A5347" s="5" t="str">
        <x:v>擺</x:v>
      </x:c>
      <x:c r="B5347" s="6" t="str">
        <x:v>上</x:v>
      </x:c>
      <x:c r="C5347" s="6" t="str">
        <x:f>IF(B5347="","Needs decision","Ready")</x:f>
        <x:v>Ready</x:v>
      </x:c>
      <x:c r="D5347" s="6" t="str">
        <x:v>上</x:v>
      </x:c>
      <x:c r="E5347" s="6" t="str"/>
      <x:c r="F5347" s="6" t="str">
        <x:v>上聲九蟹</x:v>
      </x:c>
      <x:c r="G5347" s="6" t="str">
        <x:v>Pingshui main list, Wikisource-derived DOCX</x:v>
      </x:c>
      <x:c r="H5347" s="6" t="str"/>
      <x:c r="I5347" s="6" t="str">
        <x:v>Lu Qinli gap fill from Pingshui main list; 詞 entries ignored</x:v>
      </x:c>
      <x:c r="J5347" s="6" t="str">
        <x:f>IF(B5347="","",IF(AND(ISNUMBER(SEARCH("平",B5347)),OR(ISNUMBER(SEARCH("上",B5347)),ISNUMBER(SEARCH("去",B5347)),ISNUMBER(SEARCH("入",B5347)))),"Ambiguous",IF(ISNUMBER(SEARCH("平",B5347)),"平","仄")))</x:f>
        <x:v>仄</x:v>
      </x:c>
      <x:c r="K5347" s="6" t="str">
        <x:f>IF(D5347="","",IF(AND(ISNUMBER(SEARCH("平",D5347)),OR(ISNUMBER(SEARCH("上",D5347)),ISNUMBER(SEARCH("去",D5347)),ISNUMBER(SEARCH("入",D5347)))),"Ambiguous",IF(ISNUMBER(SEARCH("平",D5347)),"平","仄")))</x:f>
        <x:v>仄</x:v>
      </x:c>
      <x:c r="L5347" s="7" t="str">
        <x:v>Pingshui main list, Lu Qinli gap fill</x:v>
      </x:c>
    </x:row>
    <x:row r="5348">
      <x:c r="A5348" s="5" t="str">
        <x:v>擿</x:v>
      </x:c>
      <x:c r="B5348" s="6" t="str">
        <x:v>入</x:v>
      </x:c>
      <x:c r="C5348" s="6" t="str">
        <x:f>IF(B5348="","Needs decision","Ready")</x:f>
        <x:v>Ready</x:v>
      </x:c>
      <x:c r="D5348" s="6" t="str">
        <x:v>入</x:v>
      </x:c>
      <x:c r="E5348" s="6" t="str"/>
      <x:c r="F5348" s="6" t="str">
        <x:v>入聲十一陌</x:v>
      </x:c>
      <x:c r="G5348" s="6" t="str">
        <x:v>Pingshui main list, Wikisource-derived DOCX</x:v>
      </x:c>
      <x:c r="H5348" s="6" t="str"/>
      <x:c r="I5348" s="6" t="str">
        <x:v>Lu Qinli gap fill from Pingshui main list; 詞 entries ignored</x:v>
      </x:c>
      <x:c r="J5348" s="6" t="str">
        <x:f>IF(B5348="","",IF(AND(ISNUMBER(SEARCH("平",B5348)),OR(ISNUMBER(SEARCH("上",B5348)),ISNUMBER(SEARCH("去",B5348)),ISNUMBER(SEARCH("入",B5348)))),"Ambiguous",IF(ISNUMBER(SEARCH("平",B5348)),"平","仄")))</x:f>
        <x:v>仄</x:v>
      </x:c>
      <x:c r="K5348" s="6" t="str">
        <x:f>IF(D5348="","",IF(AND(ISNUMBER(SEARCH("平",D5348)),OR(ISNUMBER(SEARCH("上",D5348)),ISNUMBER(SEARCH("去",D5348)),ISNUMBER(SEARCH("入",D5348)))),"Ambiguous",IF(ISNUMBER(SEARCH("平",D5348)),"平","仄")))</x:f>
        <x:v>仄</x:v>
      </x:c>
      <x:c r="L5348" s="7" t="str">
        <x:v>Pingshui main list, Lu Qinli gap fill</x:v>
      </x:c>
    </x:row>
    <x:row r="5349">
      <x:c r="A5349" s="5" t="str">
        <x:v>攖</x:v>
      </x:c>
      <x:c r="B5349" s="6" t="str">
        <x:v>平</x:v>
      </x:c>
      <x:c r="C5349" s="6" t="str">
        <x:f>IF(B5349="","Needs decision","Ready")</x:f>
        <x:v>Ready</x:v>
      </x:c>
      <x:c r="D5349" s="6" t="str">
        <x:v>平</x:v>
      </x:c>
      <x:c r="E5349" s="6" t="str"/>
      <x:c r="F5349" s="6" t="str">
        <x:v>下平聲八庚</x:v>
      </x:c>
      <x:c r="G5349" s="6" t="str">
        <x:v>Pingshui main list, Wikisource-derived DOCX</x:v>
      </x:c>
      <x:c r="H5349" s="6" t="str"/>
      <x:c r="I5349" s="6" t="str">
        <x:v>Lu Qinli gap fill from Pingshui main list; 詞 entries ignored</x:v>
      </x:c>
      <x:c r="J5349" s="6" t="str">
        <x:f>IF(B5349="","",IF(AND(ISNUMBER(SEARCH("平",B5349)),OR(ISNUMBER(SEARCH("上",B5349)),ISNUMBER(SEARCH("去",B5349)),ISNUMBER(SEARCH("入",B5349)))),"Ambiguous",IF(ISNUMBER(SEARCH("平",B5349)),"平","仄")))</x:f>
        <x:v>平</x:v>
      </x:c>
      <x:c r="K5349" s="6" t="str">
        <x:f>IF(D5349="","",IF(AND(ISNUMBER(SEARCH("平",D5349)),OR(ISNUMBER(SEARCH("上",D5349)),ISNUMBER(SEARCH("去",D5349)),ISNUMBER(SEARCH("入",D5349)))),"Ambiguous",IF(ISNUMBER(SEARCH("平",D5349)),"平","仄")))</x:f>
        <x:v>平</x:v>
      </x:c>
      <x:c r="L5349" s="7" t="str">
        <x:v>Pingshui main list, Lu Qinli gap fill</x:v>
      </x:c>
    </x:row>
    <x:row r="5350">
      <x:c r="A5350" s="5" t="str">
        <x:v>攙</x:v>
      </x:c>
      <x:c r="B5350" s="6" t="str">
        <x:v>平</x:v>
      </x:c>
      <x:c r="C5350" s="6" t="str">
        <x:f>IF(B5350="","Needs decision","Ready")</x:f>
        <x:v>Ready</x:v>
      </x:c>
      <x:c r="D5350" s="6" t="str">
        <x:v>平</x:v>
      </x:c>
      <x:c r="E5350" s="6" t="str"/>
      <x:c r="F5350" s="6" t="str">
        <x:v>下平聲十五咸</x:v>
      </x:c>
      <x:c r="G5350" s="6" t="str">
        <x:v>Pingshui main list, Wikisource-derived DOCX</x:v>
      </x:c>
      <x:c r="H5350" s="6" t="str"/>
      <x:c r="I5350" s="6" t="str">
        <x:v>Lu Qinli gap fill from Pingshui main list; 詞 entries ignored</x:v>
      </x:c>
      <x:c r="J5350" s="6" t="str">
        <x:f>IF(B5350="","",IF(AND(ISNUMBER(SEARCH("平",B5350)),OR(ISNUMBER(SEARCH("上",B5350)),ISNUMBER(SEARCH("去",B5350)),ISNUMBER(SEARCH("入",B5350)))),"Ambiguous",IF(ISNUMBER(SEARCH("平",B5350)),"平","仄")))</x:f>
        <x:v>平</x:v>
      </x:c>
      <x:c r="K5350" s="6" t="str">
        <x:f>IF(D5350="","",IF(AND(ISNUMBER(SEARCH("平",D5350)),OR(ISNUMBER(SEARCH("上",D5350)),ISNUMBER(SEARCH("去",D5350)),ISNUMBER(SEARCH("入",D5350)))),"Ambiguous",IF(ISNUMBER(SEARCH("平",D5350)),"平","仄")))</x:f>
        <x:v>平</x:v>
      </x:c>
      <x:c r="L5350" s="7" t="str">
        <x:v>Pingshui main list, Lu Qinli gap fill</x:v>
      </x:c>
    </x:row>
    <x:row r="5351">
      <x:c r="A5351" s="5" t="str">
        <x:v>敕</x:v>
      </x:c>
      <x:c r="B5351" s="6" t="str">
        <x:v>入</x:v>
      </x:c>
      <x:c r="C5351" s="6" t="str">
        <x:f>IF(B5351="","Needs decision","Ready")</x:f>
        <x:v>Ready</x:v>
      </x:c>
      <x:c r="D5351" s="6" t="str">
        <x:v>入</x:v>
      </x:c>
      <x:c r="E5351" s="6" t="str"/>
      <x:c r="F5351" s="6" t="str">
        <x:v>入聲十三職</x:v>
      </x:c>
      <x:c r="G5351" s="6" t="str">
        <x:v>Pingshui main list, Wikisource-derived DOCX</x:v>
      </x:c>
      <x:c r="H5351" s="6" t="str"/>
      <x:c r="I5351" s="6" t="str">
        <x:v>Lu Qinli gap fill from Pingshui main list; 詞 entries ignored</x:v>
      </x:c>
      <x:c r="J5351" s="6" t="str">
        <x:f>IF(B5351="","",IF(AND(ISNUMBER(SEARCH("平",B5351)),OR(ISNUMBER(SEARCH("上",B5351)),ISNUMBER(SEARCH("去",B5351)),ISNUMBER(SEARCH("入",B5351)))),"Ambiguous",IF(ISNUMBER(SEARCH("平",B5351)),"平","仄")))</x:f>
        <x:v>仄</x:v>
      </x:c>
      <x:c r="K5351" s="6" t="str">
        <x:f>IF(D5351="","",IF(AND(ISNUMBER(SEARCH("平",D5351)),OR(ISNUMBER(SEARCH("上",D5351)),ISNUMBER(SEARCH("去",D5351)),ISNUMBER(SEARCH("入",D5351)))),"Ambiguous",IF(ISNUMBER(SEARCH("平",D5351)),"平","仄")))</x:f>
        <x:v>仄</x:v>
      </x:c>
      <x:c r="L5351" s="7" t="str">
        <x:v>Pingshui main list, Lu Qinli gap fill</x:v>
      </x:c>
    </x:row>
    <x:row r="5352">
      <x:c r="A5352" s="5" t="str">
        <x:v>斁</x:v>
      </x:c>
      <x:c r="B5352" s="6" t="str"/>
      <x:c r="C5352" s="6" t="str">
        <x:f>IF(B5352="","Needs decision","Ready")</x:f>
        <x:v>Needs decision</x:v>
      </x:c>
      <x:c r="D5352" s="6" t="str">
        <x:v>去/入</x:v>
      </x:c>
      <x:c r="E5352" s="6" t="str"/>
      <x:c r="F5352" s="6" t="str">
        <x:v>去聲七遇; 入聲十一陌</x:v>
      </x:c>
      <x:c r="G5352" s="6" t="str">
        <x:v>Pingshui main list, Wikisource-derived DOCX</x:v>
      </x:c>
      <x:c r="H5352" s="6" t="str"/>
      <x:c r="I5352" s="6" t="str">
        <x:v>Lu Qinli gap fill from Pingshui main list; 詞 entries ignored</x:v>
      </x:c>
      <x:c r="J5352" s="6" t="str">
        <x:f>IF(B5352="","",IF(AND(ISNUMBER(SEARCH("平",B5352)),OR(ISNUMBER(SEARCH("上",B5352)),ISNUMBER(SEARCH("去",B5352)),ISNUMBER(SEARCH("入",B5352)))),"Ambiguous",IF(ISNUMBER(SEARCH("平",B5352)),"平","仄")))</x:f>
      </x:c>
      <x:c r="K5352" s="6" t="str">
        <x:f>IF(D5352="","",IF(AND(ISNUMBER(SEARCH("平",D5352)),OR(ISNUMBER(SEARCH("上",D5352)),ISNUMBER(SEARCH("去",D5352)),ISNUMBER(SEARCH("入",D5352)))),"Ambiguous",IF(ISNUMBER(SEARCH("平",D5352)),"平","仄")))</x:f>
        <x:v>仄</x:v>
      </x:c>
      <x:c r="L5352" s="7" t="str">
        <x:v>Pingshui main list, Lu Qinli gap fill</x:v>
      </x:c>
    </x:row>
    <x:row r="5353">
      <x:c r="A5353" s="5" t="str">
        <x:v>斌</x:v>
      </x:c>
      <x:c r="B5353" s="6" t="str">
        <x:v>平</x:v>
      </x:c>
      <x:c r="C5353" s="6" t="str">
        <x:f>IF(B5353="","Needs decision","Ready")</x:f>
        <x:v>Ready</x:v>
      </x:c>
      <x:c r="D5353" s="6" t="str">
        <x:v>平</x:v>
      </x:c>
      <x:c r="E5353" s="6" t="str"/>
      <x:c r="F5353" s="6" t="str">
        <x:v>上平聲十一真</x:v>
      </x:c>
      <x:c r="G5353" s="6" t="str">
        <x:v>Pingshui main list, Wikisource-derived DOCX</x:v>
      </x:c>
      <x:c r="H5353" s="6" t="str"/>
      <x:c r="I5353" s="6" t="str">
        <x:v>Lu Qinli gap fill from Pingshui main list; 詞 entries ignored</x:v>
      </x:c>
      <x:c r="J5353" s="6" t="str">
        <x:f>IF(B5353="","",IF(AND(ISNUMBER(SEARCH("平",B5353)),OR(ISNUMBER(SEARCH("上",B5353)),ISNUMBER(SEARCH("去",B5353)),ISNUMBER(SEARCH("入",B5353)))),"Ambiguous",IF(ISNUMBER(SEARCH("平",B5353)),"平","仄")))</x:f>
        <x:v>平</x:v>
      </x:c>
      <x:c r="K5353" s="6" t="str">
        <x:f>IF(D5353="","",IF(AND(ISNUMBER(SEARCH("平",D5353)),OR(ISNUMBER(SEARCH("上",D5353)),ISNUMBER(SEARCH("去",D5353)),ISNUMBER(SEARCH("入",D5353)))),"Ambiguous",IF(ISNUMBER(SEARCH("平",D5353)),"平","仄")))</x:f>
        <x:v>平</x:v>
      </x:c>
      <x:c r="L5353" s="7" t="str">
        <x:v>Pingshui main list, Lu Qinli gap fill</x:v>
      </x:c>
    </x:row>
    <x:row r="5354">
      <x:c r="A5354" s="5" t="str">
        <x:v>斐</x:v>
      </x:c>
      <x:c r="B5354" s="6" t="str">
        <x:v>上</x:v>
      </x:c>
      <x:c r="C5354" s="6" t="str">
        <x:f>IF(B5354="","Needs decision","Ready")</x:f>
        <x:v>Ready</x:v>
      </x:c>
      <x:c r="D5354" s="6" t="str">
        <x:v>上</x:v>
      </x:c>
      <x:c r="E5354" s="6" t="str"/>
      <x:c r="F5354" s="6" t="str">
        <x:v>上聲五尾</x:v>
      </x:c>
      <x:c r="G5354" s="6" t="str">
        <x:v>Pingshui main list, Wikisource-derived DOCX</x:v>
      </x:c>
      <x:c r="H5354" s="6" t="str"/>
      <x:c r="I5354" s="6" t="str">
        <x:v>Lu Qinli gap fill from Pingshui main list; 詞 entries ignored</x:v>
      </x:c>
      <x:c r="J5354" s="6" t="str">
        <x:f>IF(B5354="","",IF(AND(ISNUMBER(SEARCH("平",B5354)),OR(ISNUMBER(SEARCH("上",B5354)),ISNUMBER(SEARCH("去",B5354)),ISNUMBER(SEARCH("入",B5354)))),"Ambiguous",IF(ISNUMBER(SEARCH("平",B5354)),"平","仄")))</x:f>
        <x:v>仄</x:v>
      </x:c>
      <x:c r="K5354" s="6" t="str">
        <x:f>IF(D5354="","",IF(AND(ISNUMBER(SEARCH("平",D5354)),OR(ISNUMBER(SEARCH("上",D5354)),ISNUMBER(SEARCH("去",D5354)),ISNUMBER(SEARCH("入",D5354)))),"Ambiguous",IF(ISNUMBER(SEARCH("平",D5354)),"平","仄")))</x:f>
        <x:v>仄</x:v>
      </x:c>
      <x:c r="L5354" s="7" t="str">
        <x:v>Pingshui main list, Lu Qinli gap fill</x:v>
      </x:c>
    </x:row>
    <x:row r="5355">
      <x:c r="A5355" s="5" t="str">
        <x:v>斛</x:v>
      </x:c>
      <x:c r="B5355" s="6" t="str">
        <x:v>入</x:v>
      </x:c>
      <x:c r="C5355" s="6" t="str">
        <x:f>IF(B5355="","Needs decision","Ready")</x:f>
        <x:v>Ready</x:v>
      </x:c>
      <x:c r="D5355" s="6" t="str">
        <x:v>入</x:v>
      </x:c>
      <x:c r="E5355" s="6" t="str"/>
      <x:c r="F5355" s="6" t="str">
        <x:v>入聲一屋</x:v>
      </x:c>
      <x:c r="G5355" s="6" t="str">
        <x:v>Pingshui main list, Wikisource-derived DOCX</x:v>
      </x:c>
      <x:c r="H5355" s="6" t="str"/>
      <x:c r="I5355" s="6" t="str">
        <x:v>Lu Qinli gap fill from Pingshui main list; 詞 entries ignored</x:v>
      </x:c>
      <x:c r="J5355" s="6" t="str">
        <x:f>IF(B5355="","",IF(AND(ISNUMBER(SEARCH("平",B5355)),OR(ISNUMBER(SEARCH("上",B5355)),ISNUMBER(SEARCH("去",B5355)),ISNUMBER(SEARCH("入",B5355)))),"Ambiguous",IF(ISNUMBER(SEARCH("平",B5355)),"平","仄")))</x:f>
        <x:v>仄</x:v>
      </x:c>
      <x:c r="K5355" s="6" t="str">
        <x:f>IF(D5355="","",IF(AND(ISNUMBER(SEARCH("平",D5355)),OR(ISNUMBER(SEARCH("上",D5355)),ISNUMBER(SEARCH("去",D5355)),ISNUMBER(SEARCH("入",D5355)))),"Ambiguous",IF(ISNUMBER(SEARCH("平",D5355)),"平","仄")))</x:f>
        <x:v>仄</x:v>
      </x:c>
      <x:c r="L5355" s="7" t="str">
        <x:v>Pingshui main list, Lu Qinli gap fill</x:v>
      </x:c>
    </x:row>
    <x:row r="5356">
      <x:c r="A5356" s="5" t="str">
        <x:v>斡</x:v>
      </x:c>
      <x:c r="B5356" s="6" t="str">
        <x:v>入</x:v>
      </x:c>
      <x:c r="C5356" s="6" t="str">
        <x:f>IF(B5356="","Needs decision","Ready")</x:f>
        <x:v>Ready</x:v>
      </x:c>
      <x:c r="D5356" s="6" t="str">
        <x:v>入</x:v>
      </x:c>
      <x:c r="E5356" s="6" t="str"/>
      <x:c r="F5356" s="6" t="str">
        <x:v>入聲七曷</x:v>
      </x:c>
      <x:c r="G5356" s="6" t="str">
        <x:v>Pingshui main list, Wikisource-derived DOCX</x:v>
      </x:c>
      <x:c r="H5356" s="6" t="str"/>
      <x:c r="I5356" s="6" t="str">
        <x:v>Lu Qinli gap fill from Pingshui main list; 詞 entries ignored</x:v>
      </x:c>
      <x:c r="J5356" s="6" t="str">
        <x:f>IF(B5356="","",IF(AND(ISNUMBER(SEARCH("平",B5356)),OR(ISNUMBER(SEARCH("上",B5356)),ISNUMBER(SEARCH("去",B5356)),ISNUMBER(SEARCH("入",B5356)))),"Ambiguous",IF(ISNUMBER(SEARCH("平",B5356)),"平","仄")))</x:f>
        <x:v>仄</x:v>
      </x:c>
      <x:c r="K5356" s="6" t="str">
        <x:f>IF(D5356="","",IF(AND(ISNUMBER(SEARCH("平",D5356)),OR(ISNUMBER(SEARCH("上",D5356)),ISNUMBER(SEARCH("去",D5356)),ISNUMBER(SEARCH("入",D5356)))),"Ambiguous",IF(ISNUMBER(SEARCH("平",D5356)),"平","仄")))</x:f>
        <x:v>仄</x:v>
      </x:c>
      <x:c r="L5356" s="7" t="str">
        <x:v>Pingshui main list, Lu Qinli gap fill</x:v>
      </x:c>
    </x:row>
    <x:row r="5357">
      <x:c r="A5357" s="5" t="str">
        <x:v>旎</x:v>
      </x:c>
      <x:c r="B5357" s="6" t="str">
        <x:v>上</x:v>
      </x:c>
      <x:c r="C5357" s="6" t="str">
        <x:f>IF(B5357="","Needs decision","Ready")</x:f>
        <x:v>Ready</x:v>
      </x:c>
      <x:c r="D5357" s="6" t="str">
        <x:v>上</x:v>
      </x:c>
      <x:c r="E5357" s="6" t="str"/>
      <x:c r="F5357" s="6" t="str">
        <x:v>上聲四紙</x:v>
      </x:c>
      <x:c r="G5357" s="6" t="str">
        <x:v>Pingshui main list, Wikisource-derived DOCX</x:v>
      </x:c>
      <x:c r="H5357" s="6" t="str"/>
      <x:c r="I5357" s="6" t="str">
        <x:v>Lu Qinli gap fill from Pingshui main list; 詞 entries ignored</x:v>
      </x:c>
      <x:c r="J5357" s="6" t="str">
        <x:f>IF(B5357="","",IF(AND(ISNUMBER(SEARCH("平",B5357)),OR(ISNUMBER(SEARCH("上",B5357)),ISNUMBER(SEARCH("去",B5357)),ISNUMBER(SEARCH("入",B5357)))),"Ambiguous",IF(ISNUMBER(SEARCH("平",B5357)),"平","仄")))</x:f>
        <x:v>仄</x:v>
      </x:c>
      <x:c r="K5357" s="6" t="str">
        <x:f>IF(D5357="","",IF(AND(ISNUMBER(SEARCH("平",D5357)),OR(ISNUMBER(SEARCH("上",D5357)),ISNUMBER(SEARCH("去",D5357)),ISNUMBER(SEARCH("入",D5357)))),"Ambiguous",IF(ISNUMBER(SEARCH("平",D5357)),"平","仄")))</x:f>
        <x:v>仄</x:v>
      </x:c>
      <x:c r="L5357" s="7" t="str">
        <x:v>Pingshui main list, Lu Qinli gap fill</x:v>
      </x:c>
    </x:row>
    <x:row r="5358">
      <x:c r="A5358" s="5" t="str">
        <x:v>旐</x:v>
      </x:c>
      <x:c r="B5358" s="6" t="str">
        <x:v>上</x:v>
      </x:c>
      <x:c r="C5358" s="6" t="str">
        <x:f>IF(B5358="","Needs decision","Ready")</x:f>
        <x:v>Ready</x:v>
      </x:c>
      <x:c r="D5358" s="6" t="str">
        <x:v>上</x:v>
      </x:c>
      <x:c r="E5358" s="6" t="str"/>
      <x:c r="F5358" s="6" t="str">
        <x:v>上聲十七篠</x:v>
      </x:c>
      <x:c r="G5358" s="6" t="str">
        <x:v>Pingshui main list, Wikisource-derived DOCX</x:v>
      </x:c>
      <x:c r="H5358" s="6" t="str"/>
      <x:c r="I5358" s="6" t="str">
        <x:v>Lu Qinli gap fill from Pingshui main list; 詞 entries ignored</x:v>
      </x:c>
      <x:c r="J5358" s="6" t="str">
        <x:f>IF(B5358="","",IF(AND(ISNUMBER(SEARCH("平",B5358)),OR(ISNUMBER(SEARCH("上",B5358)),ISNUMBER(SEARCH("去",B5358)),ISNUMBER(SEARCH("入",B5358)))),"Ambiguous",IF(ISNUMBER(SEARCH("平",B5358)),"平","仄")))</x:f>
        <x:v>仄</x:v>
      </x:c>
      <x:c r="K5358" s="6" t="str">
        <x:f>IF(D5358="","",IF(AND(ISNUMBER(SEARCH("平",D5358)),OR(ISNUMBER(SEARCH("上",D5358)),ISNUMBER(SEARCH("去",D5358)),ISNUMBER(SEARCH("入",D5358)))),"Ambiguous",IF(ISNUMBER(SEARCH("平",D5358)),"平","仄")))</x:f>
        <x:v>仄</x:v>
      </x:c>
      <x:c r="L5358" s="7" t="str">
        <x:v>Pingshui main list, Lu Qinli gap fill</x:v>
      </x:c>
    </x:row>
    <x:row r="5359">
      <x:c r="A5359" s="5" t="str">
        <x:v>旟</x:v>
      </x:c>
      <x:c r="B5359" s="6" t="str">
        <x:v>平</x:v>
      </x:c>
      <x:c r="C5359" s="6" t="str">
        <x:f>IF(B5359="","Needs decision","Ready")</x:f>
        <x:v>Ready</x:v>
      </x:c>
      <x:c r="D5359" s="6" t="str">
        <x:v>平</x:v>
      </x:c>
      <x:c r="E5359" s="6" t="str"/>
      <x:c r="F5359" s="6" t="str">
        <x:v>上平聲六魚</x:v>
      </x:c>
      <x:c r="G5359" s="6" t="str">
        <x:v>Pingshui main list, Wikisource-derived DOCX</x:v>
      </x:c>
      <x:c r="H5359" s="6" t="str"/>
      <x:c r="I5359" s="6" t="str">
        <x:v>Lu Qinli gap fill from Pingshui main list; 詞 entries ignored</x:v>
      </x:c>
      <x:c r="J5359" s="6" t="str">
        <x:f>IF(B5359="","",IF(AND(ISNUMBER(SEARCH("平",B5359)),OR(ISNUMBER(SEARCH("上",B5359)),ISNUMBER(SEARCH("去",B5359)),ISNUMBER(SEARCH("入",B5359)))),"Ambiguous",IF(ISNUMBER(SEARCH("平",B5359)),"平","仄")))</x:f>
        <x:v>平</x:v>
      </x:c>
      <x:c r="K5359" s="6" t="str">
        <x:f>IF(D5359="","",IF(AND(ISNUMBER(SEARCH("平",D5359)),OR(ISNUMBER(SEARCH("上",D5359)),ISNUMBER(SEARCH("去",D5359)),ISNUMBER(SEARCH("入",D5359)))),"Ambiguous",IF(ISNUMBER(SEARCH("平",D5359)),"平","仄")))</x:f>
        <x:v>平</x:v>
      </x:c>
      <x:c r="L5359" s="7" t="str">
        <x:v>Pingshui main list, Lu Qinli gap fill</x:v>
      </x:c>
    </x:row>
    <x:row r="5360">
      <x:c r="A5360" s="5" t="str">
        <x:v>旰</x:v>
      </x:c>
      <x:c r="B5360" s="6" t="str">
        <x:v>去</x:v>
      </x:c>
      <x:c r="C5360" s="6" t="str">
        <x:f>IF(B5360="","Needs decision","Ready")</x:f>
        <x:v>Ready</x:v>
      </x:c>
      <x:c r="D5360" s="6" t="str">
        <x:v>去</x:v>
      </x:c>
      <x:c r="E5360" s="6" t="str"/>
      <x:c r="F5360" s="6" t="str">
        <x:v>去聲十五翰</x:v>
      </x:c>
      <x:c r="G5360" s="6" t="str">
        <x:v>Pingshui main list, Wikisource-derived DOCX</x:v>
      </x:c>
      <x:c r="H5360" s="6" t="str"/>
      <x:c r="I5360" s="6" t="str">
        <x:v>Lu Qinli gap fill from Pingshui main list; 詞 entries ignored</x:v>
      </x:c>
      <x:c r="J5360" s="6" t="str">
        <x:f>IF(B5360="","",IF(AND(ISNUMBER(SEARCH("平",B5360)),OR(ISNUMBER(SEARCH("上",B5360)),ISNUMBER(SEARCH("去",B5360)),ISNUMBER(SEARCH("入",B5360)))),"Ambiguous",IF(ISNUMBER(SEARCH("平",B5360)),"平","仄")))</x:f>
        <x:v>仄</x:v>
      </x:c>
      <x:c r="K5360" s="6" t="str">
        <x:f>IF(D5360="","",IF(AND(ISNUMBER(SEARCH("平",D5360)),OR(ISNUMBER(SEARCH("上",D5360)),ISNUMBER(SEARCH("去",D5360)),ISNUMBER(SEARCH("入",D5360)))),"Ambiguous",IF(ISNUMBER(SEARCH("平",D5360)),"平","仄")))</x:f>
        <x:v>仄</x:v>
      </x:c>
      <x:c r="L5360" s="7" t="str">
        <x:v>Pingshui main list, Lu Qinli gap fill</x:v>
      </x:c>
    </x:row>
    <x:row r="5361">
      <x:c r="A5361" s="5" t="str">
        <x:v>昇</x:v>
      </x:c>
      <x:c r="B5361" s="6" t="str">
        <x:v>平</x:v>
      </x:c>
      <x:c r="C5361" s="6" t="str">
        <x:f>IF(B5361="","Needs decision","Ready")</x:f>
        <x:v>Ready</x:v>
      </x:c>
      <x:c r="D5361" s="6" t="str">
        <x:v>平</x:v>
      </x:c>
      <x:c r="E5361" s="6" t="str"/>
      <x:c r="F5361" s="6" t="str">
        <x:v>下平聲十蒸</x:v>
      </x:c>
      <x:c r="G5361" s="6" t="str">
        <x:v>Pingshui main list, Wikisource-derived DOCX</x:v>
      </x:c>
      <x:c r="H5361" s="6" t="str"/>
      <x:c r="I5361" s="6" t="str">
        <x:v>Lu Qinli gap fill from Pingshui main list; 詞 entries ignored</x:v>
      </x:c>
      <x:c r="J5361" s="6" t="str">
        <x:f>IF(B5361="","",IF(AND(ISNUMBER(SEARCH("平",B5361)),OR(ISNUMBER(SEARCH("上",B5361)),ISNUMBER(SEARCH("去",B5361)),ISNUMBER(SEARCH("入",B5361)))),"Ambiguous",IF(ISNUMBER(SEARCH("平",B5361)),"平","仄")))</x:f>
        <x:v>平</x:v>
      </x:c>
      <x:c r="K5361" s="6" t="str">
        <x:f>IF(D5361="","",IF(AND(ISNUMBER(SEARCH("平",D5361)),OR(ISNUMBER(SEARCH("上",D5361)),ISNUMBER(SEARCH("去",D5361)),ISNUMBER(SEARCH("入",D5361)))),"Ambiguous",IF(ISNUMBER(SEARCH("平",D5361)),"平","仄")))</x:f>
        <x:v>平</x:v>
      </x:c>
      <x:c r="L5361" s="7" t="str">
        <x:v>Pingshui main list, Lu Qinli gap fill</x:v>
      </x:c>
    </x:row>
    <x:row r="5362">
      <x:c r="A5362" s="5" t="str">
        <x:v>昶</x:v>
      </x:c>
      <x:c r="B5362" s="6" t="str">
        <x:v>上</x:v>
      </x:c>
      <x:c r="C5362" s="6" t="str">
        <x:f>IF(B5362="","Needs decision","Ready")</x:f>
        <x:v>Ready</x:v>
      </x:c>
      <x:c r="D5362" s="6" t="str">
        <x:v>上</x:v>
      </x:c>
      <x:c r="E5362" s="6" t="str"/>
      <x:c r="F5362" s="6" t="str">
        <x:v>上聲二十二養</x:v>
      </x:c>
      <x:c r="G5362" s="6" t="str">
        <x:v>Pingshui main list, Wikisource-derived DOCX</x:v>
      </x:c>
      <x:c r="H5362" s="6" t="str"/>
      <x:c r="I5362" s="6" t="str">
        <x:v>Lu Qinli gap fill from Pingshui main list; 詞 entries ignored</x:v>
      </x:c>
      <x:c r="J5362" s="6" t="str">
        <x:f>IF(B5362="","",IF(AND(ISNUMBER(SEARCH("平",B5362)),OR(ISNUMBER(SEARCH("上",B5362)),ISNUMBER(SEARCH("去",B5362)),ISNUMBER(SEARCH("入",B5362)))),"Ambiguous",IF(ISNUMBER(SEARCH("平",B5362)),"平","仄")))</x:f>
        <x:v>仄</x:v>
      </x:c>
      <x:c r="K5362" s="6" t="str">
        <x:f>IF(D5362="","",IF(AND(ISNUMBER(SEARCH("平",D5362)),OR(ISNUMBER(SEARCH("上",D5362)),ISNUMBER(SEARCH("去",D5362)),ISNUMBER(SEARCH("入",D5362)))),"Ambiguous",IF(ISNUMBER(SEARCH("平",D5362)),"平","仄")))</x:f>
        <x:v>仄</x:v>
      </x:c>
      <x:c r="L5362" s="7" t="str">
        <x:v>Pingshui main list, Lu Qinli gap fill</x:v>
      </x:c>
    </x:row>
    <x:row r="5363">
      <x:c r="A5363" s="5" t="str">
        <x:v>晃</x:v>
      </x:c>
      <x:c r="B5363" s="6" t="str">
        <x:v>上</x:v>
      </x:c>
      <x:c r="C5363" s="6" t="str">
        <x:f>IF(B5363="","Needs decision","Ready")</x:f>
        <x:v>Ready</x:v>
      </x:c>
      <x:c r="D5363" s="6" t="str">
        <x:v>上</x:v>
      </x:c>
      <x:c r="E5363" s="6" t="str"/>
      <x:c r="F5363" s="6" t="str">
        <x:v>上聲二十二養</x:v>
      </x:c>
      <x:c r="G5363" s="6" t="str">
        <x:v>Pingshui main list, Wikisource-derived DOCX</x:v>
      </x:c>
      <x:c r="H5363" s="6" t="str"/>
      <x:c r="I5363" s="6" t="str">
        <x:v>Lu Qinli gap fill from Pingshui main list; 詞 entries ignored</x:v>
      </x:c>
      <x:c r="J5363" s="6" t="str">
        <x:f>IF(B5363="","",IF(AND(ISNUMBER(SEARCH("平",B5363)),OR(ISNUMBER(SEARCH("上",B5363)),ISNUMBER(SEARCH("去",B5363)),ISNUMBER(SEARCH("入",B5363)))),"Ambiguous",IF(ISNUMBER(SEARCH("平",B5363)),"平","仄")))</x:f>
        <x:v>仄</x:v>
      </x:c>
      <x:c r="K5363" s="6" t="str">
        <x:f>IF(D5363="","",IF(AND(ISNUMBER(SEARCH("平",D5363)),OR(ISNUMBER(SEARCH("上",D5363)),ISNUMBER(SEARCH("去",D5363)),ISNUMBER(SEARCH("入",D5363)))),"Ambiguous",IF(ISNUMBER(SEARCH("平",D5363)),"平","仄")))</x:f>
        <x:v>仄</x:v>
      </x:c>
      <x:c r="L5363" s="7" t="str">
        <x:v>Pingshui main list, Lu Qinli gap fill</x:v>
      </x:c>
    </x:row>
    <x:row r="5364">
      <x:c r="A5364" s="5" t="str">
        <x:v>晊</x:v>
      </x:c>
      <x:c r="B5364" s="6" t="str">
        <x:v>入</x:v>
      </x:c>
      <x:c r="C5364" s="6" t="str">
        <x:f>IF(B5364="","Needs decision","Ready")</x:f>
        <x:v>Ready</x:v>
      </x:c>
      <x:c r="D5364" s="6" t="str">
        <x:v>入</x:v>
      </x:c>
      <x:c r="E5364" s="6" t="str"/>
      <x:c r="F5364" s="6" t="str">
        <x:v>入聲四質</x:v>
      </x:c>
      <x:c r="G5364" s="6" t="str">
        <x:v>Pingshui main list, Wikisource-derived DOCX</x:v>
      </x:c>
      <x:c r="H5364" s="6" t="str"/>
      <x:c r="I5364" s="6" t="str">
        <x:v>Lu Qinli gap fill from Pingshui main list; 詞 entries ignored</x:v>
      </x:c>
      <x:c r="J5364" s="6" t="str">
        <x:f>IF(B5364="","",IF(AND(ISNUMBER(SEARCH("平",B5364)),OR(ISNUMBER(SEARCH("上",B5364)),ISNUMBER(SEARCH("去",B5364)),ISNUMBER(SEARCH("入",B5364)))),"Ambiguous",IF(ISNUMBER(SEARCH("平",B5364)),"平","仄")))</x:f>
        <x:v>仄</x:v>
      </x:c>
      <x:c r="K5364" s="6" t="str">
        <x:f>IF(D5364="","",IF(AND(ISNUMBER(SEARCH("平",D5364)),OR(ISNUMBER(SEARCH("上",D5364)),ISNUMBER(SEARCH("去",D5364)),ISNUMBER(SEARCH("入",D5364)))),"Ambiguous",IF(ISNUMBER(SEARCH("平",D5364)),"平","仄")))</x:f>
        <x:v>仄</x:v>
      </x:c>
      <x:c r="L5364" s="7" t="str">
        <x:v>Pingshui main list, Lu Qinli gap fill</x:v>
      </x:c>
    </x:row>
    <x:row r="5365">
      <x:c r="A5365" s="5" t="str">
        <x:v>晬</x:v>
      </x:c>
      <x:c r="B5365" s="6" t="str">
        <x:v>去</x:v>
      </x:c>
      <x:c r="C5365" s="6" t="str">
        <x:f>IF(B5365="","Needs decision","Ready")</x:f>
        <x:v>Ready</x:v>
      </x:c>
      <x:c r="D5365" s="6" t="str">
        <x:v>去</x:v>
      </x:c>
      <x:c r="E5365" s="6" t="str"/>
      <x:c r="F5365" s="6" t="str">
        <x:v>去聲十一隊</x:v>
      </x:c>
      <x:c r="G5365" s="6" t="str">
        <x:v>Pingshui main list, Wikisource-derived DOCX</x:v>
      </x:c>
      <x:c r="H5365" s="6" t="str"/>
      <x:c r="I5365" s="6" t="str">
        <x:v>Lu Qinli gap fill from Pingshui main list; 詞 entries ignored</x:v>
      </x:c>
      <x:c r="J5365" s="6" t="str">
        <x:f>IF(B5365="","",IF(AND(ISNUMBER(SEARCH("平",B5365)),OR(ISNUMBER(SEARCH("上",B5365)),ISNUMBER(SEARCH("去",B5365)),ISNUMBER(SEARCH("入",B5365)))),"Ambiguous",IF(ISNUMBER(SEARCH("平",B5365)),"平","仄")))</x:f>
        <x:v>仄</x:v>
      </x:c>
      <x:c r="K5365" s="6" t="str">
        <x:f>IF(D5365="","",IF(AND(ISNUMBER(SEARCH("平",D5365)),OR(ISNUMBER(SEARCH("上",D5365)),ISNUMBER(SEARCH("去",D5365)),ISNUMBER(SEARCH("入",D5365)))),"Ambiguous",IF(ISNUMBER(SEARCH("平",D5365)),"平","仄")))</x:f>
        <x:v>仄</x:v>
      </x:c>
      <x:c r="L5365" s="7" t="str">
        <x:v>Pingshui main list, Lu Qinli gap fill</x:v>
      </x:c>
    </x:row>
    <x:row r="5366">
      <x:c r="A5366" s="5" t="str">
        <x:v>晰</x:v>
      </x:c>
      <x:c r="B5366" s="6" t="str">
        <x:v>入</x:v>
      </x:c>
      <x:c r="C5366" s="6" t="str">
        <x:f>IF(B5366="","Needs decision","Ready")</x:f>
        <x:v>Ready</x:v>
      </x:c>
      <x:c r="D5366" s="6" t="str">
        <x:v>入</x:v>
      </x:c>
      <x:c r="E5366" s="6" t="str"/>
      <x:c r="F5366" s="6" t="str">
        <x:v>入聲九屑</x:v>
      </x:c>
      <x:c r="G5366" s="6" t="str">
        <x:v>Pingshui main list, Wikisource-derived DOCX</x:v>
      </x:c>
      <x:c r="H5366" s="6" t="str"/>
      <x:c r="I5366" s="6" t="str">
        <x:v>Lu Qinli gap fill from Pingshui main list; 詞 entries ignored</x:v>
      </x:c>
      <x:c r="J5366" s="6" t="str">
        <x:f>IF(B5366="","",IF(AND(ISNUMBER(SEARCH("平",B5366)),OR(ISNUMBER(SEARCH("上",B5366)),ISNUMBER(SEARCH("去",B5366)),ISNUMBER(SEARCH("入",B5366)))),"Ambiguous",IF(ISNUMBER(SEARCH("平",B5366)),"平","仄")))</x:f>
        <x:v>仄</x:v>
      </x:c>
      <x:c r="K5366" s="6" t="str">
        <x:f>IF(D5366="","",IF(AND(ISNUMBER(SEARCH("平",D5366)),OR(ISNUMBER(SEARCH("上",D5366)),ISNUMBER(SEARCH("去",D5366)),ISNUMBER(SEARCH("入",D5366)))),"Ambiguous",IF(ISNUMBER(SEARCH("平",D5366)),"平","仄")))</x:f>
        <x:v>仄</x:v>
      </x:c>
      <x:c r="L5366" s="7" t="str">
        <x:v>Pingshui main list, Lu Qinli gap fill</x:v>
      </x:c>
    </x:row>
    <x:row r="5367">
      <x:c r="A5367" s="5" t="str">
        <x:v>暄</x:v>
      </x:c>
      <x:c r="B5367" s="6" t="str">
        <x:v>平</x:v>
      </x:c>
      <x:c r="C5367" s="6" t="str">
        <x:f>IF(B5367="","Needs decision","Ready")</x:f>
        <x:v>Ready</x:v>
      </x:c>
      <x:c r="D5367" s="6" t="str">
        <x:v>平</x:v>
      </x:c>
      <x:c r="E5367" s="6" t="str"/>
      <x:c r="F5367" s="6" t="str">
        <x:v>上平聲十三元</x:v>
      </x:c>
      <x:c r="G5367" s="6" t="str">
        <x:v>Pingshui main list, Wikisource-derived DOCX</x:v>
      </x:c>
      <x:c r="H5367" s="6" t="str"/>
      <x:c r="I5367" s="6" t="str">
        <x:v>Lu Qinli gap fill from Pingshui main list; 詞 entries ignored</x:v>
      </x:c>
      <x:c r="J5367" s="6" t="str">
        <x:f>IF(B5367="","",IF(AND(ISNUMBER(SEARCH("平",B5367)),OR(ISNUMBER(SEARCH("上",B5367)),ISNUMBER(SEARCH("去",B5367)),ISNUMBER(SEARCH("入",B5367)))),"Ambiguous",IF(ISNUMBER(SEARCH("平",B5367)),"平","仄")))</x:f>
        <x:v>平</x:v>
      </x:c>
      <x:c r="K5367" s="6" t="str">
        <x:f>IF(D5367="","",IF(AND(ISNUMBER(SEARCH("平",D5367)),OR(ISNUMBER(SEARCH("上",D5367)),ISNUMBER(SEARCH("去",D5367)),ISNUMBER(SEARCH("入",D5367)))),"Ambiguous",IF(ISNUMBER(SEARCH("平",D5367)),"平","仄")))</x:f>
        <x:v>平</x:v>
      </x:c>
      <x:c r="L5367" s="7" t="str">
        <x:v>Pingshui main list, Lu Qinli gap fill</x:v>
      </x:c>
    </x:row>
    <x:row r="5368">
      <x:c r="A5368" s="5" t="str">
        <x:v>暈</x:v>
      </x:c>
      <x:c r="B5368" s="6" t="str">
        <x:v>去</x:v>
      </x:c>
      <x:c r="C5368" s="6" t="str">
        <x:f>IF(B5368="","Needs decision","Ready")</x:f>
        <x:v>Ready</x:v>
      </x:c>
      <x:c r="D5368" s="6" t="str">
        <x:v>去</x:v>
      </x:c>
      <x:c r="E5368" s="6" t="str"/>
      <x:c r="F5368" s="6" t="str">
        <x:v>去聲十三問</x:v>
      </x:c>
      <x:c r="G5368" s="6" t="str">
        <x:v>Pingshui main list, Wikisource-derived DOCX</x:v>
      </x:c>
      <x:c r="H5368" s="6" t="str"/>
      <x:c r="I5368" s="6" t="str">
        <x:v>Lu Qinli gap fill from Pingshui main list; 詞 entries ignored</x:v>
      </x:c>
      <x:c r="J5368" s="6" t="str">
        <x:f>IF(B5368="","",IF(AND(ISNUMBER(SEARCH("平",B5368)),OR(ISNUMBER(SEARCH("上",B5368)),ISNUMBER(SEARCH("去",B5368)),ISNUMBER(SEARCH("入",B5368)))),"Ambiguous",IF(ISNUMBER(SEARCH("平",B5368)),"平","仄")))</x:f>
        <x:v>仄</x:v>
      </x:c>
      <x:c r="K5368" s="6" t="str">
        <x:f>IF(D5368="","",IF(AND(ISNUMBER(SEARCH("平",D5368)),OR(ISNUMBER(SEARCH("上",D5368)),ISNUMBER(SEARCH("去",D5368)),ISNUMBER(SEARCH("入",D5368)))),"Ambiguous",IF(ISNUMBER(SEARCH("平",D5368)),"平","仄")))</x:f>
        <x:v>仄</x:v>
      </x:c>
      <x:c r="L5368" s="7" t="str">
        <x:v>Pingshui main list, Lu Qinli gap fill</x:v>
      </x:c>
    </x:row>
    <x:row r="5369">
      <x:c r="A5369" s="5" t="str">
        <x:v>暌</x:v>
      </x:c>
      <x:c r="B5369" s="6" t="str">
        <x:v>平</x:v>
      </x:c>
      <x:c r="C5369" s="6" t="str">
        <x:f>IF(B5369="","Needs decision","Ready")</x:f>
        <x:v>Ready</x:v>
      </x:c>
      <x:c r="D5369" s="6" t="str">
        <x:v>平</x:v>
      </x:c>
      <x:c r="E5369" s="6" t="str"/>
      <x:c r="F5369" s="6" t="str">
        <x:v>上平聲八齊</x:v>
      </x:c>
      <x:c r="G5369" s="6" t="str">
        <x:v>Pingshui main list, Wikisource-derived DOCX</x:v>
      </x:c>
      <x:c r="H5369" s="6" t="str"/>
      <x:c r="I5369" s="6" t="str">
        <x:v>Lu Qinli gap fill from Pingshui main list; 詞 entries ignored</x:v>
      </x:c>
      <x:c r="J5369" s="6" t="str">
        <x:f>IF(B5369="","",IF(AND(ISNUMBER(SEARCH("平",B5369)),OR(ISNUMBER(SEARCH("上",B5369)),ISNUMBER(SEARCH("去",B5369)),ISNUMBER(SEARCH("入",B5369)))),"Ambiguous",IF(ISNUMBER(SEARCH("平",B5369)),"平","仄")))</x:f>
        <x:v>平</x:v>
      </x:c>
      <x:c r="K5369" s="6" t="str">
        <x:f>IF(D5369="","",IF(AND(ISNUMBER(SEARCH("平",D5369)),OR(ISNUMBER(SEARCH("上",D5369)),ISNUMBER(SEARCH("去",D5369)),ISNUMBER(SEARCH("入",D5369)))),"Ambiguous",IF(ISNUMBER(SEARCH("平",D5369)),"平","仄")))</x:f>
        <x:v>平</x:v>
      </x:c>
      <x:c r="L5369" s="7" t="str">
        <x:v>Pingshui main list, Lu Qinli gap fill</x:v>
      </x:c>
    </x:row>
    <x:row r="5370">
      <x:c r="A5370" s="5" t="str">
        <x:v>暐</x:v>
      </x:c>
      <x:c r="B5370" s="6" t="str">
        <x:v>上</x:v>
      </x:c>
      <x:c r="C5370" s="6" t="str">
        <x:f>IF(B5370="","Needs decision","Ready")</x:f>
        <x:v>Ready</x:v>
      </x:c>
      <x:c r="D5370" s="6" t="str">
        <x:v>上</x:v>
      </x:c>
      <x:c r="E5370" s="6" t="str"/>
      <x:c r="F5370" s="6" t="str">
        <x:v>上聲五尾</x:v>
      </x:c>
      <x:c r="G5370" s="6" t="str">
        <x:v>Pingshui main list, Wikisource-derived DOCX</x:v>
      </x:c>
      <x:c r="H5370" s="6" t="str"/>
      <x:c r="I5370" s="6" t="str">
        <x:v>Lu Qinli gap fill from Pingshui main list; 詞 entries ignored</x:v>
      </x:c>
      <x:c r="J5370" s="6" t="str">
        <x:f>IF(B5370="","",IF(AND(ISNUMBER(SEARCH("平",B5370)),OR(ISNUMBER(SEARCH("上",B5370)),ISNUMBER(SEARCH("去",B5370)),ISNUMBER(SEARCH("入",B5370)))),"Ambiguous",IF(ISNUMBER(SEARCH("平",B5370)),"平","仄")))</x:f>
        <x:v>仄</x:v>
      </x:c>
      <x:c r="K5370" s="6" t="str">
        <x:f>IF(D5370="","",IF(AND(ISNUMBER(SEARCH("平",D5370)),OR(ISNUMBER(SEARCH("上",D5370)),ISNUMBER(SEARCH("去",D5370)),ISNUMBER(SEARCH("入",D5370)))),"Ambiguous",IF(ISNUMBER(SEARCH("平",D5370)),"平","仄")))</x:f>
        <x:v>仄</x:v>
      </x:c>
      <x:c r="L5370" s="7" t="str">
        <x:v>Pingshui main list, Lu Qinli gap fill</x:v>
      </x:c>
    </x:row>
    <x:row r="5371">
      <x:c r="A5371" s="5" t="str">
        <x:v>暘</x:v>
      </x:c>
      <x:c r="B5371" s="6" t="str">
        <x:v>平</x:v>
      </x:c>
      <x:c r="C5371" s="6" t="str">
        <x:f>IF(B5371="","Needs decision","Ready")</x:f>
        <x:v>Ready</x:v>
      </x:c>
      <x:c r="D5371" s="6" t="str">
        <x:v>平</x:v>
      </x:c>
      <x:c r="E5371" s="6" t="str"/>
      <x:c r="F5371" s="6" t="str">
        <x:v>下平聲七陽</x:v>
      </x:c>
      <x:c r="G5371" s="6" t="str">
        <x:v>Pingshui main list, Wikisource-derived DOCX</x:v>
      </x:c>
      <x:c r="H5371" s="6" t="str"/>
      <x:c r="I5371" s="6" t="str">
        <x:v>Lu Qinli gap fill from Pingshui main list; 詞 entries ignored</x:v>
      </x:c>
      <x:c r="J5371" s="6" t="str">
        <x:f>IF(B5371="","",IF(AND(ISNUMBER(SEARCH("平",B5371)),OR(ISNUMBER(SEARCH("上",B5371)),ISNUMBER(SEARCH("去",B5371)),ISNUMBER(SEARCH("入",B5371)))),"Ambiguous",IF(ISNUMBER(SEARCH("平",B5371)),"平","仄")))</x:f>
        <x:v>平</x:v>
      </x:c>
      <x:c r="K5371" s="6" t="str">
        <x:f>IF(D5371="","",IF(AND(ISNUMBER(SEARCH("平",D5371)),OR(ISNUMBER(SEARCH("上",D5371)),ISNUMBER(SEARCH("去",D5371)),ISNUMBER(SEARCH("入",D5371)))),"Ambiguous",IF(ISNUMBER(SEARCH("平",D5371)),"平","仄")))</x:f>
        <x:v>平</x:v>
      </x:c>
      <x:c r="L5371" s="7" t="str">
        <x:v>Pingshui main list, Lu Qinli gap fill</x:v>
      </x:c>
    </x:row>
    <x:row r="5372">
      <x:c r="A5372" s="5" t="str">
        <x:v>暠</x:v>
      </x:c>
      <x:c r="B5372" s="6" t="str">
        <x:v>上</x:v>
      </x:c>
      <x:c r="C5372" s="6" t="str">
        <x:f>IF(B5372="","Needs decision","Ready")</x:f>
        <x:v>Ready</x:v>
      </x:c>
      <x:c r="D5372" s="6" t="str">
        <x:v>上</x:v>
      </x:c>
      <x:c r="E5372" s="6" t="str"/>
      <x:c r="F5372" s="6" t="str">
        <x:v>上聲十九皓</x:v>
      </x:c>
      <x:c r="G5372" s="6" t="str">
        <x:v>Pingshui main list, Wikisource-derived DOCX</x:v>
      </x:c>
      <x:c r="H5372" s="6" t="str"/>
      <x:c r="I5372" s="6" t="str">
        <x:v>Lu Qinli gap fill from Pingshui main list; 詞 entries ignored</x:v>
      </x:c>
      <x:c r="J5372" s="6" t="str">
        <x:f>IF(B5372="","",IF(AND(ISNUMBER(SEARCH("平",B5372)),OR(ISNUMBER(SEARCH("上",B5372)),ISNUMBER(SEARCH("去",B5372)),ISNUMBER(SEARCH("入",B5372)))),"Ambiguous",IF(ISNUMBER(SEARCH("平",B5372)),"平","仄")))</x:f>
        <x:v>仄</x:v>
      </x:c>
      <x:c r="K5372" s="6" t="str">
        <x:f>IF(D5372="","",IF(AND(ISNUMBER(SEARCH("平",D5372)),OR(ISNUMBER(SEARCH("上",D5372)),ISNUMBER(SEARCH("去",D5372)),ISNUMBER(SEARCH("入",D5372)))),"Ambiguous",IF(ISNUMBER(SEARCH("平",D5372)),"平","仄")))</x:f>
        <x:v>仄</x:v>
      </x:c>
      <x:c r="L5372" s="7" t="str">
        <x:v>Pingshui main list, Lu Qinli gap fill</x:v>
      </x:c>
    </x:row>
    <x:row r="5373">
      <x:c r="A5373" s="5" t="str">
        <x:v>暹</x:v>
      </x:c>
      <x:c r="B5373" s="6" t="str">
        <x:v>平</x:v>
      </x:c>
      <x:c r="C5373" s="6" t="str">
        <x:f>IF(B5373="","Needs decision","Ready")</x:f>
        <x:v>Ready</x:v>
      </x:c>
      <x:c r="D5373" s="6" t="str">
        <x:v>平</x:v>
      </x:c>
      <x:c r="E5373" s="6" t="str"/>
      <x:c r="F5373" s="6" t="str">
        <x:v>下平聲十四鹽</x:v>
      </x:c>
      <x:c r="G5373" s="6" t="str">
        <x:v>Pingshui main list, Wikisource-derived DOCX</x:v>
      </x:c>
      <x:c r="H5373" s="6" t="str"/>
      <x:c r="I5373" s="6" t="str">
        <x:v>Lu Qinli gap fill from Pingshui main list; 詞 entries ignored</x:v>
      </x:c>
      <x:c r="J5373" s="6" t="str">
        <x:f>IF(B5373="","",IF(AND(ISNUMBER(SEARCH("平",B5373)),OR(ISNUMBER(SEARCH("上",B5373)),ISNUMBER(SEARCH("去",B5373)),ISNUMBER(SEARCH("入",B5373)))),"Ambiguous",IF(ISNUMBER(SEARCH("平",B5373)),"平","仄")))</x:f>
        <x:v>平</x:v>
      </x:c>
      <x:c r="K5373" s="6" t="str">
        <x:f>IF(D5373="","",IF(AND(ISNUMBER(SEARCH("平",D5373)),OR(ISNUMBER(SEARCH("上",D5373)),ISNUMBER(SEARCH("去",D5373)),ISNUMBER(SEARCH("入",D5373)))),"Ambiguous",IF(ISNUMBER(SEARCH("平",D5373)),"平","仄")))</x:f>
        <x:v>平</x:v>
      </x:c>
      <x:c r="L5373" s="7" t="str">
        <x:v>Pingshui main list, Lu Qinli gap fill</x:v>
      </x:c>
    </x:row>
    <x:row r="5374">
      <x:c r="A5374" s="5" t="str">
        <x:v>暾</x:v>
      </x:c>
      <x:c r="B5374" s="6" t="str">
        <x:v>平</x:v>
      </x:c>
      <x:c r="C5374" s="6" t="str">
        <x:f>IF(B5374="","Needs decision","Ready")</x:f>
        <x:v>Ready</x:v>
      </x:c>
      <x:c r="D5374" s="6" t="str">
        <x:v>平</x:v>
      </x:c>
      <x:c r="E5374" s="6" t="str"/>
      <x:c r="F5374" s="6" t="str">
        <x:v>上平聲十三元</x:v>
      </x:c>
      <x:c r="G5374" s="6" t="str">
        <x:v>Pingshui main list, Wikisource-derived DOCX</x:v>
      </x:c>
      <x:c r="H5374" s="6" t="str"/>
      <x:c r="I5374" s="6" t="str">
        <x:v>Lu Qinli gap fill from Pingshui main list; 詞 entries ignored</x:v>
      </x:c>
      <x:c r="J5374" s="6" t="str">
        <x:f>IF(B5374="","",IF(AND(ISNUMBER(SEARCH("平",B5374)),OR(ISNUMBER(SEARCH("上",B5374)),ISNUMBER(SEARCH("去",B5374)),ISNUMBER(SEARCH("入",B5374)))),"Ambiguous",IF(ISNUMBER(SEARCH("平",B5374)),"平","仄")))</x:f>
        <x:v>平</x:v>
      </x:c>
      <x:c r="K5374" s="6" t="str">
        <x:f>IF(D5374="","",IF(AND(ISNUMBER(SEARCH("平",D5374)),OR(ISNUMBER(SEARCH("上",D5374)),ISNUMBER(SEARCH("去",D5374)),ISNUMBER(SEARCH("入",D5374)))),"Ambiguous",IF(ISNUMBER(SEARCH("平",D5374)),"平","仄")))</x:f>
        <x:v>平</x:v>
      </x:c>
      <x:c r="L5374" s="7" t="str">
        <x:v>Pingshui main list, Lu Qinli gap fill</x:v>
      </x:c>
    </x:row>
    <x:row r="5375">
      <x:c r="A5375" s="5" t="str">
        <x:v>曄</x:v>
      </x:c>
      <x:c r="B5375" s="6" t="str">
        <x:v>入</x:v>
      </x:c>
      <x:c r="C5375" s="6" t="str">
        <x:f>IF(B5375="","Needs decision","Ready")</x:f>
        <x:v>Ready</x:v>
      </x:c>
      <x:c r="D5375" s="6" t="str">
        <x:v>入</x:v>
      </x:c>
      <x:c r="E5375" s="6" t="str"/>
      <x:c r="F5375" s="6" t="str">
        <x:v>入聲十六葉</x:v>
      </x:c>
      <x:c r="G5375" s="6" t="str">
        <x:v>Pingshui main list, Wikisource-derived DOCX</x:v>
      </x:c>
      <x:c r="H5375" s="6" t="str"/>
      <x:c r="I5375" s="6" t="str">
        <x:v>Lu Qinli gap fill from Pingshui main list; 詞 entries ignored</x:v>
      </x:c>
      <x:c r="J5375" s="6" t="str">
        <x:f>IF(B5375="","",IF(AND(ISNUMBER(SEARCH("平",B5375)),OR(ISNUMBER(SEARCH("上",B5375)),ISNUMBER(SEARCH("去",B5375)),ISNUMBER(SEARCH("入",B5375)))),"Ambiguous",IF(ISNUMBER(SEARCH("平",B5375)),"平","仄")))</x:f>
        <x:v>仄</x:v>
      </x:c>
      <x:c r="K5375" s="6" t="str">
        <x:f>IF(D5375="","",IF(AND(ISNUMBER(SEARCH("平",D5375)),OR(ISNUMBER(SEARCH("上",D5375)),ISNUMBER(SEARCH("去",D5375)),ISNUMBER(SEARCH("入",D5375)))),"Ambiguous",IF(ISNUMBER(SEARCH("平",D5375)),"平","仄")))</x:f>
        <x:v>仄</x:v>
      </x:c>
      <x:c r="L5375" s="7" t="str">
        <x:v>Pingshui main list, Lu Qinli gap fill</x:v>
      </x:c>
    </x:row>
    <x:row r="5376">
      <x:c r="A5376" s="5" t="str">
        <x:v>曈</x:v>
      </x:c>
      <x:c r="B5376" s="6" t="str">
        <x:v>平</x:v>
      </x:c>
      <x:c r="C5376" s="6" t="str">
        <x:f>IF(B5376="","Needs decision","Ready")</x:f>
        <x:v>Ready</x:v>
      </x:c>
      <x:c r="D5376" s="6" t="str">
        <x:v>平</x:v>
      </x:c>
      <x:c r="E5376" s="6" t="str"/>
      <x:c r="F5376" s="6" t="str">
        <x:v>上平聲一東</x:v>
      </x:c>
      <x:c r="G5376" s="6" t="str">
        <x:v>Pingshui main list, Wikisource-derived DOCX</x:v>
      </x:c>
      <x:c r="H5376" s="6" t="str"/>
      <x:c r="I5376" s="6" t="str">
        <x:v>Lu Qinli gap fill from Pingshui main list; 詞 entries ignored</x:v>
      </x:c>
      <x:c r="J5376" s="6" t="str">
        <x:f>IF(B5376="","",IF(AND(ISNUMBER(SEARCH("平",B5376)),OR(ISNUMBER(SEARCH("上",B5376)),ISNUMBER(SEARCH("去",B5376)),ISNUMBER(SEARCH("入",B5376)))),"Ambiguous",IF(ISNUMBER(SEARCH("平",B5376)),"平","仄")))</x:f>
        <x:v>平</x:v>
      </x:c>
      <x:c r="K5376" s="6" t="str">
        <x:f>IF(D5376="","",IF(AND(ISNUMBER(SEARCH("平",D5376)),OR(ISNUMBER(SEARCH("上",D5376)),ISNUMBER(SEARCH("去",D5376)),ISNUMBER(SEARCH("入",D5376)))),"Ambiguous",IF(ISNUMBER(SEARCH("平",D5376)),"平","仄")))</x:f>
        <x:v>平</x:v>
      </x:c>
      <x:c r="L5376" s="7" t="str">
        <x:v>Pingshui main list, Lu Qinli gap fill</x:v>
      </x:c>
    </x:row>
    <x:row r="5377">
      <x:c r="A5377" s="5" t="str">
        <x:v>曚</x:v>
      </x:c>
      <x:c r="B5377" s="6" t="str">
        <x:v>平</x:v>
      </x:c>
      <x:c r="C5377" s="6" t="str">
        <x:f>IF(B5377="","Needs decision","Ready")</x:f>
        <x:v>Ready</x:v>
      </x:c>
      <x:c r="D5377" s="6" t="str">
        <x:v>平</x:v>
      </x:c>
      <x:c r="E5377" s="6" t="str"/>
      <x:c r="F5377" s="6" t="str">
        <x:v>上平聲一東</x:v>
      </x:c>
      <x:c r="G5377" s="6" t="str">
        <x:v>Pingshui main list, Wikisource-derived DOCX</x:v>
      </x:c>
      <x:c r="H5377" s="6" t="str"/>
      <x:c r="I5377" s="6" t="str">
        <x:v>Lu Qinli gap fill from Pingshui main list; 詞 entries ignored</x:v>
      </x:c>
      <x:c r="J5377" s="6" t="str">
        <x:f>IF(B5377="","",IF(AND(ISNUMBER(SEARCH("平",B5377)),OR(ISNUMBER(SEARCH("上",B5377)),ISNUMBER(SEARCH("去",B5377)),ISNUMBER(SEARCH("入",B5377)))),"Ambiguous",IF(ISNUMBER(SEARCH("平",B5377)),"平","仄")))</x:f>
        <x:v>平</x:v>
      </x:c>
      <x:c r="K5377" s="6" t="str">
        <x:f>IF(D5377="","",IF(AND(ISNUMBER(SEARCH("平",D5377)),OR(ISNUMBER(SEARCH("上",D5377)),ISNUMBER(SEARCH("去",D5377)),ISNUMBER(SEARCH("入",D5377)))),"Ambiguous",IF(ISNUMBER(SEARCH("平",D5377)),"平","仄")))</x:f>
        <x:v>平</x:v>
      </x:c>
      <x:c r="L5377" s="7" t="str">
        <x:v>Pingshui main list, Lu Qinli gap fill</x:v>
      </x:c>
    </x:row>
    <x:row r="5378">
      <x:c r="A5378" s="5" t="str">
        <x:v>曛</x:v>
      </x:c>
      <x:c r="B5378" s="6" t="str">
        <x:v>平</x:v>
      </x:c>
      <x:c r="C5378" s="6" t="str">
        <x:f>IF(B5378="","Needs decision","Ready")</x:f>
        <x:v>Ready</x:v>
      </x:c>
      <x:c r="D5378" s="6" t="str">
        <x:v>平</x:v>
      </x:c>
      <x:c r="E5378" s="6" t="str"/>
      <x:c r="F5378" s="6" t="str">
        <x:v>上平聲十二文</x:v>
      </x:c>
      <x:c r="G5378" s="6" t="str">
        <x:v>Pingshui main list, Wikisource-derived DOCX</x:v>
      </x:c>
      <x:c r="H5378" s="6" t="str"/>
      <x:c r="I5378" s="6" t="str">
        <x:v>Lu Qinli gap fill from Pingshui main list; 詞 entries ignored</x:v>
      </x:c>
      <x:c r="J5378" s="6" t="str">
        <x:f>IF(B5378="","",IF(AND(ISNUMBER(SEARCH("平",B5378)),OR(ISNUMBER(SEARCH("上",B5378)),ISNUMBER(SEARCH("去",B5378)),ISNUMBER(SEARCH("入",B5378)))),"Ambiguous",IF(ISNUMBER(SEARCH("平",B5378)),"平","仄")))</x:f>
        <x:v>平</x:v>
      </x:c>
      <x:c r="K5378" s="6" t="str">
        <x:f>IF(D5378="","",IF(AND(ISNUMBER(SEARCH("平",D5378)),OR(ISNUMBER(SEARCH("上",D5378)),ISNUMBER(SEARCH("去",D5378)),ISNUMBER(SEARCH("入",D5378)))),"Ambiguous",IF(ISNUMBER(SEARCH("平",D5378)),"平","仄")))</x:f>
        <x:v>平</x:v>
      </x:c>
      <x:c r="L5378" s="7" t="str">
        <x:v>Pingshui main list, Lu Qinli gap fill</x:v>
      </x:c>
    </x:row>
    <x:row r="5379">
      <x:c r="A5379" s="5" t="str">
        <x:v>曦</x:v>
      </x:c>
      <x:c r="B5379" s="6" t="str">
        <x:v>平</x:v>
      </x:c>
      <x:c r="C5379" s="6" t="str">
        <x:f>IF(B5379="","Needs decision","Ready")</x:f>
        <x:v>Ready</x:v>
      </x:c>
      <x:c r="D5379" s="6" t="str">
        <x:v>平</x:v>
      </x:c>
      <x:c r="E5379" s="6" t="str"/>
      <x:c r="F5379" s="6" t="str">
        <x:v>上平聲四支</x:v>
      </x:c>
      <x:c r="G5379" s="6" t="str">
        <x:v>Pingshui main list, Wikisource-derived DOCX</x:v>
      </x:c>
      <x:c r="H5379" s="6" t="str"/>
      <x:c r="I5379" s="6" t="str">
        <x:v>Lu Qinli gap fill from Pingshui main list; 詞 entries ignored</x:v>
      </x:c>
      <x:c r="J5379" s="6" t="str">
        <x:f>IF(B5379="","",IF(AND(ISNUMBER(SEARCH("平",B5379)),OR(ISNUMBER(SEARCH("上",B5379)),ISNUMBER(SEARCH("去",B5379)),ISNUMBER(SEARCH("入",B5379)))),"Ambiguous",IF(ISNUMBER(SEARCH("平",B5379)),"平","仄")))</x:f>
        <x:v>平</x:v>
      </x:c>
      <x:c r="K5379" s="6" t="str">
        <x:f>IF(D5379="","",IF(AND(ISNUMBER(SEARCH("平",D5379)),OR(ISNUMBER(SEARCH("上",D5379)),ISNUMBER(SEARCH("去",D5379)),ISNUMBER(SEARCH("入",D5379)))),"Ambiguous",IF(ISNUMBER(SEARCH("平",D5379)),"平","仄")))</x:f>
        <x:v>平</x:v>
      </x:c>
      <x:c r="L5379" s="7" t="str">
        <x:v>Pingshui main list, Lu Qinli gap fill</x:v>
      </x:c>
    </x:row>
    <x:row r="5380">
      <x:c r="A5380" s="5" t="str">
        <x:v>曨</x:v>
      </x:c>
      <x:c r="B5380" s="6" t="str">
        <x:v>平</x:v>
      </x:c>
      <x:c r="C5380" s="6" t="str">
        <x:f>IF(B5380="","Needs decision","Ready")</x:f>
        <x:v>Ready</x:v>
      </x:c>
      <x:c r="D5380" s="6" t="str">
        <x:v>平</x:v>
      </x:c>
      <x:c r="E5380" s="6" t="str"/>
      <x:c r="F5380" s="6" t="str">
        <x:v>上平聲一東</x:v>
      </x:c>
      <x:c r="G5380" s="6" t="str">
        <x:v>Pingshui main list, Wikisource-derived DOCX</x:v>
      </x:c>
      <x:c r="H5380" s="6" t="str"/>
      <x:c r="I5380" s="6" t="str">
        <x:v>Lu Qinli gap fill from Pingshui main list; 詞 entries ignored</x:v>
      </x:c>
      <x:c r="J5380" s="6" t="str">
        <x:f>IF(B5380="","",IF(AND(ISNUMBER(SEARCH("平",B5380)),OR(ISNUMBER(SEARCH("上",B5380)),ISNUMBER(SEARCH("去",B5380)),ISNUMBER(SEARCH("入",B5380)))),"Ambiguous",IF(ISNUMBER(SEARCH("平",B5380)),"平","仄")))</x:f>
        <x:v>平</x:v>
      </x:c>
      <x:c r="K5380" s="6" t="str">
        <x:f>IF(D5380="","",IF(AND(ISNUMBER(SEARCH("平",D5380)),OR(ISNUMBER(SEARCH("上",D5380)),ISNUMBER(SEARCH("去",D5380)),ISNUMBER(SEARCH("入",D5380)))),"Ambiguous",IF(ISNUMBER(SEARCH("平",D5380)),"平","仄")))</x:f>
        <x:v>平</x:v>
      </x:c>
      <x:c r="L5380" s="7" t="str">
        <x:v>Pingshui main list, Lu Qinli gap fill</x:v>
      </x:c>
    </x:row>
    <x:row r="5381">
      <x:c r="A5381" s="5" t="str">
        <x:v>朓</x:v>
      </x:c>
      <x:c r="B5381" s="6" t="str"/>
      <x:c r="C5381" s="6" t="str">
        <x:f>IF(B5381="","Needs decision","Ready")</x:f>
        <x:v>Needs decision</x:v>
      </x:c>
      <x:c r="D5381" s="6" t="str">
        <x:v>上/去</x:v>
      </x:c>
      <x:c r="E5381" s="6" t="str"/>
      <x:c r="F5381" s="6" t="str">
        <x:v>上聲十七篠; 去聲十八嘯</x:v>
      </x:c>
      <x:c r="G5381" s="6" t="str">
        <x:v>Pingshui main list, Wikisource-derived DOCX</x:v>
      </x:c>
      <x:c r="H5381" s="6" t="str"/>
      <x:c r="I5381" s="6" t="str">
        <x:v>Lu Qinli gap fill from Pingshui main list; 詞 entries ignored</x:v>
      </x:c>
      <x:c r="J5381" s="6" t="str">
        <x:f>IF(B5381="","",IF(AND(ISNUMBER(SEARCH("平",B5381)),OR(ISNUMBER(SEARCH("上",B5381)),ISNUMBER(SEARCH("去",B5381)),ISNUMBER(SEARCH("入",B5381)))),"Ambiguous",IF(ISNUMBER(SEARCH("平",B5381)),"平","仄")))</x:f>
      </x:c>
      <x:c r="K5381" s="6" t="str">
        <x:f>IF(D5381="","",IF(AND(ISNUMBER(SEARCH("平",D5381)),OR(ISNUMBER(SEARCH("上",D5381)),ISNUMBER(SEARCH("去",D5381)),ISNUMBER(SEARCH("入",D5381)))),"Ambiguous",IF(ISNUMBER(SEARCH("平",D5381)),"平","仄")))</x:f>
        <x:v>仄</x:v>
      </x:c>
      <x:c r="L5381" s="7" t="str">
        <x:v>Pingshui main list, Lu Qinli gap fill</x:v>
      </x:c>
    </x:row>
    <x:row r="5382">
      <x:c r="A5382" s="5" t="str">
        <x:v>朦</x:v>
      </x:c>
      <x:c r="B5382" s="6" t="str">
        <x:v>平</x:v>
      </x:c>
      <x:c r="C5382" s="6" t="str">
        <x:f>IF(B5382="","Needs decision","Ready")</x:f>
        <x:v>Ready</x:v>
      </x:c>
      <x:c r="D5382" s="6" t="str">
        <x:v>平</x:v>
      </x:c>
      <x:c r="E5382" s="6" t="str"/>
      <x:c r="F5382" s="6" t="str">
        <x:v>上平聲一東</x:v>
      </x:c>
      <x:c r="G5382" s="6" t="str">
        <x:v>Pingshui main list, Wikisource-derived DOCX</x:v>
      </x:c>
      <x:c r="H5382" s="6" t="str"/>
      <x:c r="I5382" s="6" t="str">
        <x:v>Lu Qinli gap fill from Pingshui main list; 詞 entries ignored</x:v>
      </x:c>
      <x:c r="J5382" s="6" t="str">
        <x:f>IF(B5382="","",IF(AND(ISNUMBER(SEARCH("平",B5382)),OR(ISNUMBER(SEARCH("上",B5382)),ISNUMBER(SEARCH("去",B5382)),ISNUMBER(SEARCH("入",B5382)))),"Ambiguous",IF(ISNUMBER(SEARCH("平",B5382)),"平","仄")))</x:f>
        <x:v>平</x:v>
      </x:c>
      <x:c r="K5382" s="6" t="str">
        <x:f>IF(D5382="","",IF(AND(ISNUMBER(SEARCH("平",D5382)),OR(ISNUMBER(SEARCH("上",D5382)),ISNUMBER(SEARCH("去",D5382)),ISNUMBER(SEARCH("入",D5382)))),"Ambiguous",IF(ISNUMBER(SEARCH("平",D5382)),"平","仄")))</x:f>
        <x:v>平</x:v>
      </x:c>
      <x:c r="L5382" s="7" t="str">
        <x:v>Pingshui main list, Lu Qinli gap fill</x:v>
      </x:c>
    </x:row>
    <x:row r="5383">
      <x:c r="A5383" s="5" t="str">
        <x:v>杌</x:v>
      </x:c>
      <x:c r="B5383" s="6" t="str">
        <x:v>入</x:v>
      </x:c>
      <x:c r="C5383" s="6" t="str">
        <x:f>IF(B5383="","Needs decision","Ready")</x:f>
        <x:v>Ready</x:v>
      </x:c>
      <x:c r="D5383" s="6" t="str">
        <x:v>入</x:v>
      </x:c>
      <x:c r="E5383" s="6" t="str"/>
      <x:c r="F5383" s="6" t="str">
        <x:v>入聲六月</x:v>
      </x:c>
      <x:c r="G5383" s="6" t="str">
        <x:v>Pingshui main list, Wikisource-derived DOCX</x:v>
      </x:c>
      <x:c r="H5383" s="6" t="str"/>
      <x:c r="I5383" s="6" t="str">
        <x:v>Lu Qinli gap fill from Pingshui main list; 詞 entries ignored</x:v>
      </x:c>
      <x:c r="J5383" s="6" t="str">
        <x:f>IF(B5383="","",IF(AND(ISNUMBER(SEARCH("平",B5383)),OR(ISNUMBER(SEARCH("上",B5383)),ISNUMBER(SEARCH("去",B5383)),ISNUMBER(SEARCH("入",B5383)))),"Ambiguous",IF(ISNUMBER(SEARCH("平",B5383)),"平","仄")))</x:f>
        <x:v>仄</x:v>
      </x:c>
      <x:c r="K5383" s="6" t="str">
        <x:f>IF(D5383="","",IF(AND(ISNUMBER(SEARCH("平",D5383)),OR(ISNUMBER(SEARCH("上",D5383)),ISNUMBER(SEARCH("去",D5383)),ISNUMBER(SEARCH("入",D5383)))),"Ambiguous",IF(ISNUMBER(SEARCH("平",D5383)),"平","仄")))</x:f>
        <x:v>仄</x:v>
      </x:c>
      <x:c r="L5383" s="7" t="str">
        <x:v>Pingshui main list, Lu Qinli gap fill</x:v>
      </x:c>
    </x:row>
    <x:row r="5384">
      <x:c r="A5384" s="5" t="str">
        <x:v>杷</x:v>
      </x:c>
      <x:c r="B5384" s="6" t="str"/>
      <x:c r="C5384" s="6" t="str">
        <x:f>IF(B5384="","Needs decision","Ready")</x:f>
        <x:v>Needs decision</x:v>
      </x:c>
      <x:c r="D5384" s="6" t="str">
        <x:v>平/去</x:v>
      </x:c>
      <x:c r="E5384" s="6" t="str"/>
      <x:c r="F5384" s="6" t="str">
        <x:v>下平聲六麻; 去聲二十二禡</x:v>
      </x:c>
      <x:c r="G5384" s="6" t="str">
        <x:v>Pingshui main list, Wikisource-derived DOCX</x:v>
      </x:c>
      <x:c r="H5384" s="6" t="str"/>
      <x:c r="I5384" s="6" t="str">
        <x:v>Lu Qinli gap fill from Pingshui main list; 詞 entries ignored</x:v>
      </x:c>
      <x:c r="J5384" s="6" t="str">
        <x:f>IF(B5384="","",IF(AND(ISNUMBER(SEARCH("平",B5384)),OR(ISNUMBER(SEARCH("上",B5384)),ISNUMBER(SEARCH("去",B5384)),ISNUMBER(SEARCH("入",B5384)))),"Ambiguous",IF(ISNUMBER(SEARCH("平",B5384)),"平","仄")))</x:f>
      </x:c>
      <x:c r="K5384" s="6" t="str">
        <x:f>IF(D5384="","",IF(AND(ISNUMBER(SEARCH("平",D5384)),OR(ISNUMBER(SEARCH("上",D5384)),ISNUMBER(SEARCH("去",D5384)),ISNUMBER(SEARCH("入",D5384)))),"Ambiguous",IF(ISNUMBER(SEARCH("平",D5384)),"平","仄")))</x:f>
        <x:v>Ambiguous</x:v>
      </x:c>
      <x:c r="L5384" s="7" t="str">
        <x:v>Pingshui main list, Lu Qinli gap fill</x:v>
      </x:c>
    </x:row>
    <x:row r="5385">
      <x:c r="A5385" s="5" t="str">
        <x:v>杼</x:v>
      </x:c>
      <x:c r="B5385" s="6" t="str">
        <x:v>上</x:v>
      </x:c>
      <x:c r="C5385" s="6" t="str">
        <x:f>IF(B5385="","Needs decision","Ready")</x:f>
        <x:v>Ready</x:v>
      </x:c>
      <x:c r="D5385" s="6" t="str">
        <x:v>上</x:v>
      </x:c>
      <x:c r="E5385" s="6" t="str"/>
      <x:c r="F5385" s="6" t="str">
        <x:v>上聲六語</x:v>
      </x:c>
      <x:c r="G5385" s="6" t="str">
        <x:v>Pingshui main list, Wikisource-derived DOCX</x:v>
      </x:c>
      <x:c r="H5385" s="6" t="str"/>
      <x:c r="I5385" s="6" t="str">
        <x:v>Lu Qinli gap fill from Pingshui main list; 詞 entries ignored</x:v>
      </x:c>
      <x:c r="J5385" s="6" t="str">
        <x:f>IF(B5385="","",IF(AND(ISNUMBER(SEARCH("平",B5385)),OR(ISNUMBER(SEARCH("上",B5385)),ISNUMBER(SEARCH("去",B5385)),ISNUMBER(SEARCH("入",B5385)))),"Ambiguous",IF(ISNUMBER(SEARCH("平",B5385)),"平","仄")))</x:f>
        <x:v>仄</x:v>
      </x:c>
      <x:c r="K5385" s="6" t="str">
        <x:f>IF(D5385="","",IF(AND(ISNUMBER(SEARCH("平",D5385)),OR(ISNUMBER(SEARCH("上",D5385)),ISNUMBER(SEARCH("去",D5385)),ISNUMBER(SEARCH("入",D5385)))),"Ambiguous",IF(ISNUMBER(SEARCH("平",D5385)),"平","仄")))</x:f>
        <x:v>仄</x:v>
      </x:c>
      <x:c r="L5385" s="7" t="str">
        <x:v>Pingshui main list, Lu Qinli gap fill</x:v>
      </x:c>
    </x:row>
    <x:row r="5386">
      <x:c r="A5386" s="5" t="str">
        <x:v>枌</x:v>
      </x:c>
      <x:c r="B5386" s="6" t="str">
        <x:v>平</x:v>
      </x:c>
      <x:c r="C5386" s="6" t="str">
        <x:f>IF(B5386="","Needs decision","Ready")</x:f>
        <x:v>Ready</x:v>
      </x:c>
      <x:c r="D5386" s="6" t="str">
        <x:v>平</x:v>
      </x:c>
      <x:c r="E5386" s="6" t="str"/>
      <x:c r="F5386" s="6" t="str">
        <x:v>上平聲十二文</x:v>
      </x:c>
      <x:c r="G5386" s="6" t="str">
        <x:v>Pingshui main list, Wikisource-derived DOCX</x:v>
      </x:c>
      <x:c r="H5386" s="6" t="str"/>
      <x:c r="I5386" s="6" t="str">
        <x:v>Lu Qinli gap fill from Pingshui main list; 詞 entries ignored</x:v>
      </x:c>
      <x:c r="J5386" s="6" t="str">
        <x:f>IF(B5386="","",IF(AND(ISNUMBER(SEARCH("平",B5386)),OR(ISNUMBER(SEARCH("上",B5386)),ISNUMBER(SEARCH("去",B5386)),ISNUMBER(SEARCH("入",B5386)))),"Ambiguous",IF(ISNUMBER(SEARCH("平",B5386)),"平","仄")))</x:f>
        <x:v>平</x:v>
      </x:c>
      <x:c r="K5386" s="6" t="str">
        <x:f>IF(D5386="","",IF(AND(ISNUMBER(SEARCH("平",D5386)),OR(ISNUMBER(SEARCH("上",D5386)),ISNUMBER(SEARCH("去",D5386)),ISNUMBER(SEARCH("入",D5386)))),"Ambiguous",IF(ISNUMBER(SEARCH("平",D5386)),"平","仄")))</x:f>
        <x:v>平</x:v>
      </x:c>
      <x:c r="L5386" s="7" t="str">
        <x:v>Pingshui main list, Lu Qinli gap fill</x:v>
      </x:c>
    </x:row>
    <x:row r="5387">
      <x:c r="A5387" s="5" t="str">
        <x:v>枘</x:v>
      </x:c>
      <x:c r="B5387" s="6" t="str">
        <x:v>去</x:v>
      </x:c>
      <x:c r="C5387" s="6" t="str">
        <x:f>IF(B5387="","Needs decision","Ready")</x:f>
        <x:v>Ready</x:v>
      </x:c>
      <x:c r="D5387" s="6" t="str">
        <x:v>去</x:v>
      </x:c>
      <x:c r="E5387" s="6" t="str"/>
      <x:c r="F5387" s="6" t="str">
        <x:v>去聲八霽</x:v>
      </x:c>
      <x:c r="G5387" s="6" t="str">
        <x:v>Pingshui main list, Wikisource-derived DOCX</x:v>
      </x:c>
      <x:c r="H5387" s="6" t="str"/>
      <x:c r="I5387" s="6" t="str">
        <x:v>Lu Qinli gap fill from Pingshui main list; 詞 entries ignored</x:v>
      </x:c>
      <x:c r="J5387" s="6" t="str">
        <x:f>IF(B5387="","",IF(AND(ISNUMBER(SEARCH("平",B5387)),OR(ISNUMBER(SEARCH("上",B5387)),ISNUMBER(SEARCH("去",B5387)),ISNUMBER(SEARCH("入",B5387)))),"Ambiguous",IF(ISNUMBER(SEARCH("平",B5387)),"平","仄")))</x:f>
        <x:v>仄</x:v>
      </x:c>
      <x:c r="K5387" s="6" t="str">
        <x:f>IF(D5387="","",IF(AND(ISNUMBER(SEARCH("平",D5387)),OR(ISNUMBER(SEARCH("上",D5387)),ISNUMBER(SEARCH("去",D5387)),ISNUMBER(SEARCH("入",D5387)))),"Ambiguous",IF(ISNUMBER(SEARCH("平",D5387)),"平","仄")))</x:f>
        <x:v>仄</x:v>
      </x:c>
      <x:c r="L5387" s="7" t="str">
        <x:v>Pingshui main list, Lu Qinli gap fill</x:v>
      </x:c>
    </x:row>
    <x:row r="5388">
      <x:c r="A5388" s="5" t="str">
        <x:v>枳</x:v>
      </x:c>
      <x:c r="B5388" s="6" t="str">
        <x:v>上</x:v>
      </x:c>
      <x:c r="C5388" s="6" t="str">
        <x:f>IF(B5388="","Needs decision","Ready")</x:f>
        <x:v>Ready</x:v>
      </x:c>
      <x:c r="D5388" s="6" t="str">
        <x:v>上</x:v>
      </x:c>
      <x:c r="E5388" s="6" t="str"/>
      <x:c r="F5388" s="6" t="str">
        <x:v>上聲四紙</x:v>
      </x:c>
      <x:c r="G5388" s="6" t="str">
        <x:v>Pingshui main list, Wikisource-derived DOCX</x:v>
      </x:c>
      <x:c r="H5388" s="6" t="str"/>
      <x:c r="I5388" s="6" t="str">
        <x:v>Lu Qinli gap fill from Pingshui main list; 詞 entries ignored</x:v>
      </x:c>
      <x:c r="J5388" s="6" t="str">
        <x:f>IF(B5388="","",IF(AND(ISNUMBER(SEARCH("平",B5388)),OR(ISNUMBER(SEARCH("上",B5388)),ISNUMBER(SEARCH("去",B5388)),ISNUMBER(SEARCH("入",B5388)))),"Ambiguous",IF(ISNUMBER(SEARCH("平",B5388)),"平","仄")))</x:f>
        <x:v>仄</x:v>
      </x:c>
      <x:c r="K5388" s="6" t="str">
        <x:f>IF(D5388="","",IF(AND(ISNUMBER(SEARCH("平",D5388)),OR(ISNUMBER(SEARCH("上",D5388)),ISNUMBER(SEARCH("去",D5388)),ISNUMBER(SEARCH("入",D5388)))),"Ambiguous",IF(ISNUMBER(SEARCH("平",D5388)),"平","仄")))</x:f>
        <x:v>仄</x:v>
      </x:c>
      <x:c r="L5388" s="7" t="str">
        <x:v>Pingshui main list, Lu Qinli gap fill</x:v>
      </x:c>
    </x:row>
    <x:row r="5389">
      <x:c r="A5389" s="5" t="str">
        <x:v>枵</x:v>
      </x:c>
      <x:c r="B5389" s="6" t="str">
        <x:v>平</x:v>
      </x:c>
      <x:c r="C5389" s="6" t="str">
        <x:f>IF(B5389="","Needs decision","Ready")</x:f>
        <x:v>Ready</x:v>
      </x:c>
      <x:c r="D5389" s="6" t="str">
        <x:v>平</x:v>
      </x:c>
      <x:c r="E5389" s="6" t="str"/>
      <x:c r="F5389" s="6" t="str">
        <x:v>下平聲二蕭</x:v>
      </x:c>
      <x:c r="G5389" s="6" t="str">
        <x:v>Pingshui main list, Wikisource-derived DOCX</x:v>
      </x:c>
      <x:c r="H5389" s="6" t="str"/>
      <x:c r="I5389" s="6" t="str">
        <x:v>Lu Qinli gap fill from Pingshui main list; 詞 entries ignored</x:v>
      </x:c>
      <x:c r="J5389" s="6" t="str">
        <x:f>IF(B5389="","",IF(AND(ISNUMBER(SEARCH("平",B5389)),OR(ISNUMBER(SEARCH("上",B5389)),ISNUMBER(SEARCH("去",B5389)),ISNUMBER(SEARCH("入",B5389)))),"Ambiguous",IF(ISNUMBER(SEARCH("平",B5389)),"平","仄")))</x:f>
        <x:v>平</x:v>
      </x:c>
      <x:c r="K5389" s="6" t="str">
        <x:f>IF(D5389="","",IF(AND(ISNUMBER(SEARCH("平",D5389)),OR(ISNUMBER(SEARCH("上",D5389)),ISNUMBER(SEARCH("去",D5389)),ISNUMBER(SEARCH("入",D5389)))),"Ambiguous",IF(ISNUMBER(SEARCH("平",D5389)),"平","仄")))</x:f>
        <x:v>平</x:v>
      </x:c>
      <x:c r="L5389" s="7" t="str">
        <x:v>Pingshui main list, Lu Qinli gap fill</x:v>
      </x:c>
    </x:row>
    <x:row r="5390">
      <x:c r="A5390" s="5" t="str">
        <x:v>枻</x:v>
      </x:c>
      <x:c r="B5390" s="6" t="str">
        <x:v>去</x:v>
      </x:c>
      <x:c r="C5390" s="6" t="str">
        <x:f>IF(B5390="","Needs decision","Ready")</x:f>
        <x:v>Ready</x:v>
      </x:c>
      <x:c r="D5390" s="6" t="str">
        <x:v>去</x:v>
      </x:c>
      <x:c r="E5390" s="6" t="str"/>
      <x:c r="F5390" s="6" t="str">
        <x:v>去聲八霽</x:v>
      </x:c>
      <x:c r="G5390" s="6" t="str">
        <x:v>Pingshui main list, Wikisource-derived DOCX</x:v>
      </x:c>
      <x:c r="H5390" s="6" t="str"/>
      <x:c r="I5390" s="6" t="str">
        <x:v>Lu Qinli gap fill from Pingshui main list; 詞 entries ignored</x:v>
      </x:c>
      <x:c r="J5390" s="6" t="str">
        <x:f>IF(B5390="","",IF(AND(ISNUMBER(SEARCH("平",B5390)),OR(ISNUMBER(SEARCH("上",B5390)),ISNUMBER(SEARCH("去",B5390)),ISNUMBER(SEARCH("入",B5390)))),"Ambiguous",IF(ISNUMBER(SEARCH("平",B5390)),"平","仄")))</x:f>
        <x:v>仄</x:v>
      </x:c>
      <x:c r="K5390" s="6" t="str">
        <x:f>IF(D5390="","",IF(AND(ISNUMBER(SEARCH("平",D5390)),OR(ISNUMBER(SEARCH("上",D5390)),ISNUMBER(SEARCH("去",D5390)),ISNUMBER(SEARCH("入",D5390)))),"Ambiguous",IF(ISNUMBER(SEARCH("平",D5390)),"平","仄")))</x:f>
        <x:v>仄</x:v>
      </x:c>
      <x:c r="L5390" s="7" t="str">
        <x:v>Pingshui main list, Lu Qinli gap fill</x:v>
      </x:c>
    </x:row>
    <x:row r="5391">
      <x:c r="A5391" s="5" t="str">
        <x:v>柁</x:v>
      </x:c>
      <x:c r="B5391" s="6" t="str">
        <x:v>上</x:v>
      </x:c>
      <x:c r="C5391" s="6" t="str">
        <x:f>IF(B5391="","Needs decision","Ready")</x:f>
        <x:v>Ready</x:v>
      </x:c>
      <x:c r="D5391" s="6" t="str">
        <x:v>上</x:v>
      </x:c>
      <x:c r="E5391" s="6" t="str"/>
      <x:c r="F5391" s="6" t="str">
        <x:v>上聲二十哿</x:v>
      </x:c>
      <x:c r="G5391" s="6" t="str">
        <x:v>Pingshui main list, Wikisource-derived DOCX</x:v>
      </x:c>
      <x:c r="H5391" s="6" t="str"/>
      <x:c r="I5391" s="6" t="str">
        <x:v>Lu Qinli gap fill from Pingshui main list; 詞 entries ignored</x:v>
      </x:c>
      <x:c r="J5391" s="6" t="str">
        <x:f>IF(B5391="","",IF(AND(ISNUMBER(SEARCH("平",B5391)),OR(ISNUMBER(SEARCH("上",B5391)),ISNUMBER(SEARCH("去",B5391)),ISNUMBER(SEARCH("入",B5391)))),"Ambiguous",IF(ISNUMBER(SEARCH("平",B5391)),"平","仄")))</x:f>
        <x:v>仄</x:v>
      </x:c>
      <x:c r="K5391" s="6" t="str">
        <x:f>IF(D5391="","",IF(AND(ISNUMBER(SEARCH("平",D5391)),OR(ISNUMBER(SEARCH("上",D5391)),ISNUMBER(SEARCH("去",D5391)),ISNUMBER(SEARCH("入",D5391)))),"Ambiguous",IF(ISNUMBER(SEARCH("平",D5391)),"平","仄")))</x:f>
        <x:v>仄</x:v>
      </x:c>
      <x:c r="L5391" s="7" t="str">
        <x:v>Pingshui main list, Lu Qinli gap fill</x:v>
      </x:c>
    </x:row>
    <x:row r="5392">
      <x:c r="A5392" s="5" t="str">
        <x:v>柎</x:v>
      </x:c>
      <x:c r="B5392" s="6" t="str">
        <x:v>平</x:v>
      </x:c>
      <x:c r="C5392" s="6" t="str">
        <x:f>IF(B5392="","Needs decision","Ready")</x:f>
        <x:v>Ready</x:v>
      </x:c>
      <x:c r="D5392" s="6" t="str">
        <x:v>平</x:v>
      </x:c>
      <x:c r="E5392" s="6" t="str"/>
      <x:c r="F5392" s="6" t="str">
        <x:v>上平聲七虞</x:v>
      </x:c>
      <x:c r="G5392" s="6" t="str">
        <x:v>Pingshui main list, Wikisource-derived DOCX</x:v>
      </x:c>
      <x:c r="H5392" s="6" t="str"/>
      <x:c r="I5392" s="6" t="str">
        <x:v>Lu Qinli gap fill from Pingshui main list; 詞 entries ignored</x:v>
      </x:c>
      <x:c r="J5392" s="6" t="str">
        <x:f>IF(B5392="","",IF(AND(ISNUMBER(SEARCH("平",B5392)),OR(ISNUMBER(SEARCH("上",B5392)),ISNUMBER(SEARCH("去",B5392)),ISNUMBER(SEARCH("入",B5392)))),"Ambiguous",IF(ISNUMBER(SEARCH("平",B5392)),"平","仄")))</x:f>
        <x:v>平</x:v>
      </x:c>
      <x:c r="K5392" s="6" t="str">
        <x:f>IF(D5392="","",IF(AND(ISNUMBER(SEARCH("平",D5392)),OR(ISNUMBER(SEARCH("上",D5392)),ISNUMBER(SEARCH("去",D5392)),ISNUMBER(SEARCH("入",D5392)))),"Ambiguous",IF(ISNUMBER(SEARCH("平",D5392)),"平","仄")))</x:f>
        <x:v>平</x:v>
      </x:c>
      <x:c r="L5392" s="7" t="str">
        <x:v>Pingshui main list, Lu Qinli gap fill</x:v>
      </x:c>
    </x:row>
    <x:row r="5393">
      <x:c r="A5393" s="5" t="str">
        <x:v>柑</x:v>
      </x:c>
      <x:c r="B5393" s="6" t="str">
        <x:v>平</x:v>
      </x:c>
      <x:c r="C5393" s="6" t="str">
        <x:f>IF(B5393="","Needs decision","Ready")</x:f>
        <x:v>Ready</x:v>
      </x:c>
      <x:c r="D5393" s="6" t="str">
        <x:v>平</x:v>
      </x:c>
      <x:c r="E5393" s="6" t="str"/>
      <x:c r="F5393" s="6" t="str">
        <x:v>下平聲十三覃</x:v>
      </x:c>
      <x:c r="G5393" s="6" t="str">
        <x:v>Pingshui main list, Wikisource-derived DOCX</x:v>
      </x:c>
      <x:c r="H5393" s="6" t="str"/>
      <x:c r="I5393" s="6" t="str">
        <x:v>Lu Qinli gap fill from Pingshui main list; 詞 entries ignored</x:v>
      </x:c>
      <x:c r="J5393" s="6" t="str">
        <x:f>IF(B5393="","",IF(AND(ISNUMBER(SEARCH("平",B5393)),OR(ISNUMBER(SEARCH("上",B5393)),ISNUMBER(SEARCH("去",B5393)),ISNUMBER(SEARCH("入",B5393)))),"Ambiguous",IF(ISNUMBER(SEARCH("平",B5393)),"平","仄")))</x:f>
        <x:v>平</x:v>
      </x:c>
      <x:c r="K5393" s="6" t="str">
        <x:f>IF(D5393="","",IF(AND(ISNUMBER(SEARCH("平",D5393)),OR(ISNUMBER(SEARCH("上",D5393)),ISNUMBER(SEARCH("去",D5393)),ISNUMBER(SEARCH("入",D5393)))),"Ambiguous",IF(ISNUMBER(SEARCH("平",D5393)),"平","仄")))</x:f>
        <x:v>平</x:v>
      </x:c>
      <x:c r="L5393" s="7" t="str">
        <x:v>Pingshui main list, Lu Qinli gap fill</x:v>
      </x:c>
    </x:row>
    <x:row r="5394">
      <x:c r="A5394" s="5" t="str">
        <x:v>柚</x:v>
      </x:c>
      <x:c r="B5394" s="6" t="str"/>
      <x:c r="C5394" s="6" t="str">
        <x:f>IF(B5394="","Needs decision","Ready")</x:f>
        <x:v>Needs decision</x:v>
      </x:c>
      <x:c r="D5394" s="6" t="str">
        <x:v>去/入</x:v>
      </x:c>
      <x:c r="E5394" s="6" t="str"/>
      <x:c r="F5394" s="6" t="str">
        <x:v>去聲二十六宥; 入聲一屋</x:v>
      </x:c>
      <x:c r="G5394" s="6" t="str">
        <x:v>Pingshui main list, Wikisource-derived DOCX</x:v>
      </x:c>
      <x:c r="H5394" s="6" t="str"/>
      <x:c r="I5394" s="6" t="str">
        <x:v>Lu Qinli gap fill from Pingshui main list; 詞 entries ignored</x:v>
      </x:c>
      <x:c r="J5394" s="6" t="str">
        <x:f>IF(B5394="","",IF(AND(ISNUMBER(SEARCH("平",B5394)),OR(ISNUMBER(SEARCH("上",B5394)),ISNUMBER(SEARCH("去",B5394)),ISNUMBER(SEARCH("入",B5394)))),"Ambiguous",IF(ISNUMBER(SEARCH("平",B5394)),"平","仄")))</x:f>
      </x:c>
      <x:c r="K5394" s="6" t="str">
        <x:f>IF(D5394="","",IF(AND(ISNUMBER(SEARCH("平",D5394)),OR(ISNUMBER(SEARCH("上",D5394)),ISNUMBER(SEARCH("去",D5394)),ISNUMBER(SEARCH("入",D5394)))),"Ambiguous",IF(ISNUMBER(SEARCH("平",D5394)),"平","仄")))</x:f>
        <x:v>仄</x:v>
      </x:c>
      <x:c r="L5394" s="7" t="str">
        <x:v>Pingshui main list, Lu Qinli gap fill</x:v>
      </x:c>
    </x:row>
    <x:row r="5395">
      <x:c r="A5395" s="5" t="str">
        <x:v>柝</x:v>
      </x:c>
      <x:c r="B5395" s="6" t="str">
        <x:v>入</x:v>
      </x:c>
      <x:c r="C5395" s="6" t="str">
        <x:f>IF(B5395="","Needs decision","Ready")</x:f>
        <x:v>Ready</x:v>
      </x:c>
      <x:c r="D5395" s="6" t="str">
        <x:v>入</x:v>
      </x:c>
      <x:c r="E5395" s="6" t="str"/>
      <x:c r="F5395" s="6" t="str">
        <x:v>入聲十藥</x:v>
      </x:c>
      <x:c r="G5395" s="6" t="str">
        <x:v>Pingshui main list, Wikisource-derived DOCX</x:v>
      </x:c>
      <x:c r="H5395" s="6" t="str"/>
      <x:c r="I5395" s="6" t="str">
        <x:v>Lu Qinli gap fill from Pingshui main list; 詞 entries ignored</x:v>
      </x:c>
      <x:c r="J5395" s="6" t="str">
        <x:f>IF(B5395="","",IF(AND(ISNUMBER(SEARCH("平",B5395)),OR(ISNUMBER(SEARCH("上",B5395)),ISNUMBER(SEARCH("去",B5395)),ISNUMBER(SEARCH("入",B5395)))),"Ambiguous",IF(ISNUMBER(SEARCH("平",B5395)),"平","仄")))</x:f>
        <x:v>仄</x:v>
      </x:c>
      <x:c r="K5395" s="6" t="str">
        <x:f>IF(D5395="","",IF(AND(ISNUMBER(SEARCH("平",D5395)),OR(ISNUMBER(SEARCH("上",D5395)),ISNUMBER(SEARCH("去",D5395)),ISNUMBER(SEARCH("入",D5395)))),"Ambiguous",IF(ISNUMBER(SEARCH("平",D5395)),"平","仄")))</x:f>
        <x:v>仄</x:v>
      </x:c>
      <x:c r="L5395" s="7" t="str">
        <x:v>Pingshui main list, Lu Qinli gap fill</x:v>
      </x:c>
    </x:row>
    <x:row r="5396">
      <x:c r="A5396" s="5" t="str">
        <x:v>柟</x:v>
      </x:c>
      <x:c r="B5396" s="6" t="str">
        <x:v>平</x:v>
      </x:c>
      <x:c r="C5396" s="6" t="str">
        <x:f>IF(B5396="","Needs decision","Ready")</x:f>
        <x:v>Ready</x:v>
      </x:c>
      <x:c r="D5396" s="6" t="str">
        <x:v>平</x:v>
      </x:c>
      <x:c r="E5396" s="6" t="str"/>
      <x:c r="F5396" s="6" t="str">
        <x:v>下平聲十三覃; 下平聲十四鹽</x:v>
      </x:c>
      <x:c r="G5396" s="6" t="str">
        <x:v>Pingshui main list, Wikisource-derived DOCX</x:v>
      </x:c>
      <x:c r="H5396" s="6" t="str"/>
      <x:c r="I5396" s="6" t="str">
        <x:v>Lu Qinli gap fill from Pingshui main list; 詞 entries ignored</x:v>
      </x:c>
      <x:c r="J5396" s="6" t="str">
        <x:f>IF(B5396="","",IF(AND(ISNUMBER(SEARCH("平",B5396)),OR(ISNUMBER(SEARCH("上",B5396)),ISNUMBER(SEARCH("去",B5396)),ISNUMBER(SEARCH("入",B5396)))),"Ambiguous",IF(ISNUMBER(SEARCH("平",B5396)),"平","仄")))</x:f>
        <x:v>平</x:v>
      </x:c>
      <x:c r="K5396" s="6" t="str">
        <x:f>IF(D5396="","",IF(AND(ISNUMBER(SEARCH("平",D5396)),OR(ISNUMBER(SEARCH("上",D5396)),ISNUMBER(SEARCH("去",D5396)),ISNUMBER(SEARCH("入",D5396)))),"Ambiguous",IF(ISNUMBER(SEARCH("平",D5396)),"平","仄")))</x:f>
        <x:v>平</x:v>
      </x:c>
      <x:c r="L5396" s="7" t="str">
        <x:v>Pingshui main list, Lu Qinli gap fill</x:v>
      </x:c>
    </x:row>
    <x:row r="5397">
      <x:c r="A5397" s="5" t="str">
        <x:v>柢</x:v>
      </x:c>
      <x:c r="B5397" s="6" t="str"/>
      <x:c r="C5397" s="6" t="str">
        <x:f>IF(B5397="","Needs decision","Ready")</x:f>
        <x:v>Needs decision</x:v>
      </x:c>
      <x:c r="D5397" s="6" t="str">
        <x:v>上/去</x:v>
      </x:c>
      <x:c r="E5397" s="6" t="str"/>
      <x:c r="F5397" s="6" t="str">
        <x:v>上聲八薺; 去聲八霽</x:v>
      </x:c>
      <x:c r="G5397" s="6" t="str">
        <x:v>Pingshui main list, Wikisource-derived DOCX</x:v>
      </x:c>
      <x:c r="H5397" s="6" t="str"/>
      <x:c r="I5397" s="6" t="str">
        <x:v>Lu Qinli gap fill from Pingshui main list; 詞 entries ignored</x:v>
      </x:c>
      <x:c r="J5397" s="6" t="str">
        <x:f>IF(B5397="","",IF(AND(ISNUMBER(SEARCH("平",B5397)),OR(ISNUMBER(SEARCH("上",B5397)),ISNUMBER(SEARCH("去",B5397)),ISNUMBER(SEARCH("入",B5397)))),"Ambiguous",IF(ISNUMBER(SEARCH("平",B5397)),"平","仄")))</x:f>
      </x:c>
      <x:c r="K5397" s="6" t="str">
        <x:f>IF(D5397="","",IF(AND(ISNUMBER(SEARCH("平",D5397)),OR(ISNUMBER(SEARCH("上",D5397)),ISNUMBER(SEARCH("去",D5397)),ISNUMBER(SEARCH("入",D5397)))),"Ambiguous",IF(ISNUMBER(SEARCH("平",D5397)),"平","仄")))</x:f>
        <x:v>仄</x:v>
      </x:c>
      <x:c r="L5397" s="7" t="str">
        <x:v>Pingshui main list, Lu Qinli gap fill</x:v>
      </x:c>
    </x:row>
    <x:row r="5398">
      <x:c r="A5398" s="5" t="str">
        <x:v>柰</x:v>
      </x:c>
      <x:c r="B5398" s="6" t="str">
        <x:v>去</x:v>
      </x:c>
      <x:c r="C5398" s="6" t="str">
        <x:f>IF(B5398="","Needs decision","Ready")</x:f>
        <x:v>Ready</x:v>
      </x:c>
      <x:c r="D5398" s="6" t="str">
        <x:v>去</x:v>
      </x:c>
      <x:c r="E5398" s="6" t="str"/>
      <x:c r="F5398" s="6" t="str">
        <x:v>去聲九泰</x:v>
      </x:c>
      <x:c r="G5398" s="6" t="str">
        <x:v>Pingshui main list, Wikisource-derived DOCX</x:v>
      </x:c>
      <x:c r="H5398" s="6" t="str"/>
      <x:c r="I5398" s="6" t="str">
        <x:v>Lu Qinli gap fill from Pingshui main list; 詞 entries ignored</x:v>
      </x:c>
      <x:c r="J5398" s="6" t="str">
        <x:f>IF(B5398="","",IF(AND(ISNUMBER(SEARCH("平",B5398)),OR(ISNUMBER(SEARCH("上",B5398)),ISNUMBER(SEARCH("去",B5398)),ISNUMBER(SEARCH("入",B5398)))),"Ambiguous",IF(ISNUMBER(SEARCH("平",B5398)),"平","仄")))</x:f>
        <x:v>仄</x:v>
      </x:c>
      <x:c r="K5398" s="6" t="str">
        <x:f>IF(D5398="","",IF(AND(ISNUMBER(SEARCH("平",D5398)),OR(ISNUMBER(SEARCH("上",D5398)),ISNUMBER(SEARCH("去",D5398)),ISNUMBER(SEARCH("入",D5398)))),"Ambiguous",IF(ISNUMBER(SEARCH("平",D5398)),"平","仄")))</x:f>
        <x:v>仄</x:v>
      </x:c>
      <x:c r="L5398" s="7" t="str">
        <x:v>Pingshui main list, Lu Qinli gap fill</x:v>
      </x:c>
    </x:row>
    <x:row r="5399">
      <x:c r="A5399" s="5" t="str">
        <x:v>栝</x:v>
      </x:c>
      <x:c r="B5399" s="6" t="str">
        <x:v>入</x:v>
      </x:c>
      <x:c r="C5399" s="6" t="str">
        <x:f>IF(B5399="","Needs decision","Ready")</x:f>
        <x:v>Ready</x:v>
      </x:c>
      <x:c r="D5399" s="6" t="str">
        <x:v>入</x:v>
      </x:c>
      <x:c r="E5399" s="6" t="str"/>
      <x:c r="F5399" s="6" t="str">
        <x:v>入聲七曷</x:v>
      </x:c>
      <x:c r="G5399" s="6" t="str">
        <x:v>Pingshui main list, Wikisource-derived DOCX</x:v>
      </x:c>
      <x:c r="H5399" s="6" t="str"/>
      <x:c r="I5399" s="6" t="str">
        <x:v>Lu Qinli gap fill from Pingshui main list; 詞 entries ignored</x:v>
      </x:c>
      <x:c r="J5399" s="6" t="str">
        <x:f>IF(B5399="","",IF(AND(ISNUMBER(SEARCH("平",B5399)),OR(ISNUMBER(SEARCH("上",B5399)),ISNUMBER(SEARCH("去",B5399)),ISNUMBER(SEARCH("入",B5399)))),"Ambiguous",IF(ISNUMBER(SEARCH("平",B5399)),"平","仄")))</x:f>
        <x:v>仄</x:v>
      </x:c>
      <x:c r="K5399" s="6" t="str">
        <x:f>IF(D5399="","",IF(AND(ISNUMBER(SEARCH("平",D5399)),OR(ISNUMBER(SEARCH("上",D5399)),ISNUMBER(SEARCH("去",D5399)),ISNUMBER(SEARCH("入",D5399)))),"Ambiguous",IF(ISNUMBER(SEARCH("平",D5399)),"平","仄")))</x:f>
        <x:v>仄</x:v>
      </x:c>
      <x:c r="L5399" s="7" t="str">
        <x:v>Pingshui main list, Lu Qinli gap fill</x:v>
      </x:c>
    </x:row>
    <x:row r="5400">
      <x:c r="A5400" s="5" t="str">
        <x:v>栩</x:v>
      </x:c>
      <x:c r="B5400" s="6" t="str"/>
      <x:c r="C5400" s="6" t="str">
        <x:f>IF(B5400="","Needs decision","Ready")</x:f>
        <x:v>Needs decision</x:v>
      </x:c>
      <x:c r="D5400" s="6" t="str">
        <x:v>平/上</x:v>
      </x:c>
      <x:c r="E5400" s="6" t="str"/>
      <x:c r="F5400" s="6" t="str">
        <x:v>下平聲八庚; 上聲七麌</x:v>
      </x:c>
      <x:c r="G5400" s="6" t="str">
        <x:v>Pingshui main list, Wikisource-derived DOCX</x:v>
      </x:c>
      <x:c r="H5400" s="6" t="str"/>
      <x:c r="I5400" s="6" t="str">
        <x:v>Lu Qinli gap fill from Pingshui main list; 詞 entries ignored</x:v>
      </x:c>
      <x:c r="J5400" s="6" t="str">
        <x:f>IF(B5400="","",IF(AND(ISNUMBER(SEARCH("平",B5400)),OR(ISNUMBER(SEARCH("上",B5400)),ISNUMBER(SEARCH("去",B5400)),ISNUMBER(SEARCH("入",B5400)))),"Ambiguous",IF(ISNUMBER(SEARCH("平",B5400)),"平","仄")))</x:f>
      </x:c>
      <x:c r="K5400" s="6" t="str">
        <x:f>IF(D5400="","",IF(AND(ISNUMBER(SEARCH("平",D5400)),OR(ISNUMBER(SEARCH("上",D5400)),ISNUMBER(SEARCH("去",D5400)),ISNUMBER(SEARCH("入",D5400)))),"Ambiguous",IF(ISNUMBER(SEARCH("平",D5400)),"平","仄")))</x:f>
        <x:v>Ambiguous</x:v>
      </x:c>
      <x:c r="L5400" s="7" t="str">
        <x:v>Pingshui main list, Lu Qinli gap fill</x:v>
      </x:c>
    </x:row>
    <x:row r="5401">
      <x:c r="A5401" s="5" t="str">
        <x:v>栱</x:v>
      </x:c>
      <x:c r="B5401" s="6" t="str">
        <x:v>上</x:v>
      </x:c>
      <x:c r="C5401" s="6" t="str">
        <x:f>IF(B5401="","Needs decision","Ready")</x:f>
        <x:v>Ready</x:v>
      </x:c>
      <x:c r="D5401" s="6" t="str">
        <x:v>上</x:v>
      </x:c>
      <x:c r="E5401" s="6" t="str"/>
      <x:c r="F5401" s="6" t="str">
        <x:v>上聲二腫</x:v>
      </x:c>
      <x:c r="G5401" s="6" t="str">
        <x:v>Pingshui main list, Wikisource-derived DOCX</x:v>
      </x:c>
      <x:c r="H5401" s="6" t="str"/>
      <x:c r="I5401" s="6" t="str">
        <x:v>Lu Qinli gap fill from Pingshui main list; 詞 entries ignored</x:v>
      </x:c>
      <x:c r="J5401" s="6" t="str">
        <x:f>IF(B5401="","",IF(AND(ISNUMBER(SEARCH("平",B5401)),OR(ISNUMBER(SEARCH("上",B5401)),ISNUMBER(SEARCH("去",B5401)),ISNUMBER(SEARCH("入",B5401)))),"Ambiguous",IF(ISNUMBER(SEARCH("平",B5401)),"平","仄")))</x:f>
        <x:v>仄</x:v>
      </x:c>
      <x:c r="K5401" s="6" t="str">
        <x:f>IF(D5401="","",IF(AND(ISNUMBER(SEARCH("平",D5401)),OR(ISNUMBER(SEARCH("上",D5401)),ISNUMBER(SEARCH("去",D5401)),ISNUMBER(SEARCH("入",D5401)))),"Ambiguous",IF(ISNUMBER(SEARCH("平",D5401)),"平","仄")))</x:f>
        <x:v>仄</x:v>
      </x:c>
      <x:c r="L5401" s="7" t="str">
        <x:v>Pingshui main list, Lu Qinli gap fill</x:v>
      </x:c>
    </x:row>
    <x:row r="5402">
      <x:c r="A5402" s="5" t="str">
        <x:v>桎</x:v>
      </x:c>
      <x:c r="B5402" s="6" t="str">
        <x:v>入</x:v>
      </x:c>
      <x:c r="C5402" s="6" t="str">
        <x:f>IF(B5402="","Needs decision","Ready")</x:f>
        <x:v>Ready</x:v>
      </x:c>
      <x:c r="D5402" s="6" t="str">
        <x:v>入</x:v>
      </x:c>
      <x:c r="E5402" s="6" t="str"/>
      <x:c r="F5402" s="6" t="str">
        <x:v>入聲四質</x:v>
      </x:c>
      <x:c r="G5402" s="6" t="str">
        <x:v>Pingshui main list, Wikisource-derived DOCX</x:v>
      </x:c>
      <x:c r="H5402" s="6" t="str"/>
      <x:c r="I5402" s="6" t="str">
        <x:v>Lu Qinli gap fill from Pingshui main list; 詞 entries ignored</x:v>
      </x:c>
      <x:c r="J5402" s="6" t="str">
        <x:f>IF(B5402="","",IF(AND(ISNUMBER(SEARCH("平",B5402)),OR(ISNUMBER(SEARCH("上",B5402)),ISNUMBER(SEARCH("去",B5402)),ISNUMBER(SEARCH("入",B5402)))),"Ambiguous",IF(ISNUMBER(SEARCH("平",B5402)),"平","仄")))</x:f>
        <x:v>仄</x:v>
      </x:c>
      <x:c r="K5402" s="6" t="str">
        <x:f>IF(D5402="","",IF(AND(ISNUMBER(SEARCH("平",D5402)),OR(ISNUMBER(SEARCH("上",D5402)),ISNUMBER(SEARCH("去",D5402)),ISNUMBER(SEARCH("入",D5402)))),"Ambiguous",IF(ISNUMBER(SEARCH("平",D5402)),"平","仄")))</x:f>
        <x:v>仄</x:v>
      </x:c>
      <x:c r="L5402" s="7" t="str">
        <x:v>Pingshui main list, Lu Qinli gap fill</x:v>
      </x:c>
    </x:row>
    <x:row r="5403">
      <x:c r="A5403" s="5" t="str">
        <x:v>桴</x:v>
      </x:c>
      <x:c r="B5403" s="6" t="str">
        <x:v>平</x:v>
      </x:c>
      <x:c r="C5403" s="6" t="str">
        <x:f>IF(B5403="","Needs decision","Ready")</x:f>
        <x:v>Ready</x:v>
      </x:c>
      <x:c r="D5403" s="6" t="str">
        <x:v>平</x:v>
      </x:c>
      <x:c r="E5403" s="6" t="str"/>
      <x:c r="F5403" s="6" t="str">
        <x:v>上平聲七虞; 下平聲十一尤</x:v>
      </x:c>
      <x:c r="G5403" s="6" t="str">
        <x:v>Pingshui main list, Wikisource-derived DOCX</x:v>
      </x:c>
      <x:c r="H5403" s="6" t="str"/>
      <x:c r="I5403" s="6" t="str">
        <x:v>Lu Qinli gap fill from Pingshui main list; 詞 entries ignored</x:v>
      </x:c>
      <x:c r="J5403" s="6" t="str">
        <x:f>IF(B5403="","",IF(AND(ISNUMBER(SEARCH("平",B5403)),OR(ISNUMBER(SEARCH("上",B5403)),ISNUMBER(SEARCH("去",B5403)),ISNUMBER(SEARCH("入",B5403)))),"Ambiguous",IF(ISNUMBER(SEARCH("平",B5403)),"平","仄")))</x:f>
        <x:v>平</x:v>
      </x:c>
      <x:c r="K5403" s="6" t="str">
        <x:f>IF(D5403="","",IF(AND(ISNUMBER(SEARCH("平",D5403)),OR(ISNUMBER(SEARCH("上",D5403)),ISNUMBER(SEARCH("去",D5403)),ISNUMBER(SEARCH("入",D5403)))),"Ambiguous",IF(ISNUMBER(SEARCH("平",D5403)),"平","仄")))</x:f>
        <x:v>平</x:v>
      </x:c>
      <x:c r="L5403" s="7" t="str">
        <x:v>Pingshui main list, Lu Qinli gap fill</x:v>
      </x:c>
    </x:row>
    <x:row r="5404">
      <x:c r="A5404" s="5" t="str">
        <x:v>桷</x:v>
      </x:c>
      <x:c r="B5404" s="6" t="str">
        <x:v>入</x:v>
      </x:c>
      <x:c r="C5404" s="6" t="str">
        <x:f>IF(B5404="","Needs decision","Ready")</x:f>
        <x:v>Ready</x:v>
      </x:c>
      <x:c r="D5404" s="6" t="str">
        <x:v>入</x:v>
      </x:c>
      <x:c r="E5404" s="6" t="str"/>
      <x:c r="F5404" s="6" t="str">
        <x:v>入聲三覺</x:v>
      </x:c>
      <x:c r="G5404" s="6" t="str">
        <x:v>Pingshui main list, Wikisource-derived DOCX</x:v>
      </x:c>
      <x:c r="H5404" s="6" t="str"/>
      <x:c r="I5404" s="6" t="str">
        <x:v>Lu Qinli gap fill from Pingshui main list; 詞 entries ignored</x:v>
      </x:c>
      <x:c r="J5404" s="6" t="str">
        <x:f>IF(B5404="","",IF(AND(ISNUMBER(SEARCH("平",B5404)),OR(ISNUMBER(SEARCH("上",B5404)),ISNUMBER(SEARCH("去",B5404)),ISNUMBER(SEARCH("入",B5404)))),"Ambiguous",IF(ISNUMBER(SEARCH("平",B5404)),"平","仄")))</x:f>
        <x:v>仄</x:v>
      </x:c>
      <x:c r="K5404" s="6" t="str">
        <x:f>IF(D5404="","",IF(AND(ISNUMBER(SEARCH("平",D5404)),OR(ISNUMBER(SEARCH("上",D5404)),ISNUMBER(SEARCH("去",D5404)),ISNUMBER(SEARCH("入",D5404)))),"Ambiguous",IF(ISNUMBER(SEARCH("平",D5404)),"平","仄")))</x:f>
        <x:v>仄</x:v>
      </x:c>
      <x:c r="L5404" s="7" t="str">
        <x:v>Pingshui main list, Lu Qinli gap fill</x:v>
      </x:c>
    </x:row>
    <x:row r="5405">
      <x:c r="A5405" s="5" t="str">
        <x:v>梀</x:v>
      </x:c>
      <x:c r="B5405" s="6" t="str">
        <x:v>入</x:v>
      </x:c>
      <x:c r="C5405" s="6" t="str">
        <x:f>IF(B5405="","Needs decision","Ready")</x:f>
        <x:v>Ready</x:v>
      </x:c>
      <x:c r="D5405" s="6" t="str">
        <x:v>入</x:v>
      </x:c>
      <x:c r="E5405" s="6" t="str"/>
      <x:c r="F5405" s="6" t="str">
        <x:v>入聲一屋</x:v>
      </x:c>
      <x:c r="G5405" s="6" t="str">
        <x:v>Pingshui main list, Wikisource-derived DOCX</x:v>
      </x:c>
      <x:c r="H5405" s="6" t="str"/>
      <x:c r="I5405" s="6" t="str">
        <x:v>Lu Qinli gap fill from Pingshui main list; 詞 entries ignored</x:v>
      </x:c>
      <x:c r="J5405" s="6" t="str">
        <x:f>IF(B5405="","",IF(AND(ISNUMBER(SEARCH("平",B5405)),OR(ISNUMBER(SEARCH("上",B5405)),ISNUMBER(SEARCH("去",B5405)),ISNUMBER(SEARCH("入",B5405)))),"Ambiguous",IF(ISNUMBER(SEARCH("平",B5405)),"平","仄")))</x:f>
        <x:v>仄</x:v>
      </x:c>
      <x:c r="K5405" s="6" t="str">
        <x:f>IF(D5405="","",IF(AND(ISNUMBER(SEARCH("平",D5405)),OR(ISNUMBER(SEARCH("上",D5405)),ISNUMBER(SEARCH("去",D5405)),ISNUMBER(SEARCH("入",D5405)))),"Ambiguous",IF(ISNUMBER(SEARCH("平",D5405)),"平","仄")))</x:f>
        <x:v>仄</x:v>
      </x:c>
      <x:c r="L5405" s="7" t="str">
        <x:v>Pingshui main list, Lu Qinli gap fill</x:v>
      </x:c>
    </x:row>
    <x:row r="5406">
      <x:c r="A5406" s="5" t="str">
        <x:v>梏</x:v>
      </x:c>
      <x:c r="B5406" s="6" t="str">
        <x:v>入</x:v>
      </x:c>
      <x:c r="C5406" s="6" t="str">
        <x:f>IF(B5406="","Needs decision","Ready")</x:f>
        <x:v>Ready</x:v>
      </x:c>
      <x:c r="D5406" s="6" t="str">
        <x:v>入</x:v>
      </x:c>
      <x:c r="E5406" s="6" t="str"/>
      <x:c r="F5406" s="6" t="str">
        <x:v>入聲二沃</x:v>
      </x:c>
      <x:c r="G5406" s="6" t="str">
        <x:v>Pingshui main list, Wikisource-derived DOCX</x:v>
      </x:c>
      <x:c r="H5406" s="6" t="str"/>
      <x:c r="I5406" s="6" t="str">
        <x:v>Lu Qinli gap fill from Pingshui main list; 詞 entries ignored</x:v>
      </x:c>
      <x:c r="J5406" s="6" t="str">
        <x:f>IF(B5406="","",IF(AND(ISNUMBER(SEARCH("平",B5406)),OR(ISNUMBER(SEARCH("上",B5406)),ISNUMBER(SEARCH("去",B5406)),ISNUMBER(SEARCH("入",B5406)))),"Ambiguous",IF(ISNUMBER(SEARCH("平",B5406)),"平","仄")))</x:f>
        <x:v>仄</x:v>
      </x:c>
      <x:c r="K5406" s="6" t="str">
        <x:f>IF(D5406="","",IF(AND(ISNUMBER(SEARCH("平",D5406)),OR(ISNUMBER(SEARCH("上",D5406)),ISNUMBER(SEARCH("去",D5406)),ISNUMBER(SEARCH("入",D5406)))),"Ambiguous",IF(ISNUMBER(SEARCH("平",D5406)),"平","仄")))</x:f>
        <x:v>仄</x:v>
      </x:c>
      <x:c r="L5406" s="7" t="str">
        <x:v>Pingshui main list, Lu Qinli gap fill</x:v>
      </x:c>
    </x:row>
    <x:row r="5407">
      <x:c r="A5407" s="5" t="str">
        <x:v>梟</x:v>
      </x:c>
      <x:c r="B5407" s="6" t="str">
        <x:v>平</x:v>
      </x:c>
      <x:c r="C5407" s="6" t="str">
        <x:f>IF(B5407="","Needs decision","Ready")</x:f>
        <x:v>Ready</x:v>
      </x:c>
      <x:c r="D5407" s="6" t="str">
        <x:v>平</x:v>
      </x:c>
      <x:c r="E5407" s="6" t="str"/>
      <x:c r="F5407" s="6" t="str">
        <x:v>下平聲二蕭</x:v>
      </x:c>
      <x:c r="G5407" s="6" t="str">
        <x:v>Pingshui main list, Wikisource-derived DOCX</x:v>
      </x:c>
      <x:c r="H5407" s="6" t="str"/>
      <x:c r="I5407" s="6" t="str">
        <x:v>Lu Qinli gap fill from Pingshui main list; 詞 entries ignored</x:v>
      </x:c>
      <x:c r="J5407" s="6" t="str">
        <x:f>IF(B5407="","",IF(AND(ISNUMBER(SEARCH("平",B5407)),OR(ISNUMBER(SEARCH("上",B5407)),ISNUMBER(SEARCH("去",B5407)),ISNUMBER(SEARCH("入",B5407)))),"Ambiguous",IF(ISNUMBER(SEARCH("平",B5407)),"平","仄")))</x:f>
        <x:v>平</x:v>
      </x:c>
      <x:c r="K5407" s="6" t="str">
        <x:f>IF(D5407="","",IF(AND(ISNUMBER(SEARCH("平",D5407)),OR(ISNUMBER(SEARCH("上",D5407)),ISNUMBER(SEARCH("去",D5407)),ISNUMBER(SEARCH("入",D5407)))),"Ambiguous",IF(ISNUMBER(SEARCH("平",D5407)),"平","仄")))</x:f>
        <x:v>平</x:v>
      </x:c>
      <x:c r="L5407" s="7" t="str">
        <x:v>Pingshui main list, Lu Qinli gap fill</x:v>
      </x:c>
    </x:row>
    <x:row r="5408">
      <x:c r="A5408" s="5" t="str">
        <x:v>棨</x:v>
      </x:c>
      <x:c r="B5408" s="6" t="str">
        <x:v>上</x:v>
      </x:c>
      <x:c r="C5408" s="6" t="str">
        <x:f>IF(B5408="","Needs decision","Ready")</x:f>
        <x:v>Ready</x:v>
      </x:c>
      <x:c r="D5408" s="6" t="str">
        <x:v>上</x:v>
      </x:c>
      <x:c r="E5408" s="6" t="str"/>
      <x:c r="F5408" s="6" t="str">
        <x:v>上聲八薺</x:v>
      </x:c>
      <x:c r="G5408" s="6" t="str">
        <x:v>Pingshui main list, Wikisource-derived DOCX</x:v>
      </x:c>
      <x:c r="H5408" s="6" t="str"/>
      <x:c r="I5408" s="6" t="str">
        <x:v>Lu Qinli gap fill from Pingshui main list; 詞 entries ignored</x:v>
      </x:c>
      <x:c r="J5408" s="6" t="str">
        <x:f>IF(B5408="","",IF(AND(ISNUMBER(SEARCH("平",B5408)),OR(ISNUMBER(SEARCH("上",B5408)),ISNUMBER(SEARCH("去",B5408)),ISNUMBER(SEARCH("入",B5408)))),"Ambiguous",IF(ISNUMBER(SEARCH("平",B5408)),"平","仄")))</x:f>
        <x:v>仄</x:v>
      </x:c>
      <x:c r="K5408" s="6" t="str">
        <x:f>IF(D5408="","",IF(AND(ISNUMBER(SEARCH("平",D5408)),OR(ISNUMBER(SEARCH("上",D5408)),ISNUMBER(SEARCH("去",D5408)),ISNUMBER(SEARCH("入",D5408)))),"Ambiguous",IF(ISNUMBER(SEARCH("平",D5408)),"平","仄")))</x:f>
        <x:v>仄</x:v>
      </x:c>
      <x:c r="L5408" s="7" t="str">
        <x:v>Pingshui main list, Lu Qinli gap fill</x:v>
      </x:c>
    </x:row>
    <x:row r="5409">
      <x:c r="A5409" s="5" t="str">
        <x:v>棫</x:v>
      </x:c>
      <x:c r="B5409" s="6" t="str">
        <x:v>入</x:v>
      </x:c>
      <x:c r="C5409" s="6" t="str">
        <x:f>IF(B5409="","Needs decision","Ready")</x:f>
        <x:v>Ready</x:v>
      </x:c>
      <x:c r="D5409" s="6" t="str">
        <x:v>入</x:v>
      </x:c>
      <x:c r="E5409" s="6" t="str"/>
      <x:c r="F5409" s="6" t="str">
        <x:v>入聲十三職</x:v>
      </x:c>
      <x:c r="G5409" s="6" t="str">
        <x:v>Pingshui main list, Wikisource-derived DOCX</x:v>
      </x:c>
      <x:c r="H5409" s="6" t="str"/>
      <x:c r="I5409" s="6" t="str">
        <x:v>Lu Qinli gap fill from Pingshui main list; 詞 entries ignored</x:v>
      </x:c>
      <x:c r="J5409" s="6" t="str">
        <x:f>IF(B5409="","",IF(AND(ISNUMBER(SEARCH("平",B5409)),OR(ISNUMBER(SEARCH("上",B5409)),ISNUMBER(SEARCH("去",B5409)),ISNUMBER(SEARCH("入",B5409)))),"Ambiguous",IF(ISNUMBER(SEARCH("平",B5409)),"平","仄")))</x:f>
        <x:v>仄</x:v>
      </x:c>
      <x:c r="K5409" s="6" t="str">
        <x:f>IF(D5409="","",IF(AND(ISNUMBER(SEARCH("平",D5409)),OR(ISNUMBER(SEARCH("上",D5409)),ISNUMBER(SEARCH("去",D5409)),ISNUMBER(SEARCH("入",D5409)))),"Ambiguous",IF(ISNUMBER(SEARCH("平",D5409)),"平","仄")))</x:f>
        <x:v>仄</x:v>
      </x:c>
      <x:c r="L5409" s="7" t="str">
        <x:v>Pingshui main list, Lu Qinli gap fill</x:v>
      </x:c>
    </x:row>
    <x:row r="5410">
      <x:c r="A5410" s="5" t="str">
        <x:v>棱</x:v>
      </x:c>
      <x:c r="B5410" s="6" t="str">
        <x:v>平</x:v>
      </x:c>
      <x:c r="C5410" s="6" t="str">
        <x:f>IF(B5410="","Needs decision","Ready")</x:f>
        <x:v>Ready</x:v>
      </x:c>
      <x:c r="D5410" s="6" t="str">
        <x:v>平</x:v>
      </x:c>
      <x:c r="E5410" s="6" t="str"/>
      <x:c r="F5410" s="6" t="str">
        <x:v>下平聲十蒸</x:v>
      </x:c>
      <x:c r="G5410" s="6" t="str">
        <x:v>Pingshui main list, Wikisource-derived DOCX</x:v>
      </x:c>
      <x:c r="H5410" s="6" t="str"/>
      <x:c r="I5410" s="6" t="str">
        <x:v>Lu Qinli gap fill from Pingshui main list; 詞 entries ignored</x:v>
      </x:c>
      <x:c r="J5410" s="6" t="str">
        <x:f>IF(B5410="","",IF(AND(ISNUMBER(SEARCH("平",B5410)),OR(ISNUMBER(SEARCH("上",B5410)),ISNUMBER(SEARCH("去",B5410)),ISNUMBER(SEARCH("入",B5410)))),"Ambiguous",IF(ISNUMBER(SEARCH("平",B5410)),"平","仄")))</x:f>
        <x:v>平</x:v>
      </x:c>
      <x:c r="K5410" s="6" t="str">
        <x:f>IF(D5410="","",IF(AND(ISNUMBER(SEARCH("平",D5410)),OR(ISNUMBER(SEARCH("上",D5410)),ISNUMBER(SEARCH("去",D5410)),ISNUMBER(SEARCH("入",D5410)))),"Ambiguous",IF(ISNUMBER(SEARCH("平",D5410)),"平","仄")))</x:f>
        <x:v>平</x:v>
      </x:c>
      <x:c r="L5410" s="7" t="str">
        <x:v>Pingshui main list, Lu Qinli gap fill</x:v>
      </x:c>
    </x:row>
    <x:row r="5411">
      <x:c r="A5411" s="5" t="str">
        <x:v>椑</x:v>
      </x:c>
      <x:c r="B5411" s="6" t="str">
        <x:v>平</x:v>
      </x:c>
      <x:c r="C5411" s="6" t="str">
        <x:f>IF(B5411="","Needs decision","Ready")</x:f>
        <x:v>Ready</x:v>
      </x:c>
      <x:c r="D5411" s="6" t="str">
        <x:v>平</x:v>
      </x:c>
      <x:c r="E5411" s="6" t="str"/>
      <x:c r="F5411" s="6" t="str">
        <x:v>上平聲四支; 上平聲八齊</x:v>
      </x:c>
      <x:c r="G5411" s="6" t="str">
        <x:v>Pingshui main list, Wikisource-derived DOCX</x:v>
      </x:c>
      <x:c r="H5411" s="6" t="str"/>
      <x:c r="I5411" s="6" t="str">
        <x:v>Lu Qinli gap fill from Pingshui main list; 詞 entries ignored</x:v>
      </x:c>
      <x:c r="J5411" s="6" t="str">
        <x:f>IF(B5411="","",IF(AND(ISNUMBER(SEARCH("平",B5411)),OR(ISNUMBER(SEARCH("上",B5411)),ISNUMBER(SEARCH("去",B5411)),ISNUMBER(SEARCH("入",B5411)))),"Ambiguous",IF(ISNUMBER(SEARCH("平",B5411)),"平","仄")))</x:f>
        <x:v>平</x:v>
      </x:c>
      <x:c r="K5411" s="6" t="str">
        <x:f>IF(D5411="","",IF(AND(ISNUMBER(SEARCH("平",D5411)),OR(ISNUMBER(SEARCH("上",D5411)),ISNUMBER(SEARCH("去",D5411)),ISNUMBER(SEARCH("入",D5411)))),"Ambiguous",IF(ISNUMBER(SEARCH("平",D5411)),"平","仄")))</x:f>
        <x:v>平</x:v>
      </x:c>
      <x:c r="L5411" s="7" t="str">
        <x:v>Pingshui main list, Lu Qinli gap fill</x:v>
      </x:c>
    </x:row>
    <x:row r="5412">
      <x:c r="A5412" s="5" t="str">
        <x:v>楂</x:v>
      </x:c>
      <x:c r="B5412" s="6" t="str">
        <x:v>平</x:v>
      </x:c>
      <x:c r="C5412" s="6" t="str">
        <x:f>IF(B5412="","Needs decision","Ready")</x:f>
        <x:v>Ready</x:v>
      </x:c>
      <x:c r="D5412" s="6" t="str">
        <x:v>平</x:v>
      </x:c>
      <x:c r="E5412" s="6" t="str"/>
      <x:c r="F5412" s="6" t="str">
        <x:v>下平聲六麻</x:v>
      </x:c>
      <x:c r="G5412" s="6" t="str">
        <x:v>Pingshui main list, Wikisource-derived DOCX</x:v>
      </x:c>
      <x:c r="H5412" s="6" t="str"/>
      <x:c r="I5412" s="6" t="str">
        <x:v>Lu Qinli gap fill from Pingshui main list; 詞 entries ignored</x:v>
      </x:c>
      <x:c r="J5412" s="6" t="str">
        <x:f>IF(B5412="","",IF(AND(ISNUMBER(SEARCH("平",B5412)),OR(ISNUMBER(SEARCH("上",B5412)),ISNUMBER(SEARCH("去",B5412)),ISNUMBER(SEARCH("入",B5412)))),"Ambiguous",IF(ISNUMBER(SEARCH("平",B5412)),"平","仄")))</x:f>
        <x:v>平</x:v>
      </x:c>
      <x:c r="K5412" s="6" t="str">
        <x:f>IF(D5412="","",IF(AND(ISNUMBER(SEARCH("平",D5412)),OR(ISNUMBER(SEARCH("上",D5412)),ISNUMBER(SEARCH("去",D5412)),ISNUMBER(SEARCH("入",D5412)))),"Ambiguous",IF(ISNUMBER(SEARCH("平",D5412)),"平","仄")))</x:f>
        <x:v>平</x:v>
      </x:c>
      <x:c r="L5412" s="7" t="str">
        <x:v>Pingshui main list, Lu Qinli gap fill</x:v>
      </x:c>
    </x:row>
    <x:row r="5413">
      <x:c r="A5413" s="5" t="str">
        <x:v>楗</x:v>
      </x:c>
      <x:c r="B5413" s="6" t="str">
        <x:v>上</x:v>
      </x:c>
      <x:c r="C5413" s="6" t="str">
        <x:f>IF(B5413="","Needs decision","Ready")</x:f>
        <x:v>Ready</x:v>
      </x:c>
      <x:c r="D5413" s="6" t="str">
        <x:v>上</x:v>
      </x:c>
      <x:c r="E5413" s="6" t="str"/>
      <x:c r="F5413" s="6" t="str">
        <x:v>上聲十三阮</x:v>
      </x:c>
      <x:c r="G5413" s="6" t="str">
        <x:v>Pingshui main list, Wikisource-derived DOCX</x:v>
      </x:c>
      <x:c r="H5413" s="6" t="str"/>
      <x:c r="I5413" s="6" t="str">
        <x:v>Lu Qinli gap fill from Pingshui main list; 詞 entries ignored</x:v>
      </x:c>
      <x:c r="J5413" s="6" t="str">
        <x:f>IF(B5413="","",IF(AND(ISNUMBER(SEARCH("平",B5413)),OR(ISNUMBER(SEARCH("上",B5413)),ISNUMBER(SEARCH("去",B5413)),ISNUMBER(SEARCH("入",B5413)))),"Ambiguous",IF(ISNUMBER(SEARCH("平",B5413)),"平","仄")))</x:f>
        <x:v>仄</x:v>
      </x:c>
      <x:c r="K5413" s="6" t="str">
        <x:f>IF(D5413="","",IF(AND(ISNUMBER(SEARCH("平",D5413)),OR(ISNUMBER(SEARCH("上",D5413)),ISNUMBER(SEARCH("去",D5413)),ISNUMBER(SEARCH("入",D5413)))),"Ambiguous",IF(ISNUMBER(SEARCH("平",D5413)),"平","仄")))</x:f>
        <x:v>仄</x:v>
      </x:c>
      <x:c r="L5413" s="7" t="str">
        <x:v>Pingshui main list, Lu Qinli gap fill</x:v>
      </x:c>
    </x:row>
    <x:row r="5414">
      <x:c r="A5414" s="5" t="str">
        <x:v>楙</x:v>
      </x:c>
      <x:c r="B5414" s="6" t="str">
        <x:v>去</x:v>
      </x:c>
      <x:c r="C5414" s="6" t="str">
        <x:f>IF(B5414="","Needs decision","Ready")</x:f>
        <x:v>Ready</x:v>
      </x:c>
      <x:c r="D5414" s="6" t="str">
        <x:v>去</x:v>
      </x:c>
      <x:c r="E5414" s="6" t="str"/>
      <x:c r="F5414" s="6" t="str">
        <x:v>去聲二十六宥</x:v>
      </x:c>
      <x:c r="G5414" s="6" t="str">
        <x:v>Pingshui main list, Wikisource-derived DOCX</x:v>
      </x:c>
      <x:c r="H5414" s="6" t="str"/>
      <x:c r="I5414" s="6" t="str">
        <x:v>Lu Qinli gap fill from Pingshui main list; 詞 entries ignored</x:v>
      </x:c>
      <x:c r="J5414" s="6" t="str">
        <x:f>IF(B5414="","",IF(AND(ISNUMBER(SEARCH("平",B5414)),OR(ISNUMBER(SEARCH("上",B5414)),ISNUMBER(SEARCH("去",B5414)),ISNUMBER(SEARCH("入",B5414)))),"Ambiguous",IF(ISNUMBER(SEARCH("平",B5414)),"平","仄")))</x:f>
        <x:v>仄</x:v>
      </x:c>
      <x:c r="K5414" s="6" t="str">
        <x:f>IF(D5414="","",IF(AND(ISNUMBER(SEARCH("平",D5414)),OR(ISNUMBER(SEARCH("上",D5414)),ISNUMBER(SEARCH("去",D5414)),ISNUMBER(SEARCH("入",D5414)))),"Ambiguous",IF(ISNUMBER(SEARCH("平",D5414)),"平","仄")))</x:f>
        <x:v>仄</x:v>
      </x:c>
      <x:c r="L5414" s="7" t="str">
        <x:v>Pingshui main list, Lu Qinli gap fill</x:v>
      </x:c>
    </x:row>
    <x:row r="5415">
      <x:c r="A5415" s="5" t="str">
        <x:v>楛</x:v>
      </x:c>
      <x:c r="B5415" s="6" t="str">
        <x:v>上</x:v>
      </x:c>
      <x:c r="C5415" s="6" t="str">
        <x:f>IF(B5415="","Needs decision","Ready")</x:f>
        <x:v>Ready</x:v>
      </x:c>
      <x:c r="D5415" s="6" t="str">
        <x:v>上</x:v>
      </x:c>
      <x:c r="E5415" s="6" t="str"/>
      <x:c r="F5415" s="6" t="str">
        <x:v>上聲七麌</x:v>
      </x:c>
      <x:c r="G5415" s="6" t="str">
        <x:v>Pingshui main list, Wikisource-derived DOCX</x:v>
      </x:c>
      <x:c r="H5415" s="6" t="str"/>
      <x:c r="I5415" s="6" t="str">
        <x:v>Lu Qinli gap fill from Pingshui main list; 詞 entries ignored</x:v>
      </x:c>
      <x:c r="J5415" s="6" t="str">
        <x:f>IF(B5415="","",IF(AND(ISNUMBER(SEARCH("平",B5415)),OR(ISNUMBER(SEARCH("上",B5415)),ISNUMBER(SEARCH("去",B5415)),ISNUMBER(SEARCH("入",B5415)))),"Ambiguous",IF(ISNUMBER(SEARCH("平",B5415)),"平","仄")))</x:f>
        <x:v>仄</x:v>
      </x:c>
      <x:c r="K5415" s="6" t="str">
        <x:f>IF(D5415="","",IF(AND(ISNUMBER(SEARCH("平",D5415)),OR(ISNUMBER(SEARCH("上",D5415)),ISNUMBER(SEARCH("去",D5415)),ISNUMBER(SEARCH("入",D5415)))),"Ambiguous",IF(ISNUMBER(SEARCH("平",D5415)),"平","仄")))</x:f>
        <x:v>仄</x:v>
      </x:c>
      <x:c r="L5415" s="7" t="str">
        <x:v>Pingshui main list, Lu Qinli gap fill</x:v>
      </x:c>
    </x:row>
    <x:row r="5416">
      <x:c r="A5416" s="5" t="str">
        <x:v>楟</x:v>
      </x:c>
      <x:c r="B5416" s="6" t="str">
        <x:v>平</x:v>
      </x:c>
      <x:c r="C5416" s="6" t="str">
        <x:f>IF(B5416="","Needs decision","Ready")</x:f>
        <x:v>Ready</x:v>
      </x:c>
      <x:c r="D5416" s="6" t="str">
        <x:v>平</x:v>
      </x:c>
      <x:c r="E5416" s="6" t="str"/>
      <x:c r="F5416" s="6" t="str">
        <x:v>下平聲九青</x:v>
      </x:c>
      <x:c r="G5416" s="6" t="str">
        <x:v>Pingshui main list, Wikisource-derived DOCX</x:v>
      </x:c>
      <x:c r="H5416" s="6" t="str"/>
      <x:c r="I5416" s="6" t="str">
        <x:v>Lu Qinli gap fill from Pingshui main list; 詞 entries ignored</x:v>
      </x:c>
      <x:c r="J5416" s="6" t="str">
        <x:f>IF(B5416="","",IF(AND(ISNUMBER(SEARCH("平",B5416)),OR(ISNUMBER(SEARCH("上",B5416)),ISNUMBER(SEARCH("去",B5416)),ISNUMBER(SEARCH("入",B5416)))),"Ambiguous",IF(ISNUMBER(SEARCH("平",B5416)),"平","仄")))</x:f>
        <x:v>平</x:v>
      </x:c>
      <x:c r="K5416" s="6" t="str">
        <x:f>IF(D5416="","",IF(AND(ISNUMBER(SEARCH("平",D5416)),OR(ISNUMBER(SEARCH("上",D5416)),ISNUMBER(SEARCH("去",D5416)),ISNUMBER(SEARCH("入",D5416)))),"Ambiguous",IF(ISNUMBER(SEARCH("平",D5416)),"平","仄")))</x:f>
        <x:v>平</x:v>
      </x:c>
      <x:c r="L5416" s="7" t="str">
        <x:v>Pingshui main list, Lu Qinli gap fill</x:v>
      </x:c>
    </x:row>
    <x:row r="5417">
      <x:c r="A5417" s="5" t="str">
        <x:v>楣</x:v>
      </x:c>
      <x:c r="B5417" s="6" t="str">
        <x:v>平</x:v>
      </x:c>
      <x:c r="C5417" s="6" t="str">
        <x:f>IF(B5417="","Needs decision","Ready")</x:f>
        <x:v>Ready</x:v>
      </x:c>
      <x:c r="D5417" s="6" t="str">
        <x:v>平</x:v>
      </x:c>
      <x:c r="E5417" s="6" t="str"/>
      <x:c r="F5417" s="6" t="str">
        <x:v>上平聲四支</x:v>
      </x:c>
      <x:c r="G5417" s="6" t="str">
        <x:v>Pingshui main list, Wikisource-derived DOCX</x:v>
      </x:c>
      <x:c r="H5417" s="6" t="str"/>
      <x:c r="I5417" s="6" t="str">
        <x:v>Lu Qinli gap fill from Pingshui main list; 詞 entries ignored</x:v>
      </x:c>
      <x:c r="J5417" s="6" t="str">
        <x:f>IF(B5417="","",IF(AND(ISNUMBER(SEARCH("平",B5417)),OR(ISNUMBER(SEARCH("上",B5417)),ISNUMBER(SEARCH("去",B5417)),ISNUMBER(SEARCH("入",B5417)))),"Ambiguous",IF(ISNUMBER(SEARCH("平",B5417)),"平","仄")))</x:f>
        <x:v>平</x:v>
      </x:c>
      <x:c r="K5417" s="6" t="str">
        <x:f>IF(D5417="","",IF(AND(ISNUMBER(SEARCH("平",D5417)),OR(ISNUMBER(SEARCH("上",D5417)),ISNUMBER(SEARCH("去",D5417)),ISNUMBER(SEARCH("入",D5417)))),"Ambiguous",IF(ISNUMBER(SEARCH("平",D5417)),"平","仄")))</x:f>
        <x:v>平</x:v>
      </x:c>
      <x:c r="L5417" s="7" t="str">
        <x:v>Pingshui main list, Lu Qinli gap fill</x:v>
      </x:c>
    </x:row>
    <x:row r="5418">
      <x:c r="A5418" s="5" t="str">
        <x:v>楨</x:v>
      </x:c>
      <x:c r="B5418" s="6" t="str">
        <x:v>平</x:v>
      </x:c>
      <x:c r="C5418" s="6" t="str">
        <x:f>IF(B5418="","Needs decision","Ready")</x:f>
        <x:v>Ready</x:v>
      </x:c>
      <x:c r="D5418" s="6" t="str">
        <x:v>平</x:v>
      </x:c>
      <x:c r="E5418" s="6" t="str"/>
      <x:c r="F5418" s="6" t="str">
        <x:v>下平聲八庚</x:v>
      </x:c>
      <x:c r="G5418" s="6" t="str">
        <x:v>Pingshui main list, Wikisource-derived DOCX</x:v>
      </x:c>
      <x:c r="H5418" s="6" t="str"/>
      <x:c r="I5418" s="6" t="str">
        <x:v>Lu Qinli gap fill from Pingshui main list; 詞 entries ignored</x:v>
      </x:c>
      <x:c r="J5418" s="6" t="str">
        <x:f>IF(B5418="","",IF(AND(ISNUMBER(SEARCH("平",B5418)),OR(ISNUMBER(SEARCH("上",B5418)),ISNUMBER(SEARCH("去",B5418)),ISNUMBER(SEARCH("入",B5418)))),"Ambiguous",IF(ISNUMBER(SEARCH("平",B5418)),"平","仄")))</x:f>
        <x:v>平</x:v>
      </x:c>
      <x:c r="K5418" s="6" t="str">
        <x:f>IF(D5418="","",IF(AND(ISNUMBER(SEARCH("平",D5418)),OR(ISNUMBER(SEARCH("上",D5418)),ISNUMBER(SEARCH("去",D5418)),ISNUMBER(SEARCH("入",D5418)))),"Ambiguous",IF(ISNUMBER(SEARCH("平",D5418)),"平","仄")))</x:f>
        <x:v>平</x:v>
      </x:c>
      <x:c r="L5418" s="7" t="str">
        <x:v>Pingshui main list, Lu Qinli gap fill</x:v>
      </x:c>
    </x:row>
    <x:row r="5419">
      <x:c r="A5419" s="5" t="str">
        <x:v>楩</x:v>
      </x:c>
      <x:c r="B5419" s="6" t="str">
        <x:v>平</x:v>
      </x:c>
      <x:c r="C5419" s="6" t="str">
        <x:f>IF(B5419="","Needs decision","Ready")</x:f>
        <x:v>Ready</x:v>
      </x:c>
      <x:c r="D5419" s="6" t="str">
        <x:v>平</x:v>
      </x:c>
      <x:c r="E5419" s="6" t="str"/>
      <x:c r="F5419" s="6" t="str">
        <x:v>下平聲一先</x:v>
      </x:c>
      <x:c r="G5419" s="6" t="str">
        <x:v>Pingshui main list, Wikisource-derived DOCX</x:v>
      </x:c>
      <x:c r="H5419" s="6" t="str"/>
      <x:c r="I5419" s="6" t="str">
        <x:v>Lu Qinli gap fill from Pingshui main list; 詞 entries ignored</x:v>
      </x:c>
      <x:c r="J5419" s="6" t="str">
        <x:f>IF(B5419="","",IF(AND(ISNUMBER(SEARCH("平",B5419)),OR(ISNUMBER(SEARCH("上",B5419)),ISNUMBER(SEARCH("去",B5419)),ISNUMBER(SEARCH("入",B5419)))),"Ambiguous",IF(ISNUMBER(SEARCH("平",B5419)),"平","仄")))</x:f>
        <x:v>平</x:v>
      </x:c>
      <x:c r="K5419" s="6" t="str">
        <x:f>IF(D5419="","",IF(AND(ISNUMBER(SEARCH("平",D5419)),OR(ISNUMBER(SEARCH("上",D5419)),ISNUMBER(SEARCH("去",D5419)),ISNUMBER(SEARCH("入",D5419)))),"Ambiguous",IF(ISNUMBER(SEARCH("平",D5419)),"平","仄")))</x:f>
        <x:v>平</x:v>
      </x:c>
      <x:c r="L5419" s="7" t="str">
        <x:v>Pingshui main list, Lu Qinli gap fill</x:v>
      </x:c>
    </x:row>
    <x:row r="5420">
      <x:c r="A5420" s="5" t="str">
        <x:v>楷</x:v>
      </x:c>
      <x:c r="B5420" s="6" t="str"/>
      <x:c r="C5420" s="6" t="str">
        <x:f>IF(B5420="","Needs decision","Ready")</x:f>
        <x:v>Needs decision</x:v>
      </x:c>
      <x:c r="D5420" s="6" t="str">
        <x:v>平/上</x:v>
      </x:c>
      <x:c r="E5420" s="6" t="str"/>
      <x:c r="F5420" s="6" t="str">
        <x:v>上平聲九佳; 上聲九蟹</x:v>
      </x:c>
      <x:c r="G5420" s="6" t="str">
        <x:v>Pingshui main list, Wikisource-derived DOCX</x:v>
      </x:c>
      <x:c r="H5420" s="6" t="str"/>
      <x:c r="I5420" s="6" t="str">
        <x:v>Lu Qinli gap fill from Pingshui main list; 詞 entries ignored</x:v>
      </x:c>
      <x:c r="J5420" s="6" t="str">
        <x:f>IF(B5420="","",IF(AND(ISNUMBER(SEARCH("平",B5420)),OR(ISNUMBER(SEARCH("上",B5420)),ISNUMBER(SEARCH("去",B5420)),ISNUMBER(SEARCH("入",B5420)))),"Ambiguous",IF(ISNUMBER(SEARCH("平",B5420)),"平","仄")))</x:f>
      </x:c>
      <x:c r="K5420" s="6" t="str">
        <x:f>IF(D5420="","",IF(AND(ISNUMBER(SEARCH("平",D5420)),OR(ISNUMBER(SEARCH("上",D5420)),ISNUMBER(SEARCH("去",D5420)),ISNUMBER(SEARCH("入",D5420)))),"Ambiguous",IF(ISNUMBER(SEARCH("平",D5420)),"平","仄")))</x:f>
        <x:v>Ambiguous</x:v>
      </x:c>
      <x:c r="L5420" s="7" t="str">
        <x:v>Pingshui main list, Lu Qinli gap fill</x:v>
      </x:c>
    </x:row>
    <x:row r="5421">
      <x:c r="A5421" s="5" t="str">
        <x:v>榔</x:v>
      </x:c>
      <x:c r="B5421" s="6" t="str">
        <x:v>平</x:v>
      </x:c>
      <x:c r="C5421" s="6" t="str">
        <x:f>IF(B5421="","Needs decision","Ready")</x:f>
        <x:v>Ready</x:v>
      </x:c>
      <x:c r="D5421" s="6" t="str">
        <x:v>平</x:v>
      </x:c>
      <x:c r="E5421" s="6" t="str"/>
      <x:c r="F5421" s="6" t="str">
        <x:v>下平聲七陽</x:v>
      </x:c>
      <x:c r="G5421" s="6" t="str">
        <x:v>Pingshui main list, Wikisource-derived DOCX</x:v>
      </x:c>
      <x:c r="H5421" s="6" t="str"/>
      <x:c r="I5421" s="6" t="str">
        <x:v>Lu Qinli gap fill from Pingshui main list; 詞 entries ignored</x:v>
      </x:c>
      <x:c r="J5421" s="6" t="str">
        <x:f>IF(B5421="","",IF(AND(ISNUMBER(SEARCH("平",B5421)),OR(ISNUMBER(SEARCH("上",B5421)),ISNUMBER(SEARCH("去",B5421)),ISNUMBER(SEARCH("入",B5421)))),"Ambiguous",IF(ISNUMBER(SEARCH("平",B5421)),"平","仄")))</x:f>
        <x:v>平</x:v>
      </x:c>
      <x:c r="K5421" s="6" t="str">
        <x:f>IF(D5421="","",IF(AND(ISNUMBER(SEARCH("平",D5421)),OR(ISNUMBER(SEARCH("上",D5421)),ISNUMBER(SEARCH("去",D5421)),ISNUMBER(SEARCH("入",D5421)))),"Ambiguous",IF(ISNUMBER(SEARCH("平",D5421)),"平","仄")))</x:f>
        <x:v>平</x:v>
      </x:c>
      <x:c r="L5421" s="7" t="str">
        <x:v>Pingshui main list, Lu Qinli gap fill</x:v>
      </x:c>
    </x:row>
    <x:row r="5422">
      <x:c r="A5422" s="5" t="str">
        <x:v>榦</x:v>
      </x:c>
      <x:c r="B5422" s="6" t="str"/>
      <x:c r="C5422" s="6" t="str">
        <x:f>IF(B5422="","Needs decision","Ready")</x:f>
        <x:v>Needs decision</x:v>
      </x:c>
      <x:c r="D5422" s="6" t="str">
        <x:v>平/去</x:v>
      </x:c>
      <x:c r="E5422" s="6" t="str"/>
      <x:c r="F5422" s="6" t="str">
        <x:v>上平聲十四寒; 去聲十五翰</x:v>
      </x:c>
      <x:c r="G5422" s="6" t="str">
        <x:v>Pingshui main list, Wikisource-derived DOCX</x:v>
      </x:c>
      <x:c r="H5422" s="6" t="str"/>
      <x:c r="I5422" s="6" t="str">
        <x:v>Lu Qinli gap fill from Pingshui main list; 詞 entries ignored</x:v>
      </x:c>
      <x:c r="J5422" s="6" t="str">
        <x:f>IF(B5422="","",IF(AND(ISNUMBER(SEARCH("平",B5422)),OR(ISNUMBER(SEARCH("上",B5422)),ISNUMBER(SEARCH("去",B5422)),ISNUMBER(SEARCH("入",B5422)))),"Ambiguous",IF(ISNUMBER(SEARCH("平",B5422)),"平","仄")))</x:f>
      </x:c>
      <x:c r="K5422" s="6" t="str">
        <x:f>IF(D5422="","",IF(AND(ISNUMBER(SEARCH("平",D5422)),OR(ISNUMBER(SEARCH("上",D5422)),ISNUMBER(SEARCH("去",D5422)),ISNUMBER(SEARCH("入",D5422)))),"Ambiguous",IF(ISNUMBER(SEARCH("平",D5422)),"平","仄")))</x:f>
        <x:v>Ambiguous</x:v>
      </x:c>
      <x:c r="L5422" s="7" t="str">
        <x:v>Pingshui main list, Lu Qinli gap fill</x:v>
      </x:c>
    </x:row>
    <x:row r="5423">
      <x:c r="A5423" s="5" t="str">
        <x:v>榱</x:v>
      </x:c>
      <x:c r="B5423" s="6" t="str">
        <x:v>平</x:v>
      </x:c>
      <x:c r="C5423" s="6" t="str">
        <x:f>IF(B5423="","Needs decision","Ready")</x:f>
        <x:v>Ready</x:v>
      </x:c>
      <x:c r="D5423" s="6" t="str">
        <x:v>平</x:v>
      </x:c>
      <x:c r="E5423" s="6" t="str"/>
      <x:c r="F5423" s="6" t="str">
        <x:v>上平聲四支</x:v>
      </x:c>
      <x:c r="G5423" s="6" t="str">
        <x:v>Pingshui main list, Wikisource-derived DOCX</x:v>
      </x:c>
      <x:c r="H5423" s="6" t="str"/>
      <x:c r="I5423" s="6" t="str">
        <x:v>Lu Qinli gap fill from Pingshui main list; 詞 entries ignored</x:v>
      </x:c>
      <x:c r="J5423" s="6" t="str">
        <x:f>IF(B5423="","",IF(AND(ISNUMBER(SEARCH("平",B5423)),OR(ISNUMBER(SEARCH("上",B5423)),ISNUMBER(SEARCH("去",B5423)),ISNUMBER(SEARCH("入",B5423)))),"Ambiguous",IF(ISNUMBER(SEARCH("平",B5423)),"平","仄")))</x:f>
        <x:v>平</x:v>
      </x:c>
      <x:c r="K5423" s="6" t="str">
        <x:f>IF(D5423="","",IF(AND(ISNUMBER(SEARCH("平",D5423)),OR(ISNUMBER(SEARCH("上",D5423)),ISNUMBER(SEARCH("去",D5423)),ISNUMBER(SEARCH("入",D5423)))),"Ambiguous",IF(ISNUMBER(SEARCH("平",D5423)),"平","仄")))</x:f>
        <x:v>平</x:v>
      </x:c>
      <x:c r="L5423" s="7" t="str">
        <x:v>Pingshui main list, Lu Qinli gap fill</x:v>
      </x:c>
    </x:row>
    <x:row r="5424">
      <x:c r="A5424" s="5" t="str">
        <x:v>榷</x:v>
      </x:c>
      <x:c r="B5424" s="6" t="str">
        <x:v>入</x:v>
      </x:c>
      <x:c r="C5424" s="6" t="str">
        <x:f>IF(B5424="","Needs decision","Ready")</x:f>
        <x:v>Ready</x:v>
      </x:c>
      <x:c r="D5424" s="6" t="str">
        <x:v>入</x:v>
      </x:c>
      <x:c r="E5424" s="6" t="str"/>
      <x:c r="F5424" s="6" t="str">
        <x:v>入聲三覺</x:v>
      </x:c>
      <x:c r="G5424" s="6" t="str">
        <x:v>Pingshui main list, Wikisource-derived DOCX</x:v>
      </x:c>
      <x:c r="H5424" s="6" t="str"/>
      <x:c r="I5424" s="6" t="str">
        <x:v>Lu Qinli gap fill from Pingshui main list; 詞 entries ignored</x:v>
      </x:c>
      <x:c r="J5424" s="6" t="str">
        <x:f>IF(B5424="","",IF(AND(ISNUMBER(SEARCH("平",B5424)),OR(ISNUMBER(SEARCH("上",B5424)),ISNUMBER(SEARCH("去",B5424)),ISNUMBER(SEARCH("入",B5424)))),"Ambiguous",IF(ISNUMBER(SEARCH("平",B5424)),"平","仄")))</x:f>
        <x:v>仄</x:v>
      </x:c>
      <x:c r="K5424" s="6" t="str">
        <x:f>IF(D5424="","",IF(AND(ISNUMBER(SEARCH("平",D5424)),OR(ISNUMBER(SEARCH("上",D5424)),ISNUMBER(SEARCH("去",D5424)),ISNUMBER(SEARCH("入",D5424)))),"Ambiguous",IF(ISNUMBER(SEARCH("平",D5424)),"平","仄")))</x:f>
        <x:v>仄</x:v>
      </x:c>
      <x:c r="L5424" s="7" t="str">
        <x:v>Pingshui main list, Lu Qinli gap fill</x:v>
      </x:c>
    </x:row>
    <x:row r="5425">
      <x:c r="A5425" s="5" t="str">
        <x:v>榼</x:v>
      </x:c>
      <x:c r="B5425" s="6" t="str">
        <x:v>入</x:v>
      </x:c>
      <x:c r="C5425" s="6" t="str">
        <x:f>IF(B5425="","Needs decision","Ready")</x:f>
        <x:v>Ready</x:v>
      </x:c>
      <x:c r="D5425" s="6" t="str">
        <x:v>入</x:v>
      </x:c>
      <x:c r="E5425" s="6" t="str"/>
      <x:c r="F5425" s="6" t="str">
        <x:v>入聲十五合</x:v>
      </x:c>
      <x:c r="G5425" s="6" t="str">
        <x:v>Pingshui main list, Wikisource-derived DOCX</x:v>
      </x:c>
      <x:c r="H5425" s="6" t="str"/>
      <x:c r="I5425" s="6" t="str">
        <x:v>Lu Qinli gap fill from Pingshui main list; 詞 entries ignored</x:v>
      </x:c>
      <x:c r="J5425" s="6" t="str">
        <x:f>IF(B5425="","",IF(AND(ISNUMBER(SEARCH("平",B5425)),OR(ISNUMBER(SEARCH("上",B5425)),ISNUMBER(SEARCH("去",B5425)),ISNUMBER(SEARCH("入",B5425)))),"Ambiguous",IF(ISNUMBER(SEARCH("平",B5425)),"平","仄")))</x:f>
        <x:v>仄</x:v>
      </x:c>
      <x:c r="K5425" s="6" t="str">
        <x:f>IF(D5425="","",IF(AND(ISNUMBER(SEARCH("平",D5425)),OR(ISNUMBER(SEARCH("上",D5425)),ISNUMBER(SEARCH("去",D5425)),ISNUMBER(SEARCH("入",D5425)))),"Ambiguous",IF(ISNUMBER(SEARCH("平",D5425)),"平","仄")))</x:f>
        <x:v>仄</x:v>
      </x:c>
      <x:c r="L5425" s="7" t="str">
        <x:v>Pingshui main list, Lu Qinli gap fill</x:v>
      </x:c>
    </x:row>
    <x:row r="5426">
      <x:c r="A5426" s="5" t="str">
        <x:v>槌</x:v>
      </x:c>
      <x:c r="B5426" s="6" t="str">
        <x:v>去</x:v>
      </x:c>
      <x:c r="C5426" s="6" t="str">
        <x:f>IF(B5426="","Needs decision","Ready")</x:f>
        <x:v>Ready</x:v>
      </x:c>
      <x:c r="D5426" s="6" t="str">
        <x:v>去</x:v>
      </x:c>
      <x:c r="E5426" s="6" t="str"/>
      <x:c r="F5426" s="6" t="str">
        <x:v>去聲四寘</x:v>
      </x:c>
      <x:c r="G5426" s="6" t="str">
        <x:v>Pingshui main list, Wikisource-derived DOCX</x:v>
      </x:c>
      <x:c r="H5426" s="6" t="str"/>
      <x:c r="I5426" s="6" t="str">
        <x:v>Lu Qinli gap fill from Pingshui main list; 詞 entries ignored</x:v>
      </x:c>
      <x:c r="J5426" s="6" t="str">
        <x:f>IF(B5426="","",IF(AND(ISNUMBER(SEARCH("平",B5426)),OR(ISNUMBER(SEARCH("上",B5426)),ISNUMBER(SEARCH("去",B5426)),ISNUMBER(SEARCH("入",B5426)))),"Ambiguous",IF(ISNUMBER(SEARCH("平",B5426)),"平","仄")))</x:f>
        <x:v>仄</x:v>
      </x:c>
      <x:c r="K5426" s="6" t="str">
        <x:f>IF(D5426="","",IF(AND(ISNUMBER(SEARCH("平",D5426)),OR(ISNUMBER(SEARCH("上",D5426)),ISNUMBER(SEARCH("去",D5426)),ISNUMBER(SEARCH("入",D5426)))),"Ambiguous",IF(ISNUMBER(SEARCH("平",D5426)),"平","仄")))</x:f>
        <x:v>仄</x:v>
      </x:c>
      <x:c r="L5426" s="7" t="str">
        <x:v>Pingshui main list, Lu Qinli gap fill</x:v>
      </x:c>
    </x:row>
    <x:row r="5427">
      <x:c r="A5427" s="5" t="str">
        <x:v>槔</x:v>
      </x:c>
      <x:c r="B5427" s="6" t="str">
        <x:v>平</x:v>
      </x:c>
      <x:c r="C5427" s="6" t="str">
        <x:f>IF(B5427="","Needs decision","Ready")</x:f>
        <x:v>Ready</x:v>
      </x:c>
      <x:c r="D5427" s="6" t="str">
        <x:v>平</x:v>
      </x:c>
      <x:c r="E5427" s="6" t="str"/>
      <x:c r="F5427" s="6" t="str">
        <x:v>下平聲四豪</x:v>
      </x:c>
      <x:c r="G5427" s="6" t="str">
        <x:v>Pingshui main list, Wikisource-derived DOCX</x:v>
      </x:c>
      <x:c r="H5427" s="6" t="str"/>
      <x:c r="I5427" s="6" t="str">
        <x:v>Lu Qinli gap fill from Pingshui main list; 詞 entries ignored</x:v>
      </x:c>
      <x:c r="J5427" s="6" t="str">
        <x:f>IF(B5427="","",IF(AND(ISNUMBER(SEARCH("平",B5427)),OR(ISNUMBER(SEARCH("上",B5427)),ISNUMBER(SEARCH("去",B5427)),ISNUMBER(SEARCH("入",B5427)))),"Ambiguous",IF(ISNUMBER(SEARCH("平",B5427)),"平","仄")))</x:f>
        <x:v>平</x:v>
      </x:c>
      <x:c r="K5427" s="6" t="str">
        <x:f>IF(D5427="","",IF(AND(ISNUMBER(SEARCH("平",D5427)),OR(ISNUMBER(SEARCH("上",D5427)),ISNUMBER(SEARCH("去",D5427)),ISNUMBER(SEARCH("入",D5427)))),"Ambiguous",IF(ISNUMBER(SEARCH("平",D5427)),"平","仄")))</x:f>
        <x:v>平</x:v>
      </x:c>
      <x:c r="L5427" s="7" t="str">
        <x:v>Pingshui main list, Lu Qinli gap fill</x:v>
      </x:c>
    </x:row>
    <x:row r="5428">
      <x:c r="A5428" s="5" t="str">
        <x:v>槥</x:v>
      </x:c>
      <x:c r="B5428" s="6" t="str">
        <x:v>去</x:v>
      </x:c>
      <x:c r="C5428" s="6" t="str">
        <x:f>IF(B5428="","Needs decision","Ready")</x:f>
        <x:v>Ready</x:v>
      </x:c>
      <x:c r="D5428" s="6" t="str">
        <x:v>去</x:v>
      </x:c>
      <x:c r="E5428" s="6" t="str"/>
      <x:c r="F5428" s="6" t="str">
        <x:v>去聲八霽</x:v>
      </x:c>
      <x:c r="G5428" s="6" t="str">
        <x:v>Pingshui main list, Wikisource-derived DOCX</x:v>
      </x:c>
      <x:c r="H5428" s="6" t="str"/>
      <x:c r="I5428" s="6" t="str">
        <x:v>Lu Qinli gap fill from Pingshui main list; 詞 entries ignored</x:v>
      </x:c>
      <x:c r="J5428" s="6" t="str">
        <x:f>IF(B5428="","",IF(AND(ISNUMBER(SEARCH("平",B5428)),OR(ISNUMBER(SEARCH("上",B5428)),ISNUMBER(SEARCH("去",B5428)),ISNUMBER(SEARCH("入",B5428)))),"Ambiguous",IF(ISNUMBER(SEARCH("平",B5428)),"平","仄")))</x:f>
        <x:v>仄</x:v>
      </x:c>
      <x:c r="K5428" s="6" t="str">
        <x:f>IF(D5428="","",IF(AND(ISNUMBER(SEARCH("平",D5428)),OR(ISNUMBER(SEARCH("上",D5428)),ISNUMBER(SEARCH("去",D5428)),ISNUMBER(SEARCH("入",D5428)))),"Ambiguous",IF(ISNUMBER(SEARCH("平",D5428)),"平","仄")))</x:f>
        <x:v>仄</x:v>
      </x:c>
      <x:c r="L5428" s="7" t="str">
        <x:v>Pingshui main list, Lu Qinli gap fill</x:v>
      </x:c>
    </x:row>
    <x:row r="5429">
      <x:c r="A5429" s="5" t="str">
        <x:v>槧</x:v>
      </x:c>
      <x:c r="B5429" s="6" t="str"/>
      <x:c r="C5429" s="6" t="str">
        <x:f>IF(B5429="","Needs decision","Ready")</x:f>
        <x:v>Needs decision</x:v>
      </x:c>
      <x:c r="D5429" s="6" t="str">
        <x:v>上/去</x:v>
      </x:c>
      <x:c r="E5429" s="6" t="str"/>
      <x:c r="F5429" s="6" t="str">
        <x:v>上聲二十七感; 去聲二十九豔</x:v>
      </x:c>
      <x:c r="G5429" s="6" t="str">
        <x:v>Pingshui main list, Wikisource-derived DOCX</x:v>
      </x:c>
      <x:c r="H5429" s="6" t="str"/>
      <x:c r="I5429" s="6" t="str">
        <x:v>Lu Qinli gap fill from Pingshui main list; 詞 entries ignored</x:v>
      </x:c>
      <x:c r="J5429" s="6" t="str">
        <x:f>IF(B5429="","",IF(AND(ISNUMBER(SEARCH("平",B5429)),OR(ISNUMBER(SEARCH("上",B5429)),ISNUMBER(SEARCH("去",B5429)),ISNUMBER(SEARCH("入",B5429)))),"Ambiguous",IF(ISNUMBER(SEARCH("平",B5429)),"平","仄")))</x:f>
      </x:c>
      <x:c r="K5429" s="6" t="str">
        <x:f>IF(D5429="","",IF(AND(ISNUMBER(SEARCH("平",D5429)),OR(ISNUMBER(SEARCH("上",D5429)),ISNUMBER(SEARCH("去",D5429)),ISNUMBER(SEARCH("入",D5429)))),"Ambiguous",IF(ISNUMBER(SEARCH("平",D5429)),"平","仄")))</x:f>
        <x:v>仄</x:v>
      </x:c>
      <x:c r="L5429" s="7" t="str">
        <x:v>Pingshui main list, Lu Qinli gap fill</x:v>
      </x:c>
    </x:row>
    <x:row r="5430">
      <x:c r="A5430" s="5" t="str">
        <x:v>槭</x:v>
      </x:c>
      <x:c r="B5430" s="6" t="str">
        <x:v>入</x:v>
      </x:c>
      <x:c r="C5430" s="6" t="str">
        <x:f>IF(B5430="","Needs decision","Ready")</x:f>
        <x:v>Ready</x:v>
      </x:c>
      <x:c r="D5430" s="6" t="str">
        <x:v>入</x:v>
      </x:c>
      <x:c r="E5430" s="6" t="str"/>
      <x:c r="F5430" s="6" t="str">
        <x:v>入聲一屋</x:v>
      </x:c>
      <x:c r="G5430" s="6" t="str">
        <x:v>Pingshui main list, Wikisource-derived DOCX</x:v>
      </x:c>
      <x:c r="H5430" s="6" t="str"/>
      <x:c r="I5430" s="6" t="str">
        <x:v>Lu Qinli gap fill from Pingshui main list; 詞 entries ignored</x:v>
      </x:c>
      <x:c r="J5430" s="6" t="str">
        <x:f>IF(B5430="","",IF(AND(ISNUMBER(SEARCH("平",B5430)),OR(ISNUMBER(SEARCH("上",B5430)),ISNUMBER(SEARCH("去",B5430)),ISNUMBER(SEARCH("入",B5430)))),"Ambiguous",IF(ISNUMBER(SEARCH("平",B5430)),"平","仄")))</x:f>
        <x:v>仄</x:v>
      </x:c>
      <x:c r="K5430" s="6" t="str">
        <x:f>IF(D5430="","",IF(AND(ISNUMBER(SEARCH("平",D5430)),OR(ISNUMBER(SEARCH("上",D5430)),ISNUMBER(SEARCH("去",D5430)),ISNUMBER(SEARCH("入",D5430)))),"Ambiguous",IF(ISNUMBER(SEARCH("平",D5430)),"平","仄")))</x:f>
        <x:v>仄</x:v>
      </x:c>
      <x:c r="L5430" s="7" t="str">
        <x:v>Pingshui main list, Lu Qinli gap fill</x:v>
      </x:c>
    </x:row>
    <x:row r="5431">
      <x:c r="A5431" s="5" t="str">
        <x:v>槲</x:v>
      </x:c>
      <x:c r="B5431" s="6" t="str">
        <x:v>入</x:v>
      </x:c>
      <x:c r="C5431" s="6" t="str">
        <x:f>IF(B5431="","Needs decision","Ready")</x:f>
        <x:v>Ready</x:v>
      </x:c>
      <x:c r="D5431" s="6" t="str">
        <x:v>入</x:v>
      </x:c>
      <x:c r="E5431" s="6" t="str"/>
      <x:c r="F5431" s="6" t="str">
        <x:v>入聲一屋</x:v>
      </x:c>
      <x:c r="G5431" s="6" t="str">
        <x:v>Pingshui main list, Wikisource-derived DOCX</x:v>
      </x:c>
      <x:c r="H5431" s="6" t="str"/>
      <x:c r="I5431" s="6" t="str">
        <x:v>Lu Qinli gap fill from Pingshui main list; 詞 entries ignored</x:v>
      </x:c>
      <x:c r="J5431" s="6" t="str">
        <x:f>IF(B5431="","",IF(AND(ISNUMBER(SEARCH("平",B5431)),OR(ISNUMBER(SEARCH("上",B5431)),ISNUMBER(SEARCH("去",B5431)),ISNUMBER(SEARCH("入",B5431)))),"Ambiguous",IF(ISNUMBER(SEARCH("平",B5431)),"平","仄")))</x:f>
        <x:v>仄</x:v>
      </x:c>
      <x:c r="K5431" s="6" t="str">
        <x:f>IF(D5431="","",IF(AND(ISNUMBER(SEARCH("平",D5431)),OR(ISNUMBER(SEARCH("上",D5431)),ISNUMBER(SEARCH("去",D5431)),ISNUMBER(SEARCH("入",D5431)))),"Ambiguous",IF(ISNUMBER(SEARCH("平",D5431)),"平","仄")))</x:f>
        <x:v>仄</x:v>
      </x:c>
      <x:c r="L5431" s="7" t="str">
        <x:v>Pingshui main list, Lu Qinli gap fill</x:v>
      </x:c>
    </x:row>
    <x:row r="5432">
      <x:c r="A5432" s="5" t="str">
        <x:v>槳</x:v>
      </x:c>
      <x:c r="B5432" s="6" t="str">
        <x:v>上</x:v>
      </x:c>
      <x:c r="C5432" s="6" t="str">
        <x:f>IF(B5432="","Needs decision","Ready")</x:f>
        <x:v>Ready</x:v>
      </x:c>
      <x:c r="D5432" s="6" t="str">
        <x:v>上</x:v>
      </x:c>
      <x:c r="E5432" s="6" t="str"/>
      <x:c r="F5432" s="6" t="str">
        <x:v>上聲二十二養</x:v>
      </x:c>
      <x:c r="G5432" s="6" t="str">
        <x:v>Pingshui main list, Wikisource-derived DOCX</x:v>
      </x:c>
      <x:c r="H5432" s="6" t="str"/>
      <x:c r="I5432" s="6" t="str">
        <x:v>Lu Qinli gap fill from Pingshui main list; 詞 entries ignored</x:v>
      </x:c>
      <x:c r="J5432" s="6" t="str">
        <x:f>IF(B5432="","",IF(AND(ISNUMBER(SEARCH("平",B5432)),OR(ISNUMBER(SEARCH("上",B5432)),ISNUMBER(SEARCH("去",B5432)),ISNUMBER(SEARCH("入",B5432)))),"Ambiguous",IF(ISNUMBER(SEARCH("平",B5432)),"平","仄")))</x:f>
        <x:v>仄</x:v>
      </x:c>
      <x:c r="K5432" s="6" t="str">
        <x:f>IF(D5432="","",IF(AND(ISNUMBER(SEARCH("平",D5432)),OR(ISNUMBER(SEARCH("上",D5432)),ISNUMBER(SEARCH("去",D5432)),ISNUMBER(SEARCH("入",D5432)))),"Ambiguous",IF(ISNUMBER(SEARCH("平",D5432)),"平","仄")))</x:f>
        <x:v>仄</x:v>
      </x:c>
      <x:c r="L5432" s="7" t="str">
        <x:v>Pingshui main list, Lu Qinli gap fill</x:v>
      </x:c>
    </x:row>
    <x:row r="5433">
      <x:c r="A5433" s="5" t="str">
        <x:v>槽</x:v>
      </x:c>
      <x:c r="B5433" s="6" t="str">
        <x:v>平</x:v>
      </x:c>
      <x:c r="C5433" s="6" t="str">
        <x:f>IF(B5433="","Needs decision","Ready")</x:f>
        <x:v>Ready</x:v>
      </x:c>
      <x:c r="D5433" s="6" t="str">
        <x:v>平</x:v>
      </x:c>
      <x:c r="E5433" s="6" t="str"/>
      <x:c r="F5433" s="6" t="str">
        <x:v>下平聲四豪</x:v>
      </x:c>
      <x:c r="G5433" s="6" t="str">
        <x:v>Pingshui main list, Wikisource-derived DOCX</x:v>
      </x:c>
      <x:c r="H5433" s="6" t="str"/>
      <x:c r="I5433" s="6" t="str">
        <x:v>Lu Qinli gap fill from Pingshui main list; 詞 entries ignored</x:v>
      </x:c>
      <x:c r="J5433" s="6" t="str">
        <x:f>IF(B5433="","",IF(AND(ISNUMBER(SEARCH("平",B5433)),OR(ISNUMBER(SEARCH("上",B5433)),ISNUMBER(SEARCH("去",B5433)),ISNUMBER(SEARCH("入",B5433)))),"Ambiguous",IF(ISNUMBER(SEARCH("平",B5433)),"平","仄")))</x:f>
        <x:v>平</x:v>
      </x:c>
      <x:c r="K5433" s="6" t="str">
        <x:f>IF(D5433="","",IF(AND(ISNUMBER(SEARCH("平",D5433)),OR(ISNUMBER(SEARCH("上",D5433)),ISNUMBER(SEARCH("去",D5433)),ISNUMBER(SEARCH("入",D5433)))),"Ambiguous",IF(ISNUMBER(SEARCH("平",D5433)),"平","仄")))</x:f>
        <x:v>平</x:v>
      </x:c>
      <x:c r="L5433" s="7" t="str">
        <x:v>Pingshui main list, Lu Qinli gap fill</x:v>
      </x:c>
    </x:row>
    <x:row r="5434">
      <x:c r="A5434" s="5" t="str">
        <x:v>樊</x:v>
      </x:c>
      <x:c r="B5434" s="6" t="str">
        <x:v>平</x:v>
      </x:c>
      <x:c r="C5434" s="6" t="str">
        <x:f>IF(B5434="","Needs decision","Ready")</x:f>
        <x:v>Ready</x:v>
      </x:c>
      <x:c r="D5434" s="6" t="str">
        <x:v>平</x:v>
      </x:c>
      <x:c r="E5434" s="6" t="str"/>
      <x:c r="F5434" s="6" t="str">
        <x:v>上平聲十三元</x:v>
      </x:c>
      <x:c r="G5434" s="6" t="str">
        <x:v>Pingshui main list, Wikisource-derived DOCX</x:v>
      </x:c>
      <x:c r="H5434" s="6" t="str"/>
      <x:c r="I5434" s="6" t="str">
        <x:v>Lu Qinli gap fill from Pingshui main list; 詞 entries ignored</x:v>
      </x:c>
      <x:c r="J5434" s="6" t="str">
        <x:f>IF(B5434="","",IF(AND(ISNUMBER(SEARCH("平",B5434)),OR(ISNUMBER(SEARCH("上",B5434)),ISNUMBER(SEARCH("去",B5434)),ISNUMBER(SEARCH("入",B5434)))),"Ambiguous",IF(ISNUMBER(SEARCH("平",B5434)),"平","仄")))</x:f>
        <x:v>平</x:v>
      </x:c>
      <x:c r="K5434" s="6" t="str">
        <x:f>IF(D5434="","",IF(AND(ISNUMBER(SEARCH("平",D5434)),OR(ISNUMBER(SEARCH("上",D5434)),ISNUMBER(SEARCH("去",D5434)),ISNUMBER(SEARCH("入",D5434)))),"Ambiguous",IF(ISNUMBER(SEARCH("平",D5434)),"平","仄")))</x:f>
        <x:v>平</x:v>
      </x:c>
      <x:c r="L5434" s="7" t="str">
        <x:v>Pingshui main list, Lu Qinli gap fill</x:v>
      </x:c>
    </x:row>
    <x:row r="5435">
      <x:c r="A5435" s="5" t="str">
        <x:v>樗</x:v>
      </x:c>
      <x:c r="B5435" s="6" t="str">
        <x:v>平</x:v>
      </x:c>
      <x:c r="C5435" s="6" t="str">
        <x:f>IF(B5435="","Needs decision","Ready")</x:f>
        <x:v>Ready</x:v>
      </x:c>
      <x:c r="D5435" s="6" t="str">
        <x:v>平</x:v>
      </x:c>
      <x:c r="E5435" s="6" t="str"/>
      <x:c r="F5435" s="6" t="str">
        <x:v>上平聲六魚</x:v>
      </x:c>
      <x:c r="G5435" s="6" t="str">
        <x:v>Pingshui main list, Wikisource-derived DOCX</x:v>
      </x:c>
      <x:c r="H5435" s="6" t="str"/>
      <x:c r="I5435" s="6" t="str">
        <x:v>Lu Qinli gap fill from Pingshui main list; 詞 entries ignored</x:v>
      </x:c>
      <x:c r="J5435" s="6" t="str">
        <x:f>IF(B5435="","",IF(AND(ISNUMBER(SEARCH("平",B5435)),OR(ISNUMBER(SEARCH("上",B5435)),ISNUMBER(SEARCH("去",B5435)),ISNUMBER(SEARCH("入",B5435)))),"Ambiguous",IF(ISNUMBER(SEARCH("平",B5435)),"平","仄")))</x:f>
        <x:v>平</x:v>
      </x:c>
      <x:c r="K5435" s="6" t="str">
        <x:f>IF(D5435="","",IF(AND(ISNUMBER(SEARCH("平",D5435)),OR(ISNUMBER(SEARCH("上",D5435)),ISNUMBER(SEARCH("去",D5435)),ISNUMBER(SEARCH("入",D5435)))),"Ambiguous",IF(ISNUMBER(SEARCH("平",D5435)),"平","仄")))</x:f>
        <x:v>平</x:v>
      </x:c>
      <x:c r="L5435" s="7" t="str">
        <x:v>Pingshui main list, Lu Qinli gap fill</x:v>
      </x:c>
    </x:row>
    <x:row r="5436">
      <x:c r="A5436" s="5" t="str">
        <x:v>樟</x:v>
      </x:c>
      <x:c r="B5436" s="6" t="str">
        <x:v>平</x:v>
      </x:c>
      <x:c r="C5436" s="6" t="str">
        <x:f>IF(B5436="","Needs decision","Ready")</x:f>
        <x:v>Ready</x:v>
      </x:c>
      <x:c r="D5436" s="6" t="str">
        <x:v>平</x:v>
      </x:c>
      <x:c r="E5436" s="6" t="str"/>
      <x:c r="F5436" s="6" t="str">
        <x:v>下平聲七陽</x:v>
      </x:c>
      <x:c r="G5436" s="6" t="str">
        <x:v>Pingshui main list, Wikisource-derived DOCX</x:v>
      </x:c>
      <x:c r="H5436" s="6" t="str"/>
      <x:c r="I5436" s="6" t="str">
        <x:v>Lu Qinli gap fill from Pingshui main list; 詞 entries ignored</x:v>
      </x:c>
      <x:c r="J5436" s="6" t="str">
        <x:f>IF(B5436="","",IF(AND(ISNUMBER(SEARCH("平",B5436)),OR(ISNUMBER(SEARCH("上",B5436)),ISNUMBER(SEARCH("去",B5436)),ISNUMBER(SEARCH("入",B5436)))),"Ambiguous",IF(ISNUMBER(SEARCH("平",B5436)),"平","仄")))</x:f>
        <x:v>平</x:v>
      </x:c>
      <x:c r="K5436" s="6" t="str">
        <x:f>IF(D5436="","",IF(AND(ISNUMBER(SEARCH("平",D5436)),OR(ISNUMBER(SEARCH("上",D5436)),ISNUMBER(SEARCH("去",D5436)),ISNUMBER(SEARCH("入",D5436)))),"Ambiguous",IF(ISNUMBER(SEARCH("平",D5436)),"平","仄")))</x:f>
        <x:v>平</x:v>
      </x:c>
      <x:c r="L5436" s="7" t="str">
        <x:v>Pingshui main list, Lu Qinli gap fill</x:v>
      </x:c>
    </x:row>
    <x:row r="5437">
      <x:c r="A5437" s="5" t="str">
        <x:v>樣</x:v>
      </x:c>
      <x:c r="B5437" s="6" t="str">
        <x:v>去</x:v>
      </x:c>
      <x:c r="C5437" s="6" t="str">
        <x:f>IF(B5437="","Needs decision","Ready")</x:f>
        <x:v>Ready</x:v>
      </x:c>
      <x:c r="D5437" s="6" t="str">
        <x:v>去</x:v>
      </x:c>
      <x:c r="E5437" s="6" t="str"/>
      <x:c r="F5437" s="6" t="str">
        <x:v>去聲二十三漾</x:v>
      </x:c>
      <x:c r="G5437" s="6" t="str">
        <x:v>Pingshui main list, Wikisource-derived DOCX</x:v>
      </x:c>
      <x:c r="H5437" s="6" t="str"/>
      <x:c r="I5437" s="6" t="str">
        <x:v>Lu Qinli gap fill from Pingshui main list; 詞 entries ignored</x:v>
      </x:c>
      <x:c r="J5437" s="6" t="str">
        <x:f>IF(B5437="","",IF(AND(ISNUMBER(SEARCH("平",B5437)),OR(ISNUMBER(SEARCH("上",B5437)),ISNUMBER(SEARCH("去",B5437)),ISNUMBER(SEARCH("入",B5437)))),"Ambiguous",IF(ISNUMBER(SEARCH("平",B5437)),"平","仄")))</x:f>
        <x:v>仄</x:v>
      </x:c>
      <x:c r="K5437" s="6" t="str">
        <x:f>IF(D5437="","",IF(AND(ISNUMBER(SEARCH("平",D5437)),OR(ISNUMBER(SEARCH("上",D5437)),ISNUMBER(SEARCH("去",D5437)),ISNUMBER(SEARCH("入",D5437)))),"Ambiguous",IF(ISNUMBER(SEARCH("平",D5437)),"平","仄")))</x:f>
        <x:v>仄</x:v>
      </x:c>
      <x:c r="L5437" s="7" t="str">
        <x:v>Pingshui main list, Lu Qinli gap fill</x:v>
      </x:c>
    </x:row>
    <x:row r="5438">
      <x:c r="A5438" s="5" t="str">
        <x:v>橄</x:v>
      </x:c>
      <x:c r="B5438" s="6" t="str">
        <x:v>上</x:v>
      </x:c>
      <x:c r="C5438" s="6" t="str">
        <x:f>IF(B5438="","Needs decision","Ready")</x:f>
        <x:v>Ready</x:v>
      </x:c>
      <x:c r="D5438" s="6" t="str">
        <x:v>上</x:v>
      </x:c>
      <x:c r="E5438" s="6" t="str"/>
      <x:c r="F5438" s="6" t="str">
        <x:v>上聲二十七感</x:v>
      </x:c>
      <x:c r="G5438" s="6" t="str">
        <x:v>Pingshui main list, Wikisource-derived DOCX</x:v>
      </x:c>
      <x:c r="H5438" s="6" t="str"/>
      <x:c r="I5438" s="6" t="str">
        <x:v>Lu Qinli gap fill from Pingshui main list; 詞 entries ignored</x:v>
      </x:c>
      <x:c r="J5438" s="6" t="str">
        <x:f>IF(B5438="","",IF(AND(ISNUMBER(SEARCH("平",B5438)),OR(ISNUMBER(SEARCH("上",B5438)),ISNUMBER(SEARCH("去",B5438)),ISNUMBER(SEARCH("入",B5438)))),"Ambiguous",IF(ISNUMBER(SEARCH("平",B5438)),"平","仄")))</x:f>
        <x:v>仄</x:v>
      </x:c>
      <x:c r="K5438" s="6" t="str">
        <x:f>IF(D5438="","",IF(AND(ISNUMBER(SEARCH("平",D5438)),OR(ISNUMBER(SEARCH("上",D5438)),ISNUMBER(SEARCH("去",D5438)),ISNUMBER(SEARCH("入",D5438)))),"Ambiguous",IF(ISNUMBER(SEARCH("平",D5438)),"平","仄")))</x:f>
        <x:v>仄</x:v>
      </x:c>
      <x:c r="L5438" s="7" t="str">
        <x:v>Pingshui main list, Lu Qinli gap fill</x:v>
      </x:c>
    </x:row>
    <x:row r="5439">
      <x:c r="A5439" s="5" t="str">
        <x:v>橑</x:v>
      </x:c>
      <x:c r="B5439" s="6" t="str"/>
      <x:c r="C5439" s="6" t="str">
        <x:f>IF(B5439="","Needs decision","Ready")</x:f>
        <x:v>Needs decision</x:v>
      </x:c>
      <x:c r="D5439" s="6" t="str">
        <x:v>平/上</x:v>
      </x:c>
      <x:c r="E5439" s="6" t="str"/>
      <x:c r="F5439" s="6" t="str">
        <x:v>下平聲二蕭; 上聲十九皓</x:v>
      </x:c>
      <x:c r="G5439" s="6" t="str">
        <x:v>Pingshui main list, Wikisource-derived DOCX</x:v>
      </x:c>
      <x:c r="H5439" s="6" t="str"/>
      <x:c r="I5439" s="6" t="str">
        <x:v>Lu Qinli gap fill from Pingshui main list; 詞 entries ignored</x:v>
      </x:c>
      <x:c r="J5439" s="6" t="str">
        <x:f>IF(B5439="","",IF(AND(ISNUMBER(SEARCH("平",B5439)),OR(ISNUMBER(SEARCH("上",B5439)),ISNUMBER(SEARCH("去",B5439)),ISNUMBER(SEARCH("入",B5439)))),"Ambiguous",IF(ISNUMBER(SEARCH("平",B5439)),"平","仄")))</x:f>
      </x:c>
      <x:c r="K5439" s="6" t="str">
        <x:f>IF(D5439="","",IF(AND(ISNUMBER(SEARCH("平",D5439)),OR(ISNUMBER(SEARCH("上",D5439)),ISNUMBER(SEARCH("去",D5439)),ISNUMBER(SEARCH("入",D5439)))),"Ambiguous",IF(ISNUMBER(SEARCH("平",D5439)),"平","仄")))</x:f>
        <x:v>Ambiguous</x:v>
      </x:c>
      <x:c r="L5439" s="7" t="str">
        <x:v>Pingshui main list, Lu Qinli gap fill</x:v>
      </x:c>
    </x:row>
    <x:row r="5440">
      <x:c r="A5440" s="5" t="str">
        <x:v>檉</x:v>
      </x:c>
      <x:c r="B5440" s="6" t="str">
        <x:v>平</x:v>
      </x:c>
      <x:c r="C5440" s="6" t="str">
        <x:f>IF(B5440="","Needs decision","Ready")</x:f>
        <x:v>Ready</x:v>
      </x:c>
      <x:c r="D5440" s="6" t="str">
        <x:v>平</x:v>
      </x:c>
      <x:c r="E5440" s="6" t="str"/>
      <x:c r="F5440" s="6" t="str">
        <x:v>下平聲八庚</x:v>
      </x:c>
      <x:c r="G5440" s="6" t="str">
        <x:v>Pingshui main list, Wikisource-derived DOCX</x:v>
      </x:c>
      <x:c r="H5440" s="6" t="str"/>
      <x:c r="I5440" s="6" t="str">
        <x:v>Lu Qinli gap fill from Pingshui main list; 詞 entries ignored</x:v>
      </x:c>
      <x:c r="J5440" s="6" t="str">
        <x:f>IF(B5440="","",IF(AND(ISNUMBER(SEARCH("平",B5440)),OR(ISNUMBER(SEARCH("上",B5440)),ISNUMBER(SEARCH("去",B5440)),ISNUMBER(SEARCH("入",B5440)))),"Ambiguous",IF(ISNUMBER(SEARCH("平",B5440)),"平","仄")))</x:f>
        <x:v>平</x:v>
      </x:c>
      <x:c r="K5440" s="6" t="str">
        <x:f>IF(D5440="","",IF(AND(ISNUMBER(SEARCH("平",D5440)),OR(ISNUMBER(SEARCH("上",D5440)),ISNUMBER(SEARCH("去",D5440)),ISNUMBER(SEARCH("入",D5440)))),"Ambiguous",IF(ISNUMBER(SEARCH("平",D5440)),"平","仄")))</x:f>
        <x:v>平</x:v>
      </x:c>
      <x:c r="L5440" s="7" t="str">
        <x:v>Pingshui main list, Lu Qinli gap fill</x:v>
      </x:c>
    </x:row>
    <x:row r="5441">
      <x:c r="A5441" s="5" t="str">
        <x:v>檗</x:v>
      </x:c>
      <x:c r="B5441" s="6" t="str">
        <x:v>入</x:v>
      </x:c>
      <x:c r="C5441" s="6" t="str">
        <x:f>IF(B5441="","Needs decision","Ready")</x:f>
        <x:v>Ready</x:v>
      </x:c>
      <x:c r="D5441" s="6" t="str">
        <x:v>入</x:v>
      </x:c>
      <x:c r="E5441" s="6" t="str"/>
      <x:c r="F5441" s="6" t="str">
        <x:v>入聲十一陌</x:v>
      </x:c>
      <x:c r="G5441" s="6" t="str">
        <x:v>Pingshui main list, Wikisource-derived DOCX</x:v>
      </x:c>
      <x:c r="H5441" s="6" t="str"/>
      <x:c r="I5441" s="6" t="str">
        <x:v>Lu Qinli gap fill from Pingshui main list; 詞 entries ignored</x:v>
      </x:c>
      <x:c r="J5441" s="6" t="str">
        <x:f>IF(B5441="","",IF(AND(ISNUMBER(SEARCH("平",B5441)),OR(ISNUMBER(SEARCH("上",B5441)),ISNUMBER(SEARCH("去",B5441)),ISNUMBER(SEARCH("入",B5441)))),"Ambiguous",IF(ISNUMBER(SEARCH("平",B5441)),"平","仄")))</x:f>
        <x:v>仄</x:v>
      </x:c>
      <x:c r="K5441" s="6" t="str">
        <x:f>IF(D5441="","",IF(AND(ISNUMBER(SEARCH("平",D5441)),OR(ISNUMBER(SEARCH("上",D5441)),ISNUMBER(SEARCH("去",D5441)),ISNUMBER(SEARCH("入",D5441)))),"Ambiguous",IF(ISNUMBER(SEARCH("平",D5441)),"平","仄")))</x:f>
        <x:v>仄</x:v>
      </x:c>
      <x:c r="L5441" s="7" t="str">
        <x:v>Pingshui main list, Lu Qinli gap fill</x:v>
      </x:c>
    </x:row>
    <x:row r="5442">
      <x:c r="A5442" s="5" t="str">
        <x:v>檠</x:v>
      </x:c>
      <x:c r="B5442" s="6" t="str"/>
      <x:c r="C5442" s="6" t="str">
        <x:f>IF(B5442="","Needs decision","Ready")</x:f>
        <x:v>Needs decision</x:v>
      </x:c>
      <x:c r="D5442" s="6" t="str">
        <x:v>平/去</x:v>
      </x:c>
      <x:c r="E5442" s="6" t="str"/>
      <x:c r="F5442" s="6" t="str">
        <x:v>下平聲八庚; 去聲二十四敬</x:v>
      </x:c>
      <x:c r="G5442" s="6" t="str">
        <x:v>Pingshui main list, Wikisource-derived DOCX</x:v>
      </x:c>
      <x:c r="H5442" s="6" t="str"/>
      <x:c r="I5442" s="6" t="str">
        <x:v>Lu Qinli gap fill from Pingshui main list; 詞 entries ignored</x:v>
      </x:c>
      <x:c r="J5442" s="6" t="str">
        <x:f>IF(B5442="","",IF(AND(ISNUMBER(SEARCH("平",B5442)),OR(ISNUMBER(SEARCH("上",B5442)),ISNUMBER(SEARCH("去",B5442)),ISNUMBER(SEARCH("入",B5442)))),"Ambiguous",IF(ISNUMBER(SEARCH("平",B5442)),"平","仄")))</x:f>
      </x:c>
      <x:c r="K5442" s="6" t="str">
        <x:f>IF(D5442="","",IF(AND(ISNUMBER(SEARCH("平",D5442)),OR(ISNUMBER(SEARCH("上",D5442)),ISNUMBER(SEARCH("去",D5442)),ISNUMBER(SEARCH("入",D5442)))),"Ambiguous",IF(ISNUMBER(SEARCH("平",D5442)),"平","仄")))</x:f>
        <x:v>Ambiguous</x:v>
      </x:c>
      <x:c r="L5442" s="7" t="str">
        <x:v>Pingshui main list, Lu Qinli gap fill</x:v>
      </x:c>
    </x:row>
    <x:row r="5443">
      <x:c r="A5443" s="5" t="str">
        <x:v>檮</x:v>
      </x:c>
      <x:c r="B5443" s="6" t="str">
        <x:v>平</x:v>
      </x:c>
      <x:c r="C5443" s="6" t="str">
        <x:f>IF(B5443="","Needs decision","Ready")</x:f>
        <x:v>Ready</x:v>
      </x:c>
      <x:c r="D5443" s="6" t="str">
        <x:v>平</x:v>
      </x:c>
      <x:c r="E5443" s="6" t="str"/>
      <x:c r="F5443" s="6" t="str">
        <x:v>下平聲四豪</x:v>
      </x:c>
      <x:c r="G5443" s="6" t="str">
        <x:v>Pingshui main list, Wikisource-derived DOCX</x:v>
      </x:c>
      <x:c r="H5443" s="6" t="str"/>
      <x:c r="I5443" s="6" t="str">
        <x:v>Lu Qinli gap fill from Pingshui main list; 詞 entries ignored</x:v>
      </x:c>
      <x:c r="J5443" s="6" t="str">
        <x:f>IF(B5443="","",IF(AND(ISNUMBER(SEARCH("平",B5443)),OR(ISNUMBER(SEARCH("上",B5443)),ISNUMBER(SEARCH("去",B5443)),ISNUMBER(SEARCH("入",B5443)))),"Ambiguous",IF(ISNUMBER(SEARCH("平",B5443)),"平","仄")))</x:f>
        <x:v>平</x:v>
      </x:c>
      <x:c r="K5443" s="6" t="str">
        <x:f>IF(D5443="","",IF(AND(ISNUMBER(SEARCH("平",D5443)),OR(ISNUMBER(SEARCH("上",D5443)),ISNUMBER(SEARCH("去",D5443)),ISNUMBER(SEARCH("入",D5443)))),"Ambiguous",IF(ISNUMBER(SEARCH("平",D5443)),"平","仄")))</x:f>
        <x:v>平</x:v>
      </x:c>
      <x:c r="L5443" s="7" t="str">
        <x:v>Pingshui main list, Lu Qinli gap fill</x:v>
      </x:c>
    </x:row>
    <x:row r="5444">
      <x:c r="A5444" s="5" t="str">
        <x:v>櫚</x:v>
      </x:c>
      <x:c r="B5444" s="6" t="str">
        <x:v>平</x:v>
      </x:c>
      <x:c r="C5444" s="6" t="str">
        <x:f>IF(B5444="","Needs decision","Ready")</x:f>
        <x:v>Ready</x:v>
      </x:c>
      <x:c r="D5444" s="6" t="str">
        <x:v>平</x:v>
      </x:c>
      <x:c r="E5444" s="6" t="str"/>
      <x:c r="F5444" s="6" t="str">
        <x:v>上平聲六魚</x:v>
      </x:c>
      <x:c r="G5444" s="6" t="str">
        <x:v>Pingshui main list, Wikisource-derived DOCX</x:v>
      </x:c>
      <x:c r="H5444" s="6" t="str"/>
      <x:c r="I5444" s="6" t="str">
        <x:v>Lu Qinli gap fill from Pingshui main list; 詞 entries ignored</x:v>
      </x:c>
      <x:c r="J5444" s="6" t="str">
        <x:f>IF(B5444="","",IF(AND(ISNUMBER(SEARCH("平",B5444)),OR(ISNUMBER(SEARCH("上",B5444)),ISNUMBER(SEARCH("去",B5444)),ISNUMBER(SEARCH("入",B5444)))),"Ambiguous",IF(ISNUMBER(SEARCH("平",B5444)),"平","仄")))</x:f>
        <x:v>平</x:v>
      </x:c>
      <x:c r="K5444" s="6" t="str">
        <x:f>IF(D5444="","",IF(AND(ISNUMBER(SEARCH("平",D5444)),OR(ISNUMBER(SEARCH("上",D5444)),ISNUMBER(SEARCH("去",D5444)),ISNUMBER(SEARCH("入",D5444)))),"Ambiguous",IF(ISNUMBER(SEARCH("平",D5444)),"平","仄")))</x:f>
        <x:v>平</x:v>
      </x:c>
      <x:c r="L5444" s="7" t="str">
        <x:v>Pingshui main list, Lu Qinli gap fill</x:v>
      </x:c>
    </x:row>
    <x:row r="5445">
      <x:c r="A5445" s="5" t="str">
        <x:v>櫨</x:v>
      </x:c>
      <x:c r="B5445" s="6" t="str">
        <x:v>平</x:v>
      </x:c>
      <x:c r="C5445" s="6" t="str">
        <x:f>IF(B5445="","Needs decision","Ready")</x:f>
        <x:v>Ready</x:v>
      </x:c>
      <x:c r="D5445" s="6" t="str">
        <x:v>平</x:v>
      </x:c>
      <x:c r="E5445" s="6" t="str"/>
      <x:c r="F5445" s="6" t="str">
        <x:v>上平聲七虞</x:v>
      </x:c>
      <x:c r="G5445" s="6" t="str">
        <x:v>Pingshui main list, Wikisource-derived DOCX</x:v>
      </x:c>
      <x:c r="H5445" s="6" t="str"/>
      <x:c r="I5445" s="6" t="str">
        <x:v>Lu Qinli gap fill from Pingshui main list; 詞 entries ignored</x:v>
      </x:c>
      <x:c r="J5445" s="6" t="str">
        <x:f>IF(B5445="","",IF(AND(ISNUMBER(SEARCH("平",B5445)),OR(ISNUMBER(SEARCH("上",B5445)),ISNUMBER(SEARCH("去",B5445)),ISNUMBER(SEARCH("入",B5445)))),"Ambiguous",IF(ISNUMBER(SEARCH("平",B5445)),"平","仄")))</x:f>
        <x:v>平</x:v>
      </x:c>
      <x:c r="K5445" s="6" t="str">
        <x:f>IF(D5445="","",IF(AND(ISNUMBER(SEARCH("平",D5445)),OR(ISNUMBER(SEARCH("上",D5445)),ISNUMBER(SEARCH("去",D5445)),ISNUMBER(SEARCH("入",D5445)))),"Ambiguous",IF(ISNUMBER(SEARCH("平",D5445)),"平","仄")))</x:f>
        <x:v>平</x:v>
      </x:c>
      <x:c r="L5445" s="7" t="str">
        <x:v>Pingshui main list, Lu Qinli gap fill</x:v>
      </x:c>
    </x:row>
    <x:row r="5446">
      <x:c r="A5446" s="5" t="str">
        <x:v>櫬</x:v>
      </x:c>
      <x:c r="B5446" s="6" t="str">
        <x:v>去</x:v>
      </x:c>
      <x:c r="C5446" s="6" t="str">
        <x:f>IF(B5446="","Needs decision","Ready")</x:f>
        <x:v>Ready</x:v>
      </x:c>
      <x:c r="D5446" s="6" t="str">
        <x:v>去</x:v>
      </x:c>
      <x:c r="E5446" s="6" t="str"/>
      <x:c r="F5446" s="6" t="str">
        <x:v>去聲十二震</x:v>
      </x:c>
      <x:c r="G5446" s="6" t="str">
        <x:v>Pingshui main list, Wikisource-derived DOCX</x:v>
      </x:c>
      <x:c r="H5446" s="6" t="str"/>
      <x:c r="I5446" s="6" t="str">
        <x:v>Lu Qinli gap fill from Pingshui main list; 詞 entries ignored</x:v>
      </x:c>
      <x:c r="J5446" s="6" t="str">
        <x:f>IF(B5446="","",IF(AND(ISNUMBER(SEARCH("平",B5446)),OR(ISNUMBER(SEARCH("上",B5446)),ISNUMBER(SEARCH("去",B5446)),ISNUMBER(SEARCH("入",B5446)))),"Ambiguous",IF(ISNUMBER(SEARCH("平",B5446)),"平","仄")))</x:f>
        <x:v>仄</x:v>
      </x:c>
      <x:c r="K5446" s="6" t="str">
        <x:f>IF(D5446="","",IF(AND(ISNUMBER(SEARCH("平",D5446)),OR(ISNUMBER(SEARCH("上",D5446)),ISNUMBER(SEARCH("去",D5446)),ISNUMBER(SEARCH("入",D5446)))),"Ambiguous",IF(ISNUMBER(SEARCH("平",D5446)),"平","仄")))</x:f>
        <x:v>仄</x:v>
      </x:c>
      <x:c r="L5446" s="7" t="str">
        <x:v>Pingshui main list, Lu Qinli gap fill</x:v>
      </x:c>
    </x:row>
    <x:row r="5447">
      <x:c r="A5447" s="5" t="str">
        <x:v>櫻</x:v>
      </x:c>
      <x:c r="B5447" s="6" t="str">
        <x:v>平</x:v>
      </x:c>
      <x:c r="C5447" s="6" t="str">
        <x:f>IF(B5447="","Needs decision","Ready")</x:f>
        <x:v>Ready</x:v>
      </x:c>
      <x:c r="D5447" s="6" t="str">
        <x:v>平</x:v>
      </x:c>
      <x:c r="E5447" s="6" t="str"/>
      <x:c r="F5447" s="6" t="str">
        <x:v>下平聲八庚</x:v>
      </x:c>
      <x:c r="G5447" s="6" t="str">
        <x:v>Pingshui main list, Wikisource-derived DOCX</x:v>
      </x:c>
      <x:c r="H5447" s="6" t="str"/>
      <x:c r="I5447" s="6" t="str">
        <x:v>Lu Qinli gap fill from Pingshui main list; 詞 entries ignored</x:v>
      </x:c>
      <x:c r="J5447" s="6" t="str">
        <x:f>IF(B5447="","",IF(AND(ISNUMBER(SEARCH("平",B5447)),OR(ISNUMBER(SEARCH("上",B5447)),ISNUMBER(SEARCH("去",B5447)),ISNUMBER(SEARCH("入",B5447)))),"Ambiguous",IF(ISNUMBER(SEARCH("平",B5447)),"平","仄")))</x:f>
        <x:v>平</x:v>
      </x:c>
      <x:c r="K5447" s="6" t="str">
        <x:f>IF(D5447="","",IF(AND(ISNUMBER(SEARCH("平",D5447)),OR(ISNUMBER(SEARCH("上",D5447)),ISNUMBER(SEARCH("去",D5447)),ISNUMBER(SEARCH("入",D5447)))),"Ambiguous",IF(ISNUMBER(SEARCH("平",D5447)),"平","仄")))</x:f>
        <x:v>平</x:v>
      </x:c>
      <x:c r="L5447" s="7" t="str">
        <x:v>Pingshui main list, Lu Qinli gap fill</x:v>
      </x:c>
    </x:row>
    <x:row r="5448">
      <x:c r="A5448" s="5" t="str">
        <x:v>欂</x:v>
      </x:c>
      <x:c r="B5448" s="6" t="str">
        <x:v>入</x:v>
      </x:c>
      <x:c r="C5448" s="6" t="str">
        <x:f>IF(B5448="","Needs decision","Ready")</x:f>
        <x:v>Ready</x:v>
      </x:c>
      <x:c r="D5448" s="6" t="str">
        <x:v>入</x:v>
      </x:c>
      <x:c r="E5448" s="6" t="str"/>
      <x:c r="F5448" s="6" t="str">
        <x:v>入聲十藥</x:v>
      </x:c>
      <x:c r="G5448" s="6" t="str">
        <x:v>Pingshui main list, Wikisource-derived DOCX</x:v>
      </x:c>
      <x:c r="H5448" s="6" t="str"/>
      <x:c r="I5448" s="6" t="str">
        <x:v>Lu Qinli gap fill from Pingshui main list; 詞 entries ignored</x:v>
      </x:c>
      <x:c r="J5448" s="6" t="str">
        <x:f>IF(B5448="","",IF(AND(ISNUMBER(SEARCH("平",B5448)),OR(ISNUMBER(SEARCH("上",B5448)),ISNUMBER(SEARCH("去",B5448)),ISNUMBER(SEARCH("入",B5448)))),"Ambiguous",IF(ISNUMBER(SEARCH("平",B5448)),"平","仄")))</x:f>
        <x:v>仄</x:v>
      </x:c>
      <x:c r="K5448" s="6" t="str">
        <x:f>IF(D5448="","",IF(AND(ISNUMBER(SEARCH("平",D5448)),OR(ISNUMBER(SEARCH("上",D5448)),ISNUMBER(SEARCH("去",D5448)),ISNUMBER(SEARCH("入",D5448)))),"Ambiguous",IF(ISNUMBER(SEARCH("平",D5448)),"平","仄")))</x:f>
        <x:v>仄</x:v>
      </x:c>
      <x:c r="L5448" s="7" t="str">
        <x:v>Pingshui main list, Lu Qinli gap fill</x:v>
      </x:c>
    </x:row>
    <x:row r="5449">
      <x:c r="A5449" s="5" t="str">
        <x:v>欃</x:v>
      </x:c>
      <x:c r="B5449" s="6" t="str">
        <x:v>平</x:v>
      </x:c>
      <x:c r="C5449" s="6" t="str">
        <x:f>IF(B5449="","Needs decision","Ready")</x:f>
        <x:v>Ready</x:v>
      </x:c>
      <x:c r="D5449" s="6" t="str">
        <x:v>平</x:v>
      </x:c>
      <x:c r="E5449" s="6" t="str"/>
      <x:c r="F5449" s="6" t="str">
        <x:v>下平聲十五咸</x:v>
      </x:c>
      <x:c r="G5449" s="6" t="str">
        <x:v>Pingshui main list, Wikisource-derived DOCX</x:v>
      </x:c>
      <x:c r="H5449" s="6" t="str"/>
      <x:c r="I5449" s="6" t="str">
        <x:v>Lu Qinli gap fill from Pingshui main list; 詞 entries ignored</x:v>
      </x:c>
      <x:c r="J5449" s="6" t="str">
        <x:f>IF(B5449="","",IF(AND(ISNUMBER(SEARCH("平",B5449)),OR(ISNUMBER(SEARCH("上",B5449)),ISNUMBER(SEARCH("去",B5449)),ISNUMBER(SEARCH("入",B5449)))),"Ambiguous",IF(ISNUMBER(SEARCH("平",B5449)),"平","仄")))</x:f>
        <x:v>平</x:v>
      </x:c>
      <x:c r="K5449" s="6" t="str">
        <x:f>IF(D5449="","",IF(AND(ISNUMBER(SEARCH("平",D5449)),OR(ISNUMBER(SEARCH("上",D5449)),ISNUMBER(SEARCH("去",D5449)),ISNUMBER(SEARCH("入",D5449)))),"Ambiguous",IF(ISNUMBER(SEARCH("平",D5449)),"平","仄")))</x:f>
        <x:v>平</x:v>
      </x:c>
      <x:c r="L5449" s="7" t="str">
        <x:v>Pingshui main list, Lu Qinli gap fill</x:v>
      </x:c>
    </x:row>
    <x:row r="5450">
      <x:c r="A5450" s="5" t="str">
        <x:v>欄</x:v>
      </x:c>
      <x:c r="B5450" s="6" t="str">
        <x:v>平</x:v>
      </x:c>
      <x:c r="C5450" s="6" t="str">
        <x:f>IF(B5450="","Needs decision","Ready")</x:f>
        <x:v>Ready</x:v>
      </x:c>
      <x:c r="D5450" s="6" t="str">
        <x:v>平</x:v>
      </x:c>
      <x:c r="E5450" s="6" t="str"/>
      <x:c r="F5450" s="6" t="str">
        <x:v>上平聲十四寒</x:v>
      </x:c>
      <x:c r="G5450" s="6" t="str">
        <x:v>Pingshui main list, Wikisource-derived DOCX</x:v>
      </x:c>
      <x:c r="H5450" s="6" t="str"/>
      <x:c r="I5450" s="6" t="str">
        <x:v>Lu Qinli gap fill from Pingshui main list; 詞 entries ignored</x:v>
      </x:c>
      <x:c r="J5450" s="6" t="str">
        <x:f>IF(B5450="","",IF(AND(ISNUMBER(SEARCH("平",B5450)),OR(ISNUMBER(SEARCH("上",B5450)),ISNUMBER(SEARCH("去",B5450)),ISNUMBER(SEARCH("入",B5450)))),"Ambiguous",IF(ISNUMBER(SEARCH("平",B5450)),"平","仄")))</x:f>
        <x:v>平</x:v>
      </x:c>
      <x:c r="K5450" s="6" t="str">
        <x:f>IF(D5450="","",IF(AND(ISNUMBER(SEARCH("平",D5450)),OR(ISNUMBER(SEARCH("上",D5450)),ISNUMBER(SEARCH("去",D5450)),ISNUMBER(SEARCH("入",D5450)))),"Ambiguous",IF(ISNUMBER(SEARCH("平",D5450)),"平","仄")))</x:f>
        <x:v>平</x:v>
      </x:c>
      <x:c r="L5450" s="7" t="str">
        <x:v>Pingshui main list, Lu Qinli gap fill</x:v>
      </x:c>
    </x:row>
    <x:row r="5451">
      <x:c r="A5451" s="5" t="str">
        <x:v>欐</x:v>
      </x:c>
      <x:c r="B5451" s="6" t="str"/>
      <x:c r="C5451" s="6" t="str">
        <x:f>IF(B5451="","Needs decision","Ready")</x:f>
        <x:v>Needs decision</x:v>
      </x:c>
      <x:c r="D5451" s="6" t="str">
        <x:v>上/去</x:v>
      </x:c>
      <x:c r="E5451" s="6" t="str"/>
      <x:c r="F5451" s="6" t="str">
        <x:v>上聲八薺; 去聲八霽</x:v>
      </x:c>
      <x:c r="G5451" s="6" t="str">
        <x:v>Pingshui main list, Wikisource-derived DOCX</x:v>
      </x:c>
      <x:c r="H5451" s="6" t="str"/>
      <x:c r="I5451" s="6" t="str">
        <x:v>Lu Qinli gap fill from Pingshui main list; 詞 entries ignored</x:v>
      </x:c>
      <x:c r="J5451" s="6" t="str">
        <x:f>IF(B5451="","",IF(AND(ISNUMBER(SEARCH("平",B5451)),OR(ISNUMBER(SEARCH("上",B5451)),ISNUMBER(SEARCH("去",B5451)),ISNUMBER(SEARCH("入",B5451)))),"Ambiguous",IF(ISNUMBER(SEARCH("平",B5451)),"平","仄")))</x:f>
      </x:c>
      <x:c r="K5451" s="6" t="str">
        <x:f>IF(D5451="","",IF(AND(ISNUMBER(SEARCH("平",D5451)),OR(ISNUMBER(SEARCH("上",D5451)),ISNUMBER(SEARCH("去",D5451)),ISNUMBER(SEARCH("入",D5451)))),"Ambiguous",IF(ISNUMBER(SEARCH("平",D5451)),"平","仄")))</x:f>
        <x:v>仄</x:v>
      </x:c>
      <x:c r="L5451" s="7" t="str">
        <x:v>Pingshui main list, Lu Qinli gap fill</x:v>
      </x:c>
    </x:row>
    <x:row r="5452">
      <x:c r="A5452" s="5" t="str">
        <x:v>欖</x:v>
      </x:c>
      <x:c r="B5452" s="6" t="str">
        <x:v>上</x:v>
      </x:c>
      <x:c r="C5452" s="6" t="str">
        <x:f>IF(B5452="","Needs decision","Ready")</x:f>
        <x:v>Ready</x:v>
      </x:c>
      <x:c r="D5452" s="6" t="str">
        <x:v>上</x:v>
      </x:c>
      <x:c r="E5452" s="6" t="str"/>
      <x:c r="F5452" s="6" t="str">
        <x:v>上聲二十七感</x:v>
      </x:c>
      <x:c r="G5452" s="6" t="str">
        <x:v>Pingshui main list, Wikisource-derived DOCX</x:v>
      </x:c>
      <x:c r="H5452" s="6" t="str"/>
      <x:c r="I5452" s="6" t="str">
        <x:v>Lu Qinli gap fill from Pingshui main list; 詞 entries ignored</x:v>
      </x:c>
      <x:c r="J5452" s="6" t="str">
        <x:f>IF(B5452="","",IF(AND(ISNUMBER(SEARCH("平",B5452)),OR(ISNUMBER(SEARCH("上",B5452)),ISNUMBER(SEARCH("去",B5452)),ISNUMBER(SEARCH("入",B5452)))),"Ambiguous",IF(ISNUMBER(SEARCH("平",B5452)),"平","仄")))</x:f>
        <x:v>仄</x:v>
      </x:c>
      <x:c r="K5452" s="6" t="str">
        <x:f>IF(D5452="","",IF(AND(ISNUMBER(SEARCH("平",D5452)),OR(ISNUMBER(SEARCH("上",D5452)),ISNUMBER(SEARCH("去",D5452)),ISNUMBER(SEARCH("入",D5452)))),"Ambiguous",IF(ISNUMBER(SEARCH("平",D5452)),"平","仄")))</x:f>
        <x:v>仄</x:v>
      </x:c>
      <x:c r="L5452" s="7" t="str">
        <x:v>Pingshui main list, Lu Qinli gap fill</x:v>
      </x:c>
    </x:row>
    <x:row r="5453">
      <x:c r="A5453" s="5" t="str">
        <x:v>欷</x:v>
      </x:c>
      <x:c r="B5453" s="6" t="str"/>
      <x:c r="C5453" s="6" t="str">
        <x:f>IF(B5453="","Needs decision","Ready")</x:f>
        <x:v>Needs decision</x:v>
      </x:c>
      <x:c r="D5453" s="6" t="str">
        <x:v>平/去</x:v>
      </x:c>
      <x:c r="E5453" s="6" t="str"/>
      <x:c r="F5453" s="6" t="str">
        <x:v>上平聲五微; 去聲五未</x:v>
      </x:c>
      <x:c r="G5453" s="6" t="str">
        <x:v>Pingshui main list, Wikisource-derived DOCX</x:v>
      </x:c>
      <x:c r="H5453" s="6" t="str"/>
      <x:c r="I5453" s="6" t="str">
        <x:v>Lu Qinli gap fill from Pingshui main list; 詞 entries ignored</x:v>
      </x:c>
      <x:c r="J5453" s="6" t="str">
        <x:f>IF(B5453="","",IF(AND(ISNUMBER(SEARCH("平",B5453)),OR(ISNUMBER(SEARCH("上",B5453)),ISNUMBER(SEARCH("去",B5453)),ISNUMBER(SEARCH("入",B5453)))),"Ambiguous",IF(ISNUMBER(SEARCH("平",B5453)),"平","仄")))</x:f>
      </x:c>
      <x:c r="K5453" s="6" t="str">
        <x:f>IF(D5453="","",IF(AND(ISNUMBER(SEARCH("平",D5453)),OR(ISNUMBER(SEARCH("上",D5453)),ISNUMBER(SEARCH("去",D5453)),ISNUMBER(SEARCH("入",D5453)))),"Ambiguous",IF(ISNUMBER(SEARCH("平",D5453)),"平","仄")))</x:f>
        <x:v>Ambiguous</x:v>
      </x:c>
      <x:c r="L5453" s="7" t="str">
        <x:v>Pingshui main list, Lu Qinli gap fill</x:v>
      </x:c>
    </x:row>
    <x:row r="5454">
      <x:c r="A5454" s="5" t="str">
        <x:v>欹</x:v>
      </x:c>
      <x:c r="B5454" s="6" t="str">
        <x:v>平</x:v>
      </x:c>
      <x:c r="C5454" s="6" t="str">
        <x:f>IF(B5454="","Needs decision","Ready")</x:f>
        <x:v>Ready</x:v>
      </x:c>
      <x:c r="D5454" s="6" t="str">
        <x:v>平</x:v>
      </x:c>
      <x:c r="E5454" s="6" t="str"/>
      <x:c r="F5454" s="6" t="str">
        <x:v>上平聲四支</x:v>
      </x:c>
      <x:c r="G5454" s="6" t="str">
        <x:v>Pingshui main list, Wikisource-derived DOCX</x:v>
      </x:c>
      <x:c r="H5454" s="6" t="str"/>
      <x:c r="I5454" s="6" t="str">
        <x:v>Lu Qinli gap fill from Pingshui main list; 詞 entries ignored</x:v>
      </x:c>
      <x:c r="J5454" s="6" t="str">
        <x:f>IF(B5454="","",IF(AND(ISNUMBER(SEARCH("平",B5454)),OR(ISNUMBER(SEARCH("上",B5454)),ISNUMBER(SEARCH("去",B5454)),ISNUMBER(SEARCH("入",B5454)))),"Ambiguous",IF(ISNUMBER(SEARCH("平",B5454)),"平","仄")))</x:f>
        <x:v>平</x:v>
      </x:c>
      <x:c r="K5454" s="6" t="str">
        <x:f>IF(D5454="","",IF(AND(ISNUMBER(SEARCH("平",D5454)),OR(ISNUMBER(SEARCH("上",D5454)),ISNUMBER(SEARCH("去",D5454)),ISNUMBER(SEARCH("入",D5454)))),"Ambiguous",IF(ISNUMBER(SEARCH("平",D5454)),"平","仄")))</x:f>
        <x:v>平</x:v>
      </x:c>
      <x:c r="L5454" s="7" t="str">
        <x:v>Pingshui main list, Lu Qinli gap fill</x:v>
      </x:c>
    </x:row>
    <x:row r="5455">
      <x:c r="A5455" s="5" t="str">
        <x:v>欻</x:v>
      </x:c>
      <x:c r="B5455" s="6" t="str">
        <x:v>入</x:v>
      </x:c>
      <x:c r="C5455" s="6" t="str">
        <x:f>IF(B5455="","Needs decision","Ready")</x:f>
        <x:v>Ready</x:v>
      </x:c>
      <x:c r="D5455" s="6" t="str">
        <x:v>入</x:v>
      </x:c>
      <x:c r="E5455" s="6" t="str"/>
      <x:c r="F5455" s="6" t="str">
        <x:v>入聲五物</x:v>
      </x:c>
      <x:c r="G5455" s="6" t="str">
        <x:v>Pingshui main list, Wikisource-derived DOCX</x:v>
      </x:c>
      <x:c r="H5455" s="6" t="str"/>
      <x:c r="I5455" s="6" t="str">
        <x:v>Lu Qinli gap fill from Pingshui main list; 詞 entries ignored</x:v>
      </x:c>
      <x:c r="J5455" s="6" t="str">
        <x:f>IF(B5455="","",IF(AND(ISNUMBER(SEARCH("平",B5455)),OR(ISNUMBER(SEARCH("上",B5455)),ISNUMBER(SEARCH("去",B5455)),ISNUMBER(SEARCH("入",B5455)))),"Ambiguous",IF(ISNUMBER(SEARCH("平",B5455)),"平","仄")))</x:f>
        <x:v>仄</x:v>
      </x:c>
      <x:c r="K5455" s="6" t="str">
        <x:f>IF(D5455="","",IF(AND(ISNUMBER(SEARCH("平",D5455)),OR(ISNUMBER(SEARCH("上",D5455)),ISNUMBER(SEARCH("去",D5455)),ISNUMBER(SEARCH("入",D5455)))),"Ambiguous",IF(ISNUMBER(SEARCH("平",D5455)),"平","仄")))</x:f>
        <x:v>仄</x:v>
      </x:c>
      <x:c r="L5455" s="7" t="str">
        <x:v>Pingshui main list, Lu Qinli gap fill</x:v>
      </x:c>
    </x:row>
    <x:row r="5456">
      <x:c r="A5456" s="5" t="str">
        <x:v>欽</x:v>
      </x:c>
      <x:c r="B5456" s="6" t="str">
        <x:v>平</x:v>
      </x:c>
      <x:c r="C5456" s="6" t="str">
        <x:f>IF(B5456="","Needs decision","Ready")</x:f>
        <x:v>Ready</x:v>
      </x:c>
      <x:c r="D5456" s="6" t="str">
        <x:v>平</x:v>
      </x:c>
      <x:c r="E5456" s="6" t="str"/>
      <x:c r="F5456" s="6" t="str">
        <x:v>下平聲十二侵</x:v>
      </x:c>
      <x:c r="G5456" s="6" t="str">
        <x:v>Pingshui main list, Wikisource-derived DOCX</x:v>
      </x:c>
      <x:c r="H5456" s="6" t="str"/>
      <x:c r="I5456" s="6" t="str">
        <x:v>Lu Qinli gap fill from Pingshui main list; 詞 entries ignored</x:v>
      </x:c>
      <x:c r="J5456" s="6" t="str">
        <x:f>IF(B5456="","",IF(AND(ISNUMBER(SEARCH("平",B5456)),OR(ISNUMBER(SEARCH("上",B5456)),ISNUMBER(SEARCH("去",B5456)),ISNUMBER(SEARCH("入",B5456)))),"Ambiguous",IF(ISNUMBER(SEARCH("平",B5456)),"平","仄")))</x:f>
        <x:v>平</x:v>
      </x:c>
      <x:c r="K5456" s="6" t="str">
        <x:f>IF(D5456="","",IF(AND(ISNUMBER(SEARCH("平",D5456)),OR(ISNUMBER(SEARCH("上",D5456)),ISNUMBER(SEARCH("去",D5456)),ISNUMBER(SEARCH("入",D5456)))),"Ambiguous",IF(ISNUMBER(SEARCH("平",D5456)),"平","仄")))</x:f>
        <x:v>平</x:v>
      </x:c>
      <x:c r="L5456" s="7" t="str">
        <x:v>Pingshui main list, Lu Qinli gap fill</x:v>
      </x:c>
    </x:row>
    <x:row r="5457">
      <x:c r="A5457" s="5" t="str">
        <x:v>款</x:v>
      </x:c>
      <x:c r="B5457" s="6" t="str">
        <x:v>上</x:v>
      </x:c>
      <x:c r="C5457" s="6" t="str">
        <x:f>IF(B5457="","Needs decision","Ready")</x:f>
        <x:v>Ready</x:v>
      </x:c>
      <x:c r="D5457" s="6" t="str">
        <x:v>上</x:v>
      </x:c>
      <x:c r="E5457" s="6" t="str"/>
      <x:c r="F5457" s="6" t="str">
        <x:v>上聲十四旱</x:v>
      </x:c>
      <x:c r="G5457" s="6" t="str">
        <x:v>Pingshui main list, Wikisource-derived DOCX</x:v>
      </x:c>
      <x:c r="H5457" s="6" t="str"/>
      <x:c r="I5457" s="6" t="str">
        <x:v>Lu Qinli gap fill from Pingshui main list; 詞 entries ignored</x:v>
      </x:c>
      <x:c r="J5457" s="6" t="str">
        <x:f>IF(B5457="","",IF(AND(ISNUMBER(SEARCH("平",B5457)),OR(ISNUMBER(SEARCH("上",B5457)),ISNUMBER(SEARCH("去",B5457)),ISNUMBER(SEARCH("入",B5457)))),"Ambiguous",IF(ISNUMBER(SEARCH("平",B5457)),"平","仄")))</x:f>
        <x:v>仄</x:v>
      </x:c>
      <x:c r="K5457" s="6" t="str">
        <x:f>IF(D5457="","",IF(AND(ISNUMBER(SEARCH("平",D5457)),OR(ISNUMBER(SEARCH("上",D5457)),ISNUMBER(SEARCH("去",D5457)),ISNUMBER(SEARCH("入",D5457)))),"Ambiguous",IF(ISNUMBER(SEARCH("平",D5457)),"平","仄")))</x:f>
        <x:v>仄</x:v>
      </x:c>
      <x:c r="L5457" s="7" t="str">
        <x:v>Pingshui main list, Lu Qinli gap fill</x:v>
      </x:c>
    </x:row>
    <x:row r="5458">
      <x:c r="A5458" s="5" t="str">
        <x:v>歊</x:v>
      </x:c>
      <x:c r="B5458" s="6" t="str">
        <x:v>平</x:v>
      </x:c>
      <x:c r="C5458" s="6" t="str">
        <x:f>IF(B5458="","Needs decision","Ready")</x:f>
        <x:v>Ready</x:v>
      </x:c>
      <x:c r="D5458" s="6" t="str">
        <x:v>平</x:v>
      </x:c>
      <x:c r="E5458" s="6" t="str"/>
      <x:c r="F5458" s="6" t="str">
        <x:v>下平聲二蕭</x:v>
      </x:c>
      <x:c r="G5458" s="6" t="str">
        <x:v>Pingshui main list, Wikisource-derived DOCX</x:v>
      </x:c>
      <x:c r="H5458" s="6" t="str"/>
      <x:c r="I5458" s="6" t="str">
        <x:v>Lu Qinli gap fill from Pingshui main list; 詞 entries ignored</x:v>
      </x:c>
      <x:c r="J5458" s="6" t="str">
        <x:f>IF(B5458="","",IF(AND(ISNUMBER(SEARCH("平",B5458)),OR(ISNUMBER(SEARCH("上",B5458)),ISNUMBER(SEARCH("去",B5458)),ISNUMBER(SEARCH("入",B5458)))),"Ambiguous",IF(ISNUMBER(SEARCH("平",B5458)),"平","仄")))</x:f>
        <x:v>平</x:v>
      </x:c>
      <x:c r="K5458" s="6" t="str">
        <x:f>IF(D5458="","",IF(AND(ISNUMBER(SEARCH("平",D5458)),OR(ISNUMBER(SEARCH("上",D5458)),ISNUMBER(SEARCH("去",D5458)),ISNUMBER(SEARCH("入",D5458)))),"Ambiguous",IF(ISNUMBER(SEARCH("平",D5458)),"平","仄")))</x:f>
        <x:v>平</x:v>
      </x:c>
      <x:c r="L5458" s="7" t="str">
        <x:v>Pingshui main list, Lu Qinli gap fill</x:v>
      </x:c>
    </x:row>
    <x:row r="5459">
      <x:c r="A5459" s="5" t="str">
        <x:v>歔</x:v>
      </x:c>
      <x:c r="B5459" s="6" t="str">
        <x:v>平</x:v>
      </x:c>
      <x:c r="C5459" s="6" t="str">
        <x:f>IF(B5459="","Needs decision","Ready")</x:f>
        <x:v>Ready</x:v>
      </x:c>
      <x:c r="D5459" s="6" t="str">
        <x:v>平</x:v>
      </x:c>
      <x:c r="E5459" s="6" t="str"/>
      <x:c r="F5459" s="6" t="str">
        <x:v>上平聲六魚</x:v>
      </x:c>
      <x:c r="G5459" s="6" t="str">
        <x:v>Pingshui main list, Wikisource-derived DOCX</x:v>
      </x:c>
      <x:c r="H5459" s="6" t="str"/>
      <x:c r="I5459" s="6" t="str">
        <x:v>Lu Qinli gap fill from Pingshui main list; 詞 entries ignored</x:v>
      </x:c>
      <x:c r="J5459" s="6" t="str">
        <x:f>IF(B5459="","",IF(AND(ISNUMBER(SEARCH("平",B5459)),OR(ISNUMBER(SEARCH("上",B5459)),ISNUMBER(SEARCH("去",B5459)),ISNUMBER(SEARCH("入",B5459)))),"Ambiguous",IF(ISNUMBER(SEARCH("平",B5459)),"平","仄")))</x:f>
        <x:v>平</x:v>
      </x:c>
      <x:c r="K5459" s="6" t="str">
        <x:f>IF(D5459="","",IF(AND(ISNUMBER(SEARCH("平",D5459)),OR(ISNUMBER(SEARCH("上",D5459)),ISNUMBER(SEARCH("去",D5459)),ISNUMBER(SEARCH("入",D5459)))),"Ambiguous",IF(ISNUMBER(SEARCH("平",D5459)),"平","仄")))</x:f>
        <x:v>平</x:v>
      </x:c>
      <x:c r="L5459" s="7" t="str">
        <x:v>Pingshui main list, Lu Qinli gap fill</x:v>
      </x:c>
    </x:row>
    <x:row r="5460">
      <x:c r="A5460" s="5" t="str">
        <x:v>歟</x:v>
      </x:c>
      <x:c r="B5460" s="6" t="str">
        <x:v>去</x:v>
      </x:c>
      <x:c r="C5460" s="6" t="str">
        <x:f>IF(B5460="","Needs decision","Ready")</x:f>
        <x:v>Ready</x:v>
      </x:c>
      <x:c r="D5460" s="6" t="str">
        <x:v>去</x:v>
      </x:c>
      <x:c r="E5460" s="6" t="str"/>
      <x:c r="F5460" s="6" t="str">
        <x:v>去聲六御</x:v>
      </x:c>
      <x:c r="G5460" s="6" t="str">
        <x:v>Pingshui main list, Wikisource-derived DOCX</x:v>
      </x:c>
      <x:c r="H5460" s="6" t="str"/>
      <x:c r="I5460" s="6" t="str">
        <x:v>Lu Qinli gap fill from Pingshui main list; 詞 entries ignored</x:v>
      </x:c>
      <x:c r="J5460" s="6" t="str">
        <x:f>IF(B5460="","",IF(AND(ISNUMBER(SEARCH("平",B5460)),OR(ISNUMBER(SEARCH("上",B5460)),ISNUMBER(SEARCH("去",B5460)),ISNUMBER(SEARCH("入",B5460)))),"Ambiguous",IF(ISNUMBER(SEARCH("平",B5460)),"平","仄")))</x:f>
        <x:v>仄</x:v>
      </x:c>
      <x:c r="K5460" s="6" t="str">
        <x:f>IF(D5460="","",IF(AND(ISNUMBER(SEARCH("平",D5460)),OR(ISNUMBER(SEARCH("上",D5460)),ISNUMBER(SEARCH("去",D5460)),ISNUMBER(SEARCH("入",D5460)))),"Ambiguous",IF(ISNUMBER(SEARCH("平",D5460)),"平","仄")))</x:f>
        <x:v>仄</x:v>
      </x:c>
      <x:c r="L5460" s="7" t="str">
        <x:v>Pingshui main list, Lu Qinli gap fill</x:v>
      </x:c>
    </x:row>
    <x:row r="5461">
      <x:c r="A5461" s="5" t="str">
        <x:v>殛</x:v>
      </x:c>
      <x:c r="B5461" s="6" t="str">
        <x:v>入</x:v>
      </x:c>
      <x:c r="C5461" s="6" t="str">
        <x:f>IF(B5461="","Needs decision","Ready")</x:f>
        <x:v>Ready</x:v>
      </x:c>
      <x:c r="D5461" s="6" t="str">
        <x:v>入</x:v>
      </x:c>
      <x:c r="E5461" s="6" t="str"/>
      <x:c r="F5461" s="6" t="str">
        <x:v>入聲十三職</x:v>
      </x:c>
      <x:c r="G5461" s="6" t="str">
        <x:v>Pingshui main list, Wikisource-derived DOCX</x:v>
      </x:c>
      <x:c r="H5461" s="6" t="str"/>
      <x:c r="I5461" s="6" t="str">
        <x:v>Lu Qinli gap fill from Pingshui main list; 詞 entries ignored</x:v>
      </x:c>
      <x:c r="J5461" s="6" t="str">
        <x:f>IF(B5461="","",IF(AND(ISNUMBER(SEARCH("平",B5461)),OR(ISNUMBER(SEARCH("上",B5461)),ISNUMBER(SEARCH("去",B5461)),ISNUMBER(SEARCH("入",B5461)))),"Ambiguous",IF(ISNUMBER(SEARCH("平",B5461)),"平","仄")))</x:f>
        <x:v>仄</x:v>
      </x:c>
      <x:c r="K5461" s="6" t="str">
        <x:f>IF(D5461="","",IF(AND(ISNUMBER(SEARCH("平",D5461)),OR(ISNUMBER(SEARCH("上",D5461)),ISNUMBER(SEARCH("去",D5461)),ISNUMBER(SEARCH("入",D5461)))),"Ambiguous",IF(ISNUMBER(SEARCH("平",D5461)),"平","仄")))</x:f>
        <x:v>仄</x:v>
      </x:c>
      <x:c r="L5461" s="7" t="str">
        <x:v>Pingshui main list, Lu Qinli gap fill</x:v>
      </x:c>
    </x:row>
    <x:row r="5462">
      <x:c r="A5462" s="5" t="str">
        <x:v>殤</x:v>
      </x:c>
      <x:c r="B5462" s="6" t="str">
        <x:v>平</x:v>
      </x:c>
      <x:c r="C5462" s="6" t="str">
        <x:f>IF(B5462="","Needs decision","Ready")</x:f>
        <x:v>Ready</x:v>
      </x:c>
      <x:c r="D5462" s="6" t="str">
        <x:v>平</x:v>
      </x:c>
      <x:c r="E5462" s="6" t="str"/>
      <x:c r="F5462" s="6" t="str">
        <x:v>下平聲七陽</x:v>
      </x:c>
      <x:c r="G5462" s="6" t="str">
        <x:v>Pingshui main list, Wikisource-derived DOCX</x:v>
      </x:c>
      <x:c r="H5462" s="6" t="str"/>
      <x:c r="I5462" s="6" t="str">
        <x:v>Lu Qinli gap fill from Pingshui main list; 詞 entries ignored</x:v>
      </x:c>
      <x:c r="J5462" s="6" t="str">
        <x:f>IF(B5462="","",IF(AND(ISNUMBER(SEARCH("平",B5462)),OR(ISNUMBER(SEARCH("上",B5462)),ISNUMBER(SEARCH("去",B5462)),ISNUMBER(SEARCH("入",B5462)))),"Ambiguous",IF(ISNUMBER(SEARCH("平",B5462)),"平","仄")))</x:f>
        <x:v>平</x:v>
      </x:c>
      <x:c r="K5462" s="6" t="str">
        <x:f>IF(D5462="","",IF(AND(ISNUMBER(SEARCH("平",D5462)),OR(ISNUMBER(SEARCH("上",D5462)),ISNUMBER(SEARCH("去",D5462)),ISNUMBER(SEARCH("入",D5462)))),"Ambiguous",IF(ISNUMBER(SEARCH("平",D5462)),"平","仄")))</x:f>
        <x:v>平</x:v>
      </x:c>
      <x:c r="L5462" s="7" t="str">
        <x:v>Pingshui main list, Lu Qinli gap fill</x:v>
      </x:c>
    </x:row>
    <x:row r="5463">
      <x:c r="A5463" s="5" t="str">
        <x:v>殪</x:v>
      </x:c>
      <x:c r="B5463" s="6" t="str">
        <x:v>去</x:v>
      </x:c>
      <x:c r="C5463" s="6" t="str">
        <x:f>IF(B5463="","Needs decision","Ready")</x:f>
        <x:v>Ready</x:v>
      </x:c>
      <x:c r="D5463" s="6" t="str">
        <x:v>去</x:v>
      </x:c>
      <x:c r="E5463" s="6" t="str"/>
      <x:c r="F5463" s="6" t="str">
        <x:v>去聲八霽</x:v>
      </x:c>
      <x:c r="G5463" s="6" t="str">
        <x:v>Pingshui main list, Wikisource-derived DOCX</x:v>
      </x:c>
      <x:c r="H5463" s="6" t="str"/>
      <x:c r="I5463" s="6" t="str">
        <x:v>Lu Qinli gap fill from Pingshui main list; 詞 entries ignored</x:v>
      </x:c>
      <x:c r="J5463" s="6" t="str">
        <x:f>IF(B5463="","",IF(AND(ISNUMBER(SEARCH("平",B5463)),OR(ISNUMBER(SEARCH("上",B5463)),ISNUMBER(SEARCH("去",B5463)),ISNUMBER(SEARCH("入",B5463)))),"Ambiguous",IF(ISNUMBER(SEARCH("平",B5463)),"平","仄")))</x:f>
        <x:v>仄</x:v>
      </x:c>
      <x:c r="K5463" s="6" t="str">
        <x:f>IF(D5463="","",IF(AND(ISNUMBER(SEARCH("平",D5463)),OR(ISNUMBER(SEARCH("上",D5463)),ISNUMBER(SEARCH("去",D5463)),ISNUMBER(SEARCH("入",D5463)))),"Ambiguous",IF(ISNUMBER(SEARCH("平",D5463)),"平","仄")))</x:f>
        <x:v>仄</x:v>
      </x:c>
      <x:c r="L5463" s="7" t="str">
        <x:v>Pingshui main list, Lu Qinli gap fill</x:v>
      </x:c>
    </x:row>
    <x:row r="5464">
      <x:c r="A5464" s="5" t="str">
        <x:v>殫</x:v>
      </x:c>
      <x:c r="B5464" s="6" t="str">
        <x:v>平</x:v>
      </x:c>
      <x:c r="C5464" s="6" t="str">
        <x:f>IF(B5464="","Needs decision","Ready")</x:f>
        <x:v>Ready</x:v>
      </x:c>
      <x:c r="D5464" s="6" t="str">
        <x:v>平</x:v>
      </x:c>
      <x:c r="E5464" s="6" t="str"/>
      <x:c r="F5464" s="6" t="str">
        <x:v>上平聲十四寒</x:v>
      </x:c>
      <x:c r="G5464" s="6" t="str">
        <x:v>Pingshui main list, Wikisource-derived DOCX</x:v>
      </x:c>
      <x:c r="H5464" s="6" t="str"/>
      <x:c r="I5464" s="6" t="str">
        <x:v>Lu Qinli gap fill from Pingshui main list; 詞 entries ignored</x:v>
      </x:c>
      <x:c r="J5464" s="6" t="str">
        <x:f>IF(B5464="","",IF(AND(ISNUMBER(SEARCH("平",B5464)),OR(ISNUMBER(SEARCH("上",B5464)),ISNUMBER(SEARCH("去",B5464)),ISNUMBER(SEARCH("入",B5464)))),"Ambiguous",IF(ISNUMBER(SEARCH("平",B5464)),"平","仄")))</x:f>
        <x:v>平</x:v>
      </x:c>
      <x:c r="K5464" s="6" t="str">
        <x:f>IF(D5464="","",IF(AND(ISNUMBER(SEARCH("平",D5464)),OR(ISNUMBER(SEARCH("上",D5464)),ISNUMBER(SEARCH("去",D5464)),ISNUMBER(SEARCH("入",D5464)))),"Ambiguous",IF(ISNUMBER(SEARCH("平",D5464)),"平","仄")))</x:f>
        <x:v>平</x:v>
      </x:c>
      <x:c r="L5464" s="7" t="str">
        <x:v>Pingshui main list, Lu Qinli gap fill</x:v>
      </x:c>
    </x:row>
    <x:row r="5465">
      <x:c r="A5465" s="5" t="str">
        <x:v>殮</x:v>
      </x:c>
      <x:c r="B5465" s="6" t="str">
        <x:v>去</x:v>
      </x:c>
      <x:c r="C5465" s="6" t="str">
        <x:f>IF(B5465="","Needs decision","Ready")</x:f>
        <x:v>Ready</x:v>
      </x:c>
      <x:c r="D5465" s="6" t="str">
        <x:v>去</x:v>
      </x:c>
      <x:c r="E5465" s="6" t="str"/>
      <x:c r="F5465" s="6" t="str">
        <x:v>去聲二十九豔</x:v>
      </x:c>
      <x:c r="G5465" s="6" t="str">
        <x:v>Pingshui main list, Wikisource-derived DOCX</x:v>
      </x:c>
      <x:c r="H5465" s="6" t="str"/>
      <x:c r="I5465" s="6" t="str">
        <x:v>Lu Qinli gap fill from Pingshui main list; 詞 entries ignored</x:v>
      </x:c>
      <x:c r="J5465" s="6" t="str">
        <x:f>IF(B5465="","",IF(AND(ISNUMBER(SEARCH("平",B5465)),OR(ISNUMBER(SEARCH("上",B5465)),ISNUMBER(SEARCH("去",B5465)),ISNUMBER(SEARCH("入",B5465)))),"Ambiguous",IF(ISNUMBER(SEARCH("平",B5465)),"平","仄")))</x:f>
        <x:v>仄</x:v>
      </x:c>
      <x:c r="K5465" s="6" t="str">
        <x:f>IF(D5465="","",IF(AND(ISNUMBER(SEARCH("平",D5465)),OR(ISNUMBER(SEARCH("上",D5465)),ISNUMBER(SEARCH("去",D5465)),ISNUMBER(SEARCH("入",D5465)))),"Ambiguous",IF(ISNUMBER(SEARCH("平",D5465)),"平","仄")))</x:f>
        <x:v>仄</x:v>
      </x:c>
      <x:c r="L5465" s="7" t="str">
        <x:v>Pingshui main list, Lu Qinli gap fill</x:v>
      </x:c>
    </x:row>
    <x:row r="5466">
      <x:c r="A5466" s="5" t="str">
        <x:v>殯</x:v>
      </x:c>
      <x:c r="B5466" s="6" t="str">
        <x:v>去</x:v>
      </x:c>
      <x:c r="C5466" s="6" t="str">
        <x:f>IF(B5466="","Needs decision","Ready")</x:f>
        <x:v>Ready</x:v>
      </x:c>
      <x:c r="D5466" s="6" t="str">
        <x:v>去</x:v>
      </x:c>
      <x:c r="E5466" s="6" t="str"/>
      <x:c r="F5466" s="6" t="str">
        <x:v>去聲十二震</x:v>
      </x:c>
      <x:c r="G5466" s="6" t="str">
        <x:v>Pingshui main list, Wikisource-derived DOCX</x:v>
      </x:c>
      <x:c r="H5466" s="6" t="str"/>
      <x:c r="I5466" s="6" t="str">
        <x:v>Lu Qinli gap fill from Pingshui main list; 詞 entries ignored</x:v>
      </x:c>
      <x:c r="J5466" s="6" t="str">
        <x:f>IF(B5466="","",IF(AND(ISNUMBER(SEARCH("平",B5466)),OR(ISNUMBER(SEARCH("上",B5466)),ISNUMBER(SEARCH("去",B5466)),ISNUMBER(SEARCH("入",B5466)))),"Ambiguous",IF(ISNUMBER(SEARCH("平",B5466)),"平","仄")))</x:f>
        <x:v>仄</x:v>
      </x:c>
      <x:c r="K5466" s="6" t="str">
        <x:f>IF(D5466="","",IF(AND(ISNUMBER(SEARCH("平",D5466)),OR(ISNUMBER(SEARCH("上",D5466)),ISNUMBER(SEARCH("去",D5466)),ISNUMBER(SEARCH("入",D5466)))),"Ambiguous",IF(ISNUMBER(SEARCH("平",D5466)),"平","仄")))</x:f>
        <x:v>仄</x:v>
      </x:c>
      <x:c r="L5466" s="7" t="str">
        <x:v>Pingshui main list, Lu Qinli gap fill</x:v>
      </x:c>
    </x:row>
    <x:row r="5467">
      <x:c r="A5467" s="5" t="str">
        <x:v>毚</x:v>
      </x:c>
      <x:c r="B5467" s="6" t="str">
        <x:v>平</x:v>
      </x:c>
      <x:c r="C5467" s="6" t="str">
        <x:f>IF(B5467="","Needs decision","Ready")</x:f>
        <x:v>Ready</x:v>
      </x:c>
      <x:c r="D5467" s="6" t="str">
        <x:v>平</x:v>
      </x:c>
      <x:c r="E5467" s="6" t="str"/>
      <x:c r="F5467" s="6" t="str">
        <x:v>下平聲十五咸</x:v>
      </x:c>
      <x:c r="G5467" s="6" t="str">
        <x:v>Pingshui main list, Wikisource-derived DOCX</x:v>
      </x:c>
      <x:c r="H5467" s="6" t="str"/>
      <x:c r="I5467" s="6" t="str">
        <x:v>Lu Qinli gap fill from Pingshui main list; 詞 entries ignored</x:v>
      </x:c>
      <x:c r="J5467" s="6" t="str">
        <x:f>IF(B5467="","",IF(AND(ISNUMBER(SEARCH("平",B5467)),OR(ISNUMBER(SEARCH("上",B5467)),ISNUMBER(SEARCH("去",B5467)),ISNUMBER(SEARCH("入",B5467)))),"Ambiguous",IF(ISNUMBER(SEARCH("平",B5467)),"平","仄")))</x:f>
        <x:v>平</x:v>
      </x:c>
      <x:c r="K5467" s="6" t="str">
        <x:f>IF(D5467="","",IF(AND(ISNUMBER(SEARCH("平",D5467)),OR(ISNUMBER(SEARCH("上",D5467)),ISNUMBER(SEARCH("去",D5467)),ISNUMBER(SEARCH("入",D5467)))),"Ambiguous",IF(ISNUMBER(SEARCH("平",D5467)),"平","仄")))</x:f>
        <x:v>平</x:v>
      </x:c>
      <x:c r="L5467" s="7" t="str">
        <x:v>Pingshui main list, Lu Qinli gap fill</x:v>
      </x:c>
    </x:row>
    <x:row r="5468">
      <x:c r="A5468" s="5" t="str">
        <x:v>毣</x:v>
      </x:c>
      <x:c r="B5468" s="6" t="str">
        <x:v>入</x:v>
      </x:c>
      <x:c r="C5468" s="6" t="str">
        <x:f>IF(B5468="","Needs decision","Ready")</x:f>
        <x:v>Ready</x:v>
      </x:c>
      <x:c r="D5468" s="6" t="str">
        <x:v>入</x:v>
      </x:c>
      <x:c r="E5468" s="6" t="str"/>
      <x:c r="F5468" s="6" t="str">
        <x:v>入聲一屋</x:v>
      </x:c>
      <x:c r="G5468" s="6" t="str">
        <x:v>Pingshui main list, Wikisource-derived DOCX</x:v>
      </x:c>
      <x:c r="H5468" s="6" t="str"/>
      <x:c r="I5468" s="6" t="str">
        <x:v>Lu Qinli gap fill from Pingshui main list; 詞 entries ignored</x:v>
      </x:c>
      <x:c r="J5468" s="6" t="str">
        <x:f>IF(B5468="","",IF(AND(ISNUMBER(SEARCH("平",B5468)),OR(ISNUMBER(SEARCH("上",B5468)),ISNUMBER(SEARCH("去",B5468)),ISNUMBER(SEARCH("入",B5468)))),"Ambiguous",IF(ISNUMBER(SEARCH("平",B5468)),"平","仄")))</x:f>
        <x:v>仄</x:v>
      </x:c>
      <x:c r="K5468" s="6" t="str">
        <x:f>IF(D5468="","",IF(AND(ISNUMBER(SEARCH("平",D5468)),OR(ISNUMBER(SEARCH("上",D5468)),ISNUMBER(SEARCH("去",D5468)),ISNUMBER(SEARCH("入",D5468)))),"Ambiguous",IF(ISNUMBER(SEARCH("平",D5468)),"平","仄")))</x:f>
        <x:v>仄</x:v>
      </x:c>
      <x:c r="L5468" s="7" t="str">
        <x:v>Pingshui main list, Lu Qinli gap fill</x:v>
      </x:c>
    </x:row>
    <x:row r="5469">
      <x:c r="A5469" s="5" t="str">
        <x:v>氄</x:v>
      </x:c>
      <x:c r="B5469" s="6" t="str">
        <x:v>上</x:v>
      </x:c>
      <x:c r="C5469" s="6" t="str">
        <x:f>IF(B5469="","Needs decision","Ready")</x:f>
        <x:v>Ready</x:v>
      </x:c>
      <x:c r="D5469" s="6" t="str">
        <x:v>上</x:v>
      </x:c>
      <x:c r="E5469" s="6" t="str"/>
      <x:c r="F5469" s="6" t="str">
        <x:v>上聲二腫</x:v>
      </x:c>
      <x:c r="G5469" s="6" t="str">
        <x:v>Pingshui main list, Wikisource-derived DOCX</x:v>
      </x:c>
      <x:c r="H5469" s="6" t="str"/>
      <x:c r="I5469" s="6" t="str">
        <x:v>Lu Qinli gap fill from Pingshui main list; 詞 entries ignored</x:v>
      </x:c>
      <x:c r="J5469" s="6" t="str">
        <x:f>IF(B5469="","",IF(AND(ISNUMBER(SEARCH("平",B5469)),OR(ISNUMBER(SEARCH("上",B5469)),ISNUMBER(SEARCH("去",B5469)),ISNUMBER(SEARCH("入",B5469)))),"Ambiguous",IF(ISNUMBER(SEARCH("平",B5469)),"平","仄")))</x:f>
        <x:v>仄</x:v>
      </x:c>
      <x:c r="K5469" s="6" t="str">
        <x:f>IF(D5469="","",IF(AND(ISNUMBER(SEARCH("平",D5469)),OR(ISNUMBER(SEARCH("上",D5469)),ISNUMBER(SEARCH("去",D5469)),ISNUMBER(SEARCH("入",D5469)))),"Ambiguous",IF(ISNUMBER(SEARCH("平",D5469)),"平","仄")))</x:f>
        <x:v>仄</x:v>
      </x:c>
      <x:c r="L5469" s="7" t="str">
        <x:v>Pingshui main list, Lu Qinli gap fill</x:v>
      </x:c>
    </x:row>
    <x:row r="5470">
      <x:c r="A5470" s="5" t="str">
        <x:v>氅</x:v>
      </x:c>
      <x:c r="B5470" s="6" t="str">
        <x:v>上</x:v>
      </x:c>
      <x:c r="C5470" s="6" t="str">
        <x:f>IF(B5470="","Needs decision","Ready")</x:f>
        <x:v>Ready</x:v>
      </x:c>
      <x:c r="D5470" s="6" t="str">
        <x:v>上</x:v>
      </x:c>
      <x:c r="E5470" s="6" t="str"/>
      <x:c r="F5470" s="6" t="str">
        <x:v>上聲二十二養</x:v>
      </x:c>
      <x:c r="G5470" s="6" t="str">
        <x:v>Pingshui main list, Wikisource-derived DOCX</x:v>
      </x:c>
      <x:c r="H5470" s="6" t="str"/>
      <x:c r="I5470" s="6" t="str">
        <x:v>Lu Qinli gap fill from Pingshui main list; 詞 entries ignored</x:v>
      </x:c>
      <x:c r="J5470" s="6" t="str">
        <x:f>IF(B5470="","",IF(AND(ISNUMBER(SEARCH("平",B5470)),OR(ISNUMBER(SEARCH("上",B5470)),ISNUMBER(SEARCH("去",B5470)),ISNUMBER(SEARCH("入",B5470)))),"Ambiguous",IF(ISNUMBER(SEARCH("平",B5470)),"平","仄")))</x:f>
        <x:v>仄</x:v>
      </x:c>
      <x:c r="K5470" s="6" t="str">
        <x:f>IF(D5470="","",IF(AND(ISNUMBER(SEARCH("平",D5470)),OR(ISNUMBER(SEARCH("上",D5470)),ISNUMBER(SEARCH("去",D5470)),ISNUMBER(SEARCH("入",D5470)))),"Ambiguous",IF(ISNUMBER(SEARCH("平",D5470)),"平","仄")))</x:f>
        <x:v>仄</x:v>
      </x:c>
      <x:c r="L5470" s="7" t="str">
        <x:v>Pingshui main list, Lu Qinli gap fill</x:v>
      </x:c>
    </x:row>
    <x:row r="5471">
      <x:c r="A5471" s="5" t="str">
        <x:v>氤</x:v>
      </x:c>
      <x:c r="B5471" s="6" t="str">
        <x:v>平</x:v>
      </x:c>
      <x:c r="C5471" s="6" t="str">
        <x:f>IF(B5471="","Needs decision","Ready")</x:f>
        <x:v>Ready</x:v>
      </x:c>
      <x:c r="D5471" s="6" t="str">
        <x:v>平</x:v>
      </x:c>
      <x:c r="E5471" s="6" t="str"/>
      <x:c r="F5471" s="6" t="str">
        <x:v>上平聲十一真</x:v>
      </x:c>
      <x:c r="G5471" s="6" t="str">
        <x:v>Pingshui main list, Wikisource-derived DOCX</x:v>
      </x:c>
      <x:c r="H5471" s="6" t="str"/>
      <x:c r="I5471" s="6" t="str">
        <x:v>Lu Qinli gap fill from Pingshui main list; 詞 entries ignored</x:v>
      </x:c>
      <x:c r="J5471" s="6" t="str">
        <x:f>IF(B5471="","",IF(AND(ISNUMBER(SEARCH("平",B5471)),OR(ISNUMBER(SEARCH("上",B5471)),ISNUMBER(SEARCH("去",B5471)),ISNUMBER(SEARCH("入",B5471)))),"Ambiguous",IF(ISNUMBER(SEARCH("平",B5471)),"平","仄")))</x:f>
        <x:v>平</x:v>
      </x:c>
      <x:c r="K5471" s="6" t="str">
        <x:f>IF(D5471="","",IF(AND(ISNUMBER(SEARCH("平",D5471)),OR(ISNUMBER(SEARCH("上",D5471)),ISNUMBER(SEARCH("去",D5471)),ISNUMBER(SEARCH("入",D5471)))),"Ambiguous",IF(ISNUMBER(SEARCH("平",D5471)),"平","仄")))</x:f>
        <x:v>平</x:v>
      </x:c>
      <x:c r="L5471" s="7" t="str">
        <x:v>Pingshui main list, Lu Qinli gap fill</x:v>
      </x:c>
    </x:row>
    <x:row r="5472">
      <x:c r="A5472" s="5" t="str">
        <x:v>汍</x:v>
      </x:c>
      <x:c r="B5472" s="6" t="str">
        <x:v>平</x:v>
      </x:c>
      <x:c r="C5472" s="6" t="str">
        <x:f>IF(B5472="","Needs decision","Ready")</x:f>
        <x:v>Ready</x:v>
      </x:c>
      <x:c r="D5472" s="6" t="str">
        <x:v>平</x:v>
      </x:c>
      <x:c r="E5472" s="6" t="str"/>
      <x:c r="F5472" s="6" t="str">
        <x:v>上平聲十四寒</x:v>
      </x:c>
      <x:c r="G5472" s="6" t="str">
        <x:v>Pingshui main list, Wikisource-derived DOCX</x:v>
      </x:c>
      <x:c r="H5472" s="6" t="str"/>
      <x:c r="I5472" s="6" t="str">
        <x:v>Lu Qinli gap fill from Pingshui main list; 詞 entries ignored</x:v>
      </x:c>
      <x:c r="J5472" s="6" t="str">
        <x:f>IF(B5472="","",IF(AND(ISNUMBER(SEARCH("平",B5472)),OR(ISNUMBER(SEARCH("上",B5472)),ISNUMBER(SEARCH("去",B5472)),ISNUMBER(SEARCH("入",B5472)))),"Ambiguous",IF(ISNUMBER(SEARCH("平",B5472)),"平","仄")))</x:f>
        <x:v>平</x:v>
      </x:c>
      <x:c r="K5472" s="6" t="str">
        <x:f>IF(D5472="","",IF(AND(ISNUMBER(SEARCH("平",D5472)),OR(ISNUMBER(SEARCH("上",D5472)),ISNUMBER(SEARCH("去",D5472)),ISNUMBER(SEARCH("入",D5472)))),"Ambiguous",IF(ISNUMBER(SEARCH("平",D5472)),"平","仄")))</x:f>
        <x:v>平</x:v>
      </x:c>
      <x:c r="L5472" s="7" t="str">
        <x:v>Pingshui main list, Lu Qinli gap fill</x:v>
      </x:c>
    </x:row>
    <x:row r="5473">
      <x:c r="A5473" s="5" t="str">
        <x:v>汐</x:v>
      </x:c>
      <x:c r="B5473" s="6" t="str">
        <x:v>入</x:v>
      </x:c>
      <x:c r="C5473" s="6" t="str">
        <x:f>IF(B5473="","Needs decision","Ready")</x:f>
        <x:v>Ready</x:v>
      </x:c>
      <x:c r="D5473" s="6" t="str">
        <x:v>入</x:v>
      </x:c>
      <x:c r="E5473" s="6" t="str"/>
      <x:c r="F5473" s="6" t="str">
        <x:v>入聲十一陌</x:v>
      </x:c>
      <x:c r="G5473" s="6" t="str">
        <x:v>Pingshui main list, Wikisource-derived DOCX</x:v>
      </x:c>
      <x:c r="H5473" s="6" t="str"/>
      <x:c r="I5473" s="6" t="str">
        <x:v>Lu Qinli gap fill from Pingshui main list; 詞 entries ignored</x:v>
      </x:c>
      <x:c r="J5473" s="6" t="str">
        <x:f>IF(B5473="","",IF(AND(ISNUMBER(SEARCH("平",B5473)),OR(ISNUMBER(SEARCH("上",B5473)),ISNUMBER(SEARCH("去",B5473)),ISNUMBER(SEARCH("入",B5473)))),"Ambiguous",IF(ISNUMBER(SEARCH("平",B5473)),"平","仄")))</x:f>
        <x:v>仄</x:v>
      </x:c>
      <x:c r="K5473" s="6" t="str">
        <x:f>IF(D5473="","",IF(AND(ISNUMBER(SEARCH("平",D5473)),OR(ISNUMBER(SEARCH("上",D5473)),ISNUMBER(SEARCH("去",D5473)),ISNUMBER(SEARCH("入",D5473)))),"Ambiguous",IF(ISNUMBER(SEARCH("平",D5473)),"平","仄")))</x:f>
        <x:v>仄</x:v>
      </x:c>
      <x:c r="L5473" s="7" t="str">
        <x:v>Pingshui main list, Lu Qinli gap fill</x:v>
      </x:c>
    </x:row>
    <x:row r="5474">
      <x:c r="A5474" s="5" t="str">
        <x:v>汜</x:v>
      </x:c>
      <x:c r="B5474" s="6" t="str">
        <x:v>上</x:v>
      </x:c>
      <x:c r="C5474" s="6" t="str">
        <x:f>IF(B5474="","Needs decision","Ready")</x:f>
        <x:v>Ready</x:v>
      </x:c>
      <x:c r="D5474" s="6" t="str">
        <x:v>上</x:v>
      </x:c>
      <x:c r="E5474" s="6" t="str"/>
      <x:c r="F5474" s="6" t="str">
        <x:v>上聲四紙</x:v>
      </x:c>
      <x:c r="G5474" s="6" t="str">
        <x:v>Pingshui main list, Wikisource-derived DOCX</x:v>
      </x:c>
      <x:c r="H5474" s="6" t="str"/>
      <x:c r="I5474" s="6" t="str">
        <x:v>Lu Qinli gap fill from Pingshui main list; 詞 entries ignored</x:v>
      </x:c>
      <x:c r="J5474" s="6" t="str">
        <x:f>IF(B5474="","",IF(AND(ISNUMBER(SEARCH("平",B5474)),OR(ISNUMBER(SEARCH("上",B5474)),ISNUMBER(SEARCH("去",B5474)),ISNUMBER(SEARCH("入",B5474)))),"Ambiguous",IF(ISNUMBER(SEARCH("平",B5474)),"平","仄")))</x:f>
        <x:v>仄</x:v>
      </x:c>
      <x:c r="K5474" s="6" t="str">
        <x:f>IF(D5474="","",IF(AND(ISNUMBER(SEARCH("平",D5474)),OR(ISNUMBER(SEARCH("上",D5474)),ISNUMBER(SEARCH("去",D5474)),ISNUMBER(SEARCH("入",D5474)))),"Ambiguous",IF(ISNUMBER(SEARCH("平",D5474)),"平","仄")))</x:f>
        <x:v>仄</x:v>
      </x:c>
      <x:c r="L5474" s="7" t="str">
        <x:v>Pingshui main list, Lu Qinli gap fill</x:v>
      </x:c>
    </x:row>
    <x:row r="5475">
      <x:c r="A5475" s="5" t="str">
        <x:v>汭</x:v>
      </x:c>
      <x:c r="B5475" s="6" t="str">
        <x:v>去</x:v>
      </x:c>
      <x:c r="C5475" s="6" t="str">
        <x:f>IF(B5475="","Needs decision","Ready")</x:f>
        <x:v>Ready</x:v>
      </x:c>
      <x:c r="D5475" s="6" t="str">
        <x:v>去</x:v>
      </x:c>
      <x:c r="E5475" s="6" t="str"/>
      <x:c r="F5475" s="6" t="str">
        <x:v>去聲八霽</x:v>
      </x:c>
      <x:c r="G5475" s="6" t="str">
        <x:v>Pingshui main list, Wikisource-derived DOCX</x:v>
      </x:c>
      <x:c r="H5475" s="6" t="str"/>
      <x:c r="I5475" s="6" t="str">
        <x:v>Lu Qinli gap fill from Pingshui main list; 詞 entries ignored</x:v>
      </x:c>
      <x:c r="J5475" s="6" t="str">
        <x:f>IF(B5475="","",IF(AND(ISNUMBER(SEARCH("平",B5475)),OR(ISNUMBER(SEARCH("上",B5475)),ISNUMBER(SEARCH("去",B5475)),ISNUMBER(SEARCH("入",B5475)))),"Ambiguous",IF(ISNUMBER(SEARCH("平",B5475)),"平","仄")))</x:f>
        <x:v>仄</x:v>
      </x:c>
      <x:c r="K5475" s="6" t="str">
        <x:f>IF(D5475="","",IF(AND(ISNUMBER(SEARCH("平",D5475)),OR(ISNUMBER(SEARCH("上",D5475)),ISNUMBER(SEARCH("去",D5475)),ISNUMBER(SEARCH("入",D5475)))),"Ambiguous",IF(ISNUMBER(SEARCH("平",D5475)),"平","仄")))</x:f>
        <x:v>仄</x:v>
      </x:c>
      <x:c r="L5475" s="7" t="str">
        <x:v>Pingshui main list, Lu Qinli gap fill</x:v>
      </x:c>
    </x:row>
    <x:row r="5476">
      <x:c r="A5476" s="5" t="str">
        <x:v>汴</x:v>
      </x:c>
      <x:c r="B5476" s="6" t="str">
        <x:v>去</x:v>
      </x:c>
      <x:c r="C5476" s="6" t="str">
        <x:f>IF(B5476="","Needs decision","Ready")</x:f>
        <x:v>Ready</x:v>
      </x:c>
      <x:c r="D5476" s="6" t="str">
        <x:v>去</x:v>
      </x:c>
      <x:c r="E5476" s="6" t="str"/>
      <x:c r="F5476" s="6" t="str">
        <x:v>去聲十七霰</x:v>
      </x:c>
      <x:c r="G5476" s="6" t="str">
        <x:v>Pingshui main list, Wikisource-derived DOCX</x:v>
      </x:c>
      <x:c r="H5476" s="6" t="str"/>
      <x:c r="I5476" s="6" t="str">
        <x:v>Lu Qinli gap fill from Pingshui main list; 詞 entries ignored</x:v>
      </x:c>
      <x:c r="J5476" s="6" t="str">
        <x:f>IF(B5476="","",IF(AND(ISNUMBER(SEARCH("平",B5476)),OR(ISNUMBER(SEARCH("上",B5476)),ISNUMBER(SEARCH("去",B5476)),ISNUMBER(SEARCH("入",B5476)))),"Ambiguous",IF(ISNUMBER(SEARCH("平",B5476)),"平","仄")))</x:f>
        <x:v>仄</x:v>
      </x:c>
      <x:c r="K5476" s="6" t="str">
        <x:f>IF(D5476="","",IF(AND(ISNUMBER(SEARCH("平",D5476)),OR(ISNUMBER(SEARCH("上",D5476)),ISNUMBER(SEARCH("去",D5476)),ISNUMBER(SEARCH("入",D5476)))),"Ambiguous",IF(ISNUMBER(SEARCH("平",D5476)),"平","仄")))</x:f>
        <x:v>仄</x:v>
      </x:c>
      <x:c r="L5476" s="7" t="str">
        <x:v>Pingshui main list, Lu Qinli gap fill</x:v>
      </x:c>
    </x:row>
    <x:row r="5477">
      <x:c r="A5477" s="5" t="str">
        <x:v>沅</x:v>
      </x:c>
      <x:c r="B5477" s="6" t="str">
        <x:v>平</x:v>
      </x:c>
      <x:c r="C5477" s="6" t="str">
        <x:f>IF(B5477="","Needs decision","Ready")</x:f>
        <x:v>Ready</x:v>
      </x:c>
      <x:c r="D5477" s="6" t="str">
        <x:v>平</x:v>
      </x:c>
      <x:c r="E5477" s="6" t="str"/>
      <x:c r="F5477" s="6" t="str">
        <x:v>上平聲十三元</x:v>
      </x:c>
      <x:c r="G5477" s="6" t="str">
        <x:v>Pingshui main list, Wikisource-derived DOCX</x:v>
      </x:c>
      <x:c r="H5477" s="6" t="str"/>
      <x:c r="I5477" s="6" t="str">
        <x:v>Lu Qinli gap fill from Pingshui main list; 詞 entries ignored</x:v>
      </x:c>
      <x:c r="J5477" s="6" t="str">
        <x:f>IF(B5477="","",IF(AND(ISNUMBER(SEARCH("平",B5477)),OR(ISNUMBER(SEARCH("上",B5477)),ISNUMBER(SEARCH("去",B5477)),ISNUMBER(SEARCH("入",B5477)))),"Ambiguous",IF(ISNUMBER(SEARCH("平",B5477)),"平","仄")))</x:f>
        <x:v>平</x:v>
      </x:c>
      <x:c r="K5477" s="6" t="str">
        <x:f>IF(D5477="","",IF(AND(ISNUMBER(SEARCH("平",D5477)),OR(ISNUMBER(SEARCH("上",D5477)),ISNUMBER(SEARCH("去",D5477)),ISNUMBER(SEARCH("入",D5477)))),"Ambiguous",IF(ISNUMBER(SEARCH("平",D5477)),"平","仄")))</x:f>
        <x:v>平</x:v>
      </x:c>
      <x:c r="L5477" s="7" t="str">
        <x:v>Pingshui main list, Lu Qinli gap fill</x:v>
      </x:c>
    </x:row>
    <x:row r="5478">
      <x:c r="A5478" s="5" t="str">
        <x:v>沆</x:v>
      </x:c>
      <x:c r="B5478" s="6" t="str">
        <x:v>上</x:v>
      </x:c>
      <x:c r="C5478" s="6" t="str">
        <x:f>IF(B5478="","Needs decision","Ready")</x:f>
        <x:v>Ready</x:v>
      </x:c>
      <x:c r="D5478" s="6" t="str">
        <x:v>上</x:v>
      </x:c>
      <x:c r="E5478" s="6" t="str"/>
      <x:c r="F5478" s="6" t="str">
        <x:v>上聲二十二養</x:v>
      </x:c>
      <x:c r="G5478" s="6" t="str">
        <x:v>Pingshui main list, Wikisource-derived DOCX</x:v>
      </x:c>
      <x:c r="H5478" s="6" t="str"/>
      <x:c r="I5478" s="6" t="str">
        <x:v>Lu Qinli gap fill from Pingshui main list; 詞 entries ignored</x:v>
      </x:c>
      <x:c r="J5478" s="6" t="str">
        <x:f>IF(B5478="","",IF(AND(ISNUMBER(SEARCH("平",B5478)),OR(ISNUMBER(SEARCH("上",B5478)),ISNUMBER(SEARCH("去",B5478)),ISNUMBER(SEARCH("入",B5478)))),"Ambiguous",IF(ISNUMBER(SEARCH("平",B5478)),"平","仄")))</x:f>
        <x:v>仄</x:v>
      </x:c>
      <x:c r="K5478" s="6" t="str">
        <x:f>IF(D5478="","",IF(AND(ISNUMBER(SEARCH("平",D5478)),OR(ISNUMBER(SEARCH("上",D5478)),ISNUMBER(SEARCH("去",D5478)),ISNUMBER(SEARCH("入",D5478)))),"Ambiguous",IF(ISNUMBER(SEARCH("平",D5478)),"平","仄")))</x:f>
        <x:v>仄</x:v>
      </x:c>
      <x:c r="L5478" s="7" t="str">
        <x:v>Pingshui main list, Lu Qinli gap fill</x:v>
      </x:c>
    </x:row>
    <x:row r="5479">
      <x:c r="A5479" s="5" t="str">
        <x:v>沌</x:v>
      </x:c>
      <x:c r="B5479" s="6" t="str">
        <x:v>上</x:v>
      </x:c>
      <x:c r="C5479" s="6" t="str">
        <x:f>IF(B5479="","Needs decision","Ready")</x:f>
        <x:v>Ready</x:v>
      </x:c>
      <x:c r="D5479" s="6" t="str">
        <x:v>上</x:v>
      </x:c>
      <x:c r="E5479" s="6" t="str"/>
      <x:c r="F5479" s="6" t="str">
        <x:v>上聲十三阮</x:v>
      </x:c>
      <x:c r="G5479" s="6" t="str">
        <x:v>Pingshui main list, Wikisource-derived DOCX</x:v>
      </x:c>
      <x:c r="H5479" s="6" t="str"/>
      <x:c r="I5479" s="6" t="str">
        <x:v>Lu Qinli gap fill from Pingshui main list; 詞 entries ignored</x:v>
      </x:c>
      <x:c r="J5479" s="6" t="str">
        <x:f>IF(B5479="","",IF(AND(ISNUMBER(SEARCH("平",B5479)),OR(ISNUMBER(SEARCH("上",B5479)),ISNUMBER(SEARCH("去",B5479)),ISNUMBER(SEARCH("入",B5479)))),"Ambiguous",IF(ISNUMBER(SEARCH("平",B5479)),"平","仄")))</x:f>
        <x:v>仄</x:v>
      </x:c>
      <x:c r="K5479" s="6" t="str">
        <x:f>IF(D5479="","",IF(AND(ISNUMBER(SEARCH("平",D5479)),OR(ISNUMBER(SEARCH("上",D5479)),ISNUMBER(SEARCH("去",D5479)),ISNUMBER(SEARCH("入",D5479)))),"Ambiguous",IF(ISNUMBER(SEARCH("平",D5479)),"平","仄")))</x:f>
        <x:v>仄</x:v>
      </x:c>
      <x:c r="L5479" s="7" t="str">
        <x:v>Pingshui main list, Lu Qinli gap fill</x:v>
      </x:c>
    </x:row>
    <x:row r="5480">
      <x:c r="A5480" s="5" t="str">
        <x:v>沚</x:v>
      </x:c>
      <x:c r="B5480" s="6" t="str">
        <x:v>上</x:v>
      </x:c>
      <x:c r="C5480" s="6" t="str">
        <x:f>IF(B5480="","Needs decision","Ready")</x:f>
        <x:v>Ready</x:v>
      </x:c>
      <x:c r="D5480" s="6" t="str">
        <x:v>上</x:v>
      </x:c>
      <x:c r="E5480" s="6" t="str"/>
      <x:c r="F5480" s="6" t="str">
        <x:v>上聲四紙</x:v>
      </x:c>
      <x:c r="G5480" s="6" t="str">
        <x:v>Pingshui main list, Wikisource-derived DOCX</x:v>
      </x:c>
      <x:c r="H5480" s="6" t="str"/>
      <x:c r="I5480" s="6" t="str">
        <x:v>Lu Qinli gap fill from Pingshui main list; 詞 entries ignored</x:v>
      </x:c>
      <x:c r="J5480" s="6" t="str">
        <x:f>IF(B5480="","",IF(AND(ISNUMBER(SEARCH("平",B5480)),OR(ISNUMBER(SEARCH("上",B5480)),ISNUMBER(SEARCH("去",B5480)),ISNUMBER(SEARCH("入",B5480)))),"Ambiguous",IF(ISNUMBER(SEARCH("平",B5480)),"平","仄")))</x:f>
        <x:v>仄</x:v>
      </x:c>
      <x:c r="K5480" s="6" t="str">
        <x:f>IF(D5480="","",IF(AND(ISNUMBER(SEARCH("平",D5480)),OR(ISNUMBER(SEARCH("上",D5480)),ISNUMBER(SEARCH("去",D5480)),ISNUMBER(SEARCH("入",D5480)))),"Ambiguous",IF(ISNUMBER(SEARCH("平",D5480)),"平","仄")))</x:f>
        <x:v>仄</x:v>
      </x:c>
      <x:c r="L5480" s="7" t="str">
        <x:v>Pingshui main list, Lu Qinli gap fill</x:v>
      </x:c>
    </x:row>
    <x:row r="5481">
      <x:c r="A5481" s="5" t="str">
        <x:v>沛</x:v>
      </x:c>
      <x:c r="B5481" s="6" t="str">
        <x:v>去</x:v>
      </x:c>
      <x:c r="C5481" s="6" t="str">
        <x:f>IF(B5481="","Needs decision","Ready")</x:f>
        <x:v>Ready</x:v>
      </x:c>
      <x:c r="D5481" s="6" t="str">
        <x:v>去</x:v>
      </x:c>
      <x:c r="E5481" s="6" t="str"/>
      <x:c r="F5481" s="6" t="str">
        <x:v>去聲九泰</x:v>
      </x:c>
      <x:c r="G5481" s="6" t="str">
        <x:v>Pingshui main list, Wikisource-derived DOCX</x:v>
      </x:c>
      <x:c r="H5481" s="6" t="str"/>
      <x:c r="I5481" s="6" t="str">
        <x:v>Lu Qinli gap fill from Pingshui main list; 詞 entries ignored</x:v>
      </x:c>
      <x:c r="J5481" s="6" t="str">
        <x:f>IF(B5481="","",IF(AND(ISNUMBER(SEARCH("平",B5481)),OR(ISNUMBER(SEARCH("上",B5481)),ISNUMBER(SEARCH("去",B5481)),ISNUMBER(SEARCH("入",B5481)))),"Ambiguous",IF(ISNUMBER(SEARCH("平",B5481)),"平","仄")))</x:f>
        <x:v>仄</x:v>
      </x:c>
      <x:c r="K5481" s="6" t="str">
        <x:f>IF(D5481="","",IF(AND(ISNUMBER(SEARCH("平",D5481)),OR(ISNUMBER(SEARCH("上",D5481)),ISNUMBER(SEARCH("去",D5481)),ISNUMBER(SEARCH("入",D5481)))),"Ambiguous",IF(ISNUMBER(SEARCH("平",D5481)),"平","仄")))</x:f>
        <x:v>仄</x:v>
      </x:c>
      <x:c r="L5481" s="7" t="str">
        <x:v>Pingshui main list, Lu Qinli gap fill</x:v>
      </x:c>
    </x:row>
    <x:row r="5482">
      <x:c r="A5482" s="5" t="str">
        <x:v>沰</x:v>
      </x:c>
      <x:c r="B5482" s="6" t="str">
        <x:v>入</x:v>
      </x:c>
      <x:c r="C5482" s="6" t="str">
        <x:f>IF(B5482="","Needs decision","Ready")</x:f>
        <x:v>Ready</x:v>
      </x:c>
      <x:c r="D5482" s="6" t="str">
        <x:v>入</x:v>
      </x:c>
      <x:c r="E5482" s="6" t="str"/>
      <x:c r="F5482" s="6" t="str">
        <x:v>入聲十藥</x:v>
      </x:c>
      <x:c r="G5482" s="6" t="str">
        <x:v>Pingshui main list, Wikisource-derived DOCX</x:v>
      </x:c>
      <x:c r="H5482" s="6" t="str"/>
      <x:c r="I5482" s="6" t="str">
        <x:v>Lu Qinli gap fill from Pingshui main list; 詞 entries ignored</x:v>
      </x:c>
      <x:c r="J5482" s="6" t="str">
        <x:f>IF(B5482="","",IF(AND(ISNUMBER(SEARCH("平",B5482)),OR(ISNUMBER(SEARCH("上",B5482)),ISNUMBER(SEARCH("去",B5482)),ISNUMBER(SEARCH("入",B5482)))),"Ambiguous",IF(ISNUMBER(SEARCH("平",B5482)),"平","仄")))</x:f>
        <x:v>仄</x:v>
      </x:c>
      <x:c r="K5482" s="6" t="str">
        <x:f>IF(D5482="","",IF(AND(ISNUMBER(SEARCH("平",D5482)),OR(ISNUMBER(SEARCH("上",D5482)),ISNUMBER(SEARCH("去",D5482)),ISNUMBER(SEARCH("入",D5482)))),"Ambiguous",IF(ISNUMBER(SEARCH("平",D5482)),"平","仄")))</x:f>
        <x:v>仄</x:v>
      </x:c>
      <x:c r="L5482" s="7" t="str">
        <x:v>Pingshui main list, Lu Qinli gap fill</x:v>
      </x:c>
    </x:row>
    <x:row r="5483">
      <x:c r="A5483" s="5" t="str">
        <x:v>沴</x:v>
      </x:c>
      <x:c r="B5483" s="6" t="str">
        <x:v>去</x:v>
      </x:c>
      <x:c r="C5483" s="6" t="str">
        <x:f>IF(B5483="","Needs decision","Ready")</x:f>
        <x:v>Ready</x:v>
      </x:c>
      <x:c r="D5483" s="6" t="str">
        <x:v>去</x:v>
      </x:c>
      <x:c r="E5483" s="6" t="str"/>
      <x:c r="F5483" s="6" t="str">
        <x:v>去聲八霽</x:v>
      </x:c>
      <x:c r="G5483" s="6" t="str">
        <x:v>Pingshui main list, Wikisource-derived DOCX</x:v>
      </x:c>
      <x:c r="H5483" s="6" t="str"/>
      <x:c r="I5483" s="6" t="str">
        <x:v>Lu Qinli gap fill from Pingshui main list; 詞 entries ignored</x:v>
      </x:c>
      <x:c r="J5483" s="6" t="str">
        <x:f>IF(B5483="","",IF(AND(ISNUMBER(SEARCH("平",B5483)),OR(ISNUMBER(SEARCH("上",B5483)),ISNUMBER(SEARCH("去",B5483)),ISNUMBER(SEARCH("入",B5483)))),"Ambiguous",IF(ISNUMBER(SEARCH("平",B5483)),"平","仄")))</x:f>
        <x:v>仄</x:v>
      </x:c>
      <x:c r="K5483" s="6" t="str">
        <x:f>IF(D5483="","",IF(AND(ISNUMBER(SEARCH("平",D5483)),OR(ISNUMBER(SEARCH("上",D5483)),ISNUMBER(SEARCH("去",D5483)),ISNUMBER(SEARCH("入",D5483)))),"Ambiguous",IF(ISNUMBER(SEARCH("平",D5483)),"平","仄")))</x:f>
        <x:v>仄</x:v>
      </x:c>
      <x:c r="L5483" s="7" t="str">
        <x:v>Pingshui main list, Lu Qinli gap fill</x:v>
      </x:c>
    </x:row>
    <x:row r="5484">
      <x:c r="A5484" s="5" t="str">
        <x:v>泆</x:v>
      </x:c>
      <x:c r="B5484" s="6" t="str">
        <x:v>入</x:v>
      </x:c>
      <x:c r="C5484" s="6" t="str">
        <x:f>IF(B5484="","Needs decision","Ready")</x:f>
        <x:v>Ready</x:v>
      </x:c>
      <x:c r="D5484" s="6" t="str">
        <x:v>入</x:v>
      </x:c>
      <x:c r="E5484" s="6" t="str"/>
      <x:c r="F5484" s="6" t="str">
        <x:v>入聲四質</x:v>
      </x:c>
      <x:c r="G5484" s="6" t="str">
        <x:v>Pingshui main list, Wikisource-derived DOCX</x:v>
      </x:c>
      <x:c r="H5484" s="6" t="str"/>
      <x:c r="I5484" s="6" t="str">
        <x:v>Lu Qinli gap fill from Pingshui main list; 詞 entries ignored</x:v>
      </x:c>
      <x:c r="J5484" s="6" t="str">
        <x:f>IF(B5484="","",IF(AND(ISNUMBER(SEARCH("平",B5484)),OR(ISNUMBER(SEARCH("上",B5484)),ISNUMBER(SEARCH("去",B5484)),ISNUMBER(SEARCH("入",B5484)))),"Ambiguous",IF(ISNUMBER(SEARCH("平",B5484)),"平","仄")))</x:f>
        <x:v>仄</x:v>
      </x:c>
      <x:c r="K5484" s="6" t="str">
        <x:f>IF(D5484="","",IF(AND(ISNUMBER(SEARCH("平",D5484)),OR(ISNUMBER(SEARCH("上",D5484)),ISNUMBER(SEARCH("去",D5484)),ISNUMBER(SEARCH("入",D5484)))),"Ambiguous",IF(ISNUMBER(SEARCH("平",D5484)),"平","仄")))</x:f>
        <x:v>仄</x:v>
      </x:c>
      <x:c r="L5484" s="7" t="str">
        <x:v>Pingshui main list, Lu Qinli gap fill</x:v>
      </x:c>
    </x:row>
    <x:row r="5485">
      <x:c r="A5485" s="5" t="str">
        <x:v>泌</x:v>
      </x:c>
      <x:c r="B5485" s="6" t="str"/>
      <x:c r="C5485" s="6" t="str">
        <x:f>IF(B5485="","Needs decision","Ready")</x:f>
        <x:v>Needs decision</x:v>
      </x:c>
      <x:c r="D5485" s="6" t="str">
        <x:v>去/入</x:v>
      </x:c>
      <x:c r="E5485" s="6" t="str"/>
      <x:c r="F5485" s="6" t="str">
        <x:v>去聲四寘; 入聲四質</x:v>
      </x:c>
      <x:c r="G5485" s="6" t="str">
        <x:v>Pingshui main list, Wikisource-derived DOCX</x:v>
      </x:c>
      <x:c r="H5485" s="6" t="str"/>
      <x:c r="I5485" s="6" t="str">
        <x:v>Lu Qinli gap fill from Pingshui main list; 詞 entries ignored</x:v>
      </x:c>
      <x:c r="J5485" s="6" t="str">
        <x:f>IF(B5485="","",IF(AND(ISNUMBER(SEARCH("平",B5485)),OR(ISNUMBER(SEARCH("上",B5485)),ISNUMBER(SEARCH("去",B5485)),ISNUMBER(SEARCH("入",B5485)))),"Ambiguous",IF(ISNUMBER(SEARCH("平",B5485)),"平","仄")))</x:f>
      </x:c>
      <x:c r="K5485" s="6" t="str">
        <x:f>IF(D5485="","",IF(AND(ISNUMBER(SEARCH("平",D5485)),OR(ISNUMBER(SEARCH("上",D5485)),ISNUMBER(SEARCH("去",D5485)),ISNUMBER(SEARCH("入",D5485)))),"Ambiguous",IF(ISNUMBER(SEARCH("平",D5485)),"平","仄")))</x:f>
        <x:v>仄</x:v>
      </x:c>
      <x:c r="L5485" s="7" t="str">
        <x:v>Pingshui main list, Lu Qinli gap fill</x:v>
      </x:c>
    </x:row>
    <x:row r="5486">
      <x:c r="A5486" s="5" t="str">
        <x:v>泓</x:v>
      </x:c>
      <x:c r="B5486" s="6" t="str">
        <x:v>平</x:v>
      </x:c>
      <x:c r="C5486" s="6" t="str">
        <x:f>IF(B5486="","Needs decision","Ready")</x:f>
        <x:v>Ready</x:v>
      </x:c>
      <x:c r="D5486" s="6" t="str">
        <x:v>平</x:v>
      </x:c>
      <x:c r="E5486" s="6" t="str"/>
      <x:c r="F5486" s="6" t="str">
        <x:v>下平聲八庚</x:v>
      </x:c>
      <x:c r="G5486" s="6" t="str">
        <x:v>Pingshui main list, Wikisource-derived DOCX</x:v>
      </x:c>
      <x:c r="H5486" s="6" t="str"/>
      <x:c r="I5486" s="6" t="str">
        <x:v>Lu Qinli gap fill from Pingshui main list; 詞 entries ignored</x:v>
      </x:c>
      <x:c r="J5486" s="6" t="str">
        <x:f>IF(B5486="","",IF(AND(ISNUMBER(SEARCH("平",B5486)),OR(ISNUMBER(SEARCH("上",B5486)),ISNUMBER(SEARCH("去",B5486)),ISNUMBER(SEARCH("入",B5486)))),"Ambiguous",IF(ISNUMBER(SEARCH("平",B5486)),"平","仄")))</x:f>
        <x:v>平</x:v>
      </x:c>
      <x:c r="K5486" s="6" t="str">
        <x:f>IF(D5486="","",IF(AND(ISNUMBER(SEARCH("平",D5486)),OR(ISNUMBER(SEARCH("上",D5486)),ISNUMBER(SEARCH("去",D5486)),ISNUMBER(SEARCH("入",D5486)))),"Ambiguous",IF(ISNUMBER(SEARCH("平",D5486)),"平","仄")))</x:f>
        <x:v>平</x:v>
      </x:c>
      <x:c r="L5486" s="7" t="str">
        <x:v>Pingshui main list, Lu Qinli gap fill</x:v>
      </x:c>
    </x:row>
    <x:row r="5487">
      <x:c r="A5487" s="5" t="str">
        <x:v>泡</x:v>
      </x:c>
      <x:c r="B5487" s="6" t="str">
        <x:v>平</x:v>
      </x:c>
      <x:c r="C5487" s="6" t="str">
        <x:f>IF(B5487="","Needs decision","Ready")</x:f>
        <x:v>Ready</x:v>
      </x:c>
      <x:c r="D5487" s="6" t="str">
        <x:v>平</x:v>
      </x:c>
      <x:c r="E5487" s="6" t="str"/>
      <x:c r="F5487" s="6" t="str">
        <x:v>下平聲三肴</x:v>
      </x:c>
      <x:c r="G5487" s="6" t="str">
        <x:v>Pingshui main list, Wikisource-derived DOCX</x:v>
      </x:c>
      <x:c r="H5487" s="6" t="str"/>
      <x:c r="I5487" s="6" t="str">
        <x:v>Lu Qinli gap fill from Pingshui main list; 詞 entries ignored</x:v>
      </x:c>
      <x:c r="J5487" s="6" t="str">
        <x:f>IF(B5487="","",IF(AND(ISNUMBER(SEARCH("平",B5487)),OR(ISNUMBER(SEARCH("上",B5487)),ISNUMBER(SEARCH("去",B5487)),ISNUMBER(SEARCH("入",B5487)))),"Ambiguous",IF(ISNUMBER(SEARCH("平",B5487)),"平","仄")))</x:f>
        <x:v>平</x:v>
      </x:c>
      <x:c r="K5487" s="6" t="str">
        <x:f>IF(D5487="","",IF(AND(ISNUMBER(SEARCH("平",D5487)),OR(ISNUMBER(SEARCH("上",D5487)),ISNUMBER(SEARCH("去",D5487)),ISNUMBER(SEARCH("入",D5487)))),"Ambiguous",IF(ISNUMBER(SEARCH("平",D5487)),"平","仄")))</x:f>
        <x:v>平</x:v>
      </x:c>
      <x:c r="L5487" s="7" t="str">
        <x:v>Pingshui main list, Lu Qinli gap fill</x:v>
      </x:c>
    </x:row>
    <x:row r="5488">
      <x:c r="A5488" s="5" t="str">
        <x:v>泫</x:v>
      </x:c>
      <x:c r="B5488" s="6" t="str">
        <x:v>上</x:v>
      </x:c>
      <x:c r="C5488" s="6" t="str">
        <x:f>IF(B5488="","Needs decision","Ready")</x:f>
        <x:v>Ready</x:v>
      </x:c>
      <x:c r="D5488" s="6" t="str">
        <x:v>上</x:v>
      </x:c>
      <x:c r="E5488" s="6" t="str"/>
      <x:c r="F5488" s="6" t="str">
        <x:v>上聲十六銑</x:v>
      </x:c>
      <x:c r="G5488" s="6" t="str">
        <x:v>Pingshui main list, Wikisource-derived DOCX</x:v>
      </x:c>
      <x:c r="H5488" s="6" t="str"/>
      <x:c r="I5488" s="6" t="str">
        <x:v>Lu Qinli gap fill from Pingshui main list; 詞 entries ignored</x:v>
      </x:c>
      <x:c r="J5488" s="6" t="str">
        <x:f>IF(B5488="","",IF(AND(ISNUMBER(SEARCH("平",B5488)),OR(ISNUMBER(SEARCH("上",B5488)),ISNUMBER(SEARCH("去",B5488)),ISNUMBER(SEARCH("入",B5488)))),"Ambiguous",IF(ISNUMBER(SEARCH("平",B5488)),"平","仄")))</x:f>
        <x:v>仄</x:v>
      </x:c>
      <x:c r="K5488" s="6" t="str">
        <x:f>IF(D5488="","",IF(AND(ISNUMBER(SEARCH("平",D5488)),OR(ISNUMBER(SEARCH("上",D5488)),ISNUMBER(SEARCH("去",D5488)),ISNUMBER(SEARCH("入",D5488)))),"Ambiguous",IF(ISNUMBER(SEARCH("平",D5488)),"平","仄")))</x:f>
        <x:v>仄</x:v>
      </x:c>
      <x:c r="L5488" s="7" t="str">
        <x:v>Pingshui main list, Lu Qinli gap fill</x:v>
      </x:c>
    </x:row>
    <x:row r="5489">
      <x:c r="A5489" s="5" t="str">
        <x:v>泬</x:v>
      </x:c>
      <x:c r="B5489" s="6" t="str">
        <x:v>入</x:v>
      </x:c>
      <x:c r="C5489" s="6" t="str">
        <x:f>IF(B5489="","Needs decision","Ready")</x:f>
        <x:v>Ready</x:v>
      </x:c>
      <x:c r="D5489" s="6" t="str">
        <x:v>入</x:v>
      </x:c>
      <x:c r="E5489" s="6" t="str"/>
      <x:c r="F5489" s="6" t="str">
        <x:v>入聲九屑</x:v>
      </x:c>
      <x:c r="G5489" s="6" t="str">
        <x:v>Pingshui main list, Wikisource-derived DOCX</x:v>
      </x:c>
      <x:c r="H5489" s="6" t="str"/>
      <x:c r="I5489" s="6" t="str">
        <x:v>Lu Qinli gap fill from Pingshui main list; 詞 entries ignored</x:v>
      </x:c>
      <x:c r="J5489" s="6" t="str">
        <x:f>IF(B5489="","",IF(AND(ISNUMBER(SEARCH("平",B5489)),OR(ISNUMBER(SEARCH("上",B5489)),ISNUMBER(SEARCH("去",B5489)),ISNUMBER(SEARCH("入",B5489)))),"Ambiguous",IF(ISNUMBER(SEARCH("平",B5489)),"平","仄")))</x:f>
        <x:v>仄</x:v>
      </x:c>
      <x:c r="K5489" s="6" t="str">
        <x:f>IF(D5489="","",IF(AND(ISNUMBER(SEARCH("平",D5489)),OR(ISNUMBER(SEARCH("上",D5489)),ISNUMBER(SEARCH("去",D5489)),ISNUMBER(SEARCH("入",D5489)))),"Ambiguous",IF(ISNUMBER(SEARCH("平",D5489)),"平","仄")))</x:f>
        <x:v>仄</x:v>
      </x:c>
      <x:c r="L5489" s="7" t="str">
        <x:v>Pingshui main list, Lu Qinli gap fill</x:v>
      </x:c>
    </x:row>
    <x:row r="5490">
      <x:c r="A5490" s="5" t="str">
        <x:v>泮</x:v>
      </x:c>
      <x:c r="B5490" s="6" t="str">
        <x:v>去</x:v>
      </x:c>
      <x:c r="C5490" s="6" t="str">
        <x:f>IF(B5490="","Needs decision","Ready")</x:f>
        <x:v>Ready</x:v>
      </x:c>
      <x:c r="D5490" s="6" t="str">
        <x:v>去</x:v>
      </x:c>
      <x:c r="E5490" s="6" t="str"/>
      <x:c r="F5490" s="6" t="str">
        <x:v>去聲十五翰</x:v>
      </x:c>
      <x:c r="G5490" s="6" t="str">
        <x:v>Pingshui main list, Wikisource-derived DOCX</x:v>
      </x:c>
      <x:c r="H5490" s="6" t="str"/>
      <x:c r="I5490" s="6" t="str">
        <x:v>Lu Qinli gap fill from Pingshui main list; 詞 entries ignored</x:v>
      </x:c>
      <x:c r="J5490" s="6" t="str">
        <x:f>IF(B5490="","",IF(AND(ISNUMBER(SEARCH("平",B5490)),OR(ISNUMBER(SEARCH("上",B5490)),ISNUMBER(SEARCH("去",B5490)),ISNUMBER(SEARCH("入",B5490)))),"Ambiguous",IF(ISNUMBER(SEARCH("平",B5490)),"平","仄")))</x:f>
        <x:v>仄</x:v>
      </x:c>
      <x:c r="K5490" s="6" t="str">
        <x:f>IF(D5490="","",IF(AND(ISNUMBER(SEARCH("平",D5490)),OR(ISNUMBER(SEARCH("上",D5490)),ISNUMBER(SEARCH("去",D5490)),ISNUMBER(SEARCH("入",D5490)))),"Ambiguous",IF(ISNUMBER(SEARCH("平",D5490)),"平","仄")))</x:f>
        <x:v>仄</x:v>
      </x:c>
      <x:c r="L5490" s="7" t="str">
        <x:v>Pingshui main list, Lu Qinli gap fill</x:v>
      </x:c>
    </x:row>
    <x:row r="5491">
      <x:c r="A5491" s="5" t="str">
        <x:v>泱</x:v>
      </x:c>
      <x:c r="B5491" s="6" t="str"/>
      <x:c r="C5491" s="6" t="str">
        <x:f>IF(B5491="","Needs decision","Ready")</x:f>
        <x:v>Needs decision</x:v>
      </x:c>
      <x:c r="D5491" s="6" t="str">
        <x:v>平/上</x:v>
      </x:c>
      <x:c r="E5491" s="6" t="str"/>
      <x:c r="F5491" s="6" t="str">
        <x:v>下平聲七陽; 上聲二十二養</x:v>
      </x:c>
      <x:c r="G5491" s="6" t="str">
        <x:v>Pingshui main list, Wikisource-derived DOCX</x:v>
      </x:c>
      <x:c r="H5491" s="6" t="str"/>
      <x:c r="I5491" s="6" t="str">
        <x:v>Lu Qinli gap fill from Pingshui main list; 詞 entries ignored</x:v>
      </x:c>
      <x:c r="J5491" s="6" t="str">
        <x:f>IF(B5491="","",IF(AND(ISNUMBER(SEARCH("平",B5491)),OR(ISNUMBER(SEARCH("上",B5491)),ISNUMBER(SEARCH("去",B5491)),ISNUMBER(SEARCH("入",B5491)))),"Ambiguous",IF(ISNUMBER(SEARCH("平",B5491)),"平","仄")))</x:f>
      </x:c>
      <x:c r="K5491" s="6" t="str">
        <x:f>IF(D5491="","",IF(AND(ISNUMBER(SEARCH("平",D5491)),OR(ISNUMBER(SEARCH("上",D5491)),ISNUMBER(SEARCH("去",D5491)),ISNUMBER(SEARCH("入",D5491)))),"Ambiguous",IF(ISNUMBER(SEARCH("平",D5491)),"平","仄")))</x:f>
        <x:v>Ambiguous</x:v>
      </x:c>
      <x:c r="L5491" s="7" t="str">
        <x:v>Pingshui main list, Lu Qinli gap fill</x:v>
      </x:c>
    </x:row>
    <x:row r="5492">
      <x:c r="A5492" s="5" t="str">
        <x:v>洎</x:v>
      </x:c>
      <x:c r="B5492" s="6" t="str">
        <x:v>去</x:v>
      </x:c>
      <x:c r="C5492" s="6" t="str">
        <x:f>IF(B5492="","Needs decision","Ready")</x:f>
        <x:v>Ready</x:v>
      </x:c>
      <x:c r="D5492" s="6" t="str">
        <x:v>去</x:v>
      </x:c>
      <x:c r="E5492" s="6" t="str"/>
      <x:c r="F5492" s="6" t="str">
        <x:v>去聲四寘</x:v>
      </x:c>
      <x:c r="G5492" s="6" t="str">
        <x:v>Pingshui main list, Wikisource-derived DOCX</x:v>
      </x:c>
      <x:c r="H5492" s="6" t="str"/>
      <x:c r="I5492" s="6" t="str">
        <x:v>Lu Qinli gap fill from Pingshui main list; 詞 entries ignored</x:v>
      </x:c>
      <x:c r="J5492" s="6" t="str">
        <x:f>IF(B5492="","",IF(AND(ISNUMBER(SEARCH("平",B5492)),OR(ISNUMBER(SEARCH("上",B5492)),ISNUMBER(SEARCH("去",B5492)),ISNUMBER(SEARCH("入",B5492)))),"Ambiguous",IF(ISNUMBER(SEARCH("平",B5492)),"平","仄")))</x:f>
        <x:v>仄</x:v>
      </x:c>
      <x:c r="K5492" s="6" t="str">
        <x:f>IF(D5492="","",IF(AND(ISNUMBER(SEARCH("平",D5492)),OR(ISNUMBER(SEARCH("上",D5492)),ISNUMBER(SEARCH("去",D5492)),ISNUMBER(SEARCH("入",D5492)))),"Ambiguous",IF(ISNUMBER(SEARCH("平",D5492)),"平","仄")))</x:f>
        <x:v>仄</x:v>
      </x:c>
      <x:c r="L5492" s="7" t="str">
        <x:v>Pingshui main list, Lu Qinli gap fill</x:v>
      </x:c>
    </x:row>
    <x:row r="5493">
      <x:c r="A5493" s="5" t="str">
        <x:v>洏</x:v>
      </x:c>
      <x:c r="B5493" s="6" t="str">
        <x:v>平</x:v>
      </x:c>
      <x:c r="C5493" s="6" t="str">
        <x:f>IF(B5493="","Needs decision","Ready")</x:f>
        <x:v>Ready</x:v>
      </x:c>
      <x:c r="D5493" s="6" t="str">
        <x:v>平</x:v>
      </x:c>
      <x:c r="E5493" s="6" t="str"/>
      <x:c r="F5493" s="6" t="str">
        <x:v>上平聲四支</x:v>
      </x:c>
      <x:c r="G5493" s="6" t="str">
        <x:v>Pingshui main list, Wikisource-derived DOCX</x:v>
      </x:c>
      <x:c r="H5493" s="6" t="str"/>
      <x:c r="I5493" s="6" t="str">
        <x:v>Lu Qinli gap fill from Pingshui main list; 詞 entries ignored</x:v>
      </x:c>
      <x:c r="J5493" s="6" t="str">
        <x:f>IF(B5493="","",IF(AND(ISNUMBER(SEARCH("平",B5493)),OR(ISNUMBER(SEARCH("上",B5493)),ISNUMBER(SEARCH("去",B5493)),ISNUMBER(SEARCH("入",B5493)))),"Ambiguous",IF(ISNUMBER(SEARCH("平",B5493)),"平","仄")))</x:f>
        <x:v>平</x:v>
      </x:c>
      <x:c r="K5493" s="6" t="str">
        <x:f>IF(D5493="","",IF(AND(ISNUMBER(SEARCH("平",D5493)),OR(ISNUMBER(SEARCH("上",D5493)),ISNUMBER(SEARCH("去",D5493)),ISNUMBER(SEARCH("入",D5493)))),"Ambiguous",IF(ISNUMBER(SEARCH("平",D5493)),"平","仄")))</x:f>
        <x:v>平</x:v>
      </x:c>
      <x:c r="L5493" s="7" t="str">
        <x:v>Pingshui main list, Lu Qinli gap fill</x:v>
      </x:c>
    </x:row>
    <x:row r="5494">
      <x:c r="A5494" s="5" t="str">
        <x:v>洑</x:v>
      </x:c>
      <x:c r="B5494" s="6" t="str">
        <x:v>入</x:v>
      </x:c>
      <x:c r="C5494" s="6" t="str">
        <x:f>IF(B5494="","Needs decision","Ready")</x:f>
        <x:v>Ready</x:v>
      </x:c>
      <x:c r="D5494" s="6" t="str">
        <x:v>入</x:v>
      </x:c>
      <x:c r="E5494" s="6" t="str"/>
      <x:c r="F5494" s="6" t="str">
        <x:v>入聲一屋</x:v>
      </x:c>
      <x:c r="G5494" s="6" t="str">
        <x:v>Pingshui main list, Wikisource-derived DOCX</x:v>
      </x:c>
      <x:c r="H5494" s="6" t="str"/>
      <x:c r="I5494" s="6" t="str">
        <x:v>Lu Qinli gap fill from Pingshui main list; 詞 entries ignored</x:v>
      </x:c>
      <x:c r="J5494" s="6" t="str">
        <x:f>IF(B5494="","",IF(AND(ISNUMBER(SEARCH("平",B5494)),OR(ISNUMBER(SEARCH("上",B5494)),ISNUMBER(SEARCH("去",B5494)),ISNUMBER(SEARCH("入",B5494)))),"Ambiguous",IF(ISNUMBER(SEARCH("平",B5494)),"平","仄")))</x:f>
        <x:v>仄</x:v>
      </x:c>
      <x:c r="K5494" s="6" t="str">
        <x:f>IF(D5494="","",IF(AND(ISNUMBER(SEARCH("平",D5494)),OR(ISNUMBER(SEARCH("上",D5494)),ISNUMBER(SEARCH("去",D5494)),ISNUMBER(SEARCH("入",D5494)))),"Ambiguous",IF(ISNUMBER(SEARCH("平",D5494)),"平","仄")))</x:f>
        <x:v>仄</x:v>
      </x:c>
      <x:c r="L5494" s="7" t="str">
        <x:v>Pingshui main list, Lu Qinli gap fill</x:v>
      </x:c>
    </x:row>
    <x:row r="5495">
      <x:c r="A5495" s="5" t="str">
        <x:v>洙</x:v>
      </x:c>
      <x:c r="B5495" s="6" t="str">
        <x:v>平</x:v>
      </x:c>
      <x:c r="C5495" s="6" t="str">
        <x:f>IF(B5495="","Needs decision","Ready")</x:f>
        <x:v>Ready</x:v>
      </x:c>
      <x:c r="D5495" s="6" t="str">
        <x:v>平</x:v>
      </x:c>
      <x:c r="E5495" s="6" t="str"/>
      <x:c r="F5495" s="6" t="str">
        <x:v>上平聲七虞</x:v>
      </x:c>
      <x:c r="G5495" s="6" t="str">
        <x:v>Pingshui main list, Wikisource-derived DOCX</x:v>
      </x:c>
      <x:c r="H5495" s="6" t="str"/>
      <x:c r="I5495" s="6" t="str">
        <x:v>Lu Qinli gap fill from Pingshui main list; 詞 entries ignored</x:v>
      </x:c>
      <x:c r="J5495" s="6" t="str">
        <x:f>IF(B5495="","",IF(AND(ISNUMBER(SEARCH("平",B5495)),OR(ISNUMBER(SEARCH("上",B5495)),ISNUMBER(SEARCH("去",B5495)),ISNUMBER(SEARCH("入",B5495)))),"Ambiguous",IF(ISNUMBER(SEARCH("平",B5495)),"平","仄")))</x:f>
        <x:v>平</x:v>
      </x:c>
      <x:c r="K5495" s="6" t="str">
        <x:f>IF(D5495="","",IF(AND(ISNUMBER(SEARCH("平",D5495)),OR(ISNUMBER(SEARCH("上",D5495)),ISNUMBER(SEARCH("去",D5495)),ISNUMBER(SEARCH("入",D5495)))),"Ambiguous",IF(ISNUMBER(SEARCH("平",D5495)),"平","仄")))</x:f>
        <x:v>平</x:v>
      </x:c>
      <x:c r="L5495" s="7" t="str">
        <x:v>Pingshui main list, Lu Qinli gap fill</x:v>
      </x:c>
    </x:row>
    <x:row r="5496">
      <x:c r="A5496" s="5" t="str">
        <x:v>浙</x:v>
      </x:c>
      <x:c r="B5496" s="6" t="str">
        <x:v>入</x:v>
      </x:c>
      <x:c r="C5496" s="6" t="str">
        <x:f>IF(B5496="","Needs decision","Ready")</x:f>
        <x:v>Ready</x:v>
      </x:c>
      <x:c r="D5496" s="6" t="str">
        <x:v>入</x:v>
      </x:c>
      <x:c r="E5496" s="6" t="str"/>
      <x:c r="F5496" s="6" t="str">
        <x:v>入聲九屑</x:v>
      </x:c>
      <x:c r="G5496" s="6" t="str">
        <x:v>Pingshui main list, Wikisource-derived DOCX</x:v>
      </x:c>
      <x:c r="H5496" s="6" t="str"/>
      <x:c r="I5496" s="6" t="str">
        <x:v>Lu Qinli gap fill from Pingshui main list; 詞 entries ignored</x:v>
      </x:c>
      <x:c r="J5496" s="6" t="str">
        <x:f>IF(B5496="","",IF(AND(ISNUMBER(SEARCH("平",B5496)),OR(ISNUMBER(SEARCH("上",B5496)),ISNUMBER(SEARCH("去",B5496)),ISNUMBER(SEARCH("入",B5496)))),"Ambiguous",IF(ISNUMBER(SEARCH("平",B5496)),"平","仄")))</x:f>
        <x:v>仄</x:v>
      </x:c>
      <x:c r="K5496" s="6" t="str">
        <x:f>IF(D5496="","",IF(AND(ISNUMBER(SEARCH("平",D5496)),OR(ISNUMBER(SEARCH("上",D5496)),ISNUMBER(SEARCH("去",D5496)),ISNUMBER(SEARCH("入",D5496)))),"Ambiguous",IF(ISNUMBER(SEARCH("平",D5496)),"平","仄")))</x:f>
        <x:v>仄</x:v>
      </x:c>
      <x:c r="L5496" s="7" t="str">
        <x:v>Pingshui main list, Lu Qinli gap fill</x:v>
      </x:c>
    </x:row>
    <x:row r="5497">
      <x:c r="A5497" s="5" t="str">
        <x:v>浚</x:v>
      </x:c>
      <x:c r="B5497" s="6" t="str">
        <x:v>去</x:v>
      </x:c>
      <x:c r="C5497" s="6" t="str">
        <x:f>IF(B5497="","Needs decision","Ready")</x:f>
        <x:v>Ready</x:v>
      </x:c>
      <x:c r="D5497" s="6" t="str">
        <x:v>去</x:v>
      </x:c>
      <x:c r="E5497" s="6" t="str"/>
      <x:c r="F5497" s="6" t="str">
        <x:v>去聲十二震</x:v>
      </x:c>
      <x:c r="G5497" s="6" t="str">
        <x:v>Pingshui main list, Wikisource-derived DOCX</x:v>
      </x:c>
      <x:c r="H5497" s="6" t="str"/>
      <x:c r="I5497" s="6" t="str">
        <x:v>Lu Qinli gap fill from Pingshui main list; 詞 entries ignored</x:v>
      </x:c>
      <x:c r="J5497" s="6" t="str">
        <x:f>IF(B5497="","",IF(AND(ISNUMBER(SEARCH("平",B5497)),OR(ISNUMBER(SEARCH("上",B5497)),ISNUMBER(SEARCH("去",B5497)),ISNUMBER(SEARCH("入",B5497)))),"Ambiguous",IF(ISNUMBER(SEARCH("平",B5497)),"平","仄")))</x:f>
        <x:v>仄</x:v>
      </x:c>
      <x:c r="K5497" s="6" t="str">
        <x:f>IF(D5497="","",IF(AND(ISNUMBER(SEARCH("平",D5497)),OR(ISNUMBER(SEARCH("上",D5497)),ISNUMBER(SEARCH("去",D5497)),ISNUMBER(SEARCH("入",D5497)))),"Ambiguous",IF(ISNUMBER(SEARCH("平",D5497)),"平","仄")))</x:f>
        <x:v>仄</x:v>
      </x:c>
      <x:c r="L5497" s="7" t="str">
        <x:v>Pingshui main list, Lu Qinli gap fill</x:v>
      </x:c>
    </x:row>
    <x:row r="5498">
      <x:c r="A5498" s="5" t="str">
        <x:v>浞</x:v>
      </x:c>
      <x:c r="B5498" s="6" t="str">
        <x:v>入</x:v>
      </x:c>
      <x:c r="C5498" s="6" t="str">
        <x:f>IF(B5498="","Needs decision","Ready")</x:f>
        <x:v>Ready</x:v>
      </x:c>
      <x:c r="D5498" s="6" t="str">
        <x:v>入</x:v>
      </x:c>
      <x:c r="E5498" s="6" t="str"/>
      <x:c r="F5498" s="6" t="str">
        <x:v>入聲三覺</x:v>
      </x:c>
      <x:c r="G5498" s="6" t="str">
        <x:v>Pingshui main list, Wikisource-derived DOCX</x:v>
      </x:c>
      <x:c r="H5498" s="6" t="str"/>
      <x:c r="I5498" s="6" t="str">
        <x:v>Lu Qinli gap fill from Pingshui main list; 詞 entries ignored</x:v>
      </x:c>
      <x:c r="J5498" s="6" t="str">
        <x:f>IF(B5498="","",IF(AND(ISNUMBER(SEARCH("平",B5498)),OR(ISNUMBER(SEARCH("上",B5498)),ISNUMBER(SEARCH("去",B5498)),ISNUMBER(SEARCH("入",B5498)))),"Ambiguous",IF(ISNUMBER(SEARCH("平",B5498)),"平","仄")))</x:f>
        <x:v>仄</x:v>
      </x:c>
      <x:c r="K5498" s="6" t="str">
        <x:f>IF(D5498="","",IF(AND(ISNUMBER(SEARCH("平",D5498)),OR(ISNUMBER(SEARCH("上",D5498)),ISNUMBER(SEARCH("去",D5498)),ISNUMBER(SEARCH("入",D5498)))),"Ambiguous",IF(ISNUMBER(SEARCH("平",D5498)),"平","仄")))</x:f>
        <x:v>仄</x:v>
      </x:c>
      <x:c r="L5498" s="7" t="str">
        <x:v>Pingshui main list, Lu Qinli gap fill</x:v>
      </x:c>
    </x:row>
    <x:row r="5499">
      <x:c r="A5499" s="5" t="str">
        <x:v>浟</x:v>
      </x:c>
      <x:c r="B5499" s="6" t="str">
        <x:v>平</x:v>
      </x:c>
      <x:c r="C5499" s="6" t="str">
        <x:f>IF(B5499="","Needs decision","Ready")</x:f>
        <x:v>Ready</x:v>
      </x:c>
      <x:c r="D5499" s="6" t="str">
        <x:v>平</x:v>
      </x:c>
      <x:c r="E5499" s="6" t="str"/>
      <x:c r="F5499" s="6" t="str">
        <x:v>下平聲十一尤</x:v>
      </x:c>
      <x:c r="G5499" s="6" t="str">
        <x:v>Pingshui main list, Wikisource-derived DOCX</x:v>
      </x:c>
      <x:c r="H5499" s="6" t="str"/>
      <x:c r="I5499" s="6" t="str">
        <x:v>Lu Qinli gap fill from Pingshui main list; 詞 entries ignored</x:v>
      </x:c>
      <x:c r="J5499" s="6" t="str">
        <x:f>IF(B5499="","",IF(AND(ISNUMBER(SEARCH("平",B5499)),OR(ISNUMBER(SEARCH("上",B5499)),ISNUMBER(SEARCH("去",B5499)),ISNUMBER(SEARCH("入",B5499)))),"Ambiguous",IF(ISNUMBER(SEARCH("平",B5499)),"平","仄")))</x:f>
        <x:v>平</x:v>
      </x:c>
      <x:c r="K5499" s="6" t="str">
        <x:f>IF(D5499="","",IF(AND(ISNUMBER(SEARCH("平",D5499)),OR(ISNUMBER(SEARCH("上",D5499)),ISNUMBER(SEARCH("去",D5499)),ISNUMBER(SEARCH("入",D5499)))),"Ambiguous",IF(ISNUMBER(SEARCH("平",D5499)),"平","仄")))</x:f>
        <x:v>平</x:v>
      </x:c>
      <x:c r="L5499" s="7" t="str">
        <x:v>Pingshui main list, Lu Qinli gap fill</x:v>
      </x:c>
    </x:row>
    <x:row r="5500">
      <x:c r="A5500" s="5" t="str">
        <x:v>浹</x:v>
      </x:c>
      <x:c r="B5500" s="6" t="str">
        <x:v>入</x:v>
      </x:c>
      <x:c r="C5500" s="6" t="str">
        <x:f>IF(B5500="","Needs decision","Ready")</x:f>
        <x:v>Ready</x:v>
      </x:c>
      <x:c r="D5500" s="6" t="str">
        <x:v>入</x:v>
      </x:c>
      <x:c r="E5500" s="6" t="str"/>
      <x:c r="F5500" s="6" t="str">
        <x:v>入聲十六葉</x:v>
      </x:c>
      <x:c r="G5500" s="6" t="str">
        <x:v>Pingshui main list, Wikisource-derived DOCX</x:v>
      </x:c>
      <x:c r="H5500" s="6" t="str"/>
      <x:c r="I5500" s="6" t="str">
        <x:v>Lu Qinli gap fill from Pingshui main list; 詞 entries ignored</x:v>
      </x:c>
      <x:c r="J5500" s="6" t="str">
        <x:f>IF(B5500="","",IF(AND(ISNUMBER(SEARCH("平",B5500)),OR(ISNUMBER(SEARCH("上",B5500)),ISNUMBER(SEARCH("去",B5500)),ISNUMBER(SEARCH("入",B5500)))),"Ambiguous",IF(ISNUMBER(SEARCH("平",B5500)),"平","仄")))</x:f>
        <x:v>仄</x:v>
      </x:c>
      <x:c r="K5500" s="6" t="str">
        <x:f>IF(D5500="","",IF(AND(ISNUMBER(SEARCH("平",D5500)),OR(ISNUMBER(SEARCH("上",D5500)),ISNUMBER(SEARCH("去",D5500)),ISNUMBER(SEARCH("入",D5500)))),"Ambiguous",IF(ISNUMBER(SEARCH("平",D5500)),"平","仄")))</x:f>
        <x:v>仄</x:v>
      </x:c>
      <x:c r="L5500" s="7" t="str">
        <x:v>Pingshui main list, Lu Qinli gap fill</x:v>
      </x:c>
    </x:row>
    <x:row r="5501">
      <x:c r="A5501" s="5" t="str">
        <x:v>涇</x:v>
      </x:c>
      <x:c r="B5501" s="6" t="str">
        <x:v>平</x:v>
      </x:c>
      <x:c r="C5501" s="6" t="str">
        <x:f>IF(B5501="","Needs decision","Ready")</x:f>
        <x:v>Ready</x:v>
      </x:c>
      <x:c r="D5501" s="6" t="str">
        <x:v>平</x:v>
      </x:c>
      <x:c r="E5501" s="6" t="str"/>
      <x:c r="F5501" s="6" t="str">
        <x:v>下平聲九青</x:v>
      </x:c>
      <x:c r="G5501" s="6" t="str">
        <x:v>Pingshui main list, Wikisource-derived DOCX</x:v>
      </x:c>
      <x:c r="H5501" s="6" t="str"/>
      <x:c r="I5501" s="6" t="str">
        <x:v>Lu Qinli gap fill from Pingshui main list; 詞 entries ignored</x:v>
      </x:c>
      <x:c r="J5501" s="6" t="str">
        <x:f>IF(B5501="","",IF(AND(ISNUMBER(SEARCH("平",B5501)),OR(ISNUMBER(SEARCH("上",B5501)),ISNUMBER(SEARCH("去",B5501)),ISNUMBER(SEARCH("入",B5501)))),"Ambiguous",IF(ISNUMBER(SEARCH("平",B5501)),"平","仄")))</x:f>
        <x:v>平</x:v>
      </x:c>
      <x:c r="K5501" s="6" t="str">
        <x:f>IF(D5501="","",IF(AND(ISNUMBER(SEARCH("平",D5501)),OR(ISNUMBER(SEARCH("上",D5501)),ISNUMBER(SEARCH("去",D5501)),ISNUMBER(SEARCH("入",D5501)))),"Ambiguous",IF(ISNUMBER(SEARCH("平",D5501)),"平","仄")))</x:f>
        <x:v>平</x:v>
      </x:c>
      <x:c r="L5501" s="7" t="str">
        <x:v>Pingshui main list, Lu Qinli gap fill</x:v>
      </x:c>
    </x:row>
    <x:row r="5502">
      <x:c r="A5502" s="5" t="str">
        <x:v>涉</x:v>
      </x:c>
      <x:c r="B5502" s="6" t="str">
        <x:v>入</x:v>
      </x:c>
      <x:c r="C5502" s="6" t="str">
        <x:f>IF(B5502="","Needs decision","Ready")</x:f>
        <x:v>Ready</x:v>
      </x:c>
      <x:c r="D5502" s="6" t="str">
        <x:v>入</x:v>
      </x:c>
      <x:c r="E5502" s="6" t="str"/>
      <x:c r="F5502" s="6" t="str">
        <x:v>入聲十六葉</x:v>
      </x:c>
      <x:c r="G5502" s="6" t="str">
        <x:v>Pingshui main list, Wikisource-derived DOCX</x:v>
      </x:c>
      <x:c r="H5502" s="6" t="str"/>
      <x:c r="I5502" s="6" t="str">
        <x:v>Lu Qinli gap fill from Pingshui main list; 詞 entries ignored</x:v>
      </x:c>
      <x:c r="J5502" s="6" t="str">
        <x:f>IF(B5502="","",IF(AND(ISNUMBER(SEARCH("平",B5502)),OR(ISNUMBER(SEARCH("上",B5502)),ISNUMBER(SEARCH("去",B5502)),ISNUMBER(SEARCH("入",B5502)))),"Ambiguous",IF(ISNUMBER(SEARCH("平",B5502)),"平","仄")))</x:f>
        <x:v>仄</x:v>
      </x:c>
      <x:c r="K5502" s="6" t="str">
        <x:f>IF(D5502="","",IF(AND(ISNUMBER(SEARCH("平",D5502)),OR(ISNUMBER(SEARCH("上",D5502)),ISNUMBER(SEARCH("去",D5502)),ISNUMBER(SEARCH("入",D5502)))),"Ambiguous",IF(ISNUMBER(SEARCH("平",D5502)),"平","仄")))</x:f>
        <x:v>仄</x:v>
      </x:c>
      <x:c r="L5502" s="7" t="str">
        <x:v>Pingshui main list, Lu Qinli gap fill</x:v>
      </x:c>
    </x:row>
    <x:row r="5503">
      <x:c r="A5503" s="5" t="str">
        <x:v>涎</x:v>
      </x:c>
      <x:c r="B5503" s="6" t="str">
        <x:v>平</x:v>
      </x:c>
      <x:c r="C5503" s="6" t="str">
        <x:f>IF(B5503="","Needs decision","Ready")</x:f>
        <x:v>Ready</x:v>
      </x:c>
      <x:c r="D5503" s="6" t="str">
        <x:v>平</x:v>
      </x:c>
      <x:c r="E5503" s="6" t="str"/>
      <x:c r="F5503" s="6" t="str">
        <x:v>下平聲一先</x:v>
      </x:c>
      <x:c r="G5503" s="6" t="str">
        <x:v>Pingshui main list, Wikisource-derived DOCX</x:v>
      </x:c>
      <x:c r="H5503" s="6" t="str"/>
      <x:c r="I5503" s="6" t="str">
        <x:v>Lu Qinli gap fill from Pingshui main list; 詞 entries ignored</x:v>
      </x:c>
      <x:c r="J5503" s="6" t="str">
        <x:f>IF(B5503="","",IF(AND(ISNUMBER(SEARCH("平",B5503)),OR(ISNUMBER(SEARCH("上",B5503)),ISNUMBER(SEARCH("去",B5503)),ISNUMBER(SEARCH("入",B5503)))),"Ambiguous",IF(ISNUMBER(SEARCH("平",B5503)),"平","仄")))</x:f>
        <x:v>平</x:v>
      </x:c>
      <x:c r="K5503" s="6" t="str">
        <x:f>IF(D5503="","",IF(AND(ISNUMBER(SEARCH("平",D5503)),OR(ISNUMBER(SEARCH("上",D5503)),ISNUMBER(SEARCH("去",D5503)),ISNUMBER(SEARCH("入",D5503)))),"Ambiguous",IF(ISNUMBER(SEARCH("平",D5503)),"平","仄")))</x:f>
        <x:v>平</x:v>
      </x:c>
      <x:c r="L5503" s="7" t="str">
        <x:v>Pingshui main list, Lu Qinli gap fill</x:v>
      </x:c>
    </x:row>
    <x:row r="5504">
      <x:c r="A5504" s="5" t="str">
        <x:v>涔</x:v>
      </x:c>
      <x:c r="B5504" s="6" t="str">
        <x:v>平</x:v>
      </x:c>
      <x:c r="C5504" s="6" t="str">
        <x:f>IF(B5504="","Needs decision","Ready")</x:f>
        <x:v>Ready</x:v>
      </x:c>
      <x:c r="D5504" s="6" t="str">
        <x:v>平</x:v>
      </x:c>
      <x:c r="E5504" s="6" t="str"/>
      <x:c r="F5504" s="6" t="str">
        <x:v>下平聲十二侵</x:v>
      </x:c>
      <x:c r="G5504" s="6" t="str">
        <x:v>Pingshui main list, Wikisource-derived DOCX</x:v>
      </x:c>
      <x:c r="H5504" s="6" t="str"/>
      <x:c r="I5504" s="6" t="str">
        <x:v>Lu Qinli gap fill from Pingshui main list; 詞 entries ignored</x:v>
      </x:c>
      <x:c r="J5504" s="6" t="str">
        <x:f>IF(B5504="","",IF(AND(ISNUMBER(SEARCH("平",B5504)),OR(ISNUMBER(SEARCH("上",B5504)),ISNUMBER(SEARCH("去",B5504)),ISNUMBER(SEARCH("入",B5504)))),"Ambiguous",IF(ISNUMBER(SEARCH("平",B5504)),"平","仄")))</x:f>
        <x:v>平</x:v>
      </x:c>
      <x:c r="K5504" s="6" t="str">
        <x:f>IF(D5504="","",IF(AND(ISNUMBER(SEARCH("平",D5504)),OR(ISNUMBER(SEARCH("上",D5504)),ISNUMBER(SEARCH("去",D5504)),ISNUMBER(SEARCH("入",D5504)))),"Ambiguous",IF(ISNUMBER(SEARCH("平",D5504)),"平","仄")))</x:f>
        <x:v>平</x:v>
      </x:c>
      <x:c r="L5504" s="7" t="str">
        <x:v>Pingshui main list, Lu Qinli gap fill</x:v>
      </x:c>
    </x:row>
    <x:row r="5505">
      <x:c r="A5505" s="5" t="str">
        <x:v>涘</x:v>
      </x:c>
      <x:c r="B5505" s="6" t="str">
        <x:v>上</x:v>
      </x:c>
      <x:c r="C5505" s="6" t="str">
        <x:f>IF(B5505="","Needs decision","Ready")</x:f>
        <x:v>Ready</x:v>
      </x:c>
      <x:c r="D5505" s="6" t="str">
        <x:v>上</x:v>
      </x:c>
      <x:c r="E5505" s="6" t="str"/>
      <x:c r="F5505" s="6" t="str">
        <x:v>上聲四紙</x:v>
      </x:c>
      <x:c r="G5505" s="6" t="str">
        <x:v>Pingshui main list, Wikisource-derived DOCX</x:v>
      </x:c>
      <x:c r="H5505" s="6" t="str"/>
      <x:c r="I5505" s="6" t="str">
        <x:v>Lu Qinli gap fill from Pingshui main list; 詞 entries ignored</x:v>
      </x:c>
      <x:c r="J5505" s="6" t="str">
        <x:f>IF(B5505="","",IF(AND(ISNUMBER(SEARCH("平",B5505)),OR(ISNUMBER(SEARCH("上",B5505)),ISNUMBER(SEARCH("去",B5505)),ISNUMBER(SEARCH("入",B5505)))),"Ambiguous",IF(ISNUMBER(SEARCH("平",B5505)),"平","仄")))</x:f>
        <x:v>仄</x:v>
      </x:c>
      <x:c r="K5505" s="6" t="str">
        <x:f>IF(D5505="","",IF(AND(ISNUMBER(SEARCH("平",D5505)),OR(ISNUMBER(SEARCH("上",D5505)),ISNUMBER(SEARCH("去",D5505)),ISNUMBER(SEARCH("入",D5505)))),"Ambiguous",IF(ISNUMBER(SEARCH("平",D5505)),"平","仄")))</x:f>
        <x:v>仄</x:v>
      </x:c>
      <x:c r="L5505" s="7" t="str">
        <x:v>Pingshui main list, Lu Qinli gap fill</x:v>
      </x:c>
    </x:row>
    <x:row r="5506">
      <x:c r="A5506" s="5" t="str">
        <x:v>涸</x:v>
      </x:c>
      <x:c r="B5506" s="6" t="str"/>
      <x:c r="C5506" s="6" t="str">
        <x:f>IF(B5506="","Needs decision","Ready")</x:f>
        <x:v>Needs decision</x:v>
      </x:c>
      <x:c r="D5506" s="6" t="str">
        <x:v>去/入</x:v>
      </x:c>
      <x:c r="E5506" s="6" t="str"/>
      <x:c r="F5506" s="6" t="str">
        <x:v>去聲七遇; 入聲十藥</x:v>
      </x:c>
      <x:c r="G5506" s="6" t="str">
        <x:v>Pingshui main list, Wikisource-derived DOCX</x:v>
      </x:c>
      <x:c r="H5506" s="6" t="str"/>
      <x:c r="I5506" s="6" t="str">
        <x:v>Lu Qinli gap fill from Pingshui main list; 詞 entries ignored</x:v>
      </x:c>
      <x:c r="J5506" s="6" t="str">
        <x:f>IF(B5506="","",IF(AND(ISNUMBER(SEARCH("平",B5506)),OR(ISNUMBER(SEARCH("上",B5506)),ISNUMBER(SEARCH("去",B5506)),ISNUMBER(SEARCH("入",B5506)))),"Ambiguous",IF(ISNUMBER(SEARCH("平",B5506)),"平","仄")))</x:f>
      </x:c>
      <x:c r="K5506" s="6" t="str">
        <x:f>IF(D5506="","",IF(AND(ISNUMBER(SEARCH("平",D5506)),OR(ISNUMBER(SEARCH("上",D5506)),ISNUMBER(SEARCH("去",D5506)),ISNUMBER(SEARCH("入",D5506)))),"Ambiguous",IF(ISNUMBER(SEARCH("平",D5506)),"平","仄")))</x:f>
        <x:v>仄</x:v>
      </x:c>
      <x:c r="L5506" s="7" t="str">
        <x:v>Pingshui main list, Lu Qinli gap fill</x:v>
      </x:c>
    </x:row>
    <x:row r="5507">
      <x:c r="A5507" s="5" t="str">
        <x:v>涿</x:v>
      </x:c>
      <x:c r="B5507" s="6" t="str">
        <x:v>入</x:v>
      </x:c>
      <x:c r="C5507" s="6" t="str">
        <x:f>IF(B5507="","Needs decision","Ready")</x:f>
        <x:v>Ready</x:v>
      </x:c>
      <x:c r="D5507" s="6" t="str">
        <x:v>入</x:v>
      </x:c>
      <x:c r="E5507" s="6" t="str"/>
      <x:c r="F5507" s="6" t="str">
        <x:v>入聲三覺</x:v>
      </x:c>
      <x:c r="G5507" s="6" t="str">
        <x:v>Pingshui main list, Wikisource-derived DOCX</x:v>
      </x:c>
      <x:c r="H5507" s="6" t="str"/>
      <x:c r="I5507" s="6" t="str">
        <x:v>Lu Qinli gap fill from Pingshui main list; 詞 entries ignored</x:v>
      </x:c>
      <x:c r="J5507" s="6" t="str">
        <x:f>IF(B5507="","",IF(AND(ISNUMBER(SEARCH("平",B5507)),OR(ISNUMBER(SEARCH("上",B5507)),ISNUMBER(SEARCH("去",B5507)),ISNUMBER(SEARCH("入",B5507)))),"Ambiguous",IF(ISNUMBER(SEARCH("平",B5507)),"平","仄")))</x:f>
        <x:v>仄</x:v>
      </x:c>
      <x:c r="K5507" s="6" t="str">
        <x:f>IF(D5507="","",IF(AND(ISNUMBER(SEARCH("平",D5507)),OR(ISNUMBER(SEARCH("上",D5507)),ISNUMBER(SEARCH("去",D5507)),ISNUMBER(SEARCH("入",D5507)))),"Ambiguous",IF(ISNUMBER(SEARCH("平",D5507)),"平","仄")))</x:f>
        <x:v>仄</x:v>
      </x:c>
      <x:c r="L5507" s="7" t="str">
        <x:v>Pingshui main list, Lu Qinli gap fill</x:v>
      </x:c>
    </x:row>
    <x:row r="5508">
      <x:c r="A5508" s="5" t="str">
        <x:v>淄</x:v>
      </x:c>
      <x:c r="B5508" s="6" t="str">
        <x:v>平</x:v>
      </x:c>
      <x:c r="C5508" s="6" t="str">
        <x:f>IF(B5508="","Needs decision","Ready")</x:f>
        <x:v>Ready</x:v>
      </x:c>
      <x:c r="D5508" s="6" t="str">
        <x:v>平</x:v>
      </x:c>
      <x:c r="E5508" s="6" t="str"/>
      <x:c r="F5508" s="6" t="str">
        <x:v>上平聲四支</x:v>
      </x:c>
      <x:c r="G5508" s="6" t="str">
        <x:v>Pingshui main list, Wikisource-derived DOCX</x:v>
      </x:c>
      <x:c r="H5508" s="6" t="str"/>
      <x:c r="I5508" s="6" t="str">
        <x:v>Lu Qinli gap fill from Pingshui main list; 詞 entries ignored</x:v>
      </x:c>
      <x:c r="J5508" s="6" t="str">
        <x:f>IF(B5508="","",IF(AND(ISNUMBER(SEARCH("平",B5508)),OR(ISNUMBER(SEARCH("上",B5508)),ISNUMBER(SEARCH("去",B5508)),ISNUMBER(SEARCH("入",B5508)))),"Ambiguous",IF(ISNUMBER(SEARCH("平",B5508)),"平","仄")))</x:f>
        <x:v>平</x:v>
      </x:c>
      <x:c r="K5508" s="6" t="str">
        <x:f>IF(D5508="","",IF(AND(ISNUMBER(SEARCH("平",D5508)),OR(ISNUMBER(SEARCH("上",D5508)),ISNUMBER(SEARCH("去",D5508)),ISNUMBER(SEARCH("入",D5508)))),"Ambiguous",IF(ISNUMBER(SEARCH("平",D5508)),"平","仄")))</x:f>
        <x:v>平</x:v>
      </x:c>
      <x:c r="L5508" s="7" t="str">
        <x:v>Pingshui main list, Lu Qinli gap fill</x:v>
      </x:c>
    </x:row>
    <x:row r="5509">
      <x:c r="A5509" s="5" t="str">
        <x:v>淅</x:v>
      </x:c>
      <x:c r="B5509" s="6" t="str">
        <x:v>入</x:v>
      </x:c>
      <x:c r="C5509" s="6" t="str">
        <x:f>IF(B5509="","Needs decision","Ready")</x:f>
        <x:v>Ready</x:v>
      </x:c>
      <x:c r="D5509" s="6" t="str">
        <x:v>入</x:v>
      </x:c>
      <x:c r="E5509" s="6" t="str"/>
      <x:c r="F5509" s="6" t="str">
        <x:v>入聲十二錫</x:v>
      </x:c>
      <x:c r="G5509" s="6" t="str">
        <x:v>Pingshui main list, Wikisource-derived DOCX</x:v>
      </x:c>
      <x:c r="H5509" s="6" t="str"/>
      <x:c r="I5509" s="6" t="str">
        <x:v>Lu Qinli gap fill from Pingshui main list; 詞 entries ignored</x:v>
      </x:c>
      <x:c r="J5509" s="6" t="str">
        <x:f>IF(B5509="","",IF(AND(ISNUMBER(SEARCH("平",B5509)),OR(ISNUMBER(SEARCH("上",B5509)),ISNUMBER(SEARCH("去",B5509)),ISNUMBER(SEARCH("入",B5509)))),"Ambiguous",IF(ISNUMBER(SEARCH("平",B5509)),"平","仄")))</x:f>
        <x:v>仄</x:v>
      </x:c>
      <x:c r="K5509" s="6" t="str">
        <x:f>IF(D5509="","",IF(AND(ISNUMBER(SEARCH("平",D5509)),OR(ISNUMBER(SEARCH("上",D5509)),ISNUMBER(SEARCH("去",D5509)),ISNUMBER(SEARCH("入",D5509)))),"Ambiguous",IF(ISNUMBER(SEARCH("平",D5509)),"平","仄")))</x:f>
        <x:v>仄</x:v>
      </x:c>
      <x:c r="L5509" s="7" t="str">
        <x:v>Pingshui main list, Lu Qinli gap fill</x:v>
      </x:c>
    </x:row>
    <x:row r="5510">
      <x:c r="A5510" s="5" t="str">
        <x:v>淆</x:v>
      </x:c>
      <x:c r="B5510" s="6" t="str">
        <x:v>平</x:v>
      </x:c>
      <x:c r="C5510" s="6" t="str">
        <x:f>IF(B5510="","Needs decision","Ready")</x:f>
        <x:v>Ready</x:v>
      </x:c>
      <x:c r="D5510" s="6" t="str">
        <x:v>平</x:v>
      </x:c>
      <x:c r="E5510" s="6" t="str"/>
      <x:c r="F5510" s="6" t="str">
        <x:v>下平聲三肴</x:v>
      </x:c>
      <x:c r="G5510" s="6" t="str">
        <x:v>Pingshui main list, Wikisource-derived DOCX</x:v>
      </x:c>
      <x:c r="H5510" s="6" t="str"/>
      <x:c r="I5510" s="6" t="str">
        <x:v>Lu Qinli gap fill from Pingshui main list; 詞 entries ignored</x:v>
      </x:c>
      <x:c r="J5510" s="6" t="str">
        <x:f>IF(B5510="","",IF(AND(ISNUMBER(SEARCH("平",B5510)),OR(ISNUMBER(SEARCH("上",B5510)),ISNUMBER(SEARCH("去",B5510)),ISNUMBER(SEARCH("入",B5510)))),"Ambiguous",IF(ISNUMBER(SEARCH("平",B5510)),"平","仄")))</x:f>
        <x:v>平</x:v>
      </x:c>
      <x:c r="K5510" s="6" t="str">
        <x:f>IF(D5510="","",IF(AND(ISNUMBER(SEARCH("平",D5510)),OR(ISNUMBER(SEARCH("上",D5510)),ISNUMBER(SEARCH("去",D5510)),ISNUMBER(SEARCH("入",D5510)))),"Ambiguous",IF(ISNUMBER(SEARCH("平",D5510)),"平","仄")))</x:f>
        <x:v>平</x:v>
      </x:c>
      <x:c r="L5510" s="7" t="str">
        <x:v>Pingshui main list, Lu Qinli gap fill</x:v>
      </x:c>
    </x:row>
    <x:row r="5511">
      <x:c r="A5511" s="5" t="str">
        <x:v>淖</x:v>
      </x:c>
      <x:c r="B5511" s="6" t="str">
        <x:v>去</x:v>
      </x:c>
      <x:c r="C5511" s="6" t="str">
        <x:f>IF(B5511="","Needs decision","Ready")</x:f>
        <x:v>Ready</x:v>
      </x:c>
      <x:c r="D5511" s="6" t="str">
        <x:v>去</x:v>
      </x:c>
      <x:c r="E5511" s="6" t="str"/>
      <x:c r="F5511" s="6" t="str">
        <x:v>去聲十九效</x:v>
      </x:c>
      <x:c r="G5511" s="6" t="str">
        <x:v>Pingshui main list, Wikisource-derived DOCX</x:v>
      </x:c>
      <x:c r="H5511" s="6" t="str"/>
      <x:c r="I5511" s="6" t="str">
        <x:v>Lu Qinli gap fill from Pingshui main list; 詞 entries ignored</x:v>
      </x:c>
      <x:c r="J5511" s="6" t="str">
        <x:f>IF(B5511="","",IF(AND(ISNUMBER(SEARCH("平",B5511)),OR(ISNUMBER(SEARCH("上",B5511)),ISNUMBER(SEARCH("去",B5511)),ISNUMBER(SEARCH("入",B5511)))),"Ambiguous",IF(ISNUMBER(SEARCH("平",B5511)),"平","仄")))</x:f>
        <x:v>仄</x:v>
      </x:c>
      <x:c r="K5511" s="6" t="str">
        <x:f>IF(D5511="","",IF(AND(ISNUMBER(SEARCH("平",D5511)),OR(ISNUMBER(SEARCH("上",D5511)),ISNUMBER(SEARCH("去",D5511)),ISNUMBER(SEARCH("入",D5511)))),"Ambiguous",IF(ISNUMBER(SEARCH("平",D5511)),"平","仄")))</x:f>
        <x:v>仄</x:v>
      </x:c>
      <x:c r="L5511" s="7" t="str">
        <x:v>Pingshui main list, Lu Qinli gap fill</x:v>
      </x:c>
    </x:row>
    <x:row r="5512">
      <x:c r="A5512" s="5" t="str">
        <x:v>淙</x:v>
      </x:c>
      <x:c r="B5512" s="6" t="str"/>
      <x:c r="C5512" s="6" t="str">
        <x:f>IF(B5512="","Needs decision","Ready")</x:f>
        <x:v>Needs decision</x:v>
      </x:c>
      <x:c r="D5512" s="6" t="str">
        <x:v>平/去</x:v>
      </x:c>
      <x:c r="E5512" s="6" t="str"/>
      <x:c r="F5512" s="6" t="str">
        <x:v>上平聲二冬; 上平聲三江; 去聲三絳</x:v>
      </x:c>
      <x:c r="G5512" s="6" t="str">
        <x:v>Pingshui main list, Wikisource-derived DOCX</x:v>
      </x:c>
      <x:c r="H5512" s="6" t="str"/>
      <x:c r="I5512" s="6" t="str">
        <x:v>Lu Qinli gap fill from Pingshui main list; 詞 entries ignored</x:v>
      </x:c>
      <x:c r="J5512" s="6" t="str">
        <x:f>IF(B5512="","",IF(AND(ISNUMBER(SEARCH("平",B5512)),OR(ISNUMBER(SEARCH("上",B5512)),ISNUMBER(SEARCH("去",B5512)),ISNUMBER(SEARCH("入",B5512)))),"Ambiguous",IF(ISNUMBER(SEARCH("平",B5512)),"平","仄")))</x:f>
      </x:c>
      <x:c r="K5512" s="6" t="str">
        <x:f>IF(D5512="","",IF(AND(ISNUMBER(SEARCH("平",D5512)),OR(ISNUMBER(SEARCH("上",D5512)),ISNUMBER(SEARCH("去",D5512)),ISNUMBER(SEARCH("入",D5512)))),"Ambiguous",IF(ISNUMBER(SEARCH("平",D5512)),"平","仄")))</x:f>
        <x:v>Ambiguous</x:v>
      </x:c>
      <x:c r="L5512" s="7" t="str">
        <x:v>Pingshui main list, Lu Qinli gap fill</x:v>
      </x:c>
    </x:row>
    <x:row r="5513">
      <x:c r="A5513" s="5" t="str">
        <x:v>淛</x:v>
      </x:c>
      <x:c r="B5513" s="6" t="str">
        <x:v>去</x:v>
      </x:c>
      <x:c r="C5513" s="6" t="str">
        <x:f>IF(B5513="","Needs decision","Ready")</x:f>
        <x:v>Ready</x:v>
      </x:c>
      <x:c r="D5513" s="6" t="str">
        <x:v>去</x:v>
      </x:c>
      <x:c r="E5513" s="6" t="str"/>
      <x:c r="F5513" s="6" t="str">
        <x:v>去聲八霽</x:v>
      </x:c>
      <x:c r="G5513" s="6" t="str">
        <x:v>Pingshui main list, Wikisource-derived DOCX</x:v>
      </x:c>
      <x:c r="H5513" s="6" t="str"/>
      <x:c r="I5513" s="6" t="str">
        <x:v>Lu Qinli gap fill from Pingshui main list; 詞 entries ignored</x:v>
      </x:c>
      <x:c r="J5513" s="6" t="str">
        <x:f>IF(B5513="","",IF(AND(ISNUMBER(SEARCH("平",B5513)),OR(ISNUMBER(SEARCH("上",B5513)),ISNUMBER(SEARCH("去",B5513)),ISNUMBER(SEARCH("入",B5513)))),"Ambiguous",IF(ISNUMBER(SEARCH("平",B5513)),"平","仄")))</x:f>
        <x:v>仄</x:v>
      </x:c>
      <x:c r="K5513" s="6" t="str">
        <x:f>IF(D5513="","",IF(AND(ISNUMBER(SEARCH("平",D5513)),OR(ISNUMBER(SEARCH("上",D5513)),ISNUMBER(SEARCH("去",D5513)),ISNUMBER(SEARCH("入",D5513)))),"Ambiguous",IF(ISNUMBER(SEARCH("平",D5513)),"平","仄")))</x:f>
        <x:v>仄</x:v>
      </x:c>
      <x:c r="L5513" s="7" t="str">
        <x:v>Pingshui main list, Lu Qinli gap fill</x:v>
      </x:c>
    </x:row>
    <x:row r="5514">
      <x:c r="A5514" s="5" t="str">
        <x:v>淝</x:v>
      </x:c>
      <x:c r="B5514" s="6" t="str">
        <x:v>平</x:v>
      </x:c>
      <x:c r="C5514" s="6" t="str">
        <x:f>IF(B5514="","Needs decision","Ready")</x:f>
        <x:v>Ready</x:v>
      </x:c>
      <x:c r="D5514" s="6" t="str">
        <x:v>平</x:v>
      </x:c>
      <x:c r="E5514" s="6" t="str"/>
      <x:c r="F5514" s="6" t="str">
        <x:v>上平聲五微</x:v>
      </x:c>
      <x:c r="G5514" s="6" t="str">
        <x:v>Pingshui main list, Wikisource-derived DOCX</x:v>
      </x:c>
      <x:c r="H5514" s="6" t="str"/>
      <x:c r="I5514" s="6" t="str">
        <x:v>Lu Qinli gap fill from Pingshui main list; 詞 entries ignored</x:v>
      </x:c>
      <x:c r="J5514" s="6" t="str">
        <x:f>IF(B5514="","",IF(AND(ISNUMBER(SEARCH("平",B5514)),OR(ISNUMBER(SEARCH("上",B5514)),ISNUMBER(SEARCH("去",B5514)),ISNUMBER(SEARCH("入",B5514)))),"Ambiguous",IF(ISNUMBER(SEARCH("平",B5514)),"平","仄")))</x:f>
        <x:v>平</x:v>
      </x:c>
      <x:c r="K5514" s="6" t="str">
        <x:f>IF(D5514="","",IF(AND(ISNUMBER(SEARCH("平",D5514)),OR(ISNUMBER(SEARCH("上",D5514)),ISNUMBER(SEARCH("去",D5514)),ISNUMBER(SEARCH("入",D5514)))),"Ambiguous",IF(ISNUMBER(SEARCH("平",D5514)),"平","仄")))</x:f>
        <x:v>平</x:v>
      </x:c>
      <x:c r="L5514" s="7" t="str">
        <x:v>Pingshui main list, Lu Qinli gap fill</x:v>
      </x:c>
    </x:row>
    <x:row r="5515">
      <x:c r="A5515" s="5" t="str">
        <x:v>淤</x:v>
      </x:c>
      <x:c r="B5515" s="6" t="str"/>
      <x:c r="C5515" s="6" t="str">
        <x:f>IF(B5515="","Needs decision","Ready")</x:f>
        <x:v>Needs decision</x:v>
      </x:c>
      <x:c r="D5515" s="6" t="str">
        <x:v>平/去</x:v>
      </x:c>
      <x:c r="E5515" s="6" t="str"/>
      <x:c r="F5515" s="6" t="str">
        <x:v>上平聲六魚; 去聲六御</x:v>
      </x:c>
      <x:c r="G5515" s="6" t="str">
        <x:v>Pingshui main list, Wikisource-derived DOCX</x:v>
      </x:c>
      <x:c r="H5515" s="6" t="str"/>
      <x:c r="I5515" s="6" t="str">
        <x:v>Lu Qinli gap fill from Pingshui main list; 詞 entries ignored</x:v>
      </x:c>
      <x:c r="J5515" s="6" t="str">
        <x:f>IF(B5515="","",IF(AND(ISNUMBER(SEARCH("平",B5515)),OR(ISNUMBER(SEARCH("上",B5515)),ISNUMBER(SEARCH("去",B5515)),ISNUMBER(SEARCH("入",B5515)))),"Ambiguous",IF(ISNUMBER(SEARCH("平",B5515)),"平","仄")))</x:f>
      </x:c>
      <x:c r="K5515" s="6" t="str">
        <x:f>IF(D5515="","",IF(AND(ISNUMBER(SEARCH("平",D5515)),OR(ISNUMBER(SEARCH("上",D5515)),ISNUMBER(SEARCH("去",D5515)),ISNUMBER(SEARCH("入",D5515)))),"Ambiguous",IF(ISNUMBER(SEARCH("平",D5515)),"平","仄")))</x:f>
        <x:v>Ambiguous</x:v>
      </x:c>
      <x:c r="L5515" s="7" t="str">
        <x:v>Pingshui main list, Lu Qinli gap fill</x:v>
      </x:c>
    </x:row>
    <x:row r="5516">
      <x:c r="A5516" s="5" t="str">
        <x:v>淯</x:v>
      </x:c>
      <x:c r="B5516" s="6" t="str">
        <x:v>入</x:v>
      </x:c>
      <x:c r="C5516" s="6" t="str">
        <x:f>IF(B5516="","Needs decision","Ready")</x:f>
        <x:v>Ready</x:v>
      </x:c>
      <x:c r="D5516" s="6" t="str">
        <x:v>入</x:v>
      </x:c>
      <x:c r="E5516" s="6" t="str"/>
      <x:c r="F5516" s="6" t="str">
        <x:v>入聲一屋</x:v>
      </x:c>
      <x:c r="G5516" s="6" t="str">
        <x:v>Pingshui main list, Wikisource-derived DOCX</x:v>
      </x:c>
      <x:c r="H5516" s="6" t="str"/>
      <x:c r="I5516" s="6" t="str">
        <x:v>Lu Qinli gap fill from Pingshui main list; 詞 entries ignored</x:v>
      </x:c>
      <x:c r="J5516" s="6" t="str">
        <x:f>IF(B5516="","",IF(AND(ISNUMBER(SEARCH("平",B5516)),OR(ISNUMBER(SEARCH("上",B5516)),ISNUMBER(SEARCH("去",B5516)),ISNUMBER(SEARCH("入",B5516)))),"Ambiguous",IF(ISNUMBER(SEARCH("平",B5516)),"平","仄")))</x:f>
        <x:v>仄</x:v>
      </x:c>
      <x:c r="K5516" s="6" t="str">
        <x:f>IF(D5516="","",IF(AND(ISNUMBER(SEARCH("平",D5516)),OR(ISNUMBER(SEARCH("上",D5516)),ISNUMBER(SEARCH("去",D5516)),ISNUMBER(SEARCH("入",D5516)))),"Ambiguous",IF(ISNUMBER(SEARCH("平",D5516)),"平","仄")))</x:f>
        <x:v>仄</x:v>
      </x:c>
      <x:c r="L5516" s="7" t="str">
        <x:v>Pingshui main list, Lu Qinli gap fill</x:v>
      </x:c>
    </x:row>
    <x:row r="5517">
      <x:c r="A5517" s="5" t="str">
        <x:v>渟</x:v>
      </x:c>
      <x:c r="B5517" s="6" t="str">
        <x:v>平</x:v>
      </x:c>
      <x:c r="C5517" s="6" t="str">
        <x:f>IF(B5517="","Needs decision","Ready")</x:f>
        <x:v>Ready</x:v>
      </x:c>
      <x:c r="D5517" s="6" t="str">
        <x:v>平</x:v>
      </x:c>
      <x:c r="E5517" s="6" t="str"/>
      <x:c r="F5517" s="6" t="str">
        <x:v>下平聲九青</x:v>
      </x:c>
      <x:c r="G5517" s="6" t="str">
        <x:v>Pingshui main list, Wikisource-derived DOCX</x:v>
      </x:c>
      <x:c r="H5517" s="6" t="str"/>
      <x:c r="I5517" s="6" t="str">
        <x:v>Lu Qinli gap fill from Pingshui main list; 詞 entries ignored</x:v>
      </x:c>
      <x:c r="J5517" s="6" t="str">
        <x:f>IF(B5517="","",IF(AND(ISNUMBER(SEARCH("平",B5517)),OR(ISNUMBER(SEARCH("上",B5517)),ISNUMBER(SEARCH("去",B5517)),ISNUMBER(SEARCH("入",B5517)))),"Ambiguous",IF(ISNUMBER(SEARCH("平",B5517)),"平","仄")))</x:f>
        <x:v>平</x:v>
      </x:c>
      <x:c r="K5517" s="6" t="str">
        <x:f>IF(D5517="","",IF(AND(ISNUMBER(SEARCH("平",D5517)),OR(ISNUMBER(SEARCH("上",D5517)),ISNUMBER(SEARCH("去",D5517)),ISNUMBER(SEARCH("入",D5517)))),"Ambiguous",IF(ISNUMBER(SEARCH("平",D5517)),"平","仄")))</x:f>
        <x:v>平</x:v>
      </x:c>
      <x:c r="L5517" s="7" t="str">
        <x:v>Pingshui main list, Lu Qinli gap fill</x:v>
      </x:c>
    </x:row>
    <x:row r="5518">
      <x:c r="A5518" s="5" t="str">
        <x:v>渤</x:v>
      </x:c>
      <x:c r="B5518" s="6" t="str">
        <x:v>入</x:v>
      </x:c>
      <x:c r="C5518" s="6" t="str">
        <x:f>IF(B5518="","Needs decision","Ready")</x:f>
        <x:v>Ready</x:v>
      </x:c>
      <x:c r="D5518" s="6" t="str">
        <x:v>入</x:v>
      </x:c>
      <x:c r="E5518" s="6" t="str"/>
      <x:c r="F5518" s="6" t="str">
        <x:v>入聲六月</x:v>
      </x:c>
      <x:c r="G5518" s="6" t="str">
        <x:v>Pingshui main list, Wikisource-derived DOCX</x:v>
      </x:c>
      <x:c r="H5518" s="6" t="str"/>
      <x:c r="I5518" s="6" t="str">
        <x:v>Lu Qinli gap fill from Pingshui main list; 詞 entries ignored</x:v>
      </x:c>
      <x:c r="J5518" s="6" t="str">
        <x:f>IF(B5518="","",IF(AND(ISNUMBER(SEARCH("平",B5518)),OR(ISNUMBER(SEARCH("上",B5518)),ISNUMBER(SEARCH("去",B5518)),ISNUMBER(SEARCH("入",B5518)))),"Ambiguous",IF(ISNUMBER(SEARCH("平",B5518)),"平","仄")))</x:f>
        <x:v>仄</x:v>
      </x:c>
      <x:c r="K5518" s="6" t="str">
        <x:f>IF(D5518="","",IF(AND(ISNUMBER(SEARCH("平",D5518)),OR(ISNUMBER(SEARCH("上",D5518)),ISNUMBER(SEARCH("去",D5518)),ISNUMBER(SEARCH("入",D5518)))),"Ambiguous",IF(ISNUMBER(SEARCH("平",D5518)),"平","仄")))</x:f>
        <x:v>仄</x:v>
      </x:c>
      <x:c r="L5518" s="7" t="str">
        <x:v>Pingshui main list, Lu Qinli gap fill</x:v>
      </x:c>
    </x:row>
    <x:row r="5519">
      <x:c r="A5519" s="5" t="str">
        <x:v>渦</x:v>
      </x:c>
      <x:c r="B5519" s="6" t="str">
        <x:v>平</x:v>
      </x:c>
      <x:c r="C5519" s="6" t="str">
        <x:f>IF(B5519="","Needs decision","Ready")</x:f>
        <x:v>Ready</x:v>
      </x:c>
      <x:c r="D5519" s="6" t="str">
        <x:v>平</x:v>
      </x:c>
      <x:c r="E5519" s="6" t="str"/>
      <x:c r="F5519" s="6" t="str">
        <x:v>下平聲五歌</x:v>
      </x:c>
      <x:c r="G5519" s="6" t="str">
        <x:v>Pingshui main list, Wikisource-derived DOCX</x:v>
      </x:c>
      <x:c r="H5519" s="6" t="str"/>
      <x:c r="I5519" s="6" t="str">
        <x:v>Lu Qinli gap fill from Pingshui main list; 詞 entries ignored</x:v>
      </x:c>
      <x:c r="J5519" s="6" t="str">
        <x:f>IF(B5519="","",IF(AND(ISNUMBER(SEARCH("平",B5519)),OR(ISNUMBER(SEARCH("上",B5519)),ISNUMBER(SEARCH("去",B5519)),ISNUMBER(SEARCH("入",B5519)))),"Ambiguous",IF(ISNUMBER(SEARCH("平",B5519)),"平","仄")))</x:f>
        <x:v>平</x:v>
      </x:c>
      <x:c r="K5519" s="6" t="str">
        <x:f>IF(D5519="","",IF(AND(ISNUMBER(SEARCH("平",D5519)),OR(ISNUMBER(SEARCH("上",D5519)),ISNUMBER(SEARCH("去",D5519)),ISNUMBER(SEARCH("入",D5519)))),"Ambiguous",IF(ISNUMBER(SEARCH("平",D5519)),"平","仄")))</x:f>
        <x:v>平</x:v>
      </x:c>
      <x:c r="L5519" s="7" t="str">
        <x:v>Pingshui main list, Lu Qinli gap fill</x:v>
      </x:c>
    </x:row>
    <x:row r="5520">
      <x:c r="A5520" s="5" t="str">
        <x:v>渫</x:v>
      </x:c>
      <x:c r="B5520" s="6" t="str">
        <x:v>入</x:v>
      </x:c>
      <x:c r="C5520" s="6" t="str">
        <x:f>IF(B5520="","Needs decision","Ready")</x:f>
        <x:v>Ready</x:v>
      </x:c>
      <x:c r="D5520" s="6" t="str">
        <x:v>入</x:v>
      </x:c>
      <x:c r="E5520" s="6" t="str"/>
      <x:c r="F5520" s="6" t="str">
        <x:v>入聲九屑; 入聲十七洽</x:v>
      </x:c>
      <x:c r="G5520" s="6" t="str">
        <x:v>Pingshui main list, Wikisource-derived DOCX</x:v>
      </x:c>
      <x:c r="H5520" s="6" t="str"/>
      <x:c r="I5520" s="6" t="str">
        <x:v>Lu Qinli gap fill from Pingshui main list; 詞 entries ignored</x:v>
      </x:c>
      <x:c r="J5520" s="6" t="str">
        <x:f>IF(B5520="","",IF(AND(ISNUMBER(SEARCH("平",B5520)),OR(ISNUMBER(SEARCH("上",B5520)),ISNUMBER(SEARCH("去",B5520)),ISNUMBER(SEARCH("入",B5520)))),"Ambiguous",IF(ISNUMBER(SEARCH("平",B5520)),"平","仄")))</x:f>
        <x:v>仄</x:v>
      </x:c>
      <x:c r="K5520" s="6" t="str">
        <x:f>IF(D5520="","",IF(AND(ISNUMBER(SEARCH("平",D5520)),OR(ISNUMBER(SEARCH("上",D5520)),ISNUMBER(SEARCH("去",D5520)),ISNUMBER(SEARCH("入",D5520)))),"Ambiguous",IF(ISNUMBER(SEARCH("平",D5520)),"平","仄")))</x:f>
        <x:v>仄</x:v>
      </x:c>
      <x:c r="L5520" s="7" t="str">
        <x:v>Pingshui main list, Lu Qinli gap fill</x:v>
      </x:c>
    </x:row>
    <x:row r="5521">
      <x:c r="A5521" s="5" t="str">
        <x:v>港</x:v>
      </x:c>
      <x:c r="B5521" s="6" t="str">
        <x:v>上</x:v>
      </x:c>
      <x:c r="C5521" s="6" t="str">
        <x:f>IF(B5521="","Needs decision","Ready")</x:f>
        <x:v>Ready</x:v>
      </x:c>
      <x:c r="D5521" s="6" t="str">
        <x:v>上</x:v>
      </x:c>
      <x:c r="E5521" s="6" t="str"/>
      <x:c r="F5521" s="6" t="str">
        <x:v>上聲三講</x:v>
      </x:c>
      <x:c r="G5521" s="6" t="str">
        <x:v>Pingshui main list, Wikisource-derived DOCX</x:v>
      </x:c>
      <x:c r="H5521" s="6" t="str"/>
      <x:c r="I5521" s="6" t="str">
        <x:v>Lu Qinli gap fill from Pingshui main list; 詞 entries ignored</x:v>
      </x:c>
      <x:c r="J5521" s="6" t="str">
        <x:f>IF(B5521="","",IF(AND(ISNUMBER(SEARCH("平",B5521)),OR(ISNUMBER(SEARCH("上",B5521)),ISNUMBER(SEARCH("去",B5521)),ISNUMBER(SEARCH("入",B5521)))),"Ambiguous",IF(ISNUMBER(SEARCH("平",B5521)),"平","仄")))</x:f>
        <x:v>仄</x:v>
      </x:c>
      <x:c r="K5521" s="6" t="str">
        <x:f>IF(D5521="","",IF(AND(ISNUMBER(SEARCH("平",D5521)),OR(ISNUMBER(SEARCH("上",D5521)),ISNUMBER(SEARCH("去",D5521)),ISNUMBER(SEARCH("入",D5521)))),"Ambiguous",IF(ISNUMBER(SEARCH("平",D5521)),"平","仄")))</x:f>
        <x:v>仄</x:v>
      </x:c>
      <x:c r="L5521" s="7" t="str">
        <x:v>Pingshui main list, Lu Qinli gap fill</x:v>
      </x:c>
    </x:row>
    <x:row r="5522">
      <x:c r="A5522" s="5" t="str">
        <x:v>渰</x:v>
      </x:c>
      <x:c r="B5522" s="6" t="str">
        <x:v>平</x:v>
      </x:c>
      <x:c r="C5522" s="6" t="str">
        <x:f>IF(B5522="","Needs decision","Ready")</x:f>
        <x:v>Ready</x:v>
      </x:c>
      <x:c r="D5522" s="6" t="str">
        <x:v>平</x:v>
      </x:c>
      <x:c r="E5522" s="6" t="str"/>
      <x:c r="F5522" s="6" t="str">
        <x:v>下平聲十三覃</x:v>
      </x:c>
      <x:c r="G5522" s="6" t="str">
        <x:v>Pingshui main list, Wikisource-derived DOCX</x:v>
      </x:c>
      <x:c r="H5522" s="6" t="str"/>
      <x:c r="I5522" s="6" t="str">
        <x:v>Lu Qinli gap fill from Pingshui main list; 詞 entries ignored</x:v>
      </x:c>
      <x:c r="J5522" s="6" t="str">
        <x:f>IF(B5522="","",IF(AND(ISNUMBER(SEARCH("平",B5522)),OR(ISNUMBER(SEARCH("上",B5522)),ISNUMBER(SEARCH("去",B5522)),ISNUMBER(SEARCH("入",B5522)))),"Ambiguous",IF(ISNUMBER(SEARCH("平",B5522)),"平","仄")))</x:f>
        <x:v>平</x:v>
      </x:c>
      <x:c r="K5522" s="6" t="str">
        <x:f>IF(D5522="","",IF(AND(ISNUMBER(SEARCH("平",D5522)),OR(ISNUMBER(SEARCH("上",D5522)),ISNUMBER(SEARCH("去",D5522)),ISNUMBER(SEARCH("入",D5522)))),"Ambiguous",IF(ISNUMBER(SEARCH("平",D5522)),"平","仄")))</x:f>
        <x:v>平</x:v>
      </x:c>
      <x:c r="L5522" s="7" t="str">
        <x:v>Pingshui main list, Lu Qinli gap fill</x:v>
      </x:c>
    </x:row>
    <x:row r="5523">
      <x:c r="A5523" s="5" t="str">
        <x:v>湃</x:v>
      </x:c>
      <x:c r="B5523" s="6" t="str">
        <x:v>去</x:v>
      </x:c>
      <x:c r="C5523" s="6" t="str">
        <x:f>IF(B5523="","Needs decision","Ready")</x:f>
        <x:v>Ready</x:v>
      </x:c>
      <x:c r="D5523" s="6" t="str">
        <x:v>去</x:v>
      </x:c>
      <x:c r="E5523" s="6" t="str"/>
      <x:c r="F5523" s="6" t="str">
        <x:v>去聲十卦</x:v>
      </x:c>
      <x:c r="G5523" s="6" t="str">
        <x:v>Pingshui main list, Wikisource-derived DOCX</x:v>
      </x:c>
      <x:c r="H5523" s="6" t="str"/>
      <x:c r="I5523" s="6" t="str">
        <x:v>Lu Qinli gap fill from Pingshui main list; 詞 entries ignored</x:v>
      </x:c>
      <x:c r="J5523" s="6" t="str">
        <x:f>IF(B5523="","",IF(AND(ISNUMBER(SEARCH("平",B5523)),OR(ISNUMBER(SEARCH("上",B5523)),ISNUMBER(SEARCH("去",B5523)),ISNUMBER(SEARCH("入",B5523)))),"Ambiguous",IF(ISNUMBER(SEARCH("平",B5523)),"平","仄")))</x:f>
        <x:v>仄</x:v>
      </x:c>
      <x:c r="K5523" s="6" t="str">
        <x:f>IF(D5523="","",IF(AND(ISNUMBER(SEARCH("平",D5523)),OR(ISNUMBER(SEARCH("上",D5523)),ISNUMBER(SEARCH("去",D5523)),ISNUMBER(SEARCH("入",D5523)))),"Ambiguous",IF(ISNUMBER(SEARCH("平",D5523)),"平","仄")))</x:f>
        <x:v>仄</x:v>
      </x:c>
      <x:c r="L5523" s="7" t="str">
        <x:v>Pingshui main list, Lu Qinli gap fill</x:v>
      </x:c>
    </x:row>
    <x:row r="5524">
      <x:c r="A5524" s="5" t="str">
        <x:v>湄</x:v>
      </x:c>
      <x:c r="B5524" s="6" t="str">
        <x:v>平</x:v>
      </x:c>
      <x:c r="C5524" s="6" t="str">
        <x:f>IF(B5524="","Needs decision","Ready")</x:f>
        <x:v>Ready</x:v>
      </x:c>
      <x:c r="D5524" s="6" t="str">
        <x:v>平</x:v>
      </x:c>
      <x:c r="E5524" s="6" t="str"/>
      <x:c r="F5524" s="6" t="str">
        <x:v>上平聲四支</x:v>
      </x:c>
      <x:c r="G5524" s="6" t="str">
        <x:v>Pingshui main list, Wikisource-derived DOCX</x:v>
      </x:c>
      <x:c r="H5524" s="6" t="str"/>
      <x:c r="I5524" s="6" t="str">
        <x:v>Lu Qinli gap fill from Pingshui main list; 詞 entries ignored</x:v>
      </x:c>
      <x:c r="J5524" s="6" t="str">
        <x:f>IF(B5524="","",IF(AND(ISNUMBER(SEARCH("平",B5524)),OR(ISNUMBER(SEARCH("上",B5524)),ISNUMBER(SEARCH("去",B5524)),ISNUMBER(SEARCH("入",B5524)))),"Ambiguous",IF(ISNUMBER(SEARCH("平",B5524)),"平","仄")))</x:f>
        <x:v>平</x:v>
      </x:c>
      <x:c r="K5524" s="6" t="str">
        <x:f>IF(D5524="","",IF(AND(ISNUMBER(SEARCH("平",D5524)),OR(ISNUMBER(SEARCH("上",D5524)),ISNUMBER(SEARCH("去",D5524)),ISNUMBER(SEARCH("入",D5524)))),"Ambiguous",IF(ISNUMBER(SEARCH("平",D5524)),"平","仄")))</x:f>
        <x:v>平</x:v>
      </x:c>
      <x:c r="L5524" s="7" t="str">
        <x:v>Pingshui main list, Lu Qinli gap fill</x:v>
      </x:c>
    </x:row>
    <x:row r="5525">
      <x:c r="A5525" s="5" t="str">
        <x:v>湔</x:v>
      </x:c>
      <x:c r="B5525" s="6" t="str">
        <x:v>平</x:v>
      </x:c>
      <x:c r="C5525" s="6" t="str">
        <x:f>IF(B5525="","Needs decision","Ready")</x:f>
        <x:v>Ready</x:v>
      </x:c>
      <x:c r="D5525" s="6" t="str">
        <x:v>平</x:v>
      </x:c>
      <x:c r="E5525" s="6" t="str"/>
      <x:c r="F5525" s="6" t="str">
        <x:v>下平聲一先</x:v>
      </x:c>
      <x:c r="G5525" s="6" t="str">
        <x:v>Pingshui main list, Wikisource-derived DOCX</x:v>
      </x:c>
      <x:c r="H5525" s="6" t="str"/>
      <x:c r="I5525" s="6" t="str">
        <x:v>Lu Qinli gap fill from Pingshui main list; 詞 entries ignored</x:v>
      </x:c>
      <x:c r="J5525" s="6" t="str">
        <x:f>IF(B5525="","",IF(AND(ISNUMBER(SEARCH("平",B5525)),OR(ISNUMBER(SEARCH("上",B5525)),ISNUMBER(SEARCH("去",B5525)),ISNUMBER(SEARCH("入",B5525)))),"Ambiguous",IF(ISNUMBER(SEARCH("平",B5525)),"平","仄")))</x:f>
        <x:v>平</x:v>
      </x:c>
      <x:c r="K5525" s="6" t="str">
        <x:f>IF(D5525="","",IF(AND(ISNUMBER(SEARCH("平",D5525)),OR(ISNUMBER(SEARCH("上",D5525)),ISNUMBER(SEARCH("去",D5525)),ISNUMBER(SEARCH("入",D5525)))),"Ambiguous",IF(ISNUMBER(SEARCH("平",D5525)),"平","仄")))</x:f>
        <x:v>平</x:v>
      </x:c>
      <x:c r="L5525" s="7" t="str">
        <x:v>Pingshui main list, Lu Qinli gap fill</x:v>
      </x:c>
    </x:row>
    <x:row r="5526">
      <x:c r="A5526" s="5" t="str">
        <x:v>湜</x:v>
      </x:c>
      <x:c r="B5526" s="6" t="str">
        <x:v>入</x:v>
      </x:c>
      <x:c r="C5526" s="6" t="str">
        <x:f>IF(B5526="","Needs decision","Ready")</x:f>
        <x:v>Ready</x:v>
      </x:c>
      <x:c r="D5526" s="6" t="str">
        <x:v>入</x:v>
      </x:c>
      <x:c r="E5526" s="6" t="str"/>
      <x:c r="F5526" s="6" t="str">
        <x:v>入聲十三職</x:v>
      </x:c>
      <x:c r="G5526" s="6" t="str">
        <x:v>Pingshui main list, Wikisource-derived DOCX</x:v>
      </x:c>
      <x:c r="H5526" s="6" t="str"/>
      <x:c r="I5526" s="6" t="str">
        <x:v>Lu Qinli gap fill from Pingshui main list; 詞 entries ignored</x:v>
      </x:c>
      <x:c r="J5526" s="6" t="str">
        <x:f>IF(B5526="","",IF(AND(ISNUMBER(SEARCH("平",B5526)),OR(ISNUMBER(SEARCH("上",B5526)),ISNUMBER(SEARCH("去",B5526)),ISNUMBER(SEARCH("入",B5526)))),"Ambiguous",IF(ISNUMBER(SEARCH("平",B5526)),"平","仄")))</x:f>
        <x:v>仄</x:v>
      </x:c>
      <x:c r="K5526" s="6" t="str">
        <x:f>IF(D5526="","",IF(AND(ISNUMBER(SEARCH("平",D5526)),OR(ISNUMBER(SEARCH("上",D5526)),ISNUMBER(SEARCH("去",D5526)),ISNUMBER(SEARCH("入",D5526)))),"Ambiguous",IF(ISNUMBER(SEARCH("平",D5526)),"平","仄")))</x:f>
        <x:v>仄</x:v>
      </x:c>
      <x:c r="L5526" s="7" t="str">
        <x:v>Pingshui main list, Lu Qinli gap fill</x:v>
      </x:c>
    </x:row>
    <x:row r="5527">
      <x:c r="A5527" s="5" t="str">
        <x:v>湟</x:v>
      </x:c>
      <x:c r="B5527" s="6" t="str">
        <x:v>平</x:v>
      </x:c>
      <x:c r="C5527" s="6" t="str">
        <x:f>IF(B5527="","Needs decision","Ready")</x:f>
        <x:v>Ready</x:v>
      </x:c>
      <x:c r="D5527" s="6" t="str">
        <x:v>平</x:v>
      </x:c>
      <x:c r="E5527" s="6" t="str"/>
      <x:c r="F5527" s="6" t="str">
        <x:v>下平聲七陽</x:v>
      </x:c>
      <x:c r="G5527" s="6" t="str">
        <x:v>Pingshui main list, Wikisource-derived DOCX</x:v>
      </x:c>
      <x:c r="H5527" s="6" t="str"/>
      <x:c r="I5527" s="6" t="str">
        <x:v>Lu Qinli gap fill from Pingshui main list; 詞 entries ignored</x:v>
      </x:c>
      <x:c r="J5527" s="6" t="str">
        <x:f>IF(B5527="","",IF(AND(ISNUMBER(SEARCH("平",B5527)),OR(ISNUMBER(SEARCH("上",B5527)),ISNUMBER(SEARCH("去",B5527)),ISNUMBER(SEARCH("入",B5527)))),"Ambiguous",IF(ISNUMBER(SEARCH("平",B5527)),"平","仄")))</x:f>
        <x:v>平</x:v>
      </x:c>
      <x:c r="K5527" s="6" t="str">
        <x:f>IF(D5527="","",IF(AND(ISNUMBER(SEARCH("平",D5527)),OR(ISNUMBER(SEARCH("上",D5527)),ISNUMBER(SEARCH("去",D5527)),ISNUMBER(SEARCH("入",D5527)))),"Ambiguous",IF(ISNUMBER(SEARCH("平",D5527)),"平","仄")))</x:f>
        <x:v>平</x:v>
      </x:c>
      <x:c r="L5527" s="7" t="str">
        <x:v>Pingshui main list, Lu Qinli gap fill</x:v>
      </x:c>
    </x:row>
    <x:row r="5528">
      <x:c r="A5528" s="5" t="str">
        <x:v>湫</x:v>
      </x:c>
      <x:c r="B5528" s="6" t="str"/>
      <x:c r="C5528" s="6" t="str">
        <x:f>IF(B5528="","Needs decision","Ready")</x:f>
        <x:v>Needs decision</x:v>
      </x:c>
      <x:c r="D5528" s="6" t="str">
        <x:v>平/上</x:v>
      </x:c>
      <x:c r="E5528" s="6" t="str"/>
      <x:c r="F5528" s="6" t="str">
        <x:v>下平聲十一尤; 上聲十七篠</x:v>
      </x:c>
      <x:c r="G5528" s="6" t="str">
        <x:v>Pingshui main list, Wikisource-derived DOCX</x:v>
      </x:c>
      <x:c r="H5528" s="6" t="str"/>
      <x:c r="I5528" s="6" t="str">
        <x:v>Lu Qinli gap fill from Pingshui main list; 詞 entries ignored</x:v>
      </x:c>
      <x:c r="J5528" s="6" t="str">
        <x:f>IF(B5528="","",IF(AND(ISNUMBER(SEARCH("平",B5528)),OR(ISNUMBER(SEARCH("上",B5528)),ISNUMBER(SEARCH("去",B5528)),ISNUMBER(SEARCH("入",B5528)))),"Ambiguous",IF(ISNUMBER(SEARCH("平",B5528)),"平","仄")))</x:f>
      </x:c>
      <x:c r="K5528" s="6" t="str">
        <x:f>IF(D5528="","",IF(AND(ISNUMBER(SEARCH("平",D5528)),OR(ISNUMBER(SEARCH("上",D5528)),ISNUMBER(SEARCH("去",D5528)),ISNUMBER(SEARCH("入",D5528)))),"Ambiguous",IF(ISNUMBER(SEARCH("平",D5528)),"平","仄")))</x:f>
        <x:v>Ambiguous</x:v>
      </x:c>
      <x:c r="L5528" s="7" t="str">
        <x:v>Pingshui main list, Lu Qinli gap fill</x:v>
      </x:c>
    </x:row>
    <x:row r="5529">
      <x:c r="A5529" s="5" t="str">
        <x:v>湮</x:v>
      </x:c>
      <x:c r="B5529" s="6" t="str">
        <x:v>平</x:v>
      </x:c>
      <x:c r="C5529" s="6" t="str">
        <x:f>IF(B5529="","Needs decision","Ready")</x:f>
        <x:v>Ready</x:v>
      </x:c>
      <x:c r="D5529" s="6" t="str">
        <x:v>平</x:v>
      </x:c>
      <x:c r="E5529" s="6" t="str"/>
      <x:c r="F5529" s="6" t="str">
        <x:v>上平聲十一真</x:v>
      </x:c>
      <x:c r="G5529" s="6" t="str">
        <x:v>Pingshui main list, Wikisource-derived DOCX</x:v>
      </x:c>
      <x:c r="H5529" s="6" t="str"/>
      <x:c r="I5529" s="6" t="str">
        <x:v>Lu Qinli gap fill from Pingshui main list; 詞 entries ignored</x:v>
      </x:c>
      <x:c r="J5529" s="6" t="str">
        <x:f>IF(B5529="","",IF(AND(ISNUMBER(SEARCH("平",B5529)),OR(ISNUMBER(SEARCH("上",B5529)),ISNUMBER(SEARCH("去",B5529)),ISNUMBER(SEARCH("入",B5529)))),"Ambiguous",IF(ISNUMBER(SEARCH("平",B5529)),"平","仄")))</x:f>
        <x:v>平</x:v>
      </x:c>
      <x:c r="K5529" s="6" t="str">
        <x:f>IF(D5529="","",IF(AND(ISNUMBER(SEARCH("平",D5529)),OR(ISNUMBER(SEARCH("上",D5529)),ISNUMBER(SEARCH("去",D5529)),ISNUMBER(SEARCH("入",D5529)))),"Ambiguous",IF(ISNUMBER(SEARCH("平",D5529)),"平","仄")))</x:f>
        <x:v>平</x:v>
      </x:c>
      <x:c r="L5529" s="7" t="str">
        <x:v>Pingshui main list, Lu Qinli gap fill</x:v>
      </x:c>
    </x:row>
    <x:row r="5530">
      <x:c r="A5530" s="5" t="str">
        <x:v>溏</x:v>
      </x:c>
      <x:c r="B5530" s="6" t="str">
        <x:v>平</x:v>
      </x:c>
      <x:c r="C5530" s="6" t="str">
        <x:f>IF(B5530="","Needs decision","Ready")</x:f>
        <x:v>Ready</x:v>
      </x:c>
      <x:c r="D5530" s="6" t="str">
        <x:v>平</x:v>
      </x:c>
      <x:c r="E5530" s="6" t="str"/>
      <x:c r="F5530" s="6" t="str">
        <x:v>下平聲七陽</x:v>
      </x:c>
      <x:c r="G5530" s="6" t="str">
        <x:v>Pingshui main list, Wikisource-derived DOCX</x:v>
      </x:c>
      <x:c r="H5530" s="6" t="str"/>
      <x:c r="I5530" s="6" t="str">
        <x:v>Lu Qinli gap fill from Pingshui main list; 詞 entries ignored</x:v>
      </x:c>
      <x:c r="J5530" s="6" t="str">
        <x:f>IF(B5530="","",IF(AND(ISNUMBER(SEARCH("平",B5530)),OR(ISNUMBER(SEARCH("上",B5530)),ISNUMBER(SEARCH("去",B5530)),ISNUMBER(SEARCH("入",B5530)))),"Ambiguous",IF(ISNUMBER(SEARCH("平",B5530)),"平","仄")))</x:f>
        <x:v>平</x:v>
      </x:c>
      <x:c r="K5530" s="6" t="str">
        <x:f>IF(D5530="","",IF(AND(ISNUMBER(SEARCH("平",D5530)),OR(ISNUMBER(SEARCH("上",D5530)),ISNUMBER(SEARCH("去",D5530)),ISNUMBER(SEARCH("入",D5530)))),"Ambiguous",IF(ISNUMBER(SEARCH("平",D5530)),"平","仄")))</x:f>
        <x:v>平</x:v>
      </x:c>
      <x:c r="L5530" s="7" t="str">
        <x:v>Pingshui main list, Lu Qinli gap fill</x:v>
      </x:c>
    </x:row>
    <x:row r="5531">
      <x:c r="A5531" s="5" t="str">
        <x:v>溔</x:v>
      </x:c>
      <x:c r="B5531" s="6" t="str">
        <x:v>上</x:v>
      </x:c>
      <x:c r="C5531" s="6" t="str">
        <x:f>IF(B5531="","Needs decision","Ready")</x:f>
        <x:v>Ready</x:v>
      </x:c>
      <x:c r="D5531" s="6" t="str">
        <x:v>上</x:v>
      </x:c>
      <x:c r="E5531" s="6" t="str"/>
      <x:c r="F5531" s="6" t="str">
        <x:v>上聲十七篠</x:v>
      </x:c>
      <x:c r="G5531" s="6" t="str">
        <x:v>Pingshui main list, Wikisource-derived DOCX</x:v>
      </x:c>
      <x:c r="H5531" s="6" t="str"/>
      <x:c r="I5531" s="6" t="str">
        <x:v>Lu Qinli gap fill from Pingshui main list; 詞 entries ignored</x:v>
      </x:c>
      <x:c r="J5531" s="6" t="str">
        <x:f>IF(B5531="","",IF(AND(ISNUMBER(SEARCH("平",B5531)),OR(ISNUMBER(SEARCH("上",B5531)),ISNUMBER(SEARCH("去",B5531)),ISNUMBER(SEARCH("入",B5531)))),"Ambiguous",IF(ISNUMBER(SEARCH("平",B5531)),"平","仄")))</x:f>
        <x:v>仄</x:v>
      </x:c>
      <x:c r="K5531" s="6" t="str">
        <x:f>IF(D5531="","",IF(AND(ISNUMBER(SEARCH("平",D5531)),OR(ISNUMBER(SEARCH("上",D5531)),ISNUMBER(SEARCH("去",D5531)),ISNUMBER(SEARCH("入",D5531)))),"Ambiguous",IF(ISNUMBER(SEARCH("平",D5531)),"平","仄")))</x:f>
        <x:v>仄</x:v>
      </x:c>
      <x:c r="L5531" s="7" t="str">
        <x:v>Pingshui main list, Lu Qinli gap fill</x:v>
      </x:c>
    </x:row>
    <x:row r="5532">
      <x:c r="A5532" s="5" t="str">
        <x:v>溘</x:v>
      </x:c>
      <x:c r="B5532" s="6" t="str">
        <x:v>入</x:v>
      </x:c>
      <x:c r="C5532" s="6" t="str">
        <x:f>IF(B5532="","Needs decision","Ready")</x:f>
        <x:v>Ready</x:v>
      </x:c>
      <x:c r="D5532" s="6" t="str">
        <x:v>入</x:v>
      </x:c>
      <x:c r="E5532" s="6" t="str"/>
      <x:c r="F5532" s="6" t="str">
        <x:v>入聲十五合</x:v>
      </x:c>
      <x:c r="G5532" s="6" t="str">
        <x:v>Pingshui main list, Wikisource-derived DOCX</x:v>
      </x:c>
      <x:c r="H5532" s="6" t="str"/>
      <x:c r="I5532" s="6" t="str">
        <x:v>Lu Qinli gap fill from Pingshui main list; 詞 entries ignored</x:v>
      </x:c>
      <x:c r="J5532" s="6" t="str">
        <x:f>IF(B5532="","",IF(AND(ISNUMBER(SEARCH("平",B5532)),OR(ISNUMBER(SEARCH("上",B5532)),ISNUMBER(SEARCH("去",B5532)),ISNUMBER(SEARCH("入",B5532)))),"Ambiguous",IF(ISNUMBER(SEARCH("平",B5532)),"平","仄")))</x:f>
        <x:v>仄</x:v>
      </x:c>
      <x:c r="K5532" s="6" t="str">
        <x:f>IF(D5532="","",IF(AND(ISNUMBER(SEARCH("平",D5532)),OR(ISNUMBER(SEARCH("上",D5532)),ISNUMBER(SEARCH("去",D5532)),ISNUMBER(SEARCH("入",D5532)))),"Ambiguous",IF(ISNUMBER(SEARCH("平",D5532)),"平","仄")))</x:f>
        <x:v>仄</x:v>
      </x:c>
      <x:c r="L5532" s="7" t="str">
        <x:v>Pingshui main list, Lu Qinli gap fill</x:v>
      </x:c>
    </x:row>
    <x:row r="5533">
      <x:c r="A5533" s="5" t="str">
        <x:v>溟</x:v>
      </x:c>
      <x:c r="B5533" s="6" t="str"/>
      <x:c r="C5533" s="6" t="str">
        <x:f>IF(B5533="","Needs decision","Ready")</x:f>
        <x:v>Needs decision</x:v>
      </x:c>
      <x:c r="D5533" s="6" t="str">
        <x:v>平/上</x:v>
      </x:c>
      <x:c r="E5533" s="6" t="str"/>
      <x:c r="F5533" s="6" t="str">
        <x:v>下平聲九青; 上聲二十四迥</x:v>
      </x:c>
      <x:c r="G5533" s="6" t="str">
        <x:v>Pingshui main list, Wikisource-derived DOCX</x:v>
      </x:c>
      <x:c r="H5533" s="6" t="str"/>
      <x:c r="I5533" s="6" t="str">
        <x:v>Lu Qinli gap fill from Pingshui main list; 詞 entries ignored</x:v>
      </x:c>
      <x:c r="J5533" s="6" t="str">
        <x:f>IF(B5533="","",IF(AND(ISNUMBER(SEARCH("平",B5533)),OR(ISNUMBER(SEARCH("上",B5533)),ISNUMBER(SEARCH("去",B5533)),ISNUMBER(SEARCH("入",B5533)))),"Ambiguous",IF(ISNUMBER(SEARCH("平",B5533)),"平","仄")))</x:f>
      </x:c>
      <x:c r="K5533" s="6" t="str">
        <x:f>IF(D5533="","",IF(AND(ISNUMBER(SEARCH("平",D5533)),OR(ISNUMBER(SEARCH("上",D5533)),ISNUMBER(SEARCH("去",D5533)),ISNUMBER(SEARCH("入",D5533)))),"Ambiguous",IF(ISNUMBER(SEARCH("平",D5533)),"平","仄")))</x:f>
        <x:v>Ambiguous</x:v>
      </x:c>
      <x:c r="L5533" s="7" t="str">
        <x:v>Pingshui main list, Lu Qinli gap fill</x:v>
      </x:c>
    </x:row>
    <x:row r="5534">
      <x:c r="A5534" s="5" t="str">
        <x:v>溱</x:v>
      </x:c>
      <x:c r="B5534" s="6" t="str">
        <x:v>平</x:v>
      </x:c>
      <x:c r="C5534" s="6" t="str">
        <x:f>IF(B5534="","Needs decision","Ready")</x:f>
        <x:v>Ready</x:v>
      </x:c>
      <x:c r="D5534" s="6" t="str">
        <x:v>平</x:v>
      </x:c>
      <x:c r="E5534" s="6" t="str"/>
      <x:c r="F5534" s="6" t="str">
        <x:v>上平聲十一真</x:v>
      </x:c>
      <x:c r="G5534" s="6" t="str">
        <x:v>Pingshui main list, Wikisource-derived DOCX</x:v>
      </x:c>
      <x:c r="H5534" s="6" t="str"/>
      <x:c r="I5534" s="6" t="str">
        <x:v>Lu Qinli gap fill from Pingshui main list; 詞 entries ignored</x:v>
      </x:c>
      <x:c r="J5534" s="6" t="str">
        <x:f>IF(B5534="","",IF(AND(ISNUMBER(SEARCH("平",B5534)),OR(ISNUMBER(SEARCH("上",B5534)),ISNUMBER(SEARCH("去",B5534)),ISNUMBER(SEARCH("入",B5534)))),"Ambiguous",IF(ISNUMBER(SEARCH("平",B5534)),"平","仄")))</x:f>
        <x:v>平</x:v>
      </x:c>
      <x:c r="K5534" s="6" t="str">
        <x:f>IF(D5534="","",IF(AND(ISNUMBER(SEARCH("平",D5534)),OR(ISNUMBER(SEARCH("上",D5534)),ISNUMBER(SEARCH("去",D5534)),ISNUMBER(SEARCH("入",D5534)))),"Ambiguous",IF(ISNUMBER(SEARCH("平",D5534)),"平","仄")))</x:f>
        <x:v>平</x:v>
      </x:c>
      <x:c r="L5534" s="7" t="str">
        <x:v>Pingshui main list, Lu Qinli gap fill</x:v>
      </x:c>
    </x:row>
    <x:row r="5535">
      <x:c r="A5535" s="5" t="str">
        <x:v>溲</x:v>
      </x:c>
      <x:c r="B5535" s="6" t="str">
        <x:v>平</x:v>
      </x:c>
      <x:c r="C5535" s="6" t="str">
        <x:f>IF(B5535="","Needs decision","Ready")</x:f>
        <x:v>Ready</x:v>
      </x:c>
      <x:c r="D5535" s="6" t="str">
        <x:v>平</x:v>
      </x:c>
      <x:c r="E5535" s="6" t="str"/>
      <x:c r="F5535" s="6" t="str">
        <x:v>下平聲十一尤</x:v>
      </x:c>
      <x:c r="G5535" s="6" t="str">
        <x:v>Pingshui main list, Wikisource-derived DOCX</x:v>
      </x:c>
      <x:c r="H5535" s="6" t="str"/>
      <x:c r="I5535" s="6" t="str">
        <x:v>Lu Qinli gap fill from Pingshui main list; 詞 entries ignored</x:v>
      </x:c>
      <x:c r="J5535" s="6" t="str">
        <x:f>IF(B5535="","",IF(AND(ISNUMBER(SEARCH("平",B5535)),OR(ISNUMBER(SEARCH("上",B5535)),ISNUMBER(SEARCH("去",B5535)),ISNUMBER(SEARCH("入",B5535)))),"Ambiguous",IF(ISNUMBER(SEARCH("平",B5535)),"平","仄")))</x:f>
        <x:v>平</x:v>
      </x:c>
      <x:c r="K5535" s="6" t="str">
        <x:f>IF(D5535="","",IF(AND(ISNUMBER(SEARCH("平",D5535)),OR(ISNUMBER(SEARCH("上",D5535)),ISNUMBER(SEARCH("去",D5535)),ISNUMBER(SEARCH("入",D5535)))),"Ambiguous",IF(ISNUMBER(SEARCH("平",D5535)),"平","仄")))</x:f>
        <x:v>平</x:v>
      </x:c>
      <x:c r="L5535" s="7" t="str">
        <x:v>Pingshui main list, Lu Qinli gap fill</x:v>
      </x:c>
    </x:row>
    <x:row r="5536">
      <x:c r="A5536" s="5" t="str">
        <x:v>溷</x:v>
      </x:c>
      <x:c r="B5536" s="6" t="str"/>
      <x:c r="C5536" s="6" t="str">
        <x:f>IF(B5536="","Needs decision","Ready")</x:f>
        <x:v>Needs decision</x:v>
      </x:c>
      <x:c r="D5536" s="6" t="str">
        <x:v>平/去</x:v>
      </x:c>
      <x:c r="E5536" s="6" t="str"/>
      <x:c r="F5536" s="6" t="str">
        <x:v>上平聲十三元; 去聲十四願</x:v>
      </x:c>
      <x:c r="G5536" s="6" t="str">
        <x:v>Pingshui main list, Wikisource-derived DOCX</x:v>
      </x:c>
      <x:c r="H5536" s="6" t="str"/>
      <x:c r="I5536" s="6" t="str">
        <x:v>Lu Qinli gap fill from Pingshui main list; 詞 entries ignored</x:v>
      </x:c>
      <x:c r="J5536" s="6" t="str">
        <x:f>IF(B5536="","",IF(AND(ISNUMBER(SEARCH("平",B5536)),OR(ISNUMBER(SEARCH("上",B5536)),ISNUMBER(SEARCH("去",B5536)),ISNUMBER(SEARCH("入",B5536)))),"Ambiguous",IF(ISNUMBER(SEARCH("平",B5536)),"平","仄")))</x:f>
      </x:c>
      <x:c r="K5536" s="6" t="str">
        <x:f>IF(D5536="","",IF(AND(ISNUMBER(SEARCH("平",D5536)),OR(ISNUMBER(SEARCH("上",D5536)),ISNUMBER(SEARCH("去",D5536)),ISNUMBER(SEARCH("入",D5536)))),"Ambiguous",IF(ISNUMBER(SEARCH("平",D5536)),"平","仄")))</x:f>
        <x:v>Ambiguous</x:v>
      </x:c>
      <x:c r="L5536" s="7" t="str">
        <x:v>Pingshui main list, Lu Qinli gap fill</x:v>
      </x:c>
    </x:row>
    <x:row r="5537">
      <x:c r="A5537" s="5" t="str">
        <x:v>滇</x:v>
      </x:c>
      <x:c r="B5537" s="6" t="str">
        <x:v>平</x:v>
      </x:c>
      <x:c r="C5537" s="6" t="str">
        <x:f>IF(B5537="","Needs decision","Ready")</x:f>
        <x:v>Ready</x:v>
      </x:c>
      <x:c r="D5537" s="6" t="str">
        <x:v>平</x:v>
      </x:c>
      <x:c r="E5537" s="6" t="str"/>
      <x:c r="F5537" s="6" t="str">
        <x:v>下平聲一先</x:v>
      </x:c>
      <x:c r="G5537" s="6" t="str">
        <x:v>Pingshui main list, Wikisource-derived DOCX</x:v>
      </x:c>
      <x:c r="H5537" s="6" t="str"/>
      <x:c r="I5537" s="6" t="str">
        <x:v>Lu Qinli gap fill from Pingshui main list; 詞 entries ignored</x:v>
      </x:c>
      <x:c r="J5537" s="6" t="str">
        <x:f>IF(B5537="","",IF(AND(ISNUMBER(SEARCH("平",B5537)),OR(ISNUMBER(SEARCH("上",B5537)),ISNUMBER(SEARCH("去",B5537)),ISNUMBER(SEARCH("入",B5537)))),"Ambiguous",IF(ISNUMBER(SEARCH("平",B5537)),"平","仄")))</x:f>
        <x:v>平</x:v>
      </x:c>
      <x:c r="K5537" s="6" t="str">
        <x:f>IF(D5537="","",IF(AND(ISNUMBER(SEARCH("平",D5537)),OR(ISNUMBER(SEARCH("上",D5537)),ISNUMBER(SEARCH("去",D5537)),ISNUMBER(SEARCH("入",D5537)))),"Ambiguous",IF(ISNUMBER(SEARCH("平",D5537)),"平","仄")))</x:f>
        <x:v>平</x:v>
      </x:c>
      <x:c r="L5537" s="7" t="str">
        <x:v>Pingshui main list, Lu Qinli gap fill</x:v>
      </x:c>
    </x:row>
    <x:row r="5538">
      <x:c r="A5538" s="5" t="str">
        <x:v>滈</x:v>
      </x:c>
      <x:c r="B5538" s="6" t="str">
        <x:v>上</x:v>
      </x:c>
      <x:c r="C5538" s="6" t="str">
        <x:f>IF(B5538="","Needs decision","Ready")</x:f>
        <x:v>Ready</x:v>
      </x:c>
      <x:c r="D5538" s="6" t="str">
        <x:v>上</x:v>
      </x:c>
      <x:c r="E5538" s="6" t="str"/>
      <x:c r="F5538" s="6" t="str">
        <x:v>上聲十九皓</x:v>
      </x:c>
      <x:c r="G5538" s="6" t="str">
        <x:v>Pingshui main list, Wikisource-derived DOCX</x:v>
      </x:c>
      <x:c r="H5538" s="6" t="str"/>
      <x:c r="I5538" s="6" t="str">
        <x:v>Lu Qinli gap fill from Pingshui main list; 詞 entries ignored</x:v>
      </x:c>
      <x:c r="J5538" s="6" t="str">
        <x:f>IF(B5538="","",IF(AND(ISNUMBER(SEARCH("平",B5538)),OR(ISNUMBER(SEARCH("上",B5538)),ISNUMBER(SEARCH("去",B5538)),ISNUMBER(SEARCH("入",B5538)))),"Ambiguous",IF(ISNUMBER(SEARCH("平",B5538)),"平","仄")))</x:f>
        <x:v>仄</x:v>
      </x:c>
      <x:c r="K5538" s="6" t="str">
        <x:f>IF(D5538="","",IF(AND(ISNUMBER(SEARCH("平",D5538)),OR(ISNUMBER(SEARCH("上",D5538)),ISNUMBER(SEARCH("去",D5538)),ISNUMBER(SEARCH("入",D5538)))),"Ambiguous",IF(ISNUMBER(SEARCH("平",D5538)),"平","仄")))</x:f>
        <x:v>仄</x:v>
      </x:c>
      <x:c r="L5538" s="7" t="str">
        <x:v>Pingshui main list, Lu Qinli gap fill</x:v>
      </x:c>
    </x:row>
    <x:row r="5539">
      <x:c r="A5539" s="5" t="str">
        <x:v>滉</x:v>
      </x:c>
      <x:c r="B5539" s="6" t="str">
        <x:v>上</x:v>
      </x:c>
      <x:c r="C5539" s="6" t="str">
        <x:f>IF(B5539="","Needs decision","Ready")</x:f>
        <x:v>Ready</x:v>
      </x:c>
      <x:c r="D5539" s="6" t="str">
        <x:v>上</x:v>
      </x:c>
      <x:c r="E5539" s="6" t="str"/>
      <x:c r="F5539" s="6" t="str">
        <x:v>上聲二十二養</x:v>
      </x:c>
      <x:c r="G5539" s="6" t="str">
        <x:v>Pingshui main list, Wikisource-derived DOCX</x:v>
      </x:c>
      <x:c r="H5539" s="6" t="str"/>
      <x:c r="I5539" s="6" t="str">
        <x:v>Lu Qinli gap fill from Pingshui main list; 詞 entries ignored</x:v>
      </x:c>
      <x:c r="J5539" s="6" t="str">
        <x:f>IF(B5539="","",IF(AND(ISNUMBER(SEARCH("平",B5539)),OR(ISNUMBER(SEARCH("上",B5539)),ISNUMBER(SEARCH("去",B5539)),ISNUMBER(SEARCH("入",B5539)))),"Ambiguous",IF(ISNUMBER(SEARCH("平",B5539)),"平","仄")))</x:f>
        <x:v>仄</x:v>
      </x:c>
      <x:c r="K5539" s="6" t="str">
        <x:f>IF(D5539="","",IF(AND(ISNUMBER(SEARCH("平",D5539)),OR(ISNUMBER(SEARCH("上",D5539)),ISNUMBER(SEARCH("去",D5539)),ISNUMBER(SEARCH("入",D5539)))),"Ambiguous",IF(ISNUMBER(SEARCH("平",D5539)),"平","仄")))</x:f>
        <x:v>仄</x:v>
      </x:c>
      <x:c r="L5539" s="7" t="str">
        <x:v>Pingshui main list, Lu Qinli gap fill</x:v>
      </x:c>
    </x:row>
    <x:row r="5540">
      <x:c r="A5540" s="5" t="str">
        <x:v>滎</x:v>
      </x:c>
      <x:c r="B5540" s="6" t="str">
        <x:v>平</x:v>
      </x:c>
      <x:c r="C5540" s="6" t="str">
        <x:f>IF(B5540="","Needs decision","Ready")</x:f>
        <x:v>Ready</x:v>
      </x:c>
      <x:c r="D5540" s="6" t="str">
        <x:v>平</x:v>
      </x:c>
      <x:c r="E5540" s="6" t="str"/>
      <x:c r="F5540" s="6" t="str">
        <x:v>下平聲九青</x:v>
      </x:c>
      <x:c r="G5540" s="6" t="str">
        <x:v>Pingshui main list, Wikisource-derived DOCX</x:v>
      </x:c>
      <x:c r="H5540" s="6" t="str"/>
      <x:c r="I5540" s="6" t="str">
        <x:v>Lu Qinli gap fill from Pingshui main list; 詞 entries ignored</x:v>
      </x:c>
      <x:c r="J5540" s="6" t="str">
        <x:f>IF(B5540="","",IF(AND(ISNUMBER(SEARCH("平",B5540)),OR(ISNUMBER(SEARCH("上",B5540)),ISNUMBER(SEARCH("去",B5540)),ISNUMBER(SEARCH("入",B5540)))),"Ambiguous",IF(ISNUMBER(SEARCH("平",B5540)),"平","仄")))</x:f>
        <x:v>平</x:v>
      </x:c>
      <x:c r="K5540" s="6" t="str">
        <x:f>IF(D5540="","",IF(AND(ISNUMBER(SEARCH("平",D5540)),OR(ISNUMBER(SEARCH("上",D5540)),ISNUMBER(SEARCH("去",D5540)),ISNUMBER(SEARCH("入",D5540)))),"Ambiguous",IF(ISNUMBER(SEARCH("平",D5540)),"平","仄")))</x:f>
        <x:v>平</x:v>
      </x:c>
      <x:c r="L5540" s="7" t="str">
        <x:v>Pingshui main list, Lu Qinli gap fill</x:v>
      </x:c>
    </x:row>
    <x:row r="5541">
      <x:c r="A5541" s="5" t="str">
        <x:v>滫</x:v>
      </x:c>
      <x:c r="B5541" s="6" t="str">
        <x:v>上</x:v>
      </x:c>
      <x:c r="C5541" s="6" t="str">
        <x:f>IF(B5541="","Needs decision","Ready")</x:f>
        <x:v>Ready</x:v>
      </x:c>
      <x:c r="D5541" s="6" t="str">
        <x:v>上</x:v>
      </x:c>
      <x:c r="E5541" s="6" t="str"/>
      <x:c r="F5541" s="6" t="str">
        <x:v>上聲二十五有</x:v>
      </x:c>
      <x:c r="G5541" s="6" t="str">
        <x:v>Pingshui main list, Wikisource-derived DOCX</x:v>
      </x:c>
      <x:c r="H5541" s="6" t="str"/>
      <x:c r="I5541" s="6" t="str">
        <x:v>Lu Qinli gap fill from Pingshui main list; 詞 entries ignored</x:v>
      </x:c>
      <x:c r="J5541" s="6" t="str">
        <x:f>IF(B5541="","",IF(AND(ISNUMBER(SEARCH("平",B5541)),OR(ISNUMBER(SEARCH("上",B5541)),ISNUMBER(SEARCH("去",B5541)),ISNUMBER(SEARCH("入",B5541)))),"Ambiguous",IF(ISNUMBER(SEARCH("平",B5541)),"平","仄")))</x:f>
        <x:v>仄</x:v>
      </x:c>
      <x:c r="K5541" s="6" t="str">
        <x:f>IF(D5541="","",IF(AND(ISNUMBER(SEARCH("平",D5541)),OR(ISNUMBER(SEARCH("上",D5541)),ISNUMBER(SEARCH("去",D5541)),ISNUMBER(SEARCH("入",D5541)))),"Ambiguous",IF(ISNUMBER(SEARCH("平",D5541)),"平","仄")))</x:f>
        <x:v>仄</x:v>
      </x:c>
      <x:c r="L5541" s="7" t="str">
        <x:v>Pingshui main list, Lu Qinli gap fill</x:v>
      </x:c>
    </x:row>
    <x:row r="5542">
      <x:c r="A5542" s="5" t="str">
        <x:v>滬</x:v>
      </x:c>
      <x:c r="B5542" s="6" t="str">
        <x:v>上</x:v>
      </x:c>
      <x:c r="C5542" s="6" t="str">
        <x:f>IF(B5542="","Needs decision","Ready")</x:f>
        <x:v>Ready</x:v>
      </x:c>
      <x:c r="D5542" s="6" t="str">
        <x:v>上</x:v>
      </x:c>
      <x:c r="E5542" s="6" t="str"/>
      <x:c r="F5542" s="6" t="str">
        <x:v>上聲七麌</x:v>
      </x:c>
      <x:c r="G5542" s="6" t="str">
        <x:v>Pingshui main list, Wikisource-derived DOCX</x:v>
      </x:c>
      <x:c r="H5542" s="6" t="str"/>
      <x:c r="I5542" s="6" t="str">
        <x:v>Lu Qinli gap fill from Pingshui main list; 詞 entries ignored</x:v>
      </x:c>
      <x:c r="J5542" s="6" t="str">
        <x:f>IF(B5542="","",IF(AND(ISNUMBER(SEARCH("平",B5542)),OR(ISNUMBER(SEARCH("上",B5542)),ISNUMBER(SEARCH("去",B5542)),ISNUMBER(SEARCH("入",B5542)))),"Ambiguous",IF(ISNUMBER(SEARCH("平",B5542)),"平","仄")))</x:f>
        <x:v>仄</x:v>
      </x:c>
      <x:c r="K5542" s="6" t="str">
        <x:f>IF(D5542="","",IF(AND(ISNUMBER(SEARCH("平",D5542)),OR(ISNUMBER(SEARCH("上",D5542)),ISNUMBER(SEARCH("去",D5542)),ISNUMBER(SEARCH("入",D5542)))),"Ambiguous",IF(ISNUMBER(SEARCH("平",D5542)),"平","仄")))</x:f>
        <x:v>仄</x:v>
      </x:c>
      <x:c r="L5542" s="7" t="str">
        <x:v>Pingshui main list, Lu Qinli gap fill</x:v>
      </x:c>
    </x:row>
    <x:row r="5543">
      <x:c r="A5543" s="5" t="str">
        <x:v>滲</x:v>
      </x:c>
      <x:c r="B5543" s="6" t="str">
        <x:v>去</x:v>
      </x:c>
      <x:c r="C5543" s="6" t="str">
        <x:f>IF(B5543="","Needs decision","Ready")</x:f>
        <x:v>Ready</x:v>
      </x:c>
      <x:c r="D5543" s="6" t="str">
        <x:v>去</x:v>
      </x:c>
      <x:c r="E5543" s="6" t="str"/>
      <x:c r="F5543" s="6" t="str">
        <x:v>去聲二十七沁</x:v>
      </x:c>
      <x:c r="G5543" s="6" t="str">
        <x:v>Pingshui main list, Wikisource-derived DOCX</x:v>
      </x:c>
      <x:c r="H5543" s="6" t="str"/>
      <x:c r="I5543" s="6" t="str">
        <x:v>Lu Qinli gap fill from Pingshui main list; 詞 entries ignored</x:v>
      </x:c>
      <x:c r="J5543" s="6" t="str">
        <x:f>IF(B5543="","",IF(AND(ISNUMBER(SEARCH("平",B5543)),OR(ISNUMBER(SEARCH("上",B5543)),ISNUMBER(SEARCH("去",B5543)),ISNUMBER(SEARCH("入",B5543)))),"Ambiguous",IF(ISNUMBER(SEARCH("平",B5543)),"平","仄")))</x:f>
        <x:v>仄</x:v>
      </x:c>
      <x:c r="K5543" s="6" t="str">
        <x:f>IF(D5543="","",IF(AND(ISNUMBER(SEARCH("平",D5543)),OR(ISNUMBER(SEARCH("上",D5543)),ISNUMBER(SEARCH("去",D5543)),ISNUMBER(SEARCH("入",D5543)))),"Ambiguous",IF(ISNUMBER(SEARCH("平",D5543)),"平","仄")))</x:f>
        <x:v>仄</x:v>
      </x:c>
      <x:c r="L5543" s="7" t="str">
        <x:v>Pingshui main list, Lu Qinli gap fill</x:v>
      </x:c>
    </x:row>
    <x:row r="5544">
      <x:c r="A5544" s="5" t="str">
        <x:v>滷</x:v>
      </x:c>
      <x:c r="B5544" s="6" t="str">
        <x:v>上</x:v>
      </x:c>
      <x:c r="C5544" s="6" t="str">
        <x:f>IF(B5544="","Needs decision","Ready")</x:f>
        <x:v>Ready</x:v>
      </x:c>
      <x:c r="D5544" s="6" t="str">
        <x:v>上</x:v>
      </x:c>
      <x:c r="E5544" s="6" t="str"/>
      <x:c r="F5544" s="6" t="str">
        <x:v>上聲七麌</x:v>
      </x:c>
      <x:c r="G5544" s="6" t="str">
        <x:v>Pingshui main list, Wikisource-derived DOCX</x:v>
      </x:c>
      <x:c r="H5544" s="6" t="str"/>
      <x:c r="I5544" s="6" t="str">
        <x:v>Lu Qinli gap fill from Pingshui main list; 詞 entries ignored</x:v>
      </x:c>
      <x:c r="J5544" s="6" t="str">
        <x:f>IF(B5544="","",IF(AND(ISNUMBER(SEARCH("平",B5544)),OR(ISNUMBER(SEARCH("上",B5544)),ISNUMBER(SEARCH("去",B5544)),ISNUMBER(SEARCH("入",B5544)))),"Ambiguous",IF(ISNUMBER(SEARCH("平",B5544)),"平","仄")))</x:f>
        <x:v>仄</x:v>
      </x:c>
      <x:c r="K5544" s="6" t="str">
        <x:f>IF(D5544="","",IF(AND(ISNUMBER(SEARCH("平",D5544)),OR(ISNUMBER(SEARCH("上",D5544)),ISNUMBER(SEARCH("去",D5544)),ISNUMBER(SEARCH("入",D5544)))),"Ambiguous",IF(ISNUMBER(SEARCH("平",D5544)),"平","仄")))</x:f>
        <x:v>仄</x:v>
      </x:c>
      <x:c r="L5544" s="7" t="str">
        <x:v>Pingshui main list, Lu Qinli gap fill</x:v>
      </x:c>
    </x:row>
    <x:row r="5545">
      <x:c r="A5545" s="5" t="str">
        <x:v>滻</x:v>
      </x:c>
      <x:c r="B5545" s="6" t="str">
        <x:v>上</x:v>
      </x:c>
      <x:c r="C5545" s="6" t="str">
        <x:f>IF(B5545="","Needs decision","Ready")</x:f>
        <x:v>Ready</x:v>
      </x:c>
      <x:c r="D5545" s="6" t="str">
        <x:v>上</x:v>
      </x:c>
      <x:c r="E5545" s="6" t="str"/>
      <x:c r="F5545" s="6" t="str">
        <x:v>上聲十五潸</x:v>
      </x:c>
      <x:c r="G5545" s="6" t="str">
        <x:v>Pingshui main list, Wikisource-derived DOCX</x:v>
      </x:c>
      <x:c r="H5545" s="6" t="str"/>
      <x:c r="I5545" s="6" t="str">
        <x:v>Lu Qinli gap fill from Pingshui main list; 詞 entries ignored</x:v>
      </x:c>
      <x:c r="J5545" s="6" t="str">
        <x:f>IF(B5545="","",IF(AND(ISNUMBER(SEARCH("平",B5545)),OR(ISNUMBER(SEARCH("上",B5545)),ISNUMBER(SEARCH("去",B5545)),ISNUMBER(SEARCH("入",B5545)))),"Ambiguous",IF(ISNUMBER(SEARCH("平",B5545)),"平","仄")))</x:f>
        <x:v>仄</x:v>
      </x:c>
      <x:c r="K5545" s="6" t="str">
        <x:f>IF(D5545="","",IF(AND(ISNUMBER(SEARCH("平",D5545)),OR(ISNUMBER(SEARCH("上",D5545)),ISNUMBER(SEARCH("去",D5545)),ISNUMBER(SEARCH("入",D5545)))),"Ambiguous",IF(ISNUMBER(SEARCH("平",D5545)),"平","仄")))</x:f>
        <x:v>仄</x:v>
      </x:c>
      <x:c r="L5545" s="7" t="str">
        <x:v>Pingshui main list, Lu Qinli gap fill</x:v>
      </x:c>
    </x:row>
    <x:row r="5546">
      <x:c r="A5546" s="5" t="str">
        <x:v>漉</x:v>
      </x:c>
      <x:c r="B5546" s="6" t="str">
        <x:v>入</x:v>
      </x:c>
      <x:c r="C5546" s="6" t="str">
        <x:f>IF(B5546="","Needs decision","Ready")</x:f>
        <x:v>Ready</x:v>
      </x:c>
      <x:c r="D5546" s="6" t="str">
        <x:v>入</x:v>
      </x:c>
      <x:c r="E5546" s="6" t="str"/>
      <x:c r="F5546" s="6" t="str">
        <x:v>入聲一屋</x:v>
      </x:c>
      <x:c r="G5546" s="6" t="str">
        <x:v>Pingshui main list, Wikisource-derived DOCX</x:v>
      </x:c>
      <x:c r="H5546" s="6" t="str"/>
      <x:c r="I5546" s="6" t="str">
        <x:v>Lu Qinli gap fill from Pingshui main list; 詞 entries ignored</x:v>
      </x:c>
      <x:c r="J5546" s="6" t="str">
        <x:f>IF(B5546="","",IF(AND(ISNUMBER(SEARCH("平",B5546)),OR(ISNUMBER(SEARCH("上",B5546)),ISNUMBER(SEARCH("去",B5546)),ISNUMBER(SEARCH("入",B5546)))),"Ambiguous",IF(ISNUMBER(SEARCH("平",B5546)),"平","仄")))</x:f>
        <x:v>仄</x:v>
      </x:c>
      <x:c r="K5546" s="6" t="str">
        <x:f>IF(D5546="","",IF(AND(ISNUMBER(SEARCH("平",D5546)),OR(ISNUMBER(SEARCH("上",D5546)),ISNUMBER(SEARCH("去",D5546)),ISNUMBER(SEARCH("入",D5546)))),"Ambiguous",IF(ISNUMBER(SEARCH("平",D5546)),"平","仄")))</x:f>
        <x:v>仄</x:v>
      </x:c>
      <x:c r="L5546" s="7" t="str">
        <x:v>Pingshui main list, Lu Qinli gap fill</x:v>
      </x:c>
    </x:row>
    <x:row r="5547">
      <x:c r="A5547" s="5" t="str">
        <x:v>漕</x:v>
      </x:c>
      <x:c r="B5547" s="6" t="str"/>
      <x:c r="C5547" s="6" t="str">
        <x:f>IF(B5547="","Needs decision","Ready")</x:f>
        <x:v>Needs decision</x:v>
      </x:c>
      <x:c r="D5547" s="6" t="str">
        <x:v>平/去</x:v>
      </x:c>
      <x:c r="E5547" s="6" t="str"/>
      <x:c r="F5547" s="6" t="str">
        <x:v>下平聲四豪; 去聲二十號</x:v>
      </x:c>
      <x:c r="G5547" s="6" t="str">
        <x:v>Pingshui main list, Wikisource-derived DOCX</x:v>
      </x:c>
      <x:c r="H5547" s="6" t="str"/>
      <x:c r="I5547" s="6" t="str">
        <x:v>Lu Qinli gap fill from Pingshui main list; 詞 entries ignored</x:v>
      </x:c>
      <x:c r="J5547" s="6" t="str">
        <x:f>IF(B5547="","",IF(AND(ISNUMBER(SEARCH("平",B5547)),OR(ISNUMBER(SEARCH("上",B5547)),ISNUMBER(SEARCH("去",B5547)),ISNUMBER(SEARCH("入",B5547)))),"Ambiguous",IF(ISNUMBER(SEARCH("平",B5547)),"平","仄")))</x:f>
      </x:c>
      <x:c r="K5547" s="6" t="str">
        <x:f>IF(D5547="","",IF(AND(ISNUMBER(SEARCH("平",D5547)),OR(ISNUMBER(SEARCH("上",D5547)),ISNUMBER(SEARCH("去",D5547)),ISNUMBER(SEARCH("入",D5547)))),"Ambiguous",IF(ISNUMBER(SEARCH("平",D5547)),"平","仄")))</x:f>
        <x:v>Ambiguous</x:v>
      </x:c>
      <x:c r="L5547" s="7" t="str">
        <x:v>Pingshui main list, Lu Qinli gap fill</x:v>
      </x:c>
    </x:row>
    <x:row r="5548">
      <x:c r="A5548" s="5" t="str">
        <x:v>漚</x:v>
      </x:c>
      <x:c r="B5548" s="6" t="str"/>
      <x:c r="C5548" s="6" t="str">
        <x:f>IF(B5548="","Needs decision","Ready")</x:f>
        <x:v>Needs decision</x:v>
      </x:c>
      <x:c r="D5548" s="6" t="str">
        <x:v>平/去</x:v>
      </x:c>
      <x:c r="E5548" s="6" t="str"/>
      <x:c r="F5548" s="6" t="str">
        <x:v>下平聲十一尤; 去聲二十六宥</x:v>
      </x:c>
      <x:c r="G5548" s="6" t="str">
        <x:v>Pingshui main list, Wikisource-derived DOCX</x:v>
      </x:c>
      <x:c r="H5548" s="6" t="str"/>
      <x:c r="I5548" s="6" t="str">
        <x:v>Lu Qinli gap fill from Pingshui main list; 詞 entries ignored</x:v>
      </x:c>
      <x:c r="J5548" s="6" t="str">
        <x:f>IF(B5548="","",IF(AND(ISNUMBER(SEARCH("平",B5548)),OR(ISNUMBER(SEARCH("上",B5548)),ISNUMBER(SEARCH("去",B5548)),ISNUMBER(SEARCH("入",B5548)))),"Ambiguous",IF(ISNUMBER(SEARCH("平",B5548)),"平","仄")))</x:f>
      </x:c>
      <x:c r="K5548" s="6" t="str">
        <x:f>IF(D5548="","",IF(AND(ISNUMBER(SEARCH("平",D5548)),OR(ISNUMBER(SEARCH("上",D5548)),ISNUMBER(SEARCH("去",D5548)),ISNUMBER(SEARCH("入",D5548)))),"Ambiguous",IF(ISNUMBER(SEARCH("平",D5548)),"平","仄")))</x:f>
        <x:v>Ambiguous</x:v>
      </x:c>
      <x:c r="L5548" s="7" t="str">
        <x:v>Pingshui main list, Lu Qinli gap fill</x:v>
      </x:c>
    </x:row>
    <x:row r="5549">
      <x:c r="A5549" s="5" t="str">
        <x:v>漦</x:v>
      </x:c>
      <x:c r="B5549" s="6" t="str">
        <x:v>平</x:v>
      </x:c>
      <x:c r="C5549" s="6" t="str">
        <x:f>IF(B5549="","Needs decision","Ready")</x:f>
        <x:v>Ready</x:v>
      </x:c>
      <x:c r="D5549" s="6" t="str">
        <x:v>平</x:v>
      </x:c>
      <x:c r="E5549" s="6" t="str"/>
      <x:c r="F5549" s="6" t="str">
        <x:v>上平聲四支</x:v>
      </x:c>
      <x:c r="G5549" s="6" t="str">
        <x:v>Pingshui main list, Wikisource-derived DOCX</x:v>
      </x:c>
      <x:c r="H5549" s="6" t="str"/>
      <x:c r="I5549" s="6" t="str">
        <x:v>Lu Qinli gap fill from Pingshui main list; 詞 entries ignored</x:v>
      </x:c>
      <x:c r="J5549" s="6" t="str">
        <x:f>IF(B5549="","",IF(AND(ISNUMBER(SEARCH("平",B5549)),OR(ISNUMBER(SEARCH("上",B5549)),ISNUMBER(SEARCH("去",B5549)),ISNUMBER(SEARCH("入",B5549)))),"Ambiguous",IF(ISNUMBER(SEARCH("平",B5549)),"平","仄")))</x:f>
        <x:v>平</x:v>
      </x:c>
      <x:c r="K5549" s="6" t="str">
        <x:f>IF(D5549="","",IF(AND(ISNUMBER(SEARCH("平",D5549)),OR(ISNUMBER(SEARCH("上",D5549)),ISNUMBER(SEARCH("去",D5549)),ISNUMBER(SEARCH("入",D5549)))),"Ambiguous",IF(ISNUMBER(SEARCH("平",D5549)),"平","仄")))</x:f>
        <x:v>平</x:v>
      </x:c>
      <x:c r="L5549" s="7" t="str">
        <x:v>Pingshui main list, Lu Qinli gap fill</x:v>
      </x:c>
    </x:row>
    <x:row r="5550">
      <x:c r="A5550" s="5" t="str">
        <x:v>漪</x:v>
      </x:c>
      <x:c r="B5550" s="6" t="str">
        <x:v>平</x:v>
      </x:c>
      <x:c r="C5550" s="6" t="str">
        <x:f>IF(B5550="","Needs decision","Ready")</x:f>
        <x:v>Ready</x:v>
      </x:c>
      <x:c r="D5550" s="6" t="str">
        <x:v>平</x:v>
      </x:c>
      <x:c r="E5550" s="6" t="str"/>
      <x:c r="F5550" s="6" t="str">
        <x:v>上平聲四支</x:v>
      </x:c>
      <x:c r="G5550" s="6" t="str">
        <x:v>Pingshui main list, Wikisource-derived DOCX</x:v>
      </x:c>
      <x:c r="H5550" s="6" t="str"/>
      <x:c r="I5550" s="6" t="str">
        <x:v>Lu Qinli gap fill from Pingshui main list; 詞 entries ignored</x:v>
      </x:c>
      <x:c r="J5550" s="6" t="str">
        <x:f>IF(B5550="","",IF(AND(ISNUMBER(SEARCH("平",B5550)),OR(ISNUMBER(SEARCH("上",B5550)),ISNUMBER(SEARCH("去",B5550)),ISNUMBER(SEARCH("入",B5550)))),"Ambiguous",IF(ISNUMBER(SEARCH("平",B5550)),"平","仄")))</x:f>
        <x:v>平</x:v>
      </x:c>
      <x:c r="K5550" s="6" t="str">
        <x:f>IF(D5550="","",IF(AND(ISNUMBER(SEARCH("平",D5550)),OR(ISNUMBER(SEARCH("上",D5550)),ISNUMBER(SEARCH("去",D5550)),ISNUMBER(SEARCH("入",D5550)))),"Ambiguous",IF(ISNUMBER(SEARCH("平",D5550)),"平","仄")))</x:f>
        <x:v>平</x:v>
      </x:c>
      <x:c r="L5550" s="7" t="str">
        <x:v>Pingshui main list, Lu Qinli gap fill</x:v>
      </x:c>
    </x:row>
    <x:row r="5551">
      <x:c r="A5551" s="5" t="str">
        <x:v>漬</x:v>
      </x:c>
      <x:c r="B5551" s="6" t="str">
        <x:v>去</x:v>
      </x:c>
      <x:c r="C5551" s="6" t="str">
        <x:f>IF(B5551="","Needs decision","Ready")</x:f>
        <x:v>Ready</x:v>
      </x:c>
      <x:c r="D5551" s="6" t="str">
        <x:v>去</x:v>
      </x:c>
      <x:c r="E5551" s="6" t="str"/>
      <x:c r="F5551" s="6" t="str">
        <x:v>去聲四寘</x:v>
      </x:c>
      <x:c r="G5551" s="6" t="str">
        <x:v>Pingshui main list, Wikisource-derived DOCX</x:v>
      </x:c>
      <x:c r="H5551" s="6" t="str"/>
      <x:c r="I5551" s="6" t="str">
        <x:v>Lu Qinli gap fill from Pingshui main list; 詞 entries ignored</x:v>
      </x:c>
      <x:c r="J5551" s="6" t="str">
        <x:f>IF(B5551="","",IF(AND(ISNUMBER(SEARCH("平",B5551)),OR(ISNUMBER(SEARCH("上",B5551)),ISNUMBER(SEARCH("去",B5551)),ISNUMBER(SEARCH("入",B5551)))),"Ambiguous",IF(ISNUMBER(SEARCH("平",B5551)),"平","仄")))</x:f>
        <x:v>仄</x:v>
      </x:c>
      <x:c r="K5551" s="6" t="str">
        <x:f>IF(D5551="","",IF(AND(ISNUMBER(SEARCH("平",D5551)),OR(ISNUMBER(SEARCH("上",D5551)),ISNUMBER(SEARCH("去",D5551)),ISNUMBER(SEARCH("入",D5551)))),"Ambiguous",IF(ISNUMBER(SEARCH("平",D5551)),"平","仄")))</x:f>
        <x:v>仄</x:v>
      </x:c>
      <x:c r="L5551" s="7" t="str">
        <x:v>Pingshui main list, Lu Qinli gap fill</x:v>
      </x:c>
    </x:row>
    <x:row r="5552">
      <x:c r="A5552" s="5" t="str">
        <x:v>漭</x:v>
      </x:c>
      <x:c r="B5552" s="6" t="str">
        <x:v>上</x:v>
      </x:c>
      <x:c r="C5552" s="6" t="str">
        <x:f>IF(B5552="","Needs decision","Ready")</x:f>
        <x:v>Ready</x:v>
      </x:c>
      <x:c r="D5552" s="6" t="str">
        <x:v>上</x:v>
      </x:c>
      <x:c r="E5552" s="6" t="str"/>
      <x:c r="F5552" s="6" t="str">
        <x:v>上聲二十二養</x:v>
      </x:c>
      <x:c r="G5552" s="6" t="str">
        <x:v>Pingshui main list, Wikisource-derived DOCX</x:v>
      </x:c>
      <x:c r="H5552" s="6" t="str"/>
      <x:c r="I5552" s="6" t="str">
        <x:v>Lu Qinli gap fill from Pingshui main list; 詞 entries ignored</x:v>
      </x:c>
      <x:c r="J5552" s="6" t="str">
        <x:f>IF(B5552="","",IF(AND(ISNUMBER(SEARCH("平",B5552)),OR(ISNUMBER(SEARCH("上",B5552)),ISNUMBER(SEARCH("去",B5552)),ISNUMBER(SEARCH("入",B5552)))),"Ambiguous",IF(ISNUMBER(SEARCH("平",B5552)),"平","仄")))</x:f>
        <x:v>仄</x:v>
      </x:c>
      <x:c r="K5552" s="6" t="str">
        <x:f>IF(D5552="","",IF(AND(ISNUMBER(SEARCH("平",D5552)),OR(ISNUMBER(SEARCH("上",D5552)),ISNUMBER(SEARCH("去",D5552)),ISNUMBER(SEARCH("入",D5552)))),"Ambiguous",IF(ISNUMBER(SEARCH("平",D5552)),"平","仄")))</x:f>
        <x:v>仄</x:v>
      </x:c>
      <x:c r="L5552" s="7" t="str">
        <x:v>Pingshui main list, Lu Qinli gap fill</x:v>
      </x:c>
    </x:row>
    <x:row r="5553">
      <x:c r="A5553" s="5" t="str">
        <x:v>漵</x:v>
      </x:c>
      <x:c r="B5553" s="6" t="str">
        <x:v>上</x:v>
      </x:c>
      <x:c r="C5553" s="6" t="str">
        <x:f>IF(B5553="","Needs decision","Ready")</x:f>
        <x:v>Ready</x:v>
      </x:c>
      <x:c r="D5553" s="6" t="str">
        <x:v>上</x:v>
      </x:c>
      <x:c r="E5553" s="6" t="str"/>
      <x:c r="F5553" s="6" t="str">
        <x:v>上聲六語</x:v>
      </x:c>
      <x:c r="G5553" s="6" t="str">
        <x:v>Pingshui main list, Wikisource-derived DOCX</x:v>
      </x:c>
      <x:c r="H5553" s="6" t="str"/>
      <x:c r="I5553" s="6" t="str">
        <x:v>Lu Qinli gap fill from Pingshui main list; 詞 entries ignored</x:v>
      </x:c>
      <x:c r="J5553" s="6" t="str">
        <x:f>IF(B5553="","",IF(AND(ISNUMBER(SEARCH("平",B5553)),OR(ISNUMBER(SEARCH("上",B5553)),ISNUMBER(SEARCH("去",B5553)),ISNUMBER(SEARCH("入",B5553)))),"Ambiguous",IF(ISNUMBER(SEARCH("平",B5553)),"平","仄")))</x:f>
        <x:v>仄</x:v>
      </x:c>
      <x:c r="K5553" s="6" t="str">
        <x:f>IF(D5553="","",IF(AND(ISNUMBER(SEARCH("平",D5553)),OR(ISNUMBER(SEARCH("上",D5553)),ISNUMBER(SEARCH("去",D5553)),ISNUMBER(SEARCH("入",D5553)))),"Ambiguous",IF(ISNUMBER(SEARCH("平",D5553)),"平","仄")))</x:f>
        <x:v>仄</x:v>
      </x:c>
      <x:c r="L5553" s="7" t="str">
        <x:v>Pingshui main list, Lu Qinli gap fill</x:v>
      </x:c>
    </x:row>
    <x:row r="5554">
      <x:c r="A5554" s="5" t="str">
        <x:v>漻</x:v>
      </x:c>
      <x:c r="B5554" s="6" t="str">
        <x:v>平</x:v>
      </x:c>
      <x:c r="C5554" s="6" t="str">
        <x:f>IF(B5554="","Needs decision","Ready")</x:f>
        <x:v>Ready</x:v>
      </x:c>
      <x:c r="D5554" s="6" t="str">
        <x:v>平</x:v>
      </x:c>
      <x:c r="E5554" s="6" t="str"/>
      <x:c r="F5554" s="6" t="str">
        <x:v>下平聲二蕭</x:v>
      </x:c>
      <x:c r="G5554" s="6" t="str">
        <x:v>Pingshui main list, Wikisource-derived DOCX</x:v>
      </x:c>
      <x:c r="H5554" s="6" t="str"/>
      <x:c r="I5554" s="6" t="str">
        <x:v>Lu Qinli gap fill from Pingshui main list; 詞 entries ignored</x:v>
      </x:c>
      <x:c r="J5554" s="6" t="str">
        <x:f>IF(B5554="","",IF(AND(ISNUMBER(SEARCH("平",B5554)),OR(ISNUMBER(SEARCH("上",B5554)),ISNUMBER(SEARCH("去",B5554)),ISNUMBER(SEARCH("入",B5554)))),"Ambiguous",IF(ISNUMBER(SEARCH("平",B5554)),"平","仄")))</x:f>
        <x:v>平</x:v>
      </x:c>
      <x:c r="K5554" s="6" t="str">
        <x:f>IF(D5554="","",IF(AND(ISNUMBER(SEARCH("平",D5554)),OR(ISNUMBER(SEARCH("上",D5554)),ISNUMBER(SEARCH("去",D5554)),ISNUMBER(SEARCH("入",D5554)))),"Ambiguous",IF(ISNUMBER(SEARCH("平",D5554)),"平","仄")))</x:f>
        <x:v>平</x:v>
      </x:c>
      <x:c r="L5554" s="7" t="str">
        <x:v>Pingshui main list, Lu Qinli gap fill</x:v>
      </x:c>
    </x:row>
    <x:row r="5555">
      <x:c r="A5555" s="5" t="str">
        <x:v>漼</x:v>
      </x:c>
      <x:c r="B5555" s="6" t="str"/>
      <x:c r="C5555" s="6" t="str">
        <x:f>IF(B5555="","Needs decision","Ready")</x:f>
        <x:v>Needs decision</x:v>
      </x:c>
      <x:c r="D5555" s="6" t="str">
        <x:v>平/上</x:v>
      </x:c>
      <x:c r="E5555" s="6" t="str"/>
      <x:c r="F5555" s="6" t="str">
        <x:v>上平聲十灰; 上聲十賄</x:v>
      </x:c>
      <x:c r="G5555" s="6" t="str">
        <x:v>Pingshui main list, Wikisource-derived DOCX</x:v>
      </x:c>
      <x:c r="H5555" s="6" t="str"/>
      <x:c r="I5555" s="6" t="str">
        <x:v>Lu Qinli gap fill from Pingshui main list; 詞 entries ignored</x:v>
      </x:c>
      <x:c r="J5555" s="6" t="str">
        <x:f>IF(B5555="","",IF(AND(ISNUMBER(SEARCH("平",B5555)),OR(ISNUMBER(SEARCH("上",B5555)),ISNUMBER(SEARCH("去",B5555)),ISNUMBER(SEARCH("入",B5555)))),"Ambiguous",IF(ISNUMBER(SEARCH("平",B5555)),"平","仄")))</x:f>
      </x:c>
      <x:c r="K5555" s="6" t="str">
        <x:f>IF(D5555="","",IF(AND(ISNUMBER(SEARCH("平",D5555)),OR(ISNUMBER(SEARCH("上",D5555)),ISNUMBER(SEARCH("去",D5555)),ISNUMBER(SEARCH("入",D5555)))),"Ambiguous",IF(ISNUMBER(SEARCH("平",D5555)),"平","仄")))</x:f>
        <x:v>Ambiguous</x:v>
      </x:c>
      <x:c r="L5555" s="7" t="str">
        <x:v>Pingshui main list, Lu Qinli gap fill</x:v>
      </x:c>
    </x:row>
    <x:row r="5556">
      <x:c r="A5556" s="5" t="str">
        <x:v>潀</x:v>
      </x:c>
      <x:c r="B5556" s="6" t="str">
        <x:v>平</x:v>
      </x:c>
      <x:c r="C5556" s="6" t="str">
        <x:f>IF(B5556="","Needs decision","Ready")</x:f>
        <x:v>Ready</x:v>
      </x:c>
      <x:c r="D5556" s="6" t="str">
        <x:v>平</x:v>
      </x:c>
      <x:c r="E5556" s="6" t="str"/>
      <x:c r="F5556" s="6" t="str">
        <x:v>上平聲一東</x:v>
      </x:c>
      <x:c r="G5556" s="6" t="str">
        <x:v>Pingshui main list, Wikisource-derived DOCX</x:v>
      </x:c>
      <x:c r="H5556" s="6" t="str"/>
      <x:c r="I5556" s="6" t="str">
        <x:v>Lu Qinli gap fill from Pingshui main list; 詞 entries ignored</x:v>
      </x:c>
      <x:c r="J5556" s="6" t="str">
        <x:f>IF(B5556="","",IF(AND(ISNUMBER(SEARCH("平",B5556)),OR(ISNUMBER(SEARCH("上",B5556)),ISNUMBER(SEARCH("去",B5556)),ISNUMBER(SEARCH("入",B5556)))),"Ambiguous",IF(ISNUMBER(SEARCH("平",B5556)),"平","仄")))</x:f>
        <x:v>平</x:v>
      </x:c>
      <x:c r="K5556" s="6" t="str">
        <x:f>IF(D5556="","",IF(AND(ISNUMBER(SEARCH("平",D5556)),OR(ISNUMBER(SEARCH("上",D5556)),ISNUMBER(SEARCH("去",D5556)),ISNUMBER(SEARCH("入",D5556)))),"Ambiguous",IF(ISNUMBER(SEARCH("平",D5556)),"平","仄")))</x:f>
        <x:v>平</x:v>
      </x:c>
      <x:c r="L5556" s="7" t="str">
        <x:v>Pingshui main list, Lu Qinli gap fill</x:v>
      </x:c>
    </x:row>
    <x:row r="5557">
      <x:c r="A5557" s="5" t="str">
        <x:v>潏</x:v>
      </x:c>
      <x:c r="B5557" s="6" t="str">
        <x:v>入</x:v>
      </x:c>
      <x:c r="C5557" s="6" t="str">
        <x:f>IF(B5557="","Needs decision","Ready")</x:f>
        <x:v>Ready</x:v>
      </x:c>
      <x:c r="D5557" s="6" t="str">
        <x:v>入</x:v>
      </x:c>
      <x:c r="E5557" s="6" t="str"/>
      <x:c r="F5557" s="6" t="str">
        <x:v>入聲四質</x:v>
      </x:c>
      <x:c r="G5557" s="6" t="str">
        <x:v>Pingshui main list, Wikisource-derived DOCX</x:v>
      </x:c>
      <x:c r="H5557" s="6" t="str"/>
      <x:c r="I5557" s="6" t="str">
        <x:v>Lu Qinli gap fill from Pingshui main list; 詞 entries ignored</x:v>
      </x:c>
      <x:c r="J5557" s="6" t="str">
        <x:f>IF(B5557="","",IF(AND(ISNUMBER(SEARCH("平",B5557)),OR(ISNUMBER(SEARCH("上",B5557)),ISNUMBER(SEARCH("去",B5557)),ISNUMBER(SEARCH("入",B5557)))),"Ambiguous",IF(ISNUMBER(SEARCH("平",B5557)),"平","仄")))</x:f>
        <x:v>仄</x:v>
      </x:c>
      <x:c r="K5557" s="6" t="str">
        <x:f>IF(D5557="","",IF(AND(ISNUMBER(SEARCH("平",D5557)),OR(ISNUMBER(SEARCH("上",D5557)),ISNUMBER(SEARCH("去",D5557)),ISNUMBER(SEARCH("入",D5557)))),"Ambiguous",IF(ISNUMBER(SEARCH("平",D5557)),"平","仄")))</x:f>
        <x:v>仄</x:v>
      </x:c>
      <x:c r="L5557" s="7" t="str">
        <x:v>Pingshui main list, Lu Qinli gap fill</x:v>
      </x:c>
    </x:row>
    <x:row r="5558">
      <x:c r="A5558" s="5" t="str">
        <x:v>潞</x:v>
      </x:c>
      <x:c r="B5558" s="6" t="str">
        <x:v>去</x:v>
      </x:c>
      <x:c r="C5558" s="6" t="str">
        <x:f>IF(B5558="","Needs decision","Ready")</x:f>
        <x:v>Ready</x:v>
      </x:c>
      <x:c r="D5558" s="6" t="str">
        <x:v>去</x:v>
      </x:c>
      <x:c r="E5558" s="6" t="str"/>
      <x:c r="F5558" s="6" t="str">
        <x:v>去聲七遇</x:v>
      </x:c>
      <x:c r="G5558" s="6" t="str">
        <x:v>Pingshui main list, Wikisource-derived DOCX</x:v>
      </x:c>
      <x:c r="H5558" s="6" t="str"/>
      <x:c r="I5558" s="6" t="str">
        <x:v>Lu Qinli gap fill from Pingshui main list; 詞 entries ignored</x:v>
      </x:c>
      <x:c r="J5558" s="6" t="str">
        <x:f>IF(B5558="","",IF(AND(ISNUMBER(SEARCH("平",B5558)),OR(ISNUMBER(SEARCH("上",B5558)),ISNUMBER(SEARCH("去",B5558)),ISNUMBER(SEARCH("入",B5558)))),"Ambiguous",IF(ISNUMBER(SEARCH("平",B5558)),"平","仄")))</x:f>
        <x:v>仄</x:v>
      </x:c>
      <x:c r="K5558" s="6" t="str">
        <x:f>IF(D5558="","",IF(AND(ISNUMBER(SEARCH("平",D5558)),OR(ISNUMBER(SEARCH("上",D5558)),ISNUMBER(SEARCH("去",D5558)),ISNUMBER(SEARCH("入",D5558)))),"Ambiguous",IF(ISNUMBER(SEARCH("平",D5558)),"平","仄")))</x:f>
        <x:v>仄</x:v>
      </x:c>
      <x:c r="L5558" s="7" t="str">
        <x:v>Pingshui main list, Lu Qinli gap fill</x:v>
      </x:c>
    </x:row>
    <x:row r="5559">
      <x:c r="A5559" s="5" t="str">
        <x:v>潠</x:v>
      </x:c>
      <x:c r="B5559" s="6" t="str">
        <x:v>去</x:v>
      </x:c>
      <x:c r="C5559" s="6" t="str">
        <x:f>IF(B5559="","Needs decision","Ready")</x:f>
        <x:v>Ready</x:v>
      </x:c>
      <x:c r="D5559" s="6" t="str">
        <x:v>去</x:v>
      </x:c>
      <x:c r="E5559" s="6" t="str"/>
      <x:c r="F5559" s="6" t="str">
        <x:v>去聲十四願</x:v>
      </x:c>
      <x:c r="G5559" s="6" t="str">
        <x:v>Pingshui main list, Wikisource-derived DOCX</x:v>
      </x:c>
      <x:c r="H5559" s="6" t="str"/>
      <x:c r="I5559" s="6" t="str">
        <x:v>Lu Qinli gap fill from Pingshui main list; 詞 entries ignored</x:v>
      </x:c>
      <x:c r="J5559" s="6" t="str">
        <x:f>IF(B5559="","",IF(AND(ISNUMBER(SEARCH("平",B5559)),OR(ISNUMBER(SEARCH("上",B5559)),ISNUMBER(SEARCH("去",B5559)),ISNUMBER(SEARCH("入",B5559)))),"Ambiguous",IF(ISNUMBER(SEARCH("平",B5559)),"平","仄")))</x:f>
        <x:v>仄</x:v>
      </x:c>
      <x:c r="K5559" s="6" t="str">
        <x:f>IF(D5559="","",IF(AND(ISNUMBER(SEARCH("平",D5559)),OR(ISNUMBER(SEARCH("上",D5559)),ISNUMBER(SEARCH("去",D5559)),ISNUMBER(SEARCH("入",D5559)))),"Ambiguous",IF(ISNUMBER(SEARCH("平",D5559)),"平","仄")))</x:f>
        <x:v>仄</x:v>
      </x:c>
      <x:c r="L5559" s="7" t="str">
        <x:v>Pingshui main list, Lu Qinli gap fill</x:v>
      </x:c>
    </x:row>
    <x:row r="5560">
      <x:c r="A5560" s="5" t="str">
        <x:v>潼</x:v>
      </x:c>
      <x:c r="B5560" s="6" t="str">
        <x:v>平</x:v>
      </x:c>
      <x:c r="C5560" s="6" t="str">
        <x:f>IF(B5560="","Needs decision","Ready")</x:f>
        <x:v>Ready</x:v>
      </x:c>
      <x:c r="D5560" s="6" t="str">
        <x:v>平</x:v>
      </x:c>
      <x:c r="E5560" s="6" t="str"/>
      <x:c r="F5560" s="6" t="str">
        <x:v>上平聲一東</x:v>
      </x:c>
      <x:c r="G5560" s="6" t="str">
        <x:v>Pingshui main list, Wikisource-derived DOCX</x:v>
      </x:c>
      <x:c r="H5560" s="6" t="str"/>
      <x:c r="I5560" s="6" t="str">
        <x:v>Lu Qinli gap fill from Pingshui main list; 詞 entries ignored</x:v>
      </x:c>
      <x:c r="J5560" s="6" t="str">
        <x:f>IF(B5560="","",IF(AND(ISNUMBER(SEARCH("平",B5560)),OR(ISNUMBER(SEARCH("上",B5560)),ISNUMBER(SEARCH("去",B5560)),ISNUMBER(SEARCH("入",B5560)))),"Ambiguous",IF(ISNUMBER(SEARCH("平",B5560)),"平","仄")))</x:f>
        <x:v>平</x:v>
      </x:c>
      <x:c r="K5560" s="6" t="str">
        <x:f>IF(D5560="","",IF(AND(ISNUMBER(SEARCH("平",D5560)),OR(ISNUMBER(SEARCH("上",D5560)),ISNUMBER(SEARCH("去",D5560)),ISNUMBER(SEARCH("入",D5560)))),"Ambiguous",IF(ISNUMBER(SEARCH("平",D5560)),"平","仄")))</x:f>
        <x:v>平</x:v>
      </x:c>
      <x:c r="L5560" s="7" t="str">
        <x:v>Pingshui main list, Lu Qinli gap fill</x:v>
      </x:c>
    </x:row>
    <x:row r="5561">
      <x:c r="A5561" s="5" t="str">
        <x:v>澂</x:v>
      </x:c>
      <x:c r="B5561" s="6" t="str">
        <x:v>平</x:v>
      </x:c>
      <x:c r="C5561" s="6" t="str">
        <x:f>IF(B5561="","Needs decision","Ready")</x:f>
        <x:v>Ready</x:v>
      </x:c>
      <x:c r="D5561" s="6" t="str">
        <x:v>平</x:v>
      </x:c>
      <x:c r="E5561" s="6" t="str"/>
      <x:c r="F5561" s="6" t="str">
        <x:v>下平聲十蒸</x:v>
      </x:c>
      <x:c r="G5561" s="6" t="str">
        <x:v>Pingshui main list, Wikisource-derived DOCX</x:v>
      </x:c>
      <x:c r="H5561" s="6" t="str"/>
      <x:c r="I5561" s="6" t="str">
        <x:v>Lu Qinli gap fill from Pingshui main list; 詞 entries ignored</x:v>
      </x:c>
      <x:c r="J5561" s="6" t="str">
        <x:f>IF(B5561="","",IF(AND(ISNUMBER(SEARCH("平",B5561)),OR(ISNUMBER(SEARCH("上",B5561)),ISNUMBER(SEARCH("去",B5561)),ISNUMBER(SEARCH("入",B5561)))),"Ambiguous",IF(ISNUMBER(SEARCH("平",B5561)),"平","仄")))</x:f>
        <x:v>平</x:v>
      </x:c>
      <x:c r="K5561" s="6" t="str">
        <x:f>IF(D5561="","",IF(AND(ISNUMBER(SEARCH("平",D5561)),OR(ISNUMBER(SEARCH("上",D5561)),ISNUMBER(SEARCH("去",D5561)),ISNUMBER(SEARCH("入",D5561)))),"Ambiguous",IF(ISNUMBER(SEARCH("平",D5561)),"平","仄")))</x:f>
        <x:v>平</x:v>
      </x:c>
      <x:c r="L5561" s="7" t="str">
        <x:v>Pingshui main list, Lu Qinli gap fill</x:v>
      </x:c>
    </x:row>
    <x:row r="5562">
      <x:c r="A5562" s="5" t="str">
        <x:v>澆</x:v>
      </x:c>
      <x:c r="B5562" s="6" t="str">
        <x:v>平</x:v>
      </x:c>
      <x:c r="C5562" s="6" t="str">
        <x:f>IF(B5562="","Needs decision","Ready")</x:f>
        <x:v>Ready</x:v>
      </x:c>
      <x:c r="D5562" s="6" t="str">
        <x:v>平</x:v>
      </x:c>
      <x:c r="E5562" s="6" t="str"/>
      <x:c r="F5562" s="6" t="str">
        <x:v>下平聲二蕭</x:v>
      </x:c>
      <x:c r="G5562" s="6" t="str">
        <x:v>Pingshui main list, Wikisource-derived DOCX</x:v>
      </x:c>
      <x:c r="H5562" s="6" t="str"/>
      <x:c r="I5562" s="6" t="str">
        <x:v>Lu Qinli gap fill from Pingshui main list; 詞 entries ignored</x:v>
      </x:c>
      <x:c r="J5562" s="6" t="str">
        <x:f>IF(B5562="","",IF(AND(ISNUMBER(SEARCH("平",B5562)),OR(ISNUMBER(SEARCH("上",B5562)),ISNUMBER(SEARCH("去",B5562)),ISNUMBER(SEARCH("入",B5562)))),"Ambiguous",IF(ISNUMBER(SEARCH("平",B5562)),"平","仄")))</x:f>
        <x:v>平</x:v>
      </x:c>
      <x:c r="K5562" s="6" t="str">
        <x:f>IF(D5562="","",IF(AND(ISNUMBER(SEARCH("平",D5562)),OR(ISNUMBER(SEARCH("上",D5562)),ISNUMBER(SEARCH("去",D5562)),ISNUMBER(SEARCH("入",D5562)))),"Ambiguous",IF(ISNUMBER(SEARCH("平",D5562)),"平","仄")))</x:f>
        <x:v>平</x:v>
      </x:c>
      <x:c r="L5562" s="7" t="str">
        <x:v>Pingshui main list, Lu Qinli gap fill</x:v>
      </x:c>
    </x:row>
    <x:row r="5563">
      <x:c r="A5563" s="5" t="str">
        <x:v>澇</x:v>
      </x:c>
      <x:c r="B5563" s="6" t="str"/>
      <x:c r="C5563" s="6" t="str">
        <x:f>IF(B5563="","Needs decision","Ready")</x:f>
        <x:v>Needs decision</x:v>
      </x:c>
      <x:c r="D5563" s="6" t="str">
        <x:v>平/上/去</x:v>
      </x:c>
      <x:c r="E5563" s="6" t="str"/>
      <x:c r="F5563" s="6" t="str">
        <x:v>下平聲四豪; 上聲十九皓; 去聲二十號</x:v>
      </x:c>
      <x:c r="G5563" s="6" t="str">
        <x:v>Pingshui main list, Wikisource-derived DOCX</x:v>
      </x:c>
      <x:c r="H5563" s="6" t="str"/>
      <x:c r="I5563" s="6" t="str">
        <x:v>Lu Qinli gap fill from Pingshui main list; 詞 entries ignored</x:v>
      </x:c>
      <x:c r="J5563" s="6" t="str">
        <x:f>IF(B5563="","",IF(AND(ISNUMBER(SEARCH("平",B5563)),OR(ISNUMBER(SEARCH("上",B5563)),ISNUMBER(SEARCH("去",B5563)),ISNUMBER(SEARCH("入",B5563)))),"Ambiguous",IF(ISNUMBER(SEARCH("平",B5563)),"平","仄")))</x:f>
      </x:c>
      <x:c r="K5563" s="6" t="str">
        <x:f>IF(D5563="","",IF(AND(ISNUMBER(SEARCH("平",D5563)),OR(ISNUMBER(SEARCH("上",D5563)),ISNUMBER(SEARCH("去",D5563)),ISNUMBER(SEARCH("入",D5563)))),"Ambiguous",IF(ISNUMBER(SEARCH("平",D5563)),"平","仄")))</x:f>
        <x:v>Ambiguous</x:v>
      </x:c>
      <x:c r="L5563" s="7" t="str">
        <x:v>Pingshui main list, Lu Qinli gap fill</x:v>
      </x:c>
    </x:row>
    <x:row r="5564">
      <x:c r="A5564" s="5" t="str">
        <x:v>澌</x:v>
      </x:c>
      <x:c r="B5564" s="6" t="str"/>
      <x:c r="C5564" s="6" t="str">
        <x:f>IF(B5564="","Needs decision","Ready")</x:f>
        <x:v>Needs decision</x:v>
      </x:c>
      <x:c r="D5564" s="6" t="str">
        <x:v>平/去</x:v>
      </x:c>
      <x:c r="E5564" s="6" t="str"/>
      <x:c r="F5564" s="6" t="str">
        <x:v>上平聲四支; 上平聲八齊; 去聲四寘</x:v>
      </x:c>
      <x:c r="G5564" s="6" t="str">
        <x:v>Pingshui main list, Wikisource-derived DOCX</x:v>
      </x:c>
      <x:c r="H5564" s="6" t="str"/>
      <x:c r="I5564" s="6" t="str">
        <x:v>Lu Qinli gap fill from Pingshui main list; 詞 entries ignored</x:v>
      </x:c>
      <x:c r="J5564" s="6" t="str">
        <x:f>IF(B5564="","",IF(AND(ISNUMBER(SEARCH("平",B5564)),OR(ISNUMBER(SEARCH("上",B5564)),ISNUMBER(SEARCH("去",B5564)),ISNUMBER(SEARCH("入",B5564)))),"Ambiguous",IF(ISNUMBER(SEARCH("平",B5564)),"平","仄")))</x:f>
      </x:c>
      <x:c r="K5564" s="6" t="str">
        <x:f>IF(D5564="","",IF(AND(ISNUMBER(SEARCH("平",D5564)),OR(ISNUMBER(SEARCH("上",D5564)),ISNUMBER(SEARCH("去",D5564)),ISNUMBER(SEARCH("入",D5564)))),"Ambiguous",IF(ISNUMBER(SEARCH("平",D5564)),"平","仄")))</x:f>
        <x:v>Ambiguous</x:v>
      </x:c>
      <x:c r="L5564" s="7" t="str">
        <x:v>Pingshui main list, Lu Qinli gap fill</x:v>
      </x:c>
    </x:row>
    <x:row r="5565">
      <x:c r="A5565" s="5" t="str">
        <x:v>澍</x:v>
      </x:c>
      <x:c r="B5565" s="6" t="str">
        <x:v>去</x:v>
      </x:c>
      <x:c r="C5565" s="6" t="str">
        <x:f>IF(B5565="","Needs decision","Ready")</x:f>
        <x:v>Ready</x:v>
      </x:c>
      <x:c r="D5565" s="6" t="str">
        <x:v>去</x:v>
      </x:c>
      <x:c r="E5565" s="6" t="str"/>
      <x:c r="F5565" s="6" t="str">
        <x:v>去聲七遇</x:v>
      </x:c>
      <x:c r="G5565" s="6" t="str">
        <x:v>Pingshui main list, Wikisource-derived DOCX</x:v>
      </x:c>
      <x:c r="H5565" s="6" t="str"/>
      <x:c r="I5565" s="6" t="str">
        <x:v>Lu Qinli gap fill from Pingshui main list; 詞 entries ignored</x:v>
      </x:c>
      <x:c r="J5565" s="6" t="str">
        <x:f>IF(B5565="","",IF(AND(ISNUMBER(SEARCH("平",B5565)),OR(ISNUMBER(SEARCH("上",B5565)),ISNUMBER(SEARCH("去",B5565)),ISNUMBER(SEARCH("入",B5565)))),"Ambiguous",IF(ISNUMBER(SEARCH("平",B5565)),"平","仄")))</x:f>
        <x:v>仄</x:v>
      </x:c>
      <x:c r="K5565" s="6" t="str">
        <x:f>IF(D5565="","",IF(AND(ISNUMBER(SEARCH("平",D5565)),OR(ISNUMBER(SEARCH("上",D5565)),ISNUMBER(SEARCH("去",D5565)),ISNUMBER(SEARCH("入",D5565)))),"Ambiguous",IF(ISNUMBER(SEARCH("平",D5565)),"平","仄")))</x:f>
        <x:v>仄</x:v>
      </x:c>
      <x:c r="L5565" s="7" t="str">
        <x:v>Pingshui main list, Lu Qinli gap fill</x:v>
      </x:c>
    </x:row>
    <x:row r="5566">
      <x:c r="A5566" s="5" t="str">
        <x:v>澐</x:v>
      </x:c>
      <x:c r="B5566" s="6" t="str">
        <x:v>平</x:v>
      </x:c>
      <x:c r="C5566" s="6" t="str">
        <x:f>IF(B5566="","Needs decision","Ready")</x:f>
        <x:v>Ready</x:v>
      </x:c>
      <x:c r="D5566" s="6" t="str">
        <x:v>平</x:v>
      </x:c>
      <x:c r="E5566" s="6" t="str"/>
      <x:c r="F5566" s="6" t="str">
        <x:v>上平聲十二文</x:v>
      </x:c>
      <x:c r="G5566" s="6" t="str">
        <x:v>Pingshui main list, Wikisource-derived DOCX</x:v>
      </x:c>
      <x:c r="H5566" s="6" t="str"/>
      <x:c r="I5566" s="6" t="str">
        <x:v>Lu Qinli gap fill from Pingshui main list; 詞 entries ignored</x:v>
      </x:c>
      <x:c r="J5566" s="6" t="str">
        <x:f>IF(B5566="","",IF(AND(ISNUMBER(SEARCH("平",B5566)),OR(ISNUMBER(SEARCH("上",B5566)),ISNUMBER(SEARCH("去",B5566)),ISNUMBER(SEARCH("入",B5566)))),"Ambiguous",IF(ISNUMBER(SEARCH("平",B5566)),"平","仄")))</x:f>
        <x:v>平</x:v>
      </x:c>
      <x:c r="K5566" s="6" t="str">
        <x:f>IF(D5566="","",IF(AND(ISNUMBER(SEARCH("平",D5566)),OR(ISNUMBER(SEARCH("上",D5566)),ISNUMBER(SEARCH("去",D5566)),ISNUMBER(SEARCH("入",D5566)))),"Ambiguous",IF(ISNUMBER(SEARCH("平",D5566)),"平","仄")))</x:f>
        <x:v>平</x:v>
      </x:c>
      <x:c r="L5566" s="7" t="str">
        <x:v>Pingshui main list, Lu Qinli gap fill</x:v>
      </x:c>
    </x:row>
    <x:row r="5567">
      <x:c r="A5567" s="5" t="str">
        <x:v>澓</x:v>
      </x:c>
      <x:c r="B5567" s="6" t="str">
        <x:v>入</x:v>
      </x:c>
      <x:c r="C5567" s="6" t="str">
        <x:f>IF(B5567="","Needs decision","Ready")</x:f>
        <x:v>Ready</x:v>
      </x:c>
      <x:c r="D5567" s="6" t="str">
        <x:v>入</x:v>
      </x:c>
      <x:c r="E5567" s="6" t="str"/>
      <x:c r="F5567" s="6" t="str">
        <x:v>入聲一屋</x:v>
      </x:c>
      <x:c r="G5567" s="6" t="str">
        <x:v>Pingshui main list, Wikisource-derived DOCX</x:v>
      </x:c>
      <x:c r="H5567" s="6" t="str"/>
      <x:c r="I5567" s="6" t="str">
        <x:v>Lu Qinli gap fill from Pingshui main list; 詞 entries ignored</x:v>
      </x:c>
      <x:c r="J5567" s="6" t="str">
        <x:f>IF(B5567="","",IF(AND(ISNUMBER(SEARCH("平",B5567)),OR(ISNUMBER(SEARCH("上",B5567)),ISNUMBER(SEARCH("去",B5567)),ISNUMBER(SEARCH("入",B5567)))),"Ambiguous",IF(ISNUMBER(SEARCH("平",B5567)),"平","仄")))</x:f>
        <x:v>仄</x:v>
      </x:c>
      <x:c r="K5567" s="6" t="str">
        <x:f>IF(D5567="","",IF(AND(ISNUMBER(SEARCH("平",D5567)),OR(ISNUMBER(SEARCH("上",D5567)),ISNUMBER(SEARCH("去",D5567)),ISNUMBER(SEARCH("入",D5567)))),"Ambiguous",IF(ISNUMBER(SEARCH("平",D5567)),"平","仄")))</x:f>
        <x:v>仄</x:v>
      </x:c>
      <x:c r="L5567" s="7" t="str">
        <x:v>Pingshui main list, Lu Qinli gap fill</x:v>
      </x:c>
    </x:row>
    <x:row r="5568">
      <x:c r="A5568" s="5" t="str">
        <x:v>澠</x:v>
      </x:c>
      <x:c r="B5568" s="6" t="str">
        <x:v>平</x:v>
      </x:c>
      <x:c r="C5568" s="6" t="str">
        <x:f>IF(B5568="","Needs decision","Ready")</x:f>
        <x:v>Ready</x:v>
      </x:c>
      <x:c r="D5568" s="6" t="str">
        <x:v>平</x:v>
      </x:c>
      <x:c r="E5568" s="6" t="str"/>
      <x:c r="F5568" s="6" t="str">
        <x:v>下平聲十蒸</x:v>
      </x:c>
      <x:c r="G5568" s="6" t="str">
        <x:v>Pingshui main list, Wikisource-derived DOCX</x:v>
      </x:c>
      <x:c r="H5568" s="6" t="str"/>
      <x:c r="I5568" s="6" t="str">
        <x:v>Lu Qinli gap fill from Pingshui main list; 詞 entries ignored</x:v>
      </x:c>
      <x:c r="J5568" s="6" t="str">
        <x:f>IF(B5568="","",IF(AND(ISNUMBER(SEARCH("平",B5568)),OR(ISNUMBER(SEARCH("上",B5568)),ISNUMBER(SEARCH("去",B5568)),ISNUMBER(SEARCH("入",B5568)))),"Ambiguous",IF(ISNUMBER(SEARCH("平",B5568)),"平","仄")))</x:f>
        <x:v>平</x:v>
      </x:c>
      <x:c r="K5568" s="6" t="str">
        <x:f>IF(D5568="","",IF(AND(ISNUMBER(SEARCH("平",D5568)),OR(ISNUMBER(SEARCH("上",D5568)),ISNUMBER(SEARCH("去",D5568)),ISNUMBER(SEARCH("入",D5568)))),"Ambiguous",IF(ISNUMBER(SEARCH("平",D5568)),"平","仄")))</x:f>
        <x:v>平</x:v>
      </x:c>
      <x:c r="L5568" s="7" t="str">
        <x:v>Pingshui main list, Lu Qinli gap fill</x:v>
      </x:c>
    </x:row>
    <x:row r="5569">
      <x:c r="A5569" s="5" t="str">
        <x:v>澣</x:v>
      </x:c>
      <x:c r="B5569" s="6" t="str">
        <x:v>上</x:v>
      </x:c>
      <x:c r="C5569" s="6" t="str">
        <x:f>IF(B5569="","Needs decision","Ready")</x:f>
        <x:v>Ready</x:v>
      </x:c>
      <x:c r="D5569" s="6" t="str">
        <x:v>上</x:v>
      </x:c>
      <x:c r="E5569" s="6" t="str"/>
      <x:c r="F5569" s="6" t="str">
        <x:v>上聲十四旱</x:v>
      </x:c>
      <x:c r="G5569" s="6" t="str">
        <x:v>Pingshui main list, Wikisource-derived DOCX</x:v>
      </x:c>
      <x:c r="H5569" s="6" t="str"/>
      <x:c r="I5569" s="6" t="str">
        <x:v>Lu Qinli gap fill from Pingshui main list; 詞 entries ignored</x:v>
      </x:c>
      <x:c r="J5569" s="6" t="str">
        <x:f>IF(B5569="","",IF(AND(ISNUMBER(SEARCH("平",B5569)),OR(ISNUMBER(SEARCH("上",B5569)),ISNUMBER(SEARCH("去",B5569)),ISNUMBER(SEARCH("入",B5569)))),"Ambiguous",IF(ISNUMBER(SEARCH("平",B5569)),"平","仄")))</x:f>
        <x:v>仄</x:v>
      </x:c>
      <x:c r="K5569" s="6" t="str">
        <x:f>IF(D5569="","",IF(AND(ISNUMBER(SEARCH("平",D5569)),OR(ISNUMBER(SEARCH("上",D5569)),ISNUMBER(SEARCH("去",D5569)),ISNUMBER(SEARCH("入",D5569)))),"Ambiguous",IF(ISNUMBER(SEARCH("平",D5569)),"平","仄")))</x:f>
        <x:v>仄</x:v>
      </x:c>
      <x:c r="L5569" s="7" t="str">
        <x:v>Pingshui main list, Lu Qinli gap fill</x:v>
      </x:c>
    </x:row>
    <x:row r="5570">
      <x:c r="A5570" s="5" t="str">
        <x:v>澧</x:v>
      </x:c>
      <x:c r="B5570" s="6" t="str">
        <x:v>上</x:v>
      </x:c>
      <x:c r="C5570" s="6" t="str">
        <x:f>IF(B5570="","Needs decision","Ready")</x:f>
        <x:v>Ready</x:v>
      </x:c>
      <x:c r="D5570" s="6" t="str">
        <x:v>上</x:v>
      </x:c>
      <x:c r="E5570" s="6" t="str"/>
      <x:c r="F5570" s="6" t="str">
        <x:v>上聲八薺</x:v>
      </x:c>
      <x:c r="G5570" s="6" t="str">
        <x:v>Pingshui main list, Wikisource-derived DOCX</x:v>
      </x:c>
      <x:c r="H5570" s="6" t="str"/>
      <x:c r="I5570" s="6" t="str">
        <x:v>Lu Qinli gap fill from Pingshui main list; 詞 entries ignored</x:v>
      </x:c>
      <x:c r="J5570" s="6" t="str">
        <x:f>IF(B5570="","",IF(AND(ISNUMBER(SEARCH("平",B5570)),OR(ISNUMBER(SEARCH("上",B5570)),ISNUMBER(SEARCH("去",B5570)),ISNUMBER(SEARCH("入",B5570)))),"Ambiguous",IF(ISNUMBER(SEARCH("平",B5570)),"平","仄")))</x:f>
        <x:v>仄</x:v>
      </x:c>
      <x:c r="K5570" s="6" t="str">
        <x:f>IF(D5570="","",IF(AND(ISNUMBER(SEARCH("平",D5570)),OR(ISNUMBER(SEARCH("上",D5570)),ISNUMBER(SEARCH("去",D5570)),ISNUMBER(SEARCH("入",D5570)))),"Ambiguous",IF(ISNUMBER(SEARCH("平",D5570)),"平","仄")))</x:f>
        <x:v>仄</x:v>
      </x:c>
      <x:c r="L5570" s="7" t="str">
        <x:v>Pingshui main list, Lu Qinli gap fill</x:v>
      </x:c>
    </x:row>
    <x:row r="5571">
      <x:c r="A5571" s="5" t="str">
        <x:v>澨</x:v>
      </x:c>
      <x:c r="B5571" s="6" t="str">
        <x:v>去</x:v>
      </x:c>
      <x:c r="C5571" s="6" t="str">
        <x:f>IF(B5571="","Needs decision","Ready")</x:f>
        <x:v>Ready</x:v>
      </x:c>
      <x:c r="D5571" s="6" t="str">
        <x:v>去</x:v>
      </x:c>
      <x:c r="E5571" s="6" t="str"/>
      <x:c r="F5571" s="6" t="str">
        <x:v>去聲八霽</x:v>
      </x:c>
      <x:c r="G5571" s="6" t="str">
        <x:v>Pingshui main list, Wikisource-derived DOCX</x:v>
      </x:c>
      <x:c r="H5571" s="6" t="str"/>
      <x:c r="I5571" s="6" t="str">
        <x:v>Lu Qinli gap fill from Pingshui main list; 詞 entries ignored</x:v>
      </x:c>
      <x:c r="J5571" s="6" t="str">
        <x:f>IF(B5571="","",IF(AND(ISNUMBER(SEARCH("平",B5571)),OR(ISNUMBER(SEARCH("上",B5571)),ISNUMBER(SEARCH("去",B5571)),ISNUMBER(SEARCH("入",B5571)))),"Ambiguous",IF(ISNUMBER(SEARCH("平",B5571)),"平","仄")))</x:f>
        <x:v>仄</x:v>
      </x:c>
      <x:c r="K5571" s="6" t="str">
        <x:f>IF(D5571="","",IF(AND(ISNUMBER(SEARCH("平",D5571)),OR(ISNUMBER(SEARCH("上",D5571)),ISNUMBER(SEARCH("去",D5571)),ISNUMBER(SEARCH("入",D5571)))),"Ambiguous",IF(ISNUMBER(SEARCH("平",D5571)),"平","仄")))</x:f>
        <x:v>仄</x:v>
      </x:c>
      <x:c r="L5571" s="7" t="str">
        <x:v>Pingshui main list, Lu Qinli gap fill</x:v>
      </x:c>
    </x:row>
    <x:row r="5572">
      <x:c r="A5572" s="5" t="str">
        <x:v>澱</x:v>
      </x:c>
      <x:c r="B5572" s="6" t="str">
        <x:v>去</x:v>
      </x:c>
      <x:c r="C5572" s="6" t="str">
        <x:f>IF(B5572="","Needs decision","Ready")</x:f>
        <x:v>Ready</x:v>
      </x:c>
      <x:c r="D5572" s="6" t="str">
        <x:v>去</x:v>
      </x:c>
      <x:c r="E5572" s="6" t="str"/>
      <x:c r="F5572" s="6" t="str">
        <x:v>去聲十七霰</x:v>
      </x:c>
      <x:c r="G5572" s="6" t="str">
        <x:v>Pingshui main list, Wikisource-derived DOCX</x:v>
      </x:c>
      <x:c r="H5572" s="6" t="str"/>
      <x:c r="I5572" s="6" t="str">
        <x:v>Lu Qinli gap fill from Pingshui main list; 詞 entries ignored</x:v>
      </x:c>
      <x:c r="J5572" s="6" t="str">
        <x:f>IF(B5572="","",IF(AND(ISNUMBER(SEARCH("平",B5572)),OR(ISNUMBER(SEARCH("上",B5572)),ISNUMBER(SEARCH("去",B5572)),ISNUMBER(SEARCH("入",B5572)))),"Ambiguous",IF(ISNUMBER(SEARCH("平",B5572)),"平","仄")))</x:f>
        <x:v>仄</x:v>
      </x:c>
      <x:c r="K5572" s="6" t="str">
        <x:f>IF(D5572="","",IF(AND(ISNUMBER(SEARCH("平",D5572)),OR(ISNUMBER(SEARCH("上",D5572)),ISNUMBER(SEARCH("去",D5572)),ISNUMBER(SEARCH("入",D5572)))),"Ambiguous",IF(ISNUMBER(SEARCH("平",D5572)),"平","仄")))</x:f>
        <x:v>仄</x:v>
      </x:c>
      <x:c r="L5572" s="7" t="str">
        <x:v>Pingshui main list, Lu Qinli gap fill</x:v>
      </x:c>
    </x:row>
    <x:row r="5573">
      <x:c r="A5573" s="5" t="str">
        <x:v>澶</x:v>
      </x:c>
      <x:c r="B5573" s="6" t="str">
        <x:v>平</x:v>
      </x:c>
      <x:c r="C5573" s="6" t="str">
        <x:f>IF(B5573="","Needs decision","Ready")</x:f>
        <x:v>Ready</x:v>
      </x:c>
      <x:c r="D5573" s="6" t="str">
        <x:v>平</x:v>
      </x:c>
      <x:c r="E5573" s="6" t="str"/>
      <x:c r="F5573" s="6" t="str">
        <x:v>下平聲一先</x:v>
      </x:c>
      <x:c r="G5573" s="6" t="str">
        <x:v>Pingshui main list, Wikisource-derived DOCX</x:v>
      </x:c>
      <x:c r="H5573" s="6" t="str"/>
      <x:c r="I5573" s="6" t="str">
        <x:v>Lu Qinli gap fill from Pingshui main list; 詞 entries ignored</x:v>
      </x:c>
      <x:c r="J5573" s="6" t="str">
        <x:f>IF(B5573="","",IF(AND(ISNUMBER(SEARCH("平",B5573)),OR(ISNUMBER(SEARCH("上",B5573)),ISNUMBER(SEARCH("去",B5573)),ISNUMBER(SEARCH("入",B5573)))),"Ambiguous",IF(ISNUMBER(SEARCH("平",B5573)),"平","仄")))</x:f>
        <x:v>平</x:v>
      </x:c>
      <x:c r="K5573" s="6" t="str">
        <x:f>IF(D5573="","",IF(AND(ISNUMBER(SEARCH("平",D5573)),OR(ISNUMBER(SEARCH("上",D5573)),ISNUMBER(SEARCH("去",D5573)),ISNUMBER(SEARCH("入",D5573)))),"Ambiguous",IF(ISNUMBER(SEARCH("平",D5573)),"平","仄")))</x:f>
        <x:v>平</x:v>
      </x:c>
      <x:c r="L5573" s="7" t="str">
        <x:v>Pingshui main list, Lu Qinli gap fill</x:v>
      </x:c>
    </x:row>
    <x:row r="5574">
      <x:c r="A5574" s="5" t="str">
        <x:v>濆</x:v>
      </x:c>
      <x:c r="B5574" s="6" t="str">
        <x:v>平</x:v>
      </x:c>
      <x:c r="C5574" s="6" t="str">
        <x:f>IF(B5574="","Needs decision","Ready")</x:f>
        <x:v>Ready</x:v>
      </x:c>
      <x:c r="D5574" s="6" t="str">
        <x:v>平</x:v>
      </x:c>
      <x:c r="E5574" s="6" t="str"/>
      <x:c r="F5574" s="6" t="str">
        <x:v>上平聲十二文</x:v>
      </x:c>
      <x:c r="G5574" s="6" t="str">
        <x:v>Pingshui main list, Wikisource-derived DOCX</x:v>
      </x:c>
      <x:c r="H5574" s="6" t="str"/>
      <x:c r="I5574" s="6" t="str">
        <x:v>Lu Qinli gap fill from Pingshui main list; 詞 entries ignored</x:v>
      </x:c>
      <x:c r="J5574" s="6" t="str">
        <x:f>IF(B5574="","",IF(AND(ISNUMBER(SEARCH("平",B5574)),OR(ISNUMBER(SEARCH("上",B5574)),ISNUMBER(SEARCH("去",B5574)),ISNUMBER(SEARCH("入",B5574)))),"Ambiguous",IF(ISNUMBER(SEARCH("平",B5574)),"平","仄")))</x:f>
        <x:v>平</x:v>
      </x:c>
      <x:c r="K5574" s="6" t="str">
        <x:f>IF(D5574="","",IF(AND(ISNUMBER(SEARCH("平",D5574)),OR(ISNUMBER(SEARCH("上",D5574)),ISNUMBER(SEARCH("去",D5574)),ISNUMBER(SEARCH("入",D5574)))),"Ambiguous",IF(ISNUMBER(SEARCH("平",D5574)),"平","仄")))</x:f>
        <x:v>平</x:v>
      </x:c>
      <x:c r="L5574" s="7" t="str">
        <x:v>Pingshui main list, Lu Qinli gap fill</x:v>
      </x:c>
    </x:row>
    <x:row r="5575">
      <x:c r="A5575" s="5" t="str">
        <x:v>濘</x:v>
      </x:c>
      <x:c r="B5575" s="6" t="str">
        <x:v>上</x:v>
      </x:c>
      <x:c r="C5575" s="6" t="str">
        <x:f>IF(B5575="","Needs decision","Ready")</x:f>
        <x:v>Ready</x:v>
      </x:c>
      <x:c r="D5575" s="6" t="str">
        <x:v>上</x:v>
      </x:c>
      <x:c r="E5575" s="6" t="str"/>
      <x:c r="F5575" s="6" t="str">
        <x:v>上聲二十四迥</x:v>
      </x:c>
      <x:c r="G5575" s="6" t="str">
        <x:v>Pingshui main list, Wikisource-derived DOCX</x:v>
      </x:c>
      <x:c r="H5575" s="6" t="str"/>
      <x:c r="I5575" s="6" t="str">
        <x:v>Lu Qinli gap fill from Pingshui main list; 詞 entries ignored</x:v>
      </x:c>
      <x:c r="J5575" s="6" t="str">
        <x:f>IF(B5575="","",IF(AND(ISNUMBER(SEARCH("平",B5575)),OR(ISNUMBER(SEARCH("上",B5575)),ISNUMBER(SEARCH("去",B5575)),ISNUMBER(SEARCH("入",B5575)))),"Ambiguous",IF(ISNUMBER(SEARCH("平",B5575)),"平","仄")))</x:f>
        <x:v>仄</x:v>
      </x:c>
      <x:c r="K5575" s="6" t="str">
        <x:f>IF(D5575="","",IF(AND(ISNUMBER(SEARCH("平",D5575)),OR(ISNUMBER(SEARCH("上",D5575)),ISNUMBER(SEARCH("去",D5575)),ISNUMBER(SEARCH("入",D5575)))),"Ambiguous",IF(ISNUMBER(SEARCH("平",D5575)),"平","仄")))</x:f>
        <x:v>仄</x:v>
      </x:c>
      <x:c r="L5575" s="7" t="str">
        <x:v>Pingshui main list, Lu Qinli gap fill</x:v>
      </x:c>
    </x:row>
    <x:row r="5576">
      <x:c r="A5576" s="5" t="str">
        <x:v>濞</x:v>
      </x:c>
      <x:c r="B5576" s="6" t="str">
        <x:v>去</x:v>
      </x:c>
      <x:c r="C5576" s="6" t="str">
        <x:f>IF(B5576="","Needs decision","Ready")</x:f>
        <x:v>Ready</x:v>
      </x:c>
      <x:c r="D5576" s="6" t="str">
        <x:v>去</x:v>
      </x:c>
      <x:c r="E5576" s="6" t="str"/>
      <x:c r="F5576" s="6" t="str">
        <x:v>去聲八霽</x:v>
      </x:c>
      <x:c r="G5576" s="6" t="str">
        <x:v>Pingshui main list, Wikisource-derived DOCX</x:v>
      </x:c>
      <x:c r="H5576" s="6" t="str"/>
      <x:c r="I5576" s="6" t="str">
        <x:v>Lu Qinli gap fill from Pingshui main list; 詞 entries ignored</x:v>
      </x:c>
      <x:c r="J5576" s="6" t="str">
        <x:f>IF(B5576="","",IF(AND(ISNUMBER(SEARCH("平",B5576)),OR(ISNUMBER(SEARCH("上",B5576)),ISNUMBER(SEARCH("去",B5576)),ISNUMBER(SEARCH("入",B5576)))),"Ambiguous",IF(ISNUMBER(SEARCH("平",B5576)),"平","仄")))</x:f>
        <x:v>仄</x:v>
      </x:c>
      <x:c r="K5576" s="6" t="str">
        <x:f>IF(D5576="","",IF(AND(ISNUMBER(SEARCH("平",D5576)),OR(ISNUMBER(SEARCH("上",D5576)),ISNUMBER(SEARCH("去",D5576)),ISNUMBER(SEARCH("入",D5576)))),"Ambiguous",IF(ISNUMBER(SEARCH("平",D5576)),"平","仄")))</x:f>
        <x:v>仄</x:v>
      </x:c>
      <x:c r="L5576" s="7" t="str">
        <x:v>Pingshui main list, Lu Qinli gap fill</x:v>
      </x:c>
    </x:row>
    <x:row r="5577">
      <x:c r="A5577" s="5" t="str">
        <x:v>濠</x:v>
      </x:c>
      <x:c r="B5577" s="6" t="str">
        <x:v>平</x:v>
      </x:c>
      <x:c r="C5577" s="6" t="str">
        <x:f>IF(B5577="","Needs decision","Ready")</x:f>
        <x:v>Ready</x:v>
      </x:c>
      <x:c r="D5577" s="6" t="str">
        <x:v>平</x:v>
      </x:c>
      <x:c r="E5577" s="6" t="str"/>
      <x:c r="F5577" s="6" t="str">
        <x:v>下平聲四豪</x:v>
      </x:c>
      <x:c r="G5577" s="6" t="str">
        <x:v>Pingshui main list, Wikisource-derived DOCX</x:v>
      </x:c>
      <x:c r="H5577" s="6" t="str"/>
      <x:c r="I5577" s="6" t="str">
        <x:v>Lu Qinli gap fill from Pingshui main list; 詞 entries ignored</x:v>
      </x:c>
      <x:c r="J5577" s="6" t="str">
        <x:f>IF(B5577="","",IF(AND(ISNUMBER(SEARCH("平",B5577)),OR(ISNUMBER(SEARCH("上",B5577)),ISNUMBER(SEARCH("去",B5577)),ISNUMBER(SEARCH("入",B5577)))),"Ambiguous",IF(ISNUMBER(SEARCH("平",B5577)),"平","仄")))</x:f>
        <x:v>平</x:v>
      </x:c>
      <x:c r="K5577" s="6" t="str">
        <x:f>IF(D5577="","",IF(AND(ISNUMBER(SEARCH("平",D5577)),OR(ISNUMBER(SEARCH("上",D5577)),ISNUMBER(SEARCH("去",D5577)),ISNUMBER(SEARCH("入",D5577)))),"Ambiguous",IF(ISNUMBER(SEARCH("平",D5577)),"平","仄")))</x:f>
        <x:v>平</x:v>
      </x:c>
      <x:c r="L5577" s="7" t="str">
        <x:v>Pingshui main list, Lu Qinli gap fill</x:v>
      </x:c>
    </x:row>
    <x:row r="5578">
      <x:c r="A5578" s="5" t="str">
        <x:v>濩</x:v>
      </x:c>
      <x:c r="B5578" s="6" t="str">
        <x:v>去</x:v>
      </x:c>
      <x:c r="C5578" s="6" t="str">
        <x:f>IF(B5578="","Needs decision","Ready")</x:f>
        <x:v>Ready</x:v>
      </x:c>
      <x:c r="D5578" s="6" t="str">
        <x:v>去</x:v>
      </x:c>
      <x:c r="E5578" s="6" t="str"/>
      <x:c r="F5578" s="6" t="str">
        <x:v>去聲七遇</x:v>
      </x:c>
      <x:c r="G5578" s="6" t="str">
        <x:v>Pingshui main list, Wikisource-derived DOCX</x:v>
      </x:c>
      <x:c r="H5578" s="6" t="str"/>
      <x:c r="I5578" s="6" t="str">
        <x:v>Lu Qinli gap fill from Pingshui main list; 詞 entries ignored</x:v>
      </x:c>
      <x:c r="J5578" s="6" t="str">
        <x:f>IF(B5578="","",IF(AND(ISNUMBER(SEARCH("平",B5578)),OR(ISNUMBER(SEARCH("上",B5578)),ISNUMBER(SEARCH("去",B5578)),ISNUMBER(SEARCH("入",B5578)))),"Ambiguous",IF(ISNUMBER(SEARCH("平",B5578)),"平","仄")))</x:f>
        <x:v>仄</x:v>
      </x:c>
      <x:c r="K5578" s="6" t="str">
        <x:f>IF(D5578="","",IF(AND(ISNUMBER(SEARCH("平",D5578)),OR(ISNUMBER(SEARCH("上",D5578)),ISNUMBER(SEARCH("去",D5578)),ISNUMBER(SEARCH("入",D5578)))),"Ambiguous",IF(ISNUMBER(SEARCH("平",D5578)),"平","仄")))</x:f>
        <x:v>仄</x:v>
      </x:c>
      <x:c r="L5578" s="7" t="str">
        <x:v>Pingshui main list, Lu Qinli gap fill</x:v>
      </x:c>
    </x:row>
    <x:row r="5579">
      <x:c r="A5579" s="5" t="str">
        <x:v>瀁</x:v>
      </x:c>
      <x:c r="B5579" s="6" t="str"/>
      <x:c r="C5579" s="6" t="str">
        <x:f>IF(B5579="","Needs decision","Ready")</x:f>
        <x:v>Needs decision</x:v>
      </x:c>
      <x:c r="D5579" s="6" t="str">
        <x:v>上/去</x:v>
      </x:c>
      <x:c r="E5579" s="6" t="str"/>
      <x:c r="F5579" s="6" t="str">
        <x:v>上聲二十二養; 去聲二十三漾</x:v>
      </x:c>
      <x:c r="G5579" s="6" t="str">
        <x:v>Pingshui main list, Wikisource-derived DOCX</x:v>
      </x:c>
      <x:c r="H5579" s="6" t="str"/>
      <x:c r="I5579" s="6" t="str">
        <x:v>Lu Qinli gap fill from Pingshui main list; 詞 entries ignored</x:v>
      </x:c>
      <x:c r="J5579" s="6" t="str">
        <x:f>IF(B5579="","",IF(AND(ISNUMBER(SEARCH("平",B5579)),OR(ISNUMBER(SEARCH("上",B5579)),ISNUMBER(SEARCH("去",B5579)),ISNUMBER(SEARCH("入",B5579)))),"Ambiguous",IF(ISNUMBER(SEARCH("平",B5579)),"平","仄")))</x:f>
      </x:c>
      <x:c r="K5579" s="6" t="str">
        <x:f>IF(D5579="","",IF(AND(ISNUMBER(SEARCH("平",D5579)),OR(ISNUMBER(SEARCH("上",D5579)),ISNUMBER(SEARCH("去",D5579)),ISNUMBER(SEARCH("入",D5579)))),"Ambiguous",IF(ISNUMBER(SEARCH("平",D5579)),"平","仄")))</x:f>
        <x:v>仄</x:v>
      </x:c>
      <x:c r="L5579" s="7" t="str">
        <x:v>Pingshui main list, Lu Qinli gap fill</x:v>
      </x:c>
    </x:row>
    <x:row r="5580">
      <x:c r="A5580" s="5" t="str">
        <x:v>瀆</x:v>
      </x:c>
      <x:c r="B5580" s="6" t="str">
        <x:v>入</x:v>
      </x:c>
      <x:c r="C5580" s="6" t="str">
        <x:f>IF(B5580="","Needs decision","Ready")</x:f>
        <x:v>Ready</x:v>
      </x:c>
      <x:c r="D5580" s="6" t="str">
        <x:v>入</x:v>
      </x:c>
      <x:c r="E5580" s="6" t="str"/>
      <x:c r="F5580" s="6" t="str">
        <x:v>入聲一屋</x:v>
      </x:c>
      <x:c r="G5580" s="6" t="str">
        <x:v>Pingshui main list, Wikisource-derived DOCX</x:v>
      </x:c>
      <x:c r="H5580" s="6" t="str"/>
      <x:c r="I5580" s="6" t="str">
        <x:v>Lu Qinli gap fill from Pingshui main list; 詞 entries ignored</x:v>
      </x:c>
      <x:c r="J5580" s="6" t="str">
        <x:f>IF(B5580="","",IF(AND(ISNUMBER(SEARCH("平",B5580)),OR(ISNUMBER(SEARCH("上",B5580)),ISNUMBER(SEARCH("去",B5580)),ISNUMBER(SEARCH("入",B5580)))),"Ambiguous",IF(ISNUMBER(SEARCH("平",B5580)),"平","仄")))</x:f>
        <x:v>仄</x:v>
      </x:c>
      <x:c r="K5580" s="6" t="str">
        <x:f>IF(D5580="","",IF(AND(ISNUMBER(SEARCH("平",D5580)),OR(ISNUMBER(SEARCH("上",D5580)),ISNUMBER(SEARCH("去",D5580)),ISNUMBER(SEARCH("入",D5580)))),"Ambiguous",IF(ISNUMBER(SEARCH("平",D5580)),"平","仄")))</x:f>
        <x:v>仄</x:v>
      </x:c>
      <x:c r="L5580" s="7" t="str">
        <x:v>Pingshui main list, Lu Qinli gap fill</x:v>
      </x:c>
    </x:row>
    <x:row r="5581">
      <x:c r="A5581" s="5" t="str">
        <x:v>瀍</x:v>
      </x:c>
      <x:c r="B5581" s="6" t="str">
        <x:v>平</x:v>
      </x:c>
      <x:c r="C5581" s="6" t="str">
        <x:f>IF(B5581="","Needs decision","Ready")</x:f>
        <x:v>Ready</x:v>
      </x:c>
      <x:c r="D5581" s="6" t="str">
        <x:v>平</x:v>
      </x:c>
      <x:c r="E5581" s="6" t="str"/>
      <x:c r="F5581" s="6" t="str">
        <x:v>下平聲一先</x:v>
      </x:c>
      <x:c r="G5581" s="6" t="str">
        <x:v>Pingshui main list, Wikisource-derived DOCX</x:v>
      </x:c>
      <x:c r="H5581" s="6" t="str"/>
      <x:c r="I5581" s="6" t="str">
        <x:v>Lu Qinli gap fill from Pingshui main list; 詞 entries ignored</x:v>
      </x:c>
      <x:c r="J5581" s="6" t="str">
        <x:f>IF(B5581="","",IF(AND(ISNUMBER(SEARCH("平",B5581)),OR(ISNUMBER(SEARCH("上",B5581)),ISNUMBER(SEARCH("去",B5581)),ISNUMBER(SEARCH("入",B5581)))),"Ambiguous",IF(ISNUMBER(SEARCH("平",B5581)),"平","仄")))</x:f>
        <x:v>平</x:v>
      </x:c>
      <x:c r="K5581" s="6" t="str">
        <x:f>IF(D5581="","",IF(AND(ISNUMBER(SEARCH("平",D5581)),OR(ISNUMBER(SEARCH("上",D5581)),ISNUMBER(SEARCH("去",D5581)),ISNUMBER(SEARCH("入",D5581)))),"Ambiguous",IF(ISNUMBER(SEARCH("平",D5581)),"平","仄")))</x:f>
        <x:v>平</x:v>
      </x:c>
      <x:c r="L5581" s="7" t="str">
        <x:v>Pingshui main list, Lu Qinli gap fill</x:v>
      </x:c>
    </x:row>
    <x:row r="5582">
      <x:c r="A5582" s="5" t="str">
        <x:v>瀏</x:v>
      </x:c>
      <x:c r="B5582" s="6" t="str"/>
      <x:c r="C5582" s="6" t="str">
        <x:f>IF(B5582="","Needs decision","Ready")</x:f>
        <x:v>Needs decision</x:v>
      </x:c>
      <x:c r="D5582" s="6" t="str">
        <x:v>平/上</x:v>
      </x:c>
      <x:c r="E5582" s="6" t="str"/>
      <x:c r="F5582" s="6" t="str">
        <x:v>下平聲十一尤; 上聲二十五有</x:v>
      </x:c>
      <x:c r="G5582" s="6" t="str">
        <x:v>Pingshui main list, Wikisource-derived DOCX</x:v>
      </x:c>
      <x:c r="H5582" s="6" t="str"/>
      <x:c r="I5582" s="6" t="str">
        <x:v>Lu Qinli gap fill from Pingshui main list; 詞 entries ignored</x:v>
      </x:c>
      <x:c r="J5582" s="6" t="str">
        <x:f>IF(B5582="","",IF(AND(ISNUMBER(SEARCH("平",B5582)),OR(ISNUMBER(SEARCH("上",B5582)),ISNUMBER(SEARCH("去",B5582)),ISNUMBER(SEARCH("入",B5582)))),"Ambiguous",IF(ISNUMBER(SEARCH("平",B5582)),"平","仄")))</x:f>
      </x:c>
      <x:c r="K5582" s="6" t="str">
        <x:f>IF(D5582="","",IF(AND(ISNUMBER(SEARCH("平",D5582)),OR(ISNUMBER(SEARCH("上",D5582)),ISNUMBER(SEARCH("去",D5582)),ISNUMBER(SEARCH("入",D5582)))),"Ambiguous",IF(ISNUMBER(SEARCH("平",D5582)),"平","仄")))</x:f>
        <x:v>Ambiguous</x:v>
      </x:c>
      <x:c r="L5582" s="7" t="str">
        <x:v>Pingshui main list, Lu Qinli gap fill</x:v>
      </x:c>
    </x:row>
    <x:row r="5583">
      <x:c r="A5583" s="5" t="str">
        <x:v>瀘</x:v>
      </x:c>
      <x:c r="B5583" s="6" t="str">
        <x:v>平</x:v>
      </x:c>
      <x:c r="C5583" s="6" t="str">
        <x:f>IF(B5583="","Needs decision","Ready")</x:f>
        <x:v>Ready</x:v>
      </x:c>
      <x:c r="D5583" s="6" t="str">
        <x:v>平</x:v>
      </x:c>
      <x:c r="E5583" s="6" t="str"/>
      <x:c r="F5583" s="6" t="str">
        <x:v>上平聲七虞</x:v>
      </x:c>
      <x:c r="G5583" s="6" t="str">
        <x:v>Pingshui main list, Wikisource-derived DOCX</x:v>
      </x:c>
      <x:c r="H5583" s="6" t="str"/>
      <x:c r="I5583" s="6" t="str">
        <x:v>Lu Qinli gap fill from Pingshui main list; 詞 entries ignored</x:v>
      </x:c>
      <x:c r="J5583" s="6" t="str">
        <x:f>IF(B5583="","",IF(AND(ISNUMBER(SEARCH("平",B5583)),OR(ISNUMBER(SEARCH("上",B5583)),ISNUMBER(SEARCH("去",B5583)),ISNUMBER(SEARCH("入",B5583)))),"Ambiguous",IF(ISNUMBER(SEARCH("平",B5583)),"平","仄")))</x:f>
        <x:v>平</x:v>
      </x:c>
      <x:c r="K5583" s="6" t="str">
        <x:f>IF(D5583="","",IF(AND(ISNUMBER(SEARCH("平",D5583)),OR(ISNUMBER(SEARCH("上",D5583)),ISNUMBER(SEARCH("去",D5583)),ISNUMBER(SEARCH("入",D5583)))),"Ambiguous",IF(ISNUMBER(SEARCH("平",D5583)),"平","仄")))</x:f>
        <x:v>平</x:v>
      </x:c>
      <x:c r="L5583" s="7" t="str">
        <x:v>Pingshui main list, Lu Qinli gap fill</x:v>
      </x:c>
    </x:row>
    <x:row r="5584">
      <x:c r="A5584" s="5" t="str">
        <x:v>瀝</x:v>
      </x:c>
      <x:c r="B5584" s="6" t="str">
        <x:v>入</x:v>
      </x:c>
      <x:c r="C5584" s="6" t="str">
        <x:f>IF(B5584="","Needs decision","Ready")</x:f>
        <x:v>Ready</x:v>
      </x:c>
      <x:c r="D5584" s="6" t="str">
        <x:v>入</x:v>
      </x:c>
      <x:c r="E5584" s="6" t="str"/>
      <x:c r="F5584" s="6" t="str">
        <x:v>入聲十二錫</x:v>
      </x:c>
      <x:c r="G5584" s="6" t="str">
        <x:v>Pingshui main list, Wikisource-derived DOCX</x:v>
      </x:c>
      <x:c r="H5584" s="6" t="str"/>
      <x:c r="I5584" s="6" t="str">
        <x:v>Lu Qinli gap fill from Pingshui main list; 詞 entries ignored</x:v>
      </x:c>
      <x:c r="J5584" s="6" t="str">
        <x:f>IF(B5584="","",IF(AND(ISNUMBER(SEARCH("平",B5584)),OR(ISNUMBER(SEARCH("上",B5584)),ISNUMBER(SEARCH("去",B5584)),ISNUMBER(SEARCH("入",B5584)))),"Ambiguous",IF(ISNUMBER(SEARCH("平",B5584)),"平","仄")))</x:f>
        <x:v>仄</x:v>
      </x:c>
      <x:c r="K5584" s="6" t="str">
        <x:f>IF(D5584="","",IF(AND(ISNUMBER(SEARCH("平",D5584)),OR(ISNUMBER(SEARCH("上",D5584)),ISNUMBER(SEARCH("去",D5584)),ISNUMBER(SEARCH("入",D5584)))),"Ambiguous",IF(ISNUMBER(SEARCH("平",D5584)),"平","仄")))</x:f>
        <x:v>仄</x:v>
      </x:c>
      <x:c r="L5584" s="7" t="str">
        <x:v>Pingshui main list, Lu Qinli gap fill</x:v>
      </x:c>
    </x:row>
    <x:row r="5585">
      <x:c r="A5585" s="5" t="str">
        <x:v>瀟</x:v>
      </x:c>
      <x:c r="B5585" s="6" t="str">
        <x:v>平</x:v>
      </x:c>
      <x:c r="C5585" s="6" t="str">
        <x:f>IF(B5585="","Needs decision","Ready")</x:f>
        <x:v>Ready</x:v>
      </x:c>
      <x:c r="D5585" s="6" t="str">
        <x:v>平</x:v>
      </x:c>
      <x:c r="E5585" s="6" t="str"/>
      <x:c r="F5585" s="6" t="str">
        <x:v>下平聲二蕭</x:v>
      </x:c>
      <x:c r="G5585" s="6" t="str">
        <x:v>Pingshui main list, Wikisource-derived DOCX</x:v>
      </x:c>
      <x:c r="H5585" s="6" t="str"/>
      <x:c r="I5585" s="6" t="str">
        <x:v>Lu Qinli gap fill from Pingshui main list; 詞 entries ignored</x:v>
      </x:c>
      <x:c r="J5585" s="6" t="str">
        <x:f>IF(B5585="","",IF(AND(ISNUMBER(SEARCH("平",B5585)),OR(ISNUMBER(SEARCH("上",B5585)),ISNUMBER(SEARCH("去",B5585)),ISNUMBER(SEARCH("入",B5585)))),"Ambiguous",IF(ISNUMBER(SEARCH("平",B5585)),"平","仄")))</x:f>
        <x:v>平</x:v>
      </x:c>
      <x:c r="K5585" s="6" t="str">
        <x:f>IF(D5585="","",IF(AND(ISNUMBER(SEARCH("平",D5585)),OR(ISNUMBER(SEARCH("上",D5585)),ISNUMBER(SEARCH("去",D5585)),ISNUMBER(SEARCH("入",D5585)))),"Ambiguous",IF(ISNUMBER(SEARCH("平",D5585)),"平","仄")))</x:f>
        <x:v>平</x:v>
      </x:c>
      <x:c r="L5585" s="7" t="str">
        <x:v>Pingshui main list, Lu Qinli gap fill</x:v>
      </x:c>
    </x:row>
    <x:row r="5586">
      <x:c r="A5586" s="5" t="str">
        <x:v>瀣</x:v>
      </x:c>
      <x:c r="B5586" s="6" t="str">
        <x:v>去</x:v>
      </x:c>
      <x:c r="C5586" s="6" t="str">
        <x:f>IF(B5586="","Needs decision","Ready")</x:f>
        <x:v>Ready</x:v>
      </x:c>
      <x:c r="D5586" s="6" t="str">
        <x:v>去</x:v>
      </x:c>
      <x:c r="E5586" s="6" t="str"/>
      <x:c r="F5586" s="6" t="str">
        <x:v>去聲十卦; 去聲十一隊</x:v>
      </x:c>
      <x:c r="G5586" s="6" t="str">
        <x:v>Pingshui main list, Wikisource-derived DOCX</x:v>
      </x:c>
      <x:c r="H5586" s="6" t="str"/>
      <x:c r="I5586" s="6" t="str">
        <x:v>Lu Qinli gap fill from Pingshui main list; 詞 entries ignored</x:v>
      </x:c>
      <x:c r="J5586" s="6" t="str">
        <x:f>IF(B5586="","",IF(AND(ISNUMBER(SEARCH("平",B5586)),OR(ISNUMBER(SEARCH("上",B5586)),ISNUMBER(SEARCH("去",B5586)),ISNUMBER(SEARCH("入",B5586)))),"Ambiguous",IF(ISNUMBER(SEARCH("平",B5586)),"平","仄")))</x:f>
        <x:v>仄</x:v>
      </x:c>
      <x:c r="K5586" s="6" t="str">
        <x:f>IF(D5586="","",IF(AND(ISNUMBER(SEARCH("平",D5586)),OR(ISNUMBER(SEARCH("上",D5586)),ISNUMBER(SEARCH("去",D5586)),ISNUMBER(SEARCH("入",D5586)))),"Ambiguous",IF(ISNUMBER(SEARCH("平",D5586)),"平","仄")))</x:f>
        <x:v>仄</x:v>
      </x:c>
      <x:c r="L5586" s="7" t="str">
        <x:v>Pingshui main list, Lu Qinli gap fill</x:v>
      </x:c>
    </x:row>
    <x:row r="5587">
      <x:c r="A5587" s="5" t="str">
        <x:v>瀧</x:v>
      </x:c>
      <x:c r="B5587" s="6" t="str">
        <x:v>平</x:v>
      </x:c>
      <x:c r="C5587" s="6" t="str">
        <x:f>IF(B5587="","Needs decision","Ready")</x:f>
        <x:v>Ready</x:v>
      </x:c>
      <x:c r="D5587" s="6" t="str">
        <x:v>平</x:v>
      </x:c>
      <x:c r="E5587" s="6" t="str"/>
      <x:c r="F5587" s="6" t="str">
        <x:v>上平聲三江</x:v>
      </x:c>
      <x:c r="G5587" s="6" t="str">
        <x:v>Pingshui main list, Wikisource-derived DOCX</x:v>
      </x:c>
      <x:c r="H5587" s="6" t="str"/>
      <x:c r="I5587" s="6" t="str">
        <x:v>Lu Qinli gap fill from Pingshui main list; 詞 entries ignored</x:v>
      </x:c>
      <x:c r="J5587" s="6" t="str">
        <x:f>IF(B5587="","",IF(AND(ISNUMBER(SEARCH("平",B5587)),OR(ISNUMBER(SEARCH("上",B5587)),ISNUMBER(SEARCH("去",B5587)),ISNUMBER(SEARCH("入",B5587)))),"Ambiguous",IF(ISNUMBER(SEARCH("平",B5587)),"平","仄")))</x:f>
        <x:v>平</x:v>
      </x:c>
      <x:c r="K5587" s="6" t="str">
        <x:f>IF(D5587="","",IF(AND(ISNUMBER(SEARCH("平",D5587)),OR(ISNUMBER(SEARCH("上",D5587)),ISNUMBER(SEARCH("去",D5587)),ISNUMBER(SEARCH("入",D5587)))),"Ambiguous",IF(ISNUMBER(SEARCH("平",D5587)),"平","仄")))</x:f>
        <x:v>平</x:v>
      </x:c>
      <x:c r="L5587" s="7" t="str">
        <x:v>Pingshui main list, Lu Qinli gap fill</x:v>
      </x:c>
    </x:row>
    <x:row r="5588">
      <x:c r="A5588" s="5" t="str">
        <x:v>瀲</x:v>
      </x:c>
      <x:c r="B5588" s="6" t="str"/>
      <x:c r="C5588" s="6" t="str">
        <x:f>IF(B5588="","Needs decision","Ready")</x:f>
        <x:v>Needs decision</x:v>
      </x:c>
      <x:c r="D5588" s="6" t="str">
        <x:v>上/去</x:v>
      </x:c>
      <x:c r="E5588" s="6" t="str"/>
      <x:c r="F5588" s="6" t="str">
        <x:v>上聲二十八琰; 去聲二十九豔</x:v>
      </x:c>
      <x:c r="G5588" s="6" t="str">
        <x:v>Pingshui main list, Wikisource-derived DOCX</x:v>
      </x:c>
      <x:c r="H5588" s="6" t="str"/>
      <x:c r="I5588" s="6" t="str">
        <x:v>Lu Qinli gap fill from Pingshui main list; 詞 entries ignored</x:v>
      </x:c>
      <x:c r="J5588" s="6" t="str">
        <x:f>IF(B5588="","",IF(AND(ISNUMBER(SEARCH("平",B5588)),OR(ISNUMBER(SEARCH("上",B5588)),ISNUMBER(SEARCH("去",B5588)),ISNUMBER(SEARCH("入",B5588)))),"Ambiguous",IF(ISNUMBER(SEARCH("平",B5588)),"平","仄")))</x:f>
      </x:c>
      <x:c r="K5588" s="6" t="str">
        <x:f>IF(D5588="","",IF(AND(ISNUMBER(SEARCH("平",D5588)),OR(ISNUMBER(SEARCH("上",D5588)),ISNUMBER(SEARCH("去",D5588)),ISNUMBER(SEARCH("入",D5588)))),"Ambiguous",IF(ISNUMBER(SEARCH("平",D5588)),"平","仄")))</x:f>
        <x:v>仄</x:v>
      </x:c>
      <x:c r="L5588" s="7" t="str">
        <x:v>Pingshui main list, Lu Qinli gap fill</x:v>
      </x:c>
    </x:row>
    <x:row r="5589">
      <x:c r="A5589" s="5" t="str">
        <x:v>瀺</x:v>
      </x:c>
      <x:c r="B5589" s="6" t="str">
        <x:v>上</x:v>
      </x:c>
      <x:c r="C5589" s="6" t="str">
        <x:f>IF(B5589="","Needs decision","Ready")</x:f>
        <x:v>Ready</x:v>
      </x:c>
      <x:c r="D5589" s="6" t="str">
        <x:v>上</x:v>
      </x:c>
      <x:c r="E5589" s="6" t="str"/>
      <x:c r="F5589" s="6" t="str">
        <x:v>上聲二十九豏</x:v>
      </x:c>
      <x:c r="G5589" s="6" t="str">
        <x:v>Pingshui main list, Wikisource-derived DOCX</x:v>
      </x:c>
      <x:c r="H5589" s="6" t="str"/>
      <x:c r="I5589" s="6" t="str">
        <x:v>Lu Qinli gap fill from Pingshui main list; 詞 entries ignored</x:v>
      </x:c>
      <x:c r="J5589" s="6" t="str">
        <x:f>IF(B5589="","",IF(AND(ISNUMBER(SEARCH("平",B5589)),OR(ISNUMBER(SEARCH("上",B5589)),ISNUMBER(SEARCH("去",B5589)),ISNUMBER(SEARCH("入",B5589)))),"Ambiguous",IF(ISNUMBER(SEARCH("平",B5589)),"平","仄")))</x:f>
        <x:v>仄</x:v>
      </x:c>
      <x:c r="K5589" s="6" t="str">
        <x:f>IF(D5589="","",IF(AND(ISNUMBER(SEARCH("平",D5589)),OR(ISNUMBER(SEARCH("上",D5589)),ISNUMBER(SEARCH("去",D5589)),ISNUMBER(SEARCH("入",D5589)))),"Ambiguous",IF(ISNUMBER(SEARCH("平",D5589)),"平","仄")))</x:f>
        <x:v>仄</x:v>
      </x:c>
      <x:c r="L5589" s="7" t="str">
        <x:v>Pingshui main list, Lu Qinli gap fill</x:v>
      </x:c>
    </x:row>
    <x:row r="5590">
      <x:c r="A5590" s="5" t="str">
        <x:v>灂</x:v>
      </x:c>
      <x:c r="B5590" s="6" t="str">
        <x:v>入</x:v>
      </x:c>
      <x:c r="C5590" s="6" t="str">
        <x:f>IF(B5590="","Needs decision","Ready")</x:f>
        <x:v>Ready</x:v>
      </x:c>
      <x:c r="D5590" s="6" t="str">
        <x:v>入</x:v>
      </x:c>
      <x:c r="E5590" s="6" t="str"/>
      <x:c r="F5590" s="6" t="str">
        <x:v>入聲三覺</x:v>
      </x:c>
      <x:c r="G5590" s="6" t="str">
        <x:v>Pingshui main list, Wikisource-derived DOCX</x:v>
      </x:c>
      <x:c r="H5590" s="6" t="str"/>
      <x:c r="I5590" s="6" t="str">
        <x:v>Lu Qinli gap fill from Pingshui main list; 詞 entries ignored</x:v>
      </x:c>
      <x:c r="J5590" s="6" t="str">
        <x:f>IF(B5590="","",IF(AND(ISNUMBER(SEARCH("平",B5590)),OR(ISNUMBER(SEARCH("上",B5590)),ISNUMBER(SEARCH("去",B5590)),ISNUMBER(SEARCH("入",B5590)))),"Ambiguous",IF(ISNUMBER(SEARCH("平",B5590)),"平","仄")))</x:f>
        <x:v>仄</x:v>
      </x:c>
      <x:c r="K5590" s="6" t="str">
        <x:f>IF(D5590="","",IF(AND(ISNUMBER(SEARCH("平",D5590)),OR(ISNUMBER(SEARCH("上",D5590)),ISNUMBER(SEARCH("去",D5590)),ISNUMBER(SEARCH("入",D5590)))),"Ambiguous",IF(ISNUMBER(SEARCH("平",D5590)),"平","仄")))</x:f>
        <x:v>仄</x:v>
      </x:c>
      <x:c r="L5590" s="7" t="str">
        <x:v>Pingshui main list, Lu Qinli gap fill</x:v>
      </x:c>
    </x:row>
    <x:row r="5591">
      <x:c r="A5591" s="5" t="str">
        <x:v>灃</x:v>
      </x:c>
      <x:c r="B5591" s="6" t="str">
        <x:v>平</x:v>
      </x:c>
      <x:c r="C5591" s="6" t="str">
        <x:f>IF(B5591="","Needs decision","Ready")</x:f>
        <x:v>Ready</x:v>
      </x:c>
      <x:c r="D5591" s="6" t="str">
        <x:v>平</x:v>
      </x:c>
      <x:c r="E5591" s="6" t="str"/>
      <x:c r="F5591" s="6" t="str">
        <x:v>上平聲一東</x:v>
      </x:c>
      <x:c r="G5591" s="6" t="str">
        <x:v>Pingshui main list, Wikisource-derived DOCX</x:v>
      </x:c>
      <x:c r="H5591" s="6" t="str"/>
      <x:c r="I5591" s="6" t="str">
        <x:v>Lu Qinli gap fill from Pingshui main list; 詞 entries ignored</x:v>
      </x:c>
      <x:c r="J5591" s="6" t="str">
        <x:f>IF(B5591="","",IF(AND(ISNUMBER(SEARCH("平",B5591)),OR(ISNUMBER(SEARCH("上",B5591)),ISNUMBER(SEARCH("去",B5591)),ISNUMBER(SEARCH("入",B5591)))),"Ambiguous",IF(ISNUMBER(SEARCH("平",B5591)),"平","仄")))</x:f>
        <x:v>平</x:v>
      </x:c>
      <x:c r="K5591" s="6" t="str">
        <x:f>IF(D5591="","",IF(AND(ISNUMBER(SEARCH("平",D5591)),OR(ISNUMBER(SEARCH("上",D5591)),ISNUMBER(SEARCH("去",D5591)),ISNUMBER(SEARCH("入",D5591)))),"Ambiguous",IF(ISNUMBER(SEARCH("平",D5591)),"平","仄")))</x:f>
        <x:v>平</x:v>
      </x:c>
      <x:c r="L5591" s="7" t="str">
        <x:v>Pingshui main list, Lu Qinli gap fill</x:v>
      </x:c>
    </x:row>
    <x:row r="5592">
      <x:c r="A5592" s="5" t="str">
        <x:v>灊</x:v>
      </x:c>
      <x:c r="B5592" s="6" t="str">
        <x:v>平</x:v>
      </x:c>
      <x:c r="C5592" s="6" t="str">
        <x:f>IF(B5592="","Needs decision","Ready")</x:f>
        <x:v>Ready</x:v>
      </x:c>
      <x:c r="D5592" s="6" t="str">
        <x:v>平</x:v>
      </x:c>
      <x:c r="E5592" s="6" t="str"/>
      <x:c r="F5592" s="6" t="str">
        <x:v>下平聲十二侵; 下平聲十四鹽</x:v>
      </x:c>
      <x:c r="G5592" s="6" t="str">
        <x:v>Pingshui main list, Wikisource-derived DOCX</x:v>
      </x:c>
      <x:c r="H5592" s="6" t="str"/>
      <x:c r="I5592" s="6" t="str">
        <x:v>Lu Qinli gap fill from Pingshui main list; 詞 entries ignored</x:v>
      </x:c>
      <x:c r="J5592" s="6" t="str">
        <x:f>IF(B5592="","",IF(AND(ISNUMBER(SEARCH("平",B5592)),OR(ISNUMBER(SEARCH("上",B5592)),ISNUMBER(SEARCH("去",B5592)),ISNUMBER(SEARCH("入",B5592)))),"Ambiguous",IF(ISNUMBER(SEARCH("平",B5592)),"平","仄")))</x:f>
        <x:v>平</x:v>
      </x:c>
      <x:c r="K5592" s="6" t="str">
        <x:f>IF(D5592="","",IF(AND(ISNUMBER(SEARCH("平",D5592)),OR(ISNUMBER(SEARCH("上",D5592)),ISNUMBER(SEARCH("去",D5592)),ISNUMBER(SEARCH("入",D5592)))),"Ambiguous",IF(ISNUMBER(SEARCH("平",D5592)),"平","仄")))</x:f>
        <x:v>平</x:v>
      </x:c>
      <x:c r="L5592" s="7" t="str">
        <x:v>Pingshui main list, Lu Qinli gap fill</x:v>
      </x:c>
    </x:row>
    <x:row r="5593">
      <x:c r="A5593" s="5" t="str">
        <x:v>炫</x:v>
      </x:c>
      <x:c r="B5593" s="6" t="str">
        <x:v>去</x:v>
      </x:c>
      <x:c r="C5593" s="6" t="str">
        <x:f>IF(B5593="","Needs decision","Ready")</x:f>
        <x:v>Ready</x:v>
      </x:c>
      <x:c r="D5593" s="6" t="str">
        <x:v>去</x:v>
      </x:c>
      <x:c r="E5593" s="6" t="str"/>
      <x:c r="F5593" s="6" t="str">
        <x:v>去聲十七霰</x:v>
      </x:c>
      <x:c r="G5593" s="6" t="str">
        <x:v>Pingshui main list, Wikisource-derived DOCX</x:v>
      </x:c>
      <x:c r="H5593" s="6" t="str"/>
      <x:c r="I5593" s="6" t="str">
        <x:v>Lu Qinli gap fill from Pingshui main list; 詞 entries ignored</x:v>
      </x:c>
      <x:c r="J5593" s="6" t="str">
        <x:f>IF(B5593="","",IF(AND(ISNUMBER(SEARCH("平",B5593)),OR(ISNUMBER(SEARCH("上",B5593)),ISNUMBER(SEARCH("去",B5593)),ISNUMBER(SEARCH("入",B5593)))),"Ambiguous",IF(ISNUMBER(SEARCH("平",B5593)),"平","仄")))</x:f>
        <x:v>仄</x:v>
      </x:c>
      <x:c r="K5593" s="6" t="str">
        <x:f>IF(D5593="","",IF(AND(ISNUMBER(SEARCH("平",D5593)),OR(ISNUMBER(SEARCH("上",D5593)),ISNUMBER(SEARCH("去",D5593)),ISNUMBER(SEARCH("入",D5593)))),"Ambiguous",IF(ISNUMBER(SEARCH("平",D5593)),"平","仄")))</x:f>
        <x:v>仄</x:v>
      </x:c>
      <x:c r="L5593" s="7" t="str">
        <x:v>Pingshui main list, Lu Qinli gap fill</x:v>
      </x:c>
    </x:row>
    <x:row r="5594">
      <x:c r="A5594" s="5" t="str">
        <x:v>炮</x:v>
      </x:c>
      <x:c r="B5594" s="6" t="str">
        <x:v>平</x:v>
      </x:c>
      <x:c r="C5594" s="6" t="str">
        <x:f>IF(B5594="","Needs decision","Ready")</x:f>
        <x:v>Ready</x:v>
      </x:c>
      <x:c r="D5594" s="6" t="str">
        <x:v>平</x:v>
      </x:c>
      <x:c r="E5594" s="6" t="str"/>
      <x:c r="F5594" s="6" t="str">
        <x:v>下平聲三肴</x:v>
      </x:c>
      <x:c r="G5594" s="6" t="str">
        <x:v>Pingshui main list, Wikisource-derived DOCX</x:v>
      </x:c>
      <x:c r="H5594" s="6" t="str"/>
      <x:c r="I5594" s="6" t="str">
        <x:v>Lu Qinli gap fill from Pingshui main list; 詞 entries ignored</x:v>
      </x:c>
      <x:c r="J5594" s="6" t="str">
        <x:f>IF(B5594="","",IF(AND(ISNUMBER(SEARCH("平",B5594)),OR(ISNUMBER(SEARCH("上",B5594)),ISNUMBER(SEARCH("去",B5594)),ISNUMBER(SEARCH("入",B5594)))),"Ambiguous",IF(ISNUMBER(SEARCH("平",B5594)),"平","仄")))</x:f>
        <x:v>平</x:v>
      </x:c>
      <x:c r="K5594" s="6" t="str">
        <x:f>IF(D5594="","",IF(AND(ISNUMBER(SEARCH("平",D5594)),OR(ISNUMBER(SEARCH("上",D5594)),ISNUMBER(SEARCH("去",D5594)),ISNUMBER(SEARCH("入",D5594)))),"Ambiguous",IF(ISNUMBER(SEARCH("平",D5594)),"平","仄")))</x:f>
        <x:v>平</x:v>
      </x:c>
      <x:c r="L5594" s="7" t="str">
        <x:v>Pingshui main list, Lu Qinli gap fill</x:v>
      </x:c>
    </x:row>
    <x:row r="5595">
      <x:c r="A5595" s="5" t="str">
        <x:v>炯</x:v>
      </x:c>
      <x:c r="B5595" s="6" t="str">
        <x:v>上</x:v>
      </x:c>
      <x:c r="C5595" s="6" t="str">
        <x:f>IF(B5595="","Needs decision","Ready")</x:f>
        <x:v>Ready</x:v>
      </x:c>
      <x:c r="D5595" s="6" t="str">
        <x:v>上</x:v>
      </x:c>
      <x:c r="E5595" s="6" t="str"/>
      <x:c r="F5595" s="6" t="str">
        <x:v>上聲二十四迥</x:v>
      </x:c>
      <x:c r="G5595" s="6" t="str">
        <x:v>Pingshui main list, Wikisource-derived DOCX</x:v>
      </x:c>
      <x:c r="H5595" s="6" t="str"/>
      <x:c r="I5595" s="6" t="str">
        <x:v>Lu Qinli gap fill from Pingshui main list; 詞 entries ignored</x:v>
      </x:c>
      <x:c r="J5595" s="6" t="str">
        <x:f>IF(B5595="","",IF(AND(ISNUMBER(SEARCH("平",B5595)),OR(ISNUMBER(SEARCH("上",B5595)),ISNUMBER(SEARCH("去",B5595)),ISNUMBER(SEARCH("入",B5595)))),"Ambiguous",IF(ISNUMBER(SEARCH("平",B5595)),"平","仄")))</x:f>
        <x:v>仄</x:v>
      </x:c>
      <x:c r="K5595" s="6" t="str">
        <x:f>IF(D5595="","",IF(AND(ISNUMBER(SEARCH("平",D5595)),OR(ISNUMBER(SEARCH("上",D5595)),ISNUMBER(SEARCH("去",D5595)),ISNUMBER(SEARCH("入",D5595)))),"Ambiguous",IF(ISNUMBER(SEARCH("平",D5595)),"平","仄")))</x:f>
        <x:v>仄</x:v>
      </x:c>
      <x:c r="L5595" s="7" t="str">
        <x:v>Pingshui main list, Lu Qinli gap fill</x:v>
      </x:c>
    </x:row>
    <x:row r="5596">
      <x:c r="A5596" s="5" t="str">
        <x:v>炱</x:v>
      </x:c>
      <x:c r="B5596" s="6" t="str">
        <x:v>平</x:v>
      </x:c>
      <x:c r="C5596" s="6" t="str">
        <x:f>IF(B5596="","Needs decision","Ready")</x:f>
        <x:v>Ready</x:v>
      </x:c>
      <x:c r="D5596" s="6" t="str">
        <x:v>平</x:v>
      </x:c>
      <x:c r="E5596" s="6" t="str"/>
      <x:c r="F5596" s="6" t="str">
        <x:v>上平聲十灰</x:v>
      </x:c>
      <x:c r="G5596" s="6" t="str">
        <x:v>Pingshui main list, Wikisource-derived DOCX</x:v>
      </x:c>
      <x:c r="H5596" s="6" t="str"/>
      <x:c r="I5596" s="6" t="str">
        <x:v>Lu Qinli gap fill from Pingshui main list; 詞 entries ignored</x:v>
      </x:c>
      <x:c r="J5596" s="6" t="str">
        <x:f>IF(B5596="","",IF(AND(ISNUMBER(SEARCH("平",B5596)),OR(ISNUMBER(SEARCH("上",B5596)),ISNUMBER(SEARCH("去",B5596)),ISNUMBER(SEARCH("入",B5596)))),"Ambiguous",IF(ISNUMBER(SEARCH("平",B5596)),"平","仄")))</x:f>
        <x:v>平</x:v>
      </x:c>
      <x:c r="K5596" s="6" t="str">
        <x:f>IF(D5596="","",IF(AND(ISNUMBER(SEARCH("平",D5596)),OR(ISNUMBER(SEARCH("上",D5596)),ISNUMBER(SEARCH("去",D5596)),ISNUMBER(SEARCH("入",D5596)))),"Ambiguous",IF(ISNUMBER(SEARCH("平",D5596)),"平","仄")))</x:f>
        <x:v>平</x:v>
      </x:c>
      <x:c r="L5596" s="7" t="str">
        <x:v>Pingshui main list, Lu Qinli gap fill</x:v>
      </x:c>
    </x:row>
    <x:row r="5597">
      <x:c r="A5597" s="5" t="str">
        <x:v>炳</x:v>
      </x:c>
      <x:c r="B5597" s="6" t="str">
        <x:v>上</x:v>
      </x:c>
      <x:c r="C5597" s="6" t="str">
        <x:f>IF(B5597="","Needs decision","Ready")</x:f>
        <x:v>Ready</x:v>
      </x:c>
      <x:c r="D5597" s="6" t="str">
        <x:v>上</x:v>
      </x:c>
      <x:c r="E5597" s="6" t="str"/>
      <x:c r="F5597" s="6" t="str">
        <x:v>上聲二十三梗</x:v>
      </x:c>
      <x:c r="G5597" s="6" t="str">
        <x:v>Pingshui main list, Wikisource-derived DOCX</x:v>
      </x:c>
      <x:c r="H5597" s="6" t="str"/>
      <x:c r="I5597" s="6" t="str">
        <x:v>Lu Qinli gap fill from Pingshui main list; 詞 entries ignored</x:v>
      </x:c>
      <x:c r="J5597" s="6" t="str">
        <x:f>IF(B5597="","",IF(AND(ISNUMBER(SEARCH("平",B5597)),OR(ISNUMBER(SEARCH("上",B5597)),ISNUMBER(SEARCH("去",B5597)),ISNUMBER(SEARCH("入",B5597)))),"Ambiguous",IF(ISNUMBER(SEARCH("平",B5597)),"平","仄")))</x:f>
        <x:v>仄</x:v>
      </x:c>
      <x:c r="K5597" s="6" t="str">
        <x:f>IF(D5597="","",IF(AND(ISNUMBER(SEARCH("平",D5597)),OR(ISNUMBER(SEARCH("上",D5597)),ISNUMBER(SEARCH("去",D5597)),ISNUMBER(SEARCH("入",D5597)))),"Ambiguous",IF(ISNUMBER(SEARCH("平",D5597)),"平","仄")))</x:f>
        <x:v>仄</x:v>
      </x:c>
      <x:c r="L5597" s="7" t="str">
        <x:v>Pingshui main list, Lu Qinli gap fill</x:v>
      </x:c>
    </x:row>
    <x:row r="5598">
      <x:c r="A5598" s="5" t="str">
        <x:v>炷</x:v>
      </x:c>
      <x:c r="B5598" s="6" t="str"/>
      <x:c r="C5598" s="6" t="str">
        <x:f>IF(B5598="","Needs decision","Ready")</x:f>
        <x:v>Needs decision</x:v>
      </x:c>
      <x:c r="D5598" s="6" t="str">
        <x:v>上/去</x:v>
      </x:c>
      <x:c r="E5598" s="6" t="str"/>
      <x:c r="F5598" s="6" t="str">
        <x:v>上聲七麌; 去聲七遇</x:v>
      </x:c>
      <x:c r="G5598" s="6" t="str">
        <x:v>Pingshui main list, Wikisource-derived DOCX</x:v>
      </x:c>
      <x:c r="H5598" s="6" t="str"/>
      <x:c r="I5598" s="6" t="str">
        <x:v>Lu Qinli gap fill from Pingshui main list; 詞 entries ignored</x:v>
      </x:c>
      <x:c r="J5598" s="6" t="str">
        <x:f>IF(B5598="","",IF(AND(ISNUMBER(SEARCH("平",B5598)),OR(ISNUMBER(SEARCH("上",B5598)),ISNUMBER(SEARCH("去",B5598)),ISNUMBER(SEARCH("入",B5598)))),"Ambiguous",IF(ISNUMBER(SEARCH("平",B5598)),"平","仄")))</x:f>
      </x:c>
      <x:c r="K5598" s="6" t="str">
        <x:f>IF(D5598="","",IF(AND(ISNUMBER(SEARCH("平",D5598)),OR(ISNUMBER(SEARCH("上",D5598)),ISNUMBER(SEARCH("去",D5598)),ISNUMBER(SEARCH("入",D5598)))),"Ambiguous",IF(ISNUMBER(SEARCH("平",D5598)),"平","仄")))</x:f>
        <x:v>仄</x:v>
      </x:c>
      <x:c r="L5598" s="7" t="str">
        <x:v>Pingshui main list, Lu Qinli gap fill</x:v>
      </x:c>
    </x:row>
    <x:row r="5599">
      <x:c r="A5599" s="5" t="str">
        <x:v>烙</x:v>
      </x:c>
      <x:c r="B5599" s="6" t="str">
        <x:v>入</x:v>
      </x:c>
      <x:c r="C5599" s="6" t="str">
        <x:f>IF(B5599="","Needs decision","Ready")</x:f>
        <x:v>Ready</x:v>
      </x:c>
      <x:c r="D5599" s="6" t="str">
        <x:v>入</x:v>
      </x:c>
      <x:c r="E5599" s="6" t="str"/>
      <x:c r="F5599" s="6" t="str">
        <x:v>入聲十藥</x:v>
      </x:c>
      <x:c r="G5599" s="6" t="str">
        <x:v>Pingshui main list, Wikisource-derived DOCX</x:v>
      </x:c>
      <x:c r="H5599" s="6" t="str"/>
      <x:c r="I5599" s="6" t="str">
        <x:v>Lu Qinli gap fill from Pingshui main list; 詞 entries ignored</x:v>
      </x:c>
      <x:c r="J5599" s="6" t="str">
        <x:f>IF(B5599="","",IF(AND(ISNUMBER(SEARCH("平",B5599)),OR(ISNUMBER(SEARCH("上",B5599)),ISNUMBER(SEARCH("去",B5599)),ISNUMBER(SEARCH("入",B5599)))),"Ambiguous",IF(ISNUMBER(SEARCH("平",B5599)),"平","仄")))</x:f>
        <x:v>仄</x:v>
      </x:c>
      <x:c r="K5599" s="6" t="str">
        <x:f>IF(D5599="","",IF(AND(ISNUMBER(SEARCH("平",D5599)),OR(ISNUMBER(SEARCH("上",D5599)),ISNUMBER(SEARCH("去",D5599)),ISNUMBER(SEARCH("入",D5599)))),"Ambiguous",IF(ISNUMBER(SEARCH("平",D5599)),"平","仄")))</x:f>
        <x:v>仄</x:v>
      </x:c>
      <x:c r="L5599" s="7" t="str">
        <x:v>Pingshui main list, Lu Qinli gap fill</x:v>
      </x:c>
    </x:row>
    <x:row r="5600">
      <x:c r="A5600" s="5" t="str">
        <x:v>焜</x:v>
      </x:c>
      <x:c r="B5600" s="6" t="str">
        <x:v>上</x:v>
      </x:c>
      <x:c r="C5600" s="6" t="str">
        <x:f>IF(B5600="","Needs decision","Ready")</x:f>
        <x:v>Ready</x:v>
      </x:c>
      <x:c r="D5600" s="6" t="str">
        <x:v>上</x:v>
      </x:c>
      <x:c r="E5600" s="6" t="str"/>
      <x:c r="F5600" s="6" t="str">
        <x:v>上聲十三阮</x:v>
      </x:c>
      <x:c r="G5600" s="6" t="str">
        <x:v>Pingshui main list, Wikisource-derived DOCX</x:v>
      </x:c>
      <x:c r="H5600" s="6" t="str"/>
      <x:c r="I5600" s="6" t="str">
        <x:v>Lu Qinli gap fill from Pingshui main list; 詞 entries ignored</x:v>
      </x:c>
      <x:c r="J5600" s="6" t="str">
        <x:f>IF(B5600="","",IF(AND(ISNUMBER(SEARCH("平",B5600)),OR(ISNUMBER(SEARCH("上",B5600)),ISNUMBER(SEARCH("去",B5600)),ISNUMBER(SEARCH("入",B5600)))),"Ambiguous",IF(ISNUMBER(SEARCH("平",B5600)),"平","仄")))</x:f>
        <x:v>仄</x:v>
      </x:c>
      <x:c r="K5600" s="6" t="str">
        <x:f>IF(D5600="","",IF(AND(ISNUMBER(SEARCH("平",D5600)),OR(ISNUMBER(SEARCH("上",D5600)),ISNUMBER(SEARCH("去",D5600)),ISNUMBER(SEARCH("入",D5600)))),"Ambiguous",IF(ISNUMBER(SEARCH("平",D5600)),"平","仄")))</x:f>
        <x:v>仄</x:v>
      </x:c>
      <x:c r="L5600" s="7" t="str">
        <x:v>Pingshui main list, Lu Qinli gap fill</x:v>
      </x:c>
    </x:row>
    <x:row r="5601">
      <x:c r="A5601" s="5" t="str">
        <x:v>焮</x:v>
      </x:c>
      <x:c r="B5601" s="6" t="str">
        <x:v>去</x:v>
      </x:c>
      <x:c r="C5601" s="6" t="str">
        <x:f>IF(B5601="","Needs decision","Ready")</x:f>
        <x:v>Ready</x:v>
      </x:c>
      <x:c r="D5601" s="6" t="str">
        <x:v>去</x:v>
      </x:c>
      <x:c r="E5601" s="6" t="str"/>
      <x:c r="F5601" s="6" t="str">
        <x:v>去聲十三問</x:v>
      </x:c>
      <x:c r="G5601" s="6" t="str">
        <x:v>Pingshui main list, Wikisource-derived DOCX</x:v>
      </x:c>
      <x:c r="H5601" s="6" t="str"/>
      <x:c r="I5601" s="6" t="str">
        <x:v>Lu Qinli gap fill from Pingshui main list; 詞 entries ignored</x:v>
      </x:c>
      <x:c r="J5601" s="6" t="str">
        <x:f>IF(B5601="","",IF(AND(ISNUMBER(SEARCH("平",B5601)),OR(ISNUMBER(SEARCH("上",B5601)),ISNUMBER(SEARCH("去",B5601)),ISNUMBER(SEARCH("入",B5601)))),"Ambiguous",IF(ISNUMBER(SEARCH("平",B5601)),"平","仄")))</x:f>
        <x:v>仄</x:v>
      </x:c>
      <x:c r="K5601" s="6" t="str">
        <x:f>IF(D5601="","",IF(AND(ISNUMBER(SEARCH("平",D5601)),OR(ISNUMBER(SEARCH("上",D5601)),ISNUMBER(SEARCH("去",D5601)),ISNUMBER(SEARCH("入",D5601)))),"Ambiguous",IF(ISNUMBER(SEARCH("平",D5601)),"平","仄")))</x:f>
        <x:v>仄</x:v>
      </x:c>
      <x:c r="L5601" s="7" t="str">
        <x:v>Pingshui main list, Lu Qinli gap fill</x:v>
      </x:c>
    </x:row>
    <x:row r="5602">
      <x:c r="A5602" s="5" t="str">
        <x:v>焱</x:v>
      </x:c>
      <x:c r="B5602" s="6" t="str">
        <x:v>入</x:v>
      </x:c>
      <x:c r="C5602" s="6" t="str">
        <x:f>IF(B5602="","Needs decision","Ready")</x:f>
        <x:v>Ready</x:v>
      </x:c>
      <x:c r="D5602" s="6" t="str">
        <x:v>入</x:v>
      </x:c>
      <x:c r="E5602" s="6" t="str"/>
      <x:c r="F5602" s="6" t="str">
        <x:v>入聲十二錫</x:v>
      </x:c>
      <x:c r="G5602" s="6" t="str">
        <x:v>Pingshui main list, Wikisource-derived DOCX</x:v>
      </x:c>
      <x:c r="H5602" s="6" t="str"/>
      <x:c r="I5602" s="6" t="str">
        <x:v>Lu Qinli gap fill from Pingshui main list; 詞 entries ignored</x:v>
      </x:c>
      <x:c r="J5602" s="6" t="str">
        <x:f>IF(B5602="","",IF(AND(ISNUMBER(SEARCH("平",B5602)),OR(ISNUMBER(SEARCH("上",B5602)),ISNUMBER(SEARCH("去",B5602)),ISNUMBER(SEARCH("入",B5602)))),"Ambiguous",IF(ISNUMBER(SEARCH("平",B5602)),"平","仄")))</x:f>
        <x:v>仄</x:v>
      </x:c>
      <x:c r="K5602" s="6" t="str">
        <x:f>IF(D5602="","",IF(AND(ISNUMBER(SEARCH("平",D5602)),OR(ISNUMBER(SEARCH("上",D5602)),ISNUMBER(SEARCH("去",D5602)),ISNUMBER(SEARCH("入",D5602)))),"Ambiguous",IF(ISNUMBER(SEARCH("平",D5602)),"平","仄")))</x:f>
        <x:v>仄</x:v>
      </x:c>
      <x:c r="L5602" s="7" t="str">
        <x:v>Pingshui main list, Lu Qinli gap fill</x:v>
      </x:c>
    </x:row>
    <x:row r="5603">
      <x:c r="A5603" s="5" t="str">
        <x:v>煦</x:v>
      </x:c>
      <x:c r="B5603" s="6" t="str"/>
      <x:c r="C5603" s="6" t="str">
        <x:f>IF(B5603="","Needs decision","Ready")</x:f>
        <x:v>Needs decision</x:v>
      </x:c>
      <x:c r="D5603" s="6" t="str">
        <x:v>上/去</x:v>
      </x:c>
      <x:c r="E5603" s="6" t="str"/>
      <x:c r="F5603" s="6" t="str">
        <x:v>上聲七麌; 去聲七遇</x:v>
      </x:c>
      <x:c r="G5603" s="6" t="str">
        <x:v>Pingshui main list, Wikisource-derived DOCX</x:v>
      </x:c>
      <x:c r="H5603" s="6" t="str"/>
      <x:c r="I5603" s="6" t="str">
        <x:v>Lu Qinli gap fill from Pingshui main list; 詞 entries ignored</x:v>
      </x:c>
      <x:c r="J5603" s="6" t="str">
        <x:f>IF(B5603="","",IF(AND(ISNUMBER(SEARCH("平",B5603)),OR(ISNUMBER(SEARCH("上",B5603)),ISNUMBER(SEARCH("去",B5603)),ISNUMBER(SEARCH("入",B5603)))),"Ambiguous",IF(ISNUMBER(SEARCH("平",B5603)),"平","仄")))</x:f>
      </x:c>
      <x:c r="K5603" s="6" t="str">
        <x:f>IF(D5603="","",IF(AND(ISNUMBER(SEARCH("平",D5603)),OR(ISNUMBER(SEARCH("上",D5603)),ISNUMBER(SEARCH("去",D5603)),ISNUMBER(SEARCH("入",D5603)))),"Ambiguous",IF(ISNUMBER(SEARCH("平",D5603)),"平","仄")))</x:f>
        <x:v>仄</x:v>
      </x:c>
      <x:c r="L5603" s="7" t="str">
        <x:v>Pingshui main list, Lu Qinli gap fill</x:v>
      </x:c>
    </x:row>
    <x:row r="5604">
      <x:c r="A5604" s="5" t="str">
        <x:v>煨</x:v>
      </x:c>
      <x:c r="B5604" s="6" t="str">
        <x:v>平</x:v>
      </x:c>
      <x:c r="C5604" s="6" t="str">
        <x:f>IF(B5604="","Needs decision","Ready")</x:f>
        <x:v>Ready</x:v>
      </x:c>
      <x:c r="D5604" s="6" t="str">
        <x:v>平</x:v>
      </x:c>
      <x:c r="E5604" s="6" t="str"/>
      <x:c r="F5604" s="6" t="str">
        <x:v>上平聲十灰</x:v>
      </x:c>
      <x:c r="G5604" s="6" t="str">
        <x:v>Pingshui main list, Wikisource-derived DOCX</x:v>
      </x:c>
      <x:c r="H5604" s="6" t="str"/>
      <x:c r="I5604" s="6" t="str">
        <x:v>Lu Qinli gap fill from Pingshui main list; 詞 entries ignored</x:v>
      </x:c>
      <x:c r="J5604" s="6" t="str">
        <x:f>IF(B5604="","",IF(AND(ISNUMBER(SEARCH("平",B5604)),OR(ISNUMBER(SEARCH("上",B5604)),ISNUMBER(SEARCH("去",B5604)),ISNUMBER(SEARCH("入",B5604)))),"Ambiguous",IF(ISNUMBER(SEARCH("平",B5604)),"平","仄")))</x:f>
        <x:v>平</x:v>
      </x:c>
      <x:c r="K5604" s="6" t="str">
        <x:f>IF(D5604="","",IF(AND(ISNUMBER(SEARCH("平",D5604)),OR(ISNUMBER(SEARCH("上",D5604)),ISNUMBER(SEARCH("去",D5604)),ISNUMBER(SEARCH("入",D5604)))),"Ambiguous",IF(ISNUMBER(SEARCH("平",D5604)),"平","仄")))</x:f>
        <x:v>平</x:v>
      </x:c>
      <x:c r="L5604" s="7" t="str">
        <x:v>Pingshui main list, Lu Qinli gap fill</x:v>
      </x:c>
    </x:row>
    <x:row r="5605">
      <x:c r="A5605" s="5" t="str">
        <x:v>煬</x:v>
      </x:c>
      <x:c r="B5605" s="6" t="str"/>
      <x:c r="C5605" s="6" t="str">
        <x:f>IF(B5605="","Needs decision","Ready")</x:f>
        <x:v>Needs decision</x:v>
      </x:c>
      <x:c r="D5605" s="6" t="str">
        <x:v>平/去</x:v>
      </x:c>
      <x:c r="E5605" s="6" t="str"/>
      <x:c r="F5605" s="6" t="str">
        <x:v>下平聲七陽; 去聲二十三漾</x:v>
      </x:c>
      <x:c r="G5605" s="6" t="str">
        <x:v>Pingshui main list, Wikisource-derived DOCX</x:v>
      </x:c>
      <x:c r="H5605" s="6" t="str"/>
      <x:c r="I5605" s="6" t="str">
        <x:v>Lu Qinli gap fill from Pingshui main list; 詞 entries ignored</x:v>
      </x:c>
      <x:c r="J5605" s="6" t="str">
        <x:f>IF(B5605="","",IF(AND(ISNUMBER(SEARCH("平",B5605)),OR(ISNUMBER(SEARCH("上",B5605)),ISNUMBER(SEARCH("去",B5605)),ISNUMBER(SEARCH("入",B5605)))),"Ambiguous",IF(ISNUMBER(SEARCH("平",B5605)),"平","仄")))</x:f>
      </x:c>
      <x:c r="K5605" s="6" t="str">
        <x:f>IF(D5605="","",IF(AND(ISNUMBER(SEARCH("平",D5605)),OR(ISNUMBER(SEARCH("上",D5605)),ISNUMBER(SEARCH("去",D5605)),ISNUMBER(SEARCH("入",D5605)))),"Ambiguous",IF(ISNUMBER(SEARCH("平",D5605)),"平","仄")))</x:f>
        <x:v>Ambiguous</x:v>
      </x:c>
      <x:c r="L5605" s="7" t="str">
        <x:v>Pingshui main list, Lu Qinli gap fill</x:v>
      </x:c>
    </x:row>
    <x:row r="5606">
      <x:c r="A5606" s="5" t="str">
        <x:v>熅</x:v>
      </x:c>
      <x:c r="B5606" s="6" t="str">
        <x:v>平</x:v>
      </x:c>
      <x:c r="C5606" s="6" t="str">
        <x:f>IF(B5606="","Needs decision","Ready")</x:f>
        <x:v>Ready</x:v>
      </x:c>
      <x:c r="D5606" s="6" t="str">
        <x:v>平</x:v>
      </x:c>
      <x:c r="E5606" s="6" t="str"/>
      <x:c r="F5606" s="6" t="str">
        <x:v>上平聲十二文</x:v>
      </x:c>
      <x:c r="G5606" s="6" t="str">
        <x:v>Pingshui main list, Wikisource-derived DOCX</x:v>
      </x:c>
      <x:c r="H5606" s="6" t="str"/>
      <x:c r="I5606" s="6" t="str">
        <x:v>Lu Qinli gap fill from Pingshui main list; 詞 entries ignored</x:v>
      </x:c>
      <x:c r="J5606" s="6" t="str">
        <x:f>IF(B5606="","",IF(AND(ISNUMBER(SEARCH("平",B5606)),OR(ISNUMBER(SEARCH("上",B5606)),ISNUMBER(SEARCH("去",B5606)),ISNUMBER(SEARCH("入",B5606)))),"Ambiguous",IF(ISNUMBER(SEARCH("平",B5606)),"平","仄")))</x:f>
        <x:v>平</x:v>
      </x:c>
      <x:c r="K5606" s="6" t="str">
        <x:f>IF(D5606="","",IF(AND(ISNUMBER(SEARCH("平",D5606)),OR(ISNUMBER(SEARCH("上",D5606)),ISNUMBER(SEARCH("去",D5606)),ISNUMBER(SEARCH("入",D5606)))),"Ambiguous",IF(ISNUMBER(SEARCH("平",D5606)),"平","仄")))</x:f>
        <x:v>平</x:v>
      </x:c>
      <x:c r="L5606" s="7" t="str">
        <x:v>Pingshui main list, Lu Qinli gap fill</x:v>
      </x:c>
    </x:row>
    <x:row r="5607">
      <x:c r="A5607" s="5" t="str">
        <x:v>熇</x:v>
      </x:c>
      <x:c r="B5607" s="6" t="str"/>
      <x:c r="C5607" s="6" t="str">
        <x:f>IF(B5607="","Needs decision","Ready")</x:f>
        <x:v>Needs decision</x:v>
      </x:c>
      <x:c r="D5607" s="6" t="str">
        <x:v>平/入</x:v>
      </x:c>
      <x:c r="E5607" s="6" t="str"/>
      <x:c r="F5607" s="6" t="str">
        <x:v>下平聲二蕭; 入聲一屋; 入聲二沃; 入聲十藥</x:v>
      </x:c>
      <x:c r="G5607" s="6" t="str">
        <x:v>Pingshui main list, Wikisource-derived DOCX</x:v>
      </x:c>
      <x:c r="H5607" s="6" t="str"/>
      <x:c r="I5607" s="6" t="str">
        <x:v>Lu Qinli gap fill from Pingshui main list; 詞 entries ignored</x:v>
      </x:c>
      <x:c r="J5607" s="6" t="str">
        <x:f>IF(B5607="","",IF(AND(ISNUMBER(SEARCH("平",B5607)),OR(ISNUMBER(SEARCH("上",B5607)),ISNUMBER(SEARCH("去",B5607)),ISNUMBER(SEARCH("入",B5607)))),"Ambiguous",IF(ISNUMBER(SEARCH("平",B5607)),"平","仄")))</x:f>
      </x:c>
      <x:c r="K5607" s="6" t="str">
        <x:f>IF(D5607="","",IF(AND(ISNUMBER(SEARCH("平",D5607)),OR(ISNUMBER(SEARCH("上",D5607)),ISNUMBER(SEARCH("去",D5607)),ISNUMBER(SEARCH("入",D5607)))),"Ambiguous",IF(ISNUMBER(SEARCH("平",D5607)),"平","仄")))</x:f>
        <x:v>Ambiguous</x:v>
      </x:c>
      <x:c r="L5607" s="7" t="str">
        <x:v>Pingshui main list, Lu Qinli gap fill</x:v>
      </x:c>
    </x:row>
    <x:row r="5608">
      <x:c r="A5608" s="5" t="str">
        <x:v>熠</x:v>
      </x:c>
      <x:c r="B5608" s="6" t="str">
        <x:v>入</x:v>
      </x:c>
      <x:c r="C5608" s="6" t="str">
        <x:f>IF(B5608="","Needs decision","Ready")</x:f>
        <x:v>Ready</x:v>
      </x:c>
      <x:c r="D5608" s="6" t="str">
        <x:v>入</x:v>
      </x:c>
      <x:c r="E5608" s="6" t="str"/>
      <x:c r="F5608" s="6" t="str">
        <x:v>入聲十四緝</x:v>
      </x:c>
      <x:c r="G5608" s="6" t="str">
        <x:v>Pingshui main list, Wikisource-derived DOCX</x:v>
      </x:c>
      <x:c r="H5608" s="6" t="str"/>
      <x:c r="I5608" s="6" t="str">
        <x:v>Lu Qinli gap fill from Pingshui main list; 詞 entries ignored</x:v>
      </x:c>
      <x:c r="J5608" s="6" t="str">
        <x:f>IF(B5608="","",IF(AND(ISNUMBER(SEARCH("平",B5608)),OR(ISNUMBER(SEARCH("上",B5608)),ISNUMBER(SEARCH("去",B5608)),ISNUMBER(SEARCH("入",B5608)))),"Ambiguous",IF(ISNUMBER(SEARCH("平",B5608)),"平","仄")))</x:f>
        <x:v>仄</x:v>
      </x:c>
      <x:c r="K5608" s="6" t="str">
        <x:f>IF(D5608="","",IF(AND(ISNUMBER(SEARCH("平",D5608)),OR(ISNUMBER(SEARCH("上",D5608)),ISNUMBER(SEARCH("去",D5608)),ISNUMBER(SEARCH("入",D5608)))),"Ambiguous",IF(ISNUMBER(SEARCH("平",D5608)),"平","仄")))</x:f>
        <x:v>仄</x:v>
      </x:c>
      <x:c r="L5608" s="7" t="str">
        <x:v>Pingshui main list, Lu Qinli gap fill</x:v>
      </x:c>
    </x:row>
    <x:row r="5609">
      <x:c r="A5609" s="5" t="str">
        <x:v>熨</x:v>
      </x:c>
      <x:c r="B5609" s="6" t="str">
        <x:v>入</x:v>
      </x:c>
      <x:c r="C5609" s="6" t="str">
        <x:f>IF(B5609="","Needs decision","Ready")</x:f>
        <x:v>Ready</x:v>
      </x:c>
      <x:c r="D5609" s="6" t="str">
        <x:v>入</x:v>
      </x:c>
      <x:c r="E5609" s="6" t="str"/>
      <x:c r="F5609" s="6" t="str">
        <x:v>入聲五物</x:v>
      </x:c>
      <x:c r="G5609" s="6" t="str">
        <x:v>Pingshui main list, Wikisource-derived DOCX</x:v>
      </x:c>
      <x:c r="H5609" s="6" t="str"/>
      <x:c r="I5609" s="6" t="str">
        <x:v>Lu Qinli gap fill from Pingshui main list; 詞 entries ignored</x:v>
      </x:c>
      <x:c r="J5609" s="6" t="str">
        <x:f>IF(B5609="","",IF(AND(ISNUMBER(SEARCH("平",B5609)),OR(ISNUMBER(SEARCH("上",B5609)),ISNUMBER(SEARCH("去",B5609)),ISNUMBER(SEARCH("入",B5609)))),"Ambiguous",IF(ISNUMBER(SEARCH("平",B5609)),"平","仄")))</x:f>
        <x:v>仄</x:v>
      </x:c>
      <x:c r="K5609" s="6" t="str">
        <x:f>IF(D5609="","",IF(AND(ISNUMBER(SEARCH("平",D5609)),OR(ISNUMBER(SEARCH("上",D5609)),ISNUMBER(SEARCH("去",D5609)),ISNUMBER(SEARCH("入",D5609)))),"Ambiguous",IF(ISNUMBER(SEARCH("平",D5609)),"平","仄")))</x:f>
        <x:v>仄</x:v>
      </x:c>
      <x:c r="L5609" s="7" t="str">
        <x:v>Pingshui main list, Lu Qinli gap fill</x:v>
      </x:c>
    </x:row>
    <x:row r="5610">
      <x:c r="A5610" s="5" t="str">
        <x:v>熲</x:v>
      </x:c>
      <x:c r="B5610" s="6" t="str">
        <x:v>上</x:v>
      </x:c>
      <x:c r="C5610" s="6" t="str">
        <x:f>IF(B5610="","Needs decision","Ready")</x:f>
        <x:v>Ready</x:v>
      </x:c>
      <x:c r="D5610" s="6" t="str">
        <x:v>上</x:v>
      </x:c>
      <x:c r="E5610" s="6" t="str"/>
      <x:c r="F5610" s="6" t="str">
        <x:v>上聲二十四迥</x:v>
      </x:c>
      <x:c r="G5610" s="6" t="str">
        <x:v>Pingshui main list, Wikisource-derived DOCX</x:v>
      </x:c>
      <x:c r="H5610" s="6" t="str"/>
      <x:c r="I5610" s="6" t="str">
        <x:v>Lu Qinli gap fill from Pingshui main list; 詞 entries ignored</x:v>
      </x:c>
      <x:c r="J5610" s="6" t="str">
        <x:f>IF(B5610="","",IF(AND(ISNUMBER(SEARCH("平",B5610)),OR(ISNUMBER(SEARCH("上",B5610)),ISNUMBER(SEARCH("去",B5610)),ISNUMBER(SEARCH("入",B5610)))),"Ambiguous",IF(ISNUMBER(SEARCH("平",B5610)),"平","仄")))</x:f>
        <x:v>仄</x:v>
      </x:c>
      <x:c r="K5610" s="6" t="str">
        <x:f>IF(D5610="","",IF(AND(ISNUMBER(SEARCH("平",D5610)),OR(ISNUMBER(SEARCH("上",D5610)),ISNUMBER(SEARCH("去",D5610)),ISNUMBER(SEARCH("入",D5610)))),"Ambiguous",IF(ISNUMBER(SEARCH("平",D5610)),"平","仄")))</x:f>
        <x:v>仄</x:v>
      </x:c>
      <x:c r="L5610" s="7" t="str">
        <x:v>Pingshui main list, Lu Qinli gap fill</x:v>
      </x:c>
    </x:row>
    <x:row r="5611">
      <x:c r="A5611" s="5" t="str">
        <x:v>燉</x:v>
      </x:c>
      <x:c r="B5611" s="6" t="str">
        <x:v>平</x:v>
      </x:c>
      <x:c r="C5611" s="6" t="str">
        <x:f>IF(B5611="","Needs decision","Ready")</x:f>
        <x:v>Ready</x:v>
      </x:c>
      <x:c r="D5611" s="6" t="str">
        <x:v>平</x:v>
      </x:c>
      <x:c r="E5611" s="6" t="str"/>
      <x:c r="F5611" s="6" t="str">
        <x:v>上平聲十三元</x:v>
      </x:c>
      <x:c r="G5611" s="6" t="str">
        <x:v>Pingshui main list, Wikisource-derived DOCX</x:v>
      </x:c>
      <x:c r="H5611" s="6" t="str"/>
      <x:c r="I5611" s="6" t="str">
        <x:v>Lu Qinli gap fill from Pingshui main list; 詞 entries ignored</x:v>
      </x:c>
      <x:c r="J5611" s="6" t="str">
        <x:f>IF(B5611="","",IF(AND(ISNUMBER(SEARCH("平",B5611)),OR(ISNUMBER(SEARCH("上",B5611)),ISNUMBER(SEARCH("去",B5611)),ISNUMBER(SEARCH("入",B5611)))),"Ambiguous",IF(ISNUMBER(SEARCH("平",B5611)),"平","仄")))</x:f>
        <x:v>平</x:v>
      </x:c>
      <x:c r="K5611" s="6" t="str">
        <x:f>IF(D5611="","",IF(AND(ISNUMBER(SEARCH("平",D5611)),OR(ISNUMBER(SEARCH("上",D5611)),ISNUMBER(SEARCH("去",D5611)),ISNUMBER(SEARCH("入",D5611)))),"Ambiguous",IF(ISNUMBER(SEARCH("平",D5611)),"平","仄")))</x:f>
        <x:v>平</x:v>
      </x:c>
      <x:c r="L5611" s="7" t="str">
        <x:v>Pingshui main list, Lu Qinli gap fill</x:v>
      </x:c>
    </x:row>
    <x:row r="5612">
      <x:c r="A5612" s="5" t="str">
        <x:v>燋</x:v>
      </x:c>
      <x:c r="B5612" s="6" t="str"/>
      <x:c r="C5612" s="6" t="str">
        <x:f>IF(B5612="","Needs decision","Ready")</x:f>
        <x:v>Needs decision</x:v>
      </x:c>
      <x:c r="D5612" s="6" t="str">
        <x:v>平/入</x:v>
      </x:c>
      <x:c r="E5612" s="6" t="str"/>
      <x:c r="F5612" s="6" t="str">
        <x:v>下平聲二蕭; 入聲十藥</x:v>
      </x:c>
      <x:c r="G5612" s="6" t="str">
        <x:v>Pingshui main list, Wikisource-derived DOCX</x:v>
      </x:c>
      <x:c r="H5612" s="6" t="str"/>
      <x:c r="I5612" s="6" t="str">
        <x:v>Lu Qinli gap fill from Pingshui main list; 詞 entries ignored</x:v>
      </x:c>
      <x:c r="J5612" s="6" t="str">
        <x:f>IF(B5612="","",IF(AND(ISNUMBER(SEARCH("平",B5612)),OR(ISNUMBER(SEARCH("上",B5612)),ISNUMBER(SEARCH("去",B5612)),ISNUMBER(SEARCH("入",B5612)))),"Ambiguous",IF(ISNUMBER(SEARCH("平",B5612)),"平","仄")))</x:f>
      </x:c>
      <x:c r="K5612" s="6" t="str">
        <x:f>IF(D5612="","",IF(AND(ISNUMBER(SEARCH("平",D5612)),OR(ISNUMBER(SEARCH("上",D5612)),ISNUMBER(SEARCH("去",D5612)),ISNUMBER(SEARCH("入",D5612)))),"Ambiguous",IF(ISNUMBER(SEARCH("平",D5612)),"平","仄")))</x:f>
        <x:v>Ambiguous</x:v>
      </x:c>
      <x:c r="L5612" s="7" t="str">
        <x:v>Pingshui main list, Lu Qinli gap fill</x:v>
      </x:c>
    </x:row>
    <x:row r="5613">
      <x:c r="A5613" s="5" t="str">
        <x:v>燠</x:v>
      </x:c>
      <x:c r="B5613" s="6" t="str"/>
      <x:c r="C5613" s="6" t="str">
        <x:f>IF(B5613="","Needs decision","Ready")</x:f>
        <x:v>Needs decision</x:v>
      </x:c>
      <x:c r="D5613" s="6" t="str">
        <x:v>上/去/入</x:v>
      </x:c>
      <x:c r="E5613" s="6" t="str"/>
      <x:c r="F5613" s="6" t="str">
        <x:v>上聲十九皓; 去聲二十號; 入聲一屋</x:v>
      </x:c>
      <x:c r="G5613" s="6" t="str">
        <x:v>Pingshui main list, Wikisource-derived DOCX</x:v>
      </x:c>
      <x:c r="H5613" s="6" t="str"/>
      <x:c r="I5613" s="6" t="str">
        <x:v>Lu Qinli gap fill from Pingshui main list; 詞 entries ignored</x:v>
      </x:c>
      <x:c r="J5613" s="6" t="str">
        <x:f>IF(B5613="","",IF(AND(ISNUMBER(SEARCH("平",B5613)),OR(ISNUMBER(SEARCH("上",B5613)),ISNUMBER(SEARCH("去",B5613)),ISNUMBER(SEARCH("入",B5613)))),"Ambiguous",IF(ISNUMBER(SEARCH("平",B5613)),"平","仄")))</x:f>
      </x:c>
      <x:c r="K5613" s="6" t="str">
        <x:f>IF(D5613="","",IF(AND(ISNUMBER(SEARCH("平",D5613)),OR(ISNUMBER(SEARCH("上",D5613)),ISNUMBER(SEARCH("去",D5613)),ISNUMBER(SEARCH("入",D5613)))),"Ambiguous",IF(ISNUMBER(SEARCH("平",D5613)),"平","仄")))</x:f>
        <x:v>仄</x:v>
      </x:c>
      <x:c r="L5613" s="7" t="str">
        <x:v>Pingshui main list, Lu Qinli gap fill</x:v>
      </x:c>
    </x:row>
    <x:row r="5614">
      <x:c r="A5614" s="5" t="str">
        <x:v>燦</x:v>
      </x:c>
      <x:c r="B5614" s="6" t="str">
        <x:v>去</x:v>
      </x:c>
      <x:c r="C5614" s="6" t="str">
        <x:f>IF(B5614="","Needs decision","Ready")</x:f>
        <x:v>Ready</x:v>
      </x:c>
      <x:c r="D5614" s="6" t="str">
        <x:v>去</x:v>
      </x:c>
      <x:c r="E5614" s="6" t="str"/>
      <x:c r="F5614" s="6" t="str">
        <x:v>去聲十五翰</x:v>
      </x:c>
      <x:c r="G5614" s="6" t="str">
        <x:v>Pingshui main list, Wikisource-derived DOCX</x:v>
      </x:c>
      <x:c r="H5614" s="6" t="str"/>
      <x:c r="I5614" s="6" t="str">
        <x:v>Lu Qinli gap fill from Pingshui main list; 詞 entries ignored</x:v>
      </x:c>
      <x:c r="J5614" s="6" t="str">
        <x:f>IF(B5614="","",IF(AND(ISNUMBER(SEARCH("平",B5614)),OR(ISNUMBER(SEARCH("上",B5614)),ISNUMBER(SEARCH("去",B5614)),ISNUMBER(SEARCH("入",B5614)))),"Ambiguous",IF(ISNUMBER(SEARCH("平",B5614)),"平","仄")))</x:f>
        <x:v>仄</x:v>
      </x:c>
      <x:c r="K5614" s="6" t="str">
        <x:f>IF(D5614="","",IF(AND(ISNUMBER(SEARCH("平",D5614)),OR(ISNUMBER(SEARCH("上",D5614)),ISNUMBER(SEARCH("去",D5614)),ISNUMBER(SEARCH("入",D5614)))),"Ambiguous",IF(ISNUMBER(SEARCH("平",D5614)),"平","仄")))</x:f>
        <x:v>仄</x:v>
      </x:c>
      <x:c r="L5614" s="7" t="str">
        <x:v>Pingshui main list, Lu Qinli gap fill</x:v>
      </x:c>
    </x:row>
    <x:row r="5615">
      <x:c r="A5615" s="5" t="str">
        <x:v>燬</x:v>
      </x:c>
      <x:c r="B5615" s="6" t="str">
        <x:v>上</x:v>
      </x:c>
      <x:c r="C5615" s="6" t="str">
        <x:f>IF(B5615="","Needs decision","Ready")</x:f>
        <x:v>Ready</x:v>
      </x:c>
      <x:c r="D5615" s="6" t="str">
        <x:v>上</x:v>
      </x:c>
      <x:c r="E5615" s="6" t="str"/>
      <x:c r="F5615" s="6" t="str">
        <x:v>上聲四紙</x:v>
      </x:c>
      <x:c r="G5615" s="6" t="str">
        <x:v>Pingshui main list, Wikisource-derived DOCX</x:v>
      </x:c>
      <x:c r="H5615" s="6" t="str"/>
      <x:c r="I5615" s="6" t="str">
        <x:v>Lu Qinli gap fill from Pingshui main list; 詞 entries ignored</x:v>
      </x:c>
      <x:c r="J5615" s="6" t="str">
        <x:f>IF(B5615="","",IF(AND(ISNUMBER(SEARCH("平",B5615)),OR(ISNUMBER(SEARCH("上",B5615)),ISNUMBER(SEARCH("去",B5615)),ISNUMBER(SEARCH("入",B5615)))),"Ambiguous",IF(ISNUMBER(SEARCH("平",B5615)),"平","仄")))</x:f>
        <x:v>仄</x:v>
      </x:c>
      <x:c r="K5615" s="6" t="str">
        <x:f>IF(D5615="","",IF(AND(ISNUMBER(SEARCH("平",D5615)),OR(ISNUMBER(SEARCH("上",D5615)),ISNUMBER(SEARCH("去",D5615)),ISNUMBER(SEARCH("入",D5615)))),"Ambiguous",IF(ISNUMBER(SEARCH("平",D5615)),"平","仄")))</x:f>
        <x:v>仄</x:v>
      </x:c>
      <x:c r="L5615" s="7" t="str">
        <x:v>Pingshui main list, Lu Qinli gap fill</x:v>
      </x:c>
    </x:row>
    <x:row r="5616">
      <x:c r="A5616" s="5" t="str">
        <x:v>燹</x:v>
      </x:c>
      <x:c r="B5616" s="6" t="str">
        <x:v>上</x:v>
      </x:c>
      <x:c r="C5616" s="6" t="str">
        <x:f>IF(B5616="","Needs decision","Ready")</x:f>
        <x:v>Ready</x:v>
      </x:c>
      <x:c r="D5616" s="6" t="str">
        <x:v>上</x:v>
      </x:c>
      <x:c r="E5616" s="6" t="str"/>
      <x:c r="F5616" s="6" t="str">
        <x:v>上聲十六銑</x:v>
      </x:c>
      <x:c r="G5616" s="6" t="str">
        <x:v>Pingshui main list, Wikisource-derived DOCX</x:v>
      </x:c>
      <x:c r="H5616" s="6" t="str"/>
      <x:c r="I5616" s="6" t="str">
        <x:v>Lu Qinli gap fill from Pingshui main list; 詞 entries ignored</x:v>
      </x:c>
      <x:c r="J5616" s="6" t="str">
        <x:f>IF(B5616="","",IF(AND(ISNUMBER(SEARCH("平",B5616)),OR(ISNUMBER(SEARCH("上",B5616)),ISNUMBER(SEARCH("去",B5616)),ISNUMBER(SEARCH("入",B5616)))),"Ambiguous",IF(ISNUMBER(SEARCH("平",B5616)),"平","仄")))</x:f>
        <x:v>仄</x:v>
      </x:c>
      <x:c r="K5616" s="6" t="str">
        <x:f>IF(D5616="","",IF(AND(ISNUMBER(SEARCH("平",D5616)),OR(ISNUMBER(SEARCH("上",D5616)),ISNUMBER(SEARCH("去",D5616)),ISNUMBER(SEARCH("入",D5616)))),"Ambiguous",IF(ISNUMBER(SEARCH("平",D5616)),"平","仄")))</x:f>
        <x:v>仄</x:v>
      </x:c>
      <x:c r="L5616" s="7" t="str">
        <x:v>Pingshui main list, Lu Qinli gap fill</x:v>
      </x:c>
    </x:row>
    <x:row r="5617">
      <x:c r="A5617" s="5" t="str">
        <x:v>燾</x:v>
      </x:c>
      <x:c r="B5617" s="6" t="str">
        <x:v>去</x:v>
      </x:c>
      <x:c r="C5617" s="6" t="str">
        <x:f>IF(B5617="","Needs decision","Ready")</x:f>
        <x:v>Ready</x:v>
      </x:c>
      <x:c r="D5617" s="6" t="str">
        <x:v>去</x:v>
      </x:c>
      <x:c r="E5617" s="6" t="str"/>
      <x:c r="F5617" s="6" t="str">
        <x:v>去聲二十號</x:v>
      </x:c>
      <x:c r="G5617" s="6" t="str">
        <x:v>Pingshui main list, Wikisource-derived DOCX</x:v>
      </x:c>
      <x:c r="H5617" s="6" t="str"/>
      <x:c r="I5617" s="6" t="str">
        <x:v>Lu Qinli gap fill from Pingshui main list; 詞 entries ignored</x:v>
      </x:c>
      <x:c r="J5617" s="6" t="str">
        <x:f>IF(B5617="","",IF(AND(ISNUMBER(SEARCH("平",B5617)),OR(ISNUMBER(SEARCH("上",B5617)),ISNUMBER(SEARCH("去",B5617)),ISNUMBER(SEARCH("入",B5617)))),"Ambiguous",IF(ISNUMBER(SEARCH("平",B5617)),"平","仄")))</x:f>
        <x:v>仄</x:v>
      </x:c>
      <x:c r="K5617" s="6" t="str">
        <x:f>IF(D5617="","",IF(AND(ISNUMBER(SEARCH("平",D5617)),OR(ISNUMBER(SEARCH("上",D5617)),ISNUMBER(SEARCH("去",D5617)),ISNUMBER(SEARCH("入",D5617)))),"Ambiguous",IF(ISNUMBER(SEARCH("平",D5617)),"平","仄")))</x:f>
        <x:v>仄</x:v>
      </x:c>
      <x:c r="L5617" s="7" t="str">
        <x:v>Pingshui main list, Lu Qinli gap fill</x:v>
      </x:c>
    </x:row>
    <x:row r="5618">
      <x:c r="A5618" s="5" t="str">
        <x:v>爚</x:v>
      </x:c>
      <x:c r="B5618" s="6" t="str">
        <x:v>入</x:v>
      </x:c>
      <x:c r="C5618" s="6" t="str">
        <x:f>IF(B5618="","Needs decision","Ready")</x:f>
        <x:v>Ready</x:v>
      </x:c>
      <x:c r="D5618" s="6" t="str">
        <x:v>入</x:v>
      </x:c>
      <x:c r="E5618" s="6" t="str"/>
      <x:c r="F5618" s="6" t="str">
        <x:v>入聲十藥</x:v>
      </x:c>
      <x:c r="G5618" s="6" t="str">
        <x:v>Pingshui main list, Wikisource-derived DOCX</x:v>
      </x:c>
      <x:c r="H5618" s="6" t="str"/>
      <x:c r="I5618" s="6" t="str">
        <x:v>Lu Qinli gap fill from Pingshui main list; 詞 entries ignored</x:v>
      </x:c>
      <x:c r="J5618" s="6" t="str">
        <x:f>IF(B5618="","",IF(AND(ISNUMBER(SEARCH("平",B5618)),OR(ISNUMBER(SEARCH("上",B5618)),ISNUMBER(SEARCH("去",B5618)),ISNUMBER(SEARCH("入",B5618)))),"Ambiguous",IF(ISNUMBER(SEARCH("平",B5618)),"平","仄")))</x:f>
        <x:v>仄</x:v>
      </x:c>
      <x:c r="K5618" s="6" t="str">
        <x:f>IF(D5618="","",IF(AND(ISNUMBER(SEARCH("平",D5618)),OR(ISNUMBER(SEARCH("上",D5618)),ISNUMBER(SEARCH("去",D5618)),ISNUMBER(SEARCH("入",D5618)))),"Ambiguous",IF(ISNUMBER(SEARCH("平",D5618)),"平","仄")))</x:f>
        <x:v>仄</x:v>
      </x:c>
      <x:c r="L5618" s="7" t="str">
        <x:v>Pingshui main list, Lu Qinli gap fill</x:v>
      </x:c>
    </x:row>
    <x:row r="5619">
      <x:c r="A5619" s="5" t="str">
        <x:v>爝</x:v>
      </x:c>
      <x:c r="B5619" s="6" t="str"/>
      <x:c r="C5619" s="6" t="str">
        <x:f>IF(B5619="","Needs decision","Ready")</x:f>
        <x:v>Needs decision</x:v>
      </x:c>
      <x:c r="D5619" s="6" t="str">
        <x:v>去/入</x:v>
      </x:c>
      <x:c r="E5619" s="6" t="str"/>
      <x:c r="F5619" s="6" t="str">
        <x:v>去聲十八嘯; 入聲十藥</x:v>
      </x:c>
      <x:c r="G5619" s="6" t="str">
        <x:v>Pingshui main list, Wikisource-derived DOCX</x:v>
      </x:c>
      <x:c r="H5619" s="6" t="str"/>
      <x:c r="I5619" s="6" t="str">
        <x:v>Lu Qinli gap fill from Pingshui main list; 詞 entries ignored</x:v>
      </x:c>
      <x:c r="J5619" s="6" t="str">
        <x:f>IF(B5619="","",IF(AND(ISNUMBER(SEARCH("平",B5619)),OR(ISNUMBER(SEARCH("上",B5619)),ISNUMBER(SEARCH("去",B5619)),ISNUMBER(SEARCH("入",B5619)))),"Ambiguous",IF(ISNUMBER(SEARCH("平",B5619)),"平","仄")))</x:f>
      </x:c>
      <x:c r="K5619" s="6" t="str">
        <x:f>IF(D5619="","",IF(AND(ISNUMBER(SEARCH("平",D5619)),OR(ISNUMBER(SEARCH("上",D5619)),ISNUMBER(SEARCH("去",D5619)),ISNUMBER(SEARCH("入",D5619)))),"Ambiguous",IF(ISNUMBER(SEARCH("平",D5619)),"平","仄")))</x:f>
        <x:v>仄</x:v>
      </x:c>
      <x:c r="L5619" s="7" t="str">
        <x:v>Pingshui main list, Lu Qinli gap fill</x:v>
      </x:c>
    </x:row>
    <x:row r="5620">
      <x:c r="A5620" s="5" t="str">
        <x:v>爟</x:v>
      </x:c>
      <x:c r="B5620" s="6" t="str">
        <x:v>去</x:v>
      </x:c>
      <x:c r="C5620" s="6" t="str">
        <x:f>IF(B5620="","Needs decision","Ready")</x:f>
        <x:v>Ready</x:v>
      </x:c>
      <x:c r="D5620" s="6" t="str">
        <x:v>去</x:v>
      </x:c>
      <x:c r="E5620" s="6" t="str"/>
      <x:c r="F5620" s="6" t="str">
        <x:v>去聲十五翰</x:v>
      </x:c>
      <x:c r="G5620" s="6" t="str">
        <x:v>Pingshui main list, Wikisource-derived DOCX</x:v>
      </x:c>
      <x:c r="H5620" s="6" t="str"/>
      <x:c r="I5620" s="6" t="str">
        <x:v>Lu Qinli gap fill from Pingshui main list; 詞 entries ignored</x:v>
      </x:c>
      <x:c r="J5620" s="6" t="str">
        <x:f>IF(B5620="","",IF(AND(ISNUMBER(SEARCH("平",B5620)),OR(ISNUMBER(SEARCH("上",B5620)),ISNUMBER(SEARCH("去",B5620)),ISNUMBER(SEARCH("入",B5620)))),"Ambiguous",IF(ISNUMBER(SEARCH("平",B5620)),"平","仄")))</x:f>
        <x:v>仄</x:v>
      </x:c>
      <x:c r="K5620" s="6" t="str">
        <x:f>IF(D5620="","",IF(AND(ISNUMBER(SEARCH("平",D5620)),OR(ISNUMBER(SEARCH("上",D5620)),ISNUMBER(SEARCH("去",D5620)),ISNUMBER(SEARCH("入",D5620)))),"Ambiguous",IF(ISNUMBER(SEARCH("平",D5620)),"平","仄")))</x:f>
        <x:v>仄</x:v>
      </x:c>
      <x:c r="L5620" s="7" t="str">
        <x:v>Pingshui main list, Lu Qinli gap fill</x:v>
      </x:c>
    </x:row>
    <x:row r="5621">
      <x:c r="A5621" s="5" t="str">
        <x:v>爨</x:v>
      </x:c>
      <x:c r="B5621" s="6" t="str">
        <x:v>去</x:v>
      </x:c>
      <x:c r="C5621" s="6" t="str">
        <x:f>IF(B5621="","Needs decision","Ready")</x:f>
        <x:v>Ready</x:v>
      </x:c>
      <x:c r="D5621" s="6" t="str">
        <x:v>去</x:v>
      </x:c>
      <x:c r="E5621" s="6" t="str"/>
      <x:c r="F5621" s="6" t="str">
        <x:v>去聲十五翰</x:v>
      </x:c>
      <x:c r="G5621" s="6" t="str">
        <x:v>Pingshui main list, Wikisource-derived DOCX</x:v>
      </x:c>
      <x:c r="H5621" s="6" t="str"/>
      <x:c r="I5621" s="6" t="str">
        <x:v>Lu Qinli gap fill from Pingshui main list; 詞 entries ignored</x:v>
      </x:c>
      <x:c r="J5621" s="6" t="str">
        <x:f>IF(B5621="","",IF(AND(ISNUMBER(SEARCH("平",B5621)),OR(ISNUMBER(SEARCH("上",B5621)),ISNUMBER(SEARCH("去",B5621)),ISNUMBER(SEARCH("入",B5621)))),"Ambiguous",IF(ISNUMBER(SEARCH("平",B5621)),"平","仄")))</x:f>
        <x:v>仄</x:v>
      </x:c>
      <x:c r="K5621" s="6" t="str">
        <x:f>IF(D5621="","",IF(AND(ISNUMBER(SEARCH("平",D5621)),OR(ISNUMBER(SEARCH("上",D5621)),ISNUMBER(SEARCH("去",D5621)),ISNUMBER(SEARCH("入",D5621)))),"Ambiguous",IF(ISNUMBER(SEARCH("平",D5621)),"平","仄")))</x:f>
        <x:v>仄</x:v>
      </x:c>
      <x:c r="L5621" s="7" t="str">
        <x:v>Pingshui main list, Lu Qinli gap fill</x:v>
      </x:c>
    </x:row>
    <x:row r="5622">
      <x:c r="A5622" s="5" t="str">
        <x:v>爹</x:v>
      </x:c>
      <x:c r="B5622" s="6" t="str"/>
      <x:c r="C5622" s="6" t="str">
        <x:f>IF(B5622="","Needs decision","Ready")</x:f>
        <x:v>Needs decision</x:v>
      </x:c>
      <x:c r="D5622" s="6" t="str">
        <x:v>平/上</x:v>
      </x:c>
      <x:c r="E5622" s="6" t="str"/>
      <x:c r="F5622" s="6" t="str">
        <x:v>下平聲六麻; 上聲二十哿</x:v>
      </x:c>
      <x:c r="G5622" s="6" t="str">
        <x:v>Pingshui main list, Wikisource-derived DOCX</x:v>
      </x:c>
      <x:c r="H5622" s="6" t="str"/>
      <x:c r="I5622" s="6" t="str">
        <x:v>Lu Qinli gap fill from Pingshui main list; 詞 entries ignored</x:v>
      </x:c>
      <x:c r="J5622" s="6" t="str">
        <x:f>IF(B5622="","",IF(AND(ISNUMBER(SEARCH("平",B5622)),OR(ISNUMBER(SEARCH("上",B5622)),ISNUMBER(SEARCH("去",B5622)),ISNUMBER(SEARCH("入",B5622)))),"Ambiguous",IF(ISNUMBER(SEARCH("平",B5622)),"平","仄")))</x:f>
      </x:c>
      <x:c r="K5622" s="6" t="str">
        <x:f>IF(D5622="","",IF(AND(ISNUMBER(SEARCH("平",D5622)),OR(ISNUMBER(SEARCH("上",D5622)),ISNUMBER(SEARCH("去",D5622)),ISNUMBER(SEARCH("入",D5622)))),"Ambiguous",IF(ISNUMBER(SEARCH("平",D5622)),"平","仄")))</x:f>
        <x:v>Ambiguous</x:v>
      </x:c>
      <x:c r="L5622" s="7" t="str">
        <x:v>Pingshui main list, Lu Qinli gap fill</x:v>
      </x:c>
    </x:row>
    <x:row r="5623">
      <x:c r="A5623" s="5" t="str">
        <x:v>版</x:v>
      </x:c>
      <x:c r="B5623" s="6" t="str">
        <x:v>上</x:v>
      </x:c>
      <x:c r="C5623" s="6" t="str">
        <x:f>IF(B5623="","Needs decision","Ready")</x:f>
        <x:v>Ready</x:v>
      </x:c>
      <x:c r="D5623" s="6" t="str">
        <x:v>上</x:v>
      </x:c>
      <x:c r="E5623" s="6" t="str"/>
      <x:c r="F5623" s="6" t="str">
        <x:v>上聲十五潸</x:v>
      </x:c>
      <x:c r="G5623" s="6" t="str">
        <x:v>Pingshui main list, Wikisource-derived DOCX</x:v>
      </x:c>
      <x:c r="H5623" s="6" t="str"/>
      <x:c r="I5623" s="6" t="str">
        <x:v>Lu Qinli gap fill from Pingshui main list; 詞 entries ignored</x:v>
      </x:c>
      <x:c r="J5623" s="6" t="str">
        <x:f>IF(B5623="","",IF(AND(ISNUMBER(SEARCH("平",B5623)),OR(ISNUMBER(SEARCH("上",B5623)),ISNUMBER(SEARCH("去",B5623)),ISNUMBER(SEARCH("入",B5623)))),"Ambiguous",IF(ISNUMBER(SEARCH("平",B5623)),"平","仄")))</x:f>
        <x:v>仄</x:v>
      </x:c>
      <x:c r="K5623" s="6" t="str">
        <x:f>IF(D5623="","",IF(AND(ISNUMBER(SEARCH("平",D5623)),OR(ISNUMBER(SEARCH("上",D5623)),ISNUMBER(SEARCH("去",D5623)),ISNUMBER(SEARCH("入",D5623)))),"Ambiguous",IF(ISNUMBER(SEARCH("平",D5623)),"平","仄")))</x:f>
        <x:v>仄</x:v>
      </x:c>
      <x:c r="L5623" s="7" t="str">
        <x:v>Pingshui main list, Lu Qinli gap fill</x:v>
      </x:c>
    </x:row>
    <x:row r="5624">
      <x:c r="A5624" s="5" t="str">
        <x:v>牌</x:v>
      </x:c>
      <x:c r="B5624" s="6" t="str">
        <x:v>平</x:v>
      </x:c>
      <x:c r="C5624" s="6" t="str">
        <x:f>IF(B5624="","Needs decision","Ready")</x:f>
        <x:v>Ready</x:v>
      </x:c>
      <x:c r="D5624" s="6" t="str">
        <x:v>平</x:v>
      </x:c>
      <x:c r="E5624" s="6" t="str"/>
      <x:c r="F5624" s="6" t="str">
        <x:v>上平聲九佳</x:v>
      </x:c>
      <x:c r="G5624" s="6" t="str">
        <x:v>Pingshui main list, Wikisource-derived DOCX</x:v>
      </x:c>
      <x:c r="H5624" s="6" t="str"/>
      <x:c r="I5624" s="6" t="str">
        <x:v>Lu Qinli gap fill from Pingshui main list; 詞 entries ignored</x:v>
      </x:c>
      <x:c r="J5624" s="6" t="str">
        <x:f>IF(B5624="","",IF(AND(ISNUMBER(SEARCH("平",B5624)),OR(ISNUMBER(SEARCH("上",B5624)),ISNUMBER(SEARCH("去",B5624)),ISNUMBER(SEARCH("入",B5624)))),"Ambiguous",IF(ISNUMBER(SEARCH("平",B5624)),"平","仄")))</x:f>
        <x:v>平</x:v>
      </x:c>
      <x:c r="K5624" s="6" t="str">
        <x:f>IF(D5624="","",IF(AND(ISNUMBER(SEARCH("平",D5624)),OR(ISNUMBER(SEARCH("上",D5624)),ISNUMBER(SEARCH("去",D5624)),ISNUMBER(SEARCH("入",D5624)))),"Ambiguous",IF(ISNUMBER(SEARCH("平",D5624)),"平","仄")))</x:f>
        <x:v>平</x:v>
      </x:c>
      <x:c r="L5624" s="7" t="str">
        <x:v>Pingshui main list, Lu Qinli gap fill</x:v>
      </x:c>
    </x:row>
    <x:row r="5625">
      <x:c r="A5625" s="5" t="str">
        <x:v>牒</x:v>
      </x:c>
      <x:c r="B5625" s="6" t="str">
        <x:v>入</x:v>
      </x:c>
      <x:c r="C5625" s="6" t="str">
        <x:f>IF(B5625="","Needs decision","Ready")</x:f>
        <x:v>Ready</x:v>
      </x:c>
      <x:c r="D5625" s="6" t="str">
        <x:v>入</x:v>
      </x:c>
      <x:c r="E5625" s="6" t="str"/>
      <x:c r="F5625" s="6" t="str">
        <x:v>入聲十六葉</x:v>
      </x:c>
      <x:c r="G5625" s="6" t="str">
        <x:v>Pingshui main list, Wikisource-derived DOCX</x:v>
      </x:c>
      <x:c r="H5625" s="6" t="str"/>
      <x:c r="I5625" s="6" t="str">
        <x:v>Lu Qinli gap fill from Pingshui main list; 詞 entries ignored</x:v>
      </x:c>
      <x:c r="J5625" s="6" t="str">
        <x:f>IF(B5625="","",IF(AND(ISNUMBER(SEARCH("平",B5625)),OR(ISNUMBER(SEARCH("上",B5625)),ISNUMBER(SEARCH("去",B5625)),ISNUMBER(SEARCH("入",B5625)))),"Ambiguous",IF(ISNUMBER(SEARCH("平",B5625)),"平","仄")))</x:f>
        <x:v>仄</x:v>
      </x:c>
      <x:c r="K5625" s="6" t="str">
        <x:f>IF(D5625="","",IF(AND(ISNUMBER(SEARCH("平",D5625)),OR(ISNUMBER(SEARCH("上",D5625)),ISNUMBER(SEARCH("去",D5625)),ISNUMBER(SEARCH("入",D5625)))),"Ambiguous",IF(ISNUMBER(SEARCH("平",D5625)),"平","仄")))</x:f>
        <x:v>仄</x:v>
      </x:c>
      <x:c r="L5625" s="7" t="str">
        <x:v>Pingshui main list, Lu Qinli gap fill</x:v>
      </x:c>
    </x:row>
    <x:row r="5626">
      <x:c r="A5626" s="5" t="str">
        <x:v>牟</x:v>
      </x:c>
      <x:c r="B5626" s="6" t="str">
        <x:v>平</x:v>
      </x:c>
      <x:c r="C5626" s="6" t="str">
        <x:f>IF(B5626="","Needs decision","Ready")</x:f>
        <x:v>Ready</x:v>
      </x:c>
      <x:c r="D5626" s="6" t="str">
        <x:v>平</x:v>
      </x:c>
      <x:c r="E5626" s="6" t="str"/>
      <x:c r="F5626" s="6" t="str">
        <x:v>下平聲十一尤</x:v>
      </x:c>
      <x:c r="G5626" s="6" t="str">
        <x:v>Pingshui main list, Wikisource-derived DOCX</x:v>
      </x:c>
      <x:c r="H5626" s="6" t="str"/>
      <x:c r="I5626" s="6" t="str">
        <x:v>Lu Qinli gap fill from Pingshui main list; 詞 entries ignored</x:v>
      </x:c>
      <x:c r="J5626" s="6" t="str">
        <x:f>IF(B5626="","",IF(AND(ISNUMBER(SEARCH("平",B5626)),OR(ISNUMBER(SEARCH("上",B5626)),ISNUMBER(SEARCH("去",B5626)),ISNUMBER(SEARCH("入",B5626)))),"Ambiguous",IF(ISNUMBER(SEARCH("平",B5626)),"平","仄")))</x:f>
        <x:v>平</x:v>
      </x:c>
      <x:c r="K5626" s="6" t="str">
        <x:f>IF(D5626="","",IF(AND(ISNUMBER(SEARCH("平",D5626)),OR(ISNUMBER(SEARCH("上",D5626)),ISNUMBER(SEARCH("去",D5626)),ISNUMBER(SEARCH("入",D5626)))),"Ambiguous",IF(ISNUMBER(SEARCH("平",D5626)),"平","仄")))</x:f>
        <x:v>平</x:v>
      </x:c>
      <x:c r="L5626" s="7" t="str">
        <x:v>Pingshui main list, Lu Qinli gap fill</x:v>
      </x:c>
    </x:row>
    <x:row r="5627">
      <x:c r="A5627" s="5" t="str">
        <x:v>牣</x:v>
      </x:c>
      <x:c r="B5627" s="6" t="str">
        <x:v>去</x:v>
      </x:c>
      <x:c r="C5627" s="6" t="str">
        <x:f>IF(B5627="","Needs decision","Ready")</x:f>
        <x:v>Ready</x:v>
      </x:c>
      <x:c r="D5627" s="6" t="str">
        <x:v>去</x:v>
      </x:c>
      <x:c r="E5627" s="6" t="str"/>
      <x:c r="F5627" s="6" t="str">
        <x:v>去聲十二震</x:v>
      </x:c>
      <x:c r="G5627" s="6" t="str">
        <x:v>Pingshui main list, Wikisource-derived DOCX</x:v>
      </x:c>
      <x:c r="H5627" s="6" t="str"/>
      <x:c r="I5627" s="6" t="str">
        <x:v>Lu Qinli gap fill from Pingshui main list; 詞 entries ignored</x:v>
      </x:c>
      <x:c r="J5627" s="6" t="str">
        <x:f>IF(B5627="","",IF(AND(ISNUMBER(SEARCH("平",B5627)),OR(ISNUMBER(SEARCH("上",B5627)),ISNUMBER(SEARCH("去",B5627)),ISNUMBER(SEARCH("入",B5627)))),"Ambiguous",IF(ISNUMBER(SEARCH("平",B5627)),"平","仄")))</x:f>
        <x:v>仄</x:v>
      </x:c>
      <x:c r="K5627" s="6" t="str">
        <x:f>IF(D5627="","",IF(AND(ISNUMBER(SEARCH("平",D5627)),OR(ISNUMBER(SEARCH("上",D5627)),ISNUMBER(SEARCH("去",D5627)),ISNUMBER(SEARCH("入",D5627)))),"Ambiguous",IF(ISNUMBER(SEARCH("平",D5627)),"平","仄")))</x:f>
        <x:v>仄</x:v>
      </x:c>
      <x:c r="L5627" s="7" t="str">
        <x:v>Pingshui main list, Lu Qinli gap fill</x:v>
      </x:c>
    </x:row>
    <x:row r="5628">
      <x:c r="A5628" s="5" t="str">
        <x:v>牲</x:v>
      </x:c>
      <x:c r="B5628" s="6" t="str">
        <x:v>平</x:v>
      </x:c>
      <x:c r="C5628" s="6" t="str">
        <x:f>IF(B5628="","Needs decision","Ready")</x:f>
        <x:v>Ready</x:v>
      </x:c>
      <x:c r="D5628" s="6" t="str">
        <x:v>平</x:v>
      </x:c>
      <x:c r="E5628" s="6" t="str"/>
      <x:c r="F5628" s="6" t="str">
        <x:v>下平聲八庚</x:v>
      </x:c>
      <x:c r="G5628" s="6" t="str">
        <x:v>Pingshui main list, Wikisource-derived DOCX</x:v>
      </x:c>
      <x:c r="H5628" s="6" t="str"/>
      <x:c r="I5628" s="6" t="str">
        <x:v>Lu Qinli gap fill from Pingshui main list; 詞 entries ignored</x:v>
      </x:c>
      <x:c r="J5628" s="6" t="str">
        <x:f>IF(B5628="","",IF(AND(ISNUMBER(SEARCH("平",B5628)),OR(ISNUMBER(SEARCH("上",B5628)),ISNUMBER(SEARCH("去",B5628)),ISNUMBER(SEARCH("入",B5628)))),"Ambiguous",IF(ISNUMBER(SEARCH("平",B5628)),"平","仄")))</x:f>
        <x:v>平</x:v>
      </x:c>
      <x:c r="K5628" s="6" t="str">
        <x:f>IF(D5628="","",IF(AND(ISNUMBER(SEARCH("平",D5628)),OR(ISNUMBER(SEARCH("上",D5628)),ISNUMBER(SEARCH("去",D5628)),ISNUMBER(SEARCH("入",D5628)))),"Ambiguous",IF(ISNUMBER(SEARCH("平",D5628)),"平","仄")))</x:f>
        <x:v>平</x:v>
      </x:c>
      <x:c r="L5628" s="7" t="str">
        <x:v>Pingshui main list, Lu Qinli gap fill</x:v>
      </x:c>
    </x:row>
    <x:row r="5629">
      <x:c r="A5629" s="5" t="str">
        <x:v>牴</x:v>
      </x:c>
      <x:c r="B5629" s="6" t="str">
        <x:v>上</x:v>
      </x:c>
      <x:c r="C5629" s="6" t="str">
        <x:f>IF(B5629="","Needs decision","Ready")</x:f>
        <x:v>Ready</x:v>
      </x:c>
      <x:c r="D5629" s="6" t="str">
        <x:v>上</x:v>
      </x:c>
      <x:c r="E5629" s="6" t="str"/>
      <x:c r="F5629" s="6" t="str">
        <x:v>上聲八薺</x:v>
      </x:c>
      <x:c r="G5629" s="6" t="str">
        <x:v>Pingshui main list, Wikisource-derived DOCX</x:v>
      </x:c>
      <x:c r="H5629" s="6" t="str"/>
      <x:c r="I5629" s="6" t="str">
        <x:v>Lu Qinli gap fill from Pingshui main list; 詞 entries ignored</x:v>
      </x:c>
      <x:c r="J5629" s="6" t="str">
        <x:f>IF(B5629="","",IF(AND(ISNUMBER(SEARCH("平",B5629)),OR(ISNUMBER(SEARCH("上",B5629)),ISNUMBER(SEARCH("去",B5629)),ISNUMBER(SEARCH("入",B5629)))),"Ambiguous",IF(ISNUMBER(SEARCH("平",B5629)),"平","仄")))</x:f>
        <x:v>仄</x:v>
      </x:c>
      <x:c r="K5629" s="6" t="str">
        <x:f>IF(D5629="","",IF(AND(ISNUMBER(SEARCH("平",D5629)),OR(ISNUMBER(SEARCH("上",D5629)),ISNUMBER(SEARCH("去",D5629)),ISNUMBER(SEARCH("入",D5629)))),"Ambiguous",IF(ISNUMBER(SEARCH("平",D5629)),"平","仄")))</x:f>
        <x:v>仄</x:v>
      </x:c>
      <x:c r="L5629" s="7" t="str">
        <x:v>Pingshui main list, Lu Qinli gap fill</x:v>
      </x:c>
    </x:row>
    <x:row r="5630">
      <x:c r="A5630" s="5" t="str">
        <x:v>牷</x:v>
      </x:c>
      <x:c r="B5630" s="6" t="str">
        <x:v>平</x:v>
      </x:c>
      <x:c r="C5630" s="6" t="str">
        <x:f>IF(B5630="","Needs decision","Ready")</x:f>
        <x:v>Ready</x:v>
      </x:c>
      <x:c r="D5630" s="6" t="str">
        <x:v>平</x:v>
      </x:c>
      <x:c r="E5630" s="6" t="str"/>
      <x:c r="F5630" s="6" t="str">
        <x:v>下平聲一先</x:v>
      </x:c>
      <x:c r="G5630" s="6" t="str">
        <x:v>Pingshui main list, Wikisource-derived DOCX</x:v>
      </x:c>
      <x:c r="H5630" s="6" t="str"/>
      <x:c r="I5630" s="6" t="str">
        <x:v>Lu Qinli gap fill from Pingshui main list; 詞 entries ignored</x:v>
      </x:c>
      <x:c r="J5630" s="6" t="str">
        <x:f>IF(B5630="","",IF(AND(ISNUMBER(SEARCH("平",B5630)),OR(ISNUMBER(SEARCH("上",B5630)),ISNUMBER(SEARCH("去",B5630)),ISNUMBER(SEARCH("入",B5630)))),"Ambiguous",IF(ISNUMBER(SEARCH("平",B5630)),"平","仄")))</x:f>
        <x:v>平</x:v>
      </x:c>
      <x:c r="K5630" s="6" t="str">
        <x:f>IF(D5630="","",IF(AND(ISNUMBER(SEARCH("平",D5630)),OR(ISNUMBER(SEARCH("上",D5630)),ISNUMBER(SEARCH("去",D5630)),ISNUMBER(SEARCH("入",D5630)))),"Ambiguous",IF(ISNUMBER(SEARCH("平",D5630)),"平","仄")))</x:f>
        <x:v>平</x:v>
      </x:c>
      <x:c r="L5630" s="7" t="str">
        <x:v>Pingshui main list, Lu Qinli gap fill</x:v>
      </x:c>
    </x:row>
    <x:row r="5631">
      <x:c r="A5631" s="5" t="str">
        <x:v>犍</x:v>
      </x:c>
      <x:c r="B5631" s="6" t="str">
        <x:v>平</x:v>
      </x:c>
      <x:c r="C5631" s="6" t="str">
        <x:f>IF(B5631="","Needs decision","Ready")</x:f>
        <x:v>Ready</x:v>
      </x:c>
      <x:c r="D5631" s="6" t="str">
        <x:v>平</x:v>
      </x:c>
      <x:c r="E5631" s="6" t="str"/>
      <x:c r="F5631" s="6" t="str">
        <x:v>上平聲十三元; 下平聲一先</x:v>
      </x:c>
      <x:c r="G5631" s="6" t="str">
        <x:v>Pingshui main list, Wikisource-derived DOCX</x:v>
      </x:c>
      <x:c r="H5631" s="6" t="str"/>
      <x:c r="I5631" s="6" t="str">
        <x:v>Lu Qinli gap fill from Pingshui main list; 詞 entries ignored</x:v>
      </x:c>
      <x:c r="J5631" s="6" t="str">
        <x:f>IF(B5631="","",IF(AND(ISNUMBER(SEARCH("平",B5631)),OR(ISNUMBER(SEARCH("上",B5631)),ISNUMBER(SEARCH("去",B5631)),ISNUMBER(SEARCH("入",B5631)))),"Ambiguous",IF(ISNUMBER(SEARCH("平",B5631)),"平","仄")))</x:f>
        <x:v>平</x:v>
      </x:c>
      <x:c r="K5631" s="6" t="str">
        <x:f>IF(D5631="","",IF(AND(ISNUMBER(SEARCH("平",D5631)),OR(ISNUMBER(SEARCH("上",D5631)),ISNUMBER(SEARCH("去",D5631)),ISNUMBER(SEARCH("入",D5631)))),"Ambiguous",IF(ISNUMBER(SEARCH("平",D5631)),"平","仄")))</x:f>
        <x:v>平</x:v>
      </x:c>
      <x:c r="L5631" s="7" t="str">
        <x:v>Pingshui main list, Lu Qinli gap fill</x:v>
      </x:c>
    </x:row>
    <x:row r="5632">
      <x:c r="A5632" s="5" t="str">
        <x:v>犨</x:v>
      </x:c>
      <x:c r="B5632" s="6" t="str">
        <x:v>平</x:v>
      </x:c>
      <x:c r="C5632" s="6" t="str">
        <x:f>IF(B5632="","Needs decision","Ready")</x:f>
        <x:v>Ready</x:v>
      </x:c>
      <x:c r="D5632" s="6" t="str">
        <x:v>平</x:v>
      </x:c>
      <x:c r="E5632" s="6" t="str"/>
      <x:c r="F5632" s="6" t="str">
        <x:v>下平聲十一尤</x:v>
      </x:c>
      <x:c r="G5632" s="6" t="str">
        <x:v>Pingshui main list, Wikisource-derived DOCX</x:v>
      </x:c>
      <x:c r="H5632" s="6" t="str"/>
      <x:c r="I5632" s="6" t="str">
        <x:v>Lu Qinli gap fill from Pingshui main list; 詞 entries ignored</x:v>
      </x:c>
      <x:c r="J5632" s="6" t="str">
        <x:f>IF(B5632="","",IF(AND(ISNUMBER(SEARCH("平",B5632)),OR(ISNUMBER(SEARCH("上",B5632)),ISNUMBER(SEARCH("去",B5632)),ISNUMBER(SEARCH("入",B5632)))),"Ambiguous",IF(ISNUMBER(SEARCH("平",B5632)),"平","仄")))</x:f>
        <x:v>平</x:v>
      </x:c>
      <x:c r="K5632" s="6" t="str">
        <x:f>IF(D5632="","",IF(AND(ISNUMBER(SEARCH("平",D5632)),OR(ISNUMBER(SEARCH("上",D5632)),ISNUMBER(SEARCH("去",D5632)),ISNUMBER(SEARCH("入",D5632)))),"Ambiguous",IF(ISNUMBER(SEARCH("平",D5632)),"平","仄")))</x:f>
        <x:v>平</x:v>
      </x:c>
      <x:c r="L5632" s="7" t="str">
        <x:v>Pingshui main list, Lu Qinli gap fill</x:v>
      </x:c>
    </x:row>
    <x:row r="5633">
      <x:c r="A5633" s="5" t="str">
        <x:v>狖</x:v>
      </x:c>
      <x:c r="B5633" s="6" t="str">
        <x:v>去</x:v>
      </x:c>
      <x:c r="C5633" s="6" t="str">
        <x:f>IF(B5633="","Needs decision","Ready")</x:f>
        <x:v>Ready</x:v>
      </x:c>
      <x:c r="D5633" s="6" t="str">
        <x:v>去</x:v>
      </x:c>
      <x:c r="E5633" s="6" t="str"/>
      <x:c r="F5633" s="6" t="str">
        <x:v>去聲二十六宥</x:v>
      </x:c>
      <x:c r="G5633" s="6" t="str">
        <x:v>Pingshui main list, Wikisource-derived DOCX</x:v>
      </x:c>
      <x:c r="H5633" s="6" t="str"/>
      <x:c r="I5633" s="6" t="str">
        <x:v>Lu Qinli gap fill from Pingshui main list; 詞 entries ignored</x:v>
      </x:c>
      <x:c r="J5633" s="6" t="str">
        <x:f>IF(B5633="","",IF(AND(ISNUMBER(SEARCH("平",B5633)),OR(ISNUMBER(SEARCH("上",B5633)),ISNUMBER(SEARCH("去",B5633)),ISNUMBER(SEARCH("入",B5633)))),"Ambiguous",IF(ISNUMBER(SEARCH("平",B5633)),"平","仄")))</x:f>
        <x:v>仄</x:v>
      </x:c>
      <x:c r="K5633" s="6" t="str">
        <x:f>IF(D5633="","",IF(AND(ISNUMBER(SEARCH("平",D5633)),OR(ISNUMBER(SEARCH("上",D5633)),ISNUMBER(SEARCH("去",D5633)),ISNUMBER(SEARCH("入",D5633)))),"Ambiguous",IF(ISNUMBER(SEARCH("平",D5633)),"平","仄")))</x:f>
        <x:v>仄</x:v>
      </x:c>
      <x:c r="L5633" s="7" t="str">
        <x:v>Pingshui main list, Lu Qinli gap fill</x:v>
      </x:c>
    </x:row>
    <x:row r="5634">
      <x:c r="A5634" s="5" t="str">
        <x:v>狡</x:v>
      </x:c>
      <x:c r="B5634" s="6" t="str">
        <x:v>上</x:v>
      </x:c>
      <x:c r="C5634" s="6" t="str">
        <x:f>IF(B5634="","Needs decision","Ready")</x:f>
        <x:v>Ready</x:v>
      </x:c>
      <x:c r="D5634" s="6" t="str">
        <x:v>上</x:v>
      </x:c>
      <x:c r="E5634" s="6" t="str"/>
      <x:c r="F5634" s="6" t="str">
        <x:v>上聲十八巧</x:v>
      </x:c>
      <x:c r="G5634" s="6" t="str">
        <x:v>Pingshui main list, Wikisource-derived DOCX</x:v>
      </x:c>
      <x:c r="H5634" s="6" t="str"/>
      <x:c r="I5634" s="6" t="str">
        <x:v>Lu Qinli gap fill from Pingshui main list; 詞 entries ignored</x:v>
      </x:c>
      <x:c r="J5634" s="6" t="str">
        <x:f>IF(B5634="","",IF(AND(ISNUMBER(SEARCH("平",B5634)),OR(ISNUMBER(SEARCH("上",B5634)),ISNUMBER(SEARCH("去",B5634)),ISNUMBER(SEARCH("入",B5634)))),"Ambiguous",IF(ISNUMBER(SEARCH("平",B5634)),"平","仄")))</x:f>
        <x:v>仄</x:v>
      </x:c>
      <x:c r="K5634" s="6" t="str">
        <x:f>IF(D5634="","",IF(AND(ISNUMBER(SEARCH("平",D5634)),OR(ISNUMBER(SEARCH("上",D5634)),ISNUMBER(SEARCH("去",D5634)),ISNUMBER(SEARCH("入",D5634)))),"Ambiguous",IF(ISNUMBER(SEARCH("平",D5634)),"平","仄")))</x:f>
        <x:v>仄</x:v>
      </x:c>
      <x:c r="L5634" s="7" t="str">
        <x:v>Pingshui main list, Lu Qinli gap fill</x:v>
      </x:c>
    </x:row>
    <x:row r="5635">
      <x:c r="A5635" s="5" t="str">
        <x:v>狷</x:v>
      </x:c>
      <x:c r="B5635" s="6" t="str"/>
      <x:c r="C5635" s="6" t="str">
        <x:f>IF(B5635="","Needs decision","Ready")</x:f>
        <x:v>Needs decision</x:v>
      </x:c>
      <x:c r="D5635" s="6" t="str">
        <x:v>上/去</x:v>
      </x:c>
      <x:c r="E5635" s="6" t="str"/>
      <x:c r="F5635" s="6" t="str">
        <x:v>上聲十六銑; 去聲十七霰</x:v>
      </x:c>
      <x:c r="G5635" s="6" t="str">
        <x:v>Pingshui main list, Wikisource-derived DOCX</x:v>
      </x:c>
      <x:c r="H5635" s="6" t="str"/>
      <x:c r="I5635" s="6" t="str">
        <x:v>Lu Qinli gap fill from Pingshui main list; 詞 entries ignored</x:v>
      </x:c>
      <x:c r="J5635" s="6" t="str">
        <x:f>IF(B5635="","",IF(AND(ISNUMBER(SEARCH("平",B5635)),OR(ISNUMBER(SEARCH("上",B5635)),ISNUMBER(SEARCH("去",B5635)),ISNUMBER(SEARCH("入",B5635)))),"Ambiguous",IF(ISNUMBER(SEARCH("平",B5635)),"平","仄")))</x:f>
      </x:c>
      <x:c r="K5635" s="6" t="str">
        <x:f>IF(D5635="","",IF(AND(ISNUMBER(SEARCH("平",D5635)),OR(ISNUMBER(SEARCH("上",D5635)),ISNUMBER(SEARCH("去",D5635)),ISNUMBER(SEARCH("入",D5635)))),"Ambiguous",IF(ISNUMBER(SEARCH("平",D5635)),"平","仄")))</x:f>
        <x:v>仄</x:v>
      </x:c>
      <x:c r="L5635" s="7" t="str">
        <x:v>Pingshui main list, Lu Qinli gap fill</x:v>
      </x:c>
    </x:row>
    <x:row r="5636">
      <x:c r="A5636" s="5" t="str">
        <x:v>狻</x:v>
      </x:c>
      <x:c r="B5636" s="6" t="str">
        <x:v>平</x:v>
      </x:c>
      <x:c r="C5636" s="6" t="str">
        <x:f>IF(B5636="","Needs decision","Ready")</x:f>
        <x:v>Ready</x:v>
      </x:c>
      <x:c r="D5636" s="6" t="str">
        <x:v>平</x:v>
      </x:c>
      <x:c r="E5636" s="6" t="str"/>
      <x:c r="F5636" s="6" t="str">
        <x:v>上平聲十四寒</x:v>
      </x:c>
      <x:c r="G5636" s="6" t="str">
        <x:v>Pingshui main list, Wikisource-derived DOCX</x:v>
      </x:c>
      <x:c r="H5636" s="6" t="str"/>
      <x:c r="I5636" s="6" t="str">
        <x:v>Lu Qinli gap fill from Pingshui main list; 詞 entries ignored</x:v>
      </x:c>
      <x:c r="J5636" s="6" t="str">
        <x:f>IF(B5636="","",IF(AND(ISNUMBER(SEARCH("平",B5636)),OR(ISNUMBER(SEARCH("上",B5636)),ISNUMBER(SEARCH("去",B5636)),ISNUMBER(SEARCH("入",B5636)))),"Ambiguous",IF(ISNUMBER(SEARCH("平",B5636)),"平","仄")))</x:f>
        <x:v>平</x:v>
      </x:c>
      <x:c r="K5636" s="6" t="str">
        <x:f>IF(D5636="","",IF(AND(ISNUMBER(SEARCH("平",D5636)),OR(ISNUMBER(SEARCH("上",D5636)),ISNUMBER(SEARCH("去",D5636)),ISNUMBER(SEARCH("入",D5636)))),"Ambiguous",IF(ISNUMBER(SEARCH("平",D5636)),"平","仄")))</x:f>
        <x:v>平</x:v>
      </x:c>
      <x:c r="L5636" s="7" t="str">
        <x:v>Pingshui main list, Lu Qinli gap fill</x:v>
      </x:c>
    </x:row>
    <x:row r="5637">
      <x:c r="A5637" s="5" t="str">
        <x:v>猊</x:v>
      </x:c>
      <x:c r="B5637" s="6" t="str">
        <x:v>平</x:v>
      </x:c>
      <x:c r="C5637" s="6" t="str">
        <x:f>IF(B5637="","Needs decision","Ready")</x:f>
        <x:v>Ready</x:v>
      </x:c>
      <x:c r="D5637" s="6" t="str">
        <x:v>平</x:v>
      </x:c>
      <x:c r="E5637" s="6" t="str"/>
      <x:c r="F5637" s="6" t="str">
        <x:v>上平聲八齊</x:v>
      </x:c>
      <x:c r="G5637" s="6" t="str">
        <x:v>Pingshui main list, Wikisource-derived DOCX</x:v>
      </x:c>
      <x:c r="H5637" s="6" t="str"/>
      <x:c r="I5637" s="6" t="str">
        <x:v>Lu Qinli gap fill from Pingshui main list; 詞 entries ignored</x:v>
      </x:c>
      <x:c r="J5637" s="6" t="str">
        <x:f>IF(B5637="","",IF(AND(ISNUMBER(SEARCH("平",B5637)),OR(ISNUMBER(SEARCH("上",B5637)),ISNUMBER(SEARCH("去",B5637)),ISNUMBER(SEARCH("入",B5637)))),"Ambiguous",IF(ISNUMBER(SEARCH("平",B5637)),"平","仄")))</x:f>
        <x:v>平</x:v>
      </x:c>
      <x:c r="K5637" s="6" t="str">
        <x:f>IF(D5637="","",IF(AND(ISNUMBER(SEARCH("平",D5637)),OR(ISNUMBER(SEARCH("上",D5637)),ISNUMBER(SEARCH("去",D5637)),ISNUMBER(SEARCH("入",D5637)))),"Ambiguous",IF(ISNUMBER(SEARCH("平",D5637)),"平","仄")))</x:f>
        <x:v>平</x:v>
      </x:c>
      <x:c r="L5637" s="7" t="str">
        <x:v>Pingshui main list, Lu Qinli gap fill</x:v>
      </x:c>
    </x:row>
    <x:row r="5638">
      <x:c r="A5638" s="5" t="str">
        <x:v>猖</x:v>
      </x:c>
      <x:c r="B5638" s="6" t="str">
        <x:v>平</x:v>
      </x:c>
      <x:c r="C5638" s="6" t="str">
        <x:f>IF(B5638="","Needs decision","Ready")</x:f>
        <x:v>Ready</x:v>
      </x:c>
      <x:c r="D5638" s="6" t="str">
        <x:v>平</x:v>
      </x:c>
      <x:c r="E5638" s="6" t="str"/>
      <x:c r="F5638" s="6" t="str">
        <x:v>下平聲七陽</x:v>
      </x:c>
      <x:c r="G5638" s="6" t="str">
        <x:v>Pingshui main list, Wikisource-derived DOCX</x:v>
      </x:c>
      <x:c r="H5638" s="6" t="str"/>
      <x:c r="I5638" s="6" t="str">
        <x:v>Lu Qinli gap fill from Pingshui main list; 詞 entries ignored</x:v>
      </x:c>
      <x:c r="J5638" s="6" t="str">
        <x:f>IF(B5638="","",IF(AND(ISNUMBER(SEARCH("平",B5638)),OR(ISNUMBER(SEARCH("上",B5638)),ISNUMBER(SEARCH("去",B5638)),ISNUMBER(SEARCH("入",B5638)))),"Ambiguous",IF(ISNUMBER(SEARCH("平",B5638)),"平","仄")))</x:f>
        <x:v>平</x:v>
      </x:c>
      <x:c r="K5638" s="6" t="str">
        <x:f>IF(D5638="","",IF(AND(ISNUMBER(SEARCH("平",D5638)),OR(ISNUMBER(SEARCH("上",D5638)),ISNUMBER(SEARCH("去",D5638)),ISNUMBER(SEARCH("入",D5638)))),"Ambiguous",IF(ISNUMBER(SEARCH("平",D5638)),"平","仄")))</x:f>
        <x:v>平</x:v>
      </x:c>
      <x:c r="L5638" s="7" t="str">
        <x:v>Pingshui main list, Lu Qinli gap fill</x:v>
      </x:c>
    </x:row>
    <x:row r="5639">
      <x:c r="A5639" s="5" t="str">
        <x:v>猗</x:v>
      </x:c>
      <x:c r="B5639" s="6" t="str">
        <x:v>平</x:v>
      </x:c>
      <x:c r="C5639" s="6" t="str">
        <x:f>IF(B5639="","Needs decision","Ready")</x:f>
        <x:v>Ready</x:v>
      </x:c>
      <x:c r="D5639" s="6" t="str">
        <x:v>平</x:v>
      </x:c>
      <x:c r="E5639" s="6" t="str"/>
      <x:c r="F5639" s="6" t="str">
        <x:v>上平聲四支</x:v>
      </x:c>
      <x:c r="G5639" s="6" t="str">
        <x:v>Pingshui main list, Wikisource-derived DOCX</x:v>
      </x:c>
      <x:c r="H5639" s="6" t="str"/>
      <x:c r="I5639" s="6" t="str">
        <x:v>Lu Qinli gap fill from Pingshui main list; 詞 entries ignored</x:v>
      </x:c>
      <x:c r="J5639" s="6" t="str">
        <x:f>IF(B5639="","",IF(AND(ISNUMBER(SEARCH("平",B5639)),OR(ISNUMBER(SEARCH("上",B5639)),ISNUMBER(SEARCH("去",B5639)),ISNUMBER(SEARCH("入",B5639)))),"Ambiguous",IF(ISNUMBER(SEARCH("平",B5639)),"平","仄")))</x:f>
        <x:v>平</x:v>
      </x:c>
      <x:c r="K5639" s="6" t="str">
        <x:f>IF(D5639="","",IF(AND(ISNUMBER(SEARCH("平",D5639)),OR(ISNUMBER(SEARCH("上",D5639)),ISNUMBER(SEARCH("去",D5639)),ISNUMBER(SEARCH("入",D5639)))),"Ambiguous",IF(ISNUMBER(SEARCH("平",D5639)),"平","仄")))</x:f>
        <x:v>平</x:v>
      </x:c>
      <x:c r="L5639" s="7" t="str">
        <x:v>Pingshui main list, Lu Qinli gap fill</x:v>
      </x:c>
    </x:row>
    <x:row r="5640">
      <x:c r="A5640" s="5" t="str">
        <x:v>猥</x:v>
      </x:c>
      <x:c r="B5640" s="6" t="str">
        <x:v>上</x:v>
      </x:c>
      <x:c r="C5640" s="6" t="str">
        <x:f>IF(B5640="","Needs decision","Ready")</x:f>
        <x:v>Ready</x:v>
      </x:c>
      <x:c r="D5640" s="6" t="str">
        <x:v>上</x:v>
      </x:c>
      <x:c r="E5640" s="6" t="str"/>
      <x:c r="F5640" s="6" t="str">
        <x:v>上聲十賄</x:v>
      </x:c>
      <x:c r="G5640" s="6" t="str">
        <x:v>Pingshui main list, Wikisource-derived DOCX</x:v>
      </x:c>
      <x:c r="H5640" s="6" t="str"/>
      <x:c r="I5640" s="6" t="str">
        <x:v>Lu Qinli gap fill from Pingshui main list; 詞 entries ignored</x:v>
      </x:c>
      <x:c r="J5640" s="6" t="str">
        <x:f>IF(B5640="","",IF(AND(ISNUMBER(SEARCH("平",B5640)),OR(ISNUMBER(SEARCH("上",B5640)),ISNUMBER(SEARCH("去",B5640)),ISNUMBER(SEARCH("入",B5640)))),"Ambiguous",IF(ISNUMBER(SEARCH("平",B5640)),"平","仄")))</x:f>
        <x:v>仄</x:v>
      </x:c>
      <x:c r="K5640" s="6" t="str">
        <x:f>IF(D5640="","",IF(AND(ISNUMBER(SEARCH("平",D5640)),OR(ISNUMBER(SEARCH("上",D5640)),ISNUMBER(SEARCH("去",D5640)),ISNUMBER(SEARCH("入",D5640)))),"Ambiguous",IF(ISNUMBER(SEARCH("平",D5640)),"平","仄")))</x:f>
        <x:v>仄</x:v>
      </x:c>
      <x:c r="L5640" s="7" t="str">
        <x:v>Pingshui main list, Lu Qinli gap fill</x:v>
      </x:c>
    </x:row>
    <x:row r="5641">
      <x:c r="A5641" s="5" t="str">
        <x:v>獍</x:v>
      </x:c>
      <x:c r="B5641" s="6" t="str">
        <x:v>去</x:v>
      </x:c>
      <x:c r="C5641" s="6" t="str">
        <x:f>IF(B5641="","Needs decision","Ready")</x:f>
        <x:v>Ready</x:v>
      </x:c>
      <x:c r="D5641" s="6" t="str">
        <x:v>去</x:v>
      </x:c>
      <x:c r="E5641" s="6" t="str"/>
      <x:c r="F5641" s="6" t="str">
        <x:v>去聲二十四敬</x:v>
      </x:c>
      <x:c r="G5641" s="6" t="str">
        <x:v>Pingshui main list, Wikisource-derived DOCX</x:v>
      </x:c>
      <x:c r="H5641" s="6" t="str"/>
      <x:c r="I5641" s="6" t="str">
        <x:v>Lu Qinli gap fill from Pingshui main list; 詞 entries ignored</x:v>
      </x:c>
      <x:c r="J5641" s="6" t="str">
        <x:f>IF(B5641="","",IF(AND(ISNUMBER(SEARCH("平",B5641)),OR(ISNUMBER(SEARCH("上",B5641)),ISNUMBER(SEARCH("去",B5641)),ISNUMBER(SEARCH("入",B5641)))),"Ambiguous",IF(ISNUMBER(SEARCH("平",B5641)),"平","仄")))</x:f>
        <x:v>仄</x:v>
      </x:c>
      <x:c r="K5641" s="6" t="str">
        <x:f>IF(D5641="","",IF(AND(ISNUMBER(SEARCH("平",D5641)),OR(ISNUMBER(SEARCH("上",D5641)),ISNUMBER(SEARCH("去",D5641)),ISNUMBER(SEARCH("入",D5641)))),"Ambiguous",IF(ISNUMBER(SEARCH("平",D5641)),"平","仄")))</x:f>
        <x:v>仄</x:v>
      </x:c>
      <x:c r="L5641" s="7" t="str">
        <x:v>Pingshui main list, Lu Qinli gap fill</x:v>
      </x:c>
    </x:row>
    <x:row r="5642">
      <x:c r="A5642" s="5" t="str">
        <x:v>獒</x:v>
      </x:c>
      <x:c r="B5642" s="6" t="str">
        <x:v>平</x:v>
      </x:c>
      <x:c r="C5642" s="6" t="str">
        <x:f>IF(B5642="","Needs decision","Ready")</x:f>
        <x:v>Ready</x:v>
      </x:c>
      <x:c r="D5642" s="6" t="str">
        <x:v>平</x:v>
      </x:c>
      <x:c r="E5642" s="6" t="str"/>
      <x:c r="F5642" s="6" t="str">
        <x:v>下平聲四豪</x:v>
      </x:c>
      <x:c r="G5642" s="6" t="str">
        <x:v>Pingshui main list, Wikisource-derived DOCX</x:v>
      </x:c>
      <x:c r="H5642" s="6" t="str"/>
      <x:c r="I5642" s="6" t="str">
        <x:v>Lu Qinli gap fill from Pingshui main list; 詞 entries ignored</x:v>
      </x:c>
      <x:c r="J5642" s="6" t="str">
        <x:f>IF(B5642="","",IF(AND(ISNUMBER(SEARCH("平",B5642)),OR(ISNUMBER(SEARCH("上",B5642)),ISNUMBER(SEARCH("去",B5642)),ISNUMBER(SEARCH("入",B5642)))),"Ambiguous",IF(ISNUMBER(SEARCH("平",B5642)),"平","仄")))</x:f>
        <x:v>平</x:v>
      </x:c>
      <x:c r="K5642" s="6" t="str">
        <x:f>IF(D5642="","",IF(AND(ISNUMBER(SEARCH("平",D5642)),OR(ISNUMBER(SEARCH("上",D5642)),ISNUMBER(SEARCH("去",D5642)),ISNUMBER(SEARCH("入",D5642)))),"Ambiguous",IF(ISNUMBER(SEARCH("平",D5642)),"平","仄")))</x:f>
        <x:v>平</x:v>
      </x:c>
      <x:c r="L5642" s="7" t="str">
        <x:v>Pingshui main list, Lu Qinli gap fill</x:v>
      </x:c>
    </x:row>
    <x:row r="5643">
      <x:c r="A5643" s="5" t="str">
        <x:v>獠</x:v>
      </x:c>
      <x:c r="B5643" s="6" t="str">
        <x:v>平</x:v>
      </x:c>
      <x:c r="C5643" s="6" t="str">
        <x:f>IF(B5643="","Needs decision","Ready")</x:f>
        <x:v>Ready</x:v>
      </x:c>
      <x:c r="D5643" s="6" t="str">
        <x:v>平</x:v>
      </x:c>
      <x:c r="E5643" s="6" t="str"/>
      <x:c r="F5643" s="6" t="str">
        <x:v>下平聲二蕭</x:v>
      </x:c>
      <x:c r="G5643" s="6" t="str">
        <x:v>Pingshui main list, Wikisource-derived DOCX</x:v>
      </x:c>
      <x:c r="H5643" s="6" t="str"/>
      <x:c r="I5643" s="6" t="str">
        <x:v>Lu Qinli gap fill from Pingshui main list; 詞 entries ignored</x:v>
      </x:c>
      <x:c r="J5643" s="6" t="str">
        <x:f>IF(B5643="","",IF(AND(ISNUMBER(SEARCH("平",B5643)),OR(ISNUMBER(SEARCH("上",B5643)),ISNUMBER(SEARCH("去",B5643)),ISNUMBER(SEARCH("入",B5643)))),"Ambiguous",IF(ISNUMBER(SEARCH("平",B5643)),"平","仄")))</x:f>
        <x:v>平</x:v>
      </x:c>
      <x:c r="K5643" s="6" t="str">
        <x:f>IF(D5643="","",IF(AND(ISNUMBER(SEARCH("平",D5643)),OR(ISNUMBER(SEARCH("上",D5643)),ISNUMBER(SEARCH("去",D5643)),ISNUMBER(SEARCH("入",D5643)))),"Ambiguous",IF(ISNUMBER(SEARCH("平",D5643)),"平","仄")))</x:f>
        <x:v>平</x:v>
      </x:c>
      <x:c r="L5643" s="7" t="str">
        <x:v>Pingshui main list, Lu Qinli gap fill</x:v>
      </x:c>
    </x:row>
    <x:row r="5644">
      <x:c r="A5644" s="5" t="str">
        <x:v>獦</x:v>
      </x:c>
      <x:c r="B5644" s="6" t="str">
        <x:v>入</x:v>
      </x:c>
      <x:c r="C5644" s="6" t="str">
        <x:f>IF(B5644="","Needs decision","Ready")</x:f>
        <x:v>Ready</x:v>
      </x:c>
      <x:c r="D5644" s="6" t="str">
        <x:v>入</x:v>
      </x:c>
      <x:c r="E5644" s="6" t="str"/>
      <x:c r="F5644" s="6" t="str">
        <x:v>入聲十六葉</x:v>
      </x:c>
      <x:c r="G5644" s="6" t="str">
        <x:v>Pingshui main list, Wikisource-derived DOCX</x:v>
      </x:c>
      <x:c r="H5644" s="6" t="str"/>
      <x:c r="I5644" s="6" t="str">
        <x:v>Lu Qinli gap fill from Pingshui main list; 詞 entries ignored</x:v>
      </x:c>
      <x:c r="J5644" s="6" t="str">
        <x:f>IF(B5644="","",IF(AND(ISNUMBER(SEARCH("平",B5644)),OR(ISNUMBER(SEARCH("上",B5644)),ISNUMBER(SEARCH("去",B5644)),ISNUMBER(SEARCH("入",B5644)))),"Ambiguous",IF(ISNUMBER(SEARCH("平",B5644)),"平","仄")))</x:f>
        <x:v>仄</x:v>
      </x:c>
      <x:c r="K5644" s="6" t="str">
        <x:f>IF(D5644="","",IF(AND(ISNUMBER(SEARCH("平",D5644)),OR(ISNUMBER(SEARCH("上",D5644)),ISNUMBER(SEARCH("去",D5644)),ISNUMBER(SEARCH("入",D5644)))),"Ambiguous",IF(ISNUMBER(SEARCH("平",D5644)),"平","仄")))</x:f>
        <x:v>仄</x:v>
      </x:c>
      <x:c r="L5644" s="7" t="str">
        <x:v>Pingshui main list, Lu Qinli gap fill</x:v>
      </x:c>
    </x:row>
    <x:row r="5645">
      <x:c r="A5645" s="5" t="str">
        <x:v>獫</x:v>
      </x:c>
      <x:c r="B5645" s="6" t="str"/>
      <x:c r="C5645" s="6" t="str">
        <x:f>IF(B5645="","Needs decision","Ready")</x:f>
        <x:v>Needs decision</x:v>
      </x:c>
      <x:c r="D5645" s="6" t="str">
        <x:v>上/去</x:v>
      </x:c>
      <x:c r="E5645" s="6" t="str"/>
      <x:c r="F5645" s="6" t="str">
        <x:v>上聲二十八琰; 去聲二十九豔</x:v>
      </x:c>
      <x:c r="G5645" s="6" t="str">
        <x:v>Pingshui main list, Wikisource-derived DOCX</x:v>
      </x:c>
      <x:c r="H5645" s="6" t="str"/>
      <x:c r="I5645" s="6" t="str">
        <x:v>Lu Qinli gap fill from Pingshui main list; 詞 entries ignored</x:v>
      </x:c>
      <x:c r="J5645" s="6" t="str">
        <x:f>IF(B5645="","",IF(AND(ISNUMBER(SEARCH("平",B5645)),OR(ISNUMBER(SEARCH("上",B5645)),ISNUMBER(SEARCH("去",B5645)),ISNUMBER(SEARCH("入",B5645)))),"Ambiguous",IF(ISNUMBER(SEARCH("平",B5645)),"平","仄")))</x:f>
      </x:c>
      <x:c r="K5645" s="6" t="str">
        <x:f>IF(D5645="","",IF(AND(ISNUMBER(SEARCH("平",D5645)),OR(ISNUMBER(SEARCH("上",D5645)),ISNUMBER(SEARCH("去",D5645)),ISNUMBER(SEARCH("入",D5645)))),"Ambiguous",IF(ISNUMBER(SEARCH("平",D5645)),"平","仄")))</x:f>
        <x:v>仄</x:v>
      </x:c>
      <x:c r="L5645" s="7" t="str">
        <x:v>Pingshui main list, Lu Qinli gap fill</x:v>
      </x:c>
    </x:row>
    <x:row r="5646">
      <x:c r="A5646" s="5" t="str">
        <x:v>獬</x:v>
      </x:c>
      <x:c r="B5646" s="6" t="str">
        <x:v>上</x:v>
      </x:c>
      <x:c r="C5646" s="6" t="str">
        <x:f>IF(B5646="","Needs decision","Ready")</x:f>
        <x:v>Ready</x:v>
      </x:c>
      <x:c r="D5646" s="6" t="str">
        <x:v>上</x:v>
      </x:c>
      <x:c r="E5646" s="6" t="str"/>
      <x:c r="F5646" s="6" t="str">
        <x:v>上聲九蟹</x:v>
      </x:c>
      <x:c r="G5646" s="6" t="str">
        <x:v>Pingshui main list, Wikisource-derived DOCX</x:v>
      </x:c>
      <x:c r="H5646" s="6" t="str"/>
      <x:c r="I5646" s="6" t="str">
        <x:v>Lu Qinli gap fill from Pingshui main list; 詞 entries ignored</x:v>
      </x:c>
      <x:c r="J5646" s="6" t="str">
        <x:f>IF(B5646="","",IF(AND(ISNUMBER(SEARCH("平",B5646)),OR(ISNUMBER(SEARCH("上",B5646)),ISNUMBER(SEARCH("去",B5646)),ISNUMBER(SEARCH("入",B5646)))),"Ambiguous",IF(ISNUMBER(SEARCH("平",B5646)),"平","仄")))</x:f>
        <x:v>仄</x:v>
      </x:c>
      <x:c r="K5646" s="6" t="str">
        <x:f>IF(D5646="","",IF(AND(ISNUMBER(SEARCH("平",D5646)),OR(ISNUMBER(SEARCH("上",D5646)),ISNUMBER(SEARCH("去",D5646)),ISNUMBER(SEARCH("入",D5646)))),"Ambiguous",IF(ISNUMBER(SEARCH("平",D5646)),"平","仄")))</x:f>
        <x:v>仄</x:v>
      </x:c>
      <x:c r="L5646" s="7" t="str">
        <x:v>Pingshui main list, Lu Qinli gap fill</x:v>
      </x:c>
    </x:row>
    <x:row r="5647">
      <x:c r="A5647" s="5" t="str">
        <x:v>獯</x:v>
      </x:c>
      <x:c r="B5647" s="6" t="str">
        <x:v>平</x:v>
      </x:c>
      <x:c r="C5647" s="6" t="str">
        <x:f>IF(B5647="","Needs decision","Ready")</x:f>
        <x:v>Ready</x:v>
      </x:c>
      <x:c r="D5647" s="6" t="str">
        <x:v>平</x:v>
      </x:c>
      <x:c r="E5647" s="6" t="str"/>
      <x:c r="F5647" s="6" t="str">
        <x:v>上平聲十二文</x:v>
      </x:c>
      <x:c r="G5647" s="6" t="str">
        <x:v>Pingshui main list, Wikisource-derived DOCX</x:v>
      </x:c>
      <x:c r="H5647" s="6" t="str"/>
      <x:c r="I5647" s="6" t="str">
        <x:v>Lu Qinli gap fill from Pingshui main list; 詞 entries ignored</x:v>
      </x:c>
      <x:c r="J5647" s="6" t="str">
        <x:f>IF(B5647="","",IF(AND(ISNUMBER(SEARCH("平",B5647)),OR(ISNUMBER(SEARCH("上",B5647)),ISNUMBER(SEARCH("去",B5647)),ISNUMBER(SEARCH("入",B5647)))),"Ambiguous",IF(ISNUMBER(SEARCH("平",B5647)),"平","仄")))</x:f>
        <x:v>平</x:v>
      </x:c>
      <x:c r="K5647" s="6" t="str">
        <x:f>IF(D5647="","",IF(AND(ISNUMBER(SEARCH("平",D5647)),OR(ISNUMBER(SEARCH("上",D5647)),ISNUMBER(SEARCH("去",D5647)),ISNUMBER(SEARCH("入",D5647)))),"Ambiguous",IF(ISNUMBER(SEARCH("平",D5647)),"平","仄")))</x:f>
        <x:v>平</x:v>
      </x:c>
      <x:c r="L5647" s="7" t="str">
        <x:v>Pingshui main list, Lu Qinli gap fill</x:v>
      </x:c>
    </x:row>
    <x:row r="5648">
      <x:c r="A5648" s="5" t="str">
        <x:v>玕</x:v>
      </x:c>
      <x:c r="B5648" s="6" t="str">
        <x:v>平</x:v>
      </x:c>
      <x:c r="C5648" s="6" t="str">
        <x:f>IF(B5648="","Needs decision","Ready")</x:f>
        <x:v>Ready</x:v>
      </x:c>
      <x:c r="D5648" s="6" t="str">
        <x:v>平</x:v>
      </x:c>
      <x:c r="E5648" s="6" t="str"/>
      <x:c r="F5648" s="6" t="str">
        <x:v>上平聲十四寒</x:v>
      </x:c>
      <x:c r="G5648" s="6" t="str">
        <x:v>Pingshui main list, Wikisource-derived DOCX</x:v>
      </x:c>
      <x:c r="H5648" s="6" t="str"/>
      <x:c r="I5648" s="6" t="str">
        <x:v>Lu Qinli gap fill from Pingshui main list; 詞 entries ignored</x:v>
      </x:c>
      <x:c r="J5648" s="6" t="str">
        <x:f>IF(B5648="","",IF(AND(ISNUMBER(SEARCH("平",B5648)),OR(ISNUMBER(SEARCH("上",B5648)),ISNUMBER(SEARCH("去",B5648)),ISNUMBER(SEARCH("入",B5648)))),"Ambiguous",IF(ISNUMBER(SEARCH("平",B5648)),"平","仄")))</x:f>
        <x:v>平</x:v>
      </x:c>
      <x:c r="K5648" s="6" t="str">
        <x:f>IF(D5648="","",IF(AND(ISNUMBER(SEARCH("平",D5648)),OR(ISNUMBER(SEARCH("上",D5648)),ISNUMBER(SEARCH("去",D5648)),ISNUMBER(SEARCH("入",D5648)))),"Ambiguous",IF(ISNUMBER(SEARCH("平",D5648)),"平","仄")))</x:f>
        <x:v>平</x:v>
      </x:c>
      <x:c r="L5648" s="7" t="str">
        <x:v>Pingshui main list, Lu Qinli gap fill</x:v>
      </x:c>
    </x:row>
    <x:row r="5649">
      <x:c r="A5649" s="5" t="str">
        <x:v>玖</x:v>
      </x:c>
      <x:c r="B5649" s="6" t="str">
        <x:v>上</x:v>
      </x:c>
      <x:c r="C5649" s="6" t="str">
        <x:f>IF(B5649="","Needs decision","Ready")</x:f>
        <x:v>Ready</x:v>
      </x:c>
      <x:c r="D5649" s="6" t="str">
        <x:v>上</x:v>
      </x:c>
      <x:c r="E5649" s="6" t="str"/>
      <x:c r="F5649" s="6" t="str">
        <x:v>上聲二十五有</x:v>
      </x:c>
      <x:c r="G5649" s="6" t="str">
        <x:v>Pingshui main list, Wikisource-derived DOCX</x:v>
      </x:c>
      <x:c r="H5649" s="6" t="str"/>
      <x:c r="I5649" s="6" t="str">
        <x:v>Lu Qinli gap fill from Pingshui main list; 詞 entries ignored</x:v>
      </x:c>
      <x:c r="J5649" s="6" t="str">
        <x:f>IF(B5649="","",IF(AND(ISNUMBER(SEARCH("平",B5649)),OR(ISNUMBER(SEARCH("上",B5649)),ISNUMBER(SEARCH("去",B5649)),ISNUMBER(SEARCH("入",B5649)))),"Ambiguous",IF(ISNUMBER(SEARCH("平",B5649)),"平","仄")))</x:f>
        <x:v>仄</x:v>
      </x:c>
      <x:c r="K5649" s="6" t="str">
        <x:f>IF(D5649="","",IF(AND(ISNUMBER(SEARCH("平",D5649)),OR(ISNUMBER(SEARCH("上",D5649)),ISNUMBER(SEARCH("去",D5649)),ISNUMBER(SEARCH("入",D5649)))),"Ambiguous",IF(ISNUMBER(SEARCH("平",D5649)),"平","仄")))</x:f>
        <x:v>仄</x:v>
      </x:c>
      <x:c r="L5649" s="7" t="str">
        <x:v>Pingshui main list, Lu Qinli gap fill</x:v>
      </x:c>
    </x:row>
    <x:row r="5650">
      <x:c r="A5650" s="5" t="str">
        <x:v>玠</x:v>
      </x:c>
      <x:c r="B5650" s="6" t="str">
        <x:v>去</x:v>
      </x:c>
      <x:c r="C5650" s="6" t="str">
        <x:f>IF(B5650="","Needs decision","Ready")</x:f>
        <x:v>Ready</x:v>
      </x:c>
      <x:c r="D5650" s="6" t="str">
        <x:v>去</x:v>
      </x:c>
      <x:c r="E5650" s="6" t="str"/>
      <x:c r="F5650" s="6" t="str">
        <x:v>去聲十卦</x:v>
      </x:c>
      <x:c r="G5650" s="6" t="str">
        <x:v>Pingshui main list, Wikisource-derived DOCX</x:v>
      </x:c>
      <x:c r="H5650" s="6" t="str"/>
      <x:c r="I5650" s="6" t="str">
        <x:v>Lu Qinli gap fill from Pingshui main list; 詞 entries ignored</x:v>
      </x:c>
      <x:c r="J5650" s="6" t="str">
        <x:f>IF(B5650="","",IF(AND(ISNUMBER(SEARCH("平",B5650)),OR(ISNUMBER(SEARCH("上",B5650)),ISNUMBER(SEARCH("去",B5650)),ISNUMBER(SEARCH("入",B5650)))),"Ambiguous",IF(ISNUMBER(SEARCH("平",B5650)),"平","仄")))</x:f>
        <x:v>仄</x:v>
      </x:c>
      <x:c r="K5650" s="6" t="str">
        <x:f>IF(D5650="","",IF(AND(ISNUMBER(SEARCH("平",D5650)),OR(ISNUMBER(SEARCH("上",D5650)),ISNUMBER(SEARCH("去",D5650)),ISNUMBER(SEARCH("入",D5650)))),"Ambiguous",IF(ISNUMBER(SEARCH("平",D5650)),"平","仄")))</x:f>
        <x:v>仄</x:v>
      </x:c>
      <x:c r="L5650" s="7" t="str">
        <x:v>Pingshui main list, Lu Qinli gap fill</x:v>
      </x:c>
    </x:row>
    <x:row r="5651">
      <x:c r="A5651" s="5" t="str">
        <x:v>珀</x:v>
      </x:c>
      <x:c r="B5651" s="6" t="str">
        <x:v>入</x:v>
      </x:c>
      <x:c r="C5651" s="6" t="str">
        <x:f>IF(B5651="","Needs decision","Ready")</x:f>
        <x:v>Ready</x:v>
      </x:c>
      <x:c r="D5651" s="6" t="str">
        <x:v>入</x:v>
      </x:c>
      <x:c r="E5651" s="6" t="str"/>
      <x:c r="F5651" s="6" t="str">
        <x:v>入聲十一陌</x:v>
      </x:c>
      <x:c r="G5651" s="6" t="str">
        <x:v>Pingshui main list, Wikisource-derived DOCX</x:v>
      </x:c>
      <x:c r="H5651" s="6" t="str"/>
      <x:c r="I5651" s="6" t="str">
        <x:v>Lu Qinli gap fill from Pingshui main list; 詞 entries ignored</x:v>
      </x:c>
      <x:c r="J5651" s="6" t="str">
        <x:f>IF(B5651="","",IF(AND(ISNUMBER(SEARCH("平",B5651)),OR(ISNUMBER(SEARCH("上",B5651)),ISNUMBER(SEARCH("去",B5651)),ISNUMBER(SEARCH("入",B5651)))),"Ambiguous",IF(ISNUMBER(SEARCH("平",B5651)),"平","仄")))</x:f>
        <x:v>仄</x:v>
      </x:c>
      <x:c r="K5651" s="6" t="str">
        <x:f>IF(D5651="","",IF(AND(ISNUMBER(SEARCH("平",D5651)),OR(ISNUMBER(SEARCH("上",D5651)),ISNUMBER(SEARCH("去",D5651)),ISNUMBER(SEARCH("入",D5651)))),"Ambiguous",IF(ISNUMBER(SEARCH("平",D5651)),"平","仄")))</x:f>
        <x:v>仄</x:v>
      </x:c>
      <x:c r="L5651" s="7" t="str">
        <x:v>Pingshui main list, Lu Qinli gap fill</x:v>
      </x:c>
    </x:row>
    <x:row r="5652">
      <x:c r="A5652" s="5" t="str">
        <x:v>珣</x:v>
      </x:c>
      <x:c r="B5652" s="6" t="str">
        <x:v>平</x:v>
      </x:c>
      <x:c r="C5652" s="6" t="str">
        <x:f>IF(B5652="","Needs decision","Ready")</x:f>
        <x:v>Ready</x:v>
      </x:c>
      <x:c r="D5652" s="6" t="str">
        <x:v>平</x:v>
      </x:c>
      <x:c r="E5652" s="6" t="str"/>
      <x:c r="F5652" s="6" t="str">
        <x:v>上平聲十一真</x:v>
      </x:c>
      <x:c r="G5652" s="6" t="str">
        <x:v>Pingshui main list, Wikisource-derived DOCX</x:v>
      </x:c>
      <x:c r="H5652" s="6" t="str"/>
      <x:c r="I5652" s="6" t="str">
        <x:v>Lu Qinli gap fill from Pingshui main list; 詞 entries ignored</x:v>
      </x:c>
      <x:c r="J5652" s="6" t="str">
        <x:f>IF(B5652="","",IF(AND(ISNUMBER(SEARCH("平",B5652)),OR(ISNUMBER(SEARCH("上",B5652)),ISNUMBER(SEARCH("去",B5652)),ISNUMBER(SEARCH("入",B5652)))),"Ambiguous",IF(ISNUMBER(SEARCH("平",B5652)),"平","仄")))</x:f>
        <x:v>平</x:v>
      </x:c>
      <x:c r="K5652" s="6" t="str">
        <x:f>IF(D5652="","",IF(AND(ISNUMBER(SEARCH("平",D5652)),OR(ISNUMBER(SEARCH("上",D5652)),ISNUMBER(SEARCH("去",D5652)),ISNUMBER(SEARCH("入",D5652)))),"Ambiguous",IF(ISNUMBER(SEARCH("平",D5652)),"平","仄")))</x:f>
        <x:v>平</x:v>
      </x:c>
      <x:c r="L5652" s="7" t="str">
        <x:v>Pingshui main list, Lu Qinli gap fill</x:v>
      </x:c>
    </x:row>
    <x:row r="5653">
      <x:c r="A5653" s="5" t="str">
        <x:v>珥</x:v>
      </x:c>
      <x:c r="B5653" s="6" t="str"/>
      <x:c r="C5653" s="6" t="str">
        <x:f>IF(B5653="","Needs decision","Ready")</x:f>
        <x:v>Needs decision</x:v>
      </x:c>
      <x:c r="D5653" s="6" t="str">
        <x:v>上/去</x:v>
      </x:c>
      <x:c r="E5653" s="6" t="str"/>
      <x:c r="F5653" s="6" t="str">
        <x:v>上聲四紙; 去聲四寘</x:v>
      </x:c>
      <x:c r="G5653" s="6" t="str">
        <x:v>Pingshui main list, Wikisource-derived DOCX</x:v>
      </x:c>
      <x:c r="H5653" s="6" t="str"/>
      <x:c r="I5653" s="6" t="str">
        <x:v>Lu Qinli gap fill from Pingshui main list; 詞 entries ignored</x:v>
      </x:c>
      <x:c r="J5653" s="6" t="str">
        <x:f>IF(B5653="","",IF(AND(ISNUMBER(SEARCH("平",B5653)),OR(ISNUMBER(SEARCH("上",B5653)),ISNUMBER(SEARCH("去",B5653)),ISNUMBER(SEARCH("入",B5653)))),"Ambiguous",IF(ISNUMBER(SEARCH("平",B5653)),"平","仄")))</x:f>
      </x:c>
      <x:c r="K5653" s="6" t="str">
        <x:f>IF(D5653="","",IF(AND(ISNUMBER(SEARCH("平",D5653)),OR(ISNUMBER(SEARCH("上",D5653)),ISNUMBER(SEARCH("去",D5653)),ISNUMBER(SEARCH("入",D5653)))),"Ambiguous",IF(ISNUMBER(SEARCH("平",D5653)),"平","仄")))</x:f>
        <x:v>仄</x:v>
      </x:c>
      <x:c r="L5653" s="7" t="str">
        <x:v>Pingshui main list, Lu Qinli gap fill</x:v>
      </x:c>
    </x:row>
    <x:row r="5654">
      <x:c r="A5654" s="5" t="str">
        <x:v>珩</x:v>
      </x:c>
      <x:c r="B5654" s="6" t="str">
        <x:v>平</x:v>
      </x:c>
      <x:c r="C5654" s="6" t="str">
        <x:f>IF(B5654="","Needs decision","Ready")</x:f>
        <x:v>Ready</x:v>
      </x:c>
      <x:c r="D5654" s="6" t="str">
        <x:v>平</x:v>
      </x:c>
      <x:c r="E5654" s="6" t="str"/>
      <x:c r="F5654" s="6" t="str">
        <x:v>下平聲八庚</x:v>
      </x:c>
      <x:c r="G5654" s="6" t="str">
        <x:v>Pingshui main list, Wikisource-derived DOCX</x:v>
      </x:c>
      <x:c r="H5654" s="6" t="str"/>
      <x:c r="I5654" s="6" t="str">
        <x:v>Lu Qinli gap fill from Pingshui main list; 詞 entries ignored</x:v>
      </x:c>
      <x:c r="J5654" s="6" t="str">
        <x:f>IF(B5654="","",IF(AND(ISNUMBER(SEARCH("平",B5654)),OR(ISNUMBER(SEARCH("上",B5654)),ISNUMBER(SEARCH("去",B5654)),ISNUMBER(SEARCH("入",B5654)))),"Ambiguous",IF(ISNUMBER(SEARCH("平",B5654)),"平","仄")))</x:f>
        <x:v>平</x:v>
      </x:c>
      <x:c r="K5654" s="6" t="str">
        <x:f>IF(D5654="","",IF(AND(ISNUMBER(SEARCH("平",D5654)),OR(ISNUMBER(SEARCH("上",D5654)),ISNUMBER(SEARCH("去",D5654)),ISNUMBER(SEARCH("入",D5654)))),"Ambiguous",IF(ISNUMBER(SEARCH("平",D5654)),"平","仄")))</x:f>
        <x:v>平</x:v>
      </x:c>
      <x:c r="L5654" s="7" t="str">
        <x:v>Pingshui main list, Lu Qinli gap fill</x:v>
      </x:c>
    </x:row>
    <x:row r="5655">
      <x:c r="A5655" s="5" t="str">
        <x:v>珽</x:v>
      </x:c>
      <x:c r="B5655" s="6" t="str">
        <x:v>上</x:v>
      </x:c>
      <x:c r="C5655" s="6" t="str">
        <x:f>IF(B5655="","Needs decision","Ready")</x:f>
        <x:v>Ready</x:v>
      </x:c>
      <x:c r="D5655" s="6" t="str">
        <x:v>上</x:v>
      </x:c>
      <x:c r="E5655" s="6" t="str"/>
      <x:c r="F5655" s="6" t="str">
        <x:v>上聲二十四迥</x:v>
      </x:c>
      <x:c r="G5655" s="6" t="str">
        <x:v>Pingshui main list, Wikisource-derived DOCX</x:v>
      </x:c>
      <x:c r="H5655" s="6" t="str"/>
      <x:c r="I5655" s="6" t="str">
        <x:v>Lu Qinli gap fill from Pingshui main list; 詞 entries ignored</x:v>
      </x:c>
      <x:c r="J5655" s="6" t="str">
        <x:f>IF(B5655="","",IF(AND(ISNUMBER(SEARCH("平",B5655)),OR(ISNUMBER(SEARCH("上",B5655)),ISNUMBER(SEARCH("去",B5655)),ISNUMBER(SEARCH("入",B5655)))),"Ambiguous",IF(ISNUMBER(SEARCH("平",B5655)),"平","仄")))</x:f>
        <x:v>仄</x:v>
      </x:c>
      <x:c r="K5655" s="6" t="str">
        <x:f>IF(D5655="","",IF(AND(ISNUMBER(SEARCH("平",D5655)),OR(ISNUMBER(SEARCH("上",D5655)),ISNUMBER(SEARCH("去",D5655)),ISNUMBER(SEARCH("入",D5655)))),"Ambiguous",IF(ISNUMBER(SEARCH("平",D5655)),"平","仄")))</x:f>
        <x:v>仄</x:v>
      </x:c>
      <x:c r="L5655" s="7" t="str">
        <x:v>Pingshui main list, Lu Qinli gap fill</x:v>
      </x:c>
    </x:row>
    <x:row r="5656">
      <x:c r="A5656" s="5" t="str">
        <x:v>琄</x:v>
      </x:c>
      <x:c r="B5656" s="6" t="str">
        <x:v>上</x:v>
      </x:c>
      <x:c r="C5656" s="6" t="str">
        <x:f>IF(B5656="","Needs decision","Ready")</x:f>
        <x:v>Ready</x:v>
      </x:c>
      <x:c r="D5656" s="6" t="str">
        <x:v>上</x:v>
      </x:c>
      <x:c r="E5656" s="6" t="str"/>
      <x:c r="F5656" s="6" t="str">
        <x:v>上聲十六銑</x:v>
      </x:c>
      <x:c r="G5656" s="6" t="str">
        <x:v>Pingshui main list, Wikisource-derived DOCX</x:v>
      </x:c>
      <x:c r="H5656" s="6" t="str"/>
      <x:c r="I5656" s="6" t="str">
        <x:v>Lu Qinli gap fill from Pingshui main list; 詞 entries ignored</x:v>
      </x:c>
      <x:c r="J5656" s="6" t="str">
        <x:f>IF(B5656="","",IF(AND(ISNUMBER(SEARCH("平",B5656)),OR(ISNUMBER(SEARCH("上",B5656)),ISNUMBER(SEARCH("去",B5656)),ISNUMBER(SEARCH("入",B5656)))),"Ambiguous",IF(ISNUMBER(SEARCH("平",B5656)),"平","仄")))</x:f>
        <x:v>仄</x:v>
      </x:c>
      <x:c r="K5656" s="6" t="str">
        <x:f>IF(D5656="","",IF(AND(ISNUMBER(SEARCH("平",D5656)),OR(ISNUMBER(SEARCH("上",D5656)),ISNUMBER(SEARCH("去",D5656)),ISNUMBER(SEARCH("入",D5656)))),"Ambiguous",IF(ISNUMBER(SEARCH("平",D5656)),"平","仄")))</x:f>
        <x:v>仄</x:v>
      </x:c>
      <x:c r="L5656" s="7" t="str">
        <x:v>Pingshui main list, Lu Qinli gap fill</x:v>
      </x:c>
    </x:row>
    <x:row r="5657">
      <x:c r="A5657" s="5" t="str">
        <x:v>琚</x:v>
      </x:c>
      <x:c r="B5657" s="6" t="str">
        <x:v>平</x:v>
      </x:c>
      <x:c r="C5657" s="6" t="str">
        <x:f>IF(B5657="","Needs decision","Ready")</x:f>
        <x:v>Ready</x:v>
      </x:c>
      <x:c r="D5657" s="6" t="str">
        <x:v>平</x:v>
      </x:c>
      <x:c r="E5657" s="6" t="str"/>
      <x:c r="F5657" s="6" t="str">
        <x:v>上平聲六魚</x:v>
      </x:c>
      <x:c r="G5657" s="6" t="str">
        <x:v>Pingshui main list, Wikisource-derived DOCX</x:v>
      </x:c>
      <x:c r="H5657" s="6" t="str"/>
      <x:c r="I5657" s="6" t="str">
        <x:v>Lu Qinli gap fill from Pingshui main list; 詞 entries ignored</x:v>
      </x:c>
      <x:c r="J5657" s="6" t="str">
        <x:f>IF(B5657="","",IF(AND(ISNUMBER(SEARCH("平",B5657)),OR(ISNUMBER(SEARCH("上",B5657)),ISNUMBER(SEARCH("去",B5657)),ISNUMBER(SEARCH("入",B5657)))),"Ambiguous",IF(ISNUMBER(SEARCH("平",B5657)),"平","仄")))</x:f>
        <x:v>平</x:v>
      </x:c>
      <x:c r="K5657" s="6" t="str">
        <x:f>IF(D5657="","",IF(AND(ISNUMBER(SEARCH("平",D5657)),OR(ISNUMBER(SEARCH("上",D5657)),ISNUMBER(SEARCH("去",D5657)),ISNUMBER(SEARCH("入",D5657)))),"Ambiguous",IF(ISNUMBER(SEARCH("平",D5657)),"平","仄")))</x:f>
        <x:v>平</x:v>
      </x:c>
      <x:c r="L5657" s="7" t="str">
        <x:v>Pingshui main list, Lu Qinli gap fill</x:v>
      </x:c>
    </x:row>
    <x:row r="5658">
      <x:c r="A5658" s="5" t="str">
        <x:v>琥</x:v>
      </x:c>
      <x:c r="B5658" s="6" t="str">
        <x:v>上</x:v>
      </x:c>
      <x:c r="C5658" s="6" t="str">
        <x:f>IF(B5658="","Needs decision","Ready")</x:f>
        <x:v>Ready</x:v>
      </x:c>
      <x:c r="D5658" s="6" t="str">
        <x:v>上</x:v>
      </x:c>
      <x:c r="E5658" s="6" t="str"/>
      <x:c r="F5658" s="6" t="str">
        <x:v>上聲七麌</x:v>
      </x:c>
      <x:c r="G5658" s="6" t="str">
        <x:v>Pingshui main list, Wikisource-derived DOCX</x:v>
      </x:c>
      <x:c r="H5658" s="6" t="str"/>
      <x:c r="I5658" s="6" t="str">
        <x:v>Lu Qinli gap fill from Pingshui main list; 詞 entries ignored</x:v>
      </x:c>
      <x:c r="J5658" s="6" t="str">
        <x:f>IF(B5658="","",IF(AND(ISNUMBER(SEARCH("平",B5658)),OR(ISNUMBER(SEARCH("上",B5658)),ISNUMBER(SEARCH("去",B5658)),ISNUMBER(SEARCH("入",B5658)))),"Ambiguous",IF(ISNUMBER(SEARCH("平",B5658)),"平","仄")))</x:f>
        <x:v>仄</x:v>
      </x:c>
      <x:c r="K5658" s="6" t="str">
        <x:f>IF(D5658="","",IF(AND(ISNUMBER(SEARCH("平",D5658)),OR(ISNUMBER(SEARCH("上",D5658)),ISNUMBER(SEARCH("去",D5658)),ISNUMBER(SEARCH("入",D5658)))),"Ambiguous",IF(ISNUMBER(SEARCH("平",D5658)),"平","仄")))</x:f>
        <x:v>仄</x:v>
      </x:c>
      <x:c r="L5658" s="7" t="str">
        <x:v>Pingshui main list, Lu Qinli gap fill</x:v>
      </x:c>
    </x:row>
    <x:row r="5659">
      <x:c r="A5659" s="5" t="str">
        <x:v>琦</x:v>
      </x:c>
      <x:c r="B5659" s="6" t="str">
        <x:v>平</x:v>
      </x:c>
      <x:c r="C5659" s="6" t="str">
        <x:f>IF(B5659="","Needs decision","Ready")</x:f>
        <x:v>Ready</x:v>
      </x:c>
      <x:c r="D5659" s="6" t="str">
        <x:v>平</x:v>
      </x:c>
      <x:c r="E5659" s="6" t="str"/>
      <x:c r="F5659" s="6" t="str">
        <x:v>上平聲四支</x:v>
      </x:c>
      <x:c r="G5659" s="6" t="str">
        <x:v>Pingshui main list, Wikisource-derived DOCX</x:v>
      </x:c>
      <x:c r="H5659" s="6" t="str"/>
      <x:c r="I5659" s="6" t="str">
        <x:v>Lu Qinli gap fill from Pingshui main list; 詞 entries ignored</x:v>
      </x:c>
      <x:c r="J5659" s="6" t="str">
        <x:f>IF(B5659="","",IF(AND(ISNUMBER(SEARCH("平",B5659)),OR(ISNUMBER(SEARCH("上",B5659)),ISNUMBER(SEARCH("去",B5659)),ISNUMBER(SEARCH("入",B5659)))),"Ambiguous",IF(ISNUMBER(SEARCH("平",B5659)),"平","仄")))</x:f>
        <x:v>平</x:v>
      </x:c>
      <x:c r="K5659" s="6" t="str">
        <x:f>IF(D5659="","",IF(AND(ISNUMBER(SEARCH("平",D5659)),OR(ISNUMBER(SEARCH("上",D5659)),ISNUMBER(SEARCH("去",D5659)),ISNUMBER(SEARCH("入",D5659)))),"Ambiguous",IF(ISNUMBER(SEARCH("平",D5659)),"平","仄")))</x:f>
        <x:v>平</x:v>
      </x:c>
      <x:c r="L5659" s="7" t="str">
        <x:v>Pingshui main list, Lu Qinli gap fill</x:v>
      </x:c>
    </x:row>
    <x:row r="5660">
      <x:c r="A5660" s="5" t="str">
        <x:v>琨</x:v>
      </x:c>
      <x:c r="B5660" s="6" t="str">
        <x:v>平</x:v>
      </x:c>
      <x:c r="C5660" s="6" t="str">
        <x:f>IF(B5660="","Needs decision","Ready")</x:f>
        <x:v>Ready</x:v>
      </x:c>
      <x:c r="D5660" s="6" t="str">
        <x:v>平</x:v>
      </x:c>
      <x:c r="E5660" s="6" t="str"/>
      <x:c r="F5660" s="6" t="str">
        <x:v>上平聲十三元</x:v>
      </x:c>
      <x:c r="G5660" s="6" t="str">
        <x:v>Pingshui main list, Wikisource-derived DOCX</x:v>
      </x:c>
      <x:c r="H5660" s="6" t="str"/>
      <x:c r="I5660" s="6" t="str">
        <x:v>Lu Qinli gap fill from Pingshui main list; 詞 entries ignored</x:v>
      </x:c>
      <x:c r="J5660" s="6" t="str">
        <x:f>IF(B5660="","",IF(AND(ISNUMBER(SEARCH("平",B5660)),OR(ISNUMBER(SEARCH("上",B5660)),ISNUMBER(SEARCH("去",B5660)),ISNUMBER(SEARCH("入",B5660)))),"Ambiguous",IF(ISNUMBER(SEARCH("平",B5660)),"平","仄")))</x:f>
        <x:v>平</x:v>
      </x:c>
      <x:c r="K5660" s="6" t="str">
        <x:f>IF(D5660="","",IF(AND(ISNUMBER(SEARCH("平",D5660)),OR(ISNUMBER(SEARCH("上",D5660)),ISNUMBER(SEARCH("去",D5660)),ISNUMBER(SEARCH("入",D5660)))),"Ambiguous",IF(ISNUMBER(SEARCH("平",D5660)),"平","仄")))</x:f>
        <x:v>平</x:v>
      </x:c>
      <x:c r="L5660" s="7" t="str">
        <x:v>Pingshui main list, Lu Qinli gap fill</x:v>
      </x:c>
    </x:row>
    <x:row r="5661">
      <x:c r="A5661" s="5" t="str">
        <x:v>琬</x:v>
      </x:c>
      <x:c r="B5661" s="6" t="str">
        <x:v>上</x:v>
      </x:c>
      <x:c r="C5661" s="6" t="str">
        <x:f>IF(B5661="","Needs decision","Ready")</x:f>
        <x:v>Ready</x:v>
      </x:c>
      <x:c r="D5661" s="6" t="str">
        <x:v>上</x:v>
      </x:c>
      <x:c r="E5661" s="6" t="str"/>
      <x:c r="F5661" s="6" t="str">
        <x:v>上聲十三阮</x:v>
      </x:c>
      <x:c r="G5661" s="6" t="str">
        <x:v>Pingshui main list, Wikisource-derived DOCX</x:v>
      </x:c>
      <x:c r="H5661" s="6" t="str"/>
      <x:c r="I5661" s="6" t="str">
        <x:v>Lu Qinli gap fill from Pingshui main list; 詞 entries ignored</x:v>
      </x:c>
      <x:c r="J5661" s="6" t="str">
        <x:f>IF(B5661="","",IF(AND(ISNUMBER(SEARCH("平",B5661)),OR(ISNUMBER(SEARCH("上",B5661)),ISNUMBER(SEARCH("去",B5661)),ISNUMBER(SEARCH("入",B5661)))),"Ambiguous",IF(ISNUMBER(SEARCH("平",B5661)),"平","仄")))</x:f>
        <x:v>仄</x:v>
      </x:c>
      <x:c r="K5661" s="6" t="str">
        <x:f>IF(D5661="","",IF(AND(ISNUMBER(SEARCH("平",D5661)),OR(ISNUMBER(SEARCH("上",D5661)),ISNUMBER(SEARCH("去",D5661)),ISNUMBER(SEARCH("入",D5661)))),"Ambiguous",IF(ISNUMBER(SEARCH("平",D5661)),"平","仄")))</x:f>
        <x:v>仄</x:v>
      </x:c>
      <x:c r="L5661" s="7" t="str">
        <x:v>Pingshui main list, Lu Qinli gap fill</x:v>
      </x:c>
    </x:row>
    <x:row r="5662">
      <x:c r="A5662" s="5" t="str">
        <x:v>琮</x:v>
      </x:c>
      <x:c r="B5662" s="6" t="str">
        <x:v>平</x:v>
      </x:c>
      <x:c r="C5662" s="6" t="str">
        <x:f>IF(B5662="","Needs decision","Ready")</x:f>
        <x:v>Ready</x:v>
      </x:c>
      <x:c r="D5662" s="6" t="str">
        <x:v>平</x:v>
      </x:c>
      <x:c r="E5662" s="6" t="str"/>
      <x:c r="F5662" s="6" t="str">
        <x:v>上平聲二冬</x:v>
      </x:c>
      <x:c r="G5662" s="6" t="str">
        <x:v>Pingshui main list, Wikisource-derived DOCX</x:v>
      </x:c>
      <x:c r="H5662" s="6" t="str"/>
      <x:c r="I5662" s="6" t="str">
        <x:v>Lu Qinli gap fill from Pingshui main list; 詞 entries ignored</x:v>
      </x:c>
      <x:c r="J5662" s="6" t="str">
        <x:f>IF(B5662="","",IF(AND(ISNUMBER(SEARCH("平",B5662)),OR(ISNUMBER(SEARCH("上",B5662)),ISNUMBER(SEARCH("去",B5662)),ISNUMBER(SEARCH("入",B5662)))),"Ambiguous",IF(ISNUMBER(SEARCH("平",B5662)),"平","仄")))</x:f>
        <x:v>平</x:v>
      </x:c>
      <x:c r="K5662" s="6" t="str">
        <x:f>IF(D5662="","",IF(AND(ISNUMBER(SEARCH("平",D5662)),OR(ISNUMBER(SEARCH("上",D5662)),ISNUMBER(SEARCH("去",D5662)),ISNUMBER(SEARCH("入",D5662)))),"Ambiguous",IF(ISNUMBER(SEARCH("平",D5662)),"平","仄")))</x:f>
        <x:v>平</x:v>
      </x:c>
      <x:c r="L5662" s="7" t="str">
        <x:v>Pingshui main list, Lu Qinli gap fill</x:v>
      </x:c>
    </x:row>
    <x:row r="5663">
      <x:c r="A5663" s="5" t="str">
        <x:v>琯</x:v>
      </x:c>
      <x:c r="B5663" s="6" t="str">
        <x:v>上</x:v>
      </x:c>
      <x:c r="C5663" s="6" t="str">
        <x:f>IF(B5663="","Needs decision","Ready")</x:f>
        <x:v>Ready</x:v>
      </x:c>
      <x:c r="D5663" s="6" t="str">
        <x:v>上</x:v>
      </x:c>
      <x:c r="E5663" s="6" t="str"/>
      <x:c r="F5663" s="6" t="str">
        <x:v>上聲十四旱</x:v>
      </x:c>
      <x:c r="G5663" s="6" t="str">
        <x:v>Pingshui main list, Wikisource-derived DOCX</x:v>
      </x:c>
      <x:c r="H5663" s="6" t="str"/>
      <x:c r="I5663" s="6" t="str">
        <x:v>Lu Qinli gap fill from Pingshui main list; 詞 entries ignored</x:v>
      </x:c>
      <x:c r="J5663" s="6" t="str">
        <x:f>IF(B5663="","",IF(AND(ISNUMBER(SEARCH("平",B5663)),OR(ISNUMBER(SEARCH("上",B5663)),ISNUMBER(SEARCH("去",B5663)),ISNUMBER(SEARCH("入",B5663)))),"Ambiguous",IF(ISNUMBER(SEARCH("平",B5663)),"平","仄")))</x:f>
        <x:v>仄</x:v>
      </x:c>
      <x:c r="K5663" s="6" t="str">
        <x:f>IF(D5663="","",IF(AND(ISNUMBER(SEARCH("平",D5663)),OR(ISNUMBER(SEARCH("上",D5663)),ISNUMBER(SEARCH("去",D5663)),ISNUMBER(SEARCH("入",D5663)))),"Ambiguous",IF(ISNUMBER(SEARCH("平",D5663)),"平","仄")))</x:f>
        <x:v>仄</x:v>
      </x:c>
      <x:c r="L5663" s="7" t="str">
        <x:v>Pingshui main list, Lu Qinli gap fill</x:v>
      </x:c>
    </x:row>
    <x:row r="5664">
      <x:c r="A5664" s="5" t="str">
        <x:v>琰</x:v>
      </x:c>
      <x:c r="B5664" s="6" t="str">
        <x:v>上</x:v>
      </x:c>
      <x:c r="C5664" s="6" t="str">
        <x:f>IF(B5664="","Needs decision","Ready")</x:f>
        <x:v>Ready</x:v>
      </x:c>
      <x:c r="D5664" s="6" t="str">
        <x:v>上</x:v>
      </x:c>
      <x:c r="E5664" s="6" t="str"/>
      <x:c r="F5664" s="6" t="str">
        <x:v>上聲二十八琰</x:v>
      </x:c>
      <x:c r="G5664" s="6" t="str">
        <x:v>Pingshui main list, Wikisource-derived DOCX</x:v>
      </x:c>
      <x:c r="H5664" s="6" t="str"/>
      <x:c r="I5664" s="6" t="str">
        <x:v>Lu Qinli gap fill from Pingshui main list; 詞 entries ignored</x:v>
      </x:c>
      <x:c r="J5664" s="6" t="str">
        <x:f>IF(B5664="","",IF(AND(ISNUMBER(SEARCH("平",B5664)),OR(ISNUMBER(SEARCH("上",B5664)),ISNUMBER(SEARCH("去",B5664)),ISNUMBER(SEARCH("入",B5664)))),"Ambiguous",IF(ISNUMBER(SEARCH("平",B5664)),"平","仄")))</x:f>
        <x:v>仄</x:v>
      </x:c>
      <x:c r="K5664" s="6" t="str">
        <x:f>IF(D5664="","",IF(AND(ISNUMBER(SEARCH("平",D5664)),OR(ISNUMBER(SEARCH("上",D5664)),ISNUMBER(SEARCH("去",D5664)),ISNUMBER(SEARCH("入",D5664)))),"Ambiguous",IF(ISNUMBER(SEARCH("平",D5664)),"平","仄")))</x:f>
        <x:v>仄</x:v>
      </x:c>
      <x:c r="L5664" s="7" t="str">
        <x:v>Pingshui main list, Lu Qinli gap fill</x:v>
      </x:c>
    </x:row>
    <x:row r="5665">
      <x:c r="A5665" s="5" t="str">
        <x:v>琲</x:v>
      </x:c>
      <x:c r="B5665" s="6" t="str">
        <x:v>上</x:v>
      </x:c>
      <x:c r="C5665" s="6" t="str">
        <x:f>IF(B5665="","Needs decision","Ready")</x:f>
        <x:v>Ready</x:v>
      </x:c>
      <x:c r="D5665" s="6" t="str">
        <x:v>上</x:v>
      </x:c>
      <x:c r="E5665" s="6" t="str"/>
      <x:c r="F5665" s="6" t="str">
        <x:v>上聲十賄</x:v>
      </x:c>
      <x:c r="G5665" s="6" t="str">
        <x:v>Pingshui main list, Wikisource-derived DOCX</x:v>
      </x:c>
      <x:c r="H5665" s="6" t="str"/>
      <x:c r="I5665" s="6" t="str">
        <x:v>Lu Qinli gap fill from Pingshui main list; 詞 entries ignored</x:v>
      </x:c>
      <x:c r="J5665" s="6" t="str">
        <x:f>IF(B5665="","",IF(AND(ISNUMBER(SEARCH("平",B5665)),OR(ISNUMBER(SEARCH("上",B5665)),ISNUMBER(SEARCH("去",B5665)),ISNUMBER(SEARCH("入",B5665)))),"Ambiguous",IF(ISNUMBER(SEARCH("平",B5665)),"平","仄")))</x:f>
        <x:v>仄</x:v>
      </x:c>
      <x:c r="K5665" s="6" t="str">
        <x:f>IF(D5665="","",IF(AND(ISNUMBER(SEARCH("平",D5665)),OR(ISNUMBER(SEARCH("上",D5665)),ISNUMBER(SEARCH("去",D5665)),ISNUMBER(SEARCH("入",D5665)))),"Ambiguous",IF(ISNUMBER(SEARCH("平",D5665)),"平","仄")))</x:f>
        <x:v>仄</x:v>
      </x:c>
      <x:c r="L5665" s="7" t="str">
        <x:v>Pingshui main list, Lu Qinli gap fill</x:v>
      </x:c>
    </x:row>
    <x:row r="5666">
      <x:c r="A5666" s="5" t="str">
        <x:v>琳</x:v>
      </x:c>
      <x:c r="B5666" s="6" t="str">
        <x:v>平</x:v>
      </x:c>
      <x:c r="C5666" s="6" t="str">
        <x:f>IF(B5666="","Needs decision","Ready")</x:f>
        <x:v>Ready</x:v>
      </x:c>
      <x:c r="D5666" s="6" t="str">
        <x:v>平</x:v>
      </x:c>
      <x:c r="E5666" s="6" t="str"/>
      <x:c r="F5666" s="6" t="str">
        <x:v>下平聲十二侵</x:v>
      </x:c>
      <x:c r="G5666" s="6" t="str">
        <x:v>Pingshui main list, Wikisource-derived DOCX</x:v>
      </x:c>
      <x:c r="H5666" s="6" t="str"/>
      <x:c r="I5666" s="6" t="str">
        <x:v>Lu Qinli gap fill from Pingshui main list; 詞 entries ignored</x:v>
      </x:c>
      <x:c r="J5666" s="6" t="str">
        <x:f>IF(B5666="","",IF(AND(ISNUMBER(SEARCH("平",B5666)),OR(ISNUMBER(SEARCH("上",B5666)),ISNUMBER(SEARCH("去",B5666)),ISNUMBER(SEARCH("入",B5666)))),"Ambiguous",IF(ISNUMBER(SEARCH("平",B5666)),"平","仄")))</x:f>
        <x:v>平</x:v>
      </x:c>
      <x:c r="K5666" s="6" t="str">
        <x:f>IF(D5666="","",IF(AND(ISNUMBER(SEARCH("平",D5666)),OR(ISNUMBER(SEARCH("上",D5666)),ISNUMBER(SEARCH("去",D5666)),ISNUMBER(SEARCH("入",D5666)))),"Ambiguous",IF(ISNUMBER(SEARCH("平",D5666)),"平","仄")))</x:f>
        <x:v>平</x:v>
      </x:c>
      <x:c r="L5666" s="7" t="str">
        <x:v>Pingshui main list, Lu Qinli gap fill</x:v>
      </x:c>
    </x:row>
    <x:row r="5667">
      <x:c r="A5667" s="5" t="str">
        <x:v>瑀</x:v>
      </x:c>
      <x:c r="B5667" s="6" t="str">
        <x:v>上</x:v>
      </x:c>
      <x:c r="C5667" s="6" t="str">
        <x:f>IF(B5667="","Needs decision","Ready")</x:f>
        <x:v>Ready</x:v>
      </x:c>
      <x:c r="D5667" s="6" t="str">
        <x:v>上</x:v>
      </x:c>
      <x:c r="E5667" s="6" t="str"/>
      <x:c r="F5667" s="6" t="str">
        <x:v>上聲七麌</x:v>
      </x:c>
      <x:c r="G5667" s="6" t="str">
        <x:v>Pingshui main list, Wikisource-derived DOCX</x:v>
      </x:c>
      <x:c r="H5667" s="6" t="str"/>
      <x:c r="I5667" s="6" t="str">
        <x:v>Lu Qinli gap fill from Pingshui main list; 詞 entries ignored</x:v>
      </x:c>
      <x:c r="J5667" s="6" t="str">
        <x:f>IF(B5667="","",IF(AND(ISNUMBER(SEARCH("平",B5667)),OR(ISNUMBER(SEARCH("上",B5667)),ISNUMBER(SEARCH("去",B5667)),ISNUMBER(SEARCH("入",B5667)))),"Ambiguous",IF(ISNUMBER(SEARCH("平",B5667)),"平","仄")))</x:f>
        <x:v>仄</x:v>
      </x:c>
      <x:c r="K5667" s="6" t="str">
        <x:f>IF(D5667="","",IF(AND(ISNUMBER(SEARCH("平",D5667)),OR(ISNUMBER(SEARCH("上",D5667)),ISNUMBER(SEARCH("去",D5667)),ISNUMBER(SEARCH("入",D5667)))),"Ambiguous",IF(ISNUMBER(SEARCH("平",D5667)),"平","仄")))</x:f>
        <x:v>仄</x:v>
      </x:c>
      <x:c r="L5667" s="7" t="str">
        <x:v>Pingshui main list, Lu Qinli gap fill</x:v>
      </x:c>
    </x:row>
    <x:row r="5668">
      <x:c r="A5668" s="5" t="str">
        <x:v>瑄</x:v>
      </x:c>
      <x:c r="B5668" s="6" t="str">
        <x:v>平</x:v>
      </x:c>
      <x:c r="C5668" s="6" t="str">
        <x:f>IF(B5668="","Needs decision","Ready")</x:f>
        <x:v>Ready</x:v>
      </x:c>
      <x:c r="D5668" s="6" t="str">
        <x:v>平</x:v>
      </x:c>
      <x:c r="E5668" s="6" t="str"/>
      <x:c r="F5668" s="6" t="str">
        <x:v>下平聲一先</x:v>
      </x:c>
      <x:c r="G5668" s="6" t="str">
        <x:v>Pingshui main list, Wikisource-derived DOCX</x:v>
      </x:c>
      <x:c r="H5668" s="6" t="str"/>
      <x:c r="I5668" s="6" t="str">
        <x:v>Lu Qinli gap fill from Pingshui main list; 詞 entries ignored</x:v>
      </x:c>
      <x:c r="J5668" s="6" t="str">
        <x:f>IF(B5668="","",IF(AND(ISNUMBER(SEARCH("平",B5668)),OR(ISNUMBER(SEARCH("上",B5668)),ISNUMBER(SEARCH("去",B5668)),ISNUMBER(SEARCH("入",B5668)))),"Ambiguous",IF(ISNUMBER(SEARCH("平",B5668)),"平","仄")))</x:f>
        <x:v>平</x:v>
      </x:c>
      <x:c r="K5668" s="6" t="str">
        <x:f>IF(D5668="","",IF(AND(ISNUMBER(SEARCH("平",D5668)),OR(ISNUMBER(SEARCH("上",D5668)),ISNUMBER(SEARCH("去",D5668)),ISNUMBER(SEARCH("入",D5668)))),"Ambiguous",IF(ISNUMBER(SEARCH("平",D5668)),"平","仄")))</x:f>
        <x:v>平</x:v>
      </x:c>
      <x:c r="L5668" s="7" t="str">
        <x:v>Pingshui main list, Lu Qinli gap fill</x:v>
      </x:c>
    </x:row>
    <x:row r="5669">
      <x:c r="A5669" s="5" t="str">
        <x:v>瑒</x:v>
      </x:c>
      <x:c r="B5669" s="6" t="str">
        <x:v>平</x:v>
      </x:c>
      <x:c r="C5669" s="6" t="str">
        <x:f>IF(B5669="","Needs decision","Ready")</x:f>
        <x:v>Ready</x:v>
      </x:c>
      <x:c r="D5669" s="6" t="str">
        <x:v>平</x:v>
      </x:c>
      <x:c r="E5669" s="6" t="str"/>
      <x:c r="F5669" s="6" t="str">
        <x:v>下平聲七陽</x:v>
      </x:c>
      <x:c r="G5669" s="6" t="str">
        <x:v>Pingshui main list, Wikisource-derived DOCX</x:v>
      </x:c>
      <x:c r="H5669" s="6" t="str"/>
      <x:c r="I5669" s="6" t="str">
        <x:v>Lu Qinli gap fill from Pingshui main list; 詞 entries ignored</x:v>
      </x:c>
      <x:c r="J5669" s="6" t="str">
        <x:f>IF(B5669="","",IF(AND(ISNUMBER(SEARCH("平",B5669)),OR(ISNUMBER(SEARCH("上",B5669)),ISNUMBER(SEARCH("去",B5669)),ISNUMBER(SEARCH("入",B5669)))),"Ambiguous",IF(ISNUMBER(SEARCH("平",B5669)),"平","仄")))</x:f>
        <x:v>平</x:v>
      </x:c>
      <x:c r="K5669" s="6" t="str">
        <x:f>IF(D5669="","",IF(AND(ISNUMBER(SEARCH("平",D5669)),OR(ISNUMBER(SEARCH("上",D5669)),ISNUMBER(SEARCH("去",D5669)),ISNUMBER(SEARCH("入",D5669)))),"Ambiguous",IF(ISNUMBER(SEARCH("平",D5669)),"平","仄")))</x:f>
        <x:v>平</x:v>
      </x:c>
      <x:c r="L5669" s="7" t="str">
        <x:v>Pingshui main list, Lu Qinli gap fill</x:v>
      </x:c>
    </x:row>
    <x:row r="5670">
      <x:c r="A5670" s="5" t="str">
        <x:v>瑛</x:v>
      </x:c>
      <x:c r="B5670" s="6" t="str">
        <x:v>平</x:v>
      </x:c>
      <x:c r="C5670" s="6" t="str">
        <x:f>IF(B5670="","Needs decision","Ready")</x:f>
        <x:v>Ready</x:v>
      </x:c>
      <x:c r="D5670" s="6" t="str">
        <x:v>平</x:v>
      </x:c>
      <x:c r="E5670" s="6" t="str"/>
      <x:c r="F5670" s="6" t="str">
        <x:v>下平聲八庚</x:v>
      </x:c>
      <x:c r="G5670" s="6" t="str">
        <x:v>Pingshui main list, Wikisource-derived DOCX</x:v>
      </x:c>
      <x:c r="H5670" s="6" t="str"/>
      <x:c r="I5670" s="6" t="str">
        <x:v>Lu Qinli gap fill from Pingshui main list; 詞 entries ignored</x:v>
      </x:c>
      <x:c r="J5670" s="6" t="str">
        <x:f>IF(B5670="","",IF(AND(ISNUMBER(SEARCH("平",B5670)),OR(ISNUMBER(SEARCH("上",B5670)),ISNUMBER(SEARCH("去",B5670)),ISNUMBER(SEARCH("入",B5670)))),"Ambiguous",IF(ISNUMBER(SEARCH("平",B5670)),"平","仄")))</x:f>
        <x:v>平</x:v>
      </x:c>
      <x:c r="K5670" s="6" t="str">
        <x:f>IF(D5670="","",IF(AND(ISNUMBER(SEARCH("平",D5670)),OR(ISNUMBER(SEARCH("上",D5670)),ISNUMBER(SEARCH("去",D5670)),ISNUMBER(SEARCH("入",D5670)))),"Ambiguous",IF(ISNUMBER(SEARCH("平",D5670)),"平","仄")))</x:f>
        <x:v>平</x:v>
      </x:c>
      <x:c r="L5670" s="7" t="str">
        <x:v>Pingshui main list, Lu Qinli gap fill</x:v>
      </x:c>
    </x:row>
    <x:row r="5671">
      <x:c r="A5671" s="5" t="str">
        <x:v>瑩</x:v>
      </x:c>
      <x:c r="B5671" s="6" t="str"/>
      <x:c r="C5671" s="6" t="str">
        <x:f>IF(B5671="","Needs decision","Ready")</x:f>
        <x:v>Needs decision</x:v>
      </x:c>
      <x:c r="D5671" s="6" t="str">
        <x:v>平/去</x:v>
      </x:c>
      <x:c r="E5671" s="6" t="str"/>
      <x:c r="F5671" s="6" t="str">
        <x:v>下平聲八庚; 去聲二十五徑</x:v>
      </x:c>
      <x:c r="G5671" s="6" t="str">
        <x:v>Pingshui main list, Wikisource-derived DOCX</x:v>
      </x:c>
      <x:c r="H5671" s="6" t="str"/>
      <x:c r="I5671" s="6" t="str">
        <x:v>Lu Qinli gap fill from Pingshui main list; 詞 entries ignored</x:v>
      </x:c>
      <x:c r="J5671" s="6" t="str">
        <x:f>IF(B5671="","",IF(AND(ISNUMBER(SEARCH("平",B5671)),OR(ISNUMBER(SEARCH("上",B5671)),ISNUMBER(SEARCH("去",B5671)),ISNUMBER(SEARCH("入",B5671)))),"Ambiguous",IF(ISNUMBER(SEARCH("平",B5671)),"平","仄")))</x:f>
      </x:c>
      <x:c r="K5671" s="6" t="str">
        <x:f>IF(D5671="","",IF(AND(ISNUMBER(SEARCH("平",D5671)),OR(ISNUMBER(SEARCH("上",D5671)),ISNUMBER(SEARCH("去",D5671)),ISNUMBER(SEARCH("入",D5671)))),"Ambiguous",IF(ISNUMBER(SEARCH("平",D5671)),"平","仄")))</x:f>
        <x:v>Ambiguous</x:v>
      </x:c>
      <x:c r="L5671" s="7" t="str">
        <x:v>Pingshui main list, Lu Qinli gap fill</x:v>
      </x:c>
    </x:row>
    <x:row r="5672">
      <x:c r="A5672" s="5" t="str">
        <x:v>瑱</x:v>
      </x:c>
      <x:c r="B5672" s="6" t="str">
        <x:v>去</x:v>
      </x:c>
      <x:c r="C5672" s="6" t="str">
        <x:f>IF(B5672="","Needs decision","Ready")</x:f>
        <x:v>Ready</x:v>
      </x:c>
      <x:c r="D5672" s="6" t="str">
        <x:v>去</x:v>
      </x:c>
      <x:c r="E5672" s="6" t="str"/>
      <x:c r="F5672" s="6" t="str">
        <x:v>去聲十二震; 去聲十七霰</x:v>
      </x:c>
      <x:c r="G5672" s="6" t="str">
        <x:v>Pingshui main list, Wikisource-derived DOCX</x:v>
      </x:c>
      <x:c r="H5672" s="6" t="str"/>
      <x:c r="I5672" s="6" t="str">
        <x:v>Lu Qinli gap fill from Pingshui main list; 詞 entries ignored</x:v>
      </x:c>
      <x:c r="J5672" s="6" t="str">
        <x:f>IF(B5672="","",IF(AND(ISNUMBER(SEARCH("平",B5672)),OR(ISNUMBER(SEARCH("上",B5672)),ISNUMBER(SEARCH("去",B5672)),ISNUMBER(SEARCH("入",B5672)))),"Ambiguous",IF(ISNUMBER(SEARCH("平",B5672)),"平","仄")))</x:f>
        <x:v>仄</x:v>
      </x:c>
      <x:c r="K5672" s="6" t="str">
        <x:f>IF(D5672="","",IF(AND(ISNUMBER(SEARCH("平",D5672)),OR(ISNUMBER(SEARCH("上",D5672)),ISNUMBER(SEARCH("去",D5672)),ISNUMBER(SEARCH("入",D5672)))),"Ambiguous",IF(ISNUMBER(SEARCH("平",D5672)),"平","仄")))</x:f>
        <x:v>仄</x:v>
      </x:c>
      <x:c r="L5672" s="7" t="str">
        <x:v>Pingshui main list, Lu Qinli gap fill</x:v>
      </x:c>
    </x:row>
    <x:row r="5673">
      <x:c r="A5673" s="5" t="str">
        <x:v>瑾</x:v>
      </x:c>
      <x:c r="B5673" s="6" t="str">
        <x:v>去</x:v>
      </x:c>
      <x:c r="C5673" s="6" t="str">
        <x:f>IF(B5673="","Needs decision","Ready")</x:f>
        <x:v>Ready</x:v>
      </x:c>
      <x:c r="D5673" s="6" t="str">
        <x:v>去</x:v>
      </x:c>
      <x:c r="E5673" s="6" t="str"/>
      <x:c r="F5673" s="6" t="str">
        <x:v>去聲十二震</x:v>
      </x:c>
      <x:c r="G5673" s="6" t="str">
        <x:v>Pingshui main list, Wikisource-derived DOCX</x:v>
      </x:c>
      <x:c r="H5673" s="6" t="str"/>
      <x:c r="I5673" s="6" t="str">
        <x:v>Lu Qinli gap fill from Pingshui main list; 詞 entries ignored</x:v>
      </x:c>
      <x:c r="J5673" s="6" t="str">
        <x:f>IF(B5673="","",IF(AND(ISNUMBER(SEARCH("平",B5673)),OR(ISNUMBER(SEARCH("上",B5673)),ISNUMBER(SEARCH("去",B5673)),ISNUMBER(SEARCH("入",B5673)))),"Ambiguous",IF(ISNUMBER(SEARCH("平",B5673)),"平","仄")))</x:f>
        <x:v>仄</x:v>
      </x:c>
      <x:c r="K5673" s="6" t="str">
        <x:f>IF(D5673="","",IF(AND(ISNUMBER(SEARCH("平",D5673)),OR(ISNUMBER(SEARCH("上",D5673)),ISNUMBER(SEARCH("去",D5673)),ISNUMBER(SEARCH("入",D5673)))),"Ambiguous",IF(ISNUMBER(SEARCH("平",D5673)),"平","仄")))</x:f>
        <x:v>仄</x:v>
      </x:c>
      <x:c r="L5673" s="7" t="str">
        <x:v>Pingshui main list, Lu Qinli gap fill</x:v>
      </x:c>
    </x:row>
    <x:row r="5674">
      <x:c r="A5674" s="5" t="str">
        <x:v>璀</x:v>
      </x:c>
      <x:c r="B5674" s="6" t="str">
        <x:v>上</x:v>
      </x:c>
      <x:c r="C5674" s="6" t="str">
        <x:f>IF(B5674="","Needs decision","Ready")</x:f>
        <x:v>Ready</x:v>
      </x:c>
      <x:c r="D5674" s="6" t="str">
        <x:v>上</x:v>
      </x:c>
      <x:c r="E5674" s="6" t="str"/>
      <x:c r="F5674" s="6" t="str">
        <x:v>上聲十賄</x:v>
      </x:c>
      <x:c r="G5674" s="6" t="str">
        <x:v>Pingshui main list, Wikisource-derived DOCX</x:v>
      </x:c>
      <x:c r="H5674" s="6" t="str"/>
      <x:c r="I5674" s="6" t="str">
        <x:v>Lu Qinli gap fill from Pingshui main list; 詞 entries ignored</x:v>
      </x:c>
      <x:c r="J5674" s="6" t="str">
        <x:f>IF(B5674="","",IF(AND(ISNUMBER(SEARCH("平",B5674)),OR(ISNUMBER(SEARCH("上",B5674)),ISNUMBER(SEARCH("去",B5674)),ISNUMBER(SEARCH("入",B5674)))),"Ambiguous",IF(ISNUMBER(SEARCH("平",B5674)),"平","仄")))</x:f>
        <x:v>仄</x:v>
      </x:c>
      <x:c r="K5674" s="6" t="str">
        <x:f>IF(D5674="","",IF(AND(ISNUMBER(SEARCH("平",D5674)),OR(ISNUMBER(SEARCH("上",D5674)),ISNUMBER(SEARCH("去",D5674)),ISNUMBER(SEARCH("入",D5674)))),"Ambiguous",IF(ISNUMBER(SEARCH("平",D5674)),"平","仄")))</x:f>
        <x:v>仄</x:v>
      </x:c>
      <x:c r="L5674" s="7" t="str">
        <x:v>Pingshui main list, Lu Qinli gap fill</x:v>
      </x:c>
    </x:row>
    <x:row r="5675">
      <x:c r="A5675" s="5" t="str">
        <x:v>璁</x:v>
      </x:c>
      <x:c r="B5675" s="6" t="str">
        <x:v>平</x:v>
      </x:c>
      <x:c r="C5675" s="6" t="str">
        <x:f>IF(B5675="","Needs decision","Ready")</x:f>
        <x:v>Ready</x:v>
      </x:c>
      <x:c r="D5675" s="6" t="str">
        <x:v>平</x:v>
      </x:c>
      <x:c r="E5675" s="6" t="str"/>
      <x:c r="F5675" s="6" t="str">
        <x:v>上平聲一東</x:v>
      </x:c>
      <x:c r="G5675" s="6" t="str">
        <x:v>Pingshui main list, Wikisource-derived DOCX</x:v>
      </x:c>
      <x:c r="H5675" s="6" t="str"/>
      <x:c r="I5675" s="6" t="str">
        <x:v>Lu Qinli gap fill from Pingshui main list; 詞 entries ignored</x:v>
      </x:c>
      <x:c r="J5675" s="6" t="str">
        <x:f>IF(B5675="","",IF(AND(ISNUMBER(SEARCH("平",B5675)),OR(ISNUMBER(SEARCH("上",B5675)),ISNUMBER(SEARCH("去",B5675)),ISNUMBER(SEARCH("入",B5675)))),"Ambiguous",IF(ISNUMBER(SEARCH("平",B5675)),"平","仄")))</x:f>
        <x:v>平</x:v>
      </x:c>
      <x:c r="K5675" s="6" t="str">
        <x:f>IF(D5675="","",IF(AND(ISNUMBER(SEARCH("平",D5675)),OR(ISNUMBER(SEARCH("上",D5675)),ISNUMBER(SEARCH("去",D5675)),ISNUMBER(SEARCH("入",D5675)))),"Ambiguous",IF(ISNUMBER(SEARCH("平",D5675)),"平","仄")))</x:f>
        <x:v>平</x:v>
      </x:c>
      <x:c r="L5675" s="7" t="str">
        <x:v>Pingshui main list, Lu Qinli gap fill</x:v>
      </x:c>
    </x:row>
    <x:row r="5676">
      <x:c r="A5676" s="5" t="str">
        <x:v>璆</x:v>
      </x:c>
      <x:c r="B5676" s="6" t="str">
        <x:v>平</x:v>
      </x:c>
      <x:c r="C5676" s="6" t="str">
        <x:f>IF(B5676="","Needs decision","Ready")</x:f>
        <x:v>Ready</x:v>
      </x:c>
      <x:c r="D5676" s="6" t="str">
        <x:v>平</x:v>
      </x:c>
      <x:c r="E5676" s="6" t="str"/>
      <x:c r="F5676" s="6" t="str">
        <x:v>下平聲十一尤</x:v>
      </x:c>
      <x:c r="G5676" s="6" t="str">
        <x:v>Pingshui main list, Wikisource-derived DOCX</x:v>
      </x:c>
      <x:c r="H5676" s="6" t="str"/>
      <x:c r="I5676" s="6" t="str">
        <x:v>Lu Qinli gap fill from Pingshui main list; 詞 entries ignored</x:v>
      </x:c>
      <x:c r="J5676" s="6" t="str">
        <x:f>IF(B5676="","",IF(AND(ISNUMBER(SEARCH("平",B5676)),OR(ISNUMBER(SEARCH("上",B5676)),ISNUMBER(SEARCH("去",B5676)),ISNUMBER(SEARCH("入",B5676)))),"Ambiguous",IF(ISNUMBER(SEARCH("平",B5676)),"平","仄")))</x:f>
        <x:v>平</x:v>
      </x:c>
      <x:c r="K5676" s="6" t="str">
        <x:f>IF(D5676="","",IF(AND(ISNUMBER(SEARCH("平",D5676)),OR(ISNUMBER(SEARCH("上",D5676)),ISNUMBER(SEARCH("去",D5676)),ISNUMBER(SEARCH("入",D5676)))),"Ambiguous",IF(ISNUMBER(SEARCH("平",D5676)),"平","仄")))</x:f>
        <x:v>平</x:v>
      </x:c>
      <x:c r="L5676" s="7" t="str">
        <x:v>Pingshui main list, Lu Qinli gap fill</x:v>
      </x:c>
    </x:row>
    <x:row r="5677">
      <x:c r="A5677" s="5" t="str">
        <x:v>璇</x:v>
      </x:c>
      <x:c r="B5677" s="6" t="str">
        <x:v>平</x:v>
      </x:c>
      <x:c r="C5677" s="6" t="str">
        <x:f>IF(B5677="","Needs decision","Ready")</x:f>
        <x:v>Ready</x:v>
      </x:c>
      <x:c r="D5677" s="6" t="str">
        <x:v>平</x:v>
      </x:c>
      <x:c r="E5677" s="6" t="str"/>
      <x:c r="F5677" s="6" t="str">
        <x:v>下平聲一先</x:v>
      </x:c>
      <x:c r="G5677" s="6" t="str">
        <x:v>Pingshui main list, Wikisource-derived DOCX</x:v>
      </x:c>
      <x:c r="H5677" s="6" t="str"/>
      <x:c r="I5677" s="6" t="str">
        <x:v>Lu Qinli gap fill from Pingshui main list; 詞 entries ignored</x:v>
      </x:c>
      <x:c r="J5677" s="6" t="str">
        <x:f>IF(B5677="","",IF(AND(ISNUMBER(SEARCH("平",B5677)),OR(ISNUMBER(SEARCH("上",B5677)),ISNUMBER(SEARCH("去",B5677)),ISNUMBER(SEARCH("入",B5677)))),"Ambiguous",IF(ISNUMBER(SEARCH("平",B5677)),"平","仄")))</x:f>
        <x:v>平</x:v>
      </x:c>
      <x:c r="K5677" s="6" t="str">
        <x:f>IF(D5677="","",IF(AND(ISNUMBER(SEARCH("平",D5677)),OR(ISNUMBER(SEARCH("上",D5677)),ISNUMBER(SEARCH("去",D5677)),ISNUMBER(SEARCH("入",D5677)))),"Ambiguous",IF(ISNUMBER(SEARCH("平",D5677)),"平","仄")))</x:f>
        <x:v>平</x:v>
      </x:c>
      <x:c r="L5677" s="7" t="str">
        <x:v>Pingshui main list, Lu Qinli gap fill</x:v>
      </x:c>
    </x:row>
    <x:row r="5678">
      <x:c r="A5678" s="5" t="str">
        <x:v>璈</x:v>
      </x:c>
      <x:c r="B5678" s="6" t="str">
        <x:v>平</x:v>
      </x:c>
      <x:c r="C5678" s="6" t="str">
        <x:f>IF(B5678="","Needs decision","Ready")</x:f>
        <x:v>Ready</x:v>
      </x:c>
      <x:c r="D5678" s="6" t="str">
        <x:v>平</x:v>
      </x:c>
      <x:c r="E5678" s="6" t="str"/>
      <x:c r="F5678" s="6" t="str">
        <x:v>下平聲四豪</x:v>
      </x:c>
      <x:c r="G5678" s="6" t="str">
        <x:v>Pingshui main list, Wikisource-derived DOCX</x:v>
      </x:c>
      <x:c r="H5678" s="6" t="str"/>
      <x:c r="I5678" s="6" t="str">
        <x:v>Lu Qinli gap fill from Pingshui main list; 詞 entries ignored</x:v>
      </x:c>
      <x:c r="J5678" s="6" t="str">
        <x:f>IF(B5678="","",IF(AND(ISNUMBER(SEARCH("平",B5678)),OR(ISNUMBER(SEARCH("上",B5678)),ISNUMBER(SEARCH("去",B5678)),ISNUMBER(SEARCH("入",B5678)))),"Ambiguous",IF(ISNUMBER(SEARCH("平",B5678)),"平","仄")))</x:f>
        <x:v>平</x:v>
      </x:c>
      <x:c r="K5678" s="6" t="str">
        <x:f>IF(D5678="","",IF(AND(ISNUMBER(SEARCH("平",D5678)),OR(ISNUMBER(SEARCH("上",D5678)),ISNUMBER(SEARCH("去",D5678)),ISNUMBER(SEARCH("入",D5678)))),"Ambiguous",IF(ISNUMBER(SEARCH("平",D5678)),"平","仄")))</x:f>
        <x:v>平</x:v>
      </x:c>
      <x:c r="L5678" s="7" t="str">
        <x:v>Pingshui main list, Lu Qinli gap fill</x:v>
      </x:c>
    </x:row>
    <x:row r="5679">
      <x:c r="A5679" s="5" t="str">
        <x:v>璉</x:v>
      </x:c>
      <x:c r="B5679" s="6" t="str">
        <x:v>上</x:v>
      </x:c>
      <x:c r="C5679" s="6" t="str">
        <x:f>IF(B5679="","Needs decision","Ready")</x:f>
        <x:v>Ready</x:v>
      </x:c>
      <x:c r="D5679" s="6" t="str">
        <x:v>上</x:v>
      </x:c>
      <x:c r="E5679" s="6" t="str"/>
      <x:c r="F5679" s="6" t="str">
        <x:v>上聲十六銑</x:v>
      </x:c>
      <x:c r="G5679" s="6" t="str">
        <x:v>Pingshui main list, Wikisource-derived DOCX</x:v>
      </x:c>
      <x:c r="H5679" s="6" t="str"/>
      <x:c r="I5679" s="6" t="str">
        <x:v>Lu Qinli gap fill from Pingshui main list; 詞 entries ignored</x:v>
      </x:c>
      <x:c r="J5679" s="6" t="str">
        <x:f>IF(B5679="","",IF(AND(ISNUMBER(SEARCH("平",B5679)),OR(ISNUMBER(SEARCH("上",B5679)),ISNUMBER(SEARCH("去",B5679)),ISNUMBER(SEARCH("入",B5679)))),"Ambiguous",IF(ISNUMBER(SEARCH("平",B5679)),"平","仄")))</x:f>
        <x:v>仄</x:v>
      </x:c>
      <x:c r="K5679" s="6" t="str">
        <x:f>IF(D5679="","",IF(AND(ISNUMBER(SEARCH("平",D5679)),OR(ISNUMBER(SEARCH("上",D5679)),ISNUMBER(SEARCH("去",D5679)),ISNUMBER(SEARCH("入",D5679)))),"Ambiguous",IF(ISNUMBER(SEARCH("平",D5679)),"平","仄")))</x:f>
        <x:v>仄</x:v>
      </x:c>
      <x:c r="L5679" s="7" t="str">
        <x:v>Pingshui main list, Lu Qinli gap fill</x:v>
      </x:c>
    </x:row>
    <x:row r="5680">
      <x:c r="A5680" s="5" t="str">
        <x:v>璘</x:v>
      </x:c>
      <x:c r="B5680" s="6" t="str">
        <x:v>平</x:v>
      </x:c>
      <x:c r="C5680" s="6" t="str">
        <x:f>IF(B5680="","Needs decision","Ready")</x:f>
        <x:v>Ready</x:v>
      </x:c>
      <x:c r="D5680" s="6" t="str">
        <x:v>平</x:v>
      </x:c>
      <x:c r="E5680" s="6" t="str"/>
      <x:c r="F5680" s="6" t="str">
        <x:v>上平聲十一真</x:v>
      </x:c>
      <x:c r="G5680" s="6" t="str">
        <x:v>Pingshui main list, Wikisource-derived DOCX</x:v>
      </x:c>
      <x:c r="H5680" s="6" t="str"/>
      <x:c r="I5680" s="6" t="str">
        <x:v>Lu Qinli gap fill from Pingshui main list; 詞 entries ignored</x:v>
      </x:c>
      <x:c r="J5680" s="6" t="str">
        <x:f>IF(B5680="","",IF(AND(ISNUMBER(SEARCH("平",B5680)),OR(ISNUMBER(SEARCH("上",B5680)),ISNUMBER(SEARCH("去",B5680)),ISNUMBER(SEARCH("入",B5680)))),"Ambiguous",IF(ISNUMBER(SEARCH("平",B5680)),"平","仄")))</x:f>
        <x:v>平</x:v>
      </x:c>
      <x:c r="K5680" s="6" t="str">
        <x:f>IF(D5680="","",IF(AND(ISNUMBER(SEARCH("平",D5680)),OR(ISNUMBER(SEARCH("上",D5680)),ISNUMBER(SEARCH("去",D5680)),ISNUMBER(SEARCH("入",D5680)))),"Ambiguous",IF(ISNUMBER(SEARCH("平",D5680)),"平","仄")))</x:f>
        <x:v>平</x:v>
      </x:c>
      <x:c r="L5680" s="7" t="str">
        <x:v>Pingshui main list, Lu Qinli gap fill</x:v>
      </x:c>
    </x:row>
    <x:row r="5681">
      <x:c r="A5681" s="5" t="str">
        <x:v>璜</x:v>
      </x:c>
      <x:c r="B5681" s="6" t="str">
        <x:v>平</x:v>
      </x:c>
      <x:c r="C5681" s="6" t="str">
        <x:f>IF(B5681="","Needs decision","Ready")</x:f>
        <x:v>Ready</x:v>
      </x:c>
      <x:c r="D5681" s="6" t="str">
        <x:v>平</x:v>
      </x:c>
      <x:c r="E5681" s="6" t="str"/>
      <x:c r="F5681" s="6" t="str">
        <x:v>下平聲七陽</x:v>
      </x:c>
      <x:c r="G5681" s="6" t="str">
        <x:v>Pingshui main list, Wikisource-derived DOCX</x:v>
      </x:c>
      <x:c r="H5681" s="6" t="str"/>
      <x:c r="I5681" s="6" t="str">
        <x:v>Lu Qinli gap fill from Pingshui main list; 詞 entries ignored</x:v>
      </x:c>
      <x:c r="J5681" s="6" t="str">
        <x:f>IF(B5681="","",IF(AND(ISNUMBER(SEARCH("平",B5681)),OR(ISNUMBER(SEARCH("上",B5681)),ISNUMBER(SEARCH("去",B5681)),ISNUMBER(SEARCH("入",B5681)))),"Ambiguous",IF(ISNUMBER(SEARCH("平",B5681)),"平","仄")))</x:f>
        <x:v>平</x:v>
      </x:c>
      <x:c r="K5681" s="6" t="str">
        <x:f>IF(D5681="","",IF(AND(ISNUMBER(SEARCH("平",D5681)),OR(ISNUMBER(SEARCH("上",D5681)),ISNUMBER(SEARCH("去",D5681)),ISNUMBER(SEARCH("入",D5681)))),"Ambiguous",IF(ISNUMBER(SEARCH("平",D5681)),"平","仄")))</x:f>
        <x:v>平</x:v>
      </x:c>
      <x:c r="L5681" s="7" t="str">
        <x:v>Pingshui main list, Lu Qinli gap fill</x:v>
      </x:c>
    </x:row>
    <x:row r="5682">
      <x:c r="A5682" s="5" t="str">
        <x:v>璞</x:v>
      </x:c>
      <x:c r="B5682" s="6" t="str">
        <x:v>入</x:v>
      </x:c>
      <x:c r="C5682" s="6" t="str">
        <x:f>IF(B5682="","Needs decision","Ready")</x:f>
        <x:v>Ready</x:v>
      </x:c>
      <x:c r="D5682" s="6" t="str">
        <x:v>入</x:v>
      </x:c>
      <x:c r="E5682" s="6" t="str"/>
      <x:c r="F5682" s="6" t="str">
        <x:v>入聲三覺</x:v>
      </x:c>
      <x:c r="G5682" s="6" t="str">
        <x:v>Pingshui main list, Wikisource-derived DOCX</x:v>
      </x:c>
      <x:c r="H5682" s="6" t="str"/>
      <x:c r="I5682" s="6" t="str">
        <x:v>Lu Qinli gap fill from Pingshui main list; 詞 entries ignored</x:v>
      </x:c>
      <x:c r="J5682" s="6" t="str">
        <x:f>IF(B5682="","",IF(AND(ISNUMBER(SEARCH("平",B5682)),OR(ISNUMBER(SEARCH("上",B5682)),ISNUMBER(SEARCH("去",B5682)),ISNUMBER(SEARCH("入",B5682)))),"Ambiguous",IF(ISNUMBER(SEARCH("平",B5682)),"平","仄")))</x:f>
        <x:v>仄</x:v>
      </x:c>
      <x:c r="K5682" s="6" t="str">
        <x:f>IF(D5682="","",IF(AND(ISNUMBER(SEARCH("平",D5682)),OR(ISNUMBER(SEARCH("上",D5682)),ISNUMBER(SEARCH("去",D5682)),ISNUMBER(SEARCH("入",D5682)))),"Ambiguous",IF(ISNUMBER(SEARCH("平",D5682)),"平","仄")))</x:f>
        <x:v>仄</x:v>
      </x:c>
      <x:c r="L5682" s="7" t="str">
        <x:v>Pingshui main list, Lu Qinli gap fill</x:v>
      </x:c>
    </x:row>
    <x:row r="5683">
      <x:c r="A5683" s="5" t="str">
        <x:v>璟</x:v>
      </x:c>
      <x:c r="B5683" s="6" t="str">
        <x:v>上</x:v>
      </x:c>
      <x:c r="C5683" s="6" t="str">
        <x:f>IF(B5683="","Needs decision","Ready")</x:f>
        <x:v>Ready</x:v>
      </x:c>
      <x:c r="D5683" s="6" t="str">
        <x:v>上</x:v>
      </x:c>
      <x:c r="E5683" s="6" t="str"/>
      <x:c r="F5683" s="6" t="str">
        <x:v>上聲二十三梗</x:v>
      </x:c>
      <x:c r="G5683" s="6" t="str">
        <x:v>Pingshui main list, Wikisource-derived DOCX</x:v>
      </x:c>
      <x:c r="H5683" s="6" t="str"/>
      <x:c r="I5683" s="6" t="str">
        <x:v>Lu Qinli gap fill from Pingshui main list; 詞 entries ignored</x:v>
      </x:c>
      <x:c r="J5683" s="6" t="str">
        <x:f>IF(B5683="","",IF(AND(ISNUMBER(SEARCH("平",B5683)),OR(ISNUMBER(SEARCH("上",B5683)),ISNUMBER(SEARCH("去",B5683)),ISNUMBER(SEARCH("入",B5683)))),"Ambiguous",IF(ISNUMBER(SEARCH("平",B5683)),"平","仄")))</x:f>
        <x:v>仄</x:v>
      </x:c>
      <x:c r="K5683" s="6" t="str">
        <x:f>IF(D5683="","",IF(AND(ISNUMBER(SEARCH("平",D5683)),OR(ISNUMBER(SEARCH("上",D5683)),ISNUMBER(SEARCH("去",D5683)),ISNUMBER(SEARCH("入",D5683)))),"Ambiguous",IF(ISNUMBER(SEARCH("平",D5683)),"平","仄")))</x:f>
        <x:v>仄</x:v>
      </x:c>
      <x:c r="L5683" s="7" t="str">
        <x:v>Pingshui main list, Lu Qinli gap fill</x:v>
      </x:c>
    </x:row>
    <x:row r="5684">
      <x:c r="A5684" s="5" t="str">
        <x:v>璠</x:v>
      </x:c>
      <x:c r="B5684" s="6" t="str">
        <x:v>平</x:v>
      </x:c>
      <x:c r="C5684" s="6" t="str">
        <x:f>IF(B5684="","Needs decision","Ready")</x:f>
        <x:v>Ready</x:v>
      </x:c>
      <x:c r="D5684" s="6" t="str">
        <x:v>平</x:v>
      </x:c>
      <x:c r="E5684" s="6" t="str"/>
      <x:c r="F5684" s="6" t="str">
        <x:v>上平聲十三元</x:v>
      </x:c>
      <x:c r="G5684" s="6" t="str">
        <x:v>Pingshui main list, Wikisource-derived DOCX</x:v>
      </x:c>
      <x:c r="H5684" s="6" t="str"/>
      <x:c r="I5684" s="6" t="str">
        <x:v>Lu Qinli gap fill from Pingshui main list; 詞 entries ignored</x:v>
      </x:c>
      <x:c r="J5684" s="6" t="str">
        <x:f>IF(B5684="","",IF(AND(ISNUMBER(SEARCH("平",B5684)),OR(ISNUMBER(SEARCH("上",B5684)),ISNUMBER(SEARCH("去",B5684)),ISNUMBER(SEARCH("入",B5684)))),"Ambiguous",IF(ISNUMBER(SEARCH("平",B5684)),"平","仄")))</x:f>
        <x:v>平</x:v>
      </x:c>
      <x:c r="K5684" s="6" t="str">
        <x:f>IF(D5684="","",IF(AND(ISNUMBER(SEARCH("平",D5684)),OR(ISNUMBER(SEARCH("上",D5684)),ISNUMBER(SEARCH("去",D5684)),ISNUMBER(SEARCH("入",D5684)))),"Ambiguous",IF(ISNUMBER(SEARCH("平",D5684)),"平","仄")))</x:f>
        <x:v>平</x:v>
      </x:c>
      <x:c r="L5684" s="7" t="str">
        <x:v>Pingshui main list, Lu Qinli gap fill</x:v>
      </x:c>
    </x:row>
    <x:row r="5685">
      <x:c r="A5685" s="5" t="str">
        <x:v>璡</x:v>
      </x:c>
      <x:c r="B5685" s="6" t="str"/>
      <x:c r="C5685" s="6" t="str">
        <x:f>IF(B5685="","Needs decision","Ready")</x:f>
        <x:v>Needs decision</x:v>
      </x:c>
      <x:c r="D5685" s="6" t="str">
        <x:v>平/去</x:v>
      </x:c>
      <x:c r="E5685" s="6" t="str"/>
      <x:c r="F5685" s="6" t="str">
        <x:v>上平聲十一真; 去聲十二震</x:v>
      </x:c>
      <x:c r="G5685" s="6" t="str">
        <x:v>Pingshui main list, Wikisource-derived DOCX</x:v>
      </x:c>
      <x:c r="H5685" s="6" t="str"/>
      <x:c r="I5685" s="6" t="str">
        <x:v>Lu Qinli gap fill from Pingshui main list; 詞 entries ignored</x:v>
      </x:c>
      <x:c r="J5685" s="6" t="str">
        <x:f>IF(B5685="","",IF(AND(ISNUMBER(SEARCH("平",B5685)),OR(ISNUMBER(SEARCH("上",B5685)),ISNUMBER(SEARCH("去",B5685)),ISNUMBER(SEARCH("入",B5685)))),"Ambiguous",IF(ISNUMBER(SEARCH("平",B5685)),"平","仄")))</x:f>
      </x:c>
      <x:c r="K5685" s="6" t="str">
        <x:f>IF(D5685="","",IF(AND(ISNUMBER(SEARCH("平",D5685)),OR(ISNUMBER(SEARCH("上",D5685)),ISNUMBER(SEARCH("去",D5685)),ISNUMBER(SEARCH("入",D5685)))),"Ambiguous",IF(ISNUMBER(SEARCH("平",D5685)),"平","仄")))</x:f>
        <x:v>Ambiguous</x:v>
      </x:c>
      <x:c r="L5685" s="7" t="str">
        <x:v>Pingshui main list, Lu Qinli gap fill</x:v>
      </x:c>
    </x:row>
    <x:row r="5686">
      <x:c r="A5686" s="5" t="str">
        <x:v>璣</x:v>
      </x:c>
      <x:c r="B5686" s="6" t="str">
        <x:v>平</x:v>
      </x:c>
      <x:c r="C5686" s="6" t="str">
        <x:f>IF(B5686="","Needs decision","Ready")</x:f>
        <x:v>Ready</x:v>
      </x:c>
      <x:c r="D5686" s="6" t="str">
        <x:v>平</x:v>
      </x:c>
      <x:c r="E5686" s="6" t="str"/>
      <x:c r="F5686" s="6" t="str">
        <x:v>上平聲五微</x:v>
      </x:c>
      <x:c r="G5686" s="6" t="str">
        <x:v>Pingshui main list, Wikisource-derived DOCX</x:v>
      </x:c>
      <x:c r="H5686" s="6" t="str"/>
      <x:c r="I5686" s="6" t="str">
        <x:v>Lu Qinli gap fill from Pingshui main list; 詞 entries ignored</x:v>
      </x:c>
      <x:c r="J5686" s="6" t="str">
        <x:f>IF(B5686="","",IF(AND(ISNUMBER(SEARCH("平",B5686)),OR(ISNUMBER(SEARCH("上",B5686)),ISNUMBER(SEARCH("去",B5686)),ISNUMBER(SEARCH("入",B5686)))),"Ambiguous",IF(ISNUMBER(SEARCH("平",B5686)),"平","仄")))</x:f>
        <x:v>平</x:v>
      </x:c>
      <x:c r="K5686" s="6" t="str">
        <x:f>IF(D5686="","",IF(AND(ISNUMBER(SEARCH("平",D5686)),OR(ISNUMBER(SEARCH("上",D5686)),ISNUMBER(SEARCH("去",D5686)),ISNUMBER(SEARCH("入",D5686)))),"Ambiguous",IF(ISNUMBER(SEARCH("平",D5686)),"平","仄")))</x:f>
        <x:v>平</x:v>
      </x:c>
      <x:c r="L5686" s="7" t="str">
        <x:v>Pingshui main list, Lu Qinli gap fill</x:v>
      </x:c>
    </x:row>
    <x:row r="5687">
      <x:c r="A5687" s="5" t="str">
        <x:v>璨</x:v>
      </x:c>
      <x:c r="B5687" s="6" t="str">
        <x:v>去</x:v>
      </x:c>
      <x:c r="C5687" s="6" t="str">
        <x:f>IF(B5687="","Needs decision","Ready")</x:f>
        <x:v>Ready</x:v>
      </x:c>
      <x:c r="D5687" s="6" t="str">
        <x:v>去</x:v>
      </x:c>
      <x:c r="E5687" s="6" t="str"/>
      <x:c r="F5687" s="6" t="str">
        <x:v>去聲十五翰</x:v>
      </x:c>
      <x:c r="G5687" s="6" t="str">
        <x:v>Pingshui main list, Wikisource-derived DOCX</x:v>
      </x:c>
      <x:c r="H5687" s="6" t="str"/>
      <x:c r="I5687" s="6" t="str">
        <x:v>Lu Qinli gap fill from Pingshui main list; 詞 entries ignored</x:v>
      </x:c>
      <x:c r="J5687" s="6" t="str">
        <x:f>IF(B5687="","",IF(AND(ISNUMBER(SEARCH("平",B5687)),OR(ISNUMBER(SEARCH("上",B5687)),ISNUMBER(SEARCH("去",B5687)),ISNUMBER(SEARCH("入",B5687)))),"Ambiguous",IF(ISNUMBER(SEARCH("平",B5687)),"平","仄")))</x:f>
        <x:v>仄</x:v>
      </x:c>
      <x:c r="K5687" s="6" t="str">
        <x:f>IF(D5687="","",IF(AND(ISNUMBER(SEARCH("平",D5687)),OR(ISNUMBER(SEARCH("上",D5687)),ISNUMBER(SEARCH("去",D5687)),ISNUMBER(SEARCH("入",D5687)))),"Ambiguous",IF(ISNUMBER(SEARCH("平",D5687)),"平","仄")))</x:f>
        <x:v>仄</x:v>
      </x:c>
      <x:c r="L5687" s="7" t="str">
        <x:v>Pingshui main list, Lu Qinli gap fill</x:v>
      </x:c>
    </x:row>
    <x:row r="5688">
      <x:c r="A5688" s="5" t="str">
        <x:v>璩</x:v>
      </x:c>
      <x:c r="B5688" s="6" t="str">
        <x:v>平</x:v>
      </x:c>
      <x:c r="C5688" s="6" t="str">
        <x:f>IF(B5688="","Needs decision","Ready")</x:f>
        <x:v>Ready</x:v>
      </x:c>
      <x:c r="D5688" s="6" t="str">
        <x:v>平</x:v>
      </x:c>
      <x:c r="E5688" s="6" t="str"/>
      <x:c r="F5688" s="6" t="str">
        <x:v>上平聲六魚</x:v>
      </x:c>
      <x:c r="G5688" s="6" t="str">
        <x:v>Pingshui main list, Wikisource-derived DOCX</x:v>
      </x:c>
      <x:c r="H5688" s="6" t="str"/>
      <x:c r="I5688" s="6" t="str">
        <x:v>Lu Qinli gap fill from Pingshui main list; 詞 entries ignored</x:v>
      </x:c>
      <x:c r="J5688" s="6" t="str">
        <x:f>IF(B5688="","",IF(AND(ISNUMBER(SEARCH("平",B5688)),OR(ISNUMBER(SEARCH("上",B5688)),ISNUMBER(SEARCH("去",B5688)),ISNUMBER(SEARCH("入",B5688)))),"Ambiguous",IF(ISNUMBER(SEARCH("平",B5688)),"平","仄")))</x:f>
        <x:v>平</x:v>
      </x:c>
      <x:c r="K5688" s="6" t="str">
        <x:f>IF(D5688="","",IF(AND(ISNUMBER(SEARCH("平",D5688)),OR(ISNUMBER(SEARCH("上",D5688)),ISNUMBER(SEARCH("去",D5688)),ISNUMBER(SEARCH("入",D5688)))),"Ambiguous",IF(ISNUMBER(SEARCH("平",D5688)),"平","仄")))</x:f>
        <x:v>平</x:v>
      </x:c>
      <x:c r="L5688" s="7" t="str">
        <x:v>Pingshui main list, Lu Qinli gap fill</x:v>
      </x:c>
    </x:row>
    <x:row r="5689">
      <x:c r="A5689" s="5" t="str">
        <x:v>璵</x:v>
      </x:c>
      <x:c r="B5689" s="6" t="str">
        <x:v>平</x:v>
      </x:c>
      <x:c r="C5689" s="6" t="str">
        <x:f>IF(B5689="","Needs decision","Ready")</x:f>
        <x:v>Ready</x:v>
      </x:c>
      <x:c r="D5689" s="6" t="str">
        <x:v>平</x:v>
      </x:c>
      <x:c r="E5689" s="6" t="str"/>
      <x:c r="F5689" s="6" t="str">
        <x:v>上平聲六魚</x:v>
      </x:c>
      <x:c r="G5689" s="6" t="str">
        <x:v>Pingshui main list, Wikisource-derived DOCX</x:v>
      </x:c>
      <x:c r="H5689" s="6" t="str"/>
      <x:c r="I5689" s="6" t="str">
        <x:v>Lu Qinli gap fill from Pingshui main list; 詞 entries ignored</x:v>
      </x:c>
      <x:c r="J5689" s="6" t="str">
        <x:f>IF(B5689="","",IF(AND(ISNUMBER(SEARCH("平",B5689)),OR(ISNUMBER(SEARCH("上",B5689)),ISNUMBER(SEARCH("去",B5689)),ISNUMBER(SEARCH("入",B5689)))),"Ambiguous",IF(ISNUMBER(SEARCH("平",B5689)),"平","仄")))</x:f>
        <x:v>平</x:v>
      </x:c>
      <x:c r="K5689" s="6" t="str">
        <x:f>IF(D5689="","",IF(AND(ISNUMBER(SEARCH("平",D5689)),OR(ISNUMBER(SEARCH("上",D5689)),ISNUMBER(SEARCH("去",D5689)),ISNUMBER(SEARCH("入",D5689)))),"Ambiguous",IF(ISNUMBER(SEARCH("平",D5689)),"平","仄")))</x:f>
        <x:v>平</x:v>
      </x:c>
      <x:c r="L5689" s="7" t="str">
        <x:v>Pingshui main list, Lu Qinli gap fill</x:v>
      </x:c>
    </x:row>
    <x:row r="5690">
      <x:c r="A5690" s="5" t="str">
        <x:v>瓘</x:v>
      </x:c>
      <x:c r="B5690" s="6" t="str">
        <x:v>去</x:v>
      </x:c>
      <x:c r="C5690" s="6" t="str">
        <x:f>IF(B5690="","Needs decision","Ready")</x:f>
        <x:v>Ready</x:v>
      </x:c>
      <x:c r="D5690" s="6" t="str">
        <x:v>去</x:v>
      </x:c>
      <x:c r="E5690" s="6" t="str"/>
      <x:c r="F5690" s="6" t="str">
        <x:v>去聲十五翰</x:v>
      </x:c>
      <x:c r="G5690" s="6" t="str">
        <x:v>Pingshui main list, Wikisource-derived DOCX</x:v>
      </x:c>
      <x:c r="H5690" s="6" t="str"/>
      <x:c r="I5690" s="6" t="str">
        <x:v>Lu Qinli gap fill from Pingshui main list; 詞 entries ignored</x:v>
      </x:c>
      <x:c r="J5690" s="6" t="str">
        <x:f>IF(B5690="","",IF(AND(ISNUMBER(SEARCH("平",B5690)),OR(ISNUMBER(SEARCH("上",B5690)),ISNUMBER(SEARCH("去",B5690)),ISNUMBER(SEARCH("入",B5690)))),"Ambiguous",IF(ISNUMBER(SEARCH("平",B5690)),"平","仄")))</x:f>
        <x:v>仄</x:v>
      </x:c>
      <x:c r="K5690" s="6" t="str">
        <x:f>IF(D5690="","",IF(AND(ISNUMBER(SEARCH("平",D5690)),OR(ISNUMBER(SEARCH("上",D5690)),ISNUMBER(SEARCH("去",D5690)),ISNUMBER(SEARCH("入",D5690)))),"Ambiguous",IF(ISNUMBER(SEARCH("平",D5690)),"平","仄")))</x:f>
        <x:v>仄</x:v>
      </x:c>
      <x:c r="L5690" s="7" t="str">
        <x:v>Pingshui main list, Lu Qinli gap fill</x:v>
      </x:c>
    </x:row>
    <x:row r="5691">
      <x:c r="A5691" s="5" t="str">
        <x:v>瓚</x:v>
      </x:c>
      <x:c r="B5691" s="6" t="str">
        <x:v>上</x:v>
      </x:c>
      <x:c r="C5691" s="6" t="str">
        <x:f>IF(B5691="","Needs decision","Ready")</x:f>
        <x:v>Ready</x:v>
      </x:c>
      <x:c r="D5691" s="6" t="str">
        <x:v>上</x:v>
      </x:c>
      <x:c r="E5691" s="6" t="str"/>
      <x:c r="F5691" s="6" t="str">
        <x:v>上聲十四旱</x:v>
      </x:c>
      <x:c r="G5691" s="6" t="str">
        <x:v>Pingshui main list, Wikisource-derived DOCX</x:v>
      </x:c>
      <x:c r="H5691" s="6" t="str"/>
      <x:c r="I5691" s="6" t="str">
        <x:v>Lu Qinli gap fill from Pingshui main list; 詞 entries ignored</x:v>
      </x:c>
      <x:c r="J5691" s="6" t="str">
        <x:f>IF(B5691="","",IF(AND(ISNUMBER(SEARCH("平",B5691)),OR(ISNUMBER(SEARCH("上",B5691)),ISNUMBER(SEARCH("去",B5691)),ISNUMBER(SEARCH("入",B5691)))),"Ambiguous",IF(ISNUMBER(SEARCH("平",B5691)),"平","仄")))</x:f>
        <x:v>仄</x:v>
      </x:c>
      <x:c r="K5691" s="6" t="str">
        <x:f>IF(D5691="","",IF(AND(ISNUMBER(SEARCH("平",D5691)),OR(ISNUMBER(SEARCH("上",D5691)),ISNUMBER(SEARCH("去",D5691)),ISNUMBER(SEARCH("入",D5691)))),"Ambiguous",IF(ISNUMBER(SEARCH("平",D5691)),"平","仄")))</x:f>
        <x:v>仄</x:v>
      </x:c>
      <x:c r="L5691" s="7" t="str">
        <x:v>Pingshui main list, Lu Qinli gap fill</x:v>
      </x:c>
    </x:row>
    <x:row r="5692">
      <x:c r="A5692" s="5" t="str">
        <x:v>瓛</x:v>
      </x:c>
      <x:c r="B5692" s="6" t="str">
        <x:v>平</x:v>
      </x:c>
      <x:c r="C5692" s="6" t="str">
        <x:f>IF(B5692="","Needs decision","Ready")</x:f>
        <x:v>Ready</x:v>
      </x:c>
      <x:c r="D5692" s="6" t="str">
        <x:v>平</x:v>
      </x:c>
      <x:c r="E5692" s="6" t="str"/>
      <x:c r="F5692" s="6" t="str">
        <x:v>上平聲十四寒</x:v>
      </x:c>
      <x:c r="G5692" s="6" t="str">
        <x:v>Pingshui main list, Wikisource-derived DOCX</x:v>
      </x:c>
      <x:c r="H5692" s="6" t="str"/>
      <x:c r="I5692" s="6" t="str">
        <x:v>Lu Qinli gap fill from Pingshui main list; 詞 entries ignored</x:v>
      </x:c>
      <x:c r="J5692" s="6" t="str">
        <x:f>IF(B5692="","",IF(AND(ISNUMBER(SEARCH("平",B5692)),OR(ISNUMBER(SEARCH("上",B5692)),ISNUMBER(SEARCH("去",B5692)),ISNUMBER(SEARCH("入",B5692)))),"Ambiguous",IF(ISNUMBER(SEARCH("平",B5692)),"平","仄")))</x:f>
        <x:v>平</x:v>
      </x:c>
      <x:c r="K5692" s="6" t="str">
        <x:f>IF(D5692="","",IF(AND(ISNUMBER(SEARCH("平",D5692)),OR(ISNUMBER(SEARCH("上",D5692)),ISNUMBER(SEARCH("去",D5692)),ISNUMBER(SEARCH("入",D5692)))),"Ambiguous",IF(ISNUMBER(SEARCH("平",D5692)),"平","仄")))</x:f>
        <x:v>平</x:v>
      </x:c>
      <x:c r="L5692" s="7" t="str">
        <x:v>Pingshui main list, Lu Qinli gap fill</x:v>
      </x:c>
    </x:row>
    <x:row r="5693">
      <x:c r="A5693" s="5" t="str">
        <x:v>瓞</x:v>
      </x:c>
      <x:c r="B5693" s="6" t="str">
        <x:v>入</x:v>
      </x:c>
      <x:c r="C5693" s="6" t="str">
        <x:f>IF(B5693="","Needs decision","Ready")</x:f>
        <x:v>Ready</x:v>
      </x:c>
      <x:c r="D5693" s="6" t="str">
        <x:v>入</x:v>
      </x:c>
      <x:c r="E5693" s="6" t="str"/>
      <x:c r="F5693" s="6" t="str">
        <x:v>入聲九屑</x:v>
      </x:c>
      <x:c r="G5693" s="6" t="str">
        <x:v>Pingshui main list, Wikisource-derived DOCX</x:v>
      </x:c>
      <x:c r="H5693" s="6" t="str"/>
      <x:c r="I5693" s="6" t="str">
        <x:v>Lu Qinli gap fill from Pingshui main list; 詞 entries ignored</x:v>
      </x:c>
      <x:c r="J5693" s="6" t="str">
        <x:f>IF(B5693="","",IF(AND(ISNUMBER(SEARCH("平",B5693)),OR(ISNUMBER(SEARCH("上",B5693)),ISNUMBER(SEARCH("去",B5693)),ISNUMBER(SEARCH("入",B5693)))),"Ambiguous",IF(ISNUMBER(SEARCH("平",B5693)),"平","仄")))</x:f>
        <x:v>仄</x:v>
      </x:c>
      <x:c r="K5693" s="6" t="str">
        <x:f>IF(D5693="","",IF(AND(ISNUMBER(SEARCH("平",D5693)),OR(ISNUMBER(SEARCH("上",D5693)),ISNUMBER(SEARCH("去",D5693)),ISNUMBER(SEARCH("入",D5693)))),"Ambiguous",IF(ISNUMBER(SEARCH("平",D5693)),"平","仄")))</x:f>
        <x:v>仄</x:v>
      </x:c>
      <x:c r="L5693" s="7" t="str">
        <x:v>Pingshui main list, Lu Qinli gap fill</x:v>
      </x:c>
    </x:row>
    <x:row r="5694">
      <x:c r="A5694" s="5" t="str">
        <x:v>瓟</x:v>
      </x:c>
      <x:c r="B5694" s="6" t="str">
        <x:v>平</x:v>
      </x:c>
      <x:c r="C5694" s="6" t="str">
        <x:f>IF(B5694="","Needs decision","Ready")</x:f>
        <x:v>Ready</x:v>
      </x:c>
      <x:c r="D5694" s="6" t="str">
        <x:v>平</x:v>
      </x:c>
      <x:c r="E5694" s="6" t="str"/>
      <x:c r="F5694" s="6" t="str">
        <x:v>下平聲三肴</x:v>
      </x:c>
      <x:c r="G5694" s="6" t="str">
        <x:v>Pingshui main list, Wikisource-derived DOCX</x:v>
      </x:c>
      <x:c r="H5694" s="6" t="str"/>
      <x:c r="I5694" s="6" t="str">
        <x:v>Lu Qinli gap fill from Pingshui main list; 詞 entries ignored</x:v>
      </x:c>
      <x:c r="J5694" s="6" t="str">
        <x:f>IF(B5694="","",IF(AND(ISNUMBER(SEARCH("平",B5694)),OR(ISNUMBER(SEARCH("上",B5694)),ISNUMBER(SEARCH("去",B5694)),ISNUMBER(SEARCH("入",B5694)))),"Ambiguous",IF(ISNUMBER(SEARCH("平",B5694)),"平","仄")))</x:f>
        <x:v>平</x:v>
      </x:c>
      <x:c r="K5694" s="6" t="str">
        <x:f>IF(D5694="","",IF(AND(ISNUMBER(SEARCH("平",D5694)),OR(ISNUMBER(SEARCH("上",D5694)),ISNUMBER(SEARCH("去",D5694)),ISNUMBER(SEARCH("入",D5694)))),"Ambiguous",IF(ISNUMBER(SEARCH("平",D5694)),"平","仄")))</x:f>
        <x:v>平</x:v>
      </x:c>
      <x:c r="L5694" s="7" t="str">
        <x:v>Pingshui main list, Lu Qinli gap fill</x:v>
      </x:c>
    </x:row>
    <x:row r="5695">
      <x:c r="A5695" s="5" t="str">
        <x:v>瓴</x:v>
      </x:c>
      <x:c r="B5695" s="6" t="str">
        <x:v>平</x:v>
      </x:c>
      <x:c r="C5695" s="6" t="str">
        <x:f>IF(B5695="","Needs decision","Ready")</x:f>
        <x:v>Ready</x:v>
      </x:c>
      <x:c r="D5695" s="6" t="str">
        <x:v>平</x:v>
      </x:c>
      <x:c r="E5695" s="6" t="str"/>
      <x:c r="F5695" s="6" t="str">
        <x:v>下平聲九青</x:v>
      </x:c>
      <x:c r="G5695" s="6" t="str">
        <x:v>Pingshui main list, Wikisource-derived DOCX</x:v>
      </x:c>
      <x:c r="H5695" s="6" t="str"/>
      <x:c r="I5695" s="6" t="str">
        <x:v>Lu Qinli gap fill from Pingshui main list; 詞 entries ignored</x:v>
      </x:c>
      <x:c r="J5695" s="6" t="str">
        <x:f>IF(B5695="","",IF(AND(ISNUMBER(SEARCH("平",B5695)),OR(ISNUMBER(SEARCH("上",B5695)),ISNUMBER(SEARCH("去",B5695)),ISNUMBER(SEARCH("入",B5695)))),"Ambiguous",IF(ISNUMBER(SEARCH("平",B5695)),"平","仄")))</x:f>
        <x:v>平</x:v>
      </x:c>
      <x:c r="K5695" s="6" t="str">
        <x:f>IF(D5695="","",IF(AND(ISNUMBER(SEARCH("平",D5695)),OR(ISNUMBER(SEARCH("上",D5695)),ISNUMBER(SEARCH("去",D5695)),ISNUMBER(SEARCH("入",D5695)))),"Ambiguous",IF(ISNUMBER(SEARCH("平",D5695)),"平","仄")))</x:f>
        <x:v>平</x:v>
      </x:c>
      <x:c r="L5695" s="7" t="str">
        <x:v>Pingshui main list, Lu Qinli gap fill</x:v>
      </x:c>
    </x:row>
    <x:row r="5696">
      <x:c r="A5696" s="5" t="str">
        <x:v>瓿</x:v>
      </x:c>
      <x:c r="B5696" s="6" t="str"/>
      <x:c r="C5696" s="6" t="str">
        <x:f>IF(B5696="","Needs decision","Ready")</x:f>
        <x:v>Needs decision</x:v>
      </x:c>
      <x:c r="D5696" s="6" t="str">
        <x:v>平/上</x:v>
      </x:c>
      <x:c r="E5696" s="6" t="str"/>
      <x:c r="F5696" s="6" t="str">
        <x:v>上平聲七虞; 上聲二十五有</x:v>
      </x:c>
      <x:c r="G5696" s="6" t="str">
        <x:v>Pingshui main list, Wikisource-derived DOCX</x:v>
      </x:c>
      <x:c r="H5696" s="6" t="str"/>
      <x:c r="I5696" s="6" t="str">
        <x:v>Lu Qinli gap fill from Pingshui main list; 詞 entries ignored</x:v>
      </x:c>
      <x:c r="J5696" s="6" t="str">
        <x:f>IF(B5696="","",IF(AND(ISNUMBER(SEARCH("平",B5696)),OR(ISNUMBER(SEARCH("上",B5696)),ISNUMBER(SEARCH("去",B5696)),ISNUMBER(SEARCH("入",B5696)))),"Ambiguous",IF(ISNUMBER(SEARCH("平",B5696)),"平","仄")))</x:f>
      </x:c>
      <x:c r="K5696" s="6" t="str">
        <x:f>IF(D5696="","",IF(AND(ISNUMBER(SEARCH("平",D5696)),OR(ISNUMBER(SEARCH("上",D5696)),ISNUMBER(SEARCH("去",D5696)),ISNUMBER(SEARCH("入",D5696)))),"Ambiguous",IF(ISNUMBER(SEARCH("平",D5696)),"平","仄")))</x:f>
        <x:v>Ambiguous</x:v>
      </x:c>
      <x:c r="L5696" s="7" t="str">
        <x:v>Pingshui main list, Lu Qinli gap fill</x:v>
      </x:c>
    </x:row>
    <x:row r="5697">
      <x:c r="A5697" s="5" t="str">
        <x:v>甌</x:v>
      </x:c>
      <x:c r="B5697" s="6" t="str">
        <x:v>平</x:v>
      </x:c>
      <x:c r="C5697" s="6" t="str">
        <x:f>IF(B5697="","Needs decision","Ready")</x:f>
        <x:v>Ready</x:v>
      </x:c>
      <x:c r="D5697" s="6" t="str">
        <x:v>平</x:v>
      </x:c>
      <x:c r="E5697" s="6" t="str"/>
      <x:c r="F5697" s="6" t="str">
        <x:v>下平聲十一尤</x:v>
      </x:c>
      <x:c r="G5697" s="6" t="str">
        <x:v>Pingshui main list, Wikisource-derived DOCX</x:v>
      </x:c>
      <x:c r="H5697" s="6" t="str"/>
      <x:c r="I5697" s="6" t="str">
        <x:v>Lu Qinli gap fill from Pingshui main list; 詞 entries ignored</x:v>
      </x:c>
      <x:c r="J5697" s="6" t="str">
        <x:f>IF(B5697="","",IF(AND(ISNUMBER(SEARCH("平",B5697)),OR(ISNUMBER(SEARCH("上",B5697)),ISNUMBER(SEARCH("去",B5697)),ISNUMBER(SEARCH("入",B5697)))),"Ambiguous",IF(ISNUMBER(SEARCH("平",B5697)),"平","仄")))</x:f>
        <x:v>平</x:v>
      </x:c>
      <x:c r="K5697" s="6" t="str">
        <x:f>IF(D5697="","",IF(AND(ISNUMBER(SEARCH("平",D5697)),OR(ISNUMBER(SEARCH("上",D5697)),ISNUMBER(SEARCH("去",D5697)),ISNUMBER(SEARCH("入",D5697)))),"Ambiguous",IF(ISNUMBER(SEARCH("平",D5697)),"平","仄")))</x:f>
        <x:v>平</x:v>
      </x:c>
      <x:c r="L5697" s="7" t="str">
        <x:v>Pingshui main list, Lu Qinli gap fill</x:v>
      </x:c>
    </x:row>
    <x:row r="5698">
      <x:c r="A5698" s="5" t="str">
        <x:v>甍</x:v>
      </x:c>
      <x:c r="B5698" s="6" t="str">
        <x:v>平</x:v>
      </x:c>
      <x:c r="C5698" s="6" t="str">
        <x:f>IF(B5698="","Needs decision","Ready")</x:f>
        <x:v>Ready</x:v>
      </x:c>
      <x:c r="D5698" s="6" t="str">
        <x:v>平</x:v>
      </x:c>
      <x:c r="E5698" s="6" t="str"/>
      <x:c r="F5698" s="6" t="str">
        <x:v>下平聲八庚</x:v>
      </x:c>
      <x:c r="G5698" s="6" t="str">
        <x:v>Pingshui main list, Wikisource-derived DOCX</x:v>
      </x:c>
      <x:c r="H5698" s="6" t="str"/>
      <x:c r="I5698" s="6" t="str">
        <x:v>Lu Qinli gap fill from Pingshui main list; 詞 entries ignored</x:v>
      </x:c>
      <x:c r="J5698" s="6" t="str">
        <x:f>IF(B5698="","",IF(AND(ISNUMBER(SEARCH("平",B5698)),OR(ISNUMBER(SEARCH("上",B5698)),ISNUMBER(SEARCH("去",B5698)),ISNUMBER(SEARCH("入",B5698)))),"Ambiguous",IF(ISNUMBER(SEARCH("平",B5698)),"平","仄")))</x:f>
        <x:v>平</x:v>
      </x:c>
      <x:c r="K5698" s="6" t="str">
        <x:f>IF(D5698="","",IF(AND(ISNUMBER(SEARCH("平",D5698)),OR(ISNUMBER(SEARCH("上",D5698)),ISNUMBER(SEARCH("去",D5698)),ISNUMBER(SEARCH("入",D5698)))),"Ambiguous",IF(ISNUMBER(SEARCH("平",D5698)),"平","仄")))</x:f>
        <x:v>平</x:v>
      </x:c>
      <x:c r="L5698" s="7" t="str">
        <x:v>Pingshui main list, Lu Qinli gap fill</x:v>
      </x:c>
    </x:row>
    <x:row r="5699">
      <x:c r="A5699" s="5" t="str">
        <x:v>甜</x:v>
      </x:c>
      <x:c r="B5699" s="6" t="str">
        <x:v>平</x:v>
      </x:c>
      <x:c r="C5699" s="6" t="str">
        <x:f>IF(B5699="","Needs decision","Ready")</x:f>
        <x:v>Ready</x:v>
      </x:c>
      <x:c r="D5699" s="6" t="str">
        <x:v>平</x:v>
      </x:c>
      <x:c r="E5699" s="6" t="str"/>
      <x:c r="F5699" s="6" t="str">
        <x:v>下平聲十四鹽</x:v>
      </x:c>
      <x:c r="G5699" s="6" t="str">
        <x:v>Pingshui main list, Wikisource-derived DOCX</x:v>
      </x:c>
      <x:c r="H5699" s="6" t="str"/>
      <x:c r="I5699" s="6" t="str">
        <x:v>Lu Qinli gap fill from Pingshui main list; 詞 entries ignored</x:v>
      </x:c>
      <x:c r="J5699" s="6" t="str">
        <x:f>IF(B5699="","",IF(AND(ISNUMBER(SEARCH("平",B5699)),OR(ISNUMBER(SEARCH("上",B5699)),ISNUMBER(SEARCH("去",B5699)),ISNUMBER(SEARCH("入",B5699)))),"Ambiguous",IF(ISNUMBER(SEARCH("平",B5699)),"平","仄")))</x:f>
        <x:v>平</x:v>
      </x:c>
      <x:c r="K5699" s="6" t="str">
        <x:f>IF(D5699="","",IF(AND(ISNUMBER(SEARCH("平",D5699)),OR(ISNUMBER(SEARCH("上",D5699)),ISNUMBER(SEARCH("去",D5699)),ISNUMBER(SEARCH("入",D5699)))),"Ambiguous",IF(ISNUMBER(SEARCH("平",D5699)),"平","仄")))</x:f>
        <x:v>平</x:v>
      </x:c>
      <x:c r="L5699" s="7" t="str">
        <x:v>Pingshui main list, Lu Qinli gap fill</x:v>
      </x:c>
    </x:row>
    <x:row r="5700">
      <x:c r="A5700" s="5" t="str">
        <x:v>甬</x:v>
      </x:c>
      <x:c r="B5700" s="6" t="str">
        <x:v>上</x:v>
      </x:c>
      <x:c r="C5700" s="6" t="str">
        <x:f>IF(B5700="","Needs decision","Ready")</x:f>
        <x:v>Ready</x:v>
      </x:c>
      <x:c r="D5700" s="6" t="str">
        <x:v>上</x:v>
      </x:c>
      <x:c r="E5700" s="6" t="str"/>
      <x:c r="F5700" s="6" t="str">
        <x:v>上聲二腫</x:v>
      </x:c>
      <x:c r="G5700" s="6" t="str">
        <x:v>Pingshui main list, Wikisource-derived DOCX</x:v>
      </x:c>
      <x:c r="H5700" s="6" t="str"/>
      <x:c r="I5700" s="6" t="str">
        <x:v>Lu Qinli gap fill from Pingshui main list; 詞 entries ignored</x:v>
      </x:c>
      <x:c r="J5700" s="6" t="str">
        <x:f>IF(B5700="","",IF(AND(ISNUMBER(SEARCH("平",B5700)),OR(ISNUMBER(SEARCH("上",B5700)),ISNUMBER(SEARCH("去",B5700)),ISNUMBER(SEARCH("入",B5700)))),"Ambiguous",IF(ISNUMBER(SEARCH("平",B5700)),"平","仄")))</x:f>
        <x:v>仄</x:v>
      </x:c>
      <x:c r="K5700" s="6" t="str">
        <x:f>IF(D5700="","",IF(AND(ISNUMBER(SEARCH("平",D5700)),OR(ISNUMBER(SEARCH("上",D5700)),ISNUMBER(SEARCH("去",D5700)),ISNUMBER(SEARCH("入",D5700)))),"Ambiguous",IF(ISNUMBER(SEARCH("平",D5700)),"平","仄")))</x:f>
        <x:v>仄</x:v>
      </x:c>
      <x:c r="L5700" s="7" t="str">
        <x:v>Pingshui main list, Lu Qinli gap fill</x:v>
      </x:c>
    </x:row>
    <x:row r="5701">
      <x:c r="A5701" s="5" t="str">
        <x:v>畯</x:v>
      </x:c>
      <x:c r="B5701" s="6" t="str">
        <x:v>去</x:v>
      </x:c>
      <x:c r="C5701" s="6" t="str">
        <x:f>IF(B5701="","Needs decision","Ready")</x:f>
        <x:v>Ready</x:v>
      </x:c>
      <x:c r="D5701" s="6" t="str">
        <x:v>去</x:v>
      </x:c>
      <x:c r="E5701" s="6" t="str"/>
      <x:c r="F5701" s="6" t="str">
        <x:v>去聲十二震</x:v>
      </x:c>
      <x:c r="G5701" s="6" t="str">
        <x:v>Pingshui main list, Wikisource-derived DOCX</x:v>
      </x:c>
      <x:c r="H5701" s="6" t="str"/>
      <x:c r="I5701" s="6" t="str">
        <x:v>Lu Qinli gap fill from Pingshui main list; 詞 entries ignored</x:v>
      </x:c>
      <x:c r="J5701" s="6" t="str">
        <x:f>IF(B5701="","",IF(AND(ISNUMBER(SEARCH("平",B5701)),OR(ISNUMBER(SEARCH("上",B5701)),ISNUMBER(SEARCH("去",B5701)),ISNUMBER(SEARCH("入",B5701)))),"Ambiguous",IF(ISNUMBER(SEARCH("平",B5701)),"平","仄")))</x:f>
        <x:v>仄</x:v>
      </x:c>
      <x:c r="K5701" s="6" t="str">
        <x:f>IF(D5701="","",IF(AND(ISNUMBER(SEARCH("平",D5701)),OR(ISNUMBER(SEARCH("上",D5701)),ISNUMBER(SEARCH("去",D5701)),ISNUMBER(SEARCH("入",D5701)))),"Ambiguous",IF(ISNUMBER(SEARCH("平",D5701)),"平","仄")))</x:f>
        <x:v>仄</x:v>
      </x:c>
      <x:c r="L5701" s="7" t="str">
        <x:v>Pingshui main list, Lu Qinli gap fill</x:v>
      </x:c>
    </x:row>
    <x:row r="5702">
      <x:c r="A5702" s="5" t="str">
        <x:v>畹</x:v>
      </x:c>
      <x:c r="B5702" s="6" t="str"/>
      <x:c r="C5702" s="6" t="str">
        <x:f>IF(B5702="","Needs decision","Ready")</x:f>
        <x:v>Needs decision</x:v>
      </x:c>
      <x:c r="D5702" s="6" t="str">
        <x:v>上/去</x:v>
      </x:c>
      <x:c r="E5702" s="6" t="str"/>
      <x:c r="F5702" s="6" t="str">
        <x:v>上聲十三阮; 去聲十四願</x:v>
      </x:c>
      <x:c r="G5702" s="6" t="str">
        <x:v>Pingshui main list, Wikisource-derived DOCX</x:v>
      </x:c>
      <x:c r="H5702" s="6" t="str"/>
      <x:c r="I5702" s="6" t="str">
        <x:v>Lu Qinli gap fill from Pingshui main list; 詞 entries ignored</x:v>
      </x:c>
      <x:c r="J5702" s="6" t="str">
        <x:f>IF(B5702="","",IF(AND(ISNUMBER(SEARCH("平",B5702)),OR(ISNUMBER(SEARCH("上",B5702)),ISNUMBER(SEARCH("去",B5702)),ISNUMBER(SEARCH("入",B5702)))),"Ambiguous",IF(ISNUMBER(SEARCH("平",B5702)),"平","仄")))</x:f>
      </x:c>
      <x:c r="K5702" s="6" t="str">
        <x:f>IF(D5702="","",IF(AND(ISNUMBER(SEARCH("平",D5702)),OR(ISNUMBER(SEARCH("上",D5702)),ISNUMBER(SEARCH("去",D5702)),ISNUMBER(SEARCH("入",D5702)))),"Ambiguous",IF(ISNUMBER(SEARCH("平",D5702)),"平","仄")))</x:f>
        <x:v>仄</x:v>
      </x:c>
      <x:c r="L5702" s="7" t="str">
        <x:v>Pingshui main list, Lu Qinli gap fill</x:v>
      </x:c>
    </x:row>
    <x:row r="5703">
      <x:c r="A5703" s="5" t="str">
        <x:v>疢</x:v>
      </x:c>
      <x:c r="B5703" s="6" t="str">
        <x:v>去</x:v>
      </x:c>
      <x:c r="C5703" s="6" t="str">
        <x:f>IF(B5703="","Needs decision","Ready")</x:f>
        <x:v>Ready</x:v>
      </x:c>
      <x:c r="D5703" s="6" t="str">
        <x:v>去</x:v>
      </x:c>
      <x:c r="E5703" s="6" t="str"/>
      <x:c r="F5703" s="6" t="str">
        <x:v>去聲十二震</x:v>
      </x:c>
      <x:c r="G5703" s="6" t="str">
        <x:v>Pingshui main list, Wikisource-derived DOCX</x:v>
      </x:c>
      <x:c r="H5703" s="6" t="str"/>
      <x:c r="I5703" s="6" t="str">
        <x:v>Lu Qinli gap fill from Pingshui main list; 詞 entries ignored</x:v>
      </x:c>
      <x:c r="J5703" s="6" t="str">
        <x:f>IF(B5703="","",IF(AND(ISNUMBER(SEARCH("平",B5703)),OR(ISNUMBER(SEARCH("上",B5703)),ISNUMBER(SEARCH("去",B5703)),ISNUMBER(SEARCH("入",B5703)))),"Ambiguous",IF(ISNUMBER(SEARCH("平",B5703)),"平","仄")))</x:f>
        <x:v>仄</x:v>
      </x:c>
      <x:c r="K5703" s="6" t="str">
        <x:f>IF(D5703="","",IF(AND(ISNUMBER(SEARCH("平",D5703)),OR(ISNUMBER(SEARCH("上",D5703)),ISNUMBER(SEARCH("去",D5703)),ISNUMBER(SEARCH("入",D5703)))),"Ambiguous",IF(ISNUMBER(SEARCH("平",D5703)),"平","仄")))</x:f>
        <x:v>仄</x:v>
      </x:c>
      <x:c r="L5703" s="7" t="str">
        <x:v>Pingshui main list, Lu Qinli gap fill</x:v>
      </x:c>
    </x:row>
    <x:row r="5704">
      <x:c r="A5704" s="5" t="str">
        <x:v>疵</x:v>
      </x:c>
      <x:c r="B5704" s="6" t="str">
        <x:v>平</x:v>
      </x:c>
      <x:c r="C5704" s="6" t="str">
        <x:f>IF(B5704="","Needs decision","Ready")</x:f>
        <x:v>Ready</x:v>
      </x:c>
      <x:c r="D5704" s="6" t="str">
        <x:v>平</x:v>
      </x:c>
      <x:c r="E5704" s="6" t="str"/>
      <x:c r="F5704" s="6" t="str">
        <x:v>上平聲四支</x:v>
      </x:c>
      <x:c r="G5704" s="6" t="str">
        <x:v>Pingshui main list, Wikisource-derived DOCX</x:v>
      </x:c>
      <x:c r="H5704" s="6" t="str"/>
      <x:c r="I5704" s="6" t="str">
        <x:v>Lu Qinli gap fill from Pingshui main list; 詞 entries ignored</x:v>
      </x:c>
      <x:c r="J5704" s="6" t="str">
        <x:f>IF(B5704="","",IF(AND(ISNUMBER(SEARCH("平",B5704)),OR(ISNUMBER(SEARCH("上",B5704)),ISNUMBER(SEARCH("去",B5704)),ISNUMBER(SEARCH("入",B5704)))),"Ambiguous",IF(ISNUMBER(SEARCH("平",B5704)),"平","仄")))</x:f>
        <x:v>平</x:v>
      </x:c>
      <x:c r="K5704" s="6" t="str">
        <x:f>IF(D5704="","",IF(AND(ISNUMBER(SEARCH("平",D5704)),OR(ISNUMBER(SEARCH("上",D5704)),ISNUMBER(SEARCH("去",D5704)),ISNUMBER(SEARCH("入",D5704)))),"Ambiguous",IF(ISNUMBER(SEARCH("平",D5704)),"平","仄")))</x:f>
        <x:v>平</x:v>
      </x:c>
      <x:c r="L5704" s="7" t="str">
        <x:v>Pingshui main list, Lu Qinli gap fill</x:v>
      </x:c>
    </x:row>
    <x:row r="5705">
      <x:c r="A5705" s="5" t="str">
        <x:v>疽</x:v>
      </x:c>
      <x:c r="B5705" s="6" t="str">
        <x:v>平</x:v>
      </x:c>
      <x:c r="C5705" s="6" t="str">
        <x:f>IF(B5705="","Needs decision","Ready")</x:f>
        <x:v>Ready</x:v>
      </x:c>
      <x:c r="D5705" s="6" t="str">
        <x:v>平</x:v>
      </x:c>
      <x:c r="E5705" s="6" t="str"/>
      <x:c r="F5705" s="6" t="str">
        <x:v>上平聲六魚</x:v>
      </x:c>
      <x:c r="G5705" s="6" t="str">
        <x:v>Pingshui main list, Wikisource-derived DOCX</x:v>
      </x:c>
      <x:c r="H5705" s="6" t="str"/>
      <x:c r="I5705" s="6" t="str">
        <x:v>Lu Qinli gap fill from Pingshui main list; 詞 entries ignored</x:v>
      </x:c>
      <x:c r="J5705" s="6" t="str">
        <x:f>IF(B5705="","",IF(AND(ISNUMBER(SEARCH("平",B5705)),OR(ISNUMBER(SEARCH("上",B5705)),ISNUMBER(SEARCH("去",B5705)),ISNUMBER(SEARCH("入",B5705)))),"Ambiguous",IF(ISNUMBER(SEARCH("平",B5705)),"平","仄")))</x:f>
        <x:v>平</x:v>
      </x:c>
      <x:c r="K5705" s="6" t="str">
        <x:f>IF(D5705="","",IF(AND(ISNUMBER(SEARCH("平",D5705)),OR(ISNUMBER(SEARCH("上",D5705)),ISNUMBER(SEARCH("去",D5705)),ISNUMBER(SEARCH("入",D5705)))),"Ambiguous",IF(ISNUMBER(SEARCH("平",D5705)),"平","仄")))</x:f>
        <x:v>平</x:v>
      </x:c>
      <x:c r="L5705" s="7" t="str">
        <x:v>Pingshui main list, Lu Qinli gap fill</x:v>
      </x:c>
    </x:row>
    <x:row r="5706">
      <x:c r="A5706" s="5" t="str">
        <x:v>痁</x:v>
      </x:c>
      <x:c r="B5706" s="6" t="str"/>
      <x:c r="C5706" s="6" t="str">
        <x:f>IF(B5706="","Needs decision","Ready")</x:f>
        <x:v>Needs decision</x:v>
      </x:c>
      <x:c r="D5706" s="6" t="str">
        <x:v>平/去</x:v>
      </x:c>
      <x:c r="E5706" s="6" t="str"/>
      <x:c r="F5706" s="6" t="str">
        <x:v>下平聲十四鹽; 去聲二十九豔</x:v>
      </x:c>
      <x:c r="G5706" s="6" t="str">
        <x:v>Pingshui main list, Wikisource-derived DOCX</x:v>
      </x:c>
      <x:c r="H5706" s="6" t="str"/>
      <x:c r="I5706" s="6" t="str">
        <x:v>Lu Qinli gap fill from Pingshui main list; 詞 entries ignored</x:v>
      </x:c>
      <x:c r="J5706" s="6" t="str">
        <x:f>IF(B5706="","",IF(AND(ISNUMBER(SEARCH("平",B5706)),OR(ISNUMBER(SEARCH("上",B5706)),ISNUMBER(SEARCH("去",B5706)),ISNUMBER(SEARCH("入",B5706)))),"Ambiguous",IF(ISNUMBER(SEARCH("平",B5706)),"平","仄")))</x:f>
      </x:c>
      <x:c r="K5706" s="6" t="str">
        <x:f>IF(D5706="","",IF(AND(ISNUMBER(SEARCH("平",D5706)),OR(ISNUMBER(SEARCH("上",D5706)),ISNUMBER(SEARCH("去",D5706)),ISNUMBER(SEARCH("入",D5706)))),"Ambiguous",IF(ISNUMBER(SEARCH("平",D5706)),"平","仄")))</x:f>
        <x:v>Ambiguous</x:v>
      </x:c>
      <x:c r="L5706" s="7" t="str">
        <x:v>Pingshui main list, Lu Qinli gap fill</x:v>
      </x:c>
    </x:row>
    <x:row r="5707">
      <x:c r="A5707" s="5" t="str">
        <x:v>痊</x:v>
      </x:c>
      <x:c r="B5707" s="6" t="str">
        <x:v>平</x:v>
      </x:c>
      <x:c r="C5707" s="6" t="str">
        <x:f>IF(B5707="","Needs decision","Ready")</x:f>
        <x:v>Ready</x:v>
      </x:c>
      <x:c r="D5707" s="6" t="str">
        <x:v>平</x:v>
      </x:c>
      <x:c r="E5707" s="6" t="str"/>
      <x:c r="F5707" s="6" t="str">
        <x:v>下平聲一先</x:v>
      </x:c>
      <x:c r="G5707" s="6" t="str">
        <x:v>Pingshui main list, Wikisource-derived DOCX</x:v>
      </x:c>
      <x:c r="H5707" s="6" t="str"/>
      <x:c r="I5707" s="6" t="str">
        <x:v>Lu Qinli gap fill from Pingshui main list; 詞 entries ignored</x:v>
      </x:c>
      <x:c r="J5707" s="6" t="str">
        <x:f>IF(B5707="","",IF(AND(ISNUMBER(SEARCH("平",B5707)),OR(ISNUMBER(SEARCH("上",B5707)),ISNUMBER(SEARCH("去",B5707)),ISNUMBER(SEARCH("入",B5707)))),"Ambiguous",IF(ISNUMBER(SEARCH("平",B5707)),"平","仄")))</x:f>
        <x:v>平</x:v>
      </x:c>
      <x:c r="K5707" s="6" t="str">
        <x:f>IF(D5707="","",IF(AND(ISNUMBER(SEARCH("平",D5707)),OR(ISNUMBER(SEARCH("上",D5707)),ISNUMBER(SEARCH("去",D5707)),ISNUMBER(SEARCH("入",D5707)))),"Ambiguous",IF(ISNUMBER(SEARCH("平",D5707)),"平","仄")))</x:f>
        <x:v>平</x:v>
      </x:c>
      <x:c r="L5707" s="7" t="str">
        <x:v>Pingshui main list, Lu Qinli gap fill</x:v>
      </x:c>
    </x:row>
    <x:row r="5708">
      <x:c r="A5708" s="5" t="str">
        <x:v>痏</x:v>
      </x:c>
      <x:c r="B5708" s="6" t="str">
        <x:v>上</x:v>
      </x:c>
      <x:c r="C5708" s="6" t="str">
        <x:f>IF(B5708="","Needs decision","Ready")</x:f>
        <x:v>Ready</x:v>
      </x:c>
      <x:c r="D5708" s="6" t="str">
        <x:v>上</x:v>
      </x:c>
      <x:c r="E5708" s="6" t="str"/>
      <x:c r="F5708" s="6" t="str">
        <x:v>上聲四紙</x:v>
      </x:c>
      <x:c r="G5708" s="6" t="str">
        <x:v>Pingshui main list, Wikisource-derived DOCX</x:v>
      </x:c>
      <x:c r="H5708" s="6" t="str"/>
      <x:c r="I5708" s="6" t="str">
        <x:v>Lu Qinli gap fill from Pingshui main list; 詞 entries ignored</x:v>
      </x:c>
      <x:c r="J5708" s="6" t="str">
        <x:f>IF(B5708="","",IF(AND(ISNUMBER(SEARCH("平",B5708)),OR(ISNUMBER(SEARCH("上",B5708)),ISNUMBER(SEARCH("去",B5708)),ISNUMBER(SEARCH("入",B5708)))),"Ambiguous",IF(ISNUMBER(SEARCH("平",B5708)),"平","仄")))</x:f>
        <x:v>仄</x:v>
      </x:c>
      <x:c r="K5708" s="6" t="str">
        <x:f>IF(D5708="","",IF(AND(ISNUMBER(SEARCH("平",D5708)),OR(ISNUMBER(SEARCH("上",D5708)),ISNUMBER(SEARCH("去",D5708)),ISNUMBER(SEARCH("入",D5708)))),"Ambiguous",IF(ISNUMBER(SEARCH("平",D5708)),"平","仄")))</x:f>
        <x:v>仄</x:v>
      </x:c>
      <x:c r="L5708" s="7" t="str">
        <x:v>Pingshui main list, Lu Qinli gap fill</x:v>
      </x:c>
    </x:row>
    <x:row r="5709">
      <x:c r="A5709" s="5" t="str">
        <x:v>痗</x:v>
      </x:c>
      <x:c r="B5709" s="6" t="str">
        <x:v>去</x:v>
      </x:c>
      <x:c r="C5709" s="6" t="str">
        <x:f>IF(B5709="","Needs decision","Ready")</x:f>
        <x:v>Ready</x:v>
      </x:c>
      <x:c r="D5709" s="6" t="str">
        <x:v>去</x:v>
      </x:c>
      <x:c r="E5709" s="6" t="str"/>
      <x:c r="F5709" s="6" t="str">
        <x:v>去聲十一隊</x:v>
      </x:c>
      <x:c r="G5709" s="6" t="str">
        <x:v>Pingshui main list, Wikisource-derived DOCX</x:v>
      </x:c>
      <x:c r="H5709" s="6" t="str"/>
      <x:c r="I5709" s="6" t="str">
        <x:v>Lu Qinli gap fill from Pingshui main list; 詞 entries ignored</x:v>
      </x:c>
      <x:c r="J5709" s="6" t="str">
        <x:f>IF(B5709="","",IF(AND(ISNUMBER(SEARCH("平",B5709)),OR(ISNUMBER(SEARCH("上",B5709)),ISNUMBER(SEARCH("去",B5709)),ISNUMBER(SEARCH("入",B5709)))),"Ambiguous",IF(ISNUMBER(SEARCH("平",B5709)),"平","仄")))</x:f>
        <x:v>仄</x:v>
      </x:c>
      <x:c r="K5709" s="6" t="str">
        <x:f>IF(D5709="","",IF(AND(ISNUMBER(SEARCH("平",D5709)),OR(ISNUMBER(SEARCH("上",D5709)),ISNUMBER(SEARCH("去",D5709)),ISNUMBER(SEARCH("入",D5709)))),"Ambiguous",IF(ISNUMBER(SEARCH("平",D5709)),"平","仄")))</x:f>
        <x:v>仄</x:v>
      </x:c>
      <x:c r="L5709" s="7" t="str">
        <x:v>Pingshui main list, Lu Qinli gap fill</x:v>
      </x:c>
    </x:row>
    <x:row r="5710">
      <x:c r="A5710" s="5" t="str">
        <x:v>瘠</x:v>
      </x:c>
      <x:c r="B5710" s="6" t="str">
        <x:v>入</x:v>
      </x:c>
      <x:c r="C5710" s="6" t="str">
        <x:f>IF(B5710="","Needs decision","Ready")</x:f>
        <x:v>Ready</x:v>
      </x:c>
      <x:c r="D5710" s="6" t="str">
        <x:v>入</x:v>
      </x:c>
      <x:c r="E5710" s="6" t="str"/>
      <x:c r="F5710" s="6" t="str">
        <x:v>入聲十一陌</x:v>
      </x:c>
      <x:c r="G5710" s="6" t="str">
        <x:v>Pingshui main list, Wikisource-derived DOCX</x:v>
      </x:c>
      <x:c r="H5710" s="6" t="str"/>
      <x:c r="I5710" s="6" t="str">
        <x:v>Lu Qinli gap fill from Pingshui main list; 詞 entries ignored</x:v>
      </x:c>
      <x:c r="J5710" s="6" t="str">
        <x:f>IF(B5710="","",IF(AND(ISNUMBER(SEARCH("平",B5710)),OR(ISNUMBER(SEARCH("上",B5710)),ISNUMBER(SEARCH("去",B5710)),ISNUMBER(SEARCH("入",B5710)))),"Ambiguous",IF(ISNUMBER(SEARCH("平",B5710)),"平","仄")))</x:f>
        <x:v>仄</x:v>
      </x:c>
      <x:c r="K5710" s="6" t="str">
        <x:f>IF(D5710="","",IF(AND(ISNUMBER(SEARCH("平",D5710)),OR(ISNUMBER(SEARCH("上",D5710)),ISNUMBER(SEARCH("去",D5710)),ISNUMBER(SEARCH("入",D5710)))),"Ambiguous",IF(ISNUMBER(SEARCH("平",D5710)),"平","仄")))</x:f>
        <x:v>仄</x:v>
      </x:c>
      <x:c r="L5710" s="7" t="str">
        <x:v>Pingshui main list, Lu Qinli gap fill</x:v>
      </x:c>
    </x:row>
    <x:row r="5711">
      <x:c r="A5711" s="5" t="str">
        <x:v>瘢</x:v>
      </x:c>
      <x:c r="B5711" s="6" t="str">
        <x:v>平</x:v>
      </x:c>
      <x:c r="C5711" s="6" t="str">
        <x:f>IF(B5711="","Needs decision","Ready")</x:f>
        <x:v>Ready</x:v>
      </x:c>
      <x:c r="D5711" s="6" t="str">
        <x:v>平</x:v>
      </x:c>
      <x:c r="E5711" s="6" t="str"/>
      <x:c r="F5711" s="6" t="str">
        <x:v>上平聲十四寒</x:v>
      </x:c>
      <x:c r="G5711" s="6" t="str">
        <x:v>Pingshui main list, Wikisource-derived DOCX</x:v>
      </x:c>
      <x:c r="H5711" s="6" t="str"/>
      <x:c r="I5711" s="6" t="str">
        <x:v>Lu Qinli gap fill from Pingshui main list; 詞 entries ignored</x:v>
      </x:c>
      <x:c r="J5711" s="6" t="str">
        <x:f>IF(B5711="","",IF(AND(ISNUMBER(SEARCH("平",B5711)),OR(ISNUMBER(SEARCH("上",B5711)),ISNUMBER(SEARCH("去",B5711)),ISNUMBER(SEARCH("入",B5711)))),"Ambiguous",IF(ISNUMBER(SEARCH("平",B5711)),"平","仄")))</x:f>
        <x:v>平</x:v>
      </x:c>
      <x:c r="K5711" s="6" t="str">
        <x:f>IF(D5711="","",IF(AND(ISNUMBER(SEARCH("平",D5711)),OR(ISNUMBER(SEARCH("上",D5711)),ISNUMBER(SEARCH("去",D5711)),ISNUMBER(SEARCH("入",D5711)))),"Ambiguous",IF(ISNUMBER(SEARCH("平",D5711)),"平","仄")))</x:f>
        <x:v>平</x:v>
      </x:c>
      <x:c r="L5711" s="7" t="str">
        <x:v>Pingshui main list, Lu Qinli gap fill</x:v>
      </x:c>
    </x:row>
    <x:row r="5712">
      <x:c r="A5712" s="5" t="str">
        <x:v>瘤</x:v>
      </x:c>
      <x:c r="B5712" s="6" t="str"/>
      <x:c r="C5712" s="6" t="str">
        <x:f>IF(B5712="","Needs decision","Ready")</x:f>
        <x:v>Needs decision</x:v>
      </x:c>
      <x:c r="D5712" s="6" t="str">
        <x:v>平/去</x:v>
      </x:c>
      <x:c r="E5712" s="6" t="str"/>
      <x:c r="F5712" s="6" t="str">
        <x:v>下平聲十一尤; 去聲二十六宥</x:v>
      </x:c>
      <x:c r="G5712" s="6" t="str">
        <x:v>Pingshui main list, Wikisource-derived DOCX</x:v>
      </x:c>
      <x:c r="H5712" s="6" t="str"/>
      <x:c r="I5712" s="6" t="str">
        <x:v>Lu Qinli gap fill from Pingshui main list; 詞 entries ignored</x:v>
      </x:c>
      <x:c r="J5712" s="6" t="str">
        <x:f>IF(B5712="","",IF(AND(ISNUMBER(SEARCH("平",B5712)),OR(ISNUMBER(SEARCH("上",B5712)),ISNUMBER(SEARCH("去",B5712)),ISNUMBER(SEARCH("入",B5712)))),"Ambiguous",IF(ISNUMBER(SEARCH("平",B5712)),"平","仄")))</x:f>
      </x:c>
      <x:c r="K5712" s="6" t="str">
        <x:f>IF(D5712="","",IF(AND(ISNUMBER(SEARCH("平",D5712)),OR(ISNUMBER(SEARCH("上",D5712)),ISNUMBER(SEARCH("去",D5712)),ISNUMBER(SEARCH("入",D5712)))),"Ambiguous",IF(ISNUMBER(SEARCH("平",D5712)),"平","仄")))</x:f>
        <x:v>Ambiguous</x:v>
      </x:c>
      <x:c r="L5712" s="7" t="str">
        <x:v>Pingshui main list, Lu Qinli gap fill</x:v>
      </x:c>
    </x:row>
    <x:row r="5713">
      <x:c r="A5713" s="5" t="str">
        <x:v>瘼</x:v>
      </x:c>
      <x:c r="B5713" s="6" t="str">
        <x:v>入</x:v>
      </x:c>
      <x:c r="C5713" s="6" t="str">
        <x:f>IF(B5713="","Needs decision","Ready")</x:f>
        <x:v>Ready</x:v>
      </x:c>
      <x:c r="D5713" s="6" t="str">
        <x:v>入</x:v>
      </x:c>
      <x:c r="E5713" s="6" t="str"/>
      <x:c r="F5713" s="6" t="str">
        <x:v>入聲十藥</x:v>
      </x:c>
      <x:c r="G5713" s="6" t="str">
        <x:v>Pingshui main list, Wikisource-derived DOCX</x:v>
      </x:c>
      <x:c r="H5713" s="6" t="str"/>
      <x:c r="I5713" s="6" t="str">
        <x:v>Lu Qinli gap fill from Pingshui main list; 詞 entries ignored</x:v>
      </x:c>
      <x:c r="J5713" s="6" t="str">
        <x:f>IF(B5713="","",IF(AND(ISNUMBER(SEARCH("平",B5713)),OR(ISNUMBER(SEARCH("上",B5713)),ISNUMBER(SEARCH("去",B5713)),ISNUMBER(SEARCH("入",B5713)))),"Ambiguous",IF(ISNUMBER(SEARCH("平",B5713)),"平","仄")))</x:f>
        <x:v>仄</x:v>
      </x:c>
      <x:c r="K5713" s="6" t="str">
        <x:f>IF(D5713="","",IF(AND(ISNUMBER(SEARCH("平",D5713)),OR(ISNUMBER(SEARCH("上",D5713)),ISNUMBER(SEARCH("去",D5713)),ISNUMBER(SEARCH("入",D5713)))),"Ambiguous",IF(ISNUMBER(SEARCH("平",D5713)),"平","仄")))</x:f>
        <x:v>仄</x:v>
      </x:c>
      <x:c r="L5713" s="7" t="str">
        <x:v>Pingshui main list, Lu Qinli gap fill</x:v>
      </x:c>
    </x:row>
    <x:row r="5714">
      <x:c r="A5714" s="5" t="str">
        <x:v>療</x:v>
      </x:c>
      <x:c r="B5714" s="6" t="str">
        <x:v>去</x:v>
      </x:c>
      <x:c r="C5714" s="6" t="str">
        <x:f>IF(B5714="","Needs decision","Ready")</x:f>
        <x:v>Ready</x:v>
      </x:c>
      <x:c r="D5714" s="6" t="str">
        <x:v>去</x:v>
      </x:c>
      <x:c r="E5714" s="6" t="str"/>
      <x:c r="F5714" s="6" t="str">
        <x:v>去聲十八嘯</x:v>
      </x:c>
      <x:c r="G5714" s="6" t="str">
        <x:v>Pingshui main list, Wikisource-derived DOCX</x:v>
      </x:c>
      <x:c r="H5714" s="6" t="str"/>
      <x:c r="I5714" s="6" t="str">
        <x:v>Lu Qinli gap fill from Pingshui main list; 詞 entries ignored</x:v>
      </x:c>
      <x:c r="J5714" s="6" t="str">
        <x:f>IF(B5714="","",IF(AND(ISNUMBER(SEARCH("平",B5714)),OR(ISNUMBER(SEARCH("上",B5714)),ISNUMBER(SEARCH("去",B5714)),ISNUMBER(SEARCH("入",B5714)))),"Ambiguous",IF(ISNUMBER(SEARCH("平",B5714)),"平","仄")))</x:f>
        <x:v>仄</x:v>
      </x:c>
      <x:c r="K5714" s="6" t="str">
        <x:f>IF(D5714="","",IF(AND(ISNUMBER(SEARCH("平",D5714)),OR(ISNUMBER(SEARCH("上",D5714)),ISNUMBER(SEARCH("去",D5714)),ISNUMBER(SEARCH("入",D5714)))),"Ambiguous",IF(ISNUMBER(SEARCH("平",D5714)),"平","仄")))</x:f>
        <x:v>仄</x:v>
      </x:c>
      <x:c r="L5714" s="7" t="str">
        <x:v>Pingshui main list, Lu Qinli gap fill</x:v>
      </x:c>
    </x:row>
    <x:row r="5715">
      <x:c r="A5715" s="5" t="str">
        <x:v>癡</x:v>
      </x:c>
      <x:c r="B5715" s="6" t="str">
        <x:v>平</x:v>
      </x:c>
      <x:c r="C5715" s="6" t="str">
        <x:f>IF(B5715="","Needs decision","Ready")</x:f>
        <x:v>Ready</x:v>
      </x:c>
      <x:c r="D5715" s="6" t="str">
        <x:v>平</x:v>
      </x:c>
      <x:c r="E5715" s="6" t="str"/>
      <x:c r="F5715" s="6" t="str">
        <x:v>上平聲四支</x:v>
      </x:c>
      <x:c r="G5715" s="6" t="str">
        <x:v>Pingshui main list, Wikisource-derived DOCX</x:v>
      </x:c>
      <x:c r="H5715" s="6" t="str"/>
      <x:c r="I5715" s="6" t="str">
        <x:v>Lu Qinli gap fill from Pingshui main list; 詞 entries ignored</x:v>
      </x:c>
      <x:c r="J5715" s="6" t="str">
        <x:f>IF(B5715="","",IF(AND(ISNUMBER(SEARCH("平",B5715)),OR(ISNUMBER(SEARCH("上",B5715)),ISNUMBER(SEARCH("去",B5715)),ISNUMBER(SEARCH("入",B5715)))),"Ambiguous",IF(ISNUMBER(SEARCH("平",B5715)),"平","仄")))</x:f>
        <x:v>平</x:v>
      </x:c>
      <x:c r="K5715" s="6" t="str">
        <x:f>IF(D5715="","",IF(AND(ISNUMBER(SEARCH("平",D5715)),OR(ISNUMBER(SEARCH("上",D5715)),ISNUMBER(SEARCH("去",D5715)),ISNUMBER(SEARCH("入",D5715)))),"Ambiguous",IF(ISNUMBER(SEARCH("平",D5715)),"平","仄")))</x:f>
        <x:v>平</x:v>
      </x:c>
      <x:c r="L5715" s="7" t="str">
        <x:v>Pingshui main list, Lu Qinli gap fill</x:v>
      </x:c>
    </x:row>
    <x:row r="5716">
      <x:c r="A5716" s="5" t="str">
        <x:v>癭</x:v>
      </x:c>
      <x:c r="B5716" s="6" t="str">
        <x:v>上</x:v>
      </x:c>
      <x:c r="C5716" s="6" t="str">
        <x:f>IF(B5716="","Needs decision","Ready")</x:f>
        <x:v>Ready</x:v>
      </x:c>
      <x:c r="D5716" s="6" t="str">
        <x:v>上</x:v>
      </x:c>
      <x:c r="E5716" s="6" t="str"/>
      <x:c r="F5716" s="6" t="str">
        <x:v>上聲二十三梗</x:v>
      </x:c>
      <x:c r="G5716" s="6" t="str">
        <x:v>Pingshui main list, Wikisource-derived DOCX</x:v>
      </x:c>
      <x:c r="H5716" s="6" t="str"/>
      <x:c r="I5716" s="6" t="str">
        <x:v>Lu Qinli gap fill from Pingshui main list; 詞 entries ignored</x:v>
      </x:c>
      <x:c r="J5716" s="6" t="str">
        <x:f>IF(B5716="","",IF(AND(ISNUMBER(SEARCH("平",B5716)),OR(ISNUMBER(SEARCH("上",B5716)),ISNUMBER(SEARCH("去",B5716)),ISNUMBER(SEARCH("入",B5716)))),"Ambiguous",IF(ISNUMBER(SEARCH("平",B5716)),"平","仄")))</x:f>
        <x:v>仄</x:v>
      </x:c>
      <x:c r="K5716" s="6" t="str">
        <x:f>IF(D5716="","",IF(AND(ISNUMBER(SEARCH("平",D5716)),OR(ISNUMBER(SEARCH("上",D5716)),ISNUMBER(SEARCH("去",D5716)),ISNUMBER(SEARCH("入",D5716)))),"Ambiguous",IF(ISNUMBER(SEARCH("平",D5716)),"平","仄")))</x:f>
        <x:v>仄</x:v>
      </x:c>
      <x:c r="L5716" s="7" t="str">
        <x:v>Pingshui main list, Lu Qinli gap fill</x:v>
      </x:c>
    </x:row>
    <x:row r="5717">
      <x:c r="A5717" s="5" t="str">
        <x:v>皓</x:v>
      </x:c>
      <x:c r="B5717" s="6" t="str">
        <x:v>上</x:v>
      </x:c>
      <x:c r="C5717" s="6" t="str">
        <x:f>IF(B5717="","Needs decision","Ready")</x:f>
        <x:v>Ready</x:v>
      </x:c>
      <x:c r="D5717" s="6" t="str">
        <x:v>上</x:v>
      </x:c>
      <x:c r="E5717" s="6" t="str"/>
      <x:c r="F5717" s="6" t="str">
        <x:v>上聲十九皓</x:v>
      </x:c>
      <x:c r="G5717" s="6" t="str">
        <x:v>Pingshui main list, Wikisource-derived DOCX</x:v>
      </x:c>
      <x:c r="H5717" s="6" t="str"/>
      <x:c r="I5717" s="6" t="str">
        <x:v>Lu Qinli gap fill from Pingshui main list; 詞 entries ignored</x:v>
      </x:c>
      <x:c r="J5717" s="6" t="str">
        <x:f>IF(B5717="","",IF(AND(ISNUMBER(SEARCH("平",B5717)),OR(ISNUMBER(SEARCH("上",B5717)),ISNUMBER(SEARCH("去",B5717)),ISNUMBER(SEARCH("入",B5717)))),"Ambiguous",IF(ISNUMBER(SEARCH("平",B5717)),"平","仄")))</x:f>
        <x:v>仄</x:v>
      </x:c>
      <x:c r="K5717" s="6" t="str">
        <x:f>IF(D5717="","",IF(AND(ISNUMBER(SEARCH("平",D5717)),OR(ISNUMBER(SEARCH("上",D5717)),ISNUMBER(SEARCH("去",D5717)),ISNUMBER(SEARCH("入",D5717)))),"Ambiguous",IF(ISNUMBER(SEARCH("平",D5717)),"平","仄")))</x:f>
        <x:v>仄</x:v>
      </x:c>
      <x:c r="L5717" s="7" t="str">
        <x:v>Pingshui main list, Lu Qinli gap fill</x:v>
      </x:c>
    </x:row>
    <x:row r="5718">
      <x:c r="A5718" s="5" t="str">
        <x:v>皚</x:v>
      </x:c>
      <x:c r="B5718" s="6" t="str">
        <x:v>平</x:v>
      </x:c>
      <x:c r="C5718" s="6" t="str">
        <x:f>IF(B5718="","Needs decision","Ready")</x:f>
        <x:v>Ready</x:v>
      </x:c>
      <x:c r="D5718" s="6" t="str">
        <x:v>平</x:v>
      </x:c>
      <x:c r="E5718" s="6" t="str"/>
      <x:c r="F5718" s="6" t="str">
        <x:v>上平聲十灰</x:v>
      </x:c>
      <x:c r="G5718" s="6" t="str">
        <x:v>Pingshui main list, Wikisource-derived DOCX</x:v>
      </x:c>
      <x:c r="H5718" s="6" t="str"/>
      <x:c r="I5718" s="6" t="str">
        <x:v>Lu Qinli gap fill from Pingshui main list; 詞 entries ignored</x:v>
      </x:c>
      <x:c r="J5718" s="6" t="str">
        <x:f>IF(B5718="","",IF(AND(ISNUMBER(SEARCH("平",B5718)),OR(ISNUMBER(SEARCH("上",B5718)),ISNUMBER(SEARCH("去",B5718)),ISNUMBER(SEARCH("入",B5718)))),"Ambiguous",IF(ISNUMBER(SEARCH("平",B5718)),"平","仄")))</x:f>
        <x:v>平</x:v>
      </x:c>
      <x:c r="K5718" s="6" t="str">
        <x:f>IF(D5718="","",IF(AND(ISNUMBER(SEARCH("平",D5718)),OR(ISNUMBER(SEARCH("上",D5718)),ISNUMBER(SEARCH("去",D5718)),ISNUMBER(SEARCH("入",D5718)))),"Ambiguous",IF(ISNUMBER(SEARCH("平",D5718)),"平","仄")))</x:f>
        <x:v>平</x:v>
      </x:c>
      <x:c r="L5718" s="7" t="str">
        <x:v>Pingshui main list, Lu Qinli gap fill</x:v>
      </x:c>
    </x:row>
    <x:row r="5719">
      <x:c r="A5719" s="5" t="str">
        <x:v>皛</x:v>
      </x:c>
      <x:c r="B5719" s="6" t="str">
        <x:v>上</x:v>
      </x:c>
      <x:c r="C5719" s="6" t="str">
        <x:f>IF(B5719="","Needs decision","Ready")</x:f>
        <x:v>Ready</x:v>
      </x:c>
      <x:c r="D5719" s="6" t="str">
        <x:v>上</x:v>
      </x:c>
      <x:c r="E5719" s="6" t="str"/>
      <x:c r="F5719" s="6" t="str">
        <x:v>上聲十七篠</x:v>
      </x:c>
      <x:c r="G5719" s="6" t="str">
        <x:v>Pingshui main list, Wikisource-derived DOCX</x:v>
      </x:c>
      <x:c r="H5719" s="6" t="str"/>
      <x:c r="I5719" s="6" t="str">
        <x:v>Lu Qinli gap fill from Pingshui main list; 詞 entries ignored</x:v>
      </x:c>
      <x:c r="J5719" s="6" t="str">
        <x:f>IF(B5719="","",IF(AND(ISNUMBER(SEARCH("平",B5719)),OR(ISNUMBER(SEARCH("上",B5719)),ISNUMBER(SEARCH("去",B5719)),ISNUMBER(SEARCH("入",B5719)))),"Ambiguous",IF(ISNUMBER(SEARCH("平",B5719)),"平","仄")))</x:f>
        <x:v>仄</x:v>
      </x:c>
      <x:c r="K5719" s="6" t="str">
        <x:f>IF(D5719="","",IF(AND(ISNUMBER(SEARCH("平",D5719)),OR(ISNUMBER(SEARCH("上",D5719)),ISNUMBER(SEARCH("去",D5719)),ISNUMBER(SEARCH("入",D5719)))),"Ambiguous",IF(ISNUMBER(SEARCH("平",D5719)),"平","仄")))</x:f>
        <x:v>仄</x:v>
      </x:c>
      <x:c r="L5719" s="7" t="str">
        <x:v>Pingshui main list, Lu Qinli gap fill</x:v>
      </x:c>
    </x:row>
    <x:row r="5720">
      <x:c r="A5720" s="5" t="str">
        <x:v>皞</x:v>
      </x:c>
      <x:c r="B5720" s="6" t="str">
        <x:v>上</x:v>
      </x:c>
      <x:c r="C5720" s="6" t="str">
        <x:f>IF(B5720="","Needs decision","Ready")</x:f>
        <x:v>Ready</x:v>
      </x:c>
      <x:c r="D5720" s="6" t="str">
        <x:v>上</x:v>
      </x:c>
      <x:c r="E5720" s="6" t="str"/>
      <x:c r="F5720" s="6" t="str">
        <x:v>上聲十九皓</x:v>
      </x:c>
      <x:c r="G5720" s="6" t="str">
        <x:v>Pingshui main list, Wikisource-derived DOCX</x:v>
      </x:c>
      <x:c r="H5720" s="6" t="str"/>
      <x:c r="I5720" s="6" t="str">
        <x:v>Lu Qinli gap fill from Pingshui main list; 詞 entries ignored</x:v>
      </x:c>
      <x:c r="J5720" s="6" t="str">
        <x:f>IF(B5720="","",IF(AND(ISNUMBER(SEARCH("平",B5720)),OR(ISNUMBER(SEARCH("上",B5720)),ISNUMBER(SEARCH("去",B5720)),ISNUMBER(SEARCH("入",B5720)))),"Ambiguous",IF(ISNUMBER(SEARCH("平",B5720)),"平","仄")))</x:f>
        <x:v>仄</x:v>
      </x:c>
      <x:c r="K5720" s="6" t="str">
        <x:f>IF(D5720="","",IF(AND(ISNUMBER(SEARCH("平",D5720)),OR(ISNUMBER(SEARCH("上",D5720)),ISNUMBER(SEARCH("去",D5720)),ISNUMBER(SEARCH("入",D5720)))),"Ambiguous",IF(ISNUMBER(SEARCH("平",D5720)),"平","仄")))</x:f>
        <x:v>仄</x:v>
      </x:c>
      <x:c r="L5720" s="7" t="str">
        <x:v>Pingshui main list, Lu Qinli gap fill</x:v>
      </x:c>
    </x:row>
    <x:row r="5721">
      <x:c r="A5721" s="5" t="str">
        <x:v>皦</x:v>
      </x:c>
      <x:c r="B5721" s="6" t="str">
        <x:v>上</x:v>
      </x:c>
      <x:c r="C5721" s="6" t="str">
        <x:f>IF(B5721="","Needs decision","Ready")</x:f>
        <x:v>Ready</x:v>
      </x:c>
      <x:c r="D5721" s="6" t="str">
        <x:v>上</x:v>
      </x:c>
      <x:c r="E5721" s="6" t="str"/>
      <x:c r="F5721" s="6" t="str">
        <x:v>上聲十七篠</x:v>
      </x:c>
      <x:c r="G5721" s="6" t="str">
        <x:v>Pingshui main list, Wikisource-derived DOCX</x:v>
      </x:c>
      <x:c r="H5721" s="6" t="str"/>
      <x:c r="I5721" s="6" t="str">
        <x:v>Lu Qinli gap fill from Pingshui main list; 詞 entries ignored</x:v>
      </x:c>
      <x:c r="J5721" s="6" t="str">
        <x:f>IF(B5721="","",IF(AND(ISNUMBER(SEARCH("平",B5721)),OR(ISNUMBER(SEARCH("上",B5721)),ISNUMBER(SEARCH("去",B5721)),ISNUMBER(SEARCH("入",B5721)))),"Ambiguous",IF(ISNUMBER(SEARCH("平",B5721)),"平","仄")))</x:f>
        <x:v>仄</x:v>
      </x:c>
      <x:c r="K5721" s="6" t="str">
        <x:f>IF(D5721="","",IF(AND(ISNUMBER(SEARCH("平",D5721)),OR(ISNUMBER(SEARCH("上",D5721)),ISNUMBER(SEARCH("去",D5721)),ISNUMBER(SEARCH("入",D5721)))),"Ambiguous",IF(ISNUMBER(SEARCH("平",D5721)),"平","仄")))</x:f>
        <x:v>仄</x:v>
      </x:c>
      <x:c r="L5721" s="7" t="str">
        <x:v>Pingshui main list, Lu Qinli gap fill</x:v>
      </x:c>
    </x:row>
    <x:row r="5722">
      <x:c r="A5722" s="5" t="str">
        <x:v>皪</x:v>
      </x:c>
      <x:c r="B5722" s="6" t="str">
        <x:v>入</x:v>
      </x:c>
      <x:c r="C5722" s="6" t="str">
        <x:f>IF(B5722="","Needs decision","Ready")</x:f>
        <x:v>Ready</x:v>
      </x:c>
      <x:c r="D5722" s="6" t="str">
        <x:v>入</x:v>
      </x:c>
      <x:c r="E5722" s="6" t="str"/>
      <x:c r="F5722" s="6" t="str">
        <x:v>入聲十二錫</x:v>
      </x:c>
      <x:c r="G5722" s="6" t="str">
        <x:v>Pingshui main list, Wikisource-derived DOCX</x:v>
      </x:c>
      <x:c r="H5722" s="6" t="str"/>
      <x:c r="I5722" s="6" t="str">
        <x:v>Lu Qinli gap fill from Pingshui main list; 詞 entries ignored</x:v>
      </x:c>
      <x:c r="J5722" s="6" t="str">
        <x:f>IF(B5722="","",IF(AND(ISNUMBER(SEARCH("平",B5722)),OR(ISNUMBER(SEARCH("上",B5722)),ISNUMBER(SEARCH("去",B5722)),ISNUMBER(SEARCH("入",B5722)))),"Ambiguous",IF(ISNUMBER(SEARCH("平",B5722)),"平","仄")))</x:f>
        <x:v>仄</x:v>
      </x:c>
      <x:c r="K5722" s="6" t="str">
        <x:f>IF(D5722="","",IF(AND(ISNUMBER(SEARCH("平",D5722)),OR(ISNUMBER(SEARCH("上",D5722)),ISNUMBER(SEARCH("去",D5722)),ISNUMBER(SEARCH("入",D5722)))),"Ambiguous",IF(ISNUMBER(SEARCH("平",D5722)),"平","仄")))</x:f>
        <x:v>仄</x:v>
      </x:c>
      <x:c r="L5722" s="7" t="str">
        <x:v>Pingshui main list, Lu Qinli gap fill</x:v>
      </x:c>
    </x:row>
    <x:row r="5723">
      <x:c r="A5723" s="5" t="str">
        <x:v>盎</x:v>
      </x:c>
      <x:c r="B5723" s="6" t="str"/>
      <x:c r="C5723" s="6" t="str">
        <x:f>IF(B5723="","Needs decision","Ready")</x:f>
        <x:v>Needs decision</x:v>
      </x:c>
      <x:c r="D5723" s="6" t="str">
        <x:v>上/去</x:v>
      </x:c>
      <x:c r="E5723" s="6" t="str"/>
      <x:c r="F5723" s="6" t="str">
        <x:v>上聲二十二養; 去聲二十三漾</x:v>
      </x:c>
      <x:c r="G5723" s="6" t="str">
        <x:v>Pingshui main list, Wikisource-derived DOCX</x:v>
      </x:c>
      <x:c r="H5723" s="6" t="str"/>
      <x:c r="I5723" s="6" t="str">
        <x:v>Lu Qinli gap fill from Pingshui main list; 詞 entries ignored</x:v>
      </x:c>
      <x:c r="J5723" s="6" t="str">
        <x:f>IF(B5723="","",IF(AND(ISNUMBER(SEARCH("平",B5723)),OR(ISNUMBER(SEARCH("上",B5723)),ISNUMBER(SEARCH("去",B5723)),ISNUMBER(SEARCH("入",B5723)))),"Ambiguous",IF(ISNUMBER(SEARCH("平",B5723)),"平","仄")))</x:f>
      </x:c>
      <x:c r="K5723" s="6" t="str">
        <x:f>IF(D5723="","",IF(AND(ISNUMBER(SEARCH("平",D5723)),OR(ISNUMBER(SEARCH("上",D5723)),ISNUMBER(SEARCH("去",D5723)),ISNUMBER(SEARCH("入",D5723)))),"Ambiguous",IF(ISNUMBER(SEARCH("平",D5723)),"平","仄")))</x:f>
        <x:v>仄</x:v>
      </x:c>
      <x:c r="L5723" s="7" t="str">
        <x:v>Pingshui main list, Lu Qinli gap fill</x:v>
      </x:c>
    </x:row>
    <x:row r="5724">
      <x:c r="A5724" s="5" t="str">
        <x:v>盥</x:v>
      </x:c>
      <x:c r="B5724" s="6" t="str"/>
      <x:c r="C5724" s="6" t="str">
        <x:f>IF(B5724="","Needs decision","Ready")</x:f>
        <x:v>Needs decision</x:v>
      </x:c>
      <x:c r="D5724" s="6" t="str">
        <x:v>上/去</x:v>
      </x:c>
      <x:c r="E5724" s="6" t="str"/>
      <x:c r="F5724" s="6" t="str">
        <x:v>上聲十四旱; 去聲十五翰</x:v>
      </x:c>
      <x:c r="G5724" s="6" t="str">
        <x:v>Pingshui main list, Wikisource-derived DOCX</x:v>
      </x:c>
      <x:c r="H5724" s="6" t="str"/>
      <x:c r="I5724" s="6" t="str">
        <x:v>Lu Qinli gap fill from Pingshui main list; 詞 entries ignored</x:v>
      </x:c>
      <x:c r="J5724" s="6" t="str">
        <x:f>IF(B5724="","",IF(AND(ISNUMBER(SEARCH("平",B5724)),OR(ISNUMBER(SEARCH("上",B5724)),ISNUMBER(SEARCH("去",B5724)),ISNUMBER(SEARCH("入",B5724)))),"Ambiguous",IF(ISNUMBER(SEARCH("平",B5724)),"平","仄")))</x:f>
      </x:c>
      <x:c r="K5724" s="6" t="str">
        <x:f>IF(D5724="","",IF(AND(ISNUMBER(SEARCH("平",D5724)),OR(ISNUMBER(SEARCH("上",D5724)),ISNUMBER(SEARCH("去",D5724)),ISNUMBER(SEARCH("入",D5724)))),"Ambiguous",IF(ISNUMBER(SEARCH("平",D5724)),"平","仄")))</x:f>
        <x:v>仄</x:v>
      </x:c>
      <x:c r="L5724" s="7" t="str">
        <x:v>Pingshui main list, Lu Qinli gap fill</x:v>
      </x:c>
    </x:row>
    <x:row r="5725">
      <x:c r="A5725" s="5" t="str">
        <x:v>盼</x:v>
      </x:c>
      <x:c r="B5725" s="6" t="str">
        <x:v>去</x:v>
      </x:c>
      <x:c r="C5725" s="6" t="str">
        <x:f>IF(B5725="","Needs decision","Ready")</x:f>
        <x:v>Ready</x:v>
      </x:c>
      <x:c r="D5725" s="6" t="str">
        <x:v>去</x:v>
      </x:c>
      <x:c r="E5725" s="6" t="str"/>
      <x:c r="F5725" s="6" t="str">
        <x:v>去聲十六諫</x:v>
      </x:c>
      <x:c r="G5725" s="6" t="str">
        <x:v>Pingshui main list, Wikisource-derived DOCX</x:v>
      </x:c>
      <x:c r="H5725" s="6" t="str"/>
      <x:c r="I5725" s="6" t="str">
        <x:v>Lu Qinli gap fill from Pingshui main list; 詞 entries ignored</x:v>
      </x:c>
      <x:c r="J5725" s="6" t="str">
        <x:f>IF(B5725="","",IF(AND(ISNUMBER(SEARCH("平",B5725)),OR(ISNUMBER(SEARCH("上",B5725)),ISNUMBER(SEARCH("去",B5725)),ISNUMBER(SEARCH("入",B5725)))),"Ambiguous",IF(ISNUMBER(SEARCH("平",B5725)),"平","仄")))</x:f>
        <x:v>仄</x:v>
      </x:c>
      <x:c r="K5725" s="6" t="str">
        <x:f>IF(D5725="","",IF(AND(ISNUMBER(SEARCH("平",D5725)),OR(ISNUMBER(SEARCH("上",D5725)),ISNUMBER(SEARCH("去",D5725)),ISNUMBER(SEARCH("入",D5725)))),"Ambiguous",IF(ISNUMBER(SEARCH("平",D5725)),"平","仄")))</x:f>
        <x:v>仄</x:v>
      </x:c>
      <x:c r="L5725" s="7" t="str">
        <x:v>Pingshui main list, Lu Qinli gap fill</x:v>
      </x:c>
    </x:row>
    <x:row r="5726">
      <x:c r="A5726" s="5" t="str">
        <x:v>眈</x:v>
      </x:c>
      <x:c r="B5726" s="6" t="str"/>
      <x:c r="C5726" s="6" t="str">
        <x:f>IF(B5726="","Needs decision","Ready")</x:f>
        <x:v>Needs decision</x:v>
      </x:c>
      <x:c r="D5726" s="6" t="str">
        <x:v>平/上</x:v>
      </x:c>
      <x:c r="E5726" s="6" t="str"/>
      <x:c r="F5726" s="6" t="str">
        <x:v>下平聲十三覃; 上聲二十七感</x:v>
      </x:c>
      <x:c r="G5726" s="6" t="str">
        <x:v>Pingshui main list, Wikisource-derived DOCX</x:v>
      </x:c>
      <x:c r="H5726" s="6" t="str"/>
      <x:c r="I5726" s="6" t="str">
        <x:v>Lu Qinli gap fill from Pingshui main list; 詞 entries ignored</x:v>
      </x:c>
      <x:c r="J5726" s="6" t="str">
        <x:f>IF(B5726="","",IF(AND(ISNUMBER(SEARCH("平",B5726)),OR(ISNUMBER(SEARCH("上",B5726)),ISNUMBER(SEARCH("去",B5726)),ISNUMBER(SEARCH("入",B5726)))),"Ambiguous",IF(ISNUMBER(SEARCH("平",B5726)),"平","仄")))</x:f>
      </x:c>
      <x:c r="K5726" s="6" t="str">
        <x:f>IF(D5726="","",IF(AND(ISNUMBER(SEARCH("平",D5726)),OR(ISNUMBER(SEARCH("上",D5726)),ISNUMBER(SEARCH("去",D5726)),ISNUMBER(SEARCH("入",D5726)))),"Ambiguous",IF(ISNUMBER(SEARCH("平",D5726)),"平","仄")))</x:f>
        <x:v>Ambiguous</x:v>
      </x:c>
      <x:c r="L5726" s="7" t="str">
        <x:v>Pingshui main list, Lu Qinli gap fill</x:v>
      </x:c>
    </x:row>
    <x:row r="5727">
      <x:c r="A5727" s="5" t="str">
        <x:v>眊</x:v>
      </x:c>
      <x:c r="B5727" s="6" t="str"/>
      <x:c r="C5727" s="6" t="str">
        <x:f>IF(B5727="","Needs decision","Ready")</x:f>
        <x:v>Needs decision</x:v>
      </x:c>
      <x:c r="D5727" s="6" t="str">
        <x:v>去/入</x:v>
      </x:c>
      <x:c r="E5727" s="6" t="str"/>
      <x:c r="F5727" s="6" t="str">
        <x:v>去聲四寘; 去聲二十號; 入聲三覺</x:v>
      </x:c>
      <x:c r="G5727" s="6" t="str">
        <x:v>Pingshui main list, Wikisource-derived DOCX</x:v>
      </x:c>
      <x:c r="H5727" s="6" t="str"/>
      <x:c r="I5727" s="6" t="str">
        <x:v>Lu Qinli gap fill from Pingshui main list; 詞 entries ignored</x:v>
      </x:c>
      <x:c r="J5727" s="6" t="str">
        <x:f>IF(B5727="","",IF(AND(ISNUMBER(SEARCH("平",B5727)),OR(ISNUMBER(SEARCH("上",B5727)),ISNUMBER(SEARCH("去",B5727)),ISNUMBER(SEARCH("入",B5727)))),"Ambiguous",IF(ISNUMBER(SEARCH("平",B5727)),"平","仄")))</x:f>
      </x:c>
      <x:c r="K5727" s="6" t="str">
        <x:f>IF(D5727="","",IF(AND(ISNUMBER(SEARCH("平",D5727)),OR(ISNUMBER(SEARCH("上",D5727)),ISNUMBER(SEARCH("去",D5727)),ISNUMBER(SEARCH("入",D5727)))),"Ambiguous",IF(ISNUMBER(SEARCH("平",D5727)),"平","仄")))</x:f>
        <x:v>仄</x:v>
      </x:c>
      <x:c r="L5727" s="7" t="str">
        <x:v>Pingshui main list, Lu Qinli gap fill</x:v>
      </x:c>
    </x:row>
    <x:row r="5728">
      <x:c r="A5728" s="5" t="str">
        <x:v>眑</x:v>
      </x:c>
      <x:c r="B5728" s="6" t="str">
        <x:v>上</x:v>
      </x:c>
      <x:c r="C5728" s="6" t="str">
        <x:f>IF(B5728="","Needs decision","Ready")</x:f>
        <x:v>Ready</x:v>
      </x:c>
      <x:c r="D5728" s="6" t="str">
        <x:v>上</x:v>
      </x:c>
      <x:c r="E5728" s="6" t="str"/>
      <x:c r="F5728" s="6" t="str">
        <x:v>上聲二十五有</x:v>
      </x:c>
      <x:c r="G5728" s="6" t="str">
        <x:v>Pingshui main list, Wikisource-derived DOCX</x:v>
      </x:c>
      <x:c r="H5728" s="6" t="str"/>
      <x:c r="I5728" s="6" t="str">
        <x:v>Lu Qinli gap fill from Pingshui main list; 詞 entries ignored</x:v>
      </x:c>
      <x:c r="J5728" s="6" t="str">
        <x:f>IF(B5728="","",IF(AND(ISNUMBER(SEARCH("平",B5728)),OR(ISNUMBER(SEARCH("上",B5728)),ISNUMBER(SEARCH("去",B5728)),ISNUMBER(SEARCH("入",B5728)))),"Ambiguous",IF(ISNUMBER(SEARCH("平",B5728)),"平","仄")))</x:f>
        <x:v>仄</x:v>
      </x:c>
      <x:c r="K5728" s="6" t="str">
        <x:f>IF(D5728="","",IF(AND(ISNUMBER(SEARCH("平",D5728)),OR(ISNUMBER(SEARCH("上",D5728)),ISNUMBER(SEARCH("去",D5728)),ISNUMBER(SEARCH("入",D5728)))),"Ambiguous",IF(ISNUMBER(SEARCH("平",D5728)),"平","仄")))</x:f>
        <x:v>仄</x:v>
      </x:c>
      <x:c r="L5728" s="7" t="str">
        <x:v>Pingshui main list, Lu Qinli gap fill</x:v>
      </x:c>
    </x:row>
    <x:row r="5729">
      <x:c r="A5729" s="5" t="str">
        <x:v>眙</x:v>
      </x:c>
      <x:c r="B5729" s="6" t="str">
        <x:v>去</x:v>
      </x:c>
      <x:c r="C5729" s="6" t="str">
        <x:f>IF(B5729="","Needs decision","Ready")</x:f>
        <x:v>Ready</x:v>
      </x:c>
      <x:c r="D5729" s="6" t="str">
        <x:v>去</x:v>
      </x:c>
      <x:c r="E5729" s="6" t="str"/>
      <x:c r="F5729" s="6" t="str">
        <x:v>去聲四寘</x:v>
      </x:c>
      <x:c r="G5729" s="6" t="str">
        <x:v>Pingshui main list, Wikisource-derived DOCX</x:v>
      </x:c>
      <x:c r="H5729" s="6" t="str"/>
      <x:c r="I5729" s="6" t="str">
        <x:v>Lu Qinli gap fill from Pingshui main list; 詞 entries ignored</x:v>
      </x:c>
      <x:c r="J5729" s="6" t="str">
        <x:f>IF(B5729="","",IF(AND(ISNUMBER(SEARCH("平",B5729)),OR(ISNUMBER(SEARCH("上",B5729)),ISNUMBER(SEARCH("去",B5729)),ISNUMBER(SEARCH("入",B5729)))),"Ambiguous",IF(ISNUMBER(SEARCH("平",B5729)),"平","仄")))</x:f>
        <x:v>仄</x:v>
      </x:c>
      <x:c r="K5729" s="6" t="str">
        <x:f>IF(D5729="","",IF(AND(ISNUMBER(SEARCH("平",D5729)),OR(ISNUMBER(SEARCH("上",D5729)),ISNUMBER(SEARCH("去",D5729)),ISNUMBER(SEARCH("入",D5729)))),"Ambiguous",IF(ISNUMBER(SEARCH("平",D5729)),"平","仄")))</x:f>
        <x:v>仄</x:v>
      </x:c>
      <x:c r="L5729" s="7" t="str">
        <x:v>Pingshui main list, Lu Qinli gap fill</x:v>
      </x:c>
    </x:row>
    <x:row r="5730">
      <x:c r="A5730" s="5" t="str">
        <x:v>睆</x:v>
      </x:c>
      <x:c r="B5730" s="6" t="str">
        <x:v>上</x:v>
      </x:c>
      <x:c r="C5730" s="6" t="str">
        <x:f>IF(B5730="","Needs decision","Ready")</x:f>
        <x:v>Ready</x:v>
      </x:c>
      <x:c r="D5730" s="6" t="str">
        <x:v>上</x:v>
      </x:c>
      <x:c r="E5730" s="6" t="str"/>
      <x:c r="F5730" s="6" t="str">
        <x:v>上聲十五潸</x:v>
      </x:c>
      <x:c r="G5730" s="6" t="str">
        <x:v>Pingshui main list, Wikisource-derived DOCX</x:v>
      </x:c>
      <x:c r="H5730" s="6" t="str"/>
      <x:c r="I5730" s="6" t="str">
        <x:v>Lu Qinli gap fill from Pingshui main list; 詞 entries ignored</x:v>
      </x:c>
      <x:c r="J5730" s="6" t="str">
        <x:f>IF(B5730="","",IF(AND(ISNUMBER(SEARCH("平",B5730)),OR(ISNUMBER(SEARCH("上",B5730)),ISNUMBER(SEARCH("去",B5730)),ISNUMBER(SEARCH("入",B5730)))),"Ambiguous",IF(ISNUMBER(SEARCH("平",B5730)),"平","仄")))</x:f>
        <x:v>仄</x:v>
      </x:c>
      <x:c r="K5730" s="6" t="str">
        <x:f>IF(D5730="","",IF(AND(ISNUMBER(SEARCH("平",D5730)),OR(ISNUMBER(SEARCH("上",D5730)),ISNUMBER(SEARCH("去",D5730)),ISNUMBER(SEARCH("入",D5730)))),"Ambiguous",IF(ISNUMBER(SEARCH("平",D5730)),"平","仄")))</x:f>
        <x:v>仄</x:v>
      </x:c>
      <x:c r="L5730" s="7" t="str">
        <x:v>Pingshui main list, Lu Qinli gap fill</x:v>
      </x:c>
    </x:row>
    <x:row r="5731">
      <x:c r="A5731" s="5" t="str">
        <x:v>睎</x:v>
      </x:c>
      <x:c r="B5731" s="6" t="str">
        <x:v>平</x:v>
      </x:c>
      <x:c r="C5731" s="6" t="str">
        <x:f>IF(B5731="","Needs decision","Ready")</x:f>
        <x:v>Ready</x:v>
      </x:c>
      <x:c r="D5731" s="6" t="str">
        <x:v>平</x:v>
      </x:c>
      <x:c r="E5731" s="6" t="str"/>
      <x:c r="F5731" s="6" t="str">
        <x:v>上平聲五微</x:v>
      </x:c>
      <x:c r="G5731" s="6" t="str">
        <x:v>Pingshui main list, Wikisource-derived DOCX</x:v>
      </x:c>
      <x:c r="H5731" s="6" t="str"/>
      <x:c r="I5731" s="6" t="str">
        <x:v>Lu Qinli gap fill from Pingshui main list; 詞 entries ignored</x:v>
      </x:c>
      <x:c r="J5731" s="6" t="str">
        <x:f>IF(B5731="","",IF(AND(ISNUMBER(SEARCH("平",B5731)),OR(ISNUMBER(SEARCH("上",B5731)),ISNUMBER(SEARCH("去",B5731)),ISNUMBER(SEARCH("入",B5731)))),"Ambiguous",IF(ISNUMBER(SEARCH("平",B5731)),"平","仄")))</x:f>
        <x:v>平</x:v>
      </x:c>
      <x:c r="K5731" s="6" t="str">
        <x:f>IF(D5731="","",IF(AND(ISNUMBER(SEARCH("平",D5731)),OR(ISNUMBER(SEARCH("上",D5731)),ISNUMBER(SEARCH("去",D5731)),ISNUMBER(SEARCH("入",D5731)))),"Ambiguous",IF(ISNUMBER(SEARCH("平",D5731)),"平","仄")))</x:f>
        <x:v>平</x:v>
      </x:c>
      <x:c r="L5731" s="7" t="str">
        <x:v>Pingshui main list, Lu Qinli gap fill</x:v>
      </x:c>
    </x:row>
    <x:row r="5732">
      <x:c r="A5732" s="5" t="str">
        <x:v>睛</x:v>
      </x:c>
      <x:c r="B5732" s="6" t="str"/>
      <x:c r="C5732" s="6" t="str">
        <x:f>IF(B5732="","Needs decision","Ready")</x:f>
        <x:v>Needs decision</x:v>
      </x:c>
      <x:c r="D5732" s="6" t="str">
        <x:v>平/上</x:v>
      </x:c>
      <x:c r="E5732" s="6" t="str"/>
      <x:c r="F5732" s="6" t="str">
        <x:v>下平聲八庚; 上聲二十三梗</x:v>
      </x:c>
      <x:c r="G5732" s="6" t="str">
        <x:v>Pingshui main list, Wikisource-derived DOCX</x:v>
      </x:c>
      <x:c r="H5732" s="6" t="str"/>
      <x:c r="I5732" s="6" t="str">
        <x:v>Lu Qinli gap fill from Pingshui main list; 詞 entries ignored</x:v>
      </x:c>
      <x:c r="J5732" s="6" t="str">
        <x:f>IF(B5732="","",IF(AND(ISNUMBER(SEARCH("平",B5732)),OR(ISNUMBER(SEARCH("上",B5732)),ISNUMBER(SEARCH("去",B5732)),ISNUMBER(SEARCH("入",B5732)))),"Ambiguous",IF(ISNUMBER(SEARCH("平",B5732)),"平","仄")))</x:f>
      </x:c>
      <x:c r="K5732" s="6" t="str">
        <x:f>IF(D5732="","",IF(AND(ISNUMBER(SEARCH("平",D5732)),OR(ISNUMBER(SEARCH("上",D5732)),ISNUMBER(SEARCH("去",D5732)),ISNUMBER(SEARCH("入",D5732)))),"Ambiguous",IF(ISNUMBER(SEARCH("平",D5732)),"平","仄")))</x:f>
        <x:v>Ambiguous</x:v>
      </x:c>
      <x:c r="L5732" s="7" t="str">
        <x:v>Pingshui main list, Lu Qinli gap fill</x:v>
      </x:c>
    </x:row>
    <x:row r="5733">
      <x:c r="A5733" s="5" t="str">
        <x:v>睞</x:v>
      </x:c>
      <x:c r="B5733" s="6" t="str">
        <x:v>去</x:v>
      </x:c>
      <x:c r="C5733" s="6" t="str">
        <x:f>IF(B5733="","Needs decision","Ready")</x:f>
        <x:v>Ready</x:v>
      </x:c>
      <x:c r="D5733" s="6" t="str">
        <x:v>去</x:v>
      </x:c>
      <x:c r="E5733" s="6" t="str"/>
      <x:c r="F5733" s="6" t="str">
        <x:v>去聲十一隊</x:v>
      </x:c>
      <x:c r="G5733" s="6" t="str">
        <x:v>Pingshui main list, Wikisource-derived DOCX</x:v>
      </x:c>
      <x:c r="H5733" s="6" t="str"/>
      <x:c r="I5733" s="6" t="str">
        <x:v>Lu Qinli gap fill from Pingshui main list; 詞 entries ignored</x:v>
      </x:c>
      <x:c r="J5733" s="6" t="str">
        <x:f>IF(B5733="","",IF(AND(ISNUMBER(SEARCH("平",B5733)),OR(ISNUMBER(SEARCH("上",B5733)),ISNUMBER(SEARCH("去",B5733)),ISNUMBER(SEARCH("入",B5733)))),"Ambiguous",IF(ISNUMBER(SEARCH("平",B5733)),"平","仄")))</x:f>
        <x:v>仄</x:v>
      </x:c>
      <x:c r="K5733" s="6" t="str">
        <x:f>IF(D5733="","",IF(AND(ISNUMBER(SEARCH("平",D5733)),OR(ISNUMBER(SEARCH("上",D5733)),ISNUMBER(SEARCH("去",D5733)),ISNUMBER(SEARCH("入",D5733)))),"Ambiguous",IF(ISNUMBER(SEARCH("平",D5733)),"平","仄")))</x:f>
        <x:v>仄</x:v>
      </x:c>
      <x:c r="L5733" s="7" t="str">
        <x:v>Pingshui main list, Lu Qinli gap fill</x:v>
      </x:c>
    </x:row>
    <x:row r="5734">
      <x:c r="A5734" s="5" t="str">
        <x:v>睟</x:v>
      </x:c>
      <x:c r="B5734" s="6" t="str">
        <x:v>去</x:v>
      </x:c>
      <x:c r="C5734" s="6" t="str">
        <x:f>IF(B5734="","Needs decision","Ready")</x:f>
        <x:v>Ready</x:v>
      </x:c>
      <x:c r="D5734" s="6" t="str">
        <x:v>去</x:v>
      </x:c>
      <x:c r="E5734" s="6" t="str"/>
      <x:c r="F5734" s="6" t="str">
        <x:v>去聲四寘</x:v>
      </x:c>
      <x:c r="G5734" s="6" t="str">
        <x:v>Pingshui main list, Wikisource-derived DOCX</x:v>
      </x:c>
      <x:c r="H5734" s="6" t="str"/>
      <x:c r="I5734" s="6" t="str">
        <x:v>Lu Qinli gap fill from Pingshui main list; 詞 entries ignored</x:v>
      </x:c>
      <x:c r="J5734" s="6" t="str">
        <x:f>IF(B5734="","",IF(AND(ISNUMBER(SEARCH("平",B5734)),OR(ISNUMBER(SEARCH("上",B5734)),ISNUMBER(SEARCH("去",B5734)),ISNUMBER(SEARCH("入",B5734)))),"Ambiguous",IF(ISNUMBER(SEARCH("平",B5734)),"平","仄")))</x:f>
        <x:v>仄</x:v>
      </x:c>
      <x:c r="K5734" s="6" t="str">
        <x:f>IF(D5734="","",IF(AND(ISNUMBER(SEARCH("平",D5734)),OR(ISNUMBER(SEARCH("上",D5734)),ISNUMBER(SEARCH("去",D5734)),ISNUMBER(SEARCH("入",D5734)))),"Ambiguous",IF(ISNUMBER(SEARCH("平",D5734)),"平","仄")))</x:f>
        <x:v>仄</x:v>
      </x:c>
      <x:c r="L5734" s="7" t="str">
        <x:v>Pingshui main list, Lu Qinli gap fill</x:v>
      </x:c>
    </x:row>
    <x:row r="5735">
      <x:c r="A5735" s="5" t="str">
        <x:v>督</x:v>
      </x:c>
      <x:c r="B5735" s="6" t="str">
        <x:v>入</x:v>
      </x:c>
      <x:c r="C5735" s="6" t="str">
        <x:f>IF(B5735="","Needs decision","Ready")</x:f>
        <x:v>Ready</x:v>
      </x:c>
      <x:c r="D5735" s="6" t="str">
        <x:v>入</x:v>
      </x:c>
      <x:c r="E5735" s="6" t="str"/>
      <x:c r="F5735" s="6" t="str">
        <x:v>入聲二沃</x:v>
      </x:c>
      <x:c r="G5735" s="6" t="str">
        <x:v>Pingshui main list, Wikisource-derived DOCX</x:v>
      </x:c>
      <x:c r="H5735" s="6" t="str"/>
      <x:c r="I5735" s="6" t="str">
        <x:v>Lu Qinli gap fill from Pingshui main list; 詞 entries ignored</x:v>
      </x:c>
      <x:c r="J5735" s="6" t="str">
        <x:f>IF(B5735="","",IF(AND(ISNUMBER(SEARCH("平",B5735)),OR(ISNUMBER(SEARCH("上",B5735)),ISNUMBER(SEARCH("去",B5735)),ISNUMBER(SEARCH("入",B5735)))),"Ambiguous",IF(ISNUMBER(SEARCH("平",B5735)),"平","仄")))</x:f>
        <x:v>仄</x:v>
      </x:c>
      <x:c r="K5735" s="6" t="str">
        <x:f>IF(D5735="","",IF(AND(ISNUMBER(SEARCH("平",D5735)),OR(ISNUMBER(SEARCH("上",D5735)),ISNUMBER(SEARCH("去",D5735)),ISNUMBER(SEARCH("入",D5735)))),"Ambiguous",IF(ISNUMBER(SEARCH("平",D5735)),"平","仄")))</x:f>
        <x:v>仄</x:v>
      </x:c>
      <x:c r="L5735" s="7" t="str">
        <x:v>Pingshui main list, Lu Qinli gap fill</x:v>
      </x:c>
    </x:row>
    <x:row r="5736">
      <x:c r="A5736" s="5" t="str">
        <x:v>睥</x:v>
      </x:c>
      <x:c r="B5736" s="6" t="str">
        <x:v>去</x:v>
      </x:c>
      <x:c r="C5736" s="6" t="str">
        <x:f>IF(B5736="","Needs decision","Ready")</x:f>
        <x:v>Ready</x:v>
      </x:c>
      <x:c r="D5736" s="6" t="str">
        <x:v>去</x:v>
      </x:c>
      <x:c r="E5736" s="6" t="str"/>
      <x:c r="F5736" s="6" t="str">
        <x:v>去聲八霽</x:v>
      </x:c>
      <x:c r="G5736" s="6" t="str">
        <x:v>Pingshui main list, Wikisource-derived DOCX</x:v>
      </x:c>
      <x:c r="H5736" s="6" t="str"/>
      <x:c r="I5736" s="6" t="str">
        <x:v>Lu Qinli gap fill from Pingshui main list; 詞 entries ignored</x:v>
      </x:c>
      <x:c r="J5736" s="6" t="str">
        <x:f>IF(B5736="","",IF(AND(ISNUMBER(SEARCH("平",B5736)),OR(ISNUMBER(SEARCH("上",B5736)),ISNUMBER(SEARCH("去",B5736)),ISNUMBER(SEARCH("入",B5736)))),"Ambiguous",IF(ISNUMBER(SEARCH("平",B5736)),"平","仄")))</x:f>
        <x:v>仄</x:v>
      </x:c>
      <x:c r="K5736" s="6" t="str">
        <x:f>IF(D5736="","",IF(AND(ISNUMBER(SEARCH("平",D5736)),OR(ISNUMBER(SEARCH("上",D5736)),ISNUMBER(SEARCH("去",D5736)),ISNUMBER(SEARCH("入",D5736)))),"Ambiguous",IF(ISNUMBER(SEARCH("平",D5736)),"平","仄")))</x:f>
        <x:v>仄</x:v>
      </x:c>
      <x:c r="L5736" s="7" t="str">
        <x:v>Pingshui main list, Lu Qinli gap fill</x:v>
      </x:c>
    </x:row>
    <x:row r="5737">
      <x:c r="A5737" s="5" t="str">
        <x:v>睮</x:v>
      </x:c>
      <x:c r="B5737" s="6" t="str">
        <x:v>平</x:v>
      </x:c>
      <x:c r="C5737" s="6" t="str">
        <x:f>IF(B5737="","Needs decision","Ready")</x:f>
        <x:v>Ready</x:v>
      </x:c>
      <x:c r="D5737" s="6" t="str">
        <x:v>平</x:v>
      </x:c>
      <x:c r="E5737" s="6" t="str"/>
      <x:c r="F5737" s="6" t="str">
        <x:v>上平聲七虞</x:v>
      </x:c>
      <x:c r="G5737" s="6" t="str">
        <x:v>Pingshui main list, Wikisource-derived DOCX</x:v>
      </x:c>
      <x:c r="H5737" s="6" t="str"/>
      <x:c r="I5737" s="6" t="str">
        <x:v>Lu Qinli gap fill from Pingshui main list; 詞 entries ignored</x:v>
      </x:c>
      <x:c r="J5737" s="6" t="str">
        <x:f>IF(B5737="","",IF(AND(ISNUMBER(SEARCH("平",B5737)),OR(ISNUMBER(SEARCH("上",B5737)),ISNUMBER(SEARCH("去",B5737)),ISNUMBER(SEARCH("入",B5737)))),"Ambiguous",IF(ISNUMBER(SEARCH("平",B5737)),"平","仄")))</x:f>
        <x:v>平</x:v>
      </x:c>
      <x:c r="K5737" s="6" t="str">
        <x:f>IF(D5737="","",IF(AND(ISNUMBER(SEARCH("平",D5737)),OR(ISNUMBER(SEARCH("上",D5737)),ISNUMBER(SEARCH("去",D5737)),ISNUMBER(SEARCH("入",D5737)))),"Ambiguous",IF(ISNUMBER(SEARCH("平",D5737)),"平","仄")))</x:f>
        <x:v>平</x:v>
      </x:c>
      <x:c r="L5737" s="7" t="str">
        <x:v>Pingshui main list, Lu Qinli gap fill</x:v>
      </x:c>
    </x:row>
    <x:row r="5738">
      <x:c r="A5738" s="5" t="str">
        <x:v>瞎</x:v>
      </x:c>
      <x:c r="B5738" s="6" t="str">
        <x:v>入</x:v>
      </x:c>
      <x:c r="C5738" s="6" t="str">
        <x:f>IF(B5738="","Needs decision","Ready")</x:f>
        <x:v>Ready</x:v>
      </x:c>
      <x:c r="D5738" s="6" t="str">
        <x:v>入</x:v>
      </x:c>
      <x:c r="E5738" s="6" t="str"/>
      <x:c r="F5738" s="6" t="str">
        <x:v>入聲八黠</x:v>
      </x:c>
      <x:c r="G5738" s="6" t="str">
        <x:v>Pingshui main list, Wikisource-derived DOCX</x:v>
      </x:c>
      <x:c r="H5738" s="6" t="str"/>
      <x:c r="I5738" s="6" t="str">
        <x:v>Lu Qinli gap fill from Pingshui main list; 詞 entries ignored</x:v>
      </x:c>
      <x:c r="J5738" s="6" t="str">
        <x:f>IF(B5738="","",IF(AND(ISNUMBER(SEARCH("平",B5738)),OR(ISNUMBER(SEARCH("上",B5738)),ISNUMBER(SEARCH("去",B5738)),ISNUMBER(SEARCH("入",B5738)))),"Ambiguous",IF(ISNUMBER(SEARCH("平",B5738)),"平","仄")))</x:f>
        <x:v>仄</x:v>
      </x:c>
      <x:c r="K5738" s="6" t="str">
        <x:f>IF(D5738="","",IF(AND(ISNUMBER(SEARCH("平",D5738)),OR(ISNUMBER(SEARCH("上",D5738)),ISNUMBER(SEARCH("去",D5738)),ISNUMBER(SEARCH("入",D5738)))),"Ambiguous",IF(ISNUMBER(SEARCH("平",D5738)),"平","仄")))</x:f>
        <x:v>仄</x:v>
      </x:c>
      <x:c r="L5738" s="7" t="str">
        <x:v>Pingshui main list, Lu Qinli gap fill</x:v>
      </x:c>
    </x:row>
    <x:row r="5739">
      <x:c r="A5739" s="5" t="str">
        <x:v>瞑</x:v>
      </x:c>
      <x:c r="B5739" s="6" t="str"/>
      <x:c r="C5739" s="6" t="str">
        <x:f>IF(B5739="","Needs decision","Ready")</x:f>
        <x:v>Needs decision</x:v>
      </x:c>
      <x:c r="D5739" s="6" t="str">
        <x:v>平/去</x:v>
      </x:c>
      <x:c r="E5739" s="6" t="str"/>
      <x:c r="F5739" s="6" t="str">
        <x:v>下平聲九青; 去聲十七霰</x:v>
      </x:c>
      <x:c r="G5739" s="6" t="str">
        <x:v>Pingshui main list, Wikisource-derived DOCX</x:v>
      </x:c>
      <x:c r="H5739" s="6" t="str"/>
      <x:c r="I5739" s="6" t="str">
        <x:v>Lu Qinli gap fill from Pingshui main list; 詞 entries ignored</x:v>
      </x:c>
      <x:c r="J5739" s="6" t="str">
        <x:f>IF(B5739="","",IF(AND(ISNUMBER(SEARCH("平",B5739)),OR(ISNUMBER(SEARCH("上",B5739)),ISNUMBER(SEARCH("去",B5739)),ISNUMBER(SEARCH("入",B5739)))),"Ambiguous",IF(ISNUMBER(SEARCH("平",B5739)),"平","仄")))</x:f>
      </x:c>
      <x:c r="K5739" s="6" t="str">
        <x:f>IF(D5739="","",IF(AND(ISNUMBER(SEARCH("平",D5739)),OR(ISNUMBER(SEARCH("上",D5739)),ISNUMBER(SEARCH("去",D5739)),ISNUMBER(SEARCH("入",D5739)))),"Ambiguous",IF(ISNUMBER(SEARCH("平",D5739)),"平","仄")))</x:f>
        <x:v>Ambiguous</x:v>
      </x:c>
      <x:c r="L5739" s="7" t="str">
        <x:v>Pingshui main list, Lu Qinli gap fill</x:v>
      </x:c>
    </x:row>
    <x:row r="5740">
      <x:c r="A5740" s="5" t="str">
        <x:v>瞢</x:v>
      </x:c>
      <x:c r="B5740" s="6" t="str"/>
      <x:c r="C5740" s="6" t="str">
        <x:f>IF(B5740="","Needs decision","Ready")</x:f>
        <x:v>Needs decision</x:v>
      </x:c>
      <x:c r="D5740" s="6" t="str">
        <x:v>平/去</x:v>
      </x:c>
      <x:c r="E5740" s="6" t="str"/>
      <x:c r="F5740" s="6" t="str">
        <x:v>上平聲一東; 下平聲十蒸; 去聲一送</x:v>
      </x:c>
      <x:c r="G5740" s="6" t="str">
        <x:v>Pingshui main list, Wikisource-derived DOCX</x:v>
      </x:c>
      <x:c r="H5740" s="6" t="str"/>
      <x:c r="I5740" s="6" t="str">
        <x:v>Lu Qinli gap fill from Pingshui main list; 詞 entries ignored</x:v>
      </x:c>
      <x:c r="J5740" s="6" t="str">
        <x:f>IF(B5740="","",IF(AND(ISNUMBER(SEARCH("平",B5740)),OR(ISNUMBER(SEARCH("上",B5740)),ISNUMBER(SEARCH("去",B5740)),ISNUMBER(SEARCH("入",B5740)))),"Ambiguous",IF(ISNUMBER(SEARCH("平",B5740)),"平","仄")))</x:f>
      </x:c>
      <x:c r="K5740" s="6" t="str">
        <x:f>IF(D5740="","",IF(AND(ISNUMBER(SEARCH("平",D5740)),OR(ISNUMBER(SEARCH("上",D5740)),ISNUMBER(SEARCH("去",D5740)),ISNUMBER(SEARCH("入",D5740)))),"Ambiguous",IF(ISNUMBER(SEARCH("平",D5740)),"平","仄")))</x:f>
        <x:v>Ambiguous</x:v>
      </x:c>
      <x:c r="L5740" s="7" t="str">
        <x:v>Pingshui main list, Lu Qinli gap fill</x:v>
      </x:c>
    </x:row>
    <x:row r="5741">
      <x:c r="A5741" s="5" t="str">
        <x:v>瞥</x:v>
      </x:c>
      <x:c r="B5741" s="6" t="str">
        <x:v>入</x:v>
      </x:c>
      <x:c r="C5741" s="6" t="str">
        <x:f>IF(B5741="","Needs decision","Ready")</x:f>
        <x:v>Ready</x:v>
      </x:c>
      <x:c r="D5741" s="6" t="str">
        <x:v>入</x:v>
      </x:c>
      <x:c r="E5741" s="6" t="str"/>
      <x:c r="F5741" s="6" t="str">
        <x:v>入聲九屑</x:v>
      </x:c>
      <x:c r="G5741" s="6" t="str">
        <x:v>Pingshui main list, Wikisource-derived DOCX</x:v>
      </x:c>
      <x:c r="H5741" s="6" t="str"/>
      <x:c r="I5741" s="6" t="str">
        <x:v>Lu Qinli gap fill from Pingshui main list; 詞 entries ignored</x:v>
      </x:c>
      <x:c r="J5741" s="6" t="str">
        <x:f>IF(B5741="","",IF(AND(ISNUMBER(SEARCH("平",B5741)),OR(ISNUMBER(SEARCH("上",B5741)),ISNUMBER(SEARCH("去",B5741)),ISNUMBER(SEARCH("入",B5741)))),"Ambiguous",IF(ISNUMBER(SEARCH("平",B5741)),"平","仄")))</x:f>
        <x:v>仄</x:v>
      </x:c>
      <x:c r="K5741" s="6" t="str">
        <x:f>IF(D5741="","",IF(AND(ISNUMBER(SEARCH("平",D5741)),OR(ISNUMBER(SEARCH("上",D5741)),ISNUMBER(SEARCH("去",D5741)),ISNUMBER(SEARCH("入",D5741)))),"Ambiguous",IF(ISNUMBER(SEARCH("平",D5741)),"平","仄")))</x:f>
        <x:v>仄</x:v>
      </x:c>
      <x:c r="L5741" s="7" t="str">
        <x:v>Pingshui main list, Lu Qinli gap fill</x:v>
      </x:c>
    </x:row>
    <x:row r="5742">
      <x:c r="A5742" s="5" t="str">
        <x:v>瞬</x:v>
      </x:c>
      <x:c r="B5742" s="6" t="str">
        <x:v>去</x:v>
      </x:c>
      <x:c r="C5742" s="6" t="str">
        <x:f>IF(B5742="","Needs decision","Ready")</x:f>
        <x:v>Ready</x:v>
      </x:c>
      <x:c r="D5742" s="6" t="str">
        <x:v>去</x:v>
      </x:c>
      <x:c r="E5742" s="6" t="str"/>
      <x:c r="F5742" s="6" t="str">
        <x:v>去聲十二震</x:v>
      </x:c>
      <x:c r="G5742" s="6" t="str">
        <x:v>Pingshui main list, Wikisource-derived DOCX</x:v>
      </x:c>
      <x:c r="H5742" s="6" t="str"/>
      <x:c r="I5742" s="6" t="str">
        <x:v>Lu Qinli gap fill from Pingshui main list; 詞 entries ignored</x:v>
      </x:c>
      <x:c r="J5742" s="6" t="str">
        <x:f>IF(B5742="","",IF(AND(ISNUMBER(SEARCH("平",B5742)),OR(ISNUMBER(SEARCH("上",B5742)),ISNUMBER(SEARCH("去",B5742)),ISNUMBER(SEARCH("入",B5742)))),"Ambiguous",IF(ISNUMBER(SEARCH("平",B5742)),"平","仄")))</x:f>
        <x:v>仄</x:v>
      </x:c>
      <x:c r="K5742" s="6" t="str">
        <x:f>IF(D5742="","",IF(AND(ISNUMBER(SEARCH("平",D5742)),OR(ISNUMBER(SEARCH("上",D5742)),ISNUMBER(SEARCH("去",D5742)),ISNUMBER(SEARCH("入",D5742)))),"Ambiguous",IF(ISNUMBER(SEARCH("平",D5742)),"平","仄")))</x:f>
        <x:v>仄</x:v>
      </x:c>
      <x:c r="L5742" s="7" t="str">
        <x:v>Pingshui main list, Lu Qinli gap fill</x:v>
      </x:c>
    </x:row>
    <x:row r="5743">
      <x:c r="A5743" s="5" t="str">
        <x:v>瞭</x:v>
      </x:c>
      <x:c r="B5743" s="6" t="str">
        <x:v>上</x:v>
      </x:c>
      <x:c r="C5743" s="6" t="str">
        <x:f>IF(B5743="","Needs decision","Ready")</x:f>
        <x:v>Ready</x:v>
      </x:c>
      <x:c r="D5743" s="6" t="str">
        <x:v>上</x:v>
      </x:c>
      <x:c r="E5743" s="6" t="str"/>
      <x:c r="F5743" s="6" t="str">
        <x:v>上聲十七篠</x:v>
      </x:c>
      <x:c r="G5743" s="6" t="str">
        <x:v>Pingshui main list, Wikisource-derived DOCX</x:v>
      </x:c>
      <x:c r="H5743" s="6" t="str"/>
      <x:c r="I5743" s="6" t="str">
        <x:v>Lu Qinli gap fill from Pingshui main list; 詞 entries ignored</x:v>
      </x:c>
      <x:c r="J5743" s="6" t="str">
        <x:f>IF(B5743="","",IF(AND(ISNUMBER(SEARCH("平",B5743)),OR(ISNUMBER(SEARCH("上",B5743)),ISNUMBER(SEARCH("去",B5743)),ISNUMBER(SEARCH("入",B5743)))),"Ambiguous",IF(ISNUMBER(SEARCH("平",B5743)),"平","仄")))</x:f>
        <x:v>仄</x:v>
      </x:c>
      <x:c r="K5743" s="6" t="str">
        <x:f>IF(D5743="","",IF(AND(ISNUMBER(SEARCH("平",D5743)),OR(ISNUMBER(SEARCH("上",D5743)),ISNUMBER(SEARCH("去",D5743)),ISNUMBER(SEARCH("入",D5743)))),"Ambiguous",IF(ISNUMBER(SEARCH("平",D5743)),"平","仄")))</x:f>
        <x:v>仄</x:v>
      </x:c>
      <x:c r="L5743" s="7" t="str">
        <x:v>Pingshui main list, Lu Qinli gap fill</x:v>
      </x:c>
    </x:row>
    <x:row r="5744">
      <x:c r="A5744" s="5" t="str">
        <x:v>瞰</x:v>
      </x:c>
      <x:c r="B5744" s="6" t="str">
        <x:v>去</x:v>
      </x:c>
      <x:c r="C5744" s="6" t="str">
        <x:f>IF(B5744="","Needs decision","Ready")</x:f>
        <x:v>Ready</x:v>
      </x:c>
      <x:c r="D5744" s="6" t="str">
        <x:v>去</x:v>
      </x:c>
      <x:c r="E5744" s="6" t="str"/>
      <x:c r="F5744" s="6" t="str">
        <x:v>去聲二十八勘</x:v>
      </x:c>
      <x:c r="G5744" s="6" t="str">
        <x:v>Pingshui main list, Wikisource-derived DOCX</x:v>
      </x:c>
      <x:c r="H5744" s="6" t="str"/>
      <x:c r="I5744" s="6" t="str">
        <x:v>Lu Qinli gap fill from Pingshui main list; 詞 entries ignored</x:v>
      </x:c>
      <x:c r="J5744" s="6" t="str">
        <x:f>IF(B5744="","",IF(AND(ISNUMBER(SEARCH("平",B5744)),OR(ISNUMBER(SEARCH("上",B5744)),ISNUMBER(SEARCH("去",B5744)),ISNUMBER(SEARCH("入",B5744)))),"Ambiguous",IF(ISNUMBER(SEARCH("平",B5744)),"平","仄")))</x:f>
        <x:v>仄</x:v>
      </x:c>
      <x:c r="K5744" s="6" t="str">
        <x:f>IF(D5744="","",IF(AND(ISNUMBER(SEARCH("平",D5744)),OR(ISNUMBER(SEARCH("上",D5744)),ISNUMBER(SEARCH("去",D5744)),ISNUMBER(SEARCH("入",D5744)))),"Ambiguous",IF(ISNUMBER(SEARCH("平",D5744)),"平","仄")))</x:f>
        <x:v>仄</x:v>
      </x:c>
      <x:c r="L5744" s="7" t="str">
        <x:v>Pingshui main list, Lu Qinli gap fill</x:v>
      </x:c>
    </x:row>
    <x:row r="5745">
      <x:c r="A5745" s="5" t="str">
        <x:v>矇</x:v>
      </x:c>
      <x:c r="B5745" s="6" t="str"/>
      <x:c r="C5745" s="6" t="str">
        <x:f>IF(B5745="","Needs decision","Ready")</x:f>
        <x:v>Needs decision</x:v>
      </x:c>
      <x:c r="D5745" s="6" t="str">
        <x:v>平/上</x:v>
      </x:c>
      <x:c r="E5745" s="6" t="str"/>
      <x:c r="F5745" s="6" t="str">
        <x:v>上平聲一東; 上聲一董</x:v>
      </x:c>
      <x:c r="G5745" s="6" t="str">
        <x:v>Pingshui main list, Wikisource-derived DOCX</x:v>
      </x:c>
      <x:c r="H5745" s="6" t="str"/>
      <x:c r="I5745" s="6" t="str">
        <x:v>Lu Qinli gap fill from Pingshui main list; 詞 entries ignored</x:v>
      </x:c>
      <x:c r="J5745" s="6" t="str">
        <x:f>IF(B5745="","",IF(AND(ISNUMBER(SEARCH("平",B5745)),OR(ISNUMBER(SEARCH("上",B5745)),ISNUMBER(SEARCH("去",B5745)),ISNUMBER(SEARCH("入",B5745)))),"Ambiguous",IF(ISNUMBER(SEARCH("平",B5745)),"平","仄")))</x:f>
      </x:c>
      <x:c r="K5745" s="6" t="str">
        <x:f>IF(D5745="","",IF(AND(ISNUMBER(SEARCH("平",D5745)),OR(ISNUMBER(SEARCH("上",D5745)),ISNUMBER(SEARCH("去",D5745)),ISNUMBER(SEARCH("入",D5745)))),"Ambiguous",IF(ISNUMBER(SEARCH("平",D5745)),"平","仄")))</x:f>
        <x:v>Ambiguous</x:v>
      </x:c>
      <x:c r="L5745" s="7" t="str">
        <x:v>Pingshui main list, Lu Qinli gap fill</x:v>
      </x:c>
    </x:row>
    <x:row r="5746">
      <x:c r="A5746" s="5" t="str">
        <x:v>矗</x:v>
      </x:c>
      <x:c r="B5746" s="6" t="str">
        <x:v>入</x:v>
      </x:c>
      <x:c r="C5746" s="6" t="str">
        <x:f>IF(B5746="","Needs decision","Ready")</x:f>
        <x:v>Ready</x:v>
      </x:c>
      <x:c r="D5746" s="6" t="str">
        <x:v>入</x:v>
      </x:c>
      <x:c r="E5746" s="6" t="str"/>
      <x:c r="F5746" s="6" t="str">
        <x:v>入聲一屋</x:v>
      </x:c>
      <x:c r="G5746" s="6" t="str">
        <x:v>Pingshui main list, Wikisource-derived DOCX</x:v>
      </x:c>
      <x:c r="H5746" s="6" t="str"/>
      <x:c r="I5746" s="6" t="str">
        <x:v>Lu Qinli gap fill from Pingshui main list; 詞 entries ignored</x:v>
      </x:c>
      <x:c r="J5746" s="6" t="str">
        <x:f>IF(B5746="","",IF(AND(ISNUMBER(SEARCH("平",B5746)),OR(ISNUMBER(SEARCH("上",B5746)),ISNUMBER(SEARCH("去",B5746)),ISNUMBER(SEARCH("入",B5746)))),"Ambiguous",IF(ISNUMBER(SEARCH("平",B5746)),"平","仄")))</x:f>
        <x:v>仄</x:v>
      </x:c>
      <x:c r="K5746" s="6" t="str">
        <x:f>IF(D5746="","",IF(AND(ISNUMBER(SEARCH("平",D5746)),OR(ISNUMBER(SEARCH("上",D5746)),ISNUMBER(SEARCH("去",D5746)),ISNUMBER(SEARCH("入",D5746)))),"Ambiguous",IF(ISNUMBER(SEARCH("平",D5746)),"平","仄")))</x:f>
        <x:v>仄</x:v>
      </x:c>
      <x:c r="L5746" s="7" t="str">
        <x:v>Pingshui main list, Lu Qinli gap fill</x:v>
      </x:c>
    </x:row>
    <x:row r="5747">
      <x:c r="A5747" s="5" t="str">
        <x:v>矚</x:v>
      </x:c>
      <x:c r="B5747" s="6" t="str">
        <x:v>入</x:v>
      </x:c>
      <x:c r="C5747" s="6" t="str">
        <x:f>IF(B5747="","Needs decision","Ready")</x:f>
        <x:v>Ready</x:v>
      </x:c>
      <x:c r="D5747" s="6" t="str">
        <x:v>入</x:v>
      </x:c>
      <x:c r="E5747" s="6" t="str"/>
      <x:c r="F5747" s="6" t="str">
        <x:v>入聲二沃</x:v>
      </x:c>
      <x:c r="G5747" s="6" t="str">
        <x:v>Pingshui main list, Wikisource-derived DOCX</x:v>
      </x:c>
      <x:c r="H5747" s="6" t="str"/>
      <x:c r="I5747" s="6" t="str">
        <x:v>Lu Qinli gap fill from Pingshui main list; 詞 entries ignored</x:v>
      </x:c>
      <x:c r="J5747" s="6" t="str">
        <x:f>IF(B5747="","",IF(AND(ISNUMBER(SEARCH("平",B5747)),OR(ISNUMBER(SEARCH("上",B5747)),ISNUMBER(SEARCH("去",B5747)),ISNUMBER(SEARCH("入",B5747)))),"Ambiguous",IF(ISNUMBER(SEARCH("平",B5747)),"平","仄")))</x:f>
        <x:v>仄</x:v>
      </x:c>
      <x:c r="K5747" s="6" t="str">
        <x:f>IF(D5747="","",IF(AND(ISNUMBER(SEARCH("平",D5747)),OR(ISNUMBER(SEARCH("上",D5747)),ISNUMBER(SEARCH("去",D5747)),ISNUMBER(SEARCH("入",D5747)))),"Ambiguous",IF(ISNUMBER(SEARCH("平",D5747)),"平","仄")))</x:f>
        <x:v>仄</x:v>
      </x:c>
      <x:c r="L5747" s="7" t="str">
        <x:v>Pingshui main list, Lu Qinli gap fill</x:v>
      </x:c>
    </x:row>
    <x:row r="5748">
      <x:c r="A5748" s="5" t="str">
        <x:v>矸</x:v>
      </x:c>
      <x:c r="B5748" s="6" t="str">
        <x:v>去</x:v>
      </x:c>
      <x:c r="C5748" s="6" t="str">
        <x:f>IF(B5748="","Needs decision","Ready")</x:f>
        <x:v>Ready</x:v>
      </x:c>
      <x:c r="D5748" s="6" t="str">
        <x:v>去</x:v>
      </x:c>
      <x:c r="E5748" s="6" t="str"/>
      <x:c r="F5748" s="6" t="str">
        <x:v>去聲十五翰</x:v>
      </x:c>
      <x:c r="G5748" s="6" t="str">
        <x:v>Pingshui main list, Wikisource-derived DOCX</x:v>
      </x:c>
      <x:c r="H5748" s="6" t="str"/>
      <x:c r="I5748" s="6" t="str">
        <x:v>Lu Qinli gap fill from Pingshui main list; 詞 entries ignored</x:v>
      </x:c>
      <x:c r="J5748" s="6" t="str">
        <x:f>IF(B5748="","",IF(AND(ISNUMBER(SEARCH("平",B5748)),OR(ISNUMBER(SEARCH("上",B5748)),ISNUMBER(SEARCH("去",B5748)),ISNUMBER(SEARCH("入",B5748)))),"Ambiguous",IF(ISNUMBER(SEARCH("平",B5748)),"平","仄")))</x:f>
        <x:v>仄</x:v>
      </x:c>
      <x:c r="K5748" s="6" t="str">
        <x:f>IF(D5748="","",IF(AND(ISNUMBER(SEARCH("平",D5748)),OR(ISNUMBER(SEARCH("上",D5748)),ISNUMBER(SEARCH("去",D5748)),ISNUMBER(SEARCH("入",D5748)))),"Ambiguous",IF(ISNUMBER(SEARCH("平",D5748)),"平","仄")))</x:f>
        <x:v>仄</x:v>
      </x:c>
      <x:c r="L5748" s="7" t="str">
        <x:v>Pingshui main list, Lu Qinli gap fill</x:v>
      </x:c>
    </x:row>
    <x:row r="5749">
      <x:c r="A5749" s="5" t="str">
        <x:v>砌</x:v>
      </x:c>
      <x:c r="B5749" s="6" t="str">
        <x:v>去</x:v>
      </x:c>
      <x:c r="C5749" s="6" t="str">
        <x:f>IF(B5749="","Needs decision","Ready")</x:f>
        <x:v>Ready</x:v>
      </x:c>
      <x:c r="D5749" s="6" t="str">
        <x:v>去</x:v>
      </x:c>
      <x:c r="E5749" s="6" t="str"/>
      <x:c r="F5749" s="6" t="str">
        <x:v>去聲八霽</x:v>
      </x:c>
      <x:c r="G5749" s="6" t="str">
        <x:v>Pingshui main list, Wikisource-derived DOCX</x:v>
      </x:c>
      <x:c r="H5749" s="6" t="str"/>
      <x:c r="I5749" s="6" t="str">
        <x:v>Lu Qinli gap fill from Pingshui main list; 詞 entries ignored</x:v>
      </x:c>
      <x:c r="J5749" s="6" t="str">
        <x:f>IF(B5749="","",IF(AND(ISNUMBER(SEARCH("平",B5749)),OR(ISNUMBER(SEARCH("上",B5749)),ISNUMBER(SEARCH("去",B5749)),ISNUMBER(SEARCH("入",B5749)))),"Ambiguous",IF(ISNUMBER(SEARCH("平",B5749)),"平","仄")))</x:f>
        <x:v>仄</x:v>
      </x:c>
      <x:c r="K5749" s="6" t="str">
        <x:f>IF(D5749="","",IF(AND(ISNUMBER(SEARCH("平",D5749)),OR(ISNUMBER(SEARCH("上",D5749)),ISNUMBER(SEARCH("去",D5749)),ISNUMBER(SEARCH("入",D5749)))),"Ambiguous",IF(ISNUMBER(SEARCH("平",D5749)),"平","仄")))</x:f>
        <x:v>仄</x:v>
      </x:c>
      <x:c r="L5749" s="7" t="str">
        <x:v>Pingshui main list, Lu Qinli gap fill</x:v>
      </x:c>
    </x:row>
    <x:row r="5750">
      <x:c r="A5750" s="5" t="str">
        <x:v>砢</x:v>
      </x:c>
      <x:c r="B5750" s="6" t="str">
        <x:v>上</x:v>
      </x:c>
      <x:c r="C5750" s="6" t="str">
        <x:f>IF(B5750="","Needs decision","Ready")</x:f>
        <x:v>Ready</x:v>
      </x:c>
      <x:c r="D5750" s="6" t="str">
        <x:v>上</x:v>
      </x:c>
      <x:c r="E5750" s="6" t="str"/>
      <x:c r="F5750" s="6" t="str">
        <x:v>上聲二十哿</x:v>
      </x:c>
      <x:c r="G5750" s="6" t="str">
        <x:v>Pingshui main list, Wikisource-derived DOCX</x:v>
      </x:c>
      <x:c r="H5750" s="6" t="str"/>
      <x:c r="I5750" s="6" t="str">
        <x:v>Lu Qinli gap fill from Pingshui main list; 詞 entries ignored</x:v>
      </x:c>
      <x:c r="J5750" s="6" t="str">
        <x:f>IF(B5750="","",IF(AND(ISNUMBER(SEARCH("平",B5750)),OR(ISNUMBER(SEARCH("上",B5750)),ISNUMBER(SEARCH("去",B5750)),ISNUMBER(SEARCH("入",B5750)))),"Ambiguous",IF(ISNUMBER(SEARCH("平",B5750)),"平","仄")))</x:f>
        <x:v>仄</x:v>
      </x:c>
      <x:c r="K5750" s="6" t="str">
        <x:f>IF(D5750="","",IF(AND(ISNUMBER(SEARCH("平",D5750)),OR(ISNUMBER(SEARCH("上",D5750)),ISNUMBER(SEARCH("去",D5750)),ISNUMBER(SEARCH("入",D5750)))),"Ambiguous",IF(ISNUMBER(SEARCH("平",D5750)),"平","仄")))</x:f>
        <x:v>仄</x:v>
      </x:c>
      <x:c r="L5750" s="7" t="str">
        <x:v>Pingshui main list, Lu Qinli gap fill</x:v>
      </x:c>
    </x:row>
    <x:row r="5751">
      <x:c r="A5751" s="5" t="str">
        <x:v>砭</x:v>
      </x:c>
      <x:c r="B5751" s="6" t="str"/>
      <x:c r="C5751" s="6" t="str">
        <x:f>IF(B5751="","Needs decision","Ready")</x:f>
        <x:v>Needs decision</x:v>
      </x:c>
      <x:c r="D5751" s="6" t="str">
        <x:v>平/去</x:v>
      </x:c>
      <x:c r="E5751" s="6" t="str"/>
      <x:c r="F5751" s="6" t="str">
        <x:v>下平聲十四鹽; 去聲二十九豔</x:v>
      </x:c>
      <x:c r="G5751" s="6" t="str">
        <x:v>Pingshui main list, Wikisource-derived DOCX</x:v>
      </x:c>
      <x:c r="H5751" s="6" t="str"/>
      <x:c r="I5751" s="6" t="str">
        <x:v>Lu Qinli gap fill from Pingshui main list; 詞 entries ignored</x:v>
      </x:c>
      <x:c r="J5751" s="6" t="str">
        <x:f>IF(B5751="","",IF(AND(ISNUMBER(SEARCH("平",B5751)),OR(ISNUMBER(SEARCH("上",B5751)),ISNUMBER(SEARCH("去",B5751)),ISNUMBER(SEARCH("入",B5751)))),"Ambiguous",IF(ISNUMBER(SEARCH("平",B5751)),"平","仄")))</x:f>
      </x:c>
      <x:c r="K5751" s="6" t="str">
        <x:f>IF(D5751="","",IF(AND(ISNUMBER(SEARCH("平",D5751)),OR(ISNUMBER(SEARCH("上",D5751)),ISNUMBER(SEARCH("去",D5751)),ISNUMBER(SEARCH("入",D5751)))),"Ambiguous",IF(ISNUMBER(SEARCH("平",D5751)),"平","仄")))</x:f>
        <x:v>Ambiguous</x:v>
      </x:c>
      <x:c r="L5751" s="7" t="str">
        <x:v>Pingshui main list, Lu Qinli gap fill</x:v>
      </x:c>
    </x:row>
    <x:row r="5752">
      <x:c r="A5752" s="5" t="str">
        <x:v>砰</x:v>
      </x:c>
      <x:c r="B5752" s="6" t="str">
        <x:v>平</x:v>
      </x:c>
      <x:c r="C5752" s="6" t="str">
        <x:f>IF(B5752="","Needs decision","Ready")</x:f>
        <x:v>Ready</x:v>
      </x:c>
      <x:c r="D5752" s="6" t="str">
        <x:v>平</x:v>
      </x:c>
      <x:c r="E5752" s="6" t="str"/>
      <x:c r="F5752" s="6" t="str">
        <x:v>下平聲八庚</x:v>
      </x:c>
      <x:c r="G5752" s="6" t="str">
        <x:v>Pingshui main list, Wikisource-derived DOCX</x:v>
      </x:c>
      <x:c r="H5752" s="6" t="str"/>
      <x:c r="I5752" s="6" t="str">
        <x:v>Lu Qinli gap fill from Pingshui main list; 詞 entries ignored</x:v>
      </x:c>
      <x:c r="J5752" s="6" t="str">
        <x:f>IF(B5752="","",IF(AND(ISNUMBER(SEARCH("平",B5752)),OR(ISNUMBER(SEARCH("上",B5752)),ISNUMBER(SEARCH("去",B5752)),ISNUMBER(SEARCH("入",B5752)))),"Ambiguous",IF(ISNUMBER(SEARCH("平",B5752)),"平","仄")))</x:f>
        <x:v>平</x:v>
      </x:c>
      <x:c r="K5752" s="6" t="str">
        <x:f>IF(D5752="","",IF(AND(ISNUMBER(SEARCH("平",D5752)),OR(ISNUMBER(SEARCH("上",D5752)),ISNUMBER(SEARCH("去",D5752)),ISNUMBER(SEARCH("入",D5752)))),"Ambiguous",IF(ISNUMBER(SEARCH("平",D5752)),"平","仄")))</x:f>
        <x:v>平</x:v>
      </x:c>
      <x:c r="L5752" s="7" t="str">
        <x:v>Pingshui main list, Lu Qinli gap fill</x:v>
      </x:c>
    </x:row>
    <x:row r="5753">
      <x:c r="A5753" s="5" t="str">
        <x:v>硌</x:v>
      </x:c>
      <x:c r="B5753" s="6" t="str">
        <x:v>入</x:v>
      </x:c>
      <x:c r="C5753" s="6" t="str">
        <x:f>IF(B5753="","Needs decision","Ready")</x:f>
        <x:v>Ready</x:v>
      </x:c>
      <x:c r="D5753" s="6" t="str">
        <x:v>入</x:v>
      </x:c>
      <x:c r="E5753" s="6" t="str"/>
      <x:c r="F5753" s="6" t="str">
        <x:v>入聲十藥</x:v>
      </x:c>
      <x:c r="G5753" s="6" t="str">
        <x:v>Pingshui main list, Wikisource-derived DOCX</x:v>
      </x:c>
      <x:c r="H5753" s="6" t="str"/>
      <x:c r="I5753" s="6" t="str">
        <x:v>Lu Qinli gap fill from Pingshui main list; 詞 entries ignored</x:v>
      </x:c>
      <x:c r="J5753" s="6" t="str">
        <x:f>IF(B5753="","",IF(AND(ISNUMBER(SEARCH("平",B5753)),OR(ISNUMBER(SEARCH("上",B5753)),ISNUMBER(SEARCH("去",B5753)),ISNUMBER(SEARCH("入",B5753)))),"Ambiguous",IF(ISNUMBER(SEARCH("平",B5753)),"平","仄")))</x:f>
        <x:v>仄</x:v>
      </x:c>
      <x:c r="K5753" s="6" t="str">
        <x:f>IF(D5753="","",IF(AND(ISNUMBER(SEARCH("平",D5753)),OR(ISNUMBER(SEARCH("上",D5753)),ISNUMBER(SEARCH("去",D5753)),ISNUMBER(SEARCH("入",D5753)))),"Ambiguous",IF(ISNUMBER(SEARCH("平",D5753)),"平","仄")))</x:f>
        <x:v>仄</x:v>
      </x:c>
      <x:c r="L5753" s="7" t="str">
        <x:v>Pingshui main list, Lu Qinli gap fill</x:v>
      </x:c>
    </x:row>
    <x:row r="5754">
      <x:c r="A5754" s="5" t="str">
        <x:v>硨</x:v>
      </x:c>
      <x:c r="B5754" s="6" t="str">
        <x:v>平</x:v>
      </x:c>
      <x:c r="C5754" s="6" t="str">
        <x:f>IF(B5754="","Needs decision","Ready")</x:f>
        <x:v>Ready</x:v>
      </x:c>
      <x:c r="D5754" s="6" t="str">
        <x:v>平</x:v>
      </x:c>
      <x:c r="E5754" s="6" t="str"/>
      <x:c r="F5754" s="6" t="str">
        <x:v>下平聲六麻</x:v>
      </x:c>
      <x:c r="G5754" s="6" t="str">
        <x:v>Pingshui main list, Wikisource-derived DOCX</x:v>
      </x:c>
      <x:c r="H5754" s="6" t="str"/>
      <x:c r="I5754" s="6" t="str">
        <x:v>Lu Qinli gap fill from Pingshui main list; 詞 entries ignored</x:v>
      </x:c>
      <x:c r="J5754" s="6" t="str">
        <x:f>IF(B5754="","",IF(AND(ISNUMBER(SEARCH("平",B5754)),OR(ISNUMBER(SEARCH("上",B5754)),ISNUMBER(SEARCH("去",B5754)),ISNUMBER(SEARCH("入",B5754)))),"Ambiguous",IF(ISNUMBER(SEARCH("平",B5754)),"平","仄")))</x:f>
        <x:v>平</x:v>
      </x:c>
      <x:c r="K5754" s="6" t="str">
        <x:f>IF(D5754="","",IF(AND(ISNUMBER(SEARCH("平",D5754)),OR(ISNUMBER(SEARCH("上",D5754)),ISNUMBER(SEARCH("去",D5754)),ISNUMBER(SEARCH("入",D5754)))),"Ambiguous",IF(ISNUMBER(SEARCH("平",D5754)),"平","仄")))</x:f>
        <x:v>平</x:v>
      </x:c>
      <x:c r="L5754" s="7" t="str">
        <x:v>Pingshui main list, Lu Qinli gap fill</x:v>
      </x:c>
    </x:row>
    <x:row r="5755">
      <x:c r="A5755" s="5" t="str">
        <x:v>碓</x:v>
      </x:c>
      <x:c r="B5755" s="6" t="str">
        <x:v>去</x:v>
      </x:c>
      <x:c r="C5755" s="6" t="str">
        <x:f>IF(B5755="","Needs decision","Ready")</x:f>
        <x:v>Ready</x:v>
      </x:c>
      <x:c r="D5755" s="6" t="str">
        <x:v>去</x:v>
      </x:c>
      <x:c r="E5755" s="6" t="str"/>
      <x:c r="F5755" s="6" t="str">
        <x:v>去聲十一隊</x:v>
      </x:c>
      <x:c r="G5755" s="6" t="str">
        <x:v>Pingshui main list, Wikisource-derived DOCX</x:v>
      </x:c>
      <x:c r="H5755" s="6" t="str"/>
      <x:c r="I5755" s="6" t="str">
        <x:v>Lu Qinli gap fill from Pingshui main list; 詞 entries ignored</x:v>
      </x:c>
      <x:c r="J5755" s="6" t="str">
        <x:f>IF(B5755="","",IF(AND(ISNUMBER(SEARCH("平",B5755)),OR(ISNUMBER(SEARCH("上",B5755)),ISNUMBER(SEARCH("去",B5755)),ISNUMBER(SEARCH("入",B5755)))),"Ambiguous",IF(ISNUMBER(SEARCH("平",B5755)),"平","仄")))</x:f>
        <x:v>仄</x:v>
      </x:c>
      <x:c r="K5755" s="6" t="str">
        <x:f>IF(D5755="","",IF(AND(ISNUMBER(SEARCH("平",D5755)),OR(ISNUMBER(SEARCH("上",D5755)),ISNUMBER(SEARCH("去",D5755)),ISNUMBER(SEARCH("入",D5755)))),"Ambiguous",IF(ISNUMBER(SEARCH("平",D5755)),"平","仄")))</x:f>
        <x:v>仄</x:v>
      </x:c>
      <x:c r="L5755" s="7" t="str">
        <x:v>Pingshui main list, Lu Qinli gap fill</x:v>
      </x:c>
    </x:row>
    <x:row r="5756">
      <x:c r="A5756" s="5" t="str">
        <x:v>碕</x:v>
      </x:c>
      <x:c r="B5756" s="6" t="str">
        <x:v>平</x:v>
      </x:c>
      <x:c r="C5756" s="6" t="str">
        <x:f>IF(B5756="","Needs decision","Ready")</x:f>
        <x:v>Ready</x:v>
      </x:c>
      <x:c r="D5756" s="6" t="str">
        <x:v>平</x:v>
      </x:c>
      <x:c r="E5756" s="6" t="str"/>
      <x:c r="F5756" s="6" t="str">
        <x:v>上平聲五微</x:v>
      </x:c>
      <x:c r="G5756" s="6" t="str">
        <x:v>Pingshui main list, Wikisource-derived DOCX</x:v>
      </x:c>
      <x:c r="H5756" s="6" t="str"/>
      <x:c r="I5756" s="6" t="str">
        <x:v>Lu Qinli gap fill from Pingshui main list; 詞 entries ignored</x:v>
      </x:c>
      <x:c r="J5756" s="6" t="str">
        <x:f>IF(B5756="","",IF(AND(ISNUMBER(SEARCH("平",B5756)),OR(ISNUMBER(SEARCH("上",B5756)),ISNUMBER(SEARCH("去",B5756)),ISNUMBER(SEARCH("入",B5756)))),"Ambiguous",IF(ISNUMBER(SEARCH("平",B5756)),"平","仄")))</x:f>
        <x:v>平</x:v>
      </x:c>
      <x:c r="K5756" s="6" t="str">
        <x:f>IF(D5756="","",IF(AND(ISNUMBER(SEARCH("平",D5756)),OR(ISNUMBER(SEARCH("上",D5756)),ISNUMBER(SEARCH("去",D5756)),ISNUMBER(SEARCH("入",D5756)))),"Ambiguous",IF(ISNUMBER(SEARCH("平",D5756)),"平","仄")))</x:f>
        <x:v>平</x:v>
      </x:c>
      <x:c r="L5756" s="7" t="str">
        <x:v>Pingshui main list, Lu Qinli gap fill</x:v>
      </x:c>
    </x:row>
    <x:row r="5757">
      <x:c r="A5757" s="5" t="str">
        <x:v>磁</x:v>
      </x:c>
      <x:c r="B5757" s="6" t="str">
        <x:v>平</x:v>
      </x:c>
      <x:c r="C5757" s="6" t="str">
        <x:f>IF(B5757="","Needs decision","Ready")</x:f>
        <x:v>Ready</x:v>
      </x:c>
      <x:c r="D5757" s="6" t="str">
        <x:v>平</x:v>
      </x:c>
      <x:c r="E5757" s="6" t="str"/>
      <x:c r="F5757" s="6" t="str">
        <x:v>上平聲四支</x:v>
      </x:c>
      <x:c r="G5757" s="6" t="str">
        <x:v>Pingshui main list, Wikisource-derived DOCX</x:v>
      </x:c>
      <x:c r="H5757" s="6" t="str"/>
      <x:c r="I5757" s="6" t="str">
        <x:v>Lu Qinli gap fill from Pingshui main list; 詞 entries ignored</x:v>
      </x:c>
      <x:c r="J5757" s="6" t="str">
        <x:f>IF(B5757="","",IF(AND(ISNUMBER(SEARCH("平",B5757)),OR(ISNUMBER(SEARCH("上",B5757)),ISNUMBER(SEARCH("去",B5757)),ISNUMBER(SEARCH("入",B5757)))),"Ambiguous",IF(ISNUMBER(SEARCH("平",B5757)),"平","仄")))</x:f>
        <x:v>平</x:v>
      </x:c>
      <x:c r="K5757" s="6" t="str">
        <x:f>IF(D5757="","",IF(AND(ISNUMBER(SEARCH("平",D5757)),OR(ISNUMBER(SEARCH("上",D5757)),ISNUMBER(SEARCH("去",D5757)),ISNUMBER(SEARCH("入",D5757)))),"Ambiguous",IF(ISNUMBER(SEARCH("平",D5757)),"平","仄")))</x:f>
        <x:v>平</x:v>
      </x:c>
      <x:c r="L5757" s="7" t="str">
        <x:v>Pingshui main list, Lu Qinli gap fill</x:v>
      </x:c>
    </x:row>
    <x:row r="5758">
      <x:c r="A5758" s="5" t="str">
        <x:v>磅</x:v>
      </x:c>
      <x:c r="B5758" s="6" t="str">
        <x:v>平</x:v>
      </x:c>
      <x:c r="C5758" s="6" t="str">
        <x:f>IF(B5758="","Needs decision","Ready")</x:f>
        <x:v>Ready</x:v>
      </x:c>
      <x:c r="D5758" s="6" t="str">
        <x:v>平</x:v>
      </x:c>
      <x:c r="E5758" s="6" t="str"/>
      <x:c r="F5758" s="6" t="str">
        <x:v>下平聲七陽</x:v>
      </x:c>
      <x:c r="G5758" s="6" t="str">
        <x:v>Pingshui main list, Wikisource-derived DOCX</x:v>
      </x:c>
      <x:c r="H5758" s="6" t="str"/>
      <x:c r="I5758" s="6" t="str">
        <x:v>Lu Qinli gap fill from Pingshui main list; 詞 entries ignored</x:v>
      </x:c>
      <x:c r="J5758" s="6" t="str">
        <x:f>IF(B5758="","",IF(AND(ISNUMBER(SEARCH("平",B5758)),OR(ISNUMBER(SEARCH("上",B5758)),ISNUMBER(SEARCH("去",B5758)),ISNUMBER(SEARCH("入",B5758)))),"Ambiguous",IF(ISNUMBER(SEARCH("平",B5758)),"平","仄")))</x:f>
        <x:v>平</x:v>
      </x:c>
      <x:c r="K5758" s="6" t="str">
        <x:f>IF(D5758="","",IF(AND(ISNUMBER(SEARCH("平",D5758)),OR(ISNUMBER(SEARCH("上",D5758)),ISNUMBER(SEARCH("去",D5758)),ISNUMBER(SEARCH("入",D5758)))),"Ambiguous",IF(ISNUMBER(SEARCH("平",D5758)),"平","仄")))</x:f>
        <x:v>平</x:v>
      </x:c>
      <x:c r="L5758" s="7" t="str">
        <x:v>Pingshui main list, Lu Qinli gap fill</x:v>
      </x:c>
    </x:row>
    <x:row r="5759">
      <x:c r="A5759" s="5" t="str">
        <x:v>磈</x:v>
      </x:c>
      <x:c r="B5759" s="6" t="str">
        <x:v>上</x:v>
      </x:c>
      <x:c r="C5759" s="6" t="str">
        <x:f>IF(B5759="","Needs decision","Ready")</x:f>
        <x:v>Ready</x:v>
      </x:c>
      <x:c r="D5759" s="6" t="str">
        <x:v>上</x:v>
      </x:c>
      <x:c r="E5759" s="6" t="str"/>
      <x:c r="F5759" s="6" t="str">
        <x:v>上聲十賄</x:v>
      </x:c>
      <x:c r="G5759" s="6" t="str">
        <x:v>Pingshui main list, Wikisource-derived DOCX</x:v>
      </x:c>
      <x:c r="H5759" s="6" t="str"/>
      <x:c r="I5759" s="6" t="str">
        <x:v>Lu Qinli gap fill from Pingshui main list; 詞 entries ignored</x:v>
      </x:c>
      <x:c r="J5759" s="6" t="str">
        <x:f>IF(B5759="","",IF(AND(ISNUMBER(SEARCH("平",B5759)),OR(ISNUMBER(SEARCH("上",B5759)),ISNUMBER(SEARCH("去",B5759)),ISNUMBER(SEARCH("入",B5759)))),"Ambiguous",IF(ISNUMBER(SEARCH("平",B5759)),"平","仄")))</x:f>
        <x:v>仄</x:v>
      </x:c>
      <x:c r="K5759" s="6" t="str">
        <x:f>IF(D5759="","",IF(AND(ISNUMBER(SEARCH("平",D5759)),OR(ISNUMBER(SEARCH("上",D5759)),ISNUMBER(SEARCH("去",D5759)),ISNUMBER(SEARCH("入",D5759)))),"Ambiguous",IF(ISNUMBER(SEARCH("平",D5759)),"平","仄")))</x:f>
        <x:v>仄</x:v>
      </x:c>
      <x:c r="L5759" s="7" t="str">
        <x:v>Pingshui main list, Lu Qinli gap fill</x:v>
      </x:c>
    </x:row>
    <x:row r="5760">
      <x:c r="A5760" s="5" t="str">
        <x:v>磐</x:v>
      </x:c>
      <x:c r="B5760" s="6" t="str">
        <x:v>平</x:v>
      </x:c>
      <x:c r="C5760" s="6" t="str">
        <x:f>IF(B5760="","Needs decision","Ready")</x:f>
        <x:v>Ready</x:v>
      </x:c>
      <x:c r="D5760" s="6" t="str">
        <x:v>平</x:v>
      </x:c>
      <x:c r="E5760" s="6" t="str"/>
      <x:c r="F5760" s="6" t="str">
        <x:v>上平聲十四寒</x:v>
      </x:c>
      <x:c r="G5760" s="6" t="str">
        <x:v>Pingshui main list, Wikisource-derived DOCX</x:v>
      </x:c>
      <x:c r="H5760" s="6" t="str"/>
      <x:c r="I5760" s="6" t="str">
        <x:v>Lu Qinli gap fill from Pingshui main list; 詞 entries ignored</x:v>
      </x:c>
      <x:c r="J5760" s="6" t="str">
        <x:f>IF(B5760="","",IF(AND(ISNUMBER(SEARCH("平",B5760)),OR(ISNUMBER(SEARCH("上",B5760)),ISNUMBER(SEARCH("去",B5760)),ISNUMBER(SEARCH("入",B5760)))),"Ambiguous",IF(ISNUMBER(SEARCH("平",B5760)),"平","仄")))</x:f>
        <x:v>平</x:v>
      </x:c>
      <x:c r="K5760" s="6" t="str">
        <x:f>IF(D5760="","",IF(AND(ISNUMBER(SEARCH("平",D5760)),OR(ISNUMBER(SEARCH("上",D5760)),ISNUMBER(SEARCH("去",D5760)),ISNUMBER(SEARCH("入",D5760)))),"Ambiguous",IF(ISNUMBER(SEARCH("平",D5760)),"平","仄")))</x:f>
        <x:v>平</x:v>
      </x:c>
      <x:c r="L5760" s="7" t="str">
        <x:v>Pingshui main list, Lu Qinli gap fill</x:v>
      </x:c>
    </x:row>
    <x:row r="5761">
      <x:c r="A5761" s="5" t="str">
        <x:v>磑</x:v>
      </x:c>
      <x:c r="B5761" s="6" t="str">
        <x:v>去</x:v>
      </x:c>
      <x:c r="C5761" s="6" t="str">
        <x:f>IF(B5761="","Needs decision","Ready")</x:f>
        <x:v>Ready</x:v>
      </x:c>
      <x:c r="D5761" s="6" t="str">
        <x:v>去</x:v>
      </x:c>
      <x:c r="E5761" s="6" t="str"/>
      <x:c r="F5761" s="6" t="str">
        <x:v>去聲十一隊</x:v>
      </x:c>
      <x:c r="G5761" s="6" t="str">
        <x:v>Pingshui main list, Wikisource-derived DOCX</x:v>
      </x:c>
      <x:c r="H5761" s="6" t="str"/>
      <x:c r="I5761" s="6" t="str">
        <x:v>Lu Qinli gap fill from Pingshui main list; 詞 entries ignored</x:v>
      </x:c>
      <x:c r="J5761" s="6" t="str">
        <x:f>IF(B5761="","",IF(AND(ISNUMBER(SEARCH("平",B5761)),OR(ISNUMBER(SEARCH("上",B5761)),ISNUMBER(SEARCH("去",B5761)),ISNUMBER(SEARCH("入",B5761)))),"Ambiguous",IF(ISNUMBER(SEARCH("平",B5761)),"平","仄")))</x:f>
        <x:v>仄</x:v>
      </x:c>
      <x:c r="K5761" s="6" t="str">
        <x:f>IF(D5761="","",IF(AND(ISNUMBER(SEARCH("平",D5761)),OR(ISNUMBER(SEARCH("上",D5761)),ISNUMBER(SEARCH("去",D5761)),ISNUMBER(SEARCH("入",D5761)))),"Ambiguous",IF(ISNUMBER(SEARCH("平",D5761)),"平","仄")))</x:f>
        <x:v>仄</x:v>
      </x:c>
      <x:c r="L5761" s="7" t="str">
        <x:v>Pingshui main list, Lu Qinli gap fill</x:v>
      </x:c>
    </x:row>
    <x:row r="5762">
      <x:c r="A5762" s="5" t="str">
        <x:v>磕</x:v>
      </x:c>
      <x:c r="B5762" s="6" t="str"/>
      <x:c r="C5762" s="6" t="str">
        <x:f>IF(B5762="","Needs decision","Ready")</x:f>
        <x:v>Needs decision</x:v>
      </x:c>
      <x:c r="D5762" s="6" t="str">
        <x:v>去/入</x:v>
      </x:c>
      <x:c r="E5762" s="6" t="str"/>
      <x:c r="F5762" s="6" t="str">
        <x:v>去聲九泰; 入聲十五合</x:v>
      </x:c>
      <x:c r="G5762" s="6" t="str">
        <x:v>Pingshui main list, Wikisource-derived DOCX</x:v>
      </x:c>
      <x:c r="H5762" s="6" t="str"/>
      <x:c r="I5762" s="6" t="str">
        <x:v>Lu Qinli gap fill from Pingshui main list; 詞 entries ignored</x:v>
      </x:c>
      <x:c r="J5762" s="6" t="str">
        <x:f>IF(B5762="","",IF(AND(ISNUMBER(SEARCH("平",B5762)),OR(ISNUMBER(SEARCH("上",B5762)),ISNUMBER(SEARCH("去",B5762)),ISNUMBER(SEARCH("入",B5762)))),"Ambiguous",IF(ISNUMBER(SEARCH("平",B5762)),"平","仄")))</x:f>
      </x:c>
      <x:c r="K5762" s="6" t="str">
        <x:f>IF(D5762="","",IF(AND(ISNUMBER(SEARCH("平",D5762)),OR(ISNUMBER(SEARCH("上",D5762)),ISNUMBER(SEARCH("去",D5762)),ISNUMBER(SEARCH("入",D5762)))),"Ambiguous",IF(ISNUMBER(SEARCH("平",D5762)),"平","仄")))</x:f>
        <x:v>仄</x:v>
      </x:c>
      <x:c r="L5762" s="7" t="str">
        <x:v>Pingshui main list, Lu Qinli gap fill</x:v>
      </x:c>
    </x:row>
    <x:row r="5763">
      <x:c r="A5763" s="5" t="str">
        <x:v>磚</x:v>
      </x:c>
      <x:c r="B5763" s="6" t="str">
        <x:v>平</x:v>
      </x:c>
      <x:c r="C5763" s="6" t="str">
        <x:f>IF(B5763="","Needs decision","Ready")</x:f>
        <x:v>Ready</x:v>
      </x:c>
      <x:c r="D5763" s="6" t="str">
        <x:v>平</x:v>
      </x:c>
      <x:c r="E5763" s="6" t="str"/>
      <x:c r="F5763" s="6" t="str">
        <x:v>下平聲一先</x:v>
      </x:c>
      <x:c r="G5763" s="6" t="str">
        <x:v>Pingshui main list, Wikisource-derived DOCX</x:v>
      </x:c>
      <x:c r="H5763" s="6" t="str"/>
      <x:c r="I5763" s="6" t="str">
        <x:v>Lu Qinli gap fill from Pingshui main list; 詞 entries ignored</x:v>
      </x:c>
      <x:c r="J5763" s="6" t="str">
        <x:f>IF(B5763="","",IF(AND(ISNUMBER(SEARCH("平",B5763)),OR(ISNUMBER(SEARCH("上",B5763)),ISNUMBER(SEARCH("去",B5763)),ISNUMBER(SEARCH("入",B5763)))),"Ambiguous",IF(ISNUMBER(SEARCH("平",B5763)),"平","仄")))</x:f>
        <x:v>平</x:v>
      </x:c>
      <x:c r="K5763" s="6" t="str">
        <x:f>IF(D5763="","",IF(AND(ISNUMBER(SEARCH("平",D5763)),OR(ISNUMBER(SEARCH("上",D5763)),ISNUMBER(SEARCH("去",D5763)),ISNUMBER(SEARCH("入",D5763)))),"Ambiguous",IF(ISNUMBER(SEARCH("平",D5763)),"平","仄")))</x:f>
        <x:v>平</x:v>
      </x:c>
      <x:c r="L5763" s="7" t="str">
        <x:v>Pingshui main list, Lu Qinli gap fill</x:v>
      </x:c>
    </x:row>
    <x:row r="5764">
      <x:c r="A5764" s="5" t="str">
        <x:v>磥</x:v>
      </x:c>
      <x:c r="B5764" s="6" t="str">
        <x:v>上</x:v>
      </x:c>
      <x:c r="C5764" s="6" t="str">
        <x:f>IF(B5764="","Needs decision","Ready")</x:f>
        <x:v>Ready</x:v>
      </x:c>
      <x:c r="D5764" s="6" t="str">
        <x:v>上</x:v>
      </x:c>
      <x:c r="E5764" s="6" t="str"/>
      <x:c r="F5764" s="6" t="str">
        <x:v>上聲十賄</x:v>
      </x:c>
      <x:c r="G5764" s="6" t="str">
        <x:v>Pingshui main list, Wikisource-derived DOCX</x:v>
      </x:c>
      <x:c r="H5764" s="6" t="str"/>
      <x:c r="I5764" s="6" t="str">
        <x:v>Lu Qinli gap fill from Pingshui main list; 詞 entries ignored</x:v>
      </x:c>
      <x:c r="J5764" s="6" t="str">
        <x:f>IF(B5764="","",IF(AND(ISNUMBER(SEARCH("平",B5764)),OR(ISNUMBER(SEARCH("上",B5764)),ISNUMBER(SEARCH("去",B5764)),ISNUMBER(SEARCH("入",B5764)))),"Ambiguous",IF(ISNUMBER(SEARCH("平",B5764)),"平","仄")))</x:f>
        <x:v>仄</x:v>
      </x:c>
      <x:c r="K5764" s="6" t="str">
        <x:f>IF(D5764="","",IF(AND(ISNUMBER(SEARCH("平",D5764)),OR(ISNUMBER(SEARCH("上",D5764)),ISNUMBER(SEARCH("去",D5764)),ISNUMBER(SEARCH("入",D5764)))),"Ambiguous",IF(ISNUMBER(SEARCH("平",D5764)),"平","仄")))</x:f>
        <x:v>仄</x:v>
      </x:c>
      <x:c r="L5764" s="7" t="str">
        <x:v>Pingshui main list, Lu Qinli gap fill</x:v>
      </x:c>
    </x:row>
    <x:row r="5765">
      <x:c r="A5765" s="5" t="str">
        <x:v>磧</x:v>
      </x:c>
      <x:c r="B5765" s="6" t="str">
        <x:v>入</x:v>
      </x:c>
      <x:c r="C5765" s="6" t="str">
        <x:f>IF(B5765="","Needs decision","Ready")</x:f>
        <x:v>Ready</x:v>
      </x:c>
      <x:c r="D5765" s="6" t="str">
        <x:v>入</x:v>
      </x:c>
      <x:c r="E5765" s="6" t="str"/>
      <x:c r="F5765" s="6" t="str">
        <x:v>入聲十一陌</x:v>
      </x:c>
      <x:c r="G5765" s="6" t="str">
        <x:v>Pingshui main list, Wikisource-derived DOCX</x:v>
      </x:c>
      <x:c r="H5765" s="6" t="str"/>
      <x:c r="I5765" s="6" t="str">
        <x:v>Lu Qinli gap fill from Pingshui main list; 詞 entries ignored</x:v>
      </x:c>
      <x:c r="J5765" s="6" t="str">
        <x:f>IF(B5765="","",IF(AND(ISNUMBER(SEARCH("平",B5765)),OR(ISNUMBER(SEARCH("上",B5765)),ISNUMBER(SEARCH("去",B5765)),ISNUMBER(SEARCH("入",B5765)))),"Ambiguous",IF(ISNUMBER(SEARCH("平",B5765)),"平","仄")))</x:f>
        <x:v>仄</x:v>
      </x:c>
      <x:c r="K5765" s="6" t="str">
        <x:f>IF(D5765="","",IF(AND(ISNUMBER(SEARCH("平",D5765)),OR(ISNUMBER(SEARCH("上",D5765)),ISNUMBER(SEARCH("去",D5765)),ISNUMBER(SEARCH("入",D5765)))),"Ambiguous",IF(ISNUMBER(SEARCH("平",D5765)),"平","仄")))</x:f>
        <x:v>仄</x:v>
      </x:c>
      <x:c r="L5765" s="7" t="str">
        <x:v>Pingshui main list, Lu Qinli gap fill</x:v>
      </x:c>
    </x:row>
    <x:row r="5766">
      <x:c r="A5766" s="5" t="str">
        <x:v>磲</x:v>
      </x:c>
      <x:c r="B5766" s="6" t="str">
        <x:v>平</x:v>
      </x:c>
      <x:c r="C5766" s="6" t="str">
        <x:f>IF(B5766="","Needs decision","Ready")</x:f>
        <x:v>Ready</x:v>
      </x:c>
      <x:c r="D5766" s="6" t="str">
        <x:v>平</x:v>
      </x:c>
      <x:c r="E5766" s="6" t="str"/>
      <x:c r="F5766" s="6" t="str">
        <x:v>上平聲六魚</x:v>
      </x:c>
      <x:c r="G5766" s="6" t="str">
        <x:v>Pingshui main list, Wikisource-derived DOCX</x:v>
      </x:c>
      <x:c r="H5766" s="6" t="str"/>
      <x:c r="I5766" s="6" t="str">
        <x:v>Lu Qinli gap fill from Pingshui main list; 詞 entries ignored</x:v>
      </x:c>
      <x:c r="J5766" s="6" t="str">
        <x:f>IF(B5766="","",IF(AND(ISNUMBER(SEARCH("平",B5766)),OR(ISNUMBER(SEARCH("上",B5766)),ISNUMBER(SEARCH("去",B5766)),ISNUMBER(SEARCH("入",B5766)))),"Ambiguous",IF(ISNUMBER(SEARCH("平",B5766)),"平","仄")))</x:f>
        <x:v>平</x:v>
      </x:c>
      <x:c r="K5766" s="6" t="str">
        <x:f>IF(D5766="","",IF(AND(ISNUMBER(SEARCH("平",D5766)),OR(ISNUMBER(SEARCH("上",D5766)),ISNUMBER(SEARCH("去",D5766)),ISNUMBER(SEARCH("入",D5766)))),"Ambiguous",IF(ISNUMBER(SEARCH("平",D5766)),"平","仄")))</x:f>
        <x:v>平</x:v>
      </x:c>
      <x:c r="L5766" s="7" t="str">
        <x:v>Pingshui main list, Lu Qinli gap fill</x:v>
      </x:c>
    </x:row>
    <x:row r="5767">
      <x:c r="A5767" s="5" t="str">
        <x:v>磻</x:v>
      </x:c>
      <x:c r="B5767" s="6" t="str">
        <x:v>平</x:v>
      </x:c>
      <x:c r="C5767" s="6" t="str">
        <x:f>IF(B5767="","Needs decision","Ready")</x:f>
        <x:v>Ready</x:v>
      </x:c>
      <x:c r="D5767" s="6" t="str">
        <x:v>平</x:v>
      </x:c>
      <x:c r="E5767" s="6" t="str"/>
      <x:c r="F5767" s="6" t="str">
        <x:v>上平聲十四寒</x:v>
      </x:c>
      <x:c r="G5767" s="6" t="str">
        <x:v>Pingshui main list, Wikisource-derived DOCX</x:v>
      </x:c>
      <x:c r="H5767" s="6" t="str"/>
      <x:c r="I5767" s="6" t="str">
        <x:v>Lu Qinli gap fill from Pingshui main list; 詞 entries ignored</x:v>
      </x:c>
      <x:c r="J5767" s="6" t="str">
        <x:f>IF(B5767="","",IF(AND(ISNUMBER(SEARCH("平",B5767)),OR(ISNUMBER(SEARCH("上",B5767)),ISNUMBER(SEARCH("去",B5767)),ISNUMBER(SEARCH("入",B5767)))),"Ambiguous",IF(ISNUMBER(SEARCH("平",B5767)),"平","仄")))</x:f>
        <x:v>平</x:v>
      </x:c>
      <x:c r="K5767" s="6" t="str">
        <x:f>IF(D5767="","",IF(AND(ISNUMBER(SEARCH("平",D5767)),OR(ISNUMBER(SEARCH("上",D5767)),ISNUMBER(SEARCH("去",D5767)),ISNUMBER(SEARCH("入",D5767)))),"Ambiguous",IF(ISNUMBER(SEARCH("平",D5767)),"平","仄")))</x:f>
        <x:v>平</x:v>
      </x:c>
      <x:c r="L5767" s="7" t="str">
        <x:v>Pingshui main list, Lu Qinli gap fill</x:v>
      </x:c>
    </x:row>
    <x:row r="5768">
      <x:c r="A5768" s="5" t="str">
        <x:v>磾</x:v>
      </x:c>
      <x:c r="B5768" s="6" t="str">
        <x:v>平</x:v>
      </x:c>
      <x:c r="C5768" s="6" t="str">
        <x:f>IF(B5768="","Needs decision","Ready")</x:f>
        <x:v>Ready</x:v>
      </x:c>
      <x:c r="D5768" s="6" t="str">
        <x:v>平</x:v>
      </x:c>
      <x:c r="E5768" s="6" t="str"/>
      <x:c r="F5768" s="6" t="str">
        <x:v>上平聲八齊</x:v>
      </x:c>
      <x:c r="G5768" s="6" t="str">
        <x:v>Pingshui main list, Wikisource-derived DOCX</x:v>
      </x:c>
      <x:c r="H5768" s="6" t="str"/>
      <x:c r="I5768" s="6" t="str">
        <x:v>Lu Qinli gap fill from Pingshui main list; 詞 entries ignored</x:v>
      </x:c>
      <x:c r="J5768" s="6" t="str">
        <x:f>IF(B5768="","",IF(AND(ISNUMBER(SEARCH("平",B5768)),OR(ISNUMBER(SEARCH("上",B5768)),ISNUMBER(SEARCH("去",B5768)),ISNUMBER(SEARCH("入",B5768)))),"Ambiguous",IF(ISNUMBER(SEARCH("平",B5768)),"平","仄")))</x:f>
        <x:v>平</x:v>
      </x:c>
      <x:c r="K5768" s="6" t="str">
        <x:f>IF(D5768="","",IF(AND(ISNUMBER(SEARCH("平",D5768)),OR(ISNUMBER(SEARCH("上",D5768)),ISNUMBER(SEARCH("去",D5768)),ISNUMBER(SEARCH("入",D5768)))),"Ambiguous",IF(ISNUMBER(SEARCH("平",D5768)),"平","仄")))</x:f>
        <x:v>平</x:v>
      </x:c>
      <x:c r="L5768" s="7" t="str">
        <x:v>Pingshui main list, Lu Qinli gap fill</x:v>
      </x:c>
    </x:row>
    <x:row r="5769">
      <x:c r="A5769" s="5" t="str">
        <x:v>礎</x:v>
      </x:c>
      <x:c r="B5769" s="6" t="str">
        <x:v>上</x:v>
      </x:c>
      <x:c r="C5769" s="6" t="str">
        <x:f>IF(B5769="","Needs decision","Ready")</x:f>
        <x:v>Ready</x:v>
      </x:c>
      <x:c r="D5769" s="6" t="str">
        <x:v>上</x:v>
      </x:c>
      <x:c r="E5769" s="6" t="str"/>
      <x:c r="F5769" s="6" t="str">
        <x:v>上聲六語</x:v>
      </x:c>
      <x:c r="G5769" s="6" t="str">
        <x:v>Pingshui main list, Wikisource-derived DOCX</x:v>
      </x:c>
      <x:c r="H5769" s="6" t="str"/>
      <x:c r="I5769" s="6" t="str">
        <x:v>Lu Qinli gap fill from Pingshui main list; 詞 entries ignored</x:v>
      </x:c>
      <x:c r="J5769" s="6" t="str">
        <x:f>IF(B5769="","",IF(AND(ISNUMBER(SEARCH("平",B5769)),OR(ISNUMBER(SEARCH("上",B5769)),ISNUMBER(SEARCH("去",B5769)),ISNUMBER(SEARCH("入",B5769)))),"Ambiguous",IF(ISNUMBER(SEARCH("平",B5769)),"平","仄")))</x:f>
        <x:v>仄</x:v>
      </x:c>
      <x:c r="K5769" s="6" t="str">
        <x:f>IF(D5769="","",IF(AND(ISNUMBER(SEARCH("平",D5769)),OR(ISNUMBER(SEARCH("上",D5769)),ISNUMBER(SEARCH("去",D5769)),ISNUMBER(SEARCH("入",D5769)))),"Ambiguous",IF(ISNUMBER(SEARCH("平",D5769)),"平","仄")))</x:f>
        <x:v>仄</x:v>
      </x:c>
      <x:c r="L5769" s="7" t="str">
        <x:v>Pingshui main list, Lu Qinli gap fill</x:v>
      </x:c>
    </x:row>
    <x:row r="5770">
      <x:c r="A5770" s="5" t="str">
        <x:v>礜</x:v>
      </x:c>
      <x:c r="B5770" s="6" t="str">
        <x:v>去</x:v>
      </x:c>
      <x:c r="C5770" s="6" t="str">
        <x:f>IF(B5770="","Needs decision","Ready")</x:f>
        <x:v>Ready</x:v>
      </x:c>
      <x:c r="D5770" s="6" t="str">
        <x:v>去</x:v>
      </x:c>
      <x:c r="E5770" s="6" t="str"/>
      <x:c r="F5770" s="6" t="str">
        <x:v>去聲六御</x:v>
      </x:c>
      <x:c r="G5770" s="6" t="str">
        <x:v>Pingshui main list, Wikisource-derived DOCX</x:v>
      </x:c>
      <x:c r="H5770" s="6" t="str"/>
      <x:c r="I5770" s="6" t="str">
        <x:v>Lu Qinli gap fill from Pingshui main list; 詞 entries ignored</x:v>
      </x:c>
      <x:c r="J5770" s="6" t="str">
        <x:f>IF(B5770="","",IF(AND(ISNUMBER(SEARCH("平",B5770)),OR(ISNUMBER(SEARCH("上",B5770)),ISNUMBER(SEARCH("去",B5770)),ISNUMBER(SEARCH("入",B5770)))),"Ambiguous",IF(ISNUMBER(SEARCH("平",B5770)),"平","仄")))</x:f>
        <x:v>仄</x:v>
      </x:c>
      <x:c r="K5770" s="6" t="str">
        <x:f>IF(D5770="","",IF(AND(ISNUMBER(SEARCH("平",D5770)),OR(ISNUMBER(SEARCH("上",D5770)),ISNUMBER(SEARCH("去",D5770)),ISNUMBER(SEARCH("入",D5770)))),"Ambiguous",IF(ISNUMBER(SEARCH("平",D5770)),"平","仄")))</x:f>
        <x:v>仄</x:v>
      </x:c>
      <x:c r="L5770" s="7" t="str">
        <x:v>Pingshui main list, Lu Qinli gap fill</x:v>
      </x:c>
    </x:row>
    <x:row r="5771">
      <x:c r="A5771" s="5" t="str">
        <x:v>礦</x:v>
      </x:c>
      <x:c r="B5771" s="6" t="str">
        <x:v>上</x:v>
      </x:c>
      <x:c r="C5771" s="6" t="str">
        <x:f>IF(B5771="","Needs decision","Ready")</x:f>
        <x:v>Ready</x:v>
      </x:c>
      <x:c r="D5771" s="6" t="str">
        <x:v>上</x:v>
      </x:c>
      <x:c r="E5771" s="6" t="str"/>
      <x:c r="F5771" s="6" t="str">
        <x:v>上聲二十三梗</x:v>
      </x:c>
      <x:c r="G5771" s="6" t="str">
        <x:v>Pingshui main list, Wikisource-derived DOCX</x:v>
      </x:c>
      <x:c r="H5771" s="6" t="str"/>
      <x:c r="I5771" s="6" t="str">
        <x:v>Lu Qinli gap fill from Pingshui main list; 詞 entries ignored</x:v>
      </x:c>
      <x:c r="J5771" s="6" t="str">
        <x:f>IF(B5771="","",IF(AND(ISNUMBER(SEARCH("平",B5771)),OR(ISNUMBER(SEARCH("上",B5771)),ISNUMBER(SEARCH("去",B5771)),ISNUMBER(SEARCH("入",B5771)))),"Ambiguous",IF(ISNUMBER(SEARCH("平",B5771)),"平","仄")))</x:f>
        <x:v>仄</x:v>
      </x:c>
      <x:c r="K5771" s="6" t="str">
        <x:f>IF(D5771="","",IF(AND(ISNUMBER(SEARCH("平",D5771)),OR(ISNUMBER(SEARCH("上",D5771)),ISNUMBER(SEARCH("去",D5771)),ISNUMBER(SEARCH("入",D5771)))),"Ambiguous",IF(ISNUMBER(SEARCH("平",D5771)),"平","仄")))</x:f>
        <x:v>仄</x:v>
      </x:c>
      <x:c r="L5771" s="7" t="str">
        <x:v>Pingshui main list, Lu Qinli gap fill</x:v>
      </x:c>
    </x:row>
    <x:row r="5772">
      <x:c r="A5772" s="5" t="str">
        <x:v>礧</x:v>
      </x:c>
      <x:c r="B5772" s="6" t="str"/>
      <x:c r="C5772" s="6" t="str">
        <x:f>IF(B5772="","Needs decision","Ready")</x:f>
        <x:v>Needs decision</x:v>
      </x:c>
      <x:c r="D5772" s="6" t="str">
        <x:v>上/去</x:v>
      </x:c>
      <x:c r="E5772" s="6" t="str"/>
      <x:c r="F5772" s="6" t="str">
        <x:v>上聲十賄; 去聲十一隊</x:v>
      </x:c>
      <x:c r="G5772" s="6" t="str">
        <x:v>Pingshui main list, Wikisource-derived DOCX</x:v>
      </x:c>
      <x:c r="H5772" s="6" t="str"/>
      <x:c r="I5772" s="6" t="str">
        <x:v>Lu Qinli gap fill from Pingshui main list; 詞 entries ignored</x:v>
      </x:c>
      <x:c r="J5772" s="6" t="str">
        <x:f>IF(B5772="","",IF(AND(ISNUMBER(SEARCH("平",B5772)),OR(ISNUMBER(SEARCH("上",B5772)),ISNUMBER(SEARCH("去",B5772)),ISNUMBER(SEARCH("入",B5772)))),"Ambiguous",IF(ISNUMBER(SEARCH("平",B5772)),"平","仄")))</x:f>
      </x:c>
      <x:c r="K5772" s="6" t="str">
        <x:f>IF(D5772="","",IF(AND(ISNUMBER(SEARCH("平",D5772)),OR(ISNUMBER(SEARCH("上",D5772)),ISNUMBER(SEARCH("去",D5772)),ISNUMBER(SEARCH("入",D5772)))),"Ambiguous",IF(ISNUMBER(SEARCH("平",D5772)),"平","仄")))</x:f>
        <x:v>仄</x:v>
      </x:c>
      <x:c r="L5772" s="7" t="str">
        <x:v>Pingshui main list, Lu Qinli gap fill</x:v>
      </x:c>
    </x:row>
    <x:row r="5773">
      <x:c r="A5773" s="5" t="str">
        <x:v>祅</x:v>
      </x:c>
      <x:c r="B5773" s="6" t="str">
        <x:v>平</x:v>
      </x:c>
      <x:c r="C5773" s="6" t="str">
        <x:f>IF(B5773="","Needs decision","Ready")</x:f>
        <x:v>Ready</x:v>
      </x:c>
      <x:c r="D5773" s="6" t="str">
        <x:v>平</x:v>
      </x:c>
      <x:c r="E5773" s="6" t="str"/>
      <x:c r="F5773" s="6" t="str">
        <x:v>下平聲一先</x:v>
      </x:c>
      <x:c r="G5773" s="6" t="str">
        <x:v>Pingshui main list, Wikisource-derived DOCX</x:v>
      </x:c>
      <x:c r="H5773" s="6" t="str"/>
      <x:c r="I5773" s="6" t="str">
        <x:v>Lu Qinli gap fill from Pingshui main list; 詞 entries ignored</x:v>
      </x:c>
      <x:c r="J5773" s="6" t="str">
        <x:f>IF(B5773="","",IF(AND(ISNUMBER(SEARCH("平",B5773)),OR(ISNUMBER(SEARCH("上",B5773)),ISNUMBER(SEARCH("去",B5773)),ISNUMBER(SEARCH("入",B5773)))),"Ambiguous",IF(ISNUMBER(SEARCH("平",B5773)),"平","仄")))</x:f>
        <x:v>平</x:v>
      </x:c>
      <x:c r="K5773" s="6" t="str">
        <x:f>IF(D5773="","",IF(AND(ISNUMBER(SEARCH("平",D5773)),OR(ISNUMBER(SEARCH("上",D5773)),ISNUMBER(SEARCH("去",D5773)),ISNUMBER(SEARCH("入",D5773)))),"Ambiguous",IF(ISNUMBER(SEARCH("平",D5773)),"平","仄")))</x:f>
        <x:v>平</x:v>
      </x:c>
      <x:c r="L5773" s="7" t="str">
        <x:v>Pingshui main list, Lu Qinli gap fill</x:v>
      </x:c>
    </x:row>
    <x:row r="5774">
      <x:c r="A5774" s="5" t="str">
        <x:v>祏</x:v>
      </x:c>
      <x:c r="B5774" s="6" t="str">
        <x:v>入</x:v>
      </x:c>
      <x:c r="C5774" s="6" t="str">
        <x:f>IF(B5774="","Needs decision","Ready")</x:f>
        <x:v>Ready</x:v>
      </x:c>
      <x:c r="D5774" s="6" t="str">
        <x:v>入</x:v>
      </x:c>
      <x:c r="E5774" s="6" t="str"/>
      <x:c r="F5774" s="6" t="str">
        <x:v>入聲十一陌</x:v>
      </x:c>
      <x:c r="G5774" s="6" t="str">
        <x:v>Pingshui main list, Wikisource-derived DOCX</x:v>
      </x:c>
      <x:c r="H5774" s="6" t="str"/>
      <x:c r="I5774" s="6" t="str">
        <x:v>Lu Qinli gap fill from Pingshui main list; 詞 entries ignored</x:v>
      </x:c>
      <x:c r="J5774" s="6" t="str">
        <x:f>IF(B5774="","",IF(AND(ISNUMBER(SEARCH("平",B5774)),OR(ISNUMBER(SEARCH("上",B5774)),ISNUMBER(SEARCH("去",B5774)),ISNUMBER(SEARCH("入",B5774)))),"Ambiguous",IF(ISNUMBER(SEARCH("平",B5774)),"平","仄")))</x:f>
        <x:v>仄</x:v>
      </x:c>
      <x:c r="K5774" s="6" t="str">
        <x:f>IF(D5774="","",IF(AND(ISNUMBER(SEARCH("平",D5774)),OR(ISNUMBER(SEARCH("上",D5774)),ISNUMBER(SEARCH("去",D5774)),ISNUMBER(SEARCH("入",D5774)))),"Ambiguous",IF(ISNUMBER(SEARCH("平",D5774)),"平","仄")))</x:f>
        <x:v>仄</x:v>
      </x:c>
      <x:c r="L5774" s="7" t="str">
        <x:v>Pingshui main list, Lu Qinli gap fill</x:v>
      </x:c>
    </x:row>
    <x:row r="5775">
      <x:c r="A5775" s="5" t="str">
        <x:v>祕</x:v>
      </x:c>
      <x:c r="B5775" s="6" t="str">
        <x:v>去</x:v>
      </x:c>
      <x:c r="C5775" s="6" t="str">
        <x:f>IF(B5775="","Needs decision","Ready")</x:f>
        <x:v>Ready</x:v>
      </x:c>
      <x:c r="D5775" s="6" t="str">
        <x:v>去</x:v>
      </x:c>
      <x:c r="E5775" s="6" t="str"/>
      <x:c r="F5775" s="6" t="str">
        <x:v>去聲四寘</x:v>
      </x:c>
      <x:c r="G5775" s="6" t="str">
        <x:v>Pingshui main list, Wikisource-derived DOCX</x:v>
      </x:c>
      <x:c r="H5775" s="6" t="str"/>
      <x:c r="I5775" s="6" t="str">
        <x:v>Lu Qinli gap fill from Pingshui main list; 詞 entries ignored</x:v>
      </x:c>
      <x:c r="J5775" s="6" t="str">
        <x:f>IF(B5775="","",IF(AND(ISNUMBER(SEARCH("平",B5775)),OR(ISNUMBER(SEARCH("上",B5775)),ISNUMBER(SEARCH("去",B5775)),ISNUMBER(SEARCH("入",B5775)))),"Ambiguous",IF(ISNUMBER(SEARCH("平",B5775)),"平","仄")))</x:f>
        <x:v>仄</x:v>
      </x:c>
      <x:c r="K5775" s="6" t="str">
        <x:f>IF(D5775="","",IF(AND(ISNUMBER(SEARCH("平",D5775)),OR(ISNUMBER(SEARCH("上",D5775)),ISNUMBER(SEARCH("去",D5775)),ISNUMBER(SEARCH("入",D5775)))),"Ambiguous",IF(ISNUMBER(SEARCH("平",D5775)),"平","仄")))</x:f>
        <x:v>仄</x:v>
      </x:c>
      <x:c r="L5775" s="7" t="str">
        <x:v>Pingshui main list, Lu Qinli gap fill</x:v>
      </x:c>
    </x:row>
    <x:row r="5776">
      <x:c r="A5776" s="5" t="str">
        <x:v>祛</x:v>
      </x:c>
      <x:c r="B5776" s="6" t="str">
        <x:v>平</x:v>
      </x:c>
      <x:c r="C5776" s="6" t="str">
        <x:f>IF(B5776="","Needs decision","Ready")</x:f>
        <x:v>Ready</x:v>
      </x:c>
      <x:c r="D5776" s="6" t="str">
        <x:v>平</x:v>
      </x:c>
      <x:c r="E5776" s="6" t="str"/>
      <x:c r="F5776" s="6" t="str">
        <x:v>上平聲六魚</x:v>
      </x:c>
      <x:c r="G5776" s="6" t="str">
        <x:v>Pingshui main list, Wikisource-derived DOCX</x:v>
      </x:c>
      <x:c r="H5776" s="6" t="str"/>
      <x:c r="I5776" s="6" t="str">
        <x:v>Lu Qinli gap fill from Pingshui main list; 詞 entries ignored</x:v>
      </x:c>
      <x:c r="J5776" s="6" t="str">
        <x:f>IF(B5776="","",IF(AND(ISNUMBER(SEARCH("平",B5776)),OR(ISNUMBER(SEARCH("上",B5776)),ISNUMBER(SEARCH("去",B5776)),ISNUMBER(SEARCH("入",B5776)))),"Ambiguous",IF(ISNUMBER(SEARCH("平",B5776)),"平","仄")))</x:f>
        <x:v>平</x:v>
      </x:c>
      <x:c r="K5776" s="6" t="str">
        <x:f>IF(D5776="","",IF(AND(ISNUMBER(SEARCH("平",D5776)),OR(ISNUMBER(SEARCH("上",D5776)),ISNUMBER(SEARCH("去",D5776)),ISNUMBER(SEARCH("入",D5776)))),"Ambiguous",IF(ISNUMBER(SEARCH("平",D5776)),"平","仄")))</x:f>
        <x:v>平</x:v>
      </x:c>
      <x:c r="L5776" s="7" t="str">
        <x:v>Pingshui main list, Lu Qinli gap fill</x:v>
      </x:c>
    </x:row>
    <x:row r="5777">
      <x:c r="A5777" s="5" t="str">
        <x:v>祫</x:v>
      </x:c>
      <x:c r="B5777" s="6" t="str">
        <x:v>入</x:v>
      </x:c>
      <x:c r="C5777" s="6" t="str">
        <x:f>IF(B5777="","Needs decision","Ready")</x:f>
        <x:v>Ready</x:v>
      </x:c>
      <x:c r="D5777" s="6" t="str">
        <x:v>入</x:v>
      </x:c>
      <x:c r="E5777" s="6" t="str"/>
      <x:c r="F5777" s="6" t="str">
        <x:v>入聲十七洽</x:v>
      </x:c>
      <x:c r="G5777" s="6" t="str">
        <x:v>Pingshui main list, Wikisource-derived DOCX</x:v>
      </x:c>
      <x:c r="H5777" s="6" t="str"/>
      <x:c r="I5777" s="6" t="str">
        <x:v>Lu Qinli gap fill from Pingshui main list; 詞 entries ignored</x:v>
      </x:c>
      <x:c r="J5777" s="6" t="str">
        <x:f>IF(B5777="","",IF(AND(ISNUMBER(SEARCH("平",B5777)),OR(ISNUMBER(SEARCH("上",B5777)),ISNUMBER(SEARCH("去",B5777)),ISNUMBER(SEARCH("入",B5777)))),"Ambiguous",IF(ISNUMBER(SEARCH("平",B5777)),"平","仄")))</x:f>
        <x:v>仄</x:v>
      </x:c>
      <x:c r="K5777" s="6" t="str">
        <x:f>IF(D5777="","",IF(AND(ISNUMBER(SEARCH("平",D5777)),OR(ISNUMBER(SEARCH("上",D5777)),ISNUMBER(SEARCH("去",D5777)),ISNUMBER(SEARCH("入",D5777)))),"Ambiguous",IF(ISNUMBER(SEARCH("平",D5777)),"平","仄")))</x:f>
        <x:v>仄</x:v>
      </x:c>
      <x:c r="L5777" s="7" t="str">
        <x:v>Pingshui main list, Lu Qinli gap fill</x:v>
      </x:c>
    </x:row>
    <x:row r="5778">
      <x:c r="A5778" s="5" t="str">
        <x:v>祲</x:v>
      </x:c>
      <x:c r="B5778" s="6" t="str"/>
      <x:c r="C5778" s="6" t="str">
        <x:f>IF(B5778="","Needs decision","Ready")</x:f>
        <x:v>Needs decision</x:v>
      </x:c>
      <x:c r="D5778" s="6" t="str">
        <x:v>平/去</x:v>
      </x:c>
      <x:c r="E5778" s="6" t="str"/>
      <x:c r="F5778" s="6" t="str">
        <x:v>下平聲十二侵; 去聲二十七沁</x:v>
      </x:c>
      <x:c r="G5778" s="6" t="str">
        <x:v>Pingshui main list, Wikisource-derived DOCX</x:v>
      </x:c>
      <x:c r="H5778" s="6" t="str"/>
      <x:c r="I5778" s="6" t="str">
        <x:v>Lu Qinli gap fill from Pingshui main list; 詞 entries ignored</x:v>
      </x:c>
      <x:c r="J5778" s="6" t="str">
        <x:f>IF(B5778="","",IF(AND(ISNUMBER(SEARCH("平",B5778)),OR(ISNUMBER(SEARCH("上",B5778)),ISNUMBER(SEARCH("去",B5778)),ISNUMBER(SEARCH("入",B5778)))),"Ambiguous",IF(ISNUMBER(SEARCH("平",B5778)),"平","仄")))</x:f>
      </x:c>
      <x:c r="K5778" s="6" t="str">
        <x:f>IF(D5778="","",IF(AND(ISNUMBER(SEARCH("平",D5778)),OR(ISNUMBER(SEARCH("上",D5778)),ISNUMBER(SEARCH("去",D5778)),ISNUMBER(SEARCH("入",D5778)))),"Ambiguous",IF(ISNUMBER(SEARCH("平",D5778)),"平","仄")))</x:f>
        <x:v>Ambiguous</x:v>
      </x:c>
      <x:c r="L5778" s="7" t="str">
        <x:v>Pingshui main list, Lu Qinli gap fill</x:v>
      </x:c>
    </x:row>
    <x:row r="5779">
      <x:c r="A5779" s="5" t="str">
        <x:v>祺</x:v>
      </x:c>
      <x:c r="B5779" s="6" t="str">
        <x:v>平</x:v>
      </x:c>
      <x:c r="C5779" s="6" t="str">
        <x:f>IF(B5779="","Needs decision","Ready")</x:f>
        <x:v>Ready</x:v>
      </x:c>
      <x:c r="D5779" s="6" t="str">
        <x:v>平</x:v>
      </x:c>
      <x:c r="E5779" s="6" t="str"/>
      <x:c r="F5779" s="6" t="str">
        <x:v>上平聲四支</x:v>
      </x:c>
      <x:c r="G5779" s="6" t="str">
        <x:v>Pingshui main list, Wikisource-derived DOCX</x:v>
      </x:c>
      <x:c r="H5779" s="6" t="str"/>
      <x:c r="I5779" s="6" t="str">
        <x:v>Lu Qinli gap fill from Pingshui main list; 詞 entries ignored</x:v>
      </x:c>
      <x:c r="J5779" s="6" t="str">
        <x:f>IF(B5779="","",IF(AND(ISNUMBER(SEARCH("平",B5779)),OR(ISNUMBER(SEARCH("上",B5779)),ISNUMBER(SEARCH("去",B5779)),ISNUMBER(SEARCH("入",B5779)))),"Ambiguous",IF(ISNUMBER(SEARCH("平",B5779)),"平","仄")))</x:f>
        <x:v>平</x:v>
      </x:c>
      <x:c r="K5779" s="6" t="str">
        <x:f>IF(D5779="","",IF(AND(ISNUMBER(SEARCH("平",D5779)),OR(ISNUMBER(SEARCH("上",D5779)),ISNUMBER(SEARCH("去",D5779)),ISNUMBER(SEARCH("入",D5779)))),"Ambiguous",IF(ISNUMBER(SEARCH("平",D5779)),"平","仄")))</x:f>
        <x:v>平</x:v>
      </x:c>
      <x:c r="L5779" s="7" t="str">
        <x:v>Pingshui main list, Lu Qinli gap fill</x:v>
      </x:c>
    </x:row>
    <x:row r="5780">
      <x:c r="A5780" s="5" t="str">
        <x:v>禊</x:v>
      </x:c>
      <x:c r="B5780" s="6" t="str">
        <x:v>去</x:v>
      </x:c>
      <x:c r="C5780" s="6" t="str">
        <x:f>IF(B5780="","Needs decision","Ready")</x:f>
        <x:v>Ready</x:v>
      </x:c>
      <x:c r="D5780" s="6" t="str">
        <x:v>去</x:v>
      </x:c>
      <x:c r="E5780" s="6" t="str"/>
      <x:c r="F5780" s="6" t="str">
        <x:v>去聲八霽</x:v>
      </x:c>
      <x:c r="G5780" s="6" t="str">
        <x:v>Pingshui main list, Wikisource-derived DOCX</x:v>
      </x:c>
      <x:c r="H5780" s="6" t="str"/>
      <x:c r="I5780" s="6" t="str">
        <x:v>Lu Qinli gap fill from Pingshui main list; 詞 entries ignored</x:v>
      </x:c>
      <x:c r="J5780" s="6" t="str">
        <x:f>IF(B5780="","",IF(AND(ISNUMBER(SEARCH("平",B5780)),OR(ISNUMBER(SEARCH("上",B5780)),ISNUMBER(SEARCH("去",B5780)),ISNUMBER(SEARCH("入",B5780)))),"Ambiguous",IF(ISNUMBER(SEARCH("平",B5780)),"平","仄")))</x:f>
        <x:v>仄</x:v>
      </x:c>
      <x:c r="K5780" s="6" t="str">
        <x:f>IF(D5780="","",IF(AND(ISNUMBER(SEARCH("平",D5780)),OR(ISNUMBER(SEARCH("上",D5780)),ISNUMBER(SEARCH("去",D5780)),ISNUMBER(SEARCH("入",D5780)))),"Ambiguous",IF(ISNUMBER(SEARCH("平",D5780)),"平","仄")))</x:f>
        <x:v>仄</x:v>
      </x:c>
      <x:c r="L5780" s="7" t="str">
        <x:v>Pingshui main list, Lu Qinli gap fill</x:v>
      </x:c>
    </x:row>
    <x:row r="5781">
      <x:c r="A5781" s="5" t="str">
        <x:v>禔</x:v>
      </x:c>
      <x:c r="B5781" s="6" t="str">
        <x:v>平</x:v>
      </x:c>
      <x:c r="C5781" s="6" t="str">
        <x:f>IF(B5781="","Needs decision","Ready")</x:f>
        <x:v>Ready</x:v>
      </x:c>
      <x:c r="D5781" s="6" t="str">
        <x:v>平</x:v>
      </x:c>
      <x:c r="E5781" s="6" t="str"/>
      <x:c r="F5781" s="6" t="str">
        <x:v>上平聲八齊</x:v>
      </x:c>
      <x:c r="G5781" s="6" t="str">
        <x:v>Pingshui main list, Wikisource-derived DOCX</x:v>
      </x:c>
      <x:c r="H5781" s="6" t="str"/>
      <x:c r="I5781" s="6" t="str">
        <x:v>Lu Qinli gap fill from Pingshui main list; 詞 entries ignored</x:v>
      </x:c>
      <x:c r="J5781" s="6" t="str">
        <x:f>IF(B5781="","",IF(AND(ISNUMBER(SEARCH("平",B5781)),OR(ISNUMBER(SEARCH("上",B5781)),ISNUMBER(SEARCH("去",B5781)),ISNUMBER(SEARCH("入",B5781)))),"Ambiguous",IF(ISNUMBER(SEARCH("平",B5781)),"平","仄")))</x:f>
        <x:v>平</x:v>
      </x:c>
      <x:c r="K5781" s="6" t="str">
        <x:f>IF(D5781="","",IF(AND(ISNUMBER(SEARCH("平",D5781)),OR(ISNUMBER(SEARCH("上",D5781)),ISNUMBER(SEARCH("去",D5781)),ISNUMBER(SEARCH("入",D5781)))),"Ambiguous",IF(ISNUMBER(SEARCH("平",D5781)),"平","仄")))</x:f>
        <x:v>平</x:v>
      </x:c>
      <x:c r="L5781" s="7" t="str">
        <x:v>Pingshui main list, Lu Qinli gap fill</x:v>
      </x:c>
    </x:row>
    <x:row r="5782">
      <x:c r="A5782" s="5" t="str">
        <x:v>禕</x:v>
      </x:c>
      <x:c r="B5782" s="6" t="str">
        <x:v>平</x:v>
      </x:c>
      <x:c r="C5782" s="6" t="str">
        <x:f>IF(B5782="","Needs decision","Ready")</x:f>
        <x:v>Ready</x:v>
      </x:c>
      <x:c r="D5782" s="6" t="str">
        <x:v>平</x:v>
      </x:c>
      <x:c r="E5782" s="6" t="str"/>
      <x:c r="F5782" s="6" t="str">
        <x:v>上平聲四支; 上平聲五微</x:v>
      </x:c>
      <x:c r="G5782" s="6" t="str">
        <x:v>Pingshui main list, Wikisource-derived DOCX</x:v>
      </x:c>
      <x:c r="H5782" s="6" t="str"/>
      <x:c r="I5782" s="6" t="str">
        <x:v>Lu Qinli gap fill from Pingshui main list; 詞 entries ignored</x:v>
      </x:c>
      <x:c r="J5782" s="6" t="str">
        <x:f>IF(B5782="","",IF(AND(ISNUMBER(SEARCH("平",B5782)),OR(ISNUMBER(SEARCH("上",B5782)),ISNUMBER(SEARCH("去",B5782)),ISNUMBER(SEARCH("入",B5782)))),"Ambiguous",IF(ISNUMBER(SEARCH("平",B5782)),"平","仄")))</x:f>
        <x:v>平</x:v>
      </x:c>
      <x:c r="K5782" s="6" t="str">
        <x:f>IF(D5782="","",IF(AND(ISNUMBER(SEARCH("平",D5782)),OR(ISNUMBER(SEARCH("上",D5782)),ISNUMBER(SEARCH("去",D5782)),ISNUMBER(SEARCH("入",D5782)))),"Ambiguous",IF(ISNUMBER(SEARCH("平",D5782)),"平","仄")))</x:f>
        <x:v>平</x:v>
      </x:c>
      <x:c r="L5782" s="7" t="str">
        <x:v>Pingshui main list, Lu Qinli gap fill</x:v>
      </x:c>
    </x:row>
    <x:row r="5783">
      <x:c r="A5783" s="5" t="str">
        <x:v>禘</x:v>
      </x:c>
      <x:c r="B5783" s="6" t="str">
        <x:v>去</x:v>
      </x:c>
      <x:c r="C5783" s="6" t="str">
        <x:f>IF(B5783="","Needs decision","Ready")</x:f>
        <x:v>Ready</x:v>
      </x:c>
      <x:c r="D5783" s="6" t="str">
        <x:v>去</x:v>
      </x:c>
      <x:c r="E5783" s="6" t="str"/>
      <x:c r="F5783" s="6" t="str">
        <x:v>去聲八霽</x:v>
      </x:c>
      <x:c r="G5783" s="6" t="str">
        <x:v>Pingshui main list, Wikisource-derived DOCX</x:v>
      </x:c>
      <x:c r="H5783" s="6" t="str"/>
      <x:c r="I5783" s="6" t="str">
        <x:v>Lu Qinli gap fill from Pingshui main list; 詞 entries ignored</x:v>
      </x:c>
      <x:c r="J5783" s="6" t="str">
        <x:f>IF(B5783="","",IF(AND(ISNUMBER(SEARCH("平",B5783)),OR(ISNUMBER(SEARCH("上",B5783)),ISNUMBER(SEARCH("去",B5783)),ISNUMBER(SEARCH("入",B5783)))),"Ambiguous",IF(ISNUMBER(SEARCH("平",B5783)),"平","仄")))</x:f>
        <x:v>仄</x:v>
      </x:c>
      <x:c r="K5783" s="6" t="str">
        <x:f>IF(D5783="","",IF(AND(ISNUMBER(SEARCH("平",D5783)),OR(ISNUMBER(SEARCH("上",D5783)),ISNUMBER(SEARCH("去",D5783)),ISNUMBER(SEARCH("入",D5783)))),"Ambiguous",IF(ISNUMBER(SEARCH("平",D5783)),"平","仄")))</x:f>
        <x:v>仄</x:v>
      </x:c>
      <x:c r="L5783" s="7" t="str">
        <x:v>Pingshui main list, Lu Qinli gap fill</x:v>
      </x:c>
    </x:row>
    <x:row r="5784">
      <x:c r="A5784" s="5" t="str">
        <x:v>禡</x:v>
      </x:c>
      <x:c r="B5784" s="6" t="str">
        <x:v>去</x:v>
      </x:c>
      <x:c r="C5784" s="6" t="str">
        <x:f>IF(B5784="","Needs decision","Ready")</x:f>
        <x:v>Ready</x:v>
      </x:c>
      <x:c r="D5784" s="6" t="str">
        <x:v>去</x:v>
      </x:c>
      <x:c r="E5784" s="6" t="str"/>
      <x:c r="F5784" s="6" t="str">
        <x:v>去聲二十二禡</x:v>
      </x:c>
      <x:c r="G5784" s="6" t="str">
        <x:v>Pingshui main list, Wikisource-derived DOCX</x:v>
      </x:c>
      <x:c r="H5784" s="6" t="str"/>
      <x:c r="I5784" s="6" t="str">
        <x:v>Lu Qinli gap fill from Pingshui main list; 詞 entries ignored</x:v>
      </x:c>
      <x:c r="J5784" s="6" t="str">
        <x:f>IF(B5784="","",IF(AND(ISNUMBER(SEARCH("平",B5784)),OR(ISNUMBER(SEARCH("上",B5784)),ISNUMBER(SEARCH("去",B5784)),ISNUMBER(SEARCH("入",B5784)))),"Ambiguous",IF(ISNUMBER(SEARCH("平",B5784)),"平","仄")))</x:f>
        <x:v>仄</x:v>
      </x:c>
      <x:c r="K5784" s="6" t="str">
        <x:f>IF(D5784="","",IF(AND(ISNUMBER(SEARCH("平",D5784)),OR(ISNUMBER(SEARCH("上",D5784)),ISNUMBER(SEARCH("去",D5784)),ISNUMBER(SEARCH("入",D5784)))),"Ambiguous",IF(ISNUMBER(SEARCH("平",D5784)),"平","仄")))</x:f>
        <x:v>仄</x:v>
      </x:c>
      <x:c r="L5784" s="7" t="str">
        <x:v>Pingshui main list, Lu Qinli gap fill</x:v>
      </x:c>
    </x:row>
    <x:row r="5785">
      <x:c r="A5785" s="5" t="str">
        <x:v>禧</x:v>
      </x:c>
      <x:c r="B5785" s="6" t="str">
        <x:v>平</x:v>
      </x:c>
      <x:c r="C5785" s="6" t="str">
        <x:f>IF(B5785="","Needs decision","Ready")</x:f>
        <x:v>Ready</x:v>
      </x:c>
      <x:c r="D5785" s="6" t="str">
        <x:v>平</x:v>
      </x:c>
      <x:c r="E5785" s="6" t="str"/>
      <x:c r="F5785" s="6" t="str">
        <x:v>上平聲四支</x:v>
      </x:c>
      <x:c r="G5785" s="6" t="str">
        <x:v>Pingshui main list, Wikisource-derived DOCX</x:v>
      </x:c>
      <x:c r="H5785" s="6" t="str"/>
      <x:c r="I5785" s="6" t="str">
        <x:v>Lu Qinli gap fill from Pingshui main list; 詞 entries ignored</x:v>
      </x:c>
      <x:c r="J5785" s="6" t="str">
        <x:f>IF(B5785="","",IF(AND(ISNUMBER(SEARCH("平",B5785)),OR(ISNUMBER(SEARCH("上",B5785)),ISNUMBER(SEARCH("去",B5785)),ISNUMBER(SEARCH("入",B5785)))),"Ambiguous",IF(ISNUMBER(SEARCH("平",B5785)),"平","仄")))</x:f>
        <x:v>平</x:v>
      </x:c>
      <x:c r="K5785" s="6" t="str">
        <x:f>IF(D5785="","",IF(AND(ISNUMBER(SEARCH("平",D5785)),OR(ISNUMBER(SEARCH("上",D5785)),ISNUMBER(SEARCH("去",D5785)),ISNUMBER(SEARCH("入",D5785)))),"Ambiguous",IF(ISNUMBER(SEARCH("平",D5785)),"平","仄")))</x:f>
        <x:v>平</x:v>
      </x:c>
      <x:c r="L5785" s="7" t="str">
        <x:v>Pingshui main list, Lu Qinli gap fill</x:v>
      </x:c>
    </x:row>
    <x:row r="5786">
      <x:c r="A5786" s="5" t="str">
        <x:v>禰</x:v>
      </x:c>
      <x:c r="B5786" s="6" t="str">
        <x:v>上</x:v>
      </x:c>
      <x:c r="C5786" s="6" t="str">
        <x:f>IF(B5786="","Needs decision","Ready")</x:f>
        <x:v>Ready</x:v>
      </x:c>
      <x:c r="D5786" s="6" t="str">
        <x:v>上</x:v>
      </x:c>
      <x:c r="E5786" s="6" t="str"/>
      <x:c r="F5786" s="6" t="str">
        <x:v>上聲八薺</x:v>
      </x:c>
      <x:c r="G5786" s="6" t="str">
        <x:v>Pingshui main list, Wikisource-derived DOCX</x:v>
      </x:c>
      <x:c r="H5786" s="6" t="str"/>
      <x:c r="I5786" s="6" t="str">
        <x:v>Lu Qinli gap fill from Pingshui main list; 詞 entries ignored</x:v>
      </x:c>
      <x:c r="J5786" s="6" t="str">
        <x:f>IF(B5786="","",IF(AND(ISNUMBER(SEARCH("平",B5786)),OR(ISNUMBER(SEARCH("上",B5786)),ISNUMBER(SEARCH("去",B5786)),ISNUMBER(SEARCH("入",B5786)))),"Ambiguous",IF(ISNUMBER(SEARCH("平",B5786)),"平","仄")))</x:f>
        <x:v>仄</x:v>
      </x:c>
      <x:c r="K5786" s="6" t="str">
        <x:f>IF(D5786="","",IF(AND(ISNUMBER(SEARCH("平",D5786)),OR(ISNUMBER(SEARCH("上",D5786)),ISNUMBER(SEARCH("去",D5786)),ISNUMBER(SEARCH("入",D5786)))),"Ambiguous",IF(ISNUMBER(SEARCH("平",D5786)),"平","仄")))</x:f>
        <x:v>仄</x:v>
      </x:c>
      <x:c r="L5786" s="7" t="str">
        <x:v>Pingshui main list, Lu Qinli gap fill</x:v>
      </x:c>
    </x:row>
    <x:row r="5787">
      <x:c r="A5787" s="5" t="str">
        <x:v>禳</x:v>
      </x:c>
      <x:c r="B5787" s="6" t="str">
        <x:v>平</x:v>
      </x:c>
      <x:c r="C5787" s="6" t="str">
        <x:f>IF(B5787="","Needs decision","Ready")</x:f>
        <x:v>Ready</x:v>
      </x:c>
      <x:c r="D5787" s="6" t="str">
        <x:v>平</x:v>
      </x:c>
      <x:c r="E5787" s="6" t="str"/>
      <x:c r="F5787" s="6" t="str">
        <x:v>下平聲七陽</x:v>
      </x:c>
      <x:c r="G5787" s="6" t="str">
        <x:v>Pingshui main list, Wikisource-derived DOCX</x:v>
      </x:c>
      <x:c r="H5787" s="6" t="str"/>
      <x:c r="I5787" s="6" t="str">
        <x:v>Lu Qinli gap fill from Pingshui main list; 詞 entries ignored</x:v>
      </x:c>
      <x:c r="J5787" s="6" t="str">
        <x:f>IF(B5787="","",IF(AND(ISNUMBER(SEARCH("平",B5787)),OR(ISNUMBER(SEARCH("上",B5787)),ISNUMBER(SEARCH("去",B5787)),ISNUMBER(SEARCH("入",B5787)))),"Ambiguous",IF(ISNUMBER(SEARCH("平",B5787)),"平","仄")))</x:f>
        <x:v>平</x:v>
      </x:c>
      <x:c r="K5787" s="6" t="str">
        <x:f>IF(D5787="","",IF(AND(ISNUMBER(SEARCH("平",D5787)),OR(ISNUMBER(SEARCH("上",D5787)),ISNUMBER(SEARCH("去",D5787)),ISNUMBER(SEARCH("入",D5787)))),"Ambiguous",IF(ISNUMBER(SEARCH("平",D5787)),"平","仄")))</x:f>
        <x:v>平</x:v>
      </x:c>
      <x:c r="L5787" s="7" t="str">
        <x:v>Pingshui main list, Lu Qinli gap fill</x:v>
      </x:c>
    </x:row>
    <x:row r="5788">
      <x:c r="A5788" s="5" t="str">
        <x:v>禺</x:v>
      </x:c>
      <x:c r="B5788" s="6" t="str">
        <x:v>平</x:v>
      </x:c>
      <x:c r="C5788" s="6" t="str">
        <x:f>IF(B5788="","Needs decision","Ready")</x:f>
        <x:v>Ready</x:v>
      </x:c>
      <x:c r="D5788" s="6" t="str">
        <x:v>平</x:v>
      </x:c>
      <x:c r="E5788" s="6" t="str"/>
      <x:c r="F5788" s="6" t="str">
        <x:v>上平聲二冬; 上平聲七虞</x:v>
      </x:c>
      <x:c r="G5788" s="6" t="str">
        <x:v>Pingshui main list, Wikisource-derived DOCX</x:v>
      </x:c>
      <x:c r="H5788" s="6" t="str"/>
      <x:c r="I5788" s="6" t="str">
        <x:v>Lu Qinli gap fill from Pingshui main list; 詞 entries ignored</x:v>
      </x:c>
      <x:c r="J5788" s="6" t="str">
        <x:f>IF(B5788="","",IF(AND(ISNUMBER(SEARCH("平",B5788)),OR(ISNUMBER(SEARCH("上",B5788)),ISNUMBER(SEARCH("去",B5788)),ISNUMBER(SEARCH("入",B5788)))),"Ambiguous",IF(ISNUMBER(SEARCH("平",B5788)),"平","仄")))</x:f>
        <x:v>平</x:v>
      </x:c>
      <x:c r="K5788" s="6" t="str">
        <x:f>IF(D5788="","",IF(AND(ISNUMBER(SEARCH("平",D5788)),OR(ISNUMBER(SEARCH("上",D5788)),ISNUMBER(SEARCH("去",D5788)),ISNUMBER(SEARCH("入",D5788)))),"Ambiguous",IF(ISNUMBER(SEARCH("平",D5788)),"平","仄")))</x:f>
        <x:v>平</x:v>
      </x:c>
      <x:c r="L5788" s="7" t="str">
        <x:v>Pingshui main list, Lu Qinli gap fill</x:v>
      </x:c>
    </x:row>
    <x:row r="5789">
      <x:c r="A5789" s="5" t="str">
        <x:v>秣</x:v>
      </x:c>
      <x:c r="B5789" s="6" t="str">
        <x:v>入</x:v>
      </x:c>
      <x:c r="C5789" s="6" t="str">
        <x:f>IF(B5789="","Needs decision","Ready")</x:f>
        <x:v>Ready</x:v>
      </x:c>
      <x:c r="D5789" s="6" t="str">
        <x:v>入</x:v>
      </x:c>
      <x:c r="E5789" s="6" t="str"/>
      <x:c r="F5789" s="6" t="str">
        <x:v>入聲七曷</x:v>
      </x:c>
      <x:c r="G5789" s="6" t="str">
        <x:v>Pingshui main list, Wikisource-derived DOCX</x:v>
      </x:c>
      <x:c r="H5789" s="6" t="str"/>
      <x:c r="I5789" s="6" t="str">
        <x:v>Lu Qinli gap fill from Pingshui main list; 詞 entries ignored</x:v>
      </x:c>
      <x:c r="J5789" s="6" t="str">
        <x:f>IF(B5789="","",IF(AND(ISNUMBER(SEARCH("平",B5789)),OR(ISNUMBER(SEARCH("上",B5789)),ISNUMBER(SEARCH("去",B5789)),ISNUMBER(SEARCH("入",B5789)))),"Ambiguous",IF(ISNUMBER(SEARCH("平",B5789)),"平","仄")))</x:f>
        <x:v>仄</x:v>
      </x:c>
      <x:c r="K5789" s="6" t="str">
        <x:f>IF(D5789="","",IF(AND(ISNUMBER(SEARCH("平",D5789)),OR(ISNUMBER(SEARCH("上",D5789)),ISNUMBER(SEARCH("去",D5789)),ISNUMBER(SEARCH("入",D5789)))),"Ambiguous",IF(ISNUMBER(SEARCH("平",D5789)),"平","仄")))</x:f>
        <x:v>仄</x:v>
      </x:c>
      <x:c r="L5789" s="7" t="str">
        <x:v>Pingshui main list, Lu Qinli gap fill</x:v>
      </x:c>
    </x:row>
    <x:row r="5790">
      <x:c r="A5790" s="5" t="str">
        <x:v>秬</x:v>
      </x:c>
      <x:c r="B5790" s="6" t="str">
        <x:v>上</x:v>
      </x:c>
      <x:c r="C5790" s="6" t="str">
        <x:f>IF(B5790="","Needs decision","Ready")</x:f>
        <x:v>Ready</x:v>
      </x:c>
      <x:c r="D5790" s="6" t="str">
        <x:v>上</x:v>
      </x:c>
      <x:c r="E5790" s="6" t="str"/>
      <x:c r="F5790" s="6" t="str">
        <x:v>上聲六語</x:v>
      </x:c>
      <x:c r="G5790" s="6" t="str">
        <x:v>Pingshui main list, Wikisource-derived DOCX</x:v>
      </x:c>
      <x:c r="H5790" s="6" t="str"/>
      <x:c r="I5790" s="6" t="str">
        <x:v>Lu Qinli gap fill from Pingshui main list; 詞 entries ignored</x:v>
      </x:c>
      <x:c r="J5790" s="6" t="str">
        <x:f>IF(B5790="","",IF(AND(ISNUMBER(SEARCH("平",B5790)),OR(ISNUMBER(SEARCH("上",B5790)),ISNUMBER(SEARCH("去",B5790)),ISNUMBER(SEARCH("入",B5790)))),"Ambiguous",IF(ISNUMBER(SEARCH("平",B5790)),"平","仄")))</x:f>
        <x:v>仄</x:v>
      </x:c>
      <x:c r="K5790" s="6" t="str">
        <x:f>IF(D5790="","",IF(AND(ISNUMBER(SEARCH("平",D5790)),OR(ISNUMBER(SEARCH("上",D5790)),ISNUMBER(SEARCH("去",D5790)),ISNUMBER(SEARCH("入",D5790)))),"Ambiguous",IF(ISNUMBER(SEARCH("平",D5790)),"平","仄")))</x:f>
        <x:v>仄</x:v>
      </x:c>
      <x:c r="L5790" s="7" t="str">
        <x:v>Pingshui main list, Lu Qinli gap fill</x:v>
      </x:c>
    </x:row>
    <x:row r="5791">
      <x:c r="A5791" s="5" t="str">
        <x:v>稑</x:v>
      </x:c>
      <x:c r="B5791" s="6" t="str">
        <x:v>入</x:v>
      </x:c>
      <x:c r="C5791" s="6" t="str">
        <x:f>IF(B5791="","Needs decision","Ready")</x:f>
        <x:v>Ready</x:v>
      </x:c>
      <x:c r="D5791" s="6" t="str">
        <x:v>入</x:v>
      </x:c>
      <x:c r="E5791" s="6" t="str"/>
      <x:c r="F5791" s="6" t="str">
        <x:v>入聲一屋</x:v>
      </x:c>
      <x:c r="G5791" s="6" t="str">
        <x:v>Pingshui main list, Wikisource-derived DOCX</x:v>
      </x:c>
      <x:c r="H5791" s="6" t="str"/>
      <x:c r="I5791" s="6" t="str">
        <x:v>Lu Qinli gap fill from Pingshui main list; 詞 entries ignored</x:v>
      </x:c>
      <x:c r="J5791" s="6" t="str">
        <x:f>IF(B5791="","",IF(AND(ISNUMBER(SEARCH("平",B5791)),OR(ISNUMBER(SEARCH("上",B5791)),ISNUMBER(SEARCH("去",B5791)),ISNUMBER(SEARCH("入",B5791)))),"Ambiguous",IF(ISNUMBER(SEARCH("平",B5791)),"平","仄")))</x:f>
        <x:v>仄</x:v>
      </x:c>
      <x:c r="K5791" s="6" t="str">
        <x:f>IF(D5791="","",IF(AND(ISNUMBER(SEARCH("平",D5791)),OR(ISNUMBER(SEARCH("上",D5791)),ISNUMBER(SEARCH("去",D5791)),ISNUMBER(SEARCH("入",D5791)))),"Ambiguous",IF(ISNUMBER(SEARCH("平",D5791)),"平","仄")))</x:f>
        <x:v>仄</x:v>
      </x:c>
      <x:c r="L5791" s="7" t="str">
        <x:v>Pingshui main list, Lu Qinli gap fill</x:v>
      </x:c>
    </x:row>
    <x:row r="5792">
      <x:c r="A5792" s="5" t="str">
        <x:v>穊</x:v>
      </x:c>
      <x:c r="B5792" s="6" t="str">
        <x:v>去</x:v>
      </x:c>
      <x:c r="C5792" s="6" t="str">
        <x:f>IF(B5792="","Needs decision","Ready")</x:f>
        <x:v>Ready</x:v>
      </x:c>
      <x:c r="D5792" s="6" t="str">
        <x:v>去</x:v>
      </x:c>
      <x:c r="E5792" s="6" t="str"/>
      <x:c r="F5792" s="6" t="str">
        <x:v>去聲四寘</x:v>
      </x:c>
      <x:c r="G5792" s="6" t="str">
        <x:v>Pingshui main list, Wikisource-derived DOCX</x:v>
      </x:c>
      <x:c r="H5792" s="6" t="str"/>
      <x:c r="I5792" s="6" t="str">
        <x:v>Lu Qinli gap fill from Pingshui main list; 詞 entries ignored</x:v>
      </x:c>
      <x:c r="J5792" s="6" t="str">
        <x:f>IF(B5792="","",IF(AND(ISNUMBER(SEARCH("平",B5792)),OR(ISNUMBER(SEARCH("上",B5792)),ISNUMBER(SEARCH("去",B5792)),ISNUMBER(SEARCH("入",B5792)))),"Ambiguous",IF(ISNUMBER(SEARCH("平",B5792)),"平","仄")))</x:f>
        <x:v>仄</x:v>
      </x:c>
      <x:c r="K5792" s="6" t="str">
        <x:f>IF(D5792="","",IF(AND(ISNUMBER(SEARCH("平",D5792)),OR(ISNUMBER(SEARCH("上",D5792)),ISNUMBER(SEARCH("去",D5792)),ISNUMBER(SEARCH("入",D5792)))),"Ambiguous",IF(ISNUMBER(SEARCH("平",D5792)),"平","仄")))</x:f>
        <x:v>仄</x:v>
      </x:c>
      <x:c r="L5792" s="7" t="str">
        <x:v>Pingshui main list, Lu Qinli gap fill</x:v>
      </x:c>
    </x:row>
    <x:row r="5793">
      <x:c r="A5793" s="5" t="str">
        <x:v>穜</x:v>
      </x:c>
      <x:c r="B5793" s="6" t="str">
        <x:v>平</x:v>
      </x:c>
      <x:c r="C5793" s="6" t="str">
        <x:f>IF(B5793="","Needs decision","Ready")</x:f>
        <x:v>Ready</x:v>
      </x:c>
      <x:c r="D5793" s="6" t="str">
        <x:v>平</x:v>
      </x:c>
      <x:c r="E5793" s="6" t="str"/>
      <x:c r="F5793" s="6" t="str">
        <x:v>上平聲一東</x:v>
      </x:c>
      <x:c r="G5793" s="6" t="str">
        <x:v>Pingshui main list, Wikisource-derived DOCX</x:v>
      </x:c>
      <x:c r="H5793" s="6" t="str"/>
      <x:c r="I5793" s="6" t="str">
        <x:v>Lu Qinli gap fill from Pingshui main list; 詞 entries ignored</x:v>
      </x:c>
      <x:c r="J5793" s="6" t="str">
        <x:f>IF(B5793="","",IF(AND(ISNUMBER(SEARCH("平",B5793)),OR(ISNUMBER(SEARCH("上",B5793)),ISNUMBER(SEARCH("去",B5793)),ISNUMBER(SEARCH("入",B5793)))),"Ambiguous",IF(ISNUMBER(SEARCH("平",B5793)),"平","仄")))</x:f>
        <x:v>平</x:v>
      </x:c>
      <x:c r="K5793" s="6" t="str">
        <x:f>IF(D5793="","",IF(AND(ISNUMBER(SEARCH("平",D5793)),OR(ISNUMBER(SEARCH("上",D5793)),ISNUMBER(SEARCH("去",D5793)),ISNUMBER(SEARCH("入",D5793)))),"Ambiguous",IF(ISNUMBER(SEARCH("平",D5793)),"平","仄")))</x:f>
        <x:v>平</x:v>
      </x:c>
      <x:c r="L5793" s="7" t="str">
        <x:v>Pingshui main list, Lu Qinli gap fill</x:v>
      </x:c>
    </x:row>
    <x:row r="5794">
      <x:c r="A5794" s="5" t="str">
        <x:v>穠</x:v>
      </x:c>
      <x:c r="B5794" s="6" t="str">
        <x:v>平</x:v>
      </x:c>
      <x:c r="C5794" s="6" t="str">
        <x:f>IF(B5794="","Needs decision","Ready")</x:f>
        <x:v>Ready</x:v>
      </x:c>
      <x:c r="D5794" s="6" t="str">
        <x:v>平</x:v>
      </x:c>
      <x:c r="E5794" s="6" t="str"/>
      <x:c r="F5794" s="6" t="str">
        <x:v>上平聲二冬</x:v>
      </x:c>
      <x:c r="G5794" s="6" t="str">
        <x:v>Pingshui main list, Wikisource-derived DOCX</x:v>
      </x:c>
      <x:c r="H5794" s="6" t="str"/>
      <x:c r="I5794" s="6" t="str">
        <x:v>Lu Qinli gap fill from Pingshui main list; 詞 entries ignored</x:v>
      </x:c>
      <x:c r="J5794" s="6" t="str">
        <x:f>IF(B5794="","",IF(AND(ISNUMBER(SEARCH("平",B5794)),OR(ISNUMBER(SEARCH("上",B5794)),ISNUMBER(SEARCH("去",B5794)),ISNUMBER(SEARCH("入",B5794)))),"Ambiguous",IF(ISNUMBER(SEARCH("平",B5794)),"平","仄")))</x:f>
        <x:v>平</x:v>
      </x:c>
      <x:c r="K5794" s="6" t="str">
        <x:f>IF(D5794="","",IF(AND(ISNUMBER(SEARCH("平",D5794)),OR(ISNUMBER(SEARCH("上",D5794)),ISNUMBER(SEARCH("去",D5794)),ISNUMBER(SEARCH("入",D5794)))),"Ambiguous",IF(ISNUMBER(SEARCH("平",D5794)),"平","仄")))</x:f>
        <x:v>平</x:v>
      </x:c>
      <x:c r="L5794" s="7" t="str">
        <x:v>Pingshui main list, Lu Qinli gap fill</x:v>
      </x:c>
    </x:row>
    <x:row r="5795">
      <x:c r="A5795" s="5" t="str">
        <x:v>穰</x:v>
      </x:c>
      <x:c r="B5795" s="6" t="str"/>
      <x:c r="C5795" s="6" t="str">
        <x:f>IF(B5795="","Needs decision","Ready")</x:f>
        <x:v>Needs decision</x:v>
      </x:c>
      <x:c r="D5795" s="6" t="str">
        <x:v>平/上</x:v>
      </x:c>
      <x:c r="E5795" s="6" t="str"/>
      <x:c r="F5795" s="6" t="str">
        <x:v>下平聲七陽; 上聲二十二養</x:v>
      </x:c>
      <x:c r="G5795" s="6" t="str">
        <x:v>Pingshui main list, Wikisource-derived DOCX</x:v>
      </x:c>
      <x:c r="H5795" s="6" t="str"/>
      <x:c r="I5795" s="6" t="str">
        <x:v>Lu Qinli gap fill from Pingshui main list; 詞 entries ignored</x:v>
      </x:c>
      <x:c r="J5795" s="6" t="str">
        <x:f>IF(B5795="","",IF(AND(ISNUMBER(SEARCH("平",B5795)),OR(ISNUMBER(SEARCH("上",B5795)),ISNUMBER(SEARCH("去",B5795)),ISNUMBER(SEARCH("入",B5795)))),"Ambiguous",IF(ISNUMBER(SEARCH("平",B5795)),"平","仄")))</x:f>
      </x:c>
      <x:c r="K5795" s="6" t="str">
        <x:f>IF(D5795="","",IF(AND(ISNUMBER(SEARCH("平",D5795)),OR(ISNUMBER(SEARCH("上",D5795)),ISNUMBER(SEARCH("去",D5795)),ISNUMBER(SEARCH("入",D5795)))),"Ambiguous",IF(ISNUMBER(SEARCH("平",D5795)),"平","仄")))</x:f>
        <x:v>Ambiguous</x:v>
      </x:c>
      <x:c r="L5795" s="7" t="str">
        <x:v>Pingshui main list, Lu Qinli gap fill</x:v>
      </x:c>
    </x:row>
    <x:row r="5796">
      <x:c r="A5796" s="5" t="str">
        <x:v>穸</x:v>
      </x:c>
      <x:c r="B5796" s="6" t="str">
        <x:v>入</x:v>
      </x:c>
      <x:c r="C5796" s="6" t="str">
        <x:f>IF(B5796="","Needs decision","Ready")</x:f>
        <x:v>Ready</x:v>
      </x:c>
      <x:c r="D5796" s="6" t="str">
        <x:v>入</x:v>
      </x:c>
      <x:c r="E5796" s="6" t="str"/>
      <x:c r="F5796" s="6" t="str">
        <x:v>入聲十一陌</x:v>
      </x:c>
      <x:c r="G5796" s="6" t="str">
        <x:v>Pingshui main list, Wikisource-derived DOCX</x:v>
      </x:c>
      <x:c r="H5796" s="6" t="str"/>
      <x:c r="I5796" s="6" t="str">
        <x:v>Lu Qinli gap fill from Pingshui main list; 詞 entries ignored</x:v>
      </x:c>
      <x:c r="J5796" s="6" t="str">
        <x:f>IF(B5796="","",IF(AND(ISNUMBER(SEARCH("平",B5796)),OR(ISNUMBER(SEARCH("上",B5796)),ISNUMBER(SEARCH("去",B5796)),ISNUMBER(SEARCH("入",B5796)))),"Ambiguous",IF(ISNUMBER(SEARCH("平",B5796)),"平","仄")))</x:f>
        <x:v>仄</x:v>
      </x:c>
      <x:c r="K5796" s="6" t="str">
        <x:f>IF(D5796="","",IF(AND(ISNUMBER(SEARCH("平",D5796)),OR(ISNUMBER(SEARCH("上",D5796)),ISNUMBER(SEARCH("去",D5796)),ISNUMBER(SEARCH("入",D5796)))),"Ambiguous",IF(ISNUMBER(SEARCH("平",D5796)),"平","仄")))</x:f>
        <x:v>仄</x:v>
      </x:c>
      <x:c r="L5796" s="7" t="str">
        <x:v>Pingshui main list, Lu Qinli gap fill</x:v>
      </x:c>
    </x:row>
    <x:row r="5797">
      <x:c r="A5797" s="5" t="str">
        <x:v>窀</x:v>
      </x:c>
      <x:c r="B5797" s="6" t="str">
        <x:v>平</x:v>
      </x:c>
      <x:c r="C5797" s="6" t="str">
        <x:f>IF(B5797="","Needs decision","Ready")</x:f>
        <x:v>Ready</x:v>
      </x:c>
      <x:c r="D5797" s="6" t="str">
        <x:v>平</x:v>
      </x:c>
      <x:c r="E5797" s="6" t="str"/>
      <x:c r="F5797" s="6" t="str">
        <x:v>上平聲十一真</x:v>
      </x:c>
      <x:c r="G5797" s="6" t="str">
        <x:v>Pingshui main list, Wikisource-derived DOCX</x:v>
      </x:c>
      <x:c r="H5797" s="6" t="str"/>
      <x:c r="I5797" s="6" t="str">
        <x:v>Lu Qinli gap fill from Pingshui main list; 詞 entries ignored</x:v>
      </x:c>
      <x:c r="J5797" s="6" t="str">
        <x:f>IF(B5797="","",IF(AND(ISNUMBER(SEARCH("平",B5797)),OR(ISNUMBER(SEARCH("上",B5797)),ISNUMBER(SEARCH("去",B5797)),ISNUMBER(SEARCH("入",B5797)))),"Ambiguous",IF(ISNUMBER(SEARCH("平",B5797)),"平","仄")))</x:f>
        <x:v>平</x:v>
      </x:c>
      <x:c r="K5797" s="6" t="str">
        <x:f>IF(D5797="","",IF(AND(ISNUMBER(SEARCH("平",D5797)),OR(ISNUMBER(SEARCH("上",D5797)),ISNUMBER(SEARCH("去",D5797)),ISNUMBER(SEARCH("入",D5797)))),"Ambiguous",IF(ISNUMBER(SEARCH("平",D5797)),"平","仄")))</x:f>
        <x:v>平</x:v>
      </x:c>
      <x:c r="L5797" s="7" t="str">
        <x:v>Pingshui main list, Lu Qinli gap fill</x:v>
      </x:c>
    </x:row>
    <x:row r="5798">
      <x:c r="A5798" s="5" t="str">
        <x:v>窄</x:v>
      </x:c>
      <x:c r="B5798" s="6" t="str">
        <x:v>入</x:v>
      </x:c>
      <x:c r="C5798" s="6" t="str">
        <x:f>IF(B5798="","Needs decision","Ready")</x:f>
        <x:v>Ready</x:v>
      </x:c>
      <x:c r="D5798" s="6" t="str">
        <x:v>入</x:v>
      </x:c>
      <x:c r="E5798" s="6" t="str"/>
      <x:c r="F5798" s="6" t="str">
        <x:v>入聲十一陌</x:v>
      </x:c>
      <x:c r="G5798" s="6" t="str">
        <x:v>Pingshui main list, Wikisource-derived DOCX</x:v>
      </x:c>
      <x:c r="H5798" s="6" t="str"/>
      <x:c r="I5798" s="6" t="str">
        <x:v>Lu Qinli gap fill from Pingshui main list; 詞 entries ignored</x:v>
      </x:c>
      <x:c r="J5798" s="6" t="str">
        <x:f>IF(B5798="","",IF(AND(ISNUMBER(SEARCH("平",B5798)),OR(ISNUMBER(SEARCH("上",B5798)),ISNUMBER(SEARCH("去",B5798)),ISNUMBER(SEARCH("入",B5798)))),"Ambiguous",IF(ISNUMBER(SEARCH("平",B5798)),"平","仄")))</x:f>
        <x:v>仄</x:v>
      </x:c>
      <x:c r="K5798" s="6" t="str">
        <x:f>IF(D5798="","",IF(AND(ISNUMBER(SEARCH("平",D5798)),OR(ISNUMBER(SEARCH("上",D5798)),ISNUMBER(SEARCH("去",D5798)),ISNUMBER(SEARCH("入",D5798)))),"Ambiguous",IF(ISNUMBER(SEARCH("平",D5798)),"平","仄")))</x:f>
        <x:v>仄</x:v>
      </x:c>
      <x:c r="L5798" s="7" t="str">
        <x:v>Pingshui main list, Lu Qinli gap fill</x:v>
      </x:c>
    </x:row>
    <x:row r="5799">
      <x:c r="A5799" s="5" t="str">
        <x:v>窊</x:v>
      </x:c>
      <x:c r="B5799" s="6" t="str">
        <x:v>平</x:v>
      </x:c>
      <x:c r="C5799" s="6" t="str">
        <x:f>IF(B5799="","Needs decision","Ready")</x:f>
        <x:v>Ready</x:v>
      </x:c>
      <x:c r="D5799" s="6" t="str">
        <x:v>平</x:v>
      </x:c>
      <x:c r="E5799" s="6" t="str"/>
      <x:c r="F5799" s="6" t="str">
        <x:v>下平聲六麻</x:v>
      </x:c>
      <x:c r="G5799" s="6" t="str">
        <x:v>Pingshui main list, Wikisource-derived DOCX</x:v>
      </x:c>
      <x:c r="H5799" s="6" t="str"/>
      <x:c r="I5799" s="6" t="str">
        <x:v>Lu Qinli gap fill from Pingshui main list; 詞 entries ignored</x:v>
      </x:c>
      <x:c r="J5799" s="6" t="str">
        <x:f>IF(B5799="","",IF(AND(ISNUMBER(SEARCH("平",B5799)),OR(ISNUMBER(SEARCH("上",B5799)),ISNUMBER(SEARCH("去",B5799)),ISNUMBER(SEARCH("入",B5799)))),"Ambiguous",IF(ISNUMBER(SEARCH("平",B5799)),"平","仄")))</x:f>
        <x:v>平</x:v>
      </x:c>
      <x:c r="K5799" s="6" t="str">
        <x:f>IF(D5799="","",IF(AND(ISNUMBER(SEARCH("平",D5799)),OR(ISNUMBER(SEARCH("上",D5799)),ISNUMBER(SEARCH("去",D5799)),ISNUMBER(SEARCH("入",D5799)))),"Ambiguous",IF(ISNUMBER(SEARCH("平",D5799)),"平","仄")))</x:f>
        <x:v>平</x:v>
      </x:c>
      <x:c r="L5799" s="7" t="str">
        <x:v>Pingshui main list, Lu Qinli gap fill</x:v>
      </x:c>
    </x:row>
    <x:row r="5800">
      <x:c r="A5800" s="5" t="str">
        <x:v>窘</x:v>
      </x:c>
      <x:c r="B5800" s="6" t="str">
        <x:v>上</x:v>
      </x:c>
      <x:c r="C5800" s="6" t="str">
        <x:f>IF(B5800="","Needs decision","Ready")</x:f>
        <x:v>Ready</x:v>
      </x:c>
      <x:c r="D5800" s="6" t="str">
        <x:v>上</x:v>
      </x:c>
      <x:c r="E5800" s="6" t="str"/>
      <x:c r="F5800" s="6" t="str">
        <x:v>上聲十一軫</x:v>
      </x:c>
      <x:c r="G5800" s="6" t="str">
        <x:v>Pingshui main list, Wikisource-derived DOCX</x:v>
      </x:c>
      <x:c r="H5800" s="6" t="str"/>
      <x:c r="I5800" s="6" t="str">
        <x:v>Lu Qinli gap fill from Pingshui main list; 詞 entries ignored</x:v>
      </x:c>
      <x:c r="J5800" s="6" t="str">
        <x:f>IF(B5800="","",IF(AND(ISNUMBER(SEARCH("平",B5800)),OR(ISNUMBER(SEARCH("上",B5800)),ISNUMBER(SEARCH("去",B5800)),ISNUMBER(SEARCH("入",B5800)))),"Ambiguous",IF(ISNUMBER(SEARCH("平",B5800)),"平","仄")))</x:f>
        <x:v>仄</x:v>
      </x:c>
      <x:c r="K5800" s="6" t="str">
        <x:f>IF(D5800="","",IF(AND(ISNUMBER(SEARCH("平",D5800)),OR(ISNUMBER(SEARCH("上",D5800)),ISNUMBER(SEARCH("去",D5800)),ISNUMBER(SEARCH("入",D5800)))),"Ambiguous",IF(ISNUMBER(SEARCH("平",D5800)),"平","仄")))</x:f>
        <x:v>仄</x:v>
      </x:c>
      <x:c r="L5800" s="7" t="str">
        <x:v>Pingshui main list, Lu Qinli gap fill</x:v>
      </x:c>
    </x:row>
    <x:row r="5801">
      <x:c r="A5801" s="5" t="str">
        <x:v>窣</x:v>
      </x:c>
      <x:c r="B5801" s="6" t="str">
        <x:v>入</x:v>
      </x:c>
      <x:c r="C5801" s="6" t="str">
        <x:f>IF(B5801="","Needs decision","Ready")</x:f>
        <x:v>Ready</x:v>
      </x:c>
      <x:c r="D5801" s="6" t="str">
        <x:v>入</x:v>
      </x:c>
      <x:c r="E5801" s="6" t="str"/>
      <x:c r="F5801" s="6" t="str">
        <x:v>入聲六月</x:v>
      </x:c>
      <x:c r="G5801" s="6" t="str">
        <x:v>Pingshui main list, Wikisource-derived DOCX</x:v>
      </x:c>
      <x:c r="H5801" s="6" t="str"/>
      <x:c r="I5801" s="6" t="str">
        <x:v>Lu Qinli gap fill from Pingshui main list; 詞 entries ignored</x:v>
      </x:c>
      <x:c r="J5801" s="6" t="str">
        <x:f>IF(B5801="","",IF(AND(ISNUMBER(SEARCH("平",B5801)),OR(ISNUMBER(SEARCH("上",B5801)),ISNUMBER(SEARCH("去",B5801)),ISNUMBER(SEARCH("入",B5801)))),"Ambiguous",IF(ISNUMBER(SEARCH("平",B5801)),"平","仄")))</x:f>
        <x:v>仄</x:v>
      </x:c>
      <x:c r="K5801" s="6" t="str">
        <x:f>IF(D5801="","",IF(AND(ISNUMBER(SEARCH("平",D5801)),OR(ISNUMBER(SEARCH("上",D5801)),ISNUMBER(SEARCH("去",D5801)),ISNUMBER(SEARCH("入",D5801)))),"Ambiguous",IF(ISNUMBER(SEARCH("平",D5801)),"平","仄")))</x:f>
        <x:v>仄</x:v>
      </x:c>
      <x:c r="L5801" s="7" t="str">
        <x:v>Pingshui main list, Lu Qinli gap fill</x:v>
      </x:c>
    </x:row>
    <x:row r="5802">
      <x:c r="A5802" s="5" t="str">
        <x:v>窪</x:v>
      </x:c>
      <x:c r="B5802" s="6" t="str">
        <x:v>平</x:v>
      </x:c>
      <x:c r="C5802" s="6" t="str">
        <x:f>IF(B5802="","Needs decision","Ready")</x:f>
        <x:v>Ready</x:v>
      </x:c>
      <x:c r="D5802" s="6" t="str">
        <x:v>平</x:v>
      </x:c>
      <x:c r="E5802" s="6" t="str"/>
      <x:c r="F5802" s="6" t="str">
        <x:v>下平聲六麻</x:v>
      </x:c>
      <x:c r="G5802" s="6" t="str">
        <x:v>Pingshui main list, Wikisource-derived DOCX</x:v>
      </x:c>
      <x:c r="H5802" s="6" t="str"/>
      <x:c r="I5802" s="6" t="str">
        <x:v>Lu Qinli gap fill from Pingshui main list; 詞 entries ignored</x:v>
      </x:c>
      <x:c r="J5802" s="6" t="str">
        <x:f>IF(B5802="","",IF(AND(ISNUMBER(SEARCH("平",B5802)),OR(ISNUMBER(SEARCH("上",B5802)),ISNUMBER(SEARCH("去",B5802)),ISNUMBER(SEARCH("入",B5802)))),"Ambiguous",IF(ISNUMBER(SEARCH("平",B5802)),"平","仄")))</x:f>
        <x:v>平</x:v>
      </x:c>
      <x:c r="K5802" s="6" t="str">
        <x:f>IF(D5802="","",IF(AND(ISNUMBER(SEARCH("平",D5802)),OR(ISNUMBER(SEARCH("上",D5802)),ISNUMBER(SEARCH("去",D5802)),ISNUMBER(SEARCH("入",D5802)))),"Ambiguous",IF(ISNUMBER(SEARCH("平",D5802)),"平","仄")))</x:f>
        <x:v>平</x:v>
      </x:c>
      <x:c r="L5802" s="7" t="str">
        <x:v>Pingshui main list, Lu Qinli gap fill</x:v>
      </x:c>
    </x:row>
    <x:row r="5803">
      <x:c r="A5803" s="5" t="str">
        <x:v>窶</x:v>
      </x:c>
      <x:c r="B5803" s="6" t="str">
        <x:v>上</x:v>
      </x:c>
      <x:c r="C5803" s="6" t="str">
        <x:f>IF(B5803="","Needs decision","Ready")</x:f>
        <x:v>Ready</x:v>
      </x:c>
      <x:c r="D5803" s="6" t="str">
        <x:v>上</x:v>
      </x:c>
      <x:c r="E5803" s="6" t="str"/>
      <x:c r="F5803" s="6" t="str">
        <x:v>上聲七麌</x:v>
      </x:c>
      <x:c r="G5803" s="6" t="str">
        <x:v>Pingshui main list, Wikisource-derived DOCX</x:v>
      </x:c>
      <x:c r="H5803" s="6" t="str"/>
      <x:c r="I5803" s="6" t="str">
        <x:v>Lu Qinli gap fill from Pingshui main list; 詞 entries ignored</x:v>
      </x:c>
      <x:c r="J5803" s="6" t="str">
        <x:f>IF(B5803="","",IF(AND(ISNUMBER(SEARCH("平",B5803)),OR(ISNUMBER(SEARCH("上",B5803)),ISNUMBER(SEARCH("去",B5803)),ISNUMBER(SEARCH("入",B5803)))),"Ambiguous",IF(ISNUMBER(SEARCH("平",B5803)),"平","仄")))</x:f>
        <x:v>仄</x:v>
      </x:c>
      <x:c r="K5803" s="6" t="str">
        <x:f>IF(D5803="","",IF(AND(ISNUMBER(SEARCH("平",D5803)),OR(ISNUMBER(SEARCH("上",D5803)),ISNUMBER(SEARCH("去",D5803)),ISNUMBER(SEARCH("入",D5803)))),"Ambiguous",IF(ISNUMBER(SEARCH("平",D5803)),"平","仄")))</x:f>
        <x:v>仄</x:v>
      </x:c>
      <x:c r="L5803" s="7" t="str">
        <x:v>Pingshui main list, Lu Qinli gap fill</x:v>
      </x:c>
    </x:row>
    <x:row r="5804">
      <x:c r="A5804" s="5" t="str">
        <x:v>窿</x:v>
      </x:c>
      <x:c r="B5804" s="6" t="str">
        <x:v>平</x:v>
      </x:c>
      <x:c r="C5804" s="6" t="str">
        <x:f>IF(B5804="","Needs decision","Ready")</x:f>
        <x:v>Ready</x:v>
      </x:c>
      <x:c r="D5804" s="6" t="str">
        <x:v>平</x:v>
      </x:c>
      <x:c r="E5804" s="6" t="str"/>
      <x:c r="F5804" s="6" t="str">
        <x:v>上平聲一東</x:v>
      </x:c>
      <x:c r="G5804" s="6" t="str">
        <x:v>Pingshui main list, Wikisource-derived DOCX</x:v>
      </x:c>
      <x:c r="H5804" s="6" t="str"/>
      <x:c r="I5804" s="6" t="str">
        <x:v>Lu Qinli gap fill from Pingshui main list; 詞 entries ignored</x:v>
      </x:c>
      <x:c r="J5804" s="6" t="str">
        <x:f>IF(B5804="","",IF(AND(ISNUMBER(SEARCH("平",B5804)),OR(ISNUMBER(SEARCH("上",B5804)),ISNUMBER(SEARCH("去",B5804)),ISNUMBER(SEARCH("入",B5804)))),"Ambiguous",IF(ISNUMBER(SEARCH("平",B5804)),"平","仄")))</x:f>
        <x:v>平</x:v>
      </x:c>
      <x:c r="K5804" s="6" t="str">
        <x:f>IF(D5804="","",IF(AND(ISNUMBER(SEARCH("平",D5804)),OR(ISNUMBER(SEARCH("上",D5804)),ISNUMBER(SEARCH("去",D5804)),ISNUMBER(SEARCH("入",D5804)))),"Ambiguous",IF(ISNUMBER(SEARCH("平",D5804)),"平","仄")))</x:f>
        <x:v>平</x:v>
      </x:c>
      <x:c r="L5804" s="7" t="str">
        <x:v>Pingshui main list, Lu Qinli gap fill</x:v>
      </x:c>
    </x:row>
    <x:row r="5805">
      <x:c r="A5805" s="5" t="str">
        <x:v>竁</x:v>
      </x:c>
      <x:c r="B5805" s="6" t="str">
        <x:v>去</x:v>
      </x:c>
      <x:c r="C5805" s="6" t="str">
        <x:f>IF(B5805="","Needs decision","Ready")</x:f>
        <x:v>Ready</x:v>
      </x:c>
      <x:c r="D5805" s="6" t="str">
        <x:v>去</x:v>
      </x:c>
      <x:c r="E5805" s="6" t="str"/>
      <x:c r="F5805" s="6" t="str">
        <x:v>去聲八霽; 去聲十七霰</x:v>
      </x:c>
      <x:c r="G5805" s="6" t="str">
        <x:v>Pingshui main list, Wikisource-derived DOCX</x:v>
      </x:c>
      <x:c r="H5805" s="6" t="str"/>
      <x:c r="I5805" s="6" t="str">
        <x:v>Lu Qinli gap fill from Pingshui main list; 詞 entries ignored</x:v>
      </x:c>
      <x:c r="J5805" s="6" t="str">
        <x:f>IF(B5805="","",IF(AND(ISNUMBER(SEARCH("平",B5805)),OR(ISNUMBER(SEARCH("上",B5805)),ISNUMBER(SEARCH("去",B5805)),ISNUMBER(SEARCH("入",B5805)))),"Ambiguous",IF(ISNUMBER(SEARCH("平",B5805)),"平","仄")))</x:f>
        <x:v>仄</x:v>
      </x:c>
      <x:c r="K5805" s="6" t="str">
        <x:f>IF(D5805="","",IF(AND(ISNUMBER(SEARCH("平",D5805)),OR(ISNUMBER(SEARCH("上",D5805)),ISNUMBER(SEARCH("去",D5805)),ISNUMBER(SEARCH("入",D5805)))),"Ambiguous",IF(ISNUMBER(SEARCH("平",D5805)),"平","仄")))</x:f>
        <x:v>仄</x:v>
      </x:c>
      <x:c r="L5805" s="7" t="str">
        <x:v>Pingshui main list, Lu Qinli gap fill</x:v>
      </x:c>
    </x:row>
    <x:row r="5806">
      <x:c r="A5806" s="5" t="str">
        <x:v>站</x:v>
      </x:c>
      <x:c r="B5806" s="6" t="str">
        <x:v>去</x:v>
      </x:c>
      <x:c r="C5806" s="6" t="str">
        <x:f>IF(B5806="","Needs decision","Ready")</x:f>
        <x:v>Ready</x:v>
      </x:c>
      <x:c r="D5806" s="6" t="str">
        <x:v>去</x:v>
      </x:c>
      <x:c r="E5806" s="6" t="str"/>
      <x:c r="F5806" s="6" t="str">
        <x:v>去聲三十陷</x:v>
      </x:c>
      <x:c r="G5806" s="6" t="str">
        <x:v>Pingshui main list, Wikisource-derived DOCX</x:v>
      </x:c>
      <x:c r="H5806" s="6" t="str"/>
      <x:c r="I5806" s="6" t="str">
        <x:v>Lu Qinli gap fill from Pingshui main list; 詞 entries ignored</x:v>
      </x:c>
      <x:c r="J5806" s="6" t="str">
        <x:f>IF(B5806="","",IF(AND(ISNUMBER(SEARCH("平",B5806)),OR(ISNUMBER(SEARCH("上",B5806)),ISNUMBER(SEARCH("去",B5806)),ISNUMBER(SEARCH("入",B5806)))),"Ambiguous",IF(ISNUMBER(SEARCH("平",B5806)),"平","仄")))</x:f>
        <x:v>仄</x:v>
      </x:c>
      <x:c r="K5806" s="6" t="str">
        <x:f>IF(D5806="","",IF(AND(ISNUMBER(SEARCH("平",D5806)),OR(ISNUMBER(SEARCH("上",D5806)),ISNUMBER(SEARCH("去",D5806)),ISNUMBER(SEARCH("入",D5806)))),"Ambiguous",IF(ISNUMBER(SEARCH("平",D5806)),"平","仄")))</x:f>
        <x:v>仄</x:v>
      </x:c>
      <x:c r="L5806" s="7" t="str">
        <x:v>Pingshui main list, Lu Qinli gap fill</x:v>
      </x:c>
    </x:row>
    <x:row r="5807">
      <x:c r="A5807" s="5" t="str">
        <x:v>竣</x:v>
      </x:c>
      <x:c r="B5807" s="6" t="str">
        <x:v>平</x:v>
      </x:c>
      <x:c r="C5807" s="6" t="str">
        <x:f>IF(B5807="","Needs decision","Ready")</x:f>
        <x:v>Ready</x:v>
      </x:c>
      <x:c r="D5807" s="6" t="str">
        <x:v>平</x:v>
      </x:c>
      <x:c r="E5807" s="6" t="str"/>
      <x:c r="F5807" s="6" t="str">
        <x:v>上平聲十一真; 下平聲一先</x:v>
      </x:c>
      <x:c r="G5807" s="6" t="str">
        <x:v>Pingshui main list, Wikisource-derived DOCX</x:v>
      </x:c>
      <x:c r="H5807" s="6" t="str"/>
      <x:c r="I5807" s="6" t="str">
        <x:v>Lu Qinli gap fill from Pingshui main list; 詞 entries ignored</x:v>
      </x:c>
      <x:c r="J5807" s="6" t="str">
        <x:f>IF(B5807="","",IF(AND(ISNUMBER(SEARCH("平",B5807)),OR(ISNUMBER(SEARCH("上",B5807)),ISNUMBER(SEARCH("去",B5807)),ISNUMBER(SEARCH("入",B5807)))),"Ambiguous",IF(ISNUMBER(SEARCH("平",B5807)),"平","仄")))</x:f>
        <x:v>平</x:v>
      </x:c>
      <x:c r="K5807" s="6" t="str">
        <x:f>IF(D5807="","",IF(AND(ISNUMBER(SEARCH("平",D5807)),OR(ISNUMBER(SEARCH("上",D5807)),ISNUMBER(SEARCH("去",D5807)),ISNUMBER(SEARCH("入",D5807)))),"Ambiguous",IF(ISNUMBER(SEARCH("平",D5807)),"平","仄")))</x:f>
        <x:v>平</x:v>
      </x:c>
      <x:c r="L5807" s="7" t="str">
        <x:v>Pingshui main list, Lu Qinli gap fill</x:v>
      </x:c>
    </x:row>
    <x:row r="5808">
      <x:c r="A5808" s="5" t="str">
        <x:v>竦</x:v>
      </x:c>
      <x:c r="B5808" s="6" t="str">
        <x:v>上</x:v>
      </x:c>
      <x:c r="C5808" s="6" t="str">
        <x:f>IF(B5808="","Needs decision","Ready")</x:f>
        <x:v>Ready</x:v>
      </x:c>
      <x:c r="D5808" s="6" t="str">
        <x:v>上</x:v>
      </x:c>
      <x:c r="E5808" s="6" t="str"/>
      <x:c r="F5808" s="6" t="str">
        <x:v>上聲二腫</x:v>
      </x:c>
      <x:c r="G5808" s="6" t="str">
        <x:v>Pingshui main list, Wikisource-derived DOCX</x:v>
      </x:c>
      <x:c r="H5808" s="6" t="str"/>
      <x:c r="I5808" s="6" t="str">
        <x:v>Lu Qinli gap fill from Pingshui main list; 詞 entries ignored</x:v>
      </x:c>
      <x:c r="J5808" s="6" t="str">
        <x:f>IF(B5808="","",IF(AND(ISNUMBER(SEARCH("平",B5808)),OR(ISNUMBER(SEARCH("上",B5808)),ISNUMBER(SEARCH("去",B5808)),ISNUMBER(SEARCH("入",B5808)))),"Ambiguous",IF(ISNUMBER(SEARCH("平",B5808)),"平","仄")))</x:f>
        <x:v>仄</x:v>
      </x:c>
      <x:c r="K5808" s="6" t="str">
        <x:f>IF(D5808="","",IF(AND(ISNUMBER(SEARCH("平",D5808)),OR(ISNUMBER(SEARCH("上",D5808)),ISNUMBER(SEARCH("去",D5808)),ISNUMBER(SEARCH("入",D5808)))),"Ambiguous",IF(ISNUMBER(SEARCH("平",D5808)),"平","仄")))</x:f>
        <x:v>仄</x:v>
      </x:c>
      <x:c r="L5808" s="7" t="str">
        <x:v>Pingshui main list, Lu Qinli gap fill</x:v>
      </x:c>
    </x:row>
    <x:row r="5809">
      <x:c r="A5809" s="5" t="str">
        <x:v>竺</x:v>
      </x:c>
      <x:c r="B5809" s="6" t="str">
        <x:v>入</x:v>
      </x:c>
      <x:c r="C5809" s="6" t="str">
        <x:f>IF(B5809="","Needs decision","Ready")</x:f>
        <x:v>Ready</x:v>
      </x:c>
      <x:c r="D5809" s="6" t="str">
        <x:v>入</x:v>
      </x:c>
      <x:c r="E5809" s="6" t="str"/>
      <x:c r="F5809" s="6" t="str">
        <x:v>入聲一屋</x:v>
      </x:c>
      <x:c r="G5809" s="6" t="str">
        <x:v>Pingshui main list, Wikisource-derived DOCX</x:v>
      </x:c>
      <x:c r="H5809" s="6" t="str"/>
      <x:c r="I5809" s="6" t="str">
        <x:v>Lu Qinli gap fill from Pingshui main list; 詞 entries ignored</x:v>
      </x:c>
      <x:c r="J5809" s="6" t="str">
        <x:f>IF(B5809="","",IF(AND(ISNUMBER(SEARCH("平",B5809)),OR(ISNUMBER(SEARCH("上",B5809)),ISNUMBER(SEARCH("去",B5809)),ISNUMBER(SEARCH("入",B5809)))),"Ambiguous",IF(ISNUMBER(SEARCH("平",B5809)),"平","仄")))</x:f>
        <x:v>仄</x:v>
      </x:c>
      <x:c r="K5809" s="6" t="str">
        <x:f>IF(D5809="","",IF(AND(ISNUMBER(SEARCH("平",D5809)),OR(ISNUMBER(SEARCH("上",D5809)),ISNUMBER(SEARCH("去",D5809)),ISNUMBER(SEARCH("入",D5809)))),"Ambiguous",IF(ISNUMBER(SEARCH("平",D5809)),"平","仄")))</x:f>
        <x:v>仄</x:v>
      </x:c>
      <x:c r="L5809" s="7" t="str">
        <x:v>Pingshui main list, Lu Qinli gap fill</x:v>
      </x:c>
    </x:row>
    <x:row r="5810">
      <x:c r="A5810" s="5" t="str">
        <x:v>笈</x:v>
      </x:c>
      <x:c r="B5810" s="6" t="str">
        <x:v>入</x:v>
      </x:c>
      <x:c r="C5810" s="6" t="str">
        <x:f>IF(B5810="","Needs decision","Ready")</x:f>
        <x:v>Ready</x:v>
      </x:c>
      <x:c r="D5810" s="6" t="str">
        <x:v>入</x:v>
      </x:c>
      <x:c r="E5810" s="6" t="str"/>
      <x:c r="F5810" s="6" t="str">
        <x:v>入聲十四緝; 入聲十六葉</x:v>
      </x:c>
      <x:c r="G5810" s="6" t="str">
        <x:v>Pingshui main list, Wikisource-derived DOCX</x:v>
      </x:c>
      <x:c r="H5810" s="6" t="str"/>
      <x:c r="I5810" s="6" t="str">
        <x:v>Lu Qinli gap fill from Pingshui main list; 詞 entries ignored</x:v>
      </x:c>
      <x:c r="J5810" s="6" t="str">
        <x:f>IF(B5810="","",IF(AND(ISNUMBER(SEARCH("平",B5810)),OR(ISNUMBER(SEARCH("上",B5810)),ISNUMBER(SEARCH("去",B5810)),ISNUMBER(SEARCH("入",B5810)))),"Ambiguous",IF(ISNUMBER(SEARCH("平",B5810)),"平","仄")))</x:f>
        <x:v>仄</x:v>
      </x:c>
      <x:c r="K5810" s="6" t="str">
        <x:f>IF(D5810="","",IF(AND(ISNUMBER(SEARCH("平",D5810)),OR(ISNUMBER(SEARCH("上",D5810)),ISNUMBER(SEARCH("去",D5810)),ISNUMBER(SEARCH("入",D5810)))),"Ambiguous",IF(ISNUMBER(SEARCH("平",D5810)),"平","仄")))</x:f>
        <x:v>仄</x:v>
      </x:c>
      <x:c r="L5810" s="7" t="str">
        <x:v>Pingshui main list, Lu Qinli gap fill</x:v>
      </x:c>
    </x:row>
    <x:row r="5811">
      <x:c r="A5811" s="5" t="str">
        <x:v>笏</x:v>
      </x:c>
      <x:c r="B5811" s="6" t="str">
        <x:v>入</x:v>
      </x:c>
      <x:c r="C5811" s="6" t="str">
        <x:f>IF(B5811="","Needs decision","Ready")</x:f>
        <x:v>Ready</x:v>
      </x:c>
      <x:c r="D5811" s="6" t="str">
        <x:v>入</x:v>
      </x:c>
      <x:c r="E5811" s="6" t="str"/>
      <x:c r="F5811" s="6" t="str">
        <x:v>入聲六月</x:v>
      </x:c>
      <x:c r="G5811" s="6" t="str">
        <x:v>Pingshui main list, Wikisource-derived DOCX</x:v>
      </x:c>
      <x:c r="H5811" s="6" t="str"/>
      <x:c r="I5811" s="6" t="str">
        <x:v>Lu Qinli gap fill from Pingshui main list; 詞 entries ignored</x:v>
      </x:c>
      <x:c r="J5811" s="6" t="str">
        <x:f>IF(B5811="","",IF(AND(ISNUMBER(SEARCH("平",B5811)),OR(ISNUMBER(SEARCH("上",B5811)),ISNUMBER(SEARCH("去",B5811)),ISNUMBER(SEARCH("入",B5811)))),"Ambiguous",IF(ISNUMBER(SEARCH("平",B5811)),"平","仄")))</x:f>
        <x:v>仄</x:v>
      </x:c>
      <x:c r="K5811" s="6" t="str">
        <x:f>IF(D5811="","",IF(AND(ISNUMBER(SEARCH("平",D5811)),OR(ISNUMBER(SEARCH("上",D5811)),ISNUMBER(SEARCH("去",D5811)),ISNUMBER(SEARCH("入",D5811)))),"Ambiguous",IF(ISNUMBER(SEARCH("平",D5811)),"平","仄")))</x:f>
        <x:v>仄</x:v>
      </x:c>
      <x:c r="L5811" s="7" t="str">
        <x:v>Pingshui main list, Lu Qinli gap fill</x:v>
      </x:c>
    </x:row>
    <x:row r="5812">
      <x:c r="A5812" s="5" t="str">
        <x:v>笞</x:v>
      </x:c>
      <x:c r="B5812" s="6" t="str">
        <x:v>平</x:v>
      </x:c>
      <x:c r="C5812" s="6" t="str">
        <x:f>IF(B5812="","Needs decision","Ready")</x:f>
        <x:v>Ready</x:v>
      </x:c>
      <x:c r="D5812" s="6" t="str">
        <x:v>平</x:v>
      </x:c>
      <x:c r="E5812" s="6" t="str"/>
      <x:c r="F5812" s="6" t="str">
        <x:v>上平聲四支</x:v>
      </x:c>
      <x:c r="G5812" s="6" t="str">
        <x:v>Pingshui main list, Wikisource-derived DOCX</x:v>
      </x:c>
      <x:c r="H5812" s="6" t="str"/>
      <x:c r="I5812" s="6" t="str">
        <x:v>Lu Qinli gap fill from Pingshui main list; 詞 entries ignored</x:v>
      </x:c>
      <x:c r="J5812" s="6" t="str">
        <x:f>IF(B5812="","",IF(AND(ISNUMBER(SEARCH("平",B5812)),OR(ISNUMBER(SEARCH("上",B5812)),ISNUMBER(SEARCH("去",B5812)),ISNUMBER(SEARCH("入",B5812)))),"Ambiguous",IF(ISNUMBER(SEARCH("平",B5812)),"平","仄")))</x:f>
        <x:v>平</x:v>
      </x:c>
      <x:c r="K5812" s="6" t="str">
        <x:f>IF(D5812="","",IF(AND(ISNUMBER(SEARCH("平",D5812)),OR(ISNUMBER(SEARCH("上",D5812)),ISNUMBER(SEARCH("去",D5812)),ISNUMBER(SEARCH("入",D5812)))),"Ambiguous",IF(ISNUMBER(SEARCH("平",D5812)),"平","仄")))</x:f>
        <x:v>平</x:v>
      </x:c>
      <x:c r="L5812" s="7" t="str">
        <x:v>Pingshui main list, Lu Qinli gap fill</x:v>
      </x:c>
    </x:row>
    <x:row r="5813">
      <x:c r="A5813" s="5" t="str">
        <x:v>笥</x:v>
      </x:c>
      <x:c r="B5813" s="6" t="str">
        <x:v>去</x:v>
      </x:c>
      <x:c r="C5813" s="6" t="str">
        <x:f>IF(B5813="","Needs decision","Ready")</x:f>
        <x:v>Ready</x:v>
      </x:c>
      <x:c r="D5813" s="6" t="str">
        <x:v>去</x:v>
      </x:c>
      <x:c r="E5813" s="6" t="str"/>
      <x:c r="F5813" s="6" t="str">
        <x:v>去聲四寘</x:v>
      </x:c>
      <x:c r="G5813" s="6" t="str">
        <x:v>Pingshui main list, Wikisource-derived DOCX</x:v>
      </x:c>
      <x:c r="H5813" s="6" t="str"/>
      <x:c r="I5813" s="6" t="str">
        <x:v>Lu Qinli gap fill from Pingshui main list; 詞 entries ignored</x:v>
      </x:c>
      <x:c r="J5813" s="6" t="str">
        <x:f>IF(B5813="","",IF(AND(ISNUMBER(SEARCH("平",B5813)),OR(ISNUMBER(SEARCH("上",B5813)),ISNUMBER(SEARCH("去",B5813)),ISNUMBER(SEARCH("入",B5813)))),"Ambiguous",IF(ISNUMBER(SEARCH("平",B5813)),"平","仄")))</x:f>
        <x:v>仄</x:v>
      </x:c>
      <x:c r="K5813" s="6" t="str">
        <x:f>IF(D5813="","",IF(AND(ISNUMBER(SEARCH("平",D5813)),OR(ISNUMBER(SEARCH("上",D5813)),ISNUMBER(SEARCH("去",D5813)),ISNUMBER(SEARCH("入",D5813)))),"Ambiguous",IF(ISNUMBER(SEARCH("平",D5813)),"平","仄")))</x:f>
        <x:v>仄</x:v>
      </x:c>
      <x:c r="L5813" s="7" t="str">
        <x:v>Pingshui main list, Lu Qinli gap fill</x:v>
      </x:c>
    </x:row>
    <x:row r="5814">
      <x:c r="A5814" s="5" t="str">
        <x:v>笮</x:v>
      </x:c>
      <x:c r="B5814" s="6" t="str">
        <x:v>入</x:v>
      </x:c>
      <x:c r="C5814" s="6" t="str">
        <x:f>IF(B5814="","Needs decision","Ready")</x:f>
        <x:v>Ready</x:v>
      </x:c>
      <x:c r="D5814" s="6" t="str">
        <x:v>入</x:v>
      </x:c>
      <x:c r="E5814" s="6" t="str"/>
      <x:c r="F5814" s="6" t="str">
        <x:v>入聲十藥</x:v>
      </x:c>
      <x:c r="G5814" s="6" t="str">
        <x:v>Pingshui main list, Wikisource-derived DOCX</x:v>
      </x:c>
      <x:c r="H5814" s="6" t="str"/>
      <x:c r="I5814" s="6" t="str">
        <x:v>Lu Qinli gap fill from Pingshui main list; 詞 entries ignored</x:v>
      </x:c>
      <x:c r="J5814" s="6" t="str">
        <x:f>IF(B5814="","",IF(AND(ISNUMBER(SEARCH("平",B5814)),OR(ISNUMBER(SEARCH("上",B5814)),ISNUMBER(SEARCH("去",B5814)),ISNUMBER(SEARCH("入",B5814)))),"Ambiguous",IF(ISNUMBER(SEARCH("平",B5814)),"平","仄")))</x:f>
        <x:v>仄</x:v>
      </x:c>
      <x:c r="K5814" s="6" t="str">
        <x:f>IF(D5814="","",IF(AND(ISNUMBER(SEARCH("平",D5814)),OR(ISNUMBER(SEARCH("上",D5814)),ISNUMBER(SEARCH("去",D5814)),ISNUMBER(SEARCH("入",D5814)))),"Ambiguous",IF(ISNUMBER(SEARCH("平",D5814)),"平","仄")))</x:f>
        <x:v>仄</x:v>
      </x:c>
      <x:c r="L5814" s="7" t="str">
        <x:v>Pingshui main list, Lu Qinli gap fill</x:v>
      </x:c>
    </x:row>
    <x:row r="5815">
      <x:c r="A5815" s="5" t="str">
        <x:v>笱</x:v>
      </x:c>
      <x:c r="B5815" s="6" t="str">
        <x:v>上</x:v>
      </x:c>
      <x:c r="C5815" s="6" t="str">
        <x:f>IF(B5815="","Needs decision","Ready")</x:f>
        <x:v>Ready</x:v>
      </x:c>
      <x:c r="D5815" s="6" t="str">
        <x:v>上</x:v>
      </x:c>
      <x:c r="E5815" s="6" t="str"/>
      <x:c r="F5815" s="6" t="str">
        <x:v>上聲二十五有</x:v>
      </x:c>
      <x:c r="G5815" s="6" t="str">
        <x:v>Pingshui main list, Wikisource-derived DOCX</x:v>
      </x:c>
      <x:c r="H5815" s="6" t="str"/>
      <x:c r="I5815" s="6" t="str">
        <x:v>Lu Qinli gap fill from Pingshui main list; 詞 entries ignored</x:v>
      </x:c>
      <x:c r="J5815" s="6" t="str">
        <x:f>IF(B5815="","",IF(AND(ISNUMBER(SEARCH("平",B5815)),OR(ISNUMBER(SEARCH("上",B5815)),ISNUMBER(SEARCH("去",B5815)),ISNUMBER(SEARCH("入",B5815)))),"Ambiguous",IF(ISNUMBER(SEARCH("平",B5815)),"平","仄")))</x:f>
        <x:v>仄</x:v>
      </x:c>
      <x:c r="K5815" s="6" t="str">
        <x:f>IF(D5815="","",IF(AND(ISNUMBER(SEARCH("平",D5815)),OR(ISNUMBER(SEARCH("上",D5815)),ISNUMBER(SEARCH("去",D5815)),ISNUMBER(SEARCH("入",D5815)))),"Ambiguous",IF(ISNUMBER(SEARCH("平",D5815)),"平","仄")))</x:f>
        <x:v>仄</x:v>
      </x:c>
      <x:c r="L5815" s="7" t="str">
        <x:v>Pingshui main list, Lu Qinli gap fill</x:v>
      </x:c>
    </x:row>
    <x:row r="5816">
      <x:c r="A5816" s="5" t="str">
        <x:v>筇</x:v>
      </x:c>
      <x:c r="B5816" s="6" t="str">
        <x:v>平</x:v>
      </x:c>
      <x:c r="C5816" s="6" t="str">
        <x:f>IF(B5816="","Needs decision","Ready")</x:f>
        <x:v>Ready</x:v>
      </x:c>
      <x:c r="D5816" s="6" t="str">
        <x:v>平</x:v>
      </x:c>
      <x:c r="E5816" s="6" t="str"/>
      <x:c r="F5816" s="6" t="str">
        <x:v>上平聲二冬</x:v>
      </x:c>
      <x:c r="G5816" s="6" t="str">
        <x:v>Pingshui main list, Wikisource-derived DOCX</x:v>
      </x:c>
      <x:c r="H5816" s="6" t="str"/>
      <x:c r="I5816" s="6" t="str">
        <x:v>Lu Qinli gap fill from Pingshui main list; 詞 entries ignored</x:v>
      </x:c>
      <x:c r="J5816" s="6" t="str">
        <x:f>IF(B5816="","",IF(AND(ISNUMBER(SEARCH("平",B5816)),OR(ISNUMBER(SEARCH("上",B5816)),ISNUMBER(SEARCH("去",B5816)),ISNUMBER(SEARCH("入",B5816)))),"Ambiguous",IF(ISNUMBER(SEARCH("平",B5816)),"平","仄")))</x:f>
        <x:v>平</x:v>
      </x:c>
      <x:c r="K5816" s="6" t="str">
        <x:f>IF(D5816="","",IF(AND(ISNUMBER(SEARCH("平",D5816)),OR(ISNUMBER(SEARCH("上",D5816)),ISNUMBER(SEARCH("去",D5816)),ISNUMBER(SEARCH("入",D5816)))),"Ambiguous",IF(ISNUMBER(SEARCH("平",D5816)),"平","仄")))</x:f>
        <x:v>平</x:v>
      </x:c>
      <x:c r="L5816" s="7" t="str">
        <x:v>Pingshui main list, Lu Qinli gap fill</x:v>
      </x:c>
    </x:row>
    <x:row r="5817">
      <x:c r="A5817" s="5" t="str">
        <x:v>筈</x:v>
      </x:c>
      <x:c r="B5817" s="6" t="str">
        <x:v>入</x:v>
      </x:c>
      <x:c r="C5817" s="6" t="str">
        <x:f>IF(B5817="","Needs decision","Ready")</x:f>
        <x:v>Ready</x:v>
      </x:c>
      <x:c r="D5817" s="6" t="str">
        <x:v>入</x:v>
      </x:c>
      <x:c r="E5817" s="6" t="str"/>
      <x:c r="F5817" s="6" t="str">
        <x:v>入聲七曷</x:v>
      </x:c>
      <x:c r="G5817" s="6" t="str">
        <x:v>Pingshui main list, Wikisource-derived DOCX</x:v>
      </x:c>
      <x:c r="H5817" s="6" t="str"/>
      <x:c r="I5817" s="6" t="str">
        <x:v>Lu Qinli gap fill from Pingshui main list; 詞 entries ignored</x:v>
      </x:c>
      <x:c r="J5817" s="6" t="str">
        <x:f>IF(B5817="","",IF(AND(ISNUMBER(SEARCH("平",B5817)),OR(ISNUMBER(SEARCH("上",B5817)),ISNUMBER(SEARCH("去",B5817)),ISNUMBER(SEARCH("入",B5817)))),"Ambiguous",IF(ISNUMBER(SEARCH("平",B5817)),"平","仄")))</x:f>
        <x:v>仄</x:v>
      </x:c>
      <x:c r="K5817" s="6" t="str">
        <x:f>IF(D5817="","",IF(AND(ISNUMBER(SEARCH("平",D5817)),OR(ISNUMBER(SEARCH("上",D5817)),ISNUMBER(SEARCH("去",D5817)),ISNUMBER(SEARCH("入",D5817)))),"Ambiguous",IF(ISNUMBER(SEARCH("平",D5817)),"平","仄")))</x:f>
        <x:v>仄</x:v>
      </x:c>
      <x:c r="L5817" s="7" t="str">
        <x:v>Pingshui main list, Lu Qinli gap fill</x:v>
      </x:c>
    </x:row>
    <x:row r="5818">
      <x:c r="A5818" s="5" t="str">
        <x:v>筊</x:v>
      </x:c>
      <x:c r="B5818" s="6" t="str"/>
      <x:c r="C5818" s="6" t="str">
        <x:f>IF(B5818="","Needs decision","Ready")</x:f>
        <x:v>Needs decision</x:v>
      </x:c>
      <x:c r="D5818" s="6" t="str">
        <x:v>平/上</x:v>
      </x:c>
      <x:c r="E5818" s="6" t="str"/>
      <x:c r="F5818" s="6" t="str">
        <x:v>下平聲三肴; 上聲十八巧</x:v>
      </x:c>
      <x:c r="G5818" s="6" t="str">
        <x:v>Pingshui main list, Wikisource-derived DOCX</x:v>
      </x:c>
      <x:c r="H5818" s="6" t="str"/>
      <x:c r="I5818" s="6" t="str">
        <x:v>Lu Qinli gap fill from Pingshui main list; 詞 entries ignored</x:v>
      </x:c>
      <x:c r="J5818" s="6" t="str">
        <x:f>IF(B5818="","",IF(AND(ISNUMBER(SEARCH("平",B5818)),OR(ISNUMBER(SEARCH("上",B5818)),ISNUMBER(SEARCH("去",B5818)),ISNUMBER(SEARCH("入",B5818)))),"Ambiguous",IF(ISNUMBER(SEARCH("平",B5818)),"平","仄")))</x:f>
      </x:c>
      <x:c r="K5818" s="6" t="str">
        <x:f>IF(D5818="","",IF(AND(ISNUMBER(SEARCH("平",D5818)),OR(ISNUMBER(SEARCH("上",D5818)),ISNUMBER(SEARCH("去",D5818)),ISNUMBER(SEARCH("入",D5818)))),"Ambiguous",IF(ISNUMBER(SEARCH("平",D5818)),"平","仄")))</x:f>
        <x:v>Ambiguous</x:v>
      </x:c>
      <x:c r="L5818" s="7" t="str">
        <x:v>Pingshui main list, Lu Qinli gap fill</x:v>
      </x:c>
    </x:row>
    <x:row r="5819">
      <x:c r="A5819" s="5" t="str">
        <x:v>筌</x:v>
      </x:c>
      <x:c r="B5819" s="6" t="str">
        <x:v>平</x:v>
      </x:c>
      <x:c r="C5819" s="6" t="str">
        <x:f>IF(B5819="","Needs decision","Ready")</x:f>
        <x:v>Ready</x:v>
      </x:c>
      <x:c r="D5819" s="6" t="str">
        <x:v>平</x:v>
      </x:c>
      <x:c r="E5819" s="6" t="str"/>
      <x:c r="F5819" s="6" t="str">
        <x:v>下平聲一先</x:v>
      </x:c>
      <x:c r="G5819" s="6" t="str">
        <x:v>Pingshui main list, Wikisource-derived DOCX</x:v>
      </x:c>
      <x:c r="H5819" s="6" t="str"/>
      <x:c r="I5819" s="6" t="str">
        <x:v>Lu Qinli gap fill from Pingshui main list; 詞 entries ignored</x:v>
      </x:c>
      <x:c r="J5819" s="6" t="str">
        <x:f>IF(B5819="","",IF(AND(ISNUMBER(SEARCH("平",B5819)),OR(ISNUMBER(SEARCH("上",B5819)),ISNUMBER(SEARCH("去",B5819)),ISNUMBER(SEARCH("入",B5819)))),"Ambiguous",IF(ISNUMBER(SEARCH("平",B5819)),"平","仄")))</x:f>
        <x:v>平</x:v>
      </x:c>
      <x:c r="K5819" s="6" t="str">
        <x:f>IF(D5819="","",IF(AND(ISNUMBER(SEARCH("平",D5819)),OR(ISNUMBER(SEARCH("上",D5819)),ISNUMBER(SEARCH("去",D5819)),ISNUMBER(SEARCH("入",D5819)))),"Ambiguous",IF(ISNUMBER(SEARCH("平",D5819)),"平","仄")))</x:f>
        <x:v>平</x:v>
      </x:c>
      <x:c r="L5819" s="7" t="str">
        <x:v>Pingshui main list, Lu Qinli gap fill</x:v>
      </x:c>
    </x:row>
    <x:row r="5820">
      <x:c r="A5820" s="5" t="str">
        <x:v>箋</x:v>
      </x:c>
      <x:c r="B5820" s="6" t="str">
        <x:v>平</x:v>
      </x:c>
      <x:c r="C5820" s="6" t="str">
        <x:f>IF(B5820="","Needs decision","Ready")</x:f>
        <x:v>Ready</x:v>
      </x:c>
      <x:c r="D5820" s="6" t="str">
        <x:v>平</x:v>
      </x:c>
      <x:c r="E5820" s="6" t="str"/>
      <x:c r="F5820" s="6" t="str">
        <x:v>下平聲一先</x:v>
      </x:c>
      <x:c r="G5820" s="6" t="str">
        <x:v>Pingshui main list, Wikisource-derived DOCX</x:v>
      </x:c>
      <x:c r="H5820" s="6" t="str"/>
      <x:c r="I5820" s="6" t="str">
        <x:v>Lu Qinli gap fill from Pingshui main list; 詞 entries ignored</x:v>
      </x:c>
      <x:c r="J5820" s="6" t="str">
        <x:f>IF(B5820="","",IF(AND(ISNUMBER(SEARCH("平",B5820)),OR(ISNUMBER(SEARCH("上",B5820)),ISNUMBER(SEARCH("去",B5820)),ISNUMBER(SEARCH("入",B5820)))),"Ambiguous",IF(ISNUMBER(SEARCH("平",B5820)),"平","仄")))</x:f>
        <x:v>平</x:v>
      </x:c>
      <x:c r="K5820" s="6" t="str">
        <x:f>IF(D5820="","",IF(AND(ISNUMBER(SEARCH("平",D5820)),OR(ISNUMBER(SEARCH("上",D5820)),ISNUMBER(SEARCH("去",D5820)),ISNUMBER(SEARCH("入",D5820)))),"Ambiguous",IF(ISNUMBER(SEARCH("平",D5820)),"平","仄")))</x:f>
        <x:v>平</x:v>
      </x:c>
      <x:c r="L5820" s="7" t="str">
        <x:v>Pingshui main list, Lu Qinli gap fill</x:v>
      </x:c>
    </x:row>
    <x:row r="5821">
      <x:c r="A5821" s="5" t="str">
        <x:v>箛</x:v>
      </x:c>
      <x:c r="B5821" s="6" t="str">
        <x:v>平</x:v>
      </x:c>
      <x:c r="C5821" s="6" t="str">
        <x:f>IF(B5821="","Needs decision","Ready")</x:f>
        <x:v>Ready</x:v>
      </x:c>
      <x:c r="D5821" s="6" t="str">
        <x:v>平</x:v>
      </x:c>
      <x:c r="E5821" s="6" t="str"/>
      <x:c r="F5821" s="6" t="str">
        <x:v>上平聲七虞</x:v>
      </x:c>
      <x:c r="G5821" s="6" t="str">
        <x:v>Pingshui main list, Wikisource-derived DOCX</x:v>
      </x:c>
      <x:c r="H5821" s="6" t="str"/>
      <x:c r="I5821" s="6" t="str">
        <x:v>Lu Qinli gap fill from Pingshui main list; 詞 entries ignored</x:v>
      </x:c>
      <x:c r="J5821" s="6" t="str">
        <x:f>IF(B5821="","",IF(AND(ISNUMBER(SEARCH("平",B5821)),OR(ISNUMBER(SEARCH("上",B5821)),ISNUMBER(SEARCH("去",B5821)),ISNUMBER(SEARCH("入",B5821)))),"Ambiguous",IF(ISNUMBER(SEARCH("平",B5821)),"平","仄")))</x:f>
        <x:v>平</x:v>
      </x:c>
      <x:c r="K5821" s="6" t="str">
        <x:f>IF(D5821="","",IF(AND(ISNUMBER(SEARCH("平",D5821)),OR(ISNUMBER(SEARCH("上",D5821)),ISNUMBER(SEARCH("去",D5821)),ISNUMBER(SEARCH("入",D5821)))),"Ambiguous",IF(ISNUMBER(SEARCH("平",D5821)),"平","仄")))</x:f>
        <x:v>平</x:v>
      </x:c>
      <x:c r="L5821" s="7" t="str">
        <x:v>Pingshui main list, Lu Qinli gap fill</x:v>
      </x:c>
    </x:row>
    <x:row r="5822">
      <x:c r="A5822" s="5" t="str">
        <x:v>箬</x:v>
      </x:c>
      <x:c r="B5822" s="6" t="str">
        <x:v>入</x:v>
      </x:c>
      <x:c r="C5822" s="6" t="str">
        <x:f>IF(B5822="","Needs decision","Ready")</x:f>
        <x:v>Ready</x:v>
      </x:c>
      <x:c r="D5822" s="6" t="str">
        <x:v>入</x:v>
      </x:c>
      <x:c r="E5822" s="6" t="str"/>
      <x:c r="F5822" s="6" t="str">
        <x:v>入聲十藥</x:v>
      </x:c>
      <x:c r="G5822" s="6" t="str">
        <x:v>Pingshui main list, Wikisource-derived DOCX</x:v>
      </x:c>
      <x:c r="H5822" s="6" t="str"/>
      <x:c r="I5822" s="6" t="str">
        <x:v>Lu Qinli gap fill from Pingshui main list; 詞 entries ignored</x:v>
      </x:c>
      <x:c r="J5822" s="6" t="str">
        <x:f>IF(B5822="","",IF(AND(ISNUMBER(SEARCH("平",B5822)),OR(ISNUMBER(SEARCH("上",B5822)),ISNUMBER(SEARCH("去",B5822)),ISNUMBER(SEARCH("入",B5822)))),"Ambiguous",IF(ISNUMBER(SEARCH("平",B5822)),"平","仄")))</x:f>
        <x:v>仄</x:v>
      </x:c>
      <x:c r="K5822" s="6" t="str">
        <x:f>IF(D5822="","",IF(AND(ISNUMBER(SEARCH("平",D5822)),OR(ISNUMBER(SEARCH("上",D5822)),ISNUMBER(SEARCH("去",D5822)),ISNUMBER(SEARCH("入",D5822)))),"Ambiguous",IF(ISNUMBER(SEARCH("平",D5822)),"平","仄")))</x:f>
        <x:v>仄</x:v>
      </x:c>
      <x:c r="L5822" s="7" t="str">
        <x:v>Pingshui main list, Lu Qinli gap fill</x:v>
      </x:c>
    </x:row>
    <x:row r="5823">
      <x:c r="A5823" s="5" t="str">
        <x:v>篌</x:v>
      </x:c>
      <x:c r="B5823" s="6" t="str">
        <x:v>平</x:v>
      </x:c>
      <x:c r="C5823" s="6" t="str">
        <x:f>IF(B5823="","Needs decision","Ready")</x:f>
        <x:v>Ready</x:v>
      </x:c>
      <x:c r="D5823" s="6" t="str">
        <x:v>平</x:v>
      </x:c>
      <x:c r="E5823" s="6" t="str"/>
      <x:c r="F5823" s="6" t="str">
        <x:v>下平聲十一尤</x:v>
      </x:c>
      <x:c r="G5823" s="6" t="str">
        <x:v>Pingshui main list, Wikisource-derived DOCX</x:v>
      </x:c>
      <x:c r="H5823" s="6" t="str"/>
      <x:c r="I5823" s="6" t="str">
        <x:v>Lu Qinli gap fill from Pingshui main list; 詞 entries ignored</x:v>
      </x:c>
      <x:c r="J5823" s="6" t="str">
        <x:f>IF(B5823="","",IF(AND(ISNUMBER(SEARCH("平",B5823)),OR(ISNUMBER(SEARCH("上",B5823)),ISNUMBER(SEARCH("去",B5823)),ISNUMBER(SEARCH("入",B5823)))),"Ambiguous",IF(ISNUMBER(SEARCH("平",B5823)),"平","仄")))</x:f>
        <x:v>平</x:v>
      </x:c>
      <x:c r="K5823" s="6" t="str">
        <x:f>IF(D5823="","",IF(AND(ISNUMBER(SEARCH("平",D5823)),OR(ISNUMBER(SEARCH("上",D5823)),ISNUMBER(SEARCH("去",D5823)),ISNUMBER(SEARCH("入",D5823)))),"Ambiguous",IF(ISNUMBER(SEARCH("平",D5823)),"平","仄")))</x:f>
        <x:v>平</x:v>
      </x:c>
      <x:c r="L5823" s="7" t="str">
        <x:v>Pingshui main list, Lu Qinli gap fill</x:v>
      </x:c>
    </x:row>
    <x:row r="5824">
      <x:c r="A5824" s="5" t="str">
        <x:v>篙</x:v>
      </x:c>
      <x:c r="B5824" s="6" t="str">
        <x:v>平</x:v>
      </x:c>
      <x:c r="C5824" s="6" t="str">
        <x:f>IF(B5824="","Needs decision","Ready")</x:f>
        <x:v>Ready</x:v>
      </x:c>
      <x:c r="D5824" s="6" t="str">
        <x:v>平</x:v>
      </x:c>
      <x:c r="E5824" s="6" t="str"/>
      <x:c r="F5824" s="6" t="str">
        <x:v>下平聲四豪</x:v>
      </x:c>
      <x:c r="G5824" s="6" t="str">
        <x:v>Pingshui main list, Wikisource-derived DOCX</x:v>
      </x:c>
      <x:c r="H5824" s="6" t="str"/>
      <x:c r="I5824" s="6" t="str">
        <x:v>Lu Qinli gap fill from Pingshui main list; 詞 entries ignored</x:v>
      </x:c>
      <x:c r="J5824" s="6" t="str">
        <x:f>IF(B5824="","",IF(AND(ISNUMBER(SEARCH("平",B5824)),OR(ISNUMBER(SEARCH("上",B5824)),ISNUMBER(SEARCH("去",B5824)),ISNUMBER(SEARCH("入",B5824)))),"Ambiguous",IF(ISNUMBER(SEARCH("平",B5824)),"平","仄")))</x:f>
        <x:v>平</x:v>
      </x:c>
      <x:c r="K5824" s="6" t="str">
        <x:f>IF(D5824="","",IF(AND(ISNUMBER(SEARCH("平",D5824)),OR(ISNUMBER(SEARCH("上",D5824)),ISNUMBER(SEARCH("去",D5824)),ISNUMBER(SEARCH("入",D5824)))),"Ambiguous",IF(ISNUMBER(SEARCH("平",D5824)),"平","仄")))</x:f>
        <x:v>平</x:v>
      </x:c>
      <x:c r="L5824" s="7" t="str">
        <x:v>Pingshui main list, Lu Qinli gap fill</x:v>
      </x:c>
    </x:row>
    <x:row r="5825">
      <x:c r="A5825" s="5" t="str">
        <x:v>篚</x:v>
      </x:c>
      <x:c r="B5825" s="6" t="str">
        <x:v>上</x:v>
      </x:c>
      <x:c r="C5825" s="6" t="str">
        <x:f>IF(B5825="","Needs decision","Ready")</x:f>
        <x:v>Ready</x:v>
      </x:c>
      <x:c r="D5825" s="6" t="str">
        <x:v>上</x:v>
      </x:c>
      <x:c r="E5825" s="6" t="str"/>
      <x:c r="F5825" s="6" t="str">
        <x:v>上聲五尾</x:v>
      </x:c>
      <x:c r="G5825" s="6" t="str">
        <x:v>Pingshui main list, Wikisource-derived DOCX</x:v>
      </x:c>
      <x:c r="H5825" s="6" t="str"/>
      <x:c r="I5825" s="6" t="str">
        <x:v>Lu Qinli gap fill from Pingshui main list; 詞 entries ignored</x:v>
      </x:c>
      <x:c r="J5825" s="6" t="str">
        <x:f>IF(B5825="","",IF(AND(ISNUMBER(SEARCH("平",B5825)),OR(ISNUMBER(SEARCH("上",B5825)),ISNUMBER(SEARCH("去",B5825)),ISNUMBER(SEARCH("入",B5825)))),"Ambiguous",IF(ISNUMBER(SEARCH("平",B5825)),"平","仄")))</x:f>
        <x:v>仄</x:v>
      </x:c>
      <x:c r="K5825" s="6" t="str">
        <x:f>IF(D5825="","",IF(AND(ISNUMBER(SEARCH("平",D5825)),OR(ISNUMBER(SEARCH("上",D5825)),ISNUMBER(SEARCH("去",D5825)),ISNUMBER(SEARCH("入",D5825)))),"Ambiguous",IF(ISNUMBER(SEARCH("平",D5825)),"平","仄")))</x:f>
        <x:v>仄</x:v>
      </x:c>
      <x:c r="L5825" s="7" t="str">
        <x:v>Pingshui main list, Lu Qinli gap fill</x:v>
      </x:c>
    </x:row>
    <x:row r="5826">
      <x:c r="A5826" s="5" t="str">
        <x:v>篡</x:v>
      </x:c>
      <x:c r="B5826" s="6" t="str">
        <x:v>去</x:v>
      </x:c>
      <x:c r="C5826" s="6" t="str">
        <x:f>IF(B5826="","Needs decision","Ready")</x:f>
        <x:v>Ready</x:v>
      </x:c>
      <x:c r="D5826" s="6" t="str">
        <x:v>去</x:v>
      </x:c>
      <x:c r="E5826" s="6" t="str"/>
      <x:c r="F5826" s="6" t="str">
        <x:v>去聲十六諫</x:v>
      </x:c>
      <x:c r="G5826" s="6" t="str">
        <x:v>Pingshui main list, Wikisource-derived DOCX</x:v>
      </x:c>
      <x:c r="H5826" s="6" t="str"/>
      <x:c r="I5826" s="6" t="str">
        <x:v>Lu Qinli gap fill from Pingshui main list; 詞 entries ignored</x:v>
      </x:c>
      <x:c r="J5826" s="6" t="str">
        <x:f>IF(B5826="","",IF(AND(ISNUMBER(SEARCH("平",B5826)),OR(ISNUMBER(SEARCH("上",B5826)),ISNUMBER(SEARCH("去",B5826)),ISNUMBER(SEARCH("入",B5826)))),"Ambiguous",IF(ISNUMBER(SEARCH("平",B5826)),"平","仄")))</x:f>
        <x:v>仄</x:v>
      </x:c>
      <x:c r="K5826" s="6" t="str">
        <x:f>IF(D5826="","",IF(AND(ISNUMBER(SEARCH("平",D5826)),OR(ISNUMBER(SEARCH("上",D5826)),ISNUMBER(SEARCH("去",D5826)),ISNUMBER(SEARCH("入",D5826)))),"Ambiguous",IF(ISNUMBER(SEARCH("平",D5826)),"平","仄")))</x:f>
        <x:v>仄</x:v>
      </x:c>
      <x:c r="L5826" s="7" t="str">
        <x:v>Pingshui main list, Lu Qinli gap fill</x:v>
      </x:c>
    </x:row>
    <x:row r="5827">
      <x:c r="A5827" s="5" t="str">
        <x:v>篥</x:v>
      </x:c>
      <x:c r="B5827" s="6" t="str">
        <x:v>入</x:v>
      </x:c>
      <x:c r="C5827" s="6" t="str">
        <x:f>IF(B5827="","Needs decision","Ready")</x:f>
        <x:v>Ready</x:v>
      </x:c>
      <x:c r="D5827" s="6" t="str">
        <x:v>入</x:v>
      </x:c>
      <x:c r="E5827" s="6" t="str"/>
      <x:c r="F5827" s="6" t="str">
        <x:v>入聲四質</x:v>
      </x:c>
      <x:c r="G5827" s="6" t="str">
        <x:v>Pingshui main list, Wikisource-derived DOCX</x:v>
      </x:c>
      <x:c r="H5827" s="6" t="str"/>
      <x:c r="I5827" s="6" t="str">
        <x:v>Lu Qinli gap fill from Pingshui main list; 詞 entries ignored</x:v>
      </x:c>
      <x:c r="J5827" s="6" t="str">
        <x:f>IF(B5827="","",IF(AND(ISNUMBER(SEARCH("平",B5827)),OR(ISNUMBER(SEARCH("上",B5827)),ISNUMBER(SEARCH("去",B5827)),ISNUMBER(SEARCH("入",B5827)))),"Ambiguous",IF(ISNUMBER(SEARCH("平",B5827)),"平","仄")))</x:f>
        <x:v>仄</x:v>
      </x:c>
      <x:c r="K5827" s="6" t="str">
        <x:f>IF(D5827="","",IF(AND(ISNUMBER(SEARCH("平",D5827)),OR(ISNUMBER(SEARCH("上",D5827)),ISNUMBER(SEARCH("去",D5827)),ISNUMBER(SEARCH("入",D5827)))),"Ambiguous",IF(ISNUMBER(SEARCH("平",D5827)),"平","仄")))</x:f>
        <x:v>仄</x:v>
      </x:c>
      <x:c r="L5827" s="7" t="str">
        <x:v>Pingshui main list, Lu Qinli gap fill</x:v>
      </x:c>
    </x:row>
    <x:row r="5828">
      <x:c r="A5828" s="5" t="str">
        <x:v>篨</x:v>
      </x:c>
      <x:c r="B5828" s="6" t="str">
        <x:v>平</x:v>
      </x:c>
      <x:c r="C5828" s="6" t="str">
        <x:f>IF(B5828="","Needs decision","Ready")</x:f>
        <x:v>Ready</x:v>
      </x:c>
      <x:c r="D5828" s="6" t="str">
        <x:v>平</x:v>
      </x:c>
      <x:c r="E5828" s="6" t="str"/>
      <x:c r="F5828" s="6" t="str">
        <x:v>上平聲六魚</x:v>
      </x:c>
      <x:c r="G5828" s="6" t="str">
        <x:v>Pingshui main list, Wikisource-derived DOCX</x:v>
      </x:c>
      <x:c r="H5828" s="6" t="str"/>
      <x:c r="I5828" s="6" t="str">
        <x:v>Lu Qinli gap fill from Pingshui main list; 詞 entries ignored</x:v>
      </x:c>
      <x:c r="J5828" s="6" t="str">
        <x:f>IF(B5828="","",IF(AND(ISNUMBER(SEARCH("平",B5828)),OR(ISNUMBER(SEARCH("上",B5828)),ISNUMBER(SEARCH("去",B5828)),ISNUMBER(SEARCH("入",B5828)))),"Ambiguous",IF(ISNUMBER(SEARCH("平",B5828)),"平","仄")))</x:f>
        <x:v>平</x:v>
      </x:c>
      <x:c r="K5828" s="6" t="str">
        <x:f>IF(D5828="","",IF(AND(ISNUMBER(SEARCH("平",D5828)),OR(ISNUMBER(SEARCH("上",D5828)),ISNUMBER(SEARCH("去",D5828)),ISNUMBER(SEARCH("入",D5828)))),"Ambiguous",IF(ISNUMBER(SEARCH("平",D5828)),"平","仄")))</x:f>
        <x:v>平</x:v>
      </x:c>
      <x:c r="L5828" s="7" t="str">
        <x:v>Pingshui main list, Lu Qinli gap fill</x:v>
      </x:c>
    </x:row>
    <x:row r="5829">
      <x:c r="A5829" s="5" t="str">
        <x:v>篸</x:v>
      </x:c>
      <x:c r="B5829" s="6" t="str">
        <x:v>平</x:v>
      </x:c>
      <x:c r="C5829" s="6" t="str">
        <x:f>IF(B5829="","Needs decision","Ready")</x:f>
        <x:v>Ready</x:v>
      </x:c>
      <x:c r="D5829" s="6" t="str">
        <x:v>平</x:v>
      </x:c>
      <x:c r="E5829" s="6" t="str"/>
      <x:c r="F5829" s="6" t="str">
        <x:v>下平聲十三覃</x:v>
      </x:c>
      <x:c r="G5829" s="6" t="str">
        <x:v>Pingshui main list, Wikisource-derived DOCX</x:v>
      </x:c>
      <x:c r="H5829" s="6" t="str"/>
      <x:c r="I5829" s="6" t="str">
        <x:v>Lu Qinli gap fill from Pingshui main list; 詞 entries ignored</x:v>
      </x:c>
      <x:c r="J5829" s="6" t="str">
        <x:f>IF(B5829="","",IF(AND(ISNUMBER(SEARCH("平",B5829)),OR(ISNUMBER(SEARCH("上",B5829)),ISNUMBER(SEARCH("去",B5829)),ISNUMBER(SEARCH("入",B5829)))),"Ambiguous",IF(ISNUMBER(SEARCH("平",B5829)),"平","仄")))</x:f>
        <x:v>平</x:v>
      </x:c>
      <x:c r="K5829" s="6" t="str">
        <x:f>IF(D5829="","",IF(AND(ISNUMBER(SEARCH("平",D5829)),OR(ISNUMBER(SEARCH("上",D5829)),ISNUMBER(SEARCH("去",D5829)),ISNUMBER(SEARCH("入",D5829)))),"Ambiguous",IF(ISNUMBER(SEARCH("平",D5829)),"平","仄")))</x:f>
        <x:v>平</x:v>
      </x:c>
      <x:c r="L5829" s="7" t="str">
        <x:v>Pingshui main list, Lu Qinli gap fill</x:v>
      </x:c>
    </x:row>
    <x:row r="5830">
      <x:c r="A5830" s="5" t="str">
        <x:v>篻</x:v>
      </x:c>
      <x:c r="B5830" s="6" t="str"/>
      <x:c r="C5830" s="6" t="str">
        <x:f>IF(B5830="","Needs decision","Ready")</x:f>
        <x:v>Needs decision</x:v>
      </x:c>
      <x:c r="D5830" s="6" t="str">
        <x:v>平/上</x:v>
      </x:c>
      <x:c r="E5830" s="6" t="str"/>
      <x:c r="F5830" s="6" t="str">
        <x:v>下平聲二蕭; 上聲十七篠</x:v>
      </x:c>
      <x:c r="G5830" s="6" t="str">
        <x:v>Pingshui main list, Wikisource-derived DOCX</x:v>
      </x:c>
      <x:c r="H5830" s="6" t="str"/>
      <x:c r="I5830" s="6" t="str">
        <x:v>Lu Qinli gap fill from Pingshui main list; 詞 entries ignored</x:v>
      </x:c>
      <x:c r="J5830" s="6" t="str">
        <x:f>IF(B5830="","",IF(AND(ISNUMBER(SEARCH("平",B5830)),OR(ISNUMBER(SEARCH("上",B5830)),ISNUMBER(SEARCH("去",B5830)),ISNUMBER(SEARCH("入",B5830)))),"Ambiguous",IF(ISNUMBER(SEARCH("平",B5830)),"平","仄")))</x:f>
      </x:c>
      <x:c r="K5830" s="6" t="str">
        <x:f>IF(D5830="","",IF(AND(ISNUMBER(SEARCH("平",D5830)),OR(ISNUMBER(SEARCH("上",D5830)),ISNUMBER(SEARCH("去",D5830)),ISNUMBER(SEARCH("入",D5830)))),"Ambiguous",IF(ISNUMBER(SEARCH("平",D5830)),"平","仄")))</x:f>
        <x:v>Ambiguous</x:v>
      </x:c>
      <x:c r="L5830" s="7" t="str">
        <x:v>Pingshui main list, Lu Qinli gap fill</x:v>
      </x:c>
    </x:row>
    <x:row r="5831">
      <x:c r="A5831" s="5" t="str">
        <x:v>篾</x:v>
      </x:c>
      <x:c r="B5831" s="6" t="str">
        <x:v>入</x:v>
      </x:c>
      <x:c r="C5831" s="6" t="str">
        <x:f>IF(B5831="","Needs decision","Ready")</x:f>
        <x:v>Ready</x:v>
      </x:c>
      <x:c r="D5831" s="6" t="str">
        <x:v>入</x:v>
      </x:c>
      <x:c r="E5831" s="6" t="str"/>
      <x:c r="F5831" s="6" t="str">
        <x:v>入聲九屑</x:v>
      </x:c>
      <x:c r="G5831" s="6" t="str">
        <x:v>Pingshui main list, Wikisource-derived DOCX</x:v>
      </x:c>
      <x:c r="H5831" s="6" t="str"/>
      <x:c r="I5831" s="6" t="str">
        <x:v>Lu Qinli gap fill from Pingshui main list; 詞 entries ignored</x:v>
      </x:c>
      <x:c r="J5831" s="6" t="str">
        <x:f>IF(B5831="","",IF(AND(ISNUMBER(SEARCH("平",B5831)),OR(ISNUMBER(SEARCH("上",B5831)),ISNUMBER(SEARCH("去",B5831)),ISNUMBER(SEARCH("入",B5831)))),"Ambiguous",IF(ISNUMBER(SEARCH("平",B5831)),"平","仄")))</x:f>
        <x:v>仄</x:v>
      </x:c>
      <x:c r="K5831" s="6" t="str">
        <x:f>IF(D5831="","",IF(AND(ISNUMBER(SEARCH("平",D5831)),OR(ISNUMBER(SEARCH("上",D5831)),ISNUMBER(SEARCH("去",D5831)),ISNUMBER(SEARCH("入",D5831)))),"Ambiguous",IF(ISNUMBER(SEARCH("平",D5831)),"平","仄")))</x:f>
        <x:v>仄</x:v>
      </x:c>
      <x:c r="L5831" s="7" t="str">
        <x:v>Pingshui main list, Lu Qinli gap fill</x:v>
      </x:c>
    </x:row>
    <x:row r="5832">
      <x:c r="A5832" s="5" t="str">
        <x:v>簀</x:v>
      </x:c>
      <x:c r="B5832" s="6" t="str">
        <x:v>入</x:v>
      </x:c>
      <x:c r="C5832" s="6" t="str">
        <x:f>IF(B5832="","Needs decision","Ready")</x:f>
        <x:v>Ready</x:v>
      </x:c>
      <x:c r="D5832" s="6" t="str">
        <x:v>入</x:v>
      </x:c>
      <x:c r="E5832" s="6" t="str"/>
      <x:c r="F5832" s="6" t="str">
        <x:v>入聲十一陌</x:v>
      </x:c>
      <x:c r="G5832" s="6" t="str">
        <x:v>Pingshui main list, Wikisource-derived DOCX</x:v>
      </x:c>
      <x:c r="H5832" s="6" t="str"/>
      <x:c r="I5832" s="6" t="str">
        <x:v>Lu Qinli gap fill from Pingshui main list; 詞 entries ignored</x:v>
      </x:c>
      <x:c r="J5832" s="6" t="str">
        <x:f>IF(B5832="","",IF(AND(ISNUMBER(SEARCH("平",B5832)),OR(ISNUMBER(SEARCH("上",B5832)),ISNUMBER(SEARCH("去",B5832)),ISNUMBER(SEARCH("入",B5832)))),"Ambiguous",IF(ISNUMBER(SEARCH("平",B5832)),"平","仄")))</x:f>
        <x:v>仄</x:v>
      </x:c>
      <x:c r="K5832" s="6" t="str">
        <x:f>IF(D5832="","",IF(AND(ISNUMBER(SEARCH("平",D5832)),OR(ISNUMBER(SEARCH("上",D5832)),ISNUMBER(SEARCH("去",D5832)),ISNUMBER(SEARCH("入",D5832)))),"Ambiguous",IF(ISNUMBER(SEARCH("平",D5832)),"平","仄")))</x:f>
        <x:v>仄</x:v>
      </x:c>
      <x:c r="L5832" s="7" t="str">
        <x:v>Pingshui main list, Lu Qinli gap fill</x:v>
      </x:c>
    </x:row>
    <x:row r="5833">
      <x:c r="A5833" s="5" t="str">
        <x:v>簇</x:v>
      </x:c>
      <x:c r="B5833" s="6" t="str">
        <x:v>入</x:v>
      </x:c>
      <x:c r="C5833" s="6" t="str">
        <x:f>IF(B5833="","Needs decision","Ready")</x:f>
        <x:v>Ready</x:v>
      </x:c>
      <x:c r="D5833" s="6" t="str">
        <x:v>入</x:v>
      </x:c>
      <x:c r="E5833" s="6" t="str"/>
      <x:c r="F5833" s="6" t="str">
        <x:v>入聲一屋</x:v>
      </x:c>
      <x:c r="G5833" s="6" t="str">
        <x:v>Pingshui main list, Wikisource-derived DOCX</x:v>
      </x:c>
      <x:c r="H5833" s="6" t="str"/>
      <x:c r="I5833" s="6" t="str">
        <x:v>Lu Qinli gap fill from Pingshui main list; 詞 entries ignored</x:v>
      </x:c>
      <x:c r="J5833" s="6" t="str">
        <x:f>IF(B5833="","",IF(AND(ISNUMBER(SEARCH("平",B5833)),OR(ISNUMBER(SEARCH("上",B5833)),ISNUMBER(SEARCH("去",B5833)),ISNUMBER(SEARCH("入",B5833)))),"Ambiguous",IF(ISNUMBER(SEARCH("平",B5833)),"平","仄")))</x:f>
        <x:v>仄</x:v>
      </x:c>
      <x:c r="K5833" s="6" t="str">
        <x:f>IF(D5833="","",IF(AND(ISNUMBER(SEARCH("平",D5833)),OR(ISNUMBER(SEARCH("上",D5833)),ISNUMBER(SEARCH("去",D5833)),ISNUMBER(SEARCH("入",D5833)))),"Ambiguous",IF(ISNUMBER(SEARCH("平",D5833)),"平","仄")))</x:f>
        <x:v>仄</x:v>
      </x:c>
      <x:c r="L5833" s="7" t="str">
        <x:v>Pingshui main list, Lu Qinli gap fill</x:v>
      </x:c>
    </x:row>
    <x:row r="5834">
      <x:c r="A5834" s="5" t="str">
        <x:v>簉</x:v>
      </x:c>
      <x:c r="B5834" s="6" t="str">
        <x:v>去</x:v>
      </x:c>
      <x:c r="C5834" s="6" t="str">
        <x:f>IF(B5834="","Needs decision","Ready")</x:f>
        <x:v>Ready</x:v>
      </x:c>
      <x:c r="D5834" s="6" t="str">
        <x:v>去</x:v>
      </x:c>
      <x:c r="E5834" s="6" t="str"/>
      <x:c r="F5834" s="6" t="str">
        <x:v>去聲二十六宥</x:v>
      </x:c>
      <x:c r="G5834" s="6" t="str">
        <x:v>Pingshui main list, Wikisource-derived DOCX</x:v>
      </x:c>
      <x:c r="H5834" s="6" t="str"/>
      <x:c r="I5834" s="6" t="str">
        <x:v>Lu Qinli gap fill from Pingshui main list; 詞 entries ignored</x:v>
      </x:c>
      <x:c r="J5834" s="6" t="str">
        <x:f>IF(B5834="","",IF(AND(ISNUMBER(SEARCH("平",B5834)),OR(ISNUMBER(SEARCH("上",B5834)),ISNUMBER(SEARCH("去",B5834)),ISNUMBER(SEARCH("入",B5834)))),"Ambiguous",IF(ISNUMBER(SEARCH("平",B5834)),"平","仄")))</x:f>
        <x:v>仄</x:v>
      </x:c>
      <x:c r="K5834" s="6" t="str">
        <x:f>IF(D5834="","",IF(AND(ISNUMBER(SEARCH("平",D5834)),OR(ISNUMBER(SEARCH("上",D5834)),ISNUMBER(SEARCH("去",D5834)),ISNUMBER(SEARCH("入",D5834)))),"Ambiguous",IF(ISNUMBER(SEARCH("平",D5834)),"平","仄")))</x:f>
        <x:v>仄</x:v>
      </x:c>
      <x:c r="L5834" s="7" t="str">
        <x:v>Pingshui main list, Lu Qinli gap fill</x:v>
      </x:c>
    </x:row>
    <x:row r="5835">
      <x:c r="A5835" s="5" t="str">
        <x:v>簝</x:v>
      </x:c>
      <x:c r="B5835" s="6" t="str">
        <x:v>平</x:v>
      </x:c>
      <x:c r="C5835" s="6" t="str">
        <x:f>IF(B5835="","Needs decision","Ready")</x:f>
        <x:v>Ready</x:v>
      </x:c>
      <x:c r="D5835" s="6" t="str">
        <x:v>平</x:v>
      </x:c>
      <x:c r="E5835" s="6" t="str"/>
      <x:c r="F5835" s="6" t="str">
        <x:v>下平聲二蕭</x:v>
      </x:c>
      <x:c r="G5835" s="6" t="str">
        <x:v>Pingshui main list, Wikisource-derived DOCX</x:v>
      </x:c>
      <x:c r="H5835" s="6" t="str"/>
      <x:c r="I5835" s="6" t="str">
        <x:v>Lu Qinli gap fill from Pingshui main list; 詞 entries ignored</x:v>
      </x:c>
      <x:c r="J5835" s="6" t="str">
        <x:f>IF(B5835="","",IF(AND(ISNUMBER(SEARCH("平",B5835)),OR(ISNUMBER(SEARCH("上",B5835)),ISNUMBER(SEARCH("去",B5835)),ISNUMBER(SEARCH("入",B5835)))),"Ambiguous",IF(ISNUMBER(SEARCH("平",B5835)),"平","仄")))</x:f>
        <x:v>平</x:v>
      </x:c>
      <x:c r="K5835" s="6" t="str">
        <x:f>IF(D5835="","",IF(AND(ISNUMBER(SEARCH("平",D5835)),OR(ISNUMBER(SEARCH("上",D5835)),ISNUMBER(SEARCH("去",D5835)),ISNUMBER(SEARCH("入",D5835)))),"Ambiguous",IF(ISNUMBER(SEARCH("平",D5835)),"平","仄")))</x:f>
        <x:v>平</x:v>
      </x:c>
      <x:c r="L5835" s="7" t="str">
        <x:v>Pingshui main list, Lu Qinli gap fill</x:v>
      </x:c>
    </x:row>
    <x:row r="5836">
      <x:c r="A5836" s="5" t="str">
        <x:v>簞</x:v>
      </x:c>
      <x:c r="B5836" s="6" t="str">
        <x:v>平</x:v>
      </x:c>
      <x:c r="C5836" s="6" t="str">
        <x:f>IF(B5836="","Needs decision","Ready")</x:f>
        <x:v>Ready</x:v>
      </x:c>
      <x:c r="D5836" s="6" t="str">
        <x:v>平</x:v>
      </x:c>
      <x:c r="E5836" s="6" t="str"/>
      <x:c r="F5836" s="6" t="str">
        <x:v>上平聲十四寒</x:v>
      </x:c>
      <x:c r="G5836" s="6" t="str">
        <x:v>Pingshui main list, Wikisource-derived DOCX</x:v>
      </x:c>
      <x:c r="H5836" s="6" t="str"/>
      <x:c r="I5836" s="6" t="str">
        <x:v>Lu Qinli gap fill from Pingshui main list; 詞 entries ignored</x:v>
      </x:c>
      <x:c r="J5836" s="6" t="str">
        <x:f>IF(B5836="","",IF(AND(ISNUMBER(SEARCH("平",B5836)),OR(ISNUMBER(SEARCH("上",B5836)),ISNUMBER(SEARCH("去",B5836)),ISNUMBER(SEARCH("入",B5836)))),"Ambiguous",IF(ISNUMBER(SEARCH("平",B5836)),"平","仄")))</x:f>
        <x:v>平</x:v>
      </x:c>
      <x:c r="K5836" s="6" t="str">
        <x:f>IF(D5836="","",IF(AND(ISNUMBER(SEARCH("平",D5836)),OR(ISNUMBER(SEARCH("上",D5836)),ISNUMBER(SEARCH("去",D5836)),ISNUMBER(SEARCH("入",D5836)))),"Ambiguous",IF(ISNUMBER(SEARCH("平",D5836)),"平","仄")))</x:f>
        <x:v>平</x:v>
      </x:c>
      <x:c r="L5836" s="7" t="str">
        <x:v>Pingshui main list, Lu Qinli gap fill</x:v>
      </x:c>
    </x:row>
    <x:row r="5837">
      <x:c r="A5837" s="5" t="str">
        <x:v>簦</x:v>
      </x:c>
      <x:c r="B5837" s="6" t="str">
        <x:v>平</x:v>
      </x:c>
      <x:c r="C5837" s="6" t="str">
        <x:f>IF(B5837="","Needs decision","Ready")</x:f>
        <x:v>Ready</x:v>
      </x:c>
      <x:c r="D5837" s="6" t="str">
        <x:v>平</x:v>
      </x:c>
      <x:c r="E5837" s="6" t="str"/>
      <x:c r="F5837" s="6" t="str">
        <x:v>下平聲十蒸</x:v>
      </x:c>
      <x:c r="G5837" s="6" t="str">
        <x:v>Pingshui main list, Wikisource-derived DOCX</x:v>
      </x:c>
      <x:c r="H5837" s="6" t="str"/>
      <x:c r="I5837" s="6" t="str">
        <x:v>Lu Qinli gap fill from Pingshui main list; 詞 entries ignored</x:v>
      </x:c>
      <x:c r="J5837" s="6" t="str">
        <x:f>IF(B5837="","",IF(AND(ISNUMBER(SEARCH("平",B5837)),OR(ISNUMBER(SEARCH("上",B5837)),ISNUMBER(SEARCH("去",B5837)),ISNUMBER(SEARCH("入",B5837)))),"Ambiguous",IF(ISNUMBER(SEARCH("平",B5837)),"平","仄")))</x:f>
        <x:v>平</x:v>
      </x:c>
      <x:c r="K5837" s="6" t="str">
        <x:f>IF(D5837="","",IF(AND(ISNUMBER(SEARCH("平",D5837)),OR(ISNUMBER(SEARCH("上",D5837)),ISNUMBER(SEARCH("去",D5837)),ISNUMBER(SEARCH("入",D5837)))),"Ambiguous",IF(ISNUMBER(SEARCH("平",D5837)),"平","仄")))</x:f>
        <x:v>平</x:v>
      </x:c>
      <x:c r="L5837" s="7" t="str">
        <x:v>Pingshui main list, Lu Qinli gap fill</x:v>
      </x:c>
    </x:row>
    <x:row r="5838">
      <x:c r="A5838" s="5" t="str">
        <x:v>簧</x:v>
      </x:c>
      <x:c r="B5838" s="6" t="str">
        <x:v>平</x:v>
      </x:c>
      <x:c r="C5838" s="6" t="str">
        <x:f>IF(B5838="","Needs decision","Ready")</x:f>
        <x:v>Ready</x:v>
      </x:c>
      <x:c r="D5838" s="6" t="str">
        <x:v>平</x:v>
      </x:c>
      <x:c r="E5838" s="6" t="str"/>
      <x:c r="F5838" s="6" t="str">
        <x:v>下平聲七陽</x:v>
      </x:c>
      <x:c r="G5838" s="6" t="str">
        <x:v>Pingshui main list, Wikisource-derived DOCX</x:v>
      </x:c>
      <x:c r="H5838" s="6" t="str"/>
      <x:c r="I5838" s="6" t="str">
        <x:v>Lu Qinli gap fill from Pingshui main list; 詞 entries ignored</x:v>
      </x:c>
      <x:c r="J5838" s="6" t="str">
        <x:f>IF(B5838="","",IF(AND(ISNUMBER(SEARCH("平",B5838)),OR(ISNUMBER(SEARCH("上",B5838)),ISNUMBER(SEARCH("去",B5838)),ISNUMBER(SEARCH("入",B5838)))),"Ambiguous",IF(ISNUMBER(SEARCH("平",B5838)),"平","仄")))</x:f>
        <x:v>平</x:v>
      </x:c>
      <x:c r="K5838" s="6" t="str">
        <x:f>IF(D5838="","",IF(AND(ISNUMBER(SEARCH("平",D5838)),OR(ISNUMBER(SEARCH("上",D5838)),ISNUMBER(SEARCH("去",D5838)),ISNUMBER(SEARCH("入",D5838)))),"Ambiguous",IF(ISNUMBER(SEARCH("平",D5838)),"平","仄")))</x:f>
        <x:v>平</x:v>
      </x:c>
      <x:c r="L5838" s="7" t="str">
        <x:v>Pingshui main list, Lu Qinli gap fill</x:v>
      </x:c>
    </x:row>
    <x:row r="5839">
      <x:c r="A5839" s="5" t="str">
        <x:v>簨</x:v>
      </x:c>
      <x:c r="B5839" s="6" t="str">
        <x:v>上</x:v>
      </x:c>
      <x:c r="C5839" s="6" t="str">
        <x:f>IF(B5839="","Needs decision","Ready")</x:f>
        <x:v>Ready</x:v>
      </x:c>
      <x:c r="D5839" s="6" t="str">
        <x:v>上</x:v>
      </x:c>
      <x:c r="E5839" s="6" t="str"/>
      <x:c r="F5839" s="6" t="str">
        <x:v>上聲十一軫</x:v>
      </x:c>
      <x:c r="G5839" s="6" t="str">
        <x:v>Pingshui main list, Wikisource-derived DOCX</x:v>
      </x:c>
      <x:c r="H5839" s="6" t="str"/>
      <x:c r="I5839" s="6" t="str">
        <x:v>Lu Qinli gap fill from Pingshui main list; 詞 entries ignored</x:v>
      </x:c>
      <x:c r="J5839" s="6" t="str">
        <x:f>IF(B5839="","",IF(AND(ISNUMBER(SEARCH("平",B5839)),OR(ISNUMBER(SEARCH("上",B5839)),ISNUMBER(SEARCH("去",B5839)),ISNUMBER(SEARCH("入",B5839)))),"Ambiguous",IF(ISNUMBER(SEARCH("平",B5839)),"平","仄")))</x:f>
        <x:v>仄</x:v>
      </x:c>
      <x:c r="K5839" s="6" t="str">
        <x:f>IF(D5839="","",IF(AND(ISNUMBER(SEARCH("平",D5839)),OR(ISNUMBER(SEARCH("上",D5839)),ISNUMBER(SEARCH("去",D5839)),ISNUMBER(SEARCH("入",D5839)))),"Ambiguous",IF(ISNUMBER(SEARCH("平",D5839)),"平","仄")))</x:f>
        <x:v>仄</x:v>
      </x:c>
      <x:c r="L5839" s="7" t="str">
        <x:v>Pingshui main list, Lu Qinli gap fill</x:v>
      </x:c>
    </x:row>
    <x:row r="5840">
      <x:c r="A5840" s="5" t="str">
        <x:v>簩</x:v>
      </x:c>
      <x:c r="B5840" s="6" t="str">
        <x:v>平</x:v>
      </x:c>
      <x:c r="C5840" s="6" t="str">
        <x:f>IF(B5840="","Needs decision","Ready")</x:f>
        <x:v>Ready</x:v>
      </x:c>
      <x:c r="D5840" s="6" t="str">
        <x:v>平</x:v>
      </x:c>
      <x:c r="E5840" s="6" t="str"/>
      <x:c r="F5840" s="6" t="str">
        <x:v>下平聲四豪</x:v>
      </x:c>
      <x:c r="G5840" s="6" t="str">
        <x:v>Pingshui main list, Wikisource-derived DOCX</x:v>
      </x:c>
      <x:c r="H5840" s="6" t="str"/>
      <x:c r="I5840" s="6" t="str">
        <x:v>Lu Qinli gap fill from Pingshui main list; 詞 entries ignored</x:v>
      </x:c>
      <x:c r="J5840" s="6" t="str">
        <x:f>IF(B5840="","",IF(AND(ISNUMBER(SEARCH("平",B5840)),OR(ISNUMBER(SEARCH("上",B5840)),ISNUMBER(SEARCH("去",B5840)),ISNUMBER(SEARCH("入",B5840)))),"Ambiguous",IF(ISNUMBER(SEARCH("平",B5840)),"平","仄")))</x:f>
        <x:v>平</x:v>
      </x:c>
      <x:c r="K5840" s="6" t="str">
        <x:f>IF(D5840="","",IF(AND(ISNUMBER(SEARCH("平",D5840)),OR(ISNUMBER(SEARCH("上",D5840)),ISNUMBER(SEARCH("去",D5840)),ISNUMBER(SEARCH("入",D5840)))),"Ambiguous",IF(ISNUMBER(SEARCH("平",D5840)),"平","仄")))</x:f>
        <x:v>平</x:v>
      </x:c>
      <x:c r="L5840" s="7" t="str">
        <x:v>Pingshui main list, Lu Qinli gap fill</x:v>
      </x:c>
    </x:row>
    <x:row r="5841">
      <x:c r="A5841" s="5" t="str">
        <x:v>籀</x:v>
      </x:c>
      <x:c r="B5841" s="6" t="str">
        <x:v>去</x:v>
      </x:c>
      <x:c r="C5841" s="6" t="str">
        <x:f>IF(B5841="","Needs decision","Ready")</x:f>
        <x:v>Ready</x:v>
      </x:c>
      <x:c r="D5841" s="6" t="str">
        <x:v>去</x:v>
      </x:c>
      <x:c r="E5841" s="6" t="str"/>
      <x:c r="F5841" s="6" t="str">
        <x:v>去聲二十六宥</x:v>
      </x:c>
      <x:c r="G5841" s="6" t="str">
        <x:v>Pingshui main list, Wikisource-derived DOCX</x:v>
      </x:c>
      <x:c r="H5841" s="6" t="str"/>
      <x:c r="I5841" s="6" t="str">
        <x:v>Lu Qinli gap fill from Pingshui main list; 詞 entries ignored</x:v>
      </x:c>
      <x:c r="J5841" s="6" t="str">
        <x:f>IF(B5841="","",IF(AND(ISNUMBER(SEARCH("平",B5841)),OR(ISNUMBER(SEARCH("上",B5841)),ISNUMBER(SEARCH("去",B5841)),ISNUMBER(SEARCH("入",B5841)))),"Ambiguous",IF(ISNUMBER(SEARCH("平",B5841)),"平","仄")))</x:f>
        <x:v>仄</x:v>
      </x:c>
      <x:c r="K5841" s="6" t="str">
        <x:f>IF(D5841="","",IF(AND(ISNUMBER(SEARCH("平",D5841)),OR(ISNUMBER(SEARCH("上",D5841)),ISNUMBER(SEARCH("去",D5841)),ISNUMBER(SEARCH("入",D5841)))),"Ambiguous",IF(ISNUMBER(SEARCH("平",D5841)),"平","仄")))</x:f>
        <x:v>仄</x:v>
      </x:c>
      <x:c r="L5841" s="7" t="str">
        <x:v>Pingshui main list, Lu Qinli gap fill</x:v>
      </x:c>
    </x:row>
    <x:row r="5842">
      <x:c r="A5842" s="5" t="str">
        <x:v>籊</x:v>
      </x:c>
      <x:c r="B5842" s="6" t="str">
        <x:v>入</x:v>
      </x:c>
      <x:c r="C5842" s="6" t="str">
        <x:f>IF(B5842="","Needs decision","Ready")</x:f>
        <x:v>Ready</x:v>
      </x:c>
      <x:c r="D5842" s="6" t="str">
        <x:v>入</x:v>
      </x:c>
      <x:c r="E5842" s="6" t="str"/>
      <x:c r="F5842" s="6" t="str">
        <x:v>入聲十二錫</x:v>
      </x:c>
      <x:c r="G5842" s="6" t="str">
        <x:v>Pingshui main list, Wikisource-derived DOCX</x:v>
      </x:c>
      <x:c r="H5842" s="6" t="str"/>
      <x:c r="I5842" s="6" t="str">
        <x:v>Lu Qinli gap fill from Pingshui main list; 詞 entries ignored</x:v>
      </x:c>
      <x:c r="J5842" s="6" t="str">
        <x:f>IF(B5842="","",IF(AND(ISNUMBER(SEARCH("平",B5842)),OR(ISNUMBER(SEARCH("上",B5842)),ISNUMBER(SEARCH("去",B5842)),ISNUMBER(SEARCH("入",B5842)))),"Ambiguous",IF(ISNUMBER(SEARCH("平",B5842)),"平","仄")))</x:f>
        <x:v>仄</x:v>
      </x:c>
      <x:c r="K5842" s="6" t="str">
        <x:f>IF(D5842="","",IF(AND(ISNUMBER(SEARCH("平",D5842)),OR(ISNUMBER(SEARCH("上",D5842)),ISNUMBER(SEARCH("去",D5842)),ISNUMBER(SEARCH("入",D5842)))),"Ambiguous",IF(ISNUMBER(SEARCH("平",D5842)),"平","仄")))</x:f>
        <x:v>仄</x:v>
      </x:c>
      <x:c r="L5842" s="7" t="str">
        <x:v>Pingshui main list, Lu Qinli gap fill</x:v>
      </x:c>
    </x:row>
    <x:row r="5843">
      <x:c r="A5843" s="5" t="str">
        <x:v>籧</x:v>
      </x:c>
      <x:c r="B5843" s="6" t="str">
        <x:v>平</x:v>
      </x:c>
      <x:c r="C5843" s="6" t="str">
        <x:f>IF(B5843="","Needs decision","Ready")</x:f>
        <x:v>Ready</x:v>
      </x:c>
      <x:c r="D5843" s="6" t="str">
        <x:v>平</x:v>
      </x:c>
      <x:c r="E5843" s="6" t="str"/>
      <x:c r="F5843" s="6" t="str">
        <x:v>上平聲六魚</x:v>
      </x:c>
      <x:c r="G5843" s="6" t="str">
        <x:v>Pingshui main list, Wikisource-derived DOCX</x:v>
      </x:c>
      <x:c r="H5843" s="6" t="str"/>
      <x:c r="I5843" s="6" t="str">
        <x:v>Lu Qinli gap fill from Pingshui main list; 詞 entries ignored</x:v>
      </x:c>
      <x:c r="J5843" s="6" t="str">
        <x:f>IF(B5843="","",IF(AND(ISNUMBER(SEARCH("平",B5843)),OR(ISNUMBER(SEARCH("上",B5843)),ISNUMBER(SEARCH("去",B5843)),ISNUMBER(SEARCH("入",B5843)))),"Ambiguous",IF(ISNUMBER(SEARCH("平",B5843)),"平","仄")))</x:f>
        <x:v>平</x:v>
      </x:c>
      <x:c r="K5843" s="6" t="str">
        <x:f>IF(D5843="","",IF(AND(ISNUMBER(SEARCH("平",D5843)),OR(ISNUMBER(SEARCH("上",D5843)),ISNUMBER(SEARCH("去",D5843)),ISNUMBER(SEARCH("入",D5843)))),"Ambiguous",IF(ISNUMBER(SEARCH("平",D5843)),"平","仄")))</x:f>
        <x:v>平</x:v>
      </x:c>
      <x:c r="L5843" s="7" t="str">
        <x:v>Pingshui main list, Lu Qinli gap fill</x:v>
      </x:c>
    </x:row>
    <x:row r="5844">
      <x:c r="A5844" s="5" t="str">
        <x:v>籲</x:v>
      </x:c>
      <x:c r="B5844" s="6" t="str">
        <x:v>去</x:v>
      </x:c>
      <x:c r="C5844" s="6" t="str">
        <x:f>IF(B5844="","Needs decision","Ready")</x:f>
        <x:v>Ready</x:v>
      </x:c>
      <x:c r="D5844" s="6" t="str">
        <x:v>去</x:v>
      </x:c>
      <x:c r="E5844" s="6" t="str"/>
      <x:c r="F5844" s="6" t="str">
        <x:v>去聲七遇</x:v>
      </x:c>
      <x:c r="G5844" s="6" t="str">
        <x:v>Pingshui main list, Wikisource-derived DOCX</x:v>
      </x:c>
      <x:c r="H5844" s="6" t="str"/>
      <x:c r="I5844" s="6" t="str">
        <x:v>Lu Qinli gap fill from Pingshui main list; 詞 entries ignored</x:v>
      </x:c>
      <x:c r="J5844" s="6" t="str">
        <x:f>IF(B5844="","",IF(AND(ISNUMBER(SEARCH("平",B5844)),OR(ISNUMBER(SEARCH("上",B5844)),ISNUMBER(SEARCH("去",B5844)),ISNUMBER(SEARCH("入",B5844)))),"Ambiguous",IF(ISNUMBER(SEARCH("平",B5844)),"平","仄")))</x:f>
        <x:v>仄</x:v>
      </x:c>
      <x:c r="K5844" s="6" t="str">
        <x:f>IF(D5844="","",IF(AND(ISNUMBER(SEARCH("平",D5844)),OR(ISNUMBER(SEARCH("上",D5844)),ISNUMBER(SEARCH("去",D5844)),ISNUMBER(SEARCH("入",D5844)))),"Ambiguous",IF(ISNUMBER(SEARCH("平",D5844)),"平","仄")))</x:f>
        <x:v>仄</x:v>
      </x:c>
      <x:c r="L5844" s="7" t="str">
        <x:v>Pingshui main list, Lu Qinli gap fill</x:v>
      </x:c>
    </x:row>
    <x:row r="5845">
      <x:c r="A5845" s="5" t="str">
        <x:v>粹</x:v>
      </x:c>
      <x:c r="B5845" s="6" t="str">
        <x:v>去</x:v>
      </x:c>
      <x:c r="C5845" s="6" t="str">
        <x:f>IF(B5845="","Needs decision","Ready")</x:f>
        <x:v>Ready</x:v>
      </x:c>
      <x:c r="D5845" s="6" t="str">
        <x:v>去</x:v>
      </x:c>
      <x:c r="E5845" s="6" t="str"/>
      <x:c r="F5845" s="6" t="str">
        <x:v>去聲四寘</x:v>
      </x:c>
      <x:c r="G5845" s="6" t="str">
        <x:v>Pingshui main list, Wikisource-derived DOCX</x:v>
      </x:c>
      <x:c r="H5845" s="6" t="str"/>
      <x:c r="I5845" s="6" t="str">
        <x:v>Lu Qinli gap fill from Pingshui main list; 詞 entries ignored</x:v>
      </x:c>
      <x:c r="J5845" s="6" t="str">
        <x:f>IF(B5845="","",IF(AND(ISNUMBER(SEARCH("平",B5845)),OR(ISNUMBER(SEARCH("上",B5845)),ISNUMBER(SEARCH("去",B5845)),ISNUMBER(SEARCH("入",B5845)))),"Ambiguous",IF(ISNUMBER(SEARCH("平",B5845)),"平","仄")))</x:f>
        <x:v>仄</x:v>
      </x:c>
      <x:c r="K5845" s="6" t="str">
        <x:f>IF(D5845="","",IF(AND(ISNUMBER(SEARCH("平",D5845)),OR(ISNUMBER(SEARCH("上",D5845)),ISNUMBER(SEARCH("去",D5845)),ISNUMBER(SEARCH("入",D5845)))),"Ambiguous",IF(ISNUMBER(SEARCH("平",D5845)),"平","仄")))</x:f>
        <x:v>仄</x:v>
      </x:c>
      <x:c r="L5845" s="7" t="str">
        <x:v>Pingshui main list, Lu Qinli gap fill</x:v>
      </x:c>
    </x:row>
    <x:row r="5846">
      <x:c r="A5846" s="5" t="str">
        <x:v>糅</x:v>
      </x:c>
      <x:c r="B5846" s="6" t="str">
        <x:v>去</x:v>
      </x:c>
      <x:c r="C5846" s="6" t="str">
        <x:f>IF(B5846="","Needs decision","Ready")</x:f>
        <x:v>Ready</x:v>
      </x:c>
      <x:c r="D5846" s="6" t="str">
        <x:v>去</x:v>
      </x:c>
      <x:c r="E5846" s="6" t="str"/>
      <x:c r="F5846" s="6" t="str">
        <x:v>去聲二十六宥</x:v>
      </x:c>
      <x:c r="G5846" s="6" t="str">
        <x:v>Pingshui main list, Wikisource-derived DOCX</x:v>
      </x:c>
      <x:c r="H5846" s="6" t="str"/>
      <x:c r="I5846" s="6" t="str">
        <x:v>Lu Qinli gap fill from Pingshui main list; 詞 entries ignored</x:v>
      </x:c>
      <x:c r="J5846" s="6" t="str">
        <x:f>IF(B5846="","",IF(AND(ISNUMBER(SEARCH("平",B5846)),OR(ISNUMBER(SEARCH("上",B5846)),ISNUMBER(SEARCH("去",B5846)),ISNUMBER(SEARCH("入",B5846)))),"Ambiguous",IF(ISNUMBER(SEARCH("平",B5846)),"平","仄")))</x:f>
        <x:v>仄</x:v>
      </x:c>
      <x:c r="K5846" s="6" t="str">
        <x:f>IF(D5846="","",IF(AND(ISNUMBER(SEARCH("平",D5846)),OR(ISNUMBER(SEARCH("上",D5846)),ISNUMBER(SEARCH("去",D5846)),ISNUMBER(SEARCH("入",D5846)))),"Ambiguous",IF(ISNUMBER(SEARCH("平",D5846)),"平","仄")))</x:f>
        <x:v>仄</x:v>
      </x:c>
      <x:c r="L5846" s="7" t="str">
        <x:v>Pingshui main list, Lu Qinli gap fill</x:v>
      </x:c>
    </x:row>
    <x:row r="5847">
      <x:c r="A5847" s="5" t="str">
        <x:v>糈</x:v>
      </x:c>
      <x:c r="B5847" s="6" t="str"/>
      <x:c r="C5847" s="6" t="str">
        <x:f>IF(B5847="","Needs decision","Ready")</x:f>
        <x:v>Needs decision</x:v>
      </x:c>
      <x:c r="D5847" s="6" t="str">
        <x:v>平/上</x:v>
      </x:c>
      <x:c r="E5847" s="6" t="str"/>
      <x:c r="F5847" s="6" t="str">
        <x:v>上平聲六魚; 上聲六語</x:v>
      </x:c>
      <x:c r="G5847" s="6" t="str">
        <x:v>Pingshui main list, Wikisource-derived DOCX</x:v>
      </x:c>
      <x:c r="H5847" s="6" t="str"/>
      <x:c r="I5847" s="6" t="str">
        <x:v>Lu Qinli gap fill from Pingshui main list; 詞 entries ignored</x:v>
      </x:c>
      <x:c r="J5847" s="6" t="str">
        <x:f>IF(B5847="","",IF(AND(ISNUMBER(SEARCH("平",B5847)),OR(ISNUMBER(SEARCH("上",B5847)),ISNUMBER(SEARCH("去",B5847)),ISNUMBER(SEARCH("入",B5847)))),"Ambiguous",IF(ISNUMBER(SEARCH("平",B5847)),"平","仄")))</x:f>
      </x:c>
      <x:c r="K5847" s="6" t="str">
        <x:f>IF(D5847="","",IF(AND(ISNUMBER(SEARCH("平",D5847)),OR(ISNUMBER(SEARCH("上",D5847)),ISNUMBER(SEARCH("去",D5847)),ISNUMBER(SEARCH("入",D5847)))),"Ambiguous",IF(ISNUMBER(SEARCH("平",D5847)),"平","仄")))</x:f>
        <x:v>Ambiguous</x:v>
      </x:c>
      <x:c r="L5847" s="7" t="str">
        <x:v>Pingshui main list, Lu Qinli gap fill</x:v>
      </x:c>
    </x:row>
    <x:row r="5848">
      <x:c r="A5848" s="5" t="str">
        <x:v>糕</x:v>
      </x:c>
      <x:c r="B5848" s="6" t="str">
        <x:v>平</x:v>
      </x:c>
      <x:c r="C5848" s="6" t="str">
        <x:f>IF(B5848="","Needs decision","Ready")</x:f>
        <x:v>Ready</x:v>
      </x:c>
      <x:c r="D5848" s="6" t="str">
        <x:v>平</x:v>
      </x:c>
      <x:c r="E5848" s="6" t="str"/>
      <x:c r="F5848" s="6" t="str">
        <x:v>下平聲四豪</x:v>
      </x:c>
      <x:c r="G5848" s="6" t="str">
        <x:v>Pingshui main list, Wikisource-derived DOCX</x:v>
      </x:c>
      <x:c r="H5848" s="6" t="str"/>
      <x:c r="I5848" s="6" t="str">
        <x:v>Lu Qinli gap fill from Pingshui main list; 詞 entries ignored</x:v>
      </x:c>
      <x:c r="J5848" s="6" t="str">
        <x:f>IF(B5848="","",IF(AND(ISNUMBER(SEARCH("平",B5848)),OR(ISNUMBER(SEARCH("上",B5848)),ISNUMBER(SEARCH("去",B5848)),ISNUMBER(SEARCH("入",B5848)))),"Ambiguous",IF(ISNUMBER(SEARCH("平",B5848)),"平","仄")))</x:f>
        <x:v>平</x:v>
      </x:c>
      <x:c r="K5848" s="6" t="str">
        <x:f>IF(D5848="","",IF(AND(ISNUMBER(SEARCH("平",D5848)),OR(ISNUMBER(SEARCH("上",D5848)),ISNUMBER(SEARCH("去",D5848)),ISNUMBER(SEARCH("入",D5848)))),"Ambiguous",IF(ISNUMBER(SEARCH("平",D5848)),"平","仄")))</x:f>
        <x:v>平</x:v>
      </x:c>
      <x:c r="L5848" s="7" t="str">
        <x:v>Pingshui main list, Lu Qinli gap fill</x:v>
      </x:c>
    </x:row>
    <x:row r="5849">
      <x:c r="A5849" s="5" t="str">
        <x:v>糗</x:v>
      </x:c>
      <x:c r="B5849" s="6" t="str">
        <x:v>上</x:v>
      </x:c>
      <x:c r="C5849" s="6" t="str">
        <x:f>IF(B5849="","Needs decision","Ready")</x:f>
        <x:v>Ready</x:v>
      </x:c>
      <x:c r="D5849" s="6" t="str">
        <x:v>上</x:v>
      </x:c>
      <x:c r="E5849" s="6" t="str"/>
      <x:c r="F5849" s="6" t="str">
        <x:v>上聲二十五有</x:v>
      </x:c>
      <x:c r="G5849" s="6" t="str">
        <x:v>Pingshui main list, Wikisource-derived DOCX</x:v>
      </x:c>
      <x:c r="H5849" s="6" t="str"/>
      <x:c r="I5849" s="6" t="str">
        <x:v>Lu Qinli gap fill from Pingshui main list; 詞 entries ignored</x:v>
      </x:c>
      <x:c r="J5849" s="6" t="str">
        <x:f>IF(B5849="","",IF(AND(ISNUMBER(SEARCH("平",B5849)),OR(ISNUMBER(SEARCH("上",B5849)),ISNUMBER(SEARCH("去",B5849)),ISNUMBER(SEARCH("入",B5849)))),"Ambiguous",IF(ISNUMBER(SEARCH("平",B5849)),"平","仄")))</x:f>
        <x:v>仄</x:v>
      </x:c>
      <x:c r="K5849" s="6" t="str">
        <x:f>IF(D5849="","",IF(AND(ISNUMBER(SEARCH("平",D5849)),OR(ISNUMBER(SEARCH("上",D5849)),ISNUMBER(SEARCH("去",D5849)),ISNUMBER(SEARCH("入",D5849)))),"Ambiguous",IF(ISNUMBER(SEARCH("平",D5849)),"平","仄")))</x:f>
        <x:v>仄</x:v>
      </x:c>
      <x:c r="L5849" s="7" t="str">
        <x:v>Pingshui main list, Lu Qinli gap fill</x:v>
      </x:c>
    </x:row>
    <x:row r="5850">
      <x:c r="A5850" s="5" t="str">
        <x:v>紇</x:v>
      </x:c>
      <x:c r="B5850" s="6" t="str">
        <x:v>入</x:v>
      </x:c>
      <x:c r="C5850" s="6" t="str">
        <x:f>IF(B5850="","Needs decision","Ready")</x:f>
        <x:v>Ready</x:v>
      </x:c>
      <x:c r="D5850" s="6" t="str">
        <x:v>入</x:v>
      </x:c>
      <x:c r="E5850" s="6" t="str"/>
      <x:c r="F5850" s="6" t="str">
        <x:v>入聲六月</x:v>
      </x:c>
      <x:c r="G5850" s="6" t="str">
        <x:v>Pingshui main list, Wikisource-derived DOCX</x:v>
      </x:c>
      <x:c r="H5850" s="6" t="str"/>
      <x:c r="I5850" s="6" t="str">
        <x:v>Lu Qinli gap fill from Pingshui main list; 詞 entries ignored</x:v>
      </x:c>
      <x:c r="J5850" s="6" t="str">
        <x:f>IF(B5850="","",IF(AND(ISNUMBER(SEARCH("平",B5850)),OR(ISNUMBER(SEARCH("上",B5850)),ISNUMBER(SEARCH("去",B5850)),ISNUMBER(SEARCH("入",B5850)))),"Ambiguous",IF(ISNUMBER(SEARCH("平",B5850)),"平","仄")))</x:f>
        <x:v>仄</x:v>
      </x:c>
      <x:c r="K5850" s="6" t="str">
        <x:f>IF(D5850="","",IF(AND(ISNUMBER(SEARCH("平",D5850)),OR(ISNUMBER(SEARCH("上",D5850)),ISNUMBER(SEARCH("去",D5850)),ISNUMBER(SEARCH("入",D5850)))),"Ambiguous",IF(ISNUMBER(SEARCH("平",D5850)),"平","仄")))</x:f>
        <x:v>仄</x:v>
      </x:c>
      <x:c r="L5850" s="7" t="str">
        <x:v>Pingshui main list, Lu Qinli gap fill</x:v>
      </x:c>
    </x:row>
    <x:row r="5851">
      <x:c r="A5851" s="5" t="str">
        <x:v>紉</x:v>
      </x:c>
      <x:c r="B5851" s="6" t="str">
        <x:v>平</x:v>
      </x:c>
      <x:c r="C5851" s="6" t="str">
        <x:f>IF(B5851="","Needs decision","Ready")</x:f>
        <x:v>Ready</x:v>
      </x:c>
      <x:c r="D5851" s="6" t="str">
        <x:v>平</x:v>
      </x:c>
      <x:c r="E5851" s="6" t="str"/>
      <x:c r="F5851" s="6" t="str">
        <x:v>上平聲十一真</x:v>
      </x:c>
      <x:c r="G5851" s="6" t="str">
        <x:v>Pingshui main list, Wikisource-derived DOCX</x:v>
      </x:c>
      <x:c r="H5851" s="6" t="str"/>
      <x:c r="I5851" s="6" t="str">
        <x:v>Lu Qinli gap fill from Pingshui main list; 詞 entries ignored</x:v>
      </x:c>
      <x:c r="J5851" s="6" t="str">
        <x:f>IF(B5851="","",IF(AND(ISNUMBER(SEARCH("平",B5851)),OR(ISNUMBER(SEARCH("上",B5851)),ISNUMBER(SEARCH("去",B5851)),ISNUMBER(SEARCH("入",B5851)))),"Ambiguous",IF(ISNUMBER(SEARCH("平",B5851)),"平","仄")))</x:f>
        <x:v>平</x:v>
      </x:c>
      <x:c r="K5851" s="6" t="str">
        <x:f>IF(D5851="","",IF(AND(ISNUMBER(SEARCH("平",D5851)),OR(ISNUMBER(SEARCH("上",D5851)),ISNUMBER(SEARCH("去",D5851)),ISNUMBER(SEARCH("入",D5851)))),"Ambiguous",IF(ISNUMBER(SEARCH("平",D5851)),"平","仄")))</x:f>
        <x:v>平</x:v>
      </x:c>
      <x:c r="L5851" s="7" t="str">
        <x:v>Pingshui main list, Lu Qinli gap fill</x:v>
      </x:c>
    </x:row>
    <x:row r="5852">
      <x:c r="A5852" s="5" t="str">
        <x:v>紊</x:v>
      </x:c>
      <x:c r="B5852" s="6" t="str">
        <x:v>去</x:v>
      </x:c>
      <x:c r="C5852" s="6" t="str">
        <x:f>IF(B5852="","Needs decision","Ready")</x:f>
        <x:v>Ready</x:v>
      </x:c>
      <x:c r="D5852" s="6" t="str">
        <x:v>去</x:v>
      </x:c>
      <x:c r="E5852" s="6" t="str"/>
      <x:c r="F5852" s="6" t="str">
        <x:v>去聲十三問</x:v>
      </x:c>
      <x:c r="G5852" s="6" t="str">
        <x:v>Pingshui main list, Wikisource-derived DOCX</x:v>
      </x:c>
      <x:c r="H5852" s="6" t="str"/>
      <x:c r="I5852" s="6" t="str">
        <x:v>Lu Qinli gap fill from Pingshui main list; 詞 entries ignored</x:v>
      </x:c>
      <x:c r="J5852" s="6" t="str">
        <x:f>IF(B5852="","",IF(AND(ISNUMBER(SEARCH("平",B5852)),OR(ISNUMBER(SEARCH("上",B5852)),ISNUMBER(SEARCH("去",B5852)),ISNUMBER(SEARCH("入",B5852)))),"Ambiguous",IF(ISNUMBER(SEARCH("平",B5852)),"平","仄")))</x:f>
        <x:v>仄</x:v>
      </x:c>
      <x:c r="K5852" s="6" t="str">
        <x:f>IF(D5852="","",IF(AND(ISNUMBER(SEARCH("平",D5852)),OR(ISNUMBER(SEARCH("上",D5852)),ISNUMBER(SEARCH("去",D5852)),ISNUMBER(SEARCH("入",D5852)))),"Ambiguous",IF(ISNUMBER(SEARCH("平",D5852)),"平","仄")))</x:f>
        <x:v>仄</x:v>
      </x:c>
      <x:c r="L5852" s="7" t="str">
        <x:v>Pingshui main list, Lu Qinli gap fill</x:v>
      </x:c>
    </x:row>
    <x:row r="5853">
      <x:c r="A5853" s="5" t="str">
        <x:v>紕</x:v>
      </x:c>
      <x:c r="B5853" s="6" t="str">
        <x:v>平</x:v>
      </x:c>
      <x:c r="C5853" s="6" t="str">
        <x:f>IF(B5853="","Needs decision","Ready")</x:f>
        <x:v>Ready</x:v>
      </x:c>
      <x:c r="D5853" s="6" t="str">
        <x:v>平</x:v>
      </x:c>
      <x:c r="E5853" s="6" t="str"/>
      <x:c r="F5853" s="6" t="str">
        <x:v>上平聲四支</x:v>
      </x:c>
      <x:c r="G5853" s="6" t="str">
        <x:v>Pingshui main list, Wikisource-derived DOCX</x:v>
      </x:c>
      <x:c r="H5853" s="6" t="str"/>
      <x:c r="I5853" s="6" t="str">
        <x:v>Lu Qinli gap fill from Pingshui main list; 詞 entries ignored</x:v>
      </x:c>
      <x:c r="J5853" s="6" t="str">
        <x:f>IF(B5853="","",IF(AND(ISNUMBER(SEARCH("平",B5853)),OR(ISNUMBER(SEARCH("上",B5853)),ISNUMBER(SEARCH("去",B5853)),ISNUMBER(SEARCH("入",B5853)))),"Ambiguous",IF(ISNUMBER(SEARCH("平",B5853)),"平","仄")))</x:f>
        <x:v>平</x:v>
      </x:c>
      <x:c r="K5853" s="6" t="str">
        <x:f>IF(D5853="","",IF(AND(ISNUMBER(SEARCH("平",D5853)),OR(ISNUMBER(SEARCH("上",D5853)),ISNUMBER(SEARCH("去",D5853)),ISNUMBER(SEARCH("入",D5853)))),"Ambiguous",IF(ISNUMBER(SEARCH("平",D5853)),"平","仄")))</x:f>
        <x:v>平</x:v>
      </x:c>
      <x:c r="L5853" s="7" t="str">
        <x:v>Pingshui main list, Lu Qinli gap fill</x:v>
      </x:c>
    </x:row>
    <x:row r="5854">
      <x:c r="A5854" s="5" t="str">
        <x:v>紘</x:v>
      </x:c>
      <x:c r="B5854" s="6" t="str">
        <x:v>平</x:v>
      </x:c>
      <x:c r="C5854" s="6" t="str">
        <x:f>IF(B5854="","Needs decision","Ready")</x:f>
        <x:v>Ready</x:v>
      </x:c>
      <x:c r="D5854" s="6" t="str">
        <x:v>平</x:v>
      </x:c>
      <x:c r="E5854" s="6" t="str"/>
      <x:c r="F5854" s="6" t="str">
        <x:v>下平聲八庚</x:v>
      </x:c>
      <x:c r="G5854" s="6" t="str">
        <x:v>Pingshui main list, Wikisource-derived DOCX</x:v>
      </x:c>
      <x:c r="H5854" s="6" t="str"/>
      <x:c r="I5854" s="6" t="str">
        <x:v>Lu Qinli gap fill from Pingshui main list; 詞 entries ignored</x:v>
      </x:c>
      <x:c r="J5854" s="6" t="str">
        <x:f>IF(B5854="","",IF(AND(ISNUMBER(SEARCH("平",B5854)),OR(ISNUMBER(SEARCH("上",B5854)),ISNUMBER(SEARCH("去",B5854)),ISNUMBER(SEARCH("入",B5854)))),"Ambiguous",IF(ISNUMBER(SEARCH("平",B5854)),"平","仄")))</x:f>
        <x:v>平</x:v>
      </x:c>
      <x:c r="K5854" s="6" t="str">
        <x:f>IF(D5854="","",IF(AND(ISNUMBER(SEARCH("平",D5854)),OR(ISNUMBER(SEARCH("上",D5854)),ISNUMBER(SEARCH("去",D5854)),ISNUMBER(SEARCH("入",D5854)))),"Ambiguous",IF(ISNUMBER(SEARCH("平",D5854)),"平","仄")))</x:f>
        <x:v>平</x:v>
      </x:c>
      <x:c r="L5854" s="7" t="str">
        <x:v>Pingshui main list, Lu Qinli gap fill</x:v>
      </x:c>
    </x:row>
    <x:row r="5855">
      <x:c r="A5855" s="5" t="str">
        <x:v>紜</x:v>
      </x:c>
      <x:c r="B5855" s="6" t="str">
        <x:v>平</x:v>
      </x:c>
      <x:c r="C5855" s="6" t="str">
        <x:f>IF(B5855="","Needs decision","Ready")</x:f>
        <x:v>Ready</x:v>
      </x:c>
      <x:c r="D5855" s="6" t="str">
        <x:v>平</x:v>
      </x:c>
      <x:c r="E5855" s="6" t="str"/>
      <x:c r="F5855" s="6" t="str">
        <x:v>上平聲十二文</x:v>
      </x:c>
      <x:c r="G5855" s="6" t="str">
        <x:v>Pingshui main list, Wikisource-derived DOCX</x:v>
      </x:c>
      <x:c r="H5855" s="6" t="str"/>
      <x:c r="I5855" s="6" t="str">
        <x:v>Lu Qinli gap fill from Pingshui main list; 詞 entries ignored</x:v>
      </x:c>
      <x:c r="J5855" s="6" t="str">
        <x:f>IF(B5855="","",IF(AND(ISNUMBER(SEARCH("平",B5855)),OR(ISNUMBER(SEARCH("上",B5855)),ISNUMBER(SEARCH("去",B5855)),ISNUMBER(SEARCH("入",B5855)))),"Ambiguous",IF(ISNUMBER(SEARCH("平",B5855)),"平","仄")))</x:f>
        <x:v>平</x:v>
      </x:c>
      <x:c r="K5855" s="6" t="str">
        <x:f>IF(D5855="","",IF(AND(ISNUMBER(SEARCH("平",D5855)),OR(ISNUMBER(SEARCH("上",D5855)),ISNUMBER(SEARCH("去",D5855)),ISNUMBER(SEARCH("入",D5855)))),"Ambiguous",IF(ISNUMBER(SEARCH("平",D5855)),"平","仄")))</x:f>
        <x:v>平</x:v>
      </x:c>
      <x:c r="L5855" s="7" t="str">
        <x:v>Pingshui main list, Lu Qinli gap fill</x:v>
      </x:c>
    </x:row>
    <x:row r="5856">
      <x:c r="A5856" s="5" t="str">
        <x:v>紞</x:v>
      </x:c>
      <x:c r="B5856" s="6" t="str">
        <x:v>上</x:v>
      </x:c>
      <x:c r="C5856" s="6" t="str">
        <x:f>IF(B5856="","Needs decision","Ready")</x:f>
        <x:v>Ready</x:v>
      </x:c>
      <x:c r="D5856" s="6" t="str">
        <x:v>上</x:v>
      </x:c>
      <x:c r="E5856" s="6" t="str"/>
      <x:c r="F5856" s="6" t="str">
        <x:v>上聲二十七感</x:v>
      </x:c>
      <x:c r="G5856" s="6" t="str">
        <x:v>Pingshui main list, Wikisource-derived DOCX</x:v>
      </x:c>
      <x:c r="H5856" s="6" t="str"/>
      <x:c r="I5856" s="6" t="str">
        <x:v>Lu Qinli gap fill from Pingshui main list; 詞 entries ignored</x:v>
      </x:c>
      <x:c r="J5856" s="6" t="str">
        <x:f>IF(B5856="","",IF(AND(ISNUMBER(SEARCH("平",B5856)),OR(ISNUMBER(SEARCH("上",B5856)),ISNUMBER(SEARCH("去",B5856)),ISNUMBER(SEARCH("入",B5856)))),"Ambiguous",IF(ISNUMBER(SEARCH("平",B5856)),"平","仄")))</x:f>
        <x:v>仄</x:v>
      </x:c>
      <x:c r="K5856" s="6" t="str">
        <x:f>IF(D5856="","",IF(AND(ISNUMBER(SEARCH("平",D5856)),OR(ISNUMBER(SEARCH("上",D5856)),ISNUMBER(SEARCH("去",D5856)),ISNUMBER(SEARCH("入",D5856)))),"Ambiguous",IF(ISNUMBER(SEARCH("平",D5856)),"平","仄")))</x:f>
        <x:v>仄</x:v>
      </x:c>
      <x:c r="L5856" s="7" t="str">
        <x:v>Pingshui main list, Lu Qinli gap fill</x:v>
      </x:c>
    </x:row>
    <x:row r="5857">
      <x:c r="A5857" s="5" t="str">
        <x:v>紬</x:v>
      </x:c>
      <x:c r="B5857" s="6" t="str">
        <x:v>平</x:v>
      </x:c>
      <x:c r="C5857" s="6" t="str">
        <x:f>IF(B5857="","Needs decision","Ready")</x:f>
        <x:v>Ready</x:v>
      </x:c>
      <x:c r="D5857" s="6" t="str">
        <x:v>平</x:v>
      </x:c>
      <x:c r="E5857" s="6" t="str"/>
      <x:c r="F5857" s="6" t="str">
        <x:v>下平聲十一尤</x:v>
      </x:c>
      <x:c r="G5857" s="6" t="str">
        <x:v>Pingshui main list, Wikisource-derived DOCX</x:v>
      </x:c>
      <x:c r="H5857" s="6" t="str"/>
      <x:c r="I5857" s="6" t="str">
        <x:v>Lu Qinli gap fill from Pingshui main list; 詞 entries ignored</x:v>
      </x:c>
      <x:c r="J5857" s="6" t="str">
        <x:f>IF(B5857="","",IF(AND(ISNUMBER(SEARCH("平",B5857)),OR(ISNUMBER(SEARCH("上",B5857)),ISNUMBER(SEARCH("去",B5857)),ISNUMBER(SEARCH("入",B5857)))),"Ambiguous",IF(ISNUMBER(SEARCH("平",B5857)),"平","仄")))</x:f>
        <x:v>平</x:v>
      </x:c>
      <x:c r="K5857" s="6" t="str">
        <x:f>IF(D5857="","",IF(AND(ISNUMBER(SEARCH("平",D5857)),OR(ISNUMBER(SEARCH("上",D5857)),ISNUMBER(SEARCH("去",D5857)),ISNUMBER(SEARCH("入",D5857)))),"Ambiguous",IF(ISNUMBER(SEARCH("平",D5857)),"平","仄")))</x:f>
        <x:v>平</x:v>
      </x:c>
      <x:c r="L5857" s="7" t="str">
        <x:v>Pingshui main list, Lu Qinli gap fill</x:v>
      </x:c>
    </x:row>
    <x:row r="5858">
      <x:c r="A5858" s="5" t="str">
        <x:v>紲</x:v>
      </x:c>
      <x:c r="B5858" s="6" t="str">
        <x:v>入</x:v>
      </x:c>
      <x:c r="C5858" s="6" t="str">
        <x:f>IF(B5858="","Needs decision","Ready")</x:f>
        <x:v>Ready</x:v>
      </x:c>
      <x:c r="D5858" s="6" t="str">
        <x:v>入</x:v>
      </x:c>
      <x:c r="E5858" s="6" t="str"/>
      <x:c r="F5858" s="6" t="str">
        <x:v>入聲九屑</x:v>
      </x:c>
      <x:c r="G5858" s="6" t="str">
        <x:v>Pingshui main list, Wikisource-derived DOCX</x:v>
      </x:c>
      <x:c r="H5858" s="6" t="str"/>
      <x:c r="I5858" s="6" t="str">
        <x:v>Lu Qinli gap fill from Pingshui main list; 詞 entries ignored</x:v>
      </x:c>
      <x:c r="J5858" s="6" t="str">
        <x:f>IF(B5858="","",IF(AND(ISNUMBER(SEARCH("平",B5858)),OR(ISNUMBER(SEARCH("上",B5858)),ISNUMBER(SEARCH("去",B5858)),ISNUMBER(SEARCH("入",B5858)))),"Ambiguous",IF(ISNUMBER(SEARCH("平",B5858)),"平","仄")))</x:f>
        <x:v>仄</x:v>
      </x:c>
      <x:c r="K5858" s="6" t="str">
        <x:f>IF(D5858="","",IF(AND(ISNUMBER(SEARCH("平",D5858)),OR(ISNUMBER(SEARCH("上",D5858)),ISNUMBER(SEARCH("去",D5858)),ISNUMBER(SEARCH("入",D5858)))),"Ambiguous",IF(ISNUMBER(SEARCH("平",D5858)),"平","仄")))</x:f>
        <x:v>仄</x:v>
      </x:c>
      <x:c r="L5858" s="7" t="str">
        <x:v>Pingshui main list, Lu Qinli gap fill</x:v>
      </x:c>
    </x:row>
    <x:row r="5859">
      <x:c r="A5859" s="5" t="str">
        <x:v>紹</x:v>
      </x:c>
      <x:c r="B5859" s="6" t="str">
        <x:v>上</x:v>
      </x:c>
      <x:c r="C5859" s="6" t="str">
        <x:f>IF(B5859="","Needs decision","Ready")</x:f>
        <x:v>Ready</x:v>
      </x:c>
      <x:c r="D5859" s="6" t="str">
        <x:v>上</x:v>
      </x:c>
      <x:c r="E5859" s="6" t="str"/>
      <x:c r="F5859" s="6" t="str">
        <x:v>上聲十七篠</x:v>
      </x:c>
      <x:c r="G5859" s="6" t="str">
        <x:v>Pingshui main list, Wikisource-derived DOCX</x:v>
      </x:c>
      <x:c r="H5859" s="6" t="str"/>
      <x:c r="I5859" s="6" t="str">
        <x:v>Lu Qinli gap fill from Pingshui main list; 詞 entries ignored</x:v>
      </x:c>
      <x:c r="J5859" s="6" t="str">
        <x:f>IF(B5859="","",IF(AND(ISNUMBER(SEARCH("平",B5859)),OR(ISNUMBER(SEARCH("上",B5859)),ISNUMBER(SEARCH("去",B5859)),ISNUMBER(SEARCH("入",B5859)))),"Ambiguous",IF(ISNUMBER(SEARCH("平",B5859)),"平","仄")))</x:f>
        <x:v>仄</x:v>
      </x:c>
      <x:c r="K5859" s="6" t="str">
        <x:f>IF(D5859="","",IF(AND(ISNUMBER(SEARCH("平",D5859)),OR(ISNUMBER(SEARCH("上",D5859)),ISNUMBER(SEARCH("去",D5859)),ISNUMBER(SEARCH("入",D5859)))),"Ambiguous",IF(ISNUMBER(SEARCH("平",D5859)),"平","仄")))</x:f>
        <x:v>仄</x:v>
      </x:c>
      <x:c r="L5859" s="7" t="str">
        <x:v>Pingshui main list, Lu Qinli gap fill</x:v>
      </x:c>
    </x:row>
    <x:row r="5860">
      <x:c r="A5860" s="5" t="str">
        <x:v>紺</x:v>
      </x:c>
      <x:c r="B5860" s="6" t="str">
        <x:v>去</x:v>
      </x:c>
      <x:c r="C5860" s="6" t="str">
        <x:f>IF(B5860="","Needs decision","Ready")</x:f>
        <x:v>Ready</x:v>
      </x:c>
      <x:c r="D5860" s="6" t="str">
        <x:v>去</x:v>
      </x:c>
      <x:c r="E5860" s="6" t="str"/>
      <x:c r="F5860" s="6" t="str">
        <x:v>去聲二十八勘</x:v>
      </x:c>
      <x:c r="G5860" s="6" t="str">
        <x:v>Pingshui main list, Wikisource-derived DOCX</x:v>
      </x:c>
      <x:c r="H5860" s="6" t="str"/>
      <x:c r="I5860" s="6" t="str">
        <x:v>Lu Qinli gap fill from Pingshui main list; 詞 entries ignored</x:v>
      </x:c>
      <x:c r="J5860" s="6" t="str">
        <x:f>IF(B5860="","",IF(AND(ISNUMBER(SEARCH("平",B5860)),OR(ISNUMBER(SEARCH("上",B5860)),ISNUMBER(SEARCH("去",B5860)),ISNUMBER(SEARCH("入",B5860)))),"Ambiguous",IF(ISNUMBER(SEARCH("平",B5860)),"平","仄")))</x:f>
        <x:v>仄</x:v>
      </x:c>
      <x:c r="K5860" s="6" t="str">
        <x:f>IF(D5860="","",IF(AND(ISNUMBER(SEARCH("平",D5860)),OR(ISNUMBER(SEARCH("上",D5860)),ISNUMBER(SEARCH("去",D5860)),ISNUMBER(SEARCH("入",D5860)))),"Ambiguous",IF(ISNUMBER(SEARCH("平",D5860)),"平","仄")))</x:f>
        <x:v>仄</x:v>
      </x:c>
      <x:c r="L5860" s="7" t="str">
        <x:v>Pingshui main list, Lu Qinli gap fill</x:v>
      </x:c>
    </x:row>
    <x:row r="5861">
      <x:c r="A5861" s="5" t="str">
        <x:v>絁</x:v>
      </x:c>
      <x:c r="B5861" s="6" t="str">
        <x:v>平</x:v>
      </x:c>
      <x:c r="C5861" s="6" t="str">
        <x:f>IF(B5861="","Needs decision","Ready")</x:f>
        <x:v>Ready</x:v>
      </x:c>
      <x:c r="D5861" s="6" t="str">
        <x:v>平</x:v>
      </x:c>
      <x:c r="E5861" s="6" t="str"/>
      <x:c r="F5861" s="6" t="str">
        <x:v>上平聲四支</x:v>
      </x:c>
      <x:c r="G5861" s="6" t="str">
        <x:v>Pingshui main list, Wikisource-derived DOCX</x:v>
      </x:c>
      <x:c r="H5861" s="6" t="str"/>
      <x:c r="I5861" s="6" t="str">
        <x:v>Lu Qinli gap fill from Pingshui main list; 詞 entries ignored</x:v>
      </x:c>
      <x:c r="J5861" s="6" t="str">
        <x:f>IF(B5861="","",IF(AND(ISNUMBER(SEARCH("平",B5861)),OR(ISNUMBER(SEARCH("上",B5861)),ISNUMBER(SEARCH("去",B5861)),ISNUMBER(SEARCH("入",B5861)))),"Ambiguous",IF(ISNUMBER(SEARCH("平",B5861)),"平","仄")))</x:f>
        <x:v>平</x:v>
      </x:c>
      <x:c r="K5861" s="6" t="str">
        <x:f>IF(D5861="","",IF(AND(ISNUMBER(SEARCH("平",D5861)),OR(ISNUMBER(SEARCH("上",D5861)),ISNUMBER(SEARCH("去",D5861)),ISNUMBER(SEARCH("入",D5861)))),"Ambiguous",IF(ISNUMBER(SEARCH("平",D5861)),"平","仄")))</x:f>
        <x:v>平</x:v>
      </x:c>
      <x:c r="L5861" s="7" t="str">
        <x:v>Pingshui main list, Lu Qinli gap fill</x:v>
      </x:c>
    </x:row>
    <x:row r="5862">
      <x:c r="A5862" s="5" t="str">
        <x:v>絅</x:v>
      </x:c>
      <x:c r="B5862" s="6" t="str">
        <x:v>平</x:v>
      </x:c>
      <x:c r="C5862" s="6" t="str">
        <x:f>IF(B5862="","Needs decision","Ready")</x:f>
        <x:v>Ready</x:v>
      </x:c>
      <x:c r="D5862" s="6" t="str">
        <x:v>平</x:v>
      </x:c>
      <x:c r="E5862" s="6" t="str"/>
      <x:c r="F5862" s="6" t="str">
        <x:v>下平聲九青</x:v>
      </x:c>
      <x:c r="G5862" s="6" t="str">
        <x:v>Pingshui main list, Wikisource-derived DOCX</x:v>
      </x:c>
      <x:c r="H5862" s="6" t="str"/>
      <x:c r="I5862" s="6" t="str">
        <x:v>Lu Qinli gap fill from Pingshui main list; 詞 entries ignored</x:v>
      </x:c>
      <x:c r="J5862" s="6" t="str">
        <x:f>IF(B5862="","",IF(AND(ISNUMBER(SEARCH("平",B5862)),OR(ISNUMBER(SEARCH("上",B5862)),ISNUMBER(SEARCH("去",B5862)),ISNUMBER(SEARCH("入",B5862)))),"Ambiguous",IF(ISNUMBER(SEARCH("平",B5862)),"平","仄")))</x:f>
        <x:v>平</x:v>
      </x:c>
      <x:c r="K5862" s="6" t="str">
        <x:f>IF(D5862="","",IF(AND(ISNUMBER(SEARCH("平",D5862)),OR(ISNUMBER(SEARCH("上",D5862)),ISNUMBER(SEARCH("去",D5862)),ISNUMBER(SEARCH("入",D5862)))),"Ambiguous",IF(ISNUMBER(SEARCH("平",D5862)),"平","仄")))</x:f>
        <x:v>平</x:v>
      </x:c>
      <x:c r="L5862" s="7" t="str">
        <x:v>Pingshui main list, Lu Qinli gap fill</x:v>
      </x:c>
    </x:row>
    <x:row r="5863">
      <x:c r="A5863" s="5" t="str">
        <x:v>絆</x:v>
      </x:c>
      <x:c r="B5863" s="6" t="str">
        <x:v>去</x:v>
      </x:c>
      <x:c r="C5863" s="6" t="str">
        <x:f>IF(B5863="","Needs decision","Ready")</x:f>
        <x:v>Ready</x:v>
      </x:c>
      <x:c r="D5863" s="6" t="str">
        <x:v>去</x:v>
      </x:c>
      <x:c r="E5863" s="6" t="str"/>
      <x:c r="F5863" s="6" t="str">
        <x:v>去聲十五翰</x:v>
      </x:c>
      <x:c r="G5863" s="6" t="str">
        <x:v>Pingshui main list, Wikisource-derived DOCX</x:v>
      </x:c>
      <x:c r="H5863" s="6" t="str"/>
      <x:c r="I5863" s="6" t="str">
        <x:v>Lu Qinli gap fill from Pingshui main list; 詞 entries ignored</x:v>
      </x:c>
      <x:c r="J5863" s="6" t="str">
        <x:f>IF(B5863="","",IF(AND(ISNUMBER(SEARCH("平",B5863)),OR(ISNUMBER(SEARCH("上",B5863)),ISNUMBER(SEARCH("去",B5863)),ISNUMBER(SEARCH("入",B5863)))),"Ambiguous",IF(ISNUMBER(SEARCH("平",B5863)),"平","仄")))</x:f>
        <x:v>仄</x:v>
      </x:c>
      <x:c r="K5863" s="6" t="str">
        <x:f>IF(D5863="","",IF(AND(ISNUMBER(SEARCH("平",D5863)),OR(ISNUMBER(SEARCH("上",D5863)),ISNUMBER(SEARCH("去",D5863)),ISNUMBER(SEARCH("入",D5863)))),"Ambiguous",IF(ISNUMBER(SEARCH("平",D5863)),"平","仄")))</x:f>
        <x:v>仄</x:v>
      </x:c>
      <x:c r="L5863" s="7" t="str">
        <x:v>Pingshui main list, Lu Qinli gap fill</x:v>
      </x:c>
    </x:row>
    <x:row r="5864">
      <x:c r="A5864" s="5" t="str">
        <x:v>絛</x:v>
      </x:c>
      <x:c r="B5864" s="6" t="str">
        <x:v>平</x:v>
      </x:c>
      <x:c r="C5864" s="6" t="str">
        <x:f>IF(B5864="","Needs decision","Ready")</x:f>
        <x:v>Ready</x:v>
      </x:c>
      <x:c r="D5864" s="6" t="str">
        <x:v>平</x:v>
      </x:c>
      <x:c r="E5864" s="6" t="str"/>
      <x:c r="F5864" s="6" t="str">
        <x:v>下平聲四豪</x:v>
      </x:c>
      <x:c r="G5864" s="6" t="str">
        <x:v>Pingshui main list, Wikisource-derived DOCX</x:v>
      </x:c>
      <x:c r="H5864" s="6" t="str"/>
      <x:c r="I5864" s="6" t="str">
        <x:v>Lu Qinli gap fill from Pingshui main list; 詞 entries ignored</x:v>
      </x:c>
      <x:c r="J5864" s="6" t="str">
        <x:f>IF(B5864="","",IF(AND(ISNUMBER(SEARCH("平",B5864)),OR(ISNUMBER(SEARCH("上",B5864)),ISNUMBER(SEARCH("去",B5864)),ISNUMBER(SEARCH("入",B5864)))),"Ambiguous",IF(ISNUMBER(SEARCH("平",B5864)),"平","仄")))</x:f>
        <x:v>平</x:v>
      </x:c>
      <x:c r="K5864" s="6" t="str">
        <x:f>IF(D5864="","",IF(AND(ISNUMBER(SEARCH("平",D5864)),OR(ISNUMBER(SEARCH("上",D5864)),ISNUMBER(SEARCH("去",D5864)),ISNUMBER(SEARCH("入",D5864)))),"Ambiguous",IF(ISNUMBER(SEARCH("平",D5864)),"平","仄")))</x:f>
        <x:v>平</x:v>
      </x:c>
      <x:c r="L5864" s="7" t="str">
        <x:v>Pingshui main list, Lu Qinli gap fill</x:v>
      </x:c>
    </x:row>
    <x:row r="5865">
      <x:c r="A5865" s="5" t="str">
        <x:v>絜</x:v>
      </x:c>
      <x:c r="B5865" s="6" t="str">
        <x:v>入</x:v>
      </x:c>
      <x:c r="C5865" s="6" t="str">
        <x:f>IF(B5865="","Needs decision","Ready")</x:f>
        <x:v>Ready</x:v>
      </x:c>
      <x:c r="D5865" s="6" t="str">
        <x:v>入</x:v>
      </x:c>
      <x:c r="E5865" s="6" t="str"/>
      <x:c r="F5865" s="6" t="str">
        <x:v>入聲九屑</x:v>
      </x:c>
      <x:c r="G5865" s="6" t="str">
        <x:v>Pingshui main list, Wikisource-derived DOCX</x:v>
      </x:c>
      <x:c r="H5865" s="6" t="str"/>
      <x:c r="I5865" s="6" t="str">
        <x:v>Lu Qinli gap fill from Pingshui main list; 詞 entries ignored</x:v>
      </x:c>
      <x:c r="J5865" s="6" t="str">
        <x:f>IF(B5865="","",IF(AND(ISNUMBER(SEARCH("平",B5865)),OR(ISNUMBER(SEARCH("上",B5865)),ISNUMBER(SEARCH("去",B5865)),ISNUMBER(SEARCH("入",B5865)))),"Ambiguous",IF(ISNUMBER(SEARCH("平",B5865)),"平","仄")))</x:f>
        <x:v>仄</x:v>
      </x:c>
      <x:c r="K5865" s="6" t="str">
        <x:f>IF(D5865="","",IF(AND(ISNUMBER(SEARCH("平",D5865)),OR(ISNUMBER(SEARCH("上",D5865)),ISNUMBER(SEARCH("去",D5865)),ISNUMBER(SEARCH("入",D5865)))),"Ambiguous",IF(ISNUMBER(SEARCH("平",D5865)),"平","仄")))</x:f>
        <x:v>仄</x:v>
      </x:c>
      <x:c r="L5865" s="7" t="str">
        <x:v>Pingshui main list, Lu Qinli gap fill</x:v>
      </x:c>
    </x:row>
    <x:row r="5866">
      <x:c r="A5866" s="5" t="str">
        <x:v>絰</x:v>
      </x:c>
      <x:c r="B5866" s="6" t="str">
        <x:v>入</x:v>
      </x:c>
      <x:c r="C5866" s="6" t="str">
        <x:f>IF(B5866="","Needs decision","Ready")</x:f>
        <x:v>Ready</x:v>
      </x:c>
      <x:c r="D5866" s="6" t="str">
        <x:v>入</x:v>
      </x:c>
      <x:c r="E5866" s="6" t="str"/>
      <x:c r="F5866" s="6" t="str">
        <x:v>入聲九屑</x:v>
      </x:c>
      <x:c r="G5866" s="6" t="str">
        <x:v>Pingshui main list, Wikisource-derived DOCX</x:v>
      </x:c>
      <x:c r="H5866" s="6" t="str"/>
      <x:c r="I5866" s="6" t="str">
        <x:v>Lu Qinli gap fill from Pingshui main list; 詞 entries ignored</x:v>
      </x:c>
      <x:c r="J5866" s="6" t="str">
        <x:f>IF(B5866="","",IF(AND(ISNUMBER(SEARCH("平",B5866)),OR(ISNUMBER(SEARCH("上",B5866)),ISNUMBER(SEARCH("去",B5866)),ISNUMBER(SEARCH("入",B5866)))),"Ambiguous",IF(ISNUMBER(SEARCH("平",B5866)),"平","仄")))</x:f>
        <x:v>仄</x:v>
      </x:c>
      <x:c r="K5866" s="6" t="str">
        <x:f>IF(D5866="","",IF(AND(ISNUMBER(SEARCH("平",D5866)),OR(ISNUMBER(SEARCH("上",D5866)),ISNUMBER(SEARCH("去",D5866)),ISNUMBER(SEARCH("入",D5866)))),"Ambiguous",IF(ISNUMBER(SEARCH("平",D5866)),"平","仄")))</x:f>
        <x:v>仄</x:v>
      </x:c>
      <x:c r="L5866" s="7" t="str">
        <x:v>Pingshui main list, Lu Qinli gap fill</x:v>
      </x:c>
    </x:row>
    <x:row r="5867">
      <x:c r="A5867" s="5" t="str">
        <x:v>綆</x:v>
      </x:c>
      <x:c r="B5867" s="6" t="str">
        <x:v>上</x:v>
      </x:c>
      <x:c r="C5867" s="6" t="str">
        <x:f>IF(B5867="","Needs decision","Ready")</x:f>
        <x:v>Ready</x:v>
      </x:c>
      <x:c r="D5867" s="6" t="str">
        <x:v>上</x:v>
      </x:c>
      <x:c r="E5867" s="6" t="str"/>
      <x:c r="F5867" s="6" t="str">
        <x:v>上聲二十三梗</x:v>
      </x:c>
      <x:c r="G5867" s="6" t="str">
        <x:v>Pingshui main list, Wikisource-derived DOCX</x:v>
      </x:c>
      <x:c r="H5867" s="6" t="str"/>
      <x:c r="I5867" s="6" t="str">
        <x:v>Lu Qinli gap fill from Pingshui main list; 詞 entries ignored</x:v>
      </x:c>
      <x:c r="J5867" s="6" t="str">
        <x:f>IF(B5867="","",IF(AND(ISNUMBER(SEARCH("平",B5867)),OR(ISNUMBER(SEARCH("上",B5867)),ISNUMBER(SEARCH("去",B5867)),ISNUMBER(SEARCH("入",B5867)))),"Ambiguous",IF(ISNUMBER(SEARCH("平",B5867)),"平","仄")))</x:f>
        <x:v>仄</x:v>
      </x:c>
      <x:c r="K5867" s="6" t="str">
        <x:f>IF(D5867="","",IF(AND(ISNUMBER(SEARCH("平",D5867)),OR(ISNUMBER(SEARCH("上",D5867)),ISNUMBER(SEARCH("去",D5867)),ISNUMBER(SEARCH("入",D5867)))),"Ambiguous",IF(ISNUMBER(SEARCH("平",D5867)),"平","仄")))</x:f>
        <x:v>仄</x:v>
      </x:c>
      <x:c r="L5867" s="7" t="str">
        <x:v>Pingshui main list, Lu Qinli gap fill</x:v>
      </x:c>
    </x:row>
    <x:row r="5868">
      <x:c r="A5868" s="5" t="str">
        <x:v>綈</x:v>
      </x:c>
      <x:c r="B5868" s="6" t="str">
        <x:v>平</x:v>
      </x:c>
      <x:c r="C5868" s="6" t="str">
        <x:f>IF(B5868="","Needs decision","Ready")</x:f>
        <x:v>Ready</x:v>
      </x:c>
      <x:c r="D5868" s="6" t="str">
        <x:v>平</x:v>
      </x:c>
      <x:c r="E5868" s="6" t="str"/>
      <x:c r="F5868" s="6" t="str">
        <x:v>上平聲八齊</x:v>
      </x:c>
      <x:c r="G5868" s="6" t="str">
        <x:v>Pingshui main list, Wikisource-derived DOCX</x:v>
      </x:c>
      <x:c r="H5868" s="6" t="str"/>
      <x:c r="I5868" s="6" t="str">
        <x:v>Lu Qinli gap fill from Pingshui main list; 詞 entries ignored</x:v>
      </x:c>
      <x:c r="J5868" s="6" t="str">
        <x:f>IF(B5868="","",IF(AND(ISNUMBER(SEARCH("平",B5868)),OR(ISNUMBER(SEARCH("上",B5868)),ISNUMBER(SEARCH("去",B5868)),ISNUMBER(SEARCH("入",B5868)))),"Ambiguous",IF(ISNUMBER(SEARCH("平",B5868)),"平","仄")))</x:f>
        <x:v>平</x:v>
      </x:c>
      <x:c r="K5868" s="6" t="str">
        <x:f>IF(D5868="","",IF(AND(ISNUMBER(SEARCH("平",D5868)),OR(ISNUMBER(SEARCH("上",D5868)),ISNUMBER(SEARCH("去",D5868)),ISNUMBER(SEARCH("入",D5868)))),"Ambiguous",IF(ISNUMBER(SEARCH("平",D5868)),"平","仄")))</x:f>
        <x:v>平</x:v>
      </x:c>
      <x:c r="L5868" s="7" t="str">
        <x:v>Pingshui main list, Lu Qinli gap fill</x:v>
      </x:c>
    </x:row>
    <x:row r="5869">
      <x:c r="A5869" s="5" t="str">
        <x:v>綖</x:v>
      </x:c>
      <x:c r="B5869" s="6" t="str">
        <x:v>平</x:v>
      </x:c>
      <x:c r="C5869" s="6" t="str">
        <x:f>IF(B5869="","Needs decision","Ready")</x:f>
        <x:v>Ready</x:v>
      </x:c>
      <x:c r="D5869" s="6" t="str">
        <x:v>平</x:v>
      </x:c>
      <x:c r="E5869" s="6" t="str"/>
      <x:c r="F5869" s="6" t="str">
        <x:v>下平聲一先</x:v>
      </x:c>
      <x:c r="G5869" s="6" t="str">
        <x:v>Pingshui main list, Wikisource-derived DOCX</x:v>
      </x:c>
      <x:c r="H5869" s="6" t="str"/>
      <x:c r="I5869" s="6" t="str">
        <x:v>Lu Qinli gap fill from Pingshui main list; 詞 entries ignored</x:v>
      </x:c>
      <x:c r="J5869" s="6" t="str">
        <x:f>IF(B5869="","",IF(AND(ISNUMBER(SEARCH("平",B5869)),OR(ISNUMBER(SEARCH("上",B5869)),ISNUMBER(SEARCH("去",B5869)),ISNUMBER(SEARCH("入",B5869)))),"Ambiguous",IF(ISNUMBER(SEARCH("平",B5869)),"平","仄")))</x:f>
        <x:v>平</x:v>
      </x:c>
      <x:c r="K5869" s="6" t="str">
        <x:f>IF(D5869="","",IF(AND(ISNUMBER(SEARCH("平",D5869)),OR(ISNUMBER(SEARCH("上",D5869)),ISNUMBER(SEARCH("去",D5869)),ISNUMBER(SEARCH("入",D5869)))),"Ambiguous",IF(ISNUMBER(SEARCH("平",D5869)),"平","仄")))</x:f>
        <x:v>平</x:v>
      </x:c>
      <x:c r="L5869" s="7" t="str">
        <x:v>Pingshui main list, Lu Qinli gap fill</x:v>
      </x:c>
    </x:row>
    <x:row r="5870">
      <x:c r="A5870" s="5" t="str">
        <x:v>綣</x:v>
      </x:c>
      <x:c r="B5870" s="6" t="str"/>
      <x:c r="C5870" s="6" t="str">
        <x:f>IF(B5870="","Needs decision","Ready")</x:f>
        <x:v>Needs decision</x:v>
      </x:c>
      <x:c r="D5870" s="6" t="str">
        <x:v>上/去</x:v>
      </x:c>
      <x:c r="E5870" s="6" t="str"/>
      <x:c r="F5870" s="6" t="str">
        <x:v>上聲十三阮; 去聲十四願</x:v>
      </x:c>
      <x:c r="G5870" s="6" t="str">
        <x:v>Pingshui main list, Wikisource-derived DOCX</x:v>
      </x:c>
      <x:c r="H5870" s="6" t="str"/>
      <x:c r="I5870" s="6" t="str">
        <x:v>Lu Qinli gap fill from Pingshui main list; 詞 entries ignored</x:v>
      </x:c>
      <x:c r="J5870" s="6" t="str">
        <x:f>IF(B5870="","",IF(AND(ISNUMBER(SEARCH("平",B5870)),OR(ISNUMBER(SEARCH("上",B5870)),ISNUMBER(SEARCH("去",B5870)),ISNUMBER(SEARCH("入",B5870)))),"Ambiguous",IF(ISNUMBER(SEARCH("平",B5870)),"平","仄")))</x:f>
      </x:c>
      <x:c r="K5870" s="6" t="str">
        <x:f>IF(D5870="","",IF(AND(ISNUMBER(SEARCH("平",D5870)),OR(ISNUMBER(SEARCH("上",D5870)),ISNUMBER(SEARCH("去",D5870)),ISNUMBER(SEARCH("入",D5870)))),"Ambiguous",IF(ISNUMBER(SEARCH("平",D5870)),"平","仄")))</x:f>
        <x:v>仄</x:v>
      </x:c>
      <x:c r="L5870" s="7" t="str">
        <x:v>Pingshui main list, Lu Qinli gap fill</x:v>
      </x:c>
    </x:row>
    <x:row r="5871">
      <x:c r="A5871" s="5" t="str">
        <x:v>綬</x:v>
      </x:c>
      <x:c r="B5871" s="6" t="str"/>
      <x:c r="C5871" s="6" t="str">
        <x:f>IF(B5871="","Needs decision","Ready")</x:f>
        <x:v>Needs decision</x:v>
      </x:c>
      <x:c r="D5871" s="6" t="str">
        <x:v>上/去</x:v>
      </x:c>
      <x:c r="E5871" s="6" t="str"/>
      <x:c r="F5871" s="6" t="str">
        <x:v>上聲二十五有; 去聲二十六宥</x:v>
      </x:c>
      <x:c r="G5871" s="6" t="str">
        <x:v>Pingshui main list, Wikisource-derived DOCX</x:v>
      </x:c>
      <x:c r="H5871" s="6" t="str"/>
      <x:c r="I5871" s="6" t="str">
        <x:v>Lu Qinli gap fill from Pingshui main list; 詞 entries ignored</x:v>
      </x:c>
      <x:c r="J5871" s="6" t="str">
        <x:f>IF(B5871="","",IF(AND(ISNUMBER(SEARCH("平",B5871)),OR(ISNUMBER(SEARCH("上",B5871)),ISNUMBER(SEARCH("去",B5871)),ISNUMBER(SEARCH("入",B5871)))),"Ambiguous",IF(ISNUMBER(SEARCH("平",B5871)),"平","仄")))</x:f>
      </x:c>
      <x:c r="K5871" s="6" t="str">
        <x:f>IF(D5871="","",IF(AND(ISNUMBER(SEARCH("平",D5871)),OR(ISNUMBER(SEARCH("上",D5871)),ISNUMBER(SEARCH("去",D5871)),ISNUMBER(SEARCH("入",D5871)))),"Ambiguous",IF(ISNUMBER(SEARCH("平",D5871)),"平","仄")))</x:f>
        <x:v>仄</x:v>
      </x:c>
      <x:c r="L5871" s="7" t="str">
        <x:v>Pingshui main list, Lu Qinli gap fill</x:v>
      </x:c>
    </x:row>
    <x:row r="5872">
      <x:c r="A5872" s="5" t="str">
        <x:v>綯</x:v>
      </x:c>
      <x:c r="B5872" s="6" t="str">
        <x:v>平</x:v>
      </x:c>
      <x:c r="C5872" s="6" t="str">
        <x:f>IF(B5872="","Needs decision","Ready")</x:f>
        <x:v>Ready</x:v>
      </x:c>
      <x:c r="D5872" s="6" t="str">
        <x:v>平</x:v>
      </x:c>
      <x:c r="E5872" s="6" t="str"/>
      <x:c r="F5872" s="6" t="str">
        <x:v>下平聲四豪</x:v>
      </x:c>
      <x:c r="G5872" s="6" t="str">
        <x:v>Pingshui main list, Wikisource-derived DOCX</x:v>
      </x:c>
      <x:c r="H5872" s="6" t="str"/>
      <x:c r="I5872" s="6" t="str">
        <x:v>Lu Qinli gap fill from Pingshui main list; 詞 entries ignored</x:v>
      </x:c>
      <x:c r="J5872" s="6" t="str">
        <x:f>IF(B5872="","",IF(AND(ISNUMBER(SEARCH("平",B5872)),OR(ISNUMBER(SEARCH("上",B5872)),ISNUMBER(SEARCH("去",B5872)),ISNUMBER(SEARCH("入",B5872)))),"Ambiguous",IF(ISNUMBER(SEARCH("平",B5872)),"平","仄")))</x:f>
        <x:v>平</x:v>
      </x:c>
      <x:c r="K5872" s="6" t="str">
        <x:f>IF(D5872="","",IF(AND(ISNUMBER(SEARCH("平",D5872)),OR(ISNUMBER(SEARCH("上",D5872)),ISNUMBER(SEARCH("去",D5872)),ISNUMBER(SEARCH("入",D5872)))),"Ambiguous",IF(ISNUMBER(SEARCH("平",D5872)),"平","仄")))</x:f>
        <x:v>平</x:v>
      </x:c>
      <x:c r="L5872" s="7" t="str">
        <x:v>Pingshui main list, Lu Qinli gap fill</x:v>
      </x:c>
    </x:row>
    <x:row r="5873">
      <x:c r="A5873" s="5" t="str">
        <x:v>綰</x:v>
      </x:c>
      <x:c r="B5873" s="6" t="str"/>
      <x:c r="C5873" s="6" t="str">
        <x:f>IF(B5873="","Needs decision","Ready")</x:f>
        <x:v>Needs decision</x:v>
      </x:c>
      <x:c r="D5873" s="6" t="str">
        <x:v>上/去</x:v>
      </x:c>
      <x:c r="E5873" s="6" t="str"/>
      <x:c r="F5873" s="6" t="str">
        <x:v>上聲十五潸; 去聲十六諫</x:v>
      </x:c>
      <x:c r="G5873" s="6" t="str">
        <x:v>Pingshui main list, Wikisource-derived DOCX</x:v>
      </x:c>
      <x:c r="H5873" s="6" t="str"/>
      <x:c r="I5873" s="6" t="str">
        <x:v>Lu Qinli gap fill from Pingshui main list; 詞 entries ignored</x:v>
      </x:c>
      <x:c r="J5873" s="6" t="str">
        <x:f>IF(B5873="","",IF(AND(ISNUMBER(SEARCH("平",B5873)),OR(ISNUMBER(SEARCH("上",B5873)),ISNUMBER(SEARCH("去",B5873)),ISNUMBER(SEARCH("入",B5873)))),"Ambiguous",IF(ISNUMBER(SEARCH("平",B5873)),"平","仄")))</x:f>
      </x:c>
      <x:c r="K5873" s="6" t="str">
        <x:f>IF(D5873="","",IF(AND(ISNUMBER(SEARCH("平",D5873)),OR(ISNUMBER(SEARCH("上",D5873)),ISNUMBER(SEARCH("去",D5873)),ISNUMBER(SEARCH("入",D5873)))),"Ambiguous",IF(ISNUMBER(SEARCH("平",D5873)),"平","仄")))</x:f>
        <x:v>仄</x:v>
      </x:c>
      <x:c r="L5873" s="7" t="str">
        <x:v>Pingshui main list, Lu Qinli gap fill</x:v>
      </x:c>
    </x:row>
    <x:row r="5874">
      <x:c r="A5874" s="5" t="str">
        <x:v>綵</x:v>
      </x:c>
      <x:c r="B5874" s="6" t="str">
        <x:v>上</x:v>
      </x:c>
      <x:c r="C5874" s="6" t="str">
        <x:f>IF(B5874="","Needs decision","Ready")</x:f>
        <x:v>Ready</x:v>
      </x:c>
      <x:c r="D5874" s="6" t="str">
        <x:v>上</x:v>
      </x:c>
      <x:c r="E5874" s="6" t="str"/>
      <x:c r="F5874" s="6" t="str">
        <x:v>上聲十賄</x:v>
      </x:c>
      <x:c r="G5874" s="6" t="str">
        <x:v>Pingshui main list, Wikisource-derived DOCX</x:v>
      </x:c>
      <x:c r="H5874" s="6" t="str"/>
      <x:c r="I5874" s="6" t="str">
        <x:v>Lu Qinli gap fill from Pingshui main list; 詞 entries ignored</x:v>
      </x:c>
      <x:c r="J5874" s="6" t="str">
        <x:f>IF(B5874="","",IF(AND(ISNUMBER(SEARCH("平",B5874)),OR(ISNUMBER(SEARCH("上",B5874)),ISNUMBER(SEARCH("去",B5874)),ISNUMBER(SEARCH("入",B5874)))),"Ambiguous",IF(ISNUMBER(SEARCH("平",B5874)),"平","仄")))</x:f>
        <x:v>仄</x:v>
      </x:c>
      <x:c r="K5874" s="6" t="str">
        <x:f>IF(D5874="","",IF(AND(ISNUMBER(SEARCH("平",D5874)),OR(ISNUMBER(SEARCH("上",D5874)),ISNUMBER(SEARCH("去",D5874)),ISNUMBER(SEARCH("入",D5874)))),"Ambiguous",IF(ISNUMBER(SEARCH("平",D5874)),"平","仄")))</x:f>
        <x:v>仄</x:v>
      </x:c>
      <x:c r="L5874" s="7" t="str">
        <x:v>Pingshui main list, Lu Qinli gap fill</x:v>
      </x:c>
    </x:row>
    <x:row r="5875">
      <x:c r="A5875" s="5" t="str">
        <x:v>綻</x:v>
      </x:c>
      <x:c r="B5875" s="6" t="str">
        <x:v>去</x:v>
      </x:c>
      <x:c r="C5875" s="6" t="str">
        <x:f>IF(B5875="","Needs decision","Ready")</x:f>
        <x:v>Ready</x:v>
      </x:c>
      <x:c r="D5875" s="6" t="str">
        <x:v>去</x:v>
      </x:c>
      <x:c r="E5875" s="6" t="str"/>
      <x:c r="F5875" s="6" t="str">
        <x:v>去聲十六諫</x:v>
      </x:c>
      <x:c r="G5875" s="6" t="str">
        <x:v>Pingshui main list, Wikisource-derived DOCX</x:v>
      </x:c>
      <x:c r="H5875" s="6" t="str"/>
      <x:c r="I5875" s="6" t="str">
        <x:v>Lu Qinli gap fill from Pingshui main list; 詞 entries ignored</x:v>
      </x:c>
      <x:c r="J5875" s="6" t="str">
        <x:f>IF(B5875="","",IF(AND(ISNUMBER(SEARCH("平",B5875)),OR(ISNUMBER(SEARCH("上",B5875)),ISNUMBER(SEARCH("去",B5875)),ISNUMBER(SEARCH("入",B5875)))),"Ambiguous",IF(ISNUMBER(SEARCH("平",B5875)),"平","仄")))</x:f>
        <x:v>仄</x:v>
      </x:c>
      <x:c r="K5875" s="6" t="str">
        <x:f>IF(D5875="","",IF(AND(ISNUMBER(SEARCH("平",D5875)),OR(ISNUMBER(SEARCH("上",D5875)),ISNUMBER(SEARCH("去",D5875)),ISNUMBER(SEARCH("入",D5875)))),"Ambiguous",IF(ISNUMBER(SEARCH("平",D5875)),"平","仄")))</x:f>
        <x:v>仄</x:v>
      </x:c>
      <x:c r="L5875" s="7" t="str">
        <x:v>Pingshui main list, Lu Qinli gap fill</x:v>
      </x:c>
    </x:row>
    <x:row r="5876">
      <x:c r="A5876" s="5" t="str">
        <x:v>綾</x:v>
      </x:c>
      <x:c r="B5876" s="6" t="str">
        <x:v>平</x:v>
      </x:c>
      <x:c r="C5876" s="6" t="str">
        <x:f>IF(B5876="","Needs decision","Ready")</x:f>
        <x:v>Ready</x:v>
      </x:c>
      <x:c r="D5876" s="6" t="str">
        <x:v>平</x:v>
      </x:c>
      <x:c r="E5876" s="6" t="str"/>
      <x:c r="F5876" s="6" t="str">
        <x:v>下平聲十蒸</x:v>
      </x:c>
      <x:c r="G5876" s="6" t="str">
        <x:v>Pingshui main list, Wikisource-derived DOCX</x:v>
      </x:c>
      <x:c r="H5876" s="6" t="str"/>
      <x:c r="I5876" s="6" t="str">
        <x:v>Lu Qinli gap fill from Pingshui main list; 詞 entries ignored</x:v>
      </x:c>
      <x:c r="J5876" s="6" t="str">
        <x:f>IF(B5876="","",IF(AND(ISNUMBER(SEARCH("平",B5876)),OR(ISNUMBER(SEARCH("上",B5876)),ISNUMBER(SEARCH("去",B5876)),ISNUMBER(SEARCH("入",B5876)))),"Ambiguous",IF(ISNUMBER(SEARCH("平",B5876)),"平","仄")))</x:f>
        <x:v>平</x:v>
      </x:c>
      <x:c r="K5876" s="6" t="str">
        <x:f>IF(D5876="","",IF(AND(ISNUMBER(SEARCH("平",D5876)),OR(ISNUMBER(SEARCH("上",D5876)),ISNUMBER(SEARCH("去",D5876)),ISNUMBER(SEARCH("入",D5876)))),"Ambiguous",IF(ISNUMBER(SEARCH("平",D5876)),"平","仄")))</x:f>
        <x:v>平</x:v>
      </x:c>
      <x:c r="L5876" s="7" t="str">
        <x:v>Pingshui main list, Lu Qinli gap fill</x:v>
      </x:c>
    </x:row>
    <x:row r="5877">
      <x:c r="A5877" s="5" t="str">
        <x:v>緄</x:v>
      </x:c>
      <x:c r="B5877" s="6" t="str">
        <x:v>上</x:v>
      </x:c>
      <x:c r="C5877" s="6" t="str">
        <x:f>IF(B5877="","Needs decision","Ready")</x:f>
        <x:v>Ready</x:v>
      </x:c>
      <x:c r="D5877" s="6" t="str">
        <x:v>上</x:v>
      </x:c>
      <x:c r="E5877" s="6" t="str"/>
      <x:c r="F5877" s="6" t="str">
        <x:v>上聲十三阮</x:v>
      </x:c>
      <x:c r="G5877" s="6" t="str">
        <x:v>Pingshui main list, Wikisource-derived DOCX</x:v>
      </x:c>
      <x:c r="H5877" s="6" t="str"/>
      <x:c r="I5877" s="6" t="str">
        <x:v>Lu Qinli gap fill from Pingshui main list; 詞 entries ignored</x:v>
      </x:c>
      <x:c r="J5877" s="6" t="str">
        <x:f>IF(B5877="","",IF(AND(ISNUMBER(SEARCH("平",B5877)),OR(ISNUMBER(SEARCH("上",B5877)),ISNUMBER(SEARCH("去",B5877)),ISNUMBER(SEARCH("入",B5877)))),"Ambiguous",IF(ISNUMBER(SEARCH("平",B5877)),"平","仄")))</x:f>
        <x:v>仄</x:v>
      </x:c>
      <x:c r="K5877" s="6" t="str">
        <x:f>IF(D5877="","",IF(AND(ISNUMBER(SEARCH("平",D5877)),OR(ISNUMBER(SEARCH("上",D5877)),ISNUMBER(SEARCH("去",D5877)),ISNUMBER(SEARCH("入",D5877)))),"Ambiguous",IF(ISNUMBER(SEARCH("平",D5877)),"平","仄")))</x:f>
        <x:v>仄</x:v>
      </x:c>
      <x:c r="L5877" s="7" t="str">
        <x:v>Pingshui main list, Lu Qinli gap fill</x:v>
      </x:c>
    </x:row>
    <x:row r="5878">
      <x:c r="A5878" s="5" t="str">
        <x:v>緋</x:v>
      </x:c>
      <x:c r="B5878" s="6" t="str">
        <x:v>平</x:v>
      </x:c>
      <x:c r="C5878" s="6" t="str">
        <x:f>IF(B5878="","Needs decision","Ready")</x:f>
        <x:v>Ready</x:v>
      </x:c>
      <x:c r="D5878" s="6" t="str">
        <x:v>平</x:v>
      </x:c>
      <x:c r="E5878" s="6" t="str"/>
      <x:c r="F5878" s="6" t="str">
        <x:v>上平聲五微</x:v>
      </x:c>
      <x:c r="G5878" s="6" t="str">
        <x:v>Pingshui main list, Wikisource-derived DOCX</x:v>
      </x:c>
      <x:c r="H5878" s="6" t="str"/>
      <x:c r="I5878" s="6" t="str">
        <x:v>Lu Qinli gap fill from Pingshui main list; 詞 entries ignored</x:v>
      </x:c>
      <x:c r="J5878" s="6" t="str">
        <x:f>IF(B5878="","",IF(AND(ISNUMBER(SEARCH("平",B5878)),OR(ISNUMBER(SEARCH("上",B5878)),ISNUMBER(SEARCH("去",B5878)),ISNUMBER(SEARCH("入",B5878)))),"Ambiguous",IF(ISNUMBER(SEARCH("平",B5878)),"平","仄")))</x:f>
        <x:v>平</x:v>
      </x:c>
      <x:c r="K5878" s="6" t="str">
        <x:f>IF(D5878="","",IF(AND(ISNUMBER(SEARCH("平",D5878)),OR(ISNUMBER(SEARCH("上",D5878)),ISNUMBER(SEARCH("去",D5878)),ISNUMBER(SEARCH("入",D5878)))),"Ambiguous",IF(ISNUMBER(SEARCH("平",D5878)),"平","仄")))</x:f>
        <x:v>平</x:v>
      </x:c>
      <x:c r="L5878" s="7" t="str">
        <x:v>Pingshui main list, Lu Qinli gap fill</x:v>
      </x:c>
    </x:row>
    <x:row r="5879">
      <x:c r="A5879" s="5" t="str">
        <x:v>締</x:v>
      </x:c>
      <x:c r="B5879" s="6" t="str"/>
      <x:c r="C5879" s="6" t="str">
        <x:f>IF(B5879="","Needs decision","Ready")</x:f>
        <x:v>Needs decision</x:v>
      </x:c>
      <x:c r="D5879" s="6" t="str">
        <x:v>平/去</x:v>
      </x:c>
      <x:c r="E5879" s="6" t="str"/>
      <x:c r="F5879" s="6" t="str">
        <x:v>上平聲八齊; 去聲八霽</x:v>
      </x:c>
      <x:c r="G5879" s="6" t="str">
        <x:v>Pingshui main list, Wikisource-derived DOCX</x:v>
      </x:c>
      <x:c r="H5879" s="6" t="str"/>
      <x:c r="I5879" s="6" t="str">
        <x:v>Lu Qinli gap fill from Pingshui main list; 詞 entries ignored</x:v>
      </x:c>
      <x:c r="J5879" s="6" t="str">
        <x:f>IF(B5879="","",IF(AND(ISNUMBER(SEARCH("平",B5879)),OR(ISNUMBER(SEARCH("上",B5879)),ISNUMBER(SEARCH("去",B5879)),ISNUMBER(SEARCH("入",B5879)))),"Ambiguous",IF(ISNUMBER(SEARCH("平",B5879)),"平","仄")))</x:f>
      </x:c>
      <x:c r="K5879" s="6" t="str">
        <x:f>IF(D5879="","",IF(AND(ISNUMBER(SEARCH("平",D5879)),OR(ISNUMBER(SEARCH("上",D5879)),ISNUMBER(SEARCH("去",D5879)),ISNUMBER(SEARCH("入",D5879)))),"Ambiguous",IF(ISNUMBER(SEARCH("平",D5879)),"平","仄")))</x:f>
        <x:v>Ambiguous</x:v>
      </x:c>
      <x:c r="L5879" s="7" t="str">
        <x:v>Pingshui main list, Lu Qinli gap fill</x:v>
      </x:c>
    </x:row>
    <x:row r="5880">
      <x:c r="A5880" s="5" t="str">
        <x:v>緪</x:v>
      </x:c>
      <x:c r="B5880" s="6" t="str">
        <x:v>平</x:v>
      </x:c>
      <x:c r="C5880" s="6" t="str">
        <x:f>IF(B5880="","Needs decision","Ready")</x:f>
        <x:v>Ready</x:v>
      </x:c>
      <x:c r="D5880" s="6" t="str">
        <x:v>平</x:v>
      </x:c>
      <x:c r="E5880" s="6" t="str"/>
      <x:c r="F5880" s="6" t="str">
        <x:v>下平聲十蒸</x:v>
      </x:c>
      <x:c r="G5880" s="6" t="str">
        <x:v>Pingshui main list, Wikisource-derived DOCX</x:v>
      </x:c>
      <x:c r="H5880" s="6" t="str"/>
      <x:c r="I5880" s="6" t="str">
        <x:v>Lu Qinli gap fill from Pingshui main list; 詞 entries ignored</x:v>
      </x:c>
      <x:c r="J5880" s="6" t="str">
        <x:f>IF(B5880="","",IF(AND(ISNUMBER(SEARCH("平",B5880)),OR(ISNUMBER(SEARCH("上",B5880)),ISNUMBER(SEARCH("去",B5880)),ISNUMBER(SEARCH("入",B5880)))),"Ambiguous",IF(ISNUMBER(SEARCH("平",B5880)),"平","仄")))</x:f>
        <x:v>平</x:v>
      </x:c>
      <x:c r="K5880" s="6" t="str">
        <x:f>IF(D5880="","",IF(AND(ISNUMBER(SEARCH("平",D5880)),OR(ISNUMBER(SEARCH("上",D5880)),ISNUMBER(SEARCH("去",D5880)),ISNUMBER(SEARCH("入",D5880)))),"Ambiguous",IF(ISNUMBER(SEARCH("平",D5880)),"平","仄")))</x:f>
        <x:v>平</x:v>
      </x:c>
      <x:c r="L5880" s="7" t="str">
        <x:v>Pingshui main list, Lu Qinli gap fill</x:v>
      </x:c>
    </x:row>
    <x:row r="5881">
      <x:c r="A5881" s="5" t="str">
        <x:v>緬</x:v>
      </x:c>
      <x:c r="B5881" s="6" t="str">
        <x:v>上</x:v>
      </x:c>
      <x:c r="C5881" s="6" t="str">
        <x:f>IF(B5881="","Needs decision","Ready")</x:f>
        <x:v>Ready</x:v>
      </x:c>
      <x:c r="D5881" s="6" t="str">
        <x:v>上</x:v>
      </x:c>
      <x:c r="E5881" s="6" t="str"/>
      <x:c r="F5881" s="6" t="str">
        <x:v>上聲十六銑</x:v>
      </x:c>
      <x:c r="G5881" s="6" t="str">
        <x:v>Pingshui main list, Wikisource-derived DOCX</x:v>
      </x:c>
      <x:c r="H5881" s="6" t="str"/>
      <x:c r="I5881" s="6" t="str">
        <x:v>Lu Qinli gap fill from Pingshui main list; 詞 entries ignored</x:v>
      </x:c>
      <x:c r="J5881" s="6" t="str">
        <x:f>IF(B5881="","",IF(AND(ISNUMBER(SEARCH("平",B5881)),OR(ISNUMBER(SEARCH("上",B5881)),ISNUMBER(SEARCH("去",B5881)),ISNUMBER(SEARCH("入",B5881)))),"Ambiguous",IF(ISNUMBER(SEARCH("平",B5881)),"平","仄")))</x:f>
        <x:v>仄</x:v>
      </x:c>
      <x:c r="K5881" s="6" t="str">
        <x:f>IF(D5881="","",IF(AND(ISNUMBER(SEARCH("平",D5881)),OR(ISNUMBER(SEARCH("上",D5881)),ISNUMBER(SEARCH("去",D5881)),ISNUMBER(SEARCH("入",D5881)))),"Ambiguous",IF(ISNUMBER(SEARCH("平",D5881)),"平","仄")))</x:f>
        <x:v>仄</x:v>
      </x:c>
      <x:c r="L5881" s="7" t="str">
        <x:v>Pingshui main list, Lu Qinli gap fill</x:v>
      </x:c>
    </x:row>
    <x:row r="5882">
      <x:c r="A5882" s="5" t="str">
        <x:v>緱</x:v>
      </x:c>
      <x:c r="B5882" s="6" t="str">
        <x:v>平</x:v>
      </x:c>
      <x:c r="C5882" s="6" t="str">
        <x:f>IF(B5882="","Needs decision","Ready")</x:f>
        <x:v>Ready</x:v>
      </x:c>
      <x:c r="D5882" s="6" t="str">
        <x:v>平</x:v>
      </x:c>
      <x:c r="E5882" s="6" t="str"/>
      <x:c r="F5882" s="6" t="str">
        <x:v>下平聲十一尤</x:v>
      </x:c>
      <x:c r="G5882" s="6" t="str">
        <x:v>Pingshui main list, Wikisource-derived DOCX</x:v>
      </x:c>
      <x:c r="H5882" s="6" t="str"/>
      <x:c r="I5882" s="6" t="str">
        <x:v>Lu Qinli gap fill from Pingshui main list; 詞 entries ignored</x:v>
      </x:c>
      <x:c r="J5882" s="6" t="str">
        <x:f>IF(B5882="","",IF(AND(ISNUMBER(SEARCH("平",B5882)),OR(ISNUMBER(SEARCH("上",B5882)),ISNUMBER(SEARCH("去",B5882)),ISNUMBER(SEARCH("入",B5882)))),"Ambiguous",IF(ISNUMBER(SEARCH("平",B5882)),"平","仄")))</x:f>
        <x:v>平</x:v>
      </x:c>
      <x:c r="K5882" s="6" t="str">
        <x:f>IF(D5882="","",IF(AND(ISNUMBER(SEARCH("平",D5882)),OR(ISNUMBER(SEARCH("上",D5882)),ISNUMBER(SEARCH("去",D5882)),ISNUMBER(SEARCH("入",D5882)))),"Ambiguous",IF(ISNUMBER(SEARCH("平",D5882)),"平","仄")))</x:f>
        <x:v>平</x:v>
      </x:c>
      <x:c r="L5882" s="7" t="str">
        <x:v>Pingshui main list, Lu Qinli gap fill</x:v>
      </x:c>
    </x:row>
    <x:row r="5883">
      <x:c r="A5883" s="5" t="str">
        <x:v>緲</x:v>
      </x:c>
      <x:c r="B5883" s="6" t="str">
        <x:v>上</x:v>
      </x:c>
      <x:c r="C5883" s="6" t="str">
        <x:f>IF(B5883="","Needs decision","Ready")</x:f>
        <x:v>Ready</x:v>
      </x:c>
      <x:c r="D5883" s="6" t="str">
        <x:v>上</x:v>
      </x:c>
      <x:c r="E5883" s="6" t="str"/>
      <x:c r="F5883" s="6" t="str">
        <x:v>上聲十七篠</x:v>
      </x:c>
      <x:c r="G5883" s="6" t="str">
        <x:v>Pingshui main list, Wikisource-derived DOCX</x:v>
      </x:c>
      <x:c r="H5883" s="6" t="str"/>
      <x:c r="I5883" s="6" t="str">
        <x:v>Lu Qinli gap fill from Pingshui main list; 詞 entries ignored</x:v>
      </x:c>
      <x:c r="J5883" s="6" t="str">
        <x:f>IF(B5883="","",IF(AND(ISNUMBER(SEARCH("平",B5883)),OR(ISNUMBER(SEARCH("上",B5883)),ISNUMBER(SEARCH("去",B5883)),ISNUMBER(SEARCH("入",B5883)))),"Ambiguous",IF(ISNUMBER(SEARCH("平",B5883)),"平","仄")))</x:f>
        <x:v>仄</x:v>
      </x:c>
      <x:c r="K5883" s="6" t="str">
        <x:f>IF(D5883="","",IF(AND(ISNUMBER(SEARCH("平",D5883)),OR(ISNUMBER(SEARCH("上",D5883)),ISNUMBER(SEARCH("去",D5883)),ISNUMBER(SEARCH("入",D5883)))),"Ambiguous",IF(ISNUMBER(SEARCH("平",D5883)),"平","仄")))</x:f>
        <x:v>仄</x:v>
      </x:c>
      <x:c r="L5883" s="7" t="str">
        <x:v>Pingshui main list, Lu Qinli gap fill</x:v>
      </x:c>
    </x:row>
    <x:row r="5884">
      <x:c r="A5884" s="5" t="str">
        <x:v>緹</x:v>
      </x:c>
      <x:c r="B5884" s="6" t="str"/>
      <x:c r="C5884" s="6" t="str">
        <x:f>IF(B5884="","Needs decision","Ready")</x:f>
        <x:v>Needs decision</x:v>
      </x:c>
      <x:c r="D5884" s="6" t="str">
        <x:v>平/上</x:v>
      </x:c>
      <x:c r="E5884" s="6" t="str"/>
      <x:c r="F5884" s="6" t="str">
        <x:v>上平聲八齊; 上聲八薺</x:v>
      </x:c>
      <x:c r="G5884" s="6" t="str">
        <x:v>Pingshui main list, Wikisource-derived DOCX</x:v>
      </x:c>
      <x:c r="H5884" s="6" t="str"/>
      <x:c r="I5884" s="6" t="str">
        <x:v>Lu Qinli gap fill from Pingshui main list; 詞 entries ignored</x:v>
      </x:c>
      <x:c r="J5884" s="6" t="str">
        <x:f>IF(B5884="","",IF(AND(ISNUMBER(SEARCH("平",B5884)),OR(ISNUMBER(SEARCH("上",B5884)),ISNUMBER(SEARCH("去",B5884)),ISNUMBER(SEARCH("入",B5884)))),"Ambiguous",IF(ISNUMBER(SEARCH("平",B5884)),"平","仄")))</x:f>
      </x:c>
      <x:c r="K5884" s="6" t="str">
        <x:f>IF(D5884="","",IF(AND(ISNUMBER(SEARCH("平",D5884)),OR(ISNUMBER(SEARCH("上",D5884)),ISNUMBER(SEARCH("去",D5884)),ISNUMBER(SEARCH("入",D5884)))),"Ambiguous",IF(ISNUMBER(SEARCH("平",D5884)),"平","仄")))</x:f>
        <x:v>Ambiguous</x:v>
      </x:c>
      <x:c r="L5884" s="7" t="str">
        <x:v>Pingshui main list, Lu Qinli gap fill</x:v>
      </x:c>
    </x:row>
    <x:row r="5885">
      <x:c r="A5885" s="5" t="str">
        <x:v>縉</x:v>
      </x:c>
      <x:c r="B5885" s="6" t="str">
        <x:v>去</x:v>
      </x:c>
      <x:c r="C5885" s="6" t="str">
        <x:f>IF(B5885="","Needs decision","Ready")</x:f>
        <x:v>Ready</x:v>
      </x:c>
      <x:c r="D5885" s="6" t="str">
        <x:v>去</x:v>
      </x:c>
      <x:c r="E5885" s="6" t="str"/>
      <x:c r="F5885" s="6" t="str">
        <x:v>去聲十二震</x:v>
      </x:c>
      <x:c r="G5885" s="6" t="str">
        <x:v>Pingshui main list, Wikisource-derived DOCX</x:v>
      </x:c>
      <x:c r="H5885" s="6" t="str"/>
      <x:c r="I5885" s="6" t="str">
        <x:v>Lu Qinli gap fill from Pingshui main list; 詞 entries ignored</x:v>
      </x:c>
      <x:c r="J5885" s="6" t="str">
        <x:f>IF(B5885="","",IF(AND(ISNUMBER(SEARCH("平",B5885)),OR(ISNUMBER(SEARCH("上",B5885)),ISNUMBER(SEARCH("去",B5885)),ISNUMBER(SEARCH("入",B5885)))),"Ambiguous",IF(ISNUMBER(SEARCH("平",B5885)),"平","仄")))</x:f>
        <x:v>仄</x:v>
      </x:c>
      <x:c r="K5885" s="6" t="str">
        <x:f>IF(D5885="","",IF(AND(ISNUMBER(SEARCH("平",D5885)),OR(ISNUMBER(SEARCH("上",D5885)),ISNUMBER(SEARCH("去",D5885)),ISNUMBER(SEARCH("入",D5885)))),"Ambiguous",IF(ISNUMBER(SEARCH("平",D5885)),"平","仄")))</x:f>
        <x:v>仄</x:v>
      </x:c>
      <x:c r="L5885" s="7" t="str">
        <x:v>Pingshui main list, Lu Qinli gap fill</x:v>
      </x:c>
    </x:row>
    <x:row r="5886">
      <x:c r="A5886" s="5" t="str">
        <x:v>縑</x:v>
      </x:c>
      <x:c r="B5886" s="6" t="str">
        <x:v>平</x:v>
      </x:c>
      <x:c r="C5886" s="6" t="str">
        <x:f>IF(B5886="","Needs decision","Ready")</x:f>
        <x:v>Ready</x:v>
      </x:c>
      <x:c r="D5886" s="6" t="str">
        <x:v>平</x:v>
      </x:c>
      <x:c r="E5886" s="6" t="str"/>
      <x:c r="F5886" s="6" t="str">
        <x:v>下平聲十四鹽</x:v>
      </x:c>
      <x:c r="G5886" s="6" t="str">
        <x:v>Pingshui main list, Wikisource-derived DOCX</x:v>
      </x:c>
      <x:c r="H5886" s="6" t="str"/>
      <x:c r="I5886" s="6" t="str">
        <x:v>Lu Qinli gap fill from Pingshui main list; 詞 entries ignored</x:v>
      </x:c>
      <x:c r="J5886" s="6" t="str">
        <x:f>IF(B5886="","",IF(AND(ISNUMBER(SEARCH("平",B5886)),OR(ISNUMBER(SEARCH("上",B5886)),ISNUMBER(SEARCH("去",B5886)),ISNUMBER(SEARCH("入",B5886)))),"Ambiguous",IF(ISNUMBER(SEARCH("平",B5886)),"平","仄")))</x:f>
        <x:v>平</x:v>
      </x:c>
      <x:c r="K5886" s="6" t="str">
        <x:f>IF(D5886="","",IF(AND(ISNUMBER(SEARCH("平",D5886)),OR(ISNUMBER(SEARCH("上",D5886)),ISNUMBER(SEARCH("去",D5886)),ISNUMBER(SEARCH("入",D5886)))),"Ambiguous",IF(ISNUMBER(SEARCH("平",D5886)),"平","仄")))</x:f>
        <x:v>平</x:v>
      </x:c>
      <x:c r="L5886" s="7" t="str">
        <x:v>Pingshui main list, Lu Qinli gap fill</x:v>
      </x:c>
    </x:row>
    <x:row r="5887">
      <x:c r="A5887" s="5" t="str">
        <x:v>縕</x:v>
      </x:c>
      <x:c r="B5887" s="6" t="str"/>
      <x:c r="C5887" s="6" t="str">
        <x:f>IF(B5887="","Needs decision","Ready")</x:f>
        <x:v>Needs decision</x:v>
      </x:c>
      <x:c r="D5887" s="6" t="str">
        <x:v>平/去</x:v>
      </x:c>
      <x:c r="E5887" s="6" t="str"/>
      <x:c r="F5887" s="6" t="str">
        <x:v>上平聲十二文; 上平聲十三元; 去聲十三問</x:v>
      </x:c>
      <x:c r="G5887" s="6" t="str">
        <x:v>Pingshui main list, Wikisource-derived DOCX</x:v>
      </x:c>
      <x:c r="H5887" s="6" t="str"/>
      <x:c r="I5887" s="6" t="str">
        <x:v>Lu Qinli gap fill from Pingshui main list; 詞 entries ignored</x:v>
      </x:c>
      <x:c r="J5887" s="6" t="str">
        <x:f>IF(B5887="","",IF(AND(ISNUMBER(SEARCH("平",B5887)),OR(ISNUMBER(SEARCH("上",B5887)),ISNUMBER(SEARCH("去",B5887)),ISNUMBER(SEARCH("入",B5887)))),"Ambiguous",IF(ISNUMBER(SEARCH("平",B5887)),"平","仄")))</x:f>
      </x:c>
      <x:c r="K5887" s="6" t="str">
        <x:f>IF(D5887="","",IF(AND(ISNUMBER(SEARCH("平",D5887)),OR(ISNUMBER(SEARCH("上",D5887)),ISNUMBER(SEARCH("去",D5887)),ISNUMBER(SEARCH("入",D5887)))),"Ambiguous",IF(ISNUMBER(SEARCH("平",D5887)),"平","仄")))</x:f>
        <x:v>Ambiguous</x:v>
      </x:c>
      <x:c r="L5887" s="7" t="str">
        <x:v>Pingshui main list, Lu Qinli gap fill</x:v>
      </x:c>
    </x:row>
    <x:row r="5888">
      <x:c r="A5888" s="5" t="str">
        <x:v>縠</x:v>
      </x:c>
      <x:c r="B5888" s="6" t="str">
        <x:v>入</x:v>
      </x:c>
      <x:c r="C5888" s="6" t="str">
        <x:f>IF(B5888="","Needs decision","Ready")</x:f>
        <x:v>Ready</x:v>
      </x:c>
      <x:c r="D5888" s="6" t="str">
        <x:v>入</x:v>
      </x:c>
      <x:c r="E5888" s="6" t="str"/>
      <x:c r="F5888" s="6" t="str">
        <x:v>入聲一屋</x:v>
      </x:c>
      <x:c r="G5888" s="6" t="str">
        <x:v>Pingshui main list, Wikisource-derived DOCX</x:v>
      </x:c>
      <x:c r="H5888" s="6" t="str"/>
      <x:c r="I5888" s="6" t="str">
        <x:v>Lu Qinli gap fill from Pingshui main list; 詞 entries ignored</x:v>
      </x:c>
      <x:c r="J5888" s="6" t="str">
        <x:f>IF(B5888="","",IF(AND(ISNUMBER(SEARCH("平",B5888)),OR(ISNUMBER(SEARCH("上",B5888)),ISNUMBER(SEARCH("去",B5888)),ISNUMBER(SEARCH("入",B5888)))),"Ambiguous",IF(ISNUMBER(SEARCH("平",B5888)),"平","仄")))</x:f>
        <x:v>仄</x:v>
      </x:c>
      <x:c r="K5888" s="6" t="str">
        <x:f>IF(D5888="","",IF(AND(ISNUMBER(SEARCH("平",D5888)),OR(ISNUMBER(SEARCH("上",D5888)),ISNUMBER(SEARCH("去",D5888)),ISNUMBER(SEARCH("入",D5888)))),"Ambiguous",IF(ISNUMBER(SEARCH("平",D5888)),"平","仄")))</x:f>
        <x:v>仄</x:v>
      </x:c>
      <x:c r="L5888" s="7" t="str">
        <x:v>Pingshui main list, Lu Qinli gap fill</x:v>
      </x:c>
    </x:row>
    <x:row r="5889">
      <x:c r="A5889" s="5" t="str">
        <x:v>縡</x:v>
      </x:c>
      <x:c r="B5889" s="6" t="str">
        <x:v>去</x:v>
      </x:c>
      <x:c r="C5889" s="6" t="str">
        <x:f>IF(B5889="","Needs decision","Ready")</x:f>
        <x:v>Ready</x:v>
      </x:c>
      <x:c r="D5889" s="6" t="str">
        <x:v>去</x:v>
      </x:c>
      <x:c r="E5889" s="6" t="str"/>
      <x:c r="F5889" s="6" t="str">
        <x:v>去聲十一隊</x:v>
      </x:c>
      <x:c r="G5889" s="6" t="str">
        <x:v>Pingshui main list, Wikisource-derived DOCX</x:v>
      </x:c>
      <x:c r="H5889" s="6" t="str"/>
      <x:c r="I5889" s="6" t="str">
        <x:v>Lu Qinli gap fill from Pingshui main list; 詞 entries ignored</x:v>
      </x:c>
      <x:c r="J5889" s="6" t="str">
        <x:f>IF(B5889="","",IF(AND(ISNUMBER(SEARCH("平",B5889)),OR(ISNUMBER(SEARCH("上",B5889)),ISNUMBER(SEARCH("去",B5889)),ISNUMBER(SEARCH("入",B5889)))),"Ambiguous",IF(ISNUMBER(SEARCH("平",B5889)),"平","仄")))</x:f>
        <x:v>仄</x:v>
      </x:c>
      <x:c r="K5889" s="6" t="str">
        <x:f>IF(D5889="","",IF(AND(ISNUMBER(SEARCH("平",D5889)),OR(ISNUMBER(SEARCH("上",D5889)),ISNUMBER(SEARCH("去",D5889)),ISNUMBER(SEARCH("入",D5889)))),"Ambiguous",IF(ISNUMBER(SEARCH("平",D5889)),"平","仄")))</x:f>
        <x:v>仄</x:v>
      </x:c>
      <x:c r="L5889" s="7" t="str">
        <x:v>Pingshui main list, Lu Qinli gap fill</x:v>
      </x:c>
    </x:row>
    <x:row r="5890">
      <x:c r="A5890" s="5" t="str">
        <x:v>縵</x:v>
      </x:c>
      <x:c r="B5890" s="6" t="str">
        <x:v>去</x:v>
      </x:c>
      <x:c r="C5890" s="6" t="str">
        <x:f>IF(B5890="","Needs decision","Ready")</x:f>
        <x:v>Ready</x:v>
      </x:c>
      <x:c r="D5890" s="6" t="str">
        <x:v>去</x:v>
      </x:c>
      <x:c r="E5890" s="6" t="str"/>
      <x:c r="F5890" s="6" t="str">
        <x:v>去聲十五翰; 去聲十六諫</x:v>
      </x:c>
      <x:c r="G5890" s="6" t="str">
        <x:v>Pingshui main list, Wikisource-derived DOCX</x:v>
      </x:c>
      <x:c r="H5890" s="6" t="str"/>
      <x:c r="I5890" s="6" t="str">
        <x:v>Lu Qinli gap fill from Pingshui main list; 詞 entries ignored</x:v>
      </x:c>
      <x:c r="J5890" s="6" t="str">
        <x:f>IF(B5890="","",IF(AND(ISNUMBER(SEARCH("平",B5890)),OR(ISNUMBER(SEARCH("上",B5890)),ISNUMBER(SEARCH("去",B5890)),ISNUMBER(SEARCH("入",B5890)))),"Ambiguous",IF(ISNUMBER(SEARCH("平",B5890)),"平","仄")))</x:f>
        <x:v>仄</x:v>
      </x:c>
      <x:c r="K5890" s="6" t="str">
        <x:f>IF(D5890="","",IF(AND(ISNUMBER(SEARCH("平",D5890)),OR(ISNUMBER(SEARCH("上",D5890)),ISNUMBER(SEARCH("去",D5890)),ISNUMBER(SEARCH("入",D5890)))),"Ambiguous",IF(ISNUMBER(SEARCH("平",D5890)),"平","仄")))</x:f>
        <x:v>仄</x:v>
      </x:c>
      <x:c r="L5890" s="7" t="str">
        <x:v>Pingshui main list, Lu Qinli gap fill</x:v>
      </x:c>
    </x:row>
    <x:row r="5891">
      <x:c r="A5891" s="5" t="str">
        <x:v>縻</x:v>
      </x:c>
      <x:c r="B5891" s="6" t="str">
        <x:v>平</x:v>
      </x:c>
      <x:c r="C5891" s="6" t="str">
        <x:f>IF(B5891="","Needs decision","Ready")</x:f>
        <x:v>Ready</x:v>
      </x:c>
      <x:c r="D5891" s="6" t="str">
        <x:v>平</x:v>
      </x:c>
      <x:c r="E5891" s="6" t="str"/>
      <x:c r="F5891" s="6" t="str">
        <x:v>上平聲四支</x:v>
      </x:c>
      <x:c r="G5891" s="6" t="str">
        <x:v>Pingshui main list, Wikisource-derived DOCX</x:v>
      </x:c>
      <x:c r="H5891" s="6" t="str"/>
      <x:c r="I5891" s="6" t="str">
        <x:v>Lu Qinli gap fill from Pingshui main list; 詞 entries ignored</x:v>
      </x:c>
      <x:c r="J5891" s="6" t="str">
        <x:f>IF(B5891="","",IF(AND(ISNUMBER(SEARCH("平",B5891)),OR(ISNUMBER(SEARCH("上",B5891)),ISNUMBER(SEARCH("去",B5891)),ISNUMBER(SEARCH("入",B5891)))),"Ambiguous",IF(ISNUMBER(SEARCH("平",B5891)),"平","仄")))</x:f>
        <x:v>平</x:v>
      </x:c>
      <x:c r="K5891" s="6" t="str">
        <x:f>IF(D5891="","",IF(AND(ISNUMBER(SEARCH("平",D5891)),OR(ISNUMBER(SEARCH("上",D5891)),ISNUMBER(SEARCH("去",D5891)),ISNUMBER(SEARCH("入",D5891)))),"Ambiguous",IF(ISNUMBER(SEARCH("平",D5891)),"平","仄")))</x:f>
        <x:v>平</x:v>
      </x:c>
      <x:c r="L5891" s="7" t="str">
        <x:v>Pingshui main list, Lu Qinli gap fill</x:v>
      </x:c>
    </x:row>
    <x:row r="5892">
      <x:c r="A5892" s="5" t="str">
        <x:v>繂</x:v>
      </x:c>
      <x:c r="B5892" s="6" t="str">
        <x:v>入</x:v>
      </x:c>
      <x:c r="C5892" s="6" t="str">
        <x:f>IF(B5892="","Needs decision","Ready")</x:f>
        <x:v>Ready</x:v>
      </x:c>
      <x:c r="D5892" s="6" t="str">
        <x:v>入</x:v>
      </x:c>
      <x:c r="E5892" s="6" t="str"/>
      <x:c r="F5892" s="6" t="str">
        <x:v>入聲四質</x:v>
      </x:c>
      <x:c r="G5892" s="6" t="str">
        <x:v>Pingshui main list, Wikisource-derived DOCX</x:v>
      </x:c>
      <x:c r="H5892" s="6" t="str"/>
      <x:c r="I5892" s="6" t="str">
        <x:v>Lu Qinli gap fill from Pingshui main list; 詞 entries ignored</x:v>
      </x:c>
      <x:c r="J5892" s="6" t="str">
        <x:f>IF(B5892="","",IF(AND(ISNUMBER(SEARCH("平",B5892)),OR(ISNUMBER(SEARCH("上",B5892)),ISNUMBER(SEARCH("去",B5892)),ISNUMBER(SEARCH("入",B5892)))),"Ambiguous",IF(ISNUMBER(SEARCH("平",B5892)),"平","仄")))</x:f>
        <x:v>仄</x:v>
      </x:c>
      <x:c r="K5892" s="6" t="str">
        <x:f>IF(D5892="","",IF(AND(ISNUMBER(SEARCH("平",D5892)),OR(ISNUMBER(SEARCH("上",D5892)),ISNUMBER(SEARCH("去",D5892)),ISNUMBER(SEARCH("入",D5892)))),"Ambiguous",IF(ISNUMBER(SEARCH("平",D5892)),"平","仄")))</x:f>
        <x:v>仄</x:v>
      </x:c>
      <x:c r="L5892" s="7" t="str">
        <x:v>Pingshui main list, Lu Qinli gap fill</x:v>
      </x:c>
    </x:row>
    <x:row r="5893">
      <x:c r="A5893" s="5" t="str">
        <x:v>繅</x:v>
      </x:c>
      <x:c r="B5893" s="6" t="str"/>
      <x:c r="C5893" s="6" t="str">
        <x:f>IF(B5893="","Needs decision","Ready")</x:f>
        <x:v>Needs decision</x:v>
      </x:c>
      <x:c r="D5893" s="6" t="str">
        <x:v>平/上</x:v>
      </x:c>
      <x:c r="E5893" s="6" t="str"/>
      <x:c r="F5893" s="6" t="str">
        <x:v>下平聲四豪; 上聲十九皓</x:v>
      </x:c>
      <x:c r="G5893" s="6" t="str">
        <x:v>Pingshui main list, Wikisource-derived DOCX</x:v>
      </x:c>
      <x:c r="H5893" s="6" t="str"/>
      <x:c r="I5893" s="6" t="str">
        <x:v>Lu Qinli gap fill from Pingshui main list; 詞 entries ignored</x:v>
      </x:c>
      <x:c r="J5893" s="6" t="str">
        <x:f>IF(B5893="","",IF(AND(ISNUMBER(SEARCH("平",B5893)),OR(ISNUMBER(SEARCH("上",B5893)),ISNUMBER(SEARCH("去",B5893)),ISNUMBER(SEARCH("入",B5893)))),"Ambiguous",IF(ISNUMBER(SEARCH("平",B5893)),"平","仄")))</x:f>
      </x:c>
      <x:c r="K5893" s="6" t="str">
        <x:f>IF(D5893="","",IF(AND(ISNUMBER(SEARCH("平",D5893)),OR(ISNUMBER(SEARCH("上",D5893)),ISNUMBER(SEARCH("去",D5893)),ISNUMBER(SEARCH("入",D5893)))),"Ambiguous",IF(ISNUMBER(SEARCH("平",D5893)),"平","仄")))</x:f>
        <x:v>Ambiguous</x:v>
      </x:c>
      <x:c r="L5893" s="7" t="str">
        <x:v>Pingshui main list, Lu Qinli gap fill</x:v>
      </x:c>
    </x:row>
    <x:row r="5894">
      <x:c r="A5894" s="5" t="str">
        <x:v>繆</x:v>
      </x:c>
      <x:c r="B5894" s="6" t="str"/>
      <x:c r="C5894" s="6" t="str">
        <x:f>IF(B5894="","Needs decision","Ready")</x:f>
        <x:v>Needs decision</x:v>
      </x:c>
      <x:c r="D5894" s="6" t="str">
        <x:v>平/去/入</x:v>
      </x:c>
      <x:c r="E5894" s="6" t="str"/>
      <x:c r="F5894" s="6" t="str">
        <x:v>下平聲十一尤; 去聲二十六宥; 入聲一屋</x:v>
      </x:c>
      <x:c r="G5894" s="6" t="str">
        <x:v>Pingshui main list, Wikisource-derived DOCX</x:v>
      </x:c>
      <x:c r="H5894" s="6" t="str"/>
      <x:c r="I5894" s="6" t="str">
        <x:v>Lu Qinli gap fill from Pingshui main list; 詞 entries ignored</x:v>
      </x:c>
      <x:c r="J5894" s="6" t="str">
        <x:f>IF(B5894="","",IF(AND(ISNUMBER(SEARCH("平",B5894)),OR(ISNUMBER(SEARCH("上",B5894)),ISNUMBER(SEARCH("去",B5894)),ISNUMBER(SEARCH("入",B5894)))),"Ambiguous",IF(ISNUMBER(SEARCH("平",B5894)),"平","仄")))</x:f>
      </x:c>
      <x:c r="K5894" s="6" t="str">
        <x:f>IF(D5894="","",IF(AND(ISNUMBER(SEARCH("平",D5894)),OR(ISNUMBER(SEARCH("上",D5894)),ISNUMBER(SEARCH("去",D5894)),ISNUMBER(SEARCH("入",D5894)))),"Ambiguous",IF(ISNUMBER(SEARCH("平",D5894)),"平","仄")))</x:f>
        <x:v>Ambiguous</x:v>
      </x:c>
      <x:c r="L5894" s="7" t="str">
        <x:v>Pingshui main list, Lu Qinli gap fill</x:v>
      </x:c>
    </x:row>
    <x:row r="5895">
      <x:c r="A5895" s="5" t="str">
        <x:v>繇</x:v>
      </x:c>
      <x:c r="B5895" s="6" t="str"/>
      <x:c r="C5895" s="6" t="str">
        <x:f>IF(B5895="","Needs decision","Ready")</x:f>
        <x:v>Needs decision</x:v>
      </x:c>
      <x:c r="D5895" s="6" t="str">
        <x:v>平/去</x:v>
      </x:c>
      <x:c r="E5895" s="6" t="str"/>
      <x:c r="F5895" s="6" t="str">
        <x:v>下平聲二蕭; 下平聲十一尤; 去聲二十六宥</x:v>
      </x:c>
      <x:c r="G5895" s="6" t="str">
        <x:v>Pingshui main list, Wikisource-derived DOCX</x:v>
      </x:c>
      <x:c r="H5895" s="6" t="str"/>
      <x:c r="I5895" s="6" t="str">
        <x:v>Lu Qinli gap fill from Pingshui main list; 詞 entries ignored</x:v>
      </x:c>
      <x:c r="J5895" s="6" t="str">
        <x:f>IF(B5895="","",IF(AND(ISNUMBER(SEARCH("平",B5895)),OR(ISNUMBER(SEARCH("上",B5895)),ISNUMBER(SEARCH("去",B5895)),ISNUMBER(SEARCH("入",B5895)))),"Ambiguous",IF(ISNUMBER(SEARCH("平",B5895)),"平","仄")))</x:f>
      </x:c>
      <x:c r="K5895" s="6" t="str">
        <x:f>IF(D5895="","",IF(AND(ISNUMBER(SEARCH("平",D5895)),OR(ISNUMBER(SEARCH("上",D5895)),ISNUMBER(SEARCH("去",D5895)),ISNUMBER(SEARCH("入",D5895)))),"Ambiguous",IF(ISNUMBER(SEARCH("平",D5895)),"平","仄")))</x:f>
        <x:v>Ambiguous</x:v>
      </x:c>
      <x:c r="L5895" s="7" t="str">
        <x:v>Pingshui main list, Lu Qinli gap fill</x:v>
      </x:c>
    </x:row>
    <x:row r="5896">
      <x:c r="A5896" s="5" t="str">
        <x:v>繖</x:v>
      </x:c>
      <x:c r="B5896" s="6" t="str">
        <x:v>上</x:v>
      </x:c>
      <x:c r="C5896" s="6" t="str">
        <x:f>IF(B5896="","Needs decision","Ready")</x:f>
        <x:v>Ready</x:v>
      </x:c>
      <x:c r="D5896" s="6" t="str">
        <x:v>上</x:v>
      </x:c>
      <x:c r="E5896" s="6" t="str"/>
      <x:c r="F5896" s="6" t="str">
        <x:v>上聲十四旱</x:v>
      </x:c>
      <x:c r="G5896" s="6" t="str">
        <x:v>Pingshui main list, Wikisource-derived DOCX</x:v>
      </x:c>
      <x:c r="H5896" s="6" t="str"/>
      <x:c r="I5896" s="6" t="str">
        <x:v>Lu Qinli gap fill from Pingshui main list; 詞 entries ignored</x:v>
      </x:c>
      <x:c r="J5896" s="6" t="str">
        <x:f>IF(B5896="","",IF(AND(ISNUMBER(SEARCH("平",B5896)),OR(ISNUMBER(SEARCH("上",B5896)),ISNUMBER(SEARCH("去",B5896)),ISNUMBER(SEARCH("入",B5896)))),"Ambiguous",IF(ISNUMBER(SEARCH("平",B5896)),"平","仄")))</x:f>
        <x:v>仄</x:v>
      </x:c>
      <x:c r="K5896" s="6" t="str">
        <x:f>IF(D5896="","",IF(AND(ISNUMBER(SEARCH("平",D5896)),OR(ISNUMBER(SEARCH("上",D5896)),ISNUMBER(SEARCH("去",D5896)),ISNUMBER(SEARCH("入",D5896)))),"Ambiguous",IF(ISNUMBER(SEARCH("平",D5896)),"平","仄")))</x:f>
        <x:v>仄</x:v>
      </x:c>
      <x:c r="L5896" s="7" t="str">
        <x:v>Pingshui main list, Lu Qinli gap fill</x:v>
      </x:c>
    </x:row>
    <x:row r="5897">
      <x:c r="A5897" s="5" t="str">
        <x:v>繚</x:v>
      </x:c>
      <x:c r="B5897" s="6" t="str">
        <x:v>上</x:v>
      </x:c>
      <x:c r="C5897" s="6" t="str">
        <x:f>IF(B5897="","Needs decision","Ready")</x:f>
        <x:v>Ready</x:v>
      </x:c>
      <x:c r="D5897" s="6" t="str">
        <x:v>上</x:v>
      </x:c>
      <x:c r="E5897" s="6" t="str"/>
      <x:c r="F5897" s="6" t="str">
        <x:v>上聲十七篠</x:v>
      </x:c>
      <x:c r="G5897" s="6" t="str">
        <x:v>Pingshui main list, Wikisource-derived DOCX</x:v>
      </x:c>
      <x:c r="H5897" s="6" t="str"/>
      <x:c r="I5897" s="6" t="str">
        <x:v>Lu Qinli gap fill from Pingshui main list; 詞 entries ignored</x:v>
      </x:c>
      <x:c r="J5897" s="6" t="str">
        <x:f>IF(B5897="","",IF(AND(ISNUMBER(SEARCH("平",B5897)),OR(ISNUMBER(SEARCH("上",B5897)),ISNUMBER(SEARCH("去",B5897)),ISNUMBER(SEARCH("入",B5897)))),"Ambiguous",IF(ISNUMBER(SEARCH("平",B5897)),"平","仄")))</x:f>
        <x:v>仄</x:v>
      </x:c>
      <x:c r="K5897" s="6" t="str">
        <x:f>IF(D5897="","",IF(AND(ISNUMBER(SEARCH("平",D5897)),OR(ISNUMBER(SEARCH("上",D5897)),ISNUMBER(SEARCH("去",D5897)),ISNUMBER(SEARCH("入",D5897)))),"Ambiguous",IF(ISNUMBER(SEARCH("平",D5897)),"平","仄")))</x:f>
        <x:v>仄</x:v>
      </x:c>
      <x:c r="L5897" s="7" t="str">
        <x:v>Pingshui main list, Lu Qinli gap fill</x:v>
      </x:c>
    </x:row>
    <x:row r="5898">
      <x:c r="A5898" s="5" t="str">
        <x:v>繢</x:v>
      </x:c>
      <x:c r="B5898" s="6" t="str">
        <x:v>去</x:v>
      </x:c>
      <x:c r="C5898" s="6" t="str">
        <x:f>IF(B5898="","Needs decision","Ready")</x:f>
        <x:v>Ready</x:v>
      </x:c>
      <x:c r="D5898" s="6" t="str">
        <x:v>去</x:v>
      </x:c>
      <x:c r="E5898" s="6" t="str"/>
      <x:c r="F5898" s="6" t="str">
        <x:v>去聲十一隊</x:v>
      </x:c>
      <x:c r="G5898" s="6" t="str">
        <x:v>Pingshui main list, Wikisource-derived DOCX</x:v>
      </x:c>
      <x:c r="H5898" s="6" t="str"/>
      <x:c r="I5898" s="6" t="str">
        <x:v>Lu Qinli gap fill from Pingshui main list; 詞 entries ignored</x:v>
      </x:c>
      <x:c r="J5898" s="6" t="str">
        <x:f>IF(B5898="","",IF(AND(ISNUMBER(SEARCH("平",B5898)),OR(ISNUMBER(SEARCH("上",B5898)),ISNUMBER(SEARCH("去",B5898)),ISNUMBER(SEARCH("入",B5898)))),"Ambiguous",IF(ISNUMBER(SEARCH("平",B5898)),"平","仄")))</x:f>
        <x:v>仄</x:v>
      </x:c>
      <x:c r="K5898" s="6" t="str">
        <x:f>IF(D5898="","",IF(AND(ISNUMBER(SEARCH("平",D5898)),OR(ISNUMBER(SEARCH("上",D5898)),ISNUMBER(SEARCH("去",D5898)),ISNUMBER(SEARCH("入",D5898)))),"Ambiguous",IF(ISNUMBER(SEARCH("平",D5898)),"平","仄")))</x:f>
        <x:v>仄</x:v>
      </x:c>
      <x:c r="L5898" s="7" t="str">
        <x:v>Pingshui main list, Lu Qinli gap fill</x:v>
      </x:c>
    </x:row>
    <x:row r="5899">
      <x:c r="A5899" s="5" t="str">
        <x:v>繪</x:v>
      </x:c>
      <x:c r="B5899" s="6" t="str"/>
      <x:c r="C5899" s="6" t="str">
        <x:f>IF(B5899="","Needs decision","Ready")</x:f>
        <x:v>Needs decision</x:v>
      </x:c>
      <x:c r="D5899" s="6" t="str">
        <x:v>平/去</x:v>
      </x:c>
      <x:c r="E5899" s="6" t="str"/>
      <x:c r="F5899" s="6" t="str">
        <x:v>下平聲十蒸; 去聲九泰</x:v>
      </x:c>
      <x:c r="G5899" s="6" t="str">
        <x:v>Pingshui main list, Wikisource-derived DOCX</x:v>
      </x:c>
      <x:c r="H5899" s="6" t="str"/>
      <x:c r="I5899" s="6" t="str">
        <x:v>Lu Qinli gap fill from Pingshui main list; 詞 entries ignored</x:v>
      </x:c>
      <x:c r="J5899" s="6" t="str">
        <x:f>IF(B5899="","",IF(AND(ISNUMBER(SEARCH("平",B5899)),OR(ISNUMBER(SEARCH("上",B5899)),ISNUMBER(SEARCH("去",B5899)),ISNUMBER(SEARCH("入",B5899)))),"Ambiguous",IF(ISNUMBER(SEARCH("平",B5899)),"平","仄")))</x:f>
      </x:c>
      <x:c r="K5899" s="6" t="str">
        <x:f>IF(D5899="","",IF(AND(ISNUMBER(SEARCH("平",D5899)),OR(ISNUMBER(SEARCH("上",D5899)),ISNUMBER(SEARCH("去",D5899)),ISNUMBER(SEARCH("入",D5899)))),"Ambiguous",IF(ISNUMBER(SEARCH("平",D5899)),"平","仄")))</x:f>
        <x:v>Ambiguous</x:v>
      </x:c>
      <x:c r="L5899" s="7" t="str">
        <x:v>Pingshui main list, Lu Qinli gap fill</x:v>
      </x:c>
    </x:row>
    <x:row r="5900">
      <x:c r="A5900" s="5" t="str">
        <x:v>繶</x:v>
      </x:c>
      <x:c r="B5900" s="6" t="str">
        <x:v>入</x:v>
      </x:c>
      <x:c r="C5900" s="6" t="str">
        <x:f>IF(B5900="","Needs decision","Ready")</x:f>
        <x:v>Ready</x:v>
      </x:c>
      <x:c r="D5900" s="6" t="str">
        <x:v>入</x:v>
      </x:c>
      <x:c r="E5900" s="6" t="str"/>
      <x:c r="F5900" s="6" t="str">
        <x:v>入聲十三職</x:v>
      </x:c>
      <x:c r="G5900" s="6" t="str">
        <x:v>Pingshui main list, Wikisource-derived DOCX</x:v>
      </x:c>
      <x:c r="H5900" s="6" t="str"/>
      <x:c r="I5900" s="6" t="str">
        <x:v>Lu Qinli gap fill from Pingshui main list; 詞 entries ignored</x:v>
      </x:c>
      <x:c r="J5900" s="6" t="str">
        <x:f>IF(B5900="","",IF(AND(ISNUMBER(SEARCH("平",B5900)),OR(ISNUMBER(SEARCH("上",B5900)),ISNUMBER(SEARCH("去",B5900)),ISNUMBER(SEARCH("入",B5900)))),"Ambiguous",IF(ISNUMBER(SEARCH("平",B5900)),"平","仄")))</x:f>
        <x:v>仄</x:v>
      </x:c>
      <x:c r="K5900" s="6" t="str">
        <x:f>IF(D5900="","",IF(AND(ISNUMBER(SEARCH("平",D5900)),OR(ISNUMBER(SEARCH("上",D5900)),ISNUMBER(SEARCH("去",D5900)),ISNUMBER(SEARCH("入",D5900)))),"Ambiguous",IF(ISNUMBER(SEARCH("平",D5900)),"平","仄")))</x:f>
        <x:v>仄</x:v>
      </x:c>
      <x:c r="L5900" s="7" t="str">
        <x:v>Pingshui main list, Lu Qinli gap fill</x:v>
      </x:c>
    </x:row>
    <x:row r="5901">
      <x:c r="A5901" s="5" t="str">
        <x:v>繾</x:v>
      </x:c>
      <x:c r="B5901" s="6" t="str"/>
      <x:c r="C5901" s="6" t="str">
        <x:f>IF(B5901="","Needs decision","Ready")</x:f>
        <x:v>Needs decision</x:v>
      </x:c>
      <x:c r="D5901" s="6" t="str">
        <x:v>上/去</x:v>
      </x:c>
      <x:c r="E5901" s="6" t="str"/>
      <x:c r="F5901" s="6" t="str">
        <x:v>上聲十六銑; 去聲十七霰</x:v>
      </x:c>
      <x:c r="G5901" s="6" t="str">
        <x:v>Pingshui main list, Wikisource-derived DOCX</x:v>
      </x:c>
      <x:c r="H5901" s="6" t="str"/>
      <x:c r="I5901" s="6" t="str">
        <x:v>Lu Qinli gap fill from Pingshui main list; 詞 entries ignored</x:v>
      </x:c>
      <x:c r="J5901" s="6" t="str">
        <x:f>IF(B5901="","",IF(AND(ISNUMBER(SEARCH("平",B5901)),OR(ISNUMBER(SEARCH("上",B5901)),ISNUMBER(SEARCH("去",B5901)),ISNUMBER(SEARCH("入",B5901)))),"Ambiguous",IF(ISNUMBER(SEARCH("平",B5901)),"平","仄")))</x:f>
      </x:c>
      <x:c r="K5901" s="6" t="str">
        <x:f>IF(D5901="","",IF(AND(ISNUMBER(SEARCH("平",D5901)),OR(ISNUMBER(SEARCH("上",D5901)),ISNUMBER(SEARCH("去",D5901)),ISNUMBER(SEARCH("入",D5901)))),"Ambiguous",IF(ISNUMBER(SEARCH("平",D5901)),"平","仄")))</x:f>
        <x:v>仄</x:v>
      </x:c>
      <x:c r="L5901" s="7" t="str">
        <x:v>Pingshui main list, Lu Qinli gap fill</x:v>
      </x:c>
    </x:row>
    <x:row r="5902">
      <x:c r="A5902" s="5" t="str">
        <x:v>纆</x:v>
      </x:c>
      <x:c r="B5902" s="6" t="str">
        <x:v>入</x:v>
      </x:c>
      <x:c r="C5902" s="6" t="str">
        <x:f>IF(B5902="","Needs decision","Ready")</x:f>
        <x:v>Ready</x:v>
      </x:c>
      <x:c r="D5902" s="6" t="str">
        <x:v>入</x:v>
      </x:c>
      <x:c r="E5902" s="6" t="str"/>
      <x:c r="F5902" s="6" t="str">
        <x:v>入聲十三職</x:v>
      </x:c>
      <x:c r="G5902" s="6" t="str">
        <x:v>Pingshui main list, Wikisource-derived DOCX</x:v>
      </x:c>
      <x:c r="H5902" s="6" t="str"/>
      <x:c r="I5902" s="6" t="str">
        <x:v>Lu Qinli gap fill from Pingshui main list; 詞 entries ignored</x:v>
      </x:c>
      <x:c r="J5902" s="6" t="str">
        <x:f>IF(B5902="","",IF(AND(ISNUMBER(SEARCH("平",B5902)),OR(ISNUMBER(SEARCH("上",B5902)),ISNUMBER(SEARCH("去",B5902)),ISNUMBER(SEARCH("入",B5902)))),"Ambiguous",IF(ISNUMBER(SEARCH("平",B5902)),"平","仄")))</x:f>
        <x:v>仄</x:v>
      </x:c>
      <x:c r="K5902" s="6" t="str">
        <x:f>IF(D5902="","",IF(AND(ISNUMBER(SEARCH("平",D5902)),OR(ISNUMBER(SEARCH("上",D5902)),ISNUMBER(SEARCH("去",D5902)),ISNUMBER(SEARCH("入",D5902)))),"Ambiguous",IF(ISNUMBER(SEARCH("平",D5902)),"平","仄")))</x:f>
        <x:v>仄</x:v>
      </x:c>
      <x:c r="L5902" s="7" t="str">
        <x:v>Pingshui main list, Lu Qinli gap fill</x:v>
      </x:c>
    </x:row>
    <x:row r="5903">
      <x:c r="A5903" s="5" t="str">
        <x:v>纈</x:v>
      </x:c>
      <x:c r="B5903" s="6" t="str">
        <x:v>入</x:v>
      </x:c>
      <x:c r="C5903" s="6" t="str">
        <x:f>IF(B5903="","Needs decision","Ready")</x:f>
        <x:v>Ready</x:v>
      </x:c>
      <x:c r="D5903" s="6" t="str">
        <x:v>入</x:v>
      </x:c>
      <x:c r="E5903" s="6" t="str"/>
      <x:c r="F5903" s="6" t="str">
        <x:v>入聲九屑</x:v>
      </x:c>
      <x:c r="G5903" s="6" t="str">
        <x:v>Pingshui main list, Wikisource-derived DOCX</x:v>
      </x:c>
      <x:c r="H5903" s="6" t="str"/>
      <x:c r="I5903" s="6" t="str">
        <x:v>Lu Qinli gap fill from Pingshui main list; 詞 entries ignored</x:v>
      </x:c>
      <x:c r="J5903" s="6" t="str">
        <x:f>IF(B5903="","",IF(AND(ISNUMBER(SEARCH("平",B5903)),OR(ISNUMBER(SEARCH("上",B5903)),ISNUMBER(SEARCH("去",B5903)),ISNUMBER(SEARCH("入",B5903)))),"Ambiguous",IF(ISNUMBER(SEARCH("平",B5903)),"平","仄")))</x:f>
        <x:v>仄</x:v>
      </x:c>
      <x:c r="K5903" s="6" t="str">
        <x:f>IF(D5903="","",IF(AND(ISNUMBER(SEARCH("平",D5903)),OR(ISNUMBER(SEARCH("上",D5903)),ISNUMBER(SEARCH("去",D5903)),ISNUMBER(SEARCH("入",D5903)))),"Ambiguous",IF(ISNUMBER(SEARCH("平",D5903)),"平","仄")))</x:f>
        <x:v>仄</x:v>
      </x:c>
      <x:c r="L5903" s="7" t="str">
        <x:v>Pingshui main list, Lu Qinli gap fill</x:v>
      </x:c>
    </x:row>
    <x:row r="5904">
      <x:c r="A5904" s="5" t="str">
        <x:v>纘</x:v>
      </x:c>
      <x:c r="B5904" s="6" t="str">
        <x:v>上</x:v>
      </x:c>
      <x:c r="C5904" s="6" t="str">
        <x:f>IF(B5904="","Needs decision","Ready")</x:f>
        <x:v>Ready</x:v>
      </x:c>
      <x:c r="D5904" s="6" t="str">
        <x:v>上</x:v>
      </x:c>
      <x:c r="E5904" s="6" t="str"/>
      <x:c r="F5904" s="6" t="str">
        <x:v>上聲十四旱</x:v>
      </x:c>
      <x:c r="G5904" s="6" t="str">
        <x:v>Pingshui main list, Wikisource-derived DOCX</x:v>
      </x:c>
      <x:c r="H5904" s="6" t="str"/>
      <x:c r="I5904" s="6" t="str">
        <x:v>Lu Qinli gap fill from Pingshui main list; 詞 entries ignored</x:v>
      </x:c>
      <x:c r="J5904" s="6" t="str">
        <x:f>IF(B5904="","",IF(AND(ISNUMBER(SEARCH("平",B5904)),OR(ISNUMBER(SEARCH("上",B5904)),ISNUMBER(SEARCH("去",B5904)),ISNUMBER(SEARCH("入",B5904)))),"Ambiguous",IF(ISNUMBER(SEARCH("平",B5904)),"平","仄")))</x:f>
        <x:v>仄</x:v>
      </x:c>
      <x:c r="K5904" s="6" t="str">
        <x:f>IF(D5904="","",IF(AND(ISNUMBER(SEARCH("平",D5904)),OR(ISNUMBER(SEARCH("上",D5904)),ISNUMBER(SEARCH("去",D5904)),ISNUMBER(SEARCH("入",D5904)))),"Ambiguous",IF(ISNUMBER(SEARCH("平",D5904)),"平","仄")))</x:f>
        <x:v>仄</x:v>
      </x:c>
      <x:c r="L5904" s="7" t="str">
        <x:v>Pingshui main list, Lu Qinli gap fill</x:v>
      </x:c>
    </x:row>
    <x:row r="5905">
      <x:c r="A5905" s="5" t="str">
        <x:v>纜</x:v>
      </x:c>
      <x:c r="B5905" s="6" t="str">
        <x:v>去</x:v>
      </x:c>
      <x:c r="C5905" s="6" t="str">
        <x:f>IF(B5905="","Needs decision","Ready")</x:f>
        <x:v>Ready</x:v>
      </x:c>
      <x:c r="D5905" s="6" t="str">
        <x:v>去</x:v>
      </x:c>
      <x:c r="E5905" s="6" t="str"/>
      <x:c r="F5905" s="6" t="str">
        <x:v>去聲二十八勘</x:v>
      </x:c>
      <x:c r="G5905" s="6" t="str">
        <x:v>Pingshui main list, Wikisource-derived DOCX</x:v>
      </x:c>
      <x:c r="H5905" s="6" t="str"/>
      <x:c r="I5905" s="6" t="str">
        <x:v>Lu Qinli gap fill from Pingshui main list; 詞 entries ignored</x:v>
      </x:c>
      <x:c r="J5905" s="6" t="str">
        <x:f>IF(B5905="","",IF(AND(ISNUMBER(SEARCH("平",B5905)),OR(ISNUMBER(SEARCH("上",B5905)),ISNUMBER(SEARCH("去",B5905)),ISNUMBER(SEARCH("入",B5905)))),"Ambiguous",IF(ISNUMBER(SEARCH("平",B5905)),"平","仄")))</x:f>
        <x:v>仄</x:v>
      </x:c>
      <x:c r="K5905" s="6" t="str">
        <x:f>IF(D5905="","",IF(AND(ISNUMBER(SEARCH("平",D5905)),OR(ISNUMBER(SEARCH("上",D5905)),ISNUMBER(SEARCH("去",D5905)),ISNUMBER(SEARCH("入",D5905)))),"Ambiguous",IF(ISNUMBER(SEARCH("平",D5905)),"平","仄")))</x:f>
        <x:v>仄</x:v>
      </x:c>
      <x:c r="L5905" s="7" t="str">
        <x:v>Pingshui main list, Lu Qinli gap fill</x:v>
      </x:c>
    </x:row>
    <x:row r="5906">
      <x:c r="A5906" s="5" t="str">
        <x:v>缸</x:v>
      </x:c>
      <x:c r="B5906" s="6" t="str">
        <x:v>平</x:v>
      </x:c>
      <x:c r="C5906" s="6" t="str">
        <x:f>IF(B5906="","Needs decision","Ready")</x:f>
        <x:v>Ready</x:v>
      </x:c>
      <x:c r="D5906" s="6" t="str">
        <x:v>平</x:v>
      </x:c>
      <x:c r="E5906" s="6" t="str"/>
      <x:c r="F5906" s="6" t="str">
        <x:v>上平聲三江</x:v>
      </x:c>
      <x:c r="G5906" s="6" t="str">
        <x:v>Pingshui main list, Wikisource-derived DOCX</x:v>
      </x:c>
      <x:c r="H5906" s="6" t="str"/>
      <x:c r="I5906" s="6" t="str">
        <x:v>Lu Qinli gap fill from Pingshui main list; 詞 entries ignored</x:v>
      </x:c>
      <x:c r="J5906" s="6" t="str">
        <x:f>IF(B5906="","",IF(AND(ISNUMBER(SEARCH("平",B5906)),OR(ISNUMBER(SEARCH("上",B5906)),ISNUMBER(SEARCH("去",B5906)),ISNUMBER(SEARCH("入",B5906)))),"Ambiguous",IF(ISNUMBER(SEARCH("平",B5906)),"平","仄")))</x:f>
        <x:v>平</x:v>
      </x:c>
      <x:c r="K5906" s="6" t="str">
        <x:f>IF(D5906="","",IF(AND(ISNUMBER(SEARCH("平",D5906)),OR(ISNUMBER(SEARCH("上",D5906)),ISNUMBER(SEARCH("去",D5906)),ISNUMBER(SEARCH("入",D5906)))),"Ambiguous",IF(ISNUMBER(SEARCH("平",D5906)),"平","仄")))</x:f>
        <x:v>平</x:v>
      </x:c>
      <x:c r="L5906" s="7" t="str">
        <x:v>Pingshui main list, Lu Qinli gap fill</x:v>
      </x:c>
    </x:row>
    <x:row r="5907">
      <x:c r="A5907" s="5" t="str">
        <x:v>罘</x:v>
      </x:c>
      <x:c r="B5907" s="6" t="str">
        <x:v>平</x:v>
      </x:c>
      <x:c r="C5907" s="6" t="str">
        <x:f>IF(B5907="","Needs decision","Ready")</x:f>
        <x:v>Ready</x:v>
      </x:c>
      <x:c r="D5907" s="6" t="str">
        <x:v>平</x:v>
      </x:c>
      <x:c r="E5907" s="6" t="str"/>
      <x:c r="F5907" s="6" t="str">
        <x:v>下平聲十一尤</x:v>
      </x:c>
      <x:c r="G5907" s="6" t="str">
        <x:v>Pingshui main list, Wikisource-derived DOCX</x:v>
      </x:c>
      <x:c r="H5907" s="6" t="str"/>
      <x:c r="I5907" s="6" t="str">
        <x:v>Lu Qinli gap fill from Pingshui main list; 詞 entries ignored</x:v>
      </x:c>
      <x:c r="J5907" s="6" t="str">
        <x:f>IF(B5907="","",IF(AND(ISNUMBER(SEARCH("平",B5907)),OR(ISNUMBER(SEARCH("上",B5907)),ISNUMBER(SEARCH("去",B5907)),ISNUMBER(SEARCH("入",B5907)))),"Ambiguous",IF(ISNUMBER(SEARCH("平",B5907)),"平","仄")))</x:f>
        <x:v>平</x:v>
      </x:c>
      <x:c r="K5907" s="6" t="str">
        <x:f>IF(D5907="","",IF(AND(ISNUMBER(SEARCH("平",D5907)),OR(ISNUMBER(SEARCH("上",D5907)),ISNUMBER(SEARCH("去",D5907)),ISNUMBER(SEARCH("入",D5907)))),"Ambiguous",IF(ISNUMBER(SEARCH("平",D5907)),"平","仄")))</x:f>
        <x:v>平</x:v>
      </x:c>
      <x:c r="L5907" s="7" t="str">
        <x:v>Pingshui main list, Lu Qinli gap fill</x:v>
      </x:c>
    </x:row>
    <x:row r="5908">
      <x:c r="A5908" s="5" t="str">
        <x:v>罝</x:v>
      </x:c>
      <x:c r="B5908" s="6" t="str">
        <x:v>平</x:v>
      </x:c>
      <x:c r="C5908" s="6" t="str">
        <x:f>IF(B5908="","Needs decision","Ready")</x:f>
        <x:v>Ready</x:v>
      </x:c>
      <x:c r="D5908" s="6" t="str">
        <x:v>平</x:v>
      </x:c>
      <x:c r="E5908" s="6" t="str"/>
      <x:c r="F5908" s="6" t="str">
        <x:v>下平聲六麻</x:v>
      </x:c>
      <x:c r="G5908" s="6" t="str">
        <x:v>Pingshui main list, Wikisource-derived DOCX</x:v>
      </x:c>
      <x:c r="H5908" s="6" t="str"/>
      <x:c r="I5908" s="6" t="str">
        <x:v>Lu Qinli gap fill from Pingshui main list; 詞 entries ignored</x:v>
      </x:c>
      <x:c r="J5908" s="6" t="str">
        <x:f>IF(B5908="","",IF(AND(ISNUMBER(SEARCH("平",B5908)),OR(ISNUMBER(SEARCH("上",B5908)),ISNUMBER(SEARCH("去",B5908)),ISNUMBER(SEARCH("入",B5908)))),"Ambiguous",IF(ISNUMBER(SEARCH("平",B5908)),"平","仄")))</x:f>
        <x:v>平</x:v>
      </x:c>
      <x:c r="K5908" s="6" t="str">
        <x:f>IF(D5908="","",IF(AND(ISNUMBER(SEARCH("平",D5908)),OR(ISNUMBER(SEARCH("上",D5908)),ISNUMBER(SEARCH("去",D5908)),ISNUMBER(SEARCH("入",D5908)))),"Ambiguous",IF(ISNUMBER(SEARCH("平",D5908)),"平","仄")))</x:f>
        <x:v>平</x:v>
      </x:c>
      <x:c r="L5908" s="7" t="str">
        <x:v>Pingshui main list, Lu Qinli gap fill</x:v>
      </x:c>
    </x:row>
    <x:row r="5909">
      <x:c r="A5909" s="5" t="str">
        <x:v>罟</x:v>
      </x:c>
      <x:c r="B5909" s="6" t="str">
        <x:v>上</x:v>
      </x:c>
      <x:c r="C5909" s="6" t="str">
        <x:f>IF(B5909="","Needs decision","Ready")</x:f>
        <x:v>Ready</x:v>
      </x:c>
      <x:c r="D5909" s="6" t="str">
        <x:v>上</x:v>
      </x:c>
      <x:c r="E5909" s="6" t="str"/>
      <x:c r="F5909" s="6" t="str">
        <x:v>上聲七麌</x:v>
      </x:c>
      <x:c r="G5909" s="6" t="str">
        <x:v>Pingshui main list, Wikisource-derived DOCX</x:v>
      </x:c>
      <x:c r="H5909" s="6" t="str"/>
      <x:c r="I5909" s="6" t="str">
        <x:v>Lu Qinli gap fill from Pingshui main list; 詞 entries ignored</x:v>
      </x:c>
      <x:c r="J5909" s="6" t="str">
        <x:f>IF(B5909="","",IF(AND(ISNUMBER(SEARCH("平",B5909)),OR(ISNUMBER(SEARCH("上",B5909)),ISNUMBER(SEARCH("去",B5909)),ISNUMBER(SEARCH("入",B5909)))),"Ambiguous",IF(ISNUMBER(SEARCH("平",B5909)),"平","仄")))</x:f>
        <x:v>仄</x:v>
      </x:c>
      <x:c r="K5909" s="6" t="str">
        <x:f>IF(D5909="","",IF(AND(ISNUMBER(SEARCH("平",D5909)),OR(ISNUMBER(SEARCH("上",D5909)),ISNUMBER(SEARCH("去",D5909)),ISNUMBER(SEARCH("入",D5909)))),"Ambiguous",IF(ISNUMBER(SEARCH("平",D5909)),"平","仄")))</x:f>
        <x:v>仄</x:v>
      </x:c>
      <x:c r="L5909" s="7" t="str">
        <x:v>Pingshui main list, Lu Qinli gap fill</x:v>
      </x:c>
    </x:row>
    <x:row r="5910">
      <x:c r="A5910" s="5" t="str">
        <x:v>罥</x:v>
      </x:c>
      <x:c r="B5910" s="6" t="str">
        <x:v>去</x:v>
      </x:c>
      <x:c r="C5910" s="6" t="str">
        <x:f>IF(B5910="","Needs decision","Ready")</x:f>
        <x:v>Ready</x:v>
      </x:c>
      <x:c r="D5910" s="6" t="str">
        <x:v>去</x:v>
      </x:c>
      <x:c r="E5910" s="6" t="str"/>
      <x:c r="F5910" s="6" t="str">
        <x:v>去聲十七霰</x:v>
      </x:c>
      <x:c r="G5910" s="6" t="str">
        <x:v>Pingshui main list, Wikisource-derived DOCX</x:v>
      </x:c>
      <x:c r="H5910" s="6" t="str"/>
      <x:c r="I5910" s="6" t="str">
        <x:v>Lu Qinli gap fill from Pingshui main list; 詞 entries ignored</x:v>
      </x:c>
      <x:c r="J5910" s="6" t="str">
        <x:f>IF(B5910="","",IF(AND(ISNUMBER(SEARCH("平",B5910)),OR(ISNUMBER(SEARCH("上",B5910)),ISNUMBER(SEARCH("去",B5910)),ISNUMBER(SEARCH("入",B5910)))),"Ambiguous",IF(ISNUMBER(SEARCH("平",B5910)),"平","仄")))</x:f>
        <x:v>仄</x:v>
      </x:c>
      <x:c r="K5910" s="6" t="str">
        <x:f>IF(D5910="","",IF(AND(ISNUMBER(SEARCH("平",D5910)),OR(ISNUMBER(SEARCH("上",D5910)),ISNUMBER(SEARCH("去",D5910)),ISNUMBER(SEARCH("入",D5910)))),"Ambiguous",IF(ISNUMBER(SEARCH("平",D5910)),"平","仄")))</x:f>
        <x:v>仄</x:v>
      </x:c>
      <x:c r="L5910" s="7" t="str">
        <x:v>Pingshui main list, Lu Qinli gap fill</x:v>
      </x:c>
    </x:row>
    <x:row r="5911">
      <x:c r="A5911" s="5" t="str">
        <x:v>罳</x:v>
      </x:c>
      <x:c r="B5911" s="6" t="str">
        <x:v>平</x:v>
      </x:c>
      <x:c r="C5911" s="6" t="str">
        <x:f>IF(B5911="","Needs decision","Ready")</x:f>
        <x:v>Ready</x:v>
      </x:c>
      <x:c r="D5911" s="6" t="str">
        <x:v>平</x:v>
      </x:c>
      <x:c r="E5911" s="6" t="str"/>
      <x:c r="F5911" s="6" t="str">
        <x:v>上平聲四支</x:v>
      </x:c>
      <x:c r="G5911" s="6" t="str">
        <x:v>Pingshui main list, Wikisource-derived DOCX</x:v>
      </x:c>
      <x:c r="H5911" s="6" t="str"/>
      <x:c r="I5911" s="6" t="str">
        <x:v>Lu Qinli gap fill from Pingshui main list; 詞 entries ignored</x:v>
      </x:c>
      <x:c r="J5911" s="6" t="str">
        <x:f>IF(B5911="","",IF(AND(ISNUMBER(SEARCH("平",B5911)),OR(ISNUMBER(SEARCH("上",B5911)),ISNUMBER(SEARCH("去",B5911)),ISNUMBER(SEARCH("入",B5911)))),"Ambiguous",IF(ISNUMBER(SEARCH("平",B5911)),"平","仄")))</x:f>
        <x:v>平</x:v>
      </x:c>
      <x:c r="K5911" s="6" t="str">
        <x:f>IF(D5911="","",IF(AND(ISNUMBER(SEARCH("平",D5911)),OR(ISNUMBER(SEARCH("上",D5911)),ISNUMBER(SEARCH("去",D5911)),ISNUMBER(SEARCH("入",D5911)))),"Ambiguous",IF(ISNUMBER(SEARCH("平",D5911)),"平","仄")))</x:f>
        <x:v>平</x:v>
      </x:c>
      <x:c r="L5911" s="7" t="str">
        <x:v>Pingshui main list, Lu Qinli gap fill</x:v>
      </x:c>
    </x:row>
    <x:row r="5912">
      <x:c r="A5912" s="5" t="str">
        <x:v>罻</x:v>
      </x:c>
      <x:c r="B5912" s="6" t="str">
        <x:v>去</x:v>
      </x:c>
      <x:c r="C5912" s="6" t="str">
        <x:f>IF(B5912="","Needs decision","Ready")</x:f>
        <x:v>Ready</x:v>
      </x:c>
      <x:c r="D5912" s="6" t="str">
        <x:v>去</x:v>
      </x:c>
      <x:c r="E5912" s="6" t="str"/>
      <x:c r="F5912" s="6" t="str">
        <x:v>去聲五未</x:v>
      </x:c>
      <x:c r="G5912" s="6" t="str">
        <x:v>Pingshui main list, Wikisource-derived DOCX</x:v>
      </x:c>
      <x:c r="H5912" s="6" t="str"/>
      <x:c r="I5912" s="6" t="str">
        <x:v>Lu Qinli gap fill from Pingshui main list; 詞 entries ignored</x:v>
      </x:c>
      <x:c r="J5912" s="6" t="str">
        <x:f>IF(B5912="","",IF(AND(ISNUMBER(SEARCH("平",B5912)),OR(ISNUMBER(SEARCH("上",B5912)),ISNUMBER(SEARCH("去",B5912)),ISNUMBER(SEARCH("入",B5912)))),"Ambiguous",IF(ISNUMBER(SEARCH("平",B5912)),"平","仄")))</x:f>
        <x:v>仄</x:v>
      </x:c>
      <x:c r="K5912" s="6" t="str">
        <x:f>IF(D5912="","",IF(AND(ISNUMBER(SEARCH("平",D5912)),OR(ISNUMBER(SEARCH("上",D5912)),ISNUMBER(SEARCH("去",D5912)),ISNUMBER(SEARCH("入",D5912)))),"Ambiguous",IF(ISNUMBER(SEARCH("平",D5912)),"平","仄")))</x:f>
        <x:v>仄</x:v>
      </x:c>
      <x:c r="L5912" s="7" t="str">
        <x:v>Pingshui main list, Lu Qinli gap fill</x:v>
      </x:c>
    </x:row>
    <x:row r="5913">
      <x:c r="A5913" s="5" t="str">
        <x:v>罼</x:v>
      </x:c>
      <x:c r="B5913" s="6" t="str">
        <x:v>入</x:v>
      </x:c>
      <x:c r="C5913" s="6" t="str">
        <x:f>IF(B5913="","Needs decision","Ready")</x:f>
        <x:v>Ready</x:v>
      </x:c>
      <x:c r="D5913" s="6" t="str">
        <x:v>入</x:v>
      </x:c>
      <x:c r="E5913" s="6" t="str"/>
      <x:c r="F5913" s="6" t="str">
        <x:v>入聲四質</x:v>
      </x:c>
      <x:c r="G5913" s="6" t="str">
        <x:v>Pingshui main list, Wikisource-derived DOCX</x:v>
      </x:c>
      <x:c r="H5913" s="6" t="str"/>
      <x:c r="I5913" s="6" t="str">
        <x:v>Lu Qinli gap fill from Pingshui main list; 詞 entries ignored</x:v>
      </x:c>
      <x:c r="J5913" s="6" t="str">
        <x:f>IF(B5913="","",IF(AND(ISNUMBER(SEARCH("平",B5913)),OR(ISNUMBER(SEARCH("上",B5913)),ISNUMBER(SEARCH("去",B5913)),ISNUMBER(SEARCH("入",B5913)))),"Ambiguous",IF(ISNUMBER(SEARCH("平",B5913)),"平","仄")))</x:f>
        <x:v>仄</x:v>
      </x:c>
      <x:c r="K5913" s="6" t="str">
        <x:f>IF(D5913="","",IF(AND(ISNUMBER(SEARCH("平",D5913)),OR(ISNUMBER(SEARCH("上",D5913)),ISNUMBER(SEARCH("去",D5913)),ISNUMBER(SEARCH("入",D5913)))),"Ambiguous",IF(ISNUMBER(SEARCH("平",D5913)),"平","仄")))</x:f>
        <x:v>仄</x:v>
      </x:c>
      <x:c r="L5913" s="7" t="str">
        <x:v>Pingshui main list, Lu Qinli gap fill</x:v>
      </x:c>
    </x:row>
    <x:row r="5914">
      <x:c r="A5914" s="5" t="str">
        <x:v>羑</x:v>
      </x:c>
      <x:c r="B5914" s="6" t="str">
        <x:v>上</x:v>
      </x:c>
      <x:c r="C5914" s="6" t="str">
        <x:f>IF(B5914="","Needs decision","Ready")</x:f>
        <x:v>Ready</x:v>
      </x:c>
      <x:c r="D5914" s="6" t="str">
        <x:v>上</x:v>
      </x:c>
      <x:c r="E5914" s="6" t="str"/>
      <x:c r="F5914" s="6" t="str">
        <x:v>上聲二十五有</x:v>
      </x:c>
      <x:c r="G5914" s="6" t="str">
        <x:v>Pingshui main list, Wikisource-derived DOCX</x:v>
      </x:c>
      <x:c r="H5914" s="6" t="str"/>
      <x:c r="I5914" s="6" t="str">
        <x:v>Lu Qinli gap fill from Pingshui main list; 詞 entries ignored</x:v>
      </x:c>
      <x:c r="J5914" s="6" t="str">
        <x:f>IF(B5914="","",IF(AND(ISNUMBER(SEARCH("平",B5914)),OR(ISNUMBER(SEARCH("上",B5914)),ISNUMBER(SEARCH("去",B5914)),ISNUMBER(SEARCH("入",B5914)))),"Ambiguous",IF(ISNUMBER(SEARCH("平",B5914)),"平","仄")))</x:f>
        <x:v>仄</x:v>
      </x:c>
      <x:c r="K5914" s="6" t="str">
        <x:f>IF(D5914="","",IF(AND(ISNUMBER(SEARCH("平",D5914)),OR(ISNUMBER(SEARCH("上",D5914)),ISNUMBER(SEARCH("去",D5914)),ISNUMBER(SEARCH("入",D5914)))),"Ambiguous",IF(ISNUMBER(SEARCH("平",D5914)),"平","仄")))</x:f>
        <x:v>仄</x:v>
      </x:c>
      <x:c r="L5914" s="7" t="str">
        <x:v>Pingshui main list, Lu Qinli gap fill</x:v>
      </x:c>
    </x:row>
    <x:row r="5915">
      <x:c r="A5915" s="5" t="str">
        <x:v>羔</x:v>
      </x:c>
      <x:c r="B5915" s="6" t="str">
        <x:v>平</x:v>
      </x:c>
      <x:c r="C5915" s="6" t="str">
        <x:f>IF(B5915="","Needs decision","Ready")</x:f>
        <x:v>Ready</x:v>
      </x:c>
      <x:c r="D5915" s="6" t="str">
        <x:v>平</x:v>
      </x:c>
      <x:c r="E5915" s="6" t="str"/>
      <x:c r="F5915" s="6" t="str">
        <x:v>下平聲四豪</x:v>
      </x:c>
      <x:c r="G5915" s="6" t="str">
        <x:v>Pingshui main list, Wikisource-derived DOCX</x:v>
      </x:c>
      <x:c r="H5915" s="6" t="str"/>
      <x:c r="I5915" s="6" t="str">
        <x:v>Lu Qinli gap fill from Pingshui main list; 詞 entries ignored</x:v>
      </x:c>
      <x:c r="J5915" s="6" t="str">
        <x:f>IF(B5915="","",IF(AND(ISNUMBER(SEARCH("平",B5915)),OR(ISNUMBER(SEARCH("上",B5915)),ISNUMBER(SEARCH("去",B5915)),ISNUMBER(SEARCH("入",B5915)))),"Ambiguous",IF(ISNUMBER(SEARCH("平",B5915)),"平","仄")))</x:f>
        <x:v>平</x:v>
      </x:c>
      <x:c r="K5915" s="6" t="str">
        <x:f>IF(D5915="","",IF(AND(ISNUMBER(SEARCH("平",D5915)),OR(ISNUMBER(SEARCH("上",D5915)),ISNUMBER(SEARCH("去",D5915)),ISNUMBER(SEARCH("入",D5915)))),"Ambiguous",IF(ISNUMBER(SEARCH("平",D5915)),"平","仄")))</x:f>
        <x:v>平</x:v>
      </x:c>
      <x:c r="L5915" s="7" t="str">
        <x:v>Pingshui main list, Lu Qinli gap fill</x:v>
      </x:c>
    </x:row>
    <x:row r="5916">
      <x:c r="A5916" s="5" t="str">
        <x:v>羝</x:v>
      </x:c>
      <x:c r="B5916" s="6" t="str">
        <x:v>平</x:v>
      </x:c>
      <x:c r="C5916" s="6" t="str">
        <x:f>IF(B5916="","Needs decision","Ready")</x:f>
        <x:v>Ready</x:v>
      </x:c>
      <x:c r="D5916" s="6" t="str">
        <x:v>平</x:v>
      </x:c>
      <x:c r="E5916" s="6" t="str"/>
      <x:c r="F5916" s="6" t="str">
        <x:v>上平聲八齊</x:v>
      </x:c>
      <x:c r="G5916" s="6" t="str">
        <x:v>Pingshui main list, Wikisource-derived DOCX</x:v>
      </x:c>
      <x:c r="H5916" s="6" t="str"/>
      <x:c r="I5916" s="6" t="str">
        <x:v>Lu Qinli gap fill from Pingshui main list; 詞 entries ignored</x:v>
      </x:c>
      <x:c r="J5916" s="6" t="str">
        <x:f>IF(B5916="","",IF(AND(ISNUMBER(SEARCH("平",B5916)),OR(ISNUMBER(SEARCH("上",B5916)),ISNUMBER(SEARCH("去",B5916)),ISNUMBER(SEARCH("入",B5916)))),"Ambiguous",IF(ISNUMBER(SEARCH("平",B5916)),"平","仄")))</x:f>
        <x:v>平</x:v>
      </x:c>
      <x:c r="K5916" s="6" t="str">
        <x:f>IF(D5916="","",IF(AND(ISNUMBER(SEARCH("平",D5916)),OR(ISNUMBER(SEARCH("上",D5916)),ISNUMBER(SEARCH("去",D5916)),ISNUMBER(SEARCH("入",D5916)))),"Ambiguous",IF(ISNUMBER(SEARCH("平",D5916)),"平","仄")))</x:f>
        <x:v>平</x:v>
      </x:c>
      <x:c r="L5916" s="7" t="str">
        <x:v>Pingshui main list, Lu Qinli gap fill</x:v>
      </x:c>
    </x:row>
    <x:row r="5917">
      <x:c r="A5917" s="5" t="str">
        <x:v>羼</x:v>
      </x:c>
      <x:c r="B5917" s="6" t="str">
        <x:v>上</x:v>
      </x:c>
      <x:c r="C5917" s="6" t="str">
        <x:f>IF(B5917="","Needs decision","Ready")</x:f>
        <x:v>Ready</x:v>
      </x:c>
      <x:c r="D5917" s="6" t="str">
        <x:v>上</x:v>
      </x:c>
      <x:c r="E5917" s="6" t="str"/>
      <x:c r="F5917" s="6" t="str">
        <x:v>上聲十五潸</x:v>
      </x:c>
      <x:c r="G5917" s="6" t="str">
        <x:v>Pingshui main list, Wikisource-derived DOCX</x:v>
      </x:c>
      <x:c r="H5917" s="6" t="str"/>
      <x:c r="I5917" s="6" t="str">
        <x:v>Lu Qinli gap fill from Pingshui main list; 詞 entries ignored</x:v>
      </x:c>
      <x:c r="J5917" s="6" t="str">
        <x:f>IF(B5917="","",IF(AND(ISNUMBER(SEARCH("平",B5917)),OR(ISNUMBER(SEARCH("上",B5917)),ISNUMBER(SEARCH("去",B5917)),ISNUMBER(SEARCH("入",B5917)))),"Ambiguous",IF(ISNUMBER(SEARCH("平",B5917)),"平","仄")))</x:f>
        <x:v>仄</x:v>
      </x:c>
      <x:c r="K5917" s="6" t="str">
        <x:f>IF(D5917="","",IF(AND(ISNUMBER(SEARCH("平",D5917)),OR(ISNUMBER(SEARCH("上",D5917)),ISNUMBER(SEARCH("去",D5917)),ISNUMBER(SEARCH("入",D5917)))),"Ambiguous",IF(ISNUMBER(SEARCH("平",D5917)),"平","仄")))</x:f>
        <x:v>仄</x:v>
      </x:c>
      <x:c r="L5917" s="7" t="str">
        <x:v>Pingshui main list, Lu Qinli gap fill</x:v>
      </x:c>
    </x:row>
    <x:row r="5918">
      <x:c r="A5918" s="5" t="str">
        <x:v>翀</x:v>
      </x:c>
      <x:c r="B5918" s="6" t="str">
        <x:v>平</x:v>
      </x:c>
      <x:c r="C5918" s="6" t="str">
        <x:f>IF(B5918="","Needs decision","Ready")</x:f>
        <x:v>Ready</x:v>
      </x:c>
      <x:c r="D5918" s="6" t="str">
        <x:v>平</x:v>
      </x:c>
      <x:c r="E5918" s="6" t="str"/>
      <x:c r="F5918" s="6" t="str">
        <x:v>上平聲一東</x:v>
      </x:c>
      <x:c r="G5918" s="6" t="str">
        <x:v>Pingshui main list, Wikisource-derived DOCX</x:v>
      </x:c>
      <x:c r="H5918" s="6" t="str"/>
      <x:c r="I5918" s="6" t="str">
        <x:v>Lu Qinli gap fill from Pingshui main list; 詞 entries ignored</x:v>
      </x:c>
      <x:c r="J5918" s="6" t="str">
        <x:f>IF(B5918="","",IF(AND(ISNUMBER(SEARCH("平",B5918)),OR(ISNUMBER(SEARCH("上",B5918)),ISNUMBER(SEARCH("去",B5918)),ISNUMBER(SEARCH("入",B5918)))),"Ambiguous",IF(ISNUMBER(SEARCH("平",B5918)),"平","仄")))</x:f>
        <x:v>平</x:v>
      </x:c>
      <x:c r="K5918" s="6" t="str">
        <x:f>IF(D5918="","",IF(AND(ISNUMBER(SEARCH("平",D5918)),OR(ISNUMBER(SEARCH("上",D5918)),ISNUMBER(SEARCH("去",D5918)),ISNUMBER(SEARCH("入",D5918)))),"Ambiguous",IF(ISNUMBER(SEARCH("平",D5918)),"平","仄")))</x:f>
        <x:v>平</x:v>
      </x:c>
      <x:c r="L5918" s="7" t="str">
        <x:v>Pingshui main list, Lu Qinli gap fill</x:v>
      </x:c>
    </x:row>
    <x:row r="5919">
      <x:c r="A5919" s="5" t="str">
        <x:v>翍</x:v>
      </x:c>
      <x:c r="B5919" s="6" t="str">
        <x:v>平</x:v>
      </x:c>
      <x:c r="C5919" s="6" t="str">
        <x:f>IF(B5919="","Needs decision","Ready")</x:f>
        <x:v>Ready</x:v>
      </x:c>
      <x:c r="D5919" s="6" t="str">
        <x:v>平</x:v>
      </x:c>
      <x:c r="E5919" s="6" t="str"/>
      <x:c r="F5919" s="6" t="str">
        <x:v>上平聲四支</x:v>
      </x:c>
      <x:c r="G5919" s="6" t="str">
        <x:v>Pingshui main list, Wikisource-derived DOCX</x:v>
      </x:c>
      <x:c r="H5919" s="6" t="str"/>
      <x:c r="I5919" s="6" t="str">
        <x:v>Lu Qinli gap fill from Pingshui main list; 詞 entries ignored</x:v>
      </x:c>
      <x:c r="J5919" s="6" t="str">
        <x:f>IF(B5919="","",IF(AND(ISNUMBER(SEARCH("平",B5919)),OR(ISNUMBER(SEARCH("上",B5919)),ISNUMBER(SEARCH("去",B5919)),ISNUMBER(SEARCH("入",B5919)))),"Ambiguous",IF(ISNUMBER(SEARCH("平",B5919)),"平","仄")))</x:f>
        <x:v>平</x:v>
      </x:c>
      <x:c r="K5919" s="6" t="str">
        <x:f>IF(D5919="","",IF(AND(ISNUMBER(SEARCH("平",D5919)),OR(ISNUMBER(SEARCH("上",D5919)),ISNUMBER(SEARCH("去",D5919)),ISNUMBER(SEARCH("入",D5919)))),"Ambiguous",IF(ISNUMBER(SEARCH("平",D5919)),"平","仄")))</x:f>
        <x:v>平</x:v>
      </x:c>
      <x:c r="L5919" s="7" t="str">
        <x:v>Pingshui main list, Lu Qinli gap fill</x:v>
      </x:c>
    </x:row>
    <x:row r="5920">
      <x:c r="A5920" s="5" t="str">
        <x:v>翛</x:v>
      </x:c>
      <x:c r="B5920" s="6" t="str">
        <x:v>平</x:v>
      </x:c>
      <x:c r="C5920" s="6" t="str">
        <x:f>IF(B5920="","Needs decision","Ready")</x:f>
        <x:v>Ready</x:v>
      </x:c>
      <x:c r="D5920" s="6" t="str">
        <x:v>平</x:v>
      </x:c>
      <x:c r="E5920" s="6" t="str"/>
      <x:c r="F5920" s="6" t="str">
        <x:v>下平聲二蕭</x:v>
      </x:c>
      <x:c r="G5920" s="6" t="str">
        <x:v>Pingshui main list, Wikisource-derived DOCX</x:v>
      </x:c>
      <x:c r="H5920" s="6" t="str"/>
      <x:c r="I5920" s="6" t="str">
        <x:v>Lu Qinli gap fill from Pingshui main list; 詞 entries ignored</x:v>
      </x:c>
      <x:c r="J5920" s="6" t="str">
        <x:f>IF(B5920="","",IF(AND(ISNUMBER(SEARCH("平",B5920)),OR(ISNUMBER(SEARCH("上",B5920)),ISNUMBER(SEARCH("去",B5920)),ISNUMBER(SEARCH("入",B5920)))),"Ambiguous",IF(ISNUMBER(SEARCH("平",B5920)),"平","仄")))</x:f>
        <x:v>平</x:v>
      </x:c>
      <x:c r="K5920" s="6" t="str">
        <x:f>IF(D5920="","",IF(AND(ISNUMBER(SEARCH("平",D5920)),OR(ISNUMBER(SEARCH("上",D5920)),ISNUMBER(SEARCH("去",D5920)),ISNUMBER(SEARCH("入",D5920)))),"Ambiguous",IF(ISNUMBER(SEARCH("平",D5920)),"平","仄")))</x:f>
        <x:v>平</x:v>
      </x:c>
      <x:c r="L5920" s="7" t="str">
        <x:v>Pingshui main list, Lu Qinli gap fill</x:v>
      </x:c>
    </x:row>
    <x:row r="5921">
      <x:c r="A5921" s="5" t="str">
        <x:v>翬</x:v>
      </x:c>
      <x:c r="B5921" s="6" t="str">
        <x:v>平</x:v>
      </x:c>
      <x:c r="C5921" s="6" t="str">
        <x:f>IF(B5921="","Needs decision","Ready")</x:f>
        <x:v>Ready</x:v>
      </x:c>
      <x:c r="D5921" s="6" t="str">
        <x:v>平</x:v>
      </x:c>
      <x:c r="E5921" s="6" t="str"/>
      <x:c r="F5921" s="6" t="str">
        <x:v>上平聲五微</x:v>
      </x:c>
      <x:c r="G5921" s="6" t="str">
        <x:v>Pingshui main list, Wikisource-derived DOCX</x:v>
      </x:c>
      <x:c r="H5921" s="6" t="str"/>
      <x:c r="I5921" s="6" t="str">
        <x:v>Lu Qinli gap fill from Pingshui main list; 詞 entries ignored</x:v>
      </x:c>
      <x:c r="J5921" s="6" t="str">
        <x:f>IF(B5921="","",IF(AND(ISNUMBER(SEARCH("平",B5921)),OR(ISNUMBER(SEARCH("上",B5921)),ISNUMBER(SEARCH("去",B5921)),ISNUMBER(SEARCH("入",B5921)))),"Ambiguous",IF(ISNUMBER(SEARCH("平",B5921)),"平","仄")))</x:f>
        <x:v>平</x:v>
      </x:c>
      <x:c r="K5921" s="6" t="str">
        <x:f>IF(D5921="","",IF(AND(ISNUMBER(SEARCH("平",D5921)),OR(ISNUMBER(SEARCH("上",D5921)),ISNUMBER(SEARCH("去",D5921)),ISNUMBER(SEARCH("入",D5921)))),"Ambiguous",IF(ISNUMBER(SEARCH("平",D5921)),"平","仄")))</x:f>
        <x:v>平</x:v>
      </x:c>
      <x:c r="L5921" s="7" t="str">
        <x:v>Pingshui main list, Lu Qinli gap fill</x:v>
      </x:c>
    </x:row>
    <x:row r="5922">
      <x:c r="A5922" s="5" t="str">
        <x:v>翿</x:v>
      </x:c>
      <x:c r="B5922" s="6" t="str"/>
      <x:c r="C5922" s="6" t="str">
        <x:f>IF(B5922="","Needs decision","Ready")</x:f>
        <x:v>Needs decision</x:v>
      </x:c>
      <x:c r="D5922" s="6" t="str">
        <x:v>平/去</x:v>
      </x:c>
      <x:c r="E5922" s="6" t="str"/>
      <x:c r="F5922" s="6" t="str">
        <x:v>下平聲四豪; 去聲二十號</x:v>
      </x:c>
      <x:c r="G5922" s="6" t="str">
        <x:v>Pingshui main list, Wikisource-derived DOCX</x:v>
      </x:c>
      <x:c r="H5922" s="6" t="str"/>
      <x:c r="I5922" s="6" t="str">
        <x:v>Lu Qinli gap fill from Pingshui main list; 詞 entries ignored</x:v>
      </x:c>
      <x:c r="J5922" s="6" t="str">
        <x:f>IF(B5922="","",IF(AND(ISNUMBER(SEARCH("平",B5922)),OR(ISNUMBER(SEARCH("上",B5922)),ISNUMBER(SEARCH("去",B5922)),ISNUMBER(SEARCH("入",B5922)))),"Ambiguous",IF(ISNUMBER(SEARCH("平",B5922)),"平","仄")))</x:f>
      </x:c>
      <x:c r="K5922" s="6" t="str">
        <x:f>IF(D5922="","",IF(AND(ISNUMBER(SEARCH("平",D5922)),OR(ISNUMBER(SEARCH("上",D5922)),ISNUMBER(SEARCH("去",D5922)),ISNUMBER(SEARCH("入",D5922)))),"Ambiguous",IF(ISNUMBER(SEARCH("平",D5922)),"平","仄")))</x:f>
        <x:v>Ambiguous</x:v>
      </x:c>
      <x:c r="L5922" s="7" t="str">
        <x:v>Pingshui main list, Lu Qinli gap fill</x:v>
      </x:c>
    </x:row>
    <x:row r="5923">
      <x:c r="A5923" s="5" t="str">
        <x:v>耄</x:v>
      </x:c>
      <x:c r="B5923" s="6" t="str">
        <x:v>去</x:v>
      </x:c>
      <x:c r="C5923" s="6" t="str">
        <x:f>IF(B5923="","Needs decision","Ready")</x:f>
        <x:v>Ready</x:v>
      </x:c>
      <x:c r="D5923" s="6" t="str">
        <x:v>去</x:v>
      </x:c>
      <x:c r="E5923" s="6" t="str"/>
      <x:c r="F5923" s="6" t="str">
        <x:v>去聲二十號</x:v>
      </x:c>
      <x:c r="G5923" s="6" t="str">
        <x:v>Pingshui main list, Wikisource-derived DOCX</x:v>
      </x:c>
      <x:c r="H5923" s="6" t="str"/>
      <x:c r="I5923" s="6" t="str">
        <x:v>Lu Qinli gap fill from Pingshui main list; 詞 entries ignored</x:v>
      </x:c>
      <x:c r="J5923" s="6" t="str">
        <x:f>IF(B5923="","",IF(AND(ISNUMBER(SEARCH("平",B5923)),OR(ISNUMBER(SEARCH("上",B5923)),ISNUMBER(SEARCH("去",B5923)),ISNUMBER(SEARCH("入",B5923)))),"Ambiguous",IF(ISNUMBER(SEARCH("平",B5923)),"平","仄")))</x:f>
        <x:v>仄</x:v>
      </x:c>
      <x:c r="K5923" s="6" t="str">
        <x:f>IF(D5923="","",IF(AND(ISNUMBER(SEARCH("平",D5923)),OR(ISNUMBER(SEARCH("上",D5923)),ISNUMBER(SEARCH("去",D5923)),ISNUMBER(SEARCH("入",D5923)))),"Ambiguous",IF(ISNUMBER(SEARCH("平",D5923)),"平","仄")))</x:f>
        <x:v>仄</x:v>
      </x:c>
      <x:c r="L5923" s="7" t="str">
        <x:v>Pingshui main list, Lu Qinli gap fill</x:v>
      </x:c>
    </x:row>
    <x:row r="5924">
      <x:c r="A5924" s="5" t="str">
        <x:v>耇</x:v>
      </x:c>
      <x:c r="B5924" s="6" t="str">
        <x:v>上</x:v>
      </x:c>
      <x:c r="C5924" s="6" t="str">
        <x:f>IF(B5924="","Needs decision","Ready")</x:f>
        <x:v>Ready</x:v>
      </x:c>
      <x:c r="D5924" s="6" t="str">
        <x:v>上</x:v>
      </x:c>
      <x:c r="E5924" s="6" t="str"/>
      <x:c r="F5924" s="6" t="str">
        <x:v>上聲二十五有</x:v>
      </x:c>
      <x:c r="G5924" s="6" t="str">
        <x:v>Pingshui main list, Wikisource-derived DOCX</x:v>
      </x:c>
      <x:c r="H5924" s="6" t="str"/>
      <x:c r="I5924" s="6" t="str">
        <x:v>Lu Qinli gap fill from Pingshui main list; 詞 entries ignored</x:v>
      </x:c>
      <x:c r="J5924" s="6" t="str">
        <x:f>IF(B5924="","",IF(AND(ISNUMBER(SEARCH("平",B5924)),OR(ISNUMBER(SEARCH("上",B5924)),ISNUMBER(SEARCH("去",B5924)),ISNUMBER(SEARCH("入",B5924)))),"Ambiguous",IF(ISNUMBER(SEARCH("平",B5924)),"平","仄")))</x:f>
        <x:v>仄</x:v>
      </x:c>
      <x:c r="K5924" s="6" t="str">
        <x:f>IF(D5924="","",IF(AND(ISNUMBER(SEARCH("平",D5924)),OR(ISNUMBER(SEARCH("上",D5924)),ISNUMBER(SEARCH("去",D5924)),ISNUMBER(SEARCH("入",D5924)))),"Ambiguous",IF(ISNUMBER(SEARCH("平",D5924)),"平","仄")))</x:f>
        <x:v>仄</x:v>
      </x:c>
      <x:c r="L5924" s="7" t="str">
        <x:v>Pingshui main list, Lu Qinli gap fill</x:v>
      </x:c>
    </x:row>
    <x:row r="5925">
      <x:c r="A5925" s="5" t="str">
        <x:v>耋</x:v>
      </x:c>
      <x:c r="B5925" s="6" t="str">
        <x:v>入</x:v>
      </x:c>
      <x:c r="C5925" s="6" t="str">
        <x:f>IF(B5925="","Needs decision","Ready")</x:f>
        <x:v>Ready</x:v>
      </x:c>
      <x:c r="D5925" s="6" t="str">
        <x:v>入</x:v>
      </x:c>
      <x:c r="E5925" s="6" t="str"/>
      <x:c r="F5925" s="6" t="str">
        <x:v>入聲九屑</x:v>
      </x:c>
      <x:c r="G5925" s="6" t="str">
        <x:v>Pingshui main list, Wikisource-derived DOCX</x:v>
      </x:c>
      <x:c r="H5925" s="6" t="str"/>
      <x:c r="I5925" s="6" t="str">
        <x:v>Lu Qinli gap fill from Pingshui main list; 詞 entries ignored</x:v>
      </x:c>
      <x:c r="J5925" s="6" t="str">
        <x:f>IF(B5925="","",IF(AND(ISNUMBER(SEARCH("平",B5925)),OR(ISNUMBER(SEARCH("上",B5925)),ISNUMBER(SEARCH("去",B5925)),ISNUMBER(SEARCH("入",B5925)))),"Ambiguous",IF(ISNUMBER(SEARCH("平",B5925)),"平","仄")))</x:f>
        <x:v>仄</x:v>
      </x:c>
      <x:c r="K5925" s="6" t="str">
        <x:f>IF(D5925="","",IF(AND(ISNUMBER(SEARCH("平",D5925)),OR(ISNUMBER(SEARCH("上",D5925)),ISNUMBER(SEARCH("去",D5925)),ISNUMBER(SEARCH("入",D5925)))),"Ambiguous",IF(ISNUMBER(SEARCH("平",D5925)),"平","仄")))</x:f>
        <x:v>仄</x:v>
      </x:c>
      <x:c r="L5925" s="7" t="str">
        <x:v>Pingshui main list, Lu Qinli gap fill</x:v>
      </x:c>
    </x:row>
    <x:row r="5926">
      <x:c r="A5926" s="5" t="str">
        <x:v>耒</x:v>
      </x:c>
      <x:c r="B5926" s="6" t="str">
        <x:v>去</x:v>
      </x:c>
      <x:c r="C5926" s="6" t="str">
        <x:f>IF(B5926="","Needs decision","Ready")</x:f>
        <x:v>Ready</x:v>
      </x:c>
      <x:c r="D5926" s="6" t="str">
        <x:v>去</x:v>
      </x:c>
      <x:c r="E5926" s="6" t="str"/>
      <x:c r="F5926" s="6" t="str">
        <x:v>去聲十一隊</x:v>
      </x:c>
      <x:c r="G5926" s="6" t="str">
        <x:v>Pingshui main list, Wikisource-derived DOCX</x:v>
      </x:c>
      <x:c r="H5926" s="6" t="str"/>
      <x:c r="I5926" s="6" t="str">
        <x:v>Lu Qinli gap fill from Pingshui main list; 詞 entries ignored</x:v>
      </x:c>
      <x:c r="J5926" s="6" t="str">
        <x:f>IF(B5926="","",IF(AND(ISNUMBER(SEARCH("平",B5926)),OR(ISNUMBER(SEARCH("上",B5926)),ISNUMBER(SEARCH("去",B5926)),ISNUMBER(SEARCH("入",B5926)))),"Ambiguous",IF(ISNUMBER(SEARCH("平",B5926)),"平","仄")))</x:f>
        <x:v>仄</x:v>
      </x:c>
      <x:c r="K5926" s="6" t="str">
        <x:f>IF(D5926="","",IF(AND(ISNUMBER(SEARCH("平",D5926)),OR(ISNUMBER(SEARCH("上",D5926)),ISNUMBER(SEARCH("去",D5926)),ISNUMBER(SEARCH("入",D5926)))),"Ambiguous",IF(ISNUMBER(SEARCH("平",D5926)),"平","仄")))</x:f>
        <x:v>仄</x:v>
      </x:c>
      <x:c r="L5926" s="7" t="str">
        <x:v>Pingshui main list, Lu Qinli gap fill</x:v>
      </x:c>
    </x:row>
    <x:row r="5927">
      <x:c r="A5927" s="5" t="str">
        <x:v>耔</x:v>
      </x:c>
      <x:c r="B5927" s="6" t="str">
        <x:v>上</x:v>
      </x:c>
      <x:c r="C5927" s="6" t="str">
        <x:f>IF(B5927="","Needs decision","Ready")</x:f>
        <x:v>Ready</x:v>
      </x:c>
      <x:c r="D5927" s="6" t="str">
        <x:v>上</x:v>
      </x:c>
      <x:c r="E5927" s="6" t="str"/>
      <x:c r="F5927" s="6" t="str">
        <x:v>上聲四紙</x:v>
      </x:c>
      <x:c r="G5927" s="6" t="str">
        <x:v>Pingshui main list, Wikisource-derived DOCX</x:v>
      </x:c>
      <x:c r="H5927" s="6" t="str"/>
      <x:c r="I5927" s="6" t="str">
        <x:v>Lu Qinli gap fill from Pingshui main list; 詞 entries ignored</x:v>
      </x:c>
      <x:c r="J5927" s="6" t="str">
        <x:f>IF(B5927="","",IF(AND(ISNUMBER(SEARCH("平",B5927)),OR(ISNUMBER(SEARCH("上",B5927)),ISNUMBER(SEARCH("去",B5927)),ISNUMBER(SEARCH("入",B5927)))),"Ambiguous",IF(ISNUMBER(SEARCH("平",B5927)),"平","仄")))</x:f>
        <x:v>仄</x:v>
      </x:c>
      <x:c r="K5927" s="6" t="str">
        <x:f>IF(D5927="","",IF(AND(ISNUMBER(SEARCH("平",D5927)),OR(ISNUMBER(SEARCH("上",D5927)),ISNUMBER(SEARCH("去",D5927)),ISNUMBER(SEARCH("入",D5927)))),"Ambiguous",IF(ISNUMBER(SEARCH("平",D5927)),"平","仄")))</x:f>
        <x:v>仄</x:v>
      </x:c>
      <x:c r="L5927" s="7" t="str">
        <x:v>Pingshui main list, Lu Qinli gap fill</x:v>
      </x:c>
    </x:row>
    <x:row r="5928">
      <x:c r="A5928" s="5" t="str">
        <x:v>耘</x:v>
      </x:c>
      <x:c r="B5928" s="6" t="str">
        <x:v>平</x:v>
      </x:c>
      <x:c r="C5928" s="6" t="str">
        <x:f>IF(B5928="","Needs decision","Ready")</x:f>
        <x:v>Ready</x:v>
      </x:c>
      <x:c r="D5928" s="6" t="str">
        <x:v>平</x:v>
      </x:c>
      <x:c r="E5928" s="6" t="str"/>
      <x:c r="F5928" s="6" t="str">
        <x:v>上平聲十二文</x:v>
      </x:c>
      <x:c r="G5928" s="6" t="str">
        <x:v>Pingshui main list, Wikisource-derived DOCX</x:v>
      </x:c>
      <x:c r="H5928" s="6" t="str"/>
      <x:c r="I5928" s="6" t="str">
        <x:v>Lu Qinli gap fill from Pingshui main list; 詞 entries ignored</x:v>
      </x:c>
      <x:c r="J5928" s="6" t="str">
        <x:f>IF(B5928="","",IF(AND(ISNUMBER(SEARCH("平",B5928)),OR(ISNUMBER(SEARCH("上",B5928)),ISNUMBER(SEARCH("去",B5928)),ISNUMBER(SEARCH("入",B5928)))),"Ambiguous",IF(ISNUMBER(SEARCH("平",B5928)),"平","仄")))</x:f>
        <x:v>平</x:v>
      </x:c>
      <x:c r="K5928" s="6" t="str">
        <x:f>IF(D5928="","",IF(AND(ISNUMBER(SEARCH("平",D5928)),OR(ISNUMBER(SEARCH("上",D5928)),ISNUMBER(SEARCH("去",D5928)),ISNUMBER(SEARCH("入",D5928)))),"Ambiguous",IF(ISNUMBER(SEARCH("平",D5928)),"平","仄")))</x:f>
        <x:v>平</x:v>
      </x:c>
      <x:c r="L5928" s="7" t="str">
        <x:v>Pingshui main list, Lu Qinli gap fill</x:v>
      </x:c>
    </x:row>
    <x:row r="5929">
      <x:c r="A5929" s="5" t="str">
        <x:v>耰</x:v>
      </x:c>
      <x:c r="B5929" s="6" t="str">
        <x:v>平</x:v>
      </x:c>
      <x:c r="C5929" s="6" t="str">
        <x:f>IF(B5929="","Needs decision","Ready")</x:f>
        <x:v>Ready</x:v>
      </x:c>
      <x:c r="D5929" s="6" t="str">
        <x:v>平</x:v>
      </x:c>
      <x:c r="E5929" s="6" t="str"/>
      <x:c r="F5929" s="6" t="str">
        <x:v>下平聲十一尤</x:v>
      </x:c>
      <x:c r="G5929" s="6" t="str">
        <x:v>Pingshui main list, Wikisource-derived DOCX</x:v>
      </x:c>
      <x:c r="H5929" s="6" t="str"/>
      <x:c r="I5929" s="6" t="str">
        <x:v>Lu Qinli gap fill from Pingshui main list; 詞 entries ignored</x:v>
      </x:c>
      <x:c r="J5929" s="6" t="str">
        <x:f>IF(B5929="","",IF(AND(ISNUMBER(SEARCH("平",B5929)),OR(ISNUMBER(SEARCH("上",B5929)),ISNUMBER(SEARCH("去",B5929)),ISNUMBER(SEARCH("入",B5929)))),"Ambiguous",IF(ISNUMBER(SEARCH("平",B5929)),"平","仄")))</x:f>
        <x:v>平</x:v>
      </x:c>
      <x:c r="K5929" s="6" t="str">
        <x:f>IF(D5929="","",IF(AND(ISNUMBER(SEARCH("平",D5929)),OR(ISNUMBER(SEARCH("上",D5929)),ISNUMBER(SEARCH("去",D5929)),ISNUMBER(SEARCH("入",D5929)))),"Ambiguous",IF(ISNUMBER(SEARCH("平",D5929)),"平","仄")))</x:f>
        <x:v>平</x:v>
      </x:c>
      <x:c r="L5929" s="7" t="str">
        <x:v>Pingshui main list, Lu Qinli gap fill</x:v>
      </x:c>
    </x:row>
    <x:row r="5930">
      <x:c r="A5930" s="5" t="str">
        <x:v>聃</x:v>
      </x:c>
      <x:c r="B5930" s="6" t="str">
        <x:v>平</x:v>
      </x:c>
      <x:c r="C5930" s="6" t="str">
        <x:f>IF(B5930="","Needs decision","Ready")</x:f>
        <x:v>Ready</x:v>
      </x:c>
      <x:c r="D5930" s="6" t="str">
        <x:v>平</x:v>
      </x:c>
      <x:c r="E5930" s="6" t="str"/>
      <x:c r="F5930" s="6" t="str">
        <x:v>下平聲十三覃</x:v>
      </x:c>
      <x:c r="G5930" s="6" t="str">
        <x:v>Pingshui main list, Wikisource-derived DOCX</x:v>
      </x:c>
      <x:c r="H5930" s="6" t="str"/>
      <x:c r="I5930" s="6" t="str">
        <x:v>Lu Qinli gap fill from Pingshui main list; 詞 entries ignored</x:v>
      </x:c>
      <x:c r="J5930" s="6" t="str">
        <x:f>IF(B5930="","",IF(AND(ISNUMBER(SEARCH("平",B5930)),OR(ISNUMBER(SEARCH("上",B5930)),ISNUMBER(SEARCH("去",B5930)),ISNUMBER(SEARCH("入",B5930)))),"Ambiguous",IF(ISNUMBER(SEARCH("平",B5930)),"平","仄")))</x:f>
        <x:v>平</x:v>
      </x:c>
      <x:c r="K5930" s="6" t="str">
        <x:f>IF(D5930="","",IF(AND(ISNUMBER(SEARCH("平",D5930)),OR(ISNUMBER(SEARCH("上",D5930)),ISNUMBER(SEARCH("去",D5930)),ISNUMBER(SEARCH("入",D5930)))),"Ambiguous",IF(ISNUMBER(SEARCH("平",D5930)),"平","仄")))</x:f>
        <x:v>平</x:v>
      </x:c>
      <x:c r="L5930" s="7" t="str">
        <x:v>Pingshui main list, Lu Qinli gap fill</x:v>
      </x:c>
    </x:row>
    <x:row r="5931">
      <x:c r="A5931" s="5" t="str">
        <x:v>肄</x:v>
      </x:c>
      <x:c r="B5931" s="6" t="str">
        <x:v>去</x:v>
      </x:c>
      <x:c r="C5931" s="6" t="str">
        <x:f>IF(B5931="","Needs decision","Ready")</x:f>
        <x:v>Ready</x:v>
      </x:c>
      <x:c r="D5931" s="6" t="str">
        <x:v>去</x:v>
      </x:c>
      <x:c r="E5931" s="6" t="str"/>
      <x:c r="F5931" s="6" t="str">
        <x:v>去聲四寘</x:v>
      </x:c>
      <x:c r="G5931" s="6" t="str">
        <x:v>Pingshui main list, Wikisource-derived DOCX</x:v>
      </x:c>
      <x:c r="H5931" s="6" t="str"/>
      <x:c r="I5931" s="6" t="str">
        <x:v>Lu Qinli gap fill from Pingshui main list; 詞 entries ignored</x:v>
      </x:c>
      <x:c r="J5931" s="6" t="str">
        <x:f>IF(B5931="","",IF(AND(ISNUMBER(SEARCH("平",B5931)),OR(ISNUMBER(SEARCH("上",B5931)),ISNUMBER(SEARCH("去",B5931)),ISNUMBER(SEARCH("入",B5931)))),"Ambiguous",IF(ISNUMBER(SEARCH("平",B5931)),"平","仄")))</x:f>
        <x:v>仄</x:v>
      </x:c>
      <x:c r="K5931" s="6" t="str">
        <x:f>IF(D5931="","",IF(AND(ISNUMBER(SEARCH("平",D5931)),OR(ISNUMBER(SEARCH("上",D5931)),ISNUMBER(SEARCH("去",D5931)),ISNUMBER(SEARCH("入",D5931)))),"Ambiguous",IF(ISNUMBER(SEARCH("平",D5931)),"平","仄")))</x:f>
        <x:v>仄</x:v>
      </x:c>
      <x:c r="L5931" s="7" t="str">
        <x:v>Pingshui main list, Lu Qinli gap fill</x:v>
      </x:c>
    </x:row>
    <x:row r="5932">
      <x:c r="A5932" s="5" t="str">
        <x:v>肇</x:v>
      </x:c>
      <x:c r="B5932" s="6" t="str">
        <x:v>上</x:v>
      </x:c>
      <x:c r="C5932" s="6" t="str">
        <x:f>IF(B5932="","Needs decision","Ready")</x:f>
        <x:v>Ready</x:v>
      </x:c>
      <x:c r="D5932" s="6" t="str">
        <x:v>上</x:v>
      </x:c>
      <x:c r="E5932" s="6" t="str"/>
      <x:c r="F5932" s="6" t="str">
        <x:v>上聲十七篠</x:v>
      </x:c>
      <x:c r="G5932" s="6" t="str">
        <x:v>Pingshui main list, Wikisource-derived DOCX</x:v>
      </x:c>
      <x:c r="H5932" s="6" t="str"/>
      <x:c r="I5932" s="6" t="str">
        <x:v>Lu Qinli gap fill from Pingshui main list; 詞 entries ignored</x:v>
      </x:c>
      <x:c r="J5932" s="6" t="str">
        <x:f>IF(B5932="","",IF(AND(ISNUMBER(SEARCH("平",B5932)),OR(ISNUMBER(SEARCH("上",B5932)),ISNUMBER(SEARCH("去",B5932)),ISNUMBER(SEARCH("入",B5932)))),"Ambiguous",IF(ISNUMBER(SEARCH("平",B5932)),"平","仄")))</x:f>
        <x:v>仄</x:v>
      </x:c>
      <x:c r="K5932" s="6" t="str">
        <x:f>IF(D5932="","",IF(AND(ISNUMBER(SEARCH("平",D5932)),OR(ISNUMBER(SEARCH("上",D5932)),ISNUMBER(SEARCH("去",D5932)),ISNUMBER(SEARCH("入",D5932)))),"Ambiguous",IF(ISNUMBER(SEARCH("平",D5932)),"平","仄")))</x:f>
        <x:v>仄</x:v>
      </x:c>
      <x:c r="L5932" s="7" t="str">
        <x:v>Pingshui main list, Lu Qinli gap fill</x:v>
      </x:c>
    </x:row>
    <x:row r="5933">
      <x:c r="A5933" s="5" t="str">
        <x:v>肸</x:v>
      </x:c>
      <x:c r="B5933" s="6" t="str">
        <x:v>入</x:v>
      </x:c>
      <x:c r="C5933" s="6" t="str">
        <x:f>IF(B5933="","Needs decision","Ready")</x:f>
        <x:v>Ready</x:v>
      </x:c>
      <x:c r="D5933" s="6" t="str">
        <x:v>入</x:v>
      </x:c>
      <x:c r="E5933" s="6" t="str"/>
      <x:c r="F5933" s="6" t="str">
        <x:v>入聲五物</x:v>
      </x:c>
      <x:c r="G5933" s="6" t="str">
        <x:v>Pingshui main list, Wikisource-derived DOCX</x:v>
      </x:c>
      <x:c r="H5933" s="6" t="str"/>
      <x:c r="I5933" s="6" t="str">
        <x:v>Lu Qinli gap fill from Pingshui main list; 詞 entries ignored</x:v>
      </x:c>
      <x:c r="J5933" s="6" t="str">
        <x:f>IF(B5933="","",IF(AND(ISNUMBER(SEARCH("平",B5933)),OR(ISNUMBER(SEARCH("上",B5933)),ISNUMBER(SEARCH("去",B5933)),ISNUMBER(SEARCH("入",B5933)))),"Ambiguous",IF(ISNUMBER(SEARCH("平",B5933)),"平","仄")))</x:f>
        <x:v>仄</x:v>
      </x:c>
      <x:c r="K5933" s="6" t="str">
        <x:f>IF(D5933="","",IF(AND(ISNUMBER(SEARCH("平",D5933)),OR(ISNUMBER(SEARCH("上",D5933)),ISNUMBER(SEARCH("去",D5933)),ISNUMBER(SEARCH("入",D5933)))),"Ambiguous",IF(ISNUMBER(SEARCH("平",D5933)),"平","仄")))</x:f>
        <x:v>仄</x:v>
      </x:c>
      <x:c r="L5933" s="7" t="str">
        <x:v>Pingshui main list, Lu Qinli gap fill</x:v>
      </x:c>
    </x:row>
    <x:row r="5934">
      <x:c r="A5934" s="5" t="str">
        <x:v>胄</x:v>
      </x:c>
      <x:c r="B5934" s="6" t="str">
        <x:v>去</x:v>
      </x:c>
      <x:c r="C5934" s="6" t="str">
        <x:f>IF(B5934="","Needs decision","Ready")</x:f>
        <x:v>Ready</x:v>
      </x:c>
      <x:c r="D5934" s="6" t="str">
        <x:v>去</x:v>
      </x:c>
      <x:c r="E5934" s="6" t="str"/>
      <x:c r="F5934" s="6" t="str">
        <x:v>去聲二十六宥</x:v>
      </x:c>
      <x:c r="G5934" s="6" t="str">
        <x:v>Pingshui main list, Wikisource-derived DOCX</x:v>
      </x:c>
      <x:c r="H5934" s="6" t="str"/>
      <x:c r="I5934" s="6" t="str">
        <x:v>Lu Qinli gap fill from Pingshui main list; 詞 entries ignored</x:v>
      </x:c>
      <x:c r="J5934" s="6" t="str">
        <x:f>IF(B5934="","",IF(AND(ISNUMBER(SEARCH("平",B5934)),OR(ISNUMBER(SEARCH("上",B5934)),ISNUMBER(SEARCH("去",B5934)),ISNUMBER(SEARCH("入",B5934)))),"Ambiguous",IF(ISNUMBER(SEARCH("平",B5934)),"平","仄")))</x:f>
        <x:v>仄</x:v>
      </x:c>
      <x:c r="K5934" s="6" t="str">
        <x:f>IF(D5934="","",IF(AND(ISNUMBER(SEARCH("平",D5934)),OR(ISNUMBER(SEARCH("上",D5934)),ISNUMBER(SEARCH("去",D5934)),ISNUMBER(SEARCH("入",D5934)))),"Ambiguous",IF(ISNUMBER(SEARCH("平",D5934)),"平","仄")))</x:f>
        <x:v>仄</x:v>
      </x:c>
      <x:c r="L5934" s="7" t="str">
        <x:v>Pingshui main list, Lu Qinli gap fill</x:v>
      </x:c>
    </x:row>
    <x:row r="5935">
      <x:c r="A5935" s="5" t="str">
        <x:v>胸</x:v>
      </x:c>
      <x:c r="B5935" s="6" t="str">
        <x:v>平</x:v>
      </x:c>
      <x:c r="C5935" s="6" t="str">
        <x:f>IF(B5935="","Needs decision","Ready")</x:f>
        <x:v>Ready</x:v>
      </x:c>
      <x:c r="D5935" s="6" t="str">
        <x:v>平</x:v>
      </x:c>
      <x:c r="E5935" s="6" t="str"/>
      <x:c r="F5935" s="6" t="str">
        <x:v>上平聲二冬</x:v>
      </x:c>
      <x:c r="G5935" s="6" t="str">
        <x:v>Pingshui main list, Wikisource-derived DOCX</x:v>
      </x:c>
      <x:c r="H5935" s="6" t="str"/>
      <x:c r="I5935" s="6" t="str">
        <x:v>Lu Qinli gap fill from Pingshui main list; 詞 entries ignored</x:v>
      </x:c>
      <x:c r="J5935" s="6" t="str">
        <x:f>IF(B5935="","",IF(AND(ISNUMBER(SEARCH("平",B5935)),OR(ISNUMBER(SEARCH("上",B5935)),ISNUMBER(SEARCH("去",B5935)),ISNUMBER(SEARCH("入",B5935)))),"Ambiguous",IF(ISNUMBER(SEARCH("平",B5935)),"平","仄")))</x:f>
        <x:v>平</x:v>
      </x:c>
      <x:c r="K5935" s="6" t="str">
        <x:f>IF(D5935="","",IF(AND(ISNUMBER(SEARCH("平",D5935)),OR(ISNUMBER(SEARCH("上",D5935)),ISNUMBER(SEARCH("去",D5935)),ISNUMBER(SEARCH("入",D5935)))),"Ambiguous",IF(ISNUMBER(SEARCH("平",D5935)),"平","仄")))</x:f>
        <x:v>平</x:v>
      </x:c>
      <x:c r="L5935" s="7" t="str">
        <x:v>Pingshui main list, Lu Qinli gap fill</x:v>
      </x:c>
    </x:row>
    <x:row r="5936">
      <x:c r="A5936" s="5" t="str">
        <x:v>脤</x:v>
      </x:c>
      <x:c r="B5936" s="6" t="str">
        <x:v>上</x:v>
      </x:c>
      <x:c r="C5936" s="6" t="str">
        <x:f>IF(B5936="","Needs decision","Ready")</x:f>
        <x:v>Ready</x:v>
      </x:c>
      <x:c r="D5936" s="6" t="str">
        <x:v>上</x:v>
      </x:c>
      <x:c r="E5936" s="6" t="str"/>
      <x:c r="F5936" s="6" t="str">
        <x:v>上聲十一軫</x:v>
      </x:c>
      <x:c r="G5936" s="6" t="str">
        <x:v>Pingshui main list, Wikisource-derived DOCX</x:v>
      </x:c>
      <x:c r="H5936" s="6" t="str"/>
      <x:c r="I5936" s="6" t="str">
        <x:v>Lu Qinli gap fill from Pingshui main list; 詞 entries ignored</x:v>
      </x:c>
      <x:c r="J5936" s="6" t="str">
        <x:f>IF(B5936="","",IF(AND(ISNUMBER(SEARCH("平",B5936)),OR(ISNUMBER(SEARCH("上",B5936)),ISNUMBER(SEARCH("去",B5936)),ISNUMBER(SEARCH("入",B5936)))),"Ambiguous",IF(ISNUMBER(SEARCH("平",B5936)),"平","仄")))</x:f>
        <x:v>仄</x:v>
      </x:c>
      <x:c r="K5936" s="6" t="str">
        <x:f>IF(D5936="","",IF(AND(ISNUMBER(SEARCH("平",D5936)),OR(ISNUMBER(SEARCH("上",D5936)),ISNUMBER(SEARCH("去",D5936)),ISNUMBER(SEARCH("入",D5936)))),"Ambiguous",IF(ISNUMBER(SEARCH("平",D5936)),"平","仄")))</x:f>
        <x:v>仄</x:v>
      </x:c>
      <x:c r="L5936" s="7" t="str">
        <x:v>Pingshui main list, Lu Qinli gap fill</x:v>
      </x:c>
    </x:row>
    <x:row r="5937">
      <x:c r="A5937" s="5" t="str">
        <x:v>脽</x:v>
      </x:c>
      <x:c r="B5937" s="6" t="str">
        <x:v>平</x:v>
      </x:c>
      <x:c r="C5937" s="6" t="str">
        <x:f>IF(B5937="","Needs decision","Ready")</x:f>
        <x:v>Ready</x:v>
      </x:c>
      <x:c r="D5937" s="6" t="str">
        <x:v>平</x:v>
      </x:c>
      <x:c r="E5937" s="6" t="str"/>
      <x:c r="F5937" s="6" t="str">
        <x:v>上平聲四支</x:v>
      </x:c>
      <x:c r="G5937" s="6" t="str">
        <x:v>Pingshui main list, Wikisource-derived DOCX</x:v>
      </x:c>
      <x:c r="H5937" s="6" t="str"/>
      <x:c r="I5937" s="6" t="str">
        <x:v>Lu Qinli gap fill from Pingshui main list; 詞 entries ignored</x:v>
      </x:c>
      <x:c r="J5937" s="6" t="str">
        <x:f>IF(B5937="","",IF(AND(ISNUMBER(SEARCH("平",B5937)),OR(ISNUMBER(SEARCH("上",B5937)),ISNUMBER(SEARCH("去",B5937)),ISNUMBER(SEARCH("入",B5937)))),"Ambiguous",IF(ISNUMBER(SEARCH("平",B5937)),"平","仄")))</x:f>
        <x:v>平</x:v>
      </x:c>
      <x:c r="K5937" s="6" t="str">
        <x:f>IF(D5937="","",IF(AND(ISNUMBER(SEARCH("平",D5937)),OR(ISNUMBER(SEARCH("上",D5937)),ISNUMBER(SEARCH("去",D5937)),ISNUMBER(SEARCH("入",D5937)))),"Ambiguous",IF(ISNUMBER(SEARCH("平",D5937)),"平","仄")))</x:f>
        <x:v>平</x:v>
      </x:c>
      <x:c r="L5937" s="7" t="str">
        <x:v>Pingshui main list, Lu Qinli gap fill</x:v>
      </x:c>
    </x:row>
    <x:row r="5938">
      <x:c r="A5938" s="5" t="str">
        <x:v>腕</x:v>
      </x:c>
      <x:c r="B5938" s="6" t="str">
        <x:v>去</x:v>
      </x:c>
      <x:c r="C5938" s="6" t="str">
        <x:f>IF(B5938="","Needs decision","Ready")</x:f>
        <x:v>Ready</x:v>
      </x:c>
      <x:c r="D5938" s="6" t="str">
        <x:v>去</x:v>
      </x:c>
      <x:c r="E5938" s="6" t="str"/>
      <x:c r="F5938" s="6" t="str">
        <x:v>去聲十五翰</x:v>
      </x:c>
      <x:c r="G5938" s="6" t="str">
        <x:v>Pingshui main list, Wikisource-derived DOCX</x:v>
      </x:c>
      <x:c r="H5938" s="6" t="str"/>
      <x:c r="I5938" s="6" t="str">
        <x:v>Lu Qinli gap fill from Pingshui main list; 詞 entries ignored</x:v>
      </x:c>
      <x:c r="J5938" s="6" t="str">
        <x:f>IF(B5938="","",IF(AND(ISNUMBER(SEARCH("平",B5938)),OR(ISNUMBER(SEARCH("上",B5938)),ISNUMBER(SEARCH("去",B5938)),ISNUMBER(SEARCH("入",B5938)))),"Ambiguous",IF(ISNUMBER(SEARCH("平",B5938)),"平","仄")))</x:f>
        <x:v>仄</x:v>
      </x:c>
      <x:c r="K5938" s="6" t="str">
        <x:f>IF(D5938="","",IF(AND(ISNUMBER(SEARCH("平",D5938)),OR(ISNUMBER(SEARCH("上",D5938)),ISNUMBER(SEARCH("去",D5938)),ISNUMBER(SEARCH("入",D5938)))),"Ambiguous",IF(ISNUMBER(SEARCH("平",D5938)),"平","仄")))</x:f>
        <x:v>仄</x:v>
      </x:c>
      <x:c r="L5938" s="7" t="str">
        <x:v>Pingshui main list, Lu Qinli gap fill</x:v>
      </x:c>
    </x:row>
    <x:row r="5939">
      <x:c r="A5939" s="5" t="str">
        <x:v>腠</x:v>
      </x:c>
      <x:c r="B5939" s="6" t="str">
        <x:v>去</x:v>
      </x:c>
      <x:c r="C5939" s="6" t="str">
        <x:f>IF(B5939="","Needs decision","Ready")</x:f>
        <x:v>Ready</x:v>
      </x:c>
      <x:c r="D5939" s="6" t="str">
        <x:v>去</x:v>
      </x:c>
      <x:c r="E5939" s="6" t="str"/>
      <x:c r="F5939" s="6" t="str">
        <x:v>去聲二十六宥</x:v>
      </x:c>
      <x:c r="G5939" s="6" t="str">
        <x:v>Pingshui main list, Wikisource-derived DOCX</x:v>
      </x:c>
      <x:c r="H5939" s="6" t="str"/>
      <x:c r="I5939" s="6" t="str">
        <x:v>Lu Qinli gap fill from Pingshui main list; 詞 entries ignored</x:v>
      </x:c>
      <x:c r="J5939" s="6" t="str">
        <x:f>IF(B5939="","",IF(AND(ISNUMBER(SEARCH("平",B5939)),OR(ISNUMBER(SEARCH("上",B5939)),ISNUMBER(SEARCH("去",B5939)),ISNUMBER(SEARCH("入",B5939)))),"Ambiguous",IF(ISNUMBER(SEARCH("平",B5939)),"平","仄")))</x:f>
        <x:v>仄</x:v>
      </x:c>
      <x:c r="K5939" s="6" t="str">
        <x:f>IF(D5939="","",IF(AND(ISNUMBER(SEARCH("平",D5939)),OR(ISNUMBER(SEARCH("上",D5939)),ISNUMBER(SEARCH("去",D5939)),ISNUMBER(SEARCH("入",D5939)))),"Ambiguous",IF(ISNUMBER(SEARCH("平",D5939)),"平","仄")))</x:f>
        <x:v>仄</x:v>
      </x:c>
      <x:c r="L5939" s="7" t="str">
        <x:v>Pingshui main list, Lu Qinli gap fill</x:v>
      </x:c>
    </x:row>
    <x:row r="5940">
      <x:c r="A5940" s="5" t="str">
        <x:v>腴</x:v>
      </x:c>
      <x:c r="B5940" s="6" t="str">
        <x:v>平</x:v>
      </x:c>
      <x:c r="C5940" s="6" t="str">
        <x:f>IF(B5940="","Needs decision","Ready")</x:f>
        <x:v>Ready</x:v>
      </x:c>
      <x:c r="D5940" s="6" t="str">
        <x:v>平</x:v>
      </x:c>
      <x:c r="E5940" s="6" t="str"/>
      <x:c r="F5940" s="6" t="str">
        <x:v>上平聲七虞</x:v>
      </x:c>
      <x:c r="G5940" s="6" t="str">
        <x:v>Pingshui main list, Wikisource-derived DOCX</x:v>
      </x:c>
      <x:c r="H5940" s="6" t="str"/>
      <x:c r="I5940" s="6" t="str">
        <x:v>Lu Qinli gap fill from Pingshui main list; 詞 entries ignored</x:v>
      </x:c>
      <x:c r="J5940" s="6" t="str">
        <x:f>IF(B5940="","",IF(AND(ISNUMBER(SEARCH("平",B5940)),OR(ISNUMBER(SEARCH("上",B5940)),ISNUMBER(SEARCH("去",B5940)),ISNUMBER(SEARCH("入",B5940)))),"Ambiguous",IF(ISNUMBER(SEARCH("平",B5940)),"平","仄")))</x:f>
        <x:v>平</x:v>
      </x:c>
      <x:c r="K5940" s="6" t="str">
        <x:f>IF(D5940="","",IF(AND(ISNUMBER(SEARCH("平",D5940)),OR(ISNUMBER(SEARCH("上",D5940)),ISNUMBER(SEARCH("去",D5940)),ISNUMBER(SEARCH("入",D5940)))),"Ambiguous",IF(ISNUMBER(SEARCH("平",D5940)),"平","仄")))</x:f>
        <x:v>平</x:v>
      </x:c>
      <x:c r="L5940" s="7" t="str">
        <x:v>Pingshui main list, Lu Qinli gap fill</x:v>
      </x:c>
    </x:row>
    <x:row r="5941">
      <x:c r="A5941" s="5" t="str">
        <x:v>腷</x:v>
      </x:c>
      <x:c r="B5941" s="6" t="str">
        <x:v>入</x:v>
      </x:c>
      <x:c r="C5941" s="6" t="str">
        <x:f>IF(B5941="","Needs decision","Ready")</x:f>
        <x:v>Ready</x:v>
      </x:c>
      <x:c r="D5941" s="6" t="str">
        <x:v>入</x:v>
      </x:c>
      <x:c r="E5941" s="6" t="str"/>
      <x:c r="F5941" s="6" t="str">
        <x:v>入聲十三職</x:v>
      </x:c>
      <x:c r="G5941" s="6" t="str">
        <x:v>Pingshui main list, Wikisource-derived DOCX</x:v>
      </x:c>
      <x:c r="H5941" s="6" t="str"/>
      <x:c r="I5941" s="6" t="str">
        <x:v>Lu Qinli gap fill from Pingshui main list; 詞 entries ignored</x:v>
      </x:c>
      <x:c r="J5941" s="6" t="str">
        <x:f>IF(B5941="","",IF(AND(ISNUMBER(SEARCH("平",B5941)),OR(ISNUMBER(SEARCH("上",B5941)),ISNUMBER(SEARCH("去",B5941)),ISNUMBER(SEARCH("入",B5941)))),"Ambiguous",IF(ISNUMBER(SEARCH("平",B5941)),"平","仄")))</x:f>
        <x:v>仄</x:v>
      </x:c>
      <x:c r="K5941" s="6" t="str">
        <x:f>IF(D5941="","",IF(AND(ISNUMBER(SEARCH("平",D5941)),OR(ISNUMBER(SEARCH("上",D5941)),ISNUMBER(SEARCH("去",D5941)),ISNUMBER(SEARCH("入",D5941)))),"Ambiguous",IF(ISNUMBER(SEARCH("平",D5941)),"平","仄")))</x:f>
        <x:v>仄</x:v>
      </x:c>
      <x:c r="L5941" s="7" t="str">
        <x:v>Pingshui main list, Lu Qinli gap fill</x:v>
      </x:c>
    </x:row>
    <x:row r="5942">
      <x:c r="A5942" s="5" t="str">
        <x:v>膂</x:v>
      </x:c>
      <x:c r="B5942" s="6" t="str">
        <x:v>上</x:v>
      </x:c>
      <x:c r="C5942" s="6" t="str">
        <x:f>IF(B5942="","Needs decision","Ready")</x:f>
        <x:v>Ready</x:v>
      </x:c>
      <x:c r="D5942" s="6" t="str">
        <x:v>上</x:v>
      </x:c>
      <x:c r="E5942" s="6" t="str"/>
      <x:c r="F5942" s="6" t="str">
        <x:v>上聲六語</x:v>
      </x:c>
      <x:c r="G5942" s="6" t="str">
        <x:v>Pingshui main list, Wikisource-derived DOCX</x:v>
      </x:c>
      <x:c r="H5942" s="6" t="str"/>
      <x:c r="I5942" s="6" t="str">
        <x:v>Lu Qinli gap fill from Pingshui main list; 詞 entries ignored</x:v>
      </x:c>
      <x:c r="J5942" s="6" t="str">
        <x:f>IF(B5942="","",IF(AND(ISNUMBER(SEARCH("平",B5942)),OR(ISNUMBER(SEARCH("上",B5942)),ISNUMBER(SEARCH("去",B5942)),ISNUMBER(SEARCH("入",B5942)))),"Ambiguous",IF(ISNUMBER(SEARCH("平",B5942)),"平","仄")))</x:f>
        <x:v>仄</x:v>
      </x:c>
      <x:c r="K5942" s="6" t="str">
        <x:f>IF(D5942="","",IF(AND(ISNUMBER(SEARCH("平",D5942)),OR(ISNUMBER(SEARCH("上",D5942)),ISNUMBER(SEARCH("去",D5942)),ISNUMBER(SEARCH("入",D5942)))),"Ambiguous",IF(ISNUMBER(SEARCH("平",D5942)),"平","仄")))</x:f>
        <x:v>仄</x:v>
      </x:c>
      <x:c r="L5942" s="7" t="str">
        <x:v>Pingshui main list, Lu Qinli gap fill</x:v>
      </x:c>
    </x:row>
    <x:row r="5943">
      <x:c r="A5943" s="5" t="str">
        <x:v>膇</x:v>
      </x:c>
      <x:c r="B5943" s="6" t="str">
        <x:v>去</x:v>
      </x:c>
      <x:c r="C5943" s="6" t="str">
        <x:f>IF(B5943="","Needs decision","Ready")</x:f>
        <x:v>Ready</x:v>
      </x:c>
      <x:c r="D5943" s="6" t="str">
        <x:v>去</x:v>
      </x:c>
      <x:c r="E5943" s="6" t="str"/>
      <x:c r="F5943" s="6" t="str">
        <x:v>去聲四寘</x:v>
      </x:c>
      <x:c r="G5943" s="6" t="str">
        <x:v>Pingshui main list, Wikisource-derived DOCX</x:v>
      </x:c>
      <x:c r="H5943" s="6" t="str"/>
      <x:c r="I5943" s="6" t="str">
        <x:v>Lu Qinli gap fill from Pingshui main list; 詞 entries ignored</x:v>
      </x:c>
      <x:c r="J5943" s="6" t="str">
        <x:f>IF(B5943="","",IF(AND(ISNUMBER(SEARCH("平",B5943)),OR(ISNUMBER(SEARCH("上",B5943)),ISNUMBER(SEARCH("去",B5943)),ISNUMBER(SEARCH("入",B5943)))),"Ambiguous",IF(ISNUMBER(SEARCH("平",B5943)),"平","仄")))</x:f>
        <x:v>仄</x:v>
      </x:c>
      <x:c r="K5943" s="6" t="str">
        <x:f>IF(D5943="","",IF(AND(ISNUMBER(SEARCH("平",D5943)),OR(ISNUMBER(SEARCH("上",D5943)),ISNUMBER(SEARCH("去",D5943)),ISNUMBER(SEARCH("入",D5943)))),"Ambiguous",IF(ISNUMBER(SEARCH("平",D5943)),"平","仄")))</x:f>
        <x:v>仄</x:v>
      </x:c>
      <x:c r="L5943" s="7" t="str">
        <x:v>Pingshui main list, Lu Qinli gap fill</x:v>
      </x:c>
    </x:row>
    <x:row r="5944">
      <x:c r="A5944" s="5" t="str">
        <x:v>膈</x:v>
      </x:c>
      <x:c r="B5944" s="6" t="str">
        <x:v>入</x:v>
      </x:c>
      <x:c r="C5944" s="6" t="str">
        <x:f>IF(B5944="","Needs decision","Ready")</x:f>
        <x:v>Ready</x:v>
      </x:c>
      <x:c r="D5944" s="6" t="str">
        <x:v>入</x:v>
      </x:c>
      <x:c r="E5944" s="6" t="str"/>
      <x:c r="F5944" s="6" t="str">
        <x:v>入聲十一陌</x:v>
      </x:c>
      <x:c r="G5944" s="6" t="str">
        <x:v>Pingshui main list, Wikisource-derived DOCX</x:v>
      </x:c>
      <x:c r="H5944" s="6" t="str"/>
      <x:c r="I5944" s="6" t="str">
        <x:v>Lu Qinli gap fill from Pingshui main list; 詞 entries ignored</x:v>
      </x:c>
      <x:c r="J5944" s="6" t="str">
        <x:f>IF(B5944="","",IF(AND(ISNUMBER(SEARCH("平",B5944)),OR(ISNUMBER(SEARCH("上",B5944)),ISNUMBER(SEARCH("去",B5944)),ISNUMBER(SEARCH("入",B5944)))),"Ambiguous",IF(ISNUMBER(SEARCH("平",B5944)),"平","仄")))</x:f>
        <x:v>仄</x:v>
      </x:c>
      <x:c r="K5944" s="6" t="str">
        <x:f>IF(D5944="","",IF(AND(ISNUMBER(SEARCH("平",D5944)),OR(ISNUMBER(SEARCH("上",D5944)),ISNUMBER(SEARCH("去",D5944)),ISNUMBER(SEARCH("入",D5944)))),"Ambiguous",IF(ISNUMBER(SEARCH("平",D5944)),"平","仄")))</x:f>
        <x:v>仄</x:v>
      </x:c>
      <x:c r="L5944" s="7" t="str">
        <x:v>Pingshui main list, Lu Qinli gap fill</x:v>
      </x:c>
    </x:row>
    <x:row r="5945">
      <x:c r="A5945" s="5" t="str">
        <x:v>膋</x:v>
      </x:c>
      <x:c r="B5945" s="6" t="str">
        <x:v>平</x:v>
      </x:c>
      <x:c r="C5945" s="6" t="str">
        <x:f>IF(B5945="","Needs decision","Ready")</x:f>
        <x:v>Ready</x:v>
      </x:c>
      <x:c r="D5945" s="6" t="str">
        <x:v>平</x:v>
      </x:c>
      <x:c r="E5945" s="6" t="str"/>
      <x:c r="F5945" s="6" t="str">
        <x:v>下平聲二蕭</x:v>
      </x:c>
      <x:c r="G5945" s="6" t="str">
        <x:v>Pingshui main list, Wikisource-derived DOCX</x:v>
      </x:c>
      <x:c r="H5945" s="6" t="str"/>
      <x:c r="I5945" s="6" t="str">
        <x:v>Lu Qinli gap fill from Pingshui main list; 詞 entries ignored</x:v>
      </x:c>
      <x:c r="J5945" s="6" t="str">
        <x:f>IF(B5945="","",IF(AND(ISNUMBER(SEARCH("平",B5945)),OR(ISNUMBER(SEARCH("上",B5945)),ISNUMBER(SEARCH("去",B5945)),ISNUMBER(SEARCH("入",B5945)))),"Ambiguous",IF(ISNUMBER(SEARCH("平",B5945)),"平","仄")))</x:f>
        <x:v>平</x:v>
      </x:c>
      <x:c r="K5945" s="6" t="str">
        <x:f>IF(D5945="","",IF(AND(ISNUMBER(SEARCH("平",D5945)),OR(ISNUMBER(SEARCH("上",D5945)),ISNUMBER(SEARCH("去",D5945)),ISNUMBER(SEARCH("入",D5945)))),"Ambiguous",IF(ISNUMBER(SEARCH("平",D5945)),"平","仄")))</x:f>
        <x:v>平</x:v>
      </x:c>
      <x:c r="L5945" s="7" t="str">
        <x:v>Pingshui main list, Lu Qinli gap fill</x:v>
      </x:c>
    </x:row>
    <x:row r="5946">
      <x:c r="A5946" s="5" t="str">
        <x:v>膰</x:v>
      </x:c>
      <x:c r="B5946" s="6" t="str">
        <x:v>平</x:v>
      </x:c>
      <x:c r="C5946" s="6" t="str">
        <x:f>IF(B5946="","Needs decision","Ready")</x:f>
        <x:v>Ready</x:v>
      </x:c>
      <x:c r="D5946" s="6" t="str">
        <x:v>平</x:v>
      </x:c>
      <x:c r="E5946" s="6" t="str"/>
      <x:c r="F5946" s="6" t="str">
        <x:v>上平聲十三元</x:v>
      </x:c>
      <x:c r="G5946" s="6" t="str">
        <x:v>Pingshui main list, Wikisource-derived DOCX</x:v>
      </x:c>
      <x:c r="H5946" s="6" t="str"/>
      <x:c r="I5946" s="6" t="str">
        <x:v>Lu Qinli gap fill from Pingshui main list; 詞 entries ignored</x:v>
      </x:c>
      <x:c r="J5946" s="6" t="str">
        <x:f>IF(B5946="","",IF(AND(ISNUMBER(SEARCH("平",B5946)),OR(ISNUMBER(SEARCH("上",B5946)),ISNUMBER(SEARCH("去",B5946)),ISNUMBER(SEARCH("入",B5946)))),"Ambiguous",IF(ISNUMBER(SEARCH("平",B5946)),"平","仄")))</x:f>
        <x:v>平</x:v>
      </x:c>
      <x:c r="K5946" s="6" t="str">
        <x:f>IF(D5946="","",IF(AND(ISNUMBER(SEARCH("平",D5946)),OR(ISNUMBER(SEARCH("上",D5946)),ISNUMBER(SEARCH("去",D5946)),ISNUMBER(SEARCH("入",D5946)))),"Ambiguous",IF(ISNUMBER(SEARCH("平",D5946)),"平","仄")))</x:f>
        <x:v>平</x:v>
      </x:c>
      <x:c r="L5946" s="7" t="str">
        <x:v>Pingshui main list, Lu Qinli gap fill</x:v>
      </x:c>
    </x:row>
    <x:row r="5947">
      <x:c r="A5947" s="5" t="str">
        <x:v>膴</x:v>
      </x:c>
      <x:c r="B5947" s="6" t="str"/>
      <x:c r="C5947" s="6" t="str">
        <x:f>IF(B5947="","Needs decision","Ready")</x:f>
        <x:v>Needs decision</x:v>
      </x:c>
      <x:c r="D5947" s="6" t="str">
        <x:v>平/上</x:v>
      </x:c>
      <x:c r="E5947" s="6" t="str"/>
      <x:c r="F5947" s="6" t="str">
        <x:v>上平聲七虞; 上聲七麌</x:v>
      </x:c>
      <x:c r="G5947" s="6" t="str">
        <x:v>Pingshui main list, Wikisource-derived DOCX</x:v>
      </x:c>
      <x:c r="H5947" s="6" t="str"/>
      <x:c r="I5947" s="6" t="str">
        <x:v>Lu Qinli gap fill from Pingshui main list; 詞 entries ignored</x:v>
      </x:c>
      <x:c r="J5947" s="6" t="str">
        <x:f>IF(B5947="","",IF(AND(ISNUMBER(SEARCH("平",B5947)),OR(ISNUMBER(SEARCH("上",B5947)),ISNUMBER(SEARCH("去",B5947)),ISNUMBER(SEARCH("入",B5947)))),"Ambiguous",IF(ISNUMBER(SEARCH("平",B5947)),"平","仄")))</x:f>
      </x:c>
      <x:c r="K5947" s="6" t="str">
        <x:f>IF(D5947="","",IF(AND(ISNUMBER(SEARCH("平",D5947)),OR(ISNUMBER(SEARCH("上",D5947)),ISNUMBER(SEARCH("去",D5947)),ISNUMBER(SEARCH("入",D5947)))),"Ambiguous",IF(ISNUMBER(SEARCH("平",D5947)),"平","仄")))</x:f>
        <x:v>Ambiguous</x:v>
      </x:c>
      <x:c r="L5947" s="7" t="str">
        <x:v>Pingshui main list, Lu Qinli gap fill</x:v>
      </x:c>
    </x:row>
    <x:row r="5948">
      <x:c r="A5948" s="5" t="str">
        <x:v>臉</x:v>
      </x:c>
      <x:c r="B5948" s="6" t="str">
        <x:v>上</x:v>
      </x:c>
      <x:c r="C5948" s="6" t="str">
        <x:f>IF(B5948="","Needs decision","Ready")</x:f>
        <x:v>Ready</x:v>
      </x:c>
      <x:c r="D5948" s="6" t="str">
        <x:v>上</x:v>
      </x:c>
      <x:c r="E5948" s="6" t="str"/>
      <x:c r="F5948" s="6" t="str">
        <x:v>上聲二十八琰</x:v>
      </x:c>
      <x:c r="G5948" s="6" t="str">
        <x:v>Pingshui main list, Wikisource-derived DOCX</x:v>
      </x:c>
      <x:c r="H5948" s="6" t="str"/>
      <x:c r="I5948" s="6" t="str">
        <x:v>Lu Qinli gap fill from Pingshui main list; 詞 entries ignored</x:v>
      </x:c>
      <x:c r="J5948" s="6" t="str">
        <x:f>IF(B5948="","",IF(AND(ISNUMBER(SEARCH("平",B5948)),OR(ISNUMBER(SEARCH("上",B5948)),ISNUMBER(SEARCH("去",B5948)),ISNUMBER(SEARCH("入",B5948)))),"Ambiguous",IF(ISNUMBER(SEARCH("平",B5948)),"平","仄")))</x:f>
        <x:v>仄</x:v>
      </x:c>
      <x:c r="K5948" s="6" t="str">
        <x:f>IF(D5948="","",IF(AND(ISNUMBER(SEARCH("平",D5948)),OR(ISNUMBER(SEARCH("上",D5948)),ISNUMBER(SEARCH("去",D5948)),ISNUMBER(SEARCH("入",D5948)))),"Ambiguous",IF(ISNUMBER(SEARCH("平",D5948)),"平","仄")))</x:f>
        <x:v>仄</x:v>
      </x:c>
      <x:c r="L5948" s="7" t="str">
        <x:v>Pingshui main list, Lu Qinli gap fill</x:v>
      </x:c>
    </x:row>
    <x:row r="5949">
      <x:c r="A5949" s="5" t="str">
        <x:v>臏</x:v>
      </x:c>
      <x:c r="B5949" s="6" t="str">
        <x:v>上</x:v>
      </x:c>
      <x:c r="C5949" s="6" t="str">
        <x:f>IF(B5949="","Needs decision","Ready")</x:f>
        <x:v>Ready</x:v>
      </x:c>
      <x:c r="D5949" s="6" t="str">
        <x:v>上</x:v>
      </x:c>
      <x:c r="E5949" s="6" t="str"/>
      <x:c r="F5949" s="6" t="str">
        <x:v>上聲十一軫</x:v>
      </x:c>
      <x:c r="G5949" s="6" t="str">
        <x:v>Pingshui main list, Wikisource-derived DOCX</x:v>
      </x:c>
      <x:c r="H5949" s="6" t="str"/>
      <x:c r="I5949" s="6" t="str">
        <x:v>Lu Qinli gap fill from Pingshui main list; 詞 entries ignored</x:v>
      </x:c>
      <x:c r="J5949" s="6" t="str">
        <x:f>IF(B5949="","",IF(AND(ISNUMBER(SEARCH("平",B5949)),OR(ISNUMBER(SEARCH("上",B5949)),ISNUMBER(SEARCH("去",B5949)),ISNUMBER(SEARCH("入",B5949)))),"Ambiguous",IF(ISNUMBER(SEARCH("平",B5949)),"平","仄")))</x:f>
        <x:v>仄</x:v>
      </x:c>
      <x:c r="K5949" s="6" t="str">
        <x:f>IF(D5949="","",IF(AND(ISNUMBER(SEARCH("平",D5949)),OR(ISNUMBER(SEARCH("上",D5949)),ISNUMBER(SEARCH("去",D5949)),ISNUMBER(SEARCH("入",D5949)))),"Ambiguous",IF(ISNUMBER(SEARCH("平",D5949)),"平","仄")))</x:f>
        <x:v>仄</x:v>
      </x:c>
      <x:c r="L5949" s="7" t="str">
        <x:v>Pingshui main list, Lu Qinli gap fill</x:v>
      </x:c>
    </x:row>
    <x:row r="5950">
      <x:c r="A5950" s="5" t="str">
        <x:v>臚</x:v>
      </x:c>
      <x:c r="B5950" s="6" t="str">
        <x:v>平</x:v>
      </x:c>
      <x:c r="C5950" s="6" t="str">
        <x:f>IF(B5950="","Needs decision","Ready")</x:f>
        <x:v>Ready</x:v>
      </x:c>
      <x:c r="D5950" s="6" t="str">
        <x:v>平</x:v>
      </x:c>
      <x:c r="E5950" s="6" t="str"/>
      <x:c r="F5950" s="6" t="str">
        <x:v>上平聲六魚</x:v>
      </x:c>
      <x:c r="G5950" s="6" t="str">
        <x:v>Pingshui main list, Wikisource-derived DOCX</x:v>
      </x:c>
      <x:c r="H5950" s="6" t="str"/>
      <x:c r="I5950" s="6" t="str">
        <x:v>Lu Qinli gap fill from Pingshui main list; 詞 entries ignored</x:v>
      </x:c>
      <x:c r="J5950" s="6" t="str">
        <x:f>IF(B5950="","",IF(AND(ISNUMBER(SEARCH("平",B5950)),OR(ISNUMBER(SEARCH("上",B5950)),ISNUMBER(SEARCH("去",B5950)),ISNUMBER(SEARCH("入",B5950)))),"Ambiguous",IF(ISNUMBER(SEARCH("平",B5950)),"平","仄")))</x:f>
        <x:v>平</x:v>
      </x:c>
      <x:c r="K5950" s="6" t="str">
        <x:f>IF(D5950="","",IF(AND(ISNUMBER(SEARCH("平",D5950)),OR(ISNUMBER(SEARCH("上",D5950)),ISNUMBER(SEARCH("去",D5950)),ISNUMBER(SEARCH("入",D5950)))),"Ambiguous",IF(ISNUMBER(SEARCH("平",D5950)),"平","仄")))</x:f>
        <x:v>平</x:v>
      </x:c>
      <x:c r="L5950" s="7" t="str">
        <x:v>Pingshui main list, Lu Qinli gap fill</x:v>
      </x:c>
    </x:row>
    <x:row r="5951">
      <x:c r="A5951" s="5" t="str">
        <x:v>臞</x:v>
      </x:c>
      <x:c r="B5951" s="6" t="str">
        <x:v>平</x:v>
      </x:c>
      <x:c r="C5951" s="6" t="str">
        <x:f>IF(B5951="","Needs decision","Ready")</x:f>
        <x:v>Ready</x:v>
      </x:c>
      <x:c r="D5951" s="6" t="str">
        <x:v>平</x:v>
      </x:c>
      <x:c r="E5951" s="6" t="str"/>
      <x:c r="F5951" s="6" t="str">
        <x:v>上平聲七虞</x:v>
      </x:c>
      <x:c r="G5951" s="6" t="str">
        <x:v>Pingshui main list, Wikisource-derived DOCX</x:v>
      </x:c>
      <x:c r="H5951" s="6" t="str"/>
      <x:c r="I5951" s="6" t="str">
        <x:v>Lu Qinli gap fill from Pingshui main list; 詞 entries ignored</x:v>
      </x:c>
      <x:c r="J5951" s="6" t="str">
        <x:f>IF(B5951="","",IF(AND(ISNUMBER(SEARCH("平",B5951)),OR(ISNUMBER(SEARCH("上",B5951)),ISNUMBER(SEARCH("去",B5951)),ISNUMBER(SEARCH("入",B5951)))),"Ambiguous",IF(ISNUMBER(SEARCH("平",B5951)),"平","仄")))</x:f>
        <x:v>平</x:v>
      </x:c>
      <x:c r="K5951" s="6" t="str">
        <x:f>IF(D5951="","",IF(AND(ISNUMBER(SEARCH("平",D5951)),OR(ISNUMBER(SEARCH("上",D5951)),ISNUMBER(SEARCH("去",D5951)),ISNUMBER(SEARCH("入",D5951)))),"Ambiguous",IF(ISNUMBER(SEARCH("平",D5951)),"平","仄")))</x:f>
        <x:v>平</x:v>
      </x:c>
      <x:c r="L5951" s="7" t="str">
        <x:v>Pingshui main list, Lu Qinli gap fill</x:v>
      </x:c>
    </x:row>
    <x:row r="5952">
      <x:c r="A5952" s="5" t="str">
        <x:v>臠</x:v>
      </x:c>
      <x:c r="B5952" s="6" t="str">
        <x:v>上</x:v>
      </x:c>
      <x:c r="C5952" s="6" t="str">
        <x:f>IF(B5952="","Needs decision","Ready")</x:f>
        <x:v>Ready</x:v>
      </x:c>
      <x:c r="D5952" s="6" t="str">
        <x:v>上</x:v>
      </x:c>
      <x:c r="E5952" s="6" t="str"/>
      <x:c r="F5952" s="6" t="str">
        <x:v>上聲十六銑</x:v>
      </x:c>
      <x:c r="G5952" s="6" t="str">
        <x:v>Pingshui main list, Wikisource-derived DOCX</x:v>
      </x:c>
      <x:c r="H5952" s="6" t="str"/>
      <x:c r="I5952" s="6" t="str">
        <x:v>Lu Qinli gap fill from Pingshui main list; 詞 entries ignored</x:v>
      </x:c>
      <x:c r="J5952" s="6" t="str">
        <x:f>IF(B5952="","",IF(AND(ISNUMBER(SEARCH("平",B5952)),OR(ISNUMBER(SEARCH("上",B5952)),ISNUMBER(SEARCH("去",B5952)),ISNUMBER(SEARCH("入",B5952)))),"Ambiguous",IF(ISNUMBER(SEARCH("平",B5952)),"平","仄")))</x:f>
        <x:v>仄</x:v>
      </x:c>
      <x:c r="K5952" s="6" t="str">
        <x:f>IF(D5952="","",IF(AND(ISNUMBER(SEARCH("平",D5952)),OR(ISNUMBER(SEARCH("上",D5952)),ISNUMBER(SEARCH("去",D5952)),ISNUMBER(SEARCH("入",D5952)))),"Ambiguous",IF(ISNUMBER(SEARCH("平",D5952)),"平","仄")))</x:f>
        <x:v>仄</x:v>
      </x:c>
      <x:c r="L5952" s="7" t="str">
        <x:v>Pingshui main list, Lu Qinli gap fill</x:v>
      </x:c>
    </x:row>
    <x:row r="5953">
      <x:c r="A5953" s="5" t="str">
        <x:v>舠</x:v>
      </x:c>
      <x:c r="B5953" s="6" t="str">
        <x:v>平</x:v>
      </x:c>
      <x:c r="C5953" s="6" t="str">
        <x:f>IF(B5953="","Needs decision","Ready")</x:f>
        <x:v>Ready</x:v>
      </x:c>
      <x:c r="D5953" s="6" t="str">
        <x:v>平</x:v>
      </x:c>
      <x:c r="E5953" s="6" t="str"/>
      <x:c r="F5953" s="6" t="str">
        <x:v>下平聲四豪</x:v>
      </x:c>
      <x:c r="G5953" s="6" t="str">
        <x:v>Pingshui main list, Wikisource-derived DOCX</x:v>
      </x:c>
      <x:c r="H5953" s="6" t="str"/>
      <x:c r="I5953" s="6" t="str">
        <x:v>Lu Qinli gap fill from Pingshui main list; 詞 entries ignored</x:v>
      </x:c>
      <x:c r="J5953" s="6" t="str">
        <x:f>IF(B5953="","",IF(AND(ISNUMBER(SEARCH("平",B5953)),OR(ISNUMBER(SEARCH("上",B5953)),ISNUMBER(SEARCH("去",B5953)),ISNUMBER(SEARCH("入",B5953)))),"Ambiguous",IF(ISNUMBER(SEARCH("平",B5953)),"平","仄")))</x:f>
        <x:v>平</x:v>
      </x:c>
      <x:c r="K5953" s="6" t="str">
        <x:f>IF(D5953="","",IF(AND(ISNUMBER(SEARCH("平",D5953)),OR(ISNUMBER(SEARCH("上",D5953)),ISNUMBER(SEARCH("去",D5953)),ISNUMBER(SEARCH("入",D5953)))),"Ambiguous",IF(ISNUMBER(SEARCH("平",D5953)),"平","仄")))</x:f>
        <x:v>平</x:v>
      </x:c>
      <x:c r="L5953" s="7" t="str">
        <x:v>Pingshui main list, Lu Qinli gap fill</x:v>
      </x:c>
    </x:row>
    <x:row r="5954">
      <x:c r="A5954" s="5" t="str">
        <x:v>航</x:v>
      </x:c>
      <x:c r="B5954" s="6" t="str">
        <x:v>平</x:v>
      </x:c>
      <x:c r="C5954" s="6" t="str">
        <x:f>IF(B5954="","Needs decision","Ready")</x:f>
        <x:v>Ready</x:v>
      </x:c>
      <x:c r="D5954" s="6" t="str">
        <x:v>平</x:v>
      </x:c>
      <x:c r="E5954" s="6" t="str"/>
      <x:c r="F5954" s="6" t="str">
        <x:v>下平聲七陽</x:v>
      </x:c>
      <x:c r="G5954" s="6" t="str">
        <x:v>Pingshui main list, Wikisource-derived DOCX</x:v>
      </x:c>
      <x:c r="H5954" s="6" t="str"/>
      <x:c r="I5954" s="6" t="str">
        <x:v>Lu Qinli gap fill from Pingshui main list; 詞 entries ignored</x:v>
      </x:c>
      <x:c r="J5954" s="6" t="str">
        <x:f>IF(B5954="","",IF(AND(ISNUMBER(SEARCH("平",B5954)),OR(ISNUMBER(SEARCH("上",B5954)),ISNUMBER(SEARCH("去",B5954)),ISNUMBER(SEARCH("入",B5954)))),"Ambiguous",IF(ISNUMBER(SEARCH("平",B5954)),"平","仄")))</x:f>
        <x:v>平</x:v>
      </x:c>
      <x:c r="K5954" s="6" t="str">
        <x:f>IF(D5954="","",IF(AND(ISNUMBER(SEARCH("平",D5954)),OR(ISNUMBER(SEARCH("上",D5954)),ISNUMBER(SEARCH("去",D5954)),ISNUMBER(SEARCH("入",D5954)))),"Ambiguous",IF(ISNUMBER(SEARCH("平",D5954)),"平","仄")))</x:f>
        <x:v>平</x:v>
      </x:c>
      <x:c r="L5954" s="7" t="str">
        <x:v>Pingshui main list, Lu Qinli gap fill</x:v>
      </x:c>
    </x:row>
    <x:row r="5955">
      <x:c r="A5955" s="5" t="str">
        <x:v>般</x:v>
      </x:c>
      <x:c r="B5955" s="6" t="str">
        <x:v>平</x:v>
      </x:c>
      <x:c r="C5955" s="6" t="str">
        <x:f>IF(B5955="","Needs decision","Ready")</x:f>
        <x:v>Ready</x:v>
      </x:c>
      <x:c r="D5955" s="6" t="str">
        <x:v>平</x:v>
      </x:c>
      <x:c r="E5955" s="6" t="str"/>
      <x:c r="F5955" s="6" t="str">
        <x:v>上平聲十四寒; 上平聲十五刪</x:v>
      </x:c>
      <x:c r="G5955" s="6" t="str">
        <x:v>Pingshui main list, Wikisource-derived DOCX</x:v>
      </x:c>
      <x:c r="H5955" s="6" t="str"/>
      <x:c r="I5955" s="6" t="str">
        <x:v>Lu Qinli gap fill from Pingshui main list; 詞 entries ignored</x:v>
      </x:c>
      <x:c r="J5955" s="6" t="str">
        <x:f>IF(B5955="","",IF(AND(ISNUMBER(SEARCH("平",B5955)),OR(ISNUMBER(SEARCH("上",B5955)),ISNUMBER(SEARCH("去",B5955)),ISNUMBER(SEARCH("入",B5955)))),"Ambiguous",IF(ISNUMBER(SEARCH("平",B5955)),"平","仄")))</x:f>
        <x:v>平</x:v>
      </x:c>
      <x:c r="K5955" s="6" t="str">
        <x:f>IF(D5955="","",IF(AND(ISNUMBER(SEARCH("平",D5955)),OR(ISNUMBER(SEARCH("上",D5955)),ISNUMBER(SEARCH("去",D5955)),ISNUMBER(SEARCH("入",D5955)))),"Ambiguous",IF(ISNUMBER(SEARCH("平",D5955)),"平","仄")))</x:f>
        <x:v>平</x:v>
      </x:c>
      <x:c r="L5955" s="7" t="str">
        <x:v>Pingshui main list, Lu Qinli gap fill</x:v>
      </x:c>
    </x:row>
    <x:row r="5956">
      <x:c r="A5956" s="5" t="str">
        <x:v>舲</x:v>
      </x:c>
      <x:c r="B5956" s="6" t="str">
        <x:v>平</x:v>
      </x:c>
      <x:c r="C5956" s="6" t="str">
        <x:f>IF(B5956="","Needs decision","Ready")</x:f>
        <x:v>Ready</x:v>
      </x:c>
      <x:c r="D5956" s="6" t="str">
        <x:v>平</x:v>
      </x:c>
      <x:c r="E5956" s="6" t="str"/>
      <x:c r="F5956" s="6" t="str">
        <x:v>下平聲九青</x:v>
      </x:c>
      <x:c r="G5956" s="6" t="str">
        <x:v>Pingshui main list, Wikisource-derived DOCX</x:v>
      </x:c>
      <x:c r="H5956" s="6" t="str"/>
      <x:c r="I5956" s="6" t="str">
        <x:v>Lu Qinli gap fill from Pingshui main list; 詞 entries ignored</x:v>
      </x:c>
      <x:c r="J5956" s="6" t="str">
        <x:f>IF(B5956="","",IF(AND(ISNUMBER(SEARCH("平",B5956)),OR(ISNUMBER(SEARCH("上",B5956)),ISNUMBER(SEARCH("去",B5956)),ISNUMBER(SEARCH("入",B5956)))),"Ambiguous",IF(ISNUMBER(SEARCH("平",B5956)),"平","仄")))</x:f>
        <x:v>平</x:v>
      </x:c>
      <x:c r="K5956" s="6" t="str">
        <x:f>IF(D5956="","",IF(AND(ISNUMBER(SEARCH("平",D5956)),OR(ISNUMBER(SEARCH("上",D5956)),ISNUMBER(SEARCH("去",D5956)),ISNUMBER(SEARCH("入",D5956)))),"Ambiguous",IF(ISNUMBER(SEARCH("平",D5956)),"平","仄")))</x:f>
        <x:v>平</x:v>
      </x:c>
      <x:c r="L5956" s="7" t="str">
        <x:v>Pingshui main list, Lu Qinli gap fill</x:v>
      </x:c>
    </x:row>
    <x:row r="5957">
      <x:c r="A5957" s="5" t="str">
        <x:v>舳</x:v>
      </x:c>
      <x:c r="B5957" s="6" t="str">
        <x:v>入</x:v>
      </x:c>
      <x:c r="C5957" s="6" t="str">
        <x:f>IF(B5957="","Needs decision","Ready")</x:f>
        <x:v>Ready</x:v>
      </x:c>
      <x:c r="D5957" s="6" t="str">
        <x:v>入</x:v>
      </x:c>
      <x:c r="E5957" s="6" t="str"/>
      <x:c r="F5957" s="6" t="str">
        <x:v>入聲一屋</x:v>
      </x:c>
      <x:c r="G5957" s="6" t="str">
        <x:v>Pingshui main list, Wikisource-derived DOCX</x:v>
      </x:c>
      <x:c r="H5957" s="6" t="str"/>
      <x:c r="I5957" s="6" t="str">
        <x:v>Lu Qinli gap fill from Pingshui main list; 詞 entries ignored</x:v>
      </x:c>
      <x:c r="J5957" s="6" t="str">
        <x:f>IF(B5957="","",IF(AND(ISNUMBER(SEARCH("平",B5957)),OR(ISNUMBER(SEARCH("上",B5957)),ISNUMBER(SEARCH("去",B5957)),ISNUMBER(SEARCH("入",B5957)))),"Ambiguous",IF(ISNUMBER(SEARCH("平",B5957)),"平","仄")))</x:f>
        <x:v>仄</x:v>
      </x:c>
      <x:c r="K5957" s="6" t="str">
        <x:f>IF(D5957="","",IF(AND(ISNUMBER(SEARCH("平",D5957)),OR(ISNUMBER(SEARCH("上",D5957)),ISNUMBER(SEARCH("去",D5957)),ISNUMBER(SEARCH("入",D5957)))),"Ambiguous",IF(ISNUMBER(SEARCH("平",D5957)),"平","仄")))</x:f>
        <x:v>仄</x:v>
      </x:c>
      <x:c r="L5957" s="7" t="str">
        <x:v>Pingshui main list, Lu Qinli gap fill</x:v>
      </x:c>
    </x:row>
    <x:row r="5958">
      <x:c r="A5958" s="5" t="str">
        <x:v>舶</x:v>
      </x:c>
      <x:c r="B5958" s="6" t="str">
        <x:v>入</x:v>
      </x:c>
      <x:c r="C5958" s="6" t="str">
        <x:f>IF(B5958="","Needs decision","Ready")</x:f>
        <x:v>Ready</x:v>
      </x:c>
      <x:c r="D5958" s="6" t="str">
        <x:v>入</x:v>
      </x:c>
      <x:c r="E5958" s="6" t="str"/>
      <x:c r="F5958" s="6" t="str">
        <x:v>入聲十一陌</x:v>
      </x:c>
      <x:c r="G5958" s="6" t="str">
        <x:v>Pingshui main list, Wikisource-derived DOCX</x:v>
      </x:c>
      <x:c r="H5958" s="6" t="str"/>
      <x:c r="I5958" s="6" t="str">
        <x:v>Lu Qinli gap fill from Pingshui main list; 詞 entries ignored</x:v>
      </x:c>
      <x:c r="J5958" s="6" t="str">
        <x:f>IF(B5958="","",IF(AND(ISNUMBER(SEARCH("平",B5958)),OR(ISNUMBER(SEARCH("上",B5958)),ISNUMBER(SEARCH("去",B5958)),ISNUMBER(SEARCH("入",B5958)))),"Ambiguous",IF(ISNUMBER(SEARCH("平",B5958)),"平","仄")))</x:f>
        <x:v>仄</x:v>
      </x:c>
      <x:c r="K5958" s="6" t="str">
        <x:f>IF(D5958="","",IF(AND(ISNUMBER(SEARCH("平",D5958)),OR(ISNUMBER(SEARCH("上",D5958)),ISNUMBER(SEARCH("去",D5958)),ISNUMBER(SEARCH("入",D5958)))),"Ambiguous",IF(ISNUMBER(SEARCH("平",D5958)),"平","仄")))</x:f>
        <x:v>仄</x:v>
      </x:c>
      <x:c r="L5958" s="7" t="str">
        <x:v>Pingshui main list, Lu Qinli gap fill</x:v>
      </x:c>
    </x:row>
    <x:row r="5959">
      <x:c r="A5959" s="5" t="str">
        <x:v>舷</x:v>
      </x:c>
      <x:c r="B5959" s="6" t="str">
        <x:v>平</x:v>
      </x:c>
      <x:c r="C5959" s="6" t="str">
        <x:f>IF(B5959="","Needs decision","Ready")</x:f>
        <x:v>Ready</x:v>
      </x:c>
      <x:c r="D5959" s="6" t="str">
        <x:v>平</x:v>
      </x:c>
      <x:c r="E5959" s="6" t="str"/>
      <x:c r="F5959" s="6" t="str">
        <x:v>下平聲一先</x:v>
      </x:c>
      <x:c r="G5959" s="6" t="str">
        <x:v>Pingshui main list, Wikisource-derived DOCX</x:v>
      </x:c>
      <x:c r="H5959" s="6" t="str"/>
      <x:c r="I5959" s="6" t="str">
        <x:v>Lu Qinli gap fill from Pingshui main list; 詞 entries ignored</x:v>
      </x:c>
      <x:c r="J5959" s="6" t="str">
        <x:f>IF(B5959="","",IF(AND(ISNUMBER(SEARCH("平",B5959)),OR(ISNUMBER(SEARCH("上",B5959)),ISNUMBER(SEARCH("去",B5959)),ISNUMBER(SEARCH("入",B5959)))),"Ambiguous",IF(ISNUMBER(SEARCH("平",B5959)),"平","仄")))</x:f>
        <x:v>平</x:v>
      </x:c>
      <x:c r="K5959" s="6" t="str">
        <x:f>IF(D5959="","",IF(AND(ISNUMBER(SEARCH("平",D5959)),OR(ISNUMBER(SEARCH("上",D5959)),ISNUMBER(SEARCH("去",D5959)),ISNUMBER(SEARCH("入",D5959)))),"Ambiguous",IF(ISNUMBER(SEARCH("平",D5959)),"平","仄")))</x:f>
        <x:v>平</x:v>
      </x:c>
      <x:c r="L5959" s="7" t="str">
        <x:v>Pingshui main list, Lu Qinli gap fill</x:v>
      </x:c>
    </x:row>
    <x:row r="5960">
      <x:c r="A5960" s="5" t="str">
        <x:v>舸</x:v>
      </x:c>
      <x:c r="B5960" s="6" t="str">
        <x:v>上</x:v>
      </x:c>
      <x:c r="C5960" s="6" t="str">
        <x:f>IF(B5960="","Needs decision","Ready")</x:f>
        <x:v>Ready</x:v>
      </x:c>
      <x:c r="D5960" s="6" t="str">
        <x:v>上</x:v>
      </x:c>
      <x:c r="E5960" s="6" t="str"/>
      <x:c r="F5960" s="6" t="str">
        <x:v>上聲二十哿</x:v>
      </x:c>
      <x:c r="G5960" s="6" t="str">
        <x:v>Pingshui main list, Wikisource-derived DOCX</x:v>
      </x:c>
      <x:c r="H5960" s="6" t="str"/>
      <x:c r="I5960" s="6" t="str">
        <x:v>Lu Qinli gap fill from Pingshui main list; 詞 entries ignored</x:v>
      </x:c>
      <x:c r="J5960" s="6" t="str">
        <x:f>IF(B5960="","",IF(AND(ISNUMBER(SEARCH("平",B5960)),OR(ISNUMBER(SEARCH("上",B5960)),ISNUMBER(SEARCH("去",B5960)),ISNUMBER(SEARCH("入",B5960)))),"Ambiguous",IF(ISNUMBER(SEARCH("平",B5960)),"平","仄")))</x:f>
        <x:v>仄</x:v>
      </x:c>
      <x:c r="K5960" s="6" t="str">
        <x:f>IF(D5960="","",IF(AND(ISNUMBER(SEARCH("平",D5960)),OR(ISNUMBER(SEARCH("上",D5960)),ISNUMBER(SEARCH("去",D5960)),ISNUMBER(SEARCH("入",D5960)))),"Ambiguous",IF(ISNUMBER(SEARCH("平",D5960)),"平","仄")))</x:f>
        <x:v>仄</x:v>
      </x:c>
      <x:c r="L5960" s="7" t="str">
        <x:v>Pingshui main list, Lu Qinli gap fill</x:v>
      </x:c>
    </x:row>
    <x:row r="5961">
      <x:c r="A5961" s="5" t="str">
        <x:v>艇</x:v>
      </x:c>
      <x:c r="B5961" s="6" t="str">
        <x:v>上</x:v>
      </x:c>
      <x:c r="C5961" s="6" t="str">
        <x:f>IF(B5961="","Needs decision","Ready")</x:f>
        <x:v>Ready</x:v>
      </x:c>
      <x:c r="D5961" s="6" t="str">
        <x:v>上</x:v>
      </x:c>
      <x:c r="E5961" s="6" t="str"/>
      <x:c r="F5961" s="6" t="str">
        <x:v>上聲二十四迥</x:v>
      </x:c>
      <x:c r="G5961" s="6" t="str">
        <x:v>Pingshui main list, Wikisource-derived DOCX</x:v>
      </x:c>
      <x:c r="H5961" s="6" t="str"/>
      <x:c r="I5961" s="6" t="str">
        <x:v>Lu Qinli gap fill from Pingshui main list; 詞 entries ignored</x:v>
      </x:c>
      <x:c r="J5961" s="6" t="str">
        <x:f>IF(B5961="","",IF(AND(ISNUMBER(SEARCH("平",B5961)),OR(ISNUMBER(SEARCH("上",B5961)),ISNUMBER(SEARCH("去",B5961)),ISNUMBER(SEARCH("入",B5961)))),"Ambiguous",IF(ISNUMBER(SEARCH("平",B5961)),"平","仄")))</x:f>
        <x:v>仄</x:v>
      </x:c>
      <x:c r="K5961" s="6" t="str">
        <x:f>IF(D5961="","",IF(AND(ISNUMBER(SEARCH("平",D5961)),OR(ISNUMBER(SEARCH("上",D5961)),ISNUMBER(SEARCH("去",D5961)),ISNUMBER(SEARCH("入",D5961)))),"Ambiguous",IF(ISNUMBER(SEARCH("平",D5961)),"平","仄")))</x:f>
        <x:v>仄</x:v>
      </x:c>
      <x:c r="L5961" s="7" t="str">
        <x:v>Pingshui main list, Lu Qinli gap fill</x:v>
      </x:c>
    </x:row>
    <x:row r="5962">
      <x:c r="A5962" s="5" t="str">
        <x:v>艎</x:v>
      </x:c>
      <x:c r="B5962" s="6" t="str">
        <x:v>平</x:v>
      </x:c>
      <x:c r="C5962" s="6" t="str">
        <x:f>IF(B5962="","Needs decision","Ready")</x:f>
        <x:v>Ready</x:v>
      </x:c>
      <x:c r="D5962" s="6" t="str">
        <x:v>平</x:v>
      </x:c>
      <x:c r="E5962" s="6" t="str"/>
      <x:c r="F5962" s="6" t="str">
        <x:v>下平聲七陽</x:v>
      </x:c>
      <x:c r="G5962" s="6" t="str">
        <x:v>Pingshui main list, Wikisource-derived DOCX</x:v>
      </x:c>
      <x:c r="H5962" s="6" t="str"/>
      <x:c r="I5962" s="6" t="str">
        <x:v>Lu Qinli gap fill from Pingshui main list; 詞 entries ignored</x:v>
      </x:c>
      <x:c r="J5962" s="6" t="str">
        <x:f>IF(B5962="","",IF(AND(ISNUMBER(SEARCH("平",B5962)),OR(ISNUMBER(SEARCH("上",B5962)),ISNUMBER(SEARCH("去",B5962)),ISNUMBER(SEARCH("入",B5962)))),"Ambiguous",IF(ISNUMBER(SEARCH("平",B5962)),"平","仄")))</x:f>
        <x:v>平</x:v>
      </x:c>
      <x:c r="K5962" s="6" t="str">
        <x:f>IF(D5962="","",IF(AND(ISNUMBER(SEARCH("平",D5962)),OR(ISNUMBER(SEARCH("上",D5962)),ISNUMBER(SEARCH("去",D5962)),ISNUMBER(SEARCH("入",D5962)))),"Ambiguous",IF(ISNUMBER(SEARCH("平",D5962)),"平","仄")))</x:f>
        <x:v>平</x:v>
      </x:c>
      <x:c r="L5962" s="7" t="str">
        <x:v>Pingshui main list, Lu Qinli gap fill</x:v>
      </x:c>
    </x:row>
    <x:row r="5963">
      <x:c r="A5963" s="5" t="str">
        <x:v>艘</x:v>
      </x:c>
      <x:c r="B5963" s="6" t="str">
        <x:v>平</x:v>
      </x:c>
      <x:c r="C5963" s="6" t="str">
        <x:f>IF(B5963="","Needs decision","Ready")</x:f>
        <x:v>Ready</x:v>
      </x:c>
      <x:c r="D5963" s="6" t="str">
        <x:v>平</x:v>
      </x:c>
      <x:c r="E5963" s="6" t="str"/>
      <x:c r="F5963" s="6" t="str">
        <x:v>下平聲四豪</x:v>
      </x:c>
      <x:c r="G5963" s="6" t="str">
        <x:v>Pingshui main list, Wikisource-derived DOCX</x:v>
      </x:c>
      <x:c r="H5963" s="6" t="str"/>
      <x:c r="I5963" s="6" t="str">
        <x:v>Lu Qinli gap fill from Pingshui main list; 詞 entries ignored</x:v>
      </x:c>
      <x:c r="J5963" s="6" t="str">
        <x:f>IF(B5963="","",IF(AND(ISNUMBER(SEARCH("平",B5963)),OR(ISNUMBER(SEARCH("上",B5963)),ISNUMBER(SEARCH("去",B5963)),ISNUMBER(SEARCH("入",B5963)))),"Ambiguous",IF(ISNUMBER(SEARCH("平",B5963)),"平","仄")))</x:f>
        <x:v>平</x:v>
      </x:c>
      <x:c r="K5963" s="6" t="str">
        <x:f>IF(D5963="","",IF(AND(ISNUMBER(SEARCH("平",D5963)),OR(ISNUMBER(SEARCH("上",D5963)),ISNUMBER(SEARCH("去",D5963)),ISNUMBER(SEARCH("入",D5963)))),"Ambiguous",IF(ISNUMBER(SEARCH("平",D5963)),"平","仄")))</x:f>
        <x:v>平</x:v>
      </x:c>
      <x:c r="L5963" s="7" t="str">
        <x:v>Pingshui main list, Lu Qinli gap fill</x:v>
      </x:c>
    </x:row>
    <x:row r="5964">
      <x:c r="A5964" s="5" t="str">
        <x:v>艤</x:v>
      </x:c>
      <x:c r="B5964" s="6" t="str">
        <x:v>上</x:v>
      </x:c>
      <x:c r="C5964" s="6" t="str">
        <x:f>IF(B5964="","Needs decision","Ready")</x:f>
        <x:v>Ready</x:v>
      </x:c>
      <x:c r="D5964" s="6" t="str">
        <x:v>上</x:v>
      </x:c>
      <x:c r="E5964" s="6" t="str"/>
      <x:c r="F5964" s="6" t="str">
        <x:v>上聲四紙</x:v>
      </x:c>
      <x:c r="G5964" s="6" t="str">
        <x:v>Pingshui main list, Wikisource-derived DOCX</x:v>
      </x:c>
      <x:c r="H5964" s="6" t="str"/>
      <x:c r="I5964" s="6" t="str">
        <x:v>Lu Qinli gap fill from Pingshui main list; 詞 entries ignored</x:v>
      </x:c>
      <x:c r="J5964" s="6" t="str">
        <x:f>IF(B5964="","",IF(AND(ISNUMBER(SEARCH("平",B5964)),OR(ISNUMBER(SEARCH("上",B5964)),ISNUMBER(SEARCH("去",B5964)),ISNUMBER(SEARCH("入",B5964)))),"Ambiguous",IF(ISNUMBER(SEARCH("平",B5964)),"平","仄")))</x:f>
        <x:v>仄</x:v>
      </x:c>
      <x:c r="K5964" s="6" t="str">
        <x:f>IF(D5964="","",IF(AND(ISNUMBER(SEARCH("平",D5964)),OR(ISNUMBER(SEARCH("上",D5964)),ISNUMBER(SEARCH("去",D5964)),ISNUMBER(SEARCH("入",D5964)))),"Ambiguous",IF(ISNUMBER(SEARCH("平",D5964)),"平","仄")))</x:f>
        <x:v>仄</x:v>
      </x:c>
      <x:c r="L5964" s="7" t="str">
        <x:v>Pingshui main list, Lu Qinli gap fill</x:v>
      </x:c>
    </x:row>
    <x:row r="5965">
      <x:c r="A5965" s="5" t="str">
        <x:v>艦</x:v>
      </x:c>
      <x:c r="B5965" s="6" t="str">
        <x:v>上</x:v>
      </x:c>
      <x:c r="C5965" s="6" t="str">
        <x:f>IF(B5965="","Needs decision","Ready")</x:f>
        <x:v>Ready</x:v>
      </x:c>
      <x:c r="D5965" s="6" t="str">
        <x:v>上</x:v>
      </x:c>
      <x:c r="E5965" s="6" t="str"/>
      <x:c r="F5965" s="6" t="str">
        <x:v>上聲二十九豏</x:v>
      </x:c>
      <x:c r="G5965" s="6" t="str">
        <x:v>Pingshui main list, Wikisource-derived DOCX</x:v>
      </x:c>
      <x:c r="H5965" s="6" t="str"/>
      <x:c r="I5965" s="6" t="str">
        <x:v>Lu Qinli gap fill from Pingshui main list; 詞 entries ignored</x:v>
      </x:c>
      <x:c r="J5965" s="6" t="str">
        <x:f>IF(B5965="","",IF(AND(ISNUMBER(SEARCH("平",B5965)),OR(ISNUMBER(SEARCH("上",B5965)),ISNUMBER(SEARCH("去",B5965)),ISNUMBER(SEARCH("入",B5965)))),"Ambiguous",IF(ISNUMBER(SEARCH("平",B5965)),"平","仄")))</x:f>
        <x:v>仄</x:v>
      </x:c>
      <x:c r="K5965" s="6" t="str">
        <x:f>IF(D5965="","",IF(AND(ISNUMBER(SEARCH("平",D5965)),OR(ISNUMBER(SEARCH("上",D5965)),ISNUMBER(SEARCH("去",D5965)),ISNUMBER(SEARCH("入",D5965)))),"Ambiguous",IF(ISNUMBER(SEARCH("平",D5965)),"平","仄")))</x:f>
        <x:v>仄</x:v>
      </x:c>
      <x:c r="L5965" s="7" t="str">
        <x:v>Pingshui main list, Lu Qinli gap fill</x:v>
      </x:c>
    </x:row>
    <x:row r="5966">
      <x:c r="A5966" s="5" t="str">
        <x:v>艫</x:v>
      </x:c>
      <x:c r="B5966" s="6" t="str">
        <x:v>平</x:v>
      </x:c>
      <x:c r="C5966" s="6" t="str">
        <x:f>IF(B5966="","Needs decision","Ready")</x:f>
        <x:v>Ready</x:v>
      </x:c>
      <x:c r="D5966" s="6" t="str">
        <x:v>平</x:v>
      </x:c>
      <x:c r="E5966" s="6" t="str"/>
      <x:c r="F5966" s="6" t="str">
        <x:v>上平聲七虞</x:v>
      </x:c>
      <x:c r="G5966" s="6" t="str">
        <x:v>Pingshui main list, Wikisource-derived DOCX</x:v>
      </x:c>
      <x:c r="H5966" s="6" t="str"/>
      <x:c r="I5966" s="6" t="str">
        <x:v>Lu Qinli gap fill from Pingshui main list; 詞 entries ignored</x:v>
      </x:c>
      <x:c r="J5966" s="6" t="str">
        <x:f>IF(B5966="","",IF(AND(ISNUMBER(SEARCH("平",B5966)),OR(ISNUMBER(SEARCH("上",B5966)),ISNUMBER(SEARCH("去",B5966)),ISNUMBER(SEARCH("入",B5966)))),"Ambiguous",IF(ISNUMBER(SEARCH("平",B5966)),"平","仄")))</x:f>
        <x:v>平</x:v>
      </x:c>
      <x:c r="K5966" s="6" t="str">
        <x:f>IF(D5966="","",IF(AND(ISNUMBER(SEARCH("平",D5966)),OR(ISNUMBER(SEARCH("上",D5966)),ISNUMBER(SEARCH("去",D5966)),ISNUMBER(SEARCH("入",D5966)))),"Ambiguous",IF(ISNUMBER(SEARCH("平",D5966)),"平","仄")))</x:f>
        <x:v>平</x:v>
      </x:c>
      <x:c r="L5966" s="7" t="str">
        <x:v>Pingshui main list, Lu Qinli gap fill</x:v>
      </x:c>
    </x:row>
    <x:row r="5967">
      <x:c r="A5967" s="5" t="str">
        <x:v>艮</x:v>
      </x:c>
      <x:c r="B5967" s="6" t="str">
        <x:v>去</x:v>
      </x:c>
      <x:c r="C5967" s="6" t="str">
        <x:f>IF(B5967="","Needs decision","Ready")</x:f>
        <x:v>Ready</x:v>
      </x:c>
      <x:c r="D5967" s="6" t="str">
        <x:v>去</x:v>
      </x:c>
      <x:c r="E5967" s="6" t="str"/>
      <x:c r="F5967" s="6" t="str">
        <x:v>去聲十四願</x:v>
      </x:c>
      <x:c r="G5967" s="6" t="str">
        <x:v>Pingshui main list, Wikisource-derived DOCX</x:v>
      </x:c>
      <x:c r="H5967" s="6" t="str"/>
      <x:c r="I5967" s="6" t="str">
        <x:v>Lu Qinli gap fill from Pingshui main list; 詞 entries ignored</x:v>
      </x:c>
      <x:c r="J5967" s="6" t="str">
        <x:f>IF(B5967="","",IF(AND(ISNUMBER(SEARCH("平",B5967)),OR(ISNUMBER(SEARCH("上",B5967)),ISNUMBER(SEARCH("去",B5967)),ISNUMBER(SEARCH("入",B5967)))),"Ambiguous",IF(ISNUMBER(SEARCH("平",B5967)),"平","仄")))</x:f>
        <x:v>仄</x:v>
      </x:c>
      <x:c r="K5967" s="6" t="str">
        <x:f>IF(D5967="","",IF(AND(ISNUMBER(SEARCH("平",D5967)),OR(ISNUMBER(SEARCH("上",D5967)),ISNUMBER(SEARCH("去",D5967)),ISNUMBER(SEARCH("入",D5967)))),"Ambiguous",IF(ISNUMBER(SEARCH("平",D5967)),"平","仄")))</x:f>
        <x:v>仄</x:v>
      </x:c>
      <x:c r="L5967" s="7" t="str">
        <x:v>Pingshui main list, Lu Qinli gap fill</x:v>
      </x:c>
    </x:row>
    <x:row r="5968">
      <x:c r="A5968" s="5" t="str">
        <x:v>芍</x:v>
      </x:c>
      <x:c r="B5968" s="6" t="str">
        <x:v>入</x:v>
      </x:c>
      <x:c r="C5968" s="6" t="str">
        <x:f>IF(B5968="","Needs decision","Ready")</x:f>
        <x:v>Ready</x:v>
      </x:c>
      <x:c r="D5968" s="6" t="str">
        <x:v>入</x:v>
      </x:c>
      <x:c r="E5968" s="6" t="str"/>
      <x:c r="F5968" s="6" t="str">
        <x:v>入聲十藥</x:v>
      </x:c>
      <x:c r="G5968" s="6" t="str">
        <x:v>Pingshui main list, Wikisource-derived DOCX</x:v>
      </x:c>
      <x:c r="H5968" s="6" t="str"/>
      <x:c r="I5968" s="6" t="str">
        <x:v>Lu Qinli gap fill from Pingshui main list; 詞 entries ignored</x:v>
      </x:c>
      <x:c r="J5968" s="6" t="str">
        <x:f>IF(B5968="","",IF(AND(ISNUMBER(SEARCH("平",B5968)),OR(ISNUMBER(SEARCH("上",B5968)),ISNUMBER(SEARCH("去",B5968)),ISNUMBER(SEARCH("入",B5968)))),"Ambiguous",IF(ISNUMBER(SEARCH("平",B5968)),"平","仄")))</x:f>
        <x:v>仄</x:v>
      </x:c>
      <x:c r="K5968" s="6" t="str">
        <x:f>IF(D5968="","",IF(AND(ISNUMBER(SEARCH("平",D5968)),OR(ISNUMBER(SEARCH("上",D5968)),ISNUMBER(SEARCH("去",D5968)),ISNUMBER(SEARCH("入",D5968)))),"Ambiguous",IF(ISNUMBER(SEARCH("平",D5968)),"平","仄")))</x:f>
        <x:v>仄</x:v>
      </x:c>
      <x:c r="L5968" s="7" t="str">
        <x:v>Pingshui main list, Lu Qinli gap fill</x:v>
      </x:c>
    </x:row>
    <x:row r="5969">
      <x:c r="A5969" s="5" t="str">
        <x:v>芎</x:v>
      </x:c>
      <x:c r="B5969" s="6" t="str">
        <x:v>平</x:v>
      </x:c>
      <x:c r="C5969" s="6" t="str">
        <x:f>IF(B5969="","Needs decision","Ready")</x:f>
        <x:v>Ready</x:v>
      </x:c>
      <x:c r="D5969" s="6" t="str">
        <x:v>平</x:v>
      </x:c>
      <x:c r="E5969" s="6" t="str"/>
      <x:c r="F5969" s="6" t="str">
        <x:v>上平聲一東</x:v>
      </x:c>
      <x:c r="G5969" s="6" t="str">
        <x:v>Pingshui main list, Wikisource-derived DOCX</x:v>
      </x:c>
      <x:c r="H5969" s="6" t="str"/>
      <x:c r="I5969" s="6" t="str">
        <x:v>Lu Qinli gap fill from Pingshui main list; 詞 entries ignored</x:v>
      </x:c>
      <x:c r="J5969" s="6" t="str">
        <x:f>IF(B5969="","",IF(AND(ISNUMBER(SEARCH("平",B5969)),OR(ISNUMBER(SEARCH("上",B5969)),ISNUMBER(SEARCH("去",B5969)),ISNUMBER(SEARCH("入",B5969)))),"Ambiguous",IF(ISNUMBER(SEARCH("平",B5969)),"平","仄")))</x:f>
        <x:v>平</x:v>
      </x:c>
      <x:c r="K5969" s="6" t="str">
        <x:f>IF(D5969="","",IF(AND(ISNUMBER(SEARCH("平",D5969)),OR(ISNUMBER(SEARCH("上",D5969)),ISNUMBER(SEARCH("去",D5969)),ISNUMBER(SEARCH("入",D5969)))),"Ambiguous",IF(ISNUMBER(SEARCH("平",D5969)),"平","仄")))</x:f>
        <x:v>平</x:v>
      </x:c>
      <x:c r="L5969" s="7" t="str">
        <x:v>Pingshui main list, Lu Qinli gap fill</x:v>
      </x:c>
    </x:row>
    <x:row r="5970">
      <x:c r="A5970" s="5" t="str">
        <x:v>芑</x:v>
      </x:c>
      <x:c r="B5970" s="6" t="str">
        <x:v>上</x:v>
      </x:c>
      <x:c r="C5970" s="6" t="str">
        <x:f>IF(B5970="","Needs decision","Ready")</x:f>
        <x:v>Ready</x:v>
      </x:c>
      <x:c r="D5970" s="6" t="str">
        <x:v>上</x:v>
      </x:c>
      <x:c r="E5970" s="6" t="str"/>
      <x:c r="F5970" s="6" t="str">
        <x:v>上聲四紙</x:v>
      </x:c>
      <x:c r="G5970" s="6" t="str">
        <x:v>Pingshui main list, Wikisource-derived DOCX</x:v>
      </x:c>
      <x:c r="H5970" s="6" t="str"/>
      <x:c r="I5970" s="6" t="str">
        <x:v>Lu Qinli gap fill from Pingshui main list; 詞 entries ignored</x:v>
      </x:c>
      <x:c r="J5970" s="6" t="str">
        <x:f>IF(B5970="","",IF(AND(ISNUMBER(SEARCH("平",B5970)),OR(ISNUMBER(SEARCH("上",B5970)),ISNUMBER(SEARCH("去",B5970)),ISNUMBER(SEARCH("入",B5970)))),"Ambiguous",IF(ISNUMBER(SEARCH("平",B5970)),"平","仄")))</x:f>
        <x:v>仄</x:v>
      </x:c>
      <x:c r="K5970" s="6" t="str">
        <x:f>IF(D5970="","",IF(AND(ISNUMBER(SEARCH("平",D5970)),OR(ISNUMBER(SEARCH("上",D5970)),ISNUMBER(SEARCH("去",D5970)),ISNUMBER(SEARCH("入",D5970)))),"Ambiguous",IF(ISNUMBER(SEARCH("平",D5970)),"平","仄")))</x:f>
        <x:v>仄</x:v>
      </x:c>
      <x:c r="L5970" s="7" t="str">
        <x:v>Pingshui main list, Lu Qinli gap fill</x:v>
      </x:c>
    </x:row>
    <x:row r="5971">
      <x:c r="A5971" s="5" t="str">
        <x:v>芡</x:v>
      </x:c>
      <x:c r="B5971" s="6" t="str">
        <x:v>上</x:v>
      </x:c>
      <x:c r="C5971" s="6" t="str">
        <x:f>IF(B5971="","Needs decision","Ready")</x:f>
        <x:v>Ready</x:v>
      </x:c>
      <x:c r="D5971" s="6" t="str">
        <x:v>上</x:v>
      </x:c>
      <x:c r="E5971" s="6" t="str"/>
      <x:c r="F5971" s="6" t="str">
        <x:v>上聲二十八琰</x:v>
      </x:c>
      <x:c r="G5971" s="6" t="str">
        <x:v>Pingshui main list, Wikisource-derived DOCX</x:v>
      </x:c>
      <x:c r="H5971" s="6" t="str"/>
      <x:c r="I5971" s="6" t="str">
        <x:v>Lu Qinli gap fill from Pingshui main list; 詞 entries ignored</x:v>
      </x:c>
      <x:c r="J5971" s="6" t="str">
        <x:f>IF(B5971="","",IF(AND(ISNUMBER(SEARCH("平",B5971)),OR(ISNUMBER(SEARCH("上",B5971)),ISNUMBER(SEARCH("去",B5971)),ISNUMBER(SEARCH("入",B5971)))),"Ambiguous",IF(ISNUMBER(SEARCH("平",B5971)),"平","仄")))</x:f>
        <x:v>仄</x:v>
      </x:c>
      <x:c r="K5971" s="6" t="str">
        <x:f>IF(D5971="","",IF(AND(ISNUMBER(SEARCH("平",D5971)),OR(ISNUMBER(SEARCH("上",D5971)),ISNUMBER(SEARCH("去",D5971)),ISNUMBER(SEARCH("入",D5971)))),"Ambiguous",IF(ISNUMBER(SEARCH("平",D5971)),"平","仄")))</x:f>
        <x:v>仄</x:v>
      </x:c>
      <x:c r="L5971" s="7" t="str">
        <x:v>Pingshui main list, Lu Qinli gap fill</x:v>
      </x:c>
    </x:row>
    <x:row r="5972">
      <x:c r="A5972" s="5" t="str">
        <x:v>芮</x:v>
      </x:c>
      <x:c r="B5972" s="6" t="str">
        <x:v>去</x:v>
      </x:c>
      <x:c r="C5972" s="6" t="str">
        <x:f>IF(B5972="","Needs decision","Ready")</x:f>
        <x:v>Ready</x:v>
      </x:c>
      <x:c r="D5972" s="6" t="str">
        <x:v>去</x:v>
      </x:c>
      <x:c r="E5972" s="6" t="str"/>
      <x:c r="F5972" s="6" t="str">
        <x:v>去聲八霽</x:v>
      </x:c>
      <x:c r="G5972" s="6" t="str">
        <x:v>Pingshui main list, Wikisource-derived DOCX</x:v>
      </x:c>
      <x:c r="H5972" s="6" t="str"/>
      <x:c r="I5972" s="6" t="str">
        <x:v>Lu Qinli gap fill from Pingshui main list; 詞 entries ignored</x:v>
      </x:c>
      <x:c r="J5972" s="6" t="str">
        <x:f>IF(B5972="","",IF(AND(ISNUMBER(SEARCH("平",B5972)),OR(ISNUMBER(SEARCH("上",B5972)),ISNUMBER(SEARCH("去",B5972)),ISNUMBER(SEARCH("入",B5972)))),"Ambiguous",IF(ISNUMBER(SEARCH("平",B5972)),"平","仄")))</x:f>
        <x:v>仄</x:v>
      </x:c>
      <x:c r="K5972" s="6" t="str">
        <x:f>IF(D5972="","",IF(AND(ISNUMBER(SEARCH("平",D5972)),OR(ISNUMBER(SEARCH("上",D5972)),ISNUMBER(SEARCH("去",D5972)),ISNUMBER(SEARCH("入",D5972)))),"Ambiguous",IF(ISNUMBER(SEARCH("平",D5972)),"平","仄")))</x:f>
        <x:v>仄</x:v>
      </x:c>
      <x:c r="L5972" s="7" t="str">
        <x:v>Pingshui main list, Lu Qinli gap fill</x:v>
      </x:c>
    </x:row>
    <x:row r="5973">
      <x:c r="A5973" s="5" t="str">
        <x:v>芷</x:v>
      </x:c>
      <x:c r="B5973" s="6" t="str">
        <x:v>上</x:v>
      </x:c>
      <x:c r="C5973" s="6" t="str">
        <x:f>IF(B5973="","Needs decision","Ready")</x:f>
        <x:v>Ready</x:v>
      </x:c>
      <x:c r="D5973" s="6" t="str">
        <x:v>上</x:v>
      </x:c>
      <x:c r="E5973" s="6" t="str"/>
      <x:c r="F5973" s="6" t="str">
        <x:v>上聲四紙</x:v>
      </x:c>
      <x:c r="G5973" s="6" t="str">
        <x:v>Pingshui main list, Wikisource-derived DOCX</x:v>
      </x:c>
      <x:c r="H5973" s="6" t="str"/>
      <x:c r="I5973" s="6" t="str">
        <x:v>Lu Qinli gap fill from Pingshui main list; 詞 entries ignored</x:v>
      </x:c>
      <x:c r="J5973" s="6" t="str">
        <x:f>IF(B5973="","",IF(AND(ISNUMBER(SEARCH("平",B5973)),OR(ISNUMBER(SEARCH("上",B5973)),ISNUMBER(SEARCH("去",B5973)),ISNUMBER(SEARCH("入",B5973)))),"Ambiguous",IF(ISNUMBER(SEARCH("平",B5973)),"平","仄")))</x:f>
        <x:v>仄</x:v>
      </x:c>
      <x:c r="K5973" s="6" t="str">
        <x:f>IF(D5973="","",IF(AND(ISNUMBER(SEARCH("平",D5973)),OR(ISNUMBER(SEARCH("上",D5973)),ISNUMBER(SEARCH("去",D5973)),ISNUMBER(SEARCH("入",D5973)))),"Ambiguous",IF(ISNUMBER(SEARCH("平",D5973)),"平","仄")))</x:f>
        <x:v>仄</x:v>
      </x:c>
      <x:c r="L5973" s="7" t="str">
        <x:v>Pingshui main list, Lu Qinli gap fill</x:v>
      </x:c>
    </x:row>
    <x:row r="5974">
      <x:c r="A5974" s="5" t="str">
        <x:v>芾</x:v>
      </x:c>
      <x:c r="B5974" s="6" t="str">
        <x:v>去</x:v>
      </x:c>
      <x:c r="C5974" s="6" t="str">
        <x:f>IF(B5974="","Needs decision","Ready")</x:f>
        <x:v>Ready</x:v>
      </x:c>
      <x:c r="D5974" s="6" t="str">
        <x:v>去</x:v>
      </x:c>
      <x:c r="E5974" s="6" t="str"/>
      <x:c r="F5974" s="6" t="str">
        <x:v>去聲五未</x:v>
      </x:c>
      <x:c r="G5974" s="6" t="str">
        <x:v>Pingshui main list, Wikisource-derived DOCX</x:v>
      </x:c>
      <x:c r="H5974" s="6" t="str"/>
      <x:c r="I5974" s="6" t="str">
        <x:v>Lu Qinli gap fill from Pingshui main list; 詞 entries ignored</x:v>
      </x:c>
      <x:c r="J5974" s="6" t="str">
        <x:f>IF(B5974="","",IF(AND(ISNUMBER(SEARCH("平",B5974)),OR(ISNUMBER(SEARCH("上",B5974)),ISNUMBER(SEARCH("去",B5974)),ISNUMBER(SEARCH("入",B5974)))),"Ambiguous",IF(ISNUMBER(SEARCH("平",B5974)),"平","仄")))</x:f>
        <x:v>仄</x:v>
      </x:c>
      <x:c r="K5974" s="6" t="str">
        <x:f>IF(D5974="","",IF(AND(ISNUMBER(SEARCH("平",D5974)),OR(ISNUMBER(SEARCH("上",D5974)),ISNUMBER(SEARCH("去",D5974)),ISNUMBER(SEARCH("入",D5974)))),"Ambiguous",IF(ISNUMBER(SEARCH("平",D5974)),"平","仄")))</x:f>
        <x:v>仄</x:v>
      </x:c>
      <x:c r="L5974" s="7" t="str">
        <x:v>Pingshui main list, Lu Qinli gap fill</x:v>
      </x:c>
    </x:row>
    <x:row r="5975">
      <x:c r="A5975" s="5" t="str">
        <x:v>苓</x:v>
      </x:c>
      <x:c r="B5975" s="6" t="str">
        <x:v>平</x:v>
      </x:c>
      <x:c r="C5975" s="6" t="str">
        <x:f>IF(B5975="","Needs decision","Ready")</x:f>
        <x:v>Ready</x:v>
      </x:c>
      <x:c r="D5975" s="6" t="str">
        <x:v>平</x:v>
      </x:c>
      <x:c r="E5975" s="6" t="str"/>
      <x:c r="F5975" s="6" t="str">
        <x:v>下平聲九青</x:v>
      </x:c>
      <x:c r="G5975" s="6" t="str">
        <x:v>Pingshui main list, Wikisource-derived DOCX</x:v>
      </x:c>
      <x:c r="H5975" s="6" t="str"/>
      <x:c r="I5975" s="6" t="str">
        <x:v>Lu Qinli gap fill from Pingshui main list; 詞 entries ignored</x:v>
      </x:c>
      <x:c r="J5975" s="6" t="str">
        <x:f>IF(B5975="","",IF(AND(ISNUMBER(SEARCH("平",B5975)),OR(ISNUMBER(SEARCH("上",B5975)),ISNUMBER(SEARCH("去",B5975)),ISNUMBER(SEARCH("入",B5975)))),"Ambiguous",IF(ISNUMBER(SEARCH("平",B5975)),"平","仄")))</x:f>
        <x:v>平</x:v>
      </x:c>
      <x:c r="K5975" s="6" t="str">
        <x:f>IF(D5975="","",IF(AND(ISNUMBER(SEARCH("平",D5975)),OR(ISNUMBER(SEARCH("上",D5975)),ISNUMBER(SEARCH("去",D5975)),ISNUMBER(SEARCH("入",D5975)))),"Ambiguous",IF(ISNUMBER(SEARCH("平",D5975)),"平","仄")))</x:f>
        <x:v>平</x:v>
      </x:c>
      <x:c r="L5975" s="7" t="str">
        <x:v>Pingshui main list, Lu Qinli gap fill</x:v>
      </x:c>
    </x:row>
    <x:row r="5976">
      <x:c r="A5976" s="5" t="str">
        <x:v>苛</x:v>
      </x:c>
      <x:c r="B5976" s="6" t="str">
        <x:v>平</x:v>
      </x:c>
      <x:c r="C5976" s="6" t="str">
        <x:f>IF(B5976="","Needs decision","Ready")</x:f>
        <x:v>Ready</x:v>
      </x:c>
      <x:c r="D5976" s="6" t="str">
        <x:v>平</x:v>
      </x:c>
      <x:c r="E5976" s="6" t="str"/>
      <x:c r="F5976" s="6" t="str">
        <x:v>下平聲五歌</x:v>
      </x:c>
      <x:c r="G5976" s="6" t="str">
        <x:v>Pingshui main list, Wikisource-derived DOCX</x:v>
      </x:c>
      <x:c r="H5976" s="6" t="str"/>
      <x:c r="I5976" s="6" t="str">
        <x:v>Lu Qinli gap fill from Pingshui main list; 詞 entries ignored</x:v>
      </x:c>
      <x:c r="J5976" s="6" t="str">
        <x:f>IF(B5976="","",IF(AND(ISNUMBER(SEARCH("平",B5976)),OR(ISNUMBER(SEARCH("上",B5976)),ISNUMBER(SEARCH("去",B5976)),ISNUMBER(SEARCH("入",B5976)))),"Ambiguous",IF(ISNUMBER(SEARCH("平",B5976)),"平","仄")))</x:f>
        <x:v>平</x:v>
      </x:c>
      <x:c r="K5976" s="6" t="str">
        <x:f>IF(D5976="","",IF(AND(ISNUMBER(SEARCH("平",D5976)),OR(ISNUMBER(SEARCH("上",D5976)),ISNUMBER(SEARCH("去",D5976)),ISNUMBER(SEARCH("入",D5976)))),"Ambiguous",IF(ISNUMBER(SEARCH("平",D5976)),"平","仄")))</x:f>
        <x:v>平</x:v>
      </x:c>
      <x:c r="L5976" s="7" t="str">
        <x:v>Pingshui main list, Lu Qinli gap fill</x:v>
      </x:c>
    </x:row>
    <x:row r="5977">
      <x:c r="A5977" s="5" t="str">
        <x:v>苜</x:v>
      </x:c>
      <x:c r="B5977" s="6" t="str">
        <x:v>入</x:v>
      </x:c>
      <x:c r="C5977" s="6" t="str">
        <x:f>IF(B5977="","Needs decision","Ready")</x:f>
        <x:v>Ready</x:v>
      </x:c>
      <x:c r="D5977" s="6" t="str">
        <x:v>入</x:v>
      </x:c>
      <x:c r="E5977" s="6" t="str"/>
      <x:c r="F5977" s="6" t="str">
        <x:v>入聲一屋</x:v>
      </x:c>
      <x:c r="G5977" s="6" t="str">
        <x:v>Pingshui main list, Wikisource-derived DOCX</x:v>
      </x:c>
      <x:c r="H5977" s="6" t="str"/>
      <x:c r="I5977" s="6" t="str">
        <x:v>Lu Qinli gap fill from Pingshui main list; 詞 entries ignored</x:v>
      </x:c>
      <x:c r="J5977" s="6" t="str">
        <x:f>IF(B5977="","",IF(AND(ISNUMBER(SEARCH("平",B5977)),OR(ISNUMBER(SEARCH("上",B5977)),ISNUMBER(SEARCH("去",B5977)),ISNUMBER(SEARCH("入",B5977)))),"Ambiguous",IF(ISNUMBER(SEARCH("平",B5977)),"平","仄")))</x:f>
        <x:v>仄</x:v>
      </x:c>
      <x:c r="K5977" s="6" t="str">
        <x:f>IF(D5977="","",IF(AND(ISNUMBER(SEARCH("平",D5977)),OR(ISNUMBER(SEARCH("上",D5977)),ISNUMBER(SEARCH("去",D5977)),ISNUMBER(SEARCH("入",D5977)))),"Ambiguous",IF(ISNUMBER(SEARCH("平",D5977)),"平","仄")))</x:f>
        <x:v>仄</x:v>
      </x:c>
      <x:c r="L5977" s="7" t="str">
        <x:v>Pingshui main list, Lu Qinli gap fill</x:v>
      </x:c>
    </x:row>
    <x:row r="5978">
      <x:c r="A5978" s="5" t="str">
        <x:v>苴</x:v>
      </x:c>
      <x:c r="B5978" s="6" t="str"/>
      <x:c r="C5978" s="6" t="str">
        <x:f>IF(B5978="","Needs decision","Ready")</x:f>
        <x:v>Needs decision</x:v>
      </x:c>
      <x:c r="D5978" s="6" t="str">
        <x:v>平/上</x:v>
      </x:c>
      <x:c r="E5978" s="6" t="str"/>
      <x:c r="F5978" s="6" t="str">
        <x:v>上平聲六魚; 下平聲六麻; 上聲六語</x:v>
      </x:c>
      <x:c r="G5978" s="6" t="str">
        <x:v>Pingshui main list, Wikisource-derived DOCX</x:v>
      </x:c>
      <x:c r="H5978" s="6" t="str"/>
      <x:c r="I5978" s="6" t="str">
        <x:v>Lu Qinli gap fill from Pingshui main list; 詞 entries ignored</x:v>
      </x:c>
      <x:c r="J5978" s="6" t="str">
        <x:f>IF(B5978="","",IF(AND(ISNUMBER(SEARCH("平",B5978)),OR(ISNUMBER(SEARCH("上",B5978)),ISNUMBER(SEARCH("去",B5978)),ISNUMBER(SEARCH("入",B5978)))),"Ambiguous",IF(ISNUMBER(SEARCH("平",B5978)),"平","仄")))</x:f>
      </x:c>
      <x:c r="K5978" s="6" t="str">
        <x:f>IF(D5978="","",IF(AND(ISNUMBER(SEARCH("平",D5978)),OR(ISNUMBER(SEARCH("上",D5978)),ISNUMBER(SEARCH("去",D5978)),ISNUMBER(SEARCH("入",D5978)))),"Ambiguous",IF(ISNUMBER(SEARCH("平",D5978)),"平","仄")))</x:f>
        <x:v>Ambiguous</x:v>
      </x:c>
      <x:c r="L5978" s="7" t="str">
        <x:v>Pingshui main list, Lu Qinli gap fill</x:v>
      </x:c>
    </x:row>
    <x:row r="5979">
      <x:c r="A5979" s="5" t="str">
        <x:v>苻</x:v>
      </x:c>
      <x:c r="B5979" s="6" t="str">
        <x:v>平</x:v>
      </x:c>
      <x:c r="C5979" s="6" t="str">
        <x:f>IF(B5979="","Needs decision","Ready")</x:f>
        <x:v>Ready</x:v>
      </x:c>
      <x:c r="D5979" s="6" t="str">
        <x:v>平</x:v>
      </x:c>
      <x:c r="E5979" s="6" t="str"/>
      <x:c r="F5979" s="6" t="str">
        <x:v>上平聲七虞</x:v>
      </x:c>
      <x:c r="G5979" s="6" t="str">
        <x:v>Pingshui main list, Wikisource-derived DOCX</x:v>
      </x:c>
      <x:c r="H5979" s="6" t="str"/>
      <x:c r="I5979" s="6" t="str">
        <x:v>Lu Qinli gap fill from Pingshui main list; 詞 entries ignored</x:v>
      </x:c>
      <x:c r="J5979" s="6" t="str">
        <x:f>IF(B5979="","",IF(AND(ISNUMBER(SEARCH("平",B5979)),OR(ISNUMBER(SEARCH("上",B5979)),ISNUMBER(SEARCH("去",B5979)),ISNUMBER(SEARCH("入",B5979)))),"Ambiguous",IF(ISNUMBER(SEARCH("平",B5979)),"平","仄")))</x:f>
        <x:v>平</x:v>
      </x:c>
      <x:c r="K5979" s="6" t="str">
        <x:f>IF(D5979="","",IF(AND(ISNUMBER(SEARCH("平",D5979)),OR(ISNUMBER(SEARCH("上",D5979)),ISNUMBER(SEARCH("去",D5979)),ISNUMBER(SEARCH("入",D5979)))),"Ambiguous",IF(ISNUMBER(SEARCH("平",D5979)),"平","仄")))</x:f>
        <x:v>平</x:v>
      </x:c>
      <x:c r="L5979" s="7" t="str">
        <x:v>Pingshui main list, Lu Qinli gap fill</x:v>
      </x:c>
    </x:row>
    <x:row r="5980">
      <x:c r="A5980" s="5" t="str">
        <x:v>茗</x:v>
      </x:c>
      <x:c r="B5980" s="6" t="str">
        <x:v>上</x:v>
      </x:c>
      <x:c r="C5980" s="6" t="str">
        <x:f>IF(B5980="","Needs decision","Ready")</x:f>
        <x:v>Ready</x:v>
      </x:c>
      <x:c r="D5980" s="6" t="str">
        <x:v>上</x:v>
      </x:c>
      <x:c r="E5980" s="6" t="str"/>
      <x:c r="F5980" s="6" t="str">
        <x:v>上聲二十四迥</x:v>
      </x:c>
      <x:c r="G5980" s="6" t="str">
        <x:v>Pingshui main list, Wikisource-derived DOCX</x:v>
      </x:c>
      <x:c r="H5980" s="6" t="str"/>
      <x:c r="I5980" s="6" t="str">
        <x:v>Lu Qinli gap fill from Pingshui main list; 詞 entries ignored</x:v>
      </x:c>
      <x:c r="J5980" s="6" t="str">
        <x:f>IF(B5980="","",IF(AND(ISNUMBER(SEARCH("平",B5980)),OR(ISNUMBER(SEARCH("上",B5980)),ISNUMBER(SEARCH("去",B5980)),ISNUMBER(SEARCH("入",B5980)))),"Ambiguous",IF(ISNUMBER(SEARCH("平",B5980)),"平","仄")))</x:f>
        <x:v>仄</x:v>
      </x:c>
      <x:c r="K5980" s="6" t="str">
        <x:f>IF(D5980="","",IF(AND(ISNUMBER(SEARCH("平",D5980)),OR(ISNUMBER(SEARCH("上",D5980)),ISNUMBER(SEARCH("去",D5980)),ISNUMBER(SEARCH("入",D5980)))),"Ambiguous",IF(ISNUMBER(SEARCH("平",D5980)),"平","仄")))</x:f>
        <x:v>仄</x:v>
      </x:c>
      <x:c r="L5980" s="7" t="str">
        <x:v>Pingshui main list, Lu Qinli gap fill</x:v>
      </x:c>
    </x:row>
    <x:row r="5981">
      <x:c r="A5981" s="5" t="str">
        <x:v>荄</x:v>
      </x:c>
      <x:c r="B5981" s="6" t="str">
        <x:v>平</x:v>
      </x:c>
      <x:c r="C5981" s="6" t="str">
        <x:f>IF(B5981="","Needs decision","Ready")</x:f>
        <x:v>Ready</x:v>
      </x:c>
      <x:c r="D5981" s="6" t="str">
        <x:v>平</x:v>
      </x:c>
      <x:c r="E5981" s="6" t="str"/>
      <x:c r="F5981" s="6" t="str">
        <x:v>上平聲九佳; 上平聲十灰</x:v>
      </x:c>
      <x:c r="G5981" s="6" t="str">
        <x:v>Pingshui main list, Wikisource-derived DOCX</x:v>
      </x:c>
      <x:c r="H5981" s="6" t="str"/>
      <x:c r="I5981" s="6" t="str">
        <x:v>Lu Qinli gap fill from Pingshui main list; 詞 entries ignored</x:v>
      </x:c>
      <x:c r="J5981" s="6" t="str">
        <x:f>IF(B5981="","",IF(AND(ISNUMBER(SEARCH("平",B5981)),OR(ISNUMBER(SEARCH("上",B5981)),ISNUMBER(SEARCH("去",B5981)),ISNUMBER(SEARCH("入",B5981)))),"Ambiguous",IF(ISNUMBER(SEARCH("平",B5981)),"平","仄")))</x:f>
        <x:v>平</x:v>
      </x:c>
      <x:c r="K5981" s="6" t="str">
        <x:f>IF(D5981="","",IF(AND(ISNUMBER(SEARCH("平",D5981)),OR(ISNUMBER(SEARCH("上",D5981)),ISNUMBER(SEARCH("去",D5981)),ISNUMBER(SEARCH("入",D5981)))),"Ambiguous",IF(ISNUMBER(SEARCH("平",D5981)),"平","仄")))</x:f>
        <x:v>平</x:v>
      </x:c>
      <x:c r="L5981" s="7" t="str">
        <x:v>Pingshui main list, Lu Qinli gap fill</x:v>
      </x:c>
    </x:row>
    <x:row r="5982">
      <x:c r="A5982" s="5" t="str">
        <x:v>荈</x:v>
      </x:c>
      <x:c r="B5982" s="6" t="str">
        <x:v>上</x:v>
      </x:c>
      <x:c r="C5982" s="6" t="str">
        <x:f>IF(B5982="","Needs decision","Ready")</x:f>
        <x:v>Ready</x:v>
      </x:c>
      <x:c r="D5982" s="6" t="str">
        <x:v>上</x:v>
      </x:c>
      <x:c r="E5982" s="6" t="str"/>
      <x:c r="F5982" s="6" t="str">
        <x:v>上聲十六銑</x:v>
      </x:c>
      <x:c r="G5982" s="6" t="str">
        <x:v>Pingshui main list, Wikisource-derived DOCX</x:v>
      </x:c>
      <x:c r="H5982" s="6" t="str"/>
      <x:c r="I5982" s="6" t="str">
        <x:v>Lu Qinli gap fill from Pingshui main list; 詞 entries ignored</x:v>
      </x:c>
      <x:c r="J5982" s="6" t="str">
        <x:f>IF(B5982="","",IF(AND(ISNUMBER(SEARCH("平",B5982)),OR(ISNUMBER(SEARCH("上",B5982)),ISNUMBER(SEARCH("去",B5982)),ISNUMBER(SEARCH("入",B5982)))),"Ambiguous",IF(ISNUMBER(SEARCH("平",B5982)),"平","仄")))</x:f>
        <x:v>仄</x:v>
      </x:c>
      <x:c r="K5982" s="6" t="str">
        <x:f>IF(D5982="","",IF(AND(ISNUMBER(SEARCH("平",D5982)),OR(ISNUMBER(SEARCH("上",D5982)),ISNUMBER(SEARCH("去",D5982)),ISNUMBER(SEARCH("入",D5982)))),"Ambiguous",IF(ISNUMBER(SEARCH("平",D5982)),"平","仄")))</x:f>
        <x:v>仄</x:v>
      </x:c>
      <x:c r="L5982" s="7" t="str">
        <x:v>Pingshui main list, Lu Qinli gap fill</x:v>
      </x:c>
    </x:row>
    <x:row r="5983">
      <x:c r="A5983" s="5" t="str">
        <x:v>莎</x:v>
      </x:c>
      <x:c r="B5983" s="6" t="str">
        <x:v>平</x:v>
      </x:c>
      <x:c r="C5983" s="6" t="str">
        <x:f>IF(B5983="","Needs decision","Ready")</x:f>
        <x:v>Ready</x:v>
      </x:c>
      <x:c r="D5983" s="6" t="str">
        <x:v>平</x:v>
      </x:c>
      <x:c r="E5983" s="6" t="str"/>
      <x:c r="F5983" s="6" t="str">
        <x:v>下平聲五歌</x:v>
      </x:c>
      <x:c r="G5983" s="6" t="str">
        <x:v>Pingshui main list, Wikisource-derived DOCX</x:v>
      </x:c>
      <x:c r="H5983" s="6" t="str"/>
      <x:c r="I5983" s="6" t="str">
        <x:v>Lu Qinli gap fill from Pingshui main list; 詞 entries ignored</x:v>
      </x:c>
      <x:c r="J5983" s="6" t="str">
        <x:f>IF(B5983="","",IF(AND(ISNUMBER(SEARCH("平",B5983)),OR(ISNUMBER(SEARCH("上",B5983)),ISNUMBER(SEARCH("去",B5983)),ISNUMBER(SEARCH("入",B5983)))),"Ambiguous",IF(ISNUMBER(SEARCH("平",B5983)),"平","仄")))</x:f>
        <x:v>平</x:v>
      </x:c>
      <x:c r="K5983" s="6" t="str">
        <x:f>IF(D5983="","",IF(AND(ISNUMBER(SEARCH("平",D5983)),OR(ISNUMBER(SEARCH("上",D5983)),ISNUMBER(SEARCH("去",D5983)),ISNUMBER(SEARCH("入",D5983)))),"Ambiguous",IF(ISNUMBER(SEARCH("平",D5983)),"平","仄")))</x:f>
        <x:v>平</x:v>
      </x:c>
      <x:c r="L5983" s="7" t="str">
        <x:v>Pingshui main list, Lu Qinli gap fill</x:v>
      </x:c>
    </x:row>
    <x:row r="5984">
      <x:c r="A5984" s="5" t="str">
        <x:v>莞</x:v>
      </x:c>
      <x:c r="B5984" s="6" t="str"/>
      <x:c r="C5984" s="6" t="str">
        <x:f>IF(B5984="","Needs decision","Ready")</x:f>
        <x:v>Needs decision</x:v>
      </x:c>
      <x:c r="D5984" s="6" t="str">
        <x:v>平/上</x:v>
      </x:c>
      <x:c r="E5984" s="6" t="str"/>
      <x:c r="F5984" s="6" t="str">
        <x:v>上平聲十四寒; 上聲十五潸</x:v>
      </x:c>
      <x:c r="G5984" s="6" t="str">
        <x:v>Pingshui main list, Wikisource-derived DOCX</x:v>
      </x:c>
      <x:c r="H5984" s="6" t="str"/>
      <x:c r="I5984" s="6" t="str">
        <x:v>Lu Qinli gap fill from Pingshui main list; 詞 entries ignored</x:v>
      </x:c>
      <x:c r="J5984" s="6" t="str">
        <x:f>IF(B5984="","",IF(AND(ISNUMBER(SEARCH("平",B5984)),OR(ISNUMBER(SEARCH("上",B5984)),ISNUMBER(SEARCH("去",B5984)),ISNUMBER(SEARCH("入",B5984)))),"Ambiguous",IF(ISNUMBER(SEARCH("平",B5984)),"平","仄")))</x:f>
      </x:c>
      <x:c r="K5984" s="6" t="str">
        <x:f>IF(D5984="","",IF(AND(ISNUMBER(SEARCH("平",D5984)),OR(ISNUMBER(SEARCH("上",D5984)),ISNUMBER(SEARCH("去",D5984)),ISNUMBER(SEARCH("入",D5984)))),"Ambiguous",IF(ISNUMBER(SEARCH("平",D5984)),"平","仄")))</x:f>
        <x:v>Ambiguous</x:v>
      </x:c>
      <x:c r="L5984" s="7" t="str">
        <x:v>Pingshui main list, Lu Qinli gap fill</x:v>
      </x:c>
    </x:row>
    <x:row r="5985">
      <x:c r="A5985" s="5" t="str">
        <x:v>莢</x:v>
      </x:c>
      <x:c r="B5985" s="6" t="str">
        <x:v>入</x:v>
      </x:c>
      <x:c r="C5985" s="6" t="str">
        <x:f>IF(B5985="","Needs decision","Ready")</x:f>
        <x:v>Ready</x:v>
      </x:c>
      <x:c r="D5985" s="6" t="str">
        <x:v>入</x:v>
      </x:c>
      <x:c r="E5985" s="6" t="str"/>
      <x:c r="F5985" s="6" t="str">
        <x:v>入聲十六葉</x:v>
      </x:c>
      <x:c r="G5985" s="6" t="str">
        <x:v>Pingshui main list, Wikisource-derived DOCX</x:v>
      </x:c>
      <x:c r="H5985" s="6" t="str"/>
      <x:c r="I5985" s="6" t="str">
        <x:v>Lu Qinli gap fill from Pingshui main list; 詞 entries ignored</x:v>
      </x:c>
      <x:c r="J5985" s="6" t="str">
        <x:f>IF(B5985="","",IF(AND(ISNUMBER(SEARCH("平",B5985)),OR(ISNUMBER(SEARCH("上",B5985)),ISNUMBER(SEARCH("去",B5985)),ISNUMBER(SEARCH("入",B5985)))),"Ambiguous",IF(ISNUMBER(SEARCH("平",B5985)),"平","仄")))</x:f>
        <x:v>仄</x:v>
      </x:c>
      <x:c r="K5985" s="6" t="str">
        <x:f>IF(D5985="","",IF(AND(ISNUMBER(SEARCH("平",D5985)),OR(ISNUMBER(SEARCH("上",D5985)),ISNUMBER(SEARCH("去",D5985)),ISNUMBER(SEARCH("入",D5985)))),"Ambiguous",IF(ISNUMBER(SEARCH("平",D5985)),"平","仄")))</x:f>
        <x:v>仄</x:v>
      </x:c>
      <x:c r="L5985" s="7" t="str">
        <x:v>Pingshui main list, Lu Qinli gap fill</x:v>
      </x:c>
    </x:row>
    <x:row r="5986">
      <x:c r="A5986" s="5" t="str">
        <x:v>莪</x:v>
      </x:c>
      <x:c r="B5986" s="6" t="str">
        <x:v>平</x:v>
      </x:c>
      <x:c r="C5986" s="6" t="str">
        <x:f>IF(B5986="","Needs decision","Ready")</x:f>
        <x:v>Ready</x:v>
      </x:c>
      <x:c r="D5986" s="6" t="str">
        <x:v>平</x:v>
      </x:c>
      <x:c r="E5986" s="6" t="str"/>
      <x:c r="F5986" s="6" t="str">
        <x:v>下平聲五歌</x:v>
      </x:c>
      <x:c r="G5986" s="6" t="str">
        <x:v>Pingshui main list, Wikisource-derived DOCX</x:v>
      </x:c>
      <x:c r="H5986" s="6" t="str"/>
      <x:c r="I5986" s="6" t="str">
        <x:v>Lu Qinli gap fill from Pingshui main list; 詞 entries ignored</x:v>
      </x:c>
      <x:c r="J5986" s="6" t="str">
        <x:f>IF(B5986="","",IF(AND(ISNUMBER(SEARCH("平",B5986)),OR(ISNUMBER(SEARCH("上",B5986)),ISNUMBER(SEARCH("去",B5986)),ISNUMBER(SEARCH("入",B5986)))),"Ambiguous",IF(ISNUMBER(SEARCH("平",B5986)),"平","仄")))</x:f>
        <x:v>平</x:v>
      </x:c>
      <x:c r="K5986" s="6" t="str">
        <x:f>IF(D5986="","",IF(AND(ISNUMBER(SEARCH("平",D5986)),OR(ISNUMBER(SEARCH("上",D5986)),ISNUMBER(SEARCH("去",D5986)),ISNUMBER(SEARCH("入",D5986)))),"Ambiguous",IF(ISNUMBER(SEARCH("平",D5986)),"平","仄")))</x:f>
        <x:v>平</x:v>
      </x:c>
      <x:c r="L5986" s="7" t="str">
        <x:v>Pingshui main list, Lu Qinli gap fill</x:v>
      </x:c>
    </x:row>
    <x:row r="5987">
      <x:c r="A5987" s="5" t="str">
        <x:v>菀</x:v>
      </x:c>
      <x:c r="B5987" s="6" t="str"/>
      <x:c r="C5987" s="6" t="str">
        <x:f>IF(B5987="","Needs decision","Ready")</x:f>
        <x:v>Needs decision</x:v>
      </x:c>
      <x:c r="D5987" s="6" t="str">
        <x:v>上/入</x:v>
      </x:c>
      <x:c r="E5987" s="6" t="str"/>
      <x:c r="F5987" s="6" t="str">
        <x:v>上聲十三阮; 入聲五物</x:v>
      </x:c>
      <x:c r="G5987" s="6" t="str">
        <x:v>Pingshui main list, Wikisource-derived DOCX</x:v>
      </x:c>
      <x:c r="H5987" s="6" t="str"/>
      <x:c r="I5987" s="6" t="str">
        <x:v>Lu Qinli gap fill from Pingshui main list; 詞 entries ignored</x:v>
      </x:c>
      <x:c r="J5987" s="6" t="str">
        <x:f>IF(B5987="","",IF(AND(ISNUMBER(SEARCH("平",B5987)),OR(ISNUMBER(SEARCH("上",B5987)),ISNUMBER(SEARCH("去",B5987)),ISNUMBER(SEARCH("入",B5987)))),"Ambiguous",IF(ISNUMBER(SEARCH("平",B5987)),"平","仄")))</x:f>
      </x:c>
      <x:c r="K5987" s="6" t="str">
        <x:f>IF(D5987="","",IF(AND(ISNUMBER(SEARCH("平",D5987)),OR(ISNUMBER(SEARCH("上",D5987)),ISNUMBER(SEARCH("去",D5987)),ISNUMBER(SEARCH("入",D5987)))),"Ambiguous",IF(ISNUMBER(SEARCH("平",D5987)),"平","仄")))</x:f>
        <x:v>仄</x:v>
      </x:c>
      <x:c r="L5987" s="7" t="str">
        <x:v>Pingshui main list, Lu Qinli gap fill</x:v>
      </x:c>
    </x:row>
    <x:row r="5988">
      <x:c r="A5988" s="5" t="str">
        <x:v>菁</x:v>
      </x:c>
      <x:c r="B5988" s="6" t="str">
        <x:v>平</x:v>
      </x:c>
      <x:c r="C5988" s="6" t="str">
        <x:f>IF(B5988="","Needs decision","Ready")</x:f>
        <x:v>Ready</x:v>
      </x:c>
      <x:c r="D5988" s="6" t="str">
        <x:v>平</x:v>
      </x:c>
      <x:c r="E5988" s="6" t="str"/>
      <x:c r="F5988" s="6" t="str">
        <x:v>下平聲八庚</x:v>
      </x:c>
      <x:c r="G5988" s="6" t="str">
        <x:v>Pingshui main list, Wikisource-derived DOCX</x:v>
      </x:c>
      <x:c r="H5988" s="6" t="str"/>
      <x:c r="I5988" s="6" t="str">
        <x:v>Lu Qinli gap fill from Pingshui main list; 詞 entries ignored</x:v>
      </x:c>
      <x:c r="J5988" s="6" t="str">
        <x:f>IF(B5988="","",IF(AND(ISNUMBER(SEARCH("平",B5988)),OR(ISNUMBER(SEARCH("上",B5988)),ISNUMBER(SEARCH("去",B5988)),ISNUMBER(SEARCH("入",B5988)))),"Ambiguous",IF(ISNUMBER(SEARCH("平",B5988)),"平","仄")))</x:f>
        <x:v>平</x:v>
      </x:c>
      <x:c r="K5988" s="6" t="str">
        <x:f>IF(D5988="","",IF(AND(ISNUMBER(SEARCH("平",D5988)),OR(ISNUMBER(SEARCH("上",D5988)),ISNUMBER(SEARCH("去",D5988)),ISNUMBER(SEARCH("入",D5988)))),"Ambiguous",IF(ISNUMBER(SEARCH("平",D5988)),"平","仄")))</x:f>
        <x:v>平</x:v>
      </x:c>
      <x:c r="L5988" s="7" t="str">
        <x:v>Pingshui main list, Lu Qinli gap fill</x:v>
      </x:c>
    </x:row>
    <x:row r="5989">
      <x:c r="A5989" s="5" t="str">
        <x:v>菂</x:v>
      </x:c>
      <x:c r="B5989" s="6" t="str">
        <x:v>入</x:v>
      </x:c>
      <x:c r="C5989" s="6" t="str">
        <x:f>IF(B5989="","Needs decision","Ready")</x:f>
        <x:v>Ready</x:v>
      </x:c>
      <x:c r="D5989" s="6" t="str">
        <x:v>入</x:v>
      </x:c>
      <x:c r="E5989" s="6" t="str"/>
      <x:c r="F5989" s="6" t="str">
        <x:v>入聲十二錫</x:v>
      </x:c>
      <x:c r="G5989" s="6" t="str">
        <x:v>Pingshui main list, Wikisource-derived DOCX</x:v>
      </x:c>
      <x:c r="H5989" s="6" t="str"/>
      <x:c r="I5989" s="6" t="str">
        <x:v>Lu Qinli gap fill from Pingshui main list; 詞 entries ignored</x:v>
      </x:c>
      <x:c r="J5989" s="6" t="str">
        <x:f>IF(B5989="","",IF(AND(ISNUMBER(SEARCH("平",B5989)),OR(ISNUMBER(SEARCH("上",B5989)),ISNUMBER(SEARCH("去",B5989)),ISNUMBER(SEARCH("入",B5989)))),"Ambiguous",IF(ISNUMBER(SEARCH("平",B5989)),"平","仄")))</x:f>
        <x:v>仄</x:v>
      </x:c>
      <x:c r="K5989" s="6" t="str">
        <x:f>IF(D5989="","",IF(AND(ISNUMBER(SEARCH("平",D5989)),OR(ISNUMBER(SEARCH("上",D5989)),ISNUMBER(SEARCH("去",D5989)),ISNUMBER(SEARCH("入",D5989)))),"Ambiguous",IF(ISNUMBER(SEARCH("平",D5989)),"平","仄")))</x:f>
        <x:v>仄</x:v>
      </x:c>
      <x:c r="L5989" s="7" t="str">
        <x:v>Pingshui main list, Lu Qinli gap fill</x:v>
      </x:c>
    </x:row>
    <x:row r="5990">
      <x:c r="A5990" s="5" t="str">
        <x:v>菅</x:v>
      </x:c>
      <x:c r="B5990" s="6" t="str">
        <x:v>平</x:v>
      </x:c>
      <x:c r="C5990" s="6" t="str">
        <x:f>IF(B5990="","Needs decision","Ready")</x:f>
        <x:v>Ready</x:v>
      </x:c>
      <x:c r="D5990" s="6" t="str">
        <x:v>平</x:v>
      </x:c>
      <x:c r="E5990" s="6" t="str"/>
      <x:c r="F5990" s="6" t="str">
        <x:v>上平聲十五刪</x:v>
      </x:c>
      <x:c r="G5990" s="6" t="str">
        <x:v>Pingshui main list, Wikisource-derived DOCX</x:v>
      </x:c>
      <x:c r="H5990" s="6" t="str"/>
      <x:c r="I5990" s="6" t="str">
        <x:v>Lu Qinli gap fill from Pingshui main list; 詞 entries ignored</x:v>
      </x:c>
      <x:c r="J5990" s="6" t="str">
        <x:f>IF(B5990="","",IF(AND(ISNUMBER(SEARCH("平",B5990)),OR(ISNUMBER(SEARCH("上",B5990)),ISNUMBER(SEARCH("去",B5990)),ISNUMBER(SEARCH("入",B5990)))),"Ambiguous",IF(ISNUMBER(SEARCH("平",B5990)),"平","仄")))</x:f>
        <x:v>平</x:v>
      </x:c>
      <x:c r="K5990" s="6" t="str">
        <x:f>IF(D5990="","",IF(AND(ISNUMBER(SEARCH("平",D5990)),OR(ISNUMBER(SEARCH("上",D5990)),ISNUMBER(SEARCH("去",D5990)),ISNUMBER(SEARCH("入",D5990)))),"Ambiguous",IF(ISNUMBER(SEARCH("平",D5990)),"平","仄")))</x:f>
        <x:v>平</x:v>
      </x:c>
      <x:c r="L5990" s="7" t="str">
        <x:v>Pingshui main list, Lu Qinli gap fill</x:v>
      </x:c>
    </x:row>
    <x:row r="5991">
      <x:c r="A5991" s="5" t="str">
        <x:v>菆</x:v>
      </x:c>
      <x:c r="B5991" s="6" t="str">
        <x:v>平</x:v>
      </x:c>
      <x:c r="C5991" s="6" t="str">
        <x:f>IF(B5991="","Needs decision","Ready")</x:f>
        <x:v>Ready</x:v>
      </x:c>
      <x:c r="D5991" s="6" t="str">
        <x:v>平</x:v>
      </x:c>
      <x:c r="E5991" s="6" t="str"/>
      <x:c r="F5991" s="6" t="str">
        <x:v>下平聲十一尤</x:v>
      </x:c>
      <x:c r="G5991" s="6" t="str">
        <x:v>Pingshui main list, Wikisource-derived DOCX</x:v>
      </x:c>
      <x:c r="H5991" s="6" t="str"/>
      <x:c r="I5991" s="6" t="str">
        <x:v>Lu Qinli gap fill from Pingshui main list; 詞 entries ignored</x:v>
      </x:c>
      <x:c r="J5991" s="6" t="str">
        <x:f>IF(B5991="","",IF(AND(ISNUMBER(SEARCH("平",B5991)),OR(ISNUMBER(SEARCH("上",B5991)),ISNUMBER(SEARCH("去",B5991)),ISNUMBER(SEARCH("入",B5991)))),"Ambiguous",IF(ISNUMBER(SEARCH("平",B5991)),"平","仄")))</x:f>
        <x:v>平</x:v>
      </x:c>
      <x:c r="K5991" s="6" t="str">
        <x:f>IF(D5991="","",IF(AND(ISNUMBER(SEARCH("平",D5991)),OR(ISNUMBER(SEARCH("上",D5991)),ISNUMBER(SEARCH("去",D5991)),ISNUMBER(SEARCH("入",D5991)))),"Ambiguous",IF(ISNUMBER(SEARCH("平",D5991)),"平","仄")))</x:f>
        <x:v>平</x:v>
      </x:c>
      <x:c r="L5991" s="7" t="str">
        <x:v>Pingshui main list, Lu Qinli gap fill</x:v>
      </x:c>
    </x:row>
    <x:row r="5992">
      <x:c r="A5992" s="5" t="str">
        <x:v>菟</x:v>
      </x:c>
      <x:c r="B5992" s="6" t="str"/>
      <x:c r="C5992" s="6" t="str">
        <x:f>IF(B5992="","Needs decision","Ready")</x:f>
        <x:v>Needs decision</x:v>
      </x:c>
      <x:c r="D5992" s="6" t="str">
        <x:v>平/去</x:v>
      </x:c>
      <x:c r="E5992" s="6" t="str"/>
      <x:c r="F5992" s="6" t="str">
        <x:v>上平聲七虞; 去聲七遇</x:v>
      </x:c>
      <x:c r="G5992" s="6" t="str">
        <x:v>Pingshui main list, Wikisource-derived DOCX</x:v>
      </x:c>
      <x:c r="H5992" s="6" t="str"/>
      <x:c r="I5992" s="6" t="str">
        <x:v>Lu Qinli gap fill from Pingshui main list; 詞 entries ignored</x:v>
      </x:c>
      <x:c r="J5992" s="6" t="str">
        <x:f>IF(B5992="","",IF(AND(ISNUMBER(SEARCH("平",B5992)),OR(ISNUMBER(SEARCH("上",B5992)),ISNUMBER(SEARCH("去",B5992)),ISNUMBER(SEARCH("入",B5992)))),"Ambiguous",IF(ISNUMBER(SEARCH("平",B5992)),"平","仄")))</x:f>
      </x:c>
      <x:c r="K5992" s="6" t="str">
        <x:f>IF(D5992="","",IF(AND(ISNUMBER(SEARCH("平",D5992)),OR(ISNUMBER(SEARCH("上",D5992)),ISNUMBER(SEARCH("去",D5992)),ISNUMBER(SEARCH("入",D5992)))),"Ambiguous",IF(ISNUMBER(SEARCH("平",D5992)),"平","仄")))</x:f>
        <x:v>Ambiguous</x:v>
      </x:c>
      <x:c r="L5992" s="7" t="str">
        <x:v>Pingshui main list, Lu Qinli gap fill</x:v>
      </x:c>
    </x:row>
    <x:row r="5993">
      <x:c r="A5993" s="5" t="str">
        <x:v>菴</x:v>
      </x:c>
      <x:c r="B5993" s="6" t="str">
        <x:v>平</x:v>
      </x:c>
      <x:c r="C5993" s="6" t="str">
        <x:f>IF(B5993="","Needs decision","Ready")</x:f>
        <x:v>Ready</x:v>
      </x:c>
      <x:c r="D5993" s="6" t="str">
        <x:v>平</x:v>
      </x:c>
      <x:c r="E5993" s="6" t="str"/>
      <x:c r="F5993" s="6" t="str">
        <x:v>下平聲十三覃</x:v>
      </x:c>
      <x:c r="G5993" s="6" t="str">
        <x:v>Pingshui main list, Wikisource-derived DOCX</x:v>
      </x:c>
      <x:c r="H5993" s="6" t="str"/>
      <x:c r="I5993" s="6" t="str">
        <x:v>Lu Qinli gap fill from Pingshui main list; 詞 entries ignored</x:v>
      </x:c>
      <x:c r="J5993" s="6" t="str">
        <x:f>IF(B5993="","",IF(AND(ISNUMBER(SEARCH("平",B5993)),OR(ISNUMBER(SEARCH("上",B5993)),ISNUMBER(SEARCH("去",B5993)),ISNUMBER(SEARCH("入",B5993)))),"Ambiguous",IF(ISNUMBER(SEARCH("平",B5993)),"平","仄")))</x:f>
        <x:v>平</x:v>
      </x:c>
      <x:c r="K5993" s="6" t="str">
        <x:f>IF(D5993="","",IF(AND(ISNUMBER(SEARCH("平",D5993)),OR(ISNUMBER(SEARCH("上",D5993)),ISNUMBER(SEARCH("去",D5993)),ISNUMBER(SEARCH("入",D5993)))),"Ambiguous",IF(ISNUMBER(SEARCH("平",D5993)),"平","仄")))</x:f>
        <x:v>平</x:v>
      </x:c>
      <x:c r="L5993" s="7" t="str">
        <x:v>Pingshui main list, Lu Qinli gap fill</x:v>
      </x:c>
    </x:row>
    <x:row r="5994">
      <x:c r="A5994" s="5" t="str">
        <x:v>菹</x:v>
      </x:c>
      <x:c r="B5994" s="6" t="str">
        <x:v>平</x:v>
      </x:c>
      <x:c r="C5994" s="6" t="str">
        <x:f>IF(B5994="","Needs decision","Ready")</x:f>
        <x:v>Ready</x:v>
      </x:c>
      <x:c r="D5994" s="6" t="str">
        <x:v>平</x:v>
      </x:c>
      <x:c r="E5994" s="6" t="str"/>
      <x:c r="F5994" s="6" t="str">
        <x:v>上平聲六魚</x:v>
      </x:c>
      <x:c r="G5994" s="6" t="str">
        <x:v>Pingshui main list, Wikisource-derived DOCX</x:v>
      </x:c>
      <x:c r="H5994" s="6" t="str"/>
      <x:c r="I5994" s="6" t="str">
        <x:v>Lu Qinli gap fill from Pingshui main list; 詞 entries ignored</x:v>
      </x:c>
      <x:c r="J5994" s="6" t="str">
        <x:f>IF(B5994="","",IF(AND(ISNUMBER(SEARCH("平",B5994)),OR(ISNUMBER(SEARCH("上",B5994)),ISNUMBER(SEARCH("去",B5994)),ISNUMBER(SEARCH("入",B5994)))),"Ambiguous",IF(ISNUMBER(SEARCH("平",B5994)),"平","仄")))</x:f>
        <x:v>平</x:v>
      </x:c>
      <x:c r="K5994" s="6" t="str">
        <x:f>IF(D5994="","",IF(AND(ISNUMBER(SEARCH("平",D5994)),OR(ISNUMBER(SEARCH("上",D5994)),ISNUMBER(SEARCH("去",D5994)),ISNUMBER(SEARCH("入",D5994)))),"Ambiguous",IF(ISNUMBER(SEARCH("平",D5994)),"平","仄")))</x:f>
        <x:v>平</x:v>
      </x:c>
      <x:c r="L5994" s="7" t="str">
        <x:v>Pingshui main list, Lu Qinli gap fill</x:v>
      </x:c>
    </x:row>
    <x:row r="5995">
      <x:c r="A5995" s="5" t="str">
        <x:v>菼</x:v>
      </x:c>
      <x:c r="B5995" s="6" t="str">
        <x:v>上</x:v>
      </x:c>
      <x:c r="C5995" s="6" t="str">
        <x:f>IF(B5995="","Needs decision","Ready")</x:f>
        <x:v>Ready</x:v>
      </x:c>
      <x:c r="D5995" s="6" t="str">
        <x:v>上</x:v>
      </x:c>
      <x:c r="E5995" s="6" t="str"/>
      <x:c r="F5995" s="6" t="str">
        <x:v>上聲二十七感</x:v>
      </x:c>
      <x:c r="G5995" s="6" t="str">
        <x:v>Pingshui main list, Wikisource-derived DOCX</x:v>
      </x:c>
      <x:c r="H5995" s="6" t="str"/>
      <x:c r="I5995" s="6" t="str">
        <x:v>Lu Qinli gap fill from Pingshui main list; 詞 entries ignored</x:v>
      </x:c>
      <x:c r="J5995" s="6" t="str">
        <x:f>IF(B5995="","",IF(AND(ISNUMBER(SEARCH("平",B5995)),OR(ISNUMBER(SEARCH("上",B5995)),ISNUMBER(SEARCH("去",B5995)),ISNUMBER(SEARCH("入",B5995)))),"Ambiguous",IF(ISNUMBER(SEARCH("平",B5995)),"平","仄")))</x:f>
        <x:v>仄</x:v>
      </x:c>
      <x:c r="K5995" s="6" t="str">
        <x:f>IF(D5995="","",IF(AND(ISNUMBER(SEARCH("平",D5995)),OR(ISNUMBER(SEARCH("上",D5995)),ISNUMBER(SEARCH("去",D5995)),ISNUMBER(SEARCH("入",D5995)))),"Ambiguous",IF(ISNUMBER(SEARCH("平",D5995)),"平","仄")))</x:f>
        <x:v>仄</x:v>
      </x:c>
      <x:c r="L5995" s="7" t="str">
        <x:v>Pingshui main list, Lu Qinli gap fill</x:v>
      </x:c>
    </x:row>
    <x:row r="5996">
      <x:c r="A5996" s="5" t="str">
        <x:v>萁</x:v>
      </x:c>
      <x:c r="B5996" s="6" t="str">
        <x:v>平</x:v>
      </x:c>
      <x:c r="C5996" s="6" t="str">
        <x:f>IF(B5996="","Needs decision","Ready")</x:f>
        <x:v>Ready</x:v>
      </x:c>
      <x:c r="D5996" s="6" t="str">
        <x:v>平</x:v>
      </x:c>
      <x:c r="E5996" s="6" t="str"/>
      <x:c r="F5996" s="6" t="str">
        <x:v>上平聲四支</x:v>
      </x:c>
      <x:c r="G5996" s="6" t="str">
        <x:v>Pingshui main list, Wikisource-derived DOCX</x:v>
      </x:c>
      <x:c r="H5996" s="6" t="str"/>
      <x:c r="I5996" s="6" t="str">
        <x:v>Lu Qinli gap fill from Pingshui main list; 詞 entries ignored</x:v>
      </x:c>
      <x:c r="J5996" s="6" t="str">
        <x:f>IF(B5996="","",IF(AND(ISNUMBER(SEARCH("平",B5996)),OR(ISNUMBER(SEARCH("上",B5996)),ISNUMBER(SEARCH("去",B5996)),ISNUMBER(SEARCH("入",B5996)))),"Ambiguous",IF(ISNUMBER(SEARCH("平",B5996)),"平","仄")))</x:f>
        <x:v>平</x:v>
      </x:c>
      <x:c r="K5996" s="6" t="str">
        <x:f>IF(D5996="","",IF(AND(ISNUMBER(SEARCH("平",D5996)),OR(ISNUMBER(SEARCH("上",D5996)),ISNUMBER(SEARCH("去",D5996)),ISNUMBER(SEARCH("入",D5996)))),"Ambiguous",IF(ISNUMBER(SEARCH("平",D5996)),"平","仄")))</x:f>
        <x:v>平</x:v>
      </x:c>
      <x:c r="L5996" s="7" t="str">
        <x:v>Pingshui main list, Lu Qinli gap fill</x:v>
      </x:c>
    </x:row>
    <x:row r="5997">
      <x:c r="A5997" s="5" t="str">
        <x:v>萇</x:v>
      </x:c>
      <x:c r="B5997" s="6" t="str">
        <x:v>平</x:v>
      </x:c>
      <x:c r="C5997" s="6" t="str">
        <x:f>IF(B5997="","Needs decision","Ready")</x:f>
        <x:v>Ready</x:v>
      </x:c>
      <x:c r="D5997" s="6" t="str">
        <x:v>平</x:v>
      </x:c>
      <x:c r="E5997" s="6" t="str"/>
      <x:c r="F5997" s="6" t="str">
        <x:v>下平聲七陽</x:v>
      </x:c>
      <x:c r="G5997" s="6" t="str">
        <x:v>Pingshui main list, Wikisource-derived DOCX</x:v>
      </x:c>
      <x:c r="H5997" s="6" t="str"/>
      <x:c r="I5997" s="6" t="str">
        <x:v>Lu Qinli gap fill from Pingshui main list; 詞 entries ignored</x:v>
      </x:c>
      <x:c r="J5997" s="6" t="str">
        <x:f>IF(B5997="","",IF(AND(ISNUMBER(SEARCH("平",B5997)),OR(ISNUMBER(SEARCH("上",B5997)),ISNUMBER(SEARCH("去",B5997)),ISNUMBER(SEARCH("入",B5997)))),"Ambiguous",IF(ISNUMBER(SEARCH("平",B5997)),"平","仄")))</x:f>
        <x:v>平</x:v>
      </x:c>
      <x:c r="K5997" s="6" t="str">
        <x:f>IF(D5997="","",IF(AND(ISNUMBER(SEARCH("平",D5997)),OR(ISNUMBER(SEARCH("上",D5997)),ISNUMBER(SEARCH("去",D5997)),ISNUMBER(SEARCH("入",D5997)))),"Ambiguous",IF(ISNUMBER(SEARCH("平",D5997)),"平","仄")))</x:f>
        <x:v>平</x:v>
      </x:c>
      <x:c r="L5997" s="7" t="str">
        <x:v>Pingshui main list, Lu Qinli gap fill</x:v>
      </x:c>
    </x:row>
    <x:row r="5998">
      <x:c r="A5998" s="5" t="str">
        <x:v>萌</x:v>
      </x:c>
      <x:c r="B5998" s="6" t="str">
        <x:v>平</x:v>
      </x:c>
      <x:c r="C5998" s="6" t="str">
        <x:f>IF(B5998="","Needs decision","Ready")</x:f>
        <x:v>Ready</x:v>
      </x:c>
      <x:c r="D5998" s="6" t="str">
        <x:v>平</x:v>
      </x:c>
      <x:c r="E5998" s="6" t="str"/>
      <x:c r="F5998" s="6" t="str">
        <x:v>下平聲八庚</x:v>
      </x:c>
      <x:c r="G5998" s="6" t="str">
        <x:v>Pingshui main list, Wikisource-derived DOCX</x:v>
      </x:c>
      <x:c r="H5998" s="6" t="str"/>
      <x:c r="I5998" s="6" t="str">
        <x:v>Lu Qinli gap fill from Pingshui main list; 詞 entries ignored</x:v>
      </x:c>
      <x:c r="J5998" s="6" t="str">
        <x:f>IF(B5998="","",IF(AND(ISNUMBER(SEARCH("平",B5998)),OR(ISNUMBER(SEARCH("上",B5998)),ISNUMBER(SEARCH("去",B5998)),ISNUMBER(SEARCH("入",B5998)))),"Ambiguous",IF(ISNUMBER(SEARCH("平",B5998)),"平","仄")))</x:f>
        <x:v>平</x:v>
      </x:c>
      <x:c r="K5998" s="6" t="str">
        <x:f>IF(D5998="","",IF(AND(ISNUMBER(SEARCH("平",D5998)),OR(ISNUMBER(SEARCH("上",D5998)),ISNUMBER(SEARCH("去",D5998)),ISNUMBER(SEARCH("入",D5998)))),"Ambiguous",IF(ISNUMBER(SEARCH("平",D5998)),"平","仄")))</x:f>
        <x:v>平</x:v>
      </x:c>
      <x:c r="L5998" s="7" t="str">
        <x:v>Pingshui main list, Lu Qinli gap fill</x:v>
      </x:c>
    </x:row>
    <x:row r="5999">
      <x:c r="A5999" s="5" t="str">
        <x:v>萎</x:v>
      </x:c>
      <x:c r="B5999" s="6" t="str"/>
      <x:c r="C5999" s="6" t="str">
        <x:f>IF(B5999="","Needs decision","Ready")</x:f>
        <x:v>Needs decision</x:v>
      </x:c>
      <x:c r="D5999" s="6" t="str">
        <x:v>平/去</x:v>
      </x:c>
      <x:c r="E5999" s="6" t="str"/>
      <x:c r="F5999" s="6" t="str">
        <x:v>上平聲四支; 去聲四寘</x:v>
      </x:c>
      <x:c r="G5999" s="6" t="str">
        <x:v>Pingshui main list, Wikisource-derived DOCX</x:v>
      </x:c>
      <x:c r="H5999" s="6" t="str"/>
      <x:c r="I5999" s="6" t="str">
        <x:v>Lu Qinli gap fill from Pingshui main list; 詞 entries ignored</x:v>
      </x:c>
      <x:c r="J5999" s="6" t="str">
        <x:f>IF(B5999="","",IF(AND(ISNUMBER(SEARCH("平",B5999)),OR(ISNUMBER(SEARCH("上",B5999)),ISNUMBER(SEARCH("去",B5999)),ISNUMBER(SEARCH("入",B5999)))),"Ambiguous",IF(ISNUMBER(SEARCH("平",B5999)),"平","仄")))</x:f>
      </x:c>
      <x:c r="K5999" s="6" t="str">
        <x:f>IF(D5999="","",IF(AND(ISNUMBER(SEARCH("平",D5999)),OR(ISNUMBER(SEARCH("上",D5999)),ISNUMBER(SEARCH("去",D5999)),ISNUMBER(SEARCH("入",D5999)))),"Ambiguous",IF(ISNUMBER(SEARCH("平",D5999)),"平","仄")))</x:f>
        <x:v>Ambiguous</x:v>
      </x:c>
      <x:c r="L5999" s="7" t="str">
        <x:v>Pingshui main list, Lu Qinli gap fill</x:v>
      </x:c>
    </x:row>
    <x:row r="6000">
      <x:c r="A6000" s="5" t="str">
        <x:v>萱</x:v>
      </x:c>
      <x:c r="B6000" s="6" t="str">
        <x:v>平</x:v>
      </x:c>
      <x:c r="C6000" s="6" t="str">
        <x:f>IF(B6000="","Needs decision","Ready")</x:f>
        <x:v>Ready</x:v>
      </x:c>
      <x:c r="D6000" s="6" t="str">
        <x:v>平</x:v>
      </x:c>
      <x:c r="E6000" s="6" t="str"/>
      <x:c r="F6000" s="6" t="str">
        <x:v>上平聲十三元</x:v>
      </x:c>
      <x:c r="G6000" s="6" t="str">
        <x:v>Pingshui main list, Wikisource-derived DOCX</x:v>
      </x:c>
      <x:c r="H6000" s="6" t="str"/>
      <x:c r="I6000" s="6" t="str">
        <x:v>Lu Qinli gap fill from Pingshui main list; 詞 entries ignored</x:v>
      </x:c>
      <x:c r="J6000" s="6" t="str">
        <x:f>IF(B6000="","",IF(AND(ISNUMBER(SEARCH("平",B6000)),OR(ISNUMBER(SEARCH("上",B6000)),ISNUMBER(SEARCH("去",B6000)),ISNUMBER(SEARCH("入",B6000)))),"Ambiguous",IF(ISNUMBER(SEARCH("平",B6000)),"平","仄")))</x:f>
        <x:v>平</x:v>
      </x:c>
      <x:c r="K6000" s="6" t="str">
        <x:f>IF(D6000="","",IF(AND(ISNUMBER(SEARCH("平",D6000)),OR(ISNUMBER(SEARCH("上",D6000)),ISNUMBER(SEARCH("去",D6000)),ISNUMBER(SEARCH("入",D6000)))),"Ambiguous",IF(ISNUMBER(SEARCH("平",D6000)),"平","仄")))</x:f>
        <x:v>平</x:v>
      </x:c>
      <x:c r="L6000" s="7" t="str">
        <x:v>Pingshui main list, Lu Qinli gap fill</x:v>
      </x:c>
    </x:row>
    <x:row r="6001">
      <x:c r="A6001" s="5" t="str">
        <x:v>葆</x:v>
      </x:c>
      <x:c r="B6001" s="6" t="str">
        <x:v>上</x:v>
      </x:c>
      <x:c r="C6001" s="6" t="str">
        <x:f>IF(B6001="","Needs decision","Ready")</x:f>
        <x:v>Ready</x:v>
      </x:c>
      <x:c r="D6001" s="6" t="str">
        <x:v>上</x:v>
      </x:c>
      <x:c r="E6001" s="6" t="str"/>
      <x:c r="F6001" s="6" t="str">
        <x:v>上聲十九皓</x:v>
      </x:c>
      <x:c r="G6001" s="6" t="str">
        <x:v>Pingshui main list, Wikisource-derived DOCX</x:v>
      </x:c>
      <x:c r="H6001" s="6" t="str"/>
      <x:c r="I6001" s="6" t="str">
        <x:v>Lu Qinli gap fill from Pingshui main list; 詞 entries ignored</x:v>
      </x:c>
      <x:c r="J6001" s="6" t="str">
        <x:f>IF(B6001="","",IF(AND(ISNUMBER(SEARCH("平",B6001)),OR(ISNUMBER(SEARCH("上",B6001)),ISNUMBER(SEARCH("去",B6001)),ISNUMBER(SEARCH("入",B6001)))),"Ambiguous",IF(ISNUMBER(SEARCH("平",B6001)),"平","仄")))</x:f>
        <x:v>仄</x:v>
      </x:c>
      <x:c r="K6001" s="6" t="str">
        <x:f>IF(D6001="","",IF(AND(ISNUMBER(SEARCH("平",D6001)),OR(ISNUMBER(SEARCH("上",D6001)),ISNUMBER(SEARCH("去",D6001)),ISNUMBER(SEARCH("入",D6001)))),"Ambiguous",IF(ISNUMBER(SEARCH("平",D6001)),"平","仄")))</x:f>
        <x:v>仄</x:v>
      </x:c>
      <x:c r="L6001" s="7" t="str">
        <x:v>Pingshui main list, Lu Qinli gap fill</x:v>
      </x:c>
    </x:row>
    <x:row r="6002">
      <x:c r="A6002" s="5" t="str">
        <x:v>葑</x:v>
      </x:c>
      <x:c r="B6002" s="6" t="str"/>
      <x:c r="C6002" s="6" t="str">
        <x:f>IF(B6002="","Needs decision","Ready")</x:f>
        <x:v>Needs decision</x:v>
      </x:c>
      <x:c r="D6002" s="6" t="str">
        <x:v>平/去</x:v>
      </x:c>
      <x:c r="E6002" s="6" t="str"/>
      <x:c r="F6002" s="6" t="str">
        <x:v>上平聲二冬; 去聲二宋</x:v>
      </x:c>
      <x:c r="G6002" s="6" t="str">
        <x:v>Pingshui main list, Wikisource-derived DOCX</x:v>
      </x:c>
      <x:c r="H6002" s="6" t="str"/>
      <x:c r="I6002" s="6" t="str">
        <x:v>Lu Qinli gap fill from Pingshui main list; 詞 entries ignored</x:v>
      </x:c>
      <x:c r="J6002" s="6" t="str">
        <x:f>IF(B6002="","",IF(AND(ISNUMBER(SEARCH("平",B6002)),OR(ISNUMBER(SEARCH("上",B6002)),ISNUMBER(SEARCH("去",B6002)),ISNUMBER(SEARCH("入",B6002)))),"Ambiguous",IF(ISNUMBER(SEARCH("平",B6002)),"平","仄")))</x:f>
      </x:c>
      <x:c r="K6002" s="6" t="str">
        <x:f>IF(D6002="","",IF(AND(ISNUMBER(SEARCH("平",D6002)),OR(ISNUMBER(SEARCH("上",D6002)),ISNUMBER(SEARCH("去",D6002)),ISNUMBER(SEARCH("入",D6002)))),"Ambiguous",IF(ISNUMBER(SEARCH("平",D6002)),"平","仄")))</x:f>
        <x:v>Ambiguous</x:v>
      </x:c>
      <x:c r="L6002" s="7" t="str">
        <x:v>Pingshui main list, Lu Qinli gap fill</x:v>
      </x:c>
    </x:row>
    <x:row r="6003">
      <x:c r="A6003" s="5" t="str">
        <x:v>葩</x:v>
      </x:c>
      <x:c r="B6003" s="6" t="str">
        <x:v>平</x:v>
      </x:c>
      <x:c r="C6003" s="6" t="str">
        <x:f>IF(B6003="","Needs decision","Ready")</x:f>
        <x:v>Ready</x:v>
      </x:c>
      <x:c r="D6003" s="6" t="str">
        <x:v>平</x:v>
      </x:c>
      <x:c r="E6003" s="6" t="str"/>
      <x:c r="F6003" s="6" t="str">
        <x:v>下平聲六麻</x:v>
      </x:c>
      <x:c r="G6003" s="6" t="str">
        <x:v>Pingshui main list, Wikisource-derived DOCX</x:v>
      </x:c>
      <x:c r="H6003" s="6" t="str"/>
      <x:c r="I6003" s="6" t="str">
        <x:v>Lu Qinli gap fill from Pingshui main list; 詞 entries ignored</x:v>
      </x:c>
      <x:c r="J6003" s="6" t="str">
        <x:f>IF(B6003="","",IF(AND(ISNUMBER(SEARCH("平",B6003)),OR(ISNUMBER(SEARCH("上",B6003)),ISNUMBER(SEARCH("去",B6003)),ISNUMBER(SEARCH("入",B6003)))),"Ambiguous",IF(ISNUMBER(SEARCH("平",B6003)),"平","仄")))</x:f>
        <x:v>平</x:v>
      </x:c>
      <x:c r="K6003" s="6" t="str">
        <x:f>IF(D6003="","",IF(AND(ISNUMBER(SEARCH("平",D6003)),OR(ISNUMBER(SEARCH("上",D6003)),ISNUMBER(SEARCH("去",D6003)),ISNUMBER(SEARCH("入",D6003)))),"Ambiguous",IF(ISNUMBER(SEARCH("平",D6003)),"平","仄")))</x:f>
        <x:v>平</x:v>
      </x:c>
      <x:c r="L6003" s="7" t="str">
        <x:v>Pingshui main list, Lu Qinli gap fill</x:v>
      </x:c>
    </x:row>
    <x:row r="6004">
      <x:c r="A6004" s="5" t="str">
        <x:v>葺</x:v>
      </x:c>
      <x:c r="B6004" s="6" t="str">
        <x:v>入</x:v>
      </x:c>
      <x:c r="C6004" s="6" t="str">
        <x:f>IF(B6004="","Needs decision","Ready")</x:f>
        <x:v>Ready</x:v>
      </x:c>
      <x:c r="D6004" s="6" t="str">
        <x:v>入</x:v>
      </x:c>
      <x:c r="E6004" s="6" t="str"/>
      <x:c r="F6004" s="6" t="str">
        <x:v>入聲十四緝</x:v>
      </x:c>
      <x:c r="G6004" s="6" t="str">
        <x:v>Pingshui main list, Wikisource-derived DOCX</x:v>
      </x:c>
      <x:c r="H6004" s="6" t="str"/>
      <x:c r="I6004" s="6" t="str">
        <x:v>Lu Qinli gap fill from Pingshui main list; 詞 entries ignored</x:v>
      </x:c>
      <x:c r="J6004" s="6" t="str">
        <x:f>IF(B6004="","",IF(AND(ISNUMBER(SEARCH("平",B6004)),OR(ISNUMBER(SEARCH("上",B6004)),ISNUMBER(SEARCH("去",B6004)),ISNUMBER(SEARCH("入",B6004)))),"Ambiguous",IF(ISNUMBER(SEARCH("平",B6004)),"平","仄")))</x:f>
        <x:v>仄</x:v>
      </x:c>
      <x:c r="K6004" s="6" t="str">
        <x:f>IF(D6004="","",IF(AND(ISNUMBER(SEARCH("平",D6004)),OR(ISNUMBER(SEARCH("上",D6004)),ISNUMBER(SEARCH("去",D6004)),ISNUMBER(SEARCH("入",D6004)))),"Ambiguous",IF(ISNUMBER(SEARCH("平",D6004)),"平","仄")))</x:f>
        <x:v>仄</x:v>
      </x:c>
      <x:c r="L6004" s="7" t="str">
        <x:v>Pingshui main list, Lu Qinli gap fill</x:v>
      </x:c>
    </x:row>
    <x:row r="6005">
      <x:c r="A6005" s="5" t="str">
        <x:v>葽</x:v>
      </x:c>
      <x:c r="B6005" s="6" t="str"/>
      <x:c r="C6005" s="6" t="str">
        <x:f>IF(B6005="","Needs decision","Ready")</x:f>
        <x:v>Needs decision</x:v>
      </x:c>
      <x:c r="D6005" s="6" t="str">
        <x:v>平/去</x:v>
      </x:c>
      <x:c r="E6005" s="6" t="str"/>
      <x:c r="F6005" s="6" t="str">
        <x:v>下平聲二蕭; 去聲十八嘯</x:v>
      </x:c>
      <x:c r="G6005" s="6" t="str">
        <x:v>Pingshui main list, Wikisource-derived DOCX</x:v>
      </x:c>
      <x:c r="H6005" s="6" t="str"/>
      <x:c r="I6005" s="6" t="str">
        <x:v>Lu Qinli gap fill from Pingshui main list; 詞 entries ignored</x:v>
      </x:c>
      <x:c r="J6005" s="6" t="str">
        <x:f>IF(B6005="","",IF(AND(ISNUMBER(SEARCH("平",B6005)),OR(ISNUMBER(SEARCH("上",B6005)),ISNUMBER(SEARCH("去",B6005)),ISNUMBER(SEARCH("入",B6005)))),"Ambiguous",IF(ISNUMBER(SEARCH("平",B6005)),"平","仄")))</x:f>
      </x:c>
      <x:c r="K6005" s="6" t="str">
        <x:f>IF(D6005="","",IF(AND(ISNUMBER(SEARCH("平",D6005)),OR(ISNUMBER(SEARCH("上",D6005)),ISNUMBER(SEARCH("去",D6005)),ISNUMBER(SEARCH("入",D6005)))),"Ambiguous",IF(ISNUMBER(SEARCH("平",D6005)),"平","仄")))</x:f>
        <x:v>Ambiguous</x:v>
      </x:c>
      <x:c r="L6005" s="7" t="str">
        <x:v>Pingshui main list, Lu Qinli gap fill</x:v>
      </x:c>
    </x:row>
    <x:row r="6006">
      <x:c r="A6006" s="5" t="str">
        <x:v>蒍</x:v>
      </x:c>
      <x:c r="B6006" s="6" t="str">
        <x:v>上</x:v>
      </x:c>
      <x:c r="C6006" s="6" t="str">
        <x:f>IF(B6006="","Needs decision","Ready")</x:f>
        <x:v>Ready</x:v>
      </x:c>
      <x:c r="D6006" s="6" t="str">
        <x:v>上</x:v>
      </x:c>
      <x:c r="E6006" s="6" t="str"/>
      <x:c r="F6006" s="6" t="str">
        <x:v>上聲四紙</x:v>
      </x:c>
      <x:c r="G6006" s="6" t="str">
        <x:v>Pingshui main list, Wikisource-derived DOCX</x:v>
      </x:c>
      <x:c r="H6006" s="6" t="str"/>
      <x:c r="I6006" s="6" t="str">
        <x:v>Lu Qinli gap fill from Pingshui main list; 詞 entries ignored</x:v>
      </x:c>
      <x:c r="J6006" s="6" t="str">
        <x:f>IF(B6006="","",IF(AND(ISNUMBER(SEARCH("平",B6006)),OR(ISNUMBER(SEARCH("上",B6006)),ISNUMBER(SEARCH("去",B6006)),ISNUMBER(SEARCH("入",B6006)))),"Ambiguous",IF(ISNUMBER(SEARCH("平",B6006)),"平","仄")))</x:f>
        <x:v>仄</x:v>
      </x:c>
      <x:c r="K6006" s="6" t="str">
        <x:f>IF(D6006="","",IF(AND(ISNUMBER(SEARCH("平",D6006)),OR(ISNUMBER(SEARCH("上",D6006)),ISNUMBER(SEARCH("去",D6006)),ISNUMBER(SEARCH("入",D6006)))),"Ambiguous",IF(ISNUMBER(SEARCH("平",D6006)),"平","仄")))</x:f>
        <x:v>仄</x:v>
      </x:c>
      <x:c r="L6006" s="7" t="str">
        <x:v>Pingshui main list, Lu Qinli gap fill</x:v>
      </x:c>
    </x:row>
    <x:row r="6007">
      <x:c r="A6007" s="5" t="str">
        <x:v>蒻</x:v>
      </x:c>
      <x:c r="B6007" s="6" t="str">
        <x:v>入</x:v>
      </x:c>
      <x:c r="C6007" s="6" t="str">
        <x:f>IF(B6007="","Needs decision","Ready")</x:f>
        <x:v>Ready</x:v>
      </x:c>
      <x:c r="D6007" s="6" t="str">
        <x:v>入</x:v>
      </x:c>
      <x:c r="E6007" s="6" t="str"/>
      <x:c r="F6007" s="6" t="str">
        <x:v>入聲十藥</x:v>
      </x:c>
      <x:c r="G6007" s="6" t="str">
        <x:v>Pingshui main list, Wikisource-derived DOCX</x:v>
      </x:c>
      <x:c r="H6007" s="6" t="str"/>
      <x:c r="I6007" s="6" t="str">
        <x:v>Lu Qinli gap fill from Pingshui main list; 詞 entries ignored</x:v>
      </x:c>
      <x:c r="J6007" s="6" t="str">
        <x:f>IF(B6007="","",IF(AND(ISNUMBER(SEARCH("平",B6007)),OR(ISNUMBER(SEARCH("上",B6007)),ISNUMBER(SEARCH("去",B6007)),ISNUMBER(SEARCH("入",B6007)))),"Ambiguous",IF(ISNUMBER(SEARCH("平",B6007)),"平","仄")))</x:f>
        <x:v>仄</x:v>
      </x:c>
      <x:c r="K6007" s="6" t="str">
        <x:f>IF(D6007="","",IF(AND(ISNUMBER(SEARCH("平",D6007)),OR(ISNUMBER(SEARCH("上",D6007)),ISNUMBER(SEARCH("去",D6007)),ISNUMBER(SEARCH("入",D6007)))),"Ambiguous",IF(ISNUMBER(SEARCH("平",D6007)),"平","仄")))</x:f>
        <x:v>仄</x:v>
      </x:c>
      <x:c r="L6007" s="7" t="str">
        <x:v>Pingshui main list, Lu Qinli gap fill</x:v>
      </x:c>
    </x:row>
    <x:row r="6008">
      <x:c r="A6008" s="5" t="str">
        <x:v>蓀</x:v>
      </x:c>
      <x:c r="B6008" s="6" t="str">
        <x:v>平</x:v>
      </x:c>
      <x:c r="C6008" s="6" t="str">
        <x:f>IF(B6008="","Needs decision","Ready")</x:f>
        <x:v>Ready</x:v>
      </x:c>
      <x:c r="D6008" s="6" t="str">
        <x:v>平</x:v>
      </x:c>
      <x:c r="E6008" s="6" t="str"/>
      <x:c r="F6008" s="6" t="str">
        <x:v>上平聲十三元</x:v>
      </x:c>
      <x:c r="G6008" s="6" t="str">
        <x:v>Pingshui main list, Wikisource-derived DOCX</x:v>
      </x:c>
      <x:c r="H6008" s="6" t="str"/>
      <x:c r="I6008" s="6" t="str">
        <x:v>Lu Qinli gap fill from Pingshui main list; 詞 entries ignored</x:v>
      </x:c>
      <x:c r="J6008" s="6" t="str">
        <x:f>IF(B6008="","",IF(AND(ISNUMBER(SEARCH("平",B6008)),OR(ISNUMBER(SEARCH("上",B6008)),ISNUMBER(SEARCH("去",B6008)),ISNUMBER(SEARCH("入",B6008)))),"Ambiguous",IF(ISNUMBER(SEARCH("平",B6008)),"平","仄")))</x:f>
        <x:v>平</x:v>
      </x:c>
      <x:c r="K6008" s="6" t="str">
        <x:f>IF(D6008="","",IF(AND(ISNUMBER(SEARCH("平",D6008)),OR(ISNUMBER(SEARCH("上",D6008)),ISNUMBER(SEARCH("去",D6008)),ISNUMBER(SEARCH("入",D6008)))),"Ambiguous",IF(ISNUMBER(SEARCH("平",D6008)),"平","仄")))</x:f>
        <x:v>平</x:v>
      </x:c>
      <x:c r="L6008" s="7" t="str">
        <x:v>Pingshui main list, Lu Qinli gap fill</x:v>
      </x:c>
    </x:row>
    <x:row r="6009">
      <x:c r="A6009" s="5" t="str">
        <x:v>蓂</x:v>
      </x:c>
      <x:c r="B6009" s="6" t="str">
        <x:v>平</x:v>
      </x:c>
      <x:c r="C6009" s="6" t="str">
        <x:f>IF(B6009="","Needs decision","Ready")</x:f>
        <x:v>Ready</x:v>
      </x:c>
      <x:c r="D6009" s="6" t="str">
        <x:v>平</x:v>
      </x:c>
      <x:c r="E6009" s="6" t="str"/>
      <x:c r="F6009" s="6" t="str">
        <x:v>下平聲九青</x:v>
      </x:c>
      <x:c r="G6009" s="6" t="str">
        <x:v>Pingshui main list, Wikisource-derived DOCX</x:v>
      </x:c>
      <x:c r="H6009" s="6" t="str"/>
      <x:c r="I6009" s="6" t="str">
        <x:v>Lu Qinli gap fill from Pingshui main list; 詞 entries ignored</x:v>
      </x:c>
      <x:c r="J6009" s="6" t="str">
        <x:f>IF(B6009="","",IF(AND(ISNUMBER(SEARCH("平",B6009)),OR(ISNUMBER(SEARCH("上",B6009)),ISNUMBER(SEARCH("去",B6009)),ISNUMBER(SEARCH("入",B6009)))),"Ambiguous",IF(ISNUMBER(SEARCH("平",B6009)),"平","仄")))</x:f>
        <x:v>平</x:v>
      </x:c>
      <x:c r="K6009" s="6" t="str">
        <x:f>IF(D6009="","",IF(AND(ISNUMBER(SEARCH("平",D6009)),OR(ISNUMBER(SEARCH("上",D6009)),ISNUMBER(SEARCH("去",D6009)),ISNUMBER(SEARCH("入",D6009)))),"Ambiguous",IF(ISNUMBER(SEARCH("平",D6009)),"平","仄")))</x:f>
        <x:v>平</x:v>
      </x:c>
      <x:c r="L6009" s="7" t="str">
        <x:v>Pingshui main list, Lu Qinli gap fill</x:v>
      </x:c>
    </x:row>
    <x:row r="6010">
      <x:c r="A6010" s="5" t="str">
        <x:v>蓆</x:v>
      </x:c>
      <x:c r="B6010" s="6" t="str">
        <x:v>入</x:v>
      </x:c>
      <x:c r="C6010" s="6" t="str">
        <x:f>IF(B6010="","Needs decision","Ready")</x:f>
        <x:v>Ready</x:v>
      </x:c>
      <x:c r="D6010" s="6" t="str">
        <x:v>入</x:v>
      </x:c>
      <x:c r="E6010" s="6" t="str"/>
      <x:c r="F6010" s="6" t="str">
        <x:v>入聲十一陌</x:v>
      </x:c>
      <x:c r="G6010" s="6" t="str">
        <x:v>Pingshui main list, Wikisource-derived DOCX</x:v>
      </x:c>
      <x:c r="H6010" s="6" t="str"/>
      <x:c r="I6010" s="6" t="str">
        <x:v>Lu Qinli gap fill from Pingshui main list; 詞 entries ignored</x:v>
      </x:c>
      <x:c r="J6010" s="6" t="str">
        <x:f>IF(B6010="","",IF(AND(ISNUMBER(SEARCH("平",B6010)),OR(ISNUMBER(SEARCH("上",B6010)),ISNUMBER(SEARCH("去",B6010)),ISNUMBER(SEARCH("入",B6010)))),"Ambiguous",IF(ISNUMBER(SEARCH("平",B6010)),"平","仄")))</x:f>
        <x:v>仄</x:v>
      </x:c>
      <x:c r="K6010" s="6" t="str">
        <x:f>IF(D6010="","",IF(AND(ISNUMBER(SEARCH("平",D6010)),OR(ISNUMBER(SEARCH("上",D6010)),ISNUMBER(SEARCH("去",D6010)),ISNUMBER(SEARCH("入",D6010)))),"Ambiguous",IF(ISNUMBER(SEARCH("平",D6010)),"平","仄")))</x:f>
        <x:v>仄</x:v>
      </x:c>
      <x:c r="L6010" s="7" t="str">
        <x:v>Pingshui main list, Lu Qinli gap fill</x:v>
      </x:c>
    </x:row>
    <x:row r="6011">
      <x:c r="A6011" s="5" t="str">
        <x:v>蓏</x:v>
      </x:c>
      <x:c r="B6011" s="6" t="str">
        <x:v>上</x:v>
      </x:c>
      <x:c r="C6011" s="6" t="str">
        <x:f>IF(B6011="","Needs decision","Ready")</x:f>
        <x:v>Ready</x:v>
      </x:c>
      <x:c r="D6011" s="6" t="str">
        <x:v>上</x:v>
      </x:c>
      <x:c r="E6011" s="6" t="str"/>
      <x:c r="F6011" s="6" t="str">
        <x:v>上聲二十哿</x:v>
      </x:c>
      <x:c r="G6011" s="6" t="str">
        <x:v>Pingshui main list, Wikisource-derived DOCX</x:v>
      </x:c>
      <x:c r="H6011" s="6" t="str"/>
      <x:c r="I6011" s="6" t="str">
        <x:v>Lu Qinli gap fill from Pingshui main list; 詞 entries ignored</x:v>
      </x:c>
      <x:c r="J6011" s="6" t="str">
        <x:f>IF(B6011="","",IF(AND(ISNUMBER(SEARCH("平",B6011)),OR(ISNUMBER(SEARCH("上",B6011)),ISNUMBER(SEARCH("去",B6011)),ISNUMBER(SEARCH("入",B6011)))),"Ambiguous",IF(ISNUMBER(SEARCH("平",B6011)),"平","仄")))</x:f>
        <x:v>仄</x:v>
      </x:c>
      <x:c r="K6011" s="6" t="str">
        <x:f>IF(D6011="","",IF(AND(ISNUMBER(SEARCH("平",D6011)),OR(ISNUMBER(SEARCH("上",D6011)),ISNUMBER(SEARCH("去",D6011)),ISNUMBER(SEARCH("入",D6011)))),"Ambiguous",IF(ISNUMBER(SEARCH("平",D6011)),"平","仄")))</x:f>
        <x:v>仄</x:v>
      </x:c>
      <x:c r="L6011" s="7" t="str">
        <x:v>Pingshui main list, Lu Qinli gap fill</x:v>
      </x:c>
    </x:row>
    <x:row r="6012">
      <x:c r="A6012" s="5" t="str">
        <x:v>蓩</x:v>
      </x:c>
      <x:c r="B6012" s="6" t="str">
        <x:v>上</x:v>
      </x:c>
      <x:c r="C6012" s="6" t="str">
        <x:f>IF(B6012="","Needs decision","Ready")</x:f>
        <x:v>Ready</x:v>
      </x:c>
      <x:c r="D6012" s="6" t="str">
        <x:v>上</x:v>
      </x:c>
      <x:c r="E6012" s="6" t="str"/>
      <x:c r="F6012" s="6" t="str">
        <x:v>上聲十九皓</x:v>
      </x:c>
      <x:c r="G6012" s="6" t="str">
        <x:v>Pingshui main list, Wikisource-derived DOCX</x:v>
      </x:c>
      <x:c r="H6012" s="6" t="str"/>
      <x:c r="I6012" s="6" t="str">
        <x:v>Lu Qinli gap fill from Pingshui main list; 詞 entries ignored</x:v>
      </x:c>
      <x:c r="J6012" s="6" t="str">
        <x:f>IF(B6012="","",IF(AND(ISNUMBER(SEARCH("平",B6012)),OR(ISNUMBER(SEARCH("上",B6012)),ISNUMBER(SEARCH("去",B6012)),ISNUMBER(SEARCH("入",B6012)))),"Ambiguous",IF(ISNUMBER(SEARCH("平",B6012)),"平","仄")))</x:f>
        <x:v>仄</x:v>
      </x:c>
      <x:c r="K6012" s="6" t="str">
        <x:f>IF(D6012="","",IF(AND(ISNUMBER(SEARCH("平",D6012)),OR(ISNUMBER(SEARCH("上",D6012)),ISNUMBER(SEARCH("去",D6012)),ISNUMBER(SEARCH("入",D6012)))),"Ambiguous",IF(ISNUMBER(SEARCH("平",D6012)),"平","仄")))</x:f>
        <x:v>仄</x:v>
      </x:c>
      <x:c r="L6012" s="7" t="str">
        <x:v>Pingshui main list, Lu Qinli gap fill</x:v>
      </x:c>
    </x:row>
    <x:row r="6013">
      <x:c r="A6013" s="5" t="str">
        <x:v>蓼</x:v>
      </x:c>
      <x:c r="B6013" s="6" t="str"/>
      <x:c r="C6013" s="6" t="str">
        <x:f>IF(B6013="","Needs decision","Ready")</x:f>
        <x:v>Needs decision</x:v>
      </x:c>
      <x:c r="D6013" s="6" t="str">
        <x:v>上/入</x:v>
      </x:c>
      <x:c r="E6013" s="6" t="str"/>
      <x:c r="F6013" s="6" t="str">
        <x:v>上聲十七篠; 入聲一屋</x:v>
      </x:c>
      <x:c r="G6013" s="6" t="str">
        <x:v>Pingshui main list, Wikisource-derived DOCX</x:v>
      </x:c>
      <x:c r="H6013" s="6" t="str"/>
      <x:c r="I6013" s="6" t="str">
        <x:v>Lu Qinli gap fill from Pingshui main list; 詞 entries ignored</x:v>
      </x:c>
      <x:c r="J6013" s="6" t="str">
        <x:f>IF(B6013="","",IF(AND(ISNUMBER(SEARCH("平",B6013)),OR(ISNUMBER(SEARCH("上",B6013)),ISNUMBER(SEARCH("去",B6013)),ISNUMBER(SEARCH("入",B6013)))),"Ambiguous",IF(ISNUMBER(SEARCH("平",B6013)),"平","仄")))</x:f>
      </x:c>
      <x:c r="K6013" s="6" t="str">
        <x:f>IF(D6013="","",IF(AND(ISNUMBER(SEARCH("平",D6013)),OR(ISNUMBER(SEARCH("上",D6013)),ISNUMBER(SEARCH("去",D6013)),ISNUMBER(SEARCH("入",D6013)))),"Ambiguous",IF(ISNUMBER(SEARCH("平",D6013)),"平","仄")))</x:f>
        <x:v>仄</x:v>
      </x:c>
      <x:c r="L6013" s="7" t="str">
        <x:v>Pingshui main list, Lu Qinli gap fill</x:v>
      </x:c>
    </x:row>
    <x:row r="6014">
      <x:c r="A6014" s="5" t="str">
        <x:v>蓿</x:v>
      </x:c>
      <x:c r="B6014" s="6" t="str">
        <x:v>入</x:v>
      </x:c>
      <x:c r="C6014" s="6" t="str">
        <x:f>IF(B6014="","Needs decision","Ready")</x:f>
        <x:v>Ready</x:v>
      </x:c>
      <x:c r="D6014" s="6" t="str">
        <x:v>入</x:v>
      </x:c>
      <x:c r="E6014" s="6" t="str"/>
      <x:c r="F6014" s="6" t="str">
        <x:v>入聲一屋</x:v>
      </x:c>
      <x:c r="G6014" s="6" t="str">
        <x:v>Pingshui main list, Wikisource-derived DOCX</x:v>
      </x:c>
      <x:c r="H6014" s="6" t="str"/>
      <x:c r="I6014" s="6" t="str">
        <x:v>Lu Qinli gap fill from Pingshui main list; 詞 entries ignored</x:v>
      </x:c>
      <x:c r="J6014" s="6" t="str">
        <x:f>IF(B6014="","",IF(AND(ISNUMBER(SEARCH("平",B6014)),OR(ISNUMBER(SEARCH("上",B6014)),ISNUMBER(SEARCH("去",B6014)),ISNUMBER(SEARCH("入",B6014)))),"Ambiguous",IF(ISNUMBER(SEARCH("平",B6014)),"平","仄")))</x:f>
        <x:v>仄</x:v>
      </x:c>
      <x:c r="K6014" s="6" t="str">
        <x:f>IF(D6014="","",IF(AND(ISNUMBER(SEARCH("平",D6014)),OR(ISNUMBER(SEARCH("上",D6014)),ISNUMBER(SEARCH("去",D6014)),ISNUMBER(SEARCH("入",D6014)))),"Ambiguous",IF(ISNUMBER(SEARCH("平",D6014)),"平","仄")))</x:f>
        <x:v>仄</x:v>
      </x:c>
      <x:c r="L6014" s="7" t="str">
        <x:v>Pingshui main list, Lu Qinli gap fill</x:v>
      </x:c>
    </x:row>
    <x:row r="6015">
      <x:c r="A6015" s="5" t="str">
        <x:v>蔀</x:v>
      </x:c>
      <x:c r="B6015" s="6" t="str">
        <x:v>上</x:v>
      </x:c>
      <x:c r="C6015" s="6" t="str">
        <x:f>IF(B6015="","Needs decision","Ready")</x:f>
        <x:v>Ready</x:v>
      </x:c>
      <x:c r="D6015" s="6" t="str">
        <x:v>上</x:v>
      </x:c>
      <x:c r="E6015" s="6" t="str"/>
      <x:c r="F6015" s="6" t="str">
        <x:v>上聲二十五有</x:v>
      </x:c>
      <x:c r="G6015" s="6" t="str">
        <x:v>Pingshui main list, Wikisource-derived DOCX</x:v>
      </x:c>
      <x:c r="H6015" s="6" t="str"/>
      <x:c r="I6015" s="6" t="str">
        <x:v>Lu Qinli gap fill from Pingshui main list; 詞 entries ignored</x:v>
      </x:c>
      <x:c r="J6015" s="6" t="str">
        <x:f>IF(B6015="","",IF(AND(ISNUMBER(SEARCH("平",B6015)),OR(ISNUMBER(SEARCH("上",B6015)),ISNUMBER(SEARCH("去",B6015)),ISNUMBER(SEARCH("入",B6015)))),"Ambiguous",IF(ISNUMBER(SEARCH("平",B6015)),"平","仄")))</x:f>
        <x:v>仄</x:v>
      </x:c>
      <x:c r="K6015" s="6" t="str">
        <x:f>IF(D6015="","",IF(AND(ISNUMBER(SEARCH("平",D6015)),OR(ISNUMBER(SEARCH("上",D6015)),ISNUMBER(SEARCH("去",D6015)),ISNUMBER(SEARCH("入",D6015)))),"Ambiguous",IF(ISNUMBER(SEARCH("平",D6015)),"平","仄")))</x:f>
        <x:v>仄</x:v>
      </x:c>
      <x:c r="L6015" s="7" t="str">
        <x:v>Pingshui main list, Lu Qinli gap fill</x:v>
      </x:c>
    </x:row>
    <x:row r="6016">
      <x:c r="A6016" s="5" t="str">
        <x:v>蔞</x:v>
      </x:c>
      <x:c r="B6016" s="6" t="str"/>
      <x:c r="C6016" s="6" t="str">
        <x:f>IF(B6016="","Needs decision","Ready")</x:f>
        <x:v>Needs decision</x:v>
      </x:c>
      <x:c r="D6016" s="6" t="str">
        <x:v>平/上</x:v>
      </x:c>
      <x:c r="E6016" s="6" t="str"/>
      <x:c r="F6016" s="6" t="str">
        <x:v>上平聲七虞; 下平聲十一尤; 上聲七麌</x:v>
      </x:c>
      <x:c r="G6016" s="6" t="str">
        <x:v>Pingshui main list, Wikisource-derived DOCX</x:v>
      </x:c>
      <x:c r="H6016" s="6" t="str"/>
      <x:c r="I6016" s="6" t="str">
        <x:v>Lu Qinli gap fill from Pingshui main list; 詞 entries ignored</x:v>
      </x:c>
      <x:c r="J6016" s="6" t="str">
        <x:f>IF(B6016="","",IF(AND(ISNUMBER(SEARCH("平",B6016)),OR(ISNUMBER(SEARCH("上",B6016)),ISNUMBER(SEARCH("去",B6016)),ISNUMBER(SEARCH("入",B6016)))),"Ambiguous",IF(ISNUMBER(SEARCH("平",B6016)),"平","仄")))</x:f>
      </x:c>
      <x:c r="K6016" s="6" t="str">
        <x:f>IF(D6016="","",IF(AND(ISNUMBER(SEARCH("平",D6016)),OR(ISNUMBER(SEARCH("上",D6016)),ISNUMBER(SEARCH("去",D6016)),ISNUMBER(SEARCH("入",D6016)))),"Ambiguous",IF(ISNUMBER(SEARCH("平",D6016)),"平","仄")))</x:f>
        <x:v>Ambiguous</x:v>
      </x:c>
      <x:c r="L6016" s="7" t="str">
        <x:v>Pingshui main list, Lu Qinli gap fill</x:v>
      </x:c>
    </x:row>
    <x:row r="6017">
      <x:c r="A6017" s="5" t="str">
        <x:v>蔣</x:v>
      </x:c>
      <x:c r="B6017" s="6" t="str"/>
      <x:c r="C6017" s="6" t="str">
        <x:f>IF(B6017="","Needs decision","Ready")</x:f>
        <x:v>Needs decision</x:v>
      </x:c>
      <x:c r="D6017" s="6" t="str">
        <x:v>平/上</x:v>
      </x:c>
      <x:c r="E6017" s="6" t="str"/>
      <x:c r="F6017" s="6" t="str">
        <x:v>下平聲七陽; 上聲二十二養</x:v>
      </x:c>
      <x:c r="G6017" s="6" t="str">
        <x:v>Pingshui main list, Wikisource-derived DOCX</x:v>
      </x:c>
      <x:c r="H6017" s="6" t="str"/>
      <x:c r="I6017" s="6" t="str">
        <x:v>Lu Qinli gap fill from Pingshui main list; 詞 entries ignored</x:v>
      </x:c>
      <x:c r="J6017" s="6" t="str">
        <x:f>IF(B6017="","",IF(AND(ISNUMBER(SEARCH("平",B6017)),OR(ISNUMBER(SEARCH("上",B6017)),ISNUMBER(SEARCH("去",B6017)),ISNUMBER(SEARCH("入",B6017)))),"Ambiguous",IF(ISNUMBER(SEARCH("平",B6017)),"平","仄")))</x:f>
      </x:c>
      <x:c r="K6017" s="6" t="str">
        <x:f>IF(D6017="","",IF(AND(ISNUMBER(SEARCH("平",D6017)),OR(ISNUMBER(SEARCH("上",D6017)),ISNUMBER(SEARCH("去",D6017)),ISNUMBER(SEARCH("入",D6017)))),"Ambiguous",IF(ISNUMBER(SEARCH("平",D6017)),"平","仄")))</x:f>
        <x:v>Ambiguous</x:v>
      </x:c>
      <x:c r="L6017" s="7" t="str">
        <x:v>Pingshui main list, Lu Qinli gap fill</x:v>
      </x:c>
    </x:row>
    <x:row r="6018">
      <x:c r="A6018" s="5" t="str">
        <x:v>蔦</x:v>
      </x:c>
      <x:c r="B6018" s="6" t="str">
        <x:v>去</x:v>
      </x:c>
      <x:c r="C6018" s="6" t="str">
        <x:f>IF(B6018="","Needs decision","Ready")</x:f>
        <x:v>Ready</x:v>
      </x:c>
      <x:c r="D6018" s="6" t="str">
        <x:v>去</x:v>
      </x:c>
      <x:c r="E6018" s="6" t="str"/>
      <x:c r="F6018" s="6" t="str">
        <x:v>去聲十八嘯</x:v>
      </x:c>
      <x:c r="G6018" s="6" t="str">
        <x:v>Pingshui main list, Wikisource-derived DOCX</x:v>
      </x:c>
      <x:c r="H6018" s="6" t="str"/>
      <x:c r="I6018" s="6" t="str">
        <x:v>Lu Qinli gap fill from Pingshui main list; 詞 entries ignored</x:v>
      </x:c>
      <x:c r="J6018" s="6" t="str">
        <x:f>IF(B6018="","",IF(AND(ISNUMBER(SEARCH("平",B6018)),OR(ISNUMBER(SEARCH("上",B6018)),ISNUMBER(SEARCH("去",B6018)),ISNUMBER(SEARCH("入",B6018)))),"Ambiguous",IF(ISNUMBER(SEARCH("平",B6018)),"平","仄")))</x:f>
        <x:v>仄</x:v>
      </x:c>
      <x:c r="K6018" s="6" t="str">
        <x:f>IF(D6018="","",IF(AND(ISNUMBER(SEARCH("平",D6018)),OR(ISNUMBER(SEARCH("上",D6018)),ISNUMBER(SEARCH("去",D6018)),ISNUMBER(SEARCH("入",D6018)))),"Ambiguous",IF(ISNUMBER(SEARCH("平",D6018)),"平","仄")))</x:f>
        <x:v>仄</x:v>
      </x:c>
      <x:c r="L6018" s="7" t="str">
        <x:v>Pingshui main list, Lu Qinli gap fill</x:v>
      </x:c>
    </x:row>
    <x:row r="6019">
      <x:c r="A6019" s="5" t="str">
        <x:v>蔪</x:v>
      </x:c>
      <x:c r="B6019" s="6" t="str">
        <x:v>平</x:v>
      </x:c>
      <x:c r="C6019" s="6" t="str">
        <x:f>IF(B6019="","Needs decision","Ready")</x:f>
        <x:v>Ready</x:v>
      </x:c>
      <x:c r="D6019" s="6" t="str">
        <x:v>平</x:v>
      </x:c>
      <x:c r="E6019" s="6" t="str"/>
      <x:c r="F6019" s="6" t="str">
        <x:v>下平聲十四鹽</x:v>
      </x:c>
      <x:c r="G6019" s="6" t="str">
        <x:v>Pingshui main list, Wikisource-derived DOCX</x:v>
      </x:c>
      <x:c r="H6019" s="6" t="str"/>
      <x:c r="I6019" s="6" t="str">
        <x:v>Lu Qinli gap fill from Pingshui main list; 詞 entries ignored</x:v>
      </x:c>
      <x:c r="J6019" s="6" t="str">
        <x:f>IF(B6019="","",IF(AND(ISNUMBER(SEARCH("平",B6019)),OR(ISNUMBER(SEARCH("上",B6019)),ISNUMBER(SEARCH("去",B6019)),ISNUMBER(SEARCH("入",B6019)))),"Ambiguous",IF(ISNUMBER(SEARCH("平",B6019)),"平","仄")))</x:f>
        <x:v>平</x:v>
      </x:c>
      <x:c r="K6019" s="6" t="str">
        <x:f>IF(D6019="","",IF(AND(ISNUMBER(SEARCH("平",D6019)),OR(ISNUMBER(SEARCH("上",D6019)),ISNUMBER(SEARCH("去",D6019)),ISNUMBER(SEARCH("入",D6019)))),"Ambiguous",IF(ISNUMBER(SEARCH("平",D6019)),"平","仄")))</x:f>
        <x:v>平</x:v>
      </x:c>
      <x:c r="L6019" s="7" t="str">
        <x:v>Pingshui main list, Lu Qinli gap fill</x:v>
      </x:c>
    </x:row>
    <x:row r="6020">
      <x:c r="A6020" s="5" t="str">
        <x:v>蕕</x:v>
      </x:c>
      <x:c r="B6020" s="6" t="str">
        <x:v>平</x:v>
      </x:c>
      <x:c r="C6020" s="6" t="str">
        <x:f>IF(B6020="","Needs decision","Ready")</x:f>
        <x:v>Ready</x:v>
      </x:c>
      <x:c r="D6020" s="6" t="str">
        <x:v>平</x:v>
      </x:c>
      <x:c r="E6020" s="6" t="str"/>
      <x:c r="F6020" s="6" t="str">
        <x:v>下平聲十一尤</x:v>
      </x:c>
      <x:c r="G6020" s="6" t="str">
        <x:v>Pingshui main list, Wikisource-derived DOCX</x:v>
      </x:c>
      <x:c r="H6020" s="6" t="str"/>
      <x:c r="I6020" s="6" t="str">
        <x:v>Lu Qinli gap fill from Pingshui main list; 詞 entries ignored</x:v>
      </x:c>
      <x:c r="J6020" s="6" t="str">
        <x:f>IF(B6020="","",IF(AND(ISNUMBER(SEARCH("平",B6020)),OR(ISNUMBER(SEARCH("上",B6020)),ISNUMBER(SEARCH("去",B6020)),ISNUMBER(SEARCH("入",B6020)))),"Ambiguous",IF(ISNUMBER(SEARCH("平",B6020)),"平","仄")))</x:f>
        <x:v>平</x:v>
      </x:c>
      <x:c r="K6020" s="6" t="str">
        <x:f>IF(D6020="","",IF(AND(ISNUMBER(SEARCH("平",D6020)),OR(ISNUMBER(SEARCH("上",D6020)),ISNUMBER(SEARCH("去",D6020)),ISNUMBER(SEARCH("入",D6020)))),"Ambiguous",IF(ISNUMBER(SEARCH("平",D6020)),"平","仄")))</x:f>
        <x:v>平</x:v>
      </x:c>
      <x:c r="L6020" s="7" t="str">
        <x:v>Pingshui main list, Lu Qinli gap fill</x:v>
      </x:c>
    </x:row>
    <x:row r="6021">
      <x:c r="A6021" s="5" t="str">
        <x:v>蕖</x:v>
      </x:c>
      <x:c r="B6021" s="6" t="str">
        <x:v>平</x:v>
      </x:c>
      <x:c r="C6021" s="6" t="str">
        <x:f>IF(B6021="","Needs decision","Ready")</x:f>
        <x:v>Ready</x:v>
      </x:c>
      <x:c r="D6021" s="6" t="str">
        <x:v>平</x:v>
      </x:c>
      <x:c r="E6021" s="6" t="str"/>
      <x:c r="F6021" s="6" t="str">
        <x:v>上平聲六魚</x:v>
      </x:c>
      <x:c r="G6021" s="6" t="str">
        <x:v>Pingshui main list, Wikisource-derived DOCX</x:v>
      </x:c>
      <x:c r="H6021" s="6" t="str"/>
      <x:c r="I6021" s="6" t="str">
        <x:v>Lu Qinli gap fill from Pingshui main list; 詞 entries ignored</x:v>
      </x:c>
      <x:c r="J6021" s="6" t="str">
        <x:f>IF(B6021="","",IF(AND(ISNUMBER(SEARCH("平",B6021)),OR(ISNUMBER(SEARCH("上",B6021)),ISNUMBER(SEARCH("去",B6021)),ISNUMBER(SEARCH("入",B6021)))),"Ambiguous",IF(ISNUMBER(SEARCH("平",B6021)),"平","仄")))</x:f>
        <x:v>平</x:v>
      </x:c>
      <x:c r="K6021" s="6" t="str">
        <x:f>IF(D6021="","",IF(AND(ISNUMBER(SEARCH("平",D6021)),OR(ISNUMBER(SEARCH("上",D6021)),ISNUMBER(SEARCH("去",D6021)),ISNUMBER(SEARCH("入",D6021)))),"Ambiguous",IF(ISNUMBER(SEARCH("平",D6021)),"平","仄")))</x:f>
        <x:v>平</x:v>
      </x:c>
      <x:c r="L6021" s="7" t="str">
        <x:v>Pingshui main list, Lu Qinli gap fill</x:v>
      </x:c>
    </x:row>
    <x:row r="6022">
      <x:c r="A6022" s="5" t="str">
        <x:v>蕝</x:v>
      </x:c>
      <x:c r="B6022" s="6" t="str">
        <x:v>入</x:v>
      </x:c>
      <x:c r="C6022" s="6" t="str">
        <x:f>IF(B6022="","Needs decision","Ready")</x:f>
        <x:v>Ready</x:v>
      </x:c>
      <x:c r="D6022" s="6" t="str">
        <x:v>入</x:v>
      </x:c>
      <x:c r="E6022" s="6" t="str"/>
      <x:c r="F6022" s="6" t="str">
        <x:v>入聲九屑</x:v>
      </x:c>
      <x:c r="G6022" s="6" t="str">
        <x:v>Pingshui main list, Wikisource-derived DOCX</x:v>
      </x:c>
      <x:c r="H6022" s="6" t="str"/>
      <x:c r="I6022" s="6" t="str">
        <x:v>Lu Qinli gap fill from Pingshui main list; 詞 entries ignored</x:v>
      </x:c>
      <x:c r="J6022" s="6" t="str">
        <x:f>IF(B6022="","",IF(AND(ISNUMBER(SEARCH("平",B6022)),OR(ISNUMBER(SEARCH("上",B6022)),ISNUMBER(SEARCH("去",B6022)),ISNUMBER(SEARCH("入",B6022)))),"Ambiguous",IF(ISNUMBER(SEARCH("平",B6022)),"平","仄")))</x:f>
        <x:v>仄</x:v>
      </x:c>
      <x:c r="K6022" s="6" t="str">
        <x:f>IF(D6022="","",IF(AND(ISNUMBER(SEARCH("平",D6022)),OR(ISNUMBER(SEARCH("上",D6022)),ISNUMBER(SEARCH("去",D6022)),ISNUMBER(SEARCH("入",D6022)))),"Ambiguous",IF(ISNUMBER(SEARCH("平",D6022)),"平","仄")))</x:f>
        <x:v>仄</x:v>
      </x:c>
      <x:c r="L6022" s="7" t="str">
        <x:v>Pingshui main list, Lu Qinli gap fill</x:v>
      </x:c>
    </x:row>
    <x:row r="6023">
      <x:c r="A6023" s="5" t="str">
        <x:v>蕣</x:v>
      </x:c>
      <x:c r="B6023" s="6" t="str">
        <x:v>去</x:v>
      </x:c>
      <x:c r="C6023" s="6" t="str">
        <x:f>IF(B6023="","Needs decision","Ready")</x:f>
        <x:v>Ready</x:v>
      </x:c>
      <x:c r="D6023" s="6" t="str">
        <x:v>去</x:v>
      </x:c>
      <x:c r="E6023" s="6" t="str"/>
      <x:c r="F6023" s="6" t="str">
        <x:v>去聲十二震</x:v>
      </x:c>
      <x:c r="G6023" s="6" t="str">
        <x:v>Pingshui main list, Wikisource-derived DOCX</x:v>
      </x:c>
      <x:c r="H6023" s="6" t="str"/>
      <x:c r="I6023" s="6" t="str">
        <x:v>Lu Qinli gap fill from Pingshui main list; 詞 entries ignored</x:v>
      </x:c>
      <x:c r="J6023" s="6" t="str">
        <x:f>IF(B6023="","",IF(AND(ISNUMBER(SEARCH("平",B6023)),OR(ISNUMBER(SEARCH("上",B6023)),ISNUMBER(SEARCH("去",B6023)),ISNUMBER(SEARCH("入",B6023)))),"Ambiguous",IF(ISNUMBER(SEARCH("平",B6023)),"平","仄")))</x:f>
        <x:v>仄</x:v>
      </x:c>
      <x:c r="K6023" s="6" t="str">
        <x:f>IF(D6023="","",IF(AND(ISNUMBER(SEARCH("平",D6023)),OR(ISNUMBER(SEARCH("上",D6023)),ISNUMBER(SEARCH("去",D6023)),ISNUMBER(SEARCH("入",D6023)))),"Ambiguous",IF(ISNUMBER(SEARCH("平",D6023)),"平","仄")))</x:f>
        <x:v>仄</x:v>
      </x:c>
      <x:c r="L6023" s="7" t="str">
        <x:v>Pingshui main list, Lu Qinli gap fill</x:v>
      </x:c>
    </x:row>
    <x:row r="6024">
      <x:c r="A6024" s="5" t="str">
        <x:v>蕷</x:v>
      </x:c>
      <x:c r="B6024" s="6" t="str">
        <x:v>去</x:v>
      </x:c>
      <x:c r="C6024" s="6" t="str">
        <x:f>IF(B6024="","Needs decision","Ready")</x:f>
        <x:v>Ready</x:v>
      </x:c>
      <x:c r="D6024" s="6" t="str">
        <x:v>去</x:v>
      </x:c>
      <x:c r="E6024" s="6" t="str"/>
      <x:c r="F6024" s="6" t="str">
        <x:v>去聲六御</x:v>
      </x:c>
      <x:c r="G6024" s="6" t="str">
        <x:v>Pingshui main list, Wikisource-derived DOCX</x:v>
      </x:c>
      <x:c r="H6024" s="6" t="str"/>
      <x:c r="I6024" s="6" t="str">
        <x:v>Lu Qinli gap fill from Pingshui main list; 詞 entries ignored</x:v>
      </x:c>
      <x:c r="J6024" s="6" t="str">
        <x:f>IF(B6024="","",IF(AND(ISNUMBER(SEARCH("平",B6024)),OR(ISNUMBER(SEARCH("上",B6024)),ISNUMBER(SEARCH("去",B6024)),ISNUMBER(SEARCH("入",B6024)))),"Ambiguous",IF(ISNUMBER(SEARCH("平",B6024)),"平","仄")))</x:f>
        <x:v>仄</x:v>
      </x:c>
      <x:c r="K6024" s="6" t="str">
        <x:f>IF(D6024="","",IF(AND(ISNUMBER(SEARCH("平",D6024)),OR(ISNUMBER(SEARCH("上",D6024)),ISNUMBER(SEARCH("去",D6024)),ISNUMBER(SEARCH("入",D6024)))),"Ambiguous",IF(ISNUMBER(SEARCH("平",D6024)),"平","仄")))</x:f>
        <x:v>仄</x:v>
      </x:c>
      <x:c r="L6024" s="7" t="str">
        <x:v>Pingshui main list, Lu Qinli gap fill</x:v>
      </x:c>
    </x:row>
    <x:row r="6025">
      <x:c r="A6025" s="5" t="str">
        <x:v>薀</x:v>
      </x:c>
      <x:c r="B6025" s="6" t="str">
        <x:v>去</x:v>
      </x:c>
      <x:c r="C6025" s="6" t="str">
        <x:f>IF(B6025="","Needs decision","Ready")</x:f>
        <x:v>Ready</x:v>
      </x:c>
      <x:c r="D6025" s="6" t="str">
        <x:v>去</x:v>
      </x:c>
      <x:c r="E6025" s="6" t="str"/>
      <x:c r="F6025" s="6" t="str">
        <x:v>去聲十三問</x:v>
      </x:c>
      <x:c r="G6025" s="6" t="str">
        <x:v>Pingshui main list, Wikisource-derived DOCX</x:v>
      </x:c>
      <x:c r="H6025" s="6" t="str"/>
      <x:c r="I6025" s="6" t="str">
        <x:v>Lu Qinli gap fill from Pingshui main list; 詞 entries ignored</x:v>
      </x:c>
      <x:c r="J6025" s="6" t="str">
        <x:f>IF(B6025="","",IF(AND(ISNUMBER(SEARCH("平",B6025)),OR(ISNUMBER(SEARCH("上",B6025)),ISNUMBER(SEARCH("去",B6025)),ISNUMBER(SEARCH("入",B6025)))),"Ambiguous",IF(ISNUMBER(SEARCH("平",B6025)),"平","仄")))</x:f>
        <x:v>仄</x:v>
      </x:c>
      <x:c r="K6025" s="6" t="str">
        <x:f>IF(D6025="","",IF(AND(ISNUMBER(SEARCH("平",D6025)),OR(ISNUMBER(SEARCH("上",D6025)),ISNUMBER(SEARCH("去",D6025)),ISNUMBER(SEARCH("入",D6025)))),"Ambiguous",IF(ISNUMBER(SEARCH("平",D6025)),"平","仄")))</x:f>
        <x:v>仄</x:v>
      </x:c>
      <x:c r="L6025" s="7" t="str">
        <x:v>Pingshui main list, Lu Qinli gap fill</x:v>
      </x:c>
    </x:row>
    <x:row r="6026">
      <x:c r="A6026" s="5" t="str">
        <x:v>薆</x:v>
      </x:c>
      <x:c r="B6026" s="6" t="str">
        <x:v>去</x:v>
      </x:c>
      <x:c r="C6026" s="6" t="str">
        <x:f>IF(B6026="","Needs decision","Ready")</x:f>
        <x:v>Ready</x:v>
      </x:c>
      <x:c r="D6026" s="6" t="str">
        <x:v>去</x:v>
      </x:c>
      <x:c r="E6026" s="6" t="str"/>
      <x:c r="F6026" s="6" t="str">
        <x:v>去聲十一隊</x:v>
      </x:c>
      <x:c r="G6026" s="6" t="str">
        <x:v>Pingshui main list, Wikisource-derived DOCX</x:v>
      </x:c>
      <x:c r="H6026" s="6" t="str"/>
      <x:c r="I6026" s="6" t="str">
        <x:v>Lu Qinli gap fill from Pingshui main list; 詞 entries ignored</x:v>
      </x:c>
      <x:c r="J6026" s="6" t="str">
        <x:f>IF(B6026="","",IF(AND(ISNUMBER(SEARCH("平",B6026)),OR(ISNUMBER(SEARCH("上",B6026)),ISNUMBER(SEARCH("去",B6026)),ISNUMBER(SEARCH("入",B6026)))),"Ambiguous",IF(ISNUMBER(SEARCH("平",B6026)),"平","仄")))</x:f>
        <x:v>仄</x:v>
      </x:c>
      <x:c r="K6026" s="6" t="str">
        <x:f>IF(D6026="","",IF(AND(ISNUMBER(SEARCH("平",D6026)),OR(ISNUMBER(SEARCH("上",D6026)),ISNUMBER(SEARCH("去",D6026)),ISNUMBER(SEARCH("入",D6026)))),"Ambiguous",IF(ISNUMBER(SEARCH("平",D6026)),"平","仄")))</x:f>
        <x:v>仄</x:v>
      </x:c>
      <x:c r="L6026" s="7" t="str">
        <x:v>Pingshui main list, Lu Qinli gap fill</x:v>
      </x:c>
    </x:row>
    <x:row r="6027">
      <x:c r="A6027" s="5" t="str">
        <x:v>薔</x:v>
      </x:c>
      <x:c r="B6027" s="6" t="str">
        <x:v>平</x:v>
      </x:c>
      <x:c r="C6027" s="6" t="str">
        <x:f>IF(B6027="","Needs decision","Ready")</x:f>
        <x:v>Ready</x:v>
      </x:c>
      <x:c r="D6027" s="6" t="str">
        <x:v>平</x:v>
      </x:c>
      <x:c r="E6027" s="6" t="str"/>
      <x:c r="F6027" s="6" t="str">
        <x:v>下平聲七陽</x:v>
      </x:c>
      <x:c r="G6027" s="6" t="str">
        <x:v>Pingshui main list, Wikisource-derived DOCX</x:v>
      </x:c>
      <x:c r="H6027" s="6" t="str"/>
      <x:c r="I6027" s="6" t="str">
        <x:v>Lu Qinli gap fill from Pingshui main list; 詞 entries ignored</x:v>
      </x:c>
      <x:c r="J6027" s="6" t="str">
        <x:f>IF(B6027="","",IF(AND(ISNUMBER(SEARCH("平",B6027)),OR(ISNUMBER(SEARCH("上",B6027)),ISNUMBER(SEARCH("去",B6027)),ISNUMBER(SEARCH("入",B6027)))),"Ambiguous",IF(ISNUMBER(SEARCH("平",B6027)),"平","仄")))</x:f>
        <x:v>平</x:v>
      </x:c>
      <x:c r="K6027" s="6" t="str">
        <x:f>IF(D6027="","",IF(AND(ISNUMBER(SEARCH("平",D6027)),OR(ISNUMBER(SEARCH("上",D6027)),ISNUMBER(SEARCH("去",D6027)),ISNUMBER(SEARCH("入",D6027)))),"Ambiguous",IF(ISNUMBER(SEARCH("平",D6027)),"平","仄")))</x:f>
        <x:v>平</x:v>
      </x:c>
      <x:c r="L6027" s="7" t="str">
        <x:v>Pingshui main list, Lu Qinli gap fill</x:v>
      </x:c>
    </x:row>
    <x:row r="6028">
      <x:c r="A6028" s="5" t="str">
        <x:v>薤</x:v>
      </x:c>
      <x:c r="B6028" s="6" t="str">
        <x:v>去</x:v>
      </x:c>
      <x:c r="C6028" s="6" t="str">
        <x:f>IF(B6028="","Needs decision","Ready")</x:f>
        <x:v>Ready</x:v>
      </x:c>
      <x:c r="D6028" s="6" t="str">
        <x:v>去</x:v>
      </x:c>
      <x:c r="E6028" s="6" t="str"/>
      <x:c r="F6028" s="6" t="str">
        <x:v>去聲十卦</x:v>
      </x:c>
      <x:c r="G6028" s="6" t="str">
        <x:v>Pingshui main list, Wikisource-derived DOCX</x:v>
      </x:c>
      <x:c r="H6028" s="6" t="str"/>
      <x:c r="I6028" s="6" t="str">
        <x:v>Lu Qinli gap fill from Pingshui main list; 詞 entries ignored</x:v>
      </x:c>
      <x:c r="J6028" s="6" t="str">
        <x:f>IF(B6028="","",IF(AND(ISNUMBER(SEARCH("平",B6028)),OR(ISNUMBER(SEARCH("上",B6028)),ISNUMBER(SEARCH("去",B6028)),ISNUMBER(SEARCH("入",B6028)))),"Ambiguous",IF(ISNUMBER(SEARCH("平",B6028)),"平","仄")))</x:f>
        <x:v>仄</x:v>
      </x:c>
      <x:c r="K6028" s="6" t="str">
        <x:f>IF(D6028="","",IF(AND(ISNUMBER(SEARCH("平",D6028)),OR(ISNUMBER(SEARCH("上",D6028)),ISNUMBER(SEARCH("去",D6028)),ISNUMBER(SEARCH("入",D6028)))),"Ambiguous",IF(ISNUMBER(SEARCH("平",D6028)),"平","仄")))</x:f>
        <x:v>仄</x:v>
      </x:c>
      <x:c r="L6028" s="7" t="str">
        <x:v>Pingshui main list, Lu Qinli gap fill</x:v>
      </x:c>
    </x:row>
    <x:row r="6029">
      <x:c r="A6029" s="5" t="str">
        <x:v>薳</x:v>
      </x:c>
      <x:c r="B6029" s="6" t="str">
        <x:v>上</x:v>
      </x:c>
      <x:c r="C6029" s="6" t="str">
        <x:f>IF(B6029="","Needs decision","Ready")</x:f>
        <x:v>Ready</x:v>
      </x:c>
      <x:c r="D6029" s="6" t="str">
        <x:v>上</x:v>
      </x:c>
      <x:c r="E6029" s="6" t="str"/>
      <x:c r="F6029" s="6" t="str">
        <x:v>上聲四紙</x:v>
      </x:c>
      <x:c r="G6029" s="6" t="str">
        <x:v>Pingshui main list, Wikisource-derived DOCX</x:v>
      </x:c>
      <x:c r="H6029" s="6" t="str"/>
      <x:c r="I6029" s="6" t="str">
        <x:v>Lu Qinli gap fill from Pingshui main list; 詞 entries ignored</x:v>
      </x:c>
      <x:c r="J6029" s="6" t="str">
        <x:f>IF(B6029="","",IF(AND(ISNUMBER(SEARCH("平",B6029)),OR(ISNUMBER(SEARCH("上",B6029)),ISNUMBER(SEARCH("去",B6029)),ISNUMBER(SEARCH("入",B6029)))),"Ambiguous",IF(ISNUMBER(SEARCH("平",B6029)),"平","仄")))</x:f>
        <x:v>仄</x:v>
      </x:c>
      <x:c r="K6029" s="6" t="str">
        <x:f>IF(D6029="","",IF(AND(ISNUMBER(SEARCH("平",D6029)),OR(ISNUMBER(SEARCH("上",D6029)),ISNUMBER(SEARCH("去",D6029)),ISNUMBER(SEARCH("入",D6029)))),"Ambiguous",IF(ISNUMBER(SEARCH("平",D6029)),"平","仄")))</x:f>
        <x:v>仄</x:v>
      </x:c>
      <x:c r="L6029" s="7" t="str">
        <x:v>Pingshui main list, Lu Qinli gap fill</x:v>
      </x:c>
    </x:row>
    <x:row r="6030">
      <x:c r="A6030" s="5" t="str">
        <x:v>藇</x:v>
      </x:c>
      <x:c r="B6030" s="6" t="str"/>
      <x:c r="C6030" s="6" t="str">
        <x:f>IF(B6030="","Needs decision","Ready")</x:f>
        <x:v>Needs decision</x:v>
      </x:c>
      <x:c r="D6030" s="6" t="str">
        <x:v>平/上/去</x:v>
      </x:c>
      <x:c r="E6030" s="6" t="str"/>
      <x:c r="F6030" s="6" t="str">
        <x:v>上平聲六魚; 上聲六語; 去聲六御</x:v>
      </x:c>
      <x:c r="G6030" s="6" t="str">
        <x:v>Pingshui main list, Wikisource-derived DOCX</x:v>
      </x:c>
      <x:c r="H6030" s="6" t="str"/>
      <x:c r="I6030" s="6" t="str">
        <x:v>Lu Qinli gap fill from Pingshui main list; 詞 entries ignored</x:v>
      </x:c>
      <x:c r="J6030" s="6" t="str">
        <x:f>IF(B6030="","",IF(AND(ISNUMBER(SEARCH("平",B6030)),OR(ISNUMBER(SEARCH("上",B6030)),ISNUMBER(SEARCH("去",B6030)),ISNUMBER(SEARCH("入",B6030)))),"Ambiguous",IF(ISNUMBER(SEARCH("平",B6030)),"平","仄")))</x:f>
      </x:c>
      <x:c r="K6030" s="6" t="str">
        <x:f>IF(D6030="","",IF(AND(ISNUMBER(SEARCH("平",D6030)),OR(ISNUMBER(SEARCH("上",D6030)),ISNUMBER(SEARCH("去",D6030)),ISNUMBER(SEARCH("入",D6030)))),"Ambiguous",IF(ISNUMBER(SEARCH("平",D6030)),"平","仄")))</x:f>
        <x:v>Ambiguous</x:v>
      </x:c>
      <x:c r="L6030" s="7" t="str">
        <x:v>Pingshui main list, Lu Qinli gap fill</x:v>
      </x:c>
    </x:row>
    <x:row r="6031">
      <x:c r="A6031" s="5" t="str">
        <x:v>藋</x:v>
      </x:c>
      <x:c r="B6031" s="6" t="str">
        <x:v>去</x:v>
      </x:c>
      <x:c r="C6031" s="6" t="str">
        <x:f>IF(B6031="","Needs decision","Ready")</x:f>
        <x:v>Ready</x:v>
      </x:c>
      <x:c r="D6031" s="6" t="str">
        <x:v>去</x:v>
      </x:c>
      <x:c r="E6031" s="6" t="str"/>
      <x:c r="F6031" s="6" t="str">
        <x:v>去聲十八嘯</x:v>
      </x:c>
      <x:c r="G6031" s="6" t="str">
        <x:v>Pingshui main list, Wikisource-derived DOCX</x:v>
      </x:c>
      <x:c r="H6031" s="6" t="str"/>
      <x:c r="I6031" s="6" t="str">
        <x:v>Lu Qinli gap fill from Pingshui main list; 詞 entries ignored</x:v>
      </x:c>
      <x:c r="J6031" s="6" t="str">
        <x:f>IF(B6031="","",IF(AND(ISNUMBER(SEARCH("平",B6031)),OR(ISNUMBER(SEARCH("上",B6031)),ISNUMBER(SEARCH("去",B6031)),ISNUMBER(SEARCH("入",B6031)))),"Ambiguous",IF(ISNUMBER(SEARCH("平",B6031)),"平","仄")))</x:f>
        <x:v>仄</x:v>
      </x:c>
      <x:c r="K6031" s="6" t="str">
        <x:f>IF(D6031="","",IF(AND(ISNUMBER(SEARCH("平",D6031)),OR(ISNUMBER(SEARCH("上",D6031)),ISNUMBER(SEARCH("去",D6031)),ISNUMBER(SEARCH("入",D6031)))),"Ambiguous",IF(ISNUMBER(SEARCH("平",D6031)),"平","仄")))</x:f>
        <x:v>仄</x:v>
      </x:c>
      <x:c r="L6031" s="7" t="str">
        <x:v>Pingshui main list, Lu Qinli gap fill</x:v>
      </x:c>
    </x:row>
    <x:row r="6032">
      <x:c r="A6032" s="5" t="str">
        <x:v>藐</x:v>
      </x:c>
      <x:c r="B6032" s="6" t="str">
        <x:v>上</x:v>
      </x:c>
      <x:c r="C6032" s="6" t="str">
        <x:f>IF(B6032="","Needs decision","Ready")</x:f>
        <x:v>Ready</x:v>
      </x:c>
      <x:c r="D6032" s="6" t="str">
        <x:v>上</x:v>
      </x:c>
      <x:c r="E6032" s="6" t="str"/>
      <x:c r="F6032" s="6" t="str">
        <x:v>上聲十七篠</x:v>
      </x:c>
      <x:c r="G6032" s="6" t="str">
        <x:v>Pingshui main list, Wikisource-derived DOCX</x:v>
      </x:c>
      <x:c r="H6032" s="6" t="str"/>
      <x:c r="I6032" s="6" t="str">
        <x:v>Lu Qinli gap fill from Pingshui main list; 詞 entries ignored</x:v>
      </x:c>
      <x:c r="J6032" s="6" t="str">
        <x:f>IF(B6032="","",IF(AND(ISNUMBER(SEARCH("平",B6032)),OR(ISNUMBER(SEARCH("上",B6032)),ISNUMBER(SEARCH("去",B6032)),ISNUMBER(SEARCH("入",B6032)))),"Ambiguous",IF(ISNUMBER(SEARCH("平",B6032)),"平","仄")))</x:f>
        <x:v>仄</x:v>
      </x:c>
      <x:c r="K6032" s="6" t="str">
        <x:f>IF(D6032="","",IF(AND(ISNUMBER(SEARCH("平",D6032)),OR(ISNUMBER(SEARCH("上",D6032)),ISNUMBER(SEARCH("去",D6032)),ISNUMBER(SEARCH("入",D6032)))),"Ambiguous",IF(ISNUMBER(SEARCH("平",D6032)),"平","仄")))</x:f>
        <x:v>仄</x:v>
      </x:c>
      <x:c r="L6032" s="7" t="str">
        <x:v>Pingshui main list, Lu Qinli gap fill</x:v>
      </x:c>
    </x:row>
    <x:row r="6033">
      <x:c r="A6033" s="5" t="str">
        <x:v>藟</x:v>
      </x:c>
      <x:c r="B6033" s="6" t="str">
        <x:v>上</x:v>
      </x:c>
      <x:c r="C6033" s="6" t="str">
        <x:f>IF(B6033="","Needs decision","Ready")</x:f>
        <x:v>Ready</x:v>
      </x:c>
      <x:c r="D6033" s="6" t="str">
        <x:v>上</x:v>
      </x:c>
      <x:c r="E6033" s="6" t="str"/>
      <x:c r="F6033" s="6" t="str">
        <x:v>上聲四紙</x:v>
      </x:c>
      <x:c r="G6033" s="6" t="str">
        <x:v>Pingshui main list, Wikisource-derived DOCX</x:v>
      </x:c>
      <x:c r="H6033" s="6" t="str"/>
      <x:c r="I6033" s="6" t="str">
        <x:v>Lu Qinli gap fill from Pingshui main list; 詞 entries ignored</x:v>
      </x:c>
      <x:c r="J6033" s="6" t="str">
        <x:f>IF(B6033="","",IF(AND(ISNUMBER(SEARCH("平",B6033)),OR(ISNUMBER(SEARCH("上",B6033)),ISNUMBER(SEARCH("去",B6033)),ISNUMBER(SEARCH("入",B6033)))),"Ambiguous",IF(ISNUMBER(SEARCH("平",B6033)),"平","仄")))</x:f>
        <x:v>仄</x:v>
      </x:c>
      <x:c r="K6033" s="6" t="str">
        <x:f>IF(D6033="","",IF(AND(ISNUMBER(SEARCH("平",D6033)),OR(ISNUMBER(SEARCH("上",D6033)),ISNUMBER(SEARCH("去",D6033)),ISNUMBER(SEARCH("入",D6033)))),"Ambiguous",IF(ISNUMBER(SEARCH("平",D6033)),"平","仄")))</x:f>
        <x:v>仄</x:v>
      </x:c>
      <x:c r="L6033" s="7" t="str">
        <x:v>Pingshui main list, Lu Qinli gap fill</x:v>
      </x:c>
    </x:row>
    <x:row r="6034">
      <x:c r="A6034" s="5" t="str">
        <x:v>藪</x:v>
      </x:c>
      <x:c r="B6034" s="6" t="str">
        <x:v>上</x:v>
      </x:c>
      <x:c r="C6034" s="6" t="str">
        <x:f>IF(B6034="","Needs decision","Ready")</x:f>
        <x:v>Ready</x:v>
      </x:c>
      <x:c r="D6034" s="6" t="str">
        <x:v>上</x:v>
      </x:c>
      <x:c r="E6034" s="6" t="str"/>
      <x:c r="F6034" s="6" t="str">
        <x:v>上聲二十五有</x:v>
      </x:c>
      <x:c r="G6034" s="6" t="str">
        <x:v>Pingshui main list, Wikisource-derived DOCX</x:v>
      </x:c>
      <x:c r="H6034" s="6" t="str"/>
      <x:c r="I6034" s="6" t="str">
        <x:v>Lu Qinli gap fill from Pingshui main list; 詞 entries ignored</x:v>
      </x:c>
      <x:c r="J6034" s="6" t="str">
        <x:f>IF(B6034="","",IF(AND(ISNUMBER(SEARCH("平",B6034)),OR(ISNUMBER(SEARCH("上",B6034)),ISNUMBER(SEARCH("去",B6034)),ISNUMBER(SEARCH("入",B6034)))),"Ambiguous",IF(ISNUMBER(SEARCH("平",B6034)),"平","仄")))</x:f>
        <x:v>仄</x:v>
      </x:c>
      <x:c r="K6034" s="6" t="str">
        <x:f>IF(D6034="","",IF(AND(ISNUMBER(SEARCH("平",D6034)),OR(ISNUMBER(SEARCH("上",D6034)),ISNUMBER(SEARCH("去",D6034)),ISNUMBER(SEARCH("入",D6034)))),"Ambiguous",IF(ISNUMBER(SEARCH("平",D6034)),"平","仄")))</x:f>
        <x:v>仄</x:v>
      </x:c>
      <x:c r="L6034" s="7" t="str">
        <x:v>Pingshui main list, Lu Qinli gap fill</x:v>
      </x:c>
    </x:row>
    <x:row r="6035">
      <x:c r="A6035" s="5" t="str">
        <x:v>藺</x:v>
      </x:c>
      <x:c r="B6035" s="6" t="str">
        <x:v>去</x:v>
      </x:c>
      <x:c r="C6035" s="6" t="str">
        <x:f>IF(B6035="","Needs decision","Ready")</x:f>
        <x:v>Ready</x:v>
      </x:c>
      <x:c r="D6035" s="6" t="str">
        <x:v>去</x:v>
      </x:c>
      <x:c r="E6035" s="6" t="str"/>
      <x:c r="F6035" s="6" t="str">
        <x:v>去聲十二震</x:v>
      </x:c>
      <x:c r="G6035" s="6" t="str">
        <x:v>Pingshui main list, Wikisource-derived DOCX</x:v>
      </x:c>
      <x:c r="H6035" s="6" t="str"/>
      <x:c r="I6035" s="6" t="str">
        <x:v>Lu Qinli gap fill from Pingshui main list; 詞 entries ignored</x:v>
      </x:c>
      <x:c r="J6035" s="6" t="str">
        <x:f>IF(B6035="","",IF(AND(ISNUMBER(SEARCH("平",B6035)),OR(ISNUMBER(SEARCH("上",B6035)),ISNUMBER(SEARCH("去",B6035)),ISNUMBER(SEARCH("入",B6035)))),"Ambiguous",IF(ISNUMBER(SEARCH("平",B6035)),"平","仄")))</x:f>
        <x:v>仄</x:v>
      </x:c>
      <x:c r="K6035" s="6" t="str">
        <x:f>IF(D6035="","",IF(AND(ISNUMBER(SEARCH("平",D6035)),OR(ISNUMBER(SEARCH("上",D6035)),ISNUMBER(SEARCH("去",D6035)),ISNUMBER(SEARCH("入",D6035)))),"Ambiguous",IF(ISNUMBER(SEARCH("平",D6035)),"平","仄")))</x:f>
        <x:v>仄</x:v>
      </x:c>
      <x:c r="L6035" s="7" t="str">
        <x:v>Pingshui main list, Lu Qinli gap fill</x:v>
      </x:c>
    </x:row>
    <x:row r="6036">
      <x:c r="A6036" s="5" t="str">
        <x:v>蘅</x:v>
      </x:c>
      <x:c r="B6036" s="6" t="str">
        <x:v>平</x:v>
      </x:c>
      <x:c r="C6036" s="6" t="str">
        <x:f>IF(B6036="","Needs decision","Ready")</x:f>
        <x:v>Ready</x:v>
      </x:c>
      <x:c r="D6036" s="6" t="str">
        <x:v>平</x:v>
      </x:c>
      <x:c r="E6036" s="6" t="str"/>
      <x:c r="F6036" s="6" t="str">
        <x:v>下平聲八庚</x:v>
      </x:c>
      <x:c r="G6036" s="6" t="str">
        <x:v>Pingshui main list, Wikisource-derived DOCX</x:v>
      </x:c>
      <x:c r="H6036" s="6" t="str"/>
      <x:c r="I6036" s="6" t="str">
        <x:v>Lu Qinli gap fill from Pingshui main list; 詞 entries ignored</x:v>
      </x:c>
      <x:c r="J6036" s="6" t="str">
        <x:f>IF(B6036="","",IF(AND(ISNUMBER(SEARCH("平",B6036)),OR(ISNUMBER(SEARCH("上",B6036)),ISNUMBER(SEARCH("去",B6036)),ISNUMBER(SEARCH("入",B6036)))),"Ambiguous",IF(ISNUMBER(SEARCH("平",B6036)),"平","仄")))</x:f>
        <x:v>平</x:v>
      </x:c>
      <x:c r="K6036" s="6" t="str">
        <x:f>IF(D6036="","",IF(AND(ISNUMBER(SEARCH("平",D6036)),OR(ISNUMBER(SEARCH("上",D6036)),ISNUMBER(SEARCH("去",D6036)),ISNUMBER(SEARCH("入",D6036)))),"Ambiguous",IF(ISNUMBER(SEARCH("平",D6036)),"平","仄")))</x:f>
        <x:v>平</x:v>
      </x:c>
      <x:c r="L6036" s="7" t="str">
        <x:v>Pingshui main list, Lu Qinli gap fill</x:v>
      </x:c>
    </x:row>
    <x:row r="6037">
      <x:c r="A6037" s="5" t="str">
        <x:v>蘊</x:v>
      </x:c>
      <x:c r="B6037" s="6" t="str"/>
      <x:c r="C6037" s="6" t="str">
        <x:f>IF(B6037="","Needs decision","Ready")</x:f>
        <x:v>Needs decision</x:v>
      </x:c>
      <x:c r="D6037" s="6" t="str">
        <x:v>平/上</x:v>
      </x:c>
      <x:c r="E6037" s="6" t="str"/>
      <x:c r="F6037" s="6" t="str">
        <x:v>上平聲十三元; 上聲十二吻</x:v>
      </x:c>
      <x:c r="G6037" s="6" t="str">
        <x:v>Pingshui main list, Wikisource-derived DOCX</x:v>
      </x:c>
      <x:c r="H6037" s="6" t="str"/>
      <x:c r="I6037" s="6" t="str">
        <x:v>Lu Qinli gap fill from Pingshui main list; 詞 entries ignored</x:v>
      </x:c>
      <x:c r="J6037" s="6" t="str">
        <x:f>IF(B6037="","",IF(AND(ISNUMBER(SEARCH("平",B6037)),OR(ISNUMBER(SEARCH("上",B6037)),ISNUMBER(SEARCH("去",B6037)),ISNUMBER(SEARCH("入",B6037)))),"Ambiguous",IF(ISNUMBER(SEARCH("平",B6037)),"平","仄")))</x:f>
      </x:c>
      <x:c r="K6037" s="6" t="str">
        <x:f>IF(D6037="","",IF(AND(ISNUMBER(SEARCH("平",D6037)),OR(ISNUMBER(SEARCH("上",D6037)),ISNUMBER(SEARCH("去",D6037)),ISNUMBER(SEARCH("入",D6037)))),"Ambiguous",IF(ISNUMBER(SEARCH("平",D6037)),"平","仄")))</x:f>
        <x:v>Ambiguous</x:v>
      </x:c>
      <x:c r="L6037" s="7" t="str">
        <x:v>Pingshui main list, Lu Qinli gap fill</x:v>
      </x:c>
    </x:row>
    <x:row r="6038">
      <x:c r="A6038" s="5" t="str">
        <x:v>蘢</x:v>
      </x:c>
      <x:c r="B6038" s="6" t="str">
        <x:v>平</x:v>
      </x:c>
      <x:c r="C6038" s="6" t="str">
        <x:f>IF(B6038="","Needs decision","Ready")</x:f>
        <x:v>Ready</x:v>
      </x:c>
      <x:c r="D6038" s="6" t="str">
        <x:v>平</x:v>
      </x:c>
      <x:c r="E6038" s="6" t="str"/>
      <x:c r="F6038" s="6" t="str">
        <x:v>上平聲二冬</x:v>
      </x:c>
      <x:c r="G6038" s="6" t="str">
        <x:v>Pingshui main list, Wikisource-derived DOCX</x:v>
      </x:c>
      <x:c r="H6038" s="6" t="str"/>
      <x:c r="I6038" s="6" t="str">
        <x:v>Lu Qinli gap fill from Pingshui main list; 詞 entries ignored</x:v>
      </x:c>
      <x:c r="J6038" s="6" t="str">
        <x:f>IF(B6038="","",IF(AND(ISNUMBER(SEARCH("平",B6038)),OR(ISNUMBER(SEARCH("上",B6038)),ISNUMBER(SEARCH("去",B6038)),ISNUMBER(SEARCH("入",B6038)))),"Ambiguous",IF(ISNUMBER(SEARCH("平",B6038)),"平","仄")))</x:f>
        <x:v>平</x:v>
      </x:c>
      <x:c r="K6038" s="6" t="str">
        <x:f>IF(D6038="","",IF(AND(ISNUMBER(SEARCH("平",D6038)),OR(ISNUMBER(SEARCH("上",D6038)),ISNUMBER(SEARCH("去",D6038)),ISNUMBER(SEARCH("入",D6038)))),"Ambiguous",IF(ISNUMBER(SEARCH("平",D6038)),"平","仄")))</x:f>
        <x:v>平</x:v>
      </x:c>
      <x:c r="L6038" s="7" t="str">
        <x:v>Pingshui main list, Lu Qinli gap fill</x:v>
      </x:c>
    </x:row>
    <x:row r="6039">
      <x:c r="A6039" s="5" t="str">
        <x:v>蘧</x:v>
      </x:c>
      <x:c r="B6039" s="6" t="str">
        <x:v>平</x:v>
      </x:c>
      <x:c r="C6039" s="6" t="str">
        <x:f>IF(B6039="","Needs decision","Ready")</x:f>
        <x:v>Ready</x:v>
      </x:c>
      <x:c r="D6039" s="6" t="str">
        <x:v>平</x:v>
      </x:c>
      <x:c r="E6039" s="6" t="str"/>
      <x:c r="F6039" s="6" t="str">
        <x:v>上平聲六魚</x:v>
      </x:c>
      <x:c r="G6039" s="6" t="str">
        <x:v>Pingshui main list, Wikisource-derived DOCX</x:v>
      </x:c>
      <x:c r="H6039" s="6" t="str"/>
      <x:c r="I6039" s="6" t="str">
        <x:v>Lu Qinli gap fill from Pingshui main list; 詞 entries ignored</x:v>
      </x:c>
      <x:c r="J6039" s="6" t="str">
        <x:f>IF(B6039="","",IF(AND(ISNUMBER(SEARCH("平",B6039)),OR(ISNUMBER(SEARCH("上",B6039)),ISNUMBER(SEARCH("去",B6039)),ISNUMBER(SEARCH("入",B6039)))),"Ambiguous",IF(ISNUMBER(SEARCH("平",B6039)),"平","仄")))</x:f>
        <x:v>平</x:v>
      </x:c>
      <x:c r="K6039" s="6" t="str">
        <x:f>IF(D6039="","",IF(AND(ISNUMBER(SEARCH("平",D6039)),OR(ISNUMBER(SEARCH("上",D6039)),ISNUMBER(SEARCH("去",D6039)),ISNUMBER(SEARCH("入",D6039)))),"Ambiguous",IF(ISNUMBER(SEARCH("平",D6039)),"平","仄")))</x:f>
        <x:v>平</x:v>
      </x:c>
      <x:c r="L6039" s="7" t="str">
        <x:v>Pingshui main list, Lu Qinli gap fill</x:v>
      </x:c>
    </x:row>
    <x:row r="6040">
      <x:c r="A6040" s="5" t="str">
        <x:v>蘩</x:v>
      </x:c>
      <x:c r="B6040" s="6" t="str">
        <x:v>平</x:v>
      </x:c>
      <x:c r="C6040" s="6" t="str">
        <x:f>IF(B6040="","Needs decision","Ready")</x:f>
        <x:v>Ready</x:v>
      </x:c>
      <x:c r="D6040" s="6" t="str">
        <x:v>平</x:v>
      </x:c>
      <x:c r="E6040" s="6" t="str"/>
      <x:c r="F6040" s="6" t="str">
        <x:v>上平聲十三元</x:v>
      </x:c>
      <x:c r="G6040" s="6" t="str">
        <x:v>Pingshui main list, Wikisource-derived DOCX</x:v>
      </x:c>
      <x:c r="H6040" s="6" t="str"/>
      <x:c r="I6040" s="6" t="str">
        <x:v>Lu Qinli gap fill from Pingshui main list; 詞 entries ignored</x:v>
      </x:c>
      <x:c r="J6040" s="6" t="str">
        <x:f>IF(B6040="","",IF(AND(ISNUMBER(SEARCH("平",B6040)),OR(ISNUMBER(SEARCH("上",B6040)),ISNUMBER(SEARCH("去",B6040)),ISNUMBER(SEARCH("入",B6040)))),"Ambiguous",IF(ISNUMBER(SEARCH("平",B6040)),"平","仄")))</x:f>
        <x:v>平</x:v>
      </x:c>
      <x:c r="K6040" s="6" t="str">
        <x:f>IF(D6040="","",IF(AND(ISNUMBER(SEARCH("平",D6040)),OR(ISNUMBER(SEARCH("上",D6040)),ISNUMBER(SEARCH("去",D6040)),ISNUMBER(SEARCH("入",D6040)))),"Ambiguous",IF(ISNUMBER(SEARCH("平",D6040)),"平","仄")))</x:f>
        <x:v>平</x:v>
      </x:c>
      <x:c r="L6040" s="7" t="str">
        <x:v>Pingshui main list, Lu Qinli gap fill</x:v>
      </x:c>
    </x:row>
    <x:row r="6041">
      <x:c r="A6041" s="5" t="str">
        <x:v>蘴</x:v>
      </x:c>
      <x:c r="B6041" s="6" t="str">
        <x:v>平</x:v>
      </x:c>
      <x:c r="C6041" s="6" t="str">
        <x:f>IF(B6041="","Needs decision","Ready")</x:f>
        <x:v>Ready</x:v>
      </x:c>
      <x:c r="D6041" s="6" t="str">
        <x:v>平</x:v>
      </x:c>
      <x:c r="E6041" s="6" t="str"/>
      <x:c r="F6041" s="6" t="str">
        <x:v>上平聲一東</x:v>
      </x:c>
      <x:c r="G6041" s="6" t="str">
        <x:v>Pingshui main list, Wikisource-derived DOCX</x:v>
      </x:c>
      <x:c r="H6041" s="6" t="str"/>
      <x:c r="I6041" s="6" t="str">
        <x:v>Lu Qinli gap fill from Pingshui main list; 詞 entries ignored</x:v>
      </x:c>
      <x:c r="J6041" s="6" t="str">
        <x:f>IF(B6041="","",IF(AND(ISNUMBER(SEARCH("平",B6041)),OR(ISNUMBER(SEARCH("上",B6041)),ISNUMBER(SEARCH("去",B6041)),ISNUMBER(SEARCH("入",B6041)))),"Ambiguous",IF(ISNUMBER(SEARCH("平",B6041)),"平","仄")))</x:f>
        <x:v>平</x:v>
      </x:c>
      <x:c r="K6041" s="6" t="str">
        <x:f>IF(D6041="","",IF(AND(ISNUMBER(SEARCH("平",D6041)),OR(ISNUMBER(SEARCH("上",D6041)),ISNUMBER(SEARCH("去",D6041)),ISNUMBER(SEARCH("入",D6041)))),"Ambiguous",IF(ISNUMBER(SEARCH("平",D6041)),"平","仄")))</x:f>
        <x:v>平</x:v>
      </x:c>
      <x:c r="L6041" s="7" t="str">
        <x:v>Pingshui main list, Lu Qinli gap fill</x:v>
      </x:c>
    </x:row>
    <x:row r="6042">
      <x:c r="A6042" s="5" t="str">
        <x:v>蘺</x:v>
      </x:c>
      <x:c r="B6042" s="6" t="str">
        <x:v>平</x:v>
      </x:c>
      <x:c r="C6042" s="6" t="str">
        <x:f>IF(B6042="","Needs decision","Ready")</x:f>
        <x:v>Ready</x:v>
      </x:c>
      <x:c r="D6042" s="6" t="str">
        <x:v>平</x:v>
      </x:c>
      <x:c r="E6042" s="6" t="str"/>
      <x:c r="F6042" s="6" t="str">
        <x:v>上平聲四支</x:v>
      </x:c>
      <x:c r="G6042" s="6" t="str">
        <x:v>Pingshui main list, Wikisource-derived DOCX</x:v>
      </x:c>
      <x:c r="H6042" s="6" t="str"/>
      <x:c r="I6042" s="6" t="str">
        <x:v>Lu Qinli gap fill from Pingshui main list; 詞 entries ignored</x:v>
      </x:c>
      <x:c r="J6042" s="6" t="str">
        <x:f>IF(B6042="","",IF(AND(ISNUMBER(SEARCH("平",B6042)),OR(ISNUMBER(SEARCH("上",B6042)),ISNUMBER(SEARCH("去",B6042)),ISNUMBER(SEARCH("入",B6042)))),"Ambiguous",IF(ISNUMBER(SEARCH("平",B6042)),"平","仄")))</x:f>
        <x:v>平</x:v>
      </x:c>
      <x:c r="K6042" s="6" t="str">
        <x:f>IF(D6042="","",IF(AND(ISNUMBER(SEARCH("平",D6042)),OR(ISNUMBER(SEARCH("上",D6042)),ISNUMBER(SEARCH("去",D6042)),ISNUMBER(SEARCH("入",D6042)))),"Ambiguous",IF(ISNUMBER(SEARCH("平",D6042)),"平","仄")))</x:f>
        <x:v>平</x:v>
      </x:c>
      <x:c r="L6042" s="7" t="str">
        <x:v>Pingshui main list, Lu Qinli gap fill</x:v>
      </x:c>
    </x:row>
    <x:row r="6043">
      <x:c r="A6043" s="5" t="str">
        <x:v>蘼</x:v>
      </x:c>
      <x:c r="B6043" s="6" t="str">
        <x:v>平</x:v>
      </x:c>
      <x:c r="C6043" s="6" t="str">
        <x:f>IF(B6043="","Needs decision","Ready")</x:f>
        <x:v>Ready</x:v>
      </x:c>
      <x:c r="D6043" s="6" t="str">
        <x:v>平</x:v>
      </x:c>
      <x:c r="E6043" s="6" t="str"/>
      <x:c r="F6043" s="6" t="str">
        <x:v>上平聲四支</x:v>
      </x:c>
      <x:c r="G6043" s="6" t="str">
        <x:v>Pingshui main list, Wikisource-derived DOCX</x:v>
      </x:c>
      <x:c r="H6043" s="6" t="str"/>
      <x:c r="I6043" s="6" t="str">
        <x:v>Lu Qinli gap fill from Pingshui main list; 詞 entries ignored</x:v>
      </x:c>
      <x:c r="J6043" s="6" t="str">
        <x:f>IF(B6043="","",IF(AND(ISNUMBER(SEARCH("平",B6043)),OR(ISNUMBER(SEARCH("上",B6043)),ISNUMBER(SEARCH("去",B6043)),ISNUMBER(SEARCH("入",B6043)))),"Ambiguous",IF(ISNUMBER(SEARCH("平",B6043)),"平","仄")))</x:f>
        <x:v>平</x:v>
      </x:c>
      <x:c r="K6043" s="6" t="str">
        <x:f>IF(D6043="","",IF(AND(ISNUMBER(SEARCH("平",D6043)),OR(ISNUMBER(SEARCH("上",D6043)),ISNUMBER(SEARCH("去",D6043)),ISNUMBER(SEARCH("入",D6043)))),"Ambiguous",IF(ISNUMBER(SEARCH("平",D6043)),"平","仄")))</x:f>
        <x:v>平</x:v>
      </x:c>
      <x:c r="L6043" s="7" t="str">
        <x:v>Pingshui main list, Lu Qinli gap fill</x:v>
      </x:c>
    </x:row>
    <x:row r="6044">
      <x:c r="A6044" s="5" t="str">
        <x:v>虋</x:v>
      </x:c>
      <x:c r="B6044" s="6" t="str">
        <x:v>平</x:v>
      </x:c>
      <x:c r="C6044" s="6" t="str">
        <x:f>IF(B6044="","Needs decision","Ready")</x:f>
        <x:v>Ready</x:v>
      </x:c>
      <x:c r="D6044" s="6" t="str">
        <x:v>平</x:v>
      </x:c>
      <x:c r="E6044" s="6" t="str"/>
      <x:c r="F6044" s="6" t="str">
        <x:v>上平聲十三元</x:v>
      </x:c>
      <x:c r="G6044" s="6" t="str">
        <x:v>Pingshui main list, Wikisource-derived DOCX</x:v>
      </x:c>
      <x:c r="H6044" s="6" t="str"/>
      <x:c r="I6044" s="6" t="str">
        <x:v>Lu Qinli gap fill from Pingshui main list; 詞 entries ignored</x:v>
      </x:c>
      <x:c r="J6044" s="6" t="str">
        <x:f>IF(B6044="","",IF(AND(ISNUMBER(SEARCH("平",B6044)),OR(ISNUMBER(SEARCH("上",B6044)),ISNUMBER(SEARCH("去",B6044)),ISNUMBER(SEARCH("入",B6044)))),"Ambiguous",IF(ISNUMBER(SEARCH("平",B6044)),"平","仄")))</x:f>
        <x:v>平</x:v>
      </x:c>
      <x:c r="K6044" s="6" t="str">
        <x:f>IF(D6044="","",IF(AND(ISNUMBER(SEARCH("平",D6044)),OR(ISNUMBER(SEARCH("上",D6044)),ISNUMBER(SEARCH("去",D6044)),ISNUMBER(SEARCH("入",D6044)))),"Ambiguous",IF(ISNUMBER(SEARCH("平",D6044)),"平","仄")))</x:f>
        <x:v>平</x:v>
      </x:c>
      <x:c r="L6044" s="7" t="str">
        <x:v>Pingshui main list, Lu Qinli gap fill</x:v>
      </x:c>
    </x:row>
    <x:row r="6045">
      <x:c r="A6045" s="5" t="str">
        <x:v>虓</x:v>
      </x:c>
      <x:c r="B6045" s="6" t="str">
        <x:v>平</x:v>
      </x:c>
      <x:c r="C6045" s="6" t="str">
        <x:f>IF(B6045="","Needs decision","Ready")</x:f>
        <x:v>Ready</x:v>
      </x:c>
      <x:c r="D6045" s="6" t="str">
        <x:v>平</x:v>
      </x:c>
      <x:c r="E6045" s="6" t="str"/>
      <x:c r="F6045" s="6" t="str">
        <x:v>下平聲三肴</x:v>
      </x:c>
      <x:c r="G6045" s="6" t="str">
        <x:v>Pingshui main list, Wikisource-derived DOCX</x:v>
      </x:c>
      <x:c r="H6045" s="6" t="str"/>
      <x:c r="I6045" s="6" t="str">
        <x:v>Lu Qinli gap fill from Pingshui main list; 詞 entries ignored</x:v>
      </x:c>
      <x:c r="J6045" s="6" t="str">
        <x:f>IF(B6045="","",IF(AND(ISNUMBER(SEARCH("平",B6045)),OR(ISNUMBER(SEARCH("上",B6045)),ISNUMBER(SEARCH("去",B6045)),ISNUMBER(SEARCH("入",B6045)))),"Ambiguous",IF(ISNUMBER(SEARCH("平",B6045)),"平","仄")))</x:f>
        <x:v>平</x:v>
      </x:c>
      <x:c r="K6045" s="6" t="str">
        <x:f>IF(D6045="","",IF(AND(ISNUMBER(SEARCH("平",D6045)),OR(ISNUMBER(SEARCH("上",D6045)),ISNUMBER(SEARCH("去",D6045)),ISNUMBER(SEARCH("入",D6045)))),"Ambiguous",IF(ISNUMBER(SEARCH("平",D6045)),"平","仄")))</x:f>
        <x:v>平</x:v>
      </x:c>
      <x:c r="L6045" s="7" t="str">
        <x:v>Pingshui main list, Lu Qinli gap fill</x:v>
      </x:c>
    </x:row>
    <x:row r="6046">
      <x:c r="A6046" s="5" t="str">
        <x:v>虙</x:v>
      </x:c>
      <x:c r="B6046" s="6" t="str">
        <x:v>入</x:v>
      </x:c>
      <x:c r="C6046" s="6" t="str">
        <x:f>IF(B6046="","Needs decision","Ready")</x:f>
        <x:v>Ready</x:v>
      </x:c>
      <x:c r="D6046" s="6" t="str">
        <x:v>入</x:v>
      </x:c>
      <x:c r="E6046" s="6" t="str"/>
      <x:c r="F6046" s="6" t="str">
        <x:v>入聲一屋</x:v>
      </x:c>
      <x:c r="G6046" s="6" t="str">
        <x:v>Pingshui main list, Wikisource-derived DOCX</x:v>
      </x:c>
      <x:c r="H6046" s="6" t="str"/>
      <x:c r="I6046" s="6" t="str">
        <x:v>Lu Qinli gap fill from Pingshui main list; 詞 entries ignored</x:v>
      </x:c>
      <x:c r="J6046" s="6" t="str">
        <x:f>IF(B6046="","",IF(AND(ISNUMBER(SEARCH("平",B6046)),OR(ISNUMBER(SEARCH("上",B6046)),ISNUMBER(SEARCH("去",B6046)),ISNUMBER(SEARCH("入",B6046)))),"Ambiguous",IF(ISNUMBER(SEARCH("平",B6046)),"平","仄")))</x:f>
        <x:v>仄</x:v>
      </x:c>
      <x:c r="K6046" s="6" t="str">
        <x:f>IF(D6046="","",IF(AND(ISNUMBER(SEARCH("平",D6046)),OR(ISNUMBER(SEARCH("上",D6046)),ISNUMBER(SEARCH("去",D6046)),ISNUMBER(SEARCH("入",D6046)))),"Ambiguous",IF(ISNUMBER(SEARCH("平",D6046)),"平","仄")))</x:f>
        <x:v>仄</x:v>
      </x:c>
      <x:c r="L6046" s="7" t="str">
        <x:v>Pingshui main list, Lu Qinli gap fill</x:v>
      </x:c>
    </x:row>
    <x:row r="6047">
      <x:c r="A6047" s="5" t="str">
        <x:v>虡</x:v>
      </x:c>
      <x:c r="B6047" s="6" t="str">
        <x:v>上</x:v>
      </x:c>
      <x:c r="C6047" s="6" t="str">
        <x:f>IF(B6047="","Needs decision","Ready")</x:f>
        <x:v>Ready</x:v>
      </x:c>
      <x:c r="D6047" s="6" t="str">
        <x:v>上</x:v>
      </x:c>
      <x:c r="E6047" s="6" t="str"/>
      <x:c r="F6047" s="6" t="str">
        <x:v>上聲六語</x:v>
      </x:c>
      <x:c r="G6047" s="6" t="str">
        <x:v>Pingshui main list, Wikisource-derived DOCX</x:v>
      </x:c>
      <x:c r="H6047" s="6" t="str"/>
      <x:c r="I6047" s="6" t="str">
        <x:v>Lu Qinli gap fill from Pingshui main list; 詞 entries ignored</x:v>
      </x:c>
      <x:c r="J6047" s="6" t="str">
        <x:f>IF(B6047="","",IF(AND(ISNUMBER(SEARCH("平",B6047)),OR(ISNUMBER(SEARCH("上",B6047)),ISNUMBER(SEARCH("去",B6047)),ISNUMBER(SEARCH("入",B6047)))),"Ambiguous",IF(ISNUMBER(SEARCH("平",B6047)),"平","仄")))</x:f>
        <x:v>仄</x:v>
      </x:c>
      <x:c r="K6047" s="6" t="str">
        <x:f>IF(D6047="","",IF(AND(ISNUMBER(SEARCH("平",D6047)),OR(ISNUMBER(SEARCH("上",D6047)),ISNUMBER(SEARCH("去",D6047)),ISNUMBER(SEARCH("入",D6047)))),"Ambiguous",IF(ISNUMBER(SEARCH("平",D6047)),"平","仄")))</x:f>
        <x:v>仄</x:v>
      </x:c>
      <x:c r="L6047" s="7" t="str">
        <x:v>Pingshui main list, Lu Qinli gap fill</x:v>
      </x:c>
    </x:row>
    <x:row r="6048">
      <x:c r="A6048" s="5" t="str">
        <x:v>蚡</x:v>
      </x:c>
      <x:c r="B6048" s="6" t="str">
        <x:v>上</x:v>
      </x:c>
      <x:c r="C6048" s="6" t="str">
        <x:f>IF(B6048="","Needs decision","Ready")</x:f>
        <x:v>Ready</x:v>
      </x:c>
      <x:c r="D6048" s="6" t="str">
        <x:v>上</x:v>
      </x:c>
      <x:c r="E6048" s="6" t="str"/>
      <x:c r="F6048" s="6" t="str">
        <x:v>上聲十二吻</x:v>
      </x:c>
      <x:c r="G6048" s="6" t="str">
        <x:v>Pingshui main list, Wikisource-derived DOCX</x:v>
      </x:c>
      <x:c r="H6048" s="6" t="str"/>
      <x:c r="I6048" s="6" t="str">
        <x:v>Lu Qinli gap fill from Pingshui main list; 詞 entries ignored</x:v>
      </x:c>
      <x:c r="J6048" s="6" t="str">
        <x:f>IF(B6048="","",IF(AND(ISNUMBER(SEARCH("平",B6048)),OR(ISNUMBER(SEARCH("上",B6048)),ISNUMBER(SEARCH("去",B6048)),ISNUMBER(SEARCH("入",B6048)))),"Ambiguous",IF(ISNUMBER(SEARCH("平",B6048)),"平","仄")))</x:f>
        <x:v>仄</x:v>
      </x:c>
      <x:c r="K6048" s="6" t="str">
        <x:f>IF(D6048="","",IF(AND(ISNUMBER(SEARCH("平",D6048)),OR(ISNUMBER(SEARCH("上",D6048)),ISNUMBER(SEARCH("去",D6048)),ISNUMBER(SEARCH("入",D6048)))),"Ambiguous",IF(ISNUMBER(SEARCH("平",D6048)),"平","仄")))</x:f>
        <x:v>仄</x:v>
      </x:c>
      <x:c r="L6048" s="7" t="str">
        <x:v>Pingshui main list, Lu Qinli gap fill</x:v>
      </x:c>
    </x:row>
    <x:row r="6049">
      <x:c r="A6049" s="5" t="str">
        <x:v>蚺</x:v>
      </x:c>
      <x:c r="B6049" s="6" t="str">
        <x:v>平</x:v>
      </x:c>
      <x:c r="C6049" s="6" t="str">
        <x:f>IF(B6049="","Needs decision","Ready")</x:f>
        <x:v>Ready</x:v>
      </x:c>
      <x:c r="D6049" s="6" t="str">
        <x:v>平</x:v>
      </x:c>
      <x:c r="E6049" s="6" t="str"/>
      <x:c r="F6049" s="6" t="str">
        <x:v>下平聲十四鹽</x:v>
      </x:c>
      <x:c r="G6049" s="6" t="str">
        <x:v>Pingshui main list, Wikisource-derived DOCX</x:v>
      </x:c>
      <x:c r="H6049" s="6" t="str"/>
      <x:c r="I6049" s="6" t="str">
        <x:v>Lu Qinli gap fill from Pingshui main list; 詞 entries ignored</x:v>
      </x:c>
      <x:c r="J6049" s="6" t="str">
        <x:f>IF(B6049="","",IF(AND(ISNUMBER(SEARCH("平",B6049)),OR(ISNUMBER(SEARCH("上",B6049)),ISNUMBER(SEARCH("去",B6049)),ISNUMBER(SEARCH("入",B6049)))),"Ambiguous",IF(ISNUMBER(SEARCH("平",B6049)),"平","仄")))</x:f>
        <x:v>平</x:v>
      </x:c>
      <x:c r="K6049" s="6" t="str">
        <x:f>IF(D6049="","",IF(AND(ISNUMBER(SEARCH("平",D6049)),OR(ISNUMBER(SEARCH("上",D6049)),ISNUMBER(SEARCH("去",D6049)),ISNUMBER(SEARCH("入",D6049)))),"Ambiguous",IF(ISNUMBER(SEARCH("平",D6049)),"平","仄")))</x:f>
        <x:v>平</x:v>
      </x:c>
      <x:c r="L6049" s="7" t="str">
        <x:v>Pingshui main list, Lu Qinli gap fill</x:v>
      </x:c>
    </x:row>
    <x:row r="6050">
      <x:c r="A6050" s="5" t="str">
        <x:v>蛄</x:v>
      </x:c>
      <x:c r="B6050" s="6" t="str">
        <x:v>平</x:v>
      </x:c>
      <x:c r="C6050" s="6" t="str">
        <x:f>IF(B6050="","Needs decision","Ready")</x:f>
        <x:v>Ready</x:v>
      </x:c>
      <x:c r="D6050" s="6" t="str">
        <x:v>平</x:v>
      </x:c>
      <x:c r="E6050" s="6" t="str"/>
      <x:c r="F6050" s="6" t="str">
        <x:v>上平聲七虞</x:v>
      </x:c>
      <x:c r="G6050" s="6" t="str">
        <x:v>Pingshui main list, Wikisource-derived DOCX</x:v>
      </x:c>
      <x:c r="H6050" s="6" t="str"/>
      <x:c r="I6050" s="6" t="str">
        <x:v>Lu Qinli gap fill from Pingshui main list; 詞 entries ignored</x:v>
      </x:c>
      <x:c r="J6050" s="6" t="str">
        <x:f>IF(B6050="","",IF(AND(ISNUMBER(SEARCH("平",B6050)),OR(ISNUMBER(SEARCH("上",B6050)),ISNUMBER(SEARCH("去",B6050)),ISNUMBER(SEARCH("入",B6050)))),"Ambiguous",IF(ISNUMBER(SEARCH("平",B6050)),"平","仄")))</x:f>
        <x:v>平</x:v>
      </x:c>
      <x:c r="K6050" s="6" t="str">
        <x:f>IF(D6050="","",IF(AND(ISNUMBER(SEARCH("平",D6050)),OR(ISNUMBER(SEARCH("上",D6050)),ISNUMBER(SEARCH("去",D6050)),ISNUMBER(SEARCH("入",D6050)))),"Ambiguous",IF(ISNUMBER(SEARCH("平",D6050)),"平","仄")))</x:f>
        <x:v>平</x:v>
      </x:c>
      <x:c r="L6050" s="7" t="str">
        <x:v>Pingshui main list, Lu Qinli gap fill</x:v>
      </x:c>
    </x:row>
    <x:row r="6051">
      <x:c r="A6051" s="5" t="str">
        <x:v>蛆</x:v>
      </x:c>
      <x:c r="B6051" s="6" t="str">
        <x:v>平</x:v>
      </x:c>
      <x:c r="C6051" s="6" t="str">
        <x:f>IF(B6051="","Needs decision","Ready")</x:f>
        <x:v>Ready</x:v>
      </x:c>
      <x:c r="D6051" s="6" t="str">
        <x:v>平</x:v>
      </x:c>
      <x:c r="E6051" s="6" t="str"/>
      <x:c r="F6051" s="6" t="str">
        <x:v>上平聲六魚</x:v>
      </x:c>
      <x:c r="G6051" s="6" t="str">
        <x:v>Pingshui main list, Wikisource-derived DOCX</x:v>
      </x:c>
      <x:c r="H6051" s="6" t="str"/>
      <x:c r="I6051" s="6" t="str">
        <x:v>Lu Qinli gap fill from Pingshui main list; 詞 entries ignored</x:v>
      </x:c>
      <x:c r="J6051" s="6" t="str">
        <x:f>IF(B6051="","",IF(AND(ISNUMBER(SEARCH("平",B6051)),OR(ISNUMBER(SEARCH("上",B6051)),ISNUMBER(SEARCH("去",B6051)),ISNUMBER(SEARCH("入",B6051)))),"Ambiguous",IF(ISNUMBER(SEARCH("平",B6051)),"平","仄")))</x:f>
        <x:v>平</x:v>
      </x:c>
      <x:c r="K6051" s="6" t="str">
        <x:f>IF(D6051="","",IF(AND(ISNUMBER(SEARCH("平",D6051)),OR(ISNUMBER(SEARCH("上",D6051)),ISNUMBER(SEARCH("去",D6051)),ISNUMBER(SEARCH("入",D6051)))),"Ambiguous",IF(ISNUMBER(SEARCH("平",D6051)),"平","仄")))</x:f>
        <x:v>平</x:v>
      </x:c>
      <x:c r="L6051" s="7" t="str">
        <x:v>Pingshui main list, Lu Qinli gap fill</x:v>
      </x:c>
    </x:row>
    <x:row r="6052">
      <x:c r="A6052" s="5" t="str">
        <x:v>蛚</x:v>
      </x:c>
      <x:c r="B6052" s="6" t="str">
        <x:v>入</x:v>
      </x:c>
      <x:c r="C6052" s="6" t="str">
        <x:f>IF(B6052="","Needs decision","Ready")</x:f>
        <x:v>Ready</x:v>
      </x:c>
      <x:c r="D6052" s="6" t="str">
        <x:v>入</x:v>
      </x:c>
      <x:c r="E6052" s="6" t="str"/>
      <x:c r="F6052" s="6" t="str">
        <x:v>入聲九屑</x:v>
      </x:c>
      <x:c r="G6052" s="6" t="str">
        <x:v>Pingshui main list, Wikisource-derived DOCX</x:v>
      </x:c>
      <x:c r="H6052" s="6" t="str"/>
      <x:c r="I6052" s="6" t="str">
        <x:v>Lu Qinli gap fill from Pingshui main list; 詞 entries ignored</x:v>
      </x:c>
      <x:c r="J6052" s="6" t="str">
        <x:f>IF(B6052="","",IF(AND(ISNUMBER(SEARCH("平",B6052)),OR(ISNUMBER(SEARCH("上",B6052)),ISNUMBER(SEARCH("去",B6052)),ISNUMBER(SEARCH("入",B6052)))),"Ambiguous",IF(ISNUMBER(SEARCH("平",B6052)),"平","仄")))</x:f>
        <x:v>仄</x:v>
      </x:c>
      <x:c r="K6052" s="6" t="str">
        <x:f>IF(D6052="","",IF(AND(ISNUMBER(SEARCH("平",D6052)),OR(ISNUMBER(SEARCH("上",D6052)),ISNUMBER(SEARCH("去",D6052)),ISNUMBER(SEARCH("入",D6052)))),"Ambiguous",IF(ISNUMBER(SEARCH("平",D6052)),"平","仄")))</x:f>
        <x:v>仄</x:v>
      </x:c>
      <x:c r="L6052" s="7" t="str">
        <x:v>Pingshui main list, Lu Qinli gap fill</x:v>
      </x:c>
    </x:row>
    <x:row r="6053">
      <x:c r="A6053" s="5" t="str">
        <x:v>蛤</x:v>
      </x:c>
      <x:c r="B6053" s="6" t="str">
        <x:v>入</x:v>
      </x:c>
      <x:c r="C6053" s="6" t="str">
        <x:f>IF(B6053="","Needs decision","Ready")</x:f>
        <x:v>Ready</x:v>
      </x:c>
      <x:c r="D6053" s="6" t="str">
        <x:v>入</x:v>
      </x:c>
      <x:c r="E6053" s="6" t="str"/>
      <x:c r="F6053" s="6" t="str">
        <x:v>入聲十五合</x:v>
      </x:c>
      <x:c r="G6053" s="6" t="str">
        <x:v>Pingshui main list, Wikisource-derived DOCX</x:v>
      </x:c>
      <x:c r="H6053" s="6" t="str"/>
      <x:c r="I6053" s="6" t="str">
        <x:v>Lu Qinli gap fill from Pingshui main list; 詞 entries ignored</x:v>
      </x:c>
      <x:c r="J6053" s="6" t="str">
        <x:f>IF(B6053="","",IF(AND(ISNUMBER(SEARCH("平",B6053)),OR(ISNUMBER(SEARCH("上",B6053)),ISNUMBER(SEARCH("去",B6053)),ISNUMBER(SEARCH("入",B6053)))),"Ambiguous",IF(ISNUMBER(SEARCH("平",B6053)),"平","仄")))</x:f>
        <x:v>仄</x:v>
      </x:c>
      <x:c r="K6053" s="6" t="str">
        <x:f>IF(D6053="","",IF(AND(ISNUMBER(SEARCH("平",D6053)),OR(ISNUMBER(SEARCH("上",D6053)),ISNUMBER(SEARCH("去",D6053)),ISNUMBER(SEARCH("入",D6053)))),"Ambiguous",IF(ISNUMBER(SEARCH("平",D6053)),"平","仄")))</x:f>
        <x:v>仄</x:v>
      </x:c>
      <x:c r="L6053" s="7" t="str">
        <x:v>Pingshui main list, Lu Qinli gap fill</x:v>
      </x:c>
    </x:row>
    <x:row r="6054">
      <x:c r="A6054" s="5" t="str">
        <x:v>蛩</x:v>
      </x:c>
      <x:c r="B6054" s="6" t="str">
        <x:v>平</x:v>
      </x:c>
      <x:c r="C6054" s="6" t="str">
        <x:f>IF(B6054="","Needs decision","Ready")</x:f>
        <x:v>Ready</x:v>
      </x:c>
      <x:c r="D6054" s="6" t="str">
        <x:v>平</x:v>
      </x:c>
      <x:c r="E6054" s="6" t="str"/>
      <x:c r="F6054" s="6" t="str">
        <x:v>上平聲二冬</x:v>
      </x:c>
      <x:c r="G6054" s="6" t="str">
        <x:v>Pingshui main list, Wikisource-derived DOCX</x:v>
      </x:c>
      <x:c r="H6054" s="6" t="str"/>
      <x:c r="I6054" s="6" t="str">
        <x:v>Lu Qinli gap fill from Pingshui main list; 詞 entries ignored</x:v>
      </x:c>
      <x:c r="J6054" s="6" t="str">
        <x:f>IF(B6054="","",IF(AND(ISNUMBER(SEARCH("平",B6054)),OR(ISNUMBER(SEARCH("上",B6054)),ISNUMBER(SEARCH("去",B6054)),ISNUMBER(SEARCH("入",B6054)))),"Ambiguous",IF(ISNUMBER(SEARCH("平",B6054)),"平","仄")))</x:f>
        <x:v>平</x:v>
      </x:c>
      <x:c r="K6054" s="6" t="str">
        <x:f>IF(D6054="","",IF(AND(ISNUMBER(SEARCH("平",D6054)),OR(ISNUMBER(SEARCH("上",D6054)),ISNUMBER(SEARCH("去",D6054)),ISNUMBER(SEARCH("入",D6054)))),"Ambiguous",IF(ISNUMBER(SEARCH("平",D6054)),"平","仄")))</x:f>
        <x:v>平</x:v>
      </x:c>
      <x:c r="L6054" s="7" t="str">
        <x:v>Pingshui main list, Lu Qinli gap fill</x:v>
      </x:c>
    </x:row>
    <x:row r="6055">
      <x:c r="A6055" s="5" t="str">
        <x:v>蛸</x:v>
      </x:c>
      <x:c r="B6055" s="6" t="str">
        <x:v>平</x:v>
      </x:c>
      <x:c r="C6055" s="6" t="str">
        <x:f>IF(B6055="","Needs decision","Ready")</x:f>
        <x:v>Ready</x:v>
      </x:c>
      <x:c r="D6055" s="6" t="str">
        <x:v>平</x:v>
      </x:c>
      <x:c r="E6055" s="6" t="str"/>
      <x:c r="F6055" s="6" t="str">
        <x:v>下平聲二蕭; 下平聲三肴</x:v>
      </x:c>
      <x:c r="G6055" s="6" t="str">
        <x:v>Pingshui main list, Wikisource-derived DOCX</x:v>
      </x:c>
      <x:c r="H6055" s="6" t="str"/>
      <x:c r="I6055" s="6" t="str">
        <x:v>Lu Qinli gap fill from Pingshui main list; 詞 entries ignored</x:v>
      </x:c>
      <x:c r="J6055" s="6" t="str">
        <x:f>IF(B6055="","",IF(AND(ISNUMBER(SEARCH("平",B6055)),OR(ISNUMBER(SEARCH("上",B6055)),ISNUMBER(SEARCH("去",B6055)),ISNUMBER(SEARCH("入",B6055)))),"Ambiguous",IF(ISNUMBER(SEARCH("平",B6055)),"平","仄")))</x:f>
        <x:v>平</x:v>
      </x:c>
      <x:c r="K6055" s="6" t="str">
        <x:f>IF(D6055="","",IF(AND(ISNUMBER(SEARCH("平",D6055)),OR(ISNUMBER(SEARCH("上",D6055)),ISNUMBER(SEARCH("去",D6055)),ISNUMBER(SEARCH("入",D6055)))),"Ambiguous",IF(ISNUMBER(SEARCH("平",D6055)),"平","仄")))</x:f>
        <x:v>平</x:v>
      </x:c>
      <x:c r="L6055" s="7" t="str">
        <x:v>Pingshui main list, Lu Qinli gap fill</x:v>
      </x:c>
    </x:row>
    <x:row r="6056">
      <x:c r="A6056" s="5" t="str">
        <x:v>蛺</x:v>
      </x:c>
      <x:c r="B6056" s="6" t="str">
        <x:v>入</x:v>
      </x:c>
      <x:c r="C6056" s="6" t="str">
        <x:f>IF(B6056="","Needs decision","Ready")</x:f>
        <x:v>Ready</x:v>
      </x:c>
      <x:c r="D6056" s="6" t="str">
        <x:v>入</x:v>
      </x:c>
      <x:c r="E6056" s="6" t="str"/>
      <x:c r="F6056" s="6" t="str">
        <x:v>入聲十六葉</x:v>
      </x:c>
      <x:c r="G6056" s="6" t="str">
        <x:v>Pingshui main list, Wikisource-derived DOCX</x:v>
      </x:c>
      <x:c r="H6056" s="6" t="str"/>
      <x:c r="I6056" s="6" t="str">
        <x:v>Lu Qinli gap fill from Pingshui main list; 詞 entries ignored</x:v>
      </x:c>
      <x:c r="J6056" s="6" t="str">
        <x:f>IF(B6056="","",IF(AND(ISNUMBER(SEARCH("平",B6056)),OR(ISNUMBER(SEARCH("上",B6056)),ISNUMBER(SEARCH("去",B6056)),ISNUMBER(SEARCH("入",B6056)))),"Ambiguous",IF(ISNUMBER(SEARCH("平",B6056)),"平","仄")))</x:f>
        <x:v>仄</x:v>
      </x:c>
      <x:c r="K6056" s="6" t="str">
        <x:f>IF(D6056="","",IF(AND(ISNUMBER(SEARCH("平",D6056)),OR(ISNUMBER(SEARCH("上",D6056)),ISNUMBER(SEARCH("去",D6056)),ISNUMBER(SEARCH("入",D6056)))),"Ambiguous",IF(ISNUMBER(SEARCH("平",D6056)),"平","仄")))</x:f>
        <x:v>仄</x:v>
      </x:c>
      <x:c r="L6056" s="7" t="str">
        <x:v>Pingshui main list, Lu Qinli gap fill</x:v>
      </x:c>
    </x:row>
    <x:row r="6057">
      <x:c r="A6057" s="5" t="str">
        <x:v>蛻</x:v>
      </x:c>
      <x:c r="B6057" s="6" t="str">
        <x:v>去</x:v>
      </x:c>
      <x:c r="C6057" s="6" t="str">
        <x:f>IF(B6057="","Needs decision","Ready")</x:f>
        <x:v>Ready</x:v>
      </x:c>
      <x:c r="D6057" s="6" t="str">
        <x:v>去</x:v>
      </x:c>
      <x:c r="E6057" s="6" t="str"/>
      <x:c r="F6057" s="6" t="str">
        <x:v>去聲八霽; 去聲九泰</x:v>
      </x:c>
      <x:c r="G6057" s="6" t="str">
        <x:v>Pingshui main list, Wikisource-derived DOCX</x:v>
      </x:c>
      <x:c r="H6057" s="6" t="str"/>
      <x:c r="I6057" s="6" t="str">
        <x:v>Lu Qinli gap fill from Pingshui main list; 詞 entries ignored</x:v>
      </x:c>
      <x:c r="J6057" s="6" t="str">
        <x:f>IF(B6057="","",IF(AND(ISNUMBER(SEARCH("平",B6057)),OR(ISNUMBER(SEARCH("上",B6057)),ISNUMBER(SEARCH("去",B6057)),ISNUMBER(SEARCH("入",B6057)))),"Ambiguous",IF(ISNUMBER(SEARCH("平",B6057)),"平","仄")))</x:f>
        <x:v>仄</x:v>
      </x:c>
      <x:c r="K6057" s="6" t="str">
        <x:f>IF(D6057="","",IF(AND(ISNUMBER(SEARCH("平",D6057)),OR(ISNUMBER(SEARCH("上",D6057)),ISNUMBER(SEARCH("去",D6057)),ISNUMBER(SEARCH("入",D6057)))),"Ambiguous",IF(ISNUMBER(SEARCH("平",D6057)),"平","仄")))</x:f>
        <x:v>仄</x:v>
      </x:c>
      <x:c r="L6057" s="7" t="str">
        <x:v>Pingshui main list, Lu Qinli gap fill</x:v>
      </x:c>
    </x:row>
    <x:row r="6058">
      <x:c r="A6058" s="5" t="str">
        <x:v>蜍</x:v>
      </x:c>
      <x:c r="B6058" s="6" t="str">
        <x:v>平</x:v>
      </x:c>
      <x:c r="C6058" s="6" t="str">
        <x:f>IF(B6058="","Needs decision","Ready")</x:f>
        <x:v>Ready</x:v>
      </x:c>
      <x:c r="D6058" s="6" t="str">
        <x:v>平</x:v>
      </x:c>
      <x:c r="E6058" s="6" t="str"/>
      <x:c r="F6058" s="6" t="str">
        <x:v>上平聲六魚</x:v>
      </x:c>
      <x:c r="G6058" s="6" t="str">
        <x:v>Pingshui main list, Wikisource-derived DOCX</x:v>
      </x:c>
      <x:c r="H6058" s="6" t="str"/>
      <x:c r="I6058" s="6" t="str">
        <x:v>Lu Qinli gap fill from Pingshui main list; 詞 entries ignored</x:v>
      </x:c>
      <x:c r="J6058" s="6" t="str">
        <x:f>IF(B6058="","",IF(AND(ISNUMBER(SEARCH("平",B6058)),OR(ISNUMBER(SEARCH("上",B6058)),ISNUMBER(SEARCH("去",B6058)),ISNUMBER(SEARCH("入",B6058)))),"Ambiguous",IF(ISNUMBER(SEARCH("平",B6058)),"平","仄")))</x:f>
        <x:v>平</x:v>
      </x:c>
      <x:c r="K6058" s="6" t="str">
        <x:f>IF(D6058="","",IF(AND(ISNUMBER(SEARCH("平",D6058)),OR(ISNUMBER(SEARCH("上",D6058)),ISNUMBER(SEARCH("去",D6058)),ISNUMBER(SEARCH("入",D6058)))),"Ambiguous",IF(ISNUMBER(SEARCH("平",D6058)),"平","仄")))</x:f>
        <x:v>平</x:v>
      </x:c>
      <x:c r="L6058" s="7" t="str">
        <x:v>Pingshui main list, Lu Qinli gap fill</x:v>
      </x:c>
    </x:row>
    <x:row r="6059">
      <x:c r="A6059" s="5" t="str">
        <x:v>蜒</x:v>
      </x:c>
      <x:c r="B6059" s="6" t="str">
        <x:v>平</x:v>
      </x:c>
      <x:c r="C6059" s="6" t="str">
        <x:f>IF(B6059="","Needs decision","Ready")</x:f>
        <x:v>Ready</x:v>
      </x:c>
      <x:c r="D6059" s="6" t="str">
        <x:v>平</x:v>
      </x:c>
      <x:c r="E6059" s="6" t="str"/>
      <x:c r="F6059" s="6" t="str">
        <x:v>下平聲一先</x:v>
      </x:c>
      <x:c r="G6059" s="6" t="str">
        <x:v>Pingshui main list, Wikisource-derived DOCX</x:v>
      </x:c>
      <x:c r="H6059" s="6" t="str"/>
      <x:c r="I6059" s="6" t="str">
        <x:v>Lu Qinli gap fill from Pingshui main list; 詞 entries ignored</x:v>
      </x:c>
      <x:c r="J6059" s="6" t="str">
        <x:f>IF(B6059="","",IF(AND(ISNUMBER(SEARCH("平",B6059)),OR(ISNUMBER(SEARCH("上",B6059)),ISNUMBER(SEARCH("去",B6059)),ISNUMBER(SEARCH("入",B6059)))),"Ambiguous",IF(ISNUMBER(SEARCH("平",B6059)),"平","仄")))</x:f>
        <x:v>平</x:v>
      </x:c>
      <x:c r="K6059" s="6" t="str">
        <x:f>IF(D6059="","",IF(AND(ISNUMBER(SEARCH("平",D6059)),OR(ISNUMBER(SEARCH("上",D6059)),ISNUMBER(SEARCH("去",D6059)),ISNUMBER(SEARCH("入",D6059)))),"Ambiguous",IF(ISNUMBER(SEARCH("平",D6059)),"平","仄")))</x:f>
        <x:v>平</x:v>
      </x:c>
      <x:c r="L6059" s="7" t="str">
        <x:v>Pingshui main list, Lu Qinli gap fill</x:v>
      </x:c>
    </x:row>
    <x:row r="6060">
      <x:c r="A6060" s="5" t="str">
        <x:v>蜧</x:v>
      </x:c>
      <x:c r="B6060" s="6" t="str">
        <x:v>去</x:v>
      </x:c>
      <x:c r="C6060" s="6" t="str">
        <x:f>IF(B6060="","Needs decision","Ready")</x:f>
        <x:v>Ready</x:v>
      </x:c>
      <x:c r="D6060" s="6" t="str">
        <x:v>去</x:v>
      </x:c>
      <x:c r="E6060" s="6" t="str"/>
      <x:c r="F6060" s="6" t="str">
        <x:v>去聲八霽</x:v>
      </x:c>
      <x:c r="G6060" s="6" t="str">
        <x:v>Pingshui main list, Wikisource-derived DOCX</x:v>
      </x:c>
      <x:c r="H6060" s="6" t="str"/>
      <x:c r="I6060" s="6" t="str">
        <x:v>Lu Qinli gap fill from Pingshui main list; 詞 entries ignored</x:v>
      </x:c>
      <x:c r="J6060" s="6" t="str">
        <x:f>IF(B6060="","",IF(AND(ISNUMBER(SEARCH("平",B6060)),OR(ISNUMBER(SEARCH("上",B6060)),ISNUMBER(SEARCH("去",B6060)),ISNUMBER(SEARCH("入",B6060)))),"Ambiguous",IF(ISNUMBER(SEARCH("平",B6060)),"平","仄")))</x:f>
        <x:v>仄</x:v>
      </x:c>
      <x:c r="K6060" s="6" t="str">
        <x:f>IF(D6060="","",IF(AND(ISNUMBER(SEARCH("平",D6060)),OR(ISNUMBER(SEARCH("上",D6060)),ISNUMBER(SEARCH("去",D6060)),ISNUMBER(SEARCH("入",D6060)))),"Ambiguous",IF(ISNUMBER(SEARCH("平",D6060)),"平","仄")))</x:f>
        <x:v>仄</x:v>
      </x:c>
      <x:c r="L6060" s="7" t="str">
        <x:v>Pingshui main list, Lu Qinli gap fill</x:v>
      </x:c>
    </x:row>
    <x:row r="6061">
      <x:c r="A6061" s="5" t="str">
        <x:v>蜩</x:v>
      </x:c>
      <x:c r="B6061" s="6" t="str">
        <x:v>平</x:v>
      </x:c>
      <x:c r="C6061" s="6" t="str">
        <x:f>IF(B6061="","Needs decision","Ready")</x:f>
        <x:v>Ready</x:v>
      </x:c>
      <x:c r="D6061" s="6" t="str">
        <x:v>平</x:v>
      </x:c>
      <x:c r="E6061" s="6" t="str"/>
      <x:c r="F6061" s="6" t="str">
        <x:v>下平聲二蕭</x:v>
      </x:c>
      <x:c r="G6061" s="6" t="str">
        <x:v>Pingshui main list, Wikisource-derived DOCX</x:v>
      </x:c>
      <x:c r="H6061" s="6" t="str"/>
      <x:c r="I6061" s="6" t="str">
        <x:v>Lu Qinli gap fill from Pingshui main list; 詞 entries ignored</x:v>
      </x:c>
      <x:c r="J6061" s="6" t="str">
        <x:f>IF(B6061="","",IF(AND(ISNUMBER(SEARCH("平",B6061)),OR(ISNUMBER(SEARCH("上",B6061)),ISNUMBER(SEARCH("去",B6061)),ISNUMBER(SEARCH("入",B6061)))),"Ambiguous",IF(ISNUMBER(SEARCH("平",B6061)),"平","仄")))</x:f>
        <x:v>平</x:v>
      </x:c>
      <x:c r="K6061" s="6" t="str">
        <x:f>IF(D6061="","",IF(AND(ISNUMBER(SEARCH("平",D6061)),OR(ISNUMBER(SEARCH("上",D6061)),ISNUMBER(SEARCH("去",D6061)),ISNUMBER(SEARCH("入",D6061)))),"Ambiguous",IF(ISNUMBER(SEARCH("平",D6061)),"平","仄")))</x:f>
        <x:v>平</x:v>
      </x:c>
      <x:c r="L6061" s="7" t="str">
        <x:v>Pingshui main list, Lu Qinli gap fill</x:v>
      </x:c>
    </x:row>
    <x:row r="6062">
      <x:c r="A6062" s="5" t="str">
        <x:v>蜮</x:v>
      </x:c>
      <x:c r="B6062" s="6" t="str">
        <x:v>入</x:v>
      </x:c>
      <x:c r="C6062" s="6" t="str">
        <x:f>IF(B6062="","Needs decision","Ready")</x:f>
        <x:v>Ready</x:v>
      </x:c>
      <x:c r="D6062" s="6" t="str">
        <x:v>入</x:v>
      </x:c>
      <x:c r="E6062" s="6" t="str"/>
      <x:c r="F6062" s="6" t="str">
        <x:v>入聲十三職</x:v>
      </x:c>
      <x:c r="G6062" s="6" t="str">
        <x:v>Pingshui main list, Wikisource-derived DOCX</x:v>
      </x:c>
      <x:c r="H6062" s="6" t="str"/>
      <x:c r="I6062" s="6" t="str">
        <x:v>Lu Qinli gap fill from Pingshui main list; 詞 entries ignored</x:v>
      </x:c>
      <x:c r="J6062" s="6" t="str">
        <x:f>IF(B6062="","",IF(AND(ISNUMBER(SEARCH("平",B6062)),OR(ISNUMBER(SEARCH("上",B6062)),ISNUMBER(SEARCH("去",B6062)),ISNUMBER(SEARCH("入",B6062)))),"Ambiguous",IF(ISNUMBER(SEARCH("平",B6062)),"平","仄")))</x:f>
        <x:v>仄</x:v>
      </x:c>
      <x:c r="K6062" s="6" t="str">
        <x:f>IF(D6062="","",IF(AND(ISNUMBER(SEARCH("平",D6062)),OR(ISNUMBER(SEARCH("上",D6062)),ISNUMBER(SEARCH("去",D6062)),ISNUMBER(SEARCH("入",D6062)))),"Ambiguous",IF(ISNUMBER(SEARCH("平",D6062)),"平","仄")))</x:f>
        <x:v>仄</x:v>
      </x:c>
      <x:c r="L6062" s="7" t="str">
        <x:v>Pingshui main list, Lu Qinli gap fill</x:v>
      </x:c>
    </x:row>
    <x:row r="6063">
      <x:c r="A6063" s="5" t="str">
        <x:v>蜺</x:v>
      </x:c>
      <x:c r="B6063" s="6" t="str"/>
      <x:c r="C6063" s="6" t="str">
        <x:f>IF(B6063="","Needs decision","Ready")</x:f>
        <x:v>Needs decision</x:v>
      </x:c>
      <x:c r="D6063" s="6" t="str">
        <x:v>平/入</x:v>
      </x:c>
      <x:c r="E6063" s="6" t="str"/>
      <x:c r="F6063" s="6" t="str">
        <x:v>上平聲八齊; 入聲九屑</x:v>
      </x:c>
      <x:c r="G6063" s="6" t="str">
        <x:v>Pingshui main list, Wikisource-derived DOCX</x:v>
      </x:c>
      <x:c r="H6063" s="6" t="str"/>
      <x:c r="I6063" s="6" t="str">
        <x:v>Lu Qinli gap fill from Pingshui main list; 詞 entries ignored</x:v>
      </x:c>
      <x:c r="J6063" s="6" t="str">
        <x:f>IF(B6063="","",IF(AND(ISNUMBER(SEARCH("平",B6063)),OR(ISNUMBER(SEARCH("上",B6063)),ISNUMBER(SEARCH("去",B6063)),ISNUMBER(SEARCH("入",B6063)))),"Ambiguous",IF(ISNUMBER(SEARCH("平",B6063)),"平","仄")))</x:f>
      </x:c>
      <x:c r="K6063" s="6" t="str">
        <x:f>IF(D6063="","",IF(AND(ISNUMBER(SEARCH("平",D6063)),OR(ISNUMBER(SEARCH("上",D6063)),ISNUMBER(SEARCH("去",D6063)),ISNUMBER(SEARCH("入",D6063)))),"Ambiguous",IF(ISNUMBER(SEARCH("平",D6063)),"平","仄")))</x:f>
        <x:v>Ambiguous</x:v>
      </x:c>
      <x:c r="L6063" s="7" t="str">
        <x:v>Pingshui main list, Lu Qinli gap fill</x:v>
      </x:c>
    </x:row>
    <x:row r="6064">
      <x:c r="A6064" s="5" t="str">
        <x:v>蜿</x:v>
      </x:c>
      <x:c r="B6064" s="6" t="str"/>
      <x:c r="C6064" s="6" t="str">
        <x:f>IF(B6064="","Needs decision","Ready")</x:f>
        <x:v>Needs decision</x:v>
      </x:c>
      <x:c r="D6064" s="6" t="str">
        <x:v>平/上</x:v>
      </x:c>
      <x:c r="E6064" s="6" t="str"/>
      <x:c r="F6064" s="6" t="str">
        <x:v>上平聲十三元; 上聲十三阮</x:v>
      </x:c>
      <x:c r="G6064" s="6" t="str">
        <x:v>Pingshui main list, Wikisource-derived DOCX</x:v>
      </x:c>
      <x:c r="H6064" s="6" t="str"/>
      <x:c r="I6064" s="6" t="str">
        <x:v>Lu Qinli gap fill from Pingshui main list; 詞 entries ignored</x:v>
      </x:c>
      <x:c r="J6064" s="6" t="str">
        <x:f>IF(B6064="","",IF(AND(ISNUMBER(SEARCH("平",B6064)),OR(ISNUMBER(SEARCH("上",B6064)),ISNUMBER(SEARCH("去",B6064)),ISNUMBER(SEARCH("入",B6064)))),"Ambiguous",IF(ISNUMBER(SEARCH("平",B6064)),"平","仄")))</x:f>
      </x:c>
      <x:c r="K6064" s="6" t="str">
        <x:f>IF(D6064="","",IF(AND(ISNUMBER(SEARCH("平",D6064)),OR(ISNUMBER(SEARCH("上",D6064)),ISNUMBER(SEARCH("去",D6064)),ISNUMBER(SEARCH("入",D6064)))),"Ambiguous",IF(ISNUMBER(SEARCH("平",D6064)),"平","仄")))</x:f>
        <x:v>Ambiguous</x:v>
      </x:c>
      <x:c r="L6064" s="7" t="str">
        <x:v>Pingshui main list, Lu Qinli gap fill</x:v>
      </x:c>
    </x:row>
    <x:row r="6065">
      <x:c r="A6065" s="5" t="str">
        <x:v>蝑</x:v>
      </x:c>
      <x:c r="B6065" s="6" t="str">
        <x:v>平</x:v>
      </x:c>
      <x:c r="C6065" s="6" t="str">
        <x:f>IF(B6065="","Needs decision","Ready")</x:f>
        <x:v>Ready</x:v>
      </x:c>
      <x:c r="D6065" s="6" t="str">
        <x:v>平</x:v>
      </x:c>
      <x:c r="E6065" s="6" t="str"/>
      <x:c r="F6065" s="6" t="str">
        <x:v>上平聲六魚</x:v>
      </x:c>
      <x:c r="G6065" s="6" t="str">
        <x:v>Pingshui main list, Wikisource-derived DOCX</x:v>
      </x:c>
      <x:c r="H6065" s="6" t="str"/>
      <x:c r="I6065" s="6" t="str">
        <x:v>Lu Qinli gap fill from Pingshui main list; 詞 entries ignored</x:v>
      </x:c>
      <x:c r="J6065" s="6" t="str">
        <x:f>IF(B6065="","",IF(AND(ISNUMBER(SEARCH("平",B6065)),OR(ISNUMBER(SEARCH("上",B6065)),ISNUMBER(SEARCH("去",B6065)),ISNUMBER(SEARCH("入",B6065)))),"Ambiguous",IF(ISNUMBER(SEARCH("平",B6065)),"平","仄")))</x:f>
        <x:v>平</x:v>
      </x:c>
      <x:c r="K6065" s="6" t="str">
        <x:f>IF(D6065="","",IF(AND(ISNUMBER(SEARCH("平",D6065)),OR(ISNUMBER(SEARCH("上",D6065)),ISNUMBER(SEARCH("去",D6065)),ISNUMBER(SEARCH("入",D6065)))),"Ambiguous",IF(ISNUMBER(SEARCH("平",D6065)),"平","仄")))</x:f>
        <x:v>平</x:v>
      </x:c>
      <x:c r="L6065" s="7" t="str">
        <x:v>Pingshui main list, Lu Qinli gap fill</x:v>
      </x:c>
    </x:row>
    <x:row r="6066">
      <x:c r="A6066" s="5" t="str">
        <x:v>蝘</x:v>
      </x:c>
      <x:c r="B6066" s="6" t="str">
        <x:v>上</x:v>
      </x:c>
      <x:c r="C6066" s="6" t="str">
        <x:f>IF(B6066="","Needs decision","Ready")</x:f>
        <x:v>Ready</x:v>
      </x:c>
      <x:c r="D6066" s="6" t="str">
        <x:v>上</x:v>
      </x:c>
      <x:c r="E6066" s="6" t="str"/>
      <x:c r="F6066" s="6" t="str">
        <x:v>上聲十三阮</x:v>
      </x:c>
      <x:c r="G6066" s="6" t="str">
        <x:v>Pingshui main list, Wikisource-derived DOCX</x:v>
      </x:c>
      <x:c r="H6066" s="6" t="str"/>
      <x:c r="I6066" s="6" t="str">
        <x:v>Lu Qinli gap fill from Pingshui main list; 詞 entries ignored</x:v>
      </x:c>
      <x:c r="J6066" s="6" t="str">
        <x:f>IF(B6066="","",IF(AND(ISNUMBER(SEARCH("平",B6066)),OR(ISNUMBER(SEARCH("上",B6066)),ISNUMBER(SEARCH("去",B6066)),ISNUMBER(SEARCH("入",B6066)))),"Ambiguous",IF(ISNUMBER(SEARCH("平",B6066)),"平","仄")))</x:f>
        <x:v>仄</x:v>
      </x:c>
      <x:c r="K6066" s="6" t="str">
        <x:f>IF(D6066="","",IF(AND(ISNUMBER(SEARCH("平",D6066)),OR(ISNUMBER(SEARCH("上",D6066)),ISNUMBER(SEARCH("去",D6066)),ISNUMBER(SEARCH("入",D6066)))),"Ambiguous",IF(ISNUMBER(SEARCH("平",D6066)),"平","仄")))</x:f>
        <x:v>仄</x:v>
      </x:c>
      <x:c r="L6066" s="7" t="str">
        <x:v>Pingshui main list, Lu Qinli gap fill</x:v>
      </x:c>
    </x:row>
    <x:row r="6067">
      <x:c r="A6067" s="5" t="str">
        <x:v>蝣</x:v>
      </x:c>
      <x:c r="B6067" s="6" t="str">
        <x:v>平</x:v>
      </x:c>
      <x:c r="C6067" s="6" t="str">
        <x:f>IF(B6067="","Needs decision","Ready")</x:f>
        <x:v>Ready</x:v>
      </x:c>
      <x:c r="D6067" s="6" t="str">
        <x:v>平</x:v>
      </x:c>
      <x:c r="E6067" s="6" t="str"/>
      <x:c r="F6067" s="6" t="str">
        <x:v>下平聲十一尤</x:v>
      </x:c>
      <x:c r="G6067" s="6" t="str">
        <x:v>Pingshui main list, Wikisource-derived DOCX</x:v>
      </x:c>
      <x:c r="H6067" s="6" t="str"/>
      <x:c r="I6067" s="6" t="str">
        <x:v>Lu Qinli gap fill from Pingshui main list; 詞 entries ignored</x:v>
      </x:c>
      <x:c r="J6067" s="6" t="str">
        <x:f>IF(B6067="","",IF(AND(ISNUMBER(SEARCH("平",B6067)),OR(ISNUMBER(SEARCH("上",B6067)),ISNUMBER(SEARCH("去",B6067)),ISNUMBER(SEARCH("入",B6067)))),"Ambiguous",IF(ISNUMBER(SEARCH("平",B6067)),"平","仄")))</x:f>
        <x:v>平</x:v>
      </x:c>
      <x:c r="K6067" s="6" t="str">
        <x:f>IF(D6067="","",IF(AND(ISNUMBER(SEARCH("平",D6067)),OR(ISNUMBER(SEARCH("上",D6067)),ISNUMBER(SEARCH("去",D6067)),ISNUMBER(SEARCH("入",D6067)))),"Ambiguous",IF(ISNUMBER(SEARCH("平",D6067)),"平","仄")))</x:f>
        <x:v>平</x:v>
      </x:c>
      <x:c r="L6067" s="7" t="str">
        <x:v>Pingshui main list, Lu Qinli gap fill</x:v>
      </x:c>
    </x:row>
    <x:row r="6068">
      <x:c r="A6068" s="5" t="str">
        <x:v>蝮</x:v>
      </x:c>
      <x:c r="B6068" s="6" t="str">
        <x:v>入</x:v>
      </x:c>
      <x:c r="C6068" s="6" t="str">
        <x:f>IF(B6068="","Needs decision","Ready")</x:f>
        <x:v>Ready</x:v>
      </x:c>
      <x:c r="D6068" s="6" t="str">
        <x:v>入</x:v>
      </x:c>
      <x:c r="E6068" s="6" t="str"/>
      <x:c r="F6068" s="6" t="str">
        <x:v>入聲一屋</x:v>
      </x:c>
      <x:c r="G6068" s="6" t="str">
        <x:v>Pingshui main list, Wikisource-derived DOCX</x:v>
      </x:c>
      <x:c r="H6068" s="6" t="str"/>
      <x:c r="I6068" s="6" t="str">
        <x:v>Lu Qinli gap fill from Pingshui main list; 詞 entries ignored</x:v>
      </x:c>
      <x:c r="J6068" s="6" t="str">
        <x:f>IF(B6068="","",IF(AND(ISNUMBER(SEARCH("平",B6068)),OR(ISNUMBER(SEARCH("上",B6068)),ISNUMBER(SEARCH("去",B6068)),ISNUMBER(SEARCH("入",B6068)))),"Ambiguous",IF(ISNUMBER(SEARCH("平",B6068)),"平","仄")))</x:f>
        <x:v>仄</x:v>
      </x:c>
      <x:c r="K6068" s="6" t="str">
        <x:f>IF(D6068="","",IF(AND(ISNUMBER(SEARCH("平",D6068)),OR(ISNUMBER(SEARCH("上",D6068)),ISNUMBER(SEARCH("去",D6068)),ISNUMBER(SEARCH("入",D6068)))),"Ambiguous",IF(ISNUMBER(SEARCH("平",D6068)),"平","仄")))</x:f>
        <x:v>仄</x:v>
      </x:c>
      <x:c r="L6068" s="7" t="str">
        <x:v>Pingshui main list, Lu Qinli gap fill</x:v>
      </x:c>
    </x:row>
    <x:row r="6069">
      <x:c r="A6069" s="5" t="str">
        <x:v>螉</x:v>
      </x:c>
      <x:c r="B6069" s="6" t="str">
        <x:v>平</x:v>
      </x:c>
      <x:c r="C6069" s="6" t="str">
        <x:f>IF(B6069="","Needs decision","Ready")</x:f>
        <x:v>Ready</x:v>
      </x:c>
      <x:c r="D6069" s="6" t="str">
        <x:v>平</x:v>
      </x:c>
      <x:c r="E6069" s="6" t="str"/>
      <x:c r="F6069" s="6" t="str">
        <x:v>上平聲一東</x:v>
      </x:c>
      <x:c r="G6069" s="6" t="str">
        <x:v>Pingshui main list, Wikisource-derived DOCX</x:v>
      </x:c>
      <x:c r="H6069" s="6" t="str"/>
      <x:c r="I6069" s="6" t="str">
        <x:v>Lu Qinli gap fill from Pingshui main list; 詞 entries ignored</x:v>
      </x:c>
      <x:c r="J6069" s="6" t="str">
        <x:f>IF(B6069="","",IF(AND(ISNUMBER(SEARCH("平",B6069)),OR(ISNUMBER(SEARCH("上",B6069)),ISNUMBER(SEARCH("去",B6069)),ISNUMBER(SEARCH("入",B6069)))),"Ambiguous",IF(ISNUMBER(SEARCH("平",B6069)),"平","仄")))</x:f>
        <x:v>平</x:v>
      </x:c>
      <x:c r="K6069" s="6" t="str">
        <x:f>IF(D6069="","",IF(AND(ISNUMBER(SEARCH("平",D6069)),OR(ISNUMBER(SEARCH("上",D6069)),ISNUMBER(SEARCH("去",D6069)),ISNUMBER(SEARCH("入",D6069)))),"Ambiguous",IF(ISNUMBER(SEARCH("平",D6069)),"平","仄")))</x:f>
        <x:v>平</x:v>
      </x:c>
      <x:c r="L6069" s="7" t="str">
        <x:v>Pingshui main list, Lu Qinli gap fill</x:v>
      </x:c>
    </x:row>
    <x:row r="6070">
      <x:c r="A6070" s="5" t="str">
        <x:v>螓</x:v>
      </x:c>
      <x:c r="B6070" s="6" t="str">
        <x:v>平</x:v>
      </x:c>
      <x:c r="C6070" s="6" t="str">
        <x:f>IF(B6070="","Needs decision","Ready")</x:f>
        <x:v>Ready</x:v>
      </x:c>
      <x:c r="D6070" s="6" t="str">
        <x:v>平</x:v>
      </x:c>
      <x:c r="E6070" s="6" t="str"/>
      <x:c r="F6070" s="6" t="str">
        <x:v>上平聲十一真</x:v>
      </x:c>
      <x:c r="G6070" s="6" t="str">
        <x:v>Pingshui main list, Wikisource-derived DOCX</x:v>
      </x:c>
      <x:c r="H6070" s="6" t="str"/>
      <x:c r="I6070" s="6" t="str">
        <x:v>Lu Qinli gap fill from Pingshui main list; 詞 entries ignored</x:v>
      </x:c>
      <x:c r="J6070" s="6" t="str">
        <x:f>IF(B6070="","",IF(AND(ISNUMBER(SEARCH("平",B6070)),OR(ISNUMBER(SEARCH("上",B6070)),ISNUMBER(SEARCH("去",B6070)),ISNUMBER(SEARCH("入",B6070)))),"Ambiguous",IF(ISNUMBER(SEARCH("平",B6070)),"平","仄")))</x:f>
        <x:v>平</x:v>
      </x:c>
      <x:c r="K6070" s="6" t="str">
        <x:f>IF(D6070="","",IF(AND(ISNUMBER(SEARCH("平",D6070)),OR(ISNUMBER(SEARCH("上",D6070)),ISNUMBER(SEARCH("去",D6070)),ISNUMBER(SEARCH("入",D6070)))),"Ambiguous",IF(ISNUMBER(SEARCH("平",D6070)),"平","仄")))</x:f>
        <x:v>平</x:v>
      </x:c>
      <x:c r="L6070" s="7" t="str">
        <x:v>Pingshui main list, Lu Qinli gap fill</x:v>
      </x:c>
    </x:row>
    <x:row r="6071">
      <x:c r="A6071" s="5" t="str">
        <x:v>螗</x:v>
      </x:c>
      <x:c r="B6071" s="6" t="str">
        <x:v>平</x:v>
      </x:c>
      <x:c r="C6071" s="6" t="str">
        <x:f>IF(B6071="","Needs decision","Ready")</x:f>
        <x:v>Ready</x:v>
      </x:c>
      <x:c r="D6071" s="6" t="str">
        <x:v>平</x:v>
      </x:c>
      <x:c r="E6071" s="6" t="str"/>
      <x:c r="F6071" s="6" t="str">
        <x:v>下平聲七陽</x:v>
      </x:c>
      <x:c r="G6071" s="6" t="str">
        <x:v>Pingshui main list, Wikisource-derived DOCX</x:v>
      </x:c>
      <x:c r="H6071" s="6" t="str"/>
      <x:c r="I6071" s="6" t="str">
        <x:v>Lu Qinli gap fill from Pingshui main list; 詞 entries ignored</x:v>
      </x:c>
      <x:c r="J6071" s="6" t="str">
        <x:f>IF(B6071="","",IF(AND(ISNUMBER(SEARCH("平",B6071)),OR(ISNUMBER(SEARCH("上",B6071)),ISNUMBER(SEARCH("去",B6071)),ISNUMBER(SEARCH("入",B6071)))),"Ambiguous",IF(ISNUMBER(SEARCH("平",B6071)),"平","仄")))</x:f>
        <x:v>平</x:v>
      </x:c>
      <x:c r="K6071" s="6" t="str">
        <x:f>IF(D6071="","",IF(AND(ISNUMBER(SEARCH("平",D6071)),OR(ISNUMBER(SEARCH("上",D6071)),ISNUMBER(SEARCH("去",D6071)),ISNUMBER(SEARCH("入",D6071)))),"Ambiguous",IF(ISNUMBER(SEARCH("平",D6071)),"平","仄")))</x:f>
        <x:v>平</x:v>
      </x:c>
      <x:c r="L6071" s="7" t="str">
        <x:v>Pingshui main list, Lu Qinli gap fill</x:v>
      </x:c>
    </x:row>
    <x:row r="6072">
      <x:c r="A6072" s="5" t="str">
        <x:v>螟</x:v>
      </x:c>
      <x:c r="B6072" s="6" t="str">
        <x:v>平</x:v>
      </x:c>
      <x:c r="C6072" s="6" t="str">
        <x:f>IF(B6072="","Needs decision","Ready")</x:f>
        <x:v>Ready</x:v>
      </x:c>
      <x:c r="D6072" s="6" t="str">
        <x:v>平</x:v>
      </x:c>
      <x:c r="E6072" s="6" t="str"/>
      <x:c r="F6072" s="6" t="str">
        <x:v>下平聲九青</x:v>
      </x:c>
      <x:c r="G6072" s="6" t="str">
        <x:v>Pingshui main list, Wikisource-derived DOCX</x:v>
      </x:c>
      <x:c r="H6072" s="6" t="str"/>
      <x:c r="I6072" s="6" t="str">
        <x:v>Lu Qinli gap fill from Pingshui main list; 詞 entries ignored</x:v>
      </x:c>
      <x:c r="J6072" s="6" t="str">
        <x:f>IF(B6072="","",IF(AND(ISNUMBER(SEARCH("平",B6072)),OR(ISNUMBER(SEARCH("上",B6072)),ISNUMBER(SEARCH("去",B6072)),ISNUMBER(SEARCH("入",B6072)))),"Ambiguous",IF(ISNUMBER(SEARCH("平",B6072)),"平","仄")))</x:f>
        <x:v>平</x:v>
      </x:c>
      <x:c r="K6072" s="6" t="str">
        <x:f>IF(D6072="","",IF(AND(ISNUMBER(SEARCH("平",D6072)),OR(ISNUMBER(SEARCH("上",D6072)),ISNUMBER(SEARCH("去",D6072)),ISNUMBER(SEARCH("入",D6072)))),"Ambiguous",IF(ISNUMBER(SEARCH("平",D6072)),"平","仄")))</x:f>
        <x:v>平</x:v>
      </x:c>
      <x:c r="L6072" s="7" t="str">
        <x:v>Pingshui main list, Lu Qinli gap fill</x:v>
      </x:c>
    </x:row>
    <x:row r="6073">
      <x:c r="A6073" s="5" t="str">
        <x:v>螬</x:v>
      </x:c>
      <x:c r="B6073" s="6" t="str">
        <x:v>平</x:v>
      </x:c>
      <x:c r="C6073" s="6" t="str">
        <x:f>IF(B6073="","Needs decision","Ready")</x:f>
        <x:v>Ready</x:v>
      </x:c>
      <x:c r="D6073" s="6" t="str">
        <x:v>平</x:v>
      </x:c>
      <x:c r="E6073" s="6" t="str"/>
      <x:c r="F6073" s="6" t="str">
        <x:v>下平聲四豪</x:v>
      </x:c>
      <x:c r="G6073" s="6" t="str">
        <x:v>Pingshui main list, Wikisource-derived DOCX</x:v>
      </x:c>
      <x:c r="H6073" s="6" t="str"/>
      <x:c r="I6073" s="6" t="str">
        <x:v>Lu Qinli gap fill from Pingshui main list; 詞 entries ignored</x:v>
      </x:c>
      <x:c r="J6073" s="6" t="str">
        <x:f>IF(B6073="","",IF(AND(ISNUMBER(SEARCH("平",B6073)),OR(ISNUMBER(SEARCH("上",B6073)),ISNUMBER(SEARCH("去",B6073)),ISNUMBER(SEARCH("入",B6073)))),"Ambiguous",IF(ISNUMBER(SEARCH("平",B6073)),"平","仄")))</x:f>
        <x:v>平</x:v>
      </x:c>
      <x:c r="K6073" s="6" t="str">
        <x:f>IF(D6073="","",IF(AND(ISNUMBER(SEARCH("平",D6073)),OR(ISNUMBER(SEARCH("上",D6073)),ISNUMBER(SEARCH("去",D6073)),ISNUMBER(SEARCH("入",D6073)))),"Ambiguous",IF(ISNUMBER(SEARCH("平",D6073)),"平","仄")))</x:f>
        <x:v>平</x:v>
      </x:c>
      <x:c r="L6073" s="7" t="str">
        <x:v>Pingshui main list, Lu Qinli gap fill</x:v>
      </x:c>
    </x:row>
    <x:row r="6074">
      <x:c r="A6074" s="5" t="str">
        <x:v>螳</x:v>
      </x:c>
      <x:c r="B6074" s="6" t="str">
        <x:v>平</x:v>
      </x:c>
      <x:c r="C6074" s="6" t="str">
        <x:f>IF(B6074="","Needs decision","Ready")</x:f>
        <x:v>Ready</x:v>
      </x:c>
      <x:c r="D6074" s="6" t="str">
        <x:v>平</x:v>
      </x:c>
      <x:c r="E6074" s="6" t="str"/>
      <x:c r="F6074" s="6" t="str">
        <x:v>下平聲七陽</x:v>
      </x:c>
      <x:c r="G6074" s="6" t="str">
        <x:v>Pingshui main list, Wikisource-derived DOCX</x:v>
      </x:c>
      <x:c r="H6074" s="6" t="str"/>
      <x:c r="I6074" s="6" t="str">
        <x:v>Lu Qinli gap fill from Pingshui main list; 詞 entries ignored</x:v>
      </x:c>
      <x:c r="J6074" s="6" t="str">
        <x:f>IF(B6074="","",IF(AND(ISNUMBER(SEARCH("平",B6074)),OR(ISNUMBER(SEARCH("上",B6074)),ISNUMBER(SEARCH("去",B6074)),ISNUMBER(SEARCH("入",B6074)))),"Ambiguous",IF(ISNUMBER(SEARCH("平",B6074)),"平","仄")))</x:f>
        <x:v>平</x:v>
      </x:c>
      <x:c r="K6074" s="6" t="str">
        <x:f>IF(D6074="","",IF(AND(ISNUMBER(SEARCH("平",D6074)),OR(ISNUMBER(SEARCH("上",D6074)),ISNUMBER(SEARCH("去",D6074)),ISNUMBER(SEARCH("入",D6074)))),"Ambiguous",IF(ISNUMBER(SEARCH("平",D6074)),"平","仄")))</x:f>
        <x:v>平</x:v>
      </x:c>
      <x:c r="L6074" s="7" t="str">
        <x:v>Pingshui main list, Lu Qinli gap fill</x:v>
      </x:c>
    </x:row>
    <x:row r="6075">
      <x:c r="A6075" s="5" t="str">
        <x:v>螿</x:v>
      </x:c>
      <x:c r="B6075" s="6" t="str">
        <x:v>平</x:v>
      </x:c>
      <x:c r="C6075" s="6" t="str">
        <x:f>IF(B6075="","Needs decision","Ready")</x:f>
        <x:v>Ready</x:v>
      </x:c>
      <x:c r="D6075" s="6" t="str">
        <x:v>平</x:v>
      </x:c>
      <x:c r="E6075" s="6" t="str"/>
      <x:c r="F6075" s="6" t="str">
        <x:v>下平聲七陽</x:v>
      </x:c>
      <x:c r="G6075" s="6" t="str">
        <x:v>Pingshui main list, Wikisource-derived DOCX</x:v>
      </x:c>
      <x:c r="H6075" s="6" t="str"/>
      <x:c r="I6075" s="6" t="str">
        <x:v>Lu Qinli gap fill from Pingshui main list; 詞 entries ignored</x:v>
      </x:c>
      <x:c r="J6075" s="6" t="str">
        <x:f>IF(B6075="","",IF(AND(ISNUMBER(SEARCH("平",B6075)),OR(ISNUMBER(SEARCH("上",B6075)),ISNUMBER(SEARCH("去",B6075)),ISNUMBER(SEARCH("入",B6075)))),"Ambiguous",IF(ISNUMBER(SEARCH("平",B6075)),"平","仄")))</x:f>
        <x:v>平</x:v>
      </x:c>
      <x:c r="K6075" s="6" t="str">
        <x:f>IF(D6075="","",IF(AND(ISNUMBER(SEARCH("平",D6075)),OR(ISNUMBER(SEARCH("上",D6075)),ISNUMBER(SEARCH("去",D6075)),ISNUMBER(SEARCH("入",D6075)))),"Ambiguous",IF(ISNUMBER(SEARCH("平",D6075)),"平","仄")))</x:f>
        <x:v>平</x:v>
      </x:c>
      <x:c r="L6075" s="7" t="str">
        <x:v>Pingshui main list, Lu Qinli gap fill</x:v>
      </x:c>
    </x:row>
    <x:row r="6076">
      <x:c r="A6076" s="5" t="str">
        <x:v>蟈</x:v>
      </x:c>
      <x:c r="B6076" s="6" t="str">
        <x:v>入</x:v>
      </x:c>
      <x:c r="C6076" s="6" t="str">
        <x:f>IF(B6076="","Needs decision","Ready")</x:f>
        <x:v>Ready</x:v>
      </x:c>
      <x:c r="D6076" s="6" t="str">
        <x:v>入</x:v>
      </x:c>
      <x:c r="E6076" s="6" t="str"/>
      <x:c r="F6076" s="6" t="str">
        <x:v>入聲十一陌</x:v>
      </x:c>
      <x:c r="G6076" s="6" t="str">
        <x:v>Pingshui main list, Wikisource-derived DOCX</x:v>
      </x:c>
      <x:c r="H6076" s="6" t="str"/>
      <x:c r="I6076" s="6" t="str">
        <x:v>Lu Qinli gap fill from Pingshui main list; 詞 entries ignored</x:v>
      </x:c>
      <x:c r="J6076" s="6" t="str">
        <x:f>IF(B6076="","",IF(AND(ISNUMBER(SEARCH("平",B6076)),OR(ISNUMBER(SEARCH("上",B6076)),ISNUMBER(SEARCH("去",B6076)),ISNUMBER(SEARCH("入",B6076)))),"Ambiguous",IF(ISNUMBER(SEARCH("平",B6076)),"平","仄")))</x:f>
        <x:v>仄</x:v>
      </x:c>
      <x:c r="K6076" s="6" t="str">
        <x:f>IF(D6076="","",IF(AND(ISNUMBER(SEARCH("平",D6076)),OR(ISNUMBER(SEARCH("上",D6076)),ISNUMBER(SEARCH("去",D6076)),ISNUMBER(SEARCH("入",D6076)))),"Ambiguous",IF(ISNUMBER(SEARCH("平",D6076)),"平","仄")))</x:f>
        <x:v>仄</x:v>
      </x:c>
      <x:c r="L6076" s="7" t="str">
        <x:v>Pingshui main list, Lu Qinli gap fill</x:v>
      </x:c>
    </x:row>
    <x:row r="6077">
      <x:c r="A6077" s="5" t="str">
        <x:v>蟒</x:v>
      </x:c>
      <x:c r="B6077" s="6" t="str">
        <x:v>上</x:v>
      </x:c>
      <x:c r="C6077" s="6" t="str">
        <x:f>IF(B6077="","Needs decision","Ready")</x:f>
        <x:v>Ready</x:v>
      </x:c>
      <x:c r="D6077" s="6" t="str">
        <x:v>上</x:v>
      </x:c>
      <x:c r="E6077" s="6" t="str"/>
      <x:c r="F6077" s="6" t="str">
        <x:v>上聲二十二養</x:v>
      </x:c>
      <x:c r="G6077" s="6" t="str">
        <x:v>Pingshui main list, Wikisource-derived DOCX</x:v>
      </x:c>
      <x:c r="H6077" s="6" t="str"/>
      <x:c r="I6077" s="6" t="str">
        <x:v>Lu Qinli gap fill from Pingshui main list; 詞 entries ignored</x:v>
      </x:c>
      <x:c r="J6077" s="6" t="str">
        <x:f>IF(B6077="","",IF(AND(ISNUMBER(SEARCH("平",B6077)),OR(ISNUMBER(SEARCH("上",B6077)),ISNUMBER(SEARCH("去",B6077)),ISNUMBER(SEARCH("入",B6077)))),"Ambiguous",IF(ISNUMBER(SEARCH("平",B6077)),"平","仄")))</x:f>
        <x:v>仄</x:v>
      </x:c>
      <x:c r="K6077" s="6" t="str">
        <x:f>IF(D6077="","",IF(AND(ISNUMBER(SEARCH("平",D6077)),OR(ISNUMBER(SEARCH("上",D6077)),ISNUMBER(SEARCH("去",D6077)),ISNUMBER(SEARCH("入",D6077)))),"Ambiguous",IF(ISNUMBER(SEARCH("平",D6077)),"平","仄")))</x:f>
        <x:v>仄</x:v>
      </x:c>
      <x:c r="L6077" s="7" t="str">
        <x:v>Pingshui main list, Lu Qinli gap fill</x:v>
      </x:c>
    </x:row>
    <x:row r="6078">
      <x:c r="A6078" s="5" t="str">
        <x:v>蟪</x:v>
      </x:c>
      <x:c r="B6078" s="6" t="str">
        <x:v>去</x:v>
      </x:c>
      <x:c r="C6078" s="6" t="str">
        <x:f>IF(B6078="","Needs decision","Ready")</x:f>
        <x:v>Ready</x:v>
      </x:c>
      <x:c r="D6078" s="6" t="str">
        <x:v>去</x:v>
      </x:c>
      <x:c r="E6078" s="6" t="str"/>
      <x:c r="F6078" s="6" t="str">
        <x:v>去聲八霽</x:v>
      </x:c>
      <x:c r="G6078" s="6" t="str">
        <x:v>Pingshui main list, Wikisource-derived DOCX</x:v>
      </x:c>
      <x:c r="H6078" s="6" t="str"/>
      <x:c r="I6078" s="6" t="str">
        <x:v>Lu Qinli gap fill from Pingshui main list; 詞 entries ignored</x:v>
      </x:c>
      <x:c r="J6078" s="6" t="str">
        <x:f>IF(B6078="","",IF(AND(ISNUMBER(SEARCH("平",B6078)),OR(ISNUMBER(SEARCH("上",B6078)),ISNUMBER(SEARCH("去",B6078)),ISNUMBER(SEARCH("入",B6078)))),"Ambiguous",IF(ISNUMBER(SEARCH("平",B6078)),"平","仄")))</x:f>
        <x:v>仄</x:v>
      </x:c>
      <x:c r="K6078" s="6" t="str">
        <x:f>IF(D6078="","",IF(AND(ISNUMBER(SEARCH("平",D6078)),OR(ISNUMBER(SEARCH("上",D6078)),ISNUMBER(SEARCH("去",D6078)),ISNUMBER(SEARCH("入",D6078)))),"Ambiguous",IF(ISNUMBER(SEARCH("平",D6078)),"平","仄")))</x:f>
        <x:v>仄</x:v>
      </x:c>
      <x:c r="L6078" s="7" t="str">
        <x:v>Pingshui main list, Lu Qinli gap fill</x:v>
      </x:c>
    </x:row>
    <x:row r="6079">
      <x:c r="A6079" s="5" t="str">
        <x:v>蠁</x:v>
      </x:c>
      <x:c r="B6079" s="6" t="str">
        <x:v>上</x:v>
      </x:c>
      <x:c r="C6079" s="6" t="str">
        <x:f>IF(B6079="","Needs decision","Ready")</x:f>
        <x:v>Ready</x:v>
      </x:c>
      <x:c r="D6079" s="6" t="str">
        <x:v>上</x:v>
      </x:c>
      <x:c r="E6079" s="6" t="str"/>
      <x:c r="F6079" s="6" t="str">
        <x:v>上聲二十二養</x:v>
      </x:c>
      <x:c r="G6079" s="6" t="str">
        <x:v>Pingshui main list, Wikisource-derived DOCX</x:v>
      </x:c>
      <x:c r="H6079" s="6" t="str"/>
      <x:c r="I6079" s="6" t="str">
        <x:v>Lu Qinli gap fill from Pingshui main list; 詞 entries ignored</x:v>
      </x:c>
      <x:c r="J6079" s="6" t="str">
        <x:f>IF(B6079="","",IF(AND(ISNUMBER(SEARCH("平",B6079)),OR(ISNUMBER(SEARCH("上",B6079)),ISNUMBER(SEARCH("去",B6079)),ISNUMBER(SEARCH("入",B6079)))),"Ambiguous",IF(ISNUMBER(SEARCH("平",B6079)),"平","仄")))</x:f>
        <x:v>仄</x:v>
      </x:c>
      <x:c r="K6079" s="6" t="str">
        <x:f>IF(D6079="","",IF(AND(ISNUMBER(SEARCH("平",D6079)),OR(ISNUMBER(SEARCH("上",D6079)),ISNUMBER(SEARCH("去",D6079)),ISNUMBER(SEARCH("入",D6079)))),"Ambiguous",IF(ISNUMBER(SEARCH("平",D6079)),"平","仄")))</x:f>
        <x:v>仄</x:v>
      </x:c>
      <x:c r="L6079" s="7" t="str">
        <x:v>Pingshui main list, Lu Qinli gap fill</x:v>
      </x:c>
    </x:row>
    <x:row r="6080">
      <x:c r="A6080" s="5" t="str">
        <x:v>蠍</x:v>
      </x:c>
      <x:c r="B6080" s="6" t="str">
        <x:v>入</x:v>
      </x:c>
      <x:c r="C6080" s="6" t="str">
        <x:f>IF(B6080="","Needs decision","Ready")</x:f>
        <x:v>Ready</x:v>
      </x:c>
      <x:c r="D6080" s="6" t="str">
        <x:v>入</x:v>
      </x:c>
      <x:c r="E6080" s="6" t="str"/>
      <x:c r="F6080" s="6" t="str">
        <x:v>入聲六月</x:v>
      </x:c>
      <x:c r="G6080" s="6" t="str">
        <x:v>Pingshui main list, Wikisource-derived DOCX</x:v>
      </x:c>
      <x:c r="H6080" s="6" t="str"/>
      <x:c r="I6080" s="6" t="str">
        <x:v>Lu Qinli gap fill from Pingshui main list; 詞 entries ignored</x:v>
      </x:c>
      <x:c r="J6080" s="6" t="str">
        <x:f>IF(B6080="","",IF(AND(ISNUMBER(SEARCH("平",B6080)),OR(ISNUMBER(SEARCH("上",B6080)),ISNUMBER(SEARCH("去",B6080)),ISNUMBER(SEARCH("入",B6080)))),"Ambiguous",IF(ISNUMBER(SEARCH("平",B6080)),"平","仄")))</x:f>
        <x:v>仄</x:v>
      </x:c>
      <x:c r="K6080" s="6" t="str">
        <x:f>IF(D6080="","",IF(AND(ISNUMBER(SEARCH("平",D6080)),OR(ISNUMBER(SEARCH("上",D6080)),ISNUMBER(SEARCH("去",D6080)),ISNUMBER(SEARCH("入",D6080)))),"Ambiguous",IF(ISNUMBER(SEARCH("平",D6080)),"平","仄")))</x:f>
        <x:v>仄</x:v>
      </x:c>
      <x:c r="L6080" s="7" t="str">
        <x:v>Pingshui main list, Lu Qinli gap fill</x:v>
      </x:c>
    </x:row>
    <x:row r="6081">
      <x:c r="A6081" s="5" t="str">
        <x:v>蠓</x:v>
      </x:c>
      <x:c r="B6081" s="6" t="str">
        <x:v>上</x:v>
      </x:c>
      <x:c r="C6081" s="6" t="str">
        <x:f>IF(B6081="","Needs decision","Ready")</x:f>
        <x:v>Ready</x:v>
      </x:c>
      <x:c r="D6081" s="6" t="str">
        <x:v>上</x:v>
      </x:c>
      <x:c r="E6081" s="6" t="str"/>
      <x:c r="F6081" s="6" t="str">
        <x:v>上聲一董</x:v>
      </x:c>
      <x:c r="G6081" s="6" t="str">
        <x:v>Pingshui main list, Wikisource-derived DOCX</x:v>
      </x:c>
      <x:c r="H6081" s="6" t="str"/>
      <x:c r="I6081" s="6" t="str">
        <x:v>Lu Qinli gap fill from Pingshui main list; 詞 entries ignored</x:v>
      </x:c>
      <x:c r="J6081" s="6" t="str">
        <x:f>IF(B6081="","",IF(AND(ISNUMBER(SEARCH("平",B6081)),OR(ISNUMBER(SEARCH("上",B6081)),ISNUMBER(SEARCH("去",B6081)),ISNUMBER(SEARCH("入",B6081)))),"Ambiguous",IF(ISNUMBER(SEARCH("平",B6081)),"平","仄")))</x:f>
        <x:v>仄</x:v>
      </x:c>
      <x:c r="K6081" s="6" t="str">
        <x:f>IF(D6081="","",IF(AND(ISNUMBER(SEARCH("平",D6081)),OR(ISNUMBER(SEARCH("上",D6081)),ISNUMBER(SEARCH("去",D6081)),ISNUMBER(SEARCH("入",D6081)))),"Ambiguous",IF(ISNUMBER(SEARCH("平",D6081)),"平","仄")))</x:f>
        <x:v>仄</x:v>
      </x:c>
      <x:c r="L6081" s="7" t="str">
        <x:v>Pingshui main list, Lu Qinli gap fill</x:v>
      </x:c>
    </x:row>
    <x:row r="6082">
      <x:c r="A6082" s="5" t="str">
        <x:v>蠖</x:v>
      </x:c>
      <x:c r="B6082" s="6" t="str">
        <x:v>入</x:v>
      </x:c>
      <x:c r="C6082" s="6" t="str">
        <x:f>IF(B6082="","Needs decision","Ready")</x:f>
        <x:v>Ready</x:v>
      </x:c>
      <x:c r="D6082" s="6" t="str">
        <x:v>入</x:v>
      </x:c>
      <x:c r="E6082" s="6" t="str"/>
      <x:c r="F6082" s="6" t="str">
        <x:v>入聲十藥</x:v>
      </x:c>
      <x:c r="G6082" s="6" t="str">
        <x:v>Pingshui main list, Wikisource-derived DOCX</x:v>
      </x:c>
      <x:c r="H6082" s="6" t="str"/>
      <x:c r="I6082" s="6" t="str">
        <x:v>Lu Qinli gap fill from Pingshui main list; 詞 entries ignored</x:v>
      </x:c>
      <x:c r="J6082" s="6" t="str">
        <x:f>IF(B6082="","",IF(AND(ISNUMBER(SEARCH("平",B6082)),OR(ISNUMBER(SEARCH("上",B6082)),ISNUMBER(SEARCH("去",B6082)),ISNUMBER(SEARCH("入",B6082)))),"Ambiguous",IF(ISNUMBER(SEARCH("平",B6082)),"平","仄")))</x:f>
        <x:v>仄</x:v>
      </x:c>
      <x:c r="K6082" s="6" t="str">
        <x:f>IF(D6082="","",IF(AND(ISNUMBER(SEARCH("平",D6082)),OR(ISNUMBER(SEARCH("上",D6082)),ISNUMBER(SEARCH("去",D6082)),ISNUMBER(SEARCH("入",D6082)))),"Ambiguous",IF(ISNUMBER(SEARCH("平",D6082)),"平","仄")))</x:f>
        <x:v>仄</x:v>
      </x:c>
      <x:c r="L6082" s="7" t="str">
        <x:v>Pingshui main list, Lu Qinli gap fill</x:v>
      </x:c>
    </x:row>
    <x:row r="6083">
      <x:c r="A6083" s="5" t="str">
        <x:v>蠢</x:v>
      </x:c>
      <x:c r="B6083" s="6" t="str">
        <x:v>上</x:v>
      </x:c>
      <x:c r="C6083" s="6" t="str">
        <x:f>IF(B6083="","Needs decision","Ready")</x:f>
        <x:v>Ready</x:v>
      </x:c>
      <x:c r="D6083" s="6" t="str">
        <x:v>上</x:v>
      </x:c>
      <x:c r="E6083" s="6" t="str"/>
      <x:c r="F6083" s="6" t="str">
        <x:v>上聲十一軫</x:v>
      </x:c>
      <x:c r="G6083" s="6" t="str">
        <x:v>Pingshui main list, Wikisource-derived DOCX</x:v>
      </x:c>
      <x:c r="H6083" s="6" t="str"/>
      <x:c r="I6083" s="6" t="str">
        <x:v>Lu Qinli gap fill from Pingshui main list; 詞 entries ignored</x:v>
      </x:c>
      <x:c r="J6083" s="6" t="str">
        <x:f>IF(B6083="","",IF(AND(ISNUMBER(SEARCH("平",B6083)),OR(ISNUMBER(SEARCH("上",B6083)),ISNUMBER(SEARCH("去",B6083)),ISNUMBER(SEARCH("入",B6083)))),"Ambiguous",IF(ISNUMBER(SEARCH("平",B6083)),"平","仄")))</x:f>
        <x:v>仄</x:v>
      </x:c>
      <x:c r="K6083" s="6" t="str">
        <x:f>IF(D6083="","",IF(AND(ISNUMBER(SEARCH("平",D6083)),OR(ISNUMBER(SEARCH("上",D6083)),ISNUMBER(SEARCH("去",D6083)),ISNUMBER(SEARCH("入",D6083)))),"Ambiguous",IF(ISNUMBER(SEARCH("平",D6083)),"平","仄")))</x:f>
        <x:v>仄</x:v>
      </x:c>
      <x:c r="L6083" s="7" t="str">
        <x:v>Pingshui main list, Lu Qinli gap fill</x:v>
      </x:c>
    </x:row>
    <x:row r="6084">
      <x:c r="A6084" s="5" t="str">
        <x:v>蠲</x:v>
      </x:c>
      <x:c r="B6084" s="6" t="str">
        <x:v>平</x:v>
      </x:c>
      <x:c r="C6084" s="6" t="str">
        <x:f>IF(B6084="","Needs decision","Ready")</x:f>
        <x:v>Ready</x:v>
      </x:c>
      <x:c r="D6084" s="6" t="str">
        <x:v>平</x:v>
      </x:c>
      <x:c r="E6084" s="6" t="str"/>
      <x:c r="F6084" s="6" t="str">
        <x:v>下平聲一先</x:v>
      </x:c>
      <x:c r="G6084" s="6" t="str">
        <x:v>Pingshui main list, Wikisource-derived DOCX</x:v>
      </x:c>
      <x:c r="H6084" s="6" t="str"/>
      <x:c r="I6084" s="6" t="str">
        <x:v>Lu Qinli gap fill from Pingshui main list; 詞 entries ignored</x:v>
      </x:c>
      <x:c r="J6084" s="6" t="str">
        <x:f>IF(B6084="","",IF(AND(ISNUMBER(SEARCH("平",B6084)),OR(ISNUMBER(SEARCH("上",B6084)),ISNUMBER(SEARCH("去",B6084)),ISNUMBER(SEARCH("入",B6084)))),"Ambiguous",IF(ISNUMBER(SEARCH("平",B6084)),"平","仄")))</x:f>
        <x:v>平</x:v>
      </x:c>
      <x:c r="K6084" s="6" t="str">
        <x:f>IF(D6084="","",IF(AND(ISNUMBER(SEARCH("平",D6084)),OR(ISNUMBER(SEARCH("上",D6084)),ISNUMBER(SEARCH("去",D6084)),ISNUMBER(SEARCH("入",D6084)))),"Ambiguous",IF(ISNUMBER(SEARCH("平",D6084)),"平","仄")))</x:f>
        <x:v>平</x:v>
      </x:c>
      <x:c r="L6084" s="7" t="str">
        <x:v>Pingshui main list, Lu Qinli gap fill</x:v>
      </x:c>
    </x:row>
    <x:row r="6085">
      <x:c r="A6085" s="5" t="str">
        <x:v>蠵</x:v>
      </x:c>
      <x:c r="B6085" s="6" t="str">
        <x:v>平</x:v>
      </x:c>
      <x:c r="C6085" s="6" t="str">
        <x:f>IF(B6085="","Needs decision","Ready")</x:f>
        <x:v>Ready</x:v>
      </x:c>
      <x:c r="D6085" s="6" t="str">
        <x:v>平</x:v>
      </x:c>
      <x:c r="E6085" s="6" t="str"/>
      <x:c r="F6085" s="6" t="str">
        <x:v>上平聲八齊</x:v>
      </x:c>
      <x:c r="G6085" s="6" t="str">
        <x:v>Pingshui main list, Wikisource-derived DOCX</x:v>
      </x:c>
      <x:c r="H6085" s="6" t="str"/>
      <x:c r="I6085" s="6" t="str">
        <x:v>Lu Qinli gap fill from Pingshui main list; 詞 entries ignored</x:v>
      </x:c>
      <x:c r="J6085" s="6" t="str">
        <x:f>IF(B6085="","",IF(AND(ISNUMBER(SEARCH("平",B6085)),OR(ISNUMBER(SEARCH("上",B6085)),ISNUMBER(SEARCH("去",B6085)),ISNUMBER(SEARCH("入",B6085)))),"Ambiguous",IF(ISNUMBER(SEARCH("平",B6085)),"平","仄")))</x:f>
        <x:v>平</x:v>
      </x:c>
      <x:c r="K6085" s="6" t="str">
        <x:f>IF(D6085="","",IF(AND(ISNUMBER(SEARCH("平",D6085)),OR(ISNUMBER(SEARCH("上",D6085)),ISNUMBER(SEARCH("去",D6085)),ISNUMBER(SEARCH("入",D6085)))),"Ambiguous",IF(ISNUMBER(SEARCH("平",D6085)),"平","仄")))</x:f>
        <x:v>平</x:v>
      </x:c>
      <x:c r="L6085" s="7" t="str">
        <x:v>Pingshui main list, Lu Qinli gap fill</x:v>
      </x:c>
    </x:row>
    <x:row r="6086">
      <x:c r="A6086" s="5" t="str">
        <x:v>衄</x:v>
      </x:c>
      <x:c r="B6086" s="6" t="str">
        <x:v>入</x:v>
      </x:c>
      <x:c r="C6086" s="6" t="str">
        <x:f>IF(B6086="","Needs decision","Ready")</x:f>
        <x:v>Ready</x:v>
      </x:c>
      <x:c r="D6086" s="6" t="str">
        <x:v>入</x:v>
      </x:c>
      <x:c r="E6086" s="6" t="str"/>
      <x:c r="F6086" s="6" t="str">
        <x:v>入聲一屋</x:v>
      </x:c>
      <x:c r="G6086" s="6" t="str">
        <x:v>Pingshui main list, Wikisource-derived DOCX</x:v>
      </x:c>
      <x:c r="H6086" s="6" t="str"/>
      <x:c r="I6086" s="6" t="str">
        <x:v>Lu Qinli gap fill from Pingshui main list; 詞 entries ignored</x:v>
      </x:c>
      <x:c r="J6086" s="6" t="str">
        <x:f>IF(B6086="","",IF(AND(ISNUMBER(SEARCH("平",B6086)),OR(ISNUMBER(SEARCH("上",B6086)),ISNUMBER(SEARCH("去",B6086)),ISNUMBER(SEARCH("入",B6086)))),"Ambiguous",IF(ISNUMBER(SEARCH("平",B6086)),"平","仄")))</x:f>
        <x:v>仄</x:v>
      </x:c>
      <x:c r="K6086" s="6" t="str">
        <x:f>IF(D6086="","",IF(AND(ISNUMBER(SEARCH("平",D6086)),OR(ISNUMBER(SEARCH("上",D6086)),ISNUMBER(SEARCH("去",D6086)),ISNUMBER(SEARCH("入",D6086)))),"Ambiguous",IF(ISNUMBER(SEARCH("平",D6086)),"平","仄")))</x:f>
        <x:v>仄</x:v>
      </x:c>
      <x:c r="L6086" s="7" t="str">
        <x:v>Pingshui main list, Lu Qinli gap fill</x:v>
      </x:c>
    </x:row>
    <x:row r="6087">
      <x:c r="A6087" s="5" t="str">
        <x:v>衎</x:v>
      </x:c>
      <x:c r="B6087" s="6" t="str"/>
      <x:c r="C6087" s="6" t="str">
        <x:f>IF(B6087="","Needs decision","Ready")</x:f>
        <x:v>Needs decision</x:v>
      </x:c>
      <x:c r="D6087" s="6" t="str">
        <x:v>上/去</x:v>
      </x:c>
      <x:c r="E6087" s="6" t="str"/>
      <x:c r="F6087" s="6" t="str">
        <x:v>上聲十四旱; 去聲十五翰</x:v>
      </x:c>
      <x:c r="G6087" s="6" t="str">
        <x:v>Pingshui main list, Wikisource-derived DOCX</x:v>
      </x:c>
      <x:c r="H6087" s="6" t="str"/>
      <x:c r="I6087" s="6" t="str">
        <x:v>Lu Qinli gap fill from Pingshui main list; 詞 entries ignored</x:v>
      </x:c>
      <x:c r="J6087" s="6" t="str">
        <x:f>IF(B6087="","",IF(AND(ISNUMBER(SEARCH("平",B6087)),OR(ISNUMBER(SEARCH("上",B6087)),ISNUMBER(SEARCH("去",B6087)),ISNUMBER(SEARCH("入",B6087)))),"Ambiguous",IF(ISNUMBER(SEARCH("平",B6087)),"平","仄")))</x:f>
      </x:c>
      <x:c r="K6087" s="6" t="str">
        <x:f>IF(D6087="","",IF(AND(ISNUMBER(SEARCH("平",D6087)),OR(ISNUMBER(SEARCH("上",D6087)),ISNUMBER(SEARCH("去",D6087)),ISNUMBER(SEARCH("入",D6087)))),"Ambiguous",IF(ISNUMBER(SEARCH("平",D6087)),"平","仄")))</x:f>
        <x:v>仄</x:v>
      </x:c>
      <x:c r="L6087" s="7" t="str">
        <x:v>Pingshui main list, Lu Qinli gap fill</x:v>
      </x:c>
    </x:row>
    <x:row r="6088">
      <x:c r="A6088" s="5" t="str">
        <x:v>衒</x:v>
      </x:c>
      <x:c r="B6088" s="6" t="str">
        <x:v>去</x:v>
      </x:c>
      <x:c r="C6088" s="6" t="str">
        <x:f>IF(B6088="","Needs decision","Ready")</x:f>
        <x:v>Ready</x:v>
      </x:c>
      <x:c r="D6088" s="6" t="str">
        <x:v>去</x:v>
      </x:c>
      <x:c r="E6088" s="6" t="str"/>
      <x:c r="F6088" s="6" t="str">
        <x:v>去聲十七霰</x:v>
      </x:c>
      <x:c r="G6088" s="6" t="str">
        <x:v>Pingshui main list, Wikisource-derived DOCX</x:v>
      </x:c>
      <x:c r="H6088" s="6" t="str"/>
      <x:c r="I6088" s="6" t="str">
        <x:v>Lu Qinli gap fill from Pingshui main list; 詞 entries ignored</x:v>
      </x:c>
      <x:c r="J6088" s="6" t="str">
        <x:f>IF(B6088="","",IF(AND(ISNUMBER(SEARCH("平",B6088)),OR(ISNUMBER(SEARCH("上",B6088)),ISNUMBER(SEARCH("去",B6088)),ISNUMBER(SEARCH("入",B6088)))),"Ambiguous",IF(ISNUMBER(SEARCH("平",B6088)),"平","仄")))</x:f>
        <x:v>仄</x:v>
      </x:c>
      <x:c r="K6088" s="6" t="str">
        <x:f>IF(D6088="","",IF(AND(ISNUMBER(SEARCH("平",D6088)),OR(ISNUMBER(SEARCH("上",D6088)),ISNUMBER(SEARCH("去",D6088)),ISNUMBER(SEARCH("入",D6088)))),"Ambiguous",IF(ISNUMBER(SEARCH("平",D6088)),"平","仄")))</x:f>
        <x:v>仄</x:v>
      </x:c>
      <x:c r="L6088" s="7" t="str">
        <x:v>Pingshui main list, Lu Qinli gap fill</x:v>
      </x:c>
    </x:row>
    <x:row r="6089">
      <x:c r="A6089" s="5" t="str">
        <x:v>衲</x:v>
      </x:c>
      <x:c r="B6089" s="6" t="str">
        <x:v>入</x:v>
      </x:c>
      <x:c r="C6089" s="6" t="str">
        <x:f>IF(B6089="","Needs decision","Ready")</x:f>
        <x:v>Ready</x:v>
      </x:c>
      <x:c r="D6089" s="6" t="str">
        <x:v>入</x:v>
      </x:c>
      <x:c r="E6089" s="6" t="str"/>
      <x:c r="F6089" s="6" t="str">
        <x:v>入聲十五合</x:v>
      </x:c>
      <x:c r="G6089" s="6" t="str">
        <x:v>Pingshui main list, Wikisource-derived DOCX</x:v>
      </x:c>
      <x:c r="H6089" s="6" t="str"/>
      <x:c r="I6089" s="6" t="str">
        <x:v>Lu Qinli gap fill from Pingshui main list; 詞 entries ignored</x:v>
      </x:c>
      <x:c r="J6089" s="6" t="str">
        <x:f>IF(B6089="","",IF(AND(ISNUMBER(SEARCH("平",B6089)),OR(ISNUMBER(SEARCH("上",B6089)),ISNUMBER(SEARCH("去",B6089)),ISNUMBER(SEARCH("入",B6089)))),"Ambiguous",IF(ISNUMBER(SEARCH("平",B6089)),"平","仄")))</x:f>
        <x:v>仄</x:v>
      </x:c>
      <x:c r="K6089" s="6" t="str">
        <x:f>IF(D6089="","",IF(AND(ISNUMBER(SEARCH("平",D6089)),OR(ISNUMBER(SEARCH("上",D6089)),ISNUMBER(SEARCH("去",D6089)),ISNUMBER(SEARCH("入",D6089)))),"Ambiguous",IF(ISNUMBER(SEARCH("平",D6089)),"平","仄")))</x:f>
        <x:v>仄</x:v>
      </x:c>
      <x:c r="L6089" s="7" t="str">
        <x:v>Pingshui main list, Lu Qinli gap fill</x:v>
      </x:c>
    </x:row>
    <x:row r="6090">
      <x:c r="A6090" s="5" t="str">
        <x:v>袒</x:v>
      </x:c>
      <x:c r="B6090" s="6" t="str">
        <x:v>上</x:v>
      </x:c>
      <x:c r="C6090" s="6" t="str">
        <x:f>IF(B6090="","Needs decision","Ready")</x:f>
        <x:v>Ready</x:v>
      </x:c>
      <x:c r="D6090" s="6" t="str">
        <x:v>上</x:v>
      </x:c>
      <x:c r="E6090" s="6" t="str"/>
      <x:c r="F6090" s="6" t="str">
        <x:v>上聲十四旱</x:v>
      </x:c>
      <x:c r="G6090" s="6" t="str">
        <x:v>Pingshui main list, Wikisource-derived DOCX</x:v>
      </x:c>
      <x:c r="H6090" s="6" t="str"/>
      <x:c r="I6090" s="6" t="str">
        <x:v>Lu Qinli gap fill from Pingshui main list; 詞 entries ignored</x:v>
      </x:c>
      <x:c r="J6090" s="6" t="str">
        <x:f>IF(B6090="","",IF(AND(ISNUMBER(SEARCH("平",B6090)),OR(ISNUMBER(SEARCH("上",B6090)),ISNUMBER(SEARCH("去",B6090)),ISNUMBER(SEARCH("入",B6090)))),"Ambiguous",IF(ISNUMBER(SEARCH("平",B6090)),"平","仄")))</x:f>
        <x:v>仄</x:v>
      </x:c>
      <x:c r="K6090" s="6" t="str">
        <x:f>IF(D6090="","",IF(AND(ISNUMBER(SEARCH("平",D6090)),OR(ISNUMBER(SEARCH("上",D6090)),ISNUMBER(SEARCH("去",D6090)),ISNUMBER(SEARCH("入",D6090)))),"Ambiguous",IF(ISNUMBER(SEARCH("平",D6090)),"平","仄")))</x:f>
        <x:v>仄</x:v>
      </x:c>
      <x:c r="L6090" s="7" t="str">
        <x:v>Pingshui main list, Lu Qinli gap fill</x:v>
      </x:c>
    </x:row>
    <x:row r="6091">
      <x:c r="A6091" s="5" t="str">
        <x:v>袨</x:v>
      </x:c>
      <x:c r="B6091" s="6" t="str">
        <x:v>去</x:v>
      </x:c>
      <x:c r="C6091" s="6" t="str">
        <x:f>IF(B6091="","Needs decision","Ready")</x:f>
        <x:v>Ready</x:v>
      </x:c>
      <x:c r="D6091" s="6" t="str">
        <x:v>去</x:v>
      </x:c>
      <x:c r="E6091" s="6" t="str"/>
      <x:c r="F6091" s="6" t="str">
        <x:v>去聲十七霰</x:v>
      </x:c>
      <x:c r="G6091" s="6" t="str">
        <x:v>Pingshui main list, Wikisource-derived DOCX</x:v>
      </x:c>
      <x:c r="H6091" s="6" t="str"/>
      <x:c r="I6091" s="6" t="str">
        <x:v>Lu Qinli gap fill from Pingshui main list; 詞 entries ignored</x:v>
      </x:c>
      <x:c r="J6091" s="6" t="str">
        <x:f>IF(B6091="","",IF(AND(ISNUMBER(SEARCH("平",B6091)),OR(ISNUMBER(SEARCH("上",B6091)),ISNUMBER(SEARCH("去",B6091)),ISNUMBER(SEARCH("入",B6091)))),"Ambiguous",IF(ISNUMBER(SEARCH("平",B6091)),"平","仄")))</x:f>
        <x:v>仄</x:v>
      </x:c>
      <x:c r="K6091" s="6" t="str">
        <x:f>IF(D6091="","",IF(AND(ISNUMBER(SEARCH("平",D6091)),OR(ISNUMBER(SEARCH("上",D6091)),ISNUMBER(SEARCH("去",D6091)),ISNUMBER(SEARCH("入",D6091)))),"Ambiguous",IF(ISNUMBER(SEARCH("平",D6091)),"平","仄")))</x:f>
        <x:v>仄</x:v>
      </x:c>
      <x:c r="L6091" s="7" t="str">
        <x:v>Pingshui main list, Lu Qinli gap fill</x:v>
      </x:c>
    </x:row>
    <x:row r="6092">
      <x:c r="A6092" s="5" t="str">
        <x:v>裒</x:v>
      </x:c>
      <x:c r="B6092" s="6" t="str">
        <x:v>平</x:v>
      </x:c>
      <x:c r="C6092" s="6" t="str">
        <x:f>IF(B6092="","Needs decision","Ready")</x:f>
        <x:v>Ready</x:v>
      </x:c>
      <x:c r="D6092" s="6" t="str">
        <x:v>平</x:v>
      </x:c>
      <x:c r="E6092" s="6" t="str"/>
      <x:c r="F6092" s="6" t="str">
        <x:v>下平聲十一尤</x:v>
      </x:c>
      <x:c r="G6092" s="6" t="str">
        <x:v>Pingshui main list, Wikisource-derived DOCX</x:v>
      </x:c>
      <x:c r="H6092" s="6" t="str"/>
      <x:c r="I6092" s="6" t="str">
        <x:v>Lu Qinli gap fill from Pingshui main list; 詞 entries ignored</x:v>
      </x:c>
      <x:c r="J6092" s="6" t="str">
        <x:f>IF(B6092="","",IF(AND(ISNUMBER(SEARCH("平",B6092)),OR(ISNUMBER(SEARCH("上",B6092)),ISNUMBER(SEARCH("去",B6092)),ISNUMBER(SEARCH("入",B6092)))),"Ambiguous",IF(ISNUMBER(SEARCH("平",B6092)),"平","仄")))</x:f>
        <x:v>平</x:v>
      </x:c>
      <x:c r="K6092" s="6" t="str">
        <x:f>IF(D6092="","",IF(AND(ISNUMBER(SEARCH("平",D6092)),OR(ISNUMBER(SEARCH("上",D6092)),ISNUMBER(SEARCH("去",D6092)),ISNUMBER(SEARCH("入",D6092)))),"Ambiguous",IF(ISNUMBER(SEARCH("平",D6092)),"平","仄")))</x:f>
        <x:v>平</x:v>
      </x:c>
      <x:c r="L6092" s="7" t="str">
        <x:v>Pingshui main list, Lu Qinli gap fill</x:v>
      </x:c>
    </x:row>
    <x:row r="6093">
      <x:c r="A6093" s="5" t="str">
        <x:v>裕</x:v>
      </x:c>
      <x:c r="B6093" s="6" t="str">
        <x:v>去</x:v>
      </x:c>
      <x:c r="C6093" s="6" t="str">
        <x:f>IF(B6093="","Needs decision","Ready")</x:f>
        <x:v>Ready</x:v>
      </x:c>
      <x:c r="D6093" s="6" t="str">
        <x:v>去</x:v>
      </x:c>
      <x:c r="E6093" s="6" t="str"/>
      <x:c r="F6093" s="6" t="str">
        <x:v>去聲七遇</x:v>
      </x:c>
      <x:c r="G6093" s="6" t="str">
        <x:v>Pingshui main list, Wikisource-derived DOCX</x:v>
      </x:c>
      <x:c r="H6093" s="6" t="str"/>
      <x:c r="I6093" s="6" t="str">
        <x:v>Lu Qinli gap fill from Pingshui main list; 詞 entries ignored</x:v>
      </x:c>
      <x:c r="J6093" s="6" t="str">
        <x:f>IF(B6093="","",IF(AND(ISNUMBER(SEARCH("平",B6093)),OR(ISNUMBER(SEARCH("上",B6093)),ISNUMBER(SEARCH("去",B6093)),ISNUMBER(SEARCH("入",B6093)))),"Ambiguous",IF(ISNUMBER(SEARCH("平",B6093)),"平","仄")))</x:f>
        <x:v>仄</x:v>
      </x:c>
      <x:c r="K6093" s="6" t="str">
        <x:f>IF(D6093="","",IF(AND(ISNUMBER(SEARCH("平",D6093)),OR(ISNUMBER(SEARCH("上",D6093)),ISNUMBER(SEARCH("去",D6093)),ISNUMBER(SEARCH("入",D6093)))),"Ambiguous",IF(ISNUMBER(SEARCH("平",D6093)),"平","仄")))</x:f>
        <x:v>仄</x:v>
      </x:c>
      <x:c r="L6093" s="7" t="str">
        <x:v>Pingshui main list, Lu Qinli gap fill</x:v>
      </x:c>
    </x:row>
    <x:row r="6094">
      <x:c r="A6094" s="5" t="str">
        <x:v>裨</x:v>
      </x:c>
      <x:c r="B6094" s="6" t="str">
        <x:v>平</x:v>
      </x:c>
      <x:c r="C6094" s="6" t="str">
        <x:f>IF(B6094="","Needs decision","Ready")</x:f>
        <x:v>Ready</x:v>
      </x:c>
      <x:c r="D6094" s="6" t="str">
        <x:v>平</x:v>
      </x:c>
      <x:c r="E6094" s="6" t="str"/>
      <x:c r="F6094" s="6" t="str">
        <x:v>上平聲四支</x:v>
      </x:c>
      <x:c r="G6094" s="6" t="str">
        <x:v>Pingshui main list, Wikisource-derived DOCX</x:v>
      </x:c>
      <x:c r="H6094" s="6" t="str"/>
      <x:c r="I6094" s="6" t="str">
        <x:v>Lu Qinli gap fill from Pingshui main list; 詞 entries ignored</x:v>
      </x:c>
      <x:c r="J6094" s="6" t="str">
        <x:f>IF(B6094="","",IF(AND(ISNUMBER(SEARCH("平",B6094)),OR(ISNUMBER(SEARCH("上",B6094)),ISNUMBER(SEARCH("去",B6094)),ISNUMBER(SEARCH("入",B6094)))),"Ambiguous",IF(ISNUMBER(SEARCH("平",B6094)),"平","仄")))</x:f>
        <x:v>平</x:v>
      </x:c>
      <x:c r="K6094" s="6" t="str">
        <x:f>IF(D6094="","",IF(AND(ISNUMBER(SEARCH("平",D6094)),OR(ISNUMBER(SEARCH("上",D6094)),ISNUMBER(SEARCH("去",D6094)),ISNUMBER(SEARCH("入",D6094)))),"Ambiguous",IF(ISNUMBER(SEARCH("平",D6094)),"平","仄")))</x:f>
        <x:v>平</x:v>
      </x:c>
      <x:c r="L6094" s="7" t="str">
        <x:v>Pingshui main list, Lu Qinli gap fill</x:v>
      </x:c>
    </x:row>
    <x:row r="6095">
      <x:c r="A6095" s="5" t="str">
        <x:v>裯</x:v>
      </x:c>
      <x:c r="B6095" s="6" t="str">
        <x:v>平</x:v>
      </x:c>
      <x:c r="C6095" s="6" t="str">
        <x:f>IF(B6095="","Needs decision","Ready")</x:f>
        <x:v>Ready</x:v>
      </x:c>
      <x:c r="D6095" s="6" t="str">
        <x:v>平</x:v>
      </x:c>
      <x:c r="E6095" s="6" t="str"/>
      <x:c r="F6095" s="6" t="str">
        <x:v>上平聲七虞; 下平聲四豪; 下平聲十一尤</x:v>
      </x:c>
      <x:c r="G6095" s="6" t="str">
        <x:v>Pingshui main list, Wikisource-derived DOCX</x:v>
      </x:c>
      <x:c r="H6095" s="6" t="str"/>
      <x:c r="I6095" s="6" t="str">
        <x:v>Lu Qinli gap fill from Pingshui main list; 詞 entries ignored</x:v>
      </x:c>
      <x:c r="J6095" s="6" t="str">
        <x:f>IF(B6095="","",IF(AND(ISNUMBER(SEARCH("平",B6095)),OR(ISNUMBER(SEARCH("上",B6095)),ISNUMBER(SEARCH("去",B6095)),ISNUMBER(SEARCH("入",B6095)))),"Ambiguous",IF(ISNUMBER(SEARCH("平",B6095)),"平","仄")))</x:f>
        <x:v>平</x:v>
      </x:c>
      <x:c r="K6095" s="6" t="str">
        <x:f>IF(D6095="","",IF(AND(ISNUMBER(SEARCH("平",D6095)),OR(ISNUMBER(SEARCH("上",D6095)),ISNUMBER(SEARCH("去",D6095)),ISNUMBER(SEARCH("入",D6095)))),"Ambiguous",IF(ISNUMBER(SEARCH("平",D6095)),"平","仄")))</x:f>
        <x:v>平</x:v>
      </x:c>
      <x:c r="L6095" s="7" t="str">
        <x:v>Pingshui main list, Lu Qinli gap fill</x:v>
      </x:c>
    </x:row>
    <x:row r="6096">
      <x:c r="A6096" s="5" t="str">
        <x:v>裴</x:v>
      </x:c>
      <x:c r="B6096" s="6" t="str">
        <x:v>平</x:v>
      </x:c>
      <x:c r="C6096" s="6" t="str">
        <x:f>IF(B6096="","Needs decision","Ready")</x:f>
        <x:v>Ready</x:v>
      </x:c>
      <x:c r="D6096" s="6" t="str">
        <x:v>平</x:v>
      </x:c>
      <x:c r="E6096" s="6" t="str"/>
      <x:c r="F6096" s="6" t="str">
        <x:v>上平聲十灰</x:v>
      </x:c>
      <x:c r="G6096" s="6" t="str">
        <x:v>Pingshui main list, Wikisource-derived DOCX</x:v>
      </x:c>
      <x:c r="H6096" s="6" t="str"/>
      <x:c r="I6096" s="6" t="str">
        <x:v>Lu Qinli gap fill from Pingshui main list; 詞 entries ignored</x:v>
      </x:c>
      <x:c r="J6096" s="6" t="str">
        <x:f>IF(B6096="","",IF(AND(ISNUMBER(SEARCH("平",B6096)),OR(ISNUMBER(SEARCH("上",B6096)),ISNUMBER(SEARCH("去",B6096)),ISNUMBER(SEARCH("入",B6096)))),"Ambiguous",IF(ISNUMBER(SEARCH("平",B6096)),"平","仄")))</x:f>
        <x:v>平</x:v>
      </x:c>
      <x:c r="K6096" s="6" t="str">
        <x:f>IF(D6096="","",IF(AND(ISNUMBER(SEARCH("平",D6096)),OR(ISNUMBER(SEARCH("上",D6096)),ISNUMBER(SEARCH("去",D6096)),ISNUMBER(SEARCH("入",D6096)))),"Ambiguous",IF(ISNUMBER(SEARCH("平",D6096)),"平","仄")))</x:f>
        <x:v>平</x:v>
      </x:c>
      <x:c r="L6096" s="7" t="str">
        <x:v>Pingshui main list, Lu Qinli gap fill</x:v>
      </x:c>
    </x:row>
    <x:row r="6097">
      <x:c r="A6097" s="5" t="str">
        <x:v>褎</x:v>
      </x:c>
      <x:c r="B6097" s="6" t="str">
        <x:v>去</x:v>
      </x:c>
      <x:c r="C6097" s="6" t="str">
        <x:f>IF(B6097="","Needs decision","Ready")</x:f>
        <x:v>Ready</x:v>
      </x:c>
      <x:c r="D6097" s="6" t="str">
        <x:v>去</x:v>
      </x:c>
      <x:c r="E6097" s="6" t="str"/>
      <x:c r="F6097" s="6" t="str">
        <x:v>去聲二十六宥</x:v>
      </x:c>
      <x:c r="G6097" s="6" t="str">
        <x:v>Pingshui main list, Wikisource-derived DOCX</x:v>
      </x:c>
      <x:c r="H6097" s="6" t="str"/>
      <x:c r="I6097" s="6" t="str">
        <x:v>Lu Qinli gap fill from Pingshui main list; 詞 entries ignored</x:v>
      </x:c>
      <x:c r="J6097" s="6" t="str">
        <x:f>IF(B6097="","",IF(AND(ISNUMBER(SEARCH("平",B6097)),OR(ISNUMBER(SEARCH("上",B6097)),ISNUMBER(SEARCH("去",B6097)),ISNUMBER(SEARCH("入",B6097)))),"Ambiguous",IF(ISNUMBER(SEARCH("平",B6097)),"平","仄")))</x:f>
        <x:v>仄</x:v>
      </x:c>
      <x:c r="K6097" s="6" t="str">
        <x:f>IF(D6097="","",IF(AND(ISNUMBER(SEARCH("平",D6097)),OR(ISNUMBER(SEARCH("上",D6097)),ISNUMBER(SEARCH("去",D6097)),ISNUMBER(SEARCH("入",D6097)))),"Ambiguous",IF(ISNUMBER(SEARCH("平",D6097)),"平","仄")))</x:f>
        <x:v>仄</x:v>
      </x:c>
      <x:c r="L6097" s="7" t="str">
        <x:v>Pingshui main list, Lu Qinli gap fill</x:v>
      </x:c>
    </x:row>
    <x:row r="6098">
      <x:c r="A6098" s="5" t="str">
        <x:v>褓</x:v>
      </x:c>
      <x:c r="B6098" s="6" t="str">
        <x:v>上</x:v>
      </x:c>
      <x:c r="C6098" s="6" t="str">
        <x:f>IF(B6098="","Needs decision","Ready")</x:f>
        <x:v>Ready</x:v>
      </x:c>
      <x:c r="D6098" s="6" t="str">
        <x:v>上</x:v>
      </x:c>
      <x:c r="E6098" s="6" t="str"/>
      <x:c r="F6098" s="6" t="str">
        <x:v>上聲十九皓</x:v>
      </x:c>
      <x:c r="G6098" s="6" t="str">
        <x:v>Pingshui main list, Wikisource-derived DOCX</x:v>
      </x:c>
      <x:c r="H6098" s="6" t="str"/>
      <x:c r="I6098" s="6" t="str">
        <x:v>Lu Qinli gap fill from Pingshui main list; 詞 entries ignored</x:v>
      </x:c>
      <x:c r="J6098" s="6" t="str">
        <x:f>IF(B6098="","",IF(AND(ISNUMBER(SEARCH("平",B6098)),OR(ISNUMBER(SEARCH("上",B6098)),ISNUMBER(SEARCH("去",B6098)),ISNUMBER(SEARCH("入",B6098)))),"Ambiguous",IF(ISNUMBER(SEARCH("平",B6098)),"平","仄")))</x:f>
        <x:v>仄</x:v>
      </x:c>
      <x:c r="K6098" s="6" t="str">
        <x:f>IF(D6098="","",IF(AND(ISNUMBER(SEARCH("平",D6098)),OR(ISNUMBER(SEARCH("上",D6098)),ISNUMBER(SEARCH("去",D6098)),ISNUMBER(SEARCH("入",D6098)))),"Ambiguous",IF(ISNUMBER(SEARCH("平",D6098)),"平","仄")))</x:f>
        <x:v>仄</x:v>
      </x:c>
      <x:c r="L6098" s="7" t="str">
        <x:v>Pingshui main list, Lu Qinli gap fill</x:v>
      </x:c>
    </x:row>
    <x:row r="6099">
      <x:c r="A6099" s="5" t="str">
        <x:v>褕</x:v>
      </x:c>
      <x:c r="B6099" s="6" t="str">
        <x:v>平</x:v>
      </x:c>
      <x:c r="C6099" s="6" t="str">
        <x:f>IF(B6099="","Needs decision","Ready")</x:f>
        <x:v>Ready</x:v>
      </x:c>
      <x:c r="D6099" s="6" t="str">
        <x:v>平</x:v>
      </x:c>
      <x:c r="E6099" s="6" t="str"/>
      <x:c r="F6099" s="6" t="str">
        <x:v>上平聲七虞; 下平聲二蕭</x:v>
      </x:c>
      <x:c r="G6099" s="6" t="str">
        <x:v>Pingshui main list, Wikisource-derived DOCX</x:v>
      </x:c>
      <x:c r="H6099" s="6" t="str"/>
      <x:c r="I6099" s="6" t="str">
        <x:v>Lu Qinli gap fill from Pingshui main list; 詞 entries ignored</x:v>
      </x:c>
      <x:c r="J6099" s="6" t="str">
        <x:f>IF(B6099="","",IF(AND(ISNUMBER(SEARCH("平",B6099)),OR(ISNUMBER(SEARCH("上",B6099)),ISNUMBER(SEARCH("去",B6099)),ISNUMBER(SEARCH("入",B6099)))),"Ambiguous",IF(ISNUMBER(SEARCH("平",B6099)),"平","仄")))</x:f>
        <x:v>平</x:v>
      </x:c>
      <x:c r="K6099" s="6" t="str">
        <x:f>IF(D6099="","",IF(AND(ISNUMBER(SEARCH("平",D6099)),OR(ISNUMBER(SEARCH("上",D6099)),ISNUMBER(SEARCH("去",D6099)),ISNUMBER(SEARCH("入",D6099)))),"Ambiguous",IF(ISNUMBER(SEARCH("平",D6099)),"平","仄")))</x:f>
        <x:v>平</x:v>
      </x:c>
      <x:c r="L6099" s="7" t="str">
        <x:v>Pingshui main list, Lu Qinli gap fill</x:v>
      </x:c>
    </x:row>
    <x:row r="6100">
      <x:c r="A6100" s="5" t="str">
        <x:v>褫</x:v>
      </x:c>
      <x:c r="B6100" s="6" t="str"/>
      <x:c r="C6100" s="6" t="str">
        <x:f>IF(B6100="","Needs decision","Ready")</x:f>
        <x:v>Needs decision</x:v>
      </x:c>
      <x:c r="D6100" s="6" t="str">
        <x:v>平/上</x:v>
      </x:c>
      <x:c r="E6100" s="6" t="str"/>
      <x:c r="F6100" s="6" t="str">
        <x:v>上平聲四支; 上聲四紙</x:v>
      </x:c>
      <x:c r="G6100" s="6" t="str">
        <x:v>Pingshui main list, Wikisource-derived DOCX</x:v>
      </x:c>
      <x:c r="H6100" s="6" t="str"/>
      <x:c r="I6100" s="6" t="str">
        <x:v>Lu Qinli gap fill from Pingshui main list; 詞 entries ignored</x:v>
      </x:c>
      <x:c r="J6100" s="6" t="str">
        <x:f>IF(B6100="","",IF(AND(ISNUMBER(SEARCH("平",B6100)),OR(ISNUMBER(SEARCH("上",B6100)),ISNUMBER(SEARCH("去",B6100)),ISNUMBER(SEARCH("入",B6100)))),"Ambiguous",IF(ISNUMBER(SEARCH("平",B6100)),"平","仄")))</x:f>
      </x:c>
      <x:c r="K6100" s="6" t="str">
        <x:f>IF(D6100="","",IF(AND(ISNUMBER(SEARCH("平",D6100)),OR(ISNUMBER(SEARCH("上",D6100)),ISNUMBER(SEARCH("去",D6100)),ISNUMBER(SEARCH("入",D6100)))),"Ambiguous",IF(ISNUMBER(SEARCH("平",D6100)),"平","仄")))</x:f>
        <x:v>Ambiguous</x:v>
      </x:c>
      <x:c r="L6100" s="7" t="str">
        <x:v>Pingshui main list, Lu Qinli gap fill</x:v>
      </x:c>
    </x:row>
    <x:row r="6101">
      <x:c r="A6101" s="5" t="str">
        <x:v>褶</x:v>
      </x:c>
      <x:c r="B6101" s="6" t="str">
        <x:v>入</x:v>
      </x:c>
      <x:c r="C6101" s="6" t="str">
        <x:f>IF(B6101="","Needs decision","Ready")</x:f>
        <x:v>Ready</x:v>
      </x:c>
      <x:c r="D6101" s="6" t="str">
        <x:v>入</x:v>
      </x:c>
      <x:c r="E6101" s="6" t="str"/>
      <x:c r="F6101" s="6" t="str">
        <x:v>入聲十四緝; 入聲十六葉</x:v>
      </x:c>
      <x:c r="G6101" s="6" t="str">
        <x:v>Pingshui main list, Wikisource-derived DOCX</x:v>
      </x:c>
      <x:c r="H6101" s="6" t="str"/>
      <x:c r="I6101" s="6" t="str">
        <x:v>Lu Qinli gap fill from Pingshui main list; 詞 entries ignored</x:v>
      </x:c>
      <x:c r="J6101" s="6" t="str">
        <x:f>IF(B6101="","",IF(AND(ISNUMBER(SEARCH("平",B6101)),OR(ISNUMBER(SEARCH("上",B6101)),ISNUMBER(SEARCH("去",B6101)),ISNUMBER(SEARCH("入",B6101)))),"Ambiguous",IF(ISNUMBER(SEARCH("平",B6101)),"平","仄")))</x:f>
        <x:v>仄</x:v>
      </x:c>
      <x:c r="K6101" s="6" t="str">
        <x:f>IF(D6101="","",IF(AND(ISNUMBER(SEARCH("平",D6101)),OR(ISNUMBER(SEARCH("上",D6101)),ISNUMBER(SEARCH("去",D6101)),ISNUMBER(SEARCH("入",D6101)))),"Ambiguous",IF(ISNUMBER(SEARCH("平",D6101)),"平","仄")))</x:f>
        <x:v>仄</x:v>
      </x:c>
      <x:c r="L6101" s="7" t="str">
        <x:v>Pingshui main list, Lu Qinli gap fill</x:v>
      </x:c>
    </x:row>
    <x:row r="6102">
      <x:c r="A6102" s="5" t="str">
        <x:v>襁</x:v>
      </x:c>
      <x:c r="B6102" s="6" t="str">
        <x:v>上</x:v>
      </x:c>
      <x:c r="C6102" s="6" t="str">
        <x:f>IF(B6102="","Needs decision","Ready")</x:f>
        <x:v>Ready</x:v>
      </x:c>
      <x:c r="D6102" s="6" t="str">
        <x:v>上</x:v>
      </x:c>
      <x:c r="E6102" s="6" t="str"/>
      <x:c r="F6102" s="6" t="str">
        <x:v>上聲二十二養</x:v>
      </x:c>
      <x:c r="G6102" s="6" t="str">
        <x:v>Pingshui main list, Wikisource-derived DOCX</x:v>
      </x:c>
      <x:c r="H6102" s="6" t="str"/>
      <x:c r="I6102" s="6" t="str">
        <x:v>Lu Qinli gap fill from Pingshui main list; 詞 entries ignored</x:v>
      </x:c>
      <x:c r="J6102" s="6" t="str">
        <x:f>IF(B6102="","",IF(AND(ISNUMBER(SEARCH("平",B6102)),OR(ISNUMBER(SEARCH("上",B6102)),ISNUMBER(SEARCH("去",B6102)),ISNUMBER(SEARCH("入",B6102)))),"Ambiguous",IF(ISNUMBER(SEARCH("平",B6102)),"平","仄")))</x:f>
        <x:v>仄</x:v>
      </x:c>
      <x:c r="K6102" s="6" t="str">
        <x:f>IF(D6102="","",IF(AND(ISNUMBER(SEARCH("平",D6102)),OR(ISNUMBER(SEARCH("上",D6102)),ISNUMBER(SEARCH("去",D6102)),ISNUMBER(SEARCH("入",D6102)))),"Ambiguous",IF(ISNUMBER(SEARCH("平",D6102)),"平","仄")))</x:f>
        <x:v>仄</x:v>
      </x:c>
      <x:c r="L6102" s="7" t="str">
        <x:v>Pingshui main list, Lu Qinli gap fill</x:v>
      </x:c>
    </x:row>
    <x:row r="6103">
      <x:c r="A6103" s="5" t="str">
        <x:v>襖</x:v>
      </x:c>
      <x:c r="B6103" s="6" t="str">
        <x:v>上</x:v>
      </x:c>
      <x:c r="C6103" s="6" t="str">
        <x:f>IF(B6103="","Needs decision","Ready")</x:f>
        <x:v>Ready</x:v>
      </x:c>
      <x:c r="D6103" s="6" t="str">
        <x:v>上</x:v>
      </x:c>
      <x:c r="E6103" s="6" t="str"/>
      <x:c r="F6103" s="6" t="str">
        <x:v>上聲十九皓</x:v>
      </x:c>
      <x:c r="G6103" s="6" t="str">
        <x:v>Pingshui main list, Wikisource-derived DOCX</x:v>
      </x:c>
      <x:c r="H6103" s="6" t="str"/>
      <x:c r="I6103" s="6" t="str">
        <x:v>Lu Qinli gap fill from Pingshui main list; 詞 entries ignored</x:v>
      </x:c>
      <x:c r="J6103" s="6" t="str">
        <x:f>IF(B6103="","",IF(AND(ISNUMBER(SEARCH("平",B6103)),OR(ISNUMBER(SEARCH("上",B6103)),ISNUMBER(SEARCH("去",B6103)),ISNUMBER(SEARCH("入",B6103)))),"Ambiguous",IF(ISNUMBER(SEARCH("平",B6103)),"平","仄")))</x:f>
        <x:v>仄</x:v>
      </x:c>
      <x:c r="K6103" s="6" t="str">
        <x:f>IF(D6103="","",IF(AND(ISNUMBER(SEARCH("平",D6103)),OR(ISNUMBER(SEARCH("上",D6103)),ISNUMBER(SEARCH("去",D6103)),ISNUMBER(SEARCH("入",D6103)))),"Ambiguous",IF(ISNUMBER(SEARCH("平",D6103)),"平","仄")))</x:f>
        <x:v>仄</x:v>
      </x:c>
      <x:c r="L6103" s="7" t="str">
        <x:v>Pingshui main list, Lu Qinli gap fill</x:v>
      </x:c>
    </x:row>
    <x:row r="6104">
      <x:c r="A6104" s="5" t="str">
        <x:v>襚</x:v>
      </x:c>
      <x:c r="B6104" s="6" t="str">
        <x:v>去</x:v>
      </x:c>
      <x:c r="C6104" s="6" t="str">
        <x:f>IF(B6104="","Needs decision","Ready")</x:f>
        <x:v>Ready</x:v>
      </x:c>
      <x:c r="D6104" s="6" t="str">
        <x:v>去</x:v>
      </x:c>
      <x:c r="E6104" s="6" t="str"/>
      <x:c r="F6104" s="6" t="str">
        <x:v>去聲四寘</x:v>
      </x:c>
      <x:c r="G6104" s="6" t="str">
        <x:v>Pingshui main list, Wikisource-derived DOCX</x:v>
      </x:c>
      <x:c r="H6104" s="6" t="str"/>
      <x:c r="I6104" s="6" t="str">
        <x:v>Lu Qinli gap fill from Pingshui main list; 詞 entries ignored</x:v>
      </x:c>
      <x:c r="J6104" s="6" t="str">
        <x:f>IF(B6104="","",IF(AND(ISNUMBER(SEARCH("平",B6104)),OR(ISNUMBER(SEARCH("上",B6104)),ISNUMBER(SEARCH("去",B6104)),ISNUMBER(SEARCH("入",B6104)))),"Ambiguous",IF(ISNUMBER(SEARCH("平",B6104)),"平","仄")))</x:f>
        <x:v>仄</x:v>
      </x:c>
      <x:c r="K6104" s="6" t="str">
        <x:f>IF(D6104="","",IF(AND(ISNUMBER(SEARCH("平",D6104)),OR(ISNUMBER(SEARCH("上",D6104)),ISNUMBER(SEARCH("去",D6104)),ISNUMBER(SEARCH("入",D6104)))),"Ambiguous",IF(ISNUMBER(SEARCH("平",D6104)),"平","仄")))</x:f>
        <x:v>仄</x:v>
      </x:c>
      <x:c r="L6104" s="7" t="str">
        <x:v>Pingshui main list, Lu Qinli gap fill</x:v>
      </x:c>
    </x:row>
    <x:row r="6105">
      <x:c r="A6105" s="5" t="str">
        <x:v>襞</x:v>
      </x:c>
      <x:c r="B6105" s="6" t="str">
        <x:v>入</x:v>
      </x:c>
      <x:c r="C6105" s="6" t="str">
        <x:f>IF(B6105="","Needs decision","Ready")</x:f>
        <x:v>Ready</x:v>
      </x:c>
      <x:c r="D6105" s="6" t="str">
        <x:v>入</x:v>
      </x:c>
      <x:c r="E6105" s="6" t="str"/>
      <x:c r="F6105" s="6" t="str">
        <x:v>入聲十一陌</x:v>
      </x:c>
      <x:c r="G6105" s="6" t="str">
        <x:v>Pingshui main list, Wikisource-derived DOCX</x:v>
      </x:c>
      <x:c r="H6105" s="6" t="str"/>
      <x:c r="I6105" s="6" t="str">
        <x:v>Lu Qinli gap fill from Pingshui main list; 詞 entries ignored</x:v>
      </x:c>
      <x:c r="J6105" s="6" t="str">
        <x:f>IF(B6105="","",IF(AND(ISNUMBER(SEARCH("平",B6105)),OR(ISNUMBER(SEARCH("上",B6105)),ISNUMBER(SEARCH("去",B6105)),ISNUMBER(SEARCH("入",B6105)))),"Ambiguous",IF(ISNUMBER(SEARCH("平",B6105)),"平","仄")))</x:f>
        <x:v>仄</x:v>
      </x:c>
      <x:c r="K6105" s="6" t="str">
        <x:f>IF(D6105="","",IF(AND(ISNUMBER(SEARCH("平",D6105)),OR(ISNUMBER(SEARCH("上",D6105)),ISNUMBER(SEARCH("去",D6105)),ISNUMBER(SEARCH("入",D6105)))),"Ambiguous",IF(ISNUMBER(SEARCH("平",D6105)),"平","仄")))</x:f>
        <x:v>仄</x:v>
      </x:c>
      <x:c r="L6105" s="7" t="str">
        <x:v>Pingshui main list, Lu Qinli gap fill</x:v>
      </x:c>
    </x:row>
    <x:row r="6106">
      <x:c r="A6106" s="5" t="str">
        <x:v>襠</x:v>
      </x:c>
      <x:c r="B6106" s="6" t="str">
        <x:v>平</x:v>
      </x:c>
      <x:c r="C6106" s="6" t="str">
        <x:f>IF(B6106="","Needs decision","Ready")</x:f>
        <x:v>Ready</x:v>
      </x:c>
      <x:c r="D6106" s="6" t="str">
        <x:v>平</x:v>
      </x:c>
      <x:c r="E6106" s="6" t="str"/>
      <x:c r="F6106" s="6" t="str">
        <x:v>下平聲七陽</x:v>
      </x:c>
      <x:c r="G6106" s="6" t="str">
        <x:v>Pingshui main list, Wikisource-derived DOCX</x:v>
      </x:c>
      <x:c r="H6106" s="6" t="str"/>
      <x:c r="I6106" s="6" t="str">
        <x:v>Lu Qinli gap fill from Pingshui main list; 詞 entries ignored</x:v>
      </x:c>
      <x:c r="J6106" s="6" t="str">
        <x:f>IF(B6106="","",IF(AND(ISNUMBER(SEARCH("平",B6106)),OR(ISNUMBER(SEARCH("上",B6106)),ISNUMBER(SEARCH("去",B6106)),ISNUMBER(SEARCH("入",B6106)))),"Ambiguous",IF(ISNUMBER(SEARCH("平",B6106)),"平","仄")))</x:f>
        <x:v>平</x:v>
      </x:c>
      <x:c r="K6106" s="6" t="str">
        <x:f>IF(D6106="","",IF(AND(ISNUMBER(SEARCH("平",D6106)),OR(ISNUMBER(SEARCH("上",D6106)),ISNUMBER(SEARCH("去",D6106)),ISNUMBER(SEARCH("入",D6106)))),"Ambiguous",IF(ISNUMBER(SEARCH("平",D6106)),"平","仄")))</x:f>
        <x:v>平</x:v>
      </x:c>
      <x:c r="L6106" s="7" t="str">
        <x:v>Pingshui main list, Lu Qinli gap fill</x:v>
      </x:c>
    </x:row>
    <x:row r="6107">
      <x:c r="A6107" s="5" t="str">
        <x:v>襤</x:v>
      </x:c>
      <x:c r="B6107" s="6" t="str">
        <x:v>平</x:v>
      </x:c>
      <x:c r="C6107" s="6" t="str">
        <x:f>IF(B6107="","Needs decision","Ready")</x:f>
        <x:v>Ready</x:v>
      </x:c>
      <x:c r="D6107" s="6" t="str">
        <x:v>平</x:v>
      </x:c>
      <x:c r="E6107" s="6" t="str"/>
      <x:c r="F6107" s="6" t="str">
        <x:v>下平聲十三覃</x:v>
      </x:c>
      <x:c r="G6107" s="6" t="str">
        <x:v>Pingshui main list, Wikisource-derived DOCX</x:v>
      </x:c>
      <x:c r="H6107" s="6" t="str"/>
      <x:c r="I6107" s="6" t="str">
        <x:v>Lu Qinli gap fill from Pingshui main list; 詞 entries ignored</x:v>
      </x:c>
      <x:c r="J6107" s="6" t="str">
        <x:f>IF(B6107="","",IF(AND(ISNUMBER(SEARCH("平",B6107)),OR(ISNUMBER(SEARCH("上",B6107)),ISNUMBER(SEARCH("去",B6107)),ISNUMBER(SEARCH("入",B6107)))),"Ambiguous",IF(ISNUMBER(SEARCH("平",B6107)),"平","仄")))</x:f>
        <x:v>平</x:v>
      </x:c>
      <x:c r="K6107" s="6" t="str">
        <x:f>IF(D6107="","",IF(AND(ISNUMBER(SEARCH("平",D6107)),OR(ISNUMBER(SEARCH("上",D6107)),ISNUMBER(SEARCH("去",D6107)),ISNUMBER(SEARCH("入",D6107)))),"Ambiguous",IF(ISNUMBER(SEARCH("平",D6107)),"平","仄")))</x:f>
        <x:v>平</x:v>
      </x:c>
      <x:c r="L6107" s="7" t="str">
        <x:v>Pingshui main list, Lu Qinli gap fill</x:v>
      </x:c>
    </x:row>
    <x:row r="6108">
      <x:c r="A6108" s="5" t="str">
        <x:v>襯</x:v>
      </x:c>
      <x:c r="B6108" s="6" t="str">
        <x:v>去</x:v>
      </x:c>
      <x:c r="C6108" s="6" t="str">
        <x:f>IF(B6108="","Needs decision","Ready")</x:f>
        <x:v>Ready</x:v>
      </x:c>
      <x:c r="D6108" s="6" t="str">
        <x:v>去</x:v>
      </x:c>
      <x:c r="E6108" s="6" t="str"/>
      <x:c r="F6108" s="6" t="str">
        <x:v>去聲十二震</x:v>
      </x:c>
      <x:c r="G6108" s="6" t="str">
        <x:v>Pingshui main list, Wikisource-derived DOCX</x:v>
      </x:c>
      <x:c r="H6108" s="6" t="str"/>
      <x:c r="I6108" s="6" t="str">
        <x:v>Lu Qinli gap fill from Pingshui main list; 詞 entries ignored</x:v>
      </x:c>
      <x:c r="J6108" s="6" t="str">
        <x:f>IF(B6108="","",IF(AND(ISNUMBER(SEARCH("平",B6108)),OR(ISNUMBER(SEARCH("上",B6108)),ISNUMBER(SEARCH("去",B6108)),ISNUMBER(SEARCH("入",B6108)))),"Ambiguous",IF(ISNUMBER(SEARCH("平",B6108)),"平","仄")))</x:f>
        <x:v>仄</x:v>
      </x:c>
      <x:c r="K6108" s="6" t="str">
        <x:f>IF(D6108="","",IF(AND(ISNUMBER(SEARCH("平",D6108)),OR(ISNUMBER(SEARCH("上",D6108)),ISNUMBER(SEARCH("去",D6108)),ISNUMBER(SEARCH("入",D6108)))),"Ambiguous",IF(ISNUMBER(SEARCH("平",D6108)),"平","仄")))</x:f>
        <x:v>仄</x:v>
      </x:c>
      <x:c r="L6108" s="7" t="str">
        <x:v>Pingshui main list, Lu Qinli gap fill</x:v>
      </x:c>
    </x:row>
    <x:row r="6109">
      <x:c r="A6109" s="5" t="str">
        <x:v>襶</x:v>
      </x:c>
      <x:c r="B6109" s="6" t="str">
        <x:v>去</x:v>
      </x:c>
      <x:c r="C6109" s="6" t="str">
        <x:f>IF(B6109="","Needs decision","Ready")</x:f>
        <x:v>Ready</x:v>
      </x:c>
      <x:c r="D6109" s="6" t="str">
        <x:v>去</x:v>
      </x:c>
      <x:c r="E6109" s="6" t="str"/>
      <x:c r="F6109" s="6" t="str">
        <x:v>去聲十一隊</x:v>
      </x:c>
      <x:c r="G6109" s="6" t="str">
        <x:v>Pingshui main list, Wikisource-derived DOCX</x:v>
      </x:c>
      <x:c r="H6109" s="6" t="str"/>
      <x:c r="I6109" s="6" t="str">
        <x:v>Lu Qinli gap fill from Pingshui main list; 詞 entries ignored</x:v>
      </x:c>
      <x:c r="J6109" s="6" t="str">
        <x:f>IF(B6109="","",IF(AND(ISNUMBER(SEARCH("平",B6109)),OR(ISNUMBER(SEARCH("上",B6109)),ISNUMBER(SEARCH("去",B6109)),ISNUMBER(SEARCH("入",B6109)))),"Ambiguous",IF(ISNUMBER(SEARCH("平",B6109)),"平","仄")))</x:f>
        <x:v>仄</x:v>
      </x:c>
      <x:c r="K6109" s="6" t="str">
        <x:f>IF(D6109="","",IF(AND(ISNUMBER(SEARCH("平",D6109)),OR(ISNUMBER(SEARCH("上",D6109)),ISNUMBER(SEARCH("去",D6109)),ISNUMBER(SEARCH("入",D6109)))),"Ambiguous",IF(ISNUMBER(SEARCH("平",D6109)),"平","仄")))</x:f>
        <x:v>仄</x:v>
      </x:c>
      <x:c r="L6109" s="7" t="str">
        <x:v>Pingshui main list, Lu Qinli gap fill</x:v>
      </x:c>
    </x:row>
    <x:row r="6110">
      <x:c r="A6110" s="5" t="str">
        <x:v>襻</x:v>
      </x:c>
      <x:c r="B6110" s="6" t="str">
        <x:v>去</x:v>
      </x:c>
      <x:c r="C6110" s="6" t="str">
        <x:f>IF(B6110="","Needs decision","Ready")</x:f>
        <x:v>Ready</x:v>
      </x:c>
      <x:c r="D6110" s="6" t="str">
        <x:v>去</x:v>
      </x:c>
      <x:c r="E6110" s="6" t="str"/>
      <x:c r="F6110" s="6" t="str">
        <x:v>去聲十六諫</x:v>
      </x:c>
      <x:c r="G6110" s="6" t="str">
        <x:v>Pingshui main list, Wikisource-derived DOCX</x:v>
      </x:c>
      <x:c r="H6110" s="6" t="str"/>
      <x:c r="I6110" s="6" t="str">
        <x:v>Lu Qinli gap fill from Pingshui main list; 詞 entries ignored</x:v>
      </x:c>
      <x:c r="J6110" s="6" t="str">
        <x:f>IF(B6110="","",IF(AND(ISNUMBER(SEARCH("平",B6110)),OR(ISNUMBER(SEARCH("上",B6110)),ISNUMBER(SEARCH("去",B6110)),ISNUMBER(SEARCH("入",B6110)))),"Ambiguous",IF(ISNUMBER(SEARCH("平",B6110)),"平","仄")))</x:f>
        <x:v>仄</x:v>
      </x:c>
      <x:c r="K6110" s="6" t="str">
        <x:f>IF(D6110="","",IF(AND(ISNUMBER(SEARCH("平",D6110)),OR(ISNUMBER(SEARCH("上",D6110)),ISNUMBER(SEARCH("去",D6110)),ISNUMBER(SEARCH("入",D6110)))),"Ambiguous",IF(ISNUMBER(SEARCH("平",D6110)),"平","仄")))</x:f>
        <x:v>仄</x:v>
      </x:c>
      <x:c r="L6110" s="7" t="str">
        <x:v>Pingshui main list, Lu Qinli gap fill</x:v>
      </x:c>
    </x:row>
    <x:row r="6111">
      <x:c r="A6111" s="5" t="str">
        <x:v>覘</x:v>
      </x:c>
      <x:c r="B6111" s="6" t="str">
        <x:v>平</x:v>
      </x:c>
      <x:c r="C6111" s="6" t="str">
        <x:f>IF(B6111="","Needs decision","Ready")</x:f>
        <x:v>Ready</x:v>
      </x:c>
      <x:c r="D6111" s="6" t="str">
        <x:v>平</x:v>
      </x:c>
      <x:c r="E6111" s="6" t="str"/>
      <x:c r="F6111" s="6" t="str">
        <x:v>下平聲十四鹽</x:v>
      </x:c>
      <x:c r="G6111" s="6" t="str">
        <x:v>Pingshui main list, Wikisource-derived DOCX</x:v>
      </x:c>
      <x:c r="H6111" s="6" t="str"/>
      <x:c r="I6111" s="6" t="str">
        <x:v>Lu Qinli gap fill from Pingshui main list; 詞 entries ignored</x:v>
      </x:c>
      <x:c r="J6111" s="6" t="str">
        <x:f>IF(B6111="","",IF(AND(ISNUMBER(SEARCH("平",B6111)),OR(ISNUMBER(SEARCH("上",B6111)),ISNUMBER(SEARCH("去",B6111)),ISNUMBER(SEARCH("入",B6111)))),"Ambiguous",IF(ISNUMBER(SEARCH("平",B6111)),"平","仄")))</x:f>
        <x:v>平</x:v>
      </x:c>
      <x:c r="K6111" s="6" t="str">
        <x:f>IF(D6111="","",IF(AND(ISNUMBER(SEARCH("平",D6111)),OR(ISNUMBER(SEARCH("上",D6111)),ISNUMBER(SEARCH("去",D6111)),ISNUMBER(SEARCH("入",D6111)))),"Ambiguous",IF(ISNUMBER(SEARCH("平",D6111)),"平","仄")))</x:f>
        <x:v>平</x:v>
      </x:c>
      <x:c r="L6111" s="7" t="str">
        <x:v>Pingshui main list, Lu Qinli gap fill</x:v>
      </x:c>
    </x:row>
    <x:row r="6112">
      <x:c r="A6112" s="5" t="str">
        <x:v>覬</x:v>
      </x:c>
      <x:c r="B6112" s="6" t="str">
        <x:v>去</x:v>
      </x:c>
      <x:c r="C6112" s="6" t="str">
        <x:f>IF(B6112="","Needs decision","Ready")</x:f>
        <x:v>Ready</x:v>
      </x:c>
      <x:c r="D6112" s="6" t="str">
        <x:v>去</x:v>
      </x:c>
      <x:c r="E6112" s="6" t="str"/>
      <x:c r="F6112" s="6" t="str">
        <x:v>去聲四寘</x:v>
      </x:c>
      <x:c r="G6112" s="6" t="str">
        <x:v>Pingshui main list, Wikisource-derived DOCX</x:v>
      </x:c>
      <x:c r="H6112" s="6" t="str"/>
      <x:c r="I6112" s="6" t="str">
        <x:v>Lu Qinli gap fill from Pingshui main list; 詞 entries ignored</x:v>
      </x:c>
      <x:c r="J6112" s="6" t="str">
        <x:f>IF(B6112="","",IF(AND(ISNUMBER(SEARCH("平",B6112)),OR(ISNUMBER(SEARCH("上",B6112)),ISNUMBER(SEARCH("去",B6112)),ISNUMBER(SEARCH("入",B6112)))),"Ambiguous",IF(ISNUMBER(SEARCH("平",B6112)),"平","仄")))</x:f>
        <x:v>仄</x:v>
      </x:c>
      <x:c r="K6112" s="6" t="str">
        <x:f>IF(D6112="","",IF(AND(ISNUMBER(SEARCH("平",D6112)),OR(ISNUMBER(SEARCH("上",D6112)),ISNUMBER(SEARCH("去",D6112)),ISNUMBER(SEARCH("入",D6112)))),"Ambiguous",IF(ISNUMBER(SEARCH("平",D6112)),"平","仄")))</x:f>
        <x:v>仄</x:v>
      </x:c>
      <x:c r="L6112" s="7" t="str">
        <x:v>Pingshui main list, Lu Qinli gap fill</x:v>
      </x:c>
    </x:row>
    <x:row r="6113">
      <x:c r="A6113" s="5" t="str">
        <x:v>觚</x:v>
      </x:c>
      <x:c r="B6113" s="6" t="str">
        <x:v>平</x:v>
      </x:c>
      <x:c r="C6113" s="6" t="str">
        <x:f>IF(B6113="","Needs decision","Ready")</x:f>
        <x:v>Ready</x:v>
      </x:c>
      <x:c r="D6113" s="6" t="str">
        <x:v>平</x:v>
      </x:c>
      <x:c r="E6113" s="6" t="str"/>
      <x:c r="F6113" s="6" t="str">
        <x:v>上平聲七虞</x:v>
      </x:c>
      <x:c r="G6113" s="6" t="str">
        <x:v>Pingshui main list, Wikisource-derived DOCX</x:v>
      </x:c>
      <x:c r="H6113" s="6" t="str"/>
      <x:c r="I6113" s="6" t="str">
        <x:v>Lu Qinli gap fill from Pingshui main list; 詞 entries ignored</x:v>
      </x:c>
      <x:c r="J6113" s="6" t="str">
        <x:f>IF(B6113="","",IF(AND(ISNUMBER(SEARCH("平",B6113)),OR(ISNUMBER(SEARCH("上",B6113)),ISNUMBER(SEARCH("去",B6113)),ISNUMBER(SEARCH("入",B6113)))),"Ambiguous",IF(ISNUMBER(SEARCH("平",B6113)),"平","仄")))</x:f>
        <x:v>平</x:v>
      </x:c>
      <x:c r="K6113" s="6" t="str">
        <x:f>IF(D6113="","",IF(AND(ISNUMBER(SEARCH("平",D6113)),OR(ISNUMBER(SEARCH("上",D6113)),ISNUMBER(SEARCH("去",D6113)),ISNUMBER(SEARCH("入",D6113)))),"Ambiguous",IF(ISNUMBER(SEARCH("平",D6113)),"平","仄")))</x:f>
        <x:v>平</x:v>
      </x:c>
      <x:c r="L6113" s="7" t="str">
        <x:v>Pingshui main list, Lu Qinli gap fill</x:v>
      </x:c>
    </x:row>
    <x:row r="6114">
      <x:c r="A6114" s="5" t="str">
        <x:v>觫</x:v>
      </x:c>
      <x:c r="B6114" s="6" t="str">
        <x:v>入</x:v>
      </x:c>
      <x:c r="C6114" s="6" t="str">
        <x:f>IF(B6114="","Needs decision","Ready")</x:f>
        <x:v>Ready</x:v>
      </x:c>
      <x:c r="D6114" s="6" t="str">
        <x:v>入</x:v>
      </x:c>
      <x:c r="E6114" s="6" t="str"/>
      <x:c r="F6114" s="6" t="str">
        <x:v>入聲一屋</x:v>
      </x:c>
      <x:c r="G6114" s="6" t="str">
        <x:v>Pingshui main list, Wikisource-derived DOCX</x:v>
      </x:c>
      <x:c r="H6114" s="6" t="str"/>
      <x:c r="I6114" s="6" t="str">
        <x:v>Lu Qinli gap fill from Pingshui main list; 詞 entries ignored</x:v>
      </x:c>
      <x:c r="J6114" s="6" t="str">
        <x:f>IF(B6114="","",IF(AND(ISNUMBER(SEARCH("平",B6114)),OR(ISNUMBER(SEARCH("上",B6114)),ISNUMBER(SEARCH("去",B6114)),ISNUMBER(SEARCH("入",B6114)))),"Ambiguous",IF(ISNUMBER(SEARCH("平",B6114)),"平","仄")))</x:f>
        <x:v>仄</x:v>
      </x:c>
      <x:c r="K6114" s="6" t="str">
        <x:f>IF(D6114="","",IF(AND(ISNUMBER(SEARCH("平",D6114)),OR(ISNUMBER(SEARCH("上",D6114)),ISNUMBER(SEARCH("去",D6114)),ISNUMBER(SEARCH("入",D6114)))),"Ambiguous",IF(ISNUMBER(SEARCH("平",D6114)),"平","仄")))</x:f>
        <x:v>仄</x:v>
      </x:c>
      <x:c r="L6114" s="7" t="str">
        <x:v>Pingshui main list, Lu Qinli gap fill</x:v>
      </x:c>
    </x:row>
    <x:row r="6115">
      <x:c r="A6115" s="5" t="str">
        <x:v>觳</x:v>
      </x:c>
      <x:c r="B6115" s="6" t="str">
        <x:v>入</x:v>
      </x:c>
      <x:c r="C6115" s="6" t="str">
        <x:f>IF(B6115="","Needs decision","Ready")</x:f>
        <x:v>Ready</x:v>
      </x:c>
      <x:c r="D6115" s="6" t="str">
        <x:v>入</x:v>
      </x:c>
      <x:c r="E6115" s="6" t="str"/>
      <x:c r="F6115" s="6" t="str">
        <x:v>入聲一屋; 入聲三覺</x:v>
      </x:c>
      <x:c r="G6115" s="6" t="str">
        <x:v>Pingshui main list, Wikisource-derived DOCX</x:v>
      </x:c>
      <x:c r="H6115" s="6" t="str"/>
      <x:c r="I6115" s="6" t="str">
        <x:v>Lu Qinli gap fill from Pingshui main list; 詞 entries ignored</x:v>
      </x:c>
      <x:c r="J6115" s="6" t="str">
        <x:f>IF(B6115="","",IF(AND(ISNUMBER(SEARCH("平",B6115)),OR(ISNUMBER(SEARCH("上",B6115)),ISNUMBER(SEARCH("去",B6115)),ISNUMBER(SEARCH("入",B6115)))),"Ambiguous",IF(ISNUMBER(SEARCH("平",B6115)),"平","仄")))</x:f>
        <x:v>仄</x:v>
      </x:c>
      <x:c r="K6115" s="6" t="str">
        <x:f>IF(D6115="","",IF(AND(ISNUMBER(SEARCH("平",D6115)),OR(ISNUMBER(SEARCH("上",D6115)),ISNUMBER(SEARCH("去",D6115)),ISNUMBER(SEARCH("入",D6115)))),"Ambiguous",IF(ISNUMBER(SEARCH("平",D6115)),"平","仄")))</x:f>
        <x:v>仄</x:v>
      </x:c>
      <x:c r="L6115" s="7" t="str">
        <x:v>Pingshui main list, Lu Qinli gap fill</x:v>
      </x:c>
    </x:row>
    <x:row r="6116">
      <x:c r="A6116" s="5" t="str">
        <x:v>訐</x:v>
      </x:c>
      <x:c r="B6116" s="6" t="str">
        <x:v>入</x:v>
      </x:c>
      <x:c r="C6116" s="6" t="str">
        <x:f>IF(B6116="","Needs decision","Ready")</x:f>
        <x:v>Ready</x:v>
      </x:c>
      <x:c r="D6116" s="6" t="str">
        <x:v>入</x:v>
      </x:c>
      <x:c r="E6116" s="6" t="str"/>
      <x:c r="F6116" s="6" t="str">
        <x:v>入聲六月; 入聲九屑</x:v>
      </x:c>
      <x:c r="G6116" s="6" t="str">
        <x:v>Pingshui main list, Wikisource-derived DOCX</x:v>
      </x:c>
      <x:c r="H6116" s="6" t="str"/>
      <x:c r="I6116" s="6" t="str">
        <x:v>Lu Qinli gap fill from Pingshui main list; 詞 entries ignored</x:v>
      </x:c>
      <x:c r="J6116" s="6" t="str">
        <x:f>IF(B6116="","",IF(AND(ISNUMBER(SEARCH("平",B6116)),OR(ISNUMBER(SEARCH("上",B6116)),ISNUMBER(SEARCH("去",B6116)),ISNUMBER(SEARCH("入",B6116)))),"Ambiguous",IF(ISNUMBER(SEARCH("平",B6116)),"平","仄")))</x:f>
        <x:v>仄</x:v>
      </x:c>
      <x:c r="K6116" s="6" t="str">
        <x:f>IF(D6116="","",IF(AND(ISNUMBER(SEARCH("平",D6116)),OR(ISNUMBER(SEARCH("上",D6116)),ISNUMBER(SEARCH("去",D6116)),ISNUMBER(SEARCH("入",D6116)))),"Ambiguous",IF(ISNUMBER(SEARCH("平",D6116)),"平","仄")))</x:f>
        <x:v>仄</x:v>
      </x:c>
      <x:c r="L6116" s="7" t="str">
        <x:v>Pingshui main list, Lu Qinli gap fill</x:v>
      </x:c>
    </x:row>
    <x:row r="6117">
      <x:c r="A6117" s="5" t="str">
        <x:v>訕</x:v>
      </x:c>
      <x:c r="B6117" s="6" t="str"/>
      <x:c r="C6117" s="6" t="str">
        <x:f>IF(B6117="","Needs decision","Ready")</x:f>
        <x:v>Needs decision</x:v>
      </x:c>
      <x:c r="D6117" s="6" t="str">
        <x:v>平/去</x:v>
      </x:c>
      <x:c r="E6117" s="6" t="str"/>
      <x:c r="F6117" s="6" t="str">
        <x:v>上平聲十五刪; 去聲十六諫</x:v>
      </x:c>
      <x:c r="G6117" s="6" t="str">
        <x:v>Pingshui main list, Wikisource-derived DOCX</x:v>
      </x:c>
      <x:c r="H6117" s="6" t="str"/>
      <x:c r="I6117" s="6" t="str">
        <x:v>Lu Qinli gap fill from Pingshui main list; 詞 entries ignored</x:v>
      </x:c>
      <x:c r="J6117" s="6" t="str">
        <x:f>IF(B6117="","",IF(AND(ISNUMBER(SEARCH("平",B6117)),OR(ISNUMBER(SEARCH("上",B6117)),ISNUMBER(SEARCH("去",B6117)),ISNUMBER(SEARCH("入",B6117)))),"Ambiguous",IF(ISNUMBER(SEARCH("平",B6117)),"平","仄")))</x:f>
      </x:c>
      <x:c r="K6117" s="6" t="str">
        <x:f>IF(D6117="","",IF(AND(ISNUMBER(SEARCH("平",D6117)),OR(ISNUMBER(SEARCH("上",D6117)),ISNUMBER(SEARCH("去",D6117)),ISNUMBER(SEARCH("入",D6117)))),"Ambiguous",IF(ISNUMBER(SEARCH("平",D6117)),"平","仄")))</x:f>
        <x:v>Ambiguous</x:v>
      </x:c>
      <x:c r="L6117" s="7" t="str">
        <x:v>Pingshui main list, Lu Qinli gap fill</x:v>
      </x:c>
    </x:row>
    <x:row r="6118">
      <x:c r="A6118" s="5" t="str">
        <x:v>訝</x:v>
      </x:c>
      <x:c r="B6118" s="6" t="str">
        <x:v>去</x:v>
      </x:c>
      <x:c r="C6118" s="6" t="str">
        <x:f>IF(B6118="","Needs decision","Ready")</x:f>
        <x:v>Ready</x:v>
      </x:c>
      <x:c r="D6118" s="6" t="str">
        <x:v>去</x:v>
      </x:c>
      <x:c r="E6118" s="6" t="str"/>
      <x:c r="F6118" s="6" t="str">
        <x:v>去聲二十二禡</x:v>
      </x:c>
      <x:c r="G6118" s="6" t="str">
        <x:v>Pingshui main list, Wikisource-derived DOCX</x:v>
      </x:c>
      <x:c r="H6118" s="6" t="str"/>
      <x:c r="I6118" s="6" t="str">
        <x:v>Lu Qinli gap fill from Pingshui main list; 詞 entries ignored</x:v>
      </x:c>
      <x:c r="J6118" s="6" t="str">
        <x:f>IF(B6118="","",IF(AND(ISNUMBER(SEARCH("平",B6118)),OR(ISNUMBER(SEARCH("上",B6118)),ISNUMBER(SEARCH("去",B6118)),ISNUMBER(SEARCH("入",B6118)))),"Ambiguous",IF(ISNUMBER(SEARCH("平",B6118)),"平","仄")))</x:f>
        <x:v>仄</x:v>
      </x:c>
      <x:c r="K6118" s="6" t="str">
        <x:f>IF(D6118="","",IF(AND(ISNUMBER(SEARCH("平",D6118)),OR(ISNUMBER(SEARCH("上",D6118)),ISNUMBER(SEARCH("去",D6118)),ISNUMBER(SEARCH("入",D6118)))),"Ambiguous",IF(ISNUMBER(SEARCH("平",D6118)),"平","仄")))</x:f>
        <x:v>仄</x:v>
      </x:c>
      <x:c r="L6118" s="7" t="str">
        <x:v>Pingshui main list, Lu Qinli gap fill</x:v>
      </x:c>
    </x:row>
    <x:row r="6119">
      <x:c r="A6119" s="5" t="str">
        <x:v>註</x:v>
      </x:c>
      <x:c r="B6119" s="6" t="str">
        <x:v>去</x:v>
      </x:c>
      <x:c r="C6119" s="6" t="str">
        <x:f>IF(B6119="","Needs decision","Ready")</x:f>
        <x:v>Ready</x:v>
      </x:c>
      <x:c r="D6119" s="6" t="str">
        <x:v>去</x:v>
      </x:c>
      <x:c r="E6119" s="6" t="str"/>
      <x:c r="F6119" s="6" t="str">
        <x:v>去聲七遇</x:v>
      </x:c>
      <x:c r="G6119" s="6" t="str">
        <x:v>Pingshui main list, Wikisource-derived DOCX</x:v>
      </x:c>
      <x:c r="H6119" s="6" t="str"/>
      <x:c r="I6119" s="6" t="str">
        <x:v>Lu Qinli gap fill from Pingshui main list; 詞 entries ignored</x:v>
      </x:c>
      <x:c r="J6119" s="6" t="str">
        <x:f>IF(B6119="","",IF(AND(ISNUMBER(SEARCH("平",B6119)),OR(ISNUMBER(SEARCH("上",B6119)),ISNUMBER(SEARCH("去",B6119)),ISNUMBER(SEARCH("入",B6119)))),"Ambiguous",IF(ISNUMBER(SEARCH("平",B6119)),"平","仄")))</x:f>
        <x:v>仄</x:v>
      </x:c>
      <x:c r="K6119" s="6" t="str">
        <x:f>IF(D6119="","",IF(AND(ISNUMBER(SEARCH("平",D6119)),OR(ISNUMBER(SEARCH("上",D6119)),ISNUMBER(SEARCH("去",D6119)),ISNUMBER(SEARCH("入",D6119)))),"Ambiguous",IF(ISNUMBER(SEARCH("平",D6119)),"平","仄")))</x:f>
        <x:v>仄</x:v>
      </x:c>
      <x:c r="L6119" s="7" t="str">
        <x:v>Pingshui main list, Lu Qinli gap fill</x:v>
      </x:c>
    </x:row>
    <x:row r="6120">
      <x:c r="A6120" s="5" t="str">
        <x:v>詁</x:v>
      </x:c>
      <x:c r="B6120" s="6" t="str">
        <x:v>上</x:v>
      </x:c>
      <x:c r="C6120" s="6" t="str">
        <x:f>IF(B6120="","Needs decision","Ready")</x:f>
        <x:v>Ready</x:v>
      </x:c>
      <x:c r="D6120" s="6" t="str">
        <x:v>上</x:v>
      </x:c>
      <x:c r="E6120" s="6" t="str"/>
      <x:c r="F6120" s="6" t="str">
        <x:v>上聲七麌</x:v>
      </x:c>
      <x:c r="G6120" s="6" t="str">
        <x:v>Pingshui main list, Wikisource-derived DOCX</x:v>
      </x:c>
      <x:c r="H6120" s="6" t="str"/>
      <x:c r="I6120" s="6" t="str">
        <x:v>Lu Qinli gap fill from Pingshui main list; 詞 entries ignored</x:v>
      </x:c>
      <x:c r="J6120" s="6" t="str">
        <x:f>IF(B6120="","",IF(AND(ISNUMBER(SEARCH("平",B6120)),OR(ISNUMBER(SEARCH("上",B6120)),ISNUMBER(SEARCH("去",B6120)),ISNUMBER(SEARCH("入",B6120)))),"Ambiguous",IF(ISNUMBER(SEARCH("平",B6120)),"平","仄")))</x:f>
        <x:v>仄</x:v>
      </x:c>
      <x:c r="K6120" s="6" t="str">
        <x:f>IF(D6120="","",IF(AND(ISNUMBER(SEARCH("平",D6120)),OR(ISNUMBER(SEARCH("上",D6120)),ISNUMBER(SEARCH("去",D6120)),ISNUMBER(SEARCH("入",D6120)))),"Ambiguous",IF(ISNUMBER(SEARCH("平",D6120)),"平","仄")))</x:f>
        <x:v>仄</x:v>
      </x:c>
      <x:c r="L6120" s="7" t="str">
        <x:v>Pingshui main list, Lu Qinli gap fill</x:v>
      </x:c>
    </x:row>
    <x:row r="6121">
      <x:c r="A6121" s="5" t="str">
        <x:v>詆</x:v>
      </x:c>
      <x:c r="B6121" s="6" t="str"/>
      <x:c r="C6121" s="6" t="str">
        <x:f>IF(B6121="","Needs decision","Ready")</x:f>
        <x:v>Needs decision</x:v>
      </x:c>
      <x:c r="D6121" s="6" t="str">
        <x:v>平/上</x:v>
      </x:c>
      <x:c r="E6121" s="6" t="str"/>
      <x:c r="F6121" s="6" t="str">
        <x:v>上平聲八齊; 上聲八薺</x:v>
      </x:c>
      <x:c r="G6121" s="6" t="str">
        <x:v>Pingshui main list, Wikisource-derived DOCX</x:v>
      </x:c>
      <x:c r="H6121" s="6" t="str"/>
      <x:c r="I6121" s="6" t="str">
        <x:v>Lu Qinli gap fill from Pingshui main list; 詞 entries ignored</x:v>
      </x:c>
      <x:c r="J6121" s="6" t="str">
        <x:f>IF(B6121="","",IF(AND(ISNUMBER(SEARCH("平",B6121)),OR(ISNUMBER(SEARCH("上",B6121)),ISNUMBER(SEARCH("去",B6121)),ISNUMBER(SEARCH("入",B6121)))),"Ambiguous",IF(ISNUMBER(SEARCH("平",B6121)),"平","仄")))</x:f>
      </x:c>
      <x:c r="K6121" s="6" t="str">
        <x:f>IF(D6121="","",IF(AND(ISNUMBER(SEARCH("平",D6121)),OR(ISNUMBER(SEARCH("上",D6121)),ISNUMBER(SEARCH("去",D6121)),ISNUMBER(SEARCH("入",D6121)))),"Ambiguous",IF(ISNUMBER(SEARCH("平",D6121)),"平","仄")))</x:f>
        <x:v>Ambiguous</x:v>
      </x:c>
      <x:c r="L6121" s="7" t="str">
        <x:v>Pingshui main list, Lu Qinli gap fill</x:v>
      </x:c>
    </x:row>
    <x:row r="6122">
      <x:c r="A6122" s="5" t="str">
        <x:v>評</x:v>
      </x:c>
      <x:c r="B6122" s="6" t="str"/>
      <x:c r="C6122" s="6" t="str">
        <x:f>IF(B6122="","Needs decision","Ready")</x:f>
        <x:v>Needs decision</x:v>
      </x:c>
      <x:c r="D6122" s="6" t="str">
        <x:v>平/去</x:v>
      </x:c>
      <x:c r="E6122" s="6" t="str"/>
      <x:c r="F6122" s="6" t="str">
        <x:v>下平聲八庚; 去聲二十四敬</x:v>
      </x:c>
      <x:c r="G6122" s="6" t="str">
        <x:v>Pingshui main list, Wikisource-derived DOCX</x:v>
      </x:c>
      <x:c r="H6122" s="6" t="str"/>
      <x:c r="I6122" s="6" t="str">
        <x:v>Lu Qinli gap fill from Pingshui main list; 詞 entries ignored</x:v>
      </x:c>
      <x:c r="J6122" s="6" t="str">
        <x:f>IF(B6122="","",IF(AND(ISNUMBER(SEARCH("平",B6122)),OR(ISNUMBER(SEARCH("上",B6122)),ISNUMBER(SEARCH("去",B6122)),ISNUMBER(SEARCH("入",B6122)))),"Ambiguous",IF(ISNUMBER(SEARCH("平",B6122)),"平","仄")))</x:f>
      </x:c>
      <x:c r="K6122" s="6" t="str">
        <x:f>IF(D6122="","",IF(AND(ISNUMBER(SEARCH("平",D6122)),OR(ISNUMBER(SEARCH("上",D6122)),ISNUMBER(SEARCH("去",D6122)),ISNUMBER(SEARCH("入",D6122)))),"Ambiguous",IF(ISNUMBER(SEARCH("平",D6122)),"平","仄")))</x:f>
        <x:v>Ambiguous</x:v>
      </x:c>
      <x:c r="L6122" s="7" t="str">
        <x:v>Pingshui main list, Lu Qinli gap fill</x:v>
      </x:c>
    </x:row>
    <x:row r="6123">
      <x:c r="A6123" s="5" t="str">
        <x:v>詖</x:v>
      </x:c>
      <x:c r="B6123" s="6" t="str"/>
      <x:c r="C6123" s="6" t="str">
        <x:f>IF(B6123="","Needs decision","Ready")</x:f>
        <x:v>Needs decision</x:v>
      </x:c>
      <x:c r="D6123" s="6" t="str">
        <x:v>平/去</x:v>
      </x:c>
      <x:c r="E6123" s="6" t="str"/>
      <x:c r="F6123" s="6" t="str">
        <x:v>上平聲四支; 去聲四寘</x:v>
      </x:c>
      <x:c r="G6123" s="6" t="str">
        <x:v>Pingshui main list, Wikisource-derived DOCX</x:v>
      </x:c>
      <x:c r="H6123" s="6" t="str"/>
      <x:c r="I6123" s="6" t="str">
        <x:v>Lu Qinli gap fill from Pingshui main list; 詞 entries ignored</x:v>
      </x:c>
      <x:c r="J6123" s="6" t="str">
        <x:f>IF(B6123="","",IF(AND(ISNUMBER(SEARCH("平",B6123)),OR(ISNUMBER(SEARCH("上",B6123)),ISNUMBER(SEARCH("去",B6123)),ISNUMBER(SEARCH("入",B6123)))),"Ambiguous",IF(ISNUMBER(SEARCH("平",B6123)),"平","仄")))</x:f>
      </x:c>
      <x:c r="K6123" s="6" t="str">
        <x:f>IF(D6123="","",IF(AND(ISNUMBER(SEARCH("平",D6123)),OR(ISNUMBER(SEARCH("上",D6123)),ISNUMBER(SEARCH("去",D6123)),ISNUMBER(SEARCH("入",D6123)))),"Ambiguous",IF(ISNUMBER(SEARCH("平",D6123)),"平","仄")))</x:f>
        <x:v>Ambiguous</x:v>
      </x:c>
      <x:c r="L6123" s="7" t="str">
        <x:v>Pingshui main list, Lu Qinli gap fill</x:v>
      </x:c>
    </x:row>
    <x:row r="6124">
      <x:c r="A6124" s="5" t="str">
        <x:v>詘</x:v>
      </x:c>
      <x:c r="B6124" s="6" t="str">
        <x:v>入</x:v>
      </x:c>
      <x:c r="C6124" s="6" t="str">
        <x:f>IF(B6124="","Needs decision","Ready")</x:f>
        <x:v>Ready</x:v>
      </x:c>
      <x:c r="D6124" s="6" t="str">
        <x:v>入</x:v>
      </x:c>
      <x:c r="E6124" s="6" t="str"/>
      <x:c r="F6124" s="6" t="str">
        <x:v>入聲五物</x:v>
      </x:c>
      <x:c r="G6124" s="6" t="str">
        <x:v>Pingshui main list, Wikisource-derived DOCX</x:v>
      </x:c>
      <x:c r="H6124" s="6" t="str"/>
      <x:c r="I6124" s="6" t="str">
        <x:v>Lu Qinli gap fill from Pingshui main list; 詞 entries ignored</x:v>
      </x:c>
      <x:c r="J6124" s="6" t="str">
        <x:f>IF(B6124="","",IF(AND(ISNUMBER(SEARCH("平",B6124)),OR(ISNUMBER(SEARCH("上",B6124)),ISNUMBER(SEARCH("去",B6124)),ISNUMBER(SEARCH("入",B6124)))),"Ambiguous",IF(ISNUMBER(SEARCH("平",B6124)),"平","仄")))</x:f>
        <x:v>仄</x:v>
      </x:c>
      <x:c r="K6124" s="6" t="str">
        <x:f>IF(D6124="","",IF(AND(ISNUMBER(SEARCH("平",D6124)),OR(ISNUMBER(SEARCH("上",D6124)),ISNUMBER(SEARCH("去",D6124)),ISNUMBER(SEARCH("入",D6124)))),"Ambiguous",IF(ISNUMBER(SEARCH("平",D6124)),"平","仄")))</x:f>
        <x:v>仄</x:v>
      </x:c>
      <x:c r="L6124" s="7" t="str">
        <x:v>Pingshui main list, Lu Qinli gap fill</x:v>
      </x:c>
    </x:row>
    <x:row r="6125">
      <x:c r="A6125" s="5" t="str">
        <x:v>詛</x:v>
      </x:c>
      <x:c r="B6125" s="6" t="str">
        <x:v>去</x:v>
      </x:c>
      <x:c r="C6125" s="6" t="str">
        <x:f>IF(B6125="","Needs decision","Ready")</x:f>
        <x:v>Ready</x:v>
      </x:c>
      <x:c r="D6125" s="6" t="str">
        <x:v>去</x:v>
      </x:c>
      <x:c r="E6125" s="6" t="str"/>
      <x:c r="F6125" s="6" t="str">
        <x:v>去聲六御</x:v>
      </x:c>
      <x:c r="G6125" s="6" t="str">
        <x:v>Pingshui main list, Wikisource-derived DOCX</x:v>
      </x:c>
      <x:c r="H6125" s="6" t="str"/>
      <x:c r="I6125" s="6" t="str">
        <x:v>Lu Qinli gap fill from Pingshui main list; 詞 entries ignored</x:v>
      </x:c>
      <x:c r="J6125" s="6" t="str">
        <x:f>IF(B6125="","",IF(AND(ISNUMBER(SEARCH("平",B6125)),OR(ISNUMBER(SEARCH("上",B6125)),ISNUMBER(SEARCH("去",B6125)),ISNUMBER(SEARCH("入",B6125)))),"Ambiguous",IF(ISNUMBER(SEARCH("平",B6125)),"平","仄")))</x:f>
        <x:v>仄</x:v>
      </x:c>
      <x:c r="K6125" s="6" t="str">
        <x:f>IF(D6125="","",IF(AND(ISNUMBER(SEARCH("平",D6125)),OR(ISNUMBER(SEARCH("上",D6125)),ISNUMBER(SEARCH("去",D6125)),ISNUMBER(SEARCH("入",D6125)))),"Ambiguous",IF(ISNUMBER(SEARCH("平",D6125)),"平","仄")))</x:f>
        <x:v>仄</x:v>
      </x:c>
      <x:c r="L6125" s="7" t="str">
        <x:v>Pingshui main list, Lu Qinli gap fill</x:v>
      </x:c>
    </x:row>
    <x:row r="6126">
      <x:c r="A6126" s="5" t="str">
        <x:v>詡</x:v>
      </x:c>
      <x:c r="B6126" s="6" t="str">
        <x:v>上</x:v>
      </x:c>
      <x:c r="C6126" s="6" t="str">
        <x:f>IF(B6126="","Needs decision","Ready")</x:f>
        <x:v>Ready</x:v>
      </x:c>
      <x:c r="D6126" s="6" t="str">
        <x:v>上</x:v>
      </x:c>
      <x:c r="E6126" s="6" t="str"/>
      <x:c r="F6126" s="6" t="str">
        <x:v>上聲七麌</x:v>
      </x:c>
      <x:c r="G6126" s="6" t="str">
        <x:v>Pingshui main list, Wikisource-derived DOCX</x:v>
      </x:c>
      <x:c r="H6126" s="6" t="str"/>
      <x:c r="I6126" s="6" t="str">
        <x:v>Lu Qinli gap fill from Pingshui main list; 詞 entries ignored</x:v>
      </x:c>
      <x:c r="J6126" s="6" t="str">
        <x:f>IF(B6126="","",IF(AND(ISNUMBER(SEARCH("平",B6126)),OR(ISNUMBER(SEARCH("上",B6126)),ISNUMBER(SEARCH("去",B6126)),ISNUMBER(SEARCH("入",B6126)))),"Ambiguous",IF(ISNUMBER(SEARCH("平",B6126)),"平","仄")))</x:f>
        <x:v>仄</x:v>
      </x:c>
      <x:c r="K6126" s="6" t="str">
        <x:f>IF(D6126="","",IF(AND(ISNUMBER(SEARCH("平",D6126)),OR(ISNUMBER(SEARCH("上",D6126)),ISNUMBER(SEARCH("去",D6126)),ISNUMBER(SEARCH("入",D6126)))),"Ambiguous",IF(ISNUMBER(SEARCH("平",D6126)),"平","仄")))</x:f>
        <x:v>仄</x:v>
      </x:c>
      <x:c r="L6126" s="7" t="str">
        <x:v>Pingshui main list, Lu Qinli gap fill</x:v>
      </x:c>
    </x:row>
    <x:row r="6127">
      <x:c r="A6127" s="5" t="str">
        <x:v>詬</x:v>
      </x:c>
      <x:c r="B6127" s="6" t="str">
        <x:v>去</x:v>
      </x:c>
      <x:c r="C6127" s="6" t="str">
        <x:f>IF(B6127="","Needs decision","Ready")</x:f>
        <x:v>Ready</x:v>
      </x:c>
      <x:c r="D6127" s="6" t="str">
        <x:v>去</x:v>
      </x:c>
      <x:c r="E6127" s="6" t="str"/>
      <x:c r="F6127" s="6" t="str">
        <x:v>去聲二十六宥</x:v>
      </x:c>
      <x:c r="G6127" s="6" t="str">
        <x:v>Pingshui main list, Wikisource-derived DOCX</x:v>
      </x:c>
      <x:c r="H6127" s="6" t="str"/>
      <x:c r="I6127" s="6" t="str">
        <x:v>Lu Qinli gap fill from Pingshui main list; 詞 entries ignored</x:v>
      </x:c>
      <x:c r="J6127" s="6" t="str">
        <x:f>IF(B6127="","",IF(AND(ISNUMBER(SEARCH("平",B6127)),OR(ISNUMBER(SEARCH("上",B6127)),ISNUMBER(SEARCH("去",B6127)),ISNUMBER(SEARCH("入",B6127)))),"Ambiguous",IF(ISNUMBER(SEARCH("平",B6127)),"平","仄")))</x:f>
        <x:v>仄</x:v>
      </x:c>
      <x:c r="K6127" s="6" t="str">
        <x:f>IF(D6127="","",IF(AND(ISNUMBER(SEARCH("平",D6127)),OR(ISNUMBER(SEARCH("上",D6127)),ISNUMBER(SEARCH("去",D6127)),ISNUMBER(SEARCH("入",D6127)))),"Ambiguous",IF(ISNUMBER(SEARCH("平",D6127)),"平","仄")))</x:f>
        <x:v>仄</x:v>
      </x:c>
      <x:c r="L6127" s="7" t="str">
        <x:v>Pingshui main list, Lu Qinli gap fill</x:v>
      </x:c>
    </x:row>
    <x:row r="6128">
      <x:c r="A6128" s="5" t="str">
        <x:v>詮</x:v>
      </x:c>
      <x:c r="B6128" s="6" t="str">
        <x:v>平</x:v>
      </x:c>
      <x:c r="C6128" s="6" t="str">
        <x:f>IF(B6128="","Needs decision","Ready")</x:f>
        <x:v>Ready</x:v>
      </x:c>
      <x:c r="D6128" s="6" t="str">
        <x:v>平</x:v>
      </x:c>
      <x:c r="E6128" s="6" t="str"/>
      <x:c r="F6128" s="6" t="str">
        <x:v>下平聲一先</x:v>
      </x:c>
      <x:c r="G6128" s="6" t="str">
        <x:v>Pingshui main list, Wikisource-derived DOCX</x:v>
      </x:c>
      <x:c r="H6128" s="6" t="str"/>
      <x:c r="I6128" s="6" t="str">
        <x:v>Lu Qinli gap fill from Pingshui main list; 詞 entries ignored</x:v>
      </x:c>
      <x:c r="J6128" s="6" t="str">
        <x:f>IF(B6128="","",IF(AND(ISNUMBER(SEARCH("平",B6128)),OR(ISNUMBER(SEARCH("上",B6128)),ISNUMBER(SEARCH("去",B6128)),ISNUMBER(SEARCH("入",B6128)))),"Ambiguous",IF(ISNUMBER(SEARCH("平",B6128)),"平","仄")))</x:f>
        <x:v>平</x:v>
      </x:c>
      <x:c r="K6128" s="6" t="str">
        <x:f>IF(D6128="","",IF(AND(ISNUMBER(SEARCH("平",D6128)),OR(ISNUMBER(SEARCH("上",D6128)),ISNUMBER(SEARCH("去",D6128)),ISNUMBER(SEARCH("入",D6128)))),"Ambiguous",IF(ISNUMBER(SEARCH("平",D6128)),"平","仄")))</x:f>
        <x:v>平</x:v>
      </x:c>
      <x:c r="L6128" s="7" t="str">
        <x:v>Pingshui main list, Lu Qinli gap fill</x:v>
      </x:c>
    </x:row>
    <x:row r="6129">
      <x:c r="A6129" s="5" t="str">
        <x:v>誑</x:v>
      </x:c>
      <x:c r="B6129" s="6" t="str">
        <x:v>去</x:v>
      </x:c>
      <x:c r="C6129" s="6" t="str">
        <x:f>IF(B6129="","Needs decision","Ready")</x:f>
        <x:v>Ready</x:v>
      </x:c>
      <x:c r="D6129" s="6" t="str">
        <x:v>去</x:v>
      </x:c>
      <x:c r="E6129" s="6" t="str"/>
      <x:c r="F6129" s="6" t="str">
        <x:v>去聲二十三漾</x:v>
      </x:c>
      <x:c r="G6129" s="6" t="str">
        <x:v>Pingshui main list, Wikisource-derived DOCX</x:v>
      </x:c>
      <x:c r="H6129" s="6" t="str"/>
      <x:c r="I6129" s="6" t="str">
        <x:v>Lu Qinli gap fill from Pingshui main list; 詞 entries ignored</x:v>
      </x:c>
      <x:c r="J6129" s="6" t="str">
        <x:f>IF(B6129="","",IF(AND(ISNUMBER(SEARCH("平",B6129)),OR(ISNUMBER(SEARCH("上",B6129)),ISNUMBER(SEARCH("去",B6129)),ISNUMBER(SEARCH("入",B6129)))),"Ambiguous",IF(ISNUMBER(SEARCH("平",B6129)),"平","仄")))</x:f>
        <x:v>仄</x:v>
      </x:c>
      <x:c r="K6129" s="6" t="str">
        <x:f>IF(D6129="","",IF(AND(ISNUMBER(SEARCH("平",D6129)),OR(ISNUMBER(SEARCH("上",D6129)),ISNUMBER(SEARCH("去",D6129)),ISNUMBER(SEARCH("入",D6129)))),"Ambiguous",IF(ISNUMBER(SEARCH("平",D6129)),"平","仄")))</x:f>
        <x:v>仄</x:v>
      </x:c>
      <x:c r="L6129" s="7" t="str">
        <x:v>Pingshui main list, Lu Qinli gap fill</x:v>
      </x:c>
    </x:row>
    <x:row r="6130">
      <x:c r="A6130" s="5" t="str">
        <x:v>誚</x:v>
      </x:c>
      <x:c r="B6130" s="6" t="str">
        <x:v>去</x:v>
      </x:c>
      <x:c r="C6130" s="6" t="str">
        <x:f>IF(B6130="","Needs decision","Ready")</x:f>
        <x:v>Ready</x:v>
      </x:c>
      <x:c r="D6130" s="6" t="str">
        <x:v>去</x:v>
      </x:c>
      <x:c r="E6130" s="6" t="str"/>
      <x:c r="F6130" s="6" t="str">
        <x:v>去聲十八嘯</x:v>
      </x:c>
      <x:c r="G6130" s="6" t="str">
        <x:v>Pingshui main list, Wikisource-derived DOCX</x:v>
      </x:c>
      <x:c r="H6130" s="6" t="str"/>
      <x:c r="I6130" s="6" t="str">
        <x:v>Lu Qinli gap fill from Pingshui main list; 詞 entries ignored</x:v>
      </x:c>
      <x:c r="J6130" s="6" t="str">
        <x:f>IF(B6130="","",IF(AND(ISNUMBER(SEARCH("平",B6130)),OR(ISNUMBER(SEARCH("上",B6130)),ISNUMBER(SEARCH("去",B6130)),ISNUMBER(SEARCH("入",B6130)))),"Ambiguous",IF(ISNUMBER(SEARCH("平",B6130)),"平","仄")))</x:f>
        <x:v>仄</x:v>
      </x:c>
      <x:c r="K6130" s="6" t="str">
        <x:f>IF(D6130="","",IF(AND(ISNUMBER(SEARCH("平",D6130)),OR(ISNUMBER(SEARCH("上",D6130)),ISNUMBER(SEARCH("去",D6130)),ISNUMBER(SEARCH("入",D6130)))),"Ambiguous",IF(ISNUMBER(SEARCH("平",D6130)),"平","仄")))</x:f>
        <x:v>仄</x:v>
      </x:c>
      <x:c r="L6130" s="7" t="str">
        <x:v>Pingshui main list, Lu Qinli gap fill</x:v>
      </x:c>
    </x:row>
    <x:row r="6131">
      <x:c r="A6131" s="5" t="str">
        <x:v>諄</x:v>
      </x:c>
      <x:c r="B6131" s="6" t="str"/>
      <x:c r="C6131" s="6" t="str">
        <x:f>IF(B6131="","Needs decision","Ready")</x:f>
        <x:v>Needs decision</x:v>
      </x:c>
      <x:c r="D6131" s="6" t="str">
        <x:v>平/去</x:v>
      </x:c>
      <x:c r="E6131" s="6" t="str"/>
      <x:c r="F6131" s="6" t="str">
        <x:v>上平聲十一真; 去聲十二震</x:v>
      </x:c>
      <x:c r="G6131" s="6" t="str">
        <x:v>Pingshui main list, Wikisource-derived DOCX</x:v>
      </x:c>
      <x:c r="H6131" s="6" t="str"/>
      <x:c r="I6131" s="6" t="str">
        <x:v>Lu Qinli gap fill from Pingshui main list; 詞 entries ignored</x:v>
      </x:c>
      <x:c r="J6131" s="6" t="str">
        <x:f>IF(B6131="","",IF(AND(ISNUMBER(SEARCH("平",B6131)),OR(ISNUMBER(SEARCH("上",B6131)),ISNUMBER(SEARCH("去",B6131)),ISNUMBER(SEARCH("入",B6131)))),"Ambiguous",IF(ISNUMBER(SEARCH("平",B6131)),"平","仄")))</x:f>
      </x:c>
      <x:c r="K6131" s="6" t="str">
        <x:f>IF(D6131="","",IF(AND(ISNUMBER(SEARCH("平",D6131)),OR(ISNUMBER(SEARCH("上",D6131)),ISNUMBER(SEARCH("去",D6131)),ISNUMBER(SEARCH("入",D6131)))),"Ambiguous",IF(ISNUMBER(SEARCH("平",D6131)),"平","仄")))</x:f>
        <x:v>Ambiguous</x:v>
      </x:c>
      <x:c r="L6131" s="7" t="str">
        <x:v>Pingshui main list, Lu Qinli gap fill</x:v>
      </x:c>
    </x:row>
    <x:row r="6132">
      <x:c r="A6132" s="5" t="str">
        <x:v>諜</x:v>
      </x:c>
      <x:c r="B6132" s="6" t="str">
        <x:v>入</x:v>
      </x:c>
      <x:c r="C6132" s="6" t="str">
        <x:f>IF(B6132="","Needs decision","Ready")</x:f>
        <x:v>Ready</x:v>
      </x:c>
      <x:c r="D6132" s="6" t="str">
        <x:v>入</x:v>
      </x:c>
      <x:c r="E6132" s="6" t="str"/>
      <x:c r="F6132" s="6" t="str">
        <x:v>入聲十六葉</x:v>
      </x:c>
      <x:c r="G6132" s="6" t="str">
        <x:v>Pingshui main list, Wikisource-derived DOCX</x:v>
      </x:c>
      <x:c r="H6132" s="6" t="str"/>
      <x:c r="I6132" s="6" t="str">
        <x:v>Lu Qinli gap fill from Pingshui main list; 詞 entries ignored</x:v>
      </x:c>
      <x:c r="J6132" s="6" t="str">
        <x:f>IF(B6132="","",IF(AND(ISNUMBER(SEARCH("平",B6132)),OR(ISNUMBER(SEARCH("上",B6132)),ISNUMBER(SEARCH("去",B6132)),ISNUMBER(SEARCH("入",B6132)))),"Ambiguous",IF(ISNUMBER(SEARCH("平",B6132)),"平","仄")))</x:f>
        <x:v>仄</x:v>
      </x:c>
      <x:c r="K6132" s="6" t="str">
        <x:f>IF(D6132="","",IF(AND(ISNUMBER(SEARCH("平",D6132)),OR(ISNUMBER(SEARCH("上",D6132)),ISNUMBER(SEARCH("去",D6132)),ISNUMBER(SEARCH("入",D6132)))),"Ambiguous",IF(ISNUMBER(SEARCH("平",D6132)),"平","仄")))</x:f>
        <x:v>仄</x:v>
      </x:c>
      <x:c r="L6132" s="7" t="str">
        <x:v>Pingshui main list, Lu Qinli gap fill</x:v>
      </x:c>
    </x:row>
    <x:row r="6133">
      <x:c r="A6133" s="5" t="str">
        <x:v>諭</x:v>
      </x:c>
      <x:c r="B6133" s="6" t="str">
        <x:v>去</x:v>
      </x:c>
      <x:c r="C6133" s="6" t="str">
        <x:f>IF(B6133="","Needs decision","Ready")</x:f>
        <x:v>Ready</x:v>
      </x:c>
      <x:c r="D6133" s="6" t="str">
        <x:v>去</x:v>
      </x:c>
      <x:c r="E6133" s="6" t="str"/>
      <x:c r="F6133" s="6" t="str">
        <x:v>去聲七遇</x:v>
      </x:c>
      <x:c r="G6133" s="6" t="str">
        <x:v>Pingshui main list, Wikisource-derived DOCX</x:v>
      </x:c>
      <x:c r="H6133" s="6" t="str"/>
      <x:c r="I6133" s="6" t="str">
        <x:v>Lu Qinli gap fill from Pingshui main list; 詞 entries ignored</x:v>
      </x:c>
      <x:c r="J6133" s="6" t="str">
        <x:f>IF(B6133="","",IF(AND(ISNUMBER(SEARCH("平",B6133)),OR(ISNUMBER(SEARCH("上",B6133)),ISNUMBER(SEARCH("去",B6133)),ISNUMBER(SEARCH("入",B6133)))),"Ambiguous",IF(ISNUMBER(SEARCH("平",B6133)),"平","仄")))</x:f>
        <x:v>仄</x:v>
      </x:c>
      <x:c r="K6133" s="6" t="str">
        <x:f>IF(D6133="","",IF(AND(ISNUMBER(SEARCH("平",D6133)),OR(ISNUMBER(SEARCH("上",D6133)),ISNUMBER(SEARCH("去",D6133)),ISNUMBER(SEARCH("入",D6133)))),"Ambiguous",IF(ISNUMBER(SEARCH("平",D6133)),"平","仄")))</x:f>
        <x:v>仄</x:v>
      </x:c>
      <x:c r="L6133" s="7" t="str">
        <x:v>Pingshui main list, Lu Qinli gap fill</x:v>
      </x:c>
    </x:row>
    <x:row r="6134">
      <x:c r="A6134" s="5" t="str">
        <x:v>諱</x:v>
      </x:c>
      <x:c r="B6134" s="6" t="str">
        <x:v>去</x:v>
      </x:c>
      <x:c r="C6134" s="6" t="str">
        <x:f>IF(B6134="","Needs decision","Ready")</x:f>
        <x:v>Ready</x:v>
      </x:c>
      <x:c r="D6134" s="6" t="str">
        <x:v>去</x:v>
      </x:c>
      <x:c r="E6134" s="6" t="str"/>
      <x:c r="F6134" s="6" t="str">
        <x:v>去聲五未</x:v>
      </x:c>
      <x:c r="G6134" s="6" t="str">
        <x:v>Pingshui main list, Wikisource-derived DOCX</x:v>
      </x:c>
      <x:c r="H6134" s="6" t="str"/>
      <x:c r="I6134" s="6" t="str">
        <x:v>Lu Qinli gap fill from Pingshui main list; 詞 entries ignored</x:v>
      </x:c>
      <x:c r="J6134" s="6" t="str">
        <x:f>IF(B6134="","",IF(AND(ISNUMBER(SEARCH("平",B6134)),OR(ISNUMBER(SEARCH("上",B6134)),ISNUMBER(SEARCH("去",B6134)),ISNUMBER(SEARCH("入",B6134)))),"Ambiguous",IF(ISNUMBER(SEARCH("平",B6134)),"平","仄")))</x:f>
        <x:v>仄</x:v>
      </x:c>
      <x:c r="K6134" s="6" t="str">
        <x:f>IF(D6134="","",IF(AND(ISNUMBER(SEARCH("平",D6134)),OR(ISNUMBER(SEARCH("上",D6134)),ISNUMBER(SEARCH("去",D6134)),ISNUMBER(SEARCH("入",D6134)))),"Ambiguous",IF(ISNUMBER(SEARCH("平",D6134)),"平","仄")))</x:f>
        <x:v>仄</x:v>
      </x:c>
      <x:c r="L6134" s="7" t="str">
        <x:v>Pingshui main list, Lu Qinli gap fill</x:v>
      </x:c>
    </x:row>
    <x:row r="6135">
      <x:c r="A6135" s="5" t="str">
        <x:v>諲</x:v>
      </x:c>
      <x:c r="B6135" s="6" t="str">
        <x:v>平</x:v>
      </x:c>
      <x:c r="C6135" s="6" t="str">
        <x:f>IF(B6135="","Needs decision","Ready")</x:f>
        <x:v>Ready</x:v>
      </x:c>
      <x:c r="D6135" s="6" t="str">
        <x:v>平</x:v>
      </x:c>
      <x:c r="E6135" s="6" t="str"/>
      <x:c r="F6135" s="6" t="str">
        <x:v>上平聲十一真</x:v>
      </x:c>
      <x:c r="G6135" s="6" t="str">
        <x:v>Pingshui main list, Wikisource-derived DOCX</x:v>
      </x:c>
      <x:c r="H6135" s="6" t="str"/>
      <x:c r="I6135" s="6" t="str">
        <x:v>Lu Qinli gap fill from Pingshui main list; 詞 entries ignored</x:v>
      </x:c>
      <x:c r="J6135" s="6" t="str">
        <x:f>IF(B6135="","",IF(AND(ISNUMBER(SEARCH("平",B6135)),OR(ISNUMBER(SEARCH("上",B6135)),ISNUMBER(SEARCH("去",B6135)),ISNUMBER(SEARCH("入",B6135)))),"Ambiguous",IF(ISNUMBER(SEARCH("平",B6135)),"平","仄")))</x:f>
        <x:v>平</x:v>
      </x:c>
      <x:c r="K6135" s="6" t="str">
        <x:f>IF(D6135="","",IF(AND(ISNUMBER(SEARCH("平",D6135)),OR(ISNUMBER(SEARCH("上",D6135)),ISNUMBER(SEARCH("去",D6135)),ISNUMBER(SEARCH("入",D6135)))),"Ambiguous",IF(ISNUMBER(SEARCH("平",D6135)),"平","仄")))</x:f>
        <x:v>平</x:v>
      </x:c>
      <x:c r="L6135" s="7" t="str">
        <x:v>Pingshui main list, Lu Qinli gap fill</x:v>
      </x:c>
    </x:row>
    <x:row r="6136">
      <x:c r="A6136" s="5" t="str">
        <x:v>諴</x:v>
      </x:c>
      <x:c r="B6136" s="6" t="str">
        <x:v>平</x:v>
      </x:c>
      <x:c r="C6136" s="6" t="str">
        <x:f>IF(B6136="","Needs decision","Ready")</x:f>
        <x:v>Ready</x:v>
      </x:c>
      <x:c r="D6136" s="6" t="str">
        <x:v>平</x:v>
      </x:c>
      <x:c r="E6136" s="6" t="str"/>
      <x:c r="F6136" s="6" t="str">
        <x:v>下平聲十五咸</x:v>
      </x:c>
      <x:c r="G6136" s="6" t="str">
        <x:v>Pingshui main list, Wikisource-derived DOCX</x:v>
      </x:c>
      <x:c r="H6136" s="6" t="str"/>
      <x:c r="I6136" s="6" t="str">
        <x:v>Lu Qinli gap fill from Pingshui main list; 詞 entries ignored</x:v>
      </x:c>
      <x:c r="J6136" s="6" t="str">
        <x:f>IF(B6136="","",IF(AND(ISNUMBER(SEARCH("平",B6136)),OR(ISNUMBER(SEARCH("上",B6136)),ISNUMBER(SEARCH("去",B6136)),ISNUMBER(SEARCH("入",B6136)))),"Ambiguous",IF(ISNUMBER(SEARCH("平",B6136)),"平","仄")))</x:f>
        <x:v>平</x:v>
      </x:c>
      <x:c r="K6136" s="6" t="str">
        <x:f>IF(D6136="","",IF(AND(ISNUMBER(SEARCH("平",D6136)),OR(ISNUMBER(SEARCH("上",D6136)),ISNUMBER(SEARCH("去",D6136)),ISNUMBER(SEARCH("入",D6136)))),"Ambiguous",IF(ISNUMBER(SEARCH("平",D6136)),"平","仄")))</x:f>
        <x:v>平</x:v>
      </x:c>
      <x:c r="L6136" s="7" t="str">
        <x:v>Pingshui main list, Lu Qinli gap fill</x:v>
      </x:c>
    </x:row>
    <x:row r="6137">
      <x:c r="A6137" s="5" t="str">
        <x:v>謎</x:v>
      </x:c>
      <x:c r="B6137" s="6" t="str">
        <x:v>去</x:v>
      </x:c>
      <x:c r="C6137" s="6" t="str">
        <x:f>IF(B6137="","Needs decision","Ready")</x:f>
        <x:v>Ready</x:v>
      </x:c>
      <x:c r="D6137" s="6" t="str">
        <x:v>去</x:v>
      </x:c>
      <x:c r="E6137" s="6" t="str"/>
      <x:c r="F6137" s="6" t="str">
        <x:v>去聲八霽</x:v>
      </x:c>
      <x:c r="G6137" s="6" t="str">
        <x:v>Pingshui main list, Wikisource-derived DOCX</x:v>
      </x:c>
      <x:c r="H6137" s="6" t="str"/>
      <x:c r="I6137" s="6" t="str">
        <x:v>Lu Qinli gap fill from Pingshui main list; 詞 entries ignored</x:v>
      </x:c>
      <x:c r="J6137" s="6" t="str">
        <x:f>IF(B6137="","",IF(AND(ISNUMBER(SEARCH("平",B6137)),OR(ISNUMBER(SEARCH("上",B6137)),ISNUMBER(SEARCH("去",B6137)),ISNUMBER(SEARCH("入",B6137)))),"Ambiguous",IF(ISNUMBER(SEARCH("平",B6137)),"平","仄")))</x:f>
        <x:v>仄</x:v>
      </x:c>
      <x:c r="K6137" s="6" t="str">
        <x:f>IF(D6137="","",IF(AND(ISNUMBER(SEARCH("平",D6137)),OR(ISNUMBER(SEARCH("上",D6137)),ISNUMBER(SEARCH("去",D6137)),ISNUMBER(SEARCH("入",D6137)))),"Ambiguous",IF(ISNUMBER(SEARCH("平",D6137)),"平","仄")))</x:f>
        <x:v>仄</x:v>
      </x:c>
      <x:c r="L6137" s="7" t="str">
        <x:v>Pingshui main list, Lu Qinli gap fill</x:v>
      </x:c>
    </x:row>
    <x:row r="6138">
      <x:c r="A6138" s="5" t="str">
        <x:v>謖</x:v>
      </x:c>
      <x:c r="B6138" s="6" t="str">
        <x:v>入</x:v>
      </x:c>
      <x:c r="C6138" s="6" t="str">
        <x:f>IF(B6138="","Needs decision","Ready")</x:f>
        <x:v>Ready</x:v>
      </x:c>
      <x:c r="D6138" s="6" t="str">
        <x:v>入</x:v>
      </x:c>
      <x:c r="E6138" s="6" t="str"/>
      <x:c r="F6138" s="6" t="str">
        <x:v>入聲一屋</x:v>
      </x:c>
      <x:c r="G6138" s="6" t="str">
        <x:v>Pingshui main list, Wikisource-derived DOCX</x:v>
      </x:c>
      <x:c r="H6138" s="6" t="str"/>
      <x:c r="I6138" s="6" t="str">
        <x:v>Lu Qinli gap fill from Pingshui main list; 詞 entries ignored</x:v>
      </x:c>
      <x:c r="J6138" s="6" t="str">
        <x:f>IF(B6138="","",IF(AND(ISNUMBER(SEARCH("平",B6138)),OR(ISNUMBER(SEARCH("上",B6138)),ISNUMBER(SEARCH("去",B6138)),ISNUMBER(SEARCH("入",B6138)))),"Ambiguous",IF(ISNUMBER(SEARCH("平",B6138)),"平","仄")))</x:f>
        <x:v>仄</x:v>
      </x:c>
      <x:c r="K6138" s="6" t="str">
        <x:f>IF(D6138="","",IF(AND(ISNUMBER(SEARCH("平",D6138)),OR(ISNUMBER(SEARCH("上",D6138)),ISNUMBER(SEARCH("去",D6138)),ISNUMBER(SEARCH("入",D6138)))),"Ambiguous",IF(ISNUMBER(SEARCH("平",D6138)),"平","仄")))</x:f>
        <x:v>仄</x:v>
      </x:c>
      <x:c r="L6138" s="7" t="str">
        <x:v>Pingshui main list, Lu Qinli gap fill</x:v>
      </x:c>
    </x:row>
    <x:row r="6139">
      <x:c r="A6139" s="5" t="str">
        <x:v>謻</x:v>
      </x:c>
      <x:c r="B6139" s="6" t="str">
        <x:v>平</x:v>
      </x:c>
      <x:c r="C6139" s="6" t="str">
        <x:f>IF(B6139="","Needs decision","Ready")</x:f>
        <x:v>Ready</x:v>
      </x:c>
      <x:c r="D6139" s="6" t="str">
        <x:v>平</x:v>
      </x:c>
      <x:c r="E6139" s="6" t="str"/>
      <x:c r="F6139" s="6" t="str">
        <x:v>上平聲四支</x:v>
      </x:c>
      <x:c r="G6139" s="6" t="str">
        <x:v>Pingshui main list, Wikisource-derived DOCX</x:v>
      </x:c>
      <x:c r="H6139" s="6" t="str"/>
      <x:c r="I6139" s="6" t="str">
        <x:v>Lu Qinli gap fill from Pingshui main list; 詞 entries ignored</x:v>
      </x:c>
      <x:c r="J6139" s="6" t="str">
        <x:f>IF(B6139="","",IF(AND(ISNUMBER(SEARCH("平",B6139)),OR(ISNUMBER(SEARCH("上",B6139)),ISNUMBER(SEARCH("去",B6139)),ISNUMBER(SEARCH("入",B6139)))),"Ambiguous",IF(ISNUMBER(SEARCH("平",B6139)),"平","仄")))</x:f>
        <x:v>平</x:v>
      </x:c>
      <x:c r="K6139" s="6" t="str">
        <x:f>IF(D6139="","",IF(AND(ISNUMBER(SEARCH("平",D6139)),OR(ISNUMBER(SEARCH("上",D6139)),ISNUMBER(SEARCH("去",D6139)),ISNUMBER(SEARCH("入",D6139)))),"Ambiguous",IF(ISNUMBER(SEARCH("平",D6139)),"平","仄")))</x:f>
        <x:v>平</x:v>
      </x:c>
      <x:c r="L6139" s="7" t="str">
        <x:v>Pingshui main list, Lu Qinli gap fill</x:v>
      </x:c>
    </x:row>
    <x:row r="6140">
      <x:c r="A6140" s="5" t="str">
        <x:v>謼</x:v>
      </x:c>
      <x:c r="B6140" s="6" t="str">
        <x:v>去</x:v>
      </x:c>
      <x:c r="C6140" s="6" t="str">
        <x:f>IF(B6140="","Needs decision","Ready")</x:f>
        <x:v>Ready</x:v>
      </x:c>
      <x:c r="D6140" s="6" t="str">
        <x:v>去</x:v>
      </x:c>
      <x:c r="E6140" s="6" t="str"/>
      <x:c r="F6140" s="6" t="str">
        <x:v>去聲七遇</x:v>
      </x:c>
      <x:c r="G6140" s="6" t="str">
        <x:v>Pingshui main list, Wikisource-derived DOCX</x:v>
      </x:c>
      <x:c r="H6140" s="6" t="str"/>
      <x:c r="I6140" s="6" t="str">
        <x:v>Lu Qinli gap fill from Pingshui main list; 詞 entries ignored</x:v>
      </x:c>
      <x:c r="J6140" s="6" t="str">
        <x:f>IF(B6140="","",IF(AND(ISNUMBER(SEARCH("平",B6140)),OR(ISNUMBER(SEARCH("上",B6140)),ISNUMBER(SEARCH("去",B6140)),ISNUMBER(SEARCH("入",B6140)))),"Ambiguous",IF(ISNUMBER(SEARCH("平",B6140)),"平","仄")))</x:f>
        <x:v>仄</x:v>
      </x:c>
      <x:c r="K6140" s="6" t="str">
        <x:f>IF(D6140="","",IF(AND(ISNUMBER(SEARCH("平",D6140)),OR(ISNUMBER(SEARCH("上",D6140)),ISNUMBER(SEARCH("去",D6140)),ISNUMBER(SEARCH("入",D6140)))),"Ambiguous",IF(ISNUMBER(SEARCH("平",D6140)),"平","仄")))</x:f>
        <x:v>仄</x:v>
      </x:c>
      <x:c r="L6140" s="7" t="str">
        <x:v>Pingshui main list, Lu Qinli gap fill</x:v>
      </x:c>
    </x:row>
    <x:row r="6141">
      <x:c r="A6141" s="5" t="str">
        <x:v>譆</x:v>
      </x:c>
      <x:c r="B6141" s="6" t="str">
        <x:v>平</x:v>
      </x:c>
      <x:c r="C6141" s="6" t="str">
        <x:f>IF(B6141="","Needs decision","Ready")</x:f>
        <x:v>Ready</x:v>
      </x:c>
      <x:c r="D6141" s="6" t="str">
        <x:v>平</x:v>
      </x:c>
      <x:c r="E6141" s="6" t="str"/>
      <x:c r="F6141" s="6" t="str">
        <x:v>上平聲四支</x:v>
      </x:c>
      <x:c r="G6141" s="6" t="str">
        <x:v>Pingshui main list, Wikisource-derived DOCX</x:v>
      </x:c>
      <x:c r="H6141" s="6" t="str"/>
      <x:c r="I6141" s="6" t="str">
        <x:v>Lu Qinli gap fill from Pingshui main list; 詞 entries ignored</x:v>
      </x:c>
      <x:c r="J6141" s="6" t="str">
        <x:f>IF(B6141="","",IF(AND(ISNUMBER(SEARCH("平",B6141)),OR(ISNUMBER(SEARCH("上",B6141)),ISNUMBER(SEARCH("去",B6141)),ISNUMBER(SEARCH("入",B6141)))),"Ambiguous",IF(ISNUMBER(SEARCH("平",B6141)),"平","仄")))</x:f>
        <x:v>平</x:v>
      </x:c>
      <x:c r="K6141" s="6" t="str">
        <x:f>IF(D6141="","",IF(AND(ISNUMBER(SEARCH("平",D6141)),OR(ISNUMBER(SEARCH("上",D6141)),ISNUMBER(SEARCH("去",D6141)),ISNUMBER(SEARCH("入",D6141)))),"Ambiguous",IF(ISNUMBER(SEARCH("平",D6141)),"平","仄")))</x:f>
        <x:v>平</x:v>
      </x:c>
      <x:c r="L6141" s="7" t="str">
        <x:v>Pingshui main list, Lu Qinli gap fill</x:v>
      </x:c>
    </x:row>
    <x:row r="6142">
      <x:c r="A6142" s="5" t="str">
        <x:v>譊</x:v>
      </x:c>
      <x:c r="B6142" s="6" t="str">
        <x:v>平</x:v>
      </x:c>
      <x:c r="C6142" s="6" t="str">
        <x:f>IF(B6142="","Needs decision","Ready")</x:f>
        <x:v>Ready</x:v>
      </x:c>
      <x:c r="D6142" s="6" t="str">
        <x:v>平</x:v>
      </x:c>
      <x:c r="E6142" s="6" t="str"/>
      <x:c r="F6142" s="6" t="str">
        <x:v>下平聲三肴</x:v>
      </x:c>
      <x:c r="G6142" s="6" t="str">
        <x:v>Pingshui main list, Wikisource-derived DOCX</x:v>
      </x:c>
      <x:c r="H6142" s="6" t="str"/>
      <x:c r="I6142" s="6" t="str">
        <x:v>Lu Qinli gap fill from Pingshui main list; 詞 entries ignored</x:v>
      </x:c>
      <x:c r="J6142" s="6" t="str">
        <x:f>IF(B6142="","",IF(AND(ISNUMBER(SEARCH("平",B6142)),OR(ISNUMBER(SEARCH("上",B6142)),ISNUMBER(SEARCH("去",B6142)),ISNUMBER(SEARCH("入",B6142)))),"Ambiguous",IF(ISNUMBER(SEARCH("平",B6142)),"平","仄")))</x:f>
        <x:v>平</x:v>
      </x:c>
      <x:c r="K6142" s="6" t="str">
        <x:f>IF(D6142="","",IF(AND(ISNUMBER(SEARCH("平",D6142)),OR(ISNUMBER(SEARCH("上",D6142)),ISNUMBER(SEARCH("去",D6142)),ISNUMBER(SEARCH("入",D6142)))),"Ambiguous",IF(ISNUMBER(SEARCH("平",D6142)),"平","仄")))</x:f>
        <x:v>平</x:v>
      </x:c>
      <x:c r="L6142" s="7" t="str">
        <x:v>Pingshui main list, Lu Qinli gap fill</x:v>
      </x:c>
    </x:row>
    <x:row r="6143">
      <x:c r="A6143" s="5" t="str">
        <x:v>譏</x:v>
      </x:c>
      <x:c r="B6143" s="6" t="str">
        <x:v>平</x:v>
      </x:c>
      <x:c r="C6143" s="6" t="str">
        <x:f>IF(B6143="","Needs decision","Ready")</x:f>
        <x:v>Ready</x:v>
      </x:c>
      <x:c r="D6143" s="6" t="str">
        <x:v>平</x:v>
      </x:c>
      <x:c r="E6143" s="6" t="str"/>
      <x:c r="F6143" s="6" t="str">
        <x:v>上平聲五微</x:v>
      </x:c>
      <x:c r="G6143" s="6" t="str">
        <x:v>Pingshui main list, Wikisource-derived DOCX</x:v>
      </x:c>
      <x:c r="H6143" s="6" t="str"/>
      <x:c r="I6143" s="6" t="str">
        <x:v>Lu Qinli gap fill from Pingshui main list; 詞 entries ignored</x:v>
      </x:c>
      <x:c r="J6143" s="6" t="str">
        <x:f>IF(B6143="","",IF(AND(ISNUMBER(SEARCH("平",B6143)),OR(ISNUMBER(SEARCH("上",B6143)),ISNUMBER(SEARCH("去",B6143)),ISNUMBER(SEARCH("入",B6143)))),"Ambiguous",IF(ISNUMBER(SEARCH("平",B6143)),"平","仄")))</x:f>
        <x:v>平</x:v>
      </x:c>
      <x:c r="K6143" s="6" t="str">
        <x:f>IF(D6143="","",IF(AND(ISNUMBER(SEARCH("平",D6143)),OR(ISNUMBER(SEARCH("上",D6143)),ISNUMBER(SEARCH("去",D6143)),ISNUMBER(SEARCH("入",D6143)))),"Ambiguous",IF(ISNUMBER(SEARCH("平",D6143)),"平","仄")))</x:f>
        <x:v>平</x:v>
      </x:c>
      <x:c r="L6143" s="7" t="str">
        <x:v>Pingshui main list, Lu Qinli gap fill</x:v>
      </x:c>
    </x:row>
    <x:row r="6144">
      <x:c r="A6144" s="5" t="str">
        <x:v>譙</x:v>
      </x:c>
      <x:c r="B6144" s="6" t="str">
        <x:v>平</x:v>
      </x:c>
      <x:c r="C6144" s="6" t="str">
        <x:f>IF(B6144="","Needs decision","Ready")</x:f>
        <x:v>Ready</x:v>
      </x:c>
      <x:c r="D6144" s="6" t="str">
        <x:v>平</x:v>
      </x:c>
      <x:c r="E6144" s="6" t="str"/>
      <x:c r="F6144" s="6" t="str">
        <x:v>下平聲二蕭</x:v>
      </x:c>
      <x:c r="G6144" s="6" t="str">
        <x:v>Pingshui main list, Wikisource-derived DOCX</x:v>
      </x:c>
      <x:c r="H6144" s="6" t="str"/>
      <x:c r="I6144" s="6" t="str">
        <x:v>Lu Qinli gap fill from Pingshui main list; 詞 entries ignored</x:v>
      </x:c>
      <x:c r="J6144" s="6" t="str">
        <x:f>IF(B6144="","",IF(AND(ISNUMBER(SEARCH("平",B6144)),OR(ISNUMBER(SEARCH("上",B6144)),ISNUMBER(SEARCH("去",B6144)),ISNUMBER(SEARCH("入",B6144)))),"Ambiguous",IF(ISNUMBER(SEARCH("平",B6144)),"平","仄")))</x:f>
        <x:v>平</x:v>
      </x:c>
      <x:c r="K6144" s="6" t="str">
        <x:f>IF(D6144="","",IF(AND(ISNUMBER(SEARCH("平",D6144)),OR(ISNUMBER(SEARCH("上",D6144)),ISNUMBER(SEARCH("去",D6144)),ISNUMBER(SEARCH("入",D6144)))),"Ambiguous",IF(ISNUMBER(SEARCH("平",D6144)),"平","仄")))</x:f>
        <x:v>平</x:v>
      </x:c>
      <x:c r="L6144" s="7" t="str">
        <x:v>Pingshui main list, Lu Qinli gap fill</x:v>
      </x:c>
    </x:row>
    <x:row r="6145">
      <x:c r="A6145" s="5" t="str">
        <x:v>譚</x:v>
      </x:c>
      <x:c r="B6145" s="6" t="str">
        <x:v>平</x:v>
      </x:c>
      <x:c r="C6145" s="6" t="str">
        <x:f>IF(B6145="","Needs decision","Ready")</x:f>
        <x:v>Ready</x:v>
      </x:c>
      <x:c r="D6145" s="6" t="str">
        <x:v>平</x:v>
      </x:c>
      <x:c r="E6145" s="6" t="str"/>
      <x:c r="F6145" s="6" t="str">
        <x:v>下平聲十三覃</x:v>
      </x:c>
      <x:c r="G6145" s="6" t="str">
        <x:v>Pingshui main list, Wikisource-derived DOCX</x:v>
      </x:c>
      <x:c r="H6145" s="6" t="str"/>
      <x:c r="I6145" s="6" t="str">
        <x:v>Lu Qinli gap fill from Pingshui main list; 詞 entries ignored</x:v>
      </x:c>
      <x:c r="J6145" s="6" t="str">
        <x:f>IF(B6145="","",IF(AND(ISNUMBER(SEARCH("平",B6145)),OR(ISNUMBER(SEARCH("上",B6145)),ISNUMBER(SEARCH("去",B6145)),ISNUMBER(SEARCH("入",B6145)))),"Ambiguous",IF(ISNUMBER(SEARCH("平",B6145)),"平","仄")))</x:f>
        <x:v>平</x:v>
      </x:c>
      <x:c r="K6145" s="6" t="str">
        <x:f>IF(D6145="","",IF(AND(ISNUMBER(SEARCH("平",D6145)),OR(ISNUMBER(SEARCH("上",D6145)),ISNUMBER(SEARCH("去",D6145)),ISNUMBER(SEARCH("入",D6145)))),"Ambiguous",IF(ISNUMBER(SEARCH("平",D6145)),"平","仄")))</x:f>
        <x:v>平</x:v>
      </x:c>
      <x:c r="L6145" s="7" t="str">
        <x:v>Pingshui main list, Lu Qinli gap fill</x:v>
      </x:c>
    </x:row>
    <x:row r="6146">
      <x:c r="A6146" s="5" t="str">
        <x:v>譜</x:v>
      </x:c>
      <x:c r="B6146" s="6" t="str">
        <x:v>上</x:v>
      </x:c>
      <x:c r="C6146" s="6" t="str">
        <x:f>IF(B6146="","Needs decision","Ready")</x:f>
        <x:v>Ready</x:v>
      </x:c>
      <x:c r="D6146" s="6" t="str">
        <x:v>上</x:v>
      </x:c>
      <x:c r="E6146" s="6" t="str"/>
      <x:c r="F6146" s="6" t="str">
        <x:v>上聲七麌</x:v>
      </x:c>
      <x:c r="G6146" s="6" t="str">
        <x:v>Pingshui main list, Wikisource-derived DOCX</x:v>
      </x:c>
      <x:c r="H6146" s="6" t="str"/>
      <x:c r="I6146" s="6" t="str">
        <x:v>Lu Qinli gap fill from Pingshui main list; 詞 entries ignored</x:v>
      </x:c>
      <x:c r="J6146" s="6" t="str">
        <x:f>IF(B6146="","",IF(AND(ISNUMBER(SEARCH("平",B6146)),OR(ISNUMBER(SEARCH("上",B6146)),ISNUMBER(SEARCH("去",B6146)),ISNUMBER(SEARCH("入",B6146)))),"Ambiguous",IF(ISNUMBER(SEARCH("平",B6146)),"平","仄")))</x:f>
        <x:v>仄</x:v>
      </x:c>
      <x:c r="K6146" s="6" t="str">
        <x:f>IF(D6146="","",IF(AND(ISNUMBER(SEARCH("平",D6146)),OR(ISNUMBER(SEARCH("上",D6146)),ISNUMBER(SEARCH("去",D6146)),ISNUMBER(SEARCH("入",D6146)))),"Ambiguous",IF(ISNUMBER(SEARCH("平",D6146)),"平","仄")))</x:f>
        <x:v>仄</x:v>
      </x:c>
      <x:c r="L6146" s="7" t="str">
        <x:v>Pingshui main list, Lu Qinli gap fill</x:v>
      </x:c>
    </x:row>
    <x:row r="6147">
      <x:c r="A6147" s="5" t="str">
        <x:v>譴</x:v>
      </x:c>
      <x:c r="B6147" s="6" t="str">
        <x:v>去</x:v>
      </x:c>
      <x:c r="C6147" s="6" t="str">
        <x:f>IF(B6147="","Needs decision","Ready")</x:f>
        <x:v>Ready</x:v>
      </x:c>
      <x:c r="D6147" s="6" t="str">
        <x:v>去</x:v>
      </x:c>
      <x:c r="E6147" s="6" t="str"/>
      <x:c r="F6147" s="6" t="str">
        <x:v>去聲十七霰</x:v>
      </x:c>
      <x:c r="G6147" s="6" t="str">
        <x:v>Pingshui main list, Wikisource-derived DOCX</x:v>
      </x:c>
      <x:c r="H6147" s="6" t="str"/>
      <x:c r="I6147" s="6" t="str">
        <x:v>Lu Qinli gap fill from Pingshui main list; 詞 entries ignored</x:v>
      </x:c>
      <x:c r="J6147" s="6" t="str">
        <x:f>IF(B6147="","",IF(AND(ISNUMBER(SEARCH("平",B6147)),OR(ISNUMBER(SEARCH("上",B6147)),ISNUMBER(SEARCH("去",B6147)),ISNUMBER(SEARCH("入",B6147)))),"Ambiguous",IF(ISNUMBER(SEARCH("平",B6147)),"平","仄")))</x:f>
        <x:v>仄</x:v>
      </x:c>
      <x:c r="K6147" s="6" t="str">
        <x:f>IF(D6147="","",IF(AND(ISNUMBER(SEARCH("平",D6147)),OR(ISNUMBER(SEARCH("上",D6147)),ISNUMBER(SEARCH("去",D6147)),ISNUMBER(SEARCH("入",D6147)))),"Ambiguous",IF(ISNUMBER(SEARCH("平",D6147)),"平","仄")))</x:f>
        <x:v>仄</x:v>
      </x:c>
      <x:c r="L6147" s="7" t="str">
        <x:v>Pingshui main list, Lu Qinli gap fill</x:v>
      </x:c>
    </x:row>
    <x:row r="6148">
      <x:c r="A6148" s="5" t="str">
        <x:v>讋</x:v>
      </x:c>
      <x:c r="B6148" s="6" t="str">
        <x:v>入</x:v>
      </x:c>
      <x:c r="C6148" s="6" t="str">
        <x:f>IF(B6148="","Needs decision","Ready")</x:f>
        <x:v>Ready</x:v>
      </x:c>
      <x:c r="D6148" s="6" t="str">
        <x:v>入</x:v>
      </x:c>
      <x:c r="E6148" s="6" t="str"/>
      <x:c r="F6148" s="6" t="str">
        <x:v>入聲十六葉</x:v>
      </x:c>
      <x:c r="G6148" s="6" t="str">
        <x:v>Pingshui main list, Wikisource-derived DOCX</x:v>
      </x:c>
      <x:c r="H6148" s="6" t="str"/>
      <x:c r="I6148" s="6" t="str">
        <x:v>Lu Qinli gap fill from Pingshui main list; 詞 entries ignored</x:v>
      </x:c>
      <x:c r="J6148" s="6" t="str">
        <x:f>IF(B6148="","",IF(AND(ISNUMBER(SEARCH("平",B6148)),OR(ISNUMBER(SEARCH("上",B6148)),ISNUMBER(SEARCH("去",B6148)),ISNUMBER(SEARCH("入",B6148)))),"Ambiguous",IF(ISNUMBER(SEARCH("平",B6148)),"平","仄")))</x:f>
        <x:v>仄</x:v>
      </x:c>
      <x:c r="K6148" s="6" t="str">
        <x:f>IF(D6148="","",IF(AND(ISNUMBER(SEARCH("平",D6148)),OR(ISNUMBER(SEARCH("上",D6148)),ISNUMBER(SEARCH("去",D6148)),ISNUMBER(SEARCH("入",D6148)))),"Ambiguous",IF(ISNUMBER(SEARCH("平",D6148)),"平","仄")))</x:f>
        <x:v>仄</x:v>
      </x:c>
      <x:c r="L6148" s="7" t="str">
        <x:v>Pingshui main list, Lu Qinli gap fill</x:v>
      </x:c>
    </x:row>
    <x:row r="6149">
      <x:c r="A6149" s="5" t="str">
        <x:v>讖</x:v>
      </x:c>
      <x:c r="B6149" s="6" t="str">
        <x:v>去</x:v>
      </x:c>
      <x:c r="C6149" s="6" t="str">
        <x:f>IF(B6149="","Needs decision","Ready")</x:f>
        <x:v>Ready</x:v>
      </x:c>
      <x:c r="D6149" s="6" t="str">
        <x:v>去</x:v>
      </x:c>
      <x:c r="E6149" s="6" t="str"/>
      <x:c r="F6149" s="6" t="str">
        <x:v>去聲二十七沁</x:v>
      </x:c>
      <x:c r="G6149" s="6" t="str">
        <x:v>Pingshui main list, Wikisource-derived DOCX</x:v>
      </x:c>
      <x:c r="H6149" s="6" t="str"/>
      <x:c r="I6149" s="6" t="str">
        <x:v>Lu Qinli gap fill from Pingshui main list; 詞 entries ignored</x:v>
      </x:c>
      <x:c r="J6149" s="6" t="str">
        <x:f>IF(B6149="","",IF(AND(ISNUMBER(SEARCH("平",B6149)),OR(ISNUMBER(SEARCH("上",B6149)),ISNUMBER(SEARCH("去",B6149)),ISNUMBER(SEARCH("入",B6149)))),"Ambiguous",IF(ISNUMBER(SEARCH("平",B6149)),"平","仄")))</x:f>
        <x:v>仄</x:v>
      </x:c>
      <x:c r="K6149" s="6" t="str">
        <x:f>IF(D6149="","",IF(AND(ISNUMBER(SEARCH("平",D6149)),OR(ISNUMBER(SEARCH("上",D6149)),ISNUMBER(SEARCH("去",D6149)),ISNUMBER(SEARCH("入",D6149)))),"Ambiguous",IF(ISNUMBER(SEARCH("平",D6149)),"平","仄")))</x:f>
        <x:v>仄</x:v>
      </x:c>
      <x:c r="L6149" s="7" t="str">
        <x:v>Pingshui main list, Lu Qinli gap fill</x:v>
      </x:c>
    </x:row>
    <x:row r="6150">
      <x:c r="A6150" s="5" t="str">
        <x:v>讜</x:v>
      </x:c>
      <x:c r="B6150" s="6" t="str">
        <x:v>上</x:v>
      </x:c>
      <x:c r="C6150" s="6" t="str">
        <x:f>IF(B6150="","Needs decision","Ready")</x:f>
        <x:v>Ready</x:v>
      </x:c>
      <x:c r="D6150" s="6" t="str">
        <x:v>上</x:v>
      </x:c>
      <x:c r="E6150" s="6" t="str"/>
      <x:c r="F6150" s="6" t="str">
        <x:v>上聲二十二養</x:v>
      </x:c>
      <x:c r="G6150" s="6" t="str">
        <x:v>Pingshui main list, Wikisource-derived DOCX</x:v>
      </x:c>
      <x:c r="H6150" s="6" t="str"/>
      <x:c r="I6150" s="6" t="str">
        <x:v>Lu Qinli gap fill from Pingshui main list; 詞 entries ignored</x:v>
      </x:c>
      <x:c r="J6150" s="6" t="str">
        <x:f>IF(B6150="","",IF(AND(ISNUMBER(SEARCH("平",B6150)),OR(ISNUMBER(SEARCH("上",B6150)),ISNUMBER(SEARCH("去",B6150)),ISNUMBER(SEARCH("入",B6150)))),"Ambiguous",IF(ISNUMBER(SEARCH("平",B6150)),"平","仄")))</x:f>
        <x:v>仄</x:v>
      </x:c>
      <x:c r="K6150" s="6" t="str">
        <x:f>IF(D6150="","",IF(AND(ISNUMBER(SEARCH("平",D6150)),OR(ISNUMBER(SEARCH("上",D6150)),ISNUMBER(SEARCH("去",D6150)),ISNUMBER(SEARCH("入",D6150)))),"Ambiguous",IF(ISNUMBER(SEARCH("平",D6150)),"平","仄")))</x:f>
        <x:v>仄</x:v>
      </x:c>
      <x:c r="L6150" s="7" t="str">
        <x:v>Pingshui main list, Lu Qinli gap fill</x:v>
      </x:c>
    </x:row>
    <x:row r="6151">
      <x:c r="A6151" s="5" t="str">
        <x:v>豁</x:v>
      </x:c>
      <x:c r="B6151" s="6" t="str">
        <x:v>入</x:v>
      </x:c>
      <x:c r="C6151" s="6" t="str">
        <x:f>IF(B6151="","Needs decision","Ready")</x:f>
        <x:v>Ready</x:v>
      </x:c>
      <x:c r="D6151" s="6" t="str">
        <x:v>入</x:v>
      </x:c>
      <x:c r="E6151" s="6" t="str"/>
      <x:c r="F6151" s="6" t="str">
        <x:v>入聲七曷</x:v>
      </x:c>
      <x:c r="G6151" s="6" t="str">
        <x:v>Pingshui main list, Wikisource-derived DOCX</x:v>
      </x:c>
      <x:c r="H6151" s="6" t="str"/>
      <x:c r="I6151" s="6" t="str">
        <x:v>Lu Qinli gap fill from Pingshui main list; 詞 entries ignored</x:v>
      </x:c>
      <x:c r="J6151" s="6" t="str">
        <x:f>IF(B6151="","",IF(AND(ISNUMBER(SEARCH("平",B6151)),OR(ISNUMBER(SEARCH("上",B6151)),ISNUMBER(SEARCH("去",B6151)),ISNUMBER(SEARCH("入",B6151)))),"Ambiguous",IF(ISNUMBER(SEARCH("平",B6151)),"平","仄")))</x:f>
        <x:v>仄</x:v>
      </x:c>
      <x:c r="K6151" s="6" t="str">
        <x:f>IF(D6151="","",IF(AND(ISNUMBER(SEARCH("平",D6151)),OR(ISNUMBER(SEARCH("上",D6151)),ISNUMBER(SEARCH("去",D6151)),ISNUMBER(SEARCH("入",D6151)))),"Ambiguous",IF(ISNUMBER(SEARCH("平",D6151)),"平","仄")))</x:f>
        <x:v>仄</x:v>
      </x:c>
      <x:c r="L6151" s="7" t="str">
        <x:v>Pingshui main list, Lu Qinli gap fill</x:v>
      </x:c>
    </x:row>
    <x:row r="6152">
      <x:c r="A6152" s="5" t="str">
        <x:v>豉</x:v>
      </x:c>
      <x:c r="B6152" s="6" t="str">
        <x:v>去</x:v>
      </x:c>
      <x:c r="C6152" s="6" t="str">
        <x:f>IF(B6152="","Needs decision","Ready")</x:f>
        <x:v>Ready</x:v>
      </x:c>
      <x:c r="D6152" s="6" t="str">
        <x:v>去</x:v>
      </x:c>
      <x:c r="E6152" s="6" t="str"/>
      <x:c r="F6152" s="6" t="str">
        <x:v>去聲四寘</x:v>
      </x:c>
      <x:c r="G6152" s="6" t="str">
        <x:v>Pingshui main list, Wikisource-derived DOCX</x:v>
      </x:c>
      <x:c r="H6152" s="6" t="str"/>
      <x:c r="I6152" s="6" t="str">
        <x:v>Lu Qinli gap fill from Pingshui main list; 詞 entries ignored</x:v>
      </x:c>
      <x:c r="J6152" s="6" t="str">
        <x:f>IF(B6152="","",IF(AND(ISNUMBER(SEARCH("平",B6152)),OR(ISNUMBER(SEARCH("上",B6152)),ISNUMBER(SEARCH("去",B6152)),ISNUMBER(SEARCH("入",B6152)))),"Ambiguous",IF(ISNUMBER(SEARCH("平",B6152)),"平","仄")))</x:f>
        <x:v>仄</x:v>
      </x:c>
      <x:c r="K6152" s="6" t="str">
        <x:f>IF(D6152="","",IF(AND(ISNUMBER(SEARCH("平",D6152)),OR(ISNUMBER(SEARCH("上",D6152)),ISNUMBER(SEARCH("去",D6152)),ISNUMBER(SEARCH("入",D6152)))),"Ambiguous",IF(ISNUMBER(SEARCH("平",D6152)),"平","仄")))</x:f>
        <x:v>仄</x:v>
      </x:c>
      <x:c r="L6152" s="7" t="str">
        <x:v>Pingshui main list, Lu Qinli gap fill</x:v>
      </x:c>
    </x:row>
    <x:row r="6153">
      <x:c r="A6153" s="5" t="str">
        <x:v>豢</x:v>
      </x:c>
      <x:c r="B6153" s="6" t="str">
        <x:v>去</x:v>
      </x:c>
      <x:c r="C6153" s="6" t="str">
        <x:f>IF(B6153="","Needs decision","Ready")</x:f>
        <x:v>Ready</x:v>
      </x:c>
      <x:c r="D6153" s="6" t="str">
        <x:v>去</x:v>
      </x:c>
      <x:c r="E6153" s="6" t="str"/>
      <x:c r="F6153" s="6" t="str">
        <x:v>去聲十六諫</x:v>
      </x:c>
      <x:c r="G6153" s="6" t="str">
        <x:v>Pingshui main list, Wikisource-derived DOCX</x:v>
      </x:c>
      <x:c r="H6153" s="6" t="str"/>
      <x:c r="I6153" s="6" t="str">
        <x:v>Lu Qinli gap fill from Pingshui main list; 詞 entries ignored</x:v>
      </x:c>
      <x:c r="J6153" s="6" t="str">
        <x:f>IF(B6153="","",IF(AND(ISNUMBER(SEARCH("平",B6153)),OR(ISNUMBER(SEARCH("上",B6153)),ISNUMBER(SEARCH("去",B6153)),ISNUMBER(SEARCH("入",B6153)))),"Ambiguous",IF(ISNUMBER(SEARCH("平",B6153)),"平","仄")))</x:f>
        <x:v>仄</x:v>
      </x:c>
      <x:c r="K6153" s="6" t="str">
        <x:f>IF(D6153="","",IF(AND(ISNUMBER(SEARCH("平",D6153)),OR(ISNUMBER(SEARCH("上",D6153)),ISNUMBER(SEARCH("去",D6153)),ISNUMBER(SEARCH("入",D6153)))),"Ambiguous",IF(ISNUMBER(SEARCH("平",D6153)),"平","仄")))</x:f>
        <x:v>仄</x:v>
      </x:c>
      <x:c r="L6153" s="7" t="str">
        <x:v>Pingshui main list, Lu Qinli gap fill</x:v>
      </x:c>
    </x:row>
    <x:row r="6154">
      <x:c r="A6154" s="5" t="str">
        <x:v>貊</x:v>
      </x:c>
      <x:c r="B6154" s="6" t="str">
        <x:v>入</x:v>
      </x:c>
      <x:c r="C6154" s="6" t="str">
        <x:f>IF(B6154="","Needs decision","Ready")</x:f>
        <x:v>Ready</x:v>
      </x:c>
      <x:c r="D6154" s="6" t="str">
        <x:v>入</x:v>
      </x:c>
      <x:c r="E6154" s="6" t="str"/>
      <x:c r="F6154" s="6" t="str">
        <x:v>入聲十一陌</x:v>
      </x:c>
      <x:c r="G6154" s="6" t="str">
        <x:v>Pingshui main list, Wikisource-derived DOCX</x:v>
      </x:c>
      <x:c r="H6154" s="6" t="str"/>
      <x:c r="I6154" s="6" t="str">
        <x:v>Lu Qinli gap fill from Pingshui main list; 詞 entries ignored</x:v>
      </x:c>
      <x:c r="J6154" s="6" t="str">
        <x:f>IF(B6154="","",IF(AND(ISNUMBER(SEARCH("平",B6154)),OR(ISNUMBER(SEARCH("上",B6154)),ISNUMBER(SEARCH("去",B6154)),ISNUMBER(SEARCH("入",B6154)))),"Ambiguous",IF(ISNUMBER(SEARCH("平",B6154)),"平","仄")))</x:f>
        <x:v>仄</x:v>
      </x:c>
      <x:c r="K6154" s="6" t="str">
        <x:f>IF(D6154="","",IF(AND(ISNUMBER(SEARCH("平",D6154)),OR(ISNUMBER(SEARCH("上",D6154)),ISNUMBER(SEARCH("去",D6154)),ISNUMBER(SEARCH("入",D6154)))),"Ambiguous",IF(ISNUMBER(SEARCH("平",D6154)),"平","仄")))</x:f>
        <x:v>仄</x:v>
      </x:c>
      <x:c r="L6154" s="7" t="str">
        <x:v>Pingshui main list, Lu Qinli gap fill</x:v>
      </x:c>
    </x:row>
    <x:row r="6155">
      <x:c r="A6155" s="5" t="str">
        <x:v>販</x:v>
      </x:c>
      <x:c r="B6155" s="6" t="str">
        <x:v>去</x:v>
      </x:c>
      <x:c r="C6155" s="6" t="str">
        <x:f>IF(B6155="","Needs decision","Ready")</x:f>
        <x:v>Ready</x:v>
      </x:c>
      <x:c r="D6155" s="6" t="str">
        <x:v>去</x:v>
      </x:c>
      <x:c r="E6155" s="6" t="str"/>
      <x:c r="F6155" s="6" t="str">
        <x:v>去聲十四願</x:v>
      </x:c>
      <x:c r="G6155" s="6" t="str">
        <x:v>Pingshui main list, Wikisource-derived DOCX</x:v>
      </x:c>
      <x:c r="H6155" s="6" t="str"/>
      <x:c r="I6155" s="6" t="str">
        <x:v>Lu Qinli gap fill from Pingshui main list; 詞 entries ignored</x:v>
      </x:c>
      <x:c r="J6155" s="6" t="str">
        <x:f>IF(B6155="","",IF(AND(ISNUMBER(SEARCH("平",B6155)),OR(ISNUMBER(SEARCH("上",B6155)),ISNUMBER(SEARCH("去",B6155)),ISNUMBER(SEARCH("入",B6155)))),"Ambiguous",IF(ISNUMBER(SEARCH("平",B6155)),"平","仄")))</x:f>
        <x:v>仄</x:v>
      </x:c>
      <x:c r="K6155" s="6" t="str">
        <x:f>IF(D6155="","",IF(AND(ISNUMBER(SEARCH("平",D6155)),OR(ISNUMBER(SEARCH("上",D6155)),ISNUMBER(SEARCH("去",D6155)),ISNUMBER(SEARCH("入",D6155)))),"Ambiguous",IF(ISNUMBER(SEARCH("平",D6155)),"平","仄")))</x:f>
        <x:v>仄</x:v>
      </x:c>
      <x:c r="L6155" s="7" t="str">
        <x:v>Pingshui main list, Lu Qinli gap fill</x:v>
      </x:c>
    </x:row>
    <x:row r="6156">
      <x:c r="A6156" s="5" t="str">
        <x:v>貲</x:v>
      </x:c>
      <x:c r="B6156" s="6" t="str">
        <x:v>平</x:v>
      </x:c>
      <x:c r="C6156" s="6" t="str">
        <x:f>IF(B6156="","Needs decision","Ready")</x:f>
        <x:v>Ready</x:v>
      </x:c>
      <x:c r="D6156" s="6" t="str">
        <x:v>平</x:v>
      </x:c>
      <x:c r="E6156" s="6" t="str"/>
      <x:c r="F6156" s="6" t="str">
        <x:v>上平聲四支</x:v>
      </x:c>
      <x:c r="G6156" s="6" t="str">
        <x:v>Pingshui main list, Wikisource-derived DOCX</x:v>
      </x:c>
      <x:c r="H6156" s="6" t="str"/>
      <x:c r="I6156" s="6" t="str">
        <x:v>Lu Qinli gap fill from Pingshui main list; 詞 entries ignored</x:v>
      </x:c>
      <x:c r="J6156" s="6" t="str">
        <x:f>IF(B6156="","",IF(AND(ISNUMBER(SEARCH("平",B6156)),OR(ISNUMBER(SEARCH("上",B6156)),ISNUMBER(SEARCH("去",B6156)),ISNUMBER(SEARCH("入",B6156)))),"Ambiguous",IF(ISNUMBER(SEARCH("平",B6156)),"平","仄")))</x:f>
        <x:v>平</x:v>
      </x:c>
      <x:c r="K6156" s="6" t="str">
        <x:f>IF(D6156="","",IF(AND(ISNUMBER(SEARCH("平",D6156)),OR(ISNUMBER(SEARCH("上",D6156)),ISNUMBER(SEARCH("去",D6156)),ISNUMBER(SEARCH("入",D6156)))),"Ambiguous",IF(ISNUMBER(SEARCH("平",D6156)),"平","仄")))</x:f>
        <x:v>平</x:v>
      </x:c>
      <x:c r="L6156" s="7" t="str">
        <x:v>Pingshui main list, Lu Qinli gap fill</x:v>
      </x:c>
    </x:row>
    <x:row r="6157">
      <x:c r="A6157" s="5" t="str">
        <x:v>貺</x:v>
      </x:c>
      <x:c r="B6157" s="6" t="str">
        <x:v>去</x:v>
      </x:c>
      <x:c r="C6157" s="6" t="str">
        <x:f>IF(B6157="","Needs decision","Ready")</x:f>
        <x:v>Ready</x:v>
      </x:c>
      <x:c r="D6157" s="6" t="str">
        <x:v>去</x:v>
      </x:c>
      <x:c r="E6157" s="6" t="str"/>
      <x:c r="F6157" s="6" t="str">
        <x:v>去聲二十三漾</x:v>
      </x:c>
      <x:c r="G6157" s="6" t="str">
        <x:v>Pingshui main list, Wikisource-derived DOCX</x:v>
      </x:c>
      <x:c r="H6157" s="6" t="str"/>
      <x:c r="I6157" s="6" t="str">
        <x:v>Lu Qinli gap fill from Pingshui main list; 詞 entries ignored</x:v>
      </x:c>
      <x:c r="J6157" s="6" t="str">
        <x:f>IF(B6157="","",IF(AND(ISNUMBER(SEARCH("平",B6157)),OR(ISNUMBER(SEARCH("上",B6157)),ISNUMBER(SEARCH("去",B6157)),ISNUMBER(SEARCH("入",B6157)))),"Ambiguous",IF(ISNUMBER(SEARCH("平",B6157)),"平","仄")))</x:f>
        <x:v>仄</x:v>
      </x:c>
      <x:c r="K6157" s="6" t="str">
        <x:f>IF(D6157="","",IF(AND(ISNUMBER(SEARCH("平",D6157)),OR(ISNUMBER(SEARCH("上",D6157)),ISNUMBER(SEARCH("去",D6157)),ISNUMBER(SEARCH("入",D6157)))),"Ambiguous",IF(ISNUMBER(SEARCH("平",D6157)),"平","仄")))</x:f>
        <x:v>仄</x:v>
      </x:c>
      <x:c r="L6157" s="7" t="str">
        <x:v>Pingshui main list, Lu Qinli gap fill</x:v>
      </x:c>
    </x:row>
    <x:row r="6158">
      <x:c r="A6158" s="5" t="str">
        <x:v>賃</x:v>
      </x:c>
      <x:c r="B6158" s="6" t="str">
        <x:v>去</x:v>
      </x:c>
      <x:c r="C6158" s="6" t="str">
        <x:f>IF(B6158="","Needs decision","Ready")</x:f>
        <x:v>Ready</x:v>
      </x:c>
      <x:c r="D6158" s="6" t="str">
        <x:v>去</x:v>
      </x:c>
      <x:c r="E6158" s="6" t="str"/>
      <x:c r="F6158" s="6" t="str">
        <x:v>去聲二十七沁</x:v>
      </x:c>
      <x:c r="G6158" s="6" t="str">
        <x:v>Pingshui main list, Wikisource-derived DOCX</x:v>
      </x:c>
      <x:c r="H6158" s="6" t="str"/>
      <x:c r="I6158" s="6" t="str">
        <x:v>Lu Qinli gap fill from Pingshui main list; 詞 entries ignored</x:v>
      </x:c>
      <x:c r="J6158" s="6" t="str">
        <x:f>IF(B6158="","",IF(AND(ISNUMBER(SEARCH("平",B6158)),OR(ISNUMBER(SEARCH("上",B6158)),ISNUMBER(SEARCH("去",B6158)),ISNUMBER(SEARCH("入",B6158)))),"Ambiguous",IF(ISNUMBER(SEARCH("平",B6158)),"平","仄")))</x:f>
        <x:v>仄</x:v>
      </x:c>
      <x:c r="K6158" s="6" t="str">
        <x:f>IF(D6158="","",IF(AND(ISNUMBER(SEARCH("平",D6158)),OR(ISNUMBER(SEARCH("上",D6158)),ISNUMBER(SEARCH("去",D6158)),ISNUMBER(SEARCH("入",D6158)))),"Ambiguous",IF(ISNUMBER(SEARCH("平",D6158)),"平","仄")))</x:f>
        <x:v>仄</x:v>
      </x:c>
      <x:c r="L6158" s="7" t="str">
        <x:v>Pingshui main list, Lu Qinli gap fill</x:v>
      </x:c>
    </x:row>
    <x:row r="6159">
      <x:c r="A6159" s="5" t="str">
        <x:v>賕</x:v>
      </x:c>
      <x:c r="B6159" s="6" t="str">
        <x:v>平</x:v>
      </x:c>
      <x:c r="C6159" s="6" t="str">
        <x:f>IF(B6159="","Needs decision","Ready")</x:f>
        <x:v>Ready</x:v>
      </x:c>
      <x:c r="D6159" s="6" t="str">
        <x:v>平</x:v>
      </x:c>
      <x:c r="E6159" s="6" t="str"/>
      <x:c r="F6159" s="6" t="str">
        <x:v>下平聲十一尤</x:v>
      </x:c>
      <x:c r="G6159" s="6" t="str">
        <x:v>Pingshui main list, Wikisource-derived DOCX</x:v>
      </x:c>
      <x:c r="H6159" s="6" t="str"/>
      <x:c r="I6159" s="6" t="str">
        <x:v>Lu Qinli gap fill from Pingshui main list; 詞 entries ignored</x:v>
      </x:c>
      <x:c r="J6159" s="6" t="str">
        <x:f>IF(B6159="","",IF(AND(ISNUMBER(SEARCH("平",B6159)),OR(ISNUMBER(SEARCH("上",B6159)),ISNUMBER(SEARCH("去",B6159)),ISNUMBER(SEARCH("入",B6159)))),"Ambiguous",IF(ISNUMBER(SEARCH("平",B6159)),"平","仄")))</x:f>
        <x:v>平</x:v>
      </x:c>
      <x:c r="K6159" s="6" t="str">
        <x:f>IF(D6159="","",IF(AND(ISNUMBER(SEARCH("平",D6159)),OR(ISNUMBER(SEARCH("上",D6159)),ISNUMBER(SEARCH("去",D6159)),ISNUMBER(SEARCH("入",D6159)))),"Ambiguous",IF(ISNUMBER(SEARCH("平",D6159)),"平","仄")))</x:f>
        <x:v>平</x:v>
      </x:c>
      <x:c r="L6159" s="7" t="str">
        <x:v>Pingshui main list, Lu Qinli gap fill</x:v>
      </x:c>
    </x:row>
    <x:row r="6160">
      <x:c r="A6160" s="5" t="str">
        <x:v>賡</x:v>
      </x:c>
      <x:c r="B6160" s="6" t="str">
        <x:v>平</x:v>
      </x:c>
      <x:c r="C6160" s="6" t="str">
        <x:f>IF(B6160="","Needs decision","Ready")</x:f>
        <x:v>Ready</x:v>
      </x:c>
      <x:c r="D6160" s="6" t="str">
        <x:v>平</x:v>
      </x:c>
      <x:c r="E6160" s="6" t="str"/>
      <x:c r="F6160" s="6" t="str">
        <x:v>下平聲八庚</x:v>
      </x:c>
      <x:c r="G6160" s="6" t="str">
        <x:v>Pingshui main list, Wikisource-derived DOCX</x:v>
      </x:c>
      <x:c r="H6160" s="6" t="str"/>
      <x:c r="I6160" s="6" t="str">
        <x:v>Lu Qinli gap fill from Pingshui main list; 詞 entries ignored</x:v>
      </x:c>
      <x:c r="J6160" s="6" t="str">
        <x:f>IF(B6160="","",IF(AND(ISNUMBER(SEARCH("平",B6160)),OR(ISNUMBER(SEARCH("上",B6160)),ISNUMBER(SEARCH("去",B6160)),ISNUMBER(SEARCH("入",B6160)))),"Ambiguous",IF(ISNUMBER(SEARCH("平",B6160)),"平","仄")))</x:f>
        <x:v>平</x:v>
      </x:c>
      <x:c r="K6160" s="6" t="str">
        <x:f>IF(D6160="","",IF(AND(ISNUMBER(SEARCH("平",D6160)),OR(ISNUMBER(SEARCH("上",D6160)),ISNUMBER(SEARCH("去",D6160)),ISNUMBER(SEARCH("入",D6160)))),"Ambiguous",IF(ISNUMBER(SEARCH("平",D6160)),"平","仄")))</x:f>
        <x:v>平</x:v>
      </x:c>
      <x:c r="L6160" s="7" t="str">
        <x:v>Pingshui main list, Lu Qinli gap fill</x:v>
      </x:c>
    </x:row>
    <x:row r="6161">
      <x:c r="A6161" s="5" t="str">
        <x:v>賽</x:v>
      </x:c>
      <x:c r="B6161" s="6" t="str">
        <x:v>去</x:v>
      </x:c>
      <x:c r="C6161" s="6" t="str">
        <x:f>IF(B6161="","Needs decision","Ready")</x:f>
        <x:v>Ready</x:v>
      </x:c>
      <x:c r="D6161" s="6" t="str">
        <x:v>去</x:v>
      </x:c>
      <x:c r="E6161" s="6" t="str"/>
      <x:c r="F6161" s="6" t="str">
        <x:v>去聲十一隊</x:v>
      </x:c>
      <x:c r="G6161" s="6" t="str">
        <x:v>Pingshui main list, Wikisource-derived DOCX</x:v>
      </x:c>
      <x:c r="H6161" s="6" t="str"/>
      <x:c r="I6161" s="6" t="str">
        <x:v>Lu Qinli gap fill from Pingshui main list; 詞 entries ignored</x:v>
      </x:c>
      <x:c r="J6161" s="6" t="str">
        <x:f>IF(B6161="","",IF(AND(ISNUMBER(SEARCH("平",B6161)),OR(ISNUMBER(SEARCH("上",B6161)),ISNUMBER(SEARCH("去",B6161)),ISNUMBER(SEARCH("入",B6161)))),"Ambiguous",IF(ISNUMBER(SEARCH("平",B6161)),"平","仄")))</x:f>
        <x:v>仄</x:v>
      </x:c>
      <x:c r="K6161" s="6" t="str">
        <x:f>IF(D6161="","",IF(AND(ISNUMBER(SEARCH("平",D6161)),OR(ISNUMBER(SEARCH("上",D6161)),ISNUMBER(SEARCH("去",D6161)),ISNUMBER(SEARCH("入",D6161)))),"Ambiguous",IF(ISNUMBER(SEARCH("平",D6161)),"平","仄")))</x:f>
        <x:v>仄</x:v>
      </x:c>
      <x:c r="L6161" s="7" t="str">
        <x:v>Pingshui main list, Lu Qinli gap fill</x:v>
      </x:c>
    </x:row>
    <x:row r="6162">
      <x:c r="A6162" s="5" t="str">
        <x:v>賾</x:v>
      </x:c>
      <x:c r="B6162" s="6" t="str">
        <x:v>入</x:v>
      </x:c>
      <x:c r="C6162" s="6" t="str">
        <x:f>IF(B6162="","Needs decision","Ready")</x:f>
        <x:v>Ready</x:v>
      </x:c>
      <x:c r="D6162" s="6" t="str">
        <x:v>入</x:v>
      </x:c>
      <x:c r="E6162" s="6" t="str"/>
      <x:c r="F6162" s="6" t="str">
        <x:v>入聲十一陌</x:v>
      </x:c>
      <x:c r="G6162" s="6" t="str">
        <x:v>Pingshui main list, Wikisource-derived DOCX</x:v>
      </x:c>
      <x:c r="H6162" s="6" t="str"/>
      <x:c r="I6162" s="6" t="str">
        <x:v>Lu Qinli gap fill from Pingshui main list; 詞 entries ignored</x:v>
      </x:c>
      <x:c r="J6162" s="6" t="str">
        <x:f>IF(B6162="","",IF(AND(ISNUMBER(SEARCH("平",B6162)),OR(ISNUMBER(SEARCH("上",B6162)),ISNUMBER(SEARCH("去",B6162)),ISNUMBER(SEARCH("入",B6162)))),"Ambiguous",IF(ISNUMBER(SEARCH("平",B6162)),"平","仄")))</x:f>
        <x:v>仄</x:v>
      </x:c>
      <x:c r="K6162" s="6" t="str">
        <x:f>IF(D6162="","",IF(AND(ISNUMBER(SEARCH("平",D6162)),OR(ISNUMBER(SEARCH("上",D6162)),ISNUMBER(SEARCH("去",D6162)),ISNUMBER(SEARCH("入",D6162)))),"Ambiguous",IF(ISNUMBER(SEARCH("平",D6162)),"平","仄")))</x:f>
        <x:v>仄</x:v>
      </x:c>
      <x:c r="L6162" s="7" t="str">
        <x:v>Pingshui main list, Lu Qinli gap fill</x:v>
      </x:c>
    </x:row>
    <x:row r="6163">
      <x:c r="A6163" s="5" t="str">
        <x:v>贄</x:v>
      </x:c>
      <x:c r="B6163" s="6" t="str">
        <x:v>去</x:v>
      </x:c>
      <x:c r="C6163" s="6" t="str">
        <x:f>IF(B6163="","Needs decision","Ready")</x:f>
        <x:v>Ready</x:v>
      </x:c>
      <x:c r="D6163" s="6" t="str">
        <x:v>去</x:v>
      </x:c>
      <x:c r="E6163" s="6" t="str"/>
      <x:c r="F6163" s="6" t="str">
        <x:v>去聲四寘</x:v>
      </x:c>
      <x:c r="G6163" s="6" t="str">
        <x:v>Pingshui main list, Wikisource-derived DOCX</x:v>
      </x:c>
      <x:c r="H6163" s="6" t="str"/>
      <x:c r="I6163" s="6" t="str">
        <x:v>Lu Qinli gap fill from Pingshui main list; 詞 entries ignored</x:v>
      </x:c>
      <x:c r="J6163" s="6" t="str">
        <x:f>IF(B6163="","",IF(AND(ISNUMBER(SEARCH("平",B6163)),OR(ISNUMBER(SEARCH("上",B6163)),ISNUMBER(SEARCH("去",B6163)),ISNUMBER(SEARCH("入",B6163)))),"Ambiguous",IF(ISNUMBER(SEARCH("平",B6163)),"平","仄")))</x:f>
        <x:v>仄</x:v>
      </x:c>
      <x:c r="K6163" s="6" t="str">
        <x:f>IF(D6163="","",IF(AND(ISNUMBER(SEARCH("平",D6163)),OR(ISNUMBER(SEARCH("上",D6163)),ISNUMBER(SEARCH("去",D6163)),ISNUMBER(SEARCH("入",D6163)))),"Ambiguous",IF(ISNUMBER(SEARCH("平",D6163)),"平","仄")))</x:f>
        <x:v>仄</x:v>
      </x:c>
      <x:c r="L6163" s="7" t="str">
        <x:v>Pingshui main list, Lu Qinli gap fill</x:v>
      </x:c>
    </x:row>
    <x:row r="6164">
      <x:c r="A6164" s="5" t="str">
        <x:v>贅</x:v>
      </x:c>
      <x:c r="B6164" s="6" t="str">
        <x:v>去</x:v>
      </x:c>
      <x:c r="C6164" s="6" t="str">
        <x:f>IF(B6164="","Needs decision","Ready")</x:f>
        <x:v>Ready</x:v>
      </x:c>
      <x:c r="D6164" s="6" t="str">
        <x:v>去</x:v>
      </x:c>
      <x:c r="E6164" s="6" t="str"/>
      <x:c r="F6164" s="6" t="str">
        <x:v>去聲八霽</x:v>
      </x:c>
      <x:c r="G6164" s="6" t="str">
        <x:v>Pingshui main list, Wikisource-derived DOCX</x:v>
      </x:c>
      <x:c r="H6164" s="6" t="str"/>
      <x:c r="I6164" s="6" t="str">
        <x:v>Lu Qinli gap fill from Pingshui main list; 詞 entries ignored</x:v>
      </x:c>
      <x:c r="J6164" s="6" t="str">
        <x:f>IF(B6164="","",IF(AND(ISNUMBER(SEARCH("平",B6164)),OR(ISNUMBER(SEARCH("上",B6164)),ISNUMBER(SEARCH("去",B6164)),ISNUMBER(SEARCH("入",B6164)))),"Ambiguous",IF(ISNUMBER(SEARCH("平",B6164)),"平","仄")))</x:f>
        <x:v>仄</x:v>
      </x:c>
      <x:c r="K6164" s="6" t="str">
        <x:f>IF(D6164="","",IF(AND(ISNUMBER(SEARCH("平",D6164)),OR(ISNUMBER(SEARCH("上",D6164)),ISNUMBER(SEARCH("去",D6164)),ISNUMBER(SEARCH("入",D6164)))),"Ambiguous",IF(ISNUMBER(SEARCH("平",D6164)),"平","仄")))</x:f>
        <x:v>仄</x:v>
      </x:c>
      <x:c r="L6164" s="7" t="str">
        <x:v>Pingshui main list, Lu Qinli gap fill</x:v>
      </x:c>
    </x:row>
    <x:row r="6165">
      <x:c r="A6165" s="5" t="str">
        <x:v>赧</x:v>
      </x:c>
      <x:c r="B6165" s="6" t="str">
        <x:v>上</x:v>
      </x:c>
      <x:c r="C6165" s="6" t="str">
        <x:f>IF(B6165="","Needs decision","Ready")</x:f>
        <x:v>Ready</x:v>
      </x:c>
      <x:c r="D6165" s="6" t="str">
        <x:v>上</x:v>
      </x:c>
      <x:c r="E6165" s="6" t="str"/>
      <x:c r="F6165" s="6" t="str">
        <x:v>上聲十五潸</x:v>
      </x:c>
      <x:c r="G6165" s="6" t="str">
        <x:v>Pingshui main list, Wikisource-derived DOCX</x:v>
      </x:c>
      <x:c r="H6165" s="6" t="str"/>
      <x:c r="I6165" s="6" t="str">
        <x:v>Lu Qinli gap fill from Pingshui main list; 詞 entries ignored</x:v>
      </x:c>
      <x:c r="J6165" s="6" t="str">
        <x:f>IF(B6165="","",IF(AND(ISNUMBER(SEARCH("平",B6165)),OR(ISNUMBER(SEARCH("上",B6165)),ISNUMBER(SEARCH("去",B6165)),ISNUMBER(SEARCH("入",B6165)))),"Ambiguous",IF(ISNUMBER(SEARCH("平",B6165)),"平","仄")))</x:f>
        <x:v>仄</x:v>
      </x:c>
      <x:c r="K6165" s="6" t="str">
        <x:f>IF(D6165="","",IF(AND(ISNUMBER(SEARCH("平",D6165)),OR(ISNUMBER(SEARCH("上",D6165)),ISNUMBER(SEARCH("去",D6165)),ISNUMBER(SEARCH("入",D6165)))),"Ambiguous",IF(ISNUMBER(SEARCH("平",D6165)),"平","仄")))</x:f>
        <x:v>仄</x:v>
      </x:c>
      <x:c r="L6165" s="7" t="str">
        <x:v>Pingshui main list, Lu Qinli gap fill</x:v>
      </x:c>
    </x:row>
    <x:row r="6166">
      <x:c r="A6166" s="5" t="str">
        <x:v>赩</x:v>
      </x:c>
      <x:c r="B6166" s="6" t="str">
        <x:v>入</x:v>
      </x:c>
      <x:c r="C6166" s="6" t="str">
        <x:f>IF(B6166="","Needs decision","Ready")</x:f>
        <x:v>Ready</x:v>
      </x:c>
      <x:c r="D6166" s="6" t="str">
        <x:v>入</x:v>
      </x:c>
      <x:c r="E6166" s="6" t="str"/>
      <x:c r="F6166" s="6" t="str">
        <x:v>入聲十三職</x:v>
      </x:c>
      <x:c r="G6166" s="6" t="str">
        <x:v>Pingshui main list, Wikisource-derived DOCX</x:v>
      </x:c>
      <x:c r="H6166" s="6" t="str"/>
      <x:c r="I6166" s="6" t="str">
        <x:v>Lu Qinli gap fill from Pingshui main list; 詞 entries ignored</x:v>
      </x:c>
      <x:c r="J6166" s="6" t="str">
        <x:f>IF(B6166="","",IF(AND(ISNUMBER(SEARCH("平",B6166)),OR(ISNUMBER(SEARCH("上",B6166)),ISNUMBER(SEARCH("去",B6166)),ISNUMBER(SEARCH("入",B6166)))),"Ambiguous",IF(ISNUMBER(SEARCH("平",B6166)),"平","仄")))</x:f>
        <x:v>仄</x:v>
      </x:c>
      <x:c r="K6166" s="6" t="str">
        <x:f>IF(D6166="","",IF(AND(ISNUMBER(SEARCH("平",D6166)),OR(ISNUMBER(SEARCH("上",D6166)),ISNUMBER(SEARCH("去",D6166)),ISNUMBER(SEARCH("入",D6166)))),"Ambiguous",IF(ISNUMBER(SEARCH("平",D6166)),"平","仄")))</x:f>
        <x:v>仄</x:v>
      </x:c>
      <x:c r="L6166" s="7" t="str">
        <x:v>Pingshui main list, Lu Qinli gap fill</x:v>
      </x:c>
    </x:row>
    <x:row r="6167">
      <x:c r="A6167" s="5" t="str">
        <x:v>赳</x:v>
      </x:c>
      <x:c r="B6167" s="6" t="str">
        <x:v>上</x:v>
      </x:c>
      <x:c r="C6167" s="6" t="str">
        <x:f>IF(B6167="","Needs decision","Ready")</x:f>
        <x:v>Ready</x:v>
      </x:c>
      <x:c r="D6167" s="6" t="str">
        <x:v>上</x:v>
      </x:c>
      <x:c r="E6167" s="6" t="str"/>
      <x:c r="F6167" s="6" t="str">
        <x:v>上聲二十五有</x:v>
      </x:c>
      <x:c r="G6167" s="6" t="str">
        <x:v>Pingshui main list, Wikisource-derived DOCX</x:v>
      </x:c>
      <x:c r="H6167" s="6" t="str"/>
      <x:c r="I6167" s="6" t="str">
        <x:v>Lu Qinli gap fill from Pingshui main list; 詞 entries ignored</x:v>
      </x:c>
      <x:c r="J6167" s="6" t="str">
        <x:f>IF(B6167="","",IF(AND(ISNUMBER(SEARCH("平",B6167)),OR(ISNUMBER(SEARCH("上",B6167)),ISNUMBER(SEARCH("去",B6167)),ISNUMBER(SEARCH("入",B6167)))),"Ambiguous",IF(ISNUMBER(SEARCH("平",B6167)),"平","仄")))</x:f>
        <x:v>仄</x:v>
      </x:c>
      <x:c r="K6167" s="6" t="str">
        <x:f>IF(D6167="","",IF(AND(ISNUMBER(SEARCH("平",D6167)),OR(ISNUMBER(SEARCH("上",D6167)),ISNUMBER(SEARCH("去",D6167)),ISNUMBER(SEARCH("入",D6167)))),"Ambiguous",IF(ISNUMBER(SEARCH("平",D6167)),"平","仄")))</x:f>
        <x:v>仄</x:v>
      </x:c>
      <x:c r="L6167" s="7" t="str">
        <x:v>Pingshui main list, Lu Qinli gap fill</x:v>
      </x:c>
    </x:row>
    <x:row r="6168">
      <x:c r="A6168" s="5" t="str">
        <x:v>趍</x:v>
      </x:c>
      <x:c r="B6168" s="6" t="str">
        <x:v>平</x:v>
      </x:c>
      <x:c r="C6168" s="6" t="str">
        <x:f>IF(B6168="","Needs decision","Ready")</x:f>
        <x:v>Ready</x:v>
      </x:c>
      <x:c r="D6168" s="6" t="str">
        <x:v>平</x:v>
      </x:c>
      <x:c r="E6168" s="6" t="str"/>
      <x:c r="F6168" s="6" t="str">
        <x:v>上平聲四支</x:v>
      </x:c>
      <x:c r="G6168" s="6" t="str">
        <x:v>Pingshui main list, Wikisource-derived DOCX</x:v>
      </x:c>
      <x:c r="H6168" s="6" t="str"/>
      <x:c r="I6168" s="6" t="str">
        <x:v>Lu Qinli gap fill from Pingshui main list; 詞 entries ignored</x:v>
      </x:c>
      <x:c r="J6168" s="6" t="str">
        <x:f>IF(B6168="","",IF(AND(ISNUMBER(SEARCH("平",B6168)),OR(ISNUMBER(SEARCH("上",B6168)),ISNUMBER(SEARCH("去",B6168)),ISNUMBER(SEARCH("入",B6168)))),"Ambiguous",IF(ISNUMBER(SEARCH("平",B6168)),"平","仄")))</x:f>
        <x:v>平</x:v>
      </x:c>
      <x:c r="K6168" s="6" t="str">
        <x:f>IF(D6168="","",IF(AND(ISNUMBER(SEARCH("平",D6168)),OR(ISNUMBER(SEARCH("上",D6168)),ISNUMBER(SEARCH("去",D6168)),ISNUMBER(SEARCH("入",D6168)))),"Ambiguous",IF(ISNUMBER(SEARCH("平",D6168)),"平","仄")))</x:f>
        <x:v>平</x:v>
      </x:c>
      <x:c r="L6168" s="7" t="str">
        <x:v>Pingshui main list, Lu Qinli gap fill</x:v>
      </x:c>
    </x:row>
    <x:row r="6169">
      <x:c r="A6169" s="5" t="str">
        <x:v>趠</x:v>
      </x:c>
      <x:c r="B6169" s="6" t="str">
        <x:v>去</x:v>
      </x:c>
      <x:c r="C6169" s="6" t="str">
        <x:f>IF(B6169="","Needs decision","Ready")</x:f>
        <x:v>Ready</x:v>
      </x:c>
      <x:c r="D6169" s="6" t="str">
        <x:v>去</x:v>
      </x:c>
      <x:c r="E6169" s="6" t="str"/>
      <x:c r="F6169" s="6" t="str">
        <x:v>去聲十九效</x:v>
      </x:c>
      <x:c r="G6169" s="6" t="str">
        <x:v>Pingshui main list, Wikisource-derived DOCX</x:v>
      </x:c>
      <x:c r="H6169" s="6" t="str"/>
      <x:c r="I6169" s="6" t="str">
        <x:v>Lu Qinli gap fill from Pingshui main list; 詞 entries ignored</x:v>
      </x:c>
      <x:c r="J6169" s="6" t="str">
        <x:f>IF(B6169="","",IF(AND(ISNUMBER(SEARCH("平",B6169)),OR(ISNUMBER(SEARCH("上",B6169)),ISNUMBER(SEARCH("去",B6169)),ISNUMBER(SEARCH("入",B6169)))),"Ambiguous",IF(ISNUMBER(SEARCH("平",B6169)),"平","仄")))</x:f>
        <x:v>仄</x:v>
      </x:c>
      <x:c r="K6169" s="6" t="str">
        <x:f>IF(D6169="","",IF(AND(ISNUMBER(SEARCH("平",D6169)),OR(ISNUMBER(SEARCH("上",D6169)),ISNUMBER(SEARCH("去",D6169)),ISNUMBER(SEARCH("入",D6169)))),"Ambiguous",IF(ISNUMBER(SEARCH("平",D6169)),"平","仄")))</x:f>
        <x:v>仄</x:v>
      </x:c>
      <x:c r="L6169" s="7" t="str">
        <x:v>Pingshui main list, Lu Qinli gap fill</x:v>
      </x:c>
    </x:row>
    <x:row r="6170">
      <x:c r="A6170" s="5" t="str">
        <x:v>趫</x:v>
      </x:c>
      <x:c r="B6170" s="6" t="str">
        <x:v>平</x:v>
      </x:c>
      <x:c r="C6170" s="6" t="str">
        <x:f>IF(B6170="","Needs decision","Ready")</x:f>
        <x:v>Ready</x:v>
      </x:c>
      <x:c r="D6170" s="6" t="str">
        <x:v>平</x:v>
      </x:c>
      <x:c r="E6170" s="6" t="str"/>
      <x:c r="F6170" s="6" t="str">
        <x:v>下平聲二蕭</x:v>
      </x:c>
      <x:c r="G6170" s="6" t="str">
        <x:v>Pingshui main list, Wikisource-derived DOCX</x:v>
      </x:c>
      <x:c r="H6170" s="6" t="str"/>
      <x:c r="I6170" s="6" t="str">
        <x:v>Lu Qinli gap fill from Pingshui main list; 詞 entries ignored</x:v>
      </x:c>
      <x:c r="J6170" s="6" t="str">
        <x:f>IF(B6170="","",IF(AND(ISNUMBER(SEARCH("平",B6170)),OR(ISNUMBER(SEARCH("上",B6170)),ISNUMBER(SEARCH("去",B6170)),ISNUMBER(SEARCH("入",B6170)))),"Ambiguous",IF(ISNUMBER(SEARCH("平",B6170)),"平","仄")))</x:f>
        <x:v>平</x:v>
      </x:c>
      <x:c r="K6170" s="6" t="str">
        <x:f>IF(D6170="","",IF(AND(ISNUMBER(SEARCH("平",D6170)),OR(ISNUMBER(SEARCH("上",D6170)),ISNUMBER(SEARCH("去",D6170)),ISNUMBER(SEARCH("入",D6170)))),"Ambiguous",IF(ISNUMBER(SEARCH("平",D6170)),"平","仄")))</x:f>
        <x:v>平</x:v>
      </x:c>
      <x:c r="L6170" s="7" t="str">
        <x:v>Pingshui main list, Lu Qinli gap fill</x:v>
      </x:c>
    </x:row>
    <x:row r="6171">
      <x:c r="A6171" s="5" t="str">
        <x:v>趯</x:v>
      </x:c>
      <x:c r="B6171" s="6" t="str">
        <x:v>入</x:v>
      </x:c>
      <x:c r="C6171" s="6" t="str">
        <x:f>IF(B6171="","Needs decision","Ready")</x:f>
        <x:v>Ready</x:v>
      </x:c>
      <x:c r="D6171" s="6" t="str">
        <x:v>入</x:v>
      </x:c>
      <x:c r="E6171" s="6" t="str"/>
      <x:c r="F6171" s="6" t="str">
        <x:v>入聲十二錫</x:v>
      </x:c>
      <x:c r="G6171" s="6" t="str">
        <x:v>Pingshui main list, Wikisource-derived DOCX</x:v>
      </x:c>
      <x:c r="H6171" s="6" t="str"/>
      <x:c r="I6171" s="6" t="str">
        <x:v>Lu Qinli gap fill from Pingshui main list; 詞 entries ignored</x:v>
      </x:c>
      <x:c r="J6171" s="6" t="str">
        <x:f>IF(B6171="","",IF(AND(ISNUMBER(SEARCH("平",B6171)),OR(ISNUMBER(SEARCH("上",B6171)),ISNUMBER(SEARCH("去",B6171)),ISNUMBER(SEARCH("入",B6171)))),"Ambiguous",IF(ISNUMBER(SEARCH("平",B6171)),"平","仄")))</x:f>
        <x:v>仄</x:v>
      </x:c>
      <x:c r="K6171" s="6" t="str">
        <x:f>IF(D6171="","",IF(AND(ISNUMBER(SEARCH("平",D6171)),OR(ISNUMBER(SEARCH("上",D6171)),ISNUMBER(SEARCH("去",D6171)),ISNUMBER(SEARCH("入",D6171)))),"Ambiguous",IF(ISNUMBER(SEARCH("平",D6171)),"平","仄")))</x:f>
        <x:v>仄</x:v>
      </x:c>
      <x:c r="L6171" s="7" t="str">
        <x:v>Pingshui main list, Lu Qinli gap fill</x:v>
      </x:c>
    </x:row>
    <x:row r="6172">
      <x:c r="A6172" s="5" t="str">
        <x:v>趺</x:v>
      </x:c>
      <x:c r="B6172" s="6" t="str">
        <x:v>平</x:v>
      </x:c>
      <x:c r="C6172" s="6" t="str">
        <x:f>IF(B6172="","Needs decision","Ready")</x:f>
        <x:v>Ready</x:v>
      </x:c>
      <x:c r="D6172" s="6" t="str">
        <x:v>平</x:v>
      </x:c>
      <x:c r="E6172" s="6" t="str"/>
      <x:c r="F6172" s="6" t="str">
        <x:v>上平聲七虞</x:v>
      </x:c>
      <x:c r="G6172" s="6" t="str">
        <x:v>Pingshui main list, Wikisource-derived DOCX</x:v>
      </x:c>
      <x:c r="H6172" s="6" t="str"/>
      <x:c r="I6172" s="6" t="str">
        <x:v>Lu Qinli gap fill from Pingshui main list; 詞 entries ignored</x:v>
      </x:c>
      <x:c r="J6172" s="6" t="str">
        <x:f>IF(B6172="","",IF(AND(ISNUMBER(SEARCH("平",B6172)),OR(ISNUMBER(SEARCH("上",B6172)),ISNUMBER(SEARCH("去",B6172)),ISNUMBER(SEARCH("入",B6172)))),"Ambiguous",IF(ISNUMBER(SEARCH("平",B6172)),"平","仄")))</x:f>
        <x:v>平</x:v>
      </x:c>
      <x:c r="K6172" s="6" t="str">
        <x:f>IF(D6172="","",IF(AND(ISNUMBER(SEARCH("平",D6172)),OR(ISNUMBER(SEARCH("上",D6172)),ISNUMBER(SEARCH("去",D6172)),ISNUMBER(SEARCH("入",D6172)))),"Ambiguous",IF(ISNUMBER(SEARCH("平",D6172)),"平","仄")))</x:f>
        <x:v>平</x:v>
      </x:c>
      <x:c r="L6172" s="7" t="str">
        <x:v>Pingshui main list, Lu Qinli gap fill</x:v>
      </x:c>
    </x:row>
    <x:row r="6173">
      <x:c r="A6173" s="5" t="str">
        <x:v>跂</x:v>
      </x:c>
      <x:c r="B6173" s="6" t="str"/>
      <x:c r="C6173" s="6" t="str">
        <x:f>IF(B6173="","Needs decision","Ready")</x:f>
        <x:v>Needs decision</x:v>
      </x:c>
      <x:c r="D6173" s="6" t="str">
        <x:v>上/去</x:v>
      </x:c>
      <x:c r="E6173" s="6" t="str"/>
      <x:c r="F6173" s="6" t="str">
        <x:v>上聲四紙; 去聲四寘</x:v>
      </x:c>
      <x:c r="G6173" s="6" t="str">
        <x:v>Pingshui main list, Wikisource-derived DOCX</x:v>
      </x:c>
      <x:c r="H6173" s="6" t="str"/>
      <x:c r="I6173" s="6" t="str">
        <x:v>Lu Qinli gap fill from Pingshui main list; 詞 entries ignored</x:v>
      </x:c>
      <x:c r="J6173" s="6" t="str">
        <x:f>IF(B6173="","",IF(AND(ISNUMBER(SEARCH("平",B6173)),OR(ISNUMBER(SEARCH("上",B6173)),ISNUMBER(SEARCH("去",B6173)),ISNUMBER(SEARCH("入",B6173)))),"Ambiguous",IF(ISNUMBER(SEARCH("平",B6173)),"平","仄")))</x:f>
      </x:c>
      <x:c r="K6173" s="6" t="str">
        <x:f>IF(D6173="","",IF(AND(ISNUMBER(SEARCH("平",D6173)),OR(ISNUMBER(SEARCH("上",D6173)),ISNUMBER(SEARCH("去",D6173)),ISNUMBER(SEARCH("入",D6173)))),"Ambiguous",IF(ISNUMBER(SEARCH("平",D6173)),"平","仄")))</x:f>
        <x:v>仄</x:v>
      </x:c>
      <x:c r="L6173" s="7" t="str">
        <x:v>Pingshui main list, Lu Qinli gap fill</x:v>
      </x:c>
    </x:row>
    <x:row r="6174">
      <x:c r="A6174" s="5" t="str">
        <x:v>跋</x:v>
      </x:c>
      <x:c r="B6174" s="6" t="str">
        <x:v>入</x:v>
      </x:c>
      <x:c r="C6174" s="6" t="str">
        <x:f>IF(B6174="","Needs decision","Ready")</x:f>
        <x:v>Ready</x:v>
      </x:c>
      <x:c r="D6174" s="6" t="str">
        <x:v>入</x:v>
      </x:c>
      <x:c r="E6174" s="6" t="str"/>
      <x:c r="F6174" s="6" t="str">
        <x:v>入聲七曷</x:v>
      </x:c>
      <x:c r="G6174" s="6" t="str">
        <x:v>Pingshui main list, Wikisource-derived DOCX</x:v>
      </x:c>
      <x:c r="H6174" s="6" t="str"/>
      <x:c r="I6174" s="6" t="str">
        <x:v>Lu Qinli gap fill from Pingshui main list; 詞 entries ignored</x:v>
      </x:c>
      <x:c r="J6174" s="6" t="str">
        <x:f>IF(B6174="","",IF(AND(ISNUMBER(SEARCH("平",B6174)),OR(ISNUMBER(SEARCH("上",B6174)),ISNUMBER(SEARCH("去",B6174)),ISNUMBER(SEARCH("入",B6174)))),"Ambiguous",IF(ISNUMBER(SEARCH("平",B6174)),"平","仄")))</x:f>
        <x:v>仄</x:v>
      </x:c>
      <x:c r="K6174" s="6" t="str">
        <x:f>IF(D6174="","",IF(AND(ISNUMBER(SEARCH("平",D6174)),OR(ISNUMBER(SEARCH("上",D6174)),ISNUMBER(SEARCH("去",D6174)),ISNUMBER(SEARCH("入",D6174)))),"Ambiguous",IF(ISNUMBER(SEARCH("平",D6174)),"平","仄")))</x:f>
        <x:v>仄</x:v>
      </x:c>
      <x:c r="L6174" s="7" t="str">
        <x:v>Pingshui main list, Lu Qinli gap fill</x:v>
      </x:c>
    </x:row>
    <x:row r="6175">
      <x:c r="A6175" s="5" t="str">
        <x:v>跗</x:v>
      </x:c>
      <x:c r="B6175" s="6" t="str">
        <x:v>去</x:v>
      </x:c>
      <x:c r="C6175" s="6" t="str">
        <x:f>IF(B6175="","Needs decision","Ready")</x:f>
        <x:v>Ready</x:v>
      </x:c>
      <x:c r="D6175" s="6" t="str">
        <x:v>去</x:v>
      </x:c>
      <x:c r="E6175" s="6" t="str"/>
      <x:c r="F6175" s="6" t="str">
        <x:v>去聲七遇</x:v>
      </x:c>
      <x:c r="G6175" s="6" t="str">
        <x:v>Pingshui main list, Wikisource-derived DOCX</x:v>
      </x:c>
      <x:c r="H6175" s="6" t="str"/>
      <x:c r="I6175" s="6" t="str">
        <x:v>Lu Qinli gap fill from Pingshui main list; 詞 entries ignored</x:v>
      </x:c>
      <x:c r="J6175" s="6" t="str">
        <x:f>IF(B6175="","",IF(AND(ISNUMBER(SEARCH("平",B6175)),OR(ISNUMBER(SEARCH("上",B6175)),ISNUMBER(SEARCH("去",B6175)),ISNUMBER(SEARCH("入",B6175)))),"Ambiguous",IF(ISNUMBER(SEARCH("平",B6175)),"平","仄")))</x:f>
        <x:v>仄</x:v>
      </x:c>
      <x:c r="K6175" s="6" t="str">
        <x:f>IF(D6175="","",IF(AND(ISNUMBER(SEARCH("平",D6175)),OR(ISNUMBER(SEARCH("上",D6175)),ISNUMBER(SEARCH("去",D6175)),ISNUMBER(SEARCH("入",D6175)))),"Ambiguous",IF(ISNUMBER(SEARCH("平",D6175)),"平","仄")))</x:f>
        <x:v>仄</x:v>
      </x:c>
      <x:c r="L6175" s="7" t="str">
        <x:v>Pingshui main list, Lu Qinli gap fill</x:v>
      </x:c>
    </x:row>
    <x:row r="6176">
      <x:c r="A6176" s="5" t="str">
        <x:v>跚</x:v>
      </x:c>
      <x:c r="B6176" s="6" t="str">
        <x:v>平</x:v>
      </x:c>
      <x:c r="C6176" s="6" t="str">
        <x:f>IF(B6176="","Needs decision","Ready")</x:f>
        <x:v>Ready</x:v>
      </x:c>
      <x:c r="D6176" s="6" t="str">
        <x:v>平</x:v>
      </x:c>
      <x:c r="E6176" s="6" t="str"/>
      <x:c r="F6176" s="6" t="str">
        <x:v>上平聲十四寒</x:v>
      </x:c>
      <x:c r="G6176" s="6" t="str">
        <x:v>Pingshui main list, Wikisource-derived DOCX</x:v>
      </x:c>
      <x:c r="H6176" s="6" t="str"/>
      <x:c r="I6176" s="6" t="str">
        <x:v>Lu Qinli gap fill from Pingshui main list; 詞 entries ignored</x:v>
      </x:c>
      <x:c r="J6176" s="6" t="str">
        <x:f>IF(B6176="","",IF(AND(ISNUMBER(SEARCH("平",B6176)),OR(ISNUMBER(SEARCH("上",B6176)),ISNUMBER(SEARCH("去",B6176)),ISNUMBER(SEARCH("入",B6176)))),"Ambiguous",IF(ISNUMBER(SEARCH("平",B6176)),"平","仄")))</x:f>
        <x:v>平</x:v>
      </x:c>
      <x:c r="K6176" s="6" t="str">
        <x:f>IF(D6176="","",IF(AND(ISNUMBER(SEARCH("平",D6176)),OR(ISNUMBER(SEARCH("上",D6176)),ISNUMBER(SEARCH("去",D6176)),ISNUMBER(SEARCH("入",D6176)))),"Ambiguous",IF(ISNUMBER(SEARCH("平",D6176)),"平","仄")))</x:f>
        <x:v>平</x:v>
      </x:c>
      <x:c r="L6176" s="7" t="str">
        <x:v>Pingshui main list, Lu Qinli gap fill</x:v>
      </x:c>
    </x:row>
    <x:row r="6177">
      <x:c r="A6177" s="5" t="str">
        <x:v>跜</x:v>
      </x:c>
      <x:c r="B6177" s="6" t="str">
        <x:v>平</x:v>
      </x:c>
      <x:c r="C6177" s="6" t="str">
        <x:f>IF(B6177="","Needs decision","Ready")</x:f>
        <x:v>Ready</x:v>
      </x:c>
      <x:c r="D6177" s="6" t="str">
        <x:v>平</x:v>
      </x:c>
      <x:c r="E6177" s="6" t="str"/>
      <x:c r="F6177" s="6" t="str">
        <x:v>上平聲四支</x:v>
      </x:c>
      <x:c r="G6177" s="6" t="str">
        <x:v>Pingshui main list, Wikisource-derived DOCX</x:v>
      </x:c>
      <x:c r="H6177" s="6" t="str"/>
      <x:c r="I6177" s="6" t="str">
        <x:v>Lu Qinli gap fill from Pingshui main list; 詞 entries ignored</x:v>
      </x:c>
      <x:c r="J6177" s="6" t="str">
        <x:f>IF(B6177="","",IF(AND(ISNUMBER(SEARCH("平",B6177)),OR(ISNUMBER(SEARCH("上",B6177)),ISNUMBER(SEARCH("去",B6177)),ISNUMBER(SEARCH("入",B6177)))),"Ambiguous",IF(ISNUMBER(SEARCH("平",B6177)),"平","仄")))</x:f>
        <x:v>平</x:v>
      </x:c>
      <x:c r="K6177" s="6" t="str">
        <x:f>IF(D6177="","",IF(AND(ISNUMBER(SEARCH("平",D6177)),OR(ISNUMBER(SEARCH("上",D6177)),ISNUMBER(SEARCH("去",D6177)),ISNUMBER(SEARCH("入",D6177)))),"Ambiguous",IF(ISNUMBER(SEARCH("平",D6177)),"平","仄")))</x:f>
        <x:v>平</x:v>
      </x:c>
      <x:c r="L6177" s="7" t="str">
        <x:v>Pingshui main list, Lu Qinli gap fill</x:v>
      </x:c>
    </x:row>
    <x:row r="6178">
      <x:c r="A6178" s="5" t="str">
        <x:v>跣</x:v>
      </x:c>
      <x:c r="B6178" s="6" t="str">
        <x:v>上</x:v>
      </x:c>
      <x:c r="C6178" s="6" t="str">
        <x:f>IF(B6178="","Needs decision","Ready")</x:f>
        <x:v>Ready</x:v>
      </x:c>
      <x:c r="D6178" s="6" t="str">
        <x:v>上</x:v>
      </x:c>
      <x:c r="E6178" s="6" t="str"/>
      <x:c r="F6178" s="6" t="str">
        <x:v>上聲十六銑</x:v>
      </x:c>
      <x:c r="G6178" s="6" t="str">
        <x:v>Pingshui main list, Wikisource-derived DOCX</x:v>
      </x:c>
      <x:c r="H6178" s="6" t="str"/>
      <x:c r="I6178" s="6" t="str">
        <x:v>Lu Qinli gap fill from Pingshui main list; 詞 entries ignored</x:v>
      </x:c>
      <x:c r="J6178" s="6" t="str">
        <x:f>IF(B6178="","",IF(AND(ISNUMBER(SEARCH("平",B6178)),OR(ISNUMBER(SEARCH("上",B6178)),ISNUMBER(SEARCH("去",B6178)),ISNUMBER(SEARCH("入",B6178)))),"Ambiguous",IF(ISNUMBER(SEARCH("平",B6178)),"平","仄")))</x:f>
        <x:v>仄</x:v>
      </x:c>
      <x:c r="K6178" s="6" t="str">
        <x:f>IF(D6178="","",IF(AND(ISNUMBER(SEARCH("平",D6178)),OR(ISNUMBER(SEARCH("上",D6178)),ISNUMBER(SEARCH("去",D6178)),ISNUMBER(SEARCH("入",D6178)))),"Ambiguous",IF(ISNUMBER(SEARCH("平",D6178)),"平","仄")))</x:f>
        <x:v>仄</x:v>
      </x:c>
      <x:c r="L6178" s="7" t="str">
        <x:v>Pingshui main list, Lu Qinli gap fill</x:v>
      </x:c>
    </x:row>
    <x:row r="6179">
      <x:c r="A6179" s="5" t="str">
        <x:v>跦</x:v>
      </x:c>
      <x:c r="B6179" s="6" t="str">
        <x:v>平</x:v>
      </x:c>
      <x:c r="C6179" s="6" t="str">
        <x:f>IF(B6179="","Needs decision","Ready")</x:f>
        <x:v>Ready</x:v>
      </x:c>
      <x:c r="D6179" s="6" t="str">
        <x:v>平</x:v>
      </x:c>
      <x:c r="E6179" s="6" t="str"/>
      <x:c r="F6179" s="6" t="str">
        <x:v>上平聲七虞</x:v>
      </x:c>
      <x:c r="G6179" s="6" t="str">
        <x:v>Pingshui main list, Wikisource-derived DOCX</x:v>
      </x:c>
      <x:c r="H6179" s="6" t="str"/>
      <x:c r="I6179" s="6" t="str">
        <x:v>Lu Qinli gap fill from Pingshui main list; 詞 entries ignored</x:v>
      </x:c>
      <x:c r="J6179" s="6" t="str">
        <x:f>IF(B6179="","",IF(AND(ISNUMBER(SEARCH("平",B6179)),OR(ISNUMBER(SEARCH("上",B6179)),ISNUMBER(SEARCH("去",B6179)),ISNUMBER(SEARCH("入",B6179)))),"Ambiguous",IF(ISNUMBER(SEARCH("平",B6179)),"平","仄")))</x:f>
        <x:v>平</x:v>
      </x:c>
      <x:c r="K6179" s="6" t="str">
        <x:f>IF(D6179="","",IF(AND(ISNUMBER(SEARCH("平",D6179)),OR(ISNUMBER(SEARCH("上",D6179)),ISNUMBER(SEARCH("去",D6179)),ISNUMBER(SEARCH("入",D6179)))),"Ambiguous",IF(ISNUMBER(SEARCH("平",D6179)),"平","仄")))</x:f>
        <x:v>平</x:v>
      </x:c>
      <x:c r="L6179" s="7" t="str">
        <x:v>Pingshui main list, Lu Qinli gap fill</x:v>
      </x:c>
    </x:row>
    <x:row r="6180">
      <x:c r="A6180" s="5" t="str">
        <x:v>跬</x:v>
      </x:c>
      <x:c r="B6180" s="6" t="str">
        <x:v>上</x:v>
      </x:c>
      <x:c r="C6180" s="6" t="str">
        <x:f>IF(B6180="","Needs decision","Ready")</x:f>
        <x:v>Ready</x:v>
      </x:c>
      <x:c r="D6180" s="6" t="str">
        <x:v>上</x:v>
      </x:c>
      <x:c r="E6180" s="6" t="str"/>
      <x:c r="F6180" s="6" t="str">
        <x:v>上聲四紙</x:v>
      </x:c>
      <x:c r="G6180" s="6" t="str">
        <x:v>Pingshui main list, Wikisource-derived DOCX</x:v>
      </x:c>
      <x:c r="H6180" s="6" t="str"/>
      <x:c r="I6180" s="6" t="str">
        <x:v>Lu Qinli gap fill from Pingshui main list; 詞 entries ignored</x:v>
      </x:c>
      <x:c r="J6180" s="6" t="str">
        <x:f>IF(B6180="","",IF(AND(ISNUMBER(SEARCH("平",B6180)),OR(ISNUMBER(SEARCH("上",B6180)),ISNUMBER(SEARCH("去",B6180)),ISNUMBER(SEARCH("入",B6180)))),"Ambiguous",IF(ISNUMBER(SEARCH("平",B6180)),"平","仄")))</x:f>
        <x:v>仄</x:v>
      </x:c>
      <x:c r="K6180" s="6" t="str">
        <x:f>IF(D6180="","",IF(AND(ISNUMBER(SEARCH("平",D6180)),OR(ISNUMBER(SEARCH("上",D6180)),ISNUMBER(SEARCH("去",D6180)),ISNUMBER(SEARCH("入",D6180)))),"Ambiguous",IF(ISNUMBER(SEARCH("平",D6180)),"平","仄")))</x:f>
        <x:v>仄</x:v>
      </x:c>
      <x:c r="L6180" s="7" t="str">
        <x:v>Pingshui main list, Lu Qinli gap fill</x:v>
      </x:c>
    </x:row>
    <x:row r="6181">
      <x:c r="A6181" s="5" t="str">
        <x:v>踉</x:v>
      </x:c>
      <x:c r="B6181" s="6" t="str">
        <x:v>平</x:v>
      </x:c>
      <x:c r="C6181" s="6" t="str">
        <x:f>IF(B6181="","Needs decision","Ready")</x:f>
        <x:v>Ready</x:v>
      </x:c>
      <x:c r="D6181" s="6" t="str">
        <x:v>平</x:v>
      </x:c>
      <x:c r="E6181" s="6" t="str"/>
      <x:c r="F6181" s="6" t="str">
        <x:v>下平聲七陽</x:v>
      </x:c>
      <x:c r="G6181" s="6" t="str">
        <x:v>Pingshui main list, Wikisource-derived DOCX</x:v>
      </x:c>
      <x:c r="H6181" s="6" t="str"/>
      <x:c r="I6181" s="6" t="str">
        <x:v>Lu Qinli gap fill from Pingshui main list; 詞 entries ignored</x:v>
      </x:c>
      <x:c r="J6181" s="6" t="str">
        <x:f>IF(B6181="","",IF(AND(ISNUMBER(SEARCH("平",B6181)),OR(ISNUMBER(SEARCH("上",B6181)),ISNUMBER(SEARCH("去",B6181)),ISNUMBER(SEARCH("入",B6181)))),"Ambiguous",IF(ISNUMBER(SEARCH("平",B6181)),"平","仄")))</x:f>
        <x:v>平</x:v>
      </x:c>
      <x:c r="K6181" s="6" t="str">
        <x:f>IF(D6181="","",IF(AND(ISNUMBER(SEARCH("平",D6181)),OR(ISNUMBER(SEARCH("上",D6181)),ISNUMBER(SEARCH("去",D6181)),ISNUMBER(SEARCH("入",D6181)))),"Ambiguous",IF(ISNUMBER(SEARCH("平",D6181)),"平","仄")))</x:f>
        <x:v>平</x:v>
      </x:c>
      <x:c r="L6181" s="7" t="str">
        <x:v>Pingshui main list, Lu Qinli gap fill</x:v>
      </x:c>
    </x:row>
    <x:row r="6182">
      <x:c r="A6182" s="5" t="str">
        <x:v>踒</x:v>
      </x:c>
      <x:c r="B6182" s="6" t="str">
        <x:v>平</x:v>
      </x:c>
      <x:c r="C6182" s="6" t="str">
        <x:f>IF(B6182="","Needs decision","Ready")</x:f>
        <x:v>Ready</x:v>
      </x:c>
      <x:c r="D6182" s="6" t="str">
        <x:v>平</x:v>
      </x:c>
      <x:c r="E6182" s="6" t="str"/>
      <x:c r="F6182" s="6" t="str">
        <x:v>下平聲五歌</x:v>
      </x:c>
      <x:c r="G6182" s="6" t="str">
        <x:v>Pingshui main list, Wikisource-derived DOCX</x:v>
      </x:c>
      <x:c r="H6182" s="6" t="str"/>
      <x:c r="I6182" s="6" t="str">
        <x:v>Lu Qinli gap fill from Pingshui main list; 詞 entries ignored</x:v>
      </x:c>
      <x:c r="J6182" s="6" t="str">
        <x:f>IF(B6182="","",IF(AND(ISNUMBER(SEARCH("平",B6182)),OR(ISNUMBER(SEARCH("上",B6182)),ISNUMBER(SEARCH("去",B6182)),ISNUMBER(SEARCH("入",B6182)))),"Ambiguous",IF(ISNUMBER(SEARCH("平",B6182)),"平","仄")))</x:f>
        <x:v>平</x:v>
      </x:c>
      <x:c r="K6182" s="6" t="str">
        <x:f>IF(D6182="","",IF(AND(ISNUMBER(SEARCH("平",D6182)),OR(ISNUMBER(SEARCH("上",D6182)),ISNUMBER(SEARCH("去",D6182)),ISNUMBER(SEARCH("入",D6182)))),"Ambiguous",IF(ISNUMBER(SEARCH("平",D6182)),"平","仄")))</x:f>
        <x:v>平</x:v>
      </x:c>
      <x:c r="L6182" s="7" t="str">
        <x:v>Pingshui main list, Lu Qinli gap fill</x:v>
      </x:c>
    </x:row>
    <x:row r="6183">
      <x:c r="A6183" s="5" t="str">
        <x:v>踔</x:v>
      </x:c>
      <x:c r="B6183" s="6" t="str"/>
      <x:c r="C6183" s="6" t="str">
        <x:f>IF(B6183="","Needs decision","Ready")</x:f>
        <x:v>Needs decision</x:v>
      </x:c>
      <x:c r="D6183" s="6" t="str">
        <x:v>去/入</x:v>
      </x:c>
      <x:c r="E6183" s="6" t="str"/>
      <x:c r="F6183" s="6" t="str">
        <x:v>去聲十九效; 入聲三覺</x:v>
      </x:c>
      <x:c r="G6183" s="6" t="str">
        <x:v>Pingshui main list, Wikisource-derived DOCX</x:v>
      </x:c>
      <x:c r="H6183" s="6" t="str"/>
      <x:c r="I6183" s="6" t="str">
        <x:v>Lu Qinli gap fill from Pingshui main list; 詞 entries ignored</x:v>
      </x:c>
      <x:c r="J6183" s="6" t="str">
        <x:f>IF(B6183="","",IF(AND(ISNUMBER(SEARCH("平",B6183)),OR(ISNUMBER(SEARCH("上",B6183)),ISNUMBER(SEARCH("去",B6183)),ISNUMBER(SEARCH("入",B6183)))),"Ambiguous",IF(ISNUMBER(SEARCH("平",B6183)),"平","仄")))</x:f>
      </x:c>
      <x:c r="K6183" s="6" t="str">
        <x:f>IF(D6183="","",IF(AND(ISNUMBER(SEARCH("平",D6183)),OR(ISNUMBER(SEARCH("上",D6183)),ISNUMBER(SEARCH("去",D6183)),ISNUMBER(SEARCH("入",D6183)))),"Ambiguous",IF(ISNUMBER(SEARCH("平",D6183)),"平","仄")))</x:f>
        <x:v>仄</x:v>
      </x:c>
      <x:c r="L6183" s="7" t="str">
        <x:v>Pingshui main list, Lu Qinli gap fill</x:v>
      </x:c>
    </x:row>
    <x:row r="6184">
      <x:c r="A6184" s="5" t="str">
        <x:v>踘</x:v>
      </x:c>
      <x:c r="B6184" s="6" t="str">
        <x:v>入</x:v>
      </x:c>
      <x:c r="C6184" s="6" t="str">
        <x:f>IF(B6184="","Needs decision","Ready")</x:f>
        <x:v>Ready</x:v>
      </x:c>
      <x:c r="D6184" s="6" t="str">
        <x:v>入</x:v>
      </x:c>
      <x:c r="E6184" s="6" t="str"/>
      <x:c r="F6184" s="6" t="str">
        <x:v>入聲一屋</x:v>
      </x:c>
      <x:c r="G6184" s="6" t="str">
        <x:v>Pingshui main list, Wikisource-derived DOCX</x:v>
      </x:c>
      <x:c r="H6184" s="6" t="str"/>
      <x:c r="I6184" s="6" t="str">
        <x:v>Lu Qinli gap fill from Pingshui main list; 詞 entries ignored</x:v>
      </x:c>
      <x:c r="J6184" s="6" t="str">
        <x:f>IF(B6184="","",IF(AND(ISNUMBER(SEARCH("平",B6184)),OR(ISNUMBER(SEARCH("上",B6184)),ISNUMBER(SEARCH("去",B6184)),ISNUMBER(SEARCH("入",B6184)))),"Ambiguous",IF(ISNUMBER(SEARCH("平",B6184)),"平","仄")))</x:f>
        <x:v>仄</x:v>
      </x:c>
      <x:c r="K6184" s="6" t="str">
        <x:f>IF(D6184="","",IF(AND(ISNUMBER(SEARCH("平",D6184)),OR(ISNUMBER(SEARCH("上",D6184)),ISNUMBER(SEARCH("去",D6184)),ISNUMBER(SEARCH("入",D6184)))),"Ambiguous",IF(ISNUMBER(SEARCH("平",D6184)),"平","仄")))</x:f>
        <x:v>仄</x:v>
      </x:c>
      <x:c r="L6184" s="7" t="str">
        <x:v>Pingshui main list, Lu Qinli gap fill</x:v>
      </x:c>
    </x:row>
    <x:row r="6185">
      <x:c r="A6185" s="5" t="str">
        <x:v>踞</x:v>
      </x:c>
      <x:c r="B6185" s="6" t="str">
        <x:v>去</x:v>
      </x:c>
      <x:c r="C6185" s="6" t="str">
        <x:f>IF(B6185="","Needs decision","Ready")</x:f>
        <x:v>Ready</x:v>
      </x:c>
      <x:c r="D6185" s="6" t="str">
        <x:v>去</x:v>
      </x:c>
      <x:c r="E6185" s="6" t="str"/>
      <x:c r="F6185" s="6" t="str">
        <x:v>去聲六御</x:v>
      </x:c>
      <x:c r="G6185" s="6" t="str">
        <x:v>Pingshui main list, Wikisource-derived DOCX</x:v>
      </x:c>
      <x:c r="H6185" s="6" t="str"/>
      <x:c r="I6185" s="6" t="str">
        <x:v>Lu Qinli gap fill from Pingshui main list; 詞 entries ignored</x:v>
      </x:c>
      <x:c r="J6185" s="6" t="str">
        <x:f>IF(B6185="","",IF(AND(ISNUMBER(SEARCH("平",B6185)),OR(ISNUMBER(SEARCH("上",B6185)),ISNUMBER(SEARCH("去",B6185)),ISNUMBER(SEARCH("入",B6185)))),"Ambiguous",IF(ISNUMBER(SEARCH("平",B6185)),"平","仄")))</x:f>
        <x:v>仄</x:v>
      </x:c>
      <x:c r="K6185" s="6" t="str">
        <x:f>IF(D6185="","",IF(AND(ISNUMBER(SEARCH("平",D6185)),OR(ISNUMBER(SEARCH("上",D6185)),ISNUMBER(SEARCH("去",D6185)),ISNUMBER(SEARCH("入",D6185)))),"Ambiguous",IF(ISNUMBER(SEARCH("平",D6185)),"平","仄")))</x:f>
        <x:v>仄</x:v>
      </x:c>
      <x:c r="L6185" s="7" t="str">
        <x:v>Pingshui main list, Lu Qinli gap fill</x:v>
      </x:c>
    </x:row>
    <x:row r="6186">
      <x:c r="A6186" s="5" t="str">
        <x:v>踠</x:v>
      </x:c>
      <x:c r="B6186" s="6" t="str">
        <x:v>上</x:v>
      </x:c>
      <x:c r="C6186" s="6" t="str">
        <x:f>IF(B6186="","Needs decision","Ready")</x:f>
        <x:v>Ready</x:v>
      </x:c>
      <x:c r="D6186" s="6" t="str">
        <x:v>上</x:v>
      </x:c>
      <x:c r="E6186" s="6" t="str"/>
      <x:c r="F6186" s="6" t="str">
        <x:v>上聲十三阮</x:v>
      </x:c>
      <x:c r="G6186" s="6" t="str">
        <x:v>Pingshui main list, Wikisource-derived DOCX</x:v>
      </x:c>
      <x:c r="H6186" s="6" t="str"/>
      <x:c r="I6186" s="6" t="str">
        <x:v>Lu Qinli gap fill from Pingshui main list; 詞 entries ignored</x:v>
      </x:c>
      <x:c r="J6186" s="6" t="str">
        <x:f>IF(B6186="","",IF(AND(ISNUMBER(SEARCH("平",B6186)),OR(ISNUMBER(SEARCH("上",B6186)),ISNUMBER(SEARCH("去",B6186)),ISNUMBER(SEARCH("入",B6186)))),"Ambiguous",IF(ISNUMBER(SEARCH("平",B6186)),"平","仄")))</x:f>
        <x:v>仄</x:v>
      </x:c>
      <x:c r="K6186" s="6" t="str">
        <x:f>IF(D6186="","",IF(AND(ISNUMBER(SEARCH("平",D6186)),OR(ISNUMBER(SEARCH("上",D6186)),ISNUMBER(SEARCH("去",D6186)),ISNUMBER(SEARCH("入",D6186)))),"Ambiguous",IF(ISNUMBER(SEARCH("平",D6186)),"平","仄")))</x:f>
        <x:v>仄</x:v>
      </x:c>
      <x:c r="L6186" s="7" t="str">
        <x:v>Pingshui main list, Lu Qinli gap fill</x:v>
      </x:c>
    </x:row>
    <x:row r="6187">
      <x:c r="A6187" s="5" t="str">
        <x:v>踢</x:v>
      </x:c>
      <x:c r="B6187" s="6" t="str">
        <x:v>入</x:v>
      </x:c>
      <x:c r="C6187" s="6" t="str">
        <x:f>IF(B6187="","Needs decision","Ready")</x:f>
        <x:v>Ready</x:v>
      </x:c>
      <x:c r="D6187" s="6" t="str">
        <x:v>入</x:v>
      </x:c>
      <x:c r="E6187" s="6" t="str"/>
      <x:c r="F6187" s="6" t="str">
        <x:v>入聲十二錫</x:v>
      </x:c>
      <x:c r="G6187" s="6" t="str">
        <x:v>Pingshui main list, Wikisource-derived DOCX</x:v>
      </x:c>
      <x:c r="H6187" s="6" t="str"/>
      <x:c r="I6187" s="6" t="str">
        <x:v>Lu Qinli gap fill from Pingshui main list; 詞 entries ignored</x:v>
      </x:c>
      <x:c r="J6187" s="6" t="str">
        <x:f>IF(B6187="","",IF(AND(ISNUMBER(SEARCH("平",B6187)),OR(ISNUMBER(SEARCH("上",B6187)),ISNUMBER(SEARCH("去",B6187)),ISNUMBER(SEARCH("入",B6187)))),"Ambiguous",IF(ISNUMBER(SEARCH("平",B6187)),"平","仄")))</x:f>
        <x:v>仄</x:v>
      </x:c>
      <x:c r="K6187" s="6" t="str">
        <x:f>IF(D6187="","",IF(AND(ISNUMBER(SEARCH("平",D6187)),OR(ISNUMBER(SEARCH("上",D6187)),ISNUMBER(SEARCH("去",D6187)),ISNUMBER(SEARCH("入",D6187)))),"Ambiguous",IF(ISNUMBER(SEARCH("平",D6187)),"平","仄")))</x:f>
        <x:v>仄</x:v>
      </x:c>
      <x:c r="L6187" s="7" t="str">
        <x:v>Pingshui main list, Lu Qinli gap fill</x:v>
      </x:c>
    </x:row>
    <x:row r="6188">
      <x:c r="A6188" s="5" t="str">
        <x:v>踣</x:v>
      </x:c>
      <x:c r="B6188" s="6" t="str">
        <x:v>入</x:v>
      </x:c>
      <x:c r="C6188" s="6" t="str">
        <x:f>IF(B6188="","Needs decision","Ready")</x:f>
        <x:v>Ready</x:v>
      </x:c>
      <x:c r="D6188" s="6" t="str">
        <x:v>入</x:v>
      </x:c>
      <x:c r="E6188" s="6" t="str"/>
      <x:c r="F6188" s="6" t="str">
        <x:v>入聲十三職</x:v>
      </x:c>
      <x:c r="G6188" s="6" t="str">
        <x:v>Pingshui main list, Wikisource-derived DOCX</x:v>
      </x:c>
      <x:c r="H6188" s="6" t="str"/>
      <x:c r="I6188" s="6" t="str">
        <x:v>Lu Qinli gap fill from Pingshui main list; 詞 entries ignored</x:v>
      </x:c>
      <x:c r="J6188" s="6" t="str">
        <x:f>IF(B6188="","",IF(AND(ISNUMBER(SEARCH("平",B6188)),OR(ISNUMBER(SEARCH("上",B6188)),ISNUMBER(SEARCH("去",B6188)),ISNUMBER(SEARCH("入",B6188)))),"Ambiguous",IF(ISNUMBER(SEARCH("平",B6188)),"平","仄")))</x:f>
        <x:v>仄</x:v>
      </x:c>
      <x:c r="K6188" s="6" t="str">
        <x:f>IF(D6188="","",IF(AND(ISNUMBER(SEARCH("平",D6188)),OR(ISNUMBER(SEARCH("上",D6188)),ISNUMBER(SEARCH("去",D6188)),ISNUMBER(SEARCH("入",D6188)))),"Ambiguous",IF(ISNUMBER(SEARCH("平",D6188)),"平","仄")))</x:f>
        <x:v>仄</x:v>
      </x:c>
      <x:c r="L6188" s="7" t="str">
        <x:v>Pingshui main list, Lu Qinli gap fill</x:v>
      </x:c>
    </x:row>
    <x:row r="6189">
      <x:c r="A6189" s="5" t="str">
        <x:v>踱</x:v>
      </x:c>
      <x:c r="B6189" s="6" t="str">
        <x:v>入</x:v>
      </x:c>
      <x:c r="C6189" s="6" t="str">
        <x:f>IF(B6189="","Needs decision","Ready")</x:f>
        <x:v>Ready</x:v>
      </x:c>
      <x:c r="D6189" s="6" t="str">
        <x:v>入</x:v>
      </x:c>
      <x:c r="E6189" s="6" t="str"/>
      <x:c r="F6189" s="6" t="str">
        <x:v>入聲十藥</x:v>
      </x:c>
      <x:c r="G6189" s="6" t="str">
        <x:v>Pingshui main list, Wikisource-derived DOCX</x:v>
      </x:c>
      <x:c r="H6189" s="6" t="str"/>
      <x:c r="I6189" s="6" t="str">
        <x:v>Lu Qinli gap fill from Pingshui main list; 詞 entries ignored</x:v>
      </x:c>
      <x:c r="J6189" s="6" t="str">
        <x:f>IF(B6189="","",IF(AND(ISNUMBER(SEARCH("平",B6189)),OR(ISNUMBER(SEARCH("上",B6189)),ISNUMBER(SEARCH("去",B6189)),ISNUMBER(SEARCH("入",B6189)))),"Ambiguous",IF(ISNUMBER(SEARCH("平",B6189)),"平","仄")))</x:f>
        <x:v>仄</x:v>
      </x:c>
      <x:c r="K6189" s="6" t="str">
        <x:f>IF(D6189="","",IF(AND(ISNUMBER(SEARCH("平",D6189)),OR(ISNUMBER(SEARCH("上",D6189)),ISNUMBER(SEARCH("去",D6189)),ISNUMBER(SEARCH("入",D6189)))),"Ambiguous",IF(ISNUMBER(SEARCH("平",D6189)),"平","仄")))</x:f>
        <x:v>仄</x:v>
      </x:c>
      <x:c r="L6189" s="7" t="str">
        <x:v>Pingshui main list, Lu Qinli gap fill</x:v>
      </x:c>
    </x:row>
    <x:row r="6190">
      <x:c r="A6190" s="5" t="str">
        <x:v>踳</x:v>
      </x:c>
      <x:c r="B6190" s="6" t="str">
        <x:v>上</x:v>
      </x:c>
      <x:c r="C6190" s="6" t="str">
        <x:f>IF(B6190="","Needs decision","Ready")</x:f>
        <x:v>Ready</x:v>
      </x:c>
      <x:c r="D6190" s="6" t="str">
        <x:v>上</x:v>
      </x:c>
      <x:c r="E6190" s="6" t="str"/>
      <x:c r="F6190" s="6" t="str">
        <x:v>上聲十一軫</x:v>
      </x:c>
      <x:c r="G6190" s="6" t="str">
        <x:v>Pingshui main list, Wikisource-derived DOCX</x:v>
      </x:c>
      <x:c r="H6190" s="6" t="str"/>
      <x:c r="I6190" s="6" t="str">
        <x:v>Lu Qinli gap fill from Pingshui main list; 詞 entries ignored</x:v>
      </x:c>
      <x:c r="J6190" s="6" t="str">
        <x:f>IF(B6190="","",IF(AND(ISNUMBER(SEARCH("平",B6190)),OR(ISNUMBER(SEARCH("上",B6190)),ISNUMBER(SEARCH("去",B6190)),ISNUMBER(SEARCH("入",B6190)))),"Ambiguous",IF(ISNUMBER(SEARCH("平",B6190)),"平","仄")))</x:f>
        <x:v>仄</x:v>
      </x:c>
      <x:c r="K6190" s="6" t="str">
        <x:f>IF(D6190="","",IF(AND(ISNUMBER(SEARCH("平",D6190)),OR(ISNUMBER(SEARCH("上",D6190)),ISNUMBER(SEARCH("去",D6190)),ISNUMBER(SEARCH("入",D6190)))),"Ambiguous",IF(ISNUMBER(SEARCH("平",D6190)),"平","仄")))</x:f>
        <x:v>仄</x:v>
      </x:c>
      <x:c r="L6190" s="7" t="str">
        <x:v>Pingshui main list, Lu Qinli gap fill</x:v>
      </x:c>
    </x:row>
    <x:row r="6191">
      <x:c r="A6191" s="5" t="str">
        <x:v>踶</x:v>
      </x:c>
      <x:c r="B6191" s="6" t="str">
        <x:v>去</x:v>
      </x:c>
      <x:c r="C6191" s="6" t="str">
        <x:f>IF(B6191="","Needs decision","Ready")</x:f>
        <x:v>Ready</x:v>
      </x:c>
      <x:c r="D6191" s="6" t="str">
        <x:v>去</x:v>
      </x:c>
      <x:c r="E6191" s="6" t="str"/>
      <x:c r="F6191" s="6" t="str">
        <x:v>去聲八霽</x:v>
      </x:c>
      <x:c r="G6191" s="6" t="str">
        <x:v>Pingshui main list, Wikisource-derived DOCX</x:v>
      </x:c>
      <x:c r="H6191" s="6" t="str"/>
      <x:c r="I6191" s="6" t="str">
        <x:v>Lu Qinli gap fill from Pingshui main list; 詞 entries ignored</x:v>
      </x:c>
      <x:c r="J6191" s="6" t="str">
        <x:f>IF(B6191="","",IF(AND(ISNUMBER(SEARCH("平",B6191)),OR(ISNUMBER(SEARCH("上",B6191)),ISNUMBER(SEARCH("去",B6191)),ISNUMBER(SEARCH("入",B6191)))),"Ambiguous",IF(ISNUMBER(SEARCH("平",B6191)),"平","仄")))</x:f>
        <x:v>仄</x:v>
      </x:c>
      <x:c r="K6191" s="6" t="str">
        <x:f>IF(D6191="","",IF(AND(ISNUMBER(SEARCH("平",D6191)),OR(ISNUMBER(SEARCH("上",D6191)),ISNUMBER(SEARCH("去",D6191)),ISNUMBER(SEARCH("入",D6191)))),"Ambiguous",IF(ISNUMBER(SEARCH("平",D6191)),"平","仄")))</x:f>
        <x:v>仄</x:v>
      </x:c>
      <x:c r="L6191" s="7" t="str">
        <x:v>Pingshui main list, Lu Qinli gap fill</x:v>
      </x:c>
    </x:row>
    <x:row r="6192">
      <x:c r="A6192" s="5" t="str">
        <x:v>踸</x:v>
      </x:c>
      <x:c r="B6192" s="6" t="str">
        <x:v>上</x:v>
      </x:c>
      <x:c r="C6192" s="6" t="str">
        <x:f>IF(B6192="","Needs decision","Ready")</x:f>
        <x:v>Ready</x:v>
      </x:c>
      <x:c r="D6192" s="6" t="str">
        <x:v>上</x:v>
      </x:c>
      <x:c r="E6192" s="6" t="str"/>
      <x:c r="F6192" s="6" t="str">
        <x:v>上聲二十六寢</x:v>
      </x:c>
      <x:c r="G6192" s="6" t="str">
        <x:v>Pingshui main list, Wikisource-derived DOCX</x:v>
      </x:c>
      <x:c r="H6192" s="6" t="str"/>
      <x:c r="I6192" s="6" t="str">
        <x:v>Lu Qinli gap fill from Pingshui main list; 詞 entries ignored</x:v>
      </x:c>
      <x:c r="J6192" s="6" t="str">
        <x:f>IF(B6192="","",IF(AND(ISNUMBER(SEARCH("平",B6192)),OR(ISNUMBER(SEARCH("上",B6192)),ISNUMBER(SEARCH("去",B6192)),ISNUMBER(SEARCH("入",B6192)))),"Ambiguous",IF(ISNUMBER(SEARCH("平",B6192)),"平","仄")))</x:f>
        <x:v>仄</x:v>
      </x:c>
      <x:c r="K6192" s="6" t="str">
        <x:f>IF(D6192="","",IF(AND(ISNUMBER(SEARCH("平",D6192)),OR(ISNUMBER(SEARCH("上",D6192)),ISNUMBER(SEARCH("去",D6192)),ISNUMBER(SEARCH("入",D6192)))),"Ambiguous",IF(ISNUMBER(SEARCH("平",D6192)),"平","仄")))</x:f>
        <x:v>仄</x:v>
      </x:c>
      <x:c r="L6192" s="7" t="str">
        <x:v>Pingshui main list, Lu Qinli gap fill</x:v>
      </x:c>
    </x:row>
    <x:row r="6193">
      <x:c r="A6193" s="5" t="str">
        <x:v>踽</x:v>
      </x:c>
      <x:c r="B6193" s="6" t="str">
        <x:v>上</x:v>
      </x:c>
      <x:c r="C6193" s="6" t="str">
        <x:f>IF(B6193="","Needs decision","Ready")</x:f>
        <x:v>Ready</x:v>
      </x:c>
      <x:c r="D6193" s="6" t="str">
        <x:v>上</x:v>
      </x:c>
      <x:c r="E6193" s="6" t="str"/>
      <x:c r="F6193" s="6" t="str">
        <x:v>上聲七麌</x:v>
      </x:c>
      <x:c r="G6193" s="6" t="str">
        <x:v>Pingshui main list, Wikisource-derived DOCX</x:v>
      </x:c>
      <x:c r="H6193" s="6" t="str"/>
      <x:c r="I6193" s="6" t="str">
        <x:v>Lu Qinli gap fill from Pingshui main list; 詞 entries ignored</x:v>
      </x:c>
      <x:c r="J6193" s="6" t="str">
        <x:f>IF(B6193="","",IF(AND(ISNUMBER(SEARCH("平",B6193)),OR(ISNUMBER(SEARCH("上",B6193)),ISNUMBER(SEARCH("去",B6193)),ISNUMBER(SEARCH("入",B6193)))),"Ambiguous",IF(ISNUMBER(SEARCH("平",B6193)),"平","仄")))</x:f>
        <x:v>仄</x:v>
      </x:c>
      <x:c r="K6193" s="6" t="str">
        <x:f>IF(D6193="","",IF(AND(ISNUMBER(SEARCH("平",D6193)),OR(ISNUMBER(SEARCH("上",D6193)),ISNUMBER(SEARCH("去",D6193)),ISNUMBER(SEARCH("入",D6193)))),"Ambiguous",IF(ISNUMBER(SEARCH("平",D6193)),"平","仄")))</x:f>
        <x:v>仄</x:v>
      </x:c>
      <x:c r="L6193" s="7" t="str">
        <x:v>Pingshui main list, Lu Qinli gap fill</x:v>
      </x:c>
    </x:row>
    <x:row r="6194">
      <x:c r="A6194" s="5" t="str">
        <x:v>蹀</x:v>
      </x:c>
      <x:c r="B6194" s="6" t="str">
        <x:v>入</x:v>
      </x:c>
      <x:c r="C6194" s="6" t="str">
        <x:f>IF(B6194="","Needs decision","Ready")</x:f>
        <x:v>Ready</x:v>
      </x:c>
      <x:c r="D6194" s="6" t="str">
        <x:v>入</x:v>
      </x:c>
      <x:c r="E6194" s="6" t="str"/>
      <x:c r="F6194" s="6" t="str">
        <x:v>入聲十六葉</x:v>
      </x:c>
      <x:c r="G6194" s="6" t="str">
        <x:v>Pingshui main list, Wikisource-derived DOCX</x:v>
      </x:c>
      <x:c r="H6194" s="6" t="str"/>
      <x:c r="I6194" s="6" t="str">
        <x:v>Lu Qinli gap fill from Pingshui main list; 詞 entries ignored</x:v>
      </x:c>
      <x:c r="J6194" s="6" t="str">
        <x:f>IF(B6194="","",IF(AND(ISNUMBER(SEARCH("平",B6194)),OR(ISNUMBER(SEARCH("上",B6194)),ISNUMBER(SEARCH("去",B6194)),ISNUMBER(SEARCH("入",B6194)))),"Ambiguous",IF(ISNUMBER(SEARCH("平",B6194)),"平","仄")))</x:f>
        <x:v>仄</x:v>
      </x:c>
      <x:c r="K6194" s="6" t="str">
        <x:f>IF(D6194="","",IF(AND(ISNUMBER(SEARCH("平",D6194)),OR(ISNUMBER(SEARCH("上",D6194)),ISNUMBER(SEARCH("去",D6194)),ISNUMBER(SEARCH("入",D6194)))),"Ambiguous",IF(ISNUMBER(SEARCH("平",D6194)),"平","仄")))</x:f>
        <x:v>仄</x:v>
      </x:c>
      <x:c r="L6194" s="7" t="str">
        <x:v>Pingshui main list, Lu Qinli gap fill</x:v>
      </x:c>
    </x:row>
    <x:row r="6195">
      <x:c r="A6195" s="5" t="str">
        <x:v>蹇</x:v>
      </x:c>
      <x:c r="B6195" s="6" t="str"/>
      <x:c r="C6195" s="6" t="str">
        <x:f>IF(B6195="","Needs decision","Ready")</x:f>
        <x:v>Needs decision</x:v>
      </x:c>
      <x:c r="D6195" s="6" t="str">
        <x:v>平/上</x:v>
      </x:c>
      <x:c r="E6195" s="6" t="str"/>
      <x:c r="F6195" s="6" t="str">
        <x:v>上平聲十三元; 上聲十三阮; 上聲十六銑</x:v>
      </x:c>
      <x:c r="G6195" s="6" t="str">
        <x:v>Pingshui main list, Wikisource-derived DOCX</x:v>
      </x:c>
      <x:c r="H6195" s="6" t="str"/>
      <x:c r="I6195" s="6" t="str">
        <x:v>Lu Qinli gap fill from Pingshui main list; 詞 entries ignored</x:v>
      </x:c>
      <x:c r="J6195" s="6" t="str">
        <x:f>IF(B6195="","",IF(AND(ISNUMBER(SEARCH("平",B6195)),OR(ISNUMBER(SEARCH("上",B6195)),ISNUMBER(SEARCH("去",B6195)),ISNUMBER(SEARCH("入",B6195)))),"Ambiguous",IF(ISNUMBER(SEARCH("平",B6195)),"平","仄")))</x:f>
      </x:c>
      <x:c r="K6195" s="6" t="str">
        <x:f>IF(D6195="","",IF(AND(ISNUMBER(SEARCH("平",D6195)),OR(ISNUMBER(SEARCH("上",D6195)),ISNUMBER(SEARCH("去",D6195)),ISNUMBER(SEARCH("入",D6195)))),"Ambiguous",IF(ISNUMBER(SEARCH("平",D6195)),"平","仄")))</x:f>
        <x:v>Ambiguous</x:v>
      </x:c>
      <x:c r="L6195" s="7" t="str">
        <x:v>Pingshui main list, Lu Qinli gap fill</x:v>
      </x:c>
    </x:row>
    <x:row r="6196">
      <x:c r="A6196" s="5" t="str">
        <x:v>蹌</x:v>
      </x:c>
      <x:c r="B6196" s="6" t="str">
        <x:v>平</x:v>
      </x:c>
      <x:c r="C6196" s="6" t="str">
        <x:f>IF(B6196="","Needs decision","Ready")</x:f>
        <x:v>Ready</x:v>
      </x:c>
      <x:c r="D6196" s="6" t="str">
        <x:v>平</x:v>
      </x:c>
      <x:c r="E6196" s="6" t="str"/>
      <x:c r="F6196" s="6" t="str">
        <x:v>下平聲七陽</x:v>
      </x:c>
      <x:c r="G6196" s="6" t="str">
        <x:v>Pingshui main list, Wikisource-derived DOCX</x:v>
      </x:c>
      <x:c r="H6196" s="6" t="str"/>
      <x:c r="I6196" s="6" t="str">
        <x:v>Lu Qinli gap fill from Pingshui main list; 詞 entries ignored</x:v>
      </x:c>
      <x:c r="J6196" s="6" t="str">
        <x:f>IF(B6196="","",IF(AND(ISNUMBER(SEARCH("平",B6196)),OR(ISNUMBER(SEARCH("上",B6196)),ISNUMBER(SEARCH("去",B6196)),ISNUMBER(SEARCH("入",B6196)))),"Ambiguous",IF(ISNUMBER(SEARCH("平",B6196)),"平","仄")))</x:f>
        <x:v>平</x:v>
      </x:c>
      <x:c r="K6196" s="6" t="str">
        <x:f>IF(D6196="","",IF(AND(ISNUMBER(SEARCH("平",D6196)),OR(ISNUMBER(SEARCH("上",D6196)),ISNUMBER(SEARCH("去",D6196)),ISNUMBER(SEARCH("入",D6196)))),"Ambiguous",IF(ISNUMBER(SEARCH("平",D6196)),"平","仄")))</x:f>
        <x:v>平</x:v>
      </x:c>
      <x:c r="L6196" s="7" t="str">
        <x:v>Pingshui main list, Lu Qinli gap fill</x:v>
      </x:c>
    </x:row>
    <x:row r="6197">
      <x:c r="A6197" s="5" t="str">
        <x:v>蹐</x:v>
      </x:c>
      <x:c r="B6197" s="6" t="str">
        <x:v>入</x:v>
      </x:c>
      <x:c r="C6197" s="6" t="str">
        <x:f>IF(B6197="","Needs decision","Ready")</x:f>
        <x:v>Ready</x:v>
      </x:c>
      <x:c r="D6197" s="6" t="str">
        <x:v>入</x:v>
      </x:c>
      <x:c r="E6197" s="6" t="str"/>
      <x:c r="F6197" s="6" t="str">
        <x:v>入聲十一陌</x:v>
      </x:c>
      <x:c r="G6197" s="6" t="str">
        <x:v>Pingshui main list, Wikisource-derived DOCX</x:v>
      </x:c>
      <x:c r="H6197" s="6" t="str"/>
      <x:c r="I6197" s="6" t="str">
        <x:v>Lu Qinli gap fill from Pingshui main list; 詞 entries ignored</x:v>
      </x:c>
      <x:c r="J6197" s="6" t="str">
        <x:f>IF(B6197="","",IF(AND(ISNUMBER(SEARCH("平",B6197)),OR(ISNUMBER(SEARCH("上",B6197)),ISNUMBER(SEARCH("去",B6197)),ISNUMBER(SEARCH("入",B6197)))),"Ambiguous",IF(ISNUMBER(SEARCH("平",B6197)),"平","仄")))</x:f>
        <x:v>仄</x:v>
      </x:c>
      <x:c r="K6197" s="6" t="str">
        <x:f>IF(D6197="","",IF(AND(ISNUMBER(SEARCH("平",D6197)),OR(ISNUMBER(SEARCH("上",D6197)),ISNUMBER(SEARCH("去",D6197)),ISNUMBER(SEARCH("入",D6197)))),"Ambiguous",IF(ISNUMBER(SEARCH("平",D6197)),"平","仄")))</x:f>
        <x:v>仄</x:v>
      </x:c>
      <x:c r="L6197" s="7" t="str">
        <x:v>Pingshui main list, Lu Qinli gap fill</x:v>
      </x:c>
    </x:row>
    <x:row r="6198">
      <x:c r="A6198" s="5" t="str">
        <x:v>蹛</x:v>
      </x:c>
      <x:c r="B6198" s="6" t="str">
        <x:v>去</x:v>
      </x:c>
      <x:c r="C6198" s="6" t="str">
        <x:f>IF(B6198="","Needs decision","Ready")</x:f>
        <x:v>Ready</x:v>
      </x:c>
      <x:c r="D6198" s="6" t="str">
        <x:v>去</x:v>
      </x:c>
      <x:c r="E6198" s="6" t="str"/>
      <x:c r="F6198" s="6" t="str">
        <x:v>去聲八霽</x:v>
      </x:c>
      <x:c r="G6198" s="6" t="str">
        <x:v>Pingshui main list, Wikisource-derived DOCX</x:v>
      </x:c>
      <x:c r="H6198" s="6" t="str"/>
      <x:c r="I6198" s="6" t="str">
        <x:v>Lu Qinli gap fill from Pingshui main list; 詞 entries ignored</x:v>
      </x:c>
      <x:c r="J6198" s="6" t="str">
        <x:f>IF(B6198="","",IF(AND(ISNUMBER(SEARCH("平",B6198)),OR(ISNUMBER(SEARCH("上",B6198)),ISNUMBER(SEARCH("去",B6198)),ISNUMBER(SEARCH("入",B6198)))),"Ambiguous",IF(ISNUMBER(SEARCH("平",B6198)),"平","仄")))</x:f>
        <x:v>仄</x:v>
      </x:c>
      <x:c r="K6198" s="6" t="str">
        <x:f>IF(D6198="","",IF(AND(ISNUMBER(SEARCH("平",D6198)),OR(ISNUMBER(SEARCH("上",D6198)),ISNUMBER(SEARCH("去",D6198)),ISNUMBER(SEARCH("入",D6198)))),"Ambiguous",IF(ISNUMBER(SEARCH("平",D6198)),"平","仄")))</x:f>
        <x:v>仄</x:v>
      </x:c>
      <x:c r="L6198" s="7" t="str">
        <x:v>Pingshui main list, Lu Qinli gap fill</x:v>
      </x:c>
    </x:row>
    <x:row r="6199">
      <x:c r="A6199" s="5" t="str">
        <x:v>蹩</x:v>
      </x:c>
      <x:c r="B6199" s="6" t="str">
        <x:v>入</x:v>
      </x:c>
      <x:c r="C6199" s="6" t="str">
        <x:f>IF(B6199="","Needs decision","Ready")</x:f>
        <x:v>Ready</x:v>
      </x:c>
      <x:c r="D6199" s="6" t="str">
        <x:v>入</x:v>
      </x:c>
      <x:c r="E6199" s="6" t="str"/>
      <x:c r="F6199" s="6" t="str">
        <x:v>入聲九屑</x:v>
      </x:c>
      <x:c r="G6199" s="6" t="str">
        <x:v>Pingshui main list, Wikisource-derived DOCX</x:v>
      </x:c>
      <x:c r="H6199" s="6" t="str"/>
      <x:c r="I6199" s="6" t="str">
        <x:v>Lu Qinli gap fill from Pingshui main list; 詞 entries ignored</x:v>
      </x:c>
      <x:c r="J6199" s="6" t="str">
        <x:f>IF(B6199="","",IF(AND(ISNUMBER(SEARCH("平",B6199)),OR(ISNUMBER(SEARCH("上",B6199)),ISNUMBER(SEARCH("去",B6199)),ISNUMBER(SEARCH("入",B6199)))),"Ambiguous",IF(ISNUMBER(SEARCH("平",B6199)),"平","仄")))</x:f>
        <x:v>仄</x:v>
      </x:c>
      <x:c r="K6199" s="6" t="str">
        <x:f>IF(D6199="","",IF(AND(ISNUMBER(SEARCH("平",D6199)),OR(ISNUMBER(SEARCH("上",D6199)),ISNUMBER(SEARCH("去",D6199)),ISNUMBER(SEARCH("入",D6199)))),"Ambiguous",IF(ISNUMBER(SEARCH("平",D6199)),"平","仄")))</x:f>
        <x:v>仄</x:v>
      </x:c>
      <x:c r="L6199" s="7" t="str">
        <x:v>Pingshui main list, Lu Qinli gap fill</x:v>
      </x:c>
    </x:row>
    <x:row r="6200">
      <x:c r="A6200" s="5" t="str">
        <x:v>蹯</x:v>
      </x:c>
      <x:c r="B6200" s="6" t="str">
        <x:v>平</x:v>
      </x:c>
      <x:c r="C6200" s="6" t="str">
        <x:f>IF(B6200="","Needs decision","Ready")</x:f>
        <x:v>Ready</x:v>
      </x:c>
      <x:c r="D6200" s="6" t="str">
        <x:v>平</x:v>
      </x:c>
      <x:c r="E6200" s="6" t="str"/>
      <x:c r="F6200" s="6" t="str">
        <x:v>上平聲十三元</x:v>
      </x:c>
      <x:c r="G6200" s="6" t="str">
        <x:v>Pingshui main list, Wikisource-derived DOCX</x:v>
      </x:c>
      <x:c r="H6200" s="6" t="str"/>
      <x:c r="I6200" s="6" t="str">
        <x:v>Lu Qinli gap fill from Pingshui main list; 詞 entries ignored</x:v>
      </x:c>
      <x:c r="J6200" s="6" t="str">
        <x:f>IF(B6200="","",IF(AND(ISNUMBER(SEARCH("平",B6200)),OR(ISNUMBER(SEARCH("上",B6200)),ISNUMBER(SEARCH("去",B6200)),ISNUMBER(SEARCH("入",B6200)))),"Ambiguous",IF(ISNUMBER(SEARCH("平",B6200)),"平","仄")))</x:f>
        <x:v>平</x:v>
      </x:c>
      <x:c r="K6200" s="6" t="str">
        <x:f>IF(D6200="","",IF(AND(ISNUMBER(SEARCH("平",D6200)),OR(ISNUMBER(SEARCH("上",D6200)),ISNUMBER(SEARCH("去",D6200)),ISNUMBER(SEARCH("入",D6200)))),"Ambiguous",IF(ISNUMBER(SEARCH("平",D6200)),"平","仄")))</x:f>
        <x:v>平</x:v>
      </x:c>
      <x:c r="L6200" s="7" t="str">
        <x:v>Pingshui main list, Lu Qinli gap fill</x:v>
      </x:c>
    </x:row>
    <x:row r="6201">
      <x:c r="A6201" s="5" t="str">
        <x:v>蹲</x:v>
      </x:c>
      <x:c r="B6201" s="6" t="str">
        <x:v>平</x:v>
      </x:c>
      <x:c r="C6201" s="6" t="str">
        <x:f>IF(B6201="","Needs decision","Ready")</x:f>
        <x:v>Ready</x:v>
      </x:c>
      <x:c r="D6201" s="6" t="str">
        <x:v>平</x:v>
      </x:c>
      <x:c r="E6201" s="6" t="str"/>
      <x:c r="F6201" s="6" t="str">
        <x:v>上平聲十三元</x:v>
      </x:c>
      <x:c r="G6201" s="6" t="str">
        <x:v>Pingshui main list, Wikisource-derived DOCX</x:v>
      </x:c>
      <x:c r="H6201" s="6" t="str"/>
      <x:c r="I6201" s="6" t="str">
        <x:v>Lu Qinli gap fill from Pingshui main list; 詞 entries ignored</x:v>
      </x:c>
      <x:c r="J6201" s="6" t="str">
        <x:f>IF(B6201="","",IF(AND(ISNUMBER(SEARCH("平",B6201)),OR(ISNUMBER(SEARCH("上",B6201)),ISNUMBER(SEARCH("去",B6201)),ISNUMBER(SEARCH("入",B6201)))),"Ambiguous",IF(ISNUMBER(SEARCH("平",B6201)),"平","仄")))</x:f>
        <x:v>平</x:v>
      </x:c>
      <x:c r="K6201" s="6" t="str">
        <x:f>IF(D6201="","",IF(AND(ISNUMBER(SEARCH("平",D6201)),OR(ISNUMBER(SEARCH("上",D6201)),ISNUMBER(SEARCH("去",D6201)),ISNUMBER(SEARCH("入",D6201)))),"Ambiguous",IF(ISNUMBER(SEARCH("平",D6201)),"平","仄")))</x:f>
        <x:v>平</x:v>
      </x:c>
      <x:c r="L6201" s="7" t="str">
        <x:v>Pingshui main list, Lu Qinli gap fill</x:v>
      </x:c>
    </x:row>
    <x:row r="6202">
      <x:c r="A6202" s="5" t="str">
        <x:v>躁</x:v>
      </x:c>
      <x:c r="B6202" s="6" t="str">
        <x:v>去</x:v>
      </x:c>
      <x:c r="C6202" s="6" t="str">
        <x:f>IF(B6202="","Needs decision","Ready")</x:f>
        <x:v>Ready</x:v>
      </x:c>
      <x:c r="D6202" s="6" t="str">
        <x:v>去</x:v>
      </x:c>
      <x:c r="E6202" s="6" t="str"/>
      <x:c r="F6202" s="6" t="str">
        <x:v>去聲二十號</x:v>
      </x:c>
      <x:c r="G6202" s="6" t="str">
        <x:v>Pingshui main list, Wikisource-derived DOCX</x:v>
      </x:c>
      <x:c r="H6202" s="6" t="str"/>
      <x:c r="I6202" s="6" t="str">
        <x:v>Lu Qinli gap fill from Pingshui main list; 詞 entries ignored</x:v>
      </x:c>
      <x:c r="J6202" s="6" t="str">
        <x:f>IF(B6202="","",IF(AND(ISNUMBER(SEARCH("平",B6202)),OR(ISNUMBER(SEARCH("上",B6202)),ISNUMBER(SEARCH("去",B6202)),ISNUMBER(SEARCH("入",B6202)))),"Ambiguous",IF(ISNUMBER(SEARCH("平",B6202)),"平","仄")))</x:f>
        <x:v>仄</x:v>
      </x:c>
      <x:c r="K6202" s="6" t="str">
        <x:f>IF(D6202="","",IF(AND(ISNUMBER(SEARCH("平",D6202)),OR(ISNUMBER(SEARCH("上",D6202)),ISNUMBER(SEARCH("去",D6202)),ISNUMBER(SEARCH("入",D6202)))),"Ambiguous",IF(ISNUMBER(SEARCH("平",D6202)),"平","仄")))</x:f>
        <x:v>仄</x:v>
      </x:c>
      <x:c r="L6202" s="7" t="str">
        <x:v>Pingshui main list, Lu Qinli gap fill</x:v>
      </x:c>
    </x:row>
    <x:row r="6203">
      <x:c r="A6203" s="5" t="str">
        <x:v>躒</x:v>
      </x:c>
      <x:c r="B6203" s="6" t="str">
        <x:v>入</x:v>
      </x:c>
      <x:c r="C6203" s="6" t="str">
        <x:f>IF(B6203="","Needs decision","Ready")</x:f>
        <x:v>Ready</x:v>
      </x:c>
      <x:c r="D6203" s="6" t="str">
        <x:v>入</x:v>
      </x:c>
      <x:c r="E6203" s="6" t="str"/>
      <x:c r="F6203" s="6" t="str">
        <x:v>入聲十藥</x:v>
      </x:c>
      <x:c r="G6203" s="6" t="str">
        <x:v>Pingshui main list, Wikisource-derived DOCX</x:v>
      </x:c>
      <x:c r="H6203" s="6" t="str"/>
      <x:c r="I6203" s="6" t="str">
        <x:v>Lu Qinli gap fill from Pingshui main list; 詞 entries ignored</x:v>
      </x:c>
      <x:c r="J6203" s="6" t="str">
        <x:f>IF(B6203="","",IF(AND(ISNUMBER(SEARCH("平",B6203)),OR(ISNUMBER(SEARCH("上",B6203)),ISNUMBER(SEARCH("去",B6203)),ISNUMBER(SEARCH("入",B6203)))),"Ambiguous",IF(ISNUMBER(SEARCH("平",B6203)),"平","仄")))</x:f>
        <x:v>仄</x:v>
      </x:c>
      <x:c r="K6203" s="6" t="str">
        <x:f>IF(D6203="","",IF(AND(ISNUMBER(SEARCH("平",D6203)),OR(ISNUMBER(SEARCH("上",D6203)),ISNUMBER(SEARCH("去",D6203)),ISNUMBER(SEARCH("入",D6203)))),"Ambiguous",IF(ISNUMBER(SEARCH("平",D6203)),"平","仄")))</x:f>
        <x:v>仄</x:v>
      </x:c>
      <x:c r="L6203" s="7" t="str">
        <x:v>Pingshui main list, Lu Qinli gap fill</x:v>
      </x:c>
    </x:row>
    <x:row r="6204">
      <x:c r="A6204" s="5" t="str">
        <x:v>躓</x:v>
      </x:c>
      <x:c r="B6204" s="6" t="str">
        <x:v>去</x:v>
      </x:c>
      <x:c r="C6204" s="6" t="str">
        <x:f>IF(B6204="","Needs decision","Ready")</x:f>
        <x:v>Ready</x:v>
      </x:c>
      <x:c r="D6204" s="6" t="str">
        <x:v>去</x:v>
      </x:c>
      <x:c r="E6204" s="6" t="str"/>
      <x:c r="F6204" s="6" t="str">
        <x:v>去聲四寘</x:v>
      </x:c>
      <x:c r="G6204" s="6" t="str">
        <x:v>Pingshui main list, Wikisource-derived DOCX</x:v>
      </x:c>
      <x:c r="H6204" s="6" t="str"/>
      <x:c r="I6204" s="6" t="str">
        <x:v>Lu Qinli gap fill from Pingshui main list; 詞 entries ignored</x:v>
      </x:c>
      <x:c r="J6204" s="6" t="str">
        <x:f>IF(B6204="","",IF(AND(ISNUMBER(SEARCH("平",B6204)),OR(ISNUMBER(SEARCH("上",B6204)),ISNUMBER(SEARCH("去",B6204)),ISNUMBER(SEARCH("入",B6204)))),"Ambiguous",IF(ISNUMBER(SEARCH("平",B6204)),"平","仄")))</x:f>
        <x:v>仄</x:v>
      </x:c>
      <x:c r="K6204" s="6" t="str">
        <x:f>IF(D6204="","",IF(AND(ISNUMBER(SEARCH("平",D6204)),OR(ISNUMBER(SEARCH("上",D6204)),ISNUMBER(SEARCH("去",D6204)),ISNUMBER(SEARCH("入",D6204)))),"Ambiguous",IF(ISNUMBER(SEARCH("平",D6204)),"平","仄")))</x:f>
        <x:v>仄</x:v>
      </x:c>
      <x:c r="L6204" s="7" t="str">
        <x:v>Pingshui main list, Lu Qinli gap fill</x:v>
      </x:c>
    </x:row>
    <x:row r="6205">
      <x:c r="A6205" s="5" t="str">
        <x:v>躞</x:v>
      </x:c>
      <x:c r="B6205" s="6" t="str">
        <x:v>入</x:v>
      </x:c>
      <x:c r="C6205" s="6" t="str">
        <x:f>IF(B6205="","Needs decision","Ready")</x:f>
        <x:v>Ready</x:v>
      </x:c>
      <x:c r="D6205" s="6" t="str">
        <x:v>入</x:v>
      </x:c>
      <x:c r="E6205" s="6" t="str"/>
      <x:c r="F6205" s="6" t="str">
        <x:v>入聲十六葉</x:v>
      </x:c>
      <x:c r="G6205" s="6" t="str">
        <x:v>Pingshui main list, Wikisource-derived DOCX</x:v>
      </x:c>
      <x:c r="H6205" s="6" t="str"/>
      <x:c r="I6205" s="6" t="str">
        <x:v>Lu Qinli gap fill from Pingshui main list; 詞 entries ignored</x:v>
      </x:c>
      <x:c r="J6205" s="6" t="str">
        <x:f>IF(B6205="","",IF(AND(ISNUMBER(SEARCH("平",B6205)),OR(ISNUMBER(SEARCH("上",B6205)),ISNUMBER(SEARCH("去",B6205)),ISNUMBER(SEARCH("入",B6205)))),"Ambiguous",IF(ISNUMBER(SEARCH("平",B6205)),"平","仄")))</x:f>
        <x:v>仄</x:v>
      </x:c>
      <x:c r="K6205" s="6" t="str">
        <x:f>IF(D6205="","",IF(AND(ISNUMBER(SEARCH("平",D6205)),OR(ISNUMBER(SEARCH("上",D6205)),ISNUMBER(SEARCH("去",D6205)),ISNUMBER(SEARCH("入",D6205)))),"Ambiguous",IF(ISNUMBER(SEARCH("平",D6205)),"平","仄")))</x:f>
        <x:v>仄</x:v>
      </x:c>
      <x:c r="L6205" s="7" t="str">
        <x:v>Pingshui main list, Lu Qinli gap fill</x:v>
      </x:c>
    </x:row>
    <x:row r="6206">
      <x:c r="A6206" s="5" t="str">
        <x:v>軏</x:v>
      </x:c>
      <x:c r="B6206" s="6" t="str">
        <x:v>入</x:v>
      </x:c>
      <x:c r="C6206" s="6" t="str">
        <x:f>IF(B6206="","Needs decision","Ready")</x:f>
        <x:v>Ready</x:v>
      </x:c>
      <x:c r="D6206" s="6" t="str">
        <x:v>入</x:v>
      </x:c>
      <x:c r="E6206" s="6" t="str"/>
      <x:c r="F6206" s="6" t="str">
        <x:v>入聲六月</x:v>
      </x:c>
      <x:c r="G6206" s="6" t="str">
        <x:v>Pingshui main list, Wikisource-derived DOCX</x:v>
      </x:c>
      <x:c r="H6206" s="6" t="str"/>
      <x:c r="I6206" s="6" t="str">
        <x:v>Lu Qinli gap fill from Pingshui main list; 詞 entries ignored</x:v>
      </x:c>
      <x:c r="J6206" s="6" t="str">
        <x:f>IF(B6206="","",IF(AND(ISNUMBER(SEARCH("平",B6206)),OR(ISNUMBER(SEARCH("上",B6206)),ISNUMBER(SEARCH("去",B6206)),ISNUMBER(SEARCH("入",B6206)))),"Ambiguous",IF(ISNUMBER(SEARCH("平",B6206)),"平","仄")))</x:f>
        <x:v>仄</x:v>
      </x:c>
      <x:c r="K6206" s="6" t="str">
        <x:f>IF(D6206="","",IF(AND(ISNUMBER(SEARCH("平",D6206)),OR(ISNUMBER(SEARCH("上",D6206)),ISNUMBER(SEARCH("去",D6206)),ISNUMBER(SEARCH("入",D6206)))),"Ambiguous",IF(ISNUMBER(SEARCH("平",D6206)),"平","仄")))</x:f>
        <x:v>仄</x:v>
      </x:c>
      <x:c r="L6206" s="7" t="str">
        <x:v>Pingshui main list, Lu Qinli gap fill</x:v>
      </x:c>
    </x:row>
    <x:row r="6207">
      <x:c r="A6207" s="5" t="str">
        <x:v>軟</x:v>
      </x:c>
      <x:c r="B6207" s="6" t="str">
        <x:v>上</x:v>
      </x:c>
      <x:c r="C6207" s="6" t="str">
        <x:f>IF(B6207="","Needs decision","Ready")</x:f>
        <x:v>Ready</x:v>
      </x:c>
      <x:c r="D6207" s="6" t="str">
        <x:v>上</x:v>
      </x:c>
      <x:c r="E6207" s="6" t="str"/>
      <x:c r="F6207" s="6" t="str">
        <x:v>上聲十六銑</x:v>
      </x:c>
      <x:c r="G6207" s="6" t="str">
        <x:v>Pingshui main list, Wikisource-derived DOCX</x:v>
      </x:c>
      <x:c r="H6207" s="6" t="str"/>
      <x:c r="I6207" s="6" t="str">
        <x:v>Lu Qinli gap fill from Pingshui main list; 詞 entries ignored</x:v>
      </x:c>
      <x:c r="J6207" s="6" t="str">
        <x:f>IF(B6207="","",IF(AND(ISNUMBER(SEARCH("平",B6207)),OR(ISNUMBER(SEARCH("上",B6207)),ISNUMBER(SEARCH("去",B6207)),ISNUMBER(SEARCH("入",B6207)))),"Ambiguous",IF(ISNUMBER(SEARCH("平",B6207)),"平","仄")))</x:f>
        <x:v>仄</x:v>
      </x:c>
      <x:c r="K6207" s="6" t="str">
        <x:f>IF(D6207="","",IF(AND(ISNUMBER(SEARCH("平",D6207)),OR(ISNUMBER(SEARCH("上",D6207)),ISNUMBER(SEARCH("去",D6207)),ISNUMBER(SEARCH("入",D6207)))),"Ambiguous",IF(ISNUMBER(SEARCH("平",D6207)),"平","仄")))</x:f>
        <x:v>仄</x:v>
      </x:c>
      <x:c r="L6207" s="7" t="str">
        <x:v>Pingshui main list, Lu Qinli gap fill</x:v>
      </x:c>
    </x:row>
    <x:row r="6208">
      <x:c r="A6208" s="5" t="str">
        <x:v>軹</x:v>
      </x:c>
      <x:c r="B6208" s="6" t="str">
        <x:v>上</x:v>
      </x:c>
      <x:c r="C6208" s="6" t="str">
        <x:f>IF(B6208="","Needs decision","Ready")</x:f>
        <x:v>Ready</x:v>
      </x:c>
      <x:c r="D6208" s="6" t="str">
        <x:v>上</x:v>
      </x:c>
      <x:c r="E6208" s="6" t="str"/>
      <x:c r="F6208" s="6" t="str">
        <x:v>上聲四紙</x:v>
      </x:c>
      <x:c r="G6208" s="6" t="str">
        <x:v>Pingshui main list, Wikisource-derived DOCX</x:v>
      </x:c>
      <x:c r="H6208" s="6" t="str"/>
      <x:c r="I6208" s="6" t="str">
        <x:v>Lu Qinli gap fill from Pingshui main list; 詞 entries ignored</x:v>
      </x:c>
      <x:c r="J6208" s="6" t="str">
        <x:f>IF(B6208="","",IF(AND(ISNUMBER(SEARCH("平",B6208)),OR(ISNUMBER(SEARCH("上",B6208)),ISNUMBER(SEARCH("去",B6208)),ISNUMBER(SEARCH("入",B6208)))),"Ambiguous",IF(ISNUMBER(SEARCH("平",B6208)),"平","仄")))</x:f>
        <x:v>仄</x:v>
      </x:c>
      <x:c r="K6208" s="6" t="str">
        <x:f>IF(D6208="","",IF(AND(ISNUMBER(SEARCH("平",D6208)),OR(ISNUMBER(SEARCH("上",D6208)),ISNUMBER(SEARCH("去",D6208)),ISNUMBER(SEARCH("入",D6208)))),"Ambiguous",IF(ISNUMBER(SEARCH("平",D6208)),"平","仄")))</x:f>
        <x:v>仄</x:v>
      </x:c>
      <x:c r="L6208" s="7" t="str">
        <x:v>Pingshui main list, Lu Qinli gap fill</x:v>
      </x:c>
    </x:row>
    <x:row r="6209">
      <x:c r="A6209" s="5" t="str">
        <x:v>軺</x:v>
      </x:c>
      <x:c r="B6209" s="6" t="str">
        <x:v>平</x:v>
      </x:c>
      <x:c r="C6209" s="6" t="str">
        <x:f>IF(B6209="","Needs decision","Ready")</x:f>
        <x:v>Ready</x:v>
      </x:c>
      <x:c r="D6209" s="6" t="str">
        <x:v>平</x:v>
      </x:c>
      <x:c r="E6209" s="6" t="str"/>
      <x:c r="F6209" s="6" t="str">
        <x:v>下平聲二蕭</x:v>
      </x:c>
      <x:c r="G6209" s="6" t="str">
        <x:v>Pingshui main list, Wikisource-derived DOCX</x:v>
      </x:c>
      <x:c r="H6209" s="6" t="str"/>
      <x:c r="I6209" s="6" t="str">
        <x:v>Lu Qinli gap fill from Pingshui main list; 詞 entries ignored</x:v>
      </x:c>
      <x:c r="J6209" s="6" t="str">
        <x:f>IF(B6209="","",IF(AND(ISNUMBER(SEARCH("平",B6209)),OR(ISNUMBER(SEARCH("上",B6209)),ISNUMBER(SEARCH("去",B6209)),ISNUMBER(SEARCH("入",B6209)))),"Ambiguous",IF(ISNUMBER(SEARCH("平",B6209)),"平","仄")))</x:f>
        <x:v>平</x:v>
      </x:c>
      <x:c r="K6209" s="6" t="str">
        <x:f>IF(D6209="","",IF(AND(ISNUMBER(SEARCH("平",D6209)),OR(ISNUMBER(SEARCH("上",D6209)),ISNUMBER(SEARCH("去",D6209)),ISNUMBER(SEARCH("入",D6209)))),"Ambiguous",IF(ISNUMBER(SEARCH("平",D6209)),"平","仄")))</x:f>
        <x:v>平</x:v>
      </x:c>
      <x:c r="L6209" s="7" t="str">
        <x:v>Pingshui main list, Lu Qinli gap fill</x:v>
      </x:c>
    </x:row>
    <x:row r="6210">
      <x:c r="A6210" s="5" t="str">
        <x:v>軼</x:v>
      </x:c>
      <x:c r="B6210" s="6" t="str">
        <x:v>入</x:v>
      </x:c>
      <x:c r="C6210" s="6" t="str">
        <x:f>IF(B6210="","Needs decision","Ready")</x:f>
        <x:v>Ready</x:v>
      </x:c>
      <x:c r="D6210" s="6" t="str">
        <x:v>入</x:v>
      </x:c>
      <x:c r="E6210" s="6" t="str"/>
      <x:c r="F6210" s="6" t="str">
        <x:v>入聲四質; 入聲九屑</x:v>
      </x:c>
      <x:c r="G6210" s="6" t="str">
        <x:v>Pingshui main list, Wikisource-derived DOCX</x:v>
      </x:c>
      <x:c r="H6210" s="6" t="str"/>
      <x:c r="I6210" s="6" t="str">
        <x:v>Lu Qinli gap fill from Pingshui main list; 詞 entries ignored</x:v>
      </x:c>
      <x:c r="J6210" s="6" t="str">
        <x:f>IF(B6210="","",IF(AND(ISNUMBER(SEARCH("平",B6210)),OR(ISNUMBER(SEARCH("上",B6210)),ISNUMBER(SEARCH("去",B6210)),ISNUMBER(SEARCH("入",B6210)))),"Ambiguous",IF(ISNUMBER(SEARCH("平",B6210)),"平","仄")))</x:f>
        <x:v>仄</x:v>
      </x:c>
      <x:c r="K6210" s="6" t="str">
        <x:f>IF(D6210="","",IF(AND(ISNUMBER(SEARCH("平",D6210)),OR(ISNUMBER(SEARCH("上",D6210)),ISNUMBER(SEARCH("去",D6210)),ISNUMBER(SEARCH("入",D6210)))),"Ambiguous",IF(ISNUMBER(SEARCH("平",D6210)),"平","仄")))</x:f>
        <x:v>仄</x:v>
      </x:c>
      <x:c r="L6210" s="7" t="str">
        <x:v>Pingshui main list, Lu Qinli gap fill</x:v>
      </x:c>
    </x:row>
    <x:row r="6211">
      <x:c r="A6211" s="5" t="str">
        <x:v>輅</x:v>
      </x:c>
      <x:c r="B6211" s="6" t="str">
        <x:v>去</x:v>
      </x:c>
      <x:c r="C6211" s="6" t="str">
        <x:f>IF(B6211="","Needs decision","Ready")</x:f>
        <x:v>Ready</x:v>
      </x:c>
      <x:c r="D6211" s="6" t="str">
        <x:v>去</x:v>
      </x:c>
      <x:c r="E6211" s="6" t="str"/>
      <x:c r="F6211" s="6" t="str">
        <x:v>去聲七遇</x:v>
      </x:c>
      <x:c r="G6211" s="6" t="str">
        <x:v>Pingshui main list, Wikisource-derived DOCX</x:v>
      </x:c>
      <x:c r="H6211" s="6" t="str"/>
      <x:c r="I6211" s="6" t="str">
        <x:v>Lu Qinli gap fill from Pingshui main list; 詞 entries ignored</x:v>
      </x:c>
      <x:c r="J6211" s="6" t="str">
        <x:f>IF(B6211="","",IF(AND(ISNUMBER(SEARCH("平",B6211)),OR(ISNUMBER(SEARCH("上",B6211)),ISNUMBER(SEARCH("去",B6211)),ISNUMBER(SEARCH("入",B6211)))),"Ambiguous",IF(ISNUMBER(SEARCH("平",B6211)),"平","仄")))</x:f>
        <x:v>仄</x:v>
      </x:c>
      <x:c r="K6211" s="6" t="str">
        <x:f>IF(D6211="","",IF(AND(ISNUMBER(SEARCH("平",D6211)),OR(ISNUMBER(SEARCH("上",D6211)),ISNUMBER(SEARCH("去",D6211)),ISNUMBER(SEARCH("入",D6211)))),"Ambiguous",IF(ISNUMBER(SEARCH("平",D6211)),"平","仄")))</x:f>
        <x:v>仄</x:v>
      </x:c>
      <x:c r="L6211" s="7" t="str">
        <x:v>Pingshui main list, Lu Qinli gap fill</x:v>
      </x:c>
    </x:row>
    <x:row r="6212">
      <x:c r="A6212" s="5" t="str">
        <x:v>輈</x:v>
      </x:c>
      <x:c r="B6212" s="6" t="str">
        <x:v>平</x:v>
      </x:c>
      <x:c r="C6212" s="6" t="str">
        <x:f>IF(B6212="","Needs decision","Ready")</x:f>
        <x:v>Ready</x:v>
      </x:c>
      <x:c r="D6212" s="6" t="str">
        <x:v>平</x:v>
      </x:c>
      <x:c r="E6212" s="6" t="str"/>
      <x:c r="F6212" s="6" t="str">
        <x:v>下平聲十一尤</x:v>
      </x:c>
      <x:c r="G6212" s="6" t="str">
        <x:v>Pingshui main list, Wikisource-derived DOCX</x:v>
      </x:c>
      <x:c r="H6212" s="6" t="str"/>
      <x:c r="I6212" s="6" t="str">
        <x:v>Lu Qinli gap fill from Pingshui main list; 詞 entries ignored</x:v>
      </x:c>
      <x:c r="J6212" s="6" t="str">
        <x:f>IF(B6212="","",IF(AND(ISNUMBER(SEARCH("平",B6212)),OR(ISNUMBER(SEARCH("上",B6212)),ISNUMBER(SEARCH("去",B6212)),ISNUMBER(SEARCH("入",B6212)))),"Ambiguous",IF(ISNUMBER(SEARCH("平",B6212)),"平","仄")))</x:f>
        <x:v>平</x:v>
      </x:c>
      <x:c r="K6212" s="6" t="str">
        <x:f>IF(D6212="","",IF(AND(ISNUMBER(SEARCH("平",D6212)),OR(ISNUMBER(SEARCH("上",D6212)),ISNUMBER(SEARCH("去",D6212)),ISNUMBER(SEARCH("入",D6212)))),"Ambiguous",IF(ISNUMBER(SEARCH("平",D6212)),"平","仄")))</x:f>
        <x:v>平</x:v>
      </x:c>
      <x:c r="L6212" s="7" t="str">
        <x:v>Pingshui main list, Lu Qinli gap fill</x:v>
      </x:c>
    </x:row>
    <x:row r="6213">
      <x:c r="A6213" s="5" t="str">
        <x:v>輗</x:v>
      </x:c>
      <x:c r="B6213" s="6" t="str">
        <x:v>平</x:v>
      </x:c>
      <x:c r="C6213" s="6" t="str">
        <x:f>IF(B6213="","Needs decision","Ready")</x:f>
        <x:v>Ready</x:v>
      </x:c>
      <x:c r="D6213" s="6" t="str">
        <x:v>平</x:v>
      </x:c>
      <x:c r="E6213" s="6" t="str"/>
      <x:c r="F6213" s="6" t="str">
        <x:v>上平聲八齊</x:v>
      </x:c>
      <x:c r="G6213" s="6" t="str">
        <x:v>Pingshui main list, Wikisource-derived DOCX</x:v>
      </x:c>
      <x:c r="H6213" s="6" t="str"/>
      <x:c r="I6213" s="6" t="str">
        <x:v>Lu Qinli gap fill from Pingshui main list; 詞 entries ignored</x:v>
      </x:c>
      <x:c r="J6213" s="6" t="str">
        <x:f>IF(B6213="","",IF(AND(ISNUMBER(SEARCH("平",B6213)),OR(ISNUMBER(SEARCH("上",B6213)),ISNUMBER(SEARCH("去",B6213)),ISNUMBER(SEARCH("入",B6213)))),"Ambiguous",IF(ISNUMBER(SEARCH("平",B6213)),"平","仄")))</x:f>
        <x:v>平</x:v>
      </x:c>
      <x:c r="K6213" s="6" t="str">
        <x:f>IF(D6213="","",IF(AND(ISNUMBER(SEARCH("平",D6213)),OR(ISNUMBER(SEARCH("上",D6213)),ISNUMBER(SEARCH("去",D6213)),ISNUMBER(SEARCH("入",D6213)))),"Ambiguous",IF(ISNUMBER(SEARCH("平",D6213)),"平","仄")))</x:f>
        <x:v>平</x:v>
      </x:c>
      <x:c r="L6213" s="7" t="str">
        <x:v>Pingshui main list, Lu Qinli gap fill</x:v>
      </x:c>
    </x:row>
    <x:row r="6214">
      <x:c r="A6214" s="5" t="str">
        <x:v>輶</x:v>
      </x:c>
      <x:c r="B6214" s="6" t="str"/>
      <x:c r="C6214" s="6" t="str">
        <x:f>IF(B6214="","Needs decision","Ready")</x:f>
        <x:v>Needs decision</x:v>
      </x:c>
      <x:c r="D6214" s="6" t="str">
        <x:v>平/去</x:v>
      </x:c>
      <x:c r="E6214" s="6" t="str"/>
      <x:c r="F6214" s="6" t="str">
        <x:v>下平聲十一尤; 去聲二十六宥</x:v>
      </x:c>
      <x:c r="G6214" s="6" t="str">
        <x:v>Pingshui main list, Wikisource-derived DOCX</x:v>
      </x:c>
      <x:c r="H6214" s="6" t="str"/>
      <x:c r="I6214" s="6" t="str">
        <x:v>Lu Qinli gap fill from Pingshui main list; 詞 entries ignored</x:v>
      </x:c>
      <x:c r="J6214" s="6" t="str">
        <x:f>IF(B6214="","",IF(AND(ISNUMBER(SEARCH("平",B6214)),OR(ISNUMBER(SEARCH("上",B6214)),ISNUMBER(SEARCH("去",B6214)),ISNUMBER(SEARCH("入",B6214)))),"Ambiguous",IF(ISNUMBER(SEARCH("平",B6214)),"平","仄")))</x:f>
      </x:c>
      <x:c r="K6214" s="6" t="str">
        <x:f>IF(D6214="","",IF(AND(ISNUMBER(SEARCH("平",D6214)),OR(ISNUMBER(SEARCH("上",D6214)),ISNUMBER(SEARCH("去",D6214)),ISNUMBER(SEARCH("入",D6214)))),"Ambiguous",IF(ISNUMBER(SEARCH("平",D6214)),"平","仄")))</x:f>
        <x:v>Ambiguous</x:v>
      </x:c>
      <x:c r="L6214" s="7" t="str">
        <x:v>Pingshui main list, Lu Qinli gap fill</x:v>
      </x:c>
    </x:row>
    <x:row r="6215">
      <x:c r="A6215" s="5" t="str">
        <x:v>轆</x:v>
      </x:c>
      <x:c r="B6215" s="6" t="str">
        <x:v>入</x:v>
      </x:c>
      <x:c r="C6215" s="6" t="str">
        <x:f>IF(B6215="","Needs decision","Ready")</x:f>
        <x:v>Ready</x:v>
      </x:c>
      <x:c r="D6215" s="6" t="str">
        <x:v>入</x:v>
      </x:c>
      <x:c r="E6215" s="6" t="str"/>
      <x:c r="F6215" s="6" t="str">
        <x:v>入聲一屋</x:v>
      </x:c>
      <x:c r="G6215" s="6" t="str">
        <x:v>Pingshui main list, Wikisource-derived DOCX</x:v>
      </x:c>
      <x:c r="H6215" s="6" t="str"/>
      <x:c r="I6215" s="6" t="str">
        <x:v>Lu Qinli gap fill from Pingshui main list; 詞 entries ignored</x:v>
      </x:c>
      <x:c r="J6215" s="6" t="str">
        <x:f>IF(B6215="","",IF(AND(ISNUMBER(SEARCH("平",B6215)),OR(ISNUMBER(SEARCH("上",B6215)),ISNUMBER(SEARCH("去",B6215)),ISNUMBER(SEARCH("入",B6215)))),"Ambiguous",IF(ISNUMBER(SEARCH("平",B6215)),"平","仄")))</x:f>
        <x:v>仄</x:v>
      </x:c>
      <x:c r="K6215" s="6" t="str">
        <x:f>IF(D6215="","",IF(AND(ISNUMBER(SEARCH("平",D6215)),OR(ISNUMBER(SEARCH("上",D6215)),ISNUMBER(SEARCH("去",D6215)),ISNUMBER(SEARCH("入",D6215)))),"Ambiguous",IF(ISNUMBER(SEARCH("平",D6215)),"平","仄")))</x:f>
        <x:v>仄</x:v>
      </x:c>
      <x:c r="L6215" s="7" t="str">
        <x:v>Pingshui main list, Lu Qinli gap fill</x:v>
      </x:c>
    </x:row>
    <x:row r="6216">
      <x:c r="A6216" s="5" t="str">
        <x:v>轇</x:v>
      </x:c>
      <x:c r="B6216" s="6" t="str">
        <x:v>平</x:v>
      </x:c>
      <x:c r="C6216" s="6" t="str">
        <x:f>IF(B6216="","Needs decision","Ready")</x:f>
        <x:v>Ready</x:v>
      </x:c>
      <x:c r="D6216" s="6" t="str">
        <x:v>平</x:v>
      </x:c>
      <x:c r="E6216" s="6" t="str"/>
      <x:c r="F6216" s="6" t="str">
        <x:v>下平聲三肴</x:v>
      </x:c>
      <x:c r="G6216" s="6" t="str">
        <x:v>Pingshui main list, Wikisource-derived DOCX</x:v>
      </x:c>
      <x:c r="H6216" s="6" t="str"/>
      <x:c r="I6216" s="6" t="str">
        <x:v>Lu Qinli gap fill from Pingshui main list; 詞 entries ignored</x:v>
      </x:c>
      <x:c r="J6216" s="6" t="str">
        <x:f>IF(B6216="","",IF(AND(ISNUMBER(SEARCH("平",B6216)),OR(ISNUMBER(SEARCH("上",B6216)),ISNUMBER(SEARCH("去",B6216)),ISNUMBER(SEARCH("入",B6216)))),"Ambiguous",IF(ISNUMBER(SEARCH("平",B6216)),"平","仄")))</x:f>
        <x:v>平</x:v>
      </x:c>
      <x:c r="K6216" s="6" t="str">
        <x:f>IF(D6216="","",IF(AND(ISNUMBER(SEARCH("平",D6216)),OR(ISNUMBER(SEARCH("上",D6216)),ISNUMBER(SEARCH("去",D6216)),ISNUMBER(SEARCH("入",D6216)))),"Ambiguous",IF(ISNUMBER(SEARCH("平",D6216)),"平","仄")))</x:f>
        <x:v>平</x:v>
      </x:c>
      <x:c r="L6216" s="7" t="str">
        <x:v>Pingshui main list, Lu Qinli gap fill</x:v>
      </x:c>
    </x:row>
    <x:row r="6217">
      <x:c r="A6217" s="5" t="str">
        <x:v>轓</x:v>
      </x:c>
      <x:c r="B6217" s="6" t="str">
        <x:v>平</x:v>
      </x:c>
      <x:c r="C6217" s="6" t="str">
        <x:f>IF(B6217="","Needs decision","Ready")</x:f>
        <x:v>Ready</x:v>
      </x:c>
      <x:c r="D6217" s="6" t="str">
        <x:v>平</x:v>
      </x:c>
      <x:c r="E6217" s="6" t="str"/>
      <x:c r="F6217" s="6" t="str">
        <x:v>上平聲十三元</x:v>
      </x:c>
      <x:c r="G6217" s="6" t="str">
        <x:v>Pingshui main list, Wikisource-derived DOCX</x:v>
      </x:c>
      <x:c r="H6217" s="6" t="str"/>
      <x:c r="I6217" s="6" t="str">
        <x:v>Lu Qinli gap fill from Pingshui main list; 詞 entries ignored</x:v>
      </x:c>
      <x:c r="J6217" s="6" t="str">
        <x:f>IF(B6217="","",IF(AND(ISNUMBER(SEARCH("平",B6217)),OR(ISNUMBER(SEARCH("上",B6217)),ISNUMBER(SEARCH("去",B6217)),ISNUMBER(SEARCH("入",B6217)))),"Ambiguous",IF(ISNUMBER(SEARCH("平",B6217)),"平","仄")))</x:f>
        <x:v>平</x:v>
      </x:c>
      <x:c r="K6217" s="6" t="str">
        <x:f>IF(D6217="","",IF(AND(ISNUMBER(SEARCH("平",D6217)),OR(ISNUMBER(SEARCH("上",D6217)),ISNUMBER(SEARCH("去",D6217)),ISNUMBER(SEARCH("入",D6217)))),"Ambiguous",IF(ISNUMBER(SEARCH("平",D6217)),"平","仄")))</x:f>
        <x:v>平</x:v>
      </x:c>
      <x:c r="L6217" s="7" t="str">
        <x:v>Pingshui main list, Lu Qinli gap fill</x:v>
      </x:c>
    </x:row>
    <x:row r="6218">
      <x:c r="A6218" s="5" t="str">
        <x:v>轖</x:v>
      </x:c>
      <x:c r="B6218" s="6" t="str">
        <x:v>入</x:v>
      </x:c>
      <x:c r="C6218" s="6" t="str">
        <x:f>IF(B6218="","Needs decision","Ready")</x:f>
        <x:v>Ready</x:v>
      </x:c>
      <x:c r="D6218" s="6" t="str">
        <x:v>入</x:v>
      </x:c>
      <x:c r="E6218" s="6" t="str"/>
      <x:c r="F6218" s="6" t="str">
        <x:v>入聲十三職</x:v>
      </x:c>
      <x:c r="G6218" s="6" t="str">
        <x:v>Pingshui main list, Wikisource-derived DOCX</x:v>
      </x:c>
      <x:c r="H6218" s="6" t="str"/>
      <x:c r="I6218" s="6" t="str">
        <x:v>Lu Qinli gap fill from Pingshui main list; 詞 entries ignored</x:v>
      </x:c>
      <x:c r="J6218" s="6" t="str">
        <x:f>IF(B6218="","",IF(AND(ISNUMBER(SEARCH("平",B6218)),OR(ISNUMBER(SEARCH("上",B6218)),ISNUMBER(SEARCH("去",B6218)),ISNUMBER(SEARCH("入",B6218)))),"Ambiguous",IF(ISNUMBER(SEARCH("平",B6218)),"平","仄")))</x:f>
        <x:v>仄</x:v>
      </x:c>
      <x:c r="K6218" s="6" t="str">
        <x:f>IF(D6218="","",IF(AND(ISNUMBER(SEARCH("平",D6218)),OR(ISNUMBER(SEARCH("上",D6218)),ISNUMBER(SEARCH("去",D6218)),ISNUMBER(SEARCH("入",D6218)))),"Ambiguous",IF(ISNUMBER(SEARCH("平",D6218)),"平","仄")))</x:f>
        <x:v>仄</x:v>
      </x:c>
      <x:c r="L6218" s="7" t="str">
        <x:v>Pingshui main list, Lu Qinli gap fill</x:v>
      </x:c>
    </x:row>
    <x:row r="6219">
      <x:c r="A6219" s="5" t="str">
        <x:v>轗</x:v>
      </x:c>
      <x:c r="B6219" s="6" t="str">
        <x:v>上</x:v>
      </x:c>
      <x:c r="C6219" s="6" t="str">
        <x:f>IF(B6219="","Needs decision","Ready")</x:f>
        <x:v>Ready</x:v>
      </x:c>
      <x:c r="D6219" s="6" t="str">
        <x:v>上</x:v>
      </x:c>
      <x:c r="E6219" s="6" t="str"/>
      <x:c r="F6219" s="6" t="str">
        <x:v>上聲二十七感</x:v>
      </x:c>
      <x:c r="G6219" s="6" t="str">
        <x:v>Pingshui main list, Wikisource-derived DOCX</x:v>
      </x:c>
      <x:c r="H6219" s="6" t="str"/>
      <x:c r="I6219" s="6" t="str">
        <x:v>Lu Qinli gap fill from Pingshui main list; 詞 entries ignored</x:v>
      </x:c>
      <x:c r="J6219" s="6" t="str">
        <x:f>IF(B6219="","",IF(AND(ISNUMBER(SEARCH("平",B6219)),OR(ISNUMBER(SEARCH("上",B6219)),ISNUMBER(SEARCH("去",B6219)),ISNUMBER(SEARCH("入",B6219)))),"Ambiguous",IF(ISNUMBER(SEARCH("平",B6219)),"平","仄")))</x:f>
        <x:v>仄</x:v>
      </x:c>
      <x:c r="K6219" s="6" t="str">
        <x:f>IF(D6219="","",IF(AND(ISNUMBER(SEARCH("平",D6219)),OR(ISNUMBER(SEARCH("上",D6219)),ISNUMBER(SEARCH("去",D6219)),ISNUMBER(SEARCH("入",D6219)))),"Ambiguous",IF(ISNUMBER(SEARCH("平",D6219)),"平","仄")))</x:f>
        <x:v>仄</x:v>
      </x:c>
      <x:c r="L6219" s="7" t="str">
        <x:v>Pingshui main list, Lu Qinli gap fill</x:v>
      </x:c>
    </x:row>
    <x:row r="6220">
      <x:c r="A6220" s="5" t="str">
        <x:v>轟</x:v>
      </x:c>
      <x:c r="B6220" s="6" t="str">
        <x:v>平</x:v>
      </x:c>
      <x:c r="C6220" s="6" t="str">
        <x:f>IF(B6220="","Needs decision","Ready")</x:f>
        <x:v>Ready</x:v>
      </x:c>
      <x:c r="D6220" s="6" t="str">
        <x:v>平</x:v>
      </x:c>
      <x:c r="E6220" s="6" t="str"/>
      <x:c r="F6220" s="6" t="str">
        <x:v>下平聲八庚</x:v>
      </x:c>
      <x:c r="G6220" s="6" t="str">
        <x:v>Pingshui main list, Wikisource-derived DOCX</x:v>
      </x:c>
      <x:c r="H6220" s="6" t="str"/>
      <x:c r="I6220" s="6" t="str">
        <x:v>Lu Qinli gap fill from Pingshui main list; 詞 entries ignored</x:v>
      </x:c>
      <x:c r="J6220" s="6" t="str">
        <x:f>IF(B6220="","",IF(AND(ISNUMBER(SEARCH("平",B6220)),OR(ISNUMBER(SEARCH("上",B6220)),ISNUMBER(SEARCH("去",B6220)),ISNUMBER(SEARCH("入",B6220)))),"Ambiguous",IF(ISNUMBER(SEARCH("平",B6220)),"平","仄")))</x:f>
        <x:v>平</x:v>
      </x:c>
      <x:c r="K6220" s="6" t="str">
        <x:f>IF(D6220="","",IF(AND(ISNUMBER(SEARCH("平",D6220)),OR(ISNUMBER(SEARCH("上",D6220)),ISNUMBER(SEARCH("去",D6220)),ISNUMBER(SEARCH("入",D6220)))),"Ambiguous",IF(ISNUMBER(SEARCH("平",D6220)),"平","仄")))</x:f>
        <x:v>平</x:v>
      </x:c>
      <x:c r="L6220" s="7" t="str">
        <x:v>Pingshui main list, Lu Qinli gap fill</x:v>
      </x:c>
    </x:row>
    <x:row r="6221">
      <x:c r="A6221" s="5" t="str">
        <x:v>轤</x:v>
      </x:c>
      <x:c r="B6221" s="6" t="str">
        <x:v>平</x:v>
      </x:c>
      <x:c r="C6221" s="6" t="str">
        <x:f>IF(B6221="","Needs decision","Ready")</x:f>
        <x:v>Ready</x:v>
      </x:c>
      <x:c r="D6221" s="6" t="str">
        <x:v>平</x:v>
      </x:c>
      <x:c r="E6221" s="6" t="str"/>
      <x:c r="F6221" s="6" t="str">
        <x:v>上平聲七虞</x:v>
      </x:c>
      <x:c r="G6221" s="6" t="str">
        <x:v>Pingshui main list, Wikisource-derived DOCX</x:v>
      </x:c>
      <x:c r="H6221" s="6" t="str"/>
      <x:c r="I6221" s="6" t="str">
        <x:v>Lu Qinli gap fill from Pingshui main list; 詞 entries ignored</x:v>
      </x:c>
      <x:c r="J6221" s="6" t="str">
        <x:f>IF(B6221="","",IF(AND(ISNUMBER(SEARCH("平",B6221)),OR(ISNUMBER(SEARCH("上",B6221)),ISNUMBER(SEARCH("去",B6221)),ISNUMBER(SEARCH("入",B6221)))),"Ambiguous",IF(ISNUMBER(SEARCH("平",B6221)),"平","仄")))</x:f>
        <x:v>平</x:v>
      </x:c>
      <x:c r="K6221" s="6" t="str">
        <x:f>IF(D6221="","",IF(AND(ISNUMBER(SEARCH("平",D6221)),OR(ISNUMBER(SEARCH("上",D6221)),ISNUMBER(SEARCH("去",D6221)),ISNUMBER(SEARCH("入",D6221)))),"Ambiguous",IF(ISNUMBER(SEARCH("平",D6221)),"平","仄")))</x:f>
        <x:v>平</x:v>
      </x:c>
      <x:c r="L6221" s="7" t="str">
        <x:v>Pingshui main list, Lu Qinli gap fill</x:v>
      </x:c>
    </x:row>
    <x:row r="6222">
      <x:c r="A6222" s="5" t="str">
        <x:v>迄</x:v>
      </x:c>
      <x:c r="B6222" s="6" t="str">
        <x:v>入</x:v>
      </x:c>
      <x:c r="C6222" s="6" t="str">
        <x:f>IF(B6222="","Needs decision","Ready")</x:f>
        <x:v>Ready</x:v>
      </x:c>
      <x:c r="D6222" s="6" t="str">
        <x:v>入</x:v>
      </x:c>
      <x:c r="E6222" s="6" t="str"/>
      <x:c r="F6222" s="6" t="str">
        <x:v>入聲五物</x:v>
      </x:c>
      <x:c r="G6222" s="6" t="str">
        <x:v>Pingshui main list, Wikisource-derived DOCX</x:v>
      </x:c>
      <x:c r="H6222" s="6" t="str"/>
      <x:c r="I6222" s="6" t="str">
        <x:v>Lu Qinli gap fill from Pingshui main list; 詞 entries ignored</x:v>
      </x:c>
      <x:c r="J6222" s="6" t="str">
        <x:f>IF(B6222="","",IF(AND(ISNUMBER(SEARCH("平",B6222)),OR(ISNUMBER(SEARCH("上",B6222)),ISNUMBER(SEARCH("去",B6222)),ISNUMBER(SEARCH("入",B6222)))),"Ambiguous",IF(ISNUMBER(SEARCH("平",B6222)),"平","仄")))</x:f>
        <x:v>仄</x:v>
      </x:c>
      <x:c r="K6222" s="6" t="str">
        <x:f>IF(D6222="","",IF(AND(ISNUMBER(SEARCH("平",D6222)),OR(ISNUMBER(SEARCH("上",D6222)),ISNUMBER(SEARCH("去",D6222)),ISNUMBER(SEARCH("入",D6222)))),"Ambiguous",IF(ISNUMBER(SEARCH("平",D6222)),"平","仄")))</x:f>
        <x:v>仄</x:v>
      </x:c>
      <x:c r="L6222" s="7" t="str">
        <x:v>Pingshui main list, Lu Qinli gap fill</x:v>
      </x:c>
    </x:row>
    <x:row r="6223">
      <x:c r="A6223" s="5" t="str">
        <x:v>迍</x:v>
      </x:c>
      <x:c r="B6223" s="6" t="str">
        <x:v>平</x:v>
      </x:c>
      <x:c r="C6223" s="6" t="str">
        <x:f>IF(B6223="","Needs decision","Ready")</x:f>
        <x:v>Ready</x:v>
      </x:c>
      <x:c r="D6223" s="6" t="str">
        <x:v>平</x:v>
      </x:c>
      <x:c r="E6223" s="6" t="str"/>
      <x:c r="F6223" s="6" t="str">
        <x:v>上平聲十一真</x:v>
      </x:c>
      <x:c r="G6223" s="6" t="str">
        <x:v>Pingshui main list, Wikisource-derived DOCX</x:v>
      </x:c>
      <x:c r="H6223" s="6" t="str"/>
      <x:c r="I6223" s="6" t="str">
        <x:v>Lu Qinli gap fill from Pingshui main list; 詞 entries ignored</x:v>
      </x:c>
      <x:c r="J6223" s="6" t="str">
        <x:f>IF(B6223="","",IF(AND(ISNUMBER(SEARCH("平",B6223)),OR(ISNUMBER(SEARCH("上",B6223)),ISNUMBER(SEARCH("去",B6223)),ISNUMBER(SEARCH("入",B6223)))),"Ambiguous",IF(ISNUMBER(SEARCH("平",B6223)),"平","仄")))</x:f>
        <x:v>平</x:v>
      </x:c>
      <x:c r="K6223" s="6" t="str">
        <x:f>IF(D6223="","",IF(AND(ISNUMBER(SEARCH("平",D6223)),OR(ISNUMBER(SEARCH("上",D6223)),ISNUMBER(SEARCH("去",D6223)),ISNUMBER(SEARCH("入",D6223)))),"Ambiguous",IF(ISNUMBER(SEARCH("平",D6223)),"平","仄")))</x:f>
        <x:v>平</x:v>
      </x:c>
      <x:c r="L6223" s="7" t="str">
        <x:v>Pingshui main list, Lu Qinli gap fill</x:v>
      </x:c>
    </x:row>
    <x:row r="6224">
      <x:c r="A6224" s="5" t="str">
        <x:v>迦</x:v>
      </x:c>
      <x:c r="B6224" s="6" t="str">
        <x:v>平</x:v>
      </x:c>
      <x:c r="C6224" s="6" t="str">
        <x:f>IF(B6224="","Needs decision","Ready")</x:f>
        <x:v>Ready</x:v>
      </x:c>
      <x:c r="D6224" s="6" t="str">
        <x:v>平</x:v>
      </x:c>
      <x:c r="E6224" s="6" t="str"/>
      <x:c r="F6224" s="6" t="str">
        <x:v>下平聲五歌; 下平聲六麻</x:v>
      </x:c>
      <x:c r="G6224" s="6" t="str">
        <x:v>Pingshui main list, Wikisource-derived DOCX</x:v>
      </x:c>
      <x:c r="H6224" s="6" t="str"/>
      <x:c r="I6224" s="6" t="str">
        <x:v>Lu Qinli gap fill from Pingshui main list; 詞 entries ignored</x:v>
      </x:c>
      <x:c r="J6224" s="6" t="str">
        <x:f>IF(B6224="","",IF(AND(ISNUMBER(SEARCH("平",B6224)),OR(ISNUMBER(SEARCH("上",B6224)),ISNUMBER(SEARCH("去",B6224)),ISNUMBER(SEARCH("入",B6224)))),"Ambiguous",IF(ISNUMBER(SEARCH("平",B6224)),"平","仄")))</x:f>
        <x:v>平</x:v>
      </x:c>
      <x:c r="K6224" s="6" t="str">
        <x:f>IF(D6224="","",IF(AND(ISNUMBER(SEARCH("平",D6224)),OR(ISNUMBER(SEARCH("上",D6224)),ISNUMBER(SEARCH("去",D6224)),ISNUMBER(SEARCH("入",D6224)))),"Ambiguous",IF(ISNUMBER(SEARCH("平",D6224)),"平","仄")))</x:f>
        <x:v>平</x:v>
      </x:c>
      <x:c r="L6224" s="7" t="str">
        <x:v>Pingshui main list, Lu Qinli gap fill</x:v>
      </x:c>
    </x:row>
    <x:row r="6225">
      <x:c r="A6225" s="5" t="str">
        <x:v>迮</x:v>
      </x:c>
      <x:c r="B6225" s="6" t="str">
        <x:v>入</x:v>
      </x:c>
      <x:c r="C6225" s="6" t="str">
        <x:f>IF(B6225="","Needs decision","Ready")</x:f>
        <x:v>Ready</x:v>
      </x:c>
      <x:c r="D6225" s="6" t="str">
        <x:v>入</x:v>
      </x:c>
      <x:c r="E6225" s="6" t="str"/>
      <x:c r="F6225" s="6" t="str">
        <x:v>入聲十藥</x:v>
      </x:c>
      <x:c r="G6225" s="6" t="str">
        <x:v>Pingshui main list, Wikisource-derived DOCX</x:v>
      </x:c>
      <x:c r="H6225" s="6" t="str"/>
      <x:c r="I6225" s="6" t="str">
        <x:v>Lu Qinli gap fill from Pingshui main list; 詞 entries ignored</x:v>
      </x:c>
      <x:c r="J6225" s="6" t="str">
        <x:f>IF(B6225="","",IF(AND(ISNUMBER(SEARCH("平",B6225)),OR(ISNUMBER(SEARCH("上",B6225)),ISNUMBER(SEARCH("去",B6225)),ISNUMBER(SEARCH("入",B6225)))),"Ambiguous",IF(ISNUMBER(SEARCH("平",B6225)),"平","仄")))</x:f>
        <x:v>仄</x:v>
      </x:c>
      <x:c r="K6225" s="6" t="str">
        <x:f>IF(D6225="","",IF(AND(ISNUMBER(SEARCH("平",D6225)),OR(ISNUMBER(SEARCH("上",D6225)),ISNUMBER(SEARCH("去",D6225)),ISNUMBER(SEARCH("入",D6225)))),"Ambiguous",IF(ISNUMBER(SEARCH("平",D6225)),"平","仄")))</x:f>
        <x:v>仄</x:v>
      </x:c>
      <x:c r="L6225" s="7" t="str">
        <x:v>Pingshui main list, Lu Qinli gap fill</x:v>
      </x:c>
    </x:row>
    <x:row r="6226">
      <x:c r="A6226" s="5" t="str">
        <x:v>逋</x:v>
      </x:c>
      <x:c r="B6226" s="6" t="str">
        <x:v>平</x:v>
      </x:c>
      <x:c r="C6226" s="6" t="str">
        <x:f>IF(B6226="","Needs decision","Ready")</x:f>
        <x:v>Ready</x:v>
      </x:c>
      <x:c r="D6226" s="6" t="str">
        <x:v>平</x:v>
      </x:c>
      <x:c r="E6226" s="6" t="str"/>
      <x:c r="F6226" s="6" t="str">
        <x:v>上平聲七虞</x:v>
      </x:c>
      <x:c r="G6226" s="6" t="str">
        <x:v>Pingshui main list, Wikisource-derived DOCX</x:v>
      </x:c>
      <x:c r="H6226" s="6" t="str"/>
      <x:c r="I6226" s="6" t="str">
        <x:v>Lu Qinli gap fill from Pingshui main list; 詞 entries ignored</x:v>
      </x:c>
      <x:c r="J6226" s="6" t="str">
        <x:f>IF(B6226="","",IF(AND(ISNUMBER(SEARCH("平",B6226)),OR(ISNUMBER(SEARCH("上",B6226)),ISNUMBER(SEARCH("去",B6226)),ISNUMBER(SEARCH("入",B6226)))),"Ambiguous",IF(ISNUMBER(SEARCH("平",B6226)),"平","仄")))</x:f>
        <x:v>平</x:v>
      </x:c>
      <x:c r="K6226" s="6" t="str">
        <x:f>IF(D6226="","",IF(AND(ISNUMBER(SEARCH("平",D6226)),OR(ISNUMBER(SEARCH("上",D6226)),ISNUMBER(SEARCH("去",D6226)),ISNUMBER(SEARCH("入",D6226)))),"Ambiguous",IF(ISNUMBER(SEARCH("平",D6226)),"平","仄")))</x:f>
        <x:v>平</x:v>
      </x:c>
      <x:c r="L6226" s="7" t="str">
        <x:v>Pingshui main list, Lu Qinli gap fill</x:v>
      </x:c>
    </x:row>
    <x:row r="6227">
      <x:c r="A6227" s="5" t="str">
        <x:v>逖</x:v>
      </x:c>
      <x:c r="B6227" s="6" t="str">
        <x:v>入</x:v>
      </x:c>
      <x:c r="C6227" s="6" t="str">
        <x:f>IF(B6227="","Needs decision","Ready")</x:f>
        <x:v>Ready</x:v>
      </x:c>
      <x:c r="D6227" s="6" t="str">
        <x:v>入</x:v>
      </x:c>
      <x:c r="E6227" s="6" t="str"/>
      <x:c r="F6227" s="6" t="str">
        <x:v>入聲十二錫</x:v>
      </x:c>
      <x:c r="G6227" s="6" t="str">
        <x:v>Pingshui main list, Wikisource-derived DOCX</x:v>
      </x:c>
      <x:c r="H6227" s="6" t="str"/>
      <x:c r="I6227" s="6" t="str">
        <x:v>Lu Qinli gap fill from Pingshui main list; 詞 entries ignored</x:v>
      </x:c>
      <x:c r="J6227" s="6" t="str">
        <x:f>IF(B6227="","",IF(AND(ISNUMBER(SEARCH("平",B6227)),OR(ISNUMBER(SEARCH("上",B6227)),ISNUMBER(SEARCH("去",B6227)),ISNUMBER(SEARCH("入",B6227)))),"Ambiguous",IF(ISNUMBER(SEARCH("平",B6227)),"平","仄")))</x:f>
        <x:v>仄</x:v>
      </x:c>
      <x:c r="K6227" s="6" t="str">
        <x:f>IF(D6227="","",IF(AND(ISNUMBER(SEARCH("平",D6227)),OR(ISNUMBER(SEARCH("上",D6227)),ISNUMBER(SEARCH("去",D6227)),ISNUMBER(SEARCH("入",D6227)))),"Ambiguous",IF(ISNUMBER(SEARCH("平",D6227)),"平","仄")))</x:f>
        <x:v>仄</x:v>
      </x:c>
      <x:c r="L6227" s="7" t="str">
        <x:v>Pingshui main list, Lu Qinli gap fill</x:v>
      </x:c>
    </x:row>
    <x:row r="6228">
      <x:c r="A6228" s="5" t="str">
        <x:v>逯</x:v>
      </x:c>
      <x:c r="B6228" s="6" t="str">
        <x:v>入</x:v>
      </x:c>
      <x:c r="C6228" s="6" t="str">
        <x:f>IF(B6228="","Needs decision","Ready")</x:f>
        <x:v>Ready</x:v>
      </x:c>
      <x:c r="D6228" s="6" t="str">
        <x:v>入</x:v>
      </x:c>
      <x:c r="E6228" s="6" t="str"/>
      <x:c r="F6228" s="6" t="str">
        <x:v>入聲二沃</x:v>
      </x:c>
      <x:c r="G6228" s="6" t="str">
        <x:v>Pingshui main list, Wikisource-derived DOCX</x:v>
      </x:c>
      <x:c r="H6228" s="6" t="str"/>
      <x:c r="I6228" s="6" t="str">
        <x:v>Lu Qinli gap fill from Pingshui main list; 詞 entries ignored</x:v>
      </x:c>
      <x:c r="J6228" s="6" t="str">
        <x:f>IF(B6228="","",IF(AND(ISNUMBER(SEARCH("平",B6228)),OR(ISNUMBER(SEARCH("上",B6228)),ISNUMBER(SEARCH("去",B6228)),ISNUMBER(SEARCH("入",B6228)))),"Ambiguous",IF(ISNUMBER(SEARCH("平",B6228)),"平","仄")))</x:f>
        <x:v>仄</x:v>
      </x:c>
      <x:c r="K6228" s="6" t="str">
        <x:f>IF(D6228="","",IF(AND(ISNUMBER(SEARCH("平",D6228)),OR(ISNUMBER(SEARCH("上",D6228)),ISNUMBER(SEARCH("去",D6228)),ISNUMBER(SEARCH("入",D6228)))),"Ambiguous",IF(ISNUMBER(SEARCH("平",D6228)),"平","仄")))</x:f>
        <x:v>仄</x:v>
      </x:c>
      <x:c r="L6228" s="7" t="str">
        <x:v>Pingshui main list, Lu Qinli gap fill</x:v>
      </x:c>
    </x:row>
    <x:row r="6229">
      <x:c r="A6229" s="5" t="str">
        <x:v>逴</x:v>
      </x:c>
      <x:c r="B6229" s="6" t="str">
        <x:v>入</x:v>
      </x:c>
      <x:c r="C6229" s="6" t="str">
        <x:f>IF(B6229="","Needs decision","Ready")</x:f>
        <x:v>Ready</x:v>
      </x:c>
      <x:c r="D6229" s="6" t="str">
        <x:v>入</x:v>
      </x:c>
      <x:c r="E6229" s="6" t="str"/>
      <x:c r="F6229" s="6" t="str">
        <x:v>入聲三覺; 入聲十藥</x:v>
      </x:c>
      <x:c r="G6229" s="6" t="str">
        <x:v>Pingshui main list, Wikisource-derived DOCX</x:v>
      </x:c>
      <x:c r="H6229" s="6" t="str"/>
      <x:c r="I6229" s="6" t="str">
        <x:v>Lu Qinli gap fill from Pingshui main list; 詞 entries ignored</x:v>
      </x:c>
      <x:c r="J6229" s="6" t="str">
        <x:f>IF(B6229="","",IF(AND(ISNUMBER(SEARCH("平",B6229)),OR(ISNUMBER(SEARCH("上",B6229)),ISNUMBER(SEARCH("去",B6229)),ISNUMBER(SEARCH("入",B6229)))),"Ambiguous",IF(ISNUMBER(SEARCH("平",B6229)),"平","仄")))</x:f>
        <x:v>仄</x:v>
      </x:c>
      <x:c r="K6229" s="6" t="str">
        <x:f>IF(D6229="","",IF(AND(ISNUMBER(SEARCH("平",D6229)),OR(ISNUMBER(SEARCH("上",D6229)),ISNUMBER(SEARCH("去",D6229)),ISNUMBER(SEARCH("入",D6229)))),"Ambiguous",IF(ISNUMBER(SEARCH("平",D6229)),"平","仄")))</x:f>
        <x:v>仄</x:v>
      </x:c>
      <x:c r="L6229" s="7" t="str">
        <x:v>Pingshui main list, Lu Qinli gap fill</x:v>
      </x:c>
    </x:row>
    <x:row r="6230">
      <x:c r="A6230" s="5" t="str">
        <x:v>遄</x:v>
      </x:c>
      <x:c r="B6230" s="6" t="str">
        <x:v>平</x:v>
      </x:c>
      <x:c r="C6230" s="6" t="str">
        <x:f>IF(B6230="","Needs decision","Ready")</x:f>
        <x:v>Ready</x:v>
      </x:c>
      <x:c r="D6230" s="6" t="str">
        <x:v>平</x:v>
      </x:c>
      <x:c r="E6230" s="6" t="str"/>
      <x:c r="F6230" s="6" t="str">
        <x:v>下平聲一先</x:v>
      </x:c>
      <x:c r="G6230" s="6" t="str">
        <x:v>Pingshui main list, Wikisource-derived DOCX</x:v>
      </x:c>
      <x:c r="H6230" s="6" t="str"/>
      <x:c r="I6230" s="6" t="str">
        <x:v>Lu Qinli gap fill from Pingshui main list; 詞 entries ignored</x:v>
      </x:c>
      <x:c r="J6230" s="6" t="str">
        <x:f>IF(B6230="","",IF(AND(ISNUMBER(SEARCH("平",B6230)),OR(ISNUMBER(SEARCH("上",B6230)),ISNUMBER(SEARCH("去",B6230)),ISNUMBER(SEARCH("入",B6230)))),"Ambiguous",IF(ISNUMBER(SEARCH("平",B6230)),"平","仄")))</x:f>
        <x:v>平</x:v>
      </x:c>
      <x:c r="K6230" s="6" t="str">
        <x:f>IF(D6230="","",IF(AND(ISNUMBER(SEARCH("平",D6230)),OR(ISNUMBER(SEARCH("上",D6230)),ISNUMBER(SEARCH("去",D6230)),ISNUMBER(SEARCH("入",D6230)))),"Ambiguous",IF(ISNUMBER(SEARCH("平",D6230)),"平","仄")))</x:f>
        <x:v>平</x:v>
      </x:c>
      <x:c r="L6230" s="7" t="str">
        <x:v>Pingshui main list, Lu Qinli gap fill</x:v>
      </x:c>
    </x:row>
    <x:row r="6231">
      <x:c r="A6231" s="5" t="str">
        <x:v>遘</x:v>
      </x:c>
      <x:c r="B6231" s="6" t="str">
        <x:v>去</x:v>
      </x:c>
      <x:c r="C6231" s="6" t="str">
        <x:f>IF(B6231="","Needs decision","Ready")</x:f>
        <x:v>Ready</x:v>
      </x:c>
      <x:c r="D6231" s="6" t="str">
        <x:v>去</x:v>
      </x:c>
      <x:c r="E6231" s="6" t="str"/>
      <x:c r="F6231" s="6" t="str">
        <x:v>去聲二十六宥</x:v>
      </x:c>
      <x:c r="G6231" s="6" t="str">
        <x:v>Pingshui main list, Wikisource-derived DOCX</x:v>
      </x:c>
      <x:c r="H6231" s="6" t="str"/>
      <x:c r="I6231" s="6" t="str">
        <x:v>Lu Qinli gap fill from Pingshui main list; 詞 entries ignored</x:v>
      </x:c>
      <x:c r="J6231" s="6" t="str">
        <x:f>IF(B6231="","",IF(AND(ISNUMBER(SEARCH("平",B6231)),OR(ISNUMBER(SEARCH("上",B6231)),ISNUMBER(SEARCH("去",B6231)),ISNUMBER(SEARCH("入",B6231)))),"Ambiguous",IF(ISNUMBER(SEARCH("平",B6231)),"平","仄")))</x:f>
        <x:v>仄</x:v>
      </x:c>
      <x:c r="K6231" s="6" t="str">
        <x:f>IF(D6231="","",IF(AND(ISNUMBER(SEARCH("平",D6231)),OR(ISNUMBER(SEARCH("上",D6231)),ISNUMBER(SEARCH("去",D6231)),ISNUMBER(SEARCH("入",D6231)))),"Ambiguous",IF(ISNUMBER(SEARCH("平",D6231)),"平","仄")))</x:f>
        <x:v>仄</x:v>
      </x:c>
      <x:c r="L6231" s="7" t="str">
        <x:v>Pingshui main list, Lu Qinli gap fill</x:v>
      </x:c>
    </x:row>
    <x:row r="6232">
      <x:c r="A6232" s="5" t="str">
        <x:v>遛</x:v>
      </x:c>
      <x:c r="B6232" s="6" t="str">
        <x:v>平</x:v>
      </x:c>
      <x:c r="C6232" s="6" t="str">
        <x:f>IF(B6232="","Needs decision","Ready")</x:f>
        <x:v>Ready</x:v>
      </x:c>
      <x:c r="D6232" s="6" t="str">
        <x:v>平</x:v>
      </x:c>
      <x:c r="E6232" s="6" t="str"/>
      <x:c r="F6232" s="6" t="str">
        <x:v>下平聲十一尤</x:v>
      </x:c>
      <x:c r="G6232" s="6" t="str">
        <x:v>Pingshui main list, Wikisource-derived DOCX</x:v>
      </x:c>
      <x:c r="H6232" s="6" t="str"/>
      <x:c r="I6232" s="6" t="str">
        <x:v>Lu Qinli gap fill from Pingshui main list; 詞 entries ignored</x:v>
      </x:c>
      <x:c r="J6232" s="6" t="str">
        <x:f>IF(B6232="","",IF(AND(ISNUMBER(SEARCH("平",B6232)),OR(ISNUMBER(SEARCH("上",B6232)),ISNUMBER(SEARCH("去",B6232)),ISNUMBER(SEARCH("入",B6232)))),"Ambiguous",IF(ISNUMBER(SEARCH("平",B6232)),"平","仄")))</x:f>
        <x:v>平</x:v>
      </x:c>
      <x:c r="K6232" s="6" t="str">
        <x:f>IF(D6232="","",IF(AND(ISNUMBER(SEARCH("平",D6232)),OR(ISNUMBER(SEARCH("上",D6232)),ISNUMBER(SEARCH("去",D6232)),ISNUMBER(SEARCH("入",D6232)))),"Ambiguous",IF(ISNUMBER(SEARCH("平",D6232)),"平","仄")))</x:f>
        <x:v>平</x:v>
      </x:c>
      <x:c r="L6232" s="7" t="str">
        <x:v>Pingshui main list, Lu Qinli gap fill</x:v>
      </x:c>
    </x:row>
    <x:row r="6233">
      <x:c r="A6233" s="5" t="str">
        <x:v>遜</x:v>
      </x:c>
      <x:c r="B6233" s="6" t="str">
        <x:v>去</x:v>
      </x:c>
      <x:c r="C6233" s="6" t="str">
        <x:f>IF(B6233="","Needs decision","Ready")</x:f>
        <x:v>Ready</x:v>
      </x:c>
      <x:c r="D6233" s="6" t="str">
        <x:v>去</x:v>
      </x:c>
      <x:c r="E6233" s="6" t="str"/>
      <x:c r="F6233" s="6" t="str">
        <x:v>去聲十四願</x:v>
      </x:c>
      <x:c r="G6233" s="6" t="str">
        <x:v>Pingshui main list, Wikisource-derived DOCX</x:v>
      </x:c>
      <x:c r="H6233" s="6" t="str"/>
      <x:c r="I6233" s="6" t="str">
        <x:v>Lu Qinli gap fill from Pingshui main list; 詞 entries ignored</x:v>
      </x:c>
      <x:c r="J6233" s="6" t="str">
        <x:f>IF(B6233="","",IF(AND(ISNUMBER(SEARCH("平",B6233)),OR(ISNUMBER(SEARCH("上",B6233)),ISNUMBER(SEARCH("去",B6233)),ISNUMBER(SEARCH("入",B6233)))),"Ambiguous",IF(ISNUMBER(SEARCH("平",B6233)),"平","仄")))</x:f>
        <x:v>仄</x:v>
      </x:c>
      <x:c r="K6233" s="6" t="str">
        <x:f>IF(D6233="","",IF(AND(ISNUMBER(SEARCH("平",D6233)),OR(ISNUMBER(SEARCH("上",D6233)),ISNUMBER(SEARCH("去",D6233)),ISNUMBER(SEARCH("入",D6233)))),"Ambiguous",IF(ISNUMBER(SEARCH("平",D6233)),"平","仄")))</x:f>
        <x:v>仄</x:v>
      </x:c>
      <x:c r="L6233" s="7" t="str">
        <x:v>Pingshui main list, Lu Qinli gap fill</x:v>
      </x:c>
    </x:row>
    <x:row r="6234">
      <x:c r="A6234" s="5" t="str">
        <x:v>遰</x:v>
      </x:c>
      <x:c r="B6234" s="6" t="str">
        <x:v>去</x:v>
      </x:c>
      <x:c r="C6234" s="6" t="str">
        <x:f>IF(B6234="","Needs decision","Ready")</x:f>
        <x:v>Ready</x:v>
      </x:c>
      <x:c r="D6234" s="6" t="str">
        <x:v>去</x:v>
      </x:c>
      <x:c r="E6234" s="6" t="str"/>
      <x:c r="F6234" s="6" t="str">
        <x:v>去聲八霽</x:v>
      </x:c>
      <x:c r="G6234" s="6" t="str">
        <x:v>Pingshui main list, Wikisource-derived DOCX</x:v>
      </x:c>
      <x:c r="H6234" s="6" t="str"/>
      <x:c r="I6234" s="6" t="str">
        <x:v>Lu Qinli gap fill from Pingshui main list; 詞 entries ignored</x:v>
      </x:c>
      <x:c r="J6234" s="6" t="str">
        <x:f>IF(B6234="","",IF(AND(ISNUMBER(SEARCH("平",B6234)),OR(ISNUMBER(SEARCH("上",B6234)),ISNUMBER(SEARCH("去",B6234)),ISNUMBER(SEARCH("入",B6234)))),"Ambiguous",IF(ISNUMBER(SEARCH("平",B6234)),"平","仄")))</x:f>
        <x:v>仄</x:v>
      </x:c>
      <x:c r="K6234" s="6" t="str">
        <x:f>IF(D6234="","",IF(AND(ISNUMBER(SEARCH("平",D6234)),OR(ISNUMBER(SEARCH("上",D6234)),ISNUMBER(SEARCH("去",D6234)),ISNUMBER(SEARCH("入",D6234)))),"Ambiguous",IF(ISNUMBER(SEARCH("平",D6234)),"平","仄")))</x:f>
        <x:v>仄</x:v>
      </x:c>
      <x:c r="L6234" s="7" t="str">
        <x:v>Pingshui main list, Lu Qinli gap fill</x:v>
      </x:c>
    </x:row>
    <x:row r="6235">
      <x:c r="A6235" s="5" t="str">
        <x:v>遴</x:v>
      </x:c>
      <x:c r="B6235" s="6" t="str">
        <x:v>去</x:v>
      </x:c>
      <x:c r="C6235" s="6" t="str">
        <x:f>IF(B6235="","Needs decision","Ready")</x:f>
        <x:v>Ready</x:v>
      </x:c>
      <x:c r="D6235" s="6" t="str">
        <x:v>去</x:v>
      </x:c>
      <x:c r="E6235" s="6" t="str"/>
      <x:c r="F6235" s="6" t="str">
        <x:v>去聲十二震</x:v>
      </x:c>
      <x:c r="G6235" s="6" t="str">
        <x:v>Pingshui main list, Wikisource-derived DOCX</x:v>
      </x:c>
      <x:c r="H6235" s="6" t="str"/>
      <x:c r="I6235" s="6" t="str">
        <x:v>Lu Qinli gap fill from Pingshui main list; 詞 entries ignored</x:v>
      </x:c>
      <x:c r="J6235" s="6" t="str">
        <x:f>IF(B6235="","",IF(AND(ISNUMBER(SEARCH("平",B6235)),OR(ISNUMBER(SEARCH("上",B6235)),ISNUMBER(SEARCH("去",B6235)),ISNUMBER(SEARCH("入",B6235)))),"Ambiguous",IF(ISNUMBER(SEARCH("平",B6235)),"平","仄")))</x:f>
        <x:v>仄</x:v>
      </x:c>
      <x:c r="K6235" s="6" t="str">
        <x:f>IF(D6235="","",IF(AND(ISNUMBER(SEARCH("平",D6235)),OR(ISNUMBER(SEARCH("上",D6235)),ISNUMBER(SEARCH("去",D6235)),ISNUMBER(SEARCH("入",D6235)))),"Ambiguous",IF(ISNUMBER(SEARCH("平",D6235)),"平","仄")))</x:f>
        <x:v>仄</x:v>
      </x:c>
      <x:c r="L6235" s="7" t="str">
        <x:v>Pingshui main list, Lu Qinli gap fill</x:v>
      </x:c>
    </x:row>
    <x:row r="6236">
      <x:c r="A6236" s="5" t="str">
        <x:v>邃</x:v>
      </x:c>
      <x:c r="B6236" s="6" t="str">
        <x:v>去</x:v>
      </x:c>
      <x:c r="C6236" s="6" t="str">
        <x:f>IF(B6236="","Needs decision","Ready")</x:f>
        <x:v>Ready</x:v>
      </x:c>
      <x:c r="D6236" s="6" t="str">
        <x:v>去</x:v>
      </x:c>
      <x:c r="E6236" s="6" t="str"/>
      <x:c r="F6236" s="6" t="str">
        <x:v>去聲四寘</x:v>
      </x:c>
      <x:c r="G6236" s="6" t="str">
        <x:v>Pingshui main list, Wikisource-derived DOCX</x:v>
      </x:c>
      <x:c r="H6236" s="6" t="str"/>
      <x:c r="I6236" s="6" t="str">
        <x:v>Lu Qinli gap fill from Pingshui main list; 詞 entries ignored</x:v>
      </x:c>
      <x:c r="J6236" s="6" t="str">
        <x:f>IF(B6236="","",IF(AND(ISNUMBER(SEARCH("平",B6236)),OR(ISNUMBER(SEARCH("上",B6236)),ISNUMBER(SEARCH("去",B6236)),ISNUMBER(SEARCH("入",B6236)))),"Ambiguous",IF(ISNUMBER(SEARCH("平",B6236)),"平","仄")))</x:f>
        <x:v>仄</x:v>
      </x:c>
      <x:c r="K6236" s="6" t="str">
        <x:f>IF(D6236="","",IF(AND(ISNUMBER(SEARCH("平",D6236)),OR(ISNUMBER(SEARCH("上",D6236)),ISNUMBER(SEARCH("去",D6236)),ISNUMBER(SEARCH("入",D6236)))),"Ambiguous",IF(ISNUMBER(SEARCH("平",D6236)),"平","仄")))</x:f>
        <x:v>仄</x:v>
      </x:c>
      <x:c r="L6236" s="7" t="str">
        <x:v>Pingshui main list, Lu Qinli gap fill</x:v>
      </x:c>
    </x:row>
    <x:row r="6237">
      <x:c r="A6237" s="5" t="str">
        <x:v>邅</x:v>
      </x:c>
      <x:c r="B6237" s="6" t="str">
        <x:v>平</x:v>
      </x:c>
      <x:c r="C6237" s="6" t="str">
        <x:f>IF(B6237="","Needs decision","Ready")</x:f>
        <x:v>Ready</x:v>
      </x:c>
      <x:c r="D6237" s="6" t="str">
        <x:v>平</x:v>
      </x:c>
      <x:c r="E6237" s="6" t="str"/>
      <x:c r="F6237" s="6" t="str">
        <x:v>下平聲一先</x:v>
      </x:c>
      <x:c r="G6237" s="6" t="str">
        <x:v>Pingshui main list, Wikisource-derived DOCX</x:v>
      </x:c>
      <x:c r="H6237" s="6" t="str"/>
      <x:c r="I6237" s="6" t="str">
        <x:v>Lu Qinli gap fill from Pingshui main list; 詞 entries ignored</x:v>
      </x:c>
      <x:c r="J6237" s="6" t="str">
        <x:f>IF(B6237="","",IF(AND(ISNUMBER(SEARCH("平",B6237)),OR(ISNUMBER(SEARCH("上",B6237)),ISNUMBER(SEARCH("去",B6237)),ISNUMBER(SEARCH("入",B6237)))),"Ambiguous",IF(ISNUMBER(SEARCH("平",B6237)),"平","仄")))</x:f>
        <x:v>平</x:v>
      </x:c>
      <x:c r="K6237" s="6" t="str">
        <x:f>IF(D6237="","",IF(AND(ISNUMBER(SEARCH("平",D6237)),OR(ISNUMBER(SEARCH("上",D6237)),ISNUMBER(SEARCH("去",D6237)),ISNUMBER(SEARCH("入",D6237)))),"Ambiguous",IF(ISNUMBER(SEARCH("平",D6237)),"平","仄")))</x:f>
        <x:v>平</x:v>
      </x:c>
      <x:c r="L6237" s="7" t="str">
        <x:v>Pingshui main list, Lu Qinli gap fill</x:v>
      </x:c>
    </x:row>
    <x:row r="6238">
      <x:c r="A6238" s="5" t="str">
        <x:v>邙</x:v>
      </x:c>
      <x:c r="B6238" s="6" t="str">
        <x:v>平</x:v>
      </x:c>
      <x:c r="C6238" s="6" t="str">
        <x:f>IF(B6238="","Needs decision","Ready")</x:f>
        <x:v>Ready</x:v>
      </x:c>
      <x:c r="D6238" s="6" t="str">
        <x:v>平</x:v>
      </x:c>
      <x:c r="E6238" s="6" t="str"/>
      <x:c r="F6238" s="6" t="str">
        <x:v>下平聲七陽</x:v>
      </x:c>
      <x:c r="G6238" s="6" t="str">
        <x:v>Pingshui main list, Wikisource-derived DOCX</x:v>
      </x:c>
      <x:c r="H6238" s="6" t="str"/>
      <x:c r="I6238" s="6" t="str">
        <x:v>Lu Qinli gap fill from Pingshui main list; 詞 entries ignored</x:v>
      </x:c>
      <x:c r="J6238" s="6" t="str">
        <x:f>IF(B6238="","",IF(AND(ISNUMBER(SEARCH("平",B6238)),OR(ISNUMBER(SEARCH("上",B6238)),ISNUMBER(SEARCH("去",B6238)),ISNUMBER(SEARCH("入",B6238)))),"Ambiguous",IF(ISNUMBER(SEARCH("平",B6238)),"平","仄")))</x:f>
        <x:v>平</x:v>
      </x:c>
      <x:c r="K6238" s="6" t="str">
        <x:f>IF(D6238="","",IF(AND(ISNUMBER(SEARCH("平",D6238)),OR(ISNUMBER(SEARCH("上",D6238)),ISNUMBER(SEARCH("去",D6238)),ISNUMBER(SEARCH("入",D6238)))),"Ambiguous",IF(ISNUMBER(SEARCH("平",D6238)),"平","仄")))</x:f>
        <x:v>平</x:v>
      </x:c>
      <x:c r="L6238" s="7" t="str">
        <x:v>Pingshui main list, Lu Qinli gap fill</x:v>
      </x:c>
    </x:row>
    <x:row r="6239">
      <x:c r="A6239" s="5" t="str">
        <x:v>邸</x:v>
      </x:c>
      <x:c r="B6239" s="6" t="str">
        <x:v>上</x:v>
      </x:c>
      <x:c r="C6239" s="6" t="str">
        <x:f>IF(B6239="","Needs decision","Ready")</x:f>
        <x:v>Ready</x:v>
      </x:c>
      <x:c r="D6239" s="6" t="str">
        <x:v>上</x:v>
      </x:c>
      <x:c r="E6239" s="6" t="str"/>
      <x:c r="F6239" s="6" t="str">
        <x:v>上聲八薺</x:v>
      </x:c>
      <x:c r="G6239" s="6" t="str">
        <x:v>Pingshui main list, Wikisource-derived DOCX</x:v>
      </x:c>
      <x:c r="H6239" s="6" t="str"/>
      <x:c r="I6239" s="6" t="str">
        <x:v>Lu Qinli gap fill from Pingshui main list; 詞 entries ignored</x:v>
      </x:c>
      <x:c r="J6239" s="6" t="str">
        <x:f>IF(B6239="","",IF(AND(ISNUMBER(SEARCH("平",B6239)),OR(ISNUMBER(SEARCH("上",B6239)),ISNUMBER(SEARCH("去",B6239)),ISNUMBER(SEARCH("入",B6239)))),"Ambiguous",IF(ISNUMBER(SEARCH("平",B6239)),"平","仄")))</x:f>
        <x:v>仄</x:v>
      </x:c>
      <x:c r="K6239" s="6" t="str">
        <x:f>IF(D6239="","",IF(AND(ISNUMBER(SEARCH("平",D6239)),OR(ISNUMBER(SEARCH("上",D6239)),ISNUMBER(SEARCH("去",D6239)),ISNUMBER(SEARCH("入",D6239)))),"Ambiguous",IF(ISNUMBER(SEARCH("平",D6239)),"平","仄")))</x:f>
        <x:v>仄</x:v>
      </x:c>
      <x:c r="L6239" s="7" t="str">
        <x:v>Pingshui main list, Lu Qinli gap fill</x:v>
      </x:c>
    </x:row>
    <x:row r="6240">
      <x:c r="A6240" s="5" t="str">
        <x:v>邽</x:v>
      </x:c>
      <x:c r="B6240" s="6" t="str">
        <x:v>平</x:v>
      </x:c>
      <x:c r="C6240" s="6" t="str">
        <x:f>IF(B6240="","Needs decision","Ready")</x:f>
        <x:v>Ready</x:v>
      </x:c>
      <x:c r="D6240" s="6" t="str">
        <x:v>平</x:v>
      </x:c>
      <x:c r="E6240" s="6" t="str"/>
      <x:c r="F6240" s="6" t="str">
        <x:v>上平聲八齊</x:v>
      </x:c>
      <x:c r="G6240" s="6" t="str">
        <x:v>Pingshui main list, Wikisource-derived DOCX</x:v>
      </x:c>
      <x:c r="H6240" s="6" t="str"/>
      <x:c r="I6240" s="6" t="str">
        <x:v>Lu Qinli gap fill from Pingshui main list; 詞 entries ignored</x:v>
      </x:c>
      <x:c r="J6240" s="6" t="str">
        <x:f>IF(B6240="","",IF(AND(ISNUMBER(SEARCH("平",B6240)),OR(ISNUMBER(SEARCH("上",B6240)),ISNUMBER(SEARCH("去",B6240)),ISNUMBER(SEARCH("入",B6240)))),"Ambiguous",IF(ISNUMBER(SEARCH("平",B6240)),"平","仄")))</x:f>
        <x:v>平</x:v>
      </x:c>
      <x:c r="K6240" s="6" t="str">
        <x:f>IF(D6240="","",IF(AND(ISNUMBER(SEARCH("平",D6240)),OR(ISNUMBER(SEARCH("上",D6240)),ISNUMBER(SEARCH("去",D6240)),ISNUMBER(SEARCH("入",D6240)))),"Ambiguous",IF(ISNUMBER(SEARCH("平",D6240)),"平","仄")))</x:f>
        <x:v>平</x:v>
      </x:c>
      <x:c r="L6240" s="7" t="str">
        <x:v>Pingshui main list, Lu Qinli gap fill</x:v>
      </x:c>
    </x:row>
    <x:row r="6241">
      <x:c r="A6241" s="5" t="str">
        <x:v>郇</x:v>
      </x:c>
      <x:c r="B6241" s="6" t="str">
        <x:v>平</x:v>
      </x:c>
      <x:c r="C6241" s="6" t="str">
        <x:f>IF(B6241="","Needs decision","Ready")</x:f>
        <x:v>Ready</x:v>
      </x:c>
      <x:c r="D6241" s="6" t="str">
        <x:v>平</x:v>
      </x:c>
      <x:c r="E6241" s="6" t="str"/>
      <x:c r="F6241" s="6" t="str">
        <x:v>上平聲十一真</x:v>
      </x:c>
      <x:c r="G6241" s="6" t="str">
        <x:v>Pingshui main list, Wikisource-derived DOCX</x:v>
      </x:c>
      <x:c r="H6241" s="6" t="str"/>
      <x:c r="I6241" s="6" t="str">
        <x:v>Lu Qinli gap fill from Pingshui main list; 詞 entries ignored</x:v>
      </x:c>
      <x:c r="J6241" s="6" t="str">
        <x:f>IF(B6241="","",IF(AND(ISNUMBER(SEARCH("平",B6241)),OR(ISNUMBER(SEARCH("上",B6241)),ISNUMBER(SEARCH("去",B6241)),ISNUMBER(SEARCH("入",B6241)))),"Ambiguous",IF(ISNUMBER(SEARCH("平",B6241)),"平","仄")))</x:f>
        <x:v>平</x:v>
      </x:c>
      <x:c r="K6241" s="6" t="str">
        <x:f>IF(D6241="","",IF(AND(ISNUMBER(SEARCH("平",D6241)),OR(ISNUMBER(SEARCH("上",D6241)),ISNUMBER(SEARCH("去",D6241)),ISNUMBER(SEARCH("入",D6241)))),"Ambiguous",IF(ISNUMBER(SEARCH("平",D6241)),"平","仄")))</x:f>
        <x:v>平</x:v>
      </x:c>
      <x:c r="L6241" s="7" t="str">
        <x:v>Pingshui main list, Lu Qinli gap fill</x:v>
      </x:c>
    </x:row>
    <x:row r="6242">
      <x:c r="A6242" s="5" t="str">
        <x:v>郈</x:v>
      </x:c>
      <x:c r="B6242" s="6" t="str">
        <x:v>上</x:v>
      </x:c>
      <x:c r="C6242" s="6" t="str">
        <x:f>IF(B6242="","Needs decision","Ready")</x:f>
        <x:v>Ready</x:v>
      </x:c>
      <x:c r="D6242" s="6" t="str">
        <x:v>上</x:v>
      </x:c>
      <x:c r="E6242" s="6" t="str"/>
      <x:c r="F6242" s="6" t="str">
        <x:v>上聲二十五有</x:v>
      </x:c>
      <x:c r="G6242" s="6" t="str">
        <x:v>Pingshui main list, Wikisource-derived DOCX</x:v>
      </x:c>
      <x:c r="H6242" s="6" t="str"/>
      <x:c r="I6242" s="6" t="str">
        <x:v>Lu Qinli gap fill from Pingshui main list; 詞 entries ignored</x:v>
      </x:c>
      <x:c r="J6242" s="6" t="str">
        <x:f>IF(B6242="","",IF(AND(ISNUMBER(SEARCH("平",B6242)),OR(ISNUMBER(SEARCH("上",B6242)),ISNUMBER(SEARCH("去",B6242)),ISNUMBER(SEARCH("入",B6242)))),"Ambiguous",IF(ISNUMBER(SEARCH("平",B6242)),"平","仄")))</x:f>
        <x:v>仄</x:v>
      </x:c>
      <x:c r="K6242" s="6" t="str">
        <x:f>IF(D6242="","",IF(AND(ISNUMBER(SEARCH("平",D6242)),OR(ISNUMBER(SEARCH("上",D6242)),ISNUMBER(SEARCH("去",D6242)),ISNUMBER(SEARCH("入",D6242)))),"Ambiguous",IF(ISNUMBER(SEARCH("平",D6242)),"平","仄")))</x:f>
        <x:v>仄</x:v>
      </x:c>
      <x:c r="L6242" s="7" t="str">
        <x:v>Pingshui main list, Lu Qinli gap fill</x:v>
      </x:c>
    </x:row>
    <x:row r="6243">
      <x:c r="A6243" s="5" t="str">
        <x:v>郛</x:v>
      </x:c>
      <x:c r="B6243" s="6" t="str">
        <x:v>平</x:v>
      </x:c>
      <x:c r="C6243" s="6" t="str">
        <x:f>IF(B6243="","Needs decision","Ready")</x:f>
        <x:v>Ready</x:v>
      </x:c>
      <x:c r="D6243" s="6" t="str">
        <x:v>平</x:v>
      </x:c>
      <x:c r="E6243" s="6" t="str"/>
      <x:c r="F6243" s="6" t="str">
        <x:v>上平聲七虞</x:v>
      </x:c>
      <x:c r="G6243" s="6" t="str">
        <x:v>Pingshui main list, Wikisource-derived DOCX</x:v>
      </x:c>
      <x:c r="H6243" s="6" t="str"/>
      <x:c r="I6243" s="6" t="str">
        <x:v>Lu Qinli gap fill from Pingshui main list; 詞 entries ignored</x:v>
      </x:c>
      <x:c r="J6243" s="6" t="str">
        <x:f>IF(B6243="","",IF(AND(ISNUMBER(SEARCH("平",B6243)),OR(ISNUMBER(SEARCH("上",B6243)),ISNUMBER(SEARCH("去",B6243)),ISNUMBER(SEARCH("入",B6243)))),"Ambiguous",IF(ISNUMBER(SEARCH("平",B6243)),"平","仄")))</x:f>
        <x:v>平</x:v>
      </x:c>
      <x:c r="K6243" s="6" t="str">
        <x:f>IF(D6243="","",IF(AND(ISNUMBER(SEARCH("平",D6243)),OR(ISNUMBER(SEARCH("上",D6243)),ISNUMBER(SEARCH("去",D6243)),ISNUMBER(SEARCH("入",D6243)))),"Ambiguous",IF(ISNUMBER(SEARCH("平",D6243)),"平","仄")))</x:f>
        <x:v>平</x:v>
      </x:c>
      <x:c r="L6243" s="7" t="str">
        <x:v>Pingshui main list, Lu Qinli gap fill</x:v>
      </x:c>
    </x:row>
    <x:row r="6244">
      <x:c r="A6244" s="5" t="str">
        <x:v>郫</x:v>
      </x:c>
      <x:c r="B6244" s="6" t="str">
        <x:v>平</x:v>
      </x:c>
      <x:c r="C6244" s="6" t="str">
        <x:f>IF(B6244="","Needs decision","Ready")</x:f>
        <x:v>Ready</x:v>
      </x:c>
      <x:c r="D6244" s="6" t="str">
        <x:v>平</x:v>
      </x:c>
      <x:c r="E6244" s="6" t="str"/>
      <x:c r="F6244" s="6" t="str">
        <x:v>上平聲四支</x:v>
      </x:c>
      <x:c r="G6244" s="6" t="str">
        <x:v>Pingshui main list, Wikisource-derived DOCX</x:v>
      </x:c>
      <x:c r="H6244" s="6" t="str"/>
      <x:c r="I6244" s="6" t="str">
        <x:v>Lu Qinli gap fill from Pingshui main list; 詞 entries ignored</x:v>
      </x:c>
      <x:c r="J6244" s="6" t="str">
        <x:f>IF(B6244="","",IF(AND(ISNUMBER(SEARCH("平",B6244)),OR(ISNUMBER(SEARCH("上",B6244)),ISNUMBER(SEARCH("去",B6244)),ISNUMBER(SEARCH("入",B6244)))),"Ambiguous",IF(ISNUMBER(SEARCH("平",B6244)),"平","仄")))</x:f>
        <x:v>平</x:v>
      </x:c>
      <x:c r="K6244" s="6" t="str">
        <x:f>IF(D6244="","",IF(AND(ISNUMBER(SEARCH("平",D6244)),OR(ISNUMBER(SEARCH("上",D6244)),ISNUMBER(SEARCH("去",D6244)),ISNUMBER(SEARCH("入",D6244)))),"Ambiguous",IF(ISNUMBER(SEARCH("平",D6244)),"平","仄")))</x:f>
        <x:v>平</x:v>
      </x:c>
      <x:c r="L6244" s="7" t="str">
        <x:v>Pingshui main list, Lu Qinli gap fill</x:v>
      </x:c>
    </x:row>
    <x:row r="6245">
      <x:c r="A6245" s="5" t="str">
        <x:v>郯</x:v>
      </x:c>
      <x:c r="B6245" s="6" t="str">
        <x:v>平</x:v>
      </x:c>
      <x:c r="C6245" s="6" t="str">
        <x:f>IF(B6245="","Needs decision","Ready")</x:f>
        <x:v>Ready</x:v>
      </x:c>
      <x:c r="D6245" s="6" t="str">
        <x:v>平</x:v>
      </x:c>
      <x:c r="E6245" s="6" t="str"/>
      <x:c r="F6245" s="6" t="str">
        <x:v>下平聲十三覃</x:v>
      </x:c>
      <x:c r="G6245" s="6" t="str">
        <x:v>Pingshui main list, Wikisource-derived DOCX</x:v>
      </x:c>
      <x:c r="H6245" s="6" t="str"/>
      <x:c r="I6245" s="6" t="str">
        <x:v>Lu Qinli gap fill from Pingshui main list; 詞 entries ignored</x:v>
      </x:c>
      <x:c r="J6245" s="6" t="str">
        <x:f>IF(B6245="","",IF(AND(ISNUMBER(SEARCH("平",B6245)),OR(ISNUMBER(SEARCH("上",B6245)),ISNUMBER(SEARCH("去",B6245)),ISNUMBER(SEARCH("入",B6245)))),"Ambiguous",IF(ISNUMBER(SEARCH("平",B6245)),"平","仄")))</x:f>
        <x:v>平</x:v>
      </x:c>
      <x:c r="K6245" s="6" t="str">
        <x:f>IF(D6245="","",IF(AND(ISNUMBER(SEARCH("平",D6245)),OR(ISNUMBER(SEARCH("上",D6245)),ISNUMBER(SEARCH("去",D6245)),ISNUMBER(SEARCH("入",D6245)))),"Ambiguous",IF(ISNUMBER(SEARCH("平",D6245)),"平","仄")))</x:f>
        <x:v>平</x:v>
      </x:c>
      <x:c r="L6245" s="7" t="str">
        <x:v>Pingshui main list, Lu Qinli gap fill</x:v>
      </x:c>
    </x:row>
    <x:row r="6246">
      <x:c r="A6246" s="5" t="str">
        <x:v>郴</x:v>
      </x:c>
      <x:c r="B6246" s="6" t="str">
        <x:v>平</x:v>
      </x:c>
      <x:c r="C6246" s="6" t="str">
        <x:f>IF(B6246="","Needs decision","Ready")</x:f>
        <x:v>Ready</x:v>
      </x:c>
      <x:c r="D6246" s="6" t="str">
        <x:v>平</x:v>
      </x:c>
      <x:c r="E6246" s="6" t="str"/>
      <x:c r="F6246" s="6" t="str">
        <x:v>下平聲十二侵</x:v>
      </x:c>
      <x:c r="G6246" s="6" t="str">
        <x:v>Pingshui main list, Wikisource-derived DOCX</x:v>
      </x:c>
      <x:c r="H6246" s="6" t="str"/>
      <x:c r="I6246" s="6" t="str">
        <x:v>Lu Qinli gap fill from Pingshui main list; 詞 entries ignored</x:v>
      </x:c>
      <x:c r="J6246" s="6" t="str">
        <x:f>IF(B6246="","",IF(AND(ISNUMBER(SEARCH("平",B6246)),OR(ISNUMBER(SEARCH("上",B6246)),ISNUMBER(SEARCH("去",B6246)),ISNUMBER(SEARCH("入",B6246)))),"Ambiguous",IF(ISNUMBER(SEARCH("平",B6246)),"平","仄")))</x:f>
        <x:v>平</x:v>
      </x:c>
      <x:c r="K6246" s="6" t="str">
        <x:f>IF(D6246="","",IF(AND(ISNUMBER(SEARCH("平",D6246)),OR(ISNUMBER(SEARCH("上",D6246)),ISNUMBER(SEARCH("去",D6246)),ISNUMBER(SEARCH("入",D6246)))),"Ambiguous",IF(ISNUMBER(SEARCH("平",D6246)),"平","仄")))</x:f>
        <x:v>平</x:v>
      </x:c>
      <x:c r="L6246" s="7" t="str">
        <x:v>Pingshui main list, Lu Qinli gap fill</x:v>
      </x:c>
    </x:row>
    <x:row r="6247">
      <x:c r="A6247" s="5" t="str">
        <x:v>郵</x:v>
      </x:c>
      <x:c r="B6247" s="6" t="str">
        <x:v>平</x:v>
      </x:c>
      <x:c r="C6247" s="6" t="str">
        <x:f>IF(B6247="","Needs decision","Ready")</x:f>
        <x:v>Ready</x:v>
      </x:c>
      <x:c r="D6247" s="6" t="str">
        <x:v>平</x:v>
      </x:c>
      <x:c r="E6247" s="6" t="str"/>
      <x:c r="F6247" s="6" t="str">
        <x:v>下平聲十一尤</x:v>
      </x:c>
      <x:c r="G6247" s="6" t="str">
        <x:v>Pingshui main list, Wikisource-derived DOCX</x:v>
      </x:c>
      <x:c r="H6247" s="6" t="str"/>
      <x:c r="I6247" s="6" t="str">
        <x:v>Lu Qinli gap fill from Pingshui main list; 詞 entries ignored</x:v>
      </x:c>
      <x:c r="J6247" s="6" t="str">
        <x:f>IF(B6247="","",IF(AND(ISNUMBER(SEARCH("平",B6247)),OR(ISNUMBER(SEARCH("上",B6247)),ISNUMBER(SEARCH("去",B6247)),ISNUMBER(SEARCH("入",B6247)))),"Ambiguous",IF(ISNUMBER(SEARCH("平",B6247)),"平","仄")))</x:f>
        <x:v>平</x:v>
      </x:c>
      <x:c r="K6247" s="6" t="str">
        <x:f>IF(D6247="","",IF(AND(ISNUMBER(SEARCH("平",D6247)),OR(ISNUMBER(SEARCH("上",D6247)),ISNUMBER(SEARCH("去",D6247)),ISNUMBER(SEARCH("入",D6247)))),"Ambiguous",IF(ISNUMBER(SEARCH("平",D6247)),"平","仄")))</x:f>
        <x:v>平</x:v>
      </x:c>
      <x:c r="L6247" s="7" t="str">
        <x:v>Pingshui main list, Lu Qinli gap fill</x:v>
      </x:c>
    </x:row>
    <x:row r="6248">
      <x:c r="A6248" s="5" t="str">
        <x:v>郾</x:v>
      </x:c>
      <x:c r="B6248" s="6" t="str">
        <x:v>去</x:v>
      </x:c>
      <x:c r="C6248" s="6" t="str">
        <x:f>IF(B6248="","Needs decision","Ready")</x:f>
        <x:v>Ready</x:v>
      </x:c>
      <x:c r="D6248" s="6" t="str">
        <x:v>去</x:v>
      </x:c>
      <x:c r="E6248" s="6" t="str"/>
      <x:c r="F6248" s="6" t="str">
        <x:v>去聲十四願</x:v>
      </x:c>
      <x:c r="G6248" s="6" t="str">
        <x:v>Pingshui main list, Wikisource-derived DOCX</x:v>
      </x:c>
      <x:c r="H6248" s="6" t="str"/>
      <x:c r="I6248" s="6" t="str">
        <x:v>Lu Qinli gap fill from Pingshui main list; 詞 entries ignored</x:v>
      </x:c>
      <x:c r="J6248" s="6" t="str">
        <x:f>IF(B6248="","",IF(AND(ISNUMBER(SEARCH("平",B6248)),OR(ISNUMBER(SEARCH("上",B6248)),ISNUMBER(SEARCH("去",B6248)),ISNUMBER(SEARCH("入",B6248)))),"Ambiguous",IF(ISNUMBER(SEARCH("平",B6248)),"平","仄")))</x:f>
        <x:v>仄</x:v>
      </x:c>
      <x:c r="K6248" s="6" t="str">
        <x:f>IF(D6248="","",IF(AND(ISNUMBER(SEARCH("平",D6248)),OR(ISNUMBER(SEARCH("上",D6248)),ISNUMBER(SEARCH("去",D6248)),ISNUMBER(SEARCH("入",D6248)))),"Ambiguous",IF(ISNUMBER(SEARCH("平",D6248)),"平","仄")))</x:f>
        <x:v>仄</x:v>
      </x:c>
      <x:c r="L6248" s="7" t="str">
        <x:v>Pingshui main list, Lu Qinli gap fill</x:v>
      </x:c>
    </x:row>
    <x:row r="6249">
      <x:c r="A6249" s="5" t="str">
        <x:v>郿</x:v>
      </x:c>
      <x:c r="B6249" s="6" t="str">
        <x:v>平</x:v>
      </x:c>
      <x:c r="C6249" s="6" t="str">
        <x:f>IF(B6249="","Needs decision","Ready")</x:f>
        <x:v>Ready</x:v>
      </x:c>
      <x:c r="D6249" s="6" t="str">
        <x:v>平</x:v>
      </x:c>
      <x:c r="E6249" s="6" t="str"/>
      <x:c r="F6249" s="6" t="str">
        <x:v>上平聲四支</x:v>
      </x:c>
      <x:c r="G6249" s="6" t="str">
        <x:v>Pingshui main list, Wikisource-derived DOCX</x:v>
      </x:c>
      <x:c r="H6249" s="6" t="str"/>
      <x:c r="I6249" s="6" t="str">
        <x:v>Lu Qinli gap fill from Pingshui main list; 詞 entries ignored</x:v>
      </x:c>
      <x:c r="J6249" s="6" t="str">
        <x:f>IF(B6249="","",IF(AND(ISNUMBER(SEARCH("平",B6249)),OR(ISNUMBER(SEARCH("上",B6249)),ISNUMBER(SEARCH("去",B6249)),ISNUMBER(SEARCH("入",B6249)))),"Ambiguous",IF(ISNUMBER(SEARCH("平",B6249)),"平","仄")))</x:f>
        <x:v>平</x:v>
      </x:c>
      <x:c r="K6249" s="6" t="str">
        <x:f>IF(D6249="","",IF(AND(ISNUMBER(SEARCH("平",D6249)),OR(ISNUMBER(SEARCH("上",D6249)),ISNUMBER(SEARCH("去",D6249)),ISNUMBER(SEARCH("入",D6249)))),"Ambiguous",IF(ISNUMBER(SEARCH("平",D6249)),"平","仄")))</x:f>
        <x:v>平</x:v>
      </x:c>
      <x:c r="L6249" s="7" t="str">
        <x:v>Pingshui main list, Lu Qinli gap fill</x:v>
      </x:c>
    </x:row>
    <x:row r="6250">
      <x:c r="A6250" s="5" t="str">
        <x:v>鄀</x:v>
      </x:c>
      <x:c r="B6250" s="6" t="str">
        <x:v>入</x:v>
      </x:c>
      <x:c r="C6250" s="6" t="str">
        <x:f>IF(B6250="","Needs decision","Ready")</x:f>
        <x:v>Ready</x:v>
      </x:c>
      <x:c r="D6250" s="6" t="str">
        <x:v>入</x:v>
      </x:c>
      <x:c r="E6250" s="6" t="str"/>
      <x:c r="F6250" s="6" t="str">
        <x:v>入聲十藥</x:v>
      </x:c>
      <x:c r="G6250" s="6" t="str">
        <x:v>Pingshui main list, Wikisource-derived DOCX</x:v>
      </x:c>
      <x:c r="H6250" s="6" t="str"/>
      <x:c r="I6250" s="6" t="str">
        <x:v>Lu Qinli gap fill from Pingshui main list; 詞 entries ignored</x:v>
      </x:c>
      <x:c r="J6250" s="6" t="str">
        <x:f>IF(B6250="","",IF(AND(ISNUMBER(SEARCH("平",B6250)),OR(ISNUMBER(SEARCH("上",B6250)),ISNUMBER(SEARCH("去",B6250)),ISNUMBER(SEARCH("入",B6250)))),"Ambiguous",IF(ISNUMBER(SEARCH("平",B6250)),"平","仄")))</x:f>
        <x:v>仄</x:v>
      </x:c>
      <x:c r="K6250" s="6" t="str">
        <x:f>IF(D6250="","",IF(AND(ISNUMBER(SEARCH("平",D6250)),OR(ISNUMBER(SEARCH("上",D6250)),ISNUMBER(SEARCH("去",D6250)),ISNUMBER(SEARCH("入",D6250)))),"Ambiguous",IF(ISNUMBER(SEARCH("平",D6250)),"平","仄")))</x:f>
        <x:v>仄</x:v>
      </x:c>
      <x:c r="L6250" s="7" t="str">
        <x:v>Pingshui main list, Lu Qinli gap fill</x:v>
      </x:c>
    </x:row>
    <x:row r="6251">
      <x:c r="A6251" s="5" t="str">
        <x:v>鄄</x:v>
      </x:c>
      <x:c r="B6251" s="6" t="str">
        <x:v>去</x:v>
      </x:c>
      <x:c r="C6251" s="6" t="str">
        <x:f>IF(B6251="","Needs decision","Ready")</x:f>
        <x:v>Ready</x:v>
      </x:c>
      <x:c r="D6251" s="6" t="str">
        <x:v>去</x:v>
      </x:c>
      <x:c r="E6251" s="6" t="str"/>
      <x:c r="F6251" s="6" t="str">
        <x:v>去聲十七霰</x:v>
      </x:c>
      <x:c r="G6251" s="6" t="str">
        <x:v>Pingshui main list, Wikisource-derived DOCX</x:v>
      </x:c>
      <x:c r="H6251" s="6" t="str"/>
      <x:c r="I6251" s="6" t="str">
        <x:v>Lu Qinli gap fill from Pingshui main list; 詞 entries ignored</x:v>
      </x:c>
      <x:c r="J6251" s="6" t="str">
        <x:f>IF(B6251="","",IF(AND(ISNUMBER(SEARCH("平",B6251)),OR(ISNUMBER(SEARCH("上",B6251)),ISNUMBER(SEARCH("去",B6251)),ISNUMBER(SEARCH("入",B6251)))),"Ambiguous",IF(ISNUMBER(SEARCH("平",B6251)),"平","仄")))</x:f>
        <x:v>仄</x:v>
      </x:c>
      <x:c r="K6251" s="6" t="str">
        <x:f>IF(D6251="","",IF(AND(ISNUMBER(SEARCH("平",D6251)),OR(ISNUMBER(SEARCH("上",D6251)),ISNUMBER(SEARCH("去",D6251)),ISNUMBER(SEARCH("入",D6251)))),"Ambiguous",IF(ISNUMBER(SEARCH("平",D6251)),"平","仄")))</x:f>
        <x:v>仄</x:v>
      </x:c>
      <x:c r="L6251" s="7" t="str">
        <x:v>Pingshui main list, Lu Qinli gap fill</x:v>
      </x:c>
    </x:row>
    <x:row r="6252">
      <x:c r="A6252" s="5" t="str">
        <x:v>鄒</x:v>
      </x:c>
      <x:c r="B6252" s="6" t="str">
        <x:v>平</x:v>
      </x:c>
      <x:c r="C6252" s="6" t="str">
        <x:f>IF(B6252="","Needs decision","Ready")</x:f>
        <x:v>Ready</x:v>
      </x:c>
      <x:c r="D6252" s="6" t="str">
        <x:v>平</x:v>
      </x:c>
      <x:c r="E6252" s="6" t="str"/>
      <x:c r="F6252" s="6" t="str">
        <x:v>下平聲十一尤</x:v>
      </x:c>
      <x:c r="G6252" s="6" t="str">
        <x:v>Pingshui main list, Wikisource-derived DOCX</x:v>
      </x:c>
      <x:c r="H6252" s="6" t="str"/>
      <x:c r="I6252" s="6" t="str">
        <x:v>Lu Qinli gap fill from Pingshui main list; 詞 entries ignored</x:v>
      </x:c>
      <x:c r="J6252" s="6" t="str">
        <x:f>IF(B6252="","",IF(AND(ISNUMBER(SEARCH("平",B6252)),OR(ISNUMBER(SEARCH("上",B6252)),ISNUMBER(SEARCH("去",B6252)),ISNUMBER(SEARCH("入",B6252)))),"Ambiguous",IF(ISNUMBER(SEARCH("平",B6252)),"平","仄")))</x:f>
        <x:v>平</x:v>
      </x:c>
      <x:c r="K6252" s="6" t="str">
        <x:f>IF(D6252="","",IF(AND(ISNUMBER(SEARCH("平",D6252)),OR(ISNUMBER(SEARCH("上",D6252)),ISNUMBER(SEARCH("去",D6252)),ISNUMBER(SEARCH("入",D6252)))),"Ambiguous",IF(ISNUMBER(SEARCH("平",D6252)),"平","仄")))</x:f>
        <x:v>平</x:v>
      </x:c>
      <x:c r="L6252" s="7" t="str">
        <x:v>Pingshui main list, Lu Qinli gap fill</x:v>
      </x:c>
    </x:row>
    <x:row r="6253">
      <x:c r="A6253" s="5" t="str">
        <x:v>鄖</x:v>
      </x:c>
      <x:c r="B6253" s="6" t="str">
        <x:v>平</x:v>
      </x:c>
      <x:c r="C6253" s="6" t="str">
        <x:f>IF(B6253="","Needs decision","Ready")</x:f>
        <x:v>Ready</x:v>
      </x:c>
      <x:c r="D6253" s="6" t="str">
        <x:v>平</x:v>
      </x:c>
      <x:c r="E6253" s="6" t="str"/>
      <x:c r="F6253" s="6" t="str">
        <x:v>上平聲十二文</x:v>
      </x:c>
      <x:c r="G6253" s="6" t="str">
        <x:v>Pingshui main list, Wikisource-derived DOCX</x:v>
      </x:c>
      <x:c r="H6253" s="6" t="str"/>
      <x:c r="I6253" s="6" t="str">
        <x:v>Lu Qinli gap fill from Pingshui main list; 詞 entries ignored</x:v>
      </x:c>
      <x:c r="J6253" s="6" t="str">
        <x:f>IF(B6253="","",IF(AND(ISNUMBER(SEARCH("平",B6253)),OR(ISNUMBER(SEARCH("上",B6253)),ISNUMBER(SEARCH("去",B6253)),ISNUMBER(SEARCH("入",B6253)))),"Ambiguous",IF(ISNUMBER(SEARCH("平",B6253)),"平","仄")))</x:f>
        <x:v>平</x:v>
      </x:c>
      <x:c r="K6253" s="6" t="str">
        <x:f>IF(D6253="","",IF(AND(ISNUMBER(SEARCH("平",D6253)),OR(ISNUMBER(SEARCH("上",D6253)),ISNUMBER(SEARCH("去",D6253)),ISNUMBER(SEARCH("入",D6253)))),"Ambiguous",IF(ISNUMBER(SEARCH("平",D6253)),"平","仄")))</x:f>
        <x:v>平</x:v>
      </x:c>
      <x:c r="L6253" s="7" t="str">
        <x:v>Pingshui main list, Lu Qinli gap fill</x:v>
      </x:c>
    </x:row>
    <x:row r="6254">
      <x:c r="A6254" s="5" t="str">
        <x:v>鄗</x:v>
      </x:c>
      <x:c r="B6254" s="6" t="str"/>
      <x:c r="C6254" s="6" t="str">
        <x:f>IF(B6254="","Needs decision","Ready")</x:f>
        <x:v>Needs decision</x:v>
      </x:c>
      <x:c r="D6254" s="6" t="str">
        <x:v>平/上/入</x:v>
      </x:c>
      <x:c r="E6254" s="6" t="str"/>
      <x:c r="F6254" s="6" t="str">
        <x:v>下平聲三肴; 上聲十九皓; 入聲十藥</x:v>
      </x:c>
      <x:c r="G6254" s="6" t="str">
        <x:v>Pingshui main list, Wikisource-derived DOCX</x:v>
      </x:c>
      <x:c r="H6254" s="6" t="str"/>
      <x:c r="I6254" s="6" t="str">
        <x:v>Lu Qinli gap fill from Pingshui main list; 詞 entries ignored</x:v>
      </x:c>
      <x:c r="J6254" s="6" t="str">
        <x:f>IF(B6254="","",IF(AND(ISNUMBER(SEARCH("平",B6254)),OR(ISNUMBER(SEARCH("上",B6254)),ISNUMBER(SEARCH("去",B6254)),ISNUMBER(SEARCH("入",B6254)))),"Ambiguous",IF(ISNUMBER(SEARCH("平",B6254)),"平","仄")))</x:f>
      </x:c>
      <x:c r="K6254" s="6" t="str">
        <x:f>IF(D6254="","",IF(AND(ISNUMBER(SEARCH("平",D6254)),OR(ISNUMBER(SEARCH("上",D6254)),ISNUMBER(SEARCH("去",D6254)),ISNUMBER(SEARCH("入",D6254)))),"Ambiguous",IF(ISNUMBER(SEARCH("平",D6254)),"平","仄")))</x:f>
        <x:v>Ambiguous</x:v>
      </x:c>
      <x:c r="L6254" s="7" t="str">
        <x:v>Pingshui main list, Lu Qinli gap fill</x:v>
      </x:c>
    </x:row>
    <x:row r="6255">
      <x:c r="A6255" s="5" t="str">
        <x:v>鄞</x:v>
      </x:c>
      <x:c r="B6255" s="6" t="str">
        <x:v>平</x:v>
      </x:c>
      <x:c r="C6255" s="6" t="str">
        <x:f>IF(B6255="","Needs decision","Ready")</x:f>
        <x:v>Ready</x:v>
      </x:c>
      <x:c r="D6255" s="6" t="str">
        <x:v>平</x:v>
      </x:c>
      <x:c r="E6255" s="6" t="str"/>
      <x:c r="F6255" s="6" t="str">
        <x:v>上平聲十一真; 上平聲十二文</x:v>
      </x:c>
      <x:c r="G6255" s="6" t="str">
        <x:v>Pingshui main list, Wikisource-derived DOCX</x:v>
      </x:c>
      <x:c r="H6255" s="6" t="str"/>
      <x:c r="I6255" s="6" t="str">
        <x:v>Lu Qinli gap fill from Pingshui main list; 詞 entries ignored</x:v>
      </x:c>
      <x:c r="J6255" s="6" t="str">
        <x:f>IF(B6255="","",IF(AND(ISNUMBER(SEARCH("平",B6255)),OR(ISNUMBER(SEARCH("上",B6255)),ISNUMBER(SEARCH("去",B6255)),ISNUMBER(SEARCH("入",B6255)))),"Ambiguous",IF(ISNUMBER(SEARCH("平",B6255)),"平","仄")))</x:f>
        <x:v>平</x:v>
      </x:c>
      <x:c r="K6255" s="6" t="str">
        <x:f>IF(D6255="","",IF(AND(ISNUMBER(SEARCH("平",D6255)),OR(ISNUMBER(SEARCH("上",D6255)),ISNUMBER(SEARCH("去",D6255)),ISNUMBER(SEARCH("入",D6255)))),"Ambiguous",IF(ISNUMBER(SEARCH("平",D6255)),"平","仄")))</x:f>
        <x:v>平</x:v>
      </x:c>
      <x:c r="L6255" s="7" t="str">
        <x:v>Pingshui main list, Lu Qinli gap fill</x:v>
      </x:c>
    </x:row>
    <x:row r="6256">
      <x:c r="A6256" s="5" t="str">
        <x:v>鄣</x:v>
      </x:c>
      <x:c r="B6256" s="6" t="str">
        <x:v>平</x:v>
      </x:c>
      <x:c r="C6256" s="6" t="str">
        <x:f>IF(B6256="","Needs decision","Ready")</x:f>
        <x:v>Ready</x:v>
      </x:c>
      <x:c r="D6256" s="6" t="str">
        <x:v>平</x:v>
      </x:c>
      <x:c r="E6256" s="6" t="str"/>
      <x:c r="F6256" s="6" t="str">
        <x:v>下平聲七陽</x:v>
      </x:c>
      <x:c r="G6256" s="6" t="str">
        <x:v>Pingshui main list, Wikisource-derived DOCX</x:v>
      </x:c>
      <x:c r="H6256" s="6" t="str"/>
      <x:c r="I6256" s="6" t="str">
        <x:v>Lu Qinli gap fill from Pingshui main list; 詞 entries ignored</x:v>
      </x:c>
      <x:c r="J6256" s="6" t="str">
        <x:f>IF(B6256="","",IF(AND(ISNUMBER(SEARCH("平",B6256)),OR(ISNUMBER(SEARCH("上",B6256)),ISNUMBER(SEARCH("去",B6256)),ISNUMBER(SEARCH("入",B6256)))),"Ambiguous",IF(ISNUMBER(SEARCH("平",B6256)),"平","仄")))</x:f>
        <x:v>平</x:v>
      </x:c>
      <x:c r="K6256" s="6" t="str">
        <x:f>IF(D6256="","",IF(AND(ISNUMBER(SEARCH("平",D6256)),OR(ISNUMBER(SEARCH("上",D6256)),ISNUMBER(SEARCH("去",D6256)),ISNUMBER(SEARCH("入",D6256)))),"Ambiguous",IF(ISNUMBER(SEARCH("平",D6256)),"平","仄")))</x:f>
        <x:v>平</x:v>
      </x:c>
      <x:c r="L6256" s="7" t="str">
        <x:v>Pingshui main list, Lu Qinli gap fill</x:v>
      </x:c>
    </x:row>
    <x:row r="6257">
      <x:c r="A6257" s="5" t="str">
        <x:v>鄫</x:v>
      </x:c>
      <x:c r="B6257" s="6" t="str">
        <x:v>平</x:v>
      </x:c>
      <x:c r="C6257" s="6" t="str">
        <x:f>IF(B6257="","Needs decision","Ready")</x:f>
        <x:v>Ready</x:v>
      </x:c>
      <x:c r="D6257" s="6" t="str">
        <x:v>平</x:v>
      </x:c>
      <x:c r="E6257" s="6" t="str"/>
      <x:c r="F6257" s="6" t="str">
        <x:v>下平聲十蒸</x:v>
      </x:c>
      <x:c r="G6257" s="6" t="str">
        <x:v>Pingshui main list, Wikisource-derived DOCX</x:v>
      </x:c>
      <x:c r="H6257" s="6" t="str"/>
      <x:c r="I6257" s="6" t="str">
        <x:v>Lu Qinli gap fill from Pingshui main list; 詞 entries ignored</x:v>
      </x:c>
      <x:c r="J6257" s="6" t="str">
        <x:f>IF(B6257="","",IF(AND(ISNUMBER(SEARCH("平",B6257)),OR(ISNUMBER(SEARCH("上",B6257)),ISNUMBER(SEARCH("去",B6257)),ISNUMBER(SEARCH("入",B6257)))),"Ambiguous",IF(ISNUMBER(SEARCH("平",B6257)),"平","仄")))</x:f>
        <x:v>平</x:v>
      </x:c>
      <x:c r="K6257" s="6" t="str">
        <x:f>IF(D6257="","",IF(AND(ISNUMBER(SEARCH("平",D6257)),OR(ISNUMBER(SEARCH("上",D6257)),ISNUMBER(SEARCH("去",D6257)),ISNUMBER(SEARCH("入",D6257)))),"Ambiguous",IF(ISNUMBER(SEARCH("平",D6257)),"平","仄")))</x:f>
        <x:v>平</x:v>
      </x:c>
      <x:c r="L6257" s="7" t="str">
        <x:v>Pingshui main list, Lu Qinli gap fill</x:v>
      </x:c>
    </x:row>
    <x:row r="6258">
      <x:c r="A6258" s="5" t="str">
        <x:v>鄶</x:v>
      </x:c>
      <x:c r="B6258" s="6" t="str">
        <x:v>去</x:v>
      </x:c>
      <x:c r="C6258" s="6" t="str">
        <x:f>IF(B6258="","Needs decision","Ready")</x:f>
        <x:v>Ready</x:v>
      </x:c>
      <x:c r="D6258" s="6" t="str">
        <x:v>去</x:v>
      </x:c>
      <x:c r="E6258" s="6" t="str"/>
      <x:c r="F6258" s="6" t="str">
        <x:v>去聲九泰</x:v>
      </x:c>
      <x:c r="G6258" s="6" t="str">
        <x:v>Pingshui main list, Wikisource-derived DOCX</x:v>
      </x:c>
      <x:c r="H6258" s="6" t="str"/>
      <x:c r="I6258" s="6" t="str">
        <x:v>Lu Qinli gap fill from Pingshui main list; 詞 entries ignored</x:v>
      </x:c>
      <x:c r="J6258" s="6" t="str">
        <x:f>IF(B6258="","",IF(AND(ISNUMBER(SEARCH("平",B6258)),OR(ISNUMBER(SEARCH("上",B6258)),ISNUMBER(SEARCH("去",B6258)),ISNUMBER(SEARCH("入",B6258)))),"Ambiguous",IF(ISNUMBER(SEARCH("平",B6258)),"平","仄")))</x:f>
        <x:v>仄</x:v>
      </x:c>
      <x:c r="K6258" s="6" t="str">
        <x:f>IF(D6258="","",IF(AND(ISNUMBER(SEARCH("平",D6258)),OR(ISNUMBER(SEARCH("上",D6258)),ISNUMBER(SEARCH("去",D6258)),ISNUMBER(SEARCH("入",D6258)))),"Ambiguous",IF(ISNUMBER(SEARCH("平",D6258)),"平","仄")))</x:f>
        <x:v>仄</x:v>
      </x:c>
      <x:c r="L6258" s="7" t="str">
        <x:v>Pingshui main list, Lu Qinli gap fill</x:v>
      </x:c>
    </x:row>
    <x:row r="6259">
      <x:c r="A6259" s="5" t="str">
        <x:v>酃</x:v>
      </x:c>
      <x:c r="B6259" s="6" t="str">
        <x:v>平</x:v>
      </x:c>
      <x:c r="C6259" s="6" t="str">
        <x:f>IF(B6259="","Needs decision","Ready")</x:f>
        <x:v>Ready</x:v>
      </x:c>
      <x:c r="D6259" s="6" t="str">
        <x:v>平</x:v>
      </x:c>
      <x:c r="E6259" s="6" t="str"/>
      <x:c r="F6259" s="6" t="str">
        <x:v>下平聲九青</x:v>
      </x:c>
      <x:c r="G6259" s="6" t="str">
        <x:v>Pingshui main list, Wikisource-derived DOCX</x:v>
      </x:c>
      <x:c r="H6259" s="6" t="str"/>
      <x:c r="I6259" s="6" t="str">
        <x:v>Lu Qinli gap fill from Pingshui main list; 詞 entries ignored</x:v>
      </x:c>
      <x:c r="J6259" s="6" t="str">
        <x:f>IF(B6259="","",IF(AND(ISNUMBER(SEARCH("平",B6259)),OR(ISNUMBER(SEARCH("上",B6259)),ISNUMBER(SEARCH("去",B6259)),ISNUMBER(SEARCH("入",B6259)))),"Ambiguous",IF(ISNUMBER(SEARCH("平",B6259)),"平","仄")))</x:f>
        <x:v>平</x:v>
      </x:c>
      <x:c r="K6259" s="6" t="str">
        <x:f>IF(D6259="","",IF(AND(ISNUMBER(SEARCH("平",D6259)),OR(ISNUMBER(SEARCH("上",D6259)),ISNUMBER(SEARCH("去",D6259)),ISNUMBER(SEARCH("入",D6259)))),"Ambiguous",IF(ISNUMBER(SEARCH("平",D6259)),"平","仄")))</x:f>
        <x:v>平</x:v>
      </x:c>
      <x:c r="L6259" s="7" t="str">
        <x:v>Pingshui main list, Lu Qinli gap fill</x:v>
      </x:c>
    </x:row>
    <x:row r="6260">
      <x:c r="A6260" s="5" t="str">
        <x:v>酆</x:v>
      </x:c>
      <x:c r="B6260" s="6" t="str">
        <x:v>平</x:v>
      </x:c>
      <x:c r="C6260" s="6" t="str">
        <x:f>IF(B6260="","Needs decision","Ready")</x:f>
        <x:v>Ready</x:v>
      </x:c>
      <x:c r="D6260" s="6" t="str">
        <x:v>平</x:v>
      </x:c>
      <x:c r="E6260" s="6" t="str"/>
      <x:c r="F6260" s="6" t="str">
        <x:v>上平聲一東</x:v>
      </x:c>
      <x:c r="G6260" s="6" t="str">
        <x:v>Pingshui main list, Wikisource-derived DOCX</x:v>
      </x:c>
      <x:c r="H6260" s="6" t="str"/>
      <x:c r="I6260" s="6" t="str">
        <x:v>Lu Qinli gap fill from Pingshui main list; 詞 entries ignored</x:v>
      </x:c>
      <x:c r="J6260" s="6" t="str">
        <x:f>IF(B6260="","",IF(AND(ISNUMBER(SEARCH("平",B6260)),OR(ISNUMBER(SEARCH("上",B6260)),ISNUMBER(SEARCH("去",B6260)),ISNUMBER(SEARCH("入",B6260)))),"Ambiguous",IF(ISNUMBER(SEARCH("平",B6260)),"平","仄")))</x:f>
        <x:v>平</x:v>
      </x:c>
      <x:c r="K6260" s="6" t="str">
        <x:f>IF(D6260="","",IF(AND(ISNUMBER(SEARCH("平",D6260)),OR(ISNUMBER(SEARCH("上",D6260)),ISNUMBER(SEARCH("去",D6260)),ISNUMBER(SEARCH("入",D6260)))),"Ambiguous",IF(ISNUMBER(SEARCH("平",D6260)),"平","仄")))</x:f>
        <x:v>平</x:v>
      </x:c>
      <x:c r="L6260" s="7" t="str">
        <x:v>Pingshui main list, Lu Qinli gap fill</x:v>
      </x:c>
    </x:row>
    <x:row r="6261">
      <x:c r="A6261" s="5" t="str">
        <x:v>酇</x:v>
      </x:c>
      <x:c r="B6261" s="6" t="str"/>
      <x:c r="C6261" s="6" t="str">
        <x:f>IF(B6261="","Needs decision","Ready")</x:f>
        <x:v>Needs decision</x:v>
      </x:c>
      <x:c r="D6261" s="6" t="str">
        <x:v>上/去</x:v>
      </x:c>
      <x:c r="E6261" s="6" t="str"/>
      <x:c r="F6261" s="6" t="str">
        <x:v>上聲十四旱; 去聲十五翰</x:v>
      </x:c>
      <x:c r="G6261" s="6" t="str">
        <x:v>Pingshui main list, Wikisource-derived DOCX</x:v>
      </x:c>
      <x:c r="H6261" s="6" t="str"/>
      <x:c r="I6261" s="6" t="str">
        <x:v>Lu Qinli gap fill from Pingshui main list; 詞 entries ignored</x:v>
      </x:c>
      <x:c r="J6261" s="6" t="str">
        <x:f>IF(B6261="","",IF(AND(ISNUMBER(SEARCH("平",B6261)),OR(ISNUMBER(SEARCH("上",B6261)),ISNUMBER(SEARCH("去",B6261)),ISNUMBER(SEARCH("入",B6261)))),"Ambiguous",IF(ISNUMBER(SEARCH("平",B6261)),"平","仄")))</x:f>
      </x:c>
      <x:c r="K6261" s="6" t="str">
        <x:f>IF(D6261="","",IF(AND(ISNUMBER(SEARCH("平",D6261)),OR(ISNUMBER(SEARCH("上",D6261)),ISNUMBER(SEARCH("去",D6261)),ISNUMBER(SEARCH("入",D6261)))),"Ambiguous",IF(ISNUMBER(SEARCH("平",D6261)),"平","仄")))</x:f>
        <x:v>仄</x:v>
      </x:c>
      <x:c r="L6261" s="7" t="str">
        <x:v>Pingshui main list, Lu Qinli gap fill</x:v>
      </x:c>
    </x:row>
    <x:row r="6262">
      <x:c r="A6262" s="5" t="str">
        <x:v>酈</x:v>
      </x:c>
      <x:c r="B6262" s="6" t="str">
        <x:v>入</x:v>
      </x:c>
      <x:c r="C6262" s="6" t="str">
        <x:f>IF(B6262="","Needs decision","Ready")</x:f>
        <x:v>Ready</x:v>
      </x:c>
      <x:c r="D6262" s="6" t="str">
        <x:v>入</x:v>
      </x:c>
      <x:c r="E6262" s="6" t="str"/>
      <x:c r="F6262" s="6" t="str">
        <x:v>入聲十二錫</x:v>
      </x:c>
      <x:c r="G6262" s="6" t="str">
        <x:v>Pingshui main list, Wikisource-derived DOCX</x:v>
      </x:c>
      <x:c r="H6262" s="6" t="str"/>
      <x:c r="I6262" s="6" t="str">
        <x:v>Lu Qinli gap fill from Pingshui main list; 詞 entries ignored</x:v>
      </x:c>
      <x:c r="J6262" s="6" t="str">
        <x:f>IF(B6262="","",IF(AND(ISNUMBER(SEARCH("平",B6262)),OR(ISNUMBER(SEARCH("上",B6262)),ISNUMBER(SEARCH("去",B6262)),ISNUMBER(SEARCH("入",B6262)))),"Ambiguous",IF(ISNUMBER(SEARCH("平",B6262)),"平","仄")))</x:f>
        <x:v>仄</x:v>
      </x:c>
      <x:c r="K6262" s="6" t="str">
        <x:f>IF(D6262="","",IF(AND(ISNUMBER(SEARCH("平",D6262)),OR(ISNUMBER(SEARCH("上",D6262)),ISNUMBER(SEARCH("去",D6262)),ISNUMBER(SEARCH("入",D6262)))),"Ambiguous",IF(ISNUMBER(SEARCH("平",D6262)),"平","仄")))</x:f>
        <x:v>仄</x:v>
      </x:c>
      <x:c r="L6262" s="7" t="str">
        <x:v>Pingshui main list, Lu Qinli gap fill</x:v>
      </x:c>
    </x:row>
    <x:row r="6263">
      <x:c r="A6263" s="5" t="str">
        <x:v>酊</x:v>
      </x:c>
      <x:c r="B6263" s="6" t="str">
        <x:v>上</x:v>
      </x:c>
      <x:c r="C6263" s="6" t="str">
        <x:f>IF(B6263="","Needs decision","Ready")</x:f>
        <x:v>Ready</x:v>
      </x:c>
      <x:c r="D6263" s="6" t="str">
        <x:v>上</x:v>
      </x:c>
      <x:c r="E6263" s="6" t="str"/>
      <x:c r="F6263" s="6" t="str">
        <x:v>上聲二十四迥</x:v>
      </x:c>
      <x:c r="G6263" s="6" t="str">
        <x:v>Pingshui main list, Wikisource-derived DOCX</x:v>
      </x:c>
      <x:c r="H6263" s="6" t="str"/>
      <x:c r="I6263" s="6" t="str">
        <x:v>Lu Qinli gap fill from Pingshui main list; 詞 entries ignored</x:v>
      </x:c>
      <x:c r="J6263" s="6" t="str">
        <x:f>IF(B6263="","",IF(AND(ISNUMBER(SEARCH("平",B6263)),OR(ISNUMBER(SEARCH("上",B6263)),ISNUMBER(SEARCH("去",B6263)),ISNUMBER(SEARCH("入",B6263)))),"Ambiguous",IF(ISNUMBER(SEARCH("平",B6263)),"平","仄")))</x:f>
        <x:v>仄</x:v>
      </x:c>
      <x:c r="K6263" s="6" t="str">
        <x:f>IF(D6263="","",IF(AND(ISNUMBER(SEARCH("平",D6263)),OR(ISNUMBER(SEARCH("上",D6263)),ISNUMBER(SEARCH("去",D6263)),ISNUMBER(SEARCH("入",D6263)))),"Ambiguous",IF(ISNUMBER(SEARCH("平",D6263)),"平","仄")))</x:f>
        <x:v>仄</x:v>
      </x:c>
      <x:c r="L6263" s="7" t="str">
        <x:v>Pingshui main list, Lu Qinli gap fill</x:v>
      </x:c>
    </x:row>
    <x:row r="6264">
      <x:c r="A6264" s="5" t="str">
        <x:v>酏</x:v>
      </x:c>
      <x:c r="B6264" s="6" t="str"/>
      <x:c r="C6264" s="6" t="str">
        <x:f>IF(B6264="","Needs decision","Ready")</x:f>
        <x:v>Needs decision</x:v>
      </x:c>
      <x:c r="D6264" s="6" t="str">
        <x:v>平/上</x:v>
      </x:c>
      <x:c r="E6264" s="6" t="str"/>
      <x:c r="F6264" s="6" t="str">
        <x:v>上平聲四支; 上聲四紙</x:v>
      </x:c>
      <x:c r="G6264" s="6" t="str">
        <x:v>Pingshui main list, Wikisource-derived DOCX</x:v>
      </x:c>
      <x:c r="H6264" s="6" t="str"/>
      <x:c r="I6264" s="6" t="str">
        <x:v>Lu Qinli gap fill from Pingshui main list; 詞 entries ignored</x:v>
      </x:c>
      <x:c r="J6264" s="6" t="str">
        <x:f>IF(B6264="","",IF(AND(ISNUMBER(SEARCH("平",B6264)),OR(ISNUMBER(SEARCH("上",B6264)),ISNUMBER(SEARCH("去",B6264)),ISNUMBER(SEARCH("入",B6264)))),"Ambiguous",IF(ISNUMBER(SEARCH("平",B6264)),"平","仄")))</x:f>
      </x:c>
      <x:c r="K6264" s="6" t="str">
        <x:f>IF(D6264="","",IF(AND(ISNUMBER(SEARCH("平",D6264)),OR(ISNUMBER(SEARCH("上",D6264)),ISNUMBER(SEARCH("去",D6264)),ISNUMBER(SEARCH("入",D6264)))),"Ambiguous",IF(ISNUMBER(SEARCH("平",D6264)),"平","仄")))</x:f>
        <x:v>Ambiguous</x:v>
      </x:c>
      <x:c r="L6264" s="7" t="str">
        <x:v>Pingshui main list, Lu Qinli gap fill</x:v>
      </x:c>
    </x:row>
    <x:row r="6265">
      <x:c r="A6265" s="5" t="str">
        <x:v>酡</x:v>
      </x:c>
      <x:c r="B6265" s="6" t="str">
        <x:v>平</x:v>
      </x:c>
      <x:c r="C6265" s="6" t="str">
        <x:f>IF(B6265="","Needs decision","Ready")</x:f>
        <x:v>Ready</x:v>
      </x:c>
      <x:c r="D6265" s="6" t="str">
        <x:v>平</x:v>
      </x:c>
      <x:c r="E6265" s="6" t="str"/>
      <x:c r="F6265" s="6" t="str">
        <x:v>下平聲五歌</x:v>
      </x:c>
      <x:c r="G6265" s="6" t="str">
        <x:v>Pingshui main list, Wikisource-derived DOCX</x:v>
      </x:c>
      <x:c r="H6265" s="6" t="str"/>
      <x:c r="I6265" s="6" t="str">
        <x:v>Lu Qinli gap fill from Pingshui main list; 詞 entries ignored</x:v>
      </x:c>
      <x:c r="J6265" s="6" t="str">
        <x:f>IF(B6265="","",IF(AND(ISNUMBER(SEARCH("平",B6265)),OR(ISNUMBER(SEARCH("上",B6265)),ISNUMBER(SEARCH("去",B6265)),ISNUMBER(SEARCH("入",B6265)))),"Ambiguous",IF(ISNUMBER(SEARCH("平",B6265)),"平","仄")))</x:f>
        <x:v>平</x:v>
      </x:c>
      <x:c r="K6265" s="6" t="str">
        <x:f>IF(D6265="","",IF(AND(ISNUMBER(SEARCH("平",D6265)),OR(ISNUMBER(SEARCH("上",D6265)),ISNUMBER(SEARCH("去",D6265)),ISNUMBER(SEARCH("入",D6265)))),"Ambiguous",IF(ISNUMBER(SEARCH("平",D6265)),"平","仄")))</x:f>
        <x:v>平</x:v>
      </x:c>
      <x:c r="L6265" s="7" t="str">
        <x:v>Pingshui main list, Lu Qinli gap fill</x:v>
      </x:c>
    </x:row>
    <x:row r="6266">
      <x:c r="A6266" s="5" t="str">
        <x:v>酢</x:v>
      </x:c>
      <x:c r="B6266" s="6" t="str">
        <x:v>入</x:v>
      </x:c>
      <x:c r="C6266" s="6" t="str">
        <x:f>IF(B6266="","Needs decision","Ready")</x:f>
        <x:v>Ready</x:v>
      </x:c>
      <x:c r="D6266" s="6" t="str">
        <x:v>入</x:v>
      </x:c>
      <x:c r="E6266" s="6" t="str"/>
      <x:c r="F6266" s="6" t="str">
        <x:v>入聲十藥</x:v>
      </x:c>
      <x:c r="G6266" s="6" t="str">
        <x:v>Pingshui main list, Wikisource-derived DOCX</x:v>
      </x:c>
      <x:c r="H6266" s="6" t="str"/>
      <x:c r="I6266" s="6" t="str">
        <x:v>Lu Qinli gap fill from Pingshui main list; 詞 entries ignored</x:v>
      </x:c>
      <x:c r="J6266" s="6" t="str">
        <x:f>IF(B6266="","",IF(AND(ISNUMBER(SEARCH("平",B6266)),OR(ISNUMBER(SEARCH("上",B6266)),ISNUMBER(SEARCH("去",B6266)),ISNUMBER(SEARCH("入",B6266)))),"Ambiguous",IF(ISNUMBER(SEARCH("平",B6266)),"平","仄")))</x:f>
        <x:v>仄</x:v>
      </x:c>
      <x:c r="K6266" s="6" t="str">
        <x:f>IF(D6266="","",IF(AND(ISNUMBER(SEARCH("平",D6266)),OR(ISNUMBER(SEARCH("上",D6266)),ISNUMBER(SEARCH("去",D6266)),ISNUMBER(SEARCH("入",D6266)))),"Ambiguous",IF(ISNUMBER(SEARCH("平",D6266)),"平","仄")))</x:f>
        <x:v>仄</x:v>
      </x:c>
      <x:c r="L6266" s="7" t="str">
        <x:v>Pingshui main list, Lu Qinli gap fill</x:v>
      </x:c>
    </x:row>
    <x:row r="6267">
      <x:c r="A6267" s="5" t="str">
        <x:v>酥</x:v>
      </x:c>
      <x:c r="B6267" s="6" t="str">
        <x:v>平</x:v>
      </x:c>
      <x:c r="C6267" s="6" t="str">
        <x:f>IF(B6267="","Needs decision","Ready")</x:f>
        <x:v>Ready</x:v>
      </x:c>
      <x:c r="D6267" s="6" t="str">
        <x:v>平</x:v>
      </x:c>
      <x:c r="E6267" s="6" t="str"/>
      <x:c r="F6267" s="6" t="str">
        <x:v>上平聲七虞</x:v>
      </x:c>
      <x:c r="G6267" s="6" t="str">
        <x:v>Pingshui main list, Wikisource-derived DOCX</x:v>
      </x:c>
      <x:c r="H6267" s="6" t="str"/>
      <x:c r="I6267" s="6" t="str">
        <x:v>Lu Qinli gap fill from Pingshui main list; 詞 entries ignored</x:v>
      </x:c>
      <x:c r="J6267" s="6" t="str">
        <x:f>IF(B6267="","",IF(AND(ISNUMBER(SEARCH("平",B6267)),OR(ISNUMBER(SEARCH("上",B6267)),ISNUMBER(SEARCH("去",B6267)),ISNUMBER(SEARCH("入",B6267)))),"Ambiguous",IF(ISNUMBER(SEARCH("平",B6267)),"平","仄")))</x:f>
        <x:v>平</x:v>
      </x:c>
      <x:c r="K6267" s="6" t="str">
        <x:f>IF(D6267="","",IF(AND(ISNUMBER(SEARCH("平",D6267)),OR(ISNUMBER(SEARCH("上",D6267)),ISNUMBER(SEARCH("去",D6267)),ISNUMBER(SEARCH("入",D6267)))),"Ambiguous",IF(ISNUMBER(SEARCH("平",D6267)),"平","仄")))</x:f>
        <x:v>平</x:v>
      </x:c>
      <x:c r="L6267" s="7" t="str">
        <x:v>Pingshui main list, Lu Qinli gap fill</x:v>
      </x:c>
    </x:row>
    <x:row r="6268">
      <x:c r="A6268" s="5" t="str">
        <x:v>酩</x:v>
      </x:c>
      <x:c r="B6268" s="6" t="str">
        <x:v>上</x:v>
      </x:c>
      <x:c r="C6268" s="6" t="str">
        <x:f>IF(B6268="","Needs decision","Ready")</x:f>
        <x:v>Ready</x:v>
      </x:c>
      <x:c r="D6268" s="6" t="str">
        <x:v>上</x:v>
      </x:c>
      <x:c r="E6268" s="6" t="str"/>
      <x:c r="F6268" s="6" t="str">
        <x:v>上聲二十四迥</x:v>
      </x:c>
      <x:c r="G6268" s="6" t="str">
        <x:v>Pingshui main list, Wikisource-derived DOCX</x:v>
      </x:c>
      <x:c r="H6268" s="6" t="str"/>
      <x:c r="I6268" s="6" t="str">
        <x:v>Lu Qinli gap fill from Pingshui main list; 詞 entries ignored</x:v>
      </x:c>
      <x:c r="J6268" s="6" t="str">
        <x:f>IF(B6268="","",IF(AND(ISNUMBER(SEARCH("平",B6268)),OR(ISNUMBER(SEARCH("上",B6268)),ISNUMBER(SEARCH("去",B6268)),ISNUMBER(SEARCH("入",B6268)))),"Ambiguous",IF(ISNUMBER(SEARCH("平",B6268)),"平","仄")))</x:f>
        <x:v>仄</x:v>
      </x:c>
      <x:c r="K6268" s="6" t="str">
        <x:f>IF(D6268="","",IF(AND(ISNUMBER(SEARCH("平",D6268)),OR(ISNUMBER(SEARCH("上",D6268)),ISNUMBER(SEARCH("去",D6268)),ISNUMBER(SEARCH("入",D6268)))),"Ambiguous",IF(ISNUMBER(SEARCH("平",D6268)),"平","仄")))</x:f>
        <x:v>仄</x:v>
      </x:c>
      <x:c r="L6268" s="7" t="str">
        <x:v>Pingshui main list, Lu Qinli gap fill</x:v>
      </x:c>
    </x:row>
    <x:row r="6269">
      <x:c r="A6269" s="5" t="str">
        <x:v>酪</x:v>
      </x:c>
      <x:c r="B6269" s="6" t="str">
        <x:v>入</x:v>
      </x:c>
      <x:c r="C6269" s="6" t="str">
        <x:f>IF(B6269="","Needs decision","Ready")</x:f>
        <x:v>Ready</x:v>
      </x:c>
      <x:c r="D6269" s="6" t="str">
        <x:v>入</x:v>
      </x:c>
      <x:c r="E6269" s="6" t="str"/>
      <x:c r="F6269" s="6" t="str">
        <x:v>入聲十藥</x:v>
      </x:c>
      <x:c r="G6269" s="6" t="str">
        <x:v>Pingshui main list, Wikisource-derived DOCX</x:v>
      </x:c>
      <x:c r="H6269" s="6" t="str"/>
      <x:c r="I6269" s="6" t="str">
        <x:v>Lu Qinli gap fill from Pingshui main list; 詞 entries ignored</x:v>
      </x:c>
      <x:c r="J6269" s="6" t="str">
        <x:f>IF(B6269="","",IF(AND(ISNUMBER(SEARCH("平",B6269)),OR(ISNUMBER(SEARCH("上",B6269)),ISNUMBER(SEARCH("去",B6269)),ISNUMBER(SEARCH("入",B6269)))),"Ambiguous",IF(ISNUMBER(SEARCH("平",B6269)),"平","仄")))</x:f>
        <x:v>仄</x:v>
      </x:c>
      <x:c r="K6269" s="6" t="str">
        <x:f>IF(D6269="","",IF(AND(ISNUMBER(SEARCH("平",D6269)),OR(ISNUMBER(SEARCH("上",D6269)),ISNUMBER(SEARCH("去",D6269)),ISNUMBER(SEARCH("入",D6269)))),"Ambiguous",IF(ISNUMBER(SEARCH("平",D6269)),"平","仄")))</x:f>
        <x:v>仄</x:v>
      </x:c>
      <x:c r="L6269" s="7" t="str">
        <x:v>Pingshui main list, Lu Qinli gap fill</x:v>
      </x:c>
    </x:row>
    <x:row r="6270">
      <x:c r="A6270" s="5" t="str">
        <x:v>酲</x:v>
      </x:c>
      <x:c r="B6270" s="6" t="str">
        <x:v>平</x:v>
      </x:c>
      <x:c r="C6270" s="6" t="str">
        <x:f>IF(B6270="","Needs decision","Ready")</x:f>
        <x:v>Ready</x:v>
      </x:c>
      <x:c r="D6270" s="6" t="str">
        <x:v>平</x:v>
      </x:c>
      <x:c r="E6270" s="6" t="str"/>
      <x:c r="F6270" s="6" t="str">
        <x:v>下平聲八庚</x:v>
      </x:c>
      <x:c r="G6270" s="6" t="str">
        <x:v>Pingshui main list, Wikisource-derived DOCX</x:v>
      </x:c>
      <x:c r="H6270" s="6" t="str"/>
      <x:c r="I6270" s="6" t="str">
        <x:v>Lu Qinli gap fill from Pingshui main list; 詞 entries ignored</x:v>
      </x:c>
      <x:c r="J6270" s="6" t="str">
        <x:f>IF(B6270="","",IF(AND(ISNUMBER(SEARCH("平",B6270)),OR(ISNUMBER(SEARCH("上",B6270)),ISNUMBER(SEARCH("去",B6270)),ISNUMBER(SEARCH("入",B6270)))),"Ambiguous",IF(ISNUMBER(SEARCH("平",B6270)),"平","仄")))</x:f>
        <x:v>平</x:v>
      </x:c>
      <x:c r="K6270" s="6" t="str">
        <x:f>IF(D6270="","",IF(AND(ISNUMBER(SEARCH("平",D6270)),OR(ISNUMBER(SEARCH("上",D6270)),ISNUMBER(SEARCH("去",D6270)),ISNUMBER(SEARCH("入",D6270)))),"Ambiguous",IF(ISNUMBER(SEARCH("平",D6270)),"平","仄")))</x:f>
        <x:v>平</x:v>
      </x:c>
      <x:c r="L6270" s="7" t="str">
        <x:v>Pingshui main list, Lu Qinli gap fill</x:v>
      </x:c>
    </x:row>
    <x:row r="6271">
      <x:c r="A6271" s="5" t="str">
        <x:v>酳</x:v>
      </x:c>
      <x:c r="B6271" s="6" t="str">
        <x:v>去</x:v>
      </x:c>
      <x:c r="C6271" s="6" t="str">
        <x:f>IF(B6271="","Needs decision","Ready")</x:f>
        <x:v>Ready</x:v>
      </x:c>
      <x:c r="D6271" s="6" t="str">
        <x:v>去</x:v>
      </x:c>
      <x:c r="E6271" s="6" t="str"/>
      <x:c r="F6271" s="6" t="str">
        <x:v>去聲十二震</x:v>
      </x:c>
      <x:c r="G6271" s="6" t="str">
        <x:v>Pingshui main list, Wikisource-derived DOCX</x:v>
      </x:c>
      <x:c r="H6271" s="6" t="str"/>
      <x:c r="I6271" s="6" t="str">
        <x:v>Lu Qinli gap fill from Pingshui main list; 詞 entries ignored</x:v>
      </x:c>
      <x:c r="J6271" s="6" t="str">
        <x:f>IF(B6271="","",IF(AND(ISNUMBER(SEARCH("平",B6271)),OR(ISNUMBER(SEARCH("上",B6271)),ISNUMBER(SEARCH("去",B6271)),ISNUMBER(SEARCH("入",B6271)))),"Ambiguous",IF(ISNUMBER(SEARCH("平",B6271)),"平","仄")))</x:f>
        <x:v>仄</x:v>
      </x:c>
      <x:c r="K6271" s="6" t="str">
        <x:f>IF(D6271="","",IF(AND(ISNUMBER(SEARCH("平",D6271)),OR(ISNUMBER(SEARCH("上",D6271)),ISNUMBER(SEARCH("去",D6271)),ISNUMBER(SEARCH("入",D6271)))),"Ambiguous",IF(ISNUMBER(SEARCH("平",D6271)),"平","仄")))</x:f>
        <x:v>仄</x:v>
      </x:c>
      <x:c r="L6271" s="7" t="str">
        <x:v>Pingshui main list, Lu Qinli gap fill</x:v>
      </x:c>
    </x:row>
    <x:row r="6272">
      <x:c r="A6272" s="5" t="str">
        <x:v>酹</x:v>
      </x:c>
      <x:c r="B6272" s="6" t="str">
        <x:v>去</x:v>
      </x:c>
      <x:c r="C6272" s="6" t="str">
        <x:f>IF(B6272="","Needs decision","Ready")</x:f>
        <x:v>Ready</x:v>
      </x:c>
      <x:c r="D6272" s="6" t="str">
        <x:v>去</x:v>
      </x:c>
      <x:c r="E6272" s="6" t="str"/>
      <x:c r="F6272" s="6" t="str">
        <x:v>去聲九泰; 去聲十一隊</x:v>
      </x:c>
      <x:c r="G6272" s="6" t="str">
        <x:v>Pingshui main list, Wikisource-derived DOCX</x:v>
      </x:c>
      <x:c r="H6272" s="6" t="str"/>
      <x:c r="I6272" s="6" t="str">
        <x:v>Lu Qinli gap fill from Pingshui main list; 詞 entries ignored</x:v>
      </x:c>
      <x:c r="J6272" s="6" t="str">
        <x:f>IF(B6272="","",IF(AND(ISNUMBER(SEARCH("平",B6272)),OR(ISNUMBER(SEARCH("上",B6272)),ISNUMBER(SEARCH("去",B6272)),ISNUMBER(SEARCH("入",B6272)))),"Ambiguous",IF(ISNUMBER(SEARCH("平",B6272)),"平","仄")))</x:f>
        <x:v>仄</x:v>
      </x:c>
      <x:c r="K6272" s="6" t="str">
        <x:f>IF(D6272="","",IF(AND(ISNUMBER(SEARCH("平",D6272)),OR(ISNUMBER(SEARCH("上",D6272)),ISNUMBER(SEARCH("去",D6272)),ISNUMBER(SEARCH("入",D6272)))),"Ambiguous",IF(ISNUMBER(SEARCH("平",D6272)),"平","仄")))</x:f>
        <x:v>仄</x:v>
      </x:c>
      <x:c r="L6272" s="7" t="str">
        <x:v>Pingshui main list, Lu Qinli gap fill</x:v>
      </x:c>
    </x:row>
    <x:row r="6273">
      <x:c r="A6273" s="5" t="str">
        <x:v>酺</x:v>
      </x:c>
      <x:c r="B6273" s="6" t="str"/>
      <x:c r="C6273" s="6" t="str">
        <x:f>IF(B6273="","Needs decision","Ready")</x:f>
        <x:v>Needs decision</x:v>
      </x:c>
      <x:c r="D6273" s="6" t="str">
        <x:v>平/去</x:v>
      </x:c>
      <x:c r="E6273" s="6" t="str"/>
      <x:c r="F6273" s="6" t="str">
        <x:v>上平聲七虞; 去聲七遇</x:v>
      </x:c>
      <x:c r="G6273" s="6" t="str">
        <x:v>Pingshui main list, Wikisource-derived DOCX</x:v>
      </x:c>
      <x:c r="H6273" s="6" t="str"/>
      <x:c r="I6273" s="6" t="str">
        <x:v>Lu Qinli gap fill from Pingshui main list; 詞 entries ignored</x:v>
      </x:c>
      <x:c r="J6273" s="6" t="str">
        <x:f>IF(B6273="","",IF(AND(ISNUMBER(SEARCH("平",B6273)),OR(ISNUMBER(SEARCH("上",B6273)),ISNUMBER(SEARCH("去",B6273)),ISNUMBER(SEARCH("入",B6273)))),"Ambiguous",IF(ISNUMBER(SEARCH("平",B6273)),"平","仄")))</x:f>
      </x:c>
      <x:c r="K6273" s="6" t="str">
        <x:f>IF(D6273="","",IF(AND(ISNUMBER(SEARCH("平",D6273)),OR(ISNUMBER(SEARCH("上",D6273)),ISNUMBER(SEARCH("去",D6273)),ISNUMBER(SEARCH("入",D6273)))),"Ambiguous",IF(ISNUMBER(SEARCH("平",D6273)),"平","仄")))</x:f>
        <x:v>Ambiguous</x:v>
      </x:c>
      <x:c r="L6273" s="7" t="str">
        <x:v>Pingshui main list, Lu Qinli gap fill</x:v>
      </x:c>
    </x:row>
    <x:row r="6274">
      <x:c r="A6274" s="5" t="str">
        <x:v>醇</x:v>
      </x:c>
      <x:c r="B6274" s="6" t="str">
        <x:v>平</x:v>
      </x:c>
      <x:c r="C6274" s="6" t="str">
        <x:f>IF(B6274="","Needs decision","Ready")</x:f>
        <x:v>Ready</x:v>
      </x:c>
      <x:c r="D6274" s="6" t="str">
        <x:v>平</x:v>
      </x:c>
      <x:c r="E6274" s="6" t="str"/>
      <x:c r="F6274" s="6" t="str">
        <x:v>上平聲十一真</x:v>
      </x:c>
      <x:c r="G6274" s="6" t="str">
        <x:v>Pingshui main list, Wikisource-derived DOCX</x:v>
      </x:c>
      <x:c r="H6274" s="6" t="str"/>
      <x:c r="I6274" s="6" t="str">
        <x:v>Lu Qinli gap fill from Pingshui main list; 詞 entries ignored</x:v>
      </x:c>
      <x:c r="J6274" s="6" t="str">
        <x:f>IF(B6274="","",IF(AND(ISNUMBER(SEARCH("平",B6274)),OR(ISNUMBER(SEARCH("上",B6274)),ISNUMBER(SEARCH("去",B6274)),ISNUMBER(SEARCH("入",B6274)))),"Ambiguous",IF(ISNUMBER(SEARCH("平",B6274)),"平","仄")))</x:f>
        <x:v>平</x:v>
      </x:c>
      <x:c r="K6274" s="6" t="str">
        <x:f>IF(D6274="","",IF(AND(ISNUMBER(SEARCH("平",D6274)),OR(ISNUMBER(SEARCH("上",D6274)),ISNUMBER(SEARCH("去",D6274)),ISNUMBER(SEARCH("入",D6274)))),"Ambiguous",IF(ISNUMBER(SEARCH("平",D6274)),"平","仄")))</x:f>
        <x:v>平</x:v>
      </x:c>
      <x:c r="L6274" s="7" t="str">
        <x:v>Pingshui main list, Lu Qinli gap fill</x:v>
      </x:c>
    </x:row>
    <x:row r="6275">
      <x:c r="A6275" s="5" t="str">
        <x:v>醊</x:v>
      </x:c>
      <x:c r="B6275" s="6" t="str"/>
      <x:c r="C6275" s="6" t="str">
        <x:f>IF(B6275="","Needs decision","Ready")</x:f>
        <x:v>Needs decision</x:v>
      </x:c>
      <x:c r="D6275" s="6" t="str">
        <x:v>去/入</x:v>
      </x:c>
      <x:c r="E6275" s="6" t="str"/>
      <x:c r="F6275" s="6" t="str">
        <x:v>去聲八霽; 入聲九屑</x:v>
      </x:c>
      <x:c r="G6275" s="6" t="str">
        <x:v>Pingshui main list, Wikisource-derived DOCX</x:v>
      </x:c>
      <x:c r="H6275" s="6" t="str"/>
      <x:c r="I6275" s="6" t="str">
        <x:v>Lu Qinli gap fill from Pingshui main list; 詞 entries ignored</x:v>
      </x:c>
      <x:c r="J6275" s="6" t="str">
        <x:f>IF(B6275="","",IF(AND(ISNUMBER(SEARCH("平",B6275)),OR(ISNUMBER(SEARCH("上",B6275)),ISNUMBER(SEARCH("去",B6275)),ISNUMBER(SEARCH("入",B6275)))),"Ambiguous",IF(ISNUMBER(SEARCH("平",B6275)),"平","仄")))</x:f>
      </x:c>
      <x:c r="K6275" s="6" t="str">
        <x:f>IF(D6275="","",IF(AND(ISNUMBER(SEARCH("平",D6275)),OR(ISNUMBER(SEARCH("上",D6275)),ISNUMBER(SEARCH("去",D6275)),ISNUMBER(SEARCH("入",D6275)))),"Ambiguous",IF(ISNUMBER(SEARCH("平",D6275)),"平","仄")))</x:f>
        <x:v>仄</x:v>
      </x:c>
      <x:c r="L6275" s="7" t="str">
        <x:v>Pingshui main list, Lu Qinli gap fill</x:v>
      </x:c>
    </x:row>
    <x:row r="6276">
      <x:c r="A6276" s="5" t="str">
        <x:v>醋</x:v>
      </x:c>
      <x:c r="B6276" s="6" t="str">
        <x:v>去</x:v>
      </x:c>
      <x:c r="C6276" s="6" t="str">
        <x:f>IF(B6276="","Needs decision","Ready")</x:f>
        <x:v>Ready</x:v>
      </x:c>
      <x:c r="D6276" s="6" t="str">
        <x:v>去</x:v>
      </x:c>
      <x:c r="E6276" s="6" t="str"/>
      <x:c r="F6276" s="6" t="str">
        <x:v>去聲七遇</x:v>
      </x:c>
      <x:c r="G6276" s="6" t="str">
        <x:v>Pingshui main list, Wikisource-derived DOCX</x:v>
      </x:c>
      <x:c r="H6276" s="6" t="str"/>
      <x:c r="I6276" s="6" t="str">
        <x:v>Lu Qinli gap fill from Pingshui main list; 詞 entries ignored</x:v>
      </x:c>
      <x:c r="J6276" s="6" t="str">
        <x:f>IF(B6276="","",IF(AND(ISNUMBER(SEARCH("平",B6276)),OR(ISNUMBER(SEARCH("上",B6276)),ISNUMBER(SEARCH("去",B6276)),ISNUMBER(SEARCH("入",B6276)))),"Ambiguous",IF(ISNUMBER(SEARCH("平",B6276)),"平","仄")))</x:f>
        <x:v>仄</x:v>
      </x:c>
      <x:c r="K6276" s="6" t="str">
        <x:f>IF(D6276="","",IF(AND(ISNUMBER(SEARCH("平",D6276)),OR(ISNUMBER(SEARCH("上",D6276)),ISNUMBER(SEARCH("去",D6276)),ISNUMBER(SEARCH("入",D6276)))),"Ambiguous",IF(ISNUMBER(SEARCH("平",D6276)),"平","仄")))</x:f>
        <x:v>仄</x:v>
      </x:c>
      <x:c r="L6276" s="7" t="str">
        <x:v>Pingshui main list, Lu Qinli gap fill</x:v>
      </x:c>
    </x:row>
    <x:row r="6277">
      <x:c r="A6277" s="5" t="str">
        <x:v>醍</x:v>
      </x:c>
      <x:c r="B6277" s="6" t="str">
        <x:v>上</x:v>
      </x:c>
      <x:c r="C6277" s="6" t="str">
        <x:f>IF(B6277="","Needs decision","Ready")</x:f>
        <x:v>Ready</x:v>
      </x:c>
      <x:c r="D6277" s="6" t="str">
        <x:v>上</x:v>
      </x:c>
      <x:c r="E6277" s="6" t="str"/>
      <x:c r="F6277" s="6" t="str">
        <x:v>上聲八薺</x:v>
      </x:c>
      <x:c r="G6277" s="6" t="str">
        <x:v>Pingshui main list, Wikisource-derived DOCX</x:v>
      </x:c>
      <x:c r="H6277" s="6" t="str"/>
      <x:c r="I6277" s="6" t="str">
        <x:v>Lu Qinli gap fill from Pingshui main list; 詞 entries ignored</x:v>
      </x:c>
      <x:c r="J6277" s="6" t="str">
        <x:f>IF(B6277="","",IF(AND(ISNUMBER(SEARCH("平",B6277)),OR(ISNUMBER(SEARCH("上",B6277)),ISNUMBER(SEARCH("去",B6277)),ISNUMBER(SEARCH("入",B6277)))),"Ambiguous",IF(ISNUMBER(SEARCH("平",B6277)),"平","仄")))</x:f>
        <x:v>仄</x:v>
      </x:c>
      <x:c r="K6277" s="6" t="str">
        <x:f>IF(D6277="","",IF(AND(ISNUMBER(SEARCH("平",D6277)),OR(ISNUMBER(SEARCH("上",D6277)),ISNUMBER(SEARCH("去",D6277)),ISNUMBER(SEARCH("入",D6277)))),"Ambiguous",IF(ISNUMBER(SEARCH("平",D6277)),"平","仄")))</x:f>
        <x:v>仄</x:v>
      </x:c>
      <x:c r="L6277" s="7" t="str">
        <x:v>Pingshui main list, Lu Qinli gap fill</x:v>
      </x:c>
    </x:row>
    <x:row r="6278">
      <x:c r="A6278" s="5" t="str">
        <x:v>醐</x:v>
      </x:c>
      <x:c r="B6278" s="6" t="str">
        <x:v>平</x:v>
      </x:c>
      <x:c r="C6278" s="6" t="str">
        <x:f>IF(B6278="","Needs decision","Ready")</x:f>
        <x:v>Ready</x:v>
      </x:c>
      <x:c r="D6278" s="6" t="str">
        <x:v>平</x:v>
      </x:c>
      <x:c r="E6278" s="6" t="str"/>
      <x:c r="F6278" s="6" t="str">
        <x:v>上平聲七虞</x:v>
      </x:c>
      <x:c r="G6278" s="6" t="str">
        <x:v>Pingshui main list, Wikisource-derived DOCX</x:v>
      </x:c>
      <x:c r="H6278" s="6" t="str"/>
      <x:c r="I6278" s="6" t="str">
        <x:v>Lu Qinli gap fill from Pingshui main list; 詞 entries ignored</x:v>
      </x:c>
      <x:c r="J6278" s="6" t="str">
        <x:f>IF(B6278="","",IF(AND(ISNUMBER(SEARCH("平",B6278)),OR(ISNUMBER(SEARCH("上",B6278)),ISNUMBER(SEARCH("去",B6278)),ISNUMBER(SEARCH("入",B6278)))),"Ambiguous",IF(ISNUMBER(SEARCH("平",B6278)),"平","仄")))</x:f>
        <x:v>平</x:v>
      </x:c>
      <x:c r="K6278" s="6" t="str">
        <x:f>IF(D6278="","",IF(AND(ISNUMBER(SEARCH("平",D6278)),OR(ISNUMBER(SEARCH("上",D6278)),ISNUMBER(SEARCH("去",D6278)),ISNUMBER(SEARCH("入",D6278)))),"Ambiguous",IF(ISNUMBER(SEARCH("平",D6278)),"平","仄")))</x:f>
        <x:v>平</x:v>
      </x:c>
      <x:c r="L6278" s="7" t="str">
        <x:v>Pingshui main list, Lu Qinli gap fill</x:v>
      </x:c>
    </x:row>
    <x:row r="6279">
      <x:c r="A6279" s="5" t="str">
        <x:v>醝</x:v>
      </x:c>
      <x:c r="B6279" s="6" t="str">
        <x:v>平</x:v>
      </x:c>
      <x:c r="C6279" s="6" t="str">
        <x:f>IF(B6279="","Needs decision","Ready")</x:f>
        <x:v>Ready</x:v>
      </x:c>
      <x:c r="D6279" s="6" t="str">
        <x:v>平</x:v>
      </x:c>
      <x:c r="E6279" s="6" t="str"/>
      <x:c r="F6279" s="6" t="str">
        <x:v>下平聲五歌</x:v>
      </x:c>
      <x:c r="G6279" s="6" t="str">
        <x:v>Pingshui main list, Wikisource-derived DOCX</x:v>
      </x:c>
      <x:c r="H6279" s="6" t="str"/>
      <x:c r="I6279" s="6" t="str">
        <x:v>Lu Qinli gap fill from Pingshui main list; 詞 entries ignored</x:v>
      </x:c>
      <x:c r="J6279" s="6" t="str">
        <x:f>IF(B6279="","",IF(AND(ISNUMBER(SEARCH("平",B6279)),OR(ISNUMBER(SEARCH("上",B6279)),ISNUMBER(SEARCH("去",B6279)),ISNUMBER(SEARCH("入",B6279)))),"Ambiguous",IF(ISNUMBER(SEARCH("平",B6279)),"平","仄")))</x:f>
        <x:v>平</x:v>
      </x:c>
      <x:c r="K6279" s="6" t="str">
        <x:f>IF(D6279="","",IF(AND(ISNUMBER(SEARCH("平",D6279)),OR(ISNUMBER(SEARCH("上",D6279)),ISNUMBER(SEARCH("去",D6279)),ISNUMBER(SEARCH("入",D6279)))),"Ambiguous",IF(ISNUMBER(SEARCH("平",D6279)),"平","仄")))</x:f>
        <x:v>平</x:v>
      </x:c>
      <x:c r="L6279" s="7" t="str">
        <x:v>Pingshui main list, Lu Qinli gap fill</x:v>
      </x:c>
    </x:row>
    <x:row r="6280">
      <x:c r="A6280" s="5" t="str">
        <x:v>醞</x:v>
      </x:c>
      <x:c r="B6280" s="6" t="str">
        <x:v>去</x:v>
      </x:c>
      <x:c r="C6280" s="6" t="str">
        <x:f>IF(B6280="","Needs decision","Ready")</x:f>
        <x:v>Ready</x:v>
      </x:c>
      <x:c r="D6280" s="6" t="str">
        <x:v>去</x:v>
      </x:c>
      <x:c r="E6280" s="6" t="str"/>
      <x:c r="F6280" s="6" t="str">
        <x:v>去聲十三問</x:v>
      </x:c>
      <x:c r="G6280" s="6" t="str">
        <x:v>Pingshui main list, Wikisource-derived DOCX</x:v>
      </x:c>
      <x:c r="H6280" s="6" t="str"/>
      <x:c r="I6280" s="6" t="str">
        <x:v>Lu Qinli gap fill from Pingshui main list; 詞 entries ignored</x:v>
      </x:c>
      <x:c r="J6280" s="6" t="str">
        <x:f>IF(B6280="","",IF(AND(ISNUMBER(SEARCH("平",B6280)),OR(ISNUMBER(SEARCH("上",B6280)),ISNUMBER(SEARCH("去",B6280)),ISNUMBER(SEARCH("入",B6280)))),"Ambiguous",IF(ISNUMBER(SEARCH("平",B6280)),"平","仄")))</x:f>
        <x:v>仄</x:v>
      </x:c>
      <x:c r="K6280" s="6" t="str">
        <x:f>IF(D6280="","",IF(AND(ISNUMBER(SEARCH("平",D6280)),OR(ISNUMBER(SEARCH("上",D6280)),ISNUMBER(SEARCH("去",D6280)),ISNUMBER(SEARCH("入",D6280)))),"Ambiguous",IF(ISNUMBER(SEARCH("平",D6280)),"平","仄")))</x:f>
        <x:v>仄</x:v>
      </x:c>
      <x:c r="L6280" s="7" t="str">
        <x:v>Pingshui main list, Lu Qinli gap fill</x:v>
      </x:c>
    </x:row>
    <x:row r="6281">
      <x:c r="A6281" s="5" t="str">
        <x:v>醢</x:v>
      </x:c>
      <x:c r="B6281" s="6" t="str">
        <x:v>上</x:v>
      </x:c>
      <x:c r="C6281" s="6" t="str">
        <x:f>IF(B6281="","Needs decision","Ready")</x:f>
        <x:v>Ready</x:v>
      </x:c>
      <x:c r="D6281" s="6" t="str">
        <x:v>上</x:v>
      </x:c>
      <x:c r="E6281" s="6" t="str"/>
      <x:c r="F6281" s="6" t="str">
        <x:v>上聲十賄</x:v>
      </x:c>
      <x:c r="G6281" s="6" t="str">
        <x:v>Pingshui main list, Wikisource-derived DOCX</x:v>
      </x:c>
      <x:c r="H6281" s="6" t="str"/>
      <x:c r="I6281" s="6" t="str">
        <x:v>Lu Qinli gap fill from Pingshui main list; 詞 entries ignored</x:v>
      </x:c>
      <x:c r="J6281" s="6" t="str">
        <x:f>IF(B6281="","",IF(AND(ISNUMBER(SEARCH("平",B6281)),OR(ISNUMBER(SEARCH("上",B6281)),ISNUMBER(SEARCH("去",B6281)),ISNUMBER(SEARCH("入",B6281)))),"Ambiguous",IF(ISNUMBER(SEARCH("平",B6281)),"平","仄")))</x:f>
        <x:v>仄</x:v>
      </x:c>
      <x:c r="K6281" s="6" t="str">
        <x:f>IF(D6281="","",IF(AND(ISNUMBER(SEARCH("平",D6281)),OR(ISNUMBER(SEARCH("上",D6281)),ISNUMBER(SEARCH("去",D6281)),ISNUMBER(SEARCH("入",D6281)))),"Ambiguous",IF(ISNUMBER(SEARCH("平",D6281)),"平","仄")))</x:f>
        <x:v>仄</x:v>
      </x:c>
      <x:c r="L6281" s="7" t="str">
        <x:v>Pingshui main list, Lu Qinli gap fill</x:v>
      </x:c>
    </x:row>
    <x:row r="6282">
      <x:c r="A6282" s="5" t="str">
        <x:v>醥</x:v>
      </x:c>
      <x:c r="B6282" s="6" t="str">
        <x:v>上</x:v>
      </x:c>
      <x:c r="C6282" s="6" t="str">
        <x:f>IF(B6282="","Needs decision","Ready")</x:f>
        <x:v>Ready</x:v>
      </x:c>
      <x:c r="D6282" s="6" t="str">
        <x:v>上</x:v>
      </x:c>
      <x:c r="E6282" s="6" t="str"/>
      <x:c r="F6282" s="6" t="str">
        <x:v>上聲十七篠</x:v>
      </x:c>
      <x:c r="G6282" s="6" t="str">
        <x:v>Pingshui main list, Wikisource-derived DOCX</x:v>
      </x:c>
      <x:c r="H6282" s="6" t="str"/>
      <x:c r="I6282" s="6" t="str">
        <x:v>Lu Qinli gap fill from Pingshui main list; 詞 entries ignored</x:v>
      </x:c>
      <x:c r="J6282" s="6" t="str">
        <x:f>IF(B6282="","",IF(AND(ISNUMBER(SEARCH("平",B6282)),OR(ISNUMBER(SEARCH("上",B6282)),ISNUMBER(SEARCH("去",B6282)),ISNUMBER(SEARCH("入",B6282)))),"Ambiguous",IF(ISNUMBER(SEARCH("平",B6282)),"平","仄")))</x:f>
        <x:v>仄</x:v>
      </x:c>
      <x:c r="K6282" s="6" t="str">
        <x:f>IF(D6282="","",IF(AND(ISNUMBER(SEARCH("平",D6282)),OR(ISNUMBER(SEARCH("上",D6282)),ISNUMBER(SEARCH("去",D6282)),ISNUMBER(SEARCH("入",D6282)))),"Ambiguous",IF(ISNUMBER(SEARCH("平",D6282)),"平","仄")))</x:f>
        <x:v>仄</x:v>
      </x:c>
      <x:c r="L6282" s="7" t="str">
        <x:v>Pingshui main list, Lu Qinli gap fill</x:v>
      </x:c>
    </x:row>
    <x:row r="6283">
      <x:c r="A6283" s="5" t="str">
        <x:v>醨</x:v>
      </x:c>
      <x:c r="B6283" s="6" t="str">
        <x:v>平</x:v>
      </x:c>
      <x:c r="C6283" s="6" t="str">
        <x:f>IF(B6283="","Needs decision","Ready")</x:f>
        <x:v>Ready</x:v>
      </x:c>
      <x:c r="D6283" s="6" t="str">
        <x:v>平</x:v>
      </x:c>
      <x:c r="E6283" s="6" t="str"/>
      <x:c r="F6283" s="6" t="str">
        <x:v>上平聲四支</x:v>
      </x:c>
      <x:c r="G6283" s="6" t="str">
        <x:v>Pingshui main list, Wikisource-derived DOCX</x:v>
      </x:c>
      <x:c r="H6283" s="6" t="str"/>
      <x:c r="I6283" s="6" t="str">
        <x:v>Lu Qinli gap fill from Pingshui main list; 詞 entries ignored</x:v>
      </x:c>
      <x:c r="J6283" s="6" t="str">
        <x:f>IF(B6283="","",IF(AND(ISNUMBER(SEARCH("平",B6283)),OR(ISNUMBER(SEARCH("上",B6283)),ISNUMBER(SEARCH("去",B6283)),ISNUMBER(SEARCH("入",B6283)))),"Ambiguous",IF(ISNUMBER(SEARCH("平",B6283)),"平","仄")))</x:f>
        <x:v>平</x:v>
      </x:c>
      <x:c r="K6283" s="6" t="str">
        <x:f>IF(D6283="","",IF(AND(ISNUMBER(SEARCH("平",D6283)),OR(ISNUMBER(SEARCH("上",D6283)),ISNUMBER(SEARCH("去",D6283)),ISNUMBER(SEARCH("入",D6283)))),"Ambiguous",IF(ISNUMBER(SEARCH("平",D6283)),"平","仄")))</x:f>
        <x:v>平</x:v>
      </x:c>
      <x:c r="L6283" s="7" t="str">
        <x:v>Pingshui main list, Lu Qinli gap fill</x:v>
      </x:c>
    </x:row>
    <x:row r="6284">
      <x:c r="A6284" s="5" t="str">
        <x:v>醪</x:v>
      </x:c>
      <x:c r="B6284" s="6" t="str">
        <x:v>平</x:v>
      </x:c>
      <x:c r="C6284" s="6" t="str">
        <x:f>IF(B6284="","Needs decision","Ready")</x:f>
        <x:v>Ready</x:v>
      </x:c>
      <x:c r="D6284" s="6" t="str">
        <x:v>平</x:v>
      </x:c>
      <x:c r="E6284" s="6" t="str"/>
      <x:c r="F6284" s="6" t="str">
        <x:v>下平聲四豪</x:v>
      </x:c>
      <x:c r="G6284" s="6" t="str">
        <x:v>Pingshui main list, Wikisource-derived DOCX</x:v>
      </x:c>
      <x:c r="H6284" s="6" t="str"/>
      <x:c r="I6284" s="6" t="str">
        <x:v>Lu Qinli gap fill from Pingshui main list; 詞 entries ignored</x:v>
      </x:c>
      <x:c r="J6284" s="6" t="str">
        <x:f>IF(B6284="","",IF(AND(ISNUMBER(SEARCH("平",B6284)),OR(ISNUMBER(SEARCH("上",B6284)),ISNUMBER(SEARCH("去",B6284)),ISNUMBER(SEARCH("入",B6284)))),"Ambiguous",IF(ISNUMBER(SEARCH("平",B6284)),"平","仄")))</x:f>
        <x:v>平</x:v>
      </x:c>
      <x:c r="K6284" s="6" t="str">
        <x:f>IF(D6284="","",IF(AND(ISNUMBER(SEARCH("平",D6284)),OR(ISNUMBER(SEARCH("上",D6284)),ISNUMBER(SEARCH("去",D6284)),ISNUMBER(SEARCH("入",D6284)))),"Ambiguous",IF(ISNUMBER(SEARCH("平",D6284)),"平","仄")))</x:f>
        <x:v>平</x:v>
      </x:c>
      <x:c r="L6284" s="7" t="str">
        <x:v>Pingshui main list, Lu Qinli gap fill</x:v>
      </x:c>
    </x:row>
    <x:row r="6285">
      <x:c r="A6285" s="5" t="str">
        <x:v>醮</x:v>
      </x:c>
      <x:c r="B6285" s="6" t="str">
        <x:v>去</x:v>
      </x:c>
      <x:c r="C6285" s="6" t="str">
        <x:f>IF(B6285="","Needs decision","Ready")</x:f>
        <x:v>Ready</x:v>
      </x:c>
      <x:c r="D6285" s="6" t="str">
        <x:v>去</x:v>
      </x:c>
      <x:c r="E6285" s="6" t="str"/>
      <x:c r="F6285" s="6" t="str">
        <x:v>去聲十八嘯</x:v>
      </x:c>
      <x:c r="G6285" s="6" t="str">
        <x:v>Pingshui main list, Wikisource-derived DOCX</x:v>
      </x:c>
      <x:c r="H6285" s="6" t="str"/>
      <x:c r="I6285" s="6" t="str">
        <x:v>Lu Qinli gap fill from Pingshui main list; 詞 entries ignored</x:v>
      </x:c>
      <x:c r="J6285" s="6" t="str">
        <x:f>IF(B6285="","",IF(AND(ISNUMBER(SEARCH("平",B6285)),OR(ISNUMBER(SEARCH("上",B6285)),ISNUMBER(SEARCH("去",B6285)),ISNUMBER(SEARCH("入",B6285)))),"Ambiguous",IF(ISNUMBER(SEARCH("平",B6285)),"平","仄")))</x:f>
        <x:v>仄</x:v>
      </x:c>
      <x:c r="K6285" s="6" t="str">
        <x:f>IF(D6285="","",IF(AND(ISNUMBER(SEARCH("平",D6285)),OR(ISNUMBER(SEARCH("上",D6285)),ISNUMBER(SEARCH("去",D6285)),ISNUMBER(SEARCH("入",D6285)))),"Ambiguous",IF(ISNUMBER(SEARCH("平",D6285)),"平","仄")))</x:f>
        <x:v>仄</x:v>
      </x:c>
      <x:c r="L6285" s="7" t="str">
        <x:v>Pingshui main list, Lu Qinli gap fill</x:v>
      </x:c>
    </x:row>
    <x:row r="6286">
      <x:c r="A6286" s="5" t="str">
        <x:v>醯</x:v>
      </x:c>
      <x:c r="B6286" s="6" t="str">
        <x:v>平</x:v>
      </x:c>
      <x:c r="C6286" s="6" t="str">
        <x:f>IF(B6286="","Needs decision","Ready")</x:f>
        <x:v>Ready</x:v>
      </x:c>
      <x:c r="D6286" s="6" t="str">
        <x:v>平</x:v>
      </x:c>
      <x:c r="E6286" s="6" t="str"/>
      <x:c r="F6286" s="6" t="str">
        <x:v>上平聲八齊</x:v>
      </x:c>
      <x:c r="G6286" s="6" t="str">
        <x:v>Pingshui main list, Wikisource-derived DOCX</x:v>
      </x:c>
      <x:c r="H6286" s="6" t="str"/>
      <x:c r="I6286" s="6" t="str">
        <x:v>Lu Qinli gap fill from Pingshui main list; 詞 entries ignored</x:v>
      </x:c>
      <x:c r="J6286" s="6" t="str">
        <x:f>IF(B6286="","",IF(AND(ISNUMBER(SEARCH("平",B6286)),OR(ISNUMBER(SEARCH("上",B6286)),ISNUMBER(SEARCH("去",B6286)),ISNUMBER(SEARCH("入",B6286)))),"Ambiguous",IF(ISNUMBER(SEARCH("平",B6286)),"平","仄")))</x:f>
        <x:v>平</x:v>
      </x:c>
      <x:c r="K6286" s="6" t="str">
        <x:f>IF(D6286="","",IF(AND(ISNUMBER(SEARCH("平",D6286)),OR(ISNUMBER(SEARCH("上",D6286)),ISNUMBER(SEARCH("去",D6286)),ISNUMBER(SEARCH("入",D6286)))),"Ambiguous",IF(ISNUMBER(SEARCH("平",D6286)),"平","仄")))</x:f>
        <x:v>平</x:v>
      </x:c>
      <x:c r="L6286" s="7" t="str">
        <x:v>Pingshui main list, Lu Qinli gap fill</x:v>
      </x:c>
    </x:row>
    <x:row r="6287">
      <x:c r="A6287" s="5" t="str">
        <x:v>醳</x:v>
      </x:c>
      <x:c r="B6287" s="6" t="str">
        <x:v>入</x:v>
      </x:c>
      <x:c r="C6287" s="6" t="str">
        <x:f>IF(B6287="","Needs decision","Ready")</x:f>
        <x:v>Ready</x:v>
      </x:c>
      <x:c r="D6287" s="6" t="str">
        <x:v>入</x:v>
      </x:c>
      <x:c r="E6287" s="6" t="str"/>
      <x:c r="F6287" s="6" t="str">
        <x:v>入聲十一陌</x:v>
      </x:c>
      <x:c r="G6287" s="6" t="str">
        <x:v>Pingshui main list, Wikisource-derived DOCX</x:v>
      </x:c>
      <x:c r="H6287" s="6" t="str"/>
      <x:c r="I6287" s="6" t="str">
        <x:v>Lu Qinli gap fill from Pingshui main list; 詞 entries ignored</x:v>
      </x:c>
      <x:c r="J6287" s="6" t="str">
        <x:f>IF(B6287="","",IF(AND(ISNUMBER(SEARCH("平",B6287)),OR(ISNUMBER(SEARCH("上",B6287)),ISNUMBER(SEARCH("去",B6287)),ISNUMBER(SEARCH("入",B6287)))),"Ambiguous",IF(ISNUMBER(SEARCH("平",B6287)),"平","仄")))</x:f>
        <x:v>仄</x:v>
      </x:c>
      <x:c r="K6287" s="6" t="str">
        <x:f>IF(D6287="","",IF(AND(ISNUMBER(SEARCH("平",D6287)),OR(ISNUMBER(SEARCH("上",D6287)),ISNUMBER(SEARCH("去",D6287)),ISNUMBER(SEARCH("入",D6287)))),"Ambiguous",IF(ISNUMBER(SEARCH("平",D6287)),"平","仄")))</x:f>
        <x:v>仄</x:v>
      </x:c>
      <x:c r="L6287" s="7" t="str">
        <x:v>Pingshui main list, Lu Qinli gap fill</x:v>
      </x:c>
    </x:row>
    <x:row r="6288">
      <x:c r="A6288" s="5" t="str">
        <x:v>醺</x:v>
      </x:c>
      <x:c r="B6288" s="6" t="str">
        <x:v>平</x:v>
      </x:c>
      <x:c r="C6288" s="6" t="str">
        <x:f>IF(B6288="","Needs decision","Ready")</x:f>
        <x:v>Ready</x:v>
      </x:c>
      <x:c r="D6288" s="6" t="str">
        <x:v>平</x:v>
      </x:c>
      <x:c r="E6288" s="6" t="str"/>
      <x:c r="F6288" s="6" t="str">
        <x:v>上平聲十二文</x:v>
      </x:c>
      <x:c r="G6288" s="6" t="str">
        <x:v>Pingshui main list, Wikisource-derived DOCX</x:v>
      </x:c>
      <x:c r="H6288" s="6" t="str"/>
      <x:c r="I6288" s="6" t="str">
        <x:v>Lu Qinli gap fill from Pingshui main list; 詞 entries ignored</x:v>
      </x:c>
      <x:c r="J6288" s="6" t="str">
        <x:f>IF(B6288="","",IF(AND(ISNUMBER(SEARCH("平",B6288)),OR(ISNUMBER(SEARCH("上",B6288)),ISNUMBER(SEARCH("去",B6288)),ISNUMBER(SEARCH("入",B6288)))),"Ambiguous",IF(ISNUMBER(SEARCH("平",B6288)),"平","仄")))</x:f>
        <x:v>平</x:v>
      </x:c>
      <x:c r="K6288" s="6" t="str">
        <x:f>IF(D6288="","",IF(AND(ISNUMBER(SEARCH("平",D6288)),OR(ISNUMBER(SEARCH("上",D6288)),ISNUMBER(SEARCH("去",D6288)),ISNUMBER(SEARCH("入",D6288)))),"Ambiguous",IF(ISNUMBER(SEARCH("平",D6288)),"平","仄")))</x:f>
        <x:v>平</x:v>
      </x:c>
      <x:c r="L6288" s="7" t="str">
        <x:v>Pingshui main list, Lu Qinli gap fill</x:v>
      </x:c>
    </x:row>
    <x:row r="6289">
      <x:c r="A6289" s="5" t="str">
        <x:v>醽</x:v>
      </x:c>
      <x:c r="B6289" s="6" t="str">
        <x:v>平</x:v>
      </x:c>
      <x:c r="C6289" s="6" t="str">
        <x:f>IF(B6289="","Needs decision","Ready")</x:f>
        <x:v>Ready</x:v>
      </x:c>
      <x:c r="D6289" s="6" t="str">
        <x:v>平</x:v>
      </x:c>
      <x:c r="E6289" s="6" t="str"/>
      <x:c r="F6289" s="6" t="str">
        <x:v>下平聲九青</x:v>
      </x:c>
      <x:c r="G6289" s="6" t="str">
        <x:v>Pingshui main list, Wikisource-derived DOCX</x:v>
      </x:c>
      <x:c r="H6289" s="6" t="str"/>
      <x:c r="I6289" s="6" t="str">
        <x:v>Lu Qinli gap fill from Pingshui main list; 詞 entries ignored</x:v>
      </x:c>
      <x:c r="J6289" s="6" t="str">
        <x:f>IF(B6289="","",IF(AND(ISNUMBER(SEARCH("平",B6289)),OR(ISNUMBER(SEARCH("上",B6289)),ISNUMBER(SEARCH("去",B6289)),ISNUMBER(SEARCH("入",B6289)))),"Ambiguous",IF(ISNUMBER(SEARCH("平",B6289)),"平","仄")))</x:f>
        <x:v>平</x:v>
      </x:c>
      <x:c r="K6289" s="6" t="str">
        <x:f>IF(D6289="","",IF(AND(ISNUMBER(SEARCH("平",D6289)),OR(ISNUMBER(SEARCH("上",D6289)),ISNUMBER(SEARCH("去",D6289)),ISNUMBER(SEARCH("入",D6289)))),"Ambiguous",IF(ISNUMBER(SEARCH("平",D6289)),"平","仄")))</x:f>
        <x:v>平</x:v>
      </x:c>
      <x:c r="L6289" s="7" t="str">
        <x:v>Pingshui main list, Lu Qinli gap fill</x:v>
      </x:c>
    </x:row>
    <x:row r="6290">
      <x:c r="A6290" s="5" t="str">
        <x:v>釀</x:v>
      </x:c>
      <x:c r="B6290" s="6" t="str">
        <x:v>去</x:v>
      </x:c>
      <x:c r="C6290" s="6" t="str">
        <x:f>IF(B6290="","Needs decision","Ready")</x:f>
        <x:v>Ready</x:v>
      </x:c>
      <x:c r="D6290" s="6" t="str">
        <x:v>去</x:v>
      </x:c>
      <x:c r="E6290" s="6" t="str"/>
      <x:c r="F6290" s="6" t="str">
        <x:v>去聲二十三漾</x:v>
      </x:c>
      <x:c r="G6290" s="6" t="str">
        <x:v>Pingshui main list, Wikisource-derived DOCX</x:v>
      </x:c>
      <x:c r="H6290" s="6" t="str"/>
      <x:c r="I6290" s="6" t="str">
        <x:v>Lu Qinli gap fill from Pingshui main list; 詞 entries ignored</x:v>
      </x:c>
      <x:c r="J6290" s="6" t="str">
        <x:f>IF(B6290="","",IF(AND(ISNUMBER(SEARCH("平",B6290)),OR(ISNUMBER(SEARCH("上",B6290)),ISNUMBER(SEARCH("去",B6290)),ISNUMBER(SEARCH("入",B6290)))),"Ambiguous",IF(ISNUMBER(SEARCH("平",B6290)),"平","仄")))</x:f>
        <x:v>仄</x:v>
      </x:c>
      <x:c r="K6290" s="6" t="str">
        <x:f>IF(D6290="","",IF(AND(ISNUMBER(SEARCH("平",D6290)),OR(ISNUMBER(SEARCH("上",D6290)),ISNUMBER(SEARCH("去",D6290)),ISNUMBER(SEARCH("入",D6290)))),"Ambiguous",IF(ISNUMBER(SEARCH("平",D6290)),"平","仄")))</x:f>
        <x:v>仄</x:v>
      </x:c>
      <x:c r="L6290" s="7" t="str">
        <x:v>Pingshui main list, Lu Qinli gap fill</x:v>
      </x:c>
    </x:row>
    <x:row r="6291">
      <x:c r="A6291" s="5" t="str">
        <x:v>釂</x:v>
      </x:c>
      <x:c r="B6291" s="6" t="str">
        <x:v>去</x:v>
      </x:c>
      <x:c r="C6291" s="6" t="str">
        <x:f>IF(B6291="","Needs decision","Ready")</x:f>
        <x:v>Ready</x:v>
      </x:c>
      <x:c r="D6291" s="6" t="str">
        <x:v>去</x:v>
      </x:c>
      <x:c r="E6291" s="6" t="str"/>
      <x:c r="F6291" s="6" t="str">
        <x:v>去聲十八嘯</x:v>
      </x:c>
      <x:c r="G6291" s="6" t="str">
        <x:v>Pingshui main list, Wikisource-derived DOCX</x:v>
      </x:c>
      <x:c r="H6291" s="6" t="str"/>
      <x:c r="I6291" s="6" t="str">
        <x:v>Lu Qinli gap fill from Pingshui main list; 詞 entries ignored</x:v>
      </x:c>
      <x:c r="J6291" s="6" t="str">
        <x:f>IF(B6291="","",IF(AND(ISNUMBER(SEARCH("平",B6291)),OR(ISNUMBER(SEARCH("上",B6291)),ISNUMBER(SEARCH("去",B6291)),ISNUMBER(SEARCH("入",B6291)))),"Ambiguous",IF(ISNUMBER(SEARCH("平",B6291)),"平","仄")))</x:f>
        <x:v>仄</x:v>
      </x:c>
      <x:c r="K6291" s="6" t="str">
        <x:f>IF(D6291="","",IF(AND(ISNUMBER(SEARCH("平",D6291)),OR(ISNUMBER(SEARCH("上",D6291)),ISNUMBER(SEARCH("去",D6291)),ISNUMBER(SEARCH("入",D6291)))),"Ambiguous",IF(ISNUMBER(SEARCH("平",D6291)),"平","仄")))</x:f>
        <x:v>仄</x:v>
      </x:c>
      <x:c r="L6291" s="7" t="str">
        <x:v>Pingshui main list, Lu Qinli gap fill</x:v>
      </x:c>
    </x:row>
    <x:row r="6292">
      <x:c r="A6292" s="5" t="str">
        <x:v>釗</x:v>
      </x:c>
      <x:c r="B6292" s="6" t="str">
        <x:v>平</x:v>
      </x:c>
      <x:c r="C6292" s="6" t="str">
        <x:f>IF(B6292="","Needs decision","Ready")</x:f>
        <x:v>Ready</x:v>
      </x:c>
      <x:c r="D6292" s="6" t="str">
        <x:v>平</x:v>
      </x:c>
      <x:c r="E6292" s="6" t="str"/>
      <x:c r="F6292" s="6" t="str">
        <x:v>下平聲二蕭</x:v>
      </x:c>
      <x:c r="G6292" s="6" t="str">
        <x:v>Pingshui main list, Wikisource-derived DOCX</x:v>
      </x:c>
      <x:c r="H6292" s="6" t="str"/>
      <x:c r="I6292" s="6" t="str">
        <x:v>Lu Qinli gap fill from Pingshui main list; 詞 entries ignored</x:v>
      </x:c>
      <x:c r="J6292" s="6" t="str">
        <x:f>IF(B6292="","",IF(AND(ISNUMBER(SEARCH("平",B6292)),OR(ISNUMBER(SEARCH("上",B6292)),ISNUMBER(SEARCH("去",B6292)),ISNUMBER(SEARCH("入",B6292)))),"Ambiguous",IF(ISNUMBER(SEARCH("平",B6292)),"平","仄")))</x:f>
        <x:v>平</x:v>
      </x:c>
      <x:c r="K6292" s="6" t="str">
        <x:f>IF(D6292="","",IF(AND(ISNUMBER(SEARCH("平",D6292)),OR(ISNUMBER(SEARCH("上",D6292)),ISNUMBER(SEARCH("去",D6292)),ISNUMBER(SEARCH("入",D6292)))),"Ambiguous",IF(ISNUMBER(SEARCH("平",D6292)),"平","仄")))</x:f>
        <x:v>平</x:v>
      </x:c>
      <x:c r="L6292" s="7" t="str">
        <x:v>Pingshui main list, Lu Qinli gap fill</x:v>
      </x:c>
    </x:row>
    <x:row r="6293">
      <x:c r="A6293" s="5" t="str">
        <x:v>釧</x:v>
      </x:c>
      <x:c r="B6293" s="6" t="str">
        <x:v>去</x:v>
      </x:c>
      <x:c r="C6293" s="6" t="str">
        <x:f>IF(B6293="","Needs decision","Ready")</x:f>
        <x:v>Ready</x:v>
      </x:c>
      <x:c r="D6293" s="6" t="str">
        <x:v>去</x:v>
      </x:c>
      <x:c r="E6293" s="6" t="str"/>
      <x:c r="F6293" s="6" t="str">
        <x:v>去聲十七霰</x:v>
      </x:c>
      <x:c r="G6293" s="6" t="str">
        <x:v>Pingshui main list, Wikisource-derived DOCX</x:v>
      </x:c>
      <x:c r="H6293" s="6" t="str"/>
      <x:c r="I6293" s="6" t="str">
        <x:v>Lu Qinli gap fill from Pingshui main list; 詞 entries ignored</x:v>
      </x:c>
      <x:c r="J6293" s="6" t="str">
        <x:f>IF(B6293="","",IF(AND(ISNUMBER(SEARCH("平",B6293)),OR(ISNUMBER(SEARCH("上",B6293)),ISNUMBER(SEARCH("去",B6293)),ISNUMBER(SEARCH("入",B6293)))),"Ambiguous",IF(ISNUMBER(SEARCH("平",B6293)),"平","仄")))</x:f>
        <x:v>仄</x:v>
      </x:c>
      <x:c r="K6293" s="6" t="str">
        <x:f>IF(D6293="","",IF(AND(ISNUMBER(SEARCH("平",D6293)),OR(ISNUMBER(SEARCH("上",D6293)),ISNUMBER(SEARCH("去",D6293)),ISNUMBER(SEARCH("入",D6293)))),"Ambiguous",IF(ISNUMBER(SEARCH("平",D6293)),"平","仄")))</x:f>
        <x:v>仄</x:v>
      </x:c>
      <x:c r="L6293" s="7" t="str">
        <x:v>Pingshui main list, Lu Qinli gap fill</x:v>
      </x:c>
    </x:row>
    <x:row r="6294">
      <x:c r="A6294" s="5" t="str">
        <x:v>釭</x:v>
      </x:c>
      <x:c r="B6294" s="6" t="str">
        <x:v>平</x:v>
      </x:c>
      <x:c r="C6294" s="6" t="str">
        <x:f>IF(B6294="","Needs decision","Ready")</x:f>
        <x:v>Ready</x:v>
      </x:c>
      <x:c r="D6294" s="6" t="str">
        <x:v>平</x:v>
      </x:c>
      <x:c r="E6294" s="6" t="str"/>
      <x:c r="F6294" s="6" t="str">
        <x:v>上平聲一東; 上平聲三江</x:v>
      </x:c>
      <x:c r="G6294" s="6" t="str">
        <x:v>Pingshui main list, Wikisource-derived DOCX</x:v>
      </x:c>
      <x:c r="H6294" s="6" t="str"/>
      <x:c r="I6294" s="6" t="str">
        <x:v>Lu Qinli gap fill from Pingshui main list; 詞 entries ignored</x:v>
      </x:c>
      <x:c r="J6294" s="6" t="str">
        <x:f>IF(B6294="","",IF(AND(ISNUMBER(SEARCH("平",B6294)),OR(ISNUMBER(SEARCH("上",B6294)),ISNUMBER(SEARCH("去",B6294)),ISNUMBER(SEARCH("入",B6294)))),"Ambiguous",IF(ISNUMBER(SEARCH("平",B6294)),"平","仄")))</x:f>
        <x:v>平</x:v>
      </x:c>
      <x:c r="K6294" s="6" t="str">
        <x:f>IF(D6294="","",IF(AND(ISNUMBER(SEARCH("平",D6294)),OR(ISNUMBER(SEARCH("上",D6294)),ISNUMBER(SEARCH("去",D6294)),ISNUMBER(SEARCH("入",D6294)))),"Ambiguous",IF(ISNUMBER(SEARCH("平",D6294)),"平","仄")))</x:f>
        <x:v>平</x:v>
      </x:c>
      <x:c r="L6294" s="7" t="str">
        <x:v>Pingshui main list, Lu Qinli gap fill</x:v>
      </x:c>
    </x:row>
    <x:row r="6295">
      <x:c r="A6295" s="5" t="str">
        <x:v>鈃</x:v>
      </x:c>
      <x:c r="B6295" s="6" t="str">
        <x:v>平</x:v>
      </x:c>
      <x:c r="C6295" s="6" t="str">
        <x:f>IF(B6295="","Needs decision","Ready")</x:f>
        <x:v>Ready</x:v>
      </x:c>
      <x:c r="D6295" s="6" t="str">
        <x:v>平</x:v>
      </x:c>
      <x:c r="E6295" s="6" t="str"/>
      <x:c r="F6295" s="6" t="str">
        <x:v>下平聲九青</x:v>
      </x:c>
      <x:c r="G6295" s="6" t="str">
        <x:v>Pingshui main list, Wikisource-derived DOCX</x:v>
      </x:c>
      <x:c r="H6295" s="6" t="str"/>
      <x:c r="I6295" s="6" t="str">
        <x:v>Lu Qinli gap fill from Pingshui main list; 詞 entries ignored</x:v>
      </x:c>
      <x:c r="J6295" s="6" t="str">
        <x:f>IF(B6295="","",IF(AND(ISNUMBER(SEARCH("平",B6295)),OR(ISNUMBER(SEARCH("上",B6295)),ISNUMBER(SEARCH("去",B6295)),ISNUMBER(SEARCH("入",B6295)))),"Ambiguous",IF(ISNUMBER(SEARCH("平",B6295)),"平","仄")))</x:f>
        <x:v>平</x:v>
      </x:c>
      <x:c r="K6295" s="6" t="str">
        <x:f>IF(D6295="","",IF(AND(ISNUMBER(SEARCH("平",D6295)),OR(ISNUMBER(SEARCH("上",D6295)),ISNUMBER(SEARCH("去",D6295)),ISNUMBER(SEARCH("入",D6295)))),"Ambiguous",IF(ISNUMBER(SEARCH("平",D6295)),"平","仄")))</x:f>
        <x:v>平</x:v>
      </x:c>
      <x:c r="L6295" s="7" t="str">
        <x:v>Pingshui main list, Lu Qinli gap fill</x:v>
      </x:c>
    </x:row>
    <x:row r="6296">
      <x:c r="A6296" s="5" t="str">
        <x:v>鈍</x:v>
      </x:c>
      <x:c r="B6296" s="6" t="str">
        <x:v>去</x:v>
      </x:c>
      <x:c r="C6296" s="6" t="str">
        <x:f>IF(B6296="","Needs decision","Ready")</x:f>
        <x:v>Ready</x:v>
      </x:c>
      <x:c r="D6296" s="6" t="str">
        <x:v>去</x:v>
      </x:c>
      <x:c r="E6296" s="6" t="str"/>
      <x:c r="F6296" s="6" t="str">
        <x:v>去聲十四願</x:v>
      </x:c>
      <x:c r="G6296" s="6" t="str">
        <x:v>Pingshui main list, Wikisource-derived DOCX</x:v>
      </x:c>
      <x:c r="H6296" s="6" t="str"/>
      <x:c r="I6296" s="6" t="str">
        <x:v>Lu Qinli gap fill from Pingshui main list; 詞 entries ignored</x:v>
      </x:c>
      <x:c r="J6296" s="6" t="str">
        <x:f>IF(B6296="","",IF(AND(ISNUMBER(SEARCH("平",B6296)),OR(ISNUMBER(SEARCH("上",B6296)),ISNUMBER(SEARCH("去",B6296)),ISNUMBER(SEARCH("入",B6296)))),"Ambiguous",IF(ISNUMBER(SEARCH("平",B6296)),"平","仄")))</x:f>
        <x:v>仄</x:v>
      </x:c>
      <x:c r="K6296" s="6" t="str">
        <x:f>IF(D6296="","",IF(AND(ISNUMBER(SEARCH("平",D6296)),OR(ISNUMBER(SEARCH("上",D6296)),ISNUMBER(SEARCH("去",D6296)),ISNUMBER(SEARCH("入",D6296)))),"Ambiguous",IF(ISNUMBER(SEARCH("平",D6296)),"平","仄")))</x:f>
        <x:v>仄</x:v>
      </x:c>
      <x:c r="L6296" s="7" t="str">
        <x:v>Pingshui main list, Lu Qinli gap fill</x:v>
      </x:c>
    </x:row>
    <x:row r="6297">
      <x:c r="A6297" s="5" t="str">
        <x:v>鈔</x:v>
      </x:c>
      <x:c r="B6297" s="6" t="str"/>
      <x:c r="C6297" s="6" t="str">
        <x:f>IF(B6297="","Needs decision","Ready")</x:f>
        <x:v>Needs decision</x:v>
      </x:c>
      <x:c r="D6297" s="6" t="str">
        <x:v>平/去</x:v>
      </x:c>
      <x:c r="E6297" s="6" t="str"/>
      <x:c r="F6297" s="6" t="str">
        <x:v>下平聲三肴; 去聲十九效</x:v>
      </x:c>
      <x:c r="G6297" s="6" t="str">
        <x:v>Pingshui main list, Wikisource-derived DOCX</x:v>
      </x:c>
      <x:c r="H6297" s="6" t="str"/>
      <x:c r="I6297" s="6" t="str">
        <x:v>Lu Qinli gap fill from Pingshui main list; 詞 entries ignored</x:v>
      </x:c>
      <x:c r="J6297" s="6" t="str">
        <x:f>IF(B6297="","",IF(AND(ISNUMBER(SEARCH("平",B6297)),OR(ISNUMBER(SEARCH("上",B6297)),ISNUMBER(SEARCH("去",B6297)),ISNUMBER(SEARCH("入",B6297)))),"Ambiguous",IF(ISNUMBER(SEARCH("平",B6297)),"平","仄")))</x:f>
      </x:c>
      <x:c r="K6297" s="6" t="str">
        <x:f>IF(D6297="","",IF(AND(ISNUMBER(SEARCH("平",D6297)),OR(ISNUMBER(SEARCH("上",D6297)),ISNUMBER(SEARCH("去",D6297)),ISNUMBER(SEARCH("入",D6297)))),"Ambiguous",IF(ISNUMBER(SEARCH("平",D6297)),"平","仄")))</x:f>
        <x:v>Ambiguous</x:v>
      </x:c>
      <x:c r="L6297" s="7" t="str">
        <x:v>Pingshui main list, Lu Qinli gap fill</x:v>
      </x:c>
    </x:row>
    <x:row r="6298">
      <x:c r="A6298" s="5" t="str">
        <x:v>鈹</x:v>
      </x:c>
      <x:c r="B6298" s="6" t="str">
        <x:v>平</x:v>
      </x:c>
      <x:c r="C6298" s="6" t="str">
        <x:f>IF(B6298="","Needs decision","Ready")</x:f>
        <x:v>Ready</x:v>
      </x:c>
      <x:c r="D6298" s="6" t="str">
        <x:v>平</x:v>
      </x:c>
      <x:c r="E6298" s="6" t="str"/>
      <x:c r="F6298" s="6" t="str">
        <x:v>上平聲四支</x:v>
      </x:c>
      <x:c r="G6298" s="6" t="str">
        <x:v>Pingshui main list, Wikisource-derived DOCX</x:v>
      </x:c>
      <x:c r="H6298" s="6" t="str"/>
      <x:c r="I6298" s="6" t="str">
        <x:v>Lu Qinli gap fill from Pingshui main list; 詞 entries ignored</x:v>
      </x:c>
      <x:c r="J6298" s="6" t="str">
        <x:f>IF(B6298="","",IF(AND(ISNUMBER(SEARCH("平",B6298)),OR(ISNUMBER(SEARCH("上",B6298)),ISNUMBER(SEARCH("去",B6298)),ISNUMBER(SEARCH("入",B6298)))),"Ambiguous",IF(ISNUMBER(SEARCH("平",B6298)),"平","仄")))</x:f>
        <x:v>平</x:v>
      </x:c>
      <x:c r="K6298" s="6" t="str">
        <x:f>IF(D6298="","",IF(AND(ISNUMBER(SEARCH("平",D6298)),OR(ISNUMBER(SEARCH("上",D6298)),ISNUMBER(SEARCH("去",D6298)),ISNUMBER(SEARCH("入",D6298)))),"Ambiguous",IF(ISNUMBER(SEARCH("平",D6298)),"平","仄")))</x:f>
        <x:v>平</x:v>
      </x:c>
      <x:c r="L6298" s="7" t="str">
        <x:v>Pingshui main list, Lu Qinli gap fill</x:v>
      </x:c>
    </x:row>
    <x:row r="6299">
      <x:c r="A6299" s="5" t="str">
        <x:v>鉅</x:v>
      </x:c>
      <x:c r="B6299" s="6" t="str">
        <x:v>上</x:v>
      </x:c>
      <x:c r="C6299" s="6" t="str">
        <x:f>IF(B6299="","Needs decision","Ready")</x:f>
        <x:v>Ready</x:v>
      </x:c>
      <x:c r="D6299" s="6" t="str">
        <x:v>上</x:v>
      </x:c>
      <x:c r="E6299" s="6" t="str"/>
      <x:c r="F6299" s="6" t="str">
        <x:v>上聲六語</x:v>
      </x:c>
      <x:c r="G6299" s="6" t="str">
        <x:v>Pingshui main list, Wikisource-derived DOCX</x:v>
      </x:c>
      <x:c r="H6299" s="6" t="str"/>
      <x:c r="I6299" s="6" t="str">
        <x:v>Lu Qinli gap fill from Pingshui main list; 詞 entries ignored</x:v>
      </x:c>
      <x:c r="J6299" s="6" t="str">
        <x:f>IF(B6299="","",IF(AND(ISNUMBER(SEARCH("平",B6299)),OR(ISNUMBER(SEARCH("上",B6299)),ISNUMBER(SEARCH("去",B6299)),ISNUMBER(SEARCH("入",B6299)))),"Ambiguous",IF(ISNUMBER(SEARCH("平",B6299)),"平","仄")))</x:f>
        <x:v>仄</x:v>
      </x:c>
      <x:c r="K6299" s="6" t="str">
        <x:f>IF(D6299="","",IF(AND(ISNUMBER(SEARCH("平",D6299)),OR(ISNUMBER(SEARCH("上",D6299)),ISNUMBER(SEARCH("去",D6299)),ISNUMBER(SEARCH("入",D6299)))),"Ambiguous",IF(ISNUMBER(SEARCH("平",D6299)),"平","仄")))</x:f>
        <x:v>仄</x:v>
      </x:c>
      <x:c r="L6299" s="7" t="str">
        <x:v>Pingshui main list, Lu Qinli gap fill</x:v>
      </x:c>
    </x:row>
    <x:row r="6300">
      <x:c r="A6300" s="5" t="str">
        <x:v>鉉</x:v>
      </x:c>
      <x:c r="B6300" s="6" t="str">
        <x:v>上</x:v>
      </x:c>
      <x:c r="C6300" s="6" t="str">
        <x:f>IF(B6300="","Needs decision","Ready")</x:f>
        <x:v>Ready</x:v>
      </x:c>
      <x:c r="D6300" s="6" t="str">
        <x:v>上</x:v>
      </x:c>
      <x:c r="E6300" s="6" t="str"/>
      <x:c r="F6300" s="6" t="str">
        <x:v>上聲十六銑</x:v>
      </x:c>
      <x:c r="G6300" s="6" t="str">
        <x:v>Pingshui main list, Wikisource-derived DOCX</x:v>
      </x:c>
      <x:c r="H6300" s="6" t="str"/>
      <x:c r="I6300" s="6" t="str">
        <x:v>Lu Qinli gap fill from Pingshui main list; 詞 entries ignored</x:v>
      </x:c>
      <x:c r="J6300" s="6" t="str">
        <x:f>IF(B6300="","",IF(AND(ISNUMBER(SEARCH("平",B6300)),OR(ISNUMBER(SEARCH("上",B6300)),ISNUMBER(SEARCH("去",B6300)),ISNUMBER(SEARCH("入",B6300)))),"Ambiguous",IF(ISNUMBER(SEARCH("平",B6300)),"平","仄")))</x:f>
        <x:v>仄</x:v>
      </x:c>
      <x:c r="K6300" s="6" t="str">
        <x:f>IF(D6300="","",IF(AND(ISNUMBER(SEARCH("平",D6300)),OR(ISNUMBER(SEARCH("上",D6300)),ISNUMBER(SEARCH("去",D6300)),ISNUMBER(SEARCH("入",D6300)))),"Ambiguous",IF(ISNUMBER(SEARCH("平",D6300)),"平","仄")))</x:f>
        <x:v>仄</x:v>
      </x:c>
      <x:c r="L6300" s="7" t="str">
        <x:v>Pingshui main list, Lu Qinli gap fill</x:v>
      </x:c>
    </x:row>
    <x:row r="6301">
      <x:c r="A6301" s="5" t="str">
        <x:v>鉦</x:v>
      </x:c>
      <x:c r="B6301" s="6" t="str">
        <x:v>平</x:v>
      </x:c>
      <x:c r="C6301" s="6" t="str">
        <x:f>IF(B6301="","Needs decision","Ready")</x:f>
        <x:v>Ready</x:v>
      </x:c>
      <x:c r="D6301" s="6" t="str">
        <x:v>平</x:v>
      </x:c>
      <x:c r="E6301" s="6" t="str"/>
      <x:c r="F6301" s="6" t="str">
        <x:v>下平聲八庚</x:v>
      </x:c>
      <x:c r="G6301" s="6" t="str">
        <x:v>Pingshui main list, Wikisource-derived DOCX</x:v>
      </x:c>
      <x:c r="H6301" s="6" t="str"/>
      <x:c r="I6301" s="6" t="str">
        <x:v>Lu Qinli gap fill from Pingshui main list; 詞 entries ignored</x:v>
      </x:c>
      <x:c r="J6301" s="6" t="str">
        <x:f>IF(B6301="","",IF(AND(ISNUMBER(SEARCH("平",B6301)),OR(ISNUMBER(SEARCH("上",B6301)),ISNUMBER(SEARCH("去",B6301)),ISNUMBER(SEARCH("入",B6301)))),"Ambiguous",IF(ISNUMBER(SEARCH("平",B6301)),"平","仄")))</x:f>
        <x:v>平</x:v>
      </x:c>
      <x:c r="K6301" s="6" t="str">
        <x:f>IF(D6301="","",IF(AND(ISNUMBER(SEARCH("平",D6301)),OR(ISNUMBER(SEARCH("上",D6301)),ISNUMBER(SEARCH("去",D6301)),ISNUMBER(SEARCH("入",D6301)))),"Ambiguous",IF(ISNUMBER(SEARCH("平",D6301)),"平","仄")))</x:f>
        <x:v>平</x:v>
      </x:c>
      <x:c r="L6301" s="7" t="str">
        <x:v>Pingshui main list, Lu Qinli gap fill</x:v>
      </x:c>
    </x:row>
    <x:row r="6302">
      <x:c r="A6302" s="5" t="str">
        <x:v>鉶</x:v>
      </x:c>
      <x:c r="B6302" s="6" t="str">
        <x:v>平</x:v>
      </x:c>
      <x:c r="C6302" s="6" t="str">
        <x:f>IF(B6302="","Needs decision","Ready")</x:f>
        <x:v>Ready</x:v>
      </x:c>
      <x:c r="D6302" s="6" t="str">
        <x:v>平</x:v>
      </x:c>
      <x:c r="E6302" s="6" t="str"/>
      <x:c r="F6302" s="6" t="str">
        <x:v>下平聲九青</x:v>
      </x:c>
      <x:c r="G6302" s="6" t="str">
        <x:v>Pingshui main list, Wikisource-derived DOCX</x:v>
      </x:c>
      <x:c r="H6302" s="6" t="str"/>
      <x:c r="I6302" s="6" t="str">
        <x:v>Lu Qinli gap fill from Pingshui main list; 詞 entries ignored</x:v>
      </x:c>
      <x:c r="J6302" s="6" t="str">
        <x:f>IF(B6302="","",IF(AND(ISNUMBER(SEARCH("平",B6302)),OR(ISNUMBER(SEARCH("上",B6302)),ISNUMBER(SEARCH("去",B6302)),ISNUMBER(SEARCH("入",B6302)))),"Ambiguous",IF(ISNUMBER(SEARCH("平",B6302)),"平","仄")))</x:f>
        <x:v>平</x:v>
      </x:c>
      <x:c r="K6302" s="6" t="str">
        <x:f>IF(D6302="","",IF(AND(ISNUMBER(SEARCH("平",D6302)),OR(ISNUMBER(SEARCH("上",D6302)),ISNUMBER(SEARCH("去",D6302)),ISNUMBER(SEARCH("入",D6302)))),"Ambiguous",IF(ISNUMBER(SEARCH("平",D6302)),"平","仄")))</x:f>
        <x:v>平</x:v>
      </x:c>
      <x:c r="L6302" s="7" t="str">
        <x:v>Pingshui main list, Lu Qinli gap fill</x:v>
      </x:c>
    </x:row>
    <x:row r="6303">
      <x:c r="A6303" s="5" t="str">
        <x:v>銍</x:v>
      </x:c>
      <x:c r="B6303" s="6" t="str">
        <x:v>入</x:v>
      </x:c>
      <x:c r="C6303" s="6" t="str">
        <x:f>IF(B6303="","Needs decision","Ready")</x:f>
        <x:v>Ready</x:v>
      </x:c>
      <x:c r="D6303" s="6" t="str">
        <x:v>入</x:v>
      </x:c>
      <x:c r="E6303" s="6" t="str"/>
      <x:c r="F6303" s="6" t="str">
        <x:v>入聲四質</x:v>
      </x:c>
      <x:c r="G6303" s="6" t="str">
        <x:v>Pingshui main list, Wikisource-derived DOCX</x:v>
      </x:c>
      <x:c r="H6303" s="6" t="str"/>
      <x:c r="I6303" s="6" t="str">
        <x:v>Lu Qinli gap fill from Pingshui main list; 詞 entries ignored</x:v>
      </x:c>
      <x:c r="J6303" s="6" t="str">
        <x:f>IF(B6303="","",IF(AND(ISNUMBER(SEARCH("平",B6303)),OR(ISNUMBER(SEARCH("上",B6303)),ISNUMBER(SEARCH("去",B6303)),ISNUMBER(SEARCH("入",B6303)))),"Ambiguous",IF(ISNUMBER(SEARCH("平",B6303)),"平","仄")))</x:f>
        <x:v>仄</x:v>
      </x:c>
      <x:c r="K6303" s="6" t="str">
        <x:f>IF(D6303="","",IF(AND(ISNUMBER(SEARCH("平",D6303)),OR(ISNUMBER(SEARCH("上",D6303)),ISNUMBER(SEARCH("去",D6303)),ISNUMBER(SEARCH("入",D6303)))),"Ambiguous",IF(ISNUMBER(SEARCH("平",D6303)),"平","仄")))</x:f>
        <x:v>仄</x:v>
      </x:c>
      <x:c r="L6303" s="7" t="str">
        <x:v>Pingshui main list, Lu Qinli gap fill</x:v>
      </x:c>
    </x:row>
    <x:row r="6304">
      <x:c r="A6304" s="5" t="str">
        <x:v>銓</x:v>
      </x:c>
      <x:c r="B6304" s="6" t="str">
        <x:v>平</x:v>
      </x:c>
      <x:c r="C6304" s="6" t="str">
        <x:f>IF(B6304="","Needs decision","Ready")</x:f>
        <x:v>Ready</x:v>
      </x:c>
      <x:c r="D6304" s="6" t="str">
        <x:v>平</x:v>
      </x:c>
      <x:c r="E6304" s="6" t="str"/>
      <x:c r="F6304" s="6" t="str">
        <x:v>下平聲一先</x:v>
      </x:c>
      <x:c r="G6304" s="6" t="str">
        <x:v>Pingshui main list, Wikisource-derived DOCX</x:v>
      </x:c>
      <x:c r="H6304" s="6" t="str"/>
      <x:c r="I6304" s="6" t="str">
        <x:v>Lu Qinli gap fill from Pingshui main list; 詞 entries ignored</x:v>
      </x:c>
      <x:c r="J6304" s="6" t="str">
        <x:f>IF(B6304="","",IF(AND(ISNUMBER(SEARCH("平",B6304)),OR(ISNUMBER(SEARCH("上",B6304)),ISNUMBER(SEARCH("去",B6304)),ISNUMBER(SEARCH("入",B6304)))),"Ambiguous",IF(ISNUMBER(SEARCH("平",B6304)),"平","仄")))</x:f>
        <x:v>平</x:v>
      </x:c>
      <x:c r="K6304" s="6" t="str">
        <x:f>IF(D6304="","",IF(AND(ISNUMBER(SEARCH("平",D6304)),OR(ISNUMBER(SEARCH("上",D6304)),ISNUMBER(SEARCH("去",D6304)),ISNUMBER(SEARCH("入",D6304)))),"Ambiguous",IF(ISNUMBER(SEARCH("平",D6304)),"平","仄")))</x:f>
        <x:v>平</x:v>
      </x:c>
      <x:c r="L6304" s="7" t="str">
        <x:v>Pingshui main list, Lu Qinli gap fill</x:v>
      </x:c>
    </x:row>
    <x:row r="6305">
      <x:c r="A6305" s="5" t="str">
        <x:v>銚</x:v>
      </x:c>
      <x:c r="B6305" s="6" t="str"/>
      <x:c r="C6305" s="6" t="str">
        <x:f>IF(B6305="","Needs decision","Ready")</x:f>
        <x:v>Needs decision</x:v>
      </x:c>
      <x:c r="D6305" s="6" t="str">
        <x:v>平/去</x:v>
      </x:c>
      <x:c r="E6305" s="6" t="str"/>
      <x:c r="F6305" s="6" t="str">
        <x:v>下平聲二蕭; 去聲十八嘯</x:v>
      </x:c>
      <x:c r="G6305" s="6" t="str">
        <x:v>Pingshui main list, Wikisource-derived DOCX</x:v>
      </x:c>
      <x:c r="H6305" s="6" t="str"/>
      <x:c r="I6305" s="6" t="str">
        <x:v>Lu Qinli gap fill from Pingshui main list; 詞 entries ignored</x:v>
      </x:c>
      <x:c r="J6305" s="6" t="str">
        <x:f>IF(B6305="","",IF(AND(ISNUMBER(SEARCH("平",B6305)),OR(ISNUMBER(SEARCH("上",B6305)),ISNUMBER(SEARCH("去",B6305)),ISNUMBER(SEARCH("入",B6305)))),"Ambiguous",IF(ISNUMBER(SEARCH("平",B6305)),"平","仄")))</x:f>
      </x:c>
      <x:c r="K6305" s="6" t="str">
        <x:f>IF(D6305="","",IF(AND(ISNUMBER(SEARCH("平",D6305)),OR(ISNUMBER(SEARCH("上",D6305)),ISNUMBER(SEARCH("去",D6305)),ISNUMBER(SEARCH("入",D6305)))),"Ambiguous",IF(ISNUMBER(SEARCH("平",D6305)),"平","仄")))</x:f>
        <x:v>Ambiguous</x:v>
      </x:c>
      <x:c r="L6305" s="7" t="str">
        <x:v>Pingshui main list, Lu Qinli gap fill</x:v>
      </x:c>
    </x:row>
    <x:row r="6306">
      <x:c r="A6306" s="5" t="str">
        <x:v>銛</x:v>
      </x:c>
      <x:c r="B6306" s="6" t="str">
        <x:v>平</x:v>
      </x:c>
      <x:c r="C6306" s="6" t="str">
        <x:f>IF(B6306="","Needs decision","Ready")</x:f>
        <x:v>Ready</x:v>
      </x:c>
      <x:c r="D6306" s="6" t="str">
        <x:v>平</x:v>
      </x:c>
      <x:c r="E6306" s="6" t="str"/>
      <x:c r="F6306" s="6" t="str">
        <x:v>下平聲十四鹽</x:v>
      </x:c>
      <x:c r="G6306" s="6" t="str">
        <x:v>Pingshui main list, Wikisource-derived DOCX</x:v>
      </x:c>
      <x:c r="H6306" s="6" t="str"/>
      <x:c r="I6306" s="6" t="str">
        <x:v>Lu Qinli gap fill from Pingshui main list; 詞 entries ignored</x:v>
      </x:c>
      <x:c r="J6306" s="6" t="str">
        <x:f>IF(B6306="","",IF(AND(ISNUMBER(SEARCH("平",B6306)),OR(ISNUMBER(SEARCH("上",B6306)),ISNUMBER(SEARCH("去",B6306)),ISNUMBER(SEARCH("入",B6306)))),"Ambiguous",IF(ISNUMBER(SEARCH("平",B6306)),"平","仄")))</x:f>
        <x:v>平</x:v>
      </x:c>
      <x:c r="K6306" s="6" t="str">
        <x:f>IF(D6306="","",IF(AND(ISNUMBER(SEARCH("平",D6306)),OR(ISNUMBER(SEARCH("上",D6306)),ISNUMBER(SEARCH("去",D6306)),ISNUMBER(SEARCH("入",D6306)))),"Ambiguous",IF(ISNUMBER(SEARCH("平",D6306)),"平","仄")))</x:f>
        <x:v>平</x:v>
      </x:c>
      <x:c r="L6306" s="7" t="str">
        <x:v>Pingshui main list, Lu Qinli gap fill</x:v>
      </x:c>
    </x:row>
    <x:row r="6307">
      <x:c r="A6307" s="5" t="str">
        <x:v>鋋</x:v>
      </x:c>
      <x:c r="B6307" s="6" t="str">
        <x:v>平</x:v>
      </x:c>
      <x:c r="C6307" s="6" t="str">
        <x:f>IF(B6307="","Needs decision","Ready")</x:f>
        <x:v>Ready</x:v>
      </x:c>
      <x:c r="D6307" s="6" t="str">
        <x:v>平</x:v>
      </x:c>
      <x:c r="E6307" s="6" t="str"/>
      <x:c r="F6307" s="6" t="str">
        <x:v>下平聲一先</x:v>
      </x:c>
      <x:c r="G6307" s="6" t="str">
        <x:v>Pingshui main list, Wikisource-derived DOCX</x:v>
      </x:c>
      <x:c r="H6307" s="6" t="str"/>
      <x:c r="I6307" s="6" t="str">
        <x:v>Lu Qinli gap fill from Pingshui main list; 詞 entries ignored</x:v>
      </x:c>
      <x:c r="J6307" s="6" t="str">
        <x:f>IF(B6307="","",IF(AND(ISNUMBER(SEARCH("平",B6307)),OR(ISNUMBER(SEARCH("上",B6307)),ISNUMBER(SEARCH("去",B6307)),ISNUMBER(SEARCH("入",B6307)))),"Ambiguous",IF(ISNUMBER(SEARCH("平",B6307)),"平","仄")))</x:f>
        <x:v>平</x:v>
      </x:c>
      <x:c r="K6307" s="6" t="str">
        <x:f>IF(D6307="","",IF(AND(ISNUMBER(SEARCH("平",D6307)),OR(ISNUMBER(SEARCH("上",D6307)),ISNUMBER(SEARCH("去",D6307)),ISNUMBER(SEARCH("入",D6307)))),"Ambiguous",IF(ISNUMBER(SEARCH("平",D6307)),"平","仄")))</x:f>
        <x:v>平</x:v>
      </x:c>
      <x:c r="L6307" s="7" t="str">
        <x:v>Pingshui main list, Lu Qinli gap fill</x:v>
      </x:c>
    </x:row>
    <x:row r="6308">
      <x:c r="A6308" s="5" t="str">
        <x:v>鋌</x:v>
      </x:c>
      <x:c r="B6308" s="6" t="str">
        <x:v>上</x:v>
      </x:c>
      <x:c r="C6308" s="6" t="str">
        <x:f>IF(B6308="","Needs decision","Ready")</x:f>
        <x:v>Ready</x:v>
      </x:c>
      <x:c r="D6308" s="6" t="str">
        <x:v>上</x:v>
      </x:c>
      <x:c r="E6308" s="6" t="str"/>
      <x:c r="F6308" s="6" t="str">
        <x:v>上聲二十四迥</x:v>
      </x:c>
      <x:c r="G6308" s="6" t="str">
        <x:v>Pingshui main list, Wikisource-derived DOCX</x:v>
      </x:c>
      <x:c r="H6308" s="6" t="str"/>
      <x:c r="I6308" s="6" t="str">
        <x:v>Lu Qinli gap fill from Pingshui main list; 詞 entries ignored</x:v>
      </x:c>
      <x:c r="J6308" s="6" t="str">
        <x:f>IF(B6308="","",IF(AND(ISNUMBER(SEARCH("平",B6308)),OR(ISNUMBER(SEARCH("上",B6308)),ISNUMBER(SEARCH("去",B6308)),ISNUMBER(SEARCH("入",B6308)))),"Ambiguous",IF(ISNUMBER(SEARCH("平",B6308)),"平","仄")))</x:f>
        <x:v>仄</x:v>
      </x:c>
      <x:c r="K6308" s="6" t="str">
        <x:f>IF(D6308="","",IF(AND(ISNUMBER(SEARCH("平",D6308)),OR(ISNUMBER(SEARCH("上",D6308)),ISNUMBER(SEARCH("去",D6308)),ISNUMBER(SEARCH("入",D6308)))),"Ambiguous",IF(ISNUMBER(SEARCH("平",D6308)),"平","仄")))</x:f>
        <x:v>仄</x:v>
      </x:c>
      <x:c r="L6308" s="7" t="str">
        <x:v>Pingshui main list, Lu Qinli gap fill</x:v>
      </x:c>
    </x:row>
    <x:row r="6309">
      <x:c r="A6309" s="5" t="str">
        <x:v>鋏</x:v>
      </x:c>
      <x:c r="B6309" s="6" t="str">
        <x:v>入</x:v>
      </x:c>
      <x:c r="C6309" s="6" t="str">
        <x:f>IF(B6309="","Needs decision","Ready")</x:f>
        <x:v>Ready</x:v>
      </x:c>
      <x:c r="D6309" s="6" t="str">
        <x:v>入</x:v>
      </x:c>
      <x:c r="E6309" s="6" t="str"/>
      <x:c r="F6309" s="6" t="str">
        <x:v>入聲十六葉</x:v>
      </x:c>
      <x:c r="G6309" s="6" t="str">
        <x:v>Pingshui main list, Wikisource-derived DOCX</x:v>
      </x:c>
      <x:c r="H6309" s="6" t="str"/>
      <x:c r="I6309" s="6" t="str">
        <x:v>Lu Qinli gap fill from Pingshui main list; 詞 entries ignored</x:v>
      </x:c>
      <x:c r="J6309" s="6" t="str">
        <x:f>IF(B6309="","",IF(AND(ISNUMBER(SEARCH("平",B6309)),OR(ISNUMBER(SEARCH("上",B6309)),ISNUMBER(SEARCH("去",B6309)),ISNUMBER(SEARCH("入",B6309)))),"Ambiguous",IF(ISNUMBER(SEARCH("平",B6309)),"平","仄")))</x:f>
        <x:v>仄</x:v>
      </x:c>
      <x:c r="K6309" s="6" t="str">
        <x:f>IF(D6309="","",IF(AND(ISNUMBER(SEARCH("平",D6309)),OR(ISNUMBER(SEARCH("上",D6309)),ISNUMBER(SEARCH("去",D6309)),ISNUMBER(SEARCH("入",D6309)))),"Ambiguous",IF(ISNUMBER(SEARCH("平",D6309)),"平","仄")))</x:f>
        <x:v>仄</x:v>
      </x:c>
      <x:c r="L6309" s="7" t="str">
        <x:v>Pingshui main list, Lu Qinli gap fill</x:v>
      </x:c>
    </x:row>
    <x:row r="6310">
      <x:c r="A6310" s="5" t="str">
        <x:v>鋗</x:v>
      </x:c>
      <x:c r="B6310" s="6" t="str">
        <x:v>平</x:v>
      </x:c>
      <x:c r="C6310" s="6" t="str">
        <x:f>IF(B6310="","Needs decision","Ready")</x:f>
        <x:v>Ready</x:v>
      </x:c>
      <x:c r="D6310" s="6" t="str">
        <x:v>平</x:v>
      </x:c>
      <x:c r="E6310" s="6" t="str"/>
      <x:c r="F6310" s="6" t="str">
        <x:v>下平聲一先</x:v>
      </x:c>
      <x:c r="G6310" s="6" t="str">
        <x:v>Pingshui main list, Wikisource-derived DOCX</x:v>
      </x:c>
      <x:c r="H6310" s="6" t="str"/>
      <x:c r="I6310" s="6" t="str">
        <x:v>Lu Qinli gap fill from Pingshui main list; 詞 entries ignored</x:v>
      </x:c>
      <x:c r="J6310" s="6" t="str">
        <x:f>IF(B6310="","",IF(AND(ISNUMBER(SEARCH("平",B6310)),OR(ISNUMBER(SEARCH("上",B6310)),ISNUMBER(SEARCH("去",B6310)),ISNUMBER(SEARCH("入",B6310)))),"Ambiguous",IF(ISNUMBER(SEARCH("平",B6310)),"平","仄")))</x:f>
        <x:v>平</x:v>
      </x:c>
      <x:c r="K6310" s="6" t="str">
        <x:f>IF(D6310="","",IF(AND(ISNUMBER(SEARCH("平",D6310)),OR(ISNUMBER(SEARCH("上",D6310)),ISNUMBER(SEARCH("去",D6310)),ISNUMBER(SEARCH("入",D6310)))),"Ambiguous",IF(ISNUMBER(SEARCH("平",D6310)),"平","仄")))</x:f>
        <x:v>平</x:v>
      </x:c>
      <x:c r="L6310" s="7" t="str">
        <x:v>Pingshui main list, Lu Qinli gap fill</x:v>
      </x:c>
    </x:row>
    <x:row r="6311">
      <x:c r="A6311" s="5" t="str">
        <x:v>錍</x:v>
      </x:c>
      <x:c r="B6311" s="6" t="str">
        <x:v>平</x:v>
      </x:c>
      <x:c r="C6311" s="6" t="str">
        <x:f>IF(B6311="","Needs decision","Ready")</x:f>
        <x:v>Ready</x:v>
      </x:c>
      <x:c r="D6311" s="6" t="str">
        <x:v>平</x:v>
      </x:c>
      <x:c r="E6311" s="6" t="str"/>
      <x:c r="F6311" s="6" t="str">
        <x:v>上平聲四支; 上平聲八齊</x:v>
      </x:c>
      <x:c r="G6311" s="6" t="str">
        <x:v>Pingshui main list, Wikisource-derived DOCX</x:v>
      </x:c>
      <x:c r="H6311" s="6" t="str"/>
      <x:c r="I6311" s="6" t="str">
        <x:v>Lu Qinli gap fill from Pingshui main list; 詞 entries ignored</x:v>
      </x:c>
      <x:c r="J6311" s="6" t="str">
        <x:f>IF(B6311="","",IF(AND(ISNUMBER(SEARCH("平",B6311)),OR(ISNUMBER(SEARCH("上",B6311)),ISNUMBER(SEARCH("去",B6311)),ISNUMBER(SEARCH("入",B6311)))),"Ambiguous",IF(ISNUMBER(SEARCH("平",B6311)),"平","仄")))</x:f>
        <x:v>平</x:v>
      </x:c>
      <x:c r="K6311" s="6" t="str">
        <x:f>IF(D6311="","",IF(AND(ISNUMBER(SEARCH("平",D6311)),OR(ISNUMBER(SEARCH("上",D6311)),ISNUMBER(SEARCH("去",D6311)),ISNUMBER(SEARCH("入",D6311)))),"Ambiguous",IF(ISNUMBER(SEARCH("平",D6311)),"平","仄")))</x:f>
        <x:v>平</x:v>
      </x:c>
      <x:c r="L6311" s="7" t="str">
        <x:v>Pingshui main list, Lu Qinli gap fill</x:v>
      </x:c>
    </x:row>
    <x:row r="6312">
      <x:c r="A6312" s="5" t="str">
        <x:v>錐</x:v>
      </x:c>
      <x:c r="B6312" s="6" t="str">
        <x:v>平</x:v>
      </x:c>
      <x:c r="C6312" s="6" t="str">
        <x:f>IF(B6312="","Needs decision","Ready")</x:f>
        <x:v>Ready</x:v>
      </x:c>
      <x:c r="D6312" s="6" t="str">
        <x:v>平</x:v>
      </x:c>
      <x:c r="E6312" s="6" t="str"/>
      <x:c r="F6312" s="6" t="str">
        <x:v>上平聲四支</x:v>
      </x:c>
      <x:c r="G6312" s="6" t="str">
        <x:v>Pingshui main list, Wikisource-derived DOCX</x:v>
      </x:c>
      <x:c r="H6312" s="6" t="str"/>
      <x:c r="I6312" s="6" t="str">
        <x:v>Lu Qinli gap fill from Pingshui main list; 詞 entries ignored</x:v>
      </x:c>
      <x:c r="J6312" s="6" t="str">
        <x:f>IF(B6312="","",IF(AND(ISNUMBER(SEARCH("平",B6312)),OR(ISNUMBER(SEARCH("上",B6312)),ISNUMBER(SEARCH("去",B6312)),ISNUMBER(SEARCH("入",B6312)))),"Ambiguous",IF(ISNUMBER(SEARCH("平",B6312)),"平","仄")))</x:f>
        <x:v>平</x:v>
      </x:c>
      <x:c r="K6312" s="6" t="str">
        <x:f>IF(D6312="","",IF(AND(ISNUMBER(SEARCH("平",D6312)),OR(ISNUMBER(SEARCH("上",D6312)),ISNUMBER(SEARCH("去",D6312)),ISNUMBER(SEARCH("入",D6312)))),"Ambiguous",IF(ISNUMBER(SEARCH("平",D6312)),"平","仄")))</x:f>
        <x:v>平</x:v>
      </x:c>
      <x:c r="L6312" s="7" t="str">
        <x:v>Pingshui main list, Lu Qinli gap fill</x:v>
      </x:c>
    </x:row>
    <x:row r="6313">
      <x:c r="A6313" s="5" t="str">
        <x:v>錚</x:v>
      </x:c>
      <x:c r="B6313" s="6" t="str">
        <x:v>平</x:v>
      </x:c>
      <x:c r="C6313" s="6" t="str">
        <x:f>IF(B6313="","Needs decision","Ready")</x:f>
        <x:v>Ready</x:v>
      </x:c>
      <x:c r="D6313" s="6" t="str">
        <x:v>平</x:v>
      </x:c>
      <x:c r="E6313" s="6" t="str"/>
      <x:c r="F6313" s="6" t="str">
        <x:v>下平聲八庚</x:v>
      </x:c>
      <x:c r="G6313" s="6" t="str">
        <x:v>Pingshui main list, Wikisource-derived DOCX</x:v>
      </x:c>
      <x:c r="H6313" s="6" t="str"/>
      <x:c r="I6313" s="6" t="str">
        <x:v>Lu Qinli gap fill from Pingshui main list; 詞 entries ignored</x:v>
      </x:c>
      <x:c r="J6313" s="6" t="str">
        <x:f>IF(B6313="","",IF(AND(ISNUMBER(SEARCH("平",B6313)),OR(ISNUMBER(SEARCH("上",B6313)),ISNUMBER(SEARCH("去",B6313)),ISNUMBER(SEARCH("入",B6313)))),"Ambiguous",IF(ISNUMBER(SEARCH("平",B6313)),"平","仄")))</x:f>
        <x:v>平</x:v>
      </x:c>
      <x:c r="K6313" s="6" t="str">
        <x:f>IF(D6313="","",IF(AND(ISNUMBER(SEARCH("平",D6313)),OR(ISNUMBER(SEARCH("上",D6313)),ISNUMBER(SEARCH("去",D6313)),ISNUMBER(SEARCH("入",D6313)))),"Ambiguous",IF(ISNUMBER(SEARCH("平",D6313)),"平","仄")))</x:f>
        <x:v>平</x:v>
      </x:c>
      <x:c r="L6313" s="7" t="str">
        <x:v>Pingshui main list, Lu Qinli gap fill</x:v>
      </x:c>
    </x:row>
    <x:row r="6314">
      <x:c r="A6314" s="5" t="str">
        <x:v>鍇</x:v>
      </x:c>
      <x:c r="B6314" s="6" t="str">
        <x:v>上</x:v>
      </x:c>
      <x:c r="C6314" s="6" t="str">
        <x:f>IF(B6314="","Needs decision","Ready")</x:f>
        <x:v>Ready</x:v>
      </x:c>
      <x:c r="D6314" s="6" t="str">
        <x:v>上</x:v>
      </x:c>
      <x:c r="E6314" s="6" t="str"/>
      <x:c r="F6314" s="6" t="str">
        <x:v>上聲九蟹</x:v>
      </x:c>
      <x:c r="G6314" s="6" t="str">
        <x:v>Pingshui main list, Wikisource-derived DOCX</x:v>
      </x:c>
      <x:c r="H6314" s="6" t="str"/>
      <x:c r="I6314" s="6" t="str">
        <x:v>Lu Qinli gap fill from Pingshui main list; 詞 entries ignored</x:v>
      </x:c>
      <x:c r="J6314" s="6" t="str">
        <x:f>IF(B6314="","",IF(AND(ISNUMBER(SEARCH("平",B6314)),OR(ISNUMBER(SEARCH("上",B6314)),ISNUMBER(SEARCH("去",B6314)),ISNUMBER(SEARCH("入",B6314)))),"Ambiguous",IF(ISNUMBER(SEARCH("平",B6314)),"平","仄")))</x:f>
        <x:v>仄</x:v>
      </x:c>
      <x:c r="K6314" s="6" t="str">
        <x:f>IF(D6314="","",IF(AND(ISNUMBER(SEARCH("平",D6314)),OR(ISNUMBER(SEARCH("上",D6314)),ISNUMBER(SEARCH("去",D6314)),ISNUMBER(SEARCH("入",D6314)))),"Ambiguous",IF(ISNUMBER(SEARCH("平",D6314)),"平","仄")))</x:f>
        <x:v>仄</x:v>
      </x:c>
      <x:c r="L6314" s="7" t="str">
        <x:v>Pingshui main list, Lu Qinli gap fill</x:v>
      </x:c>
    </x:row>
    <x:row r="6315">
      <x:c r="A6315" s="5" t="str">
        <x:v>鍉</x:v>
      </x:c>
      <x:c r="B6315" s="6" t="str">
        <x:v>平</x:v>
      </x:c>
      <x:c r="C6315" s="6" t="str">
        <x:f>IF(B6315="","Needs decision","Ready")</x:f>
        <x:v>Ready</x:v>
      </x:c>
      <x:c r="D6315" s="6" t="str">
        <x:v>平</x:v>
      </x:c>
      <x:c r="E6315" s="6" t="str"/>
      <x:c r="F6315" s="6" t="str">
        <x:v>上平聲四支</x:v>
      </x:c>
      <x:c r="G6315" s="6" t="str">
        <x:v>Pingshui main list, Wikisource-derived DOCX</x:v>
      </x:c>
      <x:c r="H6315" s="6" t="str"/>
      <x:c r="I6315" s="6" t="str">
        <x:v>Lu Qinli gap fill from Pingshui main list; 詞 entries ignored</x:v>
      </x:c>
      <x:c r="J6315" s="6" t="str">
        <x:f>IF(B6315="","",IF(AND(ISNUMBER(SEARCH("平",B6315)),OR(ISNUMBER(SEARCH("上",B6315)),ISNUMBER(SEARCH("去",B6315)),ISNUMBER(SEARCH("入",B6315)))),"Ambiguous",IF(ISNUMBER(SEARCH("平",B6315)),"平","仄")))</x:f>
        <x:v>平</x:v>
      </x:c>
      <x:c r="K6315" s="6" t="str">
        <x:f>IF(D6315="","",IF(AND(ISNUMBER(SEARCH("平",D6315)),OR(ISNUMBER(SEARCH("上",D6315)),ISNUMBER(SEARCH("去",D6315)),ISNUMBER(SEARCH("入",D6315)))),"Ambiguous",IF(ISNUMBER(SEARCH("平",D6315)),"平","仄")))</x:f>
        <x:v>平</x:v>
      </x:c>
      <x:c r="L6315" s="7" t="str">
        <x:v>Pingshui main list, Lu Qinli gap fill</x:v>
      </x:c>
    </x:row>
    <x:row r="6316">
      <x:c r="A6316" s="5" t="str">
        <x:v>鍔</x:v>
      </x:c>
      <x:c r="B6316" s="6" t="str">
        <x:v>入</x:v>
      </x:c>
      <x:c r="C6316" s="6" t="str">
        <x:f>IF(B6316="","Needs decision","Ready")</x:f>
        <x:v>Ready</x:v>
      </x:c>
      <x:c r="D6316" s="6" t="str">
        <x:v>入</x:v>
      </x:c>
      <x:c r="E6316" s="6" t="str"/>
      <x:c r="F6316" s="6" t="str">
        <x:v>入聲十藥</x:v>
      </x:c>
      <x:c r="G6316" s="6" t="str">
        <x:v>Pingshui main list, Wikisource-derived DOCX</x:v>
      </x:c>
      <x:c r="H6316" s="6" t="str"/>
      <x:c r="I6316" s="6" t="str">
        <x:v>Lu Qinli gap fill from Pingshui main list; 詞 entries ignored</x:v>
      </x:c>
      <x:c r="J6316" s="6" t="str">
        <x:f>IF(B6316="","",IF(AND(ISNUMBER(SEARCH("平",B6316)),OR(ISNUMBER(SEARCH("上",B6316)),ISNUMBER(SEARCH("去",B6316)),ISNUMBER(SEARCH("入",B6316)))),"Ambiguous",IF(ISNUMBER(SEARCH("平",B6316)),"平","仄")))</x:f>
        <x:v>仄</x:v>
      </x:c>
      <x:c r="K6316" s="6" t="str">
        <x:f>IF(D6316="","",IF(AND(ISNUMBER(SEARCH("平",D6316)),OR(ISNUMBER(SEARCH("上",D6316)),ISNUMBER(SEARCH("去",D6316)),ISNUMBER(SEARCH("入",D6316)))),"Ambiguous",IF(ISNUMBER(SEARCH("平",D6316)),"平","仄")))</x:f>
        <x:v>仄</x:v>
      </x:c>
      <x:c r="L6316" s="7" t="str">
        <x:v>Pingshui main list, Lu Qinli gap fill</x:v>
      </x:c>
    </x:row>
    <x:row r="6317">
      <x:c r="A6317" s="5" t="str">
        <x:v>鍛</x:v>
      </x:c>
      <x:c r="B6317" s="6" t="str"/>
      <x:c r="C6317" s="6" t="str">
        <x:f>IF(B6317="","Needs decision","Ready")</x:f>
        <x:v>Needs decision</x:v>
      </x:c>
      <x:c r="D6317" s="6" t="str">
        <x:v>平/去</x:v>
      </x:c>
      <x:c r="E6317" s="6" t="str"/>
      <x:c r="F6317" s="6" t="str">
        <x:v>下平聲六麻; 去聲十五翰</x:v>
      </x:c>
      <x:c r="G6317" s="6" t="str">
        <x:v>Pingshui main list, Wikisource-derived DOCX</x:v>
      </x:c>
      <x:c r="H6317" s="6" t="str"/>
      <x:c r="I6317" s="6" t="str">
        <x:v>Lu Qinli gap fill from Pingshui main list; 詞 entries ignored</x:v>
      </x:c>
      <x:c r="J6317" s="6" t="str">
        <x:f>IF(B6317="","",IF(AND(ISNUMBER(SEARCH("平",B6317)),OR(ISNUMBER(SEARCH("上",B6317)),ISNUMBER(SEARCH("去",B6317)),ISNUMBER(SEARCH("入",B6317)))),"Ambiguous",IF(ISNUMBER(SEARCH("平",B6317)),"平","仄")))</x:f>
      </x:c>
      <x:c r="K6317" s="6" t="str">
        <x:f>IF(D6317="","",IF(AND(ISNUMBER(SEARCH("平",D6317)),OR(ISNUMBER(SEARCH("上",D6317)),ISNUMBER(SEARCH("去",D6317)),ISNUMBER(SEARCH("入",D6317)))),"Ambiguous",IF(ISNUMBER(SEARCH("平",D6317)),"平","仄")))</x:f>
        <x:v>Ambiguous</x:v>
      </x:c>
      <x:c r="L6317" s="7" t="str">
        <x:v>Pingshui main list, Lu Qinli gap fill</x:v>
      </x:c>
    </x:row>
    <x:row r="6318">
      <x:c r="A6318" s="5" t="str">
        <x:v>鍠</x:v>
      </x:c>
      <x:c r="B6318" s="6" t="str">
        <x:v>平</x:v>
      </x:c>
      <x:c r="C6318" s="6" t="str">
        <x:f>IF(B6318="","Needs decision","Ready")</x:f>
        <x:v>Ready</x:v>
      </x:c>
      <x:c r="D6318" s="6" t="str">
        <x:v>平</x:v>
      </x:c>
      <x:c r="E6318" s="6" t="str"/>
      <x:c r="F6318" s="6" t="str">
        <x:v>下平聲八庚</x:v>
      </x:c>
      <x:c r="G6318" s="6" t="str">
        <x:v>Pingshui main list, Wikisource-derived DOCX</x:v>
      </x:c>
      <x:c r="H6318" s="6" t="str"/>
      <x:c r="I6318" s="6" t="str">
        <x:v>Lu Qinli gap fill from Pingshui main list; 詞 entries ignored</x:v>
      </x:c>
      <x:c r="J6318" s="6" t="str">
        <x:f>IF(B6318="","",IF(AND(ISNUMBER(SEARCH("平",B6318)),OR(ISNUMBER(SEARCH("上",B6318)),ISNUMBER(SEARCH("去",B6318)),ISNUMBER(SEARCH("入",B6318)))),"Ambiguous",IF(ISNUMBER(SEARCH("平",B6318)),"平","仄")))</x:f>
        <x:v>平</x:v>
      </x:c>
      <x:c r="K6318" s="6" t="str">
        <x:f>IF(D6318="","",IF(AND(ISNUMBER(SEARCH("平",D6318)),OR(ISNUMBER(SEARCH("上",D6318)),ISNUMBER(SEARCH("去",D6318)),ISNUMBER(SEARCH("入",D6318)))),"Ambiguous",IF(ISNUMBER(SEARCH("平",D6318)),"平","仄")))</x:f>
        <x:v>平</x:v>
      </x:c>
      <x:c r="L6318" s="7" t="str">
        <x:v>Pingshui main list, Lu Qinli gap fill</x:v>
      </x:c>
    </x:row>
    <x:row r="6319">
      <x:c r="A6319" s="5" t="str">
        <x:v>鍤</x:v>
      </x:c>
      <x:c r="B6319" s="6" t="str">
        <x:v>入</x:v>
      </x:c>
      <x:c r="C6319" s="6" t="str">
        <x:f>IF(B6319="","Needs decision","Ready")</x:f>
        <x:v>Ready</x:v>
      </x:c>
      <x:c r="D6319" s="6" t="str">
        <x:v>入</x:v>
      </x:c>
      <x:c r="E6319" s="6" t="str"/>
      <x:c r="F6319" s="6" t="str">
        <x:v>入聲十七洽</x:v>
      </x:c>
      <x:c r="G6319" s="6" t="str">
        <x:v>Pingshui main list, Wikisource-derived DOCX</x:v>
      </x:c>
      <x:c r="H6319" s="6" t="str"/>
      <x:c r="I6319" s="6" t="str">
        <x:v>Lu Qinli gap fill from Pingshui main list; 詞 entries ignored</x:v>
      </x:c>
      <x:c r="J6319" s="6" t="str">
        <x:f>IF(B6319="","",IF(AND(ISNUMBER(SEARCH("平",B6319)),OR(ISNUMBER(SEARCH("上",B6319)),ISNUMBER(SEARCH("去",B6319)),ISNUMBER(SEARCH("入",B6319)))),"Ambiguous",IF(ISNUMBER(SEARCH("平",B6319)),"平","仄")))</x:f>
        <x:v>仄</x:v>
      </x:c>
      <x:c r="K6319" s="6" t="str">
        <x:f>IF(D6319="","",IF(AND(ISNUMBER(SEARCH("平",D6319)),OR(ISNUMBER(SEARCH("上",D6319)),ISNUMBER(SEARCH("去",D6319)),ISNUMBER(SEARCH("入",D6319)))),"Ambiguous",IF(ISNUMBER(SEARCH("平",D6319)),"平","仄")))</x:f>
        <x:v>仄</x:v>
      </x:c>
      <x:c r="L6319" s="7" t="str">
        <x:v>Pingshui main list, Lu Qinli gap fill</x:v>
      </x:c>
    </x:row>
    <x:row r="6320">
      <x:c r="A6320" s="5" t="str">
        <x:v>鍪</x:v>
      </x:c>
      <x:c r="B6320" s="6" t="str">
        <x:v>平</x:v>
      </x:c>
      <x:c r="C6320" s="6" t="str">
        <x:f>IF(B6320="","Needs decision","Ready")</x:f>
        <x:v>Ready</x:v>
      </x:c>
      <x:c r="D6320" s="6" t="str">
        <x:v>平</x:v>
      </x:c>
      <x:c r="E6320" s="6" t="str"/>
      <x:c r="F6320" s="6" t="str">
        <x:v>下平聲十一尤</x:v>
      </x:c>
      <x:c r="G6320" s="6" t="str">
        <x:v>Pingshui main list, Wikisource-derived DOCX</x:v>
      </x:c>
      <x:c r="H6320" s="6" t="str"/>
      <x:c r="I6320" s="6" t="str">
        <x:v>Lu Qinli gap fill from Pingshui main list; 詞 entries ignored</x:v>
      </x:c>
      <x:c r="J6320" s="6" t="str">
        <x:f>IF(B6320="","",IF(AND(ISNUMBER(SEARCH("平",B6320)),OR(ISNUMBER(SEARCH("上",B6320)),ISNUMBER(SEARCH("去",B6320)),ISNUMBER(SEARCH("入",B6320)))),"Ambiguous",IF(ISNUMBER(SEARCH("平",B6320)),"平","仄")))</x:f>
        <x:v>平</x:v>
      </x:c>
      <x:c r="K6320" s="6" t="str">
        <x:f>IF(D6320="","",IF(AND(ISNUMBER(SEARCH("平",D6320)),OR(ISNUMBER(SEARCH("上",D6320)),ISNUMBER(SEARCH("去",D6320)),ISNUMBER(SEARCH("入",D6320)))),"Ambiguous",IF(ISNUMBER(SEARCH("平",D6320)),"平","仄")))</x:f>
        <x:v>平</x:v>
      </x:c>
      <x:c r="L6320" s="7" t="str">
        <x:v>Pingshui main list, Lu Qinli gap fill</x:v>
      </x:c>
    </x:row>
    <x:row r="6321">
      <x:c r="A6321" s="5" t="str">
        <x:v>鍰</x:v>
      </x:c>
      <x:c r="B6321" s="6" t="str">
        <x:v>平</x:v>
      </x:c>
      <x:c r="C6321" s="6" t="str">
        <x:f>IF(B6321="","Needs decision","Ready")</x:f>
        <x:v>Ready</x:v>
      </x:c>
      <x:c r="D6321" s="6" t="str">
        <x:v>平</x:v>
      </x:c>
      <x:c r="E6321" s="6" t="str"/>
      <x:c r="F6321" s="6" t="str">
        <x:v>上平聲十五刪</x:v>
      </x:c>
      <x:c r="G6321" s="6" t="str">
        <x:v>Pingshui main list, Wikisource-derived DOCX</x:v>
      </x:c>
      <x:c r="H6321" s="6" t="str"/>
      <x:c r="I6321" s="6" t="str">
        <x:v>Lu Qinli gap fill from Pingshui main list; 詞 entries ignored</x:v>
      </x:c>
      <x:c r="J6321" s="6" t="str">
        <x:f>IF(B6321="","",IF(AND(ISNUMBER(SEARCH("平",B6321)),OR(ISNUMBER(SEARCH("上",B6321)),ISNUMBER(SEARCH("去",B6321)),ISNUMBER(SEARCH("入",B6321)))),"Ambiguous",IF(ISNUMBER(SEARCH("平",B6321)),"平","仄")))</x:f>
        <x:v>平</x:v>
      </x:c>
      <x:c r="K6321" s="6" t="str">
        <x:f>IF(D6321="","",IF(AND(ISNUMBER(SEARCH("平",D6321)),OR(ISNUMBER(SEARCH("上",D6321)),ISNUMBER(SEARCH("去",D6321)),ISNUMBER(SEARCH("入",D6321)))),"Ambiguous",IF(ISNUMBER(SEARCH("平",D6321)),"平","仄")))</x:f>
        <x:v>平</x:v>
      </x:c>
      <x:c r="L6321" s="7" t="str">
        <x:v>Pingshui main list, Lu Qinli gap fill</x:v>
      </x:c>
    </x:row>
    <x:row r="6322">
      <x:c r="A6322" s="5" t="str">
        <x:v>鍵</x:v>
      </x:c>
      <x:c r="B6322" s="6" t="str"/>
      <x:c r="C6322" s="6" t="str">
        <x:f>IF(B6322="","Needs decision","Ready")</x:f>
        <x:v>Needs decision</x:v>
      </x:c>
      <x:c r="D6322" s="6" t="str">
        <x:v>平/上</x:v>
      </x:c>
      <x:c r="E6322" s="6" t="str"/>
      <x:c r="F6322" s="6" t="str">
        <x:v>下平聲一先; 上聲十六銑</x:v>
      </x:c>
      <x:c r="G6322" s="6" t="str">
        <x:v>Pingshui main list, Wikisource-derived DOCX</x:v>
      </x:c>
      <x:c r="H6322" s="6" t="str"/>
      <x:c r="I6322" s="6" t="str">
        <x:v>Lu Qinli gap fill from Pingshui main list; 詞 entries ignored</x:v>
      </x:c>
      <x:c r="J6322" s="6" t="str">
        <x:f>IF(B6322="","",IF(AND(ISNUMBER(SEARCH("平",B6322)),OR(ISNUMBER(SEARCH("上",B6322)),ISNUMBER(SEARCH("去",B6322)),ISNUMBER(SEARCH("入",B6322)))),"Ambiguous",IF(ISNUMBER(SEARCH("平",B6322)),"平","仄")))</x:f>
      </x:c>
      <x:c r="K6322" s="6" t="str">
        <x:f>IF(D6322="","",IF(AND(ISNUMBER(SEARCH("平",D6322)),OR(ISNUMBER(SEARCH("上",D6322)),ISNUMBER(SEARCH("去",D6322)),ISNUMBER(SEARCH("入",D6322)))),"Ambiguous",IF(ISNUMBER(SEARCH("平",D6322)),"平","仄")))</x:f>
        <x:v>Ambiguous</x:v>
      </x:c>
      <x:c r="L6322" s="7" t="str">
        <x:v>Pingshui main list, Lu Qinli gap fill</x:v>
      </x:c>
    </x:row>
    <x:row r="6323">
      <x:c r="A6323" s="5" t="str">
        <x:v>鎔</x:v>
      </x:c>
      <x:c r="B6323" s="6" t="str">
        <x:v>平</x:v>
      </x:c>
      <x:c r="C6323" s="6" t="str">
        <x:f>IF(B6323="","Needs decision","Ready")</x:f>
        <x:v>Ready</x:v>
      </x:c>
      <x:c r="D6323" s="6" t="str">
        <x:v>平</x:v>
      </x:c>
      <x:c r="E6323" s="6" t="str"/>
      <x:c r="F6323" s="6" t="str">
        <x:v>上平聲二冬</x:v>
      </x:c>
      <x:c r="G6323" s="6" t="str">
        <x:v>Pingshui main list, Wikisource-derived DOCX</x:v>
      </x:c>
      <x:c r="H6323" s="6" t="str"/>
      <x:c r="I6323" s="6" t="str">
        <x:v>Lu Qinli gap fill from Pingshui main list; 詞 entries ignored</x:v>
      </x:c>
      <x:c r="J6323" s="6" t="str">
        <x:f>IF(B6323="","",IF(AND(ISNUMBER(SEARCH("平",B6323)),OR(ISNUMBER(SEARCH("上",B6323)),ISNUMBER(SEARCH("去",B6323)),ISNUMBER(SEARCH("入",B6323)))),"Ambiguous",IF(ISNUMBER(SEARCH("平",B6323)),"平","仄")))</x:f>
        <x:v>平</x:v>
      </x:c>
      <x:c r="K6323" s="6" t="str">
        <x:f>IF(D6323="","",IF(AND(ISNUMBER(SEARCH("平",D6323)),OR(ISNUMBER(SEARCH("上",D6323)),ISNUMBER(SEARCH("去",D6323)),ISNUMBER(SEARCH("入",D6323)))),"Ambiguous",IF(ISNUMBER(SEARCH("平",D6323)),"平","仄")))</x:f>
        <x:v>平</x:v>
      </x:c>
      <x:c r="L6323" s="7" t="str">
        <x:v>Pingshui main list, Lu Qinli gap fill</x:v>
      </x:c>
    </x:row>
    <x:row r="6324">
      <x:c r="A6324" s="5" t="str">
        <x:v>鎛</x:v>
      </x:c>
      <x:c r="B6324" s="6" t="str">
        <x:v>入</x:v>
      </x:c>
      <x:c r="C6324" s="6" t="str">
        <x:f>IF(B6324="","Needs decision","Ready")</x:f>
        <x:v>Ready</x:v>
      </x:c>
      <x:c r="D6324" s="6" t="str">
        <x:v>入</x:v>
      </x:c>
      <x:c r="E6324" s="6" t="str"/>
      <x:c r="F6324" s="6" t="str">
        <x:v>入聲十藥</x:v>
      </x:c>
      <x:c r="G6324" s="6" t="str">
        <x:v>Pingshui main list, Wikisource-derived DOCX</x:v>
      </x:c>
      <x:c r="H6324" s="6" t="str"/>
      <x:c r="I6324" s="6" t="str">
        <x:v>Lu Qinli gap fill from Pingshui main list; 詞 entries ignored</x:v>
      </x:c>
      <x:c r="J6324" s="6" t="str">
        <x:f>IF(B6324="","",IF(AND(ISNUMBER(SEARCH("平",B6324)),OR(ISNUMBER(SEARCH("上",B6324)),ISNUMBER(SEARCH("去",B6324)),ISNUMBER(SEARCH("入",B6324)))),"Ambiguous",IF(ISNUMBER(SEARCH("平",B6324)),"平","仄")))</x:f>
        <x:v>仄</x:v>
      </x:c>
      <x:c r="K6324" s="6" t="str">
        <x:f>IF(D6324="","",IF(AND(ISNUMBER(SEARCH("平",D6324)),OR(ISNUMBER(SEARCH("上",D6324)),ISNUMBER(SEARCH("去",D6324)),ISNUMBER(SEARCH("入",D6324)))),"Ambiguous",IF(ISNUMBER(SEARCH("平",D6324)),"平","仄")))</x:f>
        <x:v>仄</x:v>
      </x:c>
      <x:c r="L6324" s="7" t="str">
        <x:v>Pingshui main list, Lu Qinli gap fill</x:v>
      </x:c>
    </x:row>
    <x:row r="6325">
      <x:c r="A6325" s="5" t="str">
        <x:v>鎩</x:v>
      </x:c>
      <x:c r="B6325" s="6" t="str"/>
      <x:c r="C6325" s="6" t="str">
        <x:f>IF(B6325="","Needs decision","Ready")</x:f>
        <x:v>Needs decision</x:v>
      </x:c>
      <x:c r="D6325" s="6" t="str">
        <x:v>去/入</x:v>
      </x:c>
      <x:c r="E6325" s="6" t="str"/>
      <x:c r="F6325" s="6" t="str">
        <x:v>去聲十卦; 入聲八黠</x:v>
      </x:c>
      <x:c r="G6325" s="6" t="str">
        <x:v>Pingshui main list, Wikisource-derived DOCX</x:v>
      </x:c>
      <x:c r="H6325" s="6" t="str"/>
      <x:c r="I6325" s="6" t="str">
        <x:v>Lu Qinli gap fill from Pingshui main list; 詞 entries ignored</x:v>
      </x:c>
      <x:c r="J6325" s="6" t="str">
        <x:f>IF(B6325="","",IF(AND(ISNUMBER(SEARCH("平",B6325)),OR(ISNUMBER(SEARCH("上",B6325)),ISNUMBER(SEARCH("去",B6325)),ISNUMBER(SEARCH("入",B6325)))),"Ambiguous",IF(ISNUMBER(SEARCH("平",B6325)),"平","仄")))</x:f>
      </x:c>
      <x:c r="K6325" s="6" t="str">
        <x:f>IF(D6325="","",IF(AND(ISNUMBER(SEARCH("平",D6325)),OR(ISNUMBER(SEARCH("上",D6325)),ISNUMBER(SEARCH("去",D6325)),ISNUMBER(SEARCH("入",D6325)))),"Ambiguous",IF(ISNUMBER(SEARCH("平",D6325)),"平","仄")))</x:f>
        <x:v>仄</x:v>
      </x:c>
      <x:c r="L6325" s="7" t="str">
        <x:v>Pingshui main list, Lu Qinli gap fill</x:v>
      </x:c>
    </x:row>
    <x:row r="6326">
      <x:c r="A6326" s="5" t="str">
        <x:v>鎬</x:v>
      </x:c>
      <x:c r="B6326" s="6" t="str">
        <x:v>上</x:v>
      </x:c>
      <x:c r="C6326" s="6" t="str">
        <x:f>IF(B6326="","Needs decision","Ready")</x:f>
        <x:v>Ready</x:v>
      </x:c>
      <x:c r="D6326" s="6" t="str">
        <x:v>上</x:v>
      </x:c>
      <x:c r="E6326" s="6" t="str"/>
      <x:c r="F6326" s="6" t="str">
        <x:v>上聲十九皓</x:v>
      </x:c>
      <x:c r="G6326" s="6" t="str">
        <x:v>Pingshui main list, Wikisource-derived DOCX</x:v>
      </x:c>
      <x:c r="H6326" s="6" t="str"/>
      <x:c r="I6326" s="6" t="str">
        <x:v>Lu Qinli gap fill from Pingshui main list; 詞 entries ignored</x:v>
      </x:c>
      <x:c r="J6326" s="6" t="str">
        <x:f>IF(B6326="","",IF(AND(ISNUMBER(SEARCH("平",B6326)),OR(ISNUMBER(SEARCH("上",B6326)),ISNUMBER(SEARCH("去",B6326)),ISNUMBER(SEARCH("入",B6326)))),"Ambiguous",IF(ISNUMBER(SEARCH("平",B6326)),"平","仄")))</x:f>
        <x:v>仄</x:v>
      </x:c>
      <x:c r="K6326" s="6" t="str">
        <x:f>IF(D6326="","",IF(AND(ISNUMBER(SEARCH("平",D6326)),OR(ISNUMBER(SEARCH("上",D6326)),ISNUMBER(SEARCH("去",D6326)),ISNUMBER(SEARCH("入",D6326)))),"Ambiguous",IF(ISNUMBER(SEARCH("平",D6326)),"平","仄")))</x:f>
        <x:v>仄</x:v>
      </x:c>
      <x:c r="L6326" s="7" t="str">
        <x:v>Pingshui main list, Lu Qinli gap fill</x:v>
      </x:c>
    </x:row>
    <x:row r="6327">
      <x:c r="A6327" s="5" t="str">
        <x:v>鏑</x:v>
      </x:c>
      <x:c r="B6327" s="6" t="str">
        <x:v>入</x:v>
      </x:c>
      <x:c r="C6327" s="6" t="str">
        <x:f>IF(B6327="","Needs decision","Ready")</x:f>
        <x:v>Ready</x:v>
      </x:c>
      <x:c r="D6327" s="6" t="str">
        <x:v>入</x:v>
      </x:c>
      <x:c r="E6327" s="6" t="str"/>
      <x:c r="F6327" s="6" t="str">
        <x:v>入聲十二錫</x:v>
      </x:c>
      <x:c r="G6327" s="6" t="str">
        <x:v>Pingshui main list, Wikisource-derived DOCX</x:v>
      </x:c>
      <x:c r="H6327" s="6" t="str"/>
      <x:c r="I6327" s="6" t="str">
        <x:v>Lu Qinli gap fill from Pingshui main list; 詞 entries ignored</x:v>
      </x:c>
      <x:c r="J6327" s="6" t="str">
        <x:f>IF(B6327="","",IF(AND(ISNUMBER(SEARCH("平",B6327)),OR(ISNUMBER(SEARCH("上",B6327)),ISNUMBER(SEARCH("去",B6327)),ISNUMBER(SEARCH("入",B6327)))),"Ambiguous",IF(ISNUMBER(SEARCH("平",B6327)),"平","仄")))</x:f>
        <x:v>仄</x:v>
      </x:c>
      <x:c r="K6327" s="6" t="str">
        <x:f>IF(D6327="","",IF(AND(ISNUMBER(SEARCH("平",D6327)),OR(ISNUMBER(SEARCH("上",D6327)),ISNUMBER(SEARCH("去",D6327)),ISNUMBER(SEARCH("入",D6327)))),"Ambiguous",IF(ISNUMBER(SEARCH("平",D6327)),"平","仄")))</x:f>
        <x:v>仄</x:v>
      </x:c>
      <x:c r="L6327" s="7" t="str">
        <x:v>Pingshui main list, Lu Qinli gap fill</x:v>
      </x:c>
    </x:row>
    <x:row r="6328">
      <x:c r="A6328" s="5" t="str">
        <x:v>鏗</x:v>
      </x:c>
      <x:c r="B6328" s="6" t="str">
        <x:v>平</x:v>
      </x:c>
      <x:c r="C6328" s="6" t="str">
        <x:f>IF(B6328="","Needs decision","Ready")</x:f>
        <x:v>Ready</x:v>
      </x:c>
      <x:c r="D6328" s="6" t="str">
        <x:v>平</x:v>
      </x:c>
      <x:c r="E6328" s="6" t="str"/>
      <x:c r="F6328" s="6" t="str">
        <x:v>下平聲八庚</x:v>
      </x:c>
      <x:c r="G6328" s="6" t="str">
        <x:v>Pingshui main list, Wikisource-derived DOCX</x:v>
      </x:c>
      <x:c r="H6328" s="6" t="str"/>
      <x:c r="I6328" s="6" t="str">
        <x:v>Lu Qinli gap fill from Pingshui main list; 詞 entries ignored</x:v>
      </x:c>
      <x:c r="J6328" s="6" t="str">
        <x:f>IF(B6328="","",IF(AND(ISNUMBER(SEARCH("平",B6328)),OR(ISNUMBER(SEARCH("上",B6328)),ISNUMBER(SEARCH("去",B6328)),ISNUMBER(SEARCH("入",B6328)))),"Ambiguous",IF(ISNUMBER(SEARCH("平",B6328)),"平","仄")))</x:f>
        <x:v>平</x:v>
      </x:c>
      <x:c r="K6328" s="6" t="str">
        <x:f>IF(D6328="","",IF(AND(ISNUMBER(SEARCH("平",D6328)),OR(ISNUMBER(SEARCH("上",D6328)),ISNUMBER(SEARCH("去",D6328)),ISNUMBER(SEARCH("入",D6328)))),"Ambiguous",IF(ISNUMBER(SEARCH("平",D6328)),"平","仄")))</x:f>
        <x:v>平</x:v>
      </x:c>
      <x:c r="L6328" s="7" t="str">
        <x:v>Pingshui main list, Lu Qinli gap fill</x:v>
      </x:c>
    </x:row>
    <x:row r="6329">
      <x:c r="A6329" s="5" t="str">
        <x:v>鏞</x:v>
      </x:c>
      <x:c r="B6329" s="6" t="str">
        <x:v>平</x:v>
      </x:c>
      <x:c r="C6329" s="6" t="str">
        <x:f>IF(B6329="","Needs decision","Ready")</x:f>
        <x:v>Ready</x:v>
      </x:c>
      <x:c r="D6329" s="6" t="str">
        <x:v>平</x:v>
      </x:c>
      <x:c r="E6329" s="6" t="str"/>
      <x:c r="F6329" s="6" t="str">
        <x:v>上平聲二冬</x:v>
      </x:c>
      <x:c r="G6329" s="6" t="str">
        <x:v>Pingshui main list, Wikisource-derived DOCX</x:v>
      </x:c>
      <x:c r="H6329" s="6" t="str"/>
      <x:c r="I6329" s="6" t="str">
        <x:v>Lu Qinli gap fill from Pingshui main list; 詞 entries ignored</x:v>
      </x:c>
      <x:c r="J6329" s="6" t="str">
        <x:f>IF(B6329="","",IF(AND(ISNUMBER(SEARCH("平",B6329)),OR(ISNUMBER(SEARCH("上",B6329)),ISNUMBER(SEARCH("去",B6329)),ISNUMBER(SEARCH("入",B6329)))),"Ambiguous",IF(ISNUMBER(SEARCH("平",B6329)),"平","仄")))</x:f>
        <x:v>平</x:v>
      </x:c>
      <x:c r="K6329" s="6" t="str">
        <x:f>IF(D6329="","",IF(AND(ISNUMBER(SEARCH("平",D6329)),OR(ISNUMBER(SEARCH("上",D6329)),ISNUMBER(SEARCH("去",D6329)),ISNUMBER(SEARCH("入",D6329)))),"Ambiguous",IF(ISNUMBER(SEARCH("平",D6329)),"平","仄")))</x:f>
        <x:v>平</x:v>
      </x:c>
      <x:c r="L6329" s="7" t="str">
        <x:v>Pingshui main list, Lu Qinli gap fill</x:v>
      </x:c>
    </x:row>
    <x:row r="6330">
      <x:c r="A6330" s="5" t="str">
        <x:v>鐔</x:v>
      </x:c>
      <x:c r="B6330" s="6" t="str">
        <x:v>平</x:v>
      </x:c>
      <x:c r="C6330" s="6" t="str">
        <x:f>IF(B6330="","Needs decision","Ready")</x:f>
        <x:v>Ready</x:v>
      </x:c>
      <x:c r="D6330" s="6" t="str">
        <x:v>平</x:v>
      </x:c>
      <x:c r="E6330" s="6" t="str"/>
      <x:c r="F6330" s="6" t="str">
        <x:v>下平聲十三覃</x:v>
      </x:c>
      <x:c r="G6330" s="6" t="str">
        <x:v>Pingshui main list, Wikisource-derived DOCX</x:v>
      </x:c>
      <x:c r="H6330" s="6" t="str"/>
      <x:c r="I6330" s="6" t="str">
        <x:v>Lu Qinli gap fill from Pingshui main list; 詞 entries ignored</x:v>
      </x:c>
      <x:c r="J6330" s="6" t="str">
        <x:f>IF(B6330="","",IF(AND(ISNUMBER(SEARCH("平",B6330)),OR(ISNUMBER(SEARCH("上",B6330)),ISNUMBER(SEARCH("去",B6330)),ISNUMBER(SEARCH("入",B6330)))),"Ambiguous",IF(ISNUMBER(SEARCH("平",B6330)),"平","仄")))</x:f>
        <x:v>平</x:v>
      </x:c>
      <x:c r="K6330" s="6" t="str">
        <x:f>IF(D6330="","",IF(AND(ISNUMBER(SEARCH("平",D6330)),OR(ISNUMBER(SEARCH("上",D6330)),ISNUMBER(SEARCH("去",D6330)),ISNUMBER(SEARCH("入",D6330)))),"Ambiguous",IF(ISNUMBER(SEARCH("平",D6330)),"平","仄")))</x:f>
        <x:v>平</x:v>
      </x:c>
      <x:c r="L6330" s="7" t="str">
        <x:v>Pingshui main list, Lu Qinli gap fill</x:v>
      </x:c>
    </x:row>
    <x:row r="6331">
      <x:c r="A6331" s="5" t="str">
        <x:v>鐲</x:v>
      </x:c>
      <x:c r="B6331" s="6" t="str">
        <x:v>入</x:v>
      </x:c>
      <x:c r="C6331" s="6" t="str">
        <x:f>IF(B6331="","Needs decision","Ready")</x:f>
        <x:v>Ready</x:v>
      </x:c>
      <x:c r="D6331" s="6" t="str">
        <x:v>入</x:v>
      </x:c>
      <x:c r="E6331" s="6" t="str"/>
      <x:c r="F6331" s="6" t="str">
        <x:v>入聲三覺</x:v>
      </x:c>
      <x:c r="G6331" s="6" t="str">
        <x:v>Pingshui main list, Wikisource-derived DOCX</x:v>
      </x:c>
      <x:c r="H6331" s="6" t="str"/>
      <x:c r="I6331" s="6" t="str">
        <x:v>Lu Qinli gap fill from Pingshui main list; 詞 entries ignored</x:v>
      </x:c>
      <x:c r="J6331" s="6" t="str">
        <x:f>IF(B6331="","",IF(AND(ISNUMBER(SEARCH("平",B6331)),OR(ISNUMBER(SEARCH("上",B6331)),ISNUMBER(SEARCH("去",B6331)),ISNUMBER(SEARCH("入",B6331)))),"Ambiguous",IF(ISNUMBER(SEARCH("平",B6331)),"平","仄")))</x:f>
        <x:v>仄</x:v>
      </x:c>
      <x:c r="K6331" s="6" t="str">
        <x:f>IF(D6331="","",IF(AND(ISNUMBER(SEARCH("平",D6331)),OR(ISNUMBER(SEARCH("上",D6331)),ISNUMBER(SEARCH("去",D6331)),ISNUMBER(SEARCH("入",D6331)))),"Ambiguous",IF(ISNUMBER(SEARCH("平",D6331)),"平","仄")))</x:f>
        <x:v>仄</x:v>
      </x:c>
      <x:c r="L6331" s="7" t="str">
        <x:v>Pingshui main list, Lu Qinli gap fill</x:v>
      </x:c>
    </x:row>
    <x:row r="6332">
      <x:c r="A6332" s="5" t="str">
        <x:v>鐶</x:v>
      </x:c>
      <x:c r="B6332" s="6" t="str">
        <x:v>平</x:v>
      </x:c>
      <x:c r="C6332" s="6" t="str">
        <x:f>IF(B6332="","Needs decision","Ready")</x:f>
        <x:v>Ready</x:v>
      </x:c>
      <x:c r="D6332" s="6" t="str">
        <x:v>平</x:v>
      </x:c>
      <x:c r="E6332" s="6" t="str"/>
      <x:c r="F6332" s="6" t="str">
        <x:v>上平聲十五刪</x:v>
      </x:c>
      <x:c r="G6332" s="6" t="str">
        <x:v>Pingshui main list, Wikisource-derived DOCX</x:v>
      </x:c>
      <x:c r="H6332" s="6" t="str"/>
      <x:c r="I6332" s="6" t="str">
        <x:v>Lu Qinli gap fill from Pingshui main list; 詞 entries ignored</x:v>
      </x:c>
      <x:c r="J6332" s="6" t="str">
        <x:f>IF(B6332="","",IF(AND(ISNUMBER(SEARCH("平",B6332)),OR(ISNUMBER(SEARCH("上",B6332)),ISNUMBER(SEARCH("去",B6332)),ISNUMBER(SEARCH("入",B6332)))),"Ambiguous",IF(ISNUMBER(SEARCH("平",B6332)),"平","仄")))</x:f>
        <x:v>平</x:v>
      </x:c>
      <x:c r="K6332" s="6" t="str">
        <x:f>IF(D6332="","",IF(AND(ISNUMBER(SEARCH("平",D6332)),OR(ISNUMBER(SEARCH("上",D6332)),ISNUMBER(SEARCH("去",D6332)),ISNUMBER(SEARCH("入",D6332)))),"Ambiguous",IF(ISNUMBER(SEARCH("平",D6332)),"平","仄")))</x:f>
        <x:v>平</x:v>
      </x:c>
      <x:c r="L6332" s="7" t="str">
        <x:v>Pingshui main list, Lu Qinli gap fill</x:v>
      </x:c>
    </x:row>
    <x:row r="6333">
      <x:c r="A6333" s="5" t="str">
        <x:v>鐺</x:v>
      </x:c>
      <x:c r="B6333" s="6" t="str">
        <x:v>平</x:v>
      </x:c>
      <x:c r="C6333" s="6" t="str">
        <x:f>IF(B6333="","Needs decision","Ready")</x:f>
        <x:v>Ready</x:v>
      </x:c>
      <x:c r="D6333" s="6" t="str">
        <x:v>平</x:v>
      </x:c>
      <x:c r="E6333" s="6" t="str"/>
      <x:c r="F6333" s="6" t="str">
        <x:v>下平聲七陽</x:v>
      </x:c>
      <x:c r="G6333" s="6" t="str">
        <x:v>Pingshui main list, Wikisource-derived DOCX</x:v>
      </x:c>
      <x:c r="H6333" s="6" t="str"/>
      <x:c r="I6333" s="6" t="str">
        <x:v>Lu Qinli gap fill from Pingshui main list; 詞 entries ignored</x:v>
      </x:c>
      <x:c r="J6333" s="6" t="str">
        <x:f>IF(B6333="","",IF(AND(ISNUMBER(SEARCH("平",B6333)),OR(ISNUMBER(SEARCH("上",B6333)),ISNUMBER(SEARCH("去",B6333)),ISNUMBER(SEARCH("入",B6333)))),"Ambiguous",IF(ISNUMBER(SEARCH("平",B6333)),"平","仄")))</x:f>
        <x:v>平</x:v>
      </x:c>
      <x:c r="K6333" s="6" t="str">
        <x:f>IF(D6333="","",IF(AND(ISNUMBER(SEARCH("平",D6333)),OR(ISNUMBER(SEARCH("上",D6333)),ISNUMBER(SEARCH("去",D6333)),ISNUMBER(SEARCH("入",D6333)))),"Ambiguous",IF(ISNUMBER(SEARCH("平",D6333)),"平","仄")))</x:f>
        <x:v>平</x:v>
      </x:c>
      <x:c r="L6333" s="7" t="str">
        <x:v>Pingshui main list, Lu Qinli gap fill</x:v>
      </x:c>
    </x:row>
    <x:row r="6334">
      <x:c r="A6334" s="5" t="str">
        <x:v>鑊</x:v>
      </x:c>
      <x:c r="B6334" s="6" t="str">
        <x:v>入</x:v>
      </x:c>
      <x:c r="C6334" s="6" t="str">
        <x:f>IF(B6334="","Needs decision","Ready")</x:f>
        <x:v>Ready</x:v>
      </x:c>
      <x:c r="D6334" s="6" t="str">
        <x:v>入</x:v>
      </x:c>
      <x:c r="E6334" s="6" t="str"/>
      <x:c r="F6334" s="6" t="str">
        <x:v>入聲十藥</x:v>
      </x:c>
      <x:c r="G6334" s="6" t="str">
        <x:v>Pingshui main list, Wikisource-derived DOCX</x:v>
      </x:c>
      <x:c r="H6334" s="6" t="str"/>
      <x:c r="I6334" s="6" t="str">
        <x:v>Lu Qinli gap fill from Pingshui main list; 詞 entries ignored</x:v>
      </x:c>
      <x:c r="J6334" s="6" t="str">
        <x:f>IF(B6334="","",IF(AND(ISNUMBER(SEARCH("平",B6334)),OR(ISNUMBER(SEARCH("上",B6334)),ISNUMBER(SEARCH("去",B6334)),ISNUMBER(SEARCH("入",B6334)))),"Ambiguous",IF(ISNUMBER(SEARCH("平",B6334)),"平","仄")))</x:f>
        <x:v>仄</x:v>
      </x:c>
      <x:c r="K6334" s="6" t="str">
        <x:f>IF(D6334="","",IF(AND(ISNUMBER(SEARCH("平",D6334)),OR(ISNUMBER(SEARCH("上",D6334)),ISNUMBER(SEARCH("去",D6334)),ISNUMBER(SEARCH("入",D6334)))),"Ambiguous",IF(ISNUMBER(SEARCH("平",D6334)),"平","仄")))</x:f>
        <x:v>仄</x:v>
      </x:c>
      <x:c r="L6334" s="7" t="str">
        <x:v>Pingshui main list, Lu Qinli gap fill</x:v>
      </x:c>
    </x:row>
    <x:row r="6335">
      <x:c r="A6335" s="5" t="str">
        <x:v>鑑</x:v>
      </x:c>
      <x:c r="B6335" s="6" t="str">
        <x:v>去</x:v>
      </x:c>
      <x:c r="C6335" s="6" t="str">
        <x:f>IF(B6335="","Needs decision","Ready")</x:f>
        <x:v>Ready</x:v>
      </x:c>
      <x:c r="D6335" s="6" t="str">
        <x:v>去</x:v>
      </x:c>
      <x:c r="E6335" s="6" t="str"/>
      <x:c r="F6335" s="6" t="str">
        <x:v>去聲三十陷</x:v>
      </x:c>
      <x:c r="G6335" s="6" t="str">
        <x:v>Pingshui main list, Wikisource-derived DOCX</x:v>
      </x:c>
      <x:c r="H6335" s="6" t="str"/>
      <x:c r="I6335" s="6" t="str">
        <x:v>Lu Qinli gap fill from Pingshui main list; 詞 entries ignored</x:v>
      </x:c>
      <x:c r="J6335" s="6" t="str">
        <x:f>IF(B6335="","",IF(AND(ISNUMBER(SEARCH("平",B6335)),OR(ISNUMBER(SEARCH("上",B6335)),ISNUMBER(SEARCH("去",B6335)),ISNUMBER(SEARCH("入",B6335)))),"Ambiguous",IF(ISNUMBER(SEARCH("平",B6335)),"平","仄")))</x:f>
        <x:v>仄</x:v>
      </x:c>
      <x:c r="K6335" s="6" t="str">
        <x:f>IF(D6335="","",IF(AND(ISNUMBER(SEARCH("平",D6335)),OR(ISNUMBER(SEARCH("上",D6335)),ISNUMBER(SEARCH("去",D6335)),ISNUMBER(SEARCH("入",D6335)))),"Ambiguous",IF(ISNUMBER(SEARCH("平",D6335)),"平","仄")))</x:f>
        <x:v>仄</x:v>
      </x:c>
      <x:c r="L6335" s="7" t="str">
        <x:v>Pingshui main list, Lu Qinli gap fill</x:v>
      </x:c>
    </x:row>
    <x:row r="6336">
      <x:c r="A6336" s="5" t="str">
        <x:v>鑕</x:v>
      </x:c>
      <x:c r="B6336" s="6" t="str">
        <x:v>入</x:v>
      </x:c>
      <x:c r="C6336" s="6" t="str">
        <x:f>IF(B6336="","Needs decision","Ready")</x:f>
        <x:v>Ready</x:v>
      </x:c>
      <x:c r="D6336" s="6" t="str">
        <x:v>入</x:v>
      </x:c>
      <x:c r="E6336" s="6" t="str"/>
      <x:c r="F6336" s="6" t="str">
        <x:v>入聲四質</x:v>
      </x:c>
      <x:c r="G6336" s="6" t="str">
        <x:v>Pingshui main list, Wikisource-derived DOCX</x:v>
      </x:c>
      <x:c r="H6336" s="6" t="str"/>
      <x:c r="I6336" s="6" t="str">
        <x:v>Lu Qinli gap fill from Pingshui main list; 詞 entries ignored</x:v>
      </x:c>
      <x:c r="J6336" s="6" t="str">
        <x:f>IF(B6336="","",IF(AND(ISNUMBER(SEARCH("平",B6336)),OR(ISNUMBER(SEARCH("上",B6336)),ISNUMBER(SEARCH("去",B6336)),ISNUMBER(SEARCH("入",B6336)))),"Ambiguous",IF(ISNUMBER(SEARCH("平",B6336)),"平","仄")))</x:f>
        <x:v>仄</x:v>
      </x:c>
      <x:c r="K6336" s="6" t="str">
        <x:f>IF(D6336="","",IF(AND(ISNUMBER(SEARCH("平",D6336)),OR(ISNUMBER(SEARCH("上",D6336)),ISNUMBER(SEARCH("去",D6336)),ISNUMBER(SEARCH("入",D6336)))),"Ambiguous",IF(ISNUMBER(SEARCH("平",D6336)),"平","仄")))</x:f>
        <x:v>仄</x:v>
      </x:c>
      <x:c r="L6336" s="7" t="str">
        <x:v>Pingshui main list, Lu Qinli gap fill</x:v>
      </x:c>
    </x:row>
    <x:row r="6337">
      <x:c r="A6337" s="5" t="str">
        <x:v>鑮</x:v>
      </x:c>
      <x:c r="B6337" s="6" t="str">
        <x:v>入</x:v>
      </x:c>
      <x:c r="C6337" s="6" t="str">
        <x:f>IF(B6337="","Needs decision","Ready")</x:f>
        <x:v>Ready</x:v>
      </x:c>
      <x:c r="D6337" s="6" t="str">
        <x:v>入</x:v>
      </x:c>
      <x:c r="E6337" s="6" t="str"/>
      <x:c r="F6337" s="6" t="str">
        <x:v>入聲十藥</x:v>
      </x:c>
      <x:c r="G6337" s="6" t="str">
        <x:v>Pingshui main list, Wikisource-derived DOCX</x:v>
      </x:c>
      <x:c r="H6337" s="6" t="str"/>
      <x:c r="I6337" s="6" t="str">
        <x:v>Lu Qinli gap fill from Pingshui main list; 詞 entries ignored</x:v>
      </x:c>
      <x:c r="J6337" s="6" t="str">
        <x:f>IF(B6337="","",IF(AND(ISNUMBER(SEARCH("平",B6337)),OR(ISNUMBER(SEARCH("上",B6337)),ISNUMBER(SEARCH("去",B6337)),ISNUMBER(SEARCH("入",B6337)))),"Ambiguous",IF(ISNUMBER(SEARCH("平",B6337)),"平","仄")))</x:f>
        <x:v>仄</x:v>
      </x:c>
      <x:c r="K6337" s="6" t="str">
        <x:f>IF(D6337="","",IF(AND(ISNUMBER(SEARCH("平",D6337)),OR(ISNUMBER(SEARCH("上",D6337)),ISNUMBER(SEARCH("去",D6337)),ISNUMBER(SEARCH("入",D6337)))),"Ambiguous",IF(ISNUMBER(SEARCH("平",D6337)),"平","仄")))</x:f>
        <x:v>仄</x:v>
      </x:c>
      <x:c r="L6337" s="7" t="str">
        <x:v>Pingshui main list, Lu Qinli gap fill</x:v>
      </x:c>
    </x:row>
    <x:row r="6338">
      <x:c r="A6338" s="5" t="str">
        <x:v>鑲</x:v>
      </x:c>
      <x:c r="B6338" s="6" t="str">
        <x:v>平</x:v>
      </x:c>
      <x:c r="C6338" s="6" t="str">
        <x:f>IF(B6338="","Needs decision","Ready")</x:f>
        <x:v>Ready</x:v>
      </x:c>
      <x:c r="D6338" s="6" t="str">
        <x:v>平</x:v>
      </x:c>
      <x:c r="E6338" s="6" t="str"/>
      <x:c r="F6338" s="6" t="str">
        <x:v>下平聲七陽</x:v>
      </x:c>
      <x:c r="G6338" s="6" t="str">
        <x:v>Pingshui main list, Wikisource-derived DOCX</x:v>
      </x:c>
      <x:c r="H6338" s="6" t="str"/>
      <x:c r="I6338" s="6" t="str">
        <x:v>Lu Qinli gap fill from Pingshui main list; 詞 entries ignored</x:v>
      </x:c>
      <x:c r="J6338" s="6" t="str">
        <x:f>IF(B6338="","",IF(AND(ISNUMBER(SEARCH("平",B6338)),OR(ISNUMBER(SEARCH("上",B6338)),ISNUMBER(SEARCH("去",B6338)),ISNUMBER(SEARCH("入",B6338)))),"Ambiguous",IF(ISNUMBER(SEARCH("平",B6338)),"平","仄")))</x:f>
        <x:v>平</x:v>
      </x:c>
      <x:c r="K6338" s="6" t="str">
        <x:f>IF(D6338="","",IF(AND(ISNUMBER(SEARCH("平",D6338)),OR(ISNUMBER(SEARCH("上",D6338)),ISNUMBER(SEARCH("去",D6338)),ISNUMBER(SEARCH("入",D6338)))),"Ambiguous",IF(ISNUMBER(SEARCH("平",D6338)),"平","仄")))</x:f>
        <x:v>平</x:v>
      </x:c>
      <x:c r="L6338" s="7" t="str">
        <x:v>Pingshui main list, Lu Qinli gap fill</x:v>
      </x:c>
    </x:row>
    <x:row r="6339">
      <x:c r="A6339" s="5" t="str">
        <x:v>鑷</x:v>
      </x:c>
      <x:c r="B6339" s="6" t="str">
        <x:v>入</x:v>
      </x:c>
      <x:c r="C6339" s="6" t="str">
        <x:f>IF(B6339="","Needs decision","Ready")</x:f>
        <x:v>Ready</x:v>
      </x:c>
      <x:c r="D6339" s="6" t="str">
        <x:v>入</x:v>
      </x:c>
      <x:c r="E6339" s="6" t="str"/>
      <x:c r="F6339" s="6" t="str">
        <x:v>入聲十六葉</x:v>
      </x:c>
      <x:c r="G6339" s="6" t="str">
        <x:v>Pingshui main list, Wikisource-derived DOCX</x:v>
      </x:c>
      <x:c r="H6339" s="6" t="str"/>
      <x:c r="I6339" s="6" t="str">
        <x:v>Lu Qinli gap fill from Pingshui main list; 詞 entries ignored</x:v>
      </x:c>
      <x:c r="J6339" s="6" t="str">
        <x:f>IF(B6339="","",IF(AND(ISNUMBER(SEARCH("平",B6339)),OR(ISNUMBER(SEARCH("上",B6339)),ISNUMBER(SEARCH("去",B6339)),ISNUMBER(SEARCH("入",B6339)))),"Ambiguous",IF(ISNUMBER(SEARCH("平",B6339)),"平","仄")))</x:f>
        <x:v>仄</x:v>
      </x:c>
      <x:c r="K6339" s="6" t="str">
        <x:f>IF(D6339="","",IF(AND(ISNUMBER(SEARCH("平",D6339)),OR(ISNUMBER(SEARCH("上",D6339)),ISNUMBER(SEARCH("去",D6339)),ISNUMBER(SEARCH("入",D6339)))),"Ambiguous",IF(ISNUMBER(SEARCH("平",D6339)),"平","仄")))</x:f>
        <x:v>仄</x:v>
      </x:c>
      <x:c r="L6339" s="7" t="str">
        <x:v>Pingshui main list, Lu Qinli gap fill</x:v>
      </x:c>
    </x:row>
    <x:row r="6340">
      <x:c r="A6340" s="5" t="str">
        <x:v>閃</x:v>
      </x:c>
      <x:c r="B6340" s="6" t="str">
        <x:v>上</x:v>
      </x:c>
      <x:c r="C6340" s="6" t="str">
        <x:f>IF(B6340="","Needs decision","Ready")</x:f>
        <x:v>Ready</x:v>
      </x:c>
      <x:c r="D6340" s="6" t="str">
        <x:v>上</x:v>
      </x:c>
      <x:c r="E6340" s="6" t="str"/>
      <x:c r="F6340" s="6" t="str">
        <x:v>上聲二十八琰</x:v>
      </x:c>
      <x:c r="G6340" s="6" t="str">
        <x:v>Pingshui main list, Wikisource-derived DOCX</x:v>
      </x:c>
      <x:c r="H6340" s="6" t="str"/>
      <x:c r="I6340" s="6" t="str">
        <x:v>Lu Qinli gap fill from Pingshui main list; 詞 entries ignored</x:v>
      </x:c>
      <x:c r="J6340" s="6" t="str">
        <x:f>IF(B6340="","",IF(AND(ISNUMBER(SEARCH("平",B6340)),OR(ISNUMBER(SEARCH("上",B6340)),ISNUMBER(SEARCH("去",B6340)),ISNUMBER(SEARCH("入",B6340)))),"Ambiguous",IF(ISNUMBER(SEARCH("平",B6340)),"平","仄")))</x:f>
        <x:v>仄</x:v>
      </x:c>
      <x:c r="K6340" s="6" t="str">
        <x:f>IF(D6340="","",IF(AND(ISNUMBER(SEARCH("平",D6340)),OR(ISNUMBER(SEARCH("上",D6340)),ISNUMBER(SEARCH("去",D6340)),ISNUMBER(SEARCH("入",D6340)))),"Ambiguous",IF(ISNUMBER(SEARCH("平",D6340)),"平","仄")))</x:f>
        <x:v>仄</x:v>
      </x:c>
      <x:c r="L6340" s="7" t="str">
        <x:v>Pingshui main list, Lu Qinli gap fill</x:v>
      </x:c>
    </x:row>
    <x:row r="6341">
      <x:c r="A6341" s="5" t="str">
        <x:v>閈</x:v>
      </x:c>
      <x:c r="B6341" s="6" t="str">
        <x:v>去</x:v>
      </x:c>
      <x:c r="C6341" s="6" t="str">
        <x:f>IF(B6341="","Needs decision","Ready")</x:f>
        <x:v>Ready</x:v>
      </x:c>
      <x:c r="D6341" s="6" t="str">
        <x:v>去</x:v>
      </x:c>
      <x:c r="E6341" s="6" t="str"/>
      <x:c r="F6341" s="6" t="str">
        <x:v>去聲十五翰</x:v>
      </x:c>
      <x:c r="G6341" s="6" t="str">
        <x:v>Pingshui main list, Wikisource-derived DOCX</x:v>
      </x:c>
      <x:c r="H6341" s="6" t="str"/>
      <x:c r="I6341" s="6" t="str">
        <x:v>Lu Qinli gap fill from Pingshui main list; 詞 entries ignored</x:v>
      </x:c>
      <x:c r="J6341" s="6" t="str">
        <x:f>IF(B6341="","",IF(AND(ISNUMBER(SEARCH("平",B6341)),OR(ISNUMBER(SEARCH("上",B6341)),ISNUMBER(SEARCH("去",B6341)),ISNUMBER(SEARCH("入",B6341)))),"Ambiguous",IF(ISNUMBER(SEARCH("平",B6341)),"平","仄")))</x:f>
        <x:v>仄</x:v>
      </x:c>
      <x:c r="K6341" s="6" t="str">
        <x:f>IF(D6341="","",IF(AND(ISNUMBER(SEARCH("平",D6341)),OR(ISNUMBER(SEARCH("上",D6341)),ISNUMBER(SEARCH("去",D6341)),ISNUMBER(SEARCH("入",D6341)))),"Ambiguous",IF(ISNUMBER(SEARCH("平",D6341)),"平","仄")))</x:f>
        <x:v>仄</x:v>
      </x:c>
      <x:c r="L6341" s="7" t="str">
        <x:v>Pingshui main list, Lu Qinli gap fill</x:v>
      </x:c>
    </x:row>
    <x:row r="6342">
      <x:c r="A6342" s="5" t="str">
        <x:v>閎</x:v>
      </x:c>
      <x:c r="B6342" s="6" t="str">
        <x:v>平</x:v>
      </x:c>
      <x:c r="C6342" s="6" t="str">
        <x:f>IF(B6342="","Needs decision","Ready")</x:f>
        <x:v>Ready</x:v>
      </x:c>
      <x:c r="D6342" s="6" t="str">
        <x:v>平</x:v>
      </x:c>
      <x:c r="E6342" s="6" t="str"/>
      <x:c r="F6342" s="6" t="str">
        <x:v>下平聲八庚</x:v>
      </x:c>
      <x:c r="G6342" s="6" t="str">
        <x:v>Pingshui main list, Wikisource-derived DOCX</x:v>
      </x:c>
      <x:c r="H6342" s="6" t="str"/>
      <x:c r="I6342" s="6" t="str">
        <x:v>Lu Qinli gap fill from Pingshui main list; 詞 entries ignored</x:v>
      </x:c>
      <x:c r="J6342" s="6" t="str">
        <x:f>IF(B6342="","",IF(AND(ISNUMBER(SEARCH("平",B6342)),OR(ISNUMBER(SEARCH("上",B6342)),ISNUMBER(SEARCH("去",B6342)),ISNUMBER(SEARCH("入",B6342)))),"Ambiguous",IF(ISNUMBER(SEARCH("平",B6342)),"平","仄")))</x:f>
        <x:v>平</x:v>
      </x:c>
      <x:c r="K6342" s="6" t="str">
        <x:f>IF(D6342="","",IF(AND(ISNUMBER(SEARCH("平",D6342)),OR(ISNUMBER(SEARCH("上",D6342)),ISNUMBER(SEARCH("去",D6342)),ISNUMBER(SEARCH("入",D6342)))),"Ambiguous",IF(ISNUMBER(SEARCH("平",D6342)),"平","仄")))</x:f>
        <x:v>平</x:v>
      </x:c>
      <x:c r="L6342" s="7" t="str">
        <x:v>Pingshui main list, Lu Qinli gap fill</x:v>
      </x:c>
    </x:row>
    <x:row r="6343">
      <x:c r="A6343" s="5" t="str">
        <x:v>閫</x:v>
      </x:c>
      <x:c r="B6343" s="6" t="str">
        <x:v>上</x:v>
      </x:c>
      <x:c r="C6343" s="6" t="str">
        <x:f>IF(B6343="","Needs decision","Ready")</x:f>
        <x:v>Ready</x:v>
      </x:c>
      <x:c r="D6343" s="6" t="str">
        <x:v>上</x:v>
      </x:c>
      <x:c r="E6343" s="6" t="str"/>
      <x:c r="F6343" s="6" t="str">
        <x:v>上聲十三阮</x:v>
      </x:c>
      <x:c r="G6343" s="6" t="str">
        <x:v>Pingshui main list, Wikisource-derived DOCX</x:v>
      </x:c>
      <x:c r="H6343" s="6" t="str"/>
      <x:c r="I6343" s="6" t="str">
        <x:v>Lu Qinli gap fill from Pingshui main list; 詞 entries ignored</x:v>
      </x:c>
      <x:c r="J6343" s="6" t="str">
        <x:f>IF(B6343="","",IF(AND(ISNUMBER(SEARCH("平",B6343)),OR(ISNUMBER(SEARCH("上",B6343)),ISNUMBER(SEARCH("去",B6343)),ISNUMBER(SEARCH("入",B6343)))),"Ambiguous",IF(ISNUMBER(SEARCH("平",B6343)),"平","仄")))</x:f>
        <x:v>仄</x:v>
      </x:c>
      <x:c r="K6343" s="6" t="str">
        <x:f>IF(D6343="","",IF(AND(ISNUMBER(SEARCH("平",D6343)),OR(ISNUMBER(SEARCH("上",D6343)),ISNUMBER(SEARCH("去",D6343)),ISNUMBER(SEARCH("入",D6343)))),"Ambiguous",IF(ISNUMBER(SEARCH("平",D6343)),"平","仄")))</x:f>
        <x:v>仄</x:v>
      </x:c>
      <x:c r="L6343" s="7" t="str">
        <x:v>Pingshui main list, Lu Qinli gap fill</x:v>
      </x:c>
    </x:row>
    <x:row r="6344">
      <x:c r="A6344" s="5" t="str">
        <x:v>閬</x:v>
      </x:c>
      <x:c r="B6344" s="6" t="str">
        <x:v>去</x:v>
      </x:c>
      <x:c r="C6344" s="6" t="str">
        <x:f>IF(B6344="","Needs decision","Ready")</x:f>
        <x:v>Ready</x:v>
      </x:c>
      <x:c r="D6344" s="6" t="str">
        <x:v>去</x:v>
      </x:c>
      <x:c r="E6344" s="6" t="str"/>
      <x:c r="F6344" s="6" t="str">
        <x:v>去聲二十三漾</x:v>
      </x:c>
      <x:c r="G6344" s="6" t="str">
        <x:v>Pingshui main list, Wikisource-derived DOCX</x:v>
      </x:c>
      <x:c r="H6344" s="6" t="str"/>
      <x:c r="I6344" s="6" t="str">
        <x:v>Lu Qinli gap fill from Pingshui main list; 詞 entries ignored</x:v>
      </x:c>
      <x:c r="J6344" s="6" t="str">
        <x:f>IF(B6344="","",IF(AND(ISNUMBER(SEARCH("平",B6344)),OR(ISNUMBER(SEARCH("上",B6344)),ISNUMBER(SEARCH("去",B6344)),ISNUMBER(SEARCH("入",B6344)))),"Ambiguous",IF(ISNUMBER(SEARCH("平",B6344)),"平","仄")))</x:f>
        <x:v>仄</x:v>
      </x:c>
      <x:c r="K6344" s="6" t="str">
        <x:f>IF(D6344="","",IF(AND(ISNUMBER(SEARCH("平",D6344)),OR(ISNUMBER(SEARCH("上",D6344)),ISNUMBER(SEARCH("去",D6344)),ISNUMBER(SEARCH("入",D6344)))),"Ambiguous",IF(ISNUMBER(SEARCH("平",D6344)),"平","仄")))</x:f>
        <x:v>仄</x:v>
      </x:c>
      <x:c r="L6344" s="7" t="str">
        <x:v>Pingshui main list, Lu Qinli gap fill</x:v>
      </x:c>
    </x:row>
    <x:row r="6345">
      <x:c r="A6345" s="5" t="str">
        <x:v>閹</x:v>
      </x:c>
      <x:c r="B6345" s="6" t="str">
        <x:v>平</x:v>
      </x:c>
      <x:c r="C6345" s="6" t="str">
        <x:f>IF(B6345="","Needs decision","Ready")</x:f>
        <x:v>Ready</x:v>
      </x:c>
      <x:c r="D6345" s="6" t="str">
        <x:v>平</x:v>
      </x:c>
      <x:c r="E6345" s="6" t="str"/>
      <x:c r="F6345" s="6" t="str">
        <x:v>下平聲十四鹽</x:v>
      </x:c>
      <x:c r="G6345" s="6" t="str">
        <x:v>Pingshui main list, Wikisource-derived DOCX</x:v>
      </x:c>
      <x:c r="H6345" s="6" t="str"/>
      <x:c r="I6345" s="6" t="str">
        <x:v>Lu Qinli gap fill from Pingshui main list; 詞 entries ignored</x:v>
      </x:c>
      <x:c r="J6345" s="6" t="str">
        <x:f>IF(B6345="","",IF(AND(ISNUMBER(SEARCH("平",B6345)),OR(ISNUMBER(SEARCH("上",B6345)),ISNUMBER(SEARCH("去",B6345)),ISNUMBER(SEARCH("入",B6345)))),"Ambiguous",IF(ISNUMBER(SEARCH("平",B6345)),"平","仄")))</x:f>
        <x:v>平</x:v>
      </x:c>
      <x:c r="K6345" s="6" t="str">
        <x:f>IF(D6345="","",IF(AND(ISNUMBER(SEARCH("平",D6345)),OR(ISNUMBER(SEARCH("上",D6345)),ISNUMBER(SEARCH("去",D6345)),ISNUMBER(SEARCH("入",D6345)))),"Ambiguous",IF(ISNUMBER(SEARCH("平",D6345)),"平","仄")))</x:f>
        <x:v>平</x:v>
      </x:c>
      <x:c r="L6345" s="7" t="str">
        <x:v>Pingshui main list, Lu Qinli gap fill</x:v>
      </x:c>
    </x:row>
    <x:row r="6346">
      <x:c r="A6346" s="5" t="str">
        <x:v>閽</x:v>
      </x:c>
      <x:c r="B6346" s="6" t="str">
        <x:v>平</x:v>
      </x:c>
      <x:c r="C6346" s="6" t="str">
        <x:f>IF(B6346="","Needs decision","Ready")</x:f>
        <x:v>Ready</x:v>
      </x:c>
      <x:c r="D6346" s="6" t="str">
        <x:v>平</x:v>
      </x:c>
      <x:c r="E6346" s="6" t="str"/>
      <x:c r="F6346" s="6" t="str">
        <x:v>上平聲十三元</x:v>
      </x:c>
      <x:c r="G6346" s="6" t="str">
        <x:v>Pingshui main list, Wikisource-derived DOCX</x:v>
      </x:c>
      <x:c r="H6346" s="6" t="str"/>
      <x:c r="I6346" s="6" t="str">
        <x:v>Lu Qinli gap fill from Pingshui main list; 詞 entries ignored</x:v>
      </x:c>
      <x:c r="J6346" s="6" t="str">
        <x:f>IF(B6346="","",IF(AND(ISNUMBER(SEARCH("平",B6346)),OR(ISNUMBER(SEARCH("上",B6346)),ISNUMBER(SEARCH("去",B6346)),ISNUMBER(SEARCH("入",B6346)))),"Ambiguous",IF(ISNUMBER(SEARCH("平",B6346)),"平","仄")))</x:f>
        <x:v>平</x:v>
      </x:c>
      <x:c r="K6346" s="6" t="str">
        <x:f>IF(D6346="","",IF(AND(ISNUMBER(SEARCH("平",D6346)),OR(ISNUMBER(SEARCH("上",D6346)),ISNUMBER(SEARCH("去",D6346)),ISNUMBER(SEARCH("入",D6346)))),"Ambiguous",IF(ISNUMBER(SEARCH("平",D6346)),"平","仄")))</x:f>
        <x:v>平</x:v>
      </x:c>
      <x:c r="L6346" s="7" t="str">
        <x:v>Pingshui main list, Lu Qinli gap fill</x:v>
      </x:c>
    </x:row>
    <x:row r="6347">
      <x:c r="A6347" s="5" t="str">
        <x:v>閾</x:v>
      </x:c>
      <x:c r="B6347" s="6" t="str">
        <x:v>入</x:v>
      </x:c>
      <x:c r="C6347" s="6" t="str">
        <x:f>IF(B6347="","Needs decision","Ready")</x:f>
        <x:v>Ready</x:v>
      </x:c>
      <x:c r="D6347" s="6" t="str">
        <x:v>入</x:v>
      </x:c>
      <x:c r="E6347" s="6" t="str"/>
      <x:c r="F6347" s="6" t="str">
        <x:v>入聲十三職</x:v>
      </x:c>
      <x:c r="G6347" s="6" t="str">
        <x:v>Pingshui main list, Wikisource-derived DOCX</x:v>
      </x:c>
      <x:c r="H6347" s="6" t="str"/>
      <x:c r="I6347" s="6" t="str">
        <x:v>Lu Qinli gap fill from Pingshui main list; 詞 entries ignored</x:v>
      </x:c>
      <x:c r="J6347" s="6" t="str">
        <x:f>IF(B6347="","",IF(AND(ISNUMBER(SEARCH("平",B6347)),OR(ISNUMBER(SEARCH("上",B6347)),ISNUMBER(SEARCH("去",B6347)),ISNUMBER(SEARCH("入",B6347)))),"Ambiguous",IF(ISNUMBER(SEARCH("平",B6347)),"平","仄")))</x:f>
        <x:v>仄</x:v>
      </x:c>
      <x:c r="K6347" s="6" t="str">
        <x:f>IF(D6347="","",IF(AND(ISNUMBER(SEARCH("平",D6347)),OR(ISNUMBER(SEARCH("上",D6347)),ISNUMBER(SEARCH("去",D6347)),ISNUMBER(SEARCH("入",D6347)))),"Ambiguous",IF(ISNUMBER(SEARCH("平",D6347)),"平","仄")))</x:f>
        <x:v>仄</x:v>
      </x:c>
      <x:c r="L6347" s="7" t="str">
        <x:v>Pingshui main list, Lu Qinli gap fill</x:v>
      </x:c>
    </x:row>
    <x:row r="6348">
      <x:c r="A6348" s="5" t="str">
        <x:v>闉</x:v>
      </x:c>
      <x:c r="B6348" s="6" t="str">
        <x:v>平</x:v>
      </x:c>
      <x:c r="C6348" s="6" t="str">
        <x:f>IF(B6348="","Needs decision","Ready")</x:f>
        <x:v>Ready</x:v>
      </x:c>
      <x:c r="D6348" s="6" t="str">
        <x:v>平</x:v>
      </x:c>
      <x:c r="E6348" s="6" t="str"/>
      <x:c r="F6348" s="6" t="str">
        <x:v>上平聲十一真</x:v>
      </x:c>
      <x:c r="G6348" s="6" t="str">
        <x:v>Pingshui main list, Wikisource-derived DOCX</x:v>
      </x:c>
      <x:c r="H6348" s="6" t="str"/>
      <x:c r="I6348" s="6" t="str">
        <x:v>Lu Qinli gap fill from Pingshui main list; 詞 entries ignored</x:v>
      </x:c>
      <x:c r="J6348" s="6" t="str">
        <x:f>IF(B6348="","",IF(AND(ISNUMBER(SEARCH("平",B6348)),OR(ISNUMBER(SEARCH("上",B6348)),ISNUMBER(SEARCH("去",B6348)),ISNUMBER(SEARCH("入",B6348)))),"Ambiguous",IF(ISNUMBER(SEARCH("平",B6348)),"平","仄")))</x:f>
        <x:v>平</x:v>
      </x:c>
      <x:c r="K6348" s="6" t="str">
        <x:f>IF(D6348="","",IF(AND(ISNUMBER(SEARCH("平",D6348)),OR(ISNUMBER(SEARCH("上",D6348)),ISNUMBER(SEARCH("去",D6348)),ISNUMBER(SEARCH("入",D6348)))),"Ambiguous",IF(ISNUMBER(SEARCH("平",D6348)),"平","仄")))</x:f>
        <x:v>平</x:v>
      </x:c>
      <x:c r="L6348" s="7" t="str">
        <x:v>Pingshui main list, Lu Qinli gap fill</x:v>
      </x:c>
    </x:row>
    <x:row r="6349">
      <x:c r="A6349" s="5" t="str">
        <x:v>闞</x:v>
      </x:c>
      <x:c r="B6349" s="6" t="str"/>
      <x:c r="C6349" s="6" t="str">
        <x:f>IF(B6349="","Needs decision","Ready")</x:f>
        <x:v>Needs decision</x:v>
      </x:c>
      <x:c r="D6349" s="6" t="str">
        <x:v>上/去</x:v>
      </x:c>
      <x:c r="E6349" s="6" t="str"/>
      <x:c r="F6349" s="6" t="str">
        <x:v>上聲二十九豏; 去聲二十八勘; 去聲三十陷</x:v>
      </x:c>
      <x:c r="G6349" s="6" t="str">
        <x:v>Pingshui main list, Wikisource-derived DOCX</x:v>
      </x:c>
      <x:c r="H6349" s="6" t="str"/>
      <x:c r="I6349" s="6" t="str">
        <x:v>Lu Qinli gap fill from Pingshui main list; 詞 entries ignored</x:v>
      </x:c>
      <x:c r="J6349" s="6" t="str">
        <x:f>IF(B6349="","",IF(AND(ISNUMBER(SEARCH("平",B6349)),OR(ISNUMBER(SEARCH("上",B6349)),ISNUMBER(SEARCH("去",B6349)),ISNUMBER(SEARCH("入",B6349)))),"Ambiguous",IF(ISNUMBER(SEARCH("平",B6349)),"平","仄")))</x:f>
      </x:c>
      <x:c r="K6349" s="6" t="str">
        <x:f>IF(D6349="","",IF(AND(ISNUMBER(SEARCH("平",D6349)),OR(ISNUMBER(SEARCH("上",D6349)),ISNUMBER(SEARCH("去",D6349)),ISNUMBER(SEARCH("入",D6349)))),"Ambiguous",IF(ISNUMBER(SEARCH("平",D6349)),"平","仄")))</x:f>
        <x:v>仄</x:v>
      </x:c>
      <x:c r="L6349" s="7" t="str">
        <x:v>Pingshui main list, Lu Qinli gap fill</x:v>
      </x:c>
    </x:row>
    <x:row r="6350">
      <x:c r="A6350" s="5" t="str">
        <x:v>闡</x:v>
      </x:c>
      <x:c r="B6350" s="6" t="str">
        <x:v>上</x:v>
      </x:c>
      <x:c r="C6350" s="6" t="str">
        <x:f>IF(B6350="","Needs decision","Ready")</x:f>
        <x:v>Ready</x:v>
      </x:c>
      <x:c r="D6350" s="6" t="str">
        <x:v>上</x:v>
      </x:c>
      <x:c r="E6350" s="6" t="str"/>
      <x:c r="F6350" s="6" t="str">
        <x:v>上聲十六銑</x:v>
      </x:c>
      <x:c r="G6350" s="6" t="str">
        <x:v>Pingshui main list, Wikisource-derived DOCX</x:v>
      </x:c>
      <x:c r="H6350" s="6" t="str"/>
      <x:c r="I6350" s="6" t="str">
        <x:v>Lu Qinli gap fill from Pingshui main list; 詞 entries ignored</x:v>
      </x:c>
      <x:c r="J6350" s="6" t="str">
        <x:f>IF(B6350="","",IF(AND(ISNUMBER(SEARCH("平",B6350)),OR(ISNUMBER(SEARCH("上",B6350)),ISNUMBER(SEARCH("去",B6350)),ISNUMBER(SEARCH("入",B6350)))),"Ambiguous",IF(ISNUMBER(SEARCH("平",B6350)),"平","仄")))</x:f>
        <x:v>仄</x:v>
      </x:c>
      <x:c r="K6350" s="6" t="str">
        <x:f>IF(D6350="","",IF(AND(ISNUMBER(SEARCH("平",D6350)),OR(ISNUMBER(SEARCH("上",D6350)),ISNUMBER(SEARCH("去",D6350)),ISNUMBER(SEARCH("入",D6350)))),"Ambiguous",IF(ISNUMBER(SEARCH("平",D6350)),"平","仄")))</x:f>
        <x:v>仄</x:v>
      </x:c>
      <x:c r="L6350" s="7" t="str">
        <x:v>Pingshui main list, Lu Qinli gap fill</x:v>
      </x:c>
    </x:row>
    <x:row r="6351">
      <x:c r="A6351" s="5" t="str">
        <x:v>闥</x:v>
      </x:c>
      <x:c r="B6351" s="6" t="str">
        <x:v>入</x:v>
      </x:c>
      <x:c r="C6351" s="6" t="str">
        <x:f>IF(B6351="","Needs decision","Ready")</x:f>
        <x:v>Ready</x:v>
      </x:c>
      <x:c r="D6351" s="6" t="str">
        <x:v>入</x:v>
      </x:c>
      <x:c r="E6351" s="6" t="str"/>
      <x:c r="F6351" s="6" t="str">
        <x:v>入聲七曷</x:v>
      </x:c>
      <x:c r="G6351" s="6" t="str">
        <x:v>Pingshui main list, Wikisource-derived DOCX</x:v>
      </x:c>
      <x:c r="H6351" s="6" t="str"/>
      <x:c r="I6351" s="6" t="str">
        <x:v>Lu Qinli gap fill from Pingshui main list; 詞 entries ignored</x:v>
      </x:c>
      <x:c r="J6351" s="6" t="str">
        <x:f>IF(B6351="","",IF(AND(ISNUMBER(SEARCH("平",B6351)),OR(ISNUMBER(SEARCH("上",B6351)),ISNUMBER(SEARCH("去",B6351)),ISNUMBER(SEARCH("入",B6351)))),"Ambiguous",IF(ISNUMBER(SEARCH("平",B6351)),"平","仄")))</x:f>
        <x:v>仄</x:v>
      </x:c>
      <x:c r="K6351" s="6" t="str">
        <x:f>IF(D6351="","",IF(AND(ISNUMBER(SEARCH("平",D6351)),OR(ISNUMBER(SEARCH("上",D6351)),ISNUMBER(SEARCH("去",D6351)),ISNUMBER(SEARCH("入",D6351)))),"Ambiguous",IF(ISNUMBER(SEARCH("平",D6351)),"平","仄")))</x:f>
        <x:v>仄</x:v>
      </x:c>
      <x:c r="L6351" s="7" t="str">
        <x:v>Pingshui main list, Lu Qinli gap fill</x:v>
      </x:c>
    </x:row>
    <x:row r="6352">
      <x:c r="A6352" s="5" t="str">
        <x:v>阯</x:v>
      </x:c>
      <x:c r="B6352" s="6" t="str">
        <x:v>上</x:v>
      </x:c>
      <x:c r="C6352" s="6" t="str">
        <x:f>IF(B6352="","Needs decision","Ready")</x:f>
        <x:v>Ready</x:v>
      </x:c>
      <x:c r="D6352" s="6" t="str">
        <x:v>上</x:v>
      </x:c>
      <x:c r="E6352" s="6" t="str"/>
      <x:c r="F6352" s="6" t="str">
        <x:v>上聲四紙</x:v>
      </x:c>
      <x:c r="G6352" s="6" t="str">
        <x:v>Pingshui main list, Wikisource-derived DOCX</x:v>
      </x:c>
      <x:c r="H6352" s="6" t="str"/>
      <x:c r="I6352" s="6" t="str">
        <x:v>Lu Qinli gap fill from Pingshui main list; 詞 entries ignored</x:v>
      </x:c>
      <x:c r="J6352" s="6" t="str">
        <x:f>IF(B6352="","",IF(AND(ISNUMBER(SEARCH("平",B6352)),OR(ISNUMBER(SEARCH("上",B6352)),ISNUMBER(SEARCH("去",B6352)),ISNUMBER(SEARCH("入",B6352)))),"Ambiguous",IF(ISNUMBER(SEARCH("平",B6352)),"平","仄")))</x:f>
        <x:v>仄</x:v>
      </x:c>
      <x:c r="K6352" s="6" t="str">
        <x:f>IF(D6352="","",IF(AND(ISNUMBER(SEARCH("平",D6352)),OR(ISNUMBER(SEARCH("上",D6352)),ISNUMBER(SEARCH("去",D6352)),ISNUMBER(SEARCH("入",D6352)))),"Ambiguous",IF(ISNUMBER(SEARCH("平",D6352)),"平","仄")))</x:f>
        <x:v>仄</x:v>
      </x:c>
      <x:c r="L6352" s="7" t="str">
        <x:v>Pingshui main list, Lu Qinli gap fill</x:v>
      </x:c>
    </x:row>
    <x:row r="6353">
      <x:c r="A6353" s="5" t="str">
        <x:v>阼</x:v>
      </x:c>
      <x:c r="B6353" s="6" t="str">
        <x:v>去</x:v>
      </x:c>
      <x:c r="C6353" s="6" t="str">
        <x:f>IF(B6353="","Needs decision","Ready")</x:f>
        <x:v>Ready</x:v>
      </x:c>
      <x:c r="D6353" s="6" t="str">
        <x:v>去</x:v>
      </x:c>
      <x:c r="E6353" s="6" t="str"/>
      <x:c r="F6353" s="6" t="str">
        <x:v>去聲七遇</x:v>
      </x:c>
      <x:c r="G6353" s="6" t="str">
        <x:v>Pingshui main list, Wikisource-derived DOCX</x:v>
      </x:c>
      <x:c r="H6353" s="6" t="str"/>
      <x:c r="I6353" s="6" t="str">
        <x:v>Lu Qinli gap fill from Pingshui main list; 詞 entries ignored</x:v>
      </x:c>
      <x:c r="J6353" s="6" t="str">
        <x:f>IF(B6353="","",IF(AND(ISNUMBER(SEARCH("平",B6353)),OR(ISNUMBER(SEARCH("上",B6353)),ISNUMBER(SEARCH("去",B6353)),ISNUMBER(SEARCH("入",B6353)))),"Ambiguous",IF(ISNUMBER(SEARCH("平",B6353)),"平","仄")))</x:f>
        <x:v>仄</x:v>
      </x:c>
      <x:c r="K6353" s="6" t="str">
        <x:f>IF(D6353="","",IF(AND(ISNUMBER(SEARCH("平",D6353)),OR(ISNUMBER(SEARCH("上",D6353)),ISNUMBER(SEARCH("去",D6353)),ISNUMBER(SEARCH("入",D6353)))),"Ambiguous",IF(ISNUMBER(SEARCH("平",D6353)),"平","仄")))</x:f>
        <x:v>仄</x:v>
      </x:c>
      <x:c r="L6353" s="7" t="str">
        <x:v>Pingshui main list, Lu Qinli gap fill</x:v>
      </x:c>
    </x:row>
    <x:row r="6354">
      <x:c r="A6354" s="5" t="str">
        <x:v>陀</x:v>
      </x:c>
      <x:c r="B6354" s="6" t="str">
        <x:v>平</x:v>
      </x:c>
      <x:c r="C6354" s="6" t="str">
        <x:f>IF(B6354="","Needs decision","Ready")</x:f>
        <x:v>Ready</x:v>
      </x:c>
      <x:c r="D6354" s="6" t="str">
        <x:v>平</x:v>
      </x:c>
      <x:c r="E6354" s="6" t="str"/>
      <x:c r="F6354" s="6" t="str">
        <x:v>下平聲五歌</x:v>
      </x:c>
      <x:c r="G6354" s="6" t="str">
        <x:v>Pingshui main list, Wikisource-derived DOCX</x:v>
      </x:c>
      <x:c r="H6354" s="6" t="str"/>
      <x:c r="I6354" s="6" t="str">
        <x:v>Lu Qinli gap fill from Pingshui main list; 詞 entries ignored</x:v>
      </x:c>
      <x:c r="J6354" s="6" t="str">
        <x:f>IF(B6354="","",IF(AND(ISNUMBER(SEARCH("平",B6354)),OR(ISNUMBER(SEARCH("上",B6354)),ISNUMBER(SEARCH("去",B6354)),ISNUMBER(SEARCH("入",B6354)))),"Ambiguous",IF(ISNUMBER(SEARCH("平",B6354)),"平","仄")))</x:f>
        <x:v>平</x:v>
      </x:c>
      <x:c r="K6354" s="6" t="str">
        <x:f>IF(D6354="","",IF(AND(ISNUMBER(SEARCH("平",D6354)),OR(ISNUMBER(SEARCH("上",D6354)),ISNUMBER(SEARCH("去",D6354)),ISNUMBER(SEARCH("入",D6354)))),"Ambiguous",IF(ISNUMBER(SEARCH("平",D6354)),"平","仄")))</x:f>
        <x:v>平</x:v>
      </x:c>
      <x:c r="L6354" s="7" t="str">
        <x:v>Pingshui main list, Lu Qinli gap fill</x:v>
      </x:c>
    </x:row>
    <x:row r="6355">
      <x:c r="A6355" s="5" t="str">
        <x:v>陔</x:v>
      </x:c>
      <x:c r="B6355" s="6" t="str">
        <x:v>平</x:v>
      </x:c>
      <x:c r="C6355" s="6" t="str">
        <x:f>IF(B6355="","Needs decision","Ready")</x:f>
        <x:v>Ready</x:v>
      </x:c>
      <x:c r="D6355" s="6" t="str">
        <x:v>平</x:v>
      </x:c>
      <x:c r="E6355" s="6" t="str"/>
      <x:c r="F6355" s="6" t="str">
        <x:v>上平聲十灰</x:v>
      </x:c>
      <x:c r="G6355" s="6" t="str">
        <x:v>Pingshui main list, Wikisource-derived DOCX</x:v>
      </x:c>
      <x:c r="H6355" s="6" t="str"/>
      <x:c r="I6355" s="6" t="str">
        <x:v>Lu Qinli gap fill from Pingshui main list; 詞 entries ignored</x:v>
      </x:c>
      <x:c r="J6355" s="6" t="str">
        <x:f>IF(B6355="","",IF(AND(ISNUMBER(SEARCH("平",B6355)),OR(ISNUMBER(SEARCH("上",B6355)),ISNUMBER(SEARCH("去",B6355)),ISNUMBER(SEARCH("入",B6355)))),"Ambiguous",IF(ISNUMBER(SEARCH("平",B6355)),"平","仄")))</x:f>
        <x:v>平</x:v>
      </x:c>
      <x:c r="K6355" s="6" t="str">
        <x:f>IF(D6355="","",IF(AND(ISNUMBER(SEARCH("平",D6355)),OR(ISNUMBER(SEARCH("上",D6355)),ISNUMBER(SEARCH("去",D6355)),ISNUMBER(SEARCH("入",D6355)))),"Ambiguous",IF(ISNUMBER(SEARCH("平",D6355)),"平","仄")))</x:f>
        <x:v>平</x:v>
      </x:c>
      <x:c r="L6355" s="7" t="str">
        <x:v>Pingshui main list, Lu Qinli gap fill</x:v>
      </x:c>
    </x:row>
    <x:row r="6356">
      <x:c r="A6356" s="5" t="str">
        <x:v>陝</x:v>
      </x:c>
      <x:c r="B6356" s="6" t="str">
        <x:v>上</x:v>
      </x:c>
      <x:c r="C6356" s="6" t="str">
        <x:f>IF(B6356="","Needs decision","Ready")</x:f>
        <x:v>Ready</x:v>
      </x:c>
      <x:c r="D6356" s="6" t="str">
        <x:v>上</x:v>
      </x:c>
      <x:c r="E6356" s="6" t="str"/>
      <x:c r="F6356" s="6" t="str">
        <x:v>上聲二十八琰</x:v>
      </x:c>
      <x:c r="G6356" s="6" t="str">
        <x:v>Pingshui main list, Wikisource-derived DOCX</x:v>
      </x:c>
      <x:c r="H6356" s="6" t="str"/>
      <x:c r="I6356" s="6" t="str">
        <x:v>Lu Qinli gap fill from Pingshui main list; 詞 entries ignored</x:v>
      </x:c>
      <x:c r="J6356" s="6" t="str">
        <x:f>IF(B6356="","",IF(AND(ISNUMBER(SEARCH("平",B6356)),OR(ISNUMBER(SEARCH("上",B6356)),ISNUMBER(SEARCH("去",B6356)),ISNUMBER(SEARCH("入",B6356)))),"Ambiguous",IF(ISNUMBER(SEARCH("平",B6356)),"平","仄")))</x:f>
        <x:v>仄</x:v>
      </x:c>
      <x:c r="K6356" s="6" t="str">
        <x:f>IF(D6356="","",IF(AND(ISNUMBER(SEARCH("平",D6356)),OR(ISNUMBER(SEARCH("上",D6356)),ISNUMBER(SEARCH("去",D6356)),ISNUMBER(SEARCH("入",D6356)))),"Ambiguous",IF(ISNUMBER(SEARCH("平",D6356)),"平","仄")))</x:f>
        <x:v>仄</x:v>
      </x:c>
      <x:c r="L6356" s="7" t="str">
        <x:v>Pingshui main list, Lu Qinli gap fill</x:v>
      </x:c>
    </x:row>
    <x:row r="6357">
      <x:c r="A6357" s="5" t="str">
        <x:v>陴</x:v>
      </x:c>
      <x:c r="B6357" s="6" t="str">
        <x:v>平</x:v>
      </x:c>
      <x:c r="C6357" s="6" t="str">
        <x:f>IF(B6357="","Needs decision","Ready")</x:f>
        <x:v>Ready</x:v>
      </x:c>
      <x:c r="D6357" s="6" t="str">
        <x:v>平</x:v>
      </x:c>
      <x:c r="E6357" s="6" t="str"/>
      <x:c r="F6357" s="6" t="str">
        <x:v>上平聲四支</x:v>
      </x:c>
      <x:c r="G6357" s="6" t="str">
        <x:v>Pingshui main list, Wikisource-derived DOCX</x:v>
      </x:c>
      <x:c r="H6357" s="6" t="str"/>
      <x:c r="I6357" s="6" t="str">
        <x:v>Lu Qinli gap fill from Pingshui main list; 詞 entries ignored</x:v>
      </x:c>
      <x:c r="J6357" s="6" t="str">
        <x:f>IF(B6357="","",IF(AND(ISNUMBER(SEARCH("平",B6357)),OR(ISNUMBER(SEARCH("上",B6357)),ISNUMBER(SEARCH("去",B6357)),ISNUMBER(SEARCH("入",B6357)))),"Ambiguous",IF(ISNUMBER(SEARCH("平",B6357)),"平","仄")))</x:f>
        <x:v>平</x:v>
      </x:c>
      <x:c r="K6357" s="6" t="str">
        <x:f>IF(D6357="","",IF(AND(ISNUMBER(SEARCH("平",D6357)),OR(ISNUMBER(SEARCH("上",D6357)),ISNUMBER(SEARCH("去",D6357)),ISNUMBER(SEARCH("入",D6357)))),"Ambiguous",IF(ISNUMBER(SEARCH("平",D6357)),"平","仄")))</x:f>
        <x:v>平</x:v>
      </x:c>
      <x:c r="L6357" s="7" t="str">
        <x:v>Pingshui main list, Lu Qinli gap fill</x:v>
      </x:c>
    </x:row>
    <x:row r="6358">
      <x:c r="A6358" s="5" t="str">
        <x:v>雋</x:v>
      </x:c>
      <x:c r="B6358" s="6" t="str">
        <x:v>上</x:v>
      </x:c>
      <x:c r="C6358" s="6" t="str">
        <x:f>IF(B6358="","Needs decision","Ready")</x:f>
        <x:v>Ready</x:v>
      </x:c>
      <x:c r="D6358" s="6" t="str">
        <x:v>上</x:v>
      </x:c>
      <x:c r="E6358" s="6" t="str"/>
      <x:c r="F6358" s="6" t="str">
        <x:v>上聲十六銑</x:v>
      </x:c>
      <x:c r="G6358" s="6" t="str">
        <x:v>Pingshui main list, Wikisource-derived DOCX</x:v>
      </x:c>
      <x:c r="H6358" s="6" t="str"/>
      <x:c r="I6358" s="6" t="str">
        <x:v>Lu Qinli gap fill from Pingshui main list; 詞 entries ignored</x:v>
      </x:c>
      <x:c r="J6358" s="6" t="str">
        <x:f>IF(B6358="","",IF(AND(ISNUMBER(SEARCH("平",B6358)),OR(ISNUMBER(SEARCH("上",B6358)),ISNUMBER(SEARCH("去",B6358)),ISNUMBER(SEARCH("入",B6358)))),"Ambiguous",IF(ISNUMBER(SEARCH("平",B6358)),"平","仄")))</x:f>
        <x:v>仄</x:v>
      </x:c>
      <x:c r="K6358" s="6" t="str">
        <x:f>IF(D6358="","",IF(AND(ISNUMBER(SEARCH("平",D6358)),OR(ISNUMBER(SEARCH("上",D6358)),ISNUMBER(SEARCH("去",D6358)),ISNUMBER(SEARCH("入",D6358)))),"Ambiguous",IF(ISNUMBER(SEARCH("平",D6358)),"平","仄")))</x:f>
        <x:v>仄</x:v>
      </x:c>
      <x:c r="L6358" s="7" t="str">
        <x:v>Pingshui main list, Lu Qinli gap fill</x:v>
      </x:c>
    </x:row>
    <x:row r="6359">
      <x:c r="A6359" s="5" t="str">
        <x:v>雝</x:v>
      </x:c>
      <x:c r="B6359" s="6" t="str">
        <x:v>平</x:v>
      </x:c>
      <x:c r="C6359" s="6" t="str">
        <x:f>IF(B6359="","Needs decision","Ready")</x:f>
        <x:v>Ready</x:v>
      </x:c>
      <x:c r="D6359" s="6" t="str">
        <x:v>平</x:v>
      </x:c>
      <x:c r="E6359" s="6" t="str"/>
      <x:c r="F6359" s="6" t="str">
        <x:v>上平聲二冬</x:v>
      </x:c>
      <x:c r="G6359" s="6" t="str">
        <x:v>Pingshui main list, Wikisource-derived DOCX</x:v>
      </x:c>
      <x:c r="H6359" s="6" t="str"/>
      <x:c r="I6359" s="6" t="str">
        <x:v>Lu Qinli gap fill from Pingshui main list; 詞 entries ignored</x:v>
      </x:c>
      <x:c r="J6359" s="6" t="str">
        <x:f>IF(B6359="","",IF(AND(ISNUMBER(SEARCH("平",B6359)),OR(ISNUMBER(SEARCH("上",B6359)),ISNUMBER(SEARCH("去",B6359)),ISNUMBER(SEARCH("入",B6359)))),"Ambiguous",IF(ISNUMBER(SEARCH("平",B6359)),"平","仄")))</x:f>
        <x:v>平</x:v>
      </x:c>
      <x:c r="K6359" s="6" t="str">
        <x:f>IF(D6359="","",IF(AND(ISNUMBER(SEARCH("平",D6359)),OR(ISNUMBER(SEARCH("上",D6359)),ISNUMBER(SEARCH("去",D6359)),ISNUMBER(SEARCH("入",D6359)))),"Ambiguous",IF(ISNUMBER(SEARCH("平",D6359)),"平","仄")))</x:f>
        <x:v>平</x:v>
      </x:c>
      <x:c r="L6359" s="7" t="str">
        <x:v>Pingshui main list, Lu Qinli gap fill</x:v>
      </x:c>
    </x:row>
    <x:row r="6360">
      <x:c r="A6360" s="5" t="str">
        <x:v>雰</x:v>
      </x:c>
      <x:c r="B6360" s="6" t="str">
        <x:v>平</x:v>
      </x:c>
      <x:c r="C6360" s="6" t="str">
        <x:f>IF(B6360="","Needs decision","Ready")</x:f>
        <x:v>Ready</x:v>
      </x:c>
      <x:c r="D6360" s="6" t="str">
        <x:v>平</x:v>
      </x:c>
      <x:c r="E6360" s="6" t="str"/>
      <x:c r="F6360" s="6" t="str">
        <x:v>上平聲十二文</x:v>
      </x:c>
      <x:c r="G6360" s="6" t="str">
        <x:v>Pingshui main list, Wikisource-derived DOCX</x:v>
      </x:c>
      <x:c r="H6360" s="6" t="str"/>
      <x:c r="I6360" s="6" t="str">
        <x:v>Lu Qinli gap fill from Pingshui main list; 詞 entries ignored</x:v>
      </x:c>
      <x:c r="J6360" s="6" t="str">
        <x:f>IF(B6360="","",IF(AND(ISNUMBER(SEARCH("平",B6360)),OR(ISNUMBER(SEARCH("上",B6360)),ISNUMBER(SEARCH("去",B6360)),ISNUMBER(SEARCH("入",B6360)))),"Ambiguous",IF(ISNUMBER(SEARCH("平",B6360)),"平","仄")))</x:f>
        <x:v>平</x:v>
      </x:c>
      <x:c r="K6360" s="6" t="str">
        <x:f>IF(D6360="","",IF(AND(ISNUMBER(SEARCH("平",D6360)),OR(ISNUMBER(SEARCH("上",D6360)),ISNUMBER(SEARCH("去",D6360)),ISNUMBER(SEARCH("入",D6360)))),"Ambiguous",IF(ISNUMBER(SEARCH("平",D6360)),"平","仄")))</x:f>
        <x:v>平</x:v>
      </x:c>
      <x:c r="L6360" s="7" t="str">
        <x:v>Pingshui main list, Lu Qinli gap fill</x:v>
      </x:c>
    </x:row>
    <x:row r="6361">
      <x:c r="A6361" s="5" t="str">
        <x:v>霈</x:v>
      </x:c>
      <x:c r="B6361" s="6" t="str">
        <x:v>去</x:v>
      </x:c>
      <x:c r="C6361" s="6" t="str">
        <x:f>IF(B6361="","Needs decision","Ready")</x:f>
        <x:v>Ready</x:v>
      </x:c>
      <x:c r="D6361" s="6" t="str">
        <x:v>去</x:v>
      </x:c>
      <x:c r="E6361" s="6" t="str"/>
      <x:c r="F6361" s="6" t="str">
        <x:v>去聲九泰</x:v>
      </x:c>
      <x:c r="G6361" s="6" t="str">
        <x:v>Pingshui main list, Wikisource-derived DOCX</x:v>
      </x:c>
      <x:c r="H6361" s="6" t="str"/>
      <x:c r="I6361" s="6" t="str">
        <x:v>Lu Qinli gap fill from Pingshui main list; 詞 entries ignored</x:v>
      </x:c>
      <x:c r="J6361" s="6" t="str">
        <x:f>IF(B6361="","",IF(AND(ISNUMBER(SEARCH("平",B6361)),OR(ISNUMBER(SEARCH("上",B6361)),ISNUMBER(SEARCH("去",B6361)),ISNUMBER(SEARCH("入",B6361)))),"Ambiguous",IF(ISNUMBER(SEARCH("平",B6361)),"平","仄")))</x:f>
        <x:v>仄</x:v>
      </x:c>
      <x:c r="K6361" s="6" t="str">
        <x:f>IF(D6361="","",IF(AND(ISNUMBER(SEARCH("平",D6361)),OR(ISNUMBER(SEARCH("上",D6361)),ISNUMBER(SEARCH("去",D6361)),ISNUMBER(SEARCH("入",D6361)))),"Ambiguous",IF(ISNUMBER(SEARCH("平",D6361)),"平","仄")))</x:f>
        <x:v>仄</x:v>
      </x:c>
      <x:c r="L6361" s="7" t="str">
        <x:v>Pingshui main list, Lu Qinli gap fill</x:v>
      </x:c>
    </x:row>
    <x:row r="6362">
      <x:c r="A6362" s="5" t="str">
        <x:v>霍</x:v>
      </x:c>
      <x:c r="B6362" s="6" t="str">
        <x:v>入</x:v>
      </x:c>
      <x:c r="C6362" s="6" t="str">
        <x:f>IF(B6362="","Needs decision","Ready")</x:f>
        <x:v>Ready</x:v>
      </x:c>
      <x:c r="D6362" s="6" t="str">
        <x:v>入</x:v>
      </x:c>
      <x:c r="E6362" s="6" t="str"/>
      <x:c r="F6362" s="6" t="str">
        <x:v>入聲十藥</x:v>
      </x:c>
      <x:c r="G6362" s="6" t="str">
        <x:v>Pingshui main list, Wikisource-derived DOCX</x:v>
      </x:c>
      <x:c r="H6362" s="6" t="str"/>
      <x:c r="I6362" s="6" t="str">
        <x:v>Lu Qinli gap fill from Pingshui main list; 詞 entries ignored</x:v>
      </x:c>
      <x:c r="J6362" s="6" t="str">
        <x:f>IF(B6362="","",IF(AND(ISNUMBER(SEARCH("平",B6362)),OR(ISNUMBER(SEARCH("上",B6362)),ISNUMBER(SEARCH("去",B6362)),ISNUMBER(SEARCH("入",B6362)))),"Ambiguous",IF(ISNUMBER(SEARCH("平",B6362)),"平","仄")))</x:f>
        <x:v>仄</x:v>
      </x:c>
      <x:c r="K6362" s="6" t="str">
        <x:f>IF(D6362="","",IF(AND(ISNUMBER(SEARCH("平",D6362)),OR(ISNUMBER(SEARCH("上",D6362)),ISNUMBER(SEARCH("去",D6362)),ISNUMBER(SEARCH("入",D6362)))),"Ambiguous",IF(ISNUMBER(SEARCH("平",D6362)),"平","仄")))</x:f>
        <x:v>仄</x:v>
      </x:c>
      <x:c r="L6362" s="7" t="str">
        <x:v>Pingshui main list, Lu Qinli gap fill</x:v>
      </x:c>
    </x:row>
    <x:row r="6363">
      <x:c r="A6363" s="5" t="str">
        <x:v>霖</x:v>
      </x:c>
      <x:c r="B6363" s="6" t="str">
        <x:v>平</x:v>
      </x:c>
      <x:c r="C6363" s="6" t="str">
        <x:f>IF(B6363="","Needs decision","Ready")</x:f>
        <x:v>Ready</x:v>
      </x:c>
      <x:c r="D6363" s="6" t="str">
        <x:v>平</x:v>
      </x:c>
      <x:c r="E6363" s="6" t="str"/>
      <x:c r="F6363" s="6" t="str">
        <x:v>下平聲十二侵</x:v>
      </x:c>
      <x:c r="G6363" s="6" t="str">
        <x:v>Pingshui main list, Wikisource-derived DOCX</x:v>
      </x:c>
      <x:c r="H6363" s="6" t="str"/>
      <x:c r="I6363" s="6" t="str">
        <x:v>Lu Qinli gap fill from Pingshui main list; 詞 entries ignored</x:v>
      </x:c>
      <x:c r="J6363" s="6" t="str">
        <x:f>IF(B6363="","",IF(AND(ISNUMBER(SEARCH("平",B6363)),OR(ISNUMBER(SEARCH("上",B6363)),ISNUMBER(SEARCH("去",B6363)),ISNUMBER(SEARCH("入",B6363)))),"Ambiguous",IF(ISNUMBER(SEARCH("平",B6363)),"平","仄")))</x:f>
        <x:v>平</x:v>
      </x:c>
      <x:c r="K6363" s="6" t="str">
        <x:f>IF(D6363="","",IF(AND(ISNUMBER(SEARCH("平",D6363)),OR(ISNUMBER(SEARCH("上",D6363)),ISNUMBER(SEARCH("去",D6363)),ISNUMBER(SEARCH("入",D6363)))),"Ambiguous",IF(ISNUMBER(SEARCH("平",D6363)),"平","仄")))</x:f>
        <x:v>平</x:v>
      </x:c>
      <x:c r="L6363" s="7" t="str">
        <x:v>Pingshui main list, Lu Qinli gap fill</x:v>
      </x:c>
    </x:row>
    <x:row r="6364">
      <x:c r="A6364" s="5" t="str">
        <x:v>霙</x:v>
      </x:c>
      <x:c r="B6364" s="6" t="str">
        <x:v>平</x:v>
      </x:c>
      <x:c r="C6364" s="6" t="str">
        <x:f>IF(B6364="","Needs decision","Ready")</x:f>
        <x:v>Ready</x:v>
      </x:c>
      <x:c r="D6364" s="6" t="str">
        <x:v>平</x:v>
      </x:c>
      <x:c r="E6364" s="6" t="str"/>
      <x:c r="F6364" s="6" t="str">
        <x:v>下平聲八庚</x:v>
      </x:c>
      <x:c r="G6364" s="6" t="str">
        <x:v>Pingshui main list, Wikisource-derived DOCX</x:v>
      </x:c>
      <x:c r="H6364" s="6" t="str"/>
      <x:c r="I6364" s="6" t="str">
        <x:v>Lu Qinli gap fill from Pingshui main list; 詞 entries ignored</x:v>
      </x:c>
      <x:c r="J6364" s="6" t="str">
        <x:f>IF(B6364="","",IF(AND(ISNUMBER(SEARCH("平",B6364)),OR(ISNUMBER(SEARCH("上",B6364)),ISNUMBER(SEARCH("去",B6364)),ISNUMBER(SEARCH("入",B6364)))),"Ambiguous",IF(ISNUMBER(SEARCH("平",B6364)),"平","仄")))</x:f>
        <x:v>平</x:v>
      </x:c>
      <x:c r="K6364" s="6" t="str">
        <x:f>IF(D6364="","",IF(AND(ISNUMBER(SEARCH("平",D6364)),OR(ISNUMBER(SEARCH("上",D6364)),ISNUMBER(SEARCH("去",D6364)),ISNUMBER(SEARCH("入",D6364)))),"Ambiguous",IF(ISNUMBER(SEARCH("平",D6364)),"平","仄")))</x:f>
        <x:v>平</x:v>
      </x:c>
      <x:c r="L6364" s="7" t="str">
        <x:v>Pingshui main list, Lu Qinli gap fill</x:v>
      </x:c>
    </x:row>
    <x:row r="6365">
      <x:c r="A6365" s="5" t="str">
        <x:v>霢</x:v>
      </x:c>
      <x:c r="B6365" s="6" t="str">
        <x:v>入</x:v>
      </x:c>
      <x:c r="C6365" s="6" t="str">
        <x:f>IF(B6365="","Needs decision","Ready")</x:f>
        <x:v>Ready</x:v>
      </x:c>
      <x:c r="D6365" s="6" t="str">
        <x:v>入</x:v>
      </x:c>
      <x:c r="E6365" s="6" t="str"/>
      <x:c r="F6365" s="6" t="str">
        <x:v>入聲十一陌</x:v>
      </x:c>
      <x:c r="G6365" s="6" t="str">
        <x:v>Pingshui main list, Wikisource-derived DOCX</x:v>
      </x:c>
      <x:c r="H6365" s="6" t="str"/>
      <x:c r="I6365" s="6" t="str">
        <x:v>Lu Qinli gap fill from Pingshui main list; 詞 entries ignored</x:v>
      </x:c>
      <x:c r="J6365" s="6" t="str">
        <x:f>IF(B6365="","",IF(AND(ISNUMBER(SEARCH("平",B6365)),OR(ISNUMBER(SEARCH("上",B6365)),ISNUMBER(SEARCH("去",B6365)),ISNUMBER(SEARCH("入",B6365)))),"Ambiguous",IF(ISNUMBER(SEARCH("平",B6365)),"平","仄")))</x:f>
        <x:v>仄</x:v>
      </x:c>
      <x:c r="K6365" s="6" t="str">
        <x:f>IF(D6365="","",IF(AND(ISNUMBER(SEARCH("平",D6365)),OR(ISNUMBER(SEARCH("上",D6365)),ISNUMBER(SEARCH("去",D6365)),ISNUMBER(SEARCH("入",D6365)))),"Ambiguous",IF(ISNUMBER(SEARCH("平",D6365)),"平","仄")))</x:f>
        <x:v>仄</x:v>
      </x:c>
      <x:c r="L6365" s="7" t="str">
        <x:v>Pingshui main list, Lu Qinli gap fill</x:v>
      </x:c>
    </x:row>
    <x:row r="6366">
      <x:c r="A6366" s="5" t="str">
        <x:v>霣</x:v>
      </x:c>
      <x:c r="B6366" s="6" t="str">
        <x:v>上</x:v>
      </x:c>
      <x:c r="C6366" s="6" t="str">
        <x:f>IF(B6366="","Needs decision","Ready")</x:f>
        <x:v>Ready</x:v>
      </x:c>
      <x:c r="D6366" s="6" t="str">
        <x:v>上</x:v>
      </x:c>
      <x:c r="E6366" s="6" t="str"/>
      <x:c r="F6366" s="6" t="str">
        <x:v>上聲十一軫</x:v>
      </x:c>
      <x:c r="G6366" s="6" t="str">
        <x:v>Pingshui main list, Wikisource-derived DOCX</x:v>
      </x:c>
      <x:c r="H6366" s="6" t="str"/>
      <x:c r="I6366" s="6" t="str">
        <x:v>Lu Qinli gap fill from Pingshui main list; 詞 entries ignored</x:v>
      </x:c>
      <x:c r="J6366" s="6" t="str">
        <x:f>IF(B6366="","",IF(AND(ISNUMBER(SEARCH("平",B6366)),OR(ISNUMBER(SEARCH("上",B6366)),ISNUMBER(SEARCH("去",B6366)),ISNUMBER(SEARCH("入",B6366)))),"Ambiguous",IF(ISNUMBER(SEARCH("平",B6366)),"平","仄")))</x:f>
        <x:v>仄</x:v>
      </x:c>
      <x:c r="K6366" s="6" t="str">
        <x:f>IF(D6366="","",IF(AND(ISNUMBER(SEARCH("平",D6366)),OR(ISNUMBER(SEARCH("上",D6366)),ISNUMBER(SEARCH("去",D6366)),ISNUMBER(SEARCH("入",D6366)))),"Ambiguous",IF(ISNUMBER(SEARCH("平",D6366)),"平","仄")))</x:f>
        <x:v>仄</x:v>
      </x:c>
      <x:c r="L6366" s="7" t="str">
        <x:v>Pingshui main list, Lu Qinli gap fill</x:v>
      </x:c>
    </x:row>
    <x:row r="6367">
      <x:c r="A6367" s="5" t="str">
        <x:v>霤</x:v>
      </x:c>
      <x:c r="B6367" s="6" t="str">
        <x:v>去</x:v>
      </x:c>
      <x:c r="C6367" s="6" t="str">
        <x:f>IF(B6367="","Needs decision","Ready")</x:f>
        <x:v>Ready</x:v>
      </x:c>
      <x:c r="D6367" s="6" t="str">
        <x:v>去</x:v>
      </x:c>
      <x:c r="E6367" s="6" t="str"/>
      <x:c r="F6367" s="6" t="str">
        <x:v>去聲二十六宥</x:v>
      </x:c>
      <x:c r="G6367" s="6" t="str">
        <x:v>Pingshui main list, Wikisource-derived DOCX</x:v>
      </x:c>
      <x:c r="H6367" s="6" t="str"/>
      <x:c r="I6367" s="6" t="str">
        <x:v>Lu Qinli gap fill from Pingshui main list; 詞 entries ignored</x:v>
      </x:c>
      <x:c r="J6367" s="6" t="str">
        <x:f>IF(B6367="","",IF(AND(ISNUMBER(SEARCH("平",B6367)),OR(ISNUMBER(SEARCH("上",B6367)),ISNUMBER(SEARCH("去",B6367)),ISNUMBER(SEARCH("入",B6367)))),"Ambiguous",IF(ISNUMBER(SEARCH("平",B6367)),"平","仄")))</x:f>
        <x:v>仄</x:v>
      </x:c>
      <x:c r="K6367" s="6" t="str">
        <x:f>IF(D6367="","",IF(AND(ISNUMBER(SEARCH("平",D6367)),OR(ISNUMBER(SEARCH("上",D6367)),ISNUMBER(SEARCH("去",D6367)),ISNUMBER(SEARCH("入",D6367)))),"Ambiguous",IF(ISNUMBER(SEARCH("平",D6367)),"平","仄")))</x:f>
        <x:v>仄</x:v>
      </x:c>
      <x:c r="L6367" s="7" t="str">
        <x:v>Pingshui main list, Lu Qinli gap fill</x:v>
      </x:c>
    </x:row>
    <x:row r="6368">
      <x:c r="A6368" s="5" t="str">
        <x:v>靃</x:v>
      </x:c>
      <x:c r="B6368" s="6" t="str">
        <x:v>入</x:v>
      </x:c>
      <x:c r="C6368" s="6" t="str">
        <x:f>IF(B6368="","Needs decision","Ready")</x:f>
        <x:v>Ready</x:v>
      </x:c>
      <x:c r="D6368" s="6" t="str">
        <x:v>入</x:v>
      </x:c>
      <x:c r="E6368" s="6" t="str"/>
      <x:c r="F6368" s="6" t="str">
        <x:v>入聲十藥</x:v>
      </x:c>
      <x:c r="G6368" s="6" t="str">
        <x:v>Pingshui main list, Wikisource-derived DOCX</x:v>
      </x:c>
      <x:c r="H6368" s="6" t="str"/>
      <x:c r="I6368" s="6" t="str">
        <x:v>Lu Qinli gap fill from Pingshui main list; 詞 entries ignored</x:v>
      </x:c>
      <x:c r="J6368" s="6" t="str">
        <x:f>IF(B6368="","",IF(AND(ISNUMBER(SEARCH("平",B6368)),OR(ISNUMBER(SEARCH("上",B6368)),ISNUMBER(SEARCH("去",B6368)),ISNUMBER(SEARCH("入",B6368)))),"Ambiguous",IF(ISNUMBER(SEARCH("平",B6368)),"平","仄")))</x:f>
        <x:v>仄</x:v>
      </x:c>
      <x:c r="K6368" s="6" t="str">
        <x:f>IF(D6368="","",IF(AND(ISNUMBER(SEARCH("平",D6368)),OR(ISNUMBER(SEARCH("上",D6368)),ISNUMBER(SEARCH("去",D6368)),ISNUMBER(SEARCH("入",D6368)))),"Ambiguous",IF(ISNUMBER(SEARCH("平",D6368)),"平","仄")))</x:f>
        <x:v>仄</x:v>
      </x:c>
      <x:c r="L6368" s="7" t="str">
        <x:v>Pingshui main list, Lu Qinli gap fill</x:v>
      </x:c>
    </x:row>
    <x:row r="6369">
      <x:c r="A6369" s="5" t="str">
        <x:v>靆</x:v>
      </x:c>
      <x:c r="B6369" s="6" t="str">
        <x:v>去</x:v>
      </x:c>
      <x:c r="C6369" s="6" t="str">
        <x:f>IF(B6369="","Needs decision","Ready")</x:f>
        <x:v>Ready</x:v>
      </x:c>
      <x:c r="D6369" s="6" t="str">
        <x:v>去</x:v>
      </x:c>
      <x:c r="E6369" s="6" t="str"/>
      <x:c r="F6369" s="6" t="str">
        <x:v>去聲十一隊</x:v>
      </x:c>
      <x:c r="G6369" s="6" t="str">
        <x:v>Pingshui main list, Wikisource-derived DOCX</x:v>
      </x:c>
      <x:c r="H6369" s="6" t="str"/>
      <x:c r="I6369" s="6" t="str">
        <x:v>Lu Qinli gap fill from Pingshui main list; 詞 entries ignored</x:v>
      </x:c>
      <x:c r="J6369" s="6" t="str">
        <x:f>IF(B6369="","",IF(AND(ISNUMBER(SEARCH("平",B6369)),OR(ISNUMBER(SEARCH("上",B6369)),ISNUMBER(SEARCH("去",B6369)),ISNUMBER(SEARCH("入",B6369)))),"Ambiguous",IF(ISNUMBER(SEARCH("平",B6369)),"平","仄")))</x:f>
        <x:v>仄</x:v>
      </x:c>
      <x:c r="K6369" s="6" t="str">
        <x:f>IF(D6369="","",IF(AND(ISNUMBER(SEARCH("平",D6369)),OR(ISNUMBER(SEARCH("上",D6369)),ISNUMBER(SEARCH("去",D6369)),ISNUMBER(SEARCH("入",D6369)))),"Ambiguous",IF(ISNUMBER(SEARCH("平",D6369)),"平","仄")))</x:f>
        <x:v>仄</x:v>
      </x:c>
      <x:c r="L6369" s="7" t="str">
        <x:v>Pingshui main list, Lu Qinli gap fill</x:v>
      </x:c>
    </x:row>
    <x:row r="6370">
      <x:c r="A6370" s="5" t="str">
        <x:v>靉</x:v>
      </x:c>
      <x:c r="B6370" s="6" t="str">
        <x:v>去</x:v>
      </x:c>
      <x:c r="C6370" s="6" t="str">
        <x:f>IF(B6370="","Needs decision","Ready")</x:f>
        <x:v>Ready</x:v>
      </x:c>
      <x:c r="D6370" s="6" t="str">
        <x:v>去</x:v>
      </x:c>
      <x:c r="E6370" s="6" t="str"/>
      <x:c r="F6370" s="6" t="str">
        <x:v>去聲十一隊</x:v>
      </x:c>
      <x:c r="G6370" s="6" t="str">
        <x:v>Pingshui main list, Wikisource-derived DOCX</x:v>
      </x:c>
      <x:c r="H6370" s="6" t="str"/>
      <x:c r="I6370" s="6" t="str">
        <x:v>Lu Qinli gap fill from Pingshui main list; 詞 entries ignored</x:v>
      </x:c>
      <x:c r="J6370" s="6" t="str">
        <x:f>IF(B6370="","",IF(AND(ISNUMBER(SEARCH("平",B6370)),OR(ISNUMBER(SEARCH("上",B6370)),ISNUMBER(SEARCH("去",B6370)),ISNUMBER(SEARCH("入",B6370)))),"Ambiguous",IF(ISNUMBER(SEARCH("平",B6370)),"平","仄")))</x:f>
        <x:v>仄</x:v>
      </x:c>
      <x:c r="K6370" s="6" t="str">
        <x:f>IF(D6370="","",IF(AND(ISNUMBER(SEARCH("平",D6370)),OR(ISNUMBER(SEARCH("上",D6370)),ISNUMBER(SEARCH("去",D6370)),ISNUMBER(SEARCH("入",D6370)))),"Ambiguous",IF(ISNUMBER(SEARCH("平",D6370)),"平","仄")))</x:f>
        <x:v>仄</x:v>
      </x:c>
      <x:c r="L6370" s="7" t="str">
        <x:v>Pingshui main list, Lu Qinli gap fill</x:v>
      </x:c>
    </x:row>
    <x:row r="6371">
      <x:c r="A6371" s="5" t="str">
        <x:v>靚</x:v>
      </x:c>
      <x:c r="B6371" s="6" t="str"/>
      <x:c r="C6371" s="6" t="str">
        <x:f>IF(B6371="","Needs decision","Ready")</x:f>
        <x:v>Needs decision</x:v>
      </x:c>
      <x:c r="D6371" s="6" t="str">
        <x:v>上/去</x:v>
      </x:c>
      <x:c r="E6371" s="6" t="str"/>
      <x:c r="F6371" s="6" t="str">
        <x:v>上聲二十三梗; 去聲二十四敬</x:v>
      </x:c>
      <x:c r="G6371" s="6" t="str">
        <x:v>Pingshui main list, Wikisource-derived DOCX</x:v>
      </x:c>
      <x:c r="H6371" s="6" t="str"/>
      <x:c r="I6371" s="6" t="str">
        <x:v>Lu Qinli gap fill from Pingshui main list; 詞 entries ignored</x:v>
      </x:c>
      <x:c r="J6371" s="6" t="str">
        <x:f>IF(B6371="","",IF(AND(ISNUMBER(SEARCH("平",B6371)),OR(ISNUMBER(SEARCH("上",B6371)),ISNUMBER(SEARCH("去",B6371)),ISNUMBER(SEARCH("入",B6371)))),"Ambiguous",IF(ISNUMBER(SEARCH("平",B6371)),"平","仄")))</x:f>
      </x:c>
      <x:c r="K6371" s="6" t="str">
        <x:f>IF(D6371="","",IF(AND(ISNUMBER(SEARCH("平",D6371)),OR(ISNUMBER(SEARCH("上",D6371)),ISNUMBER(SEARCH("去",D6371)),ISNUMBER(SEARCH("入",D6371)))),"Ambiguous",IF(ISNUMBER(SEARCH("平",D6371)),"平","仄")))</x:f>
        <x:v>仄</x:v>
      </x:c>
      <x:c r="L6371" s="7" t="str">
        <x:v>Pingshui main list, Lu Qinli gap fill</x:v>
      </x:c>
    </x:row>
    <x:row r="6372">
      <x:c r="A6372" s="5" t="str">
        <x:v>靠</x:v>
      </x:c>
      <x:c r="B6372" s="6" t="str">
        <x:v>去</x:v>
      </x:c>
      <x:c r="C6372" s="6" t="str">
        <x:f>IF(B6372="","Needs decision","Ready")</x:f>
        <x:v>Ready</x:v>
      </x:c>
      <x:c r="D6372" s="6" t="str">
        <x:v>去</x:v>
      </x:c>
      <x:c r="E6372" s="6" t="str"/>
      <x:c r="F6372" s="6" t="str">
        <x:v>去聲二十號</x:v>
      </x:c>
      <x:c r="G6372" s="6" t="str">
        <x:v>Pingshui main list, Wikisource-derived DOCX</x:v>
      </x:c>
      <x:c r="H6372" s="6" t="str"/>
      <x:c r="I6372" s="6" t="str">
        <x:v>Lu Qinli gap fill from Pingshui main list; 詞 entries ignored</x:v>
      </x:c>
      <x:c r="J6372" s="6" t="str">
        <x:f>IF(B6372="","",IF(AND(ISNUMBER(SEARCH("平",B6372)),OR(ISNUMBER(SEARCH("上",B6372)),ISNUMBER(SEARCH("去",B6372)),ISNUMBER(SEARCH("入",B6372)))),"Ambiguous",IF(ISNUMBER(SEARCH("平",B6372)),"平","仄")))</x:f>
        <x:v>仄</x:v>
      </x:c>
      <x:c r="K6372" s="6" t="str">
        <x:f>IF(D6372="","",IF(AND(ISNUMBER(SEARCH("平",D6372)),OR(ISNUMBER(SEARCH("上",D6372)),ISNUMBER(SEARCH("去",D6372)),ISNUMBER(SEARCH("入",D6372)))),"Ambiguous",IF(ISNUMBER(SEARCH("平",D6372)),"平","仄")))</x:f>
        <x:v>仄</x:v>
      </x:c>
      <x:c r="L6372" s="7" t="str">
        <x:v>Pingshui main list, Lu Qinli gap fill</x:v>
      </x:c>
    </x:row>
    <x:row r="6373">
      <x:c r="A6373" s="5" t="str">
        <x:v>靦</x:v>
      </x:c>
      <x:c r="B6373" s="6" t="str">
        <x:v>上</x:v>
      </x:c>
      <x:c r="C6373" s="6" t="str">
        <x:f>IF(B6373="","Needs decision","Ready")</x:f>
        <x:v>Ready</x:v>
      </x:c>
      <x:c r="D6373" s="6" t="str">
        <x:v>上</x:v>
      </x:c>
      <x:c r="E6373" s="6" t="str"/>
      <x:c r="F6373" s="6" t="str">
        <x:v>上聲十六銑</x:v>
      </x:c>
      <x:c r="G6373" s="6" t="str">
        <x:v>Pingshui main list, Wikisource-derived DOCX</x:v>
      </x:c>
      <x:c r="H6373" s="6" t="str"/>
      <x:c r="I6373" s="6" t="str">
        <x:v>Lu Qinli gap fill from Pingshui main list; 詞 entries ignored</x:v>
      </x:c>
      <x:c r="J6373" s="6" t="str">
        <x:f>IF(B6373="","",IF(AND(ISNUMBER(SEARCH("平",B6373)),OR(ISNUMBER(SEARCH("上",B6373)),ISNUMBER(SEARCH("去",B6373)),ISNUMBER(SEARCH("入",B6373)))),"Ambiguous",IF(ISNUMBER(SEARCH("平",B6373)),"平","仄")))</x:f>
        <x:v>仄</x:v>
      </x:c>
      <x:c r="K6373" s="6" t="str">
        <x:f>IF(D6373="","",IF(AND(ISNUMBER(SEARCH("平",D6373)),OR(ISNUMBER(SEARCH("上",D6373)),ISNUMBER(SEARCH("去",D6373)),ISNUMBER(SEARCH("入",D6373)))),"Ambiguous",IF(ISNUMBER(SEARCH("平",D6373)),"平","仄")))</x:f>
        <x:v>仄</x:v>
      </x:c>
      <x:c r="L6373" s="7" t="str">
        <x:v>Pingshui main list, Lu Qinli gap fill</x:v>
      </x:c>
    </x:row>
    <x:row r="6374">
      <x:c r="A6374" s="5" t="str">
        <x:v>靨</x:v>
      </x:c>
      <x:c r="B6374" s="6" t="str">
        <x:v>入</x:v>
      </x:c>
      <x:c r="C6374" s="6" t="str">
        <x:f>IF(B6374="","Needs decision","Ready")</x:f>
        <x:v>Ready</x:v>
      </x:c>
      <x:c r="D6374" s="6" t="str">
        <x:v>入</x:v>
      </x:c>
      <x:c r="E6374" s="6" t="str"/>
      <x:c r="F6374" s="6" t="str">
        <x:v>入聲十六葉</x:v>
      </x:c>
      <x:c r="G6374" s="6" t="str">
        <x:v>Pingshui main list, Wikisource-derived DOCX</x:v>
      </x:c>
      <x:c r="H6374" s="6" t="str"/>
      <x:c r="I6374" s="6" t="str">
        <x:v>Lu Qinli gap fill from Pingshui main list; 詞 entries ignored</x:v>
      </x:c>
      <x:c r="J6374" s="6" t="str">
        <x:f>IF(B6374="","",IF(AND(ISNUMBER(SEARCH("平",B6374)),OR(ISNUMBER(SEARCH("上",B6374)),ISNUMBER(SEARCH("去",B6374)),ISNUMBER(SEARCH("入",B6374)))),"Ambiguous",IF(ISNUMBER(SEARCH("平",B6374)),"平","仄")))</x:f>
        <x:v>仄</x:v>
      </x:c>
      <x:c r="K6374" s="6" t="str">
        <x:f>IF(D6374="","",IF(AND(ISNUMBER(SEARCH("平",D6374)),OR(ISNUMBER(SEARCH("上",D6374)),ISNUMBER(SEARCH("去",D6374)),ISNUMBER(SEARCH("入",D6374)))),"Ambiguous",IF(ISNUMBER(SEARCH("平",D6374)),"平","仄")))</x:f>
        <x:v>仄</x:v>
      </x:c>
      <x:c r="L6374" s="7" t="str">
        <x:v>Pingshui main list, Lu Qinli gap fill</x:v>
      </x:c>
    </x:row>
    <x:row r="6375">
      <x:c r="A6375" s="5" t="str">
        <x:v>靮</x:v>
      </x:c>
      <x:c r="B6375" s="6" t="str">
        <x:v>入</x:v>
      </x:c>
      <x:c r="C6375" s="6" t="str">
        <x:f>IF(B6375="","Needs decision","Ready")</x:f>
        <x:v>Ready</x:v>
      </x:c>
      <x:c r="D6375" s="6" t="str">
        <x:v>入</x:v>
      </x:c>
      <x:c r="E6375" s="6" t="str"/>
      <x:c r="F6375" s="6" t="str">
        <x:v>入聲十二錫</x:v>
      </x:c>
      <x:c r="G6375" s="6" t="str">
        <x:v>Pingshui main list, Wikisource-derived DOCX</x:v>
      </x:c>
      <x:c r="H6375" s="6" t="str"/>
      <x:c r="I6375" s="6" t="str">
        <x:v>Lu Qinli gap fill from Pingshui main list; 詞 entries ignored</x:v>
      </x:c>
      <x:c r="J6375" s="6" t="str">
        <x:f>IF(B6375="","",IF(AND(ISNUMBER(SEARCH("平",B6375)),OR(ISNUMBER(SEARCH("上",B6375)),ISNUMBER(SEARCH("去",B6375)),ISNUMBER(SEARCH("入",B6375)))),"Ambiguous",IF(ISNUMBER(SEARCH("平",B6375)),"平","仄")))</x:f>
        <x:v>仄</x:v>
      </x:c>
      <x:c r="K6375" s="6" t="str">
        <x:f>IF(D6375="","",IF(AND(ISNUMBER(SEARCH("平",D6375)),OR(ISNUMBER(SEARCH("上",D6375)),ISNUMBER(SEARCH("去",D6375)),ISNUMBER(SEARCH("入",D6375)))),"Ambiguous",IF(ISNUMBER(SEARCH("平",D6375)),"平","仄")))</x:f>
        <x:v>仄</x:v>
      </x:c>
      <x:c r="L6375" s="7" t="str">
        <x:v>Pingshui main list, Lu Qinli gap fill</x:v>
      </x:c>
    </x:row>
    <x:row r="6376">
      <x:c r="A6376" s="5" t="str">
        <x:v>靶</x:v>
      </x:c>
      <x:c r="B6376" s="6" t="str">
        <x:v>去</x:v>
      </x:c>
      <x:c r="C6376" s="6" t="str">
        <x:f>IF(B6376="","Needs decision","Ready")</x:f>
        <x:v>Ready</x:v>
      </x:c>
      <x:c r="D6376" s="6" t="str">
        <x:v>去</x:v>
      </x:c>
      <x:c r="E6376" s="6" t="str"/>
      <x:c r="F6376" s="6" t="str">
        <x:v>去聲二十二禡</x:v>
      </x:c>
      <x:c r="G6376" s="6" t="str">
        <x:v>Pingshui main list, Wikisource-derived DOCX</x:v>
      </x:c>
      <x:c r="H6376" s="6" t="str"/>
      <x:c r="I6376" s="6" t="str">
        <x:v>Lu Qinli gap fill from Pingshui main list; 詞 entries ignored</x:v>
      </x:c>
      <x:c r="J6376" s="6" t="str">
        <x:f>IF(B6376="","",IF(AND(ISNUMBER(SEARCH("平",B6376)),OR(ISNUMBER(SEARCH("上",B6376)),ISNUMBER(SEARCH("去",B6376)),ISNUMBER(SEARCH("入",B6376)))),"Ambiguous",IF(ISNUMBER(SEARCH("平",B6376)),"平","仄")))</x:f>
        <x:v>仄</x:v>
      </x:c>
      <x:c r="K6376" s="6" t="str">
        <x:f>IF(D6376="","",IF(AND(ISNUMBER(SEARCH("平",D6376)),OR(ISNUMBER(SEARCH("上",D6376)),ISNUMBER(SEARCH("去",D6376)),ISNUMBER(SEARCH("入",D6376)))),"Ambiguous",IF(ISNUMBER(SEARCH("平",D6376)),"平","仄")))</x:f>
        <x:v>仄</x:v>
      </x:c>
      <x:c r="L6376" s="7" t="str">
        <x:v>Pingshui main list, Lu Qinli gap fill</x:v>
      </x:c>
    </x:row>
    <x:row r="6377">
      <x:c r="A6377" s="5" t="str">
        <x:v>靷</x:v>
      </x:c>
      <x:c r="B6377" s="6" t="str"/>
      <x:c r="C6377" s="6" t="str">
        <x:f>IF(B6377="","Needs decision","Ready")</x:f>
        <x:v>Needs decision</x:v>
      </x:c>
      <x:c r="D6377" s="6" t="str">
        <x:v>上/去</x:v>
      </x:c>
      <x:c r="E6377" s="6" t="str"/>
      <x:c r="F6377" s="6" t="str">
        <x:v>上聲十一軫; 去聲十二震</x:v>
      </x:c>
      <x:c r="G6377" s="6" t="str">
        <x:v>Pingshui main list, Wikisource-derived DOCX</x:v>
      </x:c>
      <x:c r="H6377" s="6" t="str"/>
      <x:c r="I6377" s="6" t="str">
        <x:v>Lu Qinli gap fill from Pingshui main list; 詞 entries ignored</x:v>
      </x:c>
      <x:c r="J6377" s="6" t="str">
        <x:f>IF(B6377="","",IF(AND(ISNUMBER(SEARCH("平",B6377)),OR(ISNUMBER(SEARCH("上",B6377)),ISNUMBER(SEARCH("去",B6377)),ISNUMBER(SEARCH("入",B6377)))),"Ambiguous",IF(ISNUMBER(SEARCH("平",B6377)),"平","仄")))</x:f>
      </x:c>
      <x:c r="K6377" s="6" t="str">
        <x:f>IF(D6377="","",IF(AND(ISNUMBER(SEARCH("平",D6377)),OR(ISNUMBER(SEARCH("上",D6377)),ISNUMBER(SEARCH("去",D6377)),ISNUMBER(SEARCH("入",D6377)))),"Ambiguous",IF(ISNUMBER(SEARCH("平",D6377)),"平","仄")))</x:f>
        <x:v>仄</x:v>
      </x:c>
      <x:c r="L6377" s="7" t="str">
        <x:v>Pingshui main list, Lu Qinli gap fill</x:v>
      </x:c>
    </x:row>
    <x:row r="6378">
      <x:c r="A6378" s="5" t="str">
        <x:v>鞅</x:v>
      </x:c>
      <x:c r="B6378" s="6" t="str">
        <x:v>上</x:v>
      </x:c>
      <x:c r="C6378" s="6" t="str">
        <x:f>IF(B6378="","Needs decision","Ready")</x:f>
        <x:v>Ready</x:v>
      </x:c>
      <x:c r="D6378" s="6" t="str">
        <x:v>上</x:v>
      </x:c>
      <x:c r="E6378" s="6" t="str"/>
      <x:c r="F6378" s="6" t="str">
        <x:v>上聲二十二養</x:v>
      </x:c>
      <x:c r="G6378" s="6" t="str">
        <x:v>Pingshui main list, Wikisource-derived DOCX</x:v>
      </x:c>
      <x:c r="H6378" s="6" t="str"/>
      <x:c r="I6378" s="6" t="str">
        <x:v>Lu Qinli gap fill from Pingshui main list; 詞 entries ignored</x:v>
      </x:c>
      <x:c r="J6378" s="6" t="str">
        <x:f>IF(B6378="","",IF(AND(ISNUMBER(SEARCH("平",B6378)),OR(ISNUMBER(SEARCH("上",B6378)),ISNUMBER(SEARCH("去",B6378)),ISNUMBER(SEARCH("入",B6378)))),"Ambiguous",IF(ISNUMBER(SEARCH("平",B6378)),"平","仄")))</x:f>
        <x:v>仄</x:v>
      </x:c>
      <x:c r="K6378" s="6" t="str">
        <x:f>IF(D6378="","",IF(AND(ISNUMBER(SEARCH("平",D6378)),OR(ISNUMBER(SEARCH("上",D6378)),ISNUMBER(SEARCH("去",D6378)),ISNUMBER(SEARCH("入",D6378)))),"Ambiguous",IF(ISNUMBER(SEARCH("平",D6378)),"平","仄")))</x:f>
        <x:v>仄</x:v>
      </x:c>
      <x:c r="L6378" s="7" t="str">
        <x:v>Pingshui main list, Lu Qinli gap fill</x:v>
      </x:c>
    </x:row>
    <x:row r="6379">
      <x:c r="A6379" s="5" t="str">
        <x:v>鞘</x:v>
      </x:c>
      <x:c r="B6379" s="6" t="str">
        <x:v>平</x:v>
      </x:c>
      <x:c r="C6379" s="6" t="str">
        <x:f>IF(B6379="","Needs decision","Ready")</x:f>
        <x:v>Ready</x:v>
      </x:c>
      <x:c r="D6379" s="6" t="str">
        <x:v>平</x:v>
      </x:c>
      <x:c r="E6379" s="6" t="str"/>
      <x:c r="F6379" s="6" t="str">
        <x:v>下平聲三肴</x:v>
      </x:c>
      <x:c r="G6379" s="6" t="str">
        <x:v>Pingshui main list, Wikisource-derived DOCX</x:v>
      </x:c>
      <x:c r="H6379" s="6" t="str"/>
      <x:c r="I6379" s="6" t="str">
        <x:v>Lu Qinli gap fill from Pingshui main list; 詞 entries ignored</x:v>
      </x:c>
      <x:c r="J6379" s="6" t="str">
        <x:f>IF(B6379="","",IF(AND(ISNUMBER(SEARCH("平",B6379)),OR(ISNUMBER(SEARCH("上",B6379)),ISNUMBER(SEARCH("去",B6379)),ISNUMBER(SEARCH("入",B6379)))),"Ambiguous",IF(ISNUMBER(SEARCH("平",B6379)),"平","仄")))</x:f>
        <x:v>平</x:v>
      </x:c>
      <x:c r="K6379" s="6" t="str">
        <x:f>IF(D6379="","",IF(AND(ISNUMBER(SEARCH("平",D6379)),OR(ISNUMBER(SEARCH("上",D6379)),ISNUMBER(SEARCH("去",D6379)),ISNUMBER(SEARCH("入",D6379)))),"Ambiguous",IF(ISNUMBER(SEARCH("平",D6379)),"平","仄")))</x:f>
        <x:v>平</x:v>
      </x:c>
      <x:c r="L6379" s="7" t="str">
        <x:v>Pingshui main list, Lu Qinli gap fill</x:v>
      </x:c>
    </x:row>
    <x:row r="6380">
      <x:c r="A6380" s="5" t="str">
        <x:v>鞞</x:v>
      </x:c>
      <x:c r="B6380" s="6" t="str">
        <x:v>上</x:v>
      </x:c>
      <x:c r="C6380" s="6" t="str">
        <x:f>IF(B6380="","Needs decision","Ready")</x:f>
        <x:v>Ready</x:v>
      </x:c>
      <x:c r="D6380" s="6" t="str">
        <x:v>上</x:v>
      </x:c>
      <x:c r="E6380" s="6" t="str"/>
      <x:c r="F6380" s="6" t="str">
        <x:v>上聲四紙</x:v>
      </x:c>
      <x:c r="G6380" s="6" t="str">
        <x:v>Pingshui main list, Wikisource-derived DOCX</x:v>
      </x:c>
      <x:c r="H6380" s="6" t="str"/>
      <x:c r="I6380" s="6" t="str">
        <x:v>Lu Qinli gap fill from Pingshui main list; 詞 entries ignored</x:v>
      </x:c>
      <x:c r="J6380" s="6" t="str">
        <x:f>IF(B6380="","",IF(AND(ISNUMBER(SEARCH("平",B6380)),OR(ISNUMBER(SEARCH("上",B6380)),ISNUMBER(SEARCH("去",B6380)),ISNUMBER(SEARCH("入",B6380)))),"Ambiguous",IF(ISNUMBER(SEARCH("平",B6380)),"平","仄")))</x:f>
        <x:v>仄</x:v>
      </x:c>
      <x:c r="K6380" s="6" t="str">
        <x:f>IF(D6380="","",IF(AND(ISNUMBER(SEARCH("平",D6380)),OR(ISNUMBER(SEARCH("上",D6380)),ISNUMBER(SEARCH("去",D6380)),ISNUMBER(SEARCH("入",D6380)))),"Ambiguous",IF(ISNUMBER(SEARCH("平",D6380)),"平","仄")))</x:f>
        <x:v>仄</x:v>
      </x:c>
      <x:c r="L6380" s="7" t="str">
        <x:v>Pingshui main list, Lu Qinli gap fill</x:v>
      </x:c>
    </x:row>
    <x:row r="6381">
      <x:c r="A6381" s="5" t="str">
        <x:v>鞦</x:v>
      </x:c>
      <x:c r="B6381" s="6" t="str">
        <x:v>平</x:v>
      </x:c>
      <x:c r="C6381" s="6" t="str">
        <x:f>IF(B6381="","Needs decision","Ready")</x:f>
        <x:v>Ready</x:v>
      </x:c>
      <x:c r="D6381" s="6" t="str">
        <x:v>平</x:v>
      </x:c>
      <x:c r="E6381" s="6" t="str"/>
      <x:c r="F6381" s="6" t="str">
        <x:v>下平聲十一尤</x:v>
      </x:c>
      <x:c r="G6381" s="6" t="str">
        <x:v>Pingshui main list, Wikisource-derived DOCX</x:v>
      </x:c>
      <x:c r="H6381" s="6" t="str"/>
      <x:c r="I6381" s="6" t="str">
        <x:v>Lu Qinli gap fill from Pingshui main list; 詞 entries ignored</x:v>
      </x:c>
      <x:c r="J6381" s="6" t="str">
        <x:f>IF(B6381="","",IF(AND(ISNUMBER(SEARCH("平",B6381)),OR(ISNUMBER(SEARCH("上",B6381)),ISNUMBER(SEARCH("去",B6381)),ISNUMBER(SEARCH("入",B6381)))),"Ambiguous",IF(ISNUMBER(SEARCH("平",B6381)),"平","仄")))</x:f>
        <x:v>平</x:v>
      </x:c>
      <x:c r="K6381" s="6" t="str">
        <x:f>IF(D6381="","",IF(AND(ISNUMBER(SEARCH("平",D6381)),OR(ISNUMBER(SEARCH("上",D6381)),ISNUMBER(SEARCH("去",D6381)),ISNUMBER(SEARCH("入",D6381)))),"Ambiguous",IF(ISNUMBER(SEARCH("平",D6381)),"平","仄")))</x:f>
        <x:v>平</x:v>
      </x:c>
      <x:c r="L6381" s="7" t="str">
        <x:v>Pingshui main list, Lu Qinli gap fill</x:v>
      </x:c>
    </x:row>
    <x:row r="6382">
      <x:c r="A6382" s="5" t="str">
        <x:v>鞬</x:v>
      </x:c>
      <x:c r="B6382" s="6" t="str"/>
      <x:c r="C6382" s="6" t="str">
        <x:f>IF(B6382="","Needs decision","Ready")</x:f>
        <x:v>Needs decision</x:v>
      </x:c>
      <x:c r="D6382" s="6" t="str">
        <x:v>平/上</x:v>
      </x:c>
      <x:c r="E6382" s="6" t="str"/>
      <x:c r="F6382" s="6" t="str">
        <x:v>上平聲十三元; 上聲十六銑</x:v>
      </x:c>
      <x:c r="G6382" s="6" t="str">
        <x:v>Pingshui main list, Wikisource-derived DOCX</x:v>
      </x:c>
      <x:c r="H6382" s="6" t="str"/>
      <x:c r="I6382" s="6" t="str">
        <x:v>Lu Qinli gap fill from Pingshui main list; 詞 entries ignored</x:v>
      </x:c>
      <x:c r="J6382" s="6" t="str">
        <x:f>IF(B6382="","",IF(AND(ISNUMBER(SEARCH("平",B6382)),OR(ISNUMBER(SEARCH("上",B6382)),ISNUMBER(SEARCH("去",B6382)),ISNUMBER(SEARCH("入",B6382)))),"Ambiguous",IF(ISNUMBER(SEARCH("平",B6382)),"平","仄")))</x:f>
      </x:c>
      <x:c r="K6382" s="6" t="str">
        <x:f>IF(D6382="","",IF(AND(ISNUMBER(SEARCH("平",D6382)),OR(ISNUMBER(SEARCH("上",D6382)),ISNUMBER(SEARCH("去",D6382)),ISNUMBER(SEARCH("入",D6382)))),"Ambiguous",IF(ISNUMBER(SEARCH("平",D6382)),"平","仄")))</x:f>
        <x:v>Ambiguous</x:v>
      </x:c>
      <x:c r="L6382" s="7" t="str">
        <x:v>Pingshui main list, Lu Qinli gap fill</x:v>
      </x:c>
    </x:row>
    <x:row r="6383">
      <x:c r="A6383" s="5" t="str">
        <x:v>鞮</x:v>
      </x:c>
      <x:c r="B6383" s="6" t="str">
        <x:v>平</x:v>
      </x:c>
      <x:c r="C6383" s="6" t="str">
        <x:f>IF(B6383="","Needs decision","Ready")</x:f>
        <x:v>Ready</x:v>
      </x:c>
      <x:c r="D6383" s="6" t="str">
        <x:v>平</x:v>
      </x:c>
      <x:c r="E6383" s="6" t="str"/>
      <x:c r="F6383" s="6" t="str">
        <x:v>上平聲八齊</x:v>
      </x:c>
      <x:c r="G6383" s="6" t="str">
        <x:v>Pingshui main list, Wikisource-derived DOCX</x:v>
      </x:c>
      <x:c r="H6383" s="6" t="str"/>
      <x:c r="I6383" s="6" t="str">
        <x:v>Lu Qinli gap fill from Pingshui main list; 詞 entries ignored</x:v>
      </x:c>
      <x:c r="J6383" s="6" t="str">
        <x:f>IF(B6383="","",IF(AND(ISNUMBER(SEARCH("平",B6383)),OR(ISNUMBER(SEARCH("上",B6383)),ISNUMBER(SEARCH("去",B6383)),ISNUMBER(SEARCH("入",B6383)))),"Ambiguous",IF(ISNUMBER(SEARCH("平",B6383)),"平","仄")))</x:f>
        <x:v>平</x:v>
      </x:c>
      <x:c r="K6383" s="6" t="str">
        <x:f>IF(D6383="","",IF(AND(ISNUMBER(SEARCH("平",D6383)),OR(ISNUMBER(SEARCH("上",D6383)),ISNUMBER(SEARCH("去",D6383)),ISNUMBER(SEARCH("入",D6383)))),"Ambiguous",IF(ISNUMBER(SEARCH("平",D6383)),"平","仄")))</x:f>
        <x:v>平</x:v>
      </x:c>
      <x:c r="L6383" s="7" t="str">
        <x:v>Pingshui main list, Lu Qinli gap fill</x:v>
      </x:c>
    </x:row>
    <x:row r="6384">
      <x:c r="A6384" s="5" t="str">
        <x:v>鞶</x:v>
      </x:c>
      <x:c r="B6384" s="6" t="str">
        <x:v>平</x:v>
      </x:c>
      <x:c r="C6384" s="6" t="str">
        <x:f>IF(B6384="","Needs decision","Ready")</x:f>
        <x:v>Ready</x:v>
      </x:c>
      <x:c r="D6384" s="6" t="str">
        <x:v>平</x:v>
      </x:c>
      <x:c r="E6384" s="6" t="str"/>
      <x:c r="F6384" s="6" t="str">
        <x:v>上平聲十四寒</x:v>
      </x:c>
      <x:c r="G6384" s="6" t="str">
        <x:v>Pingshui main list, Wikisource-derived DOCX</x:v>
      </x:c>
      <x:c r="H6384" s="6" t="str"/>
      <x:c r="I6384" s="6" t="str">
        <x:v>Lu Qinli gap fill from Pingshui main list; 詞 entries ignored</x:v>
      </x:c>
      <x:c r="J6384" s="6" t="str">
        <x:f>IF(B6384="","",IF(AND(ISNUMBER(SEARCH("平",B6384)),OR(ISNUMBER(SEARCH("上",B6384)),ISNUMBER(SEARCH("去",B6384)),ISNUMBER(SEARCH("入",B6384)))),"Ambiguous",IF(ISNUMBER(SEARCH("平",B6384)),"平","仄")))</x:f>
        <x:v>平</x:v>
      </x:c>
      <x:c r="K6384" s="6" t="str">
        <x:f>IF(D6384="","",IF(AND(ISNUMBER(SEARCH("平",D6384)),OR(ISNUMBER(SEARCH("上",D6384)),ISNUMBER(SEARCH("去",D6384)),ISNUMBER(SEARCH("入",D6384)))),"Ambiguous",IF(ISNUMBER(SEARCH("平",D6384)),"平","仄")))</x:f>
        <x:v>平</x:v>
      </x:c>
      <x:c r="L6384" s="7" t="str">
        <x:v>Pingshui main list, Lu Qinli gap fill</x:v>
      </x:c>
    </x:row>
    <x:row r="6385">
      <x:c r="A6385" s="5" t="str">
        <x:v>韉</x:v>
      </x:c>
      <x:c r="B6385" s="6" t="str">
        <x:v>平</x:v>
      </x:c>
      <x:c r="C6385" s="6" t="str">
        <x:f>IF(B6385="","Needs decision","Ready")</x:f>
        <x:v>Ready</x:v>
      </x:c>
      <x:c r="D6385" s="6" t="str">
        <x:v>平</x:v>
      </x:c>
      <x:c r="E6385" s="6" t="str"/>
      <x:c r="F6385" s="6" t="str">
        <x:v>下平聲一先</x:v>
      </x:c>
      <x:c r="G6385" s="6" t="str">
        <x:v>Pingshui main list, Wikisource-derived DOCX</x:v>
      </x:c>
      <x:c r="H6385" s="6" t="str"/>
      <x:c r="I6385" s="6" t="str">
        <x:v>Lu Qinli gap fill from Pingshui main list; 詞 entries ignored</x:v>
      </x:c>
      <x:c r="J6385" s="6" t="str">
        <x:f>IF(B6385="","",IF(AND(ISNUMBER(SEARCH("平",B6385)),OR(ISNUMBER(SEARCH("上",B6385)),ISNUMBER(SEARCH("去",B6385)),ISNUMBER(SEARCH("入",B6385)))),"Ambiguous",IF(ISNUMBER(SEARCH("平",B6385)),"平","仄")))</x:f>
        <x:v>平</x:v>
      </x:c>
      <x:c r="K6385" s="6" t="str">
        <x:f>IF(D6385="","",IF(AND(ISNUMBER(SEARCH("平",D6385)),OR(ISNUMBER(SEARCH("上",D6385)),ISNUMBER(SEARCH("去",D6385)),ISNUMBER(SEARCH("入",D6385)))),"Ambiguous",IF(ISNUMBER(SEARCH("平",D6385)),"平","仄")))</x:f>
        <x:v>平</x:v>
      </x:c>
      <x:c r="L6385" s="7" t="str">
        <x:v>Pingshui main list, Lu Qinli gap fill</x:v>
      </x:c>
    </x:row>
    <x:row r="6386">
      <x:c r="A6386" s="5" t="str">
        <x:v>韙</x:v>
      </x:c>
      <x:c r="B6386" s="6" t="str">
        <x:v>上</x:v>
      </x:c>
      <x:c r="C6386" s="6" t="str">
        <x:f>IF(B6386="","Needs decision","Ready")</x:f>
        <x:v>Ready</x:v>
      </x:c>
      <x:c r="D6386" s="6" t="str">
        <x:v>上</x:v>
      </x:c>
      <x:c r="E6386" s="6" t="str"/>
      <x:c r="F6386" s="6" t="str">
        <x:v>上聲五尾</x:v>
      </x:c>
      <x:c r="G6386" s="6" t="str">
        <x:v>Pingshui main list, Wikisource-derived DOCX</x:v>
      </x:c>
      <x:c r="H6386" s="6" t="str"/>
      <x:c r="I6386" s="6" t="str">
        <x:v>Lu Qinli gap fill from Pingshui main list; 詞 entries ignored</x:v>
      </x:c>
      <x:c r="J6386" s="6" t="str">
        <x:f>IF(B6386="","",IF(AND(ISNUMBER(SEARCH("平",B6386)),OR(ISNUMBER(SEARCH("上",B6386)),ISNUMBER(SEARCH("去",B6386)),ISNUMBER(SEARCH("入",B6386)))),"Ambiguous",IF(ISNUMBER(SEARCH("平",B6386)),"平","仄")))</x:f>
        <x:v>仄</x:v>
      </x:c>
      <x:c r="K6386" s="6" t="str">
        <x:f>IF(D6386="","",IF(AND(ISNUMBER(SEARCH("平",D6386)),OR(ISNUMBER(SEARCH("上",D6386)),ISNUMBER(SEARCH("去",D6386)),ISNUMBER(SEARCH("入",D6386)))),"Ambiguous",IF(ISNUMBER(SEARCH("平",D6386)),"平","仄")))</x:f>
        <x:v>仄</x:v>
      </x:c>
      <x:c r="L6386" s="7" t="str">
        <x:v>Pingshui main list, Lu Qinli gap fill</x:v>
      </x:c>
    </x:row>
    <x:row r="6387">
      <x:c r="A6387" s="5" t="str">
        <x:v>韜</x:v>
      </x:c>
      <x:c r="B6387" s="6" t="str">
        <x:v>平</x:v>
      </x:c>
      <x:c r="C6387" s="6" t="str">
        <x:f>IF(B6387="","Needs decision","Ready")</x:f>
        <x:v>Ready</x:v>
      </x:c>
      <x:c r="D6387" s="6" t="str">
        <x:v>平</x:v>
      </x:c>
      <x:c r="E6387" s="6" t="str"/>
      <x:c r="F6387" s="6" t="str">
        <x:v>下平聲四豪</x:v>
      </x:c>
      <x:c r="G6387" s="6" t="str">
        <x:v>Pingshui main list, Wikisource-derived DOCX</x:v>
      </x:c>
      <x:c r="H6387" s="6" t="str"/>
      <x:c r="I6387" s="6" t="str">
        <x:v>Lu Qinli gap fill from Pingshui main list; 詞 entries ignored</x:v>
      </x:c>
      <x:c r="J6387" s="6" t="str">
        <x:f>IF(B6387="","",IF(AND(ISNUMBER(SEARCH("平",B6387)),OR(ISNUMBER(SEARCH("上",B6387)),ISNUMBER(SEARCH("去",B6387)),ISNUMBER(SEARCH("入",B6387)))),"Ambiguous",IF(ISNUMBER(SEARCH("平",B6387)),"平","仄")))</x:f>
        <x:v>平</x:v>
      </x:c>
      <x:c r="K6387" s="6" t="str">
        <x:f>IF(D6387="","",IF(AND(ISNUMBER(SEARCH("平",D6387)),OR(ISNUMBER(SEARCH("上",D6387)),ISNUMBER(SEARCH("去",D6387)),ISNUMBER(SEARCH("入",D6387)))),"Ambiguous",IF(ISNUMBER(SEARCH("平",D6387)),"平","仄")))</x:f>
        <x:v>平</x:v>
      </x:c>
      <x:c r="L6387" s="7" t="str">
        <x:v>Pingshui main list, Lu Qinli gap fill</x:v>
      </x:c>
    </x:row>
    <x:row r="6388">
      <x:c r="A6388" s="5" t="str">
        <x:v>韝</x:v>
      </x:c>
      <x:c r="B6388" s="6" t="str">
        <x:v>平</x:v>
      </x:c>
      <x:c r="C6388" s="6" t="str">
        <x:f>IF(B6388="","Needs decision","Ready")</x:f>
        <x:v>Ready</x:v>
      </x:c>
      <x:c r="D6388" s="6" t="str">
        <x:v>平</x:v>
      </x:c>
      <x:c r="E6388" s="6" t="str"/>
      <x:c r="F6388" s="6" t="str">
        <x:v>下平聲十一尤</x:v>
      </x:c>
      <x:c r="G6388" s="6" t="str">
        <x:v>Pingshui main list, Wikisource-derived DOCX</x:v>
      </x:c>
      <x:c r="H6388" s="6" t="str"/>
      <x:c r="I6388" s="6" t="str">
        <x:v>Lu Qinli gap fill from Pingshui main list; 詞 entries ignored</x:v>
      </x:c>
      <x:c r="J6388" s="6" t="str">
        <x:f>IF(B6388="","",IF(AND(ISNUMBER(SEARCH("平",B6388)),OR(ISNUMBER(SEARCH("上",B6388)),ISNUMBER(SEARCH("去",B6388)),ISNUMBER(SEARCH("入",B6388)))),"Ambiguous",IF(ISNUMBER(SEARCH("平",B6388)),"平","仄")))</x:f>
        <x:v>平</x:v>
      </x:c>
      <x:c r="K6388" s="6" t="str">
        <x:f>IF(D6388="","",IF(AND(ISNUMBER(SEARCH("平",D6388)),OR(ISNUMBER(SEARCH("上",D6388)),ISNUMBER(SEARCH("去",D6388)),ISNUMBER(SEARCH("入",D6388)))),"Ambiguous",IF(ISNUMBER(SEARCH("平",D6388)),"平","仄")))</x:f>
        <x:v>平</x:v>
      </x:c>
      <x:c r="L6388" s="7" t="str">
        <x:v>Pingshui main list, Lu Qinli gap fill</x:v>
      </x:c>
    </x:row>
    <x:row r="6389">
      <x:c r="A6389" s="5" t="str">
        <x:v>韶</x:v>
      </x:c>
      <x:c r="B6389" s="6" t="str">
        <x:v>平</x:v>
      </x:c>
      <x:c r="C6389" s="6" t="str">
        <x:f>IF(B6389="","Needs decision","Ready")</x:f>
        <x:v>Ready</x:v>
      </x:c>
      <x:c r="D6389" s="6" t="str">
        <x:v>平</x:v>
      </x:c>
      <x:c r="E6389" s="6" t="str"/>
      <x:c r="F6389" s="6" t="str">
        <x:v>下平聲二蕭</x:v>
      </x:c>
      <x:c r="G6389" s="6" t="str">
        <x:v>Pingshui main list, Wikisource-derived DOCX</x:v>
      </x:c>
      <x:c r="H6389" s="6" t="str"/>
      <x:c r="I6389" s="6" t="str">
        <x:v>Lu Qinli gap fill from Pingshui main list; 詞 entries ignored</x:v>
      </x:c>
      <x:c r="J6389" s="6" t="str">
        <x:f>IF(B6389="","",IF(AND(ISNUMBER(SEARCH("平",B6389)),OR(ISNUMBER(SEARCH("上",B6389)),ISNUMBER(SEARCH("去",B6389)),ISNUMBER(SEARCH("入",B6389)))),"Ambiguous",IF(ISNUMBER(SEARCH("平",B6389)),"平","仄")))</x:f>
        <x:v>平</x:v>
      </x:c>
      <x:c r="K6389" s="6" t="str">
        <x:f>IF(D6389="","",IF(AND(ISNUMBER(SEARCH("平",D6389)),OR(ISNUMBER(SEARCH("上",D6389)),ISNUMBER(SEARCH("去",D6389)),ISNUMBER(SEARCH("入",D6389)))),"Ambiguous",IF(ISNUMBER(SEARCH("平",D6389)),"平","仄")))</x:f>
        <x:v>平</x:v>
      </x:c>
      <x:c r="L6389" s="7" t="str">
        <x:v>Pingshui main list, Lu Qinli gap fill</x:v>
      </x:c>
    </x:row>
    <x:row r="6390">
      <x:c r="A6390" s="5" t="str">
        <x:v>頀</x:v>
      </x:c>
      <x:c r="B6390" s="6" t="str">
        <x:v>去</x:v>
      </x:c>
      <x:c r="C6390" s="6" t="str">
        <x:f>IF(B6390="","Needs decision","Ready")</x:f>
        <x:v>Ready</x:v>
      </x:c>
      <x:c r="D6390" s="6" t="str">
        <x:v>去</x:v>
      </x:c>
      <x:c r="E6390" s="6" t="str"/>
      <x:c r="F6390" s="6" t="str">
        <x:v>去聲七遇</x:v>
      </x:c>
      <x:c r="G6390" s="6" t="str">
        <x:v>Pingshui main list, Wikisource-derived DOCX</x:v>
      </x:c>
      <x:c r="H6390" s="6" t="str"/>
      <x:c r="I6390" s="6" t="str">
        <x:v>Lu Qinli gap fill from Pingshui main list; 詞 entries ignored</x:v>
      </x:c>
      <x:c r="J6390" s="6" t="str">
        <x:f>IF(B6390="","",IF(AND(ISNUMBER(SEARCH("平",B6390)),OR(ISNUMBER(SEARCH("上",B6390)),ISNUMBER(SEARCH("去",B6390)),ISNUMBER(SEARCH("入",B6390)))),"Ambiguous",IF(ISNUMBER(SEARCH("平",B6390)),"平","仄")))</x:f>
        <x:v>仄</x:v>
      </x:c>
      <x:c r="K6390" s="6" t="str">
        <x:f>IF(D6390="","",IF(AND(ISNUMBER(SEARCH("平",D6390)),OR(ISNUMBER(SEARCH("上",D6390)),ISNUMBER(SEARCH("去",D6390)),ISNUMBER(SEARCH("入",D6390)))),"Ambiguous",IF(ISNUMBER(SEARCH("平",D6390)),"平","仄")))</x:f>
        <x:v>仄</x:v>
      </x:c>
      <x:c r="L6390" s="7" t="str">
        <x:v>Pingshui main list, Lu Qinli gap fill</x:v>
      </x:c>
    </x:row>
    <x:row r="6391">
      <x:c r="A6391" s="5" t="str">
        <x:v>頍</x:v>
      </x:c>
      <x:c r="B6391" s="6" t="str">
        <x:v>上</x:v>
      </x:c>
      <x:c r="C6391" s="6" t="str">
        <x:f>IF(B6391="","Needs decision","Ready")</x:f>
        <x:v>Ready</x:v>
      </x:c>
      <x:c r="D6391" s="6" t="str">
        <x:v>上</x:v>
      </x:c>
      <x:c r="E6391" s="6" t="str"/>
      <x:c r="F6391" s="6" t="str">
        <x:v>上聲四紙</x:v>
      </x:c>
      <x:c r="G6391" s="6" t="str">
        <x:v>Pingshui main list, Wikisource-derived DOCX</x:v>
      </x:c>
      <x:c r="H6391" s="6" t="str"/>
      <x:c r="I6391" s="6" t="str">
        <x:v>Lu Qinli gap fill from Pingshui main list; 詞 entries ignored</x:v>
      </x:c>
      <x:c r="J6391" s="6" t="str">
        <x:f>IF(B6391="","",IF(AND(ISNUMBER(SEARCH("平",B6391)),OR(ISNUMBER(SEARCH("上",B6391)),ISNUMBER(SEARCH("去",B6391)),ISNUMBER(SEARCH("入",B6391)))),"Ambiguous",IF(ISNUMBER(SEARCH("平",B6391)),"平","仄")))</x:f>
        <x:v>仄</x:v>
      </x:c>
      <x:c r="K6391" s="6" t="str">
        <x:f>IF(D6391="","",IF(AND(ISNUMBER(SEARCH("平",D6391)),OR(ISNUMBER(SEARCH("上",D6391)),ISNUMBER(SEARCH("去",D6391)),ISNUMBER(SEARCH("入",D6391)))),"Ambiguous",IF(ISNUMBER(SEARCH("平",D6391)),"平","仄")))</x:f>
        <x:v>仄</x:v>
      </x:c>
      <x:c r="L6391" s="7" t="str">
        <x:v>Pingshui main list, Lu Qinli gap fill</x:v>
      </x:c>
    </x:row>
    <x:row r="6392">
      <x:c r="A6392" s="5" t="str">
        <x:v>頎</x:v>
      </x:c>
      <x:c r="B6392" s="6" t="str">
        <x:v>平</x:v>
      </x:c>
      <x:c r="C6392" s="6" t="str">
        <x:f>IF(B6392="","Needs decision","Ready")</x:f>
        <x:v>Ready</x:v>
      </x:c>
      <x:c r="D6392" s="6" t="str">
        <x:v>平</x:v>
      </x:c>
      <x:c r="E6392" s="6" t="str"/>
      <x:c r="F6392" s="6" t="str">
        <x:v>上平聲五微</x:v>
      </x:c>
      <x:c r="G6392" s="6" t="str">
        <x:v>Pingshui main list, Wikisource-derived DOCX</x:v>
      </x:c>
      <x:c r="H6392" s="6" t="str"/>
      <x:c r="I6392" s="6" t="str">
        <x:v>Lu Qinli gap fill from Pingshui main list; 詞 entries ignored</x:v>
      </x:c>
      <x:c r="J6392" s="6" t="str">
        <x:f>IF(B6392="","",IF(AND(ISNUMBER(SEARCH("平",B6392)),OR(ISNUMBER(SEARCH("上",B6392)),ISNUMBER(SEARCH("去",B6392)),ISNUMBER(SEARCH("入",B6392)))),"Ambiguous",IF(ISNUMBER(SEARCH("平",B6392)),"平","仄")))</x:f>
        <x:v>平</x:v>
      </x:c>
      <x:c r="K6392" s="6" t="str">
        <x:f>IF(D6392="","",IF(AND(ISNUMBER(SEARCH("平",D6392)),OR(ISNUMBER(SEARCH("上",D6392)),ISNUMBER(SEARCH("去",D6392)),ISNUMBER(SEARCH("入",D6392)))),"Ambiguous",IF(ISNUMBER(SEARCH("平",D6392)),"平","仄")))</x:f>
        <x:v>平</x:v>
      </x:c>
      <x:c r="L6392" s="7" t="str">
        <x:v>Pingshui main list, Lu Qinli gap fill</x:v>
      </x:c>
    </x:row>
    <x:row r="6393">
      <x:c r="A6393" s="5" t="str">
        <x:v>頑</x:v>
      </x:c>
      <x:c r="B6393" s="6" t="str">
        <x:v>平</x:v>
      </x:c>
      <x:c r="C6393" s="6" t="str">
        <x:f>IF(B6393="","Needs decision","Ready")</x:f>
        <x:v>Ready</x:v>
      </x:c>
      <x:c r="D6393" s="6" t="str">
        <x:v>平</x:v>
      </x:c>
      <x:c r="E6393" s="6" t="str"/>
      <x:c r="F6393" s="6" t="str">
        <x:v>上平聲十五刪</x:v>
      </x:c>
      <x:c r="G6393" s="6" t="str">
        <x:v>Pingshui main list, Wikisource-derived DOCX</x:v>
      </x:c>
      <x:c r="H6393" s="6" t="str"/>
      <x:c r="I6393" s="6" t="str">
        <x:v>Lu Qinli gap fill from Pingshui main list; 詞 entries ignored</x:v>
      </x:c>
      <x:c r="J6393" s="6" t="str">
        <x:f>IF(B6393="","",IF(AND(ISNUMBER(SEARCH("平",B6393)),OR(ISNUMBER(SEARCH("上",B6393)),ISNUMBER(SEARCH("去",B6393)),ISNUMBER(SEARCH("入",B6393)))),"Ambiguous",IF(ISNUMBER(SEARCH("平",B6393)),"平","仄")))</x:f>
        <x:v>平</x:v>
      </x:c>
      <x:c r="K6393" s="6" t="str">
        <x:f>IF(D6393="","",IF(AND(ISNUMBER(SEARCH("平",D6393)),OR(ISNUMBER(SEARCH("上",D6393)),ISNUMBER(SEARCH("去",D6393)),ISNUMBER(SEARCH("入",D6393)))),"Ambiguous",IF(ISNUMBER(SEARCH("平",D6393)),"平","仄")))</x:f>
        <x:v>平</x:v>
      </x:c>
      <x:c r="L6393" s="7" t="str">
        <x:v>Pingshui main list, Lu Qinli gap fill</x:v>
      </x:c>
    </x:row>
    <x:row r="6394">
      <x:c r="A6394" s="5" t="str">
        <x:v>頡</x:v>
      </x:c>
      <x:c r="B6394" s="6" t="str">
        <x:v>入</x:v>
      </x:c>
      <x:c r="C6394" s="6" t="str">
        <x:f>IF(B6394="","Needs decision","Ready")</x:f>
        <x:v>Ready</x:v>
      </x:c>
      <x:c r="D6394" s="6" t="str">
        <x:v>入</x:v>
      </x:c>
      <x:c r="E6394" s="6" t="str"/>
      <x:c r="F6394" s="6" t="str">
        <x:v>入聲八黠; 入聲九屑</x:v>
      </x:c>
      <x:c r="G6394" s="6" t="str">
        <x:v>Pingshui main list, Wikisource-derived DOCX</x:v>
      </x:c>
      <x:c r="H6394" s="6" t="str"/>
      <x:c r="I6394" s="6" t="str">
        <x:v>Lu Qinli gap fill from Pingshui main list; 詞 entries ignored</x:v>
      </x:c>
      <x:c r="J6394" s="6" t="str">
        <x:f>IF(B6394="","",IF(AND(ISNUMBER(SEARCH("平",B6394)),OR(ISNUMBER(SEARCH("上",B6394)),ISNUMBER(SEARCH("去",B6394)),ISNUMBER(SEARCH("入",B6394)))),"Ambiguous",IF(ISNUMBER(SEARCH("平",B6394)),"平","仄")))</x:f>
        <x:v>仄</x:v>
      </x:c>
      <x:c r="K6394" s="6" t="str">
        <x:f>IF(D6394="","",IF(AND(ISNUMBER(SEARCH("平",D6394)),OR(ISNUMBER(SEARCH("上",D6394)),ISNUMBER(SEARCH("去",D6394)),ISNUMBER(SEARCH("入",D6394)))),"Ambiguous",IF(ISNUMBER(SEARCH("平",D6394)),"平","仄")))</x:f>
        <x:v>仄</x:v>
      </x:c>
      <x:c r="L6394" s="7" t="str">
        <x:v>Pingshui main list, Lu Qinli gap fill</x:v>
      </x:c>
    </x:row>
    <x:row r="6395">
      <x:c r="A6395" s="5" t="str">
        <x:v>頰</x:v>
      </x:c>
      <x:c r="B6395" s="6" t="str">
        <x:v>入</x:v>
      </x:c>
      <x:c r="C6395" s="6" t="str">
        <x:f>IF(B6395="","Needs decision","Ready")</x:f>
        <x:v>Ready</x:v>
      </x:c>
      <x:c r="D6395" s="6" t="str">
        <x:v>入</x:v>
      </x:c>
      <x:c r="E6395" s="6" t="str"/>
      <x:c r="F6395" s="6" t="str">
        <x:v>入聲十六葉</x:v>
      </x:c>
      <x:c r="G6395" s="6" t="str">
        <x:v>Pingshui main list, Wikisource-derived DOCX</x:v>
      </x:c>
      <x:c r="H6395" s="6" t="str"/>
      <x:c r="I6395" s="6" t="str">
        <x:v>Lu Qinli gap fill from Pingshui main list; 詞 entries ignored</x:v>
      </x:c>
      <x:c r="J6395" s="6" t="str">
        <x:f>IF(B6395="","",IF(AND(ISNUMBER(SEARCH("平",B6395)),OR(ISNUMBER(SEARCH("上",B6395)),ISNUMBER(SEARCH("去",B6395)),ISNUMBER(SEARCH("入",B6395)))),"Ambiguous",IF(ISNUMBER(SEARCH("平",B6395)),"平","仄")))</x:f>
        <x:v>仄</x:v>
      </x:c>
      <x:c r="K6395" s="6" t="str">
        <x:f>IF(D6395="","",IF(AND(ISNUMBER(SEARCH("平",D6395)),OR(ISNUMBER(SEARCH("上",D6395)),ISNUMBER(SEARCH("去",D6395)),ISNUMBER(SEARCH("入",D6395)))),"Ambiguous",IF(ISNUMBER(SEARCH("平",D6395)),"平","仄")))</x:f>
        <x:v>仄</x:v>
      </x:c>
      <x:c r="L6395" s="7" t="str">
        <x:v>Pingshui main list, Lu Qinli gap fill</x:v>
      </x:c>
    </x:row>
    <x:row r="6396">
      <x:c r="A6396" s="5" t="str">
        <x:v>顒</x:v>
      </x:c>
      <x:c r="B6396" s="6" t="str">
        <x:v>平</x:v>
      </x:c>
      <x:c r="C6396" s="6" t="str">
        <x:f>IF(B6396="","Needs decision","Ready")</x:f>
        <x:v>Ready</x:v>
      </x:c>
      <x:c r="D6396" s="6" t="str">
        <x:v>平</x:v>
      </x:c>
      <x:c r="E6396" s="6" t="str"/>
      <x:c r="F6396" s="6" t="str">
        <x:v>上平聲二冬</x:v>
      </x:c>
      <x:c r="G6396" s="6" t="str">
        <x:v>Pingshui main list, Wikisource-derived DOCX</x:v>
      </x:c>
      <x:c r="H6396" s="6" t="str"/>
      <x:c r="I6396" s="6" t="str">
        <x:v>Lu Qinli gap fill from Pingshui main list; 詞 entries ignored</x:v>
      </x:c>
      <x:c r="J6396" s="6" t="str">
        <x:f>IF(B6396="","",IF(AND(ISNUMBER(SEARCH("平",B6396)),OR(ISNUMBER(SEARCH("上",B6396)),ISNUMBER(SEARCH("去",B6396)),ISNUMBER(SEARCH("入",B6396)))),"Ambiguous",IF(ISNUMBER(SEARCH("平",B6396)),"平","仄")))</x:f>
        <x:v>平</x:v>
      </x:c>
      <x:c r="K6396" s="6" t="str">
        <x:f>IF(D6396="","",IF(AND(ISNUMBER(SEARCH("平",D6396)),OR(ISNUMBER(SEARCH("上",D6396)),ISNUMBER(SEARCH("去",D6396)),ISNUMBER(SEARCH("入",D6396)))),"Ambiguous",IF(ISNUMBER(SEARCH("平",D6396)),"平","仄")))</x:f>
        <x:v>平</x:v>
      </x:c>
      <x:c r="L6396" s="7" t="str">
        <x:v>Pingshui main list, Lu Qinli gap fill</x:v>
      </x:c>
    </x:row>
    <x:row r="6397">
      <x:c r="A6397" s="5" t="str">
        <x:v>顗</x:v>
      </x:c>
      <x:c r="B6397" s="6" t="str">
        <x:v>上</x:v>
      </x:c>
      <x:c r="C6397" s="6" t="str">
        <x:f>IF(B6397="","Needs decision","Ready")</x:f>
        <x:v>Ready</x:v>
      </x:c>
      <x:c r="D6397" s="6" t="str">
        <x:v>上</x:v>
      </x:c>
      <x:c r="E6397" s="6" t="str"/>
      <x:c r="F6397" s="6" t="str">
        <x:v>上聲五尾</x:v>
      </x:c>
      <x:c r="G6397" s="6" t="str">
        <x:v>Pingshui main list, Wikisource-derived DOCX</x:v>
      </x:c>
      <x:c r="H6397" s="6" t="str"/>
      <x:c r="I6397" s="6" t="str">
        <x:v>Lu Qinli gap fill from Pingshui main list; 詞 entries ignored</x:v>
      </x:c>
      <x:c r="J6397" s="6" t="str">
        <x:f>IF(B6397="","",IF(AND(ISNUMBER(SEARCH("平",B6397)),OR(ISNUMBER(SEARCH("上",B6397)),ISNUMBER(SEARCH("去",B6397)),ISNUMBER(SEARCH("入",B6397)))),"Ambiguous",IF(ISNUMBER(SEARCH("平",B6397)),"平","仄")))</x:f>
        <x:v>仄</x:v>
      </x:c>
      <x:c r="K6397" s="6" t="str">
        <x:f>IF(D6397="","",IF(AND(ISNUMBER(SEARCH("平",D6397)),OR(ISNUMBER(SEARCH("上",D6397)),ISNUMBER(SEARCH("去",D6397)),ISNUMBER(SEARCH("入",D6397)))),"Ambiguous",IF(ISNUMBER(SEARCH("平",D6397)),"平","仄")))</x:f>
        <x:v>仄</x:v>
      </x:c>
      <x:c r="L6397" s="7" t="str">
        <x:v>Pingshui main list, Lu Qinli gap fill</x:v>
      </x:c>
    </x:row>
    <x:row r="6398">
      <x:c r="A6398" s="5" t="str">
        <x:v>顥</x:v>
      </x:c>
      <x:c r="B6398" s="6" t="str">
        <x:v>上</x:v>
      </x:c>
      <x:c r="C6398" s="6" t="str">
        <x:f>IF(B6398="","Needs decision","Ready")</x:f>
        <x:v>Ready</x:v>
      </x:c>
      <x:c r="D6398" s="6" t="str">
        <x:v>上</x:v>
      </x:c>
      <x:c r="E6398" s="6" t="str"/>
      <x:c r="F6398" s="6" t="str">
        <x:v>上聲十九皓</x:v>
      </x:c>
      <x:c r="G6398" s="6" t="str">
        <x:v>Pingshui main list, Wikisource-derived DOCX</x:v>
      </x:c>
      <x:c r="H6398" s="6" t="str"/>
      <x:c r="I6398" s="6" t="str">
        <x:v>Lu Qinli gap fill from Pingshui main list; 詞 entries ignored</x:v>
      </x:c>
      <x:c r="J6398" s="6" t="str">
        <x:f>IF(B6398="","",IF(AND(ISNUMBER(SEARCH("平",B6398)),OR(ISNUMBER(SEARCH("上",B6398)),ISNUMBER(SEARCH("去",B6398)),ISNUMBER(SEARCH("入",B6398)))),"Ambiguous",IF(ISNUMBER(SEARCH("平",B6398)),"平","仄")))</x:f>
        <x:v>仄</x:v>
      </x:c>
      <x:c r="K6398" s="6" t="str">
        <x:f>IF(D6398="","",IF(AND(ISNUMBER(SEARCH("平",D6398)),OR(ISNUMBER(SEARCH("上",D6398)),ISNUMBER(SEARCH("去",D6398)),ISNUMBER(SEARCH("入",D6398)))),"Ambiguous",IF(ISNUMBER(SEARCH("平",D6398)),"平","仄")))</x:f>
        <x:v>仄</x:v>
      </x:c>
      <x:c r="L6398" s="7" t="str">
        <x:v>Pingshui main list, Lu Qinli gap fill</x:v>
      </x:c>
    </x:row>
    <x:row r="6399">
      <x:c r="A6399" s="5" t="str">
        <x:v>顱</x:v>
      </x:c>
      <x:c r="B6399" s="6" t="str">
        <x:v>平</x:v>
      </x:c>
      <x:c r="C6399" s="6" t="str">
        <x:f>IF(B6399="","Needs decision","Ready")</x:f>
        <x:v>Ready</x:v>
      </x:c>
      <x:c r="D6399" s="6" t="str">
        <x:v>平</x:v>
      </x:c>
      <x:c r="E6399" s="6" t="str"/>
      <x:c r="F6399" s="6" t="str">
        <x:v>上平聲七虞</x:v>
      </x:c>
      <x:c r="G6399" s="6" t="str">
        <x:v>Pingshui main list, Wikisource-derived DOCX</x:v>
      </x:c>
      <x:c r="H6399" s="6" t="str"/>
      <x:c r="I6399" s="6" t="str">
        <x:v>Lu Qinli gap fill from Pingshui main list; 詞 entries ignored</x:v>
      </x:c>
      <x:c r="J6399" s="6" t="str">
        <x:f>IF(B6399="","",IF(AND(ISNUMBER(SEARCH("平",B6399)),OR(ISNUMBER(SEARCH("上",B6399)),ISNUMBER(SEARCH("去",B6399)),ISNUMBER(SEARCH("入",B6399)))),"Ambiguous",IF(ISNUMBER(SEARCH("平",B6399)),"平","仄")))</x:f>
        <x:v>平</x:v>
      </x:c>
      <x:c r="K6399" s="6" t="str">
        <x:f>IF(D6399="","",IF(AND(ISNUMBER(SEARCH("平",D6399)),OR(ISNUMBER(SEARCH("上",D6399)),ISNUMBER(SEARCH("去",D6399)),ISNUMBER(SEARCH("入",D6399)))),"Ambiguous",IF(ISNUMBER(SEARCH("平",D6399)),"平","仄")))</x:f>
        <x:v>平</x:v>
      </x:c>
      <x:c r="L6399" s="7" t="str">
        <x:v>Pingshui main list, Lu Qinli gap fill</x:v>
      </x:c>
    </x:row>
    <x:row r="6400">
      <x:c r="A6400" s="5" t="str">
        <x:v>颸</x:v>
      </x:c>
      <x:c r="B6400" s="6" t="str">
        <x:v>平</x:v>
      </x:c>
      <x:c r="C6400" s="6" t="str">
        <x:f>IF(B6400="","Needs decision","Ready")</x:f>
        <x:v>Ready</x:v>
      </x:c>
      <x:c r="D6400" s="6" t="str">
        <x:v>平</x:v>
      </x:c>
      <x:c r="E6400" s="6" t="str"/>
      <x:c r="F6400" s="6" t="str">
        <x:v>上平聲四支</x:v>
      </x:c>
      <x:c r="G6400" s="6" t="str">
        <x:v>Pingshui main list, Wikisource-derived DOCX</x:v>
      </x:c>
      <x:c r="H6400" s="6" t="str"/>
      <x:c r="I6400" s="6" t="str">
        <x:v>Lu Qinli gap fill from Pingshui main list; 詞 entries ignored</x:v>
      </x:c>
      <x:c r="J6400" s="6" t="str">
        <x:f>IF(B6400="","",IF(AND(ISNUMBER(SEARCH("平",B6400)),OR(ISNUMBER(SEARCH("上",B6400)),ISNUMBER(SEARCH("去",B6400)),ISNUMBER(SEARCH("入",B6400)))),"Ambiguous",IF(ISNUMBER(SEARCH("平",B6400)),"平","仄")))</x:f>
        <x:v>平</x:v>
      </x:c>
      <x:c r="K6400" s="6" t="str">
        <x:f>IF(D6400="","",IF(AND(ISNUMBER(SEARCH("平",D6400)),OR(ISNUMBER(SEARCH("上",D6400)),ISNUMBER(SEARCH("去",D6400)),ISNUMBER(SEARCH("入",D6400)))),"Ambiguous",IF(ISNUMBER(SEARCH("平",D6400)),"平","仄")))</x:f>
        <x:v>平</x:v>
      </x:c>
      <x:c r="L6400" s="7" t="str">
        <x:v>Pingshui main list, Lu Qinli gap fill</x:v>
      </x:c>
    </x:row>
    <x:row r="6401">
      <x:c r="A6401" s="5" t="str">
        <x:v>颿</x:v>
      </x:c>
      <x:c r="B6401" s="6" t="str">
        <x:v>平</x:v>
      </x:c>
      <x:c r="C6401" s="6" t="str">
        <x:f>IF(B6401="","Needs decision","Ready")</x:f>
        <x:v>Ready</x:v>
      </x:c>
      <x:c r="D6401" s="6" t="str">
        <x:v>平</x:v>
      </x:c>
      <x:c r="E6401" s="6" t="str"/>
      <x:c r="F6401" s="6" t="str">
        <x:v>下平聲十五咸</x:v>
      </x:c>
      <x:c r="G6401" s="6" t="str">
        <x:v>Pingshui main list, Wikisource-derived DOCX</x:v>
      </x:c>
      <x:c r="H6401" s="6" t="str"/>
      <x:c r="I6401" s="6" t="str">
        <x:v>Lu Qinli gap fill from Pingshui main list; 詞 entries ignored</x:v>
      </x:c>
      <x:c r="J6401" s="6" t="str">
        <x:f>IF(B6401="","",IF(AND(ISNUMBER(SEARCH("平",B6401)),OR(ISNUMBER(SEARCH("上",B6401)),ISNUMBER(SEARCH("去",B6401)),ISNUMBER(SEARCH("入",B6401)))),"Ambiguous",IF(ISNUMBER(SEARCH("平",B6401)),"平","仄")))</x:f>
        <x:v>平</x:v>
      </x:c>
      <x:c r="K6401" s="6" t="str">
        <x:f>IF(D6401="","",IF(AND(ISNUMBER(SEARCH("平",D6401)),OR(ISNUMBER(SEARCH("上",D6401)),ISNUMBER(SEARCH("去",D6401)),ISNUMBER(SEARCH("入",D6401)))),"Ambiguous",IF(ISNUMBER(SEARCH("平",D6401)),"平","仄")))</x:f>
        <x:v>平</x:v>
      </x:c>
      <x:c r="L6401" s="7" t="str">
        <x:v>Pingshui main list, Lu Qinli gap fill</x:v>
      </x:c>
    </x:row>
    <x:row r="6402">
      <x:c r="A6402" s="5" t="str">
        <x:v>飂</x:v>
      </x:c>
      <x:c r="B6402" s="6" t="str"/>
      <x:c r="C6402" s="6" t="str">
        <x:f>IF(B6402="","Needs decision","Ready")</x:f>
        <x:v>Needs decision</x:v>
      </x:c>
      <x:c r="D6402" s="6" t="str">
        <x:v>平/去</x:v>
      </x:c>
      <x:c r="E6402" s="6" t="str"/>
      <x:c r="F6402" s="6" t="str">
        <x:v>下平聲二蕭; 下平聲十一尤; 去聲二十六宥</x:v>
      </x:c>
      <x:c r="G6402" s="6" t="str">
        <x:v>Pingshui main list, Wikisource-derived DOCX</x:v>
      </x:c>
      <x:c r="H6402" s="6" t="str"/>
      <x:c r="I6402" s="6" t="str">
        <x:v>Lu Qinli gap fill from Pingshui main list; 詞 entries ignored</x:v>
      </x:c>
      <x:c r="J6402" s="6" t="str">
        <x:f>IF(B6402="","",IF(AND(ISNUMBER(SEARCH("平",B6402)),OR(ISNUMBER(SEARCH("上",B6402)),ISNUMBER(SEARCH("去",B6402)),ISNUMBER(SEARCH("入",B6402)))),"Ambiguous",IF(ISNUMBER(SEARCH("平",B6402)),"平","仄")))</x:f>
      </x:c>
      <x:c r="K6402" s="6" t="str">
        <x:f>IF(D6402="","",IF(AND(ISNUMBER(SEARCH("平",D6402)),OR(ISNUMBER(SEARCH("上",D6402)),ISNUMBER(SEARCH("去",D6402)),ISNUMBER(SEARCH("入",D6402)))),"Ambiguous",IF(ISNUMBER(SEARCH("平",D6402)),"平","仄")))</x:f>
        <x:v>Ambiguous</x:v>
      </x:c>
      <x:c r="L6402" s="7" t="str">
        <x:v>Pingshui main list, Lu Qinli gap fill</x:v>
      </x:c>
    </x:row>
    <x:row r="6403">
      <x:c r="A6403" s="5" t="str">
        <x:v>飭</x:v>
      </x:c>
      <x:c r="B6403" s="6" t="str">
        <x:v>入</x:v>
      </x:c>
      <x:c r="C6403" s="6" t="str">
        <x:f>IF(B6403="","Needs decision","Ready")</x:f>
        <x:v>Ready</x:v>
      </x:c>
      <x:c r="D6403" s="6" t="str">
        <x:v>入</x:v>
      </x:c>
      <x:c r="E6403" s="6" t="str"/>
      <x:c r="F6403" s="6" t="str">
        <x:v>入聲十三職</x:v>
      </x:c>
      <x:c r="G6403" s="6" t="str">
        <x:v>Pingshui main list, Wikisource-derived DOCX</x:v>
      </x:c>
      <x:c r="H6403" s="6" t="str"/>
      <x:c r="I6403" s="6" t="str">
        <x:v>Lu Qinli gap fill from Pingshui main list; 詞 entries ignored</x:v>
      </x:c>
      <x:c r="J6403" s="6" t="str">
        <x:f>IF(B6403="","",IF(AND(ISNUMBER(SEARCH("平",B6403)),OR(ISNUMBER(SEARCH("上",B6403)),ISNUMBER(SEARCH("去",B6403)),ISNUMBER(SEARCH("入",B6403)))),"Ambiguous",IF(ISNUMBER(SEARCH("平",B6403)),"平","仄")))</x:f>
        <x:v>仄</x:v>
      </x:c>
      <x:c r="K6403" s="6" t="str">
        <x:f>IF(D6403="","",IF(AND(ISNUMBER(SEARCH("平",D6403)),OR(ISNUMBER(SEARCH("上",D6403)),ISNUMBER(SEARCH("去",D6403)),ISNUMBER(SEARCH("入",D6403)))),"Ambiguous",IF(ISNUMBER(SEARCH("平",D6403)),"平","仄")))</x:f>
        <x:v>仄</x:v>
      </x:c>
      <x:c r="L6403" s="7" t="str">
        <x:v>Pingshui main list, Lu Qinli gap fill</x:v>
      </x:c>
    </x:row>
    <x:row r="6404">
      <x:c r="A6404" s="5" t="str">
        <x:v>飴</x:v>
      </x:c>
      <x:c r="B6404" s="6" t="str">
        <x:v>平</x:v>
      </x:c>
      <x:c r="C6404" s="6" t="str">
        <x:f>IF(B6404="","Needs decision","Ready")</x:f>
        <x:v>Ready</x:v>
      </x:c>
      <x:c r="D6404" s="6" t="str">
        <x:v>平</x:v>
      </x:c>
      <x:c r="E6404" s="6" t="str"/>
      <x:c r="F6404" s="6" t="str">
        <x:v>上平聲四支</x:v>
      </x:c>
      <x:c r="G6404" s="6" t="str">
        <x:v>Pingshui main list, Wikisource-derived DOCX</x:v>
      </x:c>
      <x:c r="H6404" s="6" t="str"/>
      <x:c r="I6404" s="6" t="str">
        <x:v>Lu Qinli gap fill from Pingshui main list; 詞 entries ignored</x:v>
      </x:c>
      <x:c r="J6404" s="6" t="str">
        <x:f>IF(B6404="","",IF(AND(ISNUMBER(SEARCH("平",B6404)),OR(ISNUMBER(SEARCH("上",B6404)),ISNUMBER(SEARCH("去",B6404)),ISNUMBER(SEARCH("入",B6404)))),"Ambiguous",IF(ISNUMBER(SEARCH("平",B6404)),"平","仄")))</x:f>
        <x:v>平</x:v>
      </x:c>
      <x:c r="K6404" s="6" t="str">
        <x:f>IF(D6404="","",IF(AND(ISNUMBER(SEARCH("平",D6404)),OR(ISNUMBER(SEARCH("上",D6404)),ISNUMBER(SEARCH("去",D6404)),ISNUMBER(SEARCH("入",D6404)))),"Ambiguous",IF(ISNUMBER(SEARCH("平",D6404)),"平","仄")))</x:f>
        <x:v>平</x:v>
      </x:c>
      <x:c r="L6404" s="7" t="str">
        <x:v>Pingshui main list, Lu Qinli gap fill</x:v>
      </x:c>
    </x:row>
    <x:row r="6405">
      <x:c r="A6405" s="5" t="str">
        <x:v>餔</x:v>
      </x:c>
      <x:c r="B6405" s="6" t="str"/>
      <x:c r="C6405" s="6" t="str">
        <x:f>IF(B6405="","Needs decision","Ready")</x:f>
        <x:v>Needs decision</x:v>
      </x:c>
      <x:c r="D6405" s="6" t="str">
        <x:v>平/去</x:v>
      </x:c>
      <x:c r="E6405" s="6" t="str"/>
      <x:c r="F6405" s="6" t="str">
        <x:v>上平聲七虞; 去聲七遇</x:v>
      </x:c>
      <x:c r="G6405" s="6" t="str">
        <x:v>Pingshui main list, Wikisource-derived DOCX</x:v>
      </x:c>
      <x:c r="H6405" s="6" t="str"/>
      <x:c r="I6405" s="6" t="str">
        <x:v>Lu Qinli gap fill from Pingshui main list; 詞 entries ignored</x:v>
      </x:c>
      <x:c r="J6405" s="6" t="str">
        <x:f>IF(B6405="","",IF(AND(ISNUMBER(SEARCH("平",B6405)),OR(ISNUMBER(SEARCH("上",B6405)),ISNUMBER(SEARCH("去",B6405)),ISNUMBER(SEARCH("入",B6405)))),"Ambiguous",IF(ISNUMBER(SEARCH("平",B6405)),"平","仄")))</x:f>
      </x:c>
      <x:c r="K6405" s="6" t="str">
        <x:f>IF(D6405="","",IF(AND(ISNUMBER(SEARCH("平",D6405)),OR(ISNUMBER(SEARCH("上",D6405)),ISNUMBER(SEARCH("去",D6405)),ISNUMBER(SEARCH("入",D6405)))),"Ambiguous",IF(ISNUMBER(SEARCH("平",D6405)),"平","仄")))</x:f>
        <x:v>Ambiguous</x:v>
      </x:c>
      <x:c r="L6405" s="7" t="str">
        <x:v>Pingshui main list, Lu Qinli gap fill</x:v>
      </x:c>
    </x:row>
    <x:row r="6406">
      <x:c r="A6406" s="5" t="str">
        <x:v>餕</x:v>
      </x:c>
      <x:c r="B6406" s="6" t="str">
        <x:v>去</x:v>
      </x:c>
      <x:c r="C6406" s="6" t="str">
        <x:f>IF(B6406="","Needs decision","Ready")</x:f>
        <x:v>Ready</x:v>
      </x:c>
      <x:c r="D6406" s="6" t="str">
        <x:v>去</x:v>
      </x:c>
      <x:c r="E6406" s="6" t="str"/>
      <x:c r="F6406" s="6" t="str">
        <x:v>去聲十二震</x:v>
      </x:c>
      <x:c r="G6406" s="6" t="str">
        <x:v>Pingshui main list, Wikisource-derived DOCX</x:v>
      </x:c>
      <x:c r="H6406" s="6" t="str"/>
      <x:c r="I6406" s="6" t="str">
        <x:v>Lu Qinli gap fill from Pingshui main list; 詞 entries ignored</x:v>
      </x:c>
      <x:c r="J6406" s="6" t="str">
        <x:f>IF(B6406="","",IF(AND(ISNUMBER(SEARCH("平",B6406)),OR(ISNUMBER(SEARCH("上",B6406)),ISNUMBER(SEARCH("去",B6406)),ISNUMBER(SEARCH("入",B6406)))),"Ambiguous",IF(ISNUMBER(SEARCH("平",B6406)),"平","仄")))</x:f>
        <x:v>仄</x:v>
      </x:c>
      <x:c r="K6406" s="6" t="str">
        <x:f>IF(D6406="","",IF(AND(ISNUMBER(SEARCH("平",D6406)),OR(ISNUMBER(SEARCH("上",D6406)),ISNUMBER(SEARCH("去",D6406)),ISNUMBER(SEARCH("入",D6406)))),"Ambiguous",IF(ISNUMBER(SEARCH("平",D6406)),"平","仄")))</x:f>
        <x:v>仄</x:v>
      </x:c>
      <x:c r="L6406" s="7" t="str">
        <x:v>Pingshui main list, Lu Qinli gap fill</x:v>
      </x:c>
    </x:row>
    <x:row r="6407">
      <x:c r="A6407" s="5" t="str">
        <x:v>餗</x:v>
      </x:c>
      <x:c r="B6407" s="6" t="str">
        <x:v>入</x:v>
      </x:c>
      <x:c r="C6407" s="6" t="str">
        <x:f>IF(B6407="","Needs decision","Ready")</x:f>
        <x:v>Ready</x:v>
      </x:c>
      <x:c r="D6407" s="6" t="str">
        <x:v>入</x:v>
      </x:c>
      <x:c r="E6407" s="6" t="str"/>
      <x:c r="F6407" s="6" t="str">
        <x:v>入聲一屋</x:v>
      </x:c>
      <x:c r="G6407" s="6" t="str">
        <x:v>Pingshui main list, Wikisource-derived DOCX</x:v>
      </x:c>
      <x:c r="H6407" s="6" t="str"/>
      <x:c r="I6407" s="6" t="str">
        <x:v>Lu Qinli gap fill from Pingshui main list; 詞 entries ignored</x:v>
      </x:c>
      <x:c r="J6407" s="6" t="str">
        <x:f>IF(B6407="","",IF(AND(ISNUMBER(SEARCH("平",B6407)),OR(ISNUMBER(SEARCH("上",B6407)),ISNUMBER(SEARCH("去",B6407)),ISNUMBER(SEARCH("入",B6407)))),"Ambiguous",IF(ISNUMBER(SEARCH("平",B6407)),"平","仄")))</x:f>
        <x:v>仄</x:v>
      </x:c>
      <x:c r="K6407" s="6" t="str">
        <x:f>IF(D6407="","",IF(AND(ISNUMBER(SEARCH("平",D6407)),OR(ISNUMBER(SEARCH("上",D6407)),ISNUMBER(SEARCH("去",D6407)),ISNUMBER(SEARCH("入",D6407)))),"Ambiguous",IF(ISNUMBER(SEARCH("平",D6407)),"平","仄")))</x:f>
        <x:v>仄</x:v>
      </x:c>
      <x:c r="L6407" s="7" t="str">
        <x:v>Pingshui main list, Lu Qinli gap fill</x:v>
      </x:c>
    </x:row>
    <x:row r="6408">
      <x:c r="A6408" s="5" t="str">
        <x:v>餞</x:v>
      </x:c>
      <x:c r="B6408" s="6" t="str"/>
      <x:c r="C6408" s="6" t="str">
        <x:f>IF(B6408="","Needs decision","Ready")</x:f>
        <x:v>Needs decision</x:v>
      </x:c>
      <x:c r="D6408" s="6" t="str">
        <x:v>上/去</x:v>
      </x:c>
      <x:c r="E6408" s="6" t="str"/>
      <x:c r="F6408" s="6" t="str">
        <x:v>上聲十六銑; 去聲十七霰</x:v>
      </x:c>
      <x:c r="G6408" s="6" t="str">
        <x:v>Pingshui main list, Wikisource-derived DOCX</x:v>
      </x:c>
      <x:c r="H6408" s="6" t="str"/>
      <x:c r="I6408" s="6" t="str">
        <x:v>Lu Qinli gap fill from Pingshui main list; 詞 entries ignored</x:v>
      </x:c>
      <x:c r="J6408" s="6" t="str">
        <x:f>IF(B6408="","",IF(AND(ISNUMBER(SEARCH("平",B6408)),OR(ISNUMBER(SEARCH("上",B6408)),ISNUMBER(SEARCH("去",B6408)),ISNUMBER(SEARCH("入",B6408)))),"Ambiguous",IF(ISNUMBER(SEARCH("平",B6408)),"平","仄")))</x:f>
      </x:c>
      <x:c r="K6408" s="6" t="str">
        <x:f>IF(D6408="","",IF(AND(ISNUMBER(SEARCH("平",D6408)),OR(ISNUMBER(SEARCH("上",D6408)),ISNUMBER(SEARCH("去",D6408)),ISNUMBER(SEARCH("入",D6408)))),"Ambiguous",IF(ISNUMBER(SEARCH("平",D6408)),"平","仄")))</x:f>
        <x:v>仄</x:v>
      </x:c>
      <x:c r="L6408" s="7" t="str">
        <x:v>Pingshui main list, Lu Qinli gap fill</x:v>
      </x:c>
    </x:row>
    <x:row r="6409">
      <x:c r="A6409" s="5" t="str">
        <x:v>餧</x:v>
      </x:c>
      <x:c r="B6409" s="6" t="str"/>
      <x:c r="C6409" s="6" t="str">
        <x:f>IF(B6409="","Needs decision","Ready")</x:f>
        <x:v>Needs decision</x:v>
      </x:c>
      <x:c r="D6409" s="6" t="str">
        <x:v>上/去</x:v>
      </x:c>
      <x:c r="E6409" s="6" t="str"/>
      <x:c r="F6409" s="6" t="str">
        <x:v>上聲十賄; 去聲四寘</x:v>
      </x:c>
      <x:c r="G6409" s="6" t="str">
        <x:v>Pingshui main list, Wikisource-derived DOCX</x:v>
      </x:c>
      <x:c r="H6409" s="6" t="str"/>
      <x:c r="I6409" s="6" t="str">
        <x:v>Lu Qinli gap fill from Pingshui main list; 詞 entries ignored</x:v>
      </x:c>
      <x:c r="J6409" s="6" t="str">
        <x:f>IF(B6409="","",IF(AND(ISNUMBER(SEARCH("平",B6409)),OR(ISNUMBER(SEARCH("上",B6409)),ISNUMBER(SEARCH("去",B6409)),ISNUMBER(SEARCH("入",B6409)))),"Ambiguous",IF(ISNUMBER(SEARCH("平",B6409)),"平","仄")))</x:f>
      </x:c>
      <x:c r="K6409" s="6" t="str">
        <x:f>IF(D6409="","",IF(AND(ISNUMBER(SEARCH("平",D6409)),OR(ISNUMBER(SEARCH("上",D6409)),ISNUMBER(SEARCH("去",D6409)),ISNUMBER(SEARCH("入",D6409)))),"Ambiguous",IF(ISNUMBER(SEARCH("平",D6409)),"平","仄")))</x:f>
        <x:v>仄</x:v>
      </x:c>
      <x:c r="L6409" s="7" t="str">
        <x:v>Pingshui main list, Lu Qinli gap fill</x:v>
      </x:c>
    </x:row>
    <x:row r="6410">
      <x:c r="A6410" s="5" t="str">
        <x:v>餭</x:v>
      </x:c>
      <x:c r="B6410" s="6" t="str">
        <x:v>平</x:v>
      </x:c>
      <x:c r="C6410" s="6" t="str">
        <x:f>IF(B6410="","Needs decision","Ready")</x:f>
        <x:v>Ready</x:v>
      </x:c>
      <x:c r="D6410" s="6" t="str">
        <x:v>平</x:v>
      </x:c>
      <x:c r="E6410" s="6" t="str"/>
      <x:c r="F6410" s="6" t="str">
        <x:v>下平聲七陽</x:v>
      </x:c>
      <x:c r="G6410" s="6" t="str">
        <x:v>Pingshui main list, Wikisource-derived DOCX</x:v>
      </x:c>
      <x:c r="H6410" s="6" t="str"/>
      <x:c r="I6410" s="6" t="str">
        <x:v>Lu Qinli gap fill from Pingshui main list; 詞 entries ignored</x:v>
      </x:c>
      <x:c r="J6410" s="6" t="str">
        <x:f>IF(B6410="","",IF(AND(ISNUMBER(SEARCH("平",B6410)),OR(ISNUMBER(SEARCH("上",B6410)),ISNUMBER(SEARCH("去",B6410)),ISNUMBER(SEARCH("入",B6410)))),"Ambiguous",IF(ISNUMBER(SEARCH("平",B6410)),"平","仄")))</x:f>
        <x:v>平</x:v>
      </x:c>
      <x:c r="K6410" s="6" t="str">
        <x:f>IF(D6410="","",IF(AND(ISNUMBER(SEARCH("平",D6410)),OR(ISNUMBER(SEARCH("上",D6410)),ISNUMBER(SEARCH("去",D6410)),ISNUMBER(SEARCH("入",D6410)))),"Ambiguous",IF(ISNUMBER(SEARCH("平",D6410)),"平","仄")))</x:f>
        <x:v>平</x:v>
      </x:c>
      <x:c r="L6410" s="7" t="str">
        <x:v>Pingshui main list, Lu Qinli gap fill</x:v>
      </x:c>
    </x:row>
    <x:row r="6411">
      <x:c r="A6411" s="5" t="str">
        <x:v>餱</x:v>
      </x:c>
      <x:c r="B6411" s="6" t="str">
        <x:v>平</x:v>
      </x:c>
      <x:c r="C6411" s="6" t="str">
        <x:f>IF(B6411="","Needs decision","Ready")</x:f>
        <x:v>Ready</x:v>
      </x:c>
      <x:c r="D6411" s="6" t="str">
        <x:v>平</x:v>
      </x:c>
      <x:c r="E6411" s="6" t="str"/>
      <x:c r="F6411" s="6" t="str">
        <x:v>下平聲十一尤</x:v>
      </x:c>
      <x:c r="G6411" s="6" t="str">
        <x:v>Pingshui main list, Wikisource-derived DOCX</x:v>
      </x:c>
      <x:c r="H6411" s="6" t="str"/>
      <x:c r="I6411" s="6" t="str">
        <x:v>Lu Qinli gap fill from Pingshui main list; 詞 entries ignored</x:v>
      </x:c>
      <x:c r="J6411" s="6" t="str">
        <x:f>IF(B6411="","",IF(AND(ISNUMBER(SEARCH("平",B6411)),OR(ISNUMBER(SEARCH("上",B6411)),ISNUMBER(SEARCH("去",B6411)),ISNUMBER(SEARCH("入",B6411)))),"Ambiguous",IF(ISNUMBER(SEARCH("平",B6411)),"平","仄")))</x:f>
        <x:v>平</x:v>
      </x:c>
      <x:c r="K6411" s="6" t="str">
        <x:f>IF(D6411="","",IF(AND(ISNUMBER(SEARCH("平",D6411)),OR(ISNUMBER(SEARCH("上",D6411)),ISNUMBER(SEARCH("去",D6411)),ISNUMBER(SEARCH("入",D6411)))),"Ambiguous",IF(ISNUMBER(SEARCH("平",D6411)),"平","仄")))</x:f>
        <x:v>平</x:v>
      </x:c>
      <x:c r="L6411" s="7" t="str">
        <x:v>Pingshui main list, Lu Qinli gap fill</x:v>
      </x:c>
    </x:row>
    <x:row r="6412">
      <x:c r="A6412" s="5" t="str">
        <x:v>饔</x:v>
      </x:c>
      <x:c r="B6412" s="6" t="str">
        <x:v>平</x:v>
      </x:c>
      <x:c r="C6412" s="6" t="str">
        <x:f>IF(B6412="","Needs decision","Ready")</x:f>
        <x:v>Ready</x:v>
      </x:c>
      <x:c r="D6412" s="6" t="str">
        <x:v>平</x:v>
      </x:c>
      <x:c r="E6412" s="6" t="str"/>
      <x:c r="F6412" s="6" t="str">
        <x:v>上平聲二冬</x:v>
      </x:c>
      <x:c r="G6412" s="6" t="str">
        <x:v>Pingshui main list, Wikisource-derived DOCX</x:v>
      </x:c>
      <x:c r="H6412" s="6" t="str"/>
      <x:c r="I6412" s="6" t="str">
        <x:v>Lu Qinli gap fill from Pingshui main list; 詞 entries ignored</x:v>
      </x:c>
      <x:c r="J6412" s="6" t="str">
        <x:f>IF(B6412="","",IF(AND(ISNUMBER(SEARCH("平",B6412)),OR(ISNUMBER(SEARCH("上",B6412)),ISNUMBER(SEARCH("去",B6412)),ISNUMBER(SEARCH("入",B6412)))),"Ambiguous",IF(ISNUMBER(SEARCH("平",B6412)),"平","仄")))</x:f>
        <x:v>平</x:v>
      </x:c>
      <x:c r="K6412" s="6" t="str">
        <x:f>IF(D6412="","",IF(AND(ISNUMBER(SEARCH("平",D6412)),OR(ISNUMBER(SEARCH("上",D6412)),ISNUMBER(SEARCH("去",D6412)),ISNUMBER(SEARCH("入",D6412)))),"Ambiguous",IF(ISNUMBER(SEARCH("平",D6412)),"平","仄")))</x:f>
        <x:v>平</x:v>
      </x:c>
      <x:c r="L6412" s="7" t="str">
        <x:v>Pingshui main list, Lu Qinli gap fill</x:v>
      </x:c>
    </x:row>
    <x:row r="6413">
      <x:c r="A6413" s="5" t="str">
        <x:v>馥</x:v>
      </x:c>
      <x:c r="B6413" s="6" t="str">
        <x:v>入</x:v>
      </x:c>
      <x:c r="C6413" s="6" t="str">
        <x:f>IF(B6413="","Needs decision","Ready")</x:f>
        <x:v>Ready</x:v>
      </x:c>
      <x:c r="D6413" s="6" t="str">
        <x:v>入</x:v>
      </x:c>
      <x:c r="E6413" s="6" t="str"/>
      <x:c r="F6413" s="6" t="str">
        <x:v>入聲一屋</x:v>
      </x:c>
      <x:c r="G6413" s="6" t="str">
        <x:v>Pingshui main list, Wikisource-derived DOCX</x:v>
      </x:c>
      <x:c r="H6413" s="6" t="str"/>
      <x:c r="I6413" s="6" t="str">
        <x:v>Lu Qinli gap fill from Pingshui main list; 詞 entries ignored</x:v>
      </x:c>
      <x:c r="J6413" s="6" t="str">
        <x:f>IF(B6413="","",IF(AND(ISNUMBER(SEARCH("平",B6413)),OR(ISNUMBER(SEARCH("上",B6413)),ISNUMBER(SEARCH("去",B6413)),ISNUMBER(SEARCH("入",B6413)))),"Ambiguous",IF(ISNUMBER(SEARCH("平",B6413)),"平","仄")))</x:f>
        <x:v>仄</x:v>
      </x:c>
      <x:c r="K6413" s="6" t="str">
        <x:f>IF(D6413="","",IF(AND(ISNUMBER(SEARCH("平",D6413)),OR(ISNUMBER(SEARCH("上",D6413)),ISNUMBER(SEARCH("去",D6413)),ISNUMBER(SEARCH("入",D6413)))),"Ambiguous",IF(ISNUMBER(SEARCH("平",D6413)),"平","仄")))</x:f>
        <x:v>仄</x:v>
      </x:c>
      <x:c r="L6413" s="7" t="str">
        <x:v>Pingshui main list, Lu Qinli gap fill</x:v>
      </x:c>
    </x:row>
    <x:row r="6414">
      <x:c r="A6414" s="5" t="str">
        <x:v>馱</x:v>
      </x:c>
      <x:c r="B6414" s="6" t="str"/>
      <x:c r="C6414" s="6" t="str">
        <x:f>IF(B6414="","Needs decision","Ready")</x:f>
        <x:v>Needs decision</x:v>
      </x:c>
      <x:c r="D6414" s="6" t="str">
        <x:v>平/去</x:v>
      </x:c>
      <x:c r="E6414" s="6" t="str"/>
      <x:c r="F6414" s="6" t="str">
        <x:v>下平聲五歌; 去聲二十一箇</x:v>
      </x:c>
      <x:c r="G6414" s="6" t="str">
        <x:v>Pingshui main list, Wikisource-derived DOCX</x:v>
      </x:c>
      <x:c r="H6414" s="6" t="str"/>
      <x:c r="I6414" s="6" t="str">
        <x:v>Lu Qinli gap fill from Pingshui main list; 詞 entries ignored</x:v>
      </x:c>
      <x:c r="J6414" s="6" t="str">
        <x:f>IF(B6414="","",IF(AND(ISNUMBER(SEARCH("平",B6414)),OR(ISNUMBER(SEARCH("上",B6414)),ISNUMBER(SEARCH("去",B6414)),ISNUMBER(SEARCH("入",B6414)))),"Ambiguous",IF(ISNUMBER(SEARCH("平",B6414)),"平","仄")))</x:f>
      </x:c>
      <x:c r="K6414" s="6" t="str">
        <x:f>IF(D6414="","",IF(AND(ISNUMBER(SEARCH("平",D6414)),OR(ISNUMBER(SEARCH("上",D6414)),ISNUMBER(SEARCH("去",D6414)),ISNUMBER(SEARCH("入",D6414)))),"Ambiguous",IF(ISNUMBER(SEARCH("平",D6414)),"平","仄")))</x:f>
        <x:v>Ambiguous</x:v>
      </x:c>
      <x:c r="L6414" s="7" t="str">
        <x:v>Pingshui main list, Lu Qinli gap fill</x:v>
      </x:c>
    </x:row>
    <x:row r="6415">
      <x:c r="A6415" s="5" t="str">
        <x:v>駓</x:v>
      </x:c>
      <x:c r="B6415" s="6" t="str">
        <x:v>平</x:v>
      </x:c>
      <x:c r="C6415" s="6" t="str">
        <x:f>IF(B6415="","Needs decision","Ready")</x:f>
        <x:v>Ready</x:v>
      </x:c>
      <x:c r="D6415" s="6" t="str">
        <x:v>平</x:v>
      </x:c>
      <x:c r="E6415" s="6" t="str"/>
      <x:c r="F6415" s="6" t="str">
        <x:v>上平聲四支</x:v>
      </x:c>
      <x:c r="G6415" s="6" t="str">
        <x:v>Pingshui main list, Wikisource-derived DOCX</x:v>
      </x:c>
      <x:c r="H6415" s="6" t="str"/>
      <x:c r="I6415" s="6" t="str">
        <x:v>Lu Qinli gap fill from Pingshui main list; 詞 entries ignored</x:v>
      </x:c>
      <x:c r="J6415" s="6" t="str">
        <x:f>IF(B6415="","",IF(AND(ISNUMBER(SEARCH("平",B6415)),OR(ISNUMBER(SEARCH("上",B6415)),ISNUMBER(SEARCH("去",B6415)),ISNUMBER(SEARCH("入",B6415)))),"Ambiguous",IF(ISNUMBER(SEARCH("平",B6415)),"平","仄")))</x:f>
        <x:v>平</x:v>
      </x:c>
      <x:c r="K6415" s="6" t="str">
        <x:f>IF(D6415="","",IF(AND(ISNUMBER(SEARCH("平",D6415)),OR(ISNUMBER(SEARCH("上",D6415)),ISNUMBER(SEARCH("去",D6415)),ISNUMBER(SEARCH("入",D6415)))),"Ambiguous",IF(ISNUMBER(SEARCH("平",D6415)),"平","仄")))</x:f>
        <x:v>平</x:v>
      </x:c>
      <x:c r="L6415" s="7" t="str">
        <x:v>Pingshui main list, Lu Qinli gap fill</x:v>
      </x:c>
    </x:row>
    <x:row r="6416">
      <x:c r="A6416" s="5" t="str">
        <x:v>駘</x:v>
      </x:c>
      <x:c r="B6416" s="6" t="str"/>
      <x:c r="C6416" s="6" t="str">
        <x:f>IF(B6416="","Needs decision","Ready")</x:f>
        <x:v>Needs decision</x:v>
      </x:c>
      <x:c r="D6416" s="6" t="str">
        <x:v>平/上</x:v>
      </x:c>
      <x:c r="E6416" s="6" t="str"/>
      <x:c r="F6416" s="6" t="str">
        <x:v>上平聲十灰; 上聲十賄</x:v>
      </x:c>
      <x:c r="G6416" s="6" t="str">
        <x:v>Pingshui main list, Wikisource-derived DOCX</x:v>
      </x:c>
      <x:c r="H6416" s="6" t="str"/>
      <x:c r="I6416" s="6" t="str">
        <x:v>Lu Qinli gap fill from Pingshui main list; 詞 entries ignored</x:v>
      </x:c>
      <x:c r="J6416" s="6" t="str">
        <x:f>IF(B6416="","",IF(AND(ISNUMBER(SEARCH("平",B6416)),OR(ISNUMBER(SEARCH("上",B6416)),ISNUMBER(SEARCH("去",B6416)),ISNUMBER(SEARCH("入",B6416)))),"Ambiguous",IF(ISNUMBER(SEARCH("平",B6416)),"平","仄")))</x:f>
      </x:c>
      <x:c r="K6416" s="6" t="str">
        <x:f>IF(D6416="","",IF(AND(ISNUMBER(SEARCH("平",D6416)),OR(ISNUMBER(SEARCH("上",D6416)),ISNUMBER(SEARCH("去",D6416)),ISNUMBER(SEARCH("入",D6416)))),"Ambiguous",IF(ISNUMBER(SEARCH("平",D6416)),"平","仄")))</x:f>
        <x:v>Ambiguous</x:v>
      </x:c>
      <x:c r="L6416" s="7" t="str">
        <x:v>Pingshui main list, Lu Qinli gap fill</x:v>
      </x:c>
    </x:row>
    <x:row r="6417">
      <x:c r="A6417" s="5" t="str">
        <x:v>駙</x:v>
      </x:c>
      <x:c r="B6417" s="6" t="str">
        <x:v>去</x:v>
      </x:c>
      <x:c r="C6417" s="6" t="str">
        <x:f>IF(B6417="","Needs decision","Ready")</x:f>
        <x:v>Ready</x:v>
      </x:c>
      <x:c r="D6417" s="6" t="str">
        <x:v>去</x:v>
      </x:c>
      <x:c r="E6417" s="6" t="str"/>
      <x:c r="F6417" s="6" t="str">
        <x:v>去聲七遇</x:v>
      </x:c>
      <x:c r="G6417" s="6" t="str">
        <x:v>Pingshui main list, Wikisource-derived DOCX</x:v>
      </x:c>
      <x:c r="H6417" s="6" t="str"/>
      <x:c r="I6417" s="6" t="str">
        <x:v>Lu Qinli gap fill from Pingshui main list; 詞 entries ignored</x:v>
      </x:c>
      <x:c r="J6417" s="6" t="str">
        <x:f>IF(B6417="","",IF(AND(ISNUMBER(SEARCH("平",B6417)),OR(ISNUMBER(SEARCH("上",B6417)),ISNUMBER(SEARCH("去",B6417)),ISNUMBER(SEARCH("入",B6417)))),"Ambiguous",IF(ISNUMBER(SEARCH("平",B6417)),"平","仄")))</x:f>
        <x:v>仄</x:v>
      </x:c>
      <x:c r="K6417" s="6" t="str">
        <x:f>IF(D6417="","",IF(AND(ISNUMBER(SEARCH("平",D6417)),OR(ISNUMBER(SEARCH("上",D6417)),ISNUMBER(SEARCH("去",D6417)),ISNUMBER(SEARCH("入",D6417)))),"Ambiguous",IF(ISNUMBER(SEARCH("平",D6417)),"平","仄")))</x:f>
        <x:v>仄</x:v>
      </x:c>
      <x:c r="L6417" s="7" t="str">
        <x:v>Pingshui main list, Lu Qinli gap fill</x:v>
      </x:c>
    </x:row>
    <x:row r="6418">
      <x:c r="A6418" s="5" t="str">
        <x:v>駛</x:v>
      </x:c>
      <x:c r="B6418" s="6" t="str">
        <x:v>上</x:v>
      </x:c>
      <x:c r="C6418" s="6" t="str">
        <x:f>IF(B6418="","Needs decision","Ready")</x:f>
        <x:v>Ready</x:v>
      </x:c>
      <x:c r="D6418" s="6" t="str">
        <x:v>上</x:v>
      </x:c>
      <x:c r="E6418" s="6" t="str"/>
      <x:c r="F6418" s="6" t="str">
        <x:v>上聲四紙</x:v>
      </x:c>
      <x:c r="G6418" s="6" t="str">
        <x:v>Pingshui main list, Wikisource-derived DOCX</x:v>
      </x:c>
      <x:c r="H6418" s="6" t="str"/>
      <x:c r="I6418" s="6" t="str">
        <x:v>Lu Qinli gap fill from Pingshui main list; 詞 entries ignored</x:v>
      </x:c>
      <x:c r="J6418" s="6" t="str">
        <x:f>IF(B6418="","",IF(AND(ISNUMBER(SEARCH("平",B6418)),OR(ISNUMBER(SEARCH("上",B6418)),ISNUMBER(SEARCH("去",B6418)),ISNUMBER(SEARCH("入",B6418)))),"Ambiguous",IF(ISNUMBER(SEARCH("平",B6418)),"平","仄")))</x:f>
        <x:v>仄</x:v>
      </x:c>
      <x:c r="K6418" s="6" t="str">
        <x:f>IF(D6418="","",IF(AND(ISNUMBER(SEARCH("平",D6418)),OR(ISNUMBER(SEARCH("上",D6418)),ISNUMBER(SEARCH("去",D6418)),ISNUMBER(SEARCH("入",D6418)))),"Ambiguous",IF(ISNUMBER(SEARCH("平",D6418)),"平","仄")))</x:f>
        <x:v>仄</x:v>
      </x:c>
      <x:c r="L6418" s="7" t="str">
        <x:v>Pingshui main list, Lu Qinli gap fill</x:v>
      </x:c>
    </x:row>
    <x:row r="6419">
      <x:c r="A6419" s="5" t="str">
        <x:v>駜</x:v>
      </x:c>
      <x:c r="B6419" s="6" t="str">
        <x:v>入</x:v>
      </x:c>
      <x:c r="C6419" s="6" t="str">
        <x:f>IF(B6419="","Needs decision","Ready")</x:f>
        <x:v>Ready</x:v>
      </x:c>
      <x:c r="D6419" s="6" t="str">
        <x:v>入</x:v>
      </x:c>
      <x:c r="E6419" s="6" t="str"/>
      <x:c r="F6419" s="6" t="str">
        <x:v>入聲四質</x:v>
      </x:c>
      <x:c r="G6419" s="6" t="str">
        <x:v>Pingshui main list, Wikisource-derived DOCX</x:v>
      </x:c>
      <x:c r="H6419" s="6" t="str"/>
      <x:c r="I6419" s="6" t="str">
        <x:v>Lu Qinli gap fill from Pingshui main list; 詞 entries ignored</x:v>
      </x:c>
      <x:c r="J6419" s="6" t="str">
        <x:f>IF(B6419="","",IF(AND(ISNUMBER(SEARCH("平",B6419)),OR(ISNUMBER(SEARCH("上",B6419)),ISNUMBER(SEARCH("去",B6419)),ISNUMBER(SEARCH("入",B6419)))),"Ambiguous",IF(ISNUMBER(SEARCH("平",B6419)),"平","仄")))</x:f>
        <x:v>仄</x:v>
      </x:c>
      <x:c r="K6419" s="6" t="str">
        <x:f>IF(D6419="","",IF(AND(ISNUMBER(SEARCH("平",D6419)),OR(ISNUMBER(SEARCH("上",D6419)),ISNUMBER(SEARCH("去",D6419)),ISNUMBER(SEARCH("入",D6419)))),"Ambiguous",IF(ISNUMBER(SEARCH("平",D6419)),"平","仄")))</x:f>
        <x:v>仄</x:v>
      </x:c>
      <x:c r="L6419" s="7" t="str">
        <x:v>Pingshui main list, Lu Qinli gap fill</x:v>
      </x:c>
    </x:row>
    <x:row r="6420">
      <x:c r="A6420" s="5" t="str">
        <x:v>駪</x:v>
      </x:c>
      <x:c r="B6420" s="6" t="str">
        <x:v>平</x:v>
      </x:c>
      <x:c r="C6420" s="6" t="str">
        <x:f>IF(B6420="","Needs decision","Ready")</x:f>
        <x:v>Ready</x:v>
      </x:c>
      <x:c r="D6420" s="6" t="str">
        <x:v>平</x:v>
      </x:c>
      <x:c r="E6420" s="6" t="str"/>
      <x:c r="F6420" s="6" t="str">
        <x:v>上平聲十一真</x:v>
      </x:c>
      <x:c r="G6420" s="6" t="str">
        <x:v>Pingshui main list, Wikisource-derived DOCX</x:v>
      </x:c>
      <x:c r="H6420" s="6" t="str"/>
      <x:c r="I6420" s="6" t="str">
        <x:v>Lu Qinli gap fill from Pingshui main list; 詞 entries ignored</x:v>
      </x:c>
      <x:c r="J6420" s="6" t="str">
        <x:f>IF(B6420="","",IF(AND(ISNUMBER(SEARCH("平",B6420)),OR(ISNUMBER(SEARCH("上",B6420)),ISNUMBER(SEARCH("去",B6420)),ISNUMBER(SEARCH("入",B6420)))),"Ambiguous",IF(ISNUMBER(SEARCH("平",B6420)),"平","仄")))</x:f>
        <x:v>平</x:v>
      </x:c>
      <x:c r="K6420" s="6" t="str">
        <x:f>IF(D6420="","",IF(AND(ISNUMBER(SEARCH("平",D6420)),OR(ISNUMBER(SEARCH("上",D6420)),ISNUMBER(SEARCH("去",D6420)),ISNUMBER(SEARCH("入",D6420)))),"Ambiguous",IF(ISNUMBER(SEARCH("平",D6420)),"平","仄")))</x:f>
        <x:v>平</x:v>
      </x:c>
      <x:c r="L6420" s="7" t="str">
        <x:v>Pingshui main list, Lu Qinli gap fill</x:v>
      </x:c>
    </x:row>
    <x:row r="6421">
      <x:c r="A6421" s="5" t="str">
        <x:v>駮</x:v>
      </x:c>
      <x:c r="B6421" s="6" t="str">
        <x:v>入</x:v>
      </x:c>
      <x:c r="C6421" s="6" t="str">
        <x:f>IF(B6421="","Needs decision","Ready")</x:f>
        <x:v>Ready</x:v>
      </x:c>
      <x:c r="D6421" s="6" t="str">
        <x:v>入</x:v>
      </x:c>
      <x:c r="E6421" s="6" t="str"/>
      <x:c r="F6421" s="6" t="str">
        <x:v>入聲三覺</x:v>
      </x:c>
      <x:c r="G6421" s="6" t="str">
        <x:v>Pingshui main list, Wikisource-derived DOCX</x:v>
      </x:c>
      <x:c r="H6421" s="6" t="str"/>
      <x:c r="I6421" s="6" t="str">
        <x:v>Lu Qinli gap fill from Pingshui main list; 詞 entries ignored</x:v>
      </x:c>
      <x:c r="J6421" s="6" t="str">
        <x:f>IF(B6421="","",IF(AND(ISNUMBER(SEARCH("平",B6421)),OR(ISNUMBER(SEARCH("上",B6421)),ISNUMBER(SEARCH("去",B6421)),ISNUMBER(SEARCH("入",B6421)))),"Ambiguous",IF(ISNUMBER(SEARCH("平",B6421)),"平","仄")))</x:f>
        <x:v>仄</x:v>
      </x:c>
      <x:c r="K6421" s="6" t="str">
        <x:f>IF(D6421="","",IF(AND(ISNUMBER(SEARCH("平",D6421)),OR(ISNUMBER(SEARCH("上",D6421)),ISNUMBER(SEARCH("去",D6421)),ISNUMBER(SEARCH("入",D6421)))),"Ambiguous",IF(ISNUMBER(SEARCH("平",D6421)),"平","仄")))</x:f>
        <x:v>仄</x:v>
      </x:c>
      <x:c r="L6421" s="7" t="str">
        <x:v>Pingshui main list, Lu Qinli gap fill</x:v>
      </x:c>
    </x:row>
    <x:row r="6422">
      <x:c r="A6422" s="5" t="str">
        <x:v>駻</x:v>
      </x:c>
      <x:c r="B6422" s="6" t="str">
        <x:v>去</x:v>
      </x:c>
      <x:c r="C6422" s="6" t="str">
        <x:f>IF(B6422="","Needs decision","Ready")</x:f>
        <x:v>Ready</x:v>
      </x:c>
      <x:c r="D6422" s="6" t="str">
        <x:v>去</x:v>
      </x:c>
      <x:c r="E6422" s="6" t="str"/>
      <x:c r="F6422" s="6" t="str">
        <x:v>去聲十五翰</x:v>
      </x:c>
      <x:c r="G6422" s="6" t="str">
        <x:v>Pingshui main list, Wikisource-derived DOCX</x:v>
      </x:c>
      <x:c r="H6422" s="6" t="str"/>
      <x:c r="I6422" s="6" t="str">
        <x:v>Lu Qinli gap fill from Pingshui main list; 詞 entries ignored</x:v>
      </x:c>
      <x:c r="J6422" s="6" t="str">
        <x:f>IF(B6422="","",IF(AND(ISNUMBER(SEARCH("平",B6422)),OR(ISNUMBER(SEARCH("上",B6422)),ISNUMBER(SEARCH("去",B6422)),ISNUMBER(SEARCH("入",B6422)))),"Ambiguous",IF(ISNUMBER(SEARCH("平",B6422)),"平","仄")))</x:f>
        <x:v>仄</x:v>
      </x:c>
      <x:c r="K6422" s="6" t="str">
        <x:f>IF(D6422="","",IF(AND(ISNUMBER(SEARCH("平",D6422)),OR(ISNUMBER(SEARCH("上",D6422)),ISNUMBER(SEARCH("去",D6422)),ISNUMBER(SEARCH("入",D6422)))),"Ambiguous",IF(ISNUMBER(SEARCH("平",D6422)),"平","仄")))</x:f>
        <x:v>仄</x:v>
      </x:c>
      <x:c r="L6422" s="7" t="str">
        <x:v>Pingshui main list, Lu Qinli gap fill</x:v>
      </x:c>
    </x:row>
    <x:row r="6423">
      <x:c r="A6423" s="5" t="str">
        <x:v>駼</x:v>
      </x:c>
      <x:c r="B6423" s="6" t="str">
        <x:v>平</x:v>
      </x:c>
      <x:c r="C6423" s="6" t="str">
        <x:f>IF(B6423="","Needs decision","Ready")</x:f>
        <x:v>Ready</x:v>
      </x:c>
      <x:c r="D6423" s="6" t="str">
        <x:v>平</x:v>
      </x:c>
      <x:c r="E6423" s="6" t="str"/>
      <x:c r="F6423" s="6" t="str">
        <x:v>上平聲七虞</x:v>
      </x:c>
      <x:c r="G6423" s="6" t="str">
        <x:v>Pingshui main list, Wikisource-derived DOCX</x:v>
      </x:c>
      <x:c r="H6423" s="6" t="str"/>
      <x:c r="I6423" s="6" t="str">
        <x:v>Lu Qinli gap fill from Pingshui main list; 詞 entries ignored</x:v>
      </x:c>
      <x:c r="J6423" s="6" t="str">
        <x:f>IF(B6423="","",IF(AND(ISNUMBER(SEARCH("平",B6423)),OR(ISNUMBER(SEARCH("上",B6423)),ISNUMBER(SEARCH("去",B6423)),ISNUMBER(SEARCH("入",B6423)))),"Ambiguous",IF(ISNUMBER(SEARCH("平",B6423)),"平","仄")))</x:f>
        <x:v>平</x:v>
      </x:c>
      <x:c r="K6423" s="6" t="str">
        <x:f>IF(D6423="","",IF(AND(ISNUMBER(SEARCH("平",D6423)),OR(ISNUMBER(SEARCH("上",D6423)),ISNUMBER(SEARCH("去",D6423)),ISNUMBER(SEARCH("入",D6423)))),"Ambiguous",IF(ISNUMBER(SEARCH("平",D6423)),"平","仄")))</x:f>
        <x:v>平</x:v>
      </x:c>
      <x:c r="L6423" s="7" t="str">
        <x:v>Pingshui main list, Lu Qinli gap fill</x:v>
      </x:c>
    </x:row>
    <x:row r="6424">
      <x:c r="A6424" s="5" t="str">
        <x:v>騂</x:v>
      </x:c>
      <x:c r="B6424" s="6" t="str">
        <x:v>平</x:v>
      </x:c>
      <x:c r="C6424" s="6" t="str">
        <x:f>IF(B6424="","Needs decision","Ready")</x:f>
        <x:v>Ready</x:v>
      </x:c>
      <x:c r="D6424" s="6" t="str">
        <x:v>平</x:v>
      </x:c>
      <x:c r="E6424" s="6" t="str"/>
      <x:c r="F6424" s="6" t="str">
        <x:v>下平聲八庚</x:v>
      </x:c>
      <x:c r="G6424" s="6" t="str">
        <x:v>Pingshui main list, Wikisource-derived DOCX</x:v>
      </x:c>
      <x:c r="H6424" s="6" t="str"/>
      <x:c r="I6424" s="6" t="str">
        <x:v>Lu Qinli gap fill from Pingshui main list; 詞 entries ignored</x:v>
      </x:c>
      <x:c r="J6424" s="6" t="str">
        <x:f>IF(B6424="","",IF(AND(ISNUMBER(SEARCH("平",B6424)),OR(ISNUMBER(SEARCH("上",B6424)),ISNUMBER(SEARCH("去",B6424)),ISNUMBER(SEARCH("入",B6424)))),"Ambiguous",IF(ISNUMBER(SEARCH("平",B6424)),"平","仄")))</x:f>
        <x:v>平</x:v>
      </x:c>
      <x:c r="K6424" s="6" t="str">
        <x:f>IF(D6424="","",IF(AND(ISNUMBER(SEARCH("平",D6424)),OR(ISNUMBER(SEARCH("上",D6424)),ISNUMBER(SEARCH("去",D6424)),ISNUMBER(SEARCH("入",D6424)))),"Ambiguous",IF(ISNUMBER(SEARCH("平",D6424)),"平","仄")))</x:f>
        <x:v>平</x:v>
      </x:c>
      <x:c r="L6424" s="7" t="str">
        <x:v>Pingshui main list, Lu Qinli gap fill</x:v>
      </x:c>
    </x:row>
    <x:row r="6425">
      <x:c r="A6425" s="5" t="str">
        <x:v>騄</x:v>
      </x:c>
      <x:c r="B6425" s="6" t="str">
        <x:v>入</x:v>
      </x:c>
      <x:c r="C6425" s="6" t="str">
        <x:f>IF(B6425="","Needs decision","Ready")</x:f>
        <x:v>Ready</x:v>
      </x:c>
      <x:c r="D6425" s="6" t="str">
        <x:v>入</x:v>
      </x:c>
      <x:c r="E6425" s="6" t="str"/>
      <x:c r="F6425" s="6" t="str">
        <x:v>入聲二沃</x:v>
      </x:c>
      <x:c r="G6425" s="6" t="str">
        <x:v>Pingshui main list, Wikisource-derived DOCX</x:v>
      </x:c>
      <x:c r="H6425" s="6" t="str"/>
      <x:c r="I6425" s="6" t="str">
        <x:v>Lu Qinli gap fill from Pingshui main list; 詞 entries ignored</x:v>
      </x:c>
      <x:c r="J6425" s="6" t="str">
        <x:f>IF(B6425="","",IF(AND(ISNUMBER(SEARCH("平",B6425)),OR(ISNUMBER(SEARCH("上",B6425)),ISNUMBER(SEARCH("去",B6425)),ISNUMBER(SEARCH("入",B6425)))),"Ambiguous",IF(ISNUMBER(SEARCH("平",B6425)),"平","仄")))</x:f>
        <x:v>仄</x:v>
      </x:c>
      <x:c r="K6425" s="6" t="str">
        <x:f>IF(D6425="","",IF(AND(ISNUMBER(SEARCH("平",D6425)),OR(ISNUMBER(SEARCH("上",D6425)),ISNUMBER(SEARCH("去",D6425)),ISNUMBER(SEARCH("入",D6425)))),"Ambiguous",IF(ISNUMBER(SEARCH("平",D6425)),"平","仄")))</x:f>
        <x:v>仄</x:v>
      </x:c>
      <x:c r="L6425" s="7" t="str">
        <x:v>Pingshui main list, Lu Qinli gap fill</x:v>
      </x:c>
    </x:row>
    <x:row r="6426">
      <x:c r="A6426" s="5" t="str">
        <x:v>騊</x:v>
      </x:c>
      <x:c r="B6426" s="6" t="str">
        <x:v>平</x:v>
      </x:c>
      <x:c r="C6426" s="6" t="str">
        <x:f>IF(B6426="","Needs decision","Ready")</x:f>
        <x:v>Ready</x:v>
      </x:c>
      <x:c r="D6426" s="6" t="str">
        <x:v>平</x:v>
      </x:c>
      <x:c r="E6426" s="6" t="str"/>
      <x:c r="F6426" s="6" t="str">
        <x:v>下平聲四豪</x:v>
      </x:c>
      <x:c r="G6426" s="6" t="str">
        <x:v>Pingshui main list, Wikisource-derived DOCX</x:v>
      </x:c>
      <x:c r="H6426" s="6" t="str"/>
      <x:c r="I6426" s="6" t="str">
        <x:v>Lu Qinli gap fill from Pingshui main list; 詞 entries ignored</x:v>
      </x:c>
      <x:c r="J6426" s="6" t="str">
        <x:f>IF(B6426="","",IF(AND(ISNUMBER(SEARCH("平",B6426)),OR(ISNUMBER(SEARCH("上",B6426)),ISNUMBER(SEARCH("去",B6426)),ISNUMBER(SEARCH("入",B6426)))),"Ambiguous",IF(ISNUMBER(SEARCH("平",B6426)),"平","仄")))</x:f>
        <x:v>平</x:v>
      </x:c>
      <x:c r="K6426" s="6" t="str">
        <x:f>IF(D6426="","",IF(AND(ISNUMBER(SEARCH("平",D6426)),OR(ISNUMBER(SEARCH("上",D6426)),ISNUMBER(SEARCH("去",D6426)),ISNUMBER(SEARCH("入",D6426)))),"Ambiguous",IF(ISNUMBER(SEARCH("平",D6426)),"平","仄")))</x:f>
        <x:v>平</x:v>
      </x:c>
      <x:c r="L6426" s="7" t="str">
        <x:v>Pingshui main list, Lu Qinli gap fill</x:v>
      </x:c>
    </x:row>
    <x:row r="6427">
      <x:c r="A6427" s="5" t="str">
        <x:v>騑</x:v>
      </x:c>
      <x:c r="B6427" s="6" t="str">
        <x:v>平</x:v>
      </x:c>
      <x:c r="C6427" s="6" t="str">
        <x:f>IF(B6427="","Needs decision","Ready")</x:f>
        <x:v>Ready</x:v>
      </x:c>
      <x:c r="D6427" s="6" t="str">
        <x:v>平</x:v>
      </x:c>
      <x:c r="E6427" s="6" t="str"/>
      <x:c r="F6427" s="6" t="str">
        <x:v>上平聲五微</x:v>
      </x:c>
      <x:c r="G6427" s="6" t="str">
        <x:v>Pingshui main list, Wikisource-derived DOCX</x:v>
      </x:c>
      <x:c r="H6427" s="6" t="str"/>
      <x:c r="I6427" s="6" t="str">
        <x:v>Lu Qinli gap fill from Pingshui main list; 詞 entries ignored</x:v>
      </x:c>
      <x:c r="J6427" s="6" t="str">
        <x:f>IF(B6427="","",IF(AND(ISNUMBER(SEARCH("平",B6427)),OR(ISNUMBER(SEARCH("上",B6427)),ISNUMBER(SEARCH("去",B6427)),ISNUMBER(SEARCH("入",B6427)))),"Ambiguous",IF(ISNUMBER(SEARCH("平",B6427)),"平","仄")))</x:f>
        <x:v>平</x:v>
      </x:c>
      <x:c r="K6427" s="6" t="str">
        <x:f>IF(D6427="","",IF(AND(ISNUMBER(SEARCH("平",D6427)),OR(ISNUMBER(SEARCH("上",D6427)),ISNUMBER(SEARCH("去",D6427)),ISNUMBER(SEARCH("入",D6427)))),"Ambiguous",IF(ISNUMBER(SEARCH("平",D6427)),"平","仄")))</x:f>
        <x:v>平</x:v>
      </x:c>
      <x:c r="L6427" s="7" t="str">
        <x:v>Pingshui main list, Lu Qinli gap fill</x:v>
      </x:c>
    </x:row>
    <x:row r="6428">
      <x:c r="A6428" s="5" t="str">
        <x:v>騝</x:v>
      </x:c>
      <x:c r="B6428" s="6" t="str">
        <x:v>平</x:v>
      </x:c>
      <x:c r="C6428" s="6" t="str">
        <x:f>IF(B6428="","Needs decision","Ready")</x:f>
        <x:v>Ready</x:v>
      </x:c>
      <x:c r="D6428" s="6" t="str">
        <x:v>平</x:v>
      </x:c>
      <x:c r="E6428" s="6" t="str"/>
      <x:c r="F6428" s="6" t="str">
        <x:v>下平聲一先</x:v>
      </x:c>
      <x:c r="G6428" s="6" t="str">
        <x:v>Pingshui main list, Wikisource-derived DOCX</x:v>
      </x:c>
      <x:c r="H6428" s="6" t="str"/>
      <x:c r="I6428" s="6" t="str">
        <x:v>Lu Qinli gap fill from Pingshui main list; 詞 entries ignored</x:v>
      </x:c>
      <x:c r="J6428" s="6" t="str">
        <x:f>IF(B6428="","",IF(AND(ISNUMBER(SEARCH("平",B6428)),OR(ISNUMBER(SEARCH("上",B6428)),ISNUMBER(SEARCH("去",B6428)),ISNUMBER(SEARCH("入",B6428)))),"Ambiguous",IF(ISNUMBER(SEARCH("平",B6428)),"平","仄")))</x:f>
        <x:v>平</x:v>
      </x:c>
      <x:c r="K6428" s="6" t="str">
        <x:f>IF(D6428="","",IF(AND(ISNUMBER(SEARCH("平",D6428)),OR(ISNUMBER(SEARCH("上",D6428)),ISNUMBER(SEARCH("去",D6428)),ISNUMBER(SEARCH("入",D6428)))),"Ambiguous",IF(ISNUMBER(SEARCH("平",D6428)),"平","仄")))</x:f>
        <x:v>平</x:v>
      </x:c>
      <x:c r="L6428" s="7" t="str">
        <x:v>Pingshui main list, Lu Qinli gap fill</x:v>
      </x:c>
    </x:row>
    <x:row r="6429">
      <x:c r="A6429" s="5" t="str">
        <x:v>騣</x:v>
      </x:c>
      <x:c r="B6429" s="6" t="str">
        <x:v>平</x:v>
      </x:c>
      <x:c r="C6429" s="6" t="str">
        <x:f>IF(B6429="","Needs decision","Ready")</x:f>
        <x:v>Ready</x:v>
      </x:c>
      <x:c r="D6429" s="6" t="str">
        <x:v>平</x:v>
      </x:c>
      <x:c r="E6429" s="6" t="str"/>
      <x:c r="F6429" s="6" t="str">
        <x:v>上平聲一東</x:v>
      </x:c>
      <x:c r="G6429" s="6" t="str">
        <x:v>Pingshui main list, Wikisource-derived DOCX</x:v>
      </x:c>
      <x:c r="H6429" s="6" t="str"/>
      <x:c r="I6429" s="6" t="str">
        <x:v>Lu Qinli gap fill from Pingshui main list; 詞 entries ignored</x:v>
      </x:c>
      <x:c r="J6429" s="6" t="str">
        <x:f>IF(B6429="","",IF(AND(ISNUMBER(SEARCH("平",B6429)),OR(ISNUMBER(SEARCH("上",B6429)),ISNUMBER(SEARCH("去",B6429)),ISNUMBER(SEARCH("入",B6429)))),"Ambiguous",IF(ISNUMBER(SEARCH("平",B6429)),"平","仄")))</x:f>
        <x:v>平</x:v>
      </x:c>
      <x:c r="K6429" s="6" t="str">
        <x:f>IF(D6429="","",IF(AND(ISNUMBER(SEARCH("平",D6429)),OR(ISNUMBER(SEARCH("上",D6429)),ISNUMBER(SEARCH("去",D6429)),ISNUMBER(SEARCH("入",D6429)))),"Ambiguous",IF(ISNUMBER(SEARCH("平",D6429)),"平","仄")))</x:f>
        <x:v>平</x:v>
      </x:c>
      <x:c r="L6429" s="7" t="str">
        <x:v>Pingshui main list, Lu Qinli gap fill</x:v>
      </x:c>
    </x:row>
    <x:row r="6430">
      <x:c r="A6430" s="5" t="str">
        <x:v>騤</x:v>
      </x:c>
      <x:c r="B6430" s="6" t="str">
        <x:v>平</x:v>
      </x:c>
      <x:c r="C6430" s="6" t="str">
        <x:f>IF(B6430="","Needs decision","Ready")</x:f>
        <x:v>Ready</x:v>
      </x:c>
      <x:c r="D6430" s="6" t="str">
        <x:v>平</x:v>
      </x:c>
      <x:c r="E6430" s="6" t="str"/>
      <x:c r="F6430" s="6" t="str">
        <x:v>上平聲四支</x:v>
      </x:c>
      <x:c r="G6430" s="6" t="str">
        <x:v>Pingshui main list, Wikisource-derived DOCX</x:v>
      </x:c>
      <x:c r="H6430" s="6" t="str"/>
      <x:c r="I6430" s="6" t="str">
        <x:v>Lu Qinli gap fill from Pingshui main list; 詞 entries ignored</x:v>
      </x:c>
      <x:c r="J6430" s="6" t="str">
        <x:f>IF(B6430="","",IF(AND(ISNUMBER(SEARCH("平",B6430)),OR(ISNUMBER(SEARCH("上",B6430)),ISNUMBER(SEARCH("去",B6430)),ISNUMBER(SEARCH("入",B6430)))),"Ambiguous",IF(ISNUMBER(SEARCH("平",B6430)),"平","仄")))</x:f>
        <x:v>平</x:v>
      </x:c>
      <x:c r="K6430" s="6" t="str">
        <x:f>IF(D6430="","",IF(AND(ISNUMBER(SEARCH("平",D6430)),OR(ISNUMBER(SEARCH("上",D6430)),ISNUMBER(SEARCH("去",D6430)),ISNUMBER(SEARCH("入",D6430)))),"Ambiguous",IF(ISNUMBER(SEARCH("平",D6430)),"平","仄")))</x:f>
        <x:v>平</x:v>
      </x:c>
      <x:c r="L6430" s="7" t="str">
        <x:v>Pingshui main list, Lu Qinli gap fill</x:v>
      </x:c>
    </x:row>
    <x:row r="6431">
      <x:c r="A6431" s="5" t="str">
        <x:v>騩</x:v>
      </x:c>
      <x:c r="B6431" s="6" t="str">
        <x:v>平</x:v>
      </x:c>
      <x:c r="C6431" s="6" t="str">
        <x:f>IF(B6431="","Needs decision","Ready")</x:f>
        <x:v>Ready</x:v>
      </x:c>
      <x:c r="D6431" s="6" t="str">
        <x:v>平</x:v>
      </x:c>
      <x:c r="E6431" s="6" t="str"/>
      <x:c r="F6431" s="6" t="str">
        <x:v>上平聲四支; 上平聲五微</x:v>
      </x:c>
      <x:c r="G6431" s="6" t="str">
        <x:v>Pingshui main list, Wikisource-derived DOCX</x:v>
      </x:c>
      <x:c r="H6431" s="6" t="str"/>
      <x:c r="I6431" s="6" t="str">
        <x:v>Lu Qinli gap fill from Pingshui main list; 詞 entries ignored</x:v>
      </x:c>
      <x:c r="J6431" s="6" t="str">
        <x:f>IF(B6431="","",IF(AND(ISNUMBER(SEARCH("平",B6431)),OR(ISNUMBER(SEARCH("上",B6431)),ISNUMBER(SEARCH("去",B6431)),ISNUMBER(SEARCH("入",B6431)))),"Ambiguous",IF(ISNUMBER(SEARCH("平",B6431)),"平","仄")))</x:f>
        <x:v>平</x:v>
      </x:c>
      <x:c r="K6431" s="6" t="str">
        <x:f>IF(D6431="","",IF(AND(ISNUMBER(SEARCH("平",D6431)),OR(ISNUMBER(SEARCH("上",D6431)),ISNUMBER(SEARCH("去",D6431)),ISNUMBER(SEARCH("入",D6431)))),"Ambiguous",IF(ISNUMBER(SEARCH("平",D6431)),"平","仄")))</x:f>
        <x:v>平</x:v>
      </x:c>
      <x:c r="L6431" s="7" t="str">
        <x:v>Pingshui main list, Lu Qinli gap fill</x:v>
      </x:c>
    </x:row>
    <x:row r="6432">
      <x:c r="A6432" s="5" t="str">
        <x:v>騫</x:v>
      </x:c>
      <x:c r="B6432" s="6" t="str">
        <x:v>平</x:v>
      </x:c>
      <x:c r="C6432" s="6" t="str">
        <x:f>IF(B6432="","Needs decision","Ready")</x:f>
        <x:v>Ready</x:v>
      </x:c>
      <x:c r="D6432" s="6" t="str">
        <x:v>平</x:v>
      </x:c>
      <x:c r="E6432" s="6" t="str"/>
      <x:c r="F6432" s="6" t="str">
        <x:v>下平聲一先</x:v>
      </x:c>
      <x:c r="G6432" s="6" t="str">
        <x:v>Pingshui main list, Wikisource-derived DOCX</x:v>
      </x:c>
      <x:c r="H6432" s="6" t="str"/>
      <x:c r="I6432" s="6" t="str">
        <x:v>Lu Qinli gap fill from Pingshui main list; 詞 entries ignored</x:v>
      </x:c>
      <x:c r="J6432" s="6" t="str">
        <x:f>IF(B6432="","",IF(AND(ISNUMBER(SEARCH("平",B6432)),OR(ISNUMBER(SEARCH("上",B6432)),ISNUMBER(SEARCH("去",B6432)),ISNUMBER(SEARCH("入",B6432)))),"Ambiguous",IF(ISNUMBER(SEARCH("平",B6432)),"平","仄")))</x:f>
        <x:v>平</x:v>
      </x:c>
      <x:c r="K6432" s="6" t="str">
        <x:f>IF(D6432="","",IF(AND(ISNUMBER(SEARCH("平",D6432)),OR(ISNUMBER(SEARCH("上",D6432)),ISNUMBER(SEARCH("去",D6432)),ISNUMBER(SEARCH("入",D6432)))),"Ambiguous",IF(ISNUMBER(SEARCH("平",D6432)),"平","仄")))</x:f>
        <x:v>平</x:v>
      </x:c>
      <x:c r="L6432" s="7" t="str">
        <x:v>Pingshui main list, Lu Qinli gap fill</x:v>
      </x:c>
    </x:row>
    <x:row r="6433">
      <x:c r="A6433" s="5" t="str">
        <x:v>騭</x:v>
      </x:c>
      <x:c r="B6433" s="6" t="str">
        <x:v>入</x:v>
      </x:c>
      <x:c r="C6433" s="6" t="str">
        <x:f>IF(B6433="","Needs decision","Ready")</x:f>
        <x:v>Ready</x:v>
      </x:c>
      <x:c r="D6433" s="6" t="str">
        <x:v>入</x:v>
      </x:c>
      <x:c r="E6433" s="6" t="str"/>
      <x:c r="F6433" s="6" t="str">
        <x:v>入聲四質</x:v>
      </x:c>
      <x:c r="G6433" s="6" t="str">
        <x:v>Pingshui main list, Wikisource-derived DOCX</x:v>
      </x:c>
      <x:c r="H6433" s="6" t="str"/>
      <x:c r="I6433" s="6" t="str">
        <x:v>Lu Qinli gap fill from Pingshui main list; 詞 entries ignored</x:v>
      </x:c>
      <x:c r="J6433" s="6" t="str">
        <x:f>IF(B6433="","",IF(AND(ISNUMBER(SEARCH("平",B6433)),OR(ISNUMBER(SEARCH("上",B6433)),ISNUMBER(SEARCH("去",B6433)),ISNUMBER(SEARCH("入",B6433)))),"Ambiguous",IF(ISNUMBER(SEARCH("平",B6433)),"平","仄")))</x:f>
        <x:v>仄</x:v>
      </x:c>
      <x:c r="K6433" s="6" t="str">
        <x:f>IF(D6433="","",IF(AND(ISNUMBER(SEARCH("平",D6433)),OR(ISNUMBER(SEARCH("上",D6433)),ISNUMBER(SEARCH("去",D6433)),ISNUMBER(SEARCH("入",D6433)))),"Ambiguous",IF(ISNUMBER(SEARCH("平",D6433)),"平","仄")))</x:f>
        <x:v>仄</x:v>
      </x:c>
      <x:c r="L6433" s="7" t="str">
        <x:v>Pingshui main list, Lu Qinli gap fill</x:v>
      </x:c>
    </x:row>
    <x:row r="6434">
      <x:c r="A6434" s="5" t="str">
        <x:v>驃</x:v>
      </x:c>
      <x:c r="B6434" s="6" t="str">
        <x:v>去</x:v>
      </x:c>
      <x:c r="C6434" s="6" t="str">
        <x:f>IF(B6434="","Needs decision","Ready")</x:f>
        <x:v>Ready</x:v>
      </x:c>
      <x:c r="D6434" s="6" t="str">
        <x:v>去</x:v>
      </x:c>
      <x:c r="E6434" s="6" t="str"/>
      <x:c r="F6434" s="6" t="str">
        <x:v>去聲十八嘯</x:v>
      </x:c>
      <x:c r="G6434" s="6" t="str">
        <x:v>Pingshui main list, Wikisource-derived DOCX</x:v>
      </x:c>
      <x:c r="H6434" s="6" t="str"/>
      <x:c r="I6434" s="6" t="str">
        <x:v>Lu Qinli gap fill from Pingshui main list; 詞 entries ignored</x:v>
      </x:c>
      <x:c r="J6434" s="6" t="str">
        <x:f>IF(B6434="","",IF(AND(ISNUMBER(SEARCH("平",B6434)),OR(ISNUMBER(SEARCH("上",B6434)),ISNUMBER(SEARCH("去",B6434)),ISNUMBER(SEARCH("入",B6434)))),"Ambiguous",IF(ISNUMBER(SEARCH("平",B6434)),"平","仄")))</x:f>
        <x:v>仄</x:v>
      </x:c>
      <x:c r="K6434" s="6" t="str">
        <x:f>IF(D6434="","",IF(AND(ISNUMBER(SEARCH("平",D6434)),OR(ISNUMBER(SEARCH("上",D6434)),ISNUMBER(SEARCH("去",D6434)),ISNUMBER(SEARCH("入",D6434)))),"Ambiguous",IF(ISNUMBER(SEARCH("平",D6434)),"平","仄")))</x:f>
        <x:v>仄</x:v>
      </x:c>
      <x:c r="L6434" s="7" t="str">
        <x:v>Pingshui main list, Lu Qinli gap fill</x:v>
      </x:c>
    </x:row>
    <x:row r="6435">
      <x:c r="A6435" s="5" t="str">
        <x:v>驍</x:v>
      </x:c>
      <x:c r="B6435" s="6" t="str">
        <x:v>平</x:v>
      </x:c>
      <x:c r="C6435" s="6" t="str">
        <x:f>IF(B6435="","Needs decision","Ready")</x:f>
        <x:v>Ready</x:v>
      </x:c>
      <x:c r="D6435" s="6" t="str">
        <x:v>平</x:v>
      </x:c>
      <x:c r="E6435" s="6" t="str"/>
      <x:c r="F6435" s="6" t="str">
        <x:v>下平聲二蕭</x:v>
      </x:c>
      <x:c r="G6435" s="6" t="str">
        <x:v>Pingshui main list, Wikisource-derived DOCX</x:v>
      </x:c>
      <x:c r="H6435" s="6" t="str"/>
      <x:c r="I6435" s="6" t="str">
        <x:v>Lu Qinli gap fill from Pingshui main list; 詞 entries ignored</x:v>
      </x:c>
      <x:c r="J6435" s="6" t="str">
        <x:f>IF(B6435="","",IF(AND(ISNUMBER(SEARCH("平",B6435)),OR(ISNUMBER(SEARCH("上",B6435)),ISNUMBER(SEARCH("去",B6435)),ISNUMBER(SEARCH("入",B6435)))),"Ambiguous",IF(ISNUMBER(SEARCH("平",B6435)),"平","仄")))</x:f>
        <x:v>平</x:v>
      </x:c>
      <x:c r="K6435" s="6" t="str">
        <x:f>IF(D6435="","",IF(AND(ISNUMBER(SEARCH("平",D6435)),OR(ISNUMBER(SEARCH("上",D6435)),ISNUMBER(SEARCH("去",D6435)),ISNUMBER(SEARCH("入",D6435)))),"Ambiguous",IF(ISNUMBER(SEARCH("平",D6435)),"平","仄")))</x:f>
        <x:v>平</x:v>
      </x:c>
      <x:c r="L6435" s="7" t="str">
        <x:v>Pingshui main list, Lu Qinli gap fill</x:v>
      </x:c>
    </x:row>
    <x:row r="6436">
      <x:c r="A6436" s="5" t="str">
        <x:v>驎</x:v>
      </x:c>
      <x:c r="B6436" s="6" t="str"/>
      <x:c r="C6436" s="6" t="str">
        <x:f>IF(B6436="","Needs decision","Ready")</x:f>
        <x:v>Needs decision</x:v>
      </x:c>
      <x:c r="D6436" s="6" t="str">
        <x:v>平/去</x:v>
      </x:c>
      <x:c r="E6436" s="6" t="str"/>
      <x:c r="F6436" s="6" t="str">
        <x:v>上平聲十一真; 去聲十二震</x:v>
      </x:c>
      <x:c r="G6436" s="6" t="str">
        <x:v>Pingshui main list, Wikisource-derived DOCX</x:v>
      </x:c>
      <x:c r="H6436" s="6" t="str"/>
      <x:c r="I6436" s="6" t="str">
        <x:v>Lu Qinli gap fill from Pingshui main list; 詞 entries ignored</x:v>
      </x:c>
      <x:c r="J6436" s="6" t="str">
        <x:f>IF(B6436="","",IF(AND(ISNUMBER(SEARCH("平",B6436)),OR(ISNUMBER(SEARCH("上",B6436)),ISNUMBER(SEARCH("去",B6436)),ISNUMBER(SEARCH("入",B6436)))),"Ambiguous",IF(ISNUMBER(SEARCH("平",B6436)),"平","仄")))</x:f>
      </x:c>
      <x:c r="K6436" s="6" t="str">
        <x:f>IF(D6436="","",IF(AND(ISNUMBER(SEARCH("平",D6436)),OR(ISNUMBER(SEARCH("上",D6436)),ISNUMBER(SEARCH("去",D6436)),ISNUMBER(SEARCH("入",D6436)))),"Ambiguous",IF(ISNUMBER(SEARCH("平",D6436)),"平","仄")))</x:f>
        <x:v>Ambiguous</x:v>
      </x:c>
      <x:c r="L6436" s="7" t="str">
        <x:v>Pingshui main list, Lu Qinli gap fill</x:v>
      </x:c>
    </x:row>
    <x:row r="6437">
      <x:c r="A6437" s="5" t="str">
        <x:v>驢</x:v>
      </x:c>
      <x:c r="B6437" s="6" t="str">
        <x:v>平</x:v>
      </x:c>
      <x:c r="C6437" s="6" t="str">
        <x:f>IF(B6437="","Needs decision","Ready")</x:f>
        <x:v>Ready</x:v>
      </x:c>
      <x:c r="D6437" s="6" t="str">
        <x:v>平</x:v>
      </x:c>
      <x:c r="E6437" s="6" t="str"/>
      <x:c r="F6437" s="6" t="str">
        <x:v>上平聲六魚</x:v>
      </x:c>
      <x:c r="G6437" s="6" t="str">
        <x:v>Pingshui main list, Wikisource-derived DOCX</x:v>
      </x:c>
      <x:c r="H6437" s="6" t="str"/>
      <x:c r="I6437" s="6" t="str">
        <x:v>Lu Qinli gap fill from Pingshui main list; 詞 entries ignored</x:v>
      </x:c>
      <x:c r="J6437" s="6" t="str">
        <x:f>IF(B6437="","",IF(AND(ISNUMBER(SEARCH("平",B6437)),OR(ISNUMBER(SEARCH("上",B6437)),ISNUMBER(SEARCH("去",B6437)),ISNUMBER(SEARCH("入",B6437)))),"Ambiguous",IF(ISNUMBER(SEARCH("平",B6437)),"平","仄")))</x:f>
        <x:v>平</x:v>
      </x:c>
      <x:c r="K6437" s="6" t="str">
        <x:f>IF(D6437="","",IF(AND(ISNUMBER(SEARCH("平",D6437)),OR(ISNUMBER(SEARCH("上",D6437)),ISNUMBER(SEARCH("去",D6437)),ISNUMBER(SEARCH("入",D6437)))),"Ambiguous",IF(ISNUMBER(SEARCH("平",D6437)),"平","仄")))</x:f>
        <x:v>平</x:v>
      </x:c>
      <x:c r="L6437" s="7" t="str">
        <x:v>Pingshui main list, Lu Qinli gap fill</x:v>
      </x:c>
    </x:row>
    <x:row r="6438">
      <x:c r="A6438" s="5" t="str">
        <x:v>驦</x:v>
      </x:c>
      <x:c r="B6438" s="6" t="str">
        <x:v>平</x:v>
      </x:c>
      <x:c r="C6438" s="6" t="str">
        <x:f>IF(B6438="","Needs decision","Ready")</x:f>
        <x:v>Ready</x:v>
      </x:c>
      <x:c r="D6438" s="6" t="str">
        <x:v>平</x:v>
      </x:c>
      <x:c r="E6438" s="6" t="str"/>
      <x:c r="F6438" s="6" t="str">
        <x:v>下平聲七陽</x:v>
      </x:c>
      <x:c r="G6438" s="6" t="str">
        <x:v>Pingshui main list, Wikisource-derived DOCX</x:v>
      </x:c>
      <x:c r="H6438" s="6" t="str"/>
      <x:c r="I6438" s="6" t="str">
        <x:v>Lu Qinli gap fill from Pingshui main list; 詞 entries ignored</x:v>
      </x:c>
      <x:c r="J6438" s="6" t="str">
        <x:f>IF(B6438="","",IF(AND(ISNUMBER(SEARCH("平",B6438)),OR(ISNUMBER(SEARCH("上",B6438)),ISNUMBER(SEARCH("去",B6438)),ISNUMBER(SEARCH("入",B6438)))),"Ambiguous",IF(ISNUMBER(SEARCH("平",B6438)),"平","仄")))</x:f>
        <x:v>平</x:v>
      </x:c>
      <x:c r="K6438" s="6" t="str">
        <x:f>IF(D6438="","",IF(AND(ISNUMBER(SEARCH("平",D6438)),OR(ISNUMBER(SEARCH("上",D6438)),ISNUMBER(SEARCH("去",D6438)),ISNUMBER(SEARCH("入",D6438)))),"Ambiguous",IF(ISNUMBER(SEARCH("平",D6438)),"平","仄")))</x:f>
        <x:v>平</x:v>
      </x:c>
      <x:c r="L6438" s="7" t="str">
        <x:v>Pingshui main list, Lu Qinli gap fill</x:v>
      </x:c>
    </x:row>
    <x:row r="6439">
      <x:c r="A6439" s="5" t="str">
        <x:v>骭</x:v>
      </x:c>
      <x:c r="B6439" s="6" t="str">
        <x:v>去</x:v>
      </x:c>
      <x:c r="C6439" s="6" t="str">
        <x:f>IF(B6439="","Needs decision","Ready")</x:f>
        <x:v>Ready</x:v>
      </x:c>
      <x:c r="D6439" s="6" t="str">
        <x:v>去</x:v>
      </x:c>
      <x:c r="E6439" s="6" t="str"/>
      <x:c r="F6439" s="6" t="str">
        <x:v>去聲十五翰; 去聲十六諫</x:v>
      </x:c>
      <x:c r="G6439" s="6" t="str">
        <x:v>Pingshui main list, Wikisource-derived DOCX</x:v>
      </x:c>
      <x:c r="H6439" s="6" t="str"/>
      <x:c r="I6439" s="6" t="str">
        <x:v>Lu Qinli gap fill from Pingshui main list; 詞 entries ignored</x:v>
      </x:c>
      <x:c r="J6439" s="6" t="str">
        <x:f>IF(B6439="","",IF(AND(ISNUMBER(SEARCH("平",B6439)),OR(ISNUMBER(SEARCH("上",B6439)),ISNUMBER(SEARCH("去",B6439)),ISNUMBER(SEARCH("入",B6439)))),"Ambiguous",IF(ISNUMBER(SEARCH("平",B6439)),"平","仄")))</x:f>
        <x:v>仄</x:v>
      </x:c>
      <x:c r="K6439" s="6" t="str">
        <x:f>IF(D6439="","",IF(AND(ISNUMBER(SEARCH("平",D6439)),OR(ISNUMBER(SEARCH("上",D6439)),ISNUMBER(SEARCH("去",D6439)),ISNUMBER(SEARCH("入",D6439)))),"Ambiguous",IF(ISNUMBER(SEARCH("平",D6439)),"平","仄")))</x:f>
        <x:v>仄</x:v>
      </x:c>
      <x:c r="L6439" s="7" t="str">
        <x:v>Pingshui main list, Lu Qinli gap fill</x:v>
      </x:c>
    </x:row>
    <x:row r="6440">
      <x:c r="A6440" s="5" t="str">
        <x:v>髏</x:v>
      </x:c>
      <x:c r="B6440" s="6" t="str">
        <x:v>平</x:v>
      </x:c>
      <x:c r="C6440" s="6" t="str">
        <x:f>IF(B6440="","Needs decision","Ready")</x:f>
        <x:v>Ready</x:v>
      </x:c>
      <x:c r="D6440" s="6" t="str">
        <x:v>平</x:v>
      </x:c>
      <x:c r="E6440" s="6" t="str"/>
      <x:c r="F6440" s="6" t="str">
        <x:v>下平聲十一尤</x:v>
      </x:c>
      <x:c r="G6440" s="6" t="str">
        <x:v>Pingshui main list, Wikisource-derived DOCX</x:v>
      </x:c>
      <x:c r="H6440" s="6" t="str"/>
      <x:c r="I6440" s="6" t="str">
        <x:v>Lu Qinli gap fill from Pingshui main list; 詞 entries ignored</x:v>
      </x:c>
      <x:c r="J6440" s="6" t="str">
        <x:f>IF(B6440="","",IF(AND(ISNUMBER(SEARCH("平",B6440)),OR(ISNUMBER(SEARCH("上",B6440)),ISNUMBER(SEARCH("去",B6440)),ISNUMBER(SEARCH("入",B6440)))),"Ambiguous",IF(ISNUMBER(SEARCH("平",B6440)),"平","仄")))</x:f>
        <x:v>平</x:v>
      </x:c>
      <x:c r="K6440" s="6" t="str">
        <x:f>IF(D6440="","",IF(AND(ISNUMBER(SEARCH("平",D6440)),OR(ISNUMBER(SEARCH("上",D6440)),ISNUMBER(SEARCH("去",D6440)),ISNUMBER(SEARCH("入",D6440)))),"Ambiguous",IF(ISNUMBER(SEARCH("平",D6440)),"平","仄")))</x:f>
        <x:v>平</x:v>
      </x:c>
      <x:c r="L6440" s="7" t="str">
        <x:v>Pingshui main list, Lu Qinli gap fill</x:v>
      </x:c>
    </x:row>
    <x:row r="6441">
      <x:c r="A6441" s="5" t="str">
        <x:v>髑</x:v>
      </x:c>
      <x:c r="B6441" s="6" t="str">
        <x:v>入</x:v>
      </x:c>
      <x:c r="C6441" s="6" t="str">
        <x:f>IF(B6441="","Needs decision","Ready")</x:f>
        <x:v>Ready</x:v>
      </x:c>
      <x:c r="D6441" s="6" t="str">
        <x:v>入</x:v>
      </x:c>
      <x:c r="E6441" s="6" t="str"/>
      <x:c r="F6441" s="6" t="str">
        <x:v>入聲一屋</x:v>
      </x:c>
      <x:c r="G6441" s="6" t="str">
        <x:v>Pingshui main list, Wikisource-derived DOCX</x:v>
      </x:c>
      <x:c r="H6441" s="6" t="str"/>
      <x:c r="I6441" s="6" t="str">
        <x:v>Lu Qinli gap fill from Pingshui main list; 詞 entries ignored</x:v>
      </x:c>
      <x:c r="J6441" s="6" t="str">
        <x:f>IF(B6441="","",IF(AND(ISNUMBER(SEARCH("平",B6441)),OR(ISNUMBER(SEARCH("上",B6441)),ISNUMBER(SEARCH("去",B6441)),ISNUMBER(SEARCH("入",B6441)))),"Ambiguous",IF(ISNUMBER(SEARCH("平",B6441)),"平","仄")))</x:f>
        <x:v>仄</x:v>
      </x:c>
      <x:c r="K6441" s="6" t="str">
        <x:f>IF(D6441="","",IF(AND(ISNUMBER(SEARCH("平",D6441)),OR(ISNUMBER(SEARCH("上",D6441)),ISNUMBER(SEARCH("去",D6441)),ISNUMBER(SEARCH("入",D6441)))),"Ambiguous",IF(ISNUMBER(SEARCH("平",D6441)),"平","仄")))</x:f>
        <x:v>仄</x:v>
      </x:c>
      <x:c r="L6441" s="7" t="str">
        <x:v>Pingshui main list, Lu Qinli gap fill</x:v>
      </x:c>
    </x:row>
    <x:row r="6442">
      <x:c r="A6442" s="5" t="str">
        <x:v>髒</x:v>
      </x:c>
      <x:c r="B6442" s="6" t="str">
        <x:v>上</x:v>
      </x:c>
      <x:c r="C6442" s="6" t="str">
        <x:f>IF(B6442="","Needs decision","Ready")</x:f>
        <x:v>Ready</x:v>
      </x:c>
      <x:c r="D6442" s="6" t="str">
        <x:v>上</x:v>
      </x:c>
      <x:c r="E6442" s="6" t="str"/>
      <x:c r="F6442" s="6" t="str">
        <x:v>上聲二十二養</x:v>
      </x:c>
      <x:c r="G6442" s="6" t="str">
        <x:v>Pingshui main list, Wikisource-derived DOCX</x:v>
      </x:c>
      <x:c r="H6442" s="6" t="str"/>
      <x:c r="I6442" s="6" t="str">
        <x:v>Lu Qinli gap fill from Pingshui main list; 詞 entries ignored</x:v>
      </x:c>
      <x:c r="J6442" s="6" t="str">
        <x:f>IF(B6442="","",IF(AND(ISNUMBER(SEARCH("平",B6442)),OR(ISNUMBER(SEARCH("上",B6442)),ISNUMBER(SEARCH("去",B6442)),ISNUMBER(SEARCH("入",B6442)))),"Ambiguous",IF(ISNUMBER(SEARCH("平",B6442)),"平","仄")))</x:f>
        <x:v>仄</x:v>
      </x:c>
      <x:c r="K6442" s="6" t="str">
        <x:f>IF(D6442="","",IF(AND(ISNUMBER(SEARCH("平",D6442)),OR(ISNUMBER(SEARCH("上",D6442)),ISNUMBER(SEARCH("去",D6442)),ISNUMBER(SEARCH("入",D6442)))),"Ambiguous",IF(ISNUMBER(SEARCH("平",D6442)),"平","仄")))</x:f>
        <x:v>仄</x:v>
      </x:c>
      <x:c r="L6442" s="7" t="str">
        <x:v>Pingshui main list, Lu Qinli gap fill</x:v>
      </x:c>
    </x:row>
    <x:row r="6443">
      <x:c r="A6443" s="5" t="str">
        <x:v>髦</x:v>
      </x:c>
      <x:c r="B6443" s="6" t="str">
        <x:v>平</x:v>
      </x:c>
      <x:c r="C6443" s="6" t="str">
        <x:f>IF(B6443="","Needs decision","Ready")</x:f>
        <x:v>Ready</x:v>
      </x:c>
      <x:c r="D6443" s="6" t="str">
        <x:v>平</x:v>
      </x:c>
      <x:c r="E6443" s="6" t="str"/>
      <x:c r="F6443" s="6" t="str">
        <x:v>下平聲四豪</x:v>
      </x:c>
      <x:c r="G6443" s="6" t="str">
        <x:v>Pingshui main list, Wikisource-derived DOCX</x:v>
      </x:c>
      <x:c r="H6443" s="6" t="str"/>
      <x:c r="I6443" s="6" t="str">
        <x:v>Lu Qinli gap fill from Pingshui main list; 詞 entries ignored</x:v>
      </x:c>
      <x:c r="J6443" s="6" t="str">
        <x:f>IF(B6443="","",IF(AND(ISNUMBER(SEARCH("平",B6443)),OR(ISNUMBER(SEARCH("上",B6443)),ISNUMBER(SEARCH("去",B6443)),ISNUMBER(SEARCH("入",B6443)))),"Ambiguous",IF(ISNUMBER(SEARCH("平",B6443)),"平","仄")))</x:f>
        <x:v>平</x:v>
      </x:c>
      <x:c r="K6443" s="6" t="str">
        <x:f>IF(D6443="","",IF(AND(ISNUMBER(SEARCH("平",D6443)),OR(ISNUMBER(SEARCH("上",D6443)),ISNUMBER(SEARCH("去",D6443)),ISNUMBER(SEARCH("入",D6443)))),"Ambiguous",IF(ISNUMBER(SEARCH("平",D6443)),"平","仄")))</x:f>
        <x:v>平</x:v>
      </x:c>
      <x:c r="L6443" s="7" t="str">
        <x:v>Pingshui main list, Lu Qinli gap fill</x:v>
      </x:c>
    </x:row>
    <x:row r="6444">
      <x:c r="A6444" s="5" t="str">
        <x:v>髫</x:v>
      </x:c>
      <x:c r="B6444" s="6" t="str">
        <x:v>平</x:v>
      </x:c>
      <x:c r="C6444" s="6" t="str">
        <x:f>IF(B6444="","Needs decision","Ready")</x:f>
        <x:v>Ready</x:v>
      </x:c>
      <x:c r="D6444" s="6" t="str">
        <x:v>平</x:v>
      </x:c>
      <x:c r="E6444" s="6" t="str"/>
      <x:c r="F6444" s="6" t="str">
        <x:v>下平聲二蕭</x:v>
      </x:c>
      <x:c r="G6444" s="6" t="str">
        <x:v>Pingshui main list, Wikisource-derived DOCX</x:v>
      </x:c>
      <x:c r="H6444" s="6" t="str"/>
      <x:c r="I6444" s="6" t="str">
        <x:v>Lu Qinli gap fill from Pingshui main list; 詞 entries ignored</x:v>
      </x:c>
      <x:c r="J6444" s="6" t="str">
        <x:f>IF(B6444="","",IF(AND(ISNUMBER(SEARCH("平",B6444)),OR(ISNUMBER(SEARCH("上",B6444)),ISNUMBER(SEARCH("去",B6444)),ISNUMBER(SEARCH("入",B6444)))),"Ambiguous",IF(ISNUMBER(SEARCH("平",B6444)),"平","仄")))</x:f>
        <x:v>平</x:v>
      </x:c>
      <x:c r="K6444" s="6" t="str">
        <x:f>IF(D6444="","",IF(AND(ISNUMBER(SEARCH("平",D6444)),OR(ISNUMBER(SEARCH("上",D6444)),ISNUMBER(SEARCH("去",D6444)),ISNUMBER(SEARCH("入",D6444)))),"Ambiguous",IF(ISNUMBER(SEARCH("平",D6444)),"平","仄")))</x:f>
        <x:v>平</x:v>
      </x:c>
      <x:c r="L6444" s="7" t="str">
        <x:v>Pingshui main list, Lu Qinli gap fill</x:v>
      </x:c>
    </x:row>
    <x:row r="6445">
      <x:c r="A6445" s="5" t="str">
        <x:v>髭</x:v>
      </x:c>
      <x:c r="B6445" s="6" t="str">
        <x:v>平</x:v>
      </x:c>
      <x:c r="C6445" s="6" t="str">
        <x:f>IF(B6445="","Needs decision","Ready")</x:f>
        <x:v>Ready</x:v>
      </x:c>
      <x:c r="D6445" s="6" t="str">
        <x:v>平</x:v>
      </x:c>
      <x:c r="E6445" s="6" t="str"/>
      <x:c r="F6445" s="6" t="str">
        <x:v>上平聲四支</x:v>
      </x:c>
      <x:c r="G6445" s="6" t="str">
        <x:v>Pingshui main list, Wikisource-derived DOCX</x:v>
      </x:c>
      <x:c r="H6445" s="6" t="str"/>
      <x:c r="I6445" s="6" t="str">
        <x:v>Lu Qinli gap fill from Pingshui main list; 詞 entries ignored</x:v>
      </x:c>
      <x:c r="J6445" s="6" t="str">
        <x:f>IF(B6445="","",IF(AND(ISNUMBER(SEARCH("平",B6445)),OR(ISNUMBER(SEARCH("上",B6445)),ISNUMBER(SEARCH("去",B6445)),ISNUMBER(SEARCH("入",B6445)))),"Ambiguous",IF(ISNUMBER(SEARCH("平",B6445)),"平","仄")))</x:f>
        <x:v>平</x:v>
      </x:c>
      <x:c r="K6445" s="6" t="str">
        <x:f>IF(D6445="","",IF(AND(ISNUMBER(SEARCH("平",D6445)),OR(ISNUMBER(SEARCH("上",D6445)),ISNUMBER(SEARCH("去",D6445)),ISNUMBER(SEARCH("入",D6445)))),"Ambiguous",IF(ISNUMBER(SEARCH("平",D6445)),"平","仄")))</x:f>
        <x:v>平</x:v>
      </x:c>
      <x:c r="L6445" s="7" t="str">
        <x:v>Pingshui main list, Lu Qinli gap fill</x:v>
      </x:c>
    </x:row>
    <x:row r="6446">
      <x:c r="A6446" s="5" t="str">
        <x:v>髲</x:v>
      </x:c>
      <x:c r="B6446" s="6" t="str">
        <x:v>去</x:v>
      </x:c>
      <x:c r="C6446" s="6" t="str">
        <x:f>IF(B6446="","Needs decision","Ready")</x:f>
        <x:v>Ready</x:v>
      </x:c>
      <x:c r="D6446" s="6" t="str">
        <x:v>去</x:v>
      </x:c>
      <x:c r="E6446" s="6" t="str"/>
      <x:c r="F6446" s="6" t="str">
        <x:v>去聲四寘</x:v>
      </x:c>
      <x:c r="G6446" s="6" t="str">
        <x:v>Pingshui main list, Wikisource-derived DOCX</x:v>
      </x:c>
      <x:c r="H6446" s="6" t="str"/>
      <x:c r="I6446" s="6" t="str">
        <x:v>Lu Qinli gap fill from Pingshui main list; 詞 entries ignored</x:v>
      </x:c>
      <x:c r="J6446" s="6" t="str">
        <x:f>IF(B6446="","",IF(AND(ISNUMBER(SEARCH("平",B6446)),OR(ISNUMBER(SEARCH("上",B6446)),ISNUMBER(SEARCH("去",B6446)),ISNUMBER(SEARCH("入",B6446)))),"Ambiguous",IF(ISNUMBER(SEARCH("平",B6446)),"平","仄")))</x:f>
        <x:v>仄</x:v>
      </x:c>
      <x:c r="K6446" s="6" t="str">
        <x:f>IF(D6446="","",IF(AND(ISNUMBER(SEARCH("平",D6446)),OR(ISNUMBER(SEARCH("上",D6446)),ISNUMBER(SEARCH("去",D6446)),ISNUMBER(SEARCH("入",D6446)))),"Ambiguous",IF(ISNUMBER(SEARCH("平",D6446)),"平","仄")))</x:f>
        <x:v>仄</x:v>
      </x:c>
      <x:c r="L6446" s="7" t="str">
        <x:v>Pingshui main list, Lu Qinli gap fill</x:v>
      </x:c>
    </x:row>
    <x:row r="6447">
      <x:c r="A6447" s="5" t="str">
        <x:v>髾</x:v>
      </x:c>
      <x:c r="B6447" s="6" t="str">
        <x:v>平</x:v>
      </x:c>
      <x:c r="C6447" s="6" t="str">
        <x:f>IF(B6447="","Needs decision","Ready")</x:f>
        <x:v>Ready</x:v>
      </x:c>
      <x:c r="D6447" s="6" t="str">
        <x:v>平</x:v>
      </x:c>
      <x:c r="E6447" s="6" t="str"/>
      <x:c r="F6447" s="6" t="str">
        <x:v>下平聲三肴</x:v>
      </x:c>
      <x:c r="G6447" s="6" t="str">
        <x:v>Pingshui main list, Wikisource-derived DOCX</x:v>
      </x:c>
      <x:c r="H6447" s="6" t="str"/>
      <x:c r="I6447" s="6" t="str">
        <x:v>Lu Qinli gap fill from Pingshui main list; 詞 entries ignored</x:v>
      </x:c>
      <x:c r="J6447" s="6" t="str">
        <x:f>IF(B6447="","",IF(AND(ISNUMBER(SEARCH("平",B6447)),OR(ISNUMBER(SEARCH("上",B6447)),ISNUMBER(SEARCH("去",B6447)),ISNUMBER(SEARCH("入",B6447)))),"Ambiguous",IF(ISNUMBER(SEARCH("平",B6447)),"平","仄")))</x:f>
        <x:v>平</x:v>
      </x:c>
      <x:c r="K6447" s="6" t="str">
        <x:f>IF(D6447="","",IF(AND(ISNUMBER(SEARCH("平",D6447)),OR(ISNUMBER(SEARCH("上",D6447)),ISNUMBER(SEARCH("去",D6447)),ISNUMBER(SEARCH("入",D6447)))),"Ambiguous",IF(ISNUMBER(SEARCH("平",D6447)),"平","仄")))</x:f>
        <x:v>平</x:v>
      </x:c>
      <x:c r="L6447" s="7" t="str">
        <x:v>Pingshui main list, Lu Qinli gap fill</x:v>
      </x:c>
    </x:row>
    <x:row r="6448">
      <x:c r="A6448" s="5" t="str">
        <x:v>鬆</x:v>
      </x:c>
      <x:c r="B6448" s="6" t="str">
        <x:v>平</x:v>
      </x:c>
      <x:c r="C6448" s="6" t="str">
        <x:f>IF(B6448="","Needs decision","Ready")</x:f>
        <x:v>Ready</x:v>
      </x:c>
      <x:c r="D6448" s="6" t="str">
        <x:v>平</x:v>
      </x:c>
      <x:c r="E6448" s="6" t="str"/>
      <x:c r="F6448" s="6" t="str">
        <x:v>上平聲二冬</x:v>
      </x:c>
      <x:c r="G6448" s="6" t="str">
        <x:v>Pingshui main list, Wikisource-derived DOCX</x:v>
      </x:c>
      <x:c r="H6448" s="6" t="str"/>
      <x:c r="I6448" s="6" t="str">
        <x:v>Lu Qinli gap fill from Pingshui main list; 詞 entries ignored</x:v>
      </x:c>
      <x:c r="J6448" s="6" t="str">
        <x:f>IF(B6448="","",IF(AND(ISNUMBER(SEARCH("平",B6448)),OR(ISNUMBER(SEARCH("上",B6448)),ISNUMBER(SEARCH("去",B6448)),ISNUMBER(SEARCH("入",B6448)))),"Ambiguous",IF(ISNUMBER(SEARCH("平",B6448)),"平","仄")))</x:f>
        <x:v>平</x:v>
      </x:c>
      <x:c r="K6448" s="6" t="str">
        <x:f>IF(D6448="","",IF(AND(ISNUMBER(SEARCH("平",D6448)),OR(ISNUMBER(SEARCH("上",D6448)),ISNUMBER(SEARCH("去",D6448)),ISNUMBER(SEARCH("入",D6448)))),"Ambiguous",IF(ISNUMBER(SEARCH("平",D6448)),"平","仄")))</x:f>
        <x:v>平</x:v>
      </x:c>
      <x:c r="L6448" s="7" t="str">
        <x:v>Pingshui main list, Lu Qinli gap fill</x:v>
      </x:c>
    </x:row>
    <x:row r="6449">
      <x:c r="A6449" s="5" t="str">
        <x:v>鬐</x:v>
      </x:c>
      <x:c r="B6449" s="6" t="str">
        <x:v>平</x:v>
      </x:c>
      <x:c r="C6449" s="6" t="str">
        <x:f>IF(B6449="","Needs decision","Ready")</x:f>
        <x:v>Ready</x:v>
      </x:c>
      <x:c r="D6449" s="6" t="str">
        <x:v>平</x:v>
      </x:c>
      <x:c r="E6449" s="6" t="str"/>
      <x:c r="F6449" s="6" t="str">
        <x:v>上平聲四支</x:v>
      </x:c>
      <x:c r="G6449" s="6" t="str">
        <x:v>Pingshui main list, Wikisource-derived DOCX</x:v>
      </x:c>
      <x:c r="H6449" s="6" t="str"/>
      <x:c r="I6449" s="6" t="str">
        <x:v>Lu Qinli gap fill from Pingshui main list; 詞 entries ignored</x:v>
      </x:c>
      <x:c r="J6449" s="6" t="str">
        <x:f>IF(B6449="","",IF(AND(ISNUMBER(SEARCH("平",B6449)),OR(ISNUMBER(SEARCH("上",B6449)),ISNUMBER(SEARCH("去",B6449)),ISNUMBER(SEARCH("入",B6449)))),"Ambiguous",IF(ISNUMBER(SEARCH("平",B6449)),"平","仄")))</x:f>
        <x:v>平</x:v>
      </x:c>
      <x:c r="K6449" s="6" t="str">
        <x:f>IF(D6449="","",IF(AND(ISNUMBER(SEARCH("平",D6449)),OR(ISNUMBER(SEARCH("上",D6449)),ISNUMBER(SEARCH("去",D6449)),ISNUMBER(SEARCH("入",D6449)))),"Ambiguous",IF(ISNUMBER(SEARCH("平",D6449)),"平","仄")))</x:f>
        <x:v>平</x:v>
      </x:c>
      <x:c r="L6449" s="7" t="str">
        <x:v>Pingshui main list, Lu Qinli gap fill</x:v>
      </x:c>
    </x:row>
    <x:row r="6450">
      <x:c r="A6450" s="5" t="str">
        <x:v>鬑</x:v>
      </x:c>
      <x:c r="B6450" s="6" t="str">
        <x:v>平</x:v>
      </x:c>
      <x:c r="C6450" s="6" t="str">
        <x:f>IF(B6450="","Needs decision","Ready")</x:f>
        <x:v>Ready</x:v>
      </x:c>
      <x:c r="D6450" s="6" t="str">
        <x:v>平</x:v>
      </x:c>
      <x:c r="E6450" s="6" t="str"/>
      <x:c r="F6450" s="6" t="str">
        <x:v>下平聲十四鹽</x:v>
      </x:c>
      <x:c r="G6450" s="6" t="str">
        <x:v>Pingshui main list, Wikisource-derived DOCX</x:v>
      </x:c>
      <x:c r="H6450" s="6" t="str"/>
      <x:c r="I6450" s="6" t="str">
        <x:v>Lu Qinli gap fill from Pingshui main list; 詞 entries ignored</x:v>
      </x:c>
      <x:c r="J6450" s="6" t="str">
        <x:f>IF(B6450="","",IF(AND(ISNUMBER(SEARCH("平",B6450)),OR(ISNUMBER(SEARCH("上",B6450)),ISNUMBER(SEARCH("去",B6450)),ISNUMBER(SEARCH("入",B6450)))),"Ambiguous",IF(ISNUMBER(SEARCH("平",B6450)),"平","仄")))</x:f>
        <x:v>平</x:v>
      </x:c>
      <x:c r="K6450" s="6" t="str">
        <x:f>IF(D6450="","",IF(AND(ISNUMBER(SEARCH("平",D6450)),OR(ISNUMBER(SEARCH("上",D6450)),ISNUMBER(SEARCH("去",D6450)),ISNUMBER(SEARCH("入",D6450)))),"Ambiguous",IF(ISNUMBER(SEARCH("平",D6450)),"平","仄")))</x:f>
        <x:v>平</x:v>
      </x:c>
      <x:c r="L6450" s="7" t="str">
        <x:v>Pingshui main list, Lu Qinli gap fill</x:v>
      </x:c>
    </x:row>
    <x:row r="6451">
      <x:c r="A6451" s="5" t="str">
        <x:v>鬗</x:v>
      </x:c>
      <x:c r="B6451" s="6" t="str">
        <x:v>平</x:v>
      </x:c>
      <x:c r="C6451" s="6" t="str">
        <x:f>IF(B6451="","Needs decision","Ready")</x:f>
        <x:v>Ready</x:v>
      </x:c>
      <x:c r="D6451" s="6" t="str">
        <x:v>平</x:v>
      </x:c>
      <x:c r="E6451" s="6" t="str"/>
      <x:c r="F6451" s="6" t="str">
        <x:v>上平聲十四寒</x:v>
      </x:c>
      <x:c r="G6451" s="6" t="str">
        <x:v>Pingshui main list, Wikisource-derived DOCX</x:v>
      </x:c>
      <x:c r="H6451" s="6" t="str"/>
      <x:c r="I6451" s="6" t="str">
        <x:v>Lu Qinli gap fill from Pingshui main list; 詞 entries ignored</x:v>
      </x:c>
      <x:c r="J6451" s="6" t="str">
        <x:f>IF(B6451="","",IF(AND(ISNUMBER(SEARCH("平",B6451)),OR(ISNUMBER(SEARCH("上",B6451)),ISNUMBER(SEARCH("去",B6451)),ISNUMBER(SEARCH("入",B6451)))),"Ambiguous",IF(ISNUMBER(SEARCH("平",B6451)),"平","仄")))</x:f>
        <x:v>平</x:v>
      </x:c>
      <x:c r="K6451" s="6" t="str">
        <x:f>IF(D6451="","",IF(AND(ISNUMBER(SEARCH("平",D6451)),OR(ISNUMBER(SEARCH("上",D6451)),ISNUMBER(SEARCH("去",D6451)),ISNUMBER(SEARCH("入",D6451)))),"Ambiguous",IF(ISNUMBER(SEARCH("平",D6451)),"平","仄")))</x:f>
        <x:v>平</x:v>
      </x:c>
      <x:c r="L6451" s="7" t="str">
        <x:v>Pingshui main list, Lu Qinli gap fill</x:v>
      </x:c>
    </x:row>
    <x:row r="6452">
      <x:c r="A6452" s="5" t="str">
        <x:v>鬣</x:v>
      </x:c>
      <x:c r="B6452" s="6" t="str">
        <x:v>入</x:v>
      </x:c>
      <x:c r="C6452" s="6" t="str">
        <x:f>IF(B6452="","Needs decision","Ready")</x:f>
        <x:v>Ready</x:v>
      </x:c>
      <x:c r="D6452" s="6" t="str">
        <x:v>入</x:v>
      </x:c>
      <x:c r="E6452" s="6" t="str"/>
      <x:c r="F6452" s="6" t="str">
        <x:v>入聲十六葉</x:v>
      </x:c>
      <x:c r="G6452" s="6" t="str">
        <x:v>Pingshui main list, Wikisource-derived DOCX</x:v>
      </x:c>
      <x:c r="H6452" s="6" t="str"/>
      <x:c r="I6452" s="6" t="str">
        <x:v>Lu Qinli gap fill from Pingshui main list; 詞 entries ignored</x:v>
      </x:c>
      <x:c r="J6452" s="6" t="str">
        <x:f>IF(B6452="","",IF(AND(ISNUMBER(SEARCH("平",B6452)),OR(ISNUMBER(SEARCH("上",B6452)),ISNUMBER(SEARCH("去",B6452)),ISNUMBER(SEARCH("入",B6452)))),"Ambiguous",IF(ISNUMBER(SEARCH("平",B6452)),"平","仄")))</x:f>
        <x:v>仄</x:v>
      </x:c>
      <x:c r="K6452" s="6" t="str">
        <x:f>IF(D6452="","",IF(AND(ISNUMBER(SEARCH("平",D6452)),OR(ISNUMBER(SEARCH("上",D6452)),ISNUMBER(SEARCH("去",D6452)),ISNUMBER(SEARCH("入",D6452)))),"Ambiguous",IF(ISNUMBER(SEARCH("平",D6452)),"平","仄")))</x:f>
        <x:v>仄</x:v>
      </x:c>
      <x:c r="L6452" s="7" t="str">
        <x:v>Pingshui main list, Lu Qinli gap fill</x:v>
      </x:c>
    </x:row>
    <x:row r="6453">
      <x:c r="A6453" s="5" t="str">
        <x:v>鬧</x:v>
      </x:c>
      <x:c r="B6453" s="6" t="str">
        <x:v>去</x:v>
      </x:c>
      <x:c r="C6453" s="6" t="str">
        <x:f>IF(B6453="","Needs decision","Ready")</x:f>
        <x:v>Ready</x:v>
      </x:c>
      <x:c r="D6453" s="6" t="str">
        <x:v>去</x:v>
      </x:c>
      <x:c r="E6453" s="6" t="str"/>
      <x:c r="F6453" s="6" t="str">
        <x:v>去聲十九效</x:v>
      </x:c>
      <x:c r="G6453" s="6" t="str">
        <x:v>Pingshui main list, Wikisource-derived DOCX</x:v>
      </x:c>
      <x:c r="H6453" s="6" t="str"/>
      <x:c r="I6453" s="6" t="str">
        <x:v>Lu Qinli gap fill from Pingshui main list; 詞 entries ignored</x:v>
      </x:c>
      <x:c r="J6453" s="6" t="str">
        <x:f>IF(B6453="","",IF(AND(ISNUMBER(SEARCH("平",B6453)),OR(ISNUMBER(SEARCH("上",B6453)),ISNUMBER(SEARCH("去",B6453)),ISNUMBER(SEARCH("入",B6453)))),"Ambiguous",IF(ISNUMBER(SEARCH("平",B6453)),"平","仄")))</x:f>
        <x:v>仄</x:v>
      </x:c>
      <x:c r="K6453" s="6" t="str">
        <x:f>IF(D6453="","",IF(AND(ISNUMBER(SEARCH("平",D6453)),OR(ISNUMBER(SEARCH("上",D6453)),ISNUMBER(SEARCH("去",D6453)),ISNUMBER(SEARCH("入",D6453)))),"Ambiguous",IF(ISNUMBER(SEARCH("平",D6453)),"平","仄")))</x:f>
        <x:v>仄</x:v>
      </x:c>
      <x:c r="L6453" s="7" t="str">
        <x:v>Pingshui main list, Lu Qinli gap fill</x:v>
      </x:c>
    </x:row>
    <x:row r="6454">
      <x:c r="A6454" s="5" t="str">
        <x:v>鮀</x:v>
      </x:c>
      <x:c r="B6454" s="6" t="str">
        <x:v>平</x:v>
      </x:c>
      <x:c r="C6454" s="6" t="str">
        <x:f>IF(B6454="","Needs decision","Ready")</x:f>
        <x:v>Ready</x:v>
      </x:c>
      <x:c r="D6454" s="6" t="str">
        <x:v>平</x:v>
      </x:c>
      <x:c r="E6454" s="6" t="str"/>
      <x:c r="F6454" s="6" t="str">
        <x:v>下平聲五歌</x:v>
      </x:c>
      <x:c r="G6454" s="6" t="str">
        <x:v>Pingshui main list, Wikisource-derived DOCX</x:v>
      </x:c>
      <x:c r="H6454" s="6" t="str"/>
      <x:c r="I6454" s="6" t="str">
        <x:v>Lu Qinli gap fill from Pingshui main list; 詞 entries ignored</x:v>
      </x:c>
      <x:c r="J6454" s="6" t="str">
        <x:f>IF(B6454="","",IF(AND(ISNUMBER(SEARCH("平",B6454)),OR(ISNUMBER(SEARCH("上",B6454)),ISNUMBER(SEARCH("去",B6454)),ISNUMBER(SEARCH("入",B6454)))),"Ambiguous",IF(ISNUMBER(SEARCH("平",B6454)),"平","仄")))</x:f>
        <x:v>平</x:v>
      </x:c>
      <x:c r="K6454" s="6" t="str">
        <x:f>IF(D6454="","",IF(AND(ISNUMBER(SEARCH("平",D6454)),OR(ISNUMBER(SEARCH("上",D6454)),ISNUMBER(SEARCH("去",D6454)),ISNUMBER(SEARCH("入",D6454)))),"Ambiguous",IF(ISNUMBER(SEARCH("平",D6454)),"平","仄")))</x:f>
        <x:v>平</x:v>
      </x:c>
      <x:c r="L6454" s="7" t="str">
        <x:v>Pingshui main list, Lu Qinli gap fill</x:v>
      </x:c>
    </x:row>
    <x:row r="6455">
      <x:c r="A6455" s="5" t="str">
        <x:v>鮐</x:v>
      </x:c>
      <x:c r="B6455" s="6" t="str">
        <x:v>平</x:v>
      </x:c>
      <x:c r="C6455" s="6" t="str">
        <x:f>IF(B6455="","Needs decision","Ready")</x:f>
        <x:v>Ready</x:v>
      </x:c>
      <x:c r="D6455" s="6" t="str">
        <x:v>平</x:v>
      </x:c>
      <x:c r="E6455" s="6" t="str"/>
      <x:c r="F6455" s="6" t="str">
        <x:v>上平聲十灰</x:v>
      </x:c>
      <x:c r="G6455" s="6" t="str">
        <x:v>Pingshui main list, Wikisource-derived DOCX</x:v>
      </x:c>
      <x:c r="H6455" s="6" t="str"/>
      <x:c r="I6455" s="6" t="str">
        <x:v>Lu Qinli gap fill from Pingshui main list; 詞 entries ignored</x:v>
      </x:c>
      <x:c r="J6455" s="6" t="str">
        <x:f>IF(B6455="","",IF(AND(ISNUMBER(SEARCH("平",B6455)),OR(ISNUMBER(SEARCH("上",B6455)),ISNUMBER(SEARCH("去",B6455)),ISNUMBER(SEARCH("入",B6455)))),"Ambiguous",IF(ISNUMBER(SEARCH("平",B6455)),"平","仄")))</x:f>
        <x:v>平</x:v>
      </x:c>
      <x:c r="K6455" s="6" t="str">
        <x:f>IF(D6455="","",IF(AND(ISNUMBER(SEARCH("平",D6455)),OR(ISNUMBER(SEARCH("上",D6455)),ISNUMBER(SEARCH("去",D6455)),ISNUMBER(SEARCH("入",D6455)))),"Ambiguous",IF(ISNUMBER(SEARCH("平",D6455)),"平","仄")))</x:f>
        <x:v>平</x:v>
      </x:c>
      <x:c r="L6455" s="7" t="str">
        <x:v>Pingshui main list, Lu Qinli gap fill</x:v>
      </x:c>
    </x:row>
    <x:row r="6456">
      <x:c r="A6456" s="5" t="str">
        <x:v>鮑</x:v>
      </x:c>
      <x:c r="B6456" s="6" t="str">
        <x:v>上</x:v>
      </x:c>
      <x:c r="C6456" s="6" t="str">
        <x:f>IF(B6456="","Needs decision","Ready")</x:f>
        <x:v>Ready</x:v>
      </x:c>
      <x:c r="D6456" s="6" t="str">
        <x:v>上</x:v>
      </x:c>
      <x:c r="E6456" s="6" t="str"/>
      <x:c r="F6456" s="6" t="str">
        <x:v>上聲十八巧</x:v>
      </x:c>
      <x:c r="G6456" s="6" t="str">
        <x:v>Pingshui main list, Wikisource-derived DOCX</x:v>
      </x:c>
      <x:c r="H6456" s="6" t="str"/>
      <x:c r="I6456" s="6" t="str">
        <x:v>Lu Qinli gap fill from Pingshui main list; 詞 entries ignored</x:v>
      </x:c>
      <x:c r="J6456" s="6" t="str">
        <x:f>IF(B6456="","",IF(AND(ISNUMBER(SEARCH("平",B6456)),OR(ISNUMBER(SEARCH("上",B6456)),ISNUMBER(SEARCH("去",B6456)),ISNUMBER(SEARCH("入",B6456)))),"Ambiguous",IF(ISNUMBER(SEARCH("平",B6456)),"平","仄")))</x:f>
        <x:v>仄</x:v>
      </x:c>
      <x:c r="K6456" s="6" t="str">
        <x:f>IF(D6456="","",IF(AND(ISNUMBER(SEARCH("平",D6456)),OR(ISNUMBER(SEARCH("上",D6456)),ISNUMBER(SEARCH("去",D6456)),ISNUMBER(SEARCH("入",D6456)))),"Ambiguous",IF(ISNUMBER(SEARCH("平",D6456)),"平","仄")))</x:f>
        <x:v>仄</x:v>
      </x:c>
      <x:c r="L6456" s="7" t="str">
        <x:v>Pingshui main list, Lu Qinli gap fill</x:v>
      </x:c>
    </x:row>
    <x:row r="6457">
      <x:c r="A6457" s="5" t="str">
        <x:v>鮒</x:v>
      </x:c>
      <x:c r="B6457" s="6" t="str">
        <x:v>去</x:v>
      </x:c>
      <x:c r="C6457" s="6" t="str">
        <x:f>IF(B6457="","Needs decision","Ready")</x:f>
        <x:v>Ready</x:v>
      </x:c>
      <x:c r="D6457" s="6" t="str">
        <x:v>去</x:v>
      </x:c>
      <x:c r="E6457" s="6" t="str"/>
      <x:c r="F6457" s="6" t="str">
        <x:v>去聲七遇</x:v>
      </x:c>
      <x:c r="G6457" s="6" t="str">
        <x:v>Pingshui main list, Wikisource-derived DOCX</x:v>
      </x:c>
      <x:c r="H6457" s="6" t="str"/>
      <x:c r="I6457" s="6" t="str">
        <x:v>Lu Qinli gap fill from Pingshui main list; 詞 entries ignored</x:v>
      </x:c>
      <x:c r="J6457" s="6" t="str">
        <x:f>IF(B6457="","",IF(AND(ISNUMBER(SEARCH("平",B6457)),OR(ISNUMBER(SEARCH("上",B6457)),ISNUMBER(SEARCH("去",B6457)),ISNUMBER(SEARCH("入",B6457)))),"Ambiguous",IF(ISNUMBER(SEARCH("平",B6457)),"平","仄")))</x:f>
        <x:v>仄</x:v>
      </x:c>
      <x:c r="K6457" s="6" t="str">
        <x:f>IF(D6457="","",IF(AND(ISNUMBER(SEARCH("平",D6457)),OR(ISNUMBER(SEARCH("上",D6457)),ISNUMBER(SEARCH("去",D6457)),ISNUMBER(SEARCH("入",D6457)))),"Ambiguous",IF(ISNUMBER(SEARCH("平",D6457)),"平","仄")))</x:f>
        <x:v>仄</x:v>
      </x:c>
      <x:c r="L6457" s="7" t="str">
        <x:v>Pingshui main list, Lu Qinli gap fill</x:v>
      </x:c>
    </x:row>
    <x:row r="6458">
      <x:c r="A6458" s="5" t="str">
        <x:v>鮓</x:v>
      </x:c>
      <x:c r="B6458" s="6" t="str">
        <x:v>上</x:v>
      </x:c>
      <x:c r="C6458" s="6" t="str">
        <x:f>IF(B6458="","Needs decision","Ready")</x:f>
        <x:v>Ready</x:v>
      </x:c>
      <x:c r="D6458" s="6" t="str">
        <x:v>上</x:v>
      </x:c>
      <x:c r="E6458" s="6" t="str"/>
      <x:c r="F6458" s="6" t="str">
        <x:v>上聲二十一馬</x:v>
      </x:c>
      <x:c r="G6458" s="6" t="str">
        <x:v>Pingshui main list, Wikisource-derived DOCX</x:v>
      </x:c>
      <x:c r="H6458" s="6" t="str"/>
      <x:c r="I6458" s="6" t="str">
        <x:v>Lu Qinli gap fill from Pingshui main list; 詞 entries ignored</x:v>
      </x:c>
      <x:c r="J6458" s="6" t="str">
        <x:f>IF(B6458="","",IF(AND(ISNUMBER(SEARCH("平",B6458)),OR(ISNUMBER(SEARCH("上",B6458)),ISNUMBER(SEARCH("去",B6458)),ISNUMBER(SEARCH("入",B6458)))),"Ambiguous",IF(ISNUMBER(SEARCH("平",B6458)),"平","仄")))</x:f>
        <x:v>仄</x:v>
      </x:c>
      <x:c r="K6458" s="6" t="str">
        <x:f>IF(D6458="","",IF(AND(ISNUMBER(SEARCH("平",D6458)),OR(ISNUMBER(SEARCH("上",D6458)),ISNUMBER(SEARCH("去",D6458)),ISNUMBER(SEARCH("入",D6458)))),"Ambiguous",IF(ISNUMBER(SEARCH("平",D6458)),"平","仄")))</x:f>
        <x:v>仄</x:v>
      </x:c>
      <x:c r="L6458" s="7" t="str">
        <x:v>Pingshui main list, Lu Qinli gap fill</x:v>
      </x:c>
    </x:row>
    <x:row r="6459">
      <x:c r="A6459" s="5" t="str">
        <x:v>鮦</x:v>
      </x:c>
      <x:c r="B6459" s="6" t="str"/>
      <x:c r="C6459" s="6" t="str">
        <x:f>IF(B6459="","Needs decision","Ready")</x:f>
        <x:v>Needs decision</x:v>
      </x:c>
      <x:c r="D6459" s="6" t="str">
        <x:v>平/上</x:v>
      </x:c>
      <x:c r="E6459" s="6" t="str"/>
      <x:c r="F6459" s="6" t="str">
        <x:v>上平聲一東; 上聲二腫</x:v>
      </x:c>
      <x:c r="G6459" s="6" t="str">
        <x:v>Pingshui main list, Wikisource-derived DOCX</x:v>
      </x:c>
      <x:c r="H6459" s="6" t="str"/>
      <x:c r="I6459" s="6" t="str">
        <x:v>Lu Qinli gap fill from Pingshui main list; 詞 entries ignored</x:v>
      </x:c>
      <x:c r="J6459" s="6" t="str">
        <x:f>IF(B6459="","",IF(AND(ISNUMBER(SEARCH("平",B6459)),OR(ISNUMBER(SEARCH("上",B6459)),ISNUMBER(SEARCH("去",B6459)),ISNUMBER(SEARCH("入",B6459)))),"Ambiguous",IF(ISNUMBER(SEARCH("平",B6459)),"平","仄")))</x:f>
      </x:c>
      <x:c r="K6459" s="6" t="str">
        <x:f>IF(D6459="","",IF(AND(ISNUMBER(SEARCH("平",D6459)),OR(ISNUMBER(SEARCH("上",D6459)),ISNUMBER(SEARCH("去",D6459)),ISNUMBER(SEARCH("入",D6459)))),"Ambiguous",IF(ISNUMBER(SEARCH("平",D6459)),"平","仄")))</x:f>
        <x:v>Ambiguous</x:v>
      </x:c>
      <x:c r="L6459" s="7" t="str">
        <x:v>Pingshui main list, Lu Qinli gap fill</x:v>
      </x:c>
    </x:row>
    <x:row r="6460">
      <x:c r="A6460" s="5" t="str">
        <x:v>鮫</x:v>
      </x:c>
      <x:c r="B6460" s="6" t="str">
        <x:v>平</x:v>
      </x:c>
      <x:c r="C6460" s="6" t="str">
        <x:f>IF(B6460="","Needs decision","Ready")</x:f>
        <x:v>Ready</x:v>
      </x:c>
      <x:c r="D6460" s="6" t="str">
        <x:v>平</x:v>
      </x:c>
      <x:c r="E6460" s="6" t="str"/>
      <x:c r="F6460" s="6" t="str">
        <x:v>下平聲三肴</x:v>
      </x:c>
      <x:c r="G6460" s="6" t="str">
        <x:v>Pingshui main list, Wikisource-derived DOCX</x:v>
      </x:c>
      <x:c r="H6460" s="6" t="str"/>
      <x:c r="I6460" s="6" t="str">
        <x:v>Lu Qinli gap fill from Pingshui main list; 詞 entries ignored</x:v>
      </x:c>
      <x:c r="J6460" s="6" t="str">
        <x:f>IF(B6460="","",IF(AND(ISNUMBER(SEARCH("平",B6460)),OR(ISNUMBER(SEARCH("上",B6460)),ISNUMBER(SEARCH("去",B6460)),ISNUMBER(SEARCH("入",B6460)))),"Ambiguous",IF(ISNUMBER(SEARCH("平",B6460)),"平","仄")))</x:f>
        <x:v>平</x:v>
      </x:c>
      <x:c r="K6460" s="6" t="str">
        <x:f>IF(D6460="","",IF(AND(ISNUMBER(SEARCH("平",D6460)),OR(ISNUMBER(SEARCH("上",D6460)),ISNUMBER(SEARCH("去",D6460)),ISNUMBER(SEARCH("入",D6460)))),"Ambiguous",IF(ISNUMBER(SEARCH("平",D6460)),"平","仄")))</x:f>
        <x:v>平</x:v>
      </x:c>
      <x:c r="L6460" s="7" t="str">
        <x:v>Pingshui main list, Lu Qinli gap fill</x:v>
      </x:c>
    </x:row>
    <x:row r="6461">
      <x:c r="A6461" s="5" t="str">
        <x:v>鮭</x:v>
      </x:c>
      <x:c r="B6461" s="6" t="str">
        <x:v>平</x:v>
      </x:c>
      <x:c r="C6461" s="6" t="str">
        <x:f>IF(B6461="","Needs decision","Ready")</x:f>
        <x:v>Ready</x:v>
      </x:c>
      <x:c r="D6461" s="6" t="str">
        <x:v>平</x:v>
      </x:c>
      <x:c r="E6461" s="6" t="str"/>
      <x:c r="F6461" s="6" t="str">
        <x:v>上平聲九佳</x:v>
      </x:c>
      <x:c r="G6461" s="6" t="str">
        <x:v>Pingshui main list, Wikisource-derived DOCX</x:v>
      </x:c>
      <x:c r="H6461" s="6" t="str"/>
      <x:c r="I6461" s="6" t="str">
        <x:v>Lu Qinli gap fill from Pingshui main list; 詞 entries ignored</x:v>
      </x:c>
      <x:c r="J6461" s="6" t="str">
        <x:f>IF(B6461="","",IF(AND(ISNUMBER(SEARCH("平",B6461)),OR(ISNUMBER(SEARCH("上",B6461)),ISNUMBER(SEARCH("去",B6461)),ISNUMBER(SEARCH("入",B6461)))),"Ambiguous",IF(ISNUMBER(SEARCH("平",B6461)),"平","仄")))</x:f>
        <x:v>平</x:v>
      </x:c>
      <x:c r="K6461" s="6" t="str">
        <x:f>IF(D6461="","",IF(AND(ISNUMBER(SEARCH("平",D6461)),OR(ISNUMBER(SEARCH("上",D6461)),ISNUMBER(SEARCH("去",D6461)),ISNUMBER(SEARCH("入",D6461)))),"Ambiguous",IF(ISNUMBER(SEARCH("平",D6461)),"平","仄")))</x:f>
        <x:v>平</x:v>
      </x:c>
      <x:c r="L6461" s="7" t="str">
        <x:v>Pingshui main list, Lu Qinli gap fill</x:v>
      </x:c>
    </x:row>
    <x:row r="6462">
      <x:c r="A6462" s="5" t="str">
        <x:v>鯁</x:v>
      </x:c>
      <x:c r="B6462" s="6" t="str">
        <x:v>上</x:v>
      </x:c>
      <x:c r="C6462" s="6" t="str">
        <x:f>IF(B6462="","Needs decision","Ready")</x:f>
        <x:v>Ready</x:v>
      </x:c>
      <x:c r="D6462" s="6" t="str">
        <x:v>上</x:v>
      </x:c>
      <x:c r="E6462" s="6" t="str"/>
      <x:c r="F6462" s="6" t="str">
        <x:v>上聲二十三梗</x:v>
      </x:c>
      <x:c r="G6462" s="6" t="str">
        <x:v>Pingshui main list, Wikisource-derived DOCX</x:v>
      </x:c>
      <x:c r="H6462" s="6" t="str"/>
      <x:c r="I6462" s="6" t="str">
        <x:v>Lu Qinli gap fill from Pingshui main list; 詞 entries ignored</x:v>
      </x:c>
      <x:c r="J6462" s="6" t="str">
        <x:f>IF(B6462="","",IF(AND(ISNUMBER(SEARCH("平",B6462)),OR(ISNUMBER(SEARCH("上",B6462)),ISNUMBER(SEARCH("去",B6462)),ISNUMBER(SEARCH("入",B6462)))),"Ambiguous",IF(ISNUMBER(SEARCH("平",B6462)),"平","仄")))</x:f>
        <x:v>仄</x:v>
      </x:c>
      <x:c r="K6462" s="6" t="str">
        <x:f>IF(D6462="","",IF(AND(ISNUMBER(SEARCH("平",D6462)),OR(ISNUMBER(SEARCH("上",D6462)),ISNUMBER(SEARCH("去",D6462)),ISNUMBER(SEARCH("入",D6462)))),"Ambiguous",IF(ISNUMBER(SEARCH("平",D6462)),"平","仄")))</x:f>
        <x:v>仄</x:v>
      </x:c>
      <x:c r="L6462" s="7" t="str">
        <x:v>Pingshui main list, Lu Qinli gap fill</x:v>
      </x:c>
    </x:row>
    <x:row r="6463">
      <x:c r="A6463" s="5" t="str">
        <x:v>鯈</x:v>
      </x:c>
      <x:c r="B6463" s="6" t="str">
        <x:v>平</x:v>
      </x:c>
      <x:c r="C6463" s="6" t="str">
        <x:f>IF(B6463="","Needs decision","Ready")</x:f>
        <x:v>Ready</x:v>
      </x:c>
      <x:c r="D6463" s="6" t="str">
        <x:v>平</x:v>
      </x:c>
      <x:c r="E6463" s="6" t="str"/>
      <x:c r="F6463" s="6" t="str">
        <x:v>下平聲十一尤</x:v>
      </x:c>
      <x:c r="G6463" s="6" t="str">
        <x:v>Pingshui main list, Wikisource-derived DOCX</x:v>
      </x:c>
      <x:c r="H6463" s="6" t="str"/>
      <x:c r="I6463" s="6" t="str">
        <x:v>Lu Qinli gap fill from Pingshui main list; 詞 entries ignored</x:v>
      </x:c>
      <x:c r="J6463" s="6" t="str">
        <x:f>IF(B6463="","",IF(AND(ISNUMBER(SEARCH("平",B6463)),OR(ISNUMBER(SEARCH("上",B6463)),ISNUMBER(SEARCH("去",B6463)),ISNUMBER(SEARCH("入",B6463)))),"Ambiguous",IF(ISNUMBER(SEARCH("平",B6463)),"平","仄")))</x:f>
        <x:v>平</x:v>
      </x:c>
      <x:c r="K6463" s="6" t="str">
        <x:f>IF(D6463="","",IF(AND(ISNUMBER(SEARCH("平",D6463)),OR(ISNUMBER(SEARCH("上",D6463)),ISNUMBER(SEARCH("去",D6463)),ISNUMBER(SEARCH("入",D6463)))),"Ambiguous",IF(ISNUMBER(SEARCH("平",D6463)),"平","仄")))</x:f>
        <x:v>平</x:v>
      </x:c>
      <x:c r="L6463" s="7" t="str">
        <x:v>Pingshui main list, Lu Qinli gap fill</x:v>
      </x:c>
    </x:row>
    <x:row r="6464">
      <x:c r="A6464" s="5" t="str">
        <x:v>鯊</x:v>
      </x:c>
      <x:c r="B6464" s="6" t="str">
        <x:v>平</x:v>
      </x:c>
      <x:c r="C6464" s="6" t="str">
        <x:f>IF(B6464="","Needs decision","Ready")</x:f>
        <x:v>Ready</x:v>
      </x:c>
      <x:c r="D6464" s="6" t="str">
        <x:v>平</x:v>
      </x:c>
      <x:c r="E6464" s="6" t="str"/>
      <x:c r="F6464" s="6" t="str">
        <x:v>下平聲六麻</x:v>
      </x:c>
      <x:c r="G6464" s="6" t="str">
        <x:v>Pingshui main list, Wikisource-derived DOCX</x:v>
      </x:c>
      <x:c r="H6464" s="6" t="str"/>
      <x:c r="I6464" s="6" t="str">
        <x:v>Lu Qinli gap fill from Pingshui main list; 詞 entries ignored</x:v>
      </x:c>
      <x:c r="J6464" s="6" t="str">
        <x:f>IF(B6464="","",IF(AND(ISNUMBER(SEARCH("平",B6464)),OR(ISNUMBER(SEARCH("上",B6464)),ISNUMBER(SEARCH("去",B6464)),ISNUMBER(SEARCH("入",B6464)))),"Ambiguous",IF(ISNUMBER(SEARCH("平",B6464)),"平","仄")))</x:f>
        <x:v>平</x:v>
      </x:c>
      <x:c r="K6464" s="6" t="str">
        <x:f>IF(D6464="","",IF(AND(ISNUMBER(SEARCH("平",D6464)),OR(ISNUMBER(SEARCH("上",D6464)),ISNUMBER(SEARCH("去",D6464)),ISNUMBER(SEARCH("入",D6464)))),"Ambiguous",IF(ISNUMBER(SEARCH("平",D6464)),"平","仄")))</x:f>
        <x:v>平</x:v>
      </x:c>
      <x:c r="L6464" s="7" t="str">
        <x:v>Pingshui main list, Lu Qinli gap fill</x:v>
      </x:c>
    </x:row>
    <x:row r="6465">
      <x:c r="A6465" s="5" t="str">
        <x:v>鯢</x:v>
      </x:c>
      <x:c r="B6465" s="6" t="str">
        <x:v>平</x:v>
      </x:c>
      <x:c r="C6465" s="6" t="str">
        <x:f>IF(B6465="","Needs decision","Ready")</x:f>
        <x:v>Ready</x:v>
      </x:c>
      <x:c r="D6465" s="6" t="str">
        <x:v>平</x:v>
      </x:c>
      <x:c r="E6465" s="6" t="str"/>
      <x:c r="F6465" s="6" t="str">
        <x:v>上平聲八齊</x:v>
      </x:c>
      <x:c r="G6465" s="6" t="str">
        <x:v>Pingshui main list, Wikisource-derived DOCX</x:v>
      </x:c>
      <x:c r="H6465" s="6" t="str"/>
      <x:c r="I6465" s="6" t="str">
        <x:v>Lu Qinli gap fill from Pingshui main list; 詞 entries ignored</x:v>
      </x:c>
      <x:c r="J6465" s="6" t="str">
        <x:f>IF(B6465="","",IF(AND(ISNUMBER(SEARCH("平",B6465)),OR(ISNUMBER(SEARCH("上",B6465)),ISNUMBER(SEARCH("去",B6465)),ISNUMBER(SEARCH("入",B6465)))),"Ambiguous",IF(ISNUMBER(SEARCH("平",B6465)),"平","仄")))</x:f>
        <x:v>平</x:v>
      </x:c>
      <x:c r="K6465" s="6" t="str">
        <x:f>IF(D6465="","",IF(AND(ISNUMBER(SEARCH("平",D6465)),OR(ISNUMBER(SEARCH("上",D6465)),ISNUMBER(SEARCH("去",D6465)),ISNUMBER(SEARCH("入",D6465)))),"Ambiguous",IF(ISNUMBER(SEARCH("平",D6465)),"平","仄")))</x:f>
        <x:v>平</x:v>
      </x:c>
      <x:c r="L6465" s="7" t="str">
        <x:v>Pingshui main list, Lu Qinli gap fill</x:v>
      </x:c>
    </x:row>
    <x:row r="6466">
      <x:c r="A6466" s="5" t="str">
        <x:v>鯤</x:v>
      </x:c>
      <x:c r="B6466" s="6" t="str">
        <x:v>平</x:v>
      </x:c>
      <x:c r="C6466" s="6" t="str">
        <x:f>IF(B6466="","Needs decision","Ready")</x:f>
        <x:v>Ready</x:v>
      </x:c>
      <x:c r="D6466" s="6" t="str">
        <x:v>平</x:v>
      </x:c>
      <x:c r="E6466" s="6" t="str"/>
      <x:c r="F6466" s="6" t="str">
        <x:v>上平聲十三元</x:v>
      </x:c>
      <x:c r="G6466" s="6" t="str">
        <x:v>Pingshui main list, Wikisource-derived DOCX</x:v>
      </x:c>
      <x:c r="H6466" s="6" t="str"/>
      <x:c r="I6466" s="6" t="str">
        <x:v>Lu Qinli gap fill from Pingshui main list; 詞 entries ignored</x:v>
      </x:c>
      <x:c r="J6466" s="6" t="str">
        <x:f>IF(B6466="","",IF(AND(ISNUMBER(SEARCH("平",B6466)),OR(ISNUMBER(SEARCH("上",B6466)),ISNUMBER(SEARCH("去",B6466)),ISNUMBER(SEARCH("入",B6466)))),"Ambiguous",IF(ISNUMBER(SEARCH("平",B6466)),"平","仄")))</x:f>
        <x:v>平</x:v>
      </x:c>
      <x:c r="K6466" s="6" t="str">
        <x:f>IF(D6466="","",IF(AND(ISNUMBER(SEARCH("平",D6466)),OR(ISNUMBER(SEARCH("上",D6466)),ISNUMBER(SEARCH("去",D6466)),ISNUMBER(SEARCH("入",D6466)))),"Ambiguous",IF(ISNUMBER(SEARCH("平",D6466)),"平","仄")))</x:f>
        <x:v>平</x:v>
      </x:c>
      <x:c r="L6466" s="7" t="str">
        <x:v>Pingshui main list, Lu Qinli gap fill</x:v>
      </x:c>
    </x:row>
    <x:row r="6467">
      <x:c r="A6467" s="5" t="str">
        <x:v>鯷</x:v>
      </x:c>
      <x:c r="B6467" s="6" t="str">
        <x:v>去</x:v>
      </x:c>
      <x:c r="C6467" s="6" t="str">
        <x:f>IF(B6467="","Needs decision","Ready")</x:f>
        <x:v>Ready</x:v>
      </x:c>
      <x:c r="D6467" s="6" t="str">
        <x:v>去</x:v>
      </x:c>
      <x:c r="E6467" s="6" t="str"/>
      <x:c r="F6467" s="6" t="str">
        <x:v>去聲八霽</x:v>
      </x:c>
      <x:c r="G6467" s="6" t="str">
        <x:v>Pingshui main list, Wikisource-derived DOCX</x:v>
      </x:c>
      <x:c r="H6467" s="6" t="str"/>
      <x:c r="I6467" s="6" t="str">
        <x:v>Lu Qinli gap fill from Pingshui main list; 詞 entries ignored</x:v>
      </x:c>
      <x:c r="J6467" s="6" t="str">
        <x:f>IF(B6467="","",IF(AND(ISNUMBER(SEARCH("平",B6467)),OR(ISNUMBER(SEARCH("上",B6467)),ISNUMBER(SEARCH("去",B6467)),ISNUMBER(SEARCH("入",B6467)))),"Ambiguous",IF(ISNUMBER(SEARCH("平",B6467)),"平","仄")))</x:f>
        <x:v>仄</x:v>
      </x:c>
      <x:c r="K6467" s="6" t="str">
        <x:f>IF(D6467="","",IF(AND(ISNUMBER(SEARCH("平",D6467)),OR(ISNUMBER(SEARCH("上",D6467)),ISNUMBER(SEARCH("去",D6467)),ISNUMBER(SEARCH("入",D6467)))),"Ambiguous",IF(ISNUMBER(SEARCH("平",D6467)),"平","仄")))</x:f>
        <x:v>仄</x:v>
      </x:c>
      <x:c r="L6467" s="7" t="str">
        <x:v>Pingshui main list, Lu Qinli gap fill</x:v>
      </x:c>
    </x:row>
    <x:row r="6468">
      <x:c r="A6468" s="5" t="str">
        <x:v>鰋</x:v>
      </x:c>
      <x:c r="B6468" s="6" t="str">
        <x:v>上</x:v>
      </x:c>
      <x:c r="C6468" s="6" t="str">
        <x:f>IF(B6468="","Needs decision","Ready")</x:f>
        <x:v>Ready</x:v>
      </x:c>
      <x:c r="D6468" s="6" t="str">
        <x:v>上</x:v>
      </x:c>
      <x:c r="E6468" s="6" t="str"/>
      <x:c r="F6468" s="6" t="str">
        <x:v>上聲十三阮</x:v>
      </x:c>
      <x:c r="G6468" s="6" t="str">
        <x:v>Pingshui main list, Wikisource-derived DOCX</x:v>
      </x:c>
      <x:c r="H6468" s="6" t="str"/>
      <x:c r="I6468" s="6" t="str">
        <x:v>Lu Qinli gap fill from Pingshui main list; 詞 entries ignored</x:v>
      </x:c>
      <x:c r="J6468" s="6" t="str">
        <x:f>IF(B6468="","",IF(AND(ISNUMBER(SEARCH("平",B6468)),OR(ISNUMBER(SEARCH("上",B6468)),ISNUMBER(SEARCH("去",B6468)),ISNUMBER(SEARCH("入",B6468)))),"Ambiguous",IF(ISNUMBER(SEARCH("平",B6468)),"平","仄")))</x:f>
        <x:v>仄</x:v>
      </x:c>
      <x:c r="K6468" s="6" t="str">
        <x:f>IF(D6468="","",IF(AND(ISNUMBER(SEARCH("平",D6468)),OR(ISNUMBER(SEARCH("上",D6468)),ISNUMBER(SEARCH("去",D6468)),ISNUMBER(SEARCH("入",D6468)))),"Ambiguous",IF(ISNUMBER(SEARCH("平",D6468)),"平","仄")))</x:f>
        <x:v>仄</x:v>
      </x:c>
      <x:c r="L6468" s="7" t="str">
        <x:v>Pingshui main list, Lu Qinli gap fill</x:v>
      </x:c>
    </x:row>
    <x:row r="6469">
      <x:c r="A6469" s="5" t="str">
        <x:v>鰩</x:v>
      </x:c>
      <x:c r="B6469" s="6" t="str">
        <x:v>平</x:v>
      </x:c>
      <x:c r="C6469" s="6" t="str">
        <x:f>IF(B6469="","Needs decision","Ready")</x:f>
        <x:v>Ready</x:v>
      </x:c>
      <x:c r="D6469" s="6" t="str">
        <x:v>平</x:v>
      </x:c>
      <x:c r="E6469" s="6" t="str"/>
      <x:c r="F6469" s="6" t="str">
        <x:v>下平聲二蕭</x:v>
      </x:c>
      <x:c r="G6469" s="6" t="str">
        <x:v>Pingshui main list, Wikisource-derived DOCX</x:v>
      </x:c>
      <x:c r="H6469" s="6" t="str"/>
      <x:c r="I6469" s="6" t="str">
        <x:v>Lu Qinli gap fill from Pingshui main list; 詞 entries ignored</x:v>
      </x:c>
      <x:c r="J6469" s="6" t="str">
        <x:f>IF(B6469="","",IF(AND(ISNUMBER(SEARCH("平",B6469)),OR(ISNUMBER(SEARCH("上",B6469)),ISNUMBER(SEARCH("去",B6469)),ISNUMBER(SEARCH("入",B6469)))),"Ambiguous",IF(ISNUMBER(SEARCH("平",B6469)),"平","仄")))</x:f>
        <x:v>平</x:v>
      </x:c>
      <x:c r="K6469" s="6" t="str">
        <x:f>IF(D6469="","",IF(AND(ISNUMBER(SEARCH("平",D6469)),OR(ISNUMBER(SEARCH("上",D6469)),ISNUMBER(SEARCH("去",D6469)),ISNUMBER(SEARCH("入",D6469)))),"Ambiguous",IF(ISNUMBER(SEARCH("平",D6469)),"平","仄")))</x:f>
        <x:v>平</x:v>
      </x:c>
      <x:c r="L6469" s="7" t="str">
        <x:v>Pingshui main list, Lu Qinli gap fill</x:v>
      </x:c>
    </x:row>
    <x:row r="6470">
      <x:c r="A6470" s="5" t="str">
        <x:v>鰷</x:v>
      </x:c>
      <x:c r="B6470" s="6" t="str">
        <x:v>平</x:v>
      </x:c>
      <x:c r="C6470" s="6" t="str">
        <x:f>IF(B6470="","Needs decision","Ready")</x:f>
        <x:v>Ready</x:v>
      </x:c>
      <x:c r="D6470" s="6" t="str">
        <x:v>平</x:v>
      </x:c>
      <x:c r="E6470" s="6" t="str"/>
      <x:c r="F6470" s="6" t="str">
        <x:v>下平聲二蕭</x:v>
      </x:c>
      <x:c r="G6470" s="6" t="str">
        <x:v>Pingshui main list, Wikisource-derived DOCX</x:v>
      </x:c>
      <x:c r="H6470" s="6" t="str"/>
      <x:c r="I6470" s="6" t="str">
        <x:v>Lu Qinli gap fill from Pingshui main list; 詞 entries ignored</x:v>
      </x:c>
      <x:c r="J6470" s="6" t="str">
        <x:f>IF(B6470="","",IF(AND(ISNUMBER(SEARCH("平",B6470)),OR(ISNUMBER(SEARCH("上",B6470)),ISNUMBER(SEARCH("去",B6470)),ISNUMBER(SEARCH("入",B6470)))),"Ambiguous",IF(ISNUMBER(SEARCH("平",B6470)),"平","仄")))</x:f>
        <x:v>平</x:v>
      </x:c>
      <x:c r="K6470" s="6" t="str">
        <x:f>IF(D6470="","",IF(AND(ISNUMBER(SEARCH("平",D6470)),OR(ISNUMBER(SEARCH("上",D6470)),ISNUMBER(SEARCH("去",D6470)),ISNUMBER(SEARCH("入",D6470)))),"Ambiguous",IF(ISNUMBER(SEARCH("平",D6470)),"平","仄")))</x:f>
        <x:v>平</x:v>
      </x:c>
      <x:c r="L6470" s="7" t="str">
        <x:v>Pingshui main list, Lu Qinli gap fill</x:v>
      </x:c>
    </x:row>
    <x:row r="6471">
      <x:c r="A6471" s="5" t="str">
        <x:v>鱧</x:v>
      </x:c>
      <x:c r="B6471" s="6" t="str">
        <x:v>上</x:v>
      </x:c>
      <x:c r="C6471" s="6" t="str">
        <x:f>IF(B6471="","Needs decision","Ready")</x:f>
        <x:v>Ready</x:v>
      </x:c>
      <x:c r="D6471" s="6" t="str">
        <x:v>上</x:v>
      </x:c>
      <x:c r="E6471" s="6" t="str"/>
      <x:c r="F6471" s="6" t="str">
        <x:v>上聲八薺</x:v>
      </x:c>
      <x:c r="G6471" s="6" t="str">
        <x:v>Pingshui main list, Wikisource-derived DOCX</x:v>
      </x:c>
      <x:c r="H6471" s="6" t="str"/>
      <x:c r="I6471" s="6" t="str">
        <x:v>Lu Qinli gap fill from Pingshui main list; 詞 entries ignored</x:v>
      </x:c>
      <x:c r="J6471" s="6" t="str">
        <x:f>IF(B6471="","",IF(AND(ISNUMBER(SEARCH("平",B6471)),OR(ISNUMBER(SEARCH("上",B6471)),ISNUMBER(SEARCH("去",B6471)),ISNUMBER(SEARCH("入",B6471)))),"Ambiguous",IF(ISNUMBER(SEARCH("平",B6471)),"平","仄")))</x:f>
        <x:v>仄</x:v>
      </x:c>
      <x:c r="K6471" s="6" t="str">
        <x:f>IF(D6471="","",IF(AND(ISNUMBER(SEARCH("平",D6471)),OR(ISNUMBER(SEARCH("上",D6471)),ISNUMBER(SEARCH("去",D6471)),ISNUMBER(SEARCH("入",D6471)))),"Ambiguous",IF(ISNUMBER(SEARCH("平",D6471)),"平","仄")))</x:f>
        <x:v>仄</x:v>
      </x:c>
      <x:c r="L6471" s="7" t="str">
        <x:v>Pingshui main list, Lu Qinli gap fill</x:v>
      </x:c>
    </x:row>
    <x:row r="6472">
      <x:c r="A6472" s="5" t="str">
        <x:v>鱮</x:v>
      </x:c>
      <x:c r="B6472" s="6" t="str">
        <x:v>上</x:v>
      </x:c>
      <x:c r="C6472" s="6" t="str">
        <x:f>IF(B6472="","Needs decision","Ready")</x:f>
        <x:v>Ready</x:v>
      </x:c>
      <x:c r="D6472" s="6" t="str">
        <x:v>上</x:v>
      </x:c>
      <x:c r="E6472" s="6" t="str"/>
      <x:c r="F6472" s="6" t="str">
        <x:v>上聲六語</x:v>
      </x:c>
      <x:c r="G6472" s="6" t="str">
        <x:v>Pingshui main list, Wikisource-derived DOCX</x:v>
      </x:c>
      <x:c r="H6472" s="6" t="str"/>
      <x:c r="I6472" s="6" t="str">
        <x:v>Lu Qinli gap fill from Pingshui main list; 詞 entries ignored</x:v>
      </x:c>
      <x:c r="J6472" s="6" t="str">
        <x:f>IF(B6472="","",IF(AND(ISNUMBER(SEARCH("平",B6472)),OR(ISNUMBER(SEARCH("上",B6472)),ISNUMBER(SEARCH("去",B6472)),ISNUMBER(SEARCH("入",B6472)))),"Ambiguous",IF(ISNUMBER(SEARCH("平",B6472)),"平","仄")))</x:f>
        <x:v>仄</x:v>
      </x:c>
      <x:c r="K6472" s="6" t="str">
        <x:f>IF(D6472="","",IF(AND(ISNUMBER(SEARCH("平",D6472)),OR(ISNUMBER(SEARCH("上",D6472)),ISNUMBER(SEARCH("去",D6472)),ISNUMBER(SEARCH("入",D6472)))),"Ambiguous",IF(ISNUMBER(SEARCH("平",D6472)),"平","仄")))</x:f>
        <x:v>仄</x:v>
      </x:c>
      <x:c r="L6472" s="7" t="str">
        <x:v>Pingshui main list, Lu Qinli gap fill</x:v>
      </x:c>
    </x:row>
    <x:row r="6473">
      <x:c r="A6473" s="5" t="str">
        <x:v>鱸</x:v>
      </x:c>
      <x:c r="B6473" s="6" t="str">
        <x:v>平</x:v>
      </x:c>
      <x:c r="C6473" s="6" t="str">
        <x:f>IF(B6473="","Needs decision","Ready")</x:f>
        <x:v>Ready</x:v>
      </x:c>
      <x:c r="D6473" s="6" t="str">
        <x:v>平</x:v>
      </x:c>
      <x:c r="E6473" s="6" t="str"/>
      <x:c r="F6473" s="6" t="str">
        <x:v>上平聲七虞</x:v>
      </x:c>
      <x:c r="G6473" s="6" t="str">
        <x:v>Pingshui main list, Wikisource-derived DOCX</x:v>
      </x:c>
      <x:c r="H6473" s="6" t="str"/>
      <x:c r="I6473" s="6" t="str">
        <x:v>Lu Qinli gap fill from Pingshui main list; 詞 entries ignored</x:v>
      </x:c>
      <x:c r="J6473" s="6" t="str">
        <x:f>IF(B6473="","",IF(AND(ISNUMBER(SEARCH("平",B6473)),OR(ISNUMBER(SEARCH("上",B6473)),ISNUMBER(SEARCH("去",B6473)),ISNUMBER(SEARCH("入",B6473)))),"Ambiguous",IF(ISNUMBER(SEARCH("平",B6473)),"平","仄")))</x:f>
        <x:v>平</x:v>
      </x:c>
      <x:c r="K6473" s="6" t="str">
        <x:f>IF(D6473="","",IF(AND(ISNUMBER(SEARCH("平",D6473)),OR(ISNUMBER(SEARCH("上",D6473)),ISNUMBER(SEARCH("去",D6473)),ISNUMBER(SEARCH("入",D6473)))),"Ambiguous",IF(ISNUMBER(SEARCH("平",D6473)),"平","仄")))</x:f>
        <x:v>平</x:v>
      </x:c>
      <x:c r="L6473" s="7" t="str">
        <x:v>Pingshui main list, Lu Qinli gap fill</x:v>
      </x:c>
    </x:row>
    <x:row r="6474">
      <x:c r="A6474" s="5" t="str">
        <x:v>鳲</x:v>
      </x:c>
      <x:c r="B6474" s="6" t="str">
        <x:v>平</x:v>
      </x:c>
      <x:c r="C6474" s="6" t="str">
        <x:f>IF(B6474="","Needs decision","Ready")</x:f>
        <x:v>Ready</x:v>
      </x:c>
      <x:c r="D6474" s="6" t="str">
        <x:v>平</x:v>
      </x:c>
      <x:c r="E6474" s="6" t="str"/>
      <x:c r="F6474" s="6" t="str">
        <x:v>上平聲四支</x:v>
      </x:c>
      <x:c r="G6474" s="6" t="str">
        <x:v>Pingshui main list, Wikisource-derived DOCX</x:v>
      </x:c>
      <x:c r="H6474" s="6" t="str"/>
      <x:c r="I6474" s="6" t="str">
        <x:v>Lu Qinli gap fill from Pingshui main list; 詞 entries ignored</x:v>
      </x:c>
      <x:c r="J6474" s="6" t="str">
        <x:f>IF(B6474="","",IF(AND(ISNUMBER(SEARCH("平",B6474)),OR(ISNUMBER(SEARCH("上",B6474)),ISNUMBER(SEARCH("去",B6474)),ISNUMBER(SEARCH("入",B6474)))),"Ambiguous",IF(ISNUMBER(SEARCH("平",B6474)),"平","仄")))</x:f>
        <x:v>平</x:v>
      </x:c>
      <x:c r="K6474" s="6" t="str">
        <x:f>IF(D6474="","",IF(AND(ISNUMBER(SEARCH("平",D6474)),OR(ISNUMBER(SEARCH("上",D6474)),ISNUMBER(SEARCH("去",D6474)),ISNUMBER(SEARCH("入",D6474)))),"Ambiguous",IF(ISNUMBER(SEARCH("平",D6474)),"平","仄")))</x:f>
        <x:v>平</x:v>
      </x:c>
      <x:c r="L6474" s="7" t="str">
        <x:v>Pingshui main list, Lu Qinli gap fill</x:v>
      </x:c>
    </x:row>
    <x:row r="6475">
      <x:c r="A6475" s="5" t="str">
        <x:v>鳶</x:v>
      </x:c>
      <x:c r="B6475" s="6" t="str">
        <x:v>平</x:v>
      </x:c>
      <x:c r="C6475" s="6" t="str">
        <x:f>IF(B6475="","Needs decision","Ready")</x:f>
        <x:v>Ready</x:v>
      </x:c>
      <x:c r="D6475" s="6" t="str">
        <x:v>平</x:v>
      </x:c>
      <x:c r="E6475" s="6" t="str"/>
      <x:c r="F6475" s="6" t="str">
        <x:v>下平聲一先</x:v>
      </x:c>
      <x:c r="G6475" s="6" t="str">
        <x:v>Pingshui main list, Wikisource-derived DOCX</x:v>
      </x:c>
      <x:c r="H6475" s="6" t="str"/>
      <x:c r="I6475" s="6" t="str">
        <x:v>Lu Qinli gap fill from Pingshui main list; 詞 entries ignored</x:v>
      </x:c>
      <x:c r="J6475" s="6" t="str">
        <x:f>IF(B6475="","",IF(AND(ISNUMBER(SEARCH("平",B6475)),OR(ISNUMBER(SEARCH("上",B6475)),ISNUMBER(SEARCH("去",B6475)),ISNUMBER(SEARCH("入",B6475)))),"Ambiguous",IF(ISNUMBER(SEARCH("平",B6475)),"平","仄")))</x:f>
        <x:v>平</x:v>
      </x:c>
      <x:c r="K6475" s="6" t="str">
        <x:f>IF(D6475="","",IF(AND(ISNUMBER(SEARCH("平",D6475)),OR(ISNUMBER(SEARCH("上",D6475)),ISNUMBER(SEARCH("去",D6475)),ISNUMBER(SEARCH("入",D6475)))),"Ambiguous",IF(ISNUMBER(SEARCH("平",D6475)),"平","仄")))</x:f>
        <x:v>平</x:v>
      </x:c>
      <x:c r="L6475" s="7" t="str">
        <x:v>Pingshui main list, Lu Qinli gap fill</x:v>
      </x:c>
    </x:row>
    <x:row r="6476">
      <x:c r="A6476" s="5" t="str">
        <x:v>鴇</x:v>
      </x:c>
      <x:c r="B6476" s="6" t="str">
        <x:v>上</x:v>
      </x:c>
      <x:c r="C6476" s="6" t="str">
        <x:f>IF(B6476="","Needs decision","Ready")</x:f>
        <x:v>Ready</x:v>
      </x:c>
      <x:c r="D6476" s="6" t="str">
        <x:v>上</x:v>
      </x:c>
      <x:c r="E6476" s="6" t="str"/>
      <x:c r="F6476" s="6" t="str">
        <x:v>上聲十九皓</x:v>
      </x:c>
      <x:c r="G6476" s="6" t="str">
        <x:v>Pingshui main list, Wikisource-derived DOCX</x:v>
      </x:c>
      <x:c r="H6476" s="6" t="str"/>
      <x:c r="I6476" s="6" t="str">
        <x:v>Lu Qinli gap fill from Pingshui main list; 詞 entries ignored</x:v>
      </x:c>
      <x:c r="J6476" s="6" t="str">
        <x:f>IF(B6476="","",IF(AND(ISNUMBER(SEARCH("平",B6476)),OR(ISNUMBER(SEARCH("上",B6476)),ISNUMBER(SEARCH("去",B6476)),ISNUMBER(SEARCH("入",B6476)))),"Ambiguous",IF(ISNUMBER(SEARCH("平",B6476)),"平","仄")))</x:f>
        <x:v>仄</x:v>
      </x:c>
      <x:c r="K6476" s="6" t="str">
        <x:f>IF(D6476="","",IF(AND(ISNUMBER(SEARCH("平",D6476)),OR(ISNUMBER(SEARCH("上",D6476)),ISNUMBER(SEARCH("去",D6476)),ISNUMBER(SEARCH("入",D6476)))),"Ambiguous",IF(ISNUMBER(SEARCH("平",D6476)),"平","仄")))</x:f>
        <x:v>仄</x:v>
      </x:c>
      <x:c r="L6476" s="7" t="str">
        <x:v>Pingshui main list, Lu Qinli gap fill</x:v>
      </x:c>
    </x:row>
    <x:row r="6477">
      <x:c r="A6477" s="5" t="str">
        <x:v>鴒</x:v>
      </x:c>
      <x:c r="B6477" s="6" t="str">
        <x:v>平</x:v>
      </x:c>
      <x:c r="C6477" s="6" t="str">
        <x:f>IF(B6477="","Needs decision","Ready")</x:f>
        <x:v>Ready</x:v>
      </x:c>
      <x:c r="D6477" s="6" t="str">
        <x:v>平</x:v>
      </x:c>
      <x:c r="E6477" s="6" t="str"/>
      <x:c r="F6477" s="6" t="str">
        <x:v>下平聲九青</x:v>
      </x:c>
      <x:c r="G6477" s="6" t="str">
        <x:v>Pingshui main list, Wikisource-derived DOCX</x:v>
      </x:c>
      <x:c r="H6477" s="6" t="str"/>
      <x:c r="I6477" s="6" t="str">
        <x:v>Lu Qinli gap fill from Pingshui main list; 詞 entries ignored</x:v>
      </x:c>
      <x:c r="J6477" s="6" t="str">
        <x:f>IF(B6477="","",IF(AND(ISNUMBER(SEARCH("平",B6477)),OR(ISNUMBER(SEARCH("上",B6477)),ISNUMBER(SEARCH("去",B6477)),ISNUMBER(SEARCH("入",B6477)))),"Ambiguous",IF(ISNUMBER(SEARCH("平",B6477)),"平","仄")))</x:f>
        <x:v>平</x:v>
      </x:c>
      <x:c r="K6477" s="6" t="str">
        <x:f>IF(D6477="","",IF(AND(ISNUMBER(SEARCH("平",D6477)),OR(ISNUMBER(SEARCH("上",D6477)),ISNUMBER(SEARCH("去",D6477)),ISNUMBER(SEARCH("入",D6477)))),"Ambiguous",IF(ISNUMBER(SEARCH("平",D6477)),"平","仄")))</x:f>
        <x:v>平</x:v>
      </x:c>
      <x:c r="L6477" s="7" t="str">
        <x:v>Pingshui main list, Lu Qinli gap fill</x:v>
      </x:c>
    </x:row>
    <x:row r="6478">
      <x:c r="A6478" s="5" t="str">
        <x:v>鴠</x:v>
      </x:c>
      <x:c r="B6478" s="6" t="str">
        <x:v>去</x:v>
      </x:c>
      <x:c r="C6478" s="6" t="str">
        <x:f>IF(B6478="","Needs decision","Ready")</x:f>
        <x:v>Ready</x:v>
      </x:c>
      <x:c r="D6478" s="6" t="str">
        <x:v>去</x:v>
      </x:c>
      <x:c r="E6478" s="6" t="str"/>
      <x:c r="F6478" s="6" t="str">
        <x:v>去聲十五翰</x:v>
      </x:c>
      <x:c r="G6478" s="6" t="str">
        <x:v>Pingshui main list, Wikisource-derived DOCX</x:v>
      </x:c>
      <x:c r="H6478" s="6" t="str"/>
      <x:c r="I6478" s="6" t="str">
        <x:v>Lu Qinli gap fill from Pingshui main list; 詞 entries ignored</x:v>
      </x:c>
      <x:c r="J6478" s="6" t="str">
        <x:f>IF(B6478="","",IF(AND(ISNUMBER(SEARCH("平",B6478)),OR(ISNUMBER(SEARCH("上",B6478)),ISNUMBER(SEARCH("去",B6478)),ISNUMBER(SEARCH("入",B6478)))),"Ambiguous",IF(ISNUMBER(SEARCH("平",B6478)),"平","仄")))</x:f>
        <x:v>仄</x:v>
      </x:c>
      <x:c r="K6478" s="6" t="str">
        <x:f>IF(D6478="","",IF(AND(ISNUMBER(SEARCH("平",D6478)),OR(ISNUMBER(SEARCH("上",D6478)),ISNUMBER(SEARCH("去",D6478)),ISNUMBER(SEARCH("入",D6478)))),"Ambiguous",IF(ISNUMBER(SEARCH("平",D6478)),"平","仄")))</x:f>
        <x:v>仄</x:v>
      </x:c>
      <x:c r="L6478" s="7" t="str">
        <x:v>Pingshui main list, Lu Qinli gap fill</x:v>
      </x:c>
    </x:row>
    <x:row r="6479">
      <x:c r="A6479" s="5" t="str">
        <x:v>鵁</x:v>
      </x:c>
      <x:c r="B6479" s="6" t="str">
        <x:v>平</x:v>
      </x:c>
      <x:c r="C6479" s="6" t="str">
        <x:f>IF(B6479="","Needs decision","Ready")</x:f>
        <x:v>Ready</x:v>
      </x:c>
      <x:c r="D6479" s="6" t="str">
        <x:v>平</x:v>
      </x:c>
      <x:c r="E6479" s="6" t="str"/>
      <x:c r="F6479" s="6" t="str">
        <x:v>下平聲三肴</x:v>
      </x:c>
      <x:c r="G6479" s="6" t="str">
        <x:v>Pingshui main list, Wikisource-derived DOCX</x:v>
      </x:c>
      <x:c r="H6479" s="6" t="str"/>
      <x:c r="I6479" s="6" t="str">
        <x:v>Lu Qinli gap fill from Pingshui main list; 詞 entries ignored</x:v>
      </x:c>
      <x:c r="J6479" s="6" t="str">
        <x:f>IF(B6479="","",IF(AND(ISNUMBER(SEARCH("平",B6479)),OR(ISNUMBER(SEARCH("上",B6479)),ISNUMBER(SEARCH("去",B6479)),ISNUMBER(SEARCH("入",B6479)))),"Ambiguous",IF(ISNUMBER(SEARCH("平",B6479)),"平","仄")))</x:f>
        <x:v>平</x:v>
      </x:c>
      <x:c r="K6479" s="6" t="str">
        <x:f>IF(D6479="","",IF(AND(ISNUMBER(SEARCH("平",D6479)),OR(ISNUMBER(SEARCH("上",D6479)),ISNUMBER(SEARCH("去",D6479)),ISNUMBER(SEARCH("入",D6479)))),"Ambiguous",IF(ISNUMBER(SEARCH("平",D6479)),"平","仄")))</x:f>
        <x:v>平</x:v>
      </x:c>
      <x:c r="L6479" s="7" t="str">
        <x:v>Pingshui main list, Lu Qinli gap fill</x:v>
      </x:c>
    </x:row>
    <x:row r="6480">
      <x:c r="A6480" s="5" t="str">
        <x:v>鵃</x:v>
      </x:c>
      <x:c r="B6480" s="6" t="str">
        <x:v>平</x:v>
      </x:c>
      <x:c r="C6480" s="6" t="str">
        <x:f>IF(B6480="","Needs decision","Ready")</x:f>
        <x:v>Ready</x:v>
      </x:c>
      <x:c r="D6480" s="6" t="str">
        <x:v>平</x:v>
      </x:c>
      <x:c r="E6480" s="6" t="str"/>
      <x:c r="F6480" s="6" t="str">
        <x:v>下平聲三肴; 下平聲十一尤</x:v>
      </x:c>
      <x:c r="G6480" s="6" t="str">
        <x:v>Pingshui main list, Wikisource-derived DOCX</x:v>
      </x:c>
      <x:c r="H6480" s="6" t="str"/>
      <x:c r="I6480" s="6" t="str">
        <x:v>Lu Qinli gap fill from Pingshui main list; 詞 entries ignored</x:v>
      </x:c>
      <x:c r="J6480" s="6" t="str">
        <x:f>IF(B6480="","",IF(AND(ISNUMBER(SEARCH("平",B6480)),OR(ISNUMBER(SEARCH("上",B6480)),ISNUMBER(SEARCH("去",B6480)),ISNUMBER(SEARCH("入",B6480)))),"Ambiguous",IF(ISNUMBER(SEARCH("平",B6480)),"平","仄")))</x:f>
        <x:v>平</x:v>
      </x:c>
      <x:c r="K6480" s="6" t="str">
        <x:f>IF(D6480="","",IF(AND(ISNUMBER(SEARCH("平",D6480)),OR(ISNUMBER(SEARCH("上",D6480)),ISNUMBER(SEARCH("去",D6480)),ISNUMBER(SEARCH("入",D6480)))),"Ambiguous",IF(ISNUMBER(SEARCH("平",D6480)),"平","仄")))</x:f>
        <x:v>平</x:v>
      </x:c>
      <x:c r="L6480" s="7" t="str">
        <x:v>Pingshui main list, Lu Qinli gap fill</x:v>
      </x:c>
    </x:row>
    <x:row r="6481">
      <x:c r="A6481" s="5" t="str">
        <x:v>鵒</x:v>
      </x:c>
      <x:c r="B6481" s="6" t="str">
        <x:v>入</x:v>
      </x:c>
      <x:c r="C6481" s="6" t="str">
        <x:f>IF(B6481="","Needs decision","Ready")</x:f>
        <x:v>Ready</x:v>
      </x:c>
      <x:c r="D6481" s="6" t="str">
        <x:v>入</x:v>
      </x:c>
      <x:c r="E6481" s="6" t="str"/>
      <x:c r="F6481" s="6" t="str">
        <x:v>入聲二沃</x:v>
      </x:c>
      <x:c r="G6481" s="6" t="str">
        <x:v>Pingshui main list, Wikisource-derived DOCX</x:v>
      </x:c>
      <x:c r="H6481" s="6" t="str"/>
      <x:c r="I6481" s="6" t="str">
        <x:v>Lu Qinli gap fill from Pingshui main list; 詞 entries ignored</x:v>
      </x:c>
      <x:c r="J6481" s="6" t="str">
        <x:f>IF(B6481="","",IF(AND(ISNUMBER(SEARCH("平",B6481)),OR(ISNUMBER(SEARCH("上",B6481)),ISNUMBER(SEARCH("去",B6481)),ISNUMBER(SEARCH("入",B6481)))),"Ambiguous",IF(ISNUMBER(SEARCH("平",B6481)),"平","仄")))</x:f>
        <x:v>仄</x:v>
      </x:c>
      <x:c r="K6481" s="6" t="str">
        <x:f>IF(D6481="","",IF(AND(ISNUMBER(SEARCH("平",D6481)),OR(ISNUMBER(SEARCH("上",D6481)),ISNUMBER(SEARCH("去",D6481)),ISNUMBER(SEARCH("入",D6481)))),"Ambiguous",IF(ISNUMBER(SEARCH("平",D6481)),"平","仄")))</x:f>
        <x:v>仄</x:v>
      </x:c>
      <x:c r="L6481" s="7" t="str">
        <x:v>Pingshui main list, Lu Qinli gap fill</x:v>
      </x:c>
    </x:row>
    <x:row r="6482">
      <x:c r="A6482" s="5" t="str">
        <x:v>鵜</x:v>
      </x:c>
      <x:c r="B6482" s="6" t="str">
        <x:v>平</x:v>
      </x:c>
      <x:c r="C6482" s="6" t="str">
        <x:f>IF(B6482="","Needs decision","Ready")</x:f>
        <x:v>Ready</x:v>
      </x:c>
      <x:c r="D6482" s="6" t="str">
        <x:v>平</x:v>
      </x:c>
      <x:c r="E6482" s="6" t="str"/>
      <x:c r="F6482" s="6" t="str">
        <x:v>上平聲八齊</x:v>
      </x:c>
      <x:c r="G6482" s="6" t="str">
        <x:v>Pingshui main list, Wikisource-derived DOCX</x:v>
      </x:c>
      <x:c r="H6482" s="6" t="str"/>
      <x:c r="I6482" s="6" t="str">
        <x:v>Lu Qinli gap fill from Pingshui main list; 詞 entries ignored</x:v>
      </x:c>
      <x:c r="J6482" s="6" t="str">
        <x:f>IF(B6482="","",IF(AND(ISNUMBER(SEARCH("平",B6482)),OR(ISNUMBER(SEARCH("上",B6482)),ISNUMBER(SEARCH("去",B6482)),ISNUMBER(SEARCH("入",B6482)))),"Ambiguous",IF(ISNUMBER(SEARCH("平",B6482)),"平","仄")))</x:f>
        <x:v>平</x:v>
      </x:c>
      <x:c r="K6482" s="6" t="str">
        <x:f>IF(D6482="","",IF(AND(ISNUMBER(SEARCH("平",D6482)),OR(ISNUMBER(SEARCH("上",D6482)),ISNUMBER(SEARCH("去",D6482)),ISNUMBER(SEARCH("入",D6482)))),"Ambiguous",IF(ISNUMBER(SEARCH("平",D6482)),"平","仄")))</x:f>
        <x:v>平</x:v>
      </x:c>
      <x:c r="L6482" s="7" t="str">
        <x:v>Pingshui main list, Lu Qinli gap fill</x:v>
      </x:c>
    </x:row>
    <x:row r="6483">
      <x:c r="A6483" s="5" t="str">
        <x:v>鵠</x:v>
      </x:c>
      <x:c r="B6483" s="6" t="str">
        <x:v>入</x:v>
      </x:c>
      <x:c r="C6483" s="6" t="str">
        <x:f>IF(B6483="","Needs decision","Ready")</x:f>
        <x:v>Ready</x:v>
      </x:c>
      <x:c r="D6483" s="6" t="str">
        <x:v>入</x:v>
      </x:c>
      <x:c r="E6483" s="6" t="str"/>
      <x:c r="F6483" s="6" t="str">
        <x:v>入聲二沃</x:v>
      </x:c>
      <x:c r="G6483" s="6" t="str">
        <x:v>Pingshui main list, Wikisource-derived DOCX</x:v>
      </x:c>
      <x:c r="H6483" s="6" t="str"/>
      <x:c r="I6483" s="6" t="str">
        <x:v>Lu Qinli gap fill from Pingshui main list; 詞 entries ignored</x:v>
      </x:c>
      <x:c r="J6483" s="6" t="str">
        <x:f>IF(B6483="","",IF(AND(ISNUMBER(SEARCH("平",B6483)),OR(ISNUMBER(SEARCH("上",B6483)),ISNUMBER(SEARCH("去",B6483)),ISNUMBER(SEARCH("入",B6483)))),"Ambiguous",IF(ISNUMBER(SEARCH("平",B6483)),"平","仄")))</x:f>
        <x:v>仄</x:v>
      </x:c>
      <x:c r="K6483" s="6" t="str">
        <x:f>IF(D6483="","",IF(AND(ISNUMBER(SEARCH("平",D6483)),OR(ISNUMBER(SEARCH("上",D6483)),ISNUMBER(SEARCH("去",D6483)),ISNUMBER(SEARCH("入",D6483)))),"Ambiguous",IF(ISNUMBER(SEARCH("平",D6483)),"平","仄")))</x:f>
        <x:v>仄</x:v>
      </x:c>
      <x:c r="L6483" s="7" t="str">
        <x:v>Pingshui main list, Lu Qinli gap fill</x:v>
      </x:c>
    </x:row>
    <x:row r="6484">
      <x:c r="A6484" s="5" t="str">
        <x:v>鵬</x:v>
      </x:c>
      <x:c r="B6484" s="6" t="str">
        <x:v>平</x:v>
      </x:c>
      <x:c r="C6484" s="6" t="str">
        <x:f>IF(B6484="","Needs decision","Ready")</x:f>
        <x:v>Ready</x:v>
      </x:c>
      <x:c r="D6484" s="6" t="str">
        <x:v>平</x:v>
      </x:c>
      <x:c r="E6484" s="6" t="str"/>
      <x:c r="F6484" s="6" t="str">
        <x:v>下平聲十蒸</x:v>
      </x:c>
      <x:c r="G6484" s="6" t="str">
        <x:v>Pingshui main list, Wikisource-derived DOCX</x:v>
      </x:c>
      <x:c r="H6484" s="6" t="str"/>
      <x:c r="I6484" s="6" t="str">
        <x:v>Lu Qinli gap fill from Pingshui main list; 詞 entries ignored</x:v>
      </x:c>
      <x:c r="J6484" s="6" t="str">
        <x:f>IF(B6484="","",IF(AND(ISNUMBER(SEARCH("平",B6484)),OR(ISNUMBER(SEARCH("上",B6484)),ISNUMBER(SEARCH("去",B6484)),ISNUMBER(SEARCH("入",B6484)))),"Ambiguous",IF(ISNUMBER(SEARCH("平",B6484)),"平","仄")))</x:f>
        <x:v>平</x:v>
      </x:c>
      <x:c r="K6484" s="6" t="str">
        <x:f>IF(D6484="","",IF(AND(ISNUMBER(SEARCH("平",D6484)),OR(ISNUMBER(SEARCH("上",D6484)),ISNUMBER(SEARCH("去",D6484)),ISNUMBER(SEARCH("入",D6484)))),"Ambiguous",IF(ISNUMBER(SEARCH("平",D6484)),"平","仄")))</x:f>
        <x:v>平</x:v>
      </x:c>
      <x:c r="L6484" s="7" t="str">
        <x:v>Pingshui main list, Lu Qinli gap fill</x:v>
      </x:c>
    </x:row>
    <x:row r="6485">
      <x:c r="A6485" s="5" t="str">
        <x:v>鵷</x:v>
      </x:c>
      <x:c r="B6485" s="6" t="str">
        <x:v>平</x:v>
      </x:c>
      <x:c r="C6485" s="6" t="str">
        <x:f>IF(B6485="","Needs decision","Ready")</x:f>
        <x:v>Ready</x:v>
      </x:c>
      <x:c r="D6485" s="6" t="str">
        <x:v>平</x:v>
      </x:c>
      <x:c r="E6485" s="6" t="str"/>
      <x:c r="F6485" s="6" t="str">
        <x:v>上平聲十三元</x:v>
      </x:c>
      <x:c r="G6485" s="6" t="str">
        <x:v>Pingshui main list, Wikisource-derived DOCX</x:v>
      </x:c>
      <x:c r="H6485" s="6" t="str"/>
      <x:c r="I6485" s="6" t="str">
        <x:v>Lu Qinli gap fill from Pingshui main list; 詞 entries ignored</x:v>
      </x:c>
      <x:c r="J6485" s="6" t="str">
        <x:f>IF(B6485="","",IF(AND(ISNUMBER(SEARCH("平",B6485)),OR(ISNUMBER(SEARCH("上",B6485)),ISNUMBER(SEARCH("去",B6485)),ISNUMBER(SEARCH("入",B6485)))),"Ambiguous",IF(ISNUMBER(SEARCH("平",B6485)),"平","仄")))</x:f>
        <x:v>平</x:v>
      </x:c>
      <x:c r="K6485" s="6" t="str">
        <x:f>IF(D6485="","",IF(AND(ISNUMBER(SEARCH("平",D6485)),OR(ISNUMBER(SEARCH("上",D6485)),ISNUMBER(SEARCH("去",D6485)),ISNUMBER(SEARCH("入",D6485)))),"Ambiguous",IF(ISNUMBER(SEARCH("平",D6485)),"平","仄")))</x:f>
        <x:v>平</x:v>
      </x:c>
      <x:c r="L6485" s="7" t="str">
        <x:v>Pingshui main list, Lu Qinli gap fill</x:v>
      </x:c>
    </x:row>
    <x:row r="6486">
      <x:c r="A6486" s="5" t="str">
        <x:v>鵻</x:v>
      </x:c>
      <x:c r="B6486" s="6" t="str">
        <x:v>平</x:v>
      </x:c>
      <x:c r="C6486" s="6" t="str">
        <x:f>IF(B6486="","Needs decision","Ready")</x:f>
        <x:v>Ready</x:v>
      </x:c>
      <x:c r="D6486" s="6" t="str">
        <x:v>平</x:v>
      </x:c>
      <x:c r="E6486" s="6" t="str"/>
      <x:c r="F6486" s="6" t="str">
        <x:v>上平聲四支</x:v>
      </x:c>
      <x:c r="G6486" s="6" t="str">
        <x:v>Pingshui main list, Wikisource-derived DOCX</x:v>
      </x:c>
      <x:c r="H6486" s="6" t="str"/>
      <x:c r="I6486" s="6" t="str">
        <x:v>Lu Qinli gap fill from Pingshui main list; 詞 entries ignored</x:v>
      </x:c>
      <x:c r="J6486" s="6" t="str">
        <x:f>IF(B6486="","",IF(AND(ISNUMBER(SEARCH("平",B6486)),OR(ISNUMBER(SEARCH("上",B6486)),ISNUMBER(SEARCH("去",B6486)),ISNUMBER(SEARCH("入",B6486)))),"Ambiguous",IF(ISNUMBER(SEARCH("平",B6486)),"平","仄")))</x:f>
        <x:v>平</x:v>
      </x:c>
      <x:c r="K6486" s="6" t="str">
        <x:f>IF(D6486="","",IF(AND(ISNUMBER(SEARCH("平",D6486)),OR(ISNUMBER(SEARCH("上",D6486)),ISNUMBER(SEARCH("去",D6486)),ISNUMBER(SEARCH("入",D6486)))),"Ambiguous",IF(ISNUMBER(SEARCH("平",D6486)),"平","仄")))</x:f>
        <x:v>平</x:v>
      </x:c>
      <x:c r="L6486" s="7" t="str">
        <x:v>Pingshui main list, Lu Qinli gap fill</x:v>
      </x:c>
    </x:row>
    <x:row r="6487">
      <x:c r="A6487" s="5" t="str">
        <x:v>鶊</x:v>
      </x:c>
      <x:c r="B6487" s="6" t="str">
        <x:v>平</x:v>
      </x:c>
      <x:c r="C6487" s="6" t="str">
        <x:f>IF(B6487="","Needs decision","Ready")</x:f>
        <x:v>Ready</x:v>
      </x:c>
      <x:c r="D6487" s="6" t="str">
        <x:v>平</x:v>
      </x:c>
      <x:c r="E6487" s="6" t="str"/>
      <x:c r="F6487" s="6" t="str">
        <x:v>下平聲八庚</x:v>
      </x:c>
      <x:c r="G6487" s="6" t="str">
        <x:v>Pingshui main list, Wikisource-derived DOCX</x:v>
      </x:c>
      <x:c r="H6487" s="6" t="str"/>
      <x:c r="I6487" s="6" t="str">
        <x:v>Lu Qinli gap fill from Pingshui main list; 詞 entries ignored</x:v>
      </x:c>
      <x:c r="J6487" s="6" t="str">
        <x:f>IF(B6487="","",IF(AND(ISNUMBER(SEARCH("平",B6487)),OR(ISNUMBER(SEARCH("上",B6487)),ISNUMBER(SEARCH("去",B6487)),ISNUMBER(SEARCH("入",B6487)))),"Ambiguous",IF(ISNUMBER(SEARCH("平",B6487)),"平","仄")))</x:f>
        <x:v>平</x:v>
      </x:c>
      <x:c r="K6487" s="6" t="str">
        <x:f>IF(D6487="","",IF(AND(ISNUMBER(SEARCH("平",D6487)),OR(ISNUMBER(SEARCH("上",D6487)),ISNUMBER(SEARCH("去",D6487)),ISNUMBER(SEARCH("入",D6487)))),"Ambiguous",IF(ISNUMBER(SEARCH("平",D6487)),"平","仄")))</x:f>
        <x:v>平</x:v>
      </x:c>
      <x:c r="L6487" s="7" t="str">
        <x:v>Pingshui main list, Lu Qinli gap fill</x:v>
      </x:c>
    </x:row>
    <x:row r="6488">
      <x:c r="A6488" s="5" t="str">
        <x:v>鶋</x:v>
      </x:c>
      <x:c r="B6488" s="6" t="str">
        <x:v>平</x:v>
      </x:c>
      <x:c r="C6488" s="6" t="str">
        <x:f>IF(B6488="","Needs decision","Ready")</x:f>
        <x:v>Ready</x:v>
      </x:c>
      <x:c r="D6488" s="6" t="str">
        <x:v>平</x:v>
      </x:c>
      <x:c r="E6488" s="6" t="str"/>
      <x:c r="F6488" s="6" t="str">
        <x:v>上平聲六魚</x:v>
      </x:c>
      <x:c r="G6488" s="6" t="str">
        <x:v>Pingshui main list, Wikisource-derived DOCX</x:v>
      </x:c>
      <x:c r="H6488" s="6" t="str"/>
      <x:c r="I6488" s="6" t="str">
        <x:v>Lu Qinli gap fill from Pingshui main list; 詞 entries ignored</x:v>
      </x:c>
      <x:c r="J6488" s="6" t="str">
        <x:f>IF(B6488="","",IF(AND(ISNUMBER(SEARCH("平",B6488)),OR(ISNUMBER(SEARCH("上",B6488)),ISNUMBER(SEARCH("去",B6488)),ISNUMBER(SEARCH("入",B6488)))),"Ambiguous",IF(ISNUMBER(SEARCH("平",B6488)),"平","仄")))</x:f>
        <x:v>平</x:v>
      </x:c>
      <x:c r="K6488" s="6" t="str">
        <x:f>IF(D6488="","",IF(AND(ISNUMBER(SEARCH("平",D6488)),OR(ISNUMBER(SEARCH("上",D6488)),ISNUMBER(SEARCH("去",D6488)),ISNUMBER(SEARCH("入",D6488)))),"Ambiguous",IF(ISNUMBER(SEARCH("平",D6488)),"平","仄")))</x:f>
        <x:v>平</x:v>
      </x:c>
      <x:c r="L6488" s="7" t="str">
        <x:v>Pingshui main list, Lu Qinli gap fill</x:v>
      </x:c>
    </x:row>
    <x:row r="6489">
      <x:c r="A6489" s="5" t="str">
        <x:v>鶖</x:v>
      </x:c>
      <x:c r="B6489" s="6" t="str">
        <x:v>平</x:v>
      </x:c>
      <x:c r="C6489" s="6" t="str">
        <x:f>IF(B6489="","Needs decision","Ready")</x:f>
        <x:v>Ready</x:v>
      </x:c>
      <x:c r="D6489" s="6" t="str">
        <x:v>平</x:v>
      </x:c>
      <x:c r="E6489" s="6" t="str"/>
      <x:c r="F6489" s="6" t="str">
        <x:v>下平聲十一尤</x:v>
      </x:c>
      <x:c r="G6489" s="6" t="str">
        <x:v>Pingshui main list, Wikisource-derived DOCX</x:v>
      </x:c>
      <x:c r="H6489" s="6" t="str"/>
      <x:c r="I6489" s="6" t="str">
        <x:v>Lu Qinli gap fill from Pingshui main list; 詞 entries ignored</x:v>
      </x:c>
      <x:c r="J6489" s="6" t="str">
        <x:f>IF(B6489="","",IF(AND(ISNUMBER(SEARCH("平",B6489)),OR(ISNUMBER(SEARCH("上",B6489)),ISNUMBER(SEARCH("去",B6489)),ISNUMBER(SEARCH("入",B6489)))),"Ambiguous",IF(ISNUMBER(SEARCH("平",B6489)),"平","仄")))</x:f>
        <x:v>平</x:v>
      </x:c>
      <x:c r="K6489" s="6" t="str">
        <x:f>IF(D6489="","",IF(AND(ISNUMBER(SEARCH("平",D6489)),OR(ISNUMBER(SEARCH("上",D6489)),ISNUMBER(SEARCH("去",D6489)),ISNUMBER(SEARCH("入",D6489)))),"Ambiguous",IF(ISNUMBER(SEARCH("平",D6489)),"平","仄")))</x:f>
        <x:v>平</x:v>
      </x:c>
      <x:c r="L6489" s="7" t="str">
        <x:v>Pingshui main list, Lu Qinli gap fill</x:v>
      </x:c>
    </x:row>
    <x:row r="6490">
      <x:c r="A6490" s="5" t="str">
        <x:v>鶚</x:v>
      </x:c>
      <x:c r="B6490" s="6" t="str">
        <x:v>入</x:v>
      </x:c>
      <x:c r="C6490" s="6" t="str">
        <x:f>IF(B6490="","Needs decision","Ready")</x:f>
        <x:v>Ready</x:v>
      </x:c>
      <x:c r="D6490" s="6" t="str">
        <x:v>入</x:v>
      </x:c>
      <x:c r="E6490" s="6" t="str"/>
      <x:c r="F6490" s="6" t="str">
        <x:v>入聲十藥</x:v>
      </x:c>
      <x:c r="G6490" s="6" t="str">
        <x:v>Pingshui main list, Wikisource-derived DOCX</x:v>
      </x:c>
      <x:c r="H6490" s="6" t="str"/>
      <x:c r="I6490" s="6" t="str">
        <x:v>Lu Qinli gap fill from Pingshui main list; 詞 entries ignored</x:v>
      </x:c>
      <x:c r="J6490" s="6" t="str">
        <x:f>IF(B6490="","",IF(AND(ISNUMBER(SEARCH("平",B6490)),OR(ISNUMBER(SEARCH("上",B6490)),ISNUMBER(SEARCH("去",B6490)),ISNUMBER(SEARCH("入",B6490)))),"Ambiguous",IF(ISNUMBER(SEARCH("平",B6490)),"平","仄")))</x:f>
        <x:v>仄</x:v>
      </x:c>
      <x:c r="K6490" s="6" t="str">
        <x:f>IF(D6490="","",IF(AND(ISNUMBER(SEARCH("平",D6490)),OR(ISNUMBER(SEARCH("上",D6490)),ISNUMBER(SEARCH("去",D6490)),ISNUMBER(SEARCH("入",D6490)))),"Ambiguous",IF(ISNUMBER(SEARCH("平",D6490)),"平","仄")))</x:f>
        <x:v>仄</x:v>
      </x:c>
      <x:c r="L6490" s="7" t="str">
        <x:v>Pingshui main list, Lu Qinli gap fill</x:v>
      </x:c>
    </x:row>
    <x:row r="6491">
      <x:c r="A6491" s="5" t="str">
        <x:v>鶡</x:v>
      </x:c>
      <x:c r="B6491" s="6" t="str">
        <x:v>入</x:v>
      </x:c>
      <x:c r="C6491" s="6" t="str">
        <x:f>IF(B6491="","Needs decision","Ready")</x:f>
        <x:v>Ready</x:v>
      </x:c>
      <x:c r="D6491" s="6" t="str">
        <x:v>入</x:v>
      </x:c>
      <x:c r="E6491" s="6" t="str"/>
      <x:c r="F6491" s="6" t="str">
        <x:v>入聲七曷</x:v>
      </x:c>
      <x:c r="G6491" s="6" t="str">
        <x:v>Pingshui main list, Wikisource-derived DOCX</x:v>
      </x:c>
      <x:c r="H6491" s="6" t="str"/>
      <x:c r="I6491" s="6" t="str">
        <x:v>Lu Qinli gap fill from Pingshui main list; 詞 entries ignored</x:v>
      </x:c>
      <x:c r="J6491" s="6" t="str">
        <x:f>IF(B6491="","",IF(AND(ISNUMBER(SEARCH("平",B6491)),OR(ISNUMBER(SEARCH("上",B6491)),ISNUMBER(SEARCH("去",B6491)),ISNUMBER(SEARCH("入",B6491)))),"Ambiguous",IF(ISNUMBER(SEARCH("平",B6491)),"平","仄")))</x:f>
        <x:v>仄</x:v>
      </x:c>
      <x:c r="K6491" s="6" t="str">
        <x:f>IF(D6491="","",IF(AND(ISNUMBER(SEARCH("平",D6491)),OR(ISNUMBER(SEARCH("上",D6491)),ISNUMBER(SEARCH("去",D6491)),ISNUMBER(SEARCH("入",D6491)))),"Ambiguous",IF(ISNUMBER(SEARCH("平",D6491)),"平","仄")))</x:f>
        <x:v>仄</x:v>
      </x:c>
      <x:c r="L6491" s="7" t="str">
        <x:v>Pingshui main list, Lu Qinli gap fill</x:v>
      </x:c>
    </x:row>
    <x:row r="6492">
      <x:c r="A6492" s="5" t="str">
        <x:v>鶬</x:v>
      </x:c>
      <x:c r="B6492" s="6" t="str">
        <x:v>平</x:v>
      </x:c>
      <x:c r="C6492" s="6" t="str">
        <x:f>IF(B6492="","Needs decision","Ready")</x:f>
        <x:v>Ready</x:v>
      </x:c>
      <x:c r="D6492" s="6" t="str">
        <x:v>平</x:v>
      </x:c>
      <x:c r="E6492" s="6" t="str"/>
      <x:c r="F6492" s="6" t="str">
        <x:v>下平聲七陽</x:v>
      </x:c>
      <x:c r="G6492" s="6" t="str">
        <x:v>Pingshui main list, Wikisource-derived DOCX</x:v>
      </x:c>
      <x:c r="H6492" s="6" t="str"/>
      <x:c r="I6492" s="6" t="str">
        <x:v>Lu Qinli gap fill from Pingshui main list; 詞 entries ignored</x:v>
      </x:c>
      <x:c r="J6492" s="6" t="str">
        <x:f>IF(B6492="","",IF(AND(ISNUMBER(SEARCH("平",B6492)),OR(ISNUMBER(SEARCH("上",B6492)),ISNUMBER(SEARCH("去",B6492)),ISNUMBER(SEARCH("入",B6492)))),"Ambiguous",IF(ISNUMBER(SEARCH("平",B6492)),"平","仄")))</x:f>
        <x:v>平</x:v>
      </x:c>
      <x:c r="K6492" s="6" t="str">
        <x:f>IF(D6492="","",IF(AND(ISNUMBER(SEARCH("平",D6492)),OR(ISNUMBER(SEARCH("上",D6492)),ISNUMBER(SEARCH("去",D6492)),ISNUMBER(SEARCH("入",D6492)))),"Ambiguous",IF(ISNUMBER(SEARCH("平",D6492)),"平","仄")))</x:f>
        <x:v>平</x:v>
      </x:c>
      <x:c r="L6492" s="7" t="str">
        <x:v>Pingshui main list, Lu Qinli gap fill</x:v>
      </x:c>
    </x:row>
    <x:row r="6493">
      <x:c r="A6493" s="5" t="str">
        <x:v>鶱</x:v>
      </x:c>
      <x:c r="B6493" s="6" t="str">
        <x:v>平</x:v>
      </x:c>
      <x:c r="C6493" s="6" t="str">
        <x:f>IF(B6493="","Needs decision","Ready")</x:f>
        <x:v>Ready</x:v>
      </x:c>
      <x:c r="D6493" s="6" t="str">
        <x:v>平</x:v>
      </x:c>
      <x:c r="E6493" s="6" t="str"/>
      <x:c r="F6493" s="6" t="str">
        <x:v>上平聲十三元</x:v>
      </x:c>
      <x:c r="G6493" s="6" t="str">
        <x:v>Pingshui main list, Wikisource-derived DOCX</x:v>
      </x:c>
      <x:c r="H6493" s="6" t="str"/>
      <x:c r="I6493" s="6" t="str">
        <x:v>Lu Qinli gap fill from Pingshui main list; 詞 entries ignored</x:v>
      </x:c>
      <x:c r="J6493" s="6" t="str">
        <x:f>IF(B6493="","",IF(AND(ISNUMBER(SEARCH("平",B6493)),OR(ISNUMBER(SEARCH("上",B6493)),ISNUMBER(SEARCH("去",B6493)),ISNUMBER(SEARCH("入",B6493)))),"Ambiguous",IF(ISNUMBER(SEARCH("平",B6493)),"平","仄")))</x:f>
        <x:v>平</x:v>
      </x:c>
      <x:c r="K6493" s="6" t="str">
        <x:f>IF(D6493="","",IF(AND(ISNUMBER(SEARCH("平",D6493)),OR(ISNUMBER(SEARCH("上",D6493)),ISNUMBER(SEARCH("去",D6493)),ISNUMBER(SEARCH("入",D6493)))),"Ambiguous",IF(ISNUMBER(SEARCH("平",D6493)),"平","仄")))</x:f>
        <x:v>平</x:v>
      </x:c>
      <x:c r="L6493" s="7" t="str">
        <x:v>Pingshui main list, Lu Qinli gap fill</x:v>
      </x:c>
    </x:row>
    <x:row r="6494">
      <x:c r="A6494" s="5" t="str">
        <x:v>鶼</x:v>
      </x:c>
      <x:c r="B6494" s="6" t="str">
        <x:v>平</x:v>
      </x:c>
      <x:c r="C6494" s="6" t="str">
        <x:f>IF(B6494="","Needs decision","Ready")</x:f>
        <x:v>Ready</x:v>
      </x:c>
      <x:c r="D6494" s="6" t="str">
        <x:v>平</x:v>
      </x:c>
      <x:c r="E6494" s="6" t="str"/>
      <x:c r="F6494" s="6" t="str">
        <x:v>下平聲十四鹽</x:v>
      </x:c>
      <x:c r="G6494" s="6" t="str">
        <x:v>Pingshui main list, Wikisource-derived DOCX</x:v>
      </x:c>
      <x:c r="H6494" s="6" t="str"/>
      <x:c r="I6494" s="6" t="str">
        <x:v>Lu Qinli gap fill from Pingshui main list; 詞 entries ignored</x:v>
      </x:c>
      <x:c r="J6494" s="6" t="str">
        <x:f>IF(B6494="","",IF(AND(ISNUMBER(SEARCH("平",B6494)),OR(ISNUMBER(SEARCH("上",B6494)),ISNUMBER(SEARCH("去",B6494)),ISNUMBER(SEARCH("入",B6494)))),"Ambiguous",IF(ISNUMBER(SEARCH("平",B6494)),"平","仄")))</x:f>
        <x:v>平</x:v>
      </x:c>
      <x:c r="K6494" s="6" t="str">
        <x:f>IF(D6494="","",IF(AND(ISNUMBER(SEARCH("平",D6494)),OR(ISNUMBER(SEARCH("上",D6494)),ISNUMBER(SEARCH("去",D6494)),ISNUMBER(SEARCH("入",D6494)))),"Ambiguous",IF(ISNUMBER(SEARCH("平",D6494)),"平","仄")))</x:f>
        <x:v>平</x:v>
      </x:c>
      <x:c r="L6494" s="7" t="str">
        <x:v>Pingshui main list, Lu Qinli gap fill</x:v>
      </x:c>
    </x:row>
    <x:row r="6495">
      <x:c r="A6495" s="5" t="str">
        <x:v>鷂</x:v>
      </x:c>
      <x:c r="B6495" s="6" t="str"/>
      <x:c r="C6495" s="6" t="str">
        <x:f>IF(B6495="","Needs decision","Ready")</x:f>
        <x:v>Needs decision</x:v>
      </x:c>
      <x:c r="D6495" s="6" t="str">
        <x:v>平/去</x:v>
      </x:c>
      <x:c r="E6495" s="6" t="str"/>
      <x:c r="F6495" s="6" t="str">
        <x:v>下平聲二蕭; 去聲十八嘯</x:v>
      </x:c>
      <x:c r="G6495" s="6" t="str">
        <x:v>Pingshui main list, Wikisource-derived DOCX</x:v>
      </x:c>
      <x:c r="H6495" s="6" t="str"/>
      <x:c r="I6495" s="6" t="str">
        <x:v>Lu Qinli gap fill from Pingshui main list; 詞 entries ignored</x:v>
      </x:c>
      <x:c r="J6495" s="6" t="str">
        <x:f>IF(B6495="","",IF(AND(ISNUMBER(SEARCH("平",B6495)),OR(ISNUMBER(SEARCH("上",B6495)),ISNUMBER(SEARCH("去",B6495)),ISNUMBER(SEARCH("入",B6495)))),"Ambiguous",IF(ISNUMBER(SEARCH("平",B6495)),"平","仄")))</x:f>
      </x:c>
      <x:c r="K6495" s="6" t="str">
        <x:f>IF(D6495="","",IF(AND(ISNUMBER(SEARCH("平",D6495)),OR(ISNUMBER(SEARCH("上",D6495)),ISNUMBER(SEARCH("去",D6495)),ISNUMBER(SEARCH("入",D6495)))),"Ambiguous",IF(ISNUMBER(SEARCH("平",D6495)),"平","仄")))</x:f>
        <x:v>Ambiguous</x:v>
      </x:c>
      <x:c r="L6495" s="7" t="str">
        <x:v>Pingshui main list, Lu Qinli gap fill</x:v>
      </x:c>
    </x:row>
    <x:row r="6496">
      <x:c r="A6496" s="5" t="str">
        <x:v>鷃</x:v>
      </x:c>
      <x:c r="B6496" s="6" t="str">
        <x:v>去</x:v>
      </x:c>
      <x:c r="C6496" s="6" t="str">
        <x:f>IF(B6496="","Needs decision","Ready")</x:f>
        <x:v>Ready</x:v>
      </x:c>
      <x:c r="D6496" s="6" t="str">
        <x:v>去</x:v>
      </x:c>
      <x:c r="E6496" s="6" t="str"/>
      <x:c r="F6496" s="6" t="str">
        <x:v>去聲十六諫</x:v>
      </x:c>
      <x:c r="G6496" s="6" t="str">
        <x:v>Pingshui main list, Wikisource-derived DOCX</x:v>
      </x:c>
      <x:c r="H6496" s="6" t="str"/>
      <x:c r="I6496" s="6" t="str">
        <x:v>Lu Qinli gap fill from Pingshui main list; 詞 entries ignored</x:v>
      </x:c>
      <x:c r="J6496" s="6" t="str">
        <x:f>IF(B6496="","",IF(AND(ISNUMBER(SEARCH("平",B6496)),OR(ISNUMBER(SEARCH("上",B6496)),ISNUMBER(SEARCH("去",B6496)),ISNUMBER(SEARCH("入",B6496)))),"Ambiguous",IF(ISNUMBER(SEARCH("平",B6496)),"平","仄")))</x:f>
        <x:v>仄</x:v>
      </x:c>
      <x:c r="K6496" s="6" t="str">
        <x:f>IF(D6496="","",IF(AND(ISNUMBER(SEARCH("平",D6496)),OR(ISNUMBER(SEARCH("上",D6496)),ISNUMBER(SEARCH("去",D6496)),ISNUMBER(SEARCH("入",D6496)))),"Ambiguous",IF(ISNUMBER(SEARCH("平",D6496)),"平","仄")))</x:f>
        <x:v>仄</x:v>
      </x:c>
      <x:c r="L6496" s="7" t="str">
        <x:v>Pingshui main list, Lu Qinli gap fill</x:v>
      </x:c>
    </x:row>
    <x:row r="6497">
      <x:c r="A6497" s="5" t="str">
        <x:v>鷇</x:v>
      </x:c>
      <x:c r="B6497" s="6" t="str">
        <x:v>去</x:v>
      </x:c>
      <x:c r="C6497" s="6" t="str">
        <x:f>IF(B6497="","Needs decision","Ready")</x:f>
        <x:v>Ready</x:v>
      </x:c>
      <x:c r="D6497" s="6" t="str">
        <x:v>去</x:v>
      </x:c>
      <x:c r="E6497" s="6" t="str"/>
      <x:c r="F6497" s="6" t="str">
        <x:v>去聲二十六宥</x:v>
      </x:c>
      <x:c r="G6497" s="6" t="str">
        <x:v>Pingshui main list, Wikisource-derived DOCX</x:v>
      </x:c>
      <x:c r="H6497" s="6" t="str"/>
      <x:c r="I6497" s="6" t="str">
        <x:v>Lu Qinli gap fill from Pingshui main list; 詞 entries ignored</x:v>
      </x:c>
      <x:c r="J6497" s="6" t="str">
        <x:f>IF(B6497="","",IF(AND(ISNUMBER(SEARCH("平",B6497)),OR(ISNUMBER(SEARCH("上",B6497)),ISNUMBER(SEARCH("去",B6497)),ISNUMBER(SEARCH("入",B6497)))),"Ambiguous",IF(ISNUMBER(SEARCH("平",B6497)),"平","仄")))</x:f>
        <x:v>仄</x:v>
      </x:c>
      <x:c r="K6497" s="6" t="str">
        <x:f>IF(D6497="","",IF(AND(ISNUMBER(SEARCH("平",D6497)),OR(ISNUMBER(SEARCH("上",D6497)),ISNUMBER(SEARCH("去",D6497)),ISNUMBER(SEARCH("入",D6497)))),"Ambiguous",IF(ISNUMBER(SEARCH("平",D6497)),"平","仄")))</x:f>
        <x:v>仄</x:v>
      </x:c>
      <x:c r="L6497" s="7" t="str">
        <x:v>Pingshui main list, Lu Qinli gap fill</x:v>
      </x:c>
    </x:row>
    <x:row r="6498">
      <x:c r="A6498" s="5" t="str">
        <x:v>鷕</x:v>
      </x:c>
      <x:c r="B6498" s="6" t="str">
        <x:v>上</x:v>
      </x:c>
      <x:c r="C6498" s="6" t="str">
        <x:f>IF(B6498="","Needs decision","Ready")</x:f>
        <x:v>Ready</x:v>
      </x:c>
      <x:c r="D6498" s="6" t="str">
        <x:v>上</x:v>
      </x:c>
      <x:c r="E6498" s="6" t="str"/>
      <x:c r="F6498" s="6" t="str">
        <x:v>上聲十七篠</x:v>
      </x:c>
      <x:c r="G6498" s="6" t="str">
        <x:v>Pingshui main list, Wikisource-derived DOCX</x:v>
      </x:c>
      <x:c r="H6498" s="6" t="str"/>
      <x:c r="I6498" s="6" t="str">
        <x:v>Lu Qinli gap fill from Pingshui main list; 詞 entries ignored</x:v>
      </x:c>
      <x:c r="J6498" s="6" t="str">
        <x:f>IF(B6498="","",IF(AND(ISNUMBER(SEARCH("平",B6498)),OR(ISNUMBER(SEARCH("上",B6498)),ISNUMBER(SEARCH("去",B6498)),ISNUMBER(SEARCH("入",B6498)))),"Ambiguous",IF(ISNUMBER(SEARCH("平",B6498)),"平","仄")))</x:f>
        <x:v>仄</x:v>
      </x:c>
      <x:c r="K6498" s="6" t="str">
        <x:f>IF(D6498="","",IF(AND(ISNUMBER(SEARCH("平",D6498)),OR(ISNUMBER(SEARCH("上",D6498)),ISNUMBER(SEARCH("去",D6498)),ISNUMBER(SEARCH("入",D6498)))),"Ambiguous",IF(ISNUMBER(SEARCH("平",D6498)),"平","仄")))</x:f>
        <x:v>仄</x:v>
      </x:c>
      <x:c r="L6498" s="7" t="str">
        <x:v>Pingshui main list, Lu Qinli gap fill</x:v>
      </x:c>
    </x:row>
    <x:row r="6499">
      <x:c r="A6499" s="5" t="str">
        <x:v>鷦</x:v>
      </x:c>
      <x:c r="B6499" s="6" t="str">
        <x:v>平</x:v>
      </x:c>
      <x:c r="C6499" s="6" t="str">
        <x:f>IF(B6499="","Needs decision","Ready")</x:f>
        <x:v>Ready</x:v>
      </x:c>
      <x:c r="D6499" s="6" t="str">
        <x:v>平</x:v>
      </x:c>
      <x:c r="E6499" s="6" t="str"/>
      <x:c r="F6499" s="6" t="str">
        <x:v>下平聲二蕭</x:v>
      </x:c>
      <x:c r="G6499" s="6" t="str">
        <x:v>Pingshui main list, Wikisource-derived DOCX</x:v>
      </x:c>
      <x:c r="H6499" s="6" t="str"/>
      <x:c r="I6499" s="6" t="str">
        <x:v>Lu Qinli gap fill from Pingshui main list; 詞 entries ignored</x:v>
      </x:c>
      <x:c r="J6499" s="6" t="str">
        <x:f>IF(B6499="","",IF(AND(ISNUMBER(SEARCH("平",B6499)),OR(ISNUMBER(SEARCH("上",B6499)),ISNUMBER(SEARCH("去",B6499)),ISNUMBER(SEARCH("入",B6499)))),"Ambiguous",IF(ISNUMBER(SEARCH("平",B6499)),"平","仄")))</x:f>
        <x:v>平</x:v>
      </x:c>
      <x:c r="K6499" s="6" t="str">
        <x:f>IF(D6499="","",IF(AND(ISNUMBER(SEARCH("平",D6499)),OR(ISNUMBER(SEARCH("上",D6499)),ISNUMBER(SEARCH("去",D6499)),ISNUMBER(SEARCH("入",D6499)))),"Ambiguous",IF(ISNUMBER(SEARCH("平",D6499)),"平","仄")))</x:f>
        <x:v>平</x:v>
      </x:c>
      <x:c r="L6499" s="7" t="str">
        <x:v>Pingshui main list, Lu Qinli gap fill</x:v>
      </x:c>
    </x:row>
    <x:row r="6500">
      <x:c r="A6500" s="5" t="str">
        <x:v>鷯</x:v>
      </x:c>
      <x:c r="B6500" s="6" t="str"/>
      <x:c r="C6500" s="6" t="str">
        <x:f>IF(B6500="","Needs decision","Ready")</x:f>
        <x:v>Needs decision</x:v>
      </x:c>
      <x:c r="D6500" s="6" t="str">
        <x:v>平/去</x:v>
      </x:c>
      <x:c r="E6500" s="6" t="str"/>
      <x:c r="F6500" s="6" t="str">
        <x:v>下平聲二蕭; 去聲十八嘯</x:v>
      </x:c>
      <x:c r="G6500" s="6" t="str">
        <x:v>Pingshui main list, Wikisource-derived DOCX</x:v>
      </x:c>
      <x:c r="H6500" s="6" t="str"/>
      <x:c r="I6500" s="6" t="str">
        <x:v>Lu Qinli gap fill from Pingshui main list; 詞 entries ignored</x:v>
      </x:c>
      <x:c r="J6500" s="6" t="str">
        <x:f>IF(B6500="","",IF(AND(ISNUMBER(SEARCH("平",B6500)),OR(ISNUMBER(SEARCH("上",B6500)),ISNUMBER(SEARCH("去",B6500)),ISNUMBER(SEARCH("入",B6500)))),"Ambiguous",IF(ISNUMBER(SEARCH("平",B6500)),"平","仄")))</x:f>
      </x:c>
      <x:c r="K6500" s="6" t="str">
        <x:f>IF(D6500="","",IF(AND(ISNUMBER(SEARCH("平",D6500)),OR(ISNUMBER(SEARCH("上",D6500)),ISNUMBER(SEARCH("去",D6500)),ISNUMBER(SEARCH("入",D6500)))),"Ambiguous",IF(ISNUMBER(SEARCH("平",D6500)),"平","仄")))</x:f>
        <x:v>Ambiguous</x:v>
      </x:c>
      <x:c r="L6500" s="7" t="str">
        <x:v>Pingshui main list, Lu Qinli gap fill</x:v>
      </x:c>
    </x:row>
    <x:row r="6501">
      <x:c r="A6501" s="5" t="str">
        <x:v>鸐</x:v>
      </x:c>
      <x:c r="B6501" s="6" t="str">
        <x:v>入</x:v>
      </x:c>
      <x:c r="C6501" s="6" t="str">
        <x:f>IF(B6501="","Needs decision","Ready")</x:f>
        <x:v>Ready</x:v>
      </x:c>
      <x:c r="D6501" s="6" t="str">
        <x:v>入</x:v>
      </x:c>
      <x:c r="E6501" s="6" t="str"/>
      <x:c r="F6501" s="6" t="str">
        <x:v>入聲三覺</x:v>
      </x:c>
      <x:c r="G6501" s="6" t="str">
        <x:v>Pingshui main list, Wikisource-derived DOCX</x:v>
      </x:c>
      <x:c r="H6501" s="6" t="str"/>
      <x:c r="I6501" s="6" t="str">
        <x:v>Lu Qinli gap fill from Pingshui main list; 詞 entries ignored</x:v>
      </x:c>
      <x:c r="J6501" s="6" t="str">
        <x:f>IF(B6501="","",IF(AND(ISNUMBER(SEARCH("平",B6501)),OR(ISNUMBER(SEARCH("上",B6501)),ISNUMBER(SEARCH("去",B6501)),ISNUMBER(SEARCH("入",B6501)))),"Ambiguous",IF(ISNUMBER(SEARCH("平",B6501)),"平","仄")))</x:f>
        <x:v>仄</x:v>
      </x:c>
      <x:c r="K6501" s="6" t="str">
        <x:f>IF(D6501="","",IF(AND(ISNUMBER(SEARCH("平",D6501)),OR(ISNUMBER(SEARCH("上",D6501)),ISNUMBER(SEARCH("去",D6501)),ISNUMBER(SEARCH("入",D6501)))),"Ambiguous",IF(ISNUMBER(SEARCH("平",D6501)),"平","仄")))</x:f>
        <x:v>仄</x:v>
      </x:c>
      <x:c r="L6501" s="7" t="str">
        <x:v>Pingshui main list, Lu Qinli gap fill</x:v>
      </x:c>
    </x:row>
    <x:row r="6502">
      <x:c r="A6502" s="5" t="str">
        <x:v>鸕</x:v>
      </x:c>
      <x:c r="B6502" s="6" t="str">
        <x:v>平</x:v>
      </x:c>
      <x:c r="C6502" s="6" t="str">
        <x:f>IF(B6502="","Needs decision","Ready")</x:f>
        <x:v>Ready</x:v>
      </x:c>
      <x:c r="D6502" s="6" t="str">
        <x:v>平</x:v>
      </x:c>
      <x:c r="E6502" s="6" t="str"/>
      <x:c r="F6502" s="6" t="str">
        <x:v>上平聲七虞</x:v>
      </x:c>
      <x:c r="G6502" s="6" t="str">
        <x:v>Pingshui main list, Wikisource-derived DOCX</x:v>
      </x:c>
      <x:c r="H6502" s="6" t="str"/>
      <x:c r="I6502" s="6" t="str">
        <x:v>Lu Qinli gap fill from Pingshui main list; 詞 entries ignored</x:v>
      </x:c>
      <x:c r="J6502" s="6" t="str">
        <x:f>IF(B6502="","",IF(AND(ISNUMBER(SEARCH("平",B6502)),OR(ISNUMBER(SEARCH("上",B6502)),ISNUMBER(SEARCH("去",B6502)),ISNUMBER(SEARCH("入",B6502)))),"Ambiguous",IF(ISNUMBER(SEARCH("平",B6502)),"平","仄")))</x:f>
        <x:v>平</x:v>
      </x:c>
      <x:c r="K6502" s="6" t="str">
        <x:f>IF(D6502="","",IF(AND(ISNUMBER(SEARCH("平",D6502)),OR(ISNUMBER(SEARCH("上",D6502)),ISNUMBER(SEARCH("去",D6502)),ISNUMBER(SEARCH("入",D6502)))),"Ambiguous",IF(ISNUMBER(SEARCH("平",D6502)),"平","仄")))</x:f>
        <x:v>平</x:v>
      </x:c>
      <x:c r="L6502" s="7" t="str">
        <x:v>Pingshui main list, Lu Qinli gap fill</x:v>
      </x:c>
    </x:row>
    <x:row r="6503">
      <x:c r="A6503" s="5" t="str">
        <x:v>麀</x:v>
      </x:c>
      <x:c r="B6503" s="6" t="str">
        <x:v>平</x:v>
      </x:c>
      <x:c r="C6503" s="6" t="str">
        <x:f>IF(B6503="","Needs decision","Ready")</x:f>
        <x:v>Ready</x:v>
      </x:c>
      <x:c r="D6503" s="6" t="str">
        <x:v>平</x:v>
      </x:c>
      <x:c r="E6503" s="6" t="str"/>
      <x:c r="F6503" s="6" t="str">
        <x:v>下平聲十一尤</x:v>
      </x:c>
      <x:c r="G6503" s="6" t="str">
        <x:v>Pingshui main list, Wikisource-derived DOCX</x:v>
      </x:c>
      <x:c r="H6503" s="6" t="str"/>
      <x:c r="I6503" s="6" t="str">
        <x:v>Lu Qinli gap fill from Pingshui main list; 詞 entries ignored</x:v>
      </x:c>
      <x:c r="J6503" s="6" t="str">
        <x:f>IF(B6503="","",IF(AND(ISNUMBER(SEARCH("平",B6503)),OR(ISNUMBER(SEARCH("上",B6503)),ISNUMBER(SEARCH("去",B6503)),ISNUMBER(SEARCH("入",B6503)))),"Ambiguous",IF(ISNUMBER(SEARCH("平",B6503)),"平","仄")))</x:f>
        <x:v>平</x:v>
      </x:c>
      <x:c r="K6503" s="6" t="str">
        <x:f>IF(D6503="","",IF(AND(ISNUMBER(SEARCH("平",D6503)),OR(ISNUMBER(SEARCH("上",D6503)),ISNUMBER(SEARCH("去",D6503)),ISNUMBER(SEARCH("入",D6503)))),"Ambiguous",IF(ISNUMBER(SEARCH("平",D6503)),"平","仄")))</x:f>
        <x:v>平</x:v>
      </x:c>
      <x:c r="L6503" s="7" t="str">
        <x:v>Pingshui main list, Lu Qinli gap fill</x:v>
      </x:c>
    </x:row>
    <x:row r="6504">
      <x:c r="A6504" s="5" t="str">
        <x:v>麃</x:v>
      </x:c>
      <x:c r="B6504" s="6" t="str"/>
      <x:c r="C6504" s="6" t="str">
        <x:f>IF(B6504="","Needs decision","Ready")</x:f>
        <x:v>Needs decision</x:v>
      </x:c>
      <x:c r="D6504" s="6" t="str">
        <x:v>平/上</x:v>
      </x:c>
      <x:c r="E6504" s="6" t="str"/>
      <x:c r="F6504" s="6" t="str">
        <x:v>下平聲二蕭; 下平聲三肴; 上聲十七篠</x:v>
      </x:c>
      <x:c r="G6504" s="6" t="str">
        <x:v>Pingshui main list, Wikisource-derived DOCX</x:v>
      </x:c>
      <x:c r="H6504" s="6" t="str"/>
      <x:c r="I6504" s="6" t="str">
        <x:v>Lu Qinli gap fill from Pingshui main list; 詞 entries ignored</x:v>
      </x:c>
      <x:c r="J6504" s="6" t="str">
        <x:f>IF(B6504="","",IF(AND(ISNUMBER(SEARCH("平",B6504)),OR(ISNUMBER(SEARCH("上",B6504)),ISNUMBER(SEARCH("去",B6504)),ISNUMBER(SEARCH("入",B6504)))),"Ambiguous",IF(ISNUMBER(SEARCH("平",B6504)),"平","仄")))</x:f>
      </x:c>
      <x:c r="K6504" s="6" t="str">
        <x:f>IF(D6504="","",IF(AND(ISNUMBER(SEARCH("平",D6504)),OR(ISNUMBER(SEARCH("上",D6504)),ISNUMBER(SEARCH("去",D6504)),ISNUMBER(SEARCH("入",D6504)))),"Ambiguous",IF(ISNUMBER(SEARCH("平",D6504)),"平","仄")))</x:f>
        <x:v>Ambiguous</x:v>
      </x:c>
      <x:c r="L6504" s="7" t="str">
        <x:v>Pingshui main list, Lu Qinli gap fill</x:v>
      </x:c>
    </x:row>
    <x:row r="6505">
      <x:c r="A6505" s="5" t="str">
        <x:v>麈</x:v>
      </x:c>
      <x:c r="B6505" s="6" t="str">
        <x:v>上</x:v>
      </x:c>
      <x:c r="C6505" s="6" t="str">
        <x:f>IF(B6505="","Needs decision","Ready")</x:f>
        <x:v>Ready</x:v>
      </x:c>
      <x:c r="D6505" s="6" t="str">
        <x:v>上</x:v>
      </x:c>
      <x:c r="E6505" s="6" t="str"/>
      <x:c r="F6505" s="6" t="str">
        <x:v>上聲七麌</x:v>
      </x:c>
      <x:c r="G6505" s="6" t="str">
        <x:v>Pingshui main list, Wikisource-derived DOCX</x:v>
      </x:c>
      <x:c r="H6505" s="6" t="str"/>
      <x:c r="I6505" s="6" t="str">
        <x:v>Lu Qinli gap fill from Pingshui main list; 詞 entries ignored</x:v>
      </x:c>
      <x:c r="J6505" s="6" t="str">
        <x:f>IF(B6505="","",IF(AND(ISNUMBER(SEARCH("平",B6505)),OR(ISNUMBER(SEARCH("上",B6505)),ISNUMBER(SEARCH("去",B6505)),ISNUMBER(SEARCH("入",B6505)))),"Ambiguous",IF(ISNUMBER(SEARCH("平",B6505)),"平","仄")))</x:f>
        <x:v>仄</x:v>
      </x:c>
      <x:c r="K6505" s="6" t="str">
        <x:f>IF(D6505="","",IF(AND(ISNUMBER(SEARCH("平",D6505)),OR(ISNUMBER(SEARCH("上",D6505)),ISNUMBER(SEARCH("去",D6505)),ISNUMBER(SEARCH("入",D6505)))),"Ambiguous",IF(ISNUMBER(SEARCH("平",D6505)),"平","仄")))</x:f>
        <x:v>仄</x:v>
      </x:c>
      <x:c r="L6505" s="7" t="str">
        <x:v>Pingshui main list, Lu Qinli gap fill</x:v>
      </x:c>
    </x:row>
    <x:row r="6506">
      <x:c r="A6506" s="5" t="str">
        <x:v>麚</x:v>
      </x:c>
      <x:c r="B6506" s="6" t="str">
        <x:v>平</x:v>
      </x:c>
      <x:c r="C6506" s="6" t="str">
        <x:f>IF(B6506="","Needs decision","Ready")</x:f>
        <x:v>Ready</x:v>
      </x:c>
      <x:c r="D6506" s="6" t="str">
        <x:v>平</x:v>
      </x:c>
      <x:c r="E6506" s="6" t="str"/>
      <x:c r="F6506" s="6" t="str">
        <x:v>下平聲六麻</x:v>
      </x:c>
      <x:c r="G6506" s="6" t="str">
        <x:v>Pingshui main list, Wikisource-derived DOCX</x:v>
      </x:c>
      <x:c r="H6506" s="6" t="str"/>
      <x:c r="I6506" s="6" t="str">
        <x:v>Lu Qinli gap fill from Pingshui main list; 詞 entries ignored</x:v>
      </x:c>
      <x:c r="J6506" s="6" t="str">
        <x:f>IF(B6506="","",IF(AND(ISNUMBER(SEARCH("平",B6506)),OR(ISNUMBER(SEARCH("上",B6506)),ISNUMBER(SEARCH("去",B6506)),ISNUMBER(SEARCH("入",B6506)))),"Ambiguous",IF(ISNUMBER(SEARCH("平",B6506)),"平","仄")))</x:f>
        <x:v>平</x:v>
      </x:c>
      <x:c r="K6506" s="6" t="str">
        <x:f>IF(D6506="","",IF(AND(ISNUMBER(SEARCH("平",D6506)),OR(ISNUMBER(SEARCH("上",D6506)),ISNUMBER(SEARCH("去",D6506)),ISNUMBER(SEARCH("入",D6506)))),"Ambiguous",IF(ISNUMBER(SEARCH("平",D6506)),"平","仄")))</x:f>
        <x:v>平</x:v>
      </x:c>
      <x:c r="L6506" s="7" t="str">
        <x:v>Pingshui main list, Lu Qinli gap fill</x:v>
      </x:c>
    </x:row>
    <x:row r="6507">
      <x:c r="A6507" s="5" t="str">
        <x:v>麩</x:v>
      </x:c>
      <x:c r="B6507" s="6" t="str">
        <x:v>平</x:v>
      </x:c>
      <x:c r="C6507" s="6" t="str">
        <x:f>IF(B6507="","Needs decision","Ready")</x:f>
        <x:v>Ready</x:v>
      </x:c>
      <x:c r="D6507" s="6" t="str">
        <x:v>平</x:v>
      </x:c>
      <x:c r="E6507" s="6" t="str"/>
      <x:c r="F6507" s="6" t="str">
        <x:v>上平聲七虞</x:v>
      </x:c>
      <x:c r="G6507" s="6" t="str">
        <x:v>Pingshui main list, Wikisource-derived DOCX</x:v>
      </x:c>
      <x:c r="H6507" s="6" t="str"/>
      <x:c r="I6507" s="6" t="str">
        <x:v>Lu Qinli gap fill from Pingshui main list; 詞 entries ignored</x:v>
      </x:c>
      <x:c r="J6507" s="6" t="str">
        <x:f>IF(B6507="","",IF(AND(ISNUMBER(SEARCH("平",B6507)),OR(ISNUMBER(SEARCH("上",B6507)),ISNUMBER(SEARCH("去",B6507)),ISNUMBER(SEARCH("入",B6507)))),"Ambiguous",IF(ISNUMBER(SEARCH("平",B6507)),"平","仄")))</x:f>
        <x:v>平</x:v>
      </x:c>
      <x:c r="K6507" s="6" t="str">
        <x:f>IF(D6507="","",IF(AND(ISNUMBER(SEARCH("平",D6507)),OR(ISNUMBER(SEARCH("上",D6507)),ISNUMBER(SEARCH("去",D6507)),ISNUMBER(SEARCH("入",D6507)))),"Ambiguous",IF(ISNUMBER(SEARCH("平",D6507)),"平","仄")))</x:f>
        <x:v>平</x:v>
      </x:c>
      <x:c r="L6507" s="7" t="str">
        <x:v>Pingshui main list, Lu Qinli gap fill</x:v>
      </x:c>
    </x:row>
    <x:row r="6508">
      <x:c r="A6508" s="5" t="str">
        <x:v>麴</x:v>
      </x:c>
      <x:c r="B6508" s="6" t="str">
        <x:v>入</x:v>
      </x:c>
      <x:c r="C6508" s="6" t="str">
        <x:f>IF(B6508="","Needs decision","Ready")</x:f>
        <x:v>Ready</x:v>
      </x:c>
      <x:c r="D6508" s="6" t="str">
        <x:v>入</x:v>
      </x:c>
      <x:c r="E6508" s="6" t="str"/>
      <x:c r="F6508" s="6" t="str">
        <x:v>入聲一屋</x:v>
      </x:c>
      <x:c r="G6508" s="6" t="str">
        <x:v>Pingshui main list, Wikisource-derived DOCX</x:v>
      </x:c>
      <x:c r="H6508" s="6" t="str"/>
      <x:c r="I6508" s="6" t="str">
        <x:v>Lu Qinli gap fill from Pingshui main list; 詞 entries ignored</x:v>
      </x:c>
      <x:c r="J6508" s="6" t="str">
        <x:f>IF(B6508="","",IF(AND(ISNUMBER(SEARCH("平",B6508)),OR(ISNUMBER(SEARCH("上",B6508)),ISNUMBER(SEARCH("去",B6508)),ISNUMBER(SEARCH("入",B6508)))),"Ambiguous",IF(ISNUMBER(SEARCH("平",B6508)),"平","仄")))</x:f>
        <x:v>仄</x:v>
      </x:c>
      <x:c r="K6508" s="6" t="str">
        <x:f>IF(D6508="","",IF(AND(ISNUMBER(SEARCH("平",D6508)),OR(ISNUMBER(SEARCH("上",D6508)),ISNUMBER(SEARCH("去",D6508)),ISNUMBER(SEARCH("入",D6508)))),"Ambiguous",IF(ISNUMBER(SEARCH("平",D6508)),"平","仄")))</x:f>
        <x:v>仄</x:v>
      </x:c>
      <x:c r="L6508" s="7" t="str">
        <x:v>Pingshui main list, Lu Qinli gap fill</x:v>
      </x:c>
    </x:row>
    <x:row r="6509">
      <x:c r="A6509" s="5" t="str">
        <x:v>麼</x:v>
      </x:c>
      <x:c r="B6509" s="6" t="str"/>
      <x:c r="C6509" s="6" t="str">
        <x:f>IF(B6509="","Needs decision","Ready")</x:f>
        <x:v>Needs decision</x:v>
      </x:c>
      <x:c r="D6509" s="6" t="str">
        <x:v>平/上</x:v>
      </x:c>
      <x:c r="E6509" s="6" t="str"/>
      <x:c r="F6509" s="6" t="str">
        <x:v>下平聲二蕭; 下平聲五歌; 上聲二十哿</x:v>
      </x:c>
      <x:c r="G6509" s="6" t="str">
        <x:v>Pingshui main list, Wikisource-derived DOCX</x:v>
      </x:c>
      <x:c r="H6509" s="6" t="str"/>
      <x:c r="I6509" s="6" t="str">
        <x:v>Lu Qinli gap fill from Pingshui main list; 詞 entries ignored</x:v>
      </x:c>
      <x:c r="J6509" s="6" t="str">
        <x:f>IF(B6509="","",IF(AND(ISNUMBER(SEARCH("平",B6509)),OR(ISNUMBER(SEARCH("上",B6509)),ISNUMBER(SEARCH("去",B6509)),ISNUMBER(SEARCH("入",B6509)))),"Ambiguous",IF(ISNUMBER(SEARCH("平",B6509)),"平","仄")))</x:f>
      </x:c>
      <x:c r="K6509" s="6" t="str">
        <x:f>IF(D6509="","",IF(AND(ISNUMBER(SEARCH("平",D6509)),OR(ISNUMBER(SEARCH("上",D6509)),ISNUMBER(SEARCH("去",D6509)),ISNUMBER(SEARCH("入",D6509)))),"Ambiguous",IF(ISNUMBER(SEARCH("平",D6509)),"平","仄")))</x:f>
        <x:v>Ambiguous</x:v>
      </x:c>
      <x:c r="L6509" s="7" t="str">
        <x:v>Pingshui main list, Lu Qinli gap fill</x:v>
      </x:c>
    </x:row>
    <x:row r="6510">
      <x:c r="A6510" s="5" t="str">
        <x:v>黈</x:v>
      </x:c>
      <x:c r="B6510" s="6" t="str">
        <x:v>上</x:v>
      </x:c>
      <x:c r="C6510" s="6" t="str">
        <x:f>IF(B6510="","Needs decision","Ready")</x:f>
        <x:v>Ready</x:v>
      </x:c>
      <x:c r="D6510" s="6" t="str">
        <x:v>上</x:v>
      </x:c>
      <x:c r="E6510" s="6" t="str"/>
      <x:c r="F6510" s="6" t="str">
        <x:v>上聲二十五有</x:v>
      </x:c>
      <x:c r="G6510" s="6" t="str">
        <x:v>Pingshui main list, Wikisource-derived DOCX</x:v>
      </x:c>
      <x:c r="H6510" s="6" t="str"/>
      <x:c r="I6510" s="6" t="str">
        <x:v>Lu Qinli gap fill from Pingshui main list; 詞 entries ignored</x:v>
      </x:c>
      <x:c r="J6510" s="6" t="str">
        <x:f>IF(B6510="","",IF(AND(ISNUMBER(SEARCH("平",B6510)),OR(ISNUMBER(SEARCH("上",B6510)),ISNUMBER(SEARCH("去",B6510)),ISNUMBER(SEARCH("入",B6510)))),"Ambiguous",IF(ISNUMBER(SEARCH("平",B6510)),"平","仄")))</x:f>
        <x:v>仄</x:v>
      </x:c>
      <x:c r="K6510" s="6" t="str">
        <x:f>IF(D6510="","",IF(AND(ISNUMBER(SEARCH("平",D6510)),OR(ISNUMBER(SEARCH("上",D6510)),ISNUMBER(SEARCH("去",D6510)),ISNUMBER(SEARCH("入",D6510)))),"Ambiguous",IF(ISNUMBER(SEARCH("平",D6510)),"平","仄")))</x:f>
        <x:v>仄</x:v>
      </x:c>
      <x:c r="L6510" s="7" t="str">
        <x:v>Pingshui main list, Lu Qinli gap fill</x:v>
      </x:c>
    </x:row>
    <x:row r="6511">
      <x:c r="A6511" s="5" t="str">
        <x:v>黝</x:v>
      </x:c>
      <x:c r="B6511" s="6" t="str">
        <x:v>上</x:v>
      </x:c>
      <x:c r="C6511" s="6" t="str">
        <x:f>IF(B6511="","Needs decision","Ready")</x:f>
        <x:v>Ready</x:v>
      </x:c>
      <x:c r="D6511" s="6" t="str">
        <x:v>上</x:v>
      </x:c>
      <x:c r="E6511" s="6" t="str"/>
      <x:c r="F6511" s="6" t="str">
        <x:v>上聲二十五有</x:v>
      </x:c>
      <x:c r="G6511" s="6" t="str">
        <x:v>Pingshui main list, Wikisource-derived DOCX</x:v>
      </x:c>
      <x:c r="H6511" s="6" t="str"/>
      <x:c r="I6511" s="6" t="str">
        <x:v>Lu Qinli gap fill from Pingshui main list; 詞 entries ignored</x:v>
      </x:c>
      <x:c r="J6511" s="6" t="str">
        <x:f>IF(B6511="","",IF(AND(ISNUMBER(SEARCH("平",B6511)),OR(ISNUMBER(SEARCH("上",B6511)),ISNUMBER(SEARCH("去",B6511)),ISNUMBER(SEARCH("入",B6511)))),"Ambiguous",IF(ISNUMBER(SEARCH("平",B6511)),"平","仄")))</x:f>
        <x:v>仄</x:v>
      </x:c>
      <x:c r="K6511" s="6" t="str">
        <x:f>IF(D6511="","",IF(AND(ISNUMBER(SEARCH("平",D6511)),OR(ISNUMBER(SEARCH("上",D6511)),ISNUMBER(SEARCH("去",D6511)),ISNUMBER(SEARCH("入",D6511)))),"Ambiguous",IF(ISNUMBER(SEARCH("平",D6511)),"平","仄")))</x:f>
        <x:v>仄</x:v>
      </x:c>
      <x:c r="L6511" s="7" t="str">
        <x:v>Pingshui main list, Lu Qinli gap fill</x:v>
      </x:c>
    </x:row>
    <x:row r="6512">
      <x:c r="A6512" s="5" t="str">
        <x:v>黟</x:v>
      </x:c>
      <x:c r="B6512" s="6" t="str">
        <x:v>平</x:v>
      </x:c>
      <x:c r="C6512" s="6" t="str">
        <x:f>IF(B6512="","Needs decision","Ready")</x:f>
        <x:v>Ready</x:v>
      </x:c>
      <x:c r="D6512" s="6" t="str">
        <x:v>平</x:v>
      </x:c>
      <x:c r="E6512" s="6" t="str"/>
      <x:c r="F6512" s="6" t="str">
        <x:v>上平聲四支</x:v>
      </x:c>
      <x:c r="G6512" s="6" t="str">
        <x:v>Pingshui main list, Wikisource-derived DOCX</x:v>
      </x:c>
      <x:c r="H6512" s="6" t="str"/>
      <x:c r="I6512" s="6" t="str">
        <x:v>Lu Qinli gap fill from Pingshui main list; 詞 entries ignored</x:v>
      </x:c>
      <x:c r="J6512" s="6" t="str">
        <x:f>IF(B6512="","",IF(AND(ISNUMBER(SEARCH("平",B6512)),OR(ISNUMBER(SEARCH("上",B6512)),ISNUMBER(SEARCH("去",B6512)),ISNUMBER(SEARCH("入",B6512)))),"Ambiguous",IF(ISNUMBER(SEARCH("平",B6512)),"平","仄")))</x:f>
        <x:v>平</x:v>
      </x:c>
      <x:c r="K6512" s="6" t="str">
        <x:f>IF(D6512="","",IF(AND(ISNUMBER(SEARCH("平",D6512)),OR(ISNUMBER(SEARCH("上",D6512)),ISNUMBER(SEARCH("去",D6512)),ISNUMBER(SEARCH("入",D6512)))),"Ambiguous",IF(ISNUMBER(SEARCH("平",D6512)),"平","仄")))</x:f>
        <x:v>平</x:v>
      </x:c>
      <x:c r="L6512" s="7" t="str">
        <x:v>Pingshui main list, Lu Qinli gap fill</x:v>
      </x:c>
    </x:row>
    <x:row r="6513">
      <x:c r="A6513" s="5" t="str">
        <x:v>黤</x:v>
      </x:c>
      <x:c r="B6513" s="6" t="str">
        <x:v>上</x:v>
      </x:c>
      <x:c r="C6513" s="6" t="str">
        <x:f>IF(B6513="","Needs decision","Ready")</x:f>
        <x:v>Ready</x:v>
      </x:c>
      <x:c r="D6513" s="6" t="str">
        <x:v>上</x:v>
      </x:c>
      <x:c r="E6513" s="6" t="str"/>
      <x:c r="F6513" s="6" t="str">
        <x:v>上聲二十九豏</x:v>
      </x:c>
      <x:c r="G6513" s="6" t="str">
        <x:v>Pingshui main list, Wikisource-derived DOCX</x:v>
      </x:c>
      <x:c r="H6513" s="6" t="str"/>
      <x:c r="I6513" s="6" t="str">
        <x:v>Lu Qinli gap fill from Pingshui main list; 詞 entries ignored</x:v>
      </x:c>
      <x:c r="J6513" s="6" t="str">
        <x:f>IF(B6513="","",IF(AND(ISNUMBER(SEARCH("平",B6513)),OR(ISNUMBER(SEARCH("上",B6513)),ISNUMBER(SEARCH("去",B6513)),ISNUMBER(SEARCH("入",B6513)))),"Ambiguous",IF(ISNUMBER(SEARCH("平",B6513)),"平","仄")))</x:f>
        <x:v>仄</x:v>
      </x:c>
      <x:c r="K6513" s="6" t="str">
        <x:f>IF(D6513="","",IF(AND(ISNUMBER(SEARCH("平",D6513)),OR(ISNUMBER(SEARCH("上",D6513)),ISNUMBER(SEARCH("去",D6513)),ISNUMBER(SEARCH("入",D6513)))),"Ambiguous",IF(ISNUMBER(SEARCH("平",D6513)),"平","仄")))</x:f>
        <x:v>仄</x:v>
      </x:c>
      <x:c r="L6513" s="7" t="str">
        <x:v>Pingshui main list, Lu Qinli gap fill</x:v>
      </x:c>
    </x:row>
    <x:row r="6514">
      <x:c r="A6514" s="5" t="str">
        <x:v>黮</x:v>
      </x:c>
      <x:c r="B6514" s="6" t="str">
        <x:v>上</x:v>
      </x:c>
      <x:c r="C6514" s="6" t="str">
        <x:f>IF(B6514="","Needs decision","Ready")</x:f>
        <x:v>Ready</x:v>
      </x:c>
      <x:c r="D6514" s="6" t="str">
        <x:v>上</x:v>
      </x:c>
      <x:c r="E6514" s="6" t="str"/>
      <x:c r="F6514" s="6" t="str">
        <x:v>上聲二十七感</x:v>
      </x:c>
      <x:c r="G6514" s="6" t="str">
        <x:v>Pingshui main list, Wikisource-derived DOCX</x:v>
      </x:c>
      <x:c r="H6514" s="6" t="str"/>
      <x:c r="I6514" s="6" t="str">
        <x:v>Lu Qinli gap fill from Pingshui main list; 詞 entries ignored</x:v>
      </x:c>
      <x:c r="J6514" s="6" t="str">
        <x:f>IF(B6514="","",IF(AND(ISNUMBER(SEARCH("平",B6514)),OR(ISNUMBER(SEARCH("上",B6514)),ISNUMBER(SEARCH("去",B6514)),ISNUMBER(SEARCH("入",B6514)))),"Ambiguous",IF(ISNUMBER(SEARCH("平",B6514)),"平","仄")))</x:f>
        <x:v>仄</x:v>
      </x:c>
      <x:c r="K6514" s="6" t="str">
        <x:f>IF(D6514="","",IF(AND(ISNUMBER(SEARCH("平",D6514)),OR(ISNUMBER(SEARCH("上",D6514)),ISNUMBER(SEARCH("去",D6514)),ISNUMBER(SEARCH("入",D6514)))),"Ambiguous",IF(ISNUMBER(SEARCH("平",D6514)),"平","仄")))</x:f>
        <x:v>仄</x:v>
      </x:c>
      <x:c r="L6514" s="7" t="str">
        <x:v>Pingshui main list, Lu Qinli gap fill</x:v>
      </x:c>
    </x:row>
    <x:row r="6515">
      <x:c r="A6515" s="5" t="str">
        <x:v>黷</x:v>
      </x:c>
      <x:c r="B6515" s="6" t="str">
        <x:v>入</x:v>
      </x:c>
      <x:c r="C6515" s="6" t="str">
        <x:f>IF(B6515="","Needs decision","Ready")</x:f>
        <x:v>Ready</x:v>
      </x:c>
      <x:c r="D6515" s="6" t="str">
        <x:v>入</x:v>
      </x:c>
      <x:c r="E6515" s="6" t="str"/>
      <x:c r="F6515" s="6" t="str">
        <x:v>入聲一屋</x:v>
      </x:c>
      <x:c r="G6515" s="6" t="str">
        <x:v>Pingshui main list, Wikisource-derived DOCX</x:v>
      </x:c>
      <x:c r="H6515" s="6" t="str"/>
      <x:c r="I6515" s="6" t="str">
        <x:v>Lu Qinli gap fill from Pingshui main list; 詞 entries ignored</x:v>
      </x:c>
      <x:c r="J6515" s="6" t="str">
        <x:f>IF(B6515="","",IF(AND(ISNUMBER(SEARCH("平",B6515)),OR(ISNUMBER(SEARCH("上",B6515)),ISNUMBER(SEARCH("去",B6515)),ISNUMBER(SEARCH("入",B6515)))),"Ambiguous",IF(ISNUMBER(SEARCH("平",B6515)),"平","仄")))</x:f>
        <x:v>仄</x:v>
      </x:c>
      <x:c r="K6515" s="6" t="str">
        <x:f>IF(D6515="","",IF(AND(ISNUMBER(SEARCH("平",D6515)),OR(ISNUMBER(SEARCH("上",D6515)),ISNUMBER(SEARCH("去",D6515)),ISNUMBER(SEARCH("入",D6515)))),"Ambiguous",IF(ISNUMBER(SEARCH("平",D6515)),"平","仄")))</x:f>
        <x:v>仄</x:v>
      </x:c>
      <x:c r="L6515" s="7" t="str">
        <x:v>Pingshui main list, Lu Qinli gap fill</x:v>
      </x:c>
    </x:row>
    <x:row r="6516">
      <x:c r="A6516" s="5" t="str">
        <x:v>黼</x:v>
      </x:c>
      <x:c r="B6516" s="6" t="str">
        <x:v>上</x:v>
      </x:c>
      <x:c r="C6516" s="6" t="str">
        <x:f>IF(B6516="","Needs decision","Ready")</x:f>
        <x:v>Ready</x:v>
      </x:c>
      <x:c r="D6516" s="6" t="str">
        <x:v>上</x:v>
      </x:c>
      <x:c r="E6516" s="6" t="str"/>
      <x:c r="F6516" s="6" t="str">
        <x:v>上聲七麌</x:v>
      </x:c>
      <x:c r="G6516" s="6" t="str">
        <x:v>Pingshui main list, Wikisource-derived DOCX</x:v>
      </x:c>
      <x:c r="H6516" s="6" t="str"/>
      <x:c r="I6516" s="6" t="str">
        <x:v>Lu Qinli gap fill from Pingshui main list; 詞 entries ignored</x:v>
      </x:c>
      <x:c r="J6516" s="6" t="str">
        <x:f>IF(B6516="","",IF(AND(ISNUMBER(SEARCH("平",B6516)),OR(ISNUMBER(SEARCH("上",B6516)),ISNUMBER(SEARCH("去",B6516)),ISNUMBER(SEARCH("入",B6516)))),"Ambiguous",IF(ISNUMBER(SEARCH("平",B6516)),"平","仄")))</x:f>
        <x:v>仄</x:v>
      </x:c>
      <x:c r="K6516" s="6" t="str">
        <x:f>IF(D6516="","",IF(AND(ISNUMBER(SEARCH("平",D6516)),OR(ISNUMBER(SEARCH("上",D6516)),ISNUMBER(SEARCH("去",D6516)),ISNUMBER(SEARCH("入",D6516)))),"Ambiguous",IF(ISNUMBER(SEARCH("平",D6516)),"平","仄")))</x:f>
        <x:v>仄</x:v>
      </x:c>
      <x:c r="L6516" s="7" t="str">
        <x:v>Pingshui main list, Lu Qinli gap fill</x:v>
      </x:c>
    </x:row>
    <x:row r="6517">
      <x:c r="A6517" s="5" t="str">
        <x:v>黿</x:v>
      </x:c>
      <x:c r="B6517" s="6" t="str">
        <x:v>平</x:v>
      </x:c>
      <x:c r="C6517" s="6" t="str">
        <x:f>IF(B6517="","Needs decision","Ready")</x:f>
        <x:v>Ready</x:v>
      </x:c>
      <x:c r="D6517" s="6" t="str">
        <x:v>平</x:v>
      </x:c>
      <x:c r="E6517" s="6" t="str"/>
      <x:c r="F6517" s="6" t="str">
        <x:v>上平聲十三元</x:v>
      </x:c>
      <x:c r="G6517" s="6" t="str">
        <x:v>Pingshui main list, Wikisource-derived DOCX</x:v>
      </x:c>
      <x:c r="H6517" s="6" t="str"/>
      <x:c r="I6517" s="6" t="str">
        <x:v>Lu Qinli gap fill from Pingshui main list; 詞 entries ignored</x:v>
      </x:c>
      <x:c r="J6517" s="6" t="str">
        <x:f>IF(B6517="","",IF(AND(ISNUMBER(SEARCH("平",B6517)),OR(ISNUMBER(SEARCH("上",B6517)),ISNUMBER(SEARCH("去",B6517)),ISNUMBER(SEARCH("入",B6517)))),"Ambiguous",IF(ISNUMBER(SEARCH("平",B6517)),"平","仄")))</x:f>
        <x:v>平</x:v>
      </x:c>
      <x:c r="K6517" s="6" t="str">
        <x:f>IF(D6517="","",IF(AND(ISNUMBER(SEARCH("平",D6517)),OR(ISNUMBER(SEARCH("上",D6517)),ISNUMBER(SEARCH("去",D6517)),ISNUMBER(SEARCH("入",D6517)))),"Ambiguous",IF(ISNUMBER(SEARCH("平",D6517)),"平","仄")))</x:f>
        <x:v>平</x:v>
      </x:c>
      <x:c r="L6517" s="7" t="str">
        <x:v>Pingshui main list, Lu Qinli gap fill</x:v>
      </x:c>
    </x:row>
    <x:row r="6518">
      <x:c r="A6518" s="5" t="str">
        <x:v>鼒</x:v>
      </x:c>
      <x:c r="B6518" s="6" t="str">
        <x:v>平</x:v>
      </x:c>
      <x:c r="C6518" s="6" t="str">
        <x:f>IF(B6518="","Needs decision","Ready")</x:f>
        <x:v>Ready</x:v>
      </x:c>
      <x:c r="D6518" s="6" t="str">
        <x:v>平</x:v>
      </x:c>
      <x:c r="E6518" s="6" t="str"/>
      <x:c r="F6518" s="6" t="str">
        <x:v>上平聲四支</x:v>
      </x:c>
      <x:c r="G6518" s="6" t="str">
        <x:v>Pingshui main list, Wikisource-derived DOCX</x:v>
      </x:c>
      <x:c r="H6518" s="6" t="str"/>
      <x:c r="I6518" s="6" t="str">
        <x:v>Lu Qinli gap fill from Pingshui main list; 詞 entries ignored</x:v>
      </x:c>
      <x:c r="J6518" s="6" t="str">
        <x:f>IF(B6518="","",IF(AND(ISNUMBER(SEARCH("平",B6518)),OR(ISNUMBER(SEARCH("上",B6518)),ISNUMBER(SEARCH("去",B6518)),ISNUMBER(SEARCH("入",B6518)))),"Ambiguous",IF(ISNUMBER(SEARCH("平",B6518)),"平","仄")))</x:f>
        <x:v>平</x:v>
      </x:c>
      <x:c r="K6518" s="6" t="str">
        <x:f>IF(D6518="","",IF(AND(ISNUMBER(SEARCH("平",D6518)),OR(ISNUMBER(SEARCH("上",D6518)),ISNUMBER(SEARCH("去",D6518)),ISNUMBER(SEARCH("入",D6518)))),"Ambiguous",IF(ISNUMBER(SEARCH("平",D6518)),"平","仄")))</x:f>
        <x:v>平</x:v>
      </x:c>
      <x:c r="L6518" s="7" t="str">
        <x:v>Pingshui main list, Lu Qinli gap fill</x:v>
      </x:c>
    </x:row>
    <x:row r="6519">
      <x:c r="A6519" s="5" t="str">
        <x:v>鼲</x:v>
      </x:c>
      <x:c r="B6519" s="6" t="str">
        <x:v>平</x:v>
      </x:c>
      <x:c r="C6519" s="6" t="str">
        <x:f>IF(B6519="","Needs decision","Ready")</x:f>
        <x:v>Ready</x:v>
      </x:c>
      <x:c r="D6519" s="6" t="str">
        <x:v>平</x:v>
      </x:c>
      <x:c r="E6519" s="6" t="str"/>
      <x:c r="F6519" s="6" t="str">
        <x:v>上平聲十三元</x:v>
      </x:c>
      <x:c r="G6519" s="6" t="str">
        <x:v>Pingshui main list, Wikisource-derived DOCX</x:v>
      </x:c>
      <x:c r="H6519" s="6" t="str"/>
      <x:c r="I6519" s="6" t="str">
        <x:v>Lu Qinli gap fill from Pingshui main list; 詞 entries ignored</x:v>
      </x:c>
      <x:c r="J6519" s="6" t="str">
        <x:f>IF(B6519="","",IF(AND(ISNUMBER(SEARCH("平",B6519)),OR(ISNUMBER(SEARCH("上",B6519)),ISNUMBER(SEARCH("去",B6519)),ISNUMBER(SEARCH("入",B6519)))),"Ambiguous",IF(ISNUMBER(SEARCH("平",B6519)),"平","仄")))</x:f>
        <x:v>平</x:v>
      </x:c>
      <x:c r="K6519" s="6" t="str">
        <x:f>IF(D6519="","",IF(AND(ISNUMBER(SEARCH("平",D6519)),OR(ISNUMBER(SEARCH("上",D6519)),ISNUMBER(SEARCH("去",D6519)),ISNUMBER(SEARCH("入",D6519)))),"Ambiguous",IF(ISNUMBER(SEARCH("平",D6519)),"平","仄")))</x:f>
        <x:v>平</x:v>
      </x:c>
      <x:c r="L6519" s="7" t="str">
        <x:v>Pingshui main list, Lu Qinli gap fill</x:v>
      </x:c>
    </x:row>
    <x:row r="6520">
      <x:c r="A6520" s="5" t="str">
        <x:v>齎</x:v>
      </x:c>
      <x:c r="B6520" s="6" t="str">
        <x:v>平</x:v>
      </x:c>
      <x:c r="C6520" s="6" t="str">
        <x:f>IF(B6520="","Needs decision","Ready")</x:f>
        <x:v>Ready</x:v>
      </x:c>
      <x:c r="D6520" s="6" t="str">
        <x:v>平</x:v>
      </x:c>
      <x:c r="E6520" s="6" t="str"/>
      <x:c r="F6520" s="6" t="str">
        <x:v>上平聲八齊</x:v>
      </x:c>
      <x:c r="G6520" s="6" t="str">
        <x:v>Pingshui main list, Wikisource-derived DOCX</x:v>
      </x:c>
      <x:c r="H6520" s="6" t="str"/>
      <x:c r="I6520" s="6" t="str">
        <x:v>Lu Qinli gap fill from Pingshui main list; 詞 entries ignored</x:v>
      </x:c>
      <x:c r="J6520" s="6" t="str">
        <x:f>IF(B6520="","",IF(AND(ISNUMBER(SEARCH("平",B6520)),OR(ISNUMBER(SEARCH("上",B6520)),ISNUMBER(SEARCH("去",B6520)),ISNUMBER(SEARCH("入",B6520)))),"Ambiguous",IF(ISNUMBER(SEARCH("平",B6520)),"平","仄")))</x:f>
        <x:v>平</x:v>
      </x:c>
      <x:c r="K6520" s="6" t="str">
        <x:f>IF(D6520="","",IF(AND(ISNUMBER(SEARCH("平",D6520)),OR(ISNUMBER(SEARCH("上",D6520)),ISNUMBER(SEARCH("去",D6520)),ISNUMBER(SEARCH("入",D6520)))),"Ambiguous",IF(ISNUMBER(SEARCH("平",D6520)),"平","仄")))</x:f>
        <x:v>平</x:v>
      </x:c>
      <x:c r="L6520" s="7" t="str">
        <x:v>Pingshui main list, Lu Qinli gap fill</x:v>
      </x:c>
    </x:row>
    <x:row r="6521">
      <x:c r="A6521" s="5" t="str">
        <x:v>齔</x:v>
      </x:c>
      <x:c r="B6521" s="6" t="str"/>
      <x:c r="C6521" s="6" t="str">
        <x:f>IF(B6521="","Needs decision","Ready")</x:f>
        <x:v>Needs decision</x:v>
      </x:c>
      <x:c r="D6521" s="6" t="str">
        <x:v>上/去</x:v>
      </x:c>
      <x:c r="E6521" s="6" t="str"/>
      <x:c r="F6521" s="6" t="str">
        <x:v>上聲十二吻; 去聲十二震</x:v>
      </x:c>
      <x:c r="G6521" s="6" t="str">
        <x:v>Pingshui main list, Wikisource-derived DOCX</x:v>
      </x:c>
      <x:c r="H6521" s="6" t="str"/>
      <x:c r="I6521" s="6" t="str">
        <x:v>Lu Qinli gap fill from Pingshui main list; 詞 entries ignored</x:v>
      </x:c>
      <x:c r="J6521" s="6" t="str">
        <x:f>IF(B6521="","",IF(AND(ISNUMBER(SEARCH("平",B6521)),OR(ISNUMBER(SEARCH("上",B6521)),ISNUMBER(SEARCH("去",B6521)),ISNUMBER(SEARCH("入",B6521)))),"Ambiguous",IF(ISNUMBER(SEARCH("平",B6521)),"平","仄")))</x:f>
      </x:c>
      <x:c r="K6521" s="6" t="str">
        <x:f>IF(D6521="","",IF(AND(ISNUMBER(SEARCH("平",D6521)),OR(ISNUMBER(SEARCH("上",D6521)),ISNUMBER(SEARCH("去",D6521)),ISNUMBER(SEARCH("入",D6521)))),"Ambiguous",IF(ISNUMBER(SEARCH("平",D6521)),"平","仄")))</x:f>
        <x:v>仄</x:v>
      </x:c>
      <x:c r="L6521" s="7" t="str">
        <x:v>Pingshui main list, Lu Qinli gap fill</x:v>
      </x:c>
    </x:row>
    <x:row r="6522">
      <x:c r="A6522" s="5" t="str">
        <x:v>齬</x:v>
      </x:c>
      <x:c r="B6522" s="6" t="str"/>
      <x:c r="C6522" s="6" t="str">
        <x:f>IF(B6522="","Needs decision","Ready")</x:f>
        <x:v>Needs decision</x:v>
      </x:c>
      <x:c r="D6522" s="6" t="str">
        <x:v>平/上</x:v>
      </x:c>
      <x:c r="E6522" s="6" t="str"/>
      <x:c r="F6522" s="6" t="str">
        <x:v>上平聲六魚; 上平聲七虞; 上聲六語</x:v>
      </x:c>
      <x:c r="G6522" s="6" t="str">
        <x:v>Pingshui main list, Wikisource-derived DOCX</x:v>
      </x:c>
      <x:c r="H6522" s="6" t="str"/>
      <x:c r="I6522" s="6" t="str">
        <x:v>Lu Qinli gap fill from Pingshui main list; 詞 entries ignored</x:v>
      </x:c>
      <x:c r="J6522" s="6" t="str">
        <x:f>IF(B6522="","",IF(AND(ISNUMBER(SEARCH("平",B6522)),OR(ISNUMBER(SEARCH("上",B6522)),ISNUMBER(SEARCH("去",B6522)),ISNUMBER(SEARCH("入",B6522)))),"Ambiguous",IF(ISNUMBER(SEARCH("平",B6522)),"平","仄")))</x:f>
      </x:c>
      <x:c r="K6522" s="6" t="str">
        <x:f>IF(D6522="","",IF(AND(ISNUMBER(SEARCH("平",D6522)),OR(ISNUMBER(SEARCH("上",D6522)),ISNUMBER(SEARCH("去",D6522)),ISNUMBER(SEARCH("入",D6522)))),"Ambiguous",IF(ISNUMBER(SEARCH("平",D6522)),"平","仄")))</x:f>
        <x:v>Ambiguous</x:v>
      </x:c>
      <x:c r="L6522" s="7" t="str">
        <x:v>Pingshui main list, Lu Qinli gap fill</x:v>
      </x:c>
    </x:row>
    <x:row r="6523">
      <x:c r="A6523" s="5" t="str">
        <x:v>龕</x:v>
      </x:c>
      <x:c r="B6523" s="6" t="str">
        <x:v>平</x:v>
      </x:c>
      <x:c r="C6523" s="6" t="str">
        <x:f>IF(B6523="","Needs decision","Ready")</x:f>
        <x:v>Ready</x:v>
      </x:c>
      <x:c r="D6523" s="6" t="str">
        <x:v>平</x:v>
      </x:c>
      <x:c r="E6523" s="6" t="str"/>
      <x:c r="F6523" s="6" t="str">
        <x:v>下平聲十三覃</x:v>
      </x:c>
      <x:c r="G6523" s="6" t="str">
        <x:v>Pingshui main list, Wikisource-derived DOCX</x:v>
      </x:c>
      <x:c r="H6523" s="6" t="str"/>
      <x:c r="I6523" s="6" t="str">
        <x:v>Lu Qinli gap fill from Pingshui main list; 詞 entries ignored</x:v>
      </x:c>
      <x:c r="J6523" s="6" t="str">
        <x:f>IF(B6523="","",IF(AND(ISNUMBER(SEARCH("平",B6523)),OR(ISNUMBER(SEARCH("上",B6523)),ISNUMBER(SEARCH("去",B6523)),ISNUMBER(SEARCH("入",B6523)))),"Ambiguous",IF(ISNUMBER(SEARCH("平",B6523)),"平","仄")))</x:f>
        <x:v>平</x:v>
      </x:c>
      <x:c r="K6523" s="6" t="str">
        <x:f>IF(D6523="","",IF(AND(ISNUMBER(SEARCH("平",D6523)),OR(ISNUMBER(SEARCH("上",D6523)),ISNUMBER(SEARCH("去",D6523)),ISNUMBER(SEARCH("入",D6523)))),"Ambiguous",IF(ISNUMBER(SEARCH("平",D6523)),"平","仄")))</x:f>
        <x:v>平</x:v>
      </x:c>
      <x:c r="L6523" s="7" t="str">
        <x:v>Pingshui main list, Lu Qinli gap fill</x:v>
      </x:c>
    </x:row>
    <x:row r="6524">
      <x:c r="A6524" s="5" t="str">
        <x:v>丳</x:v>
      </x:c>
      <x:c r="B6524" s="6" t="str">
        <x:v>上</x:v>
      </x:c>
      <x:c r="C6524" s="6" t="str">
        <x:f>IF(B6524="","Needs decision","Ready")</x:f>
        <x:v>Ready</x:v>
      </x:c>
      <x:c r="D6524" s="6" t="str">
        <x:v>上</x:v>
      </x:c>
      <x:c r="E6524" s="6" t="str"/>
      <x:c r="F6524" s="6" t="str">
        <x:v>上聲十五潸</x:v>
      </x:c>
      <x:c r="G6524" s="6" t="str">
        <x:v>Pingshui main list, Wikisource-derived DOCX</x:v>
      </x:c>
      <x:c r="H6524" s="6" t="str"/>
      <x:c r="I6524" s="6" t="str">
        <x:v>Pingshui main-list expansion; 詞 entries ignored</x:v>
      </x:c>
      <x:c r="J6524" s="6" t="str">
        <x:f>IF(B6524="","",IF(AND(ISNUMBER(SEARCH("平",B6524)),OR(ISNUMBER(SEARCH("上",B6524)),ISNUMBER(SEARCH("去",B6524)),ISNUMBER(SEARCH("入",B6524)))),"Ambiguous",IF(ISNUMBER(SEARCH("平",B6524)),"平","仄")))</x:f>
        <x:v>仄</x:v>
      </x:c>
      <x:c r="K6524" s="6" t="str">
        <x:f>IF(D6524="","",IF(AND(ISNUMBER(SEARCH("平",D6524)),OR(ISNUMBER(SEARCH("上",D6524)),ISNUMBER(SEARCH("去",D6524)),ISNUMBER(SEARCH("入",D6524)))),"Ambiguous",IF(ISNUMBER(SEARCH("平",D6524)),"平","仄")))</x:f>
        <x:v>仄</x:v>
      </x:c>
      <x:c r="L6524" s="7" t="str">
        <x:v>Pingshui main list expansion</x:v>
      </x:c>
    </x:row>
    <x:row r="6525">
      <x:c r="A6525" s="5" t="str">
        <x:v>仂</x:v>
      </x:c>
      <x:c r="B6525" s="6" t="str">
        <x:v>入</x:v>
      </x:c>
      <x:c r="C6525" s="6" t="str">
        <x:f>IF(B6525="","Needs decision","Ready")</x:f>
        <x:v>Ready</x:v>
      </x:c>
      <x:c r="D6525" s="6" t="str">
        <x:v>入</x:v>
      </x:c>
      <x:c r="E6525" s="6" t="str"/>
      <x:c r="F6525" s="6" t="str">
        <x:v>入聲十三職</x:v>
      </x:c>
      <x:c r="G6525" s="6" t="str">
        <x:v>Pingshui main list, Wikisource-derived DOCX</x:v>
      </x:c>
      <x:c r="H6525" s="6" t="str"/>
      <x:c r="I6525" s="6" t="str">
        <x:v>Pingshui main-list expansion; 詞 entries ignored</x:v>
      </x:c>
      <x:c r="J6525" s="6" t="str">
        <x:f>IF(B6525="","",IF(AND(ISNUMBER(SEARCH("平",B6525)),OR(ISNUMBER(SEARCH("上",B6525)),ISNUMBER(SEARCH("去",B6525)),ISNUMBER(SEARCH("入",B6525)))),"Ambiguous",IF(ISNUMBER(SEARCH("平",B6525)),"平","仄")))</x:f>
        <x:v>仄</x:v>
      </x:c>
      <x:c r="K6525" s="6" t="str">
        <x:f>IF(D6525="","",IF(AND(ISNUMBER(SEARCH("平",D6525)),OR(ISNUMBER(SEARCH("上",D6525)),ISNUMBER(SEARCH("去",D6525)),ISNUMBER(SEARCH("入",D6525)))),"Ambiguous",IF(ISNUMBER(SEARCH("平",D6525)),"平","仄")))</x:f>
        <x:v>仄</x:v>
      </x:c>
      <x:c r="L6525" s="7" t="str">
        <x:v>Pingshui main list expansion</x:v>
      </x:c>
    </x:row>
    <x:row r="6526">
      <x:c r="A6526" s="5" t="str">
        <x:v>仃</x:v>
      </x:c>
      <x:c r="B6526" s="6" t="str">
        <x:v>平</x:v>
      </x:c>
      <x:c r="C6526" s="6" t="str">
        <x:f>IF(B6526="","Needs decision","Ready")</x:f>
        <x:v>Ready</x:v>
      </x:c>
      <x:c r="D6526" s="6" t="str">
        <x:v>平</x:v>
      </x:c>
      <x:c r="E6526" s="6" t="str"/>
      <x:c r="F6526" s="6" t="str">
        <x:v>下平聲九青</x:v>
      </x:c>
      <x:c r="G6526" s="6" t="str">
        <x:v>Pingshui main list, Wikisource-derived DOCX</x:v>
      </x:c>
      <x:c r="H6526" s="6" t="str"/>
      <x:c r="I6526" s="6" t="str">
        <x:v>Pingshui main-list expansion; 詞 entries ignored</x:v>
      </x:c>
      <x:c r="J6526" s="6" t="str">
        <x:f>IF(B6526="","",IF(AND(ISNUMBER(SEARCH("平",B6526)),OR(ISNUMBER(SEARCH("上",B6526)),ISNUMBER(SEARCH("去",B6526)),ISNUMBER(SEARCH("入",B6526)))),"Ambiguous",IF(ISNUMBER(SEARCH("平",B6526)),"平","仄")))</x:f>
        <x:v>平</x:v>
      </x:c>
      <x:c r="K6526" s="6" t="str">
        <x:f>IF(D6526="","",IF(AND(ISNUMBER(SEARCH("平",D6526)),OR(ISNUMBER(SEARCH("上",D6526)),ISNUMBER(SEARCH("去",D6526)),ISNUMBER(SEARCH("入",D6526)))),"Ambiguous",IF(ISNUMBER(SEARCH("平",D6526)),"平","仄")))</x:f>
        <x:v>平</x:v>
      </x:c>
      <x:c r="L6526" s="7" t="str">
        <x:v>Pingshui main list expansion</x:v>
      </x:c>
    </x:row>
    <x:row r="6527">
      <x:c r="A6527" s="5" t="str">
        <x:v>仔</x:v>
      </x:c>
      <x:c r="B6527" s="6" t="str">
        <x:v>平</x:v>
      </x:c>
      <x:c r="C6527" s="6" t="str">
        <x:f>IF(B6527="","Needs decision","Ready")</x:f>
        <x:v>Ready</x:v>
      </x:c>
      <x:c r="D6527" s="6" t="str">
        <x:v>平</x:v>
      </x:c>
      <x:c r="E6527" s="6" t="str"/>
      <x:c r="F6527" s="6" t="str">
        <x:v>上平聲四支; 下平聲十一尤</x:v>
      </x:c>
      <x:c r="G6527" s="6" t="str">
        <x:v>Pingshui main list, Wikisource-derived DOCX</x:v>
      </x:c>
      <x:c r="H6527" s="6" t="str"/>
      <x:c r="I6527" s="6" t="str">
        <x:v>Pingshui main-list expansion; 詞 entries ignored</x:v>
      </x:c>
      <x:c r="J6527" s="6" t="str">
        <x:f>IF(B6527="","",IF(AND(ISNUMBER(SEARCH("平",B6527)),OR(ISNUMBER(SEARCH("上",B6527)),ISNUMBER(SEARCH("去",B6527)),ISNUMBER(SEARCH("入",B6527)))),"Ambiguous",IF(ISNUMBER(SEARCH("平",B6527)),"平","仄")))</x:f>
        <x:v>平</x:v>
      </x:c>
      <x:c r="K6527" s="6" t="str">
        <x:f>IF(D6527="","",IF(AND(ISNUMBER(SEARCH("平",D6527)),OR(ISNUMBER(SEARCH("上",D6527)),ISNUMBER(SEARCH("去",D6527)),ISNUMBER(SEARCH("入",D6527)))),"Ambiguous",IF(ISNUMBER(SEARCH("平",D6527)),"平","仄")))</x:f>
        <x:v>平</x:v>
      </x:c>
      <x:c r="L6527" s="7" t="str">
        <x:v>Pingshui main list expansion</x:v>
      </x:c>
    </x:row>
    <x:row r="6528">
      <x:c r="A6528" s="5" t="str">
        <x:v>仚</x:v>
      </x:c>
      <x:c r="B6528" s="6" t="str">
        <x:v>平</x:v>
      </x:c>
      <x:c r="C6528" s="6" t="str">
        <x:f>IF(B6528="","Needs decision","Ready")</x:f>
        <x:v>Ready</x:v>
      </x:c>
      <x:c r="D6528" s="6" t="str">
        <x:v>平</x:v>
      </x:c>
      <x:c r="E6528" s="6" t="str"/>
      <x:c r="F6528" s="6" t="str">
        <x:v>下平聲一先</x:v>
      </x:c>
      <x:c r="G6528" s="6" t="str">
        <x:v>Pingshui main list, Wikisource-derived DOCX</x:v>
      </x:c>
      <x:c r="H6528" s="6" t="str"/>
      <x:c r="I6528" s="6" t="str">
        <x:v>Pingshui main-list expansion; 詞 entries ignored</x:v>
      </x:c>
      <x:c r="J6528" s="6" t="str">
        <x:f>IF(B6528="","",IF(AND(ISNUMBER(SEARCH("平",B6528)),OR(ISNUMBER(SEARCH("上",B6528)),ISNUMBER(SEARCH("去",B6528)),ISNUMBER(SEARCH("入",B6528)))),"Ambiguous",IF(ISNUMBER(SEARCH("平",B6528)),"平","仄")))</x:f>
        <x:v>平</x:v>
      </x:c>
      <x:c r="K6528" s="6" t="str">
        <x:f>IF(D6528="","",IF(AND(ISNUMBER(SEARCH("平",D6528)),OR(ISNUMBER(SEARCH("上",D6528)),ISNUMBER(SEARCH("去",D6528)),ISNUMBER(SEARCH("入",D6528)))),"Ambiguous",IF(ISNUMBER(SEARCH("平",D6528)),"平","仄")))</x:f>
        <x:v>平</x:v>
      </x:c>
      <x:c r="L6528" s="7" t="str">
        <x:v>Pingshui main list expansion</x:v>
      </x:c>
    </x:row>
    <x:row r="6529">
      <x:c r="A6529" s="5" t="str">
        <x:v>仵</x:v>
      </x:c>
      <x:c r="B6529" s="6" t="str">
        <x:v>上</x:v>
      </x:c>
      <x:c r="C6529" s="6" t="str">
        <x:f>IF(B6529="","Needs decision","Ready")</x:f>
        <x:v>Ready</x:v>
      </x:c>
      <x:c r="D6529" s="6" t="str">
        <x:v>上</x:v>
      </x:c>
      <x:c r="E6529" s="6" t="str"/>
      <x:c r="F6529" s="6" t="str">
        <x:v>上聲七麌</x:v>
      </x:c>
      <x:c r="G6529" s="6" t="str">
        <x:v>Pingshui main list, Wikisource-derived DOCX</x:v>
      </x:c>
      <x:c r="H6529" s="6" t="str"/>
      <x:c r="I6529" s="6" t="str">
        <x:v>Pingshui main-list expansion; 詞 entries ignored</x:v>
      </x:c>
      <x:c r="J6529" s="6" t="str">
        <x:f>IF(B6529="","",IF(AND(ISNUMBER(SEARCH("平",B6529)),OR(ISNUMBER(SEARCH("上",B6529)),ISNUMBER(SEARCH("去",B6529)),ISNUMBER(SEARCH("入",B6529)))),"Ambiguous",IF(ISNUMBER(SEARCH("平",B6529)),"平","仄")))</x:f>
        <x:v>仄</x:v>
      </x:c>
      <x:c r="K6529" s="6" t="str">
        <x:f>IF(D6529="","",IF(AND(ISNUMBER(SEARCH("平",D6529)),OR(ISNUMBER(SEARCH("上",D6529)),ISNUMBER(SEARCH("去",D6529)),ISNUMBER(SEARCH("入",D6529)))),"Ambiguous",IF(ISNUMBER(SEARCH("平",D6529)),"平","仄")))</x:f>
        <x:v>仄</x:v>
      </x:c>
      <x:c r="L6529" s="7" t="str">
        <x:v>Pingshui main list expansion</x:v>
      </x:c>
    </x:row>
    <x:row r="6530">
      <x:c r="A6530" s="5" t="str">
        <x:v>伻</x:v>
      </x:c>
      <x:c r="B6530" s="6" t="str">
        <x:v>平</x:v>
      </x:c>
      <x:c r="C6530" s="6" t="str">
        <x:f>IF(B6530="","Needs decision","Ready")</x:f>
        <x:v>Ready</x:v>
      </x:c>
      <x:c r="D6530" s="6" t="str">
        <x:v>平</x:v>
      </x:c>
      <x:c r="E6530" s="6" t="str"/>
      <x:c r="F6530" s="6" t="str">
        <x:v>下平聲八庚</x:v>
      </x:c>
      <x:c r="G6530" s="6" t="str">
        <x:v>Pingshui main list, Wikisource-derived DOCX</x:v>
      </x:c>
      <x:c r="H6530" s="6" t="str"/>
      <x:c r="I6530" s="6" t="str">
        <x:v>Pingshui main-list expansion; 詞 entries ignored</x:v>
      </x:c>
      <x:c r="J6530" s="6" t="str">
        <x:f>IF(B6530="","",IF(AND(ISNUMBER(SEARCH("平",B6530)),OR(ISNUMBER(SEARCH("上",B6530)),ISNUMBER(SEARCH("去",B6530)),ISNUMBER(SEARCH("入",B6530)))),"Ambiguous",IF(ISNUMBER(SEARCH("平",B6530)),"平","仄")))</x:f>
        <x:v>平</x:v>
      </x:c>
      <x:c r="K6530" s="6" t="str">
        <x:f>IF(D6530="","",IF(AND(ISNUMBER(SEARCH("平",D6530)),OR(ISNUMBER(SEARCH("上",D6530)),ISNUMBER(SEARCH("去",D6530)),ISNUMBER(SEARCH("入",D6530)))),"Ambiguous",IF(ISNUMBER(SEARCH("平",D6530)),"平","仄")))</x:f>
        <x:v>平</x:v>
      </x:c>
      <x:c r="L6530" s="7" t="str">
        <x:v>Pingshui main list expansion</x:v>
      </x:c>
    </x:row>
    <x:row r="6531">
      <x:c r="A6531" s="5" t="str">
        <x:v>伾</x:v>
      </x:c>
      <x:c r="B6531" s="6" t="str">
        <x:v>平</x:v>
      </x:c>
      <x:c r="C6531" s="6" t="str">
        <x:f>IF(B6531="","Needs decision","Ready")</x:f>
        <x:v>Ready</x:v>
      </x:c>
      <x:c r="D6531" s="6" t="str">
        <x:v>平</x:v>
      </x:c>
      <x:c r="E6531" s="6" t="str"/>
      <x:c r="F6531" s="6" t="str">
        <x:v>上平聲四支</x:v>
      </x:c>
      <x:c r="G6531" s="6" t="str">
        <x:v>Pingshui main list, Wikisource-derived DOCX</x:v>
      </x:c>
      <x:c r="H6531" s="6" t="str"/>
      <x:c r="I6531" s="6" t="str">
        <x:v>Pingshui main-list expansion; 詞 entries ignored</x:v>
      </x:c>
      <x:c r="J6531" s="6" t="str">
        <x:f>IF(B6531="","",IF(AND(ISNUMBER(SEARCH("平",B6531)),OR(ISNUMBER(SEARCH("上",B6531)),ISNUMBER(SEARCH("去",B6531)),ISNUMBER(SEARCH("入",B6531)))),"Ambiguous",IF(ISNUMBER(SEARCH("平",B6531)),"平","仄")))</x:f>
        <x:v>平</x:v>
      </x:c>
      <x:c r="K6531" s="6" t="str">
        <x:f>IF(D6531="","",IF(AND(ISNUMBER(SEARCH("平",D6531)),OR(ISNUMBER(SEARCH("上",D6531)),ISNUMBER(SEARCH("去",D6531)),ISNUMBER(SEARCH("入",D6531)))),"Ambiguous",IF(ISNUMBER(SEARCH("平",D6531)),"平","仄")))</x:f>
        <x:v>平</x:v>
      </x:c>
      <x:c r="L6531" s="7" t="str">
        <x:v>Pingshui main list expansion</x:v>
      </x:c>
    </x:row>
    <x:row r="6532">
      <x:c r="A6532" s="5" t="str">
        <x:v>佌</x:v>
      </x:c>
      <x:c r="B6532" s="6" t="str">
        <x:v>上</x:v>
      </x:c>
      <x:c r="C6532" s="6" t="str">
        <x:f>IF(B6532="","Needs decision","Ready")</x:f>
        <x:v>Ready</x:v>
      </x:c>
      <x:c r="D6532" s="6" t="str">
        <x:v>上</x:v>
      </x:c>
      <x:c r="E6532" s="6" t="str"/>
      <x:c r="F6532" s="6" t="str">
        <x:v>上聲四紙</x:v>
      </x:c>
      <x:c r="G6532" s="6" t="str">
        <x:v>Pingshui main list, Wikisource-derived DOCX</x:v>
      </x:c>
      <x:c r="H6532" s="6" t="str"/>
      <x:c r="I6532" s="6" t="str">
        <x:v>Pingshui main-list expansion; 詞 entries ignored</x:v>
      </x:c>
      <x:c r="J6532" s="6" t="str">
        <x:f>IF(B6532="","",IF(AND(ISNUMBER(SEARCH("平",B6532)),OR(ISNUMBER(SEARCH("上",B6532)),ISNUMBER(SEARCH("去",B6532)),ISNUMBER(SEARCH("入",B6532)))),"Ambiguous",IF(ISNUMBER(SEARCH("平",B6532)),"平","仄")))</x:f>
        <x:v>仄</x:v>
      </x:c>
      <x:c r="K6532" s="6" t="str">
        <x:f>IF(D6532="","",IF(AND(ISNUMBER(SEARCH("平",D6532)),OR(ISNUMBER(SEARCH("上",D6532)),ISNUMBER(SEARCH("去",D6532)),ISNUMBER(SEARCH("入",D6532)))),"Ambiguous",IF(ISNUMBER(SEARCH("平",D6532)),"平","仄")))</x:f>
        <x:v>仄</x:v>
      </x:c>
      <x:c r="L6532" s="7" t="str">
        <x:v>Pingshui main list expansion</x:v>
      </x:c>
    </x:row>
    <x:row r="6533">
      <x:c r="A6533" s="5" t="str">
        <x:v>佖</x:v>
      </x:c>
      <x:c r="B6533" s="6" t="str">
        <x:v>入</x:v>
      </x:c>
      <x:c r="C6533" s="6" t="str">
        <x:f>IF(B6533="","Needs decision","Ready")</x:f>
        <x:v>Ready</x:v>
      </x:c>
      <x:c r="D6533" s="6" t="str">
        <x:v>入</x:v>
      </x:c>
      <x:c r="E6533" s="6" t="str"/>
      <x:c r="F6533" s="6" t="str">
        <x:v>入聲四質</x:v>
      </x:c>
      <x:c r="G6533" s="6" t="str">
        <x:v>Pingshui main list, Wikisource-derived DOCX</x:v>
      </x:c>
      <x:c r="H6533" s="6" t="str"/>
      <x:c r="I6533" s="6" t="str">
        <x:v>Pingshui main-list expansion; 詞 entries ignored</x:v>
      </x:c>
      <x:c r="J6533" s="6" t="str">
        <x:f>IF(B6533="","",IF(AND(ISNUMBER(SEARCH("平",B6533)),OR(ISNUMBER(SEARCH("上",B6533)),ISNUMBER(SEARCH("去",B6533)),ISNUMBER(SEARCH("入",B6533)))),"Ambiguous",IF(ISNUMBER(SEARCH("平",B6533)),"平","仄")))</x:f>
        <x:v>仄</x:v>
      </x:c>
      <x:c r="K6533" s="6" t="str">
        <x:f>IF(D6533="","",IF(AND(ISNUMBER(SEARCH("平",D6533)),OR(ISNUMBER(SEARCH("上",D6533)),ISNUMBER(SEARCH("去",D6533)),ISNUMBER(SEARCH("入",D6533)))),"Ambiguous",IF(ISNUMBER(SEARCH("平",D6533)),"平","仄")))</x:f>
        <x:v>仄</x:v>
      </x:c>
      <x:c r="L6533" s="7" t="str">
        <x:v>Pingshui main list expansion</x:v>
      </x:c>
    </x:row>
    <x:row r="6534">
      <x:c r="A6534" s="5" t="str">
        <x:v>佸</x:v>
      </x:c>
      <x:c r="B6534" s="6" t="str">
        <x:v>入</x:v>
      </x:c>
      <x:c r="C6534" s="6" t="str">
        <x:f>IF(B6534="","Needs decision","Ready")</x:f>
        <x:v>Ready</x:v>
      </x:c>
      <x:c r="D6534" s="6" t="str">
        <x:v>入</x:v>
      </x:c>
      <x:c r="E6534" s="6" t="str"/>
      <x:c r="F6534" s="6" t="str">
        <x:v>入聲七曷</x:v>
      </x:c>
      <x:c r="G6534" s="6" t="str">
        <x:v>Pingshui main list, Wikisource-derived DOCX</x:v>
      </x:c>
      <x:c r="H6534" s="6" t="str"/>
      <x:c r="I6534" s="6" t="str">
        <x:v>Pingshui main-list expansion; 詞 entries ignored</x:v>
      </x:c>
      <x:c r="J6534" s="6" t="str">
        <x:f>IF(B6534="","",IF(AND(ISNUMBER(SEARCH("平",B6534)),OR(ISNUMBER(SEARCH("上",B6534)),ISNUMBER(SEARCH("去",B6534)),ISNUMBER(SEARCH("入",B6534)))),"Ambiguous",IF(ISNUMBER(SEARCH("平",B6534)),"平","仄")))</x:f>
        <x:v>仄</x:v>
      </x:c>
      <x:c r="K6534" s="6" t="str">
        <x:f>IF(D6534="","",IF(AND(ISNUMBER(SEARCH("平",D6534)),OR(ISNUMBER(SEARCH("上",D6534)),ISNUMBER(SEARCH("去",D6534)),ISNUMBER(SEARCH("入",D6534)))),"Ambiguous",IF(ISNUMBER(SEARCH("平",D6534)),"平","仄")))</x:f>
        <x:v>仄</x:v>
      </x:c>
      <x:c r="L6534" s="7" t="str">
        <x:v>Pingshui main list expansion</x:v>
      </x:c>
    </x:row>
    <x:row r="6535">
      <x:c r="A6535" s="5" t="str">
        <x:v>佺</x:v>
      </x:c>
      <x:c r="B6535" s="6" t="str">
        <x:v>平</x:v>
      </x:c>
      <x:c r="C6535" s="6" t="str">
        <x:f>IF(B6535="","Needs decision","Ready")</x:f>
        <x:v>Ready</x:v>
      </x:c>
      <x:c r="D6535" s="6" t="str">
        <x:v>平</x:v>
      </x:c>
      <x:c r="E6535" s="6" t="str"/>
      <x:c r="F6535" s="6" t="str">
        <x:v>下平聲一先</x:v>
      </x:c>
      <x:c r="G6535" s="6" t="str">
        <x:v>Pingshui main list, Wikisource-derived DOCX</x:v>
      </x:c>
      <x:c r="H6535" s="6" t="str"/>
      <x:c r="I6535" s="6" t="str">
        <x:v>Pingshui main-list expansion; 詞 entries ignored</x:v>
      </x:c>
      <x:c r="J6535" s="6" t="str">
        <x:f>IF(B6535="","",IF(AND(ISNUMBER(SEARCH("平",B6535)),OR(ISNUMBER(SEARCH("上",B6535)),ISNUMBER(SEARCH("去",B6535)),ISNUMBER(SEARCH("入",B6535)))),"Ambiguous",IF(ISNUMBER(SEARCH("平",B6535)),"平","仄")))</x:f>
        <x:v>平</x:v>
      </x:c>
      <x:c r="K6535" s="6" t="str">
        <x:f>IF(D6535="","",IF(AND(ISNUMBER(SEARCH("平",D6535)),OR(ISNUMBER(SEARCH("上",D6535)),ISNUMBER(SEARCH("去",D6535)),ISNUMBER(SEARCH("入",D6535)))),"Ambiguous",IF(ISNUMBER(SEARCH("平",D6535)),"平","仄")))</x:f>
        <x:v>平</x:v>
      </x:c>
      <x:c r="L6535" s="7" t="str">
        <x:v>Pingshui main list expansion</x:v>
      </x:c>
    </x:row>
    <x:row r="6536">
      <x:c r="A6536" s="5" t="str">
        <x:v>侀</x:v>
      </x:c>
      <x:c r="B6536" s="6" t="str">
        <x:v>平</x:v>
      </x:c>
      <x:c r="C6536" s="6" t="str">
        <x:f>IF(B6536="","Needs decision","Ready")</x:f>
        <x:v>Ready</x:v>
      </x:c>
      <x:c r="D6536" s="6" t="str">
        <x:v>平</x:v>
      </x:c>
      <x:c r="E6536" s="6" t="str"/>
      <x:c r="F6536" s="6" t="str">
        <x:v>下平聲九青</x:v>
      </x:c>
      <x:c r="G6536" s="6" t="str">
        <x:v>Pingshui main list, Wikisource-derived DOCX</x:v>
      </x:c>
      <x:c r="H6536" s="6" t="str"/>
      <x:c r="I6536" s="6" t="str">
        <x:v>Pingshui main-list expansion; 詞 entries ignored</x:v>
      </x:c>
      <x:c r="J6536" s="6" t="str">
        <x:f>IF(B6536="","",IF(AND(ISNUMBER(SEARCH("平",B6536)),OR(ISNUMBER(SEARCH("上",B6536)),ISNUMBER(SEARCH("去",B6536)),ISNUMBER(SEARCH("入",B6536)))),"Ambiguous",IF(ISNUMBER(SEARCH("平",B6536)),"平","仄")))</x:f>
        <x:v>平</x:v>
      </x:c>
      <x:c r="K6536" s="6" t="str">
        <x:f>IF(D6536="","",IF(AND(ISNUMBER(SEARCH("平",D6536)),OR(ISNUMBER(SEARCH("上",D6536)),ISNUMBER(SEARCH("去",D6536)),ISNUMBER(SEARCH("入",D6536)))),"Ambiguous",IF(ISNUMBER(SEARCH("平",D6536)),"平","仄")))</x:f>
        <x:v>平</x:v>
      </x:c>
      <x:c r="L6536" s="7" t="str">
        <x:v>Pingshui main list expansion</x:v>
      </x:c>
    </x:row>
    <x:row r="6537">
      <x:c r="A6537" s="5" t="str">
        <x:v>侁</x:v>
      </x:c>
      <x:c r="B6537" s="6" t="str">
        <x:v>平</x:v>
      </x:c>
      <x:c r="C6537" s="6" t="str">
        <x:f>IF(B6537="","Needs decision","Ready")</x:f>
        <x:v>Ready</x:v>
      </x:c>
      <x:c r="D6537" s="6" t="str">
        <x:v>平</x:v>
      </x:c>
      <x:c r="E6537" s="6" t="str"/>
      <x:c r="F6537" s="6" t="str">
        <x:v>上平聲十一真</x:v>
      </x:c>
      <x:c r="G6537" s="6" t="str">
        <x:v>Pingshui main list, Wikisource-derived DOCX</x:v>
      </x:c>
      <x:c r="H6537" s="6" t="str"/>
      <x:c r="I6537" s="6" t="str">
        <x:v>Pingshui main-list expansion; 詞 entries ignored</x:v>
      </x:c>
      <x:c r="J6537" s="6" t="str">
        <x:f>IF(B6537="","",IF(AND(ISNUMBER(SEARCH("平",B6537)),OR(ISNUMBER(SEARCH("上",B6537)),ISNUMBER(SEARCH("去",B6537)),ISNUMBER(SEARCH("入",B6537)))),"Ambiguous",IF(ISNUMBER(SEARCH("平",B6537)),"平","仄")))</x:f>
        <x:v>平</x:v>
      </x:c>
      <x:c r="K6537" s="6" t="str">
        <x:f>IF(D6537="","",IF(AND(ISNUMBER(SEARCH("平",D6537)),OR(ISNUMBER(SEARCH("上",D6537)),ISNUMBER(SEARCH("去",D6537)),ISNUMBER(SEARCH("入",D6537)))),"Ambiguous",IF(ISNUMBER(SEARCH("平",D6537)),"平","仄")))</x:f>
        <x:v>平</x:v>
      </x:c>
      <x:c r="L6537" s="7" t="str">
        <x:v>Pingshui main list expansion</x:v>
      </x:c>
    </x:row>
    <x:row r="6538">
      <x:c r="A6538" s="5" t="str">
        <x:v>侅</x:v>
      </x:c>
      <x:c r="B6538" s="6" t="str">
        <x:v>平</x:v>
      </x:c>
      <x:c r="C6538" s="6" t="str">
        <x:f>IF(B6538="","Needs decision","Ready")</x:f>
        <x:v>Ready</x:v>
      </x:c>
      <x:c r="D6538" s="6" t="str">
        <x:v>平</x:v>
      </x:c>
      <x:c r="E6538" s="6" t="str"/>
      <x:c r="F6538" s="6" t="str">
        <x:v>上平聲十灰</x:v>
      </x:c>
      <x:c r="G6538" s="6" t="str">
        <x:v>Pingshui main list, Wikisource-derived DOCX</x:v>
      </x:c>
      <x:c r="H6538" s="6" t="str"/>
      <x:c r="I6538" s="6" t="str">
        <x:v>Pingshui main-list expansion; 詞 entries ignored</x:v>
      </x:c>
      <x:c r="J6538" s="6" t="str">
        <x:f>IF(B6538="","",IF(AND(ISNUMBER(SEARCH("平",B6538)),OR(ISNUMBER(SEARCH("上",B6538)),ISNUMBER(SEARCH("去",B6538)),ISNUMBER(SEARCH("入",B6538)))),"Ambiguous",IF(ISNUMBER(SEARCH("平",B6538)),"平","仄")))</x:f>
        <x:v>平</x:v>
      </x:c>
      <x:c r="K6538" s="6" t="str">
        <x:f>IF(D6538="","",IF(AND(ISNUMBER(SEARCH("平",D6538)),OR(ISNUMBER(SEARCH("上",D6538)),ISNUMBER(SEARCH("去",D6538)),ISNUMBER(SEARCH("入",D6538)))),"Ambiguous",IF(ISNUMBER(SEARCH("平",D6538)),"平","仄")))</x:f>
        <x:v>平</x:v>
      </x:c>
      <x:c r="L6538" s="7" t="str">
        <x:v>Pingshui main list expansion</x:v>
      </x:c>
    </x:row>
    <x:row r="6539">
      <x:c r="A6539" s="5" t="str">
        <x:v>侲</x:v>
      </x:c>
      <x:c r="B6539" s="6" t="str"/>
      <x:c r="C6539" s="6" t="str">
        <x:f>IF(B6539="","Needs decision","Ready")</x:f>
        <x:v>Needs decision</x:v>
      </x:c>
      <x:c r="D6539" s="6" t="str">
        <x:v>平/去</x:v>
      </x:c>
      <x:c r="E6539" s="6" t="str"/>
      <x:c r="F6539" s="6" t="str">
        <x:v>上平聲十一真; 去聲十二震</x:v>
      </x:c>
      <x:c r="G6539" s="6" t="str">
        <x:v>Pingshui main list, Wikisource-derived DOCX</x:v>
      </x:c>
      <x:c r="H6539" s="6" t="str"/>
      <x:c r="I6539" s="6" t="str">
        <x:v>Pingshui main-list expansion; 詞 entries ignored</x:v>
      </x:c>
      <x:c r="J6539" s="6" t="str">
        <x:f>IF(B6539="","",IF(AND(ISNUMBER(SEARCH("平",B6539)),OR(ISNUMBER(SEARCH("上",B6539)),ISNUMBER(SEARCH("去",B6539)),ISNUMBER(SEARCH("入",B6539)))),"Ambiguous",IF(ISNUMBER(SEARCH("平",B6539)),"平","仄")))</x:f>
      </x:c>
      <x:c r="K6539" s="6" t="str">
        <x:f>IF(D6539="","",IF(AND(ISNUMBER(SEARCH("平",D6539)),OR(ISNUMBER(SEARCH("上",D6539)),ISNUMBER(SEARCH("去",D6539)),ISNUMBER(SEARCH("入",D6539)))),"Ambiguous",IF(ISNUMBER(SEARCH("平",D6539)),"平","仄")))</x:f>
        <x:v>Ambiguous</x:v>
      </x:c>
      <x:c r="L6539" s="7" t="str">
        <x:v>Pingshui main list expansion</x:v>
      </x:c>
    </x:row>
    <x:row r="6540">
      <x:c r="A6540" s="5" t="str">
        <x:v>侹</x:v>
      </x:c>
      <x:c r="B6540" s="6" t="str">
        <x:v>上</x:v>
      </x:c>
      <x:c r="C6540" s="6" t="str">
        <x:f>IF(B6540="","Needs decision","Ready")</x:f>
        <x:v>Ready</x:v>
      </x:c>
      <x:c r="D6540" s="6" t="str">
        <x:v>上</x:v>
      </x:c>
      <x:c r="E6540" s="6" t="str"/>
      <x:c r="F6540" s="6" t="str">
        <x:v>上聲二十四迥</x:v>
      </x:c>
      <x:c r="G6540" s="6" t="str">
        <x:v>Pingshui main list, Wikisource-derived DOCX</x:v>
      </x:c>
      <x:c r="H6540" s="6" t="str"/>
      <x:c r="I6540" s="6" t="str">
        <x:v>Pingshui main-list expansion; 詞 entries ignored</x:v>
      </x:c>
      <x:c r="J6540" s="6" t="str">
        <x:f>IF(B6540="","",IF(AND(ISNUMBER(SEARCH("平",B6540)),OR(ISNUMBER(SEARCH("上",B6540)),ISNUMBER(SEARCH("去",B6540)),ISNUMBER(SEARCH("入",B6540)))),"Ambiguous",IF(ISNUMBER(SEARCH("平",B6540)),"平","仄")))</x:f>
        <x:v>仄</x:v>
      </x:c>
      <x:c r="K6540" s="6" t="str">
        <x:f>IF(D6540="","",IF(AND(ISNUMBER(SEARCH("平",D6540)),OR(ISNUMBER(SEARCH("上",D6540)),ISNUMBER(SEARCH("去",D6540)),ISNUMBER(SEARCH("入",D6540)))),"Ambiguous",IF(ISNUMBER(SEARCH("平",D6540)),"平","仄")))</x:f>
        <x:v>仄</x:v>
      </x:c>
      <x:c r="L6540" s="7" t="str">
        <x:v>Pingshui main list expansion</x:v>
      </x:c>
    </x:row>
    <x:row r="6541">
      <x:c r="A6541" s="5" t="str">
        <x:v>侺</x:v>
      </x:c>
      <x:c r="B6541" s="6" t="str">
        <x:v>去</x:v>
      </x:c>
      <x:c r="C6541" s="6" t="str">
        <x:f>IF(B6541="","Needs decision","Ready")</x:f>
        <x:v>Ready</x:v>
      </x:c>
      <x:c r="D6541" s="6" t="str">
        <x:v>去</x:v>
      </x:c>
      <x:c r="E6541" s="6" t="str"/>
      <x:c r="F6541" s="6" t="str">
        <x:v>去聲二十七沁</x:v>
      </x:c>
      <x:c r="G6541" s="6" t="str">
        <x:v>Pingshui main list, Wikisource-derived DOCX</x:v>
      </x:c>
      <x:c r="H6541" s="6" t="str"/>
      <x:c r="I6541" s="6" t="str">
        <x:v>Pingshui main-list expansion; 詞 entries ignored</x:v>
      </x:c>
      <x:c r="J6541" s="6" t="str">
        <x:f>IF(B6541="","",IF(AND(ISNUMBER(SEARCH("平",B6541)),OR(ISNUMBER(SEARCH("上",B6541)),ISNUMBER(SEARCH("去",B6541)),ISNUMBER(SEARCH("入",B6541)))),"Ambiguous",IF(ISNUMBER(SEARCH("平",B6541)),"平","仄")))</x:f>
        <x:v>仄</x:v>
      </x:c>
      <x:c r="K6541" s="6" t="str">
        <x:f>IF(D6541="","",IF(AND(ISNUMBER(SEARCH("平",D6541)),OR(ISNUMBER(SEARCH("上",D6541)),ISNUMBER(SEARCH("去",D6541)),ISNUMBER(SEARCH("入",D6541)))),"Ambiguous",IF(ISNUMBER(SEARCH("平",D6541)),"平","仄")))</x:f>
        <x:v>仄</x:v>
      </x:c>
      <x:c r="L6541" s="7" t="str">
        <x:v>Pingshui main list expansion</x:v>
      </x:c>
    </x:row>
    <x:row r="6542">
      <x:c r="A6542" s="5" t="str">
        <x:v>俅</x:v>
      </x:c>
      <x:c r="B6542" s="6" t="str">
        <x:v>平</x:v>
      </x:c>
      <x:c r="C6542" s="6" t="str">
        <x:f>IF(B6542="","Needs decision","Ready")</x:f>
        <x:v>Ready</x:v>
      </x:c>
      <x:c r="D6542" s="6" t="str">
        <x:v>平</x:v>
      </x:c>
      <x:c r="E6542" s="6" t="str"/>
      <x:c r="F6542" s="6" t="str">
        <x:v>下平聲十一尤</x:v>
      </x:c>
      <x:c r="G6542" s="6" t="str">
        <x:v>Pingshui main list, Wikisource-derived DOCX</x:v>
      </x:c>
      <x:c r="H6542" s="6" t="str"/>
      <x:c r="I6542" s="6" t="str">
        <x:v>Pingshui main-list expansion; 詞 entries ignored</x:v>
      </x:c>
      <x:c r="J6542" s="6" t="str">
        <x:f>IF(B6542="","",IF(AND(ISNUMBER(SEARCH("平",B6542)),OR(ISNUMBER(SEARCH("上",B6542)),ISNUMBER(SEARCH("去",B6542)),ISNUMBER(SEARCH("入",B6542)))),"Ambiguous",IF(ISNUMBER(SEARCH("平",B6542)),"平","仄")))</x:f>
        <x:v>平</x:v>
      </x:c>
      <x:c r="K6542" s="6" t="str">
        <x:f>IF(D6542="","",IF(AND(ISNUMBER(SEARCH("平",D6542)),OR(ISNUMBER(SEARCH("上",D6542)),ISNUMBER(SEARCH("去",D6542)),ISNUMBER(SEARCH("入",D6542)))),"Ambiguous",IF(ISNUMBER(SEARCH("平",D6542)),"平","仄")))</x:f>
        <x:v>平</x:v>
      </x:c>
      <x:c r="L6542" s="7" t="str">
        <x:v>Pingshui main list expansion</x:v>
      </x:c>
    </x:row>
    <x:row r="6543">
      <x:c r="A6543" s="5" t="str">
        <x:v>俙</x:v>
      </x:c>
      <x:c r="B6543" s="6" t="str">
        <x:v>平</x:v>
      </x:c>
      <x:c r="C6543" s="6" t="str">
        <x:f>IF(B6543="","Needs decision","Ready")</x:f>
        <x:v>Ready</x:v>
      </x:c>
      <x:c r="D6543" s="6" t="str">
        <x:v>平</x:v>
      </x:c>
      <x:c r="E6543" s="6" t="str"/>
      <x:c r="F6543" s="6" t="str">
        <x:v>下平聲三肴</x:v>
      </x:c>
      <x:c r="G6543" s="6" t="str">
        <x:v>Pingshui main list, Wikisource-derived DOCX</x:v>
      </x:c>
      <x:c r="H6543" s="6" t="str"/>
      <x:c r="I6543" s="6" t="str">
        <x:v>Pingshui main-list expansion; 詞 entries ignored</x:v>
      </x:c>
      <x:c r="J6543" s="6" t="str">
        <x:f>IF(B6543="","",IF(AND(ISNUMBER(SEARCH("平",B6543)),OR(ISNUMBER(SEARCH("上",B6543)),ISNUMBER(SEARCH("去",B6543)),ISNUMBER(SEARCH("入",B6543)))),"Ambiguous",IF(ISNUMBER(SEARCH("平",B6543)),"平","仄")))</x:f>
        <x:v>平</x:v>
      </x:c>
      <x:c r="K6543" s="6" t="str">
        <x:f>IF(D6543="","",IF(AND(ISNUMBER(SEARCH("平",D6543)),OR(ISNUMBER(SEARCH("上",D6543)),ISNUMBER(SEARCH("去",D6543)),ISNUMBER(SEARCH("入",D6543)))),"Ambiguous",IF(ISNUMBER(SEARCH("平",D6543)),"平","仄")))</x:f>
        <x:v>平</x:v>
      </x:c>
      <x:c r="L6543" s="7" t="str">
        <x:v>Pingshui main list expansion</x:v>
      </x:c>
    </x:row>
    <x:row r="6544">
      <x:c r="A6544" s="5" t="str">
        <x:v>俵</x:v>
      </x:c>
      <x:c r="B6544" s="6" t="str">
        <x:v>去</x:v>
      </x:c>
      <x:c r="C6544" s="6" t="str">
        <x:f>IF(B6544="","Needs decision","Ready")</x:f>
        <x:v>Ready</x:v>
      </x:c>
      <x:c r="D6544" s="6" t="str">
        <x:v>去</x:v>
      </x:c>
      <x:c r="E6544" s="6" t="str"/>
      <x:c r="F6544" s="6" t="str">
        <x:v>去聲十八嘯</x:v>
      </x:c>
      <x:c r="G6544" s="6" t="str">
        <x:v>Pingshui main list, Wikisource-derived DOCX</x:v>
      </x:c>
      <x:c r="H6544" s="6" t="str"/>
      <x:c r="I6544" s="6" t="str">
        <x:v>Pingshui main-list expansion; 詞 entries ignored</x:v>
      </x:c>
      <x:c r="J6544" s="6" t="str">
        <x:f>IF(B6544="","",IF(AND(ISNUMBER(SEARCH("平",B6544)),OR(ISNUMBER(SEARCH("上",B6544)),ISNUMBER(SEARCH("去",B6544)),ISNUMBER(SEARCH("入",B6544)))),"Ambiguous",IF(ISNUMBER(SEARCH("平",B6544)),"平","仄")))</x:f>
        <x:v>仄</x:v>
      </x:c>
      <x:c r="K6544" s="6" t="str">
        <x:f>IF(D6544="","",IF(AND(ISNUMBER(SEARCH("平",D6544)),OR(ISNUMBER(SEARCH("上",D6544)),ISNUMBER(SEARCH("去",D6544)),ISNUMBER(SEARCH("入",D6544)))),"Ambiguous",IF(ISNUMBER(SEARCH("平",D6544)),"平","仄")))</x:f>
        <x:v>仄</x:v>
      </x:c>
      <x:c r="L6544" s="7" t="str">
        <x:v>Pingshui main list expansion</x:v>
      </x:c>
    </x:row>
    <x:row r="6545">
      <x:c r="A6545" s="5" t="str">
        <x:v>俺</x:v>
      </x:c>
      <x:c r="B6545" s="6" t="str">
        <x:v>去</x:v>
      </x:c>
      <x:c r="C6545" s="6" t="str">
        <x:f>IF(B6545="","Needs decision","Ready")</x:f>
        <x:v>Ready</x:v>
      </x:c>
      <x:c r="D6545" s="6" t="str">
        <x:v>去</x:v>
      </x:c>
      <x:c r="E6545" s="6" t="str"/>
      <x:c r="F6545" s="6" t="str">
        <x:v>去聲二十九豔</x:v>
      </x:c>
      <x:c r="G6545" s="6" t="str">
        <x:v>Pingshui main list, Wikisource-derived DOCX</x:v>
      </x:c>
      <x:c r="H6545" s="6" t="str"/>
      <x:c r="I6545" s="6" t="str">
        <x:v>Pingshui main-list expansion; 詞 entries ignored</x:v>
      </x:c>
      <x:c r="J6545" s="6" t="str">
        <x:f>IF(B6545="","",IF(AND(ISNUMBER(SEARCH("平",B6545)),OR(ISNUMBER(SEARCH("上",B6545)),ISNUMBER(SEARCH("去",B6545)),ISNUMBER(SEARCH("入",B6545)))),"Ambiguous",IF(ISNUMBER(SEARCH("平",B6545)),"平","仄")))</x:f>
        <x:v>仄</x:v>
      </x:c>
      <x:c r="K6545" s="6" t="str">
        <x:f>IF(D6545="","",IF(AND(ISNUMBER(SEARCH("平",D6545)),OR(ISNUMBER(SEARCH("上",D6545)),ISNUMBER(SEARCH("去",D6545)),ISNUMBER(SEARCH("入",D6545)))),"Ambiguous",IF(ISNUMBER(SEARCH("平",D6545)),"平","仄")))</x:f>
        <x:v>仄</x:v>
      </x:c>
      <x:c r="L6545" s="7" t="str">
        <x:v>Pingshui main list expansion</x:v>
      </x:c>
    </x:row>
    <x:row r="6546">
      <x:c r="A6546" s="5" t="str">
        <x:v>倓</x:v>
      </x:c>
      <x:c r="B6546" s="6" t="str">
        <x:v>平</x:v>
      </x:c>
      <x:c r="C6546" s="6" t="str">
        <x:f>IF(B6546="","Needs decision","Ready")</x:f>
        <x:v>Ready</x:v>
      </x:c>
      <x:c r="D6546" s="6" t="str">
        <x:v>平</x:v>
      </x:c>
      <x:c r="E6546" s="6" t="str"/>
      <x:c r="F6546" s="6" t="str">
        <x:v>下平聲十三覃</x:v>
      </x:c>
      <x:c r="G6546" s="6" t="str">
        <x:v>Pingshui main list, Wikisource-derived DOCX</x:v>
      </x:c>
      <x:c r="H6546" s="6" t="str"/>
      <x:c r="I6546" s="6" t="str">
        <x:v>Pingshui main-list expansion; 詞 entries ignored</x:v>
      </x:c>
      <x:c r="J6546" s="6" t="str">
        <x:f>IF(B6546="","",IF(AND(ISNUMBER(SEARCH("平",B6546)),OR(ISNUMBER(SEARCH("上",B6546)),ISNUMBER(SEARCH("去",B6546)),ISNUMBER(SEARCH("入",B6546)))),"Ambiguous",IF(ISNUMBER(SEARCH("平",B6546)),"平","仄")))</x:f>
        <x:v>平</x:v>
      </x:c>
      <x:c r="K6546" s="6" t="str">
        <x:f>IF(D6546="","",IF(AND(ISNUMBER(SEARCH("平",D6546)),OR(ISNUMBER(SEARCH("上",D6546)),ISNUMBER(SEARCH("去",D6546)),ISNUMBER(SEARCH("入",D6546)))),"Ambiguous",IF(ISNUMBER(SEARCH("平",D6546)),"平","仄")))</x:f>
        <x:v>平</x:v>
      </x:c>
      <x:c r="L6546" s="7" t="str">
        <x:v>Pingshui main list expansion</x:v>
      </x:c>
    </x:row>
    <x:row r="6547">
      <x:c r="A6547" s="5" t="str">
        <x:v>倣</x:v>
      </x:c>
      <x:c r="B6547" s="6" t="str">
        <x:v>上</x:v>
      </x:c>
      <x:c r="C6547" s="6" t="str">
        <x:f>IF(B6547="","Needs decision","Ready")</x:f>
        <x:v>Ready</x:v>
      </x:c>
      <x:c r="D6547" s="6" t="str">
        <x:v>上</x:v>
      </x:c>
      <x:c r="E6547" s="6" t="str"/>
      <x:c r="F6547" s="6" t="str">
        <x:v>上聲二十二養</x:v>
      </x:c>
      <x:c r="G6547" s="6" t="str">
        <x:v>Pingshui main list, Wikisource-derived DOCX</x:v>
      </x:c>
      <x:c r="H6547" s="6" t="str"/>
      <x:c r="I6547" s="6" t="str">
        <x:v>Pingshui main-list expansion; 詞 entries ignored</x:v>
      </x:c>
      <x:c r="J6547" s="6" t="str">
        <x:f>IF(B6547="","",IF(AND(ISNUMBER(SEARCH("平",B6547)),OR(ISNUMBER(SEARCH("上",B6547)),ISNUMBER(SEARCH("去",B6547)),ISNUMBER(SEARCH("入",B6547)))),"Ambiguous",IF(ISNUMBER(SEARCH("平",B6547)),"平","仄")))</x:f>
        <x:v>仄</x:v>
      </x:c>
      <x:c r="K6547" s="6" t="str">
        <x:f>IF(D6547="","",IF(AND(ISNUMBER(SEARCH("平",D6547)),OR(ISNUMBER(SEARCH("上",D6547)),ISNUMBER(SEARCH("去",D6547)),ISNUMBER(SEARCH("入",D6547)))),"Ambiguous",IF(ISNUMBER(SEARCH("平",D6547)),"平","仄")))</x:f>
        <x:v>仄</x:v>
      </x:c>
      <x:c r="L6547" s="7" t="str">
        <x:v>Pingshui main list expansion</x:v>
      </x:c>
    </x:row>
    <x:row r="6548">
      <x:c r="A6548" s="5" t="str">
        <x:v>倨</x:v>
      </x:c>
      <x:c r="B6548" s="6" t="str">
        <x:v>去</x:v>
      </x:c>
      <x:c r="C6548" s="6" t="str">
        <x:f>IF(B6548="","Needs decision","Ready")</x:f>
        <x:v>Ready</x:v>
      </x:c>
      <x:c r="D6548" s="6" t="str">
        <x:v>去</x:v>
      </x:c>
      <x:c r="E6548" s="6" t="str"/>
      <x:c r="F6548" s="6" t="str">
        <x:v>去聲六御</x:v>
      </x:c>
      <x:c r="G6548" s="6" t="str">
        <x:v>Pingshui main list, Wikisource-derived DOCX</x:v>
      </x:c>
      <x:c r="H6548" s="6" t="str"/>
      <x:c r="I6548" s="6" t="str">
        <x:v>Pingshui main-list expansion; 詞 entries ignored</x:v>
      </x:c>
      <x:c r="J6548" s="6" t="str">
        <x:f>IF(B6548="","",IF(AND(ISNUMBER(SEARCH("平",B6548)),OR(ISNUMBER(SEARCH("上",B6548)),ISNUMBER(SEARCH("去",B6548)),ISNUMBER(SEARCH("入",B6548)))),"Ambiguous",IF(ISNUMBER(SEARCH("平",B6548)),"平","仄")))</x:f>
        <x:v>仄</x:v>
      </x:c>
      <x:c r="K6548" s="6" t="str">
        <x:f>IF(D6548="","",IF(AND(ISNUMBER(SEARCH("平",D6548)),OR(ISNUMBER(SEARCH("上",D6548)),ISNUMBER(SEARCH("去",D6548)),ISNUMBER(SEARCH("入",D6548)))),"Ambiguous",IF(ISNUMBER(SEARCH("平",D6548)),"平","仄")))</x:f>
        <x:v>仄</x:v>
      </x:c>
      <x:c r="L6548" s="7" t="str">
        <x:v>Pingshui main list expansion</x:v>
      </x:c>
    </x:row>
    <x:row r="6549">
      <x:c r="A6549" s="5" t="str">
        <x:v>偁</x:v>
      </x:c>
      <x:c r="B6549" s="6" t="str">
        <x:v>平</x:v>
      </x:c>
      <x:c r="C6549" s="6" t="str">
        <x:f>IF(B6549="","Needs decision","Ready")</x:f>
        <x:v>Ready</x:v>
      </x:c>
      <x:c r="D6549" s="6" t="str">
        <x:v>平</x:v>
      </x:c>
      <x:c r="E6549" s="6" t="str"/>
      <x:c r="F6549" s="6" t="str">
        <x:v>下平聲十蒸</x:v>
      </x:c>
      <x:c r="G6549" s="6" t="str">
        <x:v>Pingshui main list, Wikisource-derived DOCX</x:v>
      </x:c>
      <x:c r="H6549" s="6" t="str"/>
      <x:c r="I6549" s="6" t="str">
        <x:v>Pingshui main-list expansion; 詞 entries ignored</x:v>
      </x:c>
      <x:c r="J6549" s="6" t="str">
        <x:f>IF(B6549="","",IF(AND(ISNUMBER(SEARCH("平",B6549)),OR(ISNUMBER(SEARCH("上",B6549)),ISNUMBER(SEARCH("去",B6549)),ISNUMBER(SEARCH("入",B6549)))),"Ambiguous",IF(ISNUMBER(SEARCH("平",B6549)),"平","仄")))</x:f>
        <x:v>平</x:v>
      </x:c>
      <x:c r="K6549" s="6" t="str">
        <x:f>IF(D6549="","",IF(AND(ISNUMBER(SEARCH("平",D6549)),OR(ISNUMBER(SEARCH("上",D6549)),ISNUMBER(SEARCH("去",D6549)),ISNUMBER(SEARCH("入",D6549)))),"Ambiguous",IF(ISNUMBER(SEARCH("平",D6549)),"平","仄")))</x:f>
        <x:v>平</x:v>
      </x:c>
      <x:c r="L6549" s="7" t="str">
        <x:v>Pingshui main list expansion</x:v>
      </x:c>
    </x:row>
    <x:row r="6550">
      <x:c r="A6550" s="5" t="str">
        <x:v>偆</x:v>
      </x:c>
      <x:c r="B6550" s="6" t="str">
        <x:v>上</x:v>
      </x:c>
      <x:c r="C6550" s="6" t="str">
        <x:f>IF(B6550="","Needs decision","Ready")</x:f>
        <x:v>Ready</x:v>
      </x:c>
      <x:c r="D6550" s="6" t="str">
        <x:v>上</x:v>
      </x:c>
      <x:c r="E6550" s="6" t="str"/>
      <x:c r="F6550" s="6" t="str">
        <x:v>上聲十一軫</x:v>
      </x:c>
      <x:c r="G6550" s="6" t="str">
        <x:v>Pingshui main list, Wikisource-derived DOCX</x:v>
      </x:c>
      <x:c r="H6550" s="6" t="str"/>
      <x:c r="I6550" s="6" t="str">
        <x:v>Pingshui main-list expansion; 詞 entries ignored</x:v>
      </x:c>
      <x:c r="J6550" s="6" t="str">
        <x:f>IF(B6550="","",IF(AND(ISNUMBER(SEARCH("平",B6550)),OR(ISNUMBER(SEARCH("上",B6550)),ISNUMBER(SEARCH("去",B6550)),ISNUMBER(SEARCH("入",B6550)))),"Ambiguous",IF(ISNUMBER(SEARCH("平",B6550)),"平","仄")))</x:f>
        <x:v>仄</x:v>
      </x:c>
      <x:c r="K6550" s="6" t="str">
        <x:f>IF(D6550="","",IF(AND(ISNUMBER(SEARCH("平",D6550)),OR(ISNUMBER(SEARCH("上",D6550)),ISNUMBER(SEARCH("去",D6550)),ISNUMBER(SEARCH("入",D6550)))),"Ambiguous",IF(ISNUMBER(SEARCH("平",D6550)),"平","仄")))</x:f>
        <x:v>仄</x:v>
      </x:c>
      <x:c r="L6550" s="7" t="str">
        <x:v>Pingshui main list expansion</x:v>
      </x:c>
    </x:row>
    <x:row r="6551">
      <x:c r="A6551" s="5" t="str">
        <x:v>偎</x:v>
      </x:c>
      <x:c r="B6551" s="6" t="str">
        <x:v>平</x:v>
      </x:c>
      <x:c r="C6551" s="6" t="str">
        <x:f>IF(B6551="","Needs decision","Ready")</x:f>
        <x:v>Ready</x:v>
      </x:c>
      <x:c r="D6551" s="6" t="str">
        <x:v>平</x:v>
      </x:c>
      <x:c r="E6551" s="6" t="str"/>
      <x:c r="F6551" s="6" t="str">
        <x:v>上平聲十灰</x:v>
      </x:c>
      <x:c r="G6551" s="6" t="str">
        <x:v>Pingshui main list, Wikisource-derived DOCX</x:v>
      </x:c>
      <x:c r="H6551" s="6" t="str"/>
      <x:c r="I6551" s="6" t="str">
        <x:v>Pingshui main-list expansion; 詞 entries ignored</x:v>
      </x:c>
      <x:c r="J6551" s="6" t="str">
        <x:f>IF(B6551="","",IF(AND(ISNUMBER(SEARCH("平",B6551)),OR(ISNUMBER(SEARCH("上",B6551)),ISNUMBER(SEARCH("去",B6551)),ISNUMBER(SEARCH("入",B6551)))),"Ambiguous",IF(ISNUMBER(SEARCH("平",B6551)),"平","仄")))</x:f>
        <x:v>平</x:v>
      </x:c>
      <x:c r="K6551" s="6" t="str">
        <x:f>IF(D6551="","",IF(AND(ISNUMBER(SEARCH("平",D6551)),OR(ISNUMBER(SEARCH("上",D6551)),ISNUMBER(SEARCH("去",D6551)),ISNUMBER(SEARCH("入",D6551)))),"Ambiguous",IF(ISNUMBER(SEARCH("平",D6551)),"平","仄")))</x:f>
        <x:v>平</x:v>
      </x:c>
      <x:c r="L6551" s="7" t="str">
        <x:v>Pingshui main list expansion</x:v>
      </x:c>
    </x:row>
    <x:row r="6552">
      <x:c r="A6552" s="5" t="str">
        <x:v>偓</x:v>
      </x:c>
      <x:c r="B6552" s="6" t="str">
        <x:v>入</x:v>
      </x:c>
      <x:c r="C6552" s="6" t="str">
        <x:f>IF(B6552="","Needs decision","Ready")</x:f>
        <x:v>Ready</x:v>
      </x:c>
      <x:c r="D6552" s="6" t="str">
        <x:v>入</x:v>
      </x:c>
      <x:c r="E6552" s="6" t="str"/>
      <x:c r="F6552" s="6" t="str">
        <x:v>入聲三覺</x:v>
      </x:c>
      <x:c r="G6552" s="6" t="str">
        <x:v>Pingshui main list, Wikisource-derived DOCX</x:v>
      </x:c>
      <x:c r="H6552" s="6" t="str"/>
      <x:c r="I6552" s="6" t="str">
        <x:v>Pingshui main-list expansion; 詞 entries ignored</x:v>
      </x:c>
      <x:c r="J6552" s="6" t="str">
        <x:f>IF(B6552="","",IF(AND(ISNUMBER(SEARCH("平",B6552)),OR(ISNUMBER(SEARCH("上",B6552)),ISNUMBER(SEARCH("去",B6552)),ISNUMBER(SEARCH("入",B6552)))),"Ambiguous",IF(ISNUMBER(SEARCH("平",B6552)),"平","仄")))</x:f>
        <x:v>仄</x:v>
      </x:c>
      <x:c r="K6552" s="6" t="str">
        <x:f>IF(D6552="","",IF(AND(ISNUMBER(SEARCH("平",D6552)),OR(ISNUMBER(SEARCH("上",D6552)),ISNUMBER(SEARCH("去",D6552)),ISNUMBER(SEARCH("入",D6552)))),"Ambiguous",IF(ISNUMBER(SEARCH("平",D6552)),"平","仄")))</x:f>
        <x:v>仄</x:v>
      </x:c>
      <x:c r="L6552" s="7" t="str">
        <x:v>Pingshui main list expansion</x:v>
      </x:c>
    </x:row>
    <x:row r="6553">
      <x:c r="A6553" s="5" t="str">
        <x:v>傋</x:v>
      </x:c>
      <x:c r="B6553" s="6" t="str">
        <x:v>上</x:v>
      </x:c>
      <x:c r="C6553" s="6" t="str">
        <x:f>IF(B6553="","Needs decision","Ready")</x:f>
        <x:v>Ready</x:v>
      </x:c>
      <x:c r="D6553" s="6" t="str">
        <x:v>上</x:v>
      </x:c>
      <x:c r="E6553" s="6" t="str"/>
      <x:c r="F6553" s="6" t="str">
        <x:v>上聲三講</x:v>
      </x:c>
      <x:c r="G6553" s="6" t="str">
        <x:v>Pingshui main list, Wikisource-derived DOCX</x:v>
      </x:c>
      <x:c r="H6553" s="6" t="str"/>
      <x:c r="I6553" s="6" t="str">
        <x:v>Pingshui main-list expansion; 詞 entries ignored</x:v>
      </x:c>
      <x:c r="J6553" s="6" t="str">
        <x:f>IF(B6553="","",IF(AND(ISNUMBER(SEARCH("平",B6553)),OR(ISNUMBER(SEARCH("上",B6553)),ISNUMBER(SEARCH("去",B6553)),ISNUMBER(SEARCH("入",B6553)))),"Ambiguous",IF(ISNUMBER(SEARCH("平",B6553)),"平","仄")))</x:f>
        <x:v>仄</x:v>
      </x:c>
      <x:c r="K6553" s="6" t="str">
        <x:f>IF(D6553="","",IF(AND(ISNUMBER(SEARCH("平",D6553)),OR(ISNUMBER(SEARCH("上",D6553)),ISNUMBER(SEARCH("去",D6553)),ISNUMBER(SEARCH("入",D6553)))),"Ambiguous",IF(ISNUMBER(SEARCH("平",D6553)),"平","仄")))</x:f>
        <x:v>仄</x:v>
      </x:c>
      <x:c r="L6553" s="7" t="str">
        <x:v>Pingshui main list expansion</x:v>
      </x:c>
    </x:row>
    <x:row r="6554">
      <x:c r="A6554" s="5" t="str">
        <x:v>傚</x:v>
      </x:c>
      <x:c r="B6554" s="6" t="str">
        <x:v>去</x:v>
      </x:c>
      <x:c r="C6554" s="6" t="str">
        <x:f>IF(B6554="","Needs decision","Ready")</x:f>
        <x:v>Ready</x:v>
      </x:c>
      <x:c r="D6554" s="6" t="str">
        <x:v>去</x:v>
      </x:c>
      <x:c r="E6554" s="6" t="str"/>
      <x:c r="F6554" s="6" t="str">
        <x:v>去聲十九效</x:v>
      </x:c>
      <x:c r="G6554" s="6" t="str">
        <x:v>Pingshui main list, Wikisource-derived DOCX</x:v>
      </x:c>
      <x:c r="H6554" s="6" t="str"/>
      <x:c r="I6554" s="6" t="str">
        <x:v>Pingshui main-list expansion; 詞 entries ignored</x:v>
      </x:c>
      <x:c r="J6554" s="6" t="str">
        <x:f>IF(B6554="","",IF(AND(ISNUMBER(SEARCH("平",B6554)),OR(ISNUMBER(SEARCH("上",B6554)),ISNUMBER(SEARCH("去",B6554)),ISNUMBER(SEARCH("入",B6554)))),"Ambiguous",IF(ISNUMBER(SEARCH("平",B6554)),"平","仄")))</x:f>
        <x:v>仄</x:v>
      </x:c>
      <x:c r="K6554" s="6" t="str">
        <x:f>IF(D6554="","",IF(AND(ISNUMBER(SEARCH("平",D6554)),OR(ISNUMBER(SEARCH("上",D6554)),ISNUMBER(SEARCH("去",D6554)),ISNUMBER(SEARCH("入",D6554)))),"Ambiguous",IF(ISNUMBER(SEARCH("平",D6554)),"平","仄")))</x:f>
        <x:v>仄</x:v>
      </x:c>
      <x:c r="L6554" s="7" t="str">
        <x:v>Pingshui main list expansion</x:v>
      </x:c>
    </x:row>
    <x:row r="6555">
      <x:c r="A6555" s="5" t="str">
        <x:v>僄</x:v>
      </x:c>
      <x:c r="B6555" s="6" t="str"/>
      <x:c r="C6555" s="6" t="str">
        <x:f>IF(B6555="","Needs decision","Ready")</x:f>
        <x:v>Needs decision</x:v>
      </x:c>
      <x:c r="D6555" s="6" t="str">
        <x:v>平/去</x:v>
      </x:c>
      <x:c r="E6555" s="6" t="str"/>
      <x:c r="F6555" s="6" t="str">
        <x:v>下平聲二蕭; 去聲十八嘯</x:v>
      </x:c>
      <x:c r="G6555" s="6" t="str">
        <x:v>Pingshui main list, Wikisource-derived DOCX</x:v>
      </x:c>
      <x:c r="H6555" s="6" t="str"/>
      <x:c r="I6555" s="6" t="str">
        <x:v>Pingshui main-list expansion; 詞 entries ignored</x:v>
      </x:c>
      <x:c r="J6555" s="6" t="str">
        <x:f>IF(B6555="","",IF(AND(ISNUMBER(SEARCH("平",B6555)),OR(ISNUMBER(SEARCH("上",B6555)),ISNUMBER(SEARCH("去",B6555)),ISNUMBER(SEARCH("入",B6555)))),"Ambiguous",IF(ISNUMBER(SEARCH("平",B6555)),"平","仄")))</x:f>
      </x:c>
      <x:c r="K6555" s="6" t="str">
        <x:f>IF(D6555="","",IF(AND(ISNUMBER(SEARCH("平",D6555)),OR(ISNUMBER(SEARCH("上",D6555)),ISNUMBER(SEARCH("去",D6555)),ISNUMBER(SEARCH("入",D6555)))),"Ambiguous",IF(ISNUMBER(SEARCH("平",D6555)),"平","仄")))</x:f>
        <x:v>Ambiguous</x:v>
      </x:c>
      <x:c r="L6555" s="7" t="str">
        <x:v>Pingshui main list expansion</x:v>
      </x:c>
    </x:row>
    <x:row r="6556">
      <x:c r="A6556" s="5" t="str">
        <x:v>僇</x:v>
      </x:c>
      <x:c r="B6556" s="6" t="str">
        <x:v>入</x:v>
      </x:c>
      <x:c r="C6556" s="6" t="str">
        <x:f>IF(B6556="","Needs decision","Ready")</x:f>
        <x:v>Ready</x:v>
      </x:c>
      <x:c r="D6556" s="6" t="str">
        <x:v>入</x:v>
      </x:c>
      <x:c r="E6556" s="6" t="str"/>
      <x:c r="F6556" s="6" t="str">
        <x:v>入聲一屋</x:v>
      </x:c>
      <x:c r="G6556" s="6" t="str">
        <x:v>Pingshui main list, Wikisource-derived DOCX</x:v>
      </x:c>
      <x:c r="H6556" s="6" t="str"/>
      <x:c r="I6556" s="6" t="str">
        <x:v>Pingshui main-list expansion; 詞 entries ignored</x:v>
      </x:c>
      <x:c r="J6556" s="6" t="str">
        <x:f>IF(B6556="","",IF(AND(ISNUMBER(SEARCH("平",B6556)),OR(ISNUMBER(SEARCH("上",B6556)),ISNUMBER(SEARCH("去",B6556)),ISNUMBER(SEARCH("入",B6556)))),"Ambiguous",IF(ISNUMBER(SEARCH("平",B6556)),"平","仄")))</x:f>
        <x:v>仄</x:v>
      </x:c>
      <x:c r="K6556" s="6" t="str">
        <x:f>IF(D6556="","",IF(AND(ISNUMBER(SEARCH("平",D6556)),OR(ISNUMBER(SEARCH("上",D6556)),ISNUMBER(SEARCH("去",D6556)),ISNUMBER(SEARCH("入",D6556)))),"Ambiguous",IF(ISNUMBER(SEARCH("平",D6556)),"平","仄")))</x:f>
        <x:v>仄</x:v>
      </x:c>
      <x:c r="L6556" s="7" t="str">
        <x:v>Pingshui main list expansion</x:v>
      </x:c>
    </x:row>
    <x:row r="6557">
      <x:c r="A6557" s="5" t="str">
        <x:v>僎</x:v>
      </x:c>
      <x:c r="B6557" s="6" t="str">
        <x:v>平</x:v>
      </x:c>
      <x:c r="C6557" s="6" t="str">
        <x:f>IF(B6557="","Needs decision","Ready")</x:f>
        <x:v>Ready</x:v>
      </x:c>
      <x:c r="D6557" s="6" t="str">
        <x:v>平</x:v>
      </x:c>
      <x:c r="E6557" s="6" t="str"/>
      <x:c r="F6557" s="6" t="str">
        <x:v>上平聲十一真</x:v>
      </x:c>
      <x:c r="G6557" s="6" t="str">
        <x:v>Pingshui main list, Wikisource-derived DOCX</x:v>
      </x:c>
      <x:c r="H6557" s="6" t="str"/>
      <x:c r="I6557" s="6" t="str">
        <x:v>Pingshui main-list expansion; 詞 entries ignored</x:v>
      </x:c>
      <x:c r="J6557" s="6" t="str">
        <x:f>IF(B6557="","",IF(AND(ISNUMBER(SEARCH("平",B6557)),OR(ISNUMBER(SEARCH("上",B6557)),ISNUMBER(SEARCH("去",B6557)),ISNUMBER(SEARCH("入",B6557)))),"Ambiguous",IF(ISNUMBER(SEARCH("平",B6557)),"平","仄")))</x:f>
        <x:v>平</x:v>
      </x:c>
      <x:c r="K6557" s="6" t="str">
        <x:f>IF(D6557="","",IF(AND(ISNUMBER(SEARCH("平",D6557)),OR(ISNUMBER(SEARCH("上",D6557)),ISNUMBER(SEARCH("去",D6557)),ISNUMBER(SEARCH("入",D6557)))),"Ambiguous",IF(ISNUMBER(SEARCH("平",D6557)),"平","仄")))</x:f>
        <x:v>平</x:v>
      </x:c>
      <x:c r="L6557" s="7" t="str">
        <x:v>Pingshui main list expansion</x:v>
      </x:c>
    </x:row>
    <x:row r="6558">
      <x:c r="A6558" s="5" t="str">
        <x:v>僛</x:v>
      </x:c>
      <x:c r="B6558" s="6" t="str">
        <x:v>平</x:v>
      </x:c>
      <x:c r="C6558" s="6" t="str">
        <x:f>IF(B6558="","Needs decision","Ready")</x:f>
        <x:v>Ready</x:v>
      </x:c>
      <x:c r="D6558" s="6" t="str">
        <x:v>平</x:v>
      </x:c>
      <x:c r="E6558" s="6" t="str"/>
      <x:c r="F6558" s="6" t="str">
        <x:v>上平聲四支</x:v>
      </x:c>
      <x:c r="G6558" s="6" t="str">
        <x:v>Pingshui main list, Wikisource-derived DOCX</x:v>
      </x:c>
      <x:c r="H6558" s="6" t="str"/>
      <x:c r="I6558" s="6" t="str">
        <x:v>Pingshui main-list expansion; 詞 entries ignored</x:v>
      </x:c>
      <x:c r="J6558" s="6" t="str">
        <x:f>IF(B6558="","",IF(AND(ISNUMBER(SEARCH("平",B6558)),OR(ISNUMBER(SEARCH("上",B6558)),ISNUMBER(SEARCH("去",B6558)),ISNUMBER(SEARCH("入",B6558)))),"Ambiguous",IF(ISNUMBER(SEARCH("平",B6558)),"平","仄")))</x:f>
        <x:v>平</x:v>
      </x:c>
      <x:c r="K6558" s="6" t="str">
        <x:f>IF(D6558="","",IF(AND(ISNUMBER(SEARCH("平",D6558)),OR(ISNUMBER(SEARCH("上",D6558)),ISNUMBER(SEARCH("去",D6558)),ISNUMBER(SEARCH("入",D6558)))),"Ambiguous",IF(ISNUMBER(SEARCH("平",D6558)),"平","仄")))</x:f>
        <x:v>平</x:v>
      </x:c>
      <x:c r="L6558" s="7" t="str">
        <x:v>Pingshui main list expansion</x:v>
      </x:c>
    </x:row>
    <x:row r="6559">
      <x:c r="A6559" s="5" t="str">
        <x:v>僤</x:v>
      </x:c>
      <x:c r="B6559" s="6" t="str">
        <x:v>上</x:v>
      </x:c>
      <x:c r="C6559" s="6" t="str">
        <x:f>IF(B6559="","Needs decision","Ready")</x:f>
        <x:v>Ready</x:v>
      </x:c>
      <x:c r="D6559" s="6" t="str">
        <x:v>上</x:v>
      </x:c>
      <x:c r="E6559" s="6" t="str"/>
      <x:c r="F6559" s="6" t="str">
        <x:v>上聲十六銑</x:v>
      </x:c>
      <x:c r="G6559" s="6" t="str">
        <x:v>Pingshui main list, Wikisource-derived DOCX</x:v>
      </x:c>
      <x:c r="H6559" s="6" t="str"/>
      <x:c r="I6559" s="6" t="str">
        <x:v>Pingshui main-list expansion; 詞 entries ignored</x:v>
      </x:c>
      <x:c r="J6559" s="6" t="str">
        <x:f>IF(B6559="","",IF(AND(ISNUMBER(SEARCH("平",B6559)),OR(ISNUMBER(SEARCH("上",B6559)),ISNUMBER(SEARCH("去",B6559)),ISNUMBER(SEARCH("入",B6559)))),"Ambiguous",IF(ISNUMBER(SEARCH("平",B6559)),"平","仄")))</x:f>
        <x:v>仄</x:v>
      </x:c>
      <x:c r="K6559" s="6" t="str">
        <x:f>IF(D6559="","",IF(AND(ISNUMBER(SEARCH("平",D6559)),OR(ISNUMBER(SEARCH("上",D6559)),ISNUMBER(SEARCH("去",D6559)),ISNUMBER(SEARCH("入",D6559)))),"Ambiguous",IF(ISNUMBER(SEARCH("平",D6559)),"平","仄")))</x:f>
        <x:v>仄</x:v>
      </x:c>
      <x:c r="L6559" s="7" t="str">
        <x:v>Pingshui main list expansion</x:v>
      </x:c>
    </x:row>
    <x:row r="6560">
      <x:c r="A6560" s="5" t="str">
        <x:v>僦</x:v>
      </x:c>
      <x:c r="B6560" s="6" t="str">
        <x:v>去</x:v>
      </x:c>
      <x:c r="C6560" s="6" t="str">
        <x:f>IF(B6560="","Needs decision","Ready")</x:f>
        <x:v>Ready</x:v>
      </x:c>
      <x:c r="D6560" s="6" t="str">
        <x:v>去</x:v>
      </x:c>
      <x:c r="E6560" s="6" t="str"/>
      <x:c r="F6560" s="6" t="str">
        <x:v>去聲二十六宥</x:v>
      </x:c>
      <x:c r="G6560" s="6" t="str">
        <x:v>Pingshui main list, Wikisource-derived DOCX</x:v>
      </x:c>
      <x:c r="H6560" s="6" t="str"/>
      <x:c r="I6560" s="6" t="str">
        <x:v>Pingshui main-list expansion; 詞 entries ignored</x:v>
      </x:c>
      <x:c r="J6560" s="6" t="str">
        <x:f>IF(B6560="","",IF(AND(ISNUMBER(SEARCH("平",B6560)),OR(ISNUMBER(SEARCH("上",B6560)),ISNUMBER(SEARCH("去",B6560)),ISNUMBER(SEARCH("入",B6560)))),"Ambiguous",IF(ISNUMBER(SEARCH("平",B6560)),"平","仄")))</x:f>
        <x:v>仄</x:v>
      </x:c>
      <x:c r="K6560" s="6" t="str">
        <x:f>IF(D6560="","",IF(AND(ISNUMBER(SEARCH("平",D6560)),OR(ISNUMBER(SEARCH("上",D6560)),ISNUMBER(SEARCH("去",D6560)),ISNUMBER(SEARCH("入",D6560)))),"Ambiguous",IF(ISNUMBER(SEARCH("平",D6560)),"平","仄")))</x:f>
        <x:v>仄</x:v>
      </x:c>
      <x:c r="L6560" s="7" t="str">
        <x:v>Pingshui main list expansion</x:v>
      </x:c>
    </x:row>
    <x:row r="6561">
      <x:c r="A6561" s="5" t="str">
        <x:v>僩</x:v>
      </x:c>
      <x:c r="B6561" s="6" t="str">
        <x:v>上</x:v>
      </x:c>
      <x:c r="C6561" s="6" t="str">
        <x:f>IF(B6561="","Needs decision","Ready")</x:f>
        <x:v>Ready</x:v>
      </x:c>
      <x:c r="D6561" s="6" t="str">
        <x:v>上</x:v>
      </x:c>
      <x:c r="E6561" s="6" t="str"/>
      <x:c r="F6561" s="6" t="str">
        <x:v>上聲十五潸</x:v>
      </x:c>
      <x:c r="G6561" s="6" t="str">
        <x:v>Pingshui main list, Wikisource-derived DOCX</x:v>
      </x:c>
      <x:c r="H6561" s="6" t="str"/>
      <x:c r="I6561" s="6" t="str">
        <x:v>Pingshui main-list expansion; 詞 entries ignored</x:v>
      </x:c>
      <x:c r="J6561" s="6" t="str">
        <x:f>IF(B6561="","",IF(AND(ISNUMBER(SEARCH("平",B6561)),OR(ISNUMBER(SEARCH("上",B6561)),ISNUMBER(SEARCH("去",B6561)),ISNUMBER(SEARCH("入",B6561)))),"Ambiguous",IF(ISNUMBER(SEARCH("平",B6561)),"平","仄")))</x:f>
        <x:v>仄</x:v>
      </x:c>
      <x:c r="K6561" s="6" t="str">
        <x:f>IF(D6561="","",IF(AND(ISNUMBER(SEARCH("平",D6561)),OR(ISNUMBER(SEARCH("上",D6561)),ISNUMBER(SEARCH("去",D6561)),ISNUMBER(SEARCH("入",D6561)))),"Ambiguous",IF(ISNUMBER(SEARCH("平",D6561)),"平","仄")))</x:f>
        <x:v>仄</x:v>
      </x:c>
      <x:c r="L6561" s="7" t="str">
        <x:v>Pingshui main list expansion</x:v>
      </x:c>
    </x:row>
    <x:row r="6562">
      <x:c r="A6562" s="5" t="str">
        <x:v>僬</x:v>
      </x:c>
      <x:c r="B6562" s="6" t="str">
        <x:v>去</x:v>
      </x:c>
      <x:c r="C6562" s="6" t="str">
        <x:f>IF(B6562="","Needs decision","Ready")</x:f>
        <x:v>Ready</x:v>
      </x:c>
      <x:c r="D6562" s="6" t="str">
        <x:v>去</x:v>
      </x:c>
      <x:c r="E6562" s="6" t="str"/>
      <x:c r="F6562" s="6" t="str">
        <x:v>去聲十八嘯</x:v>
      </x:c>
      <x:c r="G6562" s="6" t="str">
        <x:v>Pingshui main list, Wikisource-derived DOCX</x:v>
      </x:c>
      <x:c r="H6562" s="6" t="str"/>
      <x:c r="I6562" s="6" t="str">
        <x:v>Pingshui main-list expansion; 詞 entries ignored</x:v>
      </x:c>
      <x:c r="J6562" s="6" t="str">
        <x:f>IF(B6562="","",IF(AND(ISNUMBER(SEARCH("平",B6562)),OR(ISNUMBER(SEARCH("上",B6562)),ISNUMBER(SEARCH("去",B6562)),ISNUMBER(SEARCH("入",B6562)))),"Ambiguous",IF(ISNUMBER(SEARCH("平",B6562)),"平","仄")))</x:f>
        <x:v>仄</x:v>
      </x:c>
      <x:c r="K6562" s="6" t="str">
        <x:f>IF(D6562="","",IF(AND(ISNUMBER(SEARCH("平",D6562)),OR(ISNUMBER(SEARCH("上",D6562)),ISNUMBER(SEARCH("去",D6562)),ISNUMBER(SEARCH("入",D6562)))),"Ambiguous",IF(ISNUMBER(SEARCH("平",D6562)),"平","仄")))</x:f>
        <x:v>仄</x:v>
      </x:c>
      <x:c r="L6562" s="7" t="str">
        <x:v>Pingshui main list expansion</x:v>
      </x:c>
    </x:row>
    <x:row r="6563">
      <x:c r="A6563" s="5" t="str">
        <x:v>僸</x:v>
      </x:c>
      <x:c r="B6563" s="6" t="str">
        <x:v>去</x:v>
      </x:c>
      <x:c r="C6563" s="6" t="str">
        <x:f>IF(B6563="","Needs decision","Ready")</x:f>
        <x:v>Ready</x:v>
      </x:c>
      <x:c r="D6563" s="6" t="str">
        <x:v>去</x:v>
      </x:c>
      <x:c r="E6563" s="6" t="str"/>
      <x:c r="F6563" s="6" t="str">
        <x:v>去聲二十七沁</x:v>
      </x:c>
      <x:c r="G6563" s="6" t="str">
        <x:v>Pingshui main list, Wikisource-derived DOCX</x:v>
      </x:c>
      <x:c r="H6563" s="6" t="str"/>
      <x:c r="I6563" s="6" t="str">
        <x:v>Pingshui main-list expansion; 詞 entries ignored</x:v>
      </x:c>
      <x:c r="J6563" s="6" t="str">
        <x:f>IF(B6563="","",IF(AND(ISNUMBER(SEARCH("平",B6563)),OR(ISNUMBER(SEARCH("上",B6563)),ISNUMBER(SEARCH("去",B6563)),ISNUMBER(SEARCH("入",B6563)))),"Ambiguous",IF(ISNUMBER(SEARCH("平",B6563)),"平","仄")))</x:f>
        <x:v>仄</x:v>
      </x:c>
      <x:c r="K6563" s="6" t="str">
        <x:f>IF(D6563="","",IF(AND(ISNUMBER(SEARCH("平",D6563)),OR(ISNUMBER(SEARCH("上",D6563)),ISNUMBER(SEARCH("去",D6563)),ISNUMBER(SEARCH("入",D6563)))),"Ambiguous",IF(ISNUMBER(SEARCH("平",D6563)),"平","仄")))</x:f>
        <x:v>仄</x:v>
      </x:c>
      <x:c r="L6563" s="7" t="str">
        <x:v>Pingshui main list expansion</x:v>
      </x:c>
    </x:row>
    <x:row r="6564">
      <x:c r="A6564" s="5" t="str">
        <x:v>僽</x:v>
      </x:c>
      <x:c r="B6564" s="6" t="str">
        <x:v>去</x:v>
      </x:c>
      <x:c r="C6564" s="6" t="str">
        <x:f>IF(B6564="","Needs decision","Ready")</x:f>
        <x:v>Ready</x:v>
      </x:c>
      <x:c r="D6564" s="6" t="str">
        <x:v>去</x:v>
      </x:c>
      <x:c r="E6564" s="6" t="str"/>
      <x:c r="F6564" s="6" t="str">
        <x:v>去聲二十六宥</x:v>
      </x:c>
      <x:c r="G6564" s="6" t="str">
        <x:v>Pingshui main list, Wikisource-derived DOCX</x:v>
      </x:c>
      <x:c r="H6564" s="6" t="str"/>
      <x:c r="I6564" s="6" t="str">
        <x:v>Pingshui main-list expansion; 詞 entries ignored</x:v>
      </x:c>
      <x:c r="J6564" s="6" t="str">
        <x:f>IF(B6564="","",IF(AND(ISNUMBER(SEARCH("平",B6564)),OR(ISNUMBER(SEARCH("上",B6564)),ISNUMBER(SEARCH("去",B6564)),ISNUMBER(SEARCH("入",B6564)))),"Ambiguous",IF(ISNUMBER(SEARCH("平",B6564)),"平","仄")))</x:f>
        <x:v>仄</x:v>
      </x:c>
      <x:c r="K6564" s="6" t="str">
        <x:f>IF(D6564="","",IF(AND(ISNUMBER(SEARCH("平",D6564)),OR(ISNUMBER(SEARCH("上",D6564)),ISNUMBER(SEARCH("去",D6564)),ISNUMBER(SEARCH("入",D6564)))),"Ambiguous",IF(ISNUMBER(SEARCH("平",D6564)),"平","仄")))</x:f>
        <x:v>仄</x:v>
      </x:c>
      <x:c r="L6564" s="7" t="str">
        <x:v>Pingshui main list expansion</x:v>
      </x:c>
    </x:row>
    <x:row r="6565">
      <x:c r="A6565" s="5" t="str">
        <x:v>僿</x:v>
      </x:c>
      <x:c r="B6565" s="6" t="str">
        <x:v>去</x:v>
      </x:c>
      <x:c r="C6565" s="6" t="str">
        <x:f>IF(B6565="","Needs decision","Ready")</x:f>
        <x:v>Ready</x:v>
      </x:c>
      <x:c r="D6565" s="6" t="str">
        <x:v>去</x:v>
      </x:c>
      <x:c r="E6565" s="6" t="str"/>
      <x:c r="F6565" s="6" t="str">
        <x:v>去聲四寘</x:v>
      </x:c>
      <x:c r="G6565" s="6" t="str">
        <x:v>Pingshui main list, Wikisource-derived DOCX</x:v>
      </x:c>
      <x:c r="H6565" s="6" t="str"/>
      <x:c r="I6565" s="6" t="str">
        <x:v>Pingshui main-list expansion; 詞 entries ignored</x:v>
      </x:c>
      <x:c r="J6565" s="6" t="str">
        <x:f>IF(B6565="","",IF(AND(ISNUMBER(SEARCH("平",B6565)),OR(ISNUMBER(SEARCH("上",B6565)),ISNUMBER(SEARCH("去",B6565)),ISNUMBER(SEARCH("入",B6565)))),"Ambiguous",IF(ISNUMBER(SEARCH("平",B6565)),"平","仄")))</x:f>
        <x:v>仄</x:v>
      </x:c>
      <x:c r="K6565" s="6" t="str">
        <x:f>IF(D6565="","",IF(AND(ISNUMBER(SEARCH("平",D6565)),OR(ISNUMBER(SEARCH("上",D6565)),ISNUMBER(SEARCH("去",D6565)),ISNUMBER(SEARCH("入",D6565)))),"Ambiguous",IF(ISNUMBER(SEARCH("平",D6565)),"平","仄")))</x:f>
        <x:v>仄</x:v>
      </x:c>
      <x:c r="L6565" s="7" t="str">
        <x:v>Pingshui main list expansion</x:v>
      </x:c>
    </x:row>
    <x:row r="6566">
      <x:c r="A6566" s="5" t="str">
        <x:v>儃</x:v>
      </x:c>
      <x:c r="B6566" s="6" t="str">
        <x:v>平</x:v>
      </x:c>
      <x:c r="C6566" s="6" t="str">
        <x:f>IF(B6566="","Needs decision","Ready")</x:f>
        <x:v>Ready</x:v>
      </x:c>
      <x:c r="D6566" s="6" t="str">
        <x:v>平</x:v>
      </x:c>
      <x:c r="E6566" s="6" t="str"/>
      <x:c r="F6566" s="6" t="str">
        <x:v>下平聲一先</x:v>
      </x:c>
      <x:c r="G6566" s="6" t="str">
        <x:v>Pingshui main list, Wikisource-derived DOCX</x:v>
      </x:c>
      <x:c r="H6566" s="6" t="str"/>
      <x:c r="I6566" s="6" t="str">
        <x:v>Pingshui main-list expansion; 詞 entries ignored</x:v>
      </x:c>
      <x:c r="J6566" s="6" t="str">
        <x:f>IF(B6566="","",IF(AND(ISNUMBER(SEARCH("平",B6566)),OR(ISNUMBER(SEARCH("上",B6566)),ISNUMBER(SEARCH("去",B6566)),ISNUMBER(SEARCH("入",B6566)))),"Ambiguous",IF(ISNUMBER(SEARCH("平",B6566)),"平","仄")))</x:f>
        <x:v>平</x:v>
      </x:c>
      <x:c r="K6566" s="6" t="str">
        <x:f>IF(D6566="","",IF(AND(ISNUMBER(SEARCH("平",D6566)),OR(ISNUMBER(SEARCH("上",D6566)),ISNUMBER(SEARCH("去",D6566)),ISNUMBER(SEARCH("入",D6566)))),"Ambiguous",IF(ISNUMBER(SEARCH("平",D6566)),"平","仄")))</x:f>
        <x:v>平</x:v>
      </x:c>
      <x:c r="L6566" s="7" t="str">
        <x:v>Pingshui main list expansion</x:v>
      </x:c>
    </x:row>
    <x:row r="6567">
      <x:c r="A6567" s="5" t="str">
        <x:v>儓</x:v>
      </x:c>
      <x:c r="B6567" s="6" t="str">
        <x:v>平</x:v>
      </x:c>
      <x:c r="C6567" s="6" t="str">
        <x:f>IF(B6567="","Needs decision","Ready")</x:f>
        <x:v>Ready</x:v>
      </x:c>
      <x:c r="D6567" s="6" t="str">
        <x:v>平</x:v>
      </x:c>
      <x:c r="E6567" s="6" t="str"/>
      <x:c r="F6567" s="6" t="str">
        <x:v>上平聲十灰</x:v>
      </x:c>
      <x:c r="G6567" s="6" t="str">
        <x:v>Pingshui main list, Wikisource-derived DOCX</x:v>
      </x:c>
      <x:c r="H6567" s="6" t="str"/>
      <x:c r="I6567" s="6" t="str">
        <x:v>Pingshui main-list expansion; 詞 entries ignored</x:v>
      </x:c>
      <x:c r="J6567" s="6" t="str">
        <x:f>IF(B6567="","",IF(AND(ISNUMBER(SEARCH("平",B6567)),OR(ISNUMBER(SEARCH("上",B6567)),ISNUMBER(SEARCH("去",B6567)),ISNUMBER(SEARCH("入",B6567)))),"Ambiguous",IF(ISNUMBER(SEARCH("平",B6567)),"平","仄")))</x:f>
        <x:v>平</x:v>
      </x:c>
      <x:c r="K6567" s="6" t="str">
        <x:f>IF(D6567="","",IF(AND(ISNUMBER(SEARCH("平",D6567)),OR(ISNUMBER(SEARCH("上",D6567)),ISNUMBER(SEARCH("去",D6567)),ISNUMBER(SEARCH("入",D6567)))),"Ambiguous",IF(ISNUMBER(SEARCH("平",D6567)),"平","仄")))</x:f>
        <x:v>平</x:v>
      </x:c>
      <x:c r="L6567" s="7" t="str">
        <x:v>Pingshui main list expansion</x:v>
      </x:c>
    </x:row>
    <x:row r="6568">
      <x:c r="A6568" s="5" t="str">
        <x:v>儗</x:v>
      </x:c>
      <x:c r="B6568" s="6" t="str"/>
      <x:c r="C6568" s="6" t="str">
        <x:f>IF(B6568="","Needs decision","Ready")</x:f>
        <x:v>Needs decision</x:v>
      </x:c>
      <x:c r="D6568" s="6" t="str">
        <x:v>上/去</x:v>
      </x:c>
      <x:c r="E6568" s="6" t="str"/>
      <x:c r="F6568" s="6" t="str">
        <x:v>上聲四紙; 去聲四寘; 去聲十一隊</x:v>
      </x:c>
      <x:c r="G6568" s="6" t="str">
        <x:v>Pingshui main list, Wikisource-derived DOCX</x:v>
      </x:c>
      <x:c r="H6568" s="6" t="str"/>
      <x:c r="I6568" s="6" t="str">
        <x:v>Pingshui main-list expansion; 詞 entries ignored</x:v>
      </x:c>
      <x:c r="J6568" s="6" t="str">
        <x:f>IF(B6568="","",IF(AND(ISNUMBER(SEARCH("平",B6568)),OR(ISNUMBER(SEARCH("上",B6568)),ISNUMBER(SEARCH("去",B6568)),ISNUMBER(SEARCH("入",B6568)))),"Ambiguous",IF(ISNUMBER(SEARCH("平",B6568)),"平","仄")))</x:f>
      </x:c>
      <x:c r="K6568" s="6" t="str">
        <x:f>IF(D6568="","",IF(AND(ISNUMBER(SEARCH("平",D6568)),OR(ISNUMBER(SEARCH("上",D6568)),ISNUMBER(SEARCH("去",D6568)),ISNUMBER(SEARCH("入",D6568)))),"Ambiguous",IF(ISNUMBER(SEARCH("平",D6568)),"平","仄")))</x:f>
        <x:v>仄</x:v>
      </x:c>
      <x:c r="L6568" s="7" t="str">
        <x:v>Pingshui main list expansion</x:v>
      </x:c>
    </x:row>
    <x:row r="6569">
      <x:c r="A6569" s="5" t="str">
        <x:v>儤</x:v>
      </x:c>
      <x:c r="B6569" s="6" t="str">
        <x:v>去</x:v>
      </x:c>
      <x:c r="C6569" s="6" t="str">
        <x:f>IF(B6569="","Needs decision","Ready")</x:f>
        <x:v>Ready</x:v>
      </x:c>
      <x:c r="D6569" s="6" t="str">
        <x:v>去</x:v>
      </x:c>
      <x:c r="E6569" s="6" t="str"/>
      <x:c r="F6569" s="6" t="str">
        <x:v>去聲十九效</x:v>
      </x:c>
      <x:c r="G6569" s="6" t="str">
        <x:v>Pingshui main list, Wikisource-derived DOCX</x:v>
      </x:c>
      <x:c r="H6569" s="6" t="str"/>
      <x:c r="I6569" s="6" t="str">
        <x:v>Pingshui main-list expansion; 詞 entries ignored</x:v>
      </x:c>
      <x:c r="J6569" s="6" t="str">
        <x:f>IF(B6569="","",IF(AND(ISNUMBER(SEARCH("平",B6569)),OR(ISNUMBER(SEARCH("上",B6569)),ISNUMBER(SEARCH("去",B6569)),ISNUMBER(SEARCH("入",B6569)))),"Ambiguous",IF(ISNUMBER(SEARCH("平",B6569)),"平","仄")))</x:f>
        <x:v>仄</x:v>
      </x:c>
      <x:c r="K6569" s="6" t="str">
        <x:f>IF(D6569="","",IF(AND(ISNUMBER(SEARCH("平",D6569)),OR(ISNUMBER(SEARCH("上",D6569)),ISNUMBER(SEARCH("去",D6569)),ISNUMBER(SEARCH("入",D6569)))),"Ambiguous",IF(ISNUMBER(SEARCH("平",D6569)),"平","仄")))</x:f>
        <x:v>仄</x:v>
      </x:c>
      <x:c r="L6569" s="7" t="str">
        <x:v>Pingshui main list expansion</x:v>
      </x:c>
    </x:row>
    <x:row r="6570">
      <x:c r="A6570" s="5" t="str">
        <x:v>儦</x:v>
      </x:c>
      <x:c r="B6570" s="6" t="str">
        <x:v>平</x:v>
      </x:c>
      <x:c r="C6570" s="6" t="str">
        <x:f>IF(B6570="","Needs decision","Ready")</x:f>
        <x:v>Ready</x:v>
      </x:c>
      <x:c r="D6570" s="6" t="str">
        <x:v>平</x:v>
      </x:c>
      <x:c r="E6570" s="6" t="str"/>
      <x:c r="F6570" s="6" t="str">
        <x:v>下平聲二蕭</x:v>
      </x:c>
      <x:c r="G6570" s="6" t="str">
        <x:v>Pingshui main list, Wikisource-derived DOCX</x:v>
      </x:c>
      <x:c r="H6570" s="6" t="str"/>
      <x:c r="I6570" s="6" t="str">
        <x:v>Pingshui main-list expansion; 詞 entries ignored</x:v>
      </x:c>
      <x:c r="J6570" s="6" t="str">
        <x:f>IF(B6570="","",IF(AND(ISNUMBER(SEARCH("平",B6570)),OR(ISNUMBER(SEARCH("上",B6570)),ISNUMBER(SEARCH("去",B6570)),ISNUMBER(SEARCH("入",B6570)))),"Ambiguous",IF(ISNUMBER(SEARCH("平",B6570)),"平","仄")))</x:f>
        <x:v>平</x:v>
      </x:c>
      <x:c r="K6570" s="6" t="str">
        <x:f>IF(D6570="","",IF(AND(ISNUMBER(SEARCH("平",D6570)),OR(ISNUMBER(SEARCH("上",D6570)),ISNUMBER(SEARCH("去",D6570)),ISNUMBER(SEARCH("入",D6570)))),"Ambiguous",IF(ISNUMBER(SEARCH("平",D6570)),"平","仄")))</x:f>
        <x:v>平</x:v>
      </x:c>
      <x:c r="L6570" s="7" t="str">
        <x:v>Pingshui main list expansion</x:v>
      </x:c>
    </x:row>
    <x:row r="6571">
      <x:c r="A6571" s="5" t="str">
        <x:v>儭</x:v>
      </x:c>
      <x:c r="B6571" s="6" t="str">
        <x:v>去</x:v>
      </x:c>
      <x:c r="C6571" s="6" t="str">
        <x:f>IF(B6571="","Needs decision","Ready")</x:f>
        <x:v>Ready</x:v>
      </x:c>
      <x:c r="D6571" s="6" t="str">
        <x:v>去</x:v>
      </x:c>
      <x:c r="E6571" s="6" t="str"/>
      <x:c r="F6571" s="6" t="str">
        <x:v>去聲十二震</x:v>
      </x:c>
      <x:c r="G6571" s="6" t="str">
        <x:v>Pingshui main list, Wikisource-derived DOCX</x:v>
      </x:c>
      <x:c r="H6571" s="6" t="str"/>
      <x:c r="I6571" s="6" t="str">
        <x:v>Pingshui main-list expansion; 詞 entries ignored</x:v>
      </x:c>
      <x:c r="J6571" s="6" t="str">
        <x:f>IF(B6571="","",IF(AND(ISNUMBER(SEARCH("平",B6571)),OR(ISNUMBER(SEARCH("上",B6571)),ISNUMBER(SEARCH("去",B6571)),ISNUMBER(SEARCH("入",B6571)))),"Ambiguous",IF(ISNUMBER(SEARCH("平",B6571)),"平","仄")))</x:f>
        <x:v>仄</x:v>
      </x:c>
      <x:c r="K6571" s="6" t="str">
        <x:f>IF(D6571="","",IF(AND(ISNUMBER(SEARCH("平",D6571)),OR(ISNUMBER(SEARCH("上",D6571)),ISNUMBER(SEARCH("去",D6571)),ISNUMBER(SEARCH("入",D6571)))),"Ambiguous",IF(ISNUMBER(SEARCH("平",D6571)),"平","仄")))</x:f>
        <x:v>仄</x:v>
      </x:c>
      <x:c r="L6571" s="7" t="str">
        <x:v>Pingshui main list expansion</x:v>
      </x:c>
    </x:row>
    <x:row r="6572">
      <x:c r="A6572" s="5" t="str">
        <x:v>冔</x:v>
      </x:c>
      <x:c r="B6572" s="6" t="str">
        <x:v>上</x:v>
      </x:c>
      <x:c r="C6572" s="6" t="str">
        <x:f>IF(B6572="","Needs decision","Ready")</x:f>
        <x:v>Ready</x:v>
      </x:c>
      <x:c r="D6572" s="6" t="str">
        <x:v>上</x:v>
      </x:c>
      <x:c r="E6572" s="6" t="str"/>
      <x:c r="F6572" s="6" t="str">
        <x:v>上聲七麌</x:v>
      </x:c>
      <x:c r="G6572" s="6" t="str">
        <x:v>Pingshui main list, Wikisource-derived DOCX</x:v>
      </x:c>
      <x:c r="H6572" s="6" t="str"/>
      <x:c r="I6572" s="6" t="str">
        <x:v>Pingshui main-list expansion; 詞 entries ignored</x:v>
      </x:c>
      <x:c r="J6572" s="6" t="str">
        <x:f>IF(B6572="","",IF(AND(ISNUMBER(SEARCH("平",B6572)),OR(ISNUMBER(SEARCH("上",B6572)),ISNUMBER(SEARCH("去",B6572)),ISNUMBER(SEARCH("入",B6572)))),"Ambiguous",IF(ISNUMBER(SEARCH("平",B6572)),"平","仄")))</x:f>
        <x:v>仄</x:v>
      </x:c>
      <x:c r="K6572" s="6" t="str">
        <x:f>IF(D6572="","",IF(AND(ISNUMBER(SEARCH("平",D6572)),OR(ISNUMBER(SEARCH("上",D6572)),ISNUMBER(SEARCH("去",D6572)),ISNUMBER(SEARCH("入",D6572)))),"Ambiguous",IF(ISNUMBER(SEARCH("平",D6572)),"平","仄")))</x:f>
        <x:v>仄</x:v>
      </x:c>
      <x:c r="L6572" s="7" t="str">
        <x:v>Pingshui main list expansion</x:v>
      </x:c>
    </x:row>
    <x:row r="6573">
      <x:c r="A6573" s="5" t="str">
        <x:v>冼</x:v>
      </x:c>
      <x:c r="B6573" s="6" t="str">
        <x:v>上</x:v>
      </x:c>
      <x:c r="C6573" s="6" t="str">
        <x:f>IF(B6573="","Needs decision","Ready")</x:f>
        <x:v>Ready</x:v>
      </x:c>
      <x:c r="D6573" s="6" t="str">
        <x:v>上</x:v>
      </x:c>
      <x:c r="E6573" s="6" t="str"/>
      <x:c r="F6573" s="6" t="str">
        <x:v>上聲二十四迥</x:v>
      </x:c>
      <x:c r="G6573" s="6" t="str">
        <x:v>Pingshui main list, Wikisource-derived DOCX</x:v>
      </x:c>
      <x:c r="H6573" s="6" t="str"/>
      <x:c r="I6573" s="6" t="str">
        <x:v>Pingshui main-list expansion; 詞 entries ignored</x:v>
      </x:c>
      <x:c r="J6573" s="6" t="str">
        <x:f>IF(B6573="","",IF(AND(ISNUMBER(SEARCH("平",B6573)),OR(ISNUMBER(SEARCH("上",B6573)),ISNUMBER(SEARCH("去",B6573)),ISNUMBER(SEARCH("入",B6573)))),"Ambiguous",IF(ISNUMBER(SEARCH("平",B6573)),"平","仄")))</x:f>
        <x:v>仄</x:v>
      </x:c>
      <x:c r="K6573" s="6" t="str">
        <x:f>IF(D6573="","",IF(AND(ISNUMBER(SEARCH("平",D6573)),OR(ISNUMBER(SEARCH("上",D6573)),ISNUMBER(SEARCH("去",D6573)),ISNUMBER(SEARCH("入",D6573)))),"Ambiguous",IF(ISNUMBER(SEARCH("平",D6573)),"平","仄")))</x:f>
        <x:v>仄</x:v>
      </x:c>
      <x:c r="L6573" s="7" t="str">
        <x:v>Pingshui main list expansion</x:v>
      </x:c>
    </x:row>
    <x:row r="6574">
      <x:c r="A6574" s="5" t="str">
        <x:v>凘</x:v>
      </x:c>
      <x:c r="B6574" s="6" t="str">
        <x:v>平</x:v>
      </x:c>
      <x:c r="C6574" s="6" t="str">
        <x:f>IF(B6574="","Needs decision","Ready")</x:f>
        <x:v>Ready</x:v>
      </x:c>
      <x:c r="D6574" s="6" t="str">
        <x:v>平</x:v>
      </x:c>
      <x:c r="E6574" s="6" t="str"/>
      <x:c r="F6574" s="6" t="str">
        <x:v>上平聲四支</x:v>
      </x:c>
      <x:c r="G6574" s="6" t="str">
        <x:v>Pingshui main list, Wikisource-derived DOCX</x:v>
      </x:c>
      <x:c r="H6574" s="6" t="str"/>
      <x:c r="I6574" s="6" t="str">
        <x:v>Pingshui main-list expansion; 詞 entries ignored</x:v>
      </x:c>
      <x:c r="J6574" s="6" t="str">
        <x:f>IF(B6574="","",IF(AND(ISNUMBER(SEARCH("平",B6574)),OR(ISNUMBER(SEARCH("上",B6574)),ISNUMBER(SEARCH("去",B6574)),ISNUMBER(SEARCH("入",B6574)))),"Ambiguous",IF(ISNUMBER(SEARCH("平",B6574)),"平","仄")))</x:f>
        <x:v>平</x:v>
      </x:c>
      <x:c r="K6574" s="6" t="str">
        <x:f>IF(D6574="","",IF(AND(ISNUMBER(SEARCH("平",D6574)),OR(ISNUMBER(SEARCH("上",D6574)),ISNUMBER(SEARCH("去",D6574)),ISNUMBER(SEARCH("入",D6574)))),"Ambiguous",IF(ISNUMBER(SEARCH("平",D6574)),"平","仄")))</x:f>
        <x:v>平</x:v>
      </x:c>
      <x:c r="L6574" s="7" t="str">
        <x:v>Pingshui main list expansion</x:v>
      </x:c>
    </x:row>
    <x:row r="6575">
      <x:c r="A6575" s="5" t="str">
        <x:v>凳</x:v>
      </x:c>
      <x:c r="B6575" s="6" t="str">
        <x:v>去</x:v>
      </x:c>
      <x:c r="C6575" s="6" t="str">
        <x:f>IF(B6575="","Needs decision","Ready")</x:f>
        <x:v>Ready</x:v>
      </x:c>
      <x:c r="D6575" s="6" t="str">
        <x:v>去</x:v>
      </x:c>
      <x:c r="E6575" s="6" t="str"/>
      <x:c r="F6575" s="6" t="str">
        <x:v>去聲二十五徑</x:v>
      </x:c>
      <x:c r="G6575" s="6" t="str">
        <x:v>Pingshui main list, Wikisource-derived DOCX</x:v>
      </x:c>
      <x:c r="H6575" s="6" t="str"/>
      <x:c r="I6575" s="6" t="str">
        <x:v>Pingshui main-list expansion; 詞 entries ignored</x:v>
      </x:c>
      <x:c r="J6575" s="6" t="str">
        <x:f>IF(B6575="","",IF(AND(ISNUMBER(SEARCH("平",B6575)),OR(ISNUMBER(SEARCH("上",B6575)),ISNUMBER(SEARCH("去",B6575)),ISNUMBER(SEARCH("入",B6575)))),"Ambiguous",IF(ISNUMBER(SEARCH("平",B6575)),"平","仄")))</x:f>
        <x:v>仄</x:v>
      </x:c>
      <x:c r="K6575" s="6" t="str">
        <x:f>IF(D6575="","",IF(AND(ISNUMBER(SEARCH("平",D6575)),OR(ISNUMBER(SEARCH("上",D6575)),ISNUMBER(SEARCH("去",D6575)),ISNUMBER(SEARCH("入",D6575)))),"Ambiguous",IF(ISNUMBER(SEARCH("平",D6575)),"平","仄")))</x:f>
        <x:v>仄</x:v>
      </x:c>
      <x:c r="L6575" s="7" t="str">
        <x:v>Pingshui main list expansion</x:v>
      </x:c>
    </x:row>
    <x:row r="6576">
      <x:c r="A6576" s="5" t="str">
        <x:v>凸</x:v>
      </x:c>
      <x:c r="B6576" s="6" t="str">
        <x:v>入</x:v>
      </x:c>
      <x:c r="C6576" s="6" t="str">
        <x:f>IF(B6576="","Needs decision","Ready")</x:f>
        <x:v>Ready</x:v>
      </x:c>
      <x:c r="D6576" s="6" t="str">
        <x:v>入</x:v>
      </x:c>
      <x:c r="E6576" s="6" t="str"/>
      <x:c r="F6576" s="6" t="str">
        <x:v>入聲六月; 入聲九屑</x:v>
      </x:c>
      <x:c r="G6576" s="6" t="str">
        <x:v>Pingshui main list, Wikisource-derived DOCX</x:v>
      </x:c>
      <x:c r="H6576" s="6" t="str"/>
      <x:c r="I6576" s="6" t="str">
        <x:v>Pingshui main-list expansion; 詞 entries ignored</x:v>
      </x:c>
      <x:c r="J6576" s="6" t="str">
        <x:f>IF(B6576="","",IF(AND(ISNUMBER(SEARCH("平",B6576)),OR(ISNUMBER(SEARCH("上",B6576)),ISNUMBER(SEARCH("去",B6576)),ISNUMBER(SEARCH("入",B6576)))),"Ambiguous",IF(ISNUMBER(SEARCH("平",B6576)),"平","仄")))</x:f>
        <x:v>仄</x:v>
      </x:c>
      <x:c r="K6576" s="6" t="str">
        <x:f>IF(D6576="","",IF(AND(ISNUMBER(SEARCH("平",D6576)),OR(ISNUMBER(SEARCH("上",D6576)),ISNUMBER(SEARCH("去",D6576)),ISNUMBER(SEARCH("入",D6576)))),"Ambiguous",IF(ISNUMBER(SEARCH("平",D6576)),"平","仄")))</x:f>
        <x:v>仄</x:v>
      </x:c>
      <x:c r="L6576" s="7" t="str">
        <x:v>Pingshui main list expansion</x:v>
      </x:c>
    </x:row>
    <x:row r="6577">
      <x:c r="A6577" s="5" t="str">
        <x:v>刏</x:v>
      </x:c>
      <x:c r="B6577" s="6" t="str">
        <x:v>平</x:v>
      </x:c>
      <x:c r="C6577" s="6" t="str">
        <x:f>IF(B6577="","Needs decision","Ready")</x:f>
        <x:v>Ready</x:v>
      </x:c>
      <x:c r="D6577" s="6" t="str">
        <x:v>平</x:v>
      </x:c>
      <x:c r="E6577" s="6" t="str"/>
      <x:c r="F6577" s="6" t="str">
        <x:v>上平聲五微</x:v>
      </x:c>
      <x:c r="G6577" s="6" t="str">
        <x:v>Pingshui main list, Wikisource-derived DOCX</x:v>
      </x:c>
      <x:c r="H6577" s="6" t="str"/>
      <x:c r="I6577" s="6" t="str">
        <x:v>Pingshui main-list expansion; 詞 entries ignored</x:v>
      </x:c>
      <x:c r="J6577" s="6" t="str">
        <x:f>IF(B6577="","",IF(AND(ISNUMBER(SEARCH("平",B6577)),OR(ISNUMBER(SEARCH("上",B6577)),ISNUMBER(SEARCH("去",B6577)),ISNUMBER(SEARCH("入",B6577)))),"Ambiguous",IF(ISNUMBER(SEARCH("平",B6577)),"平","仄")))</x:f>
        <x:v>平</x:v>
      </x:c>
      <x:c r="K6577" s="6" t="str">
        <x:f>IF(D6577="","",IF(AND(ISNUMBER(SEARCH("平",D6577)),OR(ISNUMBER(SEARCH("上",D6577)),ISNUMBER(SEARCH("去",D6577)),ISNUMBER(SEARCH("入",D6577)))),"Ambiguous",IF(ISNUMBER(SEARCH("平",D6577)),"平","仄")))</x:f>
        <x:v>平</x:v>
      </x:c>
      <x:c r="L6577" s="7" t="str">
        <x:v>Pingshui main list expansion</x:v>
      </x:c>
    </x:row>
    <x:row r="6578">
      <x:c r="A6578" s="5" t="str">
        <x:v>刓</x:v>
      </x:c>
      <x:c r="B6578" s="6" t="str">
        <x:v>平</x:v>
      </x:c>
      <x:c r="C6578" s="6" t="str">
        <x:f>IF(B6578="","Needs decision","Ready")</x:f>
        <x:v>Ready</x:v>
      </x:c>
      <x:c r="D6578" s="6" t="str">
        <x:v>平</x:v>
      </x:c>
      <x:c r="E6578" s="6" t="str"/>
      <x:c r="F6578" s="6" t="str">
        <x:v>上平聲十四寒</x:v>
      </x:c>
      <x:c r="G6578" s="6" t="str">
        <x:v>Pingshui main list, Wikisource-derived DOCX</x:v>
      </x:c>
      <x:c r="H6578" s="6" t="str"/>
      <x:c r="I6578" s="6" t="str">
        <x:v>Pingshui main-list expansion; 詞 entries ignored</x:v>
      </x:c>
      <x:c r="J6578" s="6" t="str">
        <x:f>IF(B6578="","",IF(AND(ISNUMBER(SEARCH("平",B6578)),OR(ISNUMBER(SEARCH("上",B6578)),ISNUMBER(SEARCH("去",B6578)),ISNUMBER(SEARCH("入",B6578)))),"Ambiguous",IF(ISNUMBER(SEARCH("平",B6578)),"平","仄")))</x:f>
        <x:v>平</x:v>
      </x:c>
      <x:c r="K6578" s="6" t="str">
        <x:f>IF(D6578="","",IF(AND(ISNUMBER(SEARCH("平",D6578)),OR(ISNUMBER(SEARCH("上",D6578)),ISNUMBER(SEARCH("去",D6578)),ISNUMBER(SEARCH("入",D6578)))),"Ambiguous",IF(ISNUMBER(SEARCH("平",D6578)),"平","仄")))</x:f>
        <x:v>平</x:v>
      </x:c>
      <x:c r="L6578" s="7" t="str">
        <x:v>Pingshui main list expansion</x:v>
      </x:c>
    </x:row>
    <x:row r="6579">
      <x:c r="A6579" s="5" t="str">
        <x:v>刱</x:v>
      </x:c>
      <x:c r="B6579" s="6" t="str">
        <x:v>去</x:v>
      </x:c>
      <x:c r="C6579" s="6" t="str">
        <x:f>IF(B6579="","Needs decision","Ready")</x:f>
        <x:v>Ready</x:v>
      </x:c>
      <x:c r="D6579" s="6" t="str">
        <x:v>去</x:v>
      </x:c>
      <x:c r="E6579" s="6" t="str"/>
      <x:c r="F6579" s="6" t="str">
        <x:v>去聲二十三漾</x:v>
      </x:c>
      <x:c r="G6579" s="6" t="str">
        <x:v>Pingshui main list, Wikisource-derived DOCX</x:v>
      </x:c>
      <x:c r="H6579" s="6" t="str"/>
      <x:c r="I6579" s="6" t="str">
        <x:v>Pingshui main-list expansion; 詞 entries ignored</x:v>
      </x:c>
      <x:c r="J6579" s="6" t="str">
        <x:f>IF(B6579="","",IF(AND(ISNUMBER(SEARCH("平",B6579)),OR(ISNUMBER(SEARCH("上",B6579)),ISNUMBER(SEARCH("去",B6579)),ISNUMBER(SEARCH("入",B6579)))),"Ambiguous",IF(ISNUMBER(SEARCH("平",B6579)),"平","仄")))</x:f>
        <x:v>仄</x:v>
      </x:c>
      <x:c r="K6579" s="6" t="str">
        <x:f>IF(D6579="","",IF(AND(ISNUMBER(SEARCH("平",D6579)),OR(ISNUMBER(SEARCH("上",D6579)),ISNUMBER(SEARCH("去",D6579)),ISNUMBER(SEARCH("入",D6579)))),"Ambiguous",IF(ISNUMBER(SEARCH("平",D6579)),"平","仄")))</x:f>
        <x:v>仄</x:v>
      </x:c>
      <x:c r="L6579" s="7" t="str">
        <x:v>Pingshui main list expansion</x:v>
      </x:c>
    </x:row>
    <x:row r="6580">
      <x:c r="A6580" s="5" t="str">
        <x:v>刲</x:v>
      </x:c>
      <x:c r="B6580" s="6" t="str">
        <x:v>平</x:v>
      </x:c>
      <x:c r="C6580" s="6" t="str">
        <x:f>IF(B6580="","Needs decision","Ready")</x:f>
        <x:v>Ready</x:v>
      </x:c>
      <x:c r="D6580" s="6" t="str">
        <x:v>平</x:v>
      </x:c>
      <x:c r="E6580" s="6" t="str"/>
      <x:c r="F6580" s="6" t="str">
        <x:v>上平聲八齊</x:v>
      </x:c>
      <x:c r="G6580" s="6" t="str">
        <x:v>Pingshui main list, Wikisource-derived DOCX</x:v>
      </x:c>
      <x:c r="H6580" s="6" t="str"/>
      <x:c r="I6580" s="6" t="str">
        <x:v>Pingshui main-list expansion; 詞 entries ignored</x:v>
      </x:c>
      <x:c r="J6580" s="6" t="str">
        <x:f>IF(B6580="","",IF(AND(ISNUMBER(SEARCH("平",B6580)),OR(ISNUMBER(SEARCH("上",B6580)),ISNUMBER(SEARCH("去",B6580)),ISNUMBER(SEARCH("入",B6580)))),"Ambiguous",IF(ISNUMBER(SEARCH("平",B6580)),"平","仄")))</x:f>
        <x:v>平</x:v>
      </x:c>
      <x:c r="K6580" s="6" t="str">
        <x:f>IF(D6580="","",IF(AND(ISNUMBER(SEARCH("平",D6580)),OR(ISNUMBER(SEARCH("上",D6580)),ISNUMBER(SEARCH("去",D6580)),ISNUMBER(SEARCH("入",D6580)))),"Ambiguous",IF(ISNUMBER(SEARCH("平",D6580)),"平","仄")))</x:f>
        <x:v>平</x:v>
      </x:c>
      <x:c r="L6580" s="7" t="str">
        <x:v>Pingshui main list expansion</x:v>
      </x:c>
    </x:row>
    <x:row r="6581">
      <x:c r="A6581" s="5" t="str">
        <x:v>刵</x:v>
      </x:c>
      <x:c r="B6581" s="6" t="str">
        <x:v>去</x:v>
      </x:c>
      <x:c r="C6581" s="6" t="str">
        <x:f>IF(B6581="","Needs decision","Ready")</x:f>
        <x:v>Ready</x:v>
      </x:c>
      <x:c r="D6581" s="6" t="str">
        <x:v>去</x:v>
      </x:c>
      <x:c r="E6581" s="6" t="str"/>
      <x:c r="F6581" s="6" t="str">
        <x:v>去聲四寘</x:v>
      </x:c>
      <x:c r="G6581" s="6" t="str">
        <x:v>Pingshui main list, Wikisource-derived DOCX</x:v>
      </x:c>
      <x:c r="H6581" s="6" t="str"/>
      <x:c r="I6581" s="6" t="str">
        <x:v>Pingshui main-list expansion; 詞 entries ignored</x:v>
      </x:c>
      <x:c r="J6581" s="6" t="str">
        <x:f>IF(B6581="","",IF(AND(ISNUMBER(SEARCH("平",B6581)),OR(ISNUMBER(SEARCH("上",B6581)),ISNUMBER(SEARCH("去",B6581)),ISNUMBER(SEARCH("入",B6581)))),"Ambiguous",IF(ISNUMBER(SEARCH("平",B6581)),"平","仄")))</x:f>
        <x:v>仄</x:v>
      </x:c>
      <x:c r="K6581" s="6" t="str">
        <x:f>IF(D6581="","",IF(AND(ISNUMBER(SEARCH("平",D6581)),OR(ISNUMBER(SEARCH("上",D6581)),ISNUMBER(SEARCH("去",D6581)),ISNUMBER(SEARCH("入",D6581)))),"Ambiguous",IF(ISNUMBER(SEARCH("平",D6581)),"平","仄")))</x:f>
        <x:v>仄</x:v>
      </x:c>
      <x:c r="L6581" s="7" t="str">
        <x:v>Pingshui main list expansion</x:v>
      </x:c>
    </x:row>
    <x:row r="6582">
      <x:c r="A6582" s="5" t="str">
        <x:v>券</x:v>
      </x:c>
      <x:c r="B6582" s="6" t="str">
        <x:v>去</x:v>
      </x:c>
      <x:c r="C6582" s="6" t="str">
        <x:f>IF(B6582="","Needs decision","Ready")</x:f>
        <x:v>Ready</x:v>
      </x:c>
      <x:c r="D6582" s="6" t="str">
        <x:v>去</x:v>
      </x:c>
      <x:c r="E6582" s="6" t="str"/>
      <x:c r="F6582" s="6" t="str">
        <x:v>去聲十四願</x:v>
      </x:c>
      <x:c r="G6582" s="6" t="str">
        <x:v>Pingshui main list, Wikisource-derived DOCX</x:v>
      </x:c>
      <x:c r="H6582" s="6" t="str"/>
      <x:c r="I6582" s="6" t="str">
        <x:v>Pingshui main-list expansion; 詞 entries ignored</x:v>
      </x:c>
      <x:c r="J6582" s="6" t="str">
        <x:f>IF(B6582="","",IF(AND(ISNUMBER(SEARCH("平",B6582)),OR(ISNUMBER(SEARCH("上",B6582)),ISNUMBER(SEARCH("去",B6582)),ISNUMBER(SEARCH("入",B6582)))),"Ambiguous",IF(ISNUMBER(SEARCH("平",B6582)),"平","仄")))</x:f>
        <x:v>仄</x:v>
      </x:c>
      <x:c r="K6582" s="6" t="str">
        <x:f>IF(D6582="","",IF(AND(ISNUMBER(SEARCH("平",D6582)),OR(ISNUMBER(SEARCH("上",D6582)),ISNUMBER(SEARCH("去",D6582)),ISNUMBER(SEARCH("入",D6582)))),"Ambiguous",IF(ISNUMBER(SEARCH("平",D6582)),"平","仄")))</x:f>
        <x:v>仄</x:v>
      </x:c>
      <x:c r="L6582" s="7" t="str">
        <x:v>Pingshui main list expansion</x:v>
      </x:c>
    </x:row>
    <x:row r="6583">
      <x:c r="A6583" s="5" t="str">
        <x:v>剞</x:v>
      </x:c>
      <x:c r="B6583" s="6" t="str"/>
      <x:c r="C6583" s="6" t="str">
        <x:f>IF(B6583="","Needs decision","Ready")</x:f>
        <x:v>Needs decision</x:v>
      </x:c>
      <x:c r="D6583" s="6" t="str">
        <x:v>平/上</x:v>
      </x:c>
      <x:c r="E6583" s="6" t="str"/>
      <x:c r="F6583" s="6" t="str">
        <x:v>上平聲四支; 上聲四紙</x:v>
      </x:c>
      <x:c r="G6583" s="6" t="str">
        <x:v>Pingshui main list, Wikisource-derived DOCX</x:v>
      </x:c>
      <x:c r="H6583" s="6" t="str"/>
      <x:c r="I6583" s="6" t="str">
        <x:v>Pingshui main-list expansion; 詞 entries ignored</x:v>
      </x:c>
      <x:c r="J6583" s="6" t="str">
        <x:f>IF(B6583="","",IF(AND(ISNUMBER(SEARCH("平",B6583)),OR(ISNUMBER(SEARCH("上",B6583)),ISNUMBER(SEARCH("去",B6583)),ISNUMBER(SEARCH("入",B6583)))),"Ambiguous",IF(ISNUMBER(SEARCH("平",B6583)),"平","仄")))</x:f>
      </x:c>
      <x:c r="K6583" s="6" t="str">
        <x:f>IF(D6583="","",IF(AND(ISNUMBER(SEARCH("平",D6583)),OR(ISNUMBER(SEARCH("上",D6583)),ISNUMBER(SEARCH("去",D6583)),ISNUMBER(SEARCH("入",D6583)))),"Ambiguous",IF(ISNUMBER(SEARCH("平",D6583)),"平","仄")))</x:f>
        <x:v>Ambiguous</x:v>
      </x:c>
      <x:c r="L6583" s="7" t="str">
        <x:v>Pingshui main list expansion</x:v>
      </x:c>
    </x:row>
    <x:row r="6584">
      <x:c r="A6584" s="5" t="str">
        <x:v>剟</x:v>
      </x:c>
      <x:c r="B6584" s="6" t="str">
        <x:v>入</x:v>
      </x:c>
      <x:c r="C6584" s="6" t="str">
        <x:f>IF(B6584="","Needs decision","Ready")</x:f>
        <x:v>Ready</x:v>
      </x:c>
      <x:c r="D6584" s="6" t="str">
        <x:v>入</x:v>
      </x:c>
      <x:c r="E6584" s="6" t="str"/>
      <x:c r="F6584" s="6" t="str">
        <x:v>入聲七曷; 入聲九屑</x:v>
      </x:c>
      <x:c r="G6584" s="6" t="str">
        <x:v>Pingshui main list, Wikisource-derived DOCX</x:v>
      </x:c>
      <x:c r="H6584" s="6" t="str"/>
      <x:c r="I6584" s="6" t="str">
        <x:v>Pingshui main-list expansion; 詞 entries ignored</x:v>
      </x:c>
      <x:c r="J6584" s="6" t="str">
        <x:f>IF(B6584="","",IF(AND(ISNUMBER(SEARCH("平",B6584)),OR(ISNUMBER(SEARCH("上",B6584)),ISNUMBER(SEARCH("去",B6584)),ISNUMBER(SEARCH("入",B6584)))),"Ambiguous",IF(ISNUMBER(SEARCH("平",B6584)),"平","仄")))</x:f>
        <x:v>仄</x:v>
      </x:c>
      <x:c r="K6584" s="6" t="str">
        <x:f>IF(D6584="","",IF(AND(ISNUMBER(SEARCH("平",D6584)),OR(ISNUMBER(SEARCH("上",D6584)),ISNUMBER(SEARCH("去",D6584)),ISNUMBER(SEARCH("入",D6584)))),"Ambiguous",IF(ISNUMBER(SEARCH("平",D6584)),"平","仄")))</x:f>
        <x:v>仄</x:v>
      </x:c>
      <x:c r="L6584" s="7" t="str">
        <x:v>Pingshui main list expansion</x:v>
      </x:c>
    </x:row>
    <x:row r="6585">
      <x:c r="A6585" s="5" t="str">
        <x:v>剫</x:v>
      </x:c>
      <x:c r="B6585" s="6" t="str">
        <x:v>入</x:v>
      </x:c>
      <x:c r="C6585" s="6" t="str">
        <x:f>IF(B6585="","Needs decision","Ready")</x:f>
        <x:v>Ready</x:v>
      </x:c>
      <x:c r="D6585" s="6" t="str">
        <x:v>入</x:v>
      </x:c>
      <x:c r="E6585" s="6" t="str"/>
      <x:c r="F6585" s="6" t="str">
        <x:v>入聲十藥</x:v>
      </x:c>
      <x:c r="G6585" s="6" t="str">
        <x:v>Pingshui main list, Wikisource-derived DOCX</x:v>
      </x:c>
      <x:c r="H6585" s="6" t="str"/>
      <x:c r="I6585" s="6" t="str">
        <x:v>Pingshui main-list expansion; 詞 entries ignored</x:v>
      </x:c>
      <x:c r="J6585" s="6" t="str">
        <x:f>IF(B6585="","",IF(AND(ISNUMBER(SEARCH("平",B6585)),OR(ISNUMBER(SEARCH("上",B6585)),ISNUMBER(SEARCH("去",B6585)),ISNUMBER(SEARCH("入",B6585)))),"Ambiguous",IF(ISNUMBER(SEARCH("平",B6585)),"平","仄")))</x:f>
        <x:v>仄</x:v>
      </x:c>
      <x:c r="K6585" s="6" t="str">
        <x:f>IF(D6585="","",IF(AND(ISNUMBER(SEARCH("平",D6585)),OR(ISNUMBER(SEARCH("上",D6585)),ISNUMBER(SEARCH("去",D6585)),ISNUMBER(SEARCH("入",D6585)))),"Ambiguous",IF(ISNUMBER(SEARCH("平",D6585)),"平","仄")))</x:f>
        <x:v>仄</x:v>
      </x:c>
      <x:c r="L6585" s="7" t="str">
        <x:v>Pingshui main list expansion</x:v>
      </x:c>
    </x:row>
    <x:row r="6586">
      <x:c r="A6586" s="5" t="str">
        <x:v>剬</x:v>
      </x:c>
      <x:c r="B6586" s="6" t="str">
        <x:v>平</x:v>
      </x:c>
      <x:c r="C6586" s="6" t="str">
        <x:f>IF(B6586="","Needs decision","Ready")</x:f>
        <x:v>Ready</x:v>
      </x:c>
      <x:c r="D6586" s="6" t="str">
        <x:v>平</x:v>
      </x:c>
      <x:c r="E6586" s="6" t="str"/>
      <x:c r="F6586" s="6" t="str">
        <x:v>上平聲十四寒</x:v>
      </x:c>
      <x:c r="G6586" s="6" t="str">
        <x:v>Pingshui main list, Wikisource-derived DOCX</x:v>
      </x:c>
      <x:c r="H6586" s="6" t="str"/>
      <x:c r="I6586" s="6" t="str">
        <x:v>Pingshui main-list expansion; 詞 entries ignored</x:v>
      </x:c>
      <x:c r="J6586" s="6" t="str">
        <x:f>IF(B6586="","",IF(AND(ISNUMBER(SEARCH("平",B6586)),OR(ISNUMBER(SEARCH("上",B6586)),ISNUMBER(SEARCH("去",B6586)),ISNUMBER(SEARCH("入",B6586)))),"Ambiguous",IF(ISNUMBER(SEARCH("平",B6586)),"平","仄")))</x:f>
        <x:v>平</x:v>
      </x:c>
      <x:c r="K6586" s="6" t="str">
        <x:f>IF(D6586="","",IF(AND(ISNUMBER(SEARCH("平",D6586)),OR(ISNUMBER(SEARCH("上",D6586)),ISNUMBER(SEARCH("去",D6586)),ISNUMBER(SEARCH("入",D6586)))),"Ambiguous",IF(ISNUMBER(SEARCH("平",D6586)),"平","仄")))</x:f>
        <x:v>平</x:v>
      </x:c>
      <x:c r="L6586" s="7" t="str">
        <x:v>Pingshui main list expansion</x:v>
      </x:c>
    </x:row>
    <x:row r="6587">
      <x:c r="A6587" s="5" t="str">
        <x:v>剭</x:v>
      </x:c>
      <x:c r="B6587" s="6" t="str">
        <x:v>入</x:v>
      </x:c>
      <x:c r="C6587" s="6" t="str">
        <x:f>IF(B6587="","Needs decision","Ready")</x:f>
        <x:v>Ready</x:v>
      </x:c>
      <x:c r="D6587" s="6" t="str">
        <x:v>入</x:v>
      </x:c>
      <x:c r="E6587" s="6" t="str"/>
      <x:c r="F6587" s="6" t="str">
        <x:v>入聲一屋</x:v>
      </x:c>
      <x:c r="G6587" s="6" t="str">
        <x:v>Pingshui main list, Wikisource-derived DOCX</x:v>
      </x:c>
      <x:c r="H6587" s="6" t="str"/>
      <x:c r="I6587" s="6" t="str">
        <x:v>Pingshui main-list expansion; 詞 entries ignored</x:v>
      </x:c>
      <x:c r="J6587" s="6" t="str">
        <x:f>IF(B6587="","",IF(AND(ISNUMBER(SEARCH("平",B6587)),OR(ISNUMBER(SEARCH("上",B6587)),ISNUMBER(SEARCH("去",B6587)),ISNUMBER(SEARCH("入",B6587)))),"Ambiguous",IF(ISNUMBER(SEARCH("平",B6587)),"平","仄")))</x:f>
        <x:v>仄</x:v>
      </x:c>
      <x:c r="K6587" s="6" t="str">
        <x:f>IF(D6587="","",IF(AND(ISNUMBER(SEARCH("平",D6587)),OR(ISNUMBER(SEARCH("上",D6587)),ISNUMBER(SEARCH("去",D6587)),ISNUMBER(SEARCH("入",D6587)))),"Ambiguous",IF(ISNUMBER(SEARCH("平",D6587)),"平","仄")))</x:f>
        <x:v>仄</x:v>
      </x:c>
      <x:c r="L6587" s="7" t="str">
        <x:v>Pingshui main list expansion</x:v>
      </x:c>
    </x:row>
    <x:row r="6588">
      <x:c r="A6588" s="5" t="str">
        <x:v>剸</x:v>
      </x:c>
      <x:c r="B6588" s="6" t="str"/>
      <x:c r="C6588" s="6" t="str">
        <x:f>IF(B6588="","Needs decision","Ready")</x:f>
        <x:v>Needs decision</x:v>
      </x:c>
      <x:c r="D6588" s="6" t="str">
        <x:v>上/去</x:v>
      </x:c>
      <x:c r="E6588" s="6" t="str"/>
      <x:c r="F6588" s="6" t="str">
        <x:v>上聲十六銑; 去聲十七霰</x:v>
      </x:c>
      <x:c r="G6588" s="6" t="str">
        <x:v>Pingshui main list, Wikisource-derived DOCX</x:v>
      </x:c>
      <x:c r="H6588" s="6" t="str"/>
      <x:c r="I6588" s="6" t="str">
        <x:v>Pingshui main-list expansion; 詞 entries ignored</x:v>
      </x:c>
      <x:c r="J6588" s="6" t="str">
        <x:f>IF(B6588="","",IF(AND(ISNUMBER(SEARCH("平",B6588)),OR(ISNUMBER(SEARCH("上",B6588)),ISNUMBER(SEARCH("去",B6588)),ISNUMBER(SEARCH("入",B6588)))),"Ambiguous",IF(ISNUMBER(SEARCH("平",B6588)),"平","仄")))</x:f>
      </x:c>
      <x:c r="K6588" s="6" t="str">
        <x:f>IF(D6588="","",IF(AND(ISNUMBER(SEARCH("平",D6588)),OR(ISNUMBER(SEARCH("上",D6588)),ISNUMBER(SEARCH("去",D6588)),ISNUMBER(SEARCH("入",D6588)))),"Ambiguous",IF(ISNUMBER(SEARCH("平",D6588)),"平","仄")))</x:f>
        <x:v>仄</x:v>
      </x:c>
      <x:c r="L6588" s="7" t="str">
        <x:v>Pingshui main list expansion</x:v>
      </x:c>
    </x:row>
    <x:row r="6589">
      <x:c r="A6589" s="5" t="str">
        <x:v>劂</x:v>
      </x:c>
      <x:c r="B6589" s="6" t="str">
        <x:v>入</x:v>
      </x:c>
      <x:c r="C6589" s="6" t="str">
        <x:f>IF(B6589="","Needs decision","Ready")</x:f>
        <x:v>Ready</x:v>
      </x:c>
      <x:c r="D6589" s="6" t="str">
        <x:v>入</x:v>
      </x:c>
      <x:c r="E6589" s="6" t="str"/>
      <x:c r="F6589" s="6" t="str">
        <x:v>入聲六月</x:v>
      </x:c>
      <x:c r="G6589" s="6" t="str">
        <x:v>Pingshui main list, Wikisource-derived DOCX</x:v>
      </x:c>
      <x:c r="H6589" s="6" t="str"/>
      <x:c r="I6589" s="6" t="str">
        <x:v>Pingshui main-list expansion; 詞 entries ignored</x:v>
      </x:c>
      <x:c r="J6589" s="6" t="str">
        <x:f>IF(B6589="","",IF(AND(ISNUMBER(SEARCH("平",B6589)),OR(ISNUMBER(SEARCH("上",B6589)),ISNUMBER(SEARCH("去",B6589)),ISNUMBER(SEARCH("入",B6589)))),"Ambiguous",IF(ISNUMBER(SEARCH("平",B6589)),"平","仄")))</x:f>
        <x:v>仄</x:v>
      </x:c>
      <x:c r="K6589" s="6" t="str">
        <x:f>IF(D6589="","",IF(AND(ISNUMBER(SEARCH("平",D6589)),OR(ISNUMBER(SEARCH("上",D6589)),ISNUMBER(SEARCH("去",D6589)),ISNUMBER(SEARCH("入",D6589)))),"Ambiguous",IF(ISNUMBER(SEARCH("平",D6589)),"平","仄")))</x:f>
        <x:v>仄</x:v>
      </x:c>
      <x:c r="L6589" s="7" t="str">
        <x:v>Pingshui main list expansion</x:v>
      </x:c>
    </x:row>
    <x:row r="6590">
      <x:c r="A6590" s="5" t="str">
        <x:v>劖</x:v>
      </x:c>
      <x:c r="B6590" s="6" t="str">
        <x:v>平</x:v>
      </x:c>
      <x:c r="C6590" s="6" t="str">
        <x:f>IF(B6590="","Needs decision","Ready")</x:f>
        <x:v>Ready</x:v>
      </x:c>
      <x:c r="D6590" s="6" t="str">
        <x:v>平</x:v>
      </x:c>
      <x:c r="E6590" s="6" t="str"/>
      <x:c r="F6590" s="6" t="str">
        <x:v>下平聲十五咸</x:v>
      </x:c>
      <x:c r="G6590" s="6" t="str">
        <x:v>Pingshui main list, Wikisource-derived DOCX</x:v>
      </x:c>
      <x:c r="H6590" s="6" t="str"/>
      <x:c r="I6590" s="6" t="str">
        <x:v>Pingshui main-list expansion; 詞 entries ignored</x:v>
      </x:c>
      <x:c r="J6590" s="6" t="str">
        <x:f>IF(B6590="","",IF(AND(ISNUMBER(SEARCH("平",B6590)),OR(ISNUMBER(SEARCH("上",B6590)),ISNUMBER(SEARCH("去",B6590)),ISNUMBER(SEARCH("入",B6590)))),"Ambiguous",IF(ISNUMBER(SEARCH("平",B6590)),"平","仄")))</x:f>
        <x:v>平</x:v>
      </x:c>
      <x:c r="K6590" s="6" t="str">
        <x:f>IF(D6590="","",IF(AND(ISNUMBER(SEARCH("平",D6590)),OR(ISNUMBER(SEARCH("上",D6590)),ISNUMBER(SEARCH("去",D6590)),ISNUMBER(SEARCH("入",D6590)))),"Ambiguous",IF(ISNUMBER(SEARCH("平",D6590)),"平","仄")))</x:f>
        <x:v>平</x:v>
      </x:c>
      <x:c r="L6590" s="7" t="str">
        <x:v>Pingshui main list expansion</x:v>
      </x:c>
    </x:row>
    <x:row r="6591">
      <x:c r="A6591" s="5" t="str">
        <x:v>劘</x:v>
      </x:c>
      <x:c r="B6591" s="6" t="str">
        <x:v>平</x:v>
      </x:c>
      <x:c r="C6591" s="6" t="str">
        <x:f>IF(B6591="","Needs decision","Ready")</x:f>
        <x:v>Ready</x:v>
      </x:c>
      <x:c r="D6591" s="6" t="str">
        <x:v>平</x:v>
      </x:c>
      <x:c r="E6591" s="6" t="str"/>
      <x:c r="F6591" s="6" t="str">
        <x:v>上平聲四支; 下平聲五歌</x:v>
      </x:c>
      <x:c r="G6591" s="6" t="str">
        <x:v>Pingshui main list, Wikisource-derived DOCX</x:v>
      </x:c>
      <x:c r="H6591" s="6" t="str"/>
      <x:c r="I6591" s="6" t="str">
        <x:v>Pingshui main-list expansion; 詞 entries ignored</x:v>
      </x:c>
      <x:c r="J6591" s="6" t="str">
        <x:f>IF(B6591="","",IF(AND(ISNUMBER(SEARCH("平",B6591)),OR(ISNUMBER(SEARCH("上",B6591)),ISNUMBER(SEARCH("去",B6591)),ISNUMBER(SEARCH("入",B6591)))),"Ambiguous",IF(ISNUMBER(SEARCH("平",B6591)),"平","仄")))</x:f>
        <x:v>平</x:v>
      </x:c>
      <x:c r="K6591" s="6" t="str">
        <x:f>IF(D6591="","",IF(AND(ISNUMBER(SEARCH("平",D6591)),OR(ISNUMBER(SEARCH("上",D6591)),ISNUMBER(SEARCH("去",D6591)),ISNUMBER(SEARCH("入",D6591)))),"Ambiguous",IF(ISNUMBER(SEARCH("平",D6591)),"平","仄")))</x:f>
        <x:v>平</x:v>
      </x:c>
      <x:c r="L6591" s="7" t="str">
        <x:v>Pingshui main list expansion</x:v>
      </x:c>
    </x:row>
    <x:row r="6592">
      <x:c r="A6592" s="5" t="str">
        <x:v>劙</x:v>
      </x:c>
      <x:c r="B6592" s="6" t="str">
        <x:v>平</x:v>
      </x:c>
      <x:c r="C6592" s="6" t="str">
        <x:f>IF(B6592="","Needs decision","Ready")</x:f>
        <x:v>Ready</x:v>
      </x:c>
      <x:c r="D6592" s="6" t="str">
        <x:v>平</x:v>
      </x:c>
      <x:c r="E6592" s="6" t="str"/>
      <x:c r="F6592" s="6" t="str">
        <x:v>上平聲四支</x:v>
      </x:c>
      <x:c r="G6592" s="6" t="str">
        <x:v>Pingshui main list, Wikisource-derived DOCX</x:v>
      </x:c>
      <x:c r="H6592" s="6" t="str"/>
      <x:c r="I6592" s="6" t="str">
        <x:v>Pingshui main-list expansion; 詞 entries ignored</x:v>
      </x:c>
      <x:c r="J6592" s="6" t="str">
        <x:f>IF(B6592="","",IF(AND(ISNUMBER(SEARCH("平",B6592)),OR(ISNUMBER(SEARCH("上",B6592)),ISNUMBER(SEARCH("去",B6592)),ISNUMBER(SEARCH("入",B6592)))),"Ambiguous",IF(ISNUMBER(SEARCH("平",B6592)),"平","仄")))</x:f>
        <x:v>平</x:v>
      </x:c>
      <x:c r="K6592" s="6" t="str">
        <x:f>IF(D6592="","",IF(AND(ISNUMBER(SEARCH("平",D6592)),OR(ISNUMBER(SEARCH("上",D6592)),ISNUMBER(SEARCH("去",D6592)),ISNUMBER(SEARCH("入",D6592)))),"Ambiguous",IF(ISNUMBER(SEARCH("平",D6592)),"平","仄")))</x:f>
        <x:v>平</x:v>
      </x:c>
      <x:c r="L6592" s="7" t="str">
        <x:v>Pingshui main list expansion</x:v>
      </x:c>
    </x:row>
    <x:row r="6593">
      <x:c r="A6593" s="5" t="str">
        <x:v>劻</x:v>
      </x:c>
      <x:c r="B6593" s="6" t="str">
        <x:v>平</x:v>
      </x:c>
      <x:c r="C6593" s="6" t="str">
        <x:f>IF(B6593="","Needs decision","Ready")</x:f>
        <x:v>Ready</x:v>
      </x:c>
      <x:c r="D6593" s="6" t="str">
        <x:v>平</x:v>
      </x:c>
      <x:c r="E6593" s="6" t="str"/>
      <x:c r="F6593" s="6" t="str">
        <x:v>下平聲七陽</x:v>
      </x:c>
      <x:c r="G6593" s="6" t="str">
        <x:v>Pingshui main list, Wikisource-derived DOCX</x:v>
      </x:c>
      <x:c r="H6593" s="6" t="str"/>
      <x:c r="I6593" s="6" t="str">
        <x:v>Pingshui main-list expansion; 詞 entries ignored</x:v>
      </x:c>
      <x:c r="J6593" s="6" t="str">
        <x:f>IF(B6593="","",IF(AND(ISNUMBER(SEARCH("平",B6593)),OR(ISNUMBER(SEARCH("上",B6593)),ISNUMBER(SEARCH("去",B6593)),ISNUMBER(SEARCH("入",B6593)))),"Ambiguous",IF(ISNUMBER(SEARCH("平",B6593)),"平","仄")))</x:f>
        <x:v>平</x:v>
      </x:c>
      <x:c r="K6593" s="6" t="str">
        <x:f>IF(D6593="","",IF(AND(ISNUMBER(SEARCH("平",D6593)),OR(ISNUMBER(SEARCH("上",D6593)),ISNUMBER(SEARCH("去",D6593)),ISNUMBER(SEARCH("入",D6593)))),"Ambiguous",IF(ISNUMBER(SEARCH("平",D6593)),"平","仄")))</x:f>
        <x:v>平</x:v>
      </x:c>
      <x:c r="L6593" s="7" t="str">
        <x:v>Pingshui main list expansion</x:v>
      </x:c>
    </x:row>
    <x:row r="6594">
      <x:c r="A6594" s="5" t="str">
        <x:v>勗</x:v>
      </x:c>
      <x:c r="B6594" s="6" t="str">
        <x:v>入</x:v>
      </x:c>
      <x:c r="C6594" s="6" t="str">
        <x:f>IF(B6594="","Needs decision","Ready")</x:f>
        <x:v>Ready</x:v>
      </x:c>
      <x:c r="D6594" s="6" t="str">
        <x:v>入</x:v>
      </x:c>
      <x:c r="E6594" s="6" t="str"/>
      <x:c r="F6594" s="6" t="str">
        <x:v>入聲二沃</x:v>
      </x:c>
      <x:c r="G6594" s="6" t="str">
        <x:v>Pingshui main list, Wikisource-derived DOCX</x:v>
      </x:c>
      <x:c r="H6594" s="6" t="str"/>
      <x:c r="I6594" s="6" t="str">
        <x:v>Pingshui main-list expansion; 詞 entries ignored</x:v>
      </x:c>
      <x:c r="J6594" s="6" t="str">
        <x:f>IF(B6594="","",IF(AND(ISNUMBER(SEARCH("平",B6594)),OR(ISNUMBER(SEARCH("上",B6594)),ISNUMBER(SEARCH("去",B6594)),ISNUMBER(SEARCH("入",B6594)))),"Ambiguous",IF(ISNUMBER(SEARCH("平",B6594)),"平","仄")))</x:f>
        <x:v>仄</x:v>
      </x:c>
      <x:c r="K6594" s="6" t="str">
        <x:f>IF(D6594="","",IF(AND(ISNUMBER(SEARCH("平",D6594)),OR(ISNUMBER(SEARCH("上",D6594)),ISNUMBER(SEARCH("去",D6594)),ISNUMBER(SEARCH("入",D6594)))),"Ambiguous",IF(ISNUMBER(SEARCH("平",D6594)),"平","仄")))</x:f>
        <x:v>仄</x:v>
      </x:c>
      <x:c r="L6594" s="7" t="str">
        <x:v>Pingshui main list expansion</x:v>
      </x:c>
    </x:row>
    <x:row r="6595">
      <x:c r="A6595" s="5" t="str">
        <x:v>勦</x:v>
      </x:c>
      <x:c r="B6595" s="6" t="str">
        <x:v>平</x:v>
      </x:c>
      <x:c r="C6595" s="6" t="str">
        <x:f>IF(B6595="","Needs decision","Ready")</x:f>
        <x:v>Ready</x:v>
      </x:c>
      <x:c r="D6595" s="6" t="str">
        <x:v>平</x:v>
      </x:c>
      <x:c r="E6595" s="6" t="str"/>
      <x:c r="F6595" s="6" t="str">
        <x:v>下平聲三肴</x:v>
      </x:c>
      <x:c r="G6595" s="6" t="str">
        <x:v>Pingshui main list, Wikisource-derived DOCX</x:v>
      </x:c>
      <x:c r="H6595" s="6" t="str"/>
      <x:c r="I6595" s="6" t="str">
        <x:v>Pingshui main-list expansion; 詞 entries ignored</x:v>
      </x:c>
      <x:c r="J6595" s="6" t="str">
        <x:f>IF(B6595="","",IF(AND(ISNUMBER(SEARCH("平",B6595)),OR(ISNUMBER(SEARCH("上",B6595)),ISNUMBER(SEARCH("去",B6595)),ISNUMBER(SEARCH("入",B6595)))),"Ambiguous",IF(ISNUMBER(SEARCH("平",B6595)),"平","仄")))</x:f>
        <x:v>平</x:v>
      </x:c>
      <x:c r="K6595" s="6" t="str">
        <x:f>IF(D6595="","",IF(AND(ISNUMBER(SEARCH("平",D6595)),OR(ISNUMBER(SEARCH("上",D6595)),ISNUMBER(SEARCH("去",D6595)),ISNUMBER(SEARCH("入",D6595)))),"Ambiguous",IF(ISNUMBER(SEARCH("平",D6595)),"平","仄")))</x:f>
        <x:v>平</x:v>
      </x:c>
      <x:c r="L6595" s="7" t="str">
        <x:v>Pingshui main list expansion</x:v>
      </x:c>
    </x:row>
    <x:row r="6596">
      <x:c r="A6596" s="5" t="str">
        <x:v>勱</x:v>
      </x:c>
      <x:c r="B6596" s="6" t="str">
        <x:v>去</x:v>
      </x:c>
      <x:c r="C6596" s="6" t="str">
        <x:f>IF(B6596="","Needs decision","Ready")</x:f>
        <x:v>Ready</x:v>
      </x:c>
      <x:c r="D6596" s="6" t="str">
        <x:v>去</x:v>
      </x:c>
      <x:c r="E6596" s="6" t="str"/>
      <x:c r="F6596" s="6" t="str">
        <x:v>去聲十卦</x:v>
      </x:c>
      <x:c r="G6596" s="6" t="str">
        <x:v>Pingshui main list, Wikisource-derived DOCX</x:v>
      </x:c>
      <x:c r="H6596" s="6" t="str"/>
      <x:c r="I6596" s="6" t="str">
        <x:v>Pingshui main-list expansion; 詞 entries ignored</x:v>
      </x:c>
      <x:c r="J6596" s="6" t="str">
        <x:f>IF(B6596="","",IF(AND(ISNUMBER(SEARCH("平",B6596)),OR(ISNUMBER(SEARCH("上",B6596)),ISNUMBER(SEARCH("去",B6596)),ISNUMBER(SEARCH("入",B6596)))),"Ambiguous",IF(ISNUMBER(SEARCH("平",B6596)),"平","仄")))</x:f>
        <x:v>仄</x:v>
      </x:c>
      <x:c r="K6596" s="6" t="str">
        <x:f>IF(D6596="","",IF(AND(ISNUMBER(SEARCH("平",D6596)),OR(ISNUMBER(SEARCH("上",D6596)),ISNUMBER(SEARCH("去",D6596)),ISNUMBER(SEARCH("入",D6596)))),"Ambiguous",IF(ISNUMBER(SEARCH("平",D6596)),"平","仄")))</x:f>
        <x:v>仄</x:v>
      </x:c>
      <x:c r="L6596" s="7" t="str">
        <x:v>Pingshui main list expansion</x:v>
      </x:c>
    </x:row>
    <x:row r="6597">
      <x:c r="A6597" s="5" t="str">
        <x:v>勷</x:v>
      </x:c>
      <x:c r="B6597" s="6" t="str">
        <x:v>平</x:v>
      </x:c>
      <x:c r="C6597" s="6" t="str">
        <x:f>IF(B6597="","Needs decision","Ready")</x:f>
        <x:v>Ready</x:v>
      </x:c>
      <x:c r="D6597" s="6" t="str">
        <x:v>平</x:v>
      </x:c>
      <x:c r="E6597" s="6" t="str"/>
      <x:c r="F6597" s="6" t="str">
        <x:v>下平聲七陽</x:v>
      </x:c>
      <x:c r="G6597" s="6" t="str">
        <x:v>Pingshui main list, Wikisource-derived DOCX</x:v>
      </x:c>
      <x:c r="H6597" s="6" t="str"/>
      <x:c r="I6597" s="6" t="str">
        <x:v>Pingshui main-list expansion; 詞 entries ignored</x:v>
      </x:c>
      <x:c r="J6597" s="6" t="str">
        <x:f>IF(B6597="","",IF(AND(ISNUMBER(SEARCH("平",B6597)),OR(ISNUMBER(SEARCH("上",B6597)),ISNUMBER(SEARCH("去",B6597)),ISNUMBER(SEARCH("入",B6597)))),"Ambiguous",IF(ISNUMBER(SEARCH("平",B6597)),"平","仄")))</x:f>
        <x:v>平</x:v>
      </x:c>
      <x:c r="K6597" s="6" t="str">
        <x:f>IF(D6597="","",IF(AND(ISNUMBER(SEARCH("平",D6597)),OR(ISNUMBER(SEARCH("上",D6597)),ISNUMBER(SEARCH("去",D6597)),ISNUMBER(SEARCH("入",D6597)))),"Ambiguous",IF(ISNUMBER(SEARCH("平",D6597)),"平","仄")))</x:f>
        <x:v>平</x:v>
      </x:c>
      <x:c r="L6597" s="7" t="str">
        <x:v>Pingshui main list expansion</x:v>
      </x:c>
    </x:row>
    <x:row r="6598">
      <x:c r="A6598" s="5" t="str">
        <x:v>匊</x:v>
      </x:c>
      <x:c r="B6598" s="6" t="str">
        <x:v>入</x:v>
      </x:c>
      <x:c r="C6598" s="6" t="str">
        <x:f>IF(B6598="","Needs decision","Ready")</x:f>
        <x:v>Ready</x:v>
      </x:c>
      <x:c r="D6598" s="6" t="str">
        <x:v>入</x:v>
      </x:c>
      <x:c r="E6598" s="6" t="str"/>
      <x:c r="F6598" s="6" t="str">
        <x:v>入聲一屋</x:v>
      </x:c>
      <x:c r="G6598" s="6" t="str">
        <x:v>Pingshui main list, Wikisource-derived DOCX</x:v>
      </x:c>
      <x:c r="H6598" s="6" t="str"/>
      <x:c r="I6598" s="6" t="str">
        <x:v>Pingshui main-list expansion; 詞 entries ignored</x:v>
      </x:c>
      <x:c r="J6598" s="6" t="str">
        <x:f>IF(B6598="","",IF(AND(ISNUMBER(SEARCH("平",B6598)),OR(ISNUMBER(SEARCH("上",B6598)),ISNUMBER(SEARCH("去",B6598)),ISNUMBER(SEARCH("入",B6598)))),"Ambiguous",IF(ISNUMBER(SEARCH("平",B6598)),"平","仄")))</x:f>
        <x:v>仄</x:v>
      </x:c>
      <x:c r="K6598" s="6" t="str">
        <x:f>IF(D6598="","",IF(AND(ISNUMBER(SEARCH("平",D6598)),OR(ISNUMBER(SEARCH("上",D6598)),ISNUMBER(SEARCH("去",D6598)),ISNUMBER(SEARCH("入",D6598)))),"Ambiguous",IF(ISNUMBER(SEARCH("平",D6598)),"平","仄")))</x:f>
        <x:v>仄</x:v>
      </x:c>
      <x:c r="L6598" s="7" t="str">
        <x:v>Pingshui main list expansion</x:v>
      </x:c>
    </x:row>
    <x:row r="6599">
      <x:c r="A6599" s="5" t="str">
        <x:v>匙</x:v>
      </x:c>
      <x:c r="B6599" s="6" t="str">
        <x:v>平</x:v>
      </x:c>
      <x:c r="C6599" s="6" t="str">
        <x:f>IF(B6599="","Needs decision","Ready")</x:f>
        <x:v>Ready</x:v>
      </x:c>
      <x:c r="D6599" s="6" t="str">
        <x:v>平</x:v>
      </x:c>
      <x:c r="E6599" s="6" t="str"/>
      <x:c r="F6599" s="6" t="str">
        <x:v>上平聲四支</x:v>
      </x:c>
      <x:c r="G6599" s="6" t="str">
        <x:v>Pingshui main list, Wikisource-derived DOCX</x:v>
      </x:c>
      <x:c r="H6599" s="6" t="str"/>
      <x:c r="I6599" s="6" t="str">
        <x:v>Pingshui main-list expansion; 詞 entries ignored</x:v>
      </x:c>
      <x:c r="J6599" s="6" t="str">
        <x:f>IF(B6599="","",IF(AND(ISNUMBER(SEARCH("平",B6599)),OR(ISNUMBER(SEARCH("上",B6599)),ISNUMBER(SEARCH("去",B6599)),ISNUMBER(SEARCH("入",B6599)))),"Ambiguous",IF(ISNUMBER(SEARCH("平",B6599)),"平","仄")))</x:f>
        <x:v>平</x:v>
      </x:c>
      <x:c r="K6599" s="6" t="str">
        <x:f>IF(D6599="","",IF(AND(ISNUMBER(SEARCH("平",D6599)),OR(ISNUMBER(SEARCH("上",D6599)),ISNUMBER(SEARCH("去",D6599)),ISNUMBER(SEARCH("入",D6599)))),"Ambiguous",IF(ISNUMBER(SEARCH("平",D6599)),"平","仄")))</x:f>
        <x:v>平</x:v>
      </x:c>
      <x:c r="L6599" s="7" t="str">
        <x:v>Pingshui main list expansion</x:v>
      </x:c>
    </x:row>
    <x:row r="6600">
      <x:c r="A6600" s="5" t="str">
        <x:v>匭</x:v>
      </x:c>
      <x:c r="B6600" s="6" t="str">
        <x:v>上</x:v>
      </x:c>
      <x:c r="C6600" s="6" t="str">
        <x:f>IF(B6600="","Needs decision","Ready")</x:f>
        <x:v>Ready</x:v>
      </x:c>
      <x:c r="D6600" s="6" t="str">
        <x:v>上</x:v>
      </x:c>
      <x:c r="E6600" s="6" t="str"/>
      <x:c r="F6600" s="6" t="str">
        <x:v>上聲四紙</x:v>
      </x:c>
      <x:c r="G6600" s="6" t="str">
        <x:v>Pingshui main list, Wikisource-derived DOCX</x:v>
      </x:c>
      <x:c r="H6600" s="6" t="str"/>
      <x:c r="I6600" s="6" t="str">
        <x:v>Pingshui main-list expansion; 詞 entries ignored</x:v>
      </x:c>
      <x:c r="J6600" s="6" t="str">
        <x:f>IF(B6600="","",IF(AND(ISNUMBER(SEARCH("平",B6600)),OR(ISNUMBER(SEARCH("上",B6600)),ISNUMBER(SEARCH("去",B6600)),ISNUMBER(SEARCH("入",B6600)))),"Ambiguous",IF(ISNUMBER(SEARCH("平",B6600)),"平","仄")))</x:f>
        <x:v>仄</x:v>
      </x:c>
      <x:c r="K6600" s="6" t="str">
        <x:f>IF(D6600="","",IF(AND(ISNUMBER(SEARCH("平",D6600)),OR(ISNUMBER(SEARCH("上",D6600)),ISNUMBER(SEARCH("去",D6600)),ISNUMBER(SEARCH("入",D6600)))),"Ambiguous",IF(ISNUMBER(SEARCH("平",D6600)),"平","仄")))</x:f>
        <x:v>仄</x:v>
      </x:c>
      <x:c r="L6600" s="7" t="str">
        <x:v>Pingshui main list expansion</x:v>
      </x:c>
    </x:row>
    <x:row r="6601">
      <x:c r="A6601" s="5" t="str">
        <x:v>匾</x:v>
      </x:c>
      <x:c r="B6601" s="6" t="str">
        <x:v>上</x:v>
      </x:c>
      <x:c r="C6601" s="6" t="str">
        <x:f>IF(B6601="","Needs decision","Ready")</x:f>
        <x:v>Ready</x:v>
      </x:c>
      <x:c r="D6601" s="6" t="str">
        <x:v>上</x:v>
      </x:c>
      <x:c r="E6601" s="6" t="str"/>
      <x:c r="F6601" s="6" t="str">
        <x:v>上聲十六銑</x:v>
      </x:c>
      <x:c r="G6601" s="6" t="str">
        <x:v>Pingshui main list, Wikisource-derived DOCX</x:v>
      </x:c>
      <x:c r="H6601" s="6" t="str"/>
      <x:c r="I6601" s="6" t="str">
        <x:v>Pingshui main-list expansion; 詞 entries ignored</x:v>
      </x:c>
      <x:c r="J6601" s="6" t="str">
        <x:f>IF(B6601="","",IF(AND(ISNUMBER(SEARCH("平",B6601)),OR(ISNUMBER(SEARCH("上",B6601)),ISNUMBER(SEARCH("去",B6601)),ISNUMBER(SEARCH("入",B6601)))),"Ambiguous",IF(ISNUMBER(SEARCH("平",B6601)),"平","仄")))</x:f>
        <x:v>仄</x:v>
      </x:c>
      <x:c r="K6601" s="6" t="str">
        <x:f>IF(D6601="","",IF(AND(ISNUMBER(SEARCH("平",D6601)),OR(ISNUMBER(SEARCH("上",D6601)),ISNUMBER(SEARCH("去",D6601)),ISNUMBER(SEARCH("入",D6601)))),"Ambiguous",IF(ISNUMBER(SEARCH("平",D6601)),"平","仄")))</x:f>
        <x:v>仄</x:v>
      </x:c>
      <x:c r="L6601" s="7" t="str">
        <x:v>Pingshui main list expansion</x:v>
      </x:c>
    </x:row>
    <x:row r="6602">
      <x:c r="A6602" s="5" t="str">
        <x:v>卣</x:v>
      </x:c>
      <x:c r="B6602" s="6" t="str"/>
      <x:c r="C6602" s="6" t="str">
        <x:f>IF(B6602="","Needs decision","Ready")</x:f>
        <x:v>Needs decision</x:v>
      </x:c>
      <x:c r="D6602" s="6" t="str">
        <x:v>平/上</x:v>
      </x:c>
      <x:c r="E6602" s="6" t="str"/>
      <x:c r="F6602" s="6" t="str">
        <x:v>下平聲十一尤; 上聲二十五有</x:v>
      </x:c>
      <x:c r="G6602" s="6" t="str">
        <x:v>Pingshui main list, Wikisource-derived DOCX</x:v>
      </x:c>
      <x:c r="H6602" s="6" t="str"/>
      <x:c r="I6602" s="6" t="str">
        <x:v>Pingshui main-list expansion; 詞 entries ignored</x:v>
      </x:c>
      <x:c r="J6602" s="6" t="str">
        <x:f>IF(B6602="","",IF(AND(ISNUMBER(SEARCH("平",B6602)),OR(ISNUMBER(SEARCH("上",B6602)),ISNUMBER(SEARCH("去",B6602)),ISNUMBER(SEARCH("入",B6602)))),"Ambiguous",IF(ISNUMBER(SEARCH("平",B6602)),"平","仄")))</x:f>
      </x:c>
      <x:c r="K6602" s="6" t="str">
        <x:f>IF(D6602="","",IF(AND(ISNUMBER(SEARCH("平",D6602)),OR(ISNUMBER(SEARCH("上",D6602)),ISNUMBER(SEARCH("去",D6602)),ISNUMBER(SEARCH("入",D6602)))),"Ambiguous",IF(ISNUMBER(SEARCH("平",D6602)),"平","仄")))</x:f>
        <x:v>Ambiguous</x:v>
      </x:c>
      <x:c r="L6602" s="7" t="str">
        <x:v>Pingshui main list expansion</x:v>
      </x:c>
    </x:row>
    <x:row r="6603">
      <x:c r="A6603" s="5" t="str">
        <x:v>卼</x:v>
      </x:c>
      <x:c r="B6603" s="6" t="str">
        <x:v>入</x:v>
      </x:c>
      <x:c r="C6603" s="6" t="str">
        <x:f>IF(B6603="","Needs decision","Ready")</x:f>
        <x:v>Ready</x:v>
      </x:c>
      <x:c r="D6603" s="6" t="str">
        <x:v>入</x:v>
      </x:c>
      <x:c r="E6603" s="6" t="str"/>
      <x:c r="F6603" s="6" t="str">
        <x:v>入聲六月</x:v>
      </x:c>
      <x:c r="G6603" s="6" t="str">
        <x:v>Pingshui main list, Wikisource-derived DOCX</x:v>
      </x:c>
      <x:c r="H6603" s="6" t="str"/>
      <x:c r="I6603" s="6" t="str">
        <x:v>Pingshui main-list expansion; 詞 entries ignored</x:v>
      </x:c>
      <x:c r="J6603" s="6" t="str">
        <x:f>IF(B6603="","",IF(AND(ISNUMBER(SEARCH("平",B6603)),OR(ISNUMBER(SEARCH("上",B6603)),ISNUMBER(SEARCH("去",B6603)),ISNUMBER(SEARCH("入",B6603)))),"Ambiguous",IF(ISNUMBER(SEARCH("平",B6603)),"平","仄")))</x:f>
        <x:v>仄</x:v>
      </x:c>
      <x:c r="K6603" s="6" t="str">
        <x:f>IF(D6603="","",IF(AND(ISNUMBER(SEARCH("平",D6603)),OR(ISNUMBER(SEARCH("上",D6603)),ISNUMBER(SEARCH("去",D6603)),ISNUMBER(SEARCH("入",D6603)))),"Ambiguous",IF(ISNUMBER(SEARCH("平",D6603)),"平","仄")))</x:f>
        <x:v>仄</x:v>
      </x:c>
      <x:c r="L6603" s="7" t="str">
        <x:v>Pingshui main list expansion</x:v>
      </x:c>
    </x:row>
    <x:row r="6604">
      <x:c r="A6604" s="5" t="str">
        <x:v>厊</x:v>
      </x:c>
      <x:c r="B6604" s="6" t="str">
        <x:v>上</x:v>
      </x:c>
      <x:c r="C6604" s="6" t="str">
        <x:f>IF(B6604="","Needs decision","Ready")</x:f>
        <x:v>Ready</x:v>
      </x:c>
      <x:c r="D6604" s="6" t="str">
        <x:v>上</x:v>
      </x:c>
      <x:c r="E6604" s="6" t="str"/>
      <x:c r="F6604" s="6" t="str">
        <x:v>上聲二十一馬</x:v>
      </x:c>
      <x:c r="G6604" s="6" t="str">
        <x:v>Pingshui main list, Wikisource-derived DOCX</x:v>
      </x:c>
      <x:c r="H6604" s="6" t="str"/>
      <x:c r="I6604" s="6" t="str">
        <x:v>Pingshui main-list expansion; 詞 entries ignored</x:v>
      </x:c>
      <x:c r="J6604" s="6" t="str">
        <x:f>IF(B6604="","",IF(AND(ISNUMBER(SEARCH("平",B6604)),OR(ISNUMBER(SEARCH("上",B6604)),ISNUMBER(SEARCH("去",B6604)),ISNUMBER(SEARCH("入",B6604)))),"Ambiguous",IF(ISNUMBER(SEARCH("平",B6604)),"平","仄")))</x:f>
        <x:v>仄</x:v>
      </x:c>
      <x:c r="K6604" s="6" t="str">
        <x:f>IF(D6604="","",IF(AND(ISNUMBER(SEARCH("平",D6604)),OR(ISNUMBER(SEARCH("上",D6604)),ISNUMBER(SEARCH("去",D6604)),ISNUMBER(SEARCH("入",D6604)))),"Ambiguous",IF(ISNUMBER(SEARCH("平",D6604)),"平","仄")))</x:f>
        <x:v>仄</x:v>
      </x:c>
      <x:c r="L6604" s="7" t="str">
        <x:v>Pingshui main list expansion</x:v>
      </x:c>
    </x:row>
    <x:row r="6605">
      <x:c r="A6605" s="5" t="str">
        <x:v>厜</x:v>
      </x:c>
      <x:c r="B6605" s="6" t="str">
        <x:v>平</x:v>
      </x:c>
      <x:c r="C6605" s="6" t="str">
        <x:f>IF(B6605="","Needs decision","Ready")</x:f>
        <x:v>Ready</x:v>
      </x:c>
      <x:c r="D6605" s="6" t="str">
        <x:v>平</x:v>
      </x:c>
      <x:c r="E6605" s="6" t="str"/>
      <x:c r="F6605" s="6" t="str">
        <x:v>上平聲四支</x:v>
      </x:c>
      <x:c r="G6605" s="6" t="str">
        <x:v>Pingshui main list, Wikisource-derived DOCX</x:v>
      </x:c>
      <x:c r="H6605" s="6" t="str"/>
      <x:c r="I6605" s="6" t="str">
        <x:v>Pingshui main-list expansion; 詞 entries ignored</x:v>
      </x:c>
      <x:c r="J6605" s="6" t="str">
        <x:f>IF(B6605="","",IF(AND(ISNUMBER(SEARCH("平",B6605)),OR(ISNUMBER(SEARCH("上",B6605)),ISNUMBER(SEARCH("去",B6605)),ISNUMBER(SEARCH("入",B6605)))),"Ambiguous",IF(ISNUMBER(SEARCH("平",B6605)),"平","仄")))</x:f>
        <x:v>平</x:v>
      </x:c>
      <x:c r="K6605" s="6" t="str">
        <x:f>IF(D6605="","",IF(AND(ISNUMBER(SEARCH("平",D6605)),OR(ISNUMBER(SEARCH("上",D6605)),ISNUMBER(SEARCH("去",D6605)),ISNUMBER(SEARCH("入",D6605)))),"Ambiguous",IF(ISNUMBER(SEARCH("平",D6605)),"平","仄")))</x:f>
        <x:v>平</x:v>
      </x:c>
      <x:c r="L6605" s="7" t="str">
        <x:v>Pingshui main list expansion</x:v>
      </x:c>
    </x:row>
    <x:row r="6606">
      <x:c r="A6606" s="5" t="str">
        <x:v>厞</x:v>
      </x:c>
      <x:c r="B6606" s="6" t="str">
        <x:v>平</x:v>
      </x:c>
      <x:c r="C6606" s="6" t="str">
        <x:f>IF(B6606="","Needs decision","Ready")</x:f>
        <x:v>Ready</x:v>
      </x:c>
      <x:c r="D6606" s="6" t="str">
        <x:v>平</x:v>
      </x:c>
      <x:c r="E6606" s="6" t="str"/>
      <x:c r="F6606" s="6" t="str">
        <x:v>上平聲五微</x:v>
      </x:c>
      <x:c r="G6606" s="6" t="str">
        <x:v>Pingshui main list, Wikisource-derived DOCX</x:v>
      </x:c>
      <x:c r="H6606" s="6" t="str"/>
      <x:c r="I6606" s="6" t="str">
        <x:v>Pingshui main-list expansion; 詞 entries ignored</x:v>
      </x:c>
      <x:c r="J6606" s="6" t="str">
        <x:f>IF(B6606="","",IF(AND(ISNUMBER(SEARCH("平",B6606)),OR(ISNUMBER(SEARCH("上",B6606)),ISNUMBER(SEARCH("去",B6606)),ISNUMBER(SEARCH("入",B6606)))),"Ambiguous",IF(ISNUMBER(SEARCH("平",B6606)),"平","仄")))</x:f>
        <x:v>平</x:v>
      </x:c>
      <x:c r="K6606" s="6" t="str">
        <x:f>IF(D6606="","",IF(AND(ISNUMBER(SEARCH("平",D6606)),OR(ISNUMBER(SEARCH("上",D6606)),ISNUMBER(SEARCH("去",D6606)),ISNUMBER(SEARCH("入",D6606)))),"Ambiguous",IF(ISNUMBER(SEARCH("平",D6606)),"平","仄")))</x:f>
        <x:v>平</x:v>
      </x:c>
      <x:c r="L6606" s="7" t="str">
        <x:v>Pingshui main list expansion</x:v>
      </x:c>
    </x:row>
    <x:row r="6607">
      <x:c r="A6607" s="5" t="str">
        <x:v>吃</x:v>
      </x:c>
      <x:c r="B6607" s="6" t="str">
        <x:v>入</x:v>
      </x:c>
      <x:c r="C6607" s="6" t="str">
        <x:f>IF(B6607="","Needs decision","Ready")</x:f>
        <x:v>Ready</x:v>
      </x:c>
      <x:c r="D6607" s="6" t="str">
        <x:v>入</x:v>
      </x:c>
      <x:c r="E6607" s="6" t="str"/>
      <x:c r="F6607" s="6" t="str">
        <x:v>入聲五物</x:v>
      </x:c>
      <x:c r="G6607" s="6" t="str">
        <x:v>Pingshui main list, Wikisource-derived DOCX</x:v>
      </x:c>
      <x:c r="H6607" s="6" t="str"/>
      <x:c r="I6607" s="6" t="str">
        <x:v>Pingshui main-list expansion; 詞 entries ignored</x:v>
      </x:c>
      <x:c r="J6607" s="6" t="str">
        <x:f>IF(B6607="","",IF(AND(ISNUMBER(SEARCH("平",B6607)),OR(ISNUMBER(SEARCH("上",B6607)),ISNUMBER(SEARCH("去",B6607)),ISNUMBER(SEARCH("入",B6607)))),"Ambiguous",IF(ISNUMBER(SEARCH("平",B6607)),"平","仄")))</x:f>
        <x:v>仄</x:v>
      </x:c>
      <x:c r="K6607" s="6" t="str">
        <x:f>IF(D6607="","",IF(AND(ISNUMBER(SEARCH("平",D6607)),OR(ISNUMBER(SEARCH("上",D6607)),ISNUMBER(SEARCH("去",D6607)),ISNUMBER(SEARCH("入",D6607)))),"Ambiguous",IF(ISNUMBER(SEARCH("平",D6607)),"平","仄")))</x:f>
        <x:v>仄</x:v>
      </x:c>
      <x:c r="L6607" s="7" t="str">
        <x:v>Pingshui main list expansion</x:v>
      </x:c>
    </x:row>
    <x:row r="6608">
      <x:c r="A6608" s="5" t="str">
        <x:v>吰</x:v>
      </x:c>
      <x:c r="B6608" s="6" t="str">
        <x:v>平</x:v>
      </x:c>
      <x:c r="C6608" s="6" t="str">
        <x:f>IF(B6608="","Needs decision","Ready")</x:f>
        <x:v>Ready</x:v>
      </x:c>
      <x:c r="D6608" s="6" t="str">
        <x:v>平</x:v>
      </x:c>
      <x:c r="E6608" s="6" t="str"/>
      <x:c r="F6608" s="6" t="str">
        <x:v>下平聲八庚</x:v>
      </x:c>
      <x:c r="G6608" s="6" t="str">
        <x:v>Pingshui main list, Wikisource-derived DOCX</x:v>
      </x:c>
      <x:c r="H6608" s="6" t="str"/>
      <x:c r="I6608" s="6" t="str">
        <x:v>Pingshui main-list expansion; 詞 entries ignored</x:v>
      </x:c>
      <x:c r="J6608" s="6" t="str">
        <x:f>IF(B6608="","",IF(AND(ISNUMBER(SEARCH("平",B6608)),OR(ISNUMBER(SEARCH("上",B6608)),ISNUMBER(SEARCH("去",B6608)),ISNUMBER(SEARCH("入",B6608)))),"Ambiguous",IF(ISNUMBER(SEARCH("平",B6608)),"平","仄")))</x:f>
        <x:v>平</x:v>
      </x:c>
      <x:c r="K6608" s="6" t="str">
        <x:f>IF(D6608="","",IF(AND(ISNUMBER(SEARCH("平",D6608)),OR(ISNUMBER(SEARCH("上",D6608)),ISNUMBER(SEARCH("去",D6608)),ISNUMBER(SEARCH("入",D6608)))),"Ambiguous",IF(ISNUMBER(SEARCH("平",D6608)),"平","仄")))</x:f>
        <x:v>平</x:v>
      </x:c>
      <x:c r="L6608" s="7" t="str">
        <x:v>Pingshui main list expansion</x:v>
      </x:c>
    </x:row>
    <x:row r="6609">
      <x:c r="A6609" s="5" t="str">
        <x:v>吷</x:v>
      </x:c>
      <x:c r="B6609" s="6" t="str">
        <x:v>入</x:v>
      </x:c>
      <x:c r="C6609" s="6" t="str">
        <x:f>IF(B6609="","Needs decision","Ready")</x:f>
        <x:v>Ready</x:v>
      </x:c>
      <x:c r="D6609" s="6" t="str">
        <x:v>入</x:v>
      </x:c>
      <x:c r="E6609" s="6" t="str"/>
      <x:c r="F6609" s="6" t="str">
        <x:v>入聲九屑</x:v>
      </x:c>
      <x:c r="G6609" s="6" t="str">
        <x:v>Pingshui main list, Wikisource-derived DOCX</x:v>
      </x:c>
      <x:c r="H6609" s="6" t="str"/>
      <x:c r="I6609" s="6" t="str">
        <x:v>Pingshui main-list expansion; 詞 entries ignored</x:v>
      </x:c>
      <x:c r="J6609" s="6" t="str">
        <x:f>IF(B6609="","",IF(AND(ISNUMBER(SEARCH("平",B6609)),OR(ISNUMBER(SEARCH("上",B6609)),ISNUMBER(SEARCH("去",B6609)),ISNUMBER(SEARCH("入",B6609)))),"Ambiguous",IF(ISNUMBER(SEARCH("平",B6609)),"平","仄")))</x:f>
        <x:v>仄</x:v>
      </x:c>
      <x:c r="K6609" s="6" t="str">
        <x:f>IF(D6609="","",IF(AND(ISNUMBER(SEARCH("平",D6609)),OR(ISNUMBER(SEARCH("上",D6609)),ISNUMBER(SEARCH("去",D6609)),ISNUMBER(SEARCH("入",D6609)))),"Ambiguous",IF(ISNUMBER(SEARCH("平",D6609)),"平","仄")))</x:f>
        <x:v>仄</x:v>
      </x:c>
      <x:c r="L6609" s="7" t="str">
        <x:v>Pingshui main list expansion</x:v>
      </x:c>
    </x:row>
    <x:row r="6610">
      <x:c r="A6610" s="5" t="str">
        <x:v>呷</x:v>
      </x:c>
      <x:c r="B6610" s="6" t="str">
        <x:v>入</x:v>
      </x:c>
      <x:c r="C6610" s="6" t="str">
        <x:f>IF(B6610="","Needs decision","Ready")</x:f>
        <x:v>Ready</x:v>
      </x:c>
      <x:c r="D6610" s="6" t="str">
        <x:v>入</x:v>
      </x:c>
      <x:c r="E6610" s="6" t="str"/>
      <x:c r="F6610" s="6" t="str">
        <x:v>入聲十七洽</x:v>
      </x:c>
      <x:c r="G6610" s="6" t="str">
        <x:v>Pingshui main list, Wikisource-derived DOCX</x:v>
      </x:c>
      <x:c r="H6610" s="6" t="str"/>
      <x:c r="I6610" s="6" t="str">
        <x:v>Pingshui main-list expansion; 詞 entries ignored</x:v>
      </x:c>
      <x:c r="J6610" s="6" t="str">
        <x:f>IF(B6610="","",IF(AND(ISNUMBER(SEARCH("平",B6610)),OR(ISNUMBER(SEARCH("上",B6610)),ISNUMBER(SEARCH("去",B6610)),ISNUMBER(SEARCH("入",B6610)))),"Ambiguous",IF(ISNUMBER(SEARCH("平",B6610)),"平","仄")))</x:f>
        <x:v>仄</x:v>
      </x:c>
      <x:c r="K6610" s="6" t="str">
        <x:f>IF(D6610="","",IF(AND(ISNUMBER(SEARCH("平",D6610)),OR(ISNUMBER(SEARCH("上",D6610)),ISNUMBER(SEARCH("去",D6610)),ISNUMBER(SEARCH("入",D6610)))),"Ambiguous",IF(ISNUMBER(SEARCH("平",D6610)),"平","仄")))</x:f>
        <x:v>仄</x:v>
      </x:c>
      <x:c r="L6610" s="7" t="str">
        <x:v>Pingshui main list expansion</x:v>
      </x:c>
    </x:row>
    <x:row r="6611">
      <x:c r="A6611" s="5" t="str">
        <x:v>呾</x:v>
      </x:c>
      <x:c r="B6611" s="6" t="str">
        <x:v>入</x:v>
      </x:c>
      <x:c r="C6611" s="6" t="str">
        <x:f>IF(B6611="","Needs decision","Ready")</x:f>
        <x:v>Ready</x:v>
      </x:c>
      <x:c r="D6611" s="6" t="str">
        <x:v>入</x:v>
      </x:c>
      <x:c r="E6611" s="6" t="str"/>
      <x:c r="F6611" s="6" t="str">
        <x:v>入聲七曷</x:v>
      </x:c>
      <x:c r="G6611" s="6" t="str">
        <x:v>Pingshui main list, Wikisource-derived DOCX</x:v>
      </x:c>
      <x:c r="H6611" s="6" t="str"/>
      <x:c r="I6611" s="6" t="str">
        <x:v>Pingshui main-list expansion; 詞 entries ignored</x:v>
      </x:c>
      <x:c r="J6611" s="6" t="str">
        <x:f>IF(B6611="","",IF(AND(ISNUMBER(SEARCH("平",B6611)),OR(ISNUMBER(SEARCH("上",B6611)),ISNUMBER(SEARCH("去",B6611)),ISNUMBER(SEARCH("入",B6611)))),"Ambiguous",IF(ISNUMBER(SEARCH("平",B6611)),"平","仄")))</x:f>
        <x:v>仄</x:v>
      </x:c>
      <x:c r="K6611" s="6" t="str">
        <x:f>IF(D6611="","",IF(AND(ISNUMBER(SEARCH("平",D6611)),OR(ISNUMBER(SEARCH("上",D6611)),ISNUMBER(SEARCH("去",D6611)),ISNUMBER(SEARCH("入",D6611)))),"Ambiguous",IF(ISNUMBER(SEARCH("平",D6611)),"平","仄")))</x:f>
        <x:v>仄</x:v>
      </x:c>
      <x:c r="L6611" s="7" t="str">
        <x:v>Pingshui main list expansion</x:v>
      </x:c>
    </x:row>
    <x:row r="6612">
      <x:c r="A6612" s="5" t="str">
        <x:v>呿</x:v>
      </x:c>
      <x:c r="B6612" s="6" t="str"/>
      <x:c r="C6612" s="6" t="str">
        <x:f>IF(B6612="","Needs decision","Ready")</x:f>
        <x:v>Needs decision</x:v>
      </x:c>
      <x:c r="D6612" s="6" t="str">
        <x:v>平/去</x:v>
      </x:c>
      <x:c r="E6612" s="6" t="str"/>
      <x:c r="F6612" s="6" t="str">
        <x:v>上平聲六魚; 去聲六御</x:v>
      </x:c>
      <x:c r="G6612" s="6" t="str">
        <x:v>Pingshui main list, Wikisource-derived DOCX</x:v>
      </x:c>
      <x:c r="H6612" s="6" t="str"/>
      <x:c r="I6612" s="6" t="str">
        <x:v>Pingshui main-list expansion; 詞 entries ignored</x:v>
      </x:c>
      <x:c r="J6612" s="6" t="str">
        <x:f>IF(B6612="","",IF(AND(ISNUMBER(SEARCH("平",B6612)),OR(ISNUMBER(SEARCH("上",B6612)),ISNUMBER(SEARCH("去",B6612)),ISNUMBER(SEARCH("入",B6612)))),"Ambiguous",IF(ISNUMBER(SEARCH("平",B6612)),"平","仄")))</x:f>
      </x:c>
      <x:c r="K6612" s="6" t="str">
        <x:f>IF(D6612="","",IF(AND(ISNUMBER(SEARCH("平",D6612)),OR(ISNUMBER(SEARCH("上",D6612)),ISNUMBER(SEARCH("去",D6612)),ISNUMBER(SEARCH("入",D6612)))),"Ambiguous",IF(ISNUMBER(SEARCH("平",D6612)),"平","仄")))</x:f>
        <x:v>Ambiguous</x:v>
      </x:c>
      <x:c r="L6612" s="7" t="str">
        <x:v>Pingshui main list expansion</x:v>
      </x:c>
    </x:row>
    <x:row r="6613">
      <x:c r="A6613" s="5" t="str">
        <x:v>咥</x:v>
      </x:c>
      <x:c r="B6613" s="6" t="str"/>
      <x:c r="C6613" s="6" t="str">
        <x:f>IF(B6613="","Needs decision","Ready")</x:f>
        <x:v>Needs decision</x:v>
      </x:c>
      <x:c r="D6613" s="6" t="str">
        <x:v>去/入</x:v>
      </x:c>
      <x:c r="E6613" s="6" t="str"/>
      <x:c r="F6613" s="6" t="str">
        <x:v>去聲四寘; 入聲四質; 入聲九屑</x:v>
      </x:c>
      <x:c r="G6613" s="6" t="str">
        <x:v>Pingshui main list, Wikisource-derived DOCX</x:v>
      </x:c>
      <x:c r="H6613" s="6" t="str"/>
      <x:c r="I6613" s="6" t="str">
        <x:v>Pingshui main-list expansion; 詞 entries ignored</x:v>
      </x:c>
      <x:c r="J6613" s="6" t="str">
        <x:f>IF(B6613="","",IF(AND(ISNUMBER(SEARCH("平",B6613)),OR(ISNUMBER(SEARCH("上",B6613)),ISNUMBER(SEARCH("去",B6613)),ISNUMBER(SEARCH("入",B6613)))),"Ambiguous",IF(ISNUMBER(SEARCH("平",B6613)),"平","仄")))</x:f>
      </x:c>
      <x:c r="K6613" s="6" t="str">
        <x:f>IF(D6613="","",IF(AND(ISNUMBER(SEARCH("平",D6613)),OR(ISNUMBER(SEARCH("上",D6613)),ISNUMBER(SEARCH("去",D6613)),ISNUMBER(SEARCH("入",D6613)))),"Ambiguous",IF(ISNUMBER(SEARCH("平",D6613)),"平","仄")))</x:f>
        <x:v>仄</x:v>
      </x:c>
      <x:c r="L6613" s="7" t="str">
        <x:v>Pingshui main list expansion</x:v>
      </x:c>
    </x:row>
    <x:row r="6614">
      <x:c r="A6614" s="5" t="str">
        <x:v>哄</x:v>
      </x:c>
      <x:c r="B6614" s="6" t="str">
        <x:v>去</x:v>
      </x:c>
      <x:c r="C6614" s="6" t="str">
        <x:f>IF(B6614="","Needs decision","Ready")</x:f>
        <x:v>Ready</x:v>
      </x:c>
      <x:c r="D6614" s="6" t="str">
        <x:v>去</x:v>
      </x:c>
      <x:c r="E6614" s="6" t="str"/>
      <x:c r="F6614" s="6" t="str">
        <x:v>去聲一送</x:v>
      </x:c>
      <x:c r="G6614" s="6" t="str">
        <x:v>Pingshui main list, Wikisource-derived DOCX</x:v>
      </x:c>
      <x:c r="H6614" s="6" t="str"/>
      <x:c r="I6614" s="6" t="str">
        <x:v>Pingshui main-list expansion; 詞 entries ignored</x:v>
      </x:c>
      <x:c r="J6614" s="6" t="str">
        <x:f>IF(B6614="","",IF(AND(ISNUMBER(SEARCH("平",B6614)),OR(ISNUMBER(SEARCH("上",B6614)),ISNUMBER(SEARCH("去",B6614)),ISNUMBER(SEARCH("入",B6614)))),"Ambiguous",IF(ISNUMBER(SEARCH("平",B6614)),"平","仄")))</x:f>
        <x:v>仄</x:v>
      </x:c>
      <x:c r="K6614" s="6" t="str">
        <x:f>IF(D6614="","",IF(AND(ISNUMBER(SEARCH("平",D6614)),OR(ISNUMBER(SEARCH("上",D6614)),ISNUMBER(SEARCH("去",D6614)),ISNUMBER(SEARCH("入",D6614)))),"Ambiguous",IF(ISNUMBER(SEARCH("平",D6614)),"平","仄")))</x:f>
        <x:v>仄</x:v>
      </x:c>
      <x:c r="L6614" s="7" t="str">
        <x:v>Pingshui main list expansion</x:v>
      </x:c>
    </x:row>
    <x:row r="6615">
      <x:c r="A6615" s="5" t="str">
        <x:v>哨</x:v>
      </x:c>
      <x:c r="B6615" s="6" t="str"/>
      <x:c r="C6615" s="6" t="str">
        <x:f>IF(B6615="","Needs decision","Ready")</x:f>
        <x:v>Needs decision</x:v>
      </x:c>
      <x:c r="D6615" s="6" t="str">
        <x:v>平/去</x:v>
      </x:c>
      <x:c r="E6615" s="6" t="str"/>
      <x:c r="F6615" s="6" t="str">
        <x:v>下平聲二蕭; 去聲十八嘯</x:v>
      </x:c>
      <x:c r="G6615" s="6" t="str">
        <x:v>Pingshui main list, Wikisource-derived DOCX</x:v>
      </x:c>
      <x:c r="H6615" s="6" t="str"/>
      <x:c r="I6615" s="6" t="str">
        <x:v>Pingshui main-list expansion; 詞 entries ignored</x:v>
      </x:c>
      <x:c r="J6615" s="6" t="str">
        <x:f>IF(B6615="","",IF(AND(ISNUMBER(SEARCH("平",B6615)),OR(ISNUMBER(SEARCH("上",B6615)),ISNUMBER(SEARCH("去",B6615)),ISNUMBER(SEARCH("入",B6615)))),"Ambiguous",IF(ISNUMBER(SEARCH("平",B6615)),"平","仄")))</x:f>
      </x:c>
      <x:c r="K6615" s="6" t="str">
        <x:f>IF(D6615="","",IF(AND(ISNUMBER(SEARCH("平",D6615)),OR(ISNUMBER(SEARCH("上",D6615)),ISNUMBER(SEARCH("去",D6615)),ISNUMBER(SEARCH("入",D6615)))),"Ambiguous",IF(ISNUMBER(SEARCH("平",D6615)),"平","仄")))</x:f>
        <x:v>Ambiguous</x:v>
      </x:c>
      <x:c r="L6615" s="7" t="str">
        <x:v>Pingshui main list expansion</x:v>
      </x:c>
    </x:row>
    <x:row r="6616">
      <x:c r="A6616" s="5" t="str">
        <x:v>哻</x:v>
      </x:c>
      <x:c r="B6616" s="6" t="str">
        <x:v>平</x:v>
      </x:c>
      <x:c r="C6616" s="6" t="str">
        <x:f>IF(B6616="","Needs decision","Ready")</x:f>
        <x:v>Ready</x:v>
      </x:c>
      <x:c r="D6616" s="6" t="str">
        <x:v>平</x:v>
      </x:c>
      <x:c r="E6616" s="6" t="str"/>
      <x:c r="F6616" s="6" t="str">
        <x:v>上平聲七虞</x:v>
      </x:c>
      <x:c r="G6616" s="6" t="str">
        <x:v>Pingshui main list, Wikisource-derived DOCX</x:v>
      </x:c>
      <x:c r="H6616" s="6" t="str"/>
      <x:c r="I6616" s="6" t="str">
        <x:v>Pingshui main-list expansion; 詞 entries ignored</x:v>
      </x:c>
      <x:c r="J6616" s="6" t="str">
        <x:f>IF(B6616="","",IF(AND(ISNUMBER(SEARCH("平",B6616)),OR(ISNUMBER(SEARCH("上",B6616)),ISNUMBER(SEARCH("去",B6616)),ISNUMBER(SEARCH("入",B6616)))),"Ambiguous",IF(ISNUMBER(SEARCH("平",B6616)),"平","仄")))</x:f>
        <x:v>平</x:v>
      </x:c>
      <x:c r="K6616" s="6" t="str">
        <x:f>IF(D6616="","",IF(AND(ISNUMBER(SEARCH("平",D6616)),OR(ISNUMBER(SEARCH("上",D6616)),ISNUMBER(SEARCH("去",D6616)),ISNUMBER(SEARCH("入",D6616)))),"Ambiguous",IF(ISNUMBER(SEARCH("平",D6616)),"平","仄")))</x:f>
        <x:v>平</x:v>
      </x:c>
      <x:c r="L6616" s="7" t="str">
        <x:v>Pingshui main list expansion</x:v>
      </x:c>
    </x:row>
    <x:row r="6617">
      <x:c r="A6617" s="5" t="str">
        <x:v>哿</x:v>
      </x:c>
      <x:c r="B6617" s="6" t="str">
        <x:v>上</x:v>
      </x:c>
      <x:c r="C6617" s="6" t="str">
        <x:f>IF(B6617="","Needs decision","Ready")</x:f>
        <x:v>Ready</x:v>
      </x:c>
      <x:c r="D6617" s="6" t="str">
        <x:v>上</x:v>
      </x:c>
      <x:c r="E6617" s="6" t="str"/>
      <x:c r="F6617" s="6" t="str">
        <x:v>上聲二十哿</x:v>
      </x:c>
      <x:c r="G6617" s="6" t="str">
        <x:v>Pingshui main list, Wikisource-derived DOCX</x:v>
      </x:c>
      <x:c r="H6617" s="6" t="str"/>
      <x:c r="I6617" s="6" t="str">
        <x:v>Pingshui main-list expansion; 詞 entries ignored</x:v>
      </x:c>
      <x:c r="J6617" s="6" t="str">
        <x:f>IF(B6617="","",IF(AND(ISNUMBER(SEARCH("平",B6617)),OR(ISNUMBER(SEARCH("上",B6617)),ISNUMBER(SEARCH("去",B6617)),ISNUMBER(SEARCH("入",B6617)))),"Ambiguous",IF(ISNUMBER(SEARCH("平",B6617)),"平","仄")))</x:f>
        <x:v>仄</x:v>
      </x:c>
      <x:c r="K6617" s="6" t="str">
        <x:f>IF(D6617="","",IF(AND(ISNUMBER(SEARCH("平",D6617)),OR(ISNUMBER(SEARCH("上",D6617)),ISNUMBER(SEARCH("去",D6617)),ISNUMBER(SEARCH("入",D6617)))),"Ambiguous",IF(ISNUMBER(SEARCH("平",D6617)),"平","仄")))</x:f>
        <x:v>仄</x:v>
      </x:c>
      <x:c r="L6617" s="7" t="str">
        <x:v>Pingshui main list expansion</x:v>
      </x:c>
    </x:row>
    <x:row r="6618">
      <x:c r="A6618" s="5" t="str">
        <x:v>唁</x:v>
      </x:c>
      <x:c r="B6618" s="6" t="str">
        <x:v>去</x:v>
      </x:c>
      <x:c r="C6618" s="6" t="str">
        <x:f>IF(B6618="","Needs decision","Ready")</x:f>
        <x:v>Ready</x:v>
      </x:c>
      <x:c r="D6618" s="6" t="str">
        <x:v>去</x:v>
      </x:c>
      <x:c r="E6618" s="6" t="str"/>
      <x:c r="F6618" s="6" t="str">
        <x:v>去聲十七霰</x:v>
      </x:c>
      <x:c r="G6618" s="6" t="str">
        <x:v>Pingshui main list, Wikisource-derived DOCX</x:v>
      </x:c>
      <x:c r="H6618" s="6" t="str"/>
      <x:c r="I6618" s="6" t="str">
        <x:v>Pingshui main-list expansion; 詞 entries ignored</x:v>
      </x:c>
      <x:c r="J6618" s="6" t="str">
        <x:f>IF(B6618="","",IF(AND(ISNUMBER(SEARCH("平",B6618)),OR(ISNUMBER(SEARCH("上",B6618)),ISNUMBER(SEARCH("去",B6618)),ISNUMBER(SEARCH("入",B6618)))),"Ambiguous",IF(ISNUMBER(SEARCH("平",B6618)),"平","仄")))</x:f>
        <x:v>仄</x:v>
      </x:c>
      <x:c r="K6618" s="6" t="str">
        <x:f>IF(D6618="","",IF(AND(ISNUMBER(SEARCH("平",D6618)),OR(ISNUMBER(SEARCH("上",D6618)),ISNUMBER(SEARCH("去",D6618)),ISNUMBER(SEARCH("入",D6618)))),"Ambiguous",IF(ISNUMBER(SEARCH("平",D6618)),"平","仄")))</x:f>
        <x:v>仄</x:v>
      </x:c>
      <x:c r="L6618" s="7" t="str">
        <x:v>Pingshui main list expansion</x:v>
      </x:c>
    </x:row>
    <x:row r="6619">
      <x:c r="A6619" s="5" t="str">
        <x:v>唄</x:v>
      </x:c>
      <x:c r="B6619" s="6" t="str">
        <x:v>去</x:v>
      </x:c>
      <x:c r="C6619" s="6" t="str">
        <x:f>IF(B6619="","Needs decision","Ready")</x:f>
        <x:v>Ready</x:v>
      </x:c>
      <x:c r="D6619" s="6" t="str">
        <x:v>去</x:v>
      </x:c>
      <x:c r="E6619" s="6" t="str"/>
      <x:c r="F6619" s="6" t="str">
        <x:v>去聲十卦</x:v>
      </x:c>
      <x:c r="G6619" s="6" t="str">
        <x:v>Pingshui main list, Wikisource-derived DOCX</x:v>
      </x:c>
      <x:c r="H6619" s="6" t="str"/>
      <x:c r="I6619" s="6" t="str">
        <x:v>Pingshui main-list expansion; 詞 entries ignored</x:v>
      </x:c>
      <x:c r="J6619" s="6" t="str">
        <x:f>IF(B6619="","",IF(AND(ISNUMBER(SEARCH("平",B6619)),OR(ISNUMBER(SEARCH("上",B6619)),ISNUMBER(SEARCH("去",B6619)),ISNUMBER(SEARCH("入",B6619)))),"Ambiguous",IF(ISNUMBER(SEARCH("平",B6619)),"平","仄")))</x:f>
        <x:v>仄</x:v>
      </x:c>
      <x:c r="K6619" s="6" t="str">
        <x:f>IF(D6619="","",IF(AND(ISNUMBER(SEARCH("平",D6619)),OR(ISNUMBER(SEARCH("上",D6619)),ISNUMBER(SEARCH("去",D6619)),ISNUMBER(SEARCH("入",D6619)))),"Ambiguous",IF(ISNUMBER(SEARCH("平",D6619)),"平","仄")))</x:f>
        <x:v>仄</x:v>
      </x:c>
      <x:c r="L6619" s="7" t="str">
        <x:v>Pingshui main list expansion</x:v>
      </x:c>
    </x:row>
    <x:row r="6620">
      <x:c r="A6620" s="5" t="str">
        <x:v>唉</x:v>
      </x:c>
      <x:c r="B6620" s="6" t="str">
        <x:v>平</x:v>
      </x:c>
      <x:c r="C6620" s="6" t="str">
        <x:f>IF(B6620="","Needs decision","Ready")</x:f>
        <x:v>Ready</x:v>
      </x:c>
      <x:c r="D6620" s="6" t="str">
        <x:v>平</x:v>
      </x:c>
      <x:c r="E6620" s="6" t="str"/>
      <x:c r="F6620" s="6" t="str">
        <x:v>上平聲十灰</x:v>
      </x:c>
      <x:c r="G6620" s="6" t="str">
        <x:v>Pingshui main list, Wikisource-derived DOCX</x:v>
      </x:c>
      <x:c r="H6620" s="6" t="str"/>
      <x:c r="I6620" s="6" t="str">
        <x:v>Pingshui main-list expansion; 詞 entries ignored</x:v>
      </x:c>
      <x:c r="J6620" s="6" t="str">
        <x:f>IF(B6620="","",IF(AND(ISNUMBER(SEARCH("平",B6620)),OR(ISNUMBER(SEARCH("上",B6620)),ISNUMBER(SEARCH("去",B6620)),ISNUMBER(SEARCH("入",B6620)))),"Ambiguous",IF(ISNUMBER(SEARCH("平",B6620)),"平","仄")))</x:f>
        <x:v>平</x:v>
      </x:c>
      <x:c r="K6620" s="6" t="str">
        <x:f>IF(D6620="","",IF(AND(ISNUMBER(SEARCH("平",D6620)),OR(ISNUMBER(SEARCH("上",D6620)),ISNUMBER(SEARCH("去",D6620)),ISNUMBER(SEARCH("入",D6620)))),"Ambiguous",IF(ISNUMBER(SEARCH("平",D6620)),"平","仄")))</x:f>
        <x:v>平</x:v>
      </x:c>
      <x:c r="L6620" s="7" t="str">
        <x:v>Pingshui main list expansion</x:v>
      </x:c>
    </x:row>
    <x:row r="6621">
      <x:c r="A6621" s="5" t="str">
        <x:v>唪</x:v>
      </x:c>
      <x:c r="B6621" s="6" t="str">
        <x:v>上</x:v>
      </x:c>
      <x:c r="C6621" s="6" t="str">
        <x:f>IF(B6621="","Needs decision","Ready")</x:f>
        <x:v>Ready</x:v>
      </x:c>
      <x:c r="D6621" s="6" t="str">
        <x:v>上</x:v>
      </x:c>
      <x:c r="E6621" s="6" t="str"/>
      <x:c r="F6621" s="6" t="str">
        <x:v>上聲一董</x:v>
      </x:c>
      <x:c r="G6621" s="6" t="str">
        <x:v>Pingshui main list, Wikisource-derived DOCX</x:v>
      </x:c>
      <x:c r="H6621" s="6" t="str"/>
      <x:c r="I6621" s="6" t="str">
        <x:v>Pingshui main-list expansion; 詞 entries ignored</x:v>
      </x:c>
      <x:c r="J6621" s="6" t="str">
        <x:f>IF(B6621="","",IF(AND(ISNUMBER(SEARCH("平",B6621)),OR(ISNUMBER(SEARCH("上",B6621)),ISNUMBER(SEARCH("去",B6621)),ISNUMBER(SEARCH("入",B6621)))),"Ambiguous",IF(ISNUMBER(SEARCH("平",B6621)),"平","仄")))</x:f>
        <x:v>仄</x:v>
      </x:c>
      <x:c r="K6621" s="6" t="str">
        <x:f>IF(D6621="","",IF(AND(ISNUMBER(SEARCH("平",D6621)),OR(ISNUMBER(SEARCH("上",D6621)),ISNUMBER(SEARCH("去",D6621)),ISNUMBER(SEARCH("入",D6621)))),"Ambiguous",IF(ISNUMBER(SEARCH("平",D6621)),"平","仄")))</x:f>
        <x:v>仄</x:v>
      </x:c>
      <x:c r="L6621" s="7" t="str">
        <x:v>Pingshui main list expansion</x:v>
      </x:c>
    </x:row>
    <x:row r="6622">
      <x:c r="A6622" s="5" t="str">
        <x:v>唲</x:v>
      </x:c>
      <x:c r="B6622" s="6" t="str">
        <x:v>平</x:v>
      </x:c>
      <x:c r="C6622" s="6" t="str">
        <x:f>IF(B6622="","Needs decision","Ready")</x:f>
        <x:v>Ready</x:v>
      </x:c>
      <x:c r="D6622" s="6" t="str">
        <x:v>平</x:v>
      </x:c>
      <x:c r="E6622" s="6" t="str"/>
      <x:c r="F6622" s="6" t="str">
        <x:v>上平聲四支</x:v>
      </x:c>
      <x:c r="G6622" s="6" t="str">
        <x:v>Pingshui main list, Wikisource-derived DOCX</x:v>
      </x:c>
      <x:c r="H6622" s="6" t="str"/>
      <x:c r="I6622" s="6" t="str">
        <x:v>Pingshui main-list expansion; 詞 entries ignored</x:v>
      </x:c>
      <x:c r="J6622" s="6" t="str">
        <x:f>IF(B6622="","",IF(AND(ISNUMBER(SEARCH("平",B6622)),OR(ISNUMBER(SEARCH("上",B6622)),ISNUMBER(SEARCH("去",B6622)),ISNUMBER(SEARCH("入",B6622)))),"Ambiguous",IF(ISNUMBER(SEARCH("平",B6622)),"平","仄")))</x:f>
        <x:v>平</x:v>
      </x:c>
      <x:c r="K6622" s="6" t="str">
        <x:f>IF(D6622="","",IF(AND(ISNUMBER(SEARCH("平",D6622)),OR(ISNUMBER(SEARCH("上",D6622)),ISNUMBER(SEARCH("去",D6622)),ISNUMBER(SEARCH("入",D6622)))),"Ambiguous",IF(ISNUMBER(SEARCH("平",D6622)),"平","仄")))</x:f>
        <x:v>平</x:v>
      </x:c>
      <x:c r="L6622" s="7" t="str">
        <x:v>Pingshui main list expansion</x:v>
      </x:c>
    </x:row>
    <x:row r="6623">
      <x:c r="A6623" s="5" t="str">
        <x:v>唹</x:v>
      </x:c>
      <x:c r="B6623" s="6" t="str">
        <x:v>平</x:v>
      </x:c>
      <x:c r="C6623" s="6" t="str">
        <x:f>IF(B6623="","Needs decision","Ready")</x:f>
        <x:v>Ready</x:v>
      </x:c>
      <x:c r="D6623" s="6" t="str">
        <x:v>平</x:v>
      </x:c>
      <x:c r="E6623" s="6" t="str"/>
      <x:c r="F6623" s="6" t="str">
        <x:v>上平聲六魚</x:v>
      </x:c>
      <x:c r="G6623" s="6" t="str">
        <x:v>Pingshui main list, Wikisource-derived DOCX</x:v>
      </x:c>
      <x:c r="H6623" s="6" t="str"/>
      <x:c r="I6623" s="6" t="str">
        <x:v>Pingshui main-list expansion; 詞 entries ignored</x:v>
      </x:c>
      <x:c r="J6623" s="6" t="str">
        <x:f>IF(B6623="","",IF(AND(ISNUMBER(SEARCH("平",B6623)),OR(ISNUMBER(SEARCH("上",B6623)),ISNUMBER(SEARCH("去",B6623)),ISNUMBER(SEARCH("入",B6623)))),"Ambiguous",IF(ISNUMBER(SEARCH("平",B6623)),"平","仄")))</x:f>
        <x:v>平</x:v>
      </x:c>
      <x:c r="K6623" s="6" t="str">
        <x:f>IF(D6623="","",IF(AND(ISNUMBER(SEARCH("平",D6623)),OR(ISNUMBER(SEARCH("上",D6623)),ISNUMBER(SEARCH("去",D6623)),ISNUMBER(SEARCH("入",D6623)))),"Ambiguous",IF(ISNUMBER(SEARCH("平",D6623)),"平","仄")))</x:f>
        <x:v>平</x:v>
      </x:c>
      <x:c r="L6623" s="7" t="str">
        <x:v>Pingshui main list expansion</x:v>
      </x:c>
    </x:row>
    <x:row r="6624">
      <x:c r="A6624" s="5" t="str">
        <x:v>啀</x:v>
      </x:c>
      <x:c r="B6624" s="6" t="str">
        <x:v>平</x:v>
      </x:c>
      <x:c r="C6624" s="6" t="str">
        <x:f>IF(B6624="","Needs decision","Ready")</x:f>
        <x:v>Ready</x:v>
      </x:c>
      <x:c r="D6624" s="6" t="str">
        <x:v>平</x:v>
      </x:c>
      <x:c r="E6624" s="6" t="str"/>
      <x:c r="F6624" s="6" t="str">
        <x:v>上平聲九佳</x:v>
      </x:c>
      <x:c r="G6624" s="6" t="str">
        <x:v>Pingshui main list, Wikisource-derived DOCX</x:v>
      </x:c>
      <x:c r="H6624" s="6" t="str"/>
      <x:c r="I6624" s="6" t="str">
        <x:v>Pingshui main-list expansion; 詞 entries ignored</x:v>
      </x:c>
      <x:c r="J6624" s="6" t="str">
        <x:f>IF(B6624="","",IF(AND(ISNUMBER(SEARCH("平",B6624)),OR(ISNUMBER(SEARCH("上",B6624)),ISNUMBER(SEARCH("去",B6624)),ISNUMBER(SEARCH("入",B6624)))),"Ambiguous",IF(ISNUMBER(SEARCH("平",B6624)),"平","仄")))</x:f>
        <x:v>平</x:v>
      </x:c>
      <x:c r="K6624" s="6" t="str">
        <x:f>IF(D6624="","",IF(AND(ISNUMBER(SEARCH("平",D6624)),OR(ISNUMBER(SEARCH("上",D6624)),ISNUMBER(SEARCH("去",D6624)),ISNUMBER(SEARCH("入",D6624)))),"Ambiguous",IF(ISNUMBER(SEARCH("平",D6624)),"平","仄")))</x:f>
        <x:v>平</x:v>
      </x:c>
      <x:c r="L6624" s="7" t="str">
        <x:v>Pingshui main list expansion</x:v>
      </x:c>
    </x:row>
    <x:row r="6625">
      <x:c r="A6625" s="5" t="str">
        <x:v>啍</x:v>
      </x:c>
      <x:c r="B6625" s="6" t="str">
        <x:v>平</x:v>
      </x:c>
      <x:c r="C6625" s="6" t="str">
        <x:f>IF(B6625="","Needs decision","Ready")</x:f>
        <x:v>Ready</x:v>
      </x:c>
      <x:c r="D6625" s="6" t="str">
        <x:v>平</x:v>
      </x:c>
      <x:c r="E6625" s="6" t="str"/>
      <x:c r="F6625" s="6" t="str">
        <x:v>上平聲十三元</x:v>
      </x:c>
      <x:c r="G6625" s="6" t="str">
        <x:v>Pingshui main list, Wikisource-derived DOCX</x:v>
      </x:c>
      <x:c r="H6625" s="6" t="str"/>
      <x:c r="I6625" s="6" t="str">
        <x:v>Pingshui main-list expansion; 詞 entries ignored</x:v>
      </x:c>
      <x:c r="J6625" s="6" t="str">
        <x:f>IF(B6625="","",IF(AND(ISNUMBER(SEARCH("平",B6625)),OR(ISNUMBER(SEARCH("上",B6625)),ISNUMBER(SEARCH("去",B6625)),ISNUMBER(SEARCH("入",B6625)))),"Ambiguous",IF(ISNUMBER(SEARCH("平",B6625)),"平","仄")))</x:f>
        <x:v>平</x:v>
      </x:c>
      <x:c r="K6625" s="6" t="str">
        <x:f>IF(D6625="","",IF(AND(ISNUMBER(SEARCH("平",D6625)),OR(ISNUMBER(SEARCH("上",D6625)),ISNUMBER(SEARCH("去",D6625)),ISNUMBER(SEARCH("入",D6625)))),"Ambiguous",IF(ISNUMBER(SEARCH("平",D6625)),"平","仄")))</x:f>
        <x:v>平</x:v>
      </x:c>
      <x:c r="L6625" s="7" t="str">
        <x:v>Pingshui main list expansion</x:v>
      </x:c>
    </x:row>
    <x:row r="6626">
      <x:c r="A6626" s="5" t="str">
        <x:v>啑</x:v>
      </x:c>
      <x:c r="B6626" s="6" t="str">
        <x:v>入</x:v>
      </x:c>
      <x:c r="C6626" s="6" t="str">
        <x:f>IF(B6626="","Needs decision","Ready")</x:f>
        <x:v>Ready</x:v>
      </x:c>
      <x:c r="D6626" s="6" t="str">
        <x:v>入</x:v>
      </x:c>
      <x:c r="E6626" s="6" t="str"/>
      <x:c r="F6626" s="6" t="str">
        <x:v>入聲十七洽</x:v>
      </x:c>
      <x:c r="G6626" s="6" t="str">
        <x:v>Pingshui main list, Wikisource-derived DOCX</x:v>
      </x:c>
      <x:c r="H6626" s="6" t="str"/>
      <x:c r="I6626" s="6" t="str">
        <x:v>Pingshui main-list expansion; 詞 entries ignored</x:v>
      </x:c>
      <x:c r="J6626" s="6" t="str">
        <x:f>IF(B6626="","",IF(AND(ISNUMBER(SEARCH("平",B6626)),OR(ISNUMBER(SEARCH("上",B6626)),ISNUMBER(SEARCH("去",B6626)),ISNUMBER(SEARCH("入",B6626)))),"Ambiguous",IF(ISNUMBER(SEARCH("平",B6626)),"平","仄")))</x:f>
        <x:v>仄</x:v>
      </x:c>
      <x:c r="K6626" s="6" t="str">
        <x:f>IF(D6626="","",IF(AND(ISNUMBER(SEARCH("平",D6626)),OR(ISNUMBER(SEARCH("上",D6626)),ISNUMBER(SEARCH("去",D6626)),ISNUMBER(SEARCH("入",D6626)))),"Ambiguous",IF(ISNUMBER(SEARCH("平",D6626)),"平","仄")))</x:f>
        <x:v>仄</x:v>
      </x:c>
      <x:c r="L6626" s="7" t="str">
        <x:v>Pingshui main list expansion</x:v>
      </x:c>
    </x:row>
    <x:row r="6627">
      <x:c r="A6627" s="5" t="str">
        <x:v>啽</x:v>
      </x:c>
      <x:c r="B6627" s="6" t="str">
        <x:v>平</x:v>
      </x:c>
      <x:c r="C6627" s="6" t="str">
        <x:f>IF(B6627="","Needs decision","Ready")</x:f>
        <x:v>Ready</x:v>
      </x:c>
      <x:c r="D6627" s="6" t="str">
        <x:v>平</x:v>
      </x:c>
      <x:c r="E6627" s="6" t="str"/>
      <x:c r="F6627" s="6" t="str">
        <x:v>下平聲十三覃</x:v>
      </x:c>
      <x:c r="G6627" s="6" t="str">
        <x:v>Pingshui main list, Wikisource-derived DOCX</x:v>
      </x:c>
      <x:c r="H6627" s="6" t="str"/>
      <x:c r="I6627" s="6" t="str">
        <x:v>Pingshui main-list expansion; 詞 entries ignored</x:v>
      </x:c>
      <x:c r="J6627" s="6" t="str">
        <x:f>IF(B6627="","",IF(AND(ISNUMBER(SEARCH("平",B6627)),OR(ISNUMBER(SEARCH("上",B6627)),ISNUMBER(SEARCH("去",B6627)),ISNUMBER(SEARCH("入",B6627)))),"Ambiguous",IF(ISNUMBER(SEARCH("平",B6627)),"平","仄")))</x:f>
        <x:v>平</x:v>
      </x:c>
      <x:c r="K6627" s="6" t="str">
        <x:f>IF(D6627="","",IF(AND(ISNUMBER(SEARCH("平",D6627)),OR(ISNUMBER(SEARCH("上",D6627)),ISNUMBER(SEARCH("去",D6627)),ISNUMBER(SEARCH("入",D6627)))),"Ambiguous",IF(ISNUMBER(SEARCH("平",D6627)),"平","仄")))</x:f>
        <x:v>平</x:v>
      </x:c>
      <x:c r="L6627" s="7" t="str">
        <x:v>Pingshui main list expansion</x:v>
      </x:c>
    </x:row>
    <x:row r="6628">
      <x:c r="A6628" s="5" t="str">
        <x:v>喃</x:v>
      </x:c>
      <x:c r="B6628" s="6" t="str">
        <x:v>平</x:v>
      </x:c>
      <x:c r="C6628" s="6" t="str">
        <x:f>IF(B6628="","Needs decision","Ready")</x:f>
        <x:v>Ready</x:v>
      </x:c>
      <x:c r="D6628" s="6" t="str">
        <x:v>平</x:v>
      </x:c>
      <x:c r="E6628" s="6" t="str"/>
      <x:c r="F6628" s="6" t="str">
        <x:v>下平聲十五咸</x:v>
      </x:c>
      <x:c r="G6628" s="6" t="str">
        <x:v>Pingshui main list, Wikisource-derived DOCX</x:v>
      </x:c>
      <x:c r="H6628" s="6" t="str"/>
      <x:c r="I6628" s="6" t="str">
        <x:v>Pingshui main-list expansion; 詞 entries ignored</x:v>
      </x:c>
      <x:c r="J6628" s="6" t="str">
        <x:f>IF(B6628="","",IF(AND(ISNUMBER(SEARCH("平",B6628)),OR(ISNUMBER(SEARCH("上",B6628)),ISNUMBER(SEARCH("去",B6628)),ISNUMBER(SEARCH("入",B6628)))),"Ambiguous",IF(ISNUMBER(SEARCH("平",B6628)),"平","仄")))</x:f>
        <x:v>平</x:v>
      </x:c>
      <x:c r="K6628" s="6" t="str">
        <x:f>IF(D6628="","",IF(AND(ISNUMBER(SEARCH("平",D6628)),OR(ISNUMBER(SEARCH("上",D6628)),ISNUMBER(SEARCH("去",D6628)),ISNUMBER(SEARCH("入",D6628)))),"Ambiguous",IF(ISNUMBER(SEARCH("平",D6628)),"平","仄")))</x:f>
        <x:v>平</x:v>
      </x:c>
      <x:c r="L6628" s="7" t="str">
        <x:v>Pingshui main list expansion</x:v>
      </x:c>
    </x:row>
    <x:row r="6629">
      <x:c r="A6629" s="5" t="str">
        <x:v>喊</x:v>
      </x:c>
      <x:c r="B6629" s="6" t="str">
        <x:v>上</x:v>
      </x:c>
      <x:c r="C6629" s="6" t="str">
        <x:f>IF(B6629="","Needs decision","Ready")</x:f>
        <x:v>Ready</x:v>
      </x:c>
      <x:c r="D6629" s="6" t="str">
        <x:v>上</x:v>
      </x:c>
      <x:c r="E6629" s="6" t="str"/>
      <x:c r="F6629" s="6" t="str">
        <x:v>上聲二十七感; 上聲二十九豏</x:v>
      </x:c>
      <x:c r="G6629" s="6" t="str">
        <x:v>Pingshui main list, Wikisource-derived DOCX</x:v>
      </x:c>
      <x:c r="H6629" s="6" t="str"/>
      <x:c r="I6629" s="6" t="str">
        <x:v>Pingshui main-list expansion; 詞 entries ignored</x:v>
      </x:c>
      <x:c r="J6629" s="6" t="str">
        <x:f>IF(B6629="","",IF(AND(ISNUMBER(SEARCH("平",B6629)),OR(ISNUMBER(SEARCH("上",B6629)),ISNUMBER(SEARCH("去",B6629)),ISNUMBER(SEARCH("入",B6629)))),"Ambiguous",IF(ISNUMBER(SEARCH("平",B6629)),"平","仄")))</x:f>
        <x:v>仄</x:v>
      </x:c>
      <x:c r="K6629" s="6" t="str">
        <x:f>IF(D6629="","",IF(AND(ISNUMBER(SEARCH("平",D6629)),OR(ISNUMBER(SEARCH("上",D6629)),ISNUMBER(SEARCH("去",D6629)),ISNUMBER(SEARCH("入",D6629)))),"Ambiguous",IF(ISNUMBER(SEARCH("平",D6629)),"平","仄")))</x:f>
        <x:v>仄</x:v>
      </x:c>
      <x:c r="L6629" s="7" t="str">
        <x:v>Pingshui main list expansion</x:v>
      </x:c>
    </x:row>
    <x:row r="6630">
      <x:c r="A6630" s="5" t="str">
        <x:v>喢</x:v>
      </x:c>
      <x:c r="B6630" s="6" t="str">
        <x:v>入</x:v>
      </x:c>
      <x:c r="C6630" s="6" t="str">
        <x:f>IF(B6630="","Needs decision","Ready")</x:f>
        <x:v>Ready</x:v>
      </x:c>
      <x:c r="D6630" s="6" t="str">
        <x:v>入</x:v>
      </x:c>
      <x:c r="E6630" s="6" t="str"/>
      <x:c r="F6630" s="6" t="str">
        <x:v>入聲十七洽</x:v>
      </x:c>
      <x:c r="G6630" s="6" t="str">
        <x:v>Pingshui main list, Wikisource-derived DOCX</x:v>
      </x:c>
      <x:c r="H6630" s="6" t="str"/>
      <x:c r="I6630" s="6" t="str">
        <x:v>Pingshui main-list expansion; 詞 entries ignored</x:v>
      </x:c>
      <x:c r="J6630" s="6" t="str">
        <x:f>IF(B6630="","",IF(AND(ISNUMBER(SEARCH("平",B6630)),OR(ISNUMBER(SEARCH("上",B6630)),ISNUMBER(SEARCH("去",B6630)),ISNUMBER(SEARCH("入",B6630)))),"Ambiguous",IF(ISNUMBER(SEARCH("平",B6630)),"平","仄")))</x:f>
        <x:v>仄</x:v>
      </x:c>
      <x:c r="K6630" s="6" t="str">
        <x:f>IF(D6630="","",IF(AND(ISNUMBER(SEARCH("平",D6630)),OR(ISNUMBER(SEARCH("上",D6630)),ISNUMBER(SEARCH("去",D6630)),ISNUMBER(SEARCH("入",D6630)))),"Ambiguous",IF(ISNUMBER(SEARCH("平",D6630)),"平","仄")))</x:f>
        <x:v>仄</x:v>
      </x:c>
      <x:c r="L6630" s="7" t="str">
        <x:v>Pingshui main list expansion</x:v>
      </x:c>
    </x:row>
    <x:row r="6631">
      <x:c r="A6631" s="5" t="str">
        <x:v>喣</x:v>
      </x:c>
      <x:c r="B6631" s="6" t="str">
        <x:v>上</x:v>
      </x:c>
      <x:c r="C6631" s="6" t="str">
        <x:f>IF(B6631="","Needs decision","Ready")</x:f>
        <x:v>Ready</x:v>
      </x:c>
      <x:c r="D6631" s="6" t="str">
        <x:v>上</x:v>
      </x:c>
      <x:c r="E6631" s="6" t="str"/>
      <x:c r="F6631" s="6" t="str">
        <x:v>上聲七麌</x:v>
      </x:c>
      <x:c r="G6631" s="6" t="str">
        <x:v>Pingshui main list, Wikisource-derived DOCX</x:v>
      </x:c>
      <x:c r="H6631" s="6" t="str"/>
      <x:c r="I6631" s="6" t="str">
        <x:v>Pingshui main-list expansion; 詞 entries ignored</x:v>
      </x:c>
      <x:c r="J6631" s="6" t="str">
        <x:f>IF(B6631="","",IF(AND(ISNUMBER(SEARCH("平",B6631)),OR(ISNUMBER(SEARCH("上",B6631)),ISNUMBER(SEARCH("去",B6631)),ISNUMBER(SEARCH("入",B6631)))),"Ambiguous",IF(ISNUMBER(SEARCH("平",B6631)),"平","仄")))</x:f>
        <x:v>仄</x:v>
      </x:c>
      <x:c r="K6631" s="6" t="str">
        <x:f>IF(D6631="","",IF(AND(ISNUMBER(SEARCH("平",D6631)),OR(ISNUMBER(SEARCH("上",D6631)),ISNUMBER(SEARCH("去",D6631)),ISNUMBER(SEARCH("入",D6631)))),"Ambiguous",IF(ISNUMBER(SEARCH("平",D6631)),"平","仄")))</x:f>
        <x:v>仄</x:v>
      </x:c>
      <x:c r="L6631" s="7" t="str">
        <x:v>Pingshui main list expansion</x:v>
      </x:c>
    </x:row>
    <x:row r="6632">
      <x:c r="A6632" s="5" t="str">
        <x:v>嗂</x:v>
      </x:c>
      <x:c r="B6632" s="6" t="str">
        <x:v>平</x:v>
      </x:c>
      <x:c r="C6632" s="6" t="str">
        <x:f>IF(B6632="","Needs decision","Ready")</x:f>
        <x:v>Ready</x:v>
      </x:c>
      <x:c r="D6632" s="6" t="str">
        <x:v>平</x:v>
      </x:c>
      <x:c r="E6632" s="6" t="str"/>
      <x:c r="F6632" s="6" t="str">
        <x:v>下平聲二蕭</x:v>
      </x:c>
      <x:c r="G6632" s="6" t="str">
        <x:v>Pingshui main list, Wikisource-derived DOCX</x:v>
      </x:c>
      <x:c r="H6632" s="6" t="str"/>
      <x:c r="I6632" s="6" t="str">
        <x:v>Pingshui main-list expansion; 詞 entries ignored</x:v>
      </x:c>
      <x:c r="J6632" s="6" t="str">
        <x:f>IF(B6632="","",IF(AND(ISNUMBER(SEARCH("平",B6632)),OR(ISNUMBER(SEARCH("上",B6632)),ISNUMBER(SEARCH("去",B6632)),ISNUMBER(SEARCH("入",B6632)))),"Ambiguous",IF(ISNUMBER(SEARCH("平",B6632)),"平","仄")))</x:f>
        <x:v>平</x:v>
      </x:c>
      <x:c r="K6632" s="6" t="str">
        <x:f>IF(D6632="","",IF(AND(ISNUMBER(SEARCH("平",D6632)),OR(ISNUMBER(SEARCH("上",D6632)),ISNUMBER(SEARCH("去",D6632)),ISNUMBER(SEARCH("入",D6632)))),"Ambiguous",IF(ISNUMBER(SEARCH("平",D6632)),"平","仄")))</x:f>
        <x:v>平</x:v>
      </x:c>
      <x:c r="L6632" s="7" t="str">
        <x:v>Pingshui main list expansion</x:v>
      </x:c>
    </x:row>
    <x:row r="6633">
      <x:c r="A6633" s="5" t="str">
        <x:v>嗄</x:v>
      </x:c>
      <x:c r="B6633" s="6" t="str">
        <x:v>去</x:v>
      </x:c>
      <x:c r="C6633" s="6" t="str">
        <x:f>IF(B6633="","Needs decision","Ready")</x:f>
        <x:v>Ready</x:v>
      </x:c>
      <x:c r="D6633" s="6" t="str">
        <x:v>去</x:v>
      </x:c>
      <x:c r="E6633" s="6" t="str"/>
      <x:c r="F6633" s="6" t="str">
        <x:v>去聲二十二禡</x:v>
      </x:c>
      <x:c r="G6633" s="6" t="str">
        <x:v>Pingshui main list, Wikisource-derived DOCX</x:v>
      </x:c>
      <x:c r="H6633" s="6" t="str"/>
      <x:c r="I6633" s="6" t="str">
        <x:v>Pingshui main-list expansion; 詞 entries ignored</x:v>
      </x:c>
      <x:c r="J6633" s="6" t="str">
        <x:f>IF(B6633="","",IF(AND(ISNUMBER(SEARCH("平",B6633)),OR(ISNUMBER(SEARCH("上",B6633)),ISNUMBER(SEARCH("去",B6633)),ISNUMBER(SEARCH("入",B6633)))),"Ambiguous",IF(ISNUMBER(SEARCH("平",B6633)),"平","仄")))</x:f>
        <x:v>仄</x:v>
      </x:c>
      <x:c r="K6633" s="6" t="str">
        <x:f>IF(D6633="","",IF(AND(ISNUMBER(SEARCH("平",D6633)),OR(ISNUMBER(SEARCH("上",D6633)),ISNUMBER(SEARCH("去",D6633)),ISNUMBER(SEARCH("入",D6633)))),"Ambiguous",IF(ISNUMBER(SEARCH("平",D6633)),"平","仄")))</x:f>
        <x:v>仄</x:v>
      </x:c>
      <x:c r="L6633" s="7" t="str">
        <x:v>Pingshui main list expansion</x:v>
      </x:c>
    </x:row>
    <x:row r="6634">
      <x:c r="A6634" s="5" t="str">
        <x:v>嗊</x:v>
      </x:c>
      <x:c r="B6634" s="6" t="str">
        <x:v>上</x:v>
      </x:c>
      <x:c r="C6634" s="6" t="str">
        <x:f>IF(B6634="","Needs decision","Ready")</x:f>
        <x:v>Ready</x:v>
      </x:c>
      <x:c r="D6634" s="6" t="str">
        <x:v>上</x:v>
      </x:c>
      <x:c r="E6634" s="6" t="str"/>
      <x:c r="F6634" s="6" t="str">
        <x:v>上聲一董</x:v>
      </x:c>
      <x:c r="G6634" s="6" t="str">
        <x:v>Pingshui main list, Wikisource-derived DOCX</x:v>
      </x:c>
      <x:c r="H6634" s="6" t="str"/>
      <x:c r="I6634" s="6" t="str">
        <x:v>Pingshui main-list expansion; 詞 entries ignored</x:v>
      </x:c>
      <x:c r="J6634" s="6" t="str">
        <x:f>IF(B6634="","",IF(AND(ISNUMBER(SEARCH("平",B6634)),OR(ISNUMBER(SEARCH("上",B6634)),ISNUMBER(SEARCH("去",B6634)),ISNUMBER(SEARCH("入",B6634)))),"Ambiguous",IF(ISNUMBER(SEARCH("平",B6634)),"平","仄")))</x:f>
        <x:v>仄</x:v>
      </x:c>
      <x:c r="K6634" s="6" t="str">
        <x:f>IF(D6634="","",IF(AND(ISNUMBER(SEARCH("平",D6634)),OR(ISNUMBER(SEARCH("上",D6634)),ISNUMBER(SEARCH("去",D6634)),ISNUMBER(SEARCH("入",D6634)))),"Ambiguous",IF(ISNUMBER(SEARCH("平",D6634)),"平","仄")))</x:f>
        <x:v>仄</x:v>
      </x:c>
      <x:c r="L6634" s="7" t="str">
        <x:v>Pingshui main list expansion</x:v>
      </x:c>
    </x:row>
    <x:row r="6635">
      <x:c r="A6635" s="5" t="str">
        <x:v>嗋</x:v>
      </x:c>
      <x:c r="B6635" s="6" t="str">
        <x:v>入</x:v>
      </x:c>
      <x:c r="C6635" s="6" t="str">
        <x:f>IF(B6635="","Needs decision","Ready")</x:f>
        <x:v>Ready</x:v>
      </x:c>
      <x:c r="D6635" s="6" t="str">
        <x:v>入</x:v>
      </x:c>
      <x:c r="E6635" s="6" t="str"/>
      <x:c r="F6635" s="6" t="str">
        <x:v>入聲十七洽</x:v>
      </x:c>
      <x:c r="G6635" s="6" t="str">
        <x:v>Pingshui main list, Wikisource-derived DOCX</x:v>
      </x:c>
      <x:c r="H6635" s="6" t="str"/>
      <x:c r="I6635" s="6" t="str">
        <x:v>Pingshui main-list expansion; 詞 entries ignored</x:v>
      </x:c>
      <x:c r="J6635" s="6" t="str">
        <x:f>IF(B6635="","",IF(AND(ISNUMBER(SEARCH("平",B6635)),OR(ISNUMBER(SEARCH("上",B6635)),ISNUMBER(SEARCH("去",B6635)),ISNUMBER(SEARCH("入",B6635)))),"Ambiguous",IF(ISNUMBER(SEARCH("平",B6635)),"平","仄")))</x:f>
        <x:v>仄</x:v>
      </x:c>
      <x:c r="K6635" s="6" t="str">
        <x:f>IF(D6635="","",IF(AND(ISNUMBER(SEARCH("平",D6635)),OR(ISNUMBER(SEARCH("上",D6635)),ISNUMBER(SEARCH("去",D6635)),ISNUMBER(SEARCH("入",D6635)))),"Ambiguous",IF(ISNUMBER(SEARCH("平",D6635)),"平","仄")))</x:f>
        <x:v>仄</x:v>
      </x:c>
      <x:c r="L6635" s="7" t="str">
        <x:v>Pingshui main list expansion</x:v>
      </x:c>
    </x:row>
    <x:row r="6636">
      <x:c r="A6636" s="5" t="str">
        <x:v>嗒</x:v>
      </x:c>
      <x:c r="B6636" s="6" t="str">
        <x:v>入</x:v>
      </x:c>
      <x:c r="C6636" s="6" t="str">
        <x:f>IF(B6636="","Needs decision","Ready")</x:f>
        <x:v>Ready</x:v>
      </x:c>
      <x:c r="D6636" s="6" t="str">
        <x:v>入</x:v>
      </x:c>
      <x:c r="E6636" s="6" t="str"/>
      <x:c r="F6636" s="6" t="str">
        <x:v>入聲十五合</x:v>
      </x:c>
      <x:c r="G6636" s="6" t="str">
        <x:v>Pingshui main list, Wikisource-derived DOCX</x:v>
      </x:c>
      <x:c r="H6636" s="6" t="str"/>
      <x:c r="I6636" s="6" t="str">
        <x:v>Pingshui main-list expansion; 詞 entries ignored</x:v>
      </x:c>
      <x:c r="J6636" s="6" t="str">
        <x:f>IF(B6636="","",IF(AND(ISNUMBER(SEARCH("平",B6636)),OR(ISNUMBER(SEARCH("上",B6636)),ISNUMBER(SEARCH("去",B6636)),ISNUMBER(SEARCH("入",B6636)))),"Ambiguous",IF(ISNUMBER(SEARCH("平",B6636)),"平","仄")))</x:f>
        <x:v>仄</x:v>
      </x:c>
      <x:c r="K6636" s="6" t="str">
        <x:f>IF(D6636="","",IF(AND(ISNUMBER(SEARCH("平",D6636)),OR(ISNUMBER(SEARCH("上",D6636)),ISNUMBER(SEARCH("去",D6636)),ISNUMBER(SEARCH("入",D6636)))),"Ambiguous",IF(ISNUMBER(SEARCH("平",D6636)),"平","仄")))</x:f>
        <x:v>仄</x:v>
      </x:c>
      <x:c r="L6636" s="7" t="str">
        <x:v>Pingshui main list expansion</x:v>
      </x:c>
    </x:row>
    <x:row r="6637">
      <x:c r="A6637" s="5" t="str">
        <x:v>嗛</x:v>
      </x:c>
      <x:c r="B6637" s="6" t="str">
        <x:v>上</x:v>
      </x:c>
      <x:c r="C6637" s="6" t="str">
        <x:f>IF(B6637="","Needs decision","Ready")</x:f>
        <x:v>Ready</x:v>
      </x:c>
      <x:c r="D6637" s="6" t="str">
        <x:v>上</x:v>
      </x:c>
      <x:c r="E6637" s="6" t="str"/>
      <x:c r="F6637" s="6" t="str">
        <x:v>上聲二十八琰</x:v>
      </x:c>
      <x:c r="G6637" s="6" t="str">
        <x:v>Pingshui main list, Wikisource-derived DOCX</x:v>
      </x:c>
      <x:c r="H6637" s="6" t="str"/>
      <x:c r="I6637" s="6" t="str">
        <x:v>Pingshui main-list expansion; 詞 entries ignored</x:v>
      </x:c>
      <x:c r="J6637" s="6" t="str">
        <x:f>IF(B6637="","",IF(AND(ISNUMBER(SEARCH("平",B6637)),OR(ISNUMBER(SEARCH("上",B6637)),ISNUMBER(SEARCH("去",B6637)),ISNUMBER(SEARCH("入",B6637)))),"Ambiguous",IF(ISNUMBER(SEARCH("平",B6637)),"平","仄")))</x:f>
        <x:v>仄</x:v>
      </x:c>
      <x:c r="K6637" s="6" t="str">
        <x:f>IF(D6637="","",IF(AND(ISNUMBER(SEARCH("平",D6637)),OR(ISNUMBER(SEARCH("上",D6637)),ISNUMBER(SEARCH("去",D6637)),ISNUMBER(SEARCH("入",D6637)))),"Ambiguous",IF(ISNUMBER(SEARCH("平",D6637)),"平","仄")))</x:f>
        <x:v>仄</x:v>
      </x:c>
      <x:c r="L6637" s="7" t="str">
        <x:v>Pingshui main list expansion</x:v>
      </x:c>
    </x:row>
    <x:row r="6638">
      <x:c r="A6638" s="5" t="str">
        <x:v>嗢</x:v>
      </x:c>
      <x:c r="B6638" s="6" t="str">
        <x:v>入</x:v>
      </x:c>
      <x:c r="C6638" s="6" t="str">
        <x:f>IF(B6638="","Needs decision","Ready")</x:f>
        <x:v>Ready</x:v>
      </x:c>
      <x:c r="D6638" s="6" t="str">
        <x:v>入</x:v>
      </x:c>
      <x:c r="E6638" s="6" t="str"/>
      <x:c r="F6638" s="6" t="str">
        <x:v>入聲六月</x:v>
      </x:c>
      <x:c r="G6638" s="6" t="str">
        <x:v>Pingshui main list, Wikisource-derived DOCX</x:v>
      </x:c>
      <x:c r="H6638" s="6" t="str"/>
      <x:c r="I6638" s="6" t="str">
        <x:v>Pingshui main-list expansion; 詞 entries ignored</x:v>
      </x:c>
      <x:c r="J6638" s="6" t="str">
        <x:f>IF(B6638="","",IF(AND(ISNUMBER(SEARCH("平",B6638)),OR(ISNUMBER(SEARCH("上",B6638)),ISNUMBER(SEARCH("去",B6638)),ISNUMBER(SEARCH("入",B6638)))),"Ambiguous",IF(ISNUMBER(SEARCH("平",B6638)),"平","仄")))</x:f>
        <x:v>仄</x:v>
      </x:c>
      <x:c r="K6638" s="6" t="str">
        <x:f>IF(D6638="","",IF(AND(ISNUMBER(SEARCH("平",D6638)),OR(ISNUMBER(SEARCH("上",D6638)),ISNUMBER(SEARCH("去",D6638)),ISNUMBER(SEARCH("入",D6638)))),"Ambiguous",IF(ISNUMBER(SEARCH("平",D6638)),"平","仄")))</x:f>
        <x:v>仄</x:v>
      </x:c>
      <x:c r="L6638" s="7" t="str">
        <x:v>Pingshui main list expansion</x:v>
      </x:c>
    </x:row>
    <x:row r="6639">
      <x:c r="A6639" s="5" t="str">
        <x:v>嗺</x:v>
      </x:c>
      <x:c r="B6639" s="6" t="str"/>
      <x:c r="C6639" s="6" t="str">
        <x:f>IF(B6639="","Needs decision","Ready")</x:f>
        <x:v>Needs decision</x:v>
      </x:c>
      <x:c r="D6639" s="6" t="str">
        <x:v>平/上</x:v>
      </x:c>
      <x:c r="E6639" s="6" t="str"/>
      <x:c r="F6639" s="6" t="str">
        <x:v>上平聲四支; 上聲四紙</x:v>
      </x:c>
      <x:c r="G6639" s="6" t="str">
        <x:v>Pingshui main list, Wikisource-derived DOCX</x:v>
      </x:c>
      <x:c r="H6639" s="6" t="str"/>
      <x:c r="I6639" s="6" t="str">
        <x:v>Pingshui main-list expansion; 詞 entries ignored</x:v>
      </x:c>
      <x:c r="J6639" s="6" t="str">
        <x:f>IF(B6639="","",IF(AND(ISNUMBER(SEARCH("平",B6639)),OR(ISNUMBER(SEARCH("上",B6639)),ISNUMBER(SEARCH("去",B6639)),ISNUMBER(SEARCH("入",B6639)))),"Ambiguous",IF(ISNUMBER(SEARCH("平",B6639)),"平","仄")))</x:f>
      </x:c>
      <x:c r="K6639" s="6" t="str">
        <x:f>IF(D6639="","",IF(AND(ISNUMBER(SEARCH("平",D6639)),OR(ISNUMBER(SEARCH("上",D6639)),ISNUMBER(SEARCH("去",D6639)),ISNUMBER(SEARCH("入",D6639)))),"Ambiguous",IF(ISNUMBER(SEARCH("平",D6639)),"平","仄")))</x:f>
        <x:v>Ambiguous</x:v>
      </x:c>
      <x:c r="L6639" s="7" t="str">
        <x:v>Pingshui main list expansion</x:v>
      </x:c>
    </x:row>
    <x:row r="6640">
      <x:c r="A6640" s="5" t="str">
        <x:v>嗾</x:v>
      </x:c>
      <x:c r="B6640" s="6" t="str"/>
      <x:c r="C6640" s="6" t="str">
        <x:f>IF(B6640="","Needs decision","Ready")</x:f>
        <x:v>Needs decision</x:v>
      </x:c>
      <x:c r="D6640" s="6" t="str">
        <x:v>上/去</x:v>
      </x:c>
      <x:c r="E6640" s="6" t="str"/>
      <x:c r="F6640" s="6" t="str">
        <x:v>上聲二十五有; 去聲二十六宥</x:v>
      </x:c>
      <x:c r="G6640" s="6" t="str">
        <x:v>Pingshui main list, Wikisource-derived DOCX</x:v>
      </x:c>
      <x:c r="H6640" s="6" t="str"/>
      <x:c r="I6640" s="6" t="str">
        <x:v>Pingshui main-list expansion; 詞 entries ignored</x:v>
      </x:c>
      <x:c r="J6640" s="6" t="str">
        <x:f>IF(B6640="","",IF(AND(ISNUMBER(SEARCH("平",B6640)),OR(ISNUMBER(SEARCH("上",B6640)),ISNUMBER(SEARCH("去",B6640)),ISNUMBER(SEARCH("入",B6640)))),"Ambiguous",IF(ISNUMBER(SEARCH("平",B6640)),"平","仄")))</x:f>
      </x:c>
      <x:c r="K6640" s="6" t="str">
        <x:f>IF(D6640="","",IF(AND(ISNUMBER(SEARCH("平",D6640)),OR(ISNUMBER(SEARCH("上",D6640)),ISNUMBER(SEARCH("去",D6640)),ISNUMBER(SEARCH("入",D6640)))),"Ambiguous",IF(ISNUMBER(SEARCH("平",D6640)),"平","仄")))</x:f>
        <x:v>仄</x:v>
      </x:c>
      <x:c r="L6640" s="7" t="str">
        <x:v>Pingshui main list expansion</x:v>
      </x:c>
    </x:row>
    <x:row r="6641">
      <x:c r="A6641" s="5" t="str">
        <x:v>嗿</x:v>
      </x:c>
      <x:c r="B6641" s="6" t="str">
        <x:v>上</x:v>
      </x:c>
      <x:c r="C6641" s="6" t="str">
        <x:f>IF(B6641="","Needs decision","Ready")</x:f>
        <x:v>Ready</x:v>
      </x:c>
      <x:c r="D6641" s="6" t="str">
        <x:v>上</x:v>
      </x:c>
      <x:c r="E6641" s="6" t="str"/>
      <x:c r="F6641" s="6" t="str">
        <x:v>上聲二十七感</x:v>
      </x:c>
      <x:c r="G6641" s="6" t="str">
        <x:v>Pingshui main list, Wikisource-derived DOCX</x:v>
      </x:c>
      <x:c r="H6641" s="6" t="str"/>
      <x:c r="I6641" s="6" t="str">
        <x:v>Pingshui main-list expansion; 詞 entries ignored</x:v>
      </x:c>
      <x:c r="J6641" s="6" t="str">
        <x:f>IF(B6641="","",IF(AND(ISNUMBER(SEARCH("平",B6641)),OR(ISNUMBER(SEARCH("上",B6641)),ISNUMBER(SEARCH("去",B6641)),ISNUMBER(SEARCH("入",B6641)))),"Ambiguous",IF(ISNUMBER(SEARCH("平",B6641)),"平","仄")))</x:f>
        <x:v>仄</x:v>
      </x:c>
      <x:c r="K6641" s="6" t="str">
        <x:f>IF(D6641="","",IF(AND(ISNUMBER(SEARCH("平",D6641)),OR(ISNUMBER(SEARCH("上",D6641)),ISNUMBER(SEARCH("去",D6641)),ISNUMBER(SEARCH("入",D6641)))),"Ambiguous",IF(ISNUMBER(SEARCH("平",D6641)),"平","仄")))</x:f>
        <x:v>仄</x:v>
      </x:c>
      <x:c r="L6641" s="7" t="str">
        <x:v>Pingshui main list expansion</x:v>
      </x:c>
    </x:row>
    <x:row r="6642">
      <x:c r="A6642" s="5" t="str">
        <x:v>嘂</x:v>
      </x:c>
      <x:c r="B6642" s="6" t="str">
        <x:v>去</x:v>
      </x:c>
      <x:c r="C6642" s="6" t="str">
        <x:f>IF(B6642="","Needs decision","Ready")</x:f>
        <x:v>Ready</x:v>
      </x:c>
      <x:c r="D6642" s="6" t="str">
        <x:v>去</x:v>
      </x:c>
      <x:c r="E6642" s="6" t="str"/>
      <x:c r="F6642" s="6" t="str">
        <x:v>去聲十八嘯</x:v>
      </x:c>
      <x:c r="G6642" s="6" t="str">
        <x:v>Pingshui main list, Wikisource-derived DOCX</x:v>
      </x:c>
      <x:c r="H6642" s="6" t="str"/>
      <x:c r="I6642" s="6" t="str">
        <x:v>Pingshui main-list expansion; 詞 entries ignored</x:v>
      </x:c>
      <x:c r="J6642" s="6" t="str">
        <x:f>IF(B6642="","",IF(AND(ISNUMBER(SEARCH("平",B6642)),OR(ISNUMBER(SEARCH("上",B6642)),ISNUMBER(SEARCH("去",B6642)),ISNUMBER(SEARCH("入",B6642)))),"Ambiguous",IF(ISNUMBER(SEARCH("平",B6642)),"平","仄")))</x:f>
        <x:v>仄</x:v>
      </x:c>
      <x:c r="K6642" s="6" t="str">
        <x:f>IF(D6642="","",IF(AND(ISNUMBER(SEARCH("平",D6642)),OR(ISNUMBER(SEARCH("上",D6642)),ISNUMBER(SEARCH("去",D6642)),ISNUMBER(SEARCH("入",D6642)))),"Ambiguous",IF(ISNUMBER(SEARCH("平",D6642)),"平","仄")))</x:f>
        <x:v>仄</x:v>
      </x:c>
      <x:c r="L6642" s="7" t="str">
        <x:v>Pingshui main list expansion</x:v>
      </x:c>
    </x:row>
    <x:row r="6643">
      <x:c r="A6643" s="5" t="str">
        <x:v>嘎</x:v>
      </x:c>
      <x:c r="B6643" s="6" t="str">
        <x:v>入</x:v>
      </x:c>
      <x:c r="C6643" s="6" t="str">
        <x:f>IF(B6643="","Needs decision","Ready")</x:f>
        <x:v>Ready</x:v>
      </x:c>
      <x:c r="D6643" s="6" t="str">
        <x:v>入</x:v>
      </x:c>
      <x:c r="E6643" s="6" t="str"/>
      <x:c r="F6643" s="6" t="str">
        <x:v>入聲八黠</x:v>
      </x:c>
      <x:c r="G6643" s="6" t="str">
        <x:v>Pingshui main list, Wikisource-derived DOCX</x:v>
      </x:c>
      <x:c r="H6643" s="6" t="str"/>
      <x:c r="I6643" s="6" t="str">
        <x:v>Pingshui main-list expansion; 詞 entries ignored</x:v>
      </x:c>
      <x:c r="J6643" s="6" t="str">
        <x:f>IF(B6643="","",IF(AND(ISNUMBER(SEARCH("平",B6643)),OR(ISNUMBER(SEARCH("上",B6643)),ISNUMBER(SEARCH("去",B6643)),ISNUMBER(SEARCH("入",B6643)))),"Ambiguous",IF(ISNUMBER(SEARCH("平",B6643)),"平","仄")))</x:f>
        <x:v>仄</x:v>
      </x:c>
      <x:c r="K6643" s="6" t="str">
        <x:f>IF(D6643="","",IF(AND(ISNUMBER(SEARCH("平",D6643)),OR(ISNUMBER(SEARCH("上",D6643)),ISNUMBER(SEARCH("去",D6643)),ISNUMBER(SEARCH("入",D6643)))),"Ambiguous",IF(ISNUMBER(SEARCH("平",D6643)),"平","仄")))</x:f>
        <x:v>仄</x:v>
      </x:c>
      <x:c r="L6643" s="7" t="str">
        <x:v>Pingshui main list expansion</x:v>
      </x:c>
    </x:row>
    <x:row r="6644">
      <x:c r="A6644" s="5" t="str">
        <x:v>嘐</x:v>
      </x:c>
      <x:c r="B6644" s="6" t="str">
        <x:v>平</x:v>
      </x:c>
      <x:c r="C6644" s="6" t="str">
        <x:f>IF(B6644="","Needs decision","Ready")</x:f>
        <x:v>Ready</x:v>
      </x:c>
      <x:c r="D6644" s="6" t="str">
        <x:v>平</x:v>
      </x:c>
      <x:c r="E6644" s="6" t="str"/>
      <x:c r="F6644" s="6" t="str">
        <x:v>下平聲三肴</x:v>
      </x:c>
      <x:c r="G6644" s="6" t="str">
        <x:v>Pingshui main list, Wikisource-derived DOCX</x:v>
      </x:c>
      <x:c r="H6644" s="6" t="str"/>
      <x:c r="I6644" s="6" t="str">
        <x:v>Pingshui main-list expansion; 詞 entries ignored</x:v>
      </x:c>
      <x:c r="J6644" s="6" t="str">
        <x:f>IF(B6644="","",IF(AND(ISNUMBER(SEARCH("平",B6644)),OR(ISNUMBER(SEARCH("上",B6644)),ISNUMBER(SEARCH("去",B6644)),ISNUMBER(SEARCH("入",B6644)))),"Ambiguous",IF(ISNUMBER(SEARCH("平",B6644)),"平","仄")))</x:f>
        <x:v>平</x:v>
      </x:c>
      <x:c r="K6644" s="6" t="str">
        <x:f>IF(D6644="","",IF(AND(ISNUMBER(SEARCH("平",D6644)),OR(ISNUMBER(SEARCH("上",D6644)),ISNUMBER(SEARCH("去",D6644)),ISNUMBER(SEARCH("入",D6644)))),"Ambiguous",IF(ISNUMBER(SEARCH("平",D6644)),"平","仄")))</x:f>
        <x:v>平</x:v>
      </x:c>
      <x:c r="L6644" s="7" t="str">
        <x:v>Pingshui main list expansion</x:v>
      </x:c>
    </x:row>
    <x:row r="6645">
      <x:c r="A6645" s="5" t="str">
        <x:v>嘕</x:v>
      </x:c>
      <x:c r="B6645" s="6" t="str">
        <x:v>平</x:v>
      </x:c>
      <x:c r="C6645" s="6" t="str">
        <x:f>IF(B6645="","Needs decision","Ready")</x:f>
        <x:v>Ready</x:v>
      </x:c>
      <x:c r="D6645" s="6" t="str">
        <x:v>平</x:v>
      </x:c>
      <x:c r="E6645" s="6" t="str"/>
      <x:c r="F6645" s="6" t="str">
        <x:v>下平聲一先</x:v>
      </x:c>
      <x:c r="G6645" s="6" t="str">
        <x:v>Pingshui main list, Wikisource-derived DOCX</x:v>
      </x:c>
      <x:c r="H6645" s="6" t="str"/>
      <x:c r="I6645" s="6" t="str">
        <x:v>Pingshui main-list expansion; 詞 entries ignored</x:v>
      </x:c>
      <x:c r="J6645" s="6" t="str">
        <x:f>IF(B6645="","",IF(AND(ISNUMBER(SEARCH("平",B6645)),OR(ISNUMBER(SEARCH("上",B6645)),ISNUMBER(SEARCH("去",B6645)),ISNUMBER(SEARCH("入",B6645)))),"Ambiguous",IF(ISNUMBER(SEARCH("平",B6645)),"平","仄")))</x:f>
        <x:v>平</x:v>
      </x:c>
      <x:c r="K6645" s="6" t="str">
        <x:f>IF(D6645="","",IF(AND(ISNUMBER(SEARCH("平",D6645)),OR(ISNUMBER(SEARCH("上",D6645)),ISNUMBER(SEARCH("去",D6645)),ISNUMBER(SEARCH("入",D6645)))),"Ambiguous",IF(ISNUMBER(SEARCH("平",D6645)),"平","仄")))</x:f>
        <x:v>平</x:v>
      </x:c>
      <x:c r="L6645" s="7" t="str">
        <x:v>Pingshui main list expansion</x:v>
      </x:c>
    </x:row>
    <x:row r="6646">
      <x:c r="A6646" s="5" t="str">
        <x:v>嘖</x:v>
      </x:c>
      <x:c r="B6646" s="6" t="str">
        <x:v>入</x:v>
      </x:c>
      <x:c r="C6646" s="6" t="str">
        <x:f>IF(B6646="","Needs decision","Ready")</x:f>
        <x:v>Ready</x:v>
      </x:c>
      <x:c r="D6646" s="6" t="str">
        <x:v>入</x:v>
      </x:c>
      <x:c r="E6646" s="6" t="str"/>
      <x:c r="F6646" s="6" t="str">
        <x:v>入聲十一陌</x:v>
      </x:c>
      <x:c r="G6646" s="6" t="str">
        <x:v>Pingshui main list, Wikisource-derived DOCX</x:v>
      </x:c>
      <x:c r="H6646" s="6" t="str"/>
      <x:c r="I6646" s="6" t="str">
        <x:v>Pingshui main-list expansion; 詞 entries ignored</x:v>
      </x:c>
      <x:c r="J6646" s="6" t="str">
        <x:f>IF(B6646="","",IF(AND(ISNUMBER(SEARCH("平",B6646)),OR(ISNUMBER(SEARCH("上",B6646)),ISNUMBER(SEARCH("去",B6646)),ISNUMBER(SEARCH("入",B6646)))),"Ambiguous",IF(ISNUMBER(SEARCH("平",B6646)),"平","仄")))</x:f>
        <x:v>仄</x:v>
      </x:c>
      <x:c r="K6646" s="6" t="str">
        <x:f>IF(D6646="","",IF(AND(ISNUMBER(SEARCH("平",D6646)),OR(ISNUMBER(SEARCH("上",D6646)),ISNUMBER(SEARCH("去",D6646)),ISNUMBER(SEARCH("入",D6646)))),"Ambiguous",IF(ISNUMBER(SEARCH("平",D6646)),"平","仄")))</x:f>
        <x:v>仄</x:v>
      </x:c>
      <x:c r="L6646" s="7" t="str">
        <x:v>Pingshui main list expansion</x:v>
      </x:c>
    </x:row>
    <x:row r="6647">
      <x:c r="A6647" s="5" t="str">
        <x:v>噅</x:v>
      </x:c>
      <x:c r="B6647" s="6" t="str">
        <x:v>平</x:v>
      </x:c>
      <x:c r="C6647" s="6" t="str">
        <x:f>IF(B6647="","Needs decision","Ready")</x:f>
        <x:v>Ready</x:v>
      </x:c>
      <x:c r="D6647" s="6" t="str">
        <x:v>平</x:v>
      </x:c>
      <x:c r="E6647" s="6" t="str"/>
      <x:c r="F6647" s="6" t="str">
        <x:v>上平聲四支</x:v>
      </x:c>
      <x:c r="G6647" s="6" t="str">
        <x:v>Pingshui main list, Wikisource-derived DOCX</x:v>
      </x:c>
      <x:c r="H6647" s="6" t="str"/>
      <x:c r="I6647" s="6" t="str">
        <x:v>Pingshui main-list expansion; 詞 entries ignored</x:v>
      </x:c>
      <x:c r="J6647" s="6" t="str">
        <x:f>IF(B6647="","",IF(AND(ISNUMBER(SEARCH("平",B6647)),OR(ISNUMBER(SEARCH("上",B6647)),ISNUMBER(SEARCH("去",B6647)),ISNUMBER(SEARCH("入",B6647)))),"Ambiguous",IF(ISNUMBER(SEARCH("平",B6647)),"平","仄")))</x:f>
        <x:v>平</x:v>
      </x:c>
      <x:c r="K6647" s="6" t="str">
        <x:f>IF(D6647="","",IF(AND(ISNUMBER(SEARCH("平",D6647)),OR(ISNUMBER(SEARCH("上",D6647)),ISNUMBER(SEARCH("去",D6647)),ISNUMBER(SEARCH("入",D6647)))),"Ambiguous",IF(ISNUMBER(SEARCH("平",D6647)),"平","仄")))</x:f>
        <x:v>平</x:v>
      </x:c>
      <x:c r="L6647" s="7" t="str">
        <x:v>Pingshui main list expansion</x:v>
      </x:c>
    </x:row>
    <x:row r="6648">
      <x:c r="A6648" s="5" t="str">
        <x:v>噈</x:v>
      </x:c>
      <x:c r="B6648" s="6" t="str">
        <x:v>入</x:v>
      </x:c>
      <x:c r="C6648" s="6" t="str">
        <x:f>IF(B6648="","Needs decision","Ready")</x:f>
        <x:v>Ready</x:v>
      </x:c>
      <x:c r="D6648" s="6" t="str">
        <x:v>入</x:v>
      </x:c>
      <x:c r="E6648" s="6" t="str"/>
      <x:c r="F6648" s="6" t="str">
        <x:v>入聲一屋</x:v>
      </x:c>
      <x:c r="G6648" s="6" t="str">
        <x:v>Pingshui main list, Wikisource-derived DOCX</x:v>
      </x:c>
      <x:c r="H6648" s="6" t="str"/>
      <x:c r="I6648" s="6" t="str">
        <x:v>Pingshui main-list expansion; 詞 entries ignored</x:v>
      </x:c>
      <x:c r="J6648" s="6" t="str">
        <x:f>IF(B6648="","",IF(AND(ISNUMBER(SEARCH("平",B6648)),OR(ISNUMBER(SEARCH("上",B6648)),ISNUMBER(SEARCH("去",B6648)),ISNUMBER(SEARCH("入",B6648)))),"Ambiguous",IF(ISNUMBER(SEARCH("平",B6648)),"平","仄")))</x:f>
        <x:v>仄</x:v>
      </x:c>
      <x:c r="K6648" s="6" t="str">
        <x:f>IF(D6648="","",IF(AND(ISNUMBER(SEARCH("平",D6648)),OR(ISNUMBER(SEARCH("上",D6648)),ISNUMBER(SEARCH("去",D6648)),ISNUMBER(SEARCH("入",D6648)))),"Ambiguous",IF(ISNUMBER(SEARCH("平",D6648)),"平","仄")))</x:f>
        <x:v>仄</x:v>
      </x:c>
      <x:c r="L6648" s="7" t="str">
        <x:v>Pingshui main list expansion</x:v>
      </x:c>
    </x:row>
    <x:row r="6649">
      <x:c r="A6649" s="5" t="str">
        <x:v>噉</x:v>
      </x:c>
      <x:c r="B6649" s="6" t="str">
        <x:v>上</x:v>
      </x:c>
      <x:c r="C6649" s="6" t="str">
        <x:f>IF(B6649="","Needs decision","Ready")</x:f>
        <x:v>Ready</x:v>
      </x:c>
      <x:c r="D6649" s="6" t="str">
        <x:v>上</x:v>
      </x:c>
      <x:c r="E6649" s="6" t="str"/>
      <x:c r="F6649" s="6" t="str">
        <x:v>上聲二十七感</x:v>
      </x:c>
      <x:c r="G6649" s="6" t="str">
        <x:v>Pingshui main list, Wikisource-derived DOCX</x:v>
      </x:c>
      <x:c r="H6649" s="6" t="str"/>
      <x:c r="I6649" s="6" t="str">
        <x:v>Pingshui main-list expansion; 詞 entries ignored</x:v>
      </x:c>
      <x:c r="J6649" s="6" t="str">
        <x:f>IF(B6649="","",IF(AND(ISNUMBER(SEARCH("平",B6649)),OR(ISNUMBER(SEARCH("上",B6649)),ISNUMBER(SEARCH("去",B6649)),ISNUMBER(SEARCH("入",B6649)))),"Ambiguous",IF(ISNUMBER(SEARCH("平",B6649)),"平","仄")))</x:f>
        <x:v>仄</x:v>
      </x:c>
      <x:c r="K6649" s="6" t="str">
        <x:f>IF(D6649="","",IF(AND(ISNUMBER(SEARCH("平",D6649)),OR(ISNUMBER(SEARCH("上",D6649)),ISNUMBER(SEARCH("去",D6649)),ISNUMBER(SEARCH("入",D6649)))),"Ambiguous",IF(ISNUMBER(SEARCH("平",D6649)),"平","仄")))</x:f>
        <x:v>仄</x:v>
      </x:c>
      <x:c r="L6649" s="7" t="str">
        <x:v>Pingshui main list expansion</x:v>
      </x:c>
    </x:row>
    <x:row r="6650">
      <x:c r="A6650" s="5" t="str">
        <x:v>噌</x:v>
      </x:c>
      <x:c r="B6650" s="6" t="str">
        <x:v>平</x:v>
      </x:c>
      <x:c r="C6650" s="6" t="str">
        <x:f>IF(B6650="","Needs decision","Ready")</x:f>
        <x:v>Ready</x:v>
      </x:c>
      <x:c r="D6650" s="6" t="str">
        <x:v>平</x:v>
      </x:c>
      <x:c r="E6650" s="6" t="str"/>
      <x:c r="F6650" s="6" t="str">
        <x:v>下平聲十蒸</x:v>
      </x:c>
      <x:c r="G6650" s="6" t="str">
        <x:v>Pingshui main list, Wikisource-derived DOCX</x:v>
      </x:c>
      <x:c r="H6650" s="6" t="str"/>
      <x:c r="I6650" s="6" t="str">
        <x:v>Pingshui main-list expansion; 詞 entries ignored</x:v>
      </x:c>
      <x:c r="J6650" s="6" t="str">
        <x:f>IF(B6650="","",IF(AND(ISNUMBER(SEARCH("平",B6650)),OR(ISNUMBER(SEARCH("上",B6650)),ISNUMBER(SEARCH("去",B6650)),ISNUMBER(SEARCH("入",B6650)))),"Ambiguous",IF(ISNUMBER(SEARCH("平",B6650)),"平","仄")))</x:f>
        <x:v>平</x:v>
      </x:c>
      <x:c r="K6650" s="6" t="str">
        <x:f>IF(D6650="","",IF(AND(ISNUMBER(SEARCH("平",D6650)),OR(ISNUMBER(SEARCH("上",D6650)),ISNUMBER(SEARCH("去",D6650)),ISNUMBER(SEARCH("入",D6650)))),"Ambiguous",IF(ISNUMBER(SEARCH("平",D6650)),"平","仄")))</x:f>
        <x:v>平</x:v>
      </x:c>
      <x:c r="L6650" s="7" t="str">
        <x:v>Pingshui main list expansion</x:v>
      </x:c>
    </x:row>
    <x:row r="6651">
      <x:c r="A6651" s="5" t="str">
        <x:v>噩</x:v>
      </x:c>
      <x:c r="B6651" s="6" t="str">
        <x:v>入</x:v>
      </x:c>
      <x:c r="C6651" s="6" t="str">
        <x:f>IF(B6651="","Needs decision","Ready")</x:f>
        <x:v>Ready</x:v>
      </x:c>
      <x:c r="D6651" s="6" t="str">
        <x:v>入</x:v>
      </x:c>
      <x:c r="E6651" s="6" t="str"/>
      <x:c r="F6651" s="6" t="str">
        <x:v>入聲十藥</x:v>
      </x:c>
      <x:c r="G6651" s="6" t="str">
        <x:v>Pingshui main list, Wikisource-derived DOCX</x:v>
      </x:c>
      <x:c r="H6651" s="6" t="str"/>
      <x:c r="I6651" s="6" t="str">
        <x:v>Pingshui main-list expansion; 詞 entries ignored</x:v>
      </x:c>
      <x:c r="J6651" s="6" t="str">
        <x:f>IF(B6651="","",IF(AND(ISNUMBER(SEARCH("平",B6651)),OR(ISNUMBER(SEARCH("上",B6651)),ISNUMBER(SEARCH("去",B6651)),ISNUMBER(SEARCH("入",B6651)))),"Ambiguous",IF(ISNUMBER(SEARCH("平",B6651)),"平","仄")))</x:f>
        <x:v>仄</x:v>
      </x:c>
      <x:c r="K6651" s="6" t="str">
        <x:f>IF(D6651="","",IF(AND(ISNUMBER(SEARCH("平",D6651)),OR(ISNUMBER(SEARCH("上",D6651)),ISNUMBER(SEARCH("去",D6651)),ISNUMBER(SEARCH("入",D6651)))),"Ambiguous",IF(ISNUMBER(SEARCH("平",D6651)),"平","仄")))</x:f>
        <x:v>仄</x:v>
      </x:c>
      <x:c r="L6651" s="7" t="str">
        <x:v>Pingshui main list expansion</x:v>
      </x:c>
    </x:row>
    <x:row r="6652">
      <x:c r="A6652" s="5" t="str">
        <x:v>嚃</x:v>
      </x:c>
      <x:c r="B6652" s="6" t="str">
        <x:v>入</x:v>
      </x:c>
      <x:c r="C6652" s="6" t="str">
        <x:f>IF(B6652="","Needs decision","Ready")</x:f>
        <x:v>Ready</x:v>
      </x:c>
      <x:c r="D6652" s="6" t="str">
        <x:v>入</x:v>
      </x:c>
      <x:c r="E6652" s="6" t="str"/>
      <x:c r="F6652" s="6" t="str">
        <x:v>入聲十五合</x:v>
      </x:c>
      <x:c r="G6652" s="6" t="str">
        <x:v>Pingshui main list, Wikisource-derived DOCX</x:v>
      </x:c>
      <x:c r="H6652" s="6" t="str"/>
      <x:c r="I6652" s="6" t="str">
        <x:v>Pingshui main-list expansion; 詞 entries ignored</x:v>
      </x:c>
      <x:c r="J6652" s="6" t="str">
        <x:f>IF(B6652="","",IF(AND(ISNUMBER(SEARCH("平",B6652)),OR(ISNUMBER(SEARCH("上",B6652)),ISNUMBER(SEARCH("去",B6652)),ISNUMBER(SEARCH("入",B6652)))),"Ambiguous",IF(ISNUMBER(SEARCH("平",B6652)),"平","仄")))</x:f>
        <x:v>仄</x:v>
      </x:c>
      <x:c r="K6652" s="6" t="str">
        <x:f>IF(D6652="","",IF(AND(ISNUMBER(SEARCH("平",D6652)),OR(ISNUMBER(SEARCH("上",D6652)),ISNUMBER(SEARCH("去",D6652)),ISNUMBER(SEARCH("入",D6652)))),"Ambiguous",IF(ISNUMBER(SEARCH("平",D6652)),"平","仄")))</x:f>
        <x:v>仄</x:v>
      </x:c>
      <x:c r="L6652" s="7" t="str">
        <x:v>Pingshui main list expansion</x:v>
      </x:c>
    </x:row>
    <x:row r="6653">
      <x:c r="A6653" s="5" t="str">
        <x:v>嚅</x:v>
      </x:c>
      <x:c r="B6653" s="6" t="str">
        <x:v>平</x:v>
      </x:c>
      <x:c r="C6653" s="6" t="str">
        <x:f>IF(B6653="","Needs decision","Ready")</x:f>
        <x:v>Ready</x:v>
      </x:c>
      <x:c r="D6653" s="6" t="str">
        <x:v>平</x:v>
      </x:c>
      <x:c r="E6653" s="6" t="str"/>
      <x:c r="F6653" s="6" t="str">
        <x:v>上平聲七虞</x:v>
      </x:c>
      <x:c r="G6653" s="6" t="str">
        <x:v>Pingshui main list, Wikisource-derived DOCX</x:v>
      </x:c>
      <x:c r="H6653" s="6" t="str"/>
      <x:c r="I6653" s="6" t="str">
        <x:v>Pingshui main-list expansion; 詞 entries ignored</x:v>
      </x:c>
      <x:c r="J6653" s="6" t="str">
        <x:f>IF(B6653="","",IF(AND(ISNUMBER(SEARCH("平",B6653)),OR(ISNUMBER(SEARCH("上",B6653)),ISNUMBER(SEARCH("去",B6653)),ISNUMBER(SEARCH("入",B6653)))),"Ambiguous",IF(ISNUMBER(SEARCH("平",B6653)),"平","仄")))</x:f>
        <x:v>平</x:v>
      </x:c>
      <x:c r="K6653" s="6" t="str">
        <x:f>IF(D6653="","",IF(AND(ISNUMBER(SEARCH("平",D6653)),OR(ISNUMBER(SEARCH("上",D6653)),ISNUMBER(SEARCH("去",D6653)),ISNUMBER(SEARCH("入",D6653)))),"Ambiguous",IF(ISNUMBER(SEARCH("平",D6653)),"平","仄")))</x:f>
        <x:v>平</x:v>
      </x:c>
      <x:c r="L6653" s="7" t="str">
        <x:v>Pingshui main list expansion</x:v>
      </x:c>
    </x:row>
    <x:row r="6654">
      <x:c r="A6654" s="5" t="str">
        <x:v>嚌</x:v>
      </x:c>
      <x:c r="B6654" s="6" t="str">
        <x:v>去</x:v>
      </x:c>
      <x:c r="C6654" s="6" t="str">
        <x:f>IF(B6654="","Needs decision","Ready")</x:f>
        <x:v>Ready</x:v>
      </x:c>
      <x:c r="D6654" s="6" t="str">
        <x:v>去</x:v>
      </x:c>
      <x:c r="E6654" s="6" t="str"/>
      <x:c r="F6654" s="6" t="str">
        <x:v>去聲八霽</x:v>
      </x:c>
      <x:c r="G6654" s="6" t="str">
        <x:v>Pingshui main list, Wikisource-derived DOCX</x:v>
      </x:c>
      <x:c r="H6654" s="6" t="str"/>
      <x:c r="I6654" s="6" t="str">
        <x:v>Pingshui main-list expansion; 詞 entries ignored</x:v>
      </x:c>
      <x:c r="J6654" s="6" t="str">
        <x:f>IF(B6654="","",IF(AND(ISNUMBER(SEARCH("平",B6654)),OR(ISNUMBER(SEARCH("上",B6654)),ISNUMBER(SEARCH("去",B6654)),ISNUMBER(SEARCH("入",B6654)))),"Ambiguous",IF(ISNUMBER(SEARCH("平",B6654)),"平","仄")))</x:f>
        <x:v>仄</x:v>
      </x:c>
      <x:c r="K6654" s="6" t="str">
        <x:f>IF(D6654="","",IF(AND(ISNUMBER(SEARCH("平",D6654)),OR(ISNUMBER(SEARCH("上",D6654)),ISNUMBER(SEARCH("去",D6654)),ISNUMBER(SEARCH("入",D6654)))),"Ambiguous",IF(ISNUMBER(SEARCH("平",D6654)),"平","仄")))</x:f>
        <x:v>仄</x:v>
      </x:c>
      <x:c r="L6654" s="7" t="str">
        <x:v>Pingshui main list expansion</x:v>
      </x:c>
    </x:row>
    <x:row r="6655">
      <x:c r="A6655" s="5" t="str">
        <x:v>嚘</x:v>
      </x:c>
      <x:c r="B6655" s="6" t="str">
        <x:v>平</x:v>
      </x:c>
      <x:c r="C6655" s="6" t="str">
        <x:f>IF(B6655="","Needs decision","Ready")</x:f>
        <x:v>Ready</x:v>
      </x:c>
      <x:c r="D6655" s="6" t="str">
        <x:v>平</x:v>
      </x:c>
      <x:c r="E6655" s="6" t="str"/>
      <x:c r="F6655" s="6" t="str">
        <x:v>下平聲十一尤</x:v>
      </x:c>
      <x:c r="G6655" s="6" t="str">
        <x:v>Pingshui main list, Wikisource-derived DOCX</x:v>
      </x:c>
      <x:c r="H6655" s="6" t="str"/>
      <x:c r="I6655" s="6" t="str">
        <x:v>Pingshui main-list expansion; 詞 entries ignored</x:v>
      </x:c>
      <x:c r="J6655" s="6" t="str">
        <x:f>IF(B6655="","",IF(AND(ISNUMBER(SEARCH("平",B6655)),OR(ISNUMBER(SEARCH("上",B6655)),ISNUMBER(SEARCH("去",B6655)),ISNUMBER(SEARCH("入",B6655)))),"Ambiguous",IF(ISNUMBER(SEARCH("平",B6655)),"平","仄")))</x:f>
        <x:v>平</x:v>
      </x:c>
      <x:c r="K6655" s="6" t="str">
        <x:f>IF(D6655="","",IF(AND(ISNUMBER(SEARCH("平",D6655)),OR(ISNUMBER(SEARCH("上",D6655)),ISNUMBER(SEARCH("去",D6655)),ISNUMBER(SEARCH("入",D6655)))),"Ambiguous",IF(ISNUMBER(SEARCH("平",D6655)),"平","仄")))</x:f>
        <x:v>平</x:v>
      </x:c>
      <x:c r="L6655" s="7" t="str">
        <x:v>Pingshui main list expansion</x:v>
      </x:c>
    </x:row>
    <x:row r="6656">
      <x:c r="A6656" s="5" t="str">
        <x:v>嚚</x:v>
      </x:c>
      <x:c r="B6656" s="6" t="str">
        <x:v>平</x:v>
      </x:c>
      <x:c r="C6656" s="6" t="str">
        <x:f>IF(B6656="","Needs decision","Ready")</x:f>
        <x:v>Ready</x:v>
      </x:c>
      <x:c r="D6656" s="6" t="str">
        <x:v>平</x:v>
      </x:c>
      <x:c r="E6656" s="6" t="str"/>
      <x:c r="F6656" s="6" t="str">
        <x:v>上平聲十一真</x:v>
      </x:c>
      <x:c r="G6656" s="6" t="str">
        <x:v>Pingshui main list, Wikisource-derived DOCX</x:v>
      </x:c>
      <x:c r="H6656" s="6" t="str"/>
      <x:c r="I6656" s="6" t="str">
        <x:v>Pingshui main-list expansion; 詞 entries ignored</x:v>
      </x:c>
      <x:c r="J6656" s="6" t="str">
        <x:f>IF(B6656="","",IF(AND(ISNUMBER(SEARCH("平",B6656)),OR(ISNUMBER(SEARCH("上",B6656)),ISNUMBER(SEARCH("去",B6656)),ISNUMBER(SEARCH("入",B6656)))),"Ambiguous",IF(ISNUMBER(SEARCH("平",B6656)),"平","仄")))</x:f>
        <x:v>平</x:v>
      </x:c>
      <x:c r="K6656" s="6" t="str">
        <x:f>IF(D6656="","",IF(AND(ISNUMBER(SEARCH("平",D6656)),OR(ISNUMBER(SEARCH("上",D6656)),ISNUMBER(SEARCH("去",D6656)),ISNUMBER(SEARCH("入",D6656)))),"Ambiguous",IF(ISNUMBER(SEARCH("平",D6656)),"平","仄")))</x:f>
        <x:v>平</x:v>
      </x:c>
      <x:c r="L6656" s="7" t="str">
        <x:v>Pingshui main list expansion</x:v>
      </x:c>
    </x:row>
    <x:row r="6657">
      <x:c r="A6657" s="5" t="str">
        <x:v>嚲</x:v>
      </x:c>
      <x:c r="B6657" s="6" t="str">
        <x:v>上</x:v>
      </x:c>
      <x:c r="C6657" s="6" t="str">
        <x:f>IF(B6657="","Needs decision","Ready")</x:f>
        <x:v>Ready</x:v>
      </x:c>
      <x:c r="D6657" s="6" t="str">
        <x:v>上</x:v>
      </x:c>
      <x:c r="E6657" s="6" t="str"/>
      <x:c r="F6657" s="6" t="str">
        <x:v>上聲二十哿</x:v>
      </x:c>
      <x:c r="G6657" s="6" t="str">
        <x:v>Pingshui main list, Wikisource-derived DOCX</x:v>
      </x:c>
      <x:c r="H6657" s="6" t="str"/>
      <x:c r="I6657" s="6" t="str">
        <x:v>Pingshui main-list expansion; 詞 entries ignored</x:v>
      </x:c>
      <x:c r="J6657" s="6" t="str">
        <x:f>IF(B6657="","",IF(AND(ISNUMBER(SEARCH("平",B6657)),OR(ISNUMBER(SEARCH("上",B6657)),ISNUMBER(SEARCH("去",B6657)),ISNUMBER(SEARCH("入",B6657)))),"Ambiguous",IF(ISNUMBER(SEARCH("平",B6657)),"平","仄")))</x:f>
        <x:v>仄</x:v>
      </x:c>
      <x:c r="K6657" s="6" t="str">
        <x:f>IF(D6657="","",IF(AND(ISNUMBER(SEARCH("平",D6657)),OR(ISNUMBER(SEARCH("上",D6657)),ISNUMBER(SEARCH("去",D6657)),ISNUMBER(SEARCH("入",D6657)))),"Ambiguous",IF(ISNUMBER(SEARCH("平",D6657)),"平","仄")))</x:f>
        <x:v>仄</x:v>
      </x:c>
      <x:c r="L6657" s="7" t="str">
        <x:v>Pingshui main list expansion</x:v>
      </x:c>
    </x:row>
    <x:row r="6658">
      <x:c r="A6658" s="5" t="str">
        <x:v>嚳</x:v>
      </x:c>
      <x:c r="B6658" s="6" t="str">
        <x:v>入</x:v>
      </x:c>
      <x:c r="C6658" s="6" t="str">
        <x:f>IF(B6658="","Needs decision","Ready")</x:f>
        <x:v>Ready</x:v>
      </x:c>
      <x:c r="D6658" s="6" t="str">
        <x:v>入</x:v>
      </x:c>
      <x:c r="E6658" s="6" t="str"/>
      <x:c r="F6658" s="6" t="str">
        <x:v>入聲二沃</x:v>
      </x:c>
      <x:c r="G6658" s="6" t="str">
        <x:v>Pingshui main list, Wikisource-derived DOCX</x:v>
      </x:c>
      <x:c r="H6658" s="6" t="str"/>
      <x:c r="I6658" s="6" t="str">
        <x:v>Pingshui main-list expansion; 詞 entries ignored</x:v>
      </x:c>
      <x:c r="J6658" s="6" t="str">
        <x:f>IF(B6658="","",IF(AND(ISNUMBER(SEARCH("平",B6658)),OR(ISNUMBER(SEARCH("上",B6658)),ISNUMBER(SEARCH("去",B6658)),ISNUMBER(SEARCH("入",B6658)))),"Ambiguous",IF(ISNUMBER(SEARCH("平",B6658)),"平","仄")))</x:f>
        <x:v>仄</x:v>
      </x:c>
      <x:c r="K6658" s="6" t="str">
        <x:f>IF(D6658="","",IF(AND(ISNUMBER(SEARCH("平",D6658)),OR(ISNUMBER(SEARCH("上",D6658)),ISNUMBER(SEARCH("去",D6658)),ISNUMBER(SEARCH("入",D6658)))),"Ambiguous",IF(ISNUMBER(SEARCH("平",D6658)),"平","仄")))</x:f>
        <x:v>仄</x:v>
      </x:c>
      <x:c r="L6658" s="7" t="str">
        <x:v>Pingshui main list expansion</x:v>
      </x:c>
    </x:row>
    <x:row r="6659">
      <x:c r="A6659" s="5" t="str">
        <x:v>囈</x:v>
      </x:c>
      <x:c r="B6659" s="6" t="str">
        <x:v>去</x:v>
      </x:c>
      <x:c r="C6659" s="6" t="str">
        <x:f>IF(B6659="","Needs decision","Ready")</x:f>
        <x:v>Ready</x:v>
      </x:c>
      <x:c r="D6659" s="6" t="str">
        <x:v>去</x:v>
      </x:c>
      <x:c r="E6659" s="6" t="str"/>
      <x:c r="F6659" s="6" t="str">
        <x:v>去聲八霽</x:v>
      </x:c>
      <x:c r="G6659" s="6" t="str">
        <x:v>Pingshui main list, Wikisource-derived DOCX</x:v>
      </x:c>
      <x:c r="H6659" s="6" t="str"/>
      <x:c r="I6659" s="6" t="str">
        <x:v>Pingshui main-list expansion; 詞 entries ignored</x:v>
      </x:c>
      <x:c r="J6659" s="6" t="str">
        <x:f>IF(B6659="","",IF(AND(ISNUMBER(SEARCH("平",B6659)),OR(ISNUMBER(SEARCH("上",B6659)),ISNUMBER(SEARCH("去",B6659)),ISNUMBER(SEARCH("入",B6659)))),"Ambiguous",IF(ISNUMBER(SEARCH("平",B6659)),"平","仄")))</x:f>
        <x:v>仄</x:v>
      </x:c>
      <x:c r="K6659" s="6" t="str">
        <x:f>IF(D6659="","",IF(AND(ISNUMBER(SEARCH("平",D6659)),OR(ISNUMBER(SEARCH("上",D6659)),ISNUMBER(SEARCH("去",D6659)),ISNUMBER(SEARCH("入",D6659)))),"Ambiguous",IF(ISNUMBER(SEARCH("平",D6659)),"平","仄")))</x:f>
        <x:v>仄</x:v>
      </x:c>
      <x:c r="L6659" s="7" t="str">
        <x:v>Pingshui main list expansion</x:v>
      </x:c>
    </x:row>
    <x:row r="6660">
      <x:c r="A6660" s="5" t="str">
        <x:v>囉</x:v>
      </x:c>
      <x:c r="B6660" s="6" t="str">
        <x:v>平</x:v>
      </x:c>
      <x:c r="C6660" s="6" t="str">
        <x:f>IF(B6660="","Needs decision","Ready")</x:f>
        <x:v>Ready</x:v>
      </x:c>
      <x:c r="D6660" s="6" t="str">
        <x:v>平</x:v>
      </x:c>
      <x:c r="E6660" s="6" t="str"/>
      <x:c r="F6660" s="6" t="str">
        <x:v>下平聲五歌</x:v>
      </x:c>
      <x:c r="G6660" s="6" t="str">
        <x:v>Pingshui main list, Wikisource-derived DOCX</x:v>
      </x:c>
      <x:c r="H6660" s="6" t="str"/>
      <x:c r="I6660" s="6" t="str">
        <x:v>Pingshui main-list expansion; 詞 entries ignored</x:v>
      </x:c>
      <x:c r="J6660" s="6" t="str">
        <x:f>IF(B6660="","",IF(AND(ISNUMBER(SEARCH("平",B6660)),OR(ISNUMBER(SEARCH("上",B6660)),ISNUMBER(SEARCH("去",B6660)),ISNUMBER(SEARCH("入",B6660)))),"Ambiguous",IF(ISNUMBER(SEARCH("平",B6660)),"平","仄")))</x:f>
        <x:v>平</x:v>
      </x:c>
      <x:c r="K6660" s="6" t="str">
        <x:f>IF(D6660="","",IF(AND(ISNUMBER(SEARCH("平",D6660)),OR(ISNUMBER(SEARCH("上",D6660)),ISNUMBER(SEARCH("去",D6660)),ISNUMBER(SEARCH("入",D6660)))),"Ambiguous",IF(ISNUMBER(SEARCH("平",D6660)),"平","仄")))</x:f>
        <x:v>平</x:v>
      </x:c>
      <x:c r="L6660" s="7" t="str">
        <x:v>Pingshui main list expansion</x:v>
      </x:c>
    </x:row>
    <x:row r="6661">
      <x:c r="A6661" s="5" t="str">
        <x:v>囮</x:v>
      </x:c>
      <x:c r="B6661" s="6" t="str">
        <x:v>平</x:v>
      </x:c>
      <x:c r="C6661" s="6" t="str">
        <x:f>IF(B6661="","Needs decision","Ready")</x:f>
        <x:v>Ready</x:v>
      </x:c>
      <x:c r="D6661" s="6" t="str">
        <x:v>平</x:v>
      </x:c>
      <x:c r="E6661" s="6" t="str"/>
      <x:c r="F6661" s="6" t="str">
        <x:v>下平聲五歌</x:v>
      </x:c>
      <x:c r="G6661" s="6" t="str">
        <x:v>Pingshui main list, Wikisource-derived DOCX</x:v>
      </x:c>
      <x:c r="H6661" s="6" t="str"/>
      <x:c r="I6661" s="6" t="str">
        <x:v>Pingshui main-list expansion; 詞 entries ignored</x:v>
      </x:c>
      <x:c r="J6661" s="6" t="str">
        <x:f>IF(B6661="","",IF(AND(ISNUMBER(SEARCH("平",B6661)),OR(ISNUMBER(SEARCH("上",B6661)),ISNUMBER(SEARCH("去",B6661)),ISNUMBER(SEARCH("入",B6661)))),"Ambiguous",IF(ISNUMBER(SEARCH("平",B6661)),"平","仄")))</x:f>
        <x:v>平</x:v>
      </x:c>
      <x:c r="K6661" s="6" t="str">
        <x:f>IF(D6661="","",IF(AND(ISNUMBER(SEARCH("平",D6661)),OR(ISNUMBER(SEARCH("上",D6661)),ISNUMBER(SEARCH("去",D6661)),ISNUMBER(SEARCH("入",D6661)))),"Ambiguous",IF(ISNUMBER(SEARCH("平",D6661)),"平","仄")))</x:f>
        <x:v>平</x:v>
      </x:c>
      <x:c r="L6661" s="7" t="str">
        <x:v>Pingshui main list expansion</x:v>
      </x:c>
    </x:row>
    <x:row r="6662">
      <x:c r="A6662" s="5" t="str">
        <x:v>圔</x:v>
      </x:c>
      <x:c r="B6662" s="6" t="str">
        <x:v>入</x:v>
      </x:c>
      <x:c r="C6662" s="6" t="str">
        <x:f>IF(B6662="","Needs decision","Ready")</x:f>
        <x:v>Ready</x:v>
      </x:c>
      <x:c r="D6662" s="6" t="str">
        <x:v>入</x:v>
      </x:c>
      <x:c r="E6662" s="6" t="str"/>
      <x:c r="F6662" s="6" t="str">
        <x:v>入聲十七洽</x:v>
      </x:c>
      <x:c r="G6662" s="6" t="str">
        <x:v>Pingshui main list, Wikisource-derived DOCX</x:v>
      </x:c>
      <x:c r="H6662" s="6" t="str"/>
      <x:c r="I6662" s="6" t="str">
        <x:v>Pingshui main-list expansion; 詞 entries ignored</x:v>
      </x:c>
      <x:c r="J6662" s="6" t="str">
        <x:f>IF(B6662="","",IF(AND(ISNUMBER(SEARCH("平",B6662)),OR(ISNUMBER(SEARCH("上",B6662)),ISNUMBER(SEARCH("去",B6662)),ISNUMBER(SEARCH("入",B6662)))),"Ambiguous",IF(ISNUMBER(SEARCH("平",B6662)),"平","仄")))</x:f>
        <x:v>仄</x:v>
      </x:c>
      <x:c r="K6662" s="6" t="str">
        <x:f>IF(D6662="","",IF(AND(ISNUMBER(SEARCH("平",D6662)),OR(ISNUMBER(SEARCH("上",D6662)),ISNUMBER(SEARCH("去",D6662)),ISNUMBER(SEARCH("入",D6662)))),"Ambiguous",IF(ISNUMBER(SEARCH("平",D6662)),"平","仄")))</x:f>
        <x:v>仄</x:v>
      </x:c>
      <x:c r="L6662" s="7" t="str">
        <x:v>Pingshui main list expansion</x:v>
      </x:c>
    </x:row>
    <x:row r="6663">
      <x:c r="A6663" s="5" t="str">
        <x:v>坋</x:v>
      </x:c>
      <x:c r="B6663" s="6" t="str"/>
      <x:c r="C6663" s="6" t="str">
        <x:f>IF(B6663="","Needs decision","Ready")</x:f>
        <x:v>Needs decision</x:v>
      </x:c>
      <x:c r="D6663" s="6" t="str">
        <x:v>上/去</x:v>
      </x:c>
      <x:c r="E6663" s="6" t="str"/>
      <x:c r="F6663" s="6" t="str">
        <x:v>上聲十二吻; 去聲十三問</x:v>
      </x:c>
      <x:c r="G6663" s="6" t="str">
        <x:v>Pingshui main list, Wikisource-derived DOCX</x:v>
      </x:c>
      <x:c r="H6663" s="6" t="str"/>
      <x:c r="I6663" s="6" t="str">
        <x:v>Pingshui main-list expansion; 詞 entries ignored</x:v>
      </x:c>
      <x:c r="J6663" s="6" t="str">
        <x:f>IF(B6663="","",IF(AND(ISNUMBER(SEARCH("平",B6663)),OR(ISNUMBER(SEARCH("上",B6663)),ISNUMBER(SEARCH("去",B6663)),ISNUMBER(SEARCH("入",B6663)))),"Ambiguous",IF(ISNUMBER(SEARCH("平",B6663)),"平","仄")))</x:f>
      </x:c>
      <x:c r="K6663" s="6" t="str">
        <x:f>IF(D6663="","",IF(AND(ISNUMBER(SEARCH("平",D6663)),OR(ISNUMBER(SEARCH("上",D6663)),ISNUMBER(SEARCH("去",D6663)),ISNUMBER(SEARCH("入",D6663)))),"Ambiguous",IF(ISNUMBER(SEARCH("平",D6663)),"平","仄")))</x:f>
        <x:v>仄</x:v>
      </x:c>
      <x:c r="L6663" s="7" t="str">
        <x:v>Pingshui main list expansion</x:v>
      </x:c>
    </x:row>
    <x:row r="6664">
      <x:c r="A6664" s="5" t="str">
        <x:v>坌</x:v>
      </x:c>
      <x:c r="B6664" s="6" t="str">
        <x:v>去</x:v>
      </x:c>
      <x:c r="C6664" s="6" t="str">
        <x:f>IF(B6664="","Needs decision","Ready")</x:f>
        <x:v>Ready</x:v>
      </x:c>
      <x:c r="D6664" s="6" t="str">
        <x:v>去</x:v>
      </x:c>
      <x:c r="E6664" s="6" t="str"/>
      <x:c r="F6664" s="6" t="str">
        <x:v>去聲十四願</x:v>
      </x:c>
      <x:c r="G6664" s="6" t="str">
        <x:v>Pingshui main list, Wikisource-derived DOCX</x:v>
      </x:c>
      <x:c r="H6664" s="6" t="str"/>
      <x:c r="I6664" s="6" t="str">
        <x:v>Pingshui main-list expansion; 詞 entries ignored</x:v>
      </x:c>
      <x:c r="J6664" s="6" t="str">
        <x:f>IF(B6664="","",IF(AND(ISNUMBER(SEARCH("平",B6664)),OR(ISNUMBER(SEARCH("上",B6664)),ISNUMBER(SEARCH("去",B6664)),ISNUMBER(SEARCH("入",B6664)))),"Ambiguous",IF(ISNUMBER(SEARCH("平",B6664)),"平","仄")))</x:f>
        <x:v>仄</x:v>
      </x:c>
      <x:c r="K6664" s="6" t="str">
        <x:f>IF(D6664="","",IF(AND(ISNUMBER(SEARCH("平",D6664)),OR(ISNUMBER(SEARCH("上",D6664)),ISNUMBER(SEARCH("去",D6664)),ISNUMBER(SEARCH("入",D6664)))),"Ambiguous",IF(ISNUMBER(SEARCH("平",D6664)),"平","仄")))</x:f>
        <x:v>仄</x:v>
      </x:c>
      <x:c r="L6664" s="7" t="str">
        <x:v>Pingshui main list expansion</x:v>
      </x:c>
    </x:row>
    <x:row r="6665">
      <x:c r="A6665" s="5" t="str">
        <x:v>坒</x:v>
      </x:c>
      <x:c r="B6665" s="6" t="str">
        <x:v>去</x:v>
      </x:c>
      <x:c r="C6665" s="6" t="str">
        <x:f>IF(B6665="","Needs decision","Ready")</x:f>
        <x:v>Ready</x:v>
      </x:c>
      <x:c r="D6665" s="6" t="str">
        <x:v>去</x:v>
      </x:c>
      <x:c r="E6665" s="6" t="str"/>
      <x:c r="F6665" s="6" t="str">
        <x:v>去聲四寘</x:v>
      </x:c>
      <x:c r="G6665" s="6" t="str">
        <x:v>Pingshui main list, Wikisource-derived DOCX</x:v>
      </x:c>
      <x:c r="H6665" s="6" t="str"/>
      <x:c r="I6665" s="6" t="str">
        <x:v>Pingshui main-list expansion; 詞 entries ignored</x:v>
      </x:c>
      <x:c r="J6665" s="6" t="str">
        <x:f>IF(B6665="","",IF(AND(ISNUMBER(SEARCH("平",B6665)),OR(ISNUMBER(SEARCH("上",B6665)),ISNUMBER(SEARCH("去",B6665)),ISNUMBER(SEARCH("入",B6665)))),"Ambiguous",IF(ISNUMBER(SEARCH("平",B6665)),"平","仄")))</x:f>
        <x:v>仄</x:v>
      </x:c>
      <x:c r="K6665" s="6" t="str">
        <x:f>IF(D6665="","",IF(AND(ISNUMBER(SEARCH("平",D6665)),OR(ISNUMBER(SEARCH("上",D6665)),ISNUMBER(SEARCH("去",D6665)),ISNUMBER(SEARCH("入",D6665)))),"Ambiguous",IF(ISNUMBER(SEARCH("平",D6665)),"平","仄")))</x:f>
        <x:v>仄</x:v>
      </x:c>
      <x:c r="L6665" s="7" t="str">
        <x:v>Pingshui main list expansion</x:v>
      </x:c>
    </x:row>
    <x:row r="6666">
      <x:c r="A6666" s="5" t="str">
        <x:v>坩</x:v>
      </x:c>
      <x:c r="B6666" s="6" t="str">
        <x:v>平</x:v>
      </x:c>
      <x:c r="C6666" s="6" t="str">
        <x:f>IF(B6666="","Needs decision","Ready")</x:f>
        <x:v>Ready</x:v>
      </x:c>
      <x:c r="D6666" s="6" t="str">
        <x:v>平</x:v>
      </x:c>
      <x:c r="E6666" s="6" t="str"/>
      <x:c r="F6666" s="6" t="str">
        <x:v>下平聲十三覃</x:v>
      </x:c>
      <x:c r="G6666" s="6" t="str">
        <x:v>Pingshui main list, Wikisource-derived DOCX</x:v>
      </x:c>
      <x:c r="H6666" s="6" t="str"/>
      <x:c r="I6666" s="6" t="str">
        <x:v>Pingshui main-list expansion; 詞 entries ignored</x:v>
      </x:c>
      <x:c r="J6666" s="6" t="str">
        <x:f>IF(B6666="","",IF(AND(ISNUMBER(SEARCH("平",B6666)),OR(ISNUMBER(SEARCH("上",B6666)),ISNUMBER(SEARCH("去",B6666)),ISNUMBER(SEARCH("入",B6666)))),"Ambiguous",IF(ISNUMBER(SEARCH("平",B6666)),"平","仄")))</x:f>
        <x:v>平</x:v>
      </x:c>
      <x:c r="K6666" s="6" t="str">
        <x:f>IF(D6666="","",IF(AND(ISNUMBER(SEARCH("平",D6666)),OR(ISNUMBER(SEARCH("上",D6666)),ISNUMBER(SEARCH("去",D6666)),ISNUMBER(SEARCH("入",D6666)))),"Ambiguous",IF(ISNUMBER(SEARCH("平",D6666)),"平","仄")))</x:f>
        <x:v>平</x:v>
      </x:c>
      <x:c r="L6666" s="7" t="str">
        <x:v>Pingshui main list expansion</x:v>
      </x:c>
    </x:row>
    <x:row r="6667">
      <x:c r="A6667" s="5" t="str">
        <x:v>坪</x:v>
      </x:c>
      <x:c r="B6667" s="6" t="str">
        <x:v>平</x:v>
      </x:c>
      <x:c r="C6667" s="6" t="str">
        <x:f>IF(B6667="","Needs decision","Ready")</x:f>
        <x:v>Ready</x:v>
      </x:c>
      <x:c r="D6667" s="6" t="str">
        <x:v>平</x:v>
      </x:c>
      <x:c r="E6667" s="6" t="str"/>
      <x:c r="F6667" s="6" t="str">
        <x:v>下平聲八庚</x:v>
      </x:c>
      <x:c r="G6667" s="6" t="str">
        <x:v>Pingshui main list, Wikisource-derived DOCX</x:v>
      </x:c>
      <x:c r="H6667" s="6" t="str"/>
      <x:c r="I6667" s="6" t="str">
        <x:v>Pingshui main-list expansion; 詞 entries ignored</x:v>
      </x:c>
      <x:c r="J6667" s="6" t="str">
        <x:f>IF(B6667="","",IF(AND(ISNUMBER(SEARCH("平",B6667)),OR(ISNUMBER(SEARCH("上",B6667)),ISNUMBER(SEARCH("去",B6667)),ISNUMBER(SEARCH("入",B6667)))),"Ambiguous",IF(ISNUMBER(SEARCH("平",B6667)),"平","仄")))</x:f>
        <x:v>平</x:v>
      </x:c>
      <x:c r="K6667" s="6" t="str">
        <x:f>IF(D6667="","",IF(AND(ISNUMBER(SEARCH("平",D6667)),OR(ISNUMBER(SEARCH("上",D6667)),ISNUMBER(SEARCH("去",D6667)),ISNUMBER(SEARCH("入",D6667)))),"Ambiguous",IF(ISNUMBER(SEARCH("平",D6667)),"平","仄")))</x:f>
        <x:v>平</x:v>
      </x:c>
      <x:c r="L6667" s="7" t="str">
        <x:v>Pingshui main list expansion</x:v>
      </x:c>
    </x:row>
    <x:row r="6668">
      <x:c r="A6668" s="5" t="str">
        <x:v>坫</x:v>
      </x:c>
      <x:c r="B6668" s="6" t="str">
        <x:v>去</x:v>
      </x:c>
      <x:c r="C6668" s="6" t="str">
        <x:f>IF(B6668="","Needs decision","Ready")</x:f>
        <x:v>Ready</x:v>
      </x:c>
      <x:c r="D6668" s="6" t="str">
        <x:v>去</x:v>
      </x:c>
      <x:c r="E6668" s="6" t="str"/>
      <x:c r="F6668" s="6" t="str">
        <x:v>去聲二十九豔</x:v>
      </x:c>
      <x:c r="G6668" s="6" t="str">
        <x:v>Pingshui main list, Wikisource-derived DOCX</x:v>
      </x:c>
      <x:c r="H6668" s="6" t="str"/>
      <x:c r="I6668" s="6" t="str">
        <x:v>Pingshui main-list expansion; 詞 entries ignored</x:v>
      </x:c>
      <x:c r="J6668" s="6" t="str">
        <x:f>IF(B6668="","",IF(AND(ISNUMBER(SEARCH("平",B6668)),OR(ISNUMBER(SEARCH("上",B6668)),ISNUMBER(SEARCH("去",B6668)),ISNUMBER(SEARCH("入",B6668)))),"Ambiguous",IF(ISNUMBER(SEARCH("平",B6668)),"平","仄")))</x:f>
        <x:v>仄</x:v>
      </x:c>
      <x:c r="K6668" s="6" t="str">
        <x:f>IF(D6668="","",IF(AND(ISNUMBER(SEARCH("平",D6668)),OR(ISNUMBER(SEARCH("上",D6668)),ISNUMBER(SEARCH("去",D6668)),ISNUMBER(SEARCH("入",D6668)))),"Ambiguous",IF(ISNUMBER(SEARCH("平",D6668)),"平","仄")))</x:f>
        <x:v>仄</x:v>
      </x:c>
      <x:c r="L6668" s="7" t="str">
        <x:v>Pingshui main list expansion</x:v>
      </x:c>
    </x:row>
    <x:row r="6669">
      <x:c r="A6669" s="5" t="str">
        <x:v>坱</x:v>
      </x:c>
      <x:c r="B6669" s="6" t="str">
        <x:v>上</x:v>
      </x:c>
      <x:c r="C6669" s="6" t="str">
        <x:f>IF(B6669="","Needs decision","Ready")</x:f>
        <x:v>Ready</x:v>
      </x:c>
      <x:c r="D6669" s="6" t="str">
        <x:v>上</x:v>
      </x:c>
      <x:c r="E6669" s="6" t="str"/>
      <x:c r="F6669" s="6" t="str">
        <x:v>上聲二十二養</x:v>
      </x:c>
      <x:c r="G6669" s="6" t="str">
        <x:v>Pingshui main list, Wikisource-derived DOCX</x:v>
      </x:c>
      <x:c r="H6669" s="6" t="str"/>
      <x:c r="I6669" s="6" t="str">
        <x:v>Pingshui main-list expansion; 詞 entries ignored</x:v>
      </x:c>
      <x:c r="J6669" s="6" t="str">
        <x:f>IF(B6669="","",IF(AND(ISNUMBER(SEARCH("平",B6669)),OR(ISNUMBER(SEARCH("上",B6669)),ISNUMBER(SEARCH("去",B6669)),ISNUMBER(SEARCH("入",B6669)))),"Ambiguous",IF(ISNUMBER(SEARCH("平",B6669)),"平","仄")))</x:f>
        <x:v>仄</x:v>
      </x:c>
      <x:c r="K6669" s="6" t="str">
        <x:f>IF(D6669="","",IF(AND(ISNUMBER(SEARCH("平",D6669)),OR(ISNUMBER(SEARCH("上",D6669)),ISNUMBER(SEARCH("去",D6669)),ISNUMBER(SEARCH("入",D6669)))),"Ambiguous",IF(ISNUMBER(SEARCH("平",D6669)),"平","仄")))</x:f>
        <x:v>仄</x:v>
      </x:c>
      <x:c r="L6669" s="7" t="str">
        <x:v>Pingshui main list expansion</x:v>
      </x:c>
    </x:row>
    <x:row r="6670">
      <x:c r="A6670" s="5" t="str">
        <x:v>坳</x:v>
      </x:c>
      <x:c r="B6670" s="6" t="str">
        <x:v>平</x:v>
      </x:c>
      <x:c r="C6670" s="6" t="str">
        <x:f>IF(B6670="","Needs decision","Ready")</x:f>
        <x:v>Ready</x:v>
      </x:c>
      <x:c r="D6670" s="6" t="str">
        <x:v>平</x:v>
      </x:c>
      <x:c r="E6670" s="6" t="str"/>
      <x:c r="F6670" s="6" t="str">
        <x:v>下平聲三肴</x:v>
      </x:c>
      <x:c r="G6670" s="6" t="str">
        <x:v>Pingshui main list, Wikisource-derived DOCX</x:v>
      </x:c>
      <x:c r="H6670" s="6" t="str"/>
      <x:c r="I6670" s="6" t="str">
        <x:v>Pingshui main-list expansion; 詞 entries ignored</x:v>
      </x:c>
      <x:c r="J6670" s="6" t="str">
        <x:f>IF(B6670="","",IF(AND(ISNUMBER(SEARCH("平",B6670)),OR(ISNUMBER(SEARCH("上",B6670)),ISNUMBER(SEARCH("去",B6670)),ISNUMBER(SEARCH("入",B6670)))),"Ambiguous",IF(ISNUMBER(SEARCH("平",B6670)),"平","仄")))</x:f>
        <x:v>平</x:v>
      </x:c>
      <x:c r="K6670" s="6" t="str">
        <x:f>IF(D6670="","",IF(AND(ISNUMBER(SEARCH("平",D6670)),OR(ISNUMBER(SEARCH("上",D6670)),ISNUMBER(SEARCH("去",D6670)),ISNUMBER(SEARCH("入",D6670)))),"Ambiguous",IF(ISNUMBER(SEARCH("平",D6670)),"平","仄")))</x:f>
        <x:v>平</x:v>
      </x:c>
      <x:c r="L6670" s="7" t="str">
        <x:v>Pingshui main list expansion</x:v>
      </x:c>
    </x:row>
    <x:row r="6671">
      <x:c r="A6671" s="5" t="str">
        <x:v>型</x:v>
      </x:c>
      <x:c r="B6671" s="6" t="str">
        <x:v>平</x:v>
      </x:c>
      <x:c r="C6671" s="6" t="str">
        <x:f>IF(B6671="","Needs decision","Ready")</x:f>
        <x:v>Ready</x:v>
      </x:c>
      <x:c r="D6671" s="6" t="str">
        <x:v>平</x:v>
      </x:c>
      <x:c r="E6671" s="6" t="str"/>
      <x:c r="F6671" s="6" t="str">
        <x:v>下平聲九青</x:v>
      </x:c>
      <x:c r="G6671" s="6" t="str">
        <x:v>Pingshui main list, Wikisource-derived DOCX</x:v>
      </x:c>
      <x:c r="H6671" s="6" t="str"/>
      <x:c r="I6671" s="6" t="str">
        <x:v>Pingshui main-list expansion; 詞 entries ignored</x:v>
      </x:c>
      <x:c r="J6671" s="6" t="str">
        <x:f>IF(B6671="","",IF(AND(ISNUMBER(SEARCH("平",B6671)),OR(ISNUMBER(SEARCH("上",B6671)),ISNUMBER(SEARCH("去",B6671)),ISNUMBER(SEARCH("入",B6671)))),"Ambiguous",IF(ISNUMBER(SEARCH("平",B6671)),"平","仄")))</x:f>
        <x:v>平</x:v>
      </x:c>
      <x:c r="K6671" s="6" t="str">
        <x:f>IF(D6671="","",IF(AND(ISNUMBER(SEARCH("平",D6671)),OR(ISNUMBER(SEARCH("上",D6671)),ISNUMBER(SEARCH("去",D6671)),ISNUMBER(SEARCH("入",D6671)))),"Ambiguous",IF(ISNUMBER(SEARCH("平",D6671)),"平","仄")))</x:f>
        <x:v>平</x:v>
      </x:c>
      <x:c r="L6671" s="7" t="str">
        <x:v>Pingshui main list expansion</x:v>
      </x:c>
    </x:row>
    <x:row r="6672">
      <x:c r="A6672" s="5" t="str">
        <x:v>垚</x:v>
      </x:c>
      <x:c r="B6672" s="6" t="str">
        <x:v>平</x:v>
      </x:c>
      <x:c r="C6672" s="6" t="str">
        <x:f>IF(B6672="","Needs decision","Ready")</x:f>
        <x:v>Ready</x:v>
      </x:c>
      <x:c r="D6672" s="6" t="str">
        <x:v>平</x:v>
      </x:c>
      <x:c r="E6672" s="6" t="str"/>
      <x:c r="F6672" s="6" t="str">
        <x:v>下平聲二蕭</x:v>
      </x:c>
      <x:c r="G6672" s="6" t="str">
        <x:v>Pingshui main list, Wikisource-derived DOCX</x:v>
      </x:c>
      <x:c r="H6672" s="6" t="str"/>
      <x:c r="I6672" s="6" t="str">
        <x:v>Pingshui main-list expansion; 詞 entries ignored</x:v>
      </x:c>
      <x:c r="J6672" s="6" t="str">
        <x:f>IF(B6672="","",IF(AND(ISNUMBER(SEARCH("平",B6672)),OR(ISNUMBER(SEARCH("上",B6672)),ISNUMBER(SEARCH("去",B6672)),ISNUMBER(SEARCH("入",B6672)))),"Ambiguous",IF(ISNUMBER(SEARCH("平",B6672)),"平","仄")))</x:f>
        <x:v>平</x:v>
      </x:c>
      <x:c r="K6672" s="6" t="str">
        <x:f>IF(D6672="","",IF(AND(ISNUMBER(SEARCH("平",D6672)),OR(ISNUMBER(SEARCH("上",D6672)),ISNUMBER(SEARCH("去",D6672)),ISNUMBER(SEARCH("入",D6672)))),"Ambiguous",IF(ISNUMBER(SEARCH("平",D6672)),"平","仄")))</x:f>
        <x:v>平</x:v>
      </x:c>
      <x:c r="L6672" s="7" t="str">
        <x:v>Pingshui main list expansion</x:v>
      </x:c>
    </x:row>
    <x:row r="6673">
      <x:c r="A6673" s="5" t="str">
        <x:v>垛</x:v>
      </x:c>
      <x:c r="B6673" s="6" t="str">
        <x:v>上</x:v>
      </x:c>
      <x:c r="C6673" s="6" t="str">
        <x:f>IF(B6673="","Needs decision","Ready")</x:f>
        <x:v>Ready</x:v>
      </x:c>
      <x:c r="D6673" s="6" t="str">
        <x:v>上</x:v>
      </x:c>
      <x:c r="E6673" s="6" t="str"/>
      <x:c r="F6673" s="6" t="str">
        <x:v>上聲二十哿</x:v>
      </x:c>
      <x:c r="G6673" s="6" t="str">
        <x:v>Pingshui main list, Wikisource-derived DOCX</x:v>
      </x:c>
      <x:c r="H6673" s="6" t="str"/>
      <x:c r="I6673" s="6" t="str">
        <x:v>Pingshui main-list expansion; 詞 entries ignored</x:v>
      </x:c>
      <x:c r="J6673" s="6" t="str">
        <x:f>IF(B6673="","",IF(AND(ISNUMBER(SEARCH("平",B6673)),OR(ISNUMBER(SEARCH("上",B6673)),ISNUMBER(SEARCH("去",B6673)),ISNUMBER(SEARCH("入",B6673)))),"Ambiguous",IF(ISNUMBER(SEARCH("平",B6673)),"平","仄")))</x:f>
        <x:v>仄</x:v>
      </x:c>
      <x:c r="K6673" s="6" t="str">
        <x:f>IF(D6673="","",IF(AND(ISNUMBER(SEARCH("平",D6673)),OR(ISNUMBER(SEARCH("上",D6673)),ISNUMBER(SEARCH("去",D6673)),ISNUMBER(SEARCH("入",D6673)))),"Ambiguous",IF(ISNUMBER(SEARCH("平",D6673)),"平","仄")))</x:f>
        <x:v>仄</x:v>
      </x:c>
      <x:c r="L6673" s="7" t="str">
        <x:v>Pingshui main list expansion</x:v>
      </x:c>
    </x:row>
    <x:row r="6674">
      <x:c r="A6674" s="5" t="str">
        <x:v>垝</x:v>
      </x:c>
      <x:c r="B6674" s="6" t="str"/>
      <x:c r="C6674" s="6" t="str">
        <x:f>IF(B6674="","Needs decision","Ready")</x:f>
        <x:v>Needs decision</x:v>
      </x:c>
      <x:c r="D6674" s="6" t="str">
        <x:v>上/去</x:v>
      </x:c>
      <x:c r="E6674" s="6" t="str"/>
      <x:c r="F6674" s="6" t="str">
        <x:v>上聲四紙; 去聲四寘</x:v>
      </x:c>
      <x:c r="G6674" s="6" t="str">
        <x:v>Pingshui main list, Wikisource-derived DOCX</x:v>
      </x:c>
      <x:c r="H6674" s="6" t="str"/>
      <x:c r="I6674" s="6" t="str">
        <x:v>Pingshui main-list expansion; 詞 entries ignored</x:v>
      </x:c>
      <x:c r="J6674" s="6" t="str">
        <x:f>IF(B6674="","",IF(AND(ISNUMBER(SEARCH("平",B6674)),OR(ISNUMBER(SEARCH("上",B6674)),ISNUMBER(SEARCH("去",B6674)),ISNUMBER(SEARCH("入",B6674)))),"Ambiguous",IF(ISNUMBER(SEARCH("平",B6674)),"平","仄")))</x:f>
      </x:c>
      <x:c r="K6674" s="6" t="str">
        <x:f>IF(D6674="","",IF(AND(ISNUMBER(SEARCH("平",D6674)),OR(ISNUMBER(SEARCH("上",D6674)),ISNUMBER(SEARCH("去",D6674)),ISNUMBER(SEARCH("入",D6674)))),"Ambiguous",IF(ISNUMBER(SEARCH("平",D6674)),"平","仄")))</x:f>
        <x:v>仄</x:v>
      </x:c>
      <x:c r="L6674" s="7" t="str">
        <x:v>Pingshui main list expansion</x:v>
      </x:c>
    </x:row>
    <x:row r="6675">
      <x:c r="A6675" s="5" t="str">
        <x:v>垹</x:v>
      </x:c>
      <x:c r="B6675" s="6" t="str">
        <x:v>平</x:v>
      </x:c>
      <x:c r="C6675" s="6" t="str">
        <x:f>IF(B6675="","Needs decision","Ready")</x:f>
        <x:v>Ready</x:v>
      </x:c>
      <x:c r="D6675" s="6" t="str">
        <x:v>平</x:v>
      </x:c>
      <x:c r="E6675" s="6" t="str"/>
      <x:c r="F6675" s="6" t="str">
        <x:v>上平聲三江</x:v>
      </x:c>
      <x:c r="G6675" s="6" t="str">
        <x:v>Pingshui main list, Wikisource-derived DOCX</x:v>
      </x:c>
      <x:c r="H6675" s="6" t="str"/>
      <x:c r="I6675" s="6" t="str">
        <x:v>Pingshui main-list expansion; 詞 entries ignored</x:v>
      </x:c>
      <x:c r="J6675" s="6" t="str">
        <x:f>IF(B6675="","",IF(AND(ISNUMBER(SEARCH("平",B6675)),OR(ISNUMBER(SEARCH("上",B6675)),ISNUMBER(SEARCH("去",B6675)),ISNUMBER(SEARCH("入",B6675)))),"Ambiguous",IF(ISNUMBER(SEARCH("平",B6675)),"平","仄")))</x:f>
        <x:v>平</x:v>
      </x:c>
      <x:c r="K6675" s="6" t="str">
        <x:f>IF(D6675="","",IF(AND(ISNUMBER(SEARCH("平",D6675)),OR(ISNUMBER(SEARCH("上",D6675)),ISNUMBER(SEARCH("去",D6675)),ISNUMBER(SEARCH("入",D6675)))),"Ambiguous",IF(ISNUMBER(SEARCH("平",D6675)),"平","仄")))</x:f>
        <x:v>平</x:v>
      </x:c>
      <x:c r="L6675" s="7" t="str">
        <x:v>Pingshui main list expansion</x:v>
      </x:c>
    </x:row>
    <x:row r="6676">
      <x:c r="A6676" s="5" t="str">
        <x:v>埧</x:v>
      </x:c>
      <x:c r="B6676" s="6" t="str">
        <x:v>去</x:v>
      </x:c>
      <x:c r="C6676" s="6" t="str">
        <x:f>IF(B6676="","Needs decision","Ready")</x:f>
        <x:v>Ready</x:v>
      </x:c>
      <x:c r="D6676" s="6" t="str">
        <x:v>去</x:v>
      </x:c>
      <x:c r="E6676" s="6" t="str"/>
      <x:c r="F6676" s="6" t="str">
        <x:v>去聲二十二禡</x:v>
      </x:c>
      <x:c r="G6676" s="6" t="str">
        <x:v>Pingshui main list, Wikisource-derived DOCX</x:v>
      </x:c>
      <x:c r="H6676" s="6" t="str"/>
      <x:c r="I6676" s="6" t="str">
        <x:v>Pingshui main-list expansion; 詞 entries ignored</x:v>
      </x:c>
      <x:c r="J6676" s="6" t="str">
        <x:f>IF(B6676="","",IF(AND(ISNUMBER(SEARCH("平",B6676)),OR(ISNUMBER(SEARCH("上",B6676)),ISNUMBER(SEARCH("去",B6676)),ISNUMBER(SEARCH("入",B6676)))),"Ambiguous",IF(ISNUMBER(SEARCH("平",B6676)),"平","仄")))</x:f>
        <x:v>仄</x:v>
      </x:c>
      <x:c r="K6676" s="6" t="str">
        <x:f>IF(D6676="","",IF(AND(ISNUMBER(SEARCH("平",D6676)),OR(ISNUMBER(SEARCH("上",D6676)),ISNUMBER(SEARCH("去",D6676)),ISNUMBER(SEARCH("入",D6676)))),"Ambiguous",IF(ISNUMBER(SEARCH("平",D6676)),"平","仄")))</x:f>
        <x:v>仄</x:v>
      </x:c>
      <x:c r="L6676" s="7" t="str">
        <x:v>Pingshui main list expansion</x:v>
      </x:c>
    </x:row>
    <x:row r="6677">
      <x:c r="A6677" s="5" t="str">
        <x:v>埲</x:v>
      </x:c>
      <x:c r="B6677" s="6" t="str">
        <x:v>上</x:v>
      </x:c>
      <x:c r="C6677" s="6" t="str">
        <x:f>IF(B6677="","Needs decision","Ready")</x:f>
        <x:v>Ready</x:v>
      </x:c>
      <x:c r="D6677" s="6" t="str">
        <x:v>上</x:v>
      </x:c>
      <x:c r="E6677" s="6" t="str"/>
      <x:c r="F6677" s="6" t="str">
        <x:v>上聲一董</x:v>
      </x:c>
      <x:c r="G6677" s="6" t="str">
        <x:v>Pingshui main list, Wikisource-derived DOCX</x:v>
      </x:c>
      <x:c r="H6677" s="6" t="str"/>
      <x:c r="I6677" s="6" t="str">
        <x:v>Pingshui main-list expansion; 詞 entries ignored</x:v>
      </x:c>
      <x:c r="J6677" s="6" t="str">
        <x:f>IF(B6677="","",IF(AND(ISNUMBER(SEARCH("平",B6677)),OR(ISNUMBER(SEARCH("上",B6677)),ISNUMBER(SEARCH("去",B6677)),ISNUMBER(SEARCH("入",B6677)))),"Ambiguous",IF(ISNUMBER(SEARCH("平",B6677)),"平","仄")))</x:f>
        <x:v>仄</x:v>
      </x:c>
      <x:c r="K6677" s="6" t="str">
        <x:f>IF(D6677="","",IF(AND(ISNUMBER(SEARCH("平",D6677)),OR(ISNUMBER(SEARCH("上",D6677)),ISNUMBER(SEARCH("去",D6677)),ISNUMBER(SEARCH("入",D6677)))),"Ambiguous",IF(ISNUMBER(SEARCH("平",D6677)),"平","仄")))</x:f>
        <x:v>仄</x:v>
      </x:c>
      <x:c r="L6677" s="7" t="str">
        <x:v>Pingshui main list expansion</x:v>
      </x:c>
    </x:row>
    <x:row r="6678">
      <x:c r="A6678" s="5" t="str">
        <x:v>埵</x:v>
      </x:c>
      <x:c r="B6678" s="6" t="str">
        <x:v>上</x:v>
      </x:c>
      <x:c r="C6678" s="6" t="str">
        <x:f>IF(B6678="","Needs decision","Ready")</x:f>
        <x:v>Ready</x:v>
      </x:c>
      <x:c r="D6678" s="6" t="str">
        <x:v>上</x:v>
      </x:c>
      <x:c r="E6678" s="6" t="str"/>
      <x:c r="F6678" s="6" t="str">
        <x:v>上聲二十哿</x:v>
      </x:c>
      <x:c r="G6678" s="6" t="str">
        <x:v>Pingshui main list, Wikisource-derived DOCX</x:v>
      </x:c>
      <x:c r="H6678" s="6" t="str"/>
      <x:c r="I6678" s="6" t="str">
        <x:v>Pingshui main-list expansion; 詞 entries ignored</x:v>
      </x:c>
      <x:c r="J6678" s="6" t="str">
        <x:f>IF(B6678="","",IF(AND(ISNUMBER(SEARCH("平",B6678)),OR(ISNUMBER(SEARCH("上",B6678)),ISNUMBER(SEARCH("去",B6678)),ISNUMBER(SEARCH("入",B6678)))),"Ambiguous",IF(ISNUMBER(SEARCH("平",B6678)),"平","仄")))</x:f>
        <x:v>仄</x:v>
      </x:c>
      <x:c r="K6678" s="6" t="str">
        <x:f>IF(D6678="","",IF(AND(ISNUMBER(SEARCH("平",D6678)),OR(ISNUMBER(SEARCH("上",D6678)),ISNUMBER(SEARCH("去",D6678)),ISNUMBER(SEARCH("入",D6678)))),"Ambiguous",IF(ISNUMBER(SEARCH("平",D6678)),"平","仄")))</x:f>
        <x:v>仄</x:v>
      </x:c>
      <x:c r="L6678" s="7" t="str">
        <x:v>Pingshui main list expansion</x:v>
      </x:c>
    </x:row>
    <x:row r="6679">
      <x:c r="A6679" s="5" t="str">
        <x:v>埸</x:v>
      </x:c>
      <x:c r="B6679" s="6" t="str">
        <x:v>入</x:v>
      </x:c>
      <x:c r="C6679" s="6" t="str">
        <x:f>IF(B6679="","Needs decision","Ready")</x:f>
        <x:v>Ready</x:v>
      </x:c>
      <x:c r="D6679" s="6" t="str">
        <x:v>入</x:v>
      </x:c>
      <x:c r="E6679" s="6" t="str"/>
      <x:c r="F6679" s="6" t="str">
        <x:v>入聲十一陌</x:v>
      </x:c>
      <x:c r="G6679" s="6" t="str">
        <x:v>Pingshui main list, Wikisource-derived DOCX</x:v>
      </x:c>
      <x:c r="H6679" s="6" t="str"/>
      <x:c r="I6679" s="6" t="str">
        <x:v>Pingshui main-list expansion; 詞 entries ignored</x:v>
      </x:c>
      <x:c r="J6679" s="6" t="str">
        <x:f>IF(B6679="","",IF(AND(ISNUMBER(SEARCH("平",B6679)),OR(ISNUMBER(SEARCH("上",B6679)),ISNUMBER(SEARCH("去",B6679)),ISNUMBER(SEARCH("入",B6679)))),"Ambiguous",IF(ISNUMBER(SEARCH("平",B6679)),"平","仄")))</x:f>
        <x:v>仄</x:v>
      </x:c>
      <x:c r="K6679" s="6" t="str">
        <x:f>IF(D6679="","",IF(AND(ISNUMBER(SEARCH("平",D6679)),OR(ISNUMBER(SEARCH("上",D6679)),ISNUMBER(SEARCH("去",D6679)),ISNUMBER(SEARCH("入",D6679)))),"Ambiguous",IF(ISNUMBER(SEARCH("平",D6679)),"平","仄")))</x:f>
        <x:v>仄</x:v>
      </x:c>
      <x:c r="L6679" s="7" t="str">
        <x:v>Pingshui main list expansion</x:v>
      </x:c>
    </x:row>
    <x:row r="6680">
      <x:c r="A6680" s="5" t="str">
        <x:v>堁</x:v>
      </x:c>
      <x:c r="B6680" s="6" t="str"/>
      <x:c r="C6680" s="6" t="str">
        <x:f>IF(B6680="","Needs decision","Ready")</x:f>
        <x:v>Needs decision</x:v>
      </x:c>
      <x:c r="D6680" s="6" t="str">
        <x:v>上/去</x:v>
      </x:c>
      <x:c r="E6680" s="6" t="str"/>
      <x:c r="F6680" s="6" t="str">
        <x:v>上聲二十哿; 去聲二十一箇</x:v>
      </x:c>
      <x:c r="G6680" s="6" t="str">
        <x:v>Pingshui main list, Wikisource-derived DOCX</x:v>
      </x:c>
      <x:c r="H6680" s="6" t="str"/>
      <x:c r="I6680" s="6" t="str">
        <x:v>Pingshui main-list expansion; 詞 entries ignored</x:v>
      </x:c>
      <x:c r="J6680" s="6" t="str">
        <x:f>IF(B6680="","",IF(AND(ISNUMBER(SEARCH("平",B6680)),OR(ISNUMBER(SEARCH("上",B6680)),ISNUMBER(SEARCH("去",B6680)),ISNUMBER(SEARCH("入",B6680)))),"Ambiguous",IF(ISNUMBER(SEARCH("平",B6680)),"平","仄")))</x:f>
      </x:c>
      <x:c r="K6680" s="6" t="str">
        <x:f>IF(D6680="","",IF(AND(ISNUMBER(SEARCH("平",D6680)),OR(ISNUMBER(SEARCH("上",D6680)),ISNUMBER(SEARCH("去",D6680)),ISNUMBER(SEARCH("入",D6680)))),"Ambiguous",IF(ISNUMBER(SEARCH("平",D6680)),"平","仄")))</x:f>
        <x:v>仄</x:v>
      </x:c>
      <x:c r="L6680" s="7" t="str">
        <x:v>Pingshui main list expansion</x:v>
      </x:c>
    </x:row>
    <x:row r="6681">
      <x:c r="A6681" s="5" t="str">
        <x:v>堄</x:v>
      </x:c>
      <x:c r="B6681" s="6" t="str">
        <x:v>去</x:v>
      </x:c>
      <x:c r="C6681" s="6" t="str">
        <x:f>IF(B6681="","Needs decision","Ready")</x:f>
        <x:v>Ready</x:v>
      </x:c>
      <x:c r="D6681" s="6" t="str">
        <x:v>去</x:v>
      </x:c>
      <x:c r="E6681" s="6" t="str"/>
      <x:c r="F6681" s="6" t="str">
        <x:v>去聲八霽</x:v>
      </x:c>
      <x:c r="G6681" s="6" t="str">
        <x:v>Pingshui main list, Wikisource-derived DOCX</x:v>
      </x:c>
      <x:c r="H6681" s="6" t="str"/>
      <x:c r="I6681" s="6" t="str">
        <x:v>Pingshui main-list expansion; 詞 entries ignored</x:v>
      </x:c>
      <x:c r="J6681" s="6" t="str">
        <x:f>IF(B6681="","",IF(AND(ISNUMBER(SEARCH("平",B6681)),OR(ISNUMBER(SEARCH("上",B6681)),ISNUMBER(SEARCH("去",B6681)),ISNUMBER(SEARCH("入",B6681)))),"Ambiguous",IF(ISNUMBER(SEARCH("平",B6681)),"平","仄")))</x:f>
        <x:v>仄</x:v>
      </x:c>
      <x:c r="K6681" s="6" t="str">
        <x:f>IF(D6681="","",IF(AND(ISNUMBER(SEARCH("平",D6681)),OR(ISNUMBER(SEARCH("上",D6681)),ISNUMBER(SEARCH("去",D6681)),ISNUMBER(SEARCH("入",D6681)))),"Ambiguous",IF(ISNUMBER(SEARCH("平",D6681)),"平","仄")))</x:f>
        <x:v>仄</x:v>
      </x:c>
      <x:c r="L6681" s="7" t="str">
        <x:v>Pingshui main list expansion</x:v>
      </x:c>
    </x:row>
    <x:row r="6682">
      <x:c r="A6682" s="5" t="str">
        <x:v>堝</x:v>
      </x:c>
      <x:c r="B6682" s="6" t="str">
        <x:v>平</x:v>
      </x:c>
      <x:c r="C6682" s="6" t="str">
        <x:f>IF(B6682="","Needs decision","Ready")</x:f>
        <x:v>Ready</x:v>
      </x:c>
      <x:c r="D6682" s="6" t="str">
        <x:v>平</x:v>
      </x:c>
      <x:c r="E6682" s="6" t="str"/>
      <x:c r="F6682" s="6" t="str">
        <x:v>下平聲五歌</x:v>
      </x:c>
      <x:c r="G6682" s="6" t="str">
        <x:v>Pingshui main list, Wikisource-derived DOCX</x:v>
      </x:c>
      <x:c r="H6682" s="6" t="str"/>
      <x:c r="I6682" s="6" t="str">
        <x:v>Pingshui main-list expansion; 詞 entries ignored</x:v>
      </x:c>
      <x:c r="J6682" s="6" t="str">
        <x:f>IF(B6682="","",IF(AND(ISNUMBER(SEARCH("平",B6682)),OR(ISNUMBER(SEARCH("上",B6682)),ISNUMBER(SEARCH("去",B6682)),ISNUMBER(SEARCH("入",B6682)))),"Ambiguous",IF(ISNUMBER(SEARCH("平",B6682)),"平","仄")))</x:f>
        <x:v>平</x:v>
      </x:c>
      <x:c r="K6682" s="6" t="str">
        <x:f>IF(D6682="","",IF(AND(ISNUMBER(SEARCH("平",D6682)),OR(ISNUMBER(SEARCH("上",D6682)),ISNUMBER(SEARCH("去",D6682)),ISNUMBER(SEARCH("入",D6682)))),"Ambiguous",IF(ISNUMBER(SEARCH("平",D6682)),"平","仄")))</x:f>
        <x:v>平</x:v>
      </x:c>
      <x:c r="L6682" s="7" t="str">
        <x:v>Pingshui main list expansion</x:v>
      </x:c>
    </x:row>
    <x:row r="6683">
      <x:c r="A6683" s="5" t="str">
        <x:v>堡</x:v>
      </x:c>
      <x:c r="B6683" s="6" t="str">
        <x:v>上</x:v>
      </x:c>
      <x:c r="C6683" s="6" t="str">
        <x:f>IF(B6683="","Needs decision","Ready")</x:f>
        <x:v>Ready</x:v>
      </x:c>
      <x:c r="D6683" s="6" t="str">
        <x:v>上</x:v>
      </x:c>
      <x:c r="E6683" s="6" t="str"/>
      <x:c r="F6683" s="6" t="str">
        <x:v>上聲十九皓</x:v>
      </x:c>
      <x:c r="G6683" s="6" t="str">
        <x:v>Pingshui main list, Wikisource-derived DOCX</x:v>
      </x:c>
      <x:c r="H6683" s="6" t="str"/>
      <x:c r="I6683" s="6" t="str">
        <x:v>Pingshui main-list expansion; 詞 entries ignored</x:v>
      </x:c>
      <x:c r="J6683" s="6" t="str">
        <x:f>IF(B6683="","",IF(AND(ISNUMBER(SEARCH("平",B6683)),OR(ISNUMBER(SEARCH("上",B6683)),ISNUMBER(SEARCH("去",B6683)),ISNUMBER(SEARCH("入",B6683)))),"Ambiguous",IF(ISNUMBER(SEARCH("平",B6683)),"平","仄")))</x:f>
        <x:v>仄</x:v>
      </x:c>
      <x:c r="K6683" s="6" t="str">
        <x:f>IF(D6683="","",IF(AND(ISNUMBER(SEARCH("平",D6683)),OR(ISNUMBER(SEARCH("上",D6683)),ISNUMBER(SEARCH("去",D6683)),ISNUMBER(SEARCH("入",D6683)))),"Ambiguous",IF(ISNUMBER(SEARCH("平",D6683)),"平","仄")))</x:f>
        <x:v>仄</x:v>
      </x:c>
      <x:c r="L6683" s="7" t="str">
        <x:v>Pingshui main list expansion</x:v>
      </x:c>
    </x:row>
    <x:row r="6684">
      <x:c r="A6684" s="5" t="str">
        <x:v>堥</x:v>
      </x:c>
      <x:c r="B6684" s="6" t="str">
        <x:v>平</x:v>
      </x:c>
      <x:c r="C6684" s="6" t="str">
        <x:f>IF(B6684="","Needs decision","Ready")</x:f>
        <x:v>Ready</x:v>
      </x:c>
      <x:c r="D6684" s="6" t="str">
        <x:v>平</x:v>
      </x:c>
      <x:c r="E6684" s="6" t="str"/>
      <x:c r="F6684" s="6" t="str">
        <x:v>下平聲九青</x:v>
      </x:c>
      <x:c r="G6684" s="6" t="str">
        <x:v>Pingshui main list, Wikisource-derived DOCX</x:v>
      </x:c>
      <x:c r="H6684" s="6" t="str"/>
      <x:c r="I6684" s="6" t="str">
        <x:v>Pingshui main-list expansion; 詞 entries ignored</x:v>
      </x:c>
      <x:c r="J6684" s="6" t="str">
        <x:f>IF(B6684="","",IF(AND(ISNUMBER(SEARCH("平",B6684)),OR(ISNUMBER(SEARCH("上",B6684)),ISNUMBER(SEARCH("去",B6684)),ISNUMBER(SEARCH("入",B6684)))),"Ambiguous",IF(ISNUMBER(SEARCH("平",B6684)),"平","仄")))</x:f>
        <x:v>平</x:v>
      </x:c>
      <x:c r="K6684" s="6" t="str">
        <x:f>IF(D6684="","",IF(AND(ISNUMBER(SEARCH("平",D6684)),OR(ISNUMBER(SEARCH("上",D6684)),ISNUMBER(SEARCH("去",D6684)),ISNUMBER(SEARCH("入",D6684)))),"Ambiguous",IF(ISNUMBER(SEARCH("平",D6684)),"平","仄")))</x:f>
        <x:v>平</x:v>
      </x:c>
      <x:c r="L6684" s="7" t="str">
        <x:v>Pingshui main list expansion</x:v>
      </x:c>
    </x:row>
    <x:row r="6685">
      <x:c r="A6685" s="5" t="str">
        <x:v>堮</x:v>
      </x:c>
      <x:c r="B6685" s="6" t="str">
        <x:v>入</x:v>
      </x:c>
      <x:c r="C6685" s="6" t="str">
        <x:f>IF(B6685="","Needs decision","Ready")</x:f>
        <x:v>Ready</x:v>
      </x:c>
      <x:c r="D6685" s="6" t="str">
        <x:v>入</x:v>
      </x:c>
      <x:c r="E6685" s="6" t="str"/>
      <x:c r="F6685" s="6" t="str">
        <x:v>入聲十藥</x:v>
      </x:c>
      <x:c r="G6685" s="6" t="str">
        <x:v>Pingshui main list, Wikisource-derived DOCX</x:v>
      </x:c>
      <x:c r="H6685" s="6" t="str"/>
      <x:c r="I6685" s="6" t="str">
        <x:v>Pingshui main-list expansion; 詞 entries ignored</x:v>
      </x:c>
      <x:c r="J6685" s="6" t="str">
        <x:f>IF(B6685="","",IF(AND(ISNUMBER(SEARCH("平",B6685)),OR(ISNUMBER(SEARCH("上",B6685)),ISNUMBER(SEARCH("去",B6685)),ISNUMBER(SEARCH("入",B6685)))),"Ambiguous",IF(ISNUMBER(SEARCH("平",B6685)),"平","仄")))</x:f>
        <x:v>仄</x:v>
      </x:c>
      <x:c r="K6685" s="6" t="str">
        <x:f>IF(D6685="","",IF(AND(ISNUMBER(SEARCH("平",D6685)),OR(ISNUMBER(SEARCH("上",D6685)),ISNUMBER(SEARCH("去",D6685)),ISNUMBER(SEARCH("入",D6685)))),"Ambiguous",IF(ISNUMBER(SEARCH("平",D6685)),"平","仄")))</x:f>
        <x:v>仄</x:v>
      </x:c>
      <x:c r="L6685" s="7" t="str">
        <x:v>Pingshui main list expansion</x:v>
      </x:c>
    </x:row>
    <x:row r="6686">
      <x:c r="A6686" s="5" t="str">
        <x:v>堶</x:v>
      </x:c>
      <x:c r="B6686" s="6" t="str">
        <x:v>平</x:v>
      </x:c>
      <x:c r="C6686" s="6" t="str">
        <x:f>IF(B6686="","Needs decision","Ready")</x:f>
        <x:v>Ready</x:v>
      </x:c>
      <x:c r="D6686" s="6" t="str">
        <x:v>平</x:v>
      </x:c>
      <x:c r="E6686" s="6" t="str"/>
      <x:c r="F6686" s="6" t="str">
        <x:v>下平聲五歌</x:v>
      </x:c>
      <x:c r="G6686" s="6" t="str">
        <x:v>Pingshui main list, Wikisource-derived DOCX</x:v>
      </x:c>
      <x:c r="H6686" s="6" t="str"/>
      <x:c r="I6686" s="6" t="str">
        <x:v>Pingshui main-list expansion; 詞 entries ignored</x:v>
      </x:c>
      <x:c r="J6686" s="6" t="str">
        <x:f>IF(B6686="","",IF(AND(ISNUMBER(SEARCH("平",B6686)),OR(ISNUMBER(SEARCH("上",B6686)),ISNUMBER(SEARCH("去",B6686)),ISNUMBER(SEARCH("入",B6686)))),"Ambiguous",IF(ISNUMBER(SEARCH("平",B6686)),"平","仄")))</x:f>
        <x:v>平</x:v>
      </x:c>
      <x:c r="K6686" s="6" t="str">
        <x:f>IF(D6686="","",IF(AND(ISNUMBER(SEARCH("平",D6686)),OR(ISNUMBER(SEARCH("上",D6686)),ISNUMBER(SEARCH("去",D6686)),ISNUMBER(SEARCH("入",D6686)))),"Ambiguous",IF(ISNUMBER(SEARCH("平",D6686)),"平","仄")))</x:f>
        <x:v>平</x:v>
      </x:c>
      <x:c r="L6686" s="7" t="str">
        <x:v>Pingshui main list expansion</x:v>
      </x:c>
    </x:row>
    <x:row r="6687">
      <x:c r="A6687" s="5" t="str">
        <x:v>塑</x:v>
      </x:c>
      <x:c r="B6687" s="6" t="str">
        <x:v>去</x:v>
      </x:c>
      <x:c r="C6687" s="6" t="str">
        <x:f>IF(B6687="","Needs decision","Ready")</x:f>
        <x:v>Ready</x:v>
      </x:c>
      <x:c r="D6687" s="6" t="str">
        <x:v>去</x:v>
      </x:c>
      <x:c r="E6687" s="6" t="str"/>
      <x:c r="F6687" s="6" t="str">
        <x:v>去聲七遇</x:v>
      </x:c>
      <x:c r="G6687" s="6" t="str">
        <x:v>Pingshui main list, Wikisource-derived DOCX</x:v>
      </x:c>
      <x:c r="H6687" s="6" t="str"/>
      <x:c r="I6687" s="6" t="str">
        <x:v>Pingshui main-list expansion; 詞 entries ignored</x:v>
      </x:c>
      <x:c r="J6687" s="6" t="str">
        <x:f>IF(B6687="","",IF(AND(ISNUMBER(SEARCH("平",B6687)),OR(ISNUMBER(SEARCH("上",B6687)),ISNUMBER(SEARCH("去",B6687)),ISNUMBER(SEARCH("入",B6687)))),"Ambiguous",IF(ISNUMBER(SEARCH("平",B6687)),"平","仄")))</x:f>
        <x:v>仄</x:v>
      </x:c>
      <x:c r="K6687" s="6" t="str">
        <x:f>IF(D6687="","",IF(AND(ISNUMBER(SEARCH("平",D6687)),OR(ISNUMBER(SEARCH("上",D6687)),ISNUMBER(SEARCH("去",D6687)),ISNUMBER(SEARCH("入",D6687)))),"Ambiguous",IF(ISNUMBER(SEARCH("平",D6687)),"平","仄")))</x:f>
        <x:v>仄</x:v>
      </x:c>
      <x:c r="L6687" s="7" t="str">
        <x:v>Pingshui main list expansion</x:v>
      </x:c>
    </x:row>
    <x:row r="6688">
      <x:c r="A6688" s="5" t="str">
        <x:v>塓</x:v>
      </x:c>
      <x:c r="B6688" s="6" t="str">
        <x:v>入</x:v>
      </x:c>
      <x:c r="C6688" s="6" t="str">
        <x:f>IF(B6688="","Needs decision","Ready")</x:f>
        <x:v>Ready</x:v>
      </x:c>
      <x:c r="D6688" s="6" t="str">
        <x:v>入</x:v>
      </x:c>
      <x:c r="E6688" s="6" t="str"/>
      <x:c r="F6688" s="6" t="str">
        <x:v>入聲十二錫</x:v>
      </x:c>
      <x:c r="G6688" s="6" t="str">
        <x:v>Pingshui main list, Wikisource-derived DOCX</x:v>
      </x:c>
      <x:c r="H6688" s="6" t="str"/>
      <x:c r="I6688" s="6" t="str">
        <x:v>Pingshui main-list expansion; 詞 entries ignored</x:v>
      </x:c>
      <x:c r="J6688" s="6" t="str">
        <x:f>IF(B6688="","",IF(AND(ISNUMBER(SEARCH("平",B6688)),OR(ISNUMBER(SEARCH("上",B6688)),ISNUMBER(SEARCH("去",B6688)),ISNUMBER(SEARCH("入",B6688)))),"Ambiguous",IF(ISNUMBER(SEARCH("平",B6688)),"平","仄")))</x:f>
        <x:v>仄</x:v>
      </x:c>
      <x:c r="K6688" s="6" t="str">
        <x:f>IF(D6688="","",IF(AND(ISNUMBER(SEARCH("平",D6688)),OR(ISNUMBER(SEARCH("上",D6688)),ISNUMBER(SEARCH("去",D6688)),ISNUMBER(SEARCH("入",D6688)))),"Ambiguous",IF(ISNUMBER(SEARCH("平",D6688)),"平","仄")))</x:f>
        <x:v>仄</x:v>
      </x:c>
      <x:c r="L6688" s="7" t="str">
        <x:v>Pingshui main list expansion</x:v>
      </x:c>
    </x:row>
    <x:row r="6689">
      <x:c r="A6689" s="5" t="str">
        <x:v>塕</x:v>
      </x:c>
      <x:c r="B6689" s="6" t="str">
        <x:v>上</x:v>
      </x:c>
      <x:c r="C6689" s="6" t="str">
        <x:f>IF(B6689="","Needs decision","Ready")</x:f>
        <x:v>Ready</x:v>
      </x:c>
      <x:c r="D6689" s="6" t="str">
        <x:v>上</x:v>
      </x:c>
      <x:c r="E6689" s="6" t="str"/>
      <x:c r="F6689" s="6" t="str">
        <x:v>上聲一董</x:v>
      </x:c>
      <x:c r="G6689" s="6" t="str">
        <x:v>Pingshui main list, Wikisource-derived DOCX</x:v>
      </x:c>
      <x:c r="H6689" s="6" t="str"/>
      <x:c r="I6689" s="6" t="str">
        <x:v>Pingshui main-list expansion; 詞 entries ignored</x:v>
      </x:c>
      <x:c r="J6689" s="6" t="str">
        <x:f>IF(B6689="","",IF(AND(ISNUMBER(SEARCH("平",B6689)),OR(ISNUMBER(SEARCH("上",B6689)),ISNUMBER(SEARCH("去",B6689)),ISNUMBER(SEARCH("入",B6689)))),"Ambiguous",IF(ISNUMBER(SEARCH("平",B6689)),"平","仄")))</x:f>
        <x:v>仄</x:v>
      </x:c>
      <x:c r="K6689" s="6" t="str">
        <x:f>IF(D6689="","",IF(AND(ISNUMBER(SEARCH("平",D6689)),OR(ISNUMBER(SEARCH("上",D6689)),ISNUMBER(SEARCH("去",D6689)),ISNUMBER(SEARCH("入",D6689)))),"Ambiguous",IF(ISNUMBER(SEARCH("平",D6689)),"平","仄")))</x:f>
        <x:v>仄</x:v>
      </x:c>
      <x:c r="L6689" s="7" t="str">
        <x:v>Pingshui main list expansion</x:v>
      </x:c>
    </x:row>
    <x:row r="6690">
      <x:c r="A6690" s="5" t="str">
        <x:v>塯</x:v>
      </x:c>
      <x:c r="B6690" s="6" t="str">
        <x:v>去</x:v>
      </x:c>
      <x:c r="C6690" s="6" t="str">
        <x:f>IF(B6690="","Needs decision","Ready")</x:f>
        <x:v>Ready</x:v>
      </x:c>
      <x:c r="D6690" s="6" t="str">
        <x:v>去</x:v>
      </x:c>
      <x:c r="E6690" s="6" t="str"/>
      <x:c r="F6690" s="6" t="str">
        <x:v>去聲二十六宥</x:v>
      </x:c>
      <x:c r="G6690" s="6" t="str">
        <x:v>Pingshui main list, Wikisource-derived DOCX</x:v>
      </x:c>
      <x:c r="H6690" s="6" t="str"/>
      <x:c r="I6690" s="6" t="str">
        <x:v>Pingshui main-list expansion; 詞 entries ignored</x:v>
      </x:c>
      <x:c r="J6690" s="6" t="str">
        <x:f>IF(B6690="","",IF(AND(ISNUMBER(SEARCH("平",B6690)),OR(ISNUMBER(SEARCH("上",B6690)),ISNUMBER(SEARCH("去",B6690)),ISNUMBER(SEARCH("入",B6690)))),"Ambiguous",IF(ISNUMBER(SEARCH("平",B6690)),"平","仄")))</x:f>
        <x:v>仄</x:v>
      </x:c>
      <x:c r="K6690" s="6" t="str">
        <x:f>IF(D6690="","",IF(AND(ISNUMBER(SEARCH("平",D6690)),OR(ISNUMBER(SEARCH("上",D6690)),ISNUMBER(SEARCH("去",D6690)),ISNUMBER(SEARCH("入",D6690)))),"Ambiguous",IF(ISNUMBER(SEARCH("平",D6690)),"平","仄")))</x:f>
        <x:v>仄</x:v>
      </x:c>
      <x:c r="L6690" s="7" t="str">
        <x:v>Pingshui main list expansion</x:v>
      </x:c>
    </x:row>
    <x:row r="6691">
      <x:c r="A6691" s="5" t="str">
        <x:v>塿</x:v>
      </x:c>
      <x:c r="B6691" s="6" t="str">
        <x:v>上</x:v>
      </x:c>
      <x:c r="C6691" s="6" t="str">
        <x:f>IF(B6691="","Needs decision","Ready")</x:f>
        <x:v>Ready</x:v>
      </x:c>
      <x:c r="D6691" s="6" t="str">
        <x:v>上</x:v>
      </x:c>
      <x:c r="E6691" s="6" t="str"/>
      <x:c r="F6691" s="6" t="str">
        <x:v>上聲二十五有</x:v>
      </x:c>
      <x:c r="G6691" s="6" t="str">
        <x:v>Pingshui main list, Wikisource-derived DOCX</x:v>
      </x:c>
      <x:c r="H6691" s="6" t="str"/>
      <x:c r="I6691" s="6" t="str">
        <x:v>Pingshui main-list expansion; 詞 entries ignored</x:v>
      </x:c>
      <x:c r="J6691" s="6" t="str">
        <x:f>IF(B6691="","",IF(AND(ISNUMBER(SEARCH("平",B6691)),OR(ISNUMBER(SEARCH("上",B6691)),ISNUMBER(SEARCH("去",B6691)),ISNUMBER(SEARCH("入",B6691)))),"Ambiguous",IF(ISNUMBER(SEARCH("平",B6691)),"平","仄")))</x:f>
        <x:v>仄</x:v>
      </x:c>
      <x:c r="K6691" s="6" t="str">
        <x:f>IF(D6691="","",IF(AND(ISNUMBER(SEARCH("平",D6691)),OR(ISNUMBER(SEARCH("上",D6691)),ISNUMBER(SEARCH("去",D6691)),ISNUMBER(SEARCH("入",D6691)))),"Ambiguous",IF(ISNUMBER(SEARCH("平",D6691)),"平","仄")))</x:f>
        <x:v>仄</x:v>
      </x:c>
      <x:c r="L6691" s="7" t="str">
        <x:v>Pingshui main list expansion</x:v>
      </x:c>
    </x:row>
    <x:row r="6692">
      <x:c r="A6692" s="5" t="str">
        <x:v>墁</x:v>
      </x:c>
      <x:c r="B6692" s="6" t="str">
        <x:v>去</x:v>
      </x:c>
      <x:c r="C6692" s="6" t="str">
        <x:f>IF(B6692="","Needs decision","Ready")</x:f>
        <x:v>Ready</x:v>
      </x:c>
      <x:c r="D6692" s="6" t="str">
        <x:v>去</x:v>
      </x:c>
      <x:c r="E6692" s="6" t="str"/>
      <x:c r="F6692" s="6" t="str">
        <x:v>去聲十五翰</x:v>
      </x:c>
      <x:c r="G6692" s="6" t="str">
        <x:v>Pingshui main list, Wikisource-derived DOCX</x:v>
      </x:c>
      <x:c r="H6692" s="6" t="str"/>
      <x:c r="I6692" s="6" t="str">
        <x:v>Pingshui main-list expansion; 詞 entries ignored</x:v>
      </x:c>
      <x:c r="J6692" s="6" t="str">
        <x:f>IF(B6692="","",IF(AND(ISNUMBER(SEARCH("平",B6692)),OR(ISNUMBER(SEARCH("上",B6692)),ISNUMBER(SEARCH("去",B6692)),ISNUMBER(SEARCH("入",B6692)))),"Ambiguous",IF(ISNUMBER(SEARCH("平",B6692)),"平","仄")))</x:f>
        <x:v>仄</x:v>
      </x:c>
      <x:c r="K6692" s="6" t="str">
        <x:f>IF(D6692="","",IF(AND(ISNUMBER(SEARCH("平",D6692)),OR(ISNUMBER(SEARCH("上",D6692)),ISNUMBER(SEARCH("去",D6692)),ISNUMBER(SEARCH("入",D6692)))),"Ambiguous",IF(ISNUMBER(SEARCH("平",D6692)),"平","仄")))</x:f>
        <x:v>仄</x:v>
      </x:c>
      <x:c r="L6692" s="7" t="str">
        <x:v>Pingshui main list expansion</x:v>
      </x:c>
    </x:row>
    <x:row r="6693">
      <x:c r="A6693" s="5" t="str">
        <x:v>墡</x:v>
      </x:c>
      <x:c r="B6693" s="6" t="str">
        <x:v>上</x:v>
      </x:c>
      <x:c r="C6693" s="6" t="str">
        <x:f>IF(B6693="","Needs decision","Ready")</x:f>
        <x:v>Ready</x:v>
      </x:c>
      <x:c r="D6693" s="6" t="str">
        <x:v>上</x:v>
      </x:c>
      <x:c r="E6693" s="6" t="str"/>
      <x:c r="F6693" s="6" t="str">
        <x:v>上聲十六銑</x:v>
      </x:c>
      <x:c r="G6693" s="6" t="str">
        <x:v>Pingshui main list, Wikisource-derived DOCX</x:v>
      </x:c>
      <x:c r="H6693" s="6" t="str"/>
      <x:c r="I6693" s="6" t="str">
        <x:v>Pingshui main-list expansion; 詞 entries ignored</x:v>
      </x:c>
      <x:c r="J6693" s="6" t="str">
        <x:f>IF(B6693="","",IF(AND(ISNUMBER(SEARCH("平",B6693)),OR(ISNUMBER(SEARCH("上",B6693)),ISNUMBER(SEARCH("去",B6693)),ISNUMBER(SEARCH("入",B6693)))),"Ambiguous",IF(ISNUMBER(SEARCH("平",B6693)),"平","仄")))</x:f>
        <x:v>仄</x:v>
      </x:c>
      <x:c r="K6693" s="6" t="str">
        <x:f>IF(D6693="","",IF(AND(ISNUMBER(SEARCH("平",D6693)),OR(ISNUMBER(SEARCH("上",D6693)),ISNUMBER(SEARCH("去",D6693)),ISNUMBER(SEARCH("入",D6693)))),"Ambiguous",IF(ISNUMBER(SEARCH("平",D6693)),"平","仄")))</x:f>
        <x:v>仄</x:v>
      </x:c>
      <x:c r="L6693" s="7" t="str">
        <x:v>Pingshui main list expansion</x:v>
      </x:c>
    </x:row>
    <x:row r="6694">
      <x:c r="A6694" s="5" t="str">
        <x:v>墣</x:v>
      </x:c>
      <x:c r="B6694" s="6" t="str">
        <x:v>入</x:v>
      </x:c>
      <x:c r="C6694" s="6" t="str">
        <x:f>IF(B6694="","Needs decision","Ready")</x:f>
        <x:v>Ready</x:v>
      </x:c>
      <x:c r="D6694" s="6" t="str">
        <x:v>入</x:v>
      </x:c>
      <x:c r="E6694" s="6" t="str"/>
      <x:c r="F6694" s="6" t="str">
        <x:v>入聲三覺</x:v>
      </x:c>
      <x:c r="G6694" s="6" t="str">
        <x:v>Pingshui main list, Wikisource-derived DOCX</x:v>
      </x:c>
      <x:c r="H6694" s="6" t="str"/>
      <x:c r="I6694" s="6" t="str">
        <x:v>Pingshui main-list expansion; 詞 entries ignored</x:v>
      </x:c>
      <x:c r="J6694" s="6" t="str">
        <x:f>IF(B6694="","",IF(AND(ISNUMBER(SEARCH("平",B6694)),OR(ISNUMBER(SEARCH("上",B6694)),ISNUMBER(SEARCH("去",B6694)),ISNUMBER(SEARCH("入",B6694)))),"Ambiguous",IF(ISNUMBER(SEARCH("平",B6694)),"平","仄")))</x:f>
        <x:v>仄</x:v>
      </x:c>
      <x:c r="K6694" s="6" t="str">
        <x:f>IF(D6694="","",IF(AND(ISNUMBER(SEARCH("平",D6694)),OR(ISNUMBER(SEARCH("上",D6694)),ISNUMBER(SEARCH("去",D6694)),ISNUMBER(SEARCH("入",D6694)))),"Ambiguous",IF(ISNUMBER(SEARCH("平",D6694)),"平","仄")))</x:f>
        <x:v>仄</x:v>
      </x:c>
      <x:c r="L6694" s="7" t="str">
        <x:v>Pingshui main list expansion</x:v>
      </x:c>
    </x:row>
    <x:row r="6695">
      <x:c r="A6695" s="5" t="str">
        <x:v>墦</x:v>
      </x:c>
      <x:c r="B6695" s="6" t="str">
        <x:v>平</x:v>
      </x:c>
      <x:c r="C6695" s="6" t="str">
        <x:f>IF(B6695="","Needs decision","Ready")</x:f>
        <x:v>Ready</x:v>
      </x:c>
      <x:c r="D6695" s="6" t="str">
        <x:v>平</x:v>
      </x:c>
      <x:c r="E6695" s="6" t="str"/>
      <x:c r="F6695" s="6" t="str">
        <x:v>上平聲十三元</x:v>
      </x:c>
      <x:c r="G6695" s="6" t="str">
        <x:v>Pingshui main list, Wikisource-derived DOCX</x:v>
      </x:c>
      <x:c r="H6695" s="6" t="str"/>
      <x:c r="I6695" s="6" t="str">
        <x:v>Pingshui main-list expansion; 詞 entries ignored</x:v>
      </x:c>
      <x:c r="J6695" s="6" t="str">
        <x:f>IF(B6695="","",IF(AND(ISNUMBER(SEARCH("平",B6695)),OR(ISNUMBER(SEARCH("上",B6695)),ISNUMBER(SEARCH("去",B6695)),ISNUMBER(SEARCH("入",B6695)))),"Ambiguous",IF(ISNUMBER(SEARCH("平",B6695)),"平","仄")))</x:f>
        <x:v>平</x:v>
      </x:c>
      <x:c r="K6695" s="6" t="str">
        <x:f>IF(D6695="","",IF(AND(ISNUMBER(SEARCH("平",D6695)),OR(ISNUMBER(SEARCH("上",D6695)),ISNUMBER(SEARCH("去",D6695)),ISNUMBER(SEARCH("入",D6695)))),"Ambiguous",IF(ISNUMBER(SEARCH("平",D6695)),"平","仄")))</x:f>
        <x:v>平</x:v>
      </x:c>
      <x:c r="L6695" s="7" t="str">
        <x:v>Pingshui main list expansion</x:v>
      </x:c>
    </x:row>
    <x:row r="6696">
      <x:c r="A6696" s="5" t="str">
        <x:v>墩</x:v>
      </x:c>
      <x:c r="B6696" s="6" t="str">
        <x:v>平</x:v>
      </x:c>
      <x:c r="C6696" s="6" t="str">
        <x:f>IF(B6696="","Needs decision","Ready")</x:f>
        <x:v>Ready</x:v>
      </x:c>
      <x:c r="D6696" s="6" t="str">
        <x:v>平</x:v>
      </x:c>
      <x:c r="E6696" s="6" t="str"/>
      <x:c r="F6696" s="6" t="str">
        <x:v>上平聲十三元</x:v>
      </x:c>
      <x:c r="G6696" s="6" t="str">
        <x:v>Pingshui main list, Wikisource-derived DOCX</x:v>
      </x:c>
      <x:c r="H6696" s="6" t="str"/>
      <x:c r="I6696" s="6" t="str">
        <x:v>Pingshui main-list expansion; 詞 entries ignored</x:v>
      </x:c>
      <x:c r="J6696" s="6" t="str">
        <x:f>IF(B6696="","",IF(AND(ISNUMBER(SEARCH("平",B6696)),OR(ISNUMBER(SEARCH("上",B6696)),ISNUMBER(SEARCH("去",B6696)),ISNUMBER(SEARCH("入",B6696)))),"Ambiguous",IF(ISNUMBER(SEARCH("平",B6696)),"平","仄")))</x:f>
        <x:v>平</x:v>
      </x:c>
      <x:c r="K6696" s="6" t="str">
        <x:f>IF(D6696="","",IF(AND(ISNUMBER(SEARCH("平",D6696)),OR(ISNUMBER(SEARCH("上",D6696)),ISNUMBER(SEARCH("去",D6696)),ISNUMBER(SEARCH("入",D6696)))),"Ambiguous",IF(ISNUMBER(SEARCH("平",D6696)),"平","仄")))</x:f>
        <x:v>平</x:v>
      </x:c>
      <x:c r="L6696" s="7" t="str">
        <x:v>Pingshui main list expansion</x:v>
      </x:c>
    </x:row>
    <x:row r="6697">
      <x:c r="A6697" s="5" t="str">
        <x:v>墺</x:v>
      </x:c>
      <x:c r="B6697" s="6" t="str">
        <x:v>去</x:v>
      </x:c>
      <x:c r="C6697" s="6" t="str">
        <x:f>IF(B6697="","Needs decision","Ready")</x:f>
        <x:v>Ready</x:v>
      </x:c>
      <x:c r="D6697" s="6" t="str">
        <x:v>去</x:v>
      </x:c>
      <x:c r="E6697" s="6" t="str"/>
      <x:c r="F6697" s="6" t="str">
        <x:v>去聲二十號</x:v>
      </x:c>
      <x:c r="G6697" s="6" t="str">
        <x:v>Pingshui main list, Wikisource-derived DOCX</x:v>
      </x:c>
      <x:c r="H6697" s="6" t="str"/>
      <x:c r="I6697" s="6" t="str">
        <x:v>Pingshui main-list expansion; 詞 entries ignored</x:v>
      </x:c>
      <x:c r="J6697" s="6" t="str">
        <x:f>IF(B6697="","",IF(AND(ISNUMBER(SEARCH("平",B6697)),OR(ISNUMBER(SEARCH("上",B6697)),ISNUMBER(SEARCH("去",B6697)),ISNUMBER(SEARCH("入",B6697)))),"Ambiguous",IF(ISNUMBER(SEARCH("平",B6697)),"平","仄")))</x:f>
        <x:v>仄</x:v>
      </x:c>
      <x:c r="K6697" s="6" t="str">
        <x:f>IF(D6697="","",IF(AND(ISNUMBER(SEARCH("平",D6697)),OR(ISNUMBER(SEARCH("上",D6697)),ISNUMBER(SEARCH("去",D6697)),ISNUMBER(SEARCH("入",D6697)))),"Ambiguous",IF(ISNUMBER(SEARCH("平",D6697)),"平","仄")))</x:f>
        <x:v>仄</x:v>
      </x:c>
      <x:c r="L6697" s="7" t="str">
        <x:v>Pingshui main list expansion</x:v>
      </x:c>
    </x:row>
    <x:row r="6698">
      <x:c r="A6698" s="5" t="str">
        <x:v>壼</x:v>
      </x:c>
      <x:c r="B6698" s="6" t="str">
        <x:v>上</x:v>
      </x:c>
      <x:c r="C6698" s="6" t="str">
        <x:f>IF(B6698="","Needs decision","Ready")</x:f>
        <x:v>Ready</x:v>
      </x:c>
      <x:c r="D6698" s="6" t="str">
        <x:v>上</x:v>
      </x:c>
      <x:c r="E6698" s="6" t="str"/>
      <x:c r="F6698" s="6" t="str">
        <x:v>上聲十三阮</x:v>
      </x:c>
      <x:c r="G6698" s="6" t="str">
        <x:v>Pingshui main list, Wikisource-derived DOCX</x:v>
      </x:c>
      <x:c r="H6698" s="6" t="str"/>
      <x:c r="I6698" s="6" t="str">
        <x:v>Pingshui main-list expansion; 詞 entries ignored</x:v>
      </x:c>
      <x:c r="J6698" s="6" t="str">
        <x:f>IF(B6698="","",IF(AND(ISNUMBER(SEARCH("平",B6698)),OR(ISNUMBER(SEARCH("上",B6698)),ISNUMBER(SEARCH("去",B6698)),ISNUMBER(SEARCH("入",B6698)))),"Ambiguous",IF(ISNUMBER(SEARCH("平",B6698)),"平","仄")))</x:f>
        <x:v>仄</x:v>
      </x:c>
      <x:c r="K6698" s="6" t="str">
        <x:f>IF(D6698="","",IF(AND(ISNUMBER(SEARCH("平",D6698)),OR(ISNUMBER(SEARCH("上",D6698)),ISNUMBER(SEARCH("去",D6698)),ISNUMBER(SEARCH("入",D6698)))),"Ambiguous",IF(ISNUMBER(SEARCH("平",D6698)),"平","仄")))</x:f>
        <x:v>仄</x:v>
      </x:c>
      <x:c r="L6698" s="7" t="str">
        <x:v>Pingshui main list expansion</x:v>
      </x:c>
    </x:row>
    <x:row r="6699">
      <x:c r="A6699" s="5" t="str">
        <x:v>奓</x:v>
      </x:c>
      <x:c r="B6699" s="6" t="str">
        <x:v>平</x:v>
      </x:c>
      <x:c r="C6699" s="6" t="str">
        <x:f>IF(B6699="","Needs decision","Ready")</x:f>
        <x:v>Ready</x:v>
      </x:c>
      <x:c r="D6699" s="6" t="str">
        <x:v>平</x:v>
      </x:c>
      <x:c r="E6699" s="6" t="str"/>
      <x:c r="F6699" s="6" t="str">
        <x:v>下平聲六麻</x:v>
      </x:c>
      <x:c r="G6699" s="6" t="str">
        <x:v>Pingshui main list, Wikisource-derived DOCX</x:v>
      </x:c>
      <x:c r="H6699" s="6" t="str"/>
      <x:c r="I6699" s="6" t="str">
        <x:v>Pingshui main-list expansion; 詞 entries ignored</x:v>
      </x:c>
      <x:c r="J6699" s="6" t="str">
        <x:f>IF(B6699="","",IF(AND(ISNUMBER(SEARCH("平",B6699)),OR(ISNUMBER(SEARCH("上",B6699)),ISNUMBER(SEARCH("去",B6699)),ISNUMBER(SEARCH("入",B6699)))),"Ambiguous",IF(ISNUMBER(SEARCH("平",B6699)),"平","仄")))</x:f>
        <x:v>平</x:v>
      </x:c>
      <x:c r="K6699" s="6" t="str">
        <x:f>IF(D6699="","",IF(AND(ISNUMBER(SEARCH("平",D6699)),OR(ISNUMBER(SEARCH("上",D6699)),ISNUMBER(SEARCH("去",D6699)),ISNUMBER(SEARCH("入",D6699)))),"Ambiguous",IF(ISNUMBER(SEARCH("平",D6699)),"平","仄")))</x:f>
        <x:v>平</x:v>
      </x:c>
      <x:c r="L6699" s="7" t="str">
        <x:v>Pingshui main list expansion</x:v>
      </x:c>
    </x:row>
    <x:row r="6700">
      <x:c r="A6700" s="5" t="str">
        <x:v>套</x:v>
      </x:c>
      <x:c r="B6700" s="6" t="str">
        <x:v>上</x:v>
      </x:c>
      <x:c r="C6700" s="6" t="str">
        <x:f>IF(B6700="","Needs decision","Ready")</x:f>
        <x:v>Ready</x:v>
      </x:c>
      <x:c r="D6700" s="6" t="str">
        <x:v>上</x:v>
      </x:c>
      <x:c r="E6700" s="6" t="str"/>
      <x:c r="F6700" s="6" t="str">
        <x:v>上聲十九皓</x:v>
      </x:c>
      <x:c r="G6700" s="6" t="str">
        <x:v>Pingshui main list, Wikisource-derived DOCX</x:v>
      </x:c>
      <x:c r="H6700" s="6" t="str"/>
      <x:c r="I6700" s="6" t="str">
        <x:v>Pingshui main-list expansion; 詞 entries ignored</x:v>
      </x:c>
      <x:c r="J6700" s="6" t="str">
        <x:f>IF(B6700="","",IF(AND(ISNUMBER(SEARCH("平",B6700)),OR(ISNUMBER(SEARCH("上",B6700)),ISNUMBER(SEARCH("去",B6700)),ISNUMBER(SEARCH("入",B6700)))),"Ambiguous",IF(ISNUMBER(SEARCH("平",B6700)),"平","仄")))</x:f>
        <x:v>仄</x:v>
      </x:c>
      <x:c r="K6700" s="6" t="str">
        <x:f>IF(D6700="","",IF(AND(ISNUMBER(SEARCH("平",D6700)),OR(ISNUMBER(SEARCH("上",D6700)),ISNUMBER(SEARCH("去",D6700)),ISNUMBER(SEARCH("入",D6700)))),"Ambiguous",IF(ISNUMBER(SEARCH("平",D6700)),"平","仄")))</x:f>
        <x:v>仄</x:v>
      </x:c>
      <x:c r="L6700" s="7" t="str">
        <x:v>Pingshui main list expansion</x:v>
      </x:c>
    </x:row>
    <x:row r="6701">
      <x:c r="A6701" s="5" t="str">
        <x:v>奘</x:v>
      </x:c>
      <x:c r="B6701" s="6" t="str">
        <x:v>上</x:v>
      </x:c>
      <x:c r="C6701" s="6" t="str">
        <x:f>IF(B6701="","Needs decision","Ready")</x:f>
        <x:v>Ready</x:v>
      </x:c>
      <x:c r="D6701" s="6" t="str">
        <x:v>上</x:v>
      </x:c>
      <x:c r="E6701" s="6" t="str"/>
      <x:c r="F6701" s="6" t="str">
        <x:v>上聲二十二養</x:v>
      </x:c>
      <x:c r="G6701" s="6" t="str">
        <x:v>Pingshui main list, Wikisource-derived DOCX</x:v>
      </x:c>
      <x:c r="H6701" s="6" t="str"/>
      <x:c r="I6701" s="6" t="str">
        <x:v>Pingshui main-list expansion; 詞 entries ignored</x:v>
      </x:c>
      <x:c r="J6701" s="6" t="str">
        <x:f>IF(B6701="","",IF(AND(ISNUMBER(SEARCH("平",B6701)),OR(ISNUMBER(SEARCH("上",B6701)),ISNUMBER(SEARCH("去",B6701)),ISNUMBER(SEARCH("入",B6701)))),"Ambiguous",IF(ISNUMBER(SEARCH("平",B6701)),"平","仄")))</x:f>
        <x:v>仄</x:v>
      </x:c>
      <x:c r="K6701" s="6" t="str">
        <x:f>IF(D6701="","",IF(AND(ISNUMBER(SEARCH("平",D6701)),OR(ISNUMBER(SEARCH("上",D6701)),ISNUMBER(SEARCH("去",D6701)),ISNUMBER(SEARCH("入",D6701)))),"Ambiguous",IF(ISNUMBER(SEARCH("平",D6701)),"平","仄")))</x:f>
        <x:v>仄</x:v>
      </x:c>
      <x:c r="L6701" s="7" t="str">
        <x:v>Pingshui main list expansion</x:v>
      </x:c>
    </x:row>
    <x:row r="6702">
      <x:c r="A6702" s="5" t="str">
        <x:v>奡</x:v>
      </x:c>
      <x:c r="B6702" s="6" t="str">
        <x:v>去</x:v>
      </x:c>
      <x:c r="C6702" s="6" t="str">
        <x:f>IF(B6702="","Needs decision","Ready")</x:f>
        <x:v>Ready</x:v>
      </x:c>
      <x:c r="D6702" s="6" t="str">
        <x:v>去</x:v>
      </x:c>
      <x:c r="E6702" s="6" t="str"/>
      <x:c r="F6702" s="6" t="str">
        <x:v>去聲二十號</x:v>
      </x:c>
      <x:c r="G6702" s="6" t="str">
        <x:v>Pingshui main list, Wikisource-derived DOCX</x:v>
      </x:c>
      <x:c r="H6702" s="6" t="str"/>
      <x:c r="I6702" s="6" t="str">
        <x:v>Pingshui main-list expansion; 詞 entries ignored</x:v>
      </x:c>
      <x:c r="J6702" s="6" t="str">
        <x:f>IF(B6702="","",IF(AND(ISNUMBER(SEARCH("平",B6702)),OR(ISNUMBER(SEARCH("上",B6702)),ISNUMBER(SEARCH("去",B6702)),ISNUMBER(SEARCH("入",B6702)))),"Ambiguous",IF(ISNUMBER(SEARCH("平",B6702)),"平","仄")))</x:f>
        <x:v>仄</x:v>
      </x:c>
      <x:c r="K6702" s="6" t="str">
        <x:f>IF(D6702="","",IF(AND(ISNUMBER(SEARCH("平",D6702)),OR(ISNUMBER(SEARCH("上",D6702)),ISNUMBER(SEARCH("去",D6702)),ISNUMBER(SEARCH("入",D6702)))),"Ambiguous",IF(ISNUMBER(SEARCH("平",D6702)),"平","仄")))</x:f>
        <x:v>仄</x:v>
      </x:c>
      <x:c r="L6702" s="7" t="str">
        <x:v>Pingshui main list expansion</x:v>
      </x:c>
    </x:row>
    <x:row r="6703">
      <x:c r="A6703" s="5" t="str">
        <x:v>奫</x:v>
      </x:c>
      <x:c r="B6703" s="6" t="str">
        <x:v>平</x:v>
      </x:c>
      <x:c r="C6703" s="6" t="str">
        <x:f>IF(B6703="","Needs decision","Ready")</x:f>
        <x:v>Ready</x:v>
      </x:c>
      <x:c r="D6703" s="6" t="str">
        <x:v>平</x:v>
      </x:c>
      <x:c r="E6703" s="6" t="str"/>
      <x:c r="F6703" s="6" t="str">
        <x:v>上平聲十一真</x:v>
      </x:c>
      <x:c r="G6703" s="6" t="str">
        <x:v>Pingshui main list, Wikisource-derived DOCX</x:v>
      </x:c>
      <x:c r="H6703" s="6" t="str"/>
      <x:c r="I6703" s="6" t="str">
        <x:v>Pingshui main-list expansion; 詞 entries ignored</x:v>
      </x:c>
      <x:c r="J6703" s="6" t="str">
        <x:f>IF(B6703="","",IF(AND(ISNUMBER(SEARCH("平",B6703)),OR(ISNUMBER(SEARCH("上",B6703)),ISNUMBER(SEARCH("去",B6703)),ISNUMBER(SEARCH("入",B6703)))),"Ambiguous",IF(ISNUMBER(SEARCH("平",B6703)),"平","仄")))</x:f>
        <x:v>平</x:v>
      </x:c>
      <x:c r="K6703" s="6" t="str">
        <x:f>IF(D6703="","",IF(AND(ISNUMBER(SEARCH("平",D6703)),OR(ISNUMBER(SEARCH("上",D6703)),ISNUMBER(SEARCH("去",D6703)),ISNUMBER(SEARCH("入",D6703)))),"Ambiguous",IF(ISNUMBER(SEARCH("平",D6703)),"平","仄")))</x:f>
        <x:v>平</x:v>
      </x:c>
      <x:c r="L6703" s="7" t="str">
        <x:v>Pingshui main list expansion</x:v>
      </x:c>
    </x:row>
    <x:row r="6704">
      <x:c r="A6704" s="5" t="str">
        <x:v>妁</x:v>
      </x:c>
      <x:c r="B6704" s="6" t="str">
        <x:v>入</x:v>
      </x:c>
      <x:c r="C6704" s="6" t="str">
        <x:f>IF(B6704="","Needs decision","Ready")</x:f>
        <x:v>Ready</x:v>
      </x:c>
      <x:c r="D6704" s="6" t="str">
        <x:v>入</x:v>
      </x:c>
      <x:c r="E6704" s="6" t="str"/>
      <x:c r="F6704" s="6" t="str">
        <x:v>入聲十藥</x:v>
      </x:c>
      <x:c r="G6704" s="6" t="str">
        <x:v>Pingshui main list, Wikisource-derived DOCX</x:v>
      </x:c>
      <x:c r="H6704" s="6" t="str"/>
      <x:c r="I6704" s="6" t="str">
        <x:v>Pingshui main-list expansion; 詞 entries ignored</x:v>
      </x:c>
      <x:c r="J6704" s="6" t="str">
        <x:f>IF(B6704="","",IF(AND(ISNUMBER(SEARCH("平",B6704)),OR(ISNUMBER(SEARCH("上",B6704)),ISNUMBER(SEARCH("去",B6704)),ISNUMBER(SEARCH("入",B6704)))),"Ambiguous",IF(ISNUMBER(SEARCH("平",B6704)),"平","仄")))</x:f>
        <x:v>仄</x:v>
      </x:c>
      <x:c r="K6704" s="6" t="str">
        <x:f>IF(D6704="","",IF(AND(ISNUMBER(SEARCH("平",D6704)),OR(ISNUMBER(SEARCH("上",D6704)),ISNUMBER(SEARCH("去",D6704)),ISNUMBER(SEARCH("入",D6704)))),"Ambiguous",IF(ISNUMBER(SEARCH("平",D6704)),"平","仄")))</x:f>
        <x:v>仄</x:v>
      </x:c>
      <x:c r="L6704" s="7" t="str">
        <x:v>Pingshui main list expansion</x:v>
      </x:c>
    </x:row>
    <x:row r="6705">
      <x:c r="A6705" s="5" t="str">
        <x:v>妊</x:v>
      </x:c>
      <x:c r="B6705" s="6" t="str"/>
      <x:c r="C6705" s="6" t="str">
        <x:f>IF(B6705="","Needs decision","Ready")</x:f>
        <x:v>Needs decision</x:v>
      </x:c>
      <x:c r="D6705" s="6" t="str">
        <x:v>平/去</x:v>
      </x:c>
      <x:c r="E6705" s="6" t="str"/>
      <x:c r="F6705" s="6" t="str">
        <x:v>下平聲十二侵; 去聲二十七沁</x:v>
      </x:c>
      <x:c r="G6705" s="6" t="str">
        <x:v>Pingshui main list, Wikisource-derived DOCX</x:v>
      </x:c>
      <x:c r="H6705" s="6" t="str"/>
      <x:c r="I6705" s="6" t="str">
        <x:v>Pingshui main-list expansion; 詞 entries ignored</x:v>
      </x:c>
      <x:c r="J6705" s="6" t="str">
        <x:f>IF(B6705="","",IF(AND(ISNUMBER(SEARCH("平",B6705)),OR(ISNUMBER(SEARCH("上",B6705)),ISNUMBER(SEARCH("去",B6705)),ISNUMBER(SEARCH("入",B6705)))),"Ambiguous",IF(ISNUMBER(SEARCH("平",B6705)),"平","仄")))</x:f>
      </x:c>
      <x:c r="K6705" s="6" t="str">
        <x:f>IF(D6705="","",IF(AND(ISNUMBER(SEARCH("平",D6705)),OR(ISNUMBER(SEARCH("上",D6705)),ISNUMBER(SEARCH("去",D6705)),ISNUMBER(SEARCH("入",D6705)))),"Ambiguous",IF(ISNUMBER(SEARCH("平",D6705)),"平","仄")))</x:f>
        <x:v>Ambiguous</x:v>
      </x:c>
      <x:c r="L6705" s="7" t="str">
        <x:v>Pingshui main list expansion</x:v>
      </x:c>
    </x:row>
    <x:row r="6706">
      <x:c r="A6706" s="5" t="str">
        <x:v>妘</x:v>
      </x:c>
      <x:c r="B6706" s="6" t="str">
        <x:v>平</x:v>
      </x:c>
      <x:c r="C6706" s="6" t="str">
        <x:f>IF(B6706="","Needs decision","Ready")</x:f>
        <x:v>Ready</x:v>
      </x:c>
      <x:c r="D6706" s="6" t="str">
        <x:v>平</x:v>
      </x:c>
      <x:c r="E6706" s="6" t="str"/>
      <x:c r="F6706" s="6" t="str">
        <x:v>上平聲十二文</x:v>
      </x:c>
      <x:c r="G6706" s="6" t="str">
        <x:v>Pingshui main list, Wikisource-derived DOCX</x:v>
      </x:c>
      <x:c r="H6706" s="6" t="str"/>
      <x:c r="I6706" s="6" t="str">
        <x:v>Pingshui main-list expansion; 詞 entries ignored</x:v>
      </x:c>
      <x:c r="J6706" s="6" t="str">
        <x:f>IF(B6706="","",IF(AND(ISNUMBER(SEARCH("平",B6706)),OR(ISNUMBER(SEARCH("上",B6706)),ISNUMBER(SEARCH("去",B6706)),ISNUMBER(SEARCH("入",B6706)))),"Ambiguous",IF(ISNUMBER(SEARCH("平",B6706)),"平","仄")))</x:f>
        <x:v>平</x:v>
      </x:c>
      <x:c r="K6706" s="6" t="str">
        <x:f>IF(D6706="","",IF(AND(ISNUMBER(SEARCH("平",D6706)),OR(ISNUMBER(SEARCH("上",D6706)),ISNUMBER(SEARCH("去",D6706)),ISNUMBER(SEARCH("入",D6706)))),"Ambiguous",IF(ISNUMBER(SEARCH("平",D6706)),"平","仄")))</x:f>
        <x:v>平</x:v>
      </x:c>
      <x:c r="L6706" s="7" t="str">
        <x:v>Pingshui main list expansion</x:v>
      </x:c>
    </x:row>
    <x:row r="6707">
      <x:c r="A6707" s="5" t="str">
        <x:v>妠</x:v>
      </x:c>
      <x:c r="B6707" s="6" t="str">
        <x:v>入</x:v>
      </x:c>
      <x:c r="C6707" s="6" t="str">
        <x:f>IF(B6707="","Needs decision","Ready")</x:f>
        <x:v>Ready</x:v>
      </x:c>
      <x:c r="D6707" s="6" t="str">
        <x:v>入</x:v>
      </x:c>
      <x:c r="E6707" s="6" t="str"/>
      <x:c r="F6707" s="6" t="str">
        <x:v>入聲八黠</x:v>
      </x:c>
      <x:c r="G6707" s="6" t="str">
        <x:v>Pingshui main list, Wikisource-derived DOCX</x:v>
      </x:c>
      <x:c r="H6707" s="6" t="str"/>
      <x:c r="I6707" s="6" t="str">
        <x:v>Pingshui main-list expansion; 詞 entries ignored</x:v>
      </x:c>
      <x:c r="J6707" s="6" t="str">
        <x:f>IF(B6707="","",IF(AND(ISNUMBER(SEARCH("平",B6707)),OR(ISNUMBER(SEARCH("上",B6707)),ISNUMBER(SEARCH("去",B6707)),ISNUMBER(SEARCH("入",B6707)))),"Ambiguous",IF(ISNUMBER(SEARCH("平",B6707)),"平","仄")))</x:f>
        <x:v>仄</x:v>
      </x:c>
      <x:c r="K6707" s="6" t="str">
        <x:f>IF(D6707="","",IF(AND(ISNUMBER(SEARCH("平",D6707)),OR(ISNUMBER(SEARCH("上",D6707)),ISNUMBER(SEARCH("去",D6707)),ISNUMBER(SEARCH("入",D6707)))),"Ambiguous",IF(ISNUMBER(SEARCH("平",D6707)),"平","仄")))</x:f>
        <x:v>仄</x:v>
      </x:c>
      <x:c r="L6707" s="7" t="str">
        <x:v>Pingshui main list expansion</x:v>
      </x:c>
    </x:row>
    <x:row r="6708">
      <x:c r="A6708" s="5" t="str">
        <x:v>妵</x:v>
      </x:c>
      <x:c r="B6708" s="6" t="str">
        <x:v>上</x:v>
      </x:c>
      <x:c r="C6708" s="6" t="str">
        <x:f>IF(B6708="","Needs decision","Ready")</x:f>
        <x:v>Ready</x:v>
      </x:c>
      <x:c r="D6708" s="6" t="str">
        <x:v>上</x:v>
      </x:c>
      <x:c r="E6708" s="6" t="str"/>
      <x:c r="F6708" s="6" t="str">
        <x:v>上聲二十五有</x:v>
      </x:c>
      <x:c r="G6708" s="6" t="str">
        <x:v>Pingshui main list, Wikisource-derived DOCX</x:v>
      </x:c>
      <x:c r="H6708" s="6" t="str"/>
      <x:c r="I6708" s="6" t="str">
        <x:v>Pingshui main-list expansion; 詞 entries ignored</x:v>
      </x:c>
      <x:c r="J6708" s="6" t="str">
        <x:f>IF(B6708="","",IF(AND(ISNUMBER(SEARCH("平",B6708)),OR(ISNUMBER(SEARCH("上",B6708)),ISNUMBER(SEARCH("去",B6708)),ISNUMBER(SEARCH("入",B6708)))),"Ambiguous",IF(ISNUMBER(SEARCH("平",B6708)),"平","仄")))</x:f>
        <x:v>仄</x:v>
      </x:c>
      <x:c r="K6708" s="6" t="str">
        <x:f>IF(D6708="","",IF(AND(ISNUMBER(SEARCH("平",D6708)),OR(ISNUMBER(SEARCH("上",D6708)),ISNUMBER(SEARCH("去",D6708)),ISNUMBER(SEARCH("入",D6708)))),"Ambiguous",IF(ISNUMBER(SEARCH("平",D6708)),"平","仄")))</x:f>
        <x:v>仄</x:v>
      </x:c>
      <x:c r="L6708" s="7" t="str">
        <x:v>Pingshui main list expansion</x:v>
      </x:c>
    </x:row>
    <x:row r="6709">
      <x:c r="A6709" s="5" t="str">
        <x:v>姁</x:v>
      </x:c>
      <x:c r="B6709" s="6" t="str"/>
      <x:c r="C6709" s="6" t="str">
        <x:f>IF(B6709="","Needs decision","Ready")</x:f>
        <x:v>Needs decision</x:v>
      </x:c>
      <x:c r="D6709" s="6" t="str">
        <x:v>平/去</x:v>
      </x:c>
      <x:c r="E6709" s="6" t="str"/>
      <x:c r="F6709" s="6" t="str">
        <x:v>上平聲七虞; 去聲七遇</x:v>
      </x:c>
      <x:c r="G6709" s="6" t="str">
        <x:v>Pingshui main list, Wikisource-derived DOCX</x:v>
      </x:c>
      <x:c r="H6709" s="6" t="str"/>
      <x:c r="I6709" s="6" t="str">
        <x:v>Pingshui main-list expansion; 詞 entries ignored</x:v>
      </x:c>
      <x:c r="J6709" s="6" t="str">
        <x:f>IF(B6709="","",IF(AND(ISNUMBER(SEARCH("平",B6709)),OR(ISNUMBER(SEARCH("上",B6709)),ISNUMBER(SEARCH("去",B6709)),ISNUMBER(SEARCH("入",B6709)))),"Ambiguous",IF(ISNUMBER(SEARCH("平",B6709)),"平","仄")))</x:f>
      </x:c>
      <x:c r="K6709" s="6" t="str">
        <x:f>IF(D6709="","",IF(AND(ISNUMBER(SEARCH("平",D6709)),OR(ISNUMBER(SEARCH("上",D6709)),ISNUMBER(SEARCH("去",D6709)),ISNUMBER(SEARCH("入",D6709)))),"Ambiguous",IF(ISNUMBER(SEARCH("平",D6709)),"平","仄")))</x:f>
        <x:v>Ambiguous</x:v>
      </x:c>
      <x:c r="L6709" s="7" t="str">
        <x:v>Pingshui main list expansion</x:v>
      </x:c>
    </x:row>
    <x:row r="6710">
      <x:c r="A6710" s="5" t="str">
        <x:v>姐</x:v>
      </x:c>
      <x:c r="B6710" s="6" t="str">
        <x:v>上</x:v>
      </x:c>
      <x:c r="C6710" s="6" t="str">
        <x:f>IF(B6710="","Needs decision","Ready")</x:f>
        <x:v>Ready</x:v>
      </x:c>
      <x:c r="D6710" s="6" t="str">
        <x:v>上</x:v>
      </x:c>
      <x:c r="E6710" s="6" t="str"/>
      <x:c r="F6710" s="6" t="str">
        <x:v>上聲二十一馬</x:v>
      </x:c>
      <x:c r="G6710" s="6" t="str">
        <x:v>Pingshui main list, Wikisource-derived DOCX</x:v>
      </x:c>
      <x:c r="H6710" s="6" t="str"/>
      <x:c r="I6710" s="6" t="str">
        <x:v>Pingshui main-list expansion; 詞 entries ignored</x:v>
      </x:c>
      <x:c r="J6710" s="6" t="str">
        <x:f>IF(B6710="","",IF(AND(ISNUMBER(SEARCH("平",B6710)),OR(ISNUMBER(SEARCH("上",B6710)),ISNUMBER(SEARCH("去",B6710)),ISNUMBER(SEARCH("入",B6710)))),"Ambiguous",IF(ISNUMBER(SEARCH("平",B6710)),"平","仄")))</x:f>
        <x:v>仄</x:v>
      </x:c>
      <x:c r="K6710" s="6" t="str">
        <x:f>IF(D6710="","",IF(AND(ISNUMBER(SEARCH("平",D6710)),OR(ISNUMBER(SEARCH("上",D6710)),ISNUMBER(SEARCH("去",D6710)),ISNUMBER(SEARCH("入",D6710)))),"Ambiguous",IF(ISNUMBER(SEARCH("平",D6710)),"平","仄")))</x:f>
        <x:v>仄</x:v>
      </x:c>
      <x:c r="L6710" s="7" t="str">
        <x:v>Pingshui main list expansion</x:v>
      </x:c>
    </x:row>
    <x:row r="6711">
      <x:c r="A6711" s="5" t="str">
        <x:v>姞</x:v>
      </x:c>
      <x:c r="B6711" s="6" t="str">
        <x:v>入</x:v>
      </x:c>
      <x:c r="C6711" s="6" t="str">
        <x:f>IF(B6711="","Needs decision","Ready")</x:f>
        <x:v>Ready</x:v>
      </x:c>
      <x:c r="D6711" s="6" t="str">
        <x:v>入</x:v>
      </x:c>
      <x:c r="E6711" s="6" t="str"/>
      <x:c r="F6711" s="6" t="str">
        <x:v>入聲四質</x:v>
      </x:c>
      <x:c r="G6711" s="6" t="str">
        <x:v>Pingshui main list, Wikisource-derived DOCX</x:v>
      </x:c>
      <x:c r="H6711" s="6" t="str"/>
      <x:c r="I6711" s="6" t="str">
        <x:v>Pingshui main-list expansion; 詞 entries ignored</x:v>
      </x:c>
      <x:c r="J6711" s="6" t="str">
        <x:f>IF(B6711="","",IF(AND(ISNUMBER(SEARCH("平",B6711)),OR(ISNUMBER(SEARCH("上",B6711)),ISNUMBER(SEARCH("去",B6711)),ISNUMBER(SEARCH("入",B6711)))),"Ambiguous",IF(ISNUMBER(SEARCH("平",B6711)),"平","仄")))</x:f>
        <x:v>仄</x:v>
      </x:c>
      <x:c r="K6711" s="6" t="str">
        <x:f>IF(D6711="","",IF(AND(ISNUMBER(SEARCH("平",D6711)),OR(ISNUMBER(SEARCH("上",D6711)),ISNUMBER(SEARCH("去",D6711)),ISNUMBER(SEARCH("入",D6711)))),"Ambiguous",IF(ISNUMBER(SEARCH("平",D6711)),"平","仄")))</x:f>
        <x:v>仄</x:v>
      </x:c>
      <x:c r="L6711" s="7" t="str">
        <x:v>Pingshui main list expansion</x:v>
      </x:c>
    </x:row>
    <x:row r="6712">
      <x:c r="A6712" s="5" t="str">
        <x:v>姪</x:v>
      </x:c>
      <x:c r="B6712" s="6" t="str">
        <x:v>入</x:v>
      </x:c>
      <x:c r="C6712" s="6" t="str">
        <x:f>IF(B6712="","Needs decision","Ready")</x:f>
        <x:v>Ready</x:v>
      </x:c>
      <x:c r="D6712" s="6" t="str">
        <x:v>入</x:v>
      </x:c>
      <x:c r="E6712" s="6" t="str"/>
      <x:c r="F6712" s="6" t="str">
        <x:v>入聲四質; 入聲九屑</x:v>
      </x:c>
      <x:c r="G6712" s="6" t="str">
        <x:v>Pingshui main list, Wikisource-derived DOCX</x:v>
      </x:c>
      <x:c r="H6712" s="6" t="str"/>
      <x:c r="I6712" s="6" t="str">
        <x:v>Pingshui main-list expansion; 詞 entries ignored</x:v>
      </x:c>
      <x:c r="J6712" s="6" t="str">
        <x:f>IF(B6712="","",IF(AND(ISNUMBER(SEARCH("平",B6712)),OR(ISNUMBER(SEARCH("上",B6712)),ISNUMBER(SEARCH("去",B6712)),ISNUMBER(SEARCH("入",B6712)))),"Ambiguous",IF(ISNUMBER(SEARCH("平",B6712)),"平","仄")))</x:f>
        <x:v>仄</x:v>
      </x:c>
      <x:c r="K6712" s="6" t="str">
        <x:f>IF(D6712="","",IF(AND(ISNUMBER(SEARCH("平",D6712)),OR(ISNUMBER(SEARCH("上",D6712)),ISNUMBER(SEARCH("去",D6712)),ISNUMBER(SEARCH("入",D6712)))),"Ambiguous",IF(ISNUMBER(SEARCH("平",D6712)),"平","仄")))</x:f>
        <x:v>仄</x:v>
      </x:c>
      <x:c r="L6712" s="7" t="str">
        <x:v>Pingshui main list expansion</x:v>
      </x:c>
    </x:row>
    <x:row r="6713">
      <x:c r="A6713" s="5" t="str">
        <x:v>姭</x:v>
      </x:c>
      <x:c r="B6713" s="6" t="str">
        <x:v>去</x:v>
      </x:c>
      <x:c r="C6713" s="6" t="str">
        <x:f>IF(B6713="","Needs decision","Ready")</x:f>
        <x:v>Ready</x:v>
      </x:c>
      <x:c r="D6713" s="6" t="str">
        <x:v>去</x:v>
      </x:c>
      <x:c r="E6713" s="6" t="str"/>
      <x:c r="F6713" s="6" t="str">
        <x:v>去聲二十九豔</x:v>
      </x:c>
      <x:c r="G6713" s="6" t="str">
        <x:v>Pingshui main list, Wikisource-derived DOCX</x:v>
      </x:c>
      <x:c r="H6713" s="6" t="str"/>
      <x:c r="I6713" s="6" t="str">
        <x:v>Pingshui main-list expansion; 詞 entries ignored</x:v>
      </x:c>
      <x:c r="J6713" s="6" t="str">
        <x:f>IF(B6713="","",IF(AND(ISNUMBER(SEARCH("平",B6713)),OR(ISNUMBER(SEARCH("上",B6713)),ISNUMBER(SEARCH("去",B6713)),ISNUMBER(SEARCH("入",B6713)))),"Ambiguous",IF(ISNUMBER(SEARCH("平",B6713)),"平","仄")))</x:f>
        <x:v>仄</x:v>
      </x:c>
      <x:c r="K6713" s="6" t="str">
        <x:f>IF(D6713="","",IF(AND(ISNUMBER(SEARCH("平",D6713)),OR(ISNUMBER(SEARCH("上",D6713)),ISNUMBER(SEARCH("去",D6713)),ISNUMBER(SEARCH("入",D6713)))),"Ambiguous",IF(ISNUMBER(SEARCH("平",D6713)),"平","仄")))</x:f>
        <x:v>仄</x:v>
      </x:c>
      <x:c r="L6713" s="7" t="str">
        <x:v>Pingshui main list expansion</x:v>
      </x:c>
    </x:row>
    <x:row r="6714">
      <x:c r="A6714" s="5" t="str">
        <x:v>姶</x:v>
      </x:c>
      <x:c r="B6714" s="6" t="str">
        <x:v>入</x:v>
      </x:c>
      <x:c r="C6714" s="6" t="str">
        <x:f>IF(B6714="","Needs decision","Ready")</x:f>
        <x:v>Ready</x:v>
      </x:c>
      <x:c r="D6714" s="6" t="str">
        <x:v>入</x:v>
      </x:c>
      <x:c r="E6714" s="6" t="str"/>
      <x:c r="F6714" s="6" t="str">
        <x:v>入聲十五合</x:v>
      </x:c>
      <x:c r="G6714" s="6" t="str">
        <x:v>Pingshui main list, Wikisource-derived DOCX</x:v>
      </x:c>
      <x:c r="H6714" s="6" t="str"/>
      <x:c r="I6714" s="6" t="str">
        <x:v>Pingshui main-list expansion; 詞 entries ignored</x:v>
      </x:c>
      <x:c r="J6714" s="6" t="str">
        <x:f>IF(B6714="","",IF(AND(ISNUMBER(SEARCH("平",B6714)),OR(ISNUMBER(SEARCH("上",B6714)),ISNUMBER(SEARCH("去",B6714)),ISNUMBER(SEARCH("入",B6714)))),"Ambiguous",IF(ISNUMBER(SEARCH("平",B6714)),"平","仄")))</x:f>
        <x:v>仄</x:v>
      </x:c>
      <x:c r="K6714" s="6" t="str">
        <x:f>IF(D6714="","",IF(AND(ISNUMBER(SEARCH("平",D6714)),OR(ISNUMBER(SEARCH("上",D6714)),ISNUMBER(SEARCH("去",D6714)),ISNUMBER(SEARCH("入",D6714)))),"Ambiguous",IF(ISNUMBER(SEARCH("平",D6714)),"平","仄")))</x:f>
        <x:v>仄</x:v>
      </x:c>
      <x:c r="L6714" s="7" t="str">
        <x:v>Pingshui main list expansion</x:v>
      </x:c>
    </x:row>
    <x:row r="6715">
      <x:c r="A6715" s="5" t="str">
        <x:v>姼</x:v>
      </x:c>
      <x:c r="B6715" s="6" t="str"/>
      <x:c r="C6715" s="6" t="str">
        <x:f>IF(B6715="","Needs decision","Ready")</x:f>
        <x:v>Needs decision</x:v>
      </x:c>
      <x:c r="D6715" s="6" t="str">
        <x:v>平/上</x:v>
      </x:c>
      <x:c r="E6715" s="6" t="str"/>
      <x:c r="F6715" s="6" t="str">
        <x:v>上平聲四支; 上聲四紙</x:v>
      </x:c>
      <x:c r="G6715" s="6" t="str">
        <x:v>Pingshui main list, Wikisource-derived DOCX</x:v>
      </x:c>
      <x:c r="H6715" s="6" t="str"/>
      <x:c r="I6715" s="6" t="str">
        <x:v>Pingshui main-list expansion; 詞 entries ignored</x:v>
      </x:c>
      <x:c r="J6715" s="6" t="str">
        <x:f>IF(B6715="","",IF(AND(ISNUMBER(SEARCH("平",B6715)),OR(ISNUMBER(SEARCH("上",B6715)),ISNUMBER(SEARCH("去",B6715)),ISNUMBER(SEARCH("入",B6715)))),"Ambiguous",IF(ISNUMBER(SEARCH("平",B6715)),"平","仄")))</x:f>
      </x:c>
      <x:c r="K6715" s="6" t="str">
        <x:f>IF(D6715="","",IF(AND(ISNUMBER(SEARCH("平",D6715)),OR(ISNUMBER(SEARCH("上",D6715)),ISNUMBER(SEARCH("去",D6715)),ISNUMBER(SEARCH("入",D6715)))),"Ambiguous",IF(ISNUMBER(SEARCH("平",D6715)),"平","仄")))</x:f>
        <x:v>Ambiguous</x:v>
      </x:c>
      <x:c r="L6715" s="7" t="str">
        <x:v>Pingshui main list expansion</x:v>
      </x:c>
    </x:row>
    <x:row r="6716">
      <x:c r="A6716" s="5" t="str">
        <x:v>娌</x:v>
      </x:c>
      <x:c r="B6716" s="6" t="str">
        <x:v>上</x:v>
      </x:c>
      <x:c r="C6716" s="6" t="str">
        <x:f>IF(B6716="","Needs decision","Ready")</x:f>
        <x:v>Ready</x:v>
      </x:c>
      <x:c r="D6716" s="6" t="str">
        <x:v>上</x:v>
      </x:c>
      <x:c r="E6716" s="6" t="str"/>
      <x:c r="F6716" s="6" t="str">
        <x:v>上聲四紙</x:v>
      </x:c>
      <x:c r="G6716" s="6" t="str">
        <x:v>Pingshui main list, Wikisource-derived DOCX</x:v>
      </x:c>
      <x:c r="H6716" s="6" t="str"/>
      <x:c r="I6716" s="6" t="str">
        <x:v>Pingshui main-list expansion; 詞 entries ignored</x:v>
      </x:c>
      <x:c r="J6716" s="6" t="str">
        <x:f>IF(B6716="","",IF(AND(ISNUMBER(SEARCH("平",B6716)),OR(ISNUMBER(SEARCH("上",B6716)),ISNUMBER(SEARCH("去",B6716)),ISNUMBER(SEARCH("入",B6716)))),"Ambiguous",IF(ISNUMBER(SEARCH("平",B6716)),"平","仄")))</x:f>
        <x:v>仄</x:v>
      </x:c>
      <x:c r="K6716" s="6" t="str">
        <x:f>IF(D6716="","",IF(AND(ISNUMBER(SEARCH("平",D6716)),OR(ISNUMBER(SEARCH("上",D6716)),ISNUMBER(SEARCH("去",D6716)),ISNUMBER(SEARCH("入",D6716)))),"Ambiguous",IF(ISNUMBER(SEARCH("平",D6716)),"平","仄")))</x:f>
        <x:v>仄</x:v>
      </x:c>
      <x:c r="L6716" s="7" t="str">
        <x:v>Pingshui main list expansion</x:v>
      </x:c>
    </x:row>
    <x:row r="6717">
      <x:c r="A6717" s="5" t="str">
        <x:v>娏</x:v>
      </x:c>
      <x:c r="B6717" s="6" t="str">
        <x:v>平</x:v>
      </x:c>
      <x:c r="C6717" s="6" t="str">
        <x:f>IF(B6717="","Needs decision","Ready")</x:f>
        <x:v>Ready</x:v>
      </x:c>
      <x:c r="D6717" s="6" t="str">
        <x:v>平</x:v>
      </x:c>
      <x:c r="E6717" s="6" t="str"/>
      <x:c r="F6717" s="6" t="str">
        <x:v>上平聲三江</x:v>
      </x:c>
      <x:c r="G6717" s="6" t="str">
        <x:v>Pingshui main list, Wikisource-derived DOCX</x:v>
      </x:c>
      <x:c r="H6717" s="6" t="str"/>
      <x:c r="I6717" s="6" t="str">
        <x:v>Pingshui main-list expansion; 詞 entries ignored</x:v>
      </x:c>
      <x:c r="J6717" s="6" t="str">
        <x:f>IF(B6717="","",IF(AND(ISNUMBER(SEARCH("平",B6717)),OR(ISNUMBER(SEARCH("上",B6717)),ISNUMBER(SEARCH("去",B6717)),ISNUMBER(SEARCH("入",B6717)))),"Ambiguous",IF(ISNUMBER(SEARCH("平",B6717)),"平","仄")))</x:f>
        <x:v>平</x:v>
      </x:c>
      <x:c r="K6717" s="6" t="str">
        <x:f>IF(D6717="","",IF(AND(ISNUMBER(SEARCH("平",D6717)),OR(ISNUMBER(SEARCH("上",D6717)),ISNUMBER(SEARCH("去",D6717)),ISNUMBER(SEARCH("入",D6717)))),"Ambiguous",IF(ISNUMBER(SEARCH("平",D6717)),"平","仄")))</x:f>
        <x:v>平</x:v>
      </x:c>
      <x:c r="L6717" s="7" t="str">
        <x:v>Pingshui main list expansion</x:v>
      </x:c>
    </x:row>
    <x:row r="6718">
      <x:c r="A6718" s="5" t="str">
        <x:v>娖</x:v>
      </x:c>
      <x:c r="B6718" s="6" t="str">
        <x:v>入</x:v>
      </x:c>
      <x:c r="C6718" s="6" t="str">
        <x:f>IF(B6718="","Needs decision","Ready")</x:f>
        <x:v>Ready</x:v>
      </x:c>
      <x:c r="D6718" s="6" t="str">
        <x:v>入</x:v>
      </x:c>
      <x:c r="E6718" s="6" t="str"/>
      <x:c r="F6718" s="6" t="str">
        <x:v>入聲三覺</x:v>
      </x:c>
      <x:c r="G6718" s="6" t="str">
        <x:v>Pingshui main list, Wikisource-derived DOCX</x:v>
      </x:c>
      <x:c r="H6718" s="6" t="str"/>
      <x:c r="I6718" s="6" t="str">
        <x:v>Pingshui main-list expansion; 詞 entries ignored</x:v>
      </x:c>
      <x:c r="J6718" s="6" t="str">
        <x:f>IF(B6718="","",IF(AND(ISNUMBER(SEARCH("平",B6718)),OR(ISNUMBER(SEARCH("上",B6718)),ISNUMBER(SEARCH("去",B6718)),ISNUMBER(SEARCH("入",B6718)))),"Ambiguous",IF(ISNUMBER(SEARCH("平",B6718)),"平","仄")))</x:f>
        <x:v>仄</x:v>
      </x:c>
      <x:c r="K6718" s="6" t="str">
        <x:f>IF(D6718="","",IF(AND(ISNUMBER(SEARCH("平",D6718)),OR(ISNUMBER(SEARCH("上",D6718)),ISNUMBER(SEARCH("去",D6718)),ISNUMBER(SEARCH("入",D6718)))),"Ambiguous",IF(ISNUMBER(SEARCH("平",D6718)),"平","仄")))</x:f>
        <x:v>仄</x:v>
      </x:c>
      <x:c r="L6718" s="7" t="str">
        <x:v>Pingshui main list expansion</x:v>
      </x:c>
    </x:row>
    <x:row r="6719">
      <x:c r="A6719" s="5" t="str">
        <x:v>娗</x:v>
      </x:c>
      <x:c r="B6719" s="6" t="str"/>
      <x:c r="C6719" s="6" t="str">
        <x:f>IF(B6719="","Needs decision","Ready")</x:f>
        <x:v>Needs decision</x:v>
      </x:c>
      <x:c r="D6719" s="6" t="str">
        <x:v>平/上</x:v>
      </x:c>
      <x:c r="E6719" s="6" t="str"/>
      <x:c r="F6719" s="6" t="str">
        <x:v>下平聲九青; 上聲二十四迥</x:v>
      </x:c>
      <x:c r="G6719" s="6" t="str">
        <x:v>Pingshui main list, Wikisource-derived DOCX</x:v>
      </x:c>
      <x:c r="H6719" s="6" t="str"/>
      <x:c r="I6719" s="6" t="str">
        <x:v>Pingshui main-list expansion; 詞 entries ignored</x:v>
      </x:c>
      <x:c r="J6719" s="6" t="str">
        <x:f>IF(B6719="","",IF(AND(ISNUMBER(SEARCH("平",B6719)),OR(ISNUMBER(SEARCH("上",B6719)),ISNUMBER(SEARCH("去",B6719)),ISNUMBER(SEARCH("入",B6719)))),"Ambiguous",IF(ISNUMBER(SEARCH("平",B6719)),"平","仄")))</x:f>
      </x:c>
      <x:c r="K6719" s="6" t="str">
        <x:f>IF(D6719="","",IF(AND(ISNUMBER(SEARCH("平",D6719)),OR(ISNUMBER(SEARCH("上",D6719)),ISNUMBER(SEARCH("去",D6719)),ISNUMBER(SEARCH("入",D6719)))),"Ambiguous",IF(ISNUMBER(SEARCH("平",D6719)),"平","仄")))</x:f>
        <x:v>Ambiguous</x:v>
      </x:c>
      <x:c r="L6719" s="7" t="str">
        <x:v>Pingshui main list expansion</x:v>
      </x:c>
    </x:row>
    <x:row r="6720">
      <x:c r="A6720" s="5" t="str">
        <x:v>娙</x:v>
      </x:c>
      <x:c r="B6720" s="6" t="str">
        <x:v>平</x:v>
      </x:c>
      <x:c r="C6720" s="6" t="str">
        <x:f>IF(B6720="","Needs decision","Ready")</x:f>
        <x:v>Ready</x:v>
      </x:c>
      <x:c r="D6720" s="6" t="str">
        <x:v>平</x:v>
      </x:c>
      <x:c r="E6720" s="6" t="str"/>
      <x:c r="F6720" s="6" t="str">
        <x:v>下平聲八庚; 下平聲九青</x:v>
      </x:c>
      <x:c r="G6720" s="6" t="str">
        <x:v>Pingshui main list, Wikisource-derived DOCX</x:v>
      </x:c>
      <x:c r="H6720" s="6" t="str"/>
      <x:c r="I6720" s="6" t="str">
        <x:v>Pingshui main-list expansion; 詞 entries ignored</x:v>
      </x:c>
      <x:c r="J6720" s="6" t="str">
        <x:f>IF(B6720="","",IF(AND(ISNUMBER(SEARCH("平",B6720)),OR(ISNUMBER(SEARCH("上",B6720)),ISNUMBER(SEARCH("去",B6720)),ISNUMBER(SEARCH("入",B6720)))),"Ambiguous",IF(ISNUMBER(SEARCH("平",B6720)),"平","仄")))</x:f>
        <x:v>平</x:v>
      </x:c>
      <x:c r="K6720" s="6" t="str">
        <x:f>IF(D6720="","",IF(AND(ISNUMBER(SEARCH("平",D6720)),OR(ISNUMBER(SEARCH("上",D6720)),ISNUMBER(SEARCH("去",D6720)),ISNUMBER(SEARCH("入",D6720)))),"Ambiguous",IF(ISNUMBER(SEARCH("平",D6720)),"平","仄")))</x:f>
        <x:v>平</x:v>
      </x:c>
      <x:c r="L6720" s="7" t="str">
        <x:v>Pingshui main list expansion</x:v>
      </x:c>
    </x:row>
    <x:row r="6721">
      <x:c r="A6721" s="5" t="str">
        <x:v>娸</x:v>
      </x:c>
      <x:c r="B6721" s="6" t="str">
        <x:v>平</x:v>
      </x:c>
      <x:c r="C6721" s="6" t="str">
        <x:f>IF(B6721="","Needs decision","Ready")</x:f>
        <x:v>Ready</x:v>
      </x:c>
      <x:c r="D6721" s="6" t="str">
        <x:v>平</x:v>
      </x:c>
      <x:c r="E6721" s="6" t="str"/>
      <x:c r="F6721" s="6" t="str">
        <x:v>上平聲四支</x:v>
      </x:c>
      <x:c r="G6721" s="6" t="str">
        <x:v>Pingshui main list, Wikisource-derived DOCX</x:v>
      </x:c>
      <x:c r="H6721" s="6" t="str"/>
      <x:c r="I6721" s="6" t="str">
        <x:v>Pingshui main-list expansion; 詞 entries ignored</x:v>
      </x:c>
      <x:c r="J6721" s="6" t="str">
        <x:f>IF(B6721="","",IF(AND(ISNUMBER(SEARCH("平",B6721)),OR(ISNUMBER(SEARCH("上",B6721)),ISNUMBER(SEARCH("去",B6721)),ISNUMBER(SEARCH("入",B6721)))),"Ambiguous",IF(ISNUMBER(SEARCH("平",B6721)),"平","仄")))</x:f>
        <x:v>平</x:v>
      </x:c>
      <x:c r="K6721" s="6" t="str">
        <x:f>IF(D6721="","",IF(AND(ISNUMBER(SEARCH("平",D6721)),OR(ISNUMBER(SEARCH("上",D6721)),ISNUMBER(SEARCH("去",D6721)),ISNUMBER(SEARCH("入",D6721)))),"Ambiguous",IF(ISNUMBER(SEARCH("平",D6721)),"平","仄")))</x:f>
        <x:v>平</x:v>
      </x:c>
      <x:c r="L6721" s="7" t="str">
        <x:v>Pingshui main list expansion</x:v>
      </x:c>
    </x:row>
    <x:row r="6722">
      <x:c r="A6722" s="5" t="str">
        <x:v>婓</x:v>
      </x:c>
      <x:c r="B6722" s="6" t="str">
        <x:v>平</x:v>
      </x:c>
      <x:c r="C6722" s="6" t="str">
        <x:f>IF(B6722="","Needs decision","Ready")</x:f>
        <x:v>Ready</x:v>
      </x:c>
      <x:c r="D6722" s="6" t="str">
        <x:v>平</x:v>
      </x:c>
      <x:c r="E6722" s="6" t="str"/>
      <x:c r="F6722" s="6" t="str">
        <x:v>上平聲五微</x:v>
      </x:c>
      <x:c r="G6722" s="6" t="str">
        <x:v>Pingshui main list, Wikisource-derived DOCX</x:v>
      </x:c>
      <x:c r="H6722" s="6" t="str"/>
      <x:c r="I6722" s="6" t="str">
        <x:v>Pingshui main-list expansion; 詞 entries ignored</x:v>
      </x:c>
      <x:c r="J6722" s="6" t="str">
        <x:f>IF(B6722="","",IF(AND(ISNUMBER(SEARCH("平",B6722)),OR(ISNUMBER(SEARCH("上",B6722)),ISNUMBER(SEARCH("去",B6722)),ISNUMBER(SEARCH("入",B6722)))),"Ambiguous",IF(ISNUMBER(SEARCH("平",B6722)),"平","仄")))</x:f>
        <x:v>平</x:v>
      </x:c>
      <x:c r="K6722" s="6" t="str">
        <x:f>IF(D6722="","",IF(AND(ISNUMBER(SEARCH("平",D6722)),OR(ISNUMBER(SEARCH("上",D6722)),ISNUMBER(SEARCH("去",D6722)),ISNUMBER(SEARCH("入",D6722)))),"Ambiguous",IF(ISNUMBER(SEARCH("平",D6722)),"平","仄")))</x:f>
        <x:v>平</x:v>
      </x:c>
      <x:c r="L6722" s="7" t="str">
        <x:v>Pingshui main list expansion</x:v>
      </x:c>
    </x:row>
    <x:row r="6723">
      <x:c r="A6723" s="5" t="str">
        <x:v>婞</x:v>
      </x:c>
      <x:c r="B6723" s="6" t="str">
        <x:v>上</x:v>
      </x:c>
      <x:c r="C6723" s="6" t="str">
        <x:f>IF(B6723="","Needs decision","Ready")</x:f>
        <x:v>Ready</x:v>
      </x:c>
      <x:c r="D6723" s="6" t="str">
        <x:v>上</x:v>
      </x:c>
      <x:c r="E6723" s="6" t="str"/>
      <x:c r="F6723" s="6" t="str">
        <x:v>上聲二十四迥</x:v>
      </x:c>
      <x:c r="G6723" s="6" t="str">
        <x:v>Pingshui main list, Wikisource-derived DOCX</x:v>
      </x:c>
      <x:c r="H6723" s="6" t="str"/>
      <x:c r="I6723" s="6" t="str">
        <x:v>Pingshui main-list expansion; 詞 entries ignored</x:v>
      </x:c>
      <x:c r="J6723" s="6" t="str">
        <x:f>IF(B6723="","",IF(AND(ISNUMBER(SEARCH("平",B6723)),OR(ISNUMBER(SEARCH("上",B6723)),ISNUMBER(SEARCH("去",B6723)),ISNUMBER(SEARCH("入",B6723)))),"Ambiguous",IF(ISNUMBER(SEARCH("平",B6723)),"平","仄")))</x:f>
        <x:v>仄</x:v>
      </x:c>
      <x:c r="K6723" s="6" t="str">
        <x:f>IF(D6723="","",IF(AND(ISNUMBER(SEARCH("平",D6723)),OR(ISNUMBER(SEARCH("上",D6723)),ISNUMBER(SEARCH("去",D6723)),ISNUMBER(SEARCH("入",D6723)))),"Ambiguous",IF(ISNUMBER(SEARCH("平",D6723)),"平","仄")))</x:f>
        <x:v>仄</x:v>
      </x:c>
      <x:c r="L6723" s="7" t="str">
        <x:v>Pingshui main list expansion</x:v>
      </x:c>
    </x:row>
    <x:row r="6724">
      <x:c r="A6724" s="5" t="str">
        <x:v>婼</x:v>
      </x:c>
      <x:c r="B6724" s="6" t="str">
        <x:v>入</x:v>
      </x:c>
      <x:c r="C6724" s="6" t="str">
        <x:f>IF(B6724="","Needs decision","Ready")</x:f>
        <x:v>Ready</x:v>
      </x:c>
      <x:c r="D6724" s="6" t="str">
        <x:v>入</x:v>
      </x:c>
      <x:c r="E6724" s="6" t="str"/>
      <x:c r="F6724" s="6" t="str">
        <x:v>入聲十藥</x:v>
      </x:c>
      <x:c r="G6724" s="6" t="str">
        <x:v>Pingshui main list, Wikisource-derived DOCX</x:v>
      </x:c>
      <x:c r="H6724" s="6" t="str"/>
      <x:c r="I6724" s="6" t="str">
        <x:v>Pingshui main-list expansion; 詞 entries ignored</x:v>
      </x:c>
      <x:c r="J6724" s="6" t="str">
        <x:f>IF(B6724="","",IF(AND(ISNUMBER(SEARCH("平",B6724)),OR(ISNUMBER(SEARCH("上",B6724)),ISNUMBER(SEARCH("去",B6724)),ISNUMBER(SEARCH("入",B6724)))),"Ambiguous",IF(ISNUMBER(SEARCH("平",B6724)),"平","仄")))</x:f>
        <x:v>仄</x:v>
      </x:c>
      <x:c r="K6724" s="6" t="str">
        <x:f>IF(D6724="","",IF(AND(ISNUMBER(SEARCH("平",D6724)),OR(ISNUMBER(SEARCH("上",D6724)),ISNUMBER(SEARCH("去",D6724)),ISNUMBER(SEARCH("入",D6724)))),"Ambiguous",IF(ISNUMBER(SEARCH("平",D6724)),"平","仄")))</x:f>
        <x:v>仄</x:v>
      </x:c>
      <x:c r="L6724" s="7" t="str">
        <x:v>Pingshui main list expansion</x:v>
      </x:c>
    </x:row>
    <x:row r="6725">
      <x:c r="A6725" s="5" t="str">
        <x:v>媊</x:v>
      </x:c>
      <x:c r="B6725" s="6" t="str">
        <x:v>平</x:v>
      </x:c>
      <x:c r="C6725" s="6" t="str">
        <x:f>IF(B6725="","Needs decision","Ready")</x:f>
        <x:v>Ready</x:v>
      </x:c>
      <x:c r="D6725" s="6" t="str">
        <x:v>平</x:v>
      </x:c>
      <x:c r="E6725" s="6" t="str"/>
      <x:c r="F6725" s="6" t="str">
        <x:v>下平聲一先</x:v>
      </x:c>
      <x:c r="G6725" s="6" t="str">
        <x:v>Pingshui main list, Wikisource-derived DOCX</x:v>
      </x:c>
      <x:c r="H6725" s="6" t="str"/>
      <x:c r="I6725" s="6" t="str">
        <x:v>Pingshui main-list expansion; 詞 entries ignored</x:v>
      </x:c>
      <x:c r="J6725" s="6" t="str">
        <x:f>IF(B6725="","",IF(AND(ISNUMBER(SEARCH("平",B6725)),OR(ISNUMBER(SEARCH("上",B6725)),ISNUMBER(SEARCH("去",B6725)),ISNUMBER(SEARCH("入",B6725)))),"Ambiguous",IF(ISNUMBER(SEARCH("平",B6725)),"平","仄")))</x:f>
        <x:v>平</x:v>
      </x:c>
      <x:c r="K6725" s="6" t="str">
        <x:f>IF(D6725="","",IF(AND(ISNUMBER(SEARCH("平",D6725)),OR(ISNUMBER(SEARCH("上",D6725)),ISNUMBER(SEARCH("去",D6725)),ISNUMBER(SEARCH("入",D6725)))),"Ambiguous",IF(ISNUMBER(SEARCH("平",D6725)),"平","仄")))</x:f>
        <x:v>平</x:v>
      </x:c>
      <x:c r="L6725" s="7" t="str">
        <x:v>Pingshui main list expansion</x:v>
      </x:c>
    </x:row>
    <x:row r="6726">
      <x:c r="A6726" s="5" t="str">
        <x:v>媌</x:v>
      </x:c>
      <x:c r="B6726" s="6" t="str"/>
      <x:c r="C6726" s="6" t="str">
        <x:f>IF(B6726="","Needs decision","Ready")</x:f>
        <x:v>Needs decision</x:v>
      </x:c>
      <x:c r="D6726" s="6" t="str">
        <x:v>平/上</x:v>
      </x:c>
      <x:c r="E6726" s="6" t="str"/>
      <x:c r="F6726" s="6" t="str">
        <x:v>下平聲三肴; 上聲十八巧</x:v>
      </x:c>
      <x:c r="G6726" s="6" t="str">
        <x:v>Pingshui main list, Wikisource-derived DOCX</x:v>
      </x:c>
      <x:c r="H6726" s="6" t="str"/>
      <x:c r="I6726" s="6" t="str">
        <x:v>Pingshui main-list expansion; 詞 entries ignored</x:v>
      </x:c>
      <x:c r="J6726" s="6" t="str">
        <x:f>IF(B6726="","",IF(AND(ISNUMBER(SEARCH("平",B6726)),OR(ISNUMBER(SEARCH("上",B6726)),ISNUMBER(SEARCH("去",B6726)),ISNUMBER(SEARCH("入",B6726)))),"Ambiguous",IF(ISNUMBER(SEARCH("平",B6726)),"平","仄")))</x:f>
      </x:c>
      <x:c r="K6726" s="6" t="str">
        <x:f>IF(D6726="","",IF(AND(ISNUMBER(SEARCH("平",D6726)),OR(ISNUMBER(SEARCH("上",D6726)),ISNUMBER(SEARCH("去",D6726)),ISNUMBER(SEARCH("入",D6726)))),"Ambiguous",IF(ISNUMBER(SEARCH("平",D6726)),"平","仄")))</x:f>
        <x:v>Ambiguous</x:v>
      </x:c>
      <x:c r="L6726" s="7" t="str">
        <x:v>Pingshui main list expansion</x:v>
      </x:c>
    </x:row>
    <x:row r="6727">
      <x:c r="A6727" s="5" t="str">
        <x:v>媟</x:v>
      </x:c>
      <x:c r="B6727" s="6" t="str">
        <x:v>入</x:v>
      </x:c>
      <x:c r="C6727" s="6" t="str">
        <x:f>IF(B6727="","Needs decision","Ready")</x:f>
        <x:v>Ready</x:v>
      </x:c>
      <x:c r="D6727" s="6" t="str">
        <x:v>入</x:v>
      </x:c>
      <x:c r="E6727" s="6" t="str"/>
      <x:c r="F6727" s="6" t="str">
        <x:v>入聲九屑</x:v>
      </x:c>
      <x:c r="G6727" s="6" t="str">
        <x:v>Pingshui main list, Wikisource-derived DOCX</x:v>
      </x:c>
      <x:c r="H6727" s="6" t="str"/>
      <x:c r="I6727" s="6" t="str">
        <x:v>Pingshui main-list expansion; 詞 entries ignored</x:v>
      </x:c>
      <x:c r="J6727" s="6" t="str">
        <x:f>IF(B6727="","",IF(AND(ISNUMBER(SEARCH("平",B6727)),OR(ISNUMBER(SEARCH("上",B6727)),ISNUMBER(SEARCH("去",B6727)),ISNUMBER(SEARCH("入",B6727)))),"Ambiguous",IF(ISNUMBER(SEARCH("平",B6727)),"平","仄")))</x:f>
        <x:v>仄</x:v>
      </x:c>
      <x:c r="K6727" s="6" t="str">
        <x:f>IF(D6727="","",IF(AND(ISNUMBER(SEARCH("平",D6727)),OR(ISNUMBER(SEARCH("上",D6727)),ISNUMBER(SEARCH("去",D6727)),ISNUMBER(SEARCH("入",D6727)))),"Ambiguous",IF(ISNUMBER(SEARCH("平",D6727)),"平","仄")))</x:f>
        <x:v>仄</x:v>
      </x:c>
      <x:c r="L6727" s="7" t="str">
        <x:v>Pingshui main list expansion</x:v>
      </x:c>
    </x:row>
    <x:row r="6728">
      <x:c r="A6728" s="5" t="str">
        <x:v>媰</x:v>
      </x:c>
      <x:c r="B6728" s="6" t="str">
        <x:v>平</x:v>
      </x:c>
      <x:c r="C6728" s="6" t="str">
        <x:f>IF(B6728="","Needs decision","Ready")</x:f>
        <x:v>Ready</x:v>
      </x:c>
      <x:c r="D6728" s="6" t="str">
        <x:v>平</x:v>
      </x:c>
      <x:c r="E6728" s="6" t="str"/>
      <x:c r="F6728" s="6" t="str">
        <x:v>上平聲七虞</x:v>
      </x:c>
      <x:c r="G6728" s="6" t="str">
        <x:v>Pingshui main list, Wikisource-derived DOCX</x:v>
      </x:c>
      <x:c r="H6728" s="6" t="str"/>
      <x:c r="I6728" s="6" t="str">
        <x:v>Pingshui main-list expansion; 詞 entries ignored</x:v>
      </x:c>
      <x:c r="J6728" s="6" t="str">
        <x:f>IF(B6728="","",IF(AND(ISNUMBER(SEARCH("平",B6728)),OR(ISNUMBER(SEARCH("上",B6728)),ISNUMBER(SEARCH("去",B6728)),ISNUMBER(SEARCH("入",B6728)))),"Ambiguous",IF(ISNUMBER(SEARCH("平",B6728)),"平","仄")))</x:f>
        <x:v>平</x:v>
      </x:c>
      <x:c r="K6728" s="6" t="str">
        <x:f>IF(D6728="","",IF(AND(ISNUMBER(SEARCH("平",D6728)),OR(ISNUMBER(SEARCH("上",D6728)),ISNUMBER(SEARCH("去",D6728)),ISNUMBER(SEARCH("入",D6728)))),"Ambiguous",IF(ISNUMBER(SEARCH("平",D6728)),"平","仄")))</x:f>
        <x:v>平</x:v>
      </x:c>
      <x:c r="L6728" s="7" t="str">
        <x:v>Pingshui main list expansion</x:v>
      </x:c>
    </x:row>
    <x:row r="6729">
      <x:c r="A6729" s="5" t="str">
        <x:v>媿</x:v>
      </x:c>
      <x:c r="B6729" s="6" t="str">
        <x:v>去</x:v>
      </x:c>
      <x:c r="C6729" s="6" t="str">
        <x:f>IF(B6729="","Needs decision","Ready")</x:f>
        <x:v>Ready</x:v>
      </x:c>
      <x:c r="D6729" s="6" t="str">
        <x:v>去</x:v>
      </x:c>
      <x:c r="E6729" s="6" t="str"/>
      <x:c r="F6729" s="6" t="str">
        <x:v>去聲四寘</x:v>
      </x:c>
      <x:c r="G6729" s="6" t="str">
        <x:v>Pingshui main list, Wikisource-derived DOCX</x:v>
      </x:c>
      <x:c r="H6729" s="6" t="str"/>
      <x:c r="I6729" s="6" t="str">
        <x:v>Pingshui main-list expansion; 詞 entries ignored</x:v>
      </x:c>
      <x:c r="J6729" s="6" t="str">
        <x:f>IF(B6729="","",IF(AND(ISNUMBER(SEARCH("平",B6729)),OR(ISNUMBER(SEARCH("上",B6729)),ISNUMBER(SEARCH("去",B6729)),ISNUMBER(SEARCH("入",B6729)))),"Ambiguous",IF(ISNUMBER(SEARCH("平",B6729)),"平","仄")))</x:f>
        <x:v>仄</x:v>
      </x:c>
      <x:c r="K6729" s="6" t="str">
        <x:f>IF(D6729="","",IF(AND(ISNUMBER(SEARCH("平",D6729)),OR(ISNUMBER(SEARCH("上",D6729)),ISNUMBER(SEARCH("去",D6729)),ISNUMBER(SEARCH("入",D6729)))),"Ambiguous",IF(ISNUMBER(SEARCH("平",D6729)),"平","仄")))</x:f>
        <x:v>仄</x:v>
      </x:c>
      <x:c r="L6729" s="7" t="str">
        <x:v>Pingshui main list expansion</x:v>
      </x:c>
    </x:row>
    <x:row r="6730">
      <x:c r="A6730" s="5" t="str">
        <x:v>嫄</x:v>
      </x:c>
      <x:c r="B6730" s="6" t="str">
        <x:v>平</x:v>
      </x:c>
      <x:c r="C6730" s="6" t="str">
        <x:f>IF(B6730="","Needs decision","Ready")</x:f>
        <x:v>Ready</x:v>
      </x:c>
      <x:c r="D6730" s="6" t="str">
        <x:v>平</x:v>
      </x:c>
      <x:c r="E6730" s="6" t="str"/>
      <x:c r="F6730" s="6" t="str">
        <x:v>上平聲十三元</x:v>
      </x:c>
      <x:c r="G6730" s="6" t="str">
        <x:v>Pingshui main list, Wikisource-derived DOCX</x:v>
      </x:c>
      <x:c r="H6730" s="6" t="str"/>
      <x:c r="I6730" s="6" t="str">
        <x:v>Pingshui main-list expansion; 詞 entries ignored</x:v>
      </x:c>
      <x:c r="J6730" s="6" t="str">
        <x:f>IF(B6730="","",IF(AND(ISNUMBER(SEARCH("平",B6730)),OR(ISNUMBER(SEARCH("上",B6730)),ISNUMBER(SEARCH("去",B6730)),ISNUMBER(SEARCH("入",B6730)))),"Ambiguous",IF(ISNUMBER(SEARCH("平",B6730)),"平","仄")))</x:f>
        <x:v>平</x:v>
      </x:c>
      <x:c r="K6730" s="6" t="str">
        <x:f>IF(D6730="","",IF(AND(ISNUMBER(SEARCH("平",D6730)),OR(ISNUMBER(SEARCH("上",D6730)),ISNUMBER(SEARCH("去",D6730)),ISNUMBER(SEARCH("入",D6730)))),"Ambiguous",IF(ISNUMBER(SEARCH("平",D6730)),"平","仄")))</x:f>
        <x:v>平</x:v>
      </x:c>
      <x:c r="L6730" s="7" t="str">
        <x:v>Pingshui main list expansion</x:v>
      </x:c>
    </x:row>
    <x:row r="6731">
      <x:c r="A6731" s="5" t="str">
        <x:v>嫇</x:v>
      </x:c>
      <x:c r="B6731" s="6" t="str"/>
      <x:c r="C6731" s="6" t="str">
        <x:f>IF(B6731="","Needs decision","Ready")</x:f>
        <x:v>Needs decision</x:v>
      </x:c>
      <x:c r="D6731" s="6" t="str">
        <x:v>平/上</x:v>
      </x:c>
      <x:c r="E6731" s="6" t="str"/>
      <x:c r="F6731" s="6" t="str">
        <x:v>下平聲八庚; 下平聲九青; 上聲二十四迥</x:v>
      </x:c>
      <x:c r="G6731" s="6" t="str">
        <x:v>Pingshui main list, Wikisource-derived DOCX</x:v>
      </x:c>
      <x:c r="H6731" s="6" t="str"/>
      <x:c r="I6731" s="6" t="str">
        <x:v>Pingshui main-list expansion; 詞 entries ignored</x:v>
      </x:c>
      <x:c r="J6731" s="6" t="str">
        <x:f>IF(B6731="","",IF(AND(ISNUMBER(SEARCH("平",B6731)),OR(ISNUMBER(SEARCH("上",B6731)),ISNUMBER(SEARCH("去",B6731)),ISNUMBER(SEARCH("入",B6731)))),"Ambiguous",IF(ISNUMBER(SEARCH("平",B6731)),"平","仄")))</x:f>
      </x:c>
      <x:c r="K6731" s="6" t="str">
        <x:f>IF(D6731="","",IF(AND(ISNUMBER(SEARCH("平",D6731)),OR(ISNUMBER(SEARCH("上",D6731)),ISNUMBER(SEARCH("去",D6731)),ISNUMBER(SEARCH("入",D6731)))),"Ambiguous",IF(ISNUMBER(SEARCH("平",D6731)),"平","仄")))</x:f>
        <x:v>Ambiguous</x:v>
      </x:c>
      <x:c r="L6731" s="7" t="str">
        <x:v>Pingshui main list expansion</x:v>
      </x:c>
    </x:row>
    <x:row r="6732">
      <x:c r="A6732" s="5" t="str">
        <x:v>嫕</x:v>
      </x:c>
      <x:c r="B6732" s="6" t="str">
        <x:v>去</x:v>
      </x:c>
      <x:c r="C6732" s="6" t="str">
        <x:f>IF(B6732="","Needs decision","Ready")</x:f>
        <x:v>Ready</x:v>
      </x:c>
      <x:c r="D6732" s="6" t="str">
        <x:v>去</x:v>
      </x:c>
      <x:c r="E6732" s="6" t="str"/>
      <x:c r="F6732" s="6" t="str">
        <x:v>去聲八霽</x:v>
      </x:c>
      <x:c r="G6732" s="6" t="str">
        <x:v>Pingshui main list, Wikisource-derived DOCX</x:v>
      </x:c>
      <x:c r="H6732" s="6" t="str"/>
      <x:c r="I6732" s="6" t="str">
        <x:v>Pingshui main-list expansion; 詞 entries ignored</x:v>
      </x:c>
      <x:c r="J6732" s="6" t="str">
        <x:f>IF(B6732="","",IF(AND(ISNUMBER(SEARCH("平",B6732)),OR(ISNUMBER(SEARCH("上",B6732)),ISNUMBER(SEARCH("去",B6732)),ISNUMBER(SEARCH("入",B6732)))),"Ambiguous",IF(ISNUMBER(SEARCH("平",B6732)),"平","仄")))</x:f>
        <x:v>仄</x:v>
      </x:c>
      <x:c r="K6732" s="6" t="str">
        <x:f>IF(D6732="","",IF(AND(ISNUMBER(SEARCH("平",D6732)),OR(ISNUMBER(SEARCH("上",D6732)),ISNUMBER(SEARCH("去",D6732)),ISNUMBER(SEARCH("入",D6732)))),"Ambiguous",IF(ISNUMBER(SEARCH("平",D6732)),"平","仄")))</x:f>
        <x:v>仄</x:v>
      </x:c>
      <x:c r="L6732" s="7" t="str">
        <x:v>Pingshui main list expansion</x:v>
      </x:c>
    </x:row>
    <x:row r="6733">
      <x:c r="A6733" s="5" t="str">
        <x:v>嫠</x:v>
      </x:c>
      <x:c r="B6733" s="6" t="str">
        <x:v>平</x:v>
      </x:c>
      <x:c r="C6733" s="6" t="str">
        <x:f>IF(B6733="","Needs decision","Ready")</x:f>
        <x:v>Ready</x:v>
      </x:c>
      <x:c r="D6733" s="6" t="str">
        <x:v>平</x:v>
      </x:c>
      <x:c r="E6733" s="6" t="str"/>
      <x:c r="F6733" s="6" t="str">
        <x:v>上平聲四支</x:v>
      </x:c>
      <x:c r="G6733" s="6" t="str">
        <x:v>Pingshui main list, Wikisource-derived DOCX</x:v>
      </x:c>
      <x:c r="H6733" s="6" t="str"/>
      <x:c r="I6733" s="6" t="str">
        <x:v>Pingshui main-list expansion; 詞 entries ignored</x:v>
      </x:c>
      <x:c r="J6733" s="6" t="str">
        <x:f>IF(B6733="","",IF(AND(ISNUMBER(SEARCH("平",B6733)),OR(ISNUMBER(SEARCH("上",B6733)),ISNUMBER(SEARCH("去",B6733)),ISNUMBER(SEARCH("入",B6733)))),"Ambiguous",IF(ISNUMBER(SEARCH("平",B6733)),"平","仄")))</x:f>
        <x:v>平</x:v>
      </x:c>
      <x:c r="K6733" s="6" t="str">
        <x:f>IF(D6733="","",IF(AND(ISNUMBER(SEARCH("平",D6733)),OR(ISNUMBER(SEARCH("上",D6733)),ISNUMBER(SEARCH("去",D6733)),ISNUMBER(SEARCH("入",D6733)))),"Ambiguous",IF(ISNUMBER(SEARCH("平",D6733)),"平","仄")))</x:f>
        <x:v>平</x:v>
      </x:c>
      <x:c r="L6733" s="7" t="str">
        <x:v>Pingshui main list expansion</x:v>
      </x:c>
    </x:row>
    <x:row r="6734">
      <x:c r="A6734" s="5" t="str">
        <x:v>嫪</x:v>
      </x:c>
      <x:c r="B6734" s="6" t="str">
        <x:v>去</x:v>
      </x:c>
      <x:c r="C6734" s="6" t="str">
        <x:f>IF(B6734="","Needs decision","Ready")</x:f>
        <x:v>Ready</x:v>
      </x:c>
      <x:c r="D6734" s="6" t="str">
        <x:v>去</x:v>
      </x:c>
      <x:c r="E6734" s="6" t="str"/>
      <x:c r="F6734" s="6" t="str">
        <x:v>去聲二十號</x:v>
      </x:c>
      <x:c r="G6734" s="6" t="str">
        <x:v>Pingshui main list, Wikisource-derived DOCX</x:v>
      </x:c>
      <x:c r="H6734" s="6" t="str"/>
      <x:c r="I6734" s="6" t="str">
        <x:v>Pingshui main-list expansion; 詞 entries ignored</x:v>
      </x:c>
      <x:c r="J6734" s="6" t="str">
        <x:f>IF(B6734="","",IF(AND(ISNUMBER(SEARCH("平",B6734)),OR(ISNUMBER(SEARCH("上",B6734)),ISNUMBER(SEARCH("去",B6734)),ISNUMBER(SEARCH("入",B6734)))),"Ambiguous",IF(ISNUMBER(SEARCH("平",B6734)),"平","仄")))</x:f>
        <x:v>仄</x:v>
      </x:c>
      <x:c r="K6734" s="6" t="str">
        <x:f>IF(D6734="","",IF(AND(ISNUMBER(SEARCH("平",D6734)),OR(ISNUMBER(SEARCH("上",D6734)),ISNUMBER(SEARCH("去",D6734)),ISNUMBER(SEARCH("入",D6734)))),"Ambiguous",IF(ISNUMBER(SEARCH("平",D6734)),"平","仄")))</x:f>
        <x:v>仄</x:v>
      </x:c>
      <x:c r="L6734" s="7" t="str">
        <x:v>Pingshui main list expansion</x:v>
      </x:c>
    </x:row>
    <x:row r="6735">
      <x:c r="A6735" s="5" t="str">
        <x:v>嫵</x:v>
      </x:c>
      <x:c r="B6735" s="6" t="str">
        <x:v>上</x:v>
      </x:c>
      <x:c r="C6735" s="6" t="str">
        <x:f>IF(B6735="","Needs decision","Ready")</x:f>
        <x:v>Ready</x:v>
      </x:c>
      <x:c r="D6735" s="6" t="str">
        <x:v>上</x:v>
      </x:c>
      <x:c r="E6735" s="6" t="str"/>
      <x:c r="F6735" s="6" t="str">
        <x:v>上聲七麌</x:v>
      </x:c>
      <x:c r="G6735" s="6" t="str">
        <x:v>Pingshui main list, Wikisource-derived DOCX</x:v>
      </x:c>
      <x:c r="H6735" s="6" t="str"/>
      <x:c r="I6735" s="6" t="str">
        <x:v>Pingshui main-list expansion; 詞 entries ignored</x:v>
      </x:c>
      <x:c r="J6735" s="6" t="str">
        <x:f>IF(B6735="","",IF(AND(ISNUMBER(SEARCH("平",B6735)),OR(ISNUMBER(SEARCH("上",B6735)),ISNUMBER(SEARCH("去",B6735)),ISNUMBER(SEARCH("入",B6735)))),"Ambiguous",IF(ISNUMBER(SEARCH("平",B6735)),"平","仄")))</x:f>
        <x:v>仄</x:v>
      </x:c>
      <x:c r="K6735" s="6" t="str">
        <x:f>IF(D6735="","",IF(AND(ISNUMBER(SEARCH("平",D6735)),OR(ISNUMBER(SEARCH("上",D6735)),ISNUMBER(SEARCH("去",D6735)),ISNUMBER(SEARCH("入",D6735)))),"Ambiguous",IF(ISNUMBER(SEARCH("平",D6735)),"平","仄")))</x:f>
        <x:v>仄</x:v>
      </x:c>
      <x:c r="L6735" s="7" t="str">
        <x:v>Pingshui main list expansion</x:v>
      </x:c>
    </x:row>
    <x:row r="6736">
      <x:c r="A6736" s="5" t="str">
        <x:v>嫷</x:v>
      </x:c>
      <x:c r="B6736" s="6" t="str">
        <x:v>上</x:v>
      </x:c>
      <x:c r="C6736" s="6" t="str">
        <x:f>IF(B6736="","Needs decision","Ready")</x:f>
        <x:v>Ready</x:v>
      </x:c>
      <x:c r="D6736" s="6" t="str">
        <x:v>上</x:v>
      </x:c>
      <x:c r="E6736" s="6" t="str"/>
      <x:c r="F6736" s="6" t="str">
        <x:v>上聲二十哿</x:v>
      </x:c>
      <x:c r="G6736" s="6" t="str">
        <x:v>Pingshui main list, Wikisource-derived DOCX</x:v>
      </x:c>
      <x:c r="H6736" s="6" t="str"/>
      <x:c r="I6736" s="6" t="str">
        <x:v>Pingshui main-list expansion; 詞 entries ignored</x:v>
      </x:c>
      <x:c r="J6736" s="6" t="str">
        <x:f>IF(B6736="","",IF(AND(ISNUMBER(SEARCH("平",B6736)),OR(ISNUMBER(SEARCH("上",B6736)),ISNUMBER(SEARCH("去",B6736)),ISNUMBER(SEARCH("入",B6736)))),"Ambiguous",IF(ISNUMBER(SEARCH("平",B6736)),"平","仄")))</x:f>
        <x:v>仄</x:v>
      </x:c>
      <x:c r="K6736" s="6" t="str">
        <x:f>IF(D6736="","",IF(AND(ISNUMBER(SEARCH("平",D6736)),OR(ISNUMBER(SEARCH("上",D6736)),ISNUMBER(SEARCH("去",D6736)),ISNUMBER(SEARCH("入",D6736)))),"Ambiguous",IF(ISNUMBER(SEARCH("平",D6736)),"平","仄")))</x:f>
        <x:v>仄</x:v>
      </x:c>
      <x:c r="L6736" s="7" t="str">
        <x:v>Pingshui main list expansion</x:v>
      </x:c>
    </x:row>
    <x:row r="6737">
      <x:c r="A6737" s="5" t="str">
        <x:v>嫿</x:v>
      </x:c>
      <x:c r="B6737" s="6" t="str">
        <x:v>入</x:v>
      </x:c>
      <x:c r="C6737" s="6" t="str">
        <x:f>IF(B6737="","Needs decision","Ready")</x:f>
        <x:v>Ready</x:v>
      </x:c>
      <x:c r="D6737" s="6" t="str">
        <x:v>入</x:v>
      </x:c>
      <x:c r="E6737" s="6" t="str"/>
      <x:c r="F6737" s="6" t="str">
        <x:v>入聲十一陌</x:v>
      </x:c>
      <x:c r="G6737" s="6" t="str">
        <x:v>Pingshui main list, Wikisource-derived DOCX</x:v>
      </x:c>
      <x:c r="H6737" s="6" t="str"/>
      <x:c r="I6737" s="6" t="str">
        <x:v>Pingshui main-list expansion; 詞 entries ignored</x:v>
      </x:c>
      <x:c r="J6737" s="6" t="str">
        <x:f>IF(B6737="","",IF(AND(ISNUMBER(SEARCH("平",B6737)),OR(ISNUMBER(SEARCH("上",B6737)),ISNUMBER(SEARCH("去",B6737)),ISNUMBER(SEARCH("入",B6737)))),"Ambiguous",IF(ISNUMBER(SEARCH("平",B6737)),"平","仄")))</x:f>
        <x:v>仄</x:v>
      </x:c>
      <x:c r="K6737" s="6" t="str">
        <x:f>IF(D6737="","",IF(AND(ISNUMBER(SEARCH("平",D6737)),OR(ISNUMBER(SEARCH("上",D6737)),ISNUMBER(SEARCH("去",D6737)),ISNUMBER(SEARCH("入",D6737)))),"Ambiguous",IF(ISNUMBER(SEARCH("平",D6737)),"平","仄")))</x:f>
        <x:v>仄</x:v>
      </x:c>
      <x:c r="L6737" s="7" t="str">
        <x:v>Pingshui main list expansion</x:v>
      </x:c>
    </x:row>
    <x:row r="6738">
      <x:c r="A6738" s="5" t="str">
        <x:v>嬃</x:v>
      </x:c>
      <x:c r="B6738" s="6" t="str">
        <x:v>平</x:v>
      </x:c>
      <x:c r="C6738" s="6" t="str">
        <x:f>IF(B6738="","Needs decision","Ready")</x:f>
        <x:v>Ready</x:v>
      </x:c>
      <x:c r="D6738" s="6" t="str">
        <x:v>平</x:v>
      </x:c>
      <x:c r="E6738" s="6" t="str"/>
      <x:c r="F6738" s="6" t="str">
        <x:v>上平聲七虞</x:v>
      </x:c>
      <x:c r="G6738" s="6" t="str">
        <x:v>Pingshui main list, Wikisource-derived DOCX</x:v>
      </x:c>
      <x:c r="H6738" s="6" t="str"/>
      <x:c r="I6738" s="6" t="str">
        <x:v>Pingshui main-list expansion; 詞 entries ignored</x:v>
      </x:c>
      <x:c r="J6738" s="6" t="str">
        <x:f>IF(B6738="","",IF(AND(ISNUMBER(SEARCH("平",B6738)),OR(ISNUMBER(SEARCH("上",B6738)),ISNUMBER(SEARCH("去",B6738)),ISNUMBER(SEARCH("入",B6738)))),"Ambiguous",IF(ISNUMBER(SEARCH("平",B6738)),"平","仄")))</x:f>
        <x:v>平</x:v>
      </x:c>
      <x:c r="K6738" s="6" t="str">
        <x:f>IF(D6738="","",IF(AND(ISNUMBER(SEARCH("平",D6738)),OR(ISNUMBER(SEARCH("上",D6738)),ISNUMBER(SEARCH("去",D6738)),ISNUMBER(SEARCH("入",D6738)))),"Ambiguous",IF(ISNUMBER(SEARCH("平",D6738)),"平","仄")))</x:f>
        <x:v>平</x:v>
      </x:c>
      <x:c r="L6738" s="7" t="str">
        <x:v>Pingshui main list expansion</x:v>
      </x:c>
    </x:row>
    <x:row r="6739">
      <x:c r="A6739" s="5" t="str">
        <x:v>嬡</x:v>
      </x:c>
      <x:c r="B6739" s="6" t="str">
        <x:v>去</x:v>
      </x:c>
      <x:c r="C6739" s="6" t="str">
        <x:f>IF(B6739="","Needs decision","Ready")</x:f>
        <x:v>Ready</x:v>
      </x:c>
      <x:c r="D6739" s="6" t="str">
        <x:v>去</x:v>
      </x:c>
      <x:c r="E6739" s="6" t="str"/>
      <x:c r="F6739" s="6" t="str">
        <x:v>去聲十七霰</x:v>
      </x:c>
      <x:c r="G6739" s="6" t="str">
        <x:v>Pingshui main list, Wikisource-derived DOCX</x:v>
      </x:c>
      <x:c r="H6739" s="6" t="str"/>
      <x:c r="I6739" s="6" t="str">
        <x:v>Pingshui main-list expansion; 詞 entries ignored</x:v>
      </x:c>
      <x:c r="J6739" s="6" t="str">
        <x:f>IF(B6739="","",IF(AND(ISNUMBER(SEARCH("平",B6739)),OR(ISNUMBER(SEARCH("上",B6739)),ISNUMBER(SEARCH("去",B6739)),ISNUMBER(SEARCH("入",B6739)))),"Ambiguous",IF(ISNUMBER(SEARCH("平",B6739)),"平","仄")))</x:f>
        <x:v>仄</x:v>
      </x:c>
      <x:c r="K6739" s="6" t="str">
        <x:f>IF(D6739="","",IF(AND(ISNUMBER(SEARCH("平",D6739)),OR(ISNUMBER(SEARCH("上",D6739)),ISNUMBER(SEARCH("去",D6739)),ISNUMBER(SEARCH("入",D6739)))),"Ambiguous",IF(ISNUMBER(SEARCH("平",D6739)),"平","仄")))</x:f>
        <x:v>仄</x:v>
      </x:c>
      <x:c r="L6739" s="7" t="str">
        <x:v>Pingshui main list expansion</x:v>
      </x:c>
    </x:row>
    <x:row r="6740">
      <x:c r="A6740" s="5" t="str">
        <x:v>嬥</x:v>
      </x:c>
      <x:c r="B6740" s="6" t="str">
        <x:v>去</x:v>
      </x:c>
      <x:c r="C6740" s="6" t="str">
        <x:f>IF(B6740="","Needs decision","Ready")</x:f>
        <x:v>Ready</x:v>
      </x:c>
      <x:c r="D6740" s="6" t="str">
        <x:v>去</x:v>
      </x:c>
      <x:c r="E6740" s="6" t="str"/>
      <x:c r="F6740" s="6" t="str">
        <x:v>去聲十八嘯</x:v>
      </x:c>
      <x:c r="G6740" s="6" t="str">
        <x:v>Pingshui main list, Wikisource-derived DOCX</x:v>
      </x:c>
      <x:c r="H6740" s="6" t="str"/>
      <x:c r="I6740" s="6" t="str">
        <x:v>Pingshui main-list expansion; 詞 entries ignored</x:v>
      </x:c>
      <x:c r="J6740" s="6" t="str">
        <x:f>IF(B6740="","",IF(AND(ISNUMBER(SEARCH("平",B6740)),OR(ISNUMBER(SEARCH("上",B6740)),ISNUMBER(SEARCH("去",B6740)),ISNUMBER(SEARCH("入",B6740)))),"Ambiguous",IF(ISNUMBER(SEARCH("平",B6740)),"平","仄")))</x:f>
        <x:v>仄</x:v>
      </x:c>
      <x:c r="K6740" s="6" t="str">
        <x:f>IF(D6740="","",IF(AND(ISNUMBER(SEARCH("平",D6740)),OR(ISNUMBER(SEARCH("上",D6740)),ISNUMBER(SEARCH("去",D6740)),ISNUMBER(SEARCH("入",D6740)))),"Ambiguous",IF(ISNUMBER(SEARCH("平",D6740)),"平","仄")))</x:f>
        <x:v>仄</x:v>
      </x:c>
      <x:c r="L6740" s="7" t="str">
        <x:v>Pingshui main list expansion</x:v>
      </x:c>
    </x:row>
    <x:row r="6741">
      <x:c r="A6741" s="5" t="str">
        <x:v>嬭</x:v>
      </x:c>
      <x:c r="B6741" s="6" t="str">
        <x:v>上</x:v>
      </x:c>
      <x:c r="C6741" s="6" t="str">
        <x:f>IF(B6741="","Needs decision","Ready")</x:f>
        <x:v>Ready</x:v>
      </x:c>
      <x:c r="D6741" s="6" t="str">
        <x:v>上</x:v>
      </x:c>
      <x:c r="E6741" s="6" t="str"/>
      <x:c r="F6741" s="6" t="str">
        <x:v>上聲九蟹</x:v>
      </x:c>
      <x:c r="G6741" s="6" t="str">
        <x:v>Pingshui main list, Wikisource-derived DOCX</x:v>
      </x:c>
      <x:c r="H6741" s="6" t="str"/>
      <x:c r="I6741" s="6" t="str">
        <x:v>Pingshui main-list expansion; 詞 entries ignored</x:v>
      </x:c>
      <x:c r="J6741" s="6" t="str">
        <x:f>IF(B6741="","",IF(AND(ISNUMBER(SEARCH("平",B6741)),OR(ISNUMBER(SEARCH("上",B6741)),ISNUMBER(SEARCH("去",B6741)),ISNUMBER(SEARCH("入",B6741)))),"Ambiguous",IF(ISNUMBER(SEARCH("平",B6741)),"平","仄")))</x:f>
        <x:v>仄</x:v>
      </x:c>
      <x:c r="K6741" s="6" t="str">
        <x:f>IF(D6741="","",IF(AND(ISNUMBER(SEARCH("平",D6741)),OR(ISNUMBER(SEARCH("上",D6741)),ISNUMBER(SEARCH("去",D6741)),ISNUMBER(SEARCH("入",D6741)))),"Ambiguous",IF(ISNUMBER(SEARCH("平",D6741)),"平","仄")))</x:f>
        <x:v>仄</x:v>
      </x:c>
      <x:c r="L6741" s="7" t="str">
        <x:v>Pingshui main list expansion</x:v>
      </x:c>
    </x:row>
    <x:row r="6742">
      <x:c r="A6742" s="5" t="str">
        <x:v>嬮</x:v>
      </x:c>
      <x:c r="B6742" s="6" t="str">
        <x:v>去</x:v>
      </x:c>
      <x:c r="C6742" s="6" t="str">
        <x:f>IF(B6742="","Needs decision","Ready")</x:f>
        <x:v>Ready</x:v>
      </x:c>
      <x:c r="D6742" s="6" t="str">
        <x:v>去</x:v>
      </x:c>
      <x:c r="E6742" s="6" t="str"/>
      <x:c r="F6742" s="6" t="str">
        <x:v>去聲二十九豔</x:v>
      </x:c>
      <x:c r="G6742" s="6" t="str">
        <x:v>Pingshui main list, Wikisource-derived DOCX</x:v>
      </x:c>
      <x:c r="H6742" s="6" t="str"/>
      <x:c r="I6742" s="6" t="str">
        <x:v>Pingshui main-list expansion; 詞 entries ignored</x:v>
      </x:c>
      <x:c r="J6742" s="6" t="str">
        <x:f>IF(B6742="","",IF(AND(ISNUMBER(SEARCH("平",B6742)),OR(ISNUMBER(SEARCH("上",B6742)),ISNUMBER(SEARCH("去",B6742)),ISNUMBER(SEARCH("入",B6742)))),"Ambiguous",IF(ISNUMBER(SEARCH("平",B6742)),"平","仄")))</x:f>
        <x:v>仄</x:v>
      </x:c>
      <x:c r="K6742" s="6" t="str">
        <x:f>IF(D6742="","",IF(AND(ISNUMBER(SEARCH("平",D6742)),OR(ISNUMBER(SEARCH("上",D6742)),ISNUMBER(SEARCH("去",D6742)),ISNUMBER(SEARCH("入",D6742)))),"Ambiguous",IF(ISNUMBER(SEARCH("平",D6742)),"平","仄")))</x:f>
        <x:v>仄</x:v>
      </x:c>
      <x:c r="L6742" s="7" t="str">
        <x:v>Pingshui main list expansion</x:v>
      </x:c>
    </x:row>
    <x:row r="6743">
      <x:c r="A6743" s="5" t="str">
        <x:v>嬸</x:v>
      </x:c>
      <x:c r="B6743" s="6" t="str">
        <x:v>上</x:v>
      </x:c>
      <x:c r="C6743" s="6" t="str">
        <x:f>IF(B6743="","Needs decision","Ready")</x:f>
        <x:v>Ready</x:v>
      </x:c>
      <x:c r="D6743" s="6" t="str">
        <x:v>上</x:v>
      </x:c>
      <x:c r="E6743" s="6" t="str"/>
      <x:c r="F6743" s="6" t="str">
        <x:v>上聲二十六寢</x:v>
      </x:c>
      <x:c r="G6743" s="6" t="str">
        <x:v>Pingshui main list, Wikisource-derived DOCX</x:v>
      </x:c>
      <x:c r="H6743" s="6" t="str"/>
      <x:c r="I6743" s="6" t="str">
        <x:v>Pingshui main-list expansion; 詞 entries ignored</x:v>
      </x:c>
      <x:c r="J6743" s="6" t="str">
        <x:f>IF(B6743="","",IF(AND(ISNUMBER(SEARCH("平",B6743)),OR(ISNUMBER(SEARCH("上",B6743)),ISNUMBER(SEARCH("去",B6743)),ISNUMBER(SEARCH("入",B6743)))),"Ambiguous",IF(ISNUMBER(SEARCH("平",B6743)),"平","仄")))</x:f>
        <x:v>仄</x:v>
      </x:c>
      <x:c r="K6743" s="6" t="str">
        <x:f>IF(D6743="","",IF(AND(ISNUMBER(SEARCH("平",D6743)),OR(ISNUMBER(SEARCH("上",D6743)),ISNUMBER(SEARCH("去",D6743)),ISNUMBER(SEARCH("入",D6743)))),"Ambiguous",IF(ISNUMBER(SEARCH("平",D6743)),"平","仄")))</x:f>
        <x:v>仄</x:v>
      </x:c>
      <x:c r="L6743" s="7" t="str">
        <x:v>Pingshui main list expansion</x:v>
      </x:c>
    </x:row>
    <x:row r="6744">
      <x:c r="A6744" s="5" t="str">
        <x:v>嬾</x:v>
      </x:c>
      <x:c r="B6744" s="6" t="str">
        <x:v>上</x:v>
      </x:c>
      <x:c r="C6744" s="6" t="str">
        <x:f>IF(B6744="","Needs decision","Ready")</x:f>
        <x:v>Ready</x:v>
      </x:c>
      <x:c r="D6744" s="6" t="str">
        <x:v>上</x:v>
      </x:c>
      <x:c r="E6744" s="6" t="str"/>
      <x:c r="F6744" s="6" t="str">
        <x:v>上聲十四旱</x:v>
      </x:c>
      <x:c r="G6744" s="6" t="str">
        <x:v>Pingshui main list, Wikisource-derived DOCX</x:v>
      </x:c>
      <x:c r="H6744" s="6" t="str"/>
      <x:c r="I6744" s="6" t="str">
        <x:v>Pingshui main-list expansion; 詞 entries ignored</x:v>
      </x:c>
      <x:c r="J6744" s="6" t="str">
        <x:f>IF(B6744="","",IF(AND(ISNUMBER(SEARCH("平",B6744)),OR(ISNUMBER(SEARCH("上",B6744)),ISNUMBER(SEARCH("去",B6744)),ISNUMBER(SEARCH("入",B6744)))),"Ambiguous",IF(ISNUMBER(SEARCH("平",B6744)),"平","仄")))</x:f>
        <x:v>仄</x:v>
      </x:c>
      <x:c r="K6744" s="6" t="str">
        <x:f>IF(D6744="","",IF(AND(ISNUMBER(SEARCH("平",D6744)),OR(ISNUMBER(SEARCH("上",D6744)),ISNUMBER(SEARCH("去",D6744)),ISNUMBER(SEARCH("入",D6744)))),"Ambiguous",IF(ISNUMBER(SEARCH("平",D6744)),"平","仄")))</x:f>
        <x:v>仄</x:v>
      </x:c>
      <x:c r="L6744" s="7" t="str">
        <x:v>Pingshui main list expansion</x:v>
      </x:c>
    </x:row>
    <x:row r="6745">
      <x:c r="A6745" s="5" t="str">
        <x:v>宭</x:v>
      </x:c>
      <x:c r="B6745" s="6" t="str">
        <x:v>平</x:v>
      </x:c>
      <x:c r="C6745" s="6" t="str">
        <x:f>IF(B6745="","Needs decision","Ready")</x:f>
        <x:v>Ready</x:v>
      </x:c>
      <x:c r="D6745" s="6" t="str">
        <x:v>平</x:v>
      </x:c>
      <x:c r="E6745" s="6" t="str"/>
      <x:c r="F6745" s="6" t="str">
        <x:v>上平聲十二文</x:v>
      </x:c>
      <x:c r="G6745" s="6" t="str">
        <x:v>Pingshui main list, Wikisource-derived DOCX</x:v>
      </x:c>
      <x:c r="H6745" s="6" t="str"/>
      <x:c r="I6745" s="6" t="str">
        <x:v>Pingshui main-list expansion; 詞 entries ignored</x:v>
      </x:c>
      <x:c r="J6745" s="6" t="str">
        <x:f>IF(B6745="","",IF(AND(ISNUMBER(SEARCH("平",B6745)),OR(ISNUMBER(SEARCH("上",B6745)),ISNUMBER(SEARCH("去",B6745)),ISNUMBER(SEARCH("入",B6745)))),"Ambiguous",IF(ISNUMBER(SEARCH("平",B6745)),"平","仄")))</x:f>
        <x:v>平</x:v>
      </x:c>
      <x:c r="K6745" s="6" t="str">
        <x:f>IF(D6745="","",IF(AND(ISNUMBER(SEARCH("平",D6745)),OR(ISNUMBER(SEARCH("上",D6745)),ISNUMBER(SEARCH("去",D6745)),ISNUMBER(SEARCH("入",D6745)))),"Ambiguous",IF(ISNUMBER(SEARCH("平",D6745)),"平","仄")))</x:f>
        <x:v>平</x:v>
      </x:c>
      <x:c r="L6745" s="7" t="str">
        <x:v>Pingshui main list expansion</x:v>
      </x:c>
    </x:row>
    <x:row r="6746">
      <x:c r="A6746" s="5" t="str">
        <x:v>寁</x:v>
      </x:c>
      <x:c r="B6746" s="6" t="str">
        <x:v>上</x:v>
      </x:c>
      <x:c r="C6746" s="6" t="str">
        <x:f>IF(B6746="","Needs decision","Ready")</x:f>
        <x:v>Ready</x:v>
      </x:c>
      <x:c r="D6746" s="6" t="str">
        <x:v>上</x:v>
      </x:c>
      <x:c r="E6746" s="6" t="str"/>
      <x:c r="F6746" s="6" t="str">
        <x:v>上聲二十七感</x:v>
      </x:c>
      <x:c r="G6746" s="6" t="str">
        <x:v>Pingshui main list, Wikisource-derived DOCX</x:v>
      </x:c>
      <x:c r="H6746" s="6" t="str"/>
      <x:c r="I6746" s="6" t="str">
        <x:v>Pingshui main-list expansion; 詞 entries ignored</x:v>
      </x:c>
      <x:c r="J6746" s="6" t="str">
        <x:f>IF(B6746="","",IF(AND(ISNUMBER(SEARCH("平",B6746)),OR(ISNUMBER(SEARCH("上",B6746)),ISNUMBER(SEARCH("去",B6746)),ISNUMBER(SEARCH("入",B6746)))),"Ambiguous",IF(ISNUMBER(SEARCH("平",B6746)),"平","仄")))</x:f>
        <x:v>仄</x:v>
      </x:c>
      <x:c r="K6746" s="6" t="str">
        <x:f>IF(D6746="","",IF(AND(ISNUMBER(SEARCH("平",D6746)),OR(ISNUMBER(SEARCH("上",D6746)),ISNUMBER(SEARCH("去",D6746)),ISNUMBER(SEARCH("入",D6746)))),"Ambiguous",IF(ISNUMBER(SEARCH("平",D6746)),"平","仄")))</x:f>
        <x:v>仄</x:v>
      </x:c>
      <x:c r="L6746" s="7" t="str">
        <x:v>Pingshui main list expansion</x:v>
      </x:c>
    </x:row>
    <x:row r="6747">
      <x:c r="A6747" s="5" t="str">
        <x:v>寙</x:v>
      </x:c>
      <x:c r="B6747" s="6" t="str">
        <x:v>上</x:v>
      </x:c>
      <x:c r="C6747" s="6" t="str">
        <x:f>IF(B6747="","Needs decision","Ready")</x:f>
        <x:v>Ready</x:v>
      </x:c>
      <x:c r="D6747" s="6" t="str">
        <x:v>上</x:v>
      </x:c>
      <x:c r="E6747" s="6" t="str"/>
      <x:c r="F6747" s="6" t="str">
        <x:v>上聲七麌</x:v>
      </x:c>
      <x:c r="G6747" s="6" t="str">
        <x:v>Pingshui main list, Wikisource-derived DOCX</x:v>
      </x:c>
      <x:c r="H6747" s="6" t="str"/>
      <x:c r="I6747" s="6" t="str">
        <x:v>Pingshui main-list expansion; 詞 entries ignored</x:v>
      </x:c>
      <x:c r="J6747" s="6" t="str">
        <x:f>IF(B6747="","",IF(AND(ISNUMBER(SEARCH("平",B6747)),OR(ISNUMBER(SEARCH("上",B6747)),ISNUMBER(SEARCH("去",B6747)),ISNUMBER(SEARCH("入",B6747)))),"Ambiguous",IF(ISNUMBER(SEARCH("平",B6747)),"平","仄")))</x:f>
        <x:v>仄</x:v>
      </x:c>
      <x:c r="K6747" s="6" t="str">
        <x:f>IF(D6747="","",IF(AND(ISNUMBER(SEARCH("平",D6747)),OR(ISNUMBER(SEARCH("上",D6747)),ISNUMBER(SEARCH("去",D6747)),ISNUMBER(SEARCH("入",D6747)))),"Ambiguous",IF(ISNUMBER(SEARCH("平",D6747)),"平","仄")))</x:f>
        <x:v>仄</x:v>
      </x:c>
      <x:c r="L6747" s="7" t="str">
        <x:v>Pingshui main list expansion</x:v>
      </x:c>
    </x:row>
    <x:row r="6748">
      <x:c r="A6748" s="5" t="str">
        <x:v>寠</x:v>
      </x:c>
      <x:c r="B6748" s="6" t="str">
        <x:v>平</x:v>
      </x:c>
      <x:c r="C6748" s="6" t="str">
        <x:f>IF(B6748="","Needs decision","Ready")</x:f>
        <x:v>Ready</x:v>
      </x:c>
      <x:c r="D6748" s="6" t="str">
        <x:v>平</x:v>
      </x:c>
      <x:c r="E6748" s="6" t="str"/>
      <x:c r="F6748" s="6" t="str">
        <x:v>下平聲十一尤</x:v>
      </x:c>
      <x:c r="G6748" s="6" t="str">
        <x:v>Pingshui main list, Wikisource-derived DOCX</x:v>
      </x:c>
      <x:c r="H6748" s="6" t="str"/>
      <x:c r="I6748" s="6" t="str">
        <x:v>Pingshui main-list expansion; 詞 entries ignored</x:v>
      </x:c>
      <x:c r="J6748" s="6" t="str">
        <x:f>IF(B6748="","",IF(AND(ISNUMBER(SEARCH("平",B6748)),OR(ISNUMBER(SEARCH("上",B6748)),ISNUMBER(SEARCH("去",B6748)),ISNUMBER(SEARCH("入",B6748)))),"Ambiguous",IF(ISNUMBER(SEARCH("平",B6748)),"平","仄")))</x:f>
        <x:v>平</x:v>
      </x:c>
      <x:c r="K6748" s="6" t="str">
        <x:f>IF(D6748="","",IF(AND(ISNUMBER(SEARCH("平",D6748)),OR(ISNUMBER(SEARCH("上",D6748)),ISNUMBER(SEARCH("去",D6748)),ISNUMBER(SEARCH("入",D6748)))),"Ambiguous",IF(ISNUMBER(SEARCH("平",D6748)),"平","仄")))</x:f>
        <x:v>平</x:v>
      </x:c>
      <x:c r="L6748" s="7" t="str">
        <x:v>Pingshui main list expansion</x:v>
      </x:c>
    </x:row>
    <x:row r="6749">
      <x:c r="A6749" s="5" t="str">
        <x:v>寨</x:v>
      </x:c>
      <x:c r="B6749" s="6" t="str">
        <x:v>去</x:v>
      </x:c>
      <x:c r="C6749" s="6" t="str">
        <x:f>IF(B6749="","Needs decision","Ready")</x:f>
        <x:v>Ready</x:v>
      </x:c>
      <x:c r="D6749" s="6" t="str">
        <x:v>去</x:v>
      </x:c>
      <x:c r="E6749" s="6" t="str"/>
      <x:c r="F6749" s="6" t="str">
        <x:v>去聲十卦</x:v>
      </x:c>
      <x:c r="G6749" s="6" t="str">
        <x:v>Pingshui main list, Wikisource-derived DOCX</x:v>
      </x:c>
      <x:c r="H6749" s="6" t="str"/>
      <x:c r="I6749" s="6" t="str">
        <x:v>Pingshui main-list expansion; 詞 entries ignored</x:v>
      </x:c>
      <x:c r="J6749" s="6" t="str">
        <x:f>IF(B6749="","",IF(AND(ISNUMBER(SEARCH("平",B6749)),OR(ISNUMBER(SEARCH("上",B6749)),ISNUMBER(SEARCH("去",B6749)),ISNUMBER(SEARCH("入",B6749)))),"Ambiguous",IF(ISNUMBER(SEARCH("平",B6749)),"平","仄")))</x:f>
        <x:v>仄</x:v>
      </x:c>
      <x:c r="K6749" s="6" t="str">
        <x:f>IF(D6749="","",IF(AND(ISNUMBER(SEARCH("平",D6749)),OR(ISNUMBER(SEARCH("上",D6749)),ISNUMBER(SEARCH("去",D6749)),ISNUMBER(SEARCH("入",D6749)))),"Ambiguous",IF(ISNUMBER(SEARCH("平",D6749)),"平","仄")))</x:f>
        <x:v>仄</x:v>
      </x:c>
      <x:c r="L6749" s="7" t="str">
        <x:v>Pingshui main list expansion</x:v>
      </x:c>
    </x:row>
    <x:row r="6750">
      <x:c r="A6750" s="5" t="str">
        <x:v>寱</x:v>
      </x:c>
      <x:c r="B6750" s="6" t="str">
        <x:v>去</x:v>
      </x:c>
      <x:c r="C6750" s="6" t="str">
        <x:f>IF(B6750="","Needs decision","Ready")</x:f>
        <x:v>Ready</x:v>
      </x:c>
      <x:c r="D6750" s="6" t="str">
        <x:v>去</x:v>
      </x:c>
      <x:c r="E6750" s="6" t="str"/>
      <x:c r="F6750" s="6" t="str">
        <x:v>去聲八霽</x:v>
      </x:c>
      <x:c r="G6750" s="6" t="str">
        <x:v>Pingshui main list, Wikisource-derived DOCX</x:v>
      </x:c>
      <x:c r="H6750" s="6" t="str"/>
      <x:c r="I6750" s="6" t="str">
        <x:v>Pingshui main-list expansion; 詞 entries ignored</x:v>
      </x:c>
      <x:c r="J6750" s="6" t="str">
        <x:f>IF(B6750="","",IF(AND(ISNUMBER(SEARCH("平",B6750)),OR(ISNUMBER(SEARCH("上",B6750)),ISNUMBER(SEARCH("去",B6750)),ISNUMBER(SEARCH("入",B6750)))),"Ambiguous",IF(ISNUMBER(SEARCH("平",B6750)),"平","仄")))</x:f>
        <x:v>仄</x:v>
      </x:c>
      <x:c r="K6750" s="6" t="str">
        <x:f>IF(D6750="","",IF(AND(ISNUMBER(SEARCH("平",D6750)),OR(ISNUMBER(SEARCH("上",D6750)),ISNUMBER(SEARCH("去",D6750)),ISNUMBER(SEARCH("入",D6750)))),"Ambiguous",IF(ISNUMBER(SEARCH("平",D6750)),"平","仄")))</x:f>
        <x:v>仄</x:v>
      </x:c>
      <x:c r="L6750" s="7" t="str">
        <x:v>Pingshui main list expansion</x:v>
      </x:c>
    </x:row>
    <x:row r="6751">
      <x:c r="A6751" s="5" t="str">
        <x:v>屝</x:v>
      </x:c>
      <x:c r="B6751" s="6" t="str">
        <x:v>去</x:v>
      </x:c>
      <x:c r="C6751" s="6" t="str">
        <x:f>IF(B6751="","Needs decision","Ready")</x:f>
        <x:v>Ready</x:v>
      </x:c>
      <x:c r="D6751" s="6" t="str">
        <x:v>去</x:v>
      </x:c>
      <x:c r="E6751" s="6" t="str"/>
      <x:c r="F6751" s="6" t="str">
        <x:v>去聲五未</x:v>
      </x:c>
      <x:c r="G6751" s="6" t="str">
        <x:v>Pingshui main list, Wikisource-derived DOCX</x:v>
      </x:c>
      <x:c r="H6751" s="6" t="str"/>
      <x:c r="I6751" s="6" t="str">
        <x:v>Pingshui main-list expansion; 詞 entries ignored</x:v>
      </x:c>
      <x:c r="J6751" s="6" t="str">
        <x:f>IF(B6751="","",IF(AND(ISNUMBER(SEARCH("平",B6751)),OR(ISNUMBER(SEARCH("上",B6751)),ISNUMBER(SEARCH("去",B6751)),ISNUMBER(SEARCH("入",B6751)))),"Ambiguous",IF(ISNUMBER(SEARCH("平",B6751)),"平","仄")))</x:f>
        <x:v>仄</x:v>
      </x:c>
      <x:c r="K6751" s="6" t="str">
        <x:f>IF(D6751="","",IF(AND(ISNUMBER(SEARCH("平",D6751)),OR(ISNUMBER(SEARCH("上",D6751)),ISNUMBER(SEARCH("去",D6751)),ISNUMBER(SEARCH("入",D6751)))),"Ambiguous",IF(ISNUMBER(SEARCH("平",D6751)),"平","仄")))</x:f>
        <x:v>仄</x:v>
      </x:c>
      <x:c r="L6751" s="7" t="str">
        <x:v>Pingshui main list expansion</x:v>
      </x:c>
    </x:row>
    <x:row r="6752">
      <x:c r="A6752" s="5" t="str">
        <x:v>屴</x:v>
      </x:c>
      <x:c r="B6752" s="6" t="str">
        <x:v>入</x:v>
      </x:c>
      <x:c r="C6752" s="6" t="str">
        <x:f>IF(B6752="","Needs decision","Ready")</x:f>
        <x:v>Ready</x:v>
      </x:c>
      <x:c r="D6752" s="6" t="str">
        <x:v>入</x:v>
      </x:c>
      <x:c r="E6752" s="6" t="str"/>
      <x:c r="F6752" s="6" t="str">
        <x:v>入聲十三職</x:v>
      </x:c>
      <x:c r="G6752" s="6" t="str">
        <x:v>Pingshui main list, Wikisource-derived DOCX</x:v>
      </x:c>
      <x:c r="H6752" s="6" t="str"/>
      <x:c r="I6752" s="6" t="str">
        <x:v>Pingshui main-list expansion; 詞 entries ignored</x:v>
      </x:c>
      <x:c r="J6752" s="6" t="str">
        <x:f>IF(B6752="","",IF(AND(ISNUMBER(SEARCH("平",B6752)),OR(ISNUMBER(SEARCH("上",B6752)),ISNUMBER(SEARCH("去",B6752)),ISNUMBER(SEARCH("入",B6752)))),"Ambiguous",IF(ISNUMBER(SEARCH("平",B6752)),"平","仄")))</x:f>
        <x:v>仄</x:v>
      </x:c>
      <x:c r="K6752" s="6" t="str">
        <x:f>IF(D6752="","",IF(AND(ISNUMBER(SEARCH("平",D6752)),OR(ISNUMBER(SEARCH("上",D6752)),ISNUMBER(SEARCH("去",D6752)),ISNUMBER(SEARCH("入",D6752)))),"Ambiguous",IF(ISNUMBER(SEARCH("平",D6752)),"平","仄")))</x:f>
        <x:v>仄</x:v>
      </x:c>
      <x:c r="L6752" s="7" t="str">
        <x:v>Pingshui main list expansion</x:v>
      </x:c>
    </x:row>
    <x:row r="6753">
      <x:c r="A6753" s="5" t="str">
        <x:v>屺</x:v>
      </x:c>
      <x:c r="B6753" s="6" t="str">
        <x:v>上</x:v>
      </x:c>
      <x:c r="C6753" s="6" t="str">
        <x:f>IF(B6753="","Needs decision","Ready")</x:f>
        <x:v>Ready</x:v>
      </x:c>
      <x:c r="D6753" s="6" t="str">
        <x:v>上</x:v>
      </x:c>
      <x:c r="E6753" s="6" t="str"/>
      <x:c r="F6753" s="6" t="str">
        <x:v>上聲四紙</x:v>
      </x:c>
      <x:c r="G6753" s="6" t="str">
        <x:v>Pingshui main list, Wikisource-derived DOCX</x:v>
      </x:c>
      <x:c r="H6753" s="6" t="str"/>
      <x:c r="I6753" s="6" t="str">
        <x:v>Pingshui main-list expansion; 詞 entries ignored</x:v>
      </x:c>
      <x:c r="J6753" s="6" t="str">
        <x:f>IF(B6753="","",IF(AND(ISNUMBER(SEARCH("平",B6753)),OR(ISNUMBER(SEARCH("上",B6753)),ISNUMBER(SEARCH("去",B6753)),ISNUMBER(SEARCH("入",B6753)))),"Ambiguous",IF(ISNUMBER(SEARCH("平",B6753)),"平","仄")))</x:f>
        <x:v>仄</x:v>
      </x:c>
      <x:c r="K6753" s="6" t="str">
        <x:f>IF(D6753="","",IF(AND(ISNUMBER(SEARCH("平",D6753)),OR(ISNUMBER(SEARCH("上",D6753)),ISNUMBER(SEARCH("去",D6753)),ISNUMBER(SEARCH("入",D6753)))),"Ambiguous",IF(ISNUMBER(SEARCH("平",D6753)),"平","仄")))</x:f>
        <x:v>仄</x:v>
      </x:c>
      <x:c r="L6753" s="7" t="str">
        <x:v>Pingshui main list expansion</x:v>
      </x:c>
    </x:row>
    <x:row r="6754">
      <x:c r="A6754" s="5" t="str">
        <x:v>屼</x:v>
      </x:c>
      <x:c r="B6754" s="6" t="str">
        <x:v>入</x:v>
      </x:c>
      <x:c r="C6754" s="6" t="str">
        <x:f>IF(B6754="","Needs decision","Ready")</x:f>
        <x:v>Ready</x:v>
      </x:c>
      <x:c r="D6754" s="6" t="str">
        <x:v>入</x:v>
      </x:c>
      <x:c r="E6754" s="6" t="str"/>
      <x:c r="F6754" s="6" t="str">
        <x:v>入聲六月</x:v>
      </x:c>
      <x:c r="G6754" s="6" t="str">
        <x:v>Pingshui main list, Wikisource-derived DOCX</x:v>
      </x:c>
      <x:c r="H6754" s="6" t="str"/>
      <x:c r="I6754" s="6" t="str">
        <x:v>Pingshui main-list expansion; 詞 entries ignored</x:v>
      </x:c>
      <x:c r="J6754" s="6" t="str">
        <x:f>IF(B6754="","",IF(AND(ISNUMBER(SEARCH("平",B6754)),OR(ISNUMBER(SEARCH("上",B6754)),ISNUMBER(SEARCH("去",B6754)),ISNUMBER(SEARCH("入",B6754)))),"Ambiguous",IF(ISNUMBER(SEARCH("平",B6754)),"平","仄")))</x:f>
        <x:v>仄</x:v>
      </x:c>
      <x:c r="K6754" s="6" t="str">
        <x:f>IF(D6754="","",IF(AND(ISNUMBER(SEARCH("平",D6754)),OR(ISNUMBER(SEARCH("上",D6754)),ISNUMBER(SEARCH("去",D6754)),ISNUMBER(SEARCH("入",D6754)))),"Ambiguous",IF(ISNUMBER(SEARCH("平",D6754)),"平","仄")))</x:f>
        <x:v>仄</x:v>
      </x:c>
      <x:c r="L6754" s="7" t="str">
        <x:v>Pingshui main list expansion</x:v>
      </x:c>
    </x:row>
    <x:row r="6755">
      <x:c r="A6755" s="5" t="str">
        <x:v>岉</x:v>
      </x:c>
      <x:c r="B6755" s="6" t="str">
        <x:v>入</x:v>
      </x:c>
      <x:c r="C6755" s="6" t="str">
        <x:f>IF(B6755="","Needs decision","Ready")</x:f>
        <x:v>Ready</x:v>
      </x:c>
      <x:c r="D6755" s="6" t="str">
        <x:v>入</x:v>
      </x:c>
      <x:c r="E6755" s="6" t="str"/>
      <x:c r="F6755" s="6" t="str">
        <x:v>入聲五物</x:v>
      </x:c>
      <x:c r="G6755" s="6" t="str">
        <x:v>Pingshui main list, Wikisource-derived DOCX</x:v>
      </x:c>
      <x:c r="H6755" s="6" t="str"/>
      <x:c r="I6755" s="6" t="str">
        <x:v>Pingshui main-list expansion; 詞 entries ignored</x:v>
      </x:c>
      <x:c r="J6755" s="6" t="str">
        <x:f>IF(B6755="","",IF(AND(ISNUMBER(SEARCH("平",B6755)),OR(ISNUMBER(SEARCH("上",B6755)),ISNUMBER(SEARCH("去",B6755)),ISNUMBER(SEARCH("入",B6755)))),"Ambiguous",IF(ISNUMBER(SEARCH("平",B6755)),"平","仄")))</x:f>
        <x:v>仄</x:v>
      </x:c>
      <x:c r="K6755" s="6" t="str">
        <x:f>IF(D6755="","",IF(AND(ISNUMBER(SEARCH("平",D6755)),OR(ISNUMBER(SEARCH("上",D6755)),ISNUMBER(SEARCH("去",D6755)),ISNUMBER(SEARCH("入",D6755)))),"Ambiguous",IF(ISNUMBER(SEARCH("平",D6755)),"平","仄")))</x:f>
        <x:v>仄</x:v>
      </x:c>
      <x:c r="L6755" s="7" t="str">
        <x:v>Pingshui main list expansion</x:v>
      </x:c>
    </x:row>
    <x:row r="6756">
      <x:c r="A6756" s="5" t="str">
        <x:v>岍</x:v>
      </x:c>
      <x:c r="B6756" s="6" t="str">
        <x:v>平</x:v>
      </x:c>
      <x:c r="C6756" s="6" t="str">
        <x:f>IF(B6756="","Needs decision","Ready")</x:f>
        <x:v>Ready</x:v>
      </x:c>
      <x:c r="D6756" s="6" t="str">
        <x:v>平</x:v>
      </x:c>
      <x:c r="E6756" s="6" t="str"/>
      <x:c r="F6756" s="6" t="str">
        <x:v>下平聲一先</x:v>
      </x:c>
      <x:c r="G6756" s="6" t="str">
        <x:v>Pingshui main list, Wikisource-derived DOCX</x:v>
      </x:c>
      <x:c r="H6756" s="6" t="str"/>
      <x:c r="I6756" s="6" t="str">
        <x:v>Pingshui main-list expansion; 詞 entries ignored</x:v>
      </x:c>
      <x:c r="J6756" s="6" t="str">
        <x:f>IF(B6756="","",IF(AND(ISNUMBER(SEARCH("平",B6756)),OR(ISNUMBER(SEARCH("上",B6756)),ISNUMBER(SEARCH("去",B6756)),ISNUMBER(SEARCH("入",B6756)))),"Ambiguous",IF(ISNUMBER(SEARCH("平",B6756)),"平","仄")))</x:f>
        <x:v>平</x:v>
      </x:c>
      <x:c r="K6756" s="6" t="str">
        <x:f>IF(D6756="","",IF(AND(ISNUMBER(SEARCH("平",D6756)),OR(ISNUMBER(SEARCH("上",D6756)),ISNUMBER(SEARCH("去",D6756)),ISNUMBER(SEARCH("入",D6756)))),"Ambiguous",IF(ISNUMBER(SEARCH("平",D6756)),"平","仄")))</x:f>
        <x:v>平</x:v>
      </x:c>
      <x:c r="L6756" s="7" t="str">
        <x:v>Pingshui main list expansion</x:v>
      </x:c>
    </x:row>
    <x:row r="6757">
      <x:c r="A6757" s="5" t="str">
        <x:v>岠</x:v>
      </x:c>
      <x:c r="B6757" s="6" t="str">
        <x:v>上</x:v>
      </x:c>
      <x:c r="C6757" s="6" t="str">
        <x:f>IF(B6757="","Needs decision","Ready")</x:f>
        <x:v>Ready</x:v>
      </x:c>
      <x:c r="D6757" s="6" t="str">
        <x:v>上</x:v>
      </x:c>
      <x:c r="E6757" s="6" t="str"/>
      <x:c r="F6757" s="6" t="str">
        <x:v>上聲六語</x:v>
      </x:c>
      <x:c r="G6757" s="6" t="str">
        <x:v>Pingshui main list, Wikisource-derived DOCX</x:v>
      </x:c>
      <x:c r="H6757" s="6" t="str"/>
      <x:c r="I6757" s="6" t="str">
        <x:v>Pingshui main-list expansion; 詞 entries ignored</x:v>
      </x:c>
      <x:c r="J6757" s="6" t="str">
        <x:f>IF(B6757="","",IF(AND(ISNUMBER(SEARCH("平",B6757)),OR(ISNUMBER(SEARCH("上",B6757)),ISNUMBER(SEARCH("去",B6757)),ISNUMBER(SEARCH("入",B6757)))),"Ambiguous",IF(ISNUMBER(SEARCH("平",B6757)),"平","仄")))</x:f>
        <x:v>仄</x:v>
      </x:c>
      <x:c r="K6757" s="6" t="str">
        <x:f>IF(D6757="","",IF(AND(ISNUMBER(SEARCH("平",D6757)),OR(ISNUMBER(SEARCH("上",D6757)),ISNUMBER(SEARCH("去",D6757)),ISNUMBER(SEARCH("入",D6757)))),"Ambiguous",IF(ISNUMBER(SEARCH("平",D6757)),"平","仄")))</x:f>
        <x:v>仄</x:v>
      </x:c>
      <x:c r="L6757" s="7" t="str">
        <x:v>Pingshui main list expansion</x:v>
      </x:c>
    </x:row>
    <x:row r="6758">
      <x:c r="A6758" s="5" t="str">
        <x:v>岦</x:v>
      </x:c>
      <x:c r="B6758" s="6" t="str">
        <x:v>入</x:v>
      </x:c>
      <x:c r="C6758" s="6" t="str">
        <x:f>IF(B6758="","Needs decision","Ready")</x:f>
        <x:v>Ready</x:v>
      </x:c>
      <x:c r="D6758" s="6" t="str">
        <x:v>入</x:v>
      </x:c>
      <x:c r="E6758" s="6" t="str"/>
      <x:c r="F6758" s="6" t="str">
        <x:v>入聲十四緝</x:v>
      </x:c>
      <x:c r="G6758" s="6" t="str">
        <x:v>Pingshui main list, Wikisource-derived DOCX</x:v>
      </x:c>
      <x:c r="H6758" s="6" t="str"/>
      <x:c r="I6758" s="6" t="str">
        <x:v>Pingshui main-list expansion; 詞 entries ignored</x:v>
      </x:c>
      <x:c r="J6758" s="6" t="str">
        <x:f>IF(B6758="","",IF(AND(ISNUMBER(SEARCH("平",B6758)),OR(ISNUMBER(SEARCH("上",B6758)),ISNUMBER(SEARCH("去",B6758)),ISNUMBER(SEARCH("入",B6758)))),"Ambiguous",IF(ISNUMBER(SEARCH("平",B6758)),"平","仄")))</x:f>
        <x:v>仄</x:v>
      </x:c>
      <x:c r="K6758" s="6" t="str">
        <x:f>IF(D6758="","",IF(AND(ISNUMBER(SEARCH("平",D6758)),OR(ISNUMBER(SEARCH("上",D6758)),ISNUMBER(SEARCH("去",D6758)),ISNUMBER(SEARCH("入",D6758)))),"Ambiguous",IF(ISNUMBER(SEARCH("平",D6758)),"平","仄")))</x:f>
        <x:v>仄</x:v>
      </x:c>
      <x:c r="L6758" s="7" t="str">
        <x:v>Pingshui main list expansion</x:v>
      </x:c>
    </x:row>
    <x:row r="6759">
      <x:c r="A6759" s="5" t="str">
        <x:v>峐</x:v>
      </x:c>
      <x:c r="B6759" s="6" t="str">
        <x:v>平</x:v>
      </x:c>
      <x:c r="C6759" s="6" t="str">
        <x:f>IF(B6759="","Needs decision","Ready")</x:f>
        <x:v>Ready</x:v>
      </x:c>
      <x:c r="D6759" s="6" t="str">
        <x:v>平</x:v>
      </x:c>
      <x:c r="E6759" s="6" t="str"/>
      <x:c r="F6759" s="6" t="str">
        <x:v>上平聲十灰</x:v>
      </x:c>
      <x:c r="G6759" s="6" t="str">
        <x:v>Pingshui main list, Wikisource-derived DOCX</x:v>
      </x:c>
      <x:c r="H6759" s="6" t="str"/>
      <x:c r="I6759" s="6" t="str">
        <x:v>Pingshui main-list expansion; 詞 entries ignored</x:v>
      </x:c>
      <x:c r="J6759" s="6" t="str">
        <x:f>IF(B6759="","",IF(AND(ISNUMBER(SEARCH("平",B6759)),OR(ISNUMBER(SEARCH("上",B6759)),ISNUMBER(SEARCH("去",B6759)),ISNUMBER(SEARCH("入",B6759)))),"Ambiguous",IF(ISNUMBER(SEARCH("平",B6759)),"平","仄")))</x:f>
        <x:v>平</x:v>
      </x:c>
      <x:c r="K6759" s="6" t="str">
        <x:f>IF(D6759="","",IF(AND(ISNUMBER(SEARCH("平",D6759)),OR(ISNUMBER(SEARCH("上",D6759)),ISNUMBER(SEARCH("去",D6759)),ISNUMBER(SEARCH("入",D6759)))),"Ambiguous",IF(ISNUMBER(SEARCH("平",D6759)),"平","仄")))</x:f>
        <x:v>平</x:v>
      </x:c>
      <x:c r="L6759" s="7" t="str">
        <x:v>Pingshui main list expansion</x:v>
      </x:c>
    </x:row>
    <x:row r="6760">
      <x:c r="A6760" s="5" t="str">
        <x:v>峓</x:v>
      </x:c>
      <x:c r="B6760" s="6" t="str">
        <x:v>平</x:v>
      </x:c>
      <x:c r="C6760" s="6" t="str">
        <x:f>IF(B6760="","Needs decision","Ready")</x:f>
        <x:v>Ready</x:v>
      </x:c>
      <x:c r="D6760" s="6" t="str">
        <x:v>平</x:v>
      </x:c>
      <x:c r="E6760" s="6" t="str"/>
      <x:c r="F6760" s="6" t="str">
        <x:v>上平聲四支</x:v>
      </x:c>
      <x:c r="G6760" s="6" t="str">
        <x:v>Pingshui main list, Wikisource-derived DOCX</x:v>
      </x:c>
      <x:c r="H6760" s="6" t="str"/>
      <x:c r="I6760" s="6" t="str">
        <x:v>Pingshui main-list expansion; 詞 entries ignored</x:v>
      </x:c>
      <x:c r="J6760" s="6" t="str">
        <x:f>IF(B6760="","",IF(AND(ISNUMBER(SEARCH("平",B6760)),OR(ISNUMBER(SEARCH("上",B6760)),ISNUMBER(SEARCH("去",B6760)),ISNUMBER(SEARCH("入",B6760)))),"Ambiguous",IF(ISNUMBER(SEARCH("平",B6760)),"平","仄")))</x:f>
        <x:v>平</x:v>
      </x:c>
      <x:c r="K6760" s="6" t="str">
        <x:f>IF(D6760="","",IF(AND(ISNUMBER(SEARCH("平",D6760)),OR(ISNUMBER(SEARCH("上",D6760)),ISNUMBER(SEARCH("去",D6760)),ISNUMBER(SEARCH("入",D6760)))),"Ambiguous",IF(ISNUMBER(SEARCH("平",D6760)),"平","仄")))</x:f>
        <x:v>平</x:v>
      </x:c>
      <x:c r="L6760" s="7" t="str">
        <x:v>Pingshui main list expansion</x:v>
      </x:c>
    </x:row>
    <x:row r="6761">
      <x:c r="A6761" s="5" t="str">
        <x:v>峗</x:v>
      </x:c>
      <x:c r="B6761" s="6" t="str">
        <x:v>平</x:v>
      </x:c>
      <x:c r="C6761" s="6" t="str">
        <x:f>IF(B6761="","Needs decision","Ready")</x:f>
        <x:v>Ready</x:v>
      </x:c>
      <x:c r="D6761" s="6" t="str">
        <x:v>平</x:v>
      </x:c>
      <x:c r="E6761" s="6" t="str"/>
      <x:c r="F6761" s="6" t="str">
        <x:v>上平聲四支</x:v>
      </x:c>
      <x:c r="G6761" s="6" t="str">
        <x:v>Pingshui main list, Wikisource-derived DOCX</x:v>
      </x:c>
      <x:c r="H6761" s="6" t="str"/>
      <x:c r="I6761" s="6" t="str">
        <x:v>Pingshui main-list expansion; 詞 entries ignored</x:v>
      </x:c>
      <x:c r="J6761" s="6" t="str">
        <x:f>IF(B6761="","",IF(AND(ISNUMBER(SEARCH("平",B6761)),OR(ISNUMBER(SEARCH("上",B6761)),ISNUMBER(SEARCH("去",B6761)),ISNUMBER(SEARCH("入",B6761)))),"Ambiguous",IF(ISNUMBER(SEARCH("平",B6761)),"平","仄")))</x:f>
        <x:v>平</x:v>
      </x:c>
      <x:c r="K6761" s="6" t="str">
        <x:f>IF(D6761="","",IF(AND(ISNUMBER(SEARCH("平",D6761)),OR(ISNUMBER(SEARCH("上",D6761)),ISNUMBER(SEARCH("去",D6761)),ISNUMBER(SEARCH("入",D6761)))),"Ambiguous",IF(ISNUMBER(SEARCH("平",D6761)),"平","仄")))</x:f>
        <x:v>平</x:v>
      </x:c>
      <x:c r="L6761" s="7" t="str">
        <x:v>Pingshui main list expansion</x:v>
      </x:c>
    </x:row>
    <x:row r="6762">
      <x:c r="A6762" s="5" t="str">
        <x:v>峘</x:v>
      </x:c>
      <x:c r="B6762" s="6" t="str">
        <x:v>平</x:v>
      </x:c>
      <x:c r="C6762" s="6" t="str">
        <x:f>IF(B6762="","Needs decision","Ready")</x:f>
        <x:v>Ready</x:v>
      </x:c>
      <x:c r="D6762" s="6" t="str">
        <x:v>平</x:v>
      </x:c>
      <x:c r="E6762" s="6" t="str"/>
      <x:c r="F6762" s="6" t="str">
        <x:v>上平聲十四寒</x:v>
      </x:c>
      <x:c r="G6762" s="6" t="str">
        <x:v>Pingshui main list, Wikisource-derived DOCX</x:v>
      </x:c>
      <x:c r="H6762" s="6" t="str"/>
      <x:c r="I6762" s="6" t="str">
        <x:v>Pingshui main-list expansion; 詞 entries ignored</x:v>
      </x:c>
      <x:c r="J6762" s="6" t="str">
        <x:f>IF(B6762="","",IF(AND(ISNUMBER(SEARCH("平",B6762)),OR(ISNUMBER(SEARCH("上",B6762)),ISNUMBER(SEARCH("去",B6762)),ISNUMBER(SEARCH("入",B6762)))),"Ambiguous",IF(ISNUMBER(SEARCH("平",B6762)),"平","仄")))</x:f>
        <x:v>平</x:v>
      </x:c>
      <x:c r="K6762" s="6" t="str">
        <x:f>IF(D6762="","",IF(AND(ISNUMBER(SEARCH("平",D6762)),OR(ISNUMBER(SEARCH("上",D6762)),ISNUMBER(SEARCH("去",D6762)),ISNUMBER(SEARCH("入",D6762)))),"Ambiguous",IF(ISNUMBER(SEARCH("平",D6762)),"平","仄")))</x:f>
        <x:v>平</x:v>
      </x:c>
      <x:c r="L6762" s="7" t="str">
        <x:v>Pingshui main list expansion</x:v>
      </x:c>
    </x:row>
    <x:row r="6763">
      <x:c r="A6763" s="5" t="str">
        <x:v>峱</x:v>
      </x:c>
      <x:c r="B6763" s="6" t="str">
        <x:v>平</x:v>
      </x:c>
      <x:c r="C6763" s="6" t="str">
        <x:f>IF(B6763="","Needs decision","Ready")</x:f>
        <x:v>Ready</x:v>
      </x:c>
      <x:c r="D6763" s="6" t="str">
        <x:v>平</x:v>
      </x:c>
      <x:c r="E6763" s="6" t="str"/>
      <x:c r="F6763" s="6" t="str">
        <x:v>下平聲四豪</x:v>
      </x:c>
      <x:c r="G6763" s="6" t="str">
        <x:v>Pingshui main list, Wikisource-derived DOCX</x:v>
      </x:c>
      <x:c r="H6763" s="6" t="str"/>
      <x:c r="I6763" s="6" t="str">
        <x:v>Pingshui main-list expansion; 詞 entries ignored</x:v>
      </x:c>
      <x:c r="J6763" s="6" t="str">
        <x:f>IF(B6763="","",IF(AND(ISNUMBER(SEARCH("平",B6763)),OR(ISNUMBER(SEARCH("上",B6763)),ISNUMBER(SEARCH("去",B6763)),ISNUMBER(SEARCH("入",B6763)))),"Ambiguous",IF(ISNUMBER(SEARCH("平",B6763)),"平","仄")))</x:f>
        <x:v>平</x:v>
      </x:c>
      <x:c r="K6763" s="6" t="str">
        <x:f>IF(D6763="","",IF(AND(ISNUMBER(SEARCH("平",D6763)),OR(ISNUMBER(SEARCH("上",D6763)),ISNUMBER(SEARCH("去",D6763)),ISNUMBER(SEARCH("入",D6763)))),"Ambiguous",IF(ISNUMBER(SEARCH("平",D6763)),"平","仄")))</x:f>
        <x:v>平</x:v>
      </x:c>
      <x:c r="L6763" s="7" t="str">
        <x:v>Pingshui main list expansion</x:v>
      </x:c>
    </x:row>
    <x:row r="6764">
      <x:c r="A6764" s="5" t="str">
        <x:v>峿</x:v>
      </x:c>
      <x:c r="B6764" s="6" t="str">
        <x:v>上</x:v>
      </x:c>
      <x:c r="C6764" s="6" t="str">
        <x:f>IF(B6764="","Needs decision","Ready")</x:f>
        <x:v>Ready</x:v>
      </x:c>
      <x:c r="D6764" s="6" t="str">
        <x:v>上</x:v>
      </x:c>
      <x:c r="E6764" s="6" t="str"/>
      <x:c r="F6764" s="6" t="str">
        <x:v>上聲六語</x:v>
      </x:c>
      <x:c r="G6764" s="6" t="str">
        <x:v>Pingshui main list, Wikisource-derived DOCX</x:v>
      </x:c>
      <x:c r="H6764" s="6" t="str"/>
      <x:c r="I6764" s="6" t="str">
        <x:v>Pingshui main-list expansion; 詞 entries ignored</x:v>
      </x:c>
      <x:c r="J6764" s="6" t="str">
        <x:f>IF(B6764="","",IF(AND(ISNUMBER(SEARCH("平",B6764)),OR(ISNUMBER(SEARCH("上",B6764)),ISNUMBER(SEARCH("去",B6764)),ISNUMBER(SEARCH("入",B6764)))),"Ambiguous",IF(ISNUMBER(SEARCH("平",B6764)),"平","仄")))</x:f>
        <x:v>仄</x:v>
      </x:c>
      <x:c r="K6764" s="6" t="str">
        <x:f>IF(D6764="","",IF(AND(ISNUMBER(SEARCH("平",D6764)),OR(ISNUMBER(SEARCH("上",D6764)),ISNUMBER(SEARCH("去",D6764)),ISNUMBER(SEARCH("入",D6764)))),"Ambiguous",IF(ISNUMBER(SEARCH("平",D6764)),"平","仄")))</x:f>
        <x:v>仄</x:v>
      </x:c>
      <x:c r="L6764" s="7" t="str">
        <x:v>Pingshui main list expansion</x:v>
      </x:c>
    </x:row>
    <x:row r="6765">
      <x:c r="A6765" s="5" t="str">
        <x:v>崋</x:v>
      </x:c>
      <x:c r="B6765" s="6" t="str">
        <x:v>去</x:v>
      </x:c>
      <x:c r="C6765" s="6" t="str">
        <x:f>IF(B6765="","Needs decision","Ready")</x:f>
        <x:v>Ready</x:v>
      </x:c>
      <x:c r="D6765" s="6" t="str">
        <x:v>去</x:v>
      </x:c>
      <x:c r="E6765" s="6" t="str"/>
      <x:c r="F6765" s="6" t="str">
        <x:v>去聲二十二禡</x:v>
      </x:c>
      <x:c r="G6765" s="6" t="str">
        <x:v>Pingshui main list, Wikisource-derived DOCX</x:v>
      </x:c>
      <x:c r="H6765" s="6" t="str"/>
      <x:c r="I6765" s="6" t="str">
        <x:v>Pingshui main-list expansion; 詞 entries ignored</x:v>
      </x:c>
      <x:c r="J6765" s="6" t="str">
        <x:f>IF(B6765="","",IF(AND(ISNUMBER(SEARCH("平",B6765)),OR(ISNUMBER(SEARCH("上",B6765)),ISNUMBER(SEARCH("去",B6765)),ISNUMBER(SEARCH("入",B6765)))),"Ambiguous",IF(ISNUMBER(SEARCH("平",B6765)),"平","仄")))</x:f>
        <x:v>仄</x:v>
      </x:c>
      <x:c r="K6765" s="6" t="str">
        <x:f>IF(D6765="","",IF(AND(ISNUMBER(SEARCH("平",D6765)),OR(ISNUMBER(SEARCH("上",D6765)),ISNUMBER(SEARCH("去",D6765)),ISNUMBER(SEARCH("入",D6765)))),"Ambiguous",IF(ISNUMBER(SEARCH("平",D6765)),"平","仄")))</x:f>
        <x:v>仄</x:v>
      </x:c>
      <x:c r="L6765" s="7" t="str">
        <x:v>Pingshui main list expansion</x:v>
      </x:c>
    </x:row>
    <x:row r="6766">
      <x:c r="A6766" s="5" t="str">
        <x:v>崍</x:v>
      </x:c>
      <x:c r="B6766" s="6" t="str">
        <x:v>平</x:v>
      </x:c>
      <x:c r="C6766" s="6" t="str">
        <x:f>IF(B6766="","Needs decision","Ready")</x:f>
        <x:v>Ready</x:v>
      </x:c>
      <x:c r="D6766" s="6" t="str">
        <x:v>平</x:v>
      </x:c>
      <x:c r="E6766" s="6" t="str"/>
      <x:c r="F6766" s="6" t="str">
        <x:v>上平聲十灰</x:v>
      </x:c>
      <x:c r="G6766" s="6" t="str">
        <x:v>Pingshui main list, Wikisource-derived DOCX</x:v>
      </x:c>
      <x:c r="H6766" s="6" t="str"/>
      <x:c r="I6766" s="6" t="str">
        <x:v>Pingshui main-list expansion; 詞 entries ignored</x:v>
      </x:c>
      <x:c r="J6766" s="6" t="str">
        <x:f>IF(B6766="","",IF(AND(ISNUMBER(SEARCH("平",B6766)),OR(ISNUMBER(SEARCH("上",B6766)),ISNUMBER(SEARCH("去",B6766)),ISNUMBER(SEARCH("入",B6766)))),"Ambiguous",IF(ISNUMBER(SEARCH("平",B6766)),"平","仄")))</x:f>
        <x:v>平</x:v>
      </x:c>
      <x:c r="K6766" s="6" t="str">
        <x:f>IF(D6766="","",IF(AND(ISNUMBER(SEARCH("平",D6766)),OR(ISNUMBER(SEARCH("上",D6766)),ISNUMBER(SEARCH("去",D6766)),ISNUMBER(SEARCH("入",D6766)))),"Ambiguous",IF(ISNUMBER(SEARCH("平",D6766)),"平","仄")))</x:f>
        <x:v>平</x:v>
      </x:c>
      <x:c r="L6766" s="7" t="str">
        <x:v>Pingshui main list expansion</x:v>
      </x:c>
    </x:row>
    <x:row r="6767">
      <x:c r="A6767" s="5" t="str">
        <x:v>崵</x:v>
      </x:c>
      <x:c r="B6767" s="6" t="str">
        <x:v>上</x:v>
      </x:c>
      <x:c r="C6767" s="6" t="str">
        <x:f>IF(B6767="","Needs decision","Ready")</x:f>
        <x:v>Ready</x:v>
      </x:c>
      <x:c r="D6767" s="6" t="str">
        <x:v>上</x:v>
      </x:c>
      <x:c r="E6767" s="6" t="str"/>
      <x:c r="F6767" s="6" t="str">
        <x:v>上聲二十二養</x:v>
      </x:c>
      <x:c r="G6767" s="6" t="str">
        <x:v>Pingshui main list, Wikisource-derived DOCX</x:v>
      </x:c>
      <x:c r="H6767" s="6" t="str"/>
      <x:c r="I6767" s="6" t="str">
        <x:v>Pingshui main-list expansion; 詞 entries ignored</x:v>
      </x:c>
      <x:c r="J6767" s="6" t="str">
        <x:f>IF(B6767="","",IF(AND(ISNUMBER(SEARCH("平",B6767)),OR(ISNUMBER(SEARCH("上",B6767)),ISNUMBER(SEARCH("去",B6767)),ISNUMBER(SEARCH("入",B6767)))),"Ambiguous",IF(ISNUMBER(SEARCH("平",B6767)),"平","仄")))</x:f>
        <x:v>仄</x:v>
      </x:c>
      <x:c r="K6767" s="6" t="str">
        <x:f>IF(D6767="","",IF(AND(ISNUMBER(SEARCH("平",D6767)),OR(ISNUMBER(SEARCH("上",D6767)),ISNUMBER(SEARCH("去",D6767)),ISNUMBER(SEARCH("入",D6767)))),"Ambiguous",IF(ISNUMBER(SEARCH("平",D6767)),"平","仄")))</x:f>
        <x:v>仄</x:v>
      </x:c>
      <x:c r="L6767" s="7" t="str">
        <x:v>Pingshui main list expansion</x:v>
      </x:c>
    </x:row>
    <x:row r="6768">
      <x:c r="A6768" s="5" t="str">
        <x:v>嵃</x:v>
      </x:c>
      <x:c r="B6768" s="6" t="str">
        <x:v>上</x:v>
      </x:c>
      <x:c r="C6768" s="6" t="str">
        <x:f>IF(B6768="","Needs decision","Ready")</x:f>
        <x:v>Ready</x:v>
      </x:c>
      <x:c r="D6768" s="6" t="str">
        <x:v>上</x:v>
      </x:c>
      <x:c r="E6768" s="6" t="str"/>
      <x:c r="F6768" s="6" t="str">
        <x:v>上聲十六銑</x:v>
      </x:c>
      <x:c r="G6768" s="6" t="str">
        <x:v>Pingshui main list, Wikisource-derived DOCX</x:v>
      </x:c>
      <x:c r="H6768" s="6" t="str"/>
      <x:c r="I6768" s="6" t="str">
        <x:v>Pingshui main-list expansion; 詞 entries ignored</x:v>
      </x:c>
      <x:c r="J6768" s="6" t="str">
        <x:f>IF(B6768="","",IF(AND(ISNUMBER(SEARCH("平",B6768)),OR(ISNUMBER(SEARCH("上",B6768)),ISNUMBER(SEARCH("去",B6768)),ISNUMBER(SEARCH("入",B6768)))),"Ambiguous",IF(ISNUMBER(SEARCH("平",B6768)),"平","仄")))</x:f>
        <x:v>仄</x:v>
      </x:c>
      <x:c r="K6768" s="6" t="str">
        <x:f>IF(D6768="","",IF(AND(ISNUMBER(SEARCH("平",D6768)),OR(ISNUMBER(SEARCH("上",D6768)),ISNUMBER(SEARCH("去",D6768)),ISNUMBER(SEARCH("入",D6768)))),"Ambiguous",IF(ISNUMBER(SEARCH("平",D6768)),"平","仄")))</x:f>
        <x:v>仄</x:v>
      </x:c>
      <x:c r="L6768" s="7" t="str">
        <x:v>Pingshui main list expansion</x:v>
      </x:c>
    </x:row>
    <x:row r="6769">
      <x:c r="A6769" s="5" t="str">
        <x:v>嵞</x:v>
      </x:c>
      <x:c r="B6769" s="6" t="str">
        <x:v>平</x:v>
      </x:c>
      <x:c r="C6769" s="6" t="str">
        <x:f>IF(B6769="","Needs decision","Ready")</x:f>
        <x:v>Ready</x:v>
      </x:c>
      <x:c r="D6769" s="6" t="str">
        <x:v>平</x:v>
      </x:c>
      <x:c r="E6769" s="6" t="str"/>
      <x:c r="F6769" s="6" t="str">
        <x:v>上平聲七虞</x:v>
      </x:c>
      <x:c r="G6769" s="6" t="str">
        <x:v>Pingshui main list, Wikisource-derived DOCX</x:v>
      </x:c>
      <x:c r="H6769" s="6" t="str"/>
      <x:c r="I6769" s="6" t="str">
        <x:v>Pingshui main-list expansion; 詞 entries ignored</x:v>
      </x:c>
      <x:c r="J6769" s="6" t="str">
        <x:f>IF(B6769="","",IF(AND(ISNUMBER(SEARCH("平",B6769)),OR(ISNUMBER(SEARCH("上",B6769)),ISNUMBER(SEARCH("去",B6769)),ISNUMBER(SEARCH("入",B6769)))),"Ambiguous",IF(ISNUMBER(SEARCH("平",B6769)),"平","仄")))</x:f>
        <x:v>平</x:v>
      </x:c>
      <x:c r="K6769" s="6" t="str">
        <x:f>IF(D6769="","",IF(AND(ISNUMBER(SEARCH("平",D6769)),OR(ISNUMBER(SEARCH("上",D6769)),ISNUMBER(SEARCH("去",D6769)),ISNUMBER(SEARCH("入",D6769)))),"Ambiguous",IF(ISNUMBER(SEARCH("平",D6769)),"平","仄")))</x:f>
        <x:v>平</x:v>
      </x:c>
      <x:c r="L6769" s="7" t="str">
        <x:v>Pingshui main list expansion</x:v>
      </x:c>
    </x:row>
    <x:row r="6770">
      <x:c r="A6770" s="5" t="str">
        <x:v>嵲</x:v>
      </x:c>
      <x:c r="B6770" s="6" t="str">
        <x:v>入</x:v>
      </x:c>
      <x:c r="C6770" s="6" t="str">
        <x:f>IF(B6770="","Needs decision","Ready")</x:f>
        <x:v>Ready</x:v>
      </x:c>
      <x:c r="D6770" s="6" t="str">
        <x:v>入</x:v>
      </x:c>
      <x:c r="E6770" s="6" t="str"/>
      <x:c r="F6770" s="6" t="str">
        <x:v>入聲九屑</x:v>
      </x:c>
      <x:c r="G6770" s="6" t="str">
        <x:v>Pingshui main list, Wikisource-derived DOCX</x:v>
      </x:c>
      <x:c r="H6770" s="6" t="str"/>
      <x:c r="I6770" s="6" t="str">
        <x:v>Pingshui main-list expansion; 詞 entries ignored</x:v>
      </x:c>
      <x:c r="J6770" s="6" t="str">
        <x:f>IF(B6770="","",IF(AND(ISNUMBER(SEARCH("平",B6770)),OR(ISNUMBER(SEARCH("上",B6770)),ISNUMBER(SEARCH("去",B6770)),ISNUMBER(SEARCH("入",B6770)))),"Ambiguous",IF(ISNUMBER(SEARCH("平",B6770)),"平","仄")))</x:f>
        <x:v>仄</x:v>
      </x:c>
      <x:c r="K6770" s="6" t="str">
        <x:f>IF(D6770="","",IF(AND(ISNUMBER(SEARCH("平",D6770)),OR(ISNUMBER(SEARCH("上",D6770)),ISNUMBER(SEARCH("去",D6770)),ISNUMBER(SEARCH("入",D6770)))),"Ambiguous",IF(ISNUMBER(SEARCH("平",D6770)),"平","仄")))</x:f>
        <x:v>仄</x:v>
      </x:c>
      <x:c r="L6770" s="7" t="str">
        <x:v>Pingshui main list expansion</x:v>
      </x:c>
    </x:row>
    <x:row r="6771">
      <x:c r="A6771" s="5" t="str">
        <x:v>嵷</x:v>
      </x:c>
      <x:c r="B6771" s="6" t="str"/>
      <x:c r="C6771" s="6" t="str">
        <x:f>IF(B6771="","Needs decision","Ready")</x:f>
        <x:v>Needs decision</x:v>
      </x:c>
      <x:c r="D6771" s="6" t="str">
        <x:v>平/上</x:v>
      </x:c>
      <x:c r="E6771" s="6" t="str"/>
      <x:c r="F6771" s="6" t="str">
        <x:v>上平聲一東; 上聲一董</x:v>
      </x:c>
      <x:c r="G6771" s="6" t="str">
        <x:v>Pingshui main list, Wikisource-derived DOCX</x:v>
      </x:c>
      <x:c r="H6771" s="6" t="str"/>
      <x:c r="I6771" s="6" t="str">
        <x:v>Pingshui main-list expansion; 詞 entries ignored</x:v>
      </x:c>
      <x:c r="J6771" s="6" t="str">
        <x:f>IF(B6771="","",IF(AND(ISNUMBER(SEARCH("平",B6771)),OR(ISNUMBER(SEARCH("上",B6771)),ISNUMBER(SEARCH("去",B6771)),ISNUMBER(SEARCH("入",B6771)))),"Ambiguous",IF(ISNUMBER(SEARCH("平",B6771)),"平","仄")))</x:f>
      </x:c>
      <x:c r="K6771" s="6" t="str">
        <x:f>IF(D6771="","",IF(AND(ISNUMBER(SEARCH("平",D6771)),OR(ISNUMBER(SEARCH("上",D6771)),ISNUMBER(SEARCH("去",D6771)),ISNUMBER(SEARCH("入",D6771)))),"Ambiguous",IF(ISNUMBER(SEARCH("平",D6771)),"平","仄")))</x:f>
        <x:v>Ambiguous</x:v>
      </x:c>
      <x:c r="L6771" s="7" t="str">
        <x:v>Pingshui main list expansion</x:v>
      </x:c>
    </x:row>
    <x:row r="6772">
      <x:c r="A6772" s="5" t="str">
        <x:v>嵺</x:v>
      </x:c>
      <x:c r="B6772" s="6" t="str">
        <x:v>平</x:v>
      </x:c>
      <x:c r="C6772" s="6" t="str">
        <x:f>IF(B6772="","Needs decision","Ready")</x:f>
        <x:v>Ready</x:v>
      </x:c>
      <x:c r="D6772" s="6" t="str">
        <x:v>平</x:v>
      </x:c>
      <x:c r="E6772" s="6" t="str"/>
      <x:c r="F6772" s="6" t="str">
        <x:v>下平聲三肴</x:v>
      </x:c>
      <x:c r="G6772" s="6" t="str">
        <x:v>Pingshui main list, Wikisource-derived DOCX</x:v>
      </x:c>
      <x:c r="H6772" s="6" t="str"/>
      <x:c r="I6772" s="6" t="str">
        <x:v>Pingshui main-list expansion; 詞 entries ignored</x:v>
      </x:c>
      <x:c r="J6772" s="6" t="str">
        <x:f>IF(B6772="","",IF(AND(ISNUMBER(SEARCH("平",B6772)),OR(ISNUMBER(SEARCH("上",B6772)),ISNUMBER(SEARCH("去",B6772)),ISNUMBER(SEARCH("入",B6772)))),"Ambiguous",IF(ISNUMBER(SEARCH("平",B6772)),"平","仄")))</x:f>
        <x:v>平</x:v>
      </x:c>
      <x:c r="K6772" s="6" t="str">
        <x:f>IF(D6772="","",IF(AND(ISNUMBER(SEARCH("平",D6772)),OR(ISNUMBER(SEARCH("上",D6772)),ISNUMBER(SEARCH("去",D6772)),ISNUMBER(SEARCH("入",D6772)))),"Ambiguous",IF(ISNUMBER(SEARCH("平",D6772)),"平","仄")))</x:f>
        <x:v>平</x:v>
      </x:c>
      <x:c r="L6772" s="7" t="str">
        <x:v>Pingshui main list expansion</x:v>
      </x:c>
    </x:row>
    <x:row r="6773">
      <x:c r="A6773" s="5" t="str">
        <x:v>嵼</x:v>
      </x:c>
      <x:c r="B6773" s="6" t="str">
        <x:v>上</x:v>
      </x:c>
      <x:c r="C6773" s="6" t="str">
        <x:f>IF(B6773="","Needs decision","Ready")</x:f>
        <x:v>Ready</x:v>
      </x:c>
      <x:c r="D6773" s="6" t="str">
        <x:v>上</x:v>
      </x:c>
      <x:c r="E6773" s="6" t="str"/>
      <x:c r="F6773" s="6" t="str">
        <x:v>上聲十五潸</x:v>
      </x:c>
      <x:c r="G6773" s="6" t="str">
        <x:v>Pingshui main list, Wikisource-derived DOCX</x:v>
      </x:c>
      <x:c r="H6773" s="6" t="str"/>
      <x:c r="I6773" s="6" t="str">
        <x:v>Pingshui main-list expansion; 詞 entries ignored</x:v>
      </x:c>
      <x:c r="J6773" s="6" t="str">
        <x:f>IF(B6773="","",IF(AND(ISNUMBER(SEARCH("平",B6773)),OR(ISNUMBER(SEARCH("上",B6773)),ISNUMBER(SEARCH("去",B6773)),ISNUMBER(SEARCH("入",B6773)))),"Ambiguous",IF(ISNUMBER(SEARCH("平",B6773)),"平","仄")))</x:f>
        <x:v>仄</x:v>
      </x:c>
      <x:c r="K6773" s="6" t="str">
        <x:f>IF(D6773="","",IF(AND(ISNUMBER(SEARCH("平",D6773)),OR(ISNUMBER(SEARCH("上",D6773)),ISNUMBER(SEARCH("去",D6773)),ISNUMBER(SEARCH("入",D6773)))),"Ambiguous",IF(ISNUMBER(SEARCH("平",D6773)),"平","仄")))</x:f>
        <x:v>仄</x:v>
      </x:c>
      <x:c r="L6773" s="7" t="str">
        <x:v>Pingshui main list expansion</x:v>
      </x:c>
    </x:row>
    <x:row r="6774">
      <x:c r="A6774" s="5" t="str">
        <x:v>嵾</x:v>
      </x:c>
      <x:c r="B6774" s="6" t="str">
        <x:v>平</x:v>
      </x:c>
      <x:c r="C6774" s="6" t="str">
        <x:f>IF(B6774="","Needs decision","Ready")</x:f>
        <x:v>Ready</x:v>
      </x:c>
      <x:c r="D6774" s="6" t="str">
        <x:v>平</x:v>
      </x:c>
      <x:c r="E6774" s="6" t="str"/>
      <x:c r="F6774" s="6" t="str">
        <x:v>下平聲十二侵</x:v>
      </x:c>
      <x:c r="G6774" s="6" t="str">
        <x:v>Pingshui main list, Wikisource-derived DOCX</x:v>
      </x:c>
      <x:c r="H6774" s="6" t="str"/>
      <x:c r="I6774" s="6" t="str">
        <x:v>Pingshui main-list expansion; 詞 entries ignored</x:v>
      </x:c>
      <x:c r="J6774" s="6" t="str">
        <x:f>IF(B6774="","",IF(AND(ISNUMBER(SEARCH("平",B6774)),OR(ISNUMBER(SEARCH("上",B6774)),ISNUMBER(SEARCH("去",B6774)),ISNUMBER(SEARCH("入",B6774)))),"Ambiguous",IF(ISNUMBER(SEARCH("平",B6774)),"平","仄")))</x:f>
        <x:v>平</x:v>
      </x:c>
      <x:c r="K6774" s="6" t="str">
        <x:f>IF(D6774="","",IF(AND(ISNUMBER(SEARCH("平",D6774)),OR(ISNUMBER(SEARCH("上",D6774)),ISNUMBER(SEARCH("去",D6774)),ISNUMBER(SEARCH("入",D6774)))),"Ambiguous",IF(ISNUMBER(SEARCH("平",D6774)),"平","仄")))</x:f>
        <x:v>平</x:v>
      </x:c>
      <x:c r="L6774" s="7" t="str">
        <x:v>Pingshui main list expansion</x:v>
      </x:c>
    </x:row>
    <x:row r="6775">
      <x:c r="A6775" s="5" t="str">
        <x:v>嶁</x:v>
      </x:c>
      <x:c r="B6775" s="6" t="str">
        <x:v>上</x:v>
      </x:c>
      <x:c r="C6775" s="6" t="str">
        <x:f>IF(B6775="","Needs decision","Ready")</x:f>
        <x:v>Ready</x:v>
      </x:c>
      <x:c r="D6775" s="6" t="str">
        <x:v>上</x:v>
      </x:c>
      <x:c r="E6775" s="6" t="str"/>
      <x:c r="F6775" s="6" t="str">
        <x:v>上聲七麌; 上聲二十五有</x:v>
      </x:c>
      <x:c r="G6775" s="6" t="str">
        <x:v>Pingshui main list, Wikisource-derived DOCX</x:v>
      </x:c>
      <x:c r="H6775" s="6" t="str"/>
      <x:c r="I6775" s="6" t="str">
        <x:v>Pingshui main-list expansion; 詞 entries ignored</x:v>
      </x:c>
      <x:c r="J6775" s="6" t="str">
        <x:f>IF(B6775="","",IF(AND(ISNUMBER(SEARCH("平",B6775)),OR(ISNUMBER(SEARCH("上",B6775)),ISNUMBER(SEARCH("去",B6775)),ISNUMBER(SEARCH("入",B6775)))),"Ambiguous",IF(ISNUMBER(SEARCH("平",B6775)),"平","仄")))</x:f>
        <x:v>仄</x:v>
      </x:c>
      <x:c r="K6775" s="6" t="str">
        <x:f>IF(D6775="","",IF(AND(ISNUMBER(SEARCH("平",D6775)),OR(ISNUMBER(SEARCH("上",D6775)),ISNUMBER(SEARCH("去",D6775)),ISNUMBER(SEARCH("入",D6775)))),"Ambiguous",IF(ISNUMBER(SEARCH("平",D6775)),"平","仄")))</x:f>
        <x:v>仄</x:v>
      </x:c>
      <x:c r="L6775" s="7" t="str">
        <x:v>Pingshui main list expansion</x:v>
      </x:c>
    </x:row>
    <x:row r="6776">
      <x:c r="A6776" s="5" t="str">
        <x:v>嶆</x:v>
      </x:c>
      <x:c r="B6776" s="6" t="str">
        <x:v>平</x:v>
      </x:c>
      <x:c r="C6776" s="6" t="str">
        <x:f>IF(B6776="","Needs decision","Ready")</x:f>
        <x:v>Ready</x:v>
      </x:c>
      <x:c r="D6776" s="6" t="str">
        <x:v>平</x:v>
      </x:c>
      <x:c r="E6776" s="6" t="str"/>
      <x:c r="F6776" s="6" t="str">
        <x:v>下平聲四豪</x:v>
      </x:c>
      <x:c r="G6776" s="6" t="str">
        <x:v>Pingshui main list, Wikisource-derived DOCX</x:v>
      </x:c>
      <x:c r="H6776" s="6" t="str"/>
      <x:c r="I6776" s="6" t="str">
        <x:v>Pingshui main-list expansion; 詞 entries ignored</x:v>
      </x:c>
      <x:c r="J6776" s="6" t="str">
        <x:f>IF(B6776="","",IF(AND(ISNUMBER(SEARCH("平",B6776)),OR(ISNUMBER(SEARCH("上",B6776)),ISNUMBER(SEARCH("去",B6776)),ISNUMBER(SEARCH("入",B6776)))),"Ambiguous",IF(ISNUMBER(SEARCH("平",B6776)),"平","仄")))</x:f>
        <x:v>平</x:v>
      </x:c>
      <x:c r="K6776" s="6" t="str">
        <x:f>IF(D6776="","",IF(AND(ISNUMBER(SEARCH("平",D6776)),OR(ISNUMBER(SEARCH("上",D6776)),ISNUMBER(SEARCH("去",D6776)),ISNUMBER(SEARCH("入",D6776)))),"Ambiguous",IF(ISNUMBER(SEARCH("平",D6776)),"平","仄")))</x:f>
        <x:v>平</x:v>
      </x:c>
      <x:c r="L6776" s="7" t="str">
        <x:v>Pingshui main list expansion</x:v>
      </x:c>
    </x:row>
    <x:row r="6777">
      <x:c r="A6777" s="5" t="str">
        <x:v>嶈</x:v>
      </x:c>
      <x:c r="B6777" s="6" t="str">
        <x:v>平</x:v>
      </x:c>
      <x:c r="C6777" s="6" t="str">
        <x:f>IF(B6777="","Needs decision","Ready")</x:f>
        <x:v>Ready</x:v>
      </x:c>
      <x:c r="D6777" s="6" t="str">
        <x:v>平</x:v>
      </x:c>
      <x:c r="E6777" s="6" t="str"/>
      <x:c r="F6777" s="6" t="str">
        <x:v>下平聲七陽</x:v>
      </x:c>
      <x:c r="G6777" s="6" t="str">
        <x:v>Pingshui main list, Wikisource-derived DOCX</x:v>
      </x:c>
      <x:c r="H6777" s="6" t="str"/>
      <x:c r="I6777" s="6" t="str">
        <x:v>Pingshui main-list expansion; 詞 entries ignored</x:v>
      </x:c>
      <x:c r="J6777" s="6" t="str">
        <x:f>IF(B6777="","",IF(AND(ISNUMBER(SEARCH("平",B6777)),OR(ISNUMBER(SEARCH("上",B6777)),ISNUMBER(SEARCH("去",B6777)),ISNUMBER(SEARCH("入",B6777)))),"Ambiguous",IF(ISNUMBER(SEARCH("平",B6777)),"平","仄")))</x:f>
        <x:v>平</x:v>
      </x:c>
      <x:c r="K6777" s="6" t="str">
        <x:f>IF(D6777="","",IF(AND(ISNUMBER(SEARCH("平",D6777)),OR(ISNUMBER(SEARCH("上",D6777)),ISNUMBER(SEARCH("去",D6777)),ISNUMBER(SEARCH("入",D6777)))),"Ambiguous",IF(ISNUMBER(SEARCH("平",D6777)),"平","仄")))</x:f>
        <x:v>平</x:v>
      </x:c>
      <x:c r="L6777" s="7" t="str">
        <x:v>Pingshui main list expansion</x:v>
      </x:c>
    </x:row>
    <x:row r="6778">
      <x:c r="A6778" s="5" t="str">
        <x:v>嶓</x:v>
      </x:c>
      <x:c r="B6778" s="6" t="str">
        <x:v>平</x:v>
      </x:c>
      <x:c r="C6778" s="6" t="str">
        <x:f>IF(B6778="","Needs decision","Ready")</x:f>
        <x:v>Ready</x:v>
      </x:c>
      <x:c r="D6778" s="6" t="str">
        <x:v>平</x:v>
      </x:c>
      <x:c r="E6778" s="6" t="str"/>
      <x:c r="F6778" s="6" t="str">
        <x:v>下平聲五歌</x:v>
      </x:c>
      <x:c r="G6778" s="6" t="str">
        <x:v>Pingshui main list, Wikisource-derived DOCX</x:v>
      </x:c>
      <x:c r="H6778" s="6" t="str"/>
      <x:c r="I6778" s="6" t="str">
        <x:v>Pingshui main-list expansion; 詞 entries ignored</x:v>
      </x:c>
      <x:c r="J6778" s="6" t="str">
        <x:f>IF(B6778="","",IF(AND(ISNUMBER(SEARCH("平",B6778)),OR(ISNUMBER(SEARCH("上",B6778)),ISNUMBER(SEARCH("去",B6778)),ISNUMBER(SEARCH("入",B6778)))),"Ambiguous",IF(ISNUMBER(SEARCH("平",B6778)),"平","仄")))</x:f>
        <x:v>平</x:v>
      </x:c>
      <x:c r="K6778" s="6" t="str">
        <x:f>IF(D6778="","",IF(AND(ISNUMBER(SEARCH("平",D6778)),OR(ISNUMBER(SEARCH("上",D6778)),ISNUMBER(SEARCH("去",D6778)),ISNUMBER(SEARCH("入",D6778)))),"Ambiguous",IF(ISNUMBER(SEARCH("平",D6778)),"平","仄")))</x:f>
        <x:v>平</x:v>
      </x:c>
      <x:c r="L6778" s="7" t="str">
        <x:v>Pingshui main list expansion</x:v>
      </x:c>
    </x:row>
    <x:row r="6779">
      <x:c r="A6779" s="5" t="str">
        <x:v>嶞</x:v>
      </x:c>
      <x:c r="B6779" s="6" t="str">
        <x:v>上</x:v>
      </x:c>
      <x:c r="C6779" s="6" t="str">
        <x:f>IF(B6779="","Needs decision","Ready")</x:f>
        <x:v>Ready</x:v>
      </x:c>
      <x:c r="D6779" s="6" t="str">
        <x:v>上</x:v>
      </x:c>
      <x:c r="E6779" s="6" t="str"/>
      <x:c r="F6779" s="6" t="str">
        <x:v>上聲二十哿</x:v>
      </x:c>
      <x:c r="G6779" s="6" t="str">
        <x:v>Pingshui main list, Wikisource-derived DOCX</x:v>
      </x:c>
      <x:c r="H6779" s="6" t="str"/>
      <x:c r="I6779" s="6" t="str">
        <x:v>Pingshui main-list expansion; 詞 entries ignored</x:v>
      </x:c>
      <x:c r="J6779" s="6" t="str">
        <x:f>IF(B6779="","",IF(AND(ISNUMBER(SEARCH("平",B6779)),OR(ISNUMBER(SEARCH("上",B6779)),ISNUMBER(SEARCH("去",B6779)),ISNUMBER(SEARCH("入",B6779)))),"Ambiguous",IF(ISNUMBER(SEARCH("平",B6779)),"平","仄")))</x:f>
        <x:v>仄</x:v>
      </x:c>
      <x:c r="K6779" s="6" t="str">
        <x:f>IF(D6779="","",IF(AND(ISNUMBER(SEARCH("平",D6779)),OR(ISNUMBER(SEARCH("上",D6779)),ISNUMBER(SEARCH("去",D6779)),ISNUMBER(SEARCH("入",D6779)))),"Ambiguous",IF(ISNUMBER(SEARCH("平",D6779)),"平","仄")))</x:f>
        <x:v>仄</x:v>
      </x:c>
      <x:c r="L6779" s="7" t="str">
        <x:v>Pingshui main list expansion</x:v>
      </x:c>
    </x:row>
    <x:row r="6780">
      <x:c r="A6780" s="5" t="str">
        <x:v>嶟</x:v>
      </x:c>
      <x:c r="B6780" s="6" t="str">
        <x:v>平</x:v>
      </x:c>
      <x:c r="C6780" s="6" t="str">
        <x:f>IF(B6780="","Needs decision","Ready")</x:f>
        <x:v>Ready</x:v>
      </x:c>
      <x:c r="D6780" s="6" t="str">
        <x:v>平</x:v>
      </x:c>
      <x:c r="E6780" s="6" t="str"/>
      <x:c r="F6780" s="6" t="str">
        <x:v>上平聲十三元</x:v>
      </x:c>
      <x:c r="G6780" s="6" t="str">
        <x:v>Pingshui main list, Wikisource-derived DOCX</x:v>
      </x:c>
      <x:c r="H6780" s="6" t="str"/>
      <x:c r="I6780" s="6" t="str">
        <x:v>Pingshui main-list expansion; 詞 entries ignored</x:v>
      </x:c>
      <x:c r="J6780" s="6" t="str">
        <x:f>IF(B6780="","",IF(AND(ISNUMBER(SEARCH("平",B6780)),OR(ISNUMBER(SEARCH("上",B6780)),ISNUMBER(SEARCH("去",B6780)),ISNUMBER(SEARCH("入",B6780)))),"Ambiguous",IF(ISNUMBER(SEARCH("平",B6780)),"平","仄")))</x:f>
        <x:v>平</x:v>
      </x:c>
      <x:c r="K6780" s="6" t="str">
        <x:f>IF(D6780="","",IF(AND(ISNUMBER(SEARCH("平",D6780)),OR(ISNUMBER(SEARCH("上",D6780)),ISNUMBER(SEARCH("去",D6780)),ISNUMBER(SEARCH("入",D6780)))),"Ambiguous",IF(ISNUMBER(SEARCH("平",D6780)),"平","仄")))</x:f>
        <x:v>平</x:v>
      </x:c>
      <x:c r="L6780" s="7" t="str">
        <x:v>Pingshui main list expansion</x:v>
      </x:c>
    </x:row>
    <x:row r="6781">
      <x:c r="A6781" s="5" t="str">
        <x:v>嶨</x:v>
      </x:c>
      <x:c r="B6781" s="6" t="str">
        <x:v>入</x:v>
      </x:c>
      <x:c r="C6781" s="6" t="str">
        <x:f>IF(B6781="","Needs decision","Ready")</x:f>
        <x:v>Ready</x:v>
      </x:c>
      <x:c r="D6781" s="6" t="str">
        <x:v>入</x:v>
      </x:c>
      <x:c r="E6781" s="6" t="str"/>
      <x:c r="F6781" s="6" t="str">
        <x:v>入聲三覺</x:v>
      </x:c>
      <x:c r="G6781" s="6" t="str">
        <x:v>Pingshui main list, Wikisource-derived DOCX</x:v>
      </x:c>
      <x:c r="H6781" s="6" t="str"/>
      <x:c r="I6781" s="6" t="str">
        <x:v>Pingshui main-list expansion; 詞 entries ignored</x:v>
      </x:c>
      <x:c r="J6781" s="6" t="str">
        <x:f>IF(B6781="","",IF(AND(ISNUMBER(SEARCH("平",B6781)),OR(ISNUMBER(SEARCH("上",B6781)),ISNUMBER(SEARCH("去",B6781)),ISNUMBER(SEARCH("入",B6781)))),"Ambiguous",IF(ISNUMBER(SEARCH("平",B6781)),"平","仄")))</x:f>
        <x:v>仄</x:v>
      </x:c>
      <x:c r="K6781" s="6" t="str">
        <x:f>IF(D6781="","",IF(AND(ISNUMBER(SEARCH("平",D6781)),OR(ISNUMBER(SEARCH("上",D6781)),ISNUMBER(SEARCH("去",D6781)),ISNUMBER(SEARCH("入",D6781)))),"Ambiguous",IF(ISNUMBER(SEARCH("平",D6781)),"平","仄")))</x:f>
        <x:v>仄</x:v>
      </x:c>
      <x:c r="L6781" s="7" t="str">
        <x:v>Pingshui main list expansion</x:v>
      </x:c>
    </x:row>
    <x:row r="6782">
      <x:c r="A6782" s="5" t="str">
        <x:v>嶭</x:v>
      </x:c>
      <x:c r="B6782" s="6" t="str">
        <x:v>入</x:v>
      </x:c>
      <x:c r="C6782" s="6" t="str">
        <x:f>IF(B6782="","Needs decision","Ready")</x:f>
        <x:v>Ready</x:v>
      </x:c>
      <x:c r="D6782" s="6" t="str">
        <x:v>入</x:v>
      </x:c>
      <x:c r="E6782" s="6" t="str"/>
      <x:c r="F6782" s="6" t="str">
        <x:v>入聲七曷; 入聲九屑</x:v>
      </x:c>
      <x:c r="G6782" s="6" t="str">
        <x:v>Pingshui main list, Wikisource-derived DOCX</x:v>
      </x:c>
      <x:c r="H6782" s="6" t="str"/>
      <x:c r="I6782" s="6" t="str">
        <x:v>Pingshui main-list expansion; 詞 entries ignored</x:v>
      </x:c>
      <x:c r="J6782" s="6" t="str">
        <x:f>IF(B6782="","",IF(AND(ISNUMBER(SEARCH("平",B6782)),OR(ISNUMBER(SEARCH("上",B6782)),ISNUMBER(SEARCH("去",B6782)),ISNUMBER(SEARCH("入",B6782)))),"Ambiguous",IF(ISNUMBER(SEARCH("平",B6782)),"平","仄")))</x:f>
        <x:v>仄</x:v>
      </x:c>
      <x:c r="K6782" s="6" t="str">
        <x:f>IF(D6782="","",IF(AND(ISNUMBER(SEARCH("平",D6782)),OR(ISNUMBER(SEARCH("上",D6782)),ISNUMBER(SEARCH("去",D6782)),ISNUMBER(SEARCH("入",D6782)))),"Ambiguous",IF(ISNUMBER(SEARCH("平",D6782)),"平","仄")))</x:f>
        <x:v>仄</x:v>
      </x:c>
      <x:c r="L6782" s="7" t="str">
        <x:v>Pingshui main list expansion</x:v>
      </x:c>
    </x:row>
    <x:row r="6783">
      <x:c r="A6783" s="5" t="str">
        <x:v>嶲</x:v>
      </x:c>
      <x:c r="B6783" s="6" t="str"/>
      <x:c r="C6783" s="6" t="str">
        <x:f>IF(B6783="","Needs decision","Ready")</x:f>
        <x:v>Needs decision</x:v>
      </x:c>
      <x:c r="D6783" s="6" t="str">
        <x:v>平/上</x:v>
      </x:c>
      <x:c r="E6783" s="6" t="str"/>
      <x:c r="F6783" s="6" t="str">
        <x:v>上平聲八齊; 上聲四紙</x:v>
      </x:c>
      <x:c r="G6783" s="6" t="str">
        <x:v>Pingshui main list, Wikisource-derived DOCX</x:v>
      </x:c>
      <x:c r="H6783" s="6" t="str"/>
      <x:c r="I6783" s="6" t="str">
        <x:v>Pingshui main-list expansion; 詞 entries ignored</x:v>
      </x:c>
      <x:c r="J6783" s="6" t="str">
        <x:f>IF(B6783="","",IF(AND(ISNUMBER(SEARCH("平",B6783)),OR(ISNUMBER(SEARCH("上",B6783)),ISNUMBER(SEARCH("去",B6783)),ISNUMBER(SEARCH("入",B6783)))),"Ambiguous",IF(ISNUMBER(SEARCH("平",B6783)),"平","仄")))</x:f>
      </x:c>
      <x:c r="K6783" s="6" t="str">
        <x:f>IF(D6783="","",IF(AND(ISNUMBER(SEARCH("平",D6783)),OR(ISNUMBER(SEARCH("上",D6783)),ISNUMBER(SEARCH("去",D6783)),ISNUMBER(SEARCH("入",D6783)))),"Ambiguous",IF(ISNUMBER(SEARCH("平",D6783)),"平","仄")))</x:f>
        <x:v>Ambiguous</x:v>
      </x:c>
      <x:c r="L6783" s="7" t="str">
        <x:v>Pingshui main list expansion</x:v>
      </x:c>
    </x:row>
    <x:row r="6784">
      <x:c r="A6784" s="5" t="str">
        <x:v>嶵</x:v>
      </x:c>
      <x:c r="B6784" s="6" t="str">
        <x:v>上</x:v>
      </x:c>
      <x:c r="C6784" s="6" t="str">
        <x:f>IF(B6784="","Needs decision","Ready")</x:f>
        <x:v>Ready</x:v>
      </x:c>
      <x:c r="D6784" s="6" t="str">
        <x:v>上</x:v>
      </x:c>
      <x:c r="E6784" s="6" t="str"/>
      <x:c r="F6784" s="6" t="str">
        <x:v>上聲十賄</x:v>
      </x:c>
      <x:c r="G6784" s="6" t="str">
        <x:v>Pingshui main list, Wikisource-derived DOCX</x:v>
      </x:c>
      <x:c r="H6784" s="6" t="str"/>
      <x:c r="I6784" s="6" t="str">
        <x:v>Pingshui main-list expansion; 詞 entries ignored</x:v>
      </x:c>
      <x:c r="J6784" s="6" t="str">
        <x:f>IF(B6784="","",IF(AND(ISNUMBER(SEARCH("平",B6784)),OR(ISNUMBER(SEARCH("上",B6784)),ISNUMBER(SEARCH("去",B6784)),ISNUMBER(SEARCH("入",B6784)))),"Ambiguous",IF(ISNUMBER(SEARCH("平",B6784)),"平","仄")))</x:f>
        <x:v>仄</x:v>
      </x:c>
      <x:c r="K6784" s="6" t="str">
        <x:f>IF(D6784="","",IF(AND(ISNUMBER(SEARCH("平",D6784)),OR(ISNUMBER(SEARCH("上",D6784)),ISNUMBER(SEARCH("去",D6784)),ISNUMBER(SEARCH("入",D6784)))),"Ambiguous",IF(ISNUMBER(SEARCH("平",D6784)),"平","仄")))</x:f>
        <x:v>仄</x:v>
      </x:c>
      <x:c r="L6784" s="7" t="str">
        <x:v>Pingshui main list expansion</x:v>
      </x:c>
    </x:row>
    <x:row r="6785">
      <x:c r="A6785" s="5" t="str">
        <x:v>巀</x:v>
      </x:c>
      <x:c r="B6785" s="6" t="str">
        <x:v>入</x:v>
      </x:c>
      <x:c r="C6785" s="6" t="str">
        <x:f>IF(B6785="","Needs decision","Ready")</x:f>
        <x:v>Ready</x:v>
      </x:c>
      <x:c r="D6785" s="6" t="str">
        <x:v>入</x:v>
      </x:c>
      <x:c r="E6785" s="6" t="str"/>
      <x:c r="F6785" s="6" t="str">
        <x:v>入聲九屑</x:v>
      </x:c>
      <x:c r="G6785" s="6" t="str">
        <x:v>Pingshui main list, Wikisource-derived DOCX</x:v>
      </x:c>
      <x:c r="H6785" s="6" t="str"/>
      <x:c r="I6785" s="6" t="str">
        <x:v>Pingshui main-list expansion; 詞 entries ignored</x:v>
      </x:c>
      <x:c r="J6785" s="6" t="str">
        <x:f>IF(B6785="","",IF(AND(ISNUMBER(SEARCH("平",B6785)),OR(ISNUMBER(SEARCH("上",B6785)),ISNUMBER(SEARCH("去",B6785)),ISNUMBER(SEARCH("入",B6785)))),"Ambiguous",IF(ISNUMBER(SEARCH("平",B6785)),"平","仄")))</x:f>
        <x:v>仄</x:v>
      </x:c>
      <x:c r="K6785" s="6" t="str">
        <x:f>IF(D6785="","",IF(AND(ISNUMBER(SEARCH("平",D6785)),OR(ISNUMBER(SEARCH("上",D6785)),ISNUMBER(SEARCH("去",D6785)),ISNUMBER(SEARCH("入",D6785)))),"Ambiguous",IF(ISNUMBER(SEARCH("平",D6785)),"平","仄")))</x:f>
        <x:v>仄</x:v>
      </x:c>
      <x:c r="L6785" s="7" t="str">
        <x:v>Pingshui main list expansion</x:v>
      </x:c>
    </x:row>
    <x:row r="6786">
      <x:c r="A6786" s="5" t="str">
        <x:v>巆</x:v>
      </x:c>
      <x:c r="B6786" s="6" t="str">
        <x:v>平</x:v>
      </x:c>
      <x:c r="C6786" s="6" t="str">
        <x:f>IF(B6786="","Needs decision","Ready")</x:f>
        <x:v>Ready</x:v>
      </x:c>
      <x:c r="D6786" s="6" t="str">
        <x:v>平</x:v>
      </x:c>
      <x:c r="E6786" s="6" t="str"/>
      <x:c r="F6786" s="6" t="str">
        <x:v>下平聲八庚</x:v>
      </x:c>
      <x:c r="G6786" s="6" t="str">
        <x:v>Pingshui main list, Wikisource-derived DOCX</x:v>
      </x:c>
      <x:c r="H6786" s="6" t="str"/>
      <x:c r="I6786" s="6" t="str">
        <x:v>Pingshui main-list expansion; 詞 entries ignored</x:v>
      </x:c>
      <x:c r="J6786" s="6" t="str">
        <x:f>IF(B6786="","",IF(AND(ISNUMBER(SEARCH("平",B6786)),OR(ISNUMBER(SEARCH("上",B6786)),ISNUMBER(SEARCH("去",B6786)),ISNUMBER(SEARCH("入",B6786)))),"Ambiguous",IF(ISNUMBER(SEARCH("平",B6786)),"平","仄")))</x:f>
        <x:v>平</x:v>
      </x:c>
      <x:c r="K6786" s="6" t="str">
        <x:f>IF(D6786="","",IF(AND(ISNUMBER(SEARCH("平",D6786)),OR(ISNUMBER(SEARCH("上",D6786)),ISNUMBER(SEARCH("去",D6786)),ISNUMBER(SEARCH("入",D6786)))),"Ambiguous",IF(ISNUMBER(SEARCH("平",D6786)),"平","仄")))</x:f>
        <x:v>平</x:v>
      </x:c>
      <x:c r="L6786" s="7" t="str">
        <x:v>Pingshui main list expansion</x:v>
      </x:c>
    </x:row>
    <x:row r="6787">
      <x:c r="A6787" s="5" t="str">
        <x:v>帑</x:v>
      </x:c>
      <x:c r="B6787" s="6" t="str"/>
      <x:c r="C6787" s="6" t="str">
        <x:f>IF(B6787="","Needs decision","Ready")</x:f>
        <x:v>Needs decision</x:v>
      </x:c>
      <x:c r="D6787" s="6" t="str">
        <x:v>平/上</x:v>
      </x:c>
      <x:c r="E6787" s="6" t="str"/>
      <x:c r="F6787" s="6" t="str">
        <x:v>上平聲七虞; 上聲二十二養</x:v>
      </x:c>
      <x:c r="G6787" s="6" t="str">
        <x:v>Pingshui main list, Wikisource-derived DOCX</x:v>
      </x:c>
      <x:c r="H6787" s="6" t="str"/>
      <x:c r="I6787" s="6" t="str">
        <x:v>Pingshui main-list expansion; 詞 entries ignored</x:v>
      </x:c>
      <x:c r="J6787" s="6" t="str">
        <x:f>IF(B6787="","",IF(AND(ISNUMBER(SEARCH("平",B6787)),OR(ISNUMBER(SEARCH("上",B6787)),ISNUMBER(SEARCH("去",B6787)),ISNUMBER(SEARCH("入",B6787)))),"Ambiguous",IF(ISNUMBER(SEARCH("平",B6787)),"平","仄")))</x:f>
      </x:c>
      <x:c r="K6787" s="6" t="str">
        <x:f>IF(D6787="","",IF(AND(ISNUMBER(SEARCH("平",D6787)),OR(ISNUMBER(SEARCH("上",D6787)),ISNUMBER(SEARCH("去",D6787)),ISNUMBER(SEARCH("入",D6787)))),"Ambiguous",IF(ISNUMBER(SEARCH("平",D6787)),"平","仄")))</x:f>
        <x:v>Ambiguous</x:v>
      </x:c>
      <x:c r="L6787" s="7" t="str">
        <x:v>Pingshui main list expansion</x:v>
      </x:c>
    </x:row>
    <x:row r="6788">
      <x:c r="A6788" s="5" t="str">
        <x:v>帢</x:v>
      </x:c>
      <x:c r="B6788" s="6" t="str">
        <x:v>入</x:v>
      </x:c>
      <x:c r="C6788" s="6" t="str">
        <x:f>IF(B6788="","Needs decision","Ready")</x:f>
        <x:v>Ready</x:v>
      </x:c>
      <x:c r="D6788" s="6" t="str">
        <x:v>入</x:v>
      </x:c>
      <x:c r="E6788" s="6" t="str"/>
      <x:c r="F6788" s="6" t="str">
        <x:v>入聲十七洽</x:v>
      </x:c>
      <x:c r="G6788" s="6" t="str">
        <x:v>Pingshui main list, Wikisource-derived DOCX</x:v>
      </x:c>
      <x:c r="H6788" s="6" t="str"/>
      <x:c r="I6788" s="6" t="str">
        <x:v>Pingshui main-list expansion; 詞 entries ignored</x:v>
      </x:c>
      <x:c r="J6788" s="6" t="str">
        <x:f>IF(B6788="","",IF(AND(ISNUMBER(SEARCH("平",B6788)),OR(ISNUMBER(SEARCH("上",B6788)),ISNUMBER(SEARCH("去",B6788)),ISNUMBER(SEARCH("入",B6788)))),"Ambiguous",IF(ISNUMBER(SEARCH("平",B6788)),"平","仄")))</x:f>
        <x:v>仄</x:v>
      </x:c>
      <x:c r="K6788" s="6" t="str">
        <x:f>IF(D6788="","",IF(AND(ISNUMBER(SEARCH("平",D6788)),OR(ISNUMBER(SEARCH("上",D6788)),ISNUMBER(SEARCH("去",D6788)),ISNUMBER(SEARCH("入",D6788)))),"Ambiguous",IF(ISNUMBER(SEARCH("平",D6788)),"平","仄")))</x:f>
        <x:v>仄</x:v>
      </x:c>
      <x:c r="L6788" s="7" t="str">
        <x:v>Pingshui main list expansion</x:v>
      </x:c>
    </x:row>
    <x:row r="6789">
      <x:c r="A6789" s="5" t="str">
        <x:v>帤</x:v>
      </x:c>
      <x:c r="B6789" s="6" t="str">
        <x:v>平</x:v>
      </x:c>
      <x:c r="C6789" s="6" t="str">
        <x:f>IF(B6789="","Needs decision","Ready")</x:f>
        <x:v>Ready</x:v>
      </x:c>
      <x:c r="D6789" s="6" t="str">
        <x:v>平</x:v>
      </x:c>
      <x:c r="E6789" s="6" t="str"/>
      <x:c r="F6789" s="6" t="str">
        <x:v>上平聲六魚</x:v>
      </x:c>
      <x:c r="G6789" s="6" t="str">
        <x:v>Pingshui main list, Wikisource-derived DOCX</x:v>
      </x:c>
      <x:c r="H6789" s="6" t="str"/>
      <x:c r="I6789" s="6" t="str">
        <x:v>Pingshui main-list expansion; 詞 entries ignored</x:v>
      </x:c>
      <x:c r="J6789" s="6" t="str">
        <x:f>IF(B6789="","",IF(AND(ISNUMBER(SEARCH("平",B6789)),OR(ISNUMBER(SEARCH("上",B6789)),ISNUMBER(SEARCH("去",B6789)),ISNUMBER(SEARCH("入",B6789)))),"Ambiguous",IF(ISNUMBER(SEARCH("平",B6789)),"平","仄")))</x:f>
        <x:v>平</x:v>
      </x:c>
      <x:c r="K6789" s="6" t="str">
        <x:f>IF(D6789="","",IF(AND(ISNUMBER(SEARCH("平",D6789)),OR(ISNUMBER(SEARCH("上",D6789)),ISNUMBER(SEARCH("去",D6789)),ISNUMBER(SEARCH("入",D6789)))),"Ambiguous",IF(ISNUMBER(SEARCH("平",D6789)),"平","仄")))</x:f>
        <x:v>平</x:v>
      </x:c>
      <x:c r="L6789" s="7" t="str">
        <x:v>Pingshui main list expansion</x:v>
      </x:c>
    </x:row>
    <x:row r="6790">
      <x:c r="A6790" s="5" t="str">
        <x:v>幏</x:v>
      </x:c>
      <x:c r="B6790" s="6" t="str">
        <x:v>平</x:v>
      </x:c>
      <x:c r="C6790" s="6" t="str">
        <x:f>IF(B6790="","Needs decision","Ready")</x:f>
        <x:v>Ready</x:v>
      </x:c>
      <x:c r="D6790" s="6" t="str">
        <x:v>平</x:v>
      </x:c>
      <x:c r="E6790" s="6" t="str"/>
      <x:c r="F6790" s="6" t="str">
        <x:v>下平聲六麻</x:v>
      </x:c>
      <x:c r="G6790" s="6" t="str">
        <x:v>Pingshui main list, Wikisource-derived DOCX</x:v>
      </x:c>
      <x:c r="H6790" s="6" t="str"/>
      <x:c r="I6790" s="6" t="str">
        <x:v>Pingshui main-list expansion; 詞 entries ignored</x:v>
      </x:c>
      <x:c r="J6790" s="6" t="str">
        <x:f>IF(B6790="","",IF(AND(ISNUMBER(SEARCH("平",B6790)),OR(ISNUMBER(SEARCH("上",B6790)),ISNUMBER(SEARCH("去",B6790)),ISNUMBER(SEARCH("入",B6790)))),"Ambiguous",IF(ISNUMBER(SEARCH("平",B6790)),"平","仄")))</x:f>
        <x:v>平</x:v>
      </x:c>
      <x:c r="K6790" s="6" t="str">
        <x:f>IF(D6790="","",IF(AND(ISNUMBER(SEARCH("平",D6790)),OR(ISNUMBER(SEARCH("上",D6790)),ISNUMBER(SEARCH("去",D6790)),ISNUMBER(SEARCH("入",D6790)))),"Ambiguous",IF(ISNUMBER(SEARCH("平",D6790)),"平","仄")))</x:f>
        <x:v>平</x:v>
      </x:c>
      <x:c r="L6790" s="7" t="str">
        <x:v>Pingshui main list expansion</x:v>
      </x:c>
    </x:row>
    <x:row r="6791">
      <x:c r="A6791" s="5" t="str">
        <x:v>幝</x:v>
      </x:c>
      <x:c r="B6791" s="6" t="str">
        <x:v>上</x:v>
      </x:c>
      <x:c r="C6791" s="6" t="str">
        <x:f>IF(B6791="","Needs decision","Ready")</x:f>
        <x:v>Ready</x:v>
      </x:c>
      <x:c r="D6791" s="6" t="str">
        <x:v>上</x:v>
      </x:c>
      <x:c r="E6791" s="6" t="str"/>
      <x:c r="F6791" s="6" t="str">
        <x:v>上聲十六銑</x:v>
      </x:c>
      <x:c r="G6791" s="6" t="str">
        <x:v>Pingshui main list, Wikisource-derived DOCX</x:v>
      </x:c>
      <x:c r="H6791" s="6" t="str"/>
      <x:c r="I6791" s="6" t="str">
        <x:v>Pingshui main-list expansion; 詞 entries ignored</x:v>
      </x:c>
      <x:c r="J6791" s="6" t="str">
        <x:f>IF(B6791="","",IF(AND(ISNUMBER(SEARCH("平",B6791)),OR(ISNUMBER(SEARCH("上",B6791)),ISNUMBER(SEARCH("去",B6791)),ISNUMBER(SEARCH("入",B6791)))),"Ambiguous",IF(ISNUMBER(SEARCH("平",B6791)),"平","仄")))</x:f>
        <x:v>仄</x:v>
      </x:c>
      <x:c r="K6791" s="6" t="str">
        <x:f>IF(D6791="","",IF(AND(ISNUMBER(SEARCH("平",D6791)),OR(ISNUMBER(SEARCH("上",D6791)),ISNUMBER(SEARCH("去",D6791)),ISNUMBER(SEARCH("入",D6791)))),"Ambiguous",IF(ISNUMBER(SEARCH("平",D6791)),"平","仄")))</x:f>
        <x:v>仄</x:v>
      </x:c>
      <x:c r="L6791" s="7" t="str">
        <x:v>Pingshui main list expansion</x:v>
      </x:c>
    </x:row>
    <x:row r="6792">
      <x:c r="A6792" s="5" t="str">
        <x:v>幩</x:v>
      </x:c>
      <x:c r="B6792" s="6" t="str">
        <x:v>平</x:v>
      </x:c>
      <x:c r="C6792" s="6" t="str">
        <x:f>IF(B6792="","Needs decision","Ready")</x:f>
        <x:v>Ready</x:v>
      </x:c>
      <x:c r="D6792" s="6" t="str">
        <x:v>平</x:v>
      </x:c>
      <x:c r="E6792" s="6" t="str"/>
      <x:c r="F6792" s="6" t="str">
        <x:v>上平聲十二文</x:v>
      </x:c>
      <x:c r="G6792" s="6" t="str">
        <x:v>Pingshui main list, Wikisource-derived DOCX</x:v>
      </x:c>
      <x:c r="H6792" s="6" t="str"/>
      <x:c r="I6792" s="6" t="str">
        <x:v>Pingshui main-list expansion; 詞 entries ignored</x:v>
      </x:c>
      <x:c r="J6792" s="6" t="str">
        <x:f>IF(B6792="","",IF(AND(ISNUMBER(SEARCH("平",B6792)),OR(ISNUMBER(SEARCH("上",B6792)),ISNUMBER(SEARCH("去",B6792)),ISNUMBER(SEARCH("入",B6792)))),"Ambiguous",IF(ISNUMBER(SEARCH("平",B6792)),"平","仄")))</x:f>
        <x:v>平</x:v>
      </x:c>
      <x:c r="K6792" s="6" t="str">
        <x:f>IF(D6792="","",IF(AND(ISNUMBER(SEARCH("平",D6792)),OR(ISNUMBER(SEARCH("上",D6792)),ISNUMBER(SEARCH("去",D6792)),ISNUMBER(SEARCH("入",D6792)))),"Ambiguous",IF(ISNUMBER(SEARCH("平",D6792)),"平","仄")))</x:f>
        <x:v>平</x:v>
      </x:c>
      <x:c r="L6792" s="7" t="str">
        <x:v>Pingshui main list expansion</x:v>
      </x:c>
    </x:row>
    <x:row r="6793">
      <x:c r="A6793" s="5" t="str">
        <x:v>幮</x:v>
      </x:c>
      <x:c r="B6793" s="6" t="str">
        <x:v>平</x:v>
      </x:c>
      <x:c r="C6793" s="6" t="str">
        <x:f>IF(B6793="","Needs decision","Ready")</x:f>
        <x:v>Ready</x:v>
      </x:c>
      <x:c r="D6793" s="6" t="str">
        <x:v>平</x:v>
      </x:c>
      <x:c r="E6793" s="6" t="str"/>
      <x:c r="F6793" s="6" t="str">
        <x:v>上平聲七虞</x:v>
      </x:c>
      <x:c r="G6793" s="6" t="str">
        <x:v>Pingshui main list, Wikisource-derived DOCX</x:v>
      </x:c>
      <x:c r="H6793" s="6" t="str"/>
      <x:c r="I6793" s="6" t="str">
        <x:v>Pingshui main-list expansion; 詞 entries ignored</x:v>
      </x:c>
      <x:c r="J6793" s="6" t="str">
        <x:f>IF(B6793="","",IF(AND(ISNUMBER(SEARCH("平",B6793)),OR(ISNUMBER(SEARCH("上",B6793)),ISNUMBER(SEARCH("去",B6793)),ISNUMBER(SEARCH("入",B6793)))),"Ambiguous",IF(ISNUMBER(SEARCH("平",B6793)),"平","仄")))</x:f>
        <x:v>平</x:v>
      </x:c>
      <x:c r="K6793" s="6" t="str">
        <x:f>IF(D6793="","",IF(AND(ISNUMBER(SEARCH("平",D6793)),OR(ISNUMBER(SEARCH("上",D6793)),ISNUMBER(SEARCH("去",D6793)),ISNUMBER(SEARCH("入",D6793)))),"Ambiguous",IF(ISNUMBER(SEARCH("平",D6793)),"平","仄")))</x:f>
        <x:v>平</x:v>
      </x:c>
      <x:c r="L6793" s="7" t="str">
        <x:v>Pingshui main list expansion</x:v>
      </x:c>
    </x:row>
    <x:row r="6794">
      <x:c r="A6794" s="5" t="str">
        <x:v>庀</x:v>
      </x:c>
      <x:c r="B6794" s="6" t="str">
        <x:v>上</x:v>
      </x:c>
      <x:c r="C6794" s="6" t="str">
        <x:f>IF(B6794="","Needs decision","Ready")</x:f>
        <x:v>Ready</x:v>
      </x:c>
      <x:c r="D6794" s="6" t="str">
        <x:v>上</x:v>
      </x:c>
      <x:c r="E6794" s="6" t="str"/>
      <x:c r="F6794" s="6" t="str">
        <x:v>上聲四紙</x:v>
      </x:c>
      <x:c r="G6794" s="6" t="str">
        <x:v>Pingshui main list, Wikisource-derived DOCX</x:v>
      </x:c>
      <x:c r="H6794" s="6" t="str"/>
      <x:c r="I6794" s="6" t="str">
        <x:v>Pingshui main-list expansion; 詞 entries ignored</x:v>
      </x:c>
      <x:c r="J6794" s="6" t="str">
        <x:f>IF(B6794="","",IF(AND(ISNUMBER(SEARCH("平",B6794)),OR(ISNUMBER(SEARCH("上",B6794)),ISNUMBER(SEARCH("去",B6794)),ISNUMBER(SEARCH("入",B6794)))),"Ambiguous",IF(ISNUMBER(SEARCH("平",B6794)),"平","仄")))</x:f>
        <x:v>仄</x:v>
      </x:c>
      <x:c r="K6794" s="6" t="str">
        <x:f>IF(D6794="","",IF(AND(ISNUMBER(SEARCH("平",D6794)),OR(ISNUMBER(SEARCH("上",D6794)),ISNUMBER(SEARCH("去",D6794)),ISNUMBER(SEARCH("入",D6794)))),"Ambiguous",IF(ISNUMBER(SEARCH("平",D6794)),"平","仄")))</x:f>
        <x:v>仄</x:v>
      </x:c>
      <x:c r="L6794" s="7" t="str">
        <x:v>Pingshui main list expansion</x:v>
      </x:c>
    </x:row>
    <x:row r="6795">
      <x:c r="A6795" s="5" t="str">
        <x:v>庉</x:v>
      </x:c>
      <x:c r="B6795" s="6" t="str">
        <x:v>平</x:v>
      </x:c>
      <x:c r="C6795" s="6" t="str">
        <x:f>IF(B6795="","Needs decision","Ready")</x:f>
        <x:v>Ready</x:v>
      </x:c>
      <x:c r="D6795" s="6" t="str">
        <x:v>平</x:v>
      </x:c>
      <x:c r="E6795" s="6" t="str"/>
      <x:c r="F6795" s="6" t="str">
        <x:v>上平聲十三元</x:v>
      </x:c>
      <x:c r="G6795" s="6" t="str">
        <x:v>Pingshui main list, Wikisource-derived DOCX</x:v>
      </x:c>
      <x:c r="H6795" s="6" t="str"/>
      <x:c r="I6795" s="6" t="str">
        <x:v>Pingshui main-list expansion; 詞 entries ignored</x:v>
      </x:c>
      <x:c r="J6795" s="6" t="str">
        <x:f>IF(B6795="","",IF(AND(ISNUMBER(SEARCH("平",B6795)),OR(ISNUMBER(SEARCH("上",B6795)),ISNUMBER(SEARCH("去",B6795)),ISNUMBER(SEARCH("入",B6795)))),"Ambiguous",IF(ISNUMBER(SEARCH("平",B6795)),"平","仄")))</x:f>
        <x:v>平</x:v>
      </x:c>
      <x:c r="K6795" s="6" t="str">
        <x:f>IF(D6795="","",IF(AND(ISNUMBER(SEARCH("平",D6795)),OR(ISNUMBER(SEARCH("上",D6795)),ISNUMBER(SEARCH("去",D6795)),ISNUMBER(SEARCH("入",D6795)))),"Ambiguous",IF(ISNUMBER(SEARCH("平",D6795)),"平","仄")))</x:f>
        <x:v>平</x:v>
      </x:c>
      <x:c r="L6795" s="7" t="str">
        <x:v>Pingshui main list expansion</x:v>
      </x:c>
    </x:row>
    <x:row r="6796">
      <x:c r="A6796" s="5" t="str">
        <x:v>庢</x:v>
      </x:c>
      <x:c r="B6796" s="6" t="str">
        <x:v>入</x:v>
      </x:c>
      <x:c r="C6796" s="6" t="str">
        <x:f>IF(B6796="","Needs decision","Ready")</x:f>
        <x:v>Ready</x:v>
      </x:c>
      <x:c r="D6796" s="6" t="str">
        <x:v>入</x:v>
      </x:c>
      <x:c r="E6796" s="6" t="str"/>
      <x:c r="F6796" s="6" t="str">
        <x:v>入聲四質</x:v>
      </x:c>
      <x:c r="G6796" s="6" t="str">
        <x:v>Pingshui main list, Wikisource-derived DOCX</x:v>
      </x:c>
      <x:c r="H6796" s="6" t="str"/>
      <x:c r="I6796" s="6" t="str">
        <x:v>Pingshui main-list expansion; 詞 entries ignored</x:v>
      </x:c>
      <x:c r="J6796" s="6" t="str">
        <x:f>IF(B6796="","",IF(AND(ISNUMBER(SEARCH("平",B6796)),OR(ISNUMBER(SEARCH("上",B6796)),ISNUMBER(SEARCH("去",B6796)),ISNUMBER(SEARCH("入",B6796)))),"Ambiguous",IF(ISNUMBER(SEARCH("平",B6796)),"平","仄")))</x:f>
        <x:v>仄</x:v>
      </x:c>
      <x:c r="K6796" s="6" t="str">
        <x:f>IF(D6796="","",IF(AND(ISNUMBER(SEARCH("平",D6796)),OR(ISNUMBER(SEARCH("上",D6796)),ISNUMBER(SEARCH("去",D6796)),ISNUMBER(SEARCH("入",D6796)))),"Ambiguous",IF(ISNUMBER(SEARCH("平",D6796)),"平","仄")))</x:f>
        <x:v>仄</x:v>
      </x:c>
      <x:c r="L6796" s="7" t="str">
        <x:v>Pingshui main list expansion</x:v>
      </x:c>
    </x:row>
    <x:row r="6797">
      <x:c r="A6797" s="5" t="str">
        <x:v>庨</x:v>
      </x:c>
      <x:c r="B6797" s="6" t="str">
        <x:v>平</x:v>
      </x:c>
      <x:c r="C6797" s="6" t="str">
        <x:f>IF(B6797="","Needs decision","Ready")</x:f>
        <x:v>Ready</x:v>
      </x:c>
      <x:c r="D6797" s="6" t="str">
        <x:v>平</x:v>
      </x:c>
      <x:c r="E6797" s="6" t="str"/>
      <x:c r="F6797" s="6" t="str">
        <x:v>下平聲三肴</x:v>
      </x:c>
      <x:c r="G6797" s="6" t="str">
        <x:v>Pingshui main list, Wikisource-derived DOCX</x:v>
      </x:c>
      <x:c r="H6797" s="6" t="str"/>
      <x:c r="I6797" s="6" t="str">
        <x:v>Pingshui main-list expansion; 詞 entries ignored</x:v>
      </x:c>
      <x:c r="J6797" s="6" t="str">
        <x:f>IF(B6797="","",IF(AND(ISNUMBER(SEARCH("平",B6797)),OR(ISNUMBER(SEARCH("上",B6797)),ISNUMBER(SEARCH("去",B6797)),ISNUMBER(SEARCH("入",B6797)))),"Ambiguous",IF(ISNUMBER(SEARCH("平",B6797)),"平","仄")))</x:f>
        <x:v>平</x:v>
      </x:c>
      <x:c r="K6797" s="6" t="str">
        <x:f>IF(D6797="","",IF(AND(ISNUMBER(SEARCH("平",D6797)),OR(ISNUMBER(SEARCH("上",D6797)),ISNUMBER(SEARCH("去",D6797)),ISNUMBER(SEARCH("入",D6797)))),"Ambiguous",IF(ISNUMBER(SEARCH("平",D6797)),"平","仄")))</x:f>
        <x:v>平</x:v>
      </x:c>
      <x:c r="L6797" s="7" t="str">
        <x:v>Pingshui main list expansion</x:v>
      </x:c>
    </x:row>
    <x:row r="6798">
      <x:c r="A6798" s="5" t="str">
        <x:v>庮</x:v>
      </x:c>
      <x:c r="B6798" s="6" t="str"/>
      <x:c r="C6798" s="6" t="str">
        <x:f>IF(B6798="","Needs decision","Ready")</x:f>
        <x:v>Needs decision</x:v>
      </x:c>
      <x:c r="D6798" s="6" t="str">
        <x:v>平/上</x:v>
      </x:c>
      <x:c r="E6798" s="6" t="str"/>
      <x:c r="F6798" s="6" t="str">
        <x:v>下平聲十一尤; 上聲二十五有</x:v>
      </x:c>
      <x:c r="G6798" s="6" t="str">
        <x:v>Pingshui main list, Wikisource-derived DOCX</x:v>
      </x:c>
      <x:c r="H6798" s="6" t="str"/>
      <x:c r="I6798" s="6" t="str">
        <x:v>Pingshui main-list expansion; 詞 entries ignored</x:v>
      </x:c>
      <x:c r="J6798" s="6" t="str">
        <x:f>IF(B6798="","",IF(AND(ISNUMBER(SEARCH("平",B6798)),OR(ISNUMBER(SEARCH("上",B6798)),ISNUMBER(SEARCH("去",B6798)),ISNUMBER(SEARCH("入",B6798)))),"Ambiguous",IF(ISNUMBER(SEARCH("平",B6798)),"平","仄")))</x:f>
      </x:c>
      <x:c r="K6798" s="6" t="str">
        <x:f>IF(D6798="","",IF(AND(ISNUMBER(SEARCH("平",D6798)),OR(ISNUMBER(SEARCH("上",D6798)),ISNUMBER(SEARCH("去",D6798)),ISNUMBER(SEARCH("入",D6798)))),"Ambiguous",IF(ISNUMBER(SEARCH("平",D6798)),"平","仄")))</x:f>
        <x:v>Ambiguous</x:v>
      </x:c>
      <x:c r="L6798" s="7" t="str">
        <x:v>Pingshui main list expansion</x:v>
      </x:c>
    </x:row>
    <x:row r="6799">
      <x:c r="A6799" s="5" t="str">
        <x:v>庱</x:v>
      </x:c>
      <x:c r="B6799" s="6" t="str"/>
      <x:c r="C6799" s="6" t="str">
        <x:f>IF(B6799="","Needs decision","Ready")</x:f>
        <x:v>Needs decision</x:v>
      </x:c>
      <x:c r="D6799" s="6" t="str">
        <x:v>平/上</x:v>
      </x:c>
      <x:c r="E6799" s="6" t="str"/>
      <x:c r="F6799" s="6" t="str">
        <x:v>下平聲十蒸; 上聲二十四迥</x:v>
      </x:c>
      <x:c r="G6799" s="6" t="str">
        <x:v>Pingshui main list, Wikisource-derived DOCX</x:v>
      </x:c>
      <x:c r="H6799" s="6" t="str"/>
      <x:c r="I6799" s="6" t="str">
        <x:v>Pingshui main-list expansion; 詞 entries ignored</x:v>
      </x:c>
      <x:c r="J6799" s="6" t="str">
        <x:f>IF(B6799="","",IF(AND(ISNUMBER(SEARCH("平",B6799)),OR(ISNUMBER(SEARCH("上",B6799)),ISNUMBER(SEARCH("去",B6799)),ISNUMBER(SEARCH("入",B6799)))),"Ambiguous",IF(ISNUMBER(SEARCH("平",B6799)),"平","仄")))</x:f>
      </x:c>
      <x:c r="K6799" s="6" t="str">
        <x:f>IF(D6799="","",IF(AND(ISNUMBER(SEARCH("平",D6799)),OR(ISNUMBER(SEARCH("上",D6799)),ISNUMBER(SEARCH("去",D6799)),ISNUMBER(SEARCH("入",D6799)))),"Ambiguous",IF(ISNUMBER(SEARCH("平",D6799)),"平","仄")))</x:f>
        <x:v>Ambiguous</x:v>
      </x:c>
      <x:c r="L6799" s="7" t="str">
        <x:v>Pingshui main list expansion</x:v>
      </x:c>
    </x:row>
    <x:row r="6800">
      <x:c r="A6800" s="5" t="str">
        <x:v>廆</x:v>
      </x:c>
      <x:c r="B6800" s="6" t="str">
        <x:v>上</x:v>
      </x:c>
      <x:c r="C6800" s="6" t="str">
        <x:f>IF(B6800="","Needs decision","Ready")</x:f>
        <x:v>Ready</x:v>
      </x:c>
      <x:c r="D6800" s="6" t="str">
        <x:v>上</x:v>
      </x:c>
      <x:c r="E6800" s="6" t="str"/>
      <x:c r="F6800" s="6" t="str">
        <x:v>上聲十賄</x:v>
      </x:c>
      <x:c r="G6800" s="6" t="str">
        <x:v>Pingshui main list, Wikisource-derived DOCX</x:v>
      </x:c>
      <x:c r="H6800" s="6" t="str"/>
      <x:c r="I6800" s="6" t="str">
        <x:v>Pingshui main-list expansion; 詞 entries ignored</x:v>
      </x:c>
      <x:c r="J6800" s="6" t="str">
        <x:f>IF(B6800="","",IF(AND(ISNUMBER(SEARCH("平",B6800)),OR(ISNUMBER(SEARCH("上",B6800)),ISNUMBER(SEARCH("去",B6800)),ISNUMBER(SEARCH("入",B6800)))),"Ambiguous",IF(ISNUMBER(SEARCH("平",B6800)),"平","仄")))</x:f>
        <x:v>仄</x:v>
      </x:c>
      <x:c r="K6800" s="6" t="str">
        <x:f>IF(D6800="","",IF(AND(ISNUMBER(SEARCH("平",D6800)),OR(ISNUMBER(SEARCH("上",D6800)),ISNUMBER(SEARCH("去",D6800)),ISNUMBER(SEARCH("入",D6800)))),"Ambiguous",IF(ISNUMBER(SEARCH("平",D6800)),"平","仄")))</x:f>
        <x:v>仄</x:v>
      </x:c>
      <x:c r="L6800" s="7" t="str">
        <x:v>Pingshui main list expansion</x:v>
      </x:c>
    </x:row>
    <x:row r="6801">
      <x:c r="A6801" s="5" t="str">
        <x:v>廇</x:v>
      </x:c>
      <x:c r="B6801" s="6" t="str">
        <x:v>去</x:v>
      </x:c>
      <x:c r="C6801" s="6" t="str">
        <x:f>IF(B6801="","Needs decision","Ready")</x:f>
        <x:v>Ready</x:v>
      </x:c>
      <x:c r="D6801" s="6" t="str">
        <x:v>去</x:v>
      </x:c>
      <x:c r="E6801" s="6" t="str"/>
      <x:c r="F6801" s="6" t="str">
        <x:v>去聲二十六宥</x:v>
      </x:c>
      <x:c r="G6801" s="6" t="str">
        <x:v>Pingshui main list, Wikisource-derived DOCX</x:v>
      </x:c>
      <x:c r="H6801" s="6" t="str"/>
      <x:c r="I6801" s="6" t="str">
        <x:v>Pingshui main-list expansion; 詞 entries ignored</x:v>
      </x:c>
      <x:c r="J6801" s="6" t="str">
        <x:f>IF(B6801="","",IF(AND(ISNUMBER(SEARCH("平",B6801)),OR(ISNUMBER(SEARCH("上",B6801)),ISNUMBER(SEARCH("去",B6801)),ISNUMBER(SEARCH("入",B6801)))),"Ambiguous",IF(ISNUMBER(SEARCH("平",B6801)),"平","仄")))</x:f>
        <x:v>仄</x:v>
      </x:c>
      <x:c r="K6801" s="6" t="str">
        <x:f>IF(D6801="","",IF(AND(ISNUMBER(SEARCH("平",D6801)),OR(ISNUMBER(SEARCH("上",D6801)),ISNUMBER(SEARCH("去",D6801)),ISNUMBER(SEARCH("入",D6801)))),"Ambiguous",IF(ISNUMBER(SEARCH("平",D6801)),"平","仄")))</x:f>
        <x:v>仄</x:v>
      </x:c>
      <x:c r="L6801" s="7" t="str">
        <x:v>Pingshui main list expansion</x:v>
      </x:c>
    </x:row>
    <x:row r="6802">
      <x:c r="A6802" s="5" t="str">
        <x:v>廋</x:v>
      </x:c>
      <x:c r="B6802" s="6" t="str">
        <x:v>平</x:v>
      </x:c>
      <x:c r="C6802" s="6" t="str">
        <x:f>IF(B6802="","Needs decision","Ready")</x:f>
        <x:v>Ready</x:v>
      </x:c>
      <x:c r="D6802" s="6" t="str">
        <x:v>平</x:v>
      </x:c>
      <x:c r="E6802" s="6" t="str"/>
      <x:c r="F6802" s="6" t="str">
        <x:v>下平聲十一尤</x:v>
      </x:c>
      <x:c r="G6802" s="6" t="str">
        <x:v>Pingshui main list, Wikisource-derived DOCX</x:v>
      </x:c>
      <x:c r="H6802" s="6" t="str"/>
      <x:c r="I6802" s="6" t="str">
        <x:v>Pingshui main-list expansion; 詞 entries ignored</x:v>
      </x:c>
      <x:c r="J6802" s="6" t="str">
        <x:f>IF(B6802="","",IF(AND(ISNUMBER(SEARCH("平",B6802)),OR(ISNUMBER(SEARCH("上",B6802)),ISNUMBER(SEARCH("去",B6802)),ISNUMBER(SEARCH("入",B6802)))),"Ambiguous",IF(ISNUMBER(SEARCH("平",B6802)),"平","仄")))</x:f>
        <x:v>平</x:v>
      </x:c>
      <x:c r="K6802" s="6" t="str">
        <x:f>IF(D6802="","",IF(AND(ISNUMBER(SEARCH("平",D6802)),OR(ISNUMBER(SEARCH("上",D6802)),ISNUMBER(SEARCH("去",D6802)),ISNUMBER(SEARCH("入",D6802)))),"Ambiguous",IF(ISNUMBER(SEARCH("平",D6802)),"平","仄")))</x:f>
        <x:v>平</x:v>
      </x:c>
      <x:c r="L6802" s="7" t="str">
        <x:v>Pingshui main list expansion</x:v>
      </x:c>
    </x:row>
    <x:row r="6803">
      <x:c r="A6803" s="5" t="str">
        <x:v>廑</x:v>
      </x:c>
      <x:c r="B6803" s="6" t="str">
        <x:v>平</x:v>
      </x:c>
      <x:c r="C6803" s="6" t="str">
        <x:f>IF(B6803="","Needs decision","Ready")</x:f>
        <x:v>Ready</x:v>
      </x:c>
      <x:c r="D6803" s="6" t="str">
        <x:v>平</x:v>
      </x:c>
      <x:c r="E6803" s="6" t="str"/>
      <x:c r="F6803" s="6" t="str">
        <x:v>上平聲十二文</x:v>
      </x:c>
      <x:c r="G6803" s="6" t="str">
        <x:v>Pingshui main list, Wikisource-derived DOCX</x:v>
      </x:c>
      <x:c r="H6803" s="6" t="str"/>
      <x:c r="I6803" s="6" t="str">
        <x:v>Pingshui main-list expansion; 詞 entries ignored</x:v>
      </x:c>
      <x:c r="J6803" s="6" t="str">
        <x:f>IF(B6803="","",IF(AND(ISNUMBER(SEARCH("平",B6803)),OR(ISNUMBER(SEARCH("上",B6803)),ISNUMBER(SEARCH("去",B6803)),ISNUMBER(SEARCH("入",B6803)))),"Ambiguous",IF(ISNUMBER(SEARCH("平",B6803)),"平","仄")))</x:f>
        <x:v>平</x:v>
      </x:c>
      <x:c r="K6803" s="6" t="str">
        <x:f>IF(D6803="","",IF(AND(ISNUMBER(SEARCH("平",D6803)),OR(ISNUMBER(SEARCH("上",D6803)),ISNUMBER(SEARCH("去",D6803)),ISNUMBER(SEARCH("入",D6803)))),"Ambiguous",IF(ISNUMBER(SEARCH("平",D6803)),"平","仄")))</x:f>
        <x:v>平</x:v>
      </x:c>
      <x:c r="L6803" s="7" t="str">
        <x:v>Pingshui main list expansion</x:v>
      </x:c>
    </x:row>
    <x:row r="6804">
      <x:c r="A6804" s="5" t="str">
        <x:v>弅</x:v>
      </x:c>
      <x:c r="B6804" s="6" t="str">
        <x:v>上</x:v>
      </x:c>
      <x:c r="C6804" s="6" t="str">
        <x:f>IF(B6804="","Needs decision","Ready")</x:f>
        <x:v>Ready</x:v>
      </x:c>
      <x:c r="D6804" s="6" t="str">
        <x:v>上</x:v>
      </x:c>
      <x:c r="E6804" s="6" t="str"/>
      <x:c r="F6804" s="6" t="str">
        <x:v>上聲十二吻</x:v>
      </x:c>
      <x:c r="G6804" s="6" t="str">
        <x:v>Pingshui main list, Wikisource-derived DOCX</x:v>
      </x:c>
      <x:c r="H6804" s="6" t="str"/>
      <x:c r="I6804" s="6" t="str">
        <x:v>Pingshui main-list expansion; 詞 entries ignored</x:v>
      </x:c>
      <x:c r="J6804" s="6" t="str">
        <x:f>IF(B6804="","",IF(AND(ISNUMBER(SEARCH("平",B6804)),OR(ISNUMBER(SEARCH("上",B6804)),ISNUMBER(SEARCH("去",B6804)),ISNUMBER(SEARCH("入",B6804)))),"Ambiguous",IF(ISNUMBER(SEARCH("平",B6804)),"平","仄")))</x:f>
        <x:v>仄</x:v>
      </x:c>
      <x:c r="K6804" s="6" t="str">
        <x:f>IF(D6804="","",IF(AND(ISNUMBER(SEARCH("平",D6804)),OR(ISNUMBER(SEARCH("上",D6804)),ISNUMBER(SEARCH("去",D6804)),ISNUMBER(SEARCH("入",D6804)))),"Ambiguous",IF(ISNUMBER(SEARCH("平",D6804)),"平","仄")))</x:f>
        <x:v>仄</x:v>
      </x:c>
      <x:c r="L6804" s="7" t="str">
        <x:v>Pingshui main list expansion</x:v>
      </x:c>
    </x:row>
    <x:row r="6805">
      <x:c r="A6805" s="5" t="str">
        <x:v>弝</x:v>
      </x:c>
      <x:c r="B6805" s="6" t="str">
        <x:v>去</x:v>
      </x:c>
      <x:c r="C6805" s="6" t="str">
        <x:f>IF(B6805="","Needs decision","Ready")</x:f>
        <x:v>Ready</x:v>
      </x:c>
      <x:c r="D6805" s="6" t="str">
        <x:v>去</x:v>
      </x:c>
      <x:c r="E6805" s="6" t="str"/>
      <x:c r="F6805" s="6" t="str">
        <x:v>去聲二十二禡</x:v>
      </x:c>
      <x:c r="G6805" s="6" t="str">
        <x:v>Pingshui main list, Wikisource-derived DOCX</x:v>
      </x:c>
      <x:c r="H6805" s="6" t="str"/>
      <x:c r="I6805" s="6" t="str">
        <x:v>Pingshui main-list expansion; 詞 entries ignored</x:v>
      </x:c>
      <x:c r="J6805" s="6" t="str">
        <x:f>IF(B6805="","",IF(AND(ISNUMBER(SEARCH("平",B6805)),OR(ISNUMBER(SEARCH("上",B6805)),ISNUMBER(SEARCH("去",B6805)),ISNUMBER(SEARCH("入",B6805)))),"Ambiguous",IF(ISNUMBER(SEARCH("平",B6805)),"平","仄")))</x:f>
        <x:v>仄</x:v>
      </x:c>
      <x:c r="K6805" s="6" t="str">
        <x:f>IF(D6805="","",IF(AND(ISNUMBER(SEARCH("平",D6805)),OR(ISNUMBER(SEARCH("上",D6805)),ISNUMBER(SEARCH("去",D6805)),ISNUMBER(SEARCH("入",D6805)))),"Ambiguous",IF(ISNUMBER(SEARCH("平",D6805)),"平","仄")))</x:f>
        <x:v>仄</x:v>
      </x:c>
      <x:c r="L6805" s="7" t="str">
        <x:v>Pingshui main list expansion</x:v>
      </x:c>
    </x:row>
    <x:row r="6806">
      <x:c r="A6806" s="5" t="str">
        <x:v>弣</x:v>
      </x:c>
      <x:c r="B6806" s="6" t="str">
        <x:v>上</x:v>
      </x:c>
      <x:c r="C6806" s="6" t="str">
        <x:f>IF(B6806="","Needs decision","Ready")</x:f>
        <x:v>Ready</x:v>
      </x:c>
      <x:c r="D6806" s="6" t="str">
        <x:v>上</x:v>
      </x:c>
      <x:c r="E6806" s="6" t="str"/>
      <x:c r="F6806" s="6" t="str">
        <x:v>上聲七麌</x:v>
      </x:c>
      <x:c r="G6806" s="6" t="str">
        <x:v>Pingshui main list, Wikisource-derived DOCX</x:v>
      </x:c>
      <x:c r="H6806" s="6" t="str"/>
      <x:c r="I6806" s="6" t="str">
        <x:v>Pingshui main-list expansion; 詞 entries ignored</x:v>
      </x:c>
      <x:c r="J6806" s="6" t="str">
        <x:f>IF(B6806="","",IF(AND(ISNUMBER(SEARCH("平",B6806)),OR(ISNUMBER(SEARCH("上",B6806)),ISNUMBER(SEARCH("去",B6806)),ISNUMBER(SEARCH("入",B6806)))),"Ambiguous",IF(ISNUMBER(SEARCH("平",B6806)),"平","仄")))</x:f>
        <x:v>仄</x:v>
      </x:c>
      <x:c r="K6806" s="6" t="str">
        <x:f>IF(D6806="","",IF(AND(ISNUMBER(SEARCH("平",D6806)),OR(ISNUMBER(SEARCH("上",D6806)),ISNUMBER(SEARCH("去",D6806)),ISNUMBER(SEARCH("入",D6806)))),"Ambiguous",IF(ISNUMBER(SEARCH("平",D6806)),"平","仄")))</x:f>
        <x:v>仄</x:v>
      </x:c>
      <x:c r="L6806" s="7" t="str">
        <x:v>Pingshui main list expansion</x:v>
      </x:c>
    </x:row>
    <x:row r="6807">
      <x:c r="A6807" s="5" t="str">
        <x:v>弨</x:v>
      </x:c>
      <x:c r="B6807" s="6" t="str">
        <x:v>平</x:v>
      </x:c>
      <x:c r="C6807" s="6" t="str">
        <x:f>IF(B6807="","Needs decision","Ready")</x:f>
        <x:v>Ready</x:v>
      </x:c>
      <x:c r="D6807" s="6" t="str">
        <x:v>平</x:v>
      </x:c>
      <x:c r="E6807" s="6" t="str"/>
      <x:c r="F6807" s="6" t="str">
        <x:v>下平聲二蕭</x:v>
      </x:c>
      <x:c r="G6807" s="6" t="str">
        <x:v>Pingshui main list, Wikisource-derived DOCX</x:v>
      </x:c>
      <x:c r="H6807" s="6" t="str"/>
      <x:c r="I6807" s="6" t="str">
        <x:v>Pingshui main-list expansion; 詞 entries ignored</x:v>
      </x:c>
      <x:c r="J6807" s="6" t="str">
        <x:f>IF(B6807="","",IF(AND(ISNUMBER(SEARCH("平",B6807)),OR(ISNUMBER(SEARCH("上",B6807)),ISNUMBER(SEARCH("去",B6807)),ISNUMBER(SEARCH("入",B6807)))),"Ambiguous",IF(ISNUMBER(SEARCH("平",B6807)),"平","仄")))</x:f>
        <x:v>平</x:v>
      </x:c>
      <x:c r="K6807" s="6" t="str">
        <x:f>IF(D6807="","",IF(AND(ISNUMBER(SEARCH("平",D6807)),OR(ISNUMBER(SEARCH("上",D6807)),ISNUMBER(SEARCH("去",D6807)),ISNUMBER(SEARCH("入",D6807)))),"Ambiguous",IF(ISNUMBER(SEARCH("平",D6807)),"平","仄")))</x:f>
        <x:v>平</x:v>
      </x:c>
      <x:c r="L6807" s="7" t="str">
        <x:v>Pingshui main list expansion</x:v>
      </x:c>
    </x:row>
    <x:row r="6808">
      <x:c r="A6808" s="5" t="str">
        <x:v>弮</x:v>
      </x:c>
      <x:c r="B6808" s="6" t="str"/>
      <x:c r="C6808" s="6" t="str">
        <x:f>IF(B6808="","Needs decision","Ready")</x:f>
        <x:v>Needs decision</x:v>
      </x:c>
      <x:c r="D6808" s="6" t="str">
        <x:v>平/去</x:v>
      </x:c>
      <x:c r="E6808" s="6" t="str"/>
      <x:c r="F6808" s="6" t="str">
        <x:v>下平聲一先; 去聲十七霰</x:v>
      </x:c>
      <x:c r="G6808" s="6" t="str">
        <x:v>Pingshui main list, Wikisource-derived DOCX</x:v>
      </x:c>
      <x:c r="H6808" s="6" t="str"/>
      <x:c r="I6808" s="6" t="str">
        <x:v>Pingshui main-list expansion; 詞 entries ignored</x:v>
      </x:c>
      <x:c r="J6808" s="6" t="str">
        <x:f>IF(B6808="","",IF(AND(ISNUMBER(SEARCH("平",B6808)),OR(ISNUMBER(SEARCH("上",B6808)),ISNUMBER(SEARCH("去",B6808)),ISNUMBER(SEARCH("入",B6808)))),"Ambiguous",IF(ISNUMBER(SEARCH("平",B6808)),"平","仄")))</x:f>
      </x:c>
      <x:c r="K6808" s="6" t="str">
        <x:f>IF(D6808="","",IF(AND(ISNUMBER(SEARCH("平",D6808)),OR(ISNUMBER(SEARCH("上",D6808)),ISNUMBER(SEARCH("去",D6808)),ISNUMBER(SEARCH("入",D6808)))),"Ambiguous",IF(ISNUMBER(SEARCH("平",D6808)),"平","仄")))</x:f>
        <x:v>Ambiguous</x:v>
      </x:c>
      <x:c r="L6808" s="7" t="str">
        <x:v>Pingshui main list expansion</x:v>
      </x:c>
    </x:row>
    <x:row r="6809">
      <x:c r="A6809" s="5" t="str">
        <x:v>弸</x:v>
      </x:c>
      <x:c r="B6809" s="6" t="str">
        <x:v>平</x:v>
      </x:c>
      <x:c r="C6809" s="6" t="str">
        <x:f>IF(B6809="","Needs decision","Ready")</x:f>
        <x:v>Ready</x:v>
      </x:c>
      <x:c r="D6809" s="6" t="str">
        <x:v>平</x:v>
      </x:c>
      <x:c r="E6809" s="6" t="str"/>
      <x:c r="F6809" s="6" t="str">
        <x:v>下平聲八庚</x:v>
      </x:c>
      <x:c r="G6809" s="6" t="str">
        <x:v>Pingshui main list, Wikisource-derived DOCX</x:v>
      </x:c>
      <x:c r="H6809" s="6" t="str"/>
      <x:c r="I6809" s="6" t="str">
        <x:v>Pingshui main-list expansion; 詞 entries ignored</x:v>
      </x:c>
      <x:c r="J6809" s="6" t="str">
        <x:f>IF(B6809="","",IF(AND(ISNUMBER(SEARCH("平",B6809)),OR(ISNUMBER(SEARCH("上",B6809)),ISNUMBER(SEARCH("去",B6809)),ISNUMBER(SEARCH("入",B6809)))),"Ambiguous",IF(ISNUMBER(SEARCH("平",B6809)),"平","仄")))</x:f>
        <x:v>平</x:v>
      </x:c>
      <x:c r="K6809" s="6" t="str">
        <x:f>IF(D6809="","",IF(AND(ISNUMBER(SEARCH("平",D6809)),OR(ISNUMBER(SEARCH("上",D6809)),ISNUMBER(SEARCH("去",D6809)),ISNUMBER(SEARCH("入",D6809)))),"Ambiguous",IF(ISNUMBER(SEARCH("平",D6809)),"平","仄")))</x:f>
        <x:v>平</x:v>
      </x:c>
      <x:c r="L6809" s="7" t="str">
        <x:v>Pingshui main list expansion</x:v>
      </x:c>
    </x:row>
    <x:row r="6810">
      <x:c r="A6810" s="5" t="str">
        <x:v>彴</x:v>
      </x:c>
      <x:c r="B6810" s="6" t="str">
        <x:v>入</x:v>
      </x:c>
      <x:c r="C6810" s="6" t="str">
        <x:f>IF(B6810="","Needs decision","Ready")</x:f>
        <x:v>Ready</x:v>
      </x:c>
      <x:c r="D6810" s="6" t="str">
        <x:v>入</x:v>
      </x:c>
      <x:c r="E6810" s="6" t="str"/>
      <x:c r="F6810" s="6" t="str">
        <x:v>入聲十藥</x:v>
      </x:c>
      <x:c r="G6810" s="6" t="str">
        <x:v>Pingshui main list, Wikisource-derived DOCX</x:v>
      </x:c>
      <x:c r="H6810" s="6" t="str"/>
      <x:c r="I6810" s="6" t="str">
        <x:v>Pingshui main-list expansion; 詞 entries ignored</x:v>
      </x:c>
      <x:c r="J6810" s="6" t="str">
        <x:f>IF(B6810="","",IF(AND(ISNUMBER(SEARCH("平",B6810)),OR(ISNUMBER(SEARCH("上",B6810)),ISNUMBER(SEARCH("去",B6810)),ISNUMBER(SEARCH("入",B6810)))),"Ambiguous",IF(ISNUMBER(SEARCH("平",B6810)),"平","仄")))</x:f>
        <x:v>仄</x:v>
      </x:c>
      <x:c r="K6810" s="6" t="str">
        <x:f>IF(D6810="","",IF(AND(ISNUMBER(SEARCH("平",D6810)),OR(ISNUMBER(SEARCH("上",D6810)),ISNUMBER(SEARCH("去",D6810)),ISNUMBER(SEARCH("入",D6810)))),"Ambiguous",IF(ISNUMBER(SEARCH("平",D6810)),"平","仄")))</x:f>
        <x:v>仄</x:v>
      </x:c>
      <x:c r="L6810" s="7" t="str">
        <x:v>Pingshui main list expansion</x:v>
      </x:c>
    </x:row>
    <x:row r="6811">
      <x:c r="A6811" s="5" t="str">
        <x:v>彸</x:v>
      </x:c>
      <x:c r="B6811" s="6" t="str">
        <x:v>平</x:v>
      </x:c>
      <x:c r="C6811" s="6" t="str">
        <x:f>IF(B6811="","Needs decision","Ready")</x:f>
        <x:v>Ready</x:v>
      </x:c>
      <x:c r="D6811" s="6" t="str">
        <x:v>平</x:v>
      </x:c>
      <x:c r="E6811" s="6" t="str"/>
      <x:c r="F6811" s="6" t="str">
        <x:v>上平聲二冬</x:v>
      </x:c>
      <x:c r="G6811" s="6" t="str">
        <x:v>Pingshui main list, Wikisource-derived DOCX</x:v>
      </x:c>
      <x:c r="H6811" s="6" t="str"/>
      <x:c r="I6811" s="6" t="str">
        <x:v>Pingshui main-list expansion; 詞 entries ignored</x:v>
      </x:c>
      <x:c r="J6811" s="6" t="str">
        <x:f>IF(B6811="","",IF(AND(ISNUMBER(SEARCH("平",B6811)),OR(ISNUMBER(SEARCH("上",B6811)),ISNUMBER(SEARCH("去",B6811)),ISNUMBER(SEARCH("入",B6811)))),"Ambiguous",IF(ISNUMBER(SEARCH("平",B6811)),"平","仄")))</x:f>
        <x:v>平</x:v>
      </x:c>
      <x:c r="K6811" s="6" t="str">
        <x:f>IF(D6811="","",IF(AND(ISNUMBER(SEARCH("平",D6811)),OR(ISNUMBER(SEARCH("上",D6811)),ISNUMBER(SEARCH("去",D6811)),ISNUMBER(SEARCH("入",D6811)))),"Ambiguous",IF(ISNUMBER(SEARCH("平",D6811)),"平","仄")))</x:f>
        <x:v>平</x:v>
      </x:c>
      <x:c r="L6811" s="7" t="str">
        <x:v>Pingshui main list expansion</x:v>
      </x:c>
    </x:row>
    <x:row r="6812">
      <x:c r="A6812" s="5" t="str">
        <x:v>徉</x:v>
      </x:c>
      <x:c r="B6812" s="6" t="str">
        <x:v>平</x:v>
      </x:c>
      <x:c r="C6812" s="6" t="str">
        <x:f>IF(B6812="","Needs decision","Ready")</x:f>
        <x:v>Ready</x:v>
      </x:c>
      <x:c r="D6812" s="6" t="str">
        <x:v>平</x:v>
      </x:c>
      <x:c r="E6812" s="6" t="str"/>
      <x:c r="F6812" s="6" t="str">
        <x:v>下平聲七陽</x:v>
      </x:c>
      <x:c r="G6812" s="6" t="str">
        <x:v>Pingshui main list, Wikisource-derived DOCX</x:v>
      </x:c>
      <x:c r="H6812" s="6" t="str"/>
      <x:c r="I6812" s="6" t="str">
        <x:v>Pingshui main-list expansion; 詞 entries ignored</x:v>
      </x:c>
      <x:c r="J6812" s="6" t="str">
        <x:f>IF(B6812="","",IF(AND(ISNUMBER(SEARCH("平",B6812)),OR(ISNUMBER(SEARCH("上",B6812)),ISNUMBER(SEARCH("去",B6812)),ISNUMBER(SEARCH("入",B6812)))),"Ambiguous",IF(ISNUMBER(SEARCH("平",B6812)),"平","仄")))</x:f>
        <x:v>平</x:v>
      </x:c>
      <x:c r="K6812" s="6" t="str">
        <x:f>IF(D6812="","",IF(AND(ISNUMBER(SEARCH("平",D6812)),OR(ISNUMBER(SEARCH("上",D6812)),ISNUMBER(SEARCH("去",D6812)),ISNUMBER(SEARCH("入",D6812)))),"Ambiguous",IF(ISNUMBER(SEARCH("平",D6812)),"平","仄")))</x:f>
        <x:v>平</x:v>
      </x:c>
      <x:c r="L6812" s="7" t="str">
        <x:v>Pingshui main list expansion</x:v>
      </x:c>
    </x:row>
    <x:row r="6813">
      <x:c r="A6813" s="5" t="str">
        <x:v>徛</x:v>
      </x:c>
      <x:c r="B6813" s="6" t="str">
        <x:v>平</x:v>
      </x:c>
      <x:c r="C6813" s="6" t="str">
        <x:f>IF(B6813="","Needs decision","Ready")</x:f>
        <x:v>Ready</x:v>
      </x:c>
      <x:c r="D6813" s="6" t="str">
        <x:v>平</x:v>
      </x:c>
      <x:c r="E6813" s="6" t="str"/>
      <x:c r="F6813" s="6" t="str">
        <x:v>上平聲四支</x:v>
      </x:c>
      <x:c r="G6813" s="6" t="str">
        <x:v>Pingshui main list, Wikisource-derived DOCX</x:v>
      </x:c>
      <x:c r="H6813" s="6" t="str"/>
      <x:c r="I6813" s="6" t="str">
        <x:v>Pingshui main-list expansion; 詞 entries ignored</x:v>
      </x:c>
      <x:c r="J6813" s="6" t="str">
        <x:f>IF(B6813="","",IF(AND(ISNUMBER(SEARCH("平",B6813)),OR(ISNUMBER(SEARCH("上",B6813)),ISNUMBER(SEARCH("去",B6813)),ISNUMBER(SEARCH("入",B6813)))),"Ambiguous",IF(ISNUMBER(SEARCH("平",B6813)),"平","仄")))</x:f>
        <x:v>平</x:v>
      </x:c>
      <x:c r="K6813" s="6" t="str">
        <x:f>IF(D6813="","",IF(AND(ISNUMBER(SEARCH("平",D6813)),OR(ISNUMBER(SEARCH("上",D6813)),ISNUMBER(SEARCH("去",D6813)),ISNUMBER(SEARCH("入",D6813)))),"Ambiguous",IF(ISNUMBER(SEARCH("平",D6813)),"平","仄")))</x:f>
        <x:v>平</x:v>
      </x:c>
      <x:c r="L6813" s="7" t="str">
        <x:v>Pingshui main list expansion</x:v>
      </x:c>
    </x:row>
    <x:row r="6814">
      <x:c r="A6814" s="5" t="str">
        <x:v>忕</x:v>
      </x:c>
      <x:c r="B6814" s="6" t="str">
        <x:v>去</x:v>
      </x:c>
      <x:c r="C6814" s="6" t="str">
        <x:f>IF(B6814="","Needs decision","Ready")</x:f>
        <x:v>Ready</x:v>
      </x:c>
      <x:c r="D6814" s="6" t="str">
        <x:v>去</x:v>
      </x:c>
      <x:c r="E6814" s="6" t="str"/>
      <x:c r="F6814" s="6" t="str">
        <x:v>去聲八霽</x:v>
      </x:c>
      <x:c r="G6814" s="6" t="str">
        <x:v>Pingshui main list, Wikisource-derived DOCX</x:v>
      </x:c>
      <x:c r="H6814" s="6" t="str"/>
      <x:c r="I6814" s="6" t="str">
        <x:v>Pingshui main-list expansion; 詞 entries ignored</x:v>
      </x:c>
      <x:c r="J6814" s="6" t="str">
        <x:f>IF(B6814="","",IF(AND(ISNUMBER(SEARCH("平",B6814)),OR(ISNUMBER(SEARCH("上",B6814)),ISNUMBER(SEARCH("去",B6814)),ISNUMBER(SEARCH("入",B6814)))),"Ambiguous",IF(ISNUMBER(SEARCH("平",B6814)),"平","仄")))</x:f>
        <x:v>仄</x:v>
      </x:c>
      <x:c r="K6814" s="6" t="str">
        <x:f>IF(D6814="","",IF(AND(ISNUMBER(SEARCH("平",D6814)),OR(ISNUMBER(SEARCH("上",D6814)),ISNUMBER(SEARCH("去",D6814)),ISNUMBER(SEARCH("入",D6814)))),"Ambiguous",IF(ISNUMBER(SEARCH("平",D6814)),"平","仄")))</x:f>
        <x:v>仄</x:v>
      </x:c>
      <x:c r="L6814" s="7" t="str">
        <x:v>Pingshui main list expansion</x:v>
      </x:c>
    </x:row>
    <x:row r="6815">
      <x:c r="A6815" s="5" t="str">
        <x:v>忞</x:v>
      </x:c>
      <x:c r="B6815" s="6" t="str">
        <x:v>平</x:v>
      </x:c>
      <x:c r="C6815" s="6" t="str">
        <x:f>IF(B6815="","Needs decision","Ready")</x:f>
        <x:v>Ready</x:v>
      </x:c>
      <x:c r="D6815" s="6" t="str">
        <x:v>平</x:v>
      </x:c>
      <x:c r="E6815" s="6" t="str"/>
      <x:c r="F6815" s="6" t="str">
        <x:v>上平聲十一真</x:v>
      </x:c>
      <x:c r="G6815" s="6" t="str">
        <x:v>Pingshui main list, Wikisource-derived DOCX</x:v>
      </x:c>
      <x:c r="H6815" s="6" t="str"/>
      <x:c r="I6815" s="6" t="str">
        <x:v>Pingshui main-list expansion; 詞 entries ignored</x:v>
      </x:c>
      <x:c r="J6815" s="6" t="str">
        <x:f>IF(B6815="","",IF(AND(ISNUMBER(SEARCH("平",B6815)),OR(ISNUMBER(SEARCH("上",B6815)),ISNUMBER(SEARCH("去",B6815)),ISNUMBER(SEARCH("入",B6815)))),"Ambiguous",IF(ISNUMBER(SEARCH("平",B6815)),"平","仄")))</x:f>
        <x:v>平</x:v>
      </x:c>
      <x:c r="K6815" s="6" t="str">
        <x:f>IF(D6815="","",IF(AND(ISNUMBER(SEARCH("平",D6815)),OR(ISNUMBER(SEARCH("上",D6815)),ISNUMBER(SEARCH("去",D6815)),ISNUMBER(SEARCH("入",D6815)))),"Ambiguous",IF(ISNUMBER(SEARCH("平",D6815)),"平","仄")))</x:f>
        <x:v>平</x:v>
      </x:c>
      <x:c r="L6815" s="7" t="str">
        <x:v>Pingshui main list expansion</x:v>
      </x:c>
    </x:row>
    <x:row r="6816">
      <x:c r="A6816" s="5" t="str">
        <x:v>忥</x:v>
      </x:c>
      <x:c r="B6816" s="6" t="str">
        <x:v>去</x:v>
      </x:c>
      <x:c r="C6816" s="6" t="str">
        <x:f>IF(B6816="","Needs decision","Ready")</x:f>
        <x:v>Ready</x:v>
      </x:c>
      <x:c r="D6816" s="6" t="str">
        <x:v>去</x:v>
      </x:c>
      <x:c r="E6816" s="6" t="str"/>
      <x:c r="F6816" s="6" t="str">
        <x:v>去聲五未</x:v>
      </x:c>
      <x:c r="G6816" s="6" t="str">
        <x:v>Pingshui main list, Wikisource-derived DOCX</x:v>
      </x:c>
      <x:c r="H6816" s="6" t="str"/>
      <x:c r="I6816" s="6" t="str">
        <x:v>Pingshui main-list expansion; 詞 entries ignored</x:v>
      </x:c>
      <x:c r="J6816" s="6" t="str">
        <x:f>IF(B6816="","",IF(AND(ISNUMBER(SEARCH("平",B6816)),OR(ISNUMBER(SEARCH("上",B6816)),ISNUMBER(SEARCH("去",B6816)),ISNUMBER(SEARCH("入",B6816)))),"Ambiguous",IF(ISNUMBER(SEARCH("平",B6816)),"平","仄")))</x:f>
        <x:v>仄</x:v>
      </x:c>
      <x:c r="K6816" s="6" t="str">
        <x:f>IF(D6816="","",IF(AND(ISNUMBER(SEARCH("平",D6816)),OR(ISNUMBER(SEARCH("上",D6816)),ISNUMBER(SEARCH("去",D6816)),ISNUMBER(SEARCH("入",D6816)))),"Ambiguous",IF(ISNUMBER(SEARCH("平",D6816)),"平","仄")))</x:f>
        <x:v>仄</x:v>
      </x:c>
      <x:c r="L6816" s="7" t="str">
        <x:v>Pingshui main list expansion</x:v>
      </x:c>
    </x:row>
    <x:row r="6817">
      <x:c r="A6817" s="5" t="str">
        <x:v>忪</x:v>
      </x:c>
      <x:c r="B6817" s="6" t="str">
        <x:v>平</x:v>
      </x:c>
      <x:c r="C6817" s="6" t="str">
        <x:f>IF(B6817="","Needs decision","Ready")</x:f>
        <x:v>Ready</x:v>
      </x:c>
      <x:c r="D6817" s="6" t="str">
        <x:v>平</x:v>
      </x:c>
      <x:c r="E6817" s="6" t="str"/>
      <x:c r="F6817" s="6" t="str">
        <x:v>上平聲二冬</x:v>
      </x:c>
      <x:c r="G6817" s="6" t="str">
        <x:v>Pingshui main list, Wikisource-derived DOCX</x:v>
      </x:c>
      <x:c r="H6817" s="6" t="str"/>
      <x:c r="I6817" s="6" t="str">
        <x:v>Pingshui main-list expansion; 詞 entries ignored</x:v>
      </x:c>
      <x:c r="J6817" s="6" t="str">
        <x:f>IF(B6817="","",IF(AND(ISNUMBER(SEARCH("平",B6817)),OR(ISNUMBER(SEARCH("上",B6817)),ISNUMBER(SEARCH("去",B6817)),ISNUMBER(SEARCH("入",B6817)))),"Ambiguous",IF(ISNUMBER(SEARCH("平",B6817)),"平","仄")))</x:f>
        <x:v>平</x:v>
      </x:c>
      <x:c r="K6817" s="6" t="str">
        <x:f>IF(D6817="","",IF(AND(ISNUMBER(SEARCH("平",D6817)),OR(ISNUMBER(SEARCH("上",D6817)),ISNUMBER(SEARCH("去",D6817)),ISNUMBER(SEARCH("入",D6817)))),"Ambiguous",IF(ISNUMBER(SEARCH("平",D6817)),"平","仄")))</x:f>
        <x:v>平</x:v>
      </x:c>
      <x:c r="L6817" s="7" t="str">
        <x:v>Pingshui main list expansion</x:v>
      </x:c>
    </x:row>
    <x:row r="6818">
      <x:c r="A6818" s="5" t="str">
        <x:v>忭</x:v>
      </x:c>
      <x:c r="B6818" s="6" t="str">
        <x:v>去</x:v>
      </x:c>
      <x:c r="C6818" s="6" t="str">
        <x:f>IF(B6818="","Needs decision","Ready")</x:f>
        <x:v>Ready</x:v>
      </x:c>
      <x:c r="D6818" s="6" t="str">
        <x:v>去</x:v>
      </x:c>
      <x:c r="E6818" s="6" t="str"/>
      <x:c r="F6818" s="6" t="str">
        <x:v>去聲十七霰</x:v>
      </x:c>
      <x:c r="G6818" s="6" t="str">
        <x:v>Pingshui main list, Wikisource-derived DOCX</x:v>
      </x:c>
      <x:c r="H6818" s="6" t="str"/>
      <x:c r="I6818" s="6" t="str">
        <x:v>Pingshui main-list expansion; 詞 entries ignored</x:v>
      </x:c>
      <x:c r="J6818" s="6" t="str">
        <x:f>IF(B6818="","",IF(AND(ISNUMBER(SEARCH("平",B6818)),OR(ISNUMBER(SEARCH("上",B6818)),ISNUMBER(SEARCH("去",B6818)),ISNUMBER(SEARCH("入",B6818)))),"Ambiguous",IF(ISNUMBER(SEARCH("平",B6818)),"平","仄")))</x:f>
        <x:v>仄</x:v>
      </x:c>
      <x:c r="K6818" s="6" t="str">
        <x:f>IF(D6818="","",IF(AND(ISNUMBER(SEARCH("平",D6818)),OR(ISNUMBER(SEARCH("上",D6818)),ISNUMBER(SEARCH("去",D6818)),ISNUMBER(SEARCH("入",D6818)))),"Ambiguous",IF(ISNUMBER(SEARCH("平",D6818)),"平","仄")))</x:f>
        <x:v>仄</x:v>
      </x:c>
      <x:c r="L6818" s="7" t="str">
        <x:v>Pingshui main list expansion</x:v>
      </x:c>
    </x:row>
    <x:row r="6819">
      <x:c r="A6819" s="5" t="str">
        <x:v>忮</x:v>
      </x:c>
      <x:c r="B6819" s="6" t="str">
        <x:v>去</x:v>
      </x:c>
      <x:c r="C6819" s="6" t="str">
        <x:f>IF(B6819="","Needs decision","Ready")</x:f>
        <x:v>Ready</x:v>
      </x:c>
      <x:c r="D6819" s="6" t="str">
        <x:v>去</x:v>
      </x:c>
      <x:c r="E6819" s="6" t="str"/>
      <x:c r="F6819" s="6" t="str">
        <x:v>去聲四寘</x:v>
      </x:c>
      <x:c r="G6819" s="6" t="str">
        <x:v>Pingshui main list, Wikisource-derived DOCX</x:v>
      </x:c>
      <x:c r="H6819" s="6" t="str"/>
      <x:c r="I6819" s="6" t="str">
        <x:v>Pingshui main-list expansion; 詞 entries ignored</x:v>
      </x:c>
      <x:c r="J6819" s="6" t="str">
        <x:f>IF(B6819="","",IF(AND(ISNUMBER(SEARCH("平",B6819)),OR(ISNUMBER(SEARCH("上",B6819)),ISNUMBER(SEARCH("去",B6819)),ISNUMBER(SEARCH("入",B6819)))),"Ambiguous",IF(ISNUMBER(SEARCH("平",B6819)),"平","仄")))</x:f>
        <x:v>仄</x:v>
      </x:c>
      <x:c r="K6819" s="6" t="str">
        <x:f>IF(D6819="","",IF(AND(ISNUMBER(SEARCH("平",D6819)),OR(ISNUMBER(SEARCH("上",D6819)),ISNUMBER(SEARCH("去",D6819)),ISNUMBER(SEARCH("入",D6819)))),"Ambiguous",IF(ISNUMBER(SEARCH("平",D6819)),"平","仄")))</x:f>
        <x:v>仄</x:v>
      </x:c>
      <x:c r="L6819" s="7" t="str">
        <x:v>Pingshui main list expansion</x:v>
      </x:c>
    </x:row>
    <x:row r="6820">
      <x:c r="A6820" s="5" t="str">
        <x:v>忺</x:v>
      </x:c>
      <x:c r="B6820" s="6" t="str">
        <x:v>平</x:v>
      </x:c>
      <x:c r="C6820" s="6" t="str">
        <x:f>IF(B6820="","Needs decision","Ready")</x:f>
        <x:v>Ready</x:v>
      </x:c>
      <x:c r="D6820" s="6" t="str">
        <x:v>平</x:v>
      </x:c>
      <x:c r="E6820" s="6" t="str"/>
      <x:c r="F6820" s="6" t="str">
        <x:v>下平聲十四鹽</x:v>
      </x:c>
      <x:c r="G6820" s="6" t="str">
        <x:v>Pingshui main list, Wikisource-derived DOCX</x:v>
      </x:c>
      <x:c r="H6820" s="6" t="str"/>
      <x:c r="I6820" s="6" t="str">
        <x:v>Pingshui main-list expansion; 詞 entries ignored</x:v>
      </x:c>
      <x:c r="J6820" s="6" t="str">
        <x:f>IF(B6820="","",IF(AND(ISNUMBER(SEARCH("平",B6820)),OR(ISNUMBER(SEARCH("上",B6820)),ISNUMBER(SEARCH("去",B6820)),ISNUMBER(SEARCH("入",B6820)))),"Ambiguous",IF(ISNUMBER(SEARCH("平",B6820)),"平","仄")))</x:f>
        <x:v>平</x:v>
      </x:c>
      <x:c r="K6820" s="6" t="str">
        <x:f>IF(D6820="","",IF(AND(ISNUMBER(SEARCH("平",D6820)),OR(ISNUMBER(SEARCH("上",D6820)),ISNUMBER(SEARCH("去",D6820)),ISNUMBER(SEARCH("入",D6820)))),"Ambiguous",IF(ISNUMBER(SEARCH("平",D6820)),"平","仄")))</x:f>
        <x:v>平</x:v>
      </x:c>
      <x:c r="L6820" s="7" t="str">
        <x:v>Pingshui main list expansion</x:v>
      </x:c>
    </x:row>
    <x:row r="6821">
      <x:c r="A6821" s="5" t="str">
        <x:v>怊</x:v>
      </x:c>
      <x:c r="B6821" s="6" t="str">
        <x:v>平</x:v>
      </x:c>
      <x:c r="C6821" s="6" t="str">
        <x:f>IF(B6821="","Needs decision","Ready")</x:f>
        <x:v>Ready</x:v>
      </x:c>
      <x:c r="D6821" s="6" t="str">
        <x:v>平</x:v>
      </x:c>
      <x:c r="E6821" s="6" t="str"/>
      <x:c r="F6821" s="6" t="str">
        <x:v>下平聲二蕭</x:v>
      </x:c>
      <x:c r="G6821" s="6" t="str">
        <x:v>Pingshui main list, Wikisource-derived DOCX</x:v>
      </x:c>
      <x:c r="H6821" s="6" t="str"/>
      <x:c r="I6821" s="6" t="str">
        <x:v>Pingshui main-list expansion; 詞 entries ignored</x:v>
      </x:c>
      <x:c r="J6821" s="6" t="str">
        <x:f>IF(B6821="","",IF(AND(ISNUMBER(SEARCH("平",B6821)),OR(ISNUMBER(SEARCH("上",B6821)),ISNUMBER(SEARCH("去",B6821)),ISNUMBER(SEARCH("入",B6821)))),"Ambiguous",IF(ISNUMBER(SEARCH("平",B6821)),"平","仄")))</x:f>
        <x:v>平</x:v>
      </x:c>
      <x:c r="K6821" s="6" t="str">
        <x:f>IF(D6821="","",IF(AND(ISNUMBER(SEARCH("平",D6821)),OR(ISNUMBER(SEARCH("上",D6821)),ISNUMBER(SEARCH("去",D6821)),ISNUMBER(SEARCH("入",D6821)))),"Ambiguous",IF(ISNUMBER(SEARCH("平",D6821)),"平","仄")))</x:f>
        <x:v>平</x:v>
      </x:c>
      <x:c r="L6821" s="7" t="str">
        <x:v>Pingshui main list expansion</x:v>
      </x:c>
    </x:row>
    <x:row r="6822">
      <x:c r="A6822" s="5" t="str">
        <x:v>怌</x:v>
      </x:c>
      <x:c r="B6822" s="6" t="str">
        <x:v>平</x:v>
      </x:c>
      <x:c r="C6822" s="6" t="str">
        <x:f>IF(B6822="","Needs decision","Ready")</x:f>
        <x:v>Ready</x:v>
      </x:c>
      <x:c r="D6822" s="6" t="str">
        <x:v>平</x:v>
      </x:c>
      <x:c r="E6822" s="6" t="str"/>
      <x:c r="F6822" s="6" t="str">
        <x:v>上平聲四支</x:v>
      </x:c>
      <x:c r="G6822" s="6" t="str">
        <x:v>Pingshui main list, Wikisource-derived DOCX</x:v>
      </x:c>
      <x:c r="H6822" s="6" t="str"/>
      <x:c r="I6822" s="6" t="str">
        <x:v>Pingshui main-list expansion; 詞 entries ignored</x:v>
      </x:c>
      <x:c r="J6822" s="6" t="str">
        <x:f>IF(B6822="","",IF(AND(ISNUMBER(SEARCH("平",B6822)),OR(ISNUMBER(SEARCH("上",B6822)),ISNUMBER(SEARCH("去",B6822)),ISNUMBER(SEARCH("入",B6822)))),"Ambiguous",IF(ISNUMBER(SEARCH("平",B6822)),"平","仄")))</x:f>
        <x:v>平</x:v>
      </x:c>
      <x:c r="K6822" s="6" t="str">
        <x:f>IF(D6822="","",IF(AND(ISNUMBER(SEARCH("平",D6822)),OR(ISNUMBER(SEARCH("上",D6822)),ISNUMBER(SEARCH("去",D6822)),ISNUMBER(SEARCH("入",D6822)))),"Ambiguous",IF(ISNUMBER(SEARCH("平",D6822)),"平","仄")))</x:f>
        <x:v>平</x:v>
      </x:c>
      <x:c r="L6822" s="7" t="str">
        <x:v>Pingshui main list expansion</x:v>
      </x:c>
    </x:row>
    <x:row r="6823">
      <x:c r="A6823" s="5" t="str">
        <x:v>怓</x:v>
      </x:c>
      <x:c r="B6823" s="6" t="str">
        <x:v>平</x:v>
      </x:c>
      <x:c r="C6823" s="6" t="str">
        <x:f>IF(B6823="","Needs decision","Ready")</x:f>
        <x:v>Ready</x:v>
      </x:c>
      <x:c r="D6823" s="6" t="str">
        <x:v>平</x:v>
      </x:c>
      <x:c r="E6823" s="6" t="str"/>
      <x:c r="F6823" s="6" t="str">
        <x:v>下平聲三肴</x:v>
      </x:c>
      <x:c r="G6823" s="6" t="str">
        <x:v>Pingshui main list, Wikisource-derived DOCX</x:v>
      </x:c>
      <x:c r="H6823" s="6" t="str"/>
      <x:c r="I6823" s="6" t="str">
        <x:v>Pingshui main-list expansion; 詞 entries ignored</x:v>
      </x:c>
      <x:c r="J6823" s="6" t="str">
        <x:f>IF(B6823="","",IF(AND(ISNUMBER(SEARCH("平",B6823)),OR(ISNUMBER(SEARCH("上",B6823)),ISNUMBER(SEARCH("去",B6823)),ISNUMBER(SEARCH("入",B6823)))),"Ambiguous",IF(ISNUMBER(SEARCH("平",B6823)),"平","仄")))</x:f>
        <x:v>平</x:v>
      </x:c>
      <x:c r="K6823" s="6" t="str">
        <x:f>IF(D6823="","",IF(AND(ISNUMBER(SEARCH("平",D6823)),OR(ISNUMBER(SEARCH("上",D6823)),ISNUMBER(SEARCH("去",D6823)),ISNUMBER(SEARCH("入",D6823)))),"Ambiguous",IF(ISNUMBER(SEARCH("平",D6823)),"平","仄")))</x:f>
        <x:v>平</x:v>
      </x:c>
      <x:c r="L6823" s="7" t="str">
        <x:v>Pingshui main list expansion</x:v>
      </x:c>
    </x:row>
    <x:row r="6824">
      <x:c r="A6824" s="5" t="str">
        <x:v>怚</x:v>
      </x:c>
      <x:c r="B6824" s="6" t="str">
        <x:v>去</x:v>
      </x:c>
      <x:c r="C6824" s="6" t="str">
        <x:f>IF(B6824="","Needs decision","Ready")</x:f>
        <x:v>Ready</x:v>
      </x:c>
      <x:c r="D6824" s="6" t="str">
        <x:v>去</x:v>
      </x:c>
      <x:c r="E6824" s="6" t="str"/>
      <x:c r="F6824" s="6" t="str">
        <x:v>去聲六御</x:v>
      </x:c>
      <x:c r="G6824" s="6" t="str">
        <x:v>Pingshui main list, Wikisource-derived DOCX</x:v>
      </x:c>
      <x:c r="H6824" s="6" t="str"/>
      <x:c r="I6824" s="6" t="str">
        <x:v>Pingshui main-list expansion; 詞 entries ignored</x:v>
      </x:c>
      <x:c r="J6824" s="6" t="str">
        <x:f>IF(B6824="","",IF(AND(ISNUMBER(SEARCH("平",B6824)),OR(ISNUMBER(SEARCH("上",B6824)),ISNUMBER(SEARCH("去",B6824)),ISNUMBER(SEARCH("入",B6824)))),"Ambiguous",IF(ISNUMBER(SEARCH("平",B6824)),"平","仄")))</x:f>
        <x:v>仄</x:v>
      </x:c>
      <x:c r="K6824" s="6" t="str">
        <x:f>IF(D6824="","",IF(AND(ISNUMBER(SEARCH("平",D6824)),OR(ISNUMBER(SEARCH("上",D6824)),ISNUMBER(SEARCH("去",D6824)),ISNUMBER(SEARCH("入",D6824)))),"Ambiguous",IF(ISNUMBER(SEARCH("平",D6824)),"平","仄")))</x:f>
        <x:v>仄</x:v>
      </x:c>
      <x:c r="L6824" s="7" t="str">
        <x:v>Pingshui main list expansion</x:v>
      </x:c>
    </x:row>
    <x:row r="6825">
      <x:c r="A6825" s="5" t="str">
        <x:v>怤</x:v>
      </x:c>
      <x:c r="B6825" s="6" t="str">
        <x:v>平</x:v>
      </x:c>
      <x:c r="C6825" s="6" t="str">
        <x:f>IF(B6825="","Needs decision","Ready")</x:f>
        <x:v>Ready</x:v>
      </x:c>
      <x:c r="D6825" s="6" t="str">
        <x:v>平</x:v>
      </x:c>
      <x:c r="E6825" s="6" t="str"/>
      <x:c r="F6825" s="6" t="str">
        <x:v>上平聲七虞</x:v>
      </x:c>
      <x:c r="G6825" s="6" t="str">
        <x:v>Pingshui main list, Wikisource-derived DOCX</x:v>
      </x:c>
      <x:c r="H6825" s="6" t="str"/>
      <x:c r="I6825" s="6" t="str">
        <x:v>Pingshui main-list expansion; 詞 entries ignored</x:v>
      </x:c>
      <x:c r="J6825" s="6" t="str">
        <x:f>IF(B6825="","",IF(AND(ISNUMBER(SEARCH("平",B6825)),OR(ISNUMBER(SEARCH("上",B6825)),ISNUMBER(SEARCH("去",B6825)),ISNUMBER(SEARCH("入",B6825)))),"Ambiguous",IF(ISNUMBER(SEARCH("平",B6825)),"平","仄")))</x:f>
        <x:v>平</x:v>
      </x:c>
      <x:c r="K6825" s="6" t="str">
        <x:f>IF(D6825="","",IF(AND(ISNUMBER(SEARCH("平",D6825)),OR(ISNUMBER(SEARCH("上",D6825)),ISNUMBER(SEARCH("去",D6825)),ISNUMBER(SEARCH("入",D6825)))),"Ambiguous",IF(ISNUMBER(SEARCH("平",D6825)),"平","仄")))</x:f>
        <x:v>平</x:v>
      </x:c>
      <x:c r="L6825" s="7" t="str">
        <x:v>Pingshui main list expansion</x:v>
      </x:c>
    </x:row>
    <x:row r="6826">
      <x:c r="A6826" s="5" t="str">
        <x:v>怮</x:v>
      </x:c>
      <x:c r="B6826" s="6" t="str">
        <x:v>平</x:v>
      </x:c>
      <x:c r="C6826" s="6" t="str">
        <x:f>IF(B6826="","Needs decision","Ready")</x:f>
        <x:v>Ready</x:v>
      </x:c>
      <x:c r="D6826" s="6" t="str">
        <x:v>平</x:v>
      </x:c>
      <x:c r="E6826" s="6" t="str"/>
      <x:c r="F6826" s="6" t="str">
        <x:v>下平聲二蕭; 下平聲十一尤</x:v>
      </x:c>
      <x:c r="G6826" s="6" t="str">
        <x:v>Pingshui main list, Wikisource-derived DOCX</x:v>
      </x:c>
      <x:c r="H6826" s="6" t="str"/>
      <x:c r="I6826" s="6" t="str">
        <x:v>Pingshui main-list expansion; 詞 entries ignored</x:v>
      </x:c>
      <x:c r="J6826" s="6" t="str">
        <x:f>IF(B6826="","",IF(AND(ISNUMBER(SEARCH("平",B6826)),OR(ISNUMBER(SEARCH("上",B6826)),ISNUMBER(SEARCH("去",B6826)),ISNUMBER(SEARCH("入",B6826)))),"Ambiguous",IF(ISNUMBER(SEARCH("平",B6826)),"平","仄")))</x:f>
        <x:v>平</x:v>
      </x:c>
      <x:c r="K6826" s="6" t="str">
        <x:f>IF(D6826="","",IF(AND(ISNUMBER(SEARCH("平",D6826)),OR(ISNUMBER(SEARCH("上",D6826)),ISNUMBER(SEARCH("去",D6826)),ISNUMBER(SEARCH("入",D6826)))),"Ambiguous",IF(ISNUMBER(SEARCH("平",D6826)),"平","仄")))</x:f>
        <x:v>平</x:v>
      </x:c>
      <x:c r="L6826" s="7" t="str">
        <x:v>Pingshui main list expansion</x:v>
      </x:c>
    </x:row>
    <x:row r="6827">
      <x:c r="A6827" s="5" t="str">
        <x:v>怲</x:v>
      </x:c>
      <x:c r="B6827" s="6" t="str"/>
      <x:c r="C6827" s="6" t="str">
        <x:f>IF(B6827="","Needs decision","Ready")</x:f>
        <x:v>Needs decision</x:v>
      </x:c>
      <x:c r="D6827" s="6" t="str">
        <x:v>上/去</x:v>
      </x:c>
      <x:c r="E6827" s="6" t="str"/>
      <x:c r="F6827" s="6" t="str">
        <x:v>上聲二十三梗; 去聲二十四敬</x:v>
      </x:c>
      <x:c r="G6827" s="6" t="str">
        <x:v>Pingshui main list, Wikisource-derived DOCX</x:v>
      </x:c>
      <x:c r="H6827" s="6" t="str"/>
      <x:c r="I6827" s="6" t="str">
        <x:v>Pingshui main-list expansion; 詞 entries ignored</x:v>
      </x:c>
      <x:c r="J6827" s="6" t="str">
        <x:f>IF(B6827="","",IF(AND(ISNUMBER(SEARCH("平",B6827)),OR(ISNUMBER(SEARCH("上",B6827)),ISNUMBER(SEARCH("去",B6827)),ISNUMBER(SEARCH("入",B6827)))),"Ambiguous",IF(ISNUMBER(SEARCH("平",B6827)),"平","仄")))</x:f>
      </x:c>
      <x:c r="K6827" s="6" t="str">
        <x:f>IF(D6827="","",IF(AND(ISNUMBER(SEARCH("平",D6827)),OR(ISNUMBER(SEARCH("上",D6827)),ISNUMBER(SEARCH("去",D6827)),ISNUMBER(SEARCH("入",D6827)))),"Ambiguous",IF(ISNUMBER(SEARCH("平",D6827)),"平","仄")))</x:f>
        <x:v>仄</x:v>
      </x:c>
      <x:c r="L6827" s="7" t="str">
        <x:v>Pingshui main list expansion</x:v>
      </x:c>
    </x:row>
    <x:row r="6828">
      <x:c r="A6828" s="5" t="str">
        <x:v>恅</x:v>
      </x:c>
      <x:c r="B6828" s="6" t="str">
        <x:v>上</x:v>
      </x:c>
      <x:c r="C6828" s="6" t="str">
        <x:f>IF(B6828="","Needs decision","Ready")</x:f>
        <x:v>Ready</x:v>
      </x:c>
      <x:c r="D6828" s="6" t="str">
        <x:v>上</x:v>
      </x:c>
      <x:c r="E6828" s="6" t="str"/>
      <x:c r="F6828" s="6" t="str">
        <x:v>上聲十九皓</x:v>
      </x:c>
      <x:c r="G6828" s="6" t="str">
        <x:v>Pingshui main list, Wikisource-derived DOCX</x:v>
      </x:c>
      <x:c r="H6828" s="6" t="str"/>
      <x:c r="I6828" s="6" t="str">
        <x:v>Pingshui main-list expansion; 詞 entries ignored</x:v>
      </x:c>
      <x:c r="J6828" s="6" t="str">
        <x:f>IF(B6828="","",IF(AND(ISNUMBER(SEARCH("平",B6828)),OR(ISNUMBER(SEARCH("上",B6828)),ISNUMBER(SEARCH("去",B6828)),ISNUMBER(SEARCH("入",B6828)))),"Ambiguous",IF(ISNUMBER(SEARCH("平",B6828)),"平","仄")))</x:f>
        <x:v>仄</x:v>
      </x:c>
      <x:c r="K6828" s="6" t="str">
        <x:f>IF(D6828="","",IF(AND(ISNUMBER(SEARCH("平",D6828)),OR(ISNUMBER(SEARCH("上",D6828)),ISNUMBER(SEARCH("去",D6828)),ISNUMBER(SEARCH("入",D6828)))),"Ambiguous",IF(ISNUMBER(SEARCH("平",D6828)),"平","仄")))</x:f>
        <x:v>仄</x:v>
      </x:c>
      <x:c r="L6828" s="7" t="str">
        <x:v>Pingshui main list expansion</x:v>
      </x:c>
    </x:row>
    <x:row r="6829">
      <x:c r="A6829" s="5" t="str">
        <x:v>恔</x:v>
      </x:c>
      <x:c r="B6829" s="6" t="str">
        <x:v>去</x:v>
      </x:c>
      <x:c r="C6829" s="6" t="str">
        <x:f>IF(B6829="","Needs decision","Ready")</x:f>
        <x:v>Ready</x:v>
      </x:c>
      <x:c r="D6829" s="6" t="str">
        <x:v>去</x:v>
      </x:c>
      <x:c r="E6829" s="6" t="str"/>
      <x:c r="F6829" s="6" t="str">
        <x:v>去聲十九效</x:v>
      </x:c>
      <x:c r="G6829" s="6" t="str">
        <x:v>Pingshui main list, Wikisource-derived DOCX</x:v>
      </x:c>
      <x:c r="H6829" s="6" t="str"/>
      <x:c r="I6829" s="6" t="str">
        <x:v>Pingshui main-list expansion; 詞 entries ignored</x:v>
      </x:c>
      <x:c r="J6829" s="6" t="str">
        <x:f>IF(B6829="","",IF(AND(ISNUMBER(SEARCH("平",B6829)),OR(ISNUMBER(SEARCH("上",B6829)),ISNUMBER(SEARCH("去",B6829)),ISNUMBER(SEARCH("入",B6829)))),"Ambiguous",IF(ISNUMBER(SEARCH("平",B6829)),"平","仄")))</x:f>
        <x:v>仄</x:v>
      </x:c>
      <x:c r="K6829" s="6" t="str">
        <x:f>IF(D6829="","",IF(AND(ISNUMBER(SEARCH("平",D6829)),OR(ISNUMBER(SEARCH("上",D6829)),ISNUMBER(SEARCH("去",D6829)),ISNUMBER(SEARCH("入",D6829)))),"Ambiguous",IF(ISNUMBER(SEARCH("平",D6829)),"平","仄")))</x:f>
        <x:v>仄</x:v>
      </x:c>
      <x:c r="L6829" s="7" t="str">
        <x:v>Pingshui main list expansion</x:v>
      </x:c>
    </x:row>
    <x:row r="6830">
      <x:c r="A6830" s="5" t="str">
        <x:v>恞</x:v>
      </x:c>
      <x:c r="B6830" s="6" t="str">
        <x:v>平</x:v>
      </x:c>
      <x:c r="C6830" s="6" t="str">
        <x:f>IF(B6830="","Needs decision","Ready")</x:f>
        <x:v>Ready</x:v>
      </x:c>
      <x:c r="D6830" s="6" t="str">
        <x:v>平</x:v>
      </x:c>
      <x:c r="E6830" s="6" t="str"/>
      <x:c r="F6830" s="6" t="str">
        <x:v>上平聲四支</x:v>
      </x:c>
      <x:c r="G6830" s="6" t="str">
        <x:v>Pingshui main list, Wikisource-derived DOCX</x:v>
      </x:c>
      <x:c r="H6830" s="6" t="str"/>
      <x:c r="I6830" s="6" t="str">
        <x:v>Pingshui main-list expansion; 詞 entries ignored</x:v>
      </x:c>
      <x:c r="J6830" s="6" t="str">
        <x:f>IF(B6830="","",IF(AND(ISNUMBER(SEARCH("平",B6830)),OR(ISNUMBER(SEARCH("上",B6830)),ISNUMBER(SEARCH("去",B6830)),ISNUMBER(SEARCH("入",B6830)))),"Ambiguous",IF(ISNUMBER(SEARCH("平",B6830)),"平","仄")))</x:f>
        <x:v>平</x:v>
      </x:c>
      <x:c r="K6830" s="6" t="str">
        <x:f>IF(D6830="","",IF(AND(ISNUMBER(SEARCH("平",D6830)),OR(ISNUMBER(SEARCH("上",D6830)),ISNUMBER(SEARCH("去",D6830)),ISNUMBER(SEARCH("入",D6830)))),"Ambiguous",IF(ISNUMBER(SEARCH("平",D6830)),"平","仄")))</x:f>
        <x:v>平</x:v>
      </x:c>
      <x:c r="L6830" s="7" t="str">
        <x:v>Pingshui main list expansion</x:v>
      </x:c>
    </x:row>
    <x:row r="6831">
      <x:c r="A6831" s="5" t="str">
        <x:v>恟</x:v>
      </x:c>
      <x:c r="B6831" s="6" t="str"/>
      <x:c r="C6831" s="6" t="str">
        <x:f>IF(B6831="","Needs decision","Ready")</x:f>
        <x:v>Needs decision</x:v>
      </x:c>
      <x:c r="D6831" s="6" t="str">
        <x:v>平/上</x:v>
      </x:c>
      <x:c r="E6831" s="6" t="str"/>
      <x:c r="F6831" s="6" t="str">
        <x:v>上平聲二冬; 上聲二腫</x:v>
      </x:c>
      <x:c r="G6831" s="6" t="str">
        <x:v>Pingshui main list, Wikisource-derived DOCX</x:v>
      </x:c>
      <x:c r="H6831" s="6" t="str"/>
      <x:c r="I6831" s="6" t="str">
        <x:v>Pingshui main-list expansion; 詞 entries ignored</x:v>
      </x:c>
      <x:c r="J6831" s="6" t="str">
        <x:f>IF(B6831="","",IF(AND(ISNUMBER(SEARCH("平",B6831)),OR(ISNUMBER(SEARCH("上",B6831)),ISNUMBER(SEARCH("去",B6831)),ISNUMBER(SEARCH("入",B6831)))),"Ambiguous",IF(ISNUMBER(SEARCH("平",B6831)),"平","仄")))</x:f>
      </x:c>
      <x:c r="K6831" s="6" t="str">
        <x:f>IF(D6831="","",IF(AND(ISNUMBER(SEARCH("平",D6831)),OR(ISNUMBER(SEARCH("上",D6831)),ISNUMBER(SEARCH("去",D6831)),ISNUMBER(SEARCH("入",D6831)))),"Ambiguous",IF(ISNUMBER(SEARCH("平",D6831)),"平","仄")))</x:f>
        <x:v>Ambiguous</x:v>
      </x:c>
      <x:c r="L6831" s="7" t="str">
        <x:v>Pingshui main list expansion</x:v>
      </x:c>
    </x:row>
    <x:row r="6832">
      <x:c r="A6832" s="5" t="str">
        <x:v>恫</x:v>
      </x:c>
      <x:c r="B6832" s="6" t="str"/>
      <x:c r="C6832" s="6" t="str">
        <x:f>IF(B6832="","Needs decision","Ready")</x:f>
        <x:v>Needs decision</x:v>
      </x:c>
      <x:c r="D6832" s="6" t="str">
        <x:v>平/去</x:v>
      </x:c>
      <x:c r="E6832" s="6" t="str"/>
      <x:c r="F6832" s="6" t="str">
        <x:v>上平聲一東; 去聲一送</x:v>
      </x:c>
      <x:c r="G6832" s="6" t="str">
        <x:v>Pingshui main list, Wikisource-derived DOCX</x:v>
      </x:c>
      <x:c r="H6832" s="6" t="str"/>
      <x:c r="I6832" s="6" t="str">
        <x:v>Pingshui main-list expansion; 詞 entries ignored</x:v>
      </x:c>
      <x:c r="J6832" s="6" t="str">
        <x:f>IF(B6832="","",IF(AND(ISNUMBER(SEARCH("平",B6832)),OR(ISNUMBER(SEARCH("上",B6832)),ISNUMBER(SEARCH("去",B6832)),ISNUMBER(SEARCH("入",B6832)))),"Ambiguous",IF(ISNUMBER(SEARCH("平",B6832)),"平","仄")))</x:f>
      </x:c>
      <x:c r="K6832" s="6" t="str">
        <x:f>IF(D6832="","",IF(AND(ISNUMBER(SEARCH("平",D6832)),OR(ISNUMBER(SEARCH("上",D6832)),ISNUMBER(SEARCH("去",D6832)),ISNUMBER(SEARCH("入",D6832)))),"Ambiguous",IF(ISNUMBER(SEARCH("平",D6832)),"平","仄")))</x:f>
        <x:v>Ambiguous</x:v>
      </x:c>
      <x:c r="L6832" s="7" t="str">
        <x:v>Pingshui main list expansion</x:v>
      </x:c>
    </x:row>
    <x:row r="6833">
      <x:c r="A6833" s="5" t="str">
        <x:v>悇</x:v>
      </x:c>
      <x:c r="B6833" s="6" t="str">
        <x:v>去</x:v>
      </x:c>
      <x:c r="C6833" s="6" t="str">
        <x:f>IF(B6833="","Needs decision","Ready")</x:f>
        <x:v>Ready</x:v>
      </x:c>
      <x:c r="D6833" s="6" t="str">
        <x:v>去</x:v>
      </x:c>
      <x:c r="E6833" s="6" t="str"/>
      <x:c r="F6833" s="6" t="str">
        <x:v>去聲六御</x:v>
      </x:c>
      <x:c r="G6833" s="6" t="str">
        <x:v>Pingshui main list, Wikisource-derived DOCX</x:v>
      </x:c>
      <x:c r="H6833" s="6" t="str"/>
      <x:c r="I6833" s="6" t="str">
        <x:v>Pingshui main-list expansion; 詞 entries ignored</x:v>
      </x:c>
      <x:c r="J6833" s="6" t="str">
        <x:f>IF(B6833="","",IF(AND(ISNUMBER(SEARCH("平",B6833)),OR(ISNUMBER(SEARCH("上",B6833)),ISNUMBER(SEARCH("去",B6833)),ISNUMBER(SEARCH("入",B6833)))),"Ambiguous",IF(ISNUMBER(SEARCH("平",B6833)),"平","仄")))</x:f>
        <x:v>仄</x:v>
      </x:c>
      <x:c r="K6833" s="6" t="str">
        <x:f>IF(D6833="","",IF(AND(ISNUMBER(SEARCH("平",D6833)),OR(ISNUMBER(SEARCH("上",D6833)),ISNUMBER(SEARCH("去",D6833)),ISNUMBER(SEARCH("入",D6833)))),"Ambiguous",IF(ISNUMBER(SEARCH("平",D6833)),"平","仄")))</x:f>
        <x:v>仄</x:v>
      </x:c>
      <x:c r="L6833" s="7" t="str">
        <x:v>Pingshui main list expansion</x:v>
      </x:c>
    </x:row>
    <x:row r="6834">
      <x:c r="A6834" s="5" t="str">
        <x:v>悜</x:v>
      </x:c>
      <x:c r="B6834" s="6" t="str">
        <x:v>上</x:v>
      </x:c>
      <x:c r="C6834" s="6" t="str">
        <x:f>IF(B6834="","Needs decision","Ready")</x:f>
        <x:v>Ready</x:v>
      </x:c>
      <x:c r="D6834" s="6" t="str">
        <x:v>上</x:v>
      </x:c>
      <x:c r="E6834" s="6" t="str"/>
      <x:c r="F6834" s="6" t="str">
        <x:v>上聲二十三梗</x:v>
      </x:c>
      <x:c r="G6834" s="6" t="str">
        <x:v>Pingshui main list, Wikisource-derived DOCX</x:v>
      </x:c>
      <x:c r="H6834" s="6" t="str"/>
      <x:c r="I6834" s="6" t="str">
        <x:v>Pingshui main-list expansion; 詞 entries ignored</x:v>
      </x:c>
      <x:c r="J6834" s="6" t="str">
        <x:f>IF(B6834="","",IF(AND(ISNUMBER(SEARCH("平",B6834)),OR(ISNUMBER(SEARCH("上",B6834)),ISNUMBER(SEARCH("去",B6834)),ISNUMBER(SEARCH("入",B6834)))),"Ambiguous",IF(ISNUMBER(SEARCH("平",B6834)),"平","仄")))</x:f>
        <x:v>仄</x:v>
      </x:c>
      <x:c r="K6834" s="6" t="str">
        <x:f>IF(D6834="","",IF(AND(ISNUMBER(SEARCH("平",D6834)),OR(ISNUMBER(SEARCH("上",D6834)),ISNUMBER(SEARCH("去",D6834)),ISNUMBER(SEARCH("入",D6834)))),"Ambiguous",IF(ISNUMBER(SEARCH("平",D6834)),"平","仄")))</x:f>
        <x:v>仄</x:v>
      </x:c>
      <x:c r="L6834" s="7" t="str">
        <x:v>Pingshui main list expansion</x:v>
      </x:c>
    </x:row>
    <x:row r="6835">
      <x:c r="A6835" s="5" t="str">
        <x:v>悝</x:v>
      </x:c>
      <x:c r="B6835" s="6" t="str"/>
      <x:c r="C6835" s="6" t="str">
        <x:f>IF(B6835="","Needs decision","Ready")</x:f>
        <x:v>Needs decision</x:v>
      </x:c>
      <x:c r="D6835" s="6" t="str">
        <x:v>平/上</x:v>
      </x:c>
      <x:c r="E6835" s="6" t="str"/>
      <x:c r="F6835" s="6" t="str">
        <x:v>上平聲十灰; 上聲四紙</x:v>
      </x:c>
      <x:c r="G6835" s="6" t="str">
        <x:v>Pingshui main list, Wikisource-derived DOCX</x:v>
      </x:c>
      <x:c r="H6835" s="6" t="str"/>
      <x:c r="I6835" s="6" t="str">
        <x:v>Pingshui main-list expansion; 詞 entries ignored</x:v>
      </x:c>
      <x:c r="J6835" s="6" t="str">
        <x:f>IF(B6835="","",IF(AND(ISNUMBER(SEARCH("平",B6835)),OR(ISNUMBER(SEARCH("上",B6835)),ISNUMBER(SEARCH("去",B6835)),ISNUMBER(SEARCH("入",B6835)))),"Ambiguous",IF(ISNUMBER(SEARCH("平",B6835)),"平","仄")))</x:f>
      </x:c>
      <x:c r="K6835" s="6" t="str">
        <x:f>IF(D6835="","",IF(AND(ISNUMBER(SEARCH("平",D6835)),OR(ISNUMBER(SEARCH("上",D6835)),ISNUMBER(SEARCH("去",D6835)),ISNUMBER(SEARCH("入",D6835)))),"Ambiguous",IF(ISNUMBER(SEARCH("平",D6835)),"平","仄")))</x:f>
        <x:v>Ambiguous</x:v>
      </x:c>
      <x:c r="L6835" s="7" t="str">
        <x:v>Pingshui main list expansion</x:v>
      </x:c>
    </x:row>
    <x:row r="6836">
      <x:c r="A6836" s="5" t="str">
        <x:v>悹</x:v>
      </x:c>
      <x:c r="B6836" s="6" t="str"/>
      <x:c r="C6836" s="6" t="str">
        <x:f>IF(B6836="","Needs decision","Ready")</x:f>
        <x:v>Needs decision</x:v>
      </x:c>
      <x:c r="D6836" s="6" t="str">
        <x:v>上/去</x:v>
      </x:c>
      <x:c r="E6836" s="6" t="str"/>
      <x:c r="F6836" s="6" t="str">
        <x:v>上聲十四旱; 去聲十五翰</x:v>
      </x:c>
      <x:c r="G6836" s="6" t="str">
        <x:v>Pingshui main list, Wikisource-derived DOCX</x:v>
      </x:c>
      <x:c r="H6836" s="6" t="str"/>
      <x:c r="I6836" s="6" t="str">
        <x:v>Pingshui main-list expansion; 詞 entries ignored</x:v>
      </x:c>
      <x:c r="J6836" s="6" t="str">
        <x:f>IF(B6836="","",IF(AND(ISNUMBER(SEARCH("平",B6836)),OR(ISNUMBER(SEARCH("上",B6836)),ISNUMBER(SEARCH("去",B6836)),ISNUMBER(SEARCH("入",B6836)))),"Ambiguous",IF(ISNUMBER(SEARCH("平",B6836)),"平","仄")))</x:f>
      </x:c>
      <x:c r="K6836" s="6" t="str">
        <x:f>IF(D6836="","",IF(AND(ISNUMBER(SEARCH("平",D6836)),OR(ISNUMBER(SEARCH("上",D6836)),ISNUMBER(SEARCH("去",D6836)),ISNUMBER(SEARCH("入",D6836)))),"Ambiguous",IF(ISNUMBER(SEARCH("平",D6836)),"平","仄")))</x:f>
        <x:v>仄</x:v>
      </x:c>
      <x:c r="L6836" s="7" t="str">
        <x:v>Pingshui main list expansion</x:v>
      </x:c>
    </x:row>
    <x:row r="6837">
      <x:c r="A6837" s="5" t="str">
        <x:v>悾</x:v>
      </x:c>
      <x:c r="B6837" s="6" t="str">
        <x:v>平</x:v>
      </x:c>
      <x:c r="C6837" s="6" t="str">
        <x:f>IF(B6837="","Needs decision","Ready")</x:f>
        <x:v>Ready</x:v>
      </x:c>
      <x:c r="D6837" s="6" t="str">
        <x:v>平</x:v>
      </x:c>
      <x:c r="E6837" s="6" t="str"/>
      <x:c r="F6837" s="6" t="str">
        <x:v>上平聲一東; 上平聲三江</x:v>
      </x:c>
      <x:c r="G6837" s="6" t="str">
        <x:v>Pingshui main list, Wikisource-derived DOCX</x:v>
      </x:c>
      <x:c r="H6837" s="6" t="str"/>
      <x:c r="I6837" s="6" t="str">
        <x:v>Pingshui main-list expansion; 詞 entries ignored</x:v>
      </x:c>
      <x:c r="J6837" s="6" t="str">
        <x:f>IF(B6837="","",IF(AND(ISNUMBER(SEARCH("平",B6837)),OR(ISNUMBER(SEARCH("上",B6837)),ISNUMBER(SEARCH("去",B6837)),ISNUMBER(SEARCH("入",B6837)))),"Ambiguous",IF(ISNUMBER(SEARCH("平",B6837)),"平","仄")))</x:f>
        <x:v>平</x:v>
      </x:c>
      <x:c r="K6837" s="6" t="str">
        <x:f>IF(D6837="","",IF(AND(ISNUMBER(SEARCH("平",D6837)),OR(ISNUMBER(SEARCH("上",D6837)),ISNUMBER(SEARCH("去",D6837)),ISNUMBER(SEARCH("入",D6837)))),"Ambiguous",IF(ISNUMBER(SEARCH("平",D6837)),"平","仄")))</x:f>
        <x:v>平</x:v>
      </x:c>
      <x:c r="L6837" s="7" t="str">
        <x:v>Pingshui main list expansion</x:v>
      </x:c>
    </x:row>
    <x:row r="6838">
      <x:c r="A6838" s="5" t="str">
        <x:v>惈</x:v>
      </x:c>
      <x:c r="B6838" s="6" t="str">
        <x:v>上</x:v>
      </x:c>
      <x:c r="C6838" s="6" t="str">
        <x:f>IF(B6838="","Needs decision","Ready")</x:f>
        <x:v>Ready</x:v>
      </x:c>
      <x:c r="D6838" s="6" t="str">
        <x:v>上</x:v>
      </x:c>
      <x:c r="E6838" s="6" t="str"/>
      <x:c r="F6838" s="6" t="str">
        <x:v>上聲二十哿</x:v>
      </x:c>
      <x:c r="G6838" s="6" t="str">
        <x:v>Pingshui main list, Wikisource-derived DOCX</x:v>
      </x:c>
      <x:c r="H6838" s="6" t="str"/>
      <x:c r="I6838" s="6" t="str">
        <x:v>Pingshui main-list expansion; 詞 entries ignored</x:v>
      </x:c>
      <x:c r="J6838" s="6" t="str">
        <x:f>IF(B6838="","",IF(AND(ISNUMBER(SEARCH("平",B6838)),OR(ISNUMBER(SEARCH("上",B6838)),ISNUMBER(SEARCH("去",B6838)),ISNUMBER(SEARCH("入",B6838)))),"Ambiguous",IF(ISNUMBER(SEARCH("平",B6838)),"平","仄")))</x:f>
        <x:v>仄</x:v>
      </x:c>
      <x:c r="K6838" s="6" t="str">
        <x:f>IF(D6838="","",IF(AND(ISNUMBER(SEARCH("平",D6838)),OR(ISNUMBER(SEARCH("上",D6838)),ISNUMBER(SEARCH("去",D6838)),ISNUMBER(SEARCH("入",D6838)))),"Ambiguous",IF(ISNUMBER(SEARCH("平",D6838)),"平","仄")))</x:f>
        <x:v>仄</x:v>
      </x:c>
      <x:c r="L6838" s="7" t="str">
        <x:v>Pingshui main list expansion</x:v>
      </x:c>
    </x:row>
    <x:row r="6839">
      <x:c r="A6839" s="5" t="str">
        <x:v>惎</x:v>
      </x:c>
      <x:c r="B6839" s="6" t="str">
        <x:v>去</x:v>
      </x:c>
      <x:c r="C6839" s="6" t="str">
        <x:f>IF(B6839="","Needs decision","Ready")</x:f>
        <x:v>Ready</x:v>
      </x:c>
      <x:c r="D6839" s="6" t="str">
        <x:v>去</x:v>
      </x:c>
      <x:c r="E6839" s="6" t="str"/>
      <x:c r="F6839" s="6" t="str">
        <x:v>去聲四寘</x:v>
      </x:c>
      <x:c r="G6839" s="6" t="str">
        <x:v>Pingshui main list, Wikisource-derived DOCX</x:v>
      </x:c>
      <x:c r="H6839" s="6" t="str"/>
      <x:c r="I6839" s="6" t="str">
        <x:v>Pingshui main-list expansion; 詞 entries ignored</x:v>
      </x:c>
      <x:c r="J6839" s="6" t="str">
        <x:f>IF(B6839="","",IF(AND(ISNUMBER(SEARCH("平",B6839)),OR(ISNUMBER(SEARCH("上",B6839)),ISNUMBER(SEARCH("去",B6839)),ISNUMBER(SEARCH("入",B6839)))),"Ambiguous",IF(ISNUMBER(SEARCH("平",B6839)),"平","仄")))</x:f>
        <x:v>仄</x:v>
      </x:c>
      <x:c r="K6839" s="6" t="str">
        <x:f>IF(D6839="","",IF(AND(ISNUMBER(SEARCH("平",D6839)),OR(ISNUMBER(SEARCH("上",D6839)),ISNUMBER(SEARCH("去",D6839)),ISNUMBER(SEARCH("入",D6839)))),"Ambiguous",IF(ISNUMBER(SEARCH("平",D6839)),"平","仄")))</x:f>
        <x:v>仄</x:v>
      </x:c>
      <x:c r="L6839" s="7" t="str">
        <x:v>Pingshui main list expansion</x:v>
      </x:c>
    </x:row>
    <x:row r="6840">
      <x:c r="A6840" s="5" t="str">
        <x:v>惓</x:v>
      </x:c>
      <x:c r="B6840" s="6" t="str">
        <x:v>平</x:v>
      </x:c>
      <x:c r="C6840" s="6" t="str">
        <x:f>IF(B6840="","Needs decision","Ready")</x:f>
        <x:v>Ready</x:v>
      </x:c>
      <x:c r="D6840" s="6" t="str">
        <x:v>平</x:v>
      </x:c>
      <x:c r="E6840" s="6" t="str"/>
      <x:c r="F6840" s="6" t="str">
        <x:v>下平聲一先</x:v>
      </x:c>
      <x:c r="G6840" s="6" t="str">
        <x:v>Pingshui main list, Wikisource-derived DOCX</x:v>
      </x:c>
      <x:c r="H6840" s="6" t="str"/>
      <x:c r="I6840" s="6" t="str">
        <x:v>Pingshui main-list expansion; 詞 entries ignored</x:v>
      </x:c>
      <x:c r="J6840" s="6" t="str">
        <x:f>IF(B6840="","",IF(AND(ISNUMBER(SEARCH("平",B6840)),OR(ISNUMBER(SEARCH("上",B6840)),ISNUMBER(SEARCH("去",B6840)),ISNUMBER(SEARCH("入",B6840)))),"Ambiguous",IF(ISNUMBER(SEARCH("平",B6840)),"平","仄")))</x:f>
        <x:v>平</x:v>
      </x:c>
      <x:c r="K6840" s="6" t="str">
        <x:f>IF(D6840="","",IF(AND(ISNUMBER(SEARCH("平",D6840)),OR(ISNUMBER(SEARCH("上",D6840)),ISNUMBER(SEARCH("去",D6840)),ISNUMBER(SEARCH("入",D6840)))),"Ambiguous",IF(ISNUMBER(SEARCH("平",D6840)),"平","仄")))</x:f>
        <x:v>平</x:v>
      </x:c>
      <x:c r="L6840" s="7" t="str">
        <x:v>Pingshui main list expansion</x:v>
      </x:c>
    </x:row>
    <x:row r="6841">
      <x:c r="A6841" s="5" t="str">
        <x:v>惷</x:v>
      </x:c>
      <x:c r="B6841" s="6" t="str"/>
      <x:c r="C6841" s="6" t="str">
        <x:f>IF(B6841="","Needs decision","Ready")</x:f>
        <x:v>Needs decision</x:v>
      </x:c>
      <x:c r="D6841" s="6" t="str">
        <x:v>上/去</x:v>
      </x:c>
      <x:c r="E6841" s="6" t="str"/>
      <x:c r="F6841" s="6" t="str">
        <x:v>上聲十一軫; 去聲二宋; 去聲三絳</x:v>
      </x:c>
      <x:c r="G6841" s="6" t="str">
        <x:v>Pingshui main list, Wikisource-derived DOCX</x:v>
      </x:c>
      <x:c r="H6841" s="6" t="str"/>
      <x:c r="I6841" s="6" t="str">
        <x:v>Pingshui main-list expansion; 詞 entries ignored</x:v>
      </x:c>
      <x:c r="J6841" s="6" t="str">
        <x:f>IF(B6841="","",IF(AND(ISNUMBER(SEARCH("平",B6841)),OR(ISNUMBER(SEARCH("上",B6841)),ISNUMBER(SEARCH("去",B6841)),ISNUMBER(SEARCH("入",B6841)))),"Ambiguous",IF(ISNUMBER(SEARCH("平",B6841)),"平","仄")))</x:f>
      </x:c>
      <x:c r="K6841" s="6" t="str">
        <x:f>IF(D6841="","",IF(AND(ISNUMBER(SEARCH("平",D6841)),OR(ISNUMBER(SEARCH("上",D6841)),ISNUMBER(SEARCH("去",D6841)),ISNUMBER(SEARCH("入",D6841)))),"Ambiguous",IF(ISNUMBER(SEARCH("平",D6841)),"平","仄")))</x:f>
        <x:v>仄</x:v>
      </x:c>
      <x:c r="L6841" s="7" t="str">
        <x:v>Pingshui main list expansion</x:v>
      </x:c>
    </x:row>
    <x:row r="6842">
      <x:c r="A6842" s="5" t="str">
        <x:v>惸</x:v>
      </x:c>
      <x:c r="B6842" s="6" t="str">
        <x:v>平</x:v>
      </x:c>
      <x:c r="C6842" s="6" t="str">
        <x:f>IF(B6842="","Needs decision","Ready")</x:f>
        <x:v>Ready</x:v>
      </x:c>
      <x:c r="D6842" s="6" t="str">
        <x:v>平</x:v>
      </x:c>
      <x:c r="E6842" s="6" t="str"/>
      <x:c r="F6842" s="6" t="str">
        <x:v>下平聲八庚</x:v>
      </x:c>
      <x:c r="G6842" s="6" t="str">
        <x:v>Pingshui main list, Wikisource-derived DOCX</x:v>
      </x:c>
      <x:c r="H6842" s="6" t="str"/>
      <x:c r="I6842" s="6" t="str">
        <x:v>Pingshui main-list expansion; 詞 entries ignored</x:v>
      </x:c>
      <x:c r="J6842" s="6" t="str">
        <x:f>IF(B6842="","",IF(AND(ISNUMBER(SEARCH("平",B6842)),OR(ISNUMBER(SEARCH("上",B6842)),ISNUMBER(SEARCH("去",B6842)),ISNUMBER(SEARCH("入",B6842)))),"Ambiguous",IF(ISNUMBER(SEARCH("平",B6842)),"平","仄")))</x:f>
        <x:v>平</x:v>
      </x:c>
      <x:c r="K6842" s="6" t="str">
        <x:f>IF(D6842="","",IF(AND(ISNUMBER(SEARCH("平",D6842)),OR(ISNUMBER(SEARCH("上",D6842)),ISNUMBER(SEARCH("去",D6842)),ISNUMBER(SEARCH("入",D6842)))),"Ambiguous",IF(ISNUMBER(SEARCH("平",D6842)),"平","仄")))</x:f>
        <x:v>平</x:v>
      </x:c>
      <x:c r="L6842" s="7" t="str">
        <x:v>Pingshui main list expansion</x:v>
      </x:c>
    </x:row>
    <x:row r="6843">
      <x:c r="A6843" s="5" t="str">
        <x:v>惺</x:v>
      </x:c>
      <x:c r="B6843" s="6" t="str">
        <x:v>平</x:v>
      </x:c>
      <x:c r="C6843" s="6" t="str">
        <x:f>IF(B6843="","Needs decision","Ready")</x:f>
        <x:v>Ready</x:v>
      </x:c>
      <x:c r="D6843" s="6" t="str">
        <x:v>平</x:v>
      </x:c>
      <x:c r="E6843" s="6" t="str"/>
      <x:c r="F6843" s="6" t="str">
        <x:v>下平聲九青</x:v>
      </x:c>
      <x:c r="G6843" s="6" t="str">
        <x:v>Pingshui main list, Wikisource-derived DOCX</x:v>
      </x:c>
      <x:c r="H6843" s="6" t="str"/>
      <x:c r="I6843" s="6" t="str">
        <x:v>Pingshui main-list expansion; 詞 entries ignored</x:v>
      </x:c>
      <x:c r="J6843" s="6" t="str">
        <x:f>IF(B6843="","",IF(AND(ISNUMBER(SEARCH("平",B6843)),OR(ISNUMBER(SEARCH("上",B6843)),ISNUMBER(SEARCH("去",B6843)),ISNUMBER(SEARCH("入",B6843)))),"Ambiguous",IF(ISNUMBER(SEARCH("平",B6843)),"平","仄")))</x:f>
        <x:v>平</x:v>
      </x:c>
      <x:c r="K6843" s="6" t="str">
        <x:f>IF(D6843="","",IF(AND(ISNUMBER(SEARCH("平",D6843)),OR(ISNUMBER(SEARCH("上",D6843)),ISNUMBER(SEARCH("去",D6843)),ISNUMBER(SEARCH("入",D6843)))),"Ambiguous",IF(ISNUMBER(SEARCH("平",D6843)),"平","仄")))</x:f>
        <x:v>平</x:v>
      </x:c>
      <x:c r="L6843" s="7" t="str">
        <x:v>Pingshui main list expansion</x:v>
      </x:c>
    </x:row>
    <x:row r="6844">
      <x:c r="A6844" s="5" t="str">
        <x:v>惼</x:v>
      </x:c>
      <x:c r="B6844" s="6" t="str">
        <x:v>上</x:v>
      </x:c>
      <x:c r="C6844" s="6" t="str">
        <x:f>IF(B6844="","Needs decision","Ready")</x:f>
        <x:v>Ready</x:v>
      </x:c>
      <x:c r="D6844" s="6" t="str">
        <x:v>上</x:v>
      </x:c>
      <x:c r="E6844" s="6" t="str"/>
      <x:c r="F6844" s="6" t="str">
        <x:v>上聲十六銑</x:v>
      </x:c>
      <x:c r="G6844" s="6" t="str">
        <x:v>Pingshui main list, Wikisource-derived DOCX</x:v>
      </x:c>
      <x:c r="H6844" s="6" t="str"/>
      <x:c r="I6844" s="6" t="str">
        <x:v>Pingshui main-list expansion; 詞 entries ignored</x:v>
      </x:c>
      <x:c r="J6844" s="6" t="str">
        <x:f>IF(B6844="","",IF(AND(ISNUMBER(SEARCH("平",B6844)),OR(ISNUMBER(SEARCH("上",B6844)),ISNUMBER(SEARCH("去",B6844)),ISNUMBER(SEARCH("入",B6844)))),"Ambiguous",IF(ISNUMBER(SEARCH("平",B6844)),"平","仄")))</x:f>
        <x:v>仄</x:v>
      </x:c>
      <x:c r="K6844" s="6" t="str">
        <x:f>IF(D6844="","",IF(AND(ISNUMBER(SEARCH("平",D6844)),OR(ISNUMBER(SEARCH("上",D6844)),ISNUMBER(SEARCH("去",D6844)),ISNUMBER(SEARCH("入",D6844)))),"Ambiguous",IF(ISNUMBER(SEARCH("平",D6844)),"平","仄")))</x:f>
        <x:v>仄</x:v>
      </x:c>
      <x:c r="L6844" s="7" t="str">
        <x:v>Pingshui main list expansion</x:v>
      </x:c>
    </x:row>
    <x:row r="6845">
      <x:c r="A6845" s="5" t="str">
        <x:v>愀</x:v>
      </x:c>
      <x:c r="B6845" s="6" t="str">
        <x:v>上</x:v>
      </x:c>
      <x:c r="C6845" s="6" t="str">
        <x:f>IF(B6845="","Needs decision","Ready")</x:f>
        <x:v>Ready</x:v>
      </x:c>
      <x:c r="D6845" s="6" t="str">
        <x:v>上</x:v>
      </x:c>
      <x:c r="E6845" s="6" t="str"/>
      <x:c r="F6845" s="6" t="str">
        <x:v>上聲十七篠</x:v>
      </x:c>
      <x:c r="G6845" s="6" t="str">
        <x:v>Pingshui main list, Wikisource-derived DOCX</x:v>
      </x:c>
      <x:c r="H6845" s="6" t="str"/>
      <x:c r="I6845" s="6" t="str">
        <x:v>Pingshui main-list expansion; 詞 entries ignored</x:v>
      </x:c>
      <x:c r="J6845" s="6" t="str">
        <x:f>IF(B6845="","",IF(AND(ISNUMBER(SEARCH("平",B6845)),OR(ISNUMBER(SEARCH("上",B6845)),ISNUMBER(SEARCH("去",B6845)),ISNUMBER(SEARCH("入",B6845)))),"Ambiguous",IF(ISNUMBER(SEARCH("平",B6845)),"平","仄")))</x:f>
        <x:v>仄</x:v>
      </x:c>
      <x:c r="K6845" s="6" t="str">
        <x:f>IF(D6845="","",IF(AND(ISNUMBER(SEARCH("平",D6845)),OR(ISNUMBER(SEARCH("上",D6845)),ISNUMBER(SEARCH("去",D6845)),ISNUMBER(SEARCH("入",D6845)))),"Ambiguous",IF(ISNUMBER(SEARCH("平",D6845)),"平","仄")))</x:f>
        <x:v>仄</x:v>
      </x:c>
      <x:c r="L6845" s="7" t="str">
        <x:v>Pingshui main list expansion</x:v>
      </x:c>
    </x:row>
    <x:row r="6846">
      <x:c r="A6846" s="5" t="str">
        <x:v>愎</x:v>
      </x:c>
      <x:c r="B6846" s="6" t="str">
        <x:v>入</x:v>
      </x:c>
      <x:c r="C6846" s="6" t="str">
        <x:f>IF(B6846="","Needs decision","Ready")</x:f>
        <x:v>Ready</x:v>
      </x:c>
      <x:c r="D6846" s="6" t="str">
        <x:v>入</x:v>
      </x:c>
      <x:c r="E6846" s="6" t="str"/>
      <x:c r="F6846" s="6" t="str">
        <x:v>入聲十三職</x:v>
      </x:c>
      <x:c r="G6846" s="6" t="str">
        <x:v>Pingshui main list, Wikisource-derived DOCX</x:v>
      </x:c>
      <x:c r="H6846" s="6" t="str"/>
      <x:c r="I6846" s="6" t="str">
        <x:v>Pingshui main-list expansion; 詞 entries ignored</x:v>
      </x:c>
      <x:c r="J6846" s="6" t="str">
        <x:f>IF(B6846="","",IF(AND(ISNUMBER(SEARCH("平",B6846)),OR(ISNUMBER(SEARCH("上",B6846)),ISNUMBER(SEARCH("去",B6846)),ISNUMBER(SEARCH("入",B6846)))),"Ambiguous",IF(ISNUMBER(SEARCH("平",B6846)),"平","仄")))</x:f>
        <x:v>仄</x:v>
      </x:c>
      <x:c r="K6846" s="6" t="str">
        <x:f>IF(D6846="","",IF(AND(ISNUMBER(SEARCH("平",D6846)),OR(ISNUMBER(SEARCH("上",D6846)),ISNUMBER(SEARCH("去",D6846)),ISNUMBER(SEARCH("入",D6846)))),"Ambiguous",IF(ISNUMBER(SEARCH("平",D6846)),"平","仄")))</x:f>
        <x:v>仄</x:v>
      </x:c>
      <x:c r="L6846" s="7" t="str">
        <x:v>Pingshui main list expansion</x:v>
      </x:c>
    </x:row>
    <x:row r="6847">
      <x:c r="A6847" s="5" t="str">
        <x:v>愐</x:v>
      </x:c>
      <x:c r="B6847" s="6" t="str">
        <x:v>上</x:v>
      </x:c>
      <x:c r="C6847" s="6" t="str">
        <x:f>IF(B6847="","Needs decision","Ready")</x:f>
        <x:v>Ready</x:v>
      </x:c>
      <x:c r="D6847" s="6" t="str">
        <x:v>上</x:v>
      </x:c>
      <x:c r="E6847" s="6" t="str"/>
      <x:c r="F6847" s="6" t="str">
        <x:v>上聲十六銑</x:v>
      </x:c>
      <x:c r="G6847" s="6" t="str">
        <x:v>Pingshui main list, Wikisource-derived DOCX</x:v>
      </x:c>
      <x:c r="H6847" s="6" t="str"/>
      <x:c r="I6847" s="6" t="str">
        <x:v>Pingshui main-list expansion; 詞 entries ignored</x:v>
      </x:c>
      <x:c r="J6847" s="6" t="str">
        <x:f>IF(B6847="","",IF(AND(ISNUMBER(SEARCH("平",B6847)),OR(ISNUMBER(SEARCH("上",B6847)),ISNUMBER(SEARCH("去",B6847)),ISNUMBER(SEARCH("入",B6847)))),"Ambiguous",IF(ISNUMBER(SEARCH("平",B6847)),"平","仄")))</x:f>
        <x:v>仄</x:v>
      </x:c>
      <x:c r="K6847" s="6" t="str">
        <x:f>IF(D6847="","",IF(AND(ISNUMBER(SEARCH("平",D6847)),OR(ISNUMBER(SEARCH("上",D6847)),ISNUMBER(SEARCH("去",D6847)),ISNUMBER(SEARCH("入",D6847)))),"Ambiguous",IF(ISNUMBER(SEARCH("平",D6847)),"平","仄")))</x:f>
        <x:v>仄</x:v>
      </x:c>
      <x:c r="L6847" s="7" t="str">
        <x:v>Pingshui main list expansion</x:v>
      </x:c>
    </x:row>
    <x:row r="6848">
      <x:c r="A6848" s="5" t="str">
        <x:v>愮</x:v>
      </x:c>
      <x:c r="B6848" s="6" t="str">
        <x:v>平</x:v>
      </x:c>
      <x:c r="C6848" s="6" t="str">
        <x:f>IF(B6848="","Needs decision","Ready")</x:f>
        <x:v>Ready</x:v>
      </x:c>
      <x:c r="D6848" s="6" t="str">
        <x:v>平</x:v>
      </x:c>
      <x:c r="E6848" s="6" t="str"/>
      <x:c r="F6848" s="6" t="str">
        <x:v>下平聲二蕭</x:v>
      </x:c>
      <x:c r="G6848" s="6" t="str">
        <x:v>Pingshui main list, Wikisource-derived DOCX</x:v>
      </x:c>
      <x:c r="H6848" s="6" t="str"/>
      <x:c r="I6848" s="6" t="str">
        <x:v>Pingshui main-list expansion; 詞 entries ignored</x:v>
      </x:c>
      <x:c r="J6848" s="6" t="str">
        <x:f>IF(B6848="","",IF(AND(ISNUMBER(SEARCH("平",B6848)),OR(ISNUMBER(SEARCH("上",B6848)),ISNUMBER(SEARCH("去",B6848)),ISNUMBER(SEARCH("入",B6848)))),"Ambiguous",IF(ISNUMBER(SEARCH("平",B6848)),"平","仄")))</x:f>
        <x:v>平</x:v>
      </x:c>
      <x:c r="K6848" s="6" t="str">
        <x:f>IF(D6848="","",IF(AND(ISNUMBER(SEARCH("平",D6848)),OR(ISNUMBER(SEARCH("上",D6848)),ISNUMBER(SEARCH("去",D6848)),ISNUMBER(SEARCH("入",D6848)))),"Ambiguous",IF(ISNUMBER(SEARCH("平",D6848)),"平","仄")))</x:f>
        <x:v>平</x:v>
      </x:c>
      <x:c r="L6848" s="7" t="str">
        <x:v>Pingshui main list expansion</x:v>
      </x:c>
    </x:row>
    <x:row r="6849">
      <x:c r="A6849" s="5" t="str">
        <x:v>愶</x:v>
      </x:c>
      <x:c r="B6849" s="6" t="str">
        <x:v>入</x:v>
      </x:c>
      <x:c r="C6849" s="6" t="str">
        <x:f>IF(B6849="","Needs decision","Ready")</x:f>
        <x:v>Ready</x:v>
      </x:c>
      <x:c r="D6849" s="6" t="str">
        <x:v>入</x:v>
      </x:c>
      <x:c r="E6849" s="6" t="str"/>
      <x:c r="F6849" s="6" t="str">
        <x:v>入聲十七洽</x:v>
      </x:c>
      <x:c r="G6849" s="6" t="str">
        <x:v>Pingshui main list, Wikisource-derived DOCX</x:v>
      </x:c>
      <x:c r="H6849" s="6" t="str"/>
      <x:c r="I6849" s="6" t="str">
        <x:v>Pingshui main-list expansion; 詞 entries ignored</x:v>
      </x:c>
      <x:c r="J6849" s="6" t="str">
        <x:f>IF(B6849="","",IF(AND(ISNUMBER(SEARCH("平",B6849)),OR(ISNUMBER(SEARCH("上",B6849)),ISNUMBER(SEARCH("去",B6849)),ISNUMBER(SEARCH("入",B6849)))),"Ambiguous",IF(ISNUMBER(SEARCH("平",B6849)),"平","仄")))</x:f>
        <x:v>仄</x:v>
      </x:c>
      <x:c r="K6849" s="6" t="str">
        <x:f>IF(D6849="","",IF(AND(ISNUMBER(SEARCH("平",D6849)),OR(ISNUMBER(SEARCH("上",D6849)),ISNUMBER(SEARCH("去",D6849)),ISNUMBER(SEARCH("入",D6849)))),"Ambiguous",IF(ISNUMBER(SEARCH("平",D6849)),"平","仄")))</x:f>
        <x:v>仄</x:v>
      </x:c>
      <x:c r="L6849" s="7" t="str">
        <x:v>Pingshui main list expansion</x:v>
      </x:c>
    </x:row>
    <x:row r="6850">
      <x:c r="A6850" s="5" t="str">
        <x:v>慁</x:v>
      </x:c>
      <x:c r="B6850" s="6" t="str">
        <x:v>去</x:v>
      </x:c>
      <x:c r="C6850" s="6" t="str">
        <x:f>IF(B6850="","Needs decision","Ready")</x:f>
        <x:v>Ready</x:v>
      </x:c>
      <x:c r="D6850" s="6" t="str">
        <x:v>去</x:v>
      </x:c>
      <x:c r="E6850" s="6" t="str"/>
      <x:c r="F6850" s="6" t="str">
        <x:v>去聲十四願</x:v>
      </x:c>
      <x:c r="G6850" s="6" t="str">
        <x:v>Pingshui main list, Wikisource-derived DOCX</x:v>
      </x:c>
      <x:c r="H6850" s="6" t="str"/>
      <x:c r="I6850" s="6" t="str">
        <x:v>Pingshui main-list expansion; 詞 entries ignored</x:v>
      </x:c>
      <x:c r="J6850" s="6" t="str">
        <x:f>IF(B6850="","",IF(AND(ISNUMBER(SEARCH("平",B6850)),OR(ISNUMBER(SEARCH("上",B6850)),ISNUMBER(SEARCH("去",B6850)),ISNUMBER(SEARCH("入",B6850)))),"Ambiguous",IF(ISNUMBER(SEARCH("平",B6850)),"平","仄")))</x:f>
        <x:v>仄</x:v>
      </x:c>
      <x:c r="K6850" s="6" t="str">
        <x:f>IF(D6850="","",IF(AND(ISNUMBER(SEARCH("平",D6850)),OR(ISNUMBER(SEARCH("上",D6850)),ISNUMBER(SEARCH("去",D6850)),ISNUMBER(SEARCH("入",D6850)))),"Ambiguous",IF(ISNUMBER(SEARCH("平",D6850)),"平","仄")))</x:f>
        <x:v>仄</x:v>
      </x:c>
      <x:c r="L6850" s="7" t="str">
        <x:v>Pingshui main list expansion</x:v>
      </x:c>
    </x:row>
    <x:row r="6851">
      <x:c r="A6851" s="5" t="str">
        <x:v>慓</x:v>
      </x:c>
      <x:c r="B6851" s="6" t="str"/>
      <x:c r="C6851" s="6" t="str">
        <x:f>IF(B6851="","Needs decision","Ready")</x:f>
        <x:v>Needs decision</x:v>
      </x:c>
      <x:c r="D6851" s="6" t="str">
        <x:v>上/去</x:v>
      </x:c>
      <x:c r="E6851" s="6" t="str"/>
      <x:c r="F6851" s="6" t="str">
        <x:v>上聲十七篠; 去聲十八嘯</x:v>
      </x:c>
      <x:c r="G6851" s="6" t="str">
        <x:v>Pingshui main list, Wikisource-derived DOCX</x:v>
      </x:c>
      <x:c r="H6851" s="6" t="str"/>
      <x:c r="I6851" s="6" t="str">
        <x:v>Pingshui main-list expansion; 詞 entries ignored</x:v>
      </x:c>
      <x:c r="J6851" s="6" t="str">
        <x:f>IF(B6851="","",IF(AND(ISNUMBER(SEARCH("平",B6851)),OR(ISNUMBER(SEARCH("上",B6851)),ISNUMBER(SEARCH("去",B6851)),ISNUMBER(SEARCH("入",B6851)))),"Ambiguous",IF(ISNUMBER(SEARCH("平",B6851)),"平","仄")))</x:f>
      </x:c>
      <x:c r="K6851" s="6" t="str">
        <x:f>IF(D6851="","",IF(AND(ISNUMBER(SEARCH("平",D6851)),OR(ISNUMBER(SEARCH("上",D6851)),ISNUMBER(SEARCH("去",D6851)),ISNUMBER(SEARCH("入",D6851)))),"Ambiguous",IF(ISNUMBER(SEARCH("平",D6851)),"平","仄")))</x:f>
        <x:v>仄</x:v>
      </x:c>
      <x:c r="L6851" s="7" t="str">
        <x:v>Pingshui main list expansion</x:v>
      </x:c>
    </x:row>
    <x:row r="6852">
      <x:c r="A6852" s="5" t="str">
        <x:v>慞</x:v>
      </x:c>
      <x:c r="B6852" s="6" t="str">
        <x:v>平</x:v>
      </x:c>
      <x:c r="C6852" s="6" t="str">
        <x:f>IF(B6852="","Needs decision","Ready")</x:f>
        <x:v>Ready</x:v>
      </x:c>
      <x:c r="D6852" s="6" t="str">
        <x:v>平</x:v>
      </x:c>
      <x:c r="E6852" s="6" t="str"/>
      <x:c r="F6852" s="6" t="str">
        <x:v>下平聲七陽</x:v>
      </x:c>
      <x:c r="G6852" s="6" t="str">
        <x:v>Pingshui main list, Wikisource-derived DOCX</x:v>
      </x:c>
      <x:c r="H6852" s="6" t="str"/>
      <x:c r="I6852" s="6" t="str">
        <x:v>Pingshui main-list expansion; 詞 entries ignored</x:v>
      </x:c>
      <x:c r="J6852" s="6" t="str">
        <x:f>IF(B6852="","",IF(AND(ISNUMBER(SEARCH("平",B6852)),OR(ISNUMBER(SEARCH("上",B6852)),ISNUMBER(SEARCH("去",B6852)),ISNUMBER(SEARCH("入",B6852)))),"Ambiguous",IF(ISNUMBER(SEARCH("平",B6852)),"平","仄")))</x:f>
        <x:v>平</x:v>
      </x:c>
      <x:c r="K6852" s="6" t="str">
        <x:f>IF(D6852="","",IF(AND(ISNUMBER(SEARCH("平",D6852)),OR(ISNUMBER(SEARCH("上",D6852)),ISNUMBER(SEARCH("去",D6852)),ISNUMBER(SEARCH("入",D6852)))),"Ambiguous",IF(ISNUMBER(SEARCH("平",D6852)),"平","仄")))</x:f>
        <x:v>平</x:v>
      </x:c>
      <x:c r="L6852" s="7" t="str">
        <x:v>Pingshui main list expansion</x:v>
      </x:c>
    </x:row>
    <x:row r="6853">
      <x:c r="A6853" s="5" t="str">
        <x:v>慥</x:v>
      </x:c>
      <x:c r="B6853" s="6" t="str">
        <x:v>去</x:v>
      </x:c>
      <x:c r="C6853" s="6" t="str">
        <x:f>IF(B6853="","Needs decision","Ready")</x:f>
        <x:v>Ready</x:v>
      </x:c>
      <x:c r="D6853" s="6" t="str">
        <x:v>去</x:v>
      </x:c>
      <x:c r="E6853" s="6" t="str"/>
      <x:c r="F6853" s="6" t="str">
        <x:v>去聲二十號</x:v>
      </x:c>
      <x:c r="G6853" s="6" t="str">
        <x:v>Pingshui main list, Wikisource-derived DOCX</x:v>
      </x:c>
      <x:c r="H6853" s="6" t="str"/>
      <x:c r="I6853" s="6" t="str">
        <x:v>Pingshui main-list expansion; 詞 entries ignored</x:v>
      </x:c>
      <x:c r="J6853" s="6" t="str">
        <x:f>IF(B6853="","",IF(AND(ISNUMBER(SEARCH("平",B6853)),OR(ISNUMBER(SEARCH("上",B6853)),ISNUMBER(SEARCH("去",B6853)),ISNUMBER(SEARCH("入",B6853)))),"Ambiguous",IF(ISNUMBER(SEARCH("平",B6853)),"平","仄")))</x:f>
        <x:v>仄</x:v>
      </x:c>
      <x:c r="K6853" s="6" t="str">
        <x:f>IF(D6853="","",IF(AND(ISNUMBER(SEARCH("平",D6853)),OR(ISNUMBER(SEARCH("上",D6853)),ISNUMBER(SEARCH("去",D6853)),ISNUMBER(SEARCH("入",D6853)))),"Ambiguous",IF(ISNUMBER(SEARCH("平",D6853)),"平","仄")))</x:f>
        <x:v>仄</x:v>
      </x:c>
      <x:c r="L6853" s="7" t="str">
        <x:v>Pingshui main list expansion</x:v>
      </x:c>
    </x:row>
    <x:row r="6854">
      <x:c r="A6854" s="5" t="str">
        <x:v>慱</x:v>
      </x:c>
      <x:c r="B6854" s="6" t="str">
        <x:v>平</x:v>
      </x:c>
      <x:c r="C6854" s="6" t="str">
        <x:f>IF(B6854="","Needs decision","Ready")</x:f>
        <x:v>Ready</x:v>
      </x:c>
      <x:c r="D6854" s="6" t="str">
        <x:v>平</x:v>
      </x:c>
      <x:c r="E6854" s="6" t="str"/>
      <x:c r="F6854" s="6" t="str">
        <x:v>上平聲十四寒</x:v>
      </x:c>
      <x:c r="G6854" s="6" t="str">
        <x:v>Pingshui main list, Wikisource-derived DOCX</x:v>
      </x:c>
      <x:c r="H6854" s="6" t="str"/>
      <x:c r="I6854" s="6" t="str">
        <x:v>Pingshui main-list expansion; 詞 entries ignored</x:v>
      </x:c>
      <x:c r="J6854" s="6" t="str">
        <x:f>IF(B6854="","",IF(AND(ISNUMBER(SEARCH("平",B6854)),OR(ISNUMBER(SEARCH("上",B6854)),ISNUMBER(SEARCH("去",B6854)),ISNUMBER(SEARCH("入",B6854)))),"Ambiguous",IF(ISNUMBER(SEARCH("平",B6854)),"平","仄")))</x:f>
        <x:v>平</x:v>
      </x:c>
      <x:c r="K6854" s="6" t="str">
        <x:f>IF(D6854="","",IF(AND(ISNUMBER(SEARCH("平",D6854)),OR(ISNUMBER(SEARCH("上",D6854)),ISNUMBER(SEARCH("去",D6854)),ISNUMBER(SEARCH("入",D6854)))),"Ambiguous",IF(ISNUMBER(SEARCH("平",D6854)),"平","仄")))</x:f>
        <x:v>平</x:v>
      </x:c>
      <x:c r="L6854" s="7" t="str">
        <x:v>Pingshui main list expansion</x:v>
      </x:c>
    </x:row>
    <x:row r="6855">
      <x:c r="A6855" s="5" t="str">
        <x:v>慴</x:v>
      </x:c>
      <x:c r="B6855" s="6" t="str">
        <x:v>入</x:v>
      </x:c>
      <x:c r="C6855" s="6" t="str">
        <x:f>IF(B6855="","Needs decision","Ready")</x:f>
        <x:v>Ready</x:v>
      </x:c>
      <x:c r="D6855" s="6" t="str">
        <x:v>入</x:v>
      </x:c>
      <x:c r="E6855" s="6" t="str"/>
      <x:c r="F6855" s="6" t="str">
        <x:v>入聲十六葉</x:v>
      </x:c>
      <x:c r="G6855" s="6" t="str">
        <x:v>Pingshui main list, Wikisource-derived DOCX</x:v>
      </x:c>
      <x:c r="H6855" s="6" t="str"/>
      <x:c r="I6855" s="6" t="str">
        <x:v>Pingshui main-list expansion; 詞 entries ignored</x:v>
      </x:c>
      <x:c r="J6855" s="6" t="str">
        <x:f>IF(B6855="","",IF(AND(ISNUMBER(SEARCH("平",B6855)),OR(ISNUMBER(SEARCH("上",B6855)),ISNUMBER(SEARCH("去",B6855)),ISNUMBER(SEARCH("入",B6855)))),"Ambiguous",IF(ISNUMBER(SEARCH("平",B6855)),"平","仄")))</x:f>
        <x:v>仄</x:v>
      </x:c>
      <x:c r="K6855" s="6" t="str">
        <x:f>IF(D6855="","",IF(AND(ISNUMBER(SEARCH("平",D6855)),OR(ISNUMBER(SEARCH("上",D6855)),ISNUMBER(SEARCH("去",D6855)),ISNUMBER(SEARCH("入",D6855)))),"Ambiguous",IF(ISNUMBER(SEARCH("平",D6855)),"平","仄")))</x:f>
        <x:v>仄</x:v>
      </x:c>
      <x:c r="L6855" s="7" t="str">
        <x:v>Pingshui main list expansion</x:v>
      </x:c>
    </x:row>
    <x:row r="6856">
      <x:c r="A6856" s="5" t="str">
        <x:v>慺</x:v>
      </x:c>
      <x:c r="B6856" s="6" t="str">
        <x:v>平</x:v>
      </x:c>
      <x:c r="C6856" s="6" t="str">
        <x:f>IF(B6856="","Needs decision","Ready")</x:f>
        <x:v>Ready</x:v>
      </x:c>
      <x:c r="D6856" s="6" t="str">
        <x:v>平</x:v>
      </x:c>
      <x:c r="E6856" s="6" t="str"/>
      <x:c r="F6856" s="6" t="str">
        <x:v>上平聲七虞; 下平聲十一尤</x:v>
      </x:c>
      <x:c r="G6856" s="6" t="str">
        <x:v>Pingshui main list, Wikisource-derived DOCX</x:v>
      </x:c>
      <x:c r="H6856" s="6" t="str"/>
      <x:c r="I6856" s="6" t="str">
        <x:v>Pingshui main-list expansion; 詞 entries ignored</x:v>
      </x:c>
      <x:c r="J6856" s="6" t="str">
        <x:f>IF(B6856="","",IF(AND(ISNUMBER(SEARCH("平",B6856)),OR(ISNUMBER(SEARCH("上",B6856)),ISNUMBER(SEARCH("去",B6856)),ISNUMBER(SEARCH("入",B6856)))),"Ambiguous",IF(ISNUMBER(SEARCH("平",B6856)),"平","仄")))</x:f>
        <x:v>平</x:v>
      </x:c>
      <x:c r="K6856" s="6" t="str">
        <x:f>IF(D6856="","",IF(AND(ISNUMBER(SEARCH("平",D6856)),OR(ISNUMBER(SEARCH("上",D6856)),ISNUMBER(SEARCH("去",D6856)),ISNUMBER(SEARCH("入",D6856)))),"Ambiguous",IF(ISNUMBER(SEARCH("平",D6856)),"平","仄")))</x:f>
        <x:v>平</x:v>
      </x:c>
      <x:c r="L6856" s="7" t="str">
        <x:v>Pingshui main list expansion</x:v>
      </x:c>
    </x:row>
    <x:row r="6857">
      <x:c r="A6857" s="5" t="str">
        <x:v>憀</x:v>
      </x:c>
      <x:c r="B6857" s="6" t="str">
        <x:v>平</x:v>
      </x:c>
      <x:c r="C6857" s="6" t="str">
        <x:f>IF(B6857="","Needs decision","Ready")</x:f>
        <x:v>Ready</x:v>
      </x:c>
      <x:c r="D6857" s="6" t="str">
        <x:v>平</x:v>
      </x:c>
      <x:c r="E6857" s="6" t="str"/>
      <x:c r="F6857" s="6" t="str">
        <x:v>下平聲二蕭</x:v>
      </x:c>
      <x:c r="G6857" s="6" t="str">
        <x:v>Pingshui main list, Wikisource-derived DOCX</x:v>
      </x:c>
      <x:c r="H6857" s="6" t="str"/>
      <x:c r="I6857" s="6" t="str">
        <x:v>Pingshui main-list expansion; 詞 entries ignored</x:v>
      </x:c>
      <x:c r="J6857" s="6" t="str">
        <x:f>IF(B6857="","",IF(AND(ISNUMBER(SEARCH("平",B6857)),OR(ISNUMBER(SEARCH("上",B6857)),ISNUMBER(SEARCH("去",B6857)),ISNUMBER(SEARCH("入",B6857)))),"Ambiguous",IF(ISNUMBER(SEARCH("平",B6857)),"平","仄")))</x:f>
        <x:v>平</x:v>
      </x:c>
      <x:c r="K6857" s="6" t="str">
        <x:f>IF(D6857="","",IF(AND(ISNUMBER(SEARCH("平",D6857)),OR(ISNUMBER(SEARCH("上",D6857)),ISNUMBER(SEARCH("去",D6857)),ISNUMBER(SEARCH("入",D6857)))),"Ambiguous",IF(ISNUMBER(SEARCH("平",D6857)),"平","仄")))</x:f>
        <x:v>平</x:v>
      </x:c>
      <x:c r="L6857" s="7" t="str">
        <x:v>Pingshui main list expansion</x:v>
      </x:c>
    </x:row>
    <x:row r="6858">
      <x:c r="A6858" s="5" t="str">
        <x:v>憝</x:v>
      </x:c>
      <x:c r="B6858" s="6" t="str">
        <x:v>去</x:v>
      </x:c>
      <x:c r="C6858" s="6" t="str">
        <x:f>IF(B6858="","Needs decision","Ready")</x:f>
        <x:v>Ready</x:v>
      </x:c>
      <x:c r="D6858" s="6" t="str">
        <x:v>去</x:v>
      </x:c>
      <x:c r="E6858" s="6" t="str"/>
      <x:c r="F6858" s="6" t="str">
        <x:v>去聲十一隊</x:v>
      </x:c>
      <x:c r="G6858" s="6" t="str">
        <x:v>Pingshui main list, Wikisource-derived DOCX</x:v>
      </x:c>
      <x:c r="H6858" s="6" t="str"/>
      <x:c r="I6858" s="6" t="str">
        <x:v>Pingshui main-list expansion; 詞 entries ignored</x:v>
      </x:c>
      <x:c r="J6858" s="6" t="str">
        <x:f>IF(B6858="","",IF(AND(ISNUMBER(SEARCH("平",B6858)),OR(ISNUMBER(SEARCH("上",B6858)),ISNUMBER(SEARCH("去",B6858)),ISNUMBER(SEARCH("入",B6858)))),"Ambiguous",IF(ISNUMBER(SEARCH("平",B6858)),"平","仄")))</x:f>
        <x:v>仄</x:v>
      </x:c>
      <x:c r="K6858" s="6" t="str">
        <x:f>IF(D6858="","",IF(AND(ISNUMBER(SEARCH("平",D6858)),OR(ISNUMBER(SEARCH("上",D6858)),ISNUMBER(SEARCH("去",D6858)),ISNUMBER(SEARCH("入",D6858)))),"Ambiguous",IF(ISNUMBER(SEARCH("平",D6858)),"平","仄")))</x:f>
        <x:v>仄</x:v>
      </x:c>
      <x:c r="L6858" s="7" t="str">
        <x:v>Pingshui main list expansion</x:v>
      </x:c>
    </x:row>
    <x:row r="6859">
      <x:c r="A6859" s="5" t="str">
        <x:v>憧</x:v>
      </x:c>
      <x:c r="B6859" s="6" t="str"/>
      <x:c r="C6859" s="6" t="str">
        <x:f>IF(B6859="","Needs decision","Ready")</x:f>
        <x:v>Needs decision</x:v>
      </x:c>
      <x:c r="D6859" s="6" t="str">
        <x:v>平/去</x:v>
      </x:c>
      <x:c r="E6859" s="6" t="str"/>
      <x:c r="F6859" s="6" t="str">
        <x:v>上平聲二冬; 去聲三絳</x:v>
      </x:c>
      <x:c r="G6859" s="6" t="str">
        <x:v>Pingshui main list, Wikisource-derived DOCX</x:v>
      </x:c>
      <x:c r="H6859" s="6" t="str"/>
      <x:c r="I6859" s="6" t="str">
        <x:v>Pingshui main-list expansion; 詞 entries ignored</x:v>
      </x:c>
      <x:c r="J6859" s="6" t="str">
        <x:f>IF(B6859="","",IF(AND(ISNUMBER(SEARCH("平",B6859)),OR(ISNUMBER(SEARCH("上",B6859)),ISNUMBER(SEARCH("去",B6859)),ISNUMBER(SEARCH("入",B6859)))),"Ambiguous",IF(ISNUMBER(SEARCH("平",B6859)),"平","仄")))</x:f>
      </x:c>
      <x:c r="K6859" s="6" t="str">
        <x:f>IF(D6859="","",IF(AND(ISNUMBER(SEARCH("平",D6859)),OR(ISNUMBER(SEARCH("上",D6859)),ISNUMBER(SEARCH("去",D6859)),ISNUMBER(SEARCH("入",D6859)))),"Ambiguous",IF(ISNUMBER(SEARCH("平",D6859)),"平","仄")))</x:f>
        <x:v>Ambiguous</x:v>
      </x:c>
      <x:c r="L6859" s="7" t="str">
        <x:v>Pingshui main list expansion</x:v>
      </x:c>
    </x:row>
    <x:row r="6860">
      <x:c r="A6860" s="5" t="str">
        <x:v>憨</x:v>
      </x:c>
      <x:c r="B6860" s="6" t="str"/>
      <x:c r="C6860" s="6" t="str">
        <x:f>IF(B6860="","Needs decision","Ready")</x:f>
        <x:v>Needs decision</x:v>
      </x:c>
      <x:c r="D6860" s="6" t="str">
        <x:v>平/去</x:v>
      </x:c>
      <x:c r="E6860" s="6" t="str"/>
      <x:c r="F6860" s="6" t="str">
        <x:v>下平聲十三覃; 去聲二十八勘</x:v>
      </x:c>
      <x:c r="G6860" s="6" t="str">
        <x:v>Pingshui main list, Wikisource-derived DOCX</x:v>
      </x:c>
      <x:c r="H6860" s="6" t="str"/>
      <x:c r="I6860" s="6" t="str">
        <x:v>Pingshui main-list expansion; 詞 entries ignored</x:v>
      </x:c>
      <x:c r="J6860" s="6" t="str">
        <x:f>IF(B6860="","",IF(AND(ISNUMBER(SEARCH("平",B6860)),OR(ISNUMBER(SEARCH("上",B6860)),ISNUMBER(SEARCH("去",B6860)),ISNUMBER(SEARCH("入",B6860)))),"Ambiguous",IF(ISNUMBER(SEARCH("平",B6860)),"平","仄")))</x:f>
      </x:c>
      <x:c r="K6860" s="6" t="str">
        <x:f>IF(D6860="","",IF(AND(ISNUMBER(SEARCH("平",D6860)),OR(ISNUMBER(SEARCH("上",D6860)),ISNUMBER(SEARCH("去",D6860)),ISNUMBER(SEARCH("入",D6860)))),"Ambiguous",IF(ISNUMBER(SEARCH("平",D6860)),"平","仄")))</x:f>
        <x:v>Ambiguous</x:v>
      </x:c>
      <x:c r="L6860" s="7" t="str">
        <x:v>Pingshui main list expansion</x:v>
      </x:c>
    </x:row>
    <x:row r="6861">
      <x:c r="A6861" s="5" t="str">
        <x:v>憪</x:v>
      </x:c>
      <x:c r="B6861" s="6" t="str">
        <x:v>平</x:v>
      </x:c>
      <x:c r="C6861" s="6" t="str">
        <x:f>IF(B6861="","Needs decision","Ready")</x:f>
        <x:v>Ready</x:v>
      </x:c>
      <x:c r="D6861" s="6" t="str">
        <x:v>平</x:v>
      </x:c>
      <x:c r="E6861" s="6" t="str"/>
      <x:c r="F6861" s="6" t="str">
        <x:v>上平聲十五刪</x:v>
      </x:c>
      <x:c r="G6861" s="6" t="str">
        <x:v>Pingshui main list, Wikisource-derived DOCX</x:v>
      </x:c>
      <x:c r="H6861" s="6" t="str"/>
      <x:c r="I6861" s="6" t="str">
        <x:v>Pingshui main-list expansion; 詞 entries ignored</x:v>
      </x:c>
      <x:c r="J6861" s="6" t="str">
        <x:f>IF(B6861="","",IF(AND(ISNUMBER(SEARCH("平",B6861)),OR(ISNUMBER(SEARCH("上",B6861)),ISNUMBER(SEARCH("去",B6861)),ISNUMBER(SEARCH("入",B6861)))),"Ambiguous",IF(ISNUMBER(SEARCH("平",B6861)),"平","仄")))</x:f>
        <x:v>平</x:v>
      </x:c>
      <x:c r="K6861" s="6" t="str">
        <x:f>IF(D6861="","",IF(AND(ISNUMBER(SEARCH("平",D6861)),OR(ISNUMBER(SEARCH("上",D6861)),ISNUMBER(SEARCH("去",D6861)),ISNUMBER(SEARCH("入",D6861)))),"Ambiguous",IF(ISNUMBER(SEARCH("平",D6861)),"平","仄")))</x:f>
        <x:v>平</x:v>
      </x:c>
      <x:c r="L6861" s="7" t="str">
        <x:v>Pingshui main list expansion</x:v>
      </x:c>
    </x:row>
    <x:row r="6862">
      <x:c r="A6862" s="5" t="str">
        <x:v>憴</x:v>
      </x:c>
      <x:c r="B6862" s="6" t="str">
        <x:v>平</x:v>
      </x:c>
      <x:c r="C6862" s="6" t="str">
        <x:f>IF(B6862="","Needs decision","Ready")</x:f>
        <x:v>Ready</x:v>
      </x:c>
      <x:c r="D6862" s="6" t="str">
        <x:v>平</x:v>
      </x:c>
      <x:c r="E6862" s="6" t="str"/>
      <x:c r="F6862" s="6" t="str">
        <x:v>下平聲十蒸</x:v>
      </x:c>
      <x:c r="G6862" s="6" t="str">
        <x:v>Pingshui main list, Wikisource-derived DOCX</x:v>
      </x:c>
      <x:c r="H6862" s="6" t="str"/>
      <x:c r="I6862" s="6" t="str">
        <x:v>Pingshui main-list expansion; 詞 entries ignored</x:v>
      </x:c>
      <x:c r="J6862" s="6" t="str">
        <x:f>IF(B6862="","",IF(AND(ISNUMBER(SEARCH("平",B6862)),OR(ISNUMBER(SEARCH("上",B6862)),ISNUMBER(SEARCH("去",B6862)),ISNUMBER(SEARCH("入",B6862)))),"Ambiguous",IF(ISNUMBER(SEARCH("平",B6862)),"平","仄")))</x:f>
        <x:v>平</x:v>
      </x:c>
      <x:c r="K6862" s="6" t="str">
        <x:f>IF(D6862="","",IF(AND(ISNUMBER(SEARCH("平",D6862)),OR(ISNUMBER(SEARCH("上",D6862)),ISNUMBER(SEARCH("去",D6862)),ISNUMBER(SEARCH("入",D6862)))),"Ambiguous",IF(ISNUMBER(SEARCH("平",D6862)),"平","仄")))</x:f>
        <x:v>平</x:v>
      </x:c>
      <x:c r="L6862" s="7" t="str">
        <x:v>Pingshui main list expansion</x:v>
      </x:c>
    </x:row>
    <x:row r="6863">
      <x:c r="A6863" s="5" t="str">
        <x:v>憸</x:v>
      </x:c>
      <x:c r="B6863" s="6" t="str">
        <x:v>平</x:v>
      </x:c>
      <x:c r="C6863" s="6" t="str">
        <x:f>IF(B6863="","Needs decision","Ready")</x:f>
        <x:v>Ready</x:v>
      </x:c>
      <x:c r="D6863" s="6" t="str">
        <x:v>平</x:v>
      </x:c>
      <x:c r="E6863" s="6" t="str"/>
      <x:c r="F6863" s="6" t="str">
        <x:v>下平聲十四鹽</x:v>
      </x:c>
      <x:c r="G6863" s="6" t="str">
        <x:v>Pingshui main list, Wikisource-derived DOCX</x:v>
      </x:c>
      <x:c r="H6863" s="6" t="str"/>
      <x:c r="I6863" s="6" t="str">
        <x:v>Pingshui main-list expansion; 詞 entries ignored</x:v>
      </x:c>
      <x:c r="J6863" s="6" t="str">
        <x:f>IF(B6863="","",IF(AND(ISNUMBER(SEARCH("平",B6863)),OR(ISNUMBER(SEARCH("上",B6863)),ISNUMBER(SEARCH("去",B6863)),ISNUMBER(SEARCH("入",B6863)))),"Ambiguous",IF(ISNUMBER(SEARCH("平",B6863)),"平","仄")))</x:f>
        <x:v>平</x:v>
      </x:c>
      <x:c r="K6863" s="6" t="str">
        <x:f>IF(D6863="","",IF(AND(ISNUMBER(SEARCH("平",D6863)),OR(ISNUMBER(SEARCH("上",D6863)),ISNUMBER(SEARCH("去",D6863)),ISNUMBER(SEARCH("入",D6863)))),"Ambiguous",IF(ISNUMBER(SEARCH("平",D6863)),"平","仄")))</x:f>
        <x:v>平</x:v>
      </x:c>
      <x:c r="L6863" s="7" t="str">
        <x:v>Pingshui main list expansion</x:v>
      </x:c>
    </x:row>
    <x:row r="6864">
      <x:c r="A6864" s="5" t="str">
        <x:v>憿</x:v>
      </x:c>
      <x:c r="B6864" s="6" t="str">
        <x:v>平</x:v>
      </x:c>
      <x:c r="C6864" s="6" t="str">
        <x:f>IF(B6864="","Needs decision","Ready")</x:f>
        <x:v>Ready</x:v>
      </x:c>
      <x:c r="D6864" s="6" t="str">
        <x:v>平</x:v>
      </x:c>
      <x:c r="E6864" s="6" t="str"/>
      <x:c r="F6864" s="6" t="str">
        <x:v>下平聲二蕭</x:v>
      </x:c>
      <x:c r="G6864" s="6" t="str">
        <x:v>Pingshui main list, Wikisource-derived DOCX</x:v>
      </x:c>
      <x:c r="H6864" s="6" t="str"/>
      <x:c r="I6864" s="6" t="str">
        <x:v>Pingshui main-list expansion; 詞 entries ignored</x:v>
      </x:c>
      <x:c r="J6864" s="6" t="str">
        <x:f>IF(B6864="","",IF(AND(ISNUMBER(SEARCH("平",B6864)),OR(ISNUMBER(SEARCH("上",B6864)),ISNUMBER(SEARCH("去",B6864)),ISNUMBER(SEARCH("入",B6864)))),"Ambiguous",IF(ISNUMBER(SEARCH("平",B6864)),"平","仄")))</x:f>
        <x:v>平</x:v>
      </x:c>
      <x:c r="K6864" s="6" t="str">
        <x:f>IF(D6864="","",IF(AND(ISNUMBER(SEARCH("平",D6864)),OR(ISNUMBER(SEARCH("上",D6864)),ISNUMBER(SEARCH("去",D6864)),ISNUMBER(SEARCH("入",D6864)))),"Ambiguous",IF(ISNUMBER(SEARCH("平",D6864)),"平","仄")))</x:f>
        <x:v>平</x:v>
      </x:c>
      <x:c r="L6864" s="7" t="str">
        <x:v>Pingshui main list expansion</x:v>
      </x:c>
    </x:row>
    <x:row r="6865">
      <x:c r="A6865" s="5" t="str">
        <x:v>懁</x:v>
      </x:c>
      <x:c r="B6865" s="6" t="str">
        <x:v>平</x:v>
      </x:c>
      <x:c r="C6865" s="6" t="str">
        <x:f>IF(B6865="","Needs decision","Ready")</x:f>
        <x:v>Ready</x:v>
      </x:c>
      <x:c r="D6865" s="6" t="str">
        <x:v>平</x:v>
      </x:c>
      <x:c r="E6865" s="6" t="str"/>
      <x:c r="F6865" s="6" t="str">
        <x:v>下平聲一先</x:v>
      </x:c>
      <x:c r="G6865" s="6" t="str">
        <x:v>Pingshui main list, Wikisource-derived DOCX</x:v>
      </x:c>
      <x:c r="H6865" s="6" t="str"/>
      <x:c r="I6865" s="6" t="str">
        <x:v>Pingshui main-list expansion; 詞 entries ignored</x:v>
      </x:c>
      <x:c r="J6865" s="6" t="str">
        <x:f>IF(B6865="","",IF(AND(ISNUMBER(SEARCH("平",B6865)),OR(ISNUMBER(SEARCH("上",B6865)),ISNUMBER(SEARCH("去",B6865)),ISNUMBER(SEARCH("入",B6865)))),"Ambiguous",IF(ISNUMBER(SEARCH("平",B6865)),"平","仄")))</x:f>
        <x:v>平</x:v>
      </x:c>
      <x:c r="K6865" s="6" t="str">
        <x:f>IF(D6865="","",IF(AND(ISNUMBER(SEARCH("平",D6865)),OR(ISNUMBER(SEARCH("上",D6865)),ISNUMBER(SEARCH("去",D6865)),ISNUMBER(SEARCH("入",D6865)))),"Ambiguous",IF(ISNUMBER(SEARCH("平",D6865)),"平","仄")))</x:f>
        <x:v>平</x:v>
      </x:c>
      <x:c r="L6865" s="7" t="str">
        <x:v>Pingshui main list expansion</x:v>
      </x:c>
    </x:row>
    <x:row r="6866">
      <x:c r="A6866" s="5" t="str">
        <x:v>懂</x:v>
      </x:c>
      <x:c r="B6866" s="6" t="str">
        <x:v>上</x:v>
      </x:c>
      <x:c r="C6866" s="6" t="str">
        <x:f>IF(B6866="","Needs decision","Ready")</x:f>
        <x:v>Ready</x:v>
      </x:c>
      <x:c r="D6866" s="6" t="str">
        <x:v>上</x:v>
      </x:c>
      <x:c r="E6866" s="6" t="str"/>
      <x:c r="F6866" s="6" t="str">
        <x:v>上聲一董</x:v>
      </x:c>
      <x:c r="G6866" s="6" t="str">
        <x:v>Pingshui main list, Wikisource-derived DOCX</x:v>
      </x:c>
      <x:c r="H6866" s="6" t="str"/>
      <x:c r="I6866" s="6" t="str">
        <x:v>Pingshui main-list expansion; 詞 entries ignored</x:v>
      </x:c>
      <x:c r="J6866" s="6" t="str">
        <x:f>IF(B6866="","",IF(AND(ISNUMBER(SEARCH("平",B6866)),OR(ISNUMBER(SEARCH("上",B6866)),ISNUMBER(SEARCH("去",B6866)),ISNUMBER(SEARCH("入",B6866)))),"Ambiguous",IF(ISNUMBER(SEARCH("平",B6866)),"平","仄")))</x:f>
        <x:v>仄</x:v>
      </x:c>
      <x:c r="K6866" s="6" t="str">
        <x:f>IF(D6866="","",IF(AND(ISNUMBER(SEARCH("平",D6866)),OR(ISNUMBER(SEARCH("上",D6866)),ISNUMBER(SEARCH("去",D6866)),ISNUMBER(SEARCH("入",D6866)))),"Ambiguous",IF(ISNUMBER(SEARCH("平",D6866)),"平","仄")))</x:f>
        <x:v>仄</x:v>
      </x:c>
      <x:c r="L6866" s="7" t="str">
        <x:v>Pingshui main list expansion</x:v>
      </x:c>
    </x:row>
    <x:row r="6867">
      <x:c r="A6867" s="5" t="str">
        <x:v>懆</x:v>
      </x:c>
      <x:c r="B6867" s="6" t="str">
        <x:v>上</x:v>
      </x:c>
      <x:c r="C6867" s="6" t="str">
        <x:f>IF(B6867="","Needs decision","Ready")</x:f>
        <x:v>Ready</x:v>
      </x:c>
      <x:c r="D6867" s="6" t="str">
        <x:v>上</x:v>
      </x:c>
      <x:c r="E6867" s="6" t="str"/>
      <x:c r="F6867" s="6" t="str">
        <x:v>上聲十九皓</x:v>
      </x:c>
      <x:c r="G6867" s="6" t="str">
        <x:v>Pingshui main list, Wikisource-derived DOCX</x:v>
      </x:c>
      <x:c r="H6867" s="6" t="str"/>
      <x:c r="I6867" s="6" t="str">
        <x:v>Pingshui main-list expansion; 詞 entries ignored</x:v>
      </x:c>
      <x:c r="J6867" s="6" t="str">
        <x:f>IF(B6867="","",IF(AND(ISNUMBER(SEARCH("平",B6867)),OR(ISNUMBER(SEARCH("上",B6867)),ISNUMBER(SEARCH("去",B6867)),ISNUMBER(SEARCH("入",B6867)))),"Ambiguous",IF(ISNUMBER(SEARCH("平",B6867)),"平","仄")))</x:f>
        <x:v>仄</x:v>
      </x:c>
      <x:c r="K6867" s="6" t="str">
        <x:f>IF(D6867="","",IF(AND(ISNUMBER(SEARCH("平",D6867)),OR(ISNUMBER(SEARCH("上",D6867)),ISNUMBER(SEARCH("去",D6867)),ISNUMBER(SEARCH("入",D6867)))),"Ambiguous",IF(ISNUMBER(SEARCH("平",D6867)),"平","仄")))</x:f>
        <x:v>仄</x:v>
      </x:c>
      <x:c r="L6867" s="7" t="str">
        <x:v>Pingshui main list expansion</x:v>
      </x:c>
    </x:row>
    <x:row r="6868">
      <x:c r="A6868" s="5" t="str">
        <x:v>懘</x:v>
      </x:c>
      <x:c r="B6868" s="6" t="str">
        <x:v>去</x:v>
      </x:c>
      <x:c r="C6868" s="6" t="str">
        <x:f>IF(B6868="","Needs decision","Ready")</x:f>
        <x:v>Ready</x:v>
      </x:c>
      <x:c r="D6868" s="6" t="str">
        <x:v>去</x:v>
      </x:c>
      <x:c r="E6868" s="6" t="str"/>
      <x:c r="F6868" s="6" t="str">
        <x:v>去聲八霽</x:v>
      </x:c>
      <x:c r="G6868" s="6" t="str">
        <x:v>Pingshui main list, Wikisource-derived DOCX</x:v>
      </x:c>
      <x:c r="H6868" s="6" t="str"/>
      <x:c r="I6868" s="6" t="str">
        <x:v>Pingshui main-list expansion; 詞 entries ignored</x:v>
      </x:c>
      <x:c r="J6868" s="6" t="str">
        <x:f>IF(B6868="","",IF(AND(ISNUMBER(SEARCH("平",B6868)),OR(ISNUMBER(SEARCH("上",B6868)),ISNUMBER(SEARCH("去",B6868)),ISNUMBER(SEARCH("入",B6868)))),"Ambiguous",IF(ISNUMBER(SEARCH("平",B6868)),"平","仄")))</x:f>
        <x:v>仄</x:v>
      </x:c>
      <x:c r="K6868" s="6" t="str">
        <x:f>IF(D6868="","",IF(AND(ISNUMBER(SEARCH("平",D6868)),OR(ISNUMBER(SEARCH("上",D6868)),ISNUMBER(SEARCH("去",D6868)),ISNUMBER(SEARCH("入",D6868)))),"Ambiguous",IF(ISNUMBER(SEARCH("平",D6868)),"平","仄")))</x:f>
        <x:v>仄</x:v>
      </x:c>
      <x:c r="L6868" s="7" t="str">
        <x:v>Pingshui main list expansion</x:v>
      </x:c>
    </x:row>
    <x:row r="6869">
      <x:c r="A6869" s="5" t="str">
        <x:v>懤</x:v>
      </x:c>
      <x:c r="B6869" s="6" t="str">
        <x:v>去</x:v>
      </x:c>
      <x:c r="C6869" s="6" t="str">
        <x:f>IF(B6869="","Needs decision","Ready")</x:f>
        <x:v>Ready</x:v>
      </x:c>
      <x:c r="D6869" s="6" t="str">
        <x:v>去</x:v>
      </x:c>
      <x:c r="E6869" s="6" t="str"/>
      <x:c r="F6869" s="6" t="str">
        <x:v>去聲二十六宥</x:v>
      </x:c>
      <x:c r="G6869" s="6" t="str">
        <x:v>Pingshui main list, Wikisource-derived DOCX</x:v>
      </x:c>
      <x:c r="H6869" s="6" t="str"/>
      <x:c r="I6869" s="6" t="str">
        <x:v>Pingshui main-list expansion; 詞 entries ignored</x:v>
      </x:c>
      <x:c r="J6869" s="6" t="str">
        <x:f>IF(B6869="","",IF(AND(ISNUMBER(SEARCH("平",B6869)),OR(ISNUMBER(SEARCH("上",B6869)),ISNUMBER(SEARCH("去",B6869)),ISNUMBER(SEARCH("入",B6869)))),"Ambiguous",IF(ISNUMBER(SEARCH("平",B6869)),"平","仄")))</x:f>
        <x:v>仄</x:v>
      </x:c>
      <x:c r="K6869" s="6" t="str">
        <x:f>IF(D6869="","",IF(AND(ISNUMBER(SEARCH("平",D6869)),OR(ISNUMBER(SEARCH("上",D6869)),ISNUMBER(SEARCH("去",D6869)),ISNUMBER(SEARCH("入",D6869)))),"Ambiguous",IF(ISNUMBER(SEARCH("平",D6869)),"平","仄")))</x:f>
        <x:v>仄</x:v>
      </x:c>
      <x:c r="L6869" s="7" t="str">
        <x:v>Pingshui main list expansion</x:v>
      </x:c>
    </x:row>
    <x:row r="6870">
      <x:c r="A6870" s="5" t="str">
        <x:v>懪</x:v>
      </x:c>
      <x:c r="B6870" s="6" t="str">
        <x:v>入</x:v>
      </x:c>
      <x:c r="C6870" s="6" t="str">
        <x:f>IF(B6870="","Needs decision","Ready")</x:f>
        <x:v>Ready</x:v>
      </x:c>
      <x:c r="D6870" s="6" t="str">
        <x:v>入</x:v>
      </x:c>
      <x:c r="E6870" s="6" t="str"/>
      <x:c r="F6870" s="6" t="str">
        <x:v>入聲三覺</x:v>
      </x:c>
      <x:c r="G6870" s="6" t="str">
        <x:v>Pingshui main list, Wikisource-derived DOCX</x:v>
      </x:c>
      <x:c r="H6870" s="6" t="str"/>
      <x:c r="I6870" s="6" t="str">
        <x:v>Pingshui main-list expansion; 詞 entries ignored</x:v>
      </x:c>
      <x:c r="J6870" s="6" t="str">
        <x:f>IF(B6870="","",IF(AND(ISNUMBER(SEARCH("平",B6870)),OR(ISNUMBER(SEARCH("上",B6870)),ISNUMBER(SEARCH("去",B6870)),ISNUMBER(SEARCH("入",B6870)))),"Ambiguous",IF(ISNUMBER(SEARCH("平",B6870)),"平","仄")))</x:f>
        <x:v>仄</x:v>
      </x:c>
      <x:c r="K6870" s="6" t="str">
        <x:f>IF(D6870="","",IF(AND(ISNUMBER(SEARCH("平",D6870)),OR(ISNUMBER(SEARCH("上",D6870)),ISNUMBER(SEARCH("去",D6870)),ISNUMBER(SEARCH("入",D6870)))),"Ambiguous",IF(ISNUMBER(SEARCH("平",D6870)),"平","仄")))</x:f>
        <x:v>仄</x:v>
      </x:c>
      <x:c r="L6870" s="7" t="str">
        <x:v>Pingshui main list expansion</x:v>
      </x:c>
    </x:row>
    <x:row r="6871">
      <x:c r="A6871" s="5" t="str">
        <x:v>懫</x:v>
      </x:c>
      <x:c r="B6871" s="6" t="str">
        <x:v>去</x:v>
      </x:c>
      <x:c r="C6871" s="6" t="str">
        <x:f>IF(B6871="","Needs decision","Ready")</x:f>
        <x:v>Ready</x:v>
      </x:c>
      <x:c r="D6871" s="6" t="str">
        <x:v>去</x:v>
      </x:c>
      <x:c r="E6871" s="6" t="str"/>
      <x:c r="F6871" s="6" t="str">
        <x:v>去聲四寘</x:v>
      </x:c>
      <x:c r="G6871" s="6" t="str">
        <x:v>Pingshui main list, Wikisource-derived DOCX</x:v>
      </x:c>
      <x:c r="H6871" s="6" t="str"/>
      <x:c r="I6871" s="6" t="str">
        <x:v>Pingshui main-list expansion; 詞 entries ignored</x:v>
      </x:c>
      <x:c r="J6871" s="6" t="str">
        <x:f>IF(B6871="","",IF(AND(ISNUMBER(SEARCH("平",B6871)),OR(ISNUMBER(SEARCH("上",B6871)),ISNUMBER(SEARCH("去",B6871)),ISNUMBER(SEARCH("入",B6871)))),"Ambiguous",IF(ISNUMBER(SEARCH("平",B6871)),"平","仄")))</x:f>
        <x:v>仄</x:v>
      </x:c>
      <x:c r="K6871" s="6" t="str">
        <x:f>IF(D6871="","",IF(AND(ISNUMBER(SEARCH("平",D6871)),OR(ISNUMBER(SEARCH("上",D6871)),ISNUMBER(SEARCH("去",D6871)),ISNUMBER(SEARCH("入",D6871)))),"Ambiguous",IF(ISNUMBER(SEARCH("平",D6871)),"平","仄")))</x:f>
        <x:v>仄</x:v>
      </x:c>
      <x:c r="L6871" s="7" t="str">
        <x:v>Pingshui main list expansion</x:v>
      </x:c>
    </x:row>
    <x:row r="6872">
      <x:c r="A6872" s="5" t="str">
        <x:v>懰</x:v>
      </x:c>
      <x:c r="B6872" s="6" t="str">
        <x:v>上</x:v>
      </x:c>
      <x:c r="C6872" s="6" t="str">
        <x:f>IF(B6872="","Needs decision","Ready")</x:f>
        <x:v>Ready</x:v>
      </x:c>
      <x:c r="D6872" s="6" t="str">
        <x:v>上</x:v>
      </x:c>
      <x:c r="E6872" s="6" t="str"/>
      <x:c r="F6872" s="6" t="str">
        <x:v>上聲二十五有</x:v>
      </x:c>
      <x:c r="G6872" s="6" t="str">
        <x:v>Pingshui main list, Wikisource-derived DOCX</x:v>
      </x:c>
      <x:c r="H6872" s="6" t="str"/>
      <x:c r="I6872" s="6" t="str">
        <x:v>Pingshui main-list expansion; 詞 entries ignored</x:v>
      </x:c>
      <x:c r="J6872" s="6" t="str">
        <x:f>IF(B6872="","",IF(AND(ISNUMBER(SEARCH("平",B6872)),OR(ISNUMBER(SEARCH("上",B6872)),ISNUMBER(SEARCH("去",B6872)),ISNUMBER(SEARCH("入",B6872)))),"Ambiguous",IF(ISNUMBER(SEARCH("平",B6872)),"平","仄")))</x:f>
        <x:v>仄</x:v>
      </x:c>
      <x:c r="K6872" s="6" t="str">
        <x:f>IF(D6872="","",IF(AND(ISNUMBER(SEARCH("平",D6872)),OR(ISNUMBER(SEARCH("上",D6872)),ISNUMBER(SEARCH("去",D6872)),ISNUMBER(SEARCH("入",D6872)))),"Ambiguous",IF(ISNUMBER(SEARCH("平",D6872)),"平","仄")))</x:f>
        <x:v>仄</x:v>
      </x:c>
      <x:c r="L6872" s="7" t="str">
        <x:v>Pingshui main list expansion</x:v>
      </x:c>
    </x:row>
    <x:row r="6873">
      <x:c r="A6873" s="5" t="str">
        <x:v>懻</x:v>
      </x:c>
      <x:c r="B6873" s="6" t="str">
        <x:v>去</x:v>
      </x:c>
      <x:c r="C6873" s="6" t="str">
        <x:f>IF(B6873="","Needs decision","Ready")</x:f>
        <x:v>Ready</x:v>
      </x:c>
      <x:c r="D6873" s="6" t="str">
        <x:v>去</x:v>
      </x:c>
      <x:c r="E6873" s="6" t="str"/>
      <x:c r="F6873" s="6" t="str">
        <x:v>去聲四寘</x:v>
      </x:c>
      <x:c r="G6873" s="6" t="str">
        <x:v>Pingshui main list, Wikisource-derived DOCX</x:v>
      </x:c>
      <x:c r="H6873" s="6" t="str"/>
      <x:c r="I6873" s="6" t="str">
        <x:v>Pingshui main-list expansion; 詞 entries ignored</x:v>
      </x:c>
      <x:c r="J6873" s="6" t="str">
        <x:f>IF(B6873="","",IF(AND(ISNUMBER(SEARCH("平",B6873)),OR(ISNUMBER(SEARCH("上",B6873)),ISNUMBER(SEARCH("去",B6873)),ISNUMBER(SEARCH("入",B6873)))),"Ambiguous",IF(ISNUMBER(SEARCH("平",B6873)),"平","仄")))</x:f>
        <x:v>仄</x:v>
      </x:c>
      <x:c r="K6873" s="6" t="str">
        <x:f>IF(D6873="","",IF(AND(ISNUMBER(SEARCH("平",D6873)),OR(ISNUMBER(SEARCH("上",D6873)),ISNUMBER(SEARCH("去",D6873)),ISNUMBER(SEARCH("入",D6873)))),"Ambiguous",IF(ISNUMBER(SEARCH("平",D6873)),"平","仄")))</x:f>
        <x:v>仄</x:v>
      </x:c>
      <x:c r="L6873" s="7" t="str">
        <x:v>Pingshui main list expansion</x:v>
      </x:c>
    </x:row>
    <x:row r="6874">
      <x:c r="A6874" s="5" t="str">
        <x:v>戄</x:v>
      </x:c>
      <x:c r="B6874" s="6" t="str">
        <x:v>入</x:v>
      </x:c>
      <x:c r="C6874" s="6" t="str">
        <x:f>IF(B6874="","Needs decision","Ready")</x:f>
        <x:v>Ready</x:v>
      </x:c>
      <x:c r="D6874" s="6" t="str">
        <x:v>入</x:v>
      </x:c>
      <x:c r="E6874" s="6" t="str"/>
      <x:c r="F6874" s="6" t="str">
        <x:v>入聲十藥</x:v>
      </x:c>
      <x:c r="G6874" s="6" t="str">
        <x:v>Pingshui main list, Wikisource-derived DOCX</x:v>
      </x:c>
      <x:c r="H6874" s="6" t="str"/>
      <x:c r="I6874" s="6" t="str">
        <x:v>Pingshui main-list expansion; 詞 entries ignored</x:v>
      </x:c>
      <x:c r="J6874" s="6" t="str">
        <x:f>IF(B6874="","",IF(AND(ISNUMBER(SEARCH("平",B6874)),OR(ISNUMBER(SEARCH("上",B6874)),ISNUMBER(SEARCH("去",B6874)),ISNUMBER(SEARCH("入",B6874)))),"Ambiguous",IF(ISNUMBER(SEARCH("平",B6874)),"平","仄")))</x:f>
        <x:v>仄</x:v>
      </x:c>
      <x:c r="K6874" s="6" t="str">
        <x:f>IF(D6874="","",IF(AND(ISNUMBER(SEARCH("平",D6874)),OR(ISNUMBER(SEARCH("上",D6874)),ISNUMBER(SEARCH("去",D6874)),ISNUMBER(SEARCH("入",D6874)))),"Ambiguous",IF(ISNUMBER(SEARCH("平",D6874)),"平","仄")))</x:f>
        <x:v>仄</x:v>
      </x:c>
      <x:c r="L6874" s="7" t="str">
        <x:v>Pingshui main list expansion</x:v>
      </x:c>
    </x:row>
    <x:row r="6875">
      <x:c r="A6875" s="5" t="str">
        <x:v>戙</x:v>
      </x:c>
      <x:c r="B6875" s="6" t="str">
        <x:v>平</x:v>
      </x:c>
      <x:c r="C6875" s="6" t="str">
        <x:f>IF(B6875="","Needs decision","Ready")</x:f>
        <x:v>Ready</x:v>
      </x:c>
      <x:c r="D6875" s="6" t="str">
        <x:v>平</x:v>
      </x:c>
      <x:c r="E6875" s="6" t="str"/>
      <x:c r="F6875" s="6" t="str">
        <x:v>上平聲一東</x:v>
      </x:c>
      <x:c r="G6875" s="6" t="str">
        <x:v>Pingshui main list, Wikisource-derived DOCX</x:v>
      </x:c>
      <x:c r="H6875" s="6" t="str"/>
      <x:c r="I6875" s="6" t="str">
        <x:v>Pingshui main-list expansion; 詞 entries ignored</x:v>
      </x:c>
      <x:c r="J6875" s="6" t="str">
        <x:f>IF(B6875="","",IF(AND(ISNUMBER(SEARCH("平",B6875)),OR(ISNUMBER(SEARCH("上",B6875)),ISNUMBER(SEARCH("去",B6875)),ISNUMBER(SEARCH("入",B6875)))),"Ambiguous",IF(ISNUMBER(SEARCH("平",B6875)),"平","仄")))</x:f>
        <x:v>平</x:v>
      </x:c>
      <x:c r="K6875" s="6" t="str">
        <x:f>IF(D6875="","",IF(AND(ISNUMBER(SEARCH("平",D6875)),OR(ISNUMBER(SEARCH("上",D6875)),ISNUMBER(SEARCH("去",D6875)),ISNUMBER(SEARCH("入",D6875)))),"Ambiguous",IF(ISNUMBER(SEARCH("平",D6875)),"平","仄")))</x:f>
        <x:v>平</x:v>
      </x:c>
      <x:c r="L6875" s="7" t="str">
        <x:v>Pingshui main list expansion</x:v>
      </x:c>
    </x:row>
    <x:row r="6876">
      <x:c r="A6876" s="5" t="str">
        <x:v>戭</x:v>
      </x:c>
      <x:c r="B6876" s="6" t="str">
        <x:v>上</x:v>
      </x:c>
      <x:c r="C6876" s="6" t="str">
        <x:f>IF(B6876="","Needs decision","Ready")</x:f>
        <x:v>Ready</x:v>
      </x:c>
      <x:c r="D6876" s="6" t="str">
        <x:v>上</x:v>
      </x:c>
      <x:c r="E6876" s="6" t="str"/>
      <x:c r="F6876" s="6" t="str">
        <x:v>上聲十六銑</x:v>
      </x:c>
      <x:c r="G6876" s="6" t="str">
        <x:v>Pingshui main list, Wikisource-derived DOCX</x:v>
      </x:c>
      <x:c r="H6876" s="6" t="str"/>
      <x:c r="I6876" s="6" t="str">
        <x:v>Pingshui main-list expansion; 詞 entries ignored</x:v>
      </x:c>
      <x:c r="J6876" s="6" t="str">
        <x:f>IF(B6876="","",IF(AND(ISNUMBER(SEARCH("平",B6876)),OR(ISNUMBER(SEARCH("上",B6876)),ISNUMBER(SEARCH("去",B6876)),ISNUMBER(SEARCH("入",B6876)))),"Ambiguous",IF(ISNUMBER(SEARCH("平",B6876)),"平","仄")))</x:f>
        <x:v>仄</x:v>
      </x:c>
      <x:c r="K6876" s="6" t="str">
        <x:f>IF(D6876="","",IF(AND(ISNUMBER(SEARCH("平",D6876)),OR(ISNUMBER(SEARCH("上",D6876)),ISNUMBER(SEARCH("去",D6876)),ISNUMBER(SEARCH("入",D6876)))),"Ambiguous",IF(ISNUMBER(SEARCH("平",D6876)),"平","仄")))</x:f>
        <x:v>仄</x:v>
      </x:c>
      <x:c r="L6876" s="7" t="str">
        <x:v>Pingshui main list expansion</x:v>
      </x:c>
    </x:row>
    <x:row r="6877">
      <x:c r="A6877" s="5" t="str">
        <x:v>戽</x:v>
      </x:c>
      <x:c r="B6877" s="6" t="str">
        <x:v>去</x:v>
      </x:c>
      <x:c r="C6877" s="6" t="str">
        <x:f>IF(B6877="","Needs decision","Ready")</x:f>
        <x:v>Ready</x:v>
      </x:c>
      <x:c r="D6877" s="6" t="str">
        <x:v>去</x:v>
      </x:c>
      <x:c r="E6877" s="6" t="str"/>
      <x:c r="F6877" s="6" t="str">
        <x:v>去聲七遇</x:v>
      </x:c>
      <x:c r="G6877" s="6" t="str">
        <x:v>Pingshui main list, Wikisource-derived DOCX</x:v>
      </x:c>
      <x:c r="H6877" s="6" t="str"/>
      <x:c r="I6877" s="6" t="str">
        <x:v>Pingshui main-list expansion; 詞 entries ignored</x:v>
      </x:c>
      <x:c r="J6877" s="6" t="str">
        <x:f>IF(B6877="","",IF(AND(ISNUMBER(SEARCH("平",B6877)),OR(ISNUMBER(SEARCH("上",B6877)),ISNUMBER(SEARCH("去",B6877)),ISNUMBER(SEARCH("入",B6877)))),"Ambiguous",IF(ISNUMBER(SEARCH("平",B6877)),"平","仄")))</x:f>
        <x:v>仄</x:v>
      </x:c>
      <x:c r="K6877" s="6" t="str">
        <x:f>IF(D6877="","",IF(AND(ISNUMBER(SEARCH("平",D6877)),OR(ISNUMBER(SEARCH("上",D6877)),ISNUMBER(SEARCH("去",D6877)),ISNUMBER(SEARCH("入",D6877)))),"Ambiguous",IF(ISNUMBER(SEARCH("平",D6877)),"平","仄")))</x:f>
        <x:v>仄</x:v>
      </x:c>
      <x:c r="L6877" s="7" t="str">
        <x:v>Pingshui main list expansion</x:v>
      </x:c>
    </x:row>
    <x:row r="6878">
      <x:c r="A6878" s="5" t="str">
        <x:v>扂</x:v>
      </x:c>
      <x:c r="B6878" s="6" t="str">
        <x:v>上</x:v>
      </x:c>
      <x:c r="C6878" s="6" t="str">
        <x:f>IF(B6878="","Needs decision","Ready")</x:f>
        <x:v>Ready</x:v>
      </x:c>
      <x:c r="D6878" s="6" t="str">
        <x:v>上</x:v>
      </x:c>
      <x:c r="E6878" s="6" t="str"/>
      <x:c r="F6878" s="6" t="str">
        <x:v>上聲二十八琰</x:v>
      </x:c>
      <x:c r="G6878" s="6" t="str">
        <x:v>Pingshui main list, Wikisource-derived DOCX</x:v>
      </x:c>
      <x:c r="H6878" s="6" t="str"/>
      <x:c r="I6878" s="6" t="str">
        <x:v>Pingshui main-list expansion; 詞 entries ignored</x:v>
      </x:c>
      <x:c r="J6878" s="6" t="str">
        <x:f>IF(B6878="","",IF(AND(ISNUMBER(SEARCH("平",B6878)),OR(ISNUMBER(SEARCH("上",B6878)),ISNUMBER(SEARCH("去",B6878)),ISNUMBER(SEARCH("入",B6878)))),"Ambiguous",IF(ISNUMBER(SEARCH("平",B6878)),"平","仄")))</x:f>
        <x:v>仄</x:v>
      </x:c>
      <x:c r="K6878" s="6" t="str">
        <x:f>IF(D6878="","",IF(AND(ISNUMBER(SEARCH("平",D6878)),OR(ISNUMBER(SEARCH("上",D6878)),ISNUMBER(SEARCH("去",D6878)),ISNUMBER(SEARCH("入",D6878)))),"Ambiguous",IF(ISNUMBER(SEARCH("平",D6878)),"平","仄")))</x:f>
        <x:v>仄</x:v>
      </x:c>
      <x:c r="L6878" s="7" t="str">
        <x:v>Pingshui main list expansion</x:v>
      </x:c>
    </x:row>
    <x:row r="6879">
      <x:c r="A6879" s="5" t="str">
        <x:v>扐</x:v>
      </x:c>
      <x:c r="B6879" s="6" t="str">
        <x:v>入</x:v>
      </x:c>
      <x:c r="C6879" s="6" t="str">
        <x:f>IF(B6879="","Needs decision","Ready")</x:f>
        <x:v>Ready</x:v>
      </x:c>
      <x:c r="D6879" s="6" t="str">
        <x:v>入</x:v>
      </x:c>
      <x:c r="E6879" s="6" t="str"/>
      <x:c r="F6879" s="6" t="str">
        <x:v>入聲十三職</x:v>
      </x:c>
      <x:c r="G6879" s="6" t="str">
        <x:v>Pingshui main list, Wikisource-derived DOCX</x:v>
      </x:c>
      <x:c r="H6879" s="6" t="str"/>
      <x:c r="I6879" s="6" t="str">
        <x:v>Pingshui main-list expansion; 詞 entries ignored</x:v>
      </x:c>
      <x:c r="J6879" s="6" t="str">
        <x:f>IF(B6879="","",IF(AND(ISNUMBER(SEARCH("平",B6879)),OR(ISNUMBER(SEARCH("上",B6879)),ISNUMBER(SEARCH("去",B6879)),ISNUMBER(SEARCH("入",B6879)))),"Ambiguous",IF(ISNUMBER(SEARCH("平",B6879)),"平","仄")))</x:f>
        <x:v>仄</x:v>
      </x:c>
      <x:c r="K6879" s="6" t="str">
        <x:f>IF(D6879="","",IF(AND(ISNUMBER(SEARCH("平",D6879)),OR(ISNUMBER(SEARCH("上",D6879)),ISNUMBER(SEARCH("去",D6879)),ISNUMBER(SEARCH("入",D6879)))),"Ambiguous",IF(ISNUMBER(SEARCH("平",D6879)),"平","仄")))</x:f>
        <x:v>仄</x:v>
      </x:c>
      <x:c r="L6879" s="7" t="str">
        <x:v>Pingshui main list expansion</x:v>
      </x:c>
    </x:row>
    <x:row r="6880">
      <x:c r="A6880" s="5" t="str">
        <x:v>扮</x:v>
      </x:c>
      <x:c r="B6880" s="6" t="str">
        <x:v>去</x:v>
      </x:c>
      <x:c r="C6880" s="6" t="str">
        <x:f>IF(B6880="","Needs decision","Ready")</x:f>
        <x:v>Ready</x:v>
      </x:c>
      <x:c r="D6880" s="6" t="str">
        <x:v>去</x:v>
      </x:c>
      <x:c r="E6880" s="6" t="str"/>
      <x:c r="F6880" s="6" t="str">
        <x:v>去聲十六諫</x:v>
      </x:c>
      <x:c r="G6880" s="6" t="str">
        <x:v>Pingshui main list, Wikisource-derived DOCX</x:v>
      </x:c>
      <x:c r="H6880" s="6" t="str"/>
      <x:c r="I6880" s="6" t="str">
        <x:v>Pingshui main-list expansion; 詞 entries ignored</x:v>
      </x:c>
      <x:c r="J6880" s="6" t="str">
        <x:f>IF(B6880="","",IF(AND(ISNUMBER(SEARCH("平",B6880)),OR(ISNUMBER(SEARCH("上",B6880)),ISNUMBER(SEARCH("去",B6880)),ISNUMBER(SEARCH("入",B6880)))),"Ambiguous",IF(ISNUMBER(SEARCH("平",B6880)),"平","仄")))</x:f>
        <x:v>仄</x:v>
      </x:c>
      <x:c r="K6880" s="6" t="str">
        <x:f>IF(D6880="","",IF(AND(ISNUMBER(SEARCH("平",D6880)),OR(ISNUMBER(SEARCH("上",D6880)),ISNUMBER(SEARCH("去",D6880)),ISNUMBER(SEARCH("入",D6880)))),"Ambiguous",IF(ISNUMBER(SEARCH("平",D6880)),"平","仄")))</x:f>
        <x:v>仄</x:v>
      </x:c>
      <x:c r="L6880" s="7" t="str">
        <x:v>Pingshui main list expansion</x:v>
      </x:c>
    </x:row>
    <x:row r="6881">
      <x:c r="A6881" s="5" t="str">
        <x:v>扴</x:v>
      </x:c>
      <x:c r="B6881" s="6" t="str">
        <x:v>入</x:v>
      </x:c>
      <x:c r="C6881" s="6" t="str">
        <x:f>IF(B6881="","Needs decision","Ready")</x:f>
        <x:v>Ready</x:v>
      </x:c>
      <x:c r="D6881" s="6" t="str">
        <x:v>入</x:v>
      </x:c>
      <x:c r="E6881" s="6" t="str"/>
      <x:c r="F6881" s="6" t="str">
        <x:v>入聲八黠</x:v>
      </x:c>
      <x:c r="G6881" s="6" t="str">
        <x:v>Pingshui main list, Wikisource-derived DOCX</x:v>
      </x:c>
      <x:c r="H6881" s="6" t="str"/>
      <x:c r="I6881" s="6" t="str">
        <x:v>Pingshui main-list expansion; 詞 entries ignored</x:v>
      </x:c>
      <x:c r="J6881" s="6" t="str">
        <x:f>IF(B6881="","",IF(AND(ISNUMBER(SEARCH("平",B6881)),OR(ISNUMBER(SEARCH("上",B6881)),ISNUMBER(SEARCH("去",B6881)),ISNUMBER(SEARCH("入",B6881)))),"Ambiguous",IF(ISNUMBER(SEARCH("平",B6881)),"平","仄")))</x:f>
        <x:v>仄</x:v>
      </x:c>
      <x:c r="K6881" s="6" t="str">
        <x:f>IF(D6881="","",IF(AND(ISNUMBER(SEARCH("平",D6881)),OR(ISNUMBER(SEARCH("上",D6881)),ISNUMBER(SEARCH("去",D6881)),ISNUMBER(SEARCH("入",D6881)))),"Ambiguous",IF(ISNUMBER(SEARCH("平",D6881)),"平","仄")))</x:f>
        <x:v>仄</x:v>
      </x:c>
      <x:c r="L6881" s="7" t="str">
        <x:v>Pingshui main list expansion</x:v>
      </x:c>
    </x:row>
    <x:row r="6882">
      <x:c r="A6882" s="5" t="str">
        <x:v>抇</x:v>
      </x:c>
      <x:c r="B6882" s="6" t="str">
        <x:v>入</x:v>
      </x:c>
      <x:c r="C6882" s="6" t="str">
        <x:f>IF(B6882="","Needs decision","Ready")</x:f>
        <x:v>Ready</x:v>
      </x:c>
      <x:c r="D6882" s="6" t="str">
        <x:v>入</x:v>
      </x:c>
      <x:c r="E6882" s="6" t="str"/>
      <x:c r="F6882" s="6" t="str">
        <x:v>入聲六月</x:v>
      </x:c>
      <x:c r="G6882" s="6" t="str">
        <x:v>Pingshui main list, Wikisource-derived DOCX</x:v>
      </x:c>
      <x:c r="H6882" s="6" t="str"/>
      <x:c r="I6882" s="6" t="str">
        <x:v>Pingshui main-list expansion; 詞 entries ignored</x:v>
      </x:c>
      <x:c r="J6882" s="6" t="str">
        <x:f>IF(B6882="","",IF(AND(ISNUMBER(SEARCH("平",B6882)),OR(ISNUMBER(SEARCH("上",B6882)),ISNUMBER(SEARCH("去",B6882)),ISNUMBER(SEARCH("入",B6882)))),"Ambiguous",IF(ISNUMBER(SEARCH("平",B6882)),"平","仄")))</x:f>
        <x:v>仄</x:v>
      </x:c>
      <x:c r="K6882" s="6" t="str">
        <x:f>IF(D6882="","",IF(AND(ISNUMBER(SEARCH("平",D6882)),OR(ISNUMBER(SEARCH("上",D6882)),ISNUMBER(SEARCH("去",D6882)),ISNUMBER(SEARCH("入",D6882)))),"Ambiguous",IF(ISNUMBER(SEARCH("平",D6882)),"平","仄")))</x:f>
        <x:v>仄</x:v>
      </x:c>
      <x:c r="L6882" s="7" t="str">
        <x:v>Pingshui main list expansion</x:v>
      </x:c>
    </x:row>
    <x:row r="6883">
      <x:c r="A6883" s="5" t="str">
        <x:v>抈</x:v>
      </x:c>
      <x:c r="B6883" s="6" t="str">
        <x:v>入</x:v>
      </x:c>
      <x:c r="C6883" s="6" t="str">
        <x:f>IF(B6883="","Needs decision","Ready")</x:f>
        <x:v>Ready</x:v>
      </x:c>
      <x:c r="D6883" s="6" t="str">
        <x:v>入</x:v>
      </x:c>
      <x:c r="E6883" s="6" t="str"/>
      <x:c r="F6883" s="6" t="str">
        <x:v>入聲六月</x:v>
      </x:c>
      <x:c r="G6883" s="6" t="str">
        <x:v>Pingshui main list, Wikisource-derived DOCX</x:v>
      </x:c>
      <x:c r="H6883" s="6" t="str"/>
      <x:c r="I6883" s="6" t="str">
        <x:v>Pingshui main-list expansion; 詞 entries ignored</x:v>
      </x:c>
      <x:c r="J6883" s="6" t="str">
        <x:f>IF(B6883="","",IF(AND(ISNUMBER(SEARCH("平",B6883)),OR(ISNUMBER(SEARCH("上",B6883)),ISNUMBER(SEARCH("去",B6883)),ISNUMBER(SEARCH("入",B6883)))),"Ambiguous",IF(ISNUMBER(SEARCH("平",B6883)),"平","仄")))</x:f>
        <x:v>仄</x:v>
      </x:c>
      <x:c r="K6883" s="6" t="str">
        <x:f>IF(D6883="","",IF(AND(ISNUMBER(SEARCH("平",D6883)),OR(ISNUMBER(SEARCH("上",D6883)),ISNUMBER(SEARCH("去",D6883)),ISNUMBER(SEARCH("入",D6883)))),"Ambiguous",IF(ISNUMBER(SEARCH("平",D6883)),"平","仄")))</x:f>
        <x:v>仄</x:v>
      </x:c>
      <x:c r="L6883" s="7" t="str">
        <x:v>Pingshui main list expansion</x:v>
      </x:c>
    </x:row>
    <x:row r="6884">
      <x:c r="A6884" s="5" t="str">
        <x:v>抉</x:v>
      </x:c>
      <x:c r="B6884" s="6" t="str">
        <x:v>入</x:v>
      </x:c>
      <x:c r="C6884" s="6" t="str">
        <x:f>IF(B6884="","Needs decision","Ready")</x:f>
        <x:v>Ready</x:v>
      </x:c>
      <x:c r="D6884" s="6" t="str">
        <x:v>入</x:v>
      </x:c>
      <x:c r="E6884" s="6" t="str"/>
      <x:c r="F6884" s="6" t="str">
        <x:v>入聲九屑</x:v>
      </x:c>
      <x:c r="G6884" s="6" t="str">
        <x:v>Pingshui main list, Wikisource-derived DOCX</x:v>
      </x:c>
      <x:c r="H6884" s="6" t="str"/>
      <x:c r="I6884" s="6" t="str">
        <x:v>Pingshui main-list expansion; 詞 entries ignored</x:v>
      </x:c>
      <x:c r="J6884" s="6" t="str">
        <x:f>IF(B6884="","",IF(AND(ISNUMBER(SEARCH("平",B6884)),OR(ISNUMBER(SEARCH("上",B6884)),ISNUMBER(SEARCH("去",B6884)),ISNUMBER(SEARCH("入",B6884)))),"Ambiguous",IF(ISNUMBER(SEARCH("平",B6884)),"平","仄")))</x:f>
        <x:v>仄</x:v>
      </x:c>
      <x:c r="K6884" s="6" t="str">
        <x:f>IF(D6884="","",IF(AND(ISNUMBER(SEARCH("平",D6884)),OR(ISNUMBER(SEARCH("上",D6884)),ISNUMBER(SEARCH("去",D6884)),ISNUMBER(SEARCH("入",D6884)))),"Ambiguous",IF(ISNUMBER(SEARCH("平",D6884)),"平","仄")))</x:f>
        <x:v>仄</x:v>
      </x:c>
      <x:c r="L6884" s="7" t="str">
        <x:v>Pingshui main list expansion</x:v>
      </x:c>
    </x:row>
    <x:row r="6885">
      <x:c r="A6885" s="5" t="str">
        <x:v>抌</x:v>
      </x:c>
      <x:c r="B6885" s="6" t="str">
        <x:v>平</x:v>
      </x:c>
      <x:c r="C6885" s="6" t="str">
        <x:f>IF(B6885="","Needs decision","Ready")</x:f>
        <x:v>Ready</x:v>
      </x:c>
      <x:c r="D6885" s="6" t="str">
        <x:v>平</x:v>
      </x:c>
      <x:c r="E6885" s="6" t="str"/>
      <x:c r="F6885" s="6" t="str">
        <x:v>下平聲十一尤</x:v>
      </x:c>
      <x:c r="G6885" s="6" t="str">
        <x:v>Pingshui main list, Wikisource-derived DOCX</x:v>
      </x:c>
      <x:c r="H6885" s="6" t="str"/>
      <x:c r="I6885" s="6" t="str">
        <x:v>Pingshui main-list expansion; 詞 entries ignored</x:v>
      </x:c>
      <x:c r="J6885" s="6" t="str">
        <x:f>IF(B6885="","",IF(AND(ISNUMBER(SEARCH("平",B6885)),OR(ISNUMBER(SEARCH("上",B6885)),ISNUMBER(SEARCH("去",B6885)),ISNUMBER(SEARCH("入",B6885)))),"Ambiguous",IF(ISNUMBER(SEARCH("平",B6885)),"平","仄")))</x:f>
        <x:v>平</x:v>
      </x:c>
      <x:c r="K6885" s="6" t="str">
        <x:f>IF(D6885="","",IF(AND(ISNUMBER(SEARCH("平",D6885)),OR(ISNUMBER(SEARCH("上",D6885)),ISNUMBER(SEARCH("去",D6885)),ISNUMBER(SEARCH("入",D6885)))),"Ambiguous",IF(ISNUMBER(SEARCH("平",D6885)),"平","仄")))</x:f>
        <x:v>平</x:v>
      </x:c>
      <x:c r="L6885" s="7" t="str">
        <x:v>Pingshui main list expansion</x:v>
      </x:c>
    </x:row>
    <x:row r="6886">
      <x:c r="A6886" s="5" t="str">
        <x:v>抪</x:v>
      </x:c>
      <x:c r="B6886" s="6" t="str">
        <x:v>去</x:v>
      </x:c>
      <x:c r="C6886" s="6" t="str">
        <x:f>IF(B6886="","Needs decision","Ready")</x:f>
        <x:v>Ready</x:v>
      </x:c>
      <x:c r="D6886" s="6" t="str">
        <x:v>去</x:v>
      </x:c>
      <x:c r="E6886" s="6" t="str"/>
      <x:c r="F6886" s="6" t="str">
        <x:v>去聲七遇</x:v>
      </x:c>
      <x:c r="G6886" s="6" t="str">
        <x:v>Pingshui main list, Wikisource-derived DOCX</x:v>
      </x:c>
      <x:c r="H6886" s="6" t="str"/>
      <x:c r="I6886" s="6" t="str">
        <x:v>Pingshui main-list expansion; 詞 entries ignored</x:v>
      </x:c>
      <x:c r="J6886" s="6" t="str">
        <x:f>IF(B6886="","",IF(AND(ISNUMBER(SEARCH("平",B6886)),OR(ISNUMBER(SEARCH("上",B6886)),ISNUMBER(SEARCH("去",B6886)),ISNUMBER(SEARCH("入",B6886)))),"Ambiguous",IF(ISNUMBER(SEARCH("平",B6886)),"平","仄")))</x:f>
        <x:v>仄</x:v>
      </x:c>
      <x:c r="K6886" s="6" t="str">
        <x:f>IF(D6886="","",IF(AND(ISNUMBER(SEARCH("平",D6886)),OR(ISNUMBER(SEARCH("上",D6886)),ISNUMBER(SEARCH("去",D6886)),ISNUMBER(SEARCH("入",D6886)))),"Ambiguous",IF(ISNUMBER(SEARCH("平",D6886)),"平","仄")))</x:f>
        <x:v>仄</x:v>
      </x:c>
      <x:c r="L6886" s="7" t="str">
        <x:v>Pingshui main list expansion</x:v>
      </x:c>
    </x:row>
    <x:row r="6887">
      <x:c r="A6887" s="5" t="str">
        <x:v>抶</x:v>
      </x:c>
      <x:c r="B6887" s="6" t="str">
        <x:v>入</x:v>
      </x:c>
      <x:c r="C6887" s="6" t="str">
        <x:f>IF(B6887="","Needs decision","Ready")</x:f>
        <x:v>Ready</x:v>
      </x:c>
      <x:c r="D6887" s="6" t="str">
        <x:v>入</x:v>
      </x:c>
      <x:c r="E6887" s="6" t="str"/>
      <x:c r="F6887" s="6" t="str">
        <x:v>入聲四質</x:v>
      </x:c>
      <x:c r="G6887" s="6" t="str">
        <x:v>Pingshui main list, Wikisource-derived DOCX</x:v>
      </x:c>
      <x:c r="H6887" s="6" t="str"/>
      <x:c r="I6887" s="6" t="str">
        <x:v>Pingshui main-list expansion; 詞 entries ignored</x:v>
      </x:c>
      <x:c r="J6887" s="6" t="str">
        <x:f>IF(B6887="","",IF(AND(ISNUMBER(SEARCH("平",B6887)),OR(ISNUMBER(SEARCH("上",B6887)),ISNUMBER(SEARCH("去",B6887)),ISNUMBER(SEARCH("入",B6887)))),"Ambiguous",IF(ISNUMBER(SEARCH("平",B6887)),"平","仄")))</x:f>
        <x:v>仄</x:v>
      </x:c>
      <x:c r="K6887" s="6" t="str">
        <x:f>IF(D6887="","",IF(AND(ISNUMBER(SEARCH("平",D6887)),OR(ISNUMBER(SEARCH("上",D6887)),ISNUMBER(SEARCH("去",D6887)),ISNUMBER(SEARCH("入",D6887)))),"Ambiguous",IF(ISNUMBER(SEARCH("平",D6887)),"平","仄")))</x:f>
        <x:v>仄</x:v>
      </x:c>
      <x:c r="L6887" s="7" t="str">
        <x:v>Pingshui main list expansion</x:v>
      </x:c>
    </x:row>
    <x:row r="6888">
      <x:c r="A6888" s="5" t="str">
        <x:v>拇</x:v>
      </x:c>
      <x:c r="B6888" s="6" t="str">
        <x:v>上</x:v>
      </x:c>
      <x:c r="C6888" s="6" t="str">
        <x:f>IF(B6888="","Needs decision","Ready")</x:f>
        <x:v>Ready</x:v>
      </x:c>
      <x:c r="D6888" s="6" t="str">
        <x:v>上</x:v>
      </x:c>
      <x:c r="E6888" s="6" t="str"/>
      <x:c r="F6888" s="6" t="str">
        <x:v>上聲二十五有</x:v>
      </x:c>
      <x:c r="G6888" s="6" t="str">
        <x:v>Pingshui main list, Wikisource-derived DOCX</x:v>
      </x:c>
      <x:c r="H6888" s="6" t="str"/>
      <x:c r="I6888" s="6" t="str">
        <x:v>Pingshui main-list expansion; 詞 entries ignored</x:v>
      </x:c>
      <x:c r="J6888" s="6" t="str">
        <x:f>IF(B6888="","",IF(AND(ISNUMBER(SEARCH("平",B6888)),OR(ISNUMBER(SEARCH("上",B6888)),ISNUMBER(SEARCH("去",B6888)),ISNUMBER(SEARCH("入",B6888)))),"Ambiguous",IF(ISNUMBER(SEARCH("平",B6888)),"平","仄")))</x:f>
        <x:v>仄</x:v>
      </x:c>
      <x:c r="K6888" s="6" t="str">
        <x:f>IF(D6888="","",IF(AND(ISNUMBER(SEARCH("平",D6888)),OR(ISNUMBER(SEARCH("上",D6888)),ISNUMBER(SEARCH("去",D6888)),ISNUMBER(SEARCH("入",D6888)))),"Ambiguous",IF(ISNUMBER(SEARCH("平",D6888)),"平","仄")))</x:f>
        <x:v>仄</x:v>
      </x:c>
      <x:c r="L6888" s="7" t="str">
        <x:v>Pingshui main list expansion</x:v>
      </x:c>
    </x:row>
    <x:row r="6889">
      <x:c r="A6889" s="5" t="str">
        <x:v>拈</x:v>
      </x:c>
      <x:c r="B6889" s="6" t="str">
        <x:v>平</x:v>
      </x:c>
      <x:c r="C6889" s="6" t="str">
        <x:f>IF(B6889="","Needs decision","Ready")</x:f>
        <x:v>Ready</x:v>
      </x:c>
      <x:c r="D6889" s="6" t="str">
        <x:v>平</x:v>
      </x:c>
      <x:c r="E6889" s="6" t="str"/>
      <x:c r="F6889" s="6" t="str">
        <x:v>下平聲十四鹽</x:v>
      </x:c>
      <x:c r="G6889" s="6" t="str">
        <x:v>Pingshui main list, Wikisource-derived DOCX</x:v>
      </x:c>
      <x:c r="H6889" s="6" t="str"/>
      <x:c r="I6889" s="6" t="str">
        <x:v>Pingshui main-list expansion; 詞 entries ignored</x:v>
      </x:c>
      <x:c r="J6889" s="6" t="str">
        <x:f>IF(B6889="","",IF(AND(ISNUMBER(SEARCH("平",B6889)),OR(ISNUMBER(SEARCH("上",B6889)),ISNUMBER(SEARCH("去",B6889)),ISNUMBER(SEARCH("入",B6889)))),"Ambiguous",IF(ISNUMBER(SEARCH("平",B6889)),"平","仄")))</x:f>
        <x:v>平</x:v>
      </x:c>
      <x:c r="K6889" s="6" t="str">
        <x:f>IF(D6889="","",IF(AND(ISNUMBER(SEARCH("平",D6889)),OR(ISNUMBER(SEARCH("上",D6889)),ISNUMBER(SEARCH("去",D6889)),ISNUMBER(SEARCH("入",D6889)))),"Ambiguous",IF(ISNUMBER(SEARCH("平",D6889)),"平","仄")))</x:f>
        <x:v>平</x:v>
      </x:c>
      <x:c r="L6889" s="7" t="str">
        <x:v>Pingshui main list expansion</x:v>
      </x:c>
    </x:row>
    <x:row r="6890">
      <x:c r="A6890" s="5" t="str">
        <x:v>拐</x:v>
      </x:c>
      <x:c r="B6890" s="6" t="str">
        <x:v>上</x:v>
      </x:c>
      <x:c r="C6890" s="6" t="str">
        <x:f>IF(B6890="","Needs decision","Ready")</x:f>
        <x:v>Ready</x:v>
      </x:c>
      <x:c r="D6890" s="6" t="str">
        <x:v>上</x:v>
      </x:c>
      <x:c r="E6890" s="6" t="str"/>
      <x:c r="F6890" s="6" t="str">
        <x:v>上聲九蟹</x:v>
      </x:c>
      <x:c r="G6890" s="6" t="str">
        <x:v>Pingshui main list, Wikisource-derived DOCX</x:v>
      </x:c>
      <x:c r="H6890" s="6" t="str"/>
      <x:c r="I6890" s="6" t="str">
        <x:v>Pingshui main-list expansion; 詞 entries ignored</x:v>
      </x:c>
      <x:c r="J6890" s="6" t="str">
        <x:f>IF(B6890="","",IF(AND(ISNUMBER(SEARCH("平",B6890)),OR(ISNUMBER(SEARCH("上",B6890)),ISNUMBER(SEARCH("去",B6890)),ISNUMBER(SEARCH("入",B6890)))),"Ambiguous",IF(ISNUMBER(SEARCH("平",B6890)),"平","仄")))</x:f>
        <x:v>仄</x:v>
      </x:c>
      <x:c r="K6890" s="6" t="str">
        <x:f>IF(D6890="","",IF(AND(ISNUMBER(SEARCH("平",D6890)),OR(ISNUMBER(SEARCH("上",D6890)),ISNUMBER(SEARCH("去",D6890)),ISNUMBER(SEARCH("入",D6890)))),"Ambiguous",IF(ISNUMBER(SEARCH("平",D6890)),"平","仄")))</x:f>
        <x:v>仄</x:v>
      </x:c>
      <x:c r="L6890" s="7" t="str">
        <x:v>Pingshui main list expansion</x:v>
      </x:c>
    </x:row>
    <x:row r="6891">
      <x:c r="A6891" s="5" t="str">
        <x:v>拚</x:v>
      </x:c>
      <x:c r="B6891" s="6" t="str">
        <x:v>去</x:v>
      </x:c>
      <x:c r="C6891" s="6" t="str">
        <x:f>IF(B6891="","Needs decision","Ready")</x:f>
        <x:v>Ready</x:v>
      </x:c>
      <x:c r="D6891" s="6" t="str">
        <x:v>去</x:v>
      </x:c>
      <x:c r="E6891" s="6" t="str"/>
      <x:c r="F6891" s="6" t="str">
        <x:v>去聲十三問; 去聲十七霰</x:v>
      </x:c>
      <x:c r="G6891" s="6" t="str">
        <x:v>Pingshui main list, Wikisource-derived DOCX</x:v>
      </x:c>
      <x:c r="H6891" s="6" t="str"/>
      <x:c r="I6891" s="6" t="str">
        <x:v>Pingshui main-list expansion; 詞 entries ignored</x:v>
      </x:c>
      <x:c r="J6891" s="6" t="str">
        <x:f>IF(B6891="","",IF(AND(ISNUMBER(SEARCH("平",B6891)),OR(ISNUMBER(SEARCH("上",B6891)),ISNUMBER(SEARCH("去",B6891)),ISNUMBER(SEARCH("入",B6891)))),"Ambiguous",IF(ISNUMBER(SEARCH("平",B6891)),"平","仄")))</x:f>
        <x:v>仄</x:v>
      </x:c>
      <x:c r="K6891" s="6" t="str">
        <x:f>IF(D6891="","",IF(AND(ISNUMBER(SEARCH("平",D6891)),OR(ISNUMBER(SEARCH("上",D6891)),ISNUMBER(SEARCH("去",D6891)),ISNUMBER(SEARCH("入",D6891)))),"Ambiguous",IF(ISNUMBER(SEARCH("平",D6891)),"平","仄")))</x:f>
        <x:v>仄</x:v>
      </x:c>
      <x:c r="L6891" s="7" t="str">
        <x:v>Pingshui main list expansion</x:v>
      </x:c>
    </x:row>
    <x:row r="6892">
      <x:c r="A6892" s="5" t="str">
        <x:v>拫</x:v>
      </x:c>
      <x:c r="B6892" s="6" t="str">
        <x:v>平</x:v>
      </x:c>
      <x:c r="C6892" s="6" t="str">
        <x:f>IF(B6892="","Needs decision","Ready")</x:f>
        <x:v>Ready</x:v>
      </x:c>
      <x:c r="D6892" s="6" t="str">
        <x:v>平</x:v>
      </x:c>
      <x:c r="E6892" s="6" t="str"/>
      <x:c r="F6892" s="6" t="str">
        <x:v>上平聲十三元</x:v>
      </x:c>
      <x:c r="G6892" s="6" t="str">
        <x:v>Pingshui main list, Wikisource-derived DOCX</x:v>
      </x:c>
      <x:c r="H6892" s="6" t="str"/>
      <x:c r="I6892" s="6" t="str">
        <x:v>Pingshui main-list expansion; 詞 entries ignored</x:v>
      </x:c>
      <x:c r="J6892" s="6" t="str">
        <x:f>IF(B6892="","",IF(AND(ISNUMBER(SEARCH("平",B6892)),OR(ISNUMBER(SEARCH("上",B6892)),ISNUMBER(SEARCH("去",B6892)),ISNUMBER(SEARCH("入",B6892)))),"Ambiguous",IF(ISNUMBER(SEARCH("平",B6892)),"平","仄")))</x:f>
        <x:v>平</x:v>
      </x:c>
      <x:c r="K6892" s="6" t="str">
        <x:f>IF(D6892="","",IF(AND(ISNUMBER(SEARCH("平",D6892)),OR(ISNUMBER(SEARCH("上",D6892)),ISNUMBER(SEARCH("去",D6892)),ISNUMBER(SEARCH("入",D6892)))),"Ambiguous",IF(ISNUMBER(SEARCH("平",D6892)),"平","仄")))</x:f>
        <x:v>平</x:v>
      </x:c>
      <x:c r="L6892" s="7" t="str">
        <x:v>Pingshui main list expansion</x:v>
      </x:c>
    </x:row>
    <x:row r="6893">
      <x:c r="A6893" s="5" t="str">
        <x:v>挃</x:v>
      </x:c>
      <x:c r="B6893" s="6" t="str">
        <x:v>入</x:v>
      </x:c>
      <x:c r="C6893" s="6" t="str">
        <x:f>IF(B6893="","Needs decision","Ready")</x:f>
        <x:v>Ready</x:v>
      </x:c>
      <x:c r="D6893" s="6" t="str">
        <x:v>入</x:v>
      </x:c>
      <x:c r="E6893" s="6" t="str"/>
      <x:c r="F6893" s="6" t="str">
        <x:v>入聲四質</x:v>
      </x:c>
      <x:c r="G6893" s="6" t="str">
        <x:v>Pingshui main list, Wikisource-derived DOCX</x:v>
      </x:c>
      <x:c r="H6893" s="6" t="str"/>
      <x:c r="I6893" s="6" t="str">
        <x:v>Pingshui main-list expansion; 詞 entries ignored</x:v>
      </x:c>
      <x:c r="J6893" s="6" t="str">
        <x:f>IF(B6893="","",IF(AND(ISNUMBER(SEARCH("平",B6893)),OR(ISNUMBER(SEARCH("上",B6893)),ISNUMBER(SEARCH("去",B6893)),ISNUMBER(SEARCH("入",B6893)))),"Ambiguous",IF(ISNUMBER(SEARCH("平",B6893)),"平","仄")))</x:f>
        <x:v>仄</x:v>
      </x:c>
      <x:c r="K6893" s="6" t="str">
        <x:f>IF(D6893="","",IF(AND(ISNUMBER(SEARCH("平",D6893)),OR(ISNUMBER(SEARCH("上",D6893)),ISNUMBER(SEARCH("去",D6893)),ISNUMBER(SEARCH("入",D6893)))),"Ambiguous",IF(ISNUMBER(SEARCH("平",D6893)),"平","仄")))</x:f>
        <x:v>仄</x:v>
      </x:c>
      <x:c r="L6893" s="7" t="str">
        <x:v>Pingshui main list expansion</x:v>
      </x:c>
    </x:row>
    <x:row r="6894">
      <x:c r="A6894" s="5" t="str">
        <x:v>挏</x:v>
      </x:c>
      <x:c r="B6894" s="6" t="str">
        <x:v>上</x:v>
      </x:c>
      <x:c r="C6894" s="6" t="str">
        <x:f>IF(B6894="","Needs decision","Ready")</x:f>
        <x:v>Ready</x:v>
      </x:c>
      <x:c r="D6894" s="6" t="str">
        <x:v>上</x:v>
      </x:c>
      <x:c r="E6894" s="6" t="str"/>
      <x:c r="F6894" s="6" t="str">
        <x:v>上聲一董</x:v>
      </x:c>
      <x:c r="G6894" s="6" t="str">
        <x:v>Pingshui main list, Wikisource-derived DOCX</x:v>
      </x:c>
      <x:c r="H6894" s="6" t="str"/>
      <x:c r="I6894" s="6" t="str">
        <x:v>Pingshui main-list expansion; 詞 entries ignored</x:v>
      </x:c>
      <x:c r="J6894" s="6" t="str">
        <x:f>IF(B6894="","",IF(AND(ISNUMBER(SEARCH("平",B6894)),OR(ISNUMBER(SEARCH("上",B6894)),ISNUMBER(SEARCH("去",B6894)),ISNUMBER(SEARCH("入",B6894)))),"Ambiguous",IF(ISNUMBER(SEARCH("平",B6894)),"平","仄")))</x:f>
        <x:v>仄</x:v>
      </x:c>
      <x:c r="K6894" s="6" t="str">
        <x:f>IF(D6894="","",IF(AND(ISNUMBER(SEARCH("平",D6894)),OR(ISNUMBER(SEARCH("上",D6894)),ISNUMBER(SEARCH("去",D6894)),ISNUMBER(SEARCH("入",D6894)))),"Ambiguous",IF(ISNUMBER(SEARCH("平",D6894)),"平","仄")))</x:f>
        <x:v>仄</x:v>
      </x:c>
      <x:c r="L6894" s="7" t="str">
        <x:v>Pingshui main list expansion</x:v>
      </x:c>
    </x:row>
    <x:row r="6895">
      <x:c r="A6895" s="5" t="str">
        <x:v>挶</x:v>
      </x:c>
      <x:c r="B6895" s="6" t="str">
        <x:v>入</x:v>
      </x:c>
      <x:c r="C6895" s="6" t="str">
        <x:f>IF(B6895="","Needs decision","Ready")</x:f>
        <x:v>Ready</x:v>
      </x:c>
      <x:c r="D6895" s="6" t="str">
        <x:v>入</x:v>
      </x:c>
      <x:c r="E6895" s="6" t="str"/>
      <x:c r="F6895" s="6" t="str">
        <x:v>入聲二沃</x:v>
      </x:c>
      <x:c r="G6895" s="6" t="str">
        <x:v>Pingshui main list, Wikisource-derived DOCX</x:v>
      </x:c>
      <x:c r="H6895" s="6" t="str"/>
      <x:c r="I6895" s="6" t="str">
        <x:v>Pingshui main-list expansion; 詞 entries ignored</x:v>
      </x:c>
      <x:c r="J6895" s="6" t="str">
        <x:f>IF(B6895="","",IF(AND(ISNUMBER(SEARCH("平",B6895)),OR(ISNUMBER(SEARCH("上",B6895)),ISNUMBER(SEARCH("去",B6895)),ISNUMBER(SEARCH("入",B6895)))),"Ambiguous",IF(ISNUMBER(SEARCH("平",B6895)),"平","仄")))</x:f>
        <x:v>仄</x:v>
      </x:c>
      <x:c r="K6895" s="6" t="str">
        <x:f>IF(D6895="","",IF(AND(ISNUMBER(SEARCH("平",D6895)),OR(ISNUMBER(SEARCH("上",D6895)),ISNUMBER(SEARCH("去",D6895)),ISNUMBER(SEARCH("入",D6895)))),"Ambiguous",IF(ISNUMBER(SEARCH("平",D6895)),"平","仄")))</x:f>
        <x:v>仄</x:v>
      </x:c>
      <x:c r="L6895" s="7" t="str">
        <x:v>Pingshui main list expansion</x:v>
      </x:c>
    </x:row>
    <x:row r="6896">
      <x:c r="A6896" s="5" t="str">
        <x:v>挻</x:v>
      </x:c>
      <x:c r="B6896" s="6" t="str">
        <x:v>平</x:v>
      </x:c>
      <x:c r="C6896" s="6" t="str">
        <x:f>IF(B6896="","Needs decision","Ready")</x:f>
        <x:v>Ready</x:v>
      </x:c>
      <x:c r="D6896" s="6" t="str">
        <x:v>平</x:v>
      </x:c>
      <x:c r="E6896" s="6" t="str"/>
      <x:c r="F6896" s="6" t="str">
        <x:v>下平聲一先</x:v>
      </x:c>
      <x:c r="G6896" s="6" t="str">
        <x:v>Pingshui main list, Wikisource-derived DOCX</x:v>
      </x:c>
      <x:c r="H6896" s="6" t="str"/>
      <x:c r="I6896" s="6" t="str">
        <x:v>Pingshui main-list expansion; 詞 entries ignored</x:v>
      </x:c>
      <x:c r="J6896" s="6" t="str">
        <x:f>IF(B6896="","",IF(AND(ISNUMBER(SEARCH("平",B6896)),OR(ISNUMBER(SEARCH("上",B6896)),ISNUMBER(SEARCH("去",B6896)),ISNUMBER(SEARCH("入",B6896)))),"Ambiguous",IF(ISNUMBER(SEARCH("平",B6896)),"平","仄")))</x:f>
        <x:v>平</x:v>
      </x:c>
      <x:c r="K6896" s="6" t="str">
        <x:f>IF(D6896="","",IF(AND(ISNUMBER(SEARCH("平",D6896)),OR(ISNUMBER(SEARCH("上",D6896)),ISNUMBER(SEARCH("去",D6896)),ISNUMBER(SEARCH("入",D6896)))),"Ambiguous",IF(ISNUMBER(SEARCH("平",D6896)),"平","仄")))</x:f>
        <x:v>平</x:v>
      </x:c>
      <x:c r="L6896" s="7" t="str">
        <x:v>Pingshui main list expansion</x:v>
      </x:c>
    </x:row>
    <x:row r="6897">
      <x:c r="A6897" s="5" t="str">
        <x:v>捂</x:v>
      </x:c>
      <x:c r="B6897" s="6" t="str">
        <x:v>去</x:v>
      </x:c>
      <x:c r="C6897" s="6" t="str">
        <x:f>IF(B6897="","Needs decision","Ready")</x:f>
        <x:v>Ready</x:v>
      </x:c>
      <x:c r="D6897" s="6" t="str">
        <x:v>去</x:v>
      </x:c>
      <x:c r="E6897" s="6" t="str"/>
      <x:c r="F6897" s="6" t="str">
        <x:v>去聲七遇</x:v>
      </x:c>
      <x:c r="G6897" s="6" t="str">
        <x:v>Pingshui main list, Wikisource-derived DOCX</x:v>
      </x:c>
      <x:c r="H6897" s="6" t="str"/>
      <x:c r="I6897" s="6" t="str">
        <x:v>Pingshui main-list expansion; 詞 entries ignored</x:v>
      </x:c>
      <x:c r="J6897" s="6" t="str">
        <x:f>IF(B6897="","",IF(AND(ISNUMBER(SEARCH("平",B6897)),OR(ISNUMBER(SEARCH("上",B6897)),ISNUMBER(SEARCH("去",B6897)),ISNUMBER(SEARCH("入",B6897)))),"Ambiguous",IF(ISNUMBER(SEARCH("平",B6897)),"平","仄")))</x:f>
        <x:v>仄</x:v>
      </x:c>
      <x:c r="K6897" s="6" t="str">
        <x:f>IF(D6897="","",IF(AND(ISNUMBER(SEARCH("平",D6897)),OR(ISNUMBER(SEARCH("上",D6897)),ISNUMBER(SEARCH("去",D6897)),ISNUMBER(SEARCH("入",D6897)))),"Ambiguous",IF(ISNUMBER(SEARCH("平",D6897)),"平","仄")))</x:f>
        <x:v>仄</x:v>
      </x:c>
      <x:c r="L6897" s="7" t="str">
        <x:v>Pingshui main list expansion</x:v>
      </x:c>
    </x:row>
    <x:row r="6898">
      <x:c r="A6898" s="5" t="str">
        <x:v>捆</x:v>
      </x:c>
      <x:c r="B6898" s="6" t="str">
        <x:v>上</x:v>
      </x:c>
      <x:c r="C6898" s="6" t="str">
        <x:f>IF(B6898="","Needs decision","Ready")</x:f>
        <x:v>Ready</x:v>
      </x:c>
      <x:c r="D6898" s="6" t="str">
        <x:v>上</x:v>
      </x:c>
      <x:c r="E6898" s="6" t="str"/>
      <x:c r="F6898" s="6" t="str">
        <x:v>上聲十三阮</x:v>
      </x:c>
      <x:c r="G6898" s="6" t="str">
        <x:v>Pingshui main list, Wikisource-derived DOCX</x:v>
      </x:c>
      <x:c r="H6898" s="6" t="str"/>
      <x:c r="I6898" s="6" t="str">
        <x:v>Pingshui main-list expansion; 詞 entries ignored</x:v>
      </x:c>
      <x:c r="J6898" s="6" t="str">
        <x:f>IF(B6898="","",IF(AND(ISNUMBER(SEARCH("平",B6898)),OR(ISNUMBER(SEARCH("上",B6898)),ISNUMBER(SEARCH("去",B6898)),ISNUMBER(SEARCH("入",B6898)))),"Ambiguous",IF(ISNUMBER(SEARCH("平",B6898)),"平","仄")))</x:f>
        <x:v>仄</x:v>
      </x:c>
      <x:c r="K6898" s="6" t="str">
        <x:f>IF(D6898="","",IF(AND(ISNUMBER(SEARCH("平",D6898)),OR(ISNUMBER(SEARCH("上",D6898)),ISNUMBER(SEARCH("去",D6898)),ISNUMBER(SEARCH("入",D6898)))),"Ambiguous",IF(ISNUMBER(SEARCH("平",D6898)),"平","仄")))</x:f>
        <x:v>仄</x:v>
      </x:c>
      <x:c r="L6898" s="7" t="str">
        <x:v>Pingshui main list expansion</x:v>
      </x:c>
    </x:row>
    <x:row r="6899">
      <x:c r="A6899" s="5" t="str">
        <x:v>捊</x:v>
      </x:c>
      <x:c r="B6899" s="6" t="str">
        <x:v>平</x:v>
      </x:c>
      <x:c r="C6899" s="6" t="str">
        <x:f>IF(B6899="","Needs decision","Ready")</x:f>
        <x:v>Ready</x:v>
      </x:c>
      <x:c r="D6899" s="6" t="str">
        <x:v>平</x:v>
      </x:c>
      <x:c r="E6899" s="6" t="str"/>
      <x:c r="F6899" s="6" t="str">
        <x:v>下平聲三肴</x:v>
      </x:c>
      <x:c r="G6899" s="6" t="str">
        <x:v>Pingshui main list, Wikisource-derived DOCX</x:v>
      </x:c>
      <x:c r="H6899" s="6" t="str"/>
      <x:c r="I6899" s="6" t="str">
        <x:v>Pingshui main-list expansion; 詞 entries ignored</x:v>
      </x:c>
      <x:c r="J6899" s="6" t="str">
        <x:f>IF(B6899="","",IF(AND(ISNUMBER(SEARCH("平",B6899)),OR(ISNUMBER(SEARCH("上",B6899)),ISNUMBER(SEARCH("去",B6899)),ISNUMBER(SEARCH("入",B6899)))),"Ambiguous",IF(ISNUMBER(SEARCH("平",B6899)),"平","仄")))</x:f>
        <x:v>平</x:v>
      </x:c>
      <x:c r="K6899" s="6" t="str">
        <x:f>IF(D6899="","",IF(AND(ISNUMBER(SEARCH("平",D6899)),OR(ISNUMBER(SEARCH("上",D6899)),ISNUMBER(SEARCH("去",D6899)),ISNUMBER(SEARCH("入",D6899)))),"Ambiguous",IF(ISNUMBER(SEARCH("平",D6899)),"平","仄")))</x:f>
        <x:v>平</x:v>
      </x:c>
      <x:c r="L6899" s="7" t="str">
        <x:v>Pingshui main list expansion</x:v>
      </x:c>
    </x:row>
    <x:row r="6900">
      <x:c r="A6900" s="5" t="str">
        <x:v>捏</x:v>
      </x:c>
      <x:c r="B6900" s="6" t="str">
        <x:v>入</x:v>
      </x:c>
      <x:c r="C6900" s="6" t="str">
        <x:f>IF(B6900="","Needs decision","Ready")</x:f>
        <x:v>Ready</x:v>
      </x:c>
      <x:c r="D6900" s="6" t="str">
        <x:v>入</x:v>
      </x:c>
      <x:c r="E6900" s="6" t="str"/>
      <x:c r="F6900" s="6" t="str">
        <x:v>入聲九屑</x:v>
      </x:c>
      <x:c r="G6900" s="6" t="str">
        <x:v>Pingshui main list, Wikisource-derived DOCX</x:v>
      </x:c>
      <x:c r="H6900" s="6" t="str"/>
      <x:c r="I6900" s="6" t="str">
        <x:v>Pingshui main-list expansion; 詞 entries ignored</x:v>
      </x:c>
      <x:c r="J6900" s="6" t="str">
        <x:f>IF(B6900="","",IF(AND(ISNUMBER(SEARCH("平",B6900)),OR(ISNUMBER(SEARCH("上",B6900)),ISNUMBER(SEARCH("去",B6900)),ISNUMBER(SEARCH("入",B6900)))),"Ambiguous",IF(ISNUMBER(SEARCH("平",B6900)),"平","仄")))</x:f>
        <x:v>仄</x:v>
      </x:c>
      <x:c r="K6900" s="6" t="str">
        <x:f>IF(D6900="","",IF(AND(ISNUMBER(SEARCH("平",D6900)),OR(ISNUMBER(SEARCH("上",D6900)),ISNUMBER(SEARCH("去",D6900)),ISNUMBER(SEARCH("入",D6900)))),"Ambiguous",IF(ISNUMBER(SEARCH("平",D6900)),"平","仄")))</x:f>
        <x:v>仄</x:v>
      </x:c>
      <x:c r="L6900" s="7" t="str">
        <x:v>Pingshui main list expansion</x:v>
      </x:c>
    </x:row>
    <x:row r="6901">
      <x:c r="A6901" s="5" t="str">
        <x:v>捔</x:v>
      </x:c>
      <x:c r="B6901" s="6" t="str">
        <x:v>入</x:v>
      </x:c>
      <x:c r="C6901" s="6" t="str">
        <x:f>IF(B6901="","Needs decision","Ready")</x:f>
        <x:v>Ready</x:v>
      </x:c>
      <x:c r="D6901" s="6" t="str">
        <x:v>入</x:v>
      </x:c>
      <x:c r="E6901" s="6" t="str"/>
      <x:c r="F6901" s="6" t="str">
        <x:v>入聲三覺</x:v>
      </x:c>
      <x:c r="G6901" s="6" t="str">
        <x:v>Pingshui main list, Wikisource-derived DOCX</x:v>
      </x:c>
      <x:c r="H6901" s="6" t="str"/>
      <x:c r="I6901" s="6" t="str">
        <x:v>Pingshui main-list expansion; 詞 entries ignored</x:v>
      </x:c>
      <x:c r="J6901" s="6" t="str">
        <x:f>IF(B6901="","",IF(AND(ISNUMBER(SEARCH("平",B6901)),OR(ISNUMBER(SEARCH("上",B6901)),ISNUMBER(SEARCH("去",B6901)),ISNUMBER(SEARCH("入",B6901)))),"Ambiguous",IF(ISNUMBER(SEARCH("平",B6901)),"平","仄")))</x:f>
        <x:v>仄</x:v>
      </x:c>
      <x:c r="K6901" s="6" t="str">
        <x:f>IF(D6901="","",IF(AND(ISNUMBER(SEARCH("平",D6901)),OR(ISNUMBER(SEARCH("上",D6901)),ISNUMBER(SEARCH("去",D6901)),ISNUMBER(SEARCH("入",D6901)))),"Ambiguous",IF(ISNUMBER(SEARCH("平",D6901)),"平","仄")))</x:f>
        <x:v>仄</x:v>
      </x:c>
      <x:c r="L6901" s="7" t="str">
        <x:v>Pingshui main list expansion</x:v>
      </x:c>
    </x:row>
    <x:row r="6902">
      <x:c r="A6902" s="5" t="str">
        <x:v>捼</x:v>
      </x:c>
      <x:c r="B6902" s="6" t="str">
        <x:v>平</x:v>
      </x:c>
      <x:c r="C6902" s="6" t="str">
        <x:f>IF(B6902="","Needs decision","Ready")</x:f>
        <x:v>Ready</x:v>
      </x:c>
      <x:c r="D6902" s="6" t="str">
        <x:v>平</x:v>
      </x:c>
      <x:c r="E6902" s="6" t="str"/>
      <x:c r="F6902" s="6" t="str">
        <x:v>上平聲十灰; 下平聲五歌</x:v>
      </x:c>
      <x:c r="G6902" s="6" t="str">
        <x:v>Pingshui main list, Wikisource-derived DOCX</x:v>
      </x:c>
      <x:c r="H6902" s="6" t="str"/>
      <x:c r="I6902" s="6" t="str">
        <x:v>Pingshui main-list expansion; 詞 entries ignored</x:v>
      </x:c>
      <x:c r="J6902" s="6" t="str">
        <x:f>IF(B6902="","",IF(AND(ISNUMBER(SEARCH("平",B6902)),OR(ISNUMBER(SEARCH("上",B6902)),ISNUMBER(SEARCH("去",B6902)),ISNUMBER(SEARCH("入",B6902)))),"Ambiguous",IF(ISNUMBER(SEARCH("平",B6902)),"平","仄")))</x:f>
        <x:v>平</x:v>
      </x:c>
      <x:c r="K6902" s="6" t="str">
        <x:f>IF(D6902="","",IF(AND(ISNUMBER(SEARCH("平",D6902)),OR(ISNUMBER(SEARCH("上",D6902)),ISNUMBER(SEARCH("去",D6902)),ISNUMBER(SEARCH("入",D6902)))),"Ambiguous",IF(ISNUMBER(SEARCH("平",D6902)),"平","仄")))</x:f>
        <x:v>平</x:v>
      </x:c>
      <x:c r="L6902" s="7" t="str">
        <x:v>Pingshui main list expansion</x:v>
      </x:c>
    </x:row>
    <x:row r="6903">
      <x:c r="A6903" s="5" t="str">
        <x:v>捽</x:v>
      </x:c>
      <x:c r="B6903" s="6" t="str">
        <x:v>入</x:v>
      </x:c>
      <x:c r="C6903" s="6" t="str">
        <x:f>IF(B6903="","Needs decision","Ready")</x:f>
        <x:v>Ready</x:v>
      </x:c>
      <x:c r="D6903" s="6" t="str">
        <x:v>入</x:v>
      </x:c>
      <x:c r="E6903" s="6" t="str"/>
      <x:c r="F6903" s="6" t="str">
        <x:v>入聲六月</x:v>
      </x:c>
      <x:c r="G6903" s="6" t="str">
        <x:v>Pingshui main list, Wikisource-derived DOCX</x:v>
      </x:c>
      <x:c r="H6903" s="6" t="str"/>
      <x:c r="I6903" s="6" t="str">
        <x:v>Pingshui main-list expansion; 詞 entries ignored</x:v>
      </x:c>
      <x:c r="J6903" s="6" t="str">
        <x:f>IF(B6903="","",IF(AND(ISNUMBER(SEARCH("平",B6903)),OR(ISNUMBER(SEARCH("上",B6903)),ISNUMBER(SEARCH("去",B6903)),ISNUMBER(SEARCH("入",B6903)))),"Ambiguous",IF(ISNUMBER(SEARCH("平",B6903)),"平","仄")))</x:f>
        <x:v>仄</x:v>
      </x:c>
      <x:c r="K6903" s="6" t="str">
        <x:f>IF(D6903="","",IF(AND(ISNUMBER(SEARCH("平",D6903)),OR(ISNUMBER(SEARCH("上",D6903)),ISNUMBER(SEARCH("去",D6903)),ISNUMBER(SEARCH("入",D6903)))),"Ambiguous",IF(ISNUMBER(SEARCH("平",D6903)),"平","仄")))</x:f>
        <x:v>仄</x:v>
      </x:c>
      <x:c r="L6903" s="7" t="str">
        <x:v>Pingshui main list expansion</x:v>
      </x:c>
    </x:row>
    <x:row r="6904">
      <x:c r="A6904" s="5" t="str">
        <x:v>掀</x:v>
      </x:c>
      <x:c r="B6904" s="6" t="str">
        <x:v>平</x:v>
      </x:c>
      <x:c r="C6904" s="6" t="str">
        <x:f>IF(B6904="","Needs decision","Ready")</x:f>
        <x:v>Ready</x:v>
      </x:c>
      <x:c r="D6904" s="6" t="str">
        <x:v>平</x:v>
      </x:c>
      <x:c r="E6904" s="6" t="str"/>
      <x:c r="F6904" s="6" t="str">
        <x:v>上平聲十三元</x:v>
      </x:c>
      <x:c r="G6904" s="6" t="str">
        <x:v>Pingshui main list, Wikisource-derived DOCX</x:v>
      </x:c>
      <x:c r="H6904" s="6" t="str"/>
      <x:c r="I6904" s="6" t="str">
        <x:v>Pingshui main-list expansion; 詞 entries ignored</x:v>
      </x:c>
      <x:c r="J6904" s="6" t="str">
        <x:f>IF(B6904="","",IF(AND(ISNUMBER(SEARCH("平",B6904)),OR(ISNUMBER(SEARCH("上",B6904)),ISNUMBER(SEARCH("去",B6904)),ISNUMBER(SEARCH("入",B6904)))),"Ambiguous",IF(ISNUMBER(SEARCH("平",B6904)),"平","仄")))</x:f>
        <x:v>平</x:v>
      </x:c>
      <x:c r="K6904" s="6" t="str">
        <x:f>IF(D6904="","",IF(AND(ISNUMBER(SEARCH("平",D6904)),OR(ISNUMBER(SEARCH("上",D6904)),ISNUMBER(SEARCH("去",D6904)),ISNUMBER(SEARCH("入",D6904)))),"Ambiguous",IF(ISNUMBER(SEARCH("平",D6904)),"平","仄")))</x:f>
        <x:v>平</x:v>
      </x:c>
      <x:c r="L6904" s="7" t="str">
        <x:v>Pingshui main list expansion</x:v>
      </x:c>
    </x:row>
    <x:row r="6905">
      <x:c r="A6905" s="5" t="str">
        <x:v>掁</x:v>
      </x:c>
      <x:c r="B6905" s="6" t="str">
        <x:v>平</x:v>
      </x:c>
      <x:c r="C6905" s="6" t="str">
        <x:f>IF(B6905="","Needs decision","Ready")</x:f>
        <x:v>Ready</x:v>
      </x:c>
      <x:c r="D6905" s="6" t="str">
        <x:v>平</x:v>
      </x:c>
      <x:c r="E6905" s="6" t="str"/>
      <x:c r="F6905" s="6" t="str">
        <x:v>下平聲八庚</x:v>
      </x:c>
      <x:c r="G6905" s="6" t="str">
        <x:v>Pingshui main list, Wikisource-derived DOCX</x:v>
      </x:c>
      <x:c r="H6905" s="6" t="str"/>
      <x:c r="I6905" s="6" t="str">
        <x:v>Pingshui main-list expansion; 詞 entries ignored</x:v>
      </x:c>
      <x:c r="J6905" s="6" t="str">
        <x:f>IF(B6905="","",IF(AND(ISNUMBER(SEARCH("平",B6905)),OR(ISNUMBER(SEARCH("上",B6905)),ISNUMBER(SEARCH("去",B6905)),ISNUMBER(SEARCH("入",B6905)))),"Ambiguous",IF(ISNUMBER(SEARCH("平",B6905)),"平","仄")))</x:f>
        <x:v>平</x:v>
      </x:c>
      <x:c r="K6905" s="6" t="str">
        <x:f>IF(D6905="","",IF(AND(ISNUMBER(SEARCH("平",D6905)),OR(ISNUMBER(SEARCH("上",D6905)),ISNUMBER(SEARCH("去",D6905)),ISNUMBER(SEARCH("入",D6905)))),"Ambiguous",IF(ISNUMBER(SEARCH("平",D6905)),"平","仄")))</x:f>
        <x:v>平</x:v>
      </x:c>
      <x:c r="L6905" s="7" t="str">
        <x:v>Pingshui main list expansion</x:v>
      </x:c>
    </x:row>
    <x:row r="6906">
      <x:c r="A6906" s="5" t="str">
        <x:v>掄</x:v>
      </x:c>
      <x:c r="B6906" s="6" t="str">
        <x:v>平</x:v>
      </x:c>
      <x:c r="C6906" s="6" t="str">
        <x:f>IF(B6906="","Needs decision","Ready")</x:f>
        <x:v>Ready</x:v>
      </x:c>
      <x:c r="D6906" s="6" t="str">
        <x:v>平</x:v>
      </x:c>
      <x:c r="E6906" s="6" t="str"/>
      <x:c r="F6906" s="6" t="str">
        <x:v>上平聲十一真; 上平聲十三元</x:v>
      </x:c>
      <x:c r="G6906" s="6" t="str">
        <x:v>Pingshui main list, Wikisource-derived DOCX</x:v>
      </x:c>
      <x:c r="H6906" s="6" t="str"/>
      <x:c r="I6906" s="6" t="str">
        <x:v>Pingshui main-list expansion; 詞 entries ignored</x:v>
      </x:c>
      <x:c r="J6906" s="6" t="str">
        <x:f>IF(B6906="","",IF(AND(ISNUMBER(SEARCH("平",B6906)),OR(ISNUMBER(SEARCH("上",B6906)),ISNUMBER(SEARCH("去",B6906)),ISNUMBER(SEARCH("入",B6906)))),"Ambiguous",IF(ISNUMBER(SEARCH("平",B6906)),"平","仄")))</x:f>
        <x:v>平</x:v>
      </x:c>
      <x:c r="K6906" s="6" t="str">
        <x:f>IF(D6906="","",IF(AND(ISNUMBER(SEARCH("平",D6906)),OR(ISNUMBER(SEARCH("上",D6906)),ISNUMBER(SEARCH("去",D6906)),ISNUMBER(SEARCH("入",D6906)))),"Ambiguous",IF(ISNUMBER(SEARCH("平",D6906)),"平","仄")))</x:f>
        <x:v>平</x:v>
      </x:c>
      <x:c r="L6906" s="7" t="str">
        <x:v>Pingshui main list expansion</x:v>
      </x:c>
    </x:row>
    <x:row r="6907">
      <x:c r="A6907" s="5" t="str">
        <x:v>掔</x:v>
      </x:c>
      <x:c r="B6907" s="6" t="str">
        <x:v>上</x:v>
      </x:c>
      <x:c r="C6907" s="6" t="str">
        <x:f>IF(B6907="","Needs decision","Ready")</x:f>
        <x:v>Ready</x:v>
      </x:c>
      <x:c r="D6907" s="6" t="str">
        <x:v>上</x:v>
      </x:c>
      <x:c r="E6907" s="6" t="str"/>
      <x:c r="F6907" s="6" t="str">
        <x:v>上聲二十七感</x:v>
      </x:c>
      <x:c r="G6907" s="6" t="str">
        <x:v>Pingshui main list, Wikisource-derived DOCX</x:v>
      </x:c>
      <x:c r="H6907" s="6" t="str"/>
      <x:c r="I6907" s="6" t="str">
        <x:v>Pingshui main-list expansion; 詞 entries ignored</x:v>
      </x:c>
      <x:c r="J6907" s="6" t="str">
        <x:f>IF(B6907="","",IF(AND(ISNUMBER(SEARCH("平",B6907)),OR(ISNUMBER(SEARCH("上",B6907)),ISNUMBER(SEARCH("去",B6907)),ISNUMBER(SEARCH("入",B6907)))),"Ambiguous",IF(ISNUMBER(SEARCH("平",B6907)),"平","仄")))</x:f>
        <x:v>仄</x:v>
      </x:c>
      <x:c r="K6907" s="6" t="str">
        <x:f>IF(D6907="","",IF(AND(ISNUMBER(SEARCH("平",D6907)),OR(ISNUMBER(SEARCH("上",D6907)),ISNUMBER(SEARCH("去",D6907)),ISNUMBER(SEARCH("入",D6907)))),"Ambiguous",IF(ISNUMBER(SEARCH("平",D6907)),"平","仄")))</x:f>
        <x:v>仄</x:v>
      </x:c>
      <x:c r="L6907" s="7" t="str">
        <x:v>Pingshui main list expansion</x:v>
      </x:c>
    </x:row>
    <x:row r="6908">
      <x:c r="A6908" s="5" t="str">
        <x:v>掤</x:v>
      </x:c>
      <x:c r="B6908" s="6" t="str">
        <x:v>平</x:v>
      </x:c>
      <x:c r="C6908" s="6" t="str">
        <x:f>IF(B6908="","Needs decision","Ready")</x:f>
        <x:v>Ready</x:v>
      </x:c>
      <x:c r="D6908" s="6" t="str">
        <x:v>平</x:v>
      </x:c>
      <x:c r="E6908" s="6" t="str"/>
      <x:c r="F6908" s="6" t="str">
        <x:v>下平聲十蒸</x:v>
      </x:c>
      <x:c r="G6908" s="6" t="str">
        <x:v>Pingshui main list, Wikisource-derived DOCX</x:v>
      </x:c>
      <x:c r="H6908" s="6" t="str"/>
      <x:c r="I6908" s="6" t="str">
        <x:v>Pingshui main-list expansion; 詞 entries ignored</x:v>
      </x:c>
      <x:c r="J6908" s="6" t="str">
        <x:f>IF(B6908="","",IF(AND(ISNUMBER(SEARCH("平",B6908)),OR(ISNUMBER(SEARCH("上",B6908)),ISNUMBER(SEARCH("去",B6908)),ISNUMBER(SEARCH("入",B6908)))),"Ambiguous",IF(ISNUMBER(SEARCH("平",B6908)),"平","仄")))</x:f>
        <x:v>平</x:v>
      </x:c>
      <x:c r="K6908" s="6" t="str">
        <x:f>IF(D6908="","",IF(AND(ISNUMBER(SEARCH("平",D6908)),OR(ISNUMBER(SEARCH("上",D6908)),ISNUMBER(SEARCH("去",D6908)),ISNUMBER(SEARCH("入",D6908)))),"Ambiguous",IF(ISNUMBER(SEARCH("平",D6908)),"平","仄")))</x:f>
        <x:v>平</x:v>
      </x:c>
      <x:c r="L6908" s="7" t="str">
        <x:v>Pingshui main list expansion</x:v>
      </x:c>
    </x:row>
    <x:row r="6909">
      <x:c r="A6909" s="5" t="str">
        <x:v>揎</x:v>
      </x:c>
      <x:c r="B6909" s="6" t="str">
        <x:v>平</x:v>
      </x:c>
      <x:c r="C6909" s="6" t="str">
        <x:f>IF(B6909="","Needs decision","Ready")</x:f>
        <x:v>Ready</x:v>
      </x:c>
      <x:c r="D6909" s="6" t="str">
        <x:v>平</x:v>
      </x:c>
      <x:c r="E6909" s="6" t="str"/>
      <x:c r="F6909" s="6" t="str">
        <x:v>下平聲一先</x:v>
      </x:c>
      <x:c r="G6909" s="6" t="str">
        <x:v>Pingshui main list, Wikisource-derived DOCX</x:v>
      </x:c>
      <x:c r="H6909" s="6" t="str"/>
      <x:c r="I6909" s="6" t="str">
        <x:v>Pingshui main-list expansion; 詞 entries ignored</x:v>
      </x:c>
      <x:c r="J6909" s="6" t="str">
        <x:f>IF(B6909="","",IF(AND(ISNUMBER(SEARCH("平",B6909)),OR(ISNUMBER(SEARCH("上",B6909)),ISNUMBER(SEARCH("去",B6909)),ISNUMBER(SEARCH("入",B6909)))),"Ambiguous",IF(ISNUMBER(SEARCH("平",B6909)),"平","仄")))</x:f>
        <x:v>平</x:v>
      </x:c>
      <x:c r="K6909" s="6" t="str">
        <x:f>IF(D6909="","",IF(AND(ISNUMBER(SEARCH("平",D6909)),OR(ISNUMBER(SEARCH("上",D6909)),ISNUMBER(SEARCH("去",D6909)),ISNUMBER(SEARCH("入",D6909)))),"Ambiguous",IF(ISNUMBER(SEARCH("平",D6909)),"平","仄")))</x:f>
        <x:v>平</x:v>
      </x:c>
      <x:c r="L6909" s="7" t="str">
        <x:v>Pingshui main list expansion</x:v>
      </x:c>
    </x:row>
    <x:row r="6910">
      <x:c r="A6910" s="5" t="str">
        <x:v>描</x:v>
      </x:c>
      <x:c r="B6910" s="6" t="str">
        <x:v>平</x:v>
      </x:c>
      <x:c r="C6910" s="6" t="str">
        <x:f>IF(B6910="","Needs decision","Ready")</x:f>
        <x:v>Ready</x:v>
      </x:c>
      <x:c r="D6910" s="6" t="str">
        <x:v>平</x:v>
      </x:c>
      <x:c r="E6910" s="6" t="str"/>
      <x:c r="F6910" s="6" t="str">
        <x:v>下平聲二蕭</x:v>
      </x:c>
      <x:c r="G6910" s="6" t="str">
        <x:v>Pingshui main list, Wikisource-derived DOCX</x:v>
      </x:c>
      <x:c r="H6910" s="6" t="str"/>
      <x:c r="I6910" s="6" t="str">
        <x:v>Pingshui main-list expansion; 詞 entries ignored</x:v>
      </x:c>
      <x:c r="J6910" s="6" t="str">
        <x:f>IF(B6910="","",IF(AND(ISNUMBER(SEARCH("平",B6910)),OR(ISNUMBER(SEARCH("上",B6910)),ISNUMBER(SEARCH("去",B6910)),ISNUMBER(SEARCH("入",B6910)))),"Ambiguous",IF(ISNUMBER(SEARCH("平",B6910)),"平","仄")))</x:f>
        <x:v>平</x:v>
      </x:c>
      <x:c r="K6910" s="6" t="str">
        <x:f>IF(D6910="","",IF(AND(ISNUMBER(SEARCH("平",D6910)),OR(ISNUMBER(SEARCH("上",D6910)),ISNUMBER(SEARCH("去",D6910)),ISNUMBER(SEARCH("入",D6910)))),"Ambiguous",IF(ISNUMBER(SEARCH("平",D6910)),"平","仄")))</x:f>
        <x:v>平</x:v>
      </x:c>
      <x:c r="L6910" s="7" t="str">
        <x:v>Pingshui main list expansion</x:v>
      </x:c>
    </x:row>
    <x:row r="6911">
      <x:c r="A6911" s="5" t="str">
        <x:v>揕</x:v>
      </x:c>
      <x:c r="B6911" s="6" t="str">
        <x:v>去</x:v>
      </x:c>
      <x:c r="C6911" s="6" t="str">
        <x:f>IF(B6911="","Needs decision","Ready")</x:f>
        <x:v>Ready</x:v>
      </x:c>
      <x:c r="D6911" s="6" t="str">
        <x:v>去</x:v>
      </x:c>
      <x:c r="E6911" s="6" t="str"/>
      <x:c r="F6911" s="6" t="str">
        <x:v>去聲二十七沁</x:v>
      </x:c>
      <x:c r="G6911" s="6" t="str">
        <x:v>Pingshui main list, Wikisource-derived DOCX</x:v>
      </x:c>
      <x:c r="H6911" s="6" t="str"/>
      <x:c r="I6911" s="6" t="str">
        <x:v>Pingshui main-list expansion; 詞 entries ignored</x:v>
      </x:c>
      <x:c r="J6911" s="6" t="str">
        <x:f>IF(B6911="","",IF(AND(ISNUMBER(SEARCH("平",B6911)),OR(ISNUMBER(SEARCH("上",B6911)),ISNUMBER(SEARCH("去",B6911)),ISNUMBER(SEARCH("入",B6911)))),"Ambiguous",IF(ISNUMBER(SEARCH("平",B6911)),"平","仄")))</x:f>
        <x:v>仄</x:v>
      </x:c>
      <x:c r="K6911" s="6" t="str">
        <x:f>IF(D6911="","",IF(AND(ISNUMBER(SEARCH("平",D6911)),OR(ISNUMBER(SEARCH("上",D6911)),ISNUMBER(SEARCH("去",D6911)),ISNUMBER(SEARCH("入",D6911)))),"Ambiguous",IF(ISNUMBER(SEARCH("平",D6911)),"平","仄")))</x:f>
        <x:v>仄</x:v>
      </x:c>
      <x:c r="L6911" s="7" t="str">
        <x:v>Pingshui main list expansion</x:v>
      </x:c>
    </x:row>
    <x:row r="6912">
      <x:c r="A6912" s="5" t="str">
        <x:v>揗</x:v>
      </x:c>
      <x:c r="B6912" s="6" t="str">
        <x:v>去</x:v>
      </x:c>
      <x:c r="C6912" s="6" t="str">
        <x:f>IF(B6912="","Needs decision","Ready")</x:f>
        <x:v>Ready</x:v>
      </x:c>
      <x:c r="D6912" s="6" t="str">
        <x:v>去</x:v>
      </x:c>
      <x:c r="E6912" s="6" t="str"/>
      <x:c r="F6912" s="6" t="str">
        <x:v>去聲十二震</x:v>
      </x:c>
      <x:c r="G6912" s="6" t="str">
        <x:v>Pingshui main list, Wikisource-derived DOCX</x:v>
      </x:c>
      <x:c r="H6912" s="6" t="str"/>
      <x:c r="I6912" s="6" t="str">
        <x:v>Pingshui main-list expansion; 詞 entries ignored</x:v>
      </x:c>
      <x:c r="J6912" s="6" t="str">
        <x:f>IF(B6912="","",IF(AND(ISNUMBER(SEARCH("平",B6912)),OR(ISNUMBER(SEARCH("上",B6912)),ISNUMBER(SEARCH("去",B6912)),ISNUMBER(SEARCH("入",B6912)))),"Ambiguous",IF(ISNUMBER(SEARCH("平",B6912)),"平","仄")))</x:f>
        <x:v>仄</x:v>
      </x:c>
      <x:c r="K6912" s="6" t="str">
        <x:f>IF(D6912="","",IF(AND(ISNUMBER(SEARCH("平",D6912)),OR(ISNUMBER(SEARCH("上",D6912)),ISNUMBER(SEARCH("去",D6912)),ISNUMBER(SEARCH("入",D6912)))),"Ambiguous",IF(ISNUMBER(SEARCH("平",D6912)),"平","仄")))</x:f>
        <x:v>仄</x:v>
      </x:c>
      <x:c r="L6912" s="7" t="str">
        <x:v>Pingshui main list expansion</x:v>
      </x:c>
    </x:row>
    <x:row r="6913">
      <x:c r="A6913" s="5" t="str">
        <x:v>揩</x:v>
      </x:c>
      <x:c r="B6913" s="6" t="str">
        <x:v>平</x:v>
      </x:c>
      <x:c r="C6913" s="6" t="str">
        <x:f>IF(B6913="","Needs decision","Ready")</x:f>
        <x:v>Ready</x:v>
      </x:c>
      <x:c r="D6913" s="6" t="str">
        <x:v>平</x:v>
      </x:c>
      <x:c r="E6913" s="6" t="str"/>
      <x:c r="F6913" s="6" t="str">
        <x:v>上平聲九佳</x:v>
      </x:c>
      <x:c r="G6913" s="6" t="str">
        <x:v>Pingshui main list, Wikisource-derived DOCX</x:v>
      </x:c>
      <x:c r="H6913" s="6" t="str"/>
      <x:c r="I6913" s="6" t="str">
        <x:v>Pingshui main-list expansion; 詞 entries ignored</x:v>
      </x:c>
      <x:c r="J6913" s="6" t="str">
        <x:f>IF(B6913="","",IF(AND(ISNUMBER(SEARCH("平",B6913)),OR(ISNUMBER(SEARCH("上",B6913)),ISNUMBER(SEARCH("去",B6913)),ISNUMBER(SEARCH("入",B6913)))),"Ambiguous",IF(ISNUMBER(SEARCH("平",B6913)),"平","仄")))</x:f>
        <x:v>平</x:v>
      </x:c>
      <x:c r="K6913" s="6" t="str">
        <x:f>IF(D6913="","",IF(AND(ISNUMBER(SEARCH("平",D6913)),OR(ISNUMBER(SEARCH("上",D6913)),ISNUMBER(SEARCH("去",D6913)),ISNUMBER(SEARCH("入",D6913)))),"Ambiguous",IF(ISNUMBER(SEARCH("平",D6913)),"平","仄")))</x:f>
        <x:v>平</x:v>
      </x:c>
      <x:c r="L6913" s="7" t="str">
        <x:v>Pingshui main list expansion</x:v>
      </x:c>
    </x:row>
    <x:row r="6914">
      <x:c r="A6914" s="5" t="str">
        <x:v>揫</x:v>
      </x:c>
      <x:c r="B6914" s="6" t="str">
        <x:v>平</x:v>
      </x:c>
      <x:c r="C6914" s="6" t="str">
        <x:f>IF(B6914="","Needs decision","Ready")</x:f>
        <x:v>Ready</x:v>
      </x:c>
      <x:c r="D6914" s="6" t="str">
        <x:v>平</x:v>
      </x:c>
      <x:c r="E6914" s="6" t="str"/>
      <x:c r="F6914" s="6" t="str">
        <x:v>下平聲十一尤</x:v>
      </x:c>
      <x:c r="G6914" s="6" t="str">
        <x:v>Pingshui main list, Wikisource-derived DOCX</x:v>
      </x:c>
      <x:c r="H6914" s="6" t="str"/>
      <x:c r="I6914" s="6" t="str">
        <x:v>Pingshui main-list expansion; 詞 entries ignored</x:v>
      </x:c>
      <x:c r="J6914" s="6" t="str">
        <x:f>IF(B6914="","",IF(AND(ISNUMBER(SEARCH("平",B6914)),OR(ISNUMBER(SEARCH("上",B6914)),ISNUMBER(SEARCH("去",B6914)),ISNUMBER(SEARCH("入",B6914)))),"Ambiguous",IF(ISNUMBER(SEARCH("平",B6914)),"平","仄")))</x:f>
        <x:v>平</x:v>
      </x:c>
      <x:c r="K6914" s="6" t="str">
        <x:f>IF(D6914="","",IF(AND(ISNUMBER(SEARCH("平",D6914)),OR(ISNUMBER(SEARCH("上",D6914)),ISNUMBER(SEARCH("去",D6914)),ISNUMBER(SEARCH("入",D6914)))),"Ambiguous",IF(ISNUMBER(SEARCH("平",D6914)),"平","仄")))</x:f>
        <x:v>平</x:v>
      </x:c>
      <x:c r="L6914" s="7" t="str">
        <x:v>Pingshui main list expansion</x:v>
      </x:c>
    </x:row>
    <x:row r="6915">
      <x:c r="A6915" s="5" t="str">
        <x:v>揯</x:v>
      </x:c>
      <x:c r="B6915" s="6" t="str">
        <x:v>平</x:v>
      </x:c>
      <x:c r="C6915" s="6" t="str">
        <x:f>IF(B6915="","Needs decision","Ready")</x:f>
        <x:v>Ready</x:v>
      </x:c>
      <x:c r="D6915" s="6" t="str">
        <x:v>平</x:v>
      </x:c>
      <x:c r="E6915" s="6" t="str"/>
      <x:c r="F6915" s="6" t="str">
        <x:v>下平聲十蒸</x:v>
      </x:c>
      <x:c r="G6915" s="6" t="str">
        <x:v>Pingshui main list, Wikisource-derived DOCX</x:v>
      </x:c>
      <x:c r="H6915" s="6" t="str"/>
      <x:c r="I6915" s="6" t="str">
        <x:v>Pingshui main-list expansion; 詞 entries ignored</x:v>
      </x:c>
      <x:c r="J6915" s="6" t="str">
        <x:f>IF(B6915="","",IF(AND(ISNUMBER(SEARCH("平",B6915)),OR(ISNUMBER(SEARCH("上",B6915)),ISNUMBER(SEARCH("去",B6915)),ISNUMBER(SEARCH("入",B6915)))),"Ambiguous",IF(ISNUMBER(SEARCH("平",B6915)),"平","仄")))</x:f>
        <x:v>平</x:v>
      </x:c>
      <x:c r="K6915" s="6" t="str">
        <x:f>IF(D6915="","",IF(AND(ISNUMBER(SEARCH("平",D6915)),OR(ISNUMBER(SEARCH("上",D6915)),ISNUMBER(SEARCH("去",D6915)),ISNUMBER(SEARCH("入",D6915)))),"Ambiguous",IF(ISNUMBER(SEARCH("平",D6915)),"平","仄")))</x:f>
        <x:v>平</x:v>
      </x:c>
      <x:c r="L6915" s="7" t="str">
        <x:v>Pingshui main list expansion</x:v>
      </x:c>
    </x:row>
    <x:row r="6916">
      <x:c r="A6916" s="5" t="str">
        <x:v>揱</x:v>
      </x:c>
      <x:c r="B6916" s="6" t="str">
        <x:v>平</x:v>
      </x:c>
      <x:c r="C6916" s="6" t="str">
        <x:f>IF(B6916="","Needs decision","Ready")</x:f>
        <x:v>Ready</x:v>
      </x:c>
      <x:c r="D6916" s="6" t="str">
        <x:v>平</x:v>
      </x:c>
      <x:c r="E6916" s="6" t="str"/>
      <x:c r="F6916" s="6" t="str">
        <x:v>下平聲二蕭</x:v>
      </x:c>
      <x:c r="G6916" s="6" t="str">
        <x:v>Pingshui main list, Wikisource-derived DOCX</x:v>
      </x:c>
      <x:c r="H6916" s="6" t="str"/>
      <x:c r="I6916" s="6" t="str">
        <x:v>Pingshui main-list expansion; 詞 entries ignored</x:v>
      </x:c>
      <x:c r="J6916" s="6" t="str">
        <x:f>IF(B6916="","",IF(AND(ISNUMBER(SEARCH("平",B6916)),OR(ISNUMBER(SEARCH("上",B6916)),ISNUMBER(SEARCH("去",B6916)),ISNUMBER(SEARCH("入",B6916)))),"Ambiguous",IF(ISNUMBER(SEARCH("平",B6916)),"平","仄")))</x:f>
        <x:v>平</x:v>
      </x:c>
      <x:c r="K6916" s="6" t="str">
        <x:f>IF(D6916="","",IF(AND(ISNUMBER(SEARCH("平",D6916)),OR(ISNUMBER(SEARCH("上",D6916)),ISNUMBER(SEARCH("去",D6916)),ISNUMBER(SEARCH("入",D6916)))),"Ambiguous",IF(ISNUMBER(SEARCH("平",D6916)),"平","仄")))</x:f>
        <x:v>平</x:v>
      </x:c>
      <x:c r="L6916" s="7" t="str">
        <x:v>Pingshui main list expansion</x:v>
      </x:c>
    </x:row>
    <x:row r="6917">
      <x:c r="A6917" s="5" t="str">
        <x:v>揲</x:v>
      </x:c>
      <x:c r="B6917" s="6" t="str">
        <x:v>入</x:v>
      </x:c>
      <x:c r="C6917" s="6" t="str">
        <x:f>IF(B6917="","Needs decision","Ready")</x:f>
        <x:v>Ready</x:v>
      </x:c>
      <x:c r="D6917" s="6" t="str">
        <x:v>入</x:v>
      </x:c>
      <x:c r="E6917" s="6" t="str"/>
      <x:c r="F6917" s="6" t="str">
        <x:v>入聲九屑</x:v>
      </x:c>
      <x:c r="G6917" s="6" t="str">
        <x:v>Pingshui main list, Wikisource-derived DOCX</x:v>
      </x:c>
      <x:c r="H6917" s="6" t="str"/>
      <x:c r="I6917" s="6" t="str">
        <x:v>Pingshui main-list expansion; 詞 entries ignored</x:v>
      </x:c>
      <x:c r="J6917" s="6" t="str">
        <x:f>IF(B6917="","",IF(AND(ISNUMBER(SEARCH("平",B6917)),OR(ISNUMBER(SEARCH("上",B6917)),ISNUMBER(SEARCH("去",B6917)),ISNUMBER(SEARCH("入",B6917)))),"Ambiguous",IF(ISNUMBER(SEARCH("平",B6917)),"平","仄")))</x:f>
        <x:v>仄</x:v>
      </x:c>
      <x:c r="K6917" s="6" t="str">
        <x:f>IF(D6917="","",IF(AND(ISNUMBER(SEARCH("平",D6917)),OR(ISNUMBER(SEARCH("上",D6917)),ISNUMBER(SEARCH("去",D6917)),ISNUMBER(SEARCH("入",D6917)))),"Ambiguous",IF(ISNUMBER(SEARCH("平",D6917)),"平","仄")))</x:f>
        <x:v>仄</x:v>
      </x:c>
      <x:c r="L6917" s="7" t="str">
        <x:v>Pingshui main list expansion</x:v>
      </x:c>
    </x:row>
    <x:row r="6918">
      <x:c r="A6918" s="5" t="str">
        <x:v>揶</x:v>
      </x:c>
      <x:c r="B6918" s="6" t="str">
        <x:v>平</x:v>
      </x:c>
      <x:c r="C6918" s="6" t="str">
        <x:f>IF(B6918="","Needs decision","Ready")</x:f>
        <x:v>Ready</x:v>
      </x:c>
      <x:c r="D6918" s="6" t="str">
        <x:v>平</x:v>
      </x:c>
      <x:c r="E6918" s="6" t="str"/>
      <x:c r="F6918" s="6" t="str">
        <x:v>下平聲六麻</x:v>
      </x:c>
      <x:c r="G6918" s="6" t="str">
        <x:v>Pingshui main list, Wikisource-derived DOCX</x:v>
      </x:c>
      <x:c r="H6918" s="6" t="str"/>
      <x:c r="I6918" s="6" t="str">
        <x:v>Pingshui main-list expansion; 詞 entries ignored</x:v>
      </x:c>
      <x:c r="J6918" s="6" t="str">
        <x:f>IF(B6918="","",IF(AND(ISNUMBER(SEARCH("平",B6918)),OR(ISNUMBER(SEARCH("上",B6918)),ISNUMBER(SEARCH("去",B6918)),ISNUMBER(SEARCH("入",B6918)))),"Ambiguous",IF(ISNUMBER(SEARCH("平",B6918)),"平","仄")))</x:f>
        <x:v>平</x:v>
      </x:c>
      <x:c r="K6918" s="6" t="str">
        <x:f>IF(D6918="","",IF(AND(ISNUMBER(SEARCH("平",D6918)),OR(ISNUMBER(SEARCH("上",D6918)),ISNUMBER(SEARCH("去",D6918)),ISNUMBER(SEARCH("入",D6918)))),"Ambiguous",IF(ISNUMBER(SEARCH("平",D6918)),"平","仄")))</x:f>
        <x:v>平</x:v>
      </x:c>
      <x:c r="L6918" s="7" t="str">
        <x:v>Pingshui main list expansion</x:v>
      </x:c>
    </x:row>
    <x:row r="6919">
      <x:c r="A6919" s="5" t="str">
        <x:v>搊</x:v>
      </x:c>
      <x:c r="B6919" s="6" t="str">
        <x:v>平</x:v>
      </x:c>
      <x:c r="C6919" s="6" t="str">
        <x:f>IF(B6919="","Needs decision","Ready")</x:f>
        <x:v>Ready</x:v>
      </x:c>
      <x:c r="D6919" s="6" t="str">
        <x:v>平</x:v>
      </x:c>
      <x:c r="E6919" s="6" t="str"/>
      <x:c r="F6919" s="6" t="str">
        <x:v>下平聲十一尤</x:v>
      </x:c>
      <x:c r="G6919" s="6" t="str">
        <x:v>Pingshui main list, Wikisource-derived DOCX</x:v>
      </x:c>
      <x:c r="H6919" s="6" t="str"/>
      <x:c r="I6919" s="6" t="str">
        <x:v>Pingshui main-list expansion; 詞 entries ignored</x:v>
      </x:c>
      <x:c r="J6919" s="6" t="str">
        <x:f>IF(B6919="","",IF(AND(ISNUMBER(SEARCH("平",B6919)),OR(ISNUMBER(SEARCH("上",B6919)),ISNUMBER(SEARCH("去",B6919)),ISNUMBER(SEARCH("入",B6919)))),"Ambiguous",IF(ISNUMBER(SEARCH("平",B6919)),"平","仄")))</x:f>
        <x:v>平</x:v>
      </x:c>
      <x:c r="K6919" s="6" t="str">
        <x:f>IF(D6919="","",IF(AND(ISNUMBER(SEARCH("平",D6919)),OR(ISNUMBER(SEARCH("上",D6919)),ISNUMBER(SEARCH("去",D6919)),ISNUMBER(SEARCH("入",D6919)))),"Ambiguous",IF(ISNUMBER(SEARCH("平",D6919)),"平","仄")))</x:f>
        <x:v>平</x:v>
      </x:c>
      <x:c r="L6919" s="7" t="str">
        <x:v>Pingshui main list expansion</x:v>
      </x:c>
    </x:row>
    <x:row r="6920">
      <x:c r="A6920" s="5" t="str">
        <x:v>搒</x:v>
      </x:c>
      <x:c r="B6920" s="6" t="str"/>
      <x:c r="C6920" s="6" t="str">
        <x:f>IF(B6920="","Needs decision","Ready")</x:f>
        <x:v>Needs decision</x:v>
      </x:c>
      <x:c r="D6920" s="6" t="str">
        <x:v>平/去</x:v>
      </x:c>
      <x:c r="E6920" s="6" t="str"/>
      <x:c r="F6920" s="6" t="str">
        <x:v>下平聲八庚; 去聲二十三漾</x:v>
      </x:c>
      <x:c r="G6920" s="6" t="str">
        <x:v>Pingshui main list, Wikisource-derived DOCX</x:v>
      </x:c>
      <x:c r="H6920" s="6" t="str"/>
      <x:c r="I6920" s="6" t="str">
        <x:v>Pingshui main-list expansion; 詞 entries ignored</x:v>
      </x:c>
      <x:c r="J6920" s="6" t="str">
        <x:f>IF(B6920="","",IF(AND(ISNUMBER(SEARCH("平",B6920)),OR(ISNUMBER(SEARCH("上",B6920)),ISNUMBER(SEARCH("去",B6920)),ISNUMBER(SEARCH("入",B6920)))),"Ambiguous",IF(ISNUMBER(SEARCH("平",B6920)),"平","仄")))</x:f>
      </x:c>
      <x:c r="K6920" s="6" t="str">
        <x:f>IF(D6920="","",IF(AND(ISNUMBER(SEARCH("平",D6920)),OR(ISNUMBER(SEARCH("上",D6920)),ISNUMBER(SEARCH("去",D6920)),ISNUMBER(SEARCH("入",D6920)))),"Ambiguous",IF(ISNUMBER(SEARCH("平",D6920)),"平","仄")))</x:f>
        <x:v>Ambiguous</x:v>
      </x:c>
      <x:c r="L6920" s="7" t="str">
        <x:v>Pingshui main list expansion</x:v>
      </x:c>
    </x:row>
    <x:row r="6921">
      <x:c r="A6921" s="5" t="str">
        <x:v>搓</x:v>
      </x:c>
      <x:c r="B6921" s="6" t="str">
        <x:v>平</x:v>
      </x:c>
      <x:c r="C6921" s="6" t="str">
        <x:f>IF(B6921="","Needs decision","Ready")</x:f>
        <x:v>Ready</x:v>
      </x:c>
      <x:c r="D6921" s="6" t="str">
        <x:v>平</x:v>
      </x:c>
      <x:c r="E6921" s="6" t="str"/>
      <x:c r="F6921" s="6" t="str">
        <x:v>下平聲五歌</x:v>
      </x:c>
      <x:c r="G6921" s="6" t="str">
        <x:v>Pingshui main list, Wikisource-derived DOCX</x:v>
      </x:c>
      <x:c r="H6921" s="6" t="str"/>
      <x:c r="I6921" s="6" t="str">
        <x:v>Pingshui main-list expansion; 詞 entries ignored</x:v>
      </x:c>
      <x:c r="J6921" s="6" t="str">
        <x:f>IF(B6921="","",IF(AND(ISNUMBER(SEARCH("平",B6921)),OR(ISNUMBER(SEARCH("上",B6921)),ISNUMBER(SEARCH("去",B6921)),ISNUMBER(SEARCH("入",B6921)))),"Ambiguous",IF(ISNUMBER(SEARCH("平",B6921)),"平","仄")))</x:f>
        <x:v>平</x:v>
      </x:c>
      <x:c r="K6921" s="6" t="str">
        <x:f>IF(D6921="","",IF(AND(ISNUMBER(SEARCH("平",D6921)),OR(ISNUMBER(SEARCH("上",D6921)),ISNUMBER(SEARCH("去",D6921)),ISNUMBER(SEARCH("入",D6921)))),"Ambiguous",IF(ISNUMBER(SEARCH("平",D6921)),"平","仄")))</x:f>
        <x:v>平</x:v>
      </x:c>
      <x:c r="L6921" s="7" t="str">
        <x:v>Pingshui main list expansion</x:v>
      </x:c>
    </x:row>
    <x:row r="6922">
      <x:c r="A6922" s="5" t="str">
        <x:v>搪</x:v>
      </x:c>
      <x:c r="B6922" s="6" t="str">
        <x:v>平</x:v>
      </x:c>
      <x:c r="C6922" s="6" t="str">
        <x:f>IF(B6922="","Needs decision","Ready")</x:f>
        <x:v>Ready</x:v>
      </x:c>
      <x:c r="D6922" s="6" t="str">
        <x:v>平</x:v>
      </x:c>
      <x:c r="E6922" s="6" t="str"/>
      <x:c r="F6922" s="6" t="str">
        <x:v>下平聲七陽</x:v>
      </x:c>
      <x:c r="G6922" s="6" t="str">
        <x:v>Pingshui main list, Wikisource-derived DOCX</x:v>
      </x:c>
      <x:c r="H6922" s="6" t="str"/>
      <x:c r="I6922" s="6" t="str">
        <x:v>Pingshui main-list expansion; 詞 entries ignored</x:v>
      </x:c>
      <x:c r="J6922" s="6" t="str">
        <x:f>IF(B6922="","",IF(AND(ISNUMBER(SEARCH("平",B6922)),OR(ISNUMBER(SEARCH("上",B6922)),ISNUMBER(SEARCH("去",B6922)),ISNUMBER(SEARCH("入",B6922)))),"Ambiguous",IF(ISNUMBER(SEARCH("平",B6922)),"平","仄")))</x:f>
        <x:v>平</x:v>
      </x:c>
      <x:c r="K6922" s="6" t="str">
        <x:f>IF(D6922="","",IF(AND(ISNUMBER(SEARCH("平",D6922)),OR(ISNUMBER(SEARCH("上",D6922)),ISNUMBER(SEARCH("去",D6922)),ISNUMBER(SEARCH("入",D6922)))),"Ambiguous",IF(ISNUMBER(SEARCH("平",D6922)),"平","仄")))</x:f>
        <x:v>平</x:v>
      </x:c>
      <x:c r="L6922" s="7" t="str">
        <x:v>Pingshui main list expansion</x:v>
      </x:c>
    </x:row>
    <x:row r="6923">
      <x:c r="A6923" s="5" t="str">
        <x:v>搭</x:v>
      </x:c>
      <x:c r="B6923" s="6" t="str">
        <x:v>入</x:v>
      </x:c>
      <x:c r="C6923" s="6" t="str">
        <x:f>IF(B6923="","Needs decision","Ready")</x:f>
        <x:v>Ready</x:v>
      </x:c>
      <x:c r="D6923" s="6" t="str">
        <x:v>入</x:v>
      </x:c>
      <x:c r="E6923" s="6" t="str"/>
      <x:c r="F6923" s="6" t="str">
        <x:v>入聲十五合</x:v>
      </x:c>
      <x:c r="G6923" s="6" t="str">
        <x:v>Pingshui main list, Wikisource-derived DOCX</x:v>
      </x:c>
      <x:c r="H6923" s="6" t="str"/>
      <x:c r="I6923" s="6" t="str">
        <x:v>Pingshui main-list expansion; 詞 entries ignored</x:v>
      </x:c>
      <x:c r="J6923" s="6" t="str">
        <x:f>IF(B6923="","",IF(AND(ISNUMBER(SEARCH("平",B6923)),OR(ISNUMBER(SEARCH("上",B6923)),ISNUMBER(SEARCH("去",B6923)),ISNUMBER(SEARCH("入",B6923)))),"Ambiguous",IF(ISNUMBER(SEARCH("平",B6923)),"平","仄")))</x:f>
        <x:v>仄</x:v>
      </x:c>
      <x:c r="K6923" s="6" t="str">
        <x:f>IF(D6923="","",IF(AND(ISNUMBER(SEARCH("平",D6923)),OR(ISNUMBER(SEARCH("上",D6923)),ISNUMBER(SEARCH("去",D6923)),ISNUMBER(SEARCH("入",D6923)))),"Ambiguous",IF(ISNUMBER(SEARCH("平",D6923)),"平","仄")))</x:f>
        <x:v>仄</x:v>
      </x:c>
      <x:c r="L6923" s="7" t="str">
        <x:v>Pingshui main list expansion</x:v>
      </x:c>
    </x:row>
    <x:row r="6924">
      <x:c r="A6924" s="5" t="str">
        <x:v>搶</x:v>
      </x:c>
      <x:c r="B6924" s="6" t="str"/>
      <x:c r="C6924" s="6" t="str">
        <x:f>IF(B6924="","Needs decision","Ready")</x:f>
        <x:v>Needs decision</x:v>
      </x:c>
      <x:c r="D6924" s="6" t="str">
        <x:v>平/上</x:v>
      </x:c>
      <x:c r="E6924" s="6" t="str"/>
      <x:c r="F6924" s="6" t="str">
        <x:v>下平聲七陽; 上聲二十二養</x:v>
      </x:c>
      <x:c r="G6924" s="6" t="str">
        <x:v>Pingshui main list, Wikisource-derived DOCX</x:v>
      </x:c>
      <x:c r="H6924" s="6" t="str"/>
      <x:c r="I6924" s="6" t="str">
        <x:v>Pingshui main-list expansion; 詞 entries ignored</x:v>
      </x:c>
      <x:c r="J6924" s="6" t="str">
        <x:f>IF(B6924="","",IF(AND(ISNUMBER(SEARCH("平",B6924)),OR(ISNUMBER(SEARCH("上",B6924)),ISNUMBER(SEARCH("去",B6924)),ISNUMBER(SEARCH("入",B6924)))),"Ambiguous",IF(ISNUMBER(SEARCH("平",B6924)),"平","仄")))</x:f>
      </x:c>
      <x:c r="K6924" s="6" t="str">
        <x:f>IF(D6924="","",IF(AND(ISNUMBER(SEARCH("平",D6924)),OR(ISNUMBER(SEARCH("上",D6924)),ISNUMBER(SEARCH("去",D6924)),ISNUMBER(SEARCH("入",D6924)))),"Ambiguous",IF(ISNUMBER(SEARCH("平",D6924)),"平","仄")))</x:f>
        <x:v>Ambiguous</x:v>
      </x:c>
      <x:c r="L6924" s="7" t="str">
        <x:v>Pingshui main list expansion</x:v>
      </x:c>
    </x:row>
    <x:row r="6925">
      <x:c r="A6925" s="5" t="str">
        <x:v>摑</x:v>
      </x:c>
      <x:c r="B6925" s="6" t="str">
        <x:v>入</x:v>
      </x:c>
      <x:c r="C6925" s="6" t="str">
        <x:f>IF(B6925="","Needs decision","Ready")</x:f>
        <x:v>Ready</x:v>
      </x:c>
      <x:c r="D6925" s="6" t="str">
        <x:v>入</x:v>
      </x:c>
      <x:c r="E6925" s="6" t="str"/>
      <x:c r="F6925" s="6" t="str">
        <x:v>入聲十一陌</x:v>
      </x:c>
      <x:c r="G6925" s="6" t="str">
        <x:v>Pingshui main list, Wikisource-derived DOCX</x:v>
      </x:c>
      <x:c r="H6925" s="6" t="str"/>
      <x:c r="I6925" s="6" t="str">
        <x:v>Pingshui main-list expansion; 詞 entries ignored</x:v>
      </x:c>
      <x:c r="J6925" s="6" t="str">
        <x:f>IF(B6925="","",IF(AND(ISNUMBER(SEARCH("平",B6925)),OR(ISNUMBER(SEARCH("上",B6925)),ISNUMBER(SEARCH("去",B6925)),ISNUMBER(SEARCH("入",B6925)))),"Ambiguous",IF(ISNUMBER(SEARCH("平",B6925)),"平","仄")))</x:f>
        <x:v>仄</x:v>
      </x:c>
      <x:c r="K6925" s="6" t="str">
        <x:f>IF(D6925="","",IF(AND(ISNUMBER(SEARCH("平",D6925)),OR(ISNUMBER(SEARCH("上",D6925)),ISNUMBER(SEARCH("去",D6925)),ISNUMBER(SEARCH("入",D6925)))),"Ambiguous",IF(ISNUMBER(SEARCH("平",D6925)),"平","仄")))</x:f>
        <x:v>仄</x:v>
      </x:c>
      <x:c r="L6925" s="7" t="str">
        <x:v>Pingshui main list expansion</x:v>
      </x:c>
    </x:row>
    <x:row r="6926">
      <x:c r="A6926" s="5" t="str">
        <x:v>摝</x:v>
      </x:c>
      <x:c r="B6926" s="6" t="str">
        <x:v>入</x:v>
      </x:c>
      <x:c r="C6926" s="6" t="str">
        <x:f>IF(B6926="","Needs decision","Ready")</x:f>
        <x:v>Ready</x:v>
      </x:c>
      <x:c r="D6926" s="6" t="str">
        <x:v>入</x:v>
      </x:c>
      <x:c r="E6926" s="6" t="str"/>
      <x:c r="F6926" s="6" t="str">
        <x:v>入聲一屋</x:v>
      </x:c>
      <x:c r="G6926" s="6" t="str">
        <x:v>Pingshui main list, Wikisource-derived DOCX</x:v>
      </x:c>
      <x:c r="H6926" s="6" t="str"/>
      <x:c r="I6926" s="6" t="str">
        <x:v>Pingshui main-list expansion; 詞 entries ignored</x:v>
      </x:c>
      <x:c r="J6926" s="6" t="str">
        <x:f>IF(B6926="","",IF(AND(ISNUMBER(SEARCH("平",B6926)),OR(ISNUMBER(SEARCH("上",B6926)),ISNUMBER(SEARCH("去",B6926)),ISNUMBER(SEARCH("入",B6926)))),"Ambiguous",IF(ISNUMBER(SEARCH("平",B6926)),"平","仄")))</x:f>
        <x:v>仄</x:v>
      </x:c>
      <x:c r="K6926" s="6" t="str">
        <x:f>IF(D6926="","",IF(AND(ISNUMBER(SEARCH("平",D6926)),OR(ISNUMBER(SEARCH("上",D6926)),ISNUMBER(SEARCH("去",D6926)),ISNUMBER(SEARCH("入",D6926)))),"Ambiguous",IF(ISNUMBER(SEARCH("平",D6926)),"平","仄")))</x:f>
        <x:v>仄</x:v>
      </x:c>
      <x:c r="L6926" s="7" t="str">
        <x:v>Pingshui main list expansion</x:v>
      </x:c>
    </x:row>
    <x:row r="6927">
      <x:c r="A6927" s="5" t="str">
        <x:v>摟</x:v>
      </x:c>
      <x:c r="B6927" s="6" t="str">
        <x:v>平</x:v>
      </x:c>
      <x:c r="C6927" s="6" t="str">
        <x:f>IF(B6927="","Needs decision","Ready")</x:f>
        <x:v>Ready</x:v>
      </x:c>
      <x:c r="D6927" s="6" t="str">
        <x:v>平</x:v>
      </x:c>
      <x:c r="E6927" s="6" t="str"/>
      <x:c r="F6927" s="6" t="str">
        <x:v>下平聲十一尤</x:v>
      </x:c>
      <x:c r="G6927" s="6" t="str">
        <x:v>Pingshui main list, Wikisource-derived DOCX</x:v>
      </x:c>
      <x:c r="H6927" s="6" t="str"/>
      <x:c r="I6927" s="6" t="str">
        <x:v>Pingshui main-list expansion; 詞 entries ignored</x:v>
      </x:c>
      <x:c r="J6927" s="6" t="str">
        <x:f>IF(B6927="","",IF(AND(ISNUMBER(SEARCH("平",B6927)),OR(ISNUMBER(SEARCH("上",B6927)),ISNUMBER(SEARCH("去",B6927)),ISNUMBER(SEARCH("入",B6927)))),"Ambiguous",IF(ISNUMBER(SEARCH("平",B6927)),"平","仄")))</x:f>
        <x:v>平</x:v>
      </x:c>
      <x:c r="K6927" s="6" t="str">
        <x:f>IF(D6927="","",IF(AND(ISNUMBER(SEARCH("平",D6927)),OR(ISNUMBER(SEARCH("上",D6927)),ISNUMBER(SEARCH("去",D6927)),ISNUMBER(SEARCH("入",D6927)))),"Ambiguous",IF(ISNUMBER(SEARCH("平",D6927)),"平","仄")))</x:f>
        <x:v>平</x:v>
      </x:c>
      <x:c r="L6927" s="7" t="str">
        <x:v>Pingshui main list expansion</x:v>
      </x:c>
    </x:row>
    <x:row r="6928">
      <x:c r="A6928" s="5" t="str">
        <x:v>摫</x:v>
      </x:c>
      <x:c r="B6928" s="6" t="str">
        <x:v>平</x:v>
      </x:c>
      <x:c r="C6928" s="6" t="str">
        <x:f>IF(B6928="","Needs decision","Ready")</x:f>
        <x:v>Ready</x:v>
      </x:c>
      <x:c r="D6928" s="6" t="str">
        <x:v>平</x:v>
      </x:c>
      <x:c r="E6928" s="6" t="str"/>
      <x:c r="F6928" s="6" t="str">
        <x:v>上平聲四支</x:v>
      </x:c>
      <x:c r="G6928" s="6" t="str">
        <x:v>Pingshui main list, Wikisource-derived DOCX</x:v>
      </x:c>
      <x:c r="H6928" s="6" t="str"/>
      <x:c r="I6928" s="6" t="str">
        <x:v>Pingshui main-list expansion; 詞 entries ignored</x:v>
      </x:c>
      <x:c r="J6928" s="6" t="str">
        <x:f>IF(B6928="","",IF(AND(ISNUMBER(SEARCH("平",B6928)),OR(ISNUMBER(SEARCH("上",B6928)),ISNUMBER(SEARCH("去",B6928)),ISNUMBER(SEARCH("入",B6928)))),"Ambiguous",IF(ISNUMBER(SEARCH("平",B6928)),"平","仄")))</x:f>
        <x:v>平</x:v>
      </x:c>
      <x:c r="K6928" s="6" t="str">
        <x:f>IF(D6928="","",IF(AND(ISNUMBER(SEARCH("平",D6928)),OR(ISNUMBER(SEARCH("上",D6928)),ISNUMBER(SEARCH("去",D6928)),ISNUMBER(SEARCH("入",D6928)))),"Ambiguous",IF(ISNUMBER(SEARCH("平",D6928)),"平","仄")))</x:f>
        <x:v>平</x:v>
      </x:c>
      <x:c r="L6928" s="7" t="str">
        <x:v>Pingshui main list expansion</x:v>
      </x:c>
    </x:row>
    <x:row r="6929">
      <x:c r="A6929" s="5" t="str">
        <x:v>摳</x:v>
      </x:c>
      <x:c r="B6929" s="6" t="str">
        <x:v>平</x:v>
      </x:c>
      <x:c r="C6929" s="6" t="str">
        <x:f>IF(B6929="","Needs decision","Ready")</x:f>
        <x:v>Ready</x:v>
      </x:c>
      <x:c r="D6929" s="6" t="str">
        <x:v>平</x:v>
      </x:c>
      <x:c r="E6929" s="6" t="str"/>
      <x:c r="F6929" s="6" t="str">
        <x:v>下平聲十一尤</x:v>
      </x:c>
      <x:c r="G6929" s="6" t="str">
        <x:v>Pingshui main list, Wikisource-derived DOCX</x:v>
      </x:c>
      <x:c r="H6929" s="6" t="str"/>
      <x:c r="I6929" s="6" t="str">
        <x:v>Pingshui main-list expansion; 詞 entries ignored</x:v>
      </x:c>
      <x:c r="J6929" s="6" t="str">
        <x:f>IF(B6929="","",IF(AND(ISNUMBER(SEARCH("平",B6929)),OR(ISNUMBER(SEARCH("上",B6929)),ISNUMBER(SEARCH("去",B6929)),ISNUMBER(SEARCH("入",B6929)))),"Ambiguous",IF(ISNUMBER(SEARCH("平",B6929)),"平","仄")))</x:f>
        <x:v>平</x:v>
      </x:c>
      <x:c r="K6929" s="6" t="str">
        <x:f>IF(D6929="","",IF(AND(ISNUMBER(SEARCH("平",D6929)),OR(ISNUMBER(SEARCH("上",D6929)),ISNUMBER(SEARCH("去",D6929)),ISNUMBER(SEARCH("入",D6929)))),"Ambiguous",IF(ISNUMBER(SEARCH("平",D6929)),"平","仄")))</x:f>
        <x:v>平</x:v>
      </x:c>
      <x:c r="L6929" s="7" t="str">
        <x:v>Pingshui main list expansion</x:v>
      </x:c>
    </x:row>
    <x:row r="6930">
      <x:c r="A6930" s="5" t="str">
        <x:v>摸</x:v>
      </x:c>
      <x:c r="B6930" s="6" t="str">
        <x:v>入</x:v>
      </x:c>
      <x:c r="C6930" s="6" t="str">
        <x:f>IF(B6930="","Needs decision","Ready")</x:f>
        <x:v>Ready</x:v>
      </x:c>
      <x:c r="D6930" s="6" t="str">
        <x:v>入</x:v>
      </x:c>
      <x:c r="E6930" s="6" t="str"/>
      <x:c r="F6930" s="6" t="str">
        <x:v>入聲十藥</x:v>
      </x:c>
      <x:c r="G6930" s="6" t="str">
        <x:v>Pingshui main list, Wikisource-derived DOCX</x:v>
      </x:c>
      <x:c r="H6930" s="6" t="str"/>
      <x:c r="I6930" s="6" t="str">
        <x:v>Pingshui main-list expansion; 詞 entries ignored</x:v>
      </x:c>
      <x:c r="J6930" s="6" t="str">
        <x:f>IF(B6930="","",IF(AND(ISNUMBER(SEARCH("平",B6930)),OR(ISNUMBER(SEARCH("上",B6930)),ISNUMBER(SEARCH("去",B6930)),ISNUMBER(SEARCH("入",B6930)))),"Ambiguous",IF(ISNUMBER(SEARCH("平",B6930)),"平","仄")))</x:f>
        <x:v>仄</x:v>
      </x:c>
      <x:c r="K6930" s="6" t="str">
        <x:f>IF(D6930="","",IF(AND(ISNUMBER(SEARCH("平",D6930)),OR(ISNUMBER(SEARCH("上",D6930)),ISNUMBER(SEARCH("去",D6930)),ISNUMBER(SEARCH("入",D6930)))),"Ambiguous",IF(ISNUMBER(SEARCH("平",D6930)),"平","仄")))</x:f>
        <x:v>仄</x:v>
      </x:c>
      <x:c r="L6930" s="7" t="str">
        <x:v>Pingshui main list expansion</x:v>
      </x:c>
    </x:row>
    <x:row r="6931">
      <x:c r="A6931" s="5" t="str">
        <x:v>撇</x:v>
      </x:c>
      <x:c r="B6931" s="6" t="str">
        <x:v>入</x:v>
      </x:c>
      <x:c r="C6931" s="6" t="str">
        <x:f>IF(B6931="","Needs decision","Ready")</x:f>
        <x:v>Ready</x:v>
      </x:c>
      <x:c r="D6931" s="6" t="str">
        <x:v>入</x:v>
      </x:c>
      <x:c r="E6931" s="6" t="str"/>
      <x:c r="F6931" s="6" t="str">
        <x:v>入聲九屑</x:v>
      </x:c>
      <x:c r="G6931" s="6" t="str">
        <x:v>Pingshui main list, Wikisource-derived DOCX</x:v>
      </x:c>
      <x:c r="H6931" s="6" t="str"/>
      <x:c r="I6931" s="6" t="str">
        <x:v>Pingshui main-list expansion; 詞 entries ignored</x:v>
      </x:c>
      <x:c r="J6931" s="6" t="str">
        <x:f>IF(B6931="","",IF(AND(ISNUMBER(SEARCH("平",B6931)),OR(ISNUMBER(SEARCH("上",B6931)),ISNUMBER(SEARCH("去",B6931)),ISNUMBER(SEARCH("入",B6931)))),"Ambiguous",IF(ISNUMBER(SEARCH("平",B6931)),"平","仄")))</x:f>
        <x:v>仄</x:v>
      </x:c>
      <x:c r="K6931" s="6" t="str">
        <x:f>IF(D6931="","",IF(AND(ISNUMBER(SEARCH("平",D6931)),OR(ISNUMBER(SEARCH("上",D6931)),ISNUMBER(SEARCH("去",D6931)),ISNUMBER(SEARCH("入",D6931)))),"Ambiguous",IF(ISNUMBER(SEARCH("平",D6931)),"平","仄")))</x:f>
        <x:v>仄</x:v>
      </x:c>
      <x:c r="L6931" s="7" t="str">
        <x:v>Pingshui main list expansion</x:v>
      </x:c>
    </x:row>
    <x:row r="6932">
      <x:c r="A6932" s="5" t="str">
        <x:v>撈</x:v>
      </x:c>
      <x:c r="B6932" s="6" t="str">
        <x:v>平</x:v>
      </x:c>
      <x:c r="C6932" s="6" t="str">
        <x:f>IF(B6932="","Needs decision","Ready")</x:f>
        <x:v>Ready</x:v>
      </x:c>
      <x:c r="D6932" s="6" t="str">
        <x:v>平</x:v>
      </x:c>
      <x:c r="E6932" s="6" t="str"/>
      <x:c r="F6932" s="6" t="str">
        <x:v>下平聲四豪</x:v>
      </x:c>
      <x:c r="G6932" s="6" t="str">
        <x:v>Pingshui main list, Wikisource-derived DOCX</x:v>
      </x:c>
      <x:c r="H6932" s="6" t="str"/>
      <x:c r="I6932" s="6" t="str">
        <x:v>Pingshui main-list expansion; 詞 entries ignored</x:v>
      </x:c>
      <x:c r="J6932" s="6" t="str">
        <x:f>IF(B6932="","",IF(AND(ISNUMBER(SEARCH("平",B6932)),OR(ISNUMBER(SEARCH("上",B6932)),ISNUMBER(SEARCH("去",B6932)),ISNUMBER(SEARCH("入",B6932)))),"Ambiguous",IF(ISNUMBER(SEARCH("平",B6932)),"平","仄")))</x:f>
        <x:v>平</x:v>
      </x:c>
      <x:c r="K6932" s="6" t="str">
        <x:f>IF(D6932="","",IF(AND(ISNUMBER(SEARCH("平",D6932)),OR(ISNUMBER(SEARCH("上",D6932)),ISNUMBER(SEARCH("去",D6932)),ISNUMBER(SEARCH("入",D6932)))),"Ambiguous",IF(ISNUMBER(SEARCH("平",D6932)),"平","仄")))</x:f>
        <x:v>平</x:v>
      </x:c>
      <x:c r="L6932" s="7" t="str">
        <x:v>Pingshui main list expansion</x:v>
      </x:c>
    </x:row>
    <x:row r="6933">
      <x:c r="A6933" s="5" t="str">
        <x:v>撋</x:v>
      </x:c>
      <x:c r="B6933" s="6" t="str">
        <x:v>平</x:v>
      </x:c>
      <x:c r="C6933" s="6" t="str">
        <x:f>IF(B6933="","Needs decision","Ready")</x:f>
        <x:v>Ready</x:v>
      </x:c>
      <x:c r="D6933" s="6" t="str">
        <x:v>平</x:v>
      </x:c>
      <x:c r="E6933" s="6" t="str"/>
      <x:c r="F6933" s="6" t="str">
        <x:v>下平聲一先</x:v>
      </x:c>
      <x:c r="G6933" s="6" t="str">
        <x:v>Pingshui main list, Wikisource-derived DOCX</x:v>
      </x:c>
      <x:c r="H6933" s="6" t="str"/>
      <x:c r="I6933" s="6" t="str">
        <x:v>Pingshui main-list expansion; 詞 entries ignored</x:v>
      </x:c>
      <x:c r="J6933" s="6" t="str">
        <x:f>IF(B6933="","",IF(AND(ISNUMBER(SEARCH("平",B6933)),OR(ISNUMBER(SEARCH("上",B6933)),ISNUMBER(SEARCH("去",B6933)),ISNUMBER(SEARCH("入",B6933)))),"Ambiguous",IF(ISNUMBER(SEARCH("平",B6933)),"平","仄")))</x:f>
        <x:v>平</x:v>
      </x:c>
      <x:c r="K6933" s="6" t="str">
        <x:f>IF(D6933="","",IF(AND(ISNUMBER(SEARCH("平",D6933)),OR(ISNUMBER(SEARCH("上",D6933)),ISNUMBER(SEARCH("去",D6933)),ISNUMBER(SEARCH("入",D6933)))),"Ambiguous",IF(ISNUMBER(SEARCH("平",D6933)),"平","仄")))</x:f>
        <x:v>平</x:v>
      </x:c>
      <x:c r="L6933" s="7" t="str">
        <x:v>Pingshui main list expansion</x:v>
      </x:c>
    </x:row>
    <x:row r="6934">
      <x:c r="A6934" s="5" t="str">
        <x:v>撏</x:v>
      </x:c>
      <x:c r="B6934" s="6" t="str">
        <x:v>平</x:v>
      </x:c>
      <x:c r="C6934" s="6" t="str">
        <x:f>IF(B6934="","Needs decision","Ready")</x:f>
        <x:v>Ready</x:v>
      </x:c>
      <x:c r="D6934" s="6" t="str">
        <x:v>平</x:v>
      </x:c>
      <x:c r="E6934" s="6" t="str"/>
      <x:c r="F6934" s="6" t="str">
        <x:v>下平聲十四鹽</x:v>
      </x:c>
      <x:c r="G6934" s="6" t="str">
        <x:v>Pingshui main list, Wikisource-derived DOCX</x:v>
      </x:c>
      <x:c r="H6934" s="6" t="str"/>
      <x:c r="I6934" s="6" t="str">
        <x:v>Pingshui main-list expansion; 詞 entries ignored</x:v>
      </x:c>
      <x:c r="J6934" s="6" t="str">
        <x:f>IF(B6934="","",IF(AND(ISNUMBER(SEARCH("平",B6934)),OR(ISNUMBER(SEARCH("上",B6934)),ISNUMBER(SEARCH("去",B6934)),ISNUMBER(SEARCH("入",B6934)))),"Ambiguous",IF(ISNUMBER(SEARCH("平",B6934)),"平","仄")))</x:f>
        <x:v>平</x:v>
      </x:c>
      <x:c r="K6934" s="6" t="str">
        <x:f>IF(D6934="","",IF(AND(ISNUMBER(SEARCH("平",D6934)),OR(ISNUMBER(SEARCH("上",D6934)),ISNUMBER(SEARCH("去",D6934)),ISNUMBER(SEARCH("入",D6934)))),"Ambiguous",IF(ISNUMBER(SEARCH("平",D6934)),"平","仄")))</x:f>
        <x:v>平</x:v>
      </x:c>
      <x:c r="L6934" s="7" t="str">
        <x:v>Pingshui main list expansion</x:v>
      </x:c>
    </x:row>
    <x:row r="6935">
      <x:c r="A6935" s="5" t="str">
        <x:v>撕</x:v>
      </x:c>
      <x:c r="B6935" s="6" t="str">
        <x:v>平</x:v>
      </x:c>
      <x:c r="C6935" s="6" t="str">
        <x:f>IF(B6935="","Needs decision","Ready")</x:f>
        <x:v>Ready</x:v>
      </x:c>
      <x:c r="D6935" s="6" t="str">
        <x:v>平</x:v>
      </x:c>
      <x:c r="E6935" s="6" t="str"/>
      <x:c r="F6935" s="6" t="str">
        <x:v>上平聲八齊</x:v>
      </x:c>
      <x:c r="G6935" s="6" t="str">
        <x:v>Pingshui main list, Wikisource-derived DOCX</x:v>
      </x:c>
      <x:c r="H6935" s="6" t="str"/>
      <x:c r="I6935" s="6" t="str">
        <x:v>Pingshui main-list expansion; 詞 entries ignored</x:v>
      </x:c>
      <x:c r="J6935" s="6" t="str">
        <x:f>IF(B6935="","",IF(AND(ISNUMBER(SEARCH("平",B6935)),OR(ISNUMBER(SEARCH("上",B6935)),ISNUMBER(SEARCH("去",B6935)),ISNUMBER(SEARCH("入",B6935)))),"Ambiguous",IF(ISNUMBER(SEARCH("平",B6935)),"平","仄")))</x:f>
        <x:v>平</x:v>
      </x:c>
      <x:c r="K6935" s="6" t="str">
        <x:f>IF(D6935="","",IF(AND(ISNUMBER(SEARCH("平",D6935)),OR(ISNUMBER(SEARCH("上",D6935)),ISNUMBER(SEARCH("去",D6935)),ISNUMBER(SEARCH("入",D6935)))),"Ambiguous",IF(ISNUMBER(SEARCH("平",D6935)),"平","仄")))</x:f>
        <x:v>平</x:v>
      </x:c>
      <x:c r="L6935" s="7" t="str">
        <x:v>Pingshui main list expansion</x:v>
      </x:c>
    </x:row>
    <x:row r="6936">
      <x:c r="A6936" s="5" t="str">
        <x:v>撙</x:v>
      </x:c>
      <x:c r="B6936" s="6" t="str">
        <x:v>上</x:v>
      </x:c>
      <x:c r="C6936" s="6" t="str">
        <x:f>IF(B6936="","Needs decision","Ready")</x:f>
        <x:v>Ready</x:v>
      </x:c>
      <x:c r="D6936" s="6" t="str">
        <x:v>上</x:v>
      </x:c>
      <x:c r="E6936" s="6" t="str"/>
      <x:c r="F6936" s="6" t="str">
        <x:v>上聲十三阮</x:v>
      </x:c>
      <x:c r="G6936" s="6" t="str">
        <x:v>Pingshui main list, Wikisource-derived DOCX</x:v>
      </x:c>
      <x:c r="H6936" s="6" t="str"/>
      <x:c r="I6936" s="6" t="str">
        <x:v>Pingshui main-list expansion; 詞 entries ignored</x:v>
      </x:c>
      <x:c r="J6936" s="6" t="str">
        <x:f>IF(B6936="","",IF(AND(ISNUMBER(SEARCH("平",B6936)),OR(ISNUMBER(SEARCH("上",B6936)),ISNUMBER(SEARCH("去",B6936)),ISNUMBER(SEARCH("入",B6936)))),"Ambiguous",IF(ISNUMBER(SEARCH("平",B6936)),"平","仄")))</x:f>
        <x:v>仄</x:v>
      </x:c>
      <x:c r="K6936" s="6" t="str">
        <x:f>IF(D6936="","",IF(AND(ISNUMBER(SEARCH("平",D6936)),OR(ISNUMBER(SEARCH("上",D6936)),ISNUMBER(SEARCH("去",D6936)),ISNUMBER(SEARCH("入",D6936)))),"Ambiguous",IF(ISNUMBER(SEARCH("平",D6936)),"平","仄")))</x:f>
        <x:v>仄</x:v>
      </x:c>
      <x:c r="L6936" s="7" t="str">
        <x:v>Pingshui main list expansion</x:v>
      </x:c>
    </x:row>
    <x:row r="6937">
      <x:c r="A6937" s="5" t="str">
        <x:v>撟</x:v>
      </x:c>
      <x:c r="B6937" s="6" t="str">
        <x:v>上</x:v>
      </x:c>
      <x:c r="C6937" s="6" t="str">
        <x:f>IF(B6937="","Needs decision","Ready")</x:f>
        <x:v>Ready</x:v>
      </x:c>
      <x:c r="D6937" s="6" t="str">
        <x:v>上</x:v>
      </x:c>
      <x:c r="E6937" s="6" t="str"/>
      <x:c r="F6937" s="6" t="str">
        <x:v>上聲十七篠</x:v>
      </x:c>
      <x:c r="G6937" s="6" t="str">
        <x:v>Pingshui main list, Wikisource-derived DOCX</x:v>
      </x:c>
      <x:c r="H6937" s="6" t="str"/>
      <x:c r="I6937" s="6" t="str">
        <x:v>Pingshui main-list expansion; 詞 entries ignored</x:v>
      </x:c>
      <x:c r="J6937" s="6" t="str">
        <x:f>IF(B6937="","",IF(AND(ISNUMBER(SEARCH("平",B6937)),OR(ISNUMBER(SEARCH("上",B6937)),ISNUMBER(SEARCH("去",B6937)),ISNUMBER(SEARCH("入",B6937)))),"Ambiguous",IF(ISNUMBER(SEARCH("平",B6937)),"平","仄")))</x:f>
        <x:v>仄</x:v>
      </x:c>
      <x:c r="K6937" s="6" t="str">
        <x:f>IF(D6937="","",IF(AND(ISNUMBER(SEARCH("平",D6937)),OR(ISNUMBER(SEARCH("上",D6937)),ISNUMBER(SEARCH("去",D6937)),ISNUMBER(SEARCH("入",D6937)))),"Ambiguous",IF(ISNUMBER(SEARCH("平",D6937)),"平","仄")))</x:f>
        <x:v>仄</x:v>
      </x:c>
      <x:c r="L6937" s="7" t="str">
        <x:v>Pingshui main list expansion</x:v>
      </x:c>
    </x:row>
    <x:row r="6938">
      <x:c r="A6938" s="5" t="str">
        <x:v>撦</x:v>
      </x:c>
      <x:c r="B6938" s="6" t="str">
        <x:v>上</x:v>
      </x:c>
      <x:c r="C6938" s="6" t="str">
        <x:f>IF(B6938="","Needs decision","Ready")</x:f>
        <x:v>Ready</x:v>
      </x:c>
      <x:c r="D6938" s="6" t="str">
        <x:v>上</x:v>
      </x:c>
      <x:c r="E6938" s="6" t="str"/>
      <x:c r="F6938" s="6" t="str">
        <x:v>上聲二十一馬</x:v>
      </x:c>
      <x:c r="G6938" s="6" t="str">
        <x:v>Pingshui main list, Wikisource-derived DOCX</x:v>
      </x:c>
      <x:c r="H6938" s="6" t="str"/>
      <x:c r="I6938" s="6" t="str">
        <x:v>Pingshui main-list expansion; 詞 entries ignored</x:v>
      </x:c>
      <x:c r="J6938" s="6" t="str">
        <x:f>IF(B6938="","",IF(AND(ISNUMBER(SEARCH("平",B6938)),OR(ISNUMBER(SEARCH("上",B6938)),ISNUMBER(SEARCH("去",B6938)),ISNUMBER(SEARCH("入",B6938)))),"Ambiguous",IF(ISNUMBER(SEARCH("平",B6938)),"平","仄")))</x:f>
        <x:v>仄</x:v>
      </x:c>
      <x:c r="K6938" s="6" t="str">
        <x:f>IF(D6938="","",IF(AND(ISNUMBER(SEARCH("平",D6938)),OR(ISNUMBER(SEARCH("上",D6938)),ISNUMBER(SEARCH("去",D6938)),ISNUMBER(SEARCH("入",D6938)))),"Ambiguous",IF(ISNUMBER(SEARCH("平",D6938)),"平","仄")))</x:f>
        <x:v>仄</x:v>
      </x:c>
      <x:c r="L6938" s="7" t="str">
        <x:v>Pingshui main list expansion</x:v>
      </x:c>
    </x:row>
    <x:row r="6939">
      <x:c r="A6939" s="5" t="str">
        <x:v>擋</x:v>
      </x:c>
      <x:c r="B6939" s="6" t="str">
        <x:v>去</x:v>
      </x:c>
      <x:c r="C6939" s="6" t="str">
        <x:f>IF(B6939="","Needs decision","Ready")</x:f>
        <x:v>Ready</x:v>
      </x:c>
      <x:c r="D6939" s="6" t="str">
        <x:v>去</x:v>
      </x:c>
      <x:c r="E6939" s="6" t="str"/>
      <x:c r="F6939" s="6" t="str">
        <x:v>去聲二十三漾</x:v>
      </x:c>
      <x:c r="G6939" s="6" t="str">
        <x:v>Pingshui main list, Wikisource-derived DOCX</x:v>
      </x:c>
      <x:c r="H6939" s="6" t="str"/>
      <x:c r="I6939" s="6" t="str">
        <x:v>Pingshui main-list expansion; 詞 entries ignored</x:v>
      </x:c>
      <x:c r="J6939" s="6" t="str">
        <x:f>IF(B6939="","",IF(AND(ISNUMBER(SEARCH("平",B6939)),OR(ISNUMBER(SEARCH("上",B6939)),ISNUMBER(SEARCH("去",B6939)),ISNUMBER(SEARCH("入",B6939)))),"Ambiguous",IF(ISNUMBER(SEARCH("平",B6939)),"平","仄")))</x:f>
        <x:v>仄</x:v>
      </x:c>
      <x:c r="K6939" s="6" t="str">
        <x:f>IF(D6939="","",IF(AND(ISNUMBER(SEARCH("平",D6939)),OR(ISNUMBER(SEARCH("上",D6939)),ISNUMBER(SEARCH("去",D6939)),ISNUMBER(SEARCH("入",D6939)))),"Ambiguous",IF(ISNUMBER(SEARCH("平",D6939)),"平","仄")))</x:f>
        <x:v>仄</x:v>
      </x:c>
      <x:c r="L6939" s="7" t="str">
        <x:v>Pingshui main list expansion</x:v>
      </x:c>
    </x:row>
    <x:row r="6940">
      <x:c r="A6940" s="5" t="str">
        <x:v>擖</x:v>
      </x:c>
      <x:c r="B6940" s="6" t="str">
        <x:v>入</x:v>
      </x:c>
      <x:c r="C6940" s="6" t="str">
        <x:f>IF(B6940="","Needs decision","Ready")</x:f>
        <x:v>Ready</x:v>
      </x:c>
      <x:c r="D6940" s="6" t="str">
        <x:v>入</x:v>
      </x:c>
      <x:c r="E6940" s="6" t="str"/>
      <x:c r="F6940" s="6" t="str">
        <x:v>入聲八黠; 入聲十七洽</x:v>
      </x:c>
      <x:c r="G6940" s="6" t="str">
        <x:v>Pingshui main list, Wikisource-derived DOCX</x:v>
      </x:c>
      <x:c r="H6940" s="6" t="str"/>
      <x:c r="I6940" s="6" t="str">
        <x:v>Pingshui main-list expansion; 詞 entries ignored</x:v>
      </x:c>
      <x:c r="J6940" s="6" t="str">
        <x:f>IF(B6940="","",IF(AND(ISNUMBER(SEARCH("平",B6940)),OR(ISNUMBER(SEARCH("上",B6940)),ISNUMBER(SEARCH("去",B6940)),ISNUMBER(SEARCH("入",B6940)))),"Ambiguous",IF(ISNUMBER(SEARCH("平",B6940)),"平","仄")))</x:f>
        <x:v>仄</x:v>
      </x:c>
      <x:c r="K6940" s="6" t="str">
        <x:f>IF(D6940="","",IF(AND(ISNUMBER(SEARCH("平",D6940)),OR(ISNUMBER(SEARCH("上",D6940)),ISNUMBER(SEARCH("去",D6940)),ISNUMBER(SEARCH("入",D6940)))),"Ambiguous",IF(ISNUMBER(SEARCH("平",D6940)),"平","仄")))</x:f>
        <x:v>仄</x:v>
      </x:c>
      <x:c r="L6940" s="7" t="str">
        <x:v>Pingshui main list expansion</x:v>
      </x:c>
    </x:row>
    <x:row r="6941">
      <x:c r="A6941" s="5" t="str">
        <x:v>擠</x:v>
      </x:c>
      <x:c r="B6941" s="6" t="str"/>
      <x:c r="C6941" s="6" t="str">
        <x:f>IF(B6941="","Needs decision","Ready")</x:f>
        <x:v>Needs decision</x:v>
      </x:c>
      <x:c r="D6941" s="6" t="str">
        <x:v>平/去</x:v>
      </x:c>
      <x:c r="E6941" s="6" t="str"/>
      <x:c r="F6941" s="6" t="str">
        <x:v>上平聲八齊; 去聲八霽</x:v>
      </x:c>
      <x:c r="G6941" s="6" t="str">
        <x:v>Pingshui main list, Wikisource-derived DOCX</x:v>
      </x:c>
      <x:c r="H6941" s="6" t="str"/>
      <x:c r="I6941" s="6" t="str">
        <x:v>Pingshui main-list expansion; 詞 entries ignored</x:v>
      </x:c>
      <x:c r="J6941" s="6" t="str">
        <x:f>IF(B6941="","",IF(AND(ISNUMBER(SEARCH("平",B6941)),OR(ISNUMBER(SEARCH("上",B6941)),ISNUMBER(SEARCH("去",B6941)),ISNUMBER(SEARCH("入",B6941)))),"Ambiguous",IF(ISNUMBER(SEARCH("平",B6941)),"平","仄")))</x:f>
      </x:c>
      <x:c r="K6941" s="6" t="str">
        <x:f>IF(D6941="","",IF(AND(ISNUMBER(SEARCH("平",D6941)),OR(ISNUMBER(SEARCH("上",D6941)),ISNUMBER(SEARCH("去",D6941)),ISNUMBER(SEARCH("入",D6941)))),"Ambiguous",IF(ISNUMBER(SEARCH("平",D6941)),"平","仄")))</x:f>
        <x:v>Ambiguous</x:v>
      </x:c>
      <x:c r="L6941" s="7" t="str">
        <x:v>Pingshui main list expansion</x:v>
      </x:c>
    </x:row>
    <x:row r="6942">
      <x:c r="A6942" s="5" t="str">
        <x:v>擩</x:v>
      </x:c>
      <x:c r="B6942" s="6" t="str">
        <x:v>去</x:v>
      </x:c>
      <x:c r="C6942" s="6" t="str">
        <x:f>IF(B6942="","Needs decision","Ready")</x:f>
        <x:v>Ready</x:v>
      </x:c>
      <x:c r="D6942" s="6" t="str">
        <x:v>去</x:v>
      </x:c>
      <x:c r="E6942" s="6" t="str"/>
      <x:c r="F6942" s="6" t="str">
        <x:v>去聲二十六宥</x:v>
      </x:c>
      <x:c r="G6942" s="6" t="str">
        <x:v>Pingshui main list, Wikisource-derived DOCX</x:v>
      </x:c>
      <x:c r="H6942" s="6" t="str"/>
      <x:c r="I6942" s="6" t="str">
        <x:v>Pingshui main-list expansion; 詞 entries ignored</x:v>
      </x:c>
      <x:c r="J6942" s="6" t="str">
        <x:f>IF(B6942="","",IF(AND(ISNUMBER(SEARCH("平",B6942)),OR(ISNUMBER(SEARCH("上",B6942)),ISNUMBER(SEARCH("去",B6942)),ISNUMBER(SEARCH("入",B6942)))),"Ambiguous",IF(ISNUMBER(SEARCH("平",B6942)),"平","仄")))</x:f>
        <x:v>仄</x:v>
      </x:c>
      <x:c r="K6942" s="6" t="str">
        <x:f>IF(D6942="","",IF(AND(ISNUMBER(SEARCH("平",D6942)),OR(ISNUMBER(SEARCH("上",D6942)),ISNUMBER(SEARCH("去",D6942)),ISNUMBER(SEARCH("入",D6942)))),"Ambiguous",IF(ISNUMBER(SEARCH("平",D6942)),"平","仄")))</x:f>
        <x:v>仄</x:v>
      </x:c>
      <x:c r="L6942" s="7" t="str">
        <x:v>Pingshui main list expansion</x:v>
      </x:c>
    </x:row>
    <x:row r="6943">
      <x:c r="A6943" s="5" t="str">
        <x:v>擸</x:v>
      </x:c>
      <x:c r="B6943" s="6" t="str">
        <x:v>入</x:v>
      </x:c>
      <x:c r="C6943" s="6" t="str">
        <x:f>IF(B6943="","Needs decision","Ready")</x:f>
        <x:v>Ready</x:v>
      </x:c>
      <x:c r="D6943" s="6" t="str">
        <x:v>入</x:v>
      </x:c>
      <x:c r="E6943" s="6" t="str"/>
      <x:c r="F6943" s="6" t="str">
        <x:v>入聲十六葉</x:v>
      </x:c>
      <x:c r="G6943" s="6" t="str">
        <x:v>Pingshui main list, Wikisource-derived DOCX</x:v>
      </x:c>
      <x:c r="H6943" s="6" t="str"/>
      <x:c r="I6943" s="6" t="str">
        <x:v>Pingshui main-list expansion; 詞 entries ignored</x:v>
      </x:c>
      <x:c r="J6943" s="6" t="str">
        <x:f>IF(B6943="","",IF(AND(ISNUMBER(SEARCH("平",B6943)),OR(ISNUMBER(SEARCH("上",B6943)),ISNUMBER(SEARCH("去",B6943)),ISNUMBER(SEARCH("入",B6943)))),"Ambiguous",IF(ISNUMBER(SEARCH("平",B6943)),"平","仄")))</x:f>
        <x:v>仄</x:v>
      </x:c>
      <x:c r="K6943" s="6" t="str">
        <x:f>IF(D6943="","",IF(AND(ISNUMBER(SEARCH("平",D6943)),OR(ISNUMBER(SEARCH("上",D6943)),ISNUMBER(SEARCH("去",D6943)),ISNUMBER(SEARCH("入",D6943)))),"Ambiguous",IF(ISNUMBER(SEARCH("平",D6943)),"平","仄")))</x:f>
        <x:v>仄</x:v>
      </x:c>
      <x:c r="L6943" s="7" t="str">
        <x:v>Pingshui main list expansion</x:v>
      </x:c>
    </x:row>
    <x:row r="6944">
      <x:c r="A6944" s="5" t="str">
        <x:v>擻</x:v>
      </x:c>
      <x:c r="B6944" s="6" t="str">
        <x:v>上</x:v>
      </x:c>
      <x:c r="C6944" s="6" t="str">
        <x:f>IF(B6944="","Needs decision","Ready")</x:f>
        <x:v>Ready</x:v>
      </x:c>
      <x:c r="D6944" s="6" t="str">
        <x:v>上</x:v>
      </x:c>
      <x:c r="E6944" s="6" t="str"/>
      <x:c r="F6944" s="6" t="str">
        <x:v>上聲二十五有</x:v>
      </x:c>
      <x:c r="G6944" s="6" t="str">
        <x:v>Pingshui main list, Wikisource-derived DOCX</x:v>
      </x:c>
      <x:c r="H6944" s="6" t="str"/>
      <x:c r="I6944" s="6" t="str">
        <x:v>Pingshui main-list expansion; 詞 entries ignored</x:v>
      </x:c>
      <x:c r="J6944" s="6" t="str">
        <x:f>IF(B6944="","",IF(AND(ISNUMBER(SEARCH("平",B6944)),OR(ISNUMBER(SEARCH("上",B6944)),ISNUMBER(SEARCH("去",B6944)),ISNUMBER(SEARCH("入",B6944)))),"Ambiguous",IF(ISNUMBER(SEARCH("平",B6944)),"平","仄")))</x:f>
        <x:v>仄</x:v>
      </x:c>
      <x:c r="K6944" s="6" t="str">
        <x:f>IF(D6944="","",IF(AND(ISNUMBER(SEARCH("平",D6944)),OR(ISNUMBER(SEARCH("上",D6944)),ISNUMBER(SEARCH("去",D6944)),ISNUMBER(SEARCH("入",D6944)))),"Ambiguous",IF(ISNUMBER(SEARCH("平",D6944)),"平","仄")))</x:f>
        <x:v>仄</x:v>
      </x:c>
      <x:c r="L6944" s="7" t="str">
        <x:v>Pingshui main list expansion</x:v>
      </x:c>
    </x:row>
    <x:row r="6945">
      <x:c r="A6945" s="5" t="str">
        <x:v>攃</x:v>
      </x:c>
      <x:c r="B6945" s="6" t="str">
        <x:v>入</x:v>
      </x:c>
      <x:c r="C6945" s="6" t="str">
        <x:f>IF(B6945="","Needs decision","Ready")</x:f>
        <x:v>Ready</x:v>
      </x:c>
      <x:c r="D6945" s="6" t="str">
        <x:v>入</x:v>
      </x:c>
      <x:c r="E6945" s="6" t="str"/>
      <x:c r="F6945" s="6" t="str">
        <x:v>入聲七曷</x:v>
      </x:c>
      <x:c r="G6945" s="6" t="str">
        <x:v>Pingshui main list, Wikisource-derived DOCX</x:v>
      </x:c>
      <x:c r="H6945" s="6" t="str"/>
      <x:c r="I6945" s="6" t="str">
        <x:v>Pingshui main-list expansion; 詞 entries ignored</x:v>
      </x:c>
      <x:c r="J6945" s="6" t="str">
        <x:f>IF(B6945="","",IF(AND(ISNUMBER(SEARCH("平",B6945)),OR(ISNUMBER(SEARCH("上",B6945)),ISNUMBER(SEARCH("去",B6945)),ISNUMBER(SEARCH("入",B6945)))),"Ambiguous",IF(ISNUMBER(SEARCH("平",B6945)),"平","仄")))</x:f>
        <x:v>仄</x:v>
      </x:c>
      <x:c r="K6945" s="6" t="str">
        <x:f>IF(D6945="","",IF(AND(ISNUMBER(SEARCH("平",D6945)),OR(ISNUMBER(SEARCH("上",D6945)),ISNUMBER(SEARCH("去",D6945)),ISNUMBER(SEARCH("入",D6945)))),"Ambiguous",IF(ISNUMBER(SEARCH("平",D6945)),"平","仄")))</x:f>
        <x:v>仄</x:v>
      </x:c>
      <x:c r="L6945" s="7" t="str">
        <x:v>Pingshui main list expansion</x:v>
      </x:c>
    </x:row>
    <x:row r="6946">
      <x:c r="A6946" s="5" t="str">
        <x:v>攉</x:v>
      </x:c>
      <x:c r="B6946" s="6" t="str">
        <x:v>入</x:v>
      </x:c>
      <x:c r="C6946" s="6" t="str">
        <x:f>IF(B6946="","Needs decision","Ready")</x:f>
        <x:v>Ready</x:v>
      </x:c>
      <x:c r="D6946" s="6" t="str">
        <x:v>入</x:v>
      </x:c>
      <x:c r="E6946" s="6" t="str"/>
      <x:c r="F6946" s="6" t="str">
        <x:v>入聲十藥</x:v>
      </x:c>
      <x:c r="G6946" s="6" t="str">
        <x:v>Pingshui main list, Wikisource-derived DOCX</x:v>
      </x:c>
      <x:c r="H6946" s="6" t="str"/>
      <x:c r="I6946" s="6" t="str">
        <x:v>Pingshui main-list expansion; 詞 entries ignored</x:v>
      </x:c>
      <x:c r="J6946" s="6" t="str">
        <x:f>IF(B6946="","",IF(AND(ISNUMBER(SEARCH("平",B6946)),OR(ISNUMBER(SEARCH("上",B6946)),ISNUMBER(SEARCH("去",B6946)),ISNUMBER(SEARCH("入",B6946)))),"Ambiguous",IF(ISNUMBER(SEARCH("平",B6946)),"平","仄")))</x:f>
        <x:v>仄</x:v>
      </x:c>
      <x:c r="K6946" s="6" t="str">
        <x:f>IF(D6946="","",IF(AND(ISNUMBER(SEARCH("平",D6946)),OR(ISNUMBER(SEARCH("上",D6946)),ISNUMBER(SEARCH("去",D6946)),ISNUMBER(SEARCH("入",D6946)))),"Ambiguous",IF(ISNUMBER(SEARCH("平",D6946)),"平","仄")))</x:f>
        <x:v>仄</x:v>
      </x:c>
      <x:c r="L6946" s="7" t="str">
        <x:v>Pingshui main list expansion</x:v>
      </x:c>
    </x:row>
    <x:row r="6947">
      <x:c r="A6947" s="5" t="str">
        <x:v>攛</x:v>
      </x:c>
      <x:c r="B6947" s="6" t="str">
        <x:v>去</x:v>
      </x:c>
      <x:c r="C6947" s="6" t="str">
        <x:f>IF(B6947="","Needs decision","Ready")</x:f>
        <x:v>Ready</x:v>
      </x:c>
      <x:c r="D6947" s="6" t="str">
        <x:v>去</x:v>
      </x:c>
      <x:c r="E6947" s="6" t="str"/>
      <x:c r="F6947" s="6" t="str">
        <x:v>去聲十五翰</x:v>
      </x:c>
      <x:c r="G6947" s="6" t="str">
        <x:v>Pingshui main list, Wikisource-derived DOCX</x:v>
      </x:c>
      <x:c r="H6947" s="6" t="str"/>
      <x:c r="I6947" s="6" t="str">
        <x:v>Pingshui main-list expansion; 詞 entries ignored</x:v>
      </x:c>
      <x:c r="J6947" s="6" t="str">
        <x:f>IF(B6947="","",IF(AND(ISNUMBER(SEARCH("平",B6947)),OR(ISNUMBER(SEARCH("上",B6947)),ISNUMBER(SEARCH("去",B6947)),ISNUMBER(SEARCH("入",B6947)))),"Ambiguous",IF(ISNUMBER(SEARCH("平",B6947)),"平","仄")))</x:f>
        <x:v>仄</x:v>
      </x:c>
      <x:c r="K6947" s="6" t="str">
        <x:f>IF(D6947="","",IF(AND(ISNUMBER(SEARCH("平",D6947)),OR(ISNUMBER(SEARCH("上",D6947)),ISNUMBER(SEARCH("去",D6947)),ISNUMBER(SEARCH("入",D6947)))),"Ambiguous",IF(ISNUMBER(SEARCH("平",D6947)),"平","仄")))</x:f>
        <x:v>仄</x:v>
      </x:c>
      <x:c r="L6947" s="7" t="str">
        <x:v>Pingshui main list expansion</x:v>
      </x:c>
    </x:row>
    <x:row r="6948">
      <x:c r="A6948" s="5" t="str">
        <x:v>攣</x:v>
      </x:c>
      <x:c r="B6948" s="6" t="str">
        <x:v>平</x:v>
      </x:c>
      <x:c r="C6948" s="6" t="str">
        <x:f>IF(B6948="","Needs decision","Ready")</x:f>
        <x:v>Ready</x:v>
      </x:c>
      <x:c r="D6948" s="6" t="str">
        <x:v>平</x:v>
      </x:c>
      <x:c r="E6948" s="6" t="str"/>
      <x:c r="F6948" s="6" t="str">
        <x:v>下平聲一先</x:v>
      </x:c>
      <x:c r="G6948" s="6" t="str">
        <x:v>Pingshui main list, Wikisource-derived DOCX</x:v>
      </x:c>
      <x:c r="H6948" s="6" t="str"/>
      <x:c r="I6948" s="6" t="str">
        <x:v>Pingshui main-list expansion; 詞 entries ignored</x:v>
      </x:c>
      <x:c r="J6948" s="6" t="str">
        <x:f>IF(B6948="","",IF(AND(ISNUMBER(SEARCH("平",B6948)),OR(ISNUMBER(SEARCH("上",B6948)),ISNUMBER(SEARCH("去",B6948)),ISNUMBER(SEARCH("入",B6948)))),"Ambiguous",IF(ISNUMBER(SEARCH("平",B6948)),"平","仄")))</x:f>
        <x:v>平</x:v>
      </x:c>
      <x:c r="K6948" s="6" t="str">
        <x:f>IF(D6948="","",IF(AND(ISNUMBER(SEARCH("平",D6948)),OR(ISNUMBER(SEARCH("上",D6948)),ISNUMBER(SEARCH("去",D6948)),ISNUMBER(SEARCH("入",D6948)))),"Ambiguous",IF(ISNUMBER(SEARCH("平",D6948)),"平","仄")))</x:f>
        <x:v>平</x:v>
      </x:c>
      <x:c r="L6948" s="7" t="str">
        <x:v>Pingshui main list expansion</x:v>
      </x:c>
    </x:row>
    <x:row r="6949">
      <x:c r="A6949" s="5" t="str">
        <x:v>攤</x:v>
      </x:c>
      <x:c r="B6949" s="6" t="str"/>
      <x:c r="C6949" s="6" t="str">
        <x:f>IF(B6949="","Needs decision","Ready")</x:f>
        <x:v>Needs decision</x:v>
      </x:c>
      <x:c r="D6949" s="6" t="str">
        <x:v>平/去</x:v>
      </x:c>
      <x:c r="E6949" s="6" t="str"/>
      <x:c r="F6949" s="6" t="str">
        <x:v>上平聲十四寒; 去聲十五翰</x:v>
      </x:c>
      <x:c r="G6949" s="6" t="str">
        <x:v>Pingshui main list, Wikisource-derived DOCX</x:v>
      </x:c>
      <x:c r="H6949" s="6" t="str"/>
      <x:c r="I6949" s="6" t="str">
        <x:v>Pingshui main-list expansion; 詞 entries ignored</x:v>
      </x:c>
      <x:c r="J6949" s="6" t="str">
        <x:f>IF(B6949="","",IF(AND(ISNUMBER(SEARCH("平",B6949)),OR(ISNUMBER(SEARCH("上",B6949)),ISNUMBER(SEARCH("去",B6949)),ISNUMBER(SEARCH("入",B6949)))),"Ambiguous",IF(ISNUMBER(SEARCH("平",B6949)),"平","仄")))</x:f>
      </x:c>
      <x:c r="K6949" s="6" t="str">
        <x:f>IF(D6949="","",IF(AND(ISNUMBER(SEARCH("平",D6949)),OR(ISNUMBER(SEARCH("上",D6949)),ISNUMBER(SEARCH("去",D6949)),ISNUMBER(SEARCH("入",D6949)))),"Ambiguous",IF(ISNUMBER(SEARCH("平",D6949)),"平","仄")))</x:f>
        <x:v>Ambiguous</x:v>
      </x:c>
      <x:c r="L6949" s="7" t="str">
        <x:v>Pingshui main list expansion</x:v>
      </x:c>
    </x:row>
    <x:row r="6950">
      <x:c r="A6950" s="5" t="str">
        <x:v>敔</x:v>
      </x:c>
      <x:c r="B6950" s="6" t="str">
        <x:v>上</x:v>
      </x:c>
      <x:c r="C6950" s="6" t="str">
        <x:f>IF(B6950="","Needs decision","Ready")</x:f>
        <x:v>Ready</x:v>
      </x:c>
      <x:c r="D6950" s="6" t="str">
        <x:v>上</x:v>
      </x:c>
      <x:c r="E6950" s="6" t="str"/>
      <x:c r="F6950" s="6" t="str">
        <x:v>上聲六語</x:v>
      </x:c>
      <x:c r="G6950" s="6" t="str">
        <x:v>Pingshui main list, Wikisource-derived DOCX</x:v>
      </x:c>
      <x:c r="H6950" s="6" t="str"/>
      <x:c r="I6950" s="6" t="str">
        <x:v>Pingshui main-list expansion; 詞 entries ignored</x:v>
      </x:c>
      <x:c r="J6950" s="6" t="str">
        <x:f>IF(B6950="","",IF(AND(ISNUMBER(SEARCH("平",B6950)),OR(ISNUMBER(SEARCH("上",B6950)),ISNUMBER(SEARCH("去",B6950)),ISNUMBER(SEARCH("入",B6950)))),"Ambiguous",IF(ISNUMBER(SEARCH("平",B6950)),"平","仄")))</x:f>
        <x:v>仄</x:v>
      </x:c>
      <x:c r="K6950" s="6" t="str">
        <x:f>IF(D6950="","",IF(AND(ISNUMBER(SEARCH("平",D6950)),OR(ISNUMBER(SEARCH("上",D6950)),ISNUMBER(SEARCH("去",D6950)),ISNUMBER(SEARCH("入",D6950)))),"Ambiguous",IF(ISNUMBER(SEARCH("平",D6950)),"平","仄")))</x:f>
        <x:v>仄</x:v>
      </x:c>
      <x:c r="L6950" s="7" t="str">
        <x:v>Pingshui main list expansion</x:v>
      </x:c>
    </x:row>
    <x:row r="6951">
      <x:c r="A6951" s="5" t="str">
        <x:v>斒</x:v>
      </x:c>
      <x:c r="B6951" s="6" t="str">
        <x:v>平</x:v>
      </x:c>
      <x:c r="C6951" s="6" t="str">
        <x:f>IF(B6951="","Needs decision","Ready")</x:f>
        <x:v>Ready</x:v>
      </x:c>
      <x:c r="D6951" s="6" t="str">
        <x:v>平</x:v>
      </x:c>
      <x:c r="E6951" s="6" t="str"/>
      <x:c r="F6951" s="6" t="str">
        <x:v>上平聲十五刪</x:v>
      </x:c>
      <x:c r="G6951" s="6" t="str">
        <x:v>Pingshui main list, Wikisource-derived DOCX</x:v>
      </x:c>
      <x:c r="H6951" s="6" t="str"/>
      <x:c r="I6951" s="6" t="str">
        <x:v>Pingshui main-list expansion; 詞 entries ignored</x:v>
      </x:c>
      <x:c r="J6951" s="6" t="str">
        <x:f>IF(B6951="","",IF(AND(ISNUMBER(SEARCH("平",B6951)),OR(ISNUMBER(SEARCH("上",B6951)),ISNUMBER(SEARCH("去",B6951)),ISNUMBER(SEARCH("入",B6951)))),"Ambiguous",IF(ISNUMBER(SEARCH("平",B6951)),"平","仄")))</x:f>
        <x:v>平</x:v>
      </x:c>
      <x:c r="K6951" s="6" t="str">
        <x:f>IF(D6951="","",IF(AND(ISNUMBER(SEARCH("平",D6951)),OR(ISNUMBER(SEARCH("上",D6951)),ISNUMBER(SEARCH("去",D6951)),ISNUMBER(SEARCH("入",D6951)))),"Ambiguous",IF(ISNUMBER(SEARCH("平",D6951)),"平","仄")))</x:f>
        <x:v>平</x:v>
      </x:c>
      <x:c r="L6951" s="7" t="str">
        <x:v>Pingshui main list expansion</x:v>
      </x:c>
    </x:row>
    <x:row r="6952">
      <x:c r="A6952" s="5" t="str">
        <x:v>斕</x:v>
      </x:c>
      <x:c r="B6952" s="6" t="str">
        <x:v>平</x:v>
      </x:c>
      <x:c r="C6952" s="6" t="str">
        <x:f>IF(B6952="","Needs decision","Ready")</x:f>
        <x:v>Ready</x:v>
      </x:c>
      <x:c r="D6952" s="6" t="str">
        <x:v>平</x:v>
      </x:c>
      <x:c r="E6952" s="6" t="str"/>
      <x:c r="F6952" s="6" t="str">
        <x:v>上平聲十五刪</x:v>
      </x:c>
      <x:c r="G6952" s="6" t="str">
        <x:v>Pingshui main list, Wikisource-derived DOCX</x:v>
      </x:c>
      <x:c r="H6952" s="6" t="str"/>
      <x:c r="I6952" s="6" t="str">
        <x:v>Pingshui main-list expansion; 詞 entries ignored</x:v>
      </x:c>
      <x:c r="J6952" s="6" t="str">
        <x:f>IF(B6952="","",IF(AND(ISNUMBER(SEARCH("平",B6952)),OR(ISNUMBER(SEARCH("上",B6952)),ISNUMBER(SEARCH("去",B6952)),ISNUMBER(SEARCH("入",B6952)))),"Ambiguous",IF(ISNUMBER(SEARCH("平",B6952)),"平","仄")))</x:f>
        <x:v>平</x:v>
      </x:c>
      <x:c r="K6952" s="6" t="str">
        <x:f>IF(D6952="","",IF(AND(ISNUMBER(SEARCH("平",D6952)),OR(ISNUMBER(SEARCH("上",D6952)),ISNUMBER(SEARCH("去",D6952)),ISNUMBER(SEARCH("入",D6952)))),"Ambiguous",IF(ISNUMBER(SEARCH("平",D6952)),"平","仄")))</x:f>
        <x:v>平</x:v>
      </x:c>
      <x:c r="L6952" s="7" t="str">
        <x:v>Pingshui main list expansion</x:v>
      </x:c>
    </x:row>
    <x:row r="6953">
      <x:c r="A6953" s="5" t="str">
        <x:v>斞</x:v>
      </x:c>
      <x:c r="B6953" s="6" t="str">
        <x:v>上</x:v>
      </x:c>
      <x:c r="C6953" s="6" t="str">
        <x:f>IF(B6953="","Needs decision","Ready")</x:f>
        <x:v>Ready</x:v>
      </x:c>
      <x:c r="D6953" s="6" t="str">
        <x:v>上</x:v>
      </x:c>
      <x:c r="E6953" s="6" t="str"/>
      <x:c r="F6953" s="6" t="str">
        <x:v>上聲七麌</x:v>
      </x:c>
      <x:c r="G6953" s="6" t="str">
        <x:v>Pingshui main list, Wikisource-derived DOCX</x:v>
      </x:c>
      <x:c r="H6953" s="6" t="str"/>
      <x:c r="I6953" s="6" t="str">
        <x:v>Pingshui main-list expansion; 詞 entries ignored</x:v>
      </x:c>
      <x:c r="J6953" s="6" t="str">
        <x:f>IF(B6953="","",IF(AND(ISNUMBER(SEARCH("平",B6953)),OR(ISNUMBER(SEARCH("上",B6953)),ISNUMBER(SEARCH("去",B6953)),ISNUMBER(SEARCH("入",B6953)))),"Ambiguous",IF(ISNUMBER(SEARCH("平",B6953)),"平","仄")))</x:f>
        <x:v>仄</x:v>
      </x:c>
      <x:c r="K6953" s="6" t="str">
        <x:f>IF(D6953="","",IF(AND(ISNUMBER(SEARCH("平",D6953)),OR(ISNUMBER(SEARCH("上",D6953)),ISNUMBER(SEARCH("去",D6953)),ISNUMBER(SEARCH("入",D6953)))),"Ambiguous",IF(ISNUMBER(SEARCH("平",D6953)),"平","仄")))</x:f>
        <x:v>仄</x:v>
      </x:c>
      <x:c r="L6953" s="7" t="str">
        <x:v>Pingshui main list expansion</x:v>
      </x:c>
    </x:row>
    <x:row r="6954">
      <x:c r="A6954" s="5" t="str">
        <x:v>斨</x:v>
      </x:c>
      <x:c r="B6954" s="6" t="str">
        <x:v>平</x:v>
      </x:c>
      <x:c r="C6954" s="6" t="str">
        <x:f>IF(B6954="","Needs decision","Ready")</x:f>
        <x:v>Ready</x:v>
      </x:c>
      <x:c r="D6954" s="6" t="str">
        <x:v>平</x:v>
      </x:c>
      <x:c r="E6954" s="6" t="str"/>
      <x:c r="F6954" s="6" t="str">
        <x:v>下平聲七陽</x:v>
      </x:c>
      <x:c r="G6954" s="6" t="str">
        <x:v>Pingshui main list, Wikisource-derived DOCX</x:v>
      </x:c>
      <x:c r="H6954" s="6" t="str"/>
      <x:c r="I6954" s="6" t="str">
        <x:v>Pingshui main-list expansion; 詞 entries ignored</x:v>
      </x:c>
      <x:c r="J6954" s="6" t="str">
        <x:f>IF(B6954="","",IF(AND(ISNUMBER(SEARCH("平",B6954)),OR(ISNUMBER(SEARCH("上",B6954)),ISNUMBER(SEARCH("去",B6954)),ISNUMBER(SEARCH("入",B6954)))),"Ambiguous",IF(ISNUMBER(SEARCH("平",B6954)),"平","仄")))</x:f>
        <x:v>平</x:v>
      </x:c>
      <x:c r="K6954" s="6" t="str">
        <x:f>IF(D6954="","",IF(AND(ISNUMBER(SEARCH("平",D6954)),OR(ISNUMBER(SEARCH("上",D6954)),ISNUMBER(SEARCH("去",D6954)),ISNUMBER(SEARCH("入",D6954)))),"Ambiguous",IF(ISNUMBER(SEARCH("平",D6954)),"平","仄")))</x:f>
        <x:v>平</x:v>
      </x:c>
      <x:c r="L6954" s="7" t="str">
        <x:v>Pingshui main list expansion</x:v>
      </x:c>
    </x:row>
    <x:row r="6955">
      <x:c r="A6955" s="5" t="str">
        <x:v>旓</x:v>
      </x:c>
      <x:c r="B6955" s="6" t="str">
        <x:v>平</x:v>
      </x:c>
      <x:c r="C6955" s="6" t="str">
        <x:f>IF(B6955="","Needs decision","Ready")</x:f>
        <x:v>Ready</x:v>
      </x:c>
      <x:c r="D6955" s="6" t="str">
        <x:v>平</x:v>
      </x:c>
      <x:c r="E6955" s="6" t="str"/>
      <x:c r="F6955" s="6" t="str">
        <x:v>下平聲三肴</x:v>
      </x:c>
      <x:c r="G6955" s="6" t="str">
        <x:v>Pingshui main list, Wikisource-derived DOCX</x:v>
      </x:c>
      <x:c r="H6955" s="6" t="str"/>
      <x:c r="I6955" s="6" t="str">
        <x:v>Pingshui main-list expansion; 詞 entries ignored</x:v>
      </x:c>
      <x:c r="J6955" s="6" t="str">
        <x:f>IF(B6955="","",IF(AND(ISNUMBER(SEARCH("平",B6955)),OR(ISNUMBER(SEARCH("上",B6955)),ISNUMBER(SEARCH("去",B6955)),ISNUMBER(SEARCH("入",B6955)))),"Ambiguous",IF(ISNUMBER(SEARCH("平",B6955)),"平","仄")))</x:f>
        <x:v>平</x:v>
      </x:c>
      <x:c r="K6955" s="6" t="str">
        <x:f>IF(D6955="","",IF(AND(ISNUMBER(SEARCH("平",D6955)),OR(ISNUMBER(SEARCH("上",D6955)),ISNUMBER(SEARCH("去",D6955)),ISNUMBER(SEARCH("入",D6955)))),"Ambiguous",IF(ISNUMBER(SEARCH("平",D6955)),"平","仄")))</x:f>
        <x:v>平</x:v>
      </x:c>
      <x:c r="L6955" s="7" t="str">
        <x:v>Pingshui main list expansion</x:v>
      </x:c>
    </x:row>
    <x:row r="6956">
      <x:c r="A6956" s="5" t="str">
        <x:v>旝</x:v>
      </x:c>
      <x:c r="B6956" s="6" t="str">
        <x:v>去</x:v>
      </x:c>
      <x:c r="C6956" s="6" t="str">
        <x:f>IF(B6956="","Needs decision","Ready")</x:f>
        <x:v>Ready</x:v>
      </x:c>
      <x:c r="D6956" s="6" t="str">
        <x:v>去</x:v>
      </x:c>
      <x:c r="E6956" s="6" t="str"/>
      <x:c r="F6956" s="6" t="str">
        <x:v>去聲九泰</x:v>
      </x:c>
      <x:c r="G6956" s="6" t="str">
        <x:v>Pingshui main list, Wikisource-derived DOCX</x:v>
      </x:c>
      <x:c r="H6956" s="6" t="str"/>
      <x:c r="I6956" s="6" t="str">
        <x:v>Pingshui main-list expansion; 詞 entries ignored</x:v>
      </x:c>
      <x:c r="J6956" s="6" t="str">
        <x:f>IF(B6956="","",IF(AND(ISNUMBER(SEARCH("平",B6956)),OR(ISNUMBER(SEARCH("上",B6956)),ISNUMBER(SEARCH("去",B6956)),ISNUMBER(SEARCH("入",B6956)))),"Ambiguous",IF(ISNUMBER(SEARCH("平",B6956)),"平","仄")))</x:f>
        <x:v>仄</x:v>
      </x:c>
      <x:c r="K6956" s="6" t="str">
        <x:f>IF(D6956="","",IF(AND(ISNUMBER(SEARCH("平",D6956)),OR(ISNUMBER(SEARCH("上",D6956)),ISNUMBER(SEARCH("去",D6956)),ISNUMBER(SEARCH("入",D6956)))),"Ambiguous",IF(ISNUMBER(SEARCH("平",D6956)),"平","仄")))</x:f>
        <x:v>仄</x:v>
      </x:c>
      <x:c r="L6956" s="7" t="str">
        <x:v>Pingshui main list expansion</x:v>
      </x:c>
    </x:row>
    <x:row r="6957">
      <x:c r="A6957" s="5" t="str">
        <x:v>旡</x:v>
      </x:c>
      <x:c r="B6957" s="6" t="str">
        <x:v>去</x:v>
      </x:c>
      <x:c r="C6957" s="6" t="str">
        <x:f>IF(B6957="","Needs decision","Ready")</x:f>
        <x:v>Ready</x:v>
      </x:c>
      <x:c r="D6957" s="6" t="str">
        <x:v>去</x:v>
      </x:c>
      <x:c r="E6957" s="6" t="str"/>
      <x:c r="F6957" s="6" t="str">
        <x:v>去聲五未</x:v>
      </x:c>
      <x:c r="G6957" s="6" t="str">
        <x:v>Pingshui main list, Wikisource-derived DOCX</x:v>
      </x:c>
      <x:c r="H6957" s="6" t="str"/>
      <x:c r="I6957" s="6" t="str">
        <x:v>Pingshui main-list expansion; 詞 entries ignored</x:v>
      </x:c>
      <x:c r="J6957" s="6" t="str">
        <x:f>IF(B6957="","",IF(AND(ISNUMBER(SEARCH("平",B6957)),OR(ISNUMBER(SEARCH("上",B6957)),ISNUMBER(SEARCH("去",B6957)),ISNUMBER(SEARCH("入",B6957)))),"Ambiguous",IF(ISNUMBER(SEARCH("平",B6957)),"平","仄")))</x:f>
        <x:v>仄</x:v>
      </x:c>
      <x:c r="K6957" s="6" t="str">
        <x:f>IF(D6957="","",IF(AND(ISNUMBER(SEARCH("平",D6957)),OR(ISNUMBER(SEARCH("上",D6957)),ISNUMBER(SEARCH("去",D6957)),ISNUMBER(SEARCH("入",D6957)))),"Ambiguous",IF(ISNUMBER(SEARCH("平",D6957)),"平","仄")))</x:f>
        <x:v>仄</x:v>
      </x:c>
      <x:c r="L6957" s="7" t="str">
        <x:v>Pingshui main list expansion</x:v>
      </x:c>
    </x:row>
    <x:row r="6958">
      <x:c r="A6958" s="5" t="str">
        <x:v>旴</x:v>
      </x:c>
      <x:c r="B6958" s="6" t="str">
        <x:v>平</x:v>
      </x:c>
      <x:c r="C6958" s="6" t="str">
        <x:f>IF(B6958="","Needs decision","Ready")</x:f>
        <x:v>Ready</x:v>
      </x:c>
      <x:c r="D6958" s="6" t="str">
        <x:v>平</x:v>
      </x:c>
      <x:c r="E6958" s="6" t="str"/>
      <x:c r="F6958" s="6" t="str">
        <x:v>上平聲七虞</x:v>
      </x:c>
      <x:c r="G6958" s="6" t="str">
        <x:v>Pingshui main list, Wikisource-derived DOCX</x:v>
      </x:c>
      <x:c r="H6958" s="6" t="str"/>
      <x:c r="I6958" s="6" t="str">
        <x:v>Pingshui main-list expansion; 詞 entries ignored</x:v>
      </x:c>
      <x:c r="J6958" s="6" t="str">
        <x:f>IF(B6958="","",IF(AND(ISNUMBER(SEARCH("平",B6958)),OR(ISNUMBER(SEARCH("上",B6958)),ISNUMBER(SEARCH("去",B6958)),ISNUMBER(SEARCH("入",B6958)))),"Ambiguous",IF(ISNUMBER(SEARCH("平",B6958)),"平","仄")))</x:f>
        <x:v>平</x:v>
      </x:c>
      <x:c r="K6958" s="6" t="str">
        <x:f>IF(D6958="","",IF(AND(ISNUMBER(SEARCH("平",D6958)),OR(ISNUMBER(SEARCH("上",D6958)),ISNUMBER(SEARCH("去",D6958)),ISNUMBER(SEARCH("入",D6958)))),"Ambiguous",IF(ISNUMBER(SEARCH("平",D6958)),"平","仄")))</x:f>
        <x:v>平</x:v>
      </x:c>
      <x:c r="L6958" s="7" t="str">
        <x:v>Pingshui main list expansion</x:v>
      </x:c>
    </x:row>
    <x:row r="6959">
      <x:c r="A6959" s="5" t="str">
        <x:v>旺</x:v>
      </x:c>
      <x:c r="B6959" s="6" t="str">
        <x:v>去</x:v>
      </x:c>
      <x:c r="C6959" s="6" t="str">
        <x:f>IF(B6959="","Needs decision","Ready")</x:f>
        <x:v>Ready</x:v>
      </x:c>
      <x:c r="D6959" s="6" t="str">
        <x:v>去</x:v>
      </x:c>
      <x:c r="E6959" s="6" t="str"/>
      <x:c r="F6959" s="6" t="str">
        <x:v>去聲二十三漾</x:v>
      </x:c>
      <x:c r="G6959" s="6" t="str">
        <x:v>Pingshui main list, Wikisource-derived DOCX</x:v>
      </x:c>
      <x:c r="H6959" s="6" t="str"/>
      <x:c r="I6959" s="6" t="str">
        <x:v>Pingshui main-list expansion; 詞 entries ignored</x:v>
      </x:c>
      <x:c r="J6959" s="6" t="str">
        <x:f>IF(B6959="","",IF(AND(ISNUMBER(SEARCH("平",B6959)),OR(ISNUMBER(SEARCH("上",B6959)),ISNUMBER(SEARCH("去",B6959)),ISNUMBER(SEARCH("入",B6959)))),"Ambiguous",IF(ISNUMBER(SEARCH("平",B6959)),"平","仄")))</x:f>
        <x:v>仄</x:v>
      </x:c>
      <x:c r="K6959" s="6" t="str">
        <x:f>IF(D6959="","",IF(AND(ISNUMBER(SEARCH("平",D6959)),OR(ISNUMBER(SEARCH("上",D6959)),ISNUMBER(SEARCH("去",D6959)),ISNUMBER(SEARCH("入",D6959)))),"Ambiguous",IF(ISNUMBER(SEARCH("平",D6959)),"平","仄")))</x:f>
        <x:v>仄</x:v>
      </x:c>
      <x:c r="L6959" s="7" t="str">
        <x:v>Pingshui main list expansion</x:v>
      </x:c>
    </x:row>
    <x:row r="6960">
      <x:c r="A6960" s="5" t="str">
        <x:v>旼</x:v>
      </x:c>
      <x:c r="B6960" s="6" t="str">
        <x:v>平</x:v>
      </x:c>
      <x:c r="C6960" s="6" t="str">
        <x:f>IF(B6960="","Needs decision","Ready")</x:f>
        <x:v>Ready</x:v>
      </x:c>
      <x:c r="D6960" s="6" t="str">
        <x:v>平</x:v>
      </x:c>
      <x:c r="E6960" s="6" t="str"/>
      <x:c r="F6960" s="6" t="str">
        <x:v>上平聲十一真</x:v>
      </x:c>
      <x:c r="G6960" s="6" t="str">
        <x:v>Pingshui main list, Wikisource-derived DOCX</x:v>
      </x:c>
      <x:c r="H6960" s="6" t="str"/>
      <x:c r="I6960" s="6" t="str">
        <x:v>Pingshui main-list expansion; 詞 entries ignored</x:v>
      </x:c>
      <x:c r="J6960" s="6" t="str">
        <x:f>IF(B6960="","",IF(AND(ISNUMBER(SEARCH("平",B6960)),OR(ISNUMBER(SEARCH("上",B6960)),ISNUMBER(SEARCH("去",B6960)),ISNUMBER(SEARCH("入",B6960)))),"Ambiguous",IF(ISNUMBER(SEARCH("平",B6960)),"平","仄")))</x:f>
        <x:v>平</x:v>
      </x:c>
      <x:c r="K6960" s="6" t="str">
        <x:f>IF(D6960="","",IF(AND(ISNUMBER(SEARCH("平",D6960)),OR(ISNUMBER(SEARCH("上",D6960)),ISNUMBER(SEARCH("去",D6960)),ISNUMBER(SEARCH("入",D6960)))),"Ambiguous",IF(ISNUMBER(SEARCH("平",D6960)),"平","仄")))</x:f>
        <x:v>平</x:v>
      </x:c>
      <x:c r="L6960" s="7" t="str">
        <x:v>Pingshui main list expansion</x:v>
      </x:c>
    </x:row>
    <x:row r="6961">
      <x:c r="A6961" s="5" t="str">
        <x:v>昝</x:v>
      </x:c>
      <x:c r="B6961" s="6" t="str">
        <x:v>上</x:v>
      </x:c>
      <x:c r="C6961" s="6" t="str">
        <x:f>IF(B6961="","Needs decision","Ready")</x:f>
        <x:v>Ready</x:v>
      </x:c>
      <x:c r="D6961" s="6" t="str">
        <x:v>上</x:v>
      </x:c>
      <x:c r="E6961" s="6" t="str"/>
      <x:c r="F6961" s="6" t="str">
        <x:v>上聲二十七感</x:v>
      </x:c>
      <x:c r="G6961" s="6" t="str">
        <x:v>Pingshui main list, Wikisource-derived DOCX</x:v>
      </x:c>
      <x:c r="H6961" s="6" t="str"/>
      <x:c r="I6961" s="6" t="str">
        <x:v>Pingshui main-list expansion; 詞 entries ignored</x:v>
      </x:c>
      <x:c r="J6961" s="6" t="str">
        <x:f>IF(B6961="","",IF(AND(ISNUMBER(SEARCH("平",B6961)),OR(ISNUMBER(SEARCH("上",B6961)),ISNUMBER(SEARCH("去",B6961)),ISNUMBER(SEARCH("入",B6961)))),"Ambiguous",IF(ISNUMBER(SEARCH("平",B6961)),"平","仄")))</x:f>
        <x:v>仄</x:v>
      </x:c>
      <x:c r="K6961" s="6" t="str">
        <x:f>IF(D6961="","",IF(AND(ISNUMBER(SEARCH("平",D6961)),OR(ISNUMBER(SEARCH("上",D6961)),ISNUMBER(SEARCH("去",D6961)),ISNUMBER(SEARCH("入",D6961)))),"Ambiguous",IF(ISNUMBER(SEARCH("平",D6961)),"平","仄")))</x:f>
        <x:v>仄</x:v>
      </x:c>
      <x:c r="L6961" s="7" t="str">
        <x:v>Pingshui main list expansion</x:v>
      </x:c>
    </x:row>
    <x:row r="6962">
      <x:c r="A6962" s="5" t="str">
        <x:v>昳</x:v>
      </x:c>
      <x:c r="B6962" s="6" t="str">
        <x:v>入</x:v>
      </x:c>
      <x:c r="C6962" s="6" t="str">
        <x:f>IF(B6962="","Needs decision","Ready")</x:f>
        <x:v>Ready</x:v>
      </x:c>
      <x:c r="D6962" s="6" t="str">
        <x:v>入</x:v>
      </x:c>
      <x:c r="E6962" s="6" t="str"/>
      <x:c r="F6962" s="6" t="str">
        <x:v>入聲九屑</x:v>
      </x:c>
      <x:c r="G6962" s="6" t="str">
        <x:v>Pingshui main list, Wikisource-derived DOCX</x:v>
      </x:c>
      <x:c r="H6962" s="6" t="str"/>
      <x:c r="I6962" s="6" t="str">
        <x:v>Pingshui main-list expansion; 詞 entries ignored</x:v>
      </x:c>
      <x:c r="J6962" s="6" t="str">
        <x:f>IF(B6962="","",IF(AND(ISNUMBER(SEARCH("平",B6962)),OR(ISNUMBER(SEARCH("上",B6962)),ISNUMBER(SEARCH("去",B6962)),ISNUMBER(SEARCH("入",B6962)))),"Ambiguous",IF(ISNUMBER(SEARCH("平",B6962)),"平","仄")))</x:f>
        <x:v>仄</x:v>
      </x:c>
      <x:c r="K6962" s="6" t="str">
        <x:f>IF(D6962="","",IF(AND(ISNUMBER(SEARCH("平",D6962)),OR(ISNUMBER(SEARCH("上",D6962)),ISNUMBER(SEARCH("去",D6962)),ISNUMBER(SEARCH("入",D6962)))),"Ambiguous",IF(ISNUMBER(SEARCH("平",D6962)),"平","仄")))</x:f>
        <x:v>仄</x:v>
      </x:c>
      <x:c r="L6962" s="7" t="str">
        <x:v>Pingshui main list expansion</x:v>
      </x:c>
    </x:row>
    <x:row r="6963">
      <x:c r="A6963" s="5" t="str">
        <x:v>晟</x:v>
      </x:c>
      <x:c r="B6963" s="6" t="str">
        <x:v>去</x:v>
      </x:c>
      <x:c r="C6963" s="6" t="str">
        <x:f>IF(B6963="","Needs decision","Ready")</x:f>
        <x:v>Ready</x:v>
      </x:c>
      <x:c r="D6963" s="6" t="str">
        <x:v>去</x:v>
      </x:c>
      <x:c r="E6963" s="6" t="str"/>
      <x:c r="F6963" s="6" t="str">
        <x:v>去聲二十四敬</x:v>
      </x:c>
      <x:c r="G6963" s="6" t="str">
        <x:v>Pingshui main list, Wikisource-derived DOCX</x:v>
      </x:c>
      <x:c r="H6963" s="6" t="str"/>
      <x:c r="I6963" s="6" t="str">
        <x:v>Pingshui main-list expansion; 詞 entries ignored</x:v>
      </x:c>
      <x:c r="J6963" s="6" t="str">
        <x:f>IF(B6963="","",IF(AND(ISNUMBER(SEARCH("平",B6963)),OR(ISNUMBER(SEARCH("上",B6963)),ISNUMBER(SEARCH("去",B6963)),ISNUMBER(SEARCH("入",B6963)))),"Ambiguous",IF(ISNUMBER(SEARCH("平",B6963)),"平","仄")))</x:f>
        <x:v>仄</x:v>
      </x:c>
      <x:c r="K6963" s="6" t="str">
        <x:f>IF(D6963="","",IF(AND(ISNUMBER(SEARCH("平",D6963)),OR(ISNUMBER(SEARCH("上",D6963)),ISNUMBER(SEARCH("去",D6963)),ISNUMBER(SEARCH("入",D6963)))),"Ambiguous",IF(ISNUMBER(SEARCH("平",D6963)),"平","仄")))</x:f>
        <x:v>仄</x:v>
      </x:c>
      <x:c r="L6963" s="7" t="str">
        <x:v>Pingshui main list expansion</x:v>
      </x:c>
    </x:row>
    <x:row r="6964">
      <x:c r="A6964" s="5" t="str">
        <x:v>晡</x:v>
      </x:c>
      <x:c r="B6964" s="6" t="str">
        <x:v>平</x:v>
      </x:c>
      <x:c r="C6964" s="6" t="str">
        <x:f>IF(B6964="","Needs decision","Ready")</x:f>
        <x:v>Ready</x:v>
      </x:c>
      <x:c r="D6964" s="6" t="str">
        <x:v>平</x:v>
      </x:c>
      <x:c r="E6964" s="6" t="str"/>
      <x:c r="F6964" s="6" t="str">
        <x:v>上平聲七虞</x:v>
      </x:c>
      <x:c r="G6964" s="6" t="str">
        <x:v>Pingshui main list, Wikisource-derived DOCX</x:v>
      </x:c>
      <x:c r="H6964" s="6" t="str"/>
      <x:c r="I6964" s="6" t="str">
        <x:v>Pingshui main-list expansion; 詞 entries ignored</x:v>
      </x:c>
      <x:c r="J6964" s="6" t="str">
        <x:f>IF(B6964="","",IF(AND(ISNUMBER(SEARCH("平",B6964)),OR(ISNUMBER(SEARCH("上",B6964)),ISNUMBER(SEARCH("去",B6964)),ISNUMBER(SEARCH("入",B6964)))),"Ambiguous",IF(ISNUMBER(SEARCH("平",B6964)),"平","仄")))</x:f>
        <x:v>平</x:v>
      </x:c>
      <x:c r="K6964" s="6" t="str">
        <x:f>IF(D6964="","",IF(AND(ISNUMBER(SEARCH("平",D6964)),OR(ISNUMBER(SEARCH("上",D6964)),ISNUMBER(SEARCH("去",D6964)),ISNUMBER(SEARCH("入",D6964)))),"Ambiguous",IF(ISNUMBER(SEARCH("平",D6964)),"平","仄")))</x:f>
        <x:v>平</x:v>
      </x:c>
      <x:c r="L6964" s="7" t="str">
        <x:v>Pingshui main list expansion</x:v>
      </x:c>
    </x:row>
    <x:row r="6965">
      <x:c r="A6965" s="5" t="str">
        <x:v>暆</x:v>
      </x:c>
      <x:c r="B6965" s="6" t="str">
        <x:v>平</x:v>
      </x:c>
      <x:c r="C6965" s="6" t="str">
        <x:f>IF(B6965="","Needs decision","Ready")</x:f>
        <x:v>Ready</x:v>
      </x:c>
      <x:c r="D6965" s="6" t="str">
        <x:v>平</x:v>
      </x:c>
      <x:c r="E6965" s="6" t="str"/>
      <x:c r="F6965" s="6" t="str">
        <x:v>上平聲四支</x:v>
      </x:c>
      <x:c r="G6965" s="6" t="str">
        <x:v>Pingshui main list, Wikisource-derived DOCX</x:v>
      </x:c>
      <x:c r="H6965" s="6" t="str"/>
      <x:c r="I6965" s="6" t="str">
        <x:v>Pingshui main-list expansion; 詞 entries ignored</x:v>
      </x:c>
      <x:c r="J6965" s="6" t="str">
        <x:f>IF(B6965="","",IF(AND(ISNUMBER(SEARCH("平",B6965)),OR(ISNUMBER(SEARCH("上",B6965)),ISNUMBER(SEARCH("去",B6965)),ISNUMBER(SEARCH("入",B6965)))),"Ambiguous",IF(ISNUMBER(SEARCH("平",B6965)),"平","仄")))</x:f>
        <x:v>平</x:v>
      </x:c>
      <x:c r="K6965" s="6" t="str">
        <x:f>IF(D6965="","",IF(AND(ISNUMBER(SEARCH("平",D6965)),OR(ISNUMBER(SEARCH("上",D6965)),ISNUMBER(SEARCH("去",D6965)),ISNUMBER(SEARCH("入",D6965)))),"Ambiguous",IF(ISNUMBER(SEARCH("平",D6965)),"平","仄")))</x:f>
        <x:v>平</x:v>
      </x:c>
      <x:c r="L6965" s="7" t="str">
        <x:v>Pingshui main list expansion</x:v>
      </x:c>
    </x:row>
    <x:row r="6966">
      <x:c r="A6966" s="5" t="str">
        <x:v>暍</x:v>
      </x:c>
      <x:c r="B6966" s="6" t="str">
        <x:v>入</x:v>
      </x:c>
      <x:c r="C6966" s="6" t="str">
        <x:f>IF(B6966="","Needs decision","Ready")</x:f>
        <x:v>Ready</x:v>
      </x:c>
      <x:c r="D6966" s="6" t="str">
        <x:v>入</x:v>
      </x:c>
      <x:c r="E6966" s="6" t="str"/>
      <x:c r="F6966" s="6" t="str">
        <x:v>入聲六月; 入聲七曷</x:v>
      </x:c>
      <x:c r="G6966" s="6" t="str">
        <x:v>Pingshui main list, Wikisource-derived DOCX</x:v>
      </x:c>
      <x:c r="H6966" s="6" t="str"/>
      <x:c r="I6966" s="6" t="str">
        <x:v>Pingshui main-list expansion; 詞 entries ignored</x:v>
      </x:c>
      <x:c r="J6966" s="6" t="str">
        <x:f>IF(B6966="","",IF(AND(ISNUMBER(SEARCH("平",B6966)),OR(ISNUMBER(SEARCH("上",B6966)),ISNUMBER(SEARCH("去",B6966)),ISNUMBER(SEARCH("入",B6966)))),"Ambiguous",IF(ISNUMBER(SEARCH("平",B6966)),"平","仄")))</x:f>
        <x:v>仄</x:v>
      </x:c>
      <x:c r="K6966" s="6" t="str">
        <x:f>IF(D6966="","",IF(AND(ISNUMBER(SEARCH("平",D6966)),OR(ISNUMBER(SEARCH("上",D6966)),ISNUMBER(SEARCH("去",D6966)),ISNUMBER(SEARCH("入",D6966)))),"Ambiguous",IF(ISNUMBER(SEARCH("平",D6966)),"平","仄")))</x:f>
        <x:v>仄</x:v>
      </x:c>
      <x:c r="L6966" s="7" t="str">
        <x:v>Pingshui main list expansion</x:v>
      </x:c>
    </x:row>
    <x:row r="6967">
      <x:c r="A6967" s="5" t="str">
        <x:v>曭</x:v>
      </x:c>
      <x:c r="B6967" s="6" t="str">
        <x:v>上</x:v>
      </x:c>
      <x:c r="C6967" s="6" t="str">
        <x:f>IF(B6967="","Needs decision","Ready")</x:f>
        <x:v>Ready</x:v>
      </x:c>
      <x:c r="D6967" s="6" t="str">
        <x:v>上</x:v>
      </x:c>
      <x:c r="E6967" s="6" t="str"/>
      <x:c r="F6967" s="6" t="str">
        <x:v>上聲二十二養</x:v>
      </x:c>
      <x:c r="G6967" s="6" t="str">
        <x:v>Pingshui main list, Wikisource-derived DOCX</x:v>
      </x:c>
      <x:c r="H6967" s="6" t="str"/>
      <x:c r="I6967" s="6" t="str">
        <x:v>Pingshui main-list expansion; 詞 entries ignored</x:v>
      </x:c>
      <x:c r="J6967" s="6" t="str">
        <x:f>IF(B6967="","",IF(AND(ISNUMBER(SEARCH("平",B6967)),OR(ISNUMBER(SEARCH("上",B6967)),ISNUMBER(SEARCH("去",B6967)),ISNUMBER(SEARCH("入",B6967)))),"Ambiguous",IF(ISNUMBER(SEARCH("平",B6967)),"平","仄")))</x:f>
        <x:v>仄</x:v>
      </x:c>
      <x:c r="K6967" s="6" t="str">
        <x:f>IF(D6967="","",IF(AND(ISNUMBER(SEARCH("平",D6967)),OR(ISNUMBER(SEARCH("上",D6967)),ISNUMBER(SEARCH("去",D6967)),ISNUMBER(SEARCH("入",D6967)))),"Ambiguous",IF(ISNUMBER(SEARCH("平",D6967)),"平","仄")))</x:f>
        <x:v>仄</x:v>
      </x:c>
      <x:c r="L6967" s="7" t="str">
        <x:v>Pingshui main list expansion</x:v>
      </x:c>
    </x:row>
    <x:row r="6968">
      <x:c r="A6968" s="5" t="str">
        <x:v>朐</x:v>
      </x:c>
      <x:c r="B6968" s="6" t="str">
        <x:v>平</x:v>
      </x:c>
      <x:c r="C6968" s="6" t="str">
        <x:f>IF(B6968="","Needs decision","Ready")</x:f>
        <x:v>Ready</x:v>
      </x:c>
      <x:c r="D6968" s="6" t="str">
        <x:v>平</x:v>
      </x:c>
      <x:c r="E6968" s="6" t="str"/>
      <x:c r="F6968" s="6" t="str">
        <x:v>上平聲七虞</x:v>
      </x:c>
      <x:c r="G6968" s="6" t="str">
        <x:v>Pingshui main list, Wikisource-derived DOCX</x:v>
      </x:c>
      <x:c r="H6968" s="6" t="str"/>
      <x:c r="I6968" s="6" t="str">
        <x:v>Pingshui main-list expansion; 詞 entries ignored</x:v>
      </x:c>
      <x:c r="J6968" s="6" t="str">
        <x:f>IF(B6968="","",IF(AND(ISNUMBER(SEARCH("平",B6968)),OR(ISNUMBER(SEARCH("上",B6968)),ISNUMBER(SEARCH("去",B6968)),ISNUMBER(SEARCH("入",B6968)))),"Ambiguous",IF(ISNUMBER(SEARCH("平",B6968)),"平","仄")))</x:f>
        <x:v>平</x:v>
      </x:c>
      <x:c r="K6968" s="6" t="str">
        <x:f>IF(D6968="","",IF(AND(ISNUMBER(SEARCH("平",D6968)),OR(ISNUMBER(SEARCH("上",D6968)),ISNUMBER(SEARCH("去",D6968)),ISNUMBER(SEARCH("入",D6968)))),"Ambiguous",IF(ISNUMBER(SEARCH("平",D6968)),"平","仄")))</x:f>
        <x:v>平</x:v>
      </x:c>
      <x:c r="L6968" s="7" t="str">
        <x:v>Pingshui main list expansion</x:v>
      </x:c>
    </x:row>
    <x:row r="6969">
      <x:c r="A6969" s="5" t="str">
        <x:v>朒</x:v>
      </x:c>
      <x:c r="B6969" s="6" t="str">
        <x:v>入</x:v>
      </x:c>
      <x:c r="C6969" s="6" t="str">
        <x:f>IF(B6969="","Needs decision","Ready")</x:f>
        <x:v>Ready</x:v>
      </x:c>
      <x:c r="D6969" s="6" t="str">
        <x:v>入</x:v>
      </x:c>
      <x:c r="E6969" s="6" t="str"/>
      <x:c r="F6969" s="6" t="str">
        <x:v>入聲一屋; 入聲八黠</x:v>
      </x:c>
      <x:c r="G6969" s="6" t="str">
        <x:v>Pingshui main list, Wikisource-derived DOCX</x:v>
      </x:c>
      <x:c r="H6969" s="6" t="str"/>
      <x:c r="I6969" s="6" t="str">
        <x:v>Pingshui main-list expansion; 詞 entries ignored</x:v>
      </x:c>
      <x:c r="J6969" s="6" t="str">
        <x:f>IF(B6969="","",IF(AND(ISNUMBER(SEARCH("平",B6969)),OR(ISNUMBER(SEARCH("上",B6969)),ISNUMBER(SEARCH("去",B6969)),ISNUMBER(SEARCH("入",B6969)))),"Ambiguous",IF(ISNUMBER(SEARCH("平",B6969)),"平","仄")))</x:f>
        <x:v>仄</x:v>
      </x:c>
      <x:c r="K6969" s="6" t="str">
        <x:f>IF(D6969="","",IF(AND(ISNUMBER(SEARCH("平",D6969)),OR(ISNUMBER(SEARCH("上",D6969)),ISNUMBER(SEARCH("去",D6969)),ISNUMBER(SEARCH("入",D6969)))),"Ambiguous",IF(ISNUMBER(SEARCH("平",D6969)),"平","仄")))</x:f>
        <x:v>仄</x:v>
      </x:c>
      <x:c r="L6969" s="7" t="str">
        <x:v>Pingshui main list expansion</x:v>
      </x:c>
    </x:row>
    <x:row r="6970">
      <x:c r="A6970" s="5" t="str">
        <x:v>杅</x:v>
      </x:c>
      <x:c r="B6970" s="6" t="str">
        <x:v>平</x:v>
      </x:c>
      <x:c r="C6970" s="6" t="str">
        <x:f>IF(B6970="","Needs decision","Ready")</x:f>
        <x:v>Ready</x:v>
      </x:c>
      <x:c r="D6970" s="6" t="str">
        <x:v>平</x:v>
      </x:c>
      <x:c r="E6970" s="6" t="str"/>
      <x:c r="F6970" s="6" t="str">
        <x:v>上平聲七虞</x:v>
      </x:c>
      <x:c r="G6970" s="6" t="str">
        <x:v>Pingshui main list, Wikisource-derived DOCX</x:v>
      </x:c>
      <x:c r="H6970" s="6" t="str"/>
      <x:c r="I6970" s="6" t="str">
        <x:v>Pingshui main-list expansion; 詞 entries ignored</x:v>
      </x:c>
      <x:c r="J6970" s="6" t="str">
        <x:f>IF(B6970="","",IF(AND(ISNUMBER(SEARCH("平",B6970)),OR(ISNUMBER(SEARCH("上",B6970)),ISNUMBER(SEARCH("去",B6970)),ISNUMBER(SEARCH("入",B6970)))),"Ambiguous",IF(ISNUMBER(SEARCH("平",B6970)),"平","仄")))</x:f>
        <x:v>平</x:v>
      </x:c>
      <x:c r="K6970" s="6" t="str">
        <x:f>IF(D6970="","",IF(AND(ISNUMBER(SEARCH("平",D6970)),OR(ISNUMBER(SEARCH("上",D6970)),ISNUMBER(SEARCH("去",D6970)),ISNUMBER(SEARCH("入",D6970)))),"Ambiguous",IF(ISNUMBER(SEARCH("平",D6970)),"平","仄")))</x:f>
        <x:v>平</x:v>
      </x:c>
      <x:c r="L6970" s="7" t="str">
        <x:v>Pingshui main list expansion</x:v>
      </x:c>
    </x:row>
    <x:row r="6971">
      <x:c r="A6971" s="5" t="str">
        <x:v>杇</x:v>
      </x:c>
      <x:c r="B6971" s="6" t="str">
        <x:v>平</x:v>
      </x:c>
      <x:c r="C6971" s="6" t="str">
        <x:f>IF(B6971="","Needs decision","Ready")</x:f>
        <x:v>Ready</x:v>
      </x:c>
      <x:c r="D6971" s="6" t="str">
        <x:v>平</x:v>
      </x:c>
      <x:c r="E6971" s="6" t="str"/>
      <x:c r="F6971" s="6" t="str">
        <x:v>上平聲七虞</x:v>
      </x:c>
      <x:c r="G6971" s="6" t="str">
        <x:v>Pingshui main list, Wikisource-derived DOCX</x:v>
      </x:c>
      <x:c r="H6971" s="6" t="str"/>
      <x:c r="I6971" s="6" t="str">
        <x:v>Pingshui main-list expansion; 詞 entries ignored</x:v>
      </x:c>
      <x:c r="J6971" s="6" t="str">
        <x:f>IF(B6971="","",IF(AND(ISNUMBER(SEARCH("平",B6971)),OR(ISNUMBER(SEARCH("上",B6971)),ISNUMBER(SEARCH("去",B6971)),ISNUMBER(SEARCH("入",B6971)))),"Ambiguous",IF(ISNUMBER(SEARCH("平",B6971)),"平","仄")))</x:f>
        <x:v>平</x:v>
      </x:c>
      <x:c r="K6971" s="6" t="str">
        <x:f>IF(D6971="","",IF(AND(ISNUMBER(SEARCH("平",D6971)),OR(ISNUMBER(SEARCH("上",D6971)),ISNUMBER(SEARCH("去",D6971)),ISNUMBER(SEARCH("入",D6971)))),"Ambiguous",IF(ISNUMBER(SEARCH("平",D6971)),"平","仄")))</x:f>
        <x:v>平</x:v>
      </x:c>
      <x:c r="L6971" s="7" t="str">
        <x:v>Pingshui main list expansion</x:v>
      </x:c>
    </x:row>
    <x:row r="6972">
      <x:c r="A6972" s="5" t="str">
        <x:v>杈</x:v>
      </x:c>
      <x:c r="B6972" s="6" t="str">
        <x:v>平</x:v>
      </x:c>
      <x:c r="C6972" s="6" t="str">
        <x:f>IF(B6972="","Needs decision","Ready")</x:f>
        <x:v>Ready</x:v>
      </x:c>
      <x:c r="D6972" s="6" t="str">
        <x:v>平</x:v>
      </x:c>
      <x:c r="E6972" s="6" t="str"/>
      <x:c r="F6972" s="6" t="str">
        <x:v>下平聲六麻</x:v>
      </x:c>
      <x:c r="G6972" s="6" t="str">
        <x:v>Pingshui main list, Wikisource-derived DOCX</x:v>
      </x:c>
      <x:c r="H6972" s="6" t="str"/>
      <x:c r="I6972" s="6" t="str">
        <x:v>Pingshui main-list expansion; 詞 entries ignored</x:v>
      </x:c>
      <x:c r="J6972" s="6" t="str">
        <x:f>IF(B6972="","",IF(AND(ISNUMBER(SEARCH("平",B6972)),OR(ISNUMBER(SEARCH("上",B6972)),ISNUMBER(SEARCH("去",B6972)),ISNUMBER(SEARCH("入",B6972)))),"Ambiguous",IF(ISNUMBER(SEARCH("平",B6972)),"平","仄")))</x:f>
        <x:v>平</x:v>
      </x:c>
      <x:c r="K6972" s="6" t="str">
        <x:f>IF(D6972="","",IF(AND(ISNUMBER(SEARCH("平",D6972)),OR(ISNUMBER(SEARCH("上",D6972)),ISNUMBER(SEARCH("去",D6972)),ISNUMBER(SEARCH("入",D6972)))),"Ambiguous",IF(ISNUMBER(SEARCH("平",D6972)),"平","仄")))</x:f>
        <x:v>平</x:v>
      </x:c>
      <x:c r="L6972" s="7" t="str">
        <x:v>Pingshui main list expansion</x:v>
      </x:c>
    </x:row>
    <x:row r="6973">
      <x:c r="A6973" s="5" t="str">
        <x:v>杗</x:v>
      </x:c>
      <x:c r="B6973" s="6" t="str">
        <x:v>平</x:v>
      </x:c>
      <x:c r="C6973" s="6" t="str">
        <x:f>IF(B6973="","Needs decision","Ready")</x:f>
        <x:v>Ready</x:v>
      </x:c>
      <x:c r="D6973" s="6" t="str">
        <x:v>平</x:v>
      </x:c>
      <x:c r="E6973" s="6" t="str"/>
      <x:c r="F6973" s="6" t="str">
        <x:v>下平聲七陽</x:v>
      </x:c>
      <x:c r="G6973" s="6" t="str">
        <x:v>Pingshui main list, Wikisource-derived DOCX</x:v>
      </x:c>
      <x:c r="H6973" s="6" t="str"/>
      <x:c r="I6973" s="6" t="str">
        <x:v>Pingshui main-list expansion; 詞 entries ignored</x:v>
      </x:c>
      <x:c r="J6973" s="6" t="str">
        <x:f>IF(B6973="","",IF(AND(ISNUMBER(SEARCH("平",B6973)),OR(ISNUMBER(SEARCH("上",B6973)),ISNUMBER(SEARCH("去",B6973)),ISNUMBER(SEARCH("入",B6973)))),"Ambiguous",IF(ISNUMBER(SEARCH("平",B6973)),"平","仄")))</x:f>
        <x:v>平</x:v>
      </x:c>
      <x:c r="K6973" s="6" t="str">
        <x:f>IF(D6973="","",IF(AND(ISNUMBER(SEARCH("平",D6973)),OR(ISNUMBER(SEARCH("上",D6973)),ISNUMBER(SEARCH("去",D6973)),ISNUMBER(SEARCH("入",D6973)))),"Ambiguous",IF(ISNUMBER(SEARCH("平",D6973)),"平","仄")))</x:f>
        <x:v>平</x:v>
      </x:c>
      <x:c r="L6973" s="7" t="str">
        <x:v>Pingshui main list expansion</x:v>
      </x:c>
    </x:row>
    <x:row r="6974">
      <x:c r="A6974" s="5" t="str">
        <x:v>杙</x:v>
      </x:c>
      <x:c r="B6974" s="6" t="str">
        <x:v>入</x:v>
      </x:c>
      <x:c r="C6974" s="6" t="str">
        <x:f>IF(B6974="","Needs decision","Ready")</x:f>
        <x:v>Ready</x:v>
      </x:c>
      <x:c r="D6974" s="6" t="str">
        <x:v>入</x:v>
      </x:c>
      <x:c r="E6974" s="6" t="str"/>
      <x:c r="F6974" s="6" t="str">
        <x:v>入聲十三職</x:v>
      </x:c>
      <x:c r="G6974" s="6" t="str">
        <x:v>Pingshui main list, Wikisource-derived DOCX</x:v>
      </x:c>
      <x:c r="H6974" s="6" t="str"/>
      <x:c r="I6974" s="6" t="str">
        <x:v>Pingshui main-list expansion; 詞 entries ignored</x:v>
      </x:c>
      <x:c r="J6974" s="6" t="str">
        <x:f>IF(B6974="","",IF(AND(ISNUMBER(SEARCH("平",B6974)),OR(ISNUMBER(SEARCH("上",B6974)),ISNUMBER(SEARCH("去",B6974)),ISNUMBER(SEARCH("入",B6974)))),"Ambiguous",IF(ISNUMBER(SEARCH("平",B6974)),"平","仄")))</x:f>
        <x:v>仄</x:v>
      </x:c>
      <x:c r="K6974" s="6" t="str">
        <x:f>IF(D6974="","",IF(AND(ISNUMBER(SEARCH("平",D6974)),OR(ISNUMBER(SEARCH("上",D6974)),ISNUMBER(SEARCH("去",D6974)),ISNUMBER(SEARCH("入",D6974)))),"Ambiguous",IF(ISNUMBER(SEARCH("平",D6974)),"平","仄")))</x:f>
        <x:v>仄</x:v>
      </x:c>
      <x:c r="L6974" s="7" t="str">
        <x:v>Pingshui main list expansion</x:v>
      </x:c>
    </x:row>
    <x:row r="6975">
      <x:c r="A6975" s="5" t="str">
        <x:v>杬</x:v>
      </x:c>
      <x:c r="B6975" s="6" t="str">
        <x:v>平</x:v>
      </x:c>
      <x:c r="C6975" s="6" t="str">
        <x:f>IF(B6975="","Needs decision","Ready")</x:f>
        <x:v>Ready</x:v>
      </x:c>
      <x:c r="D6975" s="6" t="str">
        <x:v>平</x:v>
      </x:c>
      <x:c r="E6975" s="6" t="str"/>
      <x:c r="F6975" s="6" t="str">
        <x:v>上平聲十三元</x:v>
      </x:c>
      <x:c r="G6975" s="6" t="str">
        <x:v>Pingshui main list, Wikisource-derived DOCX</x:v>
      </x:c>
      <x:c r="H6975" s="6" t="str"/>
      <x:c r="I6975" s="6" t="str">
        <x:v>Pingshui main-list expansion; 詞 entries ignored</x:v>
      </x:c>
      <x:c r="J6975" s="6" t="str">
        <x:f>IF(B6975="","",IF(AND(ISNUMBER(SEARCH("平",B6975)),OR(ISNUMBER(SEARCH("上",B6975)),ISNUMBER(SEARCH("去",B6975)),ISNUMBER(SEARCH("入",B6975)))),"Ambiguous",IF(ISNUMBER(SEARCH("平",B6975)),"平","仄")))</x:f>
        <x:v>平</x:v>
      </x:c>
      <x:c r="K6975" s="6" t="str">
        <x:f>IF(D6975="","",IF(AND(ISNUMBER(SEARCH("平",D6975)),OR(ISNUMBER(SEARCH("上",D6975)),ISNUMBER(SEARCH("去",D6975)),ISNUMBER(SEARCH("入",D6975)))),"Ambiguous",IF(ISNUMBER(SEARCH("平",D6975)),"平","仄")))</x:f>
        <x:v>平</x:v>
      </x:c>
      <x:c r="L6975" s="7" t="str">
        <x:v>Pingshui main list expansion</x:v>
      </x:c>
    </x:row>
    <x:row r="6976">
      <x:c r="A6976" s="5" t="str">
        <x:v>杴</x:v>
      </x:c>
      <x:c r="B6976" s="6" t="str">
        <x:v>平</x:v>
      </x:c>
      <x:c r="C6976" s="6" t="str">
        <x:f>IF(B6976="","Needs decision","Ready")</x:f>
        <x:v>Ready</x:v>
      </x:c>
      <x:c r="D6976" s="6" t="str">
        <x:v>平</x:v>
      </x:c>
      <x:c r="E6976" s="6" t="str"/>
      <x:c r="F6976" s="6" t="str">
        <x:v>下平聲十四鹽; 下平聲十五咸</x:v>
      </x:c>
      <x:c r="G6976" s="6" t="str">
        <x:v>Pingshui main list, Wikisource-derived DOCX</x:v>
      </x:c>
      <x:c r="H6976" s="6" t="str"/>
      <x:c r="I6976" s="6" t="str">
        <x:v>Pingshui main-list expansion; 詞 entries ignored</x:v>
      </x:c>
      <x:c r="J6976" s="6" t="str">
        <x:f>IF(B6976="","",IF(AND(ISNUMBER(SEARCH("平",B6976)),OR(ISNUMBER(SEARCH("上",B6976)),ISNUMBER(SEARCH("去",B6976)),ISNUMBER(SEARCH("入",B6976)))),"Ambiguous",IF(ISNUMBER(SEARCH("平",B6976)),"平","仄")))</x:f>
        <x:v>平</x:v>
      </x:c>
      <x:c r="K6976" s="6" t="str">
        <x:f>IF(D6976="","",IF(AND(ISNUMBER(SEARCH("平",D6976)),OR(ISNUMBER(SEARCH("上",D6976)),ISNUMBER(SEARCH("去",D6976)),ISNUMBER(SEARCH("入",D6976)))),"Ambiguous",IF(ISNUMBER(SEARCH("平",D6976)),"平","仄")))</x:f>
        <x:v>平</x:v>
      </x:c>
      <x:c r="L6976" s="7" t="str">
        <x:v>Pingshui main list expansion</x:v>
      </x:c>
    </x:row>
    <x:row r="6977">
      <x:c r="A6977" s="5" t="str">
        <x:v>杸</x:v>
      </x:c>
      <x:c r="B6977" s="6" t="str">
        <x:v>平</x:v>
      </x:c>
      <x:c r="C6977" s="6" t="str">
        <x:f>IF(B6977="","Needs decision","Ready")</x:f>
        <x:v>Ready</x:v>
      </x:c>
      <x:c r="D6977" s="6" t="str">
        <x:v>平</x:v>
      </x:c>
      <x:c r="E6977" s="6" t="str"/>
      <x:c r="F6977" s="6" t="str">
        <x:v>上平聲七虞</x:v>
      </x:c>
      <x:c r="G6977" s="6" t="str">
        <x:v>Pingshui main list, Wikisource-derived DOCX</x:v>
      </x:c>
      <x:c r="H6977" s="6" t="str"/>
      <x:c r="I6977" s="6" t="str">
        <x:v>Pingshui main-list expansion; 詞 entries ignored</x:v>
      </x:c>
      <x:c r="J6977" s="6" t="str">
        <x:f>IF(B6977="","",IF(AND(ISNUMBER(SEARCH("平",B6977)),OR(ISNUMBER(SEARCH("上",B6977)),ISNUMBER(SEARCH("去",B6977)),ISNUMBER(SEARCH("入",B6977)))),"Ambiguous",IF(ISNUMBER(SEARCH("平",B6977)),"平","仄")))</x:f>
        <x:v>平</x:v>
      </x:c>
      <x:c r="K6977" s="6" t="str">
        <x:f>IF(D6977="","",IF(AND(ISNUMBER(SEARCH("平",D6977)),OR(ISNUMBER(SEARCH("上",D6977)),ISNUMBER(SEARCH("去",D6977)),ISNUMBER(SEARCH("入",D6977)))),"Ambiguous",IF(ISNUMBER(SEARCH("平",D6977)),"平","仄")))</x:f>
        <x:v>平</x:v>
      </x:c>
      <x:c r="L6977" s="7" t="str">
        <x:v>Pingshui main list expansion</x:v>
      </x:c>
    </x:row>
    <x:row r="6978">
      <x:c r="A6978" s="5" t="str">
        <x:v>枒</x:v>
      </x:c>
      <x:c r="B6978" s="6" t="str">
        <x:v>平</x:v>
      </x:c>
      <x:c r="C6978" s="6" t="str">
        <x:f>IF(B6978="","Needs decision","Ready")</x:f>
        <x:v>Ready</x:v>
      </x:c>
      <x:c r="D6978" s="6" t="str">
        <x:v>平</x:v>
      </x:c>
      <x:c r="E6978" s="6" t="str"/>
      <x:c r="F6978" s="6" t="str">
        <x:v>下平聲六麻</x:v>
      </x:c>
      <x:c r="G6978" s="6" t="str">
        <x:v>Pingshui main list, Wikisource-derived DOCX</x:v>
      </x:c>
      <x:c r="H6978" s="6" t="str"/>
      <x:c r="I6978" s="6" t="str">
        <x:v>Pingshui main-list expansion; 詞 entries ignored</x:v>
      </x:c>
      <x:c r="J6978" s="6" t="str">
        <x:f>IF(B6978="","",IF(AND(ISNUMBER(SEARCH("平",B6978)),OR(ISNUMBER(SEARCH("上",B6978)),ISNUMBER(SEARCH("去",B6978)),ISNUMBER(SEARCH("入",B6978)))),"Ambiguous",IF(ISNUMBER(SEARCH("平",B6978)),"平","仄")))</x:f>
        <x:v>平</x:v>
      </x:c>
      <x:c r="K6978" s="6" t="str">
        <x:f>IF(D6978="","",IF(AND(ISNUMBER(SEARCH("平",D6978)),OR(ISNUMBER(SEARCH("上",D6978)),ISNUMBER(SEARCH("去",D6978)),ISNUMBER(SEARCH("入",D6978)))),"Ambiguous",IF(ISNUMBER(SEARCH("平",D6978)),"平","仄")))</x:f>
        <x:v>平</x:v>
      </x:c>
      <x:c r="L6978" s="7" t="str">
        <x:v>Pingshui main list expansion</x:v>
      </x:c>
    </x:row>
    <x:row r="6979">
      <x:c r="A6979" s="5" t="str">
        <x:v>枓</x:v>
      </x:c>
      <x:c r="B6979" s="6" t="str">
        <x:v>上</x:v>
      </x:c>
      <x:c r="C6979" s="6" t="str">
        <x:f>IF(B6979="","Needs decision","Ready")</x:f>
        <x:v>Ready</x:v>
      </x:c>
      <x:c r="D6979" s="6" t="str">
        <x:v>上</x:v>
      </x:c>
      <x:c r="E6979" s="6" t="str"/>
      <x:c r="F6979" s="6" t="str">
        <x:v>上聲二十五有</x:v>
      </x:c>
      <x:c r="G6979" s="6" t="str">
        <x:v>Pingshui main list, Wikisource-derived DOCX</x:v>
      </x:c>
      <x:c r="H6979" s="6" t="str"/>
      <x:c r="I6979" s="6" t="str">
        <x:v>Pingshui main-list expansion; 詞 entries ignored</x:v>
      </x:c>
      <x:c r="J6979" s="6" t="str">
        <x:f>IF(B6979="","",IF(AND(ISNUMBER(SEARCH("平",B6979)),OR(ISNUMBER(SEARCH("上",B6979)),ISNUMBER(SEARCH("去",B6979)),ISNUMBER(SEARCH("入",B6979)))),"Ambiguous",IF(ISNUMBER(SEARCH("平",B6979)),"平","仄")))</x:f>
        <x:v>仄</x:v>
      </x:c>
      <x:c r="K6979" s="6" t="str">
        <x:f>IF(D6979="","",IF(AND(ISNUMBER(SEARCH("平",D6979)),OR(ISNUMBER(SEARCH("上",D6979)),ISNUMBER(SEARCH("去",D6979)),ISNUMBER(SEARCH("入",D6979)))),"Ambiguous",IF(ISNUMBER(SEARCH("平",D6979)),"平","仄")))</x:f>
        <x:v>仄</x:v>
      </x:c>
      <x:c r="L6979" s="7" t="str">
        <x:v>Pingshui main list expansion</x:v>
      </x:c>
    </x:row>
    <x:row r="6980">
      <x:c r="A6980" s="5" t="str">
        <x:v>枮</x:v>
      </x:c>
      <x:c r="B6980" s="6" t="str">
        <x:v>平</x:v>
      </x:c>
      <x:c r="C6980" s="6" t="str">
        <x:f>IF(B6980="","Needs decision","Ready")</x:f>
        <x:v>Ready</x:v>
      </x:c>
      <x:c r="D6980" s="6" t="str">
        <x:v>平</x:v>
      </x:c>
      <x:c r="E6980" s="6" t="str"/>
      <x:c r="F6980" s="6" t="str">
        <x:v>下平聲十四鹽</x:v>
      </x:c>
      <x:c r="G6980" s="6" t="str">
        <x:v>Pingshui main list, Wikisource-derived DOCX</x:v>
      </x:c>
      <x:c r="H6980" s="6" t="str"/>
      <x:c r="I6980" s="6" t="str">
        <x:v>Pingshui main-list expansion; 詞 entries ignored</x:v>
      </x:c>
      <x:c r="J6980" s="6" t="str">
        <x:f>IF(B6980="","",IF(AND(ISNUMBER(SEARCH("平",B6980)),OR(ISNUMBER(SEARCH("上",B6980)),ISNUMBER(SEARCH("去",B6980)),ISNUMBER(SEARCH("入",B6980)))),"Ambiguous",IF(ISNUMBER(SEARCH("平",B6980)),"平","仄")))</x:f>
        <x:v>平</x:v>
      </x:c>
      <x:c r="K6980" s="6" t="str">
        <x:f>IF(D6980="","",IF(AND(ISNUMBER(SEARCH("平",D6980)),OR(ISNUMBER(SEARCH("上",D6980)),ISNUMBER(SEARCH("去",D6980)),ISNUMBER(SEARCH("入",D6980)))),"Ambiguous",IF(ISNUMBER(SEARCH("平",D6980)),"平","仄")))</x:f>
        <x:v>平</x:v>
      </x:c>
      <x:c r="L6980" s="7" t="str">
        <x:v>Pingshui main list expansion</x:v>
      </x:c>
    </x:row>
    <x:row r="6981">
      <x:c r="A6981" s="5" t="str">
        <x:v>枰</x:v>
      </x:c>
      <x:c r="B6981" s="6" t="str">
        <x:v>平</x:v>
      </x:c>
      <x:c r="C6981" s="6" t="str">
        <x:f>IF(B6981="","Needs decision","Ready")</x:f>
        <x:v>Ready</x:v>
      </x:c>
      <x:c r="D6981" s="6" t="str">
        <x:v>平</x:v>
      </x:c>
      <x:c r="E6981" s="6" t="str"/>
      <x:c r="F6981" s="6" t="str">
        <x:v>下平聲八庚</x:v>
      </x:c>
      <x:c r="G6981" s="6" t="str">
        <x:v>Pingshui main list, Wikisource-derived DOCX</x:v>
      </x:c>
      <x:c r="H6981" s="6" t="str"/>
      <x:c r="I6981" s="6" t="str">
        <x:v>Pingshui main-list expansion; 詞 entries ignored</x:v>
      </x:c>
      <x:c r="J6981" s="6" t="str">
        <x:f>IF(B6981="","",IF(AND(ISNUMBER(SEARCH("平",B6981)),OR(ISNUMBER(SEARCH("上",B6981)),ISNUMBER(SEARCH("去",B6981)),ISNUMBER(SEARCH("入",B6981)))),"Ambiguous",IF(ISNUMBER(SEARCH("平",B6981)),"平","仄")))</x:f>
        <x:v>平</x:v>
      </x:c>
      <x:c r="K6981" s="6" t="str">
        <x:f>IF(D6981="","",IF(AND(ISNUMBER(SEARCH("平",D6981)),OR(ISNUMBER(SEARCH("上",D6981)),ISNUMBER(SEARCH("去",D6981)),ISNUMBER(SEARCH("入",D6981)))),"Ambiguous",IF(ISNUMBER(SEARCH("平",D6981)),"平","仄")))</x:f>
        <x:v>平</x:v>
      </x:c>
      <x:c r="L6981" s="7" t="str">
        <x:v>Pingshui main list expansion</x:v>
      </x:c>
    </x:row>
    <x:row r="6982">
      <x:c r="A6982" s="5" t="str">
        <x:v>枷</x:v>
      </x:c>
      <x:c r="B6982" s="6" t="str">
        <x:v>平</x:v>
      </x:c>
      <x:c r="C6982" s="6" t="str">
        <x:f>IF(B6982="","Needs decision","Ready")</x:f>
        <x:v>Ready</x:v>
      </x:c>
      <x:c r="D6982" s="6" t="str">
        <x:v>平</x:v>
      </x:c>
      <x:c r="E6982" s="6" t="str"/>
      <x:c r="F6982" s="6" t="str">
        <x:v>下平聲五歌; 下平聲六麻</x:v>
      </x:c>
      <x:c r="G6982" s="6" t="str">
        <x:v>Pingshui main list, Wikisource-derived DOCX</x:v>
      </x:c>
      <x:c r="H6982" s="6" t="str"/>
      <x:c r="I6982" s="6" t="str">
        <x:v>Pingshui main-list expansion; 詞 entries ignored</x:v>
      </x:c>
      <x:c r="J6982" s="6" t="str">
        <x:f>IF(B6982="","",IF(AND(ISNUMBER(SEARCH("平",B6982)),OR(ISNUMBER(SEARCH("上",B6982)),ISNUMBER(SEARCH("去",B6982)),ISNUMBER(SEARCH("入",B6982)))),"Ambiguous",IF(ISNUMBER(SEARCH("平",B6982)),"平","仄")))</x:f>
        <x:v>平</x:v>
      </x:c>
      <x:c r="K6982" s="6" t="str">
        <x:f>IF(D6982="","",IF(AND(ISNUMBER(SEARCH("平",D6982)),OR(ISNUMBER(SEARCH("上",D6982)),ISNUMBER(SEARCH("去",D6982)),ISNUMBER(SEARCH("入",D6982)))),"Ambiguous",IF(ISNUMBER(SEARCH("平",D6982)),"平","仄")))</x:f>
        <x:v>平</x:v>
      </x:c>
      <x:c r="L6982" s="7" t="str">
        <x:v>Pingshui main list expansion</x:v>
      </x:c>
    </x:row>
    <x:row r="6983">
      <x:c r="A6983" s="5" t="str">
        <x:v>柌</x:v>
      </x:c>
      <x:c r="B6983" s="6" t="str">
        <x:v>平</x:v>
      </x:c>
      <x:c r="C6983" s="6" t="str">
        <x:f>IF(B6983="","Needs decision","Ready")</x:f>
        <x:v>Ready</x:v>
      </x:c>
      <x:c r="D6983" s="6" t="str">
        <x:v>平</x:v>
      </x:c>
      <x:c r="E6983" s="6" t="str"/>
      <x:c r="F6983" s="6" t="str">
        <x:v>上平聲四支</x:v>
      </x:c>
      <x:c r="G6983" s="6" t="str">
        <x:v>Pingshui main list, Wikisource-derived DOCX</x:v>
      </x:c>
      <x:c r="H6983" s="6" t="str"/>
      <x:c r="I6983" s="6" t="str">
        <x:v>Pingshui main-list expansion; 詞 entries ignored</x:v>
      </x:c>
      <x:c r="J6983" s="6" t="str">
        <x:f>IF(B6983="","",IF(AND(ISNUMBER(SEARCH("平",B6983)),OR(ISNUMBER(SEARCH("上",B6983)),ISNUMBER(SEARCH("去",B6983)),ISNUMBER(SEARCH("入",B6983)))),"Ambiguous",IF(ISNUMBER(SEARCH("平",B6983)),"平","仄")))</x:f>
        <x:v>平</x:v>
      </x:c>
      <x:c r="K6983" s="6" t="str">
        <x:f>IF(D6983="","",IF(AND(ISNUMBER(SEARCH("平",D6983)),OR(ISNUMBER(SEARCH("上",D6983)),ISNUMBER(SEARCH("去",D6983)),ISNUMBER(SEARCH("入",D6983)))),"Ambiguous",IF(ISNUMBER(SEARCH("平",D6983)),"平","仄")))</x:f>
        <x:v>平</x:v>
      </x:c>
      <x:c r="L6983" s="7" t="str">
        <x:v>Pingshui main list expansion</x:v>
      </x:c>
    </x:row>
    <x:row r="6984">
      <x:c r="A6984" s="5" t="str">
        <x:v>柛</x:v>
      </x:c>
      <x:c r="B6984" s="6" t="str">
        <x:v>平</x:v>
      </x:c>
      <x:c r="C6984" s="6" t="str">
        <x:f>IF(B6984="","Needs decision","Ready")</x:f>
        <x:v>Ready</x:v>
      </x:c>
      <x:c r="D6984" s="6" t="str">
        <x:v>平</x:v>
      </x:c>
      <x:c r="E6984" s="6" t="str"/>
      <x:c r="F6984" s="6" t="str">
        <x:v>上平聲十一真</x:v>
      </x:c>
      <x:c r="G6984" s="6" t="str">
        <x:v>Pingshui main list, Wikisource-derived DOCX</x:v>
      </x:c>
      <x:c r="H6984" s="6" t="str"/>
      <x:c r="I6984" s="6" t="str">
        <x:v>Pingshui main-list expansion; 詞 entries ignored</x:v>
      </x:c>
      <x:c r="J6984" s="6" t="str">
        <x:f>IF(B6984="","",IF(AND(ISNUMBER(SEARCH("平",B6984)),OR(ISNUMBER(SEARCH("上",B6984)),ISNUMBER(SEARCH("去",B6984)),ISNUMBER(SEARCH("入",B6984)))),"Ambiguous",IF(ISNUMBER(SEARCH("平",B6984)),"平","仄")))</x:f>
        <x:v>平</x:v>
      </x:c>
      <x:c r="K6984" s="6" t="str">
        <x:f>IF(D6984="","",IF(AND(ISNUMBER(SEARCH("平",D6984)),OR(ISNUMBER(SEARCH("上",D6984)),ISNUMBER(SEARCH("去",D6984)),ISNUMBER(SEARCH("入",D6984)))),"Ambiguous",IF(ISNUMBER(SEARCH("平",D6984)),"平","仄")))</x:f>
        <x:v>平</x:v>
      </x:c>
      <x:c r="L6984" s="7" t="str">
        <x:v>Pingshui main list expansion</x:v>
      </x:c>
    </x:row>
    <x:row r="6985">
      <x:c r="A6985" s="5" t="str">
        <x:v>柣</x:v>
      </x:c>
      <x:c r="B6985" s="6" t="str">
        <x:v>入</x:v>
      </x:c>
      <x:c r="C6985" s="6" t="str">
        <x:f>IF(B6985="","Needs decision","Ready")</x:f>
        <x:v>Ready</x:v>
      </x:c>
      <x:c r="D6985" s="6" t="str">
        <x:v>入</x:v>
      </x:c>
      <x:c r="E6985" s="6" t="str"/>
      <x:c r="F6985" s="6" t="str">
        <x:v>入聲四質</x:v>
      </x:c>
      <x:c r="G6985" s="6" t="str">
        <x:v>Pingshui main list, Wikisource-derived DOCX</x:v>
      </x:c>
      <x:c r="H6985" s="6" t="str"/>
      <x:c r="I6985" s="6" t="str">
        <x:v>Pingshui main-list expansion; 詞 entries ignored</x:v>
      </x:c>
      <x:c r="J6985" s="6" t="str">
        <x:f>IF(B6985="","",IF(AND(ISNUMBER(SEARCH("平",B6985)),OR(ISNUMBER(SEARCH("上",B6985)),ISNUMBER(SEARCH("去",B6985)),ISNUMBER(SEARCH("入",B6985)))),"Ambiguous",IF(ISNUMBER(SEARCH("平",B6985)),"平","仄")))</x:f>
        <x:v>仄</x:v>
      </x:c>
      <x:c r="K6985" s="6" t="str">
        <x:f>IF(D6985="","",IF(AND(ISNUMBER(SEARCH("平",D6985)),OR(ISNUMBER(SEARCH("上",D6985)),ISNUMBER(SEARCH("去",D6985)),ISNUMBER(SEARCH("入",D6985)))),"Ambiguous",IF(ISNUMBER(SEARCH("平",D6985)),"平","仄")))</x:f>
        <x:v>仄</x:v>
      </x:c>
      <x:c r="L6985" s="7" t="str">
        <x:v>Pingshui main list expansion</x:v>
      </x:c>
    </x:row>
    <x:row r="6986">
      <x:c r="A6986" s="5" t="str">
        <x:v>柧</x:v>
      </x:c>
      <x:c r="B6986" s="6" t="str">
        <x:v>平</x:v>
      </x:c>
      <x:c r="C6986" s="6" t="str">
        <x:f>IF(B6986="","Needs decision","Ready")</x:f>
        <x:v>Ready</x:v>
      </x:c>
      <x:c r="D6986" s="6" t="str">
        <x:v>平</x:v>
      </x:c>
      <x:c r="E6986" s="6" t="str"/>
      <x:c r="F6986" s="6" t="str">
        <x:v>上平聲七虞</x:v>
      </x:c>
      <x:c r="G6986" s="6" t="str">
        <x:v>Pingshui main list, Wikisource-derived DOCX</x:v>
      </x:c>
      <x:c r="H6986" s="6" t="str"/>
      <x:c r="I6986" s="6" t="str">
        <x:v>Pingshui main-list expansion; 詞 entries ignored</x:v>
      </x:c>
      <x:c r="J6986" s="6" t="str">
        <x:f>IF(B6986="","",IF(AND(ISNUMBER(SEARCH("平",B6986)),OR(ISNUMBER(SEARCH("上",B6986)),ISNUMBER(SEARCH("去",B6986)),ISNUMBER(SEARCH("入",B6986)))),"Ambiguous",IF(ISNUMBER(SEARCH("平",B6986)),"平","仄")))</x:f>
        <x:v>平</x:v>
      </x:c>
      <x:c r="K6986" s="6" t="str">
        <x:f>IF(D6986="","",IF(AND(ISNUMBER(SEARCH("平",D6986)),OR(ISNUMBER(SEARCH("上",D6986)),ISNUMBER(SEARCH("去",D6986)),ISNUMBER(SEARCH("入",D6986)))),"Ambiguous",IF(ISNUMBER(SEARCH("平",D6986)),"平","仄")))</x:f>
        <x:v>平</x:v>
      </x:c>
      <x:c r="L6986" s="7" t="str">
        <x:v>Pingshui main list expansion</x:v>
      </x:c>
    </x:row>
    <x:row r="6987">
      <x:c r="A6987" s="5" t="str">
        <x:v>柮</x:v>
      </x:c>
      <x:c r="B6987" s="6" t="str">
        <x:v>入</x:v>
      </x:c>
      <x:c r="C6987" s="6" t="str">
        <x:f>IF(B6987="","Needs decision","Ready")</x:f>
        <x:v>Ready</x:v>
      </x:c>
      <x:c r="D6987" s="6" t="str">
        <x:v>入</x:v>
      </x:c>
      <x:c r="E6987" s="6" t="str"/>
      <x:c r="F6987" s="6" t="str">
        <x:v>入聲六月</x:v>
      </x:c>
      <x:c r="G6987" s="6" t="str">
        <x:v>Pingshui main list, Wikisource-derived DOCX</x:v>
      </x:c>
      <x:c r="H6987" s="6" t="str"/>
      <x:c r="I6987" s="6" t="str">
        <x:v>Pingshui main-list expansion; 詞 entries ignored</x:v>
      </x:c>
      <x:c r="J6987" s="6" t="str">
        <x:f>IF(B6987="","",IF(AND(ISNUMBER(SEARCH("平",B6987)),OR(ISNUMBER(SEARCH("上",B6987)),ISNUMBER(SEARCH("去",B6987)),ISNUMBER(SEARCH("入",B6987)))),"Ambiguous",IF(ISNUMBER(SEARCH("平",B6987)),"平","仄")))</x:f>
        <x:v>仄</x:v>
      </x:c>
      <x:c r="K6987" s="6" t="str">
        <x:f>IF(D6987="","",IF(AND(ISNUMBER(SEARCH("平",D6987)),OR(ISNUMBER(SEARCH("上",D6987)),ISNUMBER(SEARCH("去",D6987)),ISNUMBER(SEARCH("入",D6987)))),"Ambiguous",IF(ISNUMBER(SEARCH("平",D6987)),"平","仄")))</x:f>
        <x:v>仄</x:v>
      </x:c>
      <x:c r="L6987" s="7" t="str">
        <x:v>Pingshui main list expansion</x:v>
      </x:c>
    </x:row>
    <x:row r="6988">
      <x:c r="A6988" s="5" t="str">
        <x:v>柵</x:v>
      </x:c>
      <x:c r="B6988" s="6" t="str"/>
      <x:c r="C6988" s="6" t="str">
        <x:f>IF(B6988="","Needs decision","Ready")</x:f>
        <x:v>Needs decision</x:v>
      </x:c>
      <x:c r="D6988" s="6" t="str">
        <x:v>去/入</x:v>
      </x:c>
      <x:c r="E6988" s="6" t="str"/>
      <x:c r="F6988" s="6" t="str">
        <x:v>去聲十六諫; 入聲十一陌</x:v>
      </x:c>
      <x:c r="G6988" s="6" t="str">
        <x:v>Pingshui main list, Wikisource-derived DOCX</x:v>
      </x:c>
      <x:c r="H6988" s="6" t="str"/>
      <x:c r="I6988" s="6" t="str">
        <x:v>Pingshui main-list expansion; 詞 entries ignored</x:v>
      </x:c>
      <x:c r="J6988" s="6" t="str">
        <x:f>IF(B6988="","",IF(AND(ISNUMBER(SEARCH("平",B6988)),OR(ISNUMBER(SEARCH("上",B6988)),ISNUMBER(SEARCH("去",B6988)),ISNUMBER(SEARCH("入",B6988)))),"Ambiguous",IF(ISNUMBER(SEARCH("平",B6988)),"平","仄")))</x:f>
      </x:c>
      <x:c r="K6988" s="6" t="str">
        <x:f>IF(D6988="","",IF(AND(ISNUMBER(SEARCH("平",D6988)),OR(ISNUMBER(SEARCH("上",D6988)),ISNUMBER(SEARCH("去",D6988)),ISNUMBER(SEARCH("入",D6988)))),"Ambiguous",IF(ISNUMBER(SEARCH("平",D6988)),"平","仄")))</x:f>
        <x:v>仄</x:v>
      </x:c>
      <x:c r="L6988" s="7" t="str">
        <x:v>Pingshui main list expansion</x:v>
      </x:c>
    </x:row>
    <x:row r="6989">
      <x:c r="A6989" s="5" t="str">
        <x:v>柶</x:v>
      </x:c>
      <x:c r="B6989" s="6" t="str">
        <x:v>去</x:v>
      </x:c>
      <x:c r="C6989" s="6" t="str">
        <x:f>IF(B6989="","Needs decision","Ready")</x:f>
        <x:v>Ready</x:v>
      </x:c>
      <x:c r="D6989" s="6" t="str">
        <x:v>去</x:v>
      </x:c>
      <x:c r="E6989" s="6" t="str"/>
      <x:c r="F6989" s="6" t="str">
        <x:v>去聲四寘</x:v>
      </x:c>
      <x:c r="G6989" s="6" t="str">
        <x:v>Pingshui main list, Wikisource-derived DOCX</x:v>
      </x:c>
      <x:c r="H6989" s="6" t="str"/>
      <x:c r="I6989" s="6" t="str">
        <x:v>Pingshui main-list expansion; 詞 entries ignored</x:v>
      </x:c>
      <x:c r="J6989" s="6" t="str">
        <x:f>IF(B6989="","",IF(AND(ISNUMBER(SEARCH("平",B6989)),OR(ISNUMBER(SEARCH("上",B6989)),ISNUMBER(SEARCH("去",B6989)),ISNUMBER(SEARCH("入",B6989)))),"Ambiguous",IF(ISNUMBER(SEARCH("平",B6989)),"平","仄")))</x:f>
        <x:v>仄</x:v>
      </x:c>
      <x:c r="K6989" s="6" t="str">
        <x:f>IF(D6989="","",IF(AND(ISNUMBER(SEARCH("平",D6989)),OR(ISNUMBER(SEARCH("上",D6989)),ISNUMBER(SEARCH("去",D6989)),ISNUMBER(SEARCH("入",D6989)))),"Ambiguous",IF(ISNUMBER(SEARCH("平",D6989)),"平","仄")))</x:f>
        <x:v>仄</x:v>
      </x:c>
      <x:c r="L6989" s="7" t="str">
        <x:v>Pingshui main list expansion</x:v>
      </x:c>
    </x:row>
    <x:row r="6990">
      <x:c r="A6990" s="5" t="str">
        <x:v>柷</x:v>
      </x:c>
      <x:c r="B6990" s="6" t="str">
        <x:v>入</x:v>
      </x:c>
      <x:c r="C6990" s="6" t="str">
        <x:f>IF(B6990="","Needs decision","Ready")</x:f>
        <x:v>Ready</x:v>
      </x:c>
      <x:c r="D6990" s="6" t="str">
        <x:v>入</x:v>
      </x:c>
      <x:c r="E6990" s="6" t="str"/>
      <x:c r="F6990" s="6" t="str">
        <x:v>入聲一屋</x:v>
      </x:c>
      <x:c r="G6990" s="6" t="str">
        <x:v>Pingshui main list, Wikisource-derived DOCX</x:v>
      </x:c>
      <x:c r="H6990" s="6" t="str"/>
      <x:c r="I6990" s="6" t="str">
        <x:v>Pingshui main-list expansion; 詞 entries ignored</x:v>
      </x:c>
      <x:c r="J6990" s="6" t="str">
        <x:f>IF(B6990="","",IF(AND(ISNUMBER(SEARCH("平",B6990)),OR(ISNUMBER(SEARCH("上",B6990)),ISNUMBER(SEARCH("去",B6990)),ISNUMBER(SEARCH("入",B6990)))),"Ambiguous",IF(ISNUMBER(SEARCH("平",B6990)),"平","仄")))</x:f>
        <x:v>仄</x:v>
      </x:c>
      <x:c r="K6990" s="6" t="str">
        <x:f>IF(D6990="","",IF(AND(ISNUMBER(SEARCH("平",D6990)),OR(ISNUMBER(SEARCH("上",D6990)),ISNUMBER(SEARCH("去",D6990)),ISNUMBER(SEARCH("入",D6990)))),"Ambiguous",IF(ISNUMBER(SEARCH("平",D6990)),"平","仄")))</x:f>
        <x:v>仄</x:v>
      </x:c>
      <x:c r="L6990" s="7" t="str">
        <x:v>Pingshui main list expansion</x:v>
      </x:c>
    </x:row>
    <x:row r="6991">
      <x:c r="A6991" s="5" t="str">
        <x:v>栔</x:v>
      </x:c>
      <x:c r="B6991" s="6" t="str">
        <x:v>去</x:v>
      </x:c>
      <x:c r="C6991" s="6" t="str">
        <x:f>IF(B6991="","Needs decision","Ready")</x:f>
        <x:v>Ready</x:v>
      </x:c>
      <x:c r="D6991" s="6" t="str">
        <x:v>去</x:v>
      </x:c>
      <x:c r="E6991" s="6" t="str"/>
      <x:c r="F6991" s="6" t="str">
        <x:v>去聲八霽</x:v>
      </x:c>
      <x:c r="G6991" s="6" t="str">
        <x:v>Pingshui main list, Wikisource-derived DOCX</x:v>
      </x:c>
      <x:c r="H6991" s="6" t="str"/>
      <x:c r="I6991" s="6" t="str">
        <x:v>Pingshui main-list expansion; 詞 entries ignored</x:v>
      </x:c>
      <x:c r="J6991" s="6" t="str">
        <x:f>IF(B6991="","",IF(AND(ISNUMBER(SEARCH("平",B6991)),OR(ISNUMBER(SEARCH("上",B6991)),ISNUMBER(SEARCH("去",B6991)),ISNUMBER(SEARCH("入",B6991)))),"Ambiguous",IF(ISNUMBER(SEARCH("平",B6991)),"平","仄")))</x:f>
        <x:v>仄</x:v>
      </x:c>
      <x:c r="K6991" s="6" t="str">
        <x:f>IF(D6991="","",IF(AND(ISNUMBER(SEARCH("平",D6991)),OR(ISNUMBER(SEARCH("上",D6991)),ISNUMBER(SEARCH("去",D6991)),ISNUMBER(SEARCH("入",D6991)))),"Ambiguous",IF(ISNUMBER(SEARCH("平",D6991)),"平","仄")))</x:f>
        <x:v>仄</x:v>
      </x:c>
      <x:c r="L6991" s="7" t="str">
        <x:v>Pingshui main list expansion</x:v>
      </x:c>
    </x:row>
    <x:row r="6992">
      <x:c r="A6992" s="5" t="str">
        <x:v>栘</x:v>
      </x:c>
      <x:c r="B6992" s="6" t="str">
        <x:v>平</x:v>
      </x:c>
      <x:c r="C6992" s="6" t="str">
        <x:f>IF(B6992="","Needs decision","Ready")</x:f>
        <x:v>Ready</x:v>
      </x:c>
      <x:c r="D6992" s="6" t="str">
        <x:v>平</x:v>
      </x:c>
      <x:c r="E6992" s="6" t="str"/>
      <x:c r="F6992" s="6" t="str">
        <x:v>上平聲四支</x:v>
      </x:c>
      <x:c r="G6992" s="6" t="str">
        <x:v>Pingshui main list, Wikisource-derived DOCX</x:v>
      </x:c>
      <x:c r="H6992" s="6" t="str"/>
      <x:c r="I6992" s="6" t="str">
        <x:v>Pingshui main-list expansion; 詞 entries ignored</x:v>
      </x:c>
      <x:c r="J6992" s="6" t="str">
        <x:f>IF(B6992="","",IF(AND(ISNUMBER(SEARCH("平",B6992)),OR(ISNUMBER(SEARCH("上",B6992)),ISNUMBER(SEARCH("去",B6992)),ISNUMBER(SEARCH("入",B6992)))),"Ambiguous",IF(ISNUMBER(SEARCH("平",B6992)),"平","仄")))</x:f>
        <x:v>平</x:v>
      </x:c>
      <x:c r="K6992" s="6" t="str">
        <x:f>IF(D6992="","",IF(AND(ISNUMBER(SEARCH("平",D6992)),OR(ISNUMBER(SEARCH("上",D6992)),ISNUMBER(SEARCH("去",D6992)),ISNUMBER(SEARCH("入",D6992)))),"Ambiguous",IF(ISNUMBER(SEARCH("平",D6992)),"平","仄")))</x:f>
        <x:v>平</x:v>
      </x:c>
      <x:c r="L6992" s="7" t="str">
        <x:v>Pingshui main list expansion</x:v>
      </x:c>
    </x:row>
    <x:row r="6993">
      <x:c r="A6993" s="5" t="str">
        <x:v>栜</x:v>
      </x:c>
      <x:c r="B6993" s="6" t="str">
        <x:v>上</x:v>
      </x:c>
      <x:c r="C6993" s="6" t="str">
        <x:f>IF(B6993="","Needs decision","Ready")</x:f>
        <x:v>Ready</x:v>
      </x:c>
      <x:c r="D6993" s="6" t="str">
        <x:v>上</x:v>
      </x:c>
      <x:c r="E6993" s="6" t="str"/>
      <x:c r="F6993" s="6" t="str">
        <x:v>上聲四紙</x:v>
      </x:c>
      <x:c r="G6993" s="6" t="str">
        <x:v>Pingshui main list, Wikisource-derived DOCX</x:v>
      </x:c>
      <x:c r="H6993" s="6" t="str"/>
      <x:c r="I6993" s="6" t="str">
        <x:v>Pingshui main-list expansion; 詞 entries ignored</x:v>
      </x:c>
      <x:c r="J6993" s="6" t="str">
        <x:f>IF(B6993="","",IF(AND(ISNUMBER(SEARCH("平",B6993)),OR(ISNUMBER(SEARCH("上",B6993)),ISNUMBER(SEARCH("去",B6993)),ISNUMBER(SEARCH("入",B6993)))),"Ambiguous",IF(ISNUMBER(SEARCH("平",B6993)),"平","仄")))</x:f>
        <x:v>仄</x:v>
      </x:c>
      <x:c r="K6993" s="6" t="str">
        <x:f>IF(D6993="","",IF(AND(ISNUMBER(SEARCH("平",D6993)),OR(ISNUMBER(SEARCH("上",D6993)),ISNUMBER(SEARCH("去",D6993)),ISNUMBER(SEARCH("入",D6993)))),"Ambiguous",IF(ISNUMBER(SEARCH("平",D6993)),"平","仄")))</x:f>
        <x:v>仄</x:v>
      </x:c>
      <x:c r="L6993" s="7" t="str">
        <x:v>Pingshui main list expansion</x:v>
      </x:c>
    </x:row>
    <x:row r="6994">
      <x:c r="A6994" s="5" t="str">
        <x:v>栟</x:v>
      </x:c>
      <x:c r="B6994" s="6" t="str">
        <x:v>平</x:v>
      </x:c>
      <x:c r="C6994" s="6" t="str">
        <x:f>IF(B6994="","Needs decision","Ready")</x:f>
        <x:v>Ready</x:v>
      </x:c>
      <x:c r="D6994" s="6" t="str">
        <x:v>平</x:v>
      </x:c>
      <x:c r="E6994" s="6" t="str"/>
      <x:c r="F6994" s="6" t="str">
        <x:v>下平聲八庚</x:v>
      </x:c>
      <x:c r="G6994" s="6" t="str">
        <x:v>Pingshui main list, Wikisource-derived DOCX</x:v>
      </x:c>
      <x:c r="H6994" s="6" t="str"/>
      <x:c r="I6994" s="6" t="str">
        <x:v>Pingshui main-list expansion; 詞 entries ignored</x:v>
      </x:c>
      <x:c r="J6994" s="6" t="str">
        <x:f>IF(B6994="","",IF(AND(ISNUMBER(SEARCH("平",B6994)),OR(ISNUMBER(SEARCH("上",B6994)),ISNUMBER(SEARCH("去",B6994)),ISNUMBER(SEARCH("入",B6994)))),"Ambiguous",IF(ISNUMBER(SEARCH("平",B6994)),"平","仄")))</x:f>
        <x:v>平</x:v>
      </x:c>
      <x:c r="K6994" s="6" t="str">
        <x:f>IF(D6994="","",IF(AND(ISNUMBER(SEARCH("平",D6994)),OR(ISNUMBER(SEARCH("上",D6994)),ISNUMBER(SEARCH("去",D6994)),ISNUMBER(SEARCH("入",D6994)))),"Ambiguous",IF(ISNUMBER(SEARCH("平",D6994)),"平","仄")))</x:f>
        <x:v>平</x:v>
      </x:c>
      <x:c r="L6994" s="7" t="str">
        <x:v>Pingshui main list expansion</x:v>
      </x:c>
    </x:row>
    <x:row r="6995">
      <x:c r="A6995" s="5" t="str">
        <x:v>栲</x:v>
      </x:c>
      <x:c r="B6995" s="6" t="str">
        <x:v>上</x:v>
      </x:c>
      <x:c r="C6995" s="6" t="str">
        <x:f>IF(B6995="","Needs decision","Ready")</x:f>
        <x:v>Ready</x:v>
      </x:c>
      <x:c r="D6995" s="6" t="str">
        <x:v>上</x:v>
      </x:c>
      <x:c r="E6995" s="6" t="str"/>
      <x:c r="F6995" s="6" t="str">
        <x:v>上聲十九皓</x:v>
      </x:c>
      <x:c r="G6995" s="6" t="str">
        <x:v>Pingshui main list, Wikisource-derived DOCX</x:v>
      </x:c>
      <x:c r="H6995" s="6" t="str"/>
      <x:c r="I6995" s="6" t="str">
        <x:v>Pingshui main-list expansion; 詞 entries ignored</x:v>
      </x:c>
      <x:c r="J6995" s="6" t="str">
        <x:f>IF(B6995="","",IF(AND(ISNUMBER(SEARCH("平",B6995)),OR(ISNUMBER(SEARCH("上",B6995)),ISNUMBER(SEARCH("去",B6995)),ISNUMBER(SEARCH("入",B6995)))),"Ambiguous",IF(ISNUMBER(SEARCH("平",B6995)),"平","仄")))</x:f>
        <x:v>仄</x:v>
      </x:c>
      <x:c r="K6995" s="6" t="str">
        <x:f>IF(D6995="","",IF(AND(ISNUMBER(SEARCH("平",D6995)),OR(ISNUMBER(SEARCH("上",D6995)),ISNUMBER(SEARCH("去",D6995)),ISNUMBER(SEARCH("入",D6995)))),"Ambiguous",IF(ISNUMBER(SEARCH("平",D6995)),"平","仄")))</x:f>
        <x:v>仄</x:v>
      </x:c>
      <x:c r="L6995" s="7" t="str">
        <x:v>Pingshui main list expansion</x:v>
      </x:c>
    </x:row>
    <x:row r="6996">
      <x:c r="A6996" s="5" t="str">
        <x:v>栳</x:v>
      </x:c>
      <x:c r="B6996" s="6" t="str">
        <x:v>上</x:v>
      </x:c>
      <x:c r="C6996" s="6" t="str">
        <x:f>IF(B6996="","Needs decision","Ready")</x:f>
        <x:v>Ready</x:v>
      </x:c>
      <x:c r="D6996" s="6" t="str">
        <x:v>上</x:v>
      </x:c>
      <x:c r="E6996" s="6" t="str"/>
      <x:c r="F6996" s="6" t="str">
        <x:v>上聲十九皓</x:v>
      </x:c>
      <x:c r="G6996" s="6" t="str">
        <x:v>Pingshui main list, Wikisource-derived DOCX</x:v>
      </x:c>
      <x:c r="H6996" s="6" t="str"/>
      <x:c r="I6996" s="6" t="str">
        <x:v>Pingshui main-list expansion; 詞 entries ignored</x:v>
      </x:c>
      <x:c r="J6996" s="6" t="str">
        <x:f>IF(B6996="","",IF(AND(ISNUMBER(SEARCH("平",B6996)),OR(ISNUMBER(SEARCH("上",B6996)),ISNUMBER(SEARCH("去",B6996)),ISNUMBER(SEARCH("入",B6996)))),"Ambiguous",IF(ISNUMBER(SEARCH("平",B6996)),"平","仄")))</x:f>
        <x:v>仄</x:v>
      </x:c>
      <x:c r="K6996" s="6" t="str">
        <x:f>IF(D6996="","",IF(AND(ISNUMBER(SEARCH("平",D6996)),OR(ISNUMBER(SEARCH("上",D6996)),ISNUMBER(SEARCH("去",D6996)),ISNUMBER(SEARCH("入",D6996)))),"Ambiguous",IF(ISNUMBER(SEARCH("平",D6996)),"平","仄")))</x:f>
        <x:v>仄</x:v>
      </x:c>
      <x:c r="L6996" s="7" t="str">
        <x:v>Pingshui main list expansion</x:v>
      </x:c>
    </x:row>
    <x:row r="6997">
      <x:c r="A6997" s="5" t="str">
        <x:v>栻</x:v>
      </x:c>
      <x:c r="B6997" s="6" t="str">
        <x:v>入</x:v>
      </x:c>
      <x:c r="C6997" s="6" t="str">
        <x:f>IF(B6997="","Needs decision","Ready")</x:f>
        <x:v>Ready</x:v>
      </x:c>
      <x:c r="D6997" s="6" t="str">
        <x:v>入</x:v>
      </x:c>
      <x:c r="E6997" s="6" t="str"/>
      <x:c r="F6997" s="6" t="str">
        <x:v>入聲十三職</x:v>
      </x:c>
      <x:c r="G6997" s="6" t="str">
        <x:v>Pingshui main list, Wikisource-derived DOCX</x:v>
      </x:c>
      <x:c r="H6997" s="6" t="str"/>
      <x:c r="I6997" s="6" t="str">
        <x:v>Pingshui main-list expansion; 詞 entries ignored</x:v>
      </x:c>
      <x:c r="J6997" s="6" t="str">
        <x:f>IF(B6997="","",IF(AND(ISNUMBER(SEARCH("平",B6997)),OR(ISNUMBER(SEARCH("上",B6997)),ISNUMBER(SEARCH("去",B6997)),ISNUMBER(SEARCH("入",B6997)))),"Ambiguous",IF(ISNUMBER(SEARCH("平",B6997)),"平","仄")))</x:f>
        <x:v>仄</x:v>
      </x:c>
      <x:c r="K6997" s="6" t="str">
        <x:f>IF(D6997="","",IF(AND(ISNUMBER(SEARCH("平",D6997)),OR(ISNUMBER(SEARCH("上",D6997)),ISNUMBER(SEARCH("去",D6997)),ISNUMBER(SEARCH("入",D6997)))),"Ambiguous",IF(ISNUMBER(SEARCH("平",D6997)),"平","仄")))</x:f>
        <x:v>仄</x:v>
      </x:c>
      <x:c r="L6997" s="7" t="str">
        <x:v>Pingshui main list expansion</x:v>
      </x:c>
    </x:row>
    <x:row r="6998">
      <x:c r="A6998" s="5" t="str">
        <x:v>桅</x:v>
      </x:c>
      <x:c r="B6998" s="6" t="str">
        <x:v>平</x:v>
      </x:c>
      <x:c r="C6998" s="6" t="str">
        <x:f>IF(B6998="","Needs decision","Ready")</x:f>
        <x:v>Ready</x:v>
      </x:c>
      <x:c r="D6998" s="6" t="str">
        <x:v>平</x:v>
      </x:c>
      <x:c r="E6998" s="6" t="str"/>
      <x:c r="F6998" s="6" t="str">
        <x:v>上平聲十灰</x:v>
      </x:c>
      <x:c r="G6998" s="6" t="str">
        <x:v>Pingshui main list, Wikisource-derived DOCX</x:v>
      </x:c>
      <x:c r="H6998" s="6" t="str"/>
      <x:c r="I6998" s="6" t="str">
        <x:v>Pingshui main-list expansion; 詞 entries ignored</x:v>
      </x:c>
      <x:c r="J6998" s="6" t="str">
        <x:f>IF(B6998="","",IF(AND(ISNUMBER(SEARCH("平",B6998)),OR(ISNUMBER(SEARCH("上",B6998)),ISNUMBER(SEARCH("去",B6998)),ISNUMBER(SEARCH("入",B6998)))),"Ambiguous",IF(ISNUMBER(SEARCH("平",B6998)),"平","仄")))</x:f>
        <x:v>平</x:v>
      </x:c>
      <x:c r="K6998" s="6" t="str">
        <x:f>IF(D6998="","",IF(AND(ISNUMBER(SEARCH("平",D6998)),OR(ISNUMBER(SEARCH("上",D6998)),ISNUMBER(SEARCH("去",D6998)),ISNUMBER(SEARCH("入",D6998)))),"Ambiguous",IF(ISNUMBER(SEARCH("平",D6998)),"平","仄")))</x:f>
        <x:v>平</x:v>
      </x:c>
      <x:c r="L6998" s="7" t="str">
        <x:v>Pingshui main list expansion</x:v>
      </x:c>
    </x:row>
    <x:row r="6999">
      <x:c r="A6999" s="5" t="str">
        <x:v>桋</x:v>
      </x:c>
      <x:c r="B6999" s="6" t="str">
        <x:v>平</x:v>
      </x:c>
      <x:c r="C6999" s="6" t="str">
        <x:f>IF(B6999="","Needs decision","Ready")</x:f>
        <x:v>Ready</x:v>
      </x:c>
      <x:c r="D6999" s="6" t="str">
        <x:v>平</x:v>
      </x:c>
      <x:c r="E6999" s="6" t="str"/>
      <x:c r="F6999" s="6" t="str">
        <x:v>上平聲四支; 上平聲八齊</x:v>
      </x:c>
      <x:c r="G6999" s="6" t="str">
        <x:v>Pingshui main list, Wikisource-derived DOCX</x:v>
      </x:c>
      <x:c r="H6999" s="6" t="str"/>
      <x:c r="I6999" s="6" t="str">
        <x:v>Pingshui main-list expansion; 詞 entries ignored</x:v>
      </x:c>
      <x:c r="J6999" s="6" t="str">
        <x:f>IF(B6999="","",IF(AND(ISNUMBER(SEARCH("平",B6999)),OR(ISNUMBER(SEARCH("上",B6999)),ISNUMBER(SEARCH("去",B6999)),ISNUMBER(SEARCH("入",B6999)))),"Ambiguous",IF(ISNUMBER(SEARCH("平",B6999)),"平","仄")))</x:f>
        <x:v>平</x:v>
      </x:c>
      <x:c r="K6999" s="6" t="str">
        <x:f>IF(D6999="","",IF(AND(ISNUMBER(SEARCH("平",D6999)),OR(ISNUMBER(SEARCH("上",D6999)),ISNUMBER(SEARCH("去",D6999)),ISNUMBER(SEARCH("入",D6999)))),"Ambiguous",IF(ISNUMBER(SEARCH("平",D6999)),"平","仄")))</x:f>
        <x:v>平</x:v>
      </x:c>
      <x:c r="L6999" s="7" t="str">
        <x:v>Pingshui main list expansion</x:v>
      </x:c>
    </x:row>
    <x:row r="7000">
      <x:c r="A7000" s="5" t="str">
        <x:v>桭</x:v>
      </x:c>
      <x:c r="B7000" s="6" t="str">
        <x:v>平</x:v>
      </x:c>
      <x:c r="C7000" s="6" t="str">
        <x:f>IF(B7000="","Needs decision","Ready")</x:f>
        <x:v>Ready</x:v>
      </x:c>
      <x:c r="D7000" s="6" t="str">
        <x:v>平</x:v>
      </x:c>
      <x:c r="E7000" s="6" t="str"/>
      <x:c r="F7000" s="6" t="str">
        <x:v>上平聲十一真</x:v>
      </x:c>
      <x:c r="G7000" s="6" t="str">
        <x:v>Pingshui main list, Wikisource-derived DOCX</x:v>
      </x:c>
      <x:c r="H7000" s="6" t="str"/>
      <x:c r="I7000" s="6" t="str">
        <x:v>Pingshui main-list expansion; 詞 entries ignored</x:v>
      </x:c>
      <x:c r="J7000" s="6" t="str">
        <x:f>IF(B7000="","",IF(AND(ISNUMBER(SEARCH("平",B7000)),OR(ISNUMBER(SEARCH("上",B7000)),ISNUMBER(SEARCH("去",B7000)),ISNUMBER(SEARCH("入",B7000)))),"Ambiguous",IF(ISNUMBER(SEARCH("平",B7000)),"平","仄")))</x:f>
        <x:v>平</x:v>
      </x:c>
      <x:c r="K7000" s="6" t="str">
        <x:f>IF(D7000="","",IF(AND(ISNUMBER(SEARCH("平",D7000)),OR(ISNUMBER(SEARCH("上",D7000)),ISNUMBER(SEARCH("去",D7000)),ISNUMBER(SEARCH("入",D7000)))),"Ambiguous",IF(ISNUMBER(SEARCH("平",D7000)),"平","仄")))</x:f>
        <x:v>平</x:v>
      </x:c>
      <x:c r="L7000" s="7" t="str">
        <x:v>Pingshui main list expansion</x:v>
      </x:c>
    </x:row>
    <x:row r="7001">
      <x:c r="A7001" s="5" t="str">
        <x:v>桯</x:v>
      </x:c>
      <x:c r="B7001" s="6" t="str">
        <x:v>平</x:v>
      </x:c>
      <x:c r="C7001" s="6" t="str">
        <x:f>IF(B7001="","Needs decision","Ready")</x:f>
        <x:v>Ready</x:v>
      </x:c>
      <x:c r="D7001" s="6" t="str">
        <x:v>平</x:v>
      </x:c>
      <x:c r="E7001" s="6" t="str"/>
      <x:c r="F7001" s="6" t="str">
        <x:v>下平聲九青</x:v>
      </x:c>
      <x:c r="G7001" s="6" t="str">
        <x:v>Pingshui main list, Wikisource-derived DOCX</x:v>
      </x:c>
      <x:c r="H7001" s="6" t="str"/>
      <x:c r="I7001" s="6" t="str">
        <x:v>Pingshui main-list expansion; 詞 entries ignored</x:v>
      </x:c>
      <x:c r="J7001" s="6" t="str">
        <x:f>IF(B7001="","",IF(AND(ISNUMBER(SEARCH("平",B7001)),OR(ISNUMBER(SEARCH("上",B7001)),ISNUMBER(SEARCH("去",B7001)),ISNUMBER(SEARCH("入",B7001)))),"Ambiguous",IF(ISNUMBER(SEARCH("平",B7001)),"平","仄")))</x:f>
        <x:v>平</x:v>
      </x:c>
      <x:c r="K7001" s="6" t="str">
        <x:f>IF(D7001="","",IF(AND(ISNUMBER(SEARCH("平",D7001)),OR(ISNUMBER(SEARCH("上",D7001)),ISNUMBER(SEARCH("去",D7001)),ISNUMBER(SEARCH("入",D7001)))),"Ambiguous",IF(ISNUMBER(SEARCH("平",D7001)),"平","仄")))</x:f>
        <x:v>平</x:v>
      </x:c>
      <x:c r="L7001" s="7" t="str">
        <x:v>Pingshui main list expansion</x:v>
      </x:c>
    </x:row>
    <x:row r="7002">
      <x:c r="A7002" s="5" t="str">
        <x:v>桵</x:v>
      </x:c>
      <x:c r="B7002" s="6" t="str">
        <x:v>平</x:v>
      </x:c>
      <x:c r="C7002" s="6" t="str">
        <x:f>IF(B7002="","Needs decision","Ready")</x:f>
        <x:v>Ready</x:v>
      </x:c>
      <x:c r="D7002" s="6" t="str">
        <x:v>平</x:v>
      </x:c>
      <x:c r="E7002" s="6" t="str"/>
      <x:c r="F7002" s="6" t="str">
        <x:v>上平聲四支</x:v>
      </x:c>
      <x:c r="G7002" s="6" t="str">
        <x:v>Pingshui main list, Wikisource-derived DOCX</x:v>
      </x:c>
      <x:c r="H7002" s="6" t="str"/>
      <x:c r="I7002" s="6" t="str">
        <x:v>Pingshui main-list expansion; 詞 entries ignored</x:v>
      </x:c>
      <x:c r="J7002" s="6" t="str">
        <x:f>IF(B7002="","",IF(AND(ISNUMBER(SEARCH("平",B7002)),OR(ISNUMBER(SEARCH("上",B7002)),ISNUMBER(SEARCH("去",B7002)),ISNUMBER(SEARCH("入",B7002)))),"Ambiguous",IF(ISNUMBER(SEARCH("平",B7002)),"平","仄")))</x:f>
        <x:v>平</x:v>
      </x:c>
      <x:c r="K7002" s="6" t="str">
        <x:f>IF(D7002="","",IF(AND(ISNUMBER(SEARCH("平",D7002)),OR(ISNUMBER(SEARCH("上",D7002)),ISNUMBER(SEARCH("去",D7002)),ISNUMBER(SEARCH("入",D7002)))),"Ambiguous",IF(ISNUMBER(SEARCH("平",D7002)),"平","仄")))</x:f>
        <x:v>平</x:v>
      </x:c>
      <x:c r="L7002" s="7" t="str">
        <x:v>Pingshui main list expansion</x:v>
      </x:c>
    </x:row>
    <x:row r="7003">
      <x:c r="A7003" s="5" t="str">
        <x:v>桸</x:v>
      </x:c>
      <x:c r="B7003" s="6" t="str">
        <x:v>平</x:v>
      </x:c>
      <x:c r="C7003" s="6" t="str">
        <x:f>IF(B7003="","Needs decision","Ready")</x:f>
        <x:v>Ready</x:v>
      </x:c>
      <x:c r="D7003" s="6" t="str">
        <x:v>平</x:v>
      </x:c>
      <x:c r="E7003" s="6" t="str"/>
      <x:c r="F7003" s="6" t="str">
        <x:v>上平聲四支</x:v>
      </x:c>
      <x:c r="G7003" s="6" t="str">
        <x:v>Pingshui main list, Wikisource-derived DOCX</x:v>
      </x:c>
      <x:c r="H7003" s="6" t="str"/>
      <x:c r="I7003" s="6" t="str">
        <x:v>Pingshui main-list expansion; 詞 entries ignored</x:v>
      </x:c>
      <x:c r="J7003" s="6" t="str">
        <x:f>IF(B7003="","",IF(AND(ISNUMBER(SEARCH("平",B7003)),OR(ISNUMBER(SEARCH("上",B7003)),ISNUMBER(SEARCH("去",B7003)),ISNUMBER(SEARCH("入",B7003)))),"Ambiguous",IF(ISNUMBER(SEARCH("平",B7003)),"平","仄")))</x:f>
        <x:v>平</x:v>
      </x:c>
      <x:c r="K7003" s="6" t="str">
        <x:f>IF(D7003="","",IF(AND(ISNUMBER(SEARCH("平",D7003)),OR(ISNUMBER(SEARCH("上",D7003)),ISNUMBER(SEARCH("去",D7003)),ISNUMBER(SEARCH("入",D7003)))),"Ambiguous",IF(ISNUMBER(SEARCH("平",D7003)),"平","仄")))</x:f>
        <x:v>平</x:v>
      </x:c>
      <x:c r="L7003" s="7" t="str">
        <x:v>Pingshui main list expansion</x:v>
      </x:c>
    </x:row>
    <x:row r="7004">
      <x:c r="A7004" s="5" t="str">
        <x:v>桹</x:v>
      </x:c>
      <x:c r="B7004" s="6" t="str">
        <x:v>平</x:v>
      </x:c>
      <x:c r="C7004" s="6" t="str">
        <x:f>IF(B7004="","Needs decision","Ready")</x:f>
        <x:v>Ready</x:v>
      </x:c>
      <x:c r="D7004" s="6" t="str">
        <x:v>平</x:v>
      </x:c>
      <x:c r="E7004" s="6" t="str"/>
      <x:c r="F7004" s="6" t="str">
        <x:v>下平聲七陽</x:v>
      </x:c>
      <x:c r="G7004" s="6" t="str">
        <x:v>Pingshui main list, Wikisource-derived DOCX</x:v>
      </x:c>
      <x:c r="H7004" s="6" t="str"/>
      <x:c r="I7004" s="6" t="str">
        <x:v>Pingshui main-list expansion; 詞 entries ignored</x:v>
      </x:c>
      <x:c r="J7004" s="6" t="str">
        <x:f>IF(B7004="","",IF(AND(ISNUMBER(SEARCH("平",B7004)),OR(ISNUMBER(SEARCH("上",B7004)),ISNUMBER(SEARCH("去",B7004)),ISNUMBER(SEARCH("入",B7004)))),"Ambiguous",IF(ISNUMBER(SEARCH("平",B7004)),"平","仄")))</x:f>
        <x:v>平</x:v>
      </x:c>
      <x:c r="K7004" s="6" t="str">
        <x:f>IF(D7004="","",IF(AND(ISNUMBER(SEARCH("平",D7004)),OR(ISNUMBER(SEARCH("上",D7004)),ISNUMBER(SEARCH("去",D7004)),ISNUMBER(SEARCH("入",D7004)))),"Ambiguous",IF(ISNUMBER(SEARCH("平",D7004)),"平","仄")))</x:f>
        <x:v>平</x:v>
      </x:c>
      <x:c r="L7004" s="7" t="str">
        <x:v>Pingshui main list expansion</x:v>
      </x:c>
    </x:row>
    <x:row r="7005">
      <x:c r="A7005" s="5" t="str">
        <x:v>桻</x:v>
      </x:c>
      <x:c r="B7005" s="6" t="str">
        <x:v>平</x:v>
      </x:c>
      <x:c r="C7005" s="6" t="str">
        <x:f>IF(B7005="","Needs decision","Ready")</x:f>
        <x:v>Ready</x:v>
      </x:c>
      <x:c r="D7005" s="6" t="str">
        <x:v>平</x:v>
      </x:c>
      <x:c r="E7005" s="6" t="str"/>
      <x:c r="F7005" s="6" t="str">
        <x:v>上平聲二冬</x:v>
      </x:c>
      <x:c r="G7005" s="6" t="str">
        <x:v>Pingshui main list, Wikisource-derived DOCX</x:v>
      </x:c>
      <x:c r="H7005" s="6" t="str"/>
      <x:c r="I7005" s="6" t="str">
        <x:v>Pingshui main-list expansion; 詞 entries ignored</x:v>
      </x:c>
      <x:c r="J7005" s="6" t="str">
        <x:f>IF(B7005="","",IF(AND(ISNUMBER(SEARCH("平",B7005)),OR(ISNUMBER(SEARCH("上",B7005)),ISNUMBER(SEARCH("去",B7005)),ISNUMBER(SEARCH("入",B7005)))),"Ambiguous",IF(ISNUMBER(SEARCH("平",B7005)),"平","仄")))</x:f>
        <x:v>平</x:v>
      </x:c>
      <x:c r="K7005" s="6" t="str">
        <x:f>IF(D7005="","",IF(AND(ISNUMBER(SEARCH("平",D7005)),OR(ISNUMBER(SEARCH("上",D7005)),ISNUMBER(SEARCH("去",D7005)),ISNUMBER(SEARCH("入",D7005)))),"Ambiguous",IF(ISNUMBER(SEARCH("平",D7005)),"平","仄")))</x:f>
        <x:v>平</x:v>
      </x:c>
      <x:c r="L7005" s="7" t="str">
        <x:v>Pingshui main list expansion</x:v>
      </x:c>
    </x:row>
    <x:row r="7006">
      <x:c r="A7006" s="5" t="str">
        <x:v>梃</x:v>
      </x:c>
      <x:c r="B7006" s="6" t="str">
        <x:v>上</x:v>
      </x:c>
      <x:c r="C7006" s="6" t="str">
        <x:f>IF(B7006="","Needs decision","Ready")</x:f>
        <x:v>Ready</x:v>
      </x:c>
      <x:c r="D7006" s="6" t="str">
        <x:v>上</x:v>
      </x:c>
      <x:c r="E7006" s="6" t="str"/>
      <x:c r="F7006" s="6" t="str">
        <x:v>上聲二十四迥</x:v>
      </x:c>
      <x:c r="G7006" s="6" t="str">
        <x:v>Pingshui main list, Wikisource-derived DOCX</x:v>
      </x:c>
      <x:c r="H7006" s="6" t="str"/>
      <x:c r="I7006" s="6" t="str">
        <x:v>Pingshui main-list expansion; 詞 entries ignored</x:v>
      </x:c>
      <x:c r="J7006" s="6" t="str">
        <x:f>IF(B7006="","",IF(AND(ISNUMBER(SEARCH("平",B7006)),OR(ISNUMBER(SEARCH("上",B7006)),ISNUMBER(SEARCH("去",B7006)),ISNUMBER(SEARCH("入",B7006)))),"Ambiguous",IF(ISNUMBER(SEARCH("平",B7006)),"平","仄")))</x:f>
        <x:v>仄</x:v>
      </x:c>
      <x:c r="K7006" s="6" t="str">
        <x:f>IF(D7006="","",IF(AND(ISNUMBER(SEARCH("平",D7006)),OR(ISNUMBER(SEARCH("上",D7006)),ISNUMBER(SEARCH("去",D7006)),ISNUMBER(SEARCH("入",D7006)))),"Ambiguous",IF(ISNUMBER(SEARCH("平",D7006)),"平","仄")))</x:f>
        <x:v>仄</x:v>
      </x:c>
      <x:c r="L7006" s="7" t="str">
        <x:v>Pingshui main list expansion</x:v>
      </x:c>
    </x:row>
    <x:row r="7007">
      <x:c r="A7007" s="5" t="str">
        <x:v>梆</x:v>
      </x:c>
      <x:c r="B7007" s="6" t="str">
        <x:v>平</x:v>
      </x:c>
      <x:c r="C7007" s="6" t="str">
        <x:f>IF(B7007="","Needs decision","Ready")</x:f>
        <x:v>Ready</x:v>
      </x:c>
      <x:c r="D7007" s="6" t="str">
        <x:v>平</x:v>
      </x:c>
      <x:c r="E7007" s="6" t="str"/>
      <x:c r="F7007" s="6" t="str">
        <x:v>上平聲三江</x:v>
      </x:c>
      <x:c r="G7007" s="6" t="str">
        <x:v>Pingshui main list, Wikisource-derived DOCX</x:v>
      </x:c>
      <x:c r="H7007" s="6" t="str"/>
      <x:c r="I7007" s="6" t="str">
        <x:v>Pingshui main-list expansion; 詞 entries ignored</x:v>
      </x:c>
      <x:c r="J7007" s="6" t="str">
        <x:f>IF(B7007="","",IF(AND(ISNUMBER(SEARCH("平",B7007)),OR(ISNUMBER(SEARCH("上",B7007)),ISNUMBER(SEARCH("去",B7007)),ISNUMBER(SEARCH("入",B7007)))),"Ambiguous",IF(ISNUMBER(SEARCH("平",B7007)),"平","仄")))</x:f>
        <x:v>平</x:v>
      </x:c>
      <x:c r="K7007" s="6" t="str">
        <x:f>IF(D7007="","",IF(AND(ISNUMBER(SEARCH("平",D7007)),OR(ISNUMBER(SEARCH("上",D7007)),ISNUMBER(SEARCH("去",D7007)),ISNUMBER(SEARCH("入",D7007)))),"Ambiguous",IF(ISNUMBER(SEARCH("平",D7007)),"平","仄")))</x:f>
        <x:v>平</x:v>
      </x:c>
      <x:c r="L7007" s="7" t="str">
        <x:v>Pingshui main list expansion</x:v>
      </x:c>
    </x:row>
    <x:row r="7008">
      <x:c r="A7008" s="5" t="str">
        <x:v>梠</x:v>
      </x:c>
      <x:c r="B7008" s="6" t="str">
        <x:v>上</x:v>
      </x:c>
      <x:c r="C7008" s="6" t="str">
        <x:f>IF(B7008="","Needs decision","Ready")</x:f>
        <x:v>Ready</x:v>
      </x:c>
      <x:c r="D7008" s="6" t="str">
        <x:v>上</x:v>
      </x:c>
      <x:c r="E7008" s="6" t="str"/>
      <x:c r="F7008" s="6" t="str">
        <x:v>上聲六語</x:v>
      </x:c>
      <x:c r="G7008" s="6" t="str">
        <x:v>Pingshui main list, Wikisource-derived DOCX</x:v>
      </x:c>
      <x:c r="H7008" s="6" t="str"/>
      <x:c r="I7008" s="6" t="str">
        <x:v>Pingshui main-list expansion; 詞 entries ignored</x:v>
      </x:c>
      <x:c r="J7008" s="6" t="str">
        <x:f>IF(B7008="","",IF(AND(ISNUMBER(SEARCH("平",B7008)),OR(ISNUMBER(SEARCH("上",B7008)),ISNUMBER(SEARCH("去",B7008)),ISNUMBER(SEARCH("入",B7008)))),"Ambiguous",IF(ISNUMBER(SEARCH("平",B7008)),"平","仄")))</x:f>
        <x:v>仄</x:v>
      </x:c>
      <x:c r="K7008" s="6" t="str">
        <x:f>IF(D7008="","",IF(AND(ISNUMBER(SEARCH("平",D7008)),OR(ISNUMBER(SEARCH("上",D7008)),ISNUMBER(SEARCH("去",D7008)),ISNUMBER(SEARCH("入",D7008)))),"Ambiguous",IF(ISNUMBER(SEARCH("平",D7008)),"平","仄")))</x:f>
        <x:v>仄</x:v>
      </x:c>
      <x:c r="L7008" s="7" t="str">
        <x:v>Pingshui main list expansion</x:v>
      </x:c>
    </x:row>
    <x:row r="7009">
      <x:c r="A7009" s="5" t="str">
        <x:v>梩</x:v>
      </x:c>
      <x:c r="B7009" s="6" t="str">
        <x:v>平</x:v>
      </x:c>
      <x:c r="C7009" s="6" t="str">
        <x:f>IF(B7009="","Needs decision","Ready")</x:f>
        <x:v>Ready</x:v>
      </x:c>
      <x:c r="D7009" s="6" t="str">
        <x:v>平</x:v>
      </x:c>
      <x:c r="E7009" s="6" t="str"/>
      <x:c r="F7009" s="6" t="str">
        <x:v>上平聲四支</x:v>
      </x:c>
      <x:c r="G7009" s="6" t="str">
        <x:v>Pingshui main list, Wikisource-derived DOCX</x:v>
      </x:c>
      <x:c r="H7009" s="6" t="str"/>
      <x:c r="I7009" s="6" t="str">
        <x:v>Pingshui main-list expansion; 詞 entries ignored</x:v>
      </x:c>
      <x:c r="J7009" s="6" t="str">
        <x:f>IF(B7009="","",IF(AND(ISNUMBER(SEARCH("平",B7009)),OR(ISNUMBER(SEARCH("上",B7009)),ISNUMBER(SEARCH("去",B7009)),ISNUMBER(SEARCH("入",B7009)))),"Ambiguous",IF(ISNUMBER(SEARCH("平",B7009)),"平","仄")))</x:f>
        <x:v>平</x:v>
      </x:c>
      <x:c r="K7009" s="6" t="str">
        <x:f>IF(D7009="","",IF(AND(ISNUMBER(SEARCH("平",D7009)),OR(ISNUMBER(SEARCH("上",D7009)),ISNUMBER(SEARCH("去",D7009)),ISNUMBER(SEARCH("入",D7009)))),"Ambiguous",IF(ISNUMBER(SEARCH("平",D7009)),"平","仄")))</x:f>
        <x:v>平</x:v>
      </x:c>
      <x:c r="L7009" s="7" t="str">
        <x:v>Pingshui main list expansion</x:v>
      </x:c>
    </x:row>
    <x:row r="7010">
      <x:c r="A7010" s="5" t="str">
        <x:v>梲</x:v>
      </x:c>
      <x:c r="B7010" s="6" t="str">
        <x:v>入</x:v>
      </x:c>
      <x:c r="C7010" s="6" t="str">
        <x:f>IF(B7010="","Needs decision","Ready")</x:f>
        <x:v>Ready</x:v>
      </x:c>
      <x:c r="D7010" s="6" t="str">
        <x:v>入</x:v>
      </x:c>
      <x:c r="E7010" s="6" t="str"/>
      <x:c r="F7010" s="6" t="str">
        <x:v>入聲六月; 入聲九屑</x:v>
      </x:c>
      <x:c r="G7010" s="6" t="str">
        <x:v>Pingshui main list, Wikisource-derived DOCX</x:v>
      </x:c>
      <x:c r="H7010" s="6" t="str"/>
      <x:c r="I7010" s="6" t="str">
        <x:v>Pingshui main-list expansion; 詞 entries ignored</x:v>
      </x:c>
      <x:c r="J7010" s="6" t="str">
        <x:f>IF(B7010="","",IF(AND(ISNUMBER(SEARCH("平",B7010)),OR(ISNUMBER(SEARCH("上",B7010)),ISNUMBER(SEARCH("去",B7010)),ISNUMBER(SEARCH("入",B7010)))),"Ambiguous",IF(ISNUMBER(SEARCH("平",B7010)),"平","仄")))</x:f>
        <x:v>仄</x:v>
      </x:c>
      <x:c r="K7010" s="6" t="str">
        <x:f>IF(D7010="","",IF(AND(ISNUMBER(SEARCH("平",D7010)),OR(ISNUMBER(SEARCH("上",D7010)),ISNUMBER(SEARCH("去",D7010)),ISNUMBER(SEARCH("入",D7010)))),"Ambiguous",IF(ISNUMBER(SEARCH("平",D7010)),"平","仄")))</x:f>
        <x:v>仄</x:v>
      </x:c>
      <x:c r="L7010" s="7" t="str">
        <x:v>Pingshui main list expansion</x:v>
      </x:c>
    </x:row>
    <x:row r="7011">
      <x:c r="A7011" s="5" t="str">
        <x:v>梴</x:v>
      </x:c>
      <x:c r="B7011" s="6" t="str">
        <x:v>平</x:v>
      </x:c>
      <x:c r="C7011" s="6" t="str">
        <x:f>IF(B7011="","Needs decision","Ready")</x:f>
        <x:v>Ready</x:v>
      </x:c>
      <x:c r="D7011" s="6" t="str">
        <x:v>平</x:v>
      </x:c>
      <x:c r="E7011" s="6" t="str"/>
      <x:c r="F7011" s="6" t="str">
        <x:v>下平聲一先</x:v>
      </x:c>
      <x:c r="G7011" s="6" t="str">
        <x:v>Pingshui main list, Wikisource-derived DOCX</x:v>
      </x:c>
      <x:c r="H7011" s="6" t="str"/>
      <x:c r="I7011" s="6" t="str">
        <x:v>Pingshui main-list expansion; 詞 entries ignored</x:v>
      </x:c>
      <x:c r="J7011" s="6" t="str">
        <x:f>IF(B7011="","",IF(AND(ISNUMBER(SEARCH("平",B7011)),OR(ISNUMBER(SEARCH("上",B7011)),ISNUMBER(SEARCH("去",B7011)),ISNUMBER(SEARCH("入",B7011)))),"Ambiguous",IF(ISNUMBER(SEARCH("平",B7011)),"平","仄")))</x:f>
        <x:v>平</x:v>
      </x:c>
      <x:c r="K7011" s="6" t="str">
        <x:f>IF(D7011="","",IF(AND(ISNUMBER(SEARCH("平",D7011)),OR(ISNUMBER(SEARCH("上",D7011)),ISNUMBER(SEARCH("去",D7011)),ISNUMBER(SEARCH("入",D7011)))),"Ambiguous",IF(ISNUMBER(SEARCH("平",D7011)),"平","仄")))</x:f>
        <x:v>平</x:v>
      </x:c>
      <x:c r="L7011" s="7" t="str">
        <x:v>Pingshui main list expansion</x:v>
      </x:c>
    </x:row>
    <x:row r="7012">
      <x:c r="A7012" s="5" t="str">
        <x:v>棉</x:v>
      </x:c>
      <x:c r="B7012" s="6" t="str">
        <x:v>平</x:v>
      </x:c>
      <x:c r="C7012" s="6" t="str">
        <x:f>IF(B7012="","Needs decision","Ready")</x:f>
        <x:v>Ready</x:v>
      </x:c>
      <x:c r="D7012" s="6" t="str">
        <x:v>平</x:v>
      </x:c>
      <x:c r="E7012" s="6" t="str"/>
      <x:c r="F7012" s="6" t="str">
        <x:v>下平聲一先</x:v>
      </x:c>
      <x:c r="G7012" s="6" t="str">
        <x:v>Pingshui main list, Wikisource-derived DOCX</x:v>
      </x:c>
      <x:c r="H7012" s="6" t="str"/>
      <x:c r="I7012" s="6" t="str">
        <x:v>Pingshui main-list expansion; 詞 entries ignored</x:v>
      </x:c>
      <x:c r="J7012" s="6" t="str">
        <x:f>IF(B7012="","",IF(AND(ISNUMBER(SEARCH("平",B7012)),OR(ISNUMBER(SEARCH("上",B7012)),ISNUMBER(SEARCH("去",B7012)),ISNUMBER(SEARCH("入",B7012)))),"Ambiguous",IF(ISNUMBER(SEARCH("平",B7012)),"平","仄")))</x:f>
        <x:v>平</x:v>
      </x:c>
      <x:c r="K7012" s="6" t="str">
        <x:f>IF(D7012="","",IF(AND(ISNUMBER(SEARCH("平",D7012)),OR(ISNUMBER(SEARCH("上",D7012)),ISNUMBER(SEARCH("去",D7012)),ISNUMBER(SEARCH("入",D7012)))),"Ambiguous",IF(ISNUMBER(SEARCH("平",D7012)),"平","仄")))</x:f>
        <x:v>平</x:v>
      </x:c>
      <x:c r="L7012" s="7" t="str">
        <x:v>Pingshui main list expansion</x:v>
      </x:c>
    </x:row>
    <x:row r="7013">
      <x:c r="A7013" s="5" t="str">
        <x:v>棍</x:v>
      </x:c>
      <x:c r="B7013" s="6" t="str">
        <x:v>上</x:v>
      </x:c>
      <x:c r="C7013" s="6" t="str">
        <x:f>IF(B7013="","Needs decision","Ready")</x:f>
        <x:v>Ready</x:v>
      </x:c>
      <x:c r="D7013" s="6" t="str">
        <x:v>上</x:v>
      </x:c>
      <x:c r="E7013" s="6" t="str"/>
      <x:c r="F7013" s="6" t="str">
        <x:v>上聲十三阮</x:v>
      </x:c>
      <x:c r="G7013" s="6" t="str">
        <x:v>Pingshui main list, Wikisource-derived DOCX</x:v>
      </x:c>
      <x:c r="H7013" s="6" t="str"/>
      <x:c r="I7013" s="6" t="str">
        <x:v>Pingshui main-list expansion; 詞 entries ignored</x:v>
      </x:c>
      <x:c r="J7013" s="6" t="str">
        <x:f>IF(B7013="","",IF(AND(ISNUMBER(SEARCH("平",B7013)),OR(ISNUMBER(SEARCH("上",B7013)),ISNUMBER(SEARCH("去",B7013)),ISNUMBER(SEARCH("入",B7013)))),"Ambiguous",IF(ISNUMBER(SEARCH("平",B7013)),"平","仄")))</x:f>
        <x:v>仄</x:v>
      </x:c>
      <x:c r="K7013" s="6" t="str">
        <x:f>IF(D7013="","",IF(AND(ISNUMBER(SEARCH("平",D7013)),OR(ISNUMBER(SEARCH("上",D7013)),ISNUMBER(SEARCH("去",D7013)),ISNUMBER(SEARCH("入",D7013)))),"Ambiguous",IF(ISNUMBER(SEARCH("平",D7013)),"平","仄")))</x:f>
        <x:v>仄</x:v>
      </x:c>
      <x:c r="L7013" s="7" t="str">
        <x:v>Pingshui main list expansion</x:v>
      </x:c>
    </x:row>
    <x:row r="7014">
      <x:c r="A7014" s="5" t="str">
        <x:v>棐</x:v>
      </x:c>
      <x:c r="B7014" s="6" t="str">
        <x:v>上</x:v>
      </x:c>
      <x:c r="C7014" s="6" t="str">
        <x:f>IF(B7014="","Needs decision","Ready")</x:f>
        <x:v>Ready</x:v>
      </x:c>
      <x:c r="D7014" s="6" t="str">
        <x:v>上</x:v>
      </x:c>
      <x:c r="E7014" s="6" t="str"/>
      <x:c r="F7014" s="6" t="str">
        <x:v>上聲五尾</x:v>
      </x:c>
      <x:c r="G7014" s="6" t="str">
        <x:v>Pingshui main list, Wikisource-derived DOCX</x:v>
      </x:c>
      <x:c r="H7014" s="6" t="str"/>
      <x:c r="I7014" s="6" t="str">
        <x:v>Pingshui main-list expansion; 詞 entries ignored</x:v>
      </x:c>
      <x:c r="J7014" s="6" t="str">
        <x:f>IF(B7014="","",IF(AND(ISNUMBER(SEARCH("平",B7014)),OR(ISNUMBER(SEARCH("上",B7014)),ISNUMBER(SEARCH("去",B7014)),ISNUMBER(SEARCH("入",B7014)))),"Ambiguous",IF(ISNUMBER(SEARCH("平",B7014)),"平","仄")))</x:f>
        <x:v>仄</x:v>
      </x:c>
      <x:c r="K7014" s="6" t="str">
        <x:f>IF(D7014="","",IF(AND(ISNUMBER(SEARCH("平",D7014)),OR(ISNUMBER(SEARCH("上",D7014)),ISNUMBER(SEARCH("去",D7014)),ISNUMBER(SEARCH("入",D7014)))),"Ambiguous",IF(ISNUMBER(SEARCH("平",D7014)),"平","仄")))</x:f>
        <x:v>仄</x:v>
      </x:c>
      <x:c r="L7014" s="7" t="str">
        <x:v>Pingshui main list expansion</x:v>
      </x:c>
    </x:row>
    <x:row r="7015">
      <x:c r="A7015" s="5" t="str">
        <x:v>棔</x:v>
      </x:c>
      <x:c r="B7015" s="6" t="str">
        <x:v>平</x:v>
      </x:c>
      <x:c r="C7015" s="6" t="str">
        <x:f>IF(B7015="","Needs decision","Ready")</x:f>
        <x:v>Ready</x:v>
      </x:c>
      <x:c r="D7015" s="6" t="str">
        <x:v>平</x:v>
      </x:c>
      <x:c r="E7015" s="6" t="str"/>
      <x:c r="F7015" s="6" t="str">
        <x:v>上平聲十三元</x:v>
      </x:c>
      <x:c r="G7015" s="6" t="str">
        <x:v>Pingshui main list, Wikisource-derived DOCX</x:v>
      </x:c>
      <x:c r="H7015" s="6" t="str"/>
      <x:c r="I7015" s="6" t="str">
        <x:v>Pingshui main-list expansion; 詞 entries ignored</x:v>
      </x:c>
      <x:c r="J7015" s="6" t="str">
        <x:f>IF(B7015="","",IF(AND(ISNUMBER(SEARCH("平",B7015)),OR(ISNUMBER(SEARCH("上",B7015)),ISNUMBER(SEARCH("去",B7015)),ISNUMBER(SEARCH("入",B7015)))),"Ambiguous",IF(ISNUMBER(SEARCH("平",B7015)),"平","仄")))</x:f>
        <x:v>平</x:v>
      </x:c>
      <x:c r="K7015" s="6" t="str">
        <x:f>IF(D7015="","",IF(AND(ISNUMBER(SEARCH("平",D7015)),OR(ISNUMBER(SEARCH("上",D7015)),ISNUMBER(SEARCH("去",D7015)),ISNUMBER(SEARCH("入",D7015)))),"Ambiguous",IF(ISNUMBER(SEARCH("平",D7015)),"平","仄")))</x:f>
        <x:v>平</x:v>
      </x:c>
      <x:c r="L7015" s="7" t="str">
        <x:v>Pingshui main list expansion</x:v>
      </x:c>
    </x:row>
    <x:row r="7016">
      <x:c r="A7016" s="5" t="str">
        <x:v>棚</x:v>
      </x:c>
      <x:c r="B7016" s="6" t="str">
        <x:v>平</x:v>
      </x:c>
      <x:c r="C7016" s="6" t="str">
        <x:f>IF(B7016="","Needs decision","Ready")</x:f>
        <x:v>Ready</x:v>
      </x:c>
      <x:c r="D7016" s="6" t="str">
        <x:v>平</x:v>
      </x:c>
      <x:c r="E7016" s="6" t="str"/>
      <x:c r="F7016" s="6" t="str">
        <x:v>下平聲八庚</x:v>
      </x:c>
      <x:c r="G7016" s="6" t="str">
        <x:v>Pingshui main list, Wikisource-derived DOCX</x:v>
      </x:c>
      <x:c r="H7016" s="6" t="str"/>
      <x:c r="I7016" s="6" t="str">
        <x:v>Pingshui main-list expansion; 詞 entries ignored</x:v>
      </x:c>
      <x:c r="J7016" s="6" t="str">
        <x:f>IF(B7016="","",IF(AND(ISNUMBER(SEARCH("平",B7016)),OR(ISNUMBER(SEARCH("上",B7016)),ISNUMBER(SEARCH("去",B7016)),ISNUMBER(SEARCH("入",B7016)))),"Ambiguous",IF(ISNUMBER(SEARCH("平",B7016)),"平","仄")))</x:f>
        <x:v>平</x:v>
      </x:c>
      <x:c r="K7016" s="6" t="str">
        <x:f>IF(D7016="","",IF(AND(ISNUMBER(SEARCH("平",D7016)),OR(ISNUMBER(SEARCH("上",D7016)),ISNUMBER(SEARCH("去",D7016)),ISNUMBER(SEARCH("入",D7016)))),"Ambiguous",IF(ISNUMBER(SEARCH("平",D7016)),"平","仄")))</x:f>
        <x:v>平</x:v>
      </x:c>
      <x:c r="L7016" s="7" t="str">
        <x:v>Pingshui main list expansion</x:v>
      </x:c>
    </x:row>
    <x:row r="7017">
      <x:c r="A7017" s="5" t="str">
        <x:v>棜</x:v>
      </x:c>
      <x:c r="B7017" s="6" t="str">
        <x:v>去</x:v>
      </x:c>
      <x:c r="C7017" s="6" t="str">
        <x:f>IF(B7017="","Needs decision","Ready")</x:f>
        <x:v>Ready</x:v>
      </x:c>
      <x:c r="D7017" s="6" t="str">
        <x:v>去</x:v>
      </x:c>
      <x:c r="E7017" s="6" t="str"/>
      <x:c r="F7017" s="6" t="str">
        <x:v>去聲六御</x:v>
      </x:c>
      <x:c r="G7017" s="6" t="str">
        <x:v>Pingshui main list, Wikisource-derived DOCX</x:v>
      </x:c>
      <x:c r="H7017" s="6" t="str"/>
      <x:c r="I7017" s="6" t="str">
        <x:v>Pingshui main-list expansion; 詞 entries ignored</x:v>
      </x:c>
      <x:c r="J7017" s="6" t="str">
        <x:f>IF(B7017="","",IF(AND(ISNUMBER(SEARCH("平",B7017)),OR(ISNUMBER(SEARCH("上",B7017)),ISNUMBER(SEARCH("去",B7017)),ISNUMBER(SEARCH("入",B7017)))),"Ambiguous",IF(ISNUMBER(SEARCH("平",B7017)),"平","仄")))</x:f>
        <x:v>仄</x:v>
      </x:c>
      <x:c r="K7017" s="6" t="str">
        <x:f>IF(D7017="","",IF(AND(ISNUMBER(SEARCH("平",D7017)),OR(ISNUMBER(SEARCH("上",D7017)),ISNUMBER(SEARCH("去",D7017)),ISNUMBER(SEARCH("入",D7017)))),"Ambiguous",IF(ISNUMBER(SEARCH("平",D7017)),"平","仄")))</x:f>
        <x:v>仄</x:v>
      </x:c>
      <x:c r="L7017" s="7" t="str">
        <x:v>Pingshui main list expansion</x:v>
      </x:c>
    </x:row>
    <x:row r="7018">
      <x:c r="A7018" s="5" t="str">
        <x:v>棷</x:v>
      </x:c>
      <x:c r="B7018" s="6" t="str">
        <x:v>平</x:v>
      </x:c>
      <x:c r="C7018" s="6" t="str">
        <x:f>IF(B7018="","Needs decision","Ready")</x:f>
        <x:v>Ready</x:v>
      </x:c>
      <x:c r="D7018" s="6" t="str">
        <x:v>平</x:v>
      </x:c>
      <x:c r="E7018" s="6" t="str"/>
      <x:c r="F7018" s="6" t="str">
        <x:v>下平聲十一尤</x:v>
      </x:c>
      <x:c r="G7018" s="6" t="str">
        <x:v>Pingshui main list, Wikisource-derived DOCX</x:v>
      </x:c>
      <x:c r="H7018" s="6" t="str"/>
      <x:c r="I7018" s="6" t="str">
        <x:v>Pingshui main-list expansion; 詞 entries ignored</x:v>
      </x:c>
      <x:c r="J7018" s="6" t="str">
        <x:f>IF(B7018="","",IF(AND(ISNUMBER(SEARCH("平",B7018)),OR(ISNUMBER(SEARCH("上",B7018)),ISNUMBER(SEARCH("去",B7018)),ISNUMBER(SEARCH("入",B7018)))),"Ambiguous",IF(ISNUMBER(SEARCH("平",B7018)),"平","仄")))</x:f>
        <x:v>平</x:v>
      </x:c>
      <x:c r="K7018" s="6" t="str">
        <x:f>IF(D7018="","",IF(AND(ISNUMBER(SEARCH("平",D7018)),OR(ISNUMBER(SEARCH("上",D7018)),ISNUMBER(SEARCH("去",D7018)),ISNUMBER(SEARCH("入",D7018)))),"Ambiguous",IF(ISNUMBER(SEARCH("平",D7018)),"平","仄")))</x:f>
        <x:v>平</x:v>
      </x:c>
      <x:c r="L7018" s="7" t="str">
        <x:v>Pingshui main list expansion</x:v>
      </x:c>
    </x:row>
    <x:row r="7019">
      <x:c r="A7019" s="5" t="str">
        <x:v>椆</x:v>
      </x:c>
      <x:c r="B7019" s="6" t="str">
        <x:v>去</x:v>
      </x:c>
      <x:c r="C7019" s="6" t="str">
        <x:f>IF(B7019="","Needs decision","Ready")</x:f>
        <x:v>Ready</x:v>
      </x:c>
      <x:c r="D7019" s="6" t="str">
        <x:v>去</x:v>
      </x:c>
      <x:c r="E7019" s="6" t="str"/>
      <x:c r="F7019" s="6" t="str">
        <x:v>去聲二十六宥</x:v>
      </x:c>
      <x:c r="G7019" s="6" t="str">
        <x:v>Pingshui main list, Wikisource-derived DOCX</x:v>
      </x:c>
      <x:c r="H7019" s="6" t="str"/>
      <x:c r="I7019" s="6" t="str">
        <x:v>Pingshui main-list expansion; 詞 entries ignored</x:v>
      </x:c>
      <x:c r="J7019" s="6" t="str">
        <x:f>IF(B7019="","",IF(AND(ISNUMBER(SEARCH("平",B7019)),OR(ISNUMBER(SEARCH("上",B7019)),ISNUMBER(SEARCH("去",B7019)),ISNUMBER(SEARCH("入",B7019)))),"Ambiguous",IF(ISNUMBER(SEARCH("平",B7019)),"平","仄")))</x:f>
        <x:v>仄</x:v>
      </x:c>
      <x:c r="K7019" s="6" t="str">
        <x:f>IF(D7019="","",IF(AND(ISNUMBER(SEARCH("平",D7019)),OR(ISNUMBER(SEARCH("上",D7019)),ISNUMBER(SEARCH("去",D7019)),ISNUMBER(SEARCH("入",D7019)))),"Ambiguous",IF(ISNUMBER(SEARCH("平",D7019)),"平","仄")))</x:f>
        <x:v>仄</x:v>
      </x:c>
      <x:c r="L7019" s="7" t="str">
        <x:v>Pingshui main list expansion</x:v>
      </x:c>
    </x:row>
    <x:row r="7020">
      <x:c r="A7020" s="5" t="str">
        <x:v>椊</x:v>
      </x:c>
      <x:c r="B7020" s="6" t="str">
        <x:v>入</x:v>
      </x:c>
      <x:c r="C7020" s="6" t="str">
        <x:f>IF(B7020="","Needs decision","Ready")</x:f>
        <x:v>Ready</x:v>
      </x:c>
      <x:c r="D7020" s="6" t="str">
        <x:v>入</x:v>
      </x:c>
      <x:c r="E7020" s="6" t="str"/>
      <x:c r="F7020" s="6" t="str">
        <x:v>入聲六月</x:v>
      </x:c>
      <x:c r="G7020" s="6" t="str">
        <x:v>Pingshui main list, Wikisource-derived DOCX</x:v>
      </x:c>
      <x:c r="H7020" s="6" t="str"/>
      <x:c r="I7020" s="6" t="str">
        <x:v>Pingshui main-list expansion; 詞 entries ignored</x:v>
      </x:c>
      <x:c r="J7020" s="6" t="str">
        <x:f>IF(B7020="","",IF(AND(ISNUMBER(SEARCH("平",B7020)),OR(ISNUMBER(SEARCH("上",B7020)),ISNUMBER(SEARCH("去",B7020)),ISNUMBER(SEARCH("入",B7020)))),"Ambiguous",IF(ISNUMBER(SEARCH("平",B7020)),"平","仄")))</x:f>
        <x:v>仄</x:v>
      </x:c>
      <x:c r="K7020" s="6" t="str">
        <x:f>IF(D7020="","",IF(AND(ISNUMBER(SEARCH("平",D7020)),OR(ISNUMBER(SEARCH("上",D7020)),ISNUMBER(SEARCH("去",D7020)),ISNUMBER(SEARCH("入",D7020)))),"Ambiguous",IF(ISNUMBER(SEARCH("平",D7020)),"平","仄")))</x:f>
        <x:v>仄</x:v>
      </x:c>
      <x:c r="L7020" s="7" t="str">
        <x:v>Pingshui main list expansion</x:v>
      </x:c>
    </x:row>
    <x:row r="7021">
      <x:c r="A7021" s="5" t="str">
        <x:v>椏</x:v>
      </x:c>
      <x:c r="B7021" s="6" t="str">
        <x:v>平</x:v>
      </x:c>
      <x:c r="C7021" s="6" t="str">
        <x:f>IF(B7021="","Needs decision","Ready")</x:f>
        <x:v>Ready</x:v>
      </x:c>
      <x:c r="D7021" s="6" t="str">
        <x:v>平</x:v>
      </x:c>
      <x:c r="E7021" s="6" t="str"/>
      <x:c r="F7021" s="6" t="str">
        <x:v>下平聲六麻</x:v>
      </x:c>
      <x:c r="G7021" s="6" t="str">
        <x:v>Pingshui main list, Wikisource-derived DOCX</x:v>
      </x:c>
      <x:c r="H7021" s="6" t="str"/>
      <x:c r="I7021" s="6" t="str">
        <x:v>Pingshui main-list expansion; 詞 entries ignored</x:v>
      </x:c>
      <x:c r="J7021" s="6" t="str">
        <x:f>IF(B7021="","",IF(AND(ISNUMBER(SEARCH("平",B7021)),OR(ISNUMBER(SEARCH("上",B7021)),ISNUMBER(SEARCH("去",B7021)),ISNUMBER(SEARCH("入",B7021)))),"Ambiguous",IF(ISNUMBER(SEARCH("平",B7021)),"平","仄")))</x:f>
        <x:v>平</x:v>
      </x:c>
      <x:c r="K7021" s="6" t="str">
        <x:f>IF(D7021="","",IF(AND(ISNUMBER(SEARCH("平",D7021)),OR(ISNUMBER(SEARCH("上",D7021)),ISNUMBER(SEARCH("去",D7021)),ISNUMBER(SEARCH("入",D7021)))),"Ambiguous",IF(ISNUMBER(SEARCH("平",D7021)),"平","仄")))</x:f>
        <x:v>平</x:v>
      </x:c>
      <x:c r="L7021" s="7" t="str">
        <x:v>Pingshui main list expansion</x:v>
      </x:c>
    </x:row>
    <x:row r="7022">
      <x:c r="A7022" s="5" t="str">
        <x:v>椐</x:v>
      </x:c>
      <x:c r="B7022" s="6" t="str"/>
      <x:c r="C7022" s="6" t="str">
        <x:f>IF(B7022="","Needs decision","Ready")</x:f>
        <x:v>Needs decision</x:v>
      </x:c>
      <x:c r="D7022" s="6" t="str">
        <x:v>平/去</x:v>
      </x:c>
      <x:c r="E7022" s="6" t="str"/>
      <x:c r="F7022" s="6" t="str">
        <x:v>上平聲六魚; 去聲六御</x:v>
      </x:c>
      <x:c r="G7022" s="6" t="str">
        <x:v>Pingshui main list, Wikisource-derived DOCX</x:v>
      </x:c>
      <x:c r="H7022" s="6" t="str"/>
      <x:c r="I7022" s="6" t="str">
        <x:v>Pingshui main-list expansion; 詞 entries ignored</x:v>
      </x:c>
      <x:c r="J7022" s="6" t="str">
        <x:f>IF(B7022="","",IF(AND(ISNUMBER(SEARCH("平",B7022)),OR(ISNUMBER(SEARCH("上",B7022)),ISNUMBER(SEARCH("去",B7022)),ISNUMBER(SEARCH("入",B7022)))),"Ambiguous",IF(ISNUMBER(SEARCH("平",B7022)),"平","仄")))</x:f>
      </x:c>
      <x:c r="K7022" s="6" t="str">
        <x:f>IF(D7022="","",IF(AND(ISNUMBER(SEARCH("平",D7022)),OR(ISNUMBER(SEARCH("上",D7022)),ISNUMBER(SEARCH("去",D7022)),ISNUMBER(SEARCH("入",D7022)))),"Ambiguous",IF(ISNUMBER(SEARCH("平",D7022)),"平","仄")))</x:f>
        <x:v>Ambiguous</x:v>
      </x:c>
      <x:c r="L7022" s="7" t="str">
        <x:v>Pingshui main list expansion</x:v>
      </x:c>
    </x:row>
    <x:row r="7023">
      <x:c r="A7023" s="5" t="str">
        <x:v>椓</x:v>
      </x:c>
      <x:c r="B7023" s="6" t="str">
        <x:v>入</x:v>
      </x:c>
      <x:c r="C7023" s="6" t="str">
        <x:f>IF(B7023="","Needs decision","Ready")</x:f>
        <x:v>Ready</x:v>
      </x:c>
      <x:c r="D7023" s="6" t="str">
        <x:v>入</x:v>
      </x:c>
      <x:c r="E7023" s="6" t="str"/>
      <x:c r="F7023" s="6" t="str">
        <x:v>入聲三覺</x:v>
      </x:c>
      <x:c r="G7023" s="6" t="str">
        <x:v>Pingshui main list, Wikisource-derived DOCX</x:v>
      </x:c>
      <x:c r="H7023" s="6" t="str"/>
      <x:c r="I7023" s="6" t="str">
        <x:v>Pingshui main-list expansion; 詞 entries ignored</x:v>
      </x:c>
      <x:c r="J7023" s="6" t="str">
        <x:f>IF(B7023="","",IF(AND(ISNUMBER(SEARCH("平",B7023)),OR(ISNUMBER(SEARCH("上",B7023)),ISNUMBER(SEARCH("去",B7023)),ISNUMBER(SEARCH("入",B7023)))),"Ambiguous",IF(ISNUMBER(SEARCH("平",B7023)),"平","仄")))</x:f>
        <x:v>仄</x:v>
      </x:c>
      <x:c r="K7023" s="6" t="str">
        <x:f>IF(D7023="","",IF(AND(ISNUMBER(SEARCH("平",D7023)),OR(ISNUMBER(SEARCH("上",D7023)),ISNUMBER(SEARCH("去",D7023)),ISNUMBER(SEARCH("入",D7023)))),"Ambiguous",IF(ISNUMBER(SEARCH("平",D7023)),"平","仄")))</x:f>
        <x:v>仄</x:v>
      </x:c>
      <x:c r="L7023" s="7" t="str">
        <x:v>Pingshui main list expansion</x:v>
      </x:c>
    </x:row>
    <x:row r="7024">
      <x:c r="A7024" s="5" t="str">
        <x:v>椔</x:v>
      </x:c>
      <x:c r="B7024" s="6" t="str">
        <x:v>平</x:v>
      </x:c>
      <x:c r="C7024" s="6" t="str">
        <x:f>IF(B7024="","Needs decision","Ready")</x:f>
        <x:v>Ready</x:v>
      </x:c>
      <x:c r="D7024" s="6" t="str">
        <x:v>平</x:v>
      </x:c>
      <x:c r="E7024" s="6" t="str"/>
      <x:c r="F7024" s="6" t="str">
        <x:v>上平聲四支</x:v>
      </x:c>
      <x:c r="G7024" s="6" t="str">
        <x:v>Pingshui main list, Wikisource-derived DOCX</x:v>
      </x:c>
      <x:c r="H7024" s="6" t="str"/>
      <x:c r="I7024" s="6" t="str">
        <x:v>Pingshui main-list expansion; 詞 entries ignored</x:v>
      </x:c>
      <x:c r="J7024" s="6" t="str">
        <x:f>IF(B7024="","",IF(AND(ISNUMBER(SEARCH("平",B7024)),OR(ISNUMBER(SEARCH("上",B7024)),ISNUMBER(SEARCH("去",B7024)),ISNUMBER(SEARCH("入",B7024)))),"Ambiguous",IF(ISNUMBER(SEARCH("平",B7024)),"平","仄")))</x:f>
        <x:v>平</x:v>
      </x:c>
      <x:c r="K7024" s="6" t="str">
        <x:f>IF(D7024="","",IF(AND(ISNUMBER(SEARCH("平",D7024)),OR(ISNUMBER(SEARCH("上",D7024)),ISNUMBER(SEARCH("去",D7024)),ISNUMBER(SEARCH("入",D7024)))),"Ambiguous",IF(ISNUMBER(SEARCH("平",D7024)),"平","仄")))</x:f>
        <x:v>平</x:v>
      </x:c>
      <x:c r="L7024" s="7" t="str">
        <x:v>Pingshui main list expansion</x:v>
      </x:c>
    </x:row>
    <x:row r="7025">
      <x:c r="A7025" s="5" t="str">
        <x:v>椳</x:v>
      </x:c>
      <x:c r="B7025" s="6" t="str">
        <x:v>平</x:v>
      </x:c>
      <x:c r="C7025" s="6" t="str">
        <x:f>IF(B7025="","Needs decision","Ready")</x:f>
        <x:v>Ready</x:v>
      </x:c>
      <x:c r="D7025" s="6" t="str">
        <x:v>平</x:v>
      </x:c>
      <x:c r="E7025" s="6" t="str"/>
      <x:c r="F7025" s="6" t="str">
        <x:v>上平聲十灰</x:v>
      </x:c>
      <x:c r="G7025" s="6" t="str">
        <x:v>Pingshui main list, Wikisource-derived DOCX</x:v>
      </x:c>
      <x:c r="H7025" s="6" t="str"/>
      <x:c r="I7025" s="6" t="str">
        <x:v>Pingshui main-list expansion; 詞 entries ignored</x:v>
      </x:c>
      <x:c r="J7025" s="6" t="str">
        <x:f>IF(B7025="","",IF(AND(ISNUMBER(SEARCH("平",B7025)),OR(ISNUMBER(SEARCH("上",B7025)),ISNUMBER(SEARCH("去",B7025)),ISNUMBER(SEARCH("入",B7025)))),"Ambiguous",IF(ISNUMBER(SEARCH("平",B7025)),"平","仄")))</x:f>
        <x:v>平</x:v>
      </x:c>
      <x:c r="K7025" s="6" t="str">
        <x:f>IF(D7025="","",IF(AND(ISNUMBER(SEARCH("平",D7025)),OR(ISNUMBER(SEARCH("上",D7025)),ISNUMBER(SEARCH("去",D7025)),ISNUMBER(SEARCH("入",D7025)))),"Ambiguous",IF(ISNUMBER(SEARCH("平",D7025)),"平","仄")))</x:f>
        <x:v>平</x:v>
      </x:c>
      <x:c r="L7025" s="7" t="str">
        <x:v>Pingshui main list expansion</x:v>
      </x:c>
    </x:row>
    <x:row r="7026">
      <x:c r="A7026" s="5" t="str">
        <x:v>椷</x:v>
      </x:c>
      <x:c r="B7026" s="6" t="str">
        <x:v>平</x:v>
      </x:c>
      <x:c r="C7026" s="6" t="str">
        <x:f>IF(B7026="","Needs decision","Ready")</x:f>
        <x:v>Ready</x:v>
      </x:c>
      <x:c r="D7026" s="6" t="str">
        <x:v>平</x:v>
      </x:c>
      <x:c r="E7026" s="6" t="str"/>
      <x:c r="F7026" s="6" t="str">
        <x:v>下平聲十五咸</x:v>
      </x:c>
      <x:c r="G7026" s="6" t="str">
        <x:v>Pingshui main list, Wikisource-derived DOCX</x:v>
      </x:c>
      <x:c r="H7026" s="6" t="str"/>
      <x:c r="I7026" s="6" t="str">
        <x:v>Pingshui main-list expansion; 詞 entries ignored</x:v>
      </x:c>
      <x:c r="J7026" s="6" t="str">
        <x:f>IF(B7026="","",IF(AND(ISNUMBER(SEARCH("平",B7026)),OR(ISNUMBER(SEARCH("上",B7026)),ISNUMBER(SEARCH("去",B7026)),ISNUMBER(SEARCH("入",B7026)))),"Ambiguous",IF(ISNUMBER(SEARCH("平",B7026)),"平","仄")))</x:f>
        <x:v>平</x:v>
      </x:c>
      <x:c r="K7026" s="6" t="str">
        <x:f>IF(D7026="","",IF(AND(ISNUMBER(SEARCH("平",D7026)),OR(ISNUMBER(SEARCH("上",D7026)),ISNUMBER(SEARCH("去",D7026)),ISNUMBER(SEARCH("入",D7026)))),"Ambiguous",IF(ISNUMBER(SEARCH("平",D7026)),"平","仄")))</x:f>
        <x:v>平</x:v>
      </x:c>
      <x:c r="L7026" s="7" t="str">
        <x:v>Pingshui main list expansion</x:v>
      </x:c>
    </x:row>
    <x:row r="7027">
      <x:c r="A7027" s="5" t="str">
        <x:v>椸</x:v>
      </x:c>
      <x:c r="B7027" s="6" t="str">
        <x:v>平</x:v>
      </x:c>
      <x:c r="C7027" s="6" t="str">
        <x:f>IF(B7027="","Needs decision","Ready")</x:f>
        <x:v>Ready</x:v>
      </x:c>
      <x:c r="D7027" s="6" t="str">
        <x:v>平</x:v>
      </x:c>
      <x:c r="E7027" s="6" t="str"/>
      <x:c r="F7027" s="6" t="str">
        <x:v>上平聲四支</x:v>
      </x:c>
      <x:c r="G7027" s="6" t="str">
        <x:v>Pingshui main list, Wikisource-derived DOCX</x:v>
      </x:c>
      <x:c r="H7027" s="6" t="str"/>
      <x:c r="I7027" s="6" t="str">
        <x:v>Pingshui main-list expansion; 詞 entries ignored</x:v>
      </x:c>
      <x:c r="J7027" s="6" t="str">
        <x:f>IF(B7027="","",IF(AND(ISNUMBER(SEARCH("平",B7027)),OR(ISNUMBER(SEARCH("上",B7027)),ISNUMBER(SEARCH("去",B7027)),ISNUMBER(SEARCH("入",B7027)))),"Ambiguous",IF(ISNUMBER(SEARCH("平",B7027)),"平","仄")))</x:f>
        <x:v>平</x:v>
      </x:c>
      <x:c r="K7027" s="6" t="str">
        <x:f>IF(D7027="","",IF(AND(ISNUMBER(SEARCH("平",D7027)),OR(ISNUMBER(SEARCH("上",D7027)),ISNUMBER(SEARCH("去",D7027)),ISNUMBER(SEARCH("入",D7027)))),"Ambiguous",IF(ISNUMBER(SEARCH("平",D7027)),"平","仄")))</x:f>
        <x:v>平</x:v>
      </x:c>
      <x:c r="L7027" s="7" t="str">
        <x:v>Pingshui main list expansion</x:v>
      </x:c>
    </x:row>
    <x:row r="7028">
      <x:c r="A7028" s="5" t="str">
        <x:v>楄</x:v>
      </x:c>
      <x:c r="B7028" s="6" t="str">
        <x:v>平</x:v>
      </x:c>
      <x:c r="C7028" s="6" t="str">
        <x:f>IF(B7028="","Needs decision","Ready")</x:f>
        <x:v>Ready</x:v>
      </x:c>
      <x:c r="D7028" s="6" t="str">
        <x:v>平</x:v>
      </x:c>
      <x:c r="E7028" s="6" t="str"/>
      <x:c r="F7028" s="6" t="str">
        <x:v>下平聲一先</x:v>
      </x:c>
      <x:c r="G7028" s="6" t="str">
        <x:v>Pingshui main list, Wikisource-derived DOCX</x:v>
      </x:c>
      <x:c r="H7028" s="6" t="str"/>
      <x:c r="I7028" s="6" t="str">
        <x:v>Pingshui main-list expansion; 詞 entries ignored</x:v>
      </x:c>
      <x:c r="J7028" s="6" t="str">
        <x:f>IF(B7028="","",IF(AND(ISNUMBER(SEARCH("平",B7028)),OR(ISNUMBER(SEARCH("上",B7028)),ISNUMBER(SEARCH("去",B7028)),ISNUMBER(SEARCH("入",B7028)))),"Ambiguous",IF(ISNUMBER(SEARCH("平",B7028)),"平","仄")))</x:f>
        <x:v>平</x:v>
      </x:c>
      <x:c r="K7028" s="6" t="str">
        <x:f>IF(D7028="","",IF(AND(ISNUMBER(SEARCH("平",D7028)),OR(ISNUMBER(SEARCH("上",D7028)),ISNUMBER(SEARCH("去",D7028)),ISNUMBER(SEARCH("入",D7028)))),"Ambiguous",IF(ISNUMBER(SEARCH("平",D7028)),"平","仄")))</x:f>
        <x:v>平</x:v>
      </x:c>
      <x:c r="L7028" s="7" t="str">
        <x:v>Pingshui main list expansion</x:v>
      </x:c>
    </x:row>
    <x:row r="7029">
      <x:c r="A7029" s="5" t="str">
        <x:v>楅</x:v>
      </x:c>
      <x:c r="B7029" s="6" t="str">
        <x:v>入</x:v>
      </x:c>
      <x:c r="C7029" s="6" t="str">
        <x:f>IF(B7029="","Needs decision","Ready")</x:f>
        <x:v>Ready</x:v>
      </x:c>
      <x:c r="D7029" s="6" t="str">
        <x:v>入</x:v>
      </x:c>
      <x:c r="E7029" s="6" t="str"/>
      <x:c r="F7029" s="6" t="str">
        <x:v>入聲十三職</x:v>
      </x:c>
      <x:c r="G7029" s="6" t="str">
        <x:v>Pingshui main list, Wikisource-derived DOCX</x:v>
      </x:c>
      <x:c r="H7029" s="6" t="str"/>
      <x:c r="I7029" s="6" t="str">
        <x:v>Pingshui main-list expansion; 詞 entries ignored</x:v>
      </x:c>
      <x:c r="J7029" s="6" t="str">
        <x:f>IF(B7029="","",IF(AND(ISNUMBER(SEARCH("平",B7029)),OR(ISNUMBER(SEARCH("上",B7029)),ISNUMBER(SEARCH("去",B7029)),ISNUMBER(SEARCH("入",B7029)))),"Ambiguous",IF(ISNUMBER(SEARCH("平",B7029)),"平","仄")))</x:f>
        <x:v>仄</x:v>
      </x:c>
      <x:c r="K7029" s="6" t="str">
        <x:f>IF(D7029="","",IF(AND(ISNUMBER(SEARCH("平",D7029)),OR(ISNUMBER(SEARCH("上",D7029)),ISNUMBER(SEARCH("去",D7029)),ISNUMBER(SEARCH("入",D7029)))),"Ambiguous",IF(ISNUMBER(SEARCH("平",D7029)),"平","仄")))</x:f>
        <x:v>仄</x:v>
      </x:c>
      <x:c r="L7029" s="7" t="str">
        <x:v>Pingshui main list expansion</x:v>
      </x:c>
    </x:row>
    <x:row r="7030">
      <x:c r="A7030" s="5" t="str">
        <x:v>楘</x:v>
      </x:c>
      <x:c r="B7030" s="6" t="str">
        <x:v>入</x:v>
      </x:c>
      <x:c r="C7030" s="6" t="str">
        <x:f>IF(B7030="","Needs decision","Ready")</x:f>
        <x:v>Ready</x:v>
      </x:c>
      <x:c r="D7030" s="6" t="str">
        <x:v>入</x:v>
      </x:c>
      <x:c r="E7030" s="6" t="str"/>
      <x:c r="F7030" s="6" t="str">
        <x:v>入聲一屋</x:v>
      </x:c>
      <x:c r="G7030" s="6" t="str">
        <x:v>Pingshui main list, Wikisource-derived DOCX</x:v>
      </x:c>
      <x:c r="H7030" s="6" t="str"/>
      <x:c r="I7030" s="6" t="str">
        <x:v>Pingshui main-list expansion; 詞 entries ignored</x:v>
      </x:c>
      <x:c r="J7030" s="6" t="str">
        <x:f>IF(B7030="","",IF(AND(ISNUMBER(SEARCH("平",B7030)),OR(ISNUMBER(SEARCH("上",B7030)),ISNUMBER(SEARCH("去",B7030)),ISNUMBER(SEARCH("入",B7030)))),"Ambiguous",IF(ISNUMBER(SEARCH("平",B7030)),"平","仄")))</x:f>
        <x:v>仄</x:v>
      </x:c>
      <x:c r="K7030" s="6" t="str">
        <x:f>IF(D7030="","",IF(AND(ISNUMBER(SEARCH("平",D7030)),OR(ISNUMBER(SEARCH("上",D7030)),ISNUMBER(SEARCH("去",D7030)),ISNUMBER(SEARCH("入",D7030)))),"Ambiguous",IF(ISNUMBER(SEARCH("平",D7030)),"平","仄")))</x:f>
        <x:v>仄</x:v>
      </x:c>
      <x:c r="L7030" s="7" t="str">
        <x:v>Pingshui main list expansion</x:v>
      </x:c>
    </x:row>
    <x:row r="7031">
      <x:c r="A7031" s="5" t="str">
        <x:v>楦</x:v>
      </x:c>
      <x:c r="B7031" s="6" t="str">
        <x:v>去</x:v>
      </x:c>
      <x:c r="C7031" s="6" t="str">
        <x:f>IF(B7031="","Needs decision","Ready")</x:f>
        <x:v>Ready</x:v>
      </x:c>
      <x:c r="D7031" s="6" t="str">
        <x:v>去</x:v>
      </x:c>
      <x:c r="E7031" s="6" t="str"/>
      <x:c r="F7031" s="6" t="str">
        <x:v>去聲十四願</x:v>
      </x:c>
      <x:c r="G7031" s="6" t="str">
        <x:v>Pingshui main list, Wikisource-derived DOCX</x:v>
      </x:c>
      <x:c r="H7031" s="6" t="str"/>
      <x:c r="I7031" s="6" t="str">
        <x:v>Pingshui main-list expansion; 詞 entries ignored</x:v>
      </x:c>
      <x:c r="J7031" s="6" t="str">
        <x:f>IF(B7031="","",IF(AND(ISNUMBER(SEARCH("平",B7031)),OR(ISNUMBER(SEARCH("上",B7031)),ISNUMBER(SEARCH("去",B7031)),ISNUMBER(SEARCH("入",B7031)))),"Ambiguous",IF(ISNUMBER(SEARCH("平",B7031)),"平","仄")))</x:f>
        <x:v>仄</x:v>
      </x:c>
      <x:c r="K7031" s="6" t="str">
        <x:f>IF(D7031="","",IF(AND(ISNUMBER(SEARCH("平",D7031)),OR(ISNUMBER(SEARCH("上",D7031)),ISNUMBER(SEARCH("去",D7031)),ISNUMBER(SEARCH("入",D7031)))),"Ambiguous",IF(ISNUMBER(SEARCH("平",D7031)),"平","仄")))</x:f>
        <x:v>仄</x:v>
      </x:c>
      <x:c r="L7031" s="7" t="str">
        <x:v>Pingshui main list expansion</x:v>
      </x:c>
    </x:row>
    <x:row r="7032">
      <x:c r="A7032" s="5" t="str">
        <x:v>楪</x:v>
      </x:c>
      <x:c r="B7032" s="6" t="str">
        <x:v>入</x:v>
      </x:c>
      <x:c r="C7032" s="6" t="str">
        <x:f>IF(B7032="","Needs decision","Ready")</x:f>
        <x:v>Ready</x:v>
      </x:c>
      <x:c r="D7032" s="6" t="str">
        <x:v>入</x:v>
      </x:c>
      <x:c r="E7032" s="6" t="str"/>
      <x:c r="F7032" s="6" t="str">
        <x:v>入聲十六葉</x:v>
      </x:c>
      <x:c r="G7032" s="6" t="str">
        <x:v>Pingshui main list, Wikisource-derived DOCX</x:v>
      </x:c>
      <x:c r="H7032" s="6" t="str"/>
      <x:c r="I7032" s="6" t="str">
        <x:v>Pingshui main-list expansion; 詞 entries ignored</x:v>
      </x:c>
      <x:c r="J7032" s="6" t="str">
        <x:f>IF(B7032="","",IF(AND(ISNUMBER(SEARCH("平",B7032)),OR(ISNUMBER(SEARCH("上",B7032)),ISNUMBER(SEARCH("去",B7032)),ISNUMBER(SEARCH("入",B7032)))),"Ambiguous",IF(ISNUMBER(SEARCH("平",B7032)),"平","仄")))</x:f>
        <x:v>仄</x:v>
      </x:c>
      <x:c r="K7032" s="6" t="str">
        <x:f>IF(D7032="","",IF(AND(ISNUMBER(SEARCH("平",D7032)),OR(ISNUMBER(SEARCH("上",D7032)),ISNUMBER(SEARCH("去",D7032)),ISNUMBER(SEARCH("入",D7032)))),"Ambiguous",IF(ISNUMBER(SEARCH("平",D7032)),"平","仄")))</x:f>
        <x:v>仄</x:v>
      </x:c>
      <x:c r="L7032" s="7" t="str">
        <x:v>Pingshui main list expansion</x:v>
      </x:c>
    </x:row>
    <x:row r="7033">
      <x:c r="A7033" s="5" t="str">
        <x:v>楬</x:v>
      </x:c>
      <x:c r="B7033" s="6" t="str">
        <x:v>入</x:v>
      </x:c>
      <x:c r="C7033" s="6" t="str">
        <x:f>IF(B7033="","Needs decision","Ready")</x:f>
        <x:v>Ready</x:v>
      </x:c>
      <x:c r="D7033" s="6" t="str">
        <x:v>入</x:v>
      </x:c>
      <x:c r="E7033" s="6" t="str"/>
      <x:c r="F7033" s="6" t="str">
        <x:v>入聲六月; 入聲八黠; 入聲九屑</x:v>
      </x:c>
      <x:c r="G7033" s="6" t="str">
        <x:v>Pingshui main list, Wikisource-derived DOCX</x:v>
      </x:c>
      <x:c r="H7033" s="6" t="str"/>
      <x:c r="I7033" s="6" t="str">
        <x:v>Pingshui main-list expansion; 詞 entries ignored</x:v>
      </x:c>
      <x:c r="J7033" s="6" t="str">
        <x:f>IF(B7033="","",IF(AND(ISNUMBER(SEARCH("平",B7033)),OR(ISNUMBER(SEARCH("上",B7033)),ISNUMBER(SEARCH("去",B7033)),ISNUMBER(SEARCH("入",B7033)))),"Ambiguous",IF(ISNUMBER(SEARCH("平",B7033)),"平","仄")))</x:f>
        <x:v>仄</x:v>
      </x:c>
      <x:c r="K7033" s="6" t="str">
        <x:f>IF(D7033="","",IF(AND(ISNUMBER(SEARCH("平",D7033)),OR(ISNUMBER(SEARCH("上",D7033)),ISNUMBER(SEARCH("去",D7033)),ISNUMBER(SEARCH("入",D7033)))),"Ambiguous",IF(ISNUMBER(SEARCH("平",D7033)),"平","仄")))</x:f>
        <x:v>仄</x:v>
      </x:c>
      <x:c r="L7033" s="7" t="str">
        <x:v>Pingshui main list expansion</x:v>
      </x:c>
    </x:row>
    <x:row r="7034">
      <x:c r="A7034" s="5" t="str">
        <x:v>楮</x:v>
      </x:c>
      <x:c r="B7034" s="6" t="str">
        <x:v>上</x:v>
      </x:c>
      <x:c r="C7034" s="6" t="str">
        <x:f>IF(B7034="","Needs decision","Ready")</x:f>
        <x:v>Ready</x:v>
      </x:c>
      <x:c r="D7034" s="6" t="str">
        <x:v>上</x:v>
      </x:c>
      <x:c r="E7034" s="6" t="str"/>
      <x:c r="F7034" s="6" t="str">
        <x:v>上聲六語</x:v>
      </x:c>
      <x:c r="G7034" s="6" t="str">
        <x:v>Pingshui main list, Wikisource-derived DOCX</x:v>
      </x:c>
      <x:c r="H7034" s="6" t="str"/>
      <x:c r="I7034" s="6" t="str">
        <x:v>Pingshui main-list expansion; 詞 entries ignored</x:v>
      </x:c>
      <x:c r="J7034" s="6" t="str">
        <x:f>IF(B7034="","",IF(AND(ISNUMBER(SEARCH("平",B7034)),OR(ISNUMBER(SEARCH("上",B7034)),ISNUMBER(SEARCH("去",B7034)),ISNUMBER(SEARCH("入",B7034)))),"Ambiguous",IF(ISNUMBER(SEARCH("平",B7034)),"平","仄")))</x:f>
        <x:v>仄</x:v>
      </x:c>
      <x:c r="K7034" s="6" t="str">
        <x:f>IF(D7034="","",IF(AND(ISNUMBER(SEARCH("平",D7034)),OR(ISNUMBER(SEARCH("上",D7034)),ISNUMBER(SEARCH("去",D7034)),ISNUMBER(SEARCH("入",D7034)))),"Ambiguous",IF(ISNUMBER(SEARCH("平",D7034)),"平","仄")))</x:f>
        <x:v>仄</x:v>
      </x:c>
      <x:c r="L7034" s="7" t="str">
        <x:v>Pingshui main list expansion</x:v>
      </x:c>
    </x:row>
    <x:row r="7035">
      <x:c r="A7035" s="5" t="str">
        <x:v>楰</x:v>
      </x:c>
      <x:c r="B7035" s="6" t="str"/>
      <x:c r="C7035" s="6" t="str">
        <x:f>IF(B7035="","Needs decision","Ready")</x:f>
        <x:v>Needs decision</x:v>
      </x:c>
      <x:c r="D7035" s="6" t="str">
        <x:v>平/上</x:v>
      </x:c>
      <x:c r="E7035" s="6" t="str"/>
      <x:c r="F7035" s="6" t="str">
        <x:v>上平聲七虞; 上聲七麌</x:v>
      </x:c>
      <x:c r="G7035" s="6" t="str">
        <x:v>Pingshui main list, Wikisource-derived DOCX</x:v>
      </x:c>
      <x:c r="H7035" s="6" t="str"/>
      <x:c r="I7035" s="6" t="str">
        <x:v>Pingshui main-list expansion; 詞 entries ignored</x:v>
      </x:c>
      <x:c r="J7035" s="6" t="str">
        <x:f>IF(B7035="","",IF(AND(ISNUMBER(SEARCH("平",B7035)),OR(ISNUMBER(SEARCH("上",B7035)),ISNUMBER(SEARCH("去",B7035)),ISNUMBER(SEARCH("入",B7035)))),"Ambiguous",IF(ISNUMBER(SEARCH("平",B7035)),"平","仄")))</x:f>
      </x:c>
      <x:c r="K7035" s="6" t="str">
        <x:f>IF(D7035="","",IF(AND(ISNUMBER(SEARCH("平",D7035)),OR(ISNUMBER(SEARCH("上",D7035)),ISNUMBER(SEARCH("去",D7035)),ISNUMBER(SEARCH("入",D7035)))),"Ambiguous",IF(ISNUMBER(SEARCH("平",D7035)),"平","仄")))</x:f>
        <x:v>Ambiguous</x:v>
      </x:c>
      <x:c r="L7035" s="7" t="str">
        <x:v>Pingshui main list expansion</x:v>
      </x:c>
    </x:row>
    <x:row r="7036">
      <x:c r="A7036" s="5" t="str">
        <x:v>楱</x:v>
      </x:c>
      <x:c r="B7036" s="6" t="str">
        <x:v>去</x:v>
      </x:c>
      <x:c r="C7036" s="6" t="str">
        <x:f>IF(B7036="","Needs decision","Ready")</x:f>
        <x:v>Ready</x:v>
      </x:c>
      <x:c r="D7036" s="6" t="str">
        <x:v>去</x:v>
      </x:c>
      <x:c r="E7036" s="6" t="str"/>
      <x:c r="F7036" s="6" t="str">
        <x:v>去聲二十六宥</x:v>
      </x:c>
      <x:c r="G7036" s="6" t="str">
        <x:v>Pingshui main list, Wikisource-derived DOCX</x:v>
      </x:c>
      <x:c r="H7036" s="6" t="str"/>
      <x:c r="I7036" s="6" t="str">
        <x:v>Pingshui main-list expansion; 詞 entries ignored</x:v>
      </x:c>
      <x:c r="J7036" s="6" t="str">
        <x:f>IF(B7036="","",IF(AND(ISNUMBER(SEARCH("平",B7036)),OR(ISNUMBER(SEARCH("上",B7036)),ISNUMBER(SEARCH("去",B7036)),ISNUMBER(SEARCH("入",B7036)))),"Ambiguous",IF(ISNUMBER(SEARCH("平",B7036)),"平","仄")))</x:f>
        <x:v>仄</x:v>
      </x:c>
      <x:c r="K7036" s="6" t="str">
        <x:f>IF(D7036="","",IF(AND(ISNUMBER(SEARCH("平",D7036)),OR(ISNUMBER(SEARCH("上",D7036)),ISNUMBER(SEARCH("去",D7036)),ISNUMBER(SEARCH("入",D7036)))),"Ambiguous",IF(ISNUMBER(SEARCH("平",D7036)),"平","仄")))</x:f>
        <x:v>仄</x:v>
      </x:c>
      <x:c r="L7036" s="7" t="str">
        <x:v>Pingshui main list expansion</x:v>
      </x:c>
    </x:row>
    <x:row r="7037">
      <x:c r="A7037" s="5" t="str">
        <x:v>楴</x:v>
      </x:c>
      <x:c r="B7037" s="6" t="str">
        <x:v>去</x:v>
      </x:c>
      <x:c r="C7037" s="6" t="str">
        <x:f>IF(B7037="","Needs decision","Ready")</x:f>
        <x:v>Ready</x:v>
      </x:c>
      <x:c r="D7037" s="6" t="str">
        <x:v>去</x:v>
      </x:c>
      <x:c r="E7037" s="6" t="str"/>
      <x:c r="F7037" s="6" t="str">
        <x:v>去聲八霽</x:v>
      </x:c>
      <x:c r="G7037" s="6" t="str">
        <x:v>Pingshui main list, Wikisource-derived DOCX</x:v>
      </x:c>
      <x:c r="H7037" s="6" t="str"/>
      <x:c r="I7037" s="6" t="str">
        <x:v>Pingshui main-list expansion; 詞 entries ignored</x:v>
      </x:c>
      <x:c r="J7037" s="6" t="str">
        <x:f>IF(B7037="","",IF(AND(ISNUMBER(SEARCH("平",B7037)),OR(ISNUMBER(SEARCH("上",B7037)),ISNUMBER(SEARCH("去",B7037)),ISNUMBER(SEARCH("入",B7037)))),"Ambiguous",IF(ISNUMBER(SEARCH("平",B7037)),"平","仄")))</x:f>
        <x:v>仄</x:v>
      </x:c>
      <x:c r="K7037" s="6" t="str">
        <x:f>IF(D7037="","",IF(AND(ISNUMBER(SEARCH("平",D7037)),OR(ISNUMBER(SEARCH("上",D7037)),ISNUMBER(SEARCH("去",D7037)),ISNUMBER(SEARCH("入",D7037)))),"Ambiguous",IF(ISNUMBER(SEARCH("平",D7037)),"平","仄")))</x:f>
        <x:v>仄</x:v>
      </x:c>
      <x:c r="L7037" s="7" t="str">
        <x:v>Pingshui main list expansion</x:v>
      </x:c>
    </x:row>
    <x:row r="7038">
      <x:c r="A7038" s="5" t="str">
        <x:v>楶</x:v>
      </x:c>
      <x:c r="B7038" s="6" t="str">
        <x:v>入</x:v>
      </x:c>
      <x:c r="C7038" s="6" t="str">
        <x:f>IF(B7038="","Needs decision","Ready")</x:f>
        <x:v>Ready</x:v>
      </x:c>
      <x:c r="D7038" s="6" t="str">
        <x:v>入</x:v>
      </x:c>
      <x:c r="E7038" s="6" t="str"/>
      <x:c r="F7038" s="6" t="str">
        <x:v>入聲九屑</x:v>
      </x:c>
      <x:c r="G7038" s="6" t="str">
        <x:v>Pingshui main list, Wikisource-derived DOCX</x:v>
      </x:c>
      <x:c r="H7038" s="6" t="str"/>
      <x:c r="I7038" s="6" t="str">
        <x:v>Pingshui main-list expansion; 詞 entries ignored</x:v>
      </x:c>
      <x:c r="J7038" s="6" t="str">
        <x:f>IF(B7038="","",IF(AND(ISNUMBER(SEARCH("平",B7038)),OR(ISNUMBER(SEARCH("上",B7038)),ISNUMBER(SEARCH("去",B7038)),ISNUMBER(SEARCH("入",B7038)))),"Ambiguous",IF(ISNUMBER(SEARCH("平",B7038)),"平","仄")))</x:f>
        <x:v>仄</x:v>
      </x:c>
      <x:c r="K7038" s="6" t="str">
        <x:f>IF(D7038="","",IF(AND(ISNUMBER(SEARCH("平",D7038)),OR(ISNUMBER(SEARCH("上",D7038)),ISNUMBER(SEARCH("去",D7038)),ISNUMBER(SEARCH("入",D7038)))),"Ambiguous",IF(ISNUMBER(SEARCH("平",D7038)),"平","仄")))</x:f>
        <x:v>仄</x:v>
      </x:c>
      <x:c r="L7038" s="7" t="str">
        <x:v>Pingshui main list expansion</x:v>
      </x:c>
    </x:row>
    <x:row r="7039">
      <x:c r="A7039" s="5" t="str">
        <x:v>楺</x:v>
      </x:c>
      <x:c r="B7039" s="6" t="str">
        <x:v>上</x:v>
      </x:c>
      <x:c r="C7039" s="6" t="str">
        <x:f>IF(B7039="","Needs decision","Ready")</x:f>
        <x:v>Ready</x:v>
      </x:c>
      <x:c r="D7039" s="6" t="str">
        <x:v>上</x:v>
      </x:c>
      <x:c r="E7039" s="6" t="str"/>
      <x:c r="F7039" s="6" t="str">
        <x:v>上聲二十五有</x:v>
      </x:c>
      <x:c r="G7039" s="6" t="str">
        <x:v>Pingshui main list, Wikisource-derived DOCX</x:v>
      </x:c>
      <x:c r="H7039" s="6" t="str"/>
      <x:c r="I7039" s="6" t="str">
        <x:v>Pingshui main-list expansion; 詞 entries ignored</x:v>
      </x:c>
      <x:c r="J7039" s="6" t="str">
        <x:f>IF(B7039="","",IF(AND(ISNUMBER(SEARCH("平",B7039)),OR(ISNUMBER(SEARCH("上",B7039)),ISNUMBER(SEARCH("去",B7039)),ISNUMBER(SEARCH("入",B7039)))),"Ambiguous",IF(ISNUMBER(SEARCH("平",B7039)),"平","仄")))</x:f>
        <x:v>仄</x:v>
      </x:c>
      <x:c r="K7039" s="6" t="str">
        <x:f>IF(D7039="","",IF(AND(ISNUMBER(SEARCH("平",D7039)),OR(ISNUMBER(SEARCH("上",D7039)),ISNUMBER(SEARCH("去",D7039)),ISNUMBER(SEARCH("入",D7039)))),"Ambiguous",IF(ISNUMBER(SEARCH("平",D7039)),"平","仄")))</x:f>
        <x:v>仄</x:v>
      </x:c>
      <x:c r="L7039" s="7" t="str">
        <x:v>Pingshui main list expansion</x:v>
      </x:c>
    </x:row>
    <x:row r="7040">
      <x:c r="A7040" s="5" t="str">
        <x:v>榕</x:v>
      </x:c>
      <x:c r="B7040" s="6" t="str">
        <x:v>平</x:v>
      </x:c>
      <x:c r="C7040" s="6" t="str">
        <x:f>IF(B7040="","Needs decision","Ready")</x:f>
        <x:v>Ready</x:v>
      </x:c>
      <x:c r="D7040" s="6" t="str">
        <x:v>平</x:v>
      </x:c>
      <x:c r="E7040" s="6" t="str"/>
      <x:c r="F7040" s="6" t="str">
        <x:v>上平聲二冬</x:v>
      </x:c>
      <x:c r="G7040" s="6" t="str">
        <x:v>Pingshui main list, Wikisource-derived DOCX</x:v>
      </x:c>
      <x:c r="H7040" s="6" t="str"/>
      <x:c r="I7040" s="6" t="str">
        <x:v>Pingshui main-list expansion; 詞 entries ignored</x:v>
      </x:c>
      <x:c r="J7040" s="6" t="str">
        <x:f>IF(B7040="","",IF(AND(ISNUMBER(SEARCH("平",B7040)),OR(ISNUMBER(SEARCH("上",B7040)),ISNUMBER(SEARCH("去",B7040)),ISNUMBER(SEARCH("入",B7040)))),"Ambiguous",IF(ISNUMBER(SEARCH("平",B7040)),"平","仄")))</x:f>
        <x:v>平</x:v>
      </x:c>
      <x:c r="K7040" s="6" t="str">
        <x:f>IF(D7040="","",IF(AND(ISNUMBER(SEARCH("平",D7040)),OR(ISNUMBER(SEARCH("上",D7040)),ISNUMBER(SEARCH("去",D7040)),ISNUMBER(SEARCH("入",D7040)))),"Ambiguous",IF(ISNUMBER(SEARCH("平",D7040)),"平","仄")))</x:f>
        <x:v>平</x:v>
      </x:c>
      <x:c r="L7040" s="7" t="str">
        <x:v>Pingshui main list expansion</x:v>
      </x:c>
    </x:row>
    <x:row r="7041">
      <x:c r="A7041" s="5" t="str">
        <x:v>榖</x:v>
      </x:c>
      <x:c r="B7041" s="6" t="str">
        <x:v>入</x:v>
      </x:c>
      <x:c r="C7041" s="6" t="str">
        <x:f>IF(B7041="","Needs decision","Ready")</x:f>
        <x:v>Ready</x:v>
      </x:c>
      <x:c r="D7041" s="6" t="str">
        <x:v>入</x:v>
      </x:c>
      <x:c r="E7041" s="6" t="str"/>
      <x:c r="F7041" s="6" t="str">
        <x:v>入聲一屋</x:v>
      </x:c>
      <x:c r="G7041" s="6" t="str">
        <x:v>Pingshui main list, Wikisource-derived DOCX</x:v>
      </x:c>
      <x:c r="H7041" s="6" t="str"/>
      <x:c r="I7041" s="6" t="str">
        <x:v>Pingshui main-list expansion; 詞 entries ignored</x:v>
      </x:c>
      <x:c r="J7041" s="6" t="str">
        <x:f>IF(B7041="","",IF(AND(ISNUMBER(SEARCH("平",B7041)),OR(ISNUMBER(SEARCH("上",B7041)),ISNUMBER(SEARCH("去",B7041)),ISNUMBER(SEARCH("入",B7041)))),"Ambiguous",IF(ISNUMBER(SEARCH("平",B7041)),"平","仄")))</x:f>
        <x:v>仄</x:v>
      </x:c>
      <x:c r="K7041" s="6" t="str">
        <x:f>IF(D7041="","",IF(AND(ISNUMBER(SEARCH("平",D7041)),OR(ISNUMBER(SEARCH("上",D7041)),ISNUMBER(SEARCH("去",D7041)),ISNUMBER(SEARCH("入",D7041)))),"Ambiguous",IF(ISNUMBER(SEARCH("平",D7041)),"平","仄")))</x:f>
        <x:v>仄</x:v>
      </x:c>
      <x:c r="L7041" s="7" t="str">
        <x:v>Pingshui main list expansion</x:v>
      </x:c>
    </x:row>
    <x:row r="7042">
      <x:c r="A7042" s="5" t="str">
        <x:v>榗</x:v>
      </x:c>
      <x:c r="B7042" s="6" t="str">
        <x:v>去</x:v>
      </x:c>
      <x:c r="C7042" s="6" t="str">
        <x:f>IF(B7042="","Needs decision","Ready")</x:f>
        <x:v>Ready</x:v>
      </x:c>
      <x:c r="D7042" s="6" t="str">
        <x:v>去</x:v>
      </x:c>
      <x:c r="E7042" s="6" t="str"/>
      <x:c r="F7042" s="6" t="str">
        <x:v>去聲十七霰</x:v>
      </x:c>
      <x:c r="G7042" s="6" t="str">
        <x:v>Pingshui main list, Wikisource-derived DOCX</x:v>
      </x:c>
      <x:c r="H7042" s="6" t="str"/>
      <x:c r="I7042" s="6" t="str">
        <x:v>Pingshui main-list expansion; 詞 entries ignored</x:v>
      </x:c>
      <x:c r="J7042" s="6" t="str">
        <x:f>IF(B7042="","",IF(AND(ISNUMBER(SEARCH("平",B7042)),OR(ISNUMBER(SEARCH("上",B7042)),ISNUMBER(SEARCH("去",B7042)),ISNUMBER(SEARCH("入",B7042)))),"Ambiguous",IF(ISNUMBER(SEARCH("平",B7042)),"平","仄")))</x:f>
        <x:v>仄</x:v>
      </x:c>
      <x:c r="K7042" s="6" t="str">
        <x:f>IF(D7042="","",IF(AND(ISNUMBER(SEARCH("平",D7042)),OR(ISNUMBER(SEARCH("上",D7042)),ISNUMBER(SEARCH("去",D7042)),ISNUMBER(SEARCH("入",D7042)))),"Ambiguous",IF(ISNUMBER(SEARCH("平",D7042)),"平","仄")))</x:f>
        <x:v>仄</x:v>
      </x:c>
      <x:c r="L7042" s="7" t="str">
        <x:v>Pingshui main list expansion</x:v>
      </x:c>
    </x:row>
    <x:row r="7043">
      <x:c r="A7043" s="5" t="str">
        <x:v>榞</x:v>
      </x:c>
      <x:c r="B7043" s="6" t="str">
        <x:v>平</x:v>
      </x:c>
      <x:c r="C7043" s="6" t="str">
        <x:f>IF(B7043="","Needs decision","Ready")</x:f>
        <x:v>Ready</x:v>
      </x:c>
      <x:c r="D7043" s="6" t="str">
        <x:v>平</x:v>
      </x:c>
      <x:c r="E7043" s="6" t="str"/>
      <x:c r="F7043" s="6" t="str">
        <x:v>上平聲十三元</x:v>
      </x:c>
      <x:c r="G7043" s="6" t="str">
        <x:v>Pingshui main list, Wikisource-derived DOCX</x:v>
      </x:c>
      <x:c r="H7043" s="6" t="str"/>
      <x:c r="I7043" s="6" t="str">
        <x:v>Pingshui main-list expansion; 詞 entries ignored</x:v>
      </x:c>
      <x:c r="J7043" s="6" t="str">
        <x:f>IF(B7043="","",IF(AND(ISNUMBER(SEARCH("平",B7043)),OR(ISNUMBER(SEARCH("上",B7043)),ISNUMBER(SEARCH("去",B7043)),ISNUMBER(SEARCH("入",B7043)))),"Ambiguous",IF(ISNUMBER(SEARCH("平",B7043)),"平","仄")))</x:f>
        <x:v>平</x:v>
      </x:c>
      <x:c r="K7043" s="6" t="str">
        <x:f>IF(D7043="","",IF(AND(ISNUMBER(SEARCH("平",D7043)),OR(ISNUMBER(SEARCH("上",D7043)),ISNUMBER(SEARCH("去",D7043)),ISNUMBER(SEARCH("入",D7043)))),"Ambiguous",IF(ISNUMBER(SEARCH("平",D7043)),"平","仄")))</x:f>
        <x:v>平</x:v>
      </x:c>
      <x:c r="L7043" s="7" t="str">
        <x:v>Pingshui main list expansion</x:v>
      </x:c>
    </x:row>
    <x:row r="7044">
      <x:c r="A7044" s="5" t="str">
        <x:v>榥</x:v>
      </x:c>
      <x:c r="B7044" s="6" t="str">
        <x:v>上</x:v>
      </x:c>
      <x:c r="C7044" s="6" t="str">
        <x:f>IF(B7044="","Needs decision","Ready")</x:f>
        <x:v>Ready</x:v>
      </x:c>
      <x:c r="D7044" s="6" t="str">
        <x:v>上</x:v>
      </x:c>
      <x:c r="E7044" s="6" t="str"/>
      <x:c r="F7044" s="6" t="str">
        <x:v>上聲二十二養</x:v>
      </x:c>
      <x:c r="G7044" s="6" t="str">
        <x:v>Pingshui main list, Wikisource-derived DOCX</x:v>
      </x:c>
      <x:c r="H7044" s="6" t="str"/>
      <x:c r="I7044" s="6" t="str">
        <x:v>Pingshui main-list expansion; 詞 entries ignored</x:v>
      </x:c>
      <x:c r="J7044" s="6" t="str">
        <x:f>IF(B7044="","",IF(AND(ISNUMBER(SEARCH("平",B7044)),OR(ISNUMBER(SEARCH("上",B7044)),ISNUMBER(SEARCH("去",B7044)),ISNUMBER(SEARCH("入",B7044)))),"Ambiguous",IF(ISNUMBER(SEARCH("平",B7044)),"平","仄")))</x:f>
        <x:v>仄</x:v>
      </x:c>
      <x:c r="K7044" s="6" t="str">
        <x:f>IF(D7044="","",IF(AND(ISNUMBER(SEARCH("平",D7044)),OR(ISNUMBER(SEARCH("上",D7044)),ISNUMBER(SEARCH("去",D7044)),ISNUMBER(SEARCH("入",D7044)))),"Ambiguous",IF(ISNUMBER(SEARCH("平",D7044)),"平","仄")))</x:f>
        <x:v>仄</x:v>
      </x:c>
      <x:c r="L7044" s="7" t="str">
        <x:v>Pingshui main list expansion</x:v>
      </x:c>
    </x:row>
    <x:row r="7045">
      <x:c r="A7045" s="5" t="str">
        <x:v>榧</x:v>
      </x:c>
      <x:c r="B7045" s="6" t="str">
        <x:v>上</x:v>
      </x:c>
      <x:c r="C7045" s="6" t="str">
        <x:f>IF(B7045="","Needs decision","Ready")</x:f>
        <x:v>Ready</x:v>
      </x:c>
      <x:c r="D7045" s="6" t="str">
        <x:v>上</x:v>
      </x:c>
      <x:c r="E7045" s="6" t="str"/>
      <x:c r="F7045" s="6" t="str">
        <x:v>上聲五尾</x:v>
      </x:c>
      <x:c r="G7045" s="6" t="str">
        <x:v>Pingshui main list, Wikisource-derived DOCX</x:v>
      </x:c>
      <x:c r="H7045" s="6" t="str"/>
      <x:c r="I7045" s="6" t="str">
        <x:v>Pingshui main-list expansion; 詞 entries ignored</x:v>
      </x:c>
      <x:c r="J7045" s="6" t="str">
        <x:f>IF(B7045="","",IF(AND(ISNUMBER(SEARCH("平",B7045)),OR(ISNUMBER(SEARCH("上",B7045)),ISNUMBER(SEARCH("去",B7045)),ISNUMBER(SEARCH("入",B7045)))),"Ambiguous",IF(ISNUMBER(SEARCH("平",B7045)),"平","仄")))</x:f>
        <x:v>仄</x:v>
      </x:c>
      <x:c r="K7045" s="6" t="str">
        <x:f>IF(D7045="","",IF(AND(ISNUMBER(SEARCH("平",D7045)),OR(ISNUMBER(SEARCH("上",D7045)),ISNUMBER(SEARCH("去",D7045)),ISNUMBER(SEARCH("入",D7045)))),"Ambiguous",IF(ISNUMBER(SEARCH("平",D7045)),"平","仄")))</x:f>
        <x:v>仄</x:v>
      </x:c>
      <x:c r="L7045" s="7" t="str">
        <x:v>Pingshui main list expansion</x:v>
      </x:c>
    </x:row>
    <x:row r="7046">
      <x:c r="A7046" s="5" t="str">
        <x:v>榬</x:v>
      </x:c>
      <x:c r="B7046" s="6" t="str">
        <x:v>平</x:v>
      </x:c>
      <x:c r="C7046" s="6" t="str">
        <x:f>IF(B7046="","Needs decision","Ready")</x:f>
        <x:v>Ready</x:v>
      </x:c>
      <x:c r="D7046" s="6" t="str">
        <x:v>平</x:v>
      </x:c>
      <x:c r="E7046" s="6" t="str"/>
      <x:c r="F7046" s="6" t="str">
        <x:v>上平聲十三元</x:v>
      </x:c>
      <x:c r="G7046" s="6" t="str">
        <x:v>Pingshui main list, Wikisource-derived DOCX</x:v>
      </x:c>
      <x:c r="H7046" s="6" t="str"/>
      <x:c r="I7046" s="6" t="str">
        <x:v>Pingshui main-list expansion; 詞 entries ignored</x:v>
      </x:c>
      <x:c r="J7046" s="6" t="str">
        <x:f>IF(B7046="","",IF(AND(ISNUMBER(SEARCH("平",B7046)),OR(ISNUMBER(SEARCH("上",B7046)),ISNUMBER(SEARCH("去",B7046)),ISNUMBER(SEARCH("入",B7046)))),"Ambiguous",IF(ISNUMBER(SEARCH("平",B7046)),"平","仄")))</x:f>
        <x:v>平</x:v>
      </x:c>
      <x:c r="K7046" s="6" t="str">
        <x:f>IF(D7046="","",IF(AND(ISNUMBER(SEARCH("平",D7046)),OR(ISNUMBER(SEARCH("上",D7046)),ISNUMBER(SEARCH("去",D7046)),ISNUMBER(SEARCH("入",D7046)))),"Ambiguous",IF(ISNUMBER(SEARCH("平",D7046)),"平","仄")))</x:f>
        <x:v>平</x:v>
      </x:c>
      <x:c r="L7046" s="7" t="str">
        <x:v>Pingshui main list expansion</x:v>
      </x:c>
    </x:row>
    <x:row r="7047">
      <x:c r="A7047" s="5" t="str">
        <x:v>榯</x:v>
      </x:c>
      <x:c r="B7047" s="6" t="str">
        <x:v>平</x:v>
      </x:c>
      <x:c r="C7047" s="6" t="str">
        <x:f>IF(B7047="","Needs decision","Ready")</x:f>
        <x:v>Ready</x:v>
      </x:c>
      <x:c r="D7047" s="6" t="str">
        <x:v>平</x:v>
      </x:c>
      <x:c r="E7047" s="6" t="str"/>
      <x:c r="F7047" s="6" t="str">
        <x:v>上平聲四支</x:v>
      </x:c>
      <x:c r="G7047" s="6" t="str">
        <x:v>Pingshui main list, Wikisource-derived DOCX</x:v>
      </x:c>
      <x:c r="H7047" s="6" t="str"/>
      <x:c r="I7047" s="6" t="str">
        <x:v>Pingshui main-list expansion; 詞 entries ignored</x:v>
      </x:c>
      <x:c r="J7047" s="6" t="str">
        <x:f>IF(B7047="","",IF(AND(ISNUMBER(SEARCH("平",B7047)),OR(ISNUMBER(SEARCH("上",B7047)),ISNUMBER(SEARCH("去",B7047)),ISNUMBER(SEARCH("入",B7047)))),"Ambiguous",IF(ISNUMBER(SEARCH("平",B7047)),"平","仄")))</x:f>
        <x:v>平</x:v>
      </x:c>
      <x:c r="K7047" s="6" t="str">
        <x:f>IF(D7047="","",IF(AND(ISNUMBER(SEARCH("平",D7047)),OR(ISNUMBER(SEARCH("上",D7047)),ISNUMBER(SEARCH("去",D7047)),ISNUMBER(SEARCH("入",D7047)))),"Ambiguous",IF(ISNUMBER(SEARCH("平",D7047)),"平","仄")))</x:f>
        <x:v>平</x:v>
      </x:c>
      <x:c r="L7047" s="7" t="str">
        <x:v>Pingshui main list expansion</x:v>
      </x:c>
    </x:row>
    <x:row r="7048">
      <x:c r="A7048" s="5" t="str">
        <x:v>榰</x:v>
      </x:c>
      <x:c r="B7048" s="6" t="str">
        <x:v>平</x:v>
      </x:c>
      <x:c r="C7048" s="6" t="str">
        <x:f>IF(B7048="","Needs decision","Ready")</x:f>
        <x:v>Ready</x:v>
      </x:c>
      <x:c r="D7048" s="6" t="str">
        <x:v>平</x:v>
      </x:c>
      <x:c r="E7048" s="6" t="str"/>
      <x:c r="F7048" s="6" t="str">
        <x:v>上平聲四支</x:v>
      </x:c>
      <x:c r="G7048" s="6" t="str">
        <x:v>Pingshui main list, Wikisource-derived DOCX</x:v>
      </x:c>
      <x:c r="H7048" s="6" t="str"/>
      <x:c r="I7048" s="6" t="str">
        <x:v>Pingshui main-list expansion; 詞 entries ignored</x:v>
      </x:c>
      <x:c r="J7048" s="6" t="str">
        <x:f>IF(B7048="","",IF(AND(ISNUMBER(SEARCH("平",B7048)),OR(ISNUMBER(SEARCH("上",B7048)),ISNUMBER(SEARCH("去",B7048)),ISNUMBER(SEARCH("入",B7048)))),"Ambiguous",IF(ISNUMBER(SEARCH("平",B7048)),"平","仄")))</x:f>
        <x:v>平</x:v>
      </x:c>
      <x:c r="K7048" s="6" t="str">
        <x:f>IF(D7048="","",IF(AND(ISNUMBER(SEARCH("平",D7048)),OR(ISNUMBER(SEARCH("上",D7048)),ISNUMBER(SEARCH("去",D7048)),ISNUMBER(SEARCH("入",D7048)))),"Ambiguous",IF(ISNUMBER(SEARCH("平",D7048)),"平","仄")))</x:f>
        <x:v>平</x:v>
      </x:c>
      <x:c r="L7048" s="7" t="str">
        <x:v>Pingshui main list expansion</x:v>
      </x:c>
    </x:row>
    <x:row r="7049">
      <x:c r="A7049" s="5" t="str">
        <x:v>榶</x:v>
      </x:c>
      <x:c r="B7049" s="6" t="str">
        <x:v>平</x:v>
      </x:c>
      <x:c r="C7049" s="6" t="str">
        <x:f>IF(B7049="","Needs decision","Ready")</x:f>
        <x:v>Ready</x:v>
      </x:c>
      <x:c r="D7049" s="6" t="str">
        <x:v>平</x:v>
      </x:c>
      <x:c r="E7049" s="6" t="str"/>
      <x:c r="F7049" s="6" t="str">
        <x:v>下平聲七陽</x:v>
      </x:c>
      <x:c r="G7049" s="6" t="str">
        <x:v>Pingshui main list, Wikisource-derived DOCX</x:v>
      </x:c>
      <x:c r="H7049" s="6" t="str"/>
      <x:c r="I7049" s="6" t="str">
        <x:v>Pingshui main-list expansion; 詞 entries ignored</x:v>
      </x:c>
      <x:c r="J7049" s="6" t="str">
        <x:f>IF(B7049="","",IF(AND(ISNUMBER(SEARCH("平",B7049)),OR(ISNUMBER(SEARCH("上",B7049)),ISNUMBER(SEARCH("去",B7049)),ISNUMBER(SEARCH("入",B7049)))),"Ambiguous",IF(ISNUMBER(SEARCH("平",B7049)),"平","仄")))</x:f>
        <x:v>平</x:v>
      </x:c>
      <x:c r="K7049" s="6" t="str">
        <x:f>IF(D7049="","",IF(AND(ISNUMBER(SEARCH("平",D7049)),OR(ISNUMBER(SEARCH("上",D7049)),ISNUMBER(SEARCH("去",D7049)),ISNUMBER(SEARCH("入",D7049)))),"Ambiguous",IF(ISNUMBER(SEARCH("平",D7049)),"平","仄")))</x:f>
        <x:v>平</x:v>
      </x:c>
      <x:c r="L7049" s="7" t="str">
        <x:v>Pingshui main list expansion</x:v>
      </x:c>
    </x:row>
    <x:row r="7050">
      <x:c r="A7050" s="5" t="str">
        <x:v>榾</x:v>
      </x:c>
      <x:c r="B7050" s="6" t="str">
        <x:v>入</x:v>
      </x:c>
      <x:c r="C7050" s="6" t="str">
        <x:f>IF(B7050="","Needs decision","Ready")</x:f>
        <x:v>Ready</x:v>
      </x:c>
      <x:c r="D7050" s="6" t="str">
        <x:v>入</x:v>
      </x:c>
      <x:c r="E7050" s="6" t="str"/>
      <x:c r="F7050" s="6" t="str">
        <x:v>入聲六月</x:v>
      </x:c>
      <x:c r="G7050" s="6" t="str">
        <x:v>Pingshui main list, Wikisource-derived DOCX</x:v>
      </x:c>
      <x:c r="H7050" s="6" t="str"/>
      <x:c r="I7050" s="6" t="str">
        <x:v>Pingshui main-list expansion; 詞 entries ignored</x:v>
      </x:c>
      <x:c r="J7050" s="6" t="str">
        <x:f>IF(B7050="","",IF(AND(ISNUMBER(SEARCH("平",B7050)),OR(ISNUMBER(SEARCH("上",B7050)),ISNUMBER(SEARCH("去",B7050)),ISNUMBER(SEARCH("入",B7050)))),"Ambiguous",IF(ISNUMBER(SEARCH("平",B7050)),"平","仄")))</x:f>
        <x:v>仄</x:v>
      </x:c>
      <x:c r="K7050" s="6" t="str">
        <x:f>IF(D7050="","",IF(AND(ISNUMBER(SEARCH("平",D7050)),OR(ISNUMBER(SEARCH("上",D7050)),ISNUMBER(SEARCH("去",D7050)),ISNUMBER(SEARCH("入",D7050)))),"Ambiguous",IF(ISNUMBER(SEARCH("平",D7050)),"平","仄")))</x:f>
        <x:v>仄</x:v>
      </x:c>
      <x:c r="L7050" s="7" t="str">
        <x:v>Pingshui main list expansion</x:v>
      </x:c>
    </x:row>
    <x:row r="7051">
      <x:c r="A7051" s="5" t="str">
        <x:v>榿</x:v>
      </x:c>
      <x:c r="B7051" s="6" t="str">
        <x:v>平</x:v>
      </x:c>
      <x:c r="C7051" s="6" t="str">
        <x:f>IF(B7051="","Needs decision","Ready")</x:f>
        <x:v>Ready</x:v>
      </x:c>
      <x:c r="D7051" s="6" t="str">
        <x:v>平</x:v>
      </x:c>
      <x:c r="E7051" s="6" t="str"/>
      <x:c r="F7051" s="6" t="str">
        <x:v>上平聲四支</x:v>
      </x:c>
      <x:c r="G7051" s="6" t="str">
        <x:v>Pingshui main list, Wikisource-derived DOCX</x:v>
      </x:c>
      <x:c r="H7051" s="6" t="str"/>
      <x:c r="I7051" s="6" t="str">
        <x:v>Pingshui main-list expansion; 詞 entries ignored</x:v>
      </x:c>
      <x:c r="J7051" s="6" t="str">
        <x:f>IF(B7051="","",IF(AND(ISNUMBER(SEARCH("平",B7051)),OR(ISNUMBER(SEARCH("上",B7051)),ISNUMBER(SEARCH("去",B7051)),ISNUMBER(SEARCH("入",B7051)))),"Ambiguous",IF(ISNUMBER(SEARCH("平",B7051)),"平","仄")))</x:f>
        <x:v>平</x:v>
      </x:c>
      <x:c r="K7051" s="6" t="str">
        <x:f>IF(D7051="","",IF(AND(ISNUMBER(SEARCH("平",D7051)),OR(ISNUMBER(SEARCH("上",D7051)),ISNUMBER(SEARCH("去",D7051)),ISNUMBER(SEARCH("入",D7051)))),"Ambiguous",IF(ISNUMBER(SEARCH("平",D7051)),"平","仄")))</x:f>
        <x:v>平</x:v>
      </x:c>
      <x:c r="L7051" s="7" t="str">
        <x:v>Pingshui main list expansion</x:v>
      </x:c>
    </x:row>
    <x:row r="7052">
      <x:c r="A7052" s="5" t="str">
        <x:v>槄</x:v>
      </x:c>
      <x:c r="B7052" s="6" t="str">
        <x:v>平</x:v>
      </x:c>
      <x:c r="C7052" s="6" t="str">
        <x:f>IF(B7052="","Needs decision","Ready")</x:f>
        <x:v>Ready</x:v>
      </x:c>
      <x:c r="D7052" s="6" t="str">
        <x:v>平</x:v>
      </x:c>
      <x:c r="E7052" s="6" t="str"/>
      <x:c r="F7052" s="6" t="str">
        <x:v>下平聲四豪</x:v>
      </x:c>
      <x:c r="G7052" s="6" t="str">
        <x:v>Pingshui main list, Wikisource-derived DOCX</x:v>
      </x:c>
      <x:c r="H7052" s="6" t="str"/>
      <x:c r="I7052" s="6" t="str">
        <x:v>Pingshui main-list expansion; 詞 entries ignored</x:v>
      </x:c>
      <x:c r="J7052" s="6" t="str">
        <x:f>IF(B7052="","",IF(AND(ISNUMBER(SEARCH("平",B7052)),OR(ISNUMBER(SEARCH("上",B7052)),ISNUMBER(SEARCH("去",B7052)),ISNUMBER(SEARCH("入",B7052)))),"Ambiguous",IF(ISNUMBER(SEARCH("平",B7052)),"平","仄")))</x:f>
        <x:v>平</x:v>
      </x:c>
      <x:c r="K7052" s="6" t="str">
        <x:f>IF(D7052="","",IF(AND(ISNUMBER(SEARCH("平",D7052)),OR(ISNUMBER(SEARCH("上",D7052)),ISNUMBER(SEARCH("去",D7052)),ISNUMBER(SEARCH("入",D7052)))),"Ambiguous",IF(ISNUMBER(SEARCH("平",D7052)),"平","仄")))</x:f>
        <x:v>平</x:v>
      </x:c>
      <x:c r="L7052" s="7" t="str">
        <x:v>Pingshui main list expansion</x:v>
      </x:c>
    </x:row>
    <x:row r="7053">
      <x:c r="A7053" s="5" t="str">
        <x:v>槓</x:v>
      </x:c>
      <x:c r="B7053" s="6" t="str">
        <x:v>平</x:v>
      </x:c>
      <x:c r="C7053" s="6" t="str">
        <x:f>IF(B7053="","Needs decision","Ready")</x:f>
        <x:v>Ready</x:v>
      </x:c>
      <x:c r="D7053" s="6" t="str">
        <x:v>平</x:v>
      </x:c>
      <x:c r="E7053" s="6" t="str"/>
      <x:c r="F7053" s="6" t="str">
        <x:v>上平聲三江</x:v>
      </x:c>
      <x:c r="G7053" s="6" t="str">
        <x:v>Pingshui main list, Wikisource-derived DOCX</x:v>
      </x:c>
      <x:c r="H7053" s="6" t="str"/>
      <x:c r="I7053" s="6" t="str">
        <x:v>Pingshui main-list expansion; 詞 entries ignored</x:v>
      </x:c>
      <x:c r="J7053" s="6" t="str">
        <x:f>IF(B7053="","",IF(AND(ISNUMBER(SEARCH("平",B7053)),OR(ISNUMBER(SEARCH("上",B7053)),ISNUMBER(SEARCH("去",B7053)),ISNUMBER(SEARCH("入",B7053)))),"Ambiguous",IF(ISNUMBER(SEARCH("平",B7053)),"平","仄")))</x:f>
        <x:v>平</x:v>
      </x:c>
      <x:c r="K7053" s="6" t="str">
        <x:f>IF(D7053="","",IF(AND(ISNUMBER(SEARCH("平",D7053)),OR(ISNUMBER(SEARCH("上",D7053)),ISNUMBER(SEARCH("去",D7053)),ISNUMBER(SEARCH("入",D7053)))),"Ambiguous",IF(ISNUMBER(SEARCH("平",D7053)),"平","仄")))</x:f>
        <x:v>平</x:v>
      </x:c>
      <x:c r="L7053" s="7" t="str">
        <x:v>Pingshui main list expansion</x:v>
      </x:c>
    </x:row>
    <x:row r="7054">
      <x:c r="A7054" s="5" t="str">
        <x:v>槢</x:v>
      </x:c>
      <x:c r="B7054" s="6" t="str">
        <x:v>入</x:v>
      </x:c>
      <x:c r="C7054" s="6" t="str">
        <x:f>IF(B7054="","Needs decision","Ready")</x:f>
        <x:v>Ready</x:v>
      </x:c>
      <x:c r="D7054" s="6" t="str">
        <x:v>入</x:v>
      </x:c>
      <x:c r="E7054" s="6" t="str"/>
      <x:c r="F7054" s="6" t="str">
        <x:v>入聲十四緝</x:v>
      </x:c>
      <x:c r="G7054" s="6" t="str">
        <x:v>Pingshui main list, Wikisource-derived DOCX</x:v>
      </x:c>
      <x:c r="H7054" s="6" t="str"/>
      <x:c r="I7054" s="6" t="str">
        <x:v>Pingshui main-list expansion; 詞 entries ignored</x:v>
      </x:c>
      <x:c r="J7054" s="6" t="str">
        <x:f>IF(B7054="","",IF(AND(ISNUMBER(SEARCH("平",B7054)),OR(ISNUMBER(SEARCH("上",B7054)),ISNUMBER(SEARCH("去",B7054)),ISNUMBER(SEARCH("入",B7054)))),"Ambiguous",IF(ISNUMBER(SEARCH("平",B7054)),"平","仄")))</x:f>
        <x:v>仄</x:v>
      </x:c>
      <x:c r="K7054" s="6" t="str">
        <x:f>IF(D7054="","",IF(AND(ISNUMBER(SEARCH("平",D7054)),OR(ISNUMBER(SEARCH("上",D7054)),ISNUMBER(SEARCH("去",D7054)),ISNUMBER(SEARCH("入",D7054)))),"Ambiguous",IF(ISNUMBER(SEARCH("平",D7054)),"平","仄")))</x:f>
        <x:v>仄</x:v>
      </x:c>
      <x:c r="L7054" s="7" t="str">
        <x:v>Pingshui main list expansion</x:v>
      </x:c>
    </x:row>
    <x:row r="7055">
      <x:c r="A7055" s="5" t="str">
        <x:v>槱</x:v>
      </x:c>
      <x:c r="B7055" s="6" t="str"/>
      <x:c r="C7055" s="6" t="str">
        <x:f>IF(B7055="","Needs decision","Ready")</x:f>
        <x:v>Needs decision</x:v>
      </x:c>
      <x:c r="D7055" s="6" t="str">
        <x:v>上/去</x:v>
      </x:c>
      <x:c r="E7055" s="6" t="str"/>
      <x:c r="F7055" s="6" t="str">
        <x:v>上聲二十五有; 去聲二十六宥</x:v>
      </x:c>
      <x:c r="G7055" s="6" t="str">
        <x:v>Pingshui main list, Wikisource-derived DOCX</x:v>
      </x:c>
      <x:c r="H7055" s="6" t="str"/>
      <x:c r="I7055" s="6" t="str">
        <x:v>Pingshui main-list expansion; 詞 entries ignored</x:v>
      </x:c>
      <x:c r="J7055" s="6" t="str">
        <x:f>IF(B7055="","",IF(AND(ISNUMBER(SEARCH("平",B7055)),OR(ISNUMBER(SEARCH("上",B7055)),ISNUMBER(SEARCH("去",B7055)),ISNUMBER(SEARCH("入",B7055)))),"Ambiguous",IF(ISNUMBER(SEARCH("平",B7055)),"平","仄")))</x:f>
      </x:c>
      <x:c r="K7055" s="6" t="str">
        <x:f>IF(D7055="","",IF(AND(ISNUMBER(SEARCH("平",D7055)),OR(ISNUMBER(SEARCH("上",D7055)),ISNUMBER(SEARCH("去",D7055)),ISNUMBER(SEARCH("入",D7055)))),"Ambiguous",IF(ISNUMBER(SEARCH("平",D7055)),"平","仄")))</x:f>
        <x:v>仄</x:v>
      </x:c>
      <x:c r="L7055" s="7" t="str">
        <x:v>Pingshui main list expansion</x:v>
      </x:c>
    </x:row>
    <x:row r="7056">
      <x:c r="A7056" s="5" t="str">
        <x:v>樀</x:v>
      </x:c>
      <x:c r="B7056" s="6" t="str">
        <x:v>入</x:v>
      </x:c>
      <x:c r="C7056" s="6" t="str">
        <x:f>IF(B7056="","Needs decision","Ready")</x:f>
        <x:v>Ready</x:v>
      </x:c>
      <x:c r="D7056" s="6" t="str">
        <x:v>入</x:v>
      </x:c>
      <x:c r="E7056" s="6" t="str"/>
      <x:c r="F7056" s="6" t="str">
        <x:v>入聲十二錫</x:v>
      </x:c>
      <x:c r="G7056" s="6" t="str">
        <x:v>Pingshui main list, Wikisource-derived DOCX</x:v>
      </x:c>
      <x:c r="H7056" s="6" t="str"/>
      <x:c r="I7056" s="6" t="str">
        <x:v>Pingshui main-list expansion; 詞 entries ignored</x:v>
      </x:c>
      <x:c r="J7056" s="6" t="str">
        <x:f>IF(B7056="","",IF(AND(ISNUMBER(SEARCH("平",B7056)),OR(ISNUMBER(SEARCH("上",B7056)),ISNUMBER(SEARCH("去",B7056)),ISNUMBER(SEARCH("入",B7056)))),"Ambiguous",IF(ISNUMBER(SEARCH("平",B7056)),"平","仄")))</x:f>
        <x:v>仄</x:v>
      </x:c>
      <x:c r="K7056" s="6" t="str">
        <x:f>IF(D7056="","",IF(AND(ISNUMBER(SEARCH("平",D7056)),OR(ISNUMBER(SEARCH("上",D7056)),ISNUMBER(SEARCH("去",D7056)),ISNUMBER(SEARCH("入",D7056)))),"Ambiguous",IF(ISNUMBER(SEARCH("平",D7056)),"平","仄")))</x:f>
        <x:v>仄</x:v>
      </x:c>
      <x:c r="L7056" s="7" t="str">
        <x:v>Pingshui main list expansion</x:v>
      </x:c>
    </x:row>
    <x:row r="7057">
      <x:c r="A7057" s="5" t="str">
        <x:v>樁</x:v>
      </x:c>
      <x:c r="B7057" s="6" t="str">
        <x:v>平</x:v>
      </x:c>
      <x:c r="C7057" s="6" t="str">
        <x:f>IF(B7057="","Needs decision","Ready")</x:f>
        <x:v>Ready</x:v>
      </x:c>
      <x:c r="D7057" s="6" t="str">
        <x:v>平</x:v>
      </x:c>
      <x:c r="E7057" s="6" t="str"/>
      <x:c r="F7057" s="6" t="str">
        <x:v>上平聲三江</x:v>
      </x:c>
      <x:c r="G7057" s="6" t="str">
        <x:v>Pingshui main list, Wikisource-derived DOCX</x:v>
      </x:c>
      <x:c r="H7057" s="6" t="str"/>
      <x:c r="I7057" s="6" t="str">
        <x:v>Pingshui main-list expansion; 詞 entries ignored</x:v>
      </x:c>
      <x:c r="J7057" s="6" t="str">
        <x:f>IF(B7057="","",IF(AND(ISNUMBER(SEARCH("平",B7057)),OR(ISNUMBER(SEARCH("上",B7057)),ISNUMBER(SEARCH("去",B7057)),ISNUMBER(SEARCH("入",B7057)))),"Ambiguous",IF(ISNUMBER(SEARCH("平",B7057)),"平","仄")))</x:f>
        <x:v>平</x:v>
      </x:c>
      <x:c r="K7057" s="6" t="str">
        <x:f>IF(D7057="","",IF(AND(ISNUMBER(SEARCH("平",D7057)),OR(ISNUMBER(SEARCH("上",D7057)),ISNUMBER(SEARCH("去",D7057)),ISNUMBER(SEARCH("入",D7057)))),"Ambiguous",IF(ISNUMBER(SEARCH("平",D7057)),"平","仄")))</x:f>
        <x:v>平</x:v>
      </x:c>
      <x:c r="L7057" s="7" t="str">
        <x:v>Pingshui main list expansion</x:v>
      </x:c>
    </x:row>
    <x:row r="7058">
      <x:c r="A7058" s="5" t="str">
        <x:v>樅</x:v>
      </x:c>
      <x:c r="B7058" s="6" t="str">
        <x:v>平</x:v>
      </x:c>
      <x:c r="C7058" s="6" t="str">
        <x:f>IF(B7058="","Needs decision","Ready")</x:f>
        <x:v>Ready</x:v>
      </x:c>
      <x:c r="D7058" s="6" t="str">
        <x:v>平</x:v>
      </x:c>
      <x:c r="E7058" s="6" t="str"/>
      <x:c r="F7058" s="6" t="str">
        <x:v>上平聲二冬; 上平聲三江</x:v>
      </x:c>
      <x:c r="G7058" s="6" t="str">
        <x:v>Pingshui main list, Wikisource-derived DOCX</x:v>
      </x:c>
      <x:c r="H7058" s="6" t="str"/>
      <x:c r="I7058" s="6" t="str">
        <x:v>Pingshui main-list expansion; 詞 entries ignored</x:v>
      </x:c>
      <x:c r="J7058" s="6" t="str">
        <x:f>IF(B7058="","",IF(AND(ISNUMBER(SEARCH("平",B7058)),OR(ISNUMBER(SEARCH("上",B7058)),ISNUMBER(SEARCH("去",B7058)),ISNUMBER(SEARCH("入",B7058)))),"Ambiguous",IF(ISNUMBER(SEARCH("平",B7058)),"平","仄")))</x:f>
        <x:v>平</x:v>
      </x:c>
      <x:c r="K7058" s="6" t="str">
        <x:f>IF(D7058="","",IF(AND(ISNUMBER(SEARCH("平",D7058)),OR(ISNUMBER(SEARCH("上",D7058)),ISNUMBER(SEARCH("去",D7058)),ISNUMBER(SEARCH("入",D7058)))),"Ambiguous",IF(ISNUMBER(SEARCH("平",D7058)),"平","仄")))</x:f>
        <x:v>平</x:v>
      </x:c>
      <x:c r="L7058" s="7" t="str">
        <x:v>Pingshui main list expansion</x:v>
      </x:c>
    </x:row>
    <x:row r="7059">
      <x:c r="A7059" s="5" t="str">
        <x:v>樆</x:v>
      </x:c>
      <x:c r="B7059" s="6" t="str">
        <x:v>平</x:v>
      </x:c>
      <x:c r="C7059" s="6" t="str">
        <x:f>IF(B7059="","Needs decision","Ready")</x:f>
        <x:v>Ready</x:v>
      </x:c>
      <x:c r="D7059" s="6" t="str">
        <x:v>平</x:v>
      </x:c>
      <x:c r="E7059" s="6" t="str"/>
      <x:c r="F7059" s="6" t="str">
        <x:v>上平聲四支</x:v>
      </x:c>
      <x:c r="G7059" s="6" t="str">
        <x:v>Pingshui main list, Wikisource-derived DOCX</x:v>
      </x:c>
      <x:c r="H7059" s="6" t="str"/>
      <x:c r="I7059" s="6" t="str">
        <x:v>Pingshui main-list expansion; 詞 entries ignored</x:v>
      </x:c>
      <x:c r="J7059" s="6" t="str">
        <x:f>IF(B7059="","",IF(AND(ISNUMBER(SEARCH("平",B7059)),OR(ISNUMBER(SEARCH("上",B7059)),ISNUMBER(SEARCH("去",B7059)),ISNUMBER(SEARCH("入",B7059)))),"Ambiguous",IF(ISNUMBER(SEARCH("平",B7059)),"平","仄")))</x:f>
        <x:v>平</x:v>
      </x:c>
      <x:c r="K7059" s="6" t="str">
        <x:f>IF(D7059="","",IF(AND(ISNUMBER(SEARCH("平",D7059)),OR(ISNUMBER(SEARCH("上",D7059)),ISNUMBER(SEARCH("去",D7059)),ISNUMBER(SEARCH("入",D7059)))),"Ambiguous",IF(ISNUMBER(SEARCH("平",D7059)),"平","仄")))</x:f>
        <x:v>平</x:v>
      </x:c>
      <x:c r="L7059" s="7" t="str">
        <x:v>Pingshui main list expansion</x:v>
      </x:c>
    </x:row>
    <x:row r="7060">
      <x:c r="A7060" s="5" t="str">
        <x:v>樔</x:v>
      </x:c>
      <x:c r="B7060" s="6" t="str">
        <x:v>平</x:v>
      </x:c>
      <x:c r="C7060" s="6" t="str">
        <x:f>IF(B7060="","Needs decision","Ready")</x:f>
        <x:v>Ready</x:v>
      </x:c>
      <x:c r="D7060" s="6" t="str">
        <x:v>平</x:v>
      </x:c>
      <x:c r="E7060" s="6" t="str"/>
      <x:c r="F7060" s="6" t="str">
        <x:v>下平聲三肴</x:v>
      </x:c>
      <x:c r="G7060" s="6" t="str">
        <x:v>Pingshui main list, Wikisource-derived DOCX</x:v>
      </x:c>
      <x:c r="H7060" s="6" t="str"/>
      <x:c r="I7060" s="6" t="str">
        <x:v>Pingshui main-list expansion; 詞 entries ignored</x:v>
      </x:c>
      <x:c r="J7060" s="6" t="str">
        <x:f>IF(B7060="","",IF(AND(ISNUMBER(SEARCH("平",B7060)),OR(ISNUMBER(SEARCH("上",B7060)),ISNUMBER(SEARCH("去",B7060)),ISNUMBER(SEARCH("入",B7060)))),"Ambiguous",IF(ISNUMBER(SEARCH("平",B7060)),"平","仄")))</x:f>
        <x:v>平</x:v>
      </x:c>
      <x:c r="K7060" s="6" t="str">
        <x:f>IF(D7060="","",IF(AND(ISNUMBER(SEARCH("平",D7060)),OR(ISNUMBER(SEARCH("上",D7060)),ISNUMBER(SEARCH("去",D7060)),ISNUMBER(SEARCH("入",D7060)))),"Ambiguous",IF(ISNUMBER(SEARCH("平",D7060)),"平","仄")))</x:f>
        <x:v>平</x:v>
      </x:c>
      <x:c r="L7060" s="7" t="str">
        <x:v>Pingshui main list expansion</x:v>
      </x:c>
    </x:row>
    <x:row r="7061">
      <x:c r="A7061" s="5" t="str">
        <x:v>樕</x:v>
      </x:c>
      <x:c r="B7061" s="6" t="str">
        <x:v>入</x:v>
      </x:c>
      <x:c r="C7061" s="6" t="str">
        <x:f>IF(B7061="","Needs decision","Ready")</x:f>
        <x:v>Ready</x:v>
      </x:c>
      <x:c r="D7061" s="6" t="str">
        <x:v>入</x:v>
      </x:c>
      <x:c r="E7061" s="6" t="str"/>
      <x:c r="F7061" s="6" t="str">
        <x:v>入聲一屋</x:v>
      </x:c>
      <x:c r="G7061" s="6" t="str">
        <x:v>Pingshui main list, Wikisource-derived DOCX</x:v>
      </x:c>
      <x:c r="H7061" s="6" t="str"/>
      <x:c r="I7061" s="6" t="str">
        <x:v>Pingshui main-list expansion; 詞 entries ignored</x:v>
      </x:c>
      <x:c r="J7061" s="6" t="str">
        <x:f>IF(B7061="","",IF(AND(ISNUMBER(SEARCH("平",B7061)),OR(ISNUMBER(SEARCH("上",B7061)),ISNUMBER(SEARCH("去",B7061)),ISNUMBER(SEARCH("入",B7061)))),"Ambiguous",IF(ISNUMBER(SEARCH("平",B7061)),"平","仄")))</x:f>
        <x:v>仄</x:v>
      </x:c>
      <x:c r="K7061" s="6" t="str">
        <x:f>IF(D7061="","",IF(AND(ISNUMBER(SEARCH("平",D7061)),OR(ISNUMBER(SEARCH("上",D7061)),ISNUMBER(SEARCH("去",D7061)),ISNUMBER(SEARCH("入",D7061)))),"Ambiguous",IF(ISNUMBER(SEARCH("平",D7061)),"平","仄")))</x:f>
        <x:v>仄</x:v>
      </x:c>
      <x:c r="L7061" s="7" t="str">
        <x:v>Pingshui main list expansion</x:v>
      </x:c>
    </x:row>
    <x:row r="7062">
      <x:c r="A7062" s="5" t="str">
        <x:v>樝</x:v>
      </x:c>
      <x:c r="B7062" s="6" t="str">
        <x:v>平</x:v>
      </x:c>
      <x:c r="C7062" s="6" t="str">
        <x:f>IF(B7062="","Needs decision","Ready")</x:f>
        <x:v>Ready</x:v>
      </x:c>
      <x:c r="D7062" s="6" t="str">
        <x:v>平</x:v>
      </x:c>
      <x:c r="E7062" s="6" t="str"/>
      <x:c r="F7062" s="6" t="str">
        <x:v>下平聲六麻</x:v>
      </x:c>
      <x:c r="G7062" s="6" t="str">
        <x:v>Pingshui main list, Wikisource-derived DOCX</x:v>
      </x:c>
      <x:c r="H7062" s="6" t="str"/>
      <x:c r="I7062" s="6" t="str">
        <x:v>Pingshui main-list expansion; 詞 entries ignored</x:v>
      </x:c>
      <x:c r="J7062" s="6" t="str">
        <x:f>IF(B7062="","",IF(AND(ISNUMBER(SEARCH("平",B7062)),OR(ISNUMBER(SEARCH("上",B7062)),ISNUMBER(SEARCH("去",B7062)),ISNUMBER(SEARCH("入",B7062)))),"Ambiguous",IF(ISNUMBER(SEARCH("平",B7062)),"平","仄")))</x:f>
        <x:v>平</x:v>
      </x:c>
      <x:c r="K7062" s="6" t="str">
        <x:f>IF(D7062="","",IF(AND(ISNUMBER(SEARCH("平",D7062)),OR(ISNUMBER(SEARCH("上",D7062)),ISNUMBER(SEARCH("去",D7062)),ISNUMBER(SEARCH("入",D7062)))),"Ambiguous",IF(ISNUMBER(SEARCH("平",D7062)),"平","仄")))</x:f>
        <x:v>平</x:v>
      </x:c>
      <x:c r="L7062" s="7" t="str">
        <x:v>Pingshui main list expansion</x:v>
      </x:c>
    </x:row>
    <x:row r="7063">
      <x:c r="A7063" s="5" t="str">
        <x:v>樠</x:v>
      </x:c>
      <x:c r="B7063" s="6" t="str">
        <x:v>平</x:v>
      </x:c>
      <x:c r="C7063" s="6" t="str">
        <x:f>IF(B7063="","Needs decision","Ready")</x:f>
        <x:v>Ready</x:v>
      </x:c>
      <x:c r="D7063" s="6" t="str">
        <x:v>平</x:v>
      </x:c>
      <x:c r="E7063" s="6" t="str"/>
      <x:c r="F7063" s="6" t="str">
        <x:v>上平聲十三元; 上平聲十四寒</x:v>
      </x:c>
      <x:c r="G7063" s="6" t="str">
        <x:v>Pingshui main list, Wikisource-derived DOCX</x:v>
      </x:c>
      <x:c r="H7063" s="6" t="str"/>
      <x:c r="I7063" s="6" t="str">
        <x:v>Pingshui main-list expansion; 詞 entries ignored</x:v>
      </x:c>
      <x:c r="J7063" s="6" t="str">
        <x:f>IF(B7063="","",IF(AND(ISNUMBER(SEARCH("平",B7063)),OR(ISNUMBER(SEARCH("上",B7063)),ISNUMBER(SEARCH("去",B7063)),ISNUMBER(SEARCH("入",B7063)))),"Ambiguous",IF(ISNUMBER(SEARCH("平",B7063)),"平","仄")))</x:f>
        <x:v>平</x:v>
      </x:c>
      <x:c r="K7063" s="6" t="str">
        <x:f>IF(D7063="","",IF(AND(ISNUMBER(SEARCH("平",D7063)),OR(ISNUMBER(SEARCH("上",D7063)),ISNUMBER(SEARCH("去",D7063)),ISNUMBER(SEARCH("入",D7063)))),"Ambiguous",IF(ISNUMBER(SEARCH("平",D7063)),"平","仄")))</x:f>
        <x:v>平</x:v>
      </x:c>
      <x:c r="L7063" s="7" t="str">
        <x:v>Pingshui main list expansion</x:v>
      </x:c>
    </x:row>
    <x:row r="7064">
      <x:c r="A7064" s="5" t="str">
        <x:v>樧</x:v>
      </x:c>
      <x:c r="B7064" s="6" t="str">
        <x:v>入</x:v>
      </x:c>
      <x:c r="C7064" s="6" t="str">
        <x:f>IF(B7064="","Needs decision","Ready")</x:f>
        <x:v>Ready</x:v>
      </x:c>
      <x:c r="D7064" s="6" t="str">
        <x:v>入</x:v>
      </x:c>
      <x:c r="E7064" s="6" t="str"/>
      <x:c r="F7064" s="6" t="str">
        <x:v>入聲八黠</x:v>
      </x:c>
      <x:c r="G7064" s="6" t="str">
        <x:v>Pingshui main list, Wikisource-derived DOCX</x:v>
      </x:c>
      <x:c r="H7064" s="6" t="str"/>
      <x:c r="I7064" s="6" t="str">
        <x:v>Pingshui main-list expansion; 詞 entries ignored</x:v>
      </x:c>
      <x:c r="J7064" s="6" t="str">
        <x:f>IF(B7064="","",IF(AND(ISNUMBER(SEARCH("平",B7064)),OR(ISNUMBER(SEARCH("上",B7064)),ISNUMBER(SEARCH("去",B7064)),ISNUMBER(SEARCH("入",B7064)))),"Ambiguous",IF(ISNUMBER(SEARCH("平",B7064)),"平","仄")))</x:f>
        <x:v>仄</x:v>
      </x:c>
      <x:c r="K7064" s="6" t="str">
        <x:f>IF(D7064="","",IF(AND(ISNUMBER(SEARCH("平",D7064)),OR(ISNUMBER(SEARCH("上",D7064)),ISNUMBER(SEARCH("去",D7064)),ISNUMBER(SEARCH("入",D7064)))),"Ambiguous",IF(ISNUMBER(SEARCH("平",D7064)),"平","仄")))</x:f>
        <x:v>仄</x:v>
      </x:c>
      <x:c r="L7064" s="7" t="str">
        <x:v>Pingshui main list expansion</x:v>
      </x:c>
    </x:row>
    <x:row r="7065">
      <x:c r="A7065" s="5" t="str">
        <x:v>樲</x:v>
      </x:c>
      <x:c r="B7065" s="6" t="str">
        <x:v>去</x:v>
      </x:c>
      <x:c r="C7065" s="6" t="str">
        <x:f>IF(B7065="","Needs decision","Ready")</x:f>
        <x:v>Ready</x:v>
      </x:c>
      <x:c r="D7065" s="6" t="str">
        <x:v>去</x:v>
      </x:c>
      <x:c r="E7065" s="6" t="str"/>
      <x:c r="F7065" s="6" t="str">
        <x:v>去聲四寘</x:v>
      </x:c>
      <x:c r="G7065" s="6" t="str">
        <x:v>Pingshui main list, Wikisource-derived DOCX</x:v>
      </x:c>
      <x:c r="H7065" s="6" t="str"/>
      <x:c r="I7065" s="6" t="str">
        <x:v>Pingshui main-list expansion; 詞 entries ignored</x:v>
      </x:c>
      <x:c r="J7065" s="6" t="str">
        <x:f>IF(B7065="","",IF(AND(ISNUMBER(SEARCH("平",B7065)),OR(ISNUMBER(SEARCH("上",B7065)),ISNUMBER(SEARCH("去",B7065)),ISNUMBER(SEARCH("入",B7065)))),"Ambiguous",IF(ISNUMBER(SEARCH("平",B7065)),"平","仄")))</x:f>
        <x:v>仄</x:v>
      </x:c>
      <x:c r="K7065" s="6" t="str">
        <x:f>IF(D7065="","",IF(AND(ISNUMBER(SEARCH("平",D7065)),OR(ISNUMBER(SEARCH("上",D7065)),ISNUMBER(SEARCH("去",D7065)),ISNUMBER(SEARCH("入",D7065)))),"Ambiguous",IF(ISNUMBER(SEARCH("平",D7065)),"平","仄")))</x:f>
        <x:v>仄</x:v>
      </x:c>
      <x:c r="L7065" s="7" t="str">
        <x:v>Pingshui main list expansion</x:v>
      </x:c>
    </x:row>
    <x:row r="7066">
      <x:c r="A7066" s="5" t="str">
        <x:v>樺</x:v>
      </x:c>
      <x:c r="B7066" s="6" t="str"/>
      <x:c r="C7066" s="6" t="str">
        <x:f>IF(B7066="","Needs decision","Ready")</x:f>
        <x:v>Needs decision</x:v>
      </x:c>
      <x:c r="D7066" s="6" t="str">
        <x:v>平/去</x:v>
      </x:c>
      <x:c r="E7066" s="6" t="str"/>
      <x:c r="F7066" s="6" t="str">
        <x:v>下平聲六麻; 去聲二十二禡</x:v>
      </x:c>
      <x:c r="G7066" s="6" t="str">
        <x:v>Pingshui main list, Wikisource-derived DOCX</x:v>
      </x:c>
      <x:c r="H7066" s="6" t="str"/>
      <x:c r="I7066" s="6" t="str">
        <x:v>Pingshui main-list expansion; 詞 entries ignored</x:v>
      </x:c>
      <x:c r="J7066" s="6" t="str">
        <x:f>IF(B7066="","",IF(AND(ISNUMBER(SEARCH("平",B7066)),OR(ISNUMBER(SEARCH("上",B7066)),ISNUMBER(SEARCH("去",B7066)),ISNUMBER(SEARCH("入",B7066)))),"Ambiguous",IF(ISNUMBER(SEARCH("平",B7066)),"平","仄")))</x:f>
      </x:c>
      <x:c r="K7066" s="6" t="str">
        <x:f>IF(D7066="","",IF(AND(ISNUMBER(SEARCH("平",D7066)),OR(ISNUMBER(SEARCH("上",D7066)),ISNUMBER(SEARCH("去",D7066)),ISNUMBER(SEARCH("入",D7066)))),"Ambiguous",IF(ISNUMBER(SEARCH("平",D7066)),"平","仄")))</x:f>
        <x:v>Ambiguous</x:v>
      </x:c>
      <x:c r="L7066" s="7" t="str">
        <x:v>Pingshui main list expansion</x:v>
      </x:c>
    </x:row>
    <x:row r="7067">
      <x:c r="A7067" s="5" t="str">
        <x:v>樻</x:v>
      </x:c>
      <x:c r="B7067" s="6" t="str">
        <x:v>去</x:v>
      </x:c>
      <x:c r="C7067" s="6" t="str">
        <x:f>IF(B7067="","Needs decision","Ready")</x:f>
        <x:v>Ready</x:v>
      </x:c>
      <x:c r="D7067" s="6" t="str">
        <x:v>去</x:v>
      </x:c>
      <x:c r="E7067" s="6" t="str"/>
      <x:c r="F7067" s="6" t="str">
        <x:v>去聲四寘</x:v>
      </x:c>
      <x:c r="G7067" s="6" t="str">
        <x:v>Pingshui main list, Wikisource-derived DOCX</x:v>
      </x:c>
      <x:c r="H7067" s="6" t="str"/>
      <x:c r="I7067" s="6" t="str">
        <x:v>Pingshui main-list expansion; 詞 entries ignored</x:v>
      </x:c>
      <x:c r="J7067" s="6" t="str">
        <x:f>IF(B7067="","",IF(AND(ISNUMBER(SEARCH("平",B7067)),OR(ISNUMBER(SEARCH("上",B7067)),ISNUMBER(SEARCH("去",B7067)),ISNUMBER(SEARCH("入",B7067)))),"Ambiguous",IF(ISNUMBER(SEARCH("平",B7067)),"平","仄")))</x:f>
        <x:v>仄</x:v>
      </x:c>
      <x:c r="K7067" s="6" t="str">
        <x:f>IF(D7067="","",IF(AND(ISNUMBER(SEARCH("平",D7067)),OR(ISNUMBER(SEARCH("上",D7067)),ISNUMBER(SEARCH("去",D7067)),ISNUMBER(SEARCH("入",D7067)))),"Ambiguous",IF(ISNUMBER(SEARCH("平",D7067)),"平","仄")))</x:f>
        <x:v>仄</x:v>
      </x:c>
      <x:c r="L7067" s="7" t="str">
        <x:v>Pingshui main list expansion</x:v>
      </x:c>
    </x:row>
    <x:row r="7068">
      <x:c r="A7068" s="5" t="str">
        <x:v>樾</x:v>
      </x:c>
      <x:c r="B7068" s="6" t="str">
        <x:v>入</x:v>
      </x:c>
      <x:c r="C7068" s="6" t="str">
        <x:f>IF(B7068="","Needs decision","Ready")</x:f>
        <x:v>Ready</x:v>
      </x:c>
      <x:c r="D7068" s="6" t="str">
        <x:v>入</x:v>
      </x:c>
      <x:c r="E7068" s="6" t="str"/>
      <x:c r="F7068" s="6" t="str">
        <x:v>入聲六月</x:v>
      </x:c>
      <x:c r="G7068" s="6" t="str">
        <x:v>Pingshui main list, Wikisource-derived DOCX</x:v>
      </x:c>
      <x:c r="H7068" s="6" t="str"/>
      <x:c r="I7068" s="6" t="str">
        <x:v>Pingshui main-list expansion; 詞 entries ignored</x:v>
      </x:c>
      <x:c r="J7068" s="6" t="str">
        <x:f>IF(B7068="","",IF(AND(ISNUMBER(SEARCH("平",B7068)),OR(ISNUMBER(SEARCH("上",B7068)),ISNUMBER(SEARCH("去",B7068)),ISNUMBER(SEARCH("入",B7068)))),"Ambiguous",IF(ISNUMBER(SEARCH("平",B7068)),"平","仄")))</x:f>
        <x:v>仄</x:v>
      </x:c>
      <x:c r="K7068" s="6" t="str">
        <x:f>IF(D7068="","",IF(AND(ISNUMBER(SEARCH("平",D7068)),OR(ISNUMBER(SEARCH("上",D7068)),ISNUMBER(SEARCH("去",D7068)),ISNUMBER(SEARCH("入",D7068)))),"Ambiguous",IF(ISNUMBER(SEARCH("平",D7068)),"平","仄")))</x:f>
        <x:v>仄</x:v>
      </x:c>
      <x:c r="L7068" s="7" t="str">
        <x:v>Pingshui main list expansion</x:v>
      </x:c>
    </x:row>
    <x:row r="7069">
      <x:c r="A7069" s="5" t="str">
        <x:v>橀</x:v>
      </x:c>
      <x:c r="B7069" s="6" t="str">
        <x:v>平</x:v>
      </x:c>
      <x:c r="C7069" s="6" t="str">
        <x:f>IF(B7069="","Needs decision","Ready")</x:f>
        <x:v>Ready</x:v>
      </x:c>
      <x:c r="D7069" s="6" t="str">
        <x:v>平</x:v>
      </x:c>
      <x:c r="E7069" s="6" t="str"/>
      <x:c r="F7069" s="6" t="str">
        <x:v>上平聲八齊</x:v>
      </x:c>
      <x:c r="G7069" s="6" t="str">
        <x:v>Pingshui main list, Wikisource-derived DOCX</x:v>
      </x:c>
      <x:c r="H7069" s="6" t="str"/>
      <x:c r="I7069" s="6" t="str">
        <x:v>Pingshui main-list expansion; 詞 entries ignored</x:v>
      </x:c>
      <x:c r="J7069" s="6" t="str">
        <x:f>IF(B7069="","",IF(AND(ISNUMBER(SEARCH("平",B7069)),OR(ISNUMBER(SEARCH("上",B7069)),ISNUMBER(SEARCH("去",B7069)),ISNUMBER(SEARCH("入",B7069)))),"Ambiguous",IF(ISNUMBER(SEARCH("平",B7069)),"平","仄")))</x:f>
        <x:v>平</x:v>
      </x:c>
      <x:c r="K7069" s="6" t="str">
        <x:f>IF(D7069="","",IF(AND(ISNUMBER(SEARCH("平",D7069)),OR(ISNUMBER(SEARCH("上",D7069)),ISNUMBER(SEARCH("去",D7069)),ISNUMBER(SEARCH("入",D7069)))),"Ambiguous",IF(ISNUMBER(SEARCH("平",D7069)),"平","仄")))</x:f>
        <x:v>平</x:v>
      </x:c>
      <x:c r="L7069" s="7" t="str">
        <x:v>Pingshui main list expansion</x:v>
      </x:c>
    </x:row>
    <x:row r="7070">
      <x:c r="A7070" s="5" t="str">
        <x:v>橇</x:v>
      </x:c>
      <x:c r="B7070" s="6" t="str"/>
      <x:c r="C7070" s="6" t="str">
        <x:f>IF(B7070="","Needs decision","Ready")</x:f>
        <x:v>Needs decision</x:v>
      </x:c>
      <x:c r="D7070" s="6" t="str">
        <x:v>平/入</x:v>
      </x:c>
      <x:c r="E7070" s="6" t="str"/>
      <x:c r="F7070" s="6" t="str">
        <x:v>下平聲二蕭; 入聲九屑</x:v>
      </x:c>
      <x:c r="G7070" s="6" t="str">
        <x:v>Pingshui main list, Wikisource-derived DOCX</x:v>
      </x:c>
      <x:c r="H7070" s="6" t="str"/>
      <x:c r="I7070" s="6" t="str">
        <x:v>Pingshui main-list expansion; 詞 entries ignored</x:v>
      </x:c>
      <x:c r="J7070" s="6" t="str">
        <x:f>IF(B7070="","",IF(AND(ISNUMBER(SEARCH("平",B7070)),OR(ISNUMBER(SEARCH("上",B7070)),ISNUMBER(SEARCH("去",B7070)),ISNUMBER(SEARCH("入",B7070)))),"Ambiguous",IF(ISNUMBER(SEARCH("平",B7070)),"平","仄")))</x:f>
      </x:c>
      <x:c r="K7070" s="6" t="str">
        <x:f>IF(D7070="","",IF(AND(ISNUMBER(SEARCH("平",D7070)),OR(ISNUMBER(SEARCH("上",D7070)),ISNUMBER(SEARCH("去",D7070)),ISNUMBER(SEARCH("入",D7070)))),"Ambiguous",IF(ISNUMBER(SEARCH("平",D7070)),"平","仄")))</x:f>
        <x:v>Ambiguous</x:v>
      </x:c>
      <x:c r="L7070" s="7" t="str">
        <x:v>Pingshui main list expansion</x:v>
      </x:c>
    </x:row>
    <x:row r="7071">
      <x:c r="A7071" s="5" t="str">
        <x:v>橝</x:v>
      </x:c>
      <x:c r="B7071" s="6" t="str">
        <x:v>平</x:v>
      </x:c>
      <x:c r="C7071" s="6" t="str">
        <x:f>IF(B7071="","Needs decision","Ready")</x:f>
        <x:v>Ready</x:v>
      </x:c>
      <x:c r="D7071" s="6" t="str">
        <x:v>平</x:v>
      </x:c>
      <x:c r="E7071" s="6" t="str"/>
      <x:c r="F7071" s="6" t="str">
        <x:v>下平聲十三覃</x:v>
      </x:c>
      <x:c r="G7071" s="6" t="str">
        <x:v>Pingshui main list, Wikisource-derived DOCX</x:v>
      </x:c>
      <x:c r="H7071" s="6" t="str"/>
      <x:c r="I7071" s="6" t="str">
        <x:v>Pingshui main-list expansion; 詞 entries ignored</x:v>
      </x:c>
      <x:c r="J7071" s="6" t="str">
        <x:f>IF(B7071="","",IF(AND(ISNUMBER(SEARCH("平",B7071)),OR(ISNUMBER(SEARCH("上",B7071)),ISNUMBER(SEARCH("去",B7071)),ISNUMBER(SEARCH("入",B7071)))),"Ambiguous",IF(ISNUMBER(SEARCH("平",B7071)),"平","仄")))</x:f>
        <x:v>平</x:v>
      </x:c>
      <x:c r="K7071" s="6" t="str">
        <x:f>IF(D7071="","",IF(AND(ISNUMBER(SEARCH("平",D7071)),OR(ISNUMBER(SEARCH("上",D7071)),ISNUMBER(SEARCH("去",D7071)),ISNUMBER(SEARCH("入",D7071)))),"Ambiguous",IF(ISNUMBER(SEARCH("平",D7071)),"平","仄")))</x:f>
        <x:v>平</x:v>
      </x:c>
      <x:c r="L7071" s="7" t="str">
        <x:v>Pingshui main list expansion</x:v>
      </x:c>
    </x:row>
    <x:row r="7072">
      <x:c r="A7072" s="5" t="str">
        <x:v>橤</x:v>
      </x:c>
      <x:c r="B7072" s="6" t="str">
        <x:v>上</x:v>
      </x:c>
      <x:c r="C7072" s="6" t="str">
        <x:f>IF(B7072="","Needs decision","Ready")</x:f>
        <x:v>Ready</x:v>
      </x:c>
      <x:c r="D7072" s="6" t="str">
        <x:v>上</x:v>
      </x:c>
      <x:c r="E7072" s="6" t="str"/>
      <x:c r="F7072" s="6" t="str">
        <x:v>上聲四紙</x:v>
      </x:c>
      <x:c r="G7072" s="6" t="str">
        <x:v>Pingshui main list, Wikisource-derived DOCX</x:v>
      </x:c>
      <x:c r="H7072" s="6" t="str"/>
      <x:c r="I7072" s="6" t="str">
        <x:v>Pingshui main-list expansion; 詞 entries ignored</x:v>
      </x:c>
      <x:c r="J7072" s="6" t="str">
        <x:f>IF(B7072="","",IF(AND(ISNUMBER(SEARCH("平",B7072)),OR(ISNUMBER(SEARCH("上",B7072)),ISNUMBER(SEARCH("去",B7072)),ISNUMBER(SEARCH("入",B7072)))),"Ambiguous",IF(ISNUMBER(SEARCH("平",B7072)),"平","仄")))</x:f>
        <x:v>仄</x:v>
      </x:c>
      <x:c r="K7072" s="6" t="str">
        <x:f>IF(D7072="","",IF(AND(ISNUMBER(SEARCH("平",D7072)),OR(ISNUMBER(SEARCH("上",D7072)),ISNUMBER(SEARCH("去",D7072)),ISNUMBER(SEARCH("入",D7072)))),"Ambiguous",IF(ISNUMBER(SEARCH("平",D7072)),"平","仄")))</x:f>
        <x:v>仄</x:v>
      </x:c>
      <x:c r="L7072" s="7" t="str">
        <x:v>Pingshui main list expansion</x:v>
      </x:c>
    </x:row>
    <x:row r="7073">
      <x:c r="A7073" s="5" t="str">
        <x:v>橧</x:v>
      </x:c>
      <x:c r="B7073" s="6" t="str">
        <x:v>平</x:v>
      </x:c>
      <x:c r="C7073" s="6" t="str">
        <x:f>IF(B7073="","Needs decision","Ready")</x:f>
        <x:v>Ready</x:v>
      </x:c>
      <x:c r="D7073" s="6" t="str">
        <x:v>平</x:v>
      </x:c>
      <x:c r="E7073" s="6" t="str"/>
      <x:c r="F7073" s="6" t="str">
        <x:v>下平聲十蒸</x:v>
      </x:c>
      <x:c r="G7073" s="6" t="str">
        <x:v>Pingshui main list, Wikisource-derived DOCX</x:v>
      </x:c>
      <x:c r="H7073" s="6" t="str"/>
      <x:c r="I7073" s="6" t="str">
        <x:v>Pingshui main-list expansion; 詞 entries ignored</x:v>
      </x:c>
      <x:c r="J7073" s="6" t="str">
        <x:f>IF(B7073="","",IF(AND(ISNUMBER(SEARCH("平",B7073)),OR(ISNUMBER(SEARCH("上",B7073)),ISNUMBER(SEARCH("去",B7073)),ISNUMBER(SEARCH("入",B7073)))),"Ambiguous",IF(ISNUMBER(SEARCH("平",B7073)),"平","仄")))</x:f>
        <x:v>平</x:v>
      </x:c>
      <x:c r="K7073" s="6" t="str">
        <x:f>IF(D7073="","",IF(AND(ISNUMBER(SEARCH("平",D7073)),OR(ISNUMBER(SEARCH("上",D7073)),ISNUMBER(SEARCH("去",D7073)),ISNUMBER(SEARCH("入",D7073)))),"Ambiguous",IF(ISNUMBER(SEARCH("平",D7073)),"平","仄")))</x:f>
        <x:v>平</x:v>
      </x:c>
      <x:c r="L7073" s="7" t="str">
        <x:v>Pingshui main list expansion</x:v>
      </x:c>
    </x:row>
    <x:row r="7074">
      <x:c r="A7074" s="5" t="str">
        <x:v>橭</x:v>
      </x:c>
      <x:c r="B7074" s="6" t="str">
        <x:v>平</x:v>
      </x:c>
      <x:c r="C7074" s="6" t="str">
        <x:f>IF(B7074="","Needs decision","Ready")</x:f>
        <x:v>Ready</x:v>
      </x:c>
      <x:c r="D7074" s="6" t="str">
        <x:v>平</x:v>
      </x:c>
      <x:c r="E7074" s="6" t="str"/>
      <x:c r="F7074" s="6" t="str">
        <x:v>上平聲七虞</x:v>
      </x:c>
      <x:c r="G7074" s="6" t="str">
        <x:v>Pingshui main list, Wikisource-derived DOCX</x:v>
      </x:c>
      <x:c r="H7074" s="6" t="str"/>
      <x:c r="I7074" s="6" t="str">
        <x:v>Pingshui main-list expansion; 詞 entries ignored</x:v>
      </x:c>
      <x:c r="J7074" s="6" t="str">
        <x:f>IF(B7074="","",IF(AND(ISNUMBER(SEARCH("平",B7074)),OR(ISNUMBER(SEARCH("上",B7074)),ISNUMBER(SEARCH("去",B7074)),ISNUMBER(SEARCH("入",B7074)))),"Ambiguous",IF(ISNUMBER(SEARCH("平",B7074)),"平","仄")))</x:f>
        <x:v>平</x:v>
      </x:c>
      <x:c r="K7074" s="6" t="str">
        <x:f>IF(D7074="","",IF(AND(ISNUMBER(SEARCH("平",D7074)),OR(ISNUMBER(SEARCH("上",D7074)),ISNUMBER(SEARCH("去",D7074)),ISNUMBER(SEARCH("入",D7074)))),"Ambiguous",IF(ISNUMBER(SEARCH("平",D7074)),"平","仄")))</x:f>
        <x:v>平</x:v>
      </x:c>
      <x:c r="L7074" s="7" t="str">
        <x:v>Pingshui main list expansion</x:v>
      </x:c>
    </x:row>
    <x:row r="7075">
      <x:c r="A7075" s="5" t="str">
        <x:v>橶</x:v>
      </x:c>
      <x:c r="B7075" s="6" t="str">
        <x:v>入</x:v>
      </x:c>
      <x:c r="C7075" s="6" t="str">
        <x:f>IF(B7075="","Needs decision","Ready")</x:f>
        <x:v>Ready</x:v>
      </x:c>
      <x:c r="D7075" s="6" t="str">
        <x:v>入</x:v>
      </x:c>
      <x:c r="E7075" s="6" t="str"/>
      <x:c r="F7075" s="6" t="str">
        <x:v>入聲十一陌</x:v>
      </x:c>
      <x:c r="G7075" s="6" t="str">
        <x:v>Pingshui main list, Wikisource-derived DOCX</x:v>
      </x:c>
      <x:c r="H7075" s="6" t="str"/>
      <x:c r="I7075" s="6" t="str">
        <x:v>Pingshui main-list expansion; 詞 entries ignored</x:v>
      </x:c>
      <x:c r="J7075" s="6" t="str">
        <x:f>IF(B7075="","",IF(AND(ISNUMBER(SEARCH("平",B7075)),OR(ISNUMBER(SEARCH("上",B7075)),ISNUMBER(SEARCH("去",B7075)),ISNUMBER(SEARCH("入",B7075)))),"Ambiguous",IF(ISNUMBER(SEARCH("平",B7075)),"平","仄")))</x:f>
        <x:v>仄</x:v>
      </x:c>
      <x:c r="K7075" s="6" t="str">
        <x:f>IF(D7075="","",IF(AND(ISNUMBER(SEARCH("平",D7075)),OR(ISNUMBER(SEARCH("上",D7075)),ISNUMBER(SEARCH("去",D7075)),ISNUMBER(SEARCH("入",D7075)))),"Ambiguous",IF(ISNUMBER(SEARCH("平",D7075)),"平","仄")))</x:f>
        <x:v>仄</x:v>
      </x:c>
      <x:c r="L7075" s="7" t="str">
        <x:v>Pingshui main list expansion</x:v>
      </x:c>
    </x:row>
    <x:row r="7076">
      <x:c r="A7076" s="5" t="str">
        <x:v>橿</x:v>
      </x:c>
      <x:c r="B7076" s="6" t="str">
        <x:v>平</x:v>
      </x:c>
      <x:c r="C7076" s="6" t="str">
        <x:f>IF(B7076="","Needs decision","Ready")</x:f>
        <x:v>Ready</x:v>
      </x:c>
      <x:c r="D7076" s="6" t="str">
        <x:v>平</x:v>
      </x:c>
      <x:c r="E7076" s="6" t="str"/>
      <x:c r="F7076" s="6" t="str">
        <x:v>下平聲七陽</x:v>
      </x:c>
      <x:c r="G7076" s="6" t="str">
        <x:v>Pingshui main list, Wikisource-derived DOCX</x:v>
      </x:c>
      <x:c r="H7076" s="6" t="str"/>
      <x:c r="I7076" s="6" t="str">
        <x:v>Pingshui main-list expansion; 詞 entries ignored</x:v>
      </x:c>
      <x:c r="J7076" s="6" t="str">
        <x:f>IF(B7076="","",IF(AND(ISNUMBER(SEARCH("平",B7076)),OR(ISNUMBER(SEARCH("上",B7076)),ISNUMBER(SEARCH("去",B7076)),ISNUMBER(SEARCH("入",B7076)))),"Ambiguous",IF(ISNUMBER(SEARCH("平",B7076)),"平","仄")))</x:f>
        <x:v>平</x:v>
      </x:c>
      <x:c r="K7076" s="6" t="str">
        <x:f>IF(D7076="","",IF(AND(ISNUMBER(SEARCH("平",D7076)),OR(ISNUMBER(SEARCH("上",D7076)),ISNUMBER(SEARCH("去",D7076)),ISNUMBER(SEARCH("入",D7076)))),"Ambiguous",IF(ISNUMBER(SEARCH("平",D7076)),"平","仄")))</x:f>
        <x:v>平</x:v>
      </x:c>
      <x:c r="L7076" s="7" t="str">
        <x:v>Pingshui main list expansion</x:v>
      </x:c>
    </x:row>
    <x:row r="7077">
      <x:c r="A7077" s="5" t="str">
        <x:v>檍</x:v>
      </x:c>
      <x:c r="B7077" s="6" t="str">
        <x:v>入</x:v>
      </x:c>
      <x:c r="C7077" s="6" t="str">
        <x:f>IF(B7077="","Needs decision","Ready")</x:f>
        <x:v>Ready</x:v>
      </x:c>
      <x:c r="D7077" s="6" t="str">
        <x:v>入</x:v>
      </x:c>
      <x:c r="E7077" s="6" t="str"/>
      <x:c r="F7077" s="6" t="str">
        <x:v>入聲十三職</x:v>
      </x:c>
      <x:c r="G7077" s="6" t="str">
        <x:v>Pingshui main list, Wikisource-derived DOCX</x:v>
      </x:c>
      <x:c r="H7077" s="6" t="str"/>
      <x:c r="I7077" s="6" t="str">
        <x:v>Pingshui main-list expansion; 詞 entries ignored</x:v>
      </x:c>
      <x:c r="J7077" s="6" t="str">
        <x:f>IF(B7077="","",IF(AND(ISNUMBER(SEARCH("平",B7077)),OR(ISNUMBER(SEARCH("上",B7077)),ISNUMBER(SEARCH("去",B7077)),ISNUMBER(SEARCH("入",B7077)))),"Ambiguous",IF(ISNUMBER(SEARCH("平",B7077)),"平","仄")))</x:f>
        <x:v>仄</x:v>
      </x:c>
      <x:c r="K7077" s="6" t="str">
        <x:f>IF(D7077="","",IF(AND(ISNUMBER(SEARCH("平",D7077)),OR(ISNUMBER(SEARCH("上",D7077)),ISNUMBER(SEARCH("去",D7077)),ISNUMBER(SEARCH("入",D7077)))),"Ambiguous",IF(ISNUMBER(SEARCH("平",D7077)),"平","仄")))</x:f>
        <x:v>仄</x:v>
      </x:c>
      <x:c r="L7077" s="7" t="str">
        <x:v>Pingshui main list expansion</x:v>
      </x:c>
    </x:row>
    <x:row r="7078">
      <x:c r="A7078" s="5" t="str">
        <x:v>檎</x:v>
      </x:c>
      <x:c r="B7078" s="6" t="str">
        <x:v>平</x:v>
      </x:c>
      <x:c r="C7078" s="6" t="str">
        <x:f>IF(B7078="","Needs decision","Ready")</x:f>
        <x:v>Ready</x:v>
      </x:c>
      <x:c r="D7078" s="6" t="str">
        <x:v>平</x:v>
      </x:c>
      <x:c r="E7078" s="6" t="str"/>
      <x:c r="F7078" s="6" t="str">
        <x:v>下平聲十二侵</x:v>
      </x:c>
      <x:c r="G7078" s="6" t="str">
        <x:v>Pingshui main list, Wikisource-derived DOCX</x:v>
      </x:c>
      <x:c r="H7078" s="6" t="str"/>
      <x:c r="I7078" s="6" t="str">
        <x:v>Pingshui main-list expansion; 詞 entries ignored</x:v>
      </x:c>
      <x:c r="J7078" s="6" t="str">
        <x:f>IF(B7078="","",IF(AND(ISNUMBER(SEARCH("平",B7078)),OR(ISNUMBER(SEARCH("上",B7078)),ISNUMBER(SEARCH("去",B7078)),ISNUMBER(SEARCH("入",B7078)))),"Ambiguous",IF(ISNUMBER(SEARCH("平",B7078)),"平","仄")))</x:f>
        <x:v>平</x:v>
      </x:c>
      <x:c r="K7078" s="6" t="str">
        <x:f>IF(D7078="","",IF(AND(ISNUMBER(SEARCH("平",D7078)),OR(ISNUMBER(SEARCH("上",D7078)),ISNUMBER(SEARCH("去",D7078)),ISNUMBER(SEARCH("入",D7078)))),"Ambiguous",IF(ISNUMBER(SEARCH("平",D7078)),"平","仄")))</x:f>
        <x:v>平</x:v>
      </x:c>
      <x:c r="L7078" s="7" t="str">
        <x:v>Pingshui main list expansion</x:v>
      </x:c>
    </x:row>
    <x:row r="7079">
      <x:c r="A7079" s="5" t="str">
        <x:v>檽</x:v>
      </x:c>
      <x:c r="B7079" s="6" t="str">
        <x:v>去</x:v>
      </x:c>
      <x:c r="C7079" s="6" t="str">
        <x:f>IF(B7079="","Needs decision","Ready")</x:f>
        <x:v>Ready</x:v>
      </x:c>
      <x:c r="D7079" s="6" t="str">
        <x:v>去</x:v>
      </x:c>
      <x:c r="E7079" s="6" t="str"/>
      <x:c r="F7079" s="6" t="str">
        <x:v>去聲二十二禡</x:v>
      </x:c>
      <x:c r="G7079" s="6" t="str">
        <x:v>Pingshui main list, Wikisource-derived DOCX</x:v>
      </x:c>
      <x:c r="H7079" s="6" t="str"/>
      <x:c r="I7079" s="6" t="str">
        <x:v>Pingshui main-list expansion; 詞 entries ignored</x:v>
      </x:c>
      <x:c r="J7079" s="6" t="str">
        <x:f>IF(B7079="","",IF(AND(ISNUMBER(SEARCH("平",B7079)),OR(ISNUMBER(SEARCH("上",B7079)),ISNUMBER(SEARCH("去",B7079)),ISNUMBER(SEARCH("入",B7079)))),"Ambiguous",IF(ISNUMBER(SEARCH("平",B7079)),"平","仄")))</x:f>
        <x:v>仄</x:v>
      </x:c>
      <x:c r="K7079" s="6" t="str">
        <x:f>IF(D7079="","",IF(AND(ISNUMBER(SEARCH("平",D7079)),OR(ISNUMBER(SEARCH("上",D7079)),ISNUMBER(SEARCH("去",D7079)),ISNUMBER(SEARCH("入",D7079)))),"Ambiguous",IF(ISNUMBER(SEARCH("平",D7079)),"平","仄")))</x:f>
        <x:v>仄</x:v>
      </x:c>
      <x:c r="L7079" s="7" t="str">
        <x:v>Pingshui main list expansion</x:v>
      </x:c>
    </x:row>
    <x:row r="7080">
      <x:c r="A7080" s="5" t="str">
        <x:v>櫋</x:v>
      </x:c>
      <x:c r="B7080" s="6" t="str">
        <x:v>平</x:v>
      </x:c>
      <x:c r="C7080" s="6" t="str">
        <x:f>IF(B7080="","Needs decision","Ready")</x:f>
        <x:v>Ready</x:v>
      </x:c>
      <x:c r="D7080" s="6" t="str">
        <x:v>平</x:v>
      </x:c>
      <x:c r="E7080" s="6" t="str"/>
      <x:c r="F7080" s="6" t="str">
        <x:v>下平聲一先</x:v>
      </x:c>
      <x:c r="G7080" s="6" t="str">
        <x:v>Pingshui main list, Wikisource-derived DOCX</x:v>
      </x:c>
      <x:c r="H7080" s="6" t="str"/>
      <x:c r="I7080" s="6" t="str">
        <x:v>Pingshui main-list expansion; 詞 entries ignored</x:v>
      </x:c>
      <x:c r="J7080" s="6" t="str">
        <x:f>IF(B7080="","",IF(AND(ISNUMBER(SEARCH("平",B7080)),OR(ISNUMBER(SEARCH("上",B7080)),ISNUMBER(SEARCH("去",B7080)),ISNUMBER(SEARCH("入",B7080)))),"Ambiguous",IF(ISNUMBER(SEARCH("平",B7080)),"平","仄")))</x:f>
        <x:v>平</x:v>
      </x:c>
      <x:c r="K7080" s="6" t="str">
        <x:f>IF(D7080="","",IF(AND(ISNUMBER(SEARCH("平",D7080)),OR(ISNUMBER(SEARCH("上",D7080)),ISNUMBER(SEARCH("去",D7080)),ISNUMBER(SEARCH("入",D7080)))),"Ambiguous",IF(ISNUMBER(SEARCH("平",D7080)),"平","仄")))</x:f>
        <x:v>平</x:v>
      </x:c>
      <x:c r="L7080" s="7" t="str">
        <x:v>Pingshui main list expansion</x:v>
      </x:c>
    </x:row>
    <x:row r="7081">
      <x:c r="A7081" s="5" t="str">
        <x:v>櫍</x:v>
      </x:c>
      <x:c r="B7081" s="6" t="str">
        <x:v>入</x:v>
      </x:c>
      <x:c r="C7081" s="6" t="str">
        <x:f>IF(B7081="","Needs decision","Ready")</x:f>
        <x:v>Ready</x:v>
      </x:c>
      <x:c r="D7081" s="6" t="str">
        <x:v>入</x:v>
      </x:c>
      <x:c r="E7081" s="6" t="str"/>
      <x:c r="F7081" s="6" t="str">
        <x:v>入聲四質</x:v>
      </x:c>
      <x:c r="G7081" s="6" t="str">
        <x:v>Pingshui main list, Wikisource-derived DOCX</x:v>
      </x:c>
      <x:c r="H7081" s="6" t="str"/>
      <x:c r="I7081" s="6" t="str">
        <x:v>Pingshui main-list expansion; 詞 entries ignored</x:v>
      </x:c>
      <x:c r="J7081" s="6" t="str">
        <x:f>IF(B7081="","",IF(AND(ISNUMBER(SEARCH("平",B7081)),OR(ISNUMBER(SEARCH("上",B7081)),ISNUMBER(SEARCH("去",B7081)),ISNUMBER(SEARCH("入",B7081)))),"Ambiguous",IF(ISNUMBER(SEARCH("平",B7081)),"平","仄")))</x:f>
        <x:v>仄</x:v>
      </x:c>
      <x:c r="K7081" s="6" t="str">
        <x:f>IF(D7081="","",IF(AND(ISNUMBER(SEARCH("平",D7081)),OR(ISNUMBER(SEARCH("上",D7081)),ISNUMBER(SEARCH("去",D7081)),ISNUMBER(SEARCH("入",D7081)))),"Ambiguous",IF(ISNUMBER(SEARCH("平",D7081)),"平","仄")))</x:f>
        <x:v>仄</x:v>
      </x:c>
      <x:c r="L7081" s="7" t="str">
        <x:v>Pingshui main list expansion</x:v>
      </x:c>
    </x:row>
    <x:row r="7082">
      <x:c r="A7082" s="5" t="str">
        <x:v>櫑</x:v>
      </x:c>
      <x:c r="B7082" s="6" t="str">
        <x:v>上</x:v>
      </x:c>
      <x:c r="C7082" s="6" t="str">
        <x:f>IF(B7082="","Needs decision","Ready")</x:f>
        <x:v>Ready</x:v>
      </x:c>
      <x:c r="D7082" s="6" t="str">
        <x:v>上</x:v>
      </x:c>
      <x:c r="E7082" s="6" t="str"/>
      <x:c r="F7082" s="6" t="str">
        <x:v>上聲十賄</x:v>
      </x:c>
      <x:c r="G7082" s="6" t="str">
        <x:v>Pingshui main list, Wikisource-derived DOCX</x:v>
      </x:c>
      <x:c r="H7082" s="6" t="str"/>
      <x:c r="I7082" s="6" t="str">
        <x:v>Pingshui main-list expansion; 詞 entries ignored</x:v>
      </x:c>
      <x:c r="J7082" s="6" t="str">
        <x:f>IF(B7082="","",IF(AND(ISNUMBER(SEARCH("平",B7082)),OR(ISNUMBER(SEARCH("上",B7082)),ISNUMBER(SEARCH("去",B7082)),ISNUMBER(SEARCH("入",B7082)))),"Ambiguous",IF(ISNUMBER(SEARCH("平",B7082)),"平","仄")))</x:f>
        <x:v>仄</x:v>
      </x:c>
      <x:c r="K7082" s="6" t="str">
        <x:f>IF(D7082="","",IF(AND(ISNUMBER(SEARCH("平",D7082)),OR(ISNUMBER(SEARCH("上",D7082)),ISNUMBER(SEARCH("去",D7082)),ISNUMBER(SEARCH("入",D7082)))),"Ambiguous",IF(ISNUMBER(SEARCH("平",D7082)),"平","仄")))</x:f>
        <x:v>仄</x:v>
      </x:c>
      <x:c r="L7082" s="7" t="str">
        <x:v>Pingshui main list expansion</x:v>
      </x:c>
    </x:row>
    <x:row r="7083">
      <x:c r="A7083" s="5" t="str">
        <x:v>櫜</x:v>
      </x:c>
      <x:c r="B7083" s="6" t="str">
        <x:v>平</x:v>
      </x:c>
      <x:c r="C7083" s="6" t="str">
        <x:f>IF(B7083="","Needs decision","Ready")</x:f>
        <x:v>Ready</x:v>
      </x:c>
      <x:c r="D7083" s="6" t="str">
        <x:v>平</x:v>
      </x:c>
      <x:c r="E7083" s="6" t="str"/>
      <x:c r="F7083" s="6" t="str">
        <x:v>下平聲四豪</x:v>
      </x:c>
      <x:c r="G7083" s="6" t="str">
        <x:v>Pingshui main list, Wikisource-derived DOCX</x:v>
      </x:c>
      <x:c r="H7083" s="6" t="str"/>
      <x:c r="I7083" s="6" t="str">
        <x:v>Pingshui main-list expansion; 詞 entries ignored</x:v>
      </x:c>
      <x:c r="J7083" s="6" t="str">
        <x:f>IF(B7083="","",IF(AND(ISNUMBER(SEARCH("平",B7083)),OR(ISNUMBER(SEARCH("上",B7083)),ISNUMBER(SEARCH("去",B7083)),ISNUMBER(SEARCH("入",B7083)))),"Ambiguous",IF(ISNUMBER(SEARCH("平",B7083)),"平","仄")))</x:f>
        <x:v>平</x:v>
      </x:c>
      <x:c r="K7083" s="6" t="str">
        <x:f>IF(D7083="","",IF(AND(ISNUMBER(SEARCH("平",D7083)),OR(ISNUMBER(SEARCH("上",D7083)),ISNUMBER(SEARCH("去",D7083)),ISNUMBER(SEARCH("入",D7083)))),"Ambiguous",IF(ISNUMBER(SEARCH("平",D7083)),"平","仄")))</x:f>
        <x:v>平</x:v>
      </x:c>
      <x:c r="L7083" s="7" t="str">
        <x:v>Pingshui main list expansion</x:v>
      </x:c>
    </x:row>
    <x:row r="7084">
      <x:c r="A7084" s="5" t="str">
        <x:v>櫧</x:v>
      </x:c>
      <x:c r="B7084" s="6" t="str">
        <x:v>平</x:v>
      </x:c>
      <x:c r="C7084" s="6" t="str">
        <x:f>IF(B7084="","Needs decision","Ready")</x:f>
        <x:v>Ready</x:v>
      </x:c>
      <x:c r="D7084" s="6" t="str">
        <x:v>平</x:v>
      </x:c>
      <x:c r="E7084" s="6" t="str"/>
      <x:c r="F7084" s="6" t="str">
        <x:v>上平聲六魚</x:v>
      </x:c>
      <x:c r="G7084" s="6" t="str">
        <x:v>Pingshui main list, Wikisource-derived DOCX</x:v>
      </x:c>
      <x:c r="H7084" s="6" t="str"/>
      <x:c r="I7084" s="6" t="str">
        <x:v>Pingshui main-list expansion; 詞 entries ignored</x:v>
      </x:c>
      <x:c r="J7084" s="6" t="str">
        <x:f>IF(B7084="","",IF(AND(ISNUMBER(SEARCH("平",B7084)),OR(ISNUMBER(SEARCH("上",B7084)),ISNUMBER(SEARCH("去",B7084)),ISNUMBER(SEARCH("入",B7084)))),"Ambiguous",IF(ISNUMBER(SEARCH("平",B7084)),"平","仄")))</x:f>
        <x:v>平</x:v>
      </x:c>
      <x:c r="K7084" s="6" t="str">
        <x:f>IF(D7084="","",IF(AND(ISNUMBER(SEARCH("平",D7084)),OR(ISNUMBER(SEARCH("上",D7084)),ISNUMBER(SEARCH("去",D7084)),ISNUMBER(SEARCH("入",D7084)))),"Ambiguous",IF(ISNUMBER(SEARCH("平",D7084)),"平","仄")))</x:f>
        <x:v>平</x:v>
      </x:c>
      <x:c r="L7084" s="7" t="str">
        <x:v>Pingshui main list expansion</x:v>
      </x:c>
    </x:row>
    <x:row r="7085">
      <x:c r="A7085" s="5" t="str">
        <x:v>櫫</x:v>
      </x:c>
      <x:c r="B7085" s="6" t="str">
        <x:v>平</x:v>
      </x:c>
      <x:c r="C7085" s="6" t="str">
        <x:f>IF(B7085="","Needs decision","Ready")</x:f>
        <x:v>Ready</x:v>
      </x:c>
      <x:c r="D7085" s="6" t="str">
        <x:v>平</x:v>
      </x:c>
      <x:c r="E7085" s="6" t="str"/>
      <x:c r="F7085" s="6" t="str">
        <x:v>上平聲六魚</x:v>
      </x:c>
      <x:c r="G7085" s="6" t="str">
        <x:v>Pingshui main list, Wikisource-derived DOCX</x:v>
      </x:c>
      <x:c r="H7085" s="6" t="str"/>
      <x:c r="I7085" s="6" t="str">
        <x:v>Pingshui main-list expansion; 詞 entries ignored</x:v>
      </x:c>
      <x:c r="J7085" s="6" t="str">
        <x:f>IF(B7085="","",IF(AND(ISNUMBER(SEARCH("平",B7085)),OR(ISNUMBER(SEARCH("上",B7085)),ISNUMBER(SEARCH("去",B7085)),ISNUMBER(SEARCH("入",B7085)))),"Ambiguous",IF(ISNUMBER(SEARCH("平",B7085)),"平","仄")))</x:f>
        <x:v>平</x:v>
      </x:c>
      <x:c r="K7085" s="6" t="str">
        <x:f>IF(D7085="","",IF(AND(ISNUMBER(SEARCH("平",D7085)),OR(ISNUMBER(SEARCH("上",D7085)),ISNUMBER(SEARCH("去",D7085)),ISNUMBER(SEARCH("入",D7085)))),"Ambiguous",IF(ISNUMBER(SEARCH("平",D7085)),"平","仄")))</x:f>
        <x:v>平</x:v>
      </x:c>
      <x:c r="L7085" s="7" t="str">
        <x:v>Pingshui main list expansion</x:v>
      </x:c>
    </x:row>
    <x:row r="7086">
      <x:c r="A7086" s="5" t="str">
        <x:v>櫰</x:v>
      </x:c>
      <x:c r="B7086" s="6" t="str">
        <x:v>平</x:v>
      </x:c>
      <x:c r="C7086" s="6" t="str">
        <x:f>IF(B7086="","Needs decision","Ready")</x:f>
        <x:v>Ready</x:v>
      </x:c>
      <x:c r="D7086" s="6" t="str">
        <x:v>平</x:v>
      </x:c>
      <x:c r="E7086" s="6" t="str"/>
      <x:c r="F7086" s="6" t="str">
        <x:v>上平聲九佳</x:v>
      </x:c>
      <x:c r="G7086" s="6" t="str">
        <x:v>Pingshui main list, Wikisource-derived DOCX</x:v>
      </x:c>
      <x:c r="H7086" s="6" t="str"/>
      <x:c r="I7086" s="6" t="str">
        <x:v>Pingshui main-list expansion; 詞 entries ignored</x:v>
      </x:c>
      <x:c r="J7086" s="6" t="str">
        <x:f>IF(B7086="","",IF(AND(ISNUMBER(SEARCH("平",B7086)),OR(ISNUMBER(SEARCH("上",B7086)),ISNUMBER(SEARCH("去",B7086)),ISNUMBER(SEARCH("入",B7086)))),"Ambiguous",IF(ISNUMBER(SEARCH("平",B7086)),"平","仄")))</x:f>
        <x:v>平</x:v>
      </x:c>
      <x:c r="K7086" s="6" t="str">
        <x:f>IF(D7086="","",IF(AND(ISNUMBER(SEARCH("平",D7086)),OR(ISNUMBER(SEARCH("上",D7086)),ISNUMBER(SEARCH("去",D7086)),ISNUMBER(SEARCH("入",D7086)))),"Ambiguous",IF(ISNUMBER(SEARCH("平",D7086)),"平","仄")))</x:f>
        <x:v>平</x:v>
      </x:c>
      <x:c r="L7086" s="7" t="str">
        <x:v>Pingshui main list expansion</x:v>
      </x:c>
    </x:row>
    <x:row r="7087">
      <x:c r="A7087" s="5" t="str">
        <x:v>櫸</x:v>
      </x:c>
      <x:c r="B7087" s="6" t="str">
        <x:v>上</x:v>
      </x:c>
      <x:c r="C7087" s="6" t="str">
        <x:f>IF(B7087="","Needs decision","Ready")</x:f>
        <x:v>Ready</x:v>
      </x:c>
      <x:c r="D7087" s="6" t="str">
        <x:v>上</x:v>
      </x:c>
      <x:c r="E7087" s="6" t="str"/>
      <x:c r="F7087" s="6" t="str">
        <x:v>上聲六語</x:v>
      </x:c>
      <x:c r="G7087" s="6" t="str">
        <x:v>Pingshui main list, Wikisource-derived DOCX</x:v>
      </x:c>
      <x:c r="H7087" s="6" t="str"/>
      <x:c r="I7087" s="6" t="str">
        <x:v>Pingshui main-list expansion; 詞 entries ignored</x:v>
      </x:c>
      <x:c r="J7087" s="6" t="str">
        <x:f>IF(B7087="","",IF(AND(ISNUMBER(SEARCH("平",B7087)),OR(ISNUMBER(SEARCH("上",B7087)),ISNUMBER(SEARCH("去",B7087)),ISNUMBER(SEARCH("入",B7087)))),"Ambiguous",IF(ISNUMBER(SEARCH("平",B7087)),"平","仄")))</x:f>
        <x:v>仄</x:v>
      </x:c>
      <x:c r="K7087" s="6" t="str">
        <x:f>IF(D7087="","",IF(AND(ISNUMBER(SEARCH("平",D7087)),OR(ISNUMBER(SEARCH("上",D7087)),ISNUMBER(SEARCH("去",D7087)),ISNUMBER(SEARCH("入",D7087)))),"Ambiguous",IF(ISNUMBER(SEARCH("平",D7087)),"平","仄")))</x:f>
        <x:v>仄</x:v>
      </x:c>
      <x:c r="L7087" s="7" t="str">
        <x:v>Pingshui main list expansion</x:v>
      </x:c>
    </x:row>
    <x:row r="7088">
      <x:c r="A7088" s="5" t="str">
        <x:v>櫺</x:v>
      </x:c>
      <x:c r="B7088" s="6" t="str">
        <x:v>平</x:v>
      </x:c>
      <x:c r="C7088" s="6" t="str">
        <x:f>IF(B7088="","Needs decision","Ready")</x:f>
        <x:v>Ready</x:v>
      </x:c>
      <x:c r="D7088" s="6" t="str">
        <x:v>平</x:v>
      </x:c>
      <x:c r="E7088" s="6" t="str"/>
      <x:c r="F7088" s="6" t="str">
        <x:v>下平聲九青</x:v>
      </x:c>
      <x:c r="G7088" s="6" t="str">
        <x:v>Pingshui main list, Wikisource-derived DOCX</x:v>
      </x:c>
      <x:c r="H7088" s="6" t="str"/>
      <x:c r="I7088" s="6" t="str">
        <x:v>Pingshui main-list expansion; 詞 entries ignored</x:v>
      </x:c>
      <x:c r="J7088" s="6" t="str">
        <x:f>IF(B7088="","",IF(AND(ISNUMBER(SEARCH("平",B7088)),OR(ISNUMBER(SEARCH("上",B7088)),ISNUMBER(SEARCH("去",B7088)),ISNUMBER(SEARCH("入",B7088)))),"Ambiguous",IF(ISNUMBER(SEARCH("平",B7088)),"平","仄")))</x:f>
        <x:v>平</x:v>
      </x:c>
      <x:c r="K7088" s="6" t="str">
        <x:f>IF(D7088="","",IF(AND(ISNUMBER(SEARCH("平",D7088)),OR(ISNUMBER(SEARCH("上",D7088)),ISNUMBER(SEARCH("去",D7088)),ISNUMBER(SEARCH("入",D7088)))),"Ambiguous",IF(ISNUMBER(SEARCH("平",D7088)),"平","仄")))</x:f>
        <x:v>平</x:v>
      </x:c>
      <x:c r="L7088" s="7" t="str">
        <x:v>Pingshui main list expansion</x:v>
      </x:c>
    </x:row>
    <x:row r="7089">
      <x:c r="A7089" s="5" t="str">
        <x:v>欋</x:v>
      </x:c>
      <x:c r="B7089" s="6" t="str">
        <x:v>平</x:v>
      </x:c>
      <x:c r="C7089" s="6" t="str">
        <x:f>IF(B7089="","Needs decision","Ready")</x:f>
        <x:v>Ready</x:v>
      </x:c>
      <x:c r="D7089" s="6" t="str">
        <x:v>平</x:v>
      </x:c>
      <x:c r="E7089" s="6" t="str"/>
      <x:c r="F7089" s="6" t="str">
        <x:v>上平聲七虞</x:v>
      </x:c>
      <x:c r="G7089" s="6" t="str">
        <x:v>Pingshui main list, Wikisource-derived DOCX</x:v>
      </x:c>
      <x:c r="H7089" s="6" t="str"/>
      <x:c r="I7089" s="6" t="str">
        <x:v>Pingshui main-list expansion; 詞 entries ignored</x:v>
      </x:c>
      <x:c r="J7089" s="6" t="str">
        <x:f>IF(B7089="","",IF(AND(ISNUMBER(SEARCH("平",B7089)),OR(ISNUMBER(SEARCH("上",B7089)),ISNUMBER(SEARCH("去",B7089)),ISNUMBER(SEARCH("入",B7089)))),"Ambiguous",IF(ISNUMBER(SEARCH("平",B7089)),"平","仄")))</x:f>
        <x:v>平</x:v>
      </x:c>
      <x:c r="K7089" s="6" t="str">
        <x:f>IF(D7089="","",IF(AND(ISNUMBER(SEARCH("平",D7089)),OR(ISNUMBER(SEARCH("上",D7089)),ISNUMBER(SEARCH("去",D7089)),ISNUMBER(SEARCH("入",D7089)))),"Ambiguous",IF(ISNUMBER(SEARCH("平",D7089)),"平","仄")))</x:f>
        <x:v>平</x:v>
      </x:c>
      <x:c r="L7089" s="7" t="str">
        <x:v>Pingshui main list expansion</x:v>
      </x:c>
    </x:row>
    <x:row r="7090">
      <x:c r="A7090" s="5" t="str">
        <x:v>欑</x:v>
      </x:c>
      <x:c r="B7090" s="6" t="str">
        <x:v>平</x:v>
      </x:c>
      <x:c r="C7090" s="6" t="str">
        <x:f>IF(B7090="","Needs decision","Ready")</x:f>
        <x:v>Ready</x:v>
      </x:c>
      <x:c r="D7090" s="6" t="str">
        <x:v>平</x:v>
      </x:c>
      <x:c r="E7090" s="6" t="str"/>
      <x:c r="F7090" s="6" t="str">
        <x:v>上平聲十四寒</x:v>
      </x:c>
      <x:c r="G7090" s="6" t="str">
        <x:v>Pingshui main list, Wikisource-derived DOCX</x:v>
      </x:c>
      <x:c r="H7090" s="6" t="str"/>
      <x:c r="I7090" s="6" t="str">
        <x:v>Pingshui main-list expansion; 詞 entries ignored</x:v>
      </x:c>
      <x:c r="J7090" s="6" t="str">
        <x:f>IF(B7090="","",IF(AND(ISNUMBER(SEARCH("平",B7090)),OR(ISNUMBER(SEARCH("上",B7090)),ISNUMBER(SEARCH("去",B7090)),ISNUMBER(SEARCH("入",B7090)))),"Ambiguous",IF(ISNUMBER(SEARCH("平",B7090)),"平","仄")))</x:f>
        <x:v>平</x:v>
      </x:c>
      <x:c r="K7090" s="6" t="str">
        <x:f>IF(D7090="","",IF(AND(ISNUMBER(SEARCH("平",D7090)),OR(ISNUMBER(SEARCH("上",D7090)),ISNUMBER(SEARCH("去",D7090)),ISNUMBER(SEARCH("入",D7090)))),"Ambiguous",IF(ISNUMBER(SEARCH("平",D7090)),"平","仄")))</x:f>
        <x:v>平</x:v>
      </x:c>
      <x:c r="L7090" s="7" t="str">
        <x:v>Pingshui main list expansion</x:v>
      </x:c>
    </x:row>
    <x:row r="7091">
      <x:c r="A7091" s="5" t="str">
        <x:v>欓</x:v>
      </x:c>
      <x:c r="B7091" s="6" t="str">
        <x:v>上</x:v>
      </x:c>
      <x:c r="C7091" s="6" t="str">
        <x:f>IF(B7091="","Needs decision","Ready")</x:f>
        <x:v>Ready</x:v>
      </x:c>
      <x:c r="D7091" s="6" t="str">
        <x:v>上</x:v>
      </x:c>
      <x:c r="E7091" s="6" t="str"/>
      <x:c r="F7091" s="6" t="str">
        <x:v>上聲二十二養</x:v>
      </x:c>
      <x:c r="G7091" s="6" t="str">
        <x:v>Pingshui main list, Wikisource-derived DOCX</x:v>
      </x:c>
      <x:c r="H7091" s="6" t="str"/>
      <x:c r="I7091" s="6" t="str">
        <x:v>Pingshui main-list expansion; 詞 entries ignored</x:v>
      </x:c>
      <x:c r="J7091" s="6" t="str">
        <x:f>IF(B7091="","",IF(AND(ISNUMBER(SEARCH("平",B7091)),OR(ISNUMBER(SEARCH("上",B7091)),ISNUMBER(SEARCH("去",B7091)),ISNUMBER(SEARCH("入",B7091)))),"Ambiguous",IF(ISNUMBER(SEARCH("平",B7091)),"平","仄")))</x:f>
        <x:v>仄</x:v>
      </x:c>
      <x:c r="K7091" s="6" t="str">
        <x:f>IF(D7091="","",IF(AND(ISNUMBER(SEARCH("平",D7091)),OR(ISNUMBER(SEARCH("上",D7091)),ISNUMBER(SEARCH("去",D7091)),ISNUMBER(SEARCH("入",D7091)))),"Ambiguous",IF(ISNUMBER(SEARCH("平",D7091)),"平","仄")))</x:f>
        <x:v>仄</x:v>
      </x:c>
      <x:c r="L7091" s="7" t="str">
        <x:v>Pingshui main list expansion</x:v>
      </x:c>
    </x:row>
    <x:row r="7092">
      <x:c r="A7092" s="5" t="str">
        <x:v>欙</x:v>
      </x:c>
      <x:c r="B7092" s="6" t="str"/>
      <x:c r="C7092" s="6" t="str">
        <x:f>IF(B7092="","Needs decision","Ready")</x:f>
        <x:v>Needs decision</x:v>
      </x:c>
      <x:c r="D7092" s="6" t="str">
        <x:v>平/上</x:v>
      </x:c>
      <x:c r="E7092" s="6" t="str"/>
      <x:c r="F7092" s="6" t="str">
        <x:v>上平聲四支; 上聲四紙</x:v>
      </x:c>
      <x:c r="G7092" s="6" t="str">
        <x:v>Pingshui main list, Wikisource-derived DOCX</x:v>
      </x:c>
      <x:c r="H7092" s="6" t="str"/>
      <x:c r="I7092" s="6" t="str">
        <x:v>Pingshui main-list expansion; 詞 entries ignored</x:v>
      </x:c>
      <x:c r="J7092" s="6" t="str">
        <x:f>IF(B7092="","",IF(AND(ISNUMBER(SEARCH("平",B7092)),OR(ISNUMBER(SEARCH("上",B7092)),ISNUMBER(SEARCH("去",B7092)),ISNUMBER(SEARCH("入",B7092)))),"Ambiguous",IF(ISNUMBER(SEARCH("平",B7092)),"平","仄")))</x:f>
      </x:c>
      <x:c r="K7092" s="6" t="str">
        <x:f>IF(D7092="","",IF(AND(ISNUMBER(SEARCH("平",D7092)),OR(ISNUMBER(SEARCH("上",D7092)),ISNUMBER(SEARCH("去",D7092)),ISNUMBER(SEARCH("入",D7092)))),"Ambiguous",IF(ISNUMBER(SEARCH("平",D7092)),"平","仄")))</x:f>
        <x:v>Ambiguous</x:v>
      </x:c>
      <x:c r="L7092" s="7" t="str">
        <x:v>Pingshui main list expansion</x:v>
      </x:c>
    </x:row>
    <x:row r="7093">
      <x:c r="A7093" s="5" t="str">
        <x:v>欨</x:v>
      </x:c>
      <x:c r="B7093" s="6" t="str">
        <x:v>平</x:v>
      </x:c>
      <x:c r="C7093" s="6" t="str">
        <x:f>IF(B7093="","Needs decision","Ready")</x:f>
        <x:v>Ready</x:v>
      </x:c>
      <x:c r="D7093" s="6" t="str">
        <x:v>平</x:v>
      </x:c>
      <x:c r="E7093" s="6" t="str"/>
      <x:c r="F7093" s="6" t="str">
        <x:v>上平聲七虞</x:v>
      </x:c>
      <x:c r="G7093" s="6" t="str">
        <x:v>Pingshui main list, Wikisource-derived DOCX</x:v>
      </x:c>
      <x:c r="H7093" s="6" t="str"/>
      <x:c r="I7093" s="6" t="str">
        <x:v>Pingshui main-list expansion; 詞 entries ignored</x:v>
      </x:c>
      <x:c r="J7093" s="6" t="str">
        <x:f>IF(B7093="","",IF(AND(ISNUMBER(SEARCH("平",B7093)),OR(ISNUMBER(SEARCH("上",B7093)),ISNUMBER(SEARCH("去",B7093)),ISNUMBER(SEARCH("入",B7093)))),"Ambiguous",IF(ISNUMBER(SEARCH("平",B7093)),"平","仄")))</x:f>
        <x:v>平</x:v>
      </x:c>
      <x:c r="K7093" s="6" t="str">
        <x:f>IF(D7093="","",IF(AND(ISNUMBER(SEARCH("平",D7093)),OR(ISNUMBER(SEARCH("上",D7093)),ISNUMBER(SEARCH("去",D7093)),ISNUMBER(SEARCH("入",D7093)))),"Ambiguous",IF(ISNUMBER(SEARCH("平",D7093)),"平","仄")))</x:f>
        <x:v>平</x:v>
      </x:c>
      <x:c r="L7093" s="7" t="str">
        <x:v>Pingshui main list expansion</x:v>
      </x:c>
    </x:row>
    <x:row r="7094">
      <x:c r="A7094" s="5" t="str">
        <x:v>欶</x:v>
      </x:c>
      <x:c r="B7094" s="6" t="str">
        <x:v>入</x:v>
      </x:c>
      <x:c r="C7094" s="6" t="str">
        <x:f>IF(B7094="","Needs decision","Ready")</x:f>
        <x:v>Ready</x:v>
      </x:c>
      <x:c r="D7094" s="6" t="str">
        <x:v>入</x:v>
      </x:c>
      <x:c r="E7094" s="6" t="str"/>
      <x:c r="F7094" s="6" t="str">
        <x:v>入聲三覺</x:v>
      </x:c>
      <x:c r="G7094" s="6" t="str">
        <x:v>Pingshui main list, Wikisource-derived DOCX</x:v>
      </x:c>
      <x:c r="H7094" s="6" t="str"/>
      <x:c r="I7094" s="6" t="str">
        <x:v>Pingshui main-list expansion; 詞 entries ignored</x:v>
      </x:c>
      <x:c r="J7094" s="6" t="str">
        <x:f>IF(B7094="","",IF(AND(ISNUMBER(SEARCH("平",B7094)),OR(ISNUMBER(SEARCH("上",B7094)),ISNUMBER(SEARCH("去",B7094)),ISNUMBER(SEARCH("入",B7094)))),"Ambiguous",IF(ISNUMBER(SEARCH("平",B7094)),"平","仄")))</x:f>
        <x:v>仄</x:v>
      </x:c>
      <x:c r="K7094" s="6" t="str">
        <x:f>IF(D7094="","",IF(AND(ISNUMBER(SEARCH("平",D7094)),OR(ISNUMBER(SEARCH("上",D7094)),ISNUMBER(SEARCH("去",D7094)),ISNUMBER(SEARCH("入",D7094)))),"Ambiguous",IF(ISNUMBER(SEARCH("平",D7094)),"平","仄")))</x:f>
        <x:v>仄</x:v>
      </x:c>
      <x:c r="L7094" s="7" t="str">
        <x:v>Pingshui main list expansion</x:v>
      </x:c>
    </x:row>
    <x:row r="7095">
      <x:c r="A7095" s="5" t="str">
        <x:v>歂</x:v>
      </x:c>
      <x:c r="B7095" s="6" t="str">
        <x:v>上</x:v>
      </x:c>
      <x:c r="C7095" s="6" t="str">
        <x:f>IF(B7095="","Needs decision","Ready")</x:f>
        <x:v>Ready</x:v>
      </x:c>
      <x:c r="D7095" s="6" t="str">
        <x:v>上</x:v>
      </x:c>
      <x:c r="E7095" s="6" t="str"/>
      <x:c r="F7095" s="6" t="str">
        <x:v>上聲十六銑</x:v>
      </x:c>
      <x:c r="G7095" s="6" t="str">
        <x:v>Pingshui main list, Wikisource-derived DOCX</x:v>
      </x:c>
      <x:c r="H7095" s="6" t="str"/>
      <x:c r="I7095" s="6" t="str">
        <x:v>Pingshui main-list expansion; 詞 entries ignored</x:v>
      </x:c>
      <x:c r="J7095" s="6" t="str">
        <x:f>IF(B7095="","",IF(AND(ISNUMBER(SEARCH("平",B7095)),OR(ISNUMBER(SEARCH("上",B7095)),ISNUMBER(SEARCH("去",B7095)),ISNUMBER(SEARCH("入",B7095)))),"Ambiguous",IF(ISNUMBER(SEARCH("平",B7095)),"平","仄")))</x:f>
        <x:v>仄</x:v>
      </x:c>
      <x:c r="K7095" s="6" t="str">
        <x:f>IF(D7095="","",IF(AND(ISNUMBER(SEARCH("平",D7095)),OR(ISNUMBER(SEARCH("上",D7095)),ISNUMBER(SEARCH("去",D7095)),ISNUMBER(SEARCH("入",D7095)))),"Ambiguous",IF(ISNUMBER(SEARCH("平",D7095)),"平","仄")))</x:f>
        <x:v>仄</x:v>
      </x:c>
      <x:c r="L7095" s="7" t="str">
        <x:v>Pingshui main list expansion</x:v>
      </x:c>
    </x:row>
    <x:row r="7096">
      <x:c r="A7096" s="5" t="str">
        <x:v>歅</x:v>
      </x:c>
      <x:c r="B7096" s="6" t="str">
        <x:v>平</x:v>
      </x:c>
      <x:c r="C7096" s="6" t="str">
        <x:f>IF(B7096="","Needs decision","Ready")</x:f>
        <x:v>Ready</x:v>
      </x:c>
      <x:c r="D7096" s="6" t="str">
        <x:v>平</x:v>
      </x:c>
      <x:c r="E7096" s="6" t="str"/>
      <x:c r="F7096" s="6" t="str">
        <x:v>上平聲十一真; 下平聲一先</x:v>
      </x:c>
      <x:c r="G7096" s="6" t="str">
        <x:v>Pingshui main list, Wikisource-derived DOCX</x:v>
      </x:c>
      <x:c r="H7096" s="6" t="str"/>
      <x:c r="I7096" s="6" t="str">
        <x:v>Pingshui main-list expansion; 詞 entries ignored</x:v>
      </x:c>
      <x:c r="J7096" s="6" t="str">
        <x:f>IF(B7096="","",IF(AND(ISNUMBER(SEARCH("平",B7096)),OR(ISNUMBER(SEARCH("上",B7096)),ISNUMBER(SEARCH("去",B7096)),ISNUMBER(SEARCH("入",B7096)))),"Ambiguous",IF(ISNUMBER(SEARCH("平",B7096)),"平","仄")))</x:f>
        <x:v>平</x:v>
      </x:c>
      <x:c r="K7096" s="6" t="str">
        <x:f>IF(D7096="","",IF(AND(ISNUMBER(SEARCH("平",D7096)),OR(ISNUMBER(SEARCH("上",D7096)),ISNUMBER(SEARCH("去",D7096)),ISNUMBER(SEARCH("入",D7096)))),"Ambiguous",IF(ISNUMBER(SEARCH("平",D7096)),"平","仄")))</x:f>
        <x:v>平</x:v>
      </x:c>
      <x:c r="L7096" s="7" t="str">
        <x:v>Pingshui main list expansion</x:v>
      </x:c>
    </x:row>
    <x:row r="7097">
      <x:c r="A7097" s="5" t="str">
        <x:v>歜</x:v>
      </x:c>
      <x:c r="B7097" s="6" t="str"/>
      <x:c r="C7097" s="6" t="str">
        <x:f>IF(B7097="","Needs decision","Ready")</x:f>
        <x:v>Needs decision</x:v>
      </x:c>
      <x:c r="D7097" s="6" t="str">
        <x:v>上/入</x:v>
      </x:c>
      <x:c r="E7097" s="6" t="str"/>
      <x:c r="F7097" s="6" t="str">
        <x:v>上聲二十七感; 入聲二沃</x:v>
      </x:c>
      <x:c r="G7097" s="6" t="str">
        <x:v>Pingshui main list, Wikisource-derived DOCX</x:v>
      </x:c>
      <x:c r="H7097" s="6" t="str"/>
      <x:c r="I7097" s="6" t="str">
        <x:v>Pingshui main-list expansion; 詞 entries ignored</x:v>
      </x:c>
      <x:c r="J7097" s="6" t="str">
        <x:f>IF(B7097="","",IF(AND(ISNUMBER(SEARCH("平",B7097)),OR(ISNUMBER(SEARCH("上",B7097)),ISNUMBER(SEARCH("去",B7097)),ISNUMBER(SEARCH("入",B7097)))),"Ambiguous",IF(ISNUMBER(SEARCH("平",B7097)),"平","仄")))</x:f>
      </x:c>
      <x:c r="K7097" s="6" t="str">
        <x:f>IF(D7097="","",IF(AND(ISNUMBER(SEARCH("平",D7097)),OR(ISNUMBER(SEARCH("上",D7097)),ISNUMBER(SEARCH("去",D7097)),ISNUMBER(SEARCH("入",D7097)))),"Ambiguous",IF(ISNUMBER(SEARCH("平",D7097)),"平","仄")))</x:f>
        <x:v>仄</x:v>
      </x:c>
      <x:c r="L7097" s="7" t="str">
        <x:v>Pingshui main list expansion</x:v>
      </x:c>
    </x:row>
    <x:row r="7098">
      <x:c r="A7098" s="5" t="str">
        <x:v>殈</x:v>
      </x:c>
      <x:c r="B7098" s="6" t="str">
        <x:v>入</x:v>
      </x:c>
      <x:c r="C7098" s="6" t="str">
        <x:f>IF(B7098="","Needs decision","Ready")</x:f>
        <x:v>Ready</x:v>
      </x:c>
      <x:c r="D7098" s="6" t="str">
        <x:v>入</x:v>
      </x:c>
      <x:c r="E7098" s="6" t="str"/>
      <x:c r="F7098" s="6" t="str">
        <x:v>入聲十二錫</x:v>
      </x:c>
      <x:c r="G7098" s="6" t="str">
        <x:v>Pingshui main list, Wikisource-derived DOCX</x:v>
      </x:c>
      <x:c r="H7098" s="6" t="str"/>
      <x:c r="I7098" s="6" t="str">
        <x:v>Pingshui main-list expansion; 詞 entries ignored</x:v>
      </x:c>
      <x:c r="J7098" s="6" t="str">
        <x:f>IF(B7098="","",IF(AND(ISNUMBER(SEARCH("平",B7098)),OR(ISNUMBER(SEARCH("上",B7098)),ISNUMBER(SEARCH("去",B7098)),ISNUMBER(SEARCH("入",B7098)))),"Ambiguous",IF(ISNUMBER(SEARCH("平",B7098)),"平","仄")))</x:f>
        <x:v>仄</x:v>
      </x:c>
      <x:c r="K7098" s="6" t="str">
        <x:f>IF(D7098="","",IF(AND(ISNUMBER(SEARCH("平",D7098)),OR(ISNUMBER(SEARCH("上",D7098)),ISNUMBER(SEARCH("去",D7098)),ISNUMBER(SEARCH("入",D7098)))),"Ambiguous",IF(ISNUMBER(SEARCH("平",D7098)),"平","仄")))</x:f>
        <x:v>仄</x:v>
      </x:c>
      <x:c r="L7098" s="7" t="str">
        <x:v>Pingshui main list expansion</x:v>
      </x:c>
    </x:row>
    <x:row r="7099">
      <x:c r="A7099" s="5" t="str">
        <x:v>殍</x:v>
      </x:c>
      <x:c r="B7099" s="6" t="str">
        <x:v>上</x:v>
      </x:c>
      <x:c r="C7099" s="6" t="str">
        <x:f>IF(B7099="","Needs decision","Ready")</x:f>
        <x:v>Ready</x:v>
      </x:c>
      <x:c r="D7099" s="6" t="str">
        <x:v>上</x:v>
      </x:c>
      <x:c r="E7099" s="6" t="str"/>
      <x:c r="F7099" s="6" t="str">
        <x:v>上聲十七篠</x:v>
      </x:c>
      <x:c r="G7099" s="6" t="str">
        <x:v>Pingshui main list, Wikisource-derived DOCX</x:v>
      </x:c>
      <x:c r="H7099" s="6" t="str"/>
      <x:c r="I7099" s="6" t="str">
        <x:v>Pingshui main-list expansion; 詞 entries ignored</x:v>
      </x:c>
      <x:c r="J7099" s="6" t="str">
        <x:f>IF(B7099="","",IF(AND(ISNUMBER(SEARCH("平",B7099)),OR(ISNUMBER(SEARCH("上",B7099)),ISNUMBER(SEARCH("去",B7099)),ISNUMBER(SEARCH("入",B7099)))),"Ambiguous",IF(ISNUMBER(SEARCH("平",B7099)),"平","仄")))</x:f>
        <x:v>仄</x:v>
      </x:c>
      <x:c r="K7099" s="6" t="str">
        <x:f>IF(D7099="","",IF(AND(ISNUMBER(SEARCH("平",D7099)),OR(ISNUMBER(SEARCH("上",D7099)),ISNUMBER(SEARCH("去",D7099)),ISNUMBER(SEARCH("入",D7099)))),"Ambiguous",IF(ISNUMBER(SEARCH("平",D7099)),"平","仄")))</x:f>
        <x:v>仄</x:v>
      </x:c>
      <x:c r="L7099" s="7" t="str">
        <x:v>Pingshui main list expansion</x:v>
      </x:c>
    </x:row>
    <x:row r="7100">
      <x:c r="A7100" s="5" t="str">
        <x:v>殑</x:v>
      </x:c>
      <x:c r="B7100" s="6" t="str">
        <x:v>平</x:v>
      </x:c>
      <x:c r="C7100" s="6" t="str">
        <x:f>IF(B7100="","Needs decision","Ready")</x:f>
        <x:v>Ready</x:v>
      </x:c>
      <x:c r="D7100" s="6" t="str">
        <x:v>平</x:v>
      </x:c>
      <x:c r="E7100" s="6" t="str"/>
      <x:c r="F7100" s="6" t="str">
        <x:v>下平聲十蒸</x:v>
      </x:c>
      <x:c r="G7100" s="6" t="str">
        <x:v>Pingshui main list, Wikisource-derived DOCX</x:v>
      </x:c>
      <x:c r="H7100" s="6" t="str"/>
      <x:c r="I7100" s="6" t="str">
        <x:v>Pingshui main-list expansion; 詞 entries ignored</x:v>
      </x:c>
      <x:c r="J7100" s="6" t="str">
        <x:f>IF(B7100="","",IF(AND(ISNUMBER(SEARCH("平",B7100)),OR(ISNUMBER(SEARCH("上",B7100)),ISNUMBER(SEARCH("去",B7100)),ISNUMBER(SEARCH("入",B7100)))),"Ambiguous",IF(ISNUMBER(SEARCH("平",B7100)),"平","仄")))</x:f>
        <x:v>平</x:v>
      </x:c>
      <x:c r="K7100" s="6" t="str">
        <x:f>IF(D7100="","",IF(AND(ISNUMBER(SEARCH("平",D7100)),OR(ISNUMBER(SEARCH("上",D7100)),ISNUMBER(SEARCH("去",D7100)),ISNUMBER(SEARCH("入",D7100)))),"Ambiguous",IF(ISNUMBER(SEARCH("平",D7100)),"平","仄")))</x:f>
        <x:v>平</x:v>
      </x:c>
      <x:c r="L7100" s="7" t="str">
        <x:v>Pingshui main list expansion</x:v>
      </x:c>
    </x:row>
    <x:row r="7101">
      <x:c r="A7101" s="5" t="str">
        <x:v>殰</x:v>
      </x:c>
      <x:c r="B7101" s="6" t="str">
        <x:v>入</x:v>
      </x:c>
      <x:c r="C7101" s="6" t="str">
        <x:f>IF(B7101="","Needs decision","Ready")</x:f>
        <x:v>Ready</x:v>
      </x:c>
      <x:c r="D7101" s="6" t="str">
        <x:v>入</x:v>
      </x:c>
      <x:c r="E7101" s="6" t="str"/>
      <x:c r="F7101" s="6" t="str">
        <x:v>入聲一屋</x:v>
      </x:c>
      <x:c r="G7101" s="6" t="str">
        <x:v>Pingshui main list, Wikisource-derived DOCX</x:v>
      </x:c>
      <x:c r="H7101" s="6" t="str"/>
      <x:c r="I7101" s="6" t="str">
        <x:v>Pingshui main-list expansion; 詞 entries ignored</x:v>
      </x:c>
      <x:c r="J7101" s="6" t="str">
        <x:f>IF(B7101="","",IF(AND(ISNUMBER(SEARCH("平",B7101)),OR(ISNUMBER(SEARCH("上",B7101)),ISNUMBER(SEARCH("去",B7101)),ISNUMBER(SEARCH("入",B7101)))),"Ambiguous",IF(ISNUMBER(SEARCH("平",B7101)),"平","仄")))</x:f>
        <x:v>仄</x:v>
      </x:c>
      <x:c r="K7101" s="6" t="str">
        <x:f>IF(D7101="","",IF(AND(ISNUMBER(SEARCH("平",D7101)),OR(ISNUMBER(SEARCH("上",D7101)),ISNUMBER(SEARCH("去",D7101)),ISNUMBER(SEARCH("入",D7101)))),"Ambiguous",IF(ISNUMBER(SEARCH("平",D7101)),"平","仄")))</x:f>
        <x:v>仄</x:v>
      </x:c>
      <x:c r="L7101" s="7" t="str">
        <x:v>Pingshui main list expansion</x:v>
      </x:c>
    </x:row>
    <x:row r="7102">
      <x:c r="A7102" s="5" t="str">
        <x:v>毄</x:v>
      </x:c>
      <x:c r="B7102" s="6" t="str">
        <x:v>入</x:v>
      </x:c>
      <x:c r="C7102" s="6" t="str">
        <x:f>IF(B7102="","Needs decision","Ready")</x:f>
        <x:v>Ready</x:v>
      </x:c>
      <x:c r="D7102" s="6" t="str">
        <x:v>入</x:v>
      </x:c>
      <x:c r="E7102" s="6" t="str"/>
      <x:c r="F7102" s="6" t="str">
        <x:v>入聲十二錫</x:v>
      </x:c>
      <x:c r="G7102" s="6" t="str">
        <x:v>Pingshui main list, Wikisource-derived DOCX</x:v>
      </x:c>
      <x:c r="H7102" s="6" t="str"/>
      <x:c r="I7102" s="6" t="str">
        <x:v>Pingshui main-list expansion; 詞 entries ignored</x:v>
      </x:c>
      <x:c r="J7102" s="6" t="str">
        <x:f>IF(B7102="","",IF(AND(ISNUMBER(SEARCH("平",B7102)),OR(ISNUMBER(SEARCH("上",B7102)),ISNUMBER(SEARCH("去",B7102)),ISNUMBER(SEARCH("入",B7102)))),"Ambiguous",IF(ISNUMBER(SEARCH("平",B7102)),"平","仄")))</x:f>
        <x:v>仄</x:v>
      </x:c>
      <x:c r="K7102" s="6" t="str">
        <x:f>IF(D7102="","",IF(AND(ISNUMBER(SEARCH("平",D7102)),OR(ISNUMBER(SEARCH("上",D7102)),ISNUMBER(SEARCH("去",D7102)),ISNUMBER(SEARCH("入",D7102)))),"Ambiguous",IF(ISNUMBER(SEARCH("平",D7102)),"平","仄")))</x:f>
        <x:v>仄</x:v>
      </x:c>
      <x:c r="L7102" s="7" t="str">
        <x:v>Pingshui main list expansion</x:v>
      </x:c>
    </x:row>
    <x:row r="7103">
      <x:c r="A7103" s="5" t="str">
        <x:v>毆</x:v>
      </x:c>
      <x:c r="B7103" s="6" t="str">
        <x:v>上</x:v>
      </x:c>
      <x:c r="C7103" s="6" t="str">
        <x:f>IF(B7103="","Needs decision","Ready")</x:f>
        <x:v>Ready</x:v>
      </x:c>
      <x:c r="D7103" s="6" t="str">
        <x:v>上</x:v>
      </x:c>
      <x:c r="E7103" s="6" t="str"/>
      <x:c r="F7103" s="6" t="str">
        <x:v>上聲二十五有</x:v>
      </x:c>
      <x:c r="G7103" s="6" t="str">
        <x:v>Pingshui main list, Wikisource-derived DOCX</x:v>
      </x:c>
      <x:c r="H7103" s="6" t="str"/>
      <x:c r="I7103" s="6" t="str">
        <x:v>Pingshui main-list expansion; 詞 entries ignored</x:v>
      </x:c>
      <x:c r="J7103" s="6" t="str">
        <x:f>IF(B7103="","",IF(AND(ISNUMBER(SEARCH("平",B7103)),OR(ISNUMBER(SEARCH("上",B7103)),ISNUMBER(SEARCH("去",B7103)),ISNUMBER(SEARCH("入",B7103)))),"Ambiguous",IF(ISNUMBER(SEARCH("平",B7103)),"平","仄")))</x:f>
        <x:v>仄</x:v>
      </x:c>
      <x:c r="K7103" s="6" t="str">
        <x:f>IF(D7103="","",IF(AND(ISNUMBER(SEARCH("平",D7103)),OR(ISNUMBER(SEARCH("上",D7103)),ISNUMBER(SEARCH("去",D7103)),ISNUMBER(SEARCH("入",D7103)))),"Ambiguous",IF(ISNUMBER(SEARCH("平",D7103)),"平","仄")))</x:f>
        <x:v>仄</x:v>
      </x:c>
      <x:c r="L7103" s="7" t="str">
        <x:v>Pingshui main list expansion</x:v>
      </x:c>
    </x:row>
    <x:row r="7104">
      <x:c r="A7104" s="5" t="str">
        <x:v>毈</x:v>
      </x:c>
      <x:c r="B7104" s="6" t="str">
        <x:v>去</x:v>
      </x:c>
      <x:c r="C7104" s="6" t="str">
        <x:f>IF(B7104="","Needs decision","Ready")</x:f>
        <x:v>Ready</x:v>
      </x:c>
      <x:c r="D7104" s="6" t="str">
        <x:v>去</x:v>
      </x:c>
      <x:c r="E7104" s="6" t="str"/>
      <x:c r="F7104" s="6" t="str">
        <x:v>去聲十五翰</x:v>
      </x:c>
      <x:c r="G7104" s="6" t="str">
        <x:v>Pingshui main list, Wikisource-derived DOCX</x:v>
      </x:c>
      <x:c r="H7104" s="6" t="str"/>
      <x:c r="I7104" s="6" t="str">
        <x:v>Pingshui main-list expansion; 詞 entries ignored</x:v>
      </x:c>
      <x:c r="J7104" s="6" t="str">
        <x:f>IF(B7104="","",IF(AND(ISNUMBER(SEARCH("平",B7104)),OR(ISNUMBER(SEARCH("上",B7104)),ISNUMBER(SEARCH("去",B7104)),ISNUMBER(SEARCH("入",B7104)))),"Ambiguous",IF(ISNUMBER(SEARCH("平",B7104)),"平","仄")))</x:f>
        <x:v>仄</x:v>
      </x:c>
      <x:c r="K7104" s="6" t="str">
        <x:f>IF(D7104="","",IF(AND(ISNUMBER(SEARCH("平",D7104)),OR(ISNUMBER(SEARCH("上",D7104)),ISNUMBER(SEARCH("去",D7104)),ISNUMBER(SEARCH("入",D7104)))),"Ambiguous",IF(ISNUMBER(SEARCH("平",D7104)),"平","仄")))</x:f>
        <x:v>仄</x:v>
      </x:c>
      <x:c r="L7104" s="7" t="str">
        <x:v>Pingshui main list expansion</x:v>
      </x:c>
    </x:row>
    <x:row r="7105">
      <x:c r="A7105" s="5" t="str">
        <x:v>毊</x:v>
      </x:c>
      <x:c r="B7105" s="6" t="str">
        <x:v>平</x:v>
      </x:c>
      <x:c r="C7105" s="6" t="str">
        <x:f>IF(B7105="","Needs decision","Ready")</x:f>
        <x:v>Ready</x:v>
      </x:c>
      <x:c r="D7105" s="6" t="str">
        <x:v>平</x:v>
      </x:c>
      <x:c r="E7105" s="6" t="str"/>
      <x:c r="F7105" s="6" t="str">
        <x:v>下平聲二蕭</x:v>
      </x:c>
      <x:c r="G7105" s="6" t="str">
        <x:v>Pingshui main list, Wikisource-derived DOCX</x:v>
      </x:c>
      <x:c r="H7105" s="6" t="str"/>
      <x:c r="I7105" s="6" t="str">
        <x:v>Pingshui main-list expansion; 詞 entries ignored</x:v>
      </x:c>
      <x:c r="J7105" s="6" t="str">
        <x:f>IF(B7105="","",IF(AND(ISNUMBER(SEARCH("平",B7105)),OR(ISNUMBER(SEARCH("上",B7105)),ISNUMBER(SEARCH("去",B7105)),ISNUMBER(SEARCH("入",B7105)))),"Ambiguous",IF(ISNUMBER(SEARCH("平",B7105)),"平","仄")))</x:f>
        <x:v>平</x:v>
      </x:c>
      <x:c r="K7105" s="6" t="str">
        <x:f>IF(D7105="","",IF(AND(ISNUMBER(SEARCH("平",D7105)),OR(ISNUMBER(SEARCH("上",D7105)),ISNUMBER(SEARCH("去",D7105)),ISNUMBER(SEARCH("入",D7105)))),"Ambiguous",IF(ISNUMBER(SEARCH("平",D7105)),"平","仄")))</x:f>
        <x:v>平</x:v>
      </x:c>
      <x:c r="L7105" s="7" t="str">
        <x:v>Pingshui main list expansion</x:v>
      </x:c>
    </x:row>
    <x:row r="7106">
      <x:c r="A7106" s="5" t="str">
        <x:v>毨</x:v>
      </x:c>
      <x:c r="B7106" s="6" t="str">
        <x:v>上</x:v>
      </x:c>
      <x:c r="C7106" s="6" t="str">
        <x:f>IF(B7106="","Needs decision","Ready")</x:f>
        <x:v>Ready</x:v>
      </x:c>
      <x:c r="D7106" s="6" t="str">
        <x:v>上</x:v>
      </x:c>
      <x:c r="E7106" s="6" t="str"/>
      <x:c r="F7106" s="6" t="str">
        <x:v>上聲十六銑</x:v>
      </x:c>
      <x:c r="G7106" s="6" t="str">
        <x:v>Pingshui main list, Wikisource-derived DOCX</x:v>
      </x:c>
      <x:c r="H7106" s="6" t="str"/>
      <x:c r="I7106" s="6" t="str">
        <x:v>Pingshui main-list expansion; 詞 entries ignored</x:v>
      </x:c>
      <x:c r="J7106" s="6" t="str">
        <x:f>IF(B7106="","",IF(AND(ISNUMBER(SEARCH("平",B7106)),OR(ISNUMBER(SEARCH("上",B7106)),ISNUMBER(SEARCH("去",B7106)),ISNUMBER(SEARCH("入",B7106)))),"Ambiguous",IF(ISNUMBER(SEARCH("平",B7106)),"平","仄")))</x:f>
        <x:v>仄</x:v>
      </x:c>
      <x:c r="K7106" s="6" t="str">
        <x:f>IF(D7106="","",IF(AND(ISNUMBER(SEARCH("平",D7106)),OR(ISNUMBER(SEARCH("上",D7106)),ISNUMBER(SEARCH("去",D7106)),ISNUMBER(SEARCH("入",D7106)))),"Ambiguous",IF(ISNUMBER(SEARCH("平",D7106)),"平","仄")))</x:f>
        <x:v>仄</x:v>
      </x:c>
      <x:c r="L7106" s="7" t="str">
        <x:v>Pingshui main list expansion</x:v>
      </x:c>
    </x:row>
    <x:row r="7107">
      <x:c r="A7107" s="5" t="str">
        <x:v>毬</x:v>
      </x:c>
      <x:c r="B7107" s="6" t="str">
        <x:v>平</x:v>
      </x:c>
      <x:c r="C7107" s="6" t="str">
        <x:f>IF(B7107="","Needs decision","Ready")</x:f>
        <x:v>Ready</x:v>
      </x:c>
      <x:c r="D7107" s="6" t="str">
        <x:v>平</x:v>
      </x:c>
      <x:c r="E7107" s="6" t="str"/>
      <x:c r="F7107" s="6" t="str">
        <x:v>下平聲十一尤</x:v>
      </x:c>
      <x:c r="G7107" s="6" t="str">
        <x:v>Pingshui main list, Wikisource-derived DOCX</x:v>
      </x:c>
      <x:c r="H7107" s="6" t="str"/>
      <x:c r="I7107" s="6" t="str">
        <x:v>Pingshui main-list expansion; 詞 entries ignored</x:v>
      </x:c>
      <x:c r="J7107" s="6" t="str">
        <x:f>IF(B7107="","",IF(AND(ISNUMBER(SEARCH("平",B7107)),OR(ISNUMBER(SEARCH("上",B7107)),ISNUMBER(SEARCH("去",B7107)),ISNUMBER(SEARCH("入",B7107)))),"Ambiguous",IF(ISNUMBER(SEARCH("平",B7107)),"平","仄")))</x:f>
        <x:v>平</x:v>
      </x:c>
      <x:c r="K7107" s="6" t="str">
        <x:f>IF(D7107="","",IF(AND(ISNUMBER(SEARCH("平",D7107)),OR(ISNUMBER(SEARCH("上",D7107)),ISNUMBER(SEARCH("去",D7107)),ISNUMBER(SEARCH("入",D7107)))),"Ambiguous",IF(ISNUMBER(SEARCH("平",D7107)),"平","仄")))</x:f>
        <x:v>平</x:v>
      </x:c>
      <x:c r="L7107" s="7" t="str">
        <x:v>Pingshui main list expansion</x:v>
      </x:c>
    </x:row>
    <x:row r="7108">
      <x:c r="A7108" s="5" t="str">
        <x:v>毯</x:v>
      </x:c>
      <x:c r="B7108" s="6" t="str">
        <x:v>上</x:v>
      </x:c>
      <x:c r="C7108" s="6" t="str">
        <x:f>IF(B7108="","Needs decision","Ready")</x:f>
        <x:v>Ready</x:v>
      </x:c>
      <x:c r="D7108" s="6" t="str">
        <x:v>上</x:v>
      </x:c>
      <x:c r="E7108" s="6" t="str"/>
      <x:c r="F7108" s="6" t="str">
        <x:v>上聲二十七感</x:v>
      </x:c>
      <x:c r="G7108" s="6" t="str">
        <x:v>Pingshui main list, Wikisource-derived DOCX</x:v>
      </x:c>
      <x:c r="H7108" s="6" t="str"/>
      <x:c r="I7108" s="6" t="str">
        <x:v>Pingshui main-list expansion; 詞 entries ignored</x:v>
      </x:c>
      <x:c r="J7108" s="6" t="str">
        <x:f>IF(B7108="","",IF(AND(ISNUMBER(SEARCH("平",B7108)),OR(ISNUMBER(SEARCH("上",B7108)),ISNUMBER(SEARCH("去",B7108)),ISNUMBER(SEARCH("入",B7108)))),"Ambiguous",IF(ISNUMBER(SEARCH("平",B7108)),"平","仄")))</x:f>
        <x:v>仄</x:v>
      </x:c>
      <x:c r="K7108" s="6" t="str">
        <x:f>IF(D7108="","",IF(AND(ISNUMBER(SEARCH("平",D7108)),OR(ISNUMBER(SEARCH("上",D7108)),ISNUMBER(SEARCH("去",D7108)),ISNUMBER(SEARCH("入",D7108)))),"Ambiguous",IF(ISNUMBER(SEARCH("平",D7108)),"平","仄")))</x:f>
        <x:v>仄</x:v>
      </x:c>
      <x:c r="L7108" s="7" t="str">
        <x:v>Pingshui main list expansion</x:v>
      </x:c>
    </x:row>
    <x:row r="7109">
      <x:c r="A7109" s="5" t="str">
        <x:v>毸</x:v>
      </x:c>
      <x:c r="B7109" s="6" t="str">
        <x:v>平</x:v>
      </x:c>
      <x:c r="C7109" s="6" t="str">
        <x:f>IF(B7109="","Needs decision","Ready")</x:f>
        <x:v>Ready</x:v>
      </x:c>
      <x:c r="D7109" s="6" t="str">
        <x:v>平</x:v>
      </x:c>
      <x:c r="E7109" s="6" t="str"/>
      <x:c r="F7109" s="6" t="str">
        <x:v>上平聲十灰</x:v>
      </x:c>
      <x:c r="G7109" s="6" t="str">
        <x:v>Pingshui main list, Wikisource-derived DOCX</x:v>
      </x:c>
      <x:c r="H7109" s="6" t="str"/>
      <x:c r="I7109" s="6" t="str">
        <x:v>Pingshui main-list expansion; 詞 entries ignored</x:v>
      </x:c>
      <x:c r="J7109" s="6" t="str">
        <x:f>IF(B7109="","",IF(AND(ISNUMBER(SEARCH("平",B7109)),OR(ISNUMBER(SEARCH("上",B7109)),ISNUMBER(SEARCH("去",B7109)),ISNUMBER(SEARCH("入",B7109)))),"Ambiguous",IF(ISNUMBER(SEARCH("平",B7109)),"平","仄")))</x:f>
        <x:v>平</x:v>
      </x:c>
      <x:c r="K7109" s="6" t="str">
        <x:f>IF(D7109="","",IF(AND(ISNUMBER(SEARCH("平",D7109)),OR(ISNUMBER(SEARCH("上",D7109)),ISNUMBER(SEARCH("去",D7109)),ISNUMBER(SEARCH("入",D7109)))),"Ambiguous",IF(ISNUMBER(SEARCH("平",D7109)),"平","仄")))</x:f>
        <x:v>平</x:v>
      </x:c>
      <x:c r="L7109" s="7" t="str">
        <x:v>Pingshui main list expansion</x:v>
      </x:c>
    </x:row>
    <x:row r="7110">
      <x:c r="A7110" s="5" t="str">
        <x:v>毼</x:v>
      </x:c>
      <x:c r="B7110" s="6" t="str">
        <x:v>入</x:v>
      </x:c>
      <x:c r="C7110" s="6" t="str">
        <x:f>IF(B7110="","Needs decision","Ready")</x:f>
        <x:v>Ready</x:v>
      </x:c>
      <x:c r="D7110" s="6" t="str">
        <x:v>入</x:v>
      </x:c>
      <x:c r="E7110" s="6" t="str"/>
      <x:c r="F7110" s="6" t="str">
        <x:v>入聲七曷</x:v>
      </x:c>
      <x:c r="G7110" s="6" t="str">
        <x:v>Pingshui main list, Wikisource-derived DOCX</x:v>
      </x:c>
      <x:c r="H7110" s="6" t="str"/>
      <x:c r="I7110" s="6" t="str">
        <x:v>Pingshui main-list expansion; 詞 entries ignored</x:v>
      </x:c>
      <x:c r="J7110" s="6" t="str">
        <x:f>IF(B7110="","",IF(AND(ISNUMBER(SEARCH("平",B7110)),OR(ISNUMBER(SEARCH("上",B7110)),ISNUMBER(SEARCH("去",B7110)),ISNUMBER(SEARCH("入",B7110)))),"Ambiguous",IF(ISNUMBER(SEARCH("平",B7110)),"平","仄")))</x:f>
        <x:v>仄</x:v>
      </x:c>
      <x:c r="K7110" s="6" t="str">
        <x:f>IF(D7110="","",IF(AND(ISNUMBER(SEARCH("平",D7110)),OR(ISNUMBER(SEARCH("上",D7110)),ISNUMBER(SEARCH("去",D7110)),ISNUMBER(SEARCH("入",D7110)))),"Ambiguous",IF(ISNUMBER(SEARCH("平",D7110)),"平","仄")))</x:f>
        <x:v>仄</x:v>
      </x:c>
      <x:c r="L7110" s="7" t="str">
        <x:v>Pingshui main list expansion</x:v>
      </x:c>
    </x:row>
    <x:row r="7111">
      <x:c r="A7111" s="5" t="str">
        <x:v>毿</x:v>
      </x:c>
      <x:c r="B7111" s="6" t="str">
        <x:v>平</x:v>
      </x:c>
      <x:c r="C7111" s="6" t="str">
        <x:f>IF(B7111="","Needs decision","Ready")</x:f>
        <x:v>Ready</x:v>
      </x:c>
      <x:c r="D7111" s="6" t="str">
        <x:v>平</x:v>
      </x:c>
      <x:c r="E7111" s="6" t="str"/>
      <x:c r="F7111" s="6" t="str">
        <x:v>下平聲十三覃</x:v>
      </x:c>
      <x:c r="G7111" s="6" t="str">
        <x:v>Pingshui main list, Wikisource-derived DOCX</x:v>
      </x:c>
      <x:c r="H7111" s="6" t="str"/>
      <x:c r="I7111" s="6" t="str">
        <x:v>Pingshui main-list expansion; 詞 entries ignored</x:v>
      </x:c>
      <x:c r="J7111" s="6" t="str">
        <x:f>IF(B7111="","",IF(AND(ISNUMBER(SEARCH("平",B7111)),OR(ISNUMBER(SEARCH("上",B7111)),ISNUMBER(SEARCH("去",B7111)),ISNUMBER(SEARCH("入",B7111)))),"Ambiguous",IF(ISNUMBER(SEARCH("平",B7111)),"平","仄")))</x:f>
        <x:v>平</x:v>
      </x:c>
      <x:c r="K7111" s="6" t="str">
        <x:f>IF(D7111="","",IF(AND(ISNUMBER(SEARCH("平",D7111)),OR(ISNUMBER(SEARCH("上",D7111)),ISNUMBER(SEARCH("去",D7111)),ISNUMBER(SEARCH("入",D7111)))),"Ambiguous",IF(ISNUMBER(SEARCH("平",D7111)),"平","仄")))</x:f>
        <x:v>平</x:v>
      </x:c>
      <x:c r="L7111" s="7" t="str">
        <x:v>Pingshui main list expansion</x:v>
      </x:c>
    </x:row>
    <x:row r="7112">
      <x:c r="A7112" s="5" t="str">
        <x:v>氀</x:v>
      </x:c>
      <x:c r="B7112" s="6" t="str">
        <x:v>平</x:v>
      </x:c>
      <x:c r="C7112" s="6" t="str">
        <x:f>IF(B7112="","Needs decision","Ready")</x:f>
        <x:v>Ready</x:v>
      </x:c>
      <x:c r="D7112" s="6" t="str">
        <x:v>平</x:v>
      </x:c>
      <x:c r="E7112" s="6" t="str"/>
      <x:c r="F7112" s="6" t="str">
        <x:v>上平聲七虞</x:v>
      </x:c>
      <x:c r="G7112" s="6" t="str">
        <x:v>Pingshui main list, Wikisource-derived DOCX</x:v>
      </x:c>
      <x:c r="H7112" s="6" t="str"/>
      <x:c r="I7112" s="6" t="str">
        <x:v>Pingshui main-list expansion; 詞 entries ignored</x:v>
      </x:c>
      <x:c r="J7112" s="6" t="str">
        <x:f>IF(B7112="","",IF(AND(ISNUMBER(SEARCH("平",B7112)),OR(ISNUMBER(SEARCH("上",B7112)),ISNUMBER(SEARCH("去",B7112)),ISNUMBER(SEARCH("入",B7112)))),"Ambiguous",IF(ISNUMBER(SEARCH("平",B7112)),"平","仄")))</x:f>
        <x:v>平</x:v>
      </x:c>
      <x:c r="K7112" s="6" t="str">
        <x:f>IF(D7112="","",IF(AND(ISNUMBER(SEARCH("平",D7112)),OR(ISNUMBER(SEARCH("上",D7112)),ISNUMBER(SEARCH("去",D7112)),ISNUMBER(SEARCH("入",D7112)))),"Ambiguous",IF(ISNUMBER(SEARCH("平",D7112)),"平","仄")))</x:f>
        <x:v>平</x:v>
      </x:c>
      <x:c r="L7112" s="7" t="str">
        <x:v>Pingshui main list expansion</x:v>
      </x:c>
    </x:row>
    <x:row r="7113">
      <x:c r="A7113" s="5" t="str">
        <x:v>氂</x:v>
      </x:c>
      <x:c r="B7113" s="6" t="str">
        <x:v>平</x:v>
      </x:c>
      <x:c r="C7113" s="6" t="str">
        <x:f>IF(B7113="","Needs decision","Ready")</x:f>
        <x:v>Ready</x:v>
      </x:c>
      <x:c r="D7113" s="6" t="str">
        <x:v>平</x:v>
      </x:c>
      <x:c r="E7113" s="6" t="str"/>
      <x:c r="F7113" s="6" t="str">
        <x:v>上平聲四支; 下平聲四豪</x:v>
      </x:c>
      <x:c r="G7113" s="6" t="str">
        <x:v>Pingshui main list, Wikisource-derived DOCX</x:v>
      </x:c>
      <x:c r="H7113" s="6" t="str"/>
      <x:c r="I7113" s="6" t="str">
        <x:v>Pingshui main-list expansion; 詞 entries ignored</x:v>
      </x:c>
      <x:c r="J7113" s="6" t="str">
        <x:f>IF(B7113="","",IF(AND(ISNUMBER(SEARCH("平",B7113)),OR(ISNUMBER(SEARCH("上",B7113)),ISNUMBER(SEARCH("去",B7113)),ISNUMBER(SEARCH("入",B7113)))),"Ambiguous",IF(ISNUMBER(SEARCH("平",B7113)),"平","仄")))</x:f>
        <x:v>平</x:v>
      </x:c>
      <x:c r="K7113" s="6" t="str">
        <x:f>IF(D7113="","",IF(AND(ISNUMBER(SEARCH("平",D7113)),OR(ISNUMBER(SEARCH("上",D7113)),ISNUMBER(SEARCH("去",D7113)),ISNUMBER(SEARCH("入",D7113)))),"Ambiguous",IF(ISNUMBER(SEARCH("平",D7113)),"平","仄")))</x:f>
        <x:v>平</x:v>
      </x:c>
      <x:c r="L7113" s="7" t="str">
        <x:v>Pingshui main list expansion</x:v>
      </x:c>
    </x:row>
    <x:row r="7114">
      <x:c r="A7114" s="5" t="str">
        <x:v>氃</x:v>
      </x:c>
      <x:c r="B7114" s="6" t="str">
        <x:v>平</x:v>
      </x:c>
      <x:c r="C7114" s="6" t="str">
        <x:f>IF(B7114="","Needs decision","Ready")</x:f>
        <x:v>Ready</x:v>
      </x:c>
      <x:c r="D7114" s="6" t="str">
        <x:v>平</x:v>
      </x:c>
      <x:c r="E7114" s="6" t="str"/>
      <x:c r="F7114" s="6" t="str">
        <x:v>上平聲一東</x:v>
      </x:c>
      <x:c r="G7114" s="6" t="str">
        <x:v>Pingshui main list, Wikisource-derived DOCX</x:v>
      </x:c>
      <x:c r="H7114" s="6" t="str"/>
      <x:c r="I7114" s="6" t="str">
        <x:v>Pingshui main-list expansion; 詞 entries ignored</x:v>
      </x:c>
      <x:c r="J7114" s="6" t="str">
        <x:f>IF(B7114="","",IF(AND(ISNUMBER(SEARCH("平",B7114)),OR(ISNUMBER(SEARCH("上",B7114)),ISNUMBER(SEARCH("去",B7114)),ISNUMBER(SEARCH("入",B7114)))),"Ambiguous",IF(ISNUMBER(SEARCH("平",B7114)),"平","仄")))</x:f>
        <x:v>平</x:v>
      </x:c>
      <x:c r="K7114" s="6" t="str">
        <x:f>IF(D7114="","",IF(AND(ISNUMBER(SEARCH("平",D7114)),OR(ISNUMBER(SEARCH("上",D7114)),ISNUMBER(SEARCH("去",D7114)),ISNUMBER(SEARCH("入",D7114)))),"Ambiguous",IF(ISNUMBER(SEARCH("平",D7114)),"平","仄")))</x:f>
        <x:v>平</x:v>
      </x:c>
      <x:c r="L7114" s="7" t="str">
        <x:v>Pingshui main list expansion</x:v>
      </x:c>
    </x:row>
    <x:row r="7115">
      <x:c r="A7115" s="5" t="str">
        <x:v>氉</x:v>
      </x:c>
      <x:c r="B7115" s="6" t="str">
        <x:v>去</x:v>
      </x:c>
      <x:c r="C7115" s="6" t="str">
        <x:f>IF(B7115="","Needs decision","Ready")</x:f>
        <x:v>Ready</x:v>
      </x:c>
      <x:c r="D7115" s="6" t="str">
        <x:v>去</x:v>
      </x:c>
      <x:c r="E7115" s="6" t="str"/>
      <x:c r="F7115" s="6" t="str">
        <x:v>去聲二十號</x:v>
      </x:c>
      <x:c r="G7115" s="6" t="str">
        <x:v>Pingshui main list, Wikisource-derived DOCX</x:v>
      </x:c>
      <x:c r="H7115" s="6" t="str"/>
      <x:c r="I7115" s="6" t="str">
        <x:v>Pingshui main-list expansion; 詞 entries ignored</x:v>
      </x:c>
      <x:c r="J7115" s="6" t="str">
        <x:f>IF(B7115="","",IF(AND(ISNUMBER(SEARCH("平",B7115)),OR(ISNUMBER(SEARCH("上",B7115)),ISNUMBER(SEARCH("去",B7115)),ISNUMBER(SEARCH("入",B7115)))),"Ambiguous",IF(ISNUMBER(SEARCH("平",B7115)),"平","仄")))</x:f>
        <x:v>仄</x:v>
      </x:c>
      <x:c r="K7115" s="6" t="str">
        <x:f>IF(D7115="","",IF(AND(ISNUMBER(SEARCH("平",D7115)),OR(ISNUMBER(SEARCH("上",D7115)),ISNUMBER(SEARCH("去",D7115)),ISNUMBER(SEARCH("入",D7115)))),"Ambiguous",IF(ISNUMBER(SEARCH("平",D7115)),"平","仄")))</x:f>
        <x:v>仄</x:v>
      </x:c>
      <x:c r="L7115" s="7" t="str">
        <x:v>Pingshui main list expansion</x:v>
      </x:c>
    </x:row>
    <x:row r="7116">
      <x:c r="A7116" s="5" t="str">
        <x:v>氿</x:v>
      </x:c>
      <x:c r="B7116" s="6" t="str">
        <x:v>上</x:v>
      </x:c>
      <x:c r="C7116" s="6" t="str">
        <x:f>IF(B7116="","Needs decision","Ready")</x:f>
        <x:v>Ready</x:v>
      </x:c>
      <x:c r="D7116" s="6" t="str">
        <x:v>上</x:v>
      </x:c>
      <x:c r="E7116" s="6" t="str"/>
      <x:c r="F7116" s="6" t="str">
        <x:v>上聲四紙</x:v>
      </x:c>
      <x:c r="G7116" s="6" t="str">
        <x:v>Pingshui main list, Wikisource-derived DOCX</x:v>
      </x:c>
      <x:c r="H7116" s="6" t="str"/>
      <x:c r="I7116" s="6" t="str">
        <x:v>Pingshui main-list expansion; 詞 entries ignored</x:v>
      </x:c>
      <x:c r="J7116" s="6" t="str">
        <x:f>IF(B7116="","",IF(AND(ISNUMBER(SEARCH("平",B7116)),OR(ISNUMBER(SEARCH("上",B7116)),ISNUMBER(SEARCH("去",B7116)),ISNUMBER(SEARCH("入",B7116)))),"Ambiguous",IF(ISNUMBER(SEARCH("平",B7116)),"平","仄")))</x:f>
        <x:v>仄</x:v>
      </x:c>
      <x:c r="K7116" s="6" t="str">
        <x:f>IF(D7116="","",IF(AND(ISNUMBER(SEARCH("平",D7116)),OR(ISNUMBER(SEARCH("上",D7116)),ISNUMBER(SEARCH("去",D7116)),ISNUMBER(SEARCH("入",D7116)))),"Ambiguous",IF(ISNUMBER(SEARCH("平",D7116)),"平","仄")))</x:f>
        <x:v>仄</x:v>
      </x:c>
      <x:c r="L7116" s="7" t="str">
        <x:v>Pingshui main list expansion</x:v>
      </x:c>
    </x:row>
    <x:row r="7117">
      <x:c r="A7117" s="5" t="str">
        <x:v>汃</x:v>
      </x:c>
      <x:c r="B7117" s="6" t="str">
        <x:v>入</x:v>
      </x:c>
      <x:c r="C7117" s="6" t="str">
        <x:f>IF(B7117="","Needs decision","Ready")</x:f>
        <x:v>Ready</x:v>
      </x:c>
      <x:c r="D7117" s="6" t="str">
        <x:v>入</x:v>
      </x:c>
      <x:c r="E7117" s="6" t="str"/>
      <x:c r="F7117" s="6" t="str">
        <x:v>入聲八黠</x:v>
      </x:c>
      <x:c r="G7117" s="6" t="str">
        <x:v>Pingshui main list, Wikisource-derived DOCX</x:v>
      </x:c>
      <x:c r="H7117" s="6" t="str"/>
      <x:c r="I7117" s="6" t="str">
        <x:v>Pingshui main-list expansion; 詞 entries ignored</x:v>
      </x:c>
      <x:c r="J7117" s="6" t="str">
        <x:f>IF(B7117="","",IF(AND(ISNUMBER(SEARCH("平",B7117)),OR(ISNUMBER(SEARCH("上",B7117)),ISNUMBER(SEARCH("去",B7117)),ISNUMBER(SEARCH("入",B7117)))),"Ambiguous",IF(ISNUMBER(SEARCH("平",B7117)),"平","仄")))</x:f>
        <x:v>仄</x:v>
      </x:c>
      <x:c r="K7117" s="6" t="str">
        <x:f>IF(D7117="","",IF(AND(ISNUMBER(SEARCH("平",D7117)),OR(ISNUMBER(SEARCH("上",D7117)),ISNUMBER(SEARCH("去",D7117)),ISNUMBER(SEARCH("入",D7117)))),"Ambiguous",IF(ISNUMBER(SEARCH("平",D7117)),"平","仄")))</x:f>
        <x:v>仄</x:v>
      </x:c>
      <x:c r="L7117" s="7" t="str">
        <x:v>Pingshui main list expansion</x:v>
      </x:c>
    </x:row>
    <x:row r="7118">
      <x:c r="A7118" s="5" t="str">
        <x:v>汋</x:v>
      </x:c>
      <x:c r="B7118" s="6" t="str">
        <x:v>入</x:v>
      </x:c>
      <x:c r="C7118" s="6" t="str">
        <x:f>IF(B7118="","Needs decision","Ready")</x:f>
        <x:v>Ready</x:v>
      </x:c>
      <x:c r="D7118" s="6" t="str">
        <x:v>入</x:v>
      </x:c>
      <x:c r="E7118" s="6" t="str"/>
      <x:c r="F7118" s="6" t="str">
        <x:v>入聲十藥</x:v>
      </x:c>
      <x:c r="G7118" s="6" t="str">
        <x:v>Pingshui main list, Wikisource-derived DOCX</x:v>
      </x:c>
      <x:c r="H7118" s="6" t="str"/>
      <x:c r="I7118" s="6" t="str">
        <x:v>Pingshui main-list expansion; 詞 entries ignored</x:v>
      </x:c>
      <x:c r="J7118" s="6" t="str">
        <x:f>IF(B7118="","",IF(AND(ISNUMBER(SEARCH("平",B7118)),OR(ISNUMBER(SEARCH("上",B7118)),ISNUMBER(SEARCH("去",B7118)),ISNUMBER(SEARCH("入",B7118)))),"Ambiguous",IF(ISNUMBER(SEARCH("平",B7118)),"平","仄")))</x:f>
        <x:v>仄</x:v>
      </x:c>
      <x:c r="K7118" s="6" t="str">
        <x:f>IF(D7118="","",IF(AND(ISNUMBER(SEARCH("平",D7118)),OR(ISNUMBER(SEARCH("上",D7118)),ISNUMBER(SEARCH("去",D7118)),ISNUMBER(SEARCH("入",D7118)))),"Ambiguous",IF(ISNUMBER(SEARCH("平",D7118)),"平","仄")))</x:f>
        <x:v>仄</x:v>
      </x:c>
      <x:c r="L7118" s="7" t="str">
        <x:v>Pingshui main list expansion</x:v>
      </x:c>
    </x:row>
    <x:row r="7119">
      <x:c r="A7119" s="5" t="str">
        <x:v>汏</x:v>
      </x:c>
      <x:c r="B7119" s="6" t="str">
        <x:v>去</x:v>
      </x:c>
      <x:c r="C7119" s="6" t="str">
        <x:f>IF(B7119="","Needs decision","Ready")</x:f>
        <x:v>Ready</x:v>
      </x:c>
      <x:c r="D7119" s="6" t="str">
        <x:v>去</x:v>
      </x:c>
      <x:c r="E7119" s="6" t="str"/>
      <x:c r="F7119" s="6" t="str">
        <x:v>去聲九泰</x:v>
      </x:c>
      <x:c r="G7119" s="6" t="str">
        <x:v>Pingshui main list, Wikisource-derived DOCX</x:v>
      </x:c>
      <x:c r="H7119" s="6" t="str"/>
      <x:c r="I7119" s="6" t="str">
        <x:v>Pingshui main-list expansion; 詞 entries ignored</x:v>
      </x:c>
      <x:c r="J7119" s="6" t="str">
        <x:f>IF(B7119="","",IF(AND(ISNUMBER(SEARCH("平",B7119)),OR(ISNUMBER(SEARCH("上",B7119)),ISNUMBER(SEARCH("去",B7119)),ISNUMBER(SEARCH("入",B7119)))),"Ambiguous",IF(ISNUMBER(SEARCH("平",B7119)),"平","仄")))</x:f>
        <x:v>仄</x:v>
      </x:c>
      <x:c r="K7119" s="6" t="str">
        <x:f>IF(D7119="","",IF(AND(ISNUMBER(SEARCH("平",D7119)),OR(ISNUMBER(SEARCH("上",D7119)),ISNUMBER(SEARCH("去",D7119)),ISNUMBER(SEARCH("入",D7119)))),"Ambiguous",IF(ISNUMBER(SEARCH("平",D7119)),"平","仄")))</x:f>
        <x:v>仄</x:v>
      </x:c>
      <x:c r="L7119" s="7" t="str">
        <x:v>Pingshui main list expansion</x:v>
      </x:c>
    </x:row>
    <x:row r="7120">
      <x:c r="A7120" s="5" t="str">
        <x:v>汒</x:v>
      </x:c>
      <x:c r="B7120" s="6" t="str">
        <x:v>平</x:v>
      </x:c>
      <x:c r="C7120" s="6" t="str">
        <x:f>IF(B7120="","Needs decision","Ready")</x:f>
        <x:v>Ready</x:v>
      </x:c>
      <x:c r="D7120" s="6" t="str">
        <x:v>平</x:v>
      </x:c>
      <x:c r="E7120" s="6" t="str"/>
      <x:c r="F7120" s="6" t="str">
        <x:v>下平聲七陽</x:v>
      </x:c>
      <x:c r="G7120" s="6" t="str">
        <x:v>Pingshui main list, Wikisource-derived DOCX</x:v>
      </x:c>
      <x:c r="H7120" s="6" t="str"/>
      <x:c r="I7120" s="6" t="str">
        <x:v>Pingshui main-list expansion; 詞 entries ignored</x:v>
      </x:c>
      <x:c r="J7120" s="6" t="str">
        <x:f>IF(B7120="","",IF(AND(ISNUMBER(SEARCH("平",B7120)),OR(ISNUMBER(SEARCH("上",B7120)),ISNUMBER(SEARCH("去",B7120)),ISNUMBER(SEARCH("入",B7120)))),"Ambiguous",IF(ISNUMBER(SEARCH("平",B7120)),"平","仄")))</x:f>
        <x:v>平</x:v>
      </x:c>
      <x:c r="K7120" s="6" t="str">
        <x:f>IF(D7120="","",IF(AND(ISNUMBER(SEARCH("平",D7120)),OR(ISNUMBER(SEARCH("上",D7120)),ISNUMBER(SEARCH("去",D7120)),ISNUMBER(SEARCH("入",D7120)))),"Ambiguous",IF(ISNUMBER(SEARCH("平",D7120)),"平","仄")))</x:f>
        <x:v>平</x:v>
      </x:c>
      <x:c r="L7120" s="7" t="str">
        <x:v>Pingshui main list expansion</x:v>
      </x:c>
    </x:row>
    <x:row r="7121">
      <x:c r="A7121" s="5" t="str">
        <x:v>汔</x:v>
      </x:c>
      <x:c r="B7121" s="6" t="str">
        <x:v>入</x:v>
      </x:c>
      <x:c r="C7121" s="6" t="str">
        <x:f>IF(B7121="","Needs decision","Ready")</x:f>
        <x:v>Ready</x:v>
      </x:c>
      <x:c r="D7121" s="6" t="str">
        <x:v>入</x:v>
      </x:c>
      <x:c r="E7121" s="6" t="str"/>
      <x:c r="F7121" s="6" t="str">
        <x:v>入聲五物</x:v>
      </x:c>
      <x:c r="G7121" s="6" t="str">
        <x:v>Pingshui main list, Wikisource-derived DOCX</x:v>
      </x:c>
      <x:c r="H7121" s="6" t="str"/>
      <x:c r="I7121" s="6" t="str">
        <x:v>Pingshui main-list expansion; 詞 entries ignored</x:v>
      </x:c>
      <x:c r="J7121" s="6" t="str">
        <x:f>IF(B7121="","",IF(AND(ISNUMBER(SEARCH("平",B7121)),OR(ISNUMBER(SEARCH("上",B7121)),ISNUMBER(SEARCH("去",B7121)),ISNUMBER(SEARCH("入",B7121)))),"Ambiguous",IF(ISNUMBER(SEARCH("平",B7121)),"平","仄")))</x:f>
        <x:v>仄</x:v>
      </x:c>
      <x:c r="K7121" s="6" t="str">
        <x:f>IF(D7121="","",IF(AND(ISNUMBER(SEARCH("平",D7121)),OR(ISNUMBER(SEARCH("上",D7121)),ISNUMBER(SEARCH("去",D7121)),ISNUMBER(SEARCH("入",D7121)))),"Ambiguous",IF(ISNUMBER(SEARCH("平",D7121)),"平","仄")))</x:f>
        <x:v>仄</x:v>
      </x:c>
      <x:c r="L7121" s="7" t="str">
        <x:v>Pingshui main list expansion</x:v>
      </x:c>
    </x:row>
    <x:row r="7122">
      <x:c r="A7122" s="5" t="str">
        <x:v>汕</x:v>
      </x:c>
      <x:c r="B7122" s="6" t="str">
        <x:v>去</x:v>
      </x:c>
      <x:c r="C7122" s="6" t="str">
        <x:f>IF(B7122="","Needs decision","Ready")</x:f>
        <x:v>Ready</x:v>
      </x:c>
      <x:c r="D7122" s="6" t="str">
        <x:v>去</x:v>
      </x:c>
      <x:c r="E7122" s="6" t="str"/>
      <x:c r="F7122" s="6" t="str">
        <x:v>去聲十六諫</x:v>
      </x:c>
      <x:c r="G7122" s="6" t="str">
        <x:v>Pingshui main list, Wikisource-derived DOCX</x:v>
      </x:c>
      <x:c r="H7122" s="6" t="str"/>
      <x:c r="I7122" s="6" t="str">
        <x:v>Pingshui main-list expansion; 詞 entries ignored</x:v>
      </x:c>
      <x:c r="J7122" s="6" t="str">
        <x:f>IF(B7122="","",IF(AND(ISNUMBER(SEARCH("平",B7122)),OR(ISNUMBER(SEARCH("上",B7122)),ISNUMBER(SEARCH("去",B7122)),ISNUMBER(SEARCH("入",B7122)))),"Ambiguous",IF(ISNUMBER(SEARCH("平",B7122)),"平","仄")))</x:f>
        <x:v>仄</x:v>
      </x:c>
      <x:c r="K7122" s="6" t="str">
        <x:f>IF(D7122="","",IF(AND(ISNUMBER(SEARCH("平",D7122)),OR(ISNUMBER(SEARCH("上",D7122)),ISNUMBER(SEARCH("去",D7122)),ISNUMBER(SEARCH("入",D7122)))),"Ambiguous",IF(ISNUMBER(SEARCH("平",D7122)),"平","仄")))</x:f>
        <x:v>仄</x:v>
      </x:c>
      <x:c r="L7122" s="7" t="str">
        <x:v>Pingshui main list expansion</x:v>
      </x:c>
    </x:row>
    <x:row r="7123">
      <x:c r="A7123" s="5" t="str">
        <x:v>汞</x:v>
      </x:c>
      <x:c r="B7123" s="6" t="str">
        <x:v>上</x:v>
      </x:c>
      <x:c r="C7123" s="6" t="str">
        <x:f>IF(B7123="","Needs decision","Ready")</x:f>
        <x:v>Ready</x:v>
      </x:c>
      <x:c r="D7123" s="6" t="str">
        <x:v>上</x:v>
      </x:c>
      <x:c r="E7123" s="6" t="str"/>
      <x:c r="F7123" s="6" t="str">
        <x:v>上聲一董</x:v>
      </x:c>
      <x:c r="G7123" s="6" t="str">
        <x:v>Pingshui main list, Wikisource-derived DOCX</x:v>
      </x:c>
      <x:c r="H7123" s="6" t="str"/>
      <x:c r="I7123" s="6" t="str">
        <x:v>Pingshui main-list expansion; 詞 entries ignored</x:v>
      </x:c>
      <x:c r="J7123" s="6" t="str">
        <x:f>IF(B7123="","",IF(AND(ISNUMBER(SEARCH("平",B7123)),OR(ISNUMBER(SEARCH("上",B7123)),ISNUMBER(SEARCH("去",B7123)),ISNUMBER(SEARCH("入",B7123)))),"Ambiguous",IF(ISNUMBER(SEARCH("平",B7123)),"平","仄")))</x:f>
        <x:v>仄</x:v>
      </x:c>
      <x:c r="K7123" s="6" t="str">
        <x:f>IF(D7123="","",IF(AND(ISNUMBER(SEARCH("平",D7123)),OR(ISNUMBER(SEARCH("上",D7123)),ISNUMBER(SEARCH("去",D7123)),ISNUMBER(SEARCH("入",D7123)))),"Ambiguous",IF(ISNUMBER(SEARCH("平",D7123)),"平","仄")))</x:f>
        <x:v>仄</x:v>
      </x:c>
      <x:c r="L7123" s="7" t="str">
        <x:v>Pingshui main list expansion</x:v>
      </x:c>
    </x:row>
    <x:row r="7124">
      <x:c r="A7124" s="5" t="str">
        <x:v>汱</x:v>
      </x:c>
      <x:c r="B7124" s="6" t="str">
        <x:v>入</x:v>
      </x:c>
      <x:c r="C7124" s="6" t="str">
        <x:f>IF(B7124="","Needs decision","Ready")</x:f>
        <x:v>Ready</x:v>
      </x:c>
      <x:c r="D7124" s="6" t="str">
        <x:v>入</x:v>
      </x:c>
      <x:c r="E7124" s="6" t="str"/>
      <x:c r="F7124" s="6" t="str">
        <x:v>入聲七曷</x:v>
      </x:c>
      <x:c r="G7124" s="6" t="str">
        <x:v>Pingshui main list, Wikisource-derived DOCX</x:v>
      </x:c>
      <x:c r="H7124" s="6" t="str"/>
      <x:c r="I7124" s="6" t="str">
        <x:v>Pingshui main-list expansion; 詞 entries ignored</x:v>
      </x:c>
      <x:c r="J7124" s="6" t="str">
        <x:f>IF(B7124="","",IF(AND(ISNUMBER(SEARCH("平",B7124)),OR(ISNUMBER(SEARCH("上",B7124)),ISNUMBER(SEARCH("去",B7124)),ISNUMBER(SEARCH("入",B7124)))),"Ambiguous",IF(ISNUMBER(SEARCH("平",B7124)),"平","仄")))</x:f>
        <x:v>仄</x:v>
      </x:c>
      <x:c r="K7124" s="6" t="str">
        <x:f>IF(D7124="","",IF(AND(ISNUMBER(SEARCH("平",D7124)),OR(ISNUMBER(SEARCH("上",D7124)),ISNUMBER(SEARCH("去",D7124)),ISNUMBER(SEARCH("入",D7124)))),"Ambiguous",IF(ISNUMBER(SEARCH("平",D7124)),"平","仄")))</x:f>
        <x:v>仄</x:v>
      </x:c>
      <x:c r="L7124" s="7" t="str">
        <x:v>Pingshui main list expansion</x:v>
      </x:c>
    </x:row>
    <x:row r="7125">
      <x:c r="A7125" s="5" t="str">
        <x:v>汸</x:v>
      </x:c>
      <x:c r="B7125" s="6" t="str">
        <x:v>平</x:v>
      </x:c>
      <x:c r="C7125" s="6" t="str">
        <x:f>IF(B7125="","Needs decision","Ready")</x:f>
        <x:v>Ready</x:v>
      </x:c>
      <x:c r="D7125" s="6" t="str">
        <x:v>平</x:v>
      </x:c>
      <x:c r="E7125" s="6" t="str"/>
      <x:c r="F7125" s="6" t="str">
        <x:v>下平聲七陽</x:v>
      </x:c>
      <x:c r="G7125" s="6" t="str">
        <x:v>Pingshui main list, Wikisource-derived DOCX</x:v>
      </x:c>
      <x:c r="H7125" s="6" t="str"/>
      <x:c r="I7125" s="6" t="str">
        <x:v>Pingshui main-list expansion; 詞 entries ignored</x:v>
      </x:c>
      <x:c r="J7125" s="6" t="str">
        <x:f>IF(B7125="","",IF(AND(ISNUMBER(SEARCH("平",B7125)),OR(ISNUMBER(SEARCH("上",B7125)),ISNUMBER(SEARCH("去",B7125)),ISNUMBER(SEARCH("入",B7125)))),"Ambiguous",IF(ISNUMBER(SEARCH("平",B7125)),"平","仄")))</x:f>
        <x:v>平</x:v>
      </x:c>
      <x:c r="K7125" s="6" t="str">
        <x:f>IF(D7125="","",IF(AND(ISNUMBER(SEARCH("平",D7125)),OR(ISNUMBER(SEARCH("上",D7125)),ISNUMBER(SEARCH("去",D7125)),ISNUMBER(SEARCH("入",D7125)))),"Ambiguous",IF(ISNUMBER(SEARCH("平",D7125)),"平","仄")))</x:f>
        <x:v>平</x:v>
      </x:c>
      <x:c r="L7125" s="7" t="str">
        <x:v>Pingshui main list expansion</x:v>
      </x:c>
    </x:row>
    <x:row r="7126">
      <x:c r="A7126" s="5" t="str">
        <x:v>沄</x:v>
      </x:c>
      <x:c r="B7126" s="6" t="str">
        <x:v>平</x:v>
      </x:c>
      <x:c r="C7126" s="6" t="str">
        <x:f>IF(B7126="","Needs decision","Ready")</x:f>
        <x:v>Ready</x:v>
      </x:c>
      <x:c r="D7126" s="6" t="str">
        <x:v>平</x:v>
      </x:c>
      <x:c r="E7126" s="6" t="str"/>
      <x:c r="F7126" s="6" t="str">
        <x:v>上平聲十二文; 上平聲十三元</x:v>
      </x:c>
      <x:c r="G7126" s="6" t="str">
        <x:v>Pingshui main list, Wikisource-derived DOCX</x:v>
      </x:c>
      <x:c r="H7126" s="6" t="str"/>
      <x:c r="I7126" s="6" t="str">
        <x:v>Pingshui main-list expansion; 詞 entries ignored</x:v>
      </x:c>
      <x:c r="J7126" s="6" t="str">
        <x:f>IF(B7126="","",IF(AND(ISNUMBER(SEARCH("平",B7126)),OR(ISNUMBER(SEARCH("上",B7126)),ISNUMBER(SEARCH("去",B7126)),ISNUMBER(SEARCH("入",B7126)))),"Ambiguous",IF(ISNUMBER(SEARCH("平",B7126)),"平","仄")))</x:f>
        <x:v>平</x:v>
      </x:c>
      <x:c r="K7126" s="6" t="str">
        <x:f>IF(D7126="","",IF(AND(ISNUMBER(SEARCH("平",D7126)),OR(ISNUMBER(SEARCH("上",D7126)),ISNUMBER(SEARCH("去",D7126)),ISNUMBER(SEARCH("入",D7126)))),"Ambiguous",IF(ISNUMBER(SEARCH("平",D7126)),"平","仄")))</x:f>
        <x:v>平</x:v>
      </x:c>
      <x:c r="L7126" s="7" t="str">
        <x:v>Pingshui main list expansion</x:v>
      </x:c>
    </x:row>
    <x:row r="7127">
      <x:c r="A7127" s="5" t="str">
        <x:v>沕</x:v>
      </x:c>
      <x:c r="B7127" s="6" t="str">
        <x:v>入</x:v>
      </x:c>
      <x:c r="C7127" s="6" t="str">
        <x:f>IF(B7127="","Needs decision","Ready")</x:f>
        <x:v>Ready</x:v>
      </x:c>
      <x:c r="D7127" s="6" t="str">
        <x:v>入</x:v>
      </x:c>
      <x:c r="E7127" s="6" t="str"/>
      <x:c r="F7127" s="6" t="str">
        <x:v>入聲四質; 入聲五物</x:v>
      </x:c>
      <x:c r="G7127" s="6" t="str">
        <x:v>Pingshui main list, Wikisource-derived DOCX</x:v>
      </x:c>
      <x:c r="H7127" s="6" t="str"/>
      <x:c r="I7127" s="6" t="str">
        <x:v>Pingshui main-list expansion; 詞 entries ignored</x:v>
      </x:c>
      <x:c r="J7127" s="6" t="str">
        <x:f>IF(B7127="","",IF(AND(ISNUMBER(SEARCH("平",B7127)),OR(ISNUMBER(SEARCH("上",B7127)),ISNUMBER(SEARCH("去",B7127)),ISNUMBER(SEARCH("入",B7127)))),"Ambiguous",IF(ISNUMBER(SEARCH("平",B7127)),"平","仄")))</x:f>
        <x:v>仄</x:v>
      </x:c>
      <x:c r="K7127" s="6" t="str">
        <x:f>IF(D7127="","",IF(AND(ISNUMBER(SEARCH("平",D7127)),OR(ISNUMBER(SEARCH("上",D7127)),ISNUMBER(SEARCH("去",D7127)),ISNUMBER(SEARCH("入",D7127)))),"Ambiguous",IF(ISNUMBER(SEARCH("平",D7127)),"平","仄")))</x:f>
        <x:v>仄</x:v>
      </x:c>
      <x:c r="L7127" s="7" t="str">
        <x:v>Pingshui main list expansion</x:v>
      </x:c>
    </x:row>
    <x:row r="7128">
      <x:c r="A7128" s="5" t="str">
        <x:v>沷</x:v>
      </x:c>
      <x:c r="B7128" s="6" t="str">
        <x:v>入</x:v>
      </x:c>
      <x:c r="C7128" s="6" t="str">
        <x:f>IF(B7128="","Needs decision","Ready")</x:f>
        <x:v>Ready</x:v>
      </x:c>
      <x:c r="D7128" s="6" t="str">
        <x:v>入</x:v>
      </x:c>
      <x:c r="E7128" s="6" t="str"/>
      <x:c r="F7128" s="6" t="str">
        <x:v>入聲五物</x:v>
      </x:c>
      <x:c r="G7128" s="6" t="str">
        <x:v>Pingshui main list, Wikisource-derived DOCX</x:v>
      </x:c>
      <x:c r="H7128" s="6" t="str"/>
      <x:c r="I7128" s="6" t="str">
        <x:v>Pingshui main-list expansion; 詞 entries ignored</x:v>
      </x:c>
      <x:c r="J7128" s="6" t="str">
        <x:f>IF(B7128="","",IF(AND(ISNUMBER(SEARCH("平",B7128)),OR(ISNUMBER(SEARCH("上",B7128)),ISNUMBER(SEARCH("去",B7128)),ISNUMBER(SEARCH("入",B7128)))),"Ambiguous",IF(ISNUMBER(SEARCH("平",B7128)),"平","仄")))</x:f>
        <x:v>仄</x:v>
      </x:c>
      <x:c r="K7128" s="6" t="str">
        <x:f>IF(D7128="","",IF(AND(ISNUMBER(SEARCH("平",D7128)),OR(ISNUMBER(SEARCH("上",D7128)),ISNUMBER(SEARCH("去",D7128)),ISNUMBER(SEARCH("入",D7128)))),"Ambiguous",IF(ISNUMBER(SEARCH("平",D7128)),"平","仄")))</x:f>
        <x:v>仄</x:v>
      </x:c>
      <x:c r="L7128" s="7" t="str">
        <x:v>Pingshui main list expansion</x:v>
      </x:c>
    </x:row>
    <x:row r="7129">
      <x:c r="A7129" s="5" t="str">
        <x:v>沺</x:v>
      </x:c>
      <x:c r="B7129" s="6" t="str">
        <x:v>平</x:v>
      </x:c>
      <x:c r="C7129" s="6" t="str">
        <x:f>IF(B7129="","Needs decision","Ready")</x:f>
        <x:v>Ready</x:v>
      </x:c>
      <x:c r="D7129" s="6" t="str">
        <x:v>平</x:v>
      </x:c>
      <x:c r="E7129" s="6" t="str"/>
      <x:c r="F7129" s="6" t="str">
        <x:v>下平聲一先</x:v>
      </x:c>
      <x:c r="G7129" s="6" t="str">
        <x:v>Pingshui main list, Wikisource-derived DOCX</x:v>
      </x:c>
      <x:c r="H7129" s="6" t="str"/>
      <x:c r="I7129" s="6" t="str">
        <x:v>Pingshui main-list expansion; 詞 entries ignored</x:v>
      </x:c>
      <x:c r="J7129" s="6" t="str">
        <x:f>IF(B7129="","",IF(AND(ISNUMBER(SEARCH("平",B7129)),OR(ISNUMBER(SEARCH("上",B7129)),ISNUMBER(SEARCH("去",B7129)),ISNUMBER(SEARCH("入",B7129)))),"Ambiguous",IF(ISNUMBER(SEARCH("平",B7129)),"平","仄")))</x:f>
        <x:v>平</x:v>
      </x:c>
      <x:c r="K7129" s="6" t="str">
        <x:f>IF(D7129="","",IF(AND(ISNUMBER(SEARCH("平",D7129)),OR(ISNUMBER(SEARCH("上",D7129)),ISNUMBER(SEARCH("去",D7129)),ISNUMBER(SEARCH("入",D7129)))),"Ambiguous",IF(ISNUMBER(SEARCH("平",D7129)),"平","仄")))</x:f>
        <x:v>平</x:v>
      </x:c>
      <x:c r="L7129" s="7" t="str">
        <x:v>Pingshui main list expansion</x:v>
      </x:c>
    </x:row>
    <x:row r="7130">
      <x:c r="A7130" s="5" t="str">
        <x:v>泂</x:v>
      </x:c>
      <x:c r="B7130" s="6" t="str">
        <x:v>上</x:v>
      </x:c>
      <x:c r="C7130" s="6" t="str">
        <x:f>IF(B7130="","Needs decision","Ready")</x:f>
        <x:v>Ready</x:v>
      </x:c>
      <x:c r="D7130" s="6" t="str">
        <x:v>上</x:v>
      </x:c>
      <x:c r="E7130" s="6" t="str"/>
      <x:c r="F7130" s="6" t="str">
        <x:v>上聲二十四迥</x:v>
      </x:c>
      <x:c r="G7130" s="6" t="str">
        <x:v>Pingshui main list, Wikisource-derived DOCX</x:v>
      </x:c>
      <x:c r="H7130" s="6" t="str"/>
      <x:c r="I7130" s="6" t="str">
        <x:v>Pingshui main-list expansion; 詞 entries ignored</x:v>
      </x:c>
      <x:c r="J7130" s="6" t="str">
        <x:f>IF(B7130="","",IF(AND(ISNUMBER(SEARCH("平",B7130)),OR(ISNUMBER(SEARCH("上",B7130)),ISNUMBER(SEARCH("去",B7130)),ISNUMBER(SEARCH("入",B7130)))),"Ambiguous",IF(ISNUMBER(SEARCH("平",B7130)),"平","仄")))</x:f>
        <x:v>仄</x:v>
      </x:c>
      <x:c r="K7130" s="6" t="str">
        <x:f>IF(D7130="","",IF(AND(ISNUMBER(SEARCH("平",D7130)),OR(ISNUMBER(SEARCH("上",D7130)),ISNUMBER(SEARCH("去",D7130)),ISNUMBER(SEARCH("入",D7130)))),"Ambiguous",IF(ISNUMBER(SEARCH("平",D7130)),"平","仄")))</x:f>
        <x:v>仄</x:v>
      </x:c>
      <x:c r="L7130" s="7" t="str">
        <x:v>Pingshui main list expansion</x:v>
      </x:c>
    </x:row>
    <x:row r="7131">
      <x:c r="A7131" s="5" t="str">
        <x:v>泏</x:v>
      </x:c>
      <x:c r="B7131" s="6" t="str">
        <x:v>入</x:v>
      </x:c>
      <x:c r="C7131" s="6" t="str">
        <x:f>IF(B7131="","Needs decision","Ready")</x:f>
        <x:v>Ready</x:v>
      </x:c>
      <x:c r="D7131" s="6" t="str">
        <x:v>入</x:v>
      </x:c>
      <x:c r="E7131" s="6" t="str"/>
      <x:c r="F7131" s="6" t="str">
        <x:v>入聲六月</x:v>
      </x:c>
      <x:c r="G7131" s="6" t="str">
        <x:v>Pingshui main list, Wikisource-derived DOCX</x:v>
      </x:c>
      <x:c r="H7131" s="6" t="str"/>
      <x:c r="I7131" s="6" t="str">
        <x:v>Pingshui main-list expansion; 詞 entries ignored</x:v>
      </x:c>
      <x:c r="J7131" s="6" t="str">
        <x:f>IF(B7131="","",IF(AND(ISNUMBER(SEARCH("平",B7131)),OR(ISNUMBER(SEARCH("上",B7131)),ISNUMBER(SEARCH("去",B7131)),ISNUMBER(SEARCH("入",B7131)))),"Ambiguous",IF(ISNUMBER(SEARCH("平",B7131)),"平","仄")))</x:f>
        <x:v>仄</x:v>
      </x:c>
      <x:c r="K7131" s="6" t="str">
        <x:f>IF(D7131="","",IF(AND(ISNUMBER(SEARCH("平",D7131)),OR(ISNUMBER(SEARCH("上",D7131)),ISNUMBER(SEARCH("去",D7131)),ISNUMBER(SEARCH("入",D7131)))),"Ambiguous",IF(ISNUMBER(SEARCH("平",D7131)),"平","仄")))</x:f>
        <x:v>仄</x:v>
      </x:c>
      <x:c r="L7131" s="7" t="str">
        <x:v>Pingshui main list expansion</x:v>
      </x:c>
    </x:row>
    <x:row r="7132">
      <x:c r="A7132" s="5" t="str">
        <x:v>泐</x:v>
      </x:c>
      <x:c r="B7132" s="6" t="str">
        <x:v>入</x:v>
      </x:c>
      <x:c r="C7132" s="6" t="str">
        <x:f>IF(B7132="","Needs decision","Ready")</x:f>
        <x:v>Ready</x:v>
      </x:c>
      <x:c r="D7132" s="6" t="str">
        <x:v>入</x:v>
      </x:c>
      <x:c r="E7132" s="6" t="str"/>
      <x:c r="F7132" s="6" t="str">
        <x:v>入聲十三職</x:v>
      </x:c>
      <x:c r="G7132" s="6" t="str">
        <x:v>Pingshui main list, Wikisource-derived DOCX</x:v>
      </x:c>
      <x:c r="H7132" s="6" t="str"/>
      <x:c r="I7132" s="6" t="str">
        <x:v>Pingshui main-list expansion; 詞 entries ignored</x:v>
      </x:c>
      <x:c r="J7132" s="6" t="str">
        <x:f>IF(B7132="","",IF(AND(ISNUMBER(SEARCH("平",B7132)),OR(ISNUMBER(SEARCH("上",B7132)),ISNUMBER(SEARCH("去",B7132)),ISNUMBER(SEARCH("入",B7132)))),"Ambiguous",IF(ISNUMBER(SEARCH("平",B7132)),"平","仄")))</x:f>
        <x:v>仄</x:v>
      </x:c>
      <x:c r="K7132" s="6" t="str">
        <x:f>IF(D7132="","",IF(AND(ISNUMBER(SEARCH("平",D7132)),OR(ISNUMBER(SEARCH("上",D7132)),ISNUMBER(SEARCH("去",D7132)),ISNUMBER(SEARCH("入",D7132)))),"Ambiguous",IF(ISNUMBER(SEARCH("平",D7132)),"平","仄")))</x:f>
        <x:v>仄</x:v>
      </x:c>
      <x:c r="L7132" s="7" t="str">
        <x:v>Pingshui main list expansion</x:v>
      </x:c>
    </x:row>
    <x:row r="7133">
      <x:c r="A7133" s="5" t="str">
        <x:v>泔</x:v>
      </x:c>
      <x:c r="B7133" s="6" t="str">
        <x:v>平</x:v>
      </x:c>
      <x:c r="C7133" s="6" t="str">
        <x:f>IF(B7133="","Needs decision","Ready")</x:f>
        <x:v>Ready</x:v>
      </x:c>
      <x:c r="D7133" s="6" t="str">
        <x:v>平</x:v>
      </x:c>
      <x:c r="E7133" s="6" t="str"/>
      <x:c r="F7133" s="6" t="str">
        <x:v>下平聲十三覃</x:v>
      </x:c>
      <x:c r="G7133" s="6" t="str">
        <x:v>Pingshui main list, Wikisource-derived DOCX</x:v>
      </x:c>
      <x:c r="H7133" s="6" t="str"/>
      <x:c r="I7133" s="6" t="str">
        <x:v>Pingshui main-list expansion; 詞 entries ignored</x:v>
      </x:c>
      <x:c r="J7133" s="6" t="str">
        <x:f>IF(B7133="","",IF(AND(ISNUMBER(SEARCH("平",B7133)),OR(ISNUMBER(SEARCH("上",B7133)),ISNUMBER(SEARCH("去",B7133)),ISNUMBER(SEARCH("入",B7133)))),"Ambiguous",IF(ISNUMBER(SEARCH("平",B7133)),"平","仄")))</x:f>
        <x:v>平</x:v>
      </x:c>
      <x:c r="K7133" s="6" t="str">
        <x:f>IF(D7133="","",IF(AND(ISNUMBER(SEARCH("平",D7133)),OR(ISNUMBER(SEARCH("上",D7133)),ISNUMBER(SEARCH("去",D7133)),ISNUMBER(SEARCH("入",D7133)))),"Ambiguous",IF(ISNUMBER(SEARCH("平",D7133)),"平","仄")))</x:f>
        <x:v>平</x:v>
      </x:c>
      <x:c r="L7133" s="7" t="str">
        <x:v>Pingshui main list expansion</x:v>
      </x:c>
    </x:row>
    <x:row r="7134">
      <x:c r="A7134" s="5" t="str">
        <x:v>泖</x:v>
      </x:c>
      <x:c r="B7134" s="6" t="str">
        <x:v>上</x:v>
      </x:c>
      <x:c r="C7134" s="6" t="str">
        <x:f>IF(B7134="","Needs decision","Ready")</x:f>
        <x:v>Ready</x:v>
      </x:c>
      <x:c r="D7134" s="6" t="str">
        <x:v>上</x:v>
      </x:c>
      <x:c r="E7134" s="6" t="str"/>
      <x:c r="F7134" s="6" t="str">
        <x:v>上聲十八巧</x:v>
      </x:c>
      <x:c r="G7134" s="6" t="str">
        <x:v>Pingshui main list, Wikisource-derived DOCX</x:v>
      </x:c>
      <x:c r="H7134" s="6" t="str"/>
      <x:c r="I7134" s="6" t="str">
        <x:v>Pingshui main-list expansion; 詞 entries ignored</x:v>
      </x:c>
      <x:c r="J7134" s="6" t="str">
        <x:f>IF(B7134="","",IF(AND(ISNUMBER(SEARCH("平",B7134)),OR(ISNUMBER(SEARCH("上",B7134)),ISNUMBER(SEARCH("去",B7134)),ISNUMBER(SEARCH("入",B7134)))),"Ambiguous",IF(ISNUMBER(SEARCH("平",B7134)),"平","仄")))</x:f>
        <x:v>仄</x:v>
      </x:c>
      <x:c r="K7134" s="6" t="str">
        <x:f>IF(D7134="","",IF(AND(ISNUMBER(SEARCH("平",D7134)),OR(ISNUMBER(SEARCH("上",D7134)),ISNUMBER(SEARCH("去",D7134)),ISNUMBER(SEARCH("入",D7134)))),"Ambiguous",IF(ISNUMBER(SEARCH("平",D7134)),"平","仄")))</x:f>
        <x:v>仄</x:v>
      </x:c>
      <x:c r="L7134" s="7" t="str">
        <x:v>Pingshui main list expansion</x:v>
      </x:c>
    </x:row>
    <x:row r="7135">
      <x:c r="A7135" s="5" t="str">
        <x:v>泙</x:v>
      </x:c>
      <x:c r="B7135" s="6" t="str">
        <x:v>平</x:v>
      </x:c>
      <x:c r="C7135" s="6" t="str">
        <x:f>IF(B7135="","Needs decision","Ready")</x:f>
        <x:v>Ready</x:v>
      </x:c>
      <x:c r="D7135" s="6" t="str">
        <x:v>平</x:v>
      </x:c>
      <x:c r="E7135" s="6" t="str"/>
      <x:c r="F7135" s="6" t="str">
        <x:v>下平聲八庚</x:v>
      </x:c>
      <x:c r="G7135" s="6" t="str">
        <x:v>Pingshui main list, Wikisource-derived DOCX</x:v>
      </x:c>
      <x:c r="H7135" s="6" t="str"/>
      <x:c r="I7135" s="6" t="str">
        <x:v>Pingshui main-list expansion; 詞 entries ignored</x:v>
      </x:c>
      <x:c r="J7135" s="6" t="str">
        <x:f>IF(B7135="","",IF(AND(ISNUMBER(SEARCH("平",B7135)),OR(ISNUMBER(SEARCH("上",B7135)),ISNUMBER(SEARCH("去",B7135)),ISNUMBER(SEARCH("入",B7135)))),"Ambiguous",IF(ISNUMBER(SEARCH("平",B7135)),"平","仄")))</x:f>
        <x:v>平</x:v>
      </x:c>
      <x:c r="K7135" s="6" t="str">
        <x:f>IF(D7135="","",IF(AND(ISNUMBER(SEARCH("平",D7135)),OR(ISNUMBER(SEARCH("上",D7135)),ISNUMBER(SEARCH("去",D7135)),ISNUMBER(SEARCH("入",D7135)))),"Ambiguous",IF(ISNUMBER(SEARCH("平",D7135)),"平","仄")))</x:f>
        <x:v>平</x:v>
      </x:c>
      <x:c r="L7135" s="7" t="str">
        <x:v>Pingshui main list expansion</x:v>
      </x:c>
    </x:row>
    <x:row r="7136">
      <x:c r="A7136" s="5" t="str">
        <x:v>泜</x:v>
      </x:c>
      <x:c r="B7136" s="6" t="str">
        <x:v>平</x:v>
      </x:c>
      <x:c r="C7136" s="6" t="str">
        <x:f>IF(B7136="","Needs decision","Ready")</x:f>
        <x:v>Ready</x:v>
      </x:c>
      <x:c r="D7136" s="6" t="str">
        <x:v>平</x:v>
      </x:c>
      <x:c r="E7136" s="6" t="str"/>
      <x:c r="F7136" s="6" t="str">
        <x:v>上平聲四支</x:v>
      </x:c>
      <x:c r="G7136" s="6" t="str">
        <x:v>Pingshui main list, Wikisource-derived DOCX</x:v>
      </x:c>
      <x:c r="H7136" s="6" t="str"/>
      <x:c r="I7136" s="6" t="str">
        <x:v>Pingshui main-list expansion; 詞 entries ignored</x:v>
      </x:c>
      <x:c r="J7136" s="6" t="str">
        <x:f>IF(B7136="","",IF(AND(ISNUMBER(SEARCH("平",B7136)),OR(ISNUMBER(SEARCH("上",B7136)),ISNUMBER(SEARCH("去",B7136)),ISNUMBER(SEARCH("入",B7136)))),"Ambiguous",IF(ISNUMBER(SEARCH("平",B7136)),"平","仄")))</x:f>
        <x:v>平</x:v>
      </x:c>
      <x:c r="K7136" s="6" t="str">
        <x:f>IF(D7136="","",IF(AND(ISNUMBER(SEARCH("平",D7136)),OR(ISNUMBER(SEARCH("上",D7136)),ISNUMBER(SEARCH("去",D7136)),ISNUMBER(SEARCH("入",D7136)))),"Ambiguous",IF(ISNUMBER(SEARCH("平",D7136)),"平","仄")))</x:f>
        <x:v>平</x:v>
      </x:c>
      <x:c r="L7136" s="7" t="str">
        <x:v>Pingshui main list expansion</x:v>
      </x:c>
    </x:row>
    <x:row r="7137">
      <x:c r="A7137" s="5" t="str">
        <x:v>泧</x:v>
      </x:c>
      <x:c r="B7137" s="6" t="str">
        <x:v>入</x:v>
      </x:c>
      <x:c r="C7137" s="6" t="str">
        <x:f>IF(B7137="","Needs decision","Ready")</x:f>
        <x:v>Ready</x:v>
      </x:c>
      <x:c r="D7137" s="6" t="str">
        <x:v>入</x:v>
      </x:c>
      <x:c r="E7137" s="6" t="str"/>
      <x:c r="F7137" s="6" t="str">
        <x:v>入聲七曷</x:v>
      </x:c>
      <x:c r="G7137" s="6" t="str">
        <x:v>Pingshui main list, Wikisource-derived DOCX</x:v>
      </x:c>
      <x:c r="H7137" s="6" t="str"/>
      <x:c r="I7137" s="6" t="str">
        <x:v>Pingshui main-list expansion; 詞 entries ignored</x:v>
      </x:c>
      <x:c r="J7137" s="6" t="str">
        <x:f>IF(B7137="","",IF(AND(ISNUMBER(SEARCH("平",B7137)),OR(ISNUMBER(SEARCH("上",B7137)),ISNUMBER(SEARCH("去",B7137)),ISNUMBER(SEARCH("入",B7137)))),"Ambiguous",IF(ISNUMBER(SEARCH("平",B7137)),"平","仄")))</x:f>
        <x:v>仄</x:v>
      </x:c>
      <x:c r="K7137" s="6" t="str">
        <x:f>IF(D7137="","",IF(AND(ISNUMBER(SEARCH("平",D7137)),OR(ISNUMBER(SEARCH("上",D7137)),ISNUMBER(SEARCH("去",D7137)),ISNUMBER(SEARCH("入",D7137)))),"Ambiguous",IF(ISNUMBER(SEARCH("平",D7137)),"平","仄")))</x:f>
        <x:v>仄</x:v>
      </x:c>
      <x:c r="L7137" s="7" t="str">
        <x:v>Pingshui main list expansion</x:v>
      </x:c>
    </x:row>
    <x:row r="7138">
      <x:c r="A7138" s="5" t="str">
        <x:v>泭</x:v>
      </x:c>
      <x:c r="B7138" s="6" t="str">
        <x:v>平</x:v>
      </x:c>
      <x:c r="C7138" s="6" t="str">
        <x:f>IF(B7138="","Needs decision","Ready")</x:f>
        <x:v>Ready</x:v>
      </x:c>
      <x:c r="D7138" s="6" t="str">
        <x:v>平</x:v>
      </x:c>
      <x:c r="E7138" s="6" t="str"/>
      <x:c r="F7138" s="6" t="str">
        <x:v>上平聲七虞</x:v>
      </x:c>
      <x:c r="G7138" s="6" t="str">
        <x:v>Pingshui main list, Wikisource-derived DOCX</x:v>
      </x:c>
      <x:c r="H7138" s="6" t="str"/>
      <x:c r="I7138" s="6" t="str">
        <x:v>Pingshui main-list expansion; 詞 entries ignored</x:v>
      </x:c>
      <x:c r="J7138" s="6" t="str">
        <x:f>IF(B7138="","",IF(AND(ISNUMBER(SEARCH("平",B7138)),OR(ISNUMBER(SEARCH("上",B7138)),ISNUMBER(SEARCH("去",B7138)),ISNUMBER(SEARCH("入",B7138)))),"Ambiguous",IF(ISNUMBER(SEARCH("平",B7138)),"平","仄")))</x:f>
        <x:v>平</x:v>
      </x:c>
      <x:c r="K7138" s="6" t="str">
        <x:f>IF(D7138="","",IF(AND(ISNUMBER(SEARCH("平",D7138)),OR(ISNUMBER(SEARCH("上",D7138)),ISNUMBER(SEARCH("去",D7138)),ISNUMBER(SEARCH("入",D7138)))),"Ambiguous",IF(ISNUMBER(SEARCH("平",D7138)),"平","仄")))</x:f>
        <x:v>平</x:v>
      </x:c>
      <x:c r="L7138" s="7" t="str">
        <x:v>Pingshui main list expansion</x:v>
      </x:c>
    </x:row>
    <x:row r="7139">
      <x:c r="A7139" s="5" t="str">
        <x:v>洌</x:v>
      </x:c>
      <x:c r="B7139" s="6" t="str">
        <x:v>入</x:v>
      </x:c>
      <x:c r="C7139" s="6" t="str">
        <x:f>IF(B7139="","Needs decision","Ready")</x:f>
        <x:v>Ready</x:v>
      </x:c>
      <x:c r="D7139" s="6" t="str">
        <x:v>入</x:v>
      </x:c>
      <x:c r="E7139" s="6" t="str"/>
      <x:c r="F7139" s="6" t="str">
        <x:v>入聲九屑</x:v>
      </x:c>
      <x:c r="G7139" s="6" t="str">
        <x:v>Pingshui main list, Wikisource-derived DOCX</x:v>
      </x:c>
      <x:c r="H7139" s="6" t="str"/>
      <x:c r="I7139" s="6" t="str">
        <x:v>Pingshui main-list expansion; 詞 entries ignored</x:v>
      </x:c>
      <x:c r="J7139" s="6" t="str">
        <x:f>IF(B7139="","",IF(AND(ISNUMBER(SEARCH("平",B7139)),OR(ISNUMBER(SEARCH("上",B7139)),ISNUMBER(SEARCH("去",B7139)),ISNUMBER(SEARCH("入",B7139)))),"Ambiguous",IF(ISNUMBER(SEARCH("平",B7139)),"平","仄")))</x:f>
        <x:v>仄</x:v>
      </x:c>
      <x:c r="K7139" s="6" t="str">
        <x:f>IF(D7139="","",IF(AND(ISNUMBER(SEARCH("平",D7139)),OR(ISNUMBER(SEARCH("上",D7139)),ISNUMBER(SEARCH("去",D7139)),ISNUMBER(SEARCH("入",D7139)))),"Ambiguous",IF(ISNUMBER(SEARCH("平",D7139)),"平","仄")))</x:f>
        <x:v>仄</x:v>
      </x:c>
      <x:c r="L7139" s="7" t="str">
        <x:v>Pingshui main list expansion</x:v>
      </x:c>
    </x:row>
    <x:row r="7140">
      <x:c r="A7140" s="5" t="str">
        <x:v>洚</x:v>
      </x:c>
      <x:c r="B7140" s="6" t="str"/>
      <x:c r="C7140" s="6" t="str">
        <x:f>IF(B7140="","Needs decision","Ready")</x:f>
        <x:v>Needs decision</x:v>
      </x:c>
      <x:c r="D7140" s="6" t="str">
        <x:v>平/去</x:v>
      </x:c>
      <x:c r="E7140" s="6" t="str"/>
      <x:c r="F7140" s="6" t="str">
        <x:v>上平聲一東; 上平聲三江; 去聲三絳</x:v>
      </x:c>
      <x:c r="G7140" s="6" t="str">
        <x:v>Pingshui main list, Wikisource-derived DOCX</x:v>
      </x:c>
      <x:c r="H7140" s="6" t="str"/>
      <x:c r="I7140" s="6" t="str">
        <x:v>Pingshui main-list expansion; 詞 entries ignored</x:v>
      </x:c>
      <x:c r="J7140" s="6" t="str">
        <x:f>IF(B7140="","",IF(AND(ISNUMBER(SEARCH("平",B7140)),OR(ISNUMBER(SEARCH("上",B7140)),ISNUMBER(SEARCH("去",B7140)),ISNUMBER(SEARCH("入",B7140)))),"Ambiguous",IF(ISNUMBER(SEARCH("平",B7140)),"平","仄")))</x:f>
      </x:c>
      <x:c r="K7140" s="6" t="str">
        <x:f>IF(D7140="","",IF(AND(ISNUMBER(SEARCH("平",D7140)),OR(ISNUMBER(SEARCH("上",D7140)),ISNUMBER(SEARCH("去",D7140)),ISNUMBER(SEARCH("入",D7140)))),"Ambiguous",IF(ISNUMBER(SEARCH("平",D7140)),"平","仄")))</x:f>
        <x:v>Ambiguous</x:v>
      </x:c>
      <x:c r="L7140" s="7" t="str">
        <x:v>Pingshui main list expansion</x:v>
      </x:c>
    </x:row>
    <x:row r="7141">
      <x:c r="A7141" s="5" t="str">
        <x:v>洢</x:v>
      </x:c>
      <x:c r="B7141" s="6" t="str">
        <x:v>平</x:v>
      </x:c>
      <x:c r="C7141" s="6" t="str">
        <x:f>IF(B7141="","Needs decision","Ready")</x:f>
        <x:v>Ready</x:v>
      </x:c>
      <x:c r="D7141" s="6" t="str">
        <x:v>平</x:v>
      </x:c>
      <x:c r="E7141" s="6" t="str"/>
      <x:c r="F7141" s="6" t="str">
        <x:v>上平聲四支</x:v>
      </x:c>
      <x:c r="G7141" s="6" t="str">
        <x:v>Pingshui main list, Wikisource-derived DOCX</x:v>
      </x:c>
      <x:c r="H7141" s="6" t="str"/>
      <x:c r="I7141" s="6" t="str">
        <x:v>Pingshui main-list expansion; 詞 entries ignored</x:v>
      </x:c>
      <x:c r="J7141" s="6" t="str">
        <x:f>IF(B7141="","",IF(AND(ISNUMBER(SEARCH("平",B7141)),OR(ISNUMBER(SEARCH("上",B7141)),ISNUMBER(SEARCH("去",B7141)),ISNUMBER(SEARCH("入",B7141)))),"Ambiguous",IF(ISNUMBER(SEARCH("平",B7141)),"平","仄")))</x:f>
        <x:v>平</x:v>
      </x:c>
      <x:c r="K7141" s="6" t="str">
        <x:f>IF(D7141="","",IF(AND(ISNUMBER(SEARCH("平",D7141)),OR(ISNUMBER(SEARCH("上",D7141)),ISNUMBER(SEARCH("去",D7141)),ISNUMBER(SEARCH("入",D7141)))),"Ambiguous",IF(ISNUMBER(SEARCH("平",D7141)),"平","仄")))</x:f>
        <x:v>平</x:v>
      </x:c>
      <x:c r="L7141" s="7" t="str">
        <x:v>Pingshui main list expansion</x:v>
      </x:c>
    </x:row>
    <x:row r="7142">
      <x:c r="A7142" s="5" t="str">
        <x:v>洨</x:v>
      </x:c>
      <x:c r="B7142" s="6" t="str">
        <x:v>平</x:v>
      </x:c>
      <x:c r="C7142" s="6" t="str">
        <x:f>IF(B7142="","Needs decision","Ready")</x:f>
        <x:v>Ready</x:v>
      </x:c>
      <x:c r="D7142" s="6" t="str">
        <x:v>平</x:v>
      </x:c>
      <x:c r="E7142" s="6" t="str"/>
      <x:c r="F7142" s="6" t="str">
        <x:v>下平聲三肴</x:v>
      </x:c>
      <x:c r="G7142" s="6" t="str">
        <x:v>Pingshui main list, Wikisource-derived DOCX</x:v>
      </x:c>
      <x:c r="H7142" s="6" t="str"/>
      <x:c r="I7142" s="6" t="str">
        <x:v>Pingshui main-list expansion; 詞 entries ignored</x:v>
      </x:c>
      <x:c r="J7142" s="6" t="str">
        <x:f>IF(B7142="","",IF(AND(ISNUMBER(SEARCH("平",B7142)),OR(ISNUMBER(SEARCH("上",B7142)),ISNUMBER(SEARCH("去",B7142)),ISNUMBER(SEARCH("入",B7142)))),"Ambiguous",IF(ISNUMBER(SEARCH("平",B7142)),"平","仄")))</x:f>
        <x:v>平</x:v>
      </x:c>
      <x:c r="K7142" s="6" t="str">
        <x:f>IF(D7142="","",IF(AND(ISNUMBER(SEARCH("平",D7142)),OR(ISNUMBER(SEARCH("上",D7142)),ISNUMBER(SEARCH("去",D7142)),ISNUMBER(SEARCH("入",D7142)))),"Ambiguous",IF(ISNUMBER(SEARCH("平",D7142)),"平","仄")))</x:f>
        <x:v>平</x:v>
      </x:c>
      <x:c r="L7142" s="7" t="str">
        <x:v>Pingshui main list expansion</x:v>
      </x:c>
    </x:row>
    <x:row r="7143">
      <x:c r="A7143" s="5" t="str">
        <x:v>洭</x:v>
      </x:c>
      <x:c r="B7143" s="6" t="str">
        <x:v>平</x:v>
      </x:c>
      <x:c r="C7143" s="6" t="str">
        <x:f>IF(B7143="","Needs decision","Ready")</x:f>
        <x:v>Ready</x:v>
      </x:c>
      <x:c r="D7143" s="6" t="str">
        <x:v>平</x:v>
      </x:c>
      <x:c r="E7143" s="6" t="str"/>
      <x:c r="F7143" s="6" t="str">
        <x:v>下平聲七陽</x:v>
      </x:c>
      <x:c r="G7143" s="6" t="str">
        <x:v>Pingshui main list, Wikisource-derived DOCX</x:v>
      </x:c>
      <x:c r="H7143" s="6" t="str"/>
      <x:c r="I7143" s="6" t="str">
        <x:v>Pingshui main-list expansion; 詞 entries ignored</x:v>
      </x:c>
      <x:c r="J7143" s="6" t="str">
        <x:f>IF(B7143="","",IF(AND(ISNUMBER(SEARCH("平",B7143)),OR(ISNUMBER(SEARCH("上",B7143)),ISNUMBER(SEARCH("去",B7143)),ISNUMBER(SEARCH("入",B7143)))),"Ambiguous",IF(ISNUMBER(SEARCH("平",B7143)),"平","仄")))</x:f>
        <x:v>平</x:v>
      </x:c>
      <x:c r="K7143" s="6" t="str">
        <x:f>IF(D7143="","",IF(AND(ISNUMBER(SEARCH("平",D7143)),OR(ISNUMBER(SEARCH("上",D7143)),ISNUMBER(SEARCH("去",D7143)),ISNUMBER(SEARCH("入",D7143)))),"Ambiguous",IF(ISNUMBER(SEARCH("平",D7143)),"平","仄")))</x:f>
        <x:v>平</x:v>
      </x:c>
      <x:c r="L7143" s="7" t="str">
        <x:v>Pingshui main list expansion</x:v>
      </x:c>
    </x:row>
    <x:row r="7144">
      <x:c r="A7144" s="5" t="str">
        <x:v>洵</x:v>
      </x:c>
      <x:c r="B7144" s="6" t="str">
        <x:v>平</x:v>
      </x:c>
      <x:c r="C7144" s="6" t="str">
        <x:f>IF(B7144="","Needs decision","Ready")</x:f>
        <x:v>Ready</x:v>
      </x:c>
      <x:c r="D7144" s="6" t="str">
        <x:v>平</x:v>
      </x:c>
      <x:c r="E7144" s="6" t="str"/>
      <x:c r="F7144" s="6" t="str">
        <x:v>上平聲十一真</x:v>
      </x:c>
      <x:c r="G7144" s="6" t="str">
        <x:v>Pingshui main list, Wikisource-derived DOCX</x:v>
      </x:c>
      <x:c r="H7144" s="6" t="str"/>
      <x:c r="I7144" s="6" t="str">
        <x:v>Pingshui main-list expansion; 詞 entries ignored</x:v>
      </x:c>
      <x:c r="J7144" s="6" t="str">
        <x:f>IF(B7144="","",IF(AND(ISNUMBER(SEARCH("平",B7144)),OR(ISNUMBER(SEARCH("上",B7144)),ISNUMBER(SEARCH("去",B7144)),ISNUMBER(SEARCH("入",B7144)))),"Ambiguous",IF(ISNUMBER(SEARCH("平",B7144)),"平","仄")))</x:f>
        <x:v>平</x:v>
      </x:c>
      <x:c r="K7144" s="6" t="str">
        <x:f>IF(D7144="","",IF(AND(ISNUMBER(SEARCH("平",D7144)),OR(ISNUMBER(SEARCH("上",D7144)),ISNUMBER(SEARCH("去",D7144)),ISNUMBER(SEARCH("入",D7144)))),"Ambiguous",IF(ISNUMBER(SEARCH("平",D7144)),"平","仄")))</x:f>
        <x:v>平</x:v>
      </x:c>
      <x:c r="L7144" s="7" t="str">
        <x:v>Pingshui main list expansion</x:v>
      </x:c>
    </x:row>
    <x:row r="7145">
      <x:c r="A7145" s="5" t="str">
        <x:v>洸</x:v>
      </x:c>
      <x:c r="B7145" s="6" t="str">
        <x:v>平</x:v>
      </x:c>
      <x:c r="C7145" s="6" t="str">
        <x:f>IF(B7145="","Needs decision","Ready")</x:f>
        <x:v>Ready</x:v>
      </x:c>
      <x:c r="D7145" s="6" t="str">
        <x:v>平</x:v>
      </x:c>
      <x:c r="E7145" s="6" t="str"/>
      <x:c r="F7145" s="6" t="str">
        <x:v>下平聲七陽</x:v>
      </x:c>
      <x:c r="G7145" s="6" t="str">
        <x:v>Pingshui main list, Wikisource-derived DOCX</x:v>
      </x:c>
      <x:c r="H7145" s="6" t="str"/>
      <x:c r="I7145" s="6" t="str">
        <x:v>Pingshui main-list expansion; 詞 entries ignored</x:v>
      </x:c>
      <x:c r="J7145" s="6" t="str">
        <x:f>IF(B7145="","",IF(AND(ISNUMBER(SEARCH("平",B7145)),OR(ISNUMBER(SEARCH("上",B7145)),ISNUMBER(SEARCH("去",B7145)),ISNUMBER(SEARCH("入",B7145)))),"Ambiguous",IF(ISNUMBER(SEARCH("平",B7145)),"平","仄")))</x:f>
        <x:v>平</x:v>
      </x:c>
      <x:c r="K7145" s="6" t="str">
        <x:f>IF(D7145="","",IF(AND(ISNUMBER(SEARCH("平",D7145)),OR(ISNUMBER(SEARCH("上",D7145)),ISNUMBER(SEARCH("去",D7145)),ISNUMBER(SEARCH("入",D7145)))),"Ambiguous",IF(ISNUMBER(SEARCH("平",D7145)),"平","仄")))</x:f>
        <x:v>平</x:v>
      </x:c>
      <x:c r="L7145" s="7" t="str">
        <x:v>Pingshui main list expansion</x:v>
      </x:c>
    </x:row>
    <x:row r="7146">
      <x:c r="A7146" s="5" t="str">
        <x:v>洺</x:v>
      </x:c>
      <x:c r="B7146" s="6" t="str">
        <x:v>平</x:v>
      </x:c>
      <x:c r="C7146" s="6" t="str">
        <x:f>IF(B7146="","Needs decision","Ready")</x:f>
        <x:v>Ready</x:v>
      </x:c>
      <x:c r="D7146" s="6" t="str">
        <x:v>平</x:v>
      </x:c>
      <x:c r="E7146" s="6" t="str"/>
      <x:c r="F7146" s="6" t="str">
        <x:v>下平聲八庚</x:v>
      </x:c>
      <x:c r="G7146" s="6" t="str">
        <x:v>Pingshui main list, Wikisource-derived DOCX</x:v>
      </x:c>
      <x:c r="H7146" s="6" t="str"/>
      <x:c r="I7146" s="6" t="str">
        <x:v>Pingshui main-list expansion; 詞 entries ignored</x:v>
      </x:c>
      <x:c r="J7146" s="6" t="str">
        <x:f>IF(B7146="","",IF(AND(ISNUMBER(SEARCH("平",B7146)),OR(ISNUMBER(SEARCH("上",B7146)),ISNUMBER(SEARCH("去",B7146)),ISNUMBER(SEARCH("入",B7146)))),"Ambiguous",IF(ISNUMBER(SEARCH("平",B7146)),"平","仄")))</x:f>
        <x:v>平</x:v>
      </x:c>
      <x:c r="K7146" s="6" t="str">
        <x:f>IF(D7146="","",IF(AND(ISNUMBER(SEARCH("平",D7146)),OR(ISNUMBER(SEARCH("上",D7146)),ISNUMBER(SEARCH("去",D7146)),ISNUMBER(SEARCH("入",D7146)))),"Ambiguous",IF(ISNUMBER(SEARCH("平",D7146)),"平","仄")))</x:f>
        <x:v>平</x:v>
      </x:c>
      <x:c r="L7146" s="7" t="str">
        <x:v>Pingshui main list expansion</x:v>
      </x:c>
    </x:row>
    <x:row r="7147">
      <x:c r="A7147" s="5" t="str">
        <x:v>浡</x:v>
      </x:c>
      <x:c r="B7147" s="6" t="str">
        <x:v>入</x:v>
      </x:c>
      <x:c r="C7147" s="6" t="str">
        <x:f>IF(B7147="","Needs decision","Ready")</x:f>
        <x:v>Ready</x:v>
      </x:c>
      <x:c r="D7147" s="6" t="str">
        <x:v>入</x:v>
      </x:c>
      <x:c r="E7147" s="6" t="str"/>
      <x:c r="F7147" s="6" t="str">
        <x:v>入聲六月</x:v>
      </x:c>
      <x:c r="G7147" s="6" t="str">
        <x:v>Pingshui main list, Wikisource-derived DOCX</x:v>
      </x:c>
      <x:c r="H7147" s="6" t="str"/>
      <x:c r="I7147" s="6" t="str">
        <x:v>Pingshui main-list expansion; 詞 entries ignored</x:v>
      </x:c>
      <x:c r="J7147" s="6" t="str">
        <x:f>IF(B7147="","",IF(AND(ISNUMBER(SEARCH("平",B7147)),OR(ISNUMBER(SEARCH("上",B7147)),ISNUMBER(SEARCH("去",B7147)),ISNUMBER(SEARCH("入",B7147)))),"Ambiguous",IF(ISNUMBER(SEARCH("平",B7147)),"平","仄")))</x:f>
        <x:v>仄</x:v>
      </x:c>
      <x:c r="K7147" s="6" t="str">
        <x:f>IF(D7147="","",IF(AND(ISNUMBER(SEARCH("平",D7147)),OR(ISNUMBER(SEARCH("上",D7147)),ISNUMBER(SEARCH("去",D7147)),ISNUMBER(SEARCH("入",D7147)))),"Ambiguous",IF(ISNUMBER(SEARCH("平",D7147)),"平","仄")))</x:f>
        <x:v>仄</x:v>
      </x:c>
      <x:c r="L7147" s="7" t="str">
        <x:v>Pingshui main list expansion</x:v>
      </x:c>
    </x:row>
    <x:row r="7148">
      <x:c r="A7148" s="5" t="str">
        <x:v>浤</x:v>
      </x:c>
      <x:c r="B7148" s="6" t="str">
        <x:v>平</x:v>
      </x:c>
      <x:c r="C7148" s="6" t="str">
        <x:f>IF(B7148="","Needs decision","Ready")</x:f>
        <x:v>Ready</x:v>
      </x:c>
      <x:c r="D7148" s="6" t="str">
        <x:v>平</x:v>
      </x:c>
      <x:c r="E7148" s="6" t="str"/>
      <x:c r="F7148" s="6" t="str">
        <x:v>下平聲八庚</x:v>
      </x:c>
      <x:c r="G7148" s="6" t="str">
        <x:v>Pingshui main list, Wikisource-derived DOCX</x:v>
      </x:c>
      <x:c r="H7148" s="6" t="str"/>
      <x:c r="I7148" s="6" t="str">
        <x:v>Pingshui main-list expansion; 詞 entries ignored</x:v>
      </x:c>
      <x:c r="J7148" s="6" t="str">
        <x:f>IF(B7148="","",IF(AND(ISNUMBER(SEARCH("平",B7148)),OR(ISNUMBER(SEARCH("上",B7148)),ISNUMBER(SEARCH("去",B7148)),ISNUMBER(SEARCH("入",B7148)))),"Ambiguous",IF(ISNUMBER(SEARCH("平",B7148)),"平","仄")))</x:f>
        <x:v>平</x:v>
      </x:c>
      <x:c r="K7148" s="6" t="str">
        <x:f>IF(D7148="","",IF(AND(ISNUMBER(SEARCH("平",D7148)),OR(ISNUMBER(SEARCH("上",D7148)),ISNUMBER(SEARCH("去",D7148)),ISNUMBER(SEARCH("入",D7148)))),"Ambiguous",IF(ISNUMBER(SEARCH("平",D7148)),"平","仄")))</x:f>
        <x:v>平</x:v>
      </x:c>
      <x:c r="L7148" s="7" t="str">
        <x:v>Pingshui main list expansion</x:v>
      </x:c>
    </x:row>
    <x:row r="7149">
      <x:c r="A7149" s="5" t="str">
        <x:v>浾</x:v>
      </x:c>
      <x:c r="B7149" s="6" t="str">
        <x:v>平</x:v>
      </x:c>
      <x:c r="C7149" s="6" t="str">
        <x:f>IF(B7149="","Needs decision","Ready")</x:f>
        <x:v>Ready</x:v>
      </x:c>
      <x:c r="D7149" s="6" t="str">
        <x:v>平</x:v>
      </x:c>
      <x:c r="E7149" s="6" t="str"/>
      <x:c r="F7149" s="6" t="str">
        <x:v>下平聲六麻</x:v>
      </x:c>
      <x:c r="G7149" s="6" t="str">
        <x:v>Pingshui main list, Wikisource-derived DOCX</x:v>
      </x:c>
      <x:c r="H7149" s="6" t="str"/>
      <x:c r="I7149" s="6" t="str">
        <x:v>Pingshui main-list expansion; 詞 entries ignored</x:v>
      </x:c>
      <x:c r="J7149" s="6" t="str">
        <x:f>IF(B7149="","",IF(AND(ISNUMBER(SEARCH("平",B7149)),OR(ISNUMBER(SEARCH("上",B7149)),ISNUMBER(SEARCH("去",B7149)),ISNUMBER(SEARCH("入",B7149)))),"Ambiguous",IF(ISNUMBER(SEARCH("平",B7149)),"平","仄")))</x:f>
        <x:v>平</x:v>
      </x:c>
      <x:c r="K7149" s="6" t="str">
        <x:f>IF(D7149="","",IF(AND(ISNUMBER(SEARCH("平",D7149)),OR(ISNUMBER(SEARCH("上",D7149)),ISNUMBER(SEARCH("去",D7149)),ISNUMBER(SEARCH("入",D7149)))),"Ambiguous",IF(ISNUMBER(SEARCH("平",D7149)),"平","仄")))</x:f>
        <x:v>平</x:v>
      </x:c>
      <x:c r="L7149" s="7" t="str">
        <x:v>Pingshui main list expansion</x:v>
      </x:c>
    </x:row>
    <x:row r="7150">
      <x:c r="A7150" s="5" t="str">
        <x:v>涀</x:v>
      </x:c>
      <x:c r="B7150" s="6" t="str">
        <x:v>去</x:v>
      </x:c>
      <x:c r="C7150" s="6" t="str">
        <x:f>IF(B7150="","Needs decision","Ready")</x:f>
        <x:v>Ready</x:v>
      </x:c>
      <x:c r="D7150" s="6" t="str">
        <x:v>去</x:v>
      </x:c>
      <x:c r="E7150" s="6" t="str"/>
      <x:c r="F7150" s="6" t="str">
        <x:v>去聲十七霰</x:v>
      </x:c>
      <x:c r="G7150" s="6" t="str">
        <x:v>Pingshui main list, Wikisource-derived DOCX</x:v>
      </x:c>
      <x:c r="H7150" s="6" t="str"/>
      <x:c r="I7150" s="6" t="str">
        <x:v>Pingshui main-list expansion; 詞 entries ignored</x:v>
      </x:c>
      <x:c r="J7150" s="6" t="str">
        <x:f>IF(B7150="","",IF(AND(ISNUMBER(SEARCH("平",B7150)),OR(ISNUMBER(SEARCH("上",B7150)),ISNUMBER(SEARCH("去",B7150)),ISNUMBER(SEARCH("入",B7150)))),"Ambiguous",IF(ISNUMBER(SEARCH("平",B7150)),"平","仄")))</x:f>
        <x:v>仄</x:v>
      </x:c>
      <x:c r="K7150" s="6" t="str">
        <x:f>IF(D7150="","",IF(AND(ISNUMBER(SEARCH("平",D7150)),OR(ISNUMBER(SEARCH("上",D7150)),ISNUMBER(SEARCH("去",D7150)),ISNUMBER(SEARCH("入",D7150)))),"Ambiguous",IF(ISNUMBER(SEARCH("平",D7150)),"平","仄")))</x:f>
        <x:v>仄</x:v>
      </x:c>
      <x:c r="L7150" s="7" t="str">
        <x:v>Pingshui main list expansion</x:v>
      </x:c>
    </x:row>
    <x:row r="7151">
      <x:c r="A7151" s="5" t="str">
        <x:v>涊</x:v>
      </x:c>
      <x:c r="B7151" s="6" t="str">
        <x:v>上</x:v>
      </x:c>
      <x:c r="C7151" s="6" t="str">
        <x:f>IF(B7151="","Needs decision","Ready")</x:f>
        <x:v>Ready</x:v>
      </x:c>
      <x:c r="D7151" s="6" t="str">
        <x:v>上</x:v>
      </x:c>
      <x:c r="E7151" s="6" t="str"/>
      <x:c r="F7151" s="6" t="str">
        <x:v>上聲十六銑</x:v>
      </x:c>
      <x:c r="G7151" s="6" t="str">
        <x:v>Pingshui main list, Wikisource-derived DOCX</x:v>
      </x:c>
      <x:c r="H7151" s="6" t="str"/>
      <x:c r="I7151" s="6" t="str">
        <x:v>Pingshui main-list expansion; 詞 entries ignored</x:v>
      </x:c>
      <x:c r="J7151" s="6" t="str">
        <x:f>IF(B7151="","",IF(AND(ISNUMBER(SEARCH("平",B7151)),OR(ISNUMBER(SEARCH("上",B7151)),ISNUMBER(SEARCH("去",B7151)),ISNUMBER(SEARCH("入",B7151)))),"Ambiguous",IF(ISNUMBER(SEARCH("平",B7151)),"平","仄")))</x:f>
        <x:v>仄</x:v>
      </x:c>
      <x:c r="K7151" s="6" t="str">
        <x:f>IF(D7151="","",IF(AND(ISNUMBER(SEARCH("平",D7151)),OR(ISNUMBER(SEARCH("上",D7151)),ISNUMBER(SEARCH("去",D7151)),ISNUMBER(SEARCH("入",D7151)))),"Ambiguous",IF(ISNUMBER(SEARCH("平",D7151)),"平","仄")))</x:f>
        <x:v>仄</x:v>
      </x:c>
      <x:c r="L7151" s="7" t="str">
        <x:v>Pingshui main list expansion</x:v>
      </x:c>
    </x:row>
    <x:row r="7152">
      <x:c r="A7152" s="5" t="str">
        <x:v>涌</x:v>
      </x:c>
      <x:c r="B7152" s="6" t="str">
        <x:v>上</x:v>
      </x:c>
      <x:c r="C7152" s="6" t="str">
        <x:f>IF(B7152="","Needs decision","Ready")</x:f>
        <x:v>Ready</x:v>
      </x:c>
      <x:c r="D7152" s="6" t="str">
        <x:v>上</x:v>
      </x:c>
      <x:c r="E7152" s="6" t="str"/>
      <x:c r="F7152" s="6" t="str">
        <x:v>上聲二腫</x:v>
      </x:c>
      <x:c r="G7152" s="6" t="str">
        <x:v>Pingshui main list, Wikisource-derived DOCX</x:v>
      </x:c>
      <x:c r="H7152" s="6" t="str"/>
      <x:c r="I7152" s="6" t="str">
        <x:v>Pingshui main-list expansion; 詞 entries ignored</x:v>
      </x:c>
      <x:c r="J7152" s="6" t="str">
        <x:f>IF(B7152="","",IF(AND(ISNUMBER(SEARCH("平",B7152)),OR(ISNUMBER(SEARCH("上",B7152)),ISNUMBER(SEARCH("去",B7152)),ISNUMBER(SEARCH("入",B7152)))),"Ambiguous",IF(ISNUMBER(SEARCH("平",B7152)),"平","仄")))</x:f>
        <x:v>仄</x:v>
      </x:c>
      <x:c r="K7152" s="6" t="str">
        <x:f>IF(D7152="","",IF(AND(ISNUMBER(SEARCH("平",D7152)),OR(ISNUMBER(SEARCH("上",D7152)),ISNUMBER(SEARCH("去",D7152)),ISNUMBER(SEARCH("入",D7152)))),"Ambiguous",IF(ISNUMBER(SEARCH("平",D7152)),"平","仄")))</x:f>
        <x:v>仄</x:v>
      </x:c>
      <x:c r="L7152" s="7" t="str">
        <x:v>Pingshui main list expansion</x:v>
      </x:c>
    </x:row>
    <x:row r="7153">
      <x:c r="A7153" s="5" t="str">
        <x:v>涍</x:v>
      </x:c>
      <x:c r="B7153" s="6" t="str">
        <x:v>平</x:v>
      </x:c>
      <x:c r="C7153" s="6" t="str">
        <x:f>IF(B7153="","Needs decision","Ready")</x:f>
        <x:v>Ready</x:v>
      </x:c>
      <x:c r="D7153" s="6" t="str">
        <x:v>平</x:v>
      </x:c>
      <x:c r="E7153" s="6" t="str"/>
      <x:c r="F7153" s="6" t="str">
        <x:v>下平聲三肴</x:v>
      </x:c>
      <x:c r="G7153" s="6" t="str">
        <x:v>Pingshui main list, Wikisource-derived DOCX</x:v>
      </x:c>
      <x:c r="H7153" s="6" t="str"/>
      <x:c r="I7153" s="6" t="str">
        <x:v>Pingshui main-list expansion; 詞 entries ignored</x:v>
      </x:c>
      <x:c r="J7153" s="6" t="str">
        <x:f>IF(B7153="","",IF(AND(ISNUMBER(SEARCH("平",B7153)),OR(ISNUMBER(SEARCH("上",B7153)),ISNUMBER(SEARCH("去",B7153)),ISNUMBER(SEARCH("入",B7153)))),"Ambiguous",IF(ISNUMBER(SEARCH("平",B7153)),"平","仄")))</x:f>
        <x:v>平</x:v>
      </x:c>
      <x:c r="K7153" s="6" t="str">
        <x:f>IF(D7153="","",IF(AND(ISNUMBER(SEARCH("平",D7153)),OR(ISNUMBER(SEARCH("上",D7153)),ISNUMBER(SEARCH("去",D7153)),ISNUMBER(SEARCH("入",D7153)))),"Ambiguous",IF(ISNUMBER(SEARCH("平",D7153)),"平","仄")))</x:f>
        <x:v>平</x:v>
      </x:c>
      <x:c r="L7153" s="7" t="str">
        <x:v>Pingshui main list expansion</x:v>
      </x:c>
    </x:row>
    <x:row r="7154">
      <x:c r="A7154" s="5" t="str">
        <x:v>涑</x:v>
      </x:c>
      <x:c r="B7154" s="6" t="str"/>
      <x:c r="C7154" s="6" t="str">
        <x:f>IF(B7154="","Needs decision","Ready")</x:f>
        <x:v>Needs decision</x:v>
      </x:c>
      <x:c r="D7154" s="6" t="str">
        <x:v>平/入</x:v>
      </x:c>
      <x:c r="E7154" s="6" t="str"/>
      <x:c r="F7154" s="6" t="str">
        <x:v>下平聲十一尤; 入聲一屋</x:v>
      </x:c>
      <x:c r="G7154" s="6" t="str">
        <x:v>Pingshui main list, Wikisource-derived DOCX</x:v>
      </x:c>
      <x:c r="H7154" s="6" t="str"/>
      <x:c r="I7154" s="6" t="str">
        <x:v>Pingshui main-list expansion; 詞 entries ignored</x:v>
      </x:c>
      <x:c r="J7154" s="6" t="str">
        <x:f>IF(B7154="","",IF(AND(ISNUMBER(SEARCH("平",B7154)),OR(ISNUMBER(SEARCH("上",B7154)),ISNUMBER(SEARCH("去",B7154)),ISNUMBER(SEARCH("入",B7154)))),"Ambiguous",IF(ISNUMBER(SEARCH("平",B7154)),"平","仄")))</x:f>
      </x:c>
      <x:c r="K7154" s="6" t="str">
        <x:f>IF(D7154="","",IF(AND(ISNUMBER(SEARCH("平",D7154)),OR(ISNUMBER(SEARCH("上",D7154)),ISNUMBER(SEARCH("去",D7154)),ISNUMBER(SEARCH("入",D7154)))),"Ambiguous",IF(ISNUMBER(SEARCH("平",D7154)),"平","仄")))</x:f>
        <x:v>Ambiguous</x:v>
      </x:c>
      <x:c r="L7154" s="7" t="str">
        <x:v>Pingshui main list expansion</x:v>
      </x:c>
    </x:row>
    <x:row r="7155">
      <x:c r="A7155" s="5" t="str">
        <x:v>涫</x:v>
      </x:c>
      <x:c r="B7155" s="6" t="str">
        <x:v>平</x:v>
      </x:c>
      <x:c r="C7155" s="6" t="str">
        <x:f>IF(B7155="","Needs decision","Ready")</x:f>
        <x:v>Ready</x:v>
      </x:c>
      <x:c r="D7155" s="6" t="str">
        <x:v>平</x:v>
      </x:c>
      <x:c r="E7155" s="6" t="str"/>
      <x:c r="F7155" s="6" t="str">
        <x:v>上平聲十四寒</x:v>
      </x:c>
      <x:c r="G7155" s="6" t="str">
        <x:v>Pingshui main list, Wikisource-derived DOCX</x:v>
      </x:c>
      <x:c r="H7155" s="6" t="str"/>
      <x:c r="I7155" s="6" t="str">
        <x:v>Pingshui main-list expansion; 詞 entries ignored</x:v>
      </x:c>
      <x:c r="J7155" s="6" t="str">
        <x:f>IF(B7155="","",IF(AND(ISNUMBER(SEARCH("平",B7155)),OR(ISNUMBER(SEARCH("上",B7155)),ISNUMBER(SEARCH("去",B7155)),ISNUMBER(SEARCH("入",B7155)))),"Ambiguous",IF(ISNUMBER(SEARCH("平",B7155)),"平","仄")))</x:f>
        <x:v>平</x:v>
      </x:c>
      <x:c r="K7155" s="6" t="str">
        <x:f>IF(D7155="","",IF(AND(ISNUMBER(SEARCH("平",D7155)),OR(ISNUMBER(SEARCH("上",D7155)),ISNUMBER(SEARCH("去",D7155)),ISNUMBER(SEARCH("入",D7155)))),"Ambiguous",IF(ISNUMBER(SEARCH("平",D7155)),"平","仄")))</x:f>
        <x:v>平</x:v>
      </x:c>
      <x:c r="L7155" s="7" t="str">
        <x:v>Pingshui main list expansion</x:v>
      </x:c>
    </x:row>
    <x:row r="7156">
      <x:c r="A7156" s="5" t="str">
        <x:v>涬</x:v>
      </x:c>
      <x:c r="B7156" s="6" t="str">
        <x:v>上</x:v>
      </x:c>
      <x:c r="C7156" s="6" t="str">
        <x:f>IF(B7156="","Needs decision","Ready")</x:f>
        <x:v>Ready</x:v>
      </x:c>
      <x:c r="D7156" s="6" t="str">
        <x:v>上</x:v>
      </x:c>
      <x:c r="E7156" s="6" t="str"/>
      <x:c r="F7156" s="6" t="str">
        <x:v>上聲二十四迥</x:v>
      </x:c>
      <x:c r="G7156" s="6" t="str">
        <x:v>Pingshui main list, Wikisource-derived DOCX</x:v>
      </x:c>
      <x:c r="H7156" s="6" t="str"/>
      <x:c r="I7156" s="6" t="str">
        <x:v>Pingshui main-list expansion; 詞 entries ignored</x:v>
      </x:c>
      <x:c r="J7156" s="6" t="str">
        <x:f>IF(B7156="","",IF(AND(ISNUMBER(SEARCH("平",B7156)),OR(ISNUMBER(SEARCH("上",B7156)),ISNUMBER(SEARCH("去",B7156)),ISNUMBER(SEARCH("入",B7156)))),"Ambiguous",IF(ISNUMBER(SEARCH("平",B7156)),"平","仄")))</x:f>
        <x:v>仄</x:v>
      </x:c>
      <x:c r="K7156" s="6" t="str">
        <x:f>IF(D7156="","",IF(AND(ISNUMBER(SEARCH("平",D7156)),OR(ISNUMBER(SEARCH("上",D7156)),ISNUMBER(SEARCH("去",D7156)),ISNUMBER(SEARCH("入",D7156)))),"Ambiguous",IF(ISNUMBER(SEARCH("平",D7156)),"平","仄")))</x:f>
        <x:v>仄</x:v>
      </x:c>
      <x:c r="L7156" s="7" t="str">
        <x:v>Pingshui main list expansion</x:v>
      </x:c>
    </x:row>
    <x:row r="7157">
      <x:c r="A7157" s="5" t="str">
        <x:v>涴</x:v>
      </x:c>
      <x:c r="B7157" s="6" t="str">
        <x:v>去</x:v>
      </x:c>
      <x:c r="C7157" s="6" t="str">
        <x:f>IF(B7157="","Needs decision","Ready")</x:f>
        <x:v>Ready</x:v>
      </x:c>
      <x:c r="D7157" s="6" t="str">
        <x:v>去</x:v>
      </x:c>
      <x:c r="E7157" s="6" t="str"/>
      <x:c r="F7157" s="6" t="str">
        <x:v>去聲二十一箇</x:v>
      </x:c>
      <x:c r="G7157" s="6" t="str">
        <x:v>Pingshui main list, Wikisource-derived DOCX</x:v>
      </x:c>
      <x:c r="H7157" s="6" t="str"/>
      <x:c r="I7157" s="6" t="str">
        <x:v>Pingshui main-list expansion; 詞 entries ignored</x:v>
      </x:c>
      <x:c r="J7157" s="6" t="str">
        <x:f>IF(B7157="","",IF(AND(ISNUMBER(SEARCH("平",B7157)),OR(ISNUMBER(SEARCH("上",B7157)),ISNUMBER(SEARCH("去",B7157)),ISNUMBER(SEARCH("入",B7157)))),"Ambiguous",IF(ISNUMBER(SEARCH("平",B7157)),"平","仄")))</x:f>
        <x:v>仄</x:v>
      </x:c>
      <x:c r="K7157" s="6" t="str">
        <x:f>IF(D7157="","",IF(AND(ISNUMBER(SEARCH("平",D7157)),OR(ISNUMBER(SEARCH("上",D7157)),ISNUMBER(SEARCH("去",D7157)),ISNUMBER(SEARCH("入",D7157)))),"Ambiguous",IF(ISNUMBER(SEARCH("平",D7157)),"平","仄")))</x:f>
        <x:v>仄</x:v>
      </x:c>
      <x:c r="L7157" s="7" t="str">
        <x:v>Pingshui main list expansion</x:v>
      </x:c>
    </x:row>
    <x:row r="7158">
      <x:c r="A7158" s="5" t="str">
        <x:v>涷</x:v>
      </x:c>
      <x:c r="B7158" s="6" t="str"/>
      <x:c r="C7158" s="6" t="str">
        <x:f>IF(B7158="","Needs decision","Ready")</x:f>
        <x:v>Needs decision</x:v>
      </x:c>
      <x:c r="D7158" s="6" t="str">
        <x:v>平/去</x:v>
      </x:c>
      <x:c r="E7158" s="6" t="str"/>
      <x:c r="F7158" s="6" t="str">
        <x:v>上平聲一東; 去聲一送</x:v>
      </x:c>
      <x:c r="G7158" s="6" t="str">
        <x:v>Pingshui main list, Wikisource-derived DOCX</x:v>
      </x:c>
      <x:c r="H7158" s="6" t="str"/>
      <x:c r="I7158" s="6" t="str">
        <x:v>Pingshui main-list expansion; 詞 entries ignored</x:v>
      </x:c>
      <x:c r="J7158" s="6" t="str">
        <x:f>IF(B7158="","",IF(AND(ISNUMBER(SEARCH("平",B7158)),OR(ISNUMBER(SEARCH("上",B7158)),ISNUMBER(SEARCH("去",B7158)),ISNUMBER(SEARCH("入",B7158)))),"Ambiguous",IF(ISNUMBER(SEARCH("平",B7158)),"平","仄")))</x:f>
      </x:c>
      <x:c r="K7158" s="6" t="str">
        <x:f>IF(D7158="","",IF(AND(ISNUMBER(SEARCH("平",D7158)),OR(ISNUMBER(SEARCH("上",D7158)),ISNUMBER(SEARCH("去",D7158)),ISNUMBER(SEARCH("入",D7158)))),"Ambiguous",IF(ISNUMBER(SEARCH("平",D7158)),"平","仄")))</x:f>
        <x:v>Ambiguous</x:v>
      </x:c>
      <x:c r="L7158" s="7" t="str">
        <x:v>Pingshui main list expansion</x:v>
      </x:c>
    </x:row>
    <x:row r="7159">
      <x:c r="A7159" s="5" t="str">
        <x:v>涾</x:v>
      </x:c>
      <x:c r="B7159" s="6" t="str">
        <x:v>入</x:v>
      </x:c>
      <x:c r="C7159" s="6" t="str">
        <x:f>IF(B7159="","Needs decision","Ready")</x:f>
        <x:v>Ready</x:v>
      </x:c>
      <x:c r="D7159" s="6" t="str">
        <x:v>入</x:v>
      </x:c>
      <x:c r="E7159" s="6" t="str"/>
      <x:c r="F7159" s="6" t="str">
        <x:v>入聲十五合</x:v>
      </x:c>
      <x:c r="G7159" s="6" t="str">
        <x:v>Pingshui main list, Wikisource-derived DOCX</x:v>
      </x:c>
      <x:c r="H7159" s="6" t="str"/>
      <x:c r="I7159" s="6" t="str">
        <x:v>Pingshui main-list expansion; 詞 entries ignored</x:v>
      </x:c>
      <x:c r="J7159" s="6" t="str">
        <x:f>IF(B7159="","",IF(AND(ISNUMBER(SEARCH("平",B7159)),OR(ISNUMBER(SEARCH("上",B7159)),ISNUMBER(SEARCH("去",B7159)),ISNUMBER(SEARCH("入",B7159)))),"Ambiguous",IF(ISNUMBER(SEARCH("平",B7159)),"平","仄")))</x:f>
        <x:v>仄</x:v>
      </x:c>
      <x:c r="K7159" s="6" t="str">
        <x:f>IF(D7159="","",IF(AND(ISNUMBER(SEARCH("平",D7159)),OR(ISNUMBER(SEARCH("上",D7159)),ISNUMBER(SEARCH("去",D7159)),ISNUMBER(SEARCH("入",D7159)))),"Ambiguous",IF(ISNUMBER(SEARCH("平",D7159)),"平","仄")))</x:f>
        <x:v>仄</x:v>
      </x:c>
      <x:c r="L7159" s="7" t="str">
        <x:v>Pingshui main list expansion</x:v>
      </x:c>
    </x:row>
    <x:row r="7160">
      <x:c r="A7160" s="5" t="str">
        <x:v>淀</x:v>
      </x:c>
      <x:c r="B7160" s="6" t="str">
        <x:v>去</x:v>
      </x:c>
      <x:c r="C7160" s="6" t="str">
        <x:f>IF(B7160="","Needs decision","Ready")</x:f>
        <x:v>Ready</x:v>
      </x:c>
      <x:c r="D7160" s="6" t="str">
        <x:v>去</x:v>
      </x:c>
      <x:c r="E7160" s="6" t="str"/>
      <x:c r="F7160" s="6" t="str">
        <x:v>去聲十七霰</x:v>
      </x:c>
      <x:c r="G7160" s="6" t="str">
        <x:v>Pingshui main list, Wikisource-derived DOCX</x:v>
      </x:c>
      <x:c r="H7160" s="6" t="str"/>
      <x:c r="I7160" s="6" t="str">
        <x:v>Pingshui main-list expansion; 詞 entries ignored</x:v>
      </x:c>
      <x:c r="J7160" s="6" t="str">
        <x:f>IF(B7160="","",IF(AND(ISNUMBER(SEARCH("平",B7160)),OR(ISNUMBER(SEARCH("上",B7160)),ISNUMBER(SEARCH("去",B7160)),ISNUMBER(SEARCH("入",B7160)))),"Ambiguous",IF(ISNUMBER(SEARCH("平",B7160)),"平","仄")))</x:f>
        <x:v>仄</x:v>
      </x:c>
      <x:c r="K7160" s="6" t="str">
        <x:f>IF(D7160="","",IF(AND(ISNUMBER(SEARCH("平",D7160)),OR(ISNUMBER(SEARCH("上",D7160)),ISNUMBER(SEARCH("去",D7160)),ISNUMBER(SEARCH("入",D7160)))),"Ambiguous",IF(ISNUMBER(SEARCH("平",D7160)),"平","仄")))</x:f>
        <x:v>仄</x:v>
      </x:c>
      <x:c r="L7160" s="7" t="str">
        <x:v>Pingshui main list expansion</x:v>
      </x:c>
    </x:row>
    <x:row r="7161">
      <x:c r="A7161" s="5" t="str">
        <x:v>淈</x:v>
      </x:c>
      <x:c r="B7161" s="6" t="str">
        <x:v>入</x:v>
      </x:c>
      <x:c r="C7161" s="6" t="str">
        <x:f>IF(B7161="","Needs decision","Ready")</x:f>
        <x:v>Ready</x:v>
      </x:c>
      <x:c r="D7161" s="6" t="str">
        <x:v>入</x:v>
      </x:c>
      <x:c r="E7161" s="6" t="str"/>
      <x:c r="F7161" s="6" t="str">
        <x:v>入聲六月</x:v>
      </x:c>
      <x:c r="G7161" s="6" t="str">
        <x:v>Pingshui main list, Wikisource-derived DOCX</x:v>
      </x:c>
      <x:c r="H7161" s="6" t="str"/>
      <x:c r="I7161" s="6" t="str">
        <x:v>Pingshui main-list expansion; 詞 entries ignored</x:v>
      </x:c>
      <x:c r="J7161" s="6" t="str">
        <x:f>IF(B7161="","",IF(AND(ISNUMBER(SEARCH("平",B7161)),OR(ISNUMBER(SEARCH("上",B7161)),ISNUMBER(SEARCH("去",B7161)),ISNUMBER(SEARCH("入",B7161)))),"Ambiguous",IF(ISNUMBER(SEARCH("平",B7161)),"平","仄")))</x:f>
        <x:v>仄</x:v>
      </x:c>
      <x:c r="K7161" s="6" t="str">
        <x:f>IF(D7161="","",IF(AND(ISNUMBER(SEARCH("平",D7161)),OR(ISNUMBER(SEARCH("上",D7161)),ISNUMBER(SEARCH("去",D7161)),ISNUMBER(SEARCH("入",D7161)))),"Ambiguous",IF(ISNUMBER(SEARCH("平",D7161)),"平","仄")))</x:f>
        <x:v>仄</x:v>
      </x:c>
      <x:c r="L7161" s="7" t="str">
        <x:v>Pingshui main list expansion</x:v>
      </x:c>
    </x:row>
    <x:row r="7162">
      <x:c r="A7162" s="5" t="str">
        <x:v>淘</x:v>
      </x:c>
      <x:c r="B7162" s="6" t="str">
        <x:v>平</x:v>
      </x:c>
      <x:c r="C7162" s="6" t="str">
        <x:f>IF(B7162="","Needs decision","Ready")</x:f>
        <x:v>Ready</x:v>
      </x:c>
      <x:c r="D7162" s="6" t="str">
        <x:v>平</x:v>
      </x:c>
      <x:c r="E7162" s="6" t="str"/>
      <x:c r="F7162" s="6" t="str">
        <x:v>下平聲四豪</x:v>
      </x:c>
      <x:c r="G7162" s="6" t="str">
        <x:v>Pingshui main list, Wikisource-derived DOCX</x:v>
      </x:c>
      <x:c r="H7162" s="6" t="str"/>
      <x:c r="I7162" s="6" t="str">
        <x:v>Pingshui main-list expansion; 詞 entries ignored</x:v>
      </x:c>
      <x:c r="J7162" s="6" t="str">
        <x:f>IF(B7162="","",IF(AND(ISNUMBER(SEARCH("平",B7162)),OR(ISNUMBER(SEARCH("上",B7162)),ISNUMBER(SEARCH("去",B7162)),ISNUMBER(SEARCH("入",B7162)))),"Ambiguous",IF(ISNUMBER(SEARCH("平",B7162)),"平","仄")))</x:f>
        <x:v>平</x:v>
      </x:c>
      <x:c r="K7162" s="6" t="str">
        <x:f>IF(D7162="","",IF(AND(ISNUMBER(SEARCH("平",D7162)),OR(ISNUMBER(SEARCH("上",D7162)),ISNUMBER(SEARCH("去",D7162)),ISNUMBER(SEARCH("入",D7162)))),"Ambiguous",IF(ISNUMBER(SEARCH("平",D7162)),"平","仄")))</x:f>
        <x:v>平</x:v>
      </x:c>
      <x:c r="L7162" s="7" t="str">
        <x:v>Pingshui main list expansion</x:v>
      </x:c>
    </x:row>
    <x:row r="7163">
      <x:c r="A7163" s="5" t="str">
        <x:v>淜</x:v>
      </x:c>
      <x:c r="B7163" s="6" t="str">
        <x:v>平</x:v>
      </x:c>
      <x:c r="C7163" s="6" t="str">
        <x:f>IF(B7163="","Needs decision","Ready")</x:f>
        <x:v>Ready</x:v>
      </x:c>
      <x:c r="D7163" s="6" t="str">
        <x:v>平</x:v>
      </x:c>
      <x:c r="E7163" s="6" t="str"/>
      <x:c r="F7163" s="6" t="str">
        <x:v>下平聲十蒸</x:v>
      </x:c>
      <x:c r="G7163" s="6" t="str">
        <x:v>Pingshui main list, Wikisource-derived DOCX</x:v>
      </x:c>
      <x:c r="H7163" s="6" t="str"/>
      <x:c r="I7163" s="6" t="str">
        <x:v>Pingshui main-list expansion; 詞 entries ignored</x:v>
      </x:c>
      <x:c r="J7163" s="6" t="str">
        <x:f>IF(B7163="","",IF(AND(ISNUMBER(SEARCH("平",B7163)),OR(ISNUMBER(SEARCH("上",B7163)),ISNUMBER(SEARCH("去",B7163)),ISNUMBER(SEARCH("入",B7163)))),"Ambiguous",IF(ISNUMBER(SEARCH("平",B7163)),"平","仄")))</x:f>
        <x:v>平</x:v>
      </x:c>
      <x:c r="K7163" s="6" t="str">
        <x:f>IF(D7163="","",IF(AND(ISNUMBER(SEARCH("平",D7163)),OR(ISNUMBER(SEARCH("上",D7163)),ISNUMBER(SEARCH("去",D7163)),ISNUMBER(SEARCH("入",D7163)))),"Ambiguous",IF(ISNUMBER(SEARCH("平",D7163)),"平","仄")))</x:f>
        <x:v>平</x:v>
      </x:c>
      <x:c r="L7163" s="7" t="str">
        <x:v>Pingshui main list expansion</x:v>
      </x:c>
    </x:row>
    <x:row r="7164">
      <x:c r="A7164" s="5" t="str">
        <x:v>淞</x:v>
      </x:c>
      <x:c r="B7164" s="6" t="str"/>
      <x:c r="C7164" s="6" t="str">
        <x:f>IF(B7164="","Needs decision","Ready")</x:f>
        <x:v>Needs decision</x:v>
      </x:c>
      <x:c r="D7164" s="6" t="str">
        <x:v>平/去</x:v>
      </x:c>
      <x:c r="E7164" s="6" t="str"/>
      <x:c r="F7164" s="6" t="str">
        <x:v>上平聲二冬; 去聲一送</x:v>
      </x:c>
      <x:c r="G7164" s="6" t="str">
        <x:v>Pingshui main list, Wikisource-derived DOCX</x:v>
      </x:c>
      <x:c r="H7164" s="6" t="str"/>
      <x:c r="I7164" s="6" t="str">
        <x:v>Pingshui main-list expansion; 詞 entries ignored</x:v>
      </x:c>
      <x:c r="J7164" s="6" t="str">
        <x:f>IF(B7164="","",IF(AND(ISNUMBER(SEARCH("平",B7164)),OR(ISNUMBER(SEARCH("上",B7164)),ISNUMBER(SEARCH("去",B7164)),ISNUMBER(SEARCH("入",B7164)))),"Ambiguous",IF(ISNUMBER(SEARCH("平",B7164)),"平","仄")))</x:f>
      </x:c>
      <x:c r="K7164" s="6" t="str">
        <x:f>IF(D7164="","",IF(AND(ISNUMBER(SEARCH("平",D7164)),OR(ISNUMBER(SEARCH("上",D7164)),ISNUMBER(SEARCH("去",D7164)),ISNUMBER(SEARCH("入",D7164)))),"Ambiguous",IF(ISNUMBER(SEARCH("平",D7164)),"平","仄")))</x:f>
        <x:v>Ambiguous</x:v>
      </x:c>
      <x:c r="L7164" s="7" t="str">
        <x:v>Pingshui main list expansion</x:v>
      </x:c>
    </x:row>
    <x:row r="7165">
      <x:c r="A7165" s="5" t="str">
        <x:v>淦</x:v>
      </x:c>
      <x:c r="B7165" s="6" t="str"/>
      <x:c r="C7165" s="6" t="str">
        <x:f>IF(B7165="","Needs decision","Ready")</x:f>
        <x:v>Needs decision</x:v>
      </x:c>
      <x:c r="D7165" s="6" t="str">
        <x:v>平/上/去</x:v>
      </x:c>
      <x:c r="E7165" s="6" t="str"/>
      <x:c r="F7165" s="6" t="str">
        <x:v>下平聲十三覃; 上聲七麌; 去聲二十八勘</x:v>
      </x:c>
      <x:c r="G7165" s="6" t="str">
        <x:v>Pingshui main list, Wikisource-derived DOCX</x:v>
      </x:c>
      <x:c r="H7165" s="6" t="str"/>
      <x:c r="I7165" s="6" t="str">
        <x:v>Pingshui main-list expansion; 詞 entries ignored</x:v>
      </x:c>
      <x:c r="J7165" s="6" t="str">
        <x:f>IF(B7165="","",IF(AND(ISNUMBER(SEARCH("平",B7165)),OR(ISNUMBER(SEARCH("上",B7165)),ISNUMBER(SEARCH("去",B7165)),ISNUMBER(SEARCH("入",B7165)))),"Ambiguous",IF(ISNUMBER(SEARCH("平",B7165)),"平","仄")))</x:f>
      </x:c>
      <x:c r="K7165" s="6" t="str">
        <x:f>IF(D7165="","",IF(AND(ISNUMBER(SEARCH("平",D7165)),OR(ISNUMBER(SEARCH("上",D7165)),ISNUMBER(SEARCH("去",D7165)),ISNUMBER(SEARCH("入",D7165)))),"Ambiguous",IF(ISNUMBER(SEARCH("平",D7165)),"平","仄")))</x:f>
        <x:v>Ambiguous</x:v>
      </x:c>
      <x:c r="L7165" s="7" t="str">
        <x:v>Pingshui main list expansion</x:v>
      </x:c>
    </x:row>
    <x:row r="7166">
      <x:c r="A7166" s="5" t="str">
        <x:v>淰</x:v>
      </x:c>
      <x:c r="B7166" s="6" t="str">
        <x:v>上</x:v>
      </x:c>
      <x:c r="C7166" s="6" t="str">
        <x:f>IF(B7166="","Needs decision","Ready")</x:f>
        <x:v>Ready</x:v>
      </x:c>
      <x:c r="D7166" s="6" t="str">
        <x:v>上</x:v>
      </x:c>
      <x:c r="E7166" s="6" t="str"/>
      <x:c r="F7166" s="6" t="str">
        <x:v>上聲二十六寢; 上聲二十九豏</x:v>
      </x:c>
      <x:c r="G7166" s="6" t="str">
        <x:v>Pingshui main list, Wikisource-derived DOCX</x:v>
      </x:c>
      <x:c r="H7166" s="6" t="str"/>
      <x:c r="I7166" s="6" t="str">
        <x:v>Pingshui main-list expansion; 詞 entries ignored</x:v>
      </x:c>
      <x:c r="J7166" s="6" t="str">
        <x:f>IF(B7166="","",IF(AND(ISNUMBER(SEARCH("平",B7166)),OR(ISNUMBER(SEARCH("上",B7166)),ISNUMBER(SEARCH("去",B7166)),ISNUMBER(SEARCH("入",B7166)))),"Ambiguous",IF(ISNUMBER(SEARCH("平",B7166)),"平","仄")))</x:f>
        <x:v>仄</x:v>
      </x:c>
      <x:c r="K7166" s="6" t="str">
        <x:f>IF(D7166="","",IF(AND(ISNUMBER(SEARCH("平",D7166)),OR(ISNUMBER(SEARCH("上",D7166)),ISNUMBER(SEARCH("去",D7166)),ISNUMBER(SEARCH("入",D7166)))),"Ambiguous",IF(ISNUMBER(SEARCH("平",D7166)),"平","仄")))</x:f>
        <x:v>仄</x:v>
      </x:c>
      <x:c r="L7166" s="7" t="str">
        <x:v>Pingshui main list expansion</x:v>
      </x:c>
    </x:row>
    <x:row r="7167">
      <x:c r="A7167" s="5" t="str">
        <x:v>淴</x:v>
      </x:c>
      <x:c r="B7167" s="6" t="str">
        <x:v>入</x:v>
      </x:c>
      <x:c r="C7167" s="6" t="str">
        <x:f>IF(B7167="","Needs decision","Ready")</x:f>
        <x:v>Ready</x:v>
      </x:c>
      <x:c r="D7167" s="6" t="str">
        <x:v>入</x:v>
      </x:c>
      <x:c r="E7167" s="6" t="str"/>
      <x:c r="F7167" s="6" t="str">
        <x:v>入聲六月</x:v>
      </x:c>
      <x:c r="G7167" s="6" t="str">
        <x:v>Pingshui main list, Wikisource-derived DOCX</x:v>
      </x:c>
      <x:c r="H7167" s="6" t="str"/>
      <x:c r="I7167" s="6" t="str">
        <x:v>Pingshui main-list expansion; 詞 entries ignored</x:v>
      </x:c>
      <x:c r="J7167" s="6" t="str">
        <x:f>IF(B7167="","",IF(AND(ISNUMBER(SEARCH("平",B7167)),OR(ISNUMBER(SEARCH("上",B7167)),ISNUMBER(SEARCH("去",B7167)),ISNUMBER(SEARCH("入",B7167)))),"Ambiguous",IF(ISNUMBER(SEARCH("平",B7167)),"平","仄")))</x:f>
        <x:v>仄</x:v>
      </x:c>
      <x:c r="K7167" s="6" t="str">
        <x:f>IF(D7167="","",IF(AND(ISNUMBER(SEARCH("平",D7167)),OR(ISNUMBER(SEARCH("上",D7167)),ISNUMBER(SEARCH("去",D7167)),ISNUMBER(SEARCH("入",D7167)))),"Ambiguous",IF(ISNUMBER(SEARCH("平",D7167)),"平","仄")))</x:f>
        <x:v>仄</x:v>
      </x:c>
      <x:c r="L7167" s="7" t="str">
        <x:v>Pingshui main list expansion</x:v>
      </x:c>
    </x:row>
    <x:row r="7168">
      <x:c r="A7168" s="5" t="str">
        <x:v>渱</x:v>
      </x:c>
      <x:c r="B7168" s="6" t="str">
        <x:v>平</x:v>
      </x:c>
      <x:c r="C7168" s="6" t="str">
        <x:f>IF(B7168="","Needs decision","Ready")</x:f>
        <x:v>Ready</x:v>
      </x:c>
      <x:c r="D7168" s="6" t="str">
        <x:v>平</x:v>
      </x:c>
      <x:c r="E7168" s="6" t="str"/>
      <x:c r="F7168" s="6" t="str">
        <x:v>上平聲一東</x:v>
      </x:c>
      <x:c r="G7168" s="6" t="str">
        <x:v>Pingshui main list, Wikisource-derived DOCX</x:v>
      </x:c>
      <x:c r="H7168" s="6" t="str"/>
      <x:c r="I7168" s="6" t="str">
        <x:v>Pingshui main-list expansion; 詞 entries ignored</x:v>
      </x:c>
      <x:c r="J7168" s="6" t="str">
        <x:f>IF(B7168="","",IF(AND(ISNUMBER(SEARCH("平",B7168)),OR(ISNUMBER(SEARCH("上",B7168)),ISNUMBER(SEARCH("去",B7168)),ISNUMBER(SEARCH("入",B7168)))),"Ambiguous",IF(ISNUMBER(SEARCH("平",B7168)),"平","仄")))</x:f>
        <x:v>平</x:v>
      </x:c>
      <x:c r="K7168" s="6" t="str">
        <x:f>IF(D7168="","",IF(AND(ISNUMBER(SEARCH("平",D7168)),OR(ISNUMBER(SEARCH("上",D7168)),ISNUMBER(SEARCH("去",D7168)),ISNUMBER(SEARCH("入",D7168)))),"Ambiguous",IF(ISNUMBER(SEARCH("平",D7168)),"平","仄")))</x:f>
        <x:v>平</x:v>
      </x:c>
      <x:c r="L7168" s="7" t="str">
        <x:v>Pingshui main list expansion</x:v>
      </x:c>
    </x:row>
    <x:row r="7169">
      <x:c r="A7169" s="5" t="str">
        <x:v>湉</x:v>
      </x:c>
      <x:c r="B7169" s="6" t="str">
        <x:v>平</x:v>
      </x:c>
      <x:c r="C7169" s="6" t="str">
        <x:f>IF(B7169="","Needs decision","Ready")</x:f>
        <x:v>Ready</x:v>
      </x:c>
      <x:c r="D7169" s="6" t="str">
        <x:v>平</x:v>
      </x:c>
      <x:c r="E7169" s="6" t="str"/>
      <x:c r="F7169" s="6" t="str">
        <x:v>下平聲十四鹽</x:v>
      </x:c>
      <x:c r="G7169" s="6" t="str">
        <x:v>Pingshui main list, Wikisource-derived DOCX</x:v>
      </x:c>
      <x:c r="H7169" s="6" t="str"/>
      <x:c r="I7169" s="6" t="str">
        <x:v>Pingshui main-list expansion; 詞 entries ignored</x:v>
      </x:c>
      <x:c r="J7169" s="6" t="str">
        <x:f>IF(B7169="","",IF(AND(ISNUMBER(SEARCH("平",B7169)),OR(ISNUMBER(SEARCH("上",B7169)),ISNUMBER(SEARCH("去",B7169)),ISNUMBER(SEARCH("入",B7169)))),"Ambiguous",IF(ISNUMBER(SEARCH("平",B7169)),"平","仄")))</x:f>
        <x:v>平</x:v>
      </x:c>
      <x:c r="K7169" s="6" t="str">
        <x:f>IF(D7169="","",IF(AND(ISNUMBER(SEARCH("平",D7169)),OR(ISNUMBER(SEARCH("上",D7169)),ISNUMBER(SEARCH("去",D7169)),ISNUMBER(SEARCH("入",D7169)))),"Ambiguous",IF(ISNUMBER(SEARCH("平",D7169)),"平","仄")))</x:f>
        <x:v>平</x:v>
      </x:c>
      <x:c r="L7169" s="7" t="str">
        <x:v>Pingshui main list expansion</x:v>
      </x:c>
    </x:row>
    <x:row r="7170">
      <x:c r="A7170" s="5" t="str">
        <x:v>湢</x:v>
      </x:c>
      <x:c r="B7170" s="6" t="str">
        <x:v>入</x:v>
      </x:c>
      <x:c r="C7170" s="6" t="str">
        <x:f>IF(B7170="","Needs decision","Ready")</x:f>
        <x:v>Ready</x:v>
      </x:c>
      <x:c r="D7170" s="6" t="str">
        <x:v>入</x:v>
      </x:c>
      <x:c r="E7170" s="6" t="str"/>
      <x:c r="F7170" s="6" t="str">
        <x:v>入聲十三職</x:v>
      </x:c>
      <x:c r="G7170" s="6" t="str">
        <x:v>Pingshui main list, Wikisource-derived DOCX</x:v>
      </x:c>
      <x:c r="H7170" s="6" t="str"/>
      <x:c r="I7170" s="6" t="str">
        <x:v>Pingshui main-list expansion; 詞 entries ignored</x:v>
      </x:c>
      <x:c r="J7170" s="6" t="str">
        <x:f>IF(B7170="","",IF(AND(ISNUMBER(SEARCH("平",B7170)),OR(ISNUMBER(SEARCH("上",B7170)),ISNUMBER(SEARCH("去",B7170)),ISNUMBER(SEARCH("入",B7170)))),"Ambiguous",IF(ISNUMBER(SEARCH("平",B7170)),"平","仄")))</x:f>
        <x:v>仄</x:v>
      </x:c>
      <x:c r="K7170" s="6" t="str">
        <x:f>IF(D7170="","",IF(AND(ISNUMBER(SEARCH("平",D7170)),OR(ISNUMBER(SEARCH("上",D7170)),ISNUMBER(SEARCH("去",D7170)),ISNUMBER(SEARCH("入",D7170)))),"Ambiguous",IF(ISNUMBER(SEARCH("平",D7170)),"平","仄")))</x:f>
        <x:v>仄</x:v>
      </x:c>
      <x:c r="L7170" s="7" t="str">
        <x:v>Pingshui main list expansion</x:v>
      </x:c>
    </x:row>
    <x:row r="7171">
      <x:c r="A7171" s="5" t="str">
        <x:v>湩</x:v>
      </x:c>
      <x:c r="B7171" s="6" t="str"/>
      <x:c r="C7171" s="6" t="str">
        <x:f>IF(B7171="","Needs decision","Ready")</x:f>
        <x:v>Needs decision</x:v>
      </x:c>
      <x:c r="D7171" s="6" t="str">
        <x:v>上/去</x:v>
      </x:c>
      <x:c r="E7171" s="6" t="str"/>
      <x:c r="F7171" s="6" t="str">
        <x:v>上聲二腫; 去聲一送</x:v>
      </x:c>
      <x:c r="G7171" s="6" t="str">
        <x:v>Pingshui main list, Wikisource-derived DOCX</x:v>
      </x:c>
      <x:c r="H7171" s="6" t="str"/>
      <x:c r="I7171" s="6" t="str">
        <x:v>Pingshui main-list expansion; 詞 entries ignored</x:v>
      </x:c>
      <x:c r="J7171" s="6" t="str">
        <x:f>IF(B7171="","",IF(AND(ISNUMBER(SEARCH("平",B7171)),OR(ISNUMBER(SEARCH("上",B7171)),ISNUMBER(SEARCH("去",B7171)),ISNUMBER(SEARCH("入",B7171)))),"Ambiguous",IF(ISNUMBER(SEARCH("平",B7171)),"平","仄")))</x:f>
      </x:c>
      <x:c r="K7171" s="6" t="str">
        <x:f>IF(D7171="","",IF(AND(ISNUMBER(SEARCH("平",D7171)),OR(ISNUMBER(SEARCH("上",D7171)),ISNUMBER(SEARCH("去",D7171)),ISNUMBER(SEARCH("入",D7171)))),"Ambiguous",IF(ISNUMBER(SEARCH("平",D7171)),"平","仄")))</x:f>
        <x:v>仄</x:v>
      </x:c>
      <x:c r="L7171" s="7" t="str">
        <x:v>Pingshui main list expansion</x:v>
      </x:c>
    </x:row>
    <x:row r="7172">
      <x:c r="A7172" s="5" t="str">
        <x:v>湱</x:v>
      </x:c>
      <x:c r="B7172" s="6" t="str">
        <x:v>入</x:v>
      </x:c>
      <x:c r="C7172" s="6" t="str">
        <x:f>IF(B7172="","Needs decision","Ready")</x:f>
        <x:v>Ready</x:v>
      </x:c>
      <x:c r="D7172" s="6" t="str">
        <x:v>入</x:v>
      </x:c>
      <x:c r="E7172" s="6" t="str"/>
      <x:c r="F7172" s="6" t="str">
        <x:v>入聲十一陌</x:v>
      </x:c>
      <x:c r="G7172" s="6" t="str">
        <x:v>Pingshui main list, Wikisource-derived DOCX</x:v>
      </x:c>
      <x:c r="H7172" s="6" t="str"/>
      <x:c r="I7172" s="6" t="str">
        <x:v>Pingshui main-list expansion; 詞 entries ignored</x:v>
      </x:c>
      <x:c r="J7172" s="6" t="str">
        <x:f>IF(B7172="","",IF(AND(ISNUMBER(SEARCH("平",B7172)),OR(ISNUMBER(SEARCH("上",B7172)),ISNUMBER(SEARCH("去",B7172)),ISNUMBER(SEARCH("入",B7172)))),"Ambiguous",IF(ISNUMBER(SEARCH("平",B7172)),"平","仄")))</x:f>
        <x:v>仄</x:v>
      </x:c>
      <x:c r="K7172" s="6" t="str">
        <x:f>IF(D7172="","",IF(AND(ISNUMBER(SEARCH("平",D7172)),OR(ISNUMBER(SEARCH("上",D7172)),ISNUMBER(SEARCH("去",D7172)),ISNUMBER(SEARCH("入",D7172)))),"Ambiguous",IF(ISNUMBER(SEARCH("平",D7172)),"平","仄")))</x:f>
        <x:v>仄</x:v>
      </x:c>
      <x:c r="L7172" s="7" t="str">
        <x:v>Pingshui main list expansion</x:v>
      </x:c>
    </x:row>
    <x:row r="7173">
      <x:c r="A7173" s="5" t="str">
        <x:v>溈</x:v>
      </x:c>
      <x:c r="B7173" s="6" t="str">
        <x:v>平</x:v>
      </x:c>
      <x:c r="C7173" s="6" t="str">
        <x:f>IF(B7173="","Needs decision","Ready")</x:f>
        <x:v>Ready</x:v>
      </x:c>
      <x:c r="D7173" s="6" t="str">
        <x:v>平</x:v>
      </x:c>
      <x:c r="E7173" s="6" t="str"/>
      <x:c r="F7173" s="6" t="str">
        <x:v>上平聲四支</x:v>
      </x:c>
      <x:c r="G7173" s="6" t="str">
        <x:v>Pingshui main list, Wikisource-derived DOCX</x:v>
      </x:c>
      <x:c r="H7173" s="6" t="str"/>
      <x:c r="I7173" s="6" t="str">
        <x:v>Pingshui main-list expansion; 詞 entries ignored</x:v>
      </x:c>
      <x:c r="J7173" s="6" t="str">
        <x:f>IF(B7173="","",IF(AND(ISNUMBER(SEARCH("平",B7173)),OR(ISNUMBER(SEARCH("上",B7173)),ISNUMBER(SEARCH("去",B7173)),ISNUMBER(SEARCH("入",B7173)))),"Ambiguous",IF(ISNUMBER(SEARCH("平",B7173)),"平","仄")))</x:f>
        <x:v>平</x:v>
      </x:c>
      <x:c r="K7173" s="6" t="str">
        <x:f>IF(D7173="","",IF(AND(ISNUMBER(SEARCH("平",D7173)),OR(ISNUMBER(SEARCH("上",D7173)),ISNUMBER(SEARCH("去",D7173)),ISNUMBER(SEARCH("入",D7173)))),"Ambiguous",IF(ISNUMBER(SEARCH("平",D7173)),"平","仄")))</x:f>
        <x:v>平</x:v>
      </x:c>
      <x:c r="L7173" s="7" t="str">
        <x:v>Pingshui main list expansion</x:v>
      </x:c>
    </x:row>
    <x:row r="7174">
      <x:c r="A7174" s="5" t="str">
        <x:v>溓</x:v>
      </x:c>
      <x:c r="B7174" s="6" t="str">
        <x:v>上</x:v>
      </x:c>
      <x:c r="C7174" s="6" t="str">
        <x:f>IF(B7174="","Needs decision","Ready")</x:f>
        <x:v>Ready</x:v>
      </x:c>
      <x:c r="D7174" s="6" t="str">
        <x:v>上</x:v>
      </x:c>
      <x:c r="E7174" s="6" t="str"/>
      <x:c r="F7174" s="6" t="str">
        <x:v>上聲二十八琰</x:v>
      </x:c>
      <x:c r="G7174" s="6" t="str">
        <x:v>Pingshui main list, Wikisource-derived DOCX</x:v>
      </x:c>
      <x:c r="H7174" s="6" t="str"/>
      <x:c r="I7174" s="6" t="str">
        <x:v>Pingshui main-list expansion; 詞 entries ignored</x:v>
      </x:c>
      <x:c r="J7174" s="6" t="str">
        <x:f>IF(B7174="","",IF(AND(ISNUMBER(SEARCH("平",B7174)),OR(ISNUMBER(SEARCH("上",B7174)),ISNUMBER(SEARCH("去",B7174)),ISNUMBER(SEARCH("入",B7174)))),"Ambiguous",IF(ISNUMBER(SEARCH("平",B7174)),"平","仄")))</x:f>
        <x:v>仄</x:v>
      </x:c>
      <x:c r="K7174" s="6" t="str">
        <x:f>IF(D7174="","",IF(AND(ISNUMBER(SEARCH("平",D7174)),OR(ISNUMBER(SEARCH("上",D7174)),ISNUMBER(SEARCH("去",D7174)),ISNUMBER(SEARCH("入",D7174)))),"Ambiguous",IF(ISNUMBER(SEARCH("平",D7174)),"平","仄")))</x:f>
        <x:v>仄</x:v>
      </x:c>
      <x:c r="L7174" s="7" t="str">
        <x:v>Pingshui main list expansion</x:v>
      </x:c>
    </x:row>
    <x:row r="7175">
      <x:c r="A7175" s="5" t="str">
        <x:v>溞</x:v>
      </x:c>
      <x:c r="B7175" s="6" t="str">
        <x:v>平</x:v>
      </x:c>
      <x:c r="C7175" s="6" t="str">
        <x:f>IF(B7175="","Needs decision","Ready")</x:f>
        <x:v>Ready</x:v>
      </x:c>
      <x:c r="D7175" s="6" t="str">
        <x:v>平</x:v>
      </x:c>
      <x:c r="E7175" s="6" t="str"/>
      <x:c r="F7175" s="6" t="str">
        <x:v>下平聲四豪</x:v>
      </x:c>
      <x:c r="G7175" s="6" t="str">
        <x:v>Pingshui main list, Wikisource-derived DOCX</x:v>
      </x:c>
      <x:c r="H7175" s="6" t="str"/>
      <x:c r="I7175" s="6" t="str">
        <x:v>Pingshui main-list expansion; 詞 entries ignored</x:v>
      </x:c>
      <x:c r="J7175" s="6" t="str">
        <x:f>IF(B7175="","",IF(AND(ISNUMBER(SEARCH("平",B7175)),OR(ISNUMBER(SEARCH("上",B7175)),ISNUMBER(SEARCH("去",B7175)),ISNUMBER(SEARCH("入",B7175)))),"Ambiguous",IF(ISNUMBER(SEARCH("平",B7175)),"平","仄")))</x:f>
        <x:v>平</x:v>
      </x:c>
      <x:c r="K7175" s="6" t="str">
        <x:f>IF(D7175="","",IF(AND(ISNUMBER(SEARCH("平",D7175)),OR(ISNUMBER(SEARCH("上",D7175)),ISNUMBER(SEARCH("去",D7175)),ISNUMBER(SEARCH("入",D7175)))),"Ambiguous",IF(ISNUMBER(SEARCH("平",D7175)),"平","仄")))</x:f>
        <x:v>平</x:v>
      </x:c>
      <x:c r="L7175" s="7" t="str">
        <x:v>Pingshui main list expansion</x:v>
      </x:c>
    </x:row>
    <x:row r="7176">
      <x:c r="A7176" s="5" t="str">
        <x:v>溠</x:v>
      </x:c>
      <x:c r="B7176" s="6" t="str">
        <x:v>平</x:v>
      </x:c>
      <x:c r="C7176" s="6" t="str">
        <x:f>IF(B7176="","Needs decision","Ready")</x:f>
        <x:v>Ready</x:v>
      </x:c>
      <x:c r="D7176" s="6" t="str">
        <x:v>平</x:v>
      </x:c>
      <x:c r="E7176" s="6" t="str"/>
      <x:c r="F7176" s="6" t="str">
        <x:v>下平聲六麻</x:v>
      </x:c>
      <x:c r="G7176" s="6" t="str">
        <x:v>Pingshui main list, Wikisource-derived DOCX</x:v>
      </x:c>
      <x:c r="H7176" s="6" t="str"/>
      <x:c r="I7176" s="6" t="str">
        <x:v>Pingshui main-list expansion; 詞 entries ignored</x:v>
      </x:c>
      <x:c r="J7176" s="6" t="str">
        <x:f>IF(B7176="","",IF(AND(ISNUMBER(SEARCH("平",B7176)),OR(ISNUMBER(SEARCH("上",B7176)),ISNUMBER(SEARCH("去",B7176)),ISNUMBER(SEARCH("入",B7176)))),"Ambiguous",IF(ISNUMBER(SEARCH("平",B7176)),"平","仄")))</x:f>
        <x:v>平</x:v>
      </x:c>
      <x:c r="K7176" s="6" t="str">
        <x:f>IF(D7176="","",IF(AND(ISNUMBER(SEARCH("平",D7176)),OR(ISNUMBER(SEARCH("上",D7176)),ISNUMBER(SEARCH("去",D7176)),ISNUMBER(SEARCH("入",D7176)))),"Ambiguous",IF(ISNUMBER(SEARCH("平",D7176)),"平","仄")))</x:f>
        <x:v>平</x:v>
      </x:c>
      <x:c r="L7176" s="7" t="str">
        <x:v>Pingshui main list expansion</x:v>
      </x:c>
    </x:row>
    <x:row r="7177">
      <x:c r="A7177" s="5" t="str">
        <x:v>溰</x:v>
      </x:c>
      <x:c r="B7177" s="6" t="str">
        <x:v>平</x:v>
      </x:c>
      <x:c r="C7177" s="6" t="str">
        <x:f>IF(B7177="","Needs decision","Ready")</x:f>
        <x:v>Ready</x:v>
      </x:c>
      <x:c r="D7177" s="6" t="str">
        <x:v>平</x:v>
      </x:c>
      <x:c r="E7177" s="6" t="str"/>
      <x:c r="F7177" s="6" t="str">
        <x:v>上平聲五微</x:v>
      </x:c>
      <x:c r="G7177" s="6" t="str">
        <x:v>Pingshui main list, Wikisource-derived DOCX</x:v>
      </x:c>
      <x:c r="H7177" s="6" t="str"/>
      <x:c r="I7177" s="6" t="str">
        <x:v>Pingshui main-list expansion; 詞 entries ignored</x:v>
      </x:c>
      <x:c r="J7177" s="6" t="str">
        <x:f>IF(B7177="","",IF(AND(ISNUMBER(SEARCH("平",B7177)),OR(ISNUMBER(SEARCH("上",B7177)),ISNUMBER(SEARCH("去",B7177)),ISNUMBER(SEARCH("入",B7177)))),"Ambiguous",IF(ISNUMBER(SEARCH("平",B7177)),"平","仄")))</x:f>
        <x:v>平</x:v>
      </x:c>
      <x:c r="K7177" s="6" t="str">
        <x:f>IF(D7177="","",IF(AND(ISNUMBER(SEARCH("平",D7177)),OR(ISNUMBER(SEARCH("上",D7177)),ISNUMBER(SEARCH("去",D7177)),ISNUMBER(SEARCH("入",D7177)))),"Ambiguous",IF(ISNUMBER(SEARCH("平",D7177)),"平","仄")))</x:f>
        <x:v>平</x:v>
      </x:c>
      <x:c r="L7177" s="7" t="str">
        <x:v>Pingshui main list expansion</x:v>
      </x:c>
    </x:row>
    <x:row r="7178">
      <x:c r="A7178" s="5" t="str">
        <x:v>溳</x:v>
      </x:c>
      <x:c r="B7178" s="6" t="str">
        <x:v>平</x:v>
      </x:c>
      <x:c r="C7178" s="6" t="str">
        <x:f>IF(B7178="","Needs decision","Ready")</x:f>
        <x:v>Ready</x:v>
      </x:c>
      <x:c r="D7178" s="6" t="str">
        <x:v>平</x:v>
      </x:c>
      <x:c r="E7178" s="6" t="str"/>
      <x:c r="F7178" s="6" t="str">
        <x:v>上平聲十二文</x:v>
      </x:c>
      <x:c r="G7178" s="6" t="str">
        <x:v>Pingshui main list, Wikisource-derived DOCX</x:v>
      </x:c>
      <x:c r="H7178" s="6" t="str"/>
      <x:c r="I7178" s="6" t="str">
        <x:v>Pingshui main-list expansion; 詞 entries ignored</x:v>
      </x:c>
      <x:c r="J7178" s="6" t="str">
        <x:f>IF(B7178="","",IF(AND(ISNUMBER(SEARCH("平",B7178)),OR(ISNUMBER(SEARCH("上",B7178)),ISNUMBER(SEARCH("去",B7178)),ISNUMBER(SEARCH("入",B7178)))),"Ambiguous",IF(ISNUMBER(SEARCH("平",B7178)),"平","仄")))</x:f>
        <x:v>平</x:v>
      </x:c>
      <x:c r="K7178" s="6" t="str">
        <x:f>IF(D7178="","",IF(AND(ISNUMBER(SEARCH("平",D7178)),OR(ISNUMBER(SEARCH("上",D7178)),ISNUMBER(SEARCH("去",D7178)),ISNUMBER(SEARCH("入",D7178)))),"Ambiguous",IF(ISNUMBER(SEARCH("平",D7178)),"平","仄")))</x:f>
        <x:v>平</x:v>
      </x:c>
      <x:c r="L7178" s="7" t="str">
        <x:v>Pingshui main list expansion</x:v>
      </x:c>
    </x:row>
    <x:row r="7179">
      <x:c r="A7179" s="5" t="str">
        <x:v>滁</x:v>
      </x:c>
      <x:c r="B7179" s="6" t="str">
        <x:v>平</x:v>
      </x:c>
      <x:c r="C7179" s="6" t="str">
        <x:f>IF(B7179="","Needs decision","Ready")</x:f>
        <x:v>Ready</x:v>
      </x:c>
      <x:c r="D7179" s="6" t="str">
        <x:v>平</x:v>
      </x:c>
      <x:c r="E7179" s="6" t="str"/>
      <x:c r="F7179" s="6" t="str">
        <x:v>上平聲六魚</x:v>
      </x:c>
      <x:c r="G7179" s="6" t="str">
        <x:v>Pingshui main list, Wikisource-derived DOCX</x:v>
      </x:c>
      <x:c r="H7179" s="6" t="str"/>
      <x:c r="I7179" s="6" t="str">
        <x:v>Pingshui main-list expansion; 詞 entries ignored</x:v>
      </x:c>
      <x:c r="J7179" s="6" t="str">
        <x:f>IF(B7179="","",IF(AND(ISNUMBER(SEARCH("平",B7179)),OR(ISNUMBER(SEARCH("上",B7179)),ISNUMBER(SEARCH("去",B7179)),ISNUMBER(SEARCH("入",B7179)))),"Ambiguous",IF(ISNUMBER(SEARCH("平",B7179)),"平","仄")))</x:f>
        <x:v>平</x:v>
      </x:c>
      <x:c r="K7179" s="6" t="str">
        <x:f>IF(D7179="","",IF(AND(ISNUMBER(SEARCH("平",D7179)),OR(ISNUMBER(SEARCH("上",D7179)),ISNUMBER(SEARCH("去",D7179)),ISNUMBER(SEARCH("入",D7179)))),"Ambiguous",IF(ISNUMBER(SEARCH("平",D7179)),"平","仄")))</x:f>
        <x:v>平</x:v>
      </x:c>
      <x:c r="L7179" s="7" t="str">
        <x:v>Pingshui main list expansion</x:v>
      </x:c>
    </x:row>
    <x:row r="7180">
      <x:c r="A7180" s="5" t="str">
        <x:v>滃</x:v>
      </x:c>
      <x:c r="B7180" s="6" t="str">
        <x:v>上</x:v>
      </x:c>
      <x:c r="C7180" s="6" t="str">
        <x:f>IF(B7180="","Needs decision","Ready")</x:f>
        <x:v>Ready</x:v>
      </x:c>
      <x:c r="D7180" s="6" t="str">
        <x:v>上</x:v>
      </x:c>
      <x:c r="E7180" s="6" t="str"/>
      <x:c r="F7180" s="6" t="str">
        <x:v>上聲一董</x:v>
      </x:c>
      <x:c r="G7180" s="6" t="str">
        <x:v>Pingshui main list, Wikisource-derived DOCX</x:v>
      </x:c>
      <x:c r="H7180" s="6" t="str"/>
      <x:c r="I7180" s="6" t="str">
        <x:v>Pingshui main-list expansion; 詞 entries ignored</x:v>
      </x:c>
      <x:c r="J7180" s="6" t="str">
        <x:f>IF(B7180="","",IF(AND(ISNUMBER(SEARCH("平",B7180)),OR(ISNUMBER(SEARCH("上",B7180)),ISNUMBER(SEARCH("去",B7180)),ISNUMBER(SEARCH("入",B7180)))),"Ambiguous",IF(ISNUMBER(SEARCH("平",B7180)),"平","仄")))</x:f>
        <x:v>仄</x:v>
      </x:c>
      <x:c r="K7180" s="6" t="str">
        <x:f>IF(D7180="","",IF(AND(ISNUMBER(SEARCH("平",D7180)),OR(ISNUMBER(SEARCH("上",D7180)),ISNUMBER(SEARCH("去",D7180)),ISNUMBER(SEARCH("入",D7180)))),"Ambiguous",IF(ISNUMBER(SEARCH("平",D7180)),"平","仄")))</x:f>
        <x:v>仄</x:v>
      </x:c>
      <x:c r="L7180" s="7" t="str">
        <x:v>Pingshui main list expansion</x:v>
      </x:c>
    </x:row>
    <x:row r="7181">
      <x:c r="A7181" s="5" t="str">
        <x:v>滭</x:v>
      </x:c>
      <x:c r="B7181" s="6" t="str">
        <x:v>入</x:v>
      </x:c>
      <x:c r="C7181" s="6" t="str">
        <x:f>IF(B7181="","Needs decision","Ready")</x:f>
        <x:v>Ready</x:v>
      </x:c>
      <x:c r="D7181" s="6" t="str">
        <x:v>入</x:v>
      </x:c>
      <x:c r="E7181" s="6" t="str"/>
      <x:c r="F7181" s="6" t="str">
        <x:v>入聲四質</x:v>
      </x:c>
      <x:c r="G7181" s="6" t="str">
        <x:v>Pingshui main list, Wikisource-derived DOCX</x:v>
      </x:c>
      <x:c r="H7181" s="6" t="str"/>
      <x:c r="I7181" s="6" t="str">
        <x:v>Pingshui main-list expansion; 詞 entries ignored</x:v>
      </x:c>
      <x:c r="J7181" s="6" t="str">
        <x:f>IF(B7181="","",IF(AND(ISNUMBER(SEARCH("平",B7181)),OR(ISNUMBER(SEARCH("上",B7181)),ISNUMBER(SEARCH("去",B7181)),ISNUMBER(SEARCH("入",B7181)))),"Ambiguous",IF(ISNUMBER(SEARCH("平",B7181)),"平","仄")))</x:f>
        <x:v>仄</x:v>
      </x:c>
      <x:c r="K7181" s="6" t="str">
        <x:f>IF(D7181="","",IF(AND(ISNUMBER(SEARCH("平",D7181)),OR(ISNUMBER(SEARCH("上",D7181)),ISNUMBER(SEARCH("去",D7181)),ISNUMBER(SEARCH("入",D7181)))),"Ambiguous",IF(ISNUMBER(SEARCH("平",D7181)),"平","仄")))</x:f>
        <x:v>仄</x:v>
      </x:c>
      <x:c r="L7181" s="7" t="str">
        <x:v>Pingshui main list expansion</x:v>
      </x:c>
    </x:row>
    <x:row r="7182">
      <x:c r="A7182" s="5" t="str">
        <x:v>漅</x:v>
      </x:c>
      <x:c r="B7182" s="6" t="str">
        <x:v>平</x:v>
      </x:c>
      <x:c r="C7182" s="6" t="str">
        <x:f>IF(B7182="","Needs decision","Ready")</x:f>
        <x:v>Ready</x:v>
      </x:c>
      <x:c r="D7182" s="6" t="str">
        <x:v>平</x:v>
      </x:c>
      <x:c r="E7182" s="6" t="str"/>
      <x:c r="F7182" s="6" t="str">
        <x:v>下平聲三肴</x:v>
      </x:c>
      <x:c r="G7182" s="6" t="str">
        <x:v>Pingshui main list, Wikisource-derived DOCX</x:v>
      </x:c>
      <x:c r="H7182" s="6" t="str"/>
      <x:c r="I7182" s="6" t="str">
        <x:v>Pingshui main-list expansion; 詞 entries ignored</x:v>
      </x:c>
      <x:c r="J7182" s="6" t="str">
        <x:f>IF(B7182="","",IF(AND(ISNUMBER(SEARCH("平",B7182)),OR(ISNUMBER(SEARCH("上",B7182)),ISNUMBER(SEARCH("去",B7182)),ISNUMBER(SEARCH("入",B7182)))),"Ambiguous",IF(ISNUMBER(SEARCH("平",B7182)),"平","仄")))</x:f>
        <x:v>平</x:v>
      </x:c>
      <x:c r="K7182" s="6" t="str">
        <x:f>IF(D7182="","",IF(AND(ISNUMBER(SEARCH("平",D7182)),OR(ISNUMBER(SEARCH("上",D7182)),ISNUMBER(SEARCH("去",D7182)),ISNUMBER(SEARCH("入",D7182)))),"Ambiguous",IF(ISNUMBER(SEARCH("平",D7182)),"平","仄")))</x:f>
        <x:v>平</x:v>
      </x:c>
      <x:c r="L7182" s="7" t="str">
        <x:v>Pingshui main list expansion</x:v>
      </x:c>
    </x:row>
    <x:row r="7183">
      <x:c r="A7183" s="5" t="str">
        <x:v>漊</x:v>
      </x:c>
      <x:c r="B7183" s="6" t="str"/>
      <x:c r="C7183" s="6" t="str">
        <x:f>IF(B7183="","Needs decision","Ready")</x:f>
        <x:v>Needs decision</x:v>
      </x:c>
      <x:c r="D7183" s="6" t="str">
        <x:v>平/上</x:v>
      </x:c>
      <x:c r="E7183" s="6" t="str"/>
      <x:c r="F7183" s="6" t="str">
        <x:v>上平聲七虞; 上聲二十五有</x:v>
      </x:c>
      <x:c r="G7183" s="6" t="str">
        <x:v>Pingshui main list, Wikisource-derived DOCX</x:v>
      </x:c>
      <x:c r="H7183" s="6" t="str"/>
      <x:c r="I7183" s="6" t="str">
        <x:v>Pingshui main-list expansion; 詞 entries ignored</x:v>
      </x:c>
      <x:c r="J7183" s="6" t="str">
        <x:f>IF(B7183="","",IF(AND(ISNUMBER(SEARCH("平",B7183)),OR(ISNUMBER(SEARCH("上",B7183)),ISNUMBER(SEARCH("去",B7183)),ISNUMBER(SEARCH("入",B7183)))),"Ambiguous",IF(ISNUMBER(SEARCH("平",B7183)),"平","仄")))</x:f>
      </x:c>
      <x:c r="K7183" s="6" t="str">
        <x:f>IF(D7183="","",IF(AND(ISNUMBER(SEARCH("平",D7183)),OR(ISNUMBER(SEARCH("上",D7183)),ISNUMBER(SEARCH("去",D7183)),ISNUMBER(SEARCH("入",D7183)))),"Ambiguous",IF(ISNUMBER(SEARCH("平",D7183)),"平","仄")))</x:f>
        <x:v>Ambiguous</x:v>
      </x:c>
      <x:c r="L7183" s="7" t="str">
        <x:v>Pingshui main list expansion</x:v>
      </x:c>
    </x:row>
    <x:row r="7184">
      <x:c r="A7184" s="5" t="str">
        <x:v>漎</x:v>
      </x:c>
      <x:c r="B7184" s="6" t="str">
        <x:v>平</x:v>
      </x:c>
      <x:c r="C7184" s="6" t="str">
        <x:f>IF(B7184="","Needs decision","Ready")</x:f>
        <x:v>Ready</x:v>
      </x:c>
      <x:c r="D7184" s="6" t="str">
        <x:v>平</x:v>
      </x:c>
      <x:c r="E7184" s="6" t="str"/>
      <x:c r="F7184" s="6" t="str">
        <x:v>上平聲三江</x:v>
      </x:c>
      <x:c r="G7184" s="6" t="str">
        <x:v>Pingshui main list, Wikisource-derived DOCX</x:v>
      </x:c>
      <x:c r="H7184" s="6" t="str"/>
      <x:c r="I7184" s="6" t="str">
        <x:v>Pingshui main-list expansion; 詞 entries ignored</x:v>
      </x:c>
      <x:c r="J7184" s="6" t="str">
        <x:f>IF(B7184="","",IF(AND(ISNUMBER(SEARCH("平",B7184)),OR(ISNUMBER(SEARCH("上",B7184)),ISNUMBER(SEARCH("去",B7184)),ISNUMBER(SEARCH("入",B7184)))),"Ambiguous",IF(ISNUMBER(SEARCH("平",B7184)),"平","仄")))</x:f>
        <x:v>平</x:v>
      </x:c>
      <x:c r="K7184" s="6" t="str">
        <x:f>IF(D7184="","",IF(AND(ISNUMBER(SEARCH("平",D7184)),OR(ISNUMBER(SEARCH("上",D7184)),ISNUMBER(SEARCH("去",D7184)),ISNUMBER(SEARCH("入",D7184)))),"Ambiguous",IF(ISNUMBER(SEARCH("平",D7184)),"平","仄")))</x:f>
        <x:v>平</x:v>
      </x:c>
      <x:c r="L7184" s="7" t="str">
        <x:v>Pingshui main list expansion</x:v>
      </x:c>
    </x:row>
    <x:row r="7185">
      <x:c r="A7185" s="5" t="str">
        <x:v>漙</x:v>
      </x:c>
      <x:c r="B7185" s="6" t="str">
        <x:v>平</x:v>
      </x:c>
      <x:c r="C7185" s="6" t="str">
        <x:f>IF(B7185="","Needs decision","Ready")</x:f>
        <x:v>Ready</x:v>
      </x:c>
      <x:c r="D7185" s="6" t="str">
        <x:v>平</x:v>
      </x:c>
      <x:c r="E7185" s="6" t="str"/>
      <x:c r="F7185" s="6" t="str">
        <x:v>上平聲十四寒</x:v>
      </x:c>
      <x:c r="G7185" s="6" t="str">
        <x:v>Pingshui main list, Wikisource-derived DOCX</x:v>
      </x:c>
      <x:c r="H7185" s="6" t="str"/>
      <x:c r="I7185" s="6" t="str">
        <x:v>Pingshui main-list expansion; 詞 entries ignored</x:v>
      </x:c>
      <x:c r="J7185" s="6" t="str">
        <x:f>IF(B7185="","",IF(AND(ISNUMBER(SEARCH("平",B7185)),OR(ISNUMBER(SEARCH("上",B7185)),ISNUMBER(SEARCH("去",B7185)),ISNUMBER(SEARCH("入",B7185)))),"Ambiguous",IF(ISNUMBER(SEARCH("平",B7185)),"平","仄")))</x:f>
        <x:v>平</x:v>
      </x:c>
      <x:c r="K7185" s="6" t="str">
        <x:f>IF(D7185="","",IF(AND(ISNUMBER(SEARCH("平",D7185)),OR(ISNUMBER(SEARCH("上",D7185)),ISNUMBER(SEARCH("去",D7185)),ISNUMBER(SEARCH("入",D7185)))),"Ambiguous",IF(ISNUMBER(SEARCH("平",D7185)),"平","仄")))</x:f>
        <x:v>平</x:v>
      </x:c>
      <x:c r="L7185" s="7" t="str">
        <x:v>Pingshui main list expansion</x:v>
      </x:c>
    </x:row>
    <x:row r="7186">
      <x:c r="A7186" s="5" t="str">
        <x:v>漯</x:v>
      </x:c>
      <x:c r="B7186" s="6" t="str">
        <x:v>入</x:v>
      </x:c>
      <x:c r="C7186" s="6" t="str">
        <x:f>IF(B7186="","Needs decision","Ready")</x:f>
        <x:v>Ready</x:v>
      </x:c>
      <x:c r="D7186" s="6" t="str">
        <x:v>入</x:v>
      </x:c>
      <x:c r="E7186" s="6" t="str"/>
      <x:c r="F7186" s="6" t="str">
        <x:v>入聲十五合</x:v>
      </x:c>
      <x:c r="G7186" s="6" t="str">
        <x:v>Pingshui main list, Wikisource-derived DOCX</x:v>
      </x:c>
      <x:c r="H7186" s="6" t="str"/>
      <x:c r="I7186" s="6" t="str">
        <x:v>Pingshui main-list expansion; 詞 entries ignored</x:v>
      </x:c>
      <x:c r="J7186" s="6" t="str">
        <x:f>IF(B7186="","",IF(AND(ISNUMBER(SEARCH("平",B7186)),OR(ISNUMBER(SEARCH("上",B7186)),ISNUMBER(SEARCH("去",B7186)),ISNUMBER(SEARCH("入",B7186)))),"Ambiguous",IF(ISNUMBER(SEARCH("平",B7186)),"平","仄")))</x:f>
        <x:v>仄</x:v>
      </x:c>
      <x:c r="K7186" s="6" t="str">
        <x:f>IF(D7186="","",IF(AND(ISNUMBER(SEARCH("平",D7186)),OR(ISNUMBER(SEARCH("上",D7186)),ISNUMBER(SEARCH("去",D7186)),ISNUMBER(SEARCH("入",D7186)))),"Ambiguous",IF(ISNUMBER(SEARCH("平",D7186)),"平","仄")))</x:f>
        <x:v>仄</x:v>
      </x:c>
      <x:c r="L7186" s="7" t="str">
        <x:v>Pingshui main list expansion</x:v>
      </x:c>
    </x:row>
    <x:row r="7187">
      <x:c r="A7187" s="5" t="str">
        <x:v>漰</x:v>
      </x:c>
      <x:c r="B7187" s="6" t="str">
        <x:v>平</x:v>
      </x:c>
      <x:c r="C7187" s="6" t="str">
        <x:f>IF(B7187="","Needs decision","Ready")</x:f>
        <x:v>Ready</x:v>
      </x:c>
      <x:c r="D7187" s="6" t="str">
        <x:v>平</x:v>
      </x:c>
      <x:c r="E7187" s="6" t="str"/>
      <x:c r="F7187" s="6" t="str">
        <x:v>下平聲十蒸</x:v>
      </x:c>
      <x:c r="G7187" s="6" t="str">
        <x:v>Pingshui main list, Wikisource-derived DOCX</x:v>
      </x:c>
      <x:c r="H7187" s="6" t="str"/>
      <x:c r="I7187" s="6" t="str">
        <x:v>Pingshui main-list expansion; 詞 entries ignored</x:v>
      </x:c>
      <x:c r="J7187" s="6" t="str">
        <x:f>IF(B7187="","",IF(AND(ISNUMBER(SEARCH("平",B7187)),OR(ISNUMBER(SEARCH("上",B7187)),ISNUMBER(SEARCH("去",B7187)),ISNUMBER(SEARCH("入",B7187)))),"Ambiguous",IF(ISNUMBER(SEARCH("平",B7187)),"平","仄")))</x:f>
        <x:v>平</x:v>
      </x:c>
      <x:c r="K7187" s="6" t="str">
        <x:f>IF(D7187="","",IF(AND(ISNUMBER(SEARCH("平",D7187)),OR(ISNUMBER(SEARCH("上",D7187)),ISNUMBER(SEARCH("去",D7187)),ISNUMBER(SEARCH("入",D7187)))),"Ambiguous",IF(ISNUMBER(SEARCH("平",D7187)),"平","仄")))</x:f>
        <x:v>平</x:v>
      </x:c>
      <x:c r="L7187" s="7" t="str">
        <x:v>Pingshui main list expansion</x:v>
      </x:c>
    </x:row>
    <x:row r="7188">
      <x:c r="A7188" s="5" t="str">
        <x:v>漶</x:v>
      </x:c>
      <x:c r="B7188" s="6" t="str">
        <x:v>去</x:v>
      </x:c>
      <x:c r="C7188" s="6" t="str">
        <x:f>IF(B7188="","Needs decision","Ready")</x:f>
        <x:v>Ready</x:v>
      </x:c>
      <x:c r="D7188" s="6" t="str">
        <x:v>去</x:v>
      </x:c>
      <x:c r="E7188" s="6" t="str"/>
      <x:c r="F7188" s="6" t="str">
        <x:v>去聲十五翰</x:v>
      </x:c>
      <x:c r="G7188" s="6" t="str">
        <x:v>Pingshui main list, Wikisource-derived DOCX</x:v>
      </x:c>
      <x:c r="H7188" s="6" t="str"/>
      <x:c r="I7188" s="6" t="str">
        <x:v>Pingshui main-list expansion; 詞 entries ignored</x:v>
      </x:c>
      <x:c r="J7188" s="6" t="str">
        <x:f>IF(B7188="","",IF(AND(ISNUMBER(SEARCH("平",B7188)),OR(ISNUMBER(SEARCH("上",B7188)),ISNUMBER(SEARCH("去",B7188)),ISNUMBER(SEARCH("入",B7188)))),"Ambiguous",IF(ISNUMBER(SEARCH("平",B7188)),"平","仄")))</x:f>
        <x:v>仄</x:v>
      </x:c>
      <x:c r="K7188" s="6" t="str">
        <x:f>IF(D7188="","",IF(AND(ISNUMBER(SEARCH("平",D7188)),OR(ISNUMBER(SEARCH("上",D7188)),ISNUMBER(SEARCH("去",D7188)),ISNUMBER(SEARCH("入",D7188)))),"Ambiguous",IF(ISNUMBER(SEARCH("平",D7188)),"平","仄")))</x:f>
        <x:v>仄</x:v>
      </x:c>
      <x:c r="L7188" s="7" t="str">
        <x:v>Pingshui main list expansion</x:v>
      </x:c>
    </x:row>
    <x:row r="7189">
      <x:c r="A7189" s="5" t="str">
        <x:v>漷</x:v>
      </x:c>
      <x:c r="B7189" s="6" t="str">
        <x:v>入</x:v>
      </x:c>
      <x:c r="C7189" s="6" t="str">
        <x:f>IF(B7189="","Needs decision","Ready")</x:f>
        <x:v>Ready</x:v>
      </x:c>
      <x:c r="D7189" s="6" t="str">
        <x:v>入</x:v>
      </x:c>
      <x:c r="E7189" s="6" t="str"/>
      <x:c r="F7189" s="6" t="str">
        <x:v>入聲十藥</x:v>
      </x:c>
      <x:c r="G7189" s="6" t="str">
        <x:v>Pingshui main list, Wikisource-derived DOCX</x:v>
      </x:c>
      <x:c r="H7189" s="6" t="str"/>
      <x:c r="I7189" s="6" t="str">
        <x:v>Pingshui main-list expansion; 詞 entries ignored</x:v>
      </x:c>
      <x:c r="J7189" s="6" t="str">
        <x:f>IF(B7189="","",IF(AND(ISNUMBER(SEARCH("平",B7189)),OR(ISNUMBER(SEARCH("上",B7189)),ISNUMBER(SEARCH("去",B7189)),ISNUMBER(SEARCH("入",B7189)))),"Ambiguous",IF(ISNUMBER(SEARCH("平",B7189)),"平","仄")))</x:f>
        <x:v>仄</x:v>
      </x:c>
      <x:c r="K7189" s="6" t="str">
        <x:f>IF(D7189="","",IF(AND(ISNUMBER(SEARCH("平",D7189)),OR(ISNUMBER(SEARCH("上",D7189)),ISNUMBER(SEARCH("去",D7189)),ISNUMBER(SEARCH("入",D7189)))),"Ambiguous",IF(ISNUMBER(SEARCH("平",D7189)),"平","仄")))</x:f>
        <x:v>仄</x:v>
      </x:c>
      <x:c r="L7189" s="7" t="str">
        <x:v>Pingshui main list expansion</x:v>
      </x:c>
    </x:row>
    <x:row r="7190">
      <x:c r="A7190" s="5" t="str">
        <x:v>潎</x:v>
      </x:c>
      <x:c r="B7190" s="6" t="str"/>
      <x:c r="C7190" s="6" t="str">
        <x:f>IF(B7190="","Needs decision","Ready")</x:f>
        <x:v>Needs decision</x:v>
      </x:c>
      <x:c r="D7190" s="6" t="str">
        <x:v>去/入</x:v>
      </x:c>
      <x:c r="E7190" s="6" t="str"/>
      <x:c r="F7190" s="6" t="str">
        <x:v>去聲八霽; 入聲九屑</x:v>
      </x:c>
      <x:c r="G7190" s="6" t="str">
        <x:v>Pingshui main list, Wikisource-derived DOCX</x:v>
      </x:c>
      <x:c r="H7190" s="6" t="str"/>
      <x:c r="I7190" s="6" t="str">
        <x:v>Pingshui main-list expansion; 詞 entries ignored</x:v>
      </x:c>
      <x:c r="J7190" s="6" t="str">
        <x:f>IF(B7190="","",IF(AND(ISNUMBER(SEARCH("平",B7190)),OR(ISNUMBER(SEARCH("上",B7190)),ISNUMBER(SEARCH("去",B7190)),ISNUMBER(SEARCH("入",B7190)))),"Ambiguous",IF(ISNUMBER(SEARCH("平",B7190)),"平","仄")))</x:f>
      </x:c>
      <x:c r="K7190" s="6" t="str">
        <x:f>IF(D7190="","",IF(AND(ISNUMBER(SEARCH("平",D7190)),OR(ISNUMBER(SEARCH("上",D7190)),ISNUMBER(SEARCH("去",D7190)),ISNUMBER(SEARCH("入",D7190)))),"Ambiguous",IF(ISNUMBER(SEARCH("平",D7190)),"平","仄")))</x:f>
        <x:v>仄</x:v>
      </x:c>
      <x:c r="L7190" s="7" t="str">
        <x:v>Pingshui main list expansion</x:v>
      </x:c>
    </x:row>
    <x:row r="7191">
      <x:c r="A7191" s="5" t="str">
        <x:v>潑</x:v>
      </x:c>
      <x:c r="B7191" s="6" t="str">
        <x:v>入</x:v>
      </x:c>
      <x:c r="C7191" s="6" t="str">
        <x:f>IF(B7191="","Needs decision","Ready")</x:f>
        <x:v>Ready</x:v>
      </x:c>
      <x:c r="D7191" s="6" t="str">
        <x:v>入</x:v>
      </x:c>
      <x:c r="E7191" s="6" t="str"/>
      <x:c r="F7191" s="6" t="str">
        <x:v>入聲七曷</x:v>
      </x:c>
      <x:c r="G7191" s="6" t="str">
        <x:v>Pingshui main list, Wikisource-derived DOCX</x:v>
      </x:c>
      <x:c r="H7191" s="6" t="str"/>
      <x:c r="I7191" s="6" t="str">
        <x:v>Pingshui main-list expansion; 詞 entries ignored</x:v>
      </x:c>
      <x:c r="J7191" s="6" t="str">
        <x:f>IF(B7191="","",IF(AND(ISNUMBER(SEARCH("平",B7191)),OR(ISNUMBER(SEARCH("上",B7191)),ISNUMBER(SEARCH("去",B7191)),ISNUMBER(SEARCH("入",B7191)))),"Ambiguous",IF(ISNUMBER(SEARCH("平",B7191)),"平","仄")))</x:f>
        <x:v>仄</x:v>
      </x:c>
      <x:c r="K7191" s="6" t="str">
        <x:f>IF(D7191="","",IF(AND(ISNUMBER(SEARCH("平",D7191)),OR(ISNUMBER(SEARCH("上",D7191)),ISNUMBER(SEARCH("去",D7191)),ISNUMBER(SEARCH("入",D7191)))),"Ambiguous",IF(ISNUMBER(SEARCH("平",D7191)),"平","仄")))</x:f>
        <x:v>仄</x:v>
      </x:c>
      <x:c r="L7191" s="7" t="str">
        <x:v>Pingshui main list expansion</x:v>
      </x:c>
    </x:row>
    <x:row r="7192">
      <x:c r="A7192" s="5" t="str">
        <x:v>潒</x:v>
      </x:c>
      <x:c r="B7192" s="6" t="str">
        <x:v>上</x:v>
      </x:c>
      <x:c r="C7192" s="6" t="str">
        <x:f>IF(B7192="","Needs decision","Ready")</x:f>
        <x:v>Ready</x:v>
      </x:c>
      <x:c r="D7192" s="6" t="str">
        <x:v>上</x:v>
      </x:c>
      <x:c r="E7192" s="6" t="str"/>
      <x:c r="F7192" s="6" t="str">
        <x:v>上聲二十二養</x:v>
      </x:c>
      <x:c r="G7192" s="6" t="str">
        <x:v>Pingshui main list, Wikisource-derived DOCX</x:v>
      </x:c>
      <x:c r="H7192" s="6" t="str"/>
      <x:c r="I7192" s="6" t="str">
        <x:v>Pingshui main-list expansion; 詞 entries ignored</x:v>
      </x:c>
      <x:c r="J7192" s="6" t="str">
        <x:f>IF(B7192="","",IF(AND(ISNUMBER(SEARCH("平",B7192)),OR(ISNUMBER(SEARCH("上",B7192)),ISNUMBER(SEARCH("去",B7192)),ISNUMBER(SEARCH("入",B7192)))),"Ambiguous",IF(ISNUMBER(SEARCH("平",B7192)),"平","仄")))</x:f>
        <x:v>仄</x:v>
      </x:c>
      <x:c r="K7192" s="6" t="str">
        <x:f>IF(D7192="","",IF(AND(ISNUMBER(SEARCH("平",D7192)),OR(ISNUMBER(SEARCH("上",D7192)),ISNUMBER(SEARCH("去",D7192)),ISNUMBER(SEARCH("入",D7192)))),"Ambiguous",IF(ISNUMBER(SEARCH("平",D7192)),"平","仄")))</x:f>
        <x:v>仄</x:v>
      </x:c>
      <x:c r="L7192" s="7" t="str">
        <x:v>Pingshui main list expansion</x:v>
      </x:c>
    </x:row>
    <x:row r="7193">
      <x:c r="A7193" s="5" t="str">
        <x:v>潗</x:v>
      </x:c>
      <x:c r="B7193" s="6" t="str">
        <x:v>入</x:v>
      </x:c>
      <x:c r="C7193" s="6" t="str">
        <x:f>IF(B7193="","Needs decision","Ready")</x:f>
        <x:v>Ready</x:v>
      </x:c>
      <x:c r="D7193" s="6" t="str">
        <x:v>入</x:v>
      </x:c>
      <x:c r="E7193" s="6" t="str"/>
      <x:c r="F7193" s="6" t="str">
        <x:v>入聲十四緝</x:v>
      </x:c>
      <x:c r="G7193" s="6" t="str">
        <x:v>Pingshui main list, Wikisource-derived DOCX</x:v>
      </x:c>
      <x:c r="H7193" s="6" t="str"/>
      <x:c r="I7193" s="6" t="str">
        <x:v>Pingshui main-list expansion; 詞 entries ignored</x:v>
      </x:c>
      <x:c r="J7193" s="6" t="str">
        <x:f>IF(B7193="","",IF(AND(ISNUMBER(SEARCH("平",B7193)),OR(ISNUMBER(SEARCH("上",B7193)),ISNUMBER(SEARCH("去",B7193)),ISNUMBER(SEARCH("入",B7193)))),"Ambiguous",IF(ISNUMBER(SEARCH("平",B7193)),"平","仄")))</x:f>
        <x:v>仄</x:v>
      </x:c>
      <x:c r="K7193" s="6" t="str">
        <x:f>IF(D7193="","",IF(AND(ISNUMBER(SEARCH("平",D7193)),OR(ISNUMBER(SEARCH("上",D7193)),ISNUMBER(SEARCH("去",D7193)),ISNUMBER(SEARCH("入",D7193)))),"Ambiguous",IF(ISNUMBER(SEARCH("平",D7193)),"平","仄")))</x:f>
        <x:v>仄</x:v>
      </x:c>
      <x:c r="L7193" s="7" t="str">
        <x:v>Pingshui main list expansion</x:v>
      </x:c>
    </x:row>
    <x:row r="7194">
      <x:c r="A7194" s="5" t="str">
        <x:v>潝</x:v>
      </x:c>
      <x:c r="B7194" s="6" t="str">
        <x:v>入</x:v>
      </x:c>
      <x:c r="C7194" s="6" t="str">
        <x:f>IF(B7194="","Needs decision","Ready")</x:f>
        <x:v>Ready</x:v>
      </x:c>
      <x:c r="D7194" s="6" t="str">
        <x:v>入</x:v>
      </x:c>
      <x:c r="E7194" s="6" t="str"/>
      <x:c r="F7194" s="6" t="str">
        <x:v>入聲十四緝</x:v>
      </x:c>
      <x:c r="G7194" s="6" t="str">
        <x:v>Pingshui main list, Wikisource-derived DOCX</x:v>
      </x:c>
      <x:c r="H7194" s="6" t="str"/>
      <x:c r="I7194" s="6" t="str">
        <x:v>Pingshui main-list expansion; 詞 entries ignored</x:v>
      </x:c>
      <x:c r="J7194" s="6" t="str">
        <x:f>IF(B7194="","",IF(AND(ISNUMBER(SEARCH("平",B7194)),OR(ISNUMBER(SEARCH("上",B7194)),ISNUMBER(SEARCH("去",B7194)),ISNUMBER(SEARCH("入",B7194)))),"Ambiguous",IF(ISNUMBER(SEARCH("平",B7194)),"平","仄")))</x:f>
        <x:v>仄</x:v>
      </x:c>
      <x:c r="K7194" s="6" t="str">
        <x:f>IF(D7194="","",IF(AND(ISNUMBER(SEARCH("平",D7194)),OR(ISNUMBER(SEARCH("上",D7194)),ISNUMBER(SEARCH("去",D7194)),ISNUMBER(SEARCH("入",D7194)))),"Ambiguous",IF(ISNUMBER(SEARCH("平",D7194)),"平","仄")))</x:f>
        <x:v>仄</x:v>
      </x:c>
      <x:c r="L7194" s="7" t="str">
        <x:v>Pingshui main list expansion</x:v>
      </x:c>
    </x:row>
    <x:row r="7195">
      <x:c r="A7195" s="5" t="str">
        <x:v>潩</x:v>
      </x:c>
      <x:c r="B7195" s="6" t="str">
        <x:v>去</x:v>
      </x:c>
      <x:c r="C7195" s="6" t="str">
        <x:f>IF(B7195="","Needs decision","Ready")</x:f>
        <x:v>Ready</x:v>
      </x:c>
      <x:c r="D7195" s="6" t="str">
        <x:v>去</x:v>
      </x:c>
      <x:c r="E7195" s="6" t="str"/>
      <x:c r="F7195" s="6" t="str">
        <x:v>去聲四寘</x:v>
      </x:c>
      <x:c r="G7195" s="6" t="str">
        <x:v>Pingshui main list, Wikisource-derived DOCX</x:v>
      </x:c>
      <x:c r="H7195" s="6" t="str"/>
      <x:c r="I7195" s="6" t="str">
        <x:v>Pingshui main-list expansion; 詞 entries ignored</x:v>
      </x:c>
      <x:c r="J7195" s="6" t="str">
        <x:f>IF(B7195="","",IF(AND(ISNUMBER(SEARCH("平",B7195)),OR(ISNUMBER(SEARCH("上",B7195)),ISNUMBER(SEARCH("去",B7195)),ISNUMBER(SEARCH("入",B7195)))),"Ambiguous",IF(ISNUMBER(SEARCH("平",B7195)),"平","仄")))</x:f>
        <x:v>仄</x:v>
      </x:c>
      <x:c r="K7195" s="6" t="str">
        <x:f>IF(D7195="","",IF(AND(ISNUMBER(SEARCH("平",D7195)),OR(ISNUMBER(SEARCH("上",D7195)),ISNUMBER(SEARCH("去",D7195)),ISNUMBER(SEARCH("入",D7195)))),"Ambiguous",IF(ISNUMBER(SEARCH("平",D7195)),"平","仄")))</x:f>
        <x:v>仄</x:v>
      </x:c>
      <x:c r="L7195" s="7" t="str">
        <x:v>Pingshui main list expansion</x:v>
      </x:c>
    </x:row>
    <x:row r="7196">
      <x:c r="A7196" s="5" t="str">
        <x:v>潾</x:v>
      </x:c>
      <x:c r="B7196" s="6" t="str">
        <x:v>平</x:v>
      </x:c>
      <x:c r="C7196" s="6" t="str">
        <x:f>IF(B7196="","Needs decision","Ready")</x:f>
        <x:v>Ready</x:v>
      </x:c>
      <x:c r="D7196" s="6" t="str">
        <x:v>平</x:v>
      </x:c>
      <x:c r="E7196" s="6" t="str"/>
      <x:c r="F7196" s="6" t="str">
        <x:v>上平聲十一真</x:v>
      </x:c>
      <x:c r="G7196" s="6" t="str">
        <x:v>Pingshui main list, Wikisource-derived DOCX</x:v>
      </x:c>
      <x:c r="H7196" s="6" t="str"/>
      <x:c r="I7196" s="6" t="str">
        <x:v>Pingshui main-list expansion; 詞 entries ignored</x:v>
      </x:c>
      <x:c r="J7196" s="6" t="str">
        <x:f>IF(B7196="","",IF(AND(ISNUMBER(SEARCH("平",B7196)),OR(ISNUMBER(SEARCH("上",B7196)),ISNUMBER(SEARCH("去",B7196)),ISNUMBER(SEARCH("入",B7196)))),"Ambiguous",IF(ISNUMBER(SEARCH("平",B7196)),"平","仄")))</x:f>
        <x:v>平</x:v>
      </x:c>
      <x:c r="K7196" s="6" t="str">
        <x:f>IF(D7196="","",IF(AND(ISNUMBER(SEARCH("平",D7196)),OR(ISNUMBER(SEARCH("上",D7196)),ISNUMBER(SEARCH("去",D7196)),ISNUMBER(SEARCH("入",D7196)))),"Ambiguous",IF(ISNUMBER(SEARCH("平",D7196)),"平","仄")))</x:f>
        <x:v>平</x:v>
      </x:c>
      <x:c r="L7196" s="7" t="str">
        <x:v>Pingshui main list expansion</x:v>
      </x:c>
    </x:row>
    <x:row r="7197">
      <x:c r="A7197" s="5" t="str">
        <x:v>澉</x:v>
      </x:c>
      <x:c r="B7197" s="6" t="str">
        <x:v>上</x:v>
      </x:c>
      <x:c r="C7197" s="6" t="str">
        <x:f>IF(B7197="","Needs decision","Ready")</x:f>
        <x:v>Ready</x:v>
      </x:c>
      <x:c r="D7197" s="6" t="str">
        <x:v>上</x:v>
      </x:c>
      <x:c r="E7197" s="6" t="str"/>
      <x:c r="F7197" s="6" t="str">
        <x:v>上聲二十七感</x:v>
      </x:c>
      <x:c r="G7197" s="6" t="str">
        <x:v>Pingshui main list, Wikisource-derived DOCX</x:v>
      </x:c>
      <x:c r="H7197" s="6" t="str"/>
      <x:c r="I7197" s="6" t="str">
        <x:v>Pingshui main-list expansion; 詞 entries ignored</x:v>
      </x:c>
      <x:c r="J7197" s="6" t="str">
        <x:f>IF(B7197="","",IF(AND(ISNUMBER(SEARCH("平",B7197)),OR(ISNUMBER(SEARCH("上",B7197)),ISNUMBER(SEARCH("去",B7197)),ISNUMBER(SEARCH("入",B7197)))),"Ambiguous",IF(ISNUMBER(SEARCH("平",B7197)),"平","仄")))</x:f>
        <x:v>仄</x:v>
      </x:c>
      <x:c r="K7197" s="6" t="str">
        <x:f>IF(D7197="","",IF(AND(ISNUMBER(SEARCH("平",D7197)),OR(ISNUMBER(SEARCH("上",D7197)),ISNUMBER(SEARCH("去",D7197)),ISNUMBER(SEARCH("入",D7197)))),"Ambiguous",IF(ISNUMBER(SEARCH("平",D7197)),"平","仄")))</x:f>
        <x:v>仄</x:v>
      </x:c>
      <x:c r="L7197" s="7" t="str">
        <x:v>Pingshui main list expansion</x:v>
      </x:c>
    </x:row>
    <x:row r="7198">
      <x:c r="A7198" s="5" t="str">
        <x:v>澞</x:v>
      </x:c>
      <x:c r="B7198" s="6" t="str">
        <x:v>平</x:v>
      </x:c>
      <x:c r="C7198" s="6" t="str">
        <x:f>IF(B7198="","Needs decision","Ready")</x:f>
        <x:v>Ready</x:v>
      </x:c>
      <x:c r="D7198" s="6" t="str">
        <x:v>平</x:v>
      </x:c>
      <x:c r="E7198" s="6" t="str"/>
      <x:c r="F7198" s="6" t="str">
        <x:v>上平聲七虞</x:v>
      </x:c>
      <x:c r="G7198" s="6" t="str">
        <x:v>Pingshui main list, Wikisource-derived DOCX</x:v>
      </x:c>
      <x:c r="H7198" s="6" t="str"/>
      <x:c r="I7198" s="6" t="str">
        <x:v>Pingshui main-list expansion; 詞 entries ignored</x:v>
      </x:c>
      <x:c r="J7198" s="6" t="str">
        <x:f>IF(B7198="","",IF(AND(ISNUMBER(SEARCH("平",B7198)),OR(ISNUMBER(SEARCH("上",B7198)),ISNUMBER(SEARCH("去",B7198)),ISNUMBER(SEARCH("入",B7198)))),"Ambiguous",IF(ISNUMBER(SEARCH("平",B7198)),"平","仄")))</x:f>
        <x:v>平</x:v>
      </x:c>
      <x:c r="K7198" s="6" t="str">
        <x:f>IF(D7198="","",IF(AND(ISNUMBER(SEARCH("平",D7198)),OR(ISNUMBER(SEARCH("上",D7198)),ISNUMBER(SEARCH("去",D7198)),ISNUMBER(SEARCH("入",D7198)))),"Ambiguous",IF(ISNUMBER(SEARCH("平",D7198)),"平","仄")))</x:f>
        <x:v>平</x:v>
      </x:c>
      <x:c r="L7198" s="7" t="str">
        <x:v>Pingshui main list expansion</x:v>
      </x:c>
    </x:row>
    <x:row r="7199">
      <x:c r="A7199" s="5" t="str">
        <x:v>澬</x:v>
      </x:c>
      <x:c r="B7199" s="6" t="str">
        <x:v>平</x:v>
      </x:c>
      <x:c r="C7199" s="6" t="str">
        <x:f>IF(B7199="","Needs decision","Ready")</x:f>
        <x:v>Ready</x:v>
      </x:c>
      <x:c r="D7199" s="6" t="str">
        <x:v>平</x:v>
      </x:c>
      <x:c r="E7199" s="6" t="str"/>
      <x:c r="F7199" s="6" t="str">
        <x:v>上平聲四支</x:v>
      </x:c>
      <x:c r="G7199" s="6" t="str">
        <x:v>Pingshui main list, Wikisource-derived DOCX</x:v>
      </x:c>
      <x:c r="H7199" s="6" t="str"/>
      <x:c r="I7199" s="6" t="str">
        <x:v>Pingshui main-list expansion; 詞 entries ignored</x:v>
      </x:c>
      <x:c r="J7199" s="6" t="str">
        <x:f>IF(B7199="","",IF(AND(ISNUMBER(SEARCH("平",B7199)),OR(ISNUMBER(SEARCH("上",B7199)),ISNUMBER(SEARCH("去",B7199)),ISNUMBER(SEARCH("入",B7199)))),"Ambiguous",IF(ISNUMBER(SEARCH("平",B7199)),"平","仄")))</x:f>
        <x:v>平</x:v>
      </x:c>
      <x:c r="K7199" s="6" t="str">
        <x:f>IF(D7199="","",IF(AND(ISNUMBER(SEARCH("平",D7199)),OR(ISNUMBER(SEARCH("上",D7199)),ISNUMBER(SEARCH("去",D7199)),ISNUMBER(SEARCH("入",D7199)))),"Ambiguous",IF(ISNUMBER(SEARCH("平",D7199)),"平","仄")))</x:f>
        <x:v>平</x:v>
      </x:c>
      <x:c r="L7199" s="7" t="str">
        <x:v>Pingshui main list expansion</x:v>
      </x:c>
    </x:row>
    <x:row r="7200">
      <x:c r="A7200" s="5" t="str">
        <x:v>澴</x:v>
      </x:c>
      <x:c r="B7200" s="6" t="str">
        <x:v>平</x:v>
      </x:c>
      <x:c r="C7200" s="6" t="str">
        <x:f>IF(B7200="","Needs decision","Ready")</x:f>
        <x:v>Ready</x:v>
      </x:c>
      <x:c r="D7200" s="6" t="str">
        <x:v>平</x:v>
      </x:c>
      <x:c r="E7200" s="6" t="str"/>
      <x:c r="F7200" s="6" t="str">
        <x:v>上平聲十五刪</x:v>
      </x:c>
      <x:c r="G7200" s="6" t="str">
        <x:v>Pingshui main list, Wikisource-derived DOCX</x:v>
      </x:c>
      <x:c r="H7200" s="6" t="str"/>
      <x:c r="I7200" s="6" t="str">
        <x:v>Pingshui main-list expansion; 詞 entries ignored</x:v>
      </x:c>
      <x:c r="J7200" s="6" t="str">
        <x:f>IF(B7200="","",IF(AND(ISNUMBER(SEARCH("平",B7200)),OR(ISNUMBER(SEARCH("上",B7200)),ISNUMBER(SEARCH("去",B7200)),ISNUMBER(SEARCH("入",B7200)))),"Ambiguous",IF(ISNUMBER(SEARCH("平",B7200)),"平","仄")))</x:f>
        <x:v>平</x:v>
      </x:c>
      <x:c r="K7200" s="6" t="str">
        <x:f>IF(D7200="","",IF(AND(ISNUMBER(SEARCH("平",D7200)),OR(ISNUMBER(SEARCH("上",D7200)),ISNUMBER(SEARCH("去",D7200)),ISNUMBER(SEARCH("入",D7200)))),"Ambiguous",IF(ISNUMBER(SEARCH("平",D7200)),"平","仄")))</x:f>
        <x:v>平</x:v>
      </x:c>
      <x:c r="L7200" s="7" t="str">
        <x:v>Pingshui main list expansion</x:v>
      </x:c>
    </x:row>
    <x:row r="7201">
      <x:c r="A7201" s="5" t="str">
        <x:v>澼</x:v>
      </x:c>
      <x:c r="B7201" s="6" t="str">
        <x:v>入</x:v>
      </x:c>
      <x:c r="C7201" s="6" t="str">
        <x:f>IF(B7201="","Needs decision","Ready")</x:f>
        <x:v>Ready</x:v>
      </x:c>
      <x:c r="D7201" s="6" t="str">
        <x:v>入</x:v>
      </x:c>
      <x:c r="E7201" s="6" t="str"/>
      <x:c r="F7201" s="6" t="str">
        <x:v>入聲十二錫</x:v>
      </x:c>
      <x:c r="G7201" s="6" t="str">
        <x:v>Pingshui main list, Wikisource-derived DOCX</x:v>
      </x:c>
      <x:c r="H7201" s="6" t="str"/>
      <x:c r="I7201" s="6" t="str">
        <x:v>Pingshui main-list expansion; 詞 entries ignored</x:v>
      </x:c>
      <x:c r="J7201" s="6" t="str">
        <x:f>IF(B7201="","",IF(AND(ISNUMBER(SEARCH("平",B7201)),OR(ISNUMBER(SEARCH("上",B7201)),ISNUMBER(SEARCH("去",B7201)),ISNUMBER(SEARCH("入",B7201)))),"Ambiguous",IF(ISNUMBER(SEARCH("平",B7201)),"平","仄")))</x:f>
        <x:v>仄</x:v>
      </x:c>
      <x:c r="K7201" s="6" t="str">
        <x:f>IF(D7201="","",IF(AND(ISNUMBER(SEARCH("平",D7201)),OR(ISNUMBER(SEARCH("上",D7201)),ISNUMBER(SEARCH("去",D7201)),ISNUMBER(SEARCH("入",D7201)))),"Ambiguous",IF(ISNUMBER(SEARCH("平",D7201)),"平","仄")))</x:f>
        <x:v>仄</x:v>
      </x:c>
      <x:c r="L7201" s="7" t="str">
        <x:v>Pingshui main list expansion</x:v>
      </x:c>
    </x:row>
    <x:row r="7202">
      <x:c r="A7202" s="5" t="str">
        <x:v>濄</x:v>
      </x:c>
      <x:c r="B7202" s="6" t="str">
        <x:v>平</x:v>
      </x:c>
      <x:c r="C7202" s="6" t="str">
        <x:f>IF(B7202="","Needs decision","Ready")</x:f>
        <x:v>Ready</x:v>
      </x:c>
      <x:c r="D7202" s="6" t="str">
        <x:v>平</x:v>
      </x:c>
      <x:c r="E7202" s="6" t="str"/>
      <x:c r="F7202" s="6" t="str">
        <x:v>下平聲五歌</x:v>
      </x:c>
      <x:c r="G7202" s="6" t="str">
        <x:v>Pingshui main list, Wikisource-derived DOCX</x:v>
      </x:c>
      <x:c r="H7202" s="6" t="str"/>
      <x:c r="I7202" s="6" t="str">
        <x:v>Pingshui main-list expansion; 詞 entries ignored</x:v>
      </x:c>
      <x:c r="J7202" s="6" t="str">
        <x:f>IF(B7202="","",IF(AND(ISNUMBER(SEARCH("平",B7202)),OR(ISNUMBER(SEARCH("上",B7202)),ISNUMBER(SEARCH("去",B7202)),ISNUMBER(SEARCH("入",B7202)))),"Ambiguous",IF(ISNUMBER(SEARCH("平",B7202)),"平","仄")))</x:f>
        <x:v>平</x:v>
      </x:c>
      <x:c r="K7202" s="6" t="str">
        <x:f>IF(D7202="","",IF(AND(ISNUMBER(SEARCH("平",D7202)),OR(ISNUMBER(SEARCH("上",D7202)),ISNUMBER(SEARCH("去",D7202)),ISNUMBER(SEARCH("入",D7202)))),"Ambiguous",IF(ISNUMBER(SEARCH("平",D7202)),"平","仄")))</x:f>
        <x:v>平</x:v>
      </x:c>
      <x:c r="L7202" s="7" t="str">
        <x:v>Pingshui main list expansion</x:v>
      </x:c>
    </x:row>
    <x:row r="7203">
      <x:c r="A7203" s="5" t="str">
        <x:v>濋</x:v>
      </x:c>
      <x:c r="B7203" s="6" t="str">
        <x:v>上</x:v>
      </x:c>
      <x:c r="C7203" s="6" t="str">
        <x:f>IF(B7203="","Needs decision","Ready")</x:f>
        <x:v>Ready</x:v>
      </x:c>
      <x:c r="D7203" s="6" t="str">
        <x:v>上</x:v>
      </x:c>
      <x:c r="E7203" s="6" t="str"/>
      <x:c r="F7203" s="6" t="str">
        <x:v>上聲六語</x:v>
      </x:c>
      <x:c r="G7203" s="6" t="str">
        <x:v>Pingshui main list, Wikisource-derived DOCX</x:v>
      </x:c>
      <x:c r="H7203" s="6" t="str"/>
      <x:c r="I7203" s="6" t="str">
        <x:v>Pingshui main-list expansion; 詞 entries ignored</x:v>
      </x:c>
      <x:c r="J7203" s="6" t="str">
        <x:f>IF(B7203="","",IF(AND(ISNUMBER(SEARCH("平",B7203)),OR(ISNUMBER(SEARCH("上",B7203)),ISNUMBER(SEARCH("去",B7203)),ISNUMBER(SEARCH("入",B7203)))),"Ambiguous",IF(ISNUMBER(SEARCH("平",B7203)),"平","仄")))</x:f>
        <x:v>仄</x:v>
      </x:c>
      <x:c r="K7203" s="6" t="str">
        <x:f>IF(D7203="","",IF(AND(ISNUMBER(SEARCH("平",D7203)),OR(ISNUMBER(SEARCH("上",D7203)),ISNUMBER(SEARCH("去",D7203)),ISNUMBER(SEARCH("入",D7203)))),"Ambiguous",IF(ISNUMBER(SEARCH("平",D7203)),"平","仄")))</x:f>
        <x:v>仄</x:v>
      </x:c>
      <x:c r="L7203" s="7" t="str">
        <x:v>Pingshui main list expansion</x:v>
      </x:c>
    </x:row>
    <x:row r="7204">
      <x:c r="A7204" s="5" t="str">
        <x:v>濰</x:v>
      </x:c>
      <x:c r="B7204" s="6" t="str">
        <x:v>平</x:v>
      </x:c>
      <x:c r="C7204" s="6" t="str">
        <x:f>IF(B7204="","Needs decision","Ready")</x:f>
        <x:v>Ready</x:v>
      </x:c>
      <x:c r="D7204" s="6" t="str">
        <x:v>平</x:v>
      </x:c>
      <x:c r="E7204" s="6" t="str"/>
      <x:c r="F7204" s="6" t="str">
        <x:v>上平聲四支</x:v>
      </x:c>
      <x:c r="G7204" s="6" t="str">
        <x:v>Pingshui main list, Wikisource-derived DOCX</x:v>
      </x:c>
      <x:c r="H7204" s="6" t="str"/>
      <x:c r="I7204" s="6" t="str">
        <x:v>Pingshui main-list expansion; 詞 entries ignored</x:v>
      </x:c>
      <x:c r="J7204" s="6" t="str">
        <x:f>IF(B7204="","",IF(AND(ISNUMBER(SEARCH("平",B7204)),OR(ISNUMBER(SEARCH("上",B7204)),ISNUMBER(SEARCH("去",B7204)),ISNUMBER(SEARCH("入",B7204)))),"Ambiguous",IF(ISNUMBER(SEARCH("平",B7204)),"平","仄")))</x:f>
        <x:v>平</x:v>
      </x:c>
      <x:c r="K7204" s="6" t="str">
        <x:f>IF(D7204="","",IF(AND(ISNUMBER(SEARCH("平",D7204)),OR(ISNUMBER(SEARCH("上",D7204)),ISNUMBER(SEARCH("去",D7204)),ISNUMBER(SEARCH("入",D7204)))),"Ambiguous",IF(ISNUMBER(SEARCH("平",D7204)),"平","仄")))</x:f>
        <x:v>平</x:v>
      </x:c>
      <x:c r="L7204" s="7" t="str">
        <x:v>Pingshui main list expansion</x:v>
      </x:c>
    </x:row>
    <x:row r="7205">
      <x:c r="A7205" s="5" t="str">
        <x:v>瀅</x:v>
      </x:c>
      <x:c r="B7205" s="6" t="str">
        <x:v>去</x:v>
      </x:c>
      <x:c r="C7205" s="6" t="str">
        <x:f>IF(B7205="","Needs decision","Ready")</x:f>
        <x:v>Ready</x:v>
      </x:c>
      <x:c r="D7205" s="6" t="str">
        <x:v>去</x:v>
      </x:c>
      <x:c r="E7205" s="6" t="str"/>
      <x:c r="F7205" s="6" t="str">
        <x:v>去聲二十五徑</x:v>
      </x:c>
      <x:c r="G7205" s="6" t="str">
        <x:v>Pingshui main list, Wikisource-derived DOCX</x:v>
      </x:c>
      <x:c r="H7205" s="6" t="str"/>
      <x:c r="I7205" s="6" t="str">
        <x:v>Pingshui main-list expansion; 詞 entries ignored</x:v>
      </x:c>
      <x:c r="J7205" s="6" t="str">
        <x:f>IF(B7205="","",IF(AND(ISNUMBER(SEARCH("平",B7205)),OR(ISNUMBER(SEARCH("上",B7205)),ISNUMBER(SEARCH("去",B7205)),ISNUMBER(SEARCH("入",B7205)))),"Ambiguous",IF(ISNUMBER(SEARCH("平",B7205)),"平","仄")))</x:f>
        <x:v>仄</x:v>
      </x:c>
      <x:c r="K7205" s="6" t="str">
        <x:f>IF(D7205="","",IF(AND(ISNUMBER(SEARCH("平",D7205)),OR(ISNUMBER(SEARCH("上",D7205)),ISNUMBER(SEARCH("去",D7205)),ISNUMBER(SEARCH("入",D7205)))),"Ambiguous",IF(ISNUMBER(SEARCH("平",D7205)),"平","仄")))</x:f>
        <x:v>仄</x:v>
      </x:c>
      <x:c r="L7205" s="7" t="str">
        <x:v>Pingshui main list expansion</x:v>
      </x:c>
    </x:row>
    <x:row r="7206">
      <x:c r="A7206" s="5" t="str">
        <x:v>瀌</x:v>
      </x:c>
      <x:c r="B7206" s="6" t="str">
        <x:v>平</x:v>
      </x:c>
      <x:c r="C7206" s="6" t="str">
        <x:f>IF(B7206="","Needs decision","Ready")</x:f>
        <x:v>Ready</x:v>
      </x:c>
      <x:c r="D7206" s="6" t="str">
        <x:v>平</x:v>
      </x:c>
      <x:c r="E7206" s="6" t="str"/>
      <x:c r="F7206" s="6" t="str">
        <x:v>下平聲二蕭; 下平聲十一尤</x:v>
      </x:c>
      <x:c r="G7206" s="6" t="str">
        <x:v>Pingshui main list, Wikisource-derived DOCX</x:v>
      </x:c>
      <x:c r="H7206" s="6" t="str"/>
      <x:c r="I7206" s="6" t="str">
        <x:v>Pingshui main-list expansion; 詞 entries ignored</x:v>
      </x:c>
      <x:c r="J7206" s="6" t="str">
        <x:f>IF(B7206="","",IF(AND(ISNUMBER(SEARCH("平",B7206)),OR(ISNUMBER(SEARCH("上",B7206)),ISNUMBER(SEARCH("去",B7206)),ISNUMBER(SEARCH("入",B7206)))),"Ambiguous",IF(ISNUMBER(SEARCH("平",B7206)),"平","仄")))</x:f>
        <x:v>平</x:v>
      </x:c>
      <x:c r="K7206" s="6" t="str">
        <x:f>IF(D7206="","",IF(AND(ISNUMBER(SEARCH("平",D7206)),OR(ISNUMBER(SEARCH("上",D7206)),ISNUMBER(SEARCH("去",D7206)),ISNUMBER(SEARCH("入",D7206)))),"Ambiguous",IF(ISNUMBER(SEARCH("平",D7206)),"平","仄")))</x:f>
        <x:v>平</x:v>
      </x:c>
      <x:c r="L7206" s="7" t="str">
        <x:v>Pingshui main list expansion</x:v>
      </x:c>
    </x:row>
    <x:row r="7207">
      <x:c r="A7207" s="5" t="str">
        <x:v>瀎</x:v>
      </x:c>
      <x:c r="B7207" s="6" t="str">
        <x:v>入</x:v>
      </x:c>
      <x:c r="C7207" s="6" t="str">
        <x:f>IF(B7207="","Needs decision","Ready")</x:f>
        <x:v>Ready</x:v>
      </x:c>
      <x:c r="D7207" s="6" t="str">
        <x:v>入</x:v>
      </x:c>
      <x:c r="E7207" s="6" t="str"/>
      <x:c r="F7207" s="6" t="str">
        <x:v>入聲九屑</x:v>
      </x:c>
      <x:c r="G7207" s="6" t="str">
        <x:v>Pingshui main list, Wikisource-derived DOCX</x:v>
      </x:c>
      <x:c r="H7207" s="6" t="str"/>
      <x:c r="I7207" s="6" t="str">
        <x:v>Pingshui main-list expansion; 詞 entries ignored</x:v>
      </x:c>
      <x:c r="J7207" s="6" t="str">
        <x:f>IF(B7207="","",IF(AND(ISNUMBER(SEARCH("平",B7207)),OR(ISNUMBER(SEARCH("上",B7207)),ISNUMBER(SEARCH("去",B7207)),ISNUMBER(SEARCH("入",B7207)))),"Ambiguous",IF(ISNUMBER(SEARCH("平",B7207)),"平","仄")))</x:f>
        <x:v>仄</x:v>
      </x:c>
      <x:c r="K7207" s="6" t="str">
        <x:f>IF(D7207="","",IF(AND(ISNUMBER(SEARCH("平",D7207)),OR(ISNUMBER(SEARCH("上",D7207)),ISNUMBER(SEARCH("去",D7207)),ISNUMBER(SEARCH("入",D7207)))),"Ambiguous",IF(ISNUMBER(SEARCH("平",D7207)),"平","仄")))</x:f>
        <x:v>仄</x:v>
      </x:c>
      <x:c r="L7207" s="7" t="str">
        <x:v>Pingshui main list expansion</x:v>
      </x:c>
    </x:row>
    <x:row r="7208">
      <x:c r="A7208" s="5" t="str">
        <x:v>瀜</x:v>
      </x:c>
      <x:c r="B7208" s="6" t="str">
        <x:v>平</x:v>
      </x:c>
      <x:c r="C7208" s="6" t="str">
        <x:f>IF(B7208="","Needs decision","Ready")</x:f>
        <x:v>Ready</x:v>
      </x:c>
      <x:c r="D7208" s="6" t="str">
        <x:v>平</x:v>
      </x:c>
      <x:c r="E7208" s="6" t="str"/>
      <x:c r="F7208" s="6" t="str">
        <x:v>上平聲一東</x:v>
      </x:c>
      <x:c r="G7208" s="6" t="str">
        <x:v>Pingshui main list, Wikisource-derived DOCX</x:v>
      </x:c>
      <x:c r="H7208" s="6" t="str"/>
      <x:c r="I7208" s="6" t="str">
        <x:v>Pingshui main-list expansion; 詞 entries ignored</x:v>
      </x:c>
      <x:c r="J7208" s="6" t="str">
        <x:f>IF(B7208="","",IF(AND(ISNUMBER(SEARCH("平",B7208)),OR(ISNUMBER(SEARCH("上",B7208)),ISNUMBER(SEARCH("去",B7208)),ISNUMBER(SEARCH("入",B7208)))),"Ambiguous",IF(ISNUMBER(SEARCH("平",B7208)),"平","仄")))</x:f>
        <x:v>平</x:v>
      </x:c>
      <x:c r="K7208" s="6" t="str">
        <x:f>IF(D7208="","",IF(AND(ISNUMBER(SEARCH("平",D7208)),OR(ISNUMBER(SEARCH("上",D7208)),ISNUMBER(SEARCH("去",D7208)),ISNUMBER(SEARCH("入",D7208)))),"Ambiguous",IF(ISNUMBER(SEARCH("平",D7208)),"平","仄")))</x:f>
        <x:v>平</x:v>
      </x:c>
      <x:c r="L7208" s="7" t="str">
        <x:v>Pingshui main list expansion</x:v>
      </x:c>
    </x:row>
    <x:row r="7209">
      <x:c r="A7209" s="5" t="str">
        <x:v>瀦</x:v>
      </x:c>
      <x:c r="B7209" s="6" t="str">
        <x:v>平</x:v>
      </x:c>
      <x:c r="C7209" s="6" t="str">
        <x:f>IF(B7209="","Needs decision","Ready")</x:f>
        <x:v>Ready</x:v>
      </x:c>
      <x:c r="D7209" s="6" t="str">
        <x:v>平</x:v>
      </x:c>
      <x:c r="E7209" s="6" t="str"/>
      <x:c r="F7209" s="6" t="str">
        <x:v>上平聲六魚</x:v>
      </x:c>
      <x:c r="G7209" s="6" t="str">
        <x:v>Pingshui main list, Wikisource-derived DOCX</x:v>
      </x:c>
      <x:c r="H7209" s="6" t="str"/>
      <x:c r="I7209" s="6" t="str">
        <x:v>Pingshui main-list expansion; 詞 entries ignored</x:v>
      </x:c>
      <x:c r="J7209" s="6" t="str">
        <x:f>IF(B7209="","",IF(AND(ISNUMBER(SEARCH("平",B7209)),OR(ISNUMBER(SEARCH("上",B7209)),ISNUMBER(SEARCH("去",B7209)),ISNUMBER(SEARCH("入",B7209)))),"Ambiguous",IF(ISNUMBER(SEARCH("平",B7209)),"平","仄")))</x:f>
        <x:v>平</x:v>
      </x:c>
      <x:c r="K7209" s="6" t="str">
        <x:f>IF(D7209="","",IF(AND(ISNUMBER(SEARCH("平",D7209)),OR(ISNUMBER(SEARCH("上",D7209)),ISNUMBER(SEARCH("去",D7209)),ISNUMBER(SEARCH("入",D7209)))),"Ambiguous",IF(ISNUMBER(SEARCH("平",D7209)),"平","仄")))</x:f>
        <x:v>平</x:v>
      </x:c>
      <x:c r="L7209" s="7" t="str">
        <x:v>Pingshui main list expansion</x:v>
      </x:c>
    </x:row>
    <x:row r="7210">
      <x:c r="A7210" s="5" t="str">
        <x:v>瀯</x:v>
      </x:c>
      <x:c r="B7210" s="6" t="str">
        <x:v>平</x:v>
      </x:c>
      <x:c r="C7210" s="6" t="str">
        <x:f>IF(B7210="","Needs decision","Ready")</x:f>
        <x:v>Ready</x:v>
      </x:c>
      <x:c r="D7210" s="6" t="str">
        <x:v>平</x:v>
      </x:c>
      <x:c r="E7210" s="6" t="str"/>
      <x:c r="F7210" s="6" t="str">
        <x:v>下平聲八庚</x:v>
      </x:c>
      <x:c r="G7210" s="6" t="str">
        <x:v>Pingshui main list, Wikisource-derived DOCX</x:v>
      </x:c>
      <x:c r="H7210" s="6" t="str"/>
      <x:c r="I7210" s="6" t="str">
        <x:v>Pingshui main-list expansion; 詞 entries ignored</x:v>
      </x:c>
      <x:c r="J7210" s="6" t="str">
        <x:f>IF(B7210="","",IF(AND(ISNUMBER(SEARCH("平",B7210)),OR(ISNUMBER(SEARCH("上",B7210)),ISNUMBER(SEARCH("去",B7210)),ISNUMBER(SEARCH("入",B7210)))),"Ambiguous",IF(ISNUMBER(SEARCH("平",B7210)),"平","仄")))</x:f>
        <x:v>平</x:v>
      </x:c>
      <x:c r="K7210" s="6" t="str">
        <x:f>IF(D7210="","",IF(AND(ISNUMBER(SEARCH("平",D7210)),OR(ISNUMBER(SEARCH("上",D7210)),ISNUMBER(SEARCH("去",D7210)),ISNUMBER(SEARCH("入",D7210)))),"Ambiguous",IF(ISNUMBER(SEARCH("平",D7210)),"平","仄")))</x:f>
        <x:v>平</x:v>
      </x:c>
      <x:c r="L7210" s="7" t="str">
        <x:v>Pingshui main list expansion</x:v>
      </x:c>
    </x:row>
    <x:row r="7211">
      <x:c r="A7211" s="5" t="str">
        <x:v>瀷</x:v>
      </x:c>
      <x:c r="B7211" s="6" t="str">
        <x:v>入</x:v>
      </x:c>
      <x:c r="C7211" s="6" t="str">
        <x:f>IF(B7211="","Needs decision","Ready")</x:f>
        <x:v>Ready</x:v>
      </x:c>
      <x:c r="D7211" s="6" t="str">
        <x:v>入</x:v>
      </x:c>
      <x:c r="E7211" s="6" t="str"/>
      <x:c r="F7211" s="6" t="str">
        <x:v>入聲十三職</x:v>
      </x:c>
      <x:c r="G7211" s="6" t="str">
        <x:v>Pingshui main list, Wikisource-derived DOCX</x:v>
      </x:c>
      <x:c r="H7211" s="6" t="str"/>
      <x:c r="I7211" s="6" t="str">
        <x:v>Pingshui main-list expansion; 詞 entries ignored</x:v>
      </x:c>
      <x:c r="J7211" s="6" t="str">
        <x:f>IF(B7211="","",IF(AND(ISNUMBER(SEARCH("平",B7211)),OR(ISNUMBER(SEARCH("上",B7211)),ISNUMBER(SEARCH("去",B7211)),ISNUMBER(SEARCH("入",B7211)))),"Ambiguous",IF(ISNUMBER(SEARCH("平",B7211)),"平","仄")))</x:f>
        <x:v>仄</x:v>
      </x:c>
      <x:c r="K7211" s="6" t="str">
        <x:f>IF(D7211="","",IF(AND(ISNUMBER(SEARCH("平",D7211)),OR(ISNUMBER(SEARCH("上",D7211)),ISNUMBER(SEARCH("去",D7211)),ISNUMBER(SEARCH("入",D7211)))),"Ambiguous",IF(ISNUMBER(SEARCH("平",D7211)),"平","仄")))</x:f>
        <x:v>仄</x:v>
      </x:c>
      <x:c r="L7211" s="7" t="str">
        <x:v>Pingshui main list expansion</x:v>
      </x:c>
    </x:row>
    <x:row r="7212">
      <x:c r="A7212" s="5" t="str">
        <x:v>瀸</x:v>
      </x:c>
      <x:c r="B7212" s="6" t="str">
        <x:v>平</x:v>
      </x:c>
      <x:c r="C7212" s="6" t="str">
        <x:f>IF(B7212="","Needs decision","Ready")</x:f>
        <x:v>Ready</x:v>
      </x:c>
      <x:c r="D7212" s="6" t="str">
        <x:v>平</x:v>
      </x:c>
      <x:c r="E7212" s="6" t="str"/>
      <x:c r="F7212" s="6" t="str">
        <x:v>下平聲十四鹽</x:v>
      </x:c>
      <x:c r="G7212" s="6" t="str">
        <x:v>Pingshui main list, Wikisource-derived DOCX</x:v>
      </x:c>
      <x:c r="H7212" s="6" t="str"/>
      <x:c r="I7212" s="6" t="str">
        <x:v>Pingshui main-list expansion; 詞 entries ignored</x:v>
      </x:c>
      <x:c r="J7212" s="6" t="str">
        <x:f>IF(B7212="","",IF(AND(ISNUMBER(SEARCH("平",B7212)),OR(ISNUMBER(SEARCH("上",B7212)),ISNUMBER(SEARCH("去",B7212)),ISNUMBER(SEARCH("入",B7212)))),"Ambiguous",IF(ISNUMBER(SEARCH("平",B7212)),"平","仄")))</x:f>
        <x:v>平</x:v>
      </x:c>
      <x:c r="K7212" s="6" t="str">
        <x:f>IF(D7212="","",IF(AND(ISNUMBER(SEARCH("平",D7212)),OR(ISNUMBER(SEARCH("上",D7212)),ISNUMBER(SEARCH("去",D7212)),ISNUMBER(SEARCH("入",D7212)))),"Ambiguous",IF(ISNUMBER(SEARCH("平",D7212)),"平","仄")))</x:f>
        <x:v>平</x:v>
      </x:c>
      <x:c r="L7212" s="7" t="str">
        <x:v>Pingshui main list expansion</x:v>
      </x:c>
    </x:row>
    <x:row r="7213">
      <x:c r="A7213" s="5" t="str">
        <x:v>瀼</x:v>
      </x:c>
      <x:c r="B7213" s="6" t="str">
        <x:v>平</x:v>
      </x:c>
      <x:c r="C7213" s="6" t="str">
        <x:f>IF(B7213="","Needs decision","Ready")</x:f>
        <x:v>Ready</x:v>
      </x:c>
      <x:c r="D7213" s="6" t="str">
        <x:v>平</x:v>
      </x:c>
      <x:c r="E7213" s="6" t="str"/>
      <x:c r="F7213" s="6" t="str">
        <x:v>下平聲七陽</x:v>
      </x:c>
      <x:c r="G7213" s="6" t="str">
        <x:v>Pingshui main list, Wikisource-derived DOCX</x:v>
      </x:c>
      <x:c r="H7213" s="6" t="str"/>
      <x:c r="I7213" s="6" t="str">
        <x:v>Pingshui main-list expansion; 詞 entries ignored</x:v>
      </x:c>
      <x:c r="J7213" s="6" t="str">
        <x:f>IF(B7213="","",IF(AND(ISNUMBER(SEARCH("平",B7213)),OR(ISNUMBER(SEARCH("上",B7213)),ISNUMBER(SEARCH("去",B7213)),ISNUMBER(SEARCH("入",B7213)))),"Ambiguous",IF(ISNUMBER(SEARCH("平",B7213)),"平","仄")))</x:f>
        <x:v>平</x:v>
      </x:c>
      <x:c r="K7213" s="6" t="str">
        <x:f>IF(D7213="","",IF(AND(ISNUMBER(SEARCH("平",D7213)),OR(ISNUMBER(SEARCH("上",D7213)),ISNUMBER(SEARCH("去",D7213)),ISNUMBER(SEARCH("入",D7213)))),"Ambiguous",IF(ISNUMBER(SEARCH("平",D7213)),"平","仄")))</x:f>
        <x:v>平</x:v>
      </x:c>
      <x:c r="L7213" s="7" t="str">
        <x:v>Pingshui main list expansion</x:v>
      </x:c>
    </x:row>
    <x:row r="7214">
      <x:c r="A7214" s="5" t="str">
        <x:v>灄</x:v>
      </x:c>
      <x:c r="B7214" s="6" t="str">
        <x:v>入</x:v>
      </x:c>
      <x:c r="C7214" s="6" t="str">
        <x:f>IF(B7214="","Needs decision","Ready")</x:f>
        <x:v>Ready</x:v>
      </x:c>
      <x:c r="D7214" s="6" t="str">
        <x:v>入</x:v>
      </x:c>
      <x:c r="E7214" s="6" t="str"/>
      <x:c r="F7214" s="6" t="str">
        <x:v>入聲十六葉</x:v>
      </x:c>
      <x:c r="G7214" s="6" t="str">
        <x:v>Pingshui main list, Wikisource-derived DOCX</x:v>
      </x:c>
      <x:c r="H7214" s="6" t="str"/>
      <x:c r="I7214" s="6" t="str">
        <x:v>Pingshui main-list expansion; 詞 entries ignored</x:v>
      </x:c>
      <x:c r="J7214" s="6" t="str">
        <x:f>IF(B7214="","",IF(AND(ISNUMBER(SEARCH("平",B7214)),OR(ISNUMBER(SEARCH("上",B7214)),ISNUMBER(SEARCH("去",B7214)),ISNUMBER(SEARCH("入",B7214)))),"Ambiguous",IF(ISNUMBER(SEARCH("平",B7214)),"平","仄")))</x:f>
        <x:v>仄</x:v>
      </x:c>
      <x:c r="K7214" s="6" t="str">
        <x:f>IF(D7214="","",IF(AND(ISNUMBER(SEARCH("平",D7214)),OR(ISNUMBER(SEARCH("上",D7214)),ISNUMBER(SEARCH("去",D7214)),ISNUMBER(SEARCH("入",D7214)))),"Ambiguous",IF(ISNUMBER(SEARCH("平",D7214)),"平","仄")))</x:f>
        <x:v>仄</x:v>
      </x:c>
      <x:c r="L7214" s="7" t="str">
        <x:v>Pingshui main list expansion</x:v>
      </x:c>
    </x:row>
    <x:row r="7215">
      <x:c r="A7215" s="5" t="str">
        <x:v>灉</x:v>
      </x:c>
      <x:c r="B7215" s="6" t="str">
        <x:v>平</x:v>
      </x:c>
      <x:c r="C7215" s="6" t="str">
        <x:f>IF(B7215="","Needs decision","Ready")</x:f>
        <x:v>Ready</x:v>
      </x:c>
      <x:c r="D7215" s="6" t="str">
        <x:v>平</x:v>
      </x:c>
      <x:c r="E7215" s="6" t="str"/>
      <x:c r="F7215" s="6" t="str">
        <x:v>上平聲二冬</x:v>
      </x:c>
      <x:c r="G7215" s="6" t="str">
        <x:v>Pingshui main list, Wikisource-derived DOCX</x:v>
      </x:c>
      <x:c r="H7215" s="6" t="str"/>
      <x:c r="I7215" s="6" t="str">
        <x:v>Pingshui main-list expansion; 詞 entries ignored</x:v>
      </x:c>
      <x:c r="J7215" s="6" t="str">
        <x:f>IF(B7215="","",IF(AND(ISNUMBER(SEARCH("平",B7215)),OR(ISNUMBER(SEARCH("上",B7215)),ISNUMBER(SEARCH("去",B7215)),ISNUMBER(SEARCH("入",B7215)))),"Ambiguous",IF(ISNUMBER(SEARCH("平",B7215)),"平","仄")))</x:f>
        <x:v>平</x:v>
      </x:c>
      <x:c r="K7215" s="6" t="str">
        <x:f>IF(D7215="","",IF(AND(ISNUMBER(SEARCH("平",D7215)),OR(ISNUMBER(SEARCH("上",D7215)),ISNUMBER(SEARCH("去",D7215)),ISNUMBER(SEARCH("入",D7215)))),"Ambiguous",IF(ISNUMBER(SEARCH("平",D7215)),"平","仄")))</x:f>
        <x:v>平</x:v>
      </x:c>
      <x:c r="L7215" s="7" t="str">
        <x:v>Pingshui main list expansion</x:v>
      </x:c>
    </x:row>
    <x:row r="7216">
      <x:c r="A7216" s="5" t="str">
        <x:v>灝</x:v>
      </x:c>
      <x:c r="B7216" s="6" t="str">
        <x:v>上</x:v>
      </x:c>
      <x:c r="C7216" s="6" t="str">
        <x:f>IF(B7216="","Needs decision","Ready")</x:f>
        <x:v>Ready</x:v>
      </x:c>
      <x:c r="D7216" s="6" t="str">
        <x:v>上</x:v>
      </x:c>
      <x:c r="E7216" s="6" t="str"/>
      <x:c r="F7216" s="6" t="str">
        <x:v>上聲十九皓</x:v>
      </x:c>
      <x:c r="G7216" s="6" t="str">
        <x:v>Pingshui main list, Wikisource-derived DOCX</x:v>
      </x:c>
      <x:c r="H7216" s="6" t="str"/>
      <x:c r="I7216" s="6" t="str">
        <x:v>Pingshui main-list expansion; 詞 entries ignored</x:v>
      </x:c>
      <x:c r="J7216" s="6" t="str">
        <x:f>IF(B7216="","",IF(AND(ISNUMBER(SEARCH("平",B7216)),OR(ISNUMBER(SEARCH("上",B7216)),ISNUMBER(SEARCH("去",B7216)),ISNUMBER(SEARCH("入",B7216)))),"Ambiguous",IF(ISNUMBER(SEARCH("平",B7216)),"平","仄")))</x:f>
        <x:v>仄</x:v>
      </x:c>
      <x:c r="K7216" s="6" t="str">
        <x:f>IF(D7216="","",IF(AND(ISNUMBER(SEARCH("平",D7216)),OR(ISNUMBER(SEARCH("上",D7216)),ISNUMBER(SEARCH("去",D7216)),ISNUMBER(SEARCH("入",D7216)))),"Ambiguous",IF(ISNUMBER(SEARCH("平",D7216)),"平","仄")))</x:f>
        <x:v>仄</x:v>
      </x:c>
      <x:c r="L7216" s="7" t="str">
        <x:v>Pingshui main list expansion</x:v>
      </x:c>
    </x:row>
    <x:row r="7217">
      <x:c r="A7217" s="5" t="str">
        <x:v>灢</x:v>
      </x:c>
      <x:c r="B7217" s="6" t="str">
        <x:v>上</x:v>
      </x:c>
      <x:c r="C7217" s="6" t="str">
        <x:f>IF(B7217="","Needs decision","Ready")</x:f>
        <x:v>Ready</x:v>
      </x:c>
      <x:c r="D7217" s="6" t="str">
        <x:v>上</x:v>
      </x:c>
      <x:c r="E7217" s="6" t="str"/>
      <x:c r="F7217" s="6" t="str">
        <x:v>上聲二十二養</x:v>
      </x:c>
      <x:c r="G7217" s="6" t="str">
        <x:v>Pingshui main list, Wikisource-derived DOCX</x:v>
      </x:c>
      <x:c r="H7217" s="6" t="str"/>
      <x:c r="I7217" s="6" t="str">
        <x:v>Pingshui main-list expansion; 詞 entries ignored</x:v>
      </x:c>
      <x:c r="J7217" s="6" t="str">
        <x:f>IF(B7217="","",IF(AND(ISNUMBER(SEARCH("平",B7217)),OR(ISNUMBER(SEARCH("上",B7217)),ISNUMBER(SEARCH("去",B7217)),ISNUMBER(SEARCH("入",B7217)))),"Ambiguous",IF(ISNUMBER(SEARCH("平",B7217)),"平","仄")))</x:f>
        <x:v>仄</x:v>
      </x:c>
      <x:c r="K7217" s="6" t="str">
        <x:f>IF(D7217="","",IF(AND(ISNUMBER(SEARCH("平",D7217)),OR(ISNUMBER(SEARCH("上",D7217)),ISNUMBER(SEARCH("去",D7217)),ISNUMBER(SEARCH("入",D7217)))),"Ambiguous",IF(ISNUMBER(SEARCH("平",D7217)),"平","仄")))</x:f>
        <x:v>仄</x:v>
      </x:c>
      <x:c r="L7217" s="7" t="str">
        <x:v>Pingshui main list expansion</x:v>
      </x:c>
    </x:row>
    <x:row r="7218">
      <x:c r="A7218" s="5" t="str">
        <x:v>灨</x:v>
      </x:c>
      <x:c r="B7218" s="6" t="str">
        <x:v>去</x:v>
      </x:c>
      <x:c r="C7218" s="6" t="str">
        <x:f>IF(B7218="","Needs decision","Ready")</x:f>
        <x:v>Ready</x:v>
      </x:c>
      <x:c r="D7218" s="6" t="str">
        <x:v>去</x:v>
      </x:c>
      <x:c r="E7218" s="6" t="str"/>
      <x:c r="F7218" s="6" t="str">
        <x:v>去聲二十八勘</x:v>
      </x:c>
      <x:c r="G7218" s="6" t="str">
        <x:v>Pingshui main list, Wikisource-derived DOCX</x:v>
      </x:c>
      <x:c r="H7218" s="6" t="str"/>
      <x:c r="I7218" s="6" t="str">
        <x:v>Pingshui main-list expansion; 詞 entries ignored</x:v>
      </x:c>
      <x:c r="J7218" s="6" t="str">
        <x:f>IF(B7218="","",IF(AND(ISNUMBER(SEARCH("平",B7218)),OR(ISNUMBER(SEARCH("上",B7218)),ISNUMBER(SEARCH("去",B7218)),ISNUMBER(SEARCH("入",B7218)))),"Ambiguous",IF(ISNUMBER(SEARCH("平",B7218)),"平","仄")))</x:f>
        <x:v>仄</x:v>
      </x:c>
      <x:c r="K7218" s="6" t="str">
        <x:f>IF(D7218="","",IF(AND(ISNUMBER(SEARCH("平",D7218)),OR(ISNUMBER(SEARCH("上",D7218)),ISNUMBER(SEARCH("去",D7218)),ISNUMBER(SEARCH("入",D7218)))),"Ambiguous",IF(ISNUMBER(SEARCH("平",D7218)),"平","仄")))</x:f>
        <x:v>仄</x:v>
      </x:c>
      <x:c r="L7218" s="7" t="str">
        <x:v>Pingshui main list expansion</x:v>
      </x:c>
    </x:row>
    <x:row r="7219">
      <x:c r="A7219" s="5" t="str">
        <x:v>灺</x:v>
      </x:c>
      <x:c r="B7219" s="6" t="str">
        <x:v>上</x:v>
      </x:c>
      <x:c r="C7219" s="6" t="str">
        <x:f>IF(B7219="","Needs decision","Ready")</x:f>
        <x:v>Ready</x:v>
      </x:c>
      <x:c r="D7219" s="6" t="str">
        <x:v>上</x:v>
      </x:c>
      <x:c r="E7219" s="6" t="str"/>
      <x:c r="F7219" s="6" t="str">
        <x:v>上聲二十一馬</x:v>
      </x:c>
      <x:c r="G7219" s="6" t="str">
        <x:v>Pingshui main list, Wikisource-derived DOCX</x:v>
      </x:c>
      <x:c r="H7219" s="6" t="str"/>
      <x:c r="I7219" s="6" t="str">
        <x:v>Pingshui main-list expansion; 詞 entries ignored</x:v>
      </x:c>
      <x:c r="J7219" s="6" t="str">
        <x:f>IF(B7219="","",IF(AND(ISNUMBER(SEARCH("平",B7219)),OR(ISNUMBER(SEARCH("上",B7219)),ISNUMBER(SEARCH("去",B7219)),ISNUMBER(SEARCH("入",B7219)))),"Ambiguous",IF(ISNUMBER(SEARCH("平",B7219)),"平","仄")))</x:f>
        <x:v>仄</x:v>
      </x:c>
      <x:c r="K7219" s="6" t="str">
        <x:f>IF(D7219="","",IF(AND(ISNUMBER(SEARCH("平",D7219)),OR(ISNUMBER(SEARCH("上",D7219)),ISNUMBER(SEARCH("去",D7219)),ISNUMBER(SEARCH("入",D7219)))),"Ambiguous",IF(ISNUMBER(SEARCH("平",D7219)),"平","仄")))</x:f>
        <x:v>仄</x:v>
      </x:c>
      <x:c r="L7219" s="7" t="str">
        <x:v>Pingshui main list expansion</x:v>
      </x:c>
    </x:row>
    <x:row r="7220">
      <x:c r="A7220" s="5" t="str">
        <x:v>炕</x:v>
      </x:c>
      <x:c r="B7220" s="6" t="str">
        <x:v>去</x:v>
      </x:c>
      <x:c r="C7220" s="6" t="str">
        <x:f>IF(B7220="","Needs decision","Ready")</x:f>
        <x:v>Ready</x:v>
      </x:c>
      <x:c r="D7220" s="6" t="str">
        <x:v>去</x:v>
      </x:c>
      <x:c r="E7220" s="6" t="str"/>
      <x:c r="F7220" s="6" t="str">
        <x:v>去聲二十三漾</x:v>
      </x:c>
      <x:c r="G7220" s="6" t="str">
        <x:v>Pingshui main list, Wikisource-derived DOCX</x:v>
      </x:c>
      <x:c r="H7220" s="6" t="str"/>
      <x:c r="I7220" s="6" t="str">
        <x:v>Pingshui main-list expansion; 詞 entries ignored</x:v>
      </x:c>
      <x:c r="J7220" s="6" t="str">
        <x:f>IF(B7220="","",IF(AND(ISNUMBER(SEARCH("平",B7220)),OR(ISNUMBER(SEARCH("上",B7220)),ISNUMBER(SEARCH("去",B7220)),ISNUMBER(SEARCH("入",B7220)))),"Ambiguous",IF(ISNUMBER(SEARCH("平",B7220)),"平","仄")))</x:f>
        <x:v>仄</x:v>
      </x:c>
      <x:c r="K7220" s="6" t="str">
        <x:f>IF(D7220="","",IF(AND(ISNUMBER(SEARCH("平",D7220)),OR(ISNUMBER(SEARCH("上",D7220)),ISNUMBER(SEARCH("去",D7220)),ISNUMBER(SEARCH("入",D7220)))),"Ambiguous",IF(ISNUMBER(SEARCH("平",D7220)),"平","仄")))</x:f>
        <x:v>仄</x:v>
      </x:c>
      <x:c r="L7220" s="7" t="str">
        <x:v>Pingshui main list expansion</x:v>
      </x:c>
    </x:row>
    <x:row r="7221">
      <x:c r="A7221" s="5" t="str">
        <x:v>炘</x:v>
      </x:c>
      <x:c r="B7221" s="6" t="str">
        <x:v>平</x:v>
      </x:c>
      <x:c r="C7221" s="6" t="str">
        <x:f>IF(B7221="","Needs decision","Ready")</x:f>
        <x:v>Ready</x:v>
      </x:c>
      <x:c r="D7221" s="6" t="str">
        <x:v>平</x:v>
      </x:c>
      <x:c r="E7221" s="6" t="str"/>
      <x:c r="F7221" s="6" t="str">
        <x:v>上平聲十二文</x:v>
      </x:c>
      <x:c r="G7221" s="6" t="str">
        <x:v>Pingshui main list, Wikisource-derived DOCX</x:v>
      </x:c>
      <x:c r="H7221" s="6" t="str"/>
      <x:c r="I7221" s="6" t="str">
        <x:v>Pingshui main-list expansion; 詞 entries ignored</x:v>
      </x:c>
      <x:c r="J7221" s="6" t="str">
        <x:f>IF(B7221="","",IF(AND(ISNUMBER(SEARCH("平",B7221)),OR(ISNUMBER(SEARCH("上",B7221)),ISNUMBER(SEARCH("去",B7221)),ISNUMBER(SEARCH("入",B7221)))),"Ambiguous",IF(ISNUMBER(SEARCH("平",B7221)),"平","仄")))</x:f>
        <x:v>平</x:v>
      </x:c>
      <x:c r="K7221" s="6" t="str">
        <x:f>IF(D7221="","",IF(AND(ISNUMBER(SEARCH("平",D7221)),OR(ISNUMBER(SEARCH("上",D7221)),ISNUMBER(SEARCH("去",D7221)),ISNUMBER(SEARCH("入",D7221)))),"Ambiguous",IF(ISNUMBER(SEARCH("平",D7221)),"平","仄")))</x:f>
        <x:v>平</x:v>
      </x:c>
      <x:c r="L7221" s="7" t="str">
        <x:v>Pingshui main list expansion</x:v>
      </x:c>
    </x:row>
    <x:row r="7222">
      <x:c r="A7222" s="5" t="str">
        <x:v>烋</x:v>
      </x:c>
      <x:c r="B7222" s="6" t="str">
        <x:v>平</x:v>
      </x:c>
      <x:c r="C7222" s="6" t="str">
        <x:f>IF(B7222="","Needs decision","Ready")</x:f>
        <x:v>Ready</x:v>
      </x:c>
      <x:c r="D7222" s="6" t="str">
        <x:v>平</x:v>
      </x:c>
      <x:c r="E7222" s="6" t="str"/>
      <x:c r="F7222" s="6" t="str">
        <x:v>下平聲三肴</x:v>
      </x:c>
      <x:c r="G7222" s="6" t="str">
        <x:v>Pingshui main list, Wikisource-derived DOCX</x:v>
      </x:c>
      <x:c r="H7222" s="6" t="str"/>
      <x:c r="I7222" s="6" t="str">
        <x:v>Pingshui main-list expansion; 詞 entries ignored</x:v>
      </x:c>
      <x:c r="J7222" s="6" t="str">
        <x:f>IF(B7222="","",IF(AND(ISNUMBER(SEARCH("平",B7222)),OR(ISNUMBER(SEARCH("上",B7222)),ISNUMBER(SEARCH("去",B7222)),ISNUMBER(SEARCH("入",B7222)))),"Ambiguous",IF(ISNUMBER(SEARCH("平",B7222)),"平","仄")))</x:f>
        <x:v>平</x:v>
      </x:c>
      <x:c r="K7222" s="6" t="str">
        <x:f>IF(D7222="","",IF(AND(ISNUMBER(SEARCH("平",D7222)),OR(ISNUMBER(SEARCH("上",D7222)),ISNUMBER(SEARCH("去",D7222)),ISNUMBER(SEARCH("入",D7222)))),"Ambiguous",IF(ISNUMBER(SEARCH("平",D7222)),"平","仄")))</x:f>
        <x:v>平</x:v>
      </x:c>
      <x:c r="L7222" s="7" t="str">
        <x:v>Pingshui main list expansion</x:v>
      </x:c>
    </x:row>
    <x:row r="7223">
      <x:c r="A7223" s="5" t="str">
        <x:v>烓</x:v>
      </x:c>
      <x:c r="B7223" s="6" t="str">
        <x:v>平</x:v>
      </x:c>
      <x:c r="C7223" s="6" t="str">
        <x:f>IF(B7223="","Needs decision","Ready")</x:f>
        <x:v>Ready</x:v>
      </x:c>
      <x:c r="D7223" s="6" t="str">
        <x:v>平</x:v>
      </x:c>
      <x:c r="E7223" s="6" t="str"/>
      <x:c r="F7223" s="6" t="str">
        <x:v>上平聲八齊</x:v>
      </x:c>
      <x:c r="G7223" s="6" t="str">
        <x:v>Pingshui main list, Wikisource-derived DOCX</x:v>
      </x:c>
      <x:c r="H7223" s="6" t="str"/>
      <x:c r="I7223" s="6" t="str">
        <x:v>Pingshui main-list expansion; 詞 entries ignored</x:v>
      </x:c>
      <x:c r="J7223" s="6" t="str">
        <x:f>IF(B7223="","",IF(AND(ISNUMBER(SEARCH("平",B7223)),OR(ISNUMBER(SEARCH("上",B7223)),ISNUMBER(SEARCH("去",B7223)),ISNUMBER(SEARCH("入",B7223)))),"Ambiguous",IF(ISNUMBER(SEARCH("平",B7223)),"平","仄")))</x:f>
        <x:v>平</x:v>
      </x:c>
      <x:c r="K7223" s="6" t="str">
        <x:f>IF(D7223="","",IF(AND(ISNUMBER(SEARCH("平",D7223)),OR(ISNUMBER(SEARCH("上",D7223)),ISNUMBER(SEARCH("去",D7223)),ISNUMBER(SEARCH("入",D7223)))),"Ambiguous",IF(ISNUMBER(SEARCH("平",D7223)),"平","仄")))</x:f>
        <x:v>平</x:v>
      </x:c>
      <x:c r="L7223" s="7" t="str">
        <x:v>Pingshui main list expansion</x:v>
      </x:c>
    </x:row>
    <x:row r="7224">
      <x:c r="A7224" s="5" t="str">
        <x:v>烘</x:v>
      </x:c>
      <x:c r="B7224" s="6" t="str">
        <x:v>平</x:v>
      </x:c>
      <x:c r="C7224" s="6" t="str">
        <x:f>IF(B7224="","Needs decision","Ready")</x:f>
        <x:v>Ready</x:v>
      </x:c>
      <x:c r="D7224" s="6" t="str">
        <x:v>平</x:v>
      </x:c>
      <x:c r="E7224" s="6" t="str"/>
      <x:c r="F7224" s="6" t="str">
        <x:v>上平聲一東</x:v>
      </x:c>
      <x:c r="G7224" s="6" t="str">
        <x:v>Pingshui main list, Wikisource-derived DOCX</x:v>
      </x:c>
      <x:c r="H7224" s="6" t="str"/>
      <x:c r="I7224" s="6" t="str">
        <x:v>Pingshui main-list expansion; 詞 entries ignored</x:v>
      </x:c>
      <x:c r="J7224" s="6" t="str">
        <x:f>IF(B7224="","",IF(AND(ISNUMBER(SEARCH("平",B7224)),OR(ISNUMBER(SEARCH("上",B7224)),ISNUMBER(SEARCH("去",B7224)),ISNUMBER(SEARCH("入",B7224)))),"Ambiguous",IF(ISNUMBER(SEARCH("平",B7224)),"平","仄")))</x:f>
        <x:v>平</x:v>
      </x:c>
      <x:c r="K7224" s="6" t="str">
        <x:f>IF(D7224="","",IF(AND(ISNUMBER(SEARCH("平",D7224)),OR(ISNUMBER(SEARCH("上",D7224)),ISNUMBER(SEARCH("去",D7224)),ISNUMBER(SEARCH("入",D7224)))),"Ambiguous",IF(ISNUMBER(SEARCH("平",D7224)),"平","仄")))</x:f>
        <x:v>平</x:v>
      </x:c>
      <x:c r="L7224" s="7" t="str">
        <x:v>Pingshui main list expansion</x:v>
      </x:c>
    </x:row>
    <x:row r="7225">
      <x:c r="A7225" s="5" t="str">
        <x:v>烰</x:v>
      </x:c>
      <x:c r="B7225" s="6" t="str">
        <x:v>平</x:v>
      </x:c>
      <x:c r="C7225" s="6" t="str">
        <x:f>IF(B7225="","Needs decision","Ready")</x:f>
        <x:v>Ready</x:v>
      </x:c>
      <x:c r="D7225" s="6" t="str">
        <x:v>平</x:v>
      </x:c>
      <x:c r="E7225" s="6" t="str"/>
      <x:c r="F7225" s="6" t="str">
        <x:v>下平聲十一尤</x:v>
      </x:c>
      <x:c r="G7225" s="6" t="str">
        <x:v>Pingshui main list, Wikisource-derived DOCX</x:v>
      </x:c>
      <x:c r="H7225" s="6" t="str"/>
      <x:c r="I7225" s="6" t="str">
        <x:v>Pingshui main-list expansion; 詞 entries ignored</x:v>
      </x:c>
      <x:c r="J7225" s="6" t="str">
        <x:f>IF(B7225="","",IF(AND(ISNUMBER(SEARCH("平",B7225)),OR(ISNUMBER(SEARCH("上",B7225)),ISNUMBER(SEARCH("去",B7225)),ISNUMBER(SEARCH("入",B7225)))),"Ambiguous",IF(ISNUMBER(SEARCH("平",B7225)),"平","仄")))</x:f>
        <x:v>平</x:v>
      </x:c>
      <x:c r="K7225" s="6" t="str">
        <x:f>IF(D7225="","",IF(AND(ISNUMBER(SEARCH("平",D7225)),OR(ISNUMBER(SEARCH("上",D7225)),ISNUMBER(SEARCH("去",D7225)),ISNUMBER(SEARCH("入",D7225)))),"Ambiguous",IF(ISNUMBER(SEARCH("平",D7225)),"平","仄")))</x:f>
        <x:v>平</x:v>
      </x:c>
      <x:c r="L7225" s="7" t="str">
        <x:v>Pingshui main list expansion</x:v>
      </x:c>
    </x:row>
    <x:row r="7226">
      <x:c r="A7226" s="5" t="str">
        <x:v>焄</x:v>
      </x:c>
      <x:c r="B7226" s="6" t="str">
        <x:v>平</x:v>
      </x:c>
      <x:c r="C7226" s="6" t="str">
        <x:f>IF(B7226="","Needs decision","Ready")</x:f>
        <x:v>Ready</x:v>
      </x:c>
      <x:c r="D7226" s="6" t="str">
        <x:v>平</x:v>
      </x:c>
      <x:c r="E7226" s="6" t="str"/>
      <x:c r="F7226" s="6" t="str">
        <x:v>上平聲十二文</x:v>
      </x:c>
      <x:c r="G7226" s="6" t="str">
        <x:v>Pingshui main list, Wikisource-derived DOCX</x:v>
      </x:c>
      <x:c r="H7226" s="6" t="str"/>
      <x:c r="I7226" s="6" t="str">
        <x:v>Pingshui main-list expansion; 詞 entries ignored</x:v>
      </x:c>
      <x:c r="J7226" s="6" t="str">
        <x:f>IF(B7226="","",IF(AND(ISNUMBER(SEARCH("平",B7226)),OR(ISNUMBER(SEARCH("上",B7226)),ISNUMBER(SEARCH("去",B7226)),ISNUMBER(SEARCH("入",B7226)))),"Ambiguous",IF(ISNUMBER(SEARCH("平",B7226)),"平","仄")))</x:f>
        <x:v>平</x:v>
      </x:c>
      <x:c r="K7226" s="6" t="str">
        <x:f>IF(D7226="","",IF(AND(ISNUMBER(SEARCH("平",D7226)),OR(ISNUMBER(SEARCH("上",D7226)),ISNUMBER(SEARCH("去",D7226)),ISNUMBER(SEARCH("入",D7226)))),"Ambiguous",IF(ISNUMBER(SEARCH("平",D7226)),"平","仄")))</x:f>
        <x:v>平</x:v>
      </x:c>
      <x:c r="L7226" s="7" t="str">
        <x:v>Pingshui main list expansion</x:v>
      </x:c>
    </x:row>
    <x:row r="7227">
      <x:c r="A7227" s="5" t="str">
        <x:v>焆</x:v>
      </x:c>
      <x:c r="B7227" s="6" t="str">
        <x:v>平</x:v>
      </x:c>
      <x:c r="C7227" s="6" t="str">
        <x:f>IF(B7227="","Needs decision","Ready")</x:f>
        <x:v>Ready</x:v>
      </x:c>
      <x:c r="D7227" s="6" t="str">
        <x:v>平</x:v>
      </x:c>
      <x:c r="E7227" s="6" t="str"/>
      <x:c r="F7227" s="6" t="str">
        <x:v>下平聲一先</x:v>
      </x:c>
      <x:c r="G7227" s="6" t="str">
        <x:v>Pingshui main list, Wikisource-derived DOCX</x:v>
      </x:c>
      <x:c r="H7227" s="6" t="str"/>
      <x:c r="I7227" s="6" t="str">
        <x:v>Pingshui main-list expansion; 詞 entries ignored</x:v>
      </x:c>
      <x:c r="J7227" s="6" t="str">
        <x:f>IF(B7227="","",IF(AND(ISNUMBER(SEARCH("平",B7227)),OR(ISNUMBER(SEARCH("上",B7227)),ISNUMBER(SEARCH("去",B7227)),ISNUMBER(SEARCH("入",B7227)))),"Ambiguous",IF(ISNUMBER(SEARCH("平",B7227)),"平","仄")))</x:f>
        <x:v>平</x:v>
      </x:c>
      <x:c r="K7227" s="6" t="str">
        <x:f>IF(D7227="","",IF(AND(ISNUMBER(SEARCH("平",D7227)),OR(ISNUMBER(SEARCH("上",D7227)),ISNUMBER(SEARCH("去",D7227)),ISNUMBER(SEARCH("入",D7227)))),"Ambiguous",IF(ISNUMBER(SEARCH("平",D7227)),"平","仄")))</x:f>
        <x:v>平</x:v>
      </x:c>
      <x:c r="L7227" s="7" t="str">
        <x:v>Pingshui main list expansion</x:v>
      </x:c>
    </x:row>
    <x:row r="7228">
      <x:c r="A7228" s="5" t="str">
        <x:v>焯</x:v>
      </x:c>
      <x:c r="B7228" s="6" t="str">
        <x:v>入</x:v>
      </x:c>
      <x:c r="C7228" s="6" t="str">
        <x:f>IF(B7228="","Needs decision","Ready")</x:f>
        <x:v>Ready</x:v>
      </x:c>
      <x:c r="D7228" s="6" t="str">
        <x:v>入</x:v>
      </x:c>
      <x:c r="E7228" s="6" t="str"/>
      <x:c r="F7228" s="6" t="str">
        <x:v>入聲十藥</x:v>
      </x:c>
      <x:c r="G7228" s="6" t="str">
        <x:v>Pingshui main list, Wikisource-derived DOCX</x:v>
      </x:c>
      <x:c r="H7228" s="6" t="str"/>
      <x:c r="I7228" s="6" t="str">
        <x:v>Pingshui main-list expansion; 詞 entries ignored</x:v>
      </x:c>
      <x:c r="J7228" s="6" t="str">
        <x:f>IF(B7228="","",IF(AND(ISNUMBER(SEARCH("平",B7228)),OR(ISNUMBER(SEARCH("上",B7228)),ISNUMBER(SEARCH("去",B7228)),ISNUMBER(SEARCH("入",B7228)))),"Ambiguous",IF(ISNUMBER(SEARCH("平",B7228)),"平","仄")))</x:f>
        <x:v>仄</x:v>
      </x:c>
      <x:c r="K7228" s="6" t="str">
        <x:f>IF(D7228="","",IF(AND(ISNUMBER(SEARCH("平",D7228)),OR(ISNUMBER(SEARCH("上",D7228)),ISNUMBER(SEARCH("去",D7228)),ISNUMBER(SEARCH("入",D7228)))),"Ambiguous",IF(ISNUMBER(SEARCH("平",D7228)),"平","仄")))</x:f>
        <x:v>仄</x:v>
      </x:c>
      <x:c r="L7228" s="7" t="str">
        <x:v>Pingshui main list expansion</x:v>
      </x:c>
    </x:row>
    <x:row r="7229">
      <x:c r="A7229" s="5" t="str">
        <x:v>煆</x:v>
      </x:c>
      <x:c r="B7229" s="6" t="str">
        <x:v>平</x:v>
      </x:c>
      <x:c r="C7229" s="6" t="str">
        <x:f>IF(B7229="","Needs decision","Ready")</x:f>
        <x:v>Ready</x:v>
      </x:c>
      <x:c r="D7229" s="6" t="str">
        <x:v>平</x:v>
      </x:c>
      <x:c r="E7229" s="6" t="str"/>
      <x:c r="F7229" s="6" t="str">
        <x:v>下平聲六麻</x:v>
      </x:c>
      <x:c r="G7229" s="6" t="str">
        <x:v>Pingshui main list, Wikisource-derived DOCX</x:v>
      </x:c>
      <x:c r="H7229" s="6" t="str"/>
      <x:c r="I7229" s="6" t="str">
        <x:v>Pingshui main-list expansion; 詞 entries ignored</x:v>
      </x:c>
      <x:c r="J7229" s="6" t="str">
        <x:f>IF(B7229="","",IF(AND(ISNUMBER(SEARCH("平",B7229)),OR(ISNUMBER(SEARCH("上",B7229)),ISNUMBER(SEARCH("去",B7229)),ISNUMBER(SEARCH("入",B7229)))),"Ambiguous",IF(ISNUMBER(SEARCH("平",B7229)),"平","仄")))</x:f>
        <x:v>平</x:v>
      </x:c>
      <x:c r="K7229" s="6" t="str">
        <x:f>IF(D7229="","",IF(AND(ISNUMBER(SEARCH("平",D7229)),OR(ISNUMBER(SEARCH("上",D7229)),ISNUMBER(SEARCH("去",D7229)),ISNUMBER(SEARCH("入",D7229)))),"Ambiguous",IF(ISNUMBER(SEARCH("平",D7229)),"平","仄")))</x:f>
        <x:v>平</x:v>
      </x:c>
      <x:c r="L7229" s="7" t="str">
        <x:v>Pingshui main list expansion</x:v>
      </x:c>
    </x:row>
    <x:row r="7230">
      <x:c r="A7230" s="5" t="str">
        <x:v>煔</x:v>
      </x:c>
      <x:c r="B7230" s="6" t="str">
        <x:v>去</x:v>
      </x:c>
      <x:c r="C7230" s="6" t="str">
        <x:f>IF(B7230="","Needs decision","Ready")</x:f>
        <x:v>Ready</x:v>
      </x:c>
      <x:c r="D7230" s="6" t="str">
        <x:v>去</x:v>
      </x:c>
      <x:c r="E7230" s="6" t="str"/>
      <x:c r="F7230" s="6" t="str">
        <x:v>去聲二十九豔</x:v>
      </x:c>
      <x:c r="G7230" s="6" t="str">
        <x:v>Pingshui main list, Wikisource-derived DOCX</x:v>
      </x:c>
      <x:c r="H7230" s="6" t="str"/>
      <x:c r="I7230" s="6" t="str">
        <x:v>Pingshui main-list expansion; 詞 entries ignored</x:v>
      </x:c>
      <x:c r="J7230" s="6" t="str">
        <x:f>IF(B7230="","",IF(AND(ISNUMBER(SEARCH("平",B7230)),OR(ISNUMBER(SEARCH("上",B7230)),ISNUMBER(SEARCH("去",B7230)),ISNUMBER(SEARCH("入",B7230)))),"Ambiguous",IF(ISNUMBER(SEARCH("平",B7230)),"平","仄")))</x:f>
        <x:v>仄</x:v>
      </x:c>
      <x:c r="K7230" s="6" t="str">
        <x:f>IF(D7230="","",IF(AND(ISNUMBER(SEARCH("平",D7230)),OR(ISNUMBER(SEARCH("上",D7230)),ISNUMBER(SEARCH("去",D7230)),ISNUMBER(SEARCH("入",D7230)))),"Ambiguous",IF(ISNUMBER(SEARCH("平",D7230)),"平","仄")))</x:f>
        <x:v>仄</x:v>
      </x:c>
      <x:c r="L7230" s="7" t="str">
        <x:v>Pingshui main list expansion</x:v>
      </x:c>
    </x:row>
    <x:row r="7231">
      <x:c r="A7231" s="5" t="str">
        <x:v>煚</x:v>
      </x:c>
      <x:c r="B7231" s="6" t="str">
        <x:v>上</x:v>
      </x:c>
      <x:c r="C7231" s="6" t="str">
        <x:f>IF(B7231="","Needs decision","Ready")</x:f>
        <x:v>Ready</x:v>
      </x:c>
      <x:c r="D7231" s="6" t="str">
        <x:v>上</x:v>
      </x:c>
      <x:c r="E7231" s="6" t="str"/>
      <x:c r="F7231" s="6" t="str">
        <x:v>上聲二十三梗</x:v>
      </x:c>
      <x:c r="G7231" s="6" t="str">
        <x:v>Pingshui main list, Wikisource-derived DOCX</x:v>
      </x:c>
      <x:c r="H7231" s="6" t="str"/>
      <x:c r="I7231" s="6" t="str">
        <x:v>Pingshui main-list expansion; 詞 entries ignored</x:v>
      </x:c>
      <x:c r="J7231" s="6" t="str">
        <x:f>IF(B7231="","",IF(AND(ISNUMBER(SEARCH("平",B7231)),OR(ISNUMBER(SEARCH("上",B7231)),ISNUMBER(SEARCH("去",B7231)),ISNUMBER(SEARCH("入",B7231)))),"Ambiguous",IF(ISNUMBER(SEARCH("平",B7231)),"平","仄")))</x:f>
        <x:v>仄</x:v>
      </x:c>
      <x:c r="K7231" s="6" t="str">
        <x:f>IF(D7231="","",IF(AND(ISNUMBER(SEARCH("平",D7231)),OR(ISNUMBER(SEARCH("上",D7231)),ISNUMBER(SEARCH("去",D7231)),ISNUMBER(SEARCH("入",D7231)))),"Ambiguous",IF(ISNUMBER(SEARCH("平",D7231)),"平","仄")))</x:f>
        <x:v>仄</x:v>
      </x:c>
      <x:c r="L7231" s="7" t="str">
        <x:v>Pingshui main list expansion</x:v>
      </x:c>
    </x:row>
    <x:row r="7232">
      <x:c r="A7232" s="5" t="str">
        <x:v>煽</x:v>
      </x:c>
      <x:c r="B7232" s="6" t="str">
        <x:v>去</x:v>
      </x:c>
      <x:c r="C7232" s="6" t="str">
        <x:f>IF(B7232="","Needs decision","Ready")</x:f>
        <x:v>Ready</x:v>
      </x:c>
      <x:c r="D7232" s="6" t="str">
        <x:v>去</x:v>
      </x:c>
      <x:c r="E7232" s="6" t="str"/>
      <x:c r="F7232" s="6" t="str">
        <x:v>去聲十七霰</x:v>
      </x:c>
      <x:c r="G7232" s="6" t="str">
        <x:v>Pingshui main list, Wikisource-derived DOCX</x:v>
      </x:c>
      <x:c r="H7232" s="6" t="str"/>
      <x:c r="I7232" s="6" t="str">
        <x:v>Pingshui main-list expansion; 詞 entries ignored</x:v>
      </x:c>
      <x:c r="J7232" s="6" t="str">
        <x:f>IF(B7232="","",IF(AND(ISNUMBER(SEARCH("平",B7232)),OR(ISNUMBER(SEARCH("上",B7232)),ISNUMBER(SEARCH("去",B7232)),ISNUMBER(SEARCH("入",B7232)))),"Ambiguous",IF(ISNUMBER(SEARCH("平",B7232)),"平","仄")))</x:f>
        <x:v>仄</x:v>
      </x:c>
      <x:c r="K7232" s="6" t="str">
        <x:f>IF(D7232="","",IF(AND(ISNUMBER(SEARCH("平",D7232)),OR(ISNUMBER(SEARCH("上",D7232)),ISNUMBER(SEARCH("去",D7232)),ISNUMBER(SEARCH("入",D7232)))),"Ambiguous",IF(ISNUMBER(SEARCH("平",D7232)),"平","仄")))</x:f>
        <x:v>仄</x:v>
      </x:c>
      <x:c r="L7232" s="7" t="str">
        <x:v>Pingshui main list expansion</x:v>
      </x:c>
    </x:row>
    <x:row r="7233">
      <x:c r="A7233" s="5" t="str">
        <x:v>熂</x:v>
      </x:c>
      <x:c r="B7233" s="6" t="str">
        <x:v>去</x:v>
      </x:c>
      <x:c r="C7233" s="6" t="str">
        <x:f>IF(B7233="","Needs decision","Ready")</x:f>
        <x:v>Ready</x:v>
      </x:c>
      <x:c r="D7233" s="6" t="str">
        <x:v>去</x:v>
      </x:c>
      <x:c r="E7233" s="6" t="str"/>
      <x:c r="F7233" s="6" t="str">
        <x:v>去聲五未</x:v>
      </x:c>
      <x:c r="G7233" s="6" t="str">
        <x:v>Pingshui main list, Wikisource-derived DOCX</x:v>
      </x:c>
      <x:c r="H7233" s="6" t="str"/>
      <x:c r="I7233" s="6" t="str">
        <x:v>Pingshui main-list expansion; 詞 entries ignored</x:v>
      </x:c>
      <x:c r="J7233" s="6" t="str">
        <x:f>IF(B7233="","",IF(AND(ISNUMBER(SEARCH("平",B7233)),OR(ISNUMBER(SEARCH("上",B7233)),ISNUMBER(SEARCH("去",B7233)),ISNUMBER(SEARCH("入",B7233)))),"Ambiguous",IF(ISNUMBER(SEARCH("平",B7233)),"平","仄")))</x:f>
        <x:v>仄</x:v>
      </x:c>
      <x:c r="K7233" s="6" t="str">
        <x:f>IF(D7233="","",IF(AND(ISNUMBER(SEARCH("平",D7233)),OR(ISNUMBER(SEARCH("上",D7233)),ISNUMBER(SEARCH("去",D7233)),ISNUMBER(SEARCH("入",D7233)))),"Ambiguous",IF(ISNUMBER(SEARCH("平",D7233)),"平","仄")))</x:f>
        <x:v>仄</x:v>
      </x:c>
      <x:c r="L7233" s="7" t="str">
        <x:v>Pingshui main list expansion</x:v>
      </x:c>
    </x:row>
    <x:row r="7234">
      <x:c r="A7234" s="5" t="str">
        <x:v>熚</x:v>
      </x:c>
      <x:c r="B7234" s="6" t="str">
        <x:v>入</x:v>
      </x:c>
      <x:c r="C7234" s="6" t="str">
        <x:f>IF(B7234="","Needs decision","Ready")</x:f>
        <x:v>Ready</x:v>
      </x:c>
      <x:c r="D7234" s="6" t="str">
        <x:v>入</x:v>
      </x:c>
      <x:c r="E7234" s="6" t="str"/>
      <x:c r="F7234" s="6" t="str">
        <x:v>入聲四質</x:v>
      </x:c>
      <x:c r="G7234" s="6" t="str">
        <x:v>Pingshui main list, Wikisource-derived DOCX</x:v>
      </x:c>
      <x:c r="H7234" s="6" t="str"/>
      <x:c r="I7234" s="6" t="str">
        <x:v>Pingshui main-list expansion; 詞 entries ignored</x:v>
      </x:c>
      <x:c r="J7234" s="6" t="str">
        <x:f>IF(B7234="","",IF(AND(ISNUMBER(SEARCH("平",B7234)),OR(ISNUMBER(SEARCH("上",B7234)),ISNUMBER(SEARCH("去",B7234)),ISNUMBER(SEARCH("入",B7234)))),"Ambiguous",IF(ISNUMBER(SEARCH("平",B7234)),"平","仄")))</x:f>
        <x:v>仄</x:v>
      </x:c>
      <x:c r="K7234" s="6" t="str">
        <x:f>IF(D7234="","",IF(AND(ISNUMBER(SEARCH("平",D7234)),OR(ISNUMBER(SEARCH("上",D7234)),ISNUMBER(SEARCH("去",D7234)),ISNUMBER(SEARCH("入",D7234)))),"Ambiguous",IF(ISNUMBER(SEARCH("平",D7234)),"平","仄")))</x:f>
        <x:v>仄</x:v>
      </x:c>
      <x:c r="L7234" s="7" t="str">
        <x:v>Pingshui main list expansion</x:v>
      </x:c>
    </x:row>
    <x:row r="7235">
      <x:c r="A7235" s="5" t="str">
        <x:v>燀</x:v>
      </x:c>
      <x:c r="B7235" s="6" t="str"/>
      <x:c r="C7235" s="6" t="str">
        <x:f>IF(B7235="","Needs decision","Ready")</x:f>
        <x:v>Needs decision</x:v>
      </x:c>
      <x:c r="D7235" s="6" t="str">
        <x:v>平/上</x:v>
      </x:c>
      <x:c r="E7235" s="6" t="str"/>
      <x:c r="F7235" s="6" t="str">
        <x:v>下平聲一先; 上聲十六銑</x:v>
      </x:c>
      <x:c r="G7235" s="6" t="str">
        <x:v>Pingshui main list, Wikisource-derived DOCX</x:v>
      </x:c>
      <x:c r="H7235" s="6" t="str"/>
      <x:c r="I7235" s="6" t="str">
        <x:v>Pingshui main-list expansion; 詞 entries ignored</x:v>
      </x:c>
      <x:c r="J7235" s="6" t="str">
        <x:f>IF(B7235="","",IF(AND(ISNUMBER(SEARCH("平",B7235)),OR(ISNUMBER(SEARCH("上",B7235)),ISNUMBER(SEARCH("去",B7235)),ISNUMBER(SEARCH("入",B7235)))),"Ambiguous",IF(ISNUMBER(SEARCH("平",B7235)),"平","仄")))</x:f>
      </x:c>
      <x:c r="K7235" s="6" t="str">
        <x:f>IF(D7235="","",IF(AND(ISNUMBER(SEARCH("平",D7235)),OR(ISNUMBER(SEARCH("上",D7235)),ISNUMBER(SEARCH("去",D7235)),ISNUMBER(SEARCH("入",D7235)))),"Ambiguous",IF(ISNUMBER(SEARCH("平",D7235)),"平","仄")))</x:f>
        <x:v>Ambiguous</x:v>
      </x:c>
      <x:c r="L7235" s="7" t="str">
        <x:v>Pingshui main list expansion</x:v>
      </x:c>
    </x:row>
    <x:row r="7236">
      <x:c r="A7236" s="5" t="str">
        <x:v>燅</x:v>
      </x:c>
      <x:c r="B7236" s="6" t="str">
        <x:v>平</x:v>
      </x:c>
      <x:c r="C7236" s="6" t="str">
        <x:f>IF(B7236="","Needs decision","Ready")</x:f>
        <x:v>Ready</x:v>
      </x:c>
      <x:c r="D7236" s="6" t="str">
        <x:v>平</x:v>
      </x:c>
      <x:c r="E7236" s="6" t="str"/>
      <x:c r="F7236" s="6" t="str">
        <x:v>下平聲十四鹽</x:v>
      </x:c>
      <x:c r="G7236" s="6" t="str">
        <x:v>Pingshui main list, Wikisource-derived DOCX</x:v>
      </x:c>
      <x:c r="H7236" s="6" t="str"/>
      <x:c r="I7236" s="6" t="str">
        <x:v>Pingshui main-list expansion; 詞 entries ignored</x:v>
      </x:c>
      <x:c r="J7236" s="6" t="str">
        <x:f>IF(B7236="","",IF(AND(ISNUMBER(SEARCH("平",B7236)),OR(ISNUMBER(SEARCH("上",B7236)),ISNUMBER(SEARCH("去",B7236)),ISNUMBER(SEARCH("入",B7236)))),"Ambiguous",IF(ISNUMBER(SEARCH("平",B7236)),"平","仄")))</x:f>
        <x:v>平</x:v>
      </x:c>
      <x:c r="K7236" s="6" t="str">
        <x:f>IF(D7236="","",IF(AND(ISNUMBER(SEARCH("平",D7236)),OR(ISNUMBER(SEARCH("上",D7236)),ISNUMBER(SEARCH("去",D7236)),ISNUMBER(SEARCH("入",D7236)))),"Ambiguous",IF(ISNUMBER(SEARCH("平",D7236)),"平","仄")))</x:f>
        <x:v>平</x:v>
      </x:c>
      <x:c r="L7236" s="7" t="str">
        <x:v>Pingshui main list expansion</x:v>
      </x:c>
    </x:row>
    <x:row r="7237">
      <x:c r="A7237" s="5" t="str">
        <x:v>燐</x:v>
      </x:c>
      <x:c r="B7237" s="6" t="str">
        <x:v>平</x:v>
      </x:c>
      <x:c r="C7237" s="6" t="str">
        <x:f>IF(B7237="","Needs decision","Ready")</x:f>
        <x:v>Ready</x:v>
      </x:c>
      <x:c r="D7237" s="6" t="str">
        <x:v>平</x:v>
      </x:c>
      <x:c r="E7237" s="6" t="str"/>
      <x:c r="F7237" s="6" t="str">
        <x:v>上平聲十一真</x:v>
      </x:c>
      <x:c r="G7237" s="6" t="str">
        <x:v>Pingshui main list, Wikisource-derived DOCX</x:v>
      </x:c>
      <x:c r="H7237" s="6" t="str"/>
      <x:c r="I7237" s="6" t="str">
        <x:v>Pingshui main-list expansion; 詞 entries ignored</x:v>
      </x:c>
      <x:c r="J7237" s="6" t="str">
        <x:f>IF(B7237="","",IF(AND(ISNUMBER(SEARCH("平",B7237)),OR(ISNUMBER(SEARCH("上",B7237)),ISNUMBER(SEARCH("去",B7237)),ISNUMBER(SEARCH("入",B7237)))),"Ambiguous",IF(ISNUMBER(SEARCH("平",B7237)),"平","仄")))</x:f>
        <x:v>平</x:v>
      </x:c>
      <x:c r="K7237" s="6" t="str">
        <x:f>IF(D7237="","",IF(AND(ISNUMBER(SEARCH("平",D7237)),OR(ISNUMBER(SEARCH("上",D7237)),ISNUMBER(SEARCH("去",D7237)),ISNUMBER(SEARCH("入",D7237)))),"Ambiguous",IF(ISNUMBER(SEARCH("平",D7237)),"平","仄")))</x:f>
        <x:v>平</x:v>
      </x:c>
      <x:c r="L7237" s="7" t="str">
        <x:v>Pingshui main list expansion</x:v>
      </x:c>
    </x:row>
    <x:row r="7238">
      <x:c r="A7238" s="5" t="str">
        <x:v>燖</x:v>
      </x:c>
      <x:c r="B7238" s="6" t="str">
        <x:v>平</x:v>
      </x:c>
      <x:c r="C7238" s="6" t="str">
        <x:f>IF(B7238="","Needs decision","Ready")</x:f>
        <x:v>Ready</x:v>
      </x:c>
      <x:c r="D7238" s="6" t="str">
        <x:v>平</x:v>
      </x:c>
      <x:c r="E7238" s="6" t="str"/>
      <x:c r="F7238" s="6" t="str">
        <x:v>下平聲十二侵</x:v>
      </x:c>
      <x:c r="G7238" s="6" t="str">
        <x:v>Pingshui main list, Wikisource-derived DOCX</x:v>
      </x:c>
      <x:c r="H7238" s="6" t="str"/>
      <x:c r="I7238" s="6" t="str">
        <x:v>Pingshui main-list expansion; 詞 entries ignored</x:v>
      </x:c>
      <x:c r="J7238" s="6" t="str">
        <x:f>IF(B7238="","",IF(AND(ISNUMBER(SEARCH("平",B7238)),OR(ISNUMBER(SEARCH("上",B7238)),ISNUMBER(SEARCH("去",B7238)),ISNUMBER(SEARCH("入",B7238)))),"Ambiguous",IF(ISNUMBER(SEARCH("平",B7238)),"平","仄")))</x:f>
        <x:v>平</x:v>
      </x:c>
      <x:c r="K7238" s="6" t="str">
        <x:f>IF(D7238="","",IF(AND(ISNUMBER(SEARCH("平",D7238)),OR(ISNUMBER(SEARCH("上",D7238)),ISNUMBER(SEARCH("去",D7238)),ISNUMBER(SEARCH("入",D7238)))),"Ambiguous",IF(ISNUMBER(SEARCH("平",D7238)),"平","仄")))</x:f>
        <x:v>平</x:v>
      </x:c>
      <x:c r="L7238" s="7" t="str">
        <x:v>Pingshui main list expansion</x:v>
      </x:c>
    </x:row>
    <x:row r="7239">
      <x:c r="A7239" s="5" t="str">
        <x:v>爁</x:v>
      </x:c>
      <x:c r="B7239" s="6" t="str">
        <x:v>去</x:v>
      </x:c>
      <x:c r="C7239" s="6" t="str">
        <x:f>IF(B7239="","Needs decision","Ready")</x:f>
        <x:v>Ready</x:v>
      </x:c>
      <x:c r="D7239" s="6" t="str">
        <x:v>去</x:v>
      </x:c>
      <x:c r="E7239" s="6" t="str"/>
      <x:c r="F7239" s="6" t="str">
        <x:v>去聲二十八勘; 去聲二十九豔</x:v>
      </x:c>
      <x:c r="G7239" s="6" t="str">
        <x:v>Pingshui main list, Wikisource-derived DOCX</x:v>
      </x:c>
      <x:c r="H7239" s="6" t="str"/>
      <x:c r="I7239" s="6" t="str">
        <x:v>Pingshui main-list expansion; 詞 entries ignored</x:v>
      </x:c>
      <x:c r="J7239" s="6" t="str">
        <x:f>IF(B7239="","",IF(AND(ISNUMBER(SEARCH("平",B7239)),OR(ISNUMBER(SEARCH("上",B7239)),ISNUMBER(SEARCH("去",B7239)),ISNUMBER(SEARCH("入",B7239)))),"Ambiguous",IF(ISNUMBER(SEARCH("平",B7239)),"平","仄")))</x:f>
        <x:v>仄</x:v>
      </x:c>
      <x:c r="K7239" s="6" t="str">
        <x:f>IF(D7239="","",IF(AND(ISNUMBER(SEARCH("平",D7239)),OR(ISNUMBER(SEARCH("上",D7239)),ISNUMBER(SEARCH("去",D7239)),ISNUMBER(SEARCH("入",D7239)))),"Ambiguous",IF(ISNUMBER(SEARCH("平",D7239)),"平","仄")))</x:f>
        <x:v>仄</x:v>
      </x:c>
      <x:c r="L7239" s="7" t="str">
        <x:v>Pingshui main list expansion</x:v>
      </x:c>
    </x:row>
    <x:row r="7240">
      <x:c r="A7240" s="5" t="str">
        <x:v>爔</x:v>
      </x:c>
      <x:c r="B7240" s="6" t="str">
        <x:v>平</x:v>
      </x:c>
      <x:c r="C7240" s="6" t="str">
        <x:f>IF(B7240="","Needs decision","Ready")</x:f>
        <x:v>Ready</x:v>
      </x:c>
      <x:c r="D7240" s="6" t="str">
        <x:v>平</x:v>
      </x:c>
      <x:c r="E7240" s="6" t="str"/>
      <x:c r="F7240" s="6" t="str">
        <x:v>上平聲四支</x:v>
      </x:c>
      <x:c r="G7240" s="6" t="str">
        <x:v>Pingshui main list, Wikisource-derived DOCX</x:v>
      </x:c>
      <x:c r="H7240" s="6" t="str"/>
      <x:c r="I7240" s="6" t="str">
        <x:v>Pingshui main-list expansion; 詞 entries ignored</x:v>
      </x:c>
      <x:c r="J7240" s="6" t="str">
        <x:f>IF(B7240="","",IF(AND(ISNUMBER(SEARCH("平",B7240)),OR(ISNUMBER(SEARCH("上",B7240)),ISNUMBER(SEARCH("去",B7240)),ISNUMBER(SEARCH("入",B7240)))),"Ambiguous",IF(ISNUMBER(SEARCH("平",B7240)),"平","仄")))</x:f>
        <x:v>平</x:v>
      </x:c>
      <x:c r="K7240" s="6" t="str">
        <x:f>IF(D7240="","",IF(AND(ISNUMBER(SEARCH("平",D7240)),OR(ISNUMBER(SEARCH("上",D7240)),ISNUMBER(SEARCH("去",D7240)),ISNUMBER(SEARCH("入",D7240)))),"Ambiguous",IF(ISNUMBER(SEARCH("平",D7240)),"平","仄")))</x:f>
        <x:v>平</x:v>
      </x:c>
      <x:c r="L7240" s="7" t="str">
        <x:v>Pingshui main list expansion</x:v>
      </x:c>
    </x:row>
    <x:row r="7241">
      <x:c r="A7241" s="5" t="str">
        <x:v>爞</x:v>
      </x:c>
      <x:c r="B7241" s="6" t="str">
        <x:v>平</x:v>
      </x:c>
      <x:c r="C7241" s="6" t="str">
        <x:f>IF(B7241="","Needs decision","Ready")</x:f>
        <x:v>Ready</x:v>
      </x:c>
      <x:c r="D7241" s="6" t="str">
        <x:v>平</x:v>
      </x:c>
      <x:c r="E7241" s="6" t="str"/>
      <x:c r="F7241" s="6" t="str">
        <x:v>上平聲一東</x:v>
      </x:c>
      <x:c r="G7241" s="6" t="str">
        <x:v>Pingshui main list, Wikisource-derived DOCX</x:v>
      </x:c>
      <x:c r="H7241" s="6" t="str"/>
      <x:c r="I7241" s="6" t="str">
        <x:v>Pingshui main-list expansion; 詞 entries ignored</x:v>
      </x:c>
      <x:c r="J7241" s="6" t="str">
        <x:f>IF(B7241="","",IF(AND(ISNUMBER(SEARCH("平",B7241)),OR(ISNUMBER(SEARCH("上",B7241)),ISNUMBER(SEARCH("去",B7241)),ISNUMBER(SEARCH("入",B7241)))),"Ambiguous",IF(ISNUMBER(SEARCH("平",B7241)),"平","仄")))</x:f>
        <x:v>平</x:v>
      </x:c>
      <x:c r="K7241" s="6" t="str">
        <x:f>IF(D7241="","",IF(AND(ISNUMBER(SEARCH("平",D7241)),OR(ISNUMBER(SEARCH("上",D7241)),ISNUMBER(SEARCH("去",D7241)),ISNUMBER(SEARCH("入",D7241)))),"Ambiguous",IF(ISNUMBER(SEARCH("平",D7241)),"平","仄")))</x:f>
        <x:v>平</x:v>
      </x:c>
      <x:c r="L7241" s="7" t="str">
        <x:v>Pingshui main list expansion</x:v>
      </x:c>
    </x:row>
    <x:row r="7242">
      <x:c r="A7242" s="5" t="str">
        <x:v>爢</x:v>
      </x:c>
      <x:c r="B7242" s="6" t="str">
        <x:v>平</x:v>
      </x:c>
      <x:c r="C7242" s="6" t="str">
        <x:f>IF(B7242="","Needs decision","Ready")</x:f>
        <x:v>Ready</x:v>
      </x:c>
      <x:c r="D7242" s="6" t="str">
        <x:v>平</x:v>
      </x:c>
      <x:c r="E7242" s="6" t="str"/>
      <x:c r="F7242" s="6" t="str">
        <x:v>上平聲四支</x:v>
      </x:c>
      <x:c r="G7242" s="6" t="str">
        <x:v>Pingshui main list, Wikisource-derived DOCX</x:v>
      </x:c>
      <x:c r="H7242" s="6" t="str"/>
      <x:c r="I7242" s="6" t="str">
        <x:v>Pingshui main-list expansion; 詞 entries ignored</x:v>
      </x:c>
      <x:c r="J7242" s="6" t="str">
        <x:f>IF(B7242="","",IF(AND(ISNUMBER(SEARCH("平",B7242)),OR(ISNUMBER(SEARCH("上",B7242)),ISNUMBER(SEARCH("去",B7242)),ISNUMBER(SEARCH("入",B7242)))),"Ambiguous",IF(ISNUMBER(SEARCH("平",B7242)),"平","仄")))</x:f>
        <x:v>平</x:v>
      </x:c>
      <x:c r="K7242" s="6" t="str">
        <x:f>IF(D7242="","",IF(AND(ISNUMBER(SEARCH("平",D7242)),OR(ISNUMBER(SEARCH("上",D7242)),ISNUMBER(SEARCH("去",D7242)),ISNUMBER(SEARCH("入",D7242)))),"Ambiguous",IF(ISNUMBER(SEARCH("平",D7242)),"平","仄")))</x:f>
        <x:v>平</x:v>
      </x:c>
      <x:c r="L7242" s="7" t="str">
        <x:v>Pingshui main list expansion</x:v>
      </x:c>
    </x:row>
    <x:row r="7243">
      <x:c r="A7243" s="5" t="str">
        <x:v>牁</x:v>
      </x:c>
      <x:c r="B7243" s="6" t="str">
        <x:v>平</x:v>
      </x:c>
      <x:c r="C7243" s="6" t="str">
        <x:f>IF(B7243="","Needs decision","Ready")</x:f>
        <x:v>Ready</x:v>
      </x:c>
      <x:c r="D7243" s="6" t="str">
        <x:v>平</x:v>
      </x:c>
      <x:c r="E7243" s="6" t="str"/>
      <x:c r="F7243" s="6" t="str">
        <x:v>下平聲五歌</x:v>
      </x:c>
      <x:c r="G7243" s="6" t="str">
        <x:v>Pingshui main list, Wikisource-derived DOCX</x:v>
      </x:c>
      <x:c r="H7243" s="6" t="str"/>
      <x:c r="I7243" s="6" t="str">
        <x:v>Pingshui main-list expansion; 詞 entries ignored</x:v>
      </x:c>
      <x:c r="J7243" s="6" t="str">
        <x:f>IF(B7243="","",IF(AND(ISNUMBER(SEARCH("平",B7243)),OR(ISNUMBER(SEARCH("上",B7243)),ISNUMBER(SEARCH("去",B7243)),ISNUMBER(SEARCH("入",B7243)))),"Ambiguous",IF(ISNUMBER(SEARCH("平",B7243)),"平","仄")))</x:f>
        <x:v>平</x:v>
      </x:c>
      <x:c r="K7243" s="6" t="str">
        <x:f>IF(D7243="","",IF(AND(ISNUMBER(SEARCH("平",D7243)),OR(ISNUMBER(SEARCH("上",D7243)),ISNUMBER(SEARCH("去",D7243)),ISNUMBER(SEARCH("入",D7243)))),"Ambiguous",IF(ISNUMBER(SEARCH("平",D7243)),"平","仄")))</x:f>
        <x:v>平</x:v>
      </x:c>
      <x:c r="L7243" s="7" t="str">
        <x:v>Pingshui main list expansion</x:v>
      </x:c>
    </x:row>
    <x:row r="7244">
      <x:c r="A7244" s="5" t="str">
        <x:v>牏</x:v>
      </x:c>
      <x:c r="B7244" s="6" t="str">
        <x:v>平</x:v>
      </x:c>
      <x:c r="C7244" s="6" t="str">
        <x:f>IF(B7244="","Needs decision","Ready")</x:f>
        <x:v>Ready</x:v>
      </x:c>
      <x:c r="D7244" s="6" t="str">
        <x:v>平</x:v>
      </x:c>
      <x:c r="E7244" s="6" t="str"/>
      <x:c r="F7244" s="6" t="str">
        <x:v>上平聲七虞</x:v>
      </x:c>
      <x:c r="G7244" s="6" t="str">
        <x:v>Pingshui main list, Wikisource-derived DOCX</x:v>
      </x:c>
      <x:c r="H7244" s="6" t="str"/>
      <x:c r="I7244" s="6" t="str">
        <x:v>Pingshui main-list expansion; 詞 entries ignored</x:v>
      </x:c>
      <x:c r="J7244" s="6" t="str">
        <x:f>IF(B7244="","",IF(AND(ISNUMBER(SEARCH("平",B7244)),OR(ISNUMBER(SEARCH("上",B7244)),ISNUMBER(SEARCH("去",B7244)),ISNUMBER(SEARCH("入",B7244)))),"Ambiguous",IF(ISNUMBER(SEARCH("平",B7244)),"平","仄")))</x:f>
        <x:v>平</x:v>
      </x:c>
      <x:c r="K7244" s="6" t="str">
        <x:f>IF(D7244="","",IF(AND(ISNUMBER(SEARCH("平",D7244)),OR(ISNUMBER(SEARCH("上",D7244)),ISNUMBER(SEARCH("去",D7244)),ISNUMBER(SEARCH("入",D7244)))),"Ambiguous",IF(ISNUMBER(SEARCH("平",D7244)),"平","仄")))</x:f>
        <x:v>平</x:v>
      </x:c>
      <x:c r="L7244" s="7" t="str">
        <x:v>Pingshui main list expansion</x:v>
      </x:c>
    </x:row>
    <x:row r="7245">
      <x:c r="A7245" s="5" t="str">
        <x:v>牸</x:v>
      </x:c>
      <x:c r="B7245" s="6" t="str">
        <x:v>去</x:v>
      </x:c>
      <x:c r="C7245" s="6" t="str">
        <x:f>IF(B7245="","Needs decision","Ready")</x:f>
        <x:v>Ready</x:v>
      </x:c>
      <x:c r="D7245" s="6" t="str">
        <x:v>去</x:v>
      </x:c>
      <x:c r="E7245" s="6" t="str"/>
      <x:c r="F7245" s="6" t="str">
        <x:v>去聲四寘</x:v>
      </x:c>
      <x:c r="G7245" s="6" t="str">
        <x:v>Pingshui main list, Wikisource-derived DOCX</x:v>
      </x:c>
      <x:c r="H7245" s="6" t="str"/>
      <x:c r="I7245" s="6" t="str">
        <x:v>Pingshui main-list expansion; 詞 entries ignored</x:v>
      </x:c>
      <x:c r="J7245" s="6" t="str">
        <x:f>IF(B7245="","",IF(AND(ISNUMBER(SEARCH("平",B7245)),OR(ISNUMBER(SEARCH("上",B7245)),ISNUMBER(SEARCH("去",B7245)),ISNUMBER(SEARCH("入",B7245)))),"Ambiguous",IF(ISNUMBER(SEARCH("平",B7245)),"平","仄")))</x:f>
        <x:v>仄</x:v>
      </x:c>
      <x:c r="K7245" s="6" t="str">
        <x:f>IF(D7245="","",IF(AND(ISNUMBER(SEARCH("平",D7245)),OR(ISNUMBER(SEARCH("上",D7245)),ISNUMBER(SEARCH("去",D7245)),ISNUMBER(SEARCH("入",D7245)))),"Ambiguous",IF(ISNUMBER(SEARCH("平",D7245)),"平","仄")))</x:f>
        <x:v>仄</x:v>
      </x:c>
      <x:c r="L7245" s="7" t="str">
        <x:v>Pingshui main list expansion</x:v>
      </x:c>
    </x:row>
    <x:row r="7246">
      <x:c r="A7246" s="5" t="str">
        <x:v>牿</x:v>
      </x:c>
      <x:c r="B7246" s="6" t="str">
        <x:v>入</x:v>
      </x:c>
      <x:c r="C7246" s="6" t="str">
        <x:f>IF(B7246="","Needs decision","Ready")</x:f>
        <x:v>Ready</x:v>
      </x:c>
      <x:c r="D7246" s="6" t="str">
        <x:v>入</x:v>
      </x:c>
      <x:c r="E7246" s="6" t="str"/>
      <x:c r="F7246" s="6" t="str">
        <x:v>入聲二沃</x:v>
      </x:c>
      <x:c r="G7246" s="6" t="str">
        <x:v>Pingshui main list, Wikisource-derived DOCX</x:v>
      </x:c>
      <x:c r="H7246" s="6" t="str"/>
      <x:c r="I7246" s="6" t="str">
        <x:v>Pingshui main-list expansion; 詞 entries ignored</x:v>
      </x:c>
      <x:c r="J7246" s="6" t="str">
        <x:f>IF(B7246="","",IF(AND(ISNUMBER(SEARCH("平",B7246)),OR(ISNUMBER(SEARCH("上",B7246)),ISNUMBER(SEARCH("去",B7246)),ISNUMBER(SEARCH("入",B7246)))),"Ambiguous",IF(ISNUMBER(SEARCH("平",B7246)),"平","仄")))</x:f>
        <x:v>仄</x:v>
      </x:c>
      <x:c r="K7246" s="6" t="str">
        <x:f>IF(D7246="","",IF(AND(ISNUMBER(SEARCH("平",D7246)),OR(ISNUMBER(SEARCH("上",D7246)),ISNUMBER(SEARCH("去",D7246)),ISNUMBER(SEARCH("入",D7246)))),"Ambiguous",IF(ISNUMBER(SEARCH("平",D7246)),"平","仄")))</x:f>
        <x:v>仄</x:v>
      </x:c>
      <x:c r="L7246" s="7" t="str">
        <x:v>Pingshui main list expansion</x:v>
      </x:c>
    </x:row>
    <x:row r="7247">
      <x:c r="A7247" s="5" t="str">
        <x:v>犌</x:v>
      </x:c>
      <x:c r="B7247" s="6" t="str">
        <x:v>平</x:v>
      </x:c>
      <x:c r="C7247" s="6" t="str">
        <x:f>IF(B7247="","Needs decision","Ready")</x:f>
        <x:v>Ready</x:v>
      </x:c>
      <x:c r="D7247" s="6" t="str">
        <x:v>平</x:v>
      </x:c>
      <x:c r="E7247" s="6" t="str"/>
      <x:c r="F7247" s="6" t="str">
        <x:v>下平聲六麻</x:v>
      </x:c>
      <x:c r="G7247" s="6" t="str">
        <x:v>Pingshui main list, Wikisource-derived DOCX</x:v>
      </x:c>
      <x:c r="H7247" s="6" t="str"/>
      <x:c r="I7247" s="6" t="str">
        <x:v>Pingshui main-list expansion; 詞 entries ignored</x:v>
      </x:c>
      <x:c r="J7247" s="6" t="str">
        <x:f>IF(B7247="","",IF(AND(ISNUMBER(SEARCH("平",B7247)),OR(ISNUMBER(SEARCH("上",B7247)),ISNUMBER(SEARCH("去",B7247)),ISNUMBER(SEARCH("入",B7247)))),"Ambiguous",IF(ISNUMBER(SEARCH("平",B7247)),"平","仄")))</x:f>
        <x:v>平</x:v>
      </x:c>
      <x:c r="K7247" s="6" t="str">
        <x:f>IF(D7247="","",IF(AND(ISNUMBER(SEARCH("平",D7247)),OR(ISNUMBER(SEARCH("上",D7247)),ISNUMBER(SEARCH("去",D7247)),ISNUMBER(SEARCH("入",D7247)))),"Ambiguous",IF(ISNUMBER(SEARCH("平",D7247)),"平","仄")))</x:f>
        <x:v>平</x:v>
      </x:c>
      <x:c r="L7247" s="7" t="str">
        <x:v>Pingshui main list expansion</x:v>
      </x:c>
    </x:row>
    <x:row r="7248">
      <x:c r="A7248" s="5" t="str">
        <x:v>犎</x:v>
      </x:c>
      <x:c r="B7248" s="6" t="str">
        <x:v>平</x:v>
      </x:c>
      <x:c r="C7248" s="6" t="str">
        <x:f>IF(B7248="","Needs decision","Ready")</x:f>
        <x:v>Ready</x:v>
      </x:c>
      <x:c r="D7248" s="6" t="str">
        <x:v>平</x:v>
      </x:c>
      <x:c r="E7248" s="6" t="str"/>
      <x:c r="F7248" s="6" t="str">
        <x:v>上平聲二冬</x:v>
      </x:c>
      <x:c r="G7248" s="6" t="str">
        <x:v>Pingshui main list, Wikisource-derived DOCX</x:v>
      </x:c>
      <x:c r="H7248" s="6" t="str"/>
      <x:c r="I7248" s="6" t="str">
        <x:v>Pingshui main-list expansion; 詞 entries ignored</x:v>
      </x:c>
      <x:c r="J7248" s="6" t="str">
        <x:f>IF(B7248="","",IF(AND(ISNUMBER(SEARCH("平",B7248)),OR(ISNUMBER(SEARCH("上",B7248)),ISNUMBER(SEARCH("去",B7248)),ISNUMBER(SEARCH("入",B7248)))),"Ambiguous",IF(ISNUMBER(SEARCH("平",B7248)),"平","仄")))</x:f>
        <x:v>平</x:v>
      </x:c>
      <x:c r="K7248" s="6" t="str">
        <x:f>IF(D7248="","",IF(AND(ISNUMBER(SEARCH("平",D7248)),OR(ISNUMBER(SEARCH("上",D7248)),ISNUMBER(SEARCH("去",D7248)),ISNUMBER(SEARCH("入",D7248)))),"Ambiguous",IF(ISNUMBER(SEARCH("平",D7248)),"平","仄")))</x:f>
        <x:v>平</x:v>
      </x:c>
      <x:c r="L7248" s="7" t="str">
        <x:v>Pingshui main list expansion</x:v>
      </x:c>
    </x:row>
    <x:row r="7249">
      <x:c r="A7249" s="5" t="str">
        <x:v>犘</x:v>
      </x:c>
      <x:c r="B7249" s="6" t="str">
        <x:v>平</x:v>
      </x:c>
      <x:c r="C7249" s="6" t="str">
        <x:f>IF(B7249="","Needs decision","Ready")</x:f>
        <x:v>Ready</x:v>
      </x:c>
      <x:c r="D7249" s="6" t="str">
        <x:v>平</x:v>
      </x:c>
      <x:c r="E7249" s="6" t="str"/>
      <x:c r="F7249" s="6" t="str">
        <x:v>下平聲六麻</x:v>
      </x:c>
      <x:c r="G7249" s="6" t="str">
        <x:v>Pingshui main list, Wikisource-derived DOCX</x:v>
      </x:c>
      <x:c r="H7249" s="6" t="str"/>
      <x:c r="I7249" s="6" t="str">
        <x:v>Pingshui main-list expansion; 詞 entries ignored</x:v>
      </x:c>
      <x:c r="J7249" s="6" t="str">
        <x:f>IF(B7249="","",IF(AND(ISNUMBER(SEARCH("平",B7249)),OR(ISNUMBER(SEARCH("上",B7249)),ISNUMBER(SEARCH("去",B7249)),ISNUMBER(SEARCH("入",B7249)))),"Ambiguous",IF(ISNUMBER(SEARCH("平",B7249)),"平","仄")))</x:f>
        <x:v>平</x:v>
      </x:c>
      <x:c r="K7249" s="6" t="str">
        <x:f>IF(D7249="","",IF(AND(ISNUMBER(SEARCH("平",D7249)),OR(ISNUMBER(SEARCH("上",D7249)),ISNUMBER(SEARCH("去",D7249)),ISNUMBER(SEARCH("入",D7249)))),"Ambiguous",IF(ISNUMBER(SEARCH("平",D7249)),"平","仄")))</x:f>
        <x:v>平</x:v>
      </x:c>
      <x:c r="L7249" s="7" t="str">
        <x:v>Pingshui main list expansion</x:v>
      </x:c>
    </x:row>
    <x:row r="7250">
      <x:c r="A7250" s="5" t="str">
        <x:v>犛</x:v>
      </x:c>
      <x:c r="B7250" s="6" t="str">
        <x:v>平</x:v>
      </x:c>
      <x:c r="C7250" s="6" t="str">
        <x:f>IF(B7250="","Needs decision","Ready")</x:f>
        <x:v>Ready</x:v>
      </x:c>
      <x:c r="D7250" s="6" t="str">
        <x:v>平</x:v>
      </x:c>
      <x:c r="E7250" s="6" t="str"/>
      <x:c r="F7250" s="6" t="str">
        <x:v>上平聲四支; 下平聲三肴</x:v>
      </x:c>
      <x:c r="G7250" s="6" t="str">
        <x:v>Pingshui main list, Wikisource-derived DOCX</x:v>
      </x:c>
      <x:c r="H7250" s="6" t="str"/>
      <x:c r="I7250" s="6" t="str">
        <x:v>Pingshui main-list expansion; 詞 entries ignored</x:v>
      </x:c>
      <x:c r="J7250" s="6" t="str">
        <x:f>IF(B7250="","",IF(AND(ISNUMBER(SEARCH("平",B7250)),OR(ISNUMBER(SEARCH("上",B7250)),ISNUMBER(SEARCH("去",B7250)),ISNUMBER(SEARCH("入",B7250)))),"Ambiguous",IF(ISNUMBER(SEARCH("平",B7250)),"平","仄")))</x:f>
        <x:v>平</x:v>
      </x:c>
      <x:c r="K7250" s="6" t="str">
        <x:f>IF(D7250="","",IF(AND(ISNUMBER(SEARCH("平",D7250)),OR(ISNUMBER(SEARCH("上",D7250)),ISNUMBER(SEARCH("去",D7250)),ISNUMBER(SEARCH("入",D7250)))),"Ambiguous",IF(ISNUMBER(SEARCH("平",D7250)),"平","仄")))</x:f>
        <x:v>平</x:v>
      </x:c>
      <x:c r="L7250" s="7" t="str">
        <x:v>Pingshui main list expansion</x:v>
      </x:c>
    </x:row>
    <x:row r="7251">
      <x:c r="A7251" s="5" t="str">
        <x:v>犝</x:v>
      </x:c>
      <x:c r="B7251" s="6" t="str">
        <x:v>平</x:v>
      </x:c>
      <x:c r="C7251" s="6" t="str">
        <x:f>IF(B7251="","Needs decision","Ready")</x:f>
        <x:v>Ready</x:v>
      </x:c>
      <x:c r="D7251" s="6" t="str">
        <x:v>平</x:v>
      </x:c>
      <x:c r="E7251" s="6" t="str"/>
      <x:c r="F7251" s="6" t="str">
        <x:v>上平聲一東</x:v>
      </x:c>
      <x:c r="G7251" s="6" t="str">
        <x:v>Pingshui main list, Wikisource-derived DOCX</x:v>
      </x:c>
      <x:c r="H7251" s="6" t="str"/>
      <x:c r="I7251" s="6" t="str">
        <x:v>Pingshui main-list expansion; 詞 entries ignored</x:v>
      </x:c>
      <x:c r="J7251" s="6" t="str">
        <x:f>IF(B7251="","",IF(AND(ISNUMBER(SEARCH("平",B7251)),OR(ISNUMBER(SEARCH("上",B7251)),ISNUMBER(SEARCH("去",B7251)),ISNUMBER(SEARCH("入",B7251)))),"Ambiguous",IF(ISNUMBER(SEARCH("平",B7251)),"平","仄")))</x:f>
        <x:v>平</x:v>
      </x:c>
      <x:c r="K7251" s="6" t="str">
        <x:f>IF(D7251="","",IF(AND(ISNUMBER(SEARCH("平",D7251)),OR(ISNUMBER(SEARCH("上",D7251)),ISNUMBER(SEARCH("去",D7251)),ISNUMBER(SEARCH("入",D7251)))),"Ambiguous",IF(ISNUMBER(SEARCH("平",D7251)),"平","仄")))</x:f>
        <x:v>平</x:v>
      </x:c>
      <x:c r="L7251" s="7" t="str">
        <x:v>Pingshui main list expansion</x:v>
      </x:c>
    </x:row>
    <x:row r="7252">
      <x:c r="A7252" s="5" t="str">
        <x:v>犩</x:v>
      </x:c>
      <x:c r="B7252" s="6" t="str">
        <x:v>平</x:v>
      </x:c>
      <x:c r="C7252" s="6" t="str">
        <x:f>IF(B7252="","Needs decision","Ready")</x:f>
        <x:v>Ready</x:v>
      </x:c>
      <x:c r="D7252" s="6" t="str">
        <x:v>平</x:v>
      </x:c>
      <x:c r="E7252" s="6" t="str"/>
      <x:c r="F7252" s="6" t="str">
        <x:v>上平聲五微</x:v>
      </x:c>
      <x:c r="G7252" s="6" t="str">
        <x:v>Pingshui main list, Wikisource-derived DOCX</x:v>
      </x:c>
      <x:c r="H7252" s="6" t="str"/>
      <x:c r="I7252" s="6" t="str">
        <x:v>Pingshui main-list expansion; 詞 entries ignored</x:v>
      </x:c>
      <x:c r="J7252" s="6" t="str">
        <x:f>IF(B7252="","",IF(AND(ISNUMBER(SEARCH("平",B7252)),OR(ISNUMBER(SEARCH("上",B7252)),ISNUMBER(SEARCH("去",B7252)),ISNUMBER(SEARCH("入",B7252)))),"Ambiguous",IF(ISNUMBER(SEARCH("平",B7252)),"平","仄")))</x:f>
        <x:v>平</x:v>
      </x:c>
      <x:c r="K7252" s="6" t="str">
        <x:f>IF(D7252="","",IF(AND(ISNUMBER(SEARCH("平",D7252)),OR(ISNUMBER(SEARCH("上",D7252)),ISNUMBER(SEARCH("去",D7252)),ISNUMBER(SEARCH("入",D7252)))),"Ambiguous",IF(ISNUMBER(SEARCH("平",D7252)),"平","仄")))</x:f>
        <x:v>平</x:v>
      </x:c>
      <x:c r="L7252" s="7" t="str">
        <x:v>Pingshui main list expansion</x:v>
      </x:c>
    </x:row>
    <x:row r="7253">
      <x:c r="A7253" s="5" t="str">
        <x:v>犪</x:v>
      </x:c>
      <x:c r="B7253" s="6" t="str">
        <x:v>平</x:v>
      </x:c>
      <x:c r="C7253" s="6" t="str">
        <x:f>IF(B7253="","Needs decision","Ready")</x:f>
        <x:v>Ready</x:v>
      </x:c>
      <x:c r="D7253" s="6" t="str">
        <x:v>平</x:v>
      </x:c>
      <x:c r="E7253" s="6" t="str"/>
      <x:c r="F7253" s="6" t="str">
        <x:v>上平聲四支</x:v>
      </x:c>
      <x:c r="G7253" s="6" t="str">
        <x:v>Pingshui main list, Wikisource-derived DOCX</x:v>
      </x:c>
      <x:c r="H7253" s="6" t="str"/>
      <x:c r="I7253" s="6" t="str">
        <x:v>Pingshui main-list expansion; 詞 entries ignored</x:v>
      </x:c>
      <x:c r="J7253" s="6" t="str">
        <x:f>IF(B7253="","",IF(AND(ISNUMBER(SEARCH("平",B7253)),OR(ISNUMBER(SEARCH("上",B7253)),ISNUMBER(SEARCH("去",B7253)),ISNUMBER(SEARCH("入",B7253)))),"Ambiguous",IF(ISNUMBER(SEARCH("平",B7253)),"平","仄")))</x:f>
        <x:v>平</x:v>
      </x:c>
      <x:c r="K7253" s="6" t="str">
        <x:f>IF(D7253="","",IF(AND(ISNUMBER(SEARCH("平",D7253)),OR(ISNUMBER(SEARCH("上",D7253)),ISNUMBER(SEARCH("去",D7253)),ISNUMBER(SEARCH("入",D7253)))),"Ambiguous",IF(ISNUMBER(SEARCH("平",D7253)),"平","仄")))</x:f>
        <x:v>平</x:v>
      </x:c>
      <x:c r="L7253" s="7" t="str">
        <x:v>Pingshui main list expansion</x:v>
      </x:c>
    </x:row>
    <x:row r="7254">
      <x:c r="A7254" s="5" t="str">
        <x:v>犮</x:v>
      </x:c>
      <x:c r="B7254" s="6" t="str">
        <x:v>入</x:v>
      </x:c>
      <x:c r="C7254" s="6" t="str">
        <x:f>IF(B7254="","Needs decision","Ready")</x:f>
        <x:v>Ready</x:v>
      </x:c>
      <x:c r="D7254" s="6" t="str">
        <x:v>入</x:v>
      </x:c>
      <x:c r="E7254" s="6" t="str"/>
      <x:c r="F7254" s="6" t="str">
        <x:v>入聲七曷</x:v>
      </x:c>
      <x:c r="G7254" s="6" t="str">
        <x:v>Pingshui main list, Wikisource-derived DOCX</x:v>
      </x:c>
      <x:c r="H7254" s="6" t="str"/>
      <x:c r="I7254" s="6" t="str">
        <x:v>Pingshui main-list expansion; 詞 entries ignored</x:v>
      </x:c>
      <x:c r="J7254" s="6" t="str">
        <x:f>IF(B7254="","",IF(AND(ISNUMBER(SEARCH("平",B7254)),OR(ISNUMBER(SEARCH("上",B7254)),ISNUMBER(SEARCH("去",B7254)),ISNUMBER(SEARCH("入",B7254)))),"Ambiguous",IF(ISNUMBER(SEARCH("平",B7254)),"平","仄")))</x:f>
        <x:v>仄</x:v>
      </x:c>
      <x:c r="K7254" s="6" t="str">
        <x:f>IF(D7254="","",IF(AND(ISNUMBER(SEARCH("平",D7254)),OR(ISNUMBER(SEARCH("上",D7254)),ISNUMBER(SEARCH("去",D7254)),ISNUMBER(SEARCH("入",D7254)))),"Ambiguous",IF(ISNUMBER(SEARCH("平",D7254)),"平","仄")))</x:f>
        <x:v>仄</x:v>
      </x:c>
      <x:c r="L7254" s="7" t="str">
        <x:v>Pingshui main list expansion</x:v>
      </x:c>
    </x:row>
    <x:row r="7255">
      <x:c r="A7255" s="5" t="str">
        <x:v>狘</x:v>
      </x:c>
      <x:c r="B7255" s="6" t="str">
        <x:v>入</x:v>
      </x:c>
      <x:c r="C7255" s="6" t="str">
        <x:f>IF(B7255="","Needs decision","Ready")</x:f>
        <x:v>Ready</x:v>
      </x:c>
      <x:c r="D7255" s="6" t="str">
        <x:v>入</x:v>
      </x:c>
      <x:c r="E7255" s="6" t="str"/>
      <x:c r="F7255" s="6" t="str">
        <x:v>入聲六月</x:v>
      </x:c>
      <x:c r="G7255" s="6" t="str">
        <x:v>Pingshui main list, Wikisource-derived DOCX</x:v>
      </x:c>
      <x:c r="H7255" s="6" t="str"/>
      <x:c r="I7255" s="6" t="str">
        <x:v>Pingshui main-list expansion; 詞 entries ignored</x:v>
      </x:c>
      <x:c r="J7255" s="6" t="str">
        <x:f>IF(B7255="","",IF(AND(ISNUMBER(SEARCH("平",B7255)),OR(ISNUMBER(SEARCH("上",B7255)),ISNUMBER(SEARCH("去",B7255)),ISNUMBER(SEARCH("入",B7255)))),"Ambiguous",IF(ISNUMBER(SEARCH("平",B7255)),"平","仄")))</x:f>
        <x:v>仄</x:v>
      </x:c>
      <x:c r="K7255" s="6" t="str">
        <x:f>IF(D7255="","",IF(AND(ISNUMBER(SEARCH("平",D7255)),OR(ISNUMBER(SEARCH("上",D7255)),ISNUMBER(SEARCH("去",D7255)),ISNUMBER(SEARCH("入",D7255)))),"Ambiguous",IF(ISNUMBER(SEARCH("平",D7255)),"平","仄")))</x:f>
        <x:v>仄</x:v>
      </x:c>
      <x:c r="L7255" s="7" t="str">
        <x:v>Pingshui main list expansion</x:v>
      </x:c>
    </x:row>
    <x:row r="7256">
      <x:c r="A7256" s="5" t="str">
        <x:v>狨</x:v>
      </x:c>
      <x:c r="B7256" s="6" t="str">
        <x:v>平</x:v>
      </x:c>
      <x:c r="C7256" s="6" t="str">
        <x:f>IF(B7256="","Needs decision","Ready")</x:f>
        <x:v>Ready</x:v>
      </x:c>
      <x:c r="D7256" s="6" t="str">
        <x:v>平</x:v>
      </x:c>
      <x:c r="E7256" s="6" t="str"/>
      <x:c r="F7256" s="6" t="str">
        <x:v>上平聲一東</x:v>
      </x:c>
      <x:c r="G7256" s="6" t="str">
        <x:v>Pingshui main list, Wikisource-derived DOCX</x:v>
      </x:c>
      <x:c r="H7256" s="6" t="str"/>
      <x:c r="I7256" s="6" t="str">
        <x:v>Pingshui main-list expansion; 詞 entries ignored</x:v>
      </x:c>
      <x:c r="J7256" s="6" t="str">
        <x:f>IF(B7256="","",IF(AND(ISNUMBER(SEARCH("平",B7256)),OR(ISNUMBER(SEARCH("上",B7256)),ISNUMBER(SEARCH("去",B7256)),ISNUMBER(SEARCH("入",B7256)))),"Ambiguous",IF(ISNUMBER(SEARCH("平",B7256)),"平","仄")))</x:f>
        <x:v>平</x:v>
      </x:c>
      <x:c r="K7256" s="6" t="str">
        <x:f>IF(D7256="","",IF(AND(ISNUMBER(SEARCH("平",D7256)),OR(ISNUMBER(SEARCH("上",D7256)),ISNUMBER(SEARCH("去",D7256)),ISNUMBER(SEARCH("入",D7256)))),"Ambiguous",IF(ISNUMBER(SEARCH("平",D7256)),"平","仄")))</x:f>
        <x:v>平</x:v>
      </x:c>
      <x:c r="L7256" s="7" t="str">
        <x:v>Pingshui main list expansion</x:v>
      </x:c>
    </x:row>
    <x:row r="7257">
      <x:c r="A7257" s="5" t="str">
        <x:v>狳</x:v>
      </x:c>
      <x:c r="B7257" s="6" t="str">
        <x:v>平</x:v>
      </x:c>
      <x:c r="C7257" s="6" t="str">
        <x:f>IF(B7257="","Needs decision","Ready")</x:f>
        <x:v>Ready</x:v>
      </x:c>
      <x:c r="D7257" s="6" t="str">
        <x:v>平</x:v>
      </x:c>
      <x:c r="E7257" s="6" t="str"/>
      <x:c r="F7257" s="6" t="str">
        <x:v>上平聲六魚</x:v>
      </x:c>
      <x:c r="G7257" s="6" t="str">
        <x:v>Pingshui main list, Wikisource-derived DOCX</x:v>
      </x:c>
      <x:c r="H7257" s="6" t="str"/>
      <x:c r="I7257" s="6" t="str">
        <x:v>Pingshui main-list expansion; 詞 entries ignored</x:v>
      </x:c>
      <x:c r="J7257" s="6" t="str">
        <x:f>IF(B7257="","",IF(AND(ISNUMBER(SEARCH("平",B7257)),OR(ISNUMBER(SEARCH("上",B7257)),ISNUMBER(SEARCH("去",B7257)),ISNUMBER(SEARCH("入",B7257)))),"Ambiguous",IF(ISNUMBER(SEARCH("平",B7257)),"平","仄")))</x:f>
        <x:v>平</x:v>
      </x:c>
      <x:c r="K7257" s="6" t="str">
        <x:f>IF(D7257="","",IF(AND(ISNUMBER(SEARCH("平",D7257)),OR(ISNUMBER(SEARCH("上",D7257)),ISNUMBER(SEARCH("去",D7257)),ISNUMBER(SEARCH("入",D7257)))),"Ambiguous",IF(ISNUMBER(SEARCH("平",D7257)),"平","仄")))</x:f>
        <x:v>平</x:v>
      </x:c>
      <x:c r="L7257" s="7" t="str">
        <x:v>Pingshui main list expansion</x:v>
      </x:c>
    </x:row>
    <x:row r="7258">
      <x:c r="A7258" s="5" t="str">
        <x:v>狺</x:v>
      </x:c>
      <x:c r="B7258" s="6" t="str">
        <x:v>平</x:v>
      </x:c>
      <x:c r="C7258" s="6" t="str">
        <x:f>IF(B7258="","Needs decision","Ready")</x:f>
        <x:v>Ready</x:v>
      </x:c>
      <x:c r="D7258" s="6" t="str">
        <x:v>平</x:v>
      </x:c>
      <x:c r="E7258" s="6" t="str"/>
      <x:c r="F7258" s="6" t="str">
        <x:v>上平聲十一真; 上平聲十二文</x:v>
      </x:c>
      <x:c r="G7258" s="6" t="str">
        <x:v>Pingshui main list, Wikisource-derived DOCX</x:v>
      </x:c>
      <x:c r="H7258" s="6" t="str"/>
      <x:c r="I7258" s="6" t="str">
        <x:v>Pingshui main-list expansion; 詞 entries ignored</x:v>
      </x:c>
      <x:c r="J7258" s="6" t="str">
        <x:f>IF(B7258="","",IF(AND(ISNUMBER(SEARCH("平",B7258)),OR(ISNUMBER(SEARCH("上",B7258)),ISNUMBER(SEARCH("去",B7258)),ISNUMBER(SEARCH("入",B7258)))),"Ambiguous",IF(ISNUMBER(SEARCH("平",B7258)),"平","仄")))</x:f>
        <x:v>平</x:v>
      </x:c>
      <x:c r="K7258" s="6" t="str">
        <x:f>IF(D7258="","",IF(AND(ISNUMBER(SEARCH("平",D7258)),OR(ISNUMBER(SEARCH("上",D7258)),ISNUMBER(SEARCH("去",D7258)),ISNUMBER(SEARCH("入",D7258)))),"Ambiguous",IF(ISNUMBER(SEARCH("平",D7258)),"平","仄")))</x:f>
        <x:v>平</x:v>
      </x:c>
      <x:c r="L7258" s="7" t="str">
        <x:v>Pingshui main list expansion</x:v>
      </x:c>
    </x:row>
    <x:row r="7259">
      <x:c r="A7259" s="5" t="str">
        <x:v>狽</x:v>
      </x:c>
      <x:c r="B7259" s="6" t="str">
        <x:v>去</x:v>
      </x:c>
      <x:c r="C7259" s="6" t="str">
        <x:f>IF(B7259="","Needs decision","Ready")</x:f>
        <x:v>Ready</x:v>
      </x:c>
      <x:c r="D7259" s="6" t="str">
        <x:v>去</x:v>
      </x:c>
      <x:c r="E7259" s="6" t="str"/>
      <x:c r="F7259" s="6" t="str">
        <x:v>去聲九泰</x:v>
      </x:c>
      <x:c r="G7259" s="6" t="str">
        <x:v>Pingshui main list, Wikisource-derived DOCX</x:v>
      </x:c>
      <x:c r="H7259" s="6" t="str"/>
      <x:c r="I7259" s="6" t="str">
        <x:v>Pingshui main-list expansion; 詞 entries ignored</x:v>
      </x:c>
      <x:c r="J7259" s="6" t="str">
        <x:f>IF(B7259="","",IF(AND(ISNUMBER(SEARCH("平",B7259)),OR(ISNUMBER(SEARCH("上",B7259)),ISNUMBER(SEARCH("去",B7259)),ISNUMBER(SEARCH("入",B7259)))),"Ambiguous",IF(ISNUMBER(SEARCH("平",B7259)),"平","仄")))</x:f>
        <x:v>仄</x:v>
      </x:c>
      <x:c r="K7259" s="6" t="str">
        <x:f>IF(D7259="","",IF(AND(ISNUMBER(SEARCH("平",D7259)),OR(ISNUMBER(SEARCH("上",D7259)),ISNUMBER(SEARCH("去",D7259)),ISNUMBER(SEARCH("入",D7259)))),"Ambiguous",IF(ISNUMBER(SEARCH("平",D7259)),"平","仄")))</x:f>
        <x:v>仄</x:v>
      </x:c>
      <x:c r="L7259" s="7" t="str">
        <x:v>Pingshui main list expansion</x:v>
      </x:c>
    </x:row>
    <x:row r="7260">
      <x:c r="A7260" s="5" t="str">
        <x:v>狿</x:v>
      </x:c>
      <x:c r="B7260" s="6" t="str"/>
      <x:c r="C7260" s="6" t="str">
        <x:f>IF(B7260="","Needs decision","Ready")</x:f>
        <x:v>Needs decision</x:v>
      </x:c>
      <x:c r="D7260" s="6" t="str">
        <x:v>平/去</x:v>
      </x:c>
      <x:c r="E7260" s="6" t="str"/>
      <x:c r="F7260" s="6" t="str">
        <x:v>下平聲一先; 去聲十七霰</x:v>
      </x:c>
      <x:c r="G7260" s="6" t="str">
        <x:v>Pingshui main list, Wikisource-derived DOCX</x:v>
      </x:c>
      <x:c r="H7260" s="6" t="str"/>
      <x:c r="I7260" s="6" t="str">
        <x:v>Pingshui main-list expansion; 詞 entries ignored</x:v>
      </x:c>
      <x:c r="J7260" s="6" t="str">
        <x:f>IF(B7260="","",IF(AND(ISNUMBER(SEARCH("平",B7260)),OR(ISNUMBER(SEARCH("上",B7260)),ISNUMBER(SEARCH("去",B7260)),ISNUMBER(SEARCH("入",B7260)))),"Ambiguous",IF(ISNUMBER(SEARCH("平",B7260)),"平","仄")))</x:f>
      </x:c>
      <x:c r="K7260" s="6" t="str">
        <x:f>IF(D7260="","",IF(AND(ISNUMBER(SEARCH("平",D7260)),OR(ISNUMBER(SEARCH("上",D7260)),ISNUMBER(SEARCH("去",D7260)),ISNUMBER(SEARCH("入",D7260)))),"Ambiguous",IF(ISNUMBER(SEARCH("平",D7260)),"平","仄")))</x:f>
        <x:v>Ambiguous</x:v>
      </x:c>
      <x:c r="L7260" s="7" t="str">
        <x:v>Pingshui main list expansion</x:v>
      </x:c>
    </x:row>
    <x:row r="7261">
      <x:c r="A7261" s="5" t="str">
        <x:v>猝</x:v>
      </x:c>
      <x:c r="B7261" s="6" t="str">
        <x:v>入</x:v>
      </x:c>
      <x:c r="C7261" s="6" t="str">
        <x:f>IF(B7261="","Needs decision","Ready")</x:f>
        <x:v>Ready</x:v>
      </x:c>
      <x:c r="D7261" s="6" t="str">
        <x:v>入</x:v>
      </x:c>
      <x:c r="E7261" s="6" t="str"/>
      <x:c r="F7261" s="6" t="str">
        <x:v>入聲六月</x:v>
      </x:c>
      <x:c r="G7261" s="6" t="str">
        <x:v>Pingshui main list, Wikisource-derived DOCX</x:v>
      </x:c>
      <x:c r="H7261" s="6" t="str"/>
      <x:c r="I7261" s="6" t="str">
        <x:v>Pingshui main-list expansion; 詞 entries ignored</x:v>
      </x:c>
      <x:c r="J7261" s="6" t="str">
        <x:f>IF(B7261="","",IF(AND(ISNUMBER(SEARCH("平",B7261)),OR(ISNUMBER(SEARCH("上",B7261)),ISNUMBER(SEARCH("去",B7261)),ISNUMBER(SEARCH("入",B7261)))),"Ambiguous",IF(ISNUMBER(SEARCH("平",B7261)),"平","仄")))</x:f>
        <x:v>仄</x:v>
      </x:c>
      <x:c r="K7261" s="6" t="str">
        <x:f>IF(D7261="","",IF(AND(ISNUMBER(SEARCH("平",D7261)),OR(ISNUMBER(SEARCH("上",D7261)),ISNUMBER(SEARCH("去",D7261)),ISNUMBER(SEARCH("入",D7261)))),"Ambiguous",IF(ISNUMBER(SEARCH("平",D7261)),"平","仄")))</x:f>
        <x:v>仄</x:v>
      </x:c>
      <x:c r="L7261" s="7" t="str">
        <x:v>Pingshui main list expansion</x:v>
      </x:c>
    </x:row>
    <x:row r="7262">
      <x:c r="A7262" s="5" t="str">
        <x:v>猣</x:v>
      </x:c>
      <x:c r="B7262" s="6" t="str">
        <x:v>平</x:v>
      </x:c>
      <x:c r="C7262" s="6" t="str">
        <x:f>IF(B7262="","Needs decision","Ready")</x:f>
        <x:v>Ready</x:v>
      </x:c>
      <x:c r="D7262" s="6" t="str">
        <x:v>平</x:v>
      </x:c>
      <x:c r="E7262" s="6" t="str"/>
      <x:c r="F7262" s="6" t="str">
        <x:v>上平聲一東</x:v>
      </x:c>
      <x:c r="G7262" s="6" t="str">
        <x:v>Pingshui main list, Wikisource-derived DOCX</x:v>
      </x:c>
      <x:c r="H7262" s="6" t="str"/>
      <x:c r="I7262" s="6" t="str">
        <x:v>Pingshui main-list expansion; 詞 entries ignored</x:v>
      </x:c>
      <x:c r="J7262" s="6" t="str">
        <x:f>IF(B7262="","",IF(AND(ISNUMBER(SEARCH("平",B7262)),OR(ISNUMBER(SEARCH("上",B7262)),ISNUMBER(SEARCH("去",B7262)),ISNUMBER(SEARCH("入",B7262)))),"Ambiguous",IF(ISNUMBER(SEARCH("平",B7262)),"平","仄")))</x:f>
        <x:v>平</x:v>
      </x:c>
      <x:c r="K7262" s="6" t="str">
        <x:f>IF(D7262="","",IF(AND(ISNUMBER(SEARCH("平",D7262)),OR(ISNUMBER(SEARCH("上",D7262)),ISNUMBER(SEARCH("去",D7262)),ISNUMBER(SEARCH("入",D7262)))),"Ambiguous",IF(ISNUMBER(SEARCH("平",D7262)),"平","仄")))</x:f>
        <x:v>平</x:v>
      </x:c>
      <x:c r="L7262" s="7" t="str">
        <x:v>Pingshui main list expansion</x:v>
      </x:c>
    </x:row>
    <x:row r="7263">
      <x:c r="A7263" s="5" t="str">
        <x:v>猭</x:v>
      </x:c>
      <x:c r="B7263" s="6" t="str"/>
      <x:c r="C7263" s="6" t="str">
        <x:f>IF(B7263="","Needs decision","Ready")</x:f>
        <x:v>Needs decision</x:v>
      </x:c>
      <x:c r="D7263" s="6" t="str">
        <x:v>平/去</x:v>
      </x:c>
      <x:c r="E7263" s="6" t="str"/>
      <x:c r="F7263" s="6" t="str">
        <x:v>下平聲一先; 去聲十七霰</x:v>
      </x:c>
      <x:c r="G7263" s="6" t="str">
        <x:v>Pingshui main list, Wikisource-derived DOCX</x:v>
      </x:c>
      <x:c r="H7263" s="6" t="str"/>
      <x:c r="I7263" s="6" t="str">
        <x:v>Pingshui main-list expansion; 詞 entries ignored</x:v>
      </x:c>
      <x:c r="J7263" s="6" t="str">
        <x:f>IF(B7263="","",IF(AND(ISNUMBER(SEARCH("平",B7263)),OR(ISNUMBER(SEARCH("上",B7263)),ISNUMBER(SEARCH("去",B7263)),ISNUMBER(SEARCH("入",B7263)))),"Ambiguous",IF(ISNUMBER(SEARCH("平",B7263)),"平","仄")))</x:f>
      </x:c>
      <x:c r="K7263" s="6" t="str">
        <x:f>IF(D7263="","",IF(AND(ISNUMBER(SEARCH("平",D7263)),OR(ISNUMBER(SEARCH("上",D7263)),ISNUMBER(SEARCH("去",D7263)),ISNUMBER(SEARCH("入",D7263)))),"Ambiguous",IF(ISNUMBER(SEARCH("平",D7263)),"平","仄")))</x:f>
        <x:v>Ambiguous</x:v>
      </x:c>
      <x:c r="L7263" s="7" t="str">
        <x:v>Pingshui main list expansion</x:v>
      </x:c>
    </x:row>
    <x:row r="7264">
      <x:c r="A7264" s="5" t="str">
        <x:v>猲</x:v>
      </x:c>
      <x:c r="B7264" s="6" t="str">
        <x:v>入</x:v>
      </x:c>
      <x:c r="C7264" s="6" t="str">
        <x:f>IF(B7264="","Needs decision","Ready")</x:f>
        <x:v>Ready</x:v>
      </x:c>
      <x:c r="D7264" s="6" t="str">
        <x:v>入</x:v>
      </x:c>
      <x:c r="E7264" s="6" t="str"/>
      <x:c r="F7264" s="6" t="str">
        <x:v>入聲六月; 入聲七曷</x:v>
      </x:c>
      <x:c r="G7264" s="6" t="str">
        <x:v>Pingshui main list, Wikisource-derived DOCX</x:v>
      </x:c>
      <x:c r="H7264" s="6" t="str"/>
      <x:c r="I7264" s="6" t="str">
        <x:v>Pingshui main-list expansion; 詞 entries ignored</x:v>
      </x:c>
      <x:c r="J7264" s="6" t="str">
        <x:f>IF(B7264="","",IF(AND(ISNUMBER(SEARCH("平",B7264)),OR(ISNUMBER(SEARCH("上",B7264)),ISNUMBER(SEARCH("去",B7264)),ISNUMBER(SEARCH("入",B7264)))),"Ambiguous",IF(ISNUMBER(SEARCH("平",B7264)),"平","仄")))</x:f>
        <x:v>仄</x:v>
      </x:c>
      <x:c r="K7264" s="6" t="str">
        <x:f>IF(D7264="","",IF(AND(ISNUMBER(SEARCH("平",D7264)),OR(ISNUMBER(SEARCH("上",D7264)),ISNUMBER(SEARCH("去",D7264)),ISNUMBER(SEARCH("入",D7264)))),"Ambiguous",IF(ISNUMBER(SEARCH("平",D7264)),"平","仄")))</x:f>
        <x:v>仄</x:v>
      </x:c>
      <x:c r="L7264" s="7" t="str">
        <x:v>Pingshui main list expansion</x:v>
      </x:c>
    </x:row>
    <x:row r="7265">
      <x:c r="A7265" s="5" t="str">
        <x:v>猺</x:v>
      </x:c>
      <x:c r="B7265" s="6" t="str">
        <x:v>平</x:v>
      </x:c>
      <x:c r="C7265" s="6" t="str">
        <x:f>IF(B7265="","Needs decision","Ready")</x:f>
        <x:v>Ready</x:v>
      </x:c>
      <x:c r="D7265" s="6" t="str">
        <x:v>平</x:v>
      </x:c>
      <x:c r="E7265" s="6" t="str"/>
      <x:c r="F7265" s="6" t="str">
        <x:v>下平聲二蕭</x:v>
      </x:c>
      <x:c r="G7265" s="6" t="str">
        <x:v>Pingshui main list, Wikisource-derived DOCX</x:v>
      </x:c>
      <x:c r="H7265" s="6" t="str"/>
      <x:c r="I7265" s="6" t="str">
        <x:v>Pingshui main-list expansion; 詞 entries ignored</x:v>
      </x:c>
      <x:c r="J7265" s="6" t="str">
        <x:f>IF(B7265="","",IF(AND(ISNUMBER(SEARCH("平",B7265)),OR(ISNUMBER(SEARCH("上",B7265)),ISNUMBER(SEARCH("去",B7265)),ISNUMBER(SEARCH("入",B7265)))),"Ambiguous",IF(ISNUMBER(SEARCH("平",B7265)),"平","仄")))</x:f>
        <x:v>平</x:v>
      </x:c>
      <x:c r="K7265" s="6" t="str">
        <x:f>IF(D7265="","",IF(AND(ISNUMBER(SEARCH("平",D7265)),OR(ISNUMBER(SEARCH("上",D7265)),ISNUMBER(SEARCH("去",D7265)),ISNUMBER(SEARCH("入",D7265)))),"Ambiguous",IF(ISNUMBER(SEARCH("平",D7265)),"平","仄")))</x:f>
        <x:v>平</x:v>
      </x:c>
      <x:c r="L7265" s="7" t="str">
        <x:v>Pingshui main list expansion</x:v>
      </x:c>
    </x:row>
    <x:row r="7266">
      <x:c r="A7266" s="5" t="str">
        <x:v>獌</x:v>
      </x:c>
      <x:c r="B7266" s="6" t="str">
        <x:v>平</x:v>
      </x:c>
      <x:c r="C7266" s="6" t="str">
        <x:f>IF(B7266="","Needs decision","Ready")</x:f>
        <x:v>Ready</x:v>
      </x:c>
      <x:c r="D7266" s="6" t="str">
        <x:v>平</x:v>
      </x:c>
      <x:c r="E7266" s="6" t="str"/>
      <x:c r="F7266" s="6" t="str">
        <x:v>上平聲十五刪</x:v>
      </x:c>
      <x:c r="G7266" s="6" t="str">
        <x:v>Pingshui main list, Wikisource-derived DOCX</x:v>
      </x:c>
      <x:c r="H7266" s="6" t="str"/>
      <x:c r="I7266" s="6" t="str">
        <x:v>Pingshui main-list expansion; 詞 entries ignored</x:v>
      </x:c>
      <x:c r="J7266" s="6" t="str">
        <x:f>IF(B7266="","",IF(AND(ISNUMBER(SEARCH("平",B7266)),OR(ISNUMBER(SEARCH("上",B7266)),ISNUMBER(SEARCH("去",B7266)),ISNUMBER(SEARCH("入",B7266)))),"Ambiguous",IF(ISNUMBER(SEARCH("平",B7266)),"平","仄")))</x:f>
        <x:v>平</x:v>
      </x:c>
      <x:c r="K7266" s="6" t="str">
        <x:f>IF(D7266="","",IF(AND(ISNUMBER(SEARCH("平",D7266)),OR(ISNUMBER(SEARCH("上",D7266)),ISNUMBER(SEARCH("去",D7266)),ISNUMBER(SEARCH("入",D7266)))),"Ambiguous",IF(ISNUMBER(SEARCH("平",D7266)),"平","仄")))</x:f>
        <x:v>平</x:v>
      </x:c>
      <x:c r="L7266" s="7" t="str">
        <x:v>Pingshui main list expansion</x:v>
      </x:c>
    </x:row>
    <x:row r="7267">
      <x:c r="A7267" s="5" t="str">
        <x:v>獑</x:v>
      </x:c>
      <x:c r="B7267" s="6" t="str">
        <x:v>平</x:v>
      </x:c>
      <x:c r="C7267" s="6" t="str">
        <x:f>IF(B7267="","Needs decision","Ready")</x:f>
        <x:v>Ready</x:v>
      </x:c>
      <x:c r="D7267" s="6" t="str">
        <x:v>平</x:v>
      </x:c>
      <x:c r="E7267" s="6" t="str"/>
      <x:c r="F7267" s="6" t="str">
        <x:v>下平聲十五咸</x:v>
      </x:c>
      <x:c r="G7267" s="6" t="str">
        <x:v>Pingshui main list, Wikisource-derived DOCX</x:v>
      </x:c>
      <x:c r="H7267" s="6" t="str"/>
      <x:c r="I7267" s="6" t="str">
        <x:v>Pingshui main-list expansion; 詞 entries ignored</x:v>
      </x:c>
      <x:c r="J7267" s="6" t="str">
        <x:f>IF(B7267="","",IF(AND(ISNUMBER(SEARCH("平",B7267)),OR(ISNUMBER(SEARCH("上",B7267)),ISNUMBER(SEARCH("去",B7267)),ISNUMBER(SEARCH("入",B7267)))),"Ambiguous",IF(ISNUMBER(SEARCH("平",B7267)),"平","仄")))</x:f>
        <x:v>平</x:v>
      </x:c>
      <x:c r="K7267" s="6" t="str">
        <x:f>IF(D7267="","",IF(AND(ISNUMBER(SEARCH("平",D7267)),OR(ISNUMBER(SEARCH("上",D7267)),ISNUMBER(SEARCH("去",D7267)),ISNUMBER(SEARCH("入",D7267)))),"Ambiguous",IF(ISNUMBER(SEARCH("平",D7267)),"平","仄")))</x:f>
        <x:v>平</x:v>
      </x:c>
      <x:c r="L7267" s="7" t="str">
        <x:v>Pingshui main list expansion</x:v>
      </x:c>
    </x:row>
    <x:row r="7268">
      <x:c r="A7268" s="5" t="str">
        <x:v>獝</x:v>
      </x:c>
      <x:c r="B7268" s="6" t="str">
        <x:v>入</x:v>
      </x:c>
      <x:c r="C7268" s="6" t="str">
        <x:f>IF(B7268="","Needs decision","Ready")</x:f>
        <x:v>Ready</x:v>
      </x:c>
      <x:c r="D7268" s="6" t="str">
        <x:v>入</x:v>
      </x:c>
      <x:c r="E7268" s="6" t="str"/>
      <x:c r="F7268" s="6" t="str">
        <x:v>入聲四質</x:v>
      </x:c>
      <x:c r="G7268" s="6" t="str">
        <x:v>Pingshui main list, Wikisource-derived DOCX</x:v>
      </x:c>
      <x:c r="H7268" s="6" t="str"/>
      <x:c r="I7268" s="6" t="str">
        <x:v>Pingshui main-list expansion; 詞 entries ignored</x:v>
      </x:c>
      <x:c r="J7268" s="6" t="str">
        <x:f>IF(B7268="","",IF(AND(ISNUMBER(SEARCH("平",B7268)),OR(ISNUMBER(SEARCH("上",B7268)),ISNUMBER(SEARCH("去",B7268)),ISNUMBER(SEARCH("入",B7268)))),"Ambiguous",IF(ISNUMBER(SEARCH("平",B7268)),"平","仄")))</x:f>
        <x:v>仄</x:v>
      </x:c>
      <x:c r="K7268" s="6" t="str">
        <x:f>IF(D7268="","",IF(AND(ISNUMBER(SEARCH("平",D7268)),OR(ISNUMBER(SEARCH("上",D7268)),ISNUMBER(SEARCH("去",D7268)),ISNUMBER(SEARCH("入",D7268)))),"Ambiguous",IF(ISNUMBER(SEARCH("平",D7268)),"平","仄")))</x:f>
        <x:v>仄</x:v>
      </x:c>
      <x:c r="L7268" s="7" t="str">
        <x:v>Pingshui main list expansion</x:v>
      </x:c>
    </x:row>
    <x:row r="7269">
      <x:c r="A7269" s="5" t="str">
        <x:v>獢</x:v>
      </x:c>
      <x:c r="B7269" s="6" t="str">
        <x:v>平</x:v>
      </x:c>
      <x:c r="C7269" s="6" t="str">
        <x:f>IF(B7269="","Needs decision","Ready")</x:f>
        <x:v>Ready</x:v>
      </x:c>
      <x:c r="D7269" s="6" t="str">
        <x:v>平</x:v>
      </x:c>
      <x:c r="E7269" s="6" t="str"/>
      <x:c r="F7269" s="6" t="str">
        <x:v>下平聲二蕭</x:v>
      </x:c>
      <x:c r="G7269" s="6" t="str">
        <x:v>Pingshui main list, Wikisource-derived DOCX</x:v>
      </x:c>
      <x:c r="H7269" s="6" t="str"/>
      <x:c r="I7269" s="6" t="str">
        <x:v>Pingshui main-list expansion; 詞 entries ignored</x:v>
      </x:c>
      <x:c r="J7269" s="6" t="str">
        <x:f>IF(B7269="","",IF(AND(ISNUMBER(SEARCH("平",B7269)),OR(ISNUMBER(SEARCH("上",B7269)),ISNUMBER(SEARCH("去",B7269)),ISNUMBER(SEARCH("入",B7269)))),"Ambiguous",IF(ISNUMBER(SEARCH("平",B7269)),"平","仄")))</x:f>
        <x:v>平</x:v>
      </x:c>
      <x:c r="K7269" s="6" t="str">
        <x:f>IF(D7269="","",IF(AND(ISNUMBER(SEARCH("平",D7269)),OR(ISNUMBER(SEARCH("上",D7269)),ISNUMBER(SEARCH("去",D7269)),ISNUMBER(SEARCH("入",D7269)))),"Ambiguous",IF(ISNUMBER(SEARCH("平",D7269)),"平","仄")))</x:f>
        <x:v>平</x:v>
      </x:c>
      <x:c r="L7269" s="7" t="str">
        <x:v>Pingshui main list expansion</x:v>
      </x:c>
    </x:row>
    <x:row r="7270">
      <x:c r="A7270" s="5" t="str">
        <x:v>獥</x:v>
      </x:c>
      <x:c r="B7270" s="6" t="str"/>
      <x:c r="C7270" s="6" t="str">
        <x:f>IF(B7270="","Needs decision","Ready")</x:f>
        <x:v>Needs decision</x:v>
      </x:c>
      <x:c r="D7270" s="6" t="str">
        <x:v>去/入</x:v>
      </x:c>
      <x:c r="E7270" s="6" t="str"/>
      <x:c r="F7270" s="6" t="str">
        <x:v>去聲十八嘯; 入聲十二錫</x:v>
      </x:c>
      <x:c r="G7270" s="6" t="str">
        <x:v>Pingshui main list, Wikisource-derived DOCX</x:v>
      </x:c>
      <x:c r="H7270" s="6" t="str"/>
      <x:c r="I7270" s="6" t="str">
        <x:v>Pingshui main-list expansion; 詞 entries ignored</x:v>
      </x:c>
      <x:c r="J7270" s="6" t="str">
        <x:f>IF(B7270="","",IF(AND(ISNUMBER(SEARCH("平",B7270)),OR(ISNUMBER(SEARCH("上",B7270)),ISNUMBER(SEARCH("去",B7270)),ISNUMBER(SEARCH("入",B7270)))),"Ambiguous",IF(ISNUMBER(SEARCH("平",B7270)),"平","仄")))</x:f>
      </x:c>
      <x:c r="K7270" s="6" t="str">
        <x:f>IF(D7270="","",IF(AND(ISNUMBER(SEARCH("平",D7270)),OR(ISNUMBER(SEARCH("上",D7270)),ISNUMBER(SEARCH("去",D7270)),ISNUMBER(SEARCH("入",D7270)))),"Ambiguous",IF(ISNUMBER(SEARCH("平",D7270)),"平","仄")))</x:f>
        <x:v>仄</x:v>
      </x:c>
      <x:c r="L7270" s="7" t="str">
        <x:v>Pingshui main list expansion</x:v>
      </x:c>
    </x:row>
    <x:row r="7271">
      <x:c r="A7271" s="5" t="str">
        <x:v>獪</x:v>
      </x:c>
      <x:c r="B7271" s="6" t="str">
        <x:v>去</x:v>
      </x:c>
      <x:c r="C7271" s="6" t="str">
        <x:f>IF(B7271="","Needs decision","Ready")</x:f>
        <x:v>Ready</x:v>
      </x:c>
      <x:c r="D7271" s="6" t="str">
        <x:v>去</x:v>
      </x:c>
      <x:c r="E7271" s="6" t="str"/>
      <x:c r="F7271" s="6" t="str">
        <x:v>去聲九泰; 去聲十卦</x:v>
      </x:c>
      <x:c r="G7271" s="6" t="str">
        <x:v>Pingshui main list, Wikisource-derived DOCX</x:v>
      </x:c>
      <x:c r="H7271" s="6" t="str"/>
      <x:c r="I7271" s="6" t="str">
        <x:v>Pingshui main-list expansion; 詞 entries ignored</x:v>
      </x:c>
      <x:c r="J7271" s="6" t="str">
        <x:f>IF(B7271="","",IF(AND(ISNUMBER(SEARCH("平",B7271)),OR(ISNUMBER(SEARCH("上",B7271)),ISNUMBER(SEARCH("去",B7271)),ISNUMBER(SEARCH("入",B7271)))),"Ambiguous",IF(ISNUMBER(SEARCH("平",B7271)),"平","仄")))</x:f>
        <x:v>仄</x:v>
      </x:c>
      <x:c r="K7271" s="6" t="str">
        <x:f>IF(D7271="","",IF(AND(ISNUMBER(SEARCH("平",D7271)),OR(ISNUMBER(SEARCH("上",D7271)),ISNUMBER(SEARCH("去",D7271)),ISNUMBER(SEARCH("入",D7271)))),"Ambiguous",IF(ISNUMBER(SEARCH("平",D7271)),"平","仄")))</x:f>
        <x:v>仄</x:v>
      </x:c>
      <x:c r="L7271" s="7" t="str">
        <x:v>Pingshui main list expansion</x:v>
      </x:c>
    </x:row>
    <x:row r="7272">
      <x:c r="A7272" s="5" t="str">
        <x:v>獰</x:v>
      </x:c>
      <x:c r="B7272" s="6" t="str">
        <x:v>平</x:v>
      </x:c>
      <x:c r="C7272" s="6" t="str">
        <x:f>IF(B7272="","Needs decision","Ready")</x:f>
        <x:v>Ready</x:v>
      </x:c>
      <x:c r="D7272" s="6" t="str">
        <x:v>平</x:v>
      </x:c>
      <x:c r="E7272" s="6" t="str"/>
      <x:c r="F7272" s="6" t="str">
        <x:v>下平聲八庚</x:v>
      </x:c>
      <x:c r="G7272" s="6" t="str">
        <x:v>Pingshui main list, Wikisource-derived DOCX</x:v>
      </x:c>
      <x:c r="H7272" s="6" t="str"/>
      <x:c r="I7272" s="6" t="str">
        <x:v>Pingshui main-list expansion; 詞 entries ignored</x:v>
      </x:c>
      <x:c r="J7272" s="6" t="str">
        <x:f>IF(B7272="","",IF(AND(ISNUMBER(SEARCH("平",B7272)),OR(ISNUMBER(SEARCH("上",B7272)),ISNUMBER(SEARCH("去",B7272)),ISNUMBER(SEARCH("入",B7272)))),"Ambiguous",IF(ISNUMBER(SEARCH("平",B7272)),"平","仄")))</x:f>
        <x:v>平</x:v>
      </x:c>
      <x:c r="K7272" s="6" t="str">
        <x:f>IF(D7272="","",IF(AND(ISNUMBER(SEARCH("平",D7272)),OR(ISNUMBER(SEARCH("上",D7272)),ISNUMBER(SEARCH("去",D7272)),ISNUMBER(SEARCH("入",D7272)))),"Ambiguous",IF(ISNUMBER(SEARCH("平",D7272)),"平","仄")))</x:f>
        <x:v>平</x:v>
      </x:c>
      <x:c r="L7272" s="7" t="str">
        <x:v>Pingshui main list expansion</x:v>
      </x:c>
    </x:row>
    <x:row r="7273">
      <x:c r="A7273" s="5" t="str">
        <x:v>獳</x:v>
      </x:c>
      <x:c r="B7273" s="6" t="str">
        <x:v>平</x:v>
      </x:c>
      <x:c r="C7273" s="6" t="str">
        <x:f>IF(B7273="","Needs decision","Ready")</x:f>
        <x:v>Ready</x:v>
      </x:c>
      <x:c r="D7273" s="6" t="str">
        <x:v>平</x:v>
      </x:c>
      <x:c r="E7273" s="6" t="str"/>
      <x:c r="F7273" s="6" t="str">
        <x:v>上平聲七虞</x:v>
      </x:c>
      <x:c r="G7273" s="6" t="str">
        <x:v>Pingshui main list, Wikisource-derived DOCX</x:v>
      </x:c>
      <x:c r="H7273" s="6" t="str"/>
      <x:c r="I7273" s="6" t="str">
        <x:v>Pingshui main-list expansion; 詞 entries ignored</x:v>
      </x:c>
      <x:c r="J7273" s="6" t="str">
        <x:f>IF(B7273="","",IF(AND(ISNUMBER(SEARCH("平",B7273)),OR(ISNUMBER(SEARCH("上",B7273)),ISNUMBER(SEARCH("去",B7273)),ISNUMBER(SEARCH("入",B7273)))),"Ambiguous",IF(ISNUMBER(SEARCH("平",B7273)),"平","仄")))</x:f>
        <x:v>平</x:v>
      </x:c>
      <x:c r="K7273" s="6" t="str">
        <x:f>IF(D7273="","",IF(AND(ISNUMBER(SEARCH("平",D7273)),OR(ISNUMBER(SEARCH("上",D7273)),ISNUMBER(SEARCH("去",D7273)),ISNUMBER(SEARCH("入",D7273)))),"Ambiguous",IF(ISNUMBER(SEARCH("平",D7273)),"平","仄")))</x:f>
        <x:v>平</x:v>
      </x:c>
      <x:c r="L7273" s="7" t="str">
        <x:v>Pingshui main list expansion</x:v>
      </x:c>
    </x:row>
    <x:row r="7274">
      <x:c r="A7274" s="5" t="str">
        <x:v>獷</x:v>
      </x:c>
      <x:c r="B7274" s="6" t="str">
        <x:v>上</x:v>
      </x:c>
      <x:c r="C7274" s="6" t="str">
        <x:f>IF(B7274="","Needs decision","Ready")</x:f>
        <x:v>Ready</x:v>
      </x:c>
      <x:c r="D7274" s="6" t="str">
        <x:v>上</x:v>
      </x:c>
      <x:c r="E7274" s="6" t="str"/>
      <x:c r="F7274" s="6" t="str">
        <x:v>上聲二十二養; 上聲二十三梗</x:v>
      </x:c>
      <x:c r="G7274" s="6" t="str">
        <x:v>Pingshui main list, Wikisource-derived DOCX</x:v>
      </x:c>
      <x:c r="H7274" s="6" t="str"/>
      <x:c r="I7274" s="6" t="str">
        <x:v>Pingshui main-list expansion; 詞 entries ignored</x:v>
      </x:c>
      <x:c r="J7274" s="6" t="str">
        <x:f>IF(B7274="","",IF(AND(ISNUMBER(SEARCH("平",B7274)),OR(ISNUMBER(SEARCH("上",B7274)),ISNUMBER(SEARCH("去",B7274)),ISNUMBER(SEARCH("入",B7274)))),"Ambiguous",IF(ISNUMBER(SEARCH("平",B7274)),"平","仄")))</x:f>
        <x:v>仄</x:v>
      </x:c>
      <x:c r="K7274" s="6" t="str">
        <x:f>IF(D7274="","",IF(AND(ISNUMBER(SEARCH("平",D7274)),OR(ISNUMBER(SEARCH("上",D7274)),ISNUMBER(SEARCH("去",D7274)),ISNUMBER(SEARCH("入",D7274)))),"Ambiguous",IF(ISNUMBER(SEARCH("平",D7274)),"平","仄")))</x:f>
        <x:v>仄</x:v>
      </x:c>
      <x:c r="L7274" s="7" t="str">
        <x:v>Pingshui main list expansion</x:v>
      </x:c>
    </x:row>
    <x:row r="7275">
      <x:c r="A7275" s="5" t="str">
        <x:v>玃</x:v>
      </x:c>
      <x:c r="B7275" s="6" t="str">
        <x:v>入</x:v>
      </x:c>
      <x:c r="C7275" s="6" t="str">
        <x:f>IF(B7275="","Needs decision","Ready")</x:f>
        <x:v>Ready</x:v>
      </x:c>
      <x:c r="D7275" s="6" t="str">
        <x:v>入</x:v>
      </x:c>
      <x:c r="E7275" s="6" t="str"/>
      <x:c r="F7275" s="6" t="str">
        <x:v>入聲十藥</x:v>
      </x:c>
      <x:c r="G7275" s="6" t="str">
        <x:v>Pingshui main list, Wikisource-derived DOCX</x:v>
      </x:c>
      <x:c r="H7275" s="6" t="str"/>
      <x:c r="I7275" s="6" t="str">
        <x:v>Pingshui main-list expansion; 詞 entries ignored</x:v>
      </x:c>
      <x:c r="J7275" s="6" t="str">
        <x:f>IF(B7275="","",IF(AND(ISNUMBER(SEARCH("平",B7275)),OR(ISNUMBER(SEARCH("上",B7275)),ISNUMBER(SEARCH("去",B7275)),ISNUMBER(SEARCH("入",B7275)))),"Ambiguous",IF(ISNUMBER(SEARCH("平",B7275)),"平","仄")))</x:f>
        <x:v>仄</x:v>
      </x:c>
      <x:c r="K7275" s="6" t="str">
        <x:f>IF(D7275="","",IF(AND(ISNUMBER(SEARCH("平",D7275)),OR(ISNUMBER(SEARCH("上",D7275)),ISNUMBER(SEARCH("去",D7275)),ISNUMBER(SEARCH("入",D7275)))),"Ambiguous",IF(ISNUMBER(SEARCH("平",D7275)),"平","仄")))</x:f>
        <x:v>仄</x:v>
      </x:c>
      <x:c r="L7275" s="7" t="str">
        <x:v>Pingshui main list expansion</x:v>
      </x:c>
    </x:row>
    <x:row r="7276">
      <x:c r="A7276" s="5" t="str">
        <x:v>玈</x:v>
      </x:c>
      <x:c r="B7276" s="6" t="str">
        <x:v>平</x:v>
      </x:c>
      <x:c r="C7276" s="6" t="str">
        <x:f>IF(B7276="","Needs decision","Ready")</x:f>
        <x:v>Ready</x:v>
      </x:c>
      <x:c r="D7276" s="6" t="str">
        <x:v>平</x:v>
      </x:c>
      <x:c r="E7276" s="6" t="str"/>
      <x:c r="F7276" s="6" t="str">
        <x:v>上平聲七虞</x:v>
      </x:c>
      <x:c r="G7276" s="6" t="str">
        <x:v>Pingshui main list, Wikisource-derived DOCX</x:v>
      </x:c>
      <x:c r="H7276" s="6" t="str"/>
      <x:c r="I7276" s="6" t="str">
        <x:v>Pingshui main-list expansion; 詞 entries ignored</x:v>
      </x:c>
      <x:c r="J7276" s="6" t="str">
        <x:f>IF(B7276="","",IF(AND(ISNUMBER(SEARCH("平",B7276)),OR(ISNUMBER(SEARCH("上",B7276)),ISNUMBER(SEARCH("去",B7276)),ISNUMBER(SEARCH("入",B7276)))),"Ambiguous",IF(ISNUMBER(SEARCH("平",B7276)),"平","仄")))</x:f>
        <x:v>平</x:v>
      </x:c>
      <x:c r="K7276" s="6" t="str">
        <x:f>IF(D7276="","",IF(AND(ISNUMBER(SEARCH("平",D7276)),OR(ISNUMBER(SEARCH("上",D7276)),ISNUMBER(SEARCH("去",D7276)),ISNUMBER(SEARCH("入",D7276)))),"Ambiguous",IF(ISNUMBER(SEARCH("平",D7276)),"平","仄")))</x:f>
        <x:v>平</x:v>
      </x:c>
      <x:c r="L7276" s="7" t="str">
        <x:v>Pingshui main list expansion</x:v>
      </x:c>
    </x:row>
    <x:row r="7277">
      <x:c r="A7277" s="5" t="str">
        <x:v>玎</x:v>
      </x:c>
      <x:c r="B7277" s="6" t="str">
        <x:v>平</x:v>
      </x:c>
      <x:c r="C7277" s="6" t="str">
        <x:f>IF(B7277="","Needs decision","Ready")</x:f>
        <x:v>Ready</x:v>
      </x:c>
      <x:c r="D7277" s="6" t="str">
        <x:v>平</x:v>
      </x:c>
      <x:c r="E7277" s="6" t="str"/>
      <x:c r="F7277" s="6" t="str">
        <x:v>下平聲九青</x:v>
      </x:c>
      <x:c r="G7277" s="6" t="str">
        <x:v>Pingshui main list, Wikisource-derived DOCX</x:v>
      </x:c>
      <x:c r="H7277" s="6" t="str"/>
      <x:c r="I7277" s="6" t="str">
        <x:v>Pingshui main-list expansion; 詞 entries ignored</x:v>
      </x:c>
      <x:c r="J7277" s="6" t="str">
        <x:f>IF(B7277="","",IF(AND(ISNUMBER(SEARCH("平",B7277)),OR(ISNUMBER(SEARCH("上",B7277)),ISNUMBER(SEARCH("去",B7277)),ISNUMBER(SEARCH("入",B7277)))),"Ambiguous",IF(ISNUMBER(SEARCH("平",B7277)),"平","仄")))</x:f>
        <x:v>平</x:v>
      </x:c>
      <x:c r="K7277" s="6" t="str">
        <x:f>IF(D7277="","",IF(AND(ISNUMBER(SEARCH("平",D7277)),OR(ISNUMBER(SEARCH("上",D7277)),ISNUMBER(SEARCH("去",D7277)),ISNUMBER(SEARCH("入",D7277)))),"Ambiguous",IF(ISNUMBER(SEARCH("平",D7277)),"平","仄")))</x:f>
        <x:v>平</x:v>
      </x:c>
      <x:c r="L7277" s="7" t="str">
        <x:v>Pingshui main list expansion</x:v>
      </x:c>
    </x:row>
    <x:row r="7278">
      <x:c r="A7278" s="5" t="str">
        <x:v>玒</x:v>
      </x:c>
      <x:c r="B7278" s="6" t="str">
        <x:v>平</x:v>
      </x:c>
      <x:c r="C7278" s="6" t="str">
        <x:f>IF(B7278="","Needs decision","Ready")</x:f>
        <x:v>Ready</x:v>
      </x:c>
      <x:c r="D7278" s="6" t="str">
        <x:v>平</x:v>
      </x:c>
      <x:c r="E7278" s="6" t="str"/>
      <x:c r="F7278" s="6" t="str">
        <x:v>上平聲一東</x:v>
      </x:c>
      <x:c r="G7278" s="6" t="str">
        <x:v>Pingshui main list, Wikisource-derived DOCX</x:v>
      </x:c>
      <x:c r="H7278" s="6" t="str"/>
      <x:c r="I7278" s="6" t="str">
        <x:v>Pingshui main-list expansion; 詞 entries ignored</x:v>
      </x:c>
      <x:c r="J7278" s="6" t="str">
        <x:f>IF(B7278="","",IF(AND(ISNUMBER(SEARCH("平",B7278)),OR(ISNUMBER(SEARCH("上",B7278)),ISNUMBER(SEARCH("去",B7278)),ISNUMBER(SEARCH("入",B7278)))),"Ambiguous",IF(ISNUMBER(SEARCH("平",B7278)),"平","仄")))</x:f>
        <x:v>平</x:v>
      </x:c>
      <x:c r="K7278" s="6" t="str">
        <x:f>IF(D7278="","",IF(AND(ISNUMBER(SEARCH("平",D7278)),OR(ISNUMBER(SEARCH("上",D7278)),ISNUMBER(SEARCH("去",D7278)),ISNUMBER(SEARCH("入",D7278)))),"Ambiguous",IF(ISNUMBER(SEARCH("平",D7278)),"平","仄")))</x:f>
        <x:v>平</x:v>
      </x:c>
      <x:c r="L7278" s="7" t="str">
        <x:v>Pingshui main list expansion</x:v>
      </x:c>
    </x:row>
    <x:row r="7279">
      <x:c r="A7279" s="5" t="str">
        <x:v>玗</x:v>
      </x:c>
      <x:c r="B7279" s="6" t="str">
        <x:v>平</x:v>
      </x:c>
      <x:c r="C7279" s="6" t="str">
        <x:f>IF(B7279="","Needs decision","Ready")</x:f>
        <x:v>Ready</x:v>
      </x:c>
      <x:c r="D7279" s="6" t="str">
        <x:v>平</x:v>
      </x:c>
      <x:c r="E7279" s="6" t="str"/>
      <x:c r="F7279" s="6" t="str">
        <x:v>上平聲七虞</x:v>
      </x:c>
      <x:c r="G7279" s="6" t="str">
        <x:v>Pingshui main list, Wikisource-derived DOCX</x:v>
      </x:c>
      <x:c r="H7279" s="6" t="str"/>
      <x:c r="I7279" s="6" t="str">
        <x:v>Pingshui main-list expansion; 詞 entries ignored</x:v>
      </x:c>
      <x:c r="J7279" s="6" t="str">
        <x:f>IF(B7279="","",IF(AND(ISNUMBER(SEARCH("平",B7279)),OR(ISNUMBER(SEARCH("上",B7279)),ISNUMBER(SEARCH("去",B7279)),ISNUMBER(SEARCH("入",B7279)))),"Ambiguous",IF(ISNUMBER(SEARCH("平",B7279)),"平","仄")))</x:f>
        <x:v>平</x:v>
      </x:c>
      <x:c r="K7279" s="6" t="str">
        <x:f>IF(D7279="","",IF(AND(ISNUMBER(SEARCH("平",D7279)),OR(ISNUMBER(SEARCH("上",D7279)),ISNUMBER(SEARCH("去",D7279)),ISNUMBER(SEARCH("入",D7279)))),"Ambiguous",IF(ISNUMBER(SEARCH("平",D7279)),"平","仄")))</x:f>
        <x:v>平</x:v>
      </x:c>
      <x:c r="L7279" s="7" t="str">
        <x:v>Pingshui main list expansion</x:v>
      </x:c>
    </x:row>
    <x:row r="7280">
      <x:c r="A7280" s="5" t="str">
        <x:v>玤</x:v>
      </x:c>
      <x:c r="B7280" s="6" t="str">
        <x:v>上</x:v>
      </x:c>
      <x:c r="C7280" s="6" t="str">
        <x:f>IF(B7280="","Needs decision","Ready")</x:f>
        <x:v>Ready</x:v>
      </x:c>
      <x:c r="D7280" s="6" t="str">
        <x:v>上</x:v>
      </x:c>
      <x:c r="E7280" s="6" t="str"/>
      <x:c r="F7280" s="6" t="str">
        <x:v>上聲一董; 上聲三講</x:v>
      </x:c>
      <x:c r="G7280" s="6" t="str">
        <x:v>Pingshui main list, Wikisource-derived DOCX</x:v>
      </x:c>
      <x:c r="H7280" s="6" t="str"/>
      <x:c r="I7280" s="6" t="str">
        <x:v>Pingshui main-list expansion; 詞 entries ignored</x:v>
      </x:c>
      <x:c r="J7280" s="6" t="str">
        <x:f>IF(B7280="","",IF(AND(ISNUMBER(SEARCH("平",B7280)),OR(ISNUMBER(SEARCH("上",B7280)),ISNUMBER(SEARCH("去",B7280)),ISNUMBER(SEARCH("入",B7280)))),"Ambiguous",IF(ISNUMBER(SEARCH("平",B7280)),"平","仄")))</x:f>
        <x:v>仄</x:v>
      </x:c>
      <x:c r="K7280" s="6" t="str">
        <x:f>IF(D7280="","",IF(AND(ISNUMBER(SEARCH("平",D7280)),OR(ISNUMBER(SEARCH("上",D7280)),ISNUMBER(SEARCH("去",D7280)),ISNUMBER(SEARCH("入",D7280)))),"Ambiguous",IF(ISNUMBER(SEARCH("平",D7280)),"平","仄")))</x:f>
        <x:v>仄</x:v>
      </x:c>
      <x:c r="L7280" s="7" t="str">
        <x:v>Pingshui main list expansion</x:v>
      </x:c>
    </x:row>
    <x:row r="7281">
      <x:c r="A7281" s="5" t="str">
        <x:v>玼</x:v>
      </x:c>
      <x:c r="B7281" s="6" t="str"/>
      <x:c r="C7281" s="6" t="str">
        <x:f>IF(B7281="","Needs decision","Ready")</x:f>
        <x:v>Needs decision</x:v>
      </x:c>
      <x:c r="D7281" s="6" t="str">
        <x:v>平/上</x:v>
      </x:c>
      <x:c r="E7281" s="6" t="str"/>
      <x:c r="F7281" s="6" t="str">
        <x:v>上平聲四支; 上聲四紙</x:v>
      </x:c>
      <x:c r="G7281" s="6" t="str">
        <x:v>Pingshui main list, Wikisource-derived DOCX</x:v>
      </x:c>
      <x:c r="H7281" s="6" t="str"/>
      <x:c r="I7281" s="6" t="str">
        <x:v>Pingshui main-list expansion; 詞 entries ignored</x:v>
      </x:c>
      <x:c r="J7281" s="6" t="str">
        <x:f>IF(B7281="","",IF(AND(ISNUMBER(SEARCH("平",B7281)),OR(ISNUMBER(SEARCH("上",B7281)),ISNUMBER(SEARCH("去",B7281)),ISNUMBER(SEARCH("入",B7281)))),"Ambiguous",IF(ISNUMBER(SEARCH("平",B7281)),"平","仄")))</x:f>
      </x:c>
      <x:c r="K7281" s="6" t="str">
        <x:f>IF(D7281="","",IF(AND(ISNUMBER(SEARCH("平",D7281)),OR(ISNUMBER(SEARCH("上",D7281)),ISNUMBER(SEARCH("去",D7281)),ISNUMBER(SEARCH("入",D7281)))),"Ambiguous",IF(ISNUMBER(SEARCH("平",D7281)),"平","仄")))</x:f>
        <x:v>Ambiguous</x:v>
      </x:c>
      <x:c r="L7281" s="7" t="str">
        <x:v>Pingshui main list expansion</x:v>
      </x:c>
    </x:row>
    <x:row r="7282">
      <x:c r="A7282" s="5" t="str">
        <x:v>珇</x:v>
      </x:c>
      <x:c r="B7282" s="6" t="str">
        <x:v>上</x:v>
      </x:c>
      <x:c r="C7282" s="6" t="str">
        <x:f>IF(B7282="","Needs decision","Ready")</x:f>
        <x:v>Ready</x:v>
      </x:c>
      <x:c r="D7282" s="6" t="str">
        <x:v>上</x:v>
      </x:c>
      <x:c r="E7282" s="6" t="str"/>
      <x:c r="F7282" s="6" t="str">
        <x:v>上聲七麌</x:v>
      </x:c>
      <x:c r="G7282" s="6" t="str">
        <x:v>Pingshui main list, Wikisource-derived DOCX</x:v>
      </x:c>
      <x:c r="H7282" s="6" t="str"/>
      <x:c r="I7282" s="6" t="str">
        <x:v>Pingshui main-list expansion; 詞 entries ignored</x:v>
      </x:c>
      <x:c r="J7282" s="6" t="str">
        <x:f>IF(B7282="","",IF(AND(ISNUMBER(SEARCH("平",B7282)),OR(ISNUMBER(SEARCH("上",B7282)),ISNUMBER(SEARCH("去",B7282)),ISNUMBER(SEARCH("入",B7282)))),"Ambiguous",IF(ISNUMBER(SEARCH("平",B7282)),"平","仄")))</x:f>
        <x:v>仄</x:v>
      </x:c>
      <x:c r="K7282" s="6" t="str">
        <x:f>IF(D7282="","",IF(AND(ISNUMBER(SEARCH("平",D7282)),OR(ISNUMBER(SEARCH("上",D7282)),ISNUMBER(SEARCH("去",D7282)),ISNUMBER(SEARCH("入",D7282)))),"Ambiguous",IF(ISNUMBER(SEARCH("平",D7282)),"平","仄")))</x:f>
        <x:v>仄</x:v>
      </x:c>
      <x:c r="L7282" s="7" t="str">
        <x:v>Pingshui main list expansion</x:v>
      </x:c>
    </x:row>
    <x:row r="7283">
      <x:c r="A7283" s="5" t="str">
        <x:v>珈</x:v>
      </x:c>
      <x:c r="B7283" s="6" t="str">
        <x:v>平</x:v>
      </x:c>
      <x:c r="C7283" s="6" t="str">
        <x:f>IF(B7283="","Needs decision","Ready")</x:f>
        <x:v>Ready</x:v>
      </x:c>
      <x:c r="D7283" s="6" t="str">
        <x:v>平</x:v>
      </x:c>
      <x:c r="E7283" s="6" t="str"/>
      <x:c r="F7283" s="6" t="str">
        <x:v>下平聲六麻</x:v>
      </x:c>
      <x:c r="G7283" s="6" t="str">
        <x:v>Pingshui main list, Wikisource-derived DOCX</x:v>
      </x:c>
      <x:c r="H7283" s="6" t="str"/>
      <x:c r="I7283" s="6" t="str">
        <x:v>Pingshui main-list expansion; 詞 entries ignored</x:v>
      </x:c>
      <x:c r="J7283" s="6" t="str">
        <x:f>IF(B7283="","",IF(AND(ISNUMBER(SEARCH("平",B7283)),OR(ISNUMBER(SEARCH("上",B7283)),ISNUMBER(SEARCH("去",B7283)),ISNUMBER(SEARCH("入",B7283)))),"Ambiguous",IF(ISNUMBER(SEARCH("平",B7283)),"平","仄")))</x:f>
        <x:v>平</x:v>
      </x:c>
      <x:c r="K7283" s="6" t="str">
        <x:f>IF(D7283="","",IF(AND(ISNUMBER(SEARCH("平",D7283)),OR(ISNUMBER(SEARCH("上",D7283)),ISNUMBER(SEARCH("去",D7283)),ISNUMBER(SEARCH("入",D7283)))),"Ambiguous",IF(ISNUMBER(SEARCH("平",D7283)),"平","仄")))</x:f>
        <x:v>平</x:v>
      </x:c>
      <x:c r="L7283" s="7" t="str">
        <x:v>Pingshui main list expansion</x:v>
      </x:c>
    </x:row>
    <x:row r="7284">
      <x:c r="A7284" s="5" t="str">
        <x:v>珌</x:v>
      </x:c>
      <x:c r="B7284" s="6" t="str">
        <x:v>入</x:v>
      </x:c>
      <x:c r="C7284" s="6" t="str">
        <x:f>IF(B7284="","Needs decision","Ready")</x:f>
        <x:v>Ready</x:v>
      </x:c>
      <x:c r="D7284" s="6" t="str">
        <x:v>入</x:v>
      </x:c>
      <x:c r="E7284" s="6" t="str"/>
      <x:c r="F7284" s="6" t="str">
        <x:v>入聲四質</x:v>
      </x:c>
      <x:c r="G7284" s="6" t="str">
        <x:v>Pingshui main list, Wikisource-derived DOCX</x:v>
      </x:c>
      <x:c r="H7284" s="6" t="str"/>
      <x:c r="I7284" s="6" t="str">
        <x:v>Pingshui main-list expansion; 詞 entries ignored</x:v>
      </x:c>
      <x:c r="J7284" s="6" t="str">
        <x:f>IF(B7284="","",IF(AND(ISNUMBER(SEARCH("平",B7284)),OR(ISNUMBER(SEARCH("上",B7284)),ISNUMBER(SEARCH("去",B7284)),ISNUMBER(SEARCH("入",B7284)))),"Ambiguous",IF(ISNUMBER(SEARCH("平",B7284)),"平","仄")))</x:f>
        <x:v>仄</x:v>
      </x:c>
      <x:c r="K7284" s="6" t="str">
        <x:f>IF(D7284="","",IF(AND(ISNUMBER(SEARCH("平",D7284)),OR(ISNUMBER(SEARCH("上",D7284)),ISNUMBER(SEARCH("去",D7284)),ISNUMBER(SEARCH("入",D7284)))),"Ambiguous",IF(ISNUMBER(SEARCH("平",D7284)),"平","仄")))</x:f>
        <x:v>仄</x:v>
      </x:c>
      <x:c r="L7284" s="7" t="str">
        <x:v>Pingshui main list expansion</x:v>
      </x:c>
    </x:row>
    <x:row r="7285">
      <x:c r="A7285" s="5" t="str">
        <x:v>珔</x:v>
      </x:c>
      <x:c r="B7285" s="6" t="str">
        <x:v>去</x:v>
      </x:c>
      <x:c r="C7285" s="6" t="str">
        <x:f>IF(B7285="","Needs decision","Ready")</x:f>
        <x:v>Ready</x:v>
      </x:c>
      <x:c r="D7285" s="6" t="str">
        <x:v>去</x:v>
      </x:c>
      <x:c r="E7285" s="6" t="str"/>
      <x:c r="F7285" s="6" t="str">
        <x:v>去聲十七霰</x:v>
      </x:c>
      <x:c r="G7285" s="6" t="str">
        <x:v>Pingshui main list, Wikisource-derived DOCX</x:v>
      </x:c>
      <x:c r="H7285" s="6" t="str"/>
      <x:c r="I7285" s="6" t="str">
        <x:v>Pingshui main-list expansion; 詞 entries ignored</x:v>
      </x:c>
      <x:c r="J7285" s="6" t="str">
        <x:f>IF(B7285="","",IF(AND(ISNUMBER(SEARCH("平",B7285)),OR(ISNUMBER(SEARCH("上",B7285)),ISNUMBER(SEARCH("去",B7285)),ISNUMBER(SEARCH("入",B7285)))),"Ambiguous",IF(ISNUMBER(SEARCH("平",B7285)),"平","仄")))</x:f>
        <x:v>仄</x:v>
      </x:c>
      <x:c r="K7285" s="6" t="str">
        <x:f>IF(D7285="","",IF(AND(ISNUMBER(SEARCH("平",D7285)),OR(ISNUMBER(SEARCH("上",D7285)),ISNUMBER(SEARCH("去",D7285)),ISNUMBER(SEARCH("入",D7285)))),"Ambiguous",IF(ISNUMBER(SEARCH("平",D7285)),"平","仄")))</x:f>
        <x:v>仄</x:v>
      </x:c>
      <x:c r="L7285" s="7" t="str">
        <x:v>Pingshui main list expansion</x:v>
      </x:c>
    </x:row>
    <x:row r="7286">
      <x:c r="A7286" s="5" t="str">
        <x:v>珙</x:v>
      </x:c>
      <x:c r="B7286" s="6" t="str">
        <x:v>上</x:v>
      </x:c>
      <x:c r="C7286" s="6" t="str">
        <x:f>IF(B7286="","Needs decision","Ready")</x:f>
        <x:v>Ready</x:v>
      </x:c>
      <x:c r="D7286" s="6" t="str">
        <x:v>上</x:v>
      </x:c>
      <x:c r="E7286" s="6" t="str"/>
      <x:c r="F7286" s="6" t="str">
        <x:v>上聲二腫</x:v>
      </x:c>
      <x:c r="G7286" s="6" t="str">
        <x:v>Pingshui main list, Wikisource-derived DOCX</x:v>
      </x:c>
      <x:c r="H7286" s="6" t="str"/>
      <x:c r="I7286" s="6" t="str">
        <x:v>Pingshui main-list expansion; 詞 entries ignored</x:v>
      </x:c>
      <x:c r="J7286" s="6" t="str">
        <x:f>IF(B7286="","",IF(AND(ISNUMBER(SEARCH("平",B7286)),OR(ISNUMBER(SEARCH("上",B7286)),ISNUMBER(SEARCH("去",B7286)),ISNUMBER(SEARCH("入",B7286)))),"Ambiguous",IF(ISNUMBER(SEARCH("平",B7286)),"平","仄")))</x:f>
        <x:v>仄</x:v>
      </x:c>
      <x:c r="K7286" s="6" t="str">
        <x:f>IF(D7286="","",IF(AND(ISNUMBER(SEARCH("平",D7286)),OR(ISNUMBER(SEARCH("上",D7286)),ISNUMBER(SEARCH("去",D7286)),ISNUMBER(SEARCH("入",D7286)))),"Ambiguous",IF(ISNUMBER(SEARCH("平",D7286)),"平","仄")))</x:f>
        <x:v>仄</x:v>
      </x:c>
      <x:c r="L7286" s="7" t="str">
        <x:v>Pingshui main list expansion</x:v>
      </x:c>
    </x:row>
    <x:row r="7287">
      <x:c r="A7287" s="5" t="str">
        <x:v>珞</x:v>
      </x:c>
      <x:c r="B7287" s="6" t="str">
        <x:v>入</x:v>
      </x:c>
      <x:c r="C7287" s="6" t="str">
        <x:f>IF(B7287="","Needs decision","Ready")</x:f>
        <x:v>Ready</x:v>
      </x:c>
      <x:c r="D7287" s="6" t="str">
        <x:v>入</x:v>
      </x:c>
      <x:c r="E7287" s="6" t="str"/>
      <x:c r="F7287" s="6" t="str">
        <x:v>入聲十藥</x:v>
      </x:c>
      <x:c r="G7287" s="6" t="str">
        <x:v>Pingshui main list, Wikisource-derived DOCX</x:v>
      </x:c>
      <x:c r="H7287" s="6" t="str"/>
      <x:c r="I7287" s="6" t="str">
        <x:v>Pingshui main-list expansion; 詞 entries ignored</x:v>
      </x:c>
      <x:c r="J7287" s="6" t="str">
        <x:f>IF(B7287="","",IF(AND(ISNUMBER(SEARCH("平",B7287)),OR(ISNUMBER(SEARCH("上",B7287)),ISNUMBER(SEARCH("去",B7287)),ISNUMBER(SEARCH("入",B7287)))),"Ambiguous",IF(ISNUMBER(SEARCH("平",B7287)),"平","仄")))</x:f>
        <x:v>仄</x:v>
      </x:c>
      <x:c r="K7287" s="6" t="str">
        <x:f>IF(D7287="","",IF(AND(ISNUMBER(SEARCH("平",D7287)),OR(ISNUMBER(SEARCH("上",D7287)),ISNUMBER(SEARCH("去",D7287)),ISNUMBER(SEARCH("入",D7287)))),"Ambiguous",IF(ISNUMBER(SEARCH("平",D7287)),"平","仄")))</x:f>
        <x:v>仄</x:v>
      </x:c>
      <x:c r="L7287" s="7" t="str">
        <x:v>Pingshui main list expansion</x:v>
      </x:c>
    </x:row>
    <x:row r="7288">
      <x:c r="A7288" s="5" t="str">
        <x:v>珧</x:v>
      </x:c>
      <x:c r="B7288" s="6" t="str">
        <x:v>平</x:v>
      </x:c>
      <x:c r="C7288" s="6" t="str">
        <x:f>IF(B7288="","Needs decision","Ready")</x:f>
        <x:v>Ready</x:v>
      </x:c>
      <x:c r="D7288" s="6" t="str">
        <x:v>平</x:v>
      </x:c>
      <x:c r="E7288" s="6" t="str"/>
      <x:c r="F7288" s="6" t="str">
        <x:v>下平聲二蕭</x:v>
      </x:c>
      <x:c r="G7288" s="6" t="str">
        <x:v>Pingshui main list, Wikisource-derived DOCX</x:v>
      </x:c>
      <x:c r="H7288" s="6" t="str"/>
      <x:c r="I7288" s="6" t="str">
        <x:v>Pingshui main-list expansion; 詞 entries ignored</x:v>
      </x:c>
      <x:c r="J7288" s="6" t="str">
        <x:f>IF(B7288="","",IF(AND(ISNUMBER(SEARCH("平",B7288)),OR(ISNUMBER(SEARCH("上",B7288)),ISNUMBER(SEARCH("去",B7288)),ISNUMBER(SEARCH("入",B7288)))),"Ambiguous",IF(ISNUMBER(SEARCH("平",B7288)),"平","仄")))</x:f>
        <x:v>平</x:v>
      </x:c>
      <x:c r="K7288" s="6" t="str">
        <x:f>IF(D7288="","",IF(AND(ISNUMBER(SEARCH("平",D7288)),OR(ISNUMBER(SEARCH("上",D7288)),ISNUMBER(SEARCH("去",D7288)),ISNUMBER(SEARCH("入",D7288)))),"Ambiguous",IF(ISNUMBER(SEARCH("平",D7288)),"平","仄")))</x:f>
        <x:v>平</x:v>
      </x:c>
      <x:c r="L7288" s="7" t="str">
        <x:v>Pingshui main list expansion</x:v>
      </x:c>
    </x:row>
    <x:row r="7289">
      <x:c r="A7289" s="5" t="str">
        <x:v>珫</x:v>
      </x:c>
      <x:c r="B7289" s="6" t="str">
        <x:v>平</x:v>
      </x:c>
      <x:c r="C7289" s="6" t="str">
        <x:f>IF(B7289="","Needs decision","Ready")</x:f>
        <x:v>Ready</x:v>
      </x:c>
      <x:c r="D7289" s="6" t="str">
        <x:v>平</x:v>
      </x:c>
      <x:c r="E7289" s="6" t="str"/>
      <x:c r="F7289" s="6" t="str">
        <x:v>上平聲一東</x:v>
      </x:c>
      <x:c r="G7289" s="6" t="str">
        <x:v>Pingshui main list, Wikisource-derived DOCX</x:v>
      </x:c>
      <x:c r="H7289" s="6" t="str"/>
      <x:c r="I7289" s="6" t="str">
        <x:v>Pingshui main-list expansion; 詞 entries ignored</x:v>
      </x:c>
      <x:c r="J7289" s="6" t="str">
        <x:f>IF(B7289="","",IF(AND(ISNUMBER(SEARCH("平",B7289)),OR(ISNUMBER(SEARCH("上",B7289)),ISNUMBER(SEARCH("去",B7289)),ISNUMBER(SEARCH("入",B7289)))),"Ambiguous",IF(ISNUMBER(SEARCH("平",B7289)),"平","仄")))</x:f>
        <x:v>平</x:v>
      </x:c>
      <x:c r="K7289" s="6" t="str">
        <x:f>IF(D7289="","",IF(AND(ISNUMBER(SEARCH("平",D7289)),OR(ISNUMBER(SEARCH("上",D7289)),ISNUMBER(SEARCH("去",D7289)),ISNUMBER(SEARCH("入",D7289)))),"Ambiguous",IF(ISNUMBER(SEARCH("平",D7289)),"平","仄")))</x:f>
        <x:v>平</x:v>
      </x:c>
      <x:c r="L7289" s="7" t="str">
        <x:v>Pingshui main list expansion</x:v>
      </x:c>
    </x:row>
    <x:row r="7290">
      <x:c r="A7290" s="5" t="str">
        <x:v>珵</x:v>
      </x:c>
      <x:c r="B7290" s="6" t="str">
        <x:v>平</x:v>
      </x:c>
      <x:c r="C7290" s="6" t="str">
        <x:f>IF(B7290="","Needs decision","Ready")</x:f>
        <x:v>Ready</x:v>
      </x:c>
      <x:c r="D7290" s="6" t="str">
        <x:v>平</x:v>
      </x:c>
      <x:c r="E7290" s="6" t="str"/>
      <x:c r="F7290" s="6" t="str">
        <x:v>下平聲八庚</x:v>
      </x:c>
      <x:c r="G7290" s="6" t="str">
        <x:v>Pingshui main list, Wikisource-derived DOCX</x:v>
      </x:c>
      <x:c r="H7290" s="6" t="str"/>
      <x:c r="I7290" s="6" t="str">
        <x:v>Pingshui main-list expansion; 詞 entries ignored</x:v>
      </x:c>
      <x:c r="J7290" s="6" t="str">
        <x:f>IF(B7290="","",IF(AND(ISNUMBER(SEARCH("平",B7290)),OR(ISNUMBER(SEARCH("上",B7290)),ISNUMBER(SEARCH("去",B7290)),ISNUMBER(SEARCH("入",B7290)))),"Ambiguous",IF(ISNUMBER(SEARCH("平",B7290)),"平","仄")))</x:f>
        <x:v>平</x:v>
      </x:c>
      <x:c r="K7290" s="6" t="str">
        <x:f>IF(D7290="","",IF(AND(ISNUMBER(SEARCH("平",D7290)),OR(ISNUMBER(SEARCH("上",D7290)),ISNUMBER(SEARCH("去",D7290)),ISNUMBER(SEARCH("入",D7290)))),"Ambiguous",IF(ISNUMBER(SEARCH("平",D7290)),"平","仄")))</x:f>
        <x:v>平</x:v>
      </x:c>
      <x:c r="L7290" s="7" t="str">
        <x:v>Pingshui main list expansion</x:v>
      </x:c>
    </x:row>
    <x:row r="7291">
      <x:c r="A7291" s="5" t="str">
        <x:v>琀</x:v>
      </x:c>
      <x:c r="B7291" s="6" t="str">
        <x:v>去</x:v>
      </x:c>
      <x:c r="C7291" s="6" t="str">
        <x:f>IF(B7291="","Needs decision","Ready")</x:f>
        <x:v>Ready</x:v>
      </x:c>
      <x:c r="D7291" s="6" t="str">
        <x:v>去</x:v>
      </x:c>
      <x:c r="E7291" s="6" t="str"/>
      <x:c r="F7291" s="6" t="str">
        <x:v>去聲二十八勘</x:v>
      </x:c>
      <x:c r="G7291" s="6" t="str">
        <x:v>Pingshui main list, Wikisource-derived DOCX</x:v>
      </x:c>
      <x:c r="H7291" s="6" t="str"/>
      <x:c r="I7291" s="6" t="str">
        <x:v>Pingshui main-list expansion; 詞 entries ignored</x:v>
      </x:c>
      <x:c r="J7291" s="6" t="str">
        <x:f>IF(B7291="","",IF(AND(ISNUMBER(SEARCH("平",B7291)),OR(ISNUMBER(SEARCH("上",B7291)),ISNUMBER(SEARCH("去",B7291)),ISNUMBER(SEARCH("入",B7291)))),"Ambiguous",IF(ISNUMBER(SEARCH("平",B7291)),"平","仄")))</x:f>
        <x:v>仄</x:v>
      </x:c>
      <x:c r="K7291" s="6" t="str">
        <x:f>IF(D7291="","",IF(AND(ISNUMBER(SEARCH("平",D7291)),OR(ISNUMBER(SEARCH("上",D7291)),ISNUMBER(SEARCH("去",D7291)),ISNUMBER(SEARCH("入",D7291)))),"Ambiguous",IF(ISNUMBER(SEARCH("平",D7291)),"平","仄")))</x:f>
        <x:v>仄</x:v>
      </x:c>
      <x:c r="L7291" s="7" t="str">
        <x:v>Pingshui main list expansion</x:v>
      </x:c>
    </x:row>
    <x:row r="7292">
      <x:c r="A7292" s="5" t="str">
        <x:v>琇</x:v>
      </x:c>
      <x:c r="B7292" s="6" t="str"/>
      <x:c r="C7292" s="6" t="str">
        <x:f>IF(B7292="","Needs decision","Ready")</x:f>
        <x:v>Needs decision</x:v>
      </x:c>
      <x:c r="D7292" s="6" t="str">
        <x:v>上/去</x:v>
      </x:c>
      <x:c r="E7292" s="6" t="str"/>
      <x:c r="F7292" s="6" t="str">
        <x:v>上聲二十五有; 去聲二十六宥</x:v>
      </x:c>
      <x:c r="G7292" s="6" t="str">
        <x:v>Pingshui main list, Wikisource-derived DOCX</x:v>
      </x:c>
      <x:c r="H7292" s="6" t="str"/>
      <x:c r="I7292" s="6" t="str">
        <x:v>Pingshui main-list expansion; 詞 entries ignored</x:v>
      </x:c>
      <x:c r="J7292" s="6" t="str">
        <x:f>IF(B7292="","",IF(AND(ISNUMBER(SEARCH("平",B7292)),OR(ISNUMBER(SEARCH("上",B7292)),ISNUMBER(SEARCH("去",B7292)),ISNUMBER(SEARCH("入",B7292)))),"Ambiguous",IF(ISNUMBER(SEARCH("平",B7292)),"平","仄")))</x:f>
      </x:c>
      <x:c r="K7292" s="6" t="str">
        <x:f>IF(D7292="","",IF(AND(ISNUMBER(SEARCH("平",D7292)),OR(ISNUMBER(SEARCH("上",D7292)),ISNUMBER(SEARCH("去",D7292)),ISNUMBER(SEARCH("入",D7292)))),"Ambiguous",IF(ISNUMBER(SEARCH("平",D7292)),"平","仄")))</x:f>
        <x:v>仄</x:v>
      </x:c>
      <x:c r="L7292" s="7" t="str">
        <x:v>Pingshui main list expansion</x:v>
      </x:c>
    </x:row>
    <x:row r="7293">
      <x:c r="A7293" s="5" t="str">
        <x:v>琈</x:v>
      </x:c>
      <x:c r="B7293" s="6" t="str">
        <x:v>平</x:v>
      </x:c>
      <x:c r="C7293" s="6" t="str">
        <x:f>IF(B7293="","Needs decision","Ready")</x:f>
        <x:v>Ready</x:v>
      </x:c>
      <x:c r="D7293" s="6" t="str">
        <x:v>平</x:v>
      </x:c>
      <x:c r="E7293" s="6" t="str"/>
      <x:c r="F7293" s="6" t="str">
        <x:v>下平聲十一尤</x:v>
      </x:c>
      <x:c r="G7293" s="6" t="str">
        <x:v>Pingshui main list, Wikisource-derived DOCX</x:v>
      </x:c>
      <x:c r="H7293" s="6" t="str"/>
      <x:c r="I7293" s="6" t="str">
        <x:v>Pingshui main-list expansion; 詞 entries ignored</x:v>
      </x:c>
      <x:c r="J7293" s="6" t="str">
        <x:f>IF(B7293="","",IF(AND(ISNUMBER(SEARCH("平",B7293)),OR(ISNUMBER(SEARCH("上",B7293)),ISNUMBER(SEARCH("去",B7293)),ISNUMBER(SEARCH("入",B7293)))),"Ambiguous",IF(ISNUMBER(SEARCH("平",B7293)),"平","仄")))</x:f>
        <x:v>平</x:v>
      </x:c>
      <x:c r="K7293" s="6" t="str">
        <x:f>IF(D7293="","",IF(AND(ISNUMBER(SEARCH("平",D7293)),OR(ISNUMBER(SEARCH("上",D7293)),ISNUMBER(SEARCH("去",D7293)),ISNUMBER(SEARCH("入",D7293)))),"Ambiguous",IF(ISNUMBER(SEARCH("平",D7293)),"平","仄")))</x:f>
        <x:v>平</x:v>
      </x:c>
      <x:c r="L7293" s="7" t="str">
        <x:v>Pingshui main list expansion</x:v>
      </x:c>
    </x:row>
    <x:row r="7294">
      <x:c r="A7294" s="5" t="str">
        <x:v>琖</x:v>
      </x:c>
      <x:c r="B7294" s="6" t="str">
        <x:v>上</x:v>
      </x:c>
      <x:c r="C7294" s="6" t="str">
        <x:f>IF(B7294="","Needs decision","Ready")</x:f>
        <x:v>Ready</x:v>
      </x:c>
      <x:c r="D7294" s="6" t="str">
        <x:v>上</x:v>
      </x:c>
      <x:c r="E7294" s="6" t="str"/>
      <x:c r="F7294" s="6" t="str">
        <x:v>上聲十五潸</x:v>
      </x:c>
      <x:c r="G7294" s="6" t="str">
        <x:v>Pingshui main list, Wikisource-derived DOCX</x:v>
      </x:c>
      <x:c r="H7294" s="6" t="str"/>
      <x:c r="I7294" s="6" t="str">
        <x:v>Pingshui main-list expansion; 詞 entries ignored</x:v>
      </x:c>
      <x:c r="J7294" s="6" t="str">
        <x:f>IF(B7294="","",IF(AND(ISNUMBER(SEARCH("平",B7294)),OR(ISNUMBER(SEARCH("上",B7294)),ISNUMBER(SEARCH("去",B7294)),ISNUMBER(SEARCH("入",B7294)))),"Ambiguous",IF(ISNUMBER(SEARCH("平",B7294)),"平","仄")))</x:f>
        <x:v>仄</x:v>
      </x:c>
      <x:c r="K7294" s="6" t="str">
        <x:f>IF(D7294="","",IF(AND(ISNUMBER(SEARCH("平",D7294)),OR(ISNUMBER(SEARCH("上",D7294)),ISNUMBER(SEARCH("去",D7294)),ISNUMBER(SEARCH("入",D7294)))),"Ambiguous",IF(ISNUMBER(SEARCH("平",D7294)),"平","仄")))</x:f>
        <x:v>仄</x:v>
      </x:c>
      <x:c r="L7294" s="7" t="str">
        <x:v>Pingshui main list expansion</x:v>
      </x:c>
    </x:row>
    <x:row r="7295">
      <x:c r="A7295" s="5" t="str">
        <x:v>琤</x:v>
      </x:c>
      <x:c r="B7295" s="6" t="str">
        <x:v>平</x:v>
      </x:c>
      <x:c r="C7295" s="6" t="str">
        <x:f>IF(B7295="","Needs decision","Ready")</x:f>
        <x:v>Ready</x:v>
      </x:c>
      <x:c r="D7295" s="6" t="str">
        <x:v>平</x:v>
      </x:c>
      <x:c r="E7295" s="6" t="str"/>
      <x:c r="F7295" s="6" t="str">
        <x:v>下平聲八庚</x:v>
      </x:c>
      <x:c r="G7295" s="6" t="str">
        <x:v>Pingshui main list, Wikisource-derived DOCX</x:v>
      </x:c>
      <x:c r="H7295" s="6" t="str"/>
      <x:c r="I7295" s="6" t="str">
        <x:v>Pingshui main-list expansion; 詞 entries ignored</x:v>
      </x:c>
      <x:c r="J7295" s="6" t="str">
        <x:f>IF(B7295="","",IF(AND(ISNUMBER(SEARCH("平",B7295)),OR(ISNUMBER(SEARCH("上",B7295)),ISNUMBER(SEARCH("去",B7295)),ISNUMBER(SEARCH("入",B7295)))),"Ambiguous",IF(ISNUMBER(SEARCH("平",B7295)),"平","仄")))</x:f>
        <x:v>平</x:v>
      </x:c>
      <x:c r="K7295" s="6" t="str">
        <x:f>IF(D7295="","",IF(AND(ISNUMBER(SEARCH("平",D7295)),OR(ISNUMBER(SEARCH("上",D7295)),ISNUMBER(SEARCH("去",D7295)),ISNUMBER(SEARCH("入",D7295)))),"Ambiguous",IF(ISNUMBER(SEARCH("平",D7295)),"平","仄")))</x:f>
        <x:v>平</x:v>
      </x:c>
      <x:c r="L7295" s="7" t="str">
        <x:v>Pingshui main list expansion</x:v>
      </x:c>
    </x:row>
    <x:row r="7296">
      <x:c r="A7296" s="5" t="str">
        <x:v>琪</x:v>
      </x:c>
      <x:c r="B7296" s="6" t="str">
        <x:v>平</x:v>
      </x:c>
      <x:c r="C7296" s="6" t="str">
        <x:f>IF(B7296="","Needs decision","Ready")</x:f>
        <x:v>Ready</x:v>
      </x:c>
      <x:c r="D7296" s="6" t="str">
        <x:v>平</x:v>
      </x:c>
      <x:c r="E7296" s="6" t="str"/>
      <x:c r="F7296" s="6" t="str">
        <x:v>上平聲四支</x:v>
      </x:c>
      <x:c r="G7296" s="6" t="str">
        <x:v>Pingshui main list, Wikisource-derived DOCX</x:v>
      </x:c>
      <x:c r="H7296" s="6" t="str"/>
      <x:c r="I7296" s="6" t="str">
        <x:v>Pingshui main-list expansion; 詞 entries ignored</x:v>
      </x:c>
      <x:c r="J7296" s="6" t="str">
        <x:f>IF(B7296="","",IF(AND(ISNUMBER(SEARCH("平",B7296)),OR(ISNUMBER(SEARCH("上",B7296)),ISNUMBER(SEARCH("去",B7296)),ISNUMBER(SEARCH("入",B7296)))),"Ambiguous",IF(ISNUMBER(SEARCH("平",B7296)),"平","仄")))</x:f>
        <x:v>平</x:v>
      </x:c>
      <x:c r="K7296" s="6" t="str">
        <x:f>IF(D7296="","",IF(AND(ISNUMBER(SEARCH("平",D7296)),OR(ISNUMBER(SEARCH("上",D7296)),ISNUMBER(SEARCH("去",D7296)),ISNUMBER(SEARCH("入",D7296)))),"Ambiguous",IF(ISNUMBER(SEARCH("平",D7296)),"平","仄")))</x:f>
        <x:v>平</x:v>
      </x:c>
      <x:c r="L7296" s="7" t="str">
        <x:v>Pingshui main list expansion</x:v>
      </x:c>
    </x:row>
    <x:row r="7297">
      <x:c r="A7297" s="5" t="str">
        <x:v>瑊</x:v>
      </x:c>
      <x:c r="B7297" s="6" t="str">
        <x:v>平</x:v>
      </x:c>
      <x:c r="C7297" s="6" t="str">
        <x:f>IF(B7297="","Needs decision","Ready")</x:f>
        <x:v>Ready</x:v>
      </x:c>
      <x:c r="D7297" s="6" t="str">
        <x:v>平</x:v>
      </x:c>
      <x:c r="E7297" s="6" t="str"/>
      <x:c r="F7297" s="6" t="str">
        <x:v>下平聲十五咸</x:v>
      </x:c>
      <x:c r="G7297" s="6" t="str">
        <x:v>Pingshui main list, Wikisource-derived DOCX</x:v>
      </x:c>
      <x:c r="H7297" s="6" t="str"/>
      <x:c r="I7297" s="6" t="str">
        <x:v>Pingshui main-list expansion; 詞 entries ignored</x:v>
      </x:c>
      <x:c r="J7297" s="6" t="str">
        <x:f>IF(B7297="","",IF(AND(ISNUMBER(SEARCH("平",B7297)),OR(ISNUMBER(SEARCH("上",B7297)),ISNUMBER(SEARCH("去",B7297)),ISNUMBER(SEARCH("入",B7297)))),"Ambiguous",IF(ISNUMBER(SEARCH("平",B7297)),"平","仄")))</x:f>
        <x:v>平</x:v>
      </x:c>
      <x:c r="K7297" s="6" t="str">
        <x:f>IF(D7297="","",IF(AND(ISNUMBER(SEARCH("平",D7297)),OR(ISNUMBER(SEARCH("上",D7297)),ISNUMBER(SEARCH("去",D7297)),ISNUMBER(SEARCH("入",D7297)))),"Ambiguous",IF(ISNUMBER(SEARCH("平",D7297)),"平","仄")))</x:f>
        <x:v>平</x:v>
      </x:c>
      <x:c r="L7297" s="7" t="str">
        <x:v>Pingshui main list expansion</x:v>
      </x:c>
    </x:row>
    <x:row r="7298">
      <x:c r="A7298" s="5" t="str">
        <x:v>瑑</x:v>
      </x:c>
      <x:c r="B7298" s="6" t="str">
        <x:v>上</x:v>
      </x:c>
      <x:c r="C7298" s="6" t="str">
        <x:f>IF(B7298="","Needs decision","Ready")</x:f>
        <x:v>Ready</x:v>
      </x:c>
      <x:c r="D7298" s="6" t="str">
        <x:v>上</x:v>
      </x:c>
      <x:c r="E7298" s="6" t="str"/>
      <x:c r="F7298" s="6" t="str">
        <x:v>上聲十六銑</x:v>
      </x:c>
      <x:c r="G7298" s="6" t="str">
        <x:v>Pingshui main list, Wikisource-derived DOCX</x:v>
      </x:c>
      <x:c r="H7298" s="6" t="str"/>
      <x:c r="I7298" s="6" t="str">
        <x:v>Pingshui main-list expansion; 詞 entries ignored</x:v>
      </x:c>
      <x:c r="J7298" s="6" t="str">
        <x:f>IF(B7298="","",IF(AND(ISNUMBER(SEARCH("平",B7298)),OR(ISNUMBER(SEARCH("上",B7298)),ISNUMBER(SEARCH("去",B7298)),ISNUMBER(SEARCH("入",B7298)))),"Ambiguous",IF(ISNUMBER(SEARCH("平",B7298)),"平","仄")))</x:f>
        <x:v>仄</x:v>
      </x:c>
      <x:c r="K7298" s="6" t="str">
        <x:f>IF(D7298="","",IF(AND(ISNUMBER(SEARCH("平",D7298)),OR(ISNUMBER(SEARCH("上",D7298)),ISNUMBER(SEARCH("去",D7298)),ISNUMBER(SEARCH("入",D7298)))),"Ambiguous",IF(ISNUMBER(SEARCH("平",D7298)),"平","仄")))</x:f>
        <x:v>仄</x:v>
      </x:c>
      <x:c r="L7298" s="7" t="str">
        <x:v>Pingshui main list expansion</x:v>
      </x:c>
    </x:row>
    <x:row r="7299">
      <x:c r="A7299" s="5" t="str">
        <x:v>瑢</x:v>
      </x:c>
      <x:c r="B7299" s="6" t="str">
        <x:v>平</x:v>
      </x:c>
      <x:c r="C7299" s="6" t="str">
        <x:f>IF(B7299="","Needs decision","Ready")</x:f>
        <x:v>Ready</x:v>
      </x:c>
      <x:c r="D7299" s="6" t="str">
        <x:v>平</x:v>
      </x:c>
      <x:c r="E7299" s="6" t="str"/>
      <x:c r="F7299" s="6" t="str">
        <x:v>上平聲二冬</x:v>
      </x:c>
      <x:c r="G7299" s="6" t="str">
        <x:v>Pingshui main list, Wikisource-derived DOCX</x:v>
      </x:c>
      <x:c r="H7299" s="6" t="str"/>
      <x:c r="I7299" s="6" t="str">
        <x:v>Pingshui main-list expansion; 詞 entries ignored</x:v>
      </x:c>
      <x:c r="J7299" s="6" t="str">
        <x:f>IF(B7299="","",IF(AND(ISNUMBER(SEARCH("平",B7299)),OR(ISNUMBER(SEARCH("上",B7299)),ISNUMBER(SEARCH("去",B7299)),ISNUMBER(SEARCH("入",B7299)))),"Ambiguous",IF(ISNUMBER(SEARCH("平",B7299)),"平","仄")))</x:f>
        <x:v>平</x:v>
      </x:c>
      <x:c r="K7299" s="6" t="str">
        <x:f>IF(D7299="","",IF(AND(ISNUMBER(SEARCH("平",D7299)),OR(ISNUMBER(SEARCH("上",D7299)),ISNUMBER(SEARCH("去",D7299)),ISNUMBER(SEARCH("入",D7299)))),"Ambiguous",IF(ISNUMBER(SEARCH("平",D7299)),"平","仄")))</x:f>
        <x:v>平</x:v>
      </x:c>
      <x:c r="L7299" s="7" t="str">
        <x:v>Pingshui main list expansion</x:v>
      </x:c>
    </x:row>
    <x:row r="7300">
      <x:c r="A7300" s="5" t="str">
        <x:v>瑧</x:v>
      </x:c>
      <x:c r="B7300" s="6" t="str">
        <x:v>平</x:v>
      </x:c>
      <x:c r="C7300" s="6" t="str">
        <x:f>IF(B7300="","Needs decision","Ready")</x:f>
        <x:v>Ready</x:v>
      </x:c>
      <x:c r="D7300" s="6" t="str">
        <x:v>平</x:v>
      </x:c>
      <x:c r="E7300" s="6" t="str"/>
      <x:c r="F7300" s="6" t="str">
        <x:v>上平聲十一真</x:v>
      </x:c>
      <x:c r="G7300" s="6" t="str">
        <x:v>Pingshui main list, Wikisource-derived DOCX</x:v>
      </x:c>
      <x:c r="H7300" s="6" t="str"/>
      <x:c r="I7300" s="6" t="str">
        <x:v>Pingshui main-list expansion; 詞 entries ignored</x:v>
      </x:c>
      <x:c r="J7300" s="6" t="str">
        <x:f>IF(B7300="","",IF(AND(ISNUMBER(SEARCH("平",B7300)),OR(ISNUMBER(SEARCH("上",B7300)),ISNUMBER(SEARCH("去",B7300)),ISNUMBER(SEARCH("入",B7300)))),"Ambiguous",IF(ISNUMBER(SEARCH("平",B7300)),"平","仄")))</x:f>
        <x:v>平</x:v>
      </x:c>
      <x:c r="K7300" s="6" t="str">
        <x:f>IF(D7300="","",IF(AND(ISNUMBER(SEARCH("平",D7300)),OR(ISNUMBER(SEARCH("上",D7300)),ISNUMBER(SEARCH("去",D7300)),ISNUMBER(SEARCH("入",D7300)))),"Ambiguous",IF(ISNUMBER(SEARCH("平",D7300)),"平","仄")))</x:f>
        <x:v>平</x:v>
      </x:c>
      <x:c r="L7300" s="7" t="str">
        <x:v>Pingshui main list expansion</x:v>
      </x:c>
    </x:row>
    <x:row r="7301">
      <x:c r="A7301" s="5" t="str">
        <x:v>瑭</x:v>
      </x:c>
      <x:c r="B7301" s="6" t="str">
        <x:v>平</x:v>
      </x:c>
      <x:c r="C7301" s="6" t="str">
        <x:f>IF(B7301="","Needs decision","Ready")</x:f>
        <x:v>Ready</x:v>
      </x:c>
      <x:c r="D7301" s="6" t="str">
        <x:v>平</x:v>
      </x:c>
      <x:c r="E7301" s="6" t="str"/>
      <x:c r="F7301" s="6" t="str">
        <x:v>下平聲七陽</x:v>
      </x:c>
      <x:c r="G7301" s="6" t="str">
        <x:v>Pingshui main list, Wikisource-derived DOCX</x:v>
      </x:c>
      <x:c r="H7301" s="6" t="str"/>
      <x:c r="I7301" s="6" t="str">
        <x:v>Pingshui main-list expansion; 詞 entries ignored</x:v>
      </x:c>
      <x:c r="J7301" s="6" t="str">
        <x:f>IF(B7301="","",IF(AND(ISNUMBER(SEARCH("平",B7301)),OR(ISNUMBER(SEARCH("上",B7301)),ISNUMBER(SEARCH("去",B7301)),ISNUMBER(SEARCH("入",B7301)))),"Ambiguous",IF(ISNUMBER(SEARCH("平",B7301)),"平","仄")))</x:f>
        <x:v>平</x:v>
      </x:c>
      <x:c r="K7301" s="6" t="str">
        <x:f>IF(D7301="","",IF(AND(ISNUMBER(SEARCH("平",D7301)),OR(ISNUMBER(SEARCH("上",D7301)),ISNUMBER(SEARCH("去",D7301)),ISNUMBER(SEARCH("入",D7301)))),"Ambiguous",IF(ISNUMBER(SEARCH("平",D7301)),"平","仄")))</x:f>
        <x:v>平</x:v>
      </x:c>
      <x:c r="L7301" s="7" t="str">
        <x:v>Pingshui main list expansion</x:v>
      </x:c>
    </x:row>
    <x:row r="7302">
      <x:c r="A7302" s="5" t="str">
        <x:v>瑲</x:v>
      </x:c>
      <x:c r="B7302" s="6" t="str">
        <x:v>平</x:v>
      </x:c>
      <x:c r="C7302" s="6" t="str">
        <x:f>IF(B7302="","Needs decision","Ready")</x:f>
        <x:v>Ready</x:v>
      </x:c>
      <x:c r="D7302" s="6" t="str">
        <x:v>平</x:v>
      </x:c>
      <x:c r="E7302" s="6" t="str"/>
      <x:c r="F7302" s="6" t="str">
        <x:v>下平聲七陽</x:v>
      </x:c>
      <x:c r="G7302" s="6" t="str">
        <x:v>Pingshui main list, Wikisource-derived DOCX</x:v>
      </x:c>
      <x:c r="H7302" s="6" t="str"/>
      <x:c r="I7302" s="6" t="str">
        <x:v>Pingshui main-list expansion; 詞 entries ignored</x:v>
      </x:c>
      <x:c r="J7302" s="6" t="str">
        <x:f>IF(B7302="","",IF(AND(ISNUMBER(SEARCH("平",B7302)),OR(ISNUMBER(SEARCH("上",B7302)),ISNUMBER(SEARCH("去",B7302)),ISNUMBER(SEARCH("入",B7302)))),"Ambiguous",IF(ISNUMBER(SEARCH("平",B7302)),"平","仄")))</x:f>
        <x:v>平</x:v>
      </x:c>
      <x:c r="K7302" s="6" t="str">
        <x:f>IF(D7302="","",IF(AND(ISNUMBER(SEARCH("平",D7302)),OR(ISNUMBER(SEARCH("上",D7302)),ISNUMBER(SEARCH("去",D7302)),ISNUMBER(SEARCH("入",D7302)))),"Ambiguous",IF(ISNUMBER(SEARCH("平",D7302)),"平","仄")))</x:f>
        <x:v>平</x:v>
      </x:c>
      <x:c r="L7302" s="7" t="str">
        <x:v>Pingshui main list expansion</x:v>
      </x:c>
    </x:row>
    <x:row r="7303">
      <x:c r="A7303" s="5" t="str">
        <x:v>瑵</x:v>
      </x:c>
      <x:c r="B7303" s="6" t="str">
        <x:v>上</x:v>
      </x:c>
      <x:c r="C7303" s="6" t="str">
        <x:f>IF(B7303="","Needs decision","Ready")</x:f>
        <x:v>Ready</x:v>
      </x:c>
      <x:c r="D7303" s="6" t="str">
        <x:v>上</x:v>
      </x:c>
      <x:c r="E7303" s="6" t="str"/>
      <x:c r="F7303" s="6" t="str">
        <x:v>上聲十八巧</x:v>
      </x:c>
      <x:c r="G7303" s="6" t="str">
        <x:v>Pingshui main list, Wikisource-derived DOCX</x:v>
      </x:c>
      <x:c r="H7303" s="6" t="str"/>
      <x:c r="I7303" s="6" t="str">
        <x:v>Pingshui main-list expansion; 詞 entries ignored</x:v>
      </x:c>
      <x:c r="J7303" s="6" t="str">
        <x:f>IF(B7303="","",IF(AND(ISNUMBER(SEARCH("平",B7303)),OR(ISNUMBER(SEARCH("上",B7303)),ISNUMBER(SEARCH("去",B7303)),ISNUMBER(SEARCH("入",B7303)))),"Ambiguous",IF(ISNUMBER(SEARCH("平",B7303)),"平","仄")))</x:f>
        <x:v>仄</x:v>
      </x:c>
      <x:c r="K7303" s="6" t="str">
        <x:f>IF(D7303="","",IF(AND(ISNUMBER(SEARCH("平",D7303)),OR(ISNUMBER(SEARCH("上",D7303)),ISNUMBER(SEARCH("去",D7303)),ISNUMBER(SEARCH("入",D7303)))),"Ambiguous",IF(ISNUMBER(SEARCH("平",D7303)),"平","仄")))</x:f>
        <x:v>仄</x:v>
      </x:c>
      <x:c r="L7303" s="7" t="str">
        <x:v>Pingshui main list expansion</x:v>
      </x:c>
    </x:row>
    <x:row r="7304">
      <x:c r="A7304" s="5" t="str">
        <x:v>瑹</x:v>
      </x:c>
      <x:c r="B7304" s="6" t="str">
        <x:v>平</x:v>
      </x:c>
      <x:c r="C7304" s="6" t="str">
        <x:f>IF(B7304="","Needs decision","Ready")</x:f>
        <x:v>Ready</x:v>
      </x:c>
      <x:c r="D7304" s="6" t="str">
        <x:v>平</x:v>
      </x:c>
      <x:c r="E7304" s="6" t="str"/>
      <x:c r="F7304" s="6" t="str">
        <x:v>上平聲六魚</x:v>
      </x:c>
      <x:c r="G7304" s="6" t="str">
        <x:v>Pingshui main list, Wikisource-derived DOCX</x:v>
      </x:c>
      <x:c r="H7304" s="6" t="str"/>
      <x:c r="I7304" s="6" t="str">
        <x:v>Pingshui main-list expansion; 詞 entries ignored</x:v>
      </x:c>
      <x:c r="J7304" s="6" t="str">
        <x:f>IF(B7304="","",IF(AND(ISNUMBER(SEARCH("平",B7304)),OR(ISNUMBER(SEARCH("上",B7304)),ISNUMBER(SEARCH("去",B7304)),ISNUMBER(SEARCH("入",B7304)))),"Ambiguous",IF(ISNUMBER(SEARCH("平",B7304)),"平","仄")))</x:f>
        <x:v>平</x:v>
      </x:c>
      <x:c r="K7304" s="6" t="str">
        <x:f>IF(D7304="","",IF(AND(ISNUMBER(SEARCH("平",D7304)),OR(ISNUMBER(SEARCH("上",D7304)),ISNUMBER(SEARCH("去",D7304)),ISNUMBER(SEARCH("入",D7304)))),"Ambiguous",IF(ISNUMBER(SEARCH("平",D7304)),"平","仄")))</x:f>
        <x:v>平</x:v>
      </x:c>
      <x:c r="L7304" s="7" t="str">
        <x:v>Pingshui main list expansion</x:v>
      </x:c>
    </x:row>
    <x:row r="7305">
      <x:c r="A7305" s="5" t="str">
        <x:v>瑽</x:v>
      </x:c>
      <x:c r="B7305" s="6" t="str">
        <x:v>平</x:v>
      </x:c>
      <x:c r="C7305" s="6" t="str">
        <x:f>IF(B7305="","Needs decision","Ready")</x:f>
        <x:v>Ready</x:v>
      </x:c>
      <x:c r="D7305" s="6" t="str">
        <x:v>平</x:v>
      </x:c>
      <x:c r="E7305" s="6" t="str"/>
      <x:c r="F7305" s="6" t="str">
        <x:v>上平聲三江</x:v>
      </x:c>
      <x:c r="G7305" s="6" t="str">
        <x:v>Pingshui main list, Wikisource-derived DOCX</x:v>
      </x:c>
      <x:c r="H7305" s="6" t="str"/>
      <x:c r="I7305" s="6" t="str">
        <x:v>Pingshui main-list expansion; 詞 entries ignored</x:v>
      </x:c>
      <x:c r="J7305" s="6" t="str">
        <x:f>IF(B7305="","",IF(AND(ISNUMBER(SEARCH("平",B7305)),OR(ISNUMBER(SEARCH("上",B7305)),ISNUMBER(SEARCH("去",B7305)),ISNUMBER(SEARCH("入",B7305)))),"Ambiguous",IF(ISNUMBER(SEARCH("平",B7305)),"平","仄")))</x:f>
        <x:v>平</x:v>
      </x:c>
      <x:c r="K7305" s="6" t="str">
        <x:f>IF(D7305="","",IF(AND(ISNUMBER(SEARCH("平",D7305)),OR(ISNUMBER(SEARCH("上",D7305)),ISNUMBER(SEARCH("去",D7305)),ISNUMBER(SEARCH("入",D7305)))),"Ambiguous",IF(ISNUMBER(SEARCH("平",D7305)),"平","仄")))</x:f>
        <x:v>平</x:v>
      </x:c>
      <x:c r="L7305" s="7" t="str">
        <x:v>Pingshui main list expansion</x:v>
      </x:c>
    </x:row>
    <x:row r="7306">
      <x:c r="A7306" s="5" t="str">
        <x:v>璐</x:v>
      </x:c>
      <x:c r="B7306" s="6" t="str">
        <x:v>去</x:v>
      </x:c>
      <x:c r="C7306" s="6" t="str">
        <x:f>IF(B7306="","Needs decision","Ready")</x:f>
        <x:v>Ready</x:v>
      </x:c>
      <x:c r="D7306" s="6" t="str">
        <x:v>去</x:v>
      </x:c>
      <x:c r="E7306" s="6" t="str"/>
      <x:c r="F7306" s="6" t="str">
        <x:v>去聲七遇</x:v>
      </x:c>
      <x:c r="G7306" s="6" t="str">
        <x:v>Pingshui main list, Wikisource-derived DOCX</x:v>
      </x:c>
      <x:c r="H7306" s="6" t="str"/>
      <x:c r="I7306" s="6" t="str">
        <x:v>Pingshui main-list expansion; 詞 entries ignored</x:v>
      </x:c>
      <x:c r="J7306" s="6" t="str">
        <x:f>IF(B7306="","",IF(AND(ISNUMBER(SEARCH("平",B7306)),OR(ISNUMBER(SEARCH("上",B7306)),ISNUMBER(SEARCH("去",B7306)),ISNUMBER(SEARCH("入",B7306)))),"Ambiguous",IF(ISNUMBER(SEARCH("平",B7306)),"平","仄")))</x:f>
        <x:v>仄</x:v>
      </x:c>
      <x:c r="K7306" s="6" t="str">
        <x:f>IF(D7306="","",IF(AND(ISNUMBER(SEARCH("平",D7306)),OR(ISNUMBER(SEARCH("上",D7306)),ISNUMBER(SEARCH("去",D7306)),ISNUMBER(SEARCH("入",D7306)))),"Ambiguous",IF(ISNUMBER(SEARCH("平",D7306)),"平","仄")))</x:f>
        <x:v>仄</x:v>
      </x:c>
      <x:c r="L7306" s="7" t="str">
        <x:v>Pingshui main list expansion</x:v>
      </x:c>
    </x:row>
    <x:row r="7307">
      <x:c r="A7307" s="5" t="str">
        <x:v>璗</x:v>
      </x:c>
      <x:c r="B7307" s="6" t="str">
        <x:v>上</x:v>
      </x:c>
      <x:c r="C7307" s="6" t="str">
        <x:f>IF(B7307="","Needs decision","Ready")</x:f>
        <x:v>Ready</x:v>
      </x:c>
      <x:c r="D7307" s="6" t="str">
        <x:v>上</x:v>
      </x:c>
      <x:c r="E7307" s="6" t="str"/>
      <x:c r="F7307" s="6" t="str">
        <x:v>上聲二十二養</x:v>
      </x:c>
      <x:c r="G7307" s="6" t="str">
        <x:v>Pingshui main list, Wikisource-derived DOCX</x:v>
      </x:c>
      <x:c r="H7307" s="6" t="str"/>
      <x:c r="I7307" s="6" t="str">
        <x:v>Pingshui main-list expansion; 詞 entries ignored</x:v>
      </x:c>
      <x:c r="J7307" s="6" t="str">
        <x:f>IF(B7307="","",IF(AND(ISNUMBER(SEARCH("平",B7307)),OR(ISNUMBER(SEARCH("上",B7307)),ISNUMBER(SEARCH("去",B7307)),ISNUMBER(SEARCH("入",B7307)))),"Ambiguous",IF(ISNUMBER(SEARCH("平",B7307)),"平","仄")))</x:f>
        <x:v>仄</x:v>
      </x:c>
      <x:c r="K7307" s="6" t="str">
        <x:f>IF(D7307="","",IF(AND(ISNUMBER(SEARCH("平",D7307)),OR(ISNUMBER(SEARCH("上",D7307)),ISNUMBER(SEARCH("去",D7307)),ISNUMBER(SEARCH("入",D7307)))),"Ambiguous",IF(ISNUMBER(SEARCH("平",D7307)),"平","仄")))</x:f>
        <x:v>仄</x:v>
      </x:c>
      <x:c r="L7307" s="7" t="str">
        <x:v>Pingshui main list expansion</x:v>
      </x:c>
    </x:row>
    <x:row r="7308">
      <x:c r="A7308" s="5" t="str">
        <x:v>璦</x:v>
      </x:c>
      <x:c r="B7308" s="6" t="str">
        <x:v>去</x:v>
      </x:c>
      <x:c r="C7308" s="6" t="str">
        <x:f>IF(B7308="","Needs decision","Ready")</x:f>
        <x:v>Ready</x:v>
      </x:c>
      <x:c r="D7308" s="6" t="str">
        <x:v>去</x:v>
      </x:c>
      <x:c r="E7308" s="6" t="str"/>
      <x:c r="F7308" s="6" t="str">
        <x:v>去聲十七霰</x:v>
      </x:c>
      <x:c r="G7308" s="6" t="str">
        <x:v>Pingshui main list, Wikisource-derived DOCX</x:v>
      </x:c>
      <x:c r="H7308" s="6" t="str"/>
      <x:c r="I7308" s="6" t="str">
        <x:v>Pingshui main-list expansion; 詞 entries ignored</x:v>
      </x:c>
      <x:c r="J7308" s="6" t="str">
        <x:f>IF(B7308="","",IF(AND(ISNUMBER(SEARCH("平",B7308)),OR(ISNUMBER(SEARCH("上",B7308)),ISNUMBER(SEARCH("去",B7308)),ISNUMBER(SEARCH("入",B7308)))),"Ambiguous",IF(ISNUMBER(SEARCH("平",B7308)),"平","仄")))</x:f>
        <x:v>仄</x:v>
      </x:c>
      <x:c r="K7308" s="6" t="str">
        <x:f>IF(D7308="","",IF(AND(ISNUMBER(SEARCH("平",D7308)),OR(ISNUMBER(SEARCH("上",D7308)),ISNUMBER(SEARCH("去",D7308)),ISNUMBER(SEARCH("入",D7308)))),"Ambiguous",IF(ISNUMBER(SEARCH("平",D7308)),"平","仄")))</x:f>
        <x:v>仄</x:v>
      </x:c>
      <x:c r="L7308" s="7" t="str">
        <x:v>Pingshui main list expansion</x:v>
      </x:c>
    </x:row>
    <x:row r="7309">
      <x:c r="A7309" s="5" t="str">
        <x:v>璪</x:v>
      </x:c>
      <x:c r="B7309" s="6" t="str">
        <x:v>上</x:v>
      </x:c>
      <x:c r="C7309" s="6" t="str">
        <x:f>IF(B7309="","Needs decision","Ready")</x:f>
        <x:v>Ready</x:v>
      </x:c>
      <x:c r="D7309" s="6" t="str">
        <x:v>上</x:v>
      </x:c>
      <x:c r="E7309" s="6" t="str"/>
      <x:c r="F7309" s="6" t="str">
        <x:v>上聲十九皓</x:v>
      </x:c>
      <x:c r="G7309" s="6" t="str">
        <x:v>Pingshui main list, Wikisource-derived DOCX</x:v>
      </x:c>
      <x:c r="H7309" s="6" t="str"/>
      <x:c r="I7309" s="6" t="str">
        <x:v>Pingshui main-list expansion; 詞 entries ignored</x:v>
      </x:c>
      <x:c r="J7309" s="6" t="str">
        <x:f>IF(B7309="","",IF(AND(ISNUMBER(SEARCH("平",B7309)),OR(ISNUMBER(SEARCH("上",B7309)),ISNUMBER(SEARCH("去",B7309)),ISNUMBER(SEARCH("入",B7309)))),"Ambiguous",IF(ISNUMBER(SEARCH("平",B7309)),"平","仄")))</x:f>
        <x:v>仄</x:v>
      </x:c>
      <x:c r="K7309" s="6" t="str">
        <x:f>IF(D7309="","",IF(AND(ISNUMBER(SEARCH("平",D7309)),OR(ISNUMBER(SEARCH("上",D7309)),ISNUMBER(SEARCH("去",D7309)),ISNUMBER(SEARCH("入",D7309)))),"Ambiguous",IF(ISNUMBER(SEARCH("平",D7309)),"平","仄")))</x:f>
        <x:v>仄</x:v>
      </x:c>
      <x:c r="L7309" s="7" t="str">
        <x:v>Pingshui main list expansion</x:v>
      </x:c>
    </x:row>
    <x:row r="7310">
      <x:c r="A7310" s="5" t="str">
        <x:v>璱</x:v>
      </x:c>
      <x:c r="B7310" s="6" t="str">
        <x:v>入</x:v>
      </x:c>
      <x:c r="C7310" s="6" t="str">
        <x:f>IF(B7310="","Needs decision","Ready")</x:f>
        <x:v>Ready</x:v>
      </x:c>
      <x:c r="D7310" s="6" t="str">
        <x:v>入</x:v>
      </x:c>
      <x:c r="E7310" s="6" t="str"/>
      <x:c r="F7310" s="6" t="str">
        <x:v>入聲四質</x:v>
      </x:c>
      <x:c r="G7310" s="6" t="str">
        <x:v>Pingshui main list, Wikisource-derived DOCX</x:v>
      </x:c>
      <x:c r="H7310" s="6" t="str"/>
      <x:c r="I7310" s="6" t="str">
        <x:v>Pingshui main-list expansion; 詞 entries ignored</x:v>
      </x:c>
      <x:c r="J7310" s="6" t="str">
        <x:f>IF(B7310="","",IF(AND(ISNUMBER(SEARCH("平",B7310)),OR(ISNUMBER(SEARCH("上",B7310)),ISNUMBER(SEARCH("去",B7310)),ISNUMBER(SEARCH("入",B7310)))),"Ambiguous",IF(ISNUMBER(SEARCH("平",B7310)),"平","仄")))</x:f>
        <x:v>仄</x:v>
      </x:c>
      <x:c r="K7310" s="6" t="str">
        <x:f>IF(D7310="","",IF(AND(ISNUMBER(SEARCH("平",D7310)),OR(ISNUMBER(SEARCH("上",D7310)),ISNUMBER(SEARCH("去",D7310)),ISNUMBER(SEARCH("入",D7310)))),"Ambiguous",IF(ISNUMBER(SEARCH("平",D7310)),"平","仄")))</x:f>
        <x:v>仄</x:v>
      </x:c>
      <x:c r="L7310" s="7" t="str">
        <x:v>Pingshui main list expansion</x:v>
      </x:c>
    </x:row>
    <x:row r="7311">
      <x:c r="A7311" s="5" t="str">
        <x:v>璲</x:v>
      </x:c>
      <x:c r="B7311" s="6" t="str">
        <x:v>去</x:v>
      </x:c>
      <x:c r="C7311" s="6" t="str">
        <x:f>IF(B7311="","Needs decision","Ready")</x:f>
        <x:v>Ready</x:v>
      </x:c>
      <x:c r="D7311" s="6" t="str">
        <x:v>去</x:v>
      </x:c>
      <x:c r="E7311" s="6" t="str"/>
      <x:c r="F7311" s="6" t="str">
        <x:v>去聲四寘</x:v>
      </x:c>
      <x:c r="G7311" s="6" t="str">
        <x:v>Pingshui main list, Wikisource-derived DOCX</x:v>
      </x:c>
      <x:c r="H7311" s="6" t="str"/>
      <x:c r="I7311" s="6" t="str">
        <x:v>Pingshui main-list expansion; 詞 entries ignored</x:v>
      </x:c>
      <x:c r="J7311" s="6" t="str">
        <x:f>IF(B7311="","",IF(AND(ISNUMBER(SEARCH("平",B7311)),OR(ISNUMBER(SEARCH("上",B7311)),ISNUMBER(SEARCH("去",B7311)),ISNUMBER(SEARCH("入",B7311)))),"Ambiguous",IF(ISNUMBER(SEARCH("平",B7311)),"平","仄")))</x:f>
        <x:v>仄</x:v>
      </x:c>
      <x:c r="K7311" s="6" t="str">
        <x:f>IF(D7311="","",IF(AND(ISNUMBER(SEARCH("平",D7311)),OR(ISNUMBER(SEARCH("上",D7311)),ISNUMBER(SEARCH("去",D7311)),ISNUMBER(SEARCH("入",D7311)))),"Ambiguous",IF(ISNUMBER(SEARCH("平",D7311)),"平","仄")))</x:f>
        <x:v>仄</x:v>
      </x:c>
      <x:c r="L7311" s="7" t="str">
        <x:v>Pingshui main list expansion</x:v>
      </x:c>
    </x:row>
    <x:row r="7312">
      <x:c r="A7312" s="5" t="str">
        <x:v>璺</x:v>
      </x:c>
      <x:c r="B7312" s="6" t="str">
        <x:v>去</x:v>
      </x:c>
      <x:c r="C7312" s="6" t="str">
        <x:f>IF(B7312="","Needs decision","Ready")</x:f>
        <x:v>Ready</x:v>
      </x:c>
      <x:c r="D7312" s="6" t="str">
        <x:v>去</x:v>
      </x:c>
      <x:c r="E7312" s="6" t="str"/>
      <x:c r="F7312" s="6" t="str">
        <x:v>去聲十三問</x:v>
      </x:c>
      <x:c r="G7312" s="6" t="str">
        <x:v>Pingshui main list, Wikisource-derived DOCX</x:v>
      </x:c>
      <x:c r="H7312" s="6" t="str"/>
      <x:c r="I7312" s="6" t="str">
        <x:v>Pingshui main-list expansion; 詞 entries ignored</x:v>
      </x:c>
      <x:c r="J7312" s="6" t="str">
        <x:f>IF(B7312="","",IF(AND(ISNUMBER(SEARCH("平",B7312)),OR(ISNUMBER(SEARCH("上",B7312)),ISNUMBER(SEARCH("去",B7312)),ISNUMBER(SEARCH("入",B7312)))),"Ambiguous",IF(ISNUMBER(SEARCH("平",B7312)),"平","仄")))</x:f>
        <x:v>仄</x:v>
      </x:c>
      <x:c r="K7312" s="6" t="str">
        <x:f>IF(D7312="","",IF(AND(ISNUMBER(SEARCH("平",D7312)),OR(ISNUMBER(SEARCH("上",D7312)),ISNUMBER(SEARCH("去",D7312)),ISNUMBER(SEARCH("入",D7312)))),"Ambiguous",IF(ISNUMBER(SEARCH("平",D7312)),"平","仄")))</x:f>
        <x:v>仄</x:v>
      </x:c>
      <x:c r="L7312" s="7" t="str">
        <x:v>Pingshui main list expansion</x:v>
      </x:c>
    </x:row>
    <x:row r="7313">
      <x:c r="A7313" s="5" t="str">
        <x:v>瓀</x:v>
      </x:c>
      <x:c r="B7313" s="6" t="str">
        <x:v>平</x:v>
      </x:c>
      <x:c r="C7313" s="6" t="str">
        <x:f>IF(B7313="","Needs decision","Ready")</x:f>
        <x:v>Ready</x:v>
      </x:c>
      <x:c r="D7313" s="6" t="str">
        <x:v>平</x:v>
      </x:c>
      <x:c r="E7313" s="6" t="str"/>
      <x:c r="F7313" s="6" t="str">
        <x:v>下平聲一先</x:v>
      </x:c>
      <x:c r="G7313" s="6" t="str">
        <x:v>Pingshui main list, Wikisource-derived DOCX</x:v>
      </x:c>
      <x:c r="H7313" s="6" t="str"/>
      <x:c r="I7313" s="6" t="str">
        <x:v>Pingshui main-list expansion; 詞 entries ignored</x:v>
      </x:c>
      <x:c r="J7313" s="6" t="str">
        <x:f>IF(B7313="","",IF(AND(ISNUMBER(SEARCH("平",B7313)),OR(ISNUMBER(SEARCH("上",B7313)),ISNUMBER(SEARCH("去",B7313)),ISNUMBER(SEARCH("入",B7313)))),"Ambiguous",IF(ISNUMBER(SEARCH("平",B7313)),"平","仄")))</x:f>
        <x:v>平</x:v>
      </x:c>
      <x:c r="K7313" s="6" t="str">
        <x:f>IF(D7313="","",IF(AND(ISNUMBER(SEARCH("平",D7313)),OR(ISNUMBER(SEARCH("上",D7313)),ISNUMBER(SEARCH("去",D7313)),ISNUMBER(SEARCH("入",D7313)))),"Ambiguous",IF(ISNUMBER(SEARCH("平",D7313)),"平","仄")))</x:f>
        <x:v>平</x:v>
      </x:c>
      <x:c r="L7313" s="7" t="str">
        <x:v>Pingshui main list expansion</x:v>
      </x:c>
    </x:row>
    <x:row r="7314">
      <x:c r="A7314" s="5" t="str">
        <x:v>瓔</x:v>
      </x:c>
      <x:c r="B7314" s="6" t="str">
        <x:v>平</x:v>
      </x:c>
      <x:c r="C7314" s="6" t="str">
        <x:f>IF(B7314="","Needs decision","Ready")</x:f>
        <x:v>Ready</x:v>
      </x:c>
      <x:c r="D7314" s="6" t="str">
        <x:v>平</x:v>
      </x:c>
      <x:c r="E7314" s="6" t="str"/>
      <x:c r="F7314" s="6" t="str">
        <x:v>下平聲八庚</x:v>
      </x:c>
      <x:c r="G7314" s="6" t="str">
        <x:v>Pingshui main list, Wikisource-derived DOCX</x:v>
      </x:c>
      <x:c r="H7314" s="6" t="str"/>
      <x:c r="I7314" s="6" t="str">
        <x:v>Pingshui main-list expansion; 詞 entries ignored</x:v>
      </x:c>
      <x:c r="J7314" s="6" t="str">
        <x:f>IF(B7314="","",IF(AND(ISNUMBER(SEARCH("平",B7314)),OR(ISNUMBER(SEARCH("上",B7314)),ISNUMBER(SEARCH("去",B7314)),ISNUMBER(SEARCH("入",B7314)))),"Ambiguous",IF(ISNUMBER(SEARCH("平",B7314)),"平","仄")))</x:f>
        <x:v>平</x:v>
      </x:c>
      <x:c r="K7314" s="6" t="str">
        <x:f>IF(D7314="","",IF(AND(ISNUMBER(SEARCH("平",D7314)),OR(ISNUMBER(SEARCH("上",D7314)),ISNUMBER(SEARCH("去",D7314)),ISNUMBER(SEARCH("入",D7314)))),"Ambiguous",IF(ISNUMBER(SEARCH("平",D7314)),"平","仄")))</x:f>
        <x:v>平</x:v>
      </x:c>
      <x:c r="L7314" s="7" t="str">
        <x:v>Pingshui main list expansion</x:v>
      </x:c>
    </x:row>
    <x:row r="7315">
      <x:c r="A7315" s="5" t="str">
        <x:v>瓖</x:v>
      </x:c>
      <x:c r="B7315" s="6" t="str">
        <x:v>平</x:v>
      </x:c>
      <x:c r="C7315" s="6" t="str">
        <x:f>IF(B7315="","Needs decision","Ready")</x:f>
        <x:v>Ready</x:v>
      </x:c>
      <x:c r="D7315" s="6" t="str">
        <x:v>平</x:v>
      </x:c>
      <x:c r="E7315" s="6" t="str"/>
      <x:c r="F7315" s="6" t="str">
        <x:v>下平聲七陽</x:v>
      </x:c>
      <x:c r="G7315" s="6" t="str">
        <x:v>Pingshui main list, Wikisource-derived DOCX</x:v>
      </x:c>
      <x:c r="H7315" s="6" t="str"/>
      <x:c r="I7315" s="6" t="str">
        <x:v>Pingshui main-list expansion; 詞 entries ignored</x:v>
      </x:c>
      <x:c r="J7315" s="6" t="str">
        <x:f>IF(B7315="","",IF(AND(ISNUMBER(SEARCH("平",B7315)),OR(ISNUMBER(SEARCH("上",B7315)),ISNUMBER(SEARCH("去",B7315)),ISNUMBER(SEARCH("入",B7315)))),"Ambiguous",IF(ISNUMBER(SEARCH("平",B7315)),"平","仄")))</x:f>
        <x:v>平</x:v>
      </x:c>
      <x:c r="K7315" s="6" t="str">
        <x:f>IF(D7315="","",IF(AND(ISNUMBER(SEARCH("平",D7315)),OR(ISNUMBER(SEARCH("上",D7315)),ISNUMBER(SEARCH("去",D7315)),ISNUMBER(SEARCH("入",D7315)))),"Ambiguous",IF(ISNUMBER(SEARCH("平",D7315)),"平","仄")))</x:f>
        <x:v>平</x:v>
      </x:c>
      <x:c r="L7315" s="7" t="str">
        <x:v>Pingshui main list expansion</x:v>
      </x:c>
    </x:row>
    <x:row r="7316">
      <x:c r="A7316" s="5" t="str">
        <x:v>瓝</x:v>
      </x:c>
      <x:c r="B7316" s="6" t="str">
        <x:v>入</x:v>
      </x:c>
      <x:c r="C7316" s="6" t="str">
        <x:f>IF(B7316="","Needs decision","Ready")</x:f>
        <x:v>Ready</x:v>
      </x:c>
      <x:c r="D7316" s="6" t="str">
        <x:v>入</x:v>
      </x:c>
      <x:c r="E7316" s="6" t="str"/>
      <x:c r="F7316" s="6" t="str">
        <x:v>入聲三覺</x:v>
      </x:c>
      <x:c r="G7316" s="6" t="str">
        <x:v>Pingshui main list, Wikisource-derived DOCX</x:v>
      </x:c>
      <x:c r="H7316" s="6" t="str"/>
      <x:c r="I7316" s="6" t="str">
        <x:v>Pingshui main-list expansion; 詞 entries ignored</x:v>
      </x:c>
      <x:c r="J7316" s="6" t="str">
        <x:f>IF(B7316="","",IF(AND(ISNUMBER(SEARCH("平",B7316)),OR(ISNUMBER(SEARCH("上",B7316)),ISNUMBER(SEARCH("去",B7316)),ISNUMBER(SEARCH("入",B7316)))),"Ambiguous",IF(ISNUMBER(SEARCH("平",B7316)),"平","仄")))</x:f>
        <x:v>仄</x:v>
      </x:c>
      <x:c r="K7316" s="6" t="str">
        <x:f>IF(D7316="","",IF(AND(ISNUMBER(SEARCH("平",D7316)),OR(ISNUMBER(SEARCH("上",D7316)),ISNUMBER(SEARCH("去",D7316)),ISNUMBER(SEARCH("入",D7316)))),"Ambiguous",IF(ISNUMBER(SEARCH("平",D7316)),"平","仄")))</x:f>
        <x:v>仄</x:v>
      </x:c>
      <x:c r="L7316" s="7" t="str">
        <x:v>Pingshui main list expansion</x:v>
      </x:c>
    </x:row>
    <x:row r="7317">
      <x:c r="A7317" s="5" t="str">
        <x:v>瓣</x:v>
      </x:c>
      <x:c r="B7317" s="6" t="str">
        <x:v>去</x:v>
      </x:c>
      <x:c r="C7317" s="6" t="str">
        <x:f>IF(B7317="","Needs decision","Ready")</x:f>
        <x:v>Ready</x:v>
      </x:c>
      <x:c r="D7317" s="6" t="str">
        <x:v>去</x:v>
      </x:c>
      <x:c r="E7317" s="6" t="str"/>
      <x:c r="F7317" s="6" t="str">
        <x:v>去聲十六諫</x:v>
      </x:c>
      <x:c r="G7317" s="6" t="str">
        <x:v>Pingshui main list, Wikisource-derived DOCX</x:v>
      </x:c>
      <x:c r="H7317" s="6" t="str"/>
      <x:c r="I7317" s="6" t="str">
        <x:v>Pingshui main-list expansion; 詞 entries ignored</x:v>
      </x:c>
      <x:c r="J7317" s="6" t="str">
        <x:f>IF(B7317="","",IF(AND(ISNUMBER(SEARCH("平",B7317)),OR(ISNUMBER(SEARCH("上",B7317)),ISNUMBER(SEARCH("去",B7317)),ISNUMBER(SEARCH("入",B7317)))),"Ambiguous",IF(ISNUMBER(SEARCH("平",B7317)),"平","仄")))</x:f>
        <x:v>仄</x:v>
      </x:c>
      <x:c r="K7317" s="6" t="str">
        <x:f>IF(D7317="","",IF(AND(ISNUMBER(SEARCH("平",D7317)),OR(ISNUMBER(SEARCH("上",D7317)),ISNUMBER(SEARCH("去",D7317)),ISNUMBER(SEARCH("入",D7317)))),"Ambiguous",IF(ISNUMBER(SEARCH("平",D7317)),"平","仄")))</x:f>
        <x:v>仄</x:v>
      </x:c>
      <x:c r="L7317" s="7" t="str">
        <x:v>Pingshui main list expansion</x:v>
      </x:c>
    </x:row>
    <x:row r="7318">
      <x:c r="A7318" s="5" t="str">
        <x:v>瓤</x:v>
      </x:c>
      <x:c r="B7318" s="6" t="str">
        <x:v>平</x:v>
      </x:c>
      <x:c r="C7318" s="6" t="str">
        <x:f>IF(B7318="","Needs decision","Ready")</x:f>
        <x:v>Ready</x:v>
      </x:c>
      <x:c r="D7318" s="6" t="str">
        <x:v>平</x:v>
      </x:c>
      <x:c r="E7318" s="6" t="str"/>
      <x:c r="F7318" s="6" t="str">
        <x:v>下平聲七陽</x:v>
      </x:c>
      <x:c r="G7318" s="6" t="str">
        <x:v>Pingshui main list, Wikisource-derived DOCX</x:v>
      </x:c>
      <x:c r="H7318" s="6" t="str"/>
      <x:c r="I7318" s="6" t="str">
        <x:v>Pingshui main-list expansion; 詞 entries ignored</x:v>
      </x:c>
      <x:c r="J7318" s="6" t="str">
        <x:f>IF(B7318="","",IF(AND(ISNUMBER(SEARCH("平",B7318)),OR(ISNUMBER(SEARCH("上",B7318)),ISNUMBER(SEARCH("去",B7318)),ISNUMBER(SEARCH("入",B7318)))),"Ambiguous",IF(ISNUMBER(SEARCH("平",B7318)),"平","仄")))</x:f>
        <x:v>平</x:v>
      </x:c>
      <x:c r="K7318" s="6" t="str">
        <x:f>IF(D7318="","",IF(AND(ISNUMBER(SEARCH("平",D7318)),OR(ISNUMBER(SEARCH("上",D7318)),ISNUMBER(SEARCH("去",D7318)),ISNUMBER(SEARCH("入",D7318)))),"Ambiguous",IF(ISNUMBER(SEARCH("平",D7318)),"平","仄")))</x:f>
        <x:v>平</x:v>
      </x:c>
      <x:c r="L7318" s="7" t="str">
        <x:v>Pingshui main list expansion</x:v>
      </x:c>
    </x:row>
    <x:row r="7319">
      <x:c r="A7319" s="5" t="str">
        <x:v>瓵</x:v>
      </x:c>
      <x:c r="B7319" s="6" t="str">
        <x:v>平</x:v>
      </x:c>
      <x:c r="C7319" s="6" t="str">
        <x:f>IF(B7319="","Needs decision","Ready")</x:f>
        <x:v>Ready</x:v>
      </x:c>
      <x:c r="D7319" s="6" t="str">
        <x:v>平</x:v>
      </x:c>
      <x:c r="E7319" s="6" t="str"/>
      <x:c r="F7319" s="6" t="str">
        <x:v>上平聲四支</x:v>
      </x:c>
      <x:c r="G7319" s="6" t="str">
        <x:v>Pingshui main list, Wikisource-derived DOCX</x:v>
      </x:c>
      <x:c r="H7319" s="6" t="str"/>
      <x:c r="I7319" s="6" t="str">
        <x:v>Pingshui main-list expansion; 詞 entries ignored</x:v>
      </x:c>
      <x:c r="J7319" s="6" t="str">
        <x:f>IF(B7319="","",IF(AND(ISNUMBER(SEARCH("平",B7319)),OR(ISNUMBER(SEARCH("上",B7319)),ISNUMBER(SEARCH("去",B7319)),ISNUMBER(SEARCH("入",B7319)))),"Ambiguous",IF(ISNUMBER(SEARCH("平",B7319)),"平","仄")))</x:f>
        <x:v>平</x:v>
      </x:c>
      <x:c r="K7319" s="6" t="str">
        <x:f>IF(D7319="","",IF(AND(ISNUMBER(SEARCH("平",D7319)),OR(ISNUMBER(SEARCH("上",D7319)),ISNUMBER(SEARCH("去",D7319)),ISNUMBER(SEARCH("入",D7319)))),"Ambiguous",IF(ISNUMBER(SEARCH("平",D7319)),"平","仄")))</x:f>
        <x:v>平</x:v>
      </x:c>
      <x:c r="L7319" s="7" t="str">
        <x:v>Pingshui main list expansion</x:v>
      </x:c>
    </x:row>
    <x:row r="7320">
      <x:c r="A7320" s="5" t="str">
        <x:v>瓷</x:v>
      </x:c>
      <x:c r="B7320" s="6" t="str">
        <x:v>平</x:v>
      </x:c>
      <x:c r="C7320" s="6" t="str">
        <x:f>IF(B7320="","Needs decision","Ready")</x:f>
        <x:v>Ready</x:v>
      </x:c>
      <x:c r="D7320" s="6" t="str">
        <x:v>平</x:v>
      </x:c>
      <x:c r="E7320" s="6" t="str"/>
      <x:c r="F7320" s="6" t="str">
        <x:v>上平聲四支</x:v>
      </x:c>
      <x:c r="G7320" s="6" t="str">
        <x:v>Pingshui main list, Wikisource-derived DOCX</x:v>
      </x:c>
      <x:c r="H7320" s="6" t="str"/>
      <x:c r="I7320" s="6" t="str">
        <x:v>Pingshui main-list expansion; 詞 entries ignored</x:v>
      </x:c>
      <x:c r="J7320" s="6" t="str">
        <x:f>IF(B7320="","",IF(AND(ISNUMBER(SEARCH("平",B7320)),OR(ISNUMBER(SEARCH("上",B7320)),ISNUMBER(SEARCH("去",B7320)),ISNUMBER(SEARCH("入",B7320)))),"Ambiguous",IF(ISNUMBER(SEARCH("平",B7320)),"平","仄")))</x:f>
        <x:v>平</x:v>
      </x:c>
      <x:c r="K7320" s="6" t="str">
        <x:f>IF(D7320="","",IF(AND(ISNUMBER(SEARCH("平",D7320)),OR(ISNUMBER(SEARCH("上",D7320)),ISNUMBER(SEARCH("去",D7320)),ISNUMBER(SEARCH("入",D7320)))),"Ambiguous",IF(ISNUMBER(SEARCH("平",D7320)),"平","仄")))</x:f>
        <x:v>平</x:v>
      </x:c>
      <x:c r="L7320" s="7" t="str">
        <x:v>Pingshui main list expansion</x:v>
      </x:c>
    </x:row>
    <x:row r="7321">
      <x:c r="A7321" s="5" t="str">
        <x:v>瓻</x:v>
      </x:c>
      <x:c r="B7321" s="6" t="str">
        <x:v>平</x:v>
      </x:c>
      <x:c r="C7321" s="6" t="str">
        <x:f>IF(B7321="","Needs decision","Ready")</x:f>
        <x:v>Ready</x:v>
      </x:c>
      <x:c r="D7321" s="6" t="str">
        <x:v>平</x:v>
      </x:c>
      <x:c r="E7321" s="6" t="str"/>
      <x:c r="F7321" s="6" t="str">
        <x:v>上平聲四支</x:v>
      </x:c>
      <x:c r="G7321" s="6" t="str">
        <x:v>Pingshui main list, Wikisource-derived DOCX</x:v>
      </x:c>
      <x:c r="H7321" s="6" t="str"/>
      <x:c r="I7321" s="6" t="str">
        <x:v>Pingshui main-list expansion; 詞 entries ignored</x:v>
      </x:c>
      <x:c r="J7321" s="6" t="str">
        <x:f>IF(B7321="","",IF(AND(ISNUMBER(SEARCH("平",B7321)),OR(ISNUMBER(SEARCH("上",B7321)),ISNUMBER(SEARCH("去",B7321)),ISNUMBER(SEARCH("入",B7321)))),"Ambiguous",IF(ISNUMBER(SEARCH("平",B7321)),"平","仄")))</x:f>
        <x:v>平</x:v>
      </x:c>
      <x:c r="K7321" s="6" t="str">
        <x:f>IF(D7321="","",IF(AND(ISNUMBER(SEARCH("平",D7321)),OR(ISNUMBER(SEARCH("上",D7321)),ISNUMBER(SEARCH("去",D7321)),ISNUMBER(SEARCH("入",D7321)))),"Ambiguous",IF(ISNUMBER(SEARCH("平",D7321)),"平","仄")))</x:f>
        <x:v>平</x:v>
      </x:c>
      <x:c r="L7321" s="7" t="str">
        <x:v>Pingshui main list expansion</x:v>
      </x:c>
    </x:row>
    <x:row r="7322">
      <x:c r="A7322" s="5" t="str">
        <x:v>甀</x:v>
      </x:c>
      <x:c r="B7322" s="6" t="str">
        <x:v>去</x:v>
      </x:c>
      <x:c r="C7322" s="6" t="str">
        <x:f>IF(B7322="","Needs decision","Ready")</x:f>
        <x:v>Ready</x:v>
      </x:c>
      <x:c r="D7322" s="6" t="str">
        <x:v>去</x:v>
      </x:c>
      <x:c r="E7322" s="6" t="str"/>
      <x:c r="F7322" s="6" t="str">
        <x:v>去聲四寘</x:v>
      </x:c>
      <x:c r="G7322" s="6" t="str">
        <x:v>Pingshui main list, Wikisource-derived DOCX</x:v>
      </x:c>
      <x:c r="H7322" s="6" t="str"/>
      <x:c r="I7322" s="6" t="str">
        <x:v>Pingshui main-list expansion; 詞 entries ignored</x:v>
      </x:c>
      <x:c r="J7322" s="6" t="str">
        <x:f>IF(B7322="","",IF(AND(ISNUMBER(SEARCH("平",B7322)),OR(ISNUMBER(SEARCH("上",B7322)),ISNUMBER(SEARCH("去",B7322)),ISNUMBER(SEARCH("入",B7322)))),"Ambiguous",IF(ISNUMBER(SEARCH("平",B7322)),"平","仄")))</x:f>
        <x:v>仄</x:v>
      </x:c>
      <x:c r="K7322" s="6" t="str">
        <x:f>IF(D7322="","",IF(AND(ISNUMBER(SEARCH("平",D7322)),OR(ISNUMBER(SEARCH("上",D7322)),ISNUMBER(SEARCH("去",D7322)),ISNUMBER(SEARCH("入",D7322)))),"Ambiguous",IF(ISNUMBER(SEARCH("平",D7322)),"平","仄")))</x:f>
        <x:v>仄</x:v>
      </x:c>
      <x:c r="L7322" s="7" t="str">
        <x:v>Pingshui main list expansion</x:v>
      </x:c>
    </x:row>
    <x:row r="7323">
      <x:c r="A7323" s="5" t="str">
        <x:v>甃</x:v>
      </x:c>
      <x:c r="B7323" s="6" t="str">
        <x:v>去</x:v>
      </x:c>
      <x:c r="C7323" s="6" t="str">
        <x:f>IF(B7323="","Needs decision","Ready")</x:f>
        <x:v>Ready</x:v>
      </x:c>
      <x:c r="D7323" s="6" t="str">
        <x:v>去</x:v>
      </x:c>
      <x:c r="E7323" s="6" t="str"/>
      <x:c r="F7323" s="6" t="str">
        <x:v>去聲二十六宥</x:v>
      </x:c>
      <x:c r="G7323" s="6" t="str">
        <x:v>Pingshui main list, Wikisource-derived DOCX</x:v>
      </x:c>
      <x:c r="H7323" s="6" t="str"/>
      <x:c r="I7323" s="6" t="str">
        <x:v>Pingshui main-list expansion; 詞 entries ignored</x:v>
      </x:c>
      <x:c r="J7323" s="6" t="str">
        <x:f>IF(B7323="","",IF(AND(ISNUMBER(SEARCH("平",B7323)),OR(ISNUMBER(SEARCH("上",B7323)),ISNUMBER(SEARCH("去",B7323)),ISNUMBER(SEARCH("入",B7323)))),"Ambiguous",IF(ISNUMBER(SEARCH("平",B7323)),"平","仄")))</x:f>
        <x:v>仄</x:v>
      </x:c>
      <x:c r="K7323" s="6" t="str">
        <x:f>IF(D7323="","",IF(AND(ISNUMBER(SEARCH("平",D7323)),OR(ISNUMBER(SEARCH("上",D7323)),ISNUMBER(SEARCH("去",D7323)),ISNUMBER(SEARCH("入",D7323)))),"Ambiguous",IF(ISNUMBER(SEARCH("平",D7323)),"平","仄")))</x:f>
        <x:v>仄</x:v>
      </x:c>
      <x:c r="L7323" s="7" t="str">
        <x:v>Pingshui main list expansion</x:v>
      </x:c>
    </x:row>
    <x:row r="7324">
      <x:c r="A7324" s="5" t="str">
        <x:v>甈</x:v>
      </x:c>
      <x:c r="B7324" s="6" t="str">
        <x:v>去</x:v>
      </x:c>
      <x:c r="C7324" s="6" t="str">
        <x:f>IF(B7324="","Needs decision","Ready")</x:f>
        <x:v>Ready</x:v>
      </x:c>
      <x:c r="D7324" s="6" t="str">
        <x:v>去</x:v>
      </x:c>
      <x:c r="E7324" s="6" t="str"/>
      <x:c r="F7324" s="6" t="str">
        <x:v>去聲八霽</x:v>
      </x:c>
      <x:c r="G7324" s="6" t="str">
        <x:v>Pingshui main list, Wikisource-derived DOCX</x:v>
      </x:c>
      <x:c r="H7324" s="6" t="str"/>
      <x:c r="I7324" s="6" t="str">
        <x:v>Pingshui main-list expansion; 詞 entries ignored</x:v>
      </x:c>
      <x:c r="J7324" s="6" t="str">
        <x:f>IF(B7324="","",IF(AND(ISNUMBER(SEARCH("平",B7324)),OR(ISNUMBER(SEARCH("上",B7324)),ISNUMBER(SEARCH("去",B7324)),ISNUMBER(SEARCH("入",B7324)))),"Ambiguous",IF(ISNUMBER(SEARCH("平",B7324)),"平","仄")))</x:f>
        <x:v>仄</x:v>
      </x:c>
      <x:c r="K7324" s="6" t="str">
        <x:f>IF(D7324="","",IF(AND(ISNUMBER(SEARCH("平",D7324)),OR(ISNUMBER(SEARCH("上",D7324)),ISNUMBER(SEARCH("去",D7324)),ISNUMBER(SEARCH("入",D7324)))),"Ambiguous",IF(ISNUMBER(SEARCH("平",D7324)),"平","仄")))</x:f>
        <x:v>仄</x:v>
      </x:c>
      <x:c r="L7324" s="7" t="str">
        <x:v>Pingshui main list expansion</x:v>
      </x:c>
    </x:row>
    <x:row r="7325">
      <x:c r="A7325" s="5" t="str">
        <x:v>甒</x:v>
      </x:c>
      <x:c r="B7325" s="6" t="str">
        <x:v>上</x:v>
      </x:c>
      <x:c r="C7325" s="6" t="str">
        <x:f>IF(B7325="","Needs decision","Ready")</x:f>
        <x:v>Ready</x:v>
      </x:c>
      <x:c r="D7325" s="6" t="str">
        <x:v>上</x:v>
      </x:c>
      <x:c r="E7325" s="6" t="str"/>
      <x:c r="F7325" s="6" t="str">
        <x:v>上聲七麌</x:v>
      </x:c>
      <x:c r="G7325" s="6" t="str">
        <x:v>Pingshui main list, Wikisource-derived DOCX</x:v>
      </x:c>
      <x:c r="H7325" s="6" t="str"/>
      <x:c r="I7325" s="6" t="str">
        <x:v>Pingshui main-list expansion; 詞 entries ignored</x:v>
      </x:c>
      <x:c r="J7325" s="6" t="str">
        <x:f>IF(B7325="","",IF(AND(ISNUMBER(SEARCH("平",B7325)),OR(ISNUMBER(SEARCH("上",B7325)),ISNUMBER(SEARCH("去",B7325)),ISNUMBER(SEARCH("入",B7325)))),"Ambiguous",IF(ISNUMBER(SEARCH("平",B7325)),"平","仄")))</x:f>
        <x:v>仄</x:v>
      </x:c>
      <x:c r="K7325" s="6" t="str">
        <x:f>IF(D7325="","",IF(AND(ISNUMBER(SEARCH("平",D7325)),OR(ISNUMBER(SEARCH("上",D7325)),ISNUMBER(SEARCH("去",D7325)),ISNUMBER(SEARCH("入",D7325)))),"Ambiguous",IF(ISNUMBER(SEARCH("平",D7325)),"平","仄")))</x:f>
        <x:v>仄</x:v>
      </x:c>
      <x:c r="L7325" s="7" t="str">
        <x:v>Pingshui main list expansion</x:v>
      </x:c>
    </x:row>
    <x:row r="7326">
      <x:c r="A7326" s="5" t="str">
        <x:v>甔</x:v>
      </x:c>
      <x:c r="B7326" s="6" t="str"/>
      <x:c r="C7326" s="6" t="str">
        <x:f>IF(B7326="","Needs decision","Ready")</x:f>
        <x:v>Needs decision</x:v>
      </x:c>
      <x:c r="D7326" s="6" t="str">
        <x:v>平/去</x:v>
      </x:c>
      <x:c r="E7326" s="6" t="str"/>
      <x:c r="F7326" s="6" t="str">
        <x:v>下平聲十三覃; 去聲二十八勘</x:v>
      </x:c>
      <x:c r="G7326" s="6" t="str">
        <x:v>Pingshui main list, Wikisource-derived DOCX</x:v>
      </x:c>
      <x:c r="H7326" s="6" t="str"/>
      <x:c r="I7326" s="6" t="str">
        <x:v>Pingshui main-list expansion; 詞 entries ignored</x:v>
      </x:c>
      <x:c r="J7326" s="6" t="str">
        <x:f>IF(B7326="","",IF(AND(ISNUMBER(SEARCH("平",B7326)),OR(ISNUMBER(SEARCH("上",B7326)),ISNUMBER(SEARCH("去",B7326)),ISNUMBER(SEARCH("入",B7326)))),"Ambiguous",IF(ISNUMBER(SEARCH("平",B7326)),"平","仄")))</x:f>
      </x:c>
      <x:c r="K7326" s="6" t="str">
        <x:f>IF(D7326="","",IF(AND(ISNUMBER(SEARCH("平",D7326)),OR(ISNUMBER(SEARCH("上",D7326)),ISNUMBER(SEARCH("去",D7326)),ISNUMBER(SEARCH("入",D7326)))),"Ambiguous",IF(ISNUMBER(SEARCH("平",D7326)),"平","仄")))</x:f>
        <x:v>Ambiguous</x:v>
      </x:c>
      <x:c r="L7326" s="7" t="str">
        <x:v>Pingshui main list expansion</x:v>
      </x:c>
    </x:row>
    <x:row r="7327">
      <x:c r="A7327" s="5" t="str">
        <x:v>甖</x:v>
      </x:c>
      <x:c r="B7327" s="6" t="str">
        <x:v>平</x:v>
      </x:c>
      <x:c r="C7327" s="6" t="str">
        <x:f>IF(B7327="","Needs decision","Ready")</x:f>
        <x:v>Ready</x:v>
      </x:c>
      <x:c r="D7327" s="6" t="str">
        <x:v>平</x:v>
      </x:c>
      <x:c r="E7327" s="6" t="str"/>
      <x:c r="F7327" s="6" t="str">
        <x:v>下平聲八庚</x:v>
      </x:c>
      <x:c r="G7327" s="6" t="str">
        <x:v>Pingshui main list, Wikisource-derived DOCX</x:v>
      </x:c>
      <x:c r="H7327" s="6" t="str"/>
      <x:c r="I7327" s="6" t="str">
        <x:v>Pingshui main-list expansion; 詞 entries ignored</x:v>
      </x:c>
      <x:c r="J7327" s="6" t="str">
        <x:f>IF(B7327="","",IF(AND(ISNUMBER(SEARCH("平",B7327)),OR(ISNUMBER(SEARCH("上",B7327)),ISNUMBER(SEARCH("去",B7327)),ISNUMBER(SEARCH("入",B7327)))),"Ambiguous",IF(ISNUMBER(SEARCH("平",B7327)),"平","仄")))</x:f>
        <x:v>平</x:v>
      </x:c>
      <x:c r="K7327" s="6" t="str">
        <x:f>IF(D7327="","",IF(AND(ISNUMBER(SEARCH("平",D7327)),OR(ISNUMBER(SEARCH("上",D7327)),ISNUMBER(SEARCH("去",D7327)),ISNUMBER(SEARCH("入",D7327)))),"Ambiguous",IF(ISNUMBER(SEARCH("平",D7327)),"平","仄")))</x:f>
        <x:v>平</x:v>
      </x:c>
      <x:c r="L7327" s="7" t="str">
        <x:v>Pingshui main list expansion</x:v>
      </x:c>
    </x:row>
    <x:row r="7328">
      <x:c r="A7328" s="5" t="str">
        <x:v>甝</x:v>
      </x:c>
      <x:c r="B7328" s="6" t="str">
        <x:v>平</x:v>
      </x:c>
      <x:c r="C7328" s="6" t="str">
        <x:f>IF(B7328="","Needs decision","Ready")</x:f>
        <x:v>Ready</x:v>
      </x:c>
      <x:c r="D7328" s="6" t="str">
        <x:v>平</x:v>
      </x:c>
      <x:c r="E7328" s="6" t="str"/>
      <x:c r="F7328" s="6" t="str">
        <x:v>下平聲十三覃</x:v>
      </x:c>
      <x:c r="G7328" s="6" t="str">
        <x:v>Pingshui main list, Wikisource-derived DOCX</x:v>
      </x:c>
      <x:c r="H7328" s="6" t="str"/>
      <x:c r="I7328" s="6" t="str">
        <x:v>Pingshui main-list expansion; 詞 entries ignored</x:v>
      </x:c>
      <x:c r="J7328" s="6" t="str">
        <x:f>IF(B7328="","",IF(AND(ISNUMBER(SEARCH("平",B7328)),OR(ISNUMBER(SEARCH("上",B7328)),ISNUMBER(SEARCH("去",B7328)),ISNUMBER(SEARCH("入",B7328)))),"Ambiguous",IF(ISNUMBER(SEARCH("平",B7328)),"平","仄")))</x:f>
        <x:v>平</x:v>
      </x:c>
      <x:c r="K7328" s="6" t="str">
        <x:f>IF(D7328="","",IF(AND(ISNUMBER(SEARCH("平",D7328)),OR(ISNUMBER(SEARCH("上",D7328)),ISNUMBER(SEARCH("去",D7328)),ISNUMBER(SEARCH("入",D7328)))),"Ambiguous",IF(ISNUMBER(SEARCH("平",D7328)),"平","仄")))</x:f>
        <x:v>平</x:v>
      </x:c>
      <x:c r="L7328" s="7" t="str">
        <x:v>Pingshui main list expansion</x:v>
      </x:c>
    </x:row>
    <x:row r="7329">
      <x:c r="A7329" s="5" t="str">
        <x:v>甡</x:v>
      </x:c>
      <x:c r="B7329" s="6" t="str">
        <x:v>平</x:v>
      </x:c>
      <x:c r="C7329" s="6" t="str">
        <x:f>IF(B7329="","Needs decision","Ready")</x:f>
        <x:v>Ready</x:v>
      </x:c>
      <x:c r="D7329" s="6" t="str">
        <x:v>平</x:v>
      </x:c>
      <x:c r="E7329" s="6" t="str"/>
      <x:c r="F7329" s="6" t="str">
        <x:v>上平聲十一真</x:v>
      </x:c>
      <x:c r="G7329" s="6" t="str">
        <x:v>Pingshui main list, Wikisource-derived DOCX</x:v>
      </x:c>
      <x:c r="H7329" s="6" t="str"/>
      <x:c r="I7329" s="6" t="str">
        <x:v>Pingshui main-list expansion; 詞 entries ignored</x:v>
      </x:c>
      <x:c r="J7329" s="6" t="str">
        <x:f>IF(B7329="","",IF(AND(ISNUMBER(SEARCH("平",B7329)),OR(ISNUMBER(SEARCH("上",B7329)),ISNUMBER(SEARCH("去",B7329)),ISNUMBER(SEARCH("入",B7329)))),"Ambiguous",IF(ISNUMBER(SEARCH("平",B7329)),"平","仄")))</x:f>
        <x:v>平</x:v>
      </x:c>
      <x:c r="K7329" s="6" t="str">
        <x:f>IF(D7329="","",IF(AND(ISNUMBER(SEARCH("平",D7329)),OR(ISNUMBER(SEARCH("上",D7329)),ISNUMBER(SEARCH("去",D7329)),ISNUMBER(SEARCH("入",D7329)))),"Ambiguous",IF(ISNUMBER(SEARCH("平",D7329)),"平","仄")))</x:f>
        <x:v>平</x:v>
      </x:c>
      <x:c r="L7329" s="7" t="str">
        <x:v>Pingshui main list expansion</x:v>
      </x:c>
    </x:row>
    <x:row r="7330">
      <x:c r="A7330" s="5" t="str">
        <x:v>畇</x:v>
      </x:c>
      <x:c r="B7330" s="6" t="str">
        <x:v>平</x:v>
      </x:c>
      <x:c r="C7330" s="6" t="str">
        <x:f>IF(B7330="","Needs decision","Ready")</x:f>
        <x:v>Ready</x:v>
      </x:c>
      <x:c r="D7330" s="6" t="str">
        <x:v>平</x:v>
      </x:c>
      <x:c r="E7330" s="6" t="str"/>
      <x:c r="F7330" s="6" t="str">
        <x:v>上平聲十一真</x:v>
      </x:c>
      <x:c r="G7330" s="6" t="str">
        <x:v>Pingshui main list, Wikisource-derived DOCX</x:v>
      </x:c>
      <x:c r="H7330" s="6" t="str"/>
      <x:c r="I7330" s="6" t="str">
        <x:v>Pingshui main-list expansion; 詞 entries ignored</x:v>
      </x:c>
      <x:c r="J7330" s="6" t="str">
        <x:f>IF(B7330="","",IF(AND(ISNUMBER(SEARCH("平",B7330)),OR(ISNUMBER(SEARCH("上",B7330)),ISNUMBER(SEARCH("去",B7330)),ISNUMBER(SEARCH("入",B7330)))),"Ambiguous",IF(ISNUMBER(SEARCH("平",B7330)),"平","仄")))</x:f>
        <x:v>平</x:v>
      </x:c>
      <x:c r="K7330" s="6" t="str">
        <x:f>IF(D7330="","",IF(AND(ISNUMBER(SEARCH("平",D7330)),OR(ISNUMBER(SEARCH("上",D7330)),ISNUMBER(SEARCH("去",D7330)),ISNUMBER(SEARCH("入",D7330)))),"Ambiguous",IF(ISNUMBER(SEARCH("平",D7330)),"平","仄")))</x:f>
        <x:v>平</x:v>
      </x:c>
      <x:c r="L7330" s="7" t="str">
        <x:v>Pingshui main list expansion</x:v>
      </x:c>
    </x:row>
    <x:row r="7331">
      <x:c r="A7331" s="5" t="str">
        <x:v>畬</x:v>
      </x:c>
      <x:c r="B7331" s="6" t="str">
        <x:v>平</x:v>
      </x:c>
      <x:c r="C7331" s="6" t="str">
        <x:f>IF(B7331="","Needs decision","Ready")</x:f>
        <x:v>Ready</x:v>
      </x:c>
      <x:c r="D7331" s="6" t="str">
        <x:v>平</x:v>
      </x:c>
      <x:c r="E7331" s="6" t="str"/>
      <x:c r="F7331" s="6" t="str">
        <x:v>上平聲六魚; 下平聲六麻</x:v>
      </x:c>
      <x:c r="G7331" s="6" t="str">
        <x:v>Pingshui main list, Wikisource-derived DOCX</x:v>
      </x:c>
      <x:c r="H7331" s="6" t="str"/>
      <x:c r="I7331" s="6" t="str">
        <x:v>Pingshui main-list expansion; 詞 entries ignored</x:v>
      </x:c>
      <x:c r="J7331" s="6" t="str">
        <x:f>IF(B7331="","",IF(AND(ISNUMBER(SEARCH("平",B7331)),OR(ISNUMBER(SEARCH("上",B7331)),ISNUMBER(SEARCH("去",B7331)),ISNUMBER(SEARCH("入",B7331)))),"Ambiguous",IF(ISNUMBER(SEARCH("平",B7331)),"平","仄")))</x:f>
        <x:v>平</x:v>
      </x:c>
      <x:c r="K7331" s="6" t="str">
        <x:f>IF(D7331="","",IF(AND(ISNUMBER(SEARCH("平",D7331)),OR(ISNUMBER(SEARCH("上",D7331)),ISNUMBER(SEARCH("去",D7331)),ISNUMBER(SEARCH("入",D7331)))),"Ambiguous",IF(ISNUMBER(SEARCH("平",D7331)),"平","仄")))</x:f>
        <x:v>平</x:v>
      </x:c>
      <x:c r="L7331" s="7" t="str">
        <x:v>Pingshui main list expansion</x:v>
      </x:c>
    </x:row>
    <x:row r="7332">
      <x:c r="A7332" s="5" t="str">
        <x:v>畷</x:v>
      </x:c>
      <x:c r="B7332" s="6" t="str"/>
      <x:c r="C7332" s="6" t="str">
        <x:f>IF(B7332="","Needs decision","Ready")</x:f>
        <x:v>Needs decision</x:v>
      </x:c>
      <x:c r="D7332" s="6" t="str">
        <x:v>去/入</x:v>
      </x:c>
      <x:c r="E7332" s="6" t="str"/>
      <x:c r="F7332" s="6" t="str">
        <x:v>去聲八霽; 入聲九屑</x:v>
      </x:c>
      <x:c r="G7332" s="6" t="str">
        <x:v>Pingshui main list, Wikisource-derived DOCX</x:v>
      </x:c>
      <x:c r="H7332" s="6" t="str"/>
      <x:c r="I7332" s="6" t="str">
        <x:v>Pingshui main-list expansion; 詞 entries ignored</x:v>
      </x:c>
      <x:c r="J7332" s="6" t="str">
        <x:f>IF(B7332="","",IF(AND(ISNUMBER(SEARCH("平",B7332)),OR(ISNUMBER(SEARCH("上",B7332)),ISNUMBER(SEARCH("去",B7332)),ISNUMBER(SEARCH("入",B7332)))),"Ambiguous",IF(ISNUMBER(SEARCH("平",B7332)),"平","仄")))</x:f>
      </x:c>
      <x:c r="K7332" s="6" t="str">
        <x:f>IF(D7332="","",IF(AND(ISNUMBER(SEARCH("平",D7332)),OR(ISNUMBER(SEARCH("上",D7332)),ISNUMBER(SEARCH("去",D7332)),ISNUMBER(SEARCH("入",D7332)))),"Ambiguous",IF(ISNUMBER(SEARCH("平",D7332)),"平","仄")))</x:f>
        <x:v>仄</x:v>
      </x:c>
      <x:c r="L7332" s="7" t="str">
        <x:v>Pingshui main list expansion</x:v>
      </x:c>
    </x:row>
    <x:row r="7333">
      <x:c r="A7333" s="5" t="str">
        <x:v>畸</x:v>
      </x:c>
      <x:c r="B7333" s="6" t="str">
        <x:v>平</x:v>
      </x:c>
      <x:c r="C7333" s="6" t="str">
        <x:f>IF(B7333="","Needs decision","Ready")</x:f>
        <x:v>Ready</x:v>
      </x:c>
      <x:c r="D7333" s="6" t="str">
        <x:v>平</x:v>
      </x:c>
      <x:c r="E7333" s="6" t="str"/>
      <x:c r="F7333" s="6" t="str">
        <x:v>上平聲四支</x:v>
      </x:c>
      <x:c r="G7333" s="6" t="str">
        <x:v>Pingshui main list, Wikisource-derived DOCX</x:v>
      </x:c>
      <x:c r="H7333" s="6" t="str"/>
      <x:c r="I7333" s="6" t="str">
        <x:v>Pingshui main-list expansion; 詞 entries ignored</x:v>
      </x:c>
      <x:c r="J7333" s="6" t="str">
        <x:f>IF(B7333="","",IF(AND(ISNUMBER(SEARCH("平",B7333)),OR(ISNUMBER(SEARCH("上",B7333)),ISNUMBER(SEARCH("去",B7333)),ISNUMBER(SEARCH("入",B7333)))),"Ambiguous",IF(ISNUMBER(SEARCH("平",B7333)),"平","仄")))</x:f>
        <x:v>平</x:v>
      </x:c>
      <x:c r="K7333" s="6" t="str">
        <x:f>IF(D7333="","",IF(AND(ISNUMBER(SEARCH("平",D7333)),OR(ISNUMBER(SEARCH("上",D7333)),ISNUMBER(SEARCH("去",D7333)),ISNUMBER(SEARCH("入",D7333)))),"Ambiguous",IF(ISNUMBER(SEARCH("平",D7333)),"平","仄")))</x:f>
        <x:v>平</x:v>
      </x:c>
      <x:c r="L7333" s="7" t="str">
        <x:v>Pingshui main list expansion</x:v>
      </x:c>
    </x:row>
    <x:row r="7334">
      <x:c r="A7334" s="5" t="str">
        <x:v>疝</x:v>
      </x:c>
      <x:c r="B7334" s="6" t="str">
        <x:v>去</x:v>
      </x:c>
      <x:c r="C7334" s="6" t="str">
        <x:f>IF(B7334="","Needs decision","Ready")</x:f>
        <x:v>Ready</x:v>
      </x:c>
      <x:c r="D7334" s="6" t="str">
        <x:v>去</x:v>
      </x:c>
      <x:c r="E7334" s="6" t="str"/>
      <x:c r="F7334" s="6" t="str">
        <x:v>去聲十六諫</x:v>
      </x:c>
      <x:c r="G7334" s="6" t="str">
        <x:v>Pingshui main list, Wikisource-derived DOCX</x:v>
      </x:c>
      <x:c r="H7334" s="6" t="str"/>
      <x:c r="I7334" s="6" t="str">
        <x:v>Pingshui main-list expansion; 詞 entries ignored</x:v>
      </x:c>
      <x:c r="J7334" s="6" t="str">
        <x:f>IF(B7334="","",IF(AND(ISNUMBER(SEARCH("平",B7334)),OR(ISNUMBER(SEARCH("上",B7334)),ISNUMBER(SEARCH("去",B7334)),ISNUMBER(SEARCH("入",B7334)))),"Ambiguous",IF(ISNUMBER(SEARCH("平",B7334)),"平","仄")))</x:f>
        <x:v>仄</x:v>
      </x:c>
      <x:c r="K7334" s="6" t="str">
        <x:f>IF(D7334="","",IF(AND(ISNUMBER(SEARCH("平",D7334)),OR(ISNUMBER(SEARCH("上",D7334)),ISNUMBER(SEARCH("去",D7334)),ISNUMBER(SEARCH("入",D7334)))),"Ambiguous",IF(ISNUMBER(SEARCH("平",D7334)),"平","仄")))</x:f>
        <x:v>仄</x:v>
      </x:c>
      <x:c r="L7334" s="7" t="str">
        <x:v>Pingshui main list expansion</x:v>
      </x:c>
    </x:row>
    <x:row r="7335">
      <x:c r="A7335" s="5" t="str">
        <x:v>疣</x:v>
      </x:c>
      <x:c r="B7335" s="6" t="str">
        <x:v>平</x:v>
      </x:c>
      <x:c r="C7335" s="6" t="str">
        <x:f>IF(B7335="","Needs decision","Ready")</x:f>
        <x:v>Ready</x:v>
      </x:c>
      <x:c r="D7335" s="6" t="str">
        <x:v>平</x:v>
      </x:c>
      <x:c r="E7335" s="6" t="str"/>
      <x:c r="F7335" s="6" t="str">
        <x:v>下平聲十一尤</x:v>
      </x:c>
      <x:c r="G7335" s="6" t="str">
        <x:v>Pingshui main list, Wikisource-derived DOCX</x:v>
      </x:c>
      <x:c r="H7335" s="6" t="str"/>
      <x:c r="I7335" s="6" t="str">
        <x:v>Pingshui main-list expansion; 詞 entries ignored</x:v>
      </x:c>
      <x:c r="J7335" s="6" t="str">
        <x:f>IF(B7335="","",IF(AND(ISNUMBER(SEARCH("平",B7335)),OR(ISNUMBER(SEARCH("上",B7335)),ISNUMBER(SEARCH("去",B7335)),ISNUMBER(SEARCH("入",B7335)))),"Ambiguous",IF(ISNUMBER(SEARCH("平",B7335)),"平","仄")))</x:f>
        <x:v>平</x:v>
      </x:c>
      <x:c r="K7335" s="6" t="str">
        <x:f>IF(D7335="","",IF(AND(ISNUMBER(SEARCH("平",D7335)),OR(ISNUMBER(SEARCH("上",D7335)),ISNUMBER(SEARCH("去",D7335)),ISNUMBER(SEARCH("入",D7335)))),"Ambiguous",IF(ISNUMBER(SEARCH("平",D7335)),"平","仄")))</x:f>
        <x:v>平</x:v>
      </x:c>
      <x:c r="L7335" s="7" t="str">
        <x:v>Pingshui main list expansion</x:v>
      </x:c>
    </x:row>
    <x:row r="7336">
      <x:c r="A7336" s="5" t="str">
        <x:v>痀</x:v>
      </x:c>
      <x:c r="B7336" s="6" t="str">
        <x:v>平</x:v>
      </x:c>
      <x:c r="C7336" s="6" t="str">
        <x:f>IF(B7336="","Needs decision","Ready")</x:f>
        <x:v>Ready</x:v>
      </x:c>
      <x:c r="D7336" s="6" t="str">
        <x:v>平</x:v>
      </x:c>
      <x:c r="E7336" s="6" t="str"/>
      <x:c r="F7336" s="6" t="str">
        <x:v>上平聲七虞</x:v>
      </x:c>
      <x:c r="G7336" s="6" t="str">
        <x:v>Pingshui main list, Wikisource-derived DOCX</x:v>
      </x:c>
      <x:c r="H7336" s="6" t="str"/>
      <x:c r="I7336" s="6" t="str">
        <x:v>Pingshui main-list expansion; 詞 entries ignored</x:v>
      </x:c>
      <x:c r="J7336" s="6" t="str">
        <x:f>IF(B7336="","",IF(AND(ISNUMBER(SEARCH("平",B7336)),OR(ISNUMBER(SEARCH("上",B7336)),ISNUMBER(SEARCH("去",B7336)),ISNUMBER(SEARCH("入",B7336)))),"Ambiguous",IF(ISNUMBER(SEARCH("平",B7336)),"平","仄")))</x:f>
        <x:v>平</x:v>
      </x:c>
      <x:c r="K7336" s="6" t="str">
        <x:f>IF(D7336="","",IF(AND(ISNUMBER(SEARCH("平",D7336)),OR(ISNUMBER(SEARCH("上",D7336)),ISNUMBER(SEARCH("去",D7336)),ISNUMBER(SEARCH("入",D7336)))),"Ambiguous",IF(ISNUMBER(SEARCH("平",D7336)),"平","仄")))</x:f>
        <x:v>平</x:v>
      </x:c>
      <x:c r="L7336" s="7" t="str">
        <x:v>Pingshui main list expansion</x:v>
      </x:c>
    </x:row>
    <x:row r="7337">
      <x:c r="A7337" s="5" t="str">
        <x:v>痂</x:v>
      </x:c>
      <x:c r="B7337" s="6" t="str">
        <x:v>平</x:v>
      </x:c>
      <x:c r="C7337" s="6" t="str">
        <x:f>IF(B7337="","Needs decision","Ready")</x:f>
        <x:v>Ready</x:v>
      </x:c>
      <x:c r="D7337" s="6" t="str">
        <x:v>平</x:v>
      </x:c>
      <x:c r="E7337" s="6" t="str"/>
      <x:c r="F7337" s="6" t="str">
        <x:v>下平聲六麻</x:v>
      </x:c>
      <x:c r="G7337" s="6" t="str">
        <x:v>Pingshui main list, Wikisource-derived DOCX</x:v>
      </x:c>
      <x:c r="H7337" s="6" t="str"/>
      <x:c r="I7337" s="6" t="str">
        <x:v>Pingshui main-list expansion; 詞 entries ignored</x:v>
      </x:c>
      <x:c r="J7337" s="6" t="str">
        <x:f>IF(B7337="","",IF(AND(ISNUMBER(SEARCH("平",B7337)),OR(ISNUMBER(SEARCH("上",B7337)),ISNUMBER(SEARCH("去",B7337)),ISNUMBER(SEARCH("入",B7337)))),"Ambiguous",IF(ISNUMBER(SEARCH("平",B7337)),"平","仄")))</x:f>
        <x:v>平</x:v>
      </x:c>
      <x:c r="K7337" s="6" t="str">
        <x:f>IF(D7337="","",IF(AND(ISNUMBER(SEARCH("平",D7337)),OR(ISNUMBER(SEARCH("上",D7337)),ISNUMBER(SEARCH("去",D7337)),ISNUMBER(SEARCH("入",D7337)))),"Ambiguous",IF(ISNUMBER(SEARCH("平",D7337)),"平","仄")))</x:f>
        <x:v>平</x:v>
      </x:c>
      <x:c r="L7337" s="7" t="str">
        <x:v>Pingshui main list expansion</x:v>
      </x:c>
    </x:row>
    <x:row r="7338">
      <x:c r="A7338" s="5" t="str">
        <x:v>痄</x:v>
      </x:c>
      <x:c r="B7338" s="6" t="str">
        <x:v>上</x:v>
      </x:c>
      <x:c r="C7338" s="6" t="str">
        <x:f>IF(B7338="","Needs decision","Ready")</x:f>
        <x:v>Ready</x:v>
      </x:c>
      <x:c r="D7338" s="6" t="str">
        <x:v>上</x:v>
      </x:c>
      <x:c r="E7338" s="6" t="str"/>
      <x:c r="F7338" s="6" t="str">
        <x:v>上聲二十一馬</x:v>
      </x:c>
      <x:c r="G7338" s="6" t="str">
        <x:v>Pingshui main list, Wikisource-derived DOCX</x:v>
      </x:c>
      <x:c r="H7338" s="6" t="str"/>
      <x:c r="I7338" s="6" t="str">
        <x:v>Pingshui main-list expansion; 詞 entries ignored</x:v>
      </x:c>
      <x:c r="J7338" s="6" t="str">
        <x:f>IF(B7338="","",IF(AND(ISNUMBER(SEARCH("平",B7338)),OR(ISNUMBER(SEARCH("上",B7338)),ISNUMBER(SEARCH("去",B7338)),ISNUMBER(SEARCH("入",B7338)))),"Ambiguous",IF(ISNUMBER(SEARCH("平",B7338)),"平","仄")))</x:f>
        <x:v>仄</x:v>
      </x:c>
      <x:c r="K7338" s="6" t="str">
        <x:f>IF(D7338="","",IF(AND(ISNUMBER(SEARCH("平",D7338)),OR(ISNUMBER(SEARCH("上",D7338)),ISNUMBER(SEARCH("去",D7338)),ISNUMBER(SEARCH("入",D7338)))),"Ambiguous",IF(ISNUMBER(SEARCH("平",D7338)),"平","仄")))</x:f>
        <x:v>仄</x:v>
      </x:c>
      <x:c r="L7338" s="7" t="str">
        <x:v>Pingshui main list expansion</x:v>
      </x:c>
    </x:row>
    <x:row r="7339">
      <x:c r="A7339" s="5" t="str">
        <x:v>痍</x:v>
      </x:c>
      <x:c r="B7339" s="6" t="str">
        <x:v>平</x:v>
      </x:c>
      <x:c r="C7339" s="6" t="str">
        <x:f>IF(B7339="","Needs decision","Ready")</x:f>
        <x:v>Ready</x:v>
      </x:c>
      <x:c r="D7339" s="6" t="str">
        <x:v>平</x:v>
      </x:c>
      <x:c r="E7339" s="6" t="str"/>
      <x:c r="F7339" s="6" t="str">
        <x:v>上平聲四支</x:v>
      </x:c>
      <x:c r="G7339" s="6" t="str">
        <x:v>Pingshui main list, Wikisource-derived DOCX</x:v>
      </x:c>
      <x:c r="H7339" s="6" t="str"/>
      <x:c r="I7339" s="6" t="str">
        <x:v>Pingshui main-list expansion; 詞 entries ignored</x:v>
      </x:c>
      <x:c r="J7339" s="6" t="str">
        <x:f>IF(B7339="","",IF(AND(ISNUMBER(SEARCH("平",B7339)),OR(ISNUMBER(SEARCH("上",B7339)),ISNUMBER(SEARCH("去",B7339)),ISNUMBER(SEARCH("入",B7339)))),"Ambiguous",IF(ISNUMBER(SEARCH("平",B7339)),"平","仄")))</x:f>
        <x:v>平</x:v>
      </x:c>
      <x:c r="K7339" s="6" t="str">
        <x:f>IF(D7339="","",IF(AND(ISNUMBER(SEARCH("平",D7339)),OR(ISNUMBER(SEARCH("上",D7339)),ISNUMBER(SEARCH("去",D7339)),ISNUMBER(SEARCH("入",D7339)))),"Ambiguous",IF(ISNUMBER(SEARCH("平",D7339)),"平","仄")))</x:f>
        <x:v>平</x:v>
      </x:c>
      <x:c r="L7339" s="7" t="str">
        <x:v>Pingshui main list expansion</x:v>
      </x:c>
    </x:row>
    <x:row r="7340">
      <x:c r="A7340" s="5" t="str">
        <x:v>痎</x:v>
      </x:c>
      <x:c r="B7340" s="6" t="str">
        <x:v>平</x:v>
      </x:c>
      <x:c r="C7340" s="6" t="str">
        <x:f>IF(B7340="","Needs decision","Ready")</x:f>
        <x:v>Ready</x:v>
      </x:c>
      <x:c r="D7340" s="6" t="str">
        <x:v>平</x:v>
      </x:c>
      <x:c r="E7340" s="6" t="str"/>
      <x:c r="F7340" s="6" t="str">
        <x:v>上平聲九佳</x:v>
      </x:c>
      <x:c r="G7340" s="6" t="str">
        <x:v>Pingshui main list, Wikisource-derived DOCX</x:v>
      </x:c>
      <x:c r="H7340" s="6" t="str"/>
      <x:c r="I7340" s="6" t="str">
        <x:v>Pingshui main-list expansion; 詞 entries ignored</x:v>
      </x:c>
      <x:c r="J7340" s="6" t="str">
        <x:f>IF(B7340="","",IF(AND(ISNUMBER(SEARCH("平",B7340)),OR(ISNUMBER(SEARCH("上",B7340)),ISNUMBER(SEARCH("去",B7340)),ISNUMBER(SEARCH("入",B7340)))),"Ambiguous",IF(ISNUMBER(SEARCH("平",B7340)),"平","仄")))</x:f>
        <x:v>平</x:v>
      </x:c>
      <x:c r="K7340" s="6" t="str">
        <x:f>IF(D7340="","",IF(AND(ISNUMBER(SEARCH("平",D7340)),OR(ISNUMBER(SEARCH("上",D7340)),ISNUMBER(SEARCH("去",D7340)),ISNUMBER(SEARCH("入",D7340)))),"Ambiguous",IF(ISNUMBER(SEARCH("平",D7340)),"平","仄")))</x:f>
        <x:v>平</x:v>
      </x:c>
      <x:c r="L7340" s="7" t="str">
        <x:v>Pingshui main list expansion</x:v>
      </x:c>
    </x:row>
    <x:row r="7341">
      <x:c r="A7341" s="5" t="str">
        <x:v>痑</x:v>
      </x:c>
      <x:c r="B7341" s="6" t="str">
        <x:v>平</x:v>
      </x:c>
      <x:c r="C7341" s="6" t="str">
        <x:f>IF(B7341="","Needs decision","Ready")</x:f>
        <x:v>Ready</x:v>
      </x:c>
      <x:c r="D7341" s="6" t="str">
        <x:v>平</x:v>
      </x:c>
      <x:c r="E7341" s="6" t="str"/>
      <x:c r="F7341" s="6" t="str">
        <x:v>上平聲十四寒</x:v>
      </x:c>
      <x:c r="G7341" s="6" t="str">
        <x:v>Pingshui main list, Wikisource-derived DOCX</x:v>
      </x:c>
      <x:c r="H7341" s="6" t="str"/>
      <x:c r="I7341" s="6" t="str">
        <x:v>Pingshui main-list expansion; 詞 entries ignored</x:v>
      </x:c>
      <x:c r="J7341" s="6" t="str">
        <x:f>IF(B7341="","",IF(AND(ISNUMBER(SEARCH("平",B7341)),OR(ISNUMBER(SEARCH("上",B7341)),ISNUMBER(SEARCH("去",B7341)),ISNUMBER(SEARCH("入",B7341)))),"Ambiguous",IF(ISNUMBER(SEARCH("平",B7341)),"平","仄")))</x:f>
        <x:v>平</x:v>
      </x:c>
      <x:c r="K7341" s="6" t="str">
        <x:f>IF(D7341="","",IF(AND(ISNUMBER(SEARCH("平",D7341)),OR(ISNUMBER(SEARCH("上",D7341)),ISNUMBER(SEARCH("去",D7341)),ISNUMBER(SEARCH("入",D7341)))),"Ambiguous",IF(ISNUMBER(SEARCH("平",D7341)),"平","仄")))</x:f>
        <x:v>平</x:v>
      </x:c>
      <x:c r="L7341" s="7" t="str">
        <x:v>Pingshui main list expansion</x:v>
      </x:c>
    </x:row>
    <x:row r="7342">
      <x:c r="A7342" s="5" t="str">
        <x:v>痔</x:v>
      </x:c>
      <x:c r="B7342" s="6" t="str">
        <x:v>上</x:v>
      </x:c>
      <x:c r="C7342" s="6" t="str">
        <x:f>IF(B7342="","Needs decision","Ready")</x:f>
        <x:v>Ready</x:v>
      </x:c>
      <x:c r="D7342" s="6" t="str">
        <x:v>上</x:v>
      </x:c>
      <x:c r="E7342" s="6" t="str"/>
      <x:c r="F7342" s="6" t="str">
        <x:v>上聲四紙</x:v>
      </x:c>
      <x:c r="G7342" s="6" t="str">
        <x:v>Pingshui main list, Wikisource-derived DOCX</x:v>
      </x:c>
      <x:c r="H7342" s="6" t="str"/>
      <x:c r="I7342" s="6" t="str">
        <x:v>Pingshui main-list expansion; 詞 entries ignored</x:v>
      </x:c>
      <x:c r="J7342" s="6" t="str">
        <x:f>IF(B7342="","",IF(AND(ISNUMBER(SEARCH("平",B7342)),OR(ISNUMBER(SEARCH("上",B7342)),ISNUMBER(SEARCH("去",B7342)),ISNUMBER(SEARCH("入",B7342)))),"Ambiguous",IF(ISNUMBER(SEARCH("平",B7342)),"平","仄")))</x:f>
        <x:v>仄</x:v>
      </x:c>
      <x:c r="K7342" s="6" t="str">
        <x:f>IF(D7342="","",IF(AND(ISNUMBER(SEARCH("平",D7342)),OR(ISNUMBER(SEARCH("上",D7342)),ISNUMBER(SEARCH("去",D7342)),ISNUMBER(SEARCH("入",D7342)))),"Ambiguous",IF(ISNUMBER(SEARCH("平",D7342)),"平","仄")))</x:f>
        <x:v>仄</x:v>
      </x:c>
      <x:c r="L7342" s="7" t="str">
        <x:v>Pingshui main list expansion</x:v>
      </x:c>
    </x:row>
    <x:row r="7343">
      <x:c r="A7343" s="5" t="str">
        <x:v>痞</x:v>
      </x:c>
      <x:c r="B7343" s="6" t="str">
        <x:v>上</x:v>
      </x:c>
      <x:c r="C7343" s="6" t="str">
        <x:f>IF(B7343="","Needs decision","Ready")</x:f>
        <x:v>Ready</x:v>
      </x:c>
      <x:c r="D7343" s="6" t="str">
        <x:v>上</x:v>
      </x:c>
      <x:c r="E7343" s="6" t="str"/>
      <x:c r="F7343" s="6" t="str">
        <x:v>上聲四紙</x:v>
      </x:c>
      <x:c r="G7343" s="6" t="str">
        <x:v>Pingshui main list, Wikisource-derived DOCX</x:v>
      </x:c>
      <x:c r="H7343" s="6" t="str"/>
      <x:c r="I7343" s="6" t="str">
        <x:v>Pingshui main-list expansion; 詞 entries ignored</x:v>
      </x:c>
      <x:c r="J7343" s="6" t="str">
        <x:f>IF(B7343="","",IF(AND(ISNUMBER(SEARCH("平",B7343)),OR(ISNUMBER(SEARCH("上",B7343)),ISNUMBER(SEARCH("去",B7343)),ISNUMBER(SEARCH("入",B7343)))),"Ambiguous",IF(ISNUMBER(SEARCH("平",B7343)),"平","仄")))</x:f>
        <x:v>仄</x:v>
      </x:c>
      <x:c r="K7343" s="6" t="str">
        <x:f>IF(D7343="","",IF(AND(ISNUMBER(SEARCH("平",D7343)),OR(ISNUMBER(SEARCH("上",D7343)),ISNUMBER(SEARCH("去",D7343)),ISNUMBER(SEARCH("入",D7343)))),"Ambiguous",IF(ISNUMBER(SEARCH("平",D7343)),"平","仄")))</x:f>
        <x:v>仄</x:v>
      </x:c>
      <x:c r="L7343" s="7" t="str">
        <x:v>Pingshui main list expansion</x:v>
      </x:c>
    </x:row>
    <x:row r="7344">
      <x:c r="A7344" s="5" t="str">
        <x:v>痟</x:v>
      </x:c>
      <x:c r="B7344" s="6" t="str">
        <x:v>平</x:v>
      </x:c>
      <x:c r="C7344" s="6" t="str">
        <x:f>IF(B7344="","Needs decision","Ready")</x:f>
        <x:v>Ready</x:v>
      </x:c>
      <x:c r="D7344" s="6" t="str">
        <x:v>平</x:v>
      </x:c>
      <x:c r="E7344" s="6" t="str"/>
      <x:c r="F7344" s="6" t="str">
        <x:v>下平聲二蕭</x:v>
      </x:c>
      <x:c r="G7344" s="6" t="str">
        <x:v>Pingshui main list, Wikisource-derived DOCX</x:v>
      </x:c>
      <x:c r="H7344" s="6" t="str"/>
      <x:c r="I7344" s="6" t="str">
        <x:v>Pingshui main-list expansion; 詞 entries ignored</x:v>
      </x:c>
      <x:c r="J7344" s="6" t="str">
        <x:f>IF(B7344="","",IF(AND(ISNUMBER(SEARCH("平",B7344)),OR(ISNUMBER(SEARCH("上",B7344)),ISNUMBER(SEARCH("去",B7344)),ISNUMBER(SEARCH("入",B7344)))),"Ambiguous",IF(ISNUMBER(SEARCH("平",B7344)),"平","仄")))</x:f>
        <x:v>平</x:v>
      </x:c>
      <x:c r="K7344" s="6" t="str">
        <x:f>IF(D7344="","",IF(AND(ISNUMBER(SEARCH("平",D7344)),OR(ISNUMBER(SEARCH("上",D7344)),ISNUMBER(SEARCH("去",D7344)),ISNUMBER(SEARCH("入",D7344)))),"Ambiguous",IF(ISNUMBER(SEARCH("平",D7344)),"平","仄")))</x:f>
        <x:v>平</x:v>
      </x:c>
      <x:c r="L7344" s="7" t="str">
        <x:v>Pingshui main list expansion</x:v>
      </x:c>
    </x:row>
    <x:row r="7345">
      <x:c r="A7345" s="5" t="str">
        <x:v>痢</x:v>
      </x:c>
      <x:c r="B7345" s="6" t="str">
        <x:v>去</x:v>
      </x:c>
      <x:c r="C7345" s="6" t="str">
        <x:f>IF(B7345="","Needs decision","Ready")</x:f>
        <x:v>Ready</x:v>
      </x:c>
      <x:c r="D7345" s="6" t="str">
        <x:v>去</x:v>
      </x:c>
      <x:c r="E7345" s="6" t="str"/>
      <x:c r="F7345" s="6" t="str">
        <x:v>去聲四寘</x:v>
      </x:c>
      <x:c r="G7345" s="6" t="str">
        <x:v>Pingshui main list, Wikisource-derived DOCX</x:v>
      </x:c>
      <x:c r="H7345" s="6" t="str"/>
      <x:c r="I7345" s="6" t="str">
        <x:v>Pingshui main-list expansion; 詞 entries ignored</x:v>
      </x:c>
      <x:c r="J7345" s="6" t="str">
        <x:f>IF(B7345="","",IF(AND(ISNUMBER(SEARCH("平",B7345)),OR(ISNUMBER(SEARCH("上",B7345)),ISNUMBER(SEARCH("去",B7345)),ISNUMBER(SEARCH("入",B7345)))),"Ambiguous",IF(ISNUMBER(SEARCH("平",B7345)),"平","仄")))</x:f>
        <x:v>仄</x:v>
      </x:c>
      <x:c r="K7345" s="6" t="str">
        <x:f>IF(D7345="","",IF(AND(ISNUMBER(SEARCH("平",D7345)),OR(ISNUMBER(SEARCH("上",D7345)),ISNUMBER(SEARCH("去",D7345)),ISNUMBER(SEARCH("入",D7345)))),"Ambiguous",IF(ISNUMBER(SEARCH("平",D7345)),"平","仄")))</x:f>
        <x:v>仄</x:v>
      </x:c>
      <x:c r="L7345" s="7" t="str">
        <x:v>Pingshui main list expansion</x:v>
      </x:c>
    </x:row>
    <x:row r="7346">
      <x:c r="A7346" s="5" t="str">
        <x:v>痣</x:v>
      </x:c>
      <x:c r="B7346" s="6" t="str">
        <x:v>去</x:v>
      </x:c>
      <x:c r="C7346" s="6" t="str">
        <x:f>IF(B7346="","Needs decision","Ready")</x:f>
        <x:v>Ready</x:v>
      </x:c>
      <x:c r="D7346" s="6" t="str">
        <x:v>去</x:v>
      </x:c>
      <x:c r="E7346" s="6" t="str"/>
      <x:c r="F7346" s="6" t="str">
        <x:v>去聲四寘</x:v>
      </x:c>
      <x:c r="G7346" s="6" t="str">
        <x:v>Pingshui main list, Wikisource-derived DOCX</x:v>
      </x:c>
      <x:c r="H7346" s="6" t="str"/>
      <x:c r="I7346" s="6" t="str">
        <x:v>Pingshui main-list expansion; 詞 entries ignored</x:v>
      </x:c>
      <x:c r="J7346" s="6" t="str">
        <x:f>IF(B7346="","",IF(AND(ISNUMBER(SEARCH("平",B7346)),OR(ISNUMBER(SEARCH("上",B7346)),ISNUMBER(SEARCH("去",B7346)),ISNUMBER(SEARCH("入",B7346)))),"Ambiguous",IF(ISNUMBER(SEARCH("平",B7346)),"平","仄")))</x:f>
        <x:v>仄</x:v>
      </x:c>
      <x:c r="K7346" s="6" t="str">
        <x:f>IF(D7346="","",IF(AND(ISNUMBER(SEARCH("平",D7346)),OR(ISNUMBER(SEARCH("上",D7346)),ISNUMBER(SEARCH("去",D7346)),ISNUMBER(SEARCH("入",D7346)))),"Ambiguous",IF(ISNUMBER(SEARCH("平",D7346)),"平","仄")))</x:f>
        <x:v>仄</x:v>
      </x:c>
      <x:c r="L7346" s="7" t="str">
        <x:v>Pingshui main list expansion</x:v>
      </x:c>
    </x:row>
    <x:row r="7347">
      <x:c r="A7347" s="5" t="str">
        <x:v>痰</x:v>
      </x:c>
      <x:c r="B7347" s="6" t="str">
        <x:v>平</x:v>
      </x:c>
      <x:c r="C7347" s="6" t="str">
        <x:f>IF(B7347="","Needs decision","Ready")</x:f>
        <x:v>Ready</x:v>
      </x:c>
      <x:c r="D7347" s="6" t="str">
        <x:v>平</x:v>
      </x:c>
      <x:c r="E7347" s="6" t="str"/>
      <x:c r="F7347" s="6" t="str">
        <x:v>下平聲十三覃</x:v>
      </x:c>
      <x:c r="G7347" s="6" t="str">
        <x:v>Pingshui main list, Wikisource-derived DOCX</x:v>
      </x:c>
      <x:c r="H7347" s="6" t="str"/>
      <x:c r="I7347" s="6" t="str">
        <x:v>Pingshui main-list expansion; 詞 entries ignored</x:v>
      </x:c>
      <x:c r="J7347" s="6" t="str">
        <x:f>IF(B7347="","",IF(AND(ISNUMBER(SEARCH("平",B7347)),OR(ISNUMBER(SEARCH("上",B7347)),ISNUMBER(SEARCH("去",B7347)),ISNUMBER(SEARCH("入",B7347)))),"Ambiguous",IF(ISNUMBER(SEARCH("平",B7347)),"平","仄")))</x:f>
        <x:v>平</x:v>
      </x:c>
      <x:c r="K7347" s="6" t="str">
        <x:f>IF(D7347="","",IF(AND(ISNUMBER(SEARCH("平",D7347)),OR(ISNUMBER(SEARCH("上",D7347)),ISNUMBER(SEARCH("去",D7347)),ISNUMBER(SEARCH("入",D7347)))),"Ambiguous",IF(ISNUMBER(SEARCH("平",D7347)),"平","仄")))</x:f>
        <x:v>平</x:v>
      </x:c>
      <x:c r="L7347" s="7" t="str">
        <x:v>Pingshui main list expansion</x:v>
      </x:c>
    </x:row>
    <x:row r="7348">
      <x:c r="A7348" s="5" t="str">
        <x:v>痱</x:v>
      </x:c>
      <x:c r="B7348" s="6" t="str"/>
      <x:c r="C7348" s="6" t="str">
        <x:f>IF(B7348="","Needs decision","Ready")</x:f>
        <x:v>Needs decision</x:v>
      </x:c>
      <x:c r="D7348" s="6" t="str">
        <x:v>平/去</x:v>
      </x:c>
      <x:c r="E7348" s="6" t="str"/>
      <x:c r="F7348" s="6" t="str">
        <x:v>上平聲五微; 去聲五未</x:v>
      </x:c>
      <x:c r="G7348" s="6" t="str">
        <x:v>Pingshui main list, Wikisource-derived DOCX</x:v>
      </x:c>
      <x:c r="H7348" s="6" t="str"/>
      <x:c r="I7348" s="6" t="str">
        <x:v>Pingshui main-list expansion; 詞 entries ignored</x:v>
      </x:c>
      <x:c r="J7348" s="6" t="str">
        <x:f>IF(B7348="","",IF(AND(ISNUMBER(SEARCH("平",B7348)),OR(ISNUMBER(SEARCH("上",B7348)),ISNUMBER(SEARCH("去",B7348)),ISNUMBER(SEARCH("入",B7348)))),"Ambiguous",IF(ISNUMBER(SEARCH("平",B7348)),"平","仄")))</x:f>
      </x:c>
      <x:c r="K7348" s="6" t="str">
        <x:f>IF(D7348="","",IF(AND(ISNUMBER(SEARCH("平",D7348)),OR(ISNUMBER(SEARCH("上",D7348)),ISNUMBER(SEARCH("去",D7348)),ISNUMBER(SEARCH("入",D7348)))),"Ambiguous",IF(ISNUMBER(SEARCH("平",D7348)),"平","仄")))</x:f>
        <x:v>Ambiguous</x:v>
      </x:c>
      <x:c r="L7348" s="7" t="str">
        <x:v>Pingshui main list expansion</x:v>
      </x:c>
    </x:row>
    <x:row r="7349">
      <x:c r="A7349" s="5" t="str">
        <x:v>痸</x:v>
      </x:c>
      <x:c r="B7349" s="6" t="str">
        <x:v>去</x:v>
      </x:c>
      <x:c r="C7349" s="6" t="str">
        <x:f>IF(B7349="","Needs decision","Ready")</x:f>
        <x:v>Ready</x:v>
      </x:c>
      <x:c r="D7349" s="6" t="str">
        <x:v>去</x:v>
      </x:c>
      <x:c r="E7349" s="6" t="str"/>
      <x:c r="F7349" s="6" t="str">
        <x:v>去聲八霽</x:v>
      </x:c>
      <x:c r="G7349" s="6" t="str">
        <x:v>Pingshui main list, Wikisource-derived DOCX</x:v>
      </x:c>
      <x:c r="H7349" s="6" t="str"/>
      <x:c r="I7349" s="6" t="str">
        <x:v>Pingshui main-list expansion; 詞 entries ignored</x:v>
      </x:c>
      <x:c r="J7349" s="6" t="str">
        <x:f>IF(B7349="","",IF(AND(ISNUMBER(SEARCH("平",B7349)),OR(ISNUMBER(SEARCH("上",B7349)),ISNUMBER(SEARCH("去",B7349)),ISNUMBER(SEARCH("入",B7349)))),"Ambiguous",IF(ISNUMBER(SEARCH("平",B7349)),"平","仄")))</x:f>
        <x:v>仄</x:v>
      </x:c>
      <x:c r="K7349" s="6" t="str">
        <x:f>IF(D7349="","",IF(AND(ISNUMBER(SEARCH("平",D7349)),OR(ISNUMBER(SEARCH("上",D7349)),ISNUMBER(SEARCH("去",D7349)),ISNUMBER(SEARCH("入",D7349)))),"Ambiguous",IF(ISNUMBER(SEARCH("平",D7349)),"平","仄")))</x:f>
        <x:v>仄</x:v>
      </x:c>
      <x:c r="L7349" s="7" t="str">
        <x:v>Pingshui main list expansion</x:v>
      </x:c>
    </x:row>
    <x:row r="7350">
      <x:c r="A7350" s="5" t="str">
        <x:v>痺</x:v>
      </x:c>
      <x:c r="B7350" s="6" t="str">
        <x:v>去</x:v>
      </x:c>
      <x:c r="C7350" s="6" t="str">
        <x:f>IF(B7350="","Needs decision","Ready")</x:f>
        <x:v>Ready</x:v>
      </x:c>
      <x:c r="D7350" s="6" t="str">
        <x:v>去</x:v>
      </x:c>
      <x:c r="E7350" s="6" t="str"/>
      <x:c r="F7350" s="6" t="str">
        <x:v>去聲四寘</x:v>
      </x:c>
      <x:c r="G7350" s="6" t="str">
        <x:v>Pingshui main list, Wikisource-derived DOCX</x:v>
      </x:c>
      <x:c r="H7350" s="6" t="str"/>
      <x:c r="I7350" s="6" t="str">
        <x:v>Pingshui main-list expansion; 詞 entries ignored</x:v>
      </x:c>
      <x:c r="J7350" s="6" t="str">
        <x:f>IF(B7350="","",IF(AND(ISNUMBER(SEARCH("平",B7350)),OR(ISNUMBER(SEARCH("上",B7350)),ISNUMBER(SEARCH("去",B7350)),ISNUMBER(SEARCH("入",B7350)))),"Ambiguous",IF(ISNUMBER(SEARCH("平",B7350)),"平","仄")))</x:f>
        <x:v>仄</x:v>
      </x:c>
      <x:c r="K7350" s="6" t="str">
        <x:f>IF(D7350="","",IF(AND(ISNUMBER(SEARCH("平",D7350)),OR(ISNUMBER(SEARCH("上",D7350)),ISNUMBER(SEARCH("去",D7350)),ISNUMBER(SEARCH("入",D7350)))),"Ambiguous",IF(ISNUMBER(SEARCH("平",D7350)),"平","仄")))</x:f>
        <x:v>仄</x:v>
      </x:c>
      <x:c r="L7350" s="7" t="str">
        <x:v>Pingshui main list expansion</x:v>
      </x:c>
    </x:row>
    <x:row r="7351">
      <x:c r="A7351" s="5" t="str">
        <x:v>痿</x:v>
      </x:c>
      <x:c r="B7351" s="6" t="str">
        <x:v>平</x:v>
      </x:c>
      <x:c r="C7351" s="6" t="str">
        <x:f>IF(B7351="","Needs decision","Ready")</x:f>
        <x:v>Ready</x:v>
      </x:c>
      <x:c r="D7351" s="6" t="str">
        <x:v>平</x:v>
      </x:c>
      <x:c r="E7351" s="6" t="str"/>
      <x:c r="F7351" s="6" t="str">
        <x:v>上平聲四支</x:v>
      </x:c>
      <x:c r="G7351" s="6" t="str">
        <x:v>Pingshui main list, Wikisource-derived DOCX</x:v>
      </x:c>
      <x:c r="H7351" s="6" t="str"/>
      <x:c r="I7351" s="6" t="str">
        <x:v>Pingshui main-list expansion; 詞 entries ignored</x:v>
      </x:c>
      <x:c r="J7351" s="6" t="str">
        <x:f>IF(B7351="","",IF(AND(ISNUMBER(SEARCH("平",B7351)),OR(ISNUMBER(SEARCH("上",B7351)),ISNUMBER(SEARCH("去",B7351)),ISNUMBER(SEARCH("入",B7351)))),"Ambiguous",IF(ISNUMBER(SEARCH("平",B7351)),"平","仄")))</x:f>
        <x:v>平</x:v>
      </x:c>
      <x:c r="K7351" s="6" t="str">
        <x:f>IF(D7351="","",IF(AND(ISNUMBER(SEARCH("平",D7351)),OR(ISNUMBER(SEARCH("上",D7351)),ISNUMBER(SEARCH("去",D7351)),ISNUMBER(SEARCH("入",D7351)))),"Ambiguous",IF(ISNUMBER(SEARCH("平",D7351)),"平","仄")))</x:f>
        <x:v>平</x:v>
      </x:c>
      <x:c r="L7351" s="7" t="str">
        <x:v>Pingshui main list expansion</x:v>
      </x:c>
    </x:row>
    <x:row r="7352">
      <x:c r="A7352" s="5" t="str">
        <x:v>瘀</x:v>
      </x:c>
      <x:c r="B7352" s="6" t="str">
        <x:v>去</x:v>
      </x:c>
      <x:c r="C7352" s="6" t="str">
        <x:f>IF(B7352="","Needs decision","Ready")</x:f>
        <x:v>Ready</x:v>
      </x:c>
      <x:c r="D7352" s="6" t="str">
        <x:v>去</x:v>
      </x:c>
      <x:c r="E7352" s="6" t="str"/>
      <x:c r="F7352" s="6" t="str">
        <x:v>去聲六御</x:v>
      </x:c>
      <x:c r="G7352" s="6" t="str">
        <x:v>Pingshui main list, Wikisource-derived DOCX</x:v>
      </x:c>
      <x:c r="H7352" s="6" t="str"/>
      <x:c r="I7352" s="6" t="str">
        <x:v>Pingshui main-list expansion; 詞 entries ignored</x:v>
      </x:c>
      <x:c r="J7352" s="6" t="str">
        <x:f>IF(B7352="","",IF(AND(ISNUMBER(SEARCH("平",B7352)),OR(ISNUMBER(SEARCH("上",B7352)),ISNUMBER(SEARCH("去",B7352)),ISNUMBER(SEARCH("入",B7352)))),"Ambiguous",IF(ISNUMBER(SEARCH("平",B7352)),"平","仄")))</x:f>
        <x:v>仄</x:v>
      </x:c>
      <x:c r="K7352" s="6" t="str">
        <x:f>IF(D7352="","",IF(AND(ISNUMBER(SEARCH("平",D7352)),OR(ISNUMBER(SEARCH("上",D7352)),ISNUMBER(SEARCH("去",D7352)),ISNUMBER(SEARCH("入",D7352)))),"Ambiguous",IF(ISNUMBER(SEARCH("平",D7352)),"平","仄")))</x:f>
        <x:v>仄</x:v>
      </x:c>
      <x:c r="L7352" s="7" t="str">
        <x:v>Pingshui main list expansion</x:v>
      </x:c>
    </x:row>
    <x:row r="7353">
      <x:c r="A7353" s="5" t="str">
        <x:v>瘉</x:v>
      </x:c>
      <x:c r="B7353" s="6" t="str"/>
      <x:c r="C7353" s="6" t="str">
        <x:f>IF(B7353="","Needs decision","Ready")</x:f>
        <x:v>Needs decision</x:v>
      </x:c>
      <x:c r="D7353" s="6" t="str">
        <x:v>平/上</x:v>
      </x:c>
      <x:c r="E7353" s="6" t="str"/>
      <x:c r="F7353" s="6" t="str">
        <x:v>上平聲七虞; 上聲七麌</x:v>
      </x:c>
      <x:c r="G7353" s="6" t="str">
        <x:v>Pingshui main list, Wikisource-derived DOCX</x:v>
      </x:c>
      <x:c r="H7353" s="6" t="str"/>
      <x:c r="I7353" s="6" t="str">
        <x:v>Pingshui main-list expansion; 詞 entries ignored</x:v>
      </x:c>
      <x:c r="J7353" s="6" t="str">
        <x:f>IF(B7353="","",IF(AND(ISNUMBER(SEARCH("平",B7353)),OR(ISNUMBER(SEARCH("上",B7353)),ISNUMBER(SEARCH("去",B7353)),ISNUMBER(SEARCH("入",B7353)))),"Ambiguous",IF(ISNUMBER(SEARCH("平",B7353)),"平","仄")))</x:f>
      </x:c>
      <x:c r="K7353" s="6" t="str">
        <x:f>IF(D7353="","",IF(AND(ISNUMBER(SEARCH("平",D7353)),OR(ISNUMBER(SEARCH("上",D7353)),ISNUMBER(SEARCH("去",D7353)),ISNUMBER(SEARCH("入",D7353)))),"Ambiguous",IF(ISNUMBER(SEARCH("平",D7353)),"平","仄")))</x:f>
        <x:v>Ambiguous</x:v>
      </x:c>
      <x:c r="L7353" s="7" t="str">
        <x:v>Pingshui main list expansion</x:v>
      </x:c>
    </x:row>
    <x:row r="7354">
      <x:c r="A7354" s="5" t="str">
        <x:v>瘕</x:v>
      </x:c>
      <x:c r="B7354" s="6" t="str"/>
      <x:c r="C7354" s="6" t="str">
        <x:f>IF(B7354="","Needs decision","Ready")</x:f>
        <x:v>Needs decision</x:v>
      </x:c>
      <x:c r="D7354" s="6" t="str">
        <x:v>平/上</x:v>
      </x:c>
      <x:c r="E7354" s="6" t="str"/>
      <x:c r="F7354" s="6" t="str">
        <x:v>下平聲六麻; 上聲二十一馬</x:v>
      </x:c>
      <x:c r="G7354" s="6" t="str">
        <x:v>Pingshui main list, Wikisource-derived DOCX</x:v>
      </x:c>
      <x:c r="H7354" s="6" t="str"/>
      <x:c r="I7354" s="6" t="str">
        <x:v>Pingshui main-list expansion; 詞 entries ignored</x:v>
      </x:c>
      <x:c r="J7354" s="6" t="str">
        <x:f>IF(B7354="","",IF(AND(ISNUMBER(SEARCH("平",B7354)),OR(ISNUMBER(SEARCH("上",B7354)),ISNUMBER(SEARCH("去",B7354)),ISNUMBER(SEARCH("入",B7354)))),"Ambiguous",IF(ISNUMBER(SEARCH("平",B7354)),"平","仄")))</x:f>
      </x:c>
      <x:c r="K7354" s="6" t="str">
        <x:f>IF(D7354="","",IF(AND(ISNUMBER(SEARCH("平",D7354)),OR(ISNUMBER(SEARCH("上",D7354)),ISNUMBER(SEARCH("去",D7354)),ISNUMBER(SEARCH("入",D7354)))),"Ambiguous",IF(ISNUMBER(SEARCH("平",D7354)),"平","仄")))</x:f>
        <x:v>Ambiguous</x:v>
      </x:c>
      <x:c r="L7354" s="7" t="str">
        <x:v>Pingshui main list expansion</x:v>
      </x:c>
    </x:row>
    <x:row r="7355">
      <x:c r="A7355" s="5" t="str">
        <x:v>瘖</x:v>
      </x:c>
      <x:c r="B7355" s="6" t="str">
        <x:v>平</x:v>
      </x:c>
      <x:c r="C7355" s="6" t="str">
        <x:f>IF(B7355="","Needs decision","Ready")</x:f>
        <x:v>Ready</x:v>
      </x:c>
      <x:c r="D7355" s="6" t="str">
        <x:v>平</x:v>
      </x:c>
      <x:c r="E7355" s="6" t="str"/>
      <x:c r="F7355" s="6" t="str">
        <x:v>下平聲十二侵</x:v>
      </x:c>
      <x:c r="G7355" s="6" t="str">
        <x:v>Pingshui main list, Wikisource-derived DOCX</x:v>
      </x:c>
      <x:c r="H7355" s="6" t="str"/>
      <x:c r="I7355" s="6" t="str">
        <x:v>Pingshui main-list expansion; 詞 entries ignored</x:v>
      </x:c>
      <x:c r="J7355" s="6" t="str">
        <x:f>IF(B7355="","",IF(AND(ISNUMBER(SEARCH("平",B7355)),OR(ISNUMBER(SEARCH("上",B7355)),ISNUMBER(SEARCH("去",B7355)),ISNUMBER(SEARCH("入",B7355)))),"Ambiguous",IF(ISNUMBER(SEARCH("平",B7355)),"平","仄")))</x:f>
        <x:v>平</x:v>
      </x:c>
      <x:c r="K7355" s="6" t="str">
        <x:f>IF(D7355="","",IF(AND(ISNUMBER(SEARCH("平",D7355)),OR(ISNUMBER(SEARCH("上",D7355)),ISNUMBER(SEARCH("去",D7355)),ISNUMBER(SEARCH("入",D7355)))),"Ambiguous",IF(ISNUMBER(SEARCH("平",D7355)),"平","仄")))</x:f>
        <x:v>平</x:v>
      </x:c>
      <x:c r="L7355" s="7" t="str">
        <x:v>Pingshui main list expansion</x:v>
      </x:c>
    </x:row>
    <x:row r="7356">
      <x:c r="A7356" s="5" t="str">
        <x:v>瘣</x:v>
      </x:c>
      <x:c r="B7356" s="6" t="str">
        <x:v>上</x:v>
      </x:c>
      <x:c r="C7356" s="6" t="str">
        <x:f>IF(B7356="","Needs decision","Ready")</x:f>
        <x:v>Ready</x:v>
      </x:c>
      <x:c r="D7356" s="6" t="str">
        <x:v>上</x:v>
      </x:c>
      <x:c r="E7356" s="6" t="str"/>
      <x:c r="F7356" s="6" t="str">
        <x:v>上聲十賄</x:v>
      </x:c>
      <x:c r="G7356" s="6" t="str">
        <x:v>Pingshui main list, Wikisource-derived DOCX</x:v>
      </x:c>
      <x:c r="H7356" s="6" t="str"/>
      <x:c r="I7356" s="6" t="str">
        <x:v>Pingshui main-list expansion; 詞 entries ignored</x:v>
      </x:c>
      <x:c r="J7356" s="6" t="str">
        <x:f>IF(B7356="","",IF(AND(ISNUMBER(SEARCH("平",B7356)),OR(ISNUMBER(SEARCH("上",B7356)),ISNUMBER(SEARCH("去",B7356)),ISNUMBER(SEARCH("入",B7356)))),"Ambiguous",IF(ISNUMBER(SEARCH("平",B7356)),"平","仄")))</x:f>
        <x:v>仄</x:v>
      </x:c>
      <x:c r="K7356" s="6" t="str">
        <x:f>IF(D7356="","",IF(AND(ISNUMBER(SEARCH("平",D7356)),OR(ISNUMBER(SEARCH("上",D7356)),ISNUMBER(SEARCH("去",D7356)),ISNUMBER(SEARCH("入",D7356)))),"Ambiguous",IF(ISNUMBER(SEARCH("平",D7356)),"平","仄")))</x:f>
        <x:v>仄</x:v>
      </x:c>
      <x:c r="L7356" s="7" t="str">
        <x:v>Pingshui main list expansion</x:v>
      </x:c>
    </x:row>
    <x:row r="7357">
      <x:c r="A7357" s="5" t="str">
        <x:v>瘥</x:v>
      </x:c>
      <x:c r="B7357" s="6" t="str"/>
      <x:c r="C7357" s="6" t="str">
        <x:f>IF(B7357="","Needs decision","Ready")</x:f>
        <x:v>Needs decision</x:v>
      </x:c>
      <x:c r="D7357" s="6" t="str">
        <x:v>平/去</x:v>
      </x:c>
      <x:c r="E7357" s="6" t="str"/>
      <x:c r="F7357" s="6" t="str">
        <x:v>下平聲五歌; 去聲十卦</x:v>
      </x:c>
      <x:c r="G7357" s="6" t="str">
        <x:v>Pingshui main list, Wikisource-derived DOCX</x:v>
      </x:c>
      <x:c r="H7357" s="6" t="str"/>
      <x:c r="I7357" s="6" t="str">
        <x:v>Pingshui main-list expansion; 詞 entries ignored</x:v>
      </x:c>
      <x:c r="J7357" s="6" t="str">
        <x:f>IF(B7357="","",IF(AND(ISNUMBER(SEARCH("平",B7357)),OR(ISNUMBER(SEARCH("上",B7357)),ISNUMBER(SEARCH("去",B7357)),ISNUMBER(SEARCH("入",B7357)))),"Ambiguous",IF(ISNUMBER(SEARCH("平",B7357)),"平","仄")))</x:f>
      </x:c>
      <x:c r="K7357" s="6" t="str">
        <x:f>IF(D7357="","",IF(AND(ISNUMBER(SEARCH("平",D7357)),OR(ISNUMBER(SEARCH("上",D7357)),ISNUMBER(SEARCH("去",D7357)),ISNUMBER(SEARCH("入",D7357)))),"Ambiguous",IF(ISNUMBER(SEARCH("平",D7357)),"平","仄")))</x:f>
        <x:v>Ambiguous</x:v>
      </x:c>
      <x:c r="L7357" s="7" t="str">
        <x:v>Pingshui main list expansion</x:v>
      </x:c>
    </x:row>
    <x:row r="7358">
      <x:c r="A7358" s="5" t="str">
        <x:v>瘧</x:v>
      </x:c>
      <x:c r="B7358" s="6" t="str">
        <x:v>入</x:v>
      </x:c>
      <x:c r="C7358" s="6" t="str">
        <x:f>IF(B7358="","Needs decision","Ready")</x:f>
        <x:v>Ready</x:v>
      </x:c>
      <x:c r="D7358" s="6" t="str">
        <x:v>入</x:v>
      </x:c>
      <x:c r="E7358" s="6" t="str"/>
      <x:c r="F7358" s="6" t="str">
        <x:v>入聲十藥</x:v>
      </x:c>
      <x:c r="G7358" s="6" t="str">
        <x:v>Pingshui main list, Wikisource-derived DOCX</x:v>
      </x:c>
      <x:c r="H7358" s="6" t="str"/>
      <x:c r="I7358" s="6" t="str">
        <x:v>Pingshui main-list expansion; 詞 entries ignored</x:v>
      </x:c>
      <x:c r="J7358" s="6" t="str">
        <x:f>IF(B7358="","",IF(AND(ISNUMBER(SEARCH("平",B7358)),OR(ISNUMBER(SEARCH("上",B7358)),ISNUMBER(SEARCH("去",B7358)),ISNUMBER(SEARCH("入",B7358)))),"Ambiguous",IF(ISNUMBER(SEARCH("平",B7358)),"平","仄")))</x:f>
        <x:v>仄</x:v>
      </x:c>
      <x:c r="K7358" s="6" t="str">
        <x:f>IF(D7358="","",IF(AND(ISNUMBER(SEARCH("平",D7358)),OR(ISNUMBER(SEARCH("上",D7358)),ISNUMBER(SEARCH("去",D7358)),ISNUMBER(SEARCH("入",D7358)))),"Ambiguous",IF(ISNUMBER(SEARCH("平",D7358)),"平","仄")))</x:f>
        <x:v>仄</x:v>
      </x:c>
      <x:c r="L7358" s="7" t="str">
        <x:v>Pingshui main list expansion</x:v>
      </x:c>
    </x:row>
    <x:row r="7359">
      <x:c r="A7359" s="5" t="str">
        <x:v>瘨</x:v>
      </x:c>
      <x:c r="B7359" s="6" t="str">
        <x:v>平</x:v>
      </x:c>
      <x:c r="C7359" s="6" t="str">
        <x:f>IF(B7359="","Needs decision","Ready")</x:f>
        <x:v>Ready</x:v>
      </x:c>
      <x:c r="D7359" s="6" t="str">
        <x:v>平</x:v>
      </x:c>
      <x:c r="E7359" s="6" t="str"/>
      <x:c r="F7359" s="6" t="str">
        <x:v>下平聲一先</x:v>
      </x:c>
      <x:c r="G7359" s="6" t="str">
        <x:v>Pingshui main list, Wikisource-derived DOCX</x:v>
      </x:c>
      <x:c r="H7359" s="6" t="str"/>
      <x:c r="I7359" s="6" t="str">
        <x:v>Pingshui main-list expansion; 詞 entries ignored</x:v>
      </x:c>
      <x:c r="J7359" s="6" t="str">
        <x:f>IF(B7359="","",IF(AND(ISNUMBER(SEARCH("平",B7359)),OR(ISNUMBER(SEARCH("上",B7359)),ISNUMBER(SEARCH("去",B7359)),ISNUMBER(SEARCH("入",B7359)))),"Ambiguous",IF(ISNUMBER(SEARCH("平",B7359)),"平","仄")))</x:f>
        <x:v>平</x:v>
      </x:c>
      <x:c r="K7359" s="6" t="str">
        <x:f>IF(D7359="","",IF(AND(ISNUMBER(SEARCH("平",D7359)),OR(ISNUMBER(SEARCH("上",D7359)),ISNUMBER(SEARCH("去",D7359)),ISNUMBER(SEARCH("入",D7359)))),"Ambiguous",IF(ISNUMBER(SEARCH("平",D7359)),"平","仄")))</x:f>
        <x:v>平</x:v>
      </x:c>
      <x:c r="L7359" s="7" t="str">
        <x:v>Pingshui main list expansion</x:v>
      </x:c>
    </x:row>
    <x:row r="7360">
      <x:c r="A7360" s="5" t="str">
        <x:v>瘯</x:v>
      </x:c>
      <x:c r="B7360" s="6" t="str">
        <x:v>入</x:v>
      </x:c>
      <x:c r="C7360" s="6" t="str">
        <x:f>IF(B7360="","Needs decision","Ready")</x:f>
        <x:v>Ready</x:v>
      </x:c>
      <x:c r="D7360" s="6" t="str">
        <x:v>入</x:v>
      </x:c>
      <x:c r="E7360" s="6" t="str"/>
      <x:c r="F7360" s="6" t="str">
        <x:v>入聲一屋</x:v>
      </x:c>
      <x:c r="G7360" s="6" t="str">
        <x:v>Pingshui main list, Wikisource-derived DOCX</x:v>
      </x:c>
      <x:c r="H7360" s="6" t="str"/>
      <x:c r="I7360" s="6" t="str">
        <x:v>Pingshui main-list expansion; 詞 entries ignored</x:v>
      </x:c>
      <x:c r="J7360" s="6" t="str">
        <x:f>IF(B7360="","",IF(AND(ISNUMBER(SEARCH("平",B7360)),OR(ISNUMBER(SEARCH("上",B7360)),ISNUMBER(SEARCH("去",B7360)),ISNUMBER(SEARCH("入",B7360)))),"Ambiguous",IF(ISNUMBER(SEARCH("平",B7360)),"平","仄")))</x:f>
        <x:v>仄</x:v>
      </x:c>
      <x:c r="K7360" s="6" t="str">
        <x:f>IF(D7360="","",IF(AND(ISNUMBER(SEARCH("平",D7360)),OR(ISNUMBER(SEARCH("上",D7360)),ISNUMBER(SEARCH("去",D7360)),ISNUMBER(SEARCH("入",D7360)))),"Ambiguous",IF(ISNUMBER(SEARCH("平",D7360)),"平","仄")))</x:f>
        <x:v>仄</x:v>
      </x:c>
      <x:c r="L7360" s="7" t="str">
        <x:v>Pingshui main list expansion</x:v>
      </x:c>
    </x:row>
    <x:row r="7361">
      <x:c r="A7361" s="5" t="str">
        <x:v>瘲</x:v>
      </x:c>
      <x:c r="B7361" s="6" t="str">
        <x:v>去</x:v>
      </x:c>
      <x:c r="C7361" s="6" t="str">
        <x:f>IF(B7361="","Needs decision","Ready")</x:f>
        <x:v>Ready</x:v>
      </x:c>
      <x:c r="D7361" s="6" t="str">
        <x:v>去</x:v>
      </x:c>
      <x:c r="E7361" s="6" t="str"/>
      <x:c r="F7361" s="6" t="str">
        <x:v>去聲二宋</x:v>
      </x:c>
      <x:c r="G7361" s="6" t="str">
        <x:v>Pingshui main list, Wikisource-derived DOCX</x:v>
      </x:c>
      <x:c r="H7361" s="6" t="str"/>
      <x:c r="I7361" s="6" t="str">
        <x:v>Pingshui main-list expansion; 詞 entries ignored</x:v>
      </x:c>
      <x:c r="J7361" s="6" t="str">
        <x:f>IF(B7361="","",IF(AND(ISNUMBER(SEARCH("平",B7361)),OR(ISNUMBER(SEARCH("上",B7361)),ISNUMBER(SEARCH("去",B7361)),ISNUMBER(SEARCH("入",B7361)))),"Ambiguous",IF(ISNUMBER(SEARCH("平",B7361)),"平","仄")))</x:f>
        <x:v>仄</x:v>
      </x:c>
      <x:c r="K7361" s="6" t="str">
        <x:f>IF(D7361="","",IF(AND(ISNUMBER(SEARCH("平",D7361)),OR(ISNUMBER(SEARCH("上",D7361)),ISNUMBER(SEARCH("去",D7361)),ISNUMBER(SEARCH("入",D7361)))),"Ambiguous",IF(ISNUMBER(SEARCH("平",D7361)),"平","仄")))</x:f>
        <x:v>仄</x:v>
      </x:c>
      <x:c r="L7361" s="7" t="str">
        <x:v>Pingshui main list expansion</x:v>
      </x:c>
    </x:row>
    <x:row r="7362">
      <x:c r="A7362" s="5" t="str">
        <x:v>瘽</x:v>
      </x:c>
      <x:c r="B7362" s="6" t="str">
        <x:v>平</x:v>
      </x:c>
      <x:c r="C7362" s="6" t="str">
        <x:f>IF(B7362="","Needs decision","Ready")</x:f>
        <x:v>Ready</x:v>
      </x:c>
      <x:c r="D7362" s="6" t="str">
        <x:v>平</x:v>
      </x:c>
      <x:c r="E7362" s="6" t="str"/>
      <x:c r="F7362" s="6" t="str">
        <x:v>上平聲十二文</x:v>
      </x:c>
      <x:c r="G7362" s="6" t="str">
        <x:v>Pingshui main list, Wikisource-derived DOCX</x:v>
      </x:c>
      <x:c r="H7362" s="6" t="str"/>
      <x:c r="I7362" s="6" t="str">
        <x:v>Pingshui main-list expansion; 詞 entries ignored</x:v>
      </x:c>
      <x:c r="J7362" s="6" t="str">
        <x:f>IF(B7362="","",IF(AND(ISNUMBER(SEARCH("平",B7362)),OR(ISNUMBER(SEARCH("上",B7362)),ISNUMBER(SEARCH("去",B7362)),ISNUMBER(SEARCH("入",B7362)))),"Ambiguous",IF(ISNUMBER(SEARCH("平",B7362)),"平","仄")))</x:f>
        <x:v>平</x:v>
      </x:c>
      <x:c r="K7362" s="6" t="str">
        <x:f>IF(D7362="","",IF(AND(ISNUMBER(SEARCH("平",D7362)),OR(ISNUMBER(SEARCH("上",D7362)),ISNUMBER(SEARCH("去",D7362)),ISNUMBER(SEARCH("入",D7362)))),"Ambiguous",IF(ISNUMBER(SEARCH("平",D7362)),"平","仄")))</x:f>
        <x:v>平</x:v>
      </x:c>
      <x:c r="L7362" s="7" t="str">
        <x:v>Pingshui main list expansion</x:v>
      </x:c>
    </x:row>
    <x:row r="7363">
      <x:c r="A7363" s="5" t="str">
        <x:v>癃</x:v>
      </x:c>
      <x:c r="B7363" s="6" t="str">
        <x:v>平</x:v>
      </x:c>
      <x:c r="C7363" s="6" t="str">
        <x:f>IF(B7363="","Needs decision","Ready")</x:f>
        <x:v>Ready</x:v>
      </x:c>
      <x:c r="D7363" s="6" t="str">
        <x:v>平</x:v>
      </x:c>
      <x:c r="E7363" s="6" t="str"/>
      <x:c r="F7363" s="6" t="str">
        <x:v>上平聲一東</x:v>
      </x:c>
      <x:c r="G7363" s="6" t="str">
        <x:v>Pingshui main list, Wikisource-derived DOCX</x:v>
      </x:c>
      <x:c r="H7363" s="6" t="str"/>
      <x:c r="I7363" s="6" t="str">
        <x:v>Pingshui main-list expansion; 詞 entries ignored</x:v>
      </x:c>
      <x:c r="J7363" s="6" t="str">
        <x:f>IF(B7363="","",IF(AND(ISNUMBER(SEARCH("平",B7363)),OR(ISNUMBER(SEARCH("上",B7363)),ISNUMBER(SEARCH("去",B7363)),ISNUMBER(SEARCH("入",B7363)))),"Ambiguous",IF(ISNUMBER(SEARCH("平",B7363)),"平","仄")))</x:f>
        <x:v>平</x:v>
      </x:c>
      <x:c r="K7363" s="6" t="str">
        <x:f>IF(D7363="","",IF(AND(ISNUMBER(SEARCH("平",D7363)),OR(ISNUMBER(SEARCH("上",D7363)),ISNUMBER(SEARCH("去",D7363)),ISNUMBER(SEARCH("入",D7363)))),"Ambiguous",IF(ISNUMBER(SEARCH("平",D7363)),"平","仄")))</x:f>
        <x:v>平</x:v>
      </x:c>
      <x:c r="L7363" s="7" t="str">
        <x:v>Pingshui main list expansion</x:v>
      </x:c>
    </x:row>
    <x:row r="7364">
      <x:c r="A7364" s="5" t="str">
        <x:v>癈</x:v>
      </x:c>
      <x:c r="B7364" s="6" t="str">
        <x:v>去</x:v>
      </x:c>
      <x:c r="C7364" s="6" t="str">
        <x:f>IF(B7364="","Needs decision","Ready")</x:f>
        <x:v>Ready</x:v>
      </x:c>
      <x:c r="D7364" s="6" t="str">
        <x:v>去</x:v>
      </x:c>
      <x:c r="E7364" s="6" t="str"/>
      <x:c r="F7364" s="6" t="str">
        <x:v>去聲十一隊</x:v>
      </x:c>
      <x:c r="G7364" s="6" t="str">
        <x:v>Pingshui main list, Wikisource-derived DOCX</x:v>
      </x:c>
      <x:c r="H7364" s="6" t="str"/>
      <x:c r="I7364" s="6" t="str">
        <x:v>Pingshui main-list expansion; 詞 entries ignored</x:v>
      </x:c>
      <x:c r="J7364" s="6" t="str">
        <x:f>IF(B7364="","",IF(AND(ISNUMBER(SEARCH("平",B7364)),OR(ISNUMBER(SEARCH("上",B7364)),ISNUMBER(SEARCH("去",B7364)),ISNUMBER(SEARCH("入",B7364)))),"Ambiguous",IF(ISNUMBER(SEARCH("平",B7364)),"平","仄")))</x:f>
        <x:v>仄</x:v>
      </x:c>
      <x:c r="K7364" s="6" t="str">
        <x:f>IF(D7364="","",IF(AND(ISNUMBER(SEARCH("平",D7364)),OR(ISNUMBER(SEARCH("上",D7364)),ISNUMBER(SEARCH("去",D7364)),ISNUMBER(SEARCH("入",D7364)))),"Ambiguous",IF(ISNUMBER(SEARCH("平",D7364)),"平","仄")))</x:f>
        <x:v>仄</x:v>
      </x:c>
      <x:c r="L7364" s="7" t="str">
        <x:v>Pingshui main list expansion</x:v>
      </x:c>
    </x:row>
    <x:row r="7365">
      <x:c r="A7365" s="5" t="str">
        <x:v>癐</x:v>
      </x:c>
      <x:c r="B7365" s="6" t="str">
        <x:v>去</x:v>
      </x:c>
      <x:c r="C7365" s="6" t="str">
        <x:f>IF(B7365="","Needs decision","Ready")</x:f>
        <x:v>Ready</x:v>
      </x:c>
      <x:c r="D7365" s="6" t="str">
        <x:v>去</x:v>
      </x:c>
      <x:c r="E7365" s="6" t="str"/>
      <x:c r="F7365" s="6" t="str">
        <x:v>去聲九泰</x:v>
      </x:c>
      <x:c r="G7365" s="6" t="str">
        <x:v>Pingshui main list, Wikisource-derived DOCX</x:v>
      </x:c>
      <x:c r="H7365" s="6" t="str"/>
      <x:c r="I7365" s="6" t="str">
        <x:v>Pingshui main-list expansion; 詞 entries ignored</x:v>
      </x:c>
      <x:c r="J7365" s="6" t="str">
        <x:f>IF(B7365="","",IF(AND(ISNUMBER(SEARCH("平",B7365)),OR(ISNUMBER(SEARCH("上",B7365)),ISNUMBER(SEARCH("去",B7365)),ISNUMBER(SEARCH("入",B7365)))),"Ambiguous",IF(ISNUMBER(SEARCH("平",B7365)),"平","仄")))</x:f>
        <x:v>仄</x:v>
      </x:c>
      <x:c r="K7365" s="6" t="str">
        <x:f>IF(D7365="","",IF(AND(ISNUMBER(SEARCH("平",D7365)),OR(ISNUMBER(SEARCH("上",D7365)),ISNUMBER(SEARCH("去",D7365)),ISNUMBER(SEARCH("入",D7365)))),"Ambiguous",IF(ISNUMBER(SEARCH("平",D7365)),"平","仄")))</x:f>
        <x:v>仄</x:v>
      </x:c>
      <x:c r="L7365" s="7" t="str">
        <x:v>Pingshui main list expansion</x:v>
      </x:c>
    </x:row>
    <x:row r="7366">
      <x:c r="A7366" s="5" t="str">
        <x:v>癖</x:v>
      </x:c>
      <x:c r="B7366" s="6" t="str">
        <x:v>入</x:v>
      </x:c>
      <x:c r="C7366" s="6" t="str">
        <x:f>IF(B7366="","Needs decision","Ready")</x:f>
        <x:v>Ready</x:v>
      </x:c>
      <x:c r="D7366" s="6" t="str">
        <x:v>入</x:v>
      </x:c>
      <x:c r="E7366" s="6" t="str"/>
      <x:c r="F7366" s="6" t="str">
        <x:v>入聲十一陌</x:v>
      </x:c>
      <x:c r="G7366" s="6" t="str">
        <x:v>Pingshui main list, Wikisource-derived DOCX</x:v>
      </x:c>
      <x:c r="H7366" s="6" t="str"/>
      <x:c r="I7366" s="6" t="str">
        <x:v>Pingshui main-list expansion; 詞 entries ignored</x:v>
      </x:c>
      <x:c r="J7366" s="6" t="str">
        <x:f>IF(B7366="","",IF(AND(ISNUMBER(SEARCH("平",B7366)),OR(ISNUMBER(SEARCH("上",B7366)),ISNUMBER(SEARCH("去",B7366)),ISNUMBER(SEARCH("入",B7366)))),"Ambiguous",IF(ISNUMBER(SEARCH("平",B7366)),"平","仄")))</x:f>
        <x:v>仄</x:v>
      </x:c>
      <x:c r="K7366" s="6" t="str">
        <x:f>IF(D7366="","",IF(AND(ISNUMBER(SEARCH("平",D7366)),OR(ISNUMBER(SEARCH("上",D7366)),ISNUMBER(SEARCH("去",D7366)),ISNUMBER(SEARCH("入",D7366)))),"Ambiguous",IF(ISNUMBER(SEARCH("平",D7366)),"平","仄")))</x:f>
        <x:v>仄</x:v>
      </x:c>
      <x:c r="L7366" s="7" t="str">
        <x:v>Pingshui main list expansion</x:v>
      </x:c>
    </x:row>
    <x:row r="7367">
      <x:c r="A7367" s="5" t="str">
        <x:v>癗</x:v>
      </x:c>
      <x:c r="B7367" s="6" t="str">
        <x:v>上</x:v>
      </x:c>
      <x:c r="C7367" s="6" t="str">
        <x:f>IF(B7367="","Needs decision","Ready")</x:f>
        <x:v>Ready</x:v>
      </x:c>
      <x:c r="D7367" s="6" t="str">
        <x:v>上</x:v>
      </x:c>
      <x:c r="E7367" s="6" t="str"/>
      <x:c r="F7367" s="6" t="str">
        <x:v>上聲十賄</x:v>
      </x:c>
      <x:c r="G7367" s="6" t="str">
        <x:v>Pingshui main list, Wikisource-derived DOCX</x:v>
      </x:c>
      <x:c r="H7367" s="6" t="str"/>
      <x:c r="I7367" s="6" t="str">
        <x:v>Pingshui main-list expansion; 詞 entries ignored</x:v>
      </x:c>
      <x:c r="J7367" s="6" t="str">
        <x:f>IF(B7367="","",IF(AND(ISNUMBER(SEARCH("平",B7367)),OR(ISNUMBER(SEARCH("上",B7367)),ISNUMBER(SEARCH("去",B7367)),ISNUMBER(SEARCH("入",B7367)))),"Ambiguous",IF(ISNUMBER(SEARCH("平",B7367)),"平","仄")))</x:f>
        <x:v>仄</x:v>
      </x:c>
      <x:c r="K7367" s="6" t="str">
        <x:f>IF(D7367="","",IF(AND(ISNUMBER(SEARCH("平",D7367)),OR(ISNUMBER(SEARCH("上",D7367)),ISNUMBER(SEARCH("去",D7367)),ISNUMBER(SEARCH("入",D7367)))),"Ambiguous",IF(ISNUMBER(SEARCH("平",D7367)),"平","仄")))</x:f>
        <x:v>仄</x:v>
      </x:c>
      <x:c r="L7367" s="7" t="str">
        <x:v>Pingshui main list expansion</x:v>
      </x:c>
    </x:row>
    <x:row r="7368">
      <x:c r="A7368" s="5" t="str">
        <x:v>癠</x:v>
      </x:c>
      <x:c r="B7368" s="6" t="str">
        <x:v>上</x:v>
      </x:c>
      <x:c r="C7368" s="6" t="str">
        <x:f>IF(B7368="","Needs decision","Ready")</x:f>
        <x:v>Ready</x:v>
      </x:c>
      <x:c r="D7368" s="6" t="str">
        <x:v>上</x:v>
      </x:c>
      <x:c r="E7368" s="6" t="str"/>
      <x:c r="F7368" s="6" t="str">
        <x:v>上聲八薺</x:v>
      </x:c>
      <x:c r="G7368" s="6" t="str">
        <x:v>Pingshui main list, Wikisource-derived DOCX</x:v>
      </x:c>
      <x:c r="H7368" s="6" t="str"/>
      <x:c r="I7368" s="6" t="str">
        <x:v>Pingshui main-list expansion; 詞 entries ignored</x:v>
      </x:c>
      <x:c r="J7368" s="6" t="str">
        <x:f>IF(B7368="","",IF(AND(ISNUMBER(SEARCH("平",B7368)),OR(ISNUMBER(SEARCH("上",B7368)),ISNUMBER(SEARCH("去",B7368)),ISNUMBER(SEARCH("入",B7368)))),"Ambiguous",IF(ISNUMBER(SEARCH("平",B7368)),"平","仄")))</x:f>
        <x:v>仄</x:v>
      </x:c>
      <x:c r="K7368" s="6" t="str">
        <x:f>IF(D7368="","",IF(AND(ISNUMBER(SEARCH("平",D7368)),OR(ISNUMBER(SEARCH("上",D7368)),ISNUMBER(SEARCH("去",D7368)),ISNUMBER(SEARCH("入",D7368)))),"Ambiguous",IF(ISNUMBER(SEARCH("平",D7368)),"平","仄")))</x:f>
        <x:v>仄</x:v>
      </x:c>
      <x:c r="L7368" s="7" t="str">
        <x:v>Pingshui main list expansion</x:v>
      </x:c>
    </x:row>
    <x:row r="7369">
      <x:c r="A7369" s="5" t="str">
        <x:v>癤</x:v>
      </x:c>
      <x:c r="B7369" s="6" t="str">
        <x:v>入</x:v>
      </x:c>
      <x:c r="C7369" s="6" t="str">
        <x:f>IF(B7369="","Needs decision","Ready")</x:f>
        <x:v>Ready</x:v>
      </x:c>
      <x:c r="D7369" s="6" t="str">
        <x:v>入</x:v>
      </x:c>
      <x:c r="E7369" s="6" t="str"/>
      <x:c r="F7369" s="6" t="str">
        <x:v>入聲九屑</x:v>
      </x:c>
      <x:c r="G7369" s="6" t="str">
        <x:v>Pingshui main list, Wikisource-derived DOCX</x:v>
      </x:c>
      <x:c r="H7369" s="6" t="str"/>
      <x:c r="I7369" s="6" t="str">
        <x:v>Pingshui main-list expansion; 詞 entries ignored</x:v>
      </x:c>
      <x:c r="J7369" s="6" t="str">
        <x:f>IF(B7369="","",IF(AND(ISNUMBER(SEARCH("平",B7369)),OR(ISNUMBER(SEARCH("上",B7369)),ISNUMBER(SEARCH("去",B7369)),ISNUMBER(SEARCH("入",B7369)))),"Ambiguous",IF(ISNUMBER(SEARCH("平",B7369)),"平","仄")))</x:f>
        <x:v>仄</x:v>
      </x:c>
      <x:c r="K7369" s="6" t="str">
        <x:f>IF(D7369="","",IF(AND(ISNUMBER(SEARCH("平",D7369)),OR(ISNUMBER(SEARCH("上",D7369)),ISNUMBER(SEARCH("去",D7369)),ISNUMBER(SEARCH("入",D7369)))),"Ambiguous",IF(ISNUMBER(SEARCH("平",D7369)),"平","仄")))</x:f>
        <x:v>仄</x:v>
      </x:c>
      <x:c r="L7369" s="7" t="str">
        <x:v>Pingshui main list expansion</x:v>
      </x:c>
    </x:row>
    <x:row r="7370">
      <x:c r="A7370" s="5" t="str">
        <x:v>癥</x:v>
      </x:c>
      <x:c r="B7370" s="6" t="str">
        <x:v>平</x:v>
      </x:c>
      <x:c r="C7370" s="6" t="str">
        <x:f>IF(B7370="","Needs decision","Ready")</x:f>
        <x:v>Ready</x:v>
      </x:c>
      <x:c r="D7370" s="6" t="str">
        <x:v>平</x:v>
      </x:c>
      <x:c r="E7370" s="6" t="str"/>
      <x:c r="F7370" s="6" t="str">
        <x:v>下平聲十蒸</x:v>
      </x:c>
      <x:c r="G7370" s="6" t="str">
        <x:v>Pingshui main list, Wikisource-derived DOCX</x:v>
      </x:c>
      <x:c r="H7370" s="6" t="str"/>
      <x:c r="I7370" s="6" t="str">
        <x:v>Pingshui main-list expansion; 詞 entries ignored</x:v>
      </x:c>
      <x:c r="J7370" s="6" t="str">
        <x:f>IF(B7370="","",IF(AND(ISNUMBER(SEARCH("平",B7370)),OR(ISNUMBER(SEARCH("上",B7370)),ISNUMBER(SEARCH("去",B7370)),ISNUMBER(SEARCH("入",B7370)))),"Ambiguous",IF(ISNUMBER(SEARCH("平",B7370)),"平","仄")))</x:f>
        <x:v>平</x:v>
      </x:c>
      <x:c r="K7370" s="6" t="str">
        <x:f>IF(D7370="","",IF(AND(ISNUMBER(SEARCH("平",D7370)),OR(ISNUMBER(SEARCH("上",D7370)),ISNUMBER(SEARCH("去",D7370)),ISNUMBER(SEARCH("入",D7370)))),"Ambiguous",IF(ISNUMBER(SEARCH("平",D7370)),"平","仄")))</x:f>
        <x:v>平</x:v>
      </x:c>
      <x:c r="L7370" s="7" t="str">
        <x:v>Pingshui main list expansion</x:v>
      </x:c>
    </x:row>
    <x:row r="7371">
      <x:c r="A7371" s="5" t="str">
        <x:v>癩</x:v>
      </x:c>
      <x:c r="B7371" s="6" t="str">
        <x:v>去</x:v>
      </x:c>
      <x:c r="C7371" s="6" t="str">
        <x:f>IF(B7371="","Needs decision","Ready")</x:f>
        <x:v>Ready</x:v>
      </x:c>
      <x:c r="D7371" s="6" t="str">
        <x:v>去</x:v>
      </x:c>
      <x:c r="E7371" s="6" t="str"/>
      <x:c r="F7371" s="6" t="str">
        <x:v>去聲九泰</x:v>
      </x:c>
      <x:c r="G7371" s="6" t="str">
        <x:v>Pingshui main list, Wikisource-derived DOCX</x:v>
      </x:c>
      <x:c r="H7371" s="6" t="str"/>
      <x:c r="I7371" s="6" t="str">
        <x:v>Pingshui main-list expansion; 詞 entries ignored</x:v>
      </x:c>
      <x:c r="J7371" s="6" t="str">
        <x:f>IF(B7371="","",IF(AND(ISNUMBER(SEARCH("平",B7371)),OR(ISNUMBER(SEARCH("上",B7371)),ISNUMBER(SEARCH("去",B7371)),ISNUMBER(SEARCH("入",B7371)))),"Ambiguous",IF(ISNUMBER(SEARCH("平",B7371)),"平","仄")))</x:f>
        <x:v>仄</x:v>
      </x:c>
      <x:c r="K7371" s="6" t="str">
        <x:f>IF(D7371="","",IF(AND(ISNUMBER(SEARCH("平",D7371)),OR(ISNUMBER(SEARCH("上",D7371)),ISNUMBER(SEARCH("去",D7371)),ISNUMBER(SEARCH("入",D7371)))),"Ambiguous",IF(ISNUMBER(SEARCH("平",D7371)),"平","仄")))</x:f>
        <x:v>仄</x:v>
      </x:c>
      <x:c r="L7371" s="7" t="str">
        <x:v>Pingshui main list expansion</x:v>
      </x:c>
    </x:row>
    <x:row r="7372">
      <x:c r="A7372" s="5" t="str">
        <x:v>皝</x:v>
      </x:c>
      <x:c r="B7372" s="6" t="str">
        <x:v>上</x:v>
      </x:c>
      <x:c r="C7372" s="6" t="str">
        <x:f>IF(B7372="","Needs decision","Ready")</x:f>
        <x:v>Ready</x:v>
      </x:c>
      <x:c r="D7372" s="6" t="str">
        <x:v>上</x:v>
      </x:c>
      <x:c r="E7372" s="6" t="str"/>
      <x:c r="F7372" s="6" t="str">
        <x:v>上聲二十二養</x:v>
      </x:c>
      <x:c r="G7372" s="6" t="str">
        <x:v>Pingshui main list, Wikisource-derived DOCX</x:v>
      </x:c>
      <x:c r="H7372" s="6" t="str"/>
      <x:c r="I7372" s="6" t="str">
        <x:v>Pingshui main-list expansion; 詞 entries ignored</x:v>
      </x:c>
      <x:c r="J7372" s="6" t="str">
        <x:f>IF(B7372="","",IF(AND(ISNUMBER(SEARCH("平",B7372)),OR(ISNUMBER(SEARCH("上",B7372)),ISNUMBER(SEARCH("去",B7372)),ISNUMBER(SEARCH("入",B7372)))),"Ambiguous",IF(ISNUMBER(SEARCH("平",B7372)),"平","仄")))</x:f>
        <x:v>仄</x:v>
      </x:c>
      <x:c r="K7372" s="6" t="str">
        <x:f>IF(D7372="","",IF(AND(ISNUMBER(SEARCH("平",D7372)),OR(ISNUMBER(SEARCH("上",D7372)),ISNUMBER(SEARCH("去",D7372)),ISNUMBER(SEARCH("入",D7372)))),"Ambiguous",IF(ISNUMBER(SEARCH("平",D7372)),"平","仄")))</x:f>
        <x:v>仄</x:v>
      </x:c>
      <x:c r="L7372" s="7" t="str">
        <x:v>Pingshui main list expansion</x:v>
      </x:c>
    </x:row>
    <x:row r="7373">
      <x:c r="A7373" s="5" t="str">
        <x:v>皭</x:v>
      </x:c>
      <x:c r="B7373" s="6" t="str">
        <x:v>入</x:v>
      </x:c>
      <x:c r="C7373" s="6" t="str">
        <x:f>IF(B7373="","Needs decision","Ready")</x:f>
        <x:v>Ready</x:v>
      </x:c>
      <x:c r="D7373" s="6" t="str">
        <x:v>入</x:v>
      </x:c>
      <x:c r="E7373" s="6" t="str"/>
      <x:c r="F7373" s="6" t="str">
        <x:v>入聲十藥</x:v>
      </x:c>
      <x:c r="G7373" s="6" t="str">
        <x:v>Pingshui main list, Wikisource-derived DOCX</x:v>
      </x:c>
      <x:c r="H7373" s="6" t="str"/>
      <x:c r="I7373" s="6" t="str">
        <x:v>Pingshui main-list expansion; 詞 entries ignored</x:v>
      </x:c>
      <x:c r="J7373" s="6" t="str">
        <x:f>IF(B7373="","",IF(AND(ISNUMBER(SEARCH("平",B7373)),OR(ISNUMBER(SEARCH("上",B7373)),ISNUMBER(SEARCH("去",B7373)),ISNUMBER(SEARCH("入",B7373)))),"Ambiguous",IF(ISNUMBER(SEARCH("平",B7373)),"平","仄")))</x:f>
        <x:v>仄</x:v>
      </x:c>
      <x:c r="K7373" s="6" t="str">
        <x:f>IF(D7373="","",IF(AND(ISNUMBER(SEARCH("平",D7373)),OR(ISNUMBER(SEARCH("上",D7373)),ISNUMBER(SEARCH("去",D7373)),ISNUMBER(SEARCH("入",D7373)))),"Ambiguous",IF(ISNUMBER(SEARCH("平",D7373)),"平","仄")))</x:f>
        <x:v>仄</x:v>
      </x:c>
      <x:c r="L7373" s="7" t="str">
        <x:v>Pingshui main list expansion</x:v>
      </x:c>
    </x:row>
    <x:row r="7374">
      <x:c r="A7374" s="5" t="str">
        <x:v>皰</x:v>
      </x:c>
      <x:c r="B7374" s="6" t="str">
        <x:v>去</x:v>
      </x:c>
      <x:c r="C7374" s="6" t="str">
        <x:f>IF(B7374="","Needs decision","Ready")</x:f>
        <x:v>Ready</x:v>
      </x:c>
      <x:c r="D7374" s="6" t="str">
        <x:v>去</x:v>
      </x:c>
      <x:c r="E7374" s="6" t="str"/>
      <x:c r="F7374" s="6" t="str">
        <x:v>去聲十九效</x:v>
      </x:c>
      <x:c r="G7374" s="6" t="str">
        <x:v>Pingshui main list, Wikisource-derived DOCX</x:v>
      </x:c>
      <x:c r="H7374" s="6" t="str"/>
      <x:c r="I7374" s="6" t="str">
        <x:v>Pingshui main-list expansion; 詞 entries ignored</x:v>
      </x:c>
      <x:c r="J7374" s="6" t="str">
        <x:f>IF(B7374="","",IF(AND(ISNUMBER(SEARCH("平",B7374)),OR(ISNUMBER(SEARCH("上",B7374)),ISNUMBER(SEARCH("去",B7374)),ISNUMBER(SEARCH("入",B7374)))),"Ambiguous",IF(ISNUMBER(SEARCH("平",B7374)),"平","仄")))</x:f>
        <x:v>仄</x:v>
      </x:c>
      <x:c r="K7374" s="6" t="str">
        <x:f>IF(D7374="","",IF(AND(ISNUMBER(SEARCH("平",D7374)),OR(ISNUMBER(SEARCH("上",D7374)),ISNUMBER(SEARCH("去",D7374)),ISNUMBER(SEARCH("入",D7374)))),"Ambiguous",IF(ISNUMBER(SEARCH("平",D7374)),"平","仄")))</x:f>
        <x:v>仄</x:v>
      </x:c>
      <x:c r="L7374" s="7" t="str">
        <x:v>Pingshui main list expansion</x:v>
      </x:c>
    </x:row>
    <x:row r="7375">
      <x:c r="A7375" s="5" t="str">
        <x:v>皴</x:v>
      </x:c>
      <x:c r="B7375" s="6" t="str">
        <x:v>平</x:v>
      </x:c>
      <x:c r="C7375" s="6" t="str">
        <x:f>IF(B7375="","Needs decision","Ready")</x:f>
        <x:v>Ready</x:v>
      </x:c>
      <x:c r="D7375" s="6" t="str">
        <x:v>平</x:v>
      </x:c>
      <x:c r="E7375" s="6" t="str"/>
      <x:c r="F7375" s="6" t="str">
        <x:v>上平聲十一真</x:v>
      </x:c>
      <x:c r="G7375" s="6" t="str">
        <x:v>Pingshui main list, Wikisource-derived DOCX</x:v>
      </x:c>
      <x:c r="H7375" s="6" t="str"/>
      <x:c r="I7375" s="6" t="str">
        <x:v>Pingshui main-list expansion; 詞 entries ignored</x:v>
      </x:c>
      <x:c r="J7375" s="6" t="str">
        <x:f>IF(B7375="","",IF(AND(ISNUMBER(SEARCH("平",B7375)),OR(ISNUMBER(SEARCH("上",B7375)),ISNUMBER(SEARCH("去",B7375)),ISNUMBER(SEARCH("入",B7375)))),"Ambiguous",IF(ISNUMBER(SEARCH("平",B7375)),"平","仄")))</x:f>
        <x:v>平</x:v>
      </x:c>
      <x:c r="K7375" s="6" t="str">
        <x:f>IF(D7375="","",IF(AND(ISNUMBER(SEARCH("平",D7375)),OR(ISNUMBER(SEARCH("上",D7375)),ISNUMBER(SEARCH("去",D7375)),ISNUMBER(SEARCH("入",D7375)))),"Ambiguous",IF(ISNUMBER(SEARCH("平",D7375)),"平","仄")))</x:f>
        <x:v>平</x:v>
      </x:c>
      <x:c r="L7375" s="7" t="str">
        <x:v>Pingshui main list expansion</x:v>
      </x:c>
    </x:row>
    <x:row r="7376">
      <x:c r="A7376" s="5" t="str">
        <x:v>皵</x:v>
      </x:c>
      <x:c r="B7376" s="6" t="str">
        <x:v>入</x:v>
      </x:c>
      <x:c r="C7376" s="6" t="str">
        <x:f>IF(B7376="","Needs decision","Ready")</x:f>
        <x:v>Ready</x:v>
      </x:c>
      <x:c r="D7376" s="6" t="str">
        <x:v>入</x:v>
      </x:c>
      <x:c r="E7376" s="6" t="str"/>
      <x:c r="F7376" s="6" t="str">
        <x:v>入聲十藥</x:v>
      </x:c>
      <x:c r="G7376" s="6" t="str">
        <x:v>Pingshui main list, Wikisource-derived DOCX</x:v>
      </x:c>
      <x:c r="H7376" s="6" t="str"/>
      <x:c r="I7376" s="6" t="str">
        <x:v>Pingshui main-list expansion; 詞 entries ignored</x:v>
      </x:c>
      <x:c r="J7376" s="6" t="str">
        <x:f>IF(B7376="","",IF(AND(ISNUMBER(SEARCH("平",B7376)),OR(ISNUMBER(SEARCH("上",B7376)),ISNUMBER(SEARCH("去",B7376)),ISNUMBER(SEARCH("入",B7376)))),"Ambiguous",IF(ISNUMBER(SEARCH("平",B7376)),"平","仄")))</x:f>
        <x:v>仄</x:v>
      </x:c>
      <x:c r="K7376" s="6" t="str">
        <x:f>IF(D7376="","",IF(AND(ISNUMBER(SEARCH("平",D7376)),OR(ISNUMBER(SEARCH("上",D7376)),ISNUMBER(SEARCH("去",D7376)),ISNUMBER(SEARCH("入",D7376)))),"Ambiguous",IF(ISNUMBER(SEARCH("平",D7376)),"平","仄")))</x:f>
        <x:v>仄</x:v>
      </x:c>
      <x:c r="L7376" s="7" t="str">
        <x:v>Pingshui main list expansion</x:v>
      </x:c>
    </x:row>
    <x:row r="7377">
      <x:c r="A7377" s="5" t="str">
        <x:v>皸</x:v>
      </x:c>
      <x:c r="B7377" s="6" t="str">
        <x:v>平</x:v>
      </x:c>
      <x:c r="C7377" s="6" t="str">
        <x:f>IF(B7377="","Needs decision","Ready")</x:f>
        <x:v>Ready</x:v>
      </x:c>
      <x:c r="D7377" s="6" t="str">
        <x:v>平</x:v>
      </x:c>
      <x:c r="E7377" s="6" t="str"/>
      <x:c r="F7377" s="6" t="str">
        <x:v>上平聲十二文</x:v>
      </x:c>
      <x:c r="G7377" s="6" t="str">
        <x:v>Pingshui main list, Wikisource-derived DOCX</x:v>
      </x:c>
      <x:c r="H7377" s="6" t="str"/>
      <x:c r="I7377" s="6" t="str">
        <x:v>Pingshui main-list expansion; 詞 entries ignored</x:v>
      </x:c>
      <x:c r="J7377" s="6" t="str">
        <x:f>IF(B7377="","",IF(AND(ISNUMBER(SEARCH("平",B7377)),OR(ISNUMBER(SEARCH("上",B7377)),ISNUMBER(SEARCH("去",B7377)),ISNUMBER(SEARCH("入",B7377)))),"Ambiguous",IF(ISNUMBER(SEARCH("平",B7377)),"平","仄")))</x:f>
        <x:v>平</x:v>
      </x:c>
      <x:c r="K7377" s="6" t="str">
        <x:f>IF(D7377="","",IF(AND(ISNUMBER(SEARCH("平",D7377)),OR(ISNUMBER(SEARCH("上",D7377)),ISNUMBER(SEARCH("去",D7377)),ISNUMBER(SEARCH("入",D7377)))),"Ambiguous",IF(ISNUMBER(SEARCH("平",D7377)),"平","仄")))</x:f>
        <x:v>平</x:v>
      </x:c>
      <x:c r="L7377" s="7" t="str">
        <x:v>Pingshui main list expansion</x:v>
      </x:c>
    </x:row>
    <x:row r="7378">
      <x:c r="A7378" s="5" t="str">
        <x:v>盅</x:v>
      </x:c>
      <x:c r="B7378" s="6" t="str">
        <x:v>平</x:v>
      </x:c>
      <x:c r="C7378" s="6" t="str">
        <x:f>IF(B7378="","Needs decision","Ready")</x:f>
        <x:v>Ready</x:v>
      </x:c>
      <x:c r="D7378" s="6" t="str">
        <x:v>平</x:v>
      </x:c>
      <x:c r="E7378" s="6" t="str"/>
      <x:c r="F7378" s="6" t="str">
        <x:v>上平聲一東</x:v>
      </x:c>
      <x:c r="G7378" s="6" t="str">
        <x:v>Pingshui main list, Wikisource-derived DOCX</x:v>
      </x:c>
      <x:c r="H7378" s="6" t="str"/>
      <x:c r="I7378" s="6" t="str">
        <x:v>Pingshui main-list expansion; 詞 entries ignored</x:v>
      </x:c>
      <x:c r="J7378" s="6" t="str">
        <x:f>IF(B7378="","",IF(AND(ISNUMBER(SEARCH("平",B7378)),OR(ISNUMBER(SEARCH("上",B7378)),ISNUMBER(SEARCH("去",B7378)),ISNUMBER(SEARCH("入",B7378)))),"Ambiguous",IF(ISNUMBER(SEARCH("平",B7378)),"平","仄")))</x:f>
        <x:v>平</x:v>
      </x:c>
      <x:c r="K7378" s="6" t="str">
        <x:f>IF(D7378="","",IF(AND(ISNUMBER(SEARCH("平",D7378)),OR(ISNUMBER(SEARCH("上",D7378)),ISNUMBER(SEARCH("去",D7378)),ISNUMBER(SEARCH("入",D7378)))),"Ambiguous",IF(ISNUMBER(SEARCH("平",D7378)),"平","仄")))</x:f>
        <x:v>平</x:v>
      </x:c>
      <x:c r="L7378" s="7" t="str">
        <x:v>Pingshui main list expansion</x:v>
      </x:c>
    </x:row>
    <x:row r="7379">
      <x:c r="A7379" s="5" t="str">
        <x:v>盓</x:v>
      </x:c>
      <x:c r="B7379" s="6" t="str">
        <x:v>平</x:v>
      </x:c>
      <x:c r="C7379" s="6" t="str">
        <x:f>IF(B7379="","Needs decision","Ready")</x:f>
        <x:v>Ready</x:v>
      </x:c>
      <x:c r="D7379" s="6" t="str">
        <x:v>平</x:v>
      </x:c>
      <x:c r="E7379" s="6" t="str"/>
      <x:c r="F7379" s="6" t="str">
        <x:v>上平聲七虞</x:v>
      </x:c>
      <x:c r="G7379" s="6" t="str">
        <x:v>Pingshui main list, Wikisource-derived DOCX</x:v>
      </x:c>
      <x:c r="H7379" s="6" t="str"/>
      <x:c r="I7379" s="6" t="str">
        <x:v>Pingshui main-list expansion; 詞 entries ignored</x:v>
      </x:c>
      <x:c r="J7379" s="6" t="str">
        <x:f>IF(B7379="","",IF(AND(ISNUMBER(SEARCH("平",B7379)),OR(ISNUMBER(SEARCH("上",B7379)),ISNUMBER(SEARCH("去",B7379)),ISNUMBER(SEARCH("入",B7379)))),"Ambiguous",IF(ISNUMBER(SEARCH("平",B7379)),"平","仄")))</x:f>
        <x:v>平</x:v>
      </x:c>
      <x:c r="K7379" s="6" t="str">
        <x:f>IF(D7379="","",IF(AND(ISNUMBER(SEARCH("平",D7379)),OR(ISNUMBER(SEARCH("上",D7379)),ISNUMBER(SEARCH("去",D7379)),ISNUMBER(SEARCH("入",D7379)))),"Ambiguous",IF(ISNUMBER(SEARCH("平",D7379)),"平","仄")))</x:f>
        <x:v>平</x:v>
      </x:c>
      <x:c r="L7379" s="7" t="str">
        <x:v>Pingshui main list expansion</x:v>
      </x:c>
    </x:row>
    <x:row r="7380">
      <x:c r="A7380" s="5" t="str">
        <x:v>盬</x:v>
      </x:c>
      <x:c r="B7380" s="6" t="str">
        <x:v>上</x:v>
      </x:c>
      <x:c r="C7380" s="6" t="str">
        <x:f>IF(B7380="","Needs decision","Ready")</x:f>
        <x:v>Ready</x:v>
      </x:c>
      <x:c r="D7380" s="6" t="str">
        <x:v>上</x:v>
      </x:c>
      <x:c r="E7380" s="6" t="str"/>
      <x:c r="F7380" s="6" t="str">
        <x:v>上聲七麌</x:v>
      </x:c>
      <x:c r="G7380" s="6" t="str">
        <x:v>Pingshui main list, Wikisource-derived DOCX</x:v>
      </x:c>
      <x:c r="H7380" s="6" t="str"/>
      <x:c r="I7380" s="6" t="str">
        <x:v>Pingshui main-list expansion; 詞 entries ignored</x:v>
      </x:c>
      <x:c r="J7380" s="6" t="str">
        <x:f>IF(B7380="","",IF(AND(ISNUMBER(SEARCH("平",B7380)),OR(ISNUMBER(SEARCH("上",B7380)),ISNUMBER(SEARCH("去",B7380)),ISNUMBER(SEARCH("入",B7380)))),"Ambiguous",IF(ISNUMBER(SEARCH("平",B7380)),"平","仄")))</x:f>
        <x:v>仄</x:v>
      </x:c>
      <x:c r="K7380" s="6" t="str">
        <x:f>IF(D7380="","",IF(AND(ISNUMBER(SEARCH("平",D7380)),OR(ISNUMBER(SEARCH("上",D7380)),ISNUMBER(SEARCH("去",D7380)),ISNUMBER(SEARCH("入",D7380)))),"Ambiguous",IF(ISNUMBER(SEARCH("平",D7380)),"平","仄")))</x:f>
        <x:v>仄</x:v>
      </x:c>
      <x:c r="L7380" s="7" t="str">
        <x:v>Pingshui main list expansion</x:v>
      </x:c>
    </x:row>
    <x:row r="7381">
      <x:c r="A7381" s="5" t="str">
        <x:v>盭</x:v>
      </x:c>
      <x:c r="B7381" s="6" t="str">
        <x:v>去</x:v>
      </x:c>
      <x:c r="C7381" s="6" t="str">
        <x:f>IF(B7381="","Needs decision","Ready")</x:f>
        <x:v>Ready</x:v>
      </x:c>
      <x:c r="D7381" s="6" t="str">
        <x:v>去</x:v>
      </x:c>
      <x:c r="E7381" s="6" t="str"/>
      <x:c r="F7381" s="6" t="str">
        <x:v>去聲八霽</x:v>
      </x:c>
      <x:c r="G7381" s="6" t="str">
        <x:v>Pingshui main list, Wikisource-derived DOCX</x:v>
      </x:c>
      <x:c r="H7381" s="6" t="str"/>
      <x:c r="I7381" s="6" t="str">
        <x:v>Pingshui main-list expansion; 詞 entries ignored</x:v>
      </x:c>
      <x:c r="J7381" s="6" t="str">
        <x:f>IF(B7381="","",IF(AND(ISNUMBER(SEARCH("平",B7381)),OR(ISNUMBER(SEARCH("上",B7381)),ISNUMBER(SEARCH("去",B7381)),ISNUMBER(SEARCH("入",B7381)))),"Ambiguous",IF(ISNUMBER(SEARCH("平",B7381)),"平","仄")))</x:f>
        <x:v>仄</x:v>
      </x:c>
      <x:c r="K7381" s="6" t="str">
        <x:f>IF(D7381="","",IF(AND(ISNUMBER(SEARCH("平",D7381)),OR(ISNUMBER(SEARCH("上",D7381)),ISNUMBER(SEARCH("去",D7381)),ISNUMBER(SEARCH("入",D7381)))),"Ambiguous",IF(ISNUMBER(SEARCH("平",D7381)),"平","仄")))</x:f>
        <x:v>仄</x:v>
      </x:c>
      <x:c r="L7381" s="7" t="str">
        <x:v>Pingshui main list expansion</x:v>
      </x:c>
    </x:row>
    <x:row r="7382">
      <x:c r="A7382" s="5" t="str">
        <x:v>盰</x:v>
      </x:c>
      <x:c r="B7382" s="6" t="str">
        <x:v>去</x:v>
      </x:c>
      <x:c r="C7382" s="6" t="str">
        <x:f>IF(B7382="","Needs decision","Ready")</x:f>
        <x:v>Ready</x:v>
      </x:c>
      <x:c r="D7382" s="6" t="str">
        <x:v>去</x:v>
      </x:c>
      <x:c r="E7382" s="6" t="str"/>
      <x:c r="F7382" s="6" t="str">
        <x:v>去聲十五翰</x:v>
      </x:c>
      <x:c r="G7382" s="6" t="str">
        <x:v>Pingshui main list, Wikisource-derived DOCX</x:v>
      </x:c>
      <x:c r="H7382" s="6" t="str"/>
      <x:c r="I7382" s="6" t="str">
        <x:v>Pingshui main-list expansion; 詞 entries ignored</x:v>
      </x:c>
      <x:c r="J7382" s="6" t="str">
        <x:f>IF(B7382="","",IF(AND(ISNUMBER(SEARCH("平",B7382)),OR(ISNUMBER(SEARCH("上",B7382)),ISNUMBER(SEARCH("去",B7382)),ISNUMBER(SEARCH("入",B7382)))),"Ambiguous",IF(ISNUMBER(SEARCH("平",B7382)),"平","仄")))</x:f>
        <x:v>仄</x:v>
      </x:c>
      <x:c r="K7382" s="6" t="str">
        <x:f>IF(D7382="","",IF(AND(ISNUMBER(SEARCH("平",D7382)),OR(ISNUMBER(SEARCH("上",D7382)),ISNUMBER(SEARCH("去",D7382)),ISNUMBER(SEARCH("入",D7382)))),"Ambiguous",IF(ISNUMBER(SEARCH("平",D7382)),"平","仄")))</x:f>
        <x:v>仄</x:v>
      </x:c>
      <x:c r="L7382" s="7" t="str">
        <x:v>Pingshui main list expansion</x:v>
      </x:c>
    </x:row>
    <x:row r="7383">
      <x:c r="A7383" s="5" t="str">
        <x:v>眅</x:v>
      </x:c>
      <x:c r="B7383" s="6" t="str"/>
      <x:c r="C7383" s="6" t="str">
        <x:f>IF(B7383="","Needs decision","Ready")</x:f>
        <x:v>Needs decision</x:v>
      </x:c>
      <x:c r="D7383" s="6" t="str">
        <x:v>平/上</x:v>
      </x:c>
      <x:c r="E7383" s="6" t="str"/>
      <x:c r="F7383" s="6" t="str">
        <x:v>上平聲十五刪; 上聲十五潸</x:v>
      </x:c>
      <x:c r="G7383" s="6" t="str">
        <x:v>Pingshui main list, Wikisource-derived DOCX</x:v>
      </x:c>
      <x:c r="H7383" s="6" t="str"/>
      <x:c r="I7383" s="6" t="str">
        <x:v>Pingshui main-list expansion; 詞 entries ignored</x:v>
      </x:c>
      <x:c r="J7383" s="6" t="str">
        <x:f>IF(B7383="","",IF(AND(ISNUMBER(SEARCH("平",B7383)),OR(ISNUMBER(SEARCH("上",B7383)),ISNUMBER(SEARCH("去",B7383)),ISNUMBER(SEARCH("入",B7383)))),"Ambiguous",IF(ISNUMBER(SEARCH("平",B7383)),"平","仄")))</x:f>
      </x:c>
      <x:c r="K7383" s="6" t="str">
        <x:f>IF(D7383="","",IF(AND(ISNUMBER(SEARCH("平",D7383)),OR(ISNUMBER(SEARCH("上",D7383)),ISNUMBER(SEARCH("去",D7383)),ISNUMBER(SEARCH("入",D7383)))),"Ambiguous",IF(ISNUMBER(SEARCH("平",D7383)),"平","仄")))</x:f>
        <x:v>Ambiguous</x:v>
      </x:c>
      <x:c r="L7383" s="7" t="str">
        <x:v>Pingshui main list expansion</x:v>
      </x:c>
    </x:row>
    <x:row r="7384">
      <x:c r="A7384" s="5" t="str">
        <x:v>眓</x:v>
      </x:c>
      <x:c r="B7384" s="6" t="str">
        <x:v>入</x:v>
      </x:c>
      <x:c r="C7384" s="6" t="str">
        <x:f>IF(B7384="","Needs decision","Ready")</x:f>
        <x:v>Ready</x:v>
      </x:c>
      <x:c r="D7384" s="6" t="str">
        <x:v>入</x:v>
      </x:c>
      <x:c r="E7384" s="6" t="str"/>
      <x:c r="F7384" s="6" t="str">
        <x:v>入聲七曷</x:v>
      </x:c>
      <x:c r="G7384" s="6" t="str">
        <x:v>Pingshui main list, Wikisource-derived DOCX</x:v>
      </x:c>
      <x:c r="H7384" s="6" t="str"/>
      <x:c r="I7384" s="6" t="str">
        <x:v>Pingshui main-list expansion; 詞 entries ignored</x:v>
      </x:c>
      <x:c r="J7384" s="6" t="str">
        <x:f>IF(B7384="","",IF(AND(ISNUMBER(SEARCH("平",B7384)),OR(ISNUMBER(SEARCH("上",B7384)),ISNUMBER(SEARCH("去",B7384)),ISNUMBER(SEARCH("入",B7384)))),"Ambiguous",IF(ISNUMBER(SEARCH("平",B7384)),"平","仄")))</x:f>
        <x:v>仄</x:v>
      </x:c>
      <x:c r="K7384" s="6" t="str">
        <x:f>IF(D7384="","",IF(AND(ISNUMBER(SEARCH("平",D7384)),OR(ISNUMBER(SEARCH("上",D7384)),ISNUMBER(SEARCH("去",D7384)),ISNUMBER(SEARCH("入",D7384)))),"Ambiguous",IF(ISNUMBER(SEARCH("平",D7384)),"平","仄")))</x:f>
        <x:v>仄</x:v>
      </x:c>
      <x:c r="L7384" s="7" t="str">
        <x:v>Pingshui main list expansion</x:v>
      </x:c>
    </x:row>
    <x:row r="7385">
      <x:c r="A7385" s="5" t="str">
        <x:v>眕</x:v>
      </x:c>
      <x:c r="B7385" s="6" t="str">
        <x:v>上</x:v>
      </x:c>
      <x:c r="C7385" s="6" t="str">
        <x:f>IF(B7385="","Needs decision","Ready")</x:f>
        <x:v>Ready</x:v>
      </x:c>
      <x:c r="D7385" s="6" t="str">
        <x:v>上</x:v>
      </x:c>
      <x:c r="E7385" s="6" t="str"/>
      <x:c r="F7385" s="6" t="str">
        <x:v>上聲十一軫</x:v>
      </x:c>
      <x:c r="G7385" s="6" t="str">
        <x:v>Pingshui main list, Wikisource-derived DOCX</x:v>
      </x:c>
      <x:c r="H7385" s="6" t="str"/>
      <x:c r="I7385" s="6" t="str">
        <x:v>Pingshui main-list expansion; 詞 entries ignored</x:v>
      </x:c>
      <x:c r="J7385" s="6" t="str">
        <x:f>IF(B7385="","",IF(AND(ISNUMBER(SEARCH("平",B7385)),OR(ISNUMBER(SEARCH("上",B7385)),ISNUMBER(SEARCH("去",B7385)),ISNUMBER(SEARCH("入",B7385)))),"Ambiguous",IF(ISNUMBER(SEARCH("平",B7385)),"平","仄")))</x:f>
        <x:v>仄</x:v>
      </x:c>
      <x:c r="K7385" s="6" t="str">
        <x:f>IF(D7385="","",IF(AND(ISNUMBER(SEARCH("平",D7385)),OR(ISNUMBER(SEARCH("上",D7385)),ISNUMBER(SEARCH("去",D7385)),ISNUMBER(SEARCH("入",D7385)))),"Ambiguous",IF(ISNUMBER(SEARCH("平",D7385)),"平","仄")))</x:f>
        <x:v>仄</x:v>
      </x:c>
      <x:c r="L7385" s="7" t="str">
        <x:v>Pingshui main list expansion</x:v>
      </x:c>
    </x:row>
    <x:row r="7386">
      <x:c r="A7386" s="5" t="str">
        <x:v>眛</x:v>
      </x:c>
      <x:c r="B7386" s="6" t="str">
        <x:v>去</x:v>
      </x:c>
      <x:c r="C7386" s="6" t="str">
        <x:f>IF(B7386="","Needs decision","Ready")</x:f>
        <x:v>Ready</x:v>
      </x:c>
      <x:c r="D7386" s="6" t="str">
        <x:v>去</x:v>
      </x:c>
      <x:c r="E7386" s="6" t="str"/>
      <x:c r="F7386" s="6" t="str">
        <x:v>去聲十一隊</x:v>
      </x:c>
      <x:c r="G7386" s="6" t="str">
        <x:v>Pingshui main list, Wikisource-derived DOCX</x:v>
      </x:c>
      <x:c r="H7386" s="6" t="str"/>
      <x:c r="I7386" s="6" t="str">
        <x:v>Pingshui main-list expansion; 詞 entries ignored</x:v>
      </x:c>
      <x:c r="J7386" s="6" t="str">
        <x:f>IF(B7386="","",IF(AND(ISNUMBER(SEARCH("平",B7386)),OR(ISNUMBER(SEARCH("上",B7386)),ISNUMBER(SEARCH("去",B7386)),ISNUMBER(SEARCH("入",B7386)))),"Ambiguous",IF(ISNUMBER(SEARCH("平",B7386)),"平","仄")))</x:f>
        <x:v>仄</x:v>
      </x:c>
      <x:c r="K7386" s="6" t="str">
        <x:f>IF(D7386="","",IF(AND(ISNUMBER(SEARCH("平",D7386)),OR(ISNUMBER(SEARCH("上",D7386)),ISNUMBER(SEARCH("去",D7386)),ISNUMBER(SEARCH("入",D7386)))),"Ambiguous",IF(ISNUMBER(SEARCH("平",D7386)),"平","仄")))</x:f>
        <x:v>仄</x:v>
      </x:c>
      <x:c r="L7386" s="7" t="str">
        <x:v>Pingshui main list expansion</x:v>
      </x:c>
    </x:row>
    <x:row r="7387">
      <x:c r="A7387" s="5" t="str">
        <x:v>眢</x:v>
      </x:c>
      <x:c r="B7387" s="6" t="str">
        <x:v>平</x:v>
      </x:c>
      <x:c r="C7387" s="6" t="str">
        <x:f>IF(B7387="","Needs decision","Ready")</x:f>
        <x:v>Ready</x:v>
      </x:c>
      <x:c r="D7387" s="6" t="str">
        <x:v>平</x:v>
      </x:c>
      <x:c r="E7387" s="6" t="str"/>
      <x:c r="F7387" s="6" t="str">
        <x:v>上平聲十三元; 上平聲十四寒</x:v>
      </x:c>
      <x:c r="G7387" s="6" t="str">
        <x:v>Pingshui main list, Wikisource-derived DOCX</x:v>
      </x:c>
      <x:c r="H7387" s="6" t="str"/>
      <x:c r="I7387" s="6" t="str">
        <x:v>Pingshui main-list expansion; 詞 entries ignored</x:v>
      </x:c>
      <x:c r="J7387" s="6" t="str">
        <x:f>IF(B7387="","",IF(AND(ISNUMBER(SEARCH("平",B7387)),OR(ISNUMBER(SEARCH("上",B7387)),ISNUMBER(SEARCH("去",B7387)),ISNUMBER(SEARCH("入",B7387)))),"Ambiguous",IF(ISNUMBER(SEARCH("平",B7387)),"平","仄")))</x:f>
        <x:v>平</x:v>
      </x:c>
      <x:c r="K7387" s="6" t="str">
        <x:f>IF(D7387="","",IF(AND(ISNUMBER(SEARCH("平",D7387)),OR(ISNUMBER(SEARCH("上",D7387)),ISNUMBER(SEARCH("去",D7387)),ISNUMBER(SEARCH("入",D7387)))),"Ambiguous",IF(ISNUMBER(SEARCH("平",D7387)),"平","仄")))</x:f>
        <x:v>平</x:v>
      </x:c>
      <x:c r="L7387" s="7" t="str">
        <x:v>Pingshui main list expansion</x:v>
      </x:c>
    </x:row>
    <x:row r="7388">
      <x:c r="A7388" s="5" t="str">
        <x:v>眯</x:v>
      </x:c>
      <x:c r="B7388" s="6" t="str">
        <x:v>上</x:v>
      </x:c>
      <x:c r="C7388" s="6" t="str">
        <x:f>IF(B7388="","Needs decision","Ready")</x:f>
        <x:v>Ready</x:v>
      </x:c>
      <x:c r="D7388" s="6" t="str">
        <x:v>上</x:v>
      </x:c>
      <x:c r="E7388" s="6" t="str"/>
      <x:c r="F7388" s="6" t="str">
        <x:v>上聲八薺</x:v>
      </x:c>
      <x:c r="G7388" s="6" t="str">
        <x:v>Pingshui main list, Wikisource-derived DOCX</x:v>
      </x:c>
      <x:c r="H7388" s="6" t="str"/>
      <x:c r="I7388" s="6" t="str">
        <x:v>Pingshui main-list expansion; 詞 entries ignored</x:v>
      </x:c>
      <x:c r="J7388" s="6" t="str">
        <x:f>IF(B7388="","",IF(AND(ISNUMBER(SEARCH("平",B7388)),OR(ISNUMBER(SEARCH("上",B7388)),ISNUMBER(SEARCH("去",B7388)),ISNUMBER(SEARCH("入",B7388)))),"Ambiguous",IF(ISNUMBER(SEARCH("平",B7388)),"平","仄")))</x:f>
        <x:v>仄</x:v>
      </x:c>
      <x:c r="K7388" s="6" t="str">
        <x:f>IF(D7388="","",IF(AND(ISNUMBER(SEARCH("平",D7388)),OR(ISNUMBER(SEARCH("上",D7388)),ISNUMBER(SEARCH("去",D7388)),ISNUMBER(SEARCH("入",D7388)))),"Ambiguous",IF(ISNUMBER(SEARCH("平",D7388)),"平","仄")))</x:f>
        <x:v>仄</x:v>
      </x:c>
      <x:c r="L7388" s="7" t="str">
        <x:v>Pingshui main list expansion</x:v>
      </x:c>
    </x:row>
    <x:row r="7389">
      <x:c r="A7389" s="5" t="str">
        <x:v>眴</x:v>
      </x:c>
      <x:c r="B7389" s="6" t="str"/>
      <x:c r="C7389" s="6" t="str">
        <x:f>IF(B7389="","Needs decision","Ready")</x:f>
        <x:v>Needs decision</x:v>
      </x:c>
      <x:c r="D7389" s="6" t="str">
        <x:v>平/去</x:v>
      </x:c>
      <x:c r="E7389" s="6" t="str"/>
      <x:c r="F7389" s="6" t="str">
        <x:v>上平聲十一真; 去聲十七霰</x:v>
      </x:c>
      <x:c r="G7389" s="6" t="str">
        <x:v>Pingshui main list, Wikisource-derived DOCX</x:v>
      </x:c>
      <x:c r="H7389" s="6" t="str"/>
      <x:c r="I7389" s="6" t="str">
        <x:v>Pingshui main-list expansion; 詞 entries ignored</x:v>
      </x:c>
      <x:c r="J7389" s="6" t="str">
        <x:f>IF(B7389="","",IF(AND(ISNUMBER(SEARCH("平",B7389)),OR(ISNUMBER(SEARCH("上",B7389)),ISNUMBER(SEARCH("去",B7389)),ISNUMBER(SEARCH("入",B7389)))),"Ambiguous",IF(ISNUMBER(SEARCH("平",B7389)),"平","仄")))</x:f>
      </x:c>
      <x:c r="K7389" s="6" t="str">
        <x:f>IF(D7389="","",IF(AND(ISNUMBER(SEARCH("平",D7389)),OR(ISNUMBER(SEARCH("上",D7389)),ISNUMBER(SEARCH("去",D7389)),ISNUMBER(SEARCH("入",D7389)))),"Ambiguous",IF(ISNUMBER(SEARCH("平",D7389)),"平","仄")))</x:f>
        <x:v>Ambiguous</x:v>
      </x:c>
      <x:c r="L7389" s="7" t="str">
        <x:v>Pingshui main list expansion</x:v>
      </x:c>
    </x:row>
    <x:row r="7390">
      <x:c r="A7390" s="5" t="str">
        <x:v>眵</x:v>
      </x:c>
      <x:c r="B7390" s="6" t="str">
        <x:v>平</x:v>
      </x:c>
      <x:c r="C7390" s="6" t="str">
        <x:f>IF(B7390="","Needs decision","Ready")</x:f>
        <x:v>Ready</x:v>
      </x:c>
      <x:c r="D7390" s="6" t="str">
        <x:v>平</x:v>
      </x:c>
      <x:c r="E7390" s="6" t="str"/>
      <x:c r="F7390" s="6" t="str">
        <x:v>上平聲四支</x:v>
      </x:c>
      <x:c r="G7390" s="6" t="str">
        <x:v>Pingshui main list, Wikisource-derived DOCX</x:v>
      </x:c>
      <x:c r="H7390" s="6" t="str"/>
      <x:c r="I7390" s="6" t="str">
        <x:v>Pingshui main-list expansion; 詞 entries ignored</x:v>
      </x:c>
      <x:c r="J7390" s="6" t="str">
        <x:f>IF(B7390="","",IF(AND(ISNUMBER(SEARCH("平",B7390)),OR(ISNUMBER(SEARCH("上",B7390)),ISNUMBER(SEARCH("去",B7390)),ISNUMBER(SEARCH("入",B7390)))),"Ambiguous",IF(ISNUMBER(SEARCH("平",B7390)),"平","仄")))</x:f>
        <x:v>平</x:v>
      </x:c>
      <x:c r="K7390" s="6" t="str">
        <x:f>IF(D7390="","",IF(AND(ISNUMBER(SEARCH("平",D7390)),OR(ISNUMBER(SEARCH("上",D7390)),ISNUMBER(SEARCH("去",D7390)),ISNUMBER(SEARCH("入",D7390)))),"Ambiguous",IF(ISNUMBER(SEARCH("平",D7390)),"平","仄")))</x:f>
        <x:v>平</x:v>
      </x:c>
      <x:c r="L7390" s="7" t="str">
        <x:v>Pingshui main list expansion</x:v>
      </x:c>
    </x:row>
    <x:row r="7391">
      <x:c r="A7391" s="5" t="str">
        <x:v>眶</x:v>
      </x:c>
      <x:c r="B7391" s="6" t="str">
        <x:v>平</x:v>
      </x:c>
      <x:c r="C7391" s="6" t="str">
        <x:f>IF(B7391="","Needs decision","Ready")</x:f>
        <x:v>Ready</x:v>
      </x:c>
      <x:c r="D7391" s="6" t="str">
        <x:v>平</x:v>
      </x:c>
      <x:c r="E7391" s="6" t="str"/>
      <x:c r="F7391" s="6" t="str">
        <x:v>下平聲七陽</x:v>
      </x:c>
      <x:c r="G7391" s="6" t="str">
        <x:v>Pingshui main list, Wikisource-derived DOCX</x:v>
      </x:c>
      <x:c r="H7391" s="6" t="str"/>
      <x:c r="I7391" s="6" t="str">
        <x:v>Pingshui main-list expansion; 詞 entries ignored</x:v>
      </x:c>
      <x:c r="J7391" s="6" t="str">
        <x:f>IF(B7391="","",IF(AND(ISNUMBER(SEARCH("平",B7391)),OR(ISNUMBER(SEARCH("上",B7391)),ISNUMBER(SEARCH("去",B7391)),ISNUMBER(SEARCH("入",B7391)))),"Ambiguous",IF(ISNUMBER(SEARCH("平",B7391)),"平","仄")))</x:f>
        <x:v>平</x:v>
      </x:c>
      <x:c r="K7391" s="6" t="str">
        <x:f>IF(D7391="","",IF(AND(ISNUMBER(SEARCH("平",D7391)),OR(ISNUMBER(SEARCH("上",D7391)),ISNUMBER(SEARCH("去",D7391)),ISNUMBER(SEARCH("入",D7391)))),"Ambiguous",IF(ISNUMBER(SEARCH("平",D7391)),"平","仄")))</x:f>
        <x:v>平</x:v>
      </x:c>
      <x:c r="L7391" s="7" t="str">
        <x:v>Pingshui main list expansion</x:v>
      </x:c>
    </x:row>
    <x:row r="7392">
      <x:c r="A7392" s="5" t="str">
        <x:v>眹</x:v>
      </x:c>
      <x:c r="B7392" s="6" t="str">
        <x:v>上</x:v>
      </x:c>
      <x:c r="C7392" s="6" t="str">
        <x:f>IF(B7392="","Needs decision","Ready")</x:f>
        <x:v>Ready</x:v>
      </x:c>
      <x:c r="D7392" s="6" t="str">
        <x:v>上</x:v>
      </x:c>
      <x:c r="E7392" s="6" t="str"/>
      <x:c r="F7392" s="6" t="str">
        <x:v>上聲十一軫</x:v>
      </x:c>
      <x:c r="G7392" s="6" t="str">
        <x:v>Pingshui main list, Wikisource-derived DOCX</x:v>
      </x:c>
      <x:c r="H7392" s="6" t="str"/>
      <x:c r="I7392" s="6" t="str">
        <x:v>Pingshui main-list expansion; 詞 entries ignored</x:v>
      </x:c>
      <x:c r="J7392" s="6" t="str">
        <x:f>IF(B7392="","",IF(AND(ISNUMBER(SEARCH("平",B7392)),OR(ISNUMBER(SEARCH("上",B7392)),ISNUMBER(SEARCH("去",B7392)),ISNUMBER(SEARCH("入",B7392)))),"Ambiguous",IF(ISNUMBER(SEARCH("平",B7392)),"平","仄")))</x:f>
        <x:v>仄</x:v>
      </x:c>
      <x:c r="K7392" s="6" t="str">
        <x:f>IF(D7392="","",IF(AND(ISNUMBER(SEARCH("平",D7392)),OR(ISNUMBER(SEARCH("上",D7392)),ISNUMBER(SEARCH("去",D7392)),ISNUMBER(SEARCH("入",D7392)))),"Ambiguous",IF(ISNUMBER(SEARCH("平",D7392)),"平","仄")))</x:f>
        <x:v>仄</x:v>
      </x:c>
      <x:c r="L7392" s="7" t="str">
        <x:v>Pingshui main list expansion</x:v>
      </x:c>
    </x:row>
    <x:row r="7393">
      <x:c r="A7393" s="5" t="str">
        <x:v>眻</x:v>
      </x:c>
      <x:c r="B7393" s="6" t="str">
        <x:v>平</x:v>
      </x:c>
      <x:c r="C7393" s="6" t="str">
        <x:f>IF(B7393="","Needs decision","Ready")</x:f>
        <x:v>Ready</x:v>
      </x:c>
      <x:c r="D7393" s="6" t="str">
        <x:v>平</x:v>
      </x:c>
      <x:c r="E7393" s="6" t="str"/>
      <x:c r="F7393" s="6" t="str">
        <x:v>下平聲七陽</x:v>
      </x:c>
      <x:c r="G7393" s="6" t="str">
        <x:v>Pingshui main list, Wikisource-derived DOCX</x:v>
      </x:c>
      <x:c r="H7393" s="6" t="str"/>
      <x:c r="I7393" s="6" t="str">
        <x:v>Pingshui main-list expansion; 詞 entries ignored</x:v>
      </x:c>
      <x:c r="J7393" s="6" t="str">
        <x:f>IF(B7393="","",IF(AND(ISNUMBER(SEARCH("平",B7393)),OR(ISNUMBER(SEARCH("上",B7393)),ISNUMBER(SEARCH("去",B7393)),ISNUMBER(SEARCH("入",B7393)))),"Ambiguous",IF(ISNUMBER(SEARCH("平",B7393)),"平","仄")))</x:f>
        <x:v>平</x:v>
      </x:c>
      <x:c r="K7393" s="6" t="str">
        <x:f>IF(D7393="","",IF(AND(ISNUMBER(SEARCH("平",D7393)),OR(ISNUMBER(SEARCH("上",D7393)),ISNUMBER(SEARCH("去",D7393)),ISNUMBER(SEARCH("入",D7393)))),"Ambiguous",IF(ISNUMBER(SEARCH("平",D7393)),"平","仄")))</x:f>
        <x:v>平</x:v>
      </x:c>
      <x:c r="L7393" s="7" t="str">
        <x:v>Pingshui main list expansion</x:v>
      </x:c>
    </x:row>
    <x:row r="7394">
      <x:c r="A7394" s="5" t="str">
        <x:v>睊</x:v>
      </x:c>
      <x:c r="B7394" s="6" t="str">
        <x:v>去</x:v>
      </x:c>
      <x:c r="C7394" s="6" t="str">
        <x:f>IF(B7394="","Needs decision","Ready")</x:f>
        <x:v>Ready</x:v>
      </x:c>
      <x:c r="D7394" s="6" t="str">
        <x:v>去</x:v>
      </x:c>
      <x:c r="E7394" s="6" t="str"/>
      <x:c r="F7394" s="6" t="str">
        <x:v>去聲十七霰</x:v>
      </x:c>
      <x:c r="G7394" s="6" t="str">
        <x:v>Pingshui main list, Wikisource-derived DOCX</x:v>
      </x:c>
      <x:c r="H7394" s="6" t="str"/>
      <x:c r="I7394" s="6" t="str">
        <x:v>Pingshui main-list expansion; 詞 entries ignored</x:v>
      </x:c>
      <x:c r="J7394" s="6" t="str">
        <x:f>IF(B7394="","",IF(AND(ISNUMBER(SEARCH("平",B7394)),OR(ISNUMBER(SEARCH("上",B7394)),ISNUMBER(SEARCH("去",B7394)),ISNUMBER(SEARCH("入",B7394)))),"Ambiguous",IF(ISNUMBER(SEARCH("平",B7394)),"平","仄")))</x:f>
        <x:v>仄</x:v>
      </x:c>
      <x:c r="K7394" s="6" t="str">
        <x:f>IF(D7394="","",IF(AND(ISNUMBER(SEARCH("平",D7394)),OR(ISNUMBER(SEARCH("上",D7394)),ISNUMBER(SEARCH("去",D7394)),ISNUMBER(SEARCH("入",D7394)))),"Ambiguous",IF(ISNUMBER(SEARCH("平",D7394)),"平","仄")))</x:f>
        <x:v>仄</x:v>
      </x:c>
      <x:c r="L7394" s="7" t="str">
        <x:v>Pingshui main list expansion</x:v>
      </x:c>
    </x:row>
    <x:row r="7395">
      <x:c r="A7395" s="5" t="str">
        <x:v>睋</x:v>
      </x:c>
      <x:c r="B7395" s="6" t="str">
        <x:v>平</x:v>
      </x:c>
      <x:c r="C7395" s="6" t="str">
        <x:f>IF(B7395="","Needs decision","Ready")</x:f>
        <x:v>Ready</x:v>
      </x:c>
      <x:c r="D7395" s="6" t="str">
        <x:v>平</x:v>
      </x:c>
      <x:c r="E7395" s="6" t="str"/>
      <x:c r="F7395" s="6" t="str">
        <x:v>下平聲五歌</x:v>
      </x:c>
      <x:c r="G7395" s="6" t="str">
        <x:v>Pingshui main list, Wikisource-derived DOCX</x:v>
      </x:c>
      <x:c r="H7395" s="6" t="str"/>
      <x:c r="I7395" s="6" t="str">
        <x:v>Pingshui main-list expansion; 詞 entries ignored</x:v>
      </x:c>
      <x:c r="J7395" s="6" t="str">
        <x:f>IF(B7395="","",IF(AND(ISNUMBER(SEARCH("平",B7395)),OR(ISNUMBER(SEARCH("上",B7395)),ISNUMBER(SEARCH("去",B7395)),ISNUMBER(SEARCH("入",B7395)))),"Ambiguous",IF(ISNUMBER(SEARCH("平",B7395)),"平","仄")))</x:f>
        <x:v>平</x:v>
      </x:c>
      <x:c r="K7395" s="6" t="str">
        <x:f>IF(D7395="","",IF(AND(ISNUMBER(SEARCH("平",D7395)),OR(ISNUMBER(SEARCH("上",D7395)),ISNUMBER(SEARCH("去",D7395)),ISNUMBER(SEARCH("入",D7395)))),"Ambiguous",IF(ISNUMBER(SEARCH("平",D7395)),"平","仄")))</x:f>
        <x:v>平</x:v>
      </x:c>
      <x:c r="L7395" s="7" t="str">
        <x:v>Pingshui main list expansion</x:v>
      </x:c>
    </x:row>
    <x:row r="7396">
      <x:c r="A7396" s="5" t="str">
        <x:v>睍</x:v>
      </x:c>
      <x:c r="B7396" s="6" t="str"/>
      <x:c r="C7396" s="6" t="str">
        <x:f>IF(B7396="","Needs decision","Ready")</x:f>
        <x:v>Needs decision</x:v>
      </x:c>
      <x:c r="D7396" s="6" t="str">
        <x:v>上/去</x:v>
      </x:c>
      <x:c r="E7396" s="6" t="str"/>
      <x:c r="F7396" s="6" t="str">
        <x:v>上聲十六銑; 去聲十七霰</x:v>
      </x:c>
      <x:c r="G7396" s="6" t="str">
        <x:v>Pingshui main list, Wikisource-derived DOCX</x:v>
      </x:c>
      <x:c r="H7396" s="6" t="str"/>
      <x:c r="I7396" s="6" t="str">
        <x:v>Pingshui main-list expansion; 詞 entries ignored</x:v>
      </x:c>
      <x:c r="J7396" s="6" t="str">
        <x:f>IF(B7396="","",IF(AND(ISNUMBER(SEARCH("平",B7396)),OR(ISNUMBER(SEARCH("上",B7396)),ISNUMBER(SEARCH("去",B7396)),ISNUMBER(SEARCH("入",B7396)))),"Ambiguous",IF(ISNUMBER(SEARCH("平",B7396)),"平","仄")))</x:f>
      </x:c>
      <x:c r="K7396" s="6" t="str">
        <x:f>IF(D7396="","",IF(AND(ISNUMBER(SEARCH("平",D7396)),OR(ISNUMBER(SEARCH("上",D7396)),ISNUMBER(SEARCH("去",D7396)),ISNUMBER(SEARCH("入",D7396)))),"Ambiguous",IF(ISNUMBER(SEARCH("平",D7396)),"平","仄")))</x:f>
        <x:v>仄</x:v>
      </x:c>
      <x:c r="L7396" s="7" t="str">
        <x:v>Pingshui main list expansion</x:v>
      </x:c>
    </x:row>
    <x:row r="7397">
      <x:c r="A7397" s="5" t="str">
        <x:v>睧</x:v>
      </x:c>
      <x:c r="B7397" s="6" t="str">
        <x:v>平</x:v>
      </x:c>
      <x:c r="C7397" s="6" t="str">
        <x:f>IF(B7397="","Needs decision","Ready")</x:f>
        <x:v>Ready</x:v>
      </x:c>
      <x:c r="D7397" s="6" t="str">
        <x:v>平</x:v>
      </x:c>
      <x:c r="E7397" s="6" t="str"/>
      <x:c r="F7397" s="6" t="str">
        <x:v>上平聲十三元</x:v>
      </x:c>
      <x:c r="G7397" s="6" t="str">
        <x:v>Pingshui main list, Wikisource-derived DOCX</x:v>
      </x:c>
      <x:c r="H7397" s="6" t="str"/>
      <x:c r="I7397" s="6" t="str">
        <x:v>Pingshui main-list expansion; 詞 entries ignored</x:v>
      </x:c>
      <x:c r="J7397" s="6" t="str">
        <x:f>IF(B7397="","",IF(AND(ISNUMBER(SEARCH("平",B7397)),OR(ISNUMBER(SEARCH("上",B7397)),ISNUMBER(SEARCH("去",B7397)),ISNUMBER(SEARCH("入",B7397)))),"Ambiguous",IF(ISNUMBER(SEARCH("平",B7397)),"平","仄")))</x:f>
        <x:v>平</x:v>
      </x:c>
      <x:c r="K7397" s="6" t="str">
        <x:f>IF(D7397="","",IF(AND(ISNUMBER(SEARCH("平",D7397)),OR(ISNUMBER(SEARCH("上",D7397)),ISNUMBER(SEARCH("去",D7397)),ISNUMBER(SEARCH("入",D7397)))),"Ambiguous",IF(ISNUMBER(SEARCH("平",D7397)),"平","仄")))</x:f>
        <x:v>平</x:v>
      </x:c>
      <x:c r="L7397" s="7" t="str">
        <x:v>Pingshui main list expansion</x:v>
      </x:c>
    </x:row>
    <x:row r="7398">
      <x:c r="A7398" s="5" t="str">
        <x:v>睼</x:v>
      </x:c>
      <x:c r="B7398" s="6" t="str">
        <x:v>平</x:v>
      </x:c>
      <x:c r="C7398" s="6" t="str">
        <x:f>IF(B7398="","Needs decision","Ready")</x:f>
        <x:v>Ready</x:v>
      </x:c>
      <x:c r="D7398" s="6" t="str">
        <x:v>平</x:v>
      </x:c>
      <x:c r="E7398" s="6" t="str"/>
      <x:c r="F7398" s="6" t="str">
        <x:v>上平聲八齊</x:v>
      </x:c>
      <x:c r="G7398" s="6" t="str">
        <x:v>Pingshui main list, Wikisource-derived DOCX</x:v>
      </x:c>
      <x:c r="H7398" s="6" t="str"/>
      <x:c r="I7398" s="6" t="str">
        <x:v>Pingshui main-list expansion; 詞 entries ignored</x:v>
      </x:c>
      <x:c r="J7398" s="6" t="str">
        <x:f>IF(B7398="","",IF(AND(ISNUMBER(SEARCH("平",B7398)),OR(ISNUMBER(SEARCH("上",B7398)),ISNUMBER(SEARCH("去",B7398)),ISNUMBER(SEARCH("入",B7398)))),"Ambiguous",IF(ISNUMBER(SEARCH("平",B7398)),"平","仄")))</x:f>
        <x:v>平</x:v>
      </x:c>
      <x:c r="K7398" s="6" t="str">
        <x:f>IF(D7398="","",IF(AND(ISNUMBER(SEARCH("平",D7398)),OR(ISNUMBER(SEARCH("上",D7398)),ISNUMBER(SEARCH("去",D7398)),ISNUMBER(SEARCH("入",D7398)))),"Ambiguous",IF(ISNUMBER(SEARCH("平",D7398)),"平","仄")))</x:f>
        <x:v>平</x:v>
      </x:c>
      <x:c r="L7398" s="7" t="str">
        <x:v>Pingshui main list expansion</x:v>
      </x:c>
    </x:row>
    <x:row r="7399">
      <x:c r="A7399" s="5" t="str">
        <x:v>瞂</x:v>
      </x:c>
      <x:c r="B7399" s="6" t="str">
        <x:v>入</x:v>
      </x:c>
      <x:c r="C7399" s="6" t="str">
        <x:f>IF(B7399="","Needs decision","Ready")</x:f>
        <x:v>Ready</x:v>
      </x:c>
      <x:c r="D7399" s="6" t="str">
        <x:v>入</x:v>
      </x:c>
      <x:c r="E7399" s="6" t="str"/>
      <x:c r="F7399" s="6" t="str">
        <x:v>入聲六月</x:v>
      </x:c>
      <x:c r="G7399" s="6" t="str">
        <x:v>Pingshui main list, Wikisource-derived DOCX</x:v>
      </x:c>
      <x:c r="H7399" s="6" t="str"/>
      <x:c r="I7399" s="6" t="str">
        <x:v>Pingshui main-list expansion; 詞 entries ignored</x:v>
      </x:c>
      <x:c r="J7399" s="6" t="str">
        <x:f>IF(B7399="","",IF(AND(ISNUMBER(SEARCH("平",B7399)),OR(ISNUMBER(SEARCH("上",B7399)),ISNUMBER(SEARCH("去",B7399)),ISNUMBER(SEARCH("入",B7399)))),"Ambiguous",IF(ISNUMBER(SEARCH("平",B7399)),"平","仄")))</x:f>
        <x:v>仄</x:v>
      </x:c>
      <x:c r="K7399" s="6" t="str">
        <x:f>IF(D7399="","",IF(AND(ISNUMBER(SEARCH("平",D7399)),OR(ISNUMBER(SEARCH("上",D7399)),ISNUMBER(SEARCH("去",D7399)),ISNUMBER(SEARCH("入",D7399)))),"Ambiguous",IF(ISNUMBER(SEARCH("平",D7399)),"平","仄")))</x:f>
        <x:v>仄</x:v>
      </x:c>
      <x:c r="L7399" s="7" t="str">
        <x:v>Pingshui main list expansion</x:v>
      </x:c>
    </x:row>
    <x:row r="7400">
      <x:c r="A7400" s="5" t="str">
        <x:v>瞙</x:v>
      </x:c>
      <x:c r="B7400" s="6" t="str">
        <x:v>入</x:v>
      </x:c>
      <x:c r="C7400" s="6" t="str">
        <x:f>IF(B7400="","Needs decision","Ready")</x:f>
        <x:v>Ready</x:v>
      </x:c>
      <x:c r="D7400" s="6" t="str">
        <x:v>入</x:v>
      </x:c>
      <x:c r="E7400" s="6" t="str"/>
      <x:c r="F7400" s="6" t="str">
        <x:v>入聲十藥</x:v>
      </x:c>
      <x:c r="G7400" s="6" t="str">
        <x:v>Pingshui main list, Wikisource-derived DOCX</x:v>
      </x:c>
      <x:c r="H7400" s="6" t="str"/>
      <x:c r="I7400" s="6" t="str">
        <x:v>Pingshui main-list expansion; 詞 entries ignored</x:v>
      </x:c>
      <x:c r="J7400" s="6" t="str">
        <x:f>IF(B7400="","",IF(AND(ISNUMBER(SEARCH("平",B7400)),OR(ISNUMBER(SEARCH("上",B7400)),ISNUMBER(SEARCH("去",B7400)),ISNUMBER(SEARCH("入",B7400)))),"Ambiguous",IF(ISNUMBER(SEARCH("平",B7400)),"平","仄")))</x:f>
        <x:v>仄</x:v>
      </x:c>
      <x:c r="K7400" s="6" t="str">
        <x:f>IF(D7400="","",IF(AND(ISNUMBER(SEARCH("平",D7400)),OR(ISNUMBER(SEARCH("上",D7400)),ISNUMBER(SEARCH("去",D7400)),ISNUMBER(SEARCH("入",D7400)))),"Ambiguous",IF(ISNUMBER(SEARCH("平",D7400)),"平","仄")))</x:f>
        <x:v>仄</x:v>
      </x:c>
      <x:c r="L7400" s="7" t="str">
        <x:v>Pingshui main list expansion</x:v>
      </x:c>
    </x:row>
    <x:row r="7401">
      <x:c r="A7401" s="5" t="str">
        <x:v>瞛</x:v>
      </x:c>
      <x:c r="B7401" s="6" t="str">
        <x:v>平</x:v>
      </x:c>
      <x:c r="C7401" s="6" t="str">
        <x:f>IF(B7401="","Needs decision","Ready")</x:f>
        <x:v>Ready</x:v>
      </x:c>
      <x:c r="D7401" s="6" t="str">
        <x:v>平</x:v>
      </x:c>
      <x:c r="E7401" s="6" t="str"/>
      <x:c r="F7401" s="6" t="str">
        <x:v>上平聲二冬</x:v>
      </x:c>
      <x:c r="G7401" s="6" t="str">
        <x:v>Pingshui main list, Wikisource-derived DOCX</x:v>
      </x:c>
      <x:c r="H7401" s="6" t="str"/>
      <x:c r="I7401" s="6" t="str">
        <x:v>Pingshui main-list expansion; 詞 entries ignored</x:v>
      </x:c>
      <x:c r="J7401" s="6" t="str">
        <x:f>IF(B7401="","",IF(AND(ISNUMBER(SEARCH("平",B7401)),OR(ISNUMBER(SEARCH("上",B7401)),ISNUMBER(SEARCH("去",B7401)),ISNUMBER(SEARCH("入",B7401)))),"Ambiguous",IF(ISNUMBER(SEARCH("平",B7401)),"平","仄")))</x:f>
        <x:v>平</x:v>
      </x:c>
      <x:c r="K7401" s="6" t="str">
        <x:f>IF(D7401="","",IF(AND(ISNUMBER(SEARCH("平",D7401)),OR(ISNUMBER(SEARCH("上",D7401)),ISNUMBER(SEARCH("去",D7401)),ISNUMBER(SEARCH("入",D7401)))),"Ambiguous",IF(ISNUMBER(SEARCH("平",D7401)),"平","仄")))</x:f>
        <x:v>平</x:v>
      </x:c>
      <x:c r="L7401" s="7" t="str">
        <x:v>Pingshui main list expansion</x:v>
      </x:c>
    </x:row>
    <x:row r="7402">
      <x:c r="A7402" s="5" t="str">
        <x:v>瞪</x:v>
      </x:c>
      <x:c r="B7402" s="6" t="str">
        <x:v>平</x:v>
      </x:c>
      <x:c r="C7402" s="6" t="str">
        <x:f>IF(B7402="","Needs decision","Ready")</x:f>
        <x:v>Ready</x:v>
      </x:c>
      <x:c r="D7402" s="6" t="str">
        <x:v>平</x:v>
      </x:c>
      <x:c r="E7402" s="6" t="str"/>
      <x:c r="F7402" s="6" t="str">
        <x:v>下平聲八庚</x:v>
      </x:c>
      <x:c r="G7402" s="6" t="str">
        <x:v>Pingshui main list, Wikisource-derived DOCX</x:v>
      </x:c>
      <x:c r="H7402" s="6" t="str"/>
      <x:c r="I7402" s="6" t="str">
        <x:v>Pingshui main-list expansion; 詞 entries ignored</x:v>
      </x:c>
      <x:c r="J7402" s="6" t="str">
        <x:f>IF(B7402="","",IF(AND(ISNUMBER(SEARCH("平",B7402)),OR(ISNUMBER(SEARCH("上",B7402)),ISNUMBER(SEARCH("去",B7402)),ISNUMBER(SEARCH("入",B7402)))),"Ambiguous",IF(ISNUMBER(SEARCH("平",B7402)),"平","仄")))</x:f>
        <x:v>平</x:v>
      </x:c>
      <x:c r="K7402" s="6" t="str">
        <x:f>IF(D7402="","",IF(AND(ISNUMBER(SEARCH("平",D7402)),OR(ISNUMBER(SEARCH("上",D7402)),ISNUMBER(SEARCH("去",D7402)),ISNUMBER(SEARCH("入",D7402)))),"Ambiguous",IF(ISNUMBER(SEARCH("平",D7402)),"平","仄")))</x:f>
        <x:v>平</x:v>
      </x:c>
      <x:c r="L7402" s="7" t="str">
        <x:v>Pingshui main list expansion</x:v>
      </x:c>
    </x:row>
    <x:row r="7403">
      <x:c r="A7403" s="5" t="str">
        <x:v>瞫</x:v>
      </x:c>
      <x:c r="B7403" s="6" t="str">
        <x:v>上</x:v>
      </x:c>
      <x:c r="C7403" s="6" t="str">
        <x:f>IF(B7403="","Needs decision","Ready")</x:f>
        <x:v>Ready</x:v>
      </x:c>
      <x:c r="D7403" s="6" t="str">
        <x:v>上</x:v>
      </x:c>
      <x:c r="E7403" s="6" t="str"/>
      <x:c r="F7403" s="6" t="str">
        <x:v>上聲二十六寢</x:v>
      </x:c>
      <x:c r="G7403" s="6" t="str">
        <x:v>Pingshui main list, Wikisource-derived DOCX</x:v>
      </x:c>
      <x:c r="H7403" s="6" t="str"/>
      <x:c r="I7403" s="6" t="str">
        <x:v>Pingshui main-list expansion; 詞 entries ignored</x:v>
      </x:c>
      <x:c r="J7403" s="6" t="str">
        <x:f>IF(B7403="","",IF(AND(ISNUMBER(SEARCH("平",B7403)),OR(ISNUMBER(SEARCH("上",B7403)),ISNUMBER(SEARCH("去",B7403)),ISNUMBER(SEARCH("入",B7403)))),"Ambiguous",IF(ISNUMBER(SEARCH("平",B7403)),"平","仄")))</x:f>
        <x:v>仄</x:v>
      </x:c>
      <x:c r="K7403" s="6" t="str">
        <x:f>IF(D7403="","",IF(AND(ISNUMBER(SEARCH("平",D7403)),OR(ISNUMBER(SEARCH("上",D7403)),ISNUMBER(SEARCH("去",D7403)),ISNUMBER(SEARCH("入",D7403)))),"Ambiguous",IF(ISNUMBER(SEARCH("平",D7403)),"平","仄")))</x:f>
        <x:v>仄</x:v>
      </x:c>
      <x:c r="L7403" s="7" t="str">
        <x:v>Pingshui main list expansion</x:v>
      </x:c>
    </x:row>
    <x:row r="7404">
      <x:c r="A7404" s="5" t="str">
        <x:v>瞲</x:v>
      </x:c>
      <x:c r="B7404" s="6" t="str">
        <x:v>入</x:v>
      </x:c>
      <x:c r="C7404" s="6" t="str">
        <x:f>IF(B7404="","Needs decision","Ready")</x:f>
        <x:v>Ready</x:v>
      </x:c>
      <x:c r="D7404" s="6" t="str">
        <x:v>入</x:v>
      </x:c>
      <x:c r="E7404" s="6" t="str"/>
      <x:c r="F7404" s="6" t="str">
        <x:v>入聲九屑</x:v>
      </x:c>
      <x:c r="G7404" s="6" t="str">
        <x:v>Pingshui main list, Wikisource-derived DOCX</x:v>
      </x:c>
      <x:c r="H7404" s="6" t="str"/>
      <x:c r="I7404" s="6" t="str">
        <x:v>Pingshui main-list expansion; 詞 entries ignored</x:v>
      </x:c>
      <x:c r="J7404" s="6" t="str">
        <x:f>IF(B7404="","",IF(AND(ISNUMBER(SEARCH("平",B7404)),OR(ISNUMBER(SEARCH("上",B7404)),ISNUMBER(SEARCH("去",B7404)),ISNUMBER(SEARCH("入",B7404)))),"Ambiguous",IF(ISNUMBER(SEARCH("平",B7404)),"平","仄")))</x:f>
        <x:v>仄</x:v>
      </x:c>
      <x:c r="K7404" s="6" t="str">
        <x:f>IF(D7404="","",IF(AND(ISNUMBER(SEARCH("平",D7404)),OR(ISNUMBER(SEARCH("上",D7404)),ISNUMBER(SEARCH("去",D7404)),ISNUMBER(SEARCH("入",D7404)))),"Ambiguous",IF(ISNUMBER(SEARCH("平",D7404)),"平","仄")))</x:f>
        <x:v>仄</x:v>
      </x:c>
      <x:c r="L7404" s="7" t="str">
        <x:v>Pingshui main list expansion</x:v>
      </x:c>
    </x:row>
    <x:row r="7405">
      <x:c r="A7405" s="5" t="str">
        <x:v>瞴</x:v>
      </x:c>
      <x:c r="B7405" s="6" t="str">
        <x:v>上</x:v>
      </x:c>
      <x:c r="C7405" s="6" t="str">
        <x:f>IF(B7405="","Needs decision","Ready")</x:f>
        <x:v>Ready</x:v>
      </x:c>
      <x:c r="D7405" s="6" t="str">
        <x:v>上</x:v>
      </x:c>
      <x:c r="E7405" s="6" t="str"/>
      <x:c r="F7405" s="6" t="str">
        <x:v>上聲七麌</x:v>
      </x:c>
      <x:c r="G7405" s="6" t="str">
        <x:v>Pingshui main list, Wikisource-derived DOCX</x:v>
      </x:c>
      <x:c r="H7405" s="6" t="str"/>
      <x:c r="I7405" s="6" t="str">
        <x:v>Pingshui main-list expansion; 詞 entries ignored</x:v>
      </x:c>
      <x:c r="J7405" s="6" t="str">
        <x:f>IF(B7405="","",IF(AND(ISNUMBER(SEARCH("平",B7405)),OR(ISNUMBER(SEARCH("上",B7405)),ISNUMBER(SEARCH("去",B7405)),ISNUMBER(SEARCH("入",B7405)))),"Ambiguous",IF(ISNUMBER(SEARCH("平",B7405)),"平","仄")))</x:f>
        <x:v>仄</x:v>
      </x:c>
      <x:c r="K7405" s="6" t="str">
        <x:f>IF(D7405="","",IF(AND(ISNUMBER(SEARCH("平",D7405)),OR(ISNUMBER(SEARCH("上",D7405)),ISNUMBER(SEARCH("去",D7405)),ISNUMBER(SEARCH("入",D7405)))),"Ambiguous",IF(ISNUMBER(SEARCH("平",D7405)),"平","仄")))</x:f>
        <x:v>仄</x:v>
      </x:c>
      <x:c r="L7405" s="7" t="str">
        <x:v>Pingshui main list expansion</x:v>
      </x:c>
    </x:row>
    <x:row r="7406">
      <x:c r="A7406" s="5" t="str">
        <x:v>瞵</x:v>
      </x:c>
      <x:c r="B7406" s="6" t="str"/>
      <x:c r="C7406" s="6" t="str">
        <x:f>IF(B7406="","Needs decision","Ready")</x:f>
        <x:v>Needs decision</x:v>
      </x:c>
      <x:c r="D7406" s="6" t="str">
        <x:v>平/去</x:v>
      </x:c>
      <x:c r="E7406" s="6" t="str"/>
      <x:c r="F7406" s="6" t="str">
        <x:v>上平聲十一真; 去聲十二震</x:v>
      </x:c>
      <x:c r="G7406" s="6" t="str">
        <x:v>Pingshui main list, Wikisource-derived DOCX</x:v>
      </x:c>
      <x:c r="H7406" s="6" t="str"/>
      <x:c r="I7406" s="6" t="str">
        <x:v>Pingshui main-list expansion; 詞 entries ignored</x:v>
      </x:c>
      <x:c r="J7406" s="6" t="str">
        <x:f>IF(B7406="","",IF(AND(ISNUMBER(SEARCH("平",B7406)),OR(ISNUMBER(SEARCH("上",B7406)),ISNUMBER(SEARCH("去",B7406)),ISNUMBER(SEARCH("入",B7406)))),"Ambiguous",IF(ISNUMBER(SEARCH("平",B7406)),"平","仄")))</x:f>
      </x:c>
      <x:c r="K7406" s="6" t="str">
        <x:f>IF(D7406="","",IF(AND(ISNUMBER(SEARCH("平",D7406)),OR(ISNUMBER(SEARCH("上",D7406)),ISNUMBER(SEARCH("去",D7406)),ISNUMBER(SEARCH("入",D7406)))),"Ambiguous",IF(ISNUMBER(SEARCH("平",D7406)),"平","仄")))</x:f>
        <x:v>Ambiguous</x:v>
      </x:c>
      <x:c r="L7406" s="7" t="str">
        <x:v>Pingshui main list expansion</x:v>
      </x:c>
    </x:row>
    <x:row r="7407">
      <x:c r="A7407" s="5" t="str">
        <x:v>瞶</x:v>
      </x:c>
      <x:c r="B7407" s="6" t="str">
        <x:v>去</x:v>
      </x:c>
      <x:c r="C7407" s="6" t="str">
        <x:f>IF(B7407="","Needs decision","Ready")</x:f>
        <x:v>Ready</x:v>
      </x:c>
      <x:c r="D7407" s="6" t="str">
        <x:v>去</x:v>
      </x:c>
      <x:c r="E7407" s="6" t="str"/>
      <x:c r="F7407" s="6" t="str">
        <x:v>去聲十卦</x:v>
      </x:c>
      <x:c r="G7407" s="6" t="str">
        <x:v>Pingshui main list, Wikisource-derived DOCX</x:v>
      </x:c>
      <x:c r="H7407" s="6" t="str"/>
      <x:c r="I7407" s="6" t="str">
        <x:v>Pingshui main-list expansion; 詞 entries ignored</x:v>
      </x:c>
      <x:c r="J7407" s="6" t="str">
        <x:f>IF(B7407="","",IF(AND(ISNUMBER(SEARCH("平",B7407)),OR(ISNUMBER(SEARCH("上",B7407)),ISNUMBER(SEARCH("去",B7407)),ISNUMBER(SEARCH("入",B7407)))),"Ambiguous",IF(ISNUMBER(SEARCH("平",B7407)),"平","仄")))</x:f>
        <x:v>仄</x:v>
      </x:c>
      <x:c r="K7407" s="6" t="str">
        <x:f>IF(D7407="","",IF(AND(ISNUMBER(SEARCH("平",D7407)),OR(ISNUMBER(SEARCH("上",D7407)),ISNUMBER(SEARCH("去",D7407)),ISNUMBER(SEARCH("入",D7407)))),"Ambiguous",IF(ISNUMBER(SEARCH("平",D7407)),"平","仄")))</x:f>
        <x:v>仄</x:v>
      </x:c>
      <x:c r="L7407" s="7" t="str">
        <x:v>Pingshui main list expansion</x:v>
      </x:c>
    </x:row>
    <x:row r="7408">
      <x:c r="A7408" s="5" t="str">
        <x:v>矐</x:v>
      </x:c>
      <x:c r="B7408" s="6" t="str">
        <x:v>入</x:v>
      </x:c>
      <x:c r="C7408" s="6" t="str">
        <x:f>IF(B7408="","Needs decision","Ready")</x:f>
        <x:v>Ready</x:v>
      </x:c>
      <x:c r="D7408" s="6" t="str">
        <x:v>入</x:v>
      </x:c>
      <x:c r="E7408" s="6" t="str"/>
      <x:c r="F7408" s="6" t="str">
        <x:v>入聲十藥</x:v>
      </x:c>
      <x:c r="G7408" s="6" t="str">
        <x:v>Pingshui main list, Wikisource-derived DOCX</x:v>
      </x:c>
      <x:c r="H7408" s="6" t="str"/>
      <x:c r="I7408" s="6" t="str">
        <x:v>Pingshui main-list expansion; 詞 entries ignored</x:v>
      </x:c>
      <x:c r="J7408" s="6" t="str">
        <x:f>IF(B7408="","",IF(AND(ISNUMBER(SEARCH("平",B7408)),OR(ISNUMBER(SEARCH("上",B7408)),ISNUMBER(SEARCH("去",B7408)),ISNUMBER(SEARCH("入",B7408)))),"Ambiguous",IF(ISNUMBER(SEARCH("平",B7408)),"平","仄")))</x:f>
        <x:v>仄</x:v>
      </x:c>
      <x:c r="K7408" s="6" t="str">
        <x:f>IF(D7408="","",IF(AND(ISNUMBER(SEARCH("平",D7408)),OR(ISNUMBER(SEARCH("上",D7408)),ISNUMBER(SEARCH("去",D7408)),ISNUMBER(SEARCH("入",D7408)))),"Ambiguous",IF(ISNUMBER(SEARCH("平",D7408)),"平","仄")))</x:f>
        <x:v>仄</x:v>
      </x:c>
      <x:c r="L7408" s="7" t="str">
        <x:v>Pingshui main list expansion</x:v>
      </x:c>
    </x:row>
    <x:row r="7409">
      <x:c r="A7409" s="5" t="str">
        <x:v>矬</x:v>
      </x:c>
      <x:c r="B7409" s="6" t="str">
        <x:v>平</x:v>
      </x:c>
      <x:c r="C7409" s="6" t="str">
        <x:f>IF(B7409="","Needs decision","Ready")</x:f>
        <x:v>Ready</x:v>
      </x:c>
      <x:c r="D7409" s="6" t="str">
        <x:v>平</x:v>
      </x:c>
      <x:c r="E7409" s="6" t="str"/>
      <x:c r="F7409" s="6" t="str">
        <x:v>下平聲五歌</x:v>
      </x:c>
      <x:c r="G7409" s="6" t="str">
        <x:v>Pingshui main list, Wikisource-derived DOCX</x:v>
      </x:c>
      <x:c r="H7409" s="6" t="str"/>
      <x:c r="I7409" s="6" t="str">
        <x:v>Pingshui main-list expansion; 詞 entries ignored</x:v>
      </x:c>
      <x:c r="J7409" s="6" t="str">
        <x:f>IF(B7409="","",IF(AND(ISNUMBER(SEARCH("平",B7409)),OR(ISNUMBER(SEARCH("上",B7409)),ISNUMBER(SEARCH("去",B7409)),ISNUMBER(SEARCH("入",B7409)))),"Ambiguous",IF(ISNUMBER(SEARCH("平",B7409)),"平","仄")))</x:f>
        <x:v>平</x:v>
      </x:c>
      <x:c r="K7409" s="6" t="str">
        <x:f>IF(D7409="","",IF(AND(ISNUMBER(SEARCH("平",D7409)),OR(ISNUMBER(SEARCH("上",D7409)),ISNUMBER(SEARCH("去",D7409)),ISNUMBER(SEARCH("入",D7409)))),"Ambiguous",IF(ISNUMBER(SEARCH("平",D7409)),"平","仄")))</x:f>
        <x:v>平</x:v>
      </x:c>
      <x:c r="L7409" s="7" t="str">
        <x:v>Pingshui main list expansion</x:v>
      </x:c>
    </x:row>
    <x:row r="7410">
      <x:c r="A7410" s="5" t="str">
        <x:v>矮</x:v>
      </x:c>
      <x:c r="B7410" s="6" t="str">
        <x:v>上</x:v>
      </x:c>
      <x:c r="C7410" s="6" t="str">
        <x:f>IF(B7410="","Needs decision","Ready")</x:f>
        <x:v>Ready</x:v>
      </x:c>
      <x:c r="D7410" s="6" t="str">
        <x:v>上</x:v>
      </x:c>
      <x:c r="E7410" s="6" t="str"/>
      <x:c r="F7410" s="6" t="str">
        <x:v>上聲九蟹</x:v>
      </x:c>
      <x:c r="G7410" s="6" t="str">
        <x:v>Pingshui main list, Wikisource-derived DOCX</x:v>
      </x:c>
      <x:c r="H7410" s="6" t="str"/>
      <x:c r="I7410" s="6" t="str">
        <x:v>Pingshui main-list expansion; 詞 entries ignored</x:v>
      </x:c>
      <x:c r="J7410" s="6" t="str">
        <x:f>IF(B7410="","",IF(AND(ISNUMBER(SEARCH("平",B7410)),OR(ISNUMBER(SEARCH("上",B7410)),ISNUMBER(SEARCH("去",B7410)),ISNUMBER(SEARCH("入",B7410)))),"Ambiguous",IF(ISNUMBER(SEARCH("平",B7410)),"平","仄")))</x:f>
        <x:v>仄</x:v>
      </x:c>
      <x:c r="K7410" s="6" t="str">
        <x:f>IF(D7410="","",IF(AND(ISNUMBER(SEARCH("平",D7410)),OR(ISNUMBER(SEARCH("上",D7410)),ISNUMBER(SEARCH("去",D7410)),ISNUMBER(SEARCH("入",D7410)))),"Ambiguous",IF(ISNUMBER(SEARCH("平",D7410)),"平","仄")))</x:f>
        <x:v>仄</x:v>
      </x:c>
      <x:c r="L7410" s="7" t="str">
        <x:v>Pingshui main list expansion</x:v>
      </x:c>
    </x:row>
    <x:row r="7411">
      <x:c r="A7411" s="5" t="str">
        <x:v>矹</x:v>
      </x:c>
      <x:c r="B7411" s="6" t="str">
        <x:v>入</x:v>
      </x:c>
      <x:c r="C7411" s="6" t="str">
        <x:f>IF(B7411="","Needs decision","Ready")</x:f>
        <x:v>Ready</x:v>
      </x:c>
      <x:c r="D7411" s="6" t="str">
        <x:v>入</x:v>
      </x:c>
      <x:c r="E7411" s="6" t="str"/>
      <x:c r="F7411" s="6" t="str">
        <x:v>入聲六月</x:v>
      </x:c>
      <x:c r="G7411" s="6" t="str">
        <x:v>Pingshui main list, Wikisource-derived DOCX</x:v>
      </x:c>
      <x:c r="H7411" s="6" t="str"/>
      <x:c r="I7411" s="6" t="str">
        <x:v>Pingshui main-list expansion; 詞 entries ignored</x:v>
      </x:c>
      <x:c r="J7411" s="6" t="str">
        <x:f>IF(B7411="","",IF(AND(ISNUMBER(SEARCH("平",B7411)),OR(ISNUMBER(SEARCH("上",B7411)),ISNUMBER(SEARCH("去",B7411)),ISNUMBER(SEARCH("入",B7411)))),"Ambiguous",IF(ISNUMBER(SEARCH("平",B7411)),"平","仄")))</x:f>
        <x:v>仄</x:v>
      </x:c>
      <x:c r="K7411" s="6" t="str">
        <x:f>IF(D7411="","",IF(AND(ISNUMBER(SEARCH("平",D7411)),OR(ISNUMBER(SEARCH("上",D7411)),ISNUMBER(SEARCH("去",D7411)),ISNUMBER(SEARCH("入",D7411)))),"Ambiguous",IF(ISNUMBER(SEARCH("平",D7411)),"平","仄")))</x:f>
        <x:v>仄</x:v>
      </x:c>
      <x:c r="L7411" s="7" t="str">
        <x:v>Pingshui main list expansion</x:v>
      </x:c>
    </x:row>
    <x:row r="7412">
      <x:c r="A7412" s="5" t="str">
        <x:v>矻</x:v>
      </x:c>
      <x:c r="B7412" s="6" t="str">
        <x:v>入</x:v>
      </x:c>
      <x:c r="C7412" s="6" t="str">
        <x:f>IF(B7412="","Needs decision","Ready")</x:f>
        <x:v>Ready</x:v>
      </x:c>
      <x:c r="D7412" s="6" t="str">
        <x:v>入</x:v>
      </x:c>
      <x:c r="E7412" s="6" t="str"/>
      <x:c r="F7412" s="6" t="str">
        <x:v>入聲六月</x:v>
      </x:c>
      <x:c r="G7412" s="6" t="str">
        <x:v>Pingshui main list, Wikisource-derived DOCX</x:v>
      </x:c>
      <x:c r="H7412" s="6" t="str"/>
      <x:c r="I7412" s="6" t="str">
        <x:v>Pingshui main-list expansion; 詞 entries ignored</x:v>
      </x:c>
      <x:c r="J7412" s="6" t="str">
        <x:f>IF(B7412="","",IF(AND(ISNUMBER(SEARCH("平",B7412)),OR(ISNUMBER(SEARCH("上",B7412)),ISNUMBER(SEARCH("去",B7412)),ISNUMBER(SEARCH("入",B7412)))),"Ambiguous",IF(ISNUMBER(SEARCH("平",B7412)),"平","仄")))</x:f>
        <x:v>仄</x:v>
      </x:c>
      <x:c r="K7412" s="6" t="str">
        <x:f>IF(D7412="","",IF(AND(ISNUMBER(SEARCH("平",D7412)),OR(ISNUMBER(SEARCH("上",D7412)),ISNUMBER(SEARCH("去",D7412)),ISNUMBER(SEARCH("入",D7412)))),"Ambiguous",IF(ISNUMBER(SEARCH("平",D7412)),"平","仄")))</x:f>
        <x:v>仄</x:v>
      </x:c>
      <x:c r="L7412" s="7" t="str">
        <x:v>Pingshui main list expansion</x:v>
      </x:c>
    </x:row>
    <x:row r="7413">
      <x:c r="A7413" s="5" t="str">
        <x:v>矼</x:v>
      </x:c>
      <x:c r="B7413" s="6" t="str">
        <x:v>平</x:v>
      </x:c>
      <x:c r="C7413" s="6" t="str">
        <x:f>IF(B7413="","Needs decision","Ready")</x:f>
        <x:v>Ready</x:v>
      </x:c>
      <x:c r="D7413" s="6" t="str">
        <x:v>平</x:v>
      </x:c>
      <x:c r="E7413" s="6" t="str"/>
      <x:c r="F7413" s="6" t="str">
        <x:v>上平聲三江</x:v>
      </x:c>
      <x:c r="G7413" s="6" t="str">
        <x:v>Pingshui main list, Wikisource-derived DOCX</x:v>
      </x:c>
      <x:c r="H7413" s="6" t="str"/>
      <x:c r="I7413" s="6" t="str">
        <x:v>Pingshui main-list expansion; 詞 entries ignored</x:v>
      </x:c>
      <x:c r="J7413" s="6" t="str">
        <x:f>IF(B7413="","",IF(AND(ISNUMBER(SEARCH("平",B7413)),OR(ISNUMBER(SEARCH("上",B7413)),ISNUMBER(SEARCH("去",B7413)),ISNUMBER(SEARCH("入",B7413)))),"Ambiguous",IF(ISNUMBER(SEARCH("平",B7413)),"平","仄")))</x:f>
        <x:v>平</x:v>
      </x:c>
      <x:c r="K7413" s="6" t="str">
        <x:f>IF(D7413="","",IF(AND(ISNUMBER(SEARCH("平",D7413)),OR(ISNUMBER(SEARCH("上",D7413)),ISNUMBER(SEARCH("去",D7413)),ISNUMBER(SEARCH("入",D7413)))),"Ambiguous",IF(ISNUMBER(SEARCH("平",D7413)),"平","仄")))</x:f>
        <x:v>平</x:v>
      </x:c>
      <x:c r="L7413" s="7" t="str">
        <x:v>Pingshui main list expansion</x:v>
      </x:c>
    </x:row>
    <x:row r="7414">
      <x:c r="A7414" s="5" t="str">
        <x:v>砅</x:v>
      </x:c>
      <x:c r="B7414" s="6" t="str"/>
      <x:c r="C7414" s="6" t="str">
        <x:f>IF(B7414="","Needs decision","Ready")</x:f>
        <x:v>Needs decision</x:v>
      </x:c>
      <x:c r="D7414" s="6" t="str">
        <x:v>平/去</x:v>
      </x:c>
      <x:c r="E7414" s="6" t="str"/>
      <x:c r="F7414" s="6" t="str">
        <x:v>下平聲十蒸; 去聲八霽</x:v>
      </x:c>
      <x:c r="G7414" s="6" t="str">
        <x:v>Pingshui main list, Wikisource-derived DOCX</x:v>
      </x:c>
      <x:c r="H7414" s="6" t="str"/>
      <x:c r="I7414" s="6" t="str">
        <x:v>Pingshui main-list expansion; 詞 entries ignored</x:v>
      </x:c>
      <x:c r="J7414" s="6" t="str">
        <x:f>IF(B7414="","",IF(AND(ISNUMBER(SEARCH("平",B7414)),OR(ISNUMBER(SEARCH("上",B7414)),ISNUMBER(SEARCH("去",B7414)),ISNUMBER(SEARCH("入",B7414)))),"Ambiguous",IF(ISNUMBER(SEARCH("平",B7414)),"平","仄")))</x:f>
      </x:c>
      <x:c r="K7414" s="6" t="str">
        <x:f>IF(D7414="","",IF(AND(ISNUMBER(SEARCH("平",D7414)),OR(ISNUMBER(SEARCH("上",D7414)),ISNUMBER(SEARCH("去",D7414)),ISNUMBER(SEARCH("入",D7414)))),"Ambiguous",IF(ISNUMBER(SEARCH("平",D7414)),"平","仄")))</x:f>
        <x:v>Ambiguous</x:v>
      </x:c>
      <x:c r="L7414" s="7" t="str">
        <x:v>Pingshui main list expansion</x:v>
      </x:c>
    </x:row>
    <x:row r="7415">
      <x:c r="A7415" s="5" t="str">
        <x:v>砉</x:v>
      </x:c>
      <x:c r="B7415" s="6" t="str">
        <x:v>入</x:v>
      </x:c>
      <x:c r="C7415" s="6" t="str">
        <x:f>IF(B7415="","Needs decision","Ready")</x:f>
        <x:v>Ready</x:v>
      </x:c>
      <x:c r="D7415" s="6" t="str">
        <x:v>入</x:v>
      </x:c>
      <x:c r="E7415" s="6" t="str"/>
      <x:c r="F7415" s="6" t="str">
        <x:v>入聲十一陌; 入聲十二錫</x:v>
      </x:c>
      <x:c r="G7415" s="6" t="str">
        <x:v>Pingshui main list, Wikisource-derived DOCX</x:v>
      </x:c>
      <x:c r="H7415" s="6" t="str"/>
      <x:c r="I7415" s="6" t="str">
        <x:v>Pingshui main-list expansion; 詞 entries ignored</x:v>
      </x:c>
      <x:c r="J7415" s="6" t="str">
        <x:f>IF(B7415="","",IF(AND(ISNUMBER(SEARCH("平",B7415)),OR(ISNUMBER(SEARCH("上",B7415)),ISNUMBER(SEARCH("去",B7415)),ISNUMBER(SEARCH("入",B7415)))),"Ambiguous",IF(ISNUMBER(SEARCH("平",B7415)),"平","仄")))</x:f>
        <x:v>仄</x:v>
      </x:c>
      <x:c r="K7415" s="6" t="str">
        <x:f>IF(D7415="","",IF(AND(ISNUMBER(SEARCH("平",D7415)),OR(ISNUMBER(SEARCH("上",D7415)),ISNUMBER(SEARCH("去",D7415)),ISNUMBER(SEARCH("入",D7415)))),"Ambiguous",IF(ISNUMBER(SEARCH("平",D7415)),"平","仄")))</x:f>
        <x:v>仄</x:v>
      </x:c>
      <x:c r="L7415" s="7" t="str">
        <x:v>Pingshui main list expansion</x:v>
      </x:c>
    </x:row>
    <x:row r="7416">
      <x:c r="A7416" s="5" t="str">
        <x:v>砎</x:v>
      </x:c>
      <x:c r="B7416" s="6" t="str">
        <x:v>入</x:v>
      </x:c>
      <x:c r="C7416" s="6" t="str">
        <x:f>IF(B7416="","Needs decision","Ready")</x:f>
        <x:v>Ready</x:v>
      </x:c>
      <x:c r="D7416" s="6" t="str">
        <x:v>入</x:v>
      </x:c>
      <x:c r="E7416" s="6" t="str"/>
      <x:c r="F7416" s="6" t="str">
        <x:v>入聲八黠</x:v>
      </x:c>
      <x:c r="G7416" s="6" t="str">
        <x:v>Pingshui main list, Wikisource-derived DOCX</x:v>
      </x:c>
      <x:c r="H7416" s="6" t="str"/>
      <x:c r="I7416" s="6" t="str">
        <x:v>Pingshui main-list expansion; 詞 entries ignored</x:v>
      </x:c>
      <x:c r="J7416" s="6" t="str">
        <x:f>IF(B7416="","",IF(AND(ISNUMBER(SEARCH("平",B7416)),OR(ISNUMBER(SEARCH("上",B7416)),ISNUMBER(SEARCH("去",B7416)),ISNUMBER(SEARCH("入",B7416)))),"Ambiguous",IF(ISNUMBER(SEARCH("平",B7416)),"平","仄")))</x:f>
        <x:v>仄</x:v>
      </x:c>
      <x:c r="K7416" s="6" t="str">
        <x:f>IF(D7416="","",IF(AND(ISNUMBER(SEARCH("平",D7416)),OR(ISNUMBER(SEARCH("上",D7416)),ISNUMBER(SEARCH("去",D7416)),ISNUMBER(SEARCH("入",D7416)))),"Ambiguous",IF(ISNUMBER(SEARCH("平",D7416)),"平","仄")))</x:f>
        <x:v>仄</x:v>
      </x:c>
      <x:c r="L7416" s="7" t="str">
        <x:v>Pingshui main list expansion</x:v>
      </x:c>
    </x:row>
    <x:row r="7417">
      <x:c r="A7417" s="5" t="str">
        <x:v>砑</x:v>
      </x:c>
      <x:c r="B7417" s="6" t="str">
        <x:v>去</x:v>
      </x:c>
      <x:c r="C7417" s="6" t="str">
        <x:f>IF(B7417="","Needs decision","Ready")</x:f>
        <x:v>Ready</x:v>
      </x:c>
      <x:c r="D7417" s="6" t="str">
        <x:v>去</x:v>
      </x:c>
      <x:c r="E7417" s="6" t="str"/>
      <x:c r="F7417" s="6" t="str">
        <x:v>去聲二十二禡</x:v>
      </x:c>
      <x:c r="G7417" s="6" t="str">
        <x:v>Pingshui main list, Wikisource-derived DOCX</x:v>
      </x:c>
      <x:c r="H7417" s="6" t="str"/>
      <x:c r="I7417" s="6" t="str">
        <x:v>Pingshui main-list expansion; 詞 entries ignored</x:v>
      </x:c>
      <x:c r="J7417" s="6" t="str">
        <x:f>IF(B7417="","",IF(AND(ISNUMBER(SEARCH("平",B7417)),OR(ISNUMBER(SEARCH("上",B7417)),ISNUMBER(SEARCH("去",B7417)),ISNUMBER(SEARCH("入",B7417)))),"Ambiguous",IF(ISNUMBER(SEARCH("平",B7417)),"平","仄")))</x:f>
        <x:v>仄</x:v>
      </x:c>
      <x:c r="K7417" s="6" t="str">
        <x:f>IF(D7417="","",IF(AND(ISNUMBER(SEARCH("平",D7417)),OR(ISNUMBER(SEARCH("上",D7417)),ISNUMBER(SEARCH("去",D7417)),ISNUMBER(SEARCH("入",D7417)))),"Ambiguous",IF(ISNUMBER(SEARCH("平",D7417)),"平","仄")))</x:f>
        <x:v>仄</x:v>
      </x:c>
      <x:c r="L7417" s="7" t="str">
        <x:v>Pingshui main list expansion</x:v>
      </x:c>
    </x:row>
    <x:row r="7418">
      <x:c r="A7418" s="5" t="str">
        <x:v>砦</x:v>
      </x:c>
      <x:c r="B7418" s="6" t="str">
        <x:v>去</x:v>
      </x:c>
      <x:c r="C7418" s="6" t="str">
        <x:f>IF(B7418="","Needs decision","Ready")</x:f>
        <x:v>Ready</x:v>
      </x:c>
      <x:c r="D7418" s="6" t="str">
        <x:v>去</x:v>
      </x:c>
      <x:c r="E7418" s="6" t="str"/>
      <x:c r="F7418" s="6" t="str">
        <x:v>去聲十卦</x:v>
      </x:c>
      <x:c r="G7418" s="6" t="str">
        <x:v>Pingshui main list, Wikisource-derived DOCX</x:v>
      </x:c>
      <x:c r="H7418" s="6" t="str"/>
      <x:c r="I7418" s="6" t="str">
        <x:v>Pingshui main-list expansion; 詞 entries ignored</x:v>
      </x:c>
      <x:c r="J7418" s="6" t="str">
        <x:f>IF(B7418="","",IF(AND(ISNUMBER(SEARCH("平",B7418)),OR(ISNUMBER(SEARCH("上",B7418)),ISNUMBER(SEARCH("去",B7418)),ISNUMBER(SEARCH("入",B7418)))),"Ambiguous",IF(ISNUMBER(SEARCH("平",B7418)),"平","仄")))</x:f>
        <x:v>仄</x:v>
      </x:c>
      <x:c r="K7418" s="6" t="str">
        <x:f>IF(D7418="","",IF(AND(ISNUMBER(SEARCH("平",D7418)),OR(ISNUMBER(SEARCH("上",D7418)),ISNUMBER(SEARCH("去",D7418)),ISNUMBER(SEARCH("入",D7418)))),"Ambiguous",IF(ISNUMBER(SEARCH("平",D7418)),"平","仄")))</x:f>
        <x:v>仄</x:v>
      </x:c>
      <x:c r="L7418" s="7" t="str">
        <x:v>Pingshui main list expansion</x:v>
      </x:c>
    </x:row>
    <x:row r="7419">
      <x:c r="A7419" s="5" t="str">
        <x:v>砮</x:v>
      </x:c>
      <x:c r="B7419" s="6" t="str"/>
      <x:c r="C7419" s="6" t="str">
        <x:f>IF(B7419="","Needs decision","Ready")</x:f>
        <x:v>Needs decision</x:v>
      </x:c>
      <x:c r="D7419" s="6" t="str">
        <x:v>平/上</x:v>
      </x:c>
      <x:c r="E7419" s="6" t="str"/>
      <x:c r="F7419" s="6" t="str">
        <x:v>上平聲七虞; 上聲七麌</x:v>
      </x:c>
      <x:c r="G7419" s="6" t="str">
        <x:v>Pingshui main list, Wikisource-derived DOCX</x:v>
      </x:c>
      <x:c r="H7419" s="6" t="str"/>
      <x:c r="I7419" s="6" t="str">
        <x:v>Pingshui main-list expansion; 詞 entries ignored</x:v>
      </x:c>
      <x:c r="J7419" s="6" t="str">
        <x:f>IF(B7419="","",IF(AND(ISNUMBER(SEARCH("平",B7419)),OR(ISNUMBER(SEARCH("上",B7419)),ISNUMBER(SEARCH("去",B7419)),ISNUMBER(SEARCH("入",B7419)))),"Ambiguous",IF(ISNUMBER(SEARCH("平",B7419)),"平","仄")))</x:f>
      </x:c>
      <x:c r="K7419" s="6" t="str">
        <x:f>IF(D7419="","",IF(AND(ISNUMBER(SEARCH("平",D7419)),OR(ISNUMBER(SEARCH("上",D7419)),ISNUMBER(SEARCH("去",D7419)),ISNUMBER(SEARCH("入",D7419)))),"Ambiguous",IF(ISNUMBER(SEARCH("平",D7419)),"平","仄")))</x:f>
        <x:v>Ambiguous</x:v>
      </x:c>
      <x:c r="L7419" s="7" t="str">
        <x:v>Pingshui main list expansion</x:v>
      </x:c>
    </x:row>
    <x:row r="7420">
      <x:c r="A7420" s="5" t="str">
        <x:v>硉</x:v>
      </x:c>
      <x:c r="B7420" s="6" t="str">
        <x:v>入</x:v>
      </x:c>
      <x:c r="C7420" s="6" t="str">
        <x:f>IF(B7420="","Needs decision","Ready")</x:f>
        <x:v>Ready</x:v>
      </x:c>
      <x:c r="D7420" s="6" t="str">
        <x:v>入</x:v>
      </x:c>
      <x:c r="E7420" s="6" t="str"/>
      <x:c r="F7420" s="6" t="str">
        <x:v>入聲六月</x:v>
      </x:c>
      <x:c r="G7420" s="6" t="str">
        <x:v>Pingshui main list, Wikisource-derived DOCX</x:v>
      </x:c>
      <x:c r="H7420" s="6" t="str"/>
      <x:c r="I7420" s="6" t="str">
        <x:v>Pingshui main-list expansion; 詞 entries ignored</x:v>
      </x:c>
      <x:c r="J7420" s="6" t="str">
        <x:f>IF(B7420="","",IF(AND(ISNUMBER(SEARCH("平",B7420)),OR(ISNUMBER(SEARCH("上",B7420)),ISNUMBER(SEARCH("去",B7420)),ISNUMBER(SEARCH("入",B7420)))),"Ambiguous",IF(ISNUMBER(SEARCH("平",B7420)),"平","仄")))</x:f>
        <x:v>仄</x:v>
      </x:c>
      <x:c r="K7420" s="6" t="str">
        <x:f>IF(D7420="","",IF(AND(ISNUMBER(SEARCH("平",D7420)),OR(ISNUMBER(SEARCH("上",D7420)),ISNUMBER(SEARCH("去",D7420)),ISNUMBER(SEARCH("入",D7420)))),"Ambiguous",IF(ISNUMBER(SEARCH("平",D7420)),"平","仄")))</x:f>
        <x:v>仄</x:v>
      </x:c>
      <x:c r="L7420" s="7" t="str">
        <x:v>Pingshui main list expansion</x:v>
      </x:c>
    </x:row>
    <x:row r="7421">
      <x:c r="A7421" s="5" t="str">
        <x:v>硐</x:v>
      </x:c>
      <x:c r="B7421" s="6" t="str">
        <x:v>上</x:v>
      </x:c>
      <x:c r="C7421" s="6" t="str">
        <x:f>IF(B7421="","Needs decision","Ready")</x:f>
        <x:v>Ready</x:v>
      </x:c>
      <x:c r="D7421" s="6" t="str">
        <x:v>上</x:v>
      </x:c>
      <x:c r="E7421" s="6" t="str"/>
      <x:c r="F7421" s="6" t="str">
        <x:v>上聲一董</x:v>
      </x:c>
      <x:c r="G7421" s="6" t="str">
        <x:v>Pingshui main list, Wikisource-derived DOCX</x:v>
      </x:c>
      <x:c r="H7421" s="6" t="str"/>
      <x:c r="I7421" s="6" t="str">
        <x:v>Pingshui main-list expansion; 詞 entries ignored</x:v>
      </x:c>
      <x:c r="J7421" s="6" t="str">
        <x:f>IF(B7421="","",IF(AND(ISNUMBER(SEARCH("平",B7421)),OR(ISNUMBER(SEARCH("上",B7421)),ISNUMBER(SEARCH("去",B7421)),ISNUMBER(SEARCH("入",B7421)))),"Ambiguous",IF(ISNUMBER(SEARCH("平",B7421)),"平","仄")))</x:f>
        <x:v>仄</x:v>
      </x:c>
      <x:c r="K7421" s="6" t="str">
        <x:f>IF(D7421="","",IF(AND(ISNUMBER(SEARCH("平",D7421)),OR(ISNUMBER(SEARCH("上",D7421)),ISNUMBER(SEARCH("去",D7421)),ISNUMBER(SEARCH("入",D7421)))),"Ambiguous",IF(ISNUMBER(SEARCH("平",D7421)),"平","仄")))</x:f>
        <x:v>仄</x:v>
      </x:c>
      <x:c r="L7421" s="7" t="str">
        <x:v>Pingshui main list expansion</x:v>
      </x:c>
    </x:row>
    <x:row r="7422">
      <x:c r="A7422" s="5" t="str">
        <x:v>硜</x:v>
      </x:c>
      <x:c r="B7422" s="6" t="str">
        <x:v>平</x:v>
      </x:c>
      <x:c r="C7422" s="6" t="str">
        <x:f>IF(B7422="","Needs decision","Ready")</x:f>
        <x:v>Ready</x:v>
      </x:c>
      <x:c r="D7422" s="6" t="str">
        <x:v>平</x:v>
      </x:c>
      <x:c r="E7422" s="6" t="str"/>
      <x:c r="F7422" s="6" t="str">
        <x:v>下平聲八庚</x:v>
      </x:c>
      <x:c r="G7422" s="6" t="str">
        <x:v>Pingshui main list, Wikisource-derived DOCX</x:v>
      </x:c>
      <x:c r="H7422" s="6" t="str"/>
      <x:c r="I7422" s="6" t="str">
        <x:v>Pingshui main-list expansion; 詞 entries ignored</x:v>
      </x:c>
      <x:c r="J7422" s="6" t="str">
        <x:f>IF(B7422="","",IF(AND(ISNUMBER(SEARCH("平",B7422)),OR(ISNUMBER(SEARCH("上",B7422)),ISNUMBER(SEARCH("去",B7422)),ISNUMBER(SEARCH("入",B7422)))),"Ambiguous",IF(ISNUMBER(SEARCH("平",B7422)),"平","仄")))</x:f>
        <x:v>平</x:v>
      </x:c>
      <x:c r="K7422" s="6" t="str">
        <x:f>IF(D7422="","",IF(AND(ISNUMBER(SEARCH("平",D7422)),OR(ISNUMBER(SEARCH("上",D7422)),ISNUMBER(SEARCH("去",D7422)),ISNUMBER(SEARCH("入",D7422)))),"Ambiguous",IF(ISNUMBER(SEARCH("平",D7422)),"平","仄")))</x:f>
        <x:v>平</x:v>
      </x:c>
      <x:c r="L7422" s="7" t="str">
        <x:v>Pingshui main list expansion</x:v>
      </x:c>
    </x:row>
    <x:row r="7423">
      <x:c r="A7423" s="5" t="str">
        <x:v>硝</x:v>
      </x:c>
      <x:c r="B7423" s="6" t="str">
        <x:v>平</x:v>
      </x:c>
      <x:c r="C7423" s="6" t="str">
        <x:f>IF(B7423="","Needs decision","Ready")</x:f>
        <x:v>Ready</x:v>
      </x:c>
      <x:c r="D7423" s="6" t="str">
        <x:v>平</x:v>
      </x:c>
      <x:c r="E7423" s="6" t="str"/>
      <x:c r="F7423" s="6" t="str">
        <x:v>下平聲二蕭</x:v>
      </x:c>
      <x:c r="G7423" s="6" t="str">
        <x:v>Pingshui main list, Wikisource-derived DOCX</x:v>
      </x:c>
      <x:c r="H7423" s="6" t="str"/>
      <x:c r="I7423" s="6" t="str">
        <x:v>Pingshui main-list expansion; 詞 entries ignored</x:v>
      </x:c>
      <x:c r="J7423" s="6" t="str">
        <x:f>IF(B7423="","",IF(AND(ISNUMBER(SEARCH("平",B7423)),OR(ISNUMBER(SEARCH("上",B7423)),ISNUMBER(SEARCH("去",B7423)),ISNUMBER(SEARCH("入",B7423)))),"Ambiguous",IF(ISNUMBER(SEARCH("平",B7423)),"平","仄")))</x:f>
        <x:v>平</x:v>
      </x:c>
      <x:c r="K7423" s="6" t="str">
        <x:f>IF(D7423="","",IF(AND(ISNUMBER(SEARCH("平",D7423)),OR(ISNUMBER(SEARCH("上",D7423)),ISNUMBER(SEARCH("去",D7423)),ISNUMBER(SEARCH("入",D7423)))),"Ambiguous",IF(ISNUMBER(SEARCH("平",D7423)),"平","仄")))</x:f>
        <x:v>平</x:v>
      </x:c>
      <x:c r="L7423" s="7" t="str">
        <x:v>Pingshui main list expansion</x:v>
      </x:c>
    </x:row>
    <x:row r="7424">
      <x:c r="A7424" s="5" t="str">
        <x:v>硞</x:v>
      </x:c>
      <x:c r="B7424" s="6" t="str">
        <x:v>入</x:v>
      </x:c>
      <x:c r="C7424" s="6" t="str">
        <x:f>IF(B7424="","Needs decision","Ready")</x:f>
        <x:v>Ready</x:v>
      </x:c>
      <x:c r="D7424" s="6" t="str">
        <x:v>入</x:v>
      </x:c>
      <x:c r="E7424" s="6" t="str"/>
      <x:c r="F7424" s="6" t="str">
        <x:v>入聲三覺</x:v>
      </x:c>
      <x:c r="G7424" s="6" t="str">
        <x:v>Pingshui main list, Wikisource-derived DOCX</x:v>
      </x:c>
      <x:c r="H7424" s="6" t="str"/>
      <x:c r="I7424" s="6" t="str">
        <x:v>Pingshui main-list expansion; 詞 entries ignored</x:v>
      </x:c>
      <x:c r="J7424" s="6" t="str">
        <x:f>IF(B7424="","",IF(AND(ISNUMBER(SEARCH("平",B7424)),OR(ISNUMBER(SEARCH("上",B7424)),ISNUMBER(SEARCH("去",B7424)),ISNUMBER(SEARCH("入",B7424)))),"Ambiguous",IF(ISNUMBER(SEARCH("平",B7424)),"平","仄")))</x:f>
        <x:v>仄</x:v>
      </x:c>
      <x:c r="K7424" s="6" t="str">
        <x:f>IF(D7424="","",IF(AND(ISNUMBER(SEARCH("平",D7424)),OR(ISNUMBER(SEARCH("上",D7424)),ISNUMBER(SEARCH("去",D7424)),ISNUMBER(SEARCH("入",D7424)))),"Ambiguous",IF(ISNUMBER(SEARCH("平",D7424)),"平","仄")))</x:f>
        <x:v>仄</x:v>
      </x:c>
      <x:c r="L7424" s="7" t="str">
        <x:v>Pingshui main list expansion</x:v>
      </x:c>
    </x:row>
    <x:row r="7425">
      <x:c r="A7425" s="5" t="str">
        <x:v>硠</x:v>
      </x:c>
      <x:c r="B7425" s="6" t="str">
        <x:v>平</x:v>
      </x:c>
      <x:c r="C7425" s="6" t="str">
        <x:f>IF(B7425="","Needs decision","Ready")</x:f>
        <x:v>Ready</x:v>
      </x:c>
      <x:c r="D7425" s="6" t="str">
        <x:v>平</x:v>
      </x:c>
      <x:c r="E7425" s="6" t="str"/>
      <x:c r="F7425" s="6" t="str">
        <x:v>下平聲七陽</x:v>
      </x:c>
      <x:c r="G7425" s="6" t="str">
        <x:v>Pingshui main list, Wikisource-derived DOCX</x:v>
      </x:c>
      <x:c r="H7425" s="6" t="str"/>
      <x:c r="I7425" s="6" t="str">
        <x:v>Pingshui main-list expansion; 詞 entries ignored</x:v>
      </x:c>
      <x:c r="J7425" s="6" t="str">
        <x:f>IF(B7425="","",IF(AND(ISNUMBER(SEARCH("平",B7425)),OR(ISNUMBER(SEARCH("上",B7425)),ISNUMBER(SEARCH("去",B7425)),ISNUMBER(SEARCH("入",B7425)))),"Ambiguous",IF(ISNUMBER(SEARCH("平",B7425)),"平","仄")))</x:f>
        <x:v>平</x:v>
      </x:c>
      <x:c r="K7425" s="6" t="str">
        <x:f>IF(D7425="","",IF(AND(ISNUMBER(SEARCH("平",D7425)),OR(ISNUMBER(SEARCH("上",D7425)),ISNUMBER(SEARCH("去",D7425)),ISNUMBER(SEARCH("入",D7425)))),"Ambiguous",IF(ISNUMBER(SEARCH("平",D7425)),"平","仄")))</x:f>
        <x:v>平</x:v>
      </x:c>
      <x:c r="L7425" s="7" t="str">
        <x:v>Pingshui main list expansion</x:v>
      </x:c>
    </x:row>
    <x:row r="7426">
      <x:c r="A7426" s="5" t="str">
        <x:v>硤</x:v>
      </x:c>
      <x:c r="B7426" s="6" t="str">
        <x:v>入</x:v>
      </x:c>
      <x:c r="C7426" s="6" t="str">
        <x:f>IF(B7426="","Needs decision","Ready")</x:f>
        <x:v>Ready</x:v>
      </x:c>
      <x:c r="D7426" s="6" t="str">
        <x:v>入</x:v>
      </x:c>
      <x:c r="E7426" s="6" t="str"/>
      <x:c r="F7426" s="6" t="str">
        <x:v>入聲十七洽</x:v>
      </x:c>
      <x:c r="G7426" s="6" t="str">
        <x:v>Pingshui main list, Wikisource-derived DOCX</x:v>
      </x:c>
      <x:c r="H7426" s="6" t="str"/>
      <x:c r="I7426" s="6" t="str">
        <x:v>Pingshui main-list expansion; 詞 entries ignored</x:v>
      </x:c>
      <x:c r="J7426" s="6" t="str">
        <x:f>IF(B7426="","",IF(AND(ISNUMBER(SEARCH("平",B7426)),OR(ISNUMBER(SEARCH("上",B7426)),ISNUMBER(SEARCH("去",B7426)),ISNUMBER(SEARCH("入",B7426)))),"Ambiguous",IF(ISNUMBER(SEARCH("平",B7426)),"平","仄")))</x:f>
        <x:v>仄</x:v>
      </x:c>
      <x:c r="K7426" s="6" t="str">
        <x:f>IF(D7426="","",IF(AND(ISNUMBER(SEARCH("平",D7426)),OR(ISNUMBER(SEARCH("上",D7426)),ISNUMBER(SEARCH("去",D7426)),ISNUMBER(SEARCH("入",D7426)))),"Ambiguous",IF(ISNUMBER(SEARCH("平",D7426)),"平","仄")))</x:f>
        <x:v>仄</x:v>
      </x:c>
      <x:c r="L7426" s="7" t="str">
        <x:v>Pingshui main list expansion</x:v>
      </x:c>
    </x:row>
    <x:row r="7427">
      <x:c r="A7427" s="5" t="str">
        <x:v>硪</x:v>
      </x:c>
      <x:c r="B7427" s="6" t="str"/>
      <x:c r="C7427" s="6" t="str">
        <x:f>IF(B7427="","Needs decision","Ready")</x:f>
        <x:v>Needs decision</x:v>
      </x:c>
      <x:c r="D7427" s="6" t="str">
        <x:v>平/上</x:v>
      </x:c>
      <x:c r="E7427" s="6" t="str"/>
      <x:c r="F7427" s="6" t="str">
        <x:v>下平聲五歌; 上聲二十哿</x:v>
      </x:c>
      <x:c r="G7427" s="6" t="str">
        <x:v>Pingshui main list, Wikisource-derived DOCX</x:v>
      </x:c>
      <x:c r="H7427" s="6" t="str"/>
      <x:c r="I7427" s="6" t="str">
        <x:v>Pingshui main-list expansion; 詞 entries ignored</x:v>
      </x:c>
      <x:c r="J7427" s="6" t="str">
        <x:f>IF(B7427="","",IF(AND(ISNUMBER(SEARCH("平",B7427)),OR(ISNUMBER(SEARCH("上",B7427)),ISNUMBER(SEARCH("去",B7427)),ISNUMBER(SEARCH("入",B7427)))),"Ambiguous",IF(ISNUMBER(SEARCH("平",B7427)),"平","仄")))</x:f>
      </x:c>
      <x:c r="K7427" s="6" t="str">
        <x:f>IF(D7427="","",IF(AND(ISNUMBER(SEARCH("平",D7427)),OR(ISNUMBER(SEARCH("上",D7427)),ISNUMBER(SEARCH("去",D7427)),ISNUMBER(SEARCH("入",D7427)))),"Ambiguous",IF(ISNUMBER(SEARCH("平",D7427)),"平","仄")))</x:f>
        <x:v>Ambiguous</x:v>
      </x:c>
      <x:c r="L7427" s="7" t="str">
        <x:v>Pingshui main list expansion</x:v>
      </x:c>
    </x:row>
    <x:row r="7428">
      <x:c r="A7428" s="5" t="str">
        <x:v>硬</x:v>
      </x:c>
      <x:c r="B7428" s="6" t="str">
        <x:v>去</x:v>
      </x:c>
      <x:c r="C7428" s="6" t="str">
        <x:f>IF(B7428="","Needs decision","Ready")</x:f>
        <x:v>Ready</x:v>
      </x:c>
      <x:c r="D7428" s="6" t="str">
        <x:v>去</x:v>
      </x:c>
      <x:c r="E7428" s="6" t="str"/>
      <x:c r="F7428" s="6" t="str">
        <x:v>去聲二十四敬</x:v>
      </x:c>
      <x:c r="G7428" s="6" t="str">
        <x:v>Pingshui main list, Wikisource-derived DOCX</x:v>
      </x:c>
      <x:c r="H7428" s="6" t="str"/>
      <x:c r="I7428" s="6" t="str">
        <x:v>Pingshui main-list expansion; 詞 entries ignored</x:v>
      </x:c>
      <x:c r="J7428" s="6" t="str">
        <x:f>IF(B7428="","",IF(AND(ISNUMBER(SEARCH("平",B7428)),OR(ISNUMBER(SEARCH("上",B7428)),ISNUMBER(SEARCH("去",B7428)),ISNUMBER(SEARCH("入",B7428)))),"Ambiguous",IF(ISNUMBER(SEARCH("平",B7428)),"平","仄")))</x:f>
        <x:v>仄</x:v>
      </x:c>
      <x:c r="K7428" s="6" t="str">
        <x:f>IF(D7428="","",IF(AND(ISNUMBER(SEARCH("平",D7428)),OR(ISNUMBER(SEARCH("上",D7428)),ISNUMBER(SEARCH("去",D7428)),ISNUMBER(SEARCH("入",D7428)))),"Ambiguous",IF(ISNUMBER(SEARCH("平",D7428)),"平","仄")))</x:f>
        <x:v>仄</x:v>
      </x:c>
      <x:c r="L7428" s="7" t="str">
        <x:v>Pingshui main list expansion</x:v>
      </x:c>
    </x:row>
    <x:row r="7429">
      <x:c r="A7429" s="5" t="str">
        <x:v>硾</x:v>
      </x:c>
      <x:c r="B7429" s="6" t="str">
        <x:v>去</x:v>
      </x:c>
      <x:c r="C7429" s="6" t="str">
        <x:f>IF(B7429="","Needs decision","Ready")</x:f>
        <x:v>Ready</x:v>
      </x:c>
      <x:c r="D7429" s="6" t="str">
        <x:v>去</x:v>
      </x:c>
      <x:c r="E7429" s="6" t="str"/>
      <x:c r="F7429" s="6" t="str">
        <x:v>去聲四寘</x:v>
      </x:c>
      <x:c r="G7429" s="6" t="str">
        <x:v>Pingshui main list, Wikisource-derived DOCX</x:v>
      </x:c>
      <x:c r="H7429" s="6" t="str"/>
      <x:c r="I7429" s="6" t="str">
        <x:v>Pingshui main-list expansion; 詞 entries ignored</x:v>
      </x:c>
      <x:c r="J7429" s="6" t="str">
        <x:f>IF(B7429="","",IF(AND(ISNUMBER(SEARCH("平",B7429)),OR(ISNUMBER(SEARCH("上",B7429)),ISNUMBER(SEARCH("去",B7429)),ISNUMBER(SEARCH("入",B7429)))),"Ambiguous",IF(ISNUMBER(SEARCH("平",B7429)),"平","仄")))</x:f>
        <x:v>仄</x:v>
      </x:c>
      <x:c r="K7429" s="6" t="str">
        <x:f>IF(D7429="","",IF(AND(ISNUMBER(SEARCH("平",D7429)),OR(ISNUMBER(SEARCH("上",D7429)),ISNUMBER(SEARCH("去",D7429)),ISNUMBER(SEARCH("入",D7429)))),"Ambiguous",IF(ISNUMBER(SEARCH("平",D7429)),"平","仄")))</x:f>
        <x:v>仄</x:v>
      </x:c>
      <x:c r="L7429" s="7" t="str">
        <x:v>Pingshui main list expansion</x:v>
      </x:c>
    </x:row>
    <x:row r="7430">
      <x:c r="A7430" s="5" t="str">
        <x:v>碆</x:v>
      </x:c>
      <x:c r="B7430" s="6" t="str">
        <x:v>平</x:v>
      </x:c>
      <x:c r="C7430" s="6" t="str">
        <x:f>IF(B7430="","Needs decision","Ready")</x:f>
        <x:v>Ready</x:v>
      </x:c>
      <x:c r="D7430" s="6" t="str">
        <x:v>平</x:v>
      </x:c>
      <x:c r="E7430" s="6" t="str"/>
      <x:c r="F7430" s="6" t="str">
        <x:v>下平聲五歌</x:v>
      </x:c>
      <x:c r="G7430" s="6" t="str">
        <x:v>Pingshui main list, Wikisource-derived DOCX</x:v>
      </x:c>
      <x:c r="H7430" s="6" t="str"/>
      <x:c r="I7430" s="6" t="str">
        <x:v>Pingshui main-list expansion; 詞 entries ignored</x:v>
      </x:c>
      <x:c r="J7430" s="6" t="str">
        <x:f>IF(B7430="","",IF(AND(ISNUMBER(SEARCH("平",B7430)),OR(ISNUMBER(SEARCH("上",B7430)),ISNUMBER(SEARCH("去",B7430)),ISNUMBER(SEARCH("入",B7430)))),"Ambiguous",IF(ISNUMBER(SEARCH("平",B7430)),"平","仄")))</x:f>
        <x:v>平</x:v>
      </x:c>
      <x:c r="K7430" s="6" t="str">
        <x:f>IF(D7430="","",IF(AND(ISNUMBER(SEARCH("平",D7430)),OR(ISNUMBER(SEARCH("上",D7430)),ISNUMBER(SEARCH("去",D7430)),ISNUMBER(SEARCH("入",D7430)))),"Ambiguous",IF(ISNUMBER(SEARCH("平",D7430)),"平","仄")))</x:f>
        <x:v>平</x:v>
      </x:c>
      <x:c r="L7430" s="7" t="str">
        <x:v>Pingshui main list expansion</x:v>
      </x:c>
    </x:row>
    <x:row r="7431">
      <x:c r="A7431" s="5" t="str">
        <x:v>碌</x:v>
      </x:c>
      <x:c r="B7431" s="6" t="str">
        <x:v>入</x:v>
      </x:c>
      <x:c r="C7431" s="6" t="str">
        <x:f>IF(B7431="","Needs decision","Ready")</x:f>
        <x:v>Ready</x:v>
      </x:c>
      <x:c r="D7431" s="6" t="str">
        <x:v>入</x:v>
      </x:c>
      <x:c r="E7431" s="6" t="str"/>
      <x:c r="F7431" s="6" t="str">
        <x:v>入聲一屋</x:v>
      </x:c>
      <x:c r="G7431" s="6" t="str">
        <x:v>Pingshui main list, Wikisource-derived DOCX</x:v>
      </x:c>
      <x:c r="H7431" s="6" t="str"/>
      <x:c r="I7431" s="6" t="str">
        <x:v>Pingshui main-list expansion; 詞 entries ignored</x:v>
      </x:c>
      <x:c r="J7431" s="6" t="str">
        <x:f>IF(B7431="","",IF(AND(ISNUMBER(SEARCH("平",B7431)),OR(ISNUMBER(SEARCH("上",B7431)),ISNUMBER(SEARCH("去",B7431)),ISNUMBER(SEARCH("入",B7431)))),"Ambiguous",IF(ISNUMBER(SEARCH("平",B7431)),"平","仄")))</x:f>
        <x:v>仄</x:v>
      </x:c>
      <x:c r="K7431" s="6" t="str">
        <x:f>IF(D7431="","",IF(AND(ISNUMBER(SEARCH("平",D7431)),OR(ISNUMBER(SEARCH("上",D7431)),ISNUMBER(SEARCH("去",D7431)),ISNUMBER(SEARCH("入",D7431)))),"Ambiguous",IF(ISNUMBER(SEARCH("平",D7431)),"平","仄")))</x:f>
        <x:v>仄</x:v>
      </x:c>
      <x:c r="L7431" s="7" t="str">
        <x:v>Pingshui main list expansion</x:v>
      </x:c>
    </x:row>
    <x:row r="7432">
      <x:c r="A7432" s="5" t="str">
        <x:v>碏</x:v>
      </x:c>
      <x:c r="B7432" s="6" t="str">
        <x:v>入</x:v>
      </x:c>
      <x:c r="C7432" s="6" t="str">
        <x:f>IF(B7432="","Needs decision","Ready")</x:f>
        <x:v>Ready</x:v>
      </x:c>
      <x:c r="D7432" s="6" t="str">
        <x:v>入</x:v>
      </x:c>
      <x:c r="E7432" s="6" t="str"/>
      <x:c r="F7432" s="6" t="str">
        <x:v>入聲十藥</x:v>
      </x:c>
      <x:c r="G7432" s="6" t="str">
        <x:v>Pingshui main list, Wikisource-derived DOCX</x:v>
      </x:c>
      <x:c r="H7432" s="6" t="str"/>
      <x:c r="I7432" s="6" t="str">
        <x:v>Pingshui main-list expansion; 詞 entries ignored</x:v>
      </x:c>
      <x:c r="J7432" s="6" t="str">
        <x:f>IF(B7432="","",IF(AND(ISNUMBER(SEARCH("平",B7432)),OR(ISNUMBER(SEARCH("上",B7432)),ISNUMBER(SEARCH("去",B7432)),ISNUMBER(SEARCH("入",B7432)))),"Ambiguous",IF(ISNUMBER(SEARCH("平",B7432)),"平","仄")))</x:f>
        <x:v>仄</x:v>
      </x:c>
      <x:c r="K7432" s="6" t="str">
        <x:f>IF(D7432="","",IF(AND(ISNUMBER(SEARCH("平",D7432)),OR(ISNUMBER(SEARCH("上",D7432)),ISNUMBER(SEARCH("去",D7432)),ISNUMBER(SEARCH("入",D7432)))),"Ambiguous",IF(ISNUMBER(SEARCH("平",D7432)),"平","仄")))</x:f>
        <x:v>仄</x:v>
      </x:c>
      <x:c r="L7432" s="7" t="str">
        <x:v>Pingshui main list expansion</x:v>
      </x:c>
    </x:row>
    <x:row r="7433">
      <x:c r="A7433" s="5" t="str">
        <x:v>碞</x:v>
      </x:c>
      <x:c r="B7433" s="6" t="str">
        <x:v>平</x:v>
      </x:c>
      <x:c r="C7433" s="6" t="str">
        <x:f>IF(B7433="","Needs decision","Ready")</x:f>
        <x:v>Ready</x:v>
      </x:c>
      <x:c r="D7433" s="6" t="str">
        <x:v>平</x:v>
      </x:c>
      <x:c r="E7433" s="6" t="str"/>
      <x:c r="F7433" s="6" t="str">
        <x:v>下平聲十五咸</x:v>
      </x:c>
      <x:c r="G7433" s="6" t="str">
        <x:v>Pingshui main list, Wikisource-derived DOCX</x:v>
      </x:c>
      <x:c r="H7433" s="6" t="str"/>
      <x:c r="I7433" s="6" t="str">
        <x:v>Pingshui main-list expansion; 詞 entries ignored</x:v>
      </x:c>
      <x:c r="J7433" s="6" t="str">
        <x:f>IF(B7433="","",IF(AND(ISNUMBER(SEARCH("平",B7433)),OR(ISNUMBER(SEARCH("上",B7433)),ISNUMBER(SEARCH("去",B7433)),ISNUMBER(SEARCH("入",B7433)))),"Ambiguous",IF(ISNUMBER(SEARCH("平",B7433)),"平","仄")))</x:f>
        <x:v>平</x:v>
      </x:c>
      <x:c r="K7433" s="6" t="str">
        <x:f>IF(D7433="","",IF(AND(ISNUMBER(SEARCH("平",D7433)),OR(ISNUMBER(SEARCH("上",D7433)),ISNUMBER(SEARCH("去",D7433)),ISNUMBER(SEARCH("入",D7433)))),"Ambiguous",IF(ISNUMBER(SEARCH("平",D7433)),"平","仄")))</x:f>
        <x:v>平</x:v>
      </x:c>
      <x:c r="L7433" s="7" t="str">
        <x:v>Pingshui main list expansion</x:v>
      </x:c>
    </x:row>
    <x:row r="7434">
      <x:c r="A7434" s="5" t="str">
        <x:v>碡</x:v>
      </x:c>
      <x:c r="B7434" s="6" t="str">
        <x:v>入</x:v>
      </x:c>
      <x:c r="C7434" s="6" t="str">
        <x:f>IF(B7434="","Needs decision","Ready")</x:f>
        <x:v>Ready</x:v>
      </x:c>
      <x:c r="D7434" s="6" t="str">
        <x:v>入</x:v>
      </x:c>
      <x:c r="E7434" s="6" t="str"/>
      <x:c r="F7434" s="6" t="str">
        <x:v>入聲一屋</x:v>
      </x:c>
      <x:c r="G7434" s="6" t="str">
        <x:v>Pingshui main list, Wikisource-derived DOCX</x:v>
      </x:c>
      <x:c r="H7434" s="6" t="str"/>
      <x:c r="I7434" s="6" t="str">
        <x:v>Pingshui main-list expansion; 詞 entries ignored</x:v>
      </x:c>
      <x:c r="J7434" s="6" t="str">
        <x:f>IF(B7434="","",IF(AND(ISNUMBER(SEARCH("平",B7434)),OR(ISNUMBER(SEARCH("上",B7434)),ISNUMBER(SEARCH("去",B7434)),ISNUMBER(SEARCH("入",B7434)))),"Ambiguous",IF(ISNUMBER(SEARCH("平",B7434)),"平","仄")))</x:f>
        <x:v>仄</x:v>
      </x:c>
      <x:c r="K7434" s="6" t="str">
        <x:f>IF(D7434="","",IF(AND(ISNUMBER(SEARCH("平",D7434)),OR(ISNUMBER(SEARCH("上",D7434)),ISNUMBER(SEARCH("去",D7434)),ISNUMBER(SEARCH("入",D7434)))),"Ambiguous",IF(ISNUMBER(SEARCH("平",D7434)),"平","仄")))</x:f>
        <x:v>仄</x:v>
      </x:c>
      <x:c r="L7434" s="7" t="str">
        <x:v>Pingshui main list expansion</x:v>
      </x:c>
    </x:row>
    <x:row r="7435">
      <x:c r="A7435" s="5" t="str">
        <x:v>碥</x:v>
      </x:c>
      <x:c r="B7435" s="6" t="str">
        <x:v>上</x:v>
      </x:c>
      <x:c r="C7435" s="6" t="str">
        <x:f>IF(B7435="","Needs decision","Ready")</x:f>
        <x:v>Ready</x:v>
      </x:c>
      <x:c r="D7435" s="6" t="str">
        <x:v>上</x:v>
      </x:c>
      <x:c r="E7435" s="6" t="str"/>
      <x:c r="F7435" s="6" t="str">
        <x:v>上聲十六銑</x:v>
      </x:c>
      <x:c r="G7435" s="6" t="str">
        <x:v>Pingshui main list, Wikisource-derived DOCX</x:v>
      </x:c>
      <x:c r="H7435" s="6" t="str"/>
      <x:c r="I7435" s="6" t="str">
        <x:v>Pingshui main-list expansion; 詞 entries ignored</x:v>
      </x:c>
      <x:c r="J7435" s="6" t="str">
        <x:f>IF(B7435="","",IF(AND(ISNUMBER(SEARCH("平",B7435)),OR(ISNUMBER(SEARCH("上",B7435)),ISNUMBER(SEARCH("去",B7435)),ISNUMBER(SEARCH("入",B7435)))),"Ambiguous",IF(ISNUMBER(SEARCH("平",B7435)),"平","仄")))</x:f>
        <x:v>仄</x:v>
      </x:c>
      <x:c r="K7435" s="6" t="str">
        <x:f>IF(D7435="","",IF(AND(ISNUMBER(SEARCH("平",D7435)),OR(ISNUMBER(SEARCH("上",D7435)),ISNUMBER(SEARCH("去",D7435)),ISNUMBER(SEARCH("入",D7435)))),"Ambiguous",IF(ISNUMBER(SEARCH("平",D7435)),"平","仄")))</x:f>
        <x:v>仄</x:v>
      </x:c>
      <x:c r="L7435" s="7" t="str">
        <x:v>Pingshui main list expansion</x:v>
      </x:c>
    </x:row>
    <x:row r="7436">
      <x:c r="A7436" s="5" t="str">
        <x:v>碪</x:v>
      </x:c>
      <x:c r="B7436" s="6" t="str">
        <x:v>平</x:v>
      </x:c>
      <x:c r="C7436" s="6" t="str">
        <x:f>IF(B7436="","Needs decision","Ready")</x:f>
        <x:v>Ready</x:v>
      </x:c>
      <x:c r="D7436" s="6" t="str">
        <x:v>平</x:v>
      </x:c>
      <x:c r="E7436" s="6" t="str"/>
      <x:c r="F7436" s="6" t="str">
        <x:v>下平聲十二侵</x:v>
      </x:c>
      <x:c r="G7436" s="6" t="str">
        <x:v>Pingshui main list, Wikisource-derived DOCX</x:v>
      </x:c>
      <x:c r="H7436" s="6" t="str"/>
      <x:c r="I7436" s="6" t="str">
        <x:v>Pingshui main-list expansion; 詞 entries ignored</x:v>
      </x:c>
      <x:c r="J7436" s="6" t="str">
        <x:f>IF(B7436="","",IF(AND(ISNUMBER(SEARCH("平",B7436)),OR(ISNUMBER(SEARCH("上",B7436)),ISNUMBER(SEARCH("去",B7436)),ISNUMBER(SEARCH("入",B7436)))),"Ambiguous",IF(ISNUMBER(SEARCH("平",B7436)),"平","仄")))</x:f>
        <x:v>平</x:v>
      </x:c>
      <x:c r="K7436" s="6" t="str">
        <x:f>IF(D7436="","",IF(AND(ISNUMBER(SEARCH("平",D7436)),OR(ISNUMBER(SEARCH("上",D7436)),ISNUMBER(SEARCH("去",D7436)),ISNUMBER(SEARCH("入",D7436)))),"Ambiguous",IF(ISNUMBER(SEARCH("平",D7436)),"平","仄")))</x:f>
        <x:v>平</x:v>
      </x:c>
      <x:c r="L7436" s="7" t="str">
        <x:v>Pingshui main list expansion</x:v>
      </x:c>
    </x:row>
    <x:row r="7437">
      <x:c r="A7437" s="5" t="str">
        <x:v>碬</x:v>
      </x:c>
      <x:c r="B7437" s="6" t="str"/>
      <x:c r="C7437" s="6" t="str">
        <x:f>IF(B7437="","Needs decision","Ready")</x:f>
        <x:v>Needs decision</x:v>
      </x:c>
      <x:c r="D7437" s="6" t="str">
        <x:v>平/去</x:v>
      </x:c>
      <x:c r="E7437" s="6" t="str"/>
      <x:c r="F7437" s="6" t="str">
        <x:v>下平聲六麻; 去聲十五翰</x:v>
      </x:c>
      <x:c r="G7437" s="6" t="str">
        <x:v>Pingshui main list, Wikisource-derived DOCX</x:v>
      </x:c>
      <x:c r="H7437" s="6" t="str"/>
      <x:c r="I7437" s="6" t="str">
        <x:v>Pingshui main-list expansion; 詞 entries ignored</x:v>
      </x:c>
      <x:c r="J7437" s="6" t="str">
        <x:f>IF(B7437="","",IF(AND(ISNUMBER(SEARCH("平",B7437)),OR(ISNUMBER(SEARCH("上",B7437)),ISNUMBER(SEARCH("去",B7437)),ISNUMBER(SEARCH("入",B7437)))),"Ambiguous",IF(ISNUMBER(SEARCH("平",B7437)),"平","仄")))</x:f>
      </x:c>
      <x:c r="K7437" s="6" t="str">
        <x:f>IF(D7437="","",IF(AND(ISNUMBER(SEARCH("平",D7437)),OR(ISNUMBER(SEARCH("上",D7437)),ISNUMBER(SEARCH("去",D7437)),ISNUMBER(SEARCH("入",D7437)))),"Ambiguous",IF(ISNUMBER(SEARCH("平",D7437)),"平","仄")))</x:f>
        <x:v>Ambiguous</x:v>
      </x:c>
      <x:c r="L7437" s="7" t="str">
        <x:v>Pingshui main list expansion</x:v>
      </x:c>
    </x:row>
    <x:row r="7438">
      <x:c r="A7438" s="5" t="str">
        <x:v>磄</x:v>
      </x:c>
      <x:c r="B7438" s="6" t="str">
        <x:v>平</x:v>
      </x:c>
      <x:c r="C7438" s="6" t="str">
        <x:f>IF(B7438="","Needs decision","Ready")</x:f>
        <x:v>Ready</x:v>
      </x:c>
      <x:c r="D7438" s="6" t="str">
        <x:v>平</x:v>
      </x:c>
      <x:c r="E7438" s="6" t="str"/>
      <x:c r="F7438" s="6" t="str">
        <x:v>下平聲七陽</x:v>
      </x:c>
      <x:c r="G7438" s="6" t="str">
        <x:v>Pingshui main list, Wikisource-derived DOCX</x:v>
      </x:c>
      <x:c r="H7438" s="6" t="str"/>
      <x:c r="I7438" s="6" t="str">
        <x:v>Pingshui main-list expansion; 詞 entries ignored</x:v>
      </x:c>
      <x:c r="J7438" s="6" t="str">
        <x:f>IF(B7438="","",IF(AND(ISNUMBER(SEARCH("平",B7438)),OR(ISNUMBER(SEARCH("上",B7438)),ISNUMBER(SEARCH("去",B7438)),ISNUMBER(SEARCH("入",B7438)))),"Ambiguous",IF(ISNUMBER(SEARCH("平",B7438)),"平","仄")))</x:f>
        <x:v>平</x:v>
      </x:c>
      <x:c r="K7438" s="6" t="str">
        <x:f>IF(D7438="","",IF(AND(ISNUMBER(SEARCH("平",D7438)),OR(ISNUMBER(SEARCH("上",D7438)),ISNUMBER(SEARCH("去",D7438)),ISNUMBER(SEARCH("入",D7438)))),"Ambiguous",IF(ISNUMBER(SEARCH("平",D7438)),"平","仄")))</x:f>
        <x:v>平</x:v>
      </x:c>
      <x:c r="L7438" s="7" t="str">
        <x:v>Pingshui main list expansion</x:v>
      </x:c>
    </x:row>
    <x:row r="7439">
      <x:c r="A7439" s="5" t="str">
        <x:v>磉</x:v>
      </x:c>
      <x:c r="B7439" s="6" t="str">
        <x:v>上</x:v>
      </x:c>
      <x:c r="C7439" s="6" t="str">
        <x:f>IF(B7439="","Needs decision","Ready")</x:f>
        <x:v>Ready</x:v>
      </x:c>
      <x:c r="D7439" s="6" t="str">
        <x:v>上</x:v>
      </x:c>
      <x:c r="E7439" s="6" t="str"/>
      <x:c r="F7439" s="6" t="str">
        <x:v>上聲二十二養</x:v>
      </x:c>
      <x:c r="G7439" s="6" t="str">
        <x:v>Pingshui main list, Wikisource-derived DOCX</x:v>
      </x:c>
      <x:c r="H7439" s="6" t="str"/>
      <x:c r="I7439" s="6" t="str">
        <x:v>Pingshui main-list expansion; 詞 entries ignored</x:v>
      </x:c>
      <x:c r="J7439" s="6" t="str">
        <x:f>IF(B7439="","",IF(AND(ISNUMBER(SEARCH("平",B7439)),OR(ISNUMBER(SEARCH("上",B7439)),ISNUMBER(SEARCH("去",B7439)),ISNUMBER(SEARCH("入",B7439)))),"Ambiguous",IF(ISNUMBER(SEARCH("平",B7439)),"平","仄")))</x:f>
        <x:v>仄</x:v>
      </x:c>
      <x:c r="K7439" s="6" t="str">
        <x:f>IF(D7439="","",IF(AND(ISNUMBER(SEARCH("平",D7439)),OR(ISNUMBER(SEARCH("上",D7439)),ISNUMBER(SEARCH("去",D7439)),ISNUMBER(SEARCH("入",D7439)))),"Ambiguous",IF(ISNUMBER(SEARCH("平",D7439)),"平","仄")))</x:f>
        <x:v>仄</x:v>
      </x:c>
      <x:c r="L7439" s="7" t="str">
        <x:v>Pingshui main list expansion</x:v>
      </x:c>
    </x:row>
    <x:row r="7440">
      <x:c r="A7440" s="5" t="str">
        <x:v>磌</x:v>
      </x:c>
      <x:c r="B7440" s="6" t="str">
        <x:v>平</x:v>
      </x:c>
      <x:c r="C7440" s="6" t="str">
        <x:f>IF(B7440="","Needs decision","Ready")</x:f>
        <x:v>Ready</x:v>
      </x:c>
      <x:c r="D7440" s="6" t="str">
        <x:v>平</x:v>
      </x:c>
      <x:c r="E7440" s="6" t="str"/>
      <x:c r="F7440" s="6" t="str">
        <x:v>下平聲一先</x:v>
      </x:c>
      <x:c r="G7440" s="6" t="str">
        <x:v>Pingshui main list, Wikisource-derived DOCX</x:v>
      </x:c>
      <x:c r="H7440" s="6" t="str"/>
      <x:c r="I7440" s="6" t="str">
        <x:v>Pingshui main-list expansion; 詞 entries ignored</x:v>
      </x:c>
      <x:c r="J7440" s="6" t="str">
        <x:f>IF(B7440="","",IF(AND(ISNUMBER(SEARCH("平",B7440)),OR(ISNUMBER(SEARCH("上",B7440)),ISNUMBER(SEARCH("去",B7440)),ISNUMBER(SEARCH("入",B7440)))),"Ambiguous",IF(ISNUMBER(SEARCH("平",B7440)),"平","仄")))</x:f>
        <x:v>平</x:v>
      </x:c>
      <x:c r="K7440" s="6" t="str">
        <x:f>IF(D7440="","",IF(AND(ISNUMBER(SEARCH("平",D7440)),OR(ISNUMBER(SEARCH("上",D7440)),ISNUMBER(SEARCH("去",D7440)),ISNUMBER(SEARCH("入",D7440)))),"Ambiguous",IF(ISNUMBER(SEARCH("平",D7440)),"平","仄")))</x:f>
        <x:v>平</x:v>
      </x:c>
      <x:c r="L7440" s="7" t="str">
        <x:v>Pingshui main list expansion</x:v>
      </x:c>
    </x:row>
    <x:row r="7441">
      <x:c r="A7441" s="5" t="str">
        <x:v>磍</x:v>
      </x:c>
      <x:c r="B7441" s="6" t="str">
        <x:v>入</x:v>
      </x:c>
      <x:c r="C7441" s="6" t="str">
        <x:f>IF(B7441="","Needs decision","Ready")</x:f>
        <x:v>Ready</x:v>
      </x:c>
      <x:c r="D7441" s="6" t="str">
        <x:v>入</x:v>
      </x:c>
      <x:c r="E7441" s="6" t="str"/>
      <x:c r="F7441" s="6" t="str">
        <x:v>入聲八黠</x:v>
      </x:c>
      <x:c r="G7441" s="6" t="str">
        <x:v>Pingshui main list, Wikisource-derived DOCX</x:v>
      </x:c>
      <x:c r="H7441" s="6" t="str"/>
      <x:c r="I7441" s="6" t="str">
        <x:v>Pingshui main-list expansion; 詞 entries ignored</x:v>
      </x:c>
      <x:c r="J7441" s="6" t="str">
        <x:f>IF(B7441="","",IF(AND(ISNUMBER(SEARCH("平",B7441)),OR(ISNUMBER(SEARCH("上",B7441)),ISNUMBER(SEARCH("去",B7441)),ISNUMBER(SEARCH("入",B7441)))),"Ambiguous",IF(ISNUMBER(SEARCH("平",B7441)),"平","仄")))</x:f>
        <x:v>仄</x:v>
      </x:c>
      <x:c r="K7441" s="6" t="str">
        <x:f>IF(D7441="","",IF(AND(ISNUMBER(SEARCH("平",D7441)),OR(ISNUMBER(SEARCH("上",D7441)),ISNUMBER(SEARCH("去",D7441)),ISNUMBER(SEARCH("入",D7441)))),"Ambiguous",IF(ISNUMBER(SEARCH("平",D7441)),"平","仄")))</x:f>
        <x:v>仄</x:v>
      </x:c>
      <x:c r="L7441" s="7" t="str">
        <x:v>Pingshui main list expansion</x:v>
      </x:c>
    </x:row>
    <x:row r="7442">
      <x:c r="A7442" s="5" t="str">
        <x:v>磝</x:v>
      </x:c>
      <x:c r="B7442" s="6" t="str">
        <x:v>平</x:v>
      </x:c>
      <x:c r="C7442" s="6" t="str">
        <x:f>IF(B7442="","Needs decision","Ready")</x:f>
        <x:v>Ready</x:v>
      </x:c>
      <x:c r="D7442" s="6" t="str">
        <x:v>平</x:v>
      </x:c>
      <x:c r="E7442" s="6" t="str"/>
      <x:c r="F7442" s="6" t="str">
        <x:v>下平聲三肴</x:v>
      </x:c>
      <x:c r="G7442" s="6" t="str">
        <x:v>Pingshui main list, Wikisource-derived DOCX</x:v>
      </x:c>
      <x:c r="H7442" s="6" t="str"/>
      <x:c r="I7442" s="6" t="str">
        <x:v>Pingshui main-list expansion; 詞 entries ignored</x:v>
      </x:c>
      <x:c r="J7442" s="6" t="str">
        <x:f>IF(B7442="","",IF(AND(ISNUMBER(SEARCH("平",B7442)),OR(ISNUMBER(SEARCH("上",B7442)),ISNUMBER(SEARCH("去",B7442)),ISNUMBER(SEARCH("入",B7442)))),"Ambiguous",IF(ISNUMBER(SEARCH("平",B7442)),"平","仄")))</x:f>
        <x:v>平</x:v>
      </x:c>
      <x:c r="K7442" s="6" t="str">
        <x:f>IF(D7442="","",IF(AND(ISNUMBER(SEARCH("平",D7442)),OR(ISNUMBER(SEARCH("上",D7442)),ISNUMBER(SEARCH("去",D7442)),ISNUMBER(SEARCH("入",D7442)))),"Ambiguous",IF(ISNUMBER(SEARCH("平",D7442)),"平","仄")))</x:f>
        <x:v>平</x:v>
      </x:c>
      <x:c r="L7442" s="7" t="str">
        <x:v>Pingshui main list expansion</x:v>
      </x:c>
    </x:row>
    <x:row r="7443">
      <x:c r="A7443" s="5" t="str">
        <x:v>磡</x:v>
      </x:c>
      <x:c r="B7443" s="6" t="str">
        <x:v>去</x:v>
      </x:c>
      <x:c r="C7443" s="6" t="str">
        <x:f>IF(B7443="","Needs decision","Ready")</x:f>
        <x:v>Ready</x:v>
      </x:c>
      <x:c r="D7443" s="6" t="str">
        <x:v>去</x:v>
      </x:c>
      <x:c r="E7443" s="6" t="str"/>
      <x:c r="F7443" s="6" t="str">
        <x:v>去聲二十八勘</x:v>
      </x:c>
      <x:c r="G7443" s="6" t="str">
        <x:v>Pingshui main list, Wikisource-derived DOCX</x:v>
      </x:c>
      <x:c r="H7443" s="6" t="str"/>
      <x:c r="I7443" s="6" t="str">
        <x:v>Pingshui main-list expansion; 詞 entries ignored</x:v>
      </x:c>
      <x:c r="J7443" s="6" t="str">
        <x:f>IF(B7443="","",IF(AND(ISNUMBER(SEARCH("平",B7443)),OR(ISNUMBER(SEARCH("上",B7443)),ISNUMBER(SEARCH("去",B7443)),ISNUMBER(SEARCH("入",B7443)))),"Ambiguous",IF(ISNUMBER(SEARCH("平",B7443)),"平","仄")))</x:f>
        <x:v>仄</x:v>
      </x:c>
      <x:c r="K7443" s="6" t="str">
        <x:f>IF(D7443="","",IF(AND(ISNUMBER(SEARCH("平",D7443)),OR(ISNUMBER(SEARCH("上",D7443)),ISNUMBER(SEARCH("去",D7443)),ISNUMBER(SEARCH("入",D7443)))),"Ambiguous",IF(ISNUMBER(SEARCH("平",D7443)),"平","仄")))</x:f>
        <x:v>仄</x:v>
      </x:c>
      <x:c r="L7443" s="7" t="str">
        <x:v>Pingshui main list expansion</x:v>
      </x:c>
    </x:row>
    <x:row r="7444">
      <x:c r="A7444" s="5" t="str">
        <x:v>磢</x:v>
      </x:c>
      <x:c r="B7444" s="6" t="str">
        <x:v>上</x:v>
      </x:c>
      <x:c r="C7444" s="6" t="str">
        <x:f>IF(B7444="","Needs decision","Ready")</x:f>
        <x:v>Ready</x:v>
      </x:c>
      <x:c r="D7444" s="6" t="str">
        <x:v>上</x:v>
      </x:c>
      <x:c r="E7444" s="6" t="str"/>
      <x:c r="F7444" s="6" t="str">
        <x:v>上聲二十二養</x:v>
      </x:c>
      <x:c r="G7444" s="6" t="str">
        <x:v>Pingshui main list, Wikisource-derived DOCX</x:v>
      </x:c>
      <x:c r="H7444" s="6" t="str"/>
      <x:c r="I7444" s="6" t="str">
        <x:v>Pingshui main-list expansion; 詞 entries ignored</x:v>
      </x:c>
      <x:c r="J7444" s="6" t="str">
        <x:f>IF(B7444="","",IF(AND(ISNUMBER(SEARCH("平",B7444)),OR(ISNUMBER(SEARCH("上",B7444)),ISNUMBER(SEARCH("去",B7444)),ISNUMBER(SEARCH("入",B7444)))),"Ambiguous",IF(ISNUMBER(SEARCH("平",B7444)),"平","仄")))</x:f>
        <x:v>仄</x:v>
      </x:c>
      <x:c r="K7444" s="6" t="str">
        <x:f>IF(D7444="","",IF(AND(ISNUMBER(SEARCH("平",D7444)),OR(ISNUMBER(SEARCH("上",D7444)),ISNUMBER(SEARCH("去",D7444)),ISNUMBER(SEARCH("入",D7444)))),"Ambiguous",IF(ISNUMBER(SEARCH("平",D7444)),"平","仄")))</x:f>
        <x:v>仄</x:v>
      </x:c>
      <x:c r="L7444" s="7" t="str">
        <x:v>Pingshui main list expansion</x:v>
      </x:c>
    </x:row>
    <x:row r="7445">
      <x:c r="A7445" s="5" t="str">
        <x:v>磳</x:v>
      </x:c>
      <x:c r="B7445" s="6" t="str">
        <x:v>平</x:v>
      </x:c>
      <x:c r="C7445" s="6" t="str">
        <x:f>IF(B7445="","Needs decision","Ready")</x:f>
        <x:v>Ready</x:v>
      </x:c>
      <x:c r="D7445" s="6" t="str">
        <x:v>平</x:v>
      </x:c>
      <x:c r="E7445" s="6" t="str"/>
      <x:c r="F7445" s="6" t="str">
        <x:v>下平聲十蒸</x:v>
      </x:c>
      <x:c r="G7445" s="6" t="str">
        <x:v>Pingshui main list, Wikisource-derived DOCX</x:v>
      </x:c>
      <x:c r="H7445" s="6" t="str"/>
      <x:c r="I7445" s="6" t="str">
        <x:v>Pingshui main-list expansion; 詞 entries ignored</x:v>
      </x:c>
      <x:c r="J7445" s="6" t="str">
        <x:f>IF(B7445="","",IF(AND(ISNUMBER(SEARCH("平",B7445)),OR(ISNUMBER(SEARCH("上",B7445)),ISNUMBER(SEARCH("去",B7445)),ISNUMBER(SEARCH("入",B7445)))),"Ambiguous",IF(ISNUMBER(SEARCH("平",B7445)),"平","仄")))</x:f>
        <x:v>平</x:v>
      </x:c>
      <x:c r="K7445" s="6" t="str">
        <x:f>IF(D7445="","",IF(AND(ISNUMBER(SEARCH("平",D7445)),OR(ISNUMBER(SEARCH("上",D7445)),ISNUMBER(SEARCH("去",D7445)),ISNUMBER(SEARCH("入",D7445)))),"Ambiguous",IF(ISNUMBER(SEARCH("平",D7445)),"平","仄")))</x:f>
        <x:v>平</x:v>
      </x:c>
      <x:c r="L7445" s="7" t="str">
        <x:v>Pingshui main list expansion</x:v>
      </x:c>
    </x:row>
    <x:row r="7446">
      <x:c r="A7446" s="5" t="str">
        <x:v>礉</x:v>
      </x:c>
      <x:c r="B7446" s="6" t="str">
        <x:v>去</x:v>
      </x:c>
      <x:c r="C7446" s="6" t="str">
        <x:f>IF(B7446="","Needs decision","Ready")</x:f>
        <x:v>Ready</x:v>
      </x:c>
      <x:c r="D7446" s="6" t="str">
        <x:v>去</x:v>
      </x:c>
      <x:c r="E7446" s="6" t="str"/>
      <x:c r="F7446" s="6" t="str">
        <x:v>去聲十九效</x:v>
      </x:c>
      <x:c r="G7446" s="6" t="str">
        <x:v>Pingshui main list, Wikisource-derived DOCX</x:v>
      </x:c>
      <x:c r="H7446" s="6" t="str"/>
      <x:c r="I7446" s="6" t="str">
        <x:v>Pingshui main-list expansion; 詞 entries ignored</x:v>
      </x:c>
      <x:c r="J7446" s="6" t="str">
        <x:f>IF(B7446="","",IF(AND(ISNUMBER(SEARCH("平",B7446)),OR(ISNUMBER(SEARCH("上",B7446)),ISNUMBER(SEARCH("去",B7446)),ISNUMBER(SEARCH("入",B7446)))),"Ambiguous",IF(ISNUMBER(SEARCH("平",B7446)),"平","仄")))</x:f>
        <x:v>仄</x:v>
      </x:c>
      <x:c r="K7446" s="6" t="str">
        <x:f>IF(D7446="","",IF(AND(ISNUMBER(SEARCH("平",D7446)),OR(ISNUMBER(SEARCH("上",D7446)),ISNUMBER(SEARCH("去",D7446)),ISNUMBER(SEARCH("入",D7446)))),"Ambiguous",IF(ISNUMBER(SEARCH("平",D7446)),"平","仄")))</x:f>
        <x:v>仄</x:v>
      </x:c>
      <x:c r="L7446" s="7" t="str">
        <x:v>Pingshui main list expansion</x:v>
      </x:c>
    </x:row>
    <x:row r="7447">
      <x:c r="A7447" s="5" t="str">
        <x:v>礓</x:v>
      </x:c>
      <x:c r="B7447" s="6" t="str">
        <x:v>平</x:v>
      </x:c>
      <x:c r="C7447" s="6" t="str">
        <x:f>IF(B7447="","Needs decision","Ready")</x:f>
        <x:v>Ready</x:v>
      </x:c>
      <x:c r="D7447" s="6" t="str">
        <x:v>平</x:v>
      </x:c>
      <x:c r="E7447" s="6" t="str"/>
      <x:c r="F7447" s="6" t="str">
        <x:v>下平聲七陽</x:v>
      </x:c>
      <x:c r="G7447" s="6" t="str">
        <x:v>Pingshui main list, Wikisource-derived DOCX</x:v>
      </x:c>
      <x:c r="H7447" s="6" t="str"/>
      <x:c r="I7447" s="6" t="str">
        <x:v>Pingshui main-list expansion; 詞 entries ignored</x:v>
      </x:c>
      <x:c r="J7447" s="6" t="str">
        <x:f>IF(B7447="","",IF(AND(ISNUMBER(SEARCH("平",B7447)),OR(ISNUMBER(SEARCH("上",B7447)),ISNUMBER(SEARCH("去",B7447)),ISNUMBER(SEARCH("入",B7447)))),"Ambiguous",IF(ISNUMBER(SEARCH("平",B7447)),"平","仄")))</x:f>
        <x:v>平</x:v>
      </x:c>
      <x:c r="K7447" s="6" t="str">
        <x:f>IF(D7447="","",IF(AND(ISNUMBER(SEARCH("平",D7447)),OR(ISNUMBER(SEARCH("上",D7447)),ISNUMBER(SEARCH("去",D7447)),ISNUMBER(SEARCH("入",D7447)))),"Ambiguous",IF(ISNUMBER(SEARCH("平",D7447)),"平","仄")))</x:f>
        <x:v>平</x:v>
      </x:c>
      <x:c r="L7447" s="7" t="str">
        <x:v>Pingshui main list expansion</x:v>
      </x:c>
    </x:row>
    <x:row r="7448">
      <x:c r="A7448" s="5" t="str">
        <x:v>礥</x:v>
      </x:c>
      <x:c r="B7448" s="6" t="str">
        <x:v>平</x:v>
      </x:c>
      <x:c r="C7448" s="6" t="str">
        <x:f>IF(B7448="","Needs decision","Ready")</x:f>
        <x:v>Ready</x:v>
      </x:c>
      <x:c r="D7448" s="6" t="str">
        <x:v>平</x:v>
      </x:c>
      <x:c r="E7448" s="6" t="str"/>
      <x:c r="F7448" s="6" t="str">
        <x:v>上平聲十一真</x:v>
      </x:c>
      <x:c r="G7448" s="6" t="str">
        <x:v>Pingshui main list, Wikisource-derived DOCX</x:v>
      </x:c>
      <x:c r="H7448" s="6" t="str"/>
      <x:c r="I7448" s="6" t="str">
        <x:v>Pingshui main-list expansion; 詞 entries ignored</x:v>
      </x:c>
      <x:c r="J7448" s="6" t="str">
        <x:f>IF(B7448="","",IF(AND(ISNUMBER(SEARCH("平",B7448)),OR(ISNUMBER(SEARCH("上",B7448)),ISNUMBER(SEARCH("去",B7448)),ISNUMBER(SEARCH("入",B7448)))),"Ambiguous",IF(ISNUMBER(SEARCH("平",B7448)),"平","仄")))</x:f>
        <x:v>平</x:v>
      </x:c>
      <x:c r="K7448" s="6" t="str">
        <x:f>IF(D7448="","",IF(AND(ISNUMBER(SEARCH("平",D7448)),OR(ISNUMBER(SEARCH("上",D7448)),ISNUMBER(SEARCH("去",D7448)),ISNUMBER(SEARCH("入",D7448)))),"Ambiguous",IF(ISNUMBER(SEARCH("平",D7448)),"平","仄")))</x:f>
        <x:v>平</x:v>
      </x:c>
      <x:c r="L7448" s="7" t="str">
        <x:v>Pingshui main list expansion</x:v>
      </x:c>
    </x:row>
    <x:row r="7449">
      <x:c r="A7449" s="5" t="str">
        <x:v>礩</x:v>
      </x:c>
      <x:c r="B7449" s="6" t="str">
        <x:v>入</x:v>
      </x:c>
      <x:c r="C7449" s="6" t="str">
        <x:f>IF(B7449="","Needs decision","Ready")</x:f>
        <x:v>Ready</x:v>
      </x:c>
      <x:c r="D7449" s="6" t="str">
        <x:v>入</x:v>
      </x:c>
      <x:c r="E7449" s="6" t="str"/>
      <x:c r="F7449" s="6" t="str">
        <x:v>入聲四質</x:v>
      </x:c>
      <x:c r="G7449" s="6" t="str">
        <x:v>Pingshui main list, Wikisource-derived DOCX</x:v>
      </x:c>
      <x:c r="H7449" s="6" t="str"/>
      <x:c r="I7449" s="6" t="str">
        <x:v>Pingshui main-list expansion; 詞 entries ignored</x:v>
      </x:c>
      <x:c r="J7449" s="6" t="str">
        <x:f>IF(B7449="","",IF(AND(ISNUMBER(SEARCH("平",B7449)),OR(ISNUMBER(SEARCH("上",B7449)),ISNUMBER(SEARCH("去",B7449)),ISNUMBER(SEARCH("入",B7449)))),"Ambiguous",IF(ISNUMBER(SEARCH("平",B7449)),"平","仄")))</x:f>
        <x:v>仄</x:v>
      </x:c>
      <x:c r="K7449" s="6" t="str">
        <x:f>IF(D7449="","",IF(AND(ISNUMBER(SEARCH("平",D7449)),OR(ISNUMBER(SEARCH("上",D7449)),ISNUMBER(SEARCH("去",D7449)),ISNUMBER(SEARCH("入",D7449)))),"Ambiguous",IF(ISNUMBER(SEARCH("平",D7449)),"平","仄")))</x:f>
        <x:v>仄</x:v>
      </x:c>
      <x:c r="L7449" s="7" t="str">
        <x:v>Pingshui main list expansion</x:v>
      </x:c>
    </x:row>
    <x:row r="7450">
      <x:c r="A7450" s="5" t="str">
        <x:v>礬</x:v>
      </x:c>
      <x:c r="B7450" s="6" t="str">
        <x:v>平</x:v>
      </x:c>
      <x:c r="C7450" s="6" t="str">
        <x:f>IF(B7450="","Needs decision","Ready")</x:f>
        <x:v>Ready</x:v>
      </x:c>
      <x:c r="D7450" s="6" t="str">
        <x:v>平</x:v>
      </x:c>
      <x:c r="E7450" s="6" t="str"/>
      <x:c r="F7450" s="6" t="str">
        <x:v>上平聲十三元</x:v>
      </x:c>
      <x:c r="G7450" s="6" t="str">
        <x:v>Pingshui main list, Wikisource-derived DOCX</x:v>
      </x:c>
      <x:c r="H7450" s="6" t="str"/>
      <x:c r="I7450" s="6" t="str">
        <x:v>Pingshui main-list expansion; 詞 entries ignored</x:v>
      </x:c>
      <x:c r="J7450" s="6" t="str">
        <x:f>IF(B7450="","",IF(AND(ISNUMBER(SEARCH("平",B7450)),OR(ISNUMBER(SEARCH("上",B7450)),ISNUMBER(SEARCH("去",B7450)),ISNUMBER(SEARCH("入",B7450)))),"Ambiguous",IF(ISNUMBER(SEARCH("平",B7450)),"平","仄")))</x:f>
        <x:v>平</x:v>
      </x:c>
      <x:c r="K7450" s="6" t="str">
        <x:f>IF(D7450="","",IF(AND(ISNUMBER(SEARCH("平",D7450)),OR(ISNUMBER(SEARCH("上",D7450)),ISNUMBER(SEARCH("去",D7450)),ISNUMBER(SEARCH("入",D7450)))),"Ambiguous",IF(ISNUMBER(SEARCH("平",D7450)),"平","仄")))</x:f>
        <x:v>平</x:v>
      </x:c>
      <x:c r="L7450" s="7" t="str">
        <x:v>Pingshui main list expansion</x:v>
      </x:c>
    </x:row>
    <x:row r="7451">
      <x:c r="A7451" s="5" t="str">
        <x:v>礱</x:v>
      </x:c>
      <x:c r="B7451" s="6" t="str"/>
      <x:c r="C7451" s="6" t="str">
        <x:f>IF(B7451="","Needs decision","Ready")</x:f>
        <x:v>Needs decision</x:v>
      </x:c>
      <x:c r="D7451" s="6" t="str">
        <x:v>平/去</x:v>
      </x:c>
      <x:c r="E7451" s="6" t="str"/>
      <x:c r="F7451" s="6" t="str">
        <x:v>上平聲一東; 去聲一送</x:v>
      </x:c>
      <x:c r="G7451" s="6" t="str">
        <x:v>Pingshui main list, Wikisource-derived DOCX</x:v>
      </x:c>
      <x:c r="H7451" s="6" t="str"/>
      <x:c r="I7451" s="6" t="str">
        <x:v>Pingshui main-list expansion; 詞 entries ignored</x:v>
      </x:c>
      <x:c r="J7451" s="6" t="str">
        <x:f>IF(B7451="","",IF(AND(ISNUMBER(SEARCH("平",B7451)),OR(ISNUMBER(SEARCH("上",B7451)),ISNUMBER(SEARCH("去",B7451)),ISNUMBER(SEARCH("入",B7451)))),"Ambiguous",IF(ISNUMBER(SEARCH("平",B7451)),"平","仄")))</x:f>
      </x:c>
      <x:c r="K7451" s="6" t="str">
        <x:f>IF(D7451="","",IF(AND(ISNUMBER(SEARCH("平",D7451)),OR(ISNUMBER(SEARCH("上",D7451)),ISNUMBER(SEARCH("去",D7451)),ISNUMBER(SEARCH("入",D7451)))),"Ambiguous",IF(ISNUMBER(SEARCH("平",D7451)),"平","仄")))</x:f>
        <x:v>Ambiguous</x:v>
      </x:c>
      <x:c r="L7451" s="7" t="str">
        <x:v>Pingshui main list expansion</x:v>
      </x:c>
    </x:row>
    <x:row r="7452">
      <x:c r="A7452" s="5" t="str">
        <x:v>礽</x:v>
      </x:c>
      <x:c r="B7452" s="6" t="str">
        <x:v>平</x:v>
      </x:c>
      <x:c r="C7452" s="6" t="str">
        <x:f>IF(B7452="","Needs decision","Ready")</x:f>
        <x:v>Ready</x:v>
      </x:c>
      <x:c r="D7452" s="6" t="str">
        <x:v>平</x:v>
      </x:c>
      <x:c r="E7452" s="6" t="str"/>
      <x:c r="F7452" s="6" t="str">
        <x:v>下平聲十蒸</x:v>
      </x:c>
      <x:c r="G7452" s="6" t="str">
        <x:v>Pingshui main list, Wikisource-derived DOCX</x:v>
      </x:c>
      <x:c r="H7452" s="6" t="str"/>
      <x:c r="I7452" s="6" t="str">
        <x:v>Pingshui main-list expansion; 詞 entries ignored</x:v>
      </x:c>
      <x:c r="J7452" s="6" t="str">
        <x:f>IF(B7452="","",IF(AND(ISNUMBER(SEARCH("平",B7452)),OR(ISNUMBER(SEARCH("上",B7452)),ISNUMBER(SEARCH("去",B7452)),ISNUMBER(SEARCH("入",B7452)))),"Ambiguous",IF(ISNUMBER(SEARCH("平",B7452)),"平","仄")))</x:f>
        <x:v>平</x:v>
      </x:c>
      <x:c r="K7452" s="6" t="str">
        <x:f>IF(D7452="","",IF(AND(ISNUMBER(SEARCH("平",D7452)),OR(ISNUMBER(SEARCH("上",D7452)),ISNUMBER(SEARCH("去",D7452)),ISNUMBER(SEARCH("入",D7452)))),"Ambiguous",IF(ISNUMBER(SEARCH("平",D7452)),"平","仄")))</x:f>
        <x:v>平</x:v>
      </x:c>
      <x:c r="L7452" s="7" t="str">
        <x:v>Pingshui main list expansion</x:v>
      </x:c>
    </x:row>
    <x:row r="7453">
      <x:c r="A7453" s="5" t="str">
        <x:v>礿</x:v>
      </x:c>
      <x:c r="B7453" s="6" t="str">
        <x:v>入</x:v>
      </x:c>
      <x:c r="C7453" s="6" t="str">
        <x:f>IF(B7453="","Needs decision","Ready")</x:f>
        <x:v>Ready</x:v>
      </x:c>
      <x:c r="D7453" s="6" t="str">
        <x:v>入</x:v>
      </x:c>
      <x:c r="E7453" s="6" t="str"/>
      <x:c r="F7453" s="6" t="str">
        <x:v>入聲十藥</x:v>
      </x:c>
      <x:c r="G7453" s="6" t="str">
        <x:v>Pingshui main list, Wikisource-derived DOCX</x:v>
      </x:c>
      <x:c r="H7453" s="6" t="str"/>
      <x:c r="I7453" s="6" t="str">
        <x:v>Pingshui main-list expansion; 詞 entries ignored</x:v>
      </x:c>
      <x:c r="J7453" s="6" t="str">
        <x:f>IF(B7453="","",IF(AND(ISNUMBER(SEARCH("平",B7453)),OR(ISNUMBER(SEARCH("上",B7453)),ISNUMBER(SEARCH("去",B7453)),ISNUMBER(SEARCH("入",B7453)))),"Ambiguous",IF(ISNUMBER(SEARCH("平",B7453)),"平","仄")))</x:f>
        <x:v>仄</x:v>
      </x:c>
      <x:c r="K7453" s="6" t="str">
        <x:f>IF(D7453="","",IF(AND(ISNUMBER(SEARCH("平",D7453)),OR(ISNUMBER(SEARCH("上",D7453)),ISNUMBER(SEARCH("去",D7453)),ISNUMBER(SEARCH("入",D7453)))),"Ambiguous",IF(ISNUMBER(SEARCH("平",D7453)),"平","仄")))</x:f>
        <x:v>仄</x:v>
      </x:c>
      <x:c r="L7453" s="7" t="str">
        <x:v>Pingshui main list expansion</x:v>
      </x:c>
    </x:row>
    <x:row r="7454">
      <x:c r="A7454" s="5" t="str">
        <x:v>祋</x:v>
      </x:c>
      <x:c r="B7454" s="6" t="str">
        <x:v>去</x:v>
      </x:c>
      <x:c r="C7454" s="6" t="str">
        <x:f>IF(B7454="","Needs decision","Ready")</x:f>
        <x:v>Ready</x:v>
      </x:c>
      <x:c r="D7454" s="6" t="str">
        <x:v>去</x:v>
      </x:c>
      <x:c r="E7454" s="6" t="str"/>
      <x:c r="F7454" s="6" t="str">
        <x:v>去聲九泰</x:v>
      </x:c>
      <x:c r="G7454" s="6" t="str">
        <x:v>Pingshui main list, Wikisource-derived DOCX</x:v>
      </x:c>
      <x:c r="H7454" s="6" t="str"/>
      <x:c r="I7454" s="6" t="str">
        <x:v>Pingshui main-list expansion; 詞 entries ignored</x:v>
      </x:c>
      <x:c r="J7454" s="6" t="str">
        <x:f>IF(B7454="","",IF(AND(ISNUMBER(SEARCH("平",B7454)),OR(ISNUMBER(SEARCH("上",B7454)),ISNUMBER(SEARCH("去",B7454)),ISNUMBER(SEARCH("入",B7454)))),"Ambiguous",IF(ISNUMBER(SEARCH("平",B7454)),"平","仄")))</x:f>
        <x:v>仄</x:v>
      </x:c>
      <x:c r="K7454" s="6" t="str">
        <x:f>IF(D7454="","",IF(AND(ISNUMBER(SEARCH("平",D7454)),OR(ISNUMBER(SEARCH("上",D7454)),ISNUMBER(SEARCH("去",D7454)),ISNUMBER(SEARCH("入",D7454)))),"Ambiguous",IF(ISNUMBER(SEARCH("平",D7454)),"平","仄")))</x:f>
        <x:v>仄</x:v>
      </x:c>
      <x:c r="L7454" s="7" t="str">
        <x:v>Pingshui main list expansion</x:v>
      </x:c>
    </x:row>
    <x:row r="7455">
      <x:c r="A7455" s="5" t="str">
        <x:v>祔</x:v>
      </x:c>
      <x:c r="B7455" s="6" t="str">
        <x:v>去</x:v>
      </x:c>
      <x:c r="C7455" s="6" t="str">
        <x:f>IF(B7455="","Needs decision","Ready")</x:f>
        <x:v>Ready</x:v>
      </x:c>
      <x:c r="D7455" s="6" t="str">
        <x:v>去</x:v>
      </x:c>
      <x:c r="E7455" s="6" t="str"/>
      <x:c r="F7455" s="6" t="str">
        <x:v>去聲七遇</x:v>
      </x:c>
      <x:c r="G7455" s="6" t="str">
        <x:v>Pingshui main list, Wikisource-derived DOCX</x:v>
      </x:c>
      <x:c r="H7455" s="6" t="str"/>
      <x:c r="I7455" s="6" t="str">
        <x:v>Pingshui main-list expansion; 詞 entries ignored</x:v>
      </x:c>
      <x:c r="J7455" s="6" t="str">
        <x:f>IF(B7455="","",IF(AND(ISNUMBER(SEARCH("平",B7455)),OR(ISNUMBER(SEARCH("上",B7455)),ISNUMBER(SEARCH("去",B7455)),ISNUMBER(SEARCH("入",B7455)))),"Ambiguous",IF(ISNUMBER(SEARCH("平",B7455)),"平","仄")))</x:f>
        <x:v>仄</x:v>
      </x:c>
      <x:c r="K7455" s="6" t="str">
        <x:f>IF(D7455="","",IF(AND(ISNUMBER(SEARCH("平",D7455)),OR(ISNUMBER(SEARCH("上",D7455)),ISNUMBER(SEARCH("去",D7455)),ISNUMBER(SEARCH("入",D7455)))),"Ambiguous",IF(ISNUMBER(SEARCH("平",D7455)),"平","仄")))</x:f>
        <x:v>仄</x:v>
      </x:c>
      <x:c r="L7455" s="7" t="str">
        <x:v>Pingshui main list expansion</x:v>
      </x:c>
    </x:row>
    <x:row r="7456">
      <x:c r="A7456" s="5" t="str">
        <x:v>祤</x:v>
      </x:c>
      <x:c r="B7456" s="6" t="str">
        <x:v>上</x:v>
      </x:c>
      <x:c r="C7456" s="6" t="str">
        <x:f>IF(B7456="","Needs decision","Ready")</x:f>
        <x:v>Ready</x:v>
      </x:c>
      <x:c r="D7456" s="6" t="str">
        <x:v>上</x:v>
      </x:c>
      <x:c r="E7456" s="6" t="str"/>
      <x:c r="F7456" s="6" t="str">
        <x:v>上聲七麌</x:v>
      </x:c>
      <x:c r="G7456" s="6" t="str">
        <x:v>Pingshui main list, Wikisource-derived DOCX</x:v>
      </x:c>
      <x:c r="H7456" s="6" t="str"/>
      <x:c r="I7456" s="6" t="str">
        <x:v>Pingshui main-list expansion; 詞 entries ignored</x:v>
      </x:c>
      <x:c r="J7456" s="6" t="str">
        <x:f>IF(B7456="","",IF(AND(ISNUMBER(SEARCH("平",B7456)),OR(ISNUMBER(SEARCH("上",B7456)),ISNUMBER(SEARCH("去",B7456)),ISNUMBER(SEARCH("入",B7456)))),"Ambiguous",IF(ISNUMBER(SEARCH("平",B7456)),"平","仄")))</x:f>
        <x:v>仄</x:v>
      </x:c>
      <x:c r="K7456" s="6" t="str">
        <x:f>IF(D7456="","",IF(AND(ISNUMBER(SEARCH("平",D7456)),OR(ISNUMBER(SEARCH("上",D7456)),ISNUMBER(SEARCH("去",D7456)),ISNUMBER(SEARCH("入",D7456)))),"Ambiguous",IF(ISNUMBER(SEARCH("平",D7456)),"平","仄")))</x:f>
        <x:v>仄</x:v>
      </x:c>
      <x:c r="L7456" s="7" t="str">
        <x:v>Pingshui main list expansion</x:v>
      </x:c>
    </x:row>
    <x:row r="7457">
      <x:c r="A7457" s="5" t="str">
        <x:v>祹</x:v>
      </x:c>
      <x:c r="B7457" s="6" t="str">
        <x:v>平</x:v>
      </x:c>
      <x:c r="C7457" s="6" t="str">
        <x:f>IF(B7457="","Needs decision","Ready")</x:f>
        <x:v>Ready</x:v>
      </x:c>
      <x:c r="D7457" s="6" t="str">
        <x:v>平</x:v>
      </x:c>
      <x:c r="E7457" s="6" t="str"/>
      <x:c r="F7457" s="6" t="str">
        <x:v>下平聲四豪</x:v>
      </x:c>
      <x:c r="G7457" s="6" t="str">
        <x:v>Pingshui main list, Wikisource-derived DOCX</x:v>
      </x:c>
      <x:c r="H7457" s="6" t="str"/>
      <x:c r="I7457" s="6" t="str">
        <x:v>Pingshui main-list expansion; 詞 entries ignored</x:v>
      </x:c>
      <x:c r="J7457" s="6" t="str">
        <x:f>IF(B7457="","",IF(AND(ISNUMBER(SEARCH("平",B7457)),OR(ISNUMBER(SEARCH("上",B7457)),ISNUMBER(SEARCH("去",B7457)),ISNUMBER(SEARCH("入",B7457)))),"Ambiguous",IF(ISNUMBER(SEARCH("平",B7457)),"平","仄")))</x:f>
        <x:v>平</x:v>
      </x:c>
      <x:c r="K7457" s="6" t="str">
        <x:f>IF(D7457="","",IF(AND(ISNUMBER(SEARCH("平",D7457)),OR(ISNUMBER(SEARCH("上",D7457)),ISNUMBER(SEARCH("去",D7457)),ISNUMBER(SEARCH("入",D7457)))),"Ambiguous",IF(ISNUMBER(SEARCH("平",D7457)),"平","仄")))</x:f>
        <x:v>平</x:v>
      </x:c>
      <x:c r="L7457" s="7" t="str">
        <x:v>Pingshui main list expansion</x:v>
      </x:c>
    </x:row>
    <x:row r="7458">
      <x:c r="A7458" s="5" t="str">
        <x:v>禂</x:v>
      </x:c>
      <x:c r="B7458" s="6" t="str">
        <x:v>平</x:v>
      </x:c>
      <x:c r="C7458" s="6" t="str">
        <x:f>IF(B7458="","Needs decision","Ready")</x:f>
        <x:v>Ready</x:v>
      </x:c>
      <x:c r="D7458" s="6" t="str">
        <x:v>平</x:v>
      </x:c>
      <x:c r="E7458" s="6" t="str"/>
      <x:c r="F7458" s="6" t="str">
        <x:v>上平聲七虞</x:v>
      </x:c>
      <x:c r="G7458" s="6" t="str">
        <x:v>Pingshui main list, Wikisource-derived DOCX</x:v>
      </x:c>
      <x:c r="H7458" s="6" t="str"/>
      <x:c r="I7458" s="6" t="str">
        <x:v>Pingshui main-list expansion; 詞 entries ignored</x:v>
      </x:c>
      <x:c r="J7458" s="6" t="str">
        <x:f>IF(B7458="","",IF(AND(ISNUMBER(SEARCH("平",B7458)),OR(ISNUMBER(SEARCH("上",B7458)),ISNUMBER(SEARCH("去",B7458)),ISNUMBER(SEARCH("入",B7458)))),"Ambiguous",IF(ISNUMBER(SEARCH("平",B7458)),"平","仄")))</x:f>
        <x:v>平</x:v>
      </x:c>
      <x:c r="K7458" s="6" t="str">
        <x:f>IF(D7458="","",IF(AND(ISNUMBER(SEARCH("平",D7458)),OR(ISNUMBER(SEARCH("上",D7458)),ISNUMBER(SEARCH("去",D7458)),ISNUMBER(SEARCH("入",D7458)))),"Ambiguous",IF(ISNUMBER(SEARCH("平",D7458)),"平","仄")))</x:f>
        <x:v>平</x:v>
      </x:c>
      <x:c r="L7458" s="7" t="str">
        <x:v>Pingshui main list expansion</x:v>
      </x:c>
    </x:row>
    <x:row r="7459">
      <x:c r="A7459" s="5" t="str">
        <x:v>禖</x:v>
      </x:c>
      <x:c r="B7459" s="6" t="str">
        <x:v>平</x:v>
      </x:c>
      <x:c r="C7459" s="6" t="str">
        <x:f>IF(B7459="","Needs decision","Ready")</x:f>
        <x:v>Ready</x:v>
      </x:c>
      <x:c r="D7459" s="6" t="str">
        <x:v>平</x:v>
      </x:c>
      <x:c r="E7459" s="6" t="str"/>
      <x:c r="F7459" s="6" t="str">
        <x:v>上平聲十灰</x:v>
      </x:c>
      <x:c r="G7459" s="6" t="str">
        <x:v>Pingshui main list, Wikisource-derived DOCX</x:v>
      </x:c>
      <x:c r="H7459" s="6" t="str"/>
      <x:c r="I7459" s="6" t="str">
        <x:v>Pingshui main-list expansion; 詞 entries ignored</x:v>
      </x:c>
      <x:c r="J7459" s="6" t="str">
        <x:f>IF(B7459="","",IF(AND(ISNUMBER(SEARCH("平",B7459)),OR(ISNUMBER(SEARCH("上",B7459)),ISNUMBER(SEARCH("去",B7459)),ISNUMBER(SEARCH("入",B7459)))),"Ambiguous",IF(ISNUMBER(SEARCH("平",B7459)),"平","仄")))</x:f>
        <x:v>平</x:v>
      </x:c>
      <x:c r="K7459" s="6" t="str">
        <x:f>IF(D7459="","",IF(AND(ISNUMBER(SEARCH("平",D7459)),OR(ISNUMBER(SEARCH("上",D7459)),ISNUMBER(SEARCH("去",D7459)),ISNUMBER(SEARCH("入",D7459)))),"Ambiguous",IF(ISNUMBER(SEARCH("平",D7459)),"平","仄")))</x:f>
        <x:v>平</x:v>
      </x:c>
      <x:c r="L7459" s="7" t="str">
        <x:v>Pingshui main list expansion</x:v>
      </x:c>
    </x:row>
    <x:row r="7460">
      <x:c r="A7460" s="5" t="str">
        <x:v>禜</x:v>
      </x:c>
      <x:c r="B7460" s="6" t="str"/>
      <x:c r="C7460" s="6" t="str">
        <x:f>IF(B7460="","Needs decision","Ready")</x:f>
        <x:v>Needs decision</x:v>
      </x:c>
      <x:c r="D7460" s="6" t="str">
        <x:v>平/去</x:v>
      </x:c>
      <x:c r="E7460" s="6" t="str"/>
      <x:c r="F7460" s="6" t="str">
        <x:v>下平聲八庚; 去聲二十四敬</x:v>
      </x:c>
      <x:c r="G7460" s="6" t="str">
        <x:v>Pingshui main list, Wikisource-derived DOCX</x:v>
      </x:c>
      <x:c r="H7460" s="6" t="str"/>
      <x:c r="I7460" s="6" t="str">
        <x:v>Pingshui main-list expansion; 詞 entries ignored</x:v>
      </x:c>
      <x:c r="J7460" s="6" t="str">
        <x:f>IF(B7460="","",IF(AND(ISNUMBER(SEARCH("平",B7460)),OR(ISNUMBER(SEARCH("上",B7460)),ISNUMBER(SEARCH("去",B7460)),ISNUMBER(SEARCH("入",B7460)))),"Ambiguous",IF(ISNUMBER(SEARCH("平",B7460)),"平","仄")))</x:f>
      </x:c>
      <x:c r="K7460" s="6" t="str">
        <x:f>IF(D7460="","",IF(AND(ISNUMBER(SEARCH("平",D7460)),OR(ISNUMBER(SEARCH("上",D7460)),ISNUMBER(SEARCH("去",D7460)),ISNUMBER(SEARCH("入",D7460)))),"Ambiguous",IF(ISNUMBER(SEARCH("平",D7460)),"平","仄")))</x:f>
        <x:v>Ambiguous</x:v>
      </x:c>
      <x:c r="L7460" s="7" t="str">
        <x:v>Pingshui main list expansion</x:v>
      </x:c>
    </x:row>
    <x:row r="7461">
      <x:c r="A7461" s="5" t="str">
        <x:v>禨</x:v>
      </x:c>
      <x:c r="B7461" s="6" t="str">
        <x:v>去</x:v>
      </x:c>
      <x:c r="C7461" s="6" t="str">
        <x:f>IF(B7461="","Needs decision","Ready")</x:f>
        <x:v>Ready</x:v>
      </x:c>
      <x:c r="D7461" s="6" t="str">
        <x:v>去</x:v>
      </x:c>
      <x:c r="E7461" s="6" t="str"/>
      <x:c r="F7461" s="6" t="str">
        <x:v>去聲五未</x:v>
      </x:c>
      <x:c r="G7461" s="6" t="str">
        <x:v>Pingshui main list, Wikisource-derived DOCX</x:v>
      </x:c>
      <x:c r="H7461" s="6" t="str"/>
      <x:c r="I7461" s="6" t="str">
        <x:v>Pingshui main-list expansion; 詞 entries ignored</x:v>
      </x:c>
      <x:c r="J7461" s="6" t="str">
        <x:f>IF(B7461="","",IF(AND(ISNUMBER(SEARCH("平",B7461)),OR(ISNUMBER(SEARCH("上",B7461)),ISNUMBER(SEARCH("去",B7461)),ISNUMBER(SEARCH("入",B7461)))),"Ambiguous",IF(ISNUMBER(SEARCH("平",B7461)),"平","仄")))</x:f>
        <x:v>仄</x:v>
      </x:c>
      <x:c r="K7461" s="6" t="str">
        <x:f>IF(D7461="","",IF(AND(ISNUMBER(SEARCH("平",D7461)),OR(ISNUMBER(SEARCH("上",D7461)),ISNUMBER(SEARCH("去",D7461)),ISNUMBER(SEARCH("入",D7461)))),"Ambiguous",IF(ISNUMBER(SEARCH("平",D7461)),"平","仄")))</x:f>
        <x:v>仄</x:v>
      </x:c>
      <x:c r="L7461" s="7" t="str">
        <x:v>Pingshui main list expansion</x:v>
      </x:c>
    </x:row>
    <x:row r="7462">
      <x:c r="A7462" s="5" t="str">
        <x:v>禬</x:v>
      </x:c>
      <x:c r="B7462" s="6" t="str">
        <x:v>去</x:v>
      </x:c>
      <x:c r="C7462" s="6" t="str">
        <x:f>IF(B7462="","Needs decision","Ready")</x:f>
        <x:v>Ready</x:v>
      </x:c>
      <x:c r="D7462" s="6" t="str">
        <x:v>去</x:v>
      </x:c>
      <x:c r="E7462" s="6" t="str"/>
      <x:c r="F7462" s="6" t="str">
        <x:v>去聲九泰</x:v>
      </x:c>
      <x:c r="G7462" s="6" t="str">
        <x:v>Pingshui main list, Wikisource-derived DOCX</x:v>
      </x:c>
      <x:c r="H7462" s="6" t="str"/>
      <x:c r="I7462" s="6" t="str">
        <x:v>Pingshui main-list expansion; 詞 entries ignored</x:v>
      </x:c>
      <x:c r="J7462" s="6" t="str">
        <x:f>IF(B7462="","",IF(AND(ISNUMBER(SEARCH("平",B7462)),OR(ISNUMBER(SEARCH("上",B7462)),ISNUMBER(SEARCH("去",B7462)),ISNUMBER(SEARCH("入",B7462)))),"Ambiguous",IF(ISNUMBER(SEARCH("平",B7462)),"平","仄")))</x:f>
        <x:v>仄</x:v>
      </x:c>
      <x:c r="K7462" s="6" t="str">
        <x:f>IF(D7462="","",IF(AND(ISNUMBER(SEARCH("平",D7462)),OR(ISNUMBER(SEARCH("上",D7462)),ISNUMBER(SEARCH("去",D7462)),ISNUMBER(SEARCH("入",D7462)))),"Ambiguous",IF(ISNUMBER(SEARCH("平",D7462)),"平","仄")))</x:f>
        <x:v>仄</x:v>
      </x:c>
      <x:c r="L7462" s="7" t="str">
        <x:v>Pingshui main list expansion</x:v>
      </x:c>
    </x:row>
    <x:row r="7463">
      <x:c r="A7463" s="5" t="str">
        <x:v>禲</x:v>
      </x:c>
      <x:c r="B7463" s="6" t="str">
        <x:v>去</x:v>
      </x:c>
      <x:c r="C7463" s="6" t="str">
        <x:f>IF(B7463="","Needs decision","Ready")</x:f>
        <x:v>Ready</x:v>
      </x:c>
      <x:c r="D7463" s="6" t="str">
        <x:v>去</x:v>
      </x:c>
      <x:c r="E7463" s="6" t="str"/>
      <x:c r="F7463" s="6" t="str">
        <x:v>去聲八霽</x:v>
      </x:c>
      <x:c r="G7463" s="6" t="str">
        <x:v>Pingshui main list, Wikisource-derived DOCX</x:v>
      </x:c>
      <x:c r="H7463" s="6" t="str"/>
      <x:c r="I7463" s="6" t="str">
        <x:v>Pingshui main-list expansion; 詞 entries ignored</x:v>
      </x:c>
      <x:c r="J7463" s="6" t="str">
        <x:f>IF(B7463="","",IF(AND(ISNUMBER(SEARCH("平",B7463)),OR(ISNUMBER(SEARCH("上",B7463)),ISNUMBER(SEARCH("去",B7463)),ISNUMBER(SEARCH("入",B7463)))),"Ambiguous",IF(ISNUMBER(SEARCH("平",B7463)),"平","仄")))</x:f>
        <x:v>仄</x:v>
      </x:c>
      <x:c r="K7463" s="6" t="str">
        <x:f>IF(D7463="","",IF(AND(ISNUMBER(SEARCH("平",D7463)),OR(ISNUMBER(SEARCH("上",D7463)),ISNUMBER(SEARCH("去",D7463)),ISNUMBER(SEARCH("入",D7463)))),"Ambiguous",IF(ISNUMBER(SEARCH("平",D7463)),"平","仄")))</x:f>
        <x:v>仄</x:v>
      </x:c>
      <x:c r="L7463" s="7" t="str">
        <x:v>Pingshui main list expansion</x:v>
      </x:c>
    </x:row>
    <x:row r="7464">
      <x:c r="A7464" s="5" t="str">
        <x:v>秈</x:v>
      </x:c>
      <x:c r="B7464" s="6" t="str">
        <x:v>平</x:v>
      </x:c>
      <x:c r="C7464" s="6" t="str">
        <x:f>IF(B7464="","Needs decision","Ready")</x:f>
        <x:v>Ready</x:v>
      </x:c>
      <x:c r="D7464" s="6" t="str">
        <x:v>平</x:v>
      </x:c>
      <x:c r="E7464" s="6" t="str"/>
      <x:c r="F7464" s="6" t="str">
        <x:v>下平聲一先</x:v>
      </x:c>
      <x:c r="G7464" s="6" t="str">
        <x:v>Pingshui main list, Wikisource-derived DOCX</x:v>
      </x:c>
      <x:c r="H7464" s="6" t="str"/>
      <x:c r="I7464" s="6" t="str">
        <x:v>Pingshui main-list expansion; 詞 entries ignored</x:v>
      </x:c>
      <x:c r="J7464" s="6" t="str">
        <x:f>IF(B7464="","",IF(AND(ISNUMBER(SEARCH("平",B7464)),OR(ISNUMBER(SEARCH("上",B7464)),ISNUMBER(SEARCH("去",B7464)),ISNUMBER(SEARCH("入",B7464)))),"Ambiguous",IF(ISNUMBER(SEARCH("平",B7464)),"平","仄")))</x:f>
        <x:v>平</x:v>
      </x:c>
      <x:c r="K7464" s="6" t="str">
        <x:f>IF(D7464="","",IF(AND(ISNUMBER(SEARCH("平",D7464)),OR(ISNUMBER(SEARCH("上",D7464)),ISNUMBER(SEARCH("去",D7464)),ISNUMBER(SEARCH("入",D7464)))),"Ambiguous",IF(ISNUMBER(SEARCH("平",D7464)),"平","仄")))</x:f>
        <x:v>平</x:v>
      </x:c>
      <x:c r="L7464" s="7" t="str">
        <x:v>Pingshui main list expansion</x:v>
      </x:c>
    </x:row>
    <x:row r="7465">
      <x:c r="A7465" s="5" t="str">
        <x:v>秏</x:v>
      </x:c>
      <x:c r="B7465" s="6" t="str">
        <x:v>去</x:v>
      </x:c>
      <x:c r="C7465" s="6" t="str">
        <x:f>IF(B7465="","Needs decision","Ready")</x:f>
        <x:v>Ready</x:v>
      </x:c>
      <x:c r="D7465" s="6" t="str">
        <x:v>去</x:v>
      </x:c>
      <x:c r="E7465" s="6" t="str"/>
      <x:c r="F7465" s="6" t="str">
        <x:v>去聲二十號</x:v>
      </x:c>
      <x:c r="G7465" s="6" t="str">
        <x:v>Pingshui main list, Wikisource-derived DOCX</x:v>
      </x:c>
      <x:c r="H7465" s="6" t="str"/>
      <x:c r="I7465" s="6" t="str">
        <x:v>Pingshui main-list expansion; 詞 entries ignored</x:v>
      </x:c>
      <x:c r="J7465" s="6" t="str">
        <x:f>IF(B7465="","",IF(AND(ISNUMBER(SEARCH("平",B7465)),OR(ISNUMBER(SEARCH("上",B7465)),ISNUMBER(SEARCH("去",B7465)),ISNUMBER(SEARCH("入",B7465)))),"Ambiguous",IF(ISNUMBER(SEARCH("平",B7465)),"平","仄")))</x:f>
        <x:v>仄</x:v>
      </x:c>
      <x:c r="K7465" s="6" t="str">
        <x:f>IF(D7465="","",IF(AND(ISNUMBER(SEARCH("平",D7465)),OR(ISNUMBER(SEARCH("上",D7465)),ISNUMBER(SEARCH("去",D7465)),ISNUMBER(SEARCH("入",D7465)))),"Ambiguous",IF(ISNUMBER(SEARCH("平",D7465)),"平","仄")))</x:f>
        <x:v>仄</x:v>
      </x:c>
      <x:c r="L7465" s="7" t="str">
        <x:v>Pingshui main list expansion</x:v>
      </x:c>
    </x:row>
    <x:row r="7466">
      <x:c r="A7466" s="5" t="str">
        <x:v>秒</x:v>
      </x:c>
      <x:c r="B7466" s="6" t="str">
        <x:v>上</x:v>
      </x:c>
      <x:c r="C7466" s="6" t="str">
        <x:f>IF(B7466="","Needs decision","Ready")</x:f>
        <x:v>Ready</x:v>
      </x:c>
      <x:c r="D7466" s="6" t="str">
        <x:v>上</x:v>
      </x:c>
      <x:c r="E7466" s="6" t="str"/>
      <x:c r="F7466" s="6" t="str">
        <x:v>上聲十七篠</x:v>
      </x:c>
      <x:c r="G7466" s="6" t="str">
        <x:v>Pingshui main list, Wikisource-derived DOCX</x:v>
      </x:c>
      <x:c r="H7466" s="6" t="str"/>
      <x:c r="I7466" s="6" t="str">
        <x:v>Pingshui main-list expansion; 詞 entries ignored</x:v>
      </x:c>
      <x:c r="J7466" s="6" t="str">
        <x:f>IF(B7466="","",IF(AND(ISNUMBER(SEARCH("平",B7466)),OR(ISNUMBER(SEARCH("上",B7466)),ISNUMBER(SEARCH("去",B7466)),ISNUMBER(SEARCH("入",B7466)))),"Ambiguous",IF(ISNUMBER(SEARCH("平",B7466)),"平","仄")))</x:f>
        <x:v>仄</x:v>
      </x:c>
      <x:c r="K7466" s="6" t="str">
        <x:f>IF(D7466="","",IF(AND(ISNUMBER(SEARCH("平",D7466)),OR(ISNUMBER(SEARCH("上",D7466)),ISNUMBER(SEARCH("去",D7466)),ISNUMBER(SEARCH("入",D7466)))),"Ambiguous",IF(ISNUMBER(SEARCH("平",D7466)),"平","仄")))</x:f>
        <x:v>仄</x:v>
      </x:c>
      <x:c r="L7466" s="7" t="str">
        <x:v>Pingshui main list expansion</x:v>
      </x:c>
    </x:row>
    <x:row r="7467">
      <x:c r="A7467" s="5" t="str">
        <x:v>秠</x:v>
      </x:c>
      <x:c r="B7467" s="6" t="str"/>
      <x:c r="C7467" s="6" t="str">
        <x:f>IF(B7467="","Needs decision","Ready")</x:f>
        <x:v>Needs decision</x:v>
      </x:c>
      <x:c r="D7467" s="6" t="str">
        <x:v>平/上</x:v>
      </x:c>
      <x:c r="E7467" s="6" t="str"/>
      <x:c r="F7467" s="6" t="str">
        <x:v>上平聲四支; 上聲四紙</x:v>
      </x:c>
      <x:c r="G7467" s="6" t="str">
        <x:v>Pingshui main list, Wikisource-derived DOCX</x:v>
      </x:c>
      <x:c r="H7467" s="6" t="str"/>
      <x:c r="I7467" s="6" t="str">
        <x:v>Pingshui main-list expansion; 詞 entries ignored</x:v>
      </x:c>
      <x:c r="J7467" s="6" t="str">
        <x:f>IF(B7467="","",IF(AND(ISNUMBER(SEARCH("平",B7467)),OR(ISNUMBER(SEARCH("上",B7467)),ISNUMBER(SEARCH("去",B7467)),ISNUMBER(SEARCH("入",B7467)))),"Ambiguous",IF(ISNUMBER(SEARCH("平",B7467)),"平","仄")))</x:f>
      </x:c>
      <x:c r="K7467" s="6" t="str">
        <x:f>IF(D7467="","",IF(AND(ISNUMBER(SEARCH("平",D7467)),OR(ISNUMBER(SEARCH("上",D7467)),ISNUMBER(SEARCH("去",D7467)),ISNUMBER(SEARCH("入",D7467)))),"Ambiguous",IF(ISNUMBER(SEARCH("平",D7467)),"平","仄")))</x:f>
        <x:v>Ambiguous</x:v>
      </x:c>
      <x:c r="L7467" s="7" t="str">
        <x:v>Pingshui main list expansion</x:v>
      </x:c>
    </x:row>
    <x:row r="7468">
      <x:c r="A7468" s="5" t="str">
        <x:v>秧</x:v>
      </x:c>
      <x:c r="B7468" s="6" t="str">
        <x:v>平</x:v>
      </x:c>
      <x:c r="C7468" s="6" t="str">
        <x:f>IF(B7468="","Needs decision","Ready")</x:f>
        <x:v>Ready</x:v>
      </x:c>
      <x:c r="D7468" s="6" t="str">
        <x:v>平</x:v>
      </x:c>
      <x:c r="E7468" s="6" t="str"/>
      <x:c r="F7468" s="6" t="str">
        <x:v>下平聲七陽</x:v>
      </x:c>
      <x:c r="G7468" s="6" t="str">
        <x:v>Pingshui main list, Wikisource-derived DOCX</x:v>
      </x:c>
      <x:c r="H7468" s="6" t="str"/>
      <x:c r="I7468" s="6" t="str">
        <x:v>Pingshui main-list expansion; 詞 entries ignored</x:v>
      </x:c>
      <x:c r="J7468" s="6" t="str">
        <x:f>IF(B7468="","",IF(AND(ISNUMBER(SEARCH("平",B7468)),OR(ISNUMBER(SEARCH("上",B7468)),ISNUMBER(SEARCH("去",B7468)),ISNUMBER(SEARCH("入",B7468)))),"Ambiguous",IF(ISNUMBER(SEARCH("平",B7468)),"平","仄")))</x:f>
        <x:v>平</x:v>
      </x:c>
      <x:c r="K7468" s="6" t="str">
        <x:f>IF(D7468="","",IF(AND(ISNUMBER(SEARCH("平",D7468)),OR(ISNUMBER(SEARCH("上",D7468)),ISNUMBER(SEARCH("去",D7468)),ISNUMBER(SEARCH("入",D7468)))),"Ambiguous",IF(ISNUMBER(SEARCH("平",D7468)),"平","仄")))</x:f>
        <x:v>平</x:v>
      </x:c>
      <x:c r="L7468" s="7" t="str">
        <x:v>Pingshui main list expansion</x:v>
      </x:c>
    </x:row>
    <x:row r="7469">
      <x:c r="A7469" s="5" t="str">
        <x:v>秷</x:v>
      </x:c>
      <x:c r="B7469" s="6" t="str">
        <x:v>入</x:v>
      </x:c>
      <x:c r="C7469" s="6" t="str">
        <x:f>IF(B7469="","Needs decision","Ready")</x:f>
        <x:v>Ready</x:v>
      </x:c>
      <x:c r="D7469" s="6" t="str">
        <x:v>入</x:v>
      </x:c>
      <x:c r="E7469" s="6" t="str"/>
      <x:c r="F7469" s="6" t="str">
        <x:v>入聲四質</x:v>
      </x:c>
      <x:c r="G7469" s="6" t="str">
        <x:v>Pingshui main list, Wikisource-derived DOCX</x:v>
      </x:c>
      <x:c r="H7469" s="6" t="str"/>
      <x:c r="I7469" s="6" t="str">
        <x:v>Pingshui main-list expansion; 詞 entries ignored</x:v>
      </x:c>
      <x:c r="J7469" s="6" t="str">
        <x:f>IF(B7469="","",IF(AND(ISNUMBER(SEARCH("平",B7469)),OR(ISNUMBER(SEARCH("上",B7469)),ISNUMBER(SEARCH("去",B7469)),ISNUMBER(SEARCH("入",B7469)))),"Ambiguous",IF(ISNUMBER(SEARCH("平",B7469)),"平","仄")))</x:f>
        <x:v>仄</x:v>
      </x:c>
      <x:c r="K7469" s="6" t="str">
        <x:f>IF(D7469="","",IF(AND(ISNUMBER(SEARCH("平",D7469)),OR(ISNUMBER(SEARCH("上",D7469)),ISNUMBER(SEARCH("去",D7469)),ISNUMBER(SEARCH("入",D7469)))),"Ambiguous",IF(ISNUMBER(SEARCH("平",D7469)),"平","仄")))</x:f>
        <x:v>仄</x:v>
      </x:c>
      <x:c r="L7469" s="7" t="str">
        <x:v>Pingshui main list expansion</x:v>
      </x:c>
    </x:row>
    <x:row r="7470">
      <x:c r="A7470" s="5" t="str">
        <x:v>稃</x:v>
      </x:c>
      <x:c r="B7470" s="6" t="str">
        <x:v>平</x:v>
      </x:c>
      <x:c r="C7470" s="6" t="str">
        <x:f>IF(B7470="","Needs decision","Ready")</x:f>
        <x:v>Ready</x:v>
      </x:c>
      <x:c r="D7470" s="6" t="str">
        <x:v>平</x:v>
      </x:c>
      <x:c r="E7470" s="6" t="str"/>
      <x:c r="F7470" s="6" t="str">
        <x:v>上平聲七虞</x:v>
      </x:c>
      <x:c r="G7470" s="6" t="str">
        <x:v>Pingshui main list, Wikisource-derived DOCX</x:v>
      </x:c>
      <x:c r="H7470" s="6" t="str"/>
      <x:c r="I7470" s="6" t="str">
        <x:v>Pingshui main-list expansion; 詞 entries ignored</x:v>
      </x:c>
      <x:c r="J7470" s="6" t="str">
        <x:f>IF(B7470="","",IF(AND(ISNUMBER(SEARCH("平",B7470)),OR(ISNUMBER(SEARCH("上",B7470)),ISNUMBER(SEARCH("去",B7470)),ISNUMBER(SEARCH("入",B7470)))),"Ambiguous",IF(ISNUMBER(SEARCH("平",B7470)),"平","仄")))</x:f>
        <x:v>平</x:v>
      </x:c>
      <x:c r="K7470" s="6" t="str">
        <x:f>IF(D7470="","",IF(AND(ISNUMBER(SEARCH("平",D7470)),OR(ISNUMBER(SEARCH("上",D7470)),ISNUMBER(SEARCH("去",D7470)),ISNUMBER(SEARCH("入",D7470)))),"Ambiguous",IF(ISNUMBER(SEARCH("平",D7470)),"平","仄")))</x:f>
        <x:v>平</x:v>
      </x:c>
      <x:c r="L7470" s="7" t="str">
        <x:v>Pingshui main list expansion</x:v>
      </x:c>
    </x:row>
    <x:row r="7471">
      <x:c r="A7471" s="5" t="str">
        <x:v>稄</x:v>
      </x:c>
      <x:c r="B7471" s="6" t="str">
        <x:v>入</x:v>
      </x:c>
      <x:c r="C7471" s="6" t="str">
        <x:f>IF(B7471="","Needs decision","Ready")</x:f>
        <x:v>Ready</x:v>
      </x:c>
      <x:c r="D7471" s="6" t="str">
        <x:v>入</x:v>
      </x:c>
      <x:c r="E7471" s="6" t="str"/>
      <x:c r="F7471" s="6" t="str">
        <x:v>入聲十三職</x:v>
      </x:c>
      <x:c r="G7471" s="6" t="str">
        <x:v>Pingshui main list, Wikisource-derived DOCX</x:v>
      </x:c>
      <x:c r="H7471" s="6" t="str"/>
      <x:c r="I7471" s="6" t="str">
        <x:v>Pingshui main-list expansion; 詞 entries ignored</x:v>
      </x:c>
      <x:c r="J7471" s="6" t="str">
        <x:f>IF(B7471="","",IF(AND(ISNUMBER(SEARCH("平",B7471)),OR(ISNUMBER(SEARCH("上",B7471)),ISNUMBER(SEARCH("去",B7471)),ISNUMBER(SEARCH("入",B7471)))),"Ambiguous",IF(ISNUMBER(SEARCH("平",B7471)),"平","仄")))</x:f>
        <x:v>仄</x:v>
      </x:c>
      <x:c r="K7471" s="6" t="str">
        <x:f>IF(D7471="","",IF(AND(ISNUMBER(SEARCH("平",D7471)),OR(ISNUMBER(SEARCH("上",D7471)),ISNUMBER(SEARCH("去",D7471)),ISNUMBER(SEARCH("入",D7471)))),"Ambiguous",IF(ISNUMBER(SEARCH("平",D7471)),"平","仄")))</x:f>
        <x:v>仄</x:v>
      </x:c>
      <x:c r="L7471" s="7" t="str">
        <x:v>Pingshui main list expansion</x:v>
      </x:c>
    </x:row>
    <x:row r="7472">
      <x:c r="A7472" s="5" t="str">
        <x:v>稈</x:v>
      </x:c>
      <x:c r="B7472" s="6" t="str">
        <x:v>上</x:v>
      </x:c>
      <x:c r="C7472" s="6" t="str">
        <x:f>IF(B7472="","Needs decision","Ready")</x:f>
        <x:v>Ready</x:v>
      </x:c>
      <x:c r="D7472" s="6" t="str">
        <x:v>上</x:v>
      </x:c>
      <x:c r="E7472" s="6" t="str"/>
      <x:c r="F7472" s="6" t="str">
        <x:v>上聲十四旱</x:v>
      </x:c>
      <x:c r="G7472" s="6" t="str">
        <x:v>Pingshui main list, Wikisource-derived DOCX</x:v>
      </x:c>
      <x:c r="H7472" s="6" t="str"/>
      <x:c r="I7472" s="6" t="str">
        <x:v>Pingshui main-list expansion; 詞 entries ignored</x:v>
      </x:c>
      <x:c r="J7472" s="6" t="str">
        <x:f>IF(B7472="","",IF(AND(ISNUMBER(SEARCH("平",B7472)),OR(ISNUMBER(SEARCH("上",B7472)),ISNUMBER(SEARCH("去",B7472)),ISNUMBER(SEARCH("入",B7472)))),"Ambiguous",IF(ISNUMBER(SEARCH("平",B7472)),"平","仄")))</x:f>
        <x:v>仄</x:v>
      </x:c>
      <x:c r="K7472" s="6" t="str">
        <x:f>IF(D7472="","",IF(AND(ISNUMBER(SEARCH("平",D7472)),OR(ISNUMBER(SEARCH("上",D7472)),ISNUMBER(SEARCH("去",D7472)),ISNUMBER(SEARCH("入",D7472)))),"Ambiguous",IF(ISNUMBER(SEARCH("平",D7472)),"平","仄")))</x:f>
        <x:v>仄</x:v>
      </x:c>
      <x:c r="L7472" s="7" t="str">
        <x:v>Pingshui main list expansion</x:v>
      </x:c>
    </x:row>
    <x:row r="7473">
      <x:c r="A7473" s="5" t="str">
        <x:v>稊</x:v>
      </x:c>
      <x:c r="B7473" s="6" t="str">
        <x:v>平</x:v>
      </x:c>
      <x:c r="C7473" s="6" t="str">
        <x:f>IF(B7473="","Needs decision","Ready")</x:f>
        <x:v>Ready</x:v>
      </x:c>
      <x:c r="D7473" s="6" t="str">
        <x:v>平</x:v>
      </x:c>
      <x:c r="E7473" s="6" t="str"/>
      <x:c r="F7473" s="6" t="str">
        <x:v>上平聲八齊</x:v>
      </x:c>
      <x:c r="G7473" s="6" t="str">
        <x:v>Pingshui main list, Wikisource-derived DOCX</x:v>
      </x:c>
      <x:c r="H7473" s="6" t="str"/>
      <x:c r="I7473" s="6" t="str">
        <x:v>Pingshui main-list expansion; 詞 entries ignored</x:v>
      </x:c>
      <x:c r="J7473" s="6" t="str">
        <x:f>IF(B7473="","",IF(AND(ISNUMBER(SEARCH("平",B7473)),OR(ISNUMBER(SEARCH("上",B7473)),ISNUMBER(SEARCH("去",B7473)),ISNUMBER(SEARCH("入",B7473)))),"Ambiguous",IF(ISNUMBER(SEARCH("平",B7473)),"平","仄")))</x:f>
        <x:v>平</x:v>
      </x:c>
      <x:c r="K7473" s="6" t="str">
        <x:f>IF(D7473="","",IF(AND(ISNUMBER(SEARCH("平",D7473)),OR(ISNUMBER(SEARCH("上",D7473)),ISNUMBER(SEARCH("去",D7473)),ISNUMBER(SEARCH("入",D7473)))),"Ambiguous",IF(ISNUMBER(SEARCH("平",D7473)),"平","仄")))</x:f>
        <x:v>平</x:v>
      </x:c>
      <x:c r="L7473" s="7" t="str">
        <x:v>Pingshui main list expansion</x:v>
      </x:c>
    </x:row>
    <x:row r="7474">
      <x:c r="A7474" s="5" t="str">
        <x:v>稰</x:v>
      </x:c>
      <x:c r="B7474" s="6" t="str">
        <x:v>上</x:v>
      </x:c>
      <x:c r="C7474" s="6" t="str">
        <x:f>IF(B7474="","Needs decision","Ready")</x:f>
        <x:v>Ready</x:v>
      </x:c>
      <x:c r="D7474" s="6" t="str">
        <x:v>上</x:v>
      </x:c>
      <x:c r="E7474" s="6" t="str"/>
      <x:c r="F7474" s="6" t="str">
        <x:v>上聲六語</x:v>
      </x:c>
      <x:c r="G7474" s="6" t="str">
        <x:v>Pingshui main list, Wikisource-derived DOCX</x:v>
      </x:c>
      <x:c r="H7474" s="6" t="str"/>
      <x:c r="I7474" s="6" t="str">
        <x:v>Pingshui main-list expansion; 詞 entries ignored</x:v>
      </x:c>
      <x:c r="J7474" s="6" t="str">
        <x:f>IF(B7474="","",IF(AND(ISNUMBER(SEARCH("平",B7474)),OR(ISNUMBER(SEARCH("上",B7474)),ISNUMBER(SEARCH("去",B7474)),ISNUMBER(SEARCH("入",B7474)))),"Ambiguous",IF(ISNUMBER(SEARCH("平",B7474)),"平","仄")))</x:f>
        <x:v>仄</x:v>
      </x:c>
      <x:c r="K7474" s="6" t="str">
        <x:f>IF(D7474="","",IF(AND(ISNUMBER(SEARCH("平",D7474)),OR(ISNUMBER(SEARCH("上",D7474)),ISNUMBER(SEARCH("去",D7474)),ISNUMBER(SEARCH("入",D7474)))),"Ambiguous",IF(ISNUMBER(SEARCH("平",D7474)),"平","仄")))</x:f>
        <x:v>仄</x:v>
      </x:c>
      <x:c r="L7474" s="7" t="str">
        <x:v>Pingshui main list expansion</x:v>
      </x:c>
    </x:row>
    <x:row r="7475">
      <x:c r="A7475" s="5" t="str">
        <x:v>穚</x:v>
      </x:c>
      <x:c r="B7475" s="6" t="str">
        <x:v>平</x:v>
      </x:c>
      <x:c r="C7475" s="6" t="str">
        <x:f>IF(B7475="","Needs decision","Ready")</x:f>
        <x:v>Ready</x:v>
      </x:c>
      <x:c r="D7475" s="6" t="str">
        <x:v>平</x:v>
      </x:c>
      <x:c r="E7475" s="6" t="str"/>
      <x:c r="F7475" s="6" t="str">
        <x:v>下平聲二蕭</x:v>
      </x:c>
      <x:c r="G7475" s="6" t="str">
        <x:v>Pingshui main list, Wikisource-derived DOCX</x:v>
      </x:c>
      <x:c r="H7475" s="6" t="str"/>
      <x:c r="I7475" s="6" t="str">
        <x:v>Pingshui main-list expansion; 詞 entries ignored</x:v>
      </x:c>
      <x:c r="J7475" s="6" t="str">
        <x:f>IF(B7475="","",IF(AND(ISNUMBER(SEARCH("平",B7475)),OR(ISNUMBER(SEARCH("上",B7475)),ISNUMBER(SEARCH("去",B7475)),ISNUMBER(SEARCH("入",B7475)))),"Ambiguous",IF(ISNUMBER(SEARCH("平",B7475)),"平","仄")))</x:f>
        <x:v>平</x:v>
      </x:c>
      <x:c r="K7475" s="6" t="str">
        <x:f>IF(D7475="","",IF(AND(ISNUMBER(SEARCH("平",D7475)),OR(ISNUMBER(SEARCH("上",D7475)),ISNUMBER(SEARCH("去",D7475)),ISNUMBER(SEARCH("入",D7475)))),"Ambiguous",IF(ISNUMBER(SEARCH("平",D7475)),"平","仄")))</x:f>
        <x:v>平</x:v>
      </x:c>
      <x:c r="L7475" s="7" t="str">
        <x:v>Pingshui main list expansion</x:v>
      </x:c>
    </x:row>
    <x:row r="7476">
      <x:c r="A7476" s="5" t="str">
        <x:v>穛</x:v>
      </x:c>
      <x:c r="B7476" s="6" t="str">
        <x:v>入</x:v>
      </x:c>
      <x:c r="C7476" s="6" t="str">
        <x:f>IF(B7476="","Needs decision","Ready")</x:f>
        <x:v>Ready</x:v>
      </x:c>
      <x:c r="D7476" s="6" t="str">
        <x:v>入</x:v>
      </x:c>
      <x:c r="E7476" s="6" t="str"/>
      <x:c r="F7476" s="6" t="str">
        <x:v>入聲三覺</x:v>
      </x:c>
      <x:c r="G7476" s="6" t="str">
        <x:v>Pingshui main list, Wikisource-derived DOCX</x:v>
      </x:c>
      <x:c r="H7476" s="6" t="str"/>
      <x:c r="I7476" s="6" t="str">
        <x:v>Pingshui main-list expansion; 詞 entries ignored</x:v>
      </x:c>
      <x:c r="J7476" s="6" t="str">
        <x:f>IF(B7476="","",IF(AND(ISNUMBER(SEARCH("平",B7476)),OR(ISNUMBER(SEARCH("上",B7476)),ISNUMBER(SEARCH("去",B7476)),ISNUMBER(SEARCH("入",B7476)))),"Ambiguous",IF(ISNUMBER(SEARCH("平",B7476)),"平","仄")))</x:f>
        <x:v>仄</x:v>
      </x:c>
      <x:c r="K7476" s="6" t="str">
        <x:f>IF(D7476="","",IF(AND(ISNUMBER(SEARCH("平",D7476)),OR(ISNUMBER(SEARCH("上",D7476)),ISNUMBER(SEARCH("去",D7476)),ISNUMBER(SEARCH("入",D7476)))),"Ambiguous",IF(ISNUMBER(SEARCH("平",D7476)),"平","仄")))</x:f>
        <x:v>仄</x:v>
      </x:c>
      <x:c r="L7476" s="7" t="str">
        <x:v>Pingshui main list expansion</x:v>
      </x:c>
    </x:row>
    <x:row r="7477">
      <x:c r="A7477" s="5" t="str">
        <x:v>穧</x:v>
      </x:c>
      <x:c r="B7477" s="6" t="str">
        <x:v>去</x:v>
      </x:c>
      <x:c r="C7477" s="6" t="str">
        <x:f>IF(B7477="","Needs decision","Ready")</x:f>
        <x:v>Ready</x:v>
      </x:c>
      <x:c r="D7477" s="6" t="str">
        <x:v>去</x:v>
      </x:c>
      <x:c r="E7477" s="6" t="str"/>
      <x:c r="F7477" s="6" t="str">
        <x:v>去聲八霽</x:v>
      </x:c>
      <x:c r="G7477" s="6" t="str">
        <x:v>Pingshui main list, Wikisource-derived DOCX</x:v>
      </x:c>
      <x:c r="H7477" s="6" t="str"/>
      <x:c r="I7477" s="6" t="str">
        <x:v>Pingshui main-list expansion; 詞 entries ignored</x:v>
      </x:c>
      <x:c r="J7477" s="6" t="str">
        <x:f>IF(B7477="","",IF(AND(ISNUMBER(SEARCH("平",B7477)),OR(ISNUMBER(SEARCH("上",B7477)),ISNUMBER(SEARCH("去",B7477)),ISNUMBER(SEARCH("入",B7477)))),"Ambiguous",IF(ISNUMBER(SEARCH("平",B7477)),"平","仄")))</x:f>
        <x:v>仄</x:v>
      </x:c>
      <x:c r="K7477" s="6" t="str">
        <x:f>IF(D7477="","",IF(AND(ISNUMBER(SEARCH("平",D7477)),OR(ISNUMBER(SEARCH("上",D7477)),ISNUMBER(SEARCH("去",D7477)),ISNUMBER(SEARCH("入",D7477)))),"Ambiguous",IF(ISNUMBER(SEARCH("平",D7477)),"平","仄")))</x:f>
        <x:v>仄</x:v>
      </x:c>
      <x:c r="L7477" s="7" t="str">
        <x:v>Pingshui main list expansion</x:v>
      </x:c>
    </x:row>
    <x:row r="7478">
      <x:c r="A7478" s="5" t="str">
        <x:v>穭</x:v>
      </x:c>
      <x:c r="B7478" s="6" t="str">
        <x:v>上</x:v>
      </x:c>
      <x:c r="C7478" s="6" t="str">
        <x:f>IF(B7478="","Needs decision","Ready")</x:f>
        <x:v>Ready</x:v>
      </x:c>
      <x:c r="D7478" s="6" t="str">
        <x:v>上</x:v>
      </x:c>
      <x:c r="E7478" s="6" t="str"/>
      <x:c r="F7478" s="6" t="str">
        <x:v>上聲六語</x:v>
      </x:c>
      <x:c r="G7478" s="6" t="str">
        <x:v>Pingshui main list, Wikisource-derived DOCX</x:v>
      </x:c>
      <x:c r="H7478" s="6" t="str"/>
      <x:c r="I7478" s="6" t="str">
        <x:v>Pingshui main-list expansion; 詞 entries ignored</x:v>
      </x:c>
      <x:c r="J7478" s="6" t="str">
        <x:f>IF(B7478="","",IF(AND(ISNUMBER(SEARCH("平",B7478)),OR(ISNUMBER(SEARCH("上",B7478)),ISNUMBER(SEARCH("去",B7478)),ISNUMBER(SEARCH("入",B7478)))),"Ambiguous",IF(ISNUMBER(SEARCH("平",B7478)),"平","仄")))</x:f>
        <x:v>仄</x:v>
      </x:c>
      <x:c r="K7478" s="6" t="str">
        <x:f>IF(D7478="","",IF(AND(ISNUMBER(SEARCH("平",D7478)),OR(ISNUMBER(SEARCH("上",D7478)),ISNUMBER(SEARCH("去",D7478)),ISNUMBER(SEARCH("入",D7478)))),"Ambiguous",IF(ISNUMBER(SEARCH("平",D7478)),"平","仄")))</x:f>
        <x:v>仄</x:v>
      </x:c>
      <x:c r="L7478" s="7" t="str">
        <x:v>Pingshui main list expansion</x:v>
      </x:c>
    </x:row>
    <x:row r="7479">
      <x:c r="A7479" s="5" t="str">
        <x:v>窉</x:v>
      </x:c>
      <x:c r="B7479" s="6" t="str">
        <x:v>上</x:v>
      </x:c>
      <x:c r="C7479" s="6" t="str">
        <x:f>IF(B7479="","Needs decision","Ready")</x:f>
        <x:v>Ready</x:v>
      </x:c>
      <x:c r="D7479" s="6" t="str">
        <x:v>上</x:v>
      </x:c>
      <x:c r="E7479" s="6" t="str"/>
      <x:c r="F7479" s="6" t="str">
        <x:v>上聲二十三梗</x:v>
      </x:c>
      <x:c r="G7479" s="6" t="str">
        <x:v>Pingshui main list, Wikisource-derived DOCX</x:v>
      </x:c>
      <x:c r="H7479" s="6" t="str"/>
      <x:c r="I7479" s="6" t="str">
        <x:v>Pingshui main-list expansion; 詞 entries ignored</x:v>
      </x:c>
      <x:c r="J7479" s="6" t="str">
        <x:f>IF(B7479="","",IF(AND(ISNUMBER(SEARCH("平",B7479)),OR(ISNUMBER(SEARCH("上",B7479)),ISNUMBER(SEARCH("去",B7479)),ISNUMBER(SEARCH("入",B7479)))),"Ambiguous",IF(ISNUMBER(SEARCH("平",B7479)),"平","仄")))</x:f>
        <x:v>仄</x:v>
      </x:c>
      <x:c r="K7479" s="6" t="str">
        <x:f>IF(D7479="","",IF(AND(ISNUMBER(SEARCH("平",D7479)),OR(ISNUMBER(SEARCH("上",D7479)),ISNUMBER(SEARCH("去",D7479)),ISNUMBER(SEARCH("入",D7479)))),"Ambiguous",IF(ISNUMBER(SEARCH("平",D7479)),"平","仄")))</x:f>
        <x:v>仄</x:v>
      </x:c>
      <x:c r="L7479" s="7" t="str">
        <x:v>Pingshui main list expansion</x:v>
      </x:c>
    </x:row>
    <x:row r="7480">
      <x:c r="A7480" s="5" t="str">
        <x:v>窌</x:v>
      </x:c>
      <x:c r="B7480" s="6" t="str"/>
      <x:c r="C7480" s="6" t="str">
        <x:f>IF(B7480="","Needs decision","Ready")</x:f>
        <x:v>Needs decision</x:v>
      </x:c>
      <x:c r="D7480" s="6" t="str">
        <x:v>平/去</x:v>
      </x:c>
      <x:c r="E7480" s="6" t="str"/>
      <x:c r="F7480" s="6" t="str">
        <x:v>下平聲三肴; 去聲十九效; 去聲二十六宥</x:v>
      </x:c>
      <x:c r="G7480" s="6" t="str">
        <x:v>Pingshui main list, Wikisource-derived DOCX</x:v>
      </x:c>
      <x:c r="H7480" s="6" t="str"/>
      <x:c r="I7480" s="6" t="str">
        <x:v>Pingshui main-list expansion; 詞 entries ignored</x:v>
      </x:c>
      <x:c r="J7480" s="6" t="str">
        <x:f>IF(B7480="","",IF(AND(ISNUMBER(SEARCH("平",B7480)),OR(ISNUMBER(SEARCH("上",B7480)),ISNUMBER(SEARCH("去",B7480)),ISNUMBER(SEARCH("入",B7480)))),"Ambiguous",IF(ISNUMBER(SEARCH("平",B7480)),"平","仄")))</x:f>
      </x:c>
      <x:c r="K7480" s="6" t="str">
        <x:f>IF(D7480="","",IF(AND(ISNUMBER(SEARCH("平",D7480)),OR(ISNUMBER(SEARCH("上",D7480)),ISNUMBER(SEARCH("去",D7480)),ISNUMBER(SEARCH("入",D7480)))),"Ambiguous",IF(ISNUMBER(SEARCH("平",D7480)),"平","仄")))</x:f>
        <x:v>Ambiguous</x:v>
      </x:c>
      <x:c r="L7480" s="7" t="str">
        <x:v>Pingshui main list expansion</x:v>
      </x:c>
    </x:row>
    <x:row r="7481">
      <x:c r="A7481" s="5" t="str">
        <x:v>窐</x:v>
      </x:c>
      <x:c r="B7481" s="6" t="str">
        <x:v>平</x:v>
      </x:c>
      <x:c r="C7481" s="6" t="str">
        <x:f>IF(B7481="","Needs decision","Ready")</x:f>
        <x:v>Ready</x:v>
      </x:c>
      <x:c r="D7481" s="6" t="str">
        <x:v>平</x:v>
      </x:c>
      <x:c r="E7481" s="6" t="str"/>
      <x:c r="F7481" s="6" t="str">
        <x:v>上平聲八齊</x:v>
      </x:c>
      <x:c r="G7481" s="6" t="str">
        <x:v>Pingshui main list, Wikisource-derived DOCX</x:v>
      </x:c>
      <x:c r="H7481" s="6" t="str"/>
      <x:c r="I7481" s="6" t="str">
        <x:v>Pingshui main-list expansion; 詞 entries ignored</x:v>
      </x:c>
      <x:c r="J7481" s="6" t="str">
        <x:f>IF(B7481="","",IF(AND(ISNUMBER(SEARCH("平",B7481)),OR(ISNUMBER(SEARCH("上",B7481)),ISNUMBER(SEARCH("去",B7481)),ISNUMBER(SEARCH("入",B7481)))),"Ambiguous",IF(ISNUMBER(SEARCH("平",B7481)),"平","仄")))</x:f>
        <x:v>平</x:v>
      </x:c>
      <x:c r="K7481" s="6" t="str">
        <x:f>IF(D7481="","",IF(AND(ISNUMBER(SEARCH("平",D7481)),OR(ISNUMBER(SEARCH("上",D7481)),ISNUMBER(SEARCH("去",D7481)),ISNUMBER(SEARCH("入",D7481)))),"Ambiguous",IF(ISNUMBER(SEARCH("平",D7481)),"平","仄")))</x:f>
        <x:v>平</x:v>
      </x:c>
      <x:c r="L7481" s="7" t="str">
        <x:v>Pingshui main list expansion</x:v>
      </x:c>
    </x:row>
    <x:row r="7482">
      <x:c r="A7482" s="5" t="str">
        <x:v>窔</x:v>
      </x:c>
      <x:c r="B7482" s="6" t="str">
        <x:v>去</x:v>
      </x:c>
      <x:c r="C7482" s="6" t="str">
        <x:f>IF(B7482="","Needs decision","Ready")</x:f>
        <x:v>Ready</x:v>
      </x:c>
      <x:c r="D7482" s="6" t="str">
        <x:v>去</x:v>
      </x:c>
      <x:c r="E7482" s="6" t="str"/>
      <x:c r="F7482" s="6" t="str">
        <x:v>去聲十八嘯</x:v>
      </x:c>
      <x:c r="G7482" s="6" t="str">
        <x:v>Pingshui main list, Wikisource-derived DOCX</x:v>
      </x:c>
      <x:c r="H7482" s="6" t="str"/>
      <x:c r="I7482" s="6" t="str">
        <x:v>Pingshui main-list expansion; 詞 entries ignored</x:v>
      </x:c>
      <x:c r="J7482" s="6" t="str">
        <x:f>IF(B7482="","",IF(AND(ISNUMBER(SEARCH("平",B7482)),OR(ISNUMBER(SEARCH("上",B7482)),ISNUMBER(SEARCH("去",B7482)),ISNUMBER(SEARCH("入",B7482)))),"Ambiguous",IF(ISNUMBER(SEARCH("平",B7482)),"平","仄")))</x:f>
        <x:v>仄</x:v>
      </x:c>
      <x:c r="K7482" s="6" t="str">
        <x:f>IF(D7482="","",IF(AND(ISNUMBER(SEARCH("平",D7482)),OR(ISNUMBER(SEARCH("上",D7482)),ISNUMBER(SEARCH("去",D7482)),ISNUMBER(SEARCH("入",D7482)))),"Ambiguous",IF(ISNUMBER(SEARCH("平",D7482)),"平","仄")))</x:f>
        <x:v>仄</x:v>
      </x:c>
      <x:c r="L7482" s="7" t="str">
        <x:v>Pingshui main list expansion</x:v>
      </x:c>
    </x:row>
    <x:row r="7483">
      <x:c r="A7483" s="5" t="str">
        <x:v>窨</x:v>
      </x:c>
      <x:c r="B7483" s="6" t="str">
        <x:v>去</x:v>
      </x:c>
      <x:c r="C7483" s="6" t="str">
        <x:f>IF(B7483="","Needs decision","Ready")</x:f>
        <x:v>Ready</x:v>
      </x:c>
      <x:c r="D7483" s="6" t="str">
        <x:v>去</x:v>
      </x:c>
      <x:c r="E7483" s="6" t="str"/>
      <x:c r="F7483" s="6" t="str">
        <x:v>去聲二十七沁</x:v>
      </x:c>
      <x:c r="G7483" s="6" t="str">
        <x:v>Pingshui main list, Wikisource-derived DOCX</x:v>
      </x:c>
      <x:c r="H7483" s="6" t="str"/>
      <x:c r="I7483" s="6" t="str">
        <x:v>Pingshui main-list expansion; 詞 entries ignored</x:v>
      </x:c>
      <x:c r="J7483" s="6" t="str">
        <x:f>IF(B7483="","",IF(AND(ISNUMBER(SEARCH("平",B7483)),OR(ISNUMBER(SEARCH("上",B7483)),ISNUMBER(SEARCH("去",B7483)),ISNUMBER(SEARCH("入",B7483)))),"Ambiguous",IF(ISNUMBER(SEARCH("平",B7483)),"平","仄")))</x:f>
        <x:v>仄</x:v>
      </x:c>
      <x:c r="K7483" s="6" t="str">
        <x:f>IF(D7483="","",IF(AND(ISNUMBER(SEARCH("平",D7483)),OR(ISNUMBER(SEARCH("上",D7483)),ISNUMBER(SEARCH("去",D7483)),ISNUMBER(SEARCH("入",D7483)))),"Ambiguous",IF(ISNUMBER(SEARCH("平",D7483)),"平","仄")))</x:f>
        <x:v>仄</x:v>
      </x:c>
      <x:c r="L7483" s="7" t="str">
        <x:v>Pingshui main list expansion</x:v>
      </x:c>
    </x:row>
    <x:row r="7484">
      <x:c r="A7484" s="5" t="str">
        <x:v>窩</x:v>
      </x:c>
      <x:c r="B7484" s="6" t="str">
        <x:v>平</x:v>
      </x:c>
      <x:c r="C7484" s="6" t="str">
        <x:f>IF(B7484="","Needs decision","Ready")</x:f>
        <x:v>Ready</x:v>
      </x:c>
      <x:c r="D7484" s="6" t="str">
        <x:v>平</x:v>
      </x:c>
      <x:c r="E7484" s="6" t="str"/>
      <x:c r="F7484" s="6" t="str">
        <x:v>下平聲五歌</x:v>
      </x:c>
      <x:c r="G7484" s="6" t="str">
        <x:v>Pingshui main list, Wikisource-derived DOCX</x:v>
      </x:c>
      <x:c r="H7484" s="6" t="str"/>
      <x:c r="I7484" s="6" t="str">
        <x:v>Pingshui main-list expansion; 詞 entries ignored</x:v>
      </x:c>
      <x:c r="J7484" s="6" t="str">
        <x:f>IF(B7484="","",IF(AND(ISNUMBER(SEARCH("平",B7484)),OR(ISNUMBER(SEARCH("上",B7484)),ISNUMBER(SEARCH("去",B7484)),ISNUMBER(SEARCH("入",B7484)))),"Ambiguous",IF(ISNUMBER(SEARCH("平",B7484)),"平","仄")))</x:f>
        <x:v>平</x:v>
      </x:c>
      <x:c r="K7484" s="6" t="str">
        <x:f>IF(D7484="","",IF(AND(ISNUMBER(SEARCH("平",D7484)),OR(ISNUMBER(SEARCH("上",D7484)),ISNUMBER(SEARCH("去",D7484)),ISNUMBER(SEARCH("入",D7484)))),"Ambiguous",IF(ISNUMBER(SEARCH("平",D7484)),"平","仄")))</x:f>
        <x:v>平</x:v>
      </x:c>
      <x:c r="L7484" s="7" t="str">
        <x:v>Pingshui main list expansion</x:v>
      </x:c>
    </x:row>
    <x:row r="7485">
      <x:c r="A7485" s="5" t="str">
        <x:v>窬</x:v>
      </x:c>
      <x:c r="B7485" s="6" t="str">
        <x:v>平</x:v>
      </x:c>
      <x:c r="C7485" s="6" t="str">
        <x:f>IF(B7485="","Needs decision","Ready")</x:f>
        <x:v>Ready</x:v>
      </x:c>
      <x:c r="D7485" s="6" t="str">
        <x:v>平</x:v>
      </x:c>
      <x:c r="E7485" s="6" t="str"/>
      <x:c r="F7485" s="6" t="str">
        <x:v>上平聲七虞</x:v>
      </x:c>
      <x:c r="G7485" s="6" t="str">
        <x:v>Pingshui main list, Wikisource-derived DOCX</x:v>
      </x:c>
      <x:c r="H7485" s="6" t="str"/>
      <x:c r="I7485" s="6" t="str">
        <x:v>Pingshui main-list expansion; 詞 entries ignored</x:v>
      </x:c>
      <x:c r="J7485" s="6" t="str">
        <x:f>IF(B7485="","",IF(AND(ISNUMBER(SEARCH("平",B7485)),OR(ISNUMBER(SEARCH("上",B7485)),ISNUMBER(SEARCH("去",B7485)),ISNUMBER(SEARCH("入",B7485)))),"Ambiguous",IF(ISNUMBER(SEARCH("平",B7485)),"平","仄")))</x:f>
        <x:v>平</x:v>
      </x:c>
      <x:c r="K7485" s="6" t="str">
        <x:f>IF(D7485="","",IF(AND(ISNUMBER(SEARCH("平",D7485)),OR(ISNUMBER(SEARCH("上",D7485)),ISNUMBER(SEARCH("去",D7485)),ISNUMBER(SEARCH("入",D7485)))),"Ambiguous",IF(ISNUMBER(SEARCH("平",D7485)),"平","仄")))</x:f>
        <x:v>平</x:v>
      </x:c>
      <x:c r="L7485" s="7" t="str">
        <x:v>Pingshui main list expansion</x:v>
      </x:c>
    </x:row>
    <x:row r="7486">
      <x:c r="A7486" s="5" t="str">
        <x:v>窯</x:v>
      </x:c>
      <x:c r="B7486" s="6" t="str">
        <x:v>平</x:v>
      </x:c>
      <x:c r="C7486" s="6" t="str">
        <x:f>IF(B7486="","Needs decision","Ready")</x:f>
        <x:v>Ready</x:v>
      </x:c>
      <x:c r="D7486" s="6" t="str">
        <x:v>平</x:v>
      </x:c>
      <x:c r="E7486" s="6" t="str"/>
      <x:c r="F7486" s="6" t="str">
        <x:v>下平聲二蕭</x:v>
      </x:c>
      <x:c r="G7486" s="6" t="str">
        <x:v>Pingshui main list, Wikisource-derived DOCX</x:v>
      </x:c>
      <x:c r="H7486" s="6" t="str"/>
      <x:c r="I7486" s="6" t="str">
        <x:v>Pingshui main-list expansion; 詞 entries ignored</x:v>
      </x:c>
      <x:c r="J7486" s="6" t="str">
        <x:f>IF(B7486="","",IF(AND(ISNUMBER(SEARCH("平",B7486)),OR(ISNUMBER(SEARCH("上",B7486)),ISNUMBER(SEARCH("去",B7486)),ISNUMBER(SEARCH("入",B7486)))),"Ambiguous",IF(ISNUMBER(SEARCH("平",B7486)),"平","仄")))</x:f>
        <x:v>平</x:v>
      </x:c>
      <x:c r="K7486" s="6" t="str">
        <x:f>IF(D7486="","",IF(AND(ISNUMBER(SEARCH("平",D7486)),OR(ISNUMBER(SEARCH("上",D7486)),ISNUMBER(SEARCH("去",D7486)),ISNUMBER(SEARCH("入",D7486)))),"Ambiguous",IF(ISNUMBER(SEARCH("平",D7486)),"平","仄")))</x:f>
        <x:v>平</x:v>
      </x:c>
      <x:c r="L7486" s="7" t="str">
        <x:v>Pingshui main list expansion</x:v>
      </x:c>
    </x:row>
    <x:row r="7487">
      <x:c r="A7487" s="5" t="str">
        <x:v>窱</x:v>
      </x:c>
      <x:c r="B7487" s="6" t="str"/>
      <x:c r="C7487" s="6" t="str">
        <x:f>IF(B7487="","Needs decision","Ready")</x:f>
        <x:v>Needs decision</x:v>
      </x:c>
      <x:c r="D7487" s="6" t="str">
        <x:v>上/去</x:v>
      </x:c>
      <x:c r="E7487" s="6" t="str"/>
      <x:c r="F7487" s="6" t="str">
        <x:v>上聲十七篠; 去聲十八嘯</x:v>
      </x:c>
      <x:c r="G7487" s="6" t="str">
        <x:v>Pingshui main list, Wikisource-derived DOCX</x:v>
      </x:c>
      <x:c r="H7487" s="6" t="str"/>
      <x:c r="I7487" s="6" t="str">
        <x:v>Pingshui main-list expansion; 詞 entries ignored</x:v>
      </x:c>
      <x:c r="J7487" s="6" t="str">
        <x:f>IF(B7487="","",IF(AND(ISNUMBER(SEARCH("平",B7487)),OR(ISNUMBER(SEARCH("上",B7487)),ISNUMBER(SEARCH("去",B7487)),ISNUMBER(SEARCH("入",B7487)))),"Ambiguous",IF(ISNUMBER(SEARCH("平",B7487)),"平","仄")))</x:f>
      </x:c>
      <x:c r="K7487" s="6" t="str">
        <x:f>IF(D7487="","",IF(AND(ISNUMBER(SEARCH("平",D7487)),OR(ISNUMBER(SEARCH("上",D7487)),ISNUMBER(SEARCH("去",D7487)),ISNUMBER(SEARCH("入",D7487)))),"Ambiguous",IF(ISNUMBER(SEARCH("平",D7487)),"平","仄")))</x:f>
        <x:v>仄</x:v>
      </x:c>
      <x:c r="L7487" s="7" t="str">
        <x:v>Pingshui main list expansion</x:v>
      </x:c>
    </x:row>
    <x:row r="7488">
      <x:c r="A7488" s="5" t="str">
        <x:v>窾</x:v>
      </x:c>
      <x:c r="B7488" s="6" t="str">
        <x:v>上</x:v>
      </x:c>
      <x:c r="C7488" s="6" t="str">
        <x:f>IF(B7488="","Needs decision","Ready")</x:f>
        <x:v>Ready</x:v>
      </x:c>
      <x:c r="D7488" s="6" t="str">
        <x:v>上</x:v>
      </x:c>
      <x:c r="E7488" s="6" t="str"/>
      <x:c r="F7488" s="6" t="str">
        <x:v>上聲十四旱</x:v>
      </x:c>
      <x:c r="G7488" s="6" t="str">
        <x:v>Pingshui main list, Wikisource-derived DOCX</x:v>
      </x:c>
      <x:c r="H7488" s="6" t="str"/>
      <x:c r="I7488" s="6" t="str">
        <x:v>Pingshui main-list expansion; 詞 entries ignored</x:v>
      </x:c>
      <x:c r="J7488" s="6" t="str">
        <x:f>IF(B7488="","",IF(AND(ISNUMBER(SEARCH("平",B7488)),OR(ISNUMBER(SEARCH("上",B7488)),ISNUMBER(SEARCH("去",B7488)),ISNUMBER(SEARCH("入",B7488)))),"Ambiguous",IF(ISNUMBER(SEARCH("平",B7488)),"平","仄")))</x:f>
        <x:v>仄</x:v>
      </x:c>
      <x:c r="K7488" s="6" t="str">
        <x:f>IF(D7488="","",IF(AND(ISNUMBER(SEARCH("平",D7488)),OR(ISNUMBER(SEARCH("上",D7488)),ISNUMBER(SEARCH("去",D7488)),ISNUMBER(SEARCH("入",D7488)))),"Ambiguous",IF(ISNUMBER(SEARCH("平",D7488)),"平","仄")))</x:f>
        <x:v>仄</x:v>
      </x:c>
      <x:c r="L7488" s="7" t="str">
        <x:v>Pingshui main list expansion</x:v>
      </x:c>
    </x:row>
    <x:row r="7489">
      <x:c r="A7489" s="5" t="str">
        <x:v>笆</x:v>
      </x:c>
      <x:c r="B7489" s="6" t="str">
        <x:v>平</x:v>
      </x:c>
      <x:c r="C7489" s="6" t="str">
        <x:f>IF(B7489="","Needs decision","Ready")</x:f>
        <x:v>Ready</x:v>
      </x:c>
      <x:c r="D7489" s="6" t="str">
        <x:v>平</x:v>
      </x:c>
      <x:c r="E7489" s="6" t="str"/>
      <x:c r="F7489" s="6" t="str">
        <x:v>下平聲六麻</x:v>
      </x:c>
      <x:c r="G7489" s="6" t="str">
        <x:v>Pingshui main list, Wikisource-derived DOCX</x:v>
      </x:c>
      <x:c r="H7489" s="6" t="str"/>
      <x:c r="I7489" s="6" t="str">
        <x:v>Pingshui main-list expansion; 詞 entries ignored</x:v>
      </x:c>
      <x:c r="J7489" s="6" t="str">
        <x:f>IF(B7489="","",IF(AND(ISNUMBER(SEARCH("平",B7489)),OR(ISNUMBER(SEARCH("上",B7489)),ISNUMBER(SEARCH("去",B7489)),ISNUMBER(SEARCH("入",B7489)))),"Ambiguous",IF(ISNUMBER(SEARCH("平",B7489)),"平","仄")))</x:f>
        <x:v>平</x:v>
      </x:c>
      <x:c r="K7489" s="6" t="str">
        <x:f>IF(D7489="","",IF(AND(ISNUMBER(SEARCH("平",D7489)),OR(ISNUMBER(SEARCH("上",D7489)),ISNUMBER(SEARCH("去",D7489)),ISNUMBER(SEARCH("入",D7489)))),"Ambiguous",IF(ISNUMBER(SEARCH("平",D7489)),"平","仄")))</x:f>
        <x:v>平</x:v>
      </x:c>
      <x:c r="L7489" s="7" t="str">
        <x:v>Pingshui main list expansion</x:v>
      </x:c>
    </x:row>
    <x:row r="7490">
      <x:c r="A7490" s="5" t="str">
        <x:v>笊</x:v>
      </x:c>
      <x:c r="B7490" s="6" t="str">
        <x:v>去</x:v>
      </x:c>
      <x:c r="C7490" s="6" t="str">
        <x:f>IF(B7490="","Needs decision","Ready")</x:f>
        <x:v>Ready</x:v>
      </x:c>
      <x:c r="D7490" s="6" t="str">
        <x:v>去</x:v>
      </x:c>
      <x:c r="E7490" s="6" t="str"/>
      <x:c r="F7490" s="6" t="str">
        <x:v>去聲十九效</x:v>
      </x:c>
      <x:c r="G7490" s="6" t="str">
        <x:v>Pingshui main list, Wikisource-derived DOCX</x:v>
      </x:c>
      <x:c r="H7490" s="6" t="str"/>
      <x:c r="I7490" s="6" t="str">
        <x:v>Pingshui main-list expansion; 詞 entries ignored</x:v>
      </x:c>
      <x:c r="J7490" s="6" t="str">
        <x:f>IF(B7490="","",IF(AND(ISNUMBER(SEARCH("平",B7490)),OR(ISNUMBER(SEARCH("上",B7490)),ISNUMBER(SEARCH("去",B7490)),ISNUMBER(SEARCH("入",B7490)))),"Ambiguous",IF(ISNUMBER(SEARCH("平",B7490)),"平","仄")))</x:f>
        <x:v>仄</x:v>
      </x:c>
      <x:c r="K7490" s="6" t="str">
        <x:f>IF(D7490="","",IF(AND(ISNUMBER(SEARCH("平",D7490)),OR(ISNUMBER(SEARCH("上",D7490)),ISNUMBER(SEARCH("去",D7490)),ISNUMBER(SEARCH("入",D7490)))),"Ambiguous",IF(ISNUMBER(SEARCH("平",D7490)),"平","仄")))</x:f>
        <x:v>仄</x:v>
      </x:c>
      <x:c r="L7490" s="7" t="str">
        <x:v>Pingshui main list expansion</x:v>
      </x:c>
    </x:row>
    <x:row r="7491">
      <x:c r="A7491" s="5" t="str">
        <x:v>笓</x:v>
      </x:c>
      <x:c r="B7491" s="6" t="str">
        <x:v>平</x:v>
      </x:c>
      <x:c r="C7491" s="6" t="str">
        <x:f>IF(B7491="","Needs decision","Ready")</x:f>
        <x:v>Ready</x:v>
      </x:c>
      <x:c r="D7491" s="6" t="str">
        <x:v>平</x:v>
      </x:c>
      <x:c r="E7491" s="6" t="str"/>
      <x:c r="F7491" s="6" t="str">
        <x:v>上平聲八齊</x:v>
      </x:c>
      <x:c r="G7491" s="6" t="str">
        <x:v>Pingshui main list, Wikisource-derived DOCX</x:v>
      </x:c>
      <x:c r="H7491" s="6" t="str"/>
      <x:c r="I7491" s="6" t="str">
        <x:v>Pingshui main-list expansion; 詞 entries ignored</x:v>
      </x:c>
      <x:c r="J7491" s="6" t="str">
        <x:f>IF(B7491="","",IF(AND(ISNUMBER(SEARCH("平",B7491)),OR(ISNUMBER(SEARCH("上",B7491)),ISNUMBER(SEARCH("去",B7491)),ISNUMBER(SEARCH("入",B7491)))),"Ambiguous",IF(ISNUMBER(SEARCH("平",B7491)),"平","仄")))</x:f>
        <x:v>平</x:v>
      </x:c>
      <x:c r="K7491" s="6" t="str">
        <x:f>IF(D7491="","",IF(AND(ISNUMBER(SEARCH("平",D7491)),OR(ISNUMBER(SEARCH("上",D7491)),ISNUMBER(SEARCH("去",D7491)),ISNUMBER(SEARCH("入",D7491)))),"Ambiguous",IF(ISNUMBER(SEARCH("平",D7491)),"平","仄")))</x:f>
        <x:v>平</x:v>
      </x:c>
      <x:c r="L7491" s="7" t="str">
        <x:v>Pingshui main list expansion</x:v>
      </x:c>
    </x:row>
    <x:row r="7492">
      <x:c r="A7492" s="5" t="str">
        <x:v>笢</x:v>
      </x:c>
      <x:c r="B7492" s="6" t="str">
        <x:v>平</x:v>
      </x:c>
      <x:c r="C7492" s="6" t="str">
        <x:f>IF(B7492="","Needs decision","Ready")</x:f>
        <x:v>Ready</x:v>
      </x:c>
      <x:c r="D7492" s="6" t="str">
        <x:v>平</x:v>
      </x:c>
      <x:c r="E7492" s="6" t="str"/>
      <x:c r="F7492" s="6" t="str">
        <x:v>上平聲十一真</x:v>
      </x:c>
      <x:c r="G7492" s="6" t="str">
        <x:v>Pingshui main list, Wikisource-derived DOCX</x:v>
      </x:c>
      <x:c r="H7492" s="6" t="str"/>
      <x:c r="I7492" s="6" t="str">
        <x:v>Pingshui main-list expansion; 詞 entries ignored</x:v>
      </x:c>
      <x:c r="J7492" s="6" t="str">
        <x:f>IF(B7492="","",IF(AND(ISNUMBER(SEARCH("平",B7492)),OR(ISNUMBER(SEARCH("上",B7492)),ISNUMBER(SEARCH("去",B7492)),ISNUMBER(SEARCH("入",B7492)))),"Ambiguous",IF(ISNUMBER(SEARCH("平",B7492)),"平","仄")))</x:f>
        <x:v>平</x:v>
      </x:c>
      <x:c r="K7492" s="6" t="str">
        <x:f>IF(D7492="","",IF(AND(ISNUMBER(SEARCH("平",D7492)),OR(ISNUMBER(SEARCH("上",D7492)),ISNUMBER(SEARCH("去",D7492)),ISNUMBER(SEARCH("入",D7492)))),"Ambiguous",IF(ISNUMBER(SEARCH("平",D7492)),"平","仄")))</x:f>
        <x:v>平</x:v>
      </x:c>
      <x:c r="L7492" s="7" t="str">
        <x:v>Pingshui main list expansion</x:v>
      </x:c>
    </x:row>
    <x:row r="7493">
      <x:c r="A7493" s="5" t="str">
        <x:v>笪</x:v>
      </x:c>
      <x:c r="B7493" s="6" t="str">
        <x:v>入</x:v>
      </x:c>
      <x:c r="C7493" s="6" t="str">
        <x:f>IF(B7493="","Needs decision","Ready")</x:f>
        <x:v>Ready</x:v>
      </x:c>
      <x:c r="D7493" s="6" t="str">
        <x:v>入</x:v>
      </x:c>
      <x:c r="E7493" s="6" t="str"/>
      <x:c r="F7493" s="6" t="str">
        <x:v>入聲七曷</x:v>
      </x:c>
      <x:c r="G7493" s="6" t="str">
        <x:v>Pingshui main list, Wikisource-derived DOCX</x:v>
      </x:c>
      <x:c r="H7493" s="6" t="str"/>
      <x:c r="I7493" s="6" t="str">
        <x:v>Pingshui main-list expansion; 詞 entries ignored</x:v>
      </x:c>
      <x:c r="J7493" s="6" t="str">
        <x:f>IF(B7493="","",IF(AND(ISNUMBER(SEARCH("平",B7493)),OR(ISNUMBER(SEARCH("上",B7493)),ISNUMBER(SEARCH("去",B7493)),ISNUMBER(SEARCH("入",B7493)))),"Ambiguous",IF(ISNUMBER(SEARCH("平",B7493)),"平","仄")))</x:f>
        <x:v>仄</x:v>
      </x:c>
      <x:c r="K7493" s="6" t="str">
        <x:f>IF(D7493="","",IF(AND(ISNUMBER(SEARCH("平",D7493)),OR(ISNUMBER(SEARCH("上",D7493)),ISNUMBER(SEARCH("去",D7493)),ISNUMBER(SEARCH("入",D7493)))),"Ambiguous",IF(ISNUMBER(SEARCH("平",D7493)),"平","仄")))</x:f>
        <x:v>仄</x:v>
      </x:c>
      <x:c r="L7493" s="7" t="str">
        <x:v>Pingshui main list expansion</x:v>
      </x:c>
    </x:row>
    <x:row r="7494">
      <x:c r="A7494" s="5" t="str">
        <x:v>笫</x:v>
      </x:c>
      <x:c r="B7494" s="6" t="str">
        <x:v>上</x:v>
      </x:c>
      <x:c r="C7494" s="6" t="str">
        <x:f>IF(B7494="","Needs decision","Ready")</x:f>
        <x:v>Ready</x:v>
      </x:c>
      <x:c r="D7494" s="6" t="str">
        <x:v>上</x:v>
      </x:c>
      <x:c r="E7494" s="6" t="str"/>
      <x:c r="F7494" s="6" t="str">
        <x:v>上聲四紙</x:v>
      </x:c>
      <x:c r="G7494" s="6" t="str">
        <x:v>Pingshui main list, Wikisource-derived DOCX</x:v>
      </x:c>
      <x:c r="H7494" s="6" t="str"/>
      <x:c r="I7494" s="6" t="str">
        <x:v>Pingshui main-list expansion; 詞 entries ignored</x:v>
      </x:c>
      <x:c r="J7494" s="6" t="str">
        <x:f>IF(B7494="","",IF(AND(ISNUMBER(SEARCH("平",B7494)),OR(ISNUMBER(SEARCH("上",B7494)),ISNUMBER(SEARCH("去",B7494)),ISNUMBER(SEARCH("入",B7494)))),"Ambiguous",IF(ISNUMBER(SEARCH("平",B7494)),"平","仄")))</x:f>
        <x:v>仄</x:v>
      </x:c>
      <x:c r="K7494" s="6" t="str">
        <x:f>IF(D7494="","",IF(AND(ISNUMBER(SEARCH("平",D7494)),OR(ISNUMBER(SEARCH("上",D7494)),ISNUMBER(SEARCH("去",D7494)),ISNUMBER(SEARCH("入",D7494)))),"Ambiguous",IF(ISNUMBER(SEARCH("平",D7494)),"平","仄")))</x:f>
        <x:v>仄</x:v>
      </x:c>
      <x:c r="L7494" s="7" t="str">
        <x:v>Pingshui main list expansion</x:v>
      </x:c>
    </x:row>
    <x:row r="7495">
      <x:c r="A7495" s="5" t="str">
        <x:v>笯</x:v>
      </x:c>
      <x:c r="B7495" s="6" t="str">
        <x:v>平</x:v>
      </x:c>
      <x:c r="C7495" s="6" t="str">
        <x:f>IF(B7495="","Needs decision","Ready")</x:f>
        <x:v>Ready</x:v>
      </x:c>
      <x:c r="D7495" s="6" t="str">
        <x:v>平</x:v>
      </x:c>
      <x:c r="E7495" s="6" t="str"/>
      <x:c r="F7495" s="6" t="str">
        <x:v>上平聲七虞; 下平聲六麻</x:v>
      </x:c>
      <x:c r="G7495" s="6" t="str">
        <x:v>Pingshui main list, Wikisource-derived DOCX</x:v>
      </x:c>
      <x:c r="H7495" s="6" t="str"/>
      <x:c r="I7495" s="6" t="str">
        <x:v>Pingshui main-list expansion; 詞 entries ignored</x:v>
      </x:c>
      <x:c r="J7495" s="6" t="str">
        <x:f>IF(B7495="","",IF(AND(ISNUMBER(SEARCH("平",B7495)),OR(ISNUMBER(SEARCH("上",B7495)),ISNUMBER(SEARCH("去",B7495)),ISNUMBER(SEARCH("入",B7495)))),"Ambiguous",IF(ISNUMBER(SEARCH("平",B7495)),"平","仄")))</x:f>
        <x:v>平</x:v>
      </x:c>
      <x:c r="K7495" s="6" t="str">
        <x:f>IF(D7495="","",IF(AND(ISNUMBER(SEARCH("平",D7495)),OR(ISNUMBER(SEARCH("上",D7495)),ISNUMBER(SEARCH("去",D7495)),ISNUMBER(SEARCH("入",D7495)))),"Ambiguous",IF(ISNUMBER(SEARCH("平",D7495)),"平","仄")))</x:f>
        <x:v>平</x:v>
      </x:c>
      <x:c r="L7495" s="7" t="str">
        <x:v>Pingshui main list expansion</x:v>
      </x:c>
    </x:row>
    <x:row r="7496">
      <x:c r="A7496" s="5" t="str">
        <x:v>笵</x:v>
      </x:c>
      <x:c r="B7496" s="6" t="str">
        <x:v>上</x:v>
      </x:c>
      <x:c r="C7496" s="6" t="str">
        <x:f>IF(B7496="","Needs decision","Ready")</x:f>
        <x:v>Ready</x:v>
      </x:c>
      <x:c r="D7496" s="6" t="str">
        <x:v>上</x:v>
      </x:c>
      <x:c r="E7496" s="6" t="str"/>
      <x:c r="F7496" s="6" t="str">
        <x:v>上聲二十九豏</x:v>
      </x:c>
      <x:c r="G7496" s="6" t="str">
        <x:v>Pingshui main list, Wikisource-derived DOCX</x:v>
      </x:c>
      <x:c r="H7496" s="6" t="str"/>
      <x:c r="I7496" s="6" t="str">
        <x:v>Pingshui main-list expansion; 詞 entries ignored</x:v>
      </x:c>
      <x:c r="J7496" s="6" t="str">
        <x:f>IF(B7496="","",IF(AND(ISNUMBER(SEARCH("平",B7496)),OR(ISNUMBER(SEARCH("上",B7496)),ISNUMBER(SEARCH("去",B7496)),ISNUMBER(SEARCH("入",B7496)))),"Ambiguous",IF(ISNUMBER(SEARCH("平",B7496)),"平","仄")))</x:f>
        <x:v>仄</x:v>
      </x:c>
      <x:c r="K7496" s="6" t="str">
        <x:f>IF(D7496="","",IF(AND(ISNUMBER(SEARCH("平",D7496)),OR(ISNUMBER(SEARCH("上",D7496)),ISNUMBER(SEARCH("去",D7496)),ISNUMBER(SEARCH("入",D7496)))),"Ambiguous",IF(ISNUMBER(SEARCH("平",D7496)),"平","仄")))</x:f>
        <x:v>仄</x:v>
      </x:c>
      <x:c r="L7496" s="7" t="str">
        <x:v>Pingshui main list expansion</x:v>
      </x:c>
    </x:row>
    <x:row r="7497">
      <x:c r="A7497" s="5" t="str">
        <x:v>筀</x:v>
      </x:c>
      <x:c r="B7497" s="6" t="str">
        <x:v>去</x:v>
      </x:c>
      <x:c r="C7497" s="6" t="str">
        <x:f>IF(B7497="","Needs decision","Ready")</x:f>
        <x:v>Ready</x:v>
      </x:c>
      <x:c r="D7497" s="6" t="str">
        <x:v>去</x:v>
      </x:c>
      <x:c r="E7497" s="6" t="str"/>
      <x:c r="F7497" s="6" t="str">
        <x:v>去聲八霽</x:v>
      </x:c>
      <x:c r="G7497" s="6" t="str">
        <x:v>Pingshui main list, Wikisource-derived DOCX</x:v>
      </x:c>
      <x:c r="H7497" s="6" t="str"/>
      <x:c r="I7497" s="6" t="str">
        <x:v>Pingshui main-list expansion; 詞 entries ignored</x:v>
      </x:c>
      <x:c r="J7497" s="6" t="str">
        <x:f>IF(B7497="","",IF(AND(ISNUMBER(SEARCH("平",B7497)),OR(ISNUMBER(SEARCH("上",B7497)),ISNUMBER(SEARCH("去",B7497)),ISNUMBER(SEARCH("入",B7497)))),"Ambiguous",IF(ISNUMBER(SEARCH("平",B7497)),"平","仄")))</x:f>
        <x:v>仄</x:v>
      </x:c>
      <x:c r="K7497" s="6" t="str">
        <x:f>IF(D7497="","",IF(AND(ISNUMBER(SEARCH("平",D7497)),OR(ISNUMBER(SEARCH("上",D7497)),ISNUMBER(SEARCH("去",D7497)),ISNUMBER(SEARCH("入",D7497)))),"Ambiguous",IF(ISNUMBER(SEARCH("平",D7497)),"平","仄")))</x:f>
        <x:v>仄</x:v>
      </x:c>
      <x:c r="L7497" s="7" t="str">
        <x:v>Pingshui main list expansion</x:v>
      </x:c>
    </x:row>
    <x:row r="7498">
      <x:c r="A7498" s="5" t="str">
        <x:v>筅</x:v>
      </x:c>
      <x:c r="B7498" s="6" t="str">
        <x:v>上</x:v>
      </x:c>
      <x:c r="C7498" s="6" t="str">
        <x:f>IF(B7498="","Needs decision","Ready")</x:f>
        <x:v>Ready</x:v>
      </x:c>
      <x:c r="D7498" s="6" t="str">
        <x:v>上</x:v>
      </x:c>
      <x:c r="E7498" s="6" t="str"/>
      <x:c r="F7498" s="6" t="str">
        <x:v>上聲十六銑</x:v>
      </x:c>
      <x:c r="G7498" s="6" t="str">
        <x:v>Pingshui main list, Wikisource-derived DOCX</x:v>
      </x:c>
      <x:c r="H7498" s="6" t="str"/>
      <x:c r="I7498" s="6" t="str">
        <x:v>Pingshui main-list expansion; 詞 entries ignored</x:v>
      </x:c>
      <x:c r="J7498" s="6" t="str">
        <x:f>IF(B7498="","",IF(AND(ISNUMBER(SEARCH("平",B7498)),OR(ISNUMBER(SEARCH("上",B7498)),ISNUMBER(SEARCH("去",B7498)),ISNUMBER(SEARCH("入",B7498)))),"Ambiguous",IF(ISNUMBER(SEARCH("平",B7498)),"平","仄")))</x:f>
        <x:v>仄</x:v>
      </x:c>
      <x:c r="K7498" s="6" t="str">
        <x:f>IF(D7498="","",IF(AND(ISNUMBER(SEARCH("平",D7498)),OR(ISNUMBER(SEARCH("上",D7498)),ISNUMBER(SEARCH("去",D7498)),ISNUMBER(SEARCH("入",D7498)))),"Ambiguous",IF(ISNUMBER(SEARCH("平",D7498)),"平","仄")))</x:f>
        <x:v>仄</x:v>
      </x:c>
      <x:c r="L7498" s="7" t="str">
        <x:v>Pingshui main list expansion</x:v>
      </x:c>
    </x:row>
    <x:row r="7499">
      <x:c r="A7499" s="5" t="str">
        <x:v>筏</x:v>
      </x:c>
      <x:c r="B7499" s="6" t="str">
        <x:v>入</x:v>
      </x:c>
      <x:c r="C7499" s="6" t="str">
        <x:f>IF(B7499="","Needs decision","Ready")</x:f>
        <x:v>Ready</x:v>
      </x:c>
      <x:c r="D7499" s="6" t="str">
        <x:v>入</x:v>
      </x:c>
      <x:c r="E7499" s="6" t="str"/>
      <x:c r="F7499" s="6" t="str">
        <x:v>入聲六月</x:v>
      </x:c>
      <x:c r="G7499" s="6" t="str">
        <x:v>Pingshui main list, Wikisource-derived DOCX</x:v>
      </x:c>
      <x:c r="H7499" s="6" t="str"/>
      <x:c r="I7499" s="6" t="str">
        <x:v>Pingshui main-list expansion; 詞 entries ignored</x:v>
      </x:c>
      <x:c r="J7499" s="6" t="str">
        <x:f>IF(B7499="","",IF(AND(ISNUMBER(SEARCH("平",B7499)),OR(ISNUMBER(SEARCH("上",B7499)),ISNUMBER(SEARCH("去",B7499)),ISNUMBER(SEARCH("入",B7499)))),"Ambiguous",IF(ISNUMBER(SEARCH("平",B7499)),"平","仄")))</x:f>
        <x:v>仄</x:v>
      </x:c>
      <x:c r="K7499" s="6" t="str">
        <x:f>IF(D7499="","",IF(AND(ISNUMBER(SEARCH("平",D7499)),OR(ISNUMBER(SEARCH("上",D7499)),ISNUMBER(SEARCH("去",D7499)),ISNUMBER(SEARCH("入",D7499)))),"Ambiguous",IF(ISNUMBER(SEARCH("平",D7499)),"平","仄")))</x:f>
        <x:v>仄</x:v>
      </x:c>
      <x:c r="L7499" s="7" t="str">
        <x:v>Pingshui main list expansion</x:v>
      </x:c>
    </x:row>
    <x:row r="7500">
      <x:c r="A7500" s="5" t="str">
        <x:v>筡</x:v>
      </x:c>
      <x:c r="B7500" s="6" t="str">
        <x:v>平</x:v>
      </x:c>
      <x:c r="C7500" s="6" t="str">
        <x:f>IF(B7500="","Needs decision","Ready")</x:f>
        <x:v>Ready</x:v>
      </x:c>
      <x:c r="D7500" s="6" t="str">
        <x:v>平</x:v>
      </x:c>
      <x:c r="E7500" s="6" t="str"/>
      <x:c r="F7500" s="6" t="str">
        <x:v>上平聲六魚</x:v>
      </x:c>
      <x:c r="G7500" s="6" t="str">
        <x:v>Pingshui main list, Wikisource-derived DOCX</x:v>
      </x:c>
      <x:c r="H7500" s="6" t="str"/>
      <x:c r="I7500" s="6" t="str">
        <x:v>Pingshui main-list expansion; 詞 entries ignored</x:v>
      </x:c>
      <x:c r="J7500" s="6" t="str">
        <x:f>IF(B7500="","",IF(AND(ISNUMBER(SEARCH("平",B7500)),OR(ISNUMBER(SEARCH("上",B7500)),ISNUMBER(SEARCH("去",B7500)),ISNUMBER(SEARCH("入",B7500)))),"Ambiguous",IF(ISNUMBER(SEARCH("平",B7500)),"平","仄")))</x:f>
        <x:v>平</x:v>
      </x:c>
      <x:c r="K7500" s="6" t="str">
        <x:f>IF(D7500="","",IF(AND(ISNUMBER(SEARCH("平",D7500)),OR(ISNUMBER(SEARCH("上",D7500)),ISNUMBER(SEARCH("去",D7500)),ISNUMBER(SEARCH("入",D7500)))),"Ambiguous",IF(ISNUMBER(SEARCH("平",D7500)),"平","仄")))</x:f>
        <x:v>平</x:v>
      </x:c>
      <x:c r="L7500" s="7" t="str">
        <x:v>Pingshui main list expansion</x:v>
      </x:c>
    </x:row>
    <x:row r="7501">
      <x:c r="A7501" s="5" t="str">
        <x:v>筤</x:v>
      </x:c>
      <x:c r="B7501" s="6" t="str">
        <x:v>平</x:v>
      </x:c>
      <x:c r="C7501" s="6" t="str">
        <x:f>IF(B7501="","Needs decision","Ready")</x:f>
        <x:v>Ready</x:v>
      </x:c>
      <x:c r="D7501" s="6" t="str">
        <x:v>平</x:v>
      </x:c>
      <x:c r="E7501" s="6" t="str"/>
      <x:c r="F7501" s="6" t="str">
        <x:v>下平聲七陽</x:v>
      </x:c>
      <x:c r="G7501" s="6" t="str">
        <x:v>Pingshui main list, Wikisource-derived DOCX</x:v>
      </x:c>
      <x:c r="H7501" s="6" t="str"/>
      <x:c r="I7501" s="6" t="str">
        <x:v>Pingshui main-list expansion; 詞 entries ignored</x:v>
      </x:c>
      <x:c r="J7501" s="6" t="str">
        <x:f>IF(B7501="","",IF(AND(ISNUMBER(SEARCH("平",B7501)),OR(ISNUMBER(SEARCH("上",B7501)),ISNUMBER(SEARCH("去",B7501)),ISNUMBER(SEARCH("入",B7501)))),"Ambiguous",IF(ISNUMBER(SEARCH("平",B7501)),"平","仄")))</x:f>
        <x:v>平</x:v>
      </x:c>
      <x:c r="K7501" s="6" t="str">
        <x:f>IF(D7501="","",IF(AND(ISNUMBER(SEARCH("平",D7501)),OR(ISNUMBER(SEARCH("上",D7501)),ISNUMBER(SEARCH("去",D7501)),ISNUMBER(SEARCH("入",D7501)))),"Ambiguous",IF(ISNUMBER(SEARCH("平",D7501)),"平","仄")))</x:f>
        <x:v>平</x:v>
      </x:c>
      <x:c r="L7501" s="7" t="str">
        <x:v>Pingshui main list expansion</x:v>
      </x:c>
    </x:row>
    <x:row r="7502">
      <x:c r="A7502" s="5" t="str">
        <x:v>筧</x:v>
      </x:c>
      <x:c r="B7502" s="6" t="str">
        <x:v>上</x:v>
      </x:c>
      <x:c r="C7502" s="6" t="str">
        <x:f>IF(B7502="","Needs decision","Ready")</x:f>
        <x:v>Ready</x:v>
      </x:c>
      <x:c r="D7502" s="6" t="str">
        <x:v>上</x:v>
      </x:c>
      <x:c r="E7502" s="6" t="str"/>
      <x:c r="F7502" s="6" t="str">
        <x:v>上聲十六銑</x:v>
      </x:c>
      <x:c r="G7502" s="6" t="str">
        <x:v>Pingshui main list, Wikisource-derived DOCX</x:v>
      </x:c>
      <x:c r="H7502" s="6" t="str"/>
      <x:c r="I7502" s="6" t="str">
        <x:v>Pingshui main-list expansion; 詞 entries ignored</x:v>
      </x:c>
      <x:c r="J7502" s="6" t="str">
        <x:f>IF(B7502="","",IF(AND(ISNUMBER(SEARCH("平",B7502)),OR(ISNUMBER(SEARCH("上",B7502)),ISNUMBER(SEARCH("去",B7502)),ISNUMBER(SEARCH("入",B7502)))),"Ambiguous",IF(ISNUMBER(SEARCH("平",B7502)),"平","仄")))</x:f>
        <x:v>仄</x:v>
      </x:c>
      <x:c r="K7502" s="6" t="str">
        <x:f>IF(D7502="","",IF(AND(ISNUMBER(SEARCH("平",D7502)),OR(ISNUMBER(SEARCH("上",D7502)),ISNUMBER(SEARCH("去",D7502)),ISNUMBER(SEARCH("入",D7502)))),"Ambiguous",IF(ISNUMBER(SEARCH("平",D7502)),"平","仄")))</x:f>
        <x:v>仄</x:v>
      </x:c>
      <x:c r="L7502" s="7" t="str">
        <x:v>Pingshui main list expansion</x:v>
      </x:c>
    </x:row>
    <x:row r="7503">
      <x:c r="A7503" s="5" t="str">
        <x:v>筩</x:v>
      </x:c>
      <x:c r="B7503" s="6" t="str">
        <x:v>平</x:v>
      </x:c>
      <x:c r="C7503" s="6" t="str">
        <x:f>IF(B7503="","Needs decision","Ready")</x:f>
        <x:v>Ready</x:v>
      </x:c>
      <x:c r="D7503" s="6" t="str">
        <x:v>平</x:v>
      </x:c>
      <x:c r="E7503" s="6" t="str"/>
      <x:c r="F7503" s="6" t="str">
        <x:v>上平聲一東</x:v>
      </x:c>
      <x:c r="G7503" s="6" t="str">
        <x:v>Pingshui main list, Wikisource-derived DOCX</x:v>
      </x:c>
      <x:c r="H7503" s="6" t="str"/>
      <x:c r="I7503" s="6" t="str">
        <x:v>Pingshui main-list expansion; 詞 entries ignored</x:v>
      </x:c>
      <x:c r="J7503" s="6" t="str">
        <x:f>IF(B7503="","",IF(AND(ISNUMBER(SEARCH("平",B7503)),OR(ISNUMBER(SEARCH("上",B7503)),ISNUMBER(SEARCH("去",B7503)),ISNUMBER(SEARCH("入",B7503)))),"Ambiguous",IF(ISNUMBER(SEARCH("平",B7503)),"平","仄")))</x:f>
        <x:v>平</x:v>
      </x:c>
      <x:c r="K7503" s="6" t="str">
        <x:f>IF(D7503="","",IF(AND(ISNUMBER(SEARCH("平",D7503)),OR(ISNUMBER(SEARCH("上",D7503)),ISNUMBER(SEARCH("去",D7503)),ISNUMBER(SEARCH("入",D7503)))),"Ambiguous",IF(ISNUMBER(SEARCH("平",D7503)),"平","仄")))</x:f>
        <x:v>平</x:v>
      </x:c>
      <x:c r="L7503" s="7" t="str">
        <x:v>Pingshui main list expansion</x:v>
      </x:c>
    </x:row>
    <x:row r="7504">
      <x:c r="A7504" s="5" t="str">
        <x:v>筳</x:v>
      </x:c>
      <x:c r="B7504" s="6" t="str">
        <x:v>平</x:v>
      </x:c>
      <x:c r="C7504" s="6" t="str">
        <x:f>IF(B7504="","Needs decision","Ready")</x:f>
        <x:v>Ready</x:v>
      </x:c>
      <x:c r="D7504" s="6" t="str">
        <x:v>平</x:v>
      </x:c>
      <x:c r="E7504" s="6" t="str"/>
      <x:c r="F7504" s="6" t="str">
        <x:v>下平聲九青</x:v>
      </x:c>
      <x:c r="G7504" s="6" t="str">
        <x:v>Pingshui main list, Wikisource-derived DOCX</x:v>
      </x:c>
      <x:c r="H7504" s="6" t="str"/>
      <x:c r="I7504" s="6" t="str">
        <x:v>Pingshui main-list expansion; 詞 entries ignored</x:v>
      </x:c>
      <x:c r="J7504" s="6" t="str">
        <x:f>IF(B7504="","",IF(AND(ISNUMBER(SEARCH("平",B7504)),OR(ISNUMBER(SEARCH("上",B7504)),ISNUMBER(SEARCH("去",B7504)),ISNUMBER(SEARCH("入",B7504)))),"Ambiguous",IF(ISNUMBER(SEARCH("平",B7504)),"平","仄")))</x:f>
        <x:v>平</x:v>
      </x:c>
      <x:c r="K7504" s="6" t="str">
        <x:f>IF(D7504="","",IF(AND(ISNUMBER(SEARCH("平",D7504)),OR(ISNUMBER(SEARCH("上",D7504)),ISNUMBER(SEARCH("去",D7504)),ISNUMBER(SEARCH("入",D7504)))),"Ambiguous",IF(ISNUMBER(SEARCH("平",D7504)),"平","仄")))</x:f>
        <x:v>平</x:v>
      </x:c>
      <x:c r="L7504" s="7" t="str">
        <x:v>Pingshui main list expansion</x:v>
      </x:c>
    </x:row>
    <x:row r="7505">
      <x:c r="A7505" s="5" t="str">
        <x:v>箄</x:v>
      </x:c>
      <x:c r="B7505" s="6" t="str">
        <x:v>平</x:v>
      </x:c>
      <x:c r="C7505" s="6" t="str">
        <x:f>IF(B7505="","Needs decision","Ready")</x:f>
        <x:v>Ready</x:v>
      </x:c>
      <x:c r="D7505" s="6" t="str">
        <x:v>平</x:v>
      </x:c>
      <x:c r="E7505" s="6" t="str"/>
      <x:c r="F7505" s="6" t="str">
        <x:v>上平聲四支</x:v>
      </x:c>
      <x:c r="G7505" s="6" t="str">
        <x:v>Pingshui main list, Wikisource-derived DOCX</x:v>
      </x:c>
      <x:c r="H7505" s="6" t="str"/>
      <x:c r="I7505" s="6" t="str">
        <x:v>Pingshui main-list expansion; 詞 entries ignored</x:v>
      </x:c>
      <x:c r="J7505" s="6" t="str">
        <x:f>IF(B7505="","",IF(AND(ISNUMBER(SEARCH("平",B7505)),OR(ISNUMBER(SEARCH("上",B7505)),ISNUMBER(SEARCH("去",B7505)),ISNUMBER(SEARCH("入",B7505)))),"Ambiguous",IF(ISNUMBER(SEARCH("平",B7505)),"平","仄")))</x:f>
        <x:v>平</x:v>
      </x:c>
      <x:c r="K7505" s="6" t="str">
        <x:f>IF(D7505="","",IF(AND(ISNUMBER(SEARCH("平",D7505)),OR(ISNUMBER(SEARCH("上",D7505)),ISNUMBER(SEARCH("去",D7505)),ISNUMBER(SEARCH("入",D7505)))),"Ambiguous",IF(ISNUMBER(SEARCH("平",D7505)),"平","仄")))</x:f>
        <x:v>平</x:v>
      </x:c>
      <x:c r="L7505" s="7" t="str">
        <x:v>Pingshui main list expansion</x:v>
      </x:c>
    </x:row>
    <x:row r="7506">
      <x:c r="A7506" s="5" t="str">
        <x:v>箅</x:v>
      </x:c>
      <x:c r="B7506" s="6" t="str">
        <x:v>去</x:v>
      </x:c>
      <x:c r="C7506" s="6" t="str">
        <x:f>IF(B7506="","Needs decision","Ready")</x:f>
        <x:v>Ready</x:v>
      </x:c>
      <x:c r="D7506" s="6" t="str">
        <x:v>去</x:v>
      </x:c>
      <x:c r="E7506" s="6" t="str"/>
      <x:c r="F7506" s="6" t="str">
        <x:v>去聲八霽</x:v>
      </x:c>
      <x:c r="G7506" s="6" t="str">
        <x:v>Pingshui main list, Wikisource-derived DOCX</x:v>
      </x:c>
      <x:c r="H7506" s="6" t="str"/>
      <x:c r="I7506" s="6" t="str">
        <x:v>Pingshui main-list expansion; 詞 entries ignored</x:v>
      </x:c>
      <x:c r="J7506" s="6" t="str">
        <x:f>IF(B7506="","",IF(AND(ISNUMBER(SEARCH("平",B7506)),OR(ISNUMBER(SEARCH("上",B7506)),ISNUMBER(SEARCH("去",B7506)),ISNUMBER(SEARCH("入",B7506)))),"Ambiguous",IF(ISNUMBER(SEARCH("平",B7506)),"平","仄")))</x:f>
        <x:v>仄</x:v>
      </x:c>
      <x:c r="K7506" s="6" t="str">
        <x:f>IF(D7506="","",IF(AND(ISNUMBER(SEARCH("平",D7506)),OR(ISNUMBER(SEARCH("上",D7506)),ISNUMBER(SEARCH("去",D7506)),ISNUMBER(SEARCH("入",D7506)))),"Ambiguous",IF(ISNUMBER(SEARCH("平",D7506)),"平","仄")))</x:f>
        <x:v>仄</x:v>
      </x:c>
      <x:c r="L7506" s="7" t="str">
        <x:v>Pingshui main list expansion</x:v>
      </x:c>
    </x:row>
    <x:row r="7507">
      <x:c r="A7507" s="5" t="str">
        <x:v>箊</x:v>
      </x:c>
      <x:c r="B7507" s="6" t="str">
        <x:v>平</x:v>
      </x:c>
      <x:c r="C7507" s="6" t="str">
        <x:f>IF(B7507="","Needs decision","Ready")</x:f>
        <x:v>Ready</x:v>
      </x:c>
      <x:c r="D7507" s="6" t="str">
        <x:v>平</x:v>
      </x:c>
      <x:c r="E7507" s="6" t="str"/>
      <x:c r="F7507" s="6" t="str">
        <x:v>上平聲六魚</x:v>
      </x:c>
      <x:c r="G7507" s="6" t="str">
        <x:v>Pingshui main list, Wikisource-derived DOCX</x:v>
      </x:c>
      <x:c r="H7507" s="6" t="str"/>
      <x:c r="I7507" s="6" t="str">
        <x:v>Pingshui main-list expansion; 詞 entries ignored</x:v>
      </x:c>
      <x:c r="J7507" s="6" t="str">
        <x:f>IF(B7507="","",IF(AND(ISNUMBER(SEARCH("平",B7507)),OR(ISNUMBER(SEARCH("上",B7507)),ISNUMBER(SEARCH("去",B7507)),ISNUMBER(SEARCH("入",B7507)))),"Ambiguous",IF(ISNUMBER(SEARCH("平",B7507)),"平","仄")))</x:f>
        <x:v>平</x:v>
      </x:c>
      <x:c r="K7507" s="6" t="str">
        <x:f>IF(D7507="","",IF(AND(ISNUMBER(SEARCH("平",D7507)),OR(ISNUMBER(SEARCH("上",D7507)),ISNUMBER(SEARCH("去",D7507)),ISNUMBER(SEARCH("入",D7507)))),"Ambiguous",IF(ISNUMBER(SEARCH("平",D7507)),"平","仄")))</x:f>
        <x:v>平</x:v>
      </x:c>
      <x:c r="L7507" s="7" t="str">
        <x:v>Pingshui main list expansion</x:v>
      </x:c>
    </x:row>
    <x:row r="7508">
      <x:c r="A7508" s="5" t="str">
        <x:v>箑</x:v>
      </x:c>
      <x:c r="B7508" s="6" t="str">
        <x:v>入</x:v>
      </x:c>
      <x:c r="C7508" s="6" t="str">
        <x:f>IF(B7508="","Needs decision","Ready")</x:f>
        <x:v>Ready</x:v>
      </x:c>
      <x:c r="D7508" s="6" t="str">
        <x:v>入</x:v>
      </x:c>
      <x:c r="E7508" s="6" t="str"/>
      <x:c r="F7508" s="6" t="str">
        <x:v>入聲十六葉; 入聲十七洽</x:v>
      </x:c>
      <x:c r="G7508" s="6" t="str">
        <x:v>Pingshui main list, Wikisource-derived DOCX</x:v>
      </x:c>
      <x:c r="H7508" s="6" t="str"/>
      <x:c r="I7508" s="6" t="str">
        <x:v>Pingshui main-list expansion; 詞 entries ignored</x:v>
      </x:c>
      <x:c r="J7508" s="6" t="str">
        <x:f>IF(B7508="","",IF(AND(ISNUMBER(SEARCH("平",B7508)),OR(ISNUMBER(SEARCH("上",B7508)),ISNUMBER(SEARCH("去",B7508)),ISNUMBER(SEARCH("入",B7508)))),"Ambiguous",IF(ISNUMBER(SEARCH("平",B7508)),"平","仄")))</x:f>
        <x:v>仄</x:v>
      </x:c>
      <x:c r="K7508" s="6" t="str">
        <x:f>IF(D7508="","",IF(AND(ISNUMBER(SEARCH("平",D7508)),OR(ISNUMBER(SEARCH("上",D7508)),ISNUMBER(SEARCH("去",D7508)),ISNUMBER(SEARCH("入",D7508)))),"Ambiguous",IF(ISNUMBER(SEARCH("平",D7508)),"平","仄")))</x:f>
        <x:v>仄</x:v>
      </x:c>
      <x:c r="L7508" s="7" t="str">
        <x:v>Pingshui main list expansion</x:v>
      </x:c>
    </x:row>
    <x:row r="7509">
      <x:c r="A7509" s="5" t="str">
        <x:v>箘</x:v>
      </x:c>
      <x:c r="B7509" s="6" t="str"/>
      <x:c r="C7509" s="6" t="str">
        <x:f>IF(B7509="","Needs decision","Ready")</x:f>
        <x:v>Needs decision</x:v>
      </x:c>
      <x:c r="D7509" s="6" t="str">
        <x:v>平/上</x:v>
      </x:c>
      <x:c r="E7509" s="6" t="str"/>
      <x:c r="F7509" s="6" t="str">
        <x:v>上平聲十一真; 上聲十一軫</x:v>
      </x:c>
      <x:c r="G7509" s="6" t="str">
        <x:v>Pingshui main list, Wikisource-derived DOCX</x:v>
      </x:c>
      <x:c r="H7509" s="6" t="str"/>
      <x:c r="I7509" s="6" t="str">
        <x:v>Pingshui main-list expansion; 詞 entries ignored</x:v>
      </x:c>
      <x:c r="J7509" s="6" t="str">
        <x:f>IF(B7509="","",IF(AND(ISNUMBER(SEARCH("平",B7509)),OR(ISNUMBER(SEARCH("上",B7509)),ISNUMBER(SEARCH("去",B7509)),ISNUMBER(SEARCH("入",B7509)))),"Ambiguous",IF(ISNUMBER(SEARCH("平",B7509)),"平","仄")))</x:f>
      </x:c>
      <x:c r="K7509" s="6" t="str">
        <x:f>IF(D7509="","",IF(AND(ISNUMBER(SEARCH("平",D7509)),OR(ISNUMBER(SEARCH("上",D7509)),ISNUMBER(SEARCH("去",D7509)),ISNUMBER(SEARCH("入",D7509)))),"Ambiguous",IF(ISNUMBER(SEARCH("平",D7509)),"平","仄")))</x:f>
        <x:v>Ambiguous</x:v>
      </x:c>
      <x:c r="L7509" s="7" t="str">
        <x:v>Pingshui main list expansion</x:v>
      </x:c>
    </x:row>
    <x:row r="7510">
      <x:c r="A7510" s="5" t="str">
        <x:v>箝</x:v>
      </x:c>
      <x:c r="B7510" s="6" t="str">
        <x:v>平</x:v>
      </x:c>
      <x:c r="C7510" s="6" t="str">
        <x:f>IF(B7510="","Needs decision","Ready")</x:f>
        <x:v>Ready</x:v>
      </x:c>
      <x:c r="D7510" s="6" t="str">
        <x:v>平</x:v>
      </x:c>
      <x:c r="E7510" s="6" t="str"/>
      <x:c r="F7510" s="6" t="str">
        <x:v>下平聲十四鹽</x:v>
      </x:c>
      <x:c r="G7510" s="6" t="str">
        <x:v>Pingshui main list, Wikisource-derived DOCX</x:v>
      </x:c>
      <x:c r="H7510" s="6" t="str"/>
      <x:c r="I7510" s="6" t="str">
        <x:v>Pingshui main-list expansion; 詞 entries ignored</x:v>
      </x:c>
      <x:c r="J7510" s="6" t="str">
        <x:f>IF(B7510="","",IF(AND(ISNUMBER(SEARCH("平",B7510)),OR(ISNUMBER(SEARCH("上",B7510)),ISNUMBER(SEARCH("去",B7510)),ISNUMBER(SEARCH("入",B7510)))),"Ambiguous",IF(ISNUMBER(SEARCH("平",B7510)),"平","仄")))</x:f>
        <x:v>平</x:v>
      </x:c>
      <x:c r="K7510" s="6" t="str">
        <x:f>IF(D7510="","",IF(AND(ISNUMBER(SEARCH("平",D7510)),OR(ISNUMBER(SEARCH("上",D7510)),ISNUMBER(SEARCH("去",D7510)),ISNUMBER(SEARCH("入",D7510)))),"Ambiguous",IF(ISNUMBER(SEARCH("平",D7510)),"平","仄")))</x:f>
        <x:v>平</x:v>
      </x:c>
      <x:c r="L7510" s="7" t="str">
        <x:v>Pingshui main list expansion</x:v>
      </x:c>
    </x:row>
    <x:row r="7511">
      <x:c r="A7511" s="5" t="str">
        <x:v>箠</x:v>
      </x:c>
      <x:c r="B7511" s="6" t="str"/>
      <x:c r="C7511" s="6" t="str">
        <x:f>IF(B7511="","Needs decision","Ready")</x:f>
        <x:v>Needs decision</x:v>
      </x:c>
      <x:c r="D7511" s="6" t="str">
        <x:v>平/上</x:v>
      </x:c>
      <x:c r="E7511" s="6" t="str"/>
      <x:c r="F7511" s="6" t="str">
        <x:v>上平聲四支; 上聲四紙</x:v>
      </x:c>
      <x:c r="G7511" s="6" t="str">
        <x:v>Pingshui main list, Wikisource-derived DOCX</x:v>
      </x:c>
      <x:c r="H7511" s="6" t="str"/>
      <x:c r="I7511" s="6" t="str">
        <x:v>Pingshui main-list expansion; 詞 entries ignored</x:v>
      </x:c>
      <x:c r="J7511" s="6" t="str">
        <x:f>IF(B7511="","",IF(AND(ISNUMBER(SEARCH("平",B7511)),OR(ISNUMBER(SEARCH("上",B7511)),ISNUMBER(SEARCH("去",B7511)),ISNUMBER(SEARCH("入",B7511)))),"Ambiguous",IF(ISNUMBER(SEARCH("平",B7511)),"平","仄")))</x:f>
      </x:c>
      <x:c r="K7511" s="6" t="str">
        <x:f>IF(D7511="","",IF(AND(ISNUMBER(SEARCH("平",D7511)),OR(ISNUMBER(SEARCH("上",D7511)),ISNUMBER(SEARCH("去",D7511)),ISNUMBER(SEARCH("入",D7511)))),"Ambiguous",IF(ISNUMBER(SEARCH("平",D7511)),"平","仄")))</x:f>
        <x:v>Ambiguous</x:v>
      </x:c>
      <x:c r="L7511" s="7" t="str">
        <x:v>Pingshui main list expansion</x:v>
      </x:c>
    </x:row>
    <x:row r="7512">
      <x:c r="A7512" s="5" t="str">
        <x:v>箯</x:v>
      </x:c>
      <x:c r="B7512" s="6" t="str">
        <x:v>平</x:v>
      </x:c>
      <x:c r="C7512" s="6" t="str">
        <x:f>IF(B7512="","Needs decision","Ready")</x:f>
        <x:v>Ready</x:v>
      </x:c>
      <x:c r="D7512" s="6" t="str">
        <x:v>平</x:v>
      </x:c>
      <x:c r="E7512" s="6" t="str"/>
      <x:c r="F7512" s="6" t="str">
        <x:v>下平聲一先</x:v>
      </x:c>
      <x:c r="G7512" s="6" t="str">
        <x:v>Pingshui main list, Wikisource-derived DOCX</x:v>
      </x:c>
      <x:c r="H7512" s="6" t="str"/>
      <x:c r="I7512" s="6" t="str">
        <x:v>Pingshui main-list expansion; 詞 entries ignored</x:v>
      </x:c>
      <x:c r="J7512" s="6" t="str">
        <x:f>IF(B7512="","",IF(AND(ISNUMBER(SEARCH("平",B7512)),OR(ISNUMBER(SEARCH("上",B7512)),ISNUMBER(SEARCH("去",B7512)),ISNUMBER(SEARCH("入",B7512)))),"Ambiguous",IF(ISNUMBER(SEARCH("平",B7512)),"平","仄")))</x:f>
        <x:v>平</x:v>
      </x:c>
      <x:c r="K7512" s="6" t="str">
        <x:f>IF(D7512="","",IF(AND(ISNUMBER(SEARCH("平",D7512)),OR(ISNUMBER(SEARCH("上",D7512)),ISNUMBER(SEARCH("去",D7512)),ISNUMBER(SEARCH("入",D7512)))),"Ambiguous",IF(ISNUMBER(SEARCH("平",D7512)),"平","仄")))</x:f>
        <x:v>平</x:v>
      </x:c>
      <x:c r="L7512" s="7" t="str">
        <x:v>Pingshui main list expansion</x:v>
      </x:c>
    </x:row>
    <x:row r="7513">
      <x:c r="A7513" s="5" t="str">
        <x:v>箵</x:v>
      </x:c>
      <x:c r="B7513" s="6" t="str">
        <x:v>上</x:v>
      </x:c>
      <x:c r="C7513" s="6" t="str">
        <x:f>IF(B7513="","Needs decision","Ready")</x:f>
        <x:v>Ready</x:v>
      </x:c>
      <x:c r="D7513" s="6" t="str">
        <x:v>上</x:v>
      </x:c>
      <x:c r="E7513" s="6" t="str"/>
      <x:c r="F7513" s="6" t="str">
        <x:v>上聲二十三梗</x:v>
      </x:c>
      <x:c r="G7513" s="6" t="str">
        <x:v>Pingshui main list, Wikisource-derived DOCX</x:v>
      </x:c>
      <x:c r="H7513" s="6" t="str"/>
      <x:c r="I7513" s="6" t="str">
        <x:v>Pingshui main-list expansion; 詞 entries ignored</x:v>
      </x:c>
      <x:c r="J7513" s="6" t="str">
        <x:f>IF(B7513="","",IF(AND(ISNUMBER(SEARCH("平",B7513)),OR(ISNUMBER(SEARCH("上",B7513)),ISNUMBER(SEARCH("去",B7513)),ISNUMBER(SEARCH("入",B7513)))),"Ambiguous",IF(ISNUMBER(SEARCH("平",B7513)),"平","仄")))</x:f>
        <x:v>仄</x:v>
      </x:c>
      <x:c r="K7513" s="6" t="str">
        <x:f>IF(D7513="","",IF(AND(ISNUMBER(SEARCH("平",D7513)),OR(ISNUMBER(SEARCH("上",D7513)),ISNUMBER(SEARCH("去",D7513)),ISNUMBER(SEARCH("入",D7513)))),"Ambiguous",IF(ISNUMBER(SEARCH("平",D7513)),"平","仄")))</x:f>
        <x:v>仄</x:v>
      </x:c>
      <x:c r="L7513" s="7" t="str">
        <x:v>Pingshui main list expansion</x:v>
      </x:c>
    </x:row>
    <x:row r="7514">
      <x:c r="A7514" s="5" t="str">
        <x:v>箾</x:v>
      </x:c>
      <x:c r="B7514" s="6" t="str">
        <x:v>入</x:v>
      </x:c>
      <x:c r="C7514" s="6" t="str">
        <x:f>IF(B7514="","Needs decision","Ready")</x:f>
        <x:v>Ready</x:v>
      </x:c>
      <x:c r="D7514" s="6" t="str">
        <x:v>入</x:v>
      </x:c>
      <x:c r="E7514" s="6" t="str"/>
      <x:c r="F7514" s="6" t="str">
        <x:v>入聲三覺</x:v>
      </x:c>
      <x:c r="G7514" s="6" t="str">
        <x:v>Pingshui main list, Wikisource-derived DOCX</x:v>
      </x:c>
      <x:c r="H7514" s="6" t="str"/>
      <x:c r="I7514" s="6" t="str">
        <x:v>Pingshui main-list expansion; 詞 entries ignored</x:v>
      </x:c>
      <x:c r="J7514" s="6" t="str">
        <x:f>IF(B7514="","",IF(AND(ISNUMBER(SEARCH("平",B7514)),OR(ISNUMBER(SEARCH("上",B7514)),ISNUMBER(SEARCH("去",B7514)),ISNUMBER(SEARCH("入",B7514)))),"Ambiguous",IF(ISNUMBER(SEARCH("平",B7514)),"平","仄")))</x:f>
        <x:v>仄</x:v>
      </x:c>
      <x:c r="K7514" s="6" t="str">
        <x:f>IF(D7514="","",IF(AND(ISNUMBER(SEARCH("平",D7514)),OR(ISNUMBER(SEARCH("上",D7514)),ISNUMBER(SEARCH("去",D7514)),ISNUMBER(SEARCH("入",D7514)))),"Ambiguous",IF(ISNUMBER(SEARCH("平",D7514)),"平","仄")))</x:f>
        <x:v>仄</x:v>
      </x:c>
      <x:c r="L7514" s="7" t="str">
        <x:v>Pingshui main list expansion</x:v>
      </x:c>
    </x:row>
    <x:row r="7515">
      <x:c r="A7515" s="5" t="str">
        <x:v>篔</x:v>
      </x:c>
      <x:c r="B7515" s="6" t="str">
        <x:v>平</x:v>
      </x:c>
      <x:c r="C7515" s="6" t="str">
        <x:f>IF(B7515="","Needs decision","Ready")</x:f>
        <x:v>Ready</x:v>
      </x:c>
      <x:c r="D7515" s="6" t="str">
        <x:v>平</x:v>
      </x:c>
      <x:c r="E7515" s="6" t="str"/>
      <x:c r="F7515" s="6" t="str">
        <x:v>上平聲十二文</x:v>
      </x:c>
      <x:c r="G7515" s="6" t="str">
        <x:v>Pingshui main list, Wikisource-derived DOCX</x:v>
      </x:c>
      <x:c r="H7515" s="6" t="str"/>
      <x:c r="I7515" s="6" t="str">
        <x:v>Pingshui main-list expansion; 詞 entries ignored</x:v>
      </x:c>
      <x:c r="J7515" s="6" t="str">
        <x:f>IF(B7515="","",IF(AND(ISNUMBER(SEARCH("平",B7515)),OR(ISNUMBER(SEARCH("上",B7515)),ISNUMBER(SEARCH("去",B7515)),ISNUMBER(SEARCH("入",B7515)))),"Ambiguous",IF(ISNUMBER(SEARCH("平",B7515)),"平","仄")))</x:f>
        <x:v>平</x:v>
      </x:c>
      <x:c r="K7515" s="6" t="str">
        <x:f>IF(D7515="","",IF(AND(ISNUMBER(SEARCH("平",D7515)),OR(ISNUMBER(SEARCH("上",D7515)),ISNUMBER(SEARCH("去",D7515)),ISNUMBER(SEARCH("入",D7515)))),"Ambiguous",IF(ISNUMBER(SEARCH("平",D7515)),"平","仄")))</x:f>
        <x:v>平</x:v>
      </x:c>
      <x:c r="L7515" s="7" t="str">
        <x:v>Pingshui main list expansion</x:v>
      </x:c>
    </x:row>
    <x:row r="7516">
      <x:c r="A7516" s="5" t="str">
        <x:v>篘</x:v>
      </x:c>
      <x:c r="B7516" s="6" t="str">
        <x:v>平</x:v>
      </x:c>
      <x:c r="C7516" s="6" t="str">
        <x:f>IF(B7516="","Needs decision","Ready")</x:f>
        <x:v>Ready</x:v>
      </x:c>
      <x:c r="D7516" s="6" t="str">
        <x:v>平</x:v>
      </x:c>
      <x:c r="E7516" s="6" t="str"/>
      <x:c r="F7516" s="6" t="str">
        <x:v>下平聲十一尤</x:v>
      </x:c>
      <x:c r="G7516" s="6" t="str">
        <x:v>Pingshui main list, Wikisource-derived DOCX</x:v>
      </x:c>
      <x:c r="H7516" s="6" t="str"/>
      <x:c r="I7516" s="6" t="str">
        <x:v>Pingshui main-list expansion; 詞 entries ignored</x:v>
      </x:c>
      <x:c r="J7516" s="6" t="str">
        <x:f>IF(B7516="","",IF(AND(ISNUMBER(SEARCH("平",B7516)),OR(ISNUMBER(SEARCH("上",B7516)),ISNUMBER(SEARCH("去",B7516)),ISNUMBER(SEARCH("入",B7516)))),"Ambiguous",IF(ISNUMBER(SEARCH("平",B7516)),"平","仄")))</x:f>
        <x:v>平</x:v>
      </x:c>
      <x:c r="K7516" s="6" t="str">
        <x:f>IF(D7516="","",IF(AND(ISNUMBER(SEARCH("平",D7516)),OR(ISNUMBER(SEARCH("上",D7516)),ISNUMBER(SEARCH("去",D7516)),ISNUMBER(SEARCH("入",D7516)))),"Ambiguous",IF(ISNUMBER(SEARCH("平",D7516)),"平","仄")))</x:f>
        <x:v>平</x:v>
      </x:c>
      <x:c r="L7516" s="7" t="str">
        <x:v>Pingshui main list expansion</x:v>
      </x:c>
    </x:row>
    <x:row r="7517">
      <x:c r="A7517" s="5" t="str">
        <x:v>篜</x:v>
      </x:c>
      <x:c r="B7517" s="6" t="str">
        <x:v>平</x:v>
      </x:c>
      <x:c r="C7517" s="6" t="str">
        <x:f>IF(B7517="","Needs decision","Ready")</x:f>
        <x:v>Ready</x:v>
      </x:c>
      <x:c r="D7517" s="6" t="str">
        <x:v>平</x:v>
      </x:c>
      <x:c r="E7517" s="6" t="str"/>
      <x:c r="F7517" s="6" t="str">
        <x:v>下平聲十蒸</x:v>
      </x:c>
      <x:c r="G7517" s="6" t="str">
        <x:v>Pingshui main list, Wikisource-derived DOCX</x:v>
      </x:c>
      <x:c r="H7517" s="6" t="str"/>
      <x:c r="I7517" s="6" t="str">
        <x:v>Pingshui main-list expansion; 詞 entries ignored</x:v>
      </x:c>
      <x:c r="J7517" s="6" t="str">
        <x:f>IF(B7517="","",IF(AND(ISNUMBER(SEARCH("平",B7517)),OR(ISNUMBER(SEARCH("上",B7517)),ISNUMBER(SEARCH("去",B7517)),ISNUMBER(SEARCH("入",B7517)))),"Ambiguous",IF(ISNUMBER(SEARCH("平",B7517)),"平","仄")))</x:f>
        <x:v>平</x:v>
      </x:c>
      <x:c r="K7517" s="6" t="str">
        <x:f>IF(D7517="","",IF(AND(ISNUMBER(SEARCH("平",D7517)),OR(ISNUMBER(SEARCH("上",D7517)),ISNUMBER(SEARCH("去",D7517)),ISNUMBER(SEARCH("入",D7517)))),"Ambiguous",IF(ISNUMBER(SEARCH("平",D7517)),"平","仄")))</x:f>
        <x:v>平</x:v>
      </x:c>
      <x:c r="L7517" s="7" t="str">
        <x:v>Pingshui main list expansion</x:v>
      </x:c>
    </x:row>
    <x:row r="7518">
      <x:c r="A7518" s="5" t="str">
        <x:v>篞</x:v>
      </x:c>
      <x:c r="B7518" s="6" t="str">
        <x:v>入</x:v>
      </x:c>
      <x:c r="C7518" s="6" t="str">
        <x:f>IF(B7518="","Needs decision","Ready")</x:f>
        <x:v>Ready</x:v>
      </x:c>
      <x:c r="D7518" s="6" t="str">
        <x:v>入</x:v>
      </x:c>
      <x:c r="E7518" s="6" t="str"/>
      <x:c r="F7518" s="6" t="str">
        <x:v>入聲九屑</x:v>
      </x:c>
      <x:c r="G7518" s="6" t="str">
        <x:v>Pingshui main list, Wikisource-derived DOCX</x:v>
      </x:c>
      <x:c r="H7518" s="6" t="str"/>
      <x:c r="I7518" s="6" t="str">
        <x:v>Pingshui main-list expansion; 詞 entries ignored</x:v>
      </x:c>
      <x:c r="J7518" s="6" t="str">
        <x:f>IF(B7518="","",IF(AND(ISNUMBER(SEARCH("平",B7518)),OR(ISNUMBER(SEARCH("上",B7518)),ISNUMBER(SEARCH("去",B7518)),ISNUMBER(SEARCH("入",B7518)))),"Ambiguous",IF(ISNUMBER(SEARCH("平",B7518)),"平","仄")))</x:f>
        <x:v>仄</x:v>
      </x:c>
      <x:c r="K7518" s="6" t="str">
        <x:f>IF(D7518="","",IF(AND(ISNUMBER(SEARCH("平",D7518)),OR(ISNUMBER(SEARCH("上",D7518)),ISNUMBER(SEARCH("去",D7518)),ISNUMBER(SEARCH("入",D7518)))),"Ambiguous",IF(ISNUMBER(SEARCH("平",D7518)),"平","仄")))</x:f>
        <x:v>仄</x:v>
      </x:c>
      <x:c r="L7518" s="7" t="str">
        <x:v>Pingshui main list expansion</x:v>
      </x:c>
    </x:row>
    <x:row r="7519">
      <x:c r="A7519" s="5" t="str">
        <x:v>篠</x:v>
      </x:c>
      <x:c r="B7519" s="6" t="str">
        <x:v>上</x:v>
      </x:c>
      <x:c r="C7519" s="6" t="str">
        <x:f>IF(B7519="","Needs decision","Ready")</x:f>
        <x:v>Ready</x:v>
      </x:c>
      <x:c r="D7519" s="6" t="str">
        <x:v>上</x:v>
      </x:c>
      <x:c r="E7519" s="6" t="str"/>
      <x:c r="F7519" s="6" t="str">
        <x:v>上聲十七篠</x:v>
      </x:c>
      <x:c r="G7519" s="6" t="str">
        <x:v>Pingshui main list, Wikisource-derived DOCX</x:v>
      </x:c>
      <x:c r="H7519" s="6" t="str"/>
      <x:c r="I7519" s="6" t="str">
        <x:v>Pingshui main-list expansion; 詞 entries ignored</x:v>
      </x:c>
      <x:c r="J7519" s="6" t="str">
        <x:f>IF(B7519="","",IF(AND(ISNUMBER(SEARCH("平",B7519)),OR(ISNUMBER(SEARCH("上",B7519)),ISNUMBER(SEARCH("去",B7519)),ISNUMBER(SEARCH("入",B7519)))),"Ambiguous",IF(ISNUMBER(SEARCH("平",B7519)),"平","仄")))</x:f>
        <x:v>仄</x:v>
      </x:c>
      <x:c r="K7519" s="6" t="str">
        <x:f>IF(D7519="","",IF(AND(ISNUMBER(SEARCH("平",D7519)),OR(ISNUMBER(SEARCH("上",D7519)),ISNUMBER(SEARCH("去",D7519)),ISNUMBER(SEARCH("入",D7519)))),"Ambiguous",IF(ISNUMBER(SEARCH("平",D7519)),"平","仄")))</x:f>
        <x:v>仄</x:v>
      </x:c>
      <x:c r="L7519" s="7" t="str">
        <x:v>Pingshui main list expansion</x:v>
      </x:c>
    </x:row>
    <x:row r="7520">
      <x:c r="A7520" s="5" t="str">
        <x:v>篩</x:v>
      </x:c>
      <x:c r="B7520" s="6" t="str">
        <x:v>平</x:v>
      </x:c>
      <x:c r="C7520" s="6" t="str">
        <x:f>IF(B7520="","Needs decision","Ready")</x:f>
        <x:v>Ready</x:v>
      </x:c>
      <x:c r="D7520" s="6" t="str">
        <x:v>平</x:v>
      </x:c>
      <x:c r="E7520" s="6" t="str"/>
      <x:c r="F7520" s="6" t="str">
        <x:v>上平聲四支</x:v>
      </x:c>
      <x:c r="G7520" s="6" t="str">
        <x:v>Pingshui main list, Wikisource-derived DOCX</x:v>
      </x:c>
      <x:c r="H7520" s="6" t="str"/>
      <x:c r="I7520" s="6" t="str">
        <x:v>Pingshui main-list expansion; 詞 entries ignored</x:v>
      </x:c>
      <x:c r="J7520" s="6" t="str">
        <x:f>IF(B7520="","",IF(AND(ISNUMBER(SEARCH("平",B7520)),OR(ISNUMBER(SEARCH("上",B7520)),ISNUMBER(SEARCH("去",B7520)),ISNUMBER(SEARCH("入",B7520)))),"Ambiguous",IF(ISNUMBER(SEARCH("平",B7520)),"平","仄")))</x:f>
        <x:v>平</x:v>
      </x:c>
      <x:c r="K7520" s="6" t="str">
        <x:f>IF(D7520="","",IF(AND(ISNUMBER(SEARCH("平",D7520)),OR(ISNUMBER(SEARCH("上",D7520)),ISNUMBER(SEARCH("去",D7520)),ISNUMBER(SEARCH("入",D7520)))),"Ambiguous",IF(ISNUMBER(SEARCH("平",D7520)),"平","仄")))</x:f>
        <x:v>平</x:v>
      </x:c>
      <x:c r="L7520" s="7" t="str">
        <x:v>Pingshui main list expansion</x:v>
      </x:c>
    </x:row>
    <x:row r="7521">
      <x:c r="A7521" s="5" t="str">
        <x:v>篹</x:v>
      </x:c>
      <x:c r="B7521" s="6" t="str">
        <x:v>上</x:v>
      </x:c>
      <x:c r="C7521" s="6" t="str">
        <x:f>IF(B7521="","Needs decision","Ready")</x:f>
        <x:v>Ready</x:v>
      </x:c>
      <x:c r="D7521" s="6" t="str">
        <x:v>上</x:v>
      </x:c>
      <x:c r="E7521" s="6" t="str"/>
      <x:c r="F7521" s="6" t="str">
        <x:v>上聲十四旱</x:v>
      </x:c>
      <x:c r="G7521" s="6" t="str">
        <x:v>Pingshui main list, Wikisource-derived DOCX</x:v>
      </x:c>
      <x:c r="H7521" s="6" t="str"/>
      <x:c r="I7521" s="6" t="str">
        <x:v>Pingshui main-list expansion; 詞 entries ignored</x:v>
      </x:c>
      <x:c r="J7521" s="6" t="str">
        <x:f>IF(B7521="","",IF(AND(ISNUMBER(SEARCH("平",B7521)),OR(ISNUMBER(SEARCH("上",B7521)),ISNUMBER(SEARCH("去",B7521)),ISNUMBER(SEARCH("入",B7521)))),"Ambiguous",IF(ISNUMBER(SEARCH("平",B7521)),"平","仄")))</x:f>
        <x:v>仄</x:v>
      </x:c>
      <x:c r="K7521" s="6" t="str">
        <x:f>IF(D7521="","",IF(AND(ISNUMBER(SEARCH("平",D7521)),OR(ISNUMBER(SEARCH("上",D7521)),ISNUMBER(SEARCH("去",D7521)),ISNUMBER(SEARCH("入",D7521)))),"Ambiguous",IF(ISNUMBER(SEARCH("平",D7521)),"平","仄")))</x:f>
        <x:v>仄</x:v>
      </x:c>
      <x:c r="L7521" s="7" t="str">
        <x:v>Pingshui main list expansion</x:v>
      </x:c>
    </x:row>
    <x:row r="7522">
      <x:c r="A7522" s="5" t="str">
        <x:v>篿</x:v>
      </x:c>
      <x:c r="B7522" s="6" t="str">
        <x:v>平</x:v>
      </x:c>
      <x:c r="C7522" s="6" t="str">
        <x:f>IF(B7522="","Needs decision","Ready")</x:f>
        <x:v>Ready</x:v>
      </x:c>
      <x:c r="D7522" s="6" t="str">
        <x:v>平</x:v>
      </x:c>
      <x:c r="E7522" s="6" t="str"/>
      <x:c r="F7522" s="6" t="str">
        <x:v>下平聲一先</x:v>
      </x:c>
      <x:c r="G7522" s="6" t="str">
        <x:v>Pingshui main list, Wikisource-derived DOCX</x:v>
      </x:c>
      <x:c r="H7522" s="6" t="str"/>
      <x:c r="I7522" s="6" t="str">
        <x:v>Pingshui main-list expansion; 詞 entries ignored</x:v>
      </x:c>
      <x:c r="J7522" s="6" t="str">
        <x:f>IF(B7522="","",IF(AND(ISNUMBER(SEARCH("平",B7522)),OR(ISNUMBER(SEARCH("上",B7522)),ISNUMBER(SEARCH("去",B7522)),ISNUMBER(SEARCH("入",B7522)))),"Ambiguous",IF(ISNUMBER(SEARCH("平",B7522)),"平","仄")))</x:f>
        <x:v>平</x:v>
      </x:c>
      <x:c r="K7522" s="6" t="str">
        <x:f>IF(D7522="","",IF(AND(ISNUMBER(SEARCH("平",D7522)),OR(ISNUMBER(SEARCH("上",D7522)),ISNUMBER(SEARCH("去",D7522)),ISNUMBER(SEARCH("入",D7522)))),"Ambiguous",IF(ISNUMBER(SEARCH("平",D7522)),"平","仄")))</x:f>
        <x:v>平</x:v>
      </x:c>
      <x:c r="L7522" s="7" t="str">
        <x:v>Pingshui main list expansion</x:v>
      </x:c>
    </x:row>
    <x:row r="7523">
      <x:c r="A7523" s="5" t="str">
        <x:v>簃</x:v>
      </x:c>
      <x:c r="B7523" s="6" t="str">
        <x:v>平</x:v>
      </x:c>
      <x:c r="C7523" s="6" t="str">
        <x:f>IF(B7523="","Needs decision","Ready")</x:f>
        <x:v>Ready</x:v>
      </x:c>
      <x:c r="D7523" s="6" t="str">
        <x:v>平</x:v>
      </x:c>
      <x:c r="E7523" s="6" t="str"/>
      <x:c r="F7523" s="6" t="str">
        <x:v>上平聲四支</x:v>
      </x:c>
      <x:c r="G7523" s="6" t="str">
        <x:v>Pingshui main list, Wikisource-derived DOCX</x:v>
      </x:c>
      <x:c r="H7523" s="6" t="str"/>
      <x:c r="I7523" s="6" t="str">
        <x:v>Pingshui main-list expansion; 詞 entries ignored</x:v>
      </x:c>
      <x:c r="J7523" s="6" t="str">
        <x:f>IF(B7523="","",IF(AND(ISNUMBER(SEARCH("平",B7523)),OR(ISNUMBER(SEARCH("上",B7523)),ISNUMBER(SEARCH("去",B7523)),ISNUMBER(SEARCH("入",B7523)))),"Ambiguous",IF(ISNUMBER(SEARCH("平",B7523)),"平","仄")))</x:f>
        <x:v>平</x:v>
      </x:c>
      <x:c r="K7523" s="6" t="str">
        <x:f>IF(D7523="","",IF(AND(ISNUMBER(SEARCH("平",D7523)),OR(ISNUMBER(SEARCH("上",D7523)),ISNUMBER(SEARCH("去",D7523)),ISNUMBER(SEARCH("入",D7523)))),"Ambiguous",IF(ISNUMBER(SEARCH("平",D7523)),"平","仄")))</x:f>
        <x:v>平</x:v>
      </x:c>
      <x:c r="L7523" s="7" t="str">
        <x:v>Pingshui main list expansion</x:v>
      </x:c>
    </x:row>
    <x:row r="7524">
      <x:c r="A7524" s="5" t="str">
        <x:v>簍</x:v>
      </x:c>
      <x:c r="B7524" s="6" t="str"/>
      <x:c r="C7524" s="6" t="str">
        <x:f>IF(B7524="","Needs decision","Ready")</x:f>
        <x:v>Needs decision</x:v>
      </x:c>
      <x:c r="D7524" s="6" t="str">
        <x:v>平/上</x:v>
      </x:c>
      <x:c r="E7524" s="6" t="str"/>
      <x:c r="F7524" s="6" t="str">
        <x:v>下平聲十一尤; 上聲七麌; 上聲二十五有</x:v>
      </x:c>
      <x:c r="G7524" s="6" t="str">
        <x:v>Pingshui main list, Wikisource-derived DOCX</x:v>
      </x:c>
      <x:c r="H7524" s="6" t="str"/>
      <x:c r="I7524" s="6" t="str">
        <x:v>Pingshui main-list expansion; 詞 entries ignored</x:v>
      </x:c>
      <x:c r="J7524" s="6" t="str">
        <x:f>IF(B7524="","",IF(AND(ISNUMBER(SEARCH("平",B7524)),OR(ISNUMBER(SEARCH("上",B7524)),ISNUMBER(SEARCH("去",B7524)),ISNUMBER(SEARCH("入",B7524)))),"Ambiguous",IF(ISNUMBER(SEARCH("平",B7524)),"平","仄")))</x:f>
      </x:c>
      <x:c r="K7524" s="6" t="str">
        <x:f>IF(D7524="","",IF(AND(ISNUMBER(SEARCH("平",D7524)),OR(ISNUMBER(SEARCH("上",D7524)),ISNUMBER(SEARCH("去",D7524)),ISNUMBER(SEARCH("入",D7524)))),"Ambiguous",IF(ISNUMBER(SEARCH("平",D7524)),"平","仄")))</x:f>
        <x:v>Ambiguous</x:v>
      </x:c>
      <x:c r="L7524" s="7" t="str">
        <x:v>Pingshui main list expansion</x:v>
      </x:c>
    </x:row>
    <x:row r="7525">
      <x:c r="A7525" s="5" t="str">
        <x:v>簏</x:v>
      </x:c>
      <x:c r="B7525" s="6" t="str">
        <x:v>入</x:v>
      </x:c>
      <x:c r="C7525" s="6" t="str">
        <x:f>IF(B7525="","Needs decision","Ready")</x:f>
        <x:v>Ready</x:v>
      </x:c>
      <x:c r="D7525" s="6" t="str">
        <x:v>入</x:v>
      </x:c>
      <x:c r="E7525" s="6" t="str"/>
      <x:c r="F7525" s="6" t="str">
        <x:v>入聲一屋</x:v>
      </x:c>
      <x:c r="G7525" s="6" t="str">
        <x:v>Pingshui main list, Wikisource-derived DOCX</x:v>
      </x:c>
      <x:c r="H7525" s="6" t="str"/>
      <x:c r="I7525" s="6" t="str">
        <x:v>Pingshui main-list expansion; 詞 entries ignored</x:v>
      </x:c>
      <x:c r="J7525" s="6" t="str">
        <x:f>IF(B7525="","",IF(AND(ISNUMBER(SEARCH("平",B7525)),OR(ISNUMBER(SEARCH("上",B7525)),ISNUMBER(SEARCH("去",B7525)),ISNUMBER(SEARCH("入",B7525)))),"Ambiguous",IF(ISNUMBER(SEARCH("平",B7525)),"平","仄")))</x:f>
        <x:v>仄</x:v>
      </x:c>
      <x:c r="K7525" s="6" t="str">
        <x:f>IF(D7525="","",IF(AND(ISNUMBER(SEARCH("平",D7525)),OR(ISNUMBER(SEARCH("上",D7525)),ISNUMBER(SEARCH("去",D7525)),ISNUMBER(SEARCH("入",D7525)))),"Ambiguous",IF(ISNUMBER(SEARCH("平",D7525)),"平","仄")))</x:f>
        <x:v>仄</x:v>
      </x:c>
      <x:c r="L7525" s="7" t="str">
        <x:v>Pingshui main list expansion</x:v>
      </x:c>
    </x:row>
    <x:row r="7526">
      <x:c r="A7526" s="5" t="str">
        <x:v>簙</x:v>
      </x:c>
      <x:c r="B7526" s="6" t="str">
        <x:v>入</x:v>
      </x:c>
      <x:c r="C7526" s="6" t="str">
        <x:f>IF(B7526="","Needs decision","Ready")</x:f>
        <x:v>Ready</x:v>
      </x:c>
      <x:c r="D7526" s="6" t="str">
        <x:v>入</x:v>
      </x:c>
      <x:c r="E7526" s="6" t="str"/>
      <x:c r="F7526" s="6" t="str">
        <x:v>入聲十藥</x:v>
      </x:c>
      <x:c r="G7526" s="6" t="str">
        <x:v>Pingshui main list, Wikisource-derived DOCX</x:v>
      </x:c>
      <x:c r="H7526" s="6" t="str"/>
      <x:c r="I7526" s="6" t="str">
        <x:v>Pingshui main-list expansion; 詞 entries ignored</x:v>
      </x:c>
      <x:c r="J7526" s="6" t="str">
        <x:f>IF(B7526="","",IF(AND(ISNUMBER(SEARCH("平",B7526)),OR(ISNUMBER(SEARCH("上",B7526)),ISNUMBER(SEARCH("去",B7526)),ISNUMBER(SEARCH("入",B7526)))),"Ambiguous",IF(ISNUMBER(SEARCH("平",B7526)),"平","仄")))</x:f>
        <x:v>仄</x:v>
      </x:c>
      <x:c r="K7526" s="6" t="str">
        <x:f>IF(D7526="","",IF(AND(ISNUMBER(SEARCH("平",D7526)),OR(ISNUMBER(SEARCH("上",D7526)),ISNUMBER(SEARCH("去",D7526)),ISNUMBER(SEARCH("入",D7526)))),"Ambiguous",IF(ISNUMBER(SEARCH("平",D7526)),"平","仄")))</x:f>
        <x:v>仄</x:v>
      </x:c>
      <x:c r="L7526" s="7" t="str">
        <x:v>Pingshui main list expansion</x:v>
      </x:c>
    </x:row>
    <x:row r="7527">
      <x:c r="A7527" s="5" t="str">
        <x:v>簜</x:v>
      </x:c>
      <x:c r="B7527" s="6" t="str">
        <x:v>上</x:v>
      </x:c>
      <x:c r="C7527" s="6" t="str">
        <x:f>IF(B7527="","Needs decision","Ready")</x:f>
        <x:v>Ready</x:v>
      </x:c>
      <x:c r="D7527" s="6" t="str">
        <x:v>上</x:v>
      </x:c>
      <x:c r="E7527" s="6" t="str"/>
      <x:c r="F7527" s="6" t="str">
        <x:v>上聲二十二養</x:v>
      </x:c>
      <x:c r="G7527" s="6" t="str">
        <x:v>Pingshui main list, Wikisource-derived DOCX</x:v>
      </x:c>
      <x:c r="H7527" s="6" t="str"/>
      <x:c r="I7527" s="6" t="str">
        <x:v>Pingshui main-list expansion; 詞 entries ignored</x:v>
      </x:c>
      <x:c r="J7527" s="6" t="str">
        <x:f>IF(B7527="","",IF(AND(ISNUMBER(SEARCH("平",B7527)),OR(ISNUMBER(SEARCH("上",B7527)),ISNUMBER(SEARCH("去",B7527)),ISNUMBER(SEARCH("入",B7527)))),"Ambiguous",IF(ISNUMBER(SEARCH("平",B7527)),"平","仄")))</x:f>
        <x:v>仄</x:v>
      </x:c>
      <x:c r="K7527" s="6" t="str">
        <x:f>IF(D7527="","",IF(AND(ISNUMBER(SEARCH("平",D7527)),OR(ISNUMBER(SEARCH("上",D7527)),ISNUMBER(SEARCH("去",D7527)),ISNUMBER(SEARCH("入",D7527)))),"Ambiguous",IF(ISNUMBER(SEARCH("平",D7527)),"平","仄")))</x:f>
        <x:v>仄</x:v>
      </x:c>
      <x:c r="L7527" s="7" t="str">
        <x:v>Pingshui main list expansion</x:v>
      </x:c>
    </x:row>
    <x:row r="7528">
      <x:c r="A7528" s="5" t="str">
        <x:v>簬</x:v>
      </x:c>
      <x:c r="B7528" s="6" t="str">
        <x:v>去</x:v>
      </x:c>
      <x:c r="C7528" s="6" t="str">
        <x:f>IF(B7528="","Needs decision","Ready")</x:f>
        <x:v>Ready</x:v>
      </x:c>
      <x:c r="D7528" s="6" t="str">
        <x:v>去</x:v>
      </x:c>
      <x:c r="E7528" s="6" t="str"/>
      <x:c r="F7528" s="6" t="str">
        <x:v>去聲七遇</x:v>
      </x:c>
      <x:c r="G7528" s="6" t="str">
        <x:v>Pingshui main list, Wikisource-derived DOCX</x:v>
      </x:c>
      <x:c r="H7528" s="6" t="str"/>
      <x:c r="I7528" s="6" t="str">
        <x:v>Pingshui main-list expansion; 詞 entries ignored</x:v>
      </x:c>
      <x:c r="J7528" s="6" t="str">
        <x:f>IF(B7528="","",IF(AND(ISNUMBER(SEARCH("平",B7528)),OR(ISNUMBER(SEARCH("上",B7528)),ISNUMBER(SEARCH("去",B7528)),ISNUMBER(SEARCH("入",B7528)))),"Ambiguous",IF(ISNUMBER(SEARCH("平",B7528)),"平","仄")))</x:f>
        <x:v>仄</x:v>
      </x:c>
      <x:c r="K7528" s="6" t="str">
        <x:f>IF(D7528="","",IF(AND(ISNUMBER(SEARCH("平",D7528)),OR(ISNUMBER(SEARCH("上",D7528)),ISNUMBER(SEARCH("去",D7528)),ISNUMBER(SEARCH("入",D7528)))),"Ambiguous",IF(ISNUMBER(SEARCH("平",D7528)),"平","仄")))</x:f>
        <x:v>仄</x:v>
      </x:c>
      <x:c r="L7528" s="7" t="str">
        <x:v>Pingshui main list expansion</x:v>
      </x:c>
    </x:row>
    <x:row r="7529">
      <x:c r="A7529" s="5" t="str">
        <x:v>簹</x:v>
      </x:c>
      <x:c r="B7529" s="6" t="str">
        <x:v>平</x:v>
      </x:c>
      <x:c r="C7529" s="6" t="str">
        <x:f>IF(B7529="","Needs decision","Ready")</x:f>
        <x:v>Ready</x:v>
      </x:c>
      <x:c r="D7529" s="6" t="str">
        <x:v>平</x:v>
      </x:c>
      <x:c r="E7529" s="6" t="str"/>
      <x:c r="F7529" s="6" t="str">
        <x:v>下平聲七陽</x:v>
      </x:c>
      <x:c r="G7529" s="6" t="str">
        <x:v>Pingshui main list, Wikisource-derived DOCX</x:v>
      </x:c>
      <x:c r="H7529" s="6" t="str"/>
      <x:c r="I7529" s="6" t="str">
        <x:v>Pingshui main-list expansion; 詞 entries ignored</x:v>
      </x:c>
      <x:c r="J7529" s="6" t="str">
        <x:f>IF(B7529="","",IF(AND(ISNUMBER(SEARCH("平",B7529)),OR(ISNUMBER(SEARCH("上",B7529)),ISNUMBER(SEARCH("去",B7529)),ISNUMBER(SEARCH("入",B7529)))),"Ambiguous",IF(ISNUMBER(SEARCH("平",B7529)),"平","仄")))</x:f>
        <x:v>平</x:v>
      </x:c>
      <x:c r="K7529" s="6" t="str">
        <x:f>IF(D7529="","",IF(AND(ISNUMBER(SEARCH("平",D7529)),OR(ISNUMBER(SEARCH("上",D7529)),ISNUMBER(SEARCH("去",D7529)),ISNUMBER(SEARCH("入",D7529)))),"Ambiguous",IF(ISNUMBER(SEARCH("平",D7529)),"平","仄")))</x:f>
        <x:v>平</x:v>
      </x:c>
      <x:c r="L7529" s="7" t="str">
        <x:v>Pingshui main list expansion</x:v>
      </x:c>
    </x:row>
    <x:row r="7530">
      <x:c r="A7530" s="5" t="str">
        <x:v>簻</x:v>
      </x:c>
      <x:c r="B7530" s="6" t="str">
        <x:v>平</x:v>
      </x:c>
      <x:c r="C7530" s="6" t="str">
        <x:f>IF(B7530="","Needs decision","Ready")</x:f>
        <x:v>Ready</x:v>
      </x:c>
      <x:c r="D7530" s="6" t="str">
        <x:v>平</x:v>
      </x:c>
      <x:c r="E7530" s="6" t="str"/>
      <x:c r="F7530" s="6" t="str">
        <x:v>下平聲五歌</x:v>
      </x:c>
      <x:c r="G7530" s="6" t="str">
        <x:v>Pingshui main list, Wikisource-derived DOCX</x:v>
      </x:c>
      <x:c r="H7530" s="6" t="str"/>
      <x:c r="I7530" s="6" t="str">
        <x:v>Pingshui main-list expansion; 詞 entries ignored</x:v>
      </x:c>
      <x:c r="J7530" s="6" t="str">
        <x:f>IF(B7530="","",IF(AND(ISNUMBER(SEARCH("平",B7530)),OR(ISNUMBER(SEARCH("上",B7530)),ISNUMBER(SEARCH("去",B7530)),ISNUMBER(SEARCH("入",B7530)))),"Ambiguous",IF(ISNUMBER(SEARCH("平",B7530)),"平","仄")))</x:f>
        <x:v>平</x:v>
      </x:c>
      <x:c r="K7530" s="6" t="str">
        <x:f>IF(D7530="","",IF(AND(ISNUMBER(SEARCH("平",D7530)),OR(ISNUMBER(SEARCH("上",D7530)),ISNUMBER(SEARCH("去",D7530)),ISNUMBER(SEARCH("入",D7530)))),"Ambiguous",IF(ISNUMBER(SEARCH("平",D7530)),"平","仄")))</x:f>
        <x:v>平</x:v>
      </x:c>
      <x:c r="L7530" s="7" t="str">
        <x:v>Pingshui main list expansion</x:v>
      </x:c>
    </x:row>
    <x:row r="7531">
      <x:c r="A7531" s="5" t="str">
        <x:v>籈</x:v>
      </x:c>
      <x:c r="B7531" s="6" t="str">
        <x:v>平</x:v>
      </x:c>
      <x:c r="C7531" s="6" t="str">
        <x:f>IF(B7531="","Needs decision","Ready")</x:f>
        <x:v>Ready</x:v>
      </x:c>
      <x:c r="D7531" s="6" t="str">
        <x:v>平</x:v>
      </x:c>
      <x:c r="E7531" s="6" t="str"/>
      <x:c r="F7531" s="6" t="str">
        <x:v>上平聲十一真</x:v>
      </x:c>
      <x:c r="G7531" s="6" t="str">
        <x:v>Pingshui main list, Wikisource-derived DOCX</x:v>
      </x:c>
      <x:c r="H7531" s="6" t="str"/>
      <x:c r="I7531" s="6" t="str">
        <x:v>Pingshui main-list expansion; 詞 entries ignored</x:v>
      </x:c>
      <x:c r="J7531" s="6" t="str">
        <x:f>IF(B7531="","",IF(AND(ISNUMBER(SEARCH("平",B7531)),OR(ISNUMBER(SEARCH("上",B7531)),ISNUMBER(SEARCH("去",B7531)),ISNUMBER(SEARCH("入",B7531)))),"Ambiguous",IF(ISNUMBER(SEARCH("平",B7531)),"平","仄")))</x:f>
        <x:v>平</x:v>
      </x:c>
      <x:c r="K7531" s="6" t="str">
        <x:f>IF(D7531="","",IF(AND(ISNUMBER(SEARCH("平",D7531)),OR(ISNUMBER(SEARCH("上",D7531)),ISNUMBER(SEARCH("去",D7531)),ISNUMBER(SEARCH("入",D7531)))),"Ambiguous",IF(ISNUMBER(SEARCH("平",D7531)),"平","仄")))</x:f>
        <x:v>平</x:v>
      </x:c>
      <x:c r="L7531" s="7" t="str">
        <x:v>Pingshui main list expansion</x:v>
      </x:c>
    </x:row>
    <x:row r="7532">
      <x:c r="A7532" s="5" t="str">
        <x:v>籔</x:v>
      </x:c>
      <x:c r="B7532" s="6" t="str">
        <x:v>上</x:v>
      </x:c>
      <x:c r="C7532" s="6" t="str">
        <x:f>IF(B7532="","Needs decision","Ready")</x:f>
        <x:v>Ready</x:v>
      </x:c>
      <x:c r="D7532" s="6" t="str">
        <x:v>上</x:v>
      </x:c>
      <x:c r="E7532" s="6" t="str"/>
      <x:c r="F7532" s="6" t="str">
        <x:v>上聲七麌; 上聲二十五有</x:v>
      </x:c>
      <x:c r="G7532" s="6" t="str">
        <x:v>Pingshui main list, Wikisource-derived DOCX</x:v>
      </x:c>
      <x:c r="H7532" s="6" t="str"/>
      <x:c r="I7532" s="6" t="str">
        <x:v>Pingshui main-list expansion; 詞 entries ignored</x:v>
      </x:c>
      <x:c r="J7532" s="6" t="str">
        <x:f>IF(B7532="","",IF(AND(ISNUMBER(SEARCH("平",B7532)),OR(ISNUMBER(SEARCH("上",B7532)),ISNUMBER(SEARCH("去",B7532)),ISNUMBER(SEARCH("入",B7532)))),"Ambiguous",IF(ISNUMBER(SEARCH("平",B7532)),"平","仄")))</x:f>
        <x:v>仄</x:v>
      </x:c>
      <x:c r="K7532" s="6" t="str">
        <x:f>IF(D7532="","",IF(AND(ISNUMBER(SEARCH("平",D7532)),OR(ISNUMBER(SEARCH("上",D7532)),ISNUMBER(SEARCH("去",D7532)),ISNUMBER(SEARCH("入",D7532)))),"Ambiguous",IF(ISNUMBER(SEARCH("平",D7532)),"平","仄")))</x:f>
        <x:v>仄</x:v>
      </x:c>
      <x:c r="L7532" s="7" t="str">
        <x:v>Pingshui main list expansion</x:v>
      </x:c>
    </x:row>
    <x:row r="7533">
      <x:c r="A7533" s="5" t="str">
        <x:v>籚</x:v>
      </x:c>
      <x:c r="B7533" s="6" t="str">
        <x:v>平</x:v>
      </x:c>
      <x:c r="C7533" s="6" t="str">
        <x:f>IF(B7533="","Needs decision","Ready")</x:f>
        <x:v>Ready</x:v>
      </x:c>
      <x:c r="D7533" s="6" t="str">
        <x:v>平</x:v>
      </x:c>
      <x:c r="E7533" s="6" t="str"/>
      <x:c r="F7533" s="6" t="str">
        <x:v>上平聲七虞</x:v>
      </x:c>
      <x:c r="G7533" s="6" t="str">
        <x:v>Pingshui main list, Wikisource-derived DOCX</x:v>
      </x:c>
      <x:c r="H7533" s="6" t="str"/>
      <x:c r="I7533" s="6" t="str">
        <x:v>Pingshui main-list expansion; 詞 entries ignored</x:v>
      </x:c>
      <x:c r="J7533" s="6" t="str">
        <x:f>IF(B7533="","",IF(AND(ISNUMBER(SEARCH("平",B7533)),OR(ISNUMBER(SEARCH("上",B7533)),ISNUMBER(SEARCH("去",B7533)),ISNUMBER(SEARCH("入",B7533)))),"Ambiguous",IF(ISNUMBER(SEARCH("平",B7533)),"平","仄")))</x:f>
        <x:v>平</x:v>
      </x:c>
      <x:c r="K7533" s="6" t="str">
        <x:f>IF(D7533="","",IF(AND(ISNUMBER(SEARCH("平",D7533)),OR(ISNUMBER(SEARCH("上",D7533)),ISNUMBER(SEARCH("去",D7533)),ISNUMBER(SEARCH("入",D7533)))),"Ambiguous",IF(ISNUMBER(SEARCH("平",D7533)),"平","仄")))</x:f>
        <x:v>平</x:v>
      </x:c>
      <x:c r="L7533" s="7" t="str">
        <x:v>Pingshui main list expansion</x:v>
      </x:c>
    </x:row>
    <x:row r="7534">
      <x:c r="A7534" s="5" t="str">
        <x:v>籛</x:v>
      </x:c>
      <x:c r="B7534" s="6" t="str">
        <x:v>平</x:v>
      </x:c>
      <x:c r="C7534" s="6" t="str">
        <x:f>IF(B7534="","Needs decision","Ready")</x:f>
        <x:v>Ready</x:v>
      </x:c>
      <x:c r="D7534" s="6" t="str">
        <x:v>平</x:v>
      </x:c>
      <x:c r="E7534" s="6" t="str"/>
      <x:c r="F7534" s="6" t="str">
        <x:v>下平聲一先</x:v>
      </x:c>
      <x:c r="G7534" s="6" t="str">
        <x:v>Pingshui main list, Wikisource-derived DOCX</x:v>
      </x:c>
      <x:c r="H7534" s="6" t="str"/>
      <x:c r="I7534" s="6" t="str">
        <x:v>Pingshui main-list expansion; 詞 entries ignored</x:v>
      </x:c>
      <x:c r="J7534" s="6" t="str">
        <x:f>IF(B7534="","",IF(AND(ISNUMBER(SEARCH("平",B7534)),OR(ISNUMBER(SEARCH("上",B7534)),ISNUMBER(SEARCH("去",B7534)),ISNUMBER(SEARCH("入",B7534)))),"Ambiguous",IF(ISNUMBER(SEARCH("平",B7534)),"平","仄")))</x:f>
        <x:v>平</x:v>
      </x:c>
      <x:c r="K7534" s="6" t="str">
        <x:f>IF(D7534="","",IF(AND(ISNUMBER(SEARCH("平",D7534)),OR(ISNUMBER(SEARCH("上",D7534)),ISNUMBER(SEARCH("去",D7534)),ISNUMBER(SEARCH("入",D7534)))),"Ambiguous",IF(ISNUMBER(SEARCH("平",D7534)),"平","仄")))</x:f>
        <x:v>平</x:v>
      </x:c>
      <x:c r="L7534" s="7" t="str">
        <x:v>Pingshui main list expansion</x:v>
      </x:c>
    </x:row>
    <x:row r="7535">
      <x:c r="A7535" s="5" t="str">
        <x:v>籣</x:v>
      </x:c>
      <x:c r="B7535" s="6" t="str">
        <x:v>平</x:v>
      </x:c>
      <x:c r="C7535" s="6" t="str">
        <x:f>IF(B7535="","Needs decision","Ready")</x:f>
        <x:v>Ready</x:v>
      </x:c>
      <x:c r="D7535" s="6" t="str">
        <x:v>平</x:v>
      </x:c>
      <x:c r="E7535" s="6" t="str"/>
      <x:c r="F7535" s="6" t="str">
        <x:v>上平聲十四寒</x:v>
      </x:c>
      <x:c r="G7535" s="6" t="str">
        <x:v>Pingshui main list, Wikisource-derived DOCX</x:v>
      </x:c>
      <x:c r="H7535" s="6" t="str"/>
      <x:c r="I7535" s="6" t="str">
        <x:v>Pingshui main-list expansion; 詞 entries ignored</x:v>
      </x:c>
      <x:c r="J7535" s="6" t="str">
        <x:f>IF(B7535="","",IF(AND(ISNUMBER(SEARCH("平",B7535)),OR(ISNUMBER(SEARCH("上",B7535)),ISNUMBER(SEARCH("去",B7535)),ISNUMBER(SEARCH("入",B7535)))),"Ambiguous",IF(ISNUMBER(SEARCH("平",B7535)),"平","仄")))</x:f>
        <x:v>平</x:v>
      </x:c>
      <x:c r="K7535" s="6" t="str">
        <x:f>IF(D7535="","",IF(AND(ISNUMBER(SEARCH("平",D7535)),OR(ISNUMBER(SEARCH("上",D7535)),ISNUMBER(SEARCH("去",D7535)),ISNUMBER(SEARCH("入",D7535)))),"Ambiguous",IF(ISNUMBER(SEARCH("平",D7535)),"平","仄")))</x:f>
        <x:v>平</x:v>
      </x:c>
      <x:c r="L7535" s="7" t="str">
        <x:v>Pingshui main list expansion</x:v>
      </x:c>
    </x:row>
    <x:row r="7536">
      <x:c r="A7536" s="5" t="str">
        <x:v>籯</x:v>
      </x:c>
      <x:c r="B7536" s="6" t="str">
        <x:v>平</x:v>
      </x:c>
      <x:c r="C7536" s="6" t="str">
        <x:f>IF(B7536="","Needs decision","Ready")</x:f>
        <x:v>Ready</x:v>
      </x:c>
      <x:c r="D7536" s="6" t="str">
        <x:v>平</x:v>
      </x:c>
      <x:c r="E7536" s="6" t="str"/>
      <x:c r="F7536" s="6" t="str">
        <x:v>下平聲八庚</x:v>
      </x:c>
      <x:c r="G7536" s="6" t="str">
        <x:v>Pingshui main list, Wikisource-derived DOCX</x:v>
      </x:c>
      <x:c r="H7536" s="6" t="str"/>
      <x:c r="I7536" s="6" t="str">
        <x:v>Pingshui main-list expansion; 詞 entries ignored</x:v>
      </x:c>
      <x:c r="J7536" s="6" t="str">
        <x:f>IF(B7536="","",IF(AND(ISNUMBER(SEARCH("平",B7536)),OR(ISNUMBER(SEARCH("上",B7536)),ISNUMBER(SEARCH("去",B7536)),ISNUMBER(SEARCH("入",B7536)))),"Ambiguous",IF(ISNUMBER(SEARCH("平",B7536)),"平","仄")))</x:f>
        <x:v>平</x:v>
      </x:c>
      <x:c r="K7536" s="6" t="str">
        <x:f>IF(D7536="","",IF(AND(ISNUMBER(SEARCH("平",D7536)),OR(ISNUMBER(SEARCH("上",D7536)),ISNUMBER(SEARCH("去",D7536)),ISNUMBER(SEARCH("入",D7536)))),"Ambiguous",IF(ISNUMBER(SEARCH("平",D7536)),"平","仄")))</x:f>
        <x:v>平</x:v>
      </x:c>
      <x:c r="L7536" s="7" t="str">
        <x:v>Pingshui main list expansion</x:v>
      </x:c>
    </x:row>
    <x:row r="7537">
      <x:c r="A7537" s="5" t="str">
        <x:v>粄</x:v>
      </x:c>
      <x:c r="B7537" s="6" t="str">
        <x:v>上</x:v>
      </x:c>
      <x:c r="C7537" s="6" t="str">
        <x:f>IF(B7537="","Needs decision","Ready")</x:f>
        <x:v>Ready</x:v>
      </x:c>
      <x:c r="D7537" s="6" t="str">
        <x:v>上</x:v>
      </x:c>
      <x:c r="E7537" s="6" t="str"/>
      <x:c r="F7537" s="6" t="str">
        <x:v>上聲十四旱</x:v>
      </x:c>
      <x:c r="G7537" s="6" t="str">
        <x:v>Pingshui main list, Wikisource-derived DOCX</x:v>
      </x:c>
      <x:c r="H7537" s="6" t="str"/>
      <x:c r="I7537" s="6" t="str">
        <x:v>Pingshui main-list expansion; 詞 entries ignored</x:v>
      </x:c>
      <x:c r="J7537" s="6" t="str">
        <x:f>IF(B7537="","",IF(AND(ISNUMBER(SEARCH("平",B7537)),OR(ISNUMBER(SEARCH("上",B7537)),ISNUMBER(SEARCH("去",B7537)),ISNUMBER(SEARCH("入",B7537)))),"Ambiguous",IF(ISNUMBER(SEARCH("平",B7537)),"平","仄")))</x:f>
        <x:v>仄</x:v>
      </x:c>
      <x:c r="K7537" s="6" t="str">
        <x:f>IF(D7537="","",IF(AND(ISNUMBER(SEARCH("平",D7537)),OR(ISNUMBER(SEARCH("上",D7537)),ISNUMBER(SEARCH("去",D7537)),ISNUMBER(SEARCH("入",D7537)))),"Ambiguous",IF(ISNUMBER(SEARCH("平",D7537)),"平","仄")))</x:f>
        <x:v>仄</x:v>
      </x:c>
      <x:c r="L7537" s="7" t="str">
        <x:v>Pingshui main list expansion</x:v>
      </x:c>
    </x:row>
    <x:row r="7538">
      <x:c r="A7538" s="5" t="str">
        <x:v>粕</x:v>
      </x:c>
      <x:c r="B7538" s="6" t="str">
        <x:v>入</x:v>
      </x:c>
      <x:c r="C7538" s="6" t="str">
        <x:f>IF(B7538="","Needs decision","Ready")</x:f>
        <x:v>Ready</x:v>
      </x:c>
      <x:c r="D7538" s="6" t="str">
        <x:v>入</x:v>
      </x:c>
      <x:c r="E7538" s="6" t="str"/>
      <x:c r="F7538" s="6" t="str">
        <x:v>入聲十藥</x:v>
      </x:c>
      <x:c r="G7538" s="6" t="str">
        <x:v>Pingshui main list, Wikisource-derived DOCX</x:v>
      </x:c>
      <x:c r="H7538" s="6" t="str"/>
      <x:c r="I7538" s="6" t="str">
        <x:v>Pingshui main-list expansion; 詞 entries ignored</x:v>
      </x:c>
      <x:c r="J7538" s="6" t="str">
        <x:f>IF(B7538="","",IF(AND(ISNUMBER(SEARCH("平",B7538)),OR(ISNUMBER(SEARCH("上",B7538)),ISNUMBER(SEARCH("去",B7538)),ISNUMBER(SEARCH("入",B7538)))),"Ambiguous",IF(ISNUMBER(SEARCH("平",B7538)),"平","仄")))</x:f>
        <x:v>仄</x:v>
      </x:c>
      <x:c r="K7538" s="6" t="str">
        <x:f>IF(D7538="","",IF(AND(ISNUMBER(SEARCH("平",D7538)),OR(ISNUMBER(SEARCH("上",D7538)),ISNUMBER(SEARCH("去",D7538)),ISNUMBER(SEARCH("入",D7538)))),"Ambiguous",IF(ISNUMBER(SEARCH("平",D7538)),"平","仄")))</x:f>
        <x:v>仄</x:v>
      </x:c>
      <x:c r="L7538" s="7" t="str">
        <x:v>Pingshui main list expansion</x:v>
      </x:c>
    </x:row>
    <x:row r="7539">
      <x:c r="A7539" s="5" t="str">
        <x:v>粞</x:v>
      </x:c>
      <x:c r="B7539" s="6" t="str">
        <x:v>平</x:v>
      </x:c>
      <x:c r="C7539" s="6" t="str">
        <x:f>IF(B7539="","Needs decision","Ready")</x:f>
        <x:v>Ready</x:v>
      </x:c>
      <x:c r="D7539" s="6" t="str">
        <x:v>平</x:v>
      </x:c>
      <x:c r="E7539" s="6" t="str"/>
      <x:c r="F7539" s="6" t="str">
        <x:v>上平聲八齊</x:v>
      </x:c>
      <x:c r="G7539" s="6" t="str">
        <x:v>Pingshui main list, Wikisource-derived DOCX</x:v>
      </x:c>
      <x:c r="H7539" s="6" t="str"/>
      <x:c r="I7539" s="6" t="str">
        <x:v>Pingshui main-list expansion; 詞 entries ignored</x:v>
      </x:c>
      <x:c r="J7539" s="6" t="str">
        <x:f>IF(B7539="","",IF(AND(ISNUMBER(SEARCH("平",B7539)),OR(ISNUMBER(SEARCH("上",B7539)),ISNUMBER(SEARCH("去",B7539)),ISNUMBER(SEARCH("入",B7539)))),"Ambiguous",IF(ISNUMBER(SEARCH("平",B7539)),"平","仄")))</x:f>
        <x:v>平</x:v>
      </x:c>
      <x:c r="K7539" s="6" t="str">
        <x:f>IF(D7539="","",IF(AND(ISNUMBER(SEARCH("平",D7539)),OR(ISNUMBER(SEARCH("上",D7539)),ISNUMBER(SEARCH("去",D7539)),ISNUMBER(SEARCH("入",D7539)))),"Ambiguous",IF(ISNUMBER(SEARCH("平",D7539)),"平","仄")))</x:f>
        <x:v>平</x:v>
      </x:c>
      <x:c r="L7539" s="7" t="str">
        <x:v>Pingshui main list expansion</x:v>
      </x:c>
    </x:row>
    <x:row r="7540">
      <x:c r="A7540" s="5" t="str">
        <x:v>粯</x:v>
      </x:c>
      <x:c r="B7540" s="6" t="str">
        <x:v>去</x:v>
      </x:c>
      <x:c r="C7540" s="6" t="str">
        <x:f>IF(B7540="","Needs decision","Ready")</x:f>
        <x:v>Ready</x:v>
      </x:c>
      <x:c r="D7540" s="6" t="str">
        <x:v>去</x:v>
      </x:c>
      <x:c r="E7540" s="6" t="str"/>
      <x:c r="F7540" s="6" t="str">
        <x:v>去聲十六諫</x:v>
      </x:c>
      <x:c r="G7540" s="6" t="str">
        <x:v>Pingshui main list, Wikisource-derived DOCX</x:v>
      </x:c>
      <x:c r="H7540" s="6" t="str"/>
      <x:c r="I7540" s="6" t="str">
        <x:v>Pingshui main-list expansion; 詞 entries ignored</x:v>
      </x:c>
      <x:c r="J7540" s="6" t="str">
        <x:f>IF(B7540="","",IF(AND(ISNUMBER(SEARCH("平",B7540)),OR(ISNUMBER(SEARCH("上",B7540)),ISNUMBER(SEARCH("去",B7540)),ISNUMBER(SEARCH("入",B7540)))),"Ambiguous",IF(ISNUMBER(SEARCH("平",B7540)),"平","仄")))</x:f>
        <x:v>仄</x:v>
      </x:c>
      <x:c r="K7540" s="6" t="str">
        <x:f>IF(D7540="","",IF(AND(ISNUMBER(SEARCH("平",D7540)),OR(ISNUMBER(SEARCH("上",D7540)),ISNUMBER(SEARCH("去",D7540)),ISNUMBER(SEARCH("入",D7540)))),"Ambiguous",IF(ISNUMBER(SEARCH("平",D7540)),"平","仄")))</x:f>
        <x:v>仄</x:v>
      </x:c>
      <x:c r="L7540" s="7" t="str">
        <x:v>Pingshui main list expansion</x:v>
      </x:c>
    </x:row>
    <x:row r="7541">
      <x:c r="A7541" s="5" t="str">
        <x:v>粺</x:v>
      </x:c>
      <x:c r="B7541" s="6" t="str">
        <x:v>去</x:v>
      </x:c>
      <x:c r="C7541" s="6" t="str">
        <x:f>IF(B7541="","Needs decision","Ready")</x:f>
        <x:v>Ready</x:v>
      </x:c>
      <x:c r="D7541" s="6" t="str">
        <x:v>去</x:v>
      </x:c>
      <x:c r="E7541" s="6" t="str"/>
      <x:c r="F7541" s="6" t="str">
        <x:v>去聲十卦</x:v>
      </x:c>
      <x:c r="G7541" s="6" t="str">
        <x:v>Pingshui main list, Wikisource-derived DOCX</x:v>
      </x:c>
      <x:c r="H7541" s="6" t="str"/>
      <x:c r="I7541" s="6" t="str">
        <x:v>Pingshui main-list expansion; 詞 entries ignored</x:v>
      </x:c>
      <x:c r="J7541" s="6" t="str">
        <x:f>IF(B7541="","",IF(AND(ISNUMBER(SEARCH("平",B7541)),OR(ISNUMBER(SEARCH("上",B7541)),ISNUMBER(SEARCH("去",B7541)),ISNUMBER(SEARCH("入",B7541)))),"Ambiguous",IF(ISNUMBER(SEARCH("平",B7541)),"平","仄")))</x:f>
        <x:v>仄</x:v>
      </x:c>
      <x:c r="K7541" s="6" t="str">
        <x:f>IF(D7541="","",IF(AND(ISNUMBER(SEARCH("平",D7541)),OR(ISNUMBER(SEARCH("上",D7541)),ISNUMBER(SEARCH("去",D7541)),ISNUMBER(SEARCH("入",D7541)))),"Ambiguous",IF(ISNUMBER(SEARCH("平",D7541)),"平","仄")))</x:f>
        <x:v>仄</x:v>
      </x:c>
      <x:c r="L7541" s="7" t="str">
        <x:v>Pingshui main list expansion</x:v>
      </x:c>
    </x:row>
    <x:row r="7542">
      <x:c r="A7542" s="5" t="str">
        <x:v>粼</x:v>
      </x:c>
      <x:c r="B7542" s="6" t="str">
        <x:v>平</x:v>
      </x:c>
      <x:c r="C7542" s="6" t="str">
        <x:f>IF(B7542="","Needs decision","Ready")</x:f>
        <x:v>Ready</x:v>
      </x:c>
      <x:c r="D7542" s="6" t="str">
        <x:v>平</x:v>
      </x:c>
      <x:c r="E7542" s="6" t="str"/>
      <x:c r="F7542" s="6" t="str">
        <x:v>上平聲十一真</x:v>
      </x:c>
      <x:c r="G7542" s="6" t="str">
        <x:v>Pingshui main list, Wikisource-derived DOCX</x:v>
      </x:c>
      <x:c r="H7542" s="6" t="str"/>
      <x:c r="I7542" s="6" t="str">
        <x:v>Pingshui main-list expansion; 詞 entries ignored</x:v>
      </x:c>
      <x:c r="J7542" s="6" t="str">
        <x:f>IF(B7542="","",IF(AND(ISNUMBER(SEARCH("平",B7542)),OR(ISNUMBER(SEARCH("上",B7542)),ISNUMBER(SEARCH("去",B7542)),ISNUMBER(SEARCH("入",B7542)))),"Ambiguous",IF(ISNUMBER(SEARCH("平",B7542)),"平","仄")))</x:f>
        <x:v>平</x:v>
      </x:c>
      <x:c r="K7542" s="6" t="str">
        <x:f>IF(D7542="","",IF(AND(ISNUMBER(SEARCH("平",D7542)),OR(ISNUMBER(SEARCH("上",D7542)),ISNUMBER(SEARCH("去",D7542)),ISNUMBER(SEARCH("入",D7542)))),"Ambiguous",IF(ISNUMBER(SEARCH("平",D7542)),"平","仄")))</x:f>
        <x:v>平</x:v>
      </x:c>
      <x:c r="L7542" s="7" t="str">
        <x:v>Pingshui main list expansion</x:v>
      </x:c>
    </x:row>
    <x:row r="7543">
      <x:c r="A7543" s="5" t="str">
        <x:v>糒</x:v>
      </x:c>
      <x:c r="B7543" s="6" t="str">
        <x:v>去</x:v>
      </x:c>
      <x:c r="C7543" s="6" t="str">
        <x:f>IF(B7543="","Needs decision","Ready")</x:f>
        <x:v>Ready</x:v>
      </x:c>
      <x:c r="D7543" s="6" t="str">
        <x:v>去</x:v>
      </x:c>
      <x:c r="E7543" s="6" t="str"/>
      <x:c r="F7543" s="6" t="str">
        <x:v>去聲四寘</x:v>
      </x:c>
      <x:c r="G7543" s="6" t="str">
        <x:v>Pingshui main list, Wikisource-derived DOCX</x:v>
      </x:c>
      <x:c r="H7543" s="6" t="str"/>
      <x:c r="I7543" s="6" t="str">
        <x:v>Pingshui main-list expansion; 詞 entries ignored</x:v>
      </x:c>
      <x:c r="J7543" s="6" t="str">
        <x:f>IF(B7543="","",IF(AND(ISNUMBER(SEARCH("平",B7543)),OR(ISNUMBER(SEARCH("上",B7543)),ISNUMBER(SEARCH("去",B7543)),ISNUMBER(SEARCH("入",B7543)))),"Ambiguous",IF(ISNUMBER(SEARCH("平",B7543)),"平","仄")))</x:f>
        <x:v>仄</x:v>
      </x:c>
      <x:c r="K7543" s="6" t="str">
        <x:f>IF(D7543="","",IF(AND(ISNUMBER(SEARCH("平",D7543)),OR(ISNUMBER(SEARCH("上",D7543)),ISNUMBER(SEARCH("去",D7543)),ISNUMBER(SEARCH("入",D7543)))),"Ambiguous",IF(ISNUMBER(SEARCH("平",D7543)),"平","仄")))</x:f>
        <x:v>仄</x:v>
      </x:c>
      <x:c r="L7543" s="7" t="str">
        <x:v>Pingshui main list expansion</x:v>
      </x:c>
    </x:row>
    <x:row r="7544">
      <x:c r="A7544" s="5" t="str">
        <x:v>糙</x:v>
      </x:c>
      <x:c r="B7544" s="6" t="str">
        <x:v>去</x:v>
      </x:c>
      <x:c r="C7544" s="6" t="str">
        <x:f>IF(B7544="","Needs decision","Ready")</x:f>
        <x:v>Ready</x:v>
      </x:c>
      <x:c r="D7544" s="6" t="str">
        <x:v>去</x:v>
      </x:c>
      <x:c r="E7544" s="6" t="str"/>
      <x:c r="F7544" s="6" t="str">
        <x:v>去聲二十號</x:v>
      </x:c>
      <x:c r="G7544" s="6" t="str">
        <x:v>Pingshui main list, Wikisource-derived DOCX</x:v>
      </x:c>
      <x:c r="H7544" s="6" t="str"/>
      <x:c r="I7544" s="6" t="str">
        <x:v>Pingshui main-list expansion; 詞 entries ignored</x:v>
      </x:c>
      <x:c r="J7544" s="6" t="str">
        <x:f>IF(B7544="","",IF(AND(ISNUMBER(SEARCH("平",B7544)),OR(ISNUMBER(SEARCH("上",B7544)),ISNUMBER(SEARCH("去",B7544)),ISNUMBER(SEARCH("入",B7544)))),"Ambiguous",IF(ISNUMBER(SEARCH("平",B7544)),"平","仄")))</x:f>
        <x:v>仄</x:v>
      </x:c>
      <x:c r="K7544" s="6" t="str">
        <x:f>IF(D7544="","",IF(AND(ISNUMBER(SEARCH("平",D7544)),OR(ISNUMBER(SEARCH("上",D7544)),ISNUMBER(SEARCH("去",D7544)),ISNUMBER(SEARCH("入",D7544)))),"Ambiguous",IF(ISNUMBER(SEARCH("平",D7544)),"平","仄")))</x:f>
        <x:v>仄</x:v>
      </x:c>
      <x:c r="L7544" s="7" t="str">
        <x:v>Pingshui main list expansion</x:v>
      </x:c>
    </x:row>
    <x:row r="7545">
      <x:c r="A7545" s="5" t="str">
        <x:v>糶</x:v>
      </x:c>
      <x:c r="B7545" s="6" t="str">
        <x:v>去</x:v>
      </x:c>
      <x:c r="C7545" s="6" t="str">
        <x:f>IF(B7545="","Needs decision","Ready")</x:f>
        <x:v>Ready</x:v>
      </x:c>
      <x:c r="D7545" s="6" t="str">
        <x:v>去</x:v>
      </x:c>
      <x:c r="E7545" s="6" t="str"/>
      <x:c r="F7545" s="6" t="str">
        <x:v>去聲十八嘯</x:v>
      </x:c>
      <x:c r="G7545" s="6" t="str">
        <x:v>Pingshui main list, Wikisource-derived DOCX</x:v>
      </x:c>
      <x:c r="H7545" s="6" t="str"/>
      <x:c r="I7545" s="6" t="str">
        <x:v>Pingshui main-list expansion; 詞 entries ignored</x:v>
      </x:c>
      <x:c r="J7545" s="6" t="str">
        <x:f>IF(B7545="","",IF(AND(ISNUMBER(SEARCH("平",B7545)),OR(ISNUMBER(SEARCH("上",B7545)),ISNUMBER(SEARCH("去",B7545)),ISNUMBER(SEARCH("入",B7545)))),"Ambiguous",IF(ISNUMBER(SEARCH("平",B7545)),"平","仄")))</x:f>
        <x:v>仄</x:v>
      </x:c>
      <x:c r="K7545" s="6" t="str">
        <x:f>IF(D7545="","",IF(AND(ISNUMBER(SEARCH("平",D7545)),OR(ISNUMBER(SEARCH("上",D7545)),ISNUMBER(SEARCH("去",D7545)),ISNUMBER(SEARCH("入",D7545)))),"Ambiguous",IF(ISNUMBER(SEARCH("平",D7545)),"平","仄")))</x:f>
        <x:v>仄</x:v>
      </x:c>
      <x:c r="L7545" s="7" t="str">
        <x:v>Pingshui main list expansion</x:v>
      </x:c>
    </x:row>
    <x:row r="7546">
      <x:c r="A7546" s="5" t="str">
        <x:v>紑</x:v>
      </x:c>
      <x:c r="B7546" s="6" t="str">
        <x:v>平</x:v>
      </x:c>
      <x:c r="C7546" s="6" t="str">
        <x:f>IF(B7546="","Needs decision","Ready")</x:f>
        <x:v>Ready</x:v>
      </x:c>
      <x:c r="D7546" s="6" t="str">
        <x:v>平</x:v>
      </x:c>
      <x:c r="E7546" s="6" t="str"/>
      <x:c r="F7546" s="6" t="str">
        <x:v>下平聲十一尤</x:v>
      </x:c>
      <x:c r="G7546" s="6" t="str">
        <x:v>Pingshui main list, Wikisource-derived DOCX</x:v>
      </x:c>
      <x:c r="H7546" s="6" t="str"/>
      <x:c r="I7546" s="6" t="str">
        <x:v>Pingshui main-list expansion; 詞 entries ignored</x:v>
      </x:c>
      <x:c r="J7546" s="6" t="str">
        <x:f>IF(B7546="","",IF(AND(ISNUMBER(SEARCH("平",B7546)),OR(ISNUMBER(SEARCH("上",B7546)),ISNUMBER(SEARCH("去",B7546)),ISNUMBER(SEARCH("入",B7546)))),"Ambiguous",IF(ISNUMBER(SEARCH("平",B7546)),"平","仄")))</x:f>
        <x:v>平</x:v>
      </x:c>
      <x:c r="K7546" s="6" t="str">
        <x:f>IF(D7546="","",IF(AND(ISNUMBER(SEARCH("平",D7546)),OR(ISNUMBER(SEARCH("上",D7546)),ISNUMBER(SEARCH("去",D7546)),ISNUMBER(SEARCH("入",D7546)))),"Ambiguous",IF(ISNUMBER(SEARCH("平",D7546)),"平","仄")))</x:f>
        <x:v>平</x:v>
      </x:c>
      <x:c r="L7546" s="7" t="str">
        <x:v>Pingshui main list expansion</x:v>
      </x:c>
    </x:row>
    <x:row r="7547">
      <x:c r="A7547" s="5" t="str">
        <x:v>紖</x:v>
      </x:c>
      <x:c r="B7547" s="6" t="str">
        <x:v>上</x:v>
      </x:c>
      <x:c r="C7547" s="6" t="str">
        <x:f>IF(B7547="","Needs decision","Ready")</x:f>
        <x:v>Ready</x:v>
      </x:c>
      <x:c r="D7547" s="6" t="str">
        <x:v>上</x:v>
      </x:c>
      <x:c r="E7547" s="6" t="str"/>
      <x:c r="F7547" s="6" t="str">
        <x:v>上聲十一軫</x:v>
      </x:c>
      <x:c r="G7547" s="6" t="str">
        <x:v>Pingshui main list, Wikisource-derived DOCX</x:v>
      </x:c>
      <x:c r="H7547" s="6" t="str"/>
      <x:c r="I7547" s="6" t="str">
        <x:v>Pingshui main-list expansion; 詞 entries ignored</x:v>
      </x:c>
      <x:c r="J7547" s="6" t="str">
        <x:f>IF(B7547="","",IF(AND(ISNUMBER(SEARCH("平",B7547)),OR(ISNUMBER(SEARCH("上",B7547)),ISNUMBER(SEARCH("去",B7547)),ISNUMBER(SEARCH("入",B7547)))),"Ambiguous",IF(ISNUMBER(SEARCH("平",B7547)),"平","仄")))</x:f>
        <x:v>仄</x:v>
      </x:c>
      <x:c r="K7547" s="6" t="str">
        <x:f>IF(D7547="","",IF(AND(ISNUMBER(SEARCH("平",D7547)),OR(ISNUMBER(SEARCH("上",D7547)),ISNUMBER(SEARCH("去",D7547)),ISNUMBER(SEARCH("入",D7547)))),"Ambiguous",IF(ISNUMBER(SEARCH("平",D7547)),"平","仄")))</x:f>
        <x:v>仄</x:v>
      </x:c>
      <x:c r="L7547" s="7" t="str">
        <x:v>Pingshui main list expansion</x:v>
      </x:c>
    </x:row>
    <x:row r="7548">
      <x:c r="A7548" s="5" t="str">
        <x:v>紟</x:v>
      </x:c>
      <x:c r="B7548" s="6" t="str"/>
      <x:c r="C7548" s="6" t="str">
        <x:f>IF(B7548="","Needs decision","Ready")</x:f>
        <x:v>Needs decision</x:v>
      </x:c>
      <x:c r="D7548" s="6" t="str">
        <x:v>平/去</x:v>
      </x:c>
      <x:c r="E7548" s="6" t="str"/>
      <x:c r="F7548" s="6" t="str">
        <x:v>下平聲十二侵; 去聲二十七沁</x:v>
      </x:c>
      <x:c r="G7548" s="6" t="str">
        <x:v>Pingshui main list, Wikisource-derived DOCX</x:v>
      </x:c>
      <x:c r="H7548" s="6" t="str"/>
      <x:c r="I7548" s="6" t="str">
        <x:v>Pingshui main-list expansion; 詞 entries ignored</x:v>
      </x:c>
      <x:c r="J7548" s="6" t="str">
        <x:f>IF(B7548="","",IF(AND(ISNUMBER(SEARCH("平",B7548)),OR(ISNUMBER(SEARCH("上",B7548)),ISNUMBER(SEARCH("去",B7548)),ISNUMBER(SEARCH("入",B7548)))),"Ambiguous",IF(ISNUMBER(SEARCH("平",B7548)),"平","仄")))</x:f>
      </x:c>
      <x:c r="K7548" s="6" t="str">
        <x:f>IF(D7548="","",IF(AND(ISNUMBER(SEARCH("平",D7548)),OR(ISNUMBER(SEARCH("上",D7548)),ISNUMBER(SEARCH("去",D7548)),ISNUMBER(SEARCH("入",D7548)))),"Ambiguous",IF(ISNUMBER(SEARCH("平",D7548)),"平","仄")))</x:f>
        <x:v>Ambiguous</x:v>
      </x:c>
      <x:c r="L7548" s="7" t="str">
        <x:v>Pingshui main list expansion</x:v>
      </x:c>
    </x:row>
    <x:row r="7549">
      <x:c r="A7549" s="5" t="str">
        <x:v>紩</x:v>
      </x:c>
      <x:c r="B7549" s="6" t="str">
        <x:v>入</x:v>
      </x:c>
      <x:c r="C7549" s="6" t="str">
        <x:f>IF(B7549="","Needs decision","Ready")</x:f>
        <x:v>Ready</x:v>
      </x:c>
      <x:c r="D7549" s="6" t="str">
        <x:v>入</x:v>
      </x:c>
      <x:c r="E7549" s="6" t="str"/>
      <x:c r="F7549" s="6" t="str">
        <x:v>入聲四質</x:v>
      </x:c>
      <x:c r="G7549" s="6" t="str">
        <x:v>Pingshui main list, Wikisource-derived DOCX</x:v>
      </x:c>
      <x:c r="H7549" s="6" t="str"/>
      <x:c r="I7549" s="6" t="str">
        <x:v>Pingshui main-list expansion; 詞 entries ignored</x:v>
      </x:c>
      <x:c r="J7549" s="6" t="str">
        <x:f>IF(B7549="","",IF(AND(ISNUMBER(SEARCH("平",B7549)),OR(ISNUMBER(SEARCH("上",B7549)),ISNUMBER(SEARCH("去",B7549)),ISNUMBER(SEARCH("入",B7549)))),"Ambiguous",IF(ISNUMBER(SEARCH("平",B7549)),"平","仄")))</x:f>
        <x:v>仄</x:v>
      </x:c>
      <x:c r="K7549" s="6" t="str">
        <x:f>IF(D7549="","",IF(AND(ISNUMBER(SEARCH("平",D7549)),OR(ISNUMBER(SEARCH("上",D7549)),ISNUMBER(SEARCH("去",D7549)),ISNUMBER(SEARCH("入",D7549)))),"Ambiguous",IF(ISNUMBER(SEARCH("平",D7549)),"平","仄")))</x:f>
        <x:v>仄</x:v>
      </x:c>
      <x:c r="L7549" s="7" t="str">
        <x:v>Pingshui main list expansion</x:v>
      </x:c>
    </x:row>
    <x:row r="7550">
      <x:c r="A7550" s="5" t="str">
        <x:v>紾</x:v>
      </x:c>
      <x:c r="B7550" s="6" t="str">
        <x:v>上</x:v>
      </x:c>
      <x:c r="C7550" s="6" t="str">
        <x:f>IF(B7550="","Needs decision","Ready")</x:f>
        <x:v>Ready</x:v>
      </x:c>
      <x:c r="D7550" s="6" t="str">
        <x:v>上</x:v>
      </x:c>
      <x:c r="E7550" s="6" t="str"/>
      <x:c r="F7550" s="6" t="str">
        <x:v>上聲十一軫</x:v>
      </x:c>
      <x:c r="G7550" s="6" t="str">
        <x:v>Pingshui main list, Wikisource-derived DOCX</x:v>
      </x:c>
      <x:c r="H7550" s="6" t="str"/>
      <x:c r="I7550" s="6" t="str">
        <x:v>Pingshui main-list expansion; 詞 entries ignored</x:v>
      </x:c>
      <x:c r="J7550" s="6" t="str">
        <x:f>IF(B7550="","",IF(AND(ISNUMBER(SEARCH("平",B7550)),OR(ISNUMBER(SEARCH("上",B7550)),ISNUMBER(SEARCH("去",B7550)),ISNUMBER(SEARCH("入",B7550)))),"Ambiguous",IF(ISNUMBER(SEARCH("平",B7550)),"平","仄")))</x:f>
        <x:v>仄</x:v>
      </x:c>
      <x:c r="K7550" s="6" t="str">
        <x:f>IF(D7550="","",IF(AND(ISNUMBER(SEARCH("平",D7550)),OR(ISNUMBER(SEARCH("上",D7550)),ISNUMBER(SEARCH("去",D7550)),ISNUMBER(SEARCH("入",D7550)))),"Ambiguous",IF(ISNUMBER(SEARCH("平",D7550)),"平","仄")))</x:f>
        <x:v>仄</x:v>
      </x:c>
      <x:c r="L7550" s="7" t="str">
        <x:v>Pingshui main list expansion</x:v>
      </x:c>
    </x:row>
    <x:row r="7551">
      <x:c r="A7551" s="5" t="str">
        <x:v>紿</x:v>
      </x:c>
      <x:c r="B7551" s="6" t="str">
        <x:v>上</x:v>
      </x:c>
      <x:c r="C7551" s="6" t="str">
        <x:f>IF(B7551="","Needs decision","Ready")</x:f>
        <x:v>Ready</x:v>
      </x:c>
      <x:c r="D7551" s="6" t="str">
        <x:v>上</x:v>
      </x:c>
      <x:c r="E7551" s="6" t="str"/>
      <x:c r="F7551" s="6" t="str">
        <x:v>上聲十賄</x:v>
      </x:c>
      <x:c r="G7551" s="6" t="str">
        <x:v>Pingshui main list, Wikisource-derived DOCX</x:v>
      </x:c>
      <x:c r="H7551" s="6" t="str"/>
      <x:c r="I7551" s="6" t="str">
        <x:v>Pingshui main-list expansion; 詞 entries ignored</x:v>
      </x:c>
      <x:c r="J7551" s="6" t="str">
        <x:f>IF(B7551="","",IF(AND(ISNUMBER(SEARCH("平",B7551)),OR(ISNUMBER(SEARCH("上",B7551)),ISNUMBER(SEARCH("去",B7551)),ISNUMBER(SEARCH("入",B7551)))),"Ambiguous",IF(ISNUMBER(SEARCH("平",B7551)),"平","仄")))</x:f>
        <x:v>仄</x:v>
      </x:c>
      <x:c r="K7551" s="6" t="str">
        <x:f>IF(D7551="","",IF(AND(ISNUMBER(SEARCH("平",D7551)),OR(ISNUMBER(SEARCH("上",D7551)),ISNUMBER(SEARCH("去",D7551)),ISNUMBER(SEARCH("入",D7551)))),"Ambiguous",IF(ISNUMBER(SEARCH("平",D7551)),"平","仄")))</x:f>
        <x:v>仄</x:v>
      </x:c>
      <x:c r="L7551" s="7" t="str">
        <x:v>Pingshui main list expansion</x:v>
      </x:c>
    </x:row>
    <x:row r="7552">
      <x:c r="A7552" s="5" t="str">
        <x:v>絟</x:v>
      </x:c>
      <x:c r="B7552" s="6" t="str">
        <x:v>平</x:v>
      </x:c>
      <x:c r="C7552" s="6" t="str">
        <x:f>IF(B7552="","Needs decision","Ready")</x:f>
        <x:v>Ready</x:v>
      </x:c>
      <x:c r="D7552" s="6" t="str">
        <x:v>平</x:v>
      </x:c>
      <x:c r="E7552" s="6" t="str"/>
      <x:c r="F7552" s="6" t="str">
        <x:v>下平聲一先</x:v>
      </x:c>
      <x:c r="G7552" s="6" t="str">
        <x:v>Pingshui main list, Wikisource-derived DOCX</x:v>
      </x:c>
      <x:c r="H7552" s="6" t="str"/>
      <x:c r="I7552" s="6" t="str">
        <x:v>Pingshui main-list expansion; 詞 entries ignored</x:v>
      </x:c>
      <x:c r="J7552" s="6" t="str">
        <x:f>IF(B7552="","",IF(AND(ISNUMBER(SEARCH("平",B7552)),OR(ISNUMBER(SEARCH("上",B7552)),ISNUMBER(SEARCH("去",B7552)),ISNUMBER(SEARCH("入",B7552)))),"Ambiguous",IF(ISNUMBER(SEARCH("平",B7552)),"平","仄")))</x:f>
        <x:v>平</x:v>
      </x:c>
      <x:c r="K7552" s="6" t="str">
        <x:f>IF(D7552="","",IF(AND(ISNUMBER(SEARCH("平",D7552)),OR(ISNUMBER(SEARCH("上",D7552)),ISNUMBER(SEARCH("去",D7552)),ISNUMBER(SEARCH("入",D7552)))),"Ambiguous",IF(ISNUMBER(SEARCH("平",D7552)),"平","仄")))</x:f>
        <x:v>平</x:v>
      </x:c>
      <x:c r="L7552" s="7" t="str">
        <x:v>Pingshui main list expansion</x:v>
      </x:c>
    </x:row>
    <x:row r="7553">
      <x:c r="A7553" s="5" t="str">
        <x:v>絣</x:v>
      </x:c>
      <x:c r="B7553" s="6" t="str">
        <x:v>平</x:v>
      </x:c>
      <x:c r="C7553" s="6" t="str">
        <x:f>IF(B7553="","Needs decision","Ready")</x:f>
        <x:v>Ready</x:v>
      </x:c>
      <x:c r="D7553" s="6" t="str">
        <x:v>平</x:v>
      </x:c>
      <x:c r="E7553" s="6" t="str"/>
      <x:c r="F7553" s="6" t="str">
        <x:v>下平聲八庚</x:v>
      </x:c>
      <x:c r="G7553" s="6" t="str">
        <x:v>Pingshui main list, Wikisource-derived DOCX</x:v>
      </x:c>
      <x:c r="H7553" s="6" t="str"/>
      <x:c r="I7553" s="6" t="str">
        <x:v>Pingshui main-list expansion; 詞 entries ignored</x:v>
      </x:c>
      <x:c r="J7553" s="6" t="str">
        <x:f>IF(B7553="","",IF(AND(ISNUMBER(SEARCH("平",B7553)),OR(ISNUMBER(SEARCH("上",B7553)),ISNUMBER(SEARCH("去",B7553)),ISNUMBER(SEARCH("入",B7553)))),"Ambiguous",IF(ISNUMBER(SEARCH("平",B7553)),"平","仄")))</x:f>
        <x:v>平</x:v>
      </x:c>
      <x:c r="K7553" s="6" t="str">
        <x:f>IF(D7553="","",IF(AND(ISNUMBER(SEARCH("平",D7553)),OR(ISNUMBER(SEARCH("上",D7553)),ISNUMBER(SEARCH("去",D7553)),ISNUMBER(SEARCH("入",D7553)))),"Ambiguous",IF(ISNUMBER(SEARCH("平",D7553)),"平","仄")))</x:f>
        <x:v>平</x:v>
      </x:c>
      <x:c r="L7553" s="7" t="str">
        <x:v>Pingshui main list expansion</x:v>
      </x:c>
    </x:row>
    <x:row r="7554">
      <x:c r="A7554" s="5" t="str">
        <x:v>絧</x:v>
      </x:c>
      <x:c r="B7554" s="6" t="str"/>
      <x:c r="C7554" s="6" t="str">
        <x:f>IF(B7554="","Needs decision","Ready")</x:f>
        <x:v>Needs decision</x:v>
      </x:c>
      <x:c r="D7554" s="6" t="str">
        <x:v>平/去</x:v>
      </x:c>
      <x:c r="E7554" s="6" t="str"/>
      <x:c r="F7554" s="6" t="str">
        <x:v>上平聲一東; 去聲一送</x:v>
      </x:c>
      <x:c r="G7554" s="6" t="str">
        <x:v>Pingshui main list, Wikisource-derived DOCX</x:v>
      </x:c>
      <x:c r="H7554" s="6" t="str"/>
      <x:c r="I7554" s="6" t="str">
        <x:v>Pingshui main-list expansion; 詞 entries ignored</x:v>
      </x:c>
      <x:c r="J7554" s="6" t="str">
        <x:f>IF(B7554="","",IF(AND(ISNUMBER(SEARCH("平",B7554)),OR(ISNUMBER(SEARCH("上",B7554)),ISNUMBER(SEARCH("去",B7554)),ISNUMBER(SEARCH("入",B7554)))),"Ambiguous",IF(ISNUMBER(SEARCH("平",B7554)),"平","仄")))</x:f>
      </x:c>
      <x:c r="K7554" s="6" t="str">
        <x:f>IF(D7554="","",IF(AND(ISNUMBER(SEARCH("平",D7554)),OR(ISNUMBER(SEARCH("上",D7554)),ISNUMBER(SEARCH("去",D7554)),ISNUMBER(SEARCH("入",D7554)))),"Ambiguous",IF(ISNUMBER(SEARCH("平",D7554)),"平","仄")))</x:f>
        <x:v>Ambiguous</x:v>
      </x:c>
      <x:c r="L7554" s="7" t="str">
        <x:v>Pingshui main list expansion</x:v>
      </x:c>
    </x:row>
    <x:row r="7555">
      <x:c r="A7555" s="5" t="str">
        <x:v>絨</x:v>
      </x:c>
      <x:c r="B7555" s="6" t="str">
        <x:v>平</x:v>
      </x:c>
      <x:c r="C7555" s="6" t="str">
        <x:f>IF(B7555="","Needs decision","Ready")</x:f>
        <x:v>Ready</x:v>
      </x:c>
      <x:c r="D7555" s="6" t="str">
        <x:v>平</x:v>
      </x:c>
      <x:c r="E7555" s="6" t="str"/>
      <x:c r="F7555" s="6" t="str">
        <x:v>上平聲一東</x:v>
      </x:c>
      <x:c r="G7555" s="6" t="str">
        <x:v>Pingshui main list, Wikisource-derived DOCX</x:v>
      </x:c>
      <x:c r="H7555" s="6" t="str"/>
      <x:c r="I7555" s="6" t="str">
        <x:v>Pingshui main-list expansion; 詞 entries ignored</x:v>
      </x:c>
      <x:c r="J7555" s="6" t="str">
        <x:f>IF(B7555="","",IF(AND(ISNUMBER(SEARCH("平",B7555)),OR(ISNUMBER(SEARCH("上",B7555)),ISNUMBER(SEARCH("去",B7555)),ISNUMBER(SEARCH("入",B7555)))),"Ambiguous",IF(ISNUMBER(SEARCH("平",B7555)),"平","仄")))</x:f>
        <x:v>平</x:v>
      </x:c>
      <x:c r="K7555" s="6" t="str">
        <x:f>IF(D7555="","",IF(AND(ISNUMBER(SEARCH("平",D7555)),OR(ISNUMBER(SEARCH("上",D7555)),ISNUMBER(SEARCH("去",D7555)),ISNUMBER(SEARCH("入",D7555)))),"Ambiguous",IF(ISNUMBER(SEARCH("平",D7555)),"平","仄")))</x:f>
        <x:v>平</x:v>
      </x:c>
      <x:c r="L7555" s="7" t="str">
        <x:v>Pingshui main list expansion</x:v>
      </x:c>
    </x:row>
    <x:row r="7556">
      <x:c r="A7556" s="5" t="str">
        <x:v>絫</x:v>
      </x:c>
      <x:c r="B7556" s="6" t="str">
        <x:v>上</x:v>
      </x:c>
      <x:c r="C7556" s="6" t="str">
        <x:f>IF(B7556="","Needs decision","Ready")</x:f>
        <x:v>Ready</x:v>
      </x:c>
      <x:c r="D7556" s="6" t="str">
        <x:v>上</x:v>
      </x:c>
      <x:c r="E7556" s="6" t="str"/>
      <x:c r="F7556" s="6" t="str">
        <x:v>上聲四紙</x:v>
      </x:c>
      <x:c r="G7556" s="6" t="str">
        <x:v>Pingshui main list, Wikisource-derived DOCX</x:v>
      </x:c>
      <x:c r="H7556" s="6" t="str"/>
      <x:c r="I7556" s="6" t="str">
        <x:v>Pingshui main-list expansion; 詞 entries ignored</x:v>
      </x:c>
      <x:c r="J7556" s="6" t="str">
        <x:f>IF(B7556="","",IF(AND(ISNUMBER(SEARCH("平",B7556)),OR(ISNUMBER(SEARCH("上",B7556)),ISNUMBER(SEARCH("去",B7556)),ISNUMBER(SEARCH("入",B7556)))),"Ambiguous",IF(ISNUMBER(SEARCH("平",B7556)),"平","仄")))</x:f>
        <x:v>仄</x:v>
      </x:c>
      <x:c r="K7556" s="6" t="str">
        <x:f>IF(D7556="","",IF(AND(ISNUMBER(SEARCH("平",D7556)),OR(ISNUMBER(SEARCH("上",D7556)),ISNUMBER(SEARCH("去",D7556)),ISNUMBER(SEARCH("入",D7556)))),"Ambiguous",IF(ISNUMBER(SEARCH("平",D7556)),"平","仄")))</x:f>
        <x:v>仄</x:v>
      </x:c>
      <x:c r="L7556" s="7" t="str">
        <x:v>Pingshui main list expansion</x:v>
      </x:c>
    </x:row>
    <x:row r="7557">
      <x:c r="A7557" s="5" t="str">
        <x:v>絯</x:v>
      </x:c>
      <x:c r="B7557" s="6" t="str">
        <x:v>平</x:v>
      </x:c>
      <x:c r="C7557" s="6" t="str">
        <x:f>IF(B7557="","Needs decision","Ready")</x:f>
        <x:v>Ready</x:v>
      </x:c>
      <x:c r="D7557" s="6" t="str">
        <x:v>平</x:v>
      </x:c>
      <x:c r="E7557" s="6" t="str"/>
      <x:c r="F7557" s="6" t="str">
        <x:v>上平聲十灰</x:v>
      </x:c>
      <x:c r="G7557" s="6" t="str">
        <x:v>Pingshui main list, Wikisource-derived DOCX</x:v>
      </x:c>
      <x:c r="H7557" s="6" t="str"/>
      <x:c r="I7557" s="6" t="str">
        <x:v>Pingshui main-list expansion; 詞 entries ignored</x:v>
      </x:c>
      <x:c r="J7557" s="6" t="str">
        <x:f>IF(B7557="","",IF(AND(ISNUMBER(SEARCH("平",B7557)),OR(ISNUMBER(SEARCH("上",B7557)),ISNUMBER(SEARCH("去",B7557)),ISNUMBER(SEARCH("入",B7557)))),"Ambiguous",IF(ISNUMBER(SEARCH("平",B7557)),"平","仄")))</x:f>
        <x:v>平</x:v>
      </x:c>
      <x:c r="K7557" s="6" t="str">
        <x:f>IF(D7557="","",IF(AND(ISNUMBER(SEARCH("平",D7557)),OR(ISNUMBER(SEARCH("上",D7557)),ISNUMBER(SEARCH("去",D7557)),ISNUMBER(SEARCH("入",D7557)))),"Ambiguous",IF(ISNUMBER(SEARCH("平",D7557)),"平","仄")))</x:f>
        <x:v>平</x:v>
      </x:c>
      <x:c r="L7557" s="7" t="str">
        <x:v>Pingshui main list expansion</x:v>
      </x:c>
    </x:row>
    <x:row r="7558">
      <x:c r="A7558" s="5" t="str">
        <x:v>絻</x:v>
      </x:c>
      <x:c r="B7558" s="6" t="str">
        <x:v>去</x:v>
      </x:c>
      <x:c r="C7558" s="6" t="str">
        <x:f>IF(B7558="","Needs decision","Ready")</x:f>
        <x:v>Ready</x:v>
      </x:c>
      <x:c r="D7558" s="6" t="str">
        <x:v>去</x:v>
      </x:c>
      <x:c r="E7558" s="6" t="str"/>
      <x:c r="F7558" s="6" t="str">
        <x:v>去聲十三問</x:v>
      </x:c>
      <x:c r="G7558" s="6" t="str">
        <x:v>Pingshui main list, Wikisource-derived DOCX</x:v>
      </x:c>
      <x:c r="H7558" s="6" t="str"/>
      <x:c r="I7558" s="6" t="str">
        <x:v>Pingshui main-list expansion; 詞 entries ignored</x:v>
      </x:c>
      <x:c r="J7558" s="6" t="str">
        <x:f>IF(B7558="","",IF(AND(ISNUMBER(SEARCH("平",B7558)),OR(ISNUMBER(SEARCH("上",B7558)),ISNUMBER(SEARCH("去",B7558)),ISNUMBER(SEARCH("入",B7558)))),"Ambiguous",IF(ISNUMBER(SEARCH("平",B7558)),"平","仄")))</x:f>
        <x:v>仄</x:v>
      </x:c>
      <x:c r="K7558" s="6" t="str">
        <x:f>IF(D7558="","",IF(AND(ISNUMBER(SEARCH("平",D7558)),OR(ISNUMBER(SEARCH("上",D7558)),ISNUMBER(SEARCH("去",D7558)),ISNUMBER(SEARCH("入",D7558)))),"Ambiguous",IF(ISNUMBER(SEARCH("平",D7558)),"平","仄")))</x:f>
        <x:v>仄</x:v>
      </x:c>
      <x:c r="L7558" s="7" t="str">
        <x:v>Pingshui main list expansion</x:v>
      </x:c>
    </x:row>
    <x:row r="7559">
      <x:c r="A7559" s="5" t="str">
        <x:v>絿</x:v>
      </x:c>
      <x:c r="B7559" s="6" t="str">
        <x:v>平</x:v>
      </x:c>
      <x:c r="C7559" s="6" t="str">
        <x:f>IF(B7559="","Needs decision","Ready")</x:f>
        <x:v>Ready</x:v>
      </x:c>
      <x:c r="D7559" s="6" t="str">
        <x:v>平</x:v>
      </x:c>
      <x:c r="E7559" s="6" t="str"/>
      <x:c r="F7559" s="6" t="str">
        <x:v>下平聲十一尤</x:v>
      </x:c>
      <x:c r="G7559" s="6" t="str">
        <x:v>Pingshui main list, Wikisource-derived DOCX</x:v>
      </x:c>
      <x:c r="H7559" s="6" t="str"/>
      <x:c r="I7559" s="6" t="str">
        <x:v>Pingshui main-list expansion; 詞 entries ignored</x:v>
      </x:c>
      <x:c r="J7559" s="6" t="str">
        <x:f>IF(B7559="","",IF(AND(ISNUMBER(SEARCH("平",B7559)),OR(ISNUMBER(SEARCH("上",B7559)),ISNUMBER(SEARCH("去",B7559)),ISNUMBER(SEARCH("入",B7559)))),"Ambiguous",IF(ISNUMBER(SEARCH("平",B7559)),"平","仄")))</x:f>
        <x:v>平</x:v>
      </x:c>
      <x:c r="K7559" s="6" t="str">
        <x:f>IF(D7559="","",IF(AND(ISNUMBER(SEARCH("平",D7559)),OR(ISNUMBER(SEARCH("上",D7559)),ISNUMBER(SEARCH("去",D7559)),ISNUMBER(SEARCH("入",D7559)))),"Ambiguous",IF(ISNUMBER(SEARCH("平",D7559)),"平","仄")))</x:f>
        <x:v>平</x:v>
      </x:c>
      <x:c r="L7559" s="7" t="str">
        <x:v>Pingshui main list expansion</x:v>
      </x:c>
    </x:row>
    <x:row r="7560">
      <x:c r="A7560" s="5" t="str">
        <x:v>綀</x:v>
      </x:c>
      <x:c r="B7560" s="6" t="str">
        <x:v>平</x:v>
      </x:c>
      <x:c r="C7560" s="6" t="str">
        <x:f>IF(B7560="","Needs decision","Ready")</x:f>
        <x:v>Ready</x:v>
      </x:c>
      <x:c r="D7560" s="6" t="str">
        <x:v>平</x:v>
      </x:c>
      <x:c r="E7560" s="6" t="str"/>
      <x:c r="F7560" s="6" t="str">
        <x:v>上平聲六魚</x:v>
      </x:c>
      <x:c r="G7560" s="6" t="str">
        <x:v>Pingshui main list, Wikisource-derived DOCX</x:v>
      </x:c>
      <x:c r="H7560" s="6" t="str"/>
      <x:c r="I7560" s="6" t="str">
        <x:v>Pingshui main-list expansion; 詞 entries ignored</x:v>
      </x:c>
      <x:c r="J7560" s="6" t="str">
        <x:f>IF(B7560="","",IF(AND(ISNUMBER(SEARCH("平",B7560)),OR(ISNUMBER(SEARCH("上",B7560)),ISNUMBER(SEARCH("去",B7560)),ISNUMBER(SEARCH("入",B7560)))),"Ambiguous",IF(ISNUMBER(SEARCH("平",B7560)),"平","仄")))</x:f>
        <x:v>平</x:v>
      </x:c>
      <x:c r="K7560" s="6" t="str">
        <x:f>IF(D7560="","",IF(AND(ISNUMBER(SEARCH("平",D7560)),OR(ISNUMBER(SEARCH("上",D7560)),ISNUMBER(SEARCH("去",D7560)),ISNUMBER(SEARCH("入",D7560)))),"Ambiguous",IF(ISNUMBER(SEARCH("平",D7560)),"平","仄")))</x:f>
        <x:v>平</x:v>
      </x:c>
      <x:c r="L7560" s="7" t="str">
        <x:v>Pingshui main list expansion</x:v>
      </x:c>
    </x:row>
    <x:row r="7561">
      <x:c r="A7561" s="5" t="str">
        <x:v>綄</x:v>
      </x:c>
      <x:c r="B7561" s="6" t="str">
        <x:v>平</x:v>
      </x:c>
      <x:c r="C7561" s="6" t="str">
        <x:f>IF(B7561="","Needs decision","Ready")</x:f>
        <x:v>Ready</x:v>
      </x:c>
      <x:c r="D7561" s="6" t="str">
        <x:v>平</x:v>
      </x:c>
      <x:c r="E7561" s="6" t="str"/>
      <x:c r="F7561" s="6" t="str">
        <x:v>上平聲十四寒</x:v>
      </x:c>
      <x:c r="G7561" s="6" t="str">
        <x:v>Pingshui main list, Wikisource-derived DOCX</x:v>
      </x:c>
      <x:c r="H7561" s="6" t="str"/>
      <x:c r="I7561" s="6" t="str">
        <x:v>Pingshui main-list expansion; 詞 entries ignored</x:v>
      </x:c>
      <x:c r="J7561" s="6" t="str">
        <x:f>IF(B7561="","",IF(AND(ISNUMBER(SEARCH("平",B7561)),OR(ISNUMBER(SEARCH("上",B7561)),ISNUMBER(SEARCH("去",B7561)),ISNUMBER(SEARCH("入",B7561)))),"Ambiguous",IF(ISNUMBER(SEARCH("平",B7561)),"平","仄")))</x:f>
        <x:v>平</x:v>
      </x:c>
      <x:c r="K7561" s="6" t="str">
        <x:f>IF(D7561="","",IF(AND(ISNUMBER(SEARCH("平",D7561)),OR(ISNUMBER(SEARCH("上",D7561)),ISNUMBER(SEARCH("去",D7561)),ISNUMBER(SEARCH("入",D7561)))),"Ambiguous",IF(ISNUMBER(SEARCH("平",D7561)),"平","仄")))</x:f>
        <x:v>平</x:v>
      </x:c>
      <x:c r="L7561" s="7" t="str">
        <x:v>Pingshui main list expansion</x:v>
      </x:c>
    </x:row>
    <x:row r="7562">
      <x:c r="A7562" s="5" t="str">
        <x:v>綅</x:v>
      </x:c>
      <x:c r="B7562" s="6" t="str">
        <x:v>平</x:v>
      </x:c>
      <x:c r="C7562" s="6" t="str">
        <x:f>IF(B7562="","Needs decision","Ready")</x:f>
        <x:v>Ready</x:v>
      </x:c>
      <x:c r="D7562" s="6" t="str">
        <x:v>平</x:v>
      </x:c>
      <x:c r="E7562" s="6" t="str"/>
      <x:c r="F7562" s="6" t="str">
        <x:v>下平聲十二侵; 下平聲十四鹽</x:v>
      </x:c>
      <x:c r="G7562" s="6" t="str">
        <x:v>Pingshui main list, Wikisource-derived DOCX</x:v>
      </x:c>
      <x:c r="H7562" s="6" t="str"/>
      <x:c r="I7562" s="6" t="str">
        <x:v>Pingshui main-list expansion; 詞 entries ignored</x:v>
      </x:c>
      <x:c r="J7562" s="6" t="str">
        <x:f>IF(B7562="","",IF(AND(ISNUMBER(SEARCH("平",B7562)),OR(ISNUMBER(SEARCH("上",B7562)),ISNUMBER(SEARCH("去",B7562)),ISNUMBER(SEARCH("入",B7562)))),"Ambiguous",IF(ISNUMBER(SEARCH("平",B7562)),"平","仄")))</x:f>
        <x:v>平</x:v>
      </x:c>
      <x:c r="K7562" s="6" t="str">
        <x:f>IF(D7562="","",IF(AND(ISNUMBER(SEARCH("平",D7562)),OR(ISNUMBER(SEARCH("上",D7562)),ISNUMBER(SEARCH("去",D7562)),ISNUMBER(SEARCH("入",D7562)))),"Ambiguous",IF(ISNUMBER(SEARCH("平",D7562)),"平","仄")))</x:f>
        <x:v>平</x:v>
      </x:c>
      <x:c r="L7562" s="7" t="str">
        <x:v>Pingshui main list expansion</x:v>
      </x:c>
    </x:row>
    <x:row r="7563">
      <x:c r="A7563" s="5" t="str">
        <x:v>綍</x:v>
      </x:c>
      <x:c r="B7563" s="6" t="str">
        <x:v>入</x:v>
      </x:c>
      <x:c r="C7563" s="6" t="str">
        <x:f>IF(B7563="","Needs decision","Ready")</x:f>
        <x:v>Ready</x:v>
      </x:c>
      <x:c r="D7563" s="6" t="str">
        <x:v>入</x:v>
      </x:c>
      <x:c r="E7563" s="6" t="str"/>
      <x:c r="F7563" s="6" t="str">
        <x:v>入聲五物</x:v>
      </x:c>
      <x:c r="G7563" s="6" t="str">
        <x:v>Pingshui main list, Wikisource-derived DOCX</x:v>
      </x:c>
      <x:c r="H7563" s="6" t="str"/>
      <x:c r="I7563" s="6" t="str">
        <x:v>Pingshui main-list expansion; 詞 entries ignored</x:v>
      </x:c>
      <x:c r="J7563" s="6" t="str">
        <x:f>IF(B7563="","",IF(AND(ISNUMBER(SEARCH("平",B7563)),OR(ISNUMBER(SEARCH("上",B7563)),ISNUMBER(SEARCH("去",B7563)),ISNUMBER(SEARCH("入",B7563)))),"Ambiguous",IF(ISNUMBER(SEARCH("平",B7563)),"平","仄")))</x:f>
        <x:v>仄</x:v>
      </x:c>
      <x:c r="K7563" s="6" t="str">
        <x:f>IF(D7563="","",IF(AND(ISNUMBER(SEARCH("平",D7563)),OR(ISNUMBER(SEARCH("上",D7563)),ISNUMBER(SEARCH("去",D7563)),ISNUMBER(SEARCH("入",D7563)))),"Ambiguous",IF(ISNUMBER(SEARCH("平",D7563)),"平","仄")))</x:f>
        <x:v>仄</x:v>
      </x:c>
      <x:c r="L7563" s="7" t="str">
        <x:v>Pingshui main list expansion</x:v>
      </x:c>
    </x:row>
    <x:row r="7564">
      <x:c r="A7564" s="5" t="str">
        <x:v>綎</x:v>
      </x:c>
      <x:c r="B7564" s="6" t="str">
        <x:v>平</x:v>
      </x:c>
      <x:c r="C7564" s="6" t="str">
        <x:f>IF(B7564="","Needs decision","Ready")</x:f>
        <x:v>Ready</x:v>
      </x:c>
      <x:c r="D7564" s="6" t="str">
        <x:v>平</x:v>
      </x:c>
      <x:c r="E7564" s="6" t="str"/>
      <x:c r="F7564" s="6" t="str">
        <x:v>下平聲九青</x:v>
      </x:c>
      <x:c r="G7564" s="6" t="str">
        <x:v>Pingshui main list, Wikisource-derived DOCX</x:v>
      </x:c>
      <x:c r="H7564" s="6" t="str"/>
      <x:c r="I7564" s="6" t="str">
        <x:v>Pingshui main-list expansion; 詞 entries ignored</x:v>
      </x:c>
      <x:c r="J7564" s="6" t="str">
        <x:f>IF(B7564="","",IF(AND(ISNUMBER(SEARCH("平",B7564)),OR(ISNUMBER(SEARCH("上",B7564)),ISNUMBER(SEARCH("去",B7564)),ISNUMBER(SEARCH("入",B7564)))),"Ambiguous",IF(ISNUMBER(SEARCH("平",B7564)),"平","仄")))</x:f>
        <x:v>平</x:v>
      </x:c>
      <x:c r="K7564" s="6" t="str">
        <x:f>IF(D7564="","",IF(AND(ISNUMBER(SEARCH("平",D7564)),OR(ISNUMBER(SEARCH("上",D7564)),ISNUMBER(SEARCH("去",D7564)),ISNUMBER(SEARCH("入",D7564)))),"Ambiguous",IF(ISNUMBER(SEARCH("平",D7564)),"平","仄")))</x:f>
        <x:v>平</x:v>
      </x:c>
      <x:c r="L7564" s="7" t="str">
        <x:v>Pingshui main list expansion</x:v>
      </x:c>
    </x:row>
    <x:row r="7565">
      <x:c r="A7565" s="5" t="str">
        <x:v>綝</x:v>
      </x:c>
      <x:c r="B7565" s="6" t="str">
        <x:v>平</x:v>
      </x:c>
      <x:c r="C7565" s="6" t="str">
        <x:f>IF(B7565="","Needs decision","Ready")</x:f>
        <x:v>Ready</x:v>
      </x:c>
      <x:c r="D7565" s="6" t="str">
        <x:v>平</x:v>
      </x:c>
      <x:c r="E7565" s="6" t="str"/>
      <x:c r="F7565" s="6" t="str">
        <x:v>下平聲十二侵</x:v>
      </x:c>
      <x:c r="G7565" s="6" t="str">
        <x:v>Pingshui main list, Wikisource-derived DOCX</x:v>
      </x:c>
      <x:c r="H7565" s="6" t="str"/>
      <x:c r="I7565" s="6" t="str">
        <x:v>Pingshui main-list expansion; 詞 entries ignored</x:v>
      </x:c>
      <x:c r="J7565" s="6" t="str">
        <x:f>IF(B7565="","",IF(AND(ISNUMBER(SEARCH("平",B7565)),OR(ISNUMBER(SEARCH("上",B7565)),ISNUMBER(SEARCH("去",B7565)),ISNUMBER(SEARCH("入",B7565)))),"Ambiguous",IF(ISNUMBER(SEARCH("平",B7565)),"平","仄")))</x:f>
        <x:v>平</x:v>
      </x:c>
      <x:c r="K7565" s="6" t="str">
        <x:f>IF(D7565="","",IF(AND(ISNUMBER(SEARCH("平",D7565)),OR(ISNUMBER(SEARCH("上",D7565)),ISNUMBER(SEARCH("去",D7565)),ISNUMBER(SEARCH("入",D7565)))),"Ambiguous",IF(ISNUMBER(SEARCH("平",D7565)),"平","仄")))</x:f>
        <x:v>平</x:v>
      </x:c>
      <x:c r="L7565" s="7" t="str">
        <x:v>Pingshui main list expansion</x:v>
      </x:c>
    </x:row>
    <x:row r="7566">
      <x:c r="A7566" s="5" t="str">
        <x:v>綟</x:v>
      </x:c>
      <x:c r="B7566" s="6" t="str">
        <x:v>去</x:v>
      </x:c>
      <x:c r="C7566" s="6" t="str">
        <x:f>IF(B7566="","Needs decision","Ready")</x:f>
        <x:v>Ready</x:v>
      </x:c>
      <x:c r="D7566" s="6" t="str">
        <x:v>去</x:v>
      </x:c>
      <x:c r="E7566" s="6" t="str"/>
      <x:c r="F7566" s="6" t="str">
        <x:v>去聲八霽</x:v>
      </x:c>
      <x:c r="G7566" s="6" t="str">
        <x:v>Pingshui main list, Wikisource-derived DOCX</x:v>
      </x:c>
      <x:c r="H7566" s="6" t="str"/>
      <x:c r="I7566" s="6" t="str">
        <x:v>Pingshui main-list expansion; 詞 entries ignored</x:v>
      </x:c>
      <x:c r="J7566" s="6" t="str">
        <x:f>IF(B7566="","",IF(AND(ISNUMBER(SEARCH("平",B7566)),OR(ISNUMBER(SEARCH("上",B7566)),ISNUMBER(SEARCH("去",B7566)),ISNUMBER(SEARCH("入",B7566)))),"Ambiguous",IF(ISNUMBER(SEARCH("平",B7566)),"平","仄")))</x:f>
        <x:v>仄</x:v>
      </x:c>
      <x:c r="K7566" s="6" t="str">
        <x:f>IF(D7566="","",IF(AND(ISNUMBER(SEARCH("平",D7566)),OR(ISNUMBER(SEARCH("上",D7566)),ISNUMBER(SEARCH("去",D7566)),ISNUMBER(SEARCH("入",D7566)))),"Ambiguous",IF(ISNUMBER(SEARCH("平",D7566)),"平","仄")))</x:f>
        <x:v>仄</x:v>
      </x:c>
      <x:c r="L7566" s="7" t="str">
        <x:v>Pingshui main list expansion</x:v>
      </x:c>
    </x:row>
    <x:row r="7567">
      <x:c r="A7567" s="5" t="str">
        <x:v>綡</x:v>
      </x:c>
      <x:c r="B7567" s="6" t="str">
        <x:v>平</x:v>
      </x:c>
      <x:c r="C7567" s="6" t="str">
        <x:f>IF(B7567="","Needs decision","Ready")</x:f>
        <x:v>Ready</x:v>
      </x:c>
      <x:c r="D7567" s="6" t="str">
        <x:v>平</x:v>
      </x:c>
      <x:c r="E7567" s="6" t="str"/>
      <x:c r="F7567" s="6" t="str">
        <x:v>下平聲七陽</x:v>
      </x:c>
      <x:c r="G7567" s="6" t="str">
        <x:v>Pingshui main list, Wikisource-derived DOCX</x:v>
      </x:c>
      <x:c r="H7567" s="6" t="str"/>
      <x:c r="I7567" s="6" t="str">
        <x:v>Pingshui main-list expansion; 詞 entries ignored</x:v>
      </x:c>
      <x:c r="J7567" s="6" t="str">
        <x:f>IF(B7567="","",IF(AND(ISNUMBER(SEARCH("平",B7567)),OR(ISNUMBER(SEARCH("上",B7567)),ISNUMBER(SEARCH("去",B7567)),ISNUMBER(SEARCH("入",B7567)))),"Ambiguous",IF(ISNUMBER(SEARCH("平",B7567)),"平","仄")))</x:f>
        <x:v>平</x:v>
      </x:c>
      <x:c r="K7567" s="6" t="str">
        <x:f>IF(D7567="","",IF(AND(ISNUMBER(SEARCH("平",D7567)),OR(ISNUMBER(SEARCH("上",D7567)),ISNUMBER(SEARCH("去",D7567)),ISNUMBER(SEARCH("入",D7567)))),"Ambiguous",IF(ISNUMBER(SEARCH("平",D7567)),"平","仄")))</x:f>
        <x:v>平</x:v>
      </x:c>
      <x:c r="L7567" s="7" t="str">
        <x:v>Pingshui main list expansion</x:v>
      </x:c>
    </x:row>
    <x:row r="7568">
      <x:c r="A7568" s="5" t="str">
        <x:v>綪</x:v>
      </x:c>
      <x:c r="B7568" s="6" t="str">
        <x:v>去</x:v>
      </x:c>
      <x:c r="C7568" s="6" t="str">
        <x:f>IF(B7568="","Needs decision","Ready")</x:f>
        <x:v>Ready</x:v>
      </x:c>
      <x:c r="D7568" s="6" t="str">
        <x:v>去</x:v>
      </x:c>
      <x:c r="E7568" s="6" t="str"/>
      <x:c r="F7568" s="6" t="str">
        <x:v>去聲十七霰</x:v>
      </x:c>
      <x:c r="G7568" s="6" t="str">
        <x:v>Pingshui main list, Wikisource-derived DOCX</x:v>
      </x:c>
      <x:c r="H7568" s="6" t="str"/>
      <x:c r="I7568" s="6" t="str">
        <x:v>Pingshui main-list expansion; 詞 entries ignored</x:v>
      </x:c>
      <x:c r="J7568" s="6" t="str">
        <x:f>IF(B7568="","",IF(AND(ISNUMBER(SEARCH("平",B7568)),OR(ISNUMBER(SEARCH("上",B7568)),ISNUMBER(SEARCH("去",B7568)),ISNUMBER(SEARCH("入",B7568)))),"Ambiguous",IF(ISNUMBER(SEARCH("平",B7568)),"平","仄")))</x:f>
        <x:v>仄</x:v>
      </x:c>
      <x:c r="K7568" s="6" t="str">
        <x:f>IF(D7568="","",IF(AND(ISNUMBER(SEARCH("平",D7568)),OR(ISNUMBER(SEARCH("上",D7568)),ISNUMBER(SEARCH("去",D7568)),ISNUMBER(SEARCH("入",D7568)))),"Ambiguous",IF(ISNUMBER(SEARCH("平",D7568)),"平","仄")))</x:f>
        <x:v>仄</x:v>
      </x:c>
      <x:c r="L7568" s="7" t="str">
        <x:v>Pingshui main list expansion</x:v>
      </x:c>
    </x:row>
    <x:row r="7569">
      <x:c r="A7569" s="5" t="str">
        <x:v>綮</x:v>
      </x:c>
      <x:c r="B7569" s="6" t="str">
        <x:v>上</x:v>
      </x:c>
      <x:c r="C7569" s="6" t="str">
        <x:f>IF(B7569="","Needs decision","Ready")</x:f>
        <x:v>Ready</x:v>
      </x:c>
      <x:c r="D7569" s="6" t="str">
        <x:v>上</x:v>
      </x:c>
      <x:c r="E7569" s="6" t="str"/>
      <x:c r="F7569" s="6" t="str">
        <x:v>上聲八薺</x:v>
      </x:c>
      <x:c r="G7569" s="6" t="str">
        <x:v>Pingshui main list, Wikisource-derived DOCX</x:v>
      </x:c>
      <x:c r="H7569" s="6" t="str"/>
      <x:c r="I7569" s="6" t="str">
        <x:v>Pingshui main-list expansion; 詞 entries ignored</x:v>
      </x:c>
      <x:c r="J7569" s="6" t="str">
        <x:f>IF(B7569="","",IF(AND(ISNUMBER(SEARCH("平",B7569)),OR(ISNUMBER(SEARCH("上",B7569)),ISNUMBER(SEARCH("去",B7569)),ISNUMBER(SEARCH("入",B7569)))),"Ambiguous",IF(ISNUMBER(SEARCH("平",B7569)),"平","仄")))</x:f>
        <x:v>仄</x:v>
      </x:c>
      <x:c r="K7569" s="6" t="str">
        <x:f>IF(D7569="","",IF(AND(ISNUMBER(SEARCH("平",D7569)),OR(ISNUMBER(SEARCH("上",D7569)),ISNUMBER(SEARCH("去",D7569)),ISNUMBER(SEARCH("入",D7569)))),"Ambiguous",IF(ISNUMBER(SEARCH("平",D7569)),"平","仄")))</x:f>
        <x:v>仄</x:v>
      </x:c>
      <x:c r="L7569" s="7" t="str">
        <x:v>Pingshui main list expansion</x:v>
      </x:c>
    </x:row>
    <x:row r="7570">
      <x:c r="A7570" s="5" t="str">
        <x:v>綹</x:v>
      </x:c>
      <x:c r="B7570" s="6" t="str">
        <x:v>上</x:v>
      </x:c>
      <x:c r="C7570" s="6" t="str">
        <x:f>IF(B7570="","Needs decision","Ready")</x:f>
        <x:v>Ready</x:v>
      </x:c>
      <x:c r="D7570" s="6" t="str">
        <x:v>上</x:v>
      </x:c>
      <x:c r="E7570" s="6" t="str"/>
      <x:c r="F7570" s="6" t="str">
        <x:v>上聲二十五有</x:v>
      </x:c>
      <x:c r="G7570" s="6" t="str">
        <x:v>Pingshui main list, Wikisource-derived DOCX</x:v>
      </x:c>
      <x:c r="H7570" s="6" t="str"/>
      <x:c r="I7570" s="6" t="str">
        <x:v>Pingshui main-list expansion; 詞 entries ignored</x:v>
      </x:c>
      <x:c r="J7570" s="6" t="str">
        <x:f>IF(B7570="","",IF(AND(ISNUMBER(SEARCH("平",B7570)),OR(ISNUMBER(SEARCH("上",B7570)),ISNUMBER(SEARCH("去",B7570)),ISNUMBER(SEARCH("入",B7570)))),"Ambiguous",IF(ISNUMBER(SEARCH("平",B7570)),"平","仄")))</x:f>
        <x:v>仄</x:v>
      </x:c>
      <x:c r="K7570" s="6" t="str">
        <x:f>IF(D7570="","",IF(AND(ISNUMBER(SEARCH("平",D7570)),OR(ISNUMBER(SEARCH("上",D7570)),ISNUMBER(SEARCH("去",D7570)),ISNUMBER(SEARCH("入",D7570)))),"Ambiguous",IF(ISNUMBER(SEARCH("平",D7570)),"平","仄")))</x:f>
        <x:v>仄</x:v>
      </x:c>
      <x:c r="L7570" s="7" t="str">
        <x:v>Pingshui main list expansion</x:v>
      </x:c>
    </x:row>
    <x:row r="7571">
      <x:c r="A7571" s="5" t="str">
        <x:v>緀</x:v>
      </x:c>
      <x:c r="B7571" s="6" t="str">
        <x:v>平</x:v>
      </x:c>
      <x:c r="C7571" s="6" t="str">
        <x:f>IF(B7571="","Needs decision","Ready")</x:f>
        <x:v>Ready</x:v>
      </x:c>
      <x:c r="D7571" s="6" t="str">
        <x:v>平</x:v>
      </x:c>
      <x:c r="E7571" s="6" t="str"/>
      <x:c r="F7571" s="6" t="str">
        <x:v>上平聲八齊</x:v>
      </x:c>
      <x:c r="G7571" s="6" t="str">
        <x:v>Pingshui main list, Wikisource-derived DOCX</x:v>
      </x:c>
      <x:c r="H7571" s="6" t="str"/>
      <x:c r="I7571" s="6" t="str">
        <x:v>Pingshui main-list expansion; 詞 entries ignored</x:v>
      </x:c>
      <x:c r="J7571" s="6" t="str">
        <x:f>IF(B7571="","",IF(AND(ISNUMBER(SEARCH("平",B7571)),OR(ISNUMBER(SEARCH("上",B7571)),ISNUMBER(SEARCH("去",B7571)),ISNUMBER(SEARCH("入",B7571)))),"Ambiguous",IF(ISNUMBER(SEARCH("平",B7571)),"平","仄")))</x:f>
        <x:v>平</x:v>
      </x:c>
      <x:c r="K7571" s="6" t="str">
        <x:f>IF(D7571="","",IF(AND(ISNUMBER(SEARCH("平",D7571)),OR(ISNUMBER(SEARCH("上",D7571)),ISNUMBER(SEARCH("去",D7571)),ISNUMBER(SEARCH("入",D7571)))),"Ambiguous",IF(ISNUMBER(SEARCH("平",D7571)),"平","仄")))</x:f>
        <x:v>平</x:v>
      </x:c>
      <x:c r="L7571" s="7" t="str">
        <x:v>Pingshui main list expansion</x:v>
      </x:c>
    </x:row>
    <x:row r="7572">
      <x:c r="A7572" s="5" t="str">
        <x:v>緁</x:v>
      </x:c>
      <x:c r="B7572" s="6" t="str">
        <x:v>入</x:v>
      </x:c>
      <x:c r="C7572" s="6" t="str">
        <x:f>IF(B7572="","Needs decision","Ready")</x:f>
        <x:v>Ready</x:v>
      </x:c>
      <x:c r="D7572" s="6" t="str">
        <x:v>入</x:v>
      </x:c>
      <x:c r="E7572" s="6" t="str"/>
      <x:c r="F7572" s="6" t="str">
        <x:v>入聲十六葉</x:v>
      </x:c>
      <x:c r="G7572" s="6" t="str">
        <x:v>Pingshui main list, Wikisource-derived DOCX</x:v>
      </x:c>
      <x:c r="H7572" s="6" t="str"/>
      <x:c r="I7572" s="6" t="str">
        <x:v>Pingshui main-list expansion; 詞 entries ignored</x:v>
      </x:c>
      <x:c r="J7572" s="6" t="str">
        <x:f>IF(B7572="","",IF(AND(ISNUMBER(SEARCH("平",B7572)),OR(ISNUMBER(SEARCH("上",B7572)),ISNUMBER(SEARCH("去",B7572)),ISNUMBER(SEARCH("入",B7572)))),"Ambiguous",IF(ISNUMBER(SEARCH("平",B7572)),"平","仄")))</x:f>
        <x:v>仄</x:v>
      </x:c>
      <x:c r="K7572" s="6" t="str">
        <x:f>IF(D7572="","",IF(AND(ISNUMBER(SEARCH("平",D7572)),OR(ISNUMBER(SEARCH("上",D7572)),ISNUMBER(SEARCH("去",D7572)),ISNUMBER(SEARCH("入",D7572)))),"Ambiguous",IF(ISNUMBER(SEARCH("平",D7572)),"平","仄")))</x:f>
        <x:v>仄</x:v>
      </x:c>
      <x:c r="L7572" s="7" t="str">
        <x:v>Pingshui main list expansion</x:v>
      </x:c>
    </x:row>
    <x:row r="7573">
      <x:c r="A7573" s="5" t="str">
        <x:v>緅</x:v>
      </x:c>
      <x:c r="B7573" s="6" t="str">
        <x:v>平</x:v>
      </x:c>
      <x:c r="C7573" s="6" t="str">
        <x:f>IF(B7573="","Needs decision","Ready")</x:f>
        <x:v>Ready</x:v>
      </x:c>
      <x:c r="D7573" s="6" t="str">
        <x:v>平</x:v>
      </x:c>
      <x:c r="E7573" s="6" t="str"/>
      <x:c r="F7573" s="6" t="str">
        <x:v>下平聲十一尤</x:v>
      </x:c>
      <x:c r="G7573" s="6" t="str">
        <x:v>Pingshui main list, Wikisource-derived DOCX</x:v>
      </x:c>
      <x:c r="H7573" s="6" t="str"/>
      <x:c r="I7573" s="6" t="str">
        <x:v>Pingshui main-list expansion; 詞 entries ignored</x:v>
      </x:c>
      <x:c r="J7573" s="6" t="str">
        <x:f>IF(B7573="","",IF(AND(ISNUMBER(SEARCH("平",B7573)),OR(ISNUMBER(SEARCH("上",B7573)),ISNUMBER(SEARCH("去",B7573)),ISNUMBER(SEARCH("入",B7573)))),"Ambiguous",IF(ISNUMBER(SEARCH("平",B7573)),"平","仄")))</x:f>
        <x:v>平</x:v>
      </x:c>
      <x:c r="K7573" s="6" t="str">
        <x:f>IF(D7573="","",IF(AND(ISNUMBER(SEARCH("平",D7573)),OR(ISNUMBER(SEARCH("上",D7573)),ISNUMBER(SEARCH("去",D7573)),ISNUMBER(SEARCH("入",D7573)))),"Ambiguous",IF(ISNUMBER(SEARCH("平",D7573)),"平","仄")))</x:f>
        <x:v>平</x:v>
      </x:c>
      <x:c r="L7573" s="7" t="str">
        <x:v>Pingshui main list expansion</x:v>
      </x:c>
    </x:row>
    <x:row r="7574">
      <x:c r="A7574" s="5" t="str">
        <x:v>緆</x:v>
      </x:c>
      <x:c r="B7574" s="6" t="str">
        <x:v>入</x:v>
      </x:c>
      <x:c r="C7574" s="6" t="str">
        <x:f>IF(B7574="","Needs decision","Ready")</x:f>
        <x:v>Ready</x:v>
      </x:c>
      <x:c r="D7574" s="6" t="str">
        <x:v>入</x:v>
      </x:c>
      <x:c r="E7574" s="6" t="str"/>
      <x:c r="F7574" s="6" t="str">
        <x:v>入聲十二錫</x:v>
      </x:c>
      <x:c r="G7574" s="6" t="str">
        <x:v>Pingshui main list, Wikisource-derived DOCX</x:v>
      </x:c>
      <x:c r="H7574" s="6" t="str"/>
      <x:c r="I7574" s="6" t="str">
        <x:v>Pingshui main-list expansion; 詞 entries ignored</x:v>
      </x:c>
      <x:c r="J7574" s="6" t="str">
        <x:f>IF(B7574="","",IF(AND(ISNUMBER(SEARCH("平",B7574)),OR(ISNUMBER(SEARCH("上",B7574)),ISNUMBER(SEARCH("去",B7574)),ISNUMBER(SEARCH("入",B7574)))),"Ambiguous",IF(ISNUMBER(SEARCH("平",B7574)),"平","仄")))</x:f>
        <x:v>仄</x:v>
      </x:c>
      <x:c r="K7574" s="6" t="str">
        <x:f>IF(D7574="","",IF(AND(ISNUMBER(SEARCH("平",D7574)),OR(ISNUMBER(SEARCH("上",D7574)),ISNUMBER(SEARCH("去",D7574)),ISNUMBER(SEARCH("入",D7574)))),"Ambiguous",IF(ISNUMBER(SEARCH("平",D7574)),"平","仄")))</x:f>
        <x:v>仄</x:v>
      </x:c>
      <x:c r="L7574" s="7" t="str">
        <x:v>Pingshui main list expansion</x:v>
      </x:c>
    </x:row>
    <x:row r="7575">
      <x:c r="A7575" s="5" t="str">
        <x:v>緉</x:v>
      </x:c>
      <x:c r="B7575" s="6" t="str"/>
      <x:c r="C7575" s="6" t="str">
        <x:f>IF(B7575="","Needs decision","Ready")</x:f>
        <x:v>Needs decision</x:v>
      </x:c>
      <x:c r="D7575" s="6" t="str">
        <x:v>上/去</x:v>
      </x:c>
      <x:c r="E7575" s="6" t="str"/>
      <x:c r="F7575" s="6" t="str">
        <x:v>上聲二十二養; 去聲二十三漾</x:v>
      </x:c>
      <x:c r="G7575" s="6" t="str">
        <x:v>Pingshui main list, Wikisource-derived DOCX</x:v>
      </x:c>
      <x:c r="H7575" s="6" t="str"/>
      <x:c r="I7575" s="6" t="str">
        <x:v>Pingshui main-list expansion; 詞 entries ignored</x:v>
      </x:c>
      <x:c r="J7575" s="6" t="str">
        <x:f>IF(B7575="","",IF(AND(ISNUMBER(SEARCH("平",B7575)),OR(ISNUMBER(SEARCH("上",B7575)),ISNUMBER(SEARCH("去",B7575)),ISNUMBER(SEARCH("入",B7575)))),"Ambiguous",IF(ISNUMBER(SEARCH("平",B7575)),"平","仄")))</x:f>
      </x:c>
      <x:c r="K7575" s="6" t="str">
        <x:f>IF(D7575="","",IF(AND(ISNUMBER(SEARCH("平",D7575)),OR(ISNUMBER(SEARCH("上",D7575)),ISNUMBER(SEARCH("去",D7575)),ISNUMBER(SEARCH("入",D7575)))),"Ambiguous",IF(ISNUMBER(SEARCH("平",D7575)),"平","仄")))</x:f>
        <x:v>仄</x:v>
      </x:c>
      <x:c r="L7575" s="7" t="str">
        <x:v>Pingshui main list expansion</x:v>
      </x:c>
    </x:row>
    <x:row r="7576">
      <x:c r="A7576" s="5" t="str">
        <x:v>緦</x:v>
      </x:c>
      <x:c r="B7576" s="6" t="str">
        <x:v>平</x:v>
      </x:c>
      <x:c r="C7576" s="6" t="str">
        <x:f>IF(B7576="","Needs decision","Ready")</x:f>
        <x:v>Ready</x:v>
      </x:c>
      <x:c r="D7576" s="6" t="str">
        <x:v>平</x:v>
      </x:c>
      <x:c r="E7576" s="6" t="str"/>
      <x:c r="F7576" s="6" t="str">
        <x:v>上平聲四支</x:v>
      </x:c>
      <x:c r="G7576" s="6" t="str">
        <x:v>Pingshui main list, Wikisource-derived DOCX</x:v>
      </x:c>
      <x:c r="H7576" s="6" t="str"/>
      <x:c r="I7576" s="6" t="str">
        <x:v>Pingshui main-list expansion; 詞 entries ignored</x:v>
      </x:c>
      <x:c r="J7576" s="6" t="str">
        <x:f>IF(B7576="","",IF(AND(ISNUMBER(SEARCH("平",B7576)),OR(ISNUMBER(SEARCH("上",B7576)),ISNUMBER(SEARCH("去",B7576)),ISNUMBER(SEARCH("入",B7576)))),"Ambiguous",IF(ISNUMBER(SEARCH("平",B7576)),"平","仄")))</x:f>
        <x:v>平</x:v>
      </x:c>
      <x:c r="K7576" s="6" t="str">
        <x:f>IF(D7576="","",IF(AND(ISNUMBER(SEARCH("平",D7576)),OR(ISNUMBER(SEARCH("上",D7576)),ISNUMBER(SEARCH("去",D7576)),ISNUMBER(SEARCH("入",D7576)))),"Ambiguous",IF(ISNUMBER(SEARCH("平",D7576)),"平","仄")))</x:f>
        <x:v>平</x:v>
      </x:c>
      <x:c r="L7576" s="7" t="str">
        <x:v>Pingshui main list expansion</x:v>
      </x:c>
    </x:row>
    <x:row r="7577">
      <x:c r="A7577" s="5" t="str">
        <x:v>緶</x:v>
      </x:c>
      <x:c r="B7577" s="6" t="str">
        <x:v>平</x:v>
      </x:c>
      <x:c r="C7577" s="6" t="str">
        <x:f>IF(B7577="","Needs decision","Ready")</x:f>
        <x:v>Ready</x:v>
      </x:c>
      <x:c r="D7577" s="6" t="str">
        <x:v>平</x:v>
      </x:c>
      <x:c r="E7577" s="6" t="str"/>
      <x:c r="F7577" s="6" t="str">
        <x:v>下平聲一先</x:v>
      </x:c>
      <x:c r="G7577" s="6" t="str">
        <x:v>Pingshui main list, Wikisource-derived DOCX</x:v>
      </x:c>
      <x:c r="H7577" s="6" t="str"/>
      <x:c r="I7577" s="6" t="str">
        <x:v>Pingshui main-list expansion; 詞 entries ignored</x:v>
      </x:c>
      <x:c r="J7577" s="6" t="str">
        <x:f>IF(B7577="","",IF(AND(ISNUMBER(SEARCH("平",B7577)),OR(ISNUMBER(SEARCH("上",B7577)),ISNUMBER(SEARCH("去",B7577)),ISNUMBER(SEARCH("入",B7577)))),"Ambiguous",IF(ISNUMBER(SEARCH("平",B7577)),"平","仄")))</x:f>
        <x:v>平</x:v>
      </x:c>
      <x:c r="K7577" s="6" t="str">
        <x:f>IF(D7577="","",IF(AND(ISNUMBER(SEARCH("平",D7577)),OR(ISNUMBER(SEARCH("上",D7577)),ISNUMBER(SEARCH("去",D7577)),ISNUMBER(SEARCH("入",D7577)))),"Ambiguous",IF(ISNUMBER(SEARCH("平",D7577)),"平","仄")))</x:f>
        <x:v>平</x:v>
      </x:c>
      <x:c r="L7577" s="7" t="str">
        <x:v>Pingshui main list expansion</x:v>
      </x:c>
    </x:row>
    <x:row r="7578">
      <x:c r="A7578" s="5" t="str">
        <x:v>緷</x:v>
      </x:c>
      <x:c r="B7578" s="6" t="str">
        <x:v>平</x:v>
      </x:c>
      <x:c r="C7578" s="6" t="str">
        <x:f>IF(B7578="","Needs decision","Ready")</x:f>
        <x:v>Ready</x:v>
      </x:c>
      <x:c r="D7578" s="6" t="str">
        <x:v>平</x:v>
      </x:c>
      <x:c r="E7578" s="6" t="str"/>
      <x:c r="F7578" s="6" t="str">
        <x:v>上平聲十三元</x:v>
      </x:c>
      <x:c r="G7578" s="6" t="str">
        <x:v>Pingshui main list, Wikisource-derived DOCX</x:v>
      </x:c>
      <x:c r="H7578" s="6" t="str"/>
      <x:c r="I7578" s="6" t="str">
        <x:v>Pingshui main-list expansion; 詞 entries ignored</x:v>
      </x:c>
      <x:c r="J7578" s="6" t="str">
        <x:f>IF(B7578="","",IF(AND(ISNUMBER(SEARCH("平",B7578)),OR(ISNUMBER(SEARCH("上",B7578)),ISNUMBER(SEARCH("去",B7578)),ISNUMBER(SEARCH("入",B7578)))),"Ambiguous",IF(ISNUMBER(SEARCH("平",B7578)),"平","仄")))</x:f>
        <x:v>平</x:v>
      </x:c>
      <x:c r="K7578" s="6" t="str">
        <x:f>IF(D7578="","",IF(AND(ISNUMBER(SEARCH("平",D7578)),OR(ISNUMBER(SEARCH("上",D7578)),ISNUMBER(SEARCH("去",D7578)),ISNUMBER(SEARCH("入",D7578)))),"Ambiguous",IF(ISNUMBER(SEARCH("平",D7578)),"平","仄")))</x:f>
        <x:v>平</x:v>
      </x:c>
      <x:c r="L7578" s="7" t="str">
        <x:v>Pingshui main list expansion</x:v>
      </x:c>
    </x:row>
    <x:row r="7579">
      <x:c r="A7579" s="5" t="str">
        <x:v>緺</x:v>
      </x:c>
      <x:c r="B7579" s="6" t="str">
        <x:v>平</x:v>
      </x:c>
      <x:c r="C7579" s="6" t="str">
        <x:f>IF(B7579="","Needs decision","Ready")</x:f>
        <x:v>Ready</x:v>
      </x:c>
      <x:c r="D7579" s="6" t="str">
        <x:v>平</x:v>
      </x:c>
      <x:c r="E7579" s="6" t="str"/>
      <x:c r="F7579" s="6" t="str">
        <x:v>上平聲九佳; 下平聲五歌; 下平聲六麻</x:v>
      </x:c>
      <x:c r="G7579" s="6" t="str">
        <x:v>Pingshui main list, Wikisource-derived DOCX</x:v>
      </x:c>
      <x:c r="H7579" s="6" t="str"/>
      <x:c r="I7579" s="6" t="str">
        <x:v>Pingshui main-list expansion; 詞 entries ignored</x:v>
      </x:c>
      <x:c r="J7579" s="6" t="str">
        <x:f>IF(B7579="","",IF(AND(ISNUMBER(SEARCH("平",B7579)),OR(ISNUMBER(SEARCH("上",B7579)),ISNUMBER(SEARCH("去",B7579)),ISNUMBER(SEARCH("入",B7579)))),"Ambiguous",IF(ISNUMBER(SEARCH("平",B7579)),"平","仄")))</x:f>
        <x:v>平</x:v>
      </x:c>
      <x:c r="K7579" s="6" t="str">
        <x:f>IF(D7579="","",IF(AND(ISNUMBER(SEARCH("平",D7579)),OR(ISNUMBER(SEARCH("上",D7579)),ISNUMBER(SEARCH("去",D7579)),ISNUMBER(SEARCH("入",D7579)))),"Ambiguous",IF(ISNUMBER(SEARCH("平",D7579)),"平","仄")))</x:f>
        <x:v>平</x:v>
      </x:c>
      <x:c r="L7579" s="7" t="str">
        <x:v>Pingshui main list expansion</x:v>
      </x:c>
    </x:row>
    <x:row r="7580">
      <x:c r="A7580" s="5" t="str">
        <x:v>緻</x:v>
      </x:c>
      <x:c r="B7580" s="6" t="str">
        <x:v>去</x:v>
      </x:c>
      <x:c r="C7580" s="6" t="str">
        <x:f>IF(B7580="","Needs decision","Ready")</x:f>
        <x:v>Ready</x:v>
      </x:c>
      <x:c r="D7580" s="6" t="str">
        <x:v>去</x:v>
      </x:c>
      <x:c r="E7580" s="6" t="str"/>
      <x:c r="F7580" s="6" t="str">
        <x:v>去聲四寘</x:v>
      </x:c>
      <x:c r="G7580" s="6" t="str">
        <x:v>Pingshui main list, Wikisource-derived DOCX</x:v>
      </x:c>
      <x:c r="H7580" s="6" t="str"/>
      <x:c r="I7580" s="6" t="str">
        <x:v>Pingshui main-list expansion; 詞 entries ignored</x:v>
      </x:c>
      <x:c r="J7580" s="6" t="str">
        <x:f>IF(B7580="","",IF(AND(ISNUMBER(SEARCH("平",B7580)),OR(ISNUMBER(SEARCH("上",B7580)),ISNUMBER(SEARCH("去",B7580)),ISNUMBER(SEARCH("入",B7580)))),"Ambiguous",IF(ISNUMBER(SEARCH("平",B7580)),"平","仄")))</x:f>
        <x:v>仄</x:v>
      </x:c>
      <x:c r="K7580" s="6" t="str">
        <x:f>IF(D7580="","",IF(AND(ISNUMBER(SEARCH("平",D7580)),OR(ISNUMBER(SEARCH("上",D7580)),ISNUMBER(SEARCH("去",D7580)),ISNUMBER(SEARCH("入",D7580)))),"Ambiguous",IF(ISNUMBER(SEARCH("平",D7580)),"平","仄")))</x:f>
        <x:v>仄</x:v>
      </x:c>
      <x:c r="L7580" s="7" t="str">
        <x:v>Pingshui main list expansion</x:v>
      </x:c>
    </x:row>
    <x:row r="7581">
      <x:c r="A7581" s="5" t="str">
        <x:v>縋</x:v>
      </x:c>
      <x:c r="B7581" s="6" t="str">
        <x:v>去</x:v>
      </x:c>
      <x:c r="C7581" s="6" t="str">
        <x:f>IF(B7581="","Needs decision","Ready")</x:f>
        <x:v>Ready</x:v>
      </x:c>
      <x:c r="D7581" s="6" t="str">
        <x:v>去</x:v>
      </x:c>
      <x:c r="E7581" s="6" t="str"/>
      <x:c r="F7581" s="6" t="str">
        <x:v>去聲四寘</x:v>
      </x:c>
      <x:c r="G7581" s="6" t="str">
        <x:v>Pingshui main list, Wikisource-derived DOCX</x:v>
      </x:c>
      <x:c r="H7581" s="6" t="str"/>
      <x:c r="I7581" s="6" t="str">
        <x:v>Pingshui main-list expansion; 詞 entries ignored</x:v>
      </x:c>
      <x:c r="J7581" s="6" t="str">
        <x:f>IF(B7581="","",IF(AND(ISNUMBER(SEARCH("平",B7581)),OR(ISNUMBER(SEARCH("上",B7581)),ISNUMBER(SEARCH("去",B7581)),ISNUMBER(SEARCH("入",B7581)))),"Ambiguous",IF(ISNUMBER(SEARCH("平",B7581)),"平","仄")))</x:f>
        <x:v>仄</x:v>
      </x:c>
      <x:c r="K7581" s="6" t="str">
        <x:f>IF(D7581="","",IF(AND(ISNUMBER(SEARCH("平",D7581)),OR(ISNUMBER(SEARCH("上",D7581)),ISNUMBER(SEARCH("去",D7581)),ISNUMBER(SEARCH("入",D7581)))),"Ambiguous",IF(ISNUMBER(SEARCH("平",D7581)),"平","仄")))</x:f>
        <x:v>仄</x:v>
      </x:c>
      <x:c r="L7581" s="7" t="str">
        <x:v>Pingshui main list expansion</x:v>
      </x:c>
    </x:row>
    <x:row r="7582">
      <x:c r="A7582" s="5" t="str">
        <x:v>縓</x:v>
      </x:c>
      <x:c r="B7582" s="6" t="str">
        <x:v>去</x:v>
      </x:c>
      <x:c r="C7582" s="6" t="str">
        <x:f>IF(B7582="","Needs decision","Ready")</x:f>
        <x:v>Ready</x:v>
      </x:c>
      <x:c r="D7582" s="6" t="str">
        <x:v>去</x:v>
      </x:c>
      <x:c r="E7582" s="6" t="str"/>
      <x:c r="F7582" s="6" t="str">
        <x:v>去聲十七霰</x:v>
      </x:c>
      <x:c r="G7582" s="6" t="str">
        <x:v>Pingshui main list, Wikisource-derived DOCX</x:v>
      </x:c>
      <x:c r="H7582" s="6" t="str"/>
      <x:c r="I7582" s="6" t="str">
        <x:v>Pingshui main-list expansion; 詞 entries ignored</x:v>
      </x:c>
      <x:c r="J7582" s="6" t="str">
        <x:f>IF(B7582="","",IF(AND(ISNUMBER(SEARCH("平",B7582)),OR(ISNUMBER(SEARCH("上",B7582)),ISNUMBER(SEARCH("去",B7582)),ISNUMBER(SEARCH("入",B7582)))),"Ambiguous",IF(ISNUMBER(SEARCH("平",B7582)),"平","仄")))</x:f>
        <x:v>仄</x:v>
      </x:c>
      <x:c r="K7582" s="6" t="str">
        <x:f>IF(D7582="","",IF(AND(ISNUMBER(SEARCH("平",D7582)),OR(ISNUMBER(SEARCH("上",D7582)),ISNUMBER(SEARCH("去",D7582)),ISNUMBER(SEARCH("入",D7582)))),"Ambiguous",IF(ISNUMBER(SEARCH("平",D7582)),"平","仄")))</x:f>
        <x:v>仄</x:v>
      </x:c>
      <x:c r="L7582" s="7" t="str">
        <x:v>Pingshui main list expansion</x:v>
      </x:c>
    </x:row>
    <x:row r="7583">
      <x:c r="A7583" s="5" t="str">
        <x:v>縜</x:v>
      </x:c>
      <x:c r="B7583" s="6" t="str">
        <x:v>平</x:v>
      </x:c>
      <x:c r="C7583" s="6" t="str">
        <x:f>IF(B7583="","Needs decision","Ready")</x:f>
        <x:v>Ready</x:v>
      </x:c>
      <x:c r="D7583" s="6" t="str">
        <x:v>平</x:v>
      </x:c>
      <x:c r="E7583" s="6" t="str"/>
      <x:c r="F7583" s="6" t="str">
        <x:v>上平聲十一真; 上平聲十二文</x:v>
      </x:c>
      <x:c r="G7583" s="6" t="str">
        <x:v>Pingshui main list, Wikisource-derived DOCX</x:v>
      </x:c>
      <x:c r="H7583" s="6" t="str"/>
      <x:c r="I7583" s="6" t="str">
        <x:v>Pingshui main-list expansion; 詞 entries ignored</x:v>
      </x:c>
      <x:c r="J7583" s="6" t="str">
        <x:f>IF(B7583="","",IF(AND(ISNUMBER(SEARCH("平",B7583)),OR(ISNUMBER(SEARCH("上",B7583)),ISNUMBER(SEARCH("去",B7583)),ISNUMBER(SEARCH("入",B7583)))),"Ambiguous",IF(ISNUMBER(SEARCH("平",B7583)),"平","仄")))</x:f>
        <x:v>平</x:v>
      </x:c>
      <x:c r="K7583" s="6" t="str">
        <x:f>IF(D7583="","",IF(AND(ISNUMBER(SEARCH("平",D7583)),OR(ISNUMBER(SEARCH("上",D7583)),ISNUMBER(SEARCH("去",D7583)),ISNUMBER(SEARCH("入",D7583)))),"Ambiguous",IF(ISNUMBER(SEARCH("平",D7583)),"平","仄")))</x:f>
        <x:v>平</x:v>
      </x:c>
      <x:c r="L7583" s="7" t="str">
        <x:v>Pingshui main list expansion</x:v>
      </x:c>
    </x:row>
    <x:row r="7584">
      <x:c r="A7584" s="5" t="str">
        <x:v>縿</x:v>
      </x:c>
      <x:c r="B7584" s="6" t="str">
        <x:v>平</x:v>
      </x:c>
      <x:c r="C7584" s="6" t="str">
        <x:f>IF(B7584="","Needs decision","Ready")</x:f>
        <x:v>Ready</x:v>
      </x:c>
      <x:c r="D7584" s="6" t="str">
        <x:v>平</x:v>
      </x:c>
      <x:c r="E7584" s="6" t="str"/>
      <x:c r="F7584" s="6" t="str">
        <x:v>下平聲十五咸</x:v>
      </x:c>
      <x:c r="G7584" s="6" t="str">
        <x:v>Pingshui main list, Wikisource-derived DOCX</x:v>
      </x:c>
      <x:c r="H7584" s="6" t="str"/>
      <x:c r="I7584" s="6" t="str">
        <x:v>Pingshui main-list expansion; 詞 entries ignored</x:v>
      </x:c>
      <x:c r="J7584" s="6" t="str">
        <x:f>IF(B7584="","",IF(AND(ISNUMBER(SEARCH("平",B7584)),OR(ISNUMBER(SEARCH("上",B7584)),ISNUMBER(SEARCH("去",B7584)),ISNUMBER(SEARCH("入",B7584)))),"Ambiguous",IF(ISNUMBER(SEARCH("平",B7584)),"平","仄")))</x:f>
        <x:v>平</x:v>
      </x:c>
      <x:c r="K7584" s="6" t="str">
        <x:f>IF(D7584="","",IF(AND(ISNUMBER(SEARCH("平",D7584)),OR(ISNUMBER(SEARCH("上",D7584)),ISNUMBER(SEARCH("去",D7584)),ISNUMBER(SEARCH("入",D7584)))),"Ambiguous",IF(ISNUMBER(SEARCH("平",D7584)),"平","仄")))</x:f>
        <x:v>平</x:v>
      </x:c>
      <x:c r="L7584" s="7" t="str">
        <x:v>Pingshui main list expansion</x:v>
      </x:c>
    </x:row>
    <x:row r="7585">
      <x:c r="A7585" s="5" t="str">
        <x:v>繄</x:v>
      </x:c>
      <x:c r="B7585" s="6" t="str">
        <x:v>平</x:v>
      </x:c>
      <x:c r="C7585" s="6" t="str">
        <x:f>IF(B7585="","Needs decision","Ready")</x:f>
        <x:v>Ready</x:v>
      </x:c>
      <x:c r="D7585" s="6" t="str">
        <x:v>平</x:v>
      </x:c>
      <x:c r="E7585" s="6" t="str"/>
      <x:c r="F7585" s="6" t="str">
        <x:v>上平聲八齊</x:v>
      </x:c>
      <x:c r="G7585" s="6" t="str">
        <x:v>Pingshui main list, Wikisource-derived DOCX</x:v>
      </x:c>
      <x:c r="H7585" s="6" t="str"/>
      <x:c r="I7585" s="6" t="str">
        <x:v>Pingshui main-list expansion; 詞 entries ignored</x:v>
      </x:c>
      <x:c r="J7585" s="6" t="str">
        <x:f>IF(B7585="","",IF(AND(ISNUMBER(SEARCH("平",B7585)),OR(ISNUMBER(SEARCH("上",B7585)),ISNUMBER(SEARCH("去",B7585)),ISNUMBER(SEARCH("入",B7585)))),"Ambiguous",IF(ISNUMBER(SEARCH("平",B7585)),"平","仄")))</x:f>
        <x:v>平</x:v>
      </x:c>
      <x:c r="K7585" s="6" t="str">
        <x:f>IF(D7585="","",IF(AND(ISNUMBER(SEARCH("平",D7585)),OR(ISNUMBER(SEARCH("上",D7585)),ISNUMBER(SEARCH("去",D7585)),ISNUMBER(SEARCH("入",D7585)))),"Ambiguous",IF(ISNUMBER(SEARCH("平",D7585)),"平","仄")))</x:f>
        <x:v>平</x:v>
      </x:c>
      <x:c r="L7585" s="7" t="str">
        <x:v>Pingshui main list expansion</x:v>
      </x:c>
    </x:row>
    <x:row r="7586">
      <x:c r="A7586" s="5" t="str">
        <x:v>繈</x:v>
      </x:c>
      <x:c r="B7586" s="6" t="str">
        <x:v>上</x:v>
      </x:c>
      <x:c r="C7586" s="6" t="str">
        <x:f>IF(B7586="","Needs decision","Ready")</x:f>
        <x:v>Ready</x:v>
      </x:c>
      <x:c r="D7586" s="6" t="str">
        <x:v>上</x:v>
      </x:c>
      <x:c r="E7586" s="6" t="str"/>
      <x:c r="F7586" s="6" t="str">
        <x:v>上聲二十二養</x:v>
      </x:c>
      <x:c r="G7586" s="6" t="str">
        <x:v>Pingshui main list, Wikisource-derived DOCX</x:v>
      </x:c>
      <x:c r="H7586" s="6" t="str"/>
      <x:c r="I7586" s="6" t="str">
        <x:v>Pingshui main-list expansion; 詞 entries ignored</x:v>
      </x:c>
      <x:c r="J7586" s="6" t="str">
        <x:f>IF(B7586="","",IF(AND(ISNUMBER(SEARCH("平",B7586)),OR(ISNUMBER(SEARCH("上",B7586)),ISNUMBER(SEARCH("去",B7586)),ISNUMBER(SEARCH("入",B7586)))),"Ambiguous",IF(ISNUMBER(SEARCH("平",B7586)),"平","仄")))</x:f>
        <x:v>仄</x:v>
      </x:c>
      <x:c r="K7586" s="6" t="str">
        <x:f>IF(D7586="","",IF(AND(ISNUMBER(SEARCH("平",D7586)),OR(ISNUMBER(SEARCH("上",D7586)),ISNUMBER(SEARCH("去",D7586)),ISNUMBER(SEARCH("入",D7586)))),"Ambiguous",IF(ISNUMBER(SEARCH("平",D7586)),"平","仄")))</x:f>
        <x:v>仄</x:v>
      </x:c>
      <x:c r="L7586" s="7" t="str">
        <x:v>Pingshui main list expansion</x:v>
      </x:c>
    </x:row>
    <x:row r="7587">
      <x:c r="A7587" s="5" t="str">
        <x:v>繙</x:v>
      </x:c>
      <x:c r="B7587" s="6" t="str">
        <x:v>平</x:v>
      </x:c>
      <x:c r="C7587" s="6" t="str">
        <x:f>IF(B7587="","Needs decision","Ready")</x:f>
        <x:v>Ready</x:v>
      </x:c>
      <x:c r="D7587" s="6" t="str">
        <x:v>平</x:v>
      </x:c>
      <x:c r="E7587" s="6" t="str"/>
      <x:c r="F7587" s="6" t="str">
        <x:v>上平聲十三元</x:v>
      </x:c>
      <x:c r="G7587" s="6" t="str">
        <x:v>Pingshui main list, Wikisource-derived DOCX</x:v>
      </x:c>
      <x:c r="H7587" s="6" t="str"/>
      <x:c r="I7587" s="6" t="str">
        <x:v>Pingshui main-list expansion; 詞 entries ignored</x:v>
      </x:c>
      <x:c r="J7587" s="6" t="str">
        <x:f>IF(B7587="","",IF(AND(ISNUMBER(SEARCH("平",B7587)),OR(ISNUMBER(SEARCH("上",B7587)),ISNUMBER(SEARCH("去",B7587)),ISNUMBER(SEARCH("入",B7587)))),"Ambiguous",IF(ISNUMBER(SEARCH("平",B7587)),"平","仄")))</x:f>
        <x:v>平</x:v>
      </x:c>
      <x:c r="K7587" s="6" t="str">
        <x:f>IF(D7587="","",IF(AND(ISNUMBER(SEARCH("平",D7587)),OR(ISNUMBER(SEARCH("上",D7587)),ISNUMBER(SEARCH("去",D7587)),ISNUMBER(SEARCH("入",D7587)))),"Ambiguous",IF(ISNUMBER(SEARCH("平",D7587)),"平","仄")))</x:f>
        <x:v>平</x:v>
      </x:c>
      <x:c r="L7587" s="7" t="str">
        <x:v>Pingshui main list expansion</x:v>
      </x:c>
    </x:row>
    <x:row r="7588">
      <x:c r="A7588" s="5" t="str">
        <x:v>繜</x:v>
      </x:c>
      <x:c r="B7588" s="6" t="str">
        <x:v>平</x:v>
      </x:c>
      <x:c r="C7588" s="6" t="str">
        <x:f>IF(B7588="","Needs decision","Ready")</x:f>
        <x:v>Ready</x:v>
      </x:c>
      <x:c r="D7588" s="6" t="str">
        <x:v>平</x:v>
      </x:c>
      <x:c r="E7588" s="6" t="str"/>
      <x:c r="F7588" s="6" t="str">
        <x:v>上平聲十三元</x:v>
      </x:c>
      <x:c r="G7588" s="6" t="str">
        <x:v>Pingshui main list, Wikisource-derived DOCX</x:v>
      </x:c>
      <x:c r="H7588" s="6" t="str"/>
      <x:c r="I7588" s="6" t="str">
        <x:v>Pingshui main-list expansion; 詞 entries ignored</x:v>
      </x:c>
      <x:c r="J7588" s="6" t="str">
        <x:f>IF(B7588="","",IF(AND(ISNUMBER(SEARCH("平",B7588)),OR(ISNUMBER(SEARCH("上",B7588)),ISNUMBER(SEARCH("去",B7588)),ISNUMBER(SEARCH("入",B7588)))),"Ambiguous",IF(ISNUMBER(SEARCH("平",B7588)),"平","仄")))</x:f>
        <x:v>平</x:v>
      </x:c>
      <x:c r="K7588" s="6" t="str">
        <x:f>IF(D7588="","",IF(AND(ISNUMBER(SEARCH("平",D7588)),OR(ISNUMBER(SEARCH("上",D7588)),ISNUMBER(SEARCH("去",D7588)),ISNUMBER(SEARCH("入",D7588)))),"Ambiguous",IF(ISNUMBER(SEARCH("平",D7588)),"平","仄")))</x:f>
        <x:v>平</x:v>
      </x:c>
      <x:c r="L7588" s="7" t="str">
        <x:v>Pingshui main list expansion</x:v>
      </x:c>
    </x:row>
    <x:row r="7589">
      <x:c r="A7589" s="5" t="str">
        <x:v>繲</x:v>
      </x:c>
      <x:c r="B7589" s="6" t="str">
        <x:v>去</x:v>
      </x:c>
      <x:c r="C7589" s="6" t="str">
        <x:f>IF(B7589="","Needs decision","Ready")</x:f>
        <x:v>Ready</x:v>
      </x:c>
      <x:c r="D7589" s="6" t="str">
        <x:v>去</x:v>
      </x:c>
      <x:c r="E7589" s="6" t="str"/>
      <x:c r="F7589" s="6" t="str">
        <x:v>去聲十卦</x:v>
      </x:c>
      <x:c r="G7589" s="6" t="str">
        <x:v>Pingshui main list, Wikisource-derived DOCX</x:v>
      </x:c>
      <x:c r="H7589" s="6" t="str"/>
      <x:c r="I7589" s="6" t="str">
        <x:v>Pingshui main-list expansion; 詞 entries ignored</x:v>
      </x:c>
      <x:c r="J7589" s="6" t="str">
        <x:f>IF(B7589="","",IF(AND(ISNUMBER(SEARCH("平",B7589)),OR(ISNUMBER(SEARCH("上",B7589)),ISNUMBER(SEARCH("去",B7589)),ISNUMBER(SEARCH("入",B7589)))),"Ambiguous",IF(ISNUMBER(SEARCH("平",B7589)),"平","仄")))</x:f>
        <x:v>仄</x:v>
      </x:c>
      <x:c r="K7589" s="6" t="str">
        <x:f>IF(D7589="","",IF(AND(ISNUMBER(SEARCH("平",D7589)),OR(ISNUMBER(SEARCH("上",D7589)),ISNUMBER(SEARCH("去",D7589)),ISNUMBER(SEARCH("入",D7589)))),"Ambiguous",IF(ISNUMBER(SEARCH("平",D7589)),"平","仄")))</x:f>
        <x:v>仄</x:v>
      </x:c>
      <x:c r="L7589" s="7" t="str">
        <x:v>Pingshui main list expansion</x:v>
      </x:c>
    </x:row>
    <x:row r="7590">
      <x:c r="A7590" s="5" t="str">
        <x:v>繸</x:v>
      </x:c>
      <x:c r="B7590" s="6" t="str">
        <x:v>去</x:v>
      </x:c>
      <x:c r="C7590" s="6" t="str">
        <x:f>IF(B7590="","Needs decision","Ready")</x:f>
        <x:v>Ready</x:v>
      </x:c>
      <x:c r="D7590" s="6" t="str">
        <x:v>去</x:v>
      </x:c>
      <x:c r="E7590" s="6" t="str"/>
      <x:c r="F7590" s="6" t="str">
        <x:v>去聲四寘</x:v>
      </x:c>
      <x:c r="G7590" s="6" t="str">
        <x:v>Pingshui main list, Wikisource-derived DOCX</x:v>
      </x:c>
      <x:c r="H7590" s="6" t="str"/>
      <x:c r="I7590" s="6" t="str">
        <x:v>Pingshui main-list expansion; 詞 entries ignored</x:v>
      </x:c>
      <x:c r="J7590" s="6" t="str">
        <x:f>IF(B7590="","",IF(AND(ISNUMBER(SEARCH("平",B7590)),OR(ISNUMBER(SEARCH("上",B7590)),ISNUMBER(SEARCH("去",B7590)),ISNUMBER(SEARCH("入",B7590)))),"Ambiguous",IF(ISNUMBER(SEARCH("平",B7590)),"平","仄")))</x:f>
        <x:v>仄</x:v>
      </x:c>
      <x:c r="K7590" s="6" t="str">
        <x:f>IF(D7590="","",IF(AND(ISNUMBER(SEARCH("平",D7590)),OR(ISNUMBER(SEARCH("上",D7590)),ISNUMBER(SEARCH("去",D7590)),ISNUMBER(SEARCH("入",D7590)))),"Ambiguous",IF(ISNUMBER(SEARCH("平",D7590)),"平","仄")))</x:f>
        <x:v>仄</x:v>
      </x:c>
      <x:c r="L7590" s="7" t="str">
        <x:v>Pingshui main list expansion</x:v>
      </x:c>
    </x:row>
    <x:row r="7591">
      <x:c r="A7591" s="5" t="str">
        <x:v>纀</x:v>
      </x:c>
      <x:c r="B7591" s="6" t="str">
        <x:v>入</x:v>
      </x:c>
      <x:c r="C7591" s="6" t="str">
        <x:f>IF(B7591="","Needs decision","Ready")</x:f>
        <x:v>Ready</x:v>
      </x:c>
      <x:c r="D7591" s="6" t="str">
        <x:v>入</x:v>
      </x:c>
      <x:c r="E7591" s="6" t="str"/>
      <x:c r="F7591" s="6" t="str">
        <x:v>入聲一屋</x:v>
      </x:c>
      <x:c r="G7591" s="6" t="str">
        <x:v>Pingshui main list, Wikisource-derived DOCX</x:v>
      </x:c>
      <x:c r="H7591" s="6" t="str"/>
      <x:c r="I7591" s="6" t="str">
        <x:v>Pingshui main-list expansion; 詞 entries ignored</x:v>
      </x:c>
      <x:c r="J7591" s="6" t="str">
        <x:f>IF(B7591="","",IF(AND(ISNUMBER(SEARCH("平",B7591)),OR(ISNUMBER(SEARCH("上",B7591)),ISNUMBER(SEARCH("去",B7591)),ISNUMBER(SEARCH("入",B7591)))),"Ambiguous",IF(ISNUMBER(SEARCH("平",B7591)),"平","仄")))</x:f>
        <x:v>仄</x:v>
      </x:c>
      <x:c r="K7591" s="6" t="str">
        <x:f>IF(D7591="","",IF(AND(ISNUMBER(SEARCH("平",D7591)),OR(ISNUMBER(SEARCH("上",D7591)),ISNUMBER(SEARCH("去",D7591)),ISNUMBER(SEARCH("入",D7591)))),"Ambiguous",IF(ISNUMBER(SEARCH("平",D7591)),"平","仄")))</x:f>
        <x:v>仄</x:v>
      </x:c>
      <x:c r="L7591" s="7" t="str">
        <x:v>Pingshui main list expansion</x:v>
      </x:c>
    </x:row>
    <x:row r="7592">
      <x:c r="A7592" s="5" t="str">
        <x:v>纁</x:v>
      </x:c>
      <x:c r="B7592" s="6" t="str">
        <x:v>平</x:v>
      </x:c>
      <x:c r="C7592" s="6" t="str">
        <x:f>IF(B7592="","Needs decision","Ready")</x:f>
        <x:v>Ready</x:v>
      </x:c>
      <x:c r="D7592" s="6" t="str">
        <x:v>平</x:v>
      </x:c>
      <x:c r="E7592" s="6" t="str"/>
      <x:c r="F7592" s="6" t="str">
        <x:v>上平聲十二文</x:v>
      </x:c>
      <x:c r="G7592" s="6" t="str">
        <x:v>Pingshui main list, Wikisource-derived DOCX</x:v>
      </x:c>
      <x:c r="H7592" s="6" t="str"/>
      <x:c r="I7592" s="6" t="str">
        <x:v>Pingshui main-list expansion; 詞 entries ignored</x:v>
      </x:c>
      <x:c r="J7592" s="6" t="str">
        <x:f>IF(B7592="","",IF(AND(ISNUMBER(SEARCH("平",B7592)),OR(ISNUMBER(SEARCH("上",B7592)),ISNUMBER(SEARCH("去",B7592)),ISNUMBER(SEARCH("入",B7592)))),"Ambiguous",IF(ISNUMBER(SEARCH("平",B7592)),"平","仄")))</x:f>
        <x:v>平</x:v>
      </x:c>
      <x:c r="K7592" s="6" t="str">
        <x:f>IF(D7592="","",IF(AND(ISNUMBER(SEARCH("平",D7592)),OR(ISNUMBER(SEARCH("上",D7592)),ISNUMBER(SEARCH("去",D7592)),ISNUMBER(SEARCH("入",D7592)))),"Ambiguous",IF(ISNUMBER(SEARCH("平",D7592)),"平","仄")))</x:f>
        <x:v>平</x:v>
      </x:c>
      <x:c r="L7592" s="7" t="str">
        <x:v>Pingshui main list expansion</x:v>
      </x:c>
    </x:row>
    <x:row r="7593">
      <x:c r="A7593" s="5" t="str">
        <x:v>纇</x:v>
      </x:c>
      <x:c r="B7593" s="6" t="str">
        <x:v>去</x:v>
      </x:c>
      <x:c r="C7593" s="6" t="str">
        <x:f>IF(B7593="","Needs decision","Ready")</x:f>
        <x:v>Ready</x:v>
      </x:c>
      <x:c r="D7593" s="6" t="str">
        <x:v>去</x:v>
      </x:c>
      <x:c r="E7593" s="6" t="str"/>
      <x:c r="F7593" s="6" t="str">
        <x:v>去聲十一隊</x:v>
      </x:c>
      <x:c r="G7593" s="6" t="str">
        <x:v>Pingshui main list, Wikisource-derived DOCX</x:v>
      </x:c>
      <x:c r="H7593" s="6" t="str"/>
      <x:c r="I7593" s="6" t="str">
        <x:v>Pingshui main-list expansion; 詞 entries ignored</x:v>
      </x:c>
      <x:c r="J7593" s="6" t="str">
        <x:f>IF(B7593="","",IF(AND(ISNUMBER(SEARCH("平",B7593)),OR(ISNUMBER(SEARCH("上",B7593)),ISNUMBER(SEARCH("去",B7593)),ISNUMBER(SEARCH("入",B7593)))),"Ambiguous",IF(ISNUMBER(SEARCH("平",B7593)),"平","仄")))</x:f>
        <x:v>仄</x:v>
      </x:c>
      <x:c r="K7593" s="6" t="str">
        <x:f>IF(D7593="","",IF(AND(ISNUMBER(SEARCH("平",D7593)),OR(ISNUMBER(SEARCH("上",D7593)),ISNUMBER(SEARCH("去",D7593)),ISNUMBER(SEARCH("入",D7593)))),"Ambiguous",IF(ISNUMBER(SEARCH("平",D7593)),"平","仄")))</x:f>
        <x:v>仄</x:v>
      </x:c>
      <x:c r="L7593" s="7" t="str">
        <x:v>Pingshui main list expansion</x:v>
      </x:c>
    </x:row>
    <x:row r="7594">
      <x:c r="A7594" s="5" t="str">
        <x:v>纑</x:v>
      </x:c>
      <x:c r="B7594" s="6" t="str">
        <x:v>平</x:v>
      </x:c>
      <x:c r="C7594" s="6" t="str">
        <x:f>IF(B7594="","Needs decision","Ready")</x:f>
        <x:v>Ready</x:v>
      </x:c>
      <x:c r="D7594" s="6" t="str">
        <x:v>平</x:v>
      </x:c>
      <x:c r="E7594" s="6" t="str"/>
      <x:c r="F7594" s="6" t="str">
        <x:v>上平聲七虞</x:v>
      </x:c>
      <x:c r="G7594" s="6" t="str">
        <x:v>Pingshui main list, Wikisource-derived DOCX</x:v>
      </x:c>
      <x:c r="H7594" s="6" t="str"/>
      <x:c r="I7594" s="6" t="str">
        <x:v>Pingshui main-list expansion; 詞 entries ignored</x:v>
      </x:c>
      <x:c r="J7594" s="6" t="str">
        <x:f>IF(B7594="","",IF(AND(ISNUMBER(SEARCH("平",B7594)),OR(ISNUMBER(SEARCH("上",B7594)),ISNUMBER(SEARCH("去",B7594)),ISNUMBER(SEARCH("入",B7594)))),"Ambiguous",IF(ISNUMBER(SEARCH("平",B7594)),"平","仄")))</x:f>
        <x:v>平</x:v>
      </x:c>
      <x:c r="K7594" s="6" t="str">
        <x:f>IF(D7594="","",IF(AND(ISNUMBER(SEARCH("平",D7594)),OR(ISNUMBER(SEARCH("上",D7594)),ISNUMBER(SEARCH("去",D7594)),ISNUMBER(SEARCH("入",D7594)))),"Ambiguous",IF(ISNUMBER(SEARCH("平",D7594)),"平","仄")))</x:f>
        <x:v>平</x:v>
      </x:c>
      <x:c r="L7594" s="7" t="str">
        <x:v>Pingshui main list expansion</x:v>
      </x:c>
    </x:row>
    <x:row r="7595">
      <x:c r="A7595" s="5" t="str">
        <x:v>缿</x:v>
      </x:c>
      <x:c r="B7595" s="6" t="str">
        <x:v>上</x:v>
      </x:c>
      <x:c r="C7595" s="6" t="str">
        <x:f>IF(B7595="","Needs decision","Ready")</x:f>
        <x:v>Ready</x:v>
      </x:c>
      <x:c r="D7595" s="6" t="str">
        <x:v>上</x:v>
      </x:c>
      <x:c r="E7595" s="6" t="str"/>
      <x:c r="F7595" s="6" t="str">
        <x:v>上聲三講</x:v>
      </x:c>
      <x:c r="G7595" s="6" t="str">
        <x:v>Pingshui main list, Wikisource-derived DOCX</x:v>
      </x:c>
      <x:c r="H7595" s="6" t="str"/>
      <x:c r="I7595" s="6" t="str">
        <x:v>Pingshui main-list expansion; 詞 entries ignored</x:v>
      </x:c>
      <x:c r="J7595" s="6" t="str">
        <x:f>IF(B7595="","",IF(AND(ISNUMBER(SEARCH("平",B7595)),OR(ISNUMBER(SEARCH("上",B7595)),ISNUMBER(SEARCH("去",B7595)),ISNUMBER(SEARCH("入",B7595)))),"Ambiguous",IF(ISNUMBER(SEARCH("平",B7595)),"平","仄")))</x:f>
        <x:v>仄</x:v>
      </x:c>
      <x:c r="K7595" s="6" t="str">
        <x:f>IF(D7595="","",IF(AND(ISNUMBER(SEARCH("平",D7595)),OR(ISNUMBER(SEARCH("上",D7595)),ISNUMBER(SEARCH("去",D7595)),ISNUMBER(SEARCH("入",D7595)))),"Ambiguous",IF(ISNUMBER(SEARCH("平",D7595)),"平","仄")))</x:f>
        <x:v>仄</x:v>
      </x:c>
      <x:c r="L7595" s="7" t="str">
        <x:v>Pingshui main list expansion</x:v>
      </x:c>
    </x:row>
    <x:row r="7596">
      <x:c r="A7596" s="5" t="str">
        <x:v>罅</x:v>
      </x:c>
      <x:c r="B7596" s="6" t="str">
        <x:v>去</x:v>
      </x:c>
      <x:c r="C7596" s="6" t="str">
        <x:f>IF(B7596="","Needs decision","Ready")</x:f>
        <x:v>Ready</x:v>
      </x:c>
      <x:c r="D7596" s="6" t="str">
        <x:v>去</x:v>
      </x:c>
      <x:c r="E7596" s="6" t="str"/>
      <x:c r="F7596" s="6" t="str">
        <x:v>去聲二十二禡</x:v>
      </x:c>
      <x:c r="G7596" s="6" t="str">
        <x:v>Pingshui main list, Wikisource-derived DOCX</x:v>
      </x:c>
      <x:c r="H7596" s="6" t="str"/>
      <x:c r="I7596" s="6" t="str">
        <x:v>Pingshui main-list expansion; 詞 entries ignored</x:v>
      </x:c>
      <x:c r="J7596" s="6" t="str">
        <x:f>IF(B7596="","",IF(AND(ISNUMBER(SEARCH("平",B7596)),OR(ISNUMBER(SEARCH("上",B7596)),ISNUMBER(SEARCH("去",B7596)),ISNUMBER(SEARCH("入",B7596)))),"Ambiguous",IF(ISNUMBER(SEARCH("平",B7596)),"平","仄")))</x:f>
        <x:v>仄</x:v>
      </x:c>
      <x:c r="K7596" s="6" t="str">
        <x:f>IF(D7596="","",IF(AND(ISNUMBER(SEARCH("平",D7596)),OR(ISNUMBER(SEARCH("上",D7596)),ISNUMBER(SEARCH("去",D7596)),ISNUMBER(SEARCH("入",D7596)))),"Ambiguous",IF(ISNUMBER(SEARCH("平",D7596)),"平","仄")))</x:f>
        <x:v>仄</x:v>
      </x:c>
      <x:c r="L7596" s="7" t="str">
        <x:v>Pingshui main list expansion</x:v>
      </x:c>
    </x:row>
    <x:row r="7597">
      <x:c r="A7597" s="5" t="str">
        <x:v>罞</x:v>
      </x:c>
      <x:c r="B7597" s="6" t="str">
        <x:v>平</x:v>
      </x:c>
      <x:c r="C7597" s="6" t="str">
        <x:f>IF(B7597="","Needs decision","Ready")</x:f>
        <x:v>Ready</x:v>
      </x:c>
      <x:c r="D7597" s="6" t="str">
        <x:v>平</x:v>
      </x:c>
      <x:c r="E7597" s="6" t="str"/>
      <x:c r="F7597" s="6" t="str">
        <x:v>上平聲一東; 下平聲三肴</x:v>
      </x:c>
      <x:c r="G7597" s="6" t="str">
        <x:v>Pingshui main list, Wikisource-derived DOCX</x:v>
      </x:c>
      <x:c r="H7597" s="6" t="str"/>
      <x:c r="I7597" s="6" t="str">
        <x:v>Pingshui main-list expansion; 詞 entries ignored</x:v>
      </x:c>
      <x:c r="J7597" s="6" t="str">
        <x:f>IF(B7597="","",IF(AND(ISNUMBER(SEARCH("平",B7597)),OR(ISNUMBER(SEARCH("上",B7597)),ISNUMBER(SEARCH("去",B7597)),ISNUMBER(SEARCH("入",B7597)))),"Ambiguous",IF(ISNUMBER(SEARCH("平",B7597)),"平","仄")))</x:f>
        <x:v>平</x:v>
      </x:c>
      <x:c r="K7597" s="6" t="str">
        <x:f>IF(D7597="","",IF(AND(ISNUMBER(SEARCH("平",D7597)),OR(ISNUMBER(SEARCH("上",D7597)),ISNUMBER(SEARCH("去",D7597)),ISNUMBER(SEARCH("入",D7597)))),"Ambiguous",IF(ISNUMBER(SEARCH("平",D7597)),"平","仄")))</x:f>
        <x:v>平</x:v>
      </x:c>
      <x:c r="L7597" s="7" t="str">
        <x:v>Pingshui main list expansion</x:v>
      </x:c>
    </x:row>
    <x:row r="7598">
      <x:c r="A7598" s="5" t="str">
        <x:v>罠</x:v>
      </x:c>
      <x:c r="B7598" s="6" t="str">
        <x:v>平</x:v>
      </x:c>
      <x:c r="C7598" s="6" t="str">
        <x:f>IF(B7598="","Needs decision","Ready")</x:f>
        <x:v>Ready</x:v>
      </x:c>
      <x:c r="D7598" s="6" t="str">
        <x:v>平</x:v>
      </x:c>
      <x:c r="E7598" s="6" t="str"/>
      <x:c r="F7598" s="6" t="str">
        <x:v>上平聲十一真</x:v>
      </x:c>
      <x:c r="G7598" s="6" t="str">
        <x:v>Pingshui main list, Wikisource-derived DOCX</x:v>
      </x:c>
      <x:c r="H7598" s="6" t="str"/>
      <x:c r="I7598" s="6" t="str">
        <x:v>Pingshui main-list expansion; 詞 entries ignored</x:v>
      </x:c>
      <x:c r="J7598" s="6" t="str">
        <x:f>IF(B7598="","",IF(AND(ISNUMBER(SEARCH("平",B7598)),OR(ISNUMBER(SEARCH("上",B7598)),ISNUMBER(SEARCH("去",B7598)),ISNUMBER(SEARCH("入",B7598)))),"Ambiguous",IF(ISNUMBER(SEARCH("平",B7598)),"平","仄")))</x:f>
        <x:v>平</x:v>
      </x:c>
      <x:c r="K7598" s="6" t="str">
        <x:f>IF(D7598="","",IF(AND(ISNUMBER(SEARCH("平",D7598)),OR(ISNUMBER(SEARCH("上",D7598)),ISNUMBER(SEARCH("去",D7598)),ISNUMBER(SEARCH("入",D7598)))),"Ambiguous",IF(ISNUMBER(SEARCH("平",D7598)),"平","仄")))</x:f>
        <x:v>平</x:v>
      </x:c>
      <x:c r="L7598" s="7" t="str">
        <x:v>Pingshui main list expansion</x:v>
      </x:c>
    </x:row>
    <x:row r="7599">
      <x:c r="A7599" s="5" t="str">
        <x:v>罦</x:v>
      </x:c>
      <x:c r="B7599" s="6" t="str">
        <x:v>平</x:v>
      </x:c>
      <x:c r="C7599" s="6" t="str">
        <x:f>IF(B7599="","Needs decision","Ready")</x:f>
        <x:v>Ready</x:v>
      </x:c>
      <x:c r="D7599" s="6" t="str">
        <x:v>平</x:v>
      </x:c>
      <x:c r="E7599" s="6" t="str"/>
      <x:c r="F7599" s="6" t="str">
        <x:v>上平聲七虞; 下平聲十一尤</x:v>
      </x:c>
      <x:c r="G7599" s="6" t="str">
        <x:v>Pingshui main list, Wikisource-derived DOCX</x:v>
      </x:c>
      <x:c r="H7599" s="6" t="str"/>
      <x:c r="I7599" s="6" t="str">
        <x:v>Pingshui main-list expansion; 詞 entries ignored</x:v>
      </x:c>
      <x:c r="J7599" s="6" t="str">
        <x:f>IF(B7599="","",IF(AND(ISNUMBER(SEARCH("平",B7599)),OR(ISNUMBER(SEARCH("上",B7599)),ISNUMBER(SEARCH("去",B7599)),ISNUMBER(SEARCH("入",B7599)))),"Ambiguous",IF(ISNUMBER(SEARCH("平",B7599)),"平","仄")))</x:f>
        <x:v>平</x:v>
      </x:c>
      <x:c r="K7599" s="6" t="str">
        <x:f>IF(D7599="","",IF(AND(ISNUMBER(SEARCH("平",D7599)),OR(ISNUMBER(SEARCH("上",D7599)),ISNUMBER(SEARCH("去",D7599)),ISNUMBER(SEARCH("入",D7599)))),"Ambiguous",IF(ISNUMBER(SEARCH("平",D7599)),"平","仄")))</x:f>
        <x:v>平</x:v>
      </x:c>
      <x:c r="L7599" s="7" t="str">
        <x:v>Pingshui main list expansion</x:v>
      </x:c>
    </x:row>
    <x:row r="7600">
      <x:c r="A7600" s="5" t="str">
        <x:v>罭</x:v>
      </x:c>
      <x:c r="B7600" s="6" t="str">
        <x:v>入</x:v>
      </x:c>
      <x:c r="C7600" s="6" t="str">
        <x:f>IF(B7600="","Needs decision","Ready")</x:f>
        <x:v>Ready</x:v>
      </x:c>
      <x:c r="D7600" s="6" t="str">
        <x:v>入</x:v>
      </x:c>
      <x:c r="E7600" s="6" t="str"/>
      <x:c r="F7600" s="6" t="str">
        <x:v>入聲十三職</x:v>
      </x:c>
      <x:c r="G7600" s="6" t="str">
        <x:v>Pingshui main list, Wikisource-derived DOCX</x:v>
      </x:c>
      <x:c r="H7600" s="6" t="str"/>
      <x:c r="I7600" s="6" t="str">
        <x:v>Pingshui main-list expansion; 詞 entries ignored</x:v>
      </x:c>
      <x:c r="J7600" s="6" t="str">
        <x:f>IF(B7600="","",IF(AND(ISNUMBER(SEARCH("平",B7600)),OR(ISNUMBER(SEARCH("上",B7600)),ISNUMBER(SEARCH("去",B7600)),ISNUMBER(SEARCH("入",B7600)))),"Ambiguous",IF(ISNUMBER(SEARCH("平",B7600)),"平","仄")))</x:f>
        <x:v>仄</x:v>
      </x:c>
      <x:c r="K7600" s="6" t="str">
        <x:f>IF(D7600="","",IF(AND(ISNUMBER(SEARCH("平",D7600)),OR(ISNUMBER(SEARCH("上",D7600)),ISNUMBER(SEARCH("去",D7600)),ISNUMBER(SEARCH("入",D7600)))),"Ambiguous",IF(ISNUMBER(SEARCH("平",D7600)),"平","仄")))</x:f>
        <x:v>仄</x:v>
      </x:c>
      <x:c r="L7600" s="7" t="str">
        <x:v>Pingshui main list expansion</x:v>
      </x:c>
    </x:row>
    <x:row r="7601">
      <x:c r="A7601" s="5" t="str">
        <x:v>罶</x:v>
      </x:c>
      <x:c r="B7601" s="6" t="str">
        <x:v>上</x:v>
      </x:c>
      <x:c r="C7601" s="6" t="str">
        <x:f>IF(B7601="","Needs decision","Ready")</x:f>
        <x:v>Ready</x:v>
      </x:c>
      <x:c r="D7601" s="6" t="str">
        <x:v>上</x:v>
      </x:c>
      <x:c r="E7601" s="6" t="str"/>
      <x:c r="F7601" s="6" t="str">
        <x:v>上聲二十五有</x:v>
      </x:c>
      <x:c r="G7601" s="6" t="str">
        <x:v>Pingshui main list, Wikisource-derived DOCX</x:v>
      </x:c>
      <x:c r="H7601" s="6" t="str"/>
      <x:c r="I7601" s="6" t="str">
        <x:v>Pingshui main-list expansion; 詞 entries ignored</x:v>
      </x:c>
      <x:c r="J7601" s="6" t="str">
        <x:f>IF(B7601="","",IF(AND(ISNUMBER(SEARCH("平",B7601)),OR(ISNUMBER(SEARCH("上",B7601)),ISNUMBER(SEARCH("去",B7601)),ISNUMBER(SEARCH("入",B7601)))),"Ambiguous",IF(ISNUMBER(SEARCH("平",B7601)),"平","仄")))</x:f>
        <x:v>仄</x:v>
      </x:c>
      <x:c r="K7601" s="6" t="str">
        <x:f>IF(D7601="","",IF(AND(ISNUMBER(SEARCH("平",D7601)),OR(ISNUMBER(SEARCH("上",D7601)),ISNUMBER(SEARCH("去",D7601)),ISNUMBER(SEARCH("入",D7601)))),"Ambiguous",IF(ISNUMBER(SEARCH("平",D7601)),"平","仄")))</x:f>
        <x:v>仄</x:v>
      </x:c>
      <x:c r="L7601" s="7" t="str">
        <x:v>Pingshui main list expansion</x:v>
      </x:c>
    </x:row>
    <x:row r="7602">
      <x:c r="A7602" s="5" t="str">
        <x:v>罺</x:v>
      </x:c>
      <x:c r="B7602" s="6" t="str">
        <x:v>平</x:v>
      </x:c>
      <x:c r="C7602" s="6" t="str">
        <x:f>IF(B7602="","Needs decision","Ready")</x:f>
        <x:v>Ready</x:v>
      </x:c>
      <x:c r="D7602" s="6" t="str">
        <x:v>平</x:v>
      </x:c>
      <x:c r="E7602" s="6" t="str"/>
      <x:c r="F7602" s="6" t="str">
        <x:v>下平聲三肴</x:v>
      </x:c>
      <x:c r="G7602" s="6" t="str">
        <x:v>Pingshui main list, Wikisource-derived DOCX</x:v>
      </x:c>
      <x:c r="H7602" s="6" t="str"/>
      <x:c r="I7602" s="6" t="str">
        <x:v>Pingshui main-list expansion; 詞 entries ignored</x:v>
      </x:c>
      <x:c r="J7602" s="6" t="str">
        <x:f>IF(B7602="","",IF(AND(ISNUMBER(SEARCH("平",B7602)),OR(ISNUMBER(SEARCH("上",B7602)),ISNUMBER(SEARCH("去",B7602)),ISNUMBER(SEARCH("入",B7602)))),"Ambiguous",IF(ISNUMBER(SEARCH("平",B7602)),"平","仄")))</x:f>
        <x:v>平</x:v>
      </x:c>
      <x:c r="K7602" s="6" t="str">
        <x:f>IF(D7602="","",IF(AND(ISNUMBER(SEARCH("平",D7602)),OR(ISNUMBER(SEARCH("上",D7602)),ISNUMBER(SEARCH("去",D7602)),ISNUMBER(SEARCH("入",D7602)))),"Ambiguous",IF(ISNUMBER(SEARCH("平",D7602)),"平","仄")))</x:f>
        <x:v>平</x:v>
      </x:c>
      <x:c r="L7602" s="7" t="str">
        <x:v>Pingshui main list expansion</x:v>
      </x:c>
    </x:row>
    <x:row r="7603">
      <x:c r="A7603" s="5" t="str">
        <x:v>罿</x:v>
      </x:c>
      <x:c r="B7603" s="6" t="str">
        <x:v>平</x:v>
      </x:c>
      <x:c r="C7603" s="6" t="str">
        <x:f>IF(B7603="","Needs decision","Ready")</x:f>
        <x:v>Ready</x:v>
      </x:c>
      <x:c r="D7603" s="6" t="str">
        <x:v>平</x:v>
      </x:c>
      <x:c r="E7603" s="6" t="str"/>
      <x:c r="F7603" s="6" t="str">
        <x:v>上平聲一東</x:v>
      </x:c>
      <x:c r="G7603" s="6" t="str">
        <x:v>Pingshui main list, Wikisource-derived DOCX</x:v>
      </x:c>
      <x:c r="H7603" s="6" t="str"/>
      <x:c r="I7603" s="6" t="str">
        <x:v>Pingshui main-list expansion; 詞 entries ignored</x:v>
      </x:c>
      <x:c r="J7603" s="6" t="str">
        <x:f>IF(B7603="","",IF(AND(ISNUMBER(SEARCH("平",B7603)),OR(ISNUMBER(SEARCH("上",B7603)),ISNUMBER(SEARCH("去",B7603)),ISNUMBER(SEARCH("入",B7603)))),"Ambiguous",IF(ISNUMBER(SEARCH("平",B7603)),"平","仄")))</x:f>
        <x:v>平</x:v>
      </x:c>
      <x:c r="K7603" s="6" t="str">
        <x:f>IF(D7603="","",IF(AND(ISNUMBER(SEARCH("平",D7603)),OR(ISNUMBER(SEARCH("上",D7603)),ISNUMBER(SEARCH("去",D7603)),ISNUMBER(SEARCH("入",D7603)))),"Ambiguous",IF(ISNUMBER(SEARCH("平",D7603)),"平","仄")))</x:f>
        <x:v>平</x:v>
      </x:c>
      <x:c r="L7603" s="7" t="str">
        <x:v>Pingshui main list expansion</x:v>
      </x:c>
    </x:row>
    <x:row r="7604">
      <x:c r="A7604" s="5" t="str">
        <x:v>羇</x:v>
      </x:c>
      <x:c r="B7604" s="6" t="str">
        <x:v>平</x:v>
      </x:c>
      <x:c r="C7604" s="6" t="str">
        <x:f>IF(B7604="","Needs decision","Ready")</x:f>
        <x:v>Ready</x:v>
      </x:c>
      <x:c r="D7604" s="6" t="str">
        <x:v>平</x:v>
      </x:c>
      <x:c r="E7604" s="6" t="str"/>
      <x:c r="F7604" s="6" t="str">
        <x:v>上平聲四支</x:v>
      </x:c>
      <x:c r="G7604" s="6" t="str">
        <x:v>Pingshui main list, Wikisource-derived DOCX</x:v>
      </x:c>
      <x:c r="H7604" s="6" t="str"/>
      <x:c r="I7604" s="6" t="str">
        <x:v>Pingshui main-list expansion; 詞 entries ignored</x:v>
      </x:c>
      <x:c r="J7604" s="6" t="str">
        <x:f>IF(B7604="","",IF(AND(ISNUMBER(SEARCH("平",B7604)),OR(ISNUMBER(SEARCH("上",B7604)),ISNUMBER(SEARCH("去",B7604)),ISNUMBER(SEARCH("入",B7604)))),"Ambiguous",IF(ISNUMBER(SEARCH("平",B7604)),"平","仄")))</x:f>
        <x:v>平</x:v>
      </x:c>
      <x:c r="K7604" s="6" t="str">
        <x:f>IF(D7604="","",IF(AND(ISNUMBER(SEARCH("平",D7604)),OR(ISNUMBER(SEARCH("上",D7604)),ISNUMBER(SEARCH("去",D7604)),ISNUMBER(SEARCH("入",D7604)))),"Ambiguous",IF(ISNUMBER(SEARCH("平",D7604)),"平","仄")))</x:f>
        <x:v>平</x:v>
      </x:c>
      <x:c r="L7604" s="7" t="str">
        <x:v>Pingshui main list expansion</x:v>
      </x:c>
    </x:row>
    <x:row r="7605">
      <x:c r="A7605" s="5" t="str">
        <x:v>羉</x:v>
      </x:c>
      <x:c r="B7605" s="6" t="str">
        <x:v>平</x:v>
      </x:c>
      <x:c r="C7605" s="6" t="str">
        <x:f>IF(B7605="","Needs decision","Ready")</x:f>
        <x:v>Ready</x:v>
      </x:c>
      <x:c r="D7605" s="6" t="str">
        <x:v>平</x:v>
      </x:c>
      <x:c r="E7605" s="6" t="str"/>
      <x:c r="F7605" s="6" t="str">
        <x:v>上平聲十四寒</x:v>
      </x:c>
      <x:c r="G7605" s="6" t="str">
        <x:v>Pingshui main list, Wikisource-derived DOCX</x:v>
      </x:c>
      <x:c r="H7605" s="6" t="str"/>
      <x:c r="I7605" s="6" t="str">
        <x:v>Pingshui main-list expansion; 詞 entries ignored</x:v>
      </x:c>
      <x:c r="J7605" s="6" t="str">
        <x:f>IF(B7605="","",IF(AND(ISNUMBER(SEARCH("平",B7605)),OR(ISNUMBER(SEARCH("上",B7605)),ISNUMBER(SEARCH("去",B7605)),ISNUMBER(SEARCH("入",B7605)))),"Ambiguous",IF(ISNUMBER(SEARCH("平",B7605)),"平","仄")))</x:f>
        <x:v>平</x:v>
      </x:c>
      <x:c r="K7605" s="6" t="str">
        <x:f>IF(D7605="","",IF(AND(ISNUMBER(SEARCH("平",D7605)),OR(ISNUMBER(SEARCH("上",D7605)),ISNUMBER(SEARCH("去",D7605)),ISNUMBER(SEARCH("入",D7605)))),"Ambiguous",IF(ISNUMBER(SEARCH("平",D7605)),"平","仄")))</x:f>
        <x:v>平</x:v>
      </x:c>
      <x:c r="L7605" s="7" t="str">
        <x:v>Pingshui main list expansion</x:v>
      </x:c>
    </x:row>
    <x:row r="7606">
      <x:c r="A7606" s="5" t="str">
        <x:v>羍</x:v>
      </x:c>
      <x:c r="B7606" s="6" t="str">
        <x:v>入</x:v>
      </x:c>
      <x:c r="C7606" s="6" t="str">
        <x:f>IF(B7606="","Needs decision","Ready")</x:f>
        <x:v>Ready</x:v>
      </x:c>
      <x:c r="D7606" s="6" t="str">
        <x:v>入</x:v>
      </x:c>
      <x:c r="E7606" s="6" t="str"/>
      <x:c r="F7606" s="6" t="str">
        <x:v>入聲七曷</x:v>
      </x:c>
      <x:c r="G7606" s="6" t="str">
        <x:v>Pingshui main list, Wikisource-derived DOCX</x:v>
      </x:c>
      <x:c r="H7606" s="6" t="str"/>
      <x:c r="I7606" s="6" t="str">
        <x:v>Pingshui main-list expansion; 詞 entries ignored</x:v>
      </x:c>
      <x:c r="J7606" s="6" t="str">
        <x:f>IF(B7606="","",IF(AND(ISNUMBER(SEARCH("平",B7606)),OR(ISNUMBER(SEARCH("上",B7606)),ISNUMBER(SEARCH("去",B7606)),ISNUMBER(SEARCH("入",B7606)))),"Ambiguous",IF(ISNUMBER(SEARCH("平",B7606)),"平","仄")))</x:f>
        <x:v>仄</x:v>
      </x:c>
      <x:c r="K7606" s="6" t="str">
        <x:f>IF(D7606="","",IF(AND(ISNUMBER(SEARCH("平",D7606)),OR(ISNUMBER(SEARCH("上",D7606)),ISNUMBER(SEARCH("去",D7606)),ISNUMBER(SEARCH("入",D7606)))),"Ambiguous",IF(ISNUMBER(SEARCH("平",D7606)),"平","仄")))</x:f>
        <x:v>仄</x:v>
      </x:c>
      <x:c r="L7606" s="7" t="str">
        <x:v>Pingshui main list expansion</x:v>
      </x:c>
    </x:row>
    <x:row r="7607">
      <x:c r="A7607" s="5" t="str">
        <x:v>羒</x:v>
      </x:c>
      <x:c r="B7607" s="6" t="str">
        <x:v>平</x:v>
      </x:c>
      <x:c r="C7607" s="6" t="str">
        <x:f>IF(B7607="","Needs decision","Ready")</x:f>
        <x:v>Ready</x:v>
      </x:c>
      <x:c r="D7607" s="6" t="str">
        <x:v>平</x:v>
      </x:c>
      <x:c r="E7607" s="6" t="str"/>
      <x:c r="F7607" s="6" t="str">
        <x:v>上平聲十二文</x:v>
      </x:c>
      <x:c r="G7607" s="6" t="str">
        <x:v>Pingshui main list, Wikisource-derived DOCX</x:v>
      </x:c>
      <x:c r="H7607" s="6" t="str"/>
      <x:c r="I7607" s="6" t="str">
        <x:v>Pingshui main-list expansion; 詞 entries ignored</x:v>
      </x:c>
      <x:c r="J7607" s="6" t="str">
        <x:f>IF(B7607="","",IF(AND(ISNUMBER(SEARCH("平",B7607)),OR(ISNUMBER(SEARCH("上",B7607)),ISNUMBER(SEARCH("去",B7607)),ISNUMBER(SEARCH("入",B7607)))),"Ambiguous",IF(ISNUMBER(SEARCH("平",B7607)),"平","仄")))</x:f>
        <x:v>平</x:v>
      </x:c>
      <x:c r="K7607" s="6" t="str">
        <x:f>IF(D7607="","",IF(AND(ISNUMBER(SEARCH("平",D7607)),OR(ISNUMBER(SEARCH("上",D7607)),ISNUMBER(SEARCH("去",D7607)),ISNUMBER(SEARCH("入",D7607)))),"Ambiguous",IF(ISNUMBER(SEARCH("平",D7607)),"平","仄")))</x:f>
        <x:v>平</x:v>
      </x:c>
      <x:c r="L7607" s="7" t="str">
        <x:v>Pingshui main list expansion</x:v>
      </x:c>
    </x:row>
    <x:row r="7608">
      <x:c r="A7608" s="5" t="str">
        <x:v>羜</x:v>
      </x:c>
      <x:c r="B7608" s="6" t="str">
        <x:v>上</x:v>
      </x:c>
      <x:c r="C7608" s="6" t="str">
        <x:f>IF(B7608="","Needs decision","Ready")</x:f>
        <x:v>Ready</x:v>
      </x:c>
      <x:c r="D7608" s="6" t="str">
        <x:v>上</x:v>
      </x:c>
      <x:c r="E7608" s="6" t="str"/>
      <x:c r="F7608" s="6" t="str">
        <x:v>上聲六語</x:v>
      </x:c>
      <x:c r="G7608" s="6" t="str">
        <x:v>Pingshui main list, Wikisource-derived DOCX</x:v>
      </x:c>
      <x:c r="H7608" s="6" t="str"/>
      <x:c r="I7608" s="6" t="str">
        <x:v>Pingshui main-list expansion; 詞 entries ignored</x:v>
      </x:c>
      <x:c r="J7608" s="6" t="str">
        <x:f>IF(B7608="","",IF(AND(ISNUMBER(SEARCH("平",B7608)),OR(ISNUMBER(SEARCH("上",B7608)),ISNUMBER(SEARCH("去",B7608)),ISNUMBER(SEARCH("入",B7608)))),"Ambiguous",IF(ISNUMBER(SEARCH("平",B7608)),"平","仄")))</x:f>
        <x:v>仄</x:v>
      </x:c>
      <x:c r="K7608" s="6" t="str">
        <x:f>IF(D7608="","",IF(AND(ISNUMBER(SEARCH("平",D7608)),OR(ISNUMBER(SEARCH("上",D7608)),ISNUMBER(SEARCH("去",D7608)),ISNUMBER(SEARCH("入",D7608)))),"Ambiguous",IF(ISNUMBER(SEARCH("平",D7608)),"平","仄")))</x:f>
        <x:v>仄</x:v>
      </x:c>
      <x:c r="L7608" s="7" t="str">
        <x:v>Pingshui main list expansion</x:v>
      </x:c>
    </x:row>
    <x:row r="7609">
      <x:c r="A7609" s="5" t="str">
        <x:v>羭</x:v>
      </x:c>
      <x:c r="B7609" s="6" t="str">
        <x:v>平</x:v>
      </x:c>
      <x:c r="C7609" s="6" t="str">
        <x:f>IF(B7609="","Needs decision","Ready")</x:f>
        <x:v>Ready</x:v>
      </x:c>
      <x:c r="D7609" s="6" t="str">
        <x:v>平</x:v>
      </x:c>
      <x:c r="E7609" s="6" t="str"/>
      <x:c r="F7609" s="6" t="str">
        <x:v>上平聲七虞</x:v>
      </x:c>
      <x:c r="G7609" s="6" t="str">
        <x:v>Pingshui main list, Wikisource-derived DOCX</x:v>
      </x:c>
      <x:c r="H7609" s="6" t="str"/>
      <x:c r="I7609" s="6" t="str">
        <x:v>Pingshui main-list expansion; 詞 entries ignored</x:v>
      </x:c>
      <x:c r="J7609" s="6" t="str">
        <x:f>IF(B7609="","",IF(AND(ISNUMBER(SEARCH("平",B7609)),OR(ISNUMBER(SEARCH("上",B7609)),ISNUMBER(SEARCH("去",B7609)),ISNUMBER(SEARCH("入",B7609)))),"Ambiguous",IF(ISNUMBER(SEARCH("平",B7609)),"平","仄")))</x:f>
        <x:v>平</x:v>
      </x:c>
      <x:c r="K7609" s="6" t="str">
        <x:f>IF(D7609="","",IF(AND(ISNUMBER(SEARCH("平",D7609)),OR(ISNUMBER(SEARCH("上",D7609)),ISNUMBER(SEARCH("去",D7609)),ISNUMBER(SEARCH("入",D7609)))),"Ambiguous",IF(ISNUMBER(SEARCH("平",D7609)),"平","仄")))</x:f>
        <x:v>平</x:v>
      </x:c>
      <x:c r="L7609" s="7" t="str">
        <x:v>Pingshui main list expansion</x:v>
      </x:c>
    </x:row>
    <x:row r="7610">
      <x:c r="A7610" s="5" t="str">
        <x:v>羱</x:v>
      </x:c>
      <x:c r="B7610" s="6" t="str">
        <x:v>平</x:v>
      </x:c>
      <x:c r="C7610" s="6" t="str">
        <x:f>IF(B7610="","Needs decision","Ready")</x:f>
        <x:v>Ready</x:v>
      </x:c>
      <x:c r="D7610" s="6" t="str">
        <x:v>平</x:v>
      </x:c>
      <x:c r="E7610" s="6" t="str"/>
      <x:c r="F7610" s="6" t="str">
        <x:v>上平聲十三元; 上平聲十四寒</x:v>
      </x:c>
      <x:c r="G7610" s="6" t="str">
        <x:v>Pingshui main list, Wikisource-derived DOCX</x:v>
      </x:c>
      <x:c r="H7610" s="6" t="str"/>
      <x:c r="I7610" s="6" t="str">
        <x:v>Pingshui main-list expansion; 詞 entries ignored</x:v>
      </x:c>
      <x:c r="J7610" s="6" t="str">
        <x:f>IF(B7610="","",IF(AND(ISNUMBER(SEARCH("平",B7610)),OR(ISNUMBER(SEARCH("上",B7610)),ISNUMBER(SEARCH("去",B7610)),ISNUMBER(SEARCH("入",B7610)))),"Ambiguous",IF(ISNUMBER(SEARCH("平",B7610)),"平","仄")))</x:f>
        <x:v>平</x:v>
      </x:c>
      <x:c r="K7610" s="6" t="str">
        <x:f>IF(D7610="","",IF(AND(ISNUMBER(SEARCH("平",D7610)),OR(ISNUMBER(SEARCH("上",D7610)),ISNUMBER(SEARCH("去",D7610)),ISNUMBER(SEARCH("入",D7610)))),"Ambiguous",IF(ISNUMBER(SEARCH("平",D7610)),"平","仄")))</x:f>
        <x:v>平</x:v>
      </x:c>
      <x:c r="L7610" s="7" t="str">
        <x:v>Pingshui main list expansion</x:v>
      </x:c>
    </x:row>
    <x:row r="7611">
      <x:c r="A7611" s="5" t="str">
        <x:v>羵</x:v>
      </x:c>
      <x:c r="B7611" s="6" t="str">
        <x:v>平</x:v>
      </x:c>
      <x:c r="C7611" s="6" t="str">
        <x:f>IF(B7611="","Needs decision","Ready")</x:f>
        <x:v>Ready</x:v>
      </x:c>
      <x:c r="D7611" s="6" t="str">
        <x:v>平</x:v>
      </x:c>
      <x:c r="E7611" s="6" t="str"/>
      <x:c r="F7611" s="6" t="str">
        <x:v>上平聲十二文</x:v>
      </x:c>
      <x:c r="G7611" s="6" t="str">
        <x:v>Pingshui main list, Wikisource-derived DOCX</x:v>
      </x:c>
      <x:c r="H7611" s="6" t="str"/>
      <x:c r="I7611" s="6" t="str">
        <x:v>Pingshui main-list expansion; 詞 entries ignored</x:v>
      </x:c>
      <x:c r="J7611" s="6" t="str">
        <x:f>IF(B7611="","",IF(AND(ISNUMBER(SEARCH("平",B7611)),OR(ISNUMBER(SEARCH("上",B7611)),ISNUMBER(SEARCH("去",B7611)),ISNUMBER(SEARCH("入",B7611)))),"Ambiguous",IF(ISNUMBER(SEARCH("平",B7611)),"平","仄")))</x:f>
        <x:v>平</x:v>
      </x:c>
      <x:c r="K7611" s="6" t="str">
        <x:f>IF(D7611="","",IF(AND(ISNUMBER(SEARCH("平",D7611)),OR(ISNUMBER(SEARCH("上",D7611)),ISNUMBER(SEARCH("去",D7611)),ISNUMBER(SEARCH("入",D7611)))),"Ambiguous",IF(ISNUMBER(SEARCH("平",D7611)),"平","仄")))</x:f>
        <x:v>平</x:v>
      </x:c>
      <x:c r="L7611" s="7" t="str">
        <x:v>Pingshui main list expansion</x:v>
      </x:c>
    </x:row>
    <x:row r="7612">
      <x:c r="A7612" s="5" t="str">
        <x:v>羾</x:v>
      </x:c>
      <x:c r="B7612" s="6" t="str">
        <x:v>去</x:v>
      </x:c>
      <x:c r="C7612" s="6" t="str">
        <x:f>IF(B7612="","Needs decision","Ready")</x:f>
        <x:v>Ready</x:v>
      </x:c>
      <x:c r="D7612" s="6" t="str">
        <x:v>去</x:v>
      </x:c>
      <x:c r="E7612" s="6" t="str"/>
      <x:c r="F7612" s="6" t="str">
        <x:v>去聲一送</x:v>
      </x:c>
      <x:c r="G7612" s="6" t="str">
        <x:v>Pingshui main list, Wikisource-derived DOCX</x:v>
      </x:c>
      <x:c r="H7612" s="6" t="str"/>
      <x:c r="I7612" s="6" t="str">
        <x:v>Pingshui main-list expansion; 詞 entries ignored</x:v>
      </x:c>
      <x:c r="J7612" s="6" t="str">
        <x:f>IF(B7612="","",IF(AND(ISNUMBER(SEARCH("平",B7612)),OR(ISNUMBER(SEARCH("上",B7612)),ISNUMBER(SEARCH("去",B7612)),ISNUMBER(SEARCH("入",B7612)))),"Ambiguous",IF(ISNUMBER(SEARCH("平",B7612)),"平","仄")))</x:f>
        <x:v>仄</x:v>
      </x:c>
      <x:c r="K7612" s="6" t="str">
        <x:f>IF(D7612="","",IF(AND(ISNUMBER(SEARCH("平",D7612)),OR(ISNUMBER(SEARCH("上",D7612)),ISNUMBER(SEARCH("去",D7612)),ISNUMBER(SEARCH("入",D7612)))),"Ambiguous",IF(ISNUMBER(SEARCH("平",D7612)),"平","仄")))</x:f>
        <x:v>仄</x:v>
      </x:c>
      <x:c r="L7612" s="7" t="str">
        <x:v>Pingshui main list expansion</x:v>
      </x:c>
    </x:row>
    <x:row r="7613">
      <x:c r="A7613" s="5" t="str">
        <x:v>翨</x:v>
      </x:c>
      <x:c r="B7613" s="6" t="str">
        <x:v>去</x:v>
      </x:c>
      <x:c r="C7613" s="6" t="str">
        <x:f>IF(B7613="","Needs decision","Ready")</x:f>
        <x:v>Ready</x:v>
      </x:c>
      <x:c r="D7613" s="6" t="str">
        <x:v>去</x:v>
      </x:c>
      <x:c r="E7613" s="6" t="str"/>
      <x:c r="F7613" s="6" t="str">
        <x:v>去聲四寘</x:v>
      </x:c>
      <x:c r="G7613" s="6" t="str">
        <x:v>Pingshui main list, Wikisource-derived DOCX</x:v>
      </x:c>
      <x:c r="H7613" s="6" t="str"/>
      <x:c r="I7613" s="6" t="str">
        <x:v>Pingshui main-list expansion; 詞 entries ignored</x:v>
      </x:c>
      <x:c r="J7613" s="6" t="str">
        <x:f>IF(B7613="","",IF(AND(ISNUMBER(SEARCH("平",B7613)),OR(ISNUMBER(SEARCH("上",B7613)),ISNUMBER(SEARCH("去",B7613)),ISNUMBER(SEARCH("入",B7613)))),"Ambiguous",IF(ISNUMBER(SEARCH("平",B7613)),"平","仄")))</x:f>
        <x:v>仄</x:v>
      </x:c>
      <x:c r="K7613" s="6" t="str">
        <x:f>IF(D7613="","",IF(AND(ISNUMBER(SEARCH("平",D7613)),OR(ISNUMBER(SEARCH("上",D7613)),ISNUMBER(SEARCH("去",D7613)),ISNUMBER(SEARCH("入",D7613)))),"Ambiguous",IF(ISNUMBER(SEARCH("平",D7613)),"平","仄")))</x:f>
        <x:v>仄</x:v>
      </x:c>
      <x:c r="L7613" s="7" t="str">
        <x:v>Pingshui main list expansion</x:v>
      </x:c>
    </x:row>
    <x:row r="7614">
      <x:c r="A7614" s="5" t="str">
        <x:v>翪</x:v>
      </x:c>
      <x:c r="B7614" s="6" t="str">
        <x:v>上</x:v>
      </x:c>
      <x:c r="C7614" s="6" t="str">
        <x:f>IF(B7614="","Needs decision","Ready")</x:f>
        <x:v>Ready</x:v>
      </x:c>
      <x:c r="D7614" s="6" t="str">
        <x:v>上</x:v>
      </x:c>
      <x:c r="E7614" s="6" t="str"/>
      <x:c r="F7614" s="6" t="str">
        <x:v>上聲一董</x:v>
      </x:c>
      <x:c r="G7614" s="6" t="str">
        <x:v>Pingshui main list, Wikisource-derived DOCX</x:v>
      </x:c>
      <x:c r="H7614" s="6" t="str"/>
      <x:c r="I7614" s="6" t="str">
        <x:v>Pingshui main-list expansion; 詞 entries ignored</x:v>
      </x:c>
      <x:c r="J7614" s="6" t="str">
        <x:f>IF(B7614="","",IF(AND(ISNUMBER(SEARCH("平",B7614)),OR(ISNUMBER(SEARCH("上",B7614)),ISNUMBER(SEARCH("去",B7614)),ISNUMBER(SEARCH("入",B7614)))),"Ambiguous",IF(ISNUMBER(SEARCH("平",B7614)),"平","仄")))</x:f>
        <x:v>仄</x:v>
      </x:c>
      <x:c r="K7614" s="6" t="str">
        <x:f>IF(D7614="","",IF(AND(ISNUMBER(SEARCH("平",D7614)),OR(ISNUMBER(SEARCH("上",D7614)),ISNUMBER(SEARCH("去",D7614)),ISNUMBER(SEARCH("入",D7614)))),"Ambiguous",IF(ISNUMBER(SEARCH("平",D7614)),"平","仄")))</x:f>
        <x:v>仄</x:v>
      </x:c>
      <x:c r="L7614" s="7" t="str">
        <x:v>Pingshui main list expansion</x:v>
      </x:c>
    </x:row>
    <x:row r="7615">
      <x:c r="A7615" s="5" t="str">
        <x:v>翲</x:v>
      </x:c>
      <x:c r="B7615" s="6" t="str">
        <x:v>平</x:v>
      </x:c>
      <x:c r="C7615" s="6" t="str">
        <x:f>IF(B7615="","Needs decision","Ready")</x:f>
        <x:v>Ready</x:v>
      </x:c>
      <x:c r="D7615" s="6" t="str">
        <x:v>平</x:v>
      </x:c>
      <x:c r="E7615" s="6" t="str"/>
      <x:c r="F7615" s="6" t="str">
        <x:v>下平聲二蕭</x:v>
      </x:c>
      <x:c r="G7615" s="6" t="str">
        <x:v>Pingshui main list, Wikisource-derived DOCX</x:v>
      </x:c>
      <x:c r="H7615" s="6" t="str"/>
      <x:c r="I7615" s="6" t="str">
        <x:v>Pingshui main-list expansion; 詞 entries ignored</x:v>
      </x:c>
      <x:c r="J7615" s="6" t="str">
        <x:f>IF(B7615="","",IF(AND(ISNUMBER(SEARCH("平",B7615)),OR(ISNUMBER(SEARCH("上",B7615)),ISNUMBER(SEARCH("去",B7615)),ISNUMBER(SEARCH("入",B7615)))),"Ambiguous",IF(ISNUMBER(SEARCH("平",B7615)),"平","仄")))</x:f>
        <x:v>平</x:v>
      </x:c>
      <x:c r="K7615" s="6" t="str">
        <x:f>IF(D7615="","",IF(AND(ISNUMBER(SEARCH("平",D7615)),OR(ISNUMBER(SEARCH("上",D7615)),ISNUMBER(SEARCH("去",D7615)),ISNUMBER(SEARCH("入",D7615)))),"Ambiguous",IF(ISNUMBER(SEARCH("平",D7615)),"平","仄")))</x:f>
        <x:v>平</x:v>
      </x:c>
      <x:c r="L7615" s="7" t="str">
        <x:v>Pingshui main list expansion</x:v>
      </x:c>
    </x:row>
    <x:row r="7616">
      <x:c r="A7616" s="5" t="str">
        <x:v>耎</x:v>
      </x:c>
      <x:c r="B7616" s="6" t="str">
        <x:v>上</x:v>
      </x:c>
      <x:c r="C7616" s="6" t="str">
        <x:f>IF(B7616="","Needs decision","Ready")</x:f>
        <x:v>Ready</x:v>
      </x:c>
      <x:c r="D7616" s="6" t="str">
        <x:v>上</x:v>
      </x:c>
      <x:c r="E7616" s="6" t="str"/>
      <x:c r="F7616" s="6" t="str">
        <x:v>上聲十六銑</x:v>
      </x:c>
      <x:c r="G7616" s="6" t="str">
        <x:v>Pingshui main list, Wikisource-derived DOCX</x:v>
      </x:c>
      <x:c r="H7616" s="6" t="str"/>
      <x:c r="I7616" s="6" t="str">
        <x:v>Pingshui main-list expansion; 詞 entries ignored</x:v>
      </x:c>
      <x:c r="J7616" s="6" t="str">
        <x:f>IF(B7616="","",IF(AND(ISNUMBER(SEARCH("平",B7616)),OR(ISNUMBER(SEARCH("上",B7616)),ISNUMBER(SEARCH("去",B7616)),ISNUMBER(SEARCH("入",B7616)))),"Ambiguous",IF(ISNUMBER(SEARCH("平",B7616)),"平","仄")))</x:f>
        <x:v>仄</x:v>
      </x:c>
      <x:c r="K7616" s="6" t="str">
        <x:f>IF(D7616="","",IF(AND(ISNUMBER(SEARCH("平",D7616)),OR(ISNUMBER(SEARCH("上",D7616)),ISNUMBER(SEARCH("去",D7616)),ISNUMBER(SEARCH("入",D7616)))),"Ambiguous",IF(ISNUMBER(SEARCH("平",D7616)),"平","仄")))</x:f>
        <x:v>仄</x:v>
      </x:c>
      <x:c r="L7616" s="7" t="str">
        <x:v>Pingshui main list expansion</x:v>
      </x:c>
    </x:row>
    <x:row r="7617">
      <x:c r="A7617" s="5" t="str">
        <x:v>耏</x:v>
      </x:c>
      <x:c r="B7617" s="6" t="str">
        <x:v>平</x:v>
      </x:c>
      <x:c r="C7617" s="6" t="str">
        <x:f>IF(B7617="","Needs decision","Ready")</x:f>
        <x:v>Ready</x:v>
      </x:c>
      <x:c r="D7617" s="6" t="str">
        <x:v>平</x:v>
      </x:c>
      <x:c r="E7617" s="6" t="str"/>
      <x:c r="F7617" s="6" t="str">
        <x:v>上平聲四支</x:v>
      </x:c>
      <x:c r="G7617" s="6" t="str">
        <x:v>Pingshui main list, Wikisource-derived DOCX</x:v>
      </x:c>
      <x:c r="H7617" s="6" t="str"/>
      <x:c r="I7617" s="6" t="str">
        <x:v>Pingshui main-list expansion; 詞 entries ignored</x:v>
      </x:c>
      <x:c r="J7617" s="6" t="str">
        <x:f>IF(B7617="","",IF(AND(ISNUMBER(SEARCH("平",B7617)),OR(ISNUMBER(SEARCH("上",B7617)),ISNUMBER(SEARCH("去",B7617)),ISNUMBER(SEARCH("入",B7617)))),"Ambiguous",IF(ISNUMBER(SEARCH("平",B7617)),"平","仄")))</x:f>
        <x:v>平</x:v>
      </x:c>
      <x:c r="K7617" s="6" t="str">
        <x:f>IF(D7617="","",IF(AND(ISNUMBER(SEARCH("平",D7617)),OR(ISNUMBER(SEARCH("上",D7617)),ISNUMBER(SEARCH("去",D7617)),ISNUMBER(SEARCH("入",D7617)))),"Ambiguous",IF(ISNUMBER(SEARCH("平",D7617)),"平","仄")))</x:f>
        <x:v>平</x:v>
      </x:c>
      <x:c r="L7617" s="7" t="str">
        <x:v>Pingshui main list expansion</x:v>
      </x:c>
    </x:row>
    <x:row r="7618">
      <x:c r="A7618" s="5" t="str">
        <x:v>耛</x:v>
      </x:c>
      <x:c r="B7618" s="6" t="str">
        <x:v>平</x:v>
      </x:c>
      <x:c r="C7618" s="6" t="str">
        <x:f>IF(B7618="","Needs decision","Ready")</x:f>
        <x:v>Ready</x:v>
      </x:c>
      <x:c r="D7618" s="6" t="str">
        <x:v>平</x:v>
      </x:c>
      <x:c r="E7618" s="6" t="str"/>
      <x:c r="F7618" s="6" t="str">
        <x:v>上平聲四支</x:v>
      </x:c>
      <x:c r="G7618" s="6" t="str">
        <x:v>Pingshui main list, Wikisource-derived DOCX</x:v>
      </x:c>
      <x:c r="H7618" s="6" t="str"/>
      <x:c r="I7618" s="6" t="str">
        <x:v>Pingshui main-list expansion; 詞 entries ignored</x:v>
      </x:c>
      <x:c r="J7618" s="6" t="str">
        <x:f>IF(B7618="","",IF(AND(ISNUMBER(SEARCH("平",B7618)),OR(ISNUMBER(SEARCH("上",B7618)),ISNUMBER(SEARCH("去",B7618)),ISNUMBER(SEARCH("入",B7618)))),"Ambiguous",IF(ISNUMBER(SEARCH("平",B7618)),"平","仄")))</x:f>
        <x:v>平</x:v>
      </x:c>
      <x:c r="K7618" s="6" t="str">
        <x:f>IF(D7618="","",IF(AND(ISNUMBER(SEARCH("平",D7618)),OR(ISNUMBER(SEARCH("上",D7618)),ISNUMBER(SEARCH("去",D7618)),ISNUMBER(SEARCH("入",D7618)))),"Ambiguous",IF(ISNUMBER(SEARCH("平",D7618)),"平","仄")))</x:f>
        <x:v>平</x:v>
      </x:c>
      <x:c r="L7618" s="7" t="str">
        <x:v>Pingshui main list expansion</x:v>
      </x:c>
    </x:row>
    <x:row r="7619">
      <x:c r="A7619" s="5" t="str">
        <x:v>耡</x:v>
      </x:c>
      <x:c r="B7619" s="6" t="str">
        <x:v>平</x:v>
      </x:c>
      <x:c r="C7619" s="6" t="str">
        <x:f>IF(B7619="","Needs decision","Ready")</x:f>
        <x:v>Ready</x:v>
      </x:c>
      <x:c r="D7619" s="6" t="str">
        <x:v>平</x:v>
      </x:c>
      <x:c r="E7619" s="6" t="str"/>
      <x:c r="F7619" s="6" t="str">
        <x:v>上平聲六魚</x:v>
      </x:c>
      <x:c r="G7619" s="6" t="str">
        <x:v>Pingshui main list, Wikisource-derived DOCX</x:v>
      </x:c>
      <x:c r="H7619" s="6" t="str"/>
      <x:c r="I7619" s="6" t="str">
        <x:v>Pingshui main-list expansion; 詞 entries ignored</x:v>
      </x:c>
      <x:c r="J7619" s="6" t="str">
        <x:f>IF(B7619="","",IF(AND(ISNUMBER(SEARCH("平",B7619)),OR(ISNUMBER(SEARCH("上",B7619)),ISNUMBER(SEARCH("去",B7619)),ISNUMBER(SEARCH("入",B7619)))),"Ambiguous",IF(ISNUMBER(SEARCH("平",B7619)),"平","仄")))</x:f>
        <x:v>平</x:v>
      </x:c>
      <x:c r="K7619" s="6" t="str">
        <x:f>IF(D7619="","",IF(AND(ISNUMBER(SEARCH("平",D7619)),OR(ISNUMBER(SEARCH("上",D7619)),ISNUMBER(SEARCH("去",D7619)),ISNUMBER(SEARCH("入",D7619)))),"Ambiguous",IF(ISNUMBER(SEARCH("平",D7619)),"平","仄")))</x:f>
        <x:v>平</x:v>
      </x:c>
      <x:c r="L7619" s="7" t="str">
        <x:v>Pingshui main list expansion</x:v>
      </x:c>
    </x:row>
    <x:row r="7620">
      <x:c r="A7620" s="5" t="str">
        <x:v>耤</x:v>
      </x:c>
      <x:c r="B7620" s="6" t="str">
        <x:v>入</x:v>
      </x:c>
      <x:c r="C7620" s="6" t="str">
        <x:f>IF(B7620="","Needs decision","Ready")</x:f>
        <x:v>Ready</x:v>
      </x:c>
      <x:c r="D7620" s="6" t="str">
        <x:v>入</x:v>
      </x:c>
      <x:c r="E7620" s="6" t="str"/>
      <x:c r="F7620" s="6" t="str">
        <x:v>入聲十一陌</x:v>
      </x:c>
      <x:c r="G7620" s="6" t="str">
        <x:v>Pingshui main list, Wikisource-derived DOCX</x:v>
      </x:c>
      <x:c r="H7620" s="6" t="str"/>
      <x:c r="I7620" s="6" t="str">
        <x:v>Pingshui main-list expansion; 詞 entries ignored</x:v>
      </x:c>
      <x:c r="J7620" s="6" t="str">
        <x:f>IF(B7620="","",IF(AND(ISNUMBER(SEARCH("平",B7620)),OR(ISNUMBER(SEARCH("上",B7620)),ISNUMBER(SEARCH("去",B7620)),ISNUMBER(SEARCH("入",B7620)))),"Ambiguous",IF(ISNUMBER(SEARCH("平",B7620)),"平","仄")))</x:f>
        <x:v>仄</x:v>
      </x:c>
      <x:c r="K7620" s="6" t="str">
        <x:f>IF(D7620="","",IF(AND(ISNUMBER(SEARCH("平",D7620)),OR(ISNUMBER(SEARCH("上",D7620)),ISNUMBER(SEARCH("去",D7620)),ISNUMBER(SEARCH("入",D7620)))),"Ambiguous",IF(ISNUMBER(SEARCH("平",D7620)),"平","仄")))</x:f>
        <x:v>仄</x:v>
      </x:c>
      <x:c r="L7620" s="7" t="str">
        <x:v>Pingshui main list expansion</x:v>
      </x:c>
    </x:row>
    <x:row r="7621">
      <x:c r="A7621" s="5" t="str">
        <x:v>耩</x:v>
      </x:c>
      <x:c r="B7621" s="6" t="str">
        <x:v>上</x:v>
      </x:c>
      <x:c r="C7621" s="6" t="str">
        <x:f>IF(B7621="","Needs decision","Ready")</x:f>
        <x:v>Ready</x:v>
      </x:c>
      <x:c r="D7621" s="6" t="str">
        <x:v>上</x:v>
      </x:c>
      <x:c r="E7621" s="6" t="str"/>
      <x:c r="F7621" s="6" t="str">
        <x:v>上聲三講</x:v>
      </x:c>
      <x:c r="G7621" s="6" t="str">
        <x:v>Pingshui main list, Wikisource-derived DOCX</x:v>
      </x:c>
      <x:c r="H7621" s="6" t="str"/>
      <x:c r="I7621" s="6" t="str">
        <x:v>Pingshui main-list expansion; 詞 entries ignored</x:v>
      </x:c>
      <x:c r="J7621" s="6" t="str">
        <x:f>IF(B7621="","",IF(AND(ISNUMBER(SEARCH("平",B7621)),OR(ISNUMBER(SEARCH("上",B7621)),ISNUMBER(SEARCH("去",B7621)),ISNUMBER(SEARCH("入",B7621)))),"Ambiguous",IF(ISNUMBER(SEARCH("平",B7621)),"平","仄")))</x:f>
        <x:v>仄</x:v>
      </x:c>
      <x:c r="K7621" s="6" t="str">
        <x:f>IF(D7621="","",IF(AND(ISNUMBER(SEARCH("平",D7621)),OR(ISNUMBER(SEARCH("上",D7621)),ISNUMBER(SEARCH("去",D7621)),ISNUMBER(SEARCH("入",D7621)))),"Ambiguous",IF(ISNUMBER(SEARCH("平",D7621)),"平","仄")))</x:f>
        <x:v>仄</x:v>
      </x:c>
      <x:c r="L7621" s="7" t="str">
        <x:v>Pingshui main list expansion</x:v>
      </x:c>
    </x:row>
    <x:row r="7622">
      <x:c r="A7622" s="5" t="str">
        <x:v>聧</x:v>
      </x:c>
      <x:c r="B7622" s="6" t="str">
        <x:v>平</x:v>
      </x:c>
      <x:c r="C7622" s="6" t="str">
        <x:f>IF(B7622="","Needs decision","Ready")</x:f>
        <x:v>Ready</x:v>
      </x:c>
      <x:c r="D7622" s="6" t="str">
        <x:v>平</x:v>
      </x:c>
      <x:c r="E7622" s="6" t="str"/>
      <x:c r="F7622" s="6" t="str">
        <x:v>上平聲八齊</x:v>
      </x:c>
      <x:c r="G7622" s="6" t="str">
        <x:v>Pingshui main list, Wikisource-derived DOCX</x:v>
      </x:c>
      <x:c r="H7622" s="6" t="str"/>
      <x:c r="I7622" s="6" t="str">
        <x:v>Pingshui main-list expansion; 詞 entries ignored</x:v>
      </x:c>
      <x:c r="J7622" s="6" t="str">
        <x:f>IF(B7622="","",IF(AND(ISNUMBER(SEARCH("平",B7622)),OR(ISNUMBER(SEARCH("上",B7622)),ISNUMBER(SEARCH("去",B7622)),ISNUMBER(SEARCH("入",B7622)))),"Ambiguous",IF(ISNUMBER(SEARCH("平",B7622)),"平","仄")))</x:f>
        <x:v>平</x:v>
      </x:c>
      <x:c r="K7622" s="6" t="str">
        <x:f>IF(D7622="","",IF(AND(ISNUMBER(SEARCH("平",D7622)),OR(ISNUMBER(SEARCH("上",D7622)),ISNUMBER(SEARCH("去",D7622)),ISNUMBER(SEARCH("入",D7622)))),"Ambiguous",IF(ISNUMBER(SEARCH("平",D7622)),"平","仄")))</x:f>
        <x:v>平</x:v>
      </x:c>
      <x:c r="L7622" s="7" t="str">
        <x:v>Pingshui main list expansion</x:v>
      </x:c>
    </x:row>
    <x:row r="7623">
      <x:c r="A7623" s="5" t="str">
        <x:v>聱</x:v>
      </x:c>
      <x:c r="B7623" s="6" t="str">
        <x:v>平</x:v>
      </x:c>
      <x:c r="C7623" s="6" t="str">
        <x:f>IF(B7623="","Needs decision","Ready")</x:f>
        <x:v>Ready</x:v>
      </x:c>
      <x:c r="D7623" s="6" t="str">
        <x:v>平</x:v>
      </x:c>
      <x:c r="E7623" s="6" t="str"/>
      <x:c r="F7623" s="6" t="str">
        <x:v>下平聲三肴</x:v>
      </x:c>
      <x:c r="G7623" s="6" t="str">
        <x:v>Pingshui main list, Wikisource-derived DOCX</x:v>
      </x:c>
      <x:c r="H7623" s="6" t="str"/>
      <x:c r="I7623" s="6" t="str">
        <x:v>Pingshui main-list expansion; 詞 entries ignored</x:v>
      </x:c>
      <x:c r="J7623" s="6" t="str">
        <x:f>IF(B7623="","",IF(AND(ISNUMBER(SEARCH("平",B7623)),OR(ISNUMBER(SEARCH("上",B7623)),ISNUMBER(SEARCH("去",B7623)),ISNUMBER(SEARCH("入",B7623)))),"Ambiguous",IF(ISNUMBER(SEARCH("平",B7623)),"平","仄")))</x:f>
        <x:v>平</x:v>
      </x:c>
      <x:c r="K7623" s="6" t="str">
        <x:f>IF(D7623="","",IF(AND(ISNUMBER(SEARCH("平",D7623)),OR(ISNUMBER(SEARCH("上",D7623)),ISNUMBER(SEARCH("去",D7623)),ISNUMBER(SEARCH("入",D7623)))),"Ambiguous",IF(ISNUMBER(SEARCH("平",D7623)),"平","仄")))</x:f>
        <x:v>平</x:v>
      </x:c>
      <x:c r="L7623" s="7" t="str">
        <x:v>Pingshui main list expansion</x:v>
      </x:c>
    </x:row>
    <x:row r="7624">
      <x:c r="A7624" s="5" t="str">
        <x:v>肂</x:v>
      </x:c>
      <x:c r="B7624" s="6" t="str">
        <x:v>去</x:v>
      </x:c>
      <x:c r="C7624" s="6" t="str">
        <x:f>IF(B7624="","Needs decision","Ready")</x:f>
        <x:v>Ready</x:v>
      </x:c>
      <x:c r="D7624" s="6" t="str">
        <x:v>去</x:v>
      </x:c>
      <x:c r="E7624" s="6" t="str"/>
      <x:c r="F7624" s="6" t="str">
        <x:v>去聲四寘</x:v>
      </x:c>
      <x:c r="G7624" s="6" t="str">
        <x:v>Pingshui main list, Wikisource-derived DOCX</x:v>
      </x:c>
      <x:c r="H7624" s="6" t="str"/>
      <x:c r="I7624" s="6" t="str">
        <x:v>Pingshui main-list expansion; 詞 entries ignored</x:v>
      </x:c>
      <x:c r="J7624" s="6" t="str">
        <x:f>IF(B7624="","",IF(AND(ISNUMBER(SEARCH("平",B7624)),OR(ISNUMBER(SEARCH("上",B7624)),ISNUMBER(SEARCH("去",B7624)),ISNUMBER(SEARCH("入",B7624)))),"Ambiguous",IF(ISNUMBER(SEARCH("平",B7624)),"平","仄")))</x:f>
        <x:v>仄</x:v>
      </x:c>
      <x:c r="K7624" s="6" t="str">
        <x:f>IF(D7624="","",IF(AND(ISNUMBER(SEARCH("平",D7624)),OR(ISNUMBER(SEARCH("上",D7624)),ISNUMBER(SEARCH("去",D7624)),ISNUMBER(SEARCH("入",D7624)))),"Ambiguous",IF(ISNUMBER(SEARCH("平",D7624)),"平","仄")))</x:f>
        <x:v>仄</x:v>
      </x:c>
      <x:c r="L7624" s="7" t="str">
        <x:v>Pingshui main list expansion</x:v>
      </x:c>
    </x:row>
    <x:row r="7625">
      <x:c r="A7625" s="5" t="str">
        <x:v>肋</x:v>
      </x:c>
      <x:c r="B7625" s="6" t="str">
        <x:v>入</x:v>
      </x:c>
      <x:c r="C7625" s="6" t="str">
        <x:f>IF(B7625="","Needs decision","Ready")</x:f>
        <x:v>Ready</x:v>
      </x:c>
      <x:c r="D7625" s="6" t="str">
        <x:v>入</x:v>
      </x:c>
      <x:c r="E7625" s="6" t="str"/>
      <x:c r="F7625" s="6" t="str">
        <x:v>入聲十三職</x:v>
      </x:c>
      <x:c r="G7625" s="6" t="str">
        <x:v>Pingshui main list, Wikisource-derived DOCX</x:v>
      </x:c>
      <x:c r="H7625" s="6" t="str"/>
      <x:c r="I7625" s="6" t="str">
        <x:v>Pingshui main-list expansion; 詞 entries ignored</x:v>
      </x:c>
      <x:c r="J7625" s="6" t="str">
        <x:f>IF(B7625="","",IF(AND(ISNUMBER(SEARCH("平",B7625)),OR(ISNUMBER(SEARCH("上",B7625)),ISNUMBER(SEARCH("去",B7625)),ISNUMBER(SEARCH("入",B7625)))),"Ambiguous",IF(ISNUMBER(SEARCH("平",B7625)),"平","仄")))</x:f>
        <x:v>仄</x:v>
      </x:c>
      <x:c r="K7625" s="6" t="str">
        <x:f>IF(D7625="","",IF(AND(ISNUMBER(SEARCH("平",D7625)),OR(ISNUMBER(SEARCH("上",D7625)),ISNUMBER(SEARCH("去",D7625)),ISNUMBER(SEARCH("入",D7625)))),"Ambiguous",IF(ISNUMBER(SEARCH("平",D7625)),"平","仄")))</x:f>
        <x:v>仄</x:v>
      </x:c>
      <x:c r="L7625" s="7" t="str">
        <x:v>Pingshui main list expansion</x:v>
      </x:c>
    </x:row>
    <x:row r="7626">
      <x:c r="A7626" s="5" t="str">
        <x:v>肓</x:v>
      </x:c>
      <x:c r="B7626" s="6" t="str">
        <x:v>平</x:v>
      </x:c>
      <x:c r="C7626" s="6" t="str">
        <x:f>IF(B7626="","Needs decision","Ready")</x:f>
        <x:v>Ready</x:v>
      </x:c>
      <x:c r="D7626" s="6" t="str">
        <x:v>平</x:v>
      </x:c>
      <x:c r="E7626" s="6" t="str"/>
      <x:c r="F7626" s="6" t="str">
        <x:v>下平聲七陽</x:v>
      </x:c>
      <x:c r="G7626" s="6" t="str">
        <x:v>Pingshui main list, Wikisource-derived DOCX</x:v>
      </x:c>
      <x:c r="H7626" s="6" t="str"/>
      <x:c r="I7626" s="6" t="str">
        <x:v>Pingshui main-list expansion; 詞 entries ignored</x:v>
      </x:c>
      <x:c r="J7626" s="6" t="str">
        <x:f>IF(B7626="","",IF(AND(ISNUMBER(SEARCH("平",B7626)),OR(ISNUMBER(SEARCH("上",B7626)),ISNUMBER(SEARCH("去",B7626)),ISNUMBER(SEARCH("入",B7626)))),"Ambiguous",IF(ISNUMBER(SEARCH("平",B7626)),"平","仄")))</x:f>
        <x:v>平</x:v>
      </x:c>
      <x:c r="K7626" s="6" t="str">
        <x:f>IF(D7626="","",IF(AND(ISNUMBER(SEARCH("平",D7626)),OR(ISNUMBER(SEARCH("上",D7626)),ISNUMBER(SEARCH("去",D7626)),ISNUMBER(SEARCH("入",D7626)))),"Ambiguous",IF(ISNUMBER(SEARCH("平",D7626)),"平","仄")))</x:f>
        <x:v>平</x:v>
      </x:c>
      <x:c r="L7626" s="7" t="str">
        <x:v>Pingshui main list expansion</x:v>
      </x:c>
    </x:row>
    <x:row r="7627">
      <x:c r="A7627" s="5" t="str">
        <x:v>肪</x:v>
      </x:c>
      <x:c r="B7627" s="6" t="str">
        <x:v>平</x:v>
      </x:c>
      <x:c r="C7627" s="6" t="str">
        <x:f>IF(B7627="","Needs decision","Ready")</x:f>
        <x:v>Ready</x:v>
      </x:c>
      <x:c r="D7627" s="6" t="str">
        <x:v>平</x:v>
      </x:c>
      <x:c r="E7627" s="6" t="str"/>
      <x:c r="F7627" s="6" t="str">
        <x:v>下平聲七陽</x:v>
      </x:c>
      <x:c r="G7627" s="6" t="str">
        <x:v>Pingshui main list, Wikisource-derived DOCX</x:v>
      </x:c>
      <x:c r="H7627" s="6" t="str"/>
      <x:c r="I7627" s="6" t="str">
        <x:v>Pingshui main-list expansion; 詞 entries ignored</x:v>
      </x:c>
      <x:c r="J7627" s="6" t="str">
        <x:f>IF(B7627="","",IF(AND(ISNUMBER(SEARCH("平",B7627)),OR(ISNUMBER(SEARCH("上",B7627)),ISNUMBER(SEARCH("去",B7627)),ISNUMBER(SEARCH("入",B7627)))),"Ambiguous",IF(ISNUMBER(SEARCH("平",B7627)),"平","仄")))</x:f>
        <x:v>平</x:v>
      </x:c>
      <x:c r="K7627" s="6" t="str">
        <x:f>IF(D7627="","",IF(AND(ISNUMBER(SEARCH("平",D7627)),OR(ISNUMBER(SEARCH("上",D7627)),ISNUMBER(SEARCH("去",D7627)),ISNUMBER(SEARCH("入",D7627)))),"Ambiguous",IF(ISNUMBER(SEARCH("平",D7627)),"平","仄")))</x:f>
        <x:v>平</x:v>
      </x:c>
      <x:c r="L7627" s="7" t="str">
        <x:v>Pingshui main list expansion</x:v>
      </x:c>
    </x:row>
    <x:row r="7628">
      <x:c r="A7628" s="5" t="str">
        <x:v>肵</x:v>
      </x:c>
      <x:c r="B7628" s="6" t="str">
        <x:v>平</x:v>
      </x:c>
      <x:c r="C7628" s="6" t="str">
        <x:f>IF(B7628="","Needs decision","Ready")</x:f>
        <x:v>Ready</x:v>
      </x:c>
      <x:c r="D7628" s="6" t="str">
        <x:v>平</x:v>
      </x:c>
      <x:c r="E7628" s="6" t="str"/>
      <x:c r="F7628" s="6" t="str">
        <x:v>上平聲五微</x:v>
      </x:c>
      <x:c r="G7628" s="6" t="str">
        <x:v>Pingshui main list, Wikisource-derived DOCX</x:v>
      </x:c>
      <x:c r="H7628" s="6" t="str"/>
      <x:c r="I7628" s="6" t="str">
        <x:v>Pingshui main-list expansion; 詞 entries ignored</x:v>
      </x:c>
      <x:c r="J7628" s="6" t="str">
        <x:f>IF(B7628="","",IF(AND(ISNUMBER(SEARCH("平",B7628)),OR(ISNUMBER(SEARCH("上",B7628)),ISNUMBER(SEARCH("去",B7628)),ISNUMBER(SEARCH("入",B7628)))),"Ambiguous",IF(ISNUMBER(SEARCH("平",B7628)),"平","仄")))</x:f>
        <x:v>平</x:v>
      </x:c>
      <x:c r="K7628" s="6" t="str">
        <x:f>IF(D7628="","",IF(AND(ISNUMBER(SEARCH("平",D7628)),OR(ISNUMBER(SEARCH("上",D7628)),ISNUMBER(SEARCH("去",D7628)),ISNUMBER(SEARCH("入",D7628)))),"Ambiguous",IF(ISNUMBER(SEARCH("平",D7628)),"平","仄")))</x:f>
        <x:v>平</x:v>
      </x:c>
      <x:c r="L7628" s="7" t="str">
        <x:v>Pingshui main list expansion</x:v>
      </x:c>
    </x:row>
    <x:row r="7629">
      <x:c r="A7629" s="5" t="str">
        <x:v>胊</x:v>
      </x:c>
      <x:c r="B7629" s="6" t="str">
        <x:v>平</x:v>
      </x:c>
      <x:c r="C7629" s="6" t="str">
        <x:f>IF(B7629="","Needs decision","Ready")</x:f>
        <x:v>Ready</x:v>
      </x:c>
      <x:c r="D7629" s="6" t="str">
        <x:v>平</x:v>
      </x:c>
      <x:c r="E7629" s="6" t="str"/>
      <x:c r="F7629" s="6" t="str">
        <x:v>上平聲七虞</x:v>
      </x:c>
      <x:c r="G7629" s="6" t="str">
        <x:v>Pingshui main list, Wikisource-derived DOCX</x:v>
      </x:c>
      <x:c r="H7629" s="6" t="str"/>
      <x:c r="I7629" s="6" t="str">
        <x:v>Pingshui main-list expansion; 詞 entries ignored</x:v>
      </x:c>
      <x:c r="J7629" s="6" t="str">
        <x:f>IF(B7629="","",IF(AND(ISNUMBER(SEARCH("平",B7629)),OR(ISNUMBER(SEARCH("上",B7629)),ISNUMBER(SEARCH("去",B7629)),ISNUMBER(SEARCH("入",B7629)))),"Ambiguous",IF(ISNUMBER(SEARCH("平",B7629)),"平","仄")))</x:f>
        <x:v>平</x:v>
      </x:c>
      <x:c r="K7629" s="6" t="str">
        <x:f>IF(D7629="","",IF(AND(ISNUMBER(SEARCH("平",D7629)),OR(ISNUMBER(SEARCH("上",D7629)),ISNUMBER(SEARCH("去",D7629)),ISNUMBER(SEARCH("入",D7629)))),"Ambiguous",IF(ISNUMBER(SEARCH("平",D7629)),"平","仄")))</x:f>
        <x:v>平</x:v>
      </x:c>
      <x:c r="L7629" s="7" t="str">
        <x:v>Pingshui main list expansion</x:v>
      </x:c>
    </x:row>
    <x:row r="7630">
      <x:c r="A7630" s="5" t="str">
        <x:v>胏</x:v>
      </x:c>
      <x:c r="B7630" s="6" t="str">
        <x:v>上</x:v>
      </x:c>
      <x:c r="C7630" s="6" t="str">
        <x:f>IF(B7630="","Needs decision","Ready")</x:f>
        <x:v>Ready</x:v>
      </x:c>
      <x:c r="D7630" s="6" t="str">
        <x:v>上</x:v>
      </x:c>
      <x:c r="E7630" s="6" t="str"/>
      <x:c r="F7630" s="6" t="str">
        <x:v>上聲四紙</x:v>
      </x:c>
      <x:c r="G7630" s="6" t="str">
        <x:v>Pingshui main list, Wikisource-derived DOCX</x:v>
      </x:c>
      <x:c r="H7630" s="6" t="str"/>
      <x:c r="I7630" s="6" t="str">
        <x:v>Pingshui main-list expansion; 詞 entries ignored</x:v>
      </x:c>
      <x:c r="J7630" s="6" t="str">
        <x:f>IF(B7630="","",IF(AND(ISNUMBER(SEARCH("平",B7630)),OR(ISNUMBER(SEARCH("上",B7630)),ISNUMBER(SEARCH("去",B7630)),ISNUMBER(SEARCH("入",B7630)))),"Ambiguous",IF(ISNUMBER(SEARCH("平",B7630)),"平","仄")))</x:f>
        <x:v>仄</x:v>
      </x:c>
      <x:c r="K7630" s="6" t="str">
        <x:f>IF(D7630="","",IF(AND(ISNUMBER(SEARCH("平",D7630)),OR(ISNUMBER(SEARCH("上",D7630)),ISNUMBER(SEARCH("去",D7630)),ISNUMBER(SEARCH("入",D7630)))),"Ambiguous",IF(ISNUMBER(SEARCH("平",D7630)),"平","仄")))</x:f>
        <x:v>仄</x:v>
      </x:c>
      <x:c r="L7630" s="7" t="str">
        <x:v>Pingshui main list expansion</x:v>
      </x:c>
    </x:row>
    <x:row r="7631">
      <x:c r="A7631" s="5" t="str">
        <x:v>胐</x:v>
      </x:c>
      <x:c r="B7631" s="6" t="str">
        <x:v>入</x:v>
      </x:c>
      <x:c r="C7631" s="6" t="str">
        <x:f>IF(B7631="","Needs decision","Ready")</x:f>
        <x:v>Ready</x:v>
      </x:c>
      <x:c r="D7631" s="6" t="str">
        <x:v>入</x:v>
      </x:c>
      <x:c r="E7631" s="6" t="str"/>
      <x:c r="F7631" s="6" t="str">
        <x:v>入聲六月</x:v>
      </x:c>
      <x:c r="G7631" s="6" t="str">
        <x:v>Pingshui main list, Wikisource-derived DOCX</x:v>
      </x:c>
      <x:c r="H7631" s="6" t="str"/>
      <x:c r="I7631" s="6" t="str">
        <x:v>Pingshui main-list expansion; 詞 entries ignored</x:v>
      </x:c>
      <x:c r="J7631" s="6" t="str">
        <x:f>IF(B7631="","",IF(AND(ISNUMBER(SEARCH("平",B7631)),OR(ISNUMBER(SEARCH("上",B7631)),ISNUMBER(SEARCH("去",B7631)),ISNUMBER(SEARCH("入",B7631)))),"Ambiguous",IF(ISNUMBER(SEARCH("平",B7631)),"平","仄")))</x:f>
        <x:v>仄</x:v>
      </x:c>
      <x:c r="K7631" s="6" t="str">
        <x:f>IF(D7631="","",IF(AND(ISNUMBER(SEARCH("平",D7631)),OR(ISNUMBER(SEARCH("上",D7631)),ISNUMBER(SEARCH("去",D7631)),ISNUMBER(SEARCH("入",D7631)))),"Ambiguous",IF(ISNUMBER(SEARCH("平",D7631)),"平","仄")))</x:f>
        <x:v>仄</x:v>
      </x:c>
      <x:c r="L7631" s="7" t="str">
        <x:v>Pingshui main list expansion</x:v>
      </x:c>
    </x:row>
    <x:row r="7632">
      <x:c r="A7632" s="5" t="str">
        <x:v>胔</x:v>
      </x:c>
      <x:c r="B7632" s="6" t="str">
        <x:v>平</x:v>
      </x:c>
      <x:c r="C7632" s="6" t="str">
        <x:f>IF(B7632="","Needs decision","Ready")</x:f>
        <x:v>Ready</x:v>
      </x:c>
      <x:c r="D7632" s="6" t="str">
        <x:v>平</x:v>
      </x:c>
      <x:c r="E7632" s="6" t="str"/>
      <x:c r="F7632" s="6" t="str">
        <x:v>上平聲四支</x:v>
      </x:c>
      <x:c r="G7632" s="6" t="str">
        <x:v>Pingshui main list, Wikisource-derived DOCX</x:v>
      </x:c>
      <x:c r="H7632" s="6" t="str"/>
      <x:c r="I7632" s="6" t="str">
        <x:v>Pingshui main-list expansion; 詞 entries ignored</x:v>
      </x:c>
      <x:c r="J7632" s="6" t="str">
        <x:f>IF(B7632="","",IF(AND(ISNUMBER(SEARCH("平",B7632)),OR(ISNUMBER(SEARCH("上",B7632)),ISNUMBER(SEARCH("去",B7632)),ISNUMBER(SEARCH("入",B7632)))),"Ambiguous",IF(ISNUMBER(SEARCH("平",B7632)),"平","仄")))</x:f>
        <x:v>平</x:v>
      </x:c>
      <x:c r="K7632" s="6" t="str">
        <x:f>IF(D7632="","",IF(AND(ISNUMBER(SEARCH("平",D7632)),OR(ISNUMBER(SEARCH("上",D7632)),ISNUMBER(SEARCH("去",D7632)),ISNUMBER(SEARCH("入",D7632)))),"Ambiguous",IF(ISNUMBER(SEARCH("平",D7632)),"平","仄")))</x:f>
        <x:v>平</x:v>
      </x:c>
      <x:c r="L7632" s="7" t="str">
        <x:v>Pingshui main list expansion</x:v>
      </x:c>
    </x:row>
    <x:row r="7633">
      <x:c r="A7633" s="5" t="str">
        <x:v>胖</x:v>
      </x:c>
      <x:c r="B7633" s="6" t="str"/>
      <x:c r="C7633" s="6" t="str">
        <x:f>IF(B7633="","Needs decision","Ready")</x:f>
        <x:v>Needs decision</x:v>
      </x:c>
      <x:c r="D7633" s="6" t="str">
        <x:v>平/去</x:v>
      </x:c>
      <x:c r="E7633" s="6" t="str"/>
      <x:c r="F7633" s="6" t="str">
        <x:v>上平聲十四寒; 去聲十五翰</x:v>
      </x:c>
      <x:c r="G7633" s="6" t="str">
        <x:v>Pingshui main list, Wikisource-derived DOCX</x:v>
      </x:c>
      <x:c r="H7633" s="6" t="str"/>
      <x:c r="I7633" s="6" t="str">
        <x:v>Pingshui main-list expansion; 詞 entries ignored</x:v>
      </x:c>
      <x:c r="J7633" s="6" t="str">
        <x:f>IF(B7633="","",IF(AND(ISNUMBER(SEARCH("平",B7633)),OR(ISNUMBER(SEARCH("上",B7633)),ISNUMBER(SEARCH("去",B7633)),ISNUMBER(SEARCH("入",B7633)))),"Ambiguous",IF(ISNUMBER(SEARCH("平",B7633)),"平","仄")))</x:f>
      </x:c>
      <x:c r="K7633" s="6" t="str">
        <x:f>IF(D7633="","",IF(AND(ISNUMBER(SEARCH("平",D7633)),OR(ISNUMBER(SEARCH("上",D7633)),ISNUMBER(SEARCH("去",D7633)),ISNUMBER(SEARCH("入",D7633)))),"Ambiguous",IF(ISNUMBER(SEARCH("平",D7633)),"平","仄")))</x:f>
        <x:v>Ambiguous</x:v>
      </x:c>
      <x:c r="L7633" s="7" t="str">
        <x:v>Pingshui main list expansion</x:v>
      </x:c>
    </x:row>
    <x:row r="7634">
      <x:c r="A7634" s="5" t="str">
        <x:v>胗</x:v>
      </x:c>
      <x:c r="B7634" s="6" t="str">
        <x:v>上</x:v>
      </x:c>
      <x:c r="C7634" s="6" t="str">
        <x:f>IF(B7634="","Needs decision","Ready")</x:f>
        <x:v>Ready</x:v>
      </x:c>
      <x:c r="D7634" s="6" t="str">
        <x:v>上</x:v>
      </x:c>
      <x:c r="E7634" s="6" t="str"/>
      <x:c r="F7634" s="6" t="str">
        <x:v>上聲十一軫</x:v>
      </x:c>
      <x:c r="G7634" s="6" t="str">
        <x:v>Pingshui main list, Wikisource-derived DOCX</x:v>
      </x:c>
      <x:c r="H7634" s="6" t="str"/>
      <x:c r="I7634" s="6" t="str">
        <x:v>Pingshui main-list expansion; 詞 entries ignored</x:v>
      </x:c>
      <x:c r="J7634" s="6" t="str">
        <x:f>IF(B7634="","",IF(AND(ISNUMBER(SEARCH("平",B7634)),OR(ISNUMBER(SEARCH("上",B7634)),ISNUMBER(SEARCH("去",B7634)),ISNUMBER(SEARCH("入",B7634)))),"Ambiguous",IF(ISNUMBER(SEARCH("平",B7634)),"平","仄")))</x:f>
        <x:v>仄</x:v>
      </x:c>
      <x:c r="K7634" s="6" t="str">
        <x:f>IF(D7634="","",IF(AND(ISNUMBER(SEARCH("平",D7634)),OR(ISNUMBER(SEARCH("上",D7634)),ISNUMBER(SEARCH("去",D7634)),ISNUMBER(SEARCH("入",D7634)))),"Ambiguous",IF(ISNUMBER(SEARCH("平",D7634)),"平","仄")))</x:f>
        <x:v>仄</x:v>
      </x:c>
      <x:c r="L7634" s="7" t="str">
        <x:v>Pingshui main list expansion</x:v>
      </x:c>
    </x:row>
    <x:row r="7635">
      <x:c r="A7635" s="5" t="str">
        <x:v>胚</x:v>
      </x:c>
      <x:c r="B7635" s="6" t="str">
        <x:v>平</x:v>
      </x:c>
      <x:c r="C7635" s="6" t="str">
        <x:f>IF(B7635="","Needs decision","Ready")</x:f>
        <x:v>Ready</x:v>
      </x:c>
      <x:c r="D7635" s="6" t="str">
        <x:v>平</x:v>
      </x:c>
      <x:c r="E7635" s="6" t="str"/>
      <x:c r="F7635" s="6" t="str">
        <x:v>上平聲十灰</x:v>
      </x:c>
      <x:c r="G7635" s="6" t="str">
        <x:v>Pingshui main list, Wikisource-derived DOCX</x:v>
      </x:c>
      <x:c r="H7635" s="6" t="str"/>
      <x:c r="I7635" s="6" t="str">
        <x:v>Pingshui main-list expansion; 詞 entries ignored</x:v>
      </x:c>
      <x:c r="J7635" s="6" t="str">
        <x:f>IF(B7635="","",IF(AND(ISNUMBER(SEARCH("平",B7635)),OR(ISNUMBER(SEARCH("上",B7635)),ISNUMBER(SEARCH("去",B7635)),ISNUMBER(SEARCH("入",B7635)))),"Ambiguous",IF(ISNUMBER(SEARCH("平",B7635)),"平","仄")))</x:f>
        <x:v>平</x:v>
      </x:c>
      <x:c r="K7635" s="6" t="str">
        <x:f>IF(D7635="","",IF(AND(ISNUMBER(SEARCH("平",D7635)),OR(ISNUMBER(SEARCH("上",D7635)),ISNUMBER(SEARCH("去",D7635)),ISNUMBER(SEARCH("入",D7635)))),"Ambiguous",IF(ISNUMBER(SEARCH("平",D7635)),"平","仄")))</x:f>
        <x:v>平</x:v>
      </x:c>
      <x:c r="L7635" s="7" t="str">
        <x:v>Pingshui main list expansion</x:v>
      </x:c>
    </x:row>
    <x:row r="7636">
      <x:c r="A7636" s="5" t="str">
        <x:v>胛</x:v>
      </x:c>
      <x:c r="B7636" s="6" t="str">
        <x:v>入</x:v>
      </x:c>
      <x:c r="C7636" s="6" t="str">
        <x:f>IF(B7636="","Needs decision","Ready")</x:f>
        <x:v>Ready</x:v>
      </x:c>
      <x:c r="D7636" s="6" t="str">
        <x:v>入</x:v>
      </x:c>
      <x:c r="E7636" s="6" t="str"/>
      <x:c r="F7636" s="6" t="str">
        <x:v>入聲十七洽</x:v>
      </x:c>
      <x:c r="G7636" s="6" t="str">
        <x:v>Pingshui main list, Wikisource-derived DOCX</x:v>
      </x:c>
      <x:c r="H7636" s="6" t="str"/>
      <x:c r="I7636" s="6" t="str">
        <x:v>Pingshui main-list expansion; 詞 entries ignored</x:v>
      </x:c>
      <x:c r="J7636" s="6" t="str">
        <x:f>IF(B7636="","",IF(AND(ISNUMBER(SEARCH("平",B7636)),OR(ISNUMBER(SEARCH("上",B7636)),ISNUMBER(SEARCH("去",B7636)),ISNUMBER(SEARCH("入",B7636)))),"Ambiguous",IF(ISNUMBER(SEARCH("平",B7636)),"平","仄")))</x:f>
        <x:v>仄</x:v>
      </x:c>
      <x:c r="K7636" s="6" t="str">
        <x:f>IF(D7636="","",IF(AND(ISNUMBER(SEARCH("平",D7636)),OR(ISNUMBER(SEARCH("上",D7636)),ISNUMBER(SEARCH("去",D7636)),ISNUMBER(SEARCH("入",D7636)))),"Ambiguous",IF(ISNUMBER(SEARCH("平",D7636)),"平","仄")))</x:f>
        <x:v>仄</x:v>
      </x:c>
      <x:c r="L7636" s="7" t="str">
        <x:v>Pingshui main list expansion</x:v>
      </x:c>
    </x:row>
    <x:row r="7637">
      <x:c r="A7637" s="5" t="str">
        <x:v>胯</x:v>
      </x:c>
      <x:c r="B7637" s="6" t="str">
        <x:v>去</x:v>
      </x:c>
      <x:c r="C7637" s="6" t="str">
        <x:f>IF(B7637="","Needs decision","Ready")</x:f>
        <x:v>Ready</x:v>
      </x:c>
      <x:c r="D7637" s="6" t="str">
        <x:v>去</x:v>
      </x:c>
      <x:c r="E7637" s="6" t="str"/>
      <x:c r="F7637" s="6" t="str">
        <x:v>去聲七遇; 去聲二十二禡</x:v>
      </x:c>
      <x:c r="G7637" s="6" t="str">
        <x:v>Pingshui main list, Wikisource-derived DOCX</x:v>
      </x:c>
      <x:c r="H7637" s="6" t="str"/>
      <x:c r="I7637" s="6" t="str">
        <x:v>Pingshui main-list expansion; 詞 entries ignored</x:v>
      </x:c>
      <x:c r="J7637" s="6" t="str">
        <x:f>IF(B7637="","",IF(AND(ISNUMBER(SEARCH("平",B7637)),OR(ISNUMBER(SEARCH("上",B7637)),ISNUMBER(SEARCH("去",B7637)),ISNUMBER(SEARCH("入",B7637)))),"Ambiguous",IF(ISNUMBER(SEARCH("平",B7637)),"平","仄")))</x:f>
        <x:v>仄</x:v>
      </x:c>
      <x:c r="K7637" s="6" t="str">
        <x:f>IF(D7637="","",IF(AND(ISNUMBER(SEARCH("平",D7637)),OR(ISNUMBER(SEARCH("上",D7637)),ISNUMBER(SEARCH("去",D7637)),ISNUMBER(SEARCH("入",D7637)))),"Ambiguous",IF(ISNUMBER(SEARCH("平",D7637)),"平","仄")))</x:f>
        <x:v>仄</x:v>
      </x:c>
      <x:c r="L7637" s="7" t="str">
        <x:v>Pingshui main list expansion</x:v>
      </x:c>
    </x:row>
    <x:row r="7638">
      <x:c r="A7638" s="5" t="str">
        <x:v>胱</x:v>
      </x:c>
      <x:c r="B7638" s="6" t="str">
        <x:v>平</x:v>
      </x:c>
      <x:c r="C7638" s="6" t="str">
        <x:f>IF(B7638="","Needs decision","Ready")</x:f>
        <x:v>Ready</x:v>
      </x:c>
      <x:c r="D7638" s="6" t="str">
        <x:v>平</x:v>
      </x:c>
      <x:c r="E7638" s="6" t="str"/>
      <x:c r="F7638" s="6" t="str">
        <x:v>下平聲七陽</x:v>
      </x:c>
      <x:c r="G7638" s="6" t="str">
        <x:v>Pingshui main list, Wikisource-derived DOCX</x:v>
      </x:c>
      <x:c r="H7638" s="6" t="str"/>
      <x:c r="I7638" s="6" t="str">
        <x:v>Pingshui main-list expansion; 詞 entries ignored</x:v>
      </x:c>
      <x:c r="J7638" s="6" t="str">
        <x:f>IF(B7638="","",IF(AND(ISNUMBER(SEARCH("平",B7638)),OR(ISNUMBER(SEARCH("上",B7638)),ISNUMBER(SEARCH("去",B7638)),ISNUMBER(SEARCH("入",B7638)))),"Ambiguous",IF(ISNUMBER(SEARCH("平",B7638)),"平","仄")))</x:f>
        <x:v>平</x:v>
      </x:c>
      <x:c r="K7638" s="6" t="str">
        <x:f>IF(D7638="","",IF(AND(ISNUMBER(SEARCH("平",D7638)),OR(ISNUMBER(SEARCH("上",D7638)),ISNUMBER(SEARCH("去",D7638)),ISNUMBER(SEARCH("入",D7638)))),"Ambiguous",IF(ISNUMBER(SEARCH("平",D7638)),"平","仄")))</x:f>
        <x:v>平</x:v>
      </x:c>
      <x:c r="L7638" s="7" t="str">
        <x:v>Pingshui main list expansion</x:v>
      </x:c>
    </x:row>
    <x:row r="7639">
      <x:c r="A7639" s="5" t="str">
        <x:v>胹</x:v>
      </x:c>
      <x:c r="B7639" s="6" t="str">
        <x:v>平</x:v>
      </x:c>
      <x:c r="C7639" s="6" t="str">
        <x:f>IF(B7639="","Needs decision","Ready")</x:f>
        <x:v>Ready</x:v>
      </x:c>
      <x:c r="D7639" s="6" t="str">
        <x:v>平</x:v>
      </x:c>
      <x:c r="E7639" s="6" t="str"/>
      <x:c r="F7639" s="6" t="str">
        <x:v>上平聲四支</x:v>
      </x:c>
      <x:c r="G7639" s="6" t="str">
        <x:v>Pingshui main list, Wikisource-derived DOCX</x:v>
      </x:c>
      <x:c r="H7639" s="6" t="str"/>
      <x:c r="I7639" s="6" t="str">
        <x:v>Pingshui main-list expansion; 詞 entries ignored</x:v>
      </x:c>
      <x:c r="J7639" s="6" t="str">
        <x:f>IF(B7639="","",IF(AND(ISNUMBER(SEARCH("平",B7639)),OR(ISNUMBER(SEARCH("上",B7639)),ISNUMBER(SEARCH("去",B7639)),ISNUMBER(SEARCH("入",B7639)))),"Ambiguous",IF(ISNUMBER(SEARCH("平",B7639)),"平","仄")))</x:f>
        <x:v>平</x:v>
      </x:c>
      <x:c r="K7639" s="6" t="str">
        <x:f>IF(D7639="","",IF(AND(ISNUMBER(SEARCH("平",D7639)),OR(ISNUMBER(SEARCH("上",D7639)),ISNUMBER(SEARCH("去",D7639)),ISNUMBER(SEARCH("入",D7639)))),"Ambiguous",IF(ISNUMBER(SEARCH("平",D7639)),"平","仄")))</x:f>
        <x:v>平</x:v>
      </x:c>
      <x:c r="L7639" s="7" t="str">
        <x:v>Pingshui main list expansion</x:v>
      </x:c>
    </x:row>
    <x:row r="7640">
      <x:c r="A7640" s="5" t="str">
        <x:v>胼</x:v>
      </x:c>
      <x:c r="B7640" s="6" t="str">
        <x:v>平</x:v>
      </x:c>
      <x:c r="C7640" s="6" t="str">
        <x:f>IF(B7640="","Needs decision","Ready")</x:f>
        <x:v>Ready</x:v>
      </x:c>
      <x:c r="D7640" s="6" t="str">
        <x:v>平</x:v>
      </x:c>
      <x:c r="E7640" s="6" t="str"/>
      <x:c r="F7640" s="6" t="str">
        <x:v>下平聲一先</x:v>
      </x:c>
      <x:c r="G7640" s="6" t="str">
        <x:v>Pingshui main list, Wikisource-derived DOCX</x:v>
      </x:c>
      <x:c r="H7640" s="6" t="str"/>
      <x:c r="I7640" s="6" t="str">
        <x:v>Pingshui main-list expansion; 詞 entries ignored</x:v>
      </x:c>
      <x:c r="J7640" s="6" t="str">
        <x:f>IF(B7640="","",IF(AND(ISNUMBER(SEARCH("平",B7640)),OR(ISNUMBER(SEARCH("上",B7640)),ISNUMBER(SEARCH("去",B7640)),ISNUMBER(SEARCH("入",B7640)))),"Ambiguous",IF(ISNUMBER(SEARCH("平",B7640)),"平","仄")))</x:f>
        <x:v>平</x:v>
      </x:c>
      <x:c r="K7640" s="6" t="str">
        <x:f>IF(D7640="","",IF(AND(ISNUMBER(SEARCH("平",D7640)),OR(ISNUMBER(SEARCH("上",D7640)),ISNUMBER(SEARCH("去",D7640)),ISNUMBER(SEARCH("入",D7640)))),"Ambiguous",IF(ISNUMBER(SEARCH("平",D7640)),"平","仄")))</x:f>
        <x:v>平</x:v>
      </x:c>
      <x:c r="L7640" s="7" t="str">
        <x:v>Pingshui main list expansion</x:v>
      </x:c>
    </x:row>
    <x:row r="7641">
      <x:c r="A7641" s="5" t="str">
        <x:v>胾</x:v>
      </x:c>
      <x:c r="B7641" s="6" t="str">
        <x:v>去</x:v>
      </x:c>
      <x:c r="C7641" s="6" t="str">
        <x:f>IF(B7641="","Needs decision","Ready")</x:f>
        <x:v>Ready</x:v>
      </x:c>
      <x:c r="D7641" s="6" t="str">
        <x:v>去</x:v>
      </x:c>
      <x:c r="E7641" s="6" t="str"/>
      <x:c r="F7641" s="6" t="str">
        <x:v>去聲四寘</x:v>
      </x:c>
      <x:c r="G7641" s="6" t="str">
        <x:v>Pingshui main list, Wikisource-derived DOCX</x:v>
      </x:c>
      <x:c r="H7641" s="6" t="str"/>
      <x:c r="I7641" s="6" t="str">
        <x:v>Pingshui main-list expansion; 詞 entries ignored</x:v>
      </x:c>
      <x:c r="J7641" s="6" t="str">
        <x:f>IF(B7641="","",IF(AND(ISNUMBER(SEARCH("平",B7641)),OR(ISNUMBER(SEARCH("上",B7641)),ISNUMBER(SEARCH("去",B7641)),ISNUMBER(SEARCH("入",B7641)))),"Ambiguous",IF(ISNUMBER(SEARCH("平",B7641)),"平","仄")))</x:f>
        <x:v>仄</x:v>
      </x:c>
      <x:c r="K7641" s="6" t="str">
        <x:f>IF(D7641="","",IF(AND(ISNUMBER(SEARCH("平",D7641)),OR(ISNUMBER(SEARCH("上",D7641)),ISNUMBER(SEARCH("去",D7641)),ISNUMBER(SEARCH("入",D7641)))),"Ambiguous",IF(ISNUMBER(SEARCH("平",D7641)),"平","仄")))</x:f>
        <x:v>仄</x:v>
      </x:c>
      <x:c r="L7641" s="7" t="str">
        <x:v>Pingshui main list expansion</x:v>
      </x:c>
    </x:row>
    <x:row r="7642">
      <x:c r="A7642" s="5" t="str">
        <x:v>脁</x:v>
      </x:c>
      <x:c r="B7642" s="6" t="str"/>
      <x:c r="C7642" s="6" t="str">
        <x:f>IF(B7642="","Needs decision","Ready")</x:f>
        <x:v>Needs decision</x:v>
      </x:c>
      <x:c r="D7642" s="6" t="str">
        <x:v>上/去</x:v>
      </x:c>
      <x:c r="E7642" s="6" t="str"/>
      <x:c r="F7642" s="6" t="str">
        <x:v>上聲十七篠; 去聲十八嘯</x:v>
      </x:c>
      <x:c r="G7642" s="6" t="str">
        <x:v>Pingshui main list, Wikisource-derived DOCX</x:v>
      </x:c>
      <x:c r="H7642" s="6" t="str"/>
      <x:c r="I7642" s="6" t="str">
        <x:v>Pingshui main-list expansion; 詞 entries ignored</x:v>
      </x:c>
      <x:c r="J7642" s="6" t="str">
        <x:f>IF(B7642="","",IF(AND(ISNUMBER(SEARCH("平",B7642)),OR(ISNUMBER(SEARCH("上",B7642)),ISNUMBER(SEARCH("去",B7642)),ISNUMBER(SEARCH("入",B7642)))),"Ambiguous",IF(ISNUMBER(SEARCH("平",B7642)),"平","仄")))</x:f>
      </x:c>
      <x:c r="K7642" s="6" t="str">
        <x:f>IF(D7642="","",IF(AND(ISNUMBER(SEARCH("平",D7642)),OR(ISNUMBER(SEARCH("上",D7642)),ISNUMBER(SEARCH("去",D7642)),ISNUMBER(SEARCH("入",D7642)))),"Ambiguous",IF(ISNUMBER(SEARCH("平",D7642)),"平","仄")))</x:f>
        <x:v>仄</x:v>
      </x:c>
      <x:c r="L7642" s="7" t="str">
        <x:v>Pingshui main list expansion</x:v>
      </x:c>
    </x:row>
    <x:row r="7643">
      <x:c r="A7643" s="5" t="str">
        <x:v>脘</x:v>
      </x:c>
      <x:c r="B7643" s="6" t="str">
        <x:v>上</x:v>
      </x:c>
      <x:c r="C7643" s="6" t="str">
        <x:f>IF(B7643="","Needs decision","Ready")</x:f>
        <x:v>Ready</x:v>
      </x:c>
      <x:c r="D7643" s="6" t="str">
        <x:v>上</x:v>
      </x:c>
      <x:c r="E7643" s="6" t="str"/>
      <x:c r="F7643" s="6" t="str">
        <x:v>上聲十四旱</x:v>
      </x:c>
      <x:c r="G7643" s="6" t="str">
        <x:v>Pingshui main list, Wikisource-derived DOCX</x:v>
      </x:c>
      <x:c r="H7643" s="6" t="str"/>
      <x:c r="I7643" s="6" t="str">
        <x:v>Pingshui main-list expansion; 詞 entries ignored</x:v>
      </x:c>
      <x:c r="J7643" s="6" t="str">
        <x:f>IF(B7643="","",IF(AND(ISNUMBER(SEARCH("平",B7643)),OR(ISNUMBER(SEARCH("上",B7643)),ISNUMBER(SEARCH("去",B7643)),ISNUMBER(SEARCH("入",B7643)))),"Ambiguous",IF(ISNUMBER(SEARCH("平",B7643)),"平","仄")))</x:f>
        <x:v>仄</x:v>
      </x:c>
      <x:c r="K7643" s="6" t="str">
        <x:f>IF(D7643="","",IF(AND(ISNUMBER(SEARCH("平",D7643)),OR(ISNUMBER(SEARCH("上",D7643)),ISNUMBER(SEARCH("去",D7643)),ISNUMBER(SEARCH("入",D7643)))),"Ambiguous",IF(ISNUMBER(SEARCH("平",D7643)),"平","仄")))</x:f>
        <x:v>仄</x:v>
      </x:c>
      <x:c r="L7643" s="7" t="str">
        <x:v>Pingshui main list expansion</x:v>
      </x:c>
    </x:row>
    <x:row r="7644">
      <x:c r="A7644" s="5" t="str">
        <x:v>脙</x:v>
      </x:c>
      <x:c r="B7644" s="6" t="str">
        <x:v>平</x:v>
      </x:c>
      <x:c r="C7644" s="6" t="str">
        <x:f>IF(B7644="","Needs decision","Ready")</x:f>
        <x:v>Ready</x:v>
      </x:c>
      <x:c r="D7644" s="6" t="str">
        <x:v>平</x:v>
      </x:c>
      <x:c r="E7644" s="6" t="str"/>
      <x:c r="F7644" s="6" t="str">
        <x:v>下平聲十一尤</x:v>
      </x:c>
      <x:c r="G7644" s="6" t="str">
        <x:v>Pingshui main list, Wikisource-derived DOCX</x:v>
      </x:c>
      <x:c r="H7644" s="6" t="str"/>
      <x:c r="I7644" s="6" t="str">
        <x:v>Pingshui main-list expansion; 詞 entries ignored</x:v>
      </x:c>
      <x:c r="J7644" s="6" t="str">
        <x:f>IF(B7644="","",IF(AND(ISNUMBER(SEARCH("平",B7644)),OR(ISNUMBER(SEARCH("上",B7644)),ISNUMBER(SEARCH("去",B7644)),ISNUMBER(SEARCH("入",B7644)))),"Ambiguous",IF(ISNUMBER(SEARCH("平",B7644)),"平","仄")))</x:f>
        <x:v>平</x:v>
      </x:c>
      <x:c r="K7644" s="6" t="str">
        <x:f>IF(D7644="","",IF(AND(ISNUMBER(SEARCH("平",D7644)),OR(ISNUMBER(SEARCH("上",D7644)),ISNUMBER(SEARCH("去",D7644)),ISNUMBER(SEARCH("入",D7644)))),"Ambiguous",IF(ISNUMBER(SEARCH("平",D7644)),"平","仄")))</x:f>
        <x:v>平</x:v>
      </x:c>
      <x:c r="L7644" s="7" t="str">
        <x:v>Pingshui main list expansion</x:v>
      </x:c>
    </x:row>
    <x:row r="7645">
      <x:c r="A7645" s="5" t="str">
        <x:v>脡</x:v>
      </x:c>
      <x:c r="B7645" s="6" t="str">
        <x:v>上</x:v>
      </x:c>
      <x:c r="C7645" s="6" t="str">
        <x:f>IF(B7645="","Needs decision","Ready")</x:f>
        <x:v>Ready</x:v>
      </x:c>
      <x:c r="D7645" s="6" t="str">
        <x:v>上</x:v>
      </x:c>
      <x:c r="E7645" s="6" t="str"/>
      <x:c r="F7645" s="6" t="str">
        <x:v>上聲二十四迥</x:v>
      </x:c>
      <x:c r="G7645" s="6" t="str">
        <x:v>Pingshui main list, Wikisource-derived DOCX</x:v>
      </x:c>
      <x:c r="H7645" s="6" t="str"/>
      <x:c r="I7645" s="6" t="str">
        <x:v>Pingshui main-list expansion; 詞 entries ignored</x:v>
      </x:c>
      <x:c r="J7645" s="6" t="str">
        <x:f>IF(B7645="","",IF(AND(ISNUMBER(SEARCH("平",B7645)),OR(ISNUMBER(SEARCH("上",B7645)),ISNUMBER(SEARCH("去",B7645)),ISNUMBER(SEARCH("入",B7645)))),"Ambiguous",IF(ISNUMBER(SEARCH("平",B7645)),"平","仄")))</x:f>
        <x:v>仄</x:v>
      </x:c>
      <x:c r="K7645" s="6" t="str">
        <x:f>IF(D7645="","",IF(AND(ISNUMBER(SEARCH("平",D7645)),OR(ISNUMBER(SEARCH("上",D7645)),ISNUMBER(SEARCH("去",D7645)),ISNUMBER(SEARCH("入",D7645)))),"Ambiguous",IF(ISNUMBER(SEARCH("平",D7645)),"平","仄")))</x:f>
        <x:v>仄</x:v>
      </x:c>
      <x:c r="L7645" s="7" t="str">
        <x:v>Pingshui main list expansion</x:v>
      </x:c>
    </x:row>
    <x:row r="7646">
      <x:c r="A7646" s="5" t="str">
        <x:v>脢</x:v>
      </x:c>
      <x:c r="B7646" s="6" t="str"/>
      <x:c r="C7646" s="6" t="str">
        <x:f>IF(B7646="","Needs decision","Ready")</x:f>
        <x:v>Needs decision</x:v>
      </x:c>
      <x:c r="D7646" s="6" t="str">
        <x:v>平/去</x:v>
      </x:c>
      <x:c r="E7646" s="6" t="str"/>
      <x:c r="F7646" s="6" t="str">
        <x:v>上平聲十灰; 去聲十一隊</x:v>
      </x:c>
      <x:c r="G7646" s="6" t="str">
        <x:v>Pingshui main list, Wikisource-derived DOCX</x:v>
      </x:c>
      <x:c r="H7646" s="6" t="str"/>
      <x:c r="I7646" s="6" t="str">
        <x:v>Pingshui main-list expansion; 詞 entries ignored</x:v>
      </x:c>
      <x:c r="J7646" s="6" t="str">
        <x:f>IF(B7646="","",IF(AND(ISNUMBER(SEARCH("平",B7646)),OR(ISNUMBER(SEARCH("上",B7646)),ISNUMBER(SEARCH("去",B7646)),ISNUMBER(SEARCH("入",B7646)))),"Ambiguous",IF(ISNUMBER(SEARCH("平",B7646)),"平","仄")))</x:f>
      </x:c>
      <x:c r="K7646" s="6" t="str">
        <x:f>IF(D7646="","",IF(AND(ISNUMBER(SEARCH("平",D7646)),OR(ISNUMBER(SEARCH("上",D7646)),ISNUMBER(SEARCH("去",D7646)),ISNUMBER(SEARCH("入",D7646)))),"Ambiguous",IF(ISNUMBER(SEARCH("平",D7646)),"平","仄")))</x:f>
        <x:v>Ambiguous</x:v>
      </x:c>
      <x:c r="L7646" s="7" t="str">
        <x:v>Pingshui main list expansion</x:v>
      </x:c>
    </x:row>
    <x:row r="7647">
      <x:c r="A7647" s="5" t="str">
        <x:v>脧</x:v>
      </x:c>
      <x:c r="B7647" s="6" t="str">
        <x:v>平</x:v>
      </x:c>
      <x:c r="C7647" s="6" t="str">
        <x:f>IF(B7647="","Needs decision","Ready")</x:f>
        <x:v>Ready</x:v>
      </x:c>
      <x:c r="D7647" s="6" t="str">
        <x:v>平</x:v>
      </x:c>
      <x:c r="E7647" s="6" t="str"/>
      <x:c r="F7647" s="6" t="str">
        <x:v>下平聲一先</x:v>
      </x:c>
      <x:c r="G7647" s="6" t="str">
        <x:v>Pingshui main list, Wikisource-derived DOCX</x:v>
      </x:c>
      <x:c r="H7647" s="6" t="str"/>
      <x:c r="I7647" s="6" t="str">
        <x:v>Pingshui main-list expansion; 詞 entries ignored</x:v>
      </x:c>
      <x:c r="J7647" s="6" t="str">
        <x:f>IF(B7647="","",IF(AND(ISNUMBER(SEARCH("平",B7647)),OR(ISNUMBER(SEARCH("上",B7647)),ISNUMBER(SEARCH("去",B7647)),ISNUMBER(SEARCH("入",B7647)))),"Ambiguous",IF(ISNUMBER(SEARCH("平",B7647)),"平","仄")))</x:f>
        <x:v>平</x:v>
      </x:c>
      <x:c r="K7647" s="6" t="str">
        <x:f>IF(D7647="","",IF(AND(ISNUMBER(SEARCH("平",D7647)),OR(ISNUMBER(SEARCH("上",D7647)),ISNUMBER(SEARCH("去",D7647)),ISNUMBER(SEARCH("入",D7647)))),"Ambiguous",IF(ISNUMBER(SEARCH("平",D7647)),"平","仄")))</x:f>
        <x:v>平</x:v>
      </x:c>
      <x:c r="L7647" s="7" t="str">
        <x:v>Pingshui main list expansion</x:v>
      </x:c>
    </x:row>
    <x:row r="7648">
      <x:c r="A7648" s="5" t="str">
        <x:v>脬</x:v>
      </x:c>
      <x:c r="B7648" s="6" t="str">
        <x:v>平</x:v>
      </x:c>
      <x:c r="C7648" s="6" t="str">
        <x:f>IF(B7648="","Needs decision","Ready")</x:f>
        <x:v>Ready</x:v>
      </x:c>
      <x:c r="D7648" s="6" t="str">
        <x:v>平</x:v>
      </x:c>
      <x:c r="E7648" s="6" t="str"/>
      <x:c r="F7648" s="6" t="str">
        <x:v>下平聲三肴</x:v>
      </x:c>
      <x:c r="G7648" s="6" t="str">
        <x:v>Pingshui main list, Wikisource-derived DOCX</x:v>
      </x:c>
      <x:c r="H7648" s="6" t="str"/>
      <x:c r="I7648" s="6" t="str">
        <x:v>Pingshui main-list expansion; 詞 entries ignored</x:v>
      </x:c>
      <x:c r="J7648" s="6" t="str">
        <x:f>IF(B7648="","",IF(AND(ISNUMBER(SEARCH("平",B7648)),OR(ISNUMBER(SEARCH("上",B7648)),ISNUMBER(SEARCH("去",B7648)),ISNUMBER(SEARCH("入",B7648)))),"Ambiguous",IF(ISNUMBER(SEARCH("平",B7648)),"平","仄")))</x:f>
        <x:v>平</x:v>
      </x:c>
      <x:c r="K7648" s="6" t="str">
        <x:f>IF(D7648="","",IF(AND(ISNUMBER(SEARCH("平",D7648)),OR(ISNUMBER(SEARCH("上",D7648)),ISNUMBER(SEARCH("去",D7648)),ISNUMBER(SEARCH("入",D7648)))),"Ambiguous",IF(ISNUMBER(SEARCH("平",D7648)),"平","仄")))</x:f>
        <x:v>平</x:v>
      </x:c>
      <x:c r="L7648" s="7" t="str">
        <x:v>Pingshui main list expansion</x:v>
      </x:c>
    </x:row>
    <x:row r="7649">
      <x:c r="A7649" s="5" t="str">
        <x:v>脹</x:v>
      </x:c>
      <x:c r="B7649" s="6" t="str">
        <x:v>去</x:v>
      </x:c>
      <x:c r="C7649" s="6" t="str">
        <x:f>IF(B7649="","Needs decision","Ready")</x:f>
        <x:v>Ready</x:v>
      </x:c>
      <x:c r="D7649" s="6" t="str">
        <x:v>去</x:v>
      </x:c>
      <x:c r="E7649" s="6" t="str"/>
      <x:c r="F7649" s="6" t="str">
        <x:v>去聲二十三漾</x:v>
      </x:c>
      <x:c r="G7649" s="6" t="str">
        <x:v>Pingshui main list, Wikisource-derived DOCX</x:v>
      </x:c>
      <x:c r="H7649" s="6" t="str"/>
      <x:c r="I7649" s="6" t="str">
        <x:v>Pingshui main-list expansion; 詞 entries ignored</x:v>
      </x:c>
      <x:c r="J7649" s="6" t="str">
        <x:f>IF(B7649="","",IF(AND(ISNUMBER(SEARCH("平",B7649)),OR(ISNUMBER(SEARCH("上",B7649)),ISNUMBER(SEARCH("去",B7649)),ISNUMBER(SEARCH("入",B7649)))),"Ambiguous",IF(ISNUMBER(SEARCH("平",B7649)),"平","仄")))</x:f>
        <x:v>仄</x:v>
      </x:c>
      <x:c r="K7649" s="6" t="str">
        <x:f>IF(D7649="","",IF(AND(ISNUMBER(SEARCH("平",D7649)),OR(ISNUMBER(SEARCH("上",D7649)),ISNUMBER(SEARCH("去",D7649)),ISNUMBER(SEARCH("入",D7649)))),"Ambiguous",IF(ISNUMBER(SEARCH("平",D7649)),"平","仄")))</x:f>
        <x:v>仄</x:v>
      </x:c>
      <x:c r="L7649" s="7" t="str">
        <x:v>Pingshui main list expansion</x:v>
      </x:c>
    </x:row>
    <x:row r="7650">
      <x:c r="A7650" s="5" t="str">
        <x:v>腄</x:v>
      </x:c>
      <x:c r="B7650" s="6" t="str"/>
      <x:c r="C7650" s="6" t="str">
        <x:f>IF(B7650="","Needs decision","Ready")</x:f>
        <x:v>Needs decision</x:v>
      </x:c>
      <x:c r="D7650" s="6" t="str">
        <x:v>平/去</x:v>
      </x:c>
      <x:c r="E7650" s="6" t="str"/>
      <x:c r="F7650" s="6" t="str">
        <x:v>上平聲四支; 去聲四寘</x:v>
      </x:c>
      <x:c r="G7650" s="6" t="str">
        <x:v>Pingshui main list, Wikisource-derived DOCX</x:v>
      </x:c>
      <x:c r="H7650" s="6" t="str"/>
      <x:c r="I7650" s="6" t="str">
        <x:v>Pingshui main-list expansion; 詞 entries ignored</x:v>
      </x:c>
      <x:c r="J7650" s="6" t="str">
        <x:f>IF(B7650="","",IF(AND(ISNUMBER(SEARCH("平",B7650)),OR(ISNUMBER(SEARCH("上",B7650)),ISNUMBER(SEARCH("去",B7650)),ISNUMBER(SEARCH("入",B7650)))),"Ambiguous",IF(ISNUMBER(SEARCH("平",B7650)),"平","仄")))</x:f>
      </x:c>
      <x:c r="K7650" s="6" t="str">
        <x:f>IF(D7650="","",IF(AND(ISNUMBER(SEARCH("平",D7650)),OR(ISNUMBER(SEARCH("上",D7650)),ISNUMBER(SEARCH("去",D7650)),ISNUMBER(SEARCH("入",D7650)))),"Ambiguous",IF(ISNUMBER(SEARCH("平",D7650)),"平","仄")))</x:f>
        <x:v>Ambiguous</x:v>
      </x:c>
      <x:c r="L7650" s="7" t="str">
        <x:v>Pingshui main list expansion</x:v>
      </x:c>
    </x:row>
    <x:row r="7651">
      <x:c r="A7651" s="5" t="str">
        <x:v>腇</x:v>
      </x:c>
      <x:c r="B7651" s="6" t="str">
        <x:v>上</x:v>
      </x:c>
      <x:c r="C7651" s="6" t="str">
        <x:f>IF(B7651="","Needs decision","Ready")</x:f>
        <x:v>Ready</x:v>
      </x:c>
      <x:c r="D7651" s="6" t="str">
        <x:v>上</x:v>
      </x:c>
      <x:c r="E7651" s="6" t="str"/>
      <x:c r="F7651" s="6" t="str">
        <x:v>上聲十賄</x:v>
      </x:c>
      <x:c r="G7651" s="6" t="str">
        <x:v>Pingshui main list, Wikisource-derived DOCX</x:v>
      </x:c>
      <x:c r="H7651" s="6" t="str"/>
      <x:c r="I7651" s="6" t="str">
        <x:v>Pingshui main-list expansion; 詞 entries ignored</x:v>
      </x:c>
      <x:c r="J7651" s="6" t="str">
        <x:f>IF(B7651="","",IF(AND(ISNUMBER(SEARCH("平",B7651)),OR(ISNUMBER(SEARCH("上",B7651)),ISNUMBER(SEARCH("去",B7651)),ISNUMBER(SEARCH("入",B7651)))),"Ambiguous",IF(ISNUMBER(SEARCH("平",B7651)),"平","仄")))</x:f>
        <x:v>仄</x:v>
      </x:c>
      <x:c r="K7651" s="6" t="str">
        <x:f>IF(D7651="","",IF(AND(ISNUMBER(SEARCH("平",D7651)),OR(ISNUMBER(SEARCH("上",D7651)),ISNUMBER(SEARCH("去",D7651)),ISNUMBER(SEARCH("入",D7651)))),"Ambiguous",IF(ISNUMBER(SEARCH("平",D7651)),"平","仄")))</x:f>
        <x:v>仄</x:v>
      </x:c>
      <x:c r="L7651" s="7" t="str">
        <x:v>Pingshui main list expansion</x:v>
      </x:c>
    </x:row>
    <x:row r="7652">
      <x:c r="A7652" s="5" t="str">
        <x:v>腍</x:v>
      </x:c>
      <x:c r="B7652" s="6" t="str">
        <x:v>上</x:v>
      </x:c>
      <x:c r="C7652" s="6" t="str">
        <x:f>IF(B7652="","Needs decision","Ready")</x:f>
        <x:v>Ready</x:v>
      </x:c>
      <x:c r="D7652" s="6" t="str">
        <x:v>上</x:v>
      </x:c>
      <x:c r="E7652" s="6" t="str"/>
      <x:c r="F7652" s="6" t="str">
        <x:v>上聲二十六寢</x:v>
      </x:c>
      <x:c r="G7652" s="6" t="str">
        <x:v>Pingshui main list, Wikisource-derived DOCX</x:v>
      </x:c>
      <x:c r="H7652" s="6" t="str"/>
      <x:c r="I7652" s="6" t="str">
        <x:v>Pingshui main-list expansion; 詞 entries ignored</x:v>
      </x:c>
      <x:c r="J7652" s="6" t="str">
        <x:f>IF(B7652="","",IF(AND(ISNUMBER(SEARCH("平",B7652)),OR(ISNUMBER(SEARCH("上",B7652)),ISNUMBER(SEARCH("去",B7652)),ISNUMBER(SEARCH("入",B7652)))),"Ambiguous",IF(ISNUMBER(SEARCH("平",B7652)),"平","仄")))</x:f>
        <x:v>仄</x:v>
      </x:c>
      <x:c r="K7652" s="6" t="str">
        <x:f>IF(D7652="","",IF(AND(ISNUMBER(SEARCH("平",D7652)),OR(ISNUMBER(SEARCH("上",D7652)),ISNUMBER(SEARCH("去",D7652)),ISNUMBER(SEARCH("入",D7652)))),"Ambiguous",IF(ISNUMBER(SEARCH("平",D7652)),"平","仄")))</x:f>
        <x:v>仄</x:v>
      </x:c>
      <x:c r="L7652" s="7" t="str">
        <x:v>Pingshui main list expansion</x:v>
      </x:c>
    </x:row>
    <x:row r="7653">
      <x:c r="A7653" s="5" t="str">
        <x:v>腑</x:v>
      </x:c>
      <x:c r="B7653" s="6" t="str">
        <x:v>上</x:v>
      </x:c>
      <x:c r="C7653" s="6" t="str">
        <x:f>IF(B7653="","Needs decision","Ready")</x:f>
        <x:v>Ready</x:v>
      </x:c>
      <x:c r="D7653" s="6" t="str">
        <x:v>上</x:v>
      </x:c>
      <x:c r="E7653" s="6" t="str"/>
      <x:c r="F7653" s="6" t="str">
        <x:v>上聲七麌</x:v>
      </x:c>
      <x:c r="G7653" s="6" t="str">
        <x:v>Pingshui main list, Wikisource-derived DOCX</x:v>
      </x:c>
      <x:c r="H7653" s="6" t="str"/>
      <x:c r="I7653" s="6" t="str">
        <x:v>Pingshui main-list expansion; 詞 entries ignored</x:v>
      </x:c>
      <x:c r="J7653" s="6" t="str">
        <x:f>IF(B7653="","",IF(AND(ISNUMBER(SEARCH("平",B7653)),OR(ISNUMBER(SEARCH("上",B7653)),ISNUMBER(SEARCH("去",B7653)),ISNUMBER(SEARCH("入",B7653)))),"Ambiguous",IF(ISNUMBER(SEARCH("平",B7653)),"平","仄")))</x:f>
        <x:v>仄</x:v>
      </x:c>
      <x:c r="K7653" s="6" t="str">
        <x:f>IF(D7653="","",IF(AND(ISNUMBER(SEARCH("平",D7653)),OR(ISNUMBER(SEARCH("上",D7653)),ISNUMBER(SEARCH("去",D7653)),ISNUMBER(SEARCH("入",D7653)))),"Ambiguous",IF(ISNUMBER(SEARCH("平",D7653)),"平","仄")))</x:f>
        <x:v>仄</x:v>
      </x:c>
      <x:c r="L7653" s="7" t="str">
        <x:v>Pingshui main list expansion</x:v>
      </x:c>
    </x:row>
    <x:row r="7654">
      <x:c r="A7654" s="5" t="str">
        <x:v>腒</x:v>
      </x:c>
      <x:c r="B7654" s="6" t="str">
        <x:v>平</x:v>
      </x:c>
      <x:c r="C7654" s="6" t="str">
        <x:f>IF(B7654="","Needs decision","Ready")</x:f>
        <x:v>Ready</x:v>
      </x:c>
      <x:c r="D7654" s="6" t="str">
        <x:v>平</x:v>
      </x:c>
      <x:c r="E7654" s="6" t="str"/>
      <x:c r="F7654" s="6" t="str">
        <x:v>上平聲六魚</x:v>
      </x:c>
      <x:c r="G7654" s="6" t="str">
        <x:v>Pingshui main list, Wikisource-derived DOCX</x:v>
      </x:c>
      <x:c r="H7654" s="6" t="str"/>
      <x:c r="I7654" s="6" t="str">
        <x:v>Pingshui main-list expansion; 詞 entries ignored</x:v>
      </x:c>
      <x:c r="J7654" s="6" t="str">
        <x:f>IF(B7654="","",IF(AND(ISNUMBER(SEARCH("平",B7654)),OR(ISNUMBER(SEARCH("上",B7654)),ISNUMBER(SEARCH("去",B7654)),ISNUMBER(SEARCH("入",B7654)))),"Ambiguous",IF(ISNUMBER(SEARCH("平",B7654)),"平","仄")))</x:f>
        <x:v>平</x:v>
      </x:c>
      <x:c r="K7654" s="6" t="str">
        <x:f>IF(D7654="","",IF(AND(ISNUMBER(SEARCH("平",D7654)),OR(ISNUMBER(SEARCH("上",D7654)),ISNUMBER(SEARCH("去",D7654)),ISNUMBER(SEARCH("入",D7654)))),"Ambiguous",IF(ISNUMBER(SEARCH("平",D7654)),"平","仄")))</x:f>
        <x:v>平</x:v>
      </x:c>
      <x:c r="L7654" s="7" t="str">
        <x:v>Pingshui main list expansion</x:v>
      </x:c>
    </x:row>
    <x:row r="7655">
      <x:c r="A7655" s="5" t="str">
        <x:v>腔</x:v>
      </x:c>
      <x:c r="B7655" s="6" t="str">
        <x:v>平</x:v>
      </x:c>
      <x:c r="C7655" s="6" t="str">
        <x:f>IF(B7655="","Needs decision","Ready")</x:f>
        <x:v>Ready</x:v>
      </x:c>
      <x:c r="D7655" s="6" t="str">
        <x:v>平</x:v>
      </x:c>
      <x:c r="E7655" s="6" t="str"/>
      <x:c r="F7655" s="6" t="str">
        <x:v>上平聲三江</x:v>
      </x:c>
      <x:c r="G7655" s="6" t="str">
        <x:v>Pingshui main list, Wikisource-derived DOCX</x:v>
      </x:c>
      <x:c r="H7655" s="6" t="str"/>
      <x:c r="I7655" s="6" t="str">
        <x:v>Pingshui main-list expansion; 詞 entries ignored</x:v>
      </x:c>
      <x:c r="J7655" s="6" t="str">
        <x:f>IF(B7655="","",IF(AND(ISNUMBER(SEARCH("平",B7655)),OR(ISNUMBER(SEARCH("上",B7655)),ISNUMBER(SEARCH("去",B7655)),ISNUMBER(SEARCH("入",B7655)))),"Ambiguous",IF(ISNUMBER(SEARCH("平",B7655)),"平","仄")))</x:f>
        <x:v>平</x:v>
      </x:c>
      <x:c r="K7655" s="6" t="str">
        <x:f>IF(D7655="","",IF(AND(ISNUMBER(SEARCH("平",D7655)),OR(ISNUMBER(SEARCH("上",D7655)),ISNUMBER(SEARCH("去",D7655)),ISNUMBER(SEARCH("入",D7655)))),"Ambiguous",IF(ISNUMBER(SEARCH("平",D7655)),"平","仄")))</x:f>
        <x:v>平</x:v>
      </x:c>
      <x:c r="L7655" s="7" t="str">
        <x:v>Pingshui main list expansion</x:v>
      </x:c>
    </x:row>
    <x:row r="7656">
      <x:c r="A7656" s="5" t="str">
        <x:v>腧</x:v>
      </x:c>
      <x:c r="B7656" s="6" t="str">
        <x:v>平</x:v>
      </x:c>
      <x:c r="C7656" s="6" t="str">
        <x:f>IF(B7656="","Needs decision","Ready")</x:f>
        <x:v>Ready</x:v>
      </x:c>
      <x:c r="D7656" s="6" t="str">
        <x:v>平</x:v>
      </x:c>
      <x:c r="E7656" s="6" t="str"/>
      <x:c r="F7656" s="6" t="str">
        <x:v>下平聲十一尤</x:v>
      </x:c>
      <x:c r="G7656" s="6" t="str">
        <x:v>Pingshui main list, Wikisource-derived DOCX</x:v>
      </x:c>
      <x:c r="H7656" s="6" t="str"/>
      <x:c r="I7656" s="6" t="str">
        <x:v>Pingshui main-list expansion; 詞 entries ignored</x:v>
      </x:c>
      <x:c r="J7656" s="6" t="str">
        <x:f>IF(B7656="","",IF(AND(ISNUMBER(SEARCH("平",B7656)),OR(ISNUMBER(SEARCH("上",B7656)),ISNUMBER(SEARCH("去",B7656)),ISNUMBER(SEARCH("入",B7656)))),"Ambiguous",IF(ISNUMBER(SEARCH("平",B7656)),"平","仄")))</x:f>
        <x:v>平</x:v>
      </x:c>
      <x:c r="K7656" s="6" t="str">
        <x:f>IF(D7656="","",IF(AND(ISNUMBER(SEARCH("平",D7656)),OR(ISNUMBER(SEARCH("上",D7656)),ISNUMBER(SEARCH("去",D7656)),ISNUMBER(SEARCH("入",D7656)))),"Ambiguous",IF(ISNUMBER(SEARCH("平",D7656)),"平","仄")))</x:f>
        <x:v>平</x:v>
      </x:c>
      <x:c r="L7656" s="7" t="str">
        <x:v>Pingshui main list expansion</x:v>
      </x:c>
    </x:row>
    <x:row r="7657">
      <x:c r="A7657" s="5" t="str">
        <x:v>膀</x:v>
      </x:c>
      <x:c r="B7657" s="6" t="str">
        <x:v>平</x:v>
      </x:c>
      <x:c r="C7657" s="6" t="str">
        <x:f>IF(B7657="","Needs decision","Ready")</x:f>
        <x:v>Ready</x:v>
      </x:c>
      <x:c r="D7657" s="6" t="str">
        <x:v>平</x:v>
      </x:c>
      <x:c r="E7657" s="6" t="str"/>
      <x:c r="F7657" s="6" t="str">
        <x:v>下平聲七陽</x:v>
      </x:c>
      <x:c r="G7657" s="6" t="str">
        <x:v>Pingshui main list, Wikisource-derived DOCX</x:v>
      </x:c>
      <x:c r="H7657" s="6" t="str"/>
      <x:c r="I7657" s="6" t="str">
        <x:v>Pingshui main-list expansion; 詞 entries ignored</x:v>
      </x:c>
      <x:c r="J7657" s="6" t="str">
        <x:f>IF(B7657="","",IF(AND(ISNUMBER(SEARCH("平",B7657)),OR(ISNUMBER(SEARCH("上",B7657)),ISNUMBER(SEARCH("去",B7657)),ISNUMBER(SEARCH("入",B7657)))),"Ambiguous",IF(ISNUMBER(SEARCH("平",B7657)),"平","仄")))</x:f>
        <x:v>平</x:v>
      </x:c>
      <x:c r="K7657" s="6" t="str">
        <x:f>IF(D7657="","",IF(AND(ISNUMBER(SEARCH("平",D7657)),OR(ISNUMBER(SEARCH("上",D7657)),ISNUMBER(SEARCH("去",D7657)),ISNUMBER(SEARCH("入",D7657)))),"Ambiguous",IF(ISNUMBER(SEARCH("平",D7657)),"平","仄")))</x:f>
        <x:v>平</x:v>
      </x:c>
      <x:c r="L7657" s="7" t="str">
        <x:v>Pingshui main list expansion</x:v>
      </x:c>
    </x:row>
    <x:row r="7658">
      <x:c r="A7658" s="5" t="str">
        <x:v>膍</x:v>
      </x:c>
      <x:c r="B7658" s="6" t="str">
        <x:v>平</x:v>
      </x:c>
      <x:c r="C7658" s="6" t="str">
        <x:f>IF(B7658="","Needs decision","Ready")</x:f>
        <x:v>Ready</x:v>
      </x:c>
      <x:c r="D7658" s="6" t="str">
        <x:v>平</x:v>
      </x:c>
      <x:c r="E7658" s="6" t="str"/>
      <x:c r="F7658" s="6" t="str">
        <x:v>上平聲八齊</x:v>
      </x:c>
      <x:c r="G7658" s="6" t="str">
        <x:v>Pingshui main list, Wikisource-derived DOCX</x:v>
      </x:c>
      <x:c r="H7658" s="6" t="str"/>
      <x:c r="I7658" s="6" t="str">
        <x:v>Pingshui main-list expansion; 詞 entries ignored</x:v>
      </x:c>
      <x:c r="J7658" s="6" t="str">
        <x:f>IF(B7658="","",IF(AND(ISNUMBER(SEARCH("平",B7658)),OR(ISNUMBER(SEARCH("上",B7658)),ISNUMBER(SEARCH("去",B7658)),ISNUMBER(SEARCH("入",B7658)))),"Ambiguous",IF(ISNUMBER(SEARCH("平",B7658)),"平","仄")))</x:f>
        <x:v>平</x:v>
      </x:c>
      <x:c r="K7658" s="6" t="str">
        <x:f>IF(D7658="","",IF(AND(ISNUMBER(SEARCH("平",D7658)),OR(ISNUMBER(SEARCH("上",D7658)),ISNUMBER(SEARCH("去",D7658)),ISNUMBER(SEARCH("入",D7658)))),"Ambiguous",IF(ISNUMBER(SEARCH("平",D7658)),"平","仄")))</x:f>
        <x:v>平</x:v>
      </x:c>
      <x:c r="L7658" s="7" t="str">
        <x:v>Pingshui main list expansion</x:v>
      </x:c>
    </x:row>
    <x:row r="7659">
      <x:c r="A7659" s="5" t="str">
        <x:v>膜</x:v>
      </x:c>
      <x:c r="B7659" s="6" t="str"/>
      <x:c r="C7659" s="6" t="str">
        <x:f>IF(B7659="","Needs decision","Ready")</x:f>
        <x:v>Needs decision</x:v>
      </x:c>
      <x:c r="D7659" s="6" t="str">
        <x:v>平/入</x:v>
      </x:c>
      <x:c r="E7659" s="6" t="str"/>
      <x:c r="F7659" s="6" t="str">
        <x:v>上平聲七虞; 入聲十藥</x:v>
      </x:c>
      <x:c r="G7659" s="6" t="str">
        <x:v>Pingshui main list, Wikisource-derived DOCX</x:v>
      </x:c>
      <x:c r="H7659" s="6" t="str"/>
      <x:c r="I7659" s="6" t="str">
        <x:v>Pingshui main-list expansion; 詞 entries ignored</x:v>
      </x:c>
      <x:c r="J7659" s="6" t="str">
        <x:f>IF(B7659="","",IF(AND(ISNUMBER(SEARCH("平",B7659)),OR(ISNUMBER(SEARCH("上",B7659)),ISNUMBER(SEARCH("去",B7659)),ISNUMBER(SEARCH("入",B7659)))),"Ambiguous",IF(ISNUMBER(SEARCH("平",B7659)),"平","仄")))</x:f>
      </x:c>
      <x:c r="K7659" s="6" t="str">
        <x:f>IF(D7659="","",IF(AND(ISNUMBER(SEARCH("平",D7659)),OR(ISNUMBER(SEARCH("上",D7659)),ISNUMBER(SEARCH("去",D7659)),ISNUMBER(SEARCH("入",D7659)))),"Ambiguous",IF(ISNUMBER(SEARCH("平",D7659)),"平","仄")))</x:f>
        <x:v>Ambiguous</x:v>
      </x:c>
      <x:c r="L7659" s="7" t="str">
        <x:v>Pingshui main list expansion</x:v>
      </x:c>
    </x:row>
    <x:row r="7660">
      <x:c r="A7660" s="5" t="str">
        <x:v>膢</x:v>
      </x:c>
      <x:c r="B7660" s="6" t="str">
        <x:v>平</x:v>
      </x:c>
      <x:c r="C7660" s="6" t="str">
        <x:f>IF(B7660="","Needs decision","Ready")</x:f>
        <x:v>Ready</x:v>
      </x:c>
      <x:c r="D7660" s="6" t="str">
        <x:v>平</x:v>
      </x:c>
      <x:c r="E7660" s="6" t="str"/>
      <x:c r="F7660" s="6" t="str">
        <x:v>上平聲七虞; 下平聲十一尤</x:v>
      </x:c>
      <x:c r="G7660" s="6" t="str">
        <x:v>Pingshui main list, Wikisource-derived DOCX</x:v>
      </x:c>
      <x:c r="H7660" s="6" t="str"/>
      <x:c r="I7660" s="6" t="str">
        <x:v>Pingshui main-list expansion; 詞 entries ignored</x:v>
      </x:c>
      <x:c r="J7660" s="6" t="str">
        <x:f>IF(B7660="","",IF(AND(ISNUMBER(SEARCH("平",B7660)),OR(ISNUMBER(SEARCH("上",B7660)),ISNUMBER(SEARCH("去",B7660)),ISNUMBER(SEARCH("入",B7660)))),"Ambiguous",IF(ISNUMBER(SEARCH("平",B7660)),"平","仄")))</x:f>
        <x:v>平</x:v>
      </x:c>
      <x:c r="K7660" s="6" t="str">
        <x:f>IF(D7660="","",IF(AND(ISNUMBER(SEARCH("平",D7660)),OR(ISNUMBER(SEARCH("上",D7660)),ISNUMBER(SEARCH("去",D7660)),ISNUMBER(SEARCH("入",D7660)))),"Ambiguous",IF(ISNUMBER(SEARCH("平",D7660)),"平","仄")))</x:f>
        <x:v>平</x:v>
      </x:c>
      <x:c r="L7660" s="7" t="str">
        <x:v>Pingshui main list expansion</x:v>
      </x:c>
    </x:row>
    <x:row r="7661">
      <x:c r="A7661" s="5" t="str">
        <x:v>膧</x:v>
      </x:c>
      <x:c r="B7661" s="6" t="str">
        <x:v>平</x:v>
      </x:c>
      <x:c r="C7661" s="6" t="str">
        <x:f>IF(B7661="","Needs decision","Ready")</x:f>
        <x:v>Ready</x:v>
      </x:c>
      <x:c r="D7661" s="6" t="str">
        <x:v>平</x:v>
      </x:c>
      <x:c r="E7661" s="6" t="str"/>
      <x:c r="F7661" s="6" t="str">
        <x:v>上平聲一東</x:v>
      </x:c>
      <x:c r="G7661" s="6" t="str">
        <x:v>Pingshui main list, Wikisource-derived DOCX</x:v>
      </x:c>
      <x:c r="H7661" s="6" t="str"/>
      <x:c r="I7661" s="6" t="str">
        <x:v>Pingshui main-list expansion; 詞 entries ignored</x:v>
      </x:c>
      <x:c r="J7661" s="6" t="str">
        <x:f>IF(B7661="","",IF(AND(ISNUMBER(SEARCH("平",B7661)),OR(ISNUMBER(SEARCH("上",B7661)),ISNUMBER(SEARCH("去",B7661)),ISNUMBER(SEARCH("入",B7661)))),"Ambiguous",IF(ISNUMBER(SEARCH("平",B7661)),"平","仄")))</x:f>
        <x:v>平</x:v>
      </x:c>
      <x:c r="K7661" s="6" t="str">
        <x:f>IF(D7661="","",IF(AND(ISNUMBER(SEARCH("平",D7661)),OR(ISNUMBER(SEARCH("上",D7661)),ISNUMBER(SEARCH("去",D7661)),ISNUMBER(SEARCH("入",D7661)))),"Ambiguous",IF(ISNUMBER(SEARCH("平",D7661)),"平","仄")))</x:f>
        <x:v>平</x:v>
      </x:c>
      <x:c r="L7661" s="7" t="str">
        <x:v>Pingshui main list expansion</x:v>
      </x:c>
    </x:row>
    <x:row r="7662">
      <x:c r="A7662" s="5" t="str">
        <x:v>膮</x:v>
      </x:c>
      <x:c r="B7662" s="6" t="str">
        <x:v>平</x:v>
      </x:c>
      <x:c r="C7662" s="6" t="str">
        <x:f>IF(B7662="","Needs decision","Ready")</x:f>
        <x:v>Ready</x:v>
      </x:c>
      <x:c r="D7662" s="6" t="str">
        <x:v>平</x:v>
      </x:c>
      <x:c r="E7662" s="6" t="str"/>
      <x:c r="F7662" s="6" t="str">
        <x:v>下平聲二蕭</x:v>
      </x:c>
      <x:c r="G7662" s="6" t="str">
        <x:v>Pingshui main list, Wikisource-derived DOCX</x:v>
      </x:c>
      <x:c r="H7662" s="6" t="str"/>
      <x:c r="I7662" s="6" t="str">
        <x:v>Pingshui main-list expansion; 詞 entries ignored</x:v>
      </x:c>
      <x:c r="J7662" s="6" t="str">
        <x:f>IF(B7662="","",IF(AND(ISNUMBER(SEARCH("平",B7662)),OR(ISNUMBER(SEARCH("上",B7662)),ISNUMBER(SEARCH("去",B7662)),ISNUMBER(SEARCH("入",B7662)))),"Ambiguous",IF(ISNUMBER(SEARCH("平",B7662)),"平","仄")))</x:f>
        <x:v>平</x:v>
      </x:c>
      <x:c r="K7662" s="6" t="str">
        <x:f>IF(D7662="","",IF(AND(ISNUMBER(SEARCH("平",D7662)),OR(ISNUMBER(SEARCH("上",D7662)),ISNUMBER(SEARCH("去",D7662)),ISNUMBER(SEARCH("入",D7662)))),"Ambiguous",IF(ISNUMBER(SEARCH("平",D7662)),"平","仄")))</x:f>
        <x:v>平</x:v>
      </x:c>
      <x:c r="L7662" s="7" t="str">
        <x:v>Pingshui main list expansion</x:v>
      </x:c>
    </x:row>
    <x:row r="7663">
      <x:c r="A7663" s="5" t="str">
        <x:v>膲</x:v>
      </x:c>
      <x:c r="B7663" s="6" t="str">
        <x:v>平</x:v>
      </x:c>
      <x:c r="C7663" s="6" t="str">
        <x:f>IF(B7663="","Needs decision","Ready")</x:f>
        <x:v>Ready</x:v>
      </x:c>
      <x:c r="D7663" s="6" t="str">
        <x:v>平</x:v>
      </x:c>
      <x:c r="E7663" s="6" t="str"/>
      <x:c r="F7663" s="6" t="str">
        <x:v>下平聲二蕭</x:v>
      </x:c>
      <x:c r="G7663" s="6" t="str">
        <x:v>Pingshui main list, Wikisource-derived DOCX</x:v>
      </x:c>
      <x:c r="H7663" s="6" t="str"/>
      <x:c r="I7663" s="6" t="str">
        <x:v>Pingshui main-list expansion; 詞 entries ignored</x:v>
      </x:c>
      <x:c r="J7663" s="6" t="str">
        <x:f>IF(B7663="","",IF(AND(ISNUMBER(SEARCH("平",B7663)),OR(ISNUMBER(SEARCH("上",B7663)),ISNUMBER(SEARCH("去",B7663)),ISNUMBER(SEARCH("入",B7663)))),"Ambiguous",IF(ISNUMBER(SEARCH("平",B7663)),"平","仄")))</x:f>
        <x:v>平</x:v>
      </x:c>
      <x:c r="K7663" s="6" t="str">
        <x:f>IF(D7663="","",IF(AND(ISNUMBER(SEARCH("平",D7663)),OR(ISNUMBER(SEARCH("上",D7663)),ISNUMBER(SEARCH("去",D7663)),ISNUMBER(SEARCH("入",D7663)))),"Ambiguous",IF(ISNUMBER(SEARCH("平",D7663)),"平","仄")))</x:f>
        <x:v>平</x:v>
      </x:c>
      <x:c r="L7663" s="7" t="str">
        <x:v>Pingshui main list expansion</x:v>
      </x:c>
    </x:row>
    <x:row r="7664">
      <x:c r="A7664" s="5" t="str">
        <x:v>臀</x:v>
      </x:c>
      <x:c r="B7664" s="6" t="str">
        <x:v>平</x:v>
      </x:c>
      <x:c r="C7664" s="6" t="str">
        <x:f>IF(B7664="","Needs decision","Ready")</x:f>
        <x:v>Ready</x:v>
      </x:c>
      <x:c r="D7664" s="6" t="str">
        <x:v>平</x:v>
      </x:c>
      <x:c r="E7664" s="6" t="str"/>
      <x:c r="F7664" s="6" t="str">
        <x:v>上平聲十三元</x:v>
      </x:c>
      <x:c r="G7664" s="6" t="str">
        <x:v>Pingshui main list, Wikisource-derived DOCX</x:v>
      </x:c>
      <x:c r="H7664" s="6" t="str"/>
      <x:c r="I7664" s="6" t="str">
        <x:v>Pingshui main-list expansion; 詞 entries ignored</x:v>
      </x:c>
      <x:c r="J7664" s="6" t="str">
        <x:f>IF(B7664="","",IF(AND(ISNUMBER(SEARCH("平",B7664)),OR(ISNUMBER(SEARCH("上",B7664)),ISNUMBER(SEARCH("去",B7664)),ISNUMBER(SEARCH("入",B7664)))),"Ambiguous",IF(ISNUMBER(SEARCH("平",B7664)),"平","仄")))</x:f>
        <x:v>平</x:v>
      </x:c>
      <x:c r="K7664" s="6" t="str">
        <x:f>IF(D7664="","",IF(AND(ISNUMBER(SEARCH("平",D7664)),OR(ISNUMBER(SEARCH("上",D7664)),ISNUMBER(SEARCH("去",D7664)),ISNUMBER(SEARCH("入",D7664)))),"Ambiguous",IF(ISNUMBER(SEARCH("平",D7664)),"平","仄")))</x:f>
        <x:v>平</x:v>
      </x:c>
      <x:c r="L7664" s="7" t="str">
        <x:v>Pingshui main list expansion</x:v>
      </x:c>
    </x:row>
    <x:row r="7665">
      <x:c r="A7665" s="5" t="str">
        <x:v>臄</x:v>
      </x:c>
      <x:c r="B7665" s="6" t="str">
        <x:v>入</x:v>
      </x:c>
      <x:c r="C7665" s="6" t="str">
        <x:f>IF(B7665="","Needs decision","Ready")</x:f>
        <x:v>Ready</x:v>
      </x:c>
      <x:c r="D7665" s="6" t="str">
        <x:v>入</x:v>
      </x:c>
      <x:c r="E7665" s="6" t="str"/>
      <x:c r="F7665" s="6" t="str">
        <x:v>入聲十藥</x:v>
      </x:c>
      <x:c r="G7665" s="6" t="str">
        <x:v>Pingshui main list, Wikisource-derived DOCX</x:v>
      </x:c>
      <x:c r="H7665" s="6" t="str"/>
      <x:c r="I7665" s="6" t="str">
        <x:v>Pingshui main-list expansion; 詞 entries ignored</x:v>
      </x:c>
      <x:c r="J7665" s="6" t="str">
        <x:f>IF(B7665="","",IF(AND(ISNUMBER(SEARCH("平",B7665)),OR(ISNUMBER(SEARCH("上",B7665)),ISNUMBER(SEARCH("去",B7665)),ISNUMBER(SEARCH("入",B7665)))),"Ambiguous",IF(ISNUMBER(SEARCH("平",B7665)),"平","仄")))</x:f>
        <x:v>仄</x:v>
      </x:c>
      <x:c r="K7665" s="6" t="str">
        <x:f>IF(D7665="","",IF(AND(ISNUMBER(SEARCH("平",D7665)),OR(ISNUMBER(SEARCH("上",D7665)),ISNUMBER(SEARCH("去",D7665)),ISNUMBER(SEARCH("入",D7665)))),"Ambiguous",IF(ISNUMBER(SEARCH("平",D7665)),"平","仄")))</x:f>
        <x:v>仄</x:v>
      </x:c>
      <x:c r="L7665" s="7" t="str">
        <x:v>Pingshui main list expansion</x:v>
      </x:c>
    </x:row>
    <x:row r="7666">
      <x:c r="A7666" s="5" t="str">
        <x:v>臐</x:v>
      </x:c>
      <x:c r="B7666" s="6" t="str">
        <x:v>平</x:v>
      </x:c>
      <x:c r="C7666" s="6" t="str">
        <x:f>IF(B7666="","Needs decision","Ready")</x:f>
        <x:v>Ready</x:v>
      </x:c>
      <x:c r="D7666" s="6" t="str">
        <x:v>平</x:v>
      </x:c>
      <x:c r="E7666" s="6" t="str"/>
      <x:c r="F7666" s="6" t="str">
        <x:v>上平聲十二文</x:v>
      </x:c>
      <x:c r="G7666" s="6" t="str">
        <x:v>Pingshui main list, Wikisource-derived DOCX</x:v>
      </x:c>
      <x:c r="H7666" s="6" t="str"/>
      <x:c r="I7666" s="6" t="str">
        <x:v>Pingshui main-list expansion; 詞 entries ignored</x:v>
      </x:c>
      <x:c r="J7666" s="6" t="str">
        <x:f>IF(B7666="","",IF(AND(ISNUMBER(SEARCH("平",B7666)),OR(ISNUMBER(SEARCH("上",B7666)),ISNUMBER(SEARCH("去",B7666)),ISNUMBER(SEARCH("入",B7666)))),"Ambiguous",IF(ISNUMBER(SEARCH("平",B7666)),"平","仄")))</x:f>
        <x:v>平</x:v>
      </x:c>
      <x:c r="K7666" s="6" t="str">
        <x:f>IF(D7666="","",IF(AND(ISNUMBER(SEARCH("平",D7666)),OR(ISNUMBER(SEARCH("上",D7666)),ISNUMBER(SEARCH("去",D7666)),ISNUMBER(SEARCH("入",D7666)))),"Ambiguous",IF(ISNUMBER(SEARCH("平",D7666)),"平","仄")))</x:f>
        <x:v>平</x:v>
      </x:c>
      <x:c r="L7666" s="7" t="str">
        <x:v>Pingshui main list expansion</x:v>
      </x:c>
    </x:row>
    <x:row r="7667">
      <x:c r="A7667" s="5" t="str">
        <x:v>臑</x:v>
      </x:c>
      <x:c r="B7667" s="6" t="str">
        <x:v>平</x:v>
      </x:c>
      <x:c r="C7667" s="6" t="str">
        <x:f>IF(B7667="","Needs decision","Ready")</x:f>
        <x:v>Ready</x:v>
      </x:c>
      <x:c r="D7667" s="6" t="str">
        <x:v>平</x:v>
      </x:c>
      <x:c r="E7667" s="6" t="str"/>
      <x:c r="F7667" s="6" t="str">
        <x:v>上平聲七虞; 下平聲四豪</x:v>
      </x:c>
      <x:c r="G7667" s="6" t="str">
        <x:v>Pingshui main list, Wikisource-derived DOCX</x:v>
      </x:c>
      <x:c r="H7667" s="6" t="str"/>
      <x:c r="I7667" s="6" t="str">
        <x:v>Pingshui main-list expansion; 詞 entries ignored</x:v>
      </x:c>
      <x:c r="J7667" s="6" t="str">
        <x:f>IF(B7667="","",IF(AND(ISNUMBER(SEARCH("平",B7667)),OR(ISNUMBER(SEARCH("上",B7667)),ISNUMBER(SEARCH("去",B7667)),ISNUMBER(SEARCH("入",B7667)))),"Ambiguous",IF(ISNUMBER(SEARCH("平",B7667)),"平","仄")))</x:f>
        <x:v>平</x:v>
      </x:c>
      <x:c r="K7667" s="6" t="str">
        <x:f>IF(D7667="","",IF(AND(ISNUMBER(SEARCH("平",D7667)),OR(ISNUMBER(SEARCH("上",D7667)),ISNUMBER(SEARCH("去",D7667)),ISNUMBER(SEARCH("入",D7667)))),"Ambiguous",IF(ISNUMBER(SEARCH("平",D7667)),"平","仄")))</x:f>
        <x:v>平</x:v>
      </x:c>
      <x:c r="L7667" s="7" t="str">
        <x:v>Pingshui main list expansion</x:v>
      </x:c>
    </x:row>
    <x:row r="7668">
      <x:c r="A7668" s="5" t="str">
        <x:v>臕</x:v>
      </x:c>
      <x:c r="B7668" s="6" t="str">
        <x:v>平</x:v>
      </x:c>
      <x:c r="C7668" s="6" t="str">
        <x:f>IF(B7668="","Needs decision","Ready")</x:f>
        <x:v>Ready</x:v>
      </x:c>
      <x:c r="D7668" s="6" t="str">
        <x:v>平</x:v>
      </x:c>
      <x:c r="E7668" s="6" t="str"/>
      <x:c r="F7668" s="6" t="str">
        <x:v>下平聲二蕭</x:v>
      </x:c>
      <x:c r="G7668" s="6" t="str">
        <x:v>Pingshui main list, Wikisource-derived DOCX</x:v>
      </x:c>
      <x:c r="H7668" s="6" t="str"/>
      <x:c r="I7668" s="6" t="str">
        <x:v>Pingshui main-list expansion; 詞 entries ignored</x:v>
      </x:c>
      <x:c r="J7668" s="6" t="str">
        <x:f>IF(B7668="","",IF(AND(ISNUMBER(SEARCH("平",B7668)),OR(ISNUMBER(SEARCH("上",B7668)),ISNUMBER(SEARCH("去",B7668)),ISNUMBER(SEARCH("入",B7668)))),"Ambiguous",IF(ISNUMBER(SEARCH("平",B7668)),"平","仄")))</x:f>
        <x:v>平</x:v>
      </x:c>
      <x:c r="K7668" s="6" t="str">
        <x:f>IF(D7668="","",IF(AND(ISNUMBER(SEARCH("平",D7668)),OR(ISNUMBER(SEARCH("上",D7668)),ISNUMBER(SEARCH("去",D7668)),ISNUMBER(SEARCH("入",D7668)))),"Ambiguous",IF(ISNUMBER(SEARCH("平",D7668)),"平","仄")))</x:f>
        <x:v>平</x:v>
      </x:c>
      <x:c r="L7668" s="7" t="str">
        <x:v>Pingshui main list expansion</x:v>
      </x:c>
    </x:row>
    <x:row r="7669">
      <x:c r="A7669" s="5" t="str">
        <x:v>臛</x:v>
      </x:c>
      <x:c r="B7669" s="6" t="str">
        <x:v>入</x:v>
      </x:c>
      <x:c r="C7669" s="6" t="str">
        <x:f>IF(B7669="","Needs decision","Ready")</x:f>
        <x:v>Ready</x:v>
      </x:c>
      <x:c r="D7669" s="6" t="str">
        <x:v>入</x:v>
      </x:c>
      <x:c r="E7669" s="6" t="str"/>
      <x:c r="F7669" s="6" t="str">
        <x:v>入聲十藥</x:v>
      </x:c>
      <x:c r="G7669" s="6" t="str">
        <x:v>Pingshui main list, Wikisource-derived DOCX</x:v>
      </x:c>
      <x:c r="H7669" s="6" t="str"/>
      <x:c r="I7669" s="6" t="str">
        <x:v>Pingshui main-list expansion; 詞 entries ignored</x:v>
      </x:c>
      <x:c r="J7669" s="6" t="str">
        <x:f>IF(B7669="","",IF(AND(ISNUMBER(SEARCH("平",B7669)),OR(ISNUMBER(SEARCH("上",B7669)),ISNUMBER(SEARCH("去",B7669)),ISNUMBER(SEARCH("入",B7669)))),"Ambiguous",IF(ISNUMBER(SEARCH("平",B7669)),"平","仄")))</x:f>
        <x:v>仄</x:v>
      </x:c>
      <x:c r="K7669" s="6" t="str">
        <x:f>IF(D7669="","",IF(AND(ISNUMBER(SEARCH("平",D7669)),OR(ISNUMBER(SEARCH("上",D7669)),ISNUMBER(SEARCH("去",D7669)),ISNUMBER(SEARCH("入",D7669)))),"Ambiguous",IF(ISNUMBER(SEARCH("平",D7669)),"平","仄")))</x:f>
        <x:v>仄</x:v>
      </x:c>
      <x:c r="L7669" s="7" t="str">
        <x:v>Pingshui main list expansion</x:v>
      </x:c>
    </x:row>
    <x:row r="7670">
      <x:c r="A7670" s="5" t="str">
        <x:v>臟</x:v>
      </x:c>
      <x:c r="B7670" s="6" t="str">
        <x:v>去</x:v>
      </x:c>
      <x:c r="C7670" s="6" t="str">
        <x:f>IF(B7670="","Needs decision","Ready")</x:f>
        <x:v>Ready</x:v>
      </x:c>
      <x:c r="D7670" s="6" t="str">
        <x:v>去</x:v>
      </x:c>
      <x:c r="E7670" s="6" t="str"/>
      <x:c r="F7670" s="6" t="str">
        <x:v>去聲二十三漾</x:v>
      </x:c>
      <x:c r="G7670" s="6" t="str">
        <x:v>Pingshui main list, Wikisource-derived DOCX</x:v>
      </x:c>
      <x:c r="H7670" s="6" t="str"/>
      <x:c r="I7670" s="6" t="str">
        <x:v>Pingshui main-list expansion; 詞 entries ignored</x:v>
      </x:c>
      <x:c r="J7670" s="6" t="str">
        <x:f>IF(B7670="","",IF(AND(ISNUMBER(SEARCH("平",B7670)),OR(ISNUMBER(SEARCH("上",B7670)),ISNUMBER(SEARCH("去",B7670)),ISNUMBER(SEARCH("入",B7670)))),"Ambiguous",IF(ISNUMBER(SEARCH("平",B7670)),"平","仄")))</x:f>
        <x:v>仄</x:v>
      </x:c>
      <x:c r="K7670" s="6" t="str">
        <x:f>IF(D7670="","",IF(AND(ISNUMBER(SEARCH("平",D7670)),OR(ISNUMBER(SEARCH("上",D7670)),ISNUMBER(SEARCH("去",D7670)),ISNUMBER(SEARCH("入",D7670)))),"Ambiguous",IF(ISNUMBER(SEARCH("平",D7670)),"平","仄")))</x:f>
        <x:v>仄</x:v>
      </x:c>
      <x:c r="L7670" s="7" t="str">
        <x:v>Pingshui main list expansion</x:v>
      </x:c>
    </x:row>
    <x:row r="7671">
      <x:c r="A7671" s="5" t="str">
        <x:v>臬</x:v>
      </x:c>
      <x:c r="B7671" s="6" t="str">
        <x:v>入</x:v>
      </x:c>
      <x:c r="C7671" s="6" t="str">
        <x:f>IF(B7671="","Needs decision","Ready")</x:f>
        <x:v>Ready</x:v>
      </x:c>
      <x:c r="D7671" s="6" t="str">
        <x:v>入</x:v>
      </x:c>
      <x:c r="E7671" s="6" t="str"/>
      <x:c r="F7671" s="6" t="str">
        <x:v>入聲九屑</x:v>
      </x:c>
      <x:c r="G7671" s="6" t="str">
        <x:v>Pingshui main list, Wikisource-derived DOCX</x:v>
      </x:c>
      <x:c r="H7671" s="6" t="str"/>
      <x:c r="I7671" s="6" t="str">
        <x:v>Pingshui main-list expansion; 詞 entries ignored</x:v>
      </x:c>
      <x:c r="J7671" s="6" t="str">
        <x:f>IF(B7671="","",IF(AND(ISNUMBER(SEARCH("平",B7671)),OR(ISNUMBER(SEARCH("上",B7671)),ISNUMBER(SEARCH("去",B7671)),ISNUMBER(SEARCH("入",B7671)))),"Ambiguous",IF(ISNUMBER(SEARCH("平",B7671)),"平","仄")))</x:f>
        <x:v>仄</x:v>
      </x:c>
      <x:c r="K7671" s="6" t="str">
        <x:f>IF(D7671="","",IF(AND(ISNUMBER(SEARCH("平",D7671)),OR(ISNUMBER(SEARCH("上",D7671)),ISNUMBER(SEARCH("去",D7671)),ISNUMBER(SEARCH("入",D7671)))),"Ambiguous",IF(ISNUMBER(SEARCH("平",D7671)),"平","仄")))</x:f>
        <x:v>仄</x:v>
      </x:c>
      <x:c r="L7671" s="7" t="str">
        <x:v>Pingshui main list expansion</x:v>
      </x:c>
    </x:row>
    <x:row r="7672">
      <x:c r="A7672" s="5" t="str">
        <x:v>臮</x:v>
      </x:c>
      <x:c r="B7672" s="6" t="str">
        <x:v>去</x:v>
      </x:c>
      <x:c r="C7672" s="6" t="str">
        <x:f>IF(B7672="","Needs decision","Ready")</x:f>
        <x:v>Ready</x:v>
      </x:c>
      <x:c r="D7672" s="6" t="str">
        <x:v>去</x:v>
      </x:c>
      <x:c r="E7672" s="6" t="str"/>
      <x:c r="F7672" s="6" t="str">
        <x:v>去聲四寘</x:v>
      </x:c>
      <x:c r="G7672" s="6" t="str">
        <x:v>Pingshui main list, Wikisource-derived DOCX</x:v>
      </x:c>
      <x:c r="H7672" s="6" t="str"/>
      <x:c r="I7672" s="6" t="str">
        <x:v>Pingshui main-list expansion; 詞 entries ignored</x:v>
      </x:c>
      <x:c r="J7672" s="6" t="str">
        <x:f>IF(B7672="","",IF(AND(ISNUMBER(SEARCH("平",B7672)),OR(ISNUMBER(SEARCH("上",B7672)),ISNUMBER(SEARCH("去",B7672)),ISNUMBER(SEARCH("入",B7672)))),"Ambiguous",IF(ISNUMBER(SEARCH("平",B7672)),"平","仄")))</x:f>
        <x:v>仄</x:v>
      </x:c>
      <x:c r="K7672" s="6" t="str">
        <x:f>IF(D7672="","",IF(AND(ISNUMBER(SEARCH("平",D7672)),OR(ISNUMBER(SEARCH("上",D7672)),ISNUMBER(SEARCH("去",D7672)),ISNUMBER(SEARCH("入",D7672)))),"Ambiguous",IF(ISNUMBER(SEARCH("平",D7672)),"平","仄")))</x:f>
        <x:v>仄</x:v>
      </x:c>
      <x:c r="L7672" s="7" t="str">
        <x:v>Pingshui main list expansion</x:v>
      </x:c>
    </x:row>
    <x:row r="7673">
      <x:c r="A7673" s="5" t="str">
        <x:v>臲</x:v>
      </x:c>
      <x:c r="B7673" s="6" t="str">
        <x:v>入</x:v>
      </x:c>
      <x:c r="C7673" s="6" t="str">
        <x:f>IF(B7673="","Needs decision","Ready")</x:f>
        <x:v>Ready</x:v>
      </x:c>
      <x:c r="D7673" s="6" t="str">
        <x:v>入</x:v>
      </x:c>
      <x:c r="E7673" s="6" t="str"/>
      <x:c r="F7673" s="6" t="str">
        <x:v>入聲九屑</x:v>
      </x:c>
      <x:c r="G7673" s="6" t="str">
        <x:v>Pingshui main list, Wikisource-derived DOCX</x:v>
      </x:c>
      <x:c r="H7673" s="6" t="str"/>
      <x:c r="I7673" s="6" t="str">
        <x:v>Pingshui main-list expansion; 詞 entries ignored</x:v>
      </x:c>
      <x:c r="J7673" s="6" t="str">
        <x:f>IF(B7673="","",IF(AND(ISNUMBER(SEARCH("平",B7673)),OR(ISNUMBER(SEARCH("上",B7673)),ISNUMBER(SEARCH("去",B7673)),ISNUMBER(SEARCH("入",B7673)))),"Ambiguous",IF(ISNUMBER(SEARCH("平",B7673)),"平","仄")))</x:f>
        <x:v>仄</x:v>
      </x:c>
      <x:c r="K7673" s="6" t="str">
        <x:f>IF(D7673="","",IF(AND(ISNUMBER(SEARCH("平",D7673)),OR(ISNUMBER(SEARCH("上",D7673)),ISNUMBER(SEARCH("去",D7673)),ISNUMBER(SEARCH("入",D7673)))),"Ambiguous",IF(ISNUMBER(SEARCH("平",D7673)),"平","仄")))</x:f>
        <x:v>仄</x:v>
      </x:c>
      <x:c r="L7673" s="7" t="str">
        <x:v>Pingshui main list expansion</x:v>
      </x:c>
    </x:row>
    <x:row r="7674">
      <x:c r="A7674" s="5" t="str">
        <x:v>舑</x:v>
      </x:c>
      <x:c r="B7674" s="6" t="str">
        <x:v>平</x:v>
      </x:c>
      <x:c r="C7674" s="6" t="str">
        <x:f>IF(B7674="","Needs decision","Ready")</x:f>
        <x:v>Ready</x:v>
      </x:c>
      <x:c r="D7674" s="6" t="str">
        <x:v>平</x:v>
      </x:c>
      <x:c r="E7674" s="6" t="str"/>
      <x:c r="F7674" s="6" t="str">
        <x:v>下平聲十三覃</x:v>
      </x:c>
      <x:c r="G7674" s="6" t="str">
        <x:v>Pingshui main list, Wikisource-derived DOCX</x:v>
      </x:c>
      <x:c r="H7674" s="6" t="str"/>
      <x:c r="I7674" s="6" t="str">
        <x:v>Pingshui main-list expansion; 詞 entries ignored</x:v>
      </x:c>
      <x:c r="J7674" s="6" t="str">
        <x:f>IF(B7674="","",IF(AND(ISNUMBER(SEARCH("平",B7674)),OR(ISNUMBER(SEARCH("上",B7674)),ISNUMBER(SEARCH("去",B7674)),ISNUMBER(SEARCH("入",B7674)))),"Ambiguous",IF(ISNUMBER(SEARCH("平",B7674)),"平","仄")))</x:f>
        <x:v>平</x:v>
      </x:c>
      <x:c r="K7674" s="6" t="str">
        <x:f>IF(D7674="","",IF(AND(ISNUMBER(SEARCH("平",D7674)),OR(ISNUMBER(SEARCH("上",D7674)),ISNUMBER(SEARCH("去",D7674)),ISNUMBER(SEARCH("入",D7674)))),"Ambiguous",IF(ISNUMBER(SEARCH("平",D7674)),"平","仄")))</x:f>
        <x:v>平</x:v>
      </x:c>
      <x:c r="L7674" s="7" t="str">
        <x:v>Pingshui main list expansion</x:v>
      </x:c>
    </x:row>
    <x:row r="7675">
      <x:c r="A7675" s="5" t="str">
        <x:v>舥</x:v>
      </x:c>
      <x:c r="B7675" s="6" t="str">
        <x:v>平</x:v>
      </x:c>
      <x:c r="C7675" s="6" t="str">
        <x:f>IF(B7675="","Needs decision","Ready")</x:f>
        <x:v>Ready</x:v>
      </x:c>
      <x:c r="D7675" s="6" t="str">
        <x:v>平</x:v>
      </x:c>
      <x:c r="E7675" s="6" t="str"/>
      <x:c r="F7675" s="6" t="str">
        <x:v>下平聲六麻</x:v>
      </x:c>
      <x:c r="G7675" s="6" t="str">
        <x:v>Pingshui main list, Wikisource-derived DOCX</x:v>
      </x:c>
      <x:c r="H7675" s="6" t="str"/>
      <x:c r="I7675" s="6" t="str">
        <x:v>Pingshui main-list expansion; 詞 entries ignored</x:v>
      </x:c>
      <x:c r="J7675" s="6" t="str">
        <x:f>IF(B7675="","",IF(AND(ISNUMBER(SEARCH("平",B7675)),OR(ISNUMBER(SEARCH("上",B7675)),ISNUMBER(SEARCH("去",B7675)),ISNUMBER(SEARCH("入",B7675)))),"Ambiguous",IF(ISNUMBER(SEARCH("平",B7675)),"平","仄")))</x:f>
        <x:v>平</x:v>
      </x:c>
      <x:c r="K7675" s="6" t="str">
        <x:f>IF(D7675="","",IF(AND(ISNUMBER(SEARCH("平",D7675)),OR(ISNUMBER(SEARCH("上",D7675)),ISNUMBER(SEARCH("去",D7675)),ISNUMBER(SEARCH("入",D7675)))),"Ambiguous",IF(ISNUMBER(SEARCH("平",D7675)),"平","仄")))</x:f>
        <x:v>平</x:v>
      </x:c>
      <x:c r="L7675" s="7" t="str">
        <x:v>Pingshui main list expansion</x:v>
      </x:c>
    </x:row>
    <x:row r="7676">
      <x:c r="A7676" s="5" t="str">
        <x:v>艋</x:v>
      </x:c>
      <x:c r="B7676" s="6" t="str">
        <x:v>上</x:v>
      </x:c>
      <x:c r="C7676" s="6" t="str">
        <x:f>IF(B7676="","Needs decision","Ready")</x:f>
        <x:v>Ready</x:v>
      </x:c>
      <x:c r="D7676" s="6" t="str">
        <x:v>上</x:v>
      </x:c>
      <x:c r="E7676" s="6" t="str"/>
      <x:c r="F7676" s="6" t="str">
        <x:v>上聲二十三梗</x:v>
      </x:c>
      <x:c r="G7676" s="6" t="str">
        <x:v>Pingshui main list, Wikisource-derived DOCX</x:v>
      </x:c>
      <x:c r="H7676" s="6" t="str"/>
      <x:c r="I7676" s="6" t="str">
        <x:v>Pingshui main-list expansion; 詞 entries ignored</x:v>
      </x:c>
      <x:c r="J7676" s="6" t="str">
        <x:f>IF(B7676="","",IF(AND(ISNUMBER(SEARCH("平",B7676)),OR(ISNUMBER(SEARCH("上",B7676)),ISNUMBER(SEARCH("去",B7676)),ISNUMBER(SEARCH("入",B7676)))),"Ambiguous",IF(ISNUMBER(SEARCH("平",B7676)),"平","仄")))</x:f>
        <x:v>仄</x:v>
      </x:c>
      <x:c r="K7676" s="6" t="str">
        <x:f>IF(D7676="","",IF(AND(ISNUMBER(SEARCH("平",D7676)),OR(ISNUMBER(SEARCH("上",D7676)),ISNUMBER(SEARCH("去",D7676)),ISNUMBER(SEARCH("入",D7676)))),"Ambiguous",IF(ISNUMBER(SEARCH("平",D7676)),"平","仄")))</x:f>
        <x:v>仄</x:v>
      </x:c>
      <x:c r="L7676" s="7" t="str">
        <x:v>Pingshui main list expansion</x:v>
      </x:c>
    </x:row>
    <x:row r="7677">
      <x:c r="A7677" s="5" t="str">
        <x:v>艐</x:v>
      </x:c>
      <x:c r="B7677" s="6" t="str">
        <x:v>平</x:v>
      </x:c>
      <x:c r="C7677" s="6" t="str">
        <x:f>IF(B7677="","Needs decision","Ready")</x:f>
        <x:v>Ready</x:v>
      </x:c>
      <x:c r="D7677" s="6" t="str">
        <x:v>平</x:v>
      </x:c>
      <x:c r="E7677" s="6" t="str"/>
      <x:c r="F7677" s="6" t="str">
        <x:v>上平聲一東</x:v>
      </x:c>
      <x:c r="G7677" s="6" t="str">
        <x:v>Pingshui main list, Wikisource-derived DOCX</x:v>
      </x:c>
      <x:c r="H7677" s="6" t="str"/>
      <x:c r="I7677" s="6" t="str">
        <x:v>Pingshui main-list expansion; 詞 entries ignored</x:v>
      </x:c>
      <x:c r="J7677" s="6" t="str">
        <x:f>IF(B7677="","",IF(AND(ISNUMBER(SEARCH("平",B7677)),OR(ISNUMBER(SEARCH("上",B7677)),ISNUMBER(SEARCH("去",B7677)),ISNUMBER(SEARCH("入",B7677)))),"Ambiguous",IF(ISNUMBER(SEARCH("平",B7677)),"平","仄")))</x:f>
        <x:v>平</x:v>
      </x:c>
      <x:c r="K7677" s="6" t="str">
        <x:f>IF(D7677="","",IF(AND(ISNUMBER(SEARCH("平",D7677)),OR(ISNUMBER(SEARCH("上",D7677)),ISNUMBER(SEARCH("去",D7677)),ISNUMBER(SEARCH("入",D7677)))),"Ambiguous",IF(ISNUMBER(SEARCH("平",D7677)),"平","仄")))</x:f>
        <x:v>平</x:v>
      </x:c>
      <x:c r="L7677" s="7" t="str">
        <x:v>Pingshui main list expansion</x:v>
      </x:c>
    </x:row>
    <x:row r="7678">
      <x:c r="A7678" s="5" t="str">
        <x:v>艓</x:v>
      </x:c>
      <x:c r="B7678" s="6" t="str">
        <x:v>入</x:v>
      </x:c>
      <x:c r="C7678" s="6" t="str">
        <x:f>IF(B7678="","Needs decision","Ready")</x:f>
        <x:v>Ready</x:v>
      </x:c>
      <x:c r="D7678" s="6" t="str">
        <x:v>入</x:v>
      </x:c>
      <x:c r="E7678" s="6" t="str"/>
      <x:c r="F7678" s="6" t="str">
        <x:v>入聲十六葉</x:v>
      </x:c>
      <x:c r="G7678" s="6" t="str">
        <x:v>Pingshui main list, Wikisource-derived DOCX</x:v>
      </x:c>
      <x:c r="H7678" s="6" t="str"/>
      <x:c r="I7678" s="6" t="str">
        <x:v>Pingshui main-list expansion; 詞 entries ignored</x:v>
      </x:c>
      <x:c r="J7678" s="6" t="str">
        <x:f>IF(B7678="","",IF(AND(ISNUMBER(SEARCH("平",B7678)),OR(ISNUMBER(SEARCH("上",B7678)),ISNUMBER(SEARCH("去",B7678)),ISNUMBER(SEARCH("入",B7678)))),"Ambiguous",IF(ISNUMBER(SEARCH("平",B7678)),"平","仄")))</x:f>
        <x:v>仄</x:v>
      </x:c>
      <x:c r="K7678" s="6" t="str">
        <x:f>IF(D7678="","",IF(AND(ISNUMBER(SEARCH("平",D7678)),OR(ISNUMBER(SEARCH("上",D7678)),ISNUMBER(SEARCH("去",D7678)),ISNUMBER(SEARCH("入",D7678)))),"Ambiguous",IF(ISNUMBER(SEARCH("平",D7678)),"平","仄")))</x:f>
        <x:v>仄</x:v>
      </x:c>
      <x:c r="L7678" s="7" t="str">
        <x:v>Pingshui main list expansion</x:v>
      </x:c>
    </x:row>
    <x:row r="7679">
      <x:c r="A7679" s="5" t="str">
        <x:v>艖</x:v>
      </x:c>
      <x:c r="B7679" s="6" t="str">
        <x:v>平</x:v>
      </x:c>
      <x:c r="C7679" s="6" t="str">
        <x:f>IF(B7679="","Needs decision","Ready")</x:f>
        <x:v>Ready</x:v>
      </x:c>
      <x:c r="D7679" s="6" t="str">
        <x:v>平</x:v>
      </x:c>
      <x:c r="E7679" s="6" t="str"/>
      <x:c r="F7679" s="6" t="str">
        <x:v>下平聲六麻</x:v>
      </x:c>
      <x:c r="G7679" s="6" t="str">
        <x:v>Pingshui main list, Wikisource-derived DOCX</x:v>
      </x:c>
      <x:c r="H7679" s="6" t="str"/>
      <x:c r="I7679" s="6" t="str">
        <x:v>Pingshui main-list expansion; 詞 entries ignored</x:v>
      </x:c>
      <x:c r="J7679" s="6" t="str">
        <x:f>IF(B7679="","",IF(AND(ISNUMBER(SEARCH("平",B7679)),OR(ISNUMBER(SEARCH("上",B7679)),ISNUMBER(SEARCH("去",B7679)),ISNUMBER(SEARCH("入",B7679)))),"Ambiguous",IF(ISNUMBER(SEARCH("平",B7679)),"平","仄")))</x:f>
        <x:v>平</x:v>
      </x:c>
      <x:c r="K7679" s="6" t="str">
        <x:f>IF(D7679="","",IF(AND(ISNUMBER(SEARCH("平",D7679)),OR(ISNUMBER(SEARCH("上",D7679)),ISNUMBER(SEARCH("去",D7679)),ISNUMBER(SEARCH("入",D7679)))),"Ambiguous",IF(ISNUMBER(SEARCH("平",D7679)),"平","仄")))</x:f>
        <x:v>平</x:v>
      </x:c>
      <x:c r="L7679" s="7" t="str">
        <x:v>Pingshui main list expansion</x:v>
      </x:c>
    </x:row>
    <x:row r="7680">
      <x:c r="A7680" s="5" t="str">
        <x:v>艗</x:v>
      </x:c>
      <x:c r="B7680" s="6" t="str">
        <x:v>入</x:v>
      </x:c>
      <x:c r="C7680" s="6" t="str">
        <x:f>IF(B7680="","Needs decision","Ready")</x:f>
        <x:v>Ready</x:v>
      </x:c>
      <x:c r="D7680" s="6" t="str">
        <x:v>入</x:v>
      </x:c>
      <x:c r="E7680" s="6" t="str"/>
      <x:c r="F7680" s="6" t="str">
        <x:v>入聲十二錫</x:v>
      </x:c>
      <x:c r="G7680" s="6" t="str">
        <x:v>Pingshui main list, Wikisource-derived DOCX</x:v>
      </x:c>
      <x:c r="H7680" s="6" t="str"/>
      <x:c r="I7680" s="6" t="str">
        <x:v>Pingshui main-list expansion; 詞 entries ignored</x:v>
      </x:c>
      <x:c r="J7680" s="6" t="str">
        <x:f>IF(B7680="","",IF(AND(ISNUMBER(SEARCH("平",B7680)),OR(ISNUMBER(SEARCH("上",B7680)),ISNUMBER(SEARCH("去",B7680)),ISNUMBER(SEARCH("入",B7680)))),"Ambiguous",IF(ISNUMBER(SEARCH("平",B7680)),"平","仄")))</x:f>
        <x:v>仄</x:v>
      </x:c>
      <x:c r="K7680" s="6" t="str">
        <x:f>IF(D7680="","",IF(AND(ISNUMBER(SEARCH("平",D7680)),OR(ISNUMBER(SEARCH("上",D7680)),ISNUMBER(SEARCH("去",D7680)),ISNUMBER(SEARCH("入",D7680)))),"Ambiguous",IF(ISNUMBER(SEARCH("平",D7680)),"平","仄")))</x:f>
        <x:v>仄</x:v>
      </x:c>
      <x:c r="L7680" s="7" t="str">
        <x:v>Pingshui main list expansion</x:v>
      </x:c>
    </x:row>
    <x:row r="7681">
      <x:c r="A7681" s="5" t="str">
        <x:v>艚</x:v>
      </x:c>
      <x:c r="B7681" s="6" t="str">
        <x:v>平</x:v>
      </x:c>
      <x:c r="C7681" s="6" t="str">
        <x:f>IF(B7681="","Needs decision","Ready")</x:f>
        <x:v>Ready</x:v>
      </x:c>
      <x:c r="D7681" s="6" t="str">
        <x:v>平</x:v>
      </x:c>
      <x:c r="E7681" s="6" t="str"/>
      <x:c r="F7681" s="6" t="str">
        <x:v>下平聲四豪</x:v>
      </x:c>
      <x:c r="G7681" s="6" t="str">
        <x:v>Pingshui main list, Wikisource-derived DOCX</x:v>
      </x:c>
      <x:c r="H7681" s="6" t="str"/>
      <x:c r="I7681" s="6" t="str">
        <x:v>Pingshui main-list expansion; 詞 entries ignored</x:v>
      </x:c>
      <x:c r="J7681" s="6" t="str">
        <x:f>IF(B7681="","",IF(AND(ISNUMBER(SEARCH("平",B7681)),OR(ISNUMBER(SEARCH("上",B7681)),ISNUMBER(SEARCH("去",B7681)),ISNUMBER(SEARCH("入",B7681)))),"Ambiguous",IF(ISNUMBER(SEARCH("平",B7681)),"平","仄")))</x:f>
        <x:v>平</x:v>
      </x:c>
      <x:c r="K7681" s="6" t="str">
        <x:f>IF(D7681="","",IF(AND(ISNUMBER(SEARCH("平",D7681)),OR(ISNUMBER(SEARCH("上",D7681)),ISNUMBER(SEARCH("去",D7681)),ISNUMBER(SEARCH("入",D7681)))),"Ambiguous",IF(ISNUMBER(SEARCH("平",D7681)),"平","仄")))</x:f>
        <x:v>平</x:v>
      </x:c>
      <x:c r="L7681" s="7" t="str">
        <x:v>Pingshui main list expansion</x:v>
      </x:c>
    </x:row>
    <x:row r="7682">
      <x:c r="A7682" s="5" t="str">
        <x:v>艛</x:v>
      </x:c>
      <x:c r="B7682" s="6" t="str">
        <x:v>平</x:v>
      </x:c>
      <x:c r="C7682" s="6" t="str">
        <x:f>IF(B7682="","Needs decision","Ready")</x:f>
        <x:v>Ready</x:v>
      </x:c>
      <x:c r="D7682" s="6" t="str">
        <x:v>平</x:v>
      </x:c>
      <x:c r="E7682" s="6" t="str"/>
      <x:c r="F7682" s="6" t="str">
        <x:v>下平聲十一尤</x:v>
      </x:c>
      <x:c r="G7682" s="6" t="str">
        <x:v>Pingshui main list, Wikisource-derived DOCX</x:v>
      </x:c>
      <x:c r="H7682" s="6" t="str"/>
      <x:c r="I7682" s="6" t="str">
        <x:v>Pingshui main-list expansion; 詞 entries ignored</x:v>
      </x:c>
      <x:c r="J7682" s="6" t="str">
        <x:f>IF(B7682="","",IF(AND(ISNUMBER(SEARCH("平",B7682)),OR(ISNUMBER(SEARCH("上",B7682)),ISNUMBER(SEARCH("去",B7682)),ISNUMBER(SEARCH("入",B7682)))),"Ambiguous",IF(ISNUMBER(SEARCH("平",B7682)),"平","仄")))</x:f>
        <x:v>平</x:v>
      </x:c>
      <x:c r="K7682" s="6" t="str">
        <x:f>IF(D7682="","",IF(AND(ISNUMBER(SEARCH("平",D7682)),OR(ISNUMBER(SEARCH("上",D7682)),ISNUMBER(SEARCH("去",D7682)),ISNUMBER(SEARCH("入",D7682)))),"Ambiguous",IF(ISNUMBER(SEARCH("平",D7682)),"平","仄")))</x:f>
        <x:v>平</x:v>
      </x:c>
      <x:c r="L7682" s="7" t="str">
        <x:v>Pingshui main list expansion</x:v>
      </x:c>
    </x:row>
    <x:row r="7683">
      <x:c r="A7683" s="5" t="str">
        <x:v>艞</x:v>
      </x:c>
      <x:c r="B7683" s="6" t="str">
        <x:v>去</x:v>
      </x:c>
      <x:c r="C7683" s="6" t="str">
        <x:f>IF(B7683="","Needs decision","Ready")</x:f>
        <x:v>Ready</x:v>
      </x:c>
      <x:c r="D7683" s="6" t="str">
        <x:v>去</x:v>
      </x:c>
      <x:c r="E7683" s="6" t="str"/>
      <x:c r="F7683" s="6" t="str">
        <x:v>去聲十八嘯</x:v>
      </x:c>
      <x:c r="G7683" s="6" t="str">
        <x:v>Pingshui main list, Wikisource-derived DOCX</x:v>
      </x:c>
      <x:c r="H7683" s="6" t="str"/>
      <x:c r="I7683" s="6" t="str">
        <x:v>Pingshui main-list expansion; 詞 entries ignored</x:v>
      </x:c>
      <x:c r="J7683" s="6" t="str">
        <x:f>IF(B7683="","",IF(AND(ISNUMBER(SEARCH("平",B7683)),OR(ISNUMBER(SEARCH("上",B7683)),ISNUMBER(SEARCH("去",B7683)),ISNUMBER(SEARCH("入",B7683)))),"Ambiguous",IF(ISNUMBER(SEARCH("平",B7683)),"平","仄")))</x:f>
        <x:v>仄</x:v>
      </x:c>
      <x:c r="K7683" s="6" t="str">
        <x:f>IF(D7683="","",IF(AND(ISNUMBER(SEARCH("平",D7683)),OR(ISNUMBER(SEARCH("上",D7683)),ISNUMBER(SEARCH("去",D7683)),ISNUMBER(SEARCH("入",D7683)))),"Ambiguous",IF(ISNUMBER(SEARCH("平",D7683)),"平","仄")))</x:f>
        <x:v>仄</x:v>
      </x:c>
      <x:c r="L7683" s="7" t="str">
        <x:v>Pingshui main list expansion</x:v>
      </x:c>
    </x:row>
    <x:row r="7684">
      <x:c r="A7684" s="5" t="str">
        <x:v>艟</x:v>
      </x:c>
      <x:c r="B7684" s="6" t="str"/>
      <x:c r="C7684" s="6" t="str">
        <x:f>IF(B7684="","Needs decision","Ready")</x:f>
        <x:v>Needs decision</x:v>
      </x:c>
      <x:c r="D7684" s="6" t="str">
        <x:v>平/去</x:v>
      </x:c>
      <x:c r="E7684" s="6" t="str"/>
      <x:c r="F7684" s="6" t="str">
        <x:v>上平聲一東; 去聲三絳</x:v>
      </x:c>
      <x:c r="G7684" s="6" t="str">
        <x:v>Pingshui main list, Wikisource-derived DOCX</x:v>
      </x:c>
      <x:c r="H7684" s="6" t="str"/>
      <x:c r="I7684" s="6" t="str">
        <x:v>Pingshui main-list expansion; 詞 entries ignored</x:v>
      </x:c>
      <x:c r="J7684" s="6" t="str">
        <x:f>IF(B7684="","",IF(AND(ISNUMBER(SEARCH("平",B7684)),OR(ISNUMBER(SEARCH("上",B7684)),ISNUMBER(SEARCH("去",B7684)),ISNUMBER(SEARCH("入",B7684)))),"Ambiguous",IF(ISNUMBER(SEARCH("平",B7684)),"平","仄")))</x:f>
      </x:c>
      <x:c r="K7684" s="6" t="str">
        <x:f>IF(D7684="","",IF(AND(ISNUMBER(SEARCH("平",D7684)),OR(ISNUMBER(SEARCH("上",D7684)),ISNUMBER(SEARCH("去",D7684)),ISNUMBER(SEARCH("入",D7684)))),"Ambiguous",IF(ISNUMBER(SEARCH("平",D7684)),"平","仄")))</x:f>
        <x:v>Ambiguous</x:v>
      </x:c>
      <x:c r="L7684" s="7" t="str">
        <x:v>Pingshui main list expansion</x:v>
      </x:c>
    </x:row>
    <x:row r="7685">
      <x:c r="A7685" s="5" t="str">
        <x:v>艡</x:v>
      </x:c>
      <x:c r="B7685" s="6" t="str">
        <x:v>平</x:v>
      </x:c>
      <x:c r="C7685" s="6" t="str">
        <x:f>IF(B7685="","Needs decision","Ready")</x:f>
        <x:v>Ready</x:v>
      </x:c>
      <x:c r="D7685" s="6" t="str">
        <x:v>平</x:v>
      </x:c>
      <x:c r="E7685" s="6" t="str"/>
      <x:c r="F7685" s="6" t="str">
        <x:v>下平聲七陽</x:v>
      </x:c>
      <x:c r="G7685" s="6" t="str">
        <x:v>Pingshui main list, Wikisource-derived DOCX</x:v>
      </x:c>
      <x:c r="H7685" s="6" t="str"/>
      <x:c r="I7685" s="6" t="str">
        <x:v>Pingshui main-list expansion; 詞 entries ignored</x:v>
      </x:c>
      <x:c r="J7685" s="6" t="str">
        <x:f>IF(B7685="","",IF(AND(ISNUMBER(SEARCH("平",B7685)),OR(ISNUMBER(SEARCH("上",B7685)),ISNUMBER(SEARCH("去",B7685)),ISNUMBER(SEARCH("入",B7685)))),"Ambiguous",IF(ISNUMBER(SEARCH("平",B7685)),"平","仄")))</x:f>
        <x:v>平</x:v>
      </x:c>
      <x:c r="K7685" s="6" t="str">
        <x:f>IF(D7685="","",IF(AND(ISNUMBER(SEARCH("平",D7685)),OR(ISNUMBER(SEARCH("上",D7685)),ISNUMBER(SEARCH("去",D7685)),ISNUMBER(SEARCH("入",D7685)))),"Ambiguous",IF(ISNUMBER(SEARCH("平",D7685)),"平","仄")))</x:f>
        <x:v>平</x:v>
      </x:c>
      <x:c r="L7685" s="7" t="str">
        <x:v>Pingshui main list expansion</x:v>
      </x:c>
    </x:row>
    <x:row r="7686">
      <x:c r="A7686" s="5" t="str">
        <x:v>艣</x:v>
      </x:c>
      <x:c r="B7686" s="6" t="str">
        <x:v>上</x:v>
      </x:c>
      <x:c r="C7686" s="6" t="str">
        <x:f>IF(B7686="","Needs decision","Ready")</x:f>
        <x:v>Ready</x:v>
      </x:c>
      <x:c r="D7686" s="6" t="str">
        <x:v>上</x:v>
      </x:c>
      <x:c r="E7686" s="6" t="str"/>
      <x:c r="F7686" s="6" t="str">
        <x:v>上聲七麌</x:v>
      </x:c>
      <x:c r="G7686" s="6" t="str">
        <x:v>Pingshui main list, Wikisource-derived DOCX</x:v>
      </x:c>
      <x:c r="H7686" s="6" t="str"/>
      <x:c r="I7686" s="6" t="str">
        <x:v>Pingshui main-list expansion; 詞 entries ignored</x:v>
      </x:c>
      <x:c r="J7686" s="6" t="str">
        <x:f>IF(B7686="","",IF(AND(ISNUMBER(SEARCH("平",B7686)),OR(ISNUMBER(SEARCH("上",B7686)),ISNUMBER(SEARCH("去",B7686)),ISNUMBER(SEARCH("入",B7686)))),"Ambiguous",IF(ISNUMBER(SEARCH("平",B7686)),"平","仄")))</x:f>
        <x:v>仄</x:v>
      </x:c>
      <x:c r="K7686" s="6" t="str">
        <x:f>IF(D7686="","",IF(AND(ISNUMBER(SEARCH("平",D7686)),OR(ISNUMBER(SEARCH("上",D7686)),ISNUMBER(SEARCH("去",D7686)),ISNUMBER(SEARCH("入",D7686)))),"Ambiguous",IF(ISNUMBER(SEARCH("平",D7686)),"平","仄")))</x:f>
        <x:v>仄</x:v>
      </x:c>
      <x:c r="L7686" s="7" t="str">
        <x:v>Pingshui main list expansion</x:v>
      </x:c>
    </x:row>
    <x:row r="7687">
      <x:c r="A7687" s="5" t="str">
        <x:v>艨</x:v>
      </x:c>
      <x:c r="B7687" s="6" t="str">
        <x:v>平</x:v>
      </x:c>
      <x:c r="C7687" s="6" t="str">
        <x:f>IF(B7687="","Needs decision","Ready")</x:f>
        <x:v>Ready</x:v>
      </x:c>
      <x:c r="D7687" s="6" t="str">
        <x:v>平</x:v>
      </x:c>
      <x:c r="E7687" s="6" t="str"/>
      <x:c r="F7687" s="6" t="str">
        <x:v>上平聲一東</x:v>
      </x:c>
      <x:c r="G7687" s="6" t="str">
        <x:v>Pingshui main list, Wikisource-derived DOCX</x:v>
      </x:c>
      <x:c r="H7687" s="6" t="str"/>
      <x:c r="I7687" s="6" t="str">
        <x:v>Pingshui main-list expansion; 詞 entries ignored</x:v>
      </x:c>
      <x:c r="J7687" s="6" t="str">
        <x:f>IF(B7687="","",IF(AND(ISNUMBER(SEARCH("平",B7687)),OR(ISNUMBER(SEARCH("上",B7687)),ISNUMBER(SEARCH("去",B7687)),ISNUMBER(SEARCH("入",B7687)))),"Ambiguous",IF(ISNUMBER(SEARCH("平",B7687)),"平","仄")))</x:f>
        <x:v>平</x:v>
      </x:c>
      <x:c r="K7687" s="6" t="str">
        <x:f>IF(D7687="","",IF(AND(ISNUMBER(SEARCH("平",D7687)),OR(ISNUMBER(SEARCH("上",D7687)),ISNUMBER(SEARCH("去",D7687)),ISNUMBER(SEARCH("入",D7687)))),"Ambiguous",IF(ISNUMBER(SEARCH("平",D7687)),"平","仄")))</x:f>
        <x:v>平</x:v>
      </x:c>
      <x:c r="L7687" s="7" t="str">
        <x:v>Pingshui main list expansion</x:v>
      </x:c>
    </x:row>
    <x:row r="7688">
      <x:c r="A7688" s="5" t="str">
        <x:v>艭</x:v>
      </x:c>
      <x:c r="B7688" s="6" t="str">
        <x:v>平</x:v>
      </x:c>
      <x:c r="C7688" s="6" t="str">
        <x:f>IF(B7688="","Needs decision","Ready")</x:f>
        <x:v>Ready</x:v>
      </x:c>
      <x:c r="D7688" s="6" t="str">
        <x:v>平</x:v>
      </x:c>
      <x:c r="E7688" s="6" t="str"/>
      <x:c r="F7688" s="6" t="str">
        <x:v>上平聲三江</x:v>
      </x:c>
      <x:c r="G7688" s="6" t="str">
        <x:v>Pingshui main list, Wikisource-derived DOCX</x:v>
      </x:c>
      <x:c r="H7688" s="6" t="str"/>
      <x:c r="I7688" s="6" t="str">
        <x:v>Pingshui main-list expansion; 詞 entries ignored</x:v>
      </x:c>
      <x:c r="J7688" s="6" t="str">
        <x:f>IF(B7688="","",IF(AND(ISNUMBER(SEARCH("平",B7688)),OR(ISNUMBER(SEARCH("上",B7688)),ISNUMBER(SEARCH("去",B7688)),ISNUMBER(SEARCH("入",B7688)))),"Ambiguous",IF(ISNUMBER(SEARCH("平",B7688)),"平","仄")))</x:f>
        <x:v>平</x:v>
      </x:c>
      <x:c r="K7688" s="6" t="str">
        <x:f>IF(D7688="","",IF(AND(ISNUMBER(SEARCH("平",D7688)),OR(ISNUMBER(SEARCH("上",D7688)),ISNUMBER(SEARCH("去",D7688)),ISNUMBER(SEARCH("入",D7688)))),"Ambiguous",IF(ISNUMBER(SEARCH("平",D7688)),"平","仄")))</x:f>
        <x:v>平</x:v>
      </x:c>
      <x:c r="L7688" s="7" t="str">
        <x:v>Pingshui main list expansion</x:v>
      </x:c>
    </x:row>
    <x:row r="7689">
      <x:c r="A7689" s="5" t="str">
        <x:v>艽</x:v>
      </x:c>
      <x:c r="B7689" s="6" t="str">
        <x:v>平</x:v>
      </x:c>
      <x:c r="C7689" s="6" t="str">
        <x:f>IF(B7689="","Needs decision","Ready")</x:f>
        <x:v>Ready</x:v>
      </x:c>
      <x:c r="D7689" s="6" t="str">
        <x:v>平</x:v>
      </x:c>
      <x:c r="E7689" s="6" t="str"/>
      <x:c r="F7689" s="6" t="str">
        <x:v>下平聲十一尤</x:v>
      </x:c>
      <x:c r="G7689" s="6" t="str">
        <x:v>Pingshui main list, Wikisource-derived DOCX</x:v>
      </x:c>
      <x:c r="H7689" s="6" t="str"/>
      <x:c r="I7689" s="6" t="str">
        <x:v>Pingshui main-list expansion; 詞 entries ignored</x:v>
      </x:c>
      <x:c r="J7689" s="6" t="str">
        <x:f>IF(B7689="","",IF(AND(ISNUMBER(SEARCH("平",B7689)),OR(ISNUMBER(SEARCH("上",B7689)),ISNUMBER(SEARCH("去",B7689)),ISNUMBER(SEARCH("入",B7689)))),"Ambiguous",IF(ISNUMBER(SEARCH("平",B7689)),"平","仄")))</x:f>
        <x:v>平</x:v>
      </x:c>
      <x:c r="K7689" s="6" t="str">
        <x:f>IF(D7689="","",IF(AND(ISNUMBER(SEARCH("平",D7689)),OR(ISNUMBER(SEARCH("上",D7689)),ISNUMBER(SEARCH("去",D7689)),ISNUMBER(SEARCH("入",D7689)))),"Ambiguous",IF(ISNUMBER(SEARCH("平",D7689)),"平","仄")))</x:f>
        <x:v>平</x:v>
      </x:c>
      <x:c r="L7689" s="7" t="str">
        <x:v>Pingshui main list expansion</x:v>
      </x:c>
    </x:row>
    <x:row r="7690">
      <x:c r="A7690" s="5" t="str">
        <x:v>艿</x:v>
      </x:c>
      <x:c r="B7690" s="6" t="str">
        <x:v>平</x:v>
      </x:c>
      <x:c r="C7690" s="6" t="str">
        <x:f>IF(B7690="","Needs decision","Ready")</x:f>
        <x:v>Ready</x:v>
      </x:c>
      <x:c r="D7690" s="6" t="str">
        <x:v>平</x:v>
      </x:c>
      <x:c r="E7690" s="6" t="str"/>
      <x:c r="F7690" s="6" t="str">
        <x:v>下平聲十蒸</x:v>
      </x:c>
      <x:c r="G7690" s="6" t="str">
        <x:v>Pingshui main list, Wikisource-derived DOCX</x:v>
      </x:c>
      <x:c r="H7690" s="6" t="str"/>
      <x:c r="I7690" s="6" t="str">
        <x:v>Pingshui main-list expansion; 詞 entries ignored</x:v>
      </x:c>
      <x:c r="J7690" s="6" t="str">
        <x:f>IF(B7690="","",IF(AND(ISNUMBER(SEARCH("平",B7690)),OR(ISNUMBER(SEARCH("上",B7690)),ISNUMBER(SEARCH("去",B7690)),ISNUMBER(SEARCH("入",B7690)))),"Ambiguous",IF(ISNUMBER(SEARCH("平",B7690)),"平","仄")))</x:f>
        <x:v>平</x:v>
      </x:c>
      <x:c r="K7690" s="6" t="str">
        <x:f>IF(D7690="","",IF(AND(ISNUMBER(SEARCH("平",D7690)),OR(ISNUMBER(SEARCH("上",D7690)),ISNUMBER(SEARCH("去",D7690)),ISNUMBER(SEARCH("入",D7690)))),"Ambiguous",IF(ISNUMBER(SEARCH("平",D7690)),"平","仄")))</x:f>
        <x:v>平</x:v>
      </x:c>
      <x:c r="L7690" s="7" t="str">
        <x:v>Pingshui main list expansion</x:v>
      </x:c>
    </x:row>
    <x:row r="7691">
      <x:c r="A7691" s="5" t="str">
        <x:v>芅</x:v>
      </x:c>
      <x:c r="B7691" s="6" t="str">
        <x:v>入</x:v>
      </x:c>
      <x:c r="C7691" s="6" t="str">
        <x:f>IF(B7691="","Needs decision","Ready")</x:f>
        <x:v>Ready</x:v>
      </x:c>
      <x:c r="D7691" s="6" t="str">
        <x:v>入</x:v>
      </x:c>
      <x:c r="E7691" s="6" t="str"/>
      <x:c r="F7691" s="6" t="str">
        <x:v>入聲十三職</x:v>
      </x:c>
      <x:c r="G7691" s="6" t="str">
        <x:v>Pingshui main list, Wikisource-derived DOCX</x:v>
      </x:c>
      <x:c r="H7691" s="6" t="str"/>
      <x:c r="I7691" s="6" t="str">
        <x:v>Pingshui main-list expansion; 詞 entries ignored</x:v>
      </x:c>
      <x:c r="J7691" s="6" t="str">
        <x:f>IF(B7691="","",IF(AND(ISNUMBER(SEARCH("平",B7691)),OR(ISNUMBER(SEARCH("上",B7691)),ISNUMBER(SEARCH("去",B7691)),ISNUMBER(SEARCH("入",B7691)))),"Ambiguous",IF(ISNUMBER(SEARCH("平",B7691)),"平","仄")))</x:f>
        <x:v>仄</x:v>
      </x:c>
      <x:c r="K7691" s="6" t="str">
        <x:f>IF(D7691="","",IF(AND(ISNUMBER(SEARCH("平",D7691)),OR(ISNUMBER(SEARCH("上",D7691)),ISNUMBER(SEARCH("去",D7691)),ISNUMBER(SEARCH("入",D7691)))),"Ambiguous",IF(ISNUMBER(SEARCH("平",D7691)),"平","仄")))</x:f>
        <x:v>仄</x:v>
      </x:c>
      <x:c r="L7691" s="7" t="str">
        <x:v>Pingshui main list expansion</x:v>
      </x:c>
    </x:row>
    <x:row r="7692">
      <x:c r="A7692" s="5" t="str">
        <x:v>芚</x:v>
      </x:c>
      <x:c r="B7692" s="6" t="str">
        <x:v>平</x:v>
      </x:c>
      <x:c r="C7692" s="6" t="str">
        <x:f>IF(B7692="","Needs decision","Ready")</x:f>
        <x:v>Ready</x:v>
      </x:c>
      <x:c r="D7692" s="6" t="str">
        <x:v>平</x:v>
      </x:c>
      <x:c r="E7692" s="6" t="str"/>
      <x:c r="F7692" s="6" t="str">
        <x:v>上平聲十三元</x:v>
      </x:c>
      <x:c r="G7692" s="6" t="str">
        <x:v>Pingshui main list, Wikisource-derived DOCX</x:v>
      </x:c>
      <x:c r="H7692" s="6" t="str"/>
      <x:c r="I7692" s="6" t="str">
        <x:v>Pingshui main-list expansion; 詞 entries ignored</x:v>
      </x:c>
      <x:c r="J7692" s="6" t="str">
        <x:f>IF(B7692="","",IF(AND(ISNUMBER(SEARCH("平",B7692)),OR(ISNUMBER(SEARCH("上",B7692)),ISNUMBER(SEARCH("去",B7692)),ISNUMBER(SEARCH("入",B7692)))),"Ambiguous",IF(ISNUMBER(SEARCH("平",B7692)),"平","仄")))</x:f>
        <x:v>平</x:v>
      </x:c>
      <x:c r="K7692" s="6" t="str">
        <x:f>IF(D7692="","",IF(AND(ISNUMBER(SEARCH("平",D7692)),OR(ISNUMBER(SEARCH("上",D7692)),ISNUMBER(SEARCH("去",D7692)),ISNUMBER(SEARCH("入",D7692)))),"Ambiguous",IF(ISNUMBER(SEARCH("平",D7692)),"平","仄")))</x:f>
        <x:v>平</x:v>
      </x:c>
      <x:c r="L7692" s="7" t="str">
        <x:v>Pingshui main list expansion</x:v>
      </x:c>
    </x:row>
    <x:row r="7693">
      <x:c r="A7693" s="5" t="str">
        <x:v>芣</x:v>
      </x:c>
      <x:c r="B7693" s="6" t="str">
        <x:v>平</x:v>
      </x:c>
      <x:c r="C7693" s="6" t="str">
        <x:f>IF(B7693="","Needs decision","Ready")</x:f>
        <x:v>Ready</x:v>
      </x:c>
      <x:c r="D7693" s="6" t="str">
        <x:v>平</x:v>
      </x:c>
      <x:c r="E7693" s="6" t="str"/>
      <x:c r="F7693" s="6" t="str">
        <x:v>下平聲十一尤</x:v>
      </x:c>
      <x:c r="G7693" s="6" t="str">
        <x:v>Pingshui main list, Wikisource-derived DOCX</x:v>
      </x:c>
      <x:c r="H7693" s="6" t="str"/>
      <x:c r="I7693" s="6" t="str">
        <x:v>Pingshui main-list expansion; 詞 entries ignored</x:v>
      </x:c>
      <x:c r="J7693" s="6" t="str">
        <x:f>IF(B7693="","",IF(AND(ISNUMBER(SEARCH("平",B7693)),OR(ISNUMBER(SEARCH("上",B7693)),ISNUMBER(SEARCH("去",B7693)),ISNUMBER(SEARCH("入",B7693)))),"Ambiguous",IF(ISNUMBER(SEARCH("平",B7693)),"平","仄")))</x:f>
        <x:v>平</x:v>
      </x:c>
      <x:c r="K7693" s="6" t="str">
        <x:f>IF(D7693="","",IF(AND(ISNUMBER(SEARCH("平",D7693)),OR(ISNUMBER(SEARCH("上",D7693)),ISNUMBER(SEARCH("去",D7693)),ISNUMBER(SEARCH("入",D7693)))),"Ambiguous",IF(ISNUMBER(SEARCH("平",D7693)),"平","仄")))</x:f>
        <x:v>平</x:v>
      </x:c>
      <x:c r="L7693" s="7" t="str">
        <x:v>Pingshui main list expansion</x:v>
      </x:c>
    </x:row>
    <x:row r="7694">
      <x:c r="A7694" s="5" t="str">
        <x:v>芩</x:v>
      </x:c>
      <x:c r="B7694" s="6" t="str">
        <x:v>平</x:v>
      </x:c>
      <x:c r="C7694" s="6" t="str">
        <x:f>IF(B7694="","Needs decision","Ready")</x:f>
        <x:v>Ready</x:v>
      </x:c>
      <x:c r="D7694" s="6" t="str">
        <x:v>平</x:v>
      </x:c>
      <x:c r="E7694" s="6" t="str"/>
      <x:c r="F7694" s="6" t="str">
        <x:v>下平聲十二侵</x:v>
      </x:c>
      <x:c r="G7694" s="6" t="str">
        <x:v>Pingshui main list, Wikisource-derived DOCX</x:v>
      </x:c>
      <x:c r="H7694" s="6" t="str"/>
      <x:c r="I7694" s="6" t="str">
        <x:v>Pingshui main-list expansion; 詞 entries ignored</x:v>
      </x:c>
      <x:c r="J7694" s="6" t="str">
        <x:f>IF(B7694="","",IF(AND(ISNUMBER(SEARCH("平",B7694)),OR(ISNUMBER(SEARCH("上",B7694)),ISNUMBER(SEARCH("去",B7694)),ISNUMBER(SEARCH("入",B7694)))),"Ambiguous",IF(ISNUMBER(SEARCH("平",B7694)),"平","仄")))</x:f>
        <x:v>平</x:v>
      </x:c>
      <x:c r="K7694" s="6" t="str">
        <x:f>IF(D7694="","",IF(AND(ISNUMBER(SEARCH("平",D7694)),OR(ISNUMBER(SEARCH("上",D7694)),ISNUMBER(SEARCH("去",D7694)),ISNUMBER(SEARCH("入",D7694)))),"Ambiguous",IF(ISNUMBER(SEARCH("平",D7694)),"平","仄")))</x:f>
        <x:v>平</x:v>
      </x:c>
      <x:c r="L7694" s="7" t="str">
        <x:v>Pingshui main list expansion</x:v>
      </x:c>
    </x:row>
    <x:row r="7695">
      <x:c r="A7695" s="5" t="str">
        <x:v>芫</x:v>
      </x:c>
      <x:c r="B7695" s="6" t="str">
        <x:v>平</x:v>
      </x:c>
      <x:c r="C7695" s="6" t="str">
        <x:f>IF(B7695="","Needs decision","Ready")</x:f>
        <x:v>Ready</x:v>
      </x:c>
      <x:c r="D7695" s="6" t="str">
        <x:v>平</x:v>
      </x:c>
      <x:c r="E7695" s="6" t="str"/>
      <x:c r="F7695" s="6" t="str">
        <x:v>上平聲十三元</x:v>
      </x:c>
      <x:c r="G7695" s="6" t="str">
        <x:v>Pingshui main list, Wikisource-derived DOCX</x:v>
      </x:c>
      <x:c r="H7695" s="6" t="str"/>
      <x:c r="I7695" s="6" t="str">
        <x:v>Pingshui main-list expansion; 詞 entries ignored</x:v>
      </x:c>
      <x:c r="J7695" s="6" t="str">
        <x:f>IF(B7695="","",IF(AND(ISNUMBER(SEARCH("平",B7695)),OR(ISNUMBER(SEARCH("上",B7695)),ISNUMBER(SEARCH("去",B7695)),ISNUMBER(SEARCH("入",B7695)))),"Ambiguous",IF(ISNUMBER(SEARCH("平",B7695)),"平","仄")))</x:f>
        <x:v>平</x:v>
      </x:c>
      <x:c r="K7695" s="6" t="str">
        <x:f>IF(D7695="","",IF(AND(ISNUMBER(SEARCH("平",D7695)),OR(ISNUMBER(SEARCH("上",D7695)),ISNUMBER(SEARCH("去",D7695)),ISNUMBER(SEARCH("入",D7695)))),"Ambiguous",IF(ISNUMBER(SEARCH("平",D7695)),"平","仄")))</x:f>
        <x:v>平</x:v>
      </x:c>
      <x:c r="L7695" s="7" t="str">
        <x:v>Pingshui main list expansion</x:v>
      </x:c>
    </x:row>
    <x:row r="7696">
      <x:c r="A7696" s="5" t="str">
        <x:v>芺</x:v>
      </x:c>
      <x:c r="B7696" s="6" t="str">
        <x:v>上</x:v>
      </x:c>
      <x:c r="C7696" s="6" t="str">
        <x:f>IF(B7696="","Needs decision","Ready")</x:f>
        <x:v>Ready</x:v>
      </x:c>
      <x:c r="D7696" s="6" t="str">
        <x:v>上</x:v>
      </x:c>
      <x:c r="E7696" s="6" t="str"/>
      <x:c r="F7696" s="6" t="str">
        <x:v>上聲十九皓</x:v>
      </x:c>
      <x:c r="G7696" s="6" t="str">
        <x:v>Pingshui main list, Wikisource-derived DOCX</x:v>
      </x:c>
      <x:c r="H7696" s="6" t="str"/>
      <x:c r="I7696" s="6" t="str">
        <x:v>Pingshui main-list expansion; 詞 entries ignored</x:v>
      </x:c>
      <x:c r="J7696" s="6" t="str">
        <x:f>IF(B7696="","",IF(AND(ISNUMBER(SEARCH("平",B7696)),OR(ISNUMBER(SEARCH("上",B7696)),ISNUMBER(SEARCH("去",B7696)),ISNUMBER(SEARCH("入",B7696)))),"Ambiguous",IF(ISNUMBER(SEARCH("平",B7696)),"平","仄")))</x:f>
        <x:v>仄</x:v>
      </x:c>
      <x:c r="K7696" s="6" t="str">
        <x:f>IF(D7696="","",IF(AND(ISNUMBER(SEARCH("平",D7696)),OR(ISNUMBER(SEARCH("上",D7696)),ISNUMBER(SEARCH("去",D7696)),ISNUMBER(SEARCH("入",D7696)))),"Ambiguous",IF(ISNUMBER(SEARCH("平",D7696)),"平","仄")))</x:f>
        <x:v>仄</x:v>
      </x:c>
      <x:c r="L7696" s="7" t="str">
        <x:v>Pingshui main list expansion</x:v>
      </x:c>
    </x:row>
    <x:row r="7697">
      <x:c r="A7697" s="5" t="str">
        <x:v>苀</x:v>
      </x:c>
      <x:c r="B7697" s="6" t="str">
        <x:v>平</x:v>
      </x:c>
      <x:c r="C7697" s="6" t="str">
        <x:f>IF(B7697="","Needs decision","Ready")</x:f>
        <x:v>Ready</x:v>
      </x:c>
      <x:c r="D7697" s="6" t="str">
        <x:v>平</x:v>
      </x:c>
      <x:c r="E7697" s="6" t="str"/>
      <x:c r="F7697" s="6" t="str">
        <x:v>下平聲七陽</x:v>
      </x:c>
      <x:c r="G7697" s="6" t="str">
        <x:v>Pingshui main list, Wikisource-derived DOCX</x:v>
      </x:c>
      <x:c r="H7697" s="6" t="str"/>
      <x:c r="I7697" s="6" t="str">
        <x:v>Pingshui main-list expansion; 詞 entries ignored</x:v>
      </x:c>
      <x:c r="J7697" s="6" t="str">
        <x:f>IF(B7697="","",IF(AND(ISNUMBER(SEARCH("平",B7697)),OR(ISNUMBER(SEARCH("上",B7697)),ISNUMBER(SEARCH("去",B7697)),ISNUMBER(SEARCH("入",B7697)))),"Ambiguous",IF(ISNUMBER(SEARCH("平",B7697)),"平","仄")))</x:f>
        <x:v>平</x:v>
      </x:c>
      <x:c r="K7697" s="6" t="str">
        <x:f>IF(D7697="","",IF(AND(ISNUMBER(SEARCH("平",D7697)),OR(ISNUMBER(SEARCH("上",D7697)),ISNUMBER(SEARCH("去",D7697)),ISNUMBER(SEARCH("入",D7697)))),"Ambiguous",IF(ISNUMBER(SEARCH("平",D7697)),"平","仄")))</x:f>
        <x:v>平</x:v>
      </x:c>
      <x:c r="L7697" s="7" t="str">
        <x:v>Pingshui main list expansion</x:v>
      </x:c>
    </x:row>
    <x:row r="7698">
      <x:c r="A7698" s="5" t="str">
        <x:v>苙</x:v>
      </x:c>
      <x:c r="B7698" s="6" t="str">
        <x:v>入</x:v>
      </x:c>
      <x:c r="C7698" s="6" t="str">
        <x:f>IF(B7698="","Needs decision","Ready")</x:f>
        <x:v>Ready</x:v>
      </x:c>
      <x:c r="D7698" s="6" t="str">
        <x:v>入</x:v>
      </x:c>
      <x:c r="E7698" s="6" t="str"/>
      <x:c r="F7698" s="6" t="str">
        <x:v>入聲十四緝</x:v>
      </x:c>
      <x:c r="G7698" s="6" t="str">
        <x:v>Pingshui main list, Wikisource-derived DOCX</x:v>
      </x:c>
      <x:c r="H7698" s="6" t="str"/>
      <x:c r="I7698" s="6" t="str">
        <x:v>Pingshui main-list expansion; 詞 entries ignored</x:v>
      </x:c>
      <x:c r="J7698" s="6" t="str">
        <x:f>IF(B7698="","",IF(AND(ISNUMBER(SEARCH("平",B7698)),OR(ISNUMBER(SEARCH("上",B7698)),ISNUMBER(SEARCH("去",B7698)),ISNUMBER(SEARCH("入",B7698)))),"Ambiguous",IF(ISNUMBER(SEARCH("平",B7698)),"平","仄")))</x:f>
        <x:v>仄</x:v>
      </x:c>
      <x:c r="K7698" s="6" t="str">
        <x:f>IF(D7698="","",IF(AND(ISNUMBER(SEARCH("平",D7698)),OR(ISNUMBER(SEARCH("上",D7698)),ISNUMBER(SEARCH("去",D7698)),ISNUMBER(SEARCH("入",D7698)))),"Ambiguous",IF(ISNUMBER(SEARCH("平",D7698)),"平","仄")))</x:f>
        <x:v>仄</x:v>
      </x:c>
      <x:c r="L7698" s="7" t="str">
        <x:v>Pingshui main list expansion</x:v>
      </x:c>
    </x:row>
    <x:row r="7699">
      <x:c r="A7699" s="5" t="str">
        <x:v>苰</x:v>
      </x:c>
      <x:c r="B7699" s="6" t="str">
        <x:v>平</x:v>
      </x:c>
      <x:c r="C7699" s="6" t="str">
        <x:f>IF(B7699="","Needs decision","Ready")</x:f>
        <x:v>Ready</x:v>
      </x:c>
      <x:c r="D7699" s="6" t="str">
        <x:v>平</x:v>
      </x:c>
      <x:c r="E7699" s="6" t="str"/>
      <x:c r="F7699" s="6" t="str">
        <x:v>下平聲十蒸</x:v>
      </x:c>
      <x:c r="G7699" s="6" t="str">
        <x:v>Pingshui main list, Wikisource-derived DOCX</x:v>
      </x:c>
      <x:c r="H7699" s="6" t="str"/>
      <x:c r="I7699" s="6" t="str">
        <x:v>Pingshui main-list expansion; 詞 entries ignored</x:v>
      </x:c>
      <x:c r="J7699" s="6" t="str">
        <x:f>IF(B7699="","",IF(AND(ISNUMBER(SEARCH("平",B7699)),OR(ISNUMBER(SEARCH("上",B7699)),ISNUMBER(SEARCH("去",B7699)),ISNUMBER(SEARCH("入",B7699)))),"Ambiguous",IF(ISNUMBER(SEARCH("平",B7699)),"平","仄")))</x:f>
        <x:v>平</x:v>
      </x:c>
      <x:c r="K7699" s="6" t="str">
        <x:f>IF(D7699="","",IF(AND(ISNUMBER(SEARCH("平",D7699)),OR(ISNUMBER(SEARCH("上",D7699)),ISNUMBER(SEARCH("去",D7699)),ISNUMBER(SEARCH("入",D7699)))),"Ambiguous",IF(ISNUMBER(SEARCH("平",D7699)),"平","仄")))</x:f>
        <x:v>平</x:v>
      </x:c>
      <x:c r="L7699" s="7" t="str">
        <x:v>Pingshui main list expansion</x:v>
      </x:c>
    </x:row>
    <x:row r="7700">
      <x:c r="A7700" s="5" t="str">
        <x:v>苶</x:v>
      </x:c>
      <x:c r="B7700" s="6" t="str">
        <x:v>入</x:v>
      </x:c>
      <x:c r="C7700" s="6" t="str">
        <x:f>IF(B7700="","Needs decision","Ready")</x:f>
        <x:v>Ready</x:v>
      </x:c>
      <x:c r="D7700" s="6" t="str">
        <x:v>入</x:v>
      </x:c>
      <x:c r="E7700" s="6" t="str"/>
      <x:c r="F7700" s="6" t="str">
        <x:v>入聲九屑; 入聲十六葉</x:v>
      </x:c>
      <x:c r="G7700" s="6" t="str">
        <x:v>Pingshui main list, Wikisource-derived DOCX</x:v>
      </x:c>
      <x:c r="H7700" s="6" t="str"/>
      <x:c r="I7700" s="6" t="str">
        <x:v>Pingshui main-list expansion; 詞 entries ignored</x:v>
      </x:c>
      <x:c r="J7700" s="6" t="str">
        <x:f>IF(B7700="","",IF(AND(ISNUMBER(SEARCH("平",B7700)),OR(ISNUMBER(SEARCH("上",B7700)),ISNUMBER(SEARCH("去",B7700)),ISNUMBER(SEARCH("入",B7700)))),"Ambiguous",IF(ISNUMBER(SEARCH("平",B7700)),"平","仄")))</x:f>
        <x:v>仄</x:v>
      </x:c>
      <x:c r="K7700" s="6" t="str">
        <x:f>IF(D7700="","",IF(AND(ISNUMBER(SEARCH("平",D7700)),OR(ISNUMBER(SEARCH("上",D7700)),ISNUMBER(SEARCH("去",D7700)),ISNUMBER(SEARCH("入",D7700)))),"Ambiguous",IF(ISNUMBER(SEARCH("平",D7700)),"平","仄")))</x:f>
        <x:v>仄</x:v>
      </x:c>
      <x:c r="L7700" s="7" t="str">
        <x:v>Pingshui main list expansion</x:v>
      </x:c>
    </x:row>
    <x:row r="7701">
      <x:c r="A7701" s="5" t="str">
        <x:v>茈</x:v>
      </x:c>
      <x:c r="B7701" s="6" t="str">
        <x:v>平</x:v>
      </x:c>
      <x:c r="C7701" s="6" t="str">
        <x:f>IF(B7701="","Needs decision","Ready")</x:f>
        <x:v>Ready</x:v>
      </x:c>
      <x:c r="D7701" s="6" t="str">
        <x:v>平</x:v>
      </x:c>
      <x:c r="E7701" s="6" t="str"/>
      <x:c r="F7701" s="6" t="str">
        <x:v>上平聲四支</x:v>
      </x:c>
      <x:c r="G7701" s="6" t="str">
        <x:v>Pingshui main list, Wikisource-derived DOCX</x:v>
      </x:c>
      <x:c r="H7701" s="6" t="str"/>
      <x:c r="I7701" s="6" t="str">
        <x:v>Pingshui main-list expansion; 詞 entries ignored</x:v>
      </x:c>
      <x:c r="J7701" s="6" t="str">
        <x:f>IF(B7701="","",IF(AND(ISNUMBER(SEARCH("平",B7701)),OR(ISNUMBER(SEARCH("上",B7701)),ISNUMBER(SEARCH("去",B7701)),ISNUMBER(SEARCH("入",B7701)))),"Ambiguous",IF(ISNUMBER(SEARCH("平",B7701)),"平","仄")))</x:f>
        <x:v>平</x:v>
      </x:c>
      <x:c r="K7701" s="6" t="str">
        <x:f>IF(D7701="","",IF(AND(ISNUMBER(SEARCH("平",D7701)),OR(ISNUMBER(SEARCH("上",D7701)),ISNUMBER(SEARCH("去",D7701)),ISNUMBER(SEARCH("入",D7701)))),"Ambiguous",IF(ISNUMBER(SEARCH("平",D7701)),"平","仄")))</x:f>
        <x:v>平</x:v>
      </x:c>
      <x:c r="L7701" s="7" t="str">
        <x:v>Pingshui main list expansion</x:v>
      </x:c>
    </x:row>
    <x:row r="7702">
      <x:c r="A7702" s="5" t="str">
        <x:v>茢</x:v>
      </x:c>
      <x:c r="B7702" s="6" t="str">
        <x:v>入</x:v>
      </x:c>
      <x:c r="C7702" s="6" t="str">
        <x:f>IF(B7702="","Needs decision","Ready")</x:f>
        <x:v>Ready</x:v>
      </x:c>
      <x:c r="D7702" s="6" t="str">
        <x:v>入</x:v>
      </x:c>
      <x:c r="E7702" s="6" t="str"/>
      <x:c r="F7702" s="6" t="str">
        <x:v>入聲九屑</x:v>
      </x:c>
      <x:c r="G7702" s="6" t="str">
        <x:v>Pingshui main list, Wikisource-derived DOCX</x:v>
      </x:c>
      <x:c r="H7702" s="6" t="str"/>
      <x:c r="I7702" s="6" t="str">
        <x:v>Pingshui main-list expansion; 詞 entries ignored</x:v>
      </x:c>
      <x:c r="J7702" s="6" t="str">
        <x:f>IF(B7702="","",IF(AND(ISNUMBER(SEARCH("平",B7702)),OR(ISNUMBER(SEARCH("上",B7702)),ISNUMBER(SEARCH("去",B7702)),ISNUMBER(SEARCH("入",B7702)))),"Ambiguous",IF(ISNUMBER(SEARCH("平",B7702)),"平","仄")))</x:f>
        <x:v>仄</x:v>
      </x:c>
      <x:c r="K7702" s="6" t="str">
        <x:f>IF(D7702="","",IF(AND(ISNUMBER(SEARCH("平",D7702)),OR(ISNUMBER(SEARCH("上",D7702)),ISNUMBER(SEARCH("去",D7702)),ISNUMBER(SEARCH("入",D7702)))),"Ambiguous",IF(ISNUMBER(SEARCH("平",D7702)),"平","仄")))</x:f>
        <x:v>仄</x:v>
      </x:c>
      <x:c r="L7702" s="7" t="str">
        <x:v>Pingshui main list expansion</x:v>
      </x:c>
    </x:row>
    <x:row r="7703">
      <x:c r="A7703" s="5" t="str">
        <x:v>茩</x:v>
      </x:c>
      <x:c r="B7703" s="6" t="str">
        <x:v>上</x:v>
      </x:c>
      <x:c r="C7703" s="6" t="str">
        <x:f>IF(B7703="","Needs decision","Ready")</x:f>
        <x:v>Ready</x:v>
      </x:c>
      <x:c r="D7703" s="6" t="str">
        <x:v>上</x:v>
      </x:c>
      <x:c r="E7703" s="6" t="str"/>
      <x:c r="F7703" s="6" t="str">
        <x:v>上聲二十五有</x:v>
      </x:c>
      <x:c r="G7703" s="6" t="str">
        <x:v>Pingshui main list, Wikisource-derived DOCX</x:v>
      </x:c>
      <x:c r="H7703" s="6" t="str"/>
      <x:c r="I7703" s="6" t="str">
        <x:v>Pingshui main-list expansion; 詞 entries ignored</x:v>
      </x:c>
      <x:c r="J7703" s="6" t="str">
        <x:f>IF(B7703="","",IF(AND(ISNUMBER(SEARCH("平",B7703)),OR(ISNUMBER(SEARCH("上",B7703)),ISNUMBER(SEARCH("去",B7703)),ISNUMBER(SEARCH("入",B7703)))),"Ambiguous",IF(ISNUMBER(SEARCH("平",B7703)),"平","仄")))</x:f>
        <x:v>仄</x:v>
      </x:c>
      <x:c r="K7703" s="6" t="str">
        <x:f>IF(D7703="","",IF(AND(ISNUMBER(SEARCH("平",D7703)),OR(ISNUMBER(SEARCH("上",D7703)),ISNUMBER(SEARCH("去",D7703)),ISNUMBER(SEARCH("入",D7703)))),"Ambiguous",IF(ISNUMBER(SEARCH("平",D7703)),"平","仄")))</x:f>
        <x:v>仄</x:v>
      </x:c>
      <x:c r="L7703" s="7" t="str">
        <x:v>Pingshui main list expansion</x:v>
      </x:c>
    </x:row>
    <x:row r="7704">
      <x:c r="A7704" s="5" t="str">
        <x:v>茯</x:v>
      </x:c>
      <x:c r="B7704" s="6" t="str">
        <x:v>入</x:v>
      </x:c>
      <x:c r="C7704" s="6" t="str">
        <x:f>IF(B7704="","Needs decision","Ready")</x:f>
        <x:v>Ready</x:v>
      </x:c>
      <x:c r="D7704" s="6" t="str">
        <x:v>入</x:v>
      </x:c>
      <x:c r="E7704" s="6" t="str"/>
      <x:c r="F7704" s="6" t="str">
        <x:v>入聲一屋</x:v>
      </x:c>
      <x:c r="G7704" s="6" t="str">
        <x:v>Pingshui main list, Wikisource-derived DOCX</x:v>
      </x:c>
      <x:c r="H7704" s="6" t="str"/>
      <x:c r="I7704" s="6" t="str">
        <x:v>Pingshui main-list expansion; 詞 entries ignored</x:v>
      </x:c>
      <x:c r="J7704" s="6" t="str">
        <x:f>IF(B7704="","",IF(AND(ISNUMBER(SEARCH("平",B7704)),OR(ISNUMBER(SEARCH("上",B7704)),ISNUMBER(SEARCH("去",B7704)),ISNUMBER(SEARCH("入",B7704)))),"Ambiguous",IF(ISNUMBER(SEARCH("平",B7704)),"平","仄")))</x:f>
        <x:v>仄</x:v>
      </x:c>
      <x:c r="K7704" s="6" t="str">
        <x:f>IF(D7704="","",IF(AND(ISNUMBER(SEARCH("平",D7704)),OR(ISNUMBER(SEARCH("上",D7704)),ISNUMBER(SEARCH("去",D7704)),ISNUMBER(SEARCH("入",D7704)))),"Ambiguous",IF(ISNUMBER(SEARCH("平",D7704)),"平","仄")))</x:f>
        <x:v>仄</x:v>
      </x:c>
      <x:c r="L7704" s="7" t="str">
        <x:v>Pingshui main list expansion</x:v>
      </x:c>
    </x:row>
    <x:row r="7705">
      <x:c r="A7705" s="5" t="str">
        <x:v>茳</x:v>
      </x:c>
      <x:c r="B7705" s="6" t="str">
        <x:v>平</x:v>
      </x:c>
      <x:c r="C7705" s="6" t="str">
        <x:f>IF(B7705="","Needs decision","Ready")</x:f>
        <x:v>Ready</x:v>
      </x:c>
      <x:c r="D7705" s="6" t="str">
        <x:v>平</x:v>
      </x:c>
      <x:c r="E7705" s="6" t="str"/>
      <x:c r="F7705" s="6" t="str">
        <x:v>上平聲三江</x:v>
      </x:c>
      <x:c r="G7705" s="6" t="str">
        <x:v>Pingshui main list, Wikisource-derived DOCX</x:v>
      </x:c>
      <x:c r="H7705" s="6" t="str"/>
      <x:c r="I7705" s="6" t="str">
        <x:v>Pingshui main-list expansion; 詞 entries ignored</x:v>
      </x:c>
      <x:c r="J7705" s="6" t="str">
        <x:f>IF(B7705="","",IF(AND(ISNUMBER(SEARCH("平",B7705)),OR(ISNUMBER(SEARCH("上",B7705)),ISNUMBER(SEARCH("去",B7705)),ISNUMBER(SEARCH("入",B7705)))),"Ambiguous",IF(ISNUMBER(SEARCH("平",B7705)),"平","仄")))</x:f>
        <x:v>平</x:v>
      </x:c>
      <x:c r="K7705" s="6" t="str">
        <x:f>IF(D7705="","",IF(AND(ISNUMBER(SEARCH("平",D7705)),OR(ISNUMBER(SEARCH("上",D7705)),ISNUMBER(SEARCH("去",D7705)),ISNUMBER(SEARCH("入",D7705)))),"Ambiguous",IF(ISNUMBER(SEARCH("平",D7705)),"平","仄")))</x:f>
        <x:v>平</x:v>
      </x:c>
      <x:c r="L7705" s="7" t="str">
        <x:v>Pingshui main list expansion</x:v>
      </x:c>
    </x:row>
    <x:row r="7706">
      <x:c r="A7706" s="5" t="str">
        <x:v>茴</x:v>
      </x:c>
      <x:c r="B7706" s="6" t="str">
        <x:v>平</x:v>
      </x:c>
      <x:c r="C7706" s="6" t="str">
        <x:f>IF(B7706="","Needs decision","Ready")</x:f>
        <x:v>Ready</x:v>
      </x:c>
      <x:c r="D7706" s="6" t="str">
        <x:v>平</x:v>
      </x:c>
      <x:c r="E7706" s="6" t="str"/>
      <x:c r="F7706" s="6" t="str">
        <x:v>上平聲十灰</x:v>
      </x:c>
      <x:c r="G7706" s="6" t="str">
        <x:v>Pingshui main list, Wikisource-derived DOCX</x:v>
      </x:c>
      <x:c r="H7706" s="6" t="str"/>
      <x:c r="I7706" s="6" t="str">
        <x:v>Pingshui main-list expansion; 詞 entries ignored</x:v>
      </x:c>
      <x:c r="J7706" s="6" t="str">
        <x:f>IF(B7706="","",IF(AND(ISNUMBER(SEARCH("平",B7706)),OR(ISNUMBER(SEARCH("上",B7706)),ISNUMBER(SEARCH("去",B7706)),ISNUMBER(SEARCH("入",B7706)))),"Ambiguous",IF(ISNUMBER(SEARCH("平",B7706)),"平","仄")))</x:f>
        <x:v>平</x:v>
      </x:c>
      <x:c r="K7706" s="6" t="str">
        <x:f>IF(D7706="","",IF(AND(ISNUMBER(SEARCH("平",D7706)),OR(ISNUMBER(SEARCH("上",D7706)),ISNUMBER(SEARCH("去",D7706)),ISNUMBER(SEARCH("入",D7706)))),"Ambiguous",IF(ISNUMBER(SEARCH("平",D7706)),"平","仄")))</x:f>
        <x:v>平</x:v>
      </x:c>
      <x:c r="L7706" s="7" t="str">
        <x:v>Pingshui main list expansion</x:v>
      </x:c>
    </x:row>
    <x:row r="7707">
      <x:c r="A7707" s="5" t="str">
        <x:v>荍</x:v>
      </x:c>
      <x:c r="B7707" s="6" t="str">
        <x:v>平</x:v>
      </x:c>
      <x:c r="C7707" s="6" t="str">
        <x:f>IF(B7707="","Needs decision","Ready")</x:f>
        <x:v>Ready</x:v>
      </x:c>
      <x:c r="D7707" s="6" t="str">
        <x:v>平</x:v>
      </x:c>
      <x:c r="E7707" s="6" t="str"/>
      <x:c r="F7707" s="6" t="str">
        <x:v>下平聲二蕭</x:v>
      </x:c>
      <x:c r="G7707" s="6" t="str">
        <x:v>Pingshui main list, Wikisource-derived DOCX</x:v>
      </x:c>
      <x:c r="H7707" s="6" t="str"/>
      <x:c r="I7707" s="6" t="str">
        <x:v>Pingshui main-list expansion; 詞 entries ignored</x:v>
      </x:c>
      <x:c r="J7707" s="6" t="str">
        <x:f>IF(B7707="","",IF(AND(ISNUMBER(SEARCH("平",B7707)),OR(ISNUMBER(SEARCH("上",B7707)),ISNUMBER(SEARCH("去",B7707)),ISNUMBER(SEARCH("入",B7707)))),"Ambiguous",IF(ISNUMBER(SEARCH("平",B7707)),"平","仄")))</x:f>
        <x:v>平</x:v>
      </x:c>
      <x:c r="K7707" s="6" t="str">
        <x:f>IF(D7707="","",IF(AND(ISNUMBER(SEARCH("平",D7707)),OR(ISNUMBER(SEARCH("上",D7707)),ISNUMBER(SEARCH("去",D7707)),ISNUMBER(SEARCH("入",D7707)))),"Ambiguous",IF(ISNUMBER(SEARCH("平",D7707)),"平","仄")))</x:f>
        <x:v>平</x:v>
      </x:c>
      <x:c r="L7707" s="7" t="str">
        <x:v>Pingshui main list expansion</x:v>
      </x:c>
    </x:row>
    <x:row r="7708">
      <x:c r="A7708" s="5" t="str">
        <x:v>荽</x:v>
      </x:c>
      <x:c r="B7708" s="6" t="str">
        <x:v>平</x:v>
      </x:c>
      <x:c r="C7708" s="6" t="str">
        <x:f>IF(B7708="","Needs decision","Ready")</x:f>
        <x:v>Ready</x:v>
      </x:c>
      <x:c r="D7708" s="6" t="str">
        <x:v>平</x:v>
      </x:c>
      <x:c r="E7708" s="6" t="str"/>
      <x:c r="F7708" s="6" t="str">
        <x:v>上平聲四支</x:v>
      </x:c>
      <x:c r="G7708" s="6" t="str">
        <x:v>Pingshui main list, Wikisource-derived DOCX</x:v>
      </x:c>
      <x:c r="H7708" s="6" t="str"/>
      <x:c r="I7708" s="6" t="str">
        <x:v>Pingshui main-list expansion; 詞 entries ignored</x:v>
      </x:c>
      <x:c r="J7708" s="6" t="str">
        <x:f>IF(B7708="","",IF(AND(ISNUMBER(SEARCH("平",B7708)),OR(ISNUMBER(SEARCH("上",B7708)),ISNUMBER(SEARCH("去",B7708)),ISNUMBER(SEARCH("入",B7708)))),"Ambiguous",IF(ISNUMBER(SEARCH("平",B7708)),"平","仄")))</x:f>
        <x:v>平</x:v>
      </x:c>
      <x:c r="K7708" s="6" t="str">
        <x:f>IF(D7708="","",IF(AND(ISNUMBER(SEARCH("平",D7708)),OR(ISNUMBER(SEARCH("上",D7708)),ISNUMBER(SEARCH("去",D7708)),ISNUMBER(SEARCH("入",D7708)))),"Ambiguous",IF(ISNUMBER(SEARCH("平",D7708)),"平","仄")))</x:f>
        <x:v>平</x:v>
      </x:c>
      <x:c r="L7708" s="7" t="str">
        <x:v>Pingshui main list expansion</x:v>
      </x:c>
    </x:row>
    <x:row r="7709">
      <x:c r="A7709" s="5" t="str">
        <x:v>莆</x:v>
      </x:c>
      <x:c r="B7709" s="6" t="str">
        <x:v>上</x:v>
      </x:c>
      <x:c r="C7709" s="6" t="str">
        <x:f>IF(B7709="","Needs decision","Ready")</x:f>
        <x:v>Ready</x:v>
      </x:c>
      <x:c r="D7709" s="6" t="str">
        <x:v>上</x:v>
      </x:c>
      <x:c r="E7709" s="6" t="str"/>
      <x:c r="F7709" s="6" t="str">
        <x:v>上聲七麌</x:v>
      </x:c>
      <x:c r="G7709" s="6" t="str">
        <x:v>Pingshui main list, Wikisource-derived DOCX</x:v>
      </x:c>
      <x:c r="H7709" s="6" t="str"/>
      <x:c r="I7709" s="6" t="str">
        <x:v>Pingshui main-list expansion; 詞 entries ignored</x:v>
      </x:c>
      <x:c r="J7709" s="6" t="str">
        <x:f>IF(B7709="","",IF(AND(ISNUMBER(SEARCH("平",B7709)),OR(ISNUMBER(SEARCH("上",B7709)),ISNUMBER(SEARCH("去",B7709)),ISNUMBER(SEARCH("入",B7709)))),"Ambiguous",IF(ISNUMBER(SEARCH("平",B7709)),"平","仄")))</x:f>
        <x:v>仄</x:v>
      </x:c>
      <x:c r="K7709" s="6" t="str">
        <x:f>IF(D7709="","",IF(AND(ISNUMBER(SEARCH("平",D7709)),OR(ISNUMBER(SEARCH("上",D7709)),ISNUMBER(SEARCH("去",D7709)),ISNUMBER(SEARCH("入",D7709)))),"Ambiguous",IF(ISNUMBER(SEARCH("平",D7709)),"平","仄")))</x:f>
        <x:v>仄</x:v>
      </x:c>
      <x:c r="L7709" s="7" t="str">
        <x:v>Pingshui main list expansion</x:v>
      </x:c>
    </x:row>
    <x:row r="7710">
      <x:c r="A7710" s="5" t="str">
        <x:v>莉</x:v>
      </x:c>
      <x:c r="B7710" s="6" t="str">
        <x:v>去</x:v>
      </x:c>
      <x:c r="C7710" s="6" t="str">
        <x:f>IF(B7710="","Needs decision","Ready")</x:f>
        <x:v>Ready</x:v>
      </x:c>
      <x:c r="D7710" s="6" t="str">
        <x:v>去</x:v>
      </x:c>
      <x:c r="E7710" s="6" t="str"/>
      <x:c r="F7710" s="6" t="str">
        <x:v>去聲四寘</x:v>
      </x:c>
      <x:c r="G7710" s="6" t="str">
        <x:v>Pingshui main list, Wikisource-derived DOCX</x:v>
      </x:c>
      <x:c r="H7710" s="6" t="str"/>
      <x:c r="I7710" s="6" t="str">
        <x:v>Pingshui main-list expansion; 詞 entries ignored</x:v>
      </x:c>
      <x:c r="J7710" s="6" t="str">
        <x:f>IF(B7710="","",IF(AND(ISNUMBER(SEARCH("平",B7710)),OR(ISNUMBER(SEARCH("上",B7710)),ISNUMBER(SEARCH("去",B7710)),ISNUMBER(SEARCH("入",B7710)))),"Ambiguous",IF(ISNUMBER(SEARCH("平",B7710)),"平","仄")))</x:f>
        <x:v>仄</x:v>
      </x:c>
      <x:c r="K7710" s="6" t="str">
        <x:f>IF(D7710="","",IF(AND(ISNUMBER(SEARCH("平",D7710)),OR(ISNUMBER(SEARCH("上",D7710)),ISNUMBER(SEARCH("去",D7710)),ISNUMBER(SEARCH("入",D7710)))),"Ambiguous",IF(ISNUMBER(SEARCH("平",D7710)),"平","仄")))</x:f>
        <x:v>仄</x:v>
      </x:c>
      <x:c r="L7710" s="7" t="str">
        <x:v>Pingshui main list expansion</x:v>
      </x:c>
    </x:row>
    <x:row r="7711">
      <x:c r="A7711" s="5" t="str">
        <x:v>莌</x:v>
      </x:c>
      <x:c r="B7711" s="6" t="str">
        <x:v>入</x:v>
      </x:c>
      <x:c r="C7711" s="6" t="str">
        <x:f>IF(B7711="","Needs decision","Ready")</x:f>
        <x:v>Ready</x:v>
      </x:c>
      <x:c r="D7711" s="6" t="str">
        <x:v>入</x:v>
      </x:c>
      <x:c r="E7711" s="6" t="str"/>
      <x:c r="F7711" s="6" t="str">
        <x:v>入聲七曷</x:v>
      </x:c>
      <x:c r="G7711" s="6" t="str">
        <x:v>Pingshui main list, Wikisource-derived DOCX</x:v>
      </x:c>
      <x:c r="H7711" s="6" t="str"/>
      <x:c r="I7711" s="6" t="str">
        <x:v>Pingshui main-list expansion; 詞 entries ignored</x:v>
      </x:c>
      <x:c r="J7711" s="6" t="str">
        <x:f>IF(B7711="","",IF(AND(ISNUMBER(SEARCH("平",B7711)),OR(ISNUMBER(SEARCH("上",B7711)),ISNUMBER(SEARCH("去",B7711)),ISNUMBER(SEARCH("入",B7711)))),"Ambiguous",IF(ISNUMBER(SEARCH("平",B7711)),"平","仄")))</x:f>
        <x:v>仄</x:v>
      </x:c>
      <x:c r="K7711" s="6" t="str">
        <x:f>IF(D7711="","",IF(AND(ISNUMBER(SEARCH("平",D7711)),OR(ISNUMBER(SEARCH("上",D7711)),ISNUMBER(SEARCH("去",D7711)),ISNUMBER(SEARCH("入",D7711)))),"Ambiguous",IF(ISNUMBER(SEARCH("平",D7711)),"平","仄")))</x:f>
        <x:v>仄</x:v>
      </x:c>
      <x:c r="L7711" s="7" t="str">
        <x:v>Pingshui main list expansion</x:v>
      </x:c>
    </x:row>
    <x:row r="7712">
      <x:c r="A7712" s="5" t="str">
        <x:v>莚</x:v>
      </x:c>
      <x:c r="B7712" s="6" t="str"/>
      <x:c r="C7712" s="6" t="str">
        <x:f>IF(B7712="","Needs decision","Ready")</x:f>
        <x:v>Needs decision</x:v>
      </x:c>
      <x:c r="D7712" s="6" t="str">
        <x:v>平/去</x:v>
      </x:c>
      <x:c r="E7712" s="6" t="str"/>
      <x:c r="F7712" s="6" t="str">
        <x:v>下平聲一先; 去聲十七霰</x:v>
      </x:c>
      <x:c r="G7712" s="6" t="str">
        <x:v>Pingshui main list, Wikisource-derived DOCX</x:v>
      </x:c>
      <x:c r="H7712" s="6" t="str"/>
      <x:c r="I7712" s="6" t="str">
        <x:v>Pingshui main-list expansion; 詞 entries ignored</x:v>
      </x:c>
      <x:c r="J7712" s="6" t="str">
        <x:f>IF(B7712="","",IF(AND(ISNUMBER(SEARCH("平",B7712)),OR(ISNUMBER(SEARCH("上",B7712)),ISNUMBER(SEARCH("去",B7712)),ISNUMBER(SEARCH("入",B7712)))),"Ambiguous",IF(ISNUMBER(SEARCH("平",B7712)),"平","仄")))</x:f>
      </x:c>
      <x:c r="K7712" s="6" t="str">
        <x:f>IF(D7712="","",IF(AND(ISNUMBER(SEARCH("平",D7712)),OR(ISNUMBER(SEARCH("上",D7712)),ISNUMBER(SEARCH("去",D7712)),ISNUMBER(SEARCH("入",D7712)))),"Ambiguous",IF(ISNUMBER(SEARCH("平",D7712)),"平","仄")))</x:f>
        <x:v>Ambiguous</x:v>
      </x:c>
      <x:c r="L7712" s="7" t="str">
        <x:v>Pingshui main list expansion</x:v>
      </x:c>
    </x:row>
    <x:row r="7713">
      <x:c r="A7713" s="5" t="str">
        <x:v>莛</x:v>
      </x:c>
      <x:c r="B7713" s="6" t="str"/>
      <x:c r="C7713" s="6" t="str">
        <x:f>IF(B7713="","Needs decision","Ready")</x:f>
        <x:v>Needs decision</x:v>
      </x:c>
      <x:c r="D7713" s="6" t="str">
        <x:v>平/上</x:v>
      </x:c>
      <x:c r="E7713" s="6" t="str"/>
      <x:c r="F7713" s="6" t="str">
        <x:v>下平聲九青; 上聲二十四迥</x:v>
      </x:c>
      <x:c r="G7713" s="6" t="str">
        <x:v>Pingshui main list, Wikisource-derived DOCX</x:v>
      </x:c>
      <x:c r="H7713" s="6" t="str"/>
      <x:c r="I7713" s="6" t="str">
        <x:v>Pingshui main-list expansion; 詞 entries ignored</x:v>
      </x:c>
      <x:c r="J7713" s="6" t="str">
        <x:f>IF(B7713="","",IF(AND(ISNUMBER(SEARCH("平",B7713)),OR(ISNUMBER(SEARCH("上",B7713)),ISNUMBER(SEARCH("去",B7713)),ISNUMBER(SEARCH("入",B7713)))),"Ambiguous",IF(ISNUMBER(SEARCH("平",B7713)),"平","仄")))</x:f>
      </x:c>
      <x:c r="K7713" s="6" t="str">
        <x:f>IF(D7713="","",IF(AND(ISNUMBER(SEARCH("平",D7713)),OR(ISNUMBER(SEARCH("上",D7713)),ISNUMBER(SEARCH("去",D7713)),ISNUMBER(SEARCH("入",D7713)))),"Ambiguous",IF(ISNUMBER(SEARCH("平",D7713)),"平","仄")))</x:f>
        <x:v>Ambiguous</x:v>
      </x:c>
      <x:c r="L7713" s="7" t="str">
        <x:v>Pingshui main list expansion</x:v>
      </x:c>
    </x:row>
    <x:row r="7714">
      <x:c r="A7714" s="5" t="str">
        <x:v>莝</x:v>
      </x:c>
      <x:c r="B7714" s="6" t="str">
        <x:v>去</x:v>
      </x:c>
      <x:c r="C7714" s="6" t="str">
        <x:f>IF(B7714="","Needs decision","Ready")</x:f>
        <x:v>Ready</x:v>
      </x:c>
      <x:c r="D7714" s="6" t="str">
        <x:v>去</x:v>
      </x:c>
      <x:c r="E7714" s="6" t="str"/>
      <x:c r="F7714" s="6" t="str">
        <x:v>去聲二十一箇</x:v>
      </x:c>
      <x:c r="G7714" s="6" t="str">
        <x:v>Pingshui main list, Wikisource-derived DOCX</x:v>
      </x:c>
      <x:c r="H7714" s="6" t="str"/>
      <x:c r="I7714" s="6" t="str">
        <x:v>Pingshui main-list expansion; 詞 entries ignored</x:v>
      </x:c>
      <x:c r="J7714" s="6" t="str">
        <x:f>IF(B7714="","",IF(AND(ISNUMBER(SEARCH("平",B7714)),OR(ISNUMBER(SEARCH("上",B7714)),ISNUMBER(SEARCH("去",B7714)),ISNUMBER(SEARCH("入",B7714)))),"Ambiguous",IF(ISNUMBER(SEARCH("平",B7714)),"平","仄")))</x:f>
        <x:v>仄</x:v>
      </x:c>
      <x:c r="K7714" s="6" t="str">
        <x:f>IF(D7714="","",IF(AND(ISNUMBER(SEARCH("平",D7714)),OR(ISNUMBER(SEARCH("上",D7714)),ISNUMBER(SEARCH("去",D7714)),ISNUMBER(SEARCH("入",D7714)))),"Ambiguous",IF(ISNUMBER(SEARCH("平",D7714)),"平","仄")))</x:f>
        <x:v>仄</x:v>
      </x:c>
      <x:c r="L7714" s="7" t="str">
        <x:v>Pingshui main list expansion</x:v>
      </x:c>
    </x:row>
    <x:row r="7715">
      <x:c r="A7715" s="5" t="str">
        <x:v>莣</x:v>
      </x:c>
      <x:c r="B7715" s="6" t="str">
        <x:v>平</x:v>
      </x:c>
      <x:c r="C7715" s="6" t="str">
        <x:f>IF(B7715="","Needs decision","Ready")</x:f>
        <x:v>Ready</x:v>
      </x:c>
      <x:c r="D7715" s="6" t="str">
        <x:v>平</x:v>
      </x:c>
      <x:c r="E7715" s="6" t="str"/>
      <x:c r="F7715" s="6" t="str">
        <x:v>下平聲七陽</x:v>
      </x:c>
      <x:c r="G7715" s="6" t="str">
        <x:v>Pingshui main list, Wikisource-derived DOCX</x:v>
      </x:c>
      <x:c r="H7715" s="6" t="str"/>
      <x:c r="I7715" s="6" t="str">
        <x:v>Pingshui main-list expansion; 詞 entries ignored</x:v>
      </x:c>
      <x:c r="J7715" s="6" t="str">
        <x:f>IF(B7715="","",IF(AND(ISNUMBER(SEARCH("平",B7715)),OR(ISNUMBER(SEARCH("上",B7715)),ISNUMBER(SEARCH("去",B7715)),ISNUMBER(SEARCH("入",B7715)))),"Ambiguous",IF(ISNUMBER(SEARCH("平",B7715)),"平","仄")))</x:f>
        <x:v>平</x:v>
      </x:c>
      <x:c r="K7715" s="6" t="str">
        <x:f>IF(D7715="","",IF(AND(ISNUMBER(SEARCH("平",D7715)),OR(ISNUMBER(SEARCH("上",D7715)),ISNUMBER(SEARCH("去",D7715)),ISNUMBER(SEARCH("入",D7715)))),"Ambiguous",IF(ISNUMBER(SEARCH("平",D7715)),"平","仄")))</x:f>
        <x:v>平</x:v>
      </x:c>
      <x:c r="L7715" s="7" t="str">
        <x:v>Pingshui main list expansion</x:v>
      </x:c>
    </x:row>
    <x:row r="7716">
      <x:c r="A7716" s="5" t="str">
        <x:v>莤</x:v>
      </x:c>
      <x:c r="B7716" s="6" t="str">
        <x:v>入</x:v>
      </x:c>
      <x:c r="C7716" s="6" t="str">
        <x:f>IF(B7716="","Needs decision","Ready")</x:f>
        <x:v>Ready</x:v>
      </x:c>
      <x:c r="D7716" s="6" t="str">
        <x:v>入</x:v>
      </x:c>
      <x:c r="E7716" s="6" t="str"/>
      <x:c r="F7716" s="6" t="str">
        <x:v>入聲一屋</x:v>
      </x:c>
      <x:c r="G7716" s="6" t="str">
        <x:v>Pingshui main list, Wikisource-derived DOCX</x:v>
      </x:c>
      <x:c r="H7716" s="6" t="str"/>
      <x:c r="I7716" s="6" t="str">
        <x:v>Pingshui main-list expansion; 詞 entries ignored</x:v>
      </x:c>
      <x:c r="J7716" s="6" t="str">
        <x:f>IF(B7716="","",IF(AND(ISNUMBER(SEARCH("平",B7716)),OR(ISNUMBER(SEARCH("上",B7716)),ISNUMBER(SEARCH("去",B7716)),ISNUMBER(SEARCH("入",B7716)))),"Ambiguous",IF(ISNUMBER(SEARCH("平",B7716)),"平","仄")))</x:f>
        <x:v>仄</x:v>
      </x:c>
      <x:c r="K7716" s="6" t="str">
        <x:f>IF(D7716="","",IF(AND(ISNUMBER(SEARCH("平",D7716)),OR(ISNUMBER(SEARCH("上",D7716)),ISNUMBER(SEARCH("去",D7716)),ISNUMBER(SEARCH("入",D7716)))),"Ambiguous",IF(ISNUMBER(SEARCH("平",D7716)),"平","仄")))</x:f>
        <x:v>仄</x:v>
      </x:c>
      <x:c r="L7716" s="7" t="str">
        <x:v>Pingshui main list expansion</x:v>
      </x:c>
    </x:row>
    <x:row r="7717">
      <x:c r="A7717" s="5" t="str">
        <x:v>莥</x:v>
      </x:c>
      <x:c r="B7717" s="6" t="str">
        <x:v>上</x:v>
      </x:c>
      <x:c r="C7717" s="6" t="str">
        <x:f>IF(B7717="","Needs decision","Ready")</x:f>
        <x:v>Ready</x:v>
      </x:c>
      <x:c r="D7717" s="6" t="str">
        <x:v>上</x:v>
      </x:c>
      <x:c r="E7717" s="6" t="str"/>
      <x:c r="F7717" s="6" t="str">
        <x:v>上聲二十五有</x:v>
      </x:c>
      <x:c r="G7717" s="6" t="str">
        <x:v>Pingshui main list, Wikisource-derived DOCX</x:v>
      </x:c>
      <x:c r="H7717" s="6" t="str"/>
      <x:c r="I7717" s="6" t="str">
        <x:v>Pingshui main-list expansion; 詞 entries ignored</x:v>
      </x:c>
      <x:c r="J7717" s="6" t="str">
        <x:f>IF(B7717="","",IF(AND(ISNUMBER(SEARCH("平",B7717)),OR(ISNUMBER(SEARCH("上",B7717)),ISNUMBER(SEARCH("去",B7717)),ISNUMBER(SEARCH("入",B7717)))),"Ambiguous",IF(ISNUMBER(SEARCH("平",B7717)),"平","仄")))</x:f>
        <x:v>仄</x:v>
      </x:c>
      <x:c r="K7717" s="6" t="str">
        <x:f>IF(D7717="","",IF(AND(ISNUMBER(SEARCH("平",D7717)),OR(ISNUMBER(SEARCH("上",D7717)),ISNUMBER(SEARCH("去",D7717)),ISNUMBER(SEARCH("入",D7717)))),"Ambiguous",IF(ISNUMBER(SEARCH("平",D7717)),"平","仄")))</x:f>
        <x:v>仄</x:v>
      </x:c>
      <x:c r="L7717" s="7" t="str">
        <x:v>Pingshui main list expansion</x:v>
      </x:c>
    </x:row>
    <x:row r="7718">
      <x:c r="A7718" s="5" t="str">
        <x:v>莦</x:v>
      </x:c>
      <x:c r="B7718" s="6" t="str">
        <x:v>平</x:v>
      </x:c>
      <x:c r="C7718" s="6" t="str">
        <x:f>IF(B7718="","Needs decision","Ready")</x:f>
        <x:v>Ready</x:v>
      </x:c>
      <x:c r="D7718" s="6" t="str">
        <x:v>平</x:v>
      </x:c>
      <x:c r="E7718" s="6" t="str"/>
      <x:c r="F7718" s="6" t="str">
        <x:v>下平聲三肴</x:v>
      </x:c>
      <x:c r="G7718" s="6" t="str">
        <x:v>Pingshui main list, Wikisource-derived DOCX</x:v>
      </x:c>
      <x:c r="H7718" s="6" t="str"/>
      <x:c r="I7718" s="6" t="str">
        <x:v>Pingshui main-list expansion; 詞 entries ignored</x:v>
      </x:c>
      <x:c r="J7718" s="6" t="str">
        <x:f>IF(B7718="","",IF(AND(ISNUMBER(SEARCH("平",B7718)),OR(ISNUMBER(SEARCH("上",B7718)),ISNUMBER(SEARCH("去",B7718)),ISNUMBER(SEARCH("入",B7718)))),"Ambiguous",IF(ISNUMBER(SEARCH("平",B7718)),"平","仄")))</x:f>
        <x:v>平</x:v>
      </x:c>
      <x:c r="K7718" s="6" t="str">
        <x:f>IF(D7718="","",IF(AND(ISNUMBER(SEARCH("平",D7718)),OR(ISNUMBER(SEARCH("上",D7718)),ISNUMBER(SEARCH("去",D7718)),ISNUMBER(SEARCH("入",D7718)))),"Ambiguous",IF(ISNUMBER(SEARCH("平",D7718)),"平","仄")))</x:f>
        <x:v>平</x:v>
      </x:c>
      <x:c r="L7718" s="7" t="str">
        <x:v>Pingshui main list expansion</x:v>
      </x:c>
    </x:row>
    <x:row r="7719">
      <x:c r="A7719" s="5" t="str">
        <x:v>莧</x:v>
      </x:c>
      <x:c r="B7719" s="6" t="str">
        <x:v>去</x:v>
      </x:c>
      <x:c r="C7719" s="6" t="str">
        <x:f>IF(B7719="","Needs decision","Ready")</x:f>
        <x:v>Ready</x:v>
      </x:c>
      <x:c r="D7719" s="6" t="str">
        <x:v>去</x:v>
      </x:c>
      <x:c r="E7719" s="6" t="str"/>
      <x:c r="F7719" s="6" t="str">
        <x:v>去聲十六諫</x:v>
      </x:c>
      <x:c r="G7719" s="6" t="str">
        <x:v>Pingshui main list, Wikisource-derived DOCX</x:v>
      </x:c>
      <x:c r="H7719" s="6" t="str"/>
      <x:c r="I7719" s="6" t="str">
        <x:v>Pingshui main-list expansion; 詞 entries ignored</x:v>
      </x:c>
      <x:c r="J7719" s="6" t="str">
        <x:f>IF(B7719="","",IF(AND(ISNUMBER(SEARCH("平",B7719)),OR(ISNUMBER(SEARCH("上",B7719)),ISNUMBER(SEARCH("去",B7719)),ISNUMBER(SEARCH("入",B7719)))),"Ambiguous",IF(ISNUMBER(SEARCH("平",B7719)),"平","仄")))</x:f>
        <x:v>仄</x:v>
      </x:c>
      <x:c r="K7719" s="6" t="str">
        <x:f>IF(D7719="","",IF(AND(ISNUMBER(SEARCH("平",D7719)),OR(ISNUMBER(SEARCH("上",D7719)),ISNUMBER(SEARCH("去",D7719)),ISNUMBER(SEARCH("入",D7719)))),"Ambiguous",IF(ISNUMBER(SEARCH("平",D7719)),"平","仄")))</x:f>
        <x:v>仄</x:v>
      </x:c>
      <x:c r="L7719" s="7" t="str">
        <x:v>Pingshui main list expansion</x:v>
      </x:c>
    </x:row>
    <x:row r="7720">
      <x:c r="A7720" s="5" t="str">
        <x:v>莨</x:v>
      </x:c>
      <x:c r="B7720" s="6" t="str">
        <x:v>平</x:v>
      </x:c>
      <x:c r="C7720" s="6" t="str">
        <x:f>IF(B7720="","Needs decision","Ready")</x:f>
        <x:v>Ready</x:v>
      </x:c>
      <x:c r="D7720" s="6" t="str">
        <x:v>平</x:v>
      </x:c>
      <x:c r="E7720" s="6" t="str"/>
      <x:c r="F7720" s="6" t="str">
        <x:v>下平聲七陽</x:v>
      </x:c>
      <x:c r="G7720" s="6" t="str">
        <x:v>Pingshui main list, Wikisource-derived DOCX</x:v>
      </x:c>
      <x:c r="H7720" s="6" t="str"/>
      <x:c r="I7720" s="6" t="str">
        <x:v>Pingshui main-list expansion; 詞 entries ignored</x:v>
      </x:c>
      <x:c r="J7720" s="6" t="str">
        <x:f>IF(B7720="","",IF(AND(ISNUMBER(SEARCH("平",B7720)),OR(ISNUMBER(SEARCH("上",B7720)),ISNUMBER(SEARCH("去",B7720)),ISNUMBER(SEARCH("入",B7720)))),"Ambiguous",IF(ISNUMBER(SEARCH("平",B7720)),"平","仄")))</x:f>
        <x:v>平</x:v>
      </x:c>
      <x:c r="K7720" s="6" t="str">
        <x:f>IF(D7720="","",IF(AND(ISNUMBER(SEARCH("平",D7720)),OR(ISNUMBER(SEARCH("上",D7720)),ISNUMBER(SEARCH("去",D7720)),ISNUMBER(SEARCH("入",D7720)))),"Ambiguous",IF(ISNUMBER(SEARCH("平",D7720)),"平","仄")))</x:f>
        <x:v>平</x:v>
      </x:c>
      <x:c r="L7720" s="7" t="str">
        <x:v>Pingshui main list expansion</x:v>
      </x:c>
    </x:row>
    <x:row r="7721">
      <x:c r="A7721" s="5" t="str">
        <x:v>莩</x:v>
      </x:c>
      <x:c r="B7721" s="6" t="str">
        <x:v>平</x:v>
      </x:c>
      <x:c r="C7721" s="6" t="str">
        <x:f>IF(B7721="","Needs decision","Ready")</x:f>
        <x:v>Ready</x:v>
      </x:c>
      <x:c r="D7721" s="6" t="str">
        <x:v>平</x:v>
      </x:c>
      <x:c r="E7721" s="6" t="str"/>
      <x:c r="F7721" s="6" t="str">
        <x:v>上平聲七虞</x:v>
      </x:c>
      <x:c r="G7721" s="6" t="str">
        <x:v>Pingshui main list, Wikisource-derived DOCX</x:v>
      </x:c>
      <x:c r="H7721" s="6" t="str"/>
      <x:c r="I7721" s="6" t="str">
        <x:v>Pingshui main-list expansion; 詞 entries ignored</x:v>
      </x:c>
      <x:c r="J7721" s="6" t="str">
        <x:f>IF(B7721="","",IF(AND(ISNUMBER(SEARCH("平",B7721)),OR(ISNUMBER(SEARCH("上",B7721)),ISNUMBER(SEARCH("去",B7721)),ISNUMBER(SEARCH("入",B7721)))),"Ambiguous",IF(ISNUMBER(SEARCH("平",B7721)),"平","仄")))</x:f>
        <x:v>平</x:v>
      </x:c>
      <x:c r="K7721" s="6" t="str">
        <x:f>IF(D7721="","",IF(AND(ISNUMBER(SEARCH("平",D7721)),OR(ISNUMBER(SEARCH("上",D7721)),ISNUMBER(SEARCH("去",D7721)),ISNUMBER(SEARCH("入",D7721)))),"Ambiguous",IF(ISNUMBER(SEARCH("平",D7721)),"平","仄")))</x:f>
        <x:v>平</x:v>
      </x:c>
      <x:c r="L7721" s="7" t="str">
        <x:v>Pingshui main list expansion</x:v>
      </x:c>
    </x:row>
    <x:row r="7722">
      <x:c r="A7722" s="5" t="str">
        <x:v>菏</x:v>
      </x:c>
      <x:c r="B7722" s="6" t="str">
        <x:v>平</x:v>
      </x:c>
      <x:c r="C7722" s="6" t="str">
        <x:f>IF(B7722="","Needs decision","Ready")</x:f>
        <x:v>Ready</x:v>
      </x:c>
      <x:c r="D7722" s="6" t="str">
        <x:v>平</x:v>
      </x:c>
      <x:c r="E7722" s="6" t="str"/>
      <x:c r="F7722" s="6" t="str">
        <x:v>下平聲五歌</x:v>
      </x:c>
      <x:c r="G7722" s="6" t="str">
        <x:v>Pingshui main list, Wikisource-derived DOCX</x:v>
      </x:c>
      <x:c r="H7722" s="6" t="str"/>
      <x:c r="I7722" s="6" t="str">
        <x:v>Pingshui main-list expansion; 詞 entries ignored</x:v>
      </x:c>
      <x:c r="J7722" s="6" t="str">
        <x:f>IF(B7722="","",IF(AND(ISNUMBER(SEARCH("平",B7722)),OR(ISNUMBER(SEARCH("上",B7722)),ISNUMBER(SEARCH("去",B7722)),ISNUMBER(SEARCH("入",B7722)))),"Ambiguous",IF(ISNUMBER(SEARCH("平",B7722)),"平","仄")))</x:f>
        <x:v>平</x:v>
      </x:c>
      <x:c r="K7722" s="6" t="str">
        <x:f>IF(D7722="","",IF(AND(ISNUMBER(SEARCH("平",D7722)),OR(ISNUMBER(SEARCH("上",D7722)),ISNUMBER(SEARCH("去",D7722)),ISNUMBER(SEARCH("入",D7722)))),"Ambiguous",IF(ISNUMBER(SEARCH("平",D7722)),"平","仄")))</x:f>
        <x:v>平</x:v>
      </x:c>
      <x:c r="L7722" s="7" t="str">
        <x:v>Pingshui main list expansion</x:v>
      </x:c>
    </x:row>
    <x:row r="7723">
      <x:c r="A7723" s="5" t="str">
        <x:v>菔</x:v>
      </x:c>
      <x:c r="B7723" s="6" t="str">
        <x:v>入</x:v>
      </x:c>
      <x:c r="C7723" s="6" t="str">
        <x:f>IF(B7723="","Needs decision","Ready")</x:f>
        <x:v>Ready</x:v>
      </x:c>
      <x:c r="D7723" s="6" t="str">
        <x:v>入</x:v>
      </x:c>
      <x:c r="E7723" s="6" t="str"/>
      <x:c r="F7723" s="6" t="str">
        <x:v>入聲一屋; 入聲十三職</x:v>
      </x:c>
      <x:c r="G7723" s="6" t="str">
        <x:v>Pingshui main list, Wikisource-derived DOCX</x:v>
      </x:c>
      <x:c r="H7723" s="6" t="str"/>
      <x:c r="I7723" s="6" t="str">
        <x:v>Pingshui main-list expansion; 詞 entries ignored</x:v>
      </x:c>
      <x:c r="J7723" s="6" t="str">
        <x:f>IF(B7723="","",IF(AND(ISNUMBER(SEARCH("平",B7723)),OR(ISNUMBER(SEARCH("上",B7723)),ISNUMBER(SEARCH("去",B7723)),ISNUMBER(SEARCH("入",B7723)))),"Ambiguous",IF(ISNUMBER(SEARCH("平",B7723)),"平","仄")))</x:f>
        <x:v>仄</x:v>
      </x:c>
      <x:c r="K7723" s="6" t="str">
        <x:f>IF(D7723="","",IF(AND(ISNUMBER(SEARCH("平",D7723)),OR(ISNUMBER(SEARCH("上",D7723)),ISNUMBER(SEARCH("去",D7723)),ISNUMBER(SEARCH("入",D7723)))),"Ambiguous",IF(ISNUMBER(SEARCH("平",D7723)),"平","仄")))</x:f>
        <x:v>仄</x:v>
      </x:c>
      <x:c r="L7723" s="7" t="str">
        <x:v>Pingshui main list expansion</x:v>
      </x:c>
    </x:row>
    <x:row r="7724">
      <x:c r="A7724" s="5" t="str">
        <x:v>菝</x:v>
      </x:c>
      <x:c r="B7724" s="6" t="str">
        <x:v>入</x:v>
      </x:c>
      <x:c r="C7724" s="6" t="str">
        <x:f>IF(B7724="","Needs decision","Ready")</x:f>
        <x:v>Ready</x:v>
      </x:c>
      <x:c r="D7724" s="6" t="str">
        <x:v>入</x:v>
      </x:c>
      <x:c r="E7724" s="6" t="str"/>
      <x:c r="F7724" s="6" t="str">
        <x:v>入聲八黠</x:v>
      </x:c>
      <x:c r="G7724" s="6" t="str">
        <x:v>Pingshui main list, Wikisource-derived DOCX</x:v>
      </x:c>
      <x:c r="H7724" s="6" t="str"/>
      <x:c r="I7724" s="6" t="str">
        <x:v>Pingshui main-list expansion; 詞 entries ignored</x:v>
      </x:c>
      <x:c r="J7724" s="6" t="str">
        <x:f>IF(B7724="","",IF(AND(ISNUMBER(SEARCH("平",B7724)),OR(ISNUMBER(SEARCH("上",B7724)),ISNUMBER(SEARCH("去",B7724)),ISNUMBER(SEARCH("入",B7724)))),"Ambiguous",IF(ISNUMBER(SEARCH("平",B7724)),"平","仄")))</x:f>
        <x:v>仄</x:v>
      </x:c>
      <x:c r="K7724" s="6" t="str">
        <x:f>IF(D7724="","",IF(AND(ISNUMBER(SEARCH("平",D7724)),OR(ISNUMBER(SEARCH("上",D7724)),ISNUMBER(SEARCH("去",D7724)),ISNUMBER(SEARCH("入",D7724)))),"Ambiguous",IF(ISNUMBER(SEARCH("平",D7724)),"平","仄")))</x:f>
        <x:v>仄</x:v>
      </x:c>
      <x:c r="L7724" s="7" t="str">
        <x:v>Pingshui main list expansion</x:v>
      </x:c>
    </x:row>
    <x:row r="7725">
      <x:c r="A7725" s="5" t="str">
        <x:v>菢</x:v>
      </x:c>
      <x:c r="B7725" s="6" t="str">
        <x:v>去</x:v>
      </x:c>
      <x:c r="C7725" s="6" t="str">
        <x:f>IF(B7725="","Needs decision","Ready")</x:f>
        <x:v>Ready</x:v>
      </x:c>
      <x:c r="D7725" s="6" t="str">
        <x:v>去</x:v>
      </x:c>
      <x:c r="E7725" s="6" t="str"/>
      <x:c r="F7725" s="6" t="str">
        <x:v>去聲二十號</x:v>
      </x:c>
      <x:c r="G7725" s="6" t="str">
        <x:v>Pingshui main list, Wikisource-derived DOCX</x:v>
      </x:c>
      <x:c r="H7725" s="6" t="str"/>
      <x:c r="I7725" s="6" t="str">
        <x:v>Pingshui main-list expansion; 詞 entries ignored</x:v>
      </x:c>
      <x:c r="J7725" s="6" t="str">
        <x:f>IF(B7725="","",IF(AND(ISNUMBER(SEARCH("平",B7725)),OR(ISNUMBER(SEARCH("上",B7725)),ISNUMBER(SEARCH("去",B7725)),ISNUMBER(SEARCH("入",B7725)))),"Ambiguous",IF(ISNUMBER(SEARCH("平",B7725)),"平","仄")))</x:f>
        <x:v>仄</x:v>
      </x:c>
      <x:c r="K7725" s="6" t="str">
        <x:f>IF(D7725="","",IF(AND(ISNUMBER(SEARCH("平",D7725)),OR(ISNUMBER(SEARCH("上",D7725)),ISNUMBER(SEARCH("去",D7725)),ISNUMBER(SEARCH("入",D7725)))),"Ambiguous",IF(ISNUMBER(SEARCH("平",D7725)),"平","仄")))</x:f>
        <x:v>仄</x:v>
      </x:c>
      <x:c r="L7725" s="7" t="str">
        <x:v>Pingshui main list expansion</x:v>
      </x:c>
    </x:row>
    <x:row r="7726">
      <x:c r="A7726" s="5" t="str">
        <x:v>菥</x:v>
      </x:c>
      <x:c r="B7726" s="6" t="str">
        <x:v>入</x:v>
      </x:c>
      <x:c r="C7726" s="6" t="str">
        <x:f>IF(B7726="","Needs decision","Ready")</x:f>
        <x:v>Ready</x:v>
      </x:c>
      <x:c r="D7726" s="6" t="str">
        <x:v>入</x:v>
      </x:c>
      <x:c r="E7726" s="6" t="str"/>
      <x:c r="F7726" s="6" t="str">
        <x:v>入聲十二錫</x:v>
      </x:c>
      <x:c r="G7726" s="6" t="str">
        <x:v>Pingshui main list, Wikisource-derived DOCX</x:v>
      </x:c>
      <x:c r="H7726" s="6" t="str"/>
      <x:c r="I7726" s="6" t="str">
        <x:v>Pingshui main-list expansion; 詞 entries ignored</x:v>
      </x:c>
      <x:c r="J7726" s="6" t="str">
        <x:f>IF(B7726="","",IF(AND(ISNUMBER(SEARCH("平",B7726)),OR(ISNUMBER(SEARCH("上",B7726)),ISNUMBER(SEARCH("去",B7726)),ISNUMBER(SEARCH("入",B7726)))),"Ambiguous",IF(ISNUMBER(SEARCH("平",B7726)),"平","仄")))</x:f>
        <x:v>仄</x:v>
      </x:c>
      <x:c r="K7726" s="6" t="str">
        <x:f>IF(D7726="","",IF(AND(ISNUMBER(SEARCH("平",D7726)),OR(ISNUMBER(SEARCH("上",D7726)),ISNUMBER(SEARCH("去",D7726)),ISNUMBER(SEARCH("入",D7726)))),"Ambiguous",IF(ISNUMBER(SEARCH("平",D7726)),"平","仄")))</x:f>
        <x:v>仄</x:v>
      </x:c>
      <x:c r="L7726" s="7" t="str">
        <x:v>Pingshui main list expansion</x:v>
      </x:c>
    </x:row>
    <x:row r="7727">
      <x:c r="A7727" s="5" t="str">
        <x:v>菨</x:v>
      </x:c>
      <x:c r="B7727" s="6" t="str">
        <x:v>入</x:v>
      </x:c>
      <x:c r="C7727" s="6" t="str">
        <x:f>IF(B7727="","Needs decision","Ready")</x:f>
        <x:v>Ready</x:v>
      </x:c>
      <x:c r="D7727" s="6" t="str">
        <x:v>入</x:v>
      </x:c>
      <x:c r="E7727" s="6" t="str"/>
      <x:c r="F7727" s="6" t="str">
        <x:v>入聲十六葉</x:v>
      </x:c>
      <x:c r="G7727" s="6" t="str">
        <x:v>Pingshui main list, Wikisource-derived DOCX</x:v>
      </x:c>
      <x:c r="H7727" s="6" t="str"/>
      <x:c r="I7727" s="6" t="str">
        <x:v>Pingshui main-list expansion; 詞 entries ignored</x:v>
      </x:c>
      <x:c r="J7727" s="6" t="str">
        <x:f>IF(B7727="","",IF(AND(ISNUMBER(SEARCH("平",B7727)),OR(ISNUMBER(SEARCH("上",B7727)),ISNUMBER(SEARCH("去",B7727)),ISNUMBER(SEARCH("入",B7727)))),"Ambiguous",IF(ISNUMBER(SEARCH("平",B7727)),"平","仄")))</x:f>
        <x:v>仄</x:v>
      </x:c>
      <x:c r="K7727" s="6" t="str">
        <x:f>IF(D7727="","",IF(AND(ISNUMBER(SEARCH("平",D7727)),OR(ISNUMBER(SEARCH("上",D7727)),ISNUMBER(SEARCH("去",D7727)),ISNUMBER(SEARCH("入",D7727)))),"Ambiguous",IF(ISNUMBER(SEARCH("平",D7727)),"平","仄")))</x:f>
        <x:v>仄</x:v>
      </x:c>
      <x:c r="L7727" s="7" t="str">
        <x:v>Pingshui main list expansion</x:v>
      </x:c>
    </x:row>
    <x:row r="7728">
      <x:c r="A7728" s="5" t="str">
        <x:v>菫</x:v>
      </x:c>
      <x:c r="B7728" s="6" t="str"/>
      <x:c r="C7728" s="6" t="str">
        <x:f>IF(B7728="","Needs decision","Ready")</x:f>
        <x:v>Needs decision</x:v>
      </x:c>
      <x:c r="D7728" s="6" t="str">
        <x:v>平/上</x:v>
      </x:c>
      <x:c r="E7728" s="6" t="str"/>
      <x:c r="F7728" s="6" t="str">
        <x:v>上平聲十二文; 上聲十二吻</x:v>
      </x:c>
      <x:c r="G7728" s="6" t="str">
        <x:v>Pingshui main list, Wikisource-derived DOCX</x:v>
      </x:c>
      <x:c r="H7728" s="6" t="str"/>
      <x:c r="I7728" s="6" t="str">
        <x:v>Pingshui main-list expansion; 詞 entries ignored</x:v>
      </x:c>
      <x:c r="J7728" s="6" t="str">
        <x:f>IF(B7728="","",IF(AND(ISNUMBER(SEARCH("平",B7728)),OR(ISNUMBER(SEARCH("上",B7728)),ISNUMBER(SEARCH("去",B7728)),ISNUMBER(SEARCH("入",B7728)))),"Ambiguous",IF(ISNUMBER(SEARCH("平",B7728)),"平","仄")))</x:f>
      </x:c>
      <x:c r="K7728" s="6" t="str">
        <x:f>IF(D7728="","",IF(AND(ISNUMBER(SEARCH("平",D7728)),OR(ISNUMBER(SEARCH("上",D7728)),ISNUMBER(SEARCH("去",D7728)),ISNUMBER(SEARCH("入",D7728)))),"Ambiguous",IF(ISNUMBER(SEARCH("平",D7728)),"平","仄")))</x:f>
        <x:v>Ambiguous</x:v>
      </x:c>
      <x:c r="L7728" s="7" t="str">
        <x:v>Pingshui main list expansion</x:v>
      </x:c>
    </x:row>
    <x:row r="7729">
      <x:c r="A7729" s="5" t="str">
        <x:v>菶</x:v>
      </x:c>
      <x:c r="B7729" s="6" t="str">
        <x:v>上</x:v>
      </x:c>
      <x:c r="C7729" s="6" t="str">
        <x:f>IF(B7729="","Needs decision","Ready")</x:f>
        <x:v>Ready</x:v>
      </x:c>
      <x:c r="D7729" s="6" t="str">
        <x:v>上</x:v>
      </x:c>
      <x:c r="E7729" s="6" t="str"/>
      <x:c r="F7729" s="6" t="str">
        <x:v>上聲一董</x:v>
      </x:c>
      <x:c r="G7729" s="6" t="str">
        <x:v>Pingshui main list, Wikisource-derived DOCX</x:v>
      </x:c>
      <x:c r="H7729" s="6" t="str"/>
      <x:c r="I7729" s="6" t="str">
        <x:v>Pingshui main-list expansion; 詞 entries ignored</x:v>
      </x:c>
      <x:c r="J7729" s="6" t="str">
        <x:f>IF(B7729="","",IF(AND(ISNUMBER(SEARCH("平",B7729)),OR(ISNUMBER(SEARCH("上",B7729)),ISNUMBER(SEARCH("去",B7729)),ISNUMBER(SEARCH("入",B7729)))),"Ambiguous",IF(ISNUMBER(SEARCH("平",B7729)),"平","仄")))</x:f>
        <x:v>仄</x:v>
      </x:c>
      <x:c r="K7729" s="6" t="str">
        <x:f>IF(D7729="","",IF(AND(ISNUMBER(SEARCH("平",D7729)),OR(ISNUMBER(SEARCH("上",D7729)),ISNUMBER(SEARCH("去",D7729)),ISNUMBER(SEARCH("入",D7729)))),"Ambiguous",IF(ISNUMBER(SEARCH("平",D7729)),"平","仄")))</x:f>
        <x:v>仄</x:v>
      </x:c>
      <x:c r="L7729" s="7" t="str">
        <x:v>Pingshui main list expansion</x:v>
      </x:c>
    </x:row>
    <x:row r="7730">
      <x:c r="A7730" s="5" t="str">
        <x:v>萐</x:v>
      </x:c>
      <x:c r="B7730" s="6" t="str">
        <x:v>入</x:v>
      </x:c>
      <x:c r="C7730" s="6" t="str">
        <x:f>IF(B7730="","Needs decision","Ready")</x:f>
        <x:v>Ready</x:v>
      </x:c>
      <x:c r="D7730" s="6" t="str">
        <x:v>入</x:v>
      </x:c>
      <x:c r="E7730" s="6" t="str"/>
      <x:c r="F7730" s="6" t="str">
        <x:v>入聲十六葉; 入聲十七洽</x:v>
      </x:c>
      <x:c r="G7730" s="6" t="str">
        <x:v>Pingshui main list, Wikisource-derived DOCX</x:v>
      </x:c>
      <x:c r="H7730" s="6" t="str"/>
      <x:c r="I7730" s="6" t="str">
        <x:v>Pingshui main-list expansion; 詞 entries ignored</x:v>
      </x:c>
      <x:c r="J7730" s="6" t="str">
        <x:f>IF(B7730="","",IF(AND(ISNUMBER(SEARCH("平",B7730)),OR(ISNUMBER(SEARCH("上",B7730)),ISNUMBER(SEARCH("去",B7730)),ISNUMBER(SEARCH("入",B7730)))),"Ambiguous",IF(ISNUMBER(SEARCH("平",B7730)),"平","仄")))</x:f>
        <x:v>仄</x:v>
      </x:c>
      <x:c r="K7730" s="6" t="str">
        <x:f>IF(D7730="","",IF(AND(ISNUMBER(SEARCH("平",D7730)),OR(ISNUMBER(SEARCH("上",D7730)),ISNUMBER(SEARCH("去",D7730)),ISNUMBER(SEARCH("入",D7730)))),"Ambiguous",IF(ISNUMBER(SEARCH("平",D7730)),"平","仄")))</x:f>
        <x:v>仄</x:v>
      </x:c>
      <x:c r="L7730" s="7" t="str">
        <x:v>Pingshui main list expansion</x:v>
      </x:c>
    </x:row>
    <x:row r="7731">
      <x:c r="A7731" s="5" t="str">
        <x:v>萯</x:v>
      </x:c>
      <x:c r="B7731" s="6" t="str">
        <x:v>上</x:v>
      </x:c>
      <x:c r="C7731" s="6" t="str">
        <x:f>IF(B7731="","Needs decision","Ready")</x:f>
        <x:v>Ready</x:v>
      </x:c>
      <x:c r="D7731" s="6" t="str">
        <x:v>上</x:v>
      </x:c>
      <x:c r="E7731" s="6" t="str"/>
      <x:c r="F7731" s="6" t="str">
        <x:v>上聲二十五有</x:v>
      </x:c>
      <x:c r="G7731" s="6" t="str">
        <x:v>Pingshui main list, Wikisource-derived DOCX</x:v>
      </x:c>
      <x:c r="H7731" s="6" t="str"/>
      <x:c r="I7731" s="6" t="str">
        <x:v>Pingshui main-list expansion; 詞 entries ignored</x:v>
      </x:c>
      <x:c r="J7731" s="6" t="str">
        <x:f>IF(B7731="","",IF(AND(ISNUMBER(SEARCH("平",B7731)),OR(ISNUMBER(SEARCH("上",B7731)),ISNUMBER(SEARCH("去",B7731)),ISNUMBER(SEARCH("入",B7731)))),"Ambiguous",IF(ISNUMBER(SEARCH("平",B7731)),"平","仄")))</x:f>
        <x:v>仄</x:v>
      </x:c>
      <x:c r="K7731" s="6" t="str">
        <x:f>IF(D7731="","",IF(AND(ISNUMBER(SEARCH("平",D7731)),OR(ISNUMBER(SEARCH("上",D7731)),ISNUMBER(SEARCH("去",D7731)),ISNUMBER(SEARCH("入",D7731)))),"Ambiguous",IF(ISNUMBER(SEARCH("平",D7731)),"平","仄")))</x:f>
        <x:v>仄</x:v>
      </x:c>
      <x:c r="L7731" s="7" t="str">
        <x:v>Pingshui main list expansion</x:v>
      </x:c>
    </x:row>
    <x:row r="7732">
      <x:c r="A7732" s="5" t="str">
        <x:v>萴</x:v>
      </x:c>
      <x:c r="B7732" s="6" t="str">
        <x:v>入</x:v>
      </x:c>
      <x:c r="C7732" s="6" t="str">
        <x:f>IF(B7732="","Needs decision","Ready")</x:f>
        <x:v>Ready</x:v>
      </x:c>
      <x:c r="D7732" s="6" t="str">
        <x:v>入</x:v>
      </x:c>
      <x:c r="E7732" s="6" t="str"/>
      <x:c r="F7732" s="6" t="str">
        <x:v>入聲十三職</x:v>
      </x:c>
      <x:c r="G7732" s="6" t="str">
        <x:v>Pingshui main list, Wikisource-derived DOCX</x:v>
      </x:c>
      <x:c r="H7732" s="6" t="str"/>
      <x:c r="I7732" s="6" t="str">
        <x:v>Pingshui main-list expansion; 詞 entries ignored</x:v>
      </x:c>
      <x:c r="J7732" s="6" t="str">
        <x:f>IF(B7732="","",IF(AND(ISNUMBER(SEARCH("平",B7732)),OR(ISNUMBER(SEARCH("上",B7732)),ISNUMBER(SEARCH("去",B7732)),ISNUMBER(SEARCH("入",B7732)))),"Ambiguous",IF(ISNUMBER(SEARCH("平",B7732)),"平","仄")))</x:f>
        <x:v>仄</x:v>
      </x:c>
      <x:c r="K7732" s="6" t="str">
        <x:f>IF(D7732="","",IF(AND(ISNUMBER(SEARCH("平",D7732)),OR(ISNUMBER(SEARCH("上",D7732)),ISNUMBER(SEARCH("去",D7732)),ISNUMBER(SEARCH("入",D7732)))),"Ambiguous",IF(ISNUMBER(SEARCH("平",D7732)),"平","仄")))</x:f>
        <x:v>仄</x:v>
      </x:c>
      <x:c r="L7732" s="7" t="str">
        <x:v>Pingshui main list expansion</x:v>
      </x:c>
    </x:row>
    <x:row r="7733">
      <x:c r="A7733" s="5" t="str">
        <x:v>葀</x:v>
      </x:c>
      <x:c r="B7733" s="6" t="str">
        <x:v>入</x:v>
      </x:c>
      <x:c r="C7733" s="6" t="str">
        <x:f>IF(B7733="","Needs decision","Ready")</x:f>
        <x:v>Ready</x:v>
      </x:c>
      <x:c r="D7733" s="6" t="str">
        <x:v>入</x:v>
      </x:c>
      <x:c r="E7733" s="6" t="str"/>
      <x:c r="F7733" s="6" t="str">
        <x:v>入聲七曷</x:v>
      </x:c>
      <x:c r="G7733" s="6" t="str">
        <x:v>Pingshui main list, Wikisource-derived DOCX</x:v>
      </x:c>
      <x:c r="H7733" s="6" t="str"/>
      <x:c r="I7733" s="6" t="str">
        <x:v>Pingshui main-list expansion; 詞 entries ignored</x:v>
      </x:c>
      <x:c r="J7733" s="6" t="str">
        <x:f>IF(B7733="","",IF(AND(ISNUMBER(SEARCH("平",B7733)),OR(ISNUMBER(SEARCH("上",B7733)),ISNUMBER(SEARCH("去",B7733)),ISNUMBER(SEARCH("入",B7733)))),"Ambiguous",IF(ISNUMBER(SEARCH("平",B7733)),"平","仄")))</x:f>
        <x:v>仄</x:v>
      </x:c>
      <x:c r="K7733" s="6" t="str">
        <x:f>IF(D7733="","",IF(AND(ISNUMBER(SEARCH("平",D7733)),OR(ISNUMBER(SEARCH("上",D7733)),ISNUMBER(SEARCH("去",D7733)),ISNUMBER(SEARCH("入",D7733)))),"Ambiguous",IF(ISNUMBER(SEARCH("平",D7733)),"平","仄")))</x:f>
        <x:v>仄</x:v>
      </x:c>
      <x:c r="L7733" s="7" t="str">
        <x:v>Pingshui main list expansion</x:v>
      </x:c>
    </x:row>
    <x:row r="7734">
      <x:c r="A7734" s="5" t="str">
        <x:v>葍</x:v>
      </x:c>
      <x:c r="B7734" s="6" t="str">
        <x:v>入</x:v>
      </x:c>
      <x:c r="C7734" s="6" t="str">
        <x:f>IF(B7734="","Needs decision","Ready")</x:f>
        <x:v>Ready</x:v>
      </x:c>
      <x:c r="D7734" s="6" t="str">
        <x:v>入</x:v>
      </x:c>
      <x:c r="E7734" s="6" t="str"/>
      <x:c r="F7734" s="6" t="str">
        <x:v>入聲一屋</x:v>
      </x:c>
      <x:c r="G7734" s="6" t="str">
        <x:v>Pingshui main list, Wikisource-derived DOCX</x:v>
      </x:c>
      <x:c r="H7734" s="6" t="str"/>
      <x:c r="I7734" s="6" t="str">
        <x:v>Pingshui main-list expansion; 詞 entries ignored</x:v>
      </x:c>
      <x:c r="J7734" s="6" t="str">
        <x:f>IF(B7734="","",IF(AND(ISNUMBER(SEARCH("平",B7734)),OR(ISNUMBER(SEARCH("上",B7734)),ISNUMBER(SEARCH("去",B7734)),ISNUMBER(SEARCH("入",B7734)))),"Ambiguous",IF(ISNUMBER(SEARCH("平",B7734)),"平","仄")))</x:f>
        <x:v>仄</x:v>
      </x:c>
      <x:c r="K7734" s="6" t="str">
        <x:f>IF(D7734="","",IF(AND(ISNUMBER(SEARCH("平",D7734)),OR(ISNUMBER(SEARCH("上",D7734)),ISNUMBER(SEARCH("去",D7734)),ISNUMBER(SEARCH("入",D7734)))),"Ambiguous",IF(ISNUMBER(SEARCH("平",D7734)),"平","仄")))</x:f>
        <x:v>仄</x:v>
      </x:c>
      <x:c r="L7734" s="7" t="str">
        <x:v>Pingshui main list expansion</x:v>
      </x:c>
    </x:row>
    <x:row r="7735">
      <x:c r="A7735" s="5" t="str">
        <x:v>葶</x:v>
      </x:c>
      <x:c r="B7735" s="6" t="str">
        <x:v>平</x:v>
      </x:c>
      <x:c r="C7735" s="6" t="str">
        <x:f>IF(B7735="","Needs decision","Ready")</x:f>
        <x:v>Ready</x:v>
      </x:c>
      <x:c r="D7735" s="6" t="str">
        <x:v>平</x:v>
      </x:c>
      <x:c r="E7735" s="6" t="str"/>
      <x:c r="F7735" s="6" t="str">
        <x:v>下平聲九青</x:v>
      </x:c>
      <x:c r="G7735" s="6" t="str">
        <x:v>Pingshui main list, Wikisource-derived DOCX</x:v>
      </x:c>
      <x:c r="H7735" s="6" t="str"/>
      <x:c r="I7735" s="6" t="str">
        <x:v>Pingshui main-list expansion; 詞 entries ignored</x:v>
      </x:c>
      <x:c r="J7735" s="6" t="str">
        <x:f>IF(B7735="","",IF(AND(ISNUMBER(SEARCH("平",B7735)),OR(ISNUMBER(SEARCH("上",B7735)),ISNUMBER(SEARCH("去",B7735)),ISNUMBER(SEARCH("入",B7735)))),"Ambiguous",IF(ISNUMBER(SEARCH("平",B7735)),"平","仄")))</x:f>
        <x:v>平</x:v>
      </x:c>
      <x:c r="K7735" s="6" t="str">
        <x:f>IF(D7735="","",IF(AND(ISNUMBER(SEARCH("平",D7735)),OR(ISNUMBER(SEARCH("上",D7735)),ISNUMBER(SEARCH("去",D7735)),ISNUMBER(SEARCH("入",D7735)))),"Ambiguous",IF(ISNUMBER(SEARCH("平",D7735)),"平","仄")))</x:f>
        <x:v>平</x:v>
      </x:c>
      <x:c r="L7735" s="7" t="str">
        <x:v>Pingshui main list expansion</x:v>
      </x:c>
    </x:row>
    <x:row r="7736">
      <x:c r="A7736" s="5" t="str">
        <x:v>蒑</x:v>
      </x:c>
      <x:c r="B7736" s="6" t="str">
        <x:v>平</x:v>
      </x:c>
      <x:c r="C7736" s="6" t="str">
        <x:f>IF(B7736="","Needs decision","Ready")</x:f>
        <x:v>Ready</x:v>
      </x:c>
      <x:c r="D7736" s="6" t="str">
        <x:v>平</x:v>
      </x:c>
      <x:c r="E7736" s="6" t="str"/>
      <x:c r="F7736" s="6" t="str">
        <x:v>上平聲十二文</x:v>
      </x:c>
      <x:c r="G7736" s="6" t="str">
        <x:v>Pingshui main list, Wikisource-derived DOCX</x:v>
      </x:c>
      <x:c r="H7736" s="6" t="str"/>
      <x:c r="I7736" s="6" t="str">
        <x:v>Pingshui main-list expansion; 詞 entries ignored</x:v>
      </x:c>
      <x:c r="J7736" s="6" t="str">
        <x:f>IF(B7736="","",IF(AND(ISNUMBER(SEARCH("平",B7736)),OR(ISNUMBER(SEARCH("上",B7736)),ISNUMBER(SEARCH("去",B7736)),ISNUMBER(SEARCH("入",B7736)))),"Ambiguous",IF(ISNUMBER(SEARCH("平",B7736)),"平","仄")))</x:f>
        <x:v>平</x:v>
      </x:c>
      <x:c r="K7736" s="6" t="str">
        <x:f>IF(D7736="","",IF(AND(ISNUMBER(SEARCH("平",D7736)),OR(ISNUMBER(SEARCH("上",D7736)),ISNUMBER(SEARCH("去",D7736)),ISNUMBER(SEARCH("入",D7736)))),"Ambiguous",IF(ISNUMBER(SEARCH("平",D7736)),"平","仄")))</x:f>
        <x:v>平</x:v>
      </x:c>
      <x:c r="L7736" s="7" t="str">
        <x:v>Pingshui main list expansion</x:v>
      </x:c>
    </x:row>
    <x:row r="7737">
      <x:c r="A7737" s="5" t="str">
        <x:v>蒘</x:v>
      </x:c>
      <x:c r="B7737" s="6" t="str">
        <x:v>平</x:v>
      </x:c>
      <x:c r="C7737" s="6" t="str">
        <x:f>IF(B7737="","Needs decision","Ready")</x:f>
        <x:v>Ready</x:v>
      </x:c>
      <x:c r="D7737" s="6" t="str">
        <x:v>平</x:v>
      </x:c>
      <x:c r="E7737" s="6" t="str"/>
      <x:c r="F7737" s="6" t="str">
        <x:v>上平聲六魚; 下平聲六麻</x:v>
      </x:c>
      <x:c r="G7737" s="6" t="str">
        <x:v>Pingshui main list, Wikisource-derived DOCX</x:v>
      </x:c>
      <x:c r="H7737" s="6" t="str"/>
      <x:c r="I7737" s="6" t="str">
        <x:v>Pingshui main-list expansion; 詞 entries ignored</x:v>
      </x:c>
      <x:c r="J7737" s="6" t="str">
        <x:f>IF(B7737="","",IF(AND(ISNUMBER(SEARCH("平",B7737)),OR(ISNUMBER(SEARCH("上",B7737)),ISNUMBER(SEARCH("去",B7737)),ISNUMBER(SEARCH("入",B7737)))),"Ambiguous",IF(ISNUMBER(SEARCH("平",B7737)),"平","仄")))</x:f>
        <x:v>平</x:v>
      </x:c>
      <x:c r="K7737" s="6" t="str">
        <x:f>IF(D7737="","",IF(AND(ISNUMBER(SEARCH("平",D7737)),OR(ISNUMBER(SEARCH("上",D7737)),ISNUMBER(SEARCH("去",D7737)),ISNUMBER(SEARCH("入",D7737)))),"Ambiguous",IF(ISNUMBER(SEARCH("平",D7737)),"平","仄")))</x:f>
        <x:v>平</x:v>
      </x:c>
      <x:c r="L7737" s="7" t="str">
        <x:v>Pingshui main list expansion</x:v>
      </x:c>
    </x:row>
    <x:row r="7738">
      <x:c r="A7738" s="5" t="str">
        <x:v>蒟</x:v>
      </x:c>
      <x:c r="B7738" s="6" t="str"/>
      <x:c r="C7738" s="6" t="str">
        <x:f>IF(B7738="","Needs decision","Ready")</x:f>
        <x:v>Needs decision</x:v>
      </x:c>
      <x:c r="D7738" s="6" t="str">
        <x:v>上/去</x:v>
      </x:c>
      <x:c r="E7738" s="6" t="str"/>
      <x:c r="F7738" s="6" t="str">
        <x:v>上聲七麌; 去聲七遇</x:v>
      </x:c>
      <x:c r="G7738" s="6" t="str">
        <x:v>Pingshui main list, Wikisource-derived DOCX</x:v>
      </x:c>
      <x:c r="H7738" s="6" t="str"/>
      <x:c r="I7738" s="6" t="str">
        <x:v>Pingshui main-list expansion; 詞 entries ignored</x:v>
      </x:c>
      <x:c r="J7738" s="6" t="str">
        <x:f>IF(B7738="","",IF(AND(ISNUMBER(SEARCH("平",B7738)),OR(ISNUMBER(SEARCH("上",B7738)),ISNUMBER(SEARCH("去",B7738)),ISNUMBER(SEARCH("入",B7738)))),"Ambiguous",IF(ISNUMBER(SEARCH("平",B7738)),"平","仄")))</x:f>
      </x:c>
      <x:c r="K7738" s="6" t="str">
        <x:f>IF(D7738="","",IF(AND(ISNUMBER(SEARCH("平",D7738)),OR(ISNUMBER(SEARCH("上",D7738)),ISNUMBER(SEARCH("去",D7738)),ISNUMBER(SEARCH("入",D7738)))),"Ambiguous",IF(ISNUMBER(SEARCH("平",D7738)),"平","仄")))</x:f>
        <x:v>仄</x:v>
      </x:c>
      <x:c r="L7738" s="7" t="str">
        <x:v>Pingshui main list expansion</x:v>
      </x:c>
    </x:row>
    <x:row r="7739">
      <x:c r="A7739" s="5" t="str">
        <x:v>蒢</x:v>
      </x:c>
      <x:c r="B7739" s="6" t="str">
        <x:v>平</x:v>
      </x:c>
      <x:c r="C7739" s="6" t="str">
        <x:f>IF(B7739="","Needs decision","Ready")</x:f>
        <x:v>Ready</x:v>
      </x:c>
      <x:c r="D7739" s="6" t="str">
        <x:v>平</x:v>
      </x:c>
      <x:c r="E7739" s="6" t="str"/>
      <x:c r="F7739" s="6" t="str">
        <x:v>上平聲六魚</x:v>
      </x:c>
      <x:c r="G7739" s="6" t="str">
        <x:v>Pingshui main list, Wikisource-derived DOCX</x:v>
      </x:c>
      <x:c r="H7739" s="6" t="str"/>
      <x:c r="I7739" s="6" t="str">
        <x:v>Pingshui main-list expansion; 詞 entries ignored</x:v>
      </x:c>
      <x:c r="J7739" s="6" t="str">
        <x:f>IF(B7739="","",IF(AND(ISNUMBER(SEARCH("平",B7739)),OR(ISNUMBER(SEARCH("上",B7739)),ISNUMBER(SEARCH("去",B7739)),ISNUMBER(SEARCH("入",B7739)))),"Ambiguous",IF(ISNUMBER(SEARCH("平",B7739)),"平","仄")))</x:f>
        <x:v>平</x:v>
      </x:c>
      <x:c r="K7739" s="6" t="str">
        <x:f>IF(D7739="","",IF(AND(ISNUMBER(SEARCH("平",D7739)),OR(ISNUMBER(SEARCH("上",D7739)),ISNUMBER(SEARCH("去",D7739)),ISNUMBER(SEARCH("入",D7739)))),"Ambiguous",IF(ISNUMBER(SEARCH("平",D7739)),"平","仄")))</x:f>
        <x:v>平</x:v>
      </x:c>
      <x:c r="L7739" s="7" t="str">
        <x:v>Pingshui main list expansion</x:v>
      </x:c>
    </x:row>
    <x:row r="7740">
      <x:c r="A7740" s="5" t="str">
        <x:v>蒩</x:v>
      </x:c>
      <x:c r="B7740" s="6" t="str">
        <x:v>平</x:v>
      </x:c>
      <x:c r="C7740" s="6" t="str">
        <x:f>IF(B7740="","Needs decision","Ready")</x:f>
        <x:v>Ready</x:v>
      </x:c>
      <x:c r="D7740" s="6" t="str">
        <x:v>平</x:v>
      </x:c>
      <x:c r="E7740" s="6" t="str"/>
      <x:c r="F7740" s="6" t="str">
        <x:v>上平聲七虞</x:v>
      </x:c>
      <x:c r="G7740" s="6" t="str">
        <x:v>Pingshui main list, Wikisource-derived DOCX</x:v>
      </x:c>
      <x:c r="H7740" s="6" t="str"/>
      <x:c r="I7740" s="6" t="str">
        <x:v>Pingshui main-list expansion; 詞 entries ignored</x:v>
      </x:c>
      <x:c r="J7740" s="6" t="str">
        <x:f>IF(B7740="","",IF(AND(ISNUMBER(SEARCH("平",B7740)),OR(ISNUMBER(SEARCH("上",B7740)),ISNUMBER(SEARCH("去",B7740)),ISNUMBER(SEARCH("入",B7740)))),"Ambiguous",IF(ISNUMBER(SEARCH("平",B7740)),"平","仄")))</x:f>
        <x:v>平</x:v>
      </x:c>
      <x:c r="K7740" s="6" t="str">
        <x:f>IF(D7740="","",IF(AND(ISNUMBER(SEARCH("平",D7740)),OR(ISNUMBER(SEARCH("上",D7740)),ISNUMBER(SEARCH("去",D7740)),ISNUMBER(SEARCH("入",D7740)))),"Ambiguous",IF(ISNUMBER(SEARCH("平",D7740)),"平","仄")))</x:f>
        <x:v>平</x:v>
      </x:c>
      <x:c r="L7740" s="7" t="str">
        <x:v>Pingshui main list expansion</x:v>
      </x:c>
    </x:row>
    <x:row r="7741">
      <x:c r="A7741" s="5" t="str">
        <x:v>蒫</x:v>
      </x:c>
      <x:c r="B7741" s="6" t="str">
        <x:v>平</x:v>
      </x:c>
      <x:c r="C7741" s="6" t="str">
        <x:f>IF(B7741="","Needs decision","Ready")</x:f>
        <x:v>Ready</x:v>
      </x:c>
      <x:c r="D7741" s="6" t="str">
        <x:v>平</x:v>
      </x:c>
      <x:c r="E7741" s="6" t="str"/>
      <x:c r="F7741" s="6" t="str">
        <x:v>下平聲六麻</x:v>
      </x:c>
      <x:c r="G7741" s="6" t="str">
        <x:v>Pingshui main list, Wikisource-derived DOCX</x:v>
      </x:c>
      <x:c r="H7741" s="6" t="str"/>
      <x:c r="I7741" s="6" t="str">
        <x:v>Pingshui main-list expansion; 詞 entries ignored</x:v>
      </x:c>
      <x:c r="J7741" s="6" t="str">
        <x:f>IF(B7741="","",IF(AND(ISNUMBER(SEARCH("平",B7741)),OR(ISNUMBER(SEARCH("上",B7741)),ISNUMBER(SEARCH("去",B7741)),ISNUMBER(SEARCH("入",B7741)))),"Ambiguous",IF(ISNUMBER(SEARCH("平",B7741)),"平","仄")))</x:f>
        <x:v>平</x:v>
      </x:c>
      <x:c r="K7741" s="6" t="str">
        <x:f>IF(D7741="","",IF(AND(ISNUMBER(SEARCH("平",D7741)),OR(ISNUMBER(SEARCH("上",D7741)),ISNUMBER(SEARCH("去",D7741)),ISNUMBER(SEARCH("入",D7741)))),"Ambiguous",IF(ISNUMBER(SEARCH("平",D7741)),"平","仄")))</x:f>
        <x:v>平</x:v>
      </x:c>
      <x:c r="L7741" s="7" t="str">
        <x:v>Pingshui main list expansion</x:v>
      </x:c>
    </x:row>
    <x:row r="7742">
      <x:c r="A7742" s="5" t="str">
        <x:v>蒱</x:v>
      </x:c>
      <x:c r="B7742" s="6" t="str">
        <x:v>平</x:v>
      </x:c>
      <x:c r="C7742" s="6" t="str">
        <x:f>IF(B7742="","Needs decision","Ready")</x:f>
        <x:v>Ready</x:v>
      </x:c>
      <x:c r="D7742" s="6" t="str">
        <x:v>平</x:v>
      </x:c>
      <x:c r="E7742" s="6" t="str"/>
      <x:c r="F7742" s="6" t="str">
        <x:v>上平聲七虞</x:v>
      </x:c>
      <x:c r="G7742" s="6" t="str">
        <x:v>Pingshui main list, Wikisource-derived DOCX</x:v>
      </x:c>
      <x:c r="H7742" s="6" t="str"/>
      <x:c r="I7742" s="6" t="str">
        <x:v>Pingshui main-list expansion; 詞 entries ignored</x:v>
      </x:c>
      <x:c r="J7742" s="6" t="str">
        <x:f>IF(B7742="","",IF(AND(ISNUMBER(SEARCH("平",B7742)),OR(ISNUMBER(SEARCH("上",B7742)),ISNUMBER(SEARCH("去",B7742)),ISNUMBER(SEARCH("入",B7742)))),"Ambiguous",IF(ISNUMBER(SEARCH("平",B7742)),"平","仄")))</x:f>
        <x:v>平</x:v>
      </x:c>
      <x:c r="K7742" s="6" t="str">
        <x:f>IF(D7742="","",IF(AND(ISNUMBER(SEARCH("平",D7742)),OR(ISNUMBER(SEARCH("上",D7742)),ISNUMBER(SEARCH("去",D7742)),ISNUMBER(SEARCH("入",D7742)))),"Ambiguous",IF(ISNUMBER(SEARCH("平",D7742)),"平","仄")))</x:f>
        <x:v>平</x:v>
      </x:c>
      <x:c r="L7742" s="7" t="str">
        <x:v>Pingshui main list expansion</x:v>
      </x:c>
    </x:row>
    <x:row r="7743">
      <x:c r="A7743" s="5" t="str">
        <x:v>蓓</x:v>
      </x:c>
      <x:c r="B7743" s="6" t="str">
        <x:v>上</x:v>
      </x:c>
      <x:c r="C7743" s="6" t="str">
        <x:f>IF(B7743="","Needs decision","Ready")</x:f>
        <x:v>Ready</x:v>
      </x:c>
      <x:c r="D7743" s="6" t="str">
        <x:v>上</x:v>
      </x:c>
      <x:c r="E7743" s="6" t="str"/>
      <x:c r="F7743" s="6" t="str">
        <x:v>上聲十賄</x:v>
      </x:c>
      <x:c r="G7743" s="6" t="str">
        <x:v>Pingshui main list, Wikisource-derived DOCX</x:v>
      </x:c>
      <x:c r="H7743" s="6" t="str"/>
      <x:c r="I7743" s="6" t="str">
        <x:v>Pingshui main-list expansion; 詞 entries ignored</x:v>
      </x:c>
      <x:c r="J7743" s="6" t="str">
        <x:f>IF(B7743="","",IF(AND(ISNUMBER(SEARCH("平",B7743)),OR(ISNUMBER(SEARCH("上",B7743)),ISNUMBER(SEARCH("去",B7743)),ISNUMBER(SEARCH("入",B7743)))),"Ambiguous",IF(ISNUMBER(SEARCH("平",B7743)),"平","仄")))</x:f>
        <x:v>仄</x:v>
      </x:c>
      <x:c r="K7743" s="6" t="str">
        <x:f>IF(D7743="","",IF(AND(ISNUMBER(SEARCH("平",D7743)),OR(ISNUMBER(SEARCH("上",D7743)),ISNUMBER(SEARCH("去",D7743)),ISNUMBER(SEARCH("入",D7743)))),"Ambiguous",IF(ISNUMBER(SEARCH("平",D7743)),"平","仄")))</x:f>
        <x:v>仄</x:v>
      </x:c>
      <x:c r="L7743" s="7" t="str">
        <x:v>Pingshui main list expansion</x:v>
      </x:c>
    </x:row>
    <x:row r="7744">
      <x:c r="A7744" s="5" t="str">
        <x:v>蓫</x:v>
      </x:c>
      <x:c r="B7744" s="6" t="str">
        <x:v>入</x:v>
      </x:c>
      <x:c r="C7744" s="6" t="str">
        <x:f>IF(B7744="","Needs decision","Ready")</x:f>
        <x:v>Ready</x:v>
      </x:c>
      <x:c r="D7744" s="6" t="str">
        <x:v>入</x:v>
      </x:c>
      <x:c r="E7744" s="6" t="str"/>
      <x:c r="F7744" s="6" t="str">
        <x:v>入聲一屋</x:v>
      </x:c>
      <x:c r="G7744" s="6" t="str">
        <x:v>Pingshui main list, Wikisource-derived DOCX</x:v>
      </x:c>
      <x:c r="H7744" s="6" t="str"/>
      <x:c r="I7744" s="6" t="str">
        <x:v>Pingshui main-list expansion; 詞 entries ignored</x:v>
      </x:c>
      <x:c r="J7744" s="6" t="str">
        <x:f>IF(B7744="","",IF(AND(ISNUMBER(SEARCH("平",B7744)),OR(ISNUMBER(SEARCH("上",B7744)),ISNUMBER(SEARCH("去",B7744)),ISNUMBER(SEARCH("入",B7744)))),"Ambiguous",IF(ISNUMBER(SEARCH("平",B7744)),"平","仄")))</x:f>
        <x:v>仄</x:v>
      </x:c>
      <x:c r="K7744" s="6" t="str">
        <x:f>IF(D7744="","",IF(AND(ISNUMBER(SEARCH("平",D7744)),OR(ISNUMBER(SEARCH("上",D7744)),ISNUMBER(SEARCH("去",D7744)),ISNUMBER(SEARCH("入",D7744)))),"Ambiguous",IF(ISNUMBER(SEARCH("平",D7744)),"平","仄")))</x:f>
        <x:v>仄</x:v>
      </x:c>
      <x:c r="L7744" s="7" t="str">
        <x:v>Pingshui main list expansion</x:v>
      </x:c>
    </x:row>
    <x:row r="7745">
      <x:c r="A7745" s="5" t="str">
        <x:v>蓰</x:v>
      </x:c>
      <x:c r="B7745" s="6" t="str"/>
      <x:c r="C7745" s="6" t="str">
        <x:f>IF(B7745="","Needs decision","Ready")</x:f>
        <x:v>Needs decision</x:v>
      </x:c>
      <x:c r="D7745" s="6" t="str">
        <x:v>平/上</x:v>
      </x:c>
      <x:c r="E7745" s="6" t="str"/>
      <x:c r="F7745" s="6" t="str">
        <x:v>上平聲四支; 上聲四紙</x:v>
      </x:c>
      <x:c r="G7745" s="6" t="str">
        <x:v>Pingshui main list, Wikisource-derived DOCX</x:v>
      </x:c>
      <x:c r="H7745" s="6" t="str"/>
      <x:c r="I7745" s="6" t="str">
        <x:v>Pingshui main-list expansion; 詞 entries ignored</x:v>
      </x:c>
      <x:c r="J7745" s="6" t="str">
        <x:f>IF(B7745="","",IF(AND(ISNUMBER(SEARCH("平",B7745)),OR(ISNUMBER(SEARCH("上",B7745)),ISNUMBER(SEARCH("去",B7745)),ISNUMBER(SEARCH("入",B7745)))),"Ambiguous",IF(ISNUMBER(SEARCH("平",B7745)),"平","仄")))</x:f>
      </x:c>
      <x:c r="K7745" s="6" t="str">
        <x:f>IF(D7745="","",IF(AND(ISNUMBER(SEARCH("平",D7745)),OR(ISNUMBER(SEARCH("上",D7745)),ISNUMBER(SEARCH("去",D7745)),ISNUMBER(SEARCH("入",D7745)))),"Ambiguous",IF(ISNUMBER(SEARCH("平",D7745)),"平","仄")))</x:f>
        <x:v>Ambiguous</x:v>
      </x:c>
      <x:c r="L7745" s="7" t="str">
        <x:v>Pingshui main list expansion</x:v>
      </x:c>
    </x:row>
    <x:row r="7746">
      <x:c r="A7746" s="5" t="str">
        <x:v>蓲</x:v>
      </x:c>
      <x:c r="B7746" s="6" t="str">
        <x:v>平</x:v>
      </x:c>
      <x:c r="C7746" s="6" t="str">
        <x:f>IF(B7746="","Needs decision","Ready")</x:f>
        <x:v>Ready</x:v>
      </x:c>
      <x:c r="D7746" s="6" t="str">
        <x:v>平</x:v>
      </x:c>
      <x:c r="E7746" s="6" t="str"/>
      <x:c r="F7746" s="6" t="str">
        <x:v>下平聲十一尤</x:v>
      </x:c>
      <x:c r="G7746" s="6" t="str">
        <x:v>Pingshui main list, Wikisource-derived DOCX</x:v>
      </x:c>
      <x:c r="H7746" s="6" t="str"/>
      <x:c r="I7746" s="6" t="str">
        <x:v>Pingshui main-list expansion; 詞 entries ignored</x:v>
      </x:c>
      <x:c r="J7746" s="6" t="str">
        <x:f>IF(B7746="","",IF(AND(ISNUMBER(SEARCH("平",B7746)),OR(ISNUMBER(SEARCH("上",B7746)),ISNUMBER(SEARCH("去",B7746)),ISNUMBER(SEARCH("入",B7746)))),"Ambiguous",IF(ISNUMBER(SEARCH("平",B7746)),"平","仄")))</x:f>
        <x:v>平</x:v>
      </x:c>
      <x:c r="K7746" s="6" t="str">
        <x:f>IF(D7746="","",IF(AND(ISNUMBER(SEARCH("平",D7746)),OR(ISNUMBER(SEARCH("上",D7746)),ISNUMBER(SEARCH("去",D7746)),ISNUMBER(SEARCH("入",D7746)))),"Ambiguous",IF(ISNUMBER(SEARCH("平",D7746)),"平","仄")))</x:f>
        <x:v>平</x:v>
      </x:c>
      <x:c r="L7746" s="7" t="str">
        <x:v>Pingshui main list expansion</x:v>
      </x:c>
    </x:row>
    <x:row r="7747">
      <x:c r="A7747" s="5" t="str">
        <x:v>蓷</x:v>
      </x:c>
      <x:c r="B7747" s="6" t="str">
        <x:v>平</x:v>
      </x:c>
      <x:c r="C7747" s="6" t="str">
        <x:f>IF(B7747="","Needs decision","Ready")</x:f>
        <x:v>Ready</x:v>
      </x:c>
      <x:c r="D7747" s="6" t="str">
        <x:v>平</x:v>
      </x:c>
      <x:c r="E7747" s="6" t="str"/>
      <x:c r="F7747" s="6" t="str">
        <x:v>上平聲四支; 上平聲十灰</x:v>
      </x:c>
      <x:c r="G7747" s="6" t="str">
        <x:v>Pingshui main list, Wikisource-derived DOCX</x:v>
      </x:c>
      <x:c r="H7747" s="6" t="str"/>
      <x:c r="I7747" s="6" t="str">
        <x:v>Pingshui main-list expansion; 詞 entries ignored</x:v>
      </x:c>
      <x:c r="J7747" s="6" t="str">
        <x:f>IF(B7747="","",IF(AND(ISNUMBER(SEARCH("平",B7747)),OR(ISNUMBER(SEARCH("上",B7747)),ISNUMBER(SEARCH("去",B7747)),ISNUMBER(SEARCH("入",B7747)))),"Ambiguous",IF(ISNUMBER(SEARCH("平",B7747)),"平","仄")))</x:f>
        <x:v>平</x:v>
      </x:c>
      <x:c r="K7747" s="6" t="str">
        <x:f>IF(D7747="","",IF(AND(ISNUMBER(SEARCH("平",D7747)),OR(ISNUMBER(SEARCH("上",D7747)),ISNUMBER(SEARCH("去",D7747)),ISNUMBER(SEARCH("入",D7747)))),"Ambiguous",IF(ISNUMBER(SEARCH("平",D7747)),"平","仄")))</x:f>
        <x:v>平</x:v>
      </x:c>
      <x:c r="L7747" s="7" t="str">
        <x:v>Pingshui main list expansion</x:v>
      </x:c>
    </x:row>
    <x:row r="7748">
      <x:c r="A7748" s="5" t="str">
        <x:v>蔇</x:v>
      </x:c>
      <x:c r="B7748" s="6" t="str">
        <x:v>去</x:v>
      </x:c>
      <x:c r="C7748" s="6" t="str">
        <x:f>IF(B7748="","Needs decision","Ready")</x:f>
        <x:v>Ready</x:v>
      </x:c>
      <x:c r="D7748" s="6" t="str">
        <x:v>去</x:v>
      </x:c>
      <x:c r="E7748" s="6" t="str"/>
      <x:c r="F7748" s="6" t="str">
        <x:v>去聲四寘; 去聲五未</x:v>
      </x:c>
      <x:c r="G7748" s="6" t="str">
        <x:v>Pingshui main list, Wikisource-derived DOCX</x:v>
      </x:c>
      <x:c r="H7748" s="6" t="str"/>
      <x:c r="I7748" s="6" t="str">
        <x:v>Pingshui main-list expansion; 詞 entries ignored</x:v>
      </x:c>
      <x:c r="J7748" s="6" t="str">
        <x:f>IF(B7748="","",IF(AND(ISNUMBER(SEARCH("平",B7748)),OR(ISNUMBER(SEARCH("上",B7748)),ISNUMBER(SEARCH("去",B7748)),ISNUMBER(SEARCH("入",B7748)))),"Ambiguous",IF(ISNUMBER(SEARCH("平",B7748)),"平","仄")))</x:f>
        <x:v>仄</x:v>
      </x:c>
      <x:c r="K7748" s="6" t="str">
        <x:f>IF(D7748="","",IF(AND(ISNUMBER(SEARCH("平",D7748)),OR(ISNUMBER(SEARCH("上",D7748)),ISNUMBER(SEARCH("去",D7748)),ISNUMBER(SEARCH("入",D7748)))),"Ambiguous",IF(ISNUMBER(SEARCH("平",D7748)),"平","仄")))</x:f>
        <x:v>仄</x:v>
      </x:c>
      <x:c r="L7748" s="7" t="str">
        <x:v>Pingshui main list expansion</x:v>
      </x:c>
    </x:row>
    <x:row r="7749">
      <x:c r="A7749" s="5" t="str">
        <x:v>蔌</x:v>
      </x:c>
      <x:c r="B7749" s="6" t="str">
        <x:v>入</x:v>
      </x:c>
      <x:c r="C7749" s="6" t="str">
        <x:f>IF(B7749="","Needs decision","Ready")</x:f>
        <x:v>Ready</x:v>
      </x:c>
      <x:c r="D7749" s="6" t="str">
        <x:v>入</x:v>
      </x:c>
      <x:c r="E7749" s="6" t="str"/>
      <x:c r="F7749" s="6" t="str">
        <x:v>入聲一屋</x:v>
      </x:c>
      <x:c r="G7749" s="6" t="str">
        <x:v>Pingshui main list, Wikisource-derived DOCX</x:v>
      </x:c>
      <x:c r="H7749" s="6" t="str"/>
      <x:c r="I7749" s="6" t="str">
        <x:v>Pingshui main-list expansion; 詞 entries ignored</x:v>
      </x:c>
      <x:c r="J7749" s="6" t="str">
        <x:f>IF(B7749="","",IF(AND(ISNUMBER(SEARCH("平",B7749)),OR(ISNUMBER(SEARCH("上",B7749)),ISNUMBER(SEARCH("去",B7749)),ISNUMBER(SEARCH("入",B7749)))),"Ambiguous",IF(ISNUMBER(SEARCH("平",B7749)),"平","仄")))</x:f>
        <x:v>仄</x:v>
      </x:c>
      <x:c r="K7749" s="6" t="str">
        <x:f>IF(D7749="","",IF(AND(ISNUMBER(SEARCH("平",D7749)),OR(ISNUMBER(SEARCH("上",D7749)),ISNUMBER(SEARCH("去",D7749)),ISNUMBER(SEARCH("入",D7749)))),"Ambiguous",IF(ISNUMBER(SEARCH("平",D7749)),"平","仄")))</x:f>
        <x:v>仄</x:v>
      </x:c>
      <x:c r="L7749" s="7" t="str">
        <x:v>Pingshui main list expansion</x:v>
      </x:c>
    </x:row>
    <x:row r="7750">
      <x:c r="A7750" s="5" t="str">
        <x:v>蔕</x:v>
      </x:c>
      <x:c r="B7750" s="6" t="str">
        <x:v>去</x:v>
      </x:c>
      <x:c r="C7750" s="6" t="str">
        <x:f>IF(B7750="","Needs decision","Ready")</x:f>
        <x:v>Ready</x:v>
      </x:c>
      <x:c r="D7750" s="6" t="str">
        <x:v>去</x:v>
      </x:c>
      <x:c r="E7750" s="6" t="str"/>
      <x:c r="F7750" s="6" t="str">
        <x:v>去聲八霽</x:v>
      </x:c>
      <x:c r="G7750" s="6" t="str">
        <x:v>Pingshui main list, Wikisource-derived DOCX</x:v>
      </x:c>
      <x:c r="H7750" s="6" t="str"/>
      <x:c r="I7750" s="6" t="str">
        <x:v>Pingshui main-list expansion; 詞 entries ignored</x:v>
      </x:c>
      <x:c r="J7750" s="6" t="str">
        <x:f>IF(B7750="","",IF(AND(ISNUMBER(SEARCH("平",B7750)),OR(ISNUMBER(SEARCH("上",B7750)),ISNUMBER(SEARCH("去",B7750)),ISNUMBER(SEARCH("入",B7750)))),"Ambiguous",IF(ISNUMBER(SEARCH("平",B7750)),"平","仄")))</x:f>
        <x:v>仄</x:v>
      </x:c>
      <x:c r="K7750" s="6" t="str">
        <x:f>IF(D7750="","",IF(AND(ISNUMBER(SEARCH("平",D7750)),OR(ISNUMBER(SEARCH("上",D7750)),ISNUMBER(SEARCH("去",D7750)),ISNUMBER(SEARCH("入",D7750)))),"Ambiguous",IF(ISNUMBER(SEARCH("平",D7750)),"平","仄")))</x:f>
        <x:v>仄</x:v>
      </x:c>
      <x:c r="L7750" s="7" t="str">
        <x:v>Pingshui main list expansion</x:v>
      </x:c>
    </x:row>
    <x:row r="7751">
      <x:c r="A7751" s="5" t="str">
        <x:v>蔖</x:v>
      </x:c>
      <x:c r="B7751" s="6" t="str">
        <x:v>上</x:v>
      </x:c>
      <x:c r="C7751" s="6" t="str">
        <x:f>IF(B7751="","Needs decision","Ready")</x:f>
        <x:v>Ready</x:v>
      </x:c>
      <x:c r="D7751" s="6" t="str">
        <x:v>上</x:v>
      </x:c>
      <x:c r="E7751" s="6" t="str"/>
      <x:c r="F7751" s="6" t="str">
        <x:v>上聲七麌</x:v>
      </x:c>
      <x:c r="G7751" s="6" t="str">
        <x:v>Pingshui main list, Wikisource-derived DOCX</x:v>
      </x:c>
      <x:c r="H7751" s="6" t="str"/>
      <x:c r="I7751" s="6" t="str">
        <x:v>Pingshui main-list expansion; 詞 entries ignored</x:v>
      </x:c>
      <x:c r="J7751" s="6" t="str">
        <x:f>IF(B7751="","",IF(AND(ISNUMBER(SEARCH("平",B7751)),OR(ISNUMBER(SEARCH("上",B7751)),ISNUMBER(SEARCH("去",B7751)),ISNUMBER(SEARCH("入",B7751)))),"Ambiguous",IF(ISNUMBER(SEARCH("平",B7751)),"平","仄")))</x:f>
        <x:v>仄</x:v>
      </x:c>
      <x:c r="K7751" s="6" t="str">
        <x:f>IF(D7751="","",IF(AND(ISNUMBER(SEARCH("平",D7751)),OR(ISNUMBER(SEARCH("上",D7751)),ISNUMBER(SEARCH("去",D7751)),ISNUMBER(SEARCH("入",D7751)))),"Ambiguous",IF(ISNUMBER(SEARCH("平",D7751)),"平","仄")))</x:f>
        <x:v>仄</x:v>
      </x:c>
      <x:c r="L7751" s="7" t="str">
        <x:v>Pingshui main list expansion</x:v>
      </x:c>
    </x:row>
    <x:row r="7752">
      <x:c r="A7752" s="5" t="str">
        <x:v>蔘</x:v>
      </x:c>
      <x:c r="B7752" s="6" t="str">
        <x:v>平</x:v>
      </x:c>
      <x:c r="C7752" s="6" t="str">
        <x:f>IF(B7752="","Needs decision","Ready")</x:f>
        <x:v>Ready</x:v>
      </x:c>
      <x:c r="D7752" s="6" t="str">
        <x:v>平</x:v>
      </x:c>
      <x:c r="E7752" s="6" t="str"/>
      <x:c r="F7752" s="6" t="str">
        <x:v>下平聲十二侵</x:v>
      </x:c>
      <x:c r="G7752" s="6" t="str">
        <x:v>Pingshui main list, Wikisource-derived DOCX</x:v>
      </x:c>
      <x:c r="H7752" s="6" t="str"/>
      <x:c r="I7752" s="6" t="str">
        <x:v>Pingshui main-list expansion; 詞 entries ignored</x:v>
      </x:c>
      <x:c r="J7752" s="6" t="str">
        <x:f>IF(B7752="","",IF(AND(ISNUMBER(SEARCH("平",B7752)),OR(ISNUMBER(SEARCH("上",B7752)),ISNUMBER(SEARCH("去",B7752)),ISNUMBER(SEARCH("入",B7752)))),"Ambiguous",IF(ISNUMBER(SEARCH("平",B7752)),"平","仄")))</x:f>
        <x:v>平</x:v>
      </x:c>
      <x:c r="K7752" s="6" t="str">
        <x:f>IF(D7752="","",IF(AND(ISNUMBER(SEARCH("平",D7752)),OR(ISNUMBER(SEARCH("上",D7752)),ISNUMBER(SEARCH("去",D7752)),ISNUMBER(SEARCH("入",D7752)))),"Ambiguous",IF(ISNUMBER(SEARCH("平",D7752)),"平","仄")))</x:f>
        <x:v>平</x:v>
      </x:c>
      <x:c r="L7752" s="7" t="str">
        <x:v>Pingshui main list expansion</x:v>
      </x:c>
    </x:row>
    <x:row r="7753">
      <x:c r="A7753" s="5" t="str">
        <x:v>蔟</x:v>
      </x:c>
      <x:c r="B7753" s="6" t="str"/>
      <x:c r="C7753" s="6" t="str">
        <x:f>IF(B7753="","Needs decision","Ready")</x:f>
        <x:v>Needs decision</x:v>
      </x:c>
      <x:c r="D7753" s="6" t="str">
        <x:v>去/入</x:v>
      </x:c>
      <x:c r="E7753" s="6" t="str"/>
      <x:c r="F7753" s="6" t="str">
        <x:v>去聲二十六宥; 入聲一屋</x:v>
      </x:c>
      <x:c r="G7753" s="6" t="str">
        <x:v>Pingshui main list, Wikisource-derived DOCX</x:v>
      </x:c>
      <x:c r="H7753" s="6" t="str"/>
      <x:c r="I7753" s="6" t="str">
        <x:v>Pingshui main-list expansion; 詞 entries ignored</x:v>
      </x:c>
      <x:c r="J7753" s="6" t="str">
        <x:f>IF(B7753="","",IF(AND(ISNUMBER(SEARCH("平",B7753)),OR(ISNUMBER(SEARCH("上",B7753)),ISNUMBER(SEARCH("去",B7753)),ISNUMBER(SEARCH("入",B7753)))),"Ambiguous",IF(ISNUMBER(SEARCH("平",B7753)),"平","仄")))</x:f>
      </x:c>
      <x:c r="K7753" s="6" t="str">
        <x:f>IF(D7753="","",IF(AND(ISNUMBER(SEARCH("平",D7753)),OR(ISNUMBER(SEARCH("上",D7753)),ISNUMBER(SEARCH("去",D7753)),ISNUMBER(SEARCH("入",D7753)))),"Ambiguous",IF(ISNUMBER(SEARCH("平",D7753)),"平","仄")))</x:f>
        <x:v>仄</x:v>
      </x:c>
      <x:c r="L7753" s="7" t="str">
        <x:v>Pingshui main list expansion</x:v>
      </x:c>
    </x:row>
    <x:row r="7754">
      <x:c r="A7754" s="5" t="str">
        <x:v>蔤</x:v>
      </x:c>
      <x:c r="B7754" s="6" t="str">
        <x:v>入</x:v>
      </x:c>
      <x:c r="C7754" s="6" t="str">
        <x:f>IF(B7754="","Needs decision","Ready")</x:f>
        <x:v>Ready</x:v>
      </x:c>
      <x:c r="D7754" s="6" t="str">
        <x:v>入</x:v>
      </x:c>
      <x:c r="E7754" s="6" t="str"/>
      <x:c r="F7754" s="6" t="str">
        <x:v>入聲四質</x:v>
      </x:c>
      <x:c r="G7754" s="6" t="str">
        <x:v>Pingshui main list, Wikisource-derived DOCX</x:v>
      </x:c>
      <x:c r="H7754" s="6" t="str"/>
      <x:c r="I7754" s="6" t="str">
        <x:v>Pingshui main-list expansion; 詞 entries ignored</x:v>
      </x:c>
      <x:c r="J7754" s="6" t="str">
        <x:f>IF(B7754="","",IF(AND(ISNUMBER(SEARCH("平",B7754)),OR(ISNUMBER(SEARCH("上",B7754)),ISNUMBER(SEARCH("去",B7754)),ISNUMBER(SEARCH("入",B7754)))),"Ambiguous",IF(ISNUMBER(SEARCH("平",B7754)),"平","仄")))</x:f>
        <x:v>仄</x:v>
      </x:c>
      <x:c r="K7754" s="6" t="str">
        <x:f>IF(D7754="","",IF(AND(ISNUMBER(SEARCH("平",D7754)),OR(ISNUMBER(SEARCH("上",D7754)),ISNUMBER(SEARCH("去",D7754)),ISNUMBER(SEARCH("入",D7754)))),"Ambiguous",IF(ISNUMBER(SEARCH("平",D7754)),"平","仄")))</x:f>
        <x:v>仄</x:v>
      </x:c>
      <x:c r="L7754" s="7" t="str">
        <x:v>Pingshui main list expansion</x:v>
      </x:c>
    </x:row>
    <x:row r="7755">
      <x:c r="A7755" s="5" t="str">
        <x:v>蔧</x:v>
      </x:c>
      <x:c r="B7755" s="6" t="str">
        <x:v>去</x:v>
      </x:c>
      <x:c r="C7755" s="6" t="str">
        <x:f>IF(B7755="","Needs decision","Ready")</x:f>
        <x:v>Ready</x:v>
      </x:c>
      <x:c r="D7755" s="6" t="str">
        <x:v>去</x:v>
      </x:c>
      <x:c r="E7755" s="6" t="str"/>
      <x:c r="F7755" s="6" t="str">
        <x:v>去聲四寘</x:v>
      </x:c>
      <x:c r="G7755" s="6" t="str">
        <x:v>Pingshui main list, Wikisource-derived DOCX</x:v>
      </x:c>
      <x:c r="H7755" s="6" t="str"/>
      <x:c r="I7755" s="6" t="str">
        <x:v>Pingshui main-list expansion; 詞 entries ignored</x:v>
      </x:c>
      <x:c r="J7755" s="6" t="str">
        <x:f>IF(B7755="","",IF(AND(ISNUMBER(SEARCH("平",B7755)),OR(ISNUMBER(SEARCH("上",B7755)),ISNUMBER(SEARCH("去",B7755)),ISNUMBER(SEARCH("入",B7755)))),"Ambiguous",IF(ISNUMBER(SEARCH("平",B7755)),"平","仄")))</x:f>
        <x:v>仄</x:v>
      </x:c>
      <x:c r="K7755" s="6" t="str">
        <x:f>IF(D7755="","",IF(AND(ISNUMBER(SEARCH("平",D7755)),OR(ISNUMBER(SEARCH("上",D7755)),ISNUMBER(SEARCH("去",D7755)),ISNUMBER(SEARCH("入",D7755)))),"Ambiguous",IF(ISNUMBER(SEARCH("平",D7755)),"平","仄")))</x:f>
        <x:v>仄</x:v>
      </x:c>
      <x:c r="L7755" s="7" t="str">
        <x:v>Pingshui main list expansion</x:v>
      </x:c>
    </x:row>
    <x:row r="7756">
      <x:c r="A7756" s="5" t="str">
        <x:v>蔫</x:v>
      </x:c>
      <x:c r="B7756" s="6" t="str">
        <x:v>平</x:v>
      </x:c>
      <x:c r="C7756" s="6" t="str">
        <x:f>IF(B7756="","Needs decision","Ready")</x:f>
        <x:v>Ready</x:v>
      </x:c>
      <x:c r="D7756" s="6" t="str">
        <x:v>平</x:v>
      </x:c>
      <x:c r="E7756" s="6" t="str"/>
      <x:c r="F7756" s="6" t="str">
        <x:v>下平聲一先</x:v>
      </x:c>
      <x:c r="G7756" s="6" t="str">
        <x:v>Pingshui main list, Wikisource-derived DOCX</x:v>
      </x:c>
      <x:c r="H7756" s="6" t="str"/>
      <x:c r="I7756" s="6" t="str">
        <x:v>Pingshui main-list expansion; 詞 entries ignored</x:v>
      </x:c>
      <x:c r="J7756" s="6" t="str">
        <x:f>IF(B7756="","",IF(AND(ISNUMBER(SEARCH("平",B7756)),OR(ISNUMBER(SEARCH("上",B7756)),ISNUMBER(SEARCH("去",B7756)),ISNUMBER(SEARCH("入",B7756)))),"Ambiguous",IF(ISNUMBER(SEARCH("平",B7756)),"平","仄")))</x:f>
        <x:v>平</x:v>
      </x:c>
      <x:c r="K7756" s="6" t="str">
        <x:f>IF(D7756="","",IF(AND(ISNUMBER(SEARCH("平",D7756)),OR(ISNUMBER(SEARCH("上",D7756)),ISNUMBER(SEARCH("去",D7756)),ISNUMBER(SEARCH("入",D7756)))),"Ambiguous",IF(ISNUMBER(SEARCH("平",D7756)),"平","仄")))</x:f>
        <x:v>平</x:v>
      </x:c>
      <x:c r="L7756" s="7" t="str">
        <x:v>Pingshui main list expansion</x:v>
      </x:c>
    </x:row>
    <x:row r="7757">
      <x:c r="A7757" s="5" t="str">
        <x:v>蔱</x:v>
      </x:c>
      <x:c r="B7757" s="6" t="str">
        <x:v>入</x:v>
      </x:c>
      <x:c r="C7757" s="6" t="str">
        <x:f>IF(B7757="","Needs decision","Ready")</x:f>
        <x:v>Ready</x:v>
      </x:c>
      <x:c r="D7757" s="6" t="str">
        <x:v>入</x:v>
      </x:c>
      <x:c r="E7757" s="6" t="str"/>
      <x:c r="F7757" s="6" t="str">
        <x:v>入聲八黠</x:v>
      </x:c>
      <x:c r="G7757" s="6" t="str">
        <x:v>Pingshui main list, Wikisource-derived DOCX</x:v>
      </x:c>
      <x:c r="H7757" s="6" t="str"/>
      <x:c r="I7757" s="6" t="str">
        <x:v>Pingshui main-list expansion; 詞 entries ignored</x:v>
      </x:c>
      <x:c r="J7757" s="6" t="str">
        <x:f>IF(B7757="","",IF(AND(ISNUMBER(SEARCH("平",B7757)),OR(ISNUMBER(SEARCH("上",B7757)),ISNUMBER(SEARCH("去",B7757)),ISNUMBER(SEARCH("入",B7757)))),"Ambiguous",IF(ISNUMBER(SEARCH("平",B7757)),"平","仄")))</x:f>
        <x:v>仄</x:v>
      </x:c>
      <x:c r="K7757" s="6" t="str">
        <x:f>IF(D7757="","",IF(AND(ISNUMBER(SEARCH("平",D7757)),OR(ISNUMBER(SEARCH("上",D7757)),ISNUMBER(SEARCH("去",D7757)),ISNUMBER(SEARCH("入",D7757)))),"Ambiguous",IF(ISNUMBER(SEARCH("平",D7757)),"平","仄")))</x:f>
        <x:v>仄</x:v>
      </x:c>
      <x:c r="L7757" s="7" t="str">
        <x:v>Pingshui main list expansion</x:v>
      </x:c>
    </x:row>
    <x:row r="7758">
      <x:c r="A7758" s="5" t="str">
        <x:v>蕄</x:v>
      </x:c>
      <x:c r="B7758" s="6" t="str">
        <x:v>平</x:v>
      </x:c>
      <x:c r="C7758" s="6" t="str">
        <x:f>IF(B7758="","Needs decision","Ready")</x:f>
        <x:v>Ready</x:v>
      </x:c>
      <x:c r="D7758" s="6" t="str">
        <x:v>平</x:v>
      </x:c>
      <x:c r="E7758" s="6" t="str"/>
      <x:c r="F7758" s="6" t="str">
        <x:v>下平聲十蒸</x:v>
      </x:c>
      <x:c r="G7758" s="6" t="str">
        <x:v>Pingshui main list, Wikisource-derived DOCX</x:v>
      </x:c>
      <x:c r="H7758" s="6" t="str"/>
      <x:c r="I7758" s="6" t="str">
        <x:v>Pingshui main-list expansion; 詞 entries ignored</x:v>
      </x:c>
      <x:c r="J7758" s="6" t="str">
        <x:f>IF(B7758="","",IF(AND(ISNUMBER(SEARCH("平",B7758)),OR(ISNUMBER(SEARCH("上",B7758)),ISNUMBER(SEARCH("去",B7758)),ISNUMBER(SEARCH("入",B7758)))),"Ambiguous",IF(ISNUMBER(SEARCH("平",B7758)),"平","仄")))</x:f>
        <x:v>平</x:v>
      </x:c>
      <x:c r="K7758" s="6" t="str">
        <x:f>IF(D7758="","",IF(AND(ISNUMBER(SEARCH("平",D7758)),OR(ISNUMBER(SEARCH("上",D7758)),ISNUMBER(SEARCH("去",D7758)),ISNUMBER(SEARCH("入",D7758)))),"Ambiguous",IF(ISNUMBER(SEARCH("平",D7758)),"平","仄")))</x:f>
        <x:v>平</x:v>
      </x:c>
      <x:c r="L7758" s="7" t="str">
        <x:v>Pingshui main list expansion</x:v>
      </x:c>
    </x:row>
    <x:row r="7759">
      <x:c r="A7759" s="5" t="str">
        <x:v>蕆</x:v>
      </x:c>
      <x:c r="B7759" s="6" t="str">
        <x:v>上</x:v>
      </x:c>
      <x:c r="C7759" s="6" t="str">
        <x:f>IF(B7759="","Needs decision","Ready")</x:f>
        <x:v>Ready</x:v>
      </x:c>
      <x:c r="D7759" s="6" t="str">
        <x:v>上</x:v>
      </x:c>
      <x:c r="E7759" s="6" t="str"/>
      <x:c r="F7759" s="6" t="str">
        <x:v>上聲十六銑</x:v>
      </x:c>
      <x:c r="G7759" s="6" t="str">
        <x:v>Pingshui main list, Wikisource-derived DOCX</x:v>
      </x:c>
      <x:c r="H7759" s="6" t="str"/>
      <x:c r="I7759" s="6" t="str">
        <x:v>Pingshui main-list expansion; 詞 entries ignored</x:v>
      </x:c>
      <x:c r="J7759" s="6" t="str">
        <x:f>IF(B7759="","",IF(AND(ISNUMBER(SEARCH("平",B7759)),OR(ISNUMBER(SEARCH("上",B7759)),ISNUMBER(SEARCH("去",B7759)),ISNUMBER(SEARCH("入",B7759)))),"Ambiguous",IF(ISNUMBER(SEARCH("平",B7759)),"平","仄")))</x:f>
        <x:v>仄</x:v>
      </x:c>
      <x:c r="K7759" s="6" t="str">
        <x:f>IF(D7759="","",IF(AND(ISNUMBER(SEARCH("平",D7759)),OR(ISNUMBER(SEARCH("上",D7759)),ISNUMBER(SEARCH("去",D7759)),ISNUMBER(SEARCH("入",D7759)))),"Ambiguous",IF(ISNUMBER(SEARCH("平",D7759)),"平","仄")))</x:f>
        <x:v>仄</x:v>
      </x:c>
      <x:c r="L7759" s="7" t="str">
        <x:v>Pingshui main list expansion</x:v>
      </x:c>
    </x:row>
    <x:row r="7760">
      <x:c r="A7760" s="5" t="str">
        <x:v>蕘</x:v>
      </x:c>
      <x:c r="B7760" s="6" t="str">
        <x:v>平</x:v>
      </x:c>
      <x:c r="C7760" s="6" t="str">
        <x:f>IF(B7760="","Needs decision","Ready")</x:f>
        <x:v>Ready</x:v>
      </x:c>
      <x:c r="D7760" s="6" t="str">
        <x:v>平</x:v>
      </x:c>
      <x:c r="E7760" s="6" t="str"/>
      <x:c r="F7760" s="6" t="str">
        <x:v>下平聲二蕭</x:v>
      </x:c>
      <x:c r="G7760" s="6" t="str">
        <x:v>Pingshui main list, Wikisource-derived DOCX</x:v>
      </x:c>
      <x:c r="H7760" s="6" t="str"/>
      <x:c r="I7760" s="6" t="str">
        <x:v>Pingshui main-list expansion; 詞 entries ignored</x:v>
      </x:c>
      <x:c r="J7760" s="6" t="str">
        <x:f>IF(B7760="","",IF(AND(ISNUMBER(SEARCH("平",B7760)),OR(ISNUMBER(SEARCH("上",B7760)),ISNUMBER(SEARCH("去",B7760)),ISNUMBER(SEARCH("入",B7760)))),"Ambiguous",IF(ISNUMBER(SEARCH("平",B7760)),"平","仄")))</x:f>
        <x:v>平</x:v>
      </x:c>
      <x:c r="K7760" s="6" t="str">
        <x:f>IF(D7760="","",IF(AND(ISNUMBER(SEARCH("平",D7760)),OR(ISNUMBER(SEARCH("上",D7760)),ISNUMBER(SEARCH("去",D7760)),ISNUMBER(SEARCH("入",D7760)))),"Ambiguous",IF(ISNUMBER(SEARCH("平",D7760)),"平","仄")))</x:f>
        <x:v>平</x:v>
      </x:c>
      <x:c r="L7760" s="7" t="str">
        <x:v>Pingshui main list expansion</x:v>
      </x:c>
    </x:row>
    <x:row r="7761">
      <x:c r="A7761" s="5" t="str">
        <x:v>蕸</x:v>
      </x:c>
      <x:c r="B7761" s="6" t="str">
        <x:v>平</x:v>
      </x:c>
      <x:c r="C7761" s="6" t="str">
        <x:f>IF(B7761="","Needs decision","Ready")</x:f>
        <x:v>Ready</x:v>
      </x:c>
      <x:c r="D7761" s="6" t="str">
        <x:v>平</x:v>
      </x:c>
      <x:c r="E7761" s="6" t="str"/>
      <x:c r="F7761" s="6" t="str">
        <x:v>下平聲六麻</x:v>
      </x:c>
      <x:c r="G7761" s="6" t="str">
        <x:v>Pingshui main list, Wikisource-derived DOCX</x:v>
      </x:c>
      <x:c r="H7761" s="6" t="str"/>
      <x:c r="I7761" s="6" t="str">
        <x:v>Pingshui main-list expansion; 詞 entries ignored</x:v>
      </x:c>
      <x:c r="J7761" s="6" t="str">
        <x:f>IF(B7761="","",IF(AND(ISNUMBER(SEARCH("平",B7761)),OR(ISNUMBER(SEARCH("上",B7761)),ISNUMBER(SEARCH("去",B7761)),ISNUMBER(SEARCH("入",B7761)))),"Ambiguous",IF(ISNUMBER(SEARCH("平",B7761)),"平","仄")))</x:f>
        <x:v>平</x:v>
      </x:c>
      <x:c r="K7761" s="6" t="str">
        <x:f>IF(D7761="","",IF(AND(ISNUMBER(SEARCH("平",D7761)),OR(ISNUMBER(SEARCH("上",D7761)),ISNUMBER(SEARCH("去",D7761)),ISNUMBER(SEARCH("入",D7761)))),"Ambiguous",IF(ISNUMBER(SEARCH("平",D7761)),"平","仄")))</x:f>
        <x:v>平</x:v>
      </x:c>
      <x:c r="L7761" s="7" t="str">
        <x:v>Pingshui main list expansion</x:v>
      </x:c>
    </x:row>
    <x:row r="7762">
      <x:c r="A7762" s="5" t="str">
        <x:v>蕺</x:v>
      </x:c>
      <x:c r="B7762" s="6" t="str">
        <x:v>入</x:v>
      </x:c>
      <x:c r="C7762" s="6" t="str">
        <x:f>IF(B7762="","Needs decision","Ready")</x:f>
        <x:v>Ready</x:v>
      </x:c>
      <x:c r="D7762" s="6" t="str">
        <x:v>入</x:v>
      </x:c>
      <x:c r="E7762" s="6" t="str"/>
      <x:c r="F7762" s="6" t="str">
        <x:v>入聲十四緝</x:v>
      </x:c>
      <x:c r="G7762" s="6" t="str">
        <x:v>Pingshui main list, Wikisource-derived DOCX</x:v>
      </x:c>
      <x:c r="H7762" s="6" t="str"/>
      <x:c r="I7762" s="6" t="str">
        <x:v>Pingshui main-list expansion; 詞 entries ignored</x:v>
      </x:c>
      <x:c r="J7762" s="6" t="str">
        <x:f>IF(B7762="","",IF(AND(ISNUMBER(SEARCH("平",B7762)),OR(ISNUMBER(SEARCH("上",B7762)),ISNUMBER(SEARCH("去",B7762)),ISNUMBER(SEARCH("入",B7762)))),"Ambiguous",IF(ISNUMBER(SEARCH("平",B7762)),"平","仄")))</x:f>
        <x:v>仄</x:v>
      </x:c>
      <x:c r="K7762" s="6" t="str">
        <x:f>IF(D7762="","",IF(AND(ISNUMBER(SEARCH("平",D7762)),OR(ISNUMBER(SEARCH("上",D7762)),ISNUMBER(SEARCH("去",D7762)),ISNUMBER(SEARCH("入",D7762)))),"Ambiguous",IF(ISNUMBER(SEARCH("平",D7762)),"平","仄")))</x:f>
        <x:v>仄</x:v>
      </x:c>
      <x:c r="L7762" s="7" t="str">
        <x:v>Pingshui main list expansion</x:v>
      </x:c>
    </x:row>
    <x:row r="7763">
      <x:c r="A7763" s="5" t="str">
        <x:v>蕻</x:v>
      </x:c>
      <x:c r="B7763" s="6" t="str">
        <x:v>去</x:v>
      </x:c>
      <x:c r="C7763" s="6" t="str">
        <x:f>IF(B7763="","Needs decision","Ready")</x:f>
        <x:v>Ready</x:v>
      </x:c>
      <x:c r="D7763" s="6" t="str">
        <x:v>去</x:v>
      </x:c>
      <x:c r="E7763" s="6" t="str"/>
      <x:c r="F7763" s="6" t="str">
        <x:v>去聲一送</x:v>
      </x:c>
      <x:c r="G7763" s="6" t="str">
        <x:v>Pingshui main list, Wikisource-derived DOCX</x:v>
      </x:c>
      <x:c r="H7763" s="6" t="str"/>
      <x:c r="I7763" s="6" t="str">
        <x:v>Pingshui main-list expansion; 詞 entries ignored</x:v>
      </x:c>
      <x:c r="J7763" s="6" t="str">
        <x:f>IF(B7763="","",IF(AND(ISNUMBER(SEARCH("平",B7763)),OR(ISNUMBER(SEARCH("上",B7763)),ISNUMBER(SEARCH("去",B7763)),ISNUMBER(SEARCH("入",B7763)))),"Ambiguous",IF(ISNUMBER(SEARCH("平",B7763)),"平","仄")))</x:f>
        <x:v>仄</x:v>
      </x:c>
      <x:c r="K7763" s="6" t="str">
        <x:f>IF(D7763="","",IF(AND(ISNUMBER(SEARCH("平",D7763)),OR(ISNUMBER(SEARCH("上",D7763)),ISNUMBER(SEARCH("去",D7763)),ISNUMBER(SEARCH("入",D7763)))),"Ambiguous",IF(ISNUMBER(SEARCH("平",D7763)),"平","仄")))</x:f>
        <x:v>仄</x:v>
      </x:c>
      <x:c r="L7763" s="7" t="str">
        <x:v>Pingshui main list expansion</x:v>
      </x:c>
    </x:row>
    <x:row r="7764">
      <x:c r="A7764" s="5" t="str">
        <x:v>蕾</x:v>
      </x:c>
      <x:c r="B7764" s="6" t="str">
        <x:v>上</x:v>
      </x:c>
      <x:c r="C7764" s="6" t="str">
        <x:f>IF(B7764="","Needs decision","Ready")</x:f>
        <x:v>Ready</x:v>
      </x:c>
      <x:c r="D7764" s="6" t="str">
        <x:v>上</x:v>
      </x:c>
      <x:c r="E7764" s="6" t="str"/>
      <x:c r="F7764" s="6" t="str">
        <x:v>上聲十賄</x:v>
      </x:c>
      <x:c r="G7764" s="6" t="str">
        <x:v>Pingshui main list, Wikisource-derived DOCX</x:v>
      </x:c>
      <x:c r="H7764" s="6" t="str"/>
      <x:c r="I7764" s="6" t="str">
        <x:v>Pingshui main-list expansion; 詞 entries ignored</x:v>
      </x:c>
      <x:c r="J7764" s="6" t="str">
        <x:f>IF(B7764="","",IF(AND(ISNUMBER(SEARCH("平",B7764)),OR(ISNUMBER(SEARCH("上",B7764)),ISNUMBER(SEARCH("去",B7764)),ISNUMBER(SEARCH("入",B7764)))),"Ambiguous",IF(ISNUMBER(SEARCH("平",B7764)),"平","仄")))</x:f>
        <x:v>仄</x:v>
      </x:c>
      <x:c r="K7764" s="6" t="str">
        <x:f>IF(D7764="","",IF(AND(ISNUMBER(SEARCH("平",D7764)),OR(ISNUMBER(SEARCH("上",D7764)),ISNUMBER(SEARCH("去",D7764)),ISNUMBER(SEARCH("入",D7764)))),"Ambiguous",IF(ISNUMBER(SEARCH("平",D7764)),"平","仄")))</x:f>
        <x:v>仄</x:v>
      </x:c>
      <x:c r="L7764" s="7" t="str">
        <x:v>Pingshui main list expansion</x:v>
      </x:c>
    </x:row>
    <x:row r="7765">
      <x:c r="A7765" s="5" t="str">
        <x:v>薂</x:v>
      </x:c>
      <x:c r="B7765" s="6" t="str">
        <x:v>入</x:v>
      </x:c>
      <x:c r="C7765" s="6" t="str">
        <x:f>IF(B7765="","Needs decision","Ready")</x:f>
        <x:v>Ready</x:v>
      </x:c>
      <x:c r="D7765" s="6" t="str">
        <x:v>入</x:v>
      </x:c>
      <x:c r="E7765" s="6" t="str"/>
      <x:c r="F7765" s="6" t="str">
        <x:v>入聲十二錫</x:v>
      </x:c>
      <x:c r="G7765" s="6" t="str">
        <x:v>Pingshui main list, Wikisource-derived DOCX</x:v>
      </x:c>
      <x:c r="H7765" s="6" t="str"/>
      <x:c r="I7765" s="6" t="str">
        <x:v>Pingshui main-list expansion; 詞 entries ignored</x:v>
      </x:c>
      <x:c r="J7765" s="6" t="str">
        <x:f>IF(B7765="","",IF(AND(ISNUMBER(SEARCH("平",B7765)),OR(ISNUMBER(SEARCH("上",B7765)),ISNUMBER(SEARCH("去",B7765)),ISNUMBER(SEARCH("入",B7765)))),"Ambiguous",IF(ISNUMBER(SEARCH("平",B7765)),"平","仄")))</x:f>
        <x:v>仄</x:v>
      </x:c>
      <x:c r="K7765" s="6" t="str">
        <x:f>IF(D7765="","",IF(AND(ISNUMBER(SEARCH("平",D7765)),OR(ISNUMBER(SEARCH("上",D7765)),ISNUMBER(SEARCH("去",D7765)),ISNUMBER(SEARCH("入",D7765)))),"Ambiguous",IF(ISNUMBER(SEARCH("平",D7765)),"平","仄")))</x:f>
        <x:v>仄</x:v>
      </x:c>
      <x:c r="L7765" s="7" t="str">
        <x:v>Pingshui main list expansion</x:v>
      </x:c>
    </x:row>
    <x:row r="7766">
      <x:c r="A7766" s="5" t="str">
        <x:v>薉</x:v>
      </x:c>
      <x:c r="B7766" s="6" t="str">
        <x:v>去</x:v>
      </x:c>
      <x:c r="C7766" s="6" t="str">
        <x:f>IF(B7766="","Needs decision","Ready")</x:f>
        <x:v>Ready</x:v>
      </x:c>
      <x:c r="D7766" s="6" t="str">
        <x:v>去</x:v>
      </x:c>
      <x:c r="E7766" s="6" t="str"/>
      <x:c r="F7766" s="6" t="str">
        <x:v>去聲十一隊</x:v>
      </x:c>
      <x:c r="G7766" s="6" t="str">
        <x:v>Pingshui main list, Wikisource-derived DOCX</x:v>
      </x:c>
      <x:c r="H7766" s="6" t="str"/>
      <x:c r="I7766" s="6" t="str">
        <x:v>Pingshui main-list expansion; 詞 entries ignored</x:v>
      </x:c>
      <x:c r="J7766" s="6" t="str">
        <x:f>IF(B7766="","",IF(AND(ISNUMBER(SEARCH("平",B7766)),OR(ISNUMBER(SEARCH("上",B7766)),ISNUMBER(SEARCH("去",B7766)),ISNUMBER(SEARCH("入",B7766)))),"Ambiguous",IF(ISNUMBER(SEARCH("平",B7766)),"平","仄")))</x:f>
        <x:v>仄</x:v>
      </x:c>
      <x:c r="K7766" s="6" t="str">
        <x:f>IF(D7766="","",IF(AND(ISNUMBER(SEARCH("平",D7766)),OR(ISNUMBER(SEARCH("上",D7766)),ISNUMBER(SEARCH("去",D7766)),ISNUMBER(SEARCH("入",D7766)))),"Ambiguous",IF(ISNUMBER(SEARCH("平",D7766)),"平","仄")))</x:f>
        <x:v>仄</x:v>
      </x:c>
      <x:c r="L7766" s="7" t="str">
        <x:v>Pingshui main list expansion</x:v>
      </x:c>
    </x:row>
    <x:row r="7767">
      <x:c r="A7767" s="5" t="str">
        <x:v>薍</x:v>
      </x:c>
      <x:c r="B7767" s="6" t="str">
        <x:v>去</x:v>
      </x:c>
      <x:c r="C7767" s="6" t="str">
        <x:f>IF(B7767="","Needs decision","Ready")</x:f>
        <x:v>Ready</x:v>
      </x:c>
      <x:c r="D7767" s="6" t="str">
        <x:v>去</x:v>
      </x:c>
      <x:c r="E7767" s="6" t="str"/>
      <x:c r="F7767" s="6" t="str">
        <x:v>去聲十六諫</x:v>
      </x:c>
      <x:c r="G7767" s="6" t="str">
        <x:v>Pingshui main list, Wikisource-derived DOCX</x:v>
      </x:c>
      <x:c r="H7767" s="6" t="str"/>
      <x:c r="I7767" s="6" t="str">
        <x:v>Pingshui main-list expansion; 詞 entries ignored</x:v>
      </x:c>
      <x:c r="J7767" s="6" t="str">
        <x:f>IF(B7767="","",IF(AND(ISNUMBER(SEARCH("平",B7767)),OR(ISNUMBER(SEARCH("上",B7767)),ISNUMBER(SEARCH("去",B7767)),ISNUMBER(SEARCH("入",B7767)))),"Ambiguous",IF(ISNUMBER(SEARCH("平",B7767)),"平","仄")))</x:f>
        <x:v>仄</x:v>
      </x:c>
      <x:c r="K7767" s="6" t="str">
        <x:f>IF(D7767="","",IF(AND(ISNUMBER(SEARCH("平",D7767)),OR(ISNUMBER(SEARCH("上",D7767)),ISNUMBER(SEARCH("去",D7767)),ISNUMBER(SEARCH("入",D7767)))),"Ambiguous",IF(ISNUMBER(SEARCH("平",D7767)),"平","仄")))</x:f>
        <x:v>仄</x:v>
      </x:c>
      <x:c r="L7767" s="7" t="str">
        <x:v>Pingshui main list expansion</x:v>
      </x:c>
    </x:row>
    <x:row r="7768">
      <x:c r="A7768" s="5" t="str">
        <x:v>薕</x:v>
      </x:c>
      <x:c r="B7768" s="6" t="str">
        <x:v>平</x:v>
      </x:c>
      <x:c r="C7768" s="6" t="str">
        <x:f>IF(B7768="","Needs decision","Ready")</x:f>
        <x:v>Ready</x:v>
      </x:c>
      <x:c r="D7768" s="6" t="str">
        <x:v>平</x:v>
      </x:c>
      <x:c r="E7768" s="6" t="str"/>
      <x:c r="F7768" s="6" t="str">
        <x:v>下平聲十四鹽</x:v>
      </x:c>
      <x:c r="G7768" s="6" t="str">
        <x:v>Pingshui main list, Wikisource-derived DOCX</x:v>
      </x:c>
      <x:c r="H7768" s="6" t="str"/>
      <x:c r="I7768" s="6" t="str">
        <x:v>Pingshui main-list expansion; 詞 entries ignored</x:v>
      </x:c>
      <x:c r="J7768" s="6" t="str">
        <x:f>IF(B7768="","",IF(AND(ISNUMBER(SEARCH("平",B7768)),OR(ISNUMBER(SEARCH("上",B7768)),ISNUMBER(SEARCH("去",B7768)),ISNUMBER(SEARCH("入",B7768)))),"Ambiguous",IF(ISNUMBER(SEARCH("平",B7768)),"平","仄")))</x:f>
        <x:v>平</x:v>
      </x:c>
      <x:c r="K7768" s="6" t="str">
        <x:f>IF(D7768="","",IF(AND(ISNUMBER(SEARCH("平",D7768)),OR(ISNUMBER(SEARCH("上",D7768)),ISNUMBER(SEARCH("去",D7768)),ISNUMBER(SEARCH("入",D7768)))),"Ambiguous",IF(ISNUMBER(SEARCH("平",D7768)),"平","仄")))</x:f>
        <x:v>平</x:v>
      </x:c>
      <x:c r="L7768" s="7" t="str">
        <x:v>Pingshui main list expansion</x:v>
      </x:c>
    </x:row>
    <x:row r="7769">
      <x:c r="A7769" s="5" t="str">
        <x:v>薞</x:v>
      </x:c>
      <x:c r="B7769" s="6" t="str">
        <x:v>平</x:v>
      </x:c>
      <x:c r="C7769" s="6" t="str">
        <x:f>IF(B7769="","Needs decision","Ready")</x:f>
        <x:v>Ready</x:v>
      </x:c>
      <x:c r="D7769" s="6" t="str">
        <x:v>平</x:v>
      </x:c>
      <x:c r="E7769" s="6" t="str"/>
      <x:c r="F7769" s="6" t="str">
        <x:v>上平聲十三元</x:v>
      </x:c>
      <x:c r="G7769" s="6" t="str">
        <x:v>Pingshui main list, Wikisource-derived DOCX</x:v>
      </x:c>
      <x:c r="H7769" s="6" t="str"/>
      <x:c r="I7769" s="6" t="str">
        <x:v>Pingshui main-list expansion; 詞 entries ignored</x:v>
      </x:c>
      <x:c r="J7769" s="6" t="str">
        <x:f>IF(B7769="","",IF(AND(ISNUMBER(SEARCH("平",B7769)),OR(ISNUMBER(SEARCH("上",B7769)),ISNUMBER(SEARCH("去",B7769)),ISNUMBER(SEARCH("入",B7769)))),"Ambiguous",IF(ISNUMBER(SEARCH("平",B7769)),"平","仄")))</x:f>
        <x:v>平</x:v>
      </x:c>
      <x:c r="K7769" s="6" t="str">
        <x:f>IF(D7769="","",IF(AND(ISNUMBER(SEARCH("平",D7769)),OR(ISNUMBER(SEARCH("上",D7769)),ISNUMBER(SEARCH("去",D7769)),ISNUMBER(SEARCH("入",D7769)))),"Ambiguous",IF(ISNUMBER(SEARCH("平",D7769)),"平","仄")))</x:f>
        <x:v>平</x:v>
      </x:c>
      <x:c r="L7769" s="7" t="str">
        <x:v>Pingshui main list expansion</x:v>
      </x:c>
    </x:row>
    <x:row r="7770">
      <x:c r="A7770" s="5" t="str">
        <x:v>薠</x:v>
      </x:c>
      <x:c r="B7770" s="6" t="str">
        <x:v>平</x:v>
      </x:c>
      <x:c r="C7770" s="6" t="str">
        <x:f>IF(B7770="","Needs decision","Ready")</x:f>
        <x:v>Ready</x:v>
      </x:c>
      <x:c r="D7770" s="6" t="str">
        <x:v>平</x:v>
      </x:c>
      <x:c r="E7770" s="6" t="str"/>
      <x:c r="F7770" s="6" t="str">
        <x:v>上平聲十三元</x:v>
      </x:c>
      <x:c r="G7770" s="6" t="str">
        <x:v>Pingshui main list, Wikisource-derived DOCX</x:v>
      </x:c>
      <x:c r="H7770" s="6" t="str"/>
      <x:c r="I7770" s="6" t="str">
        <x:v>Pingshui main-list expansion; 詞 entries ignored</x:v>
      </x:c>
      <x:c r="J7770" s="6" t="str">
        <x:f>IF(B7770="","",IF(AND(ISNUMBER(SEARCH("平",B7770)),OR(ISNUMBER(SEARCH("上",B7770)),ISNUMBER(SEARCH("去",B7770)),ISNUMBER(SEARCH("入",B7770)))),"Ambiguous",IF(ISNUMBER(SEARCH("平",B7770)),"平","仄")))</x:f>
        <x:v>平</x:v>
      </x:c>
      <x:c r="K7770" s="6" t="str">
        <x:f>IF(D7770="","",IF(AND(ISNUMBER(SEARCH("平",D7770)),OR(ISNUMBER(SEARCH("上",D7770)),ISNUMBER(SEARCH("去",D7770)),ISNUMBER(SEARCH("入",D7770)))),"Ambiguous",IF(ISNUMBER(SEARCH("平",D7770)),"平","仄")))</x:f>
        <x:v>平</x:v>
      </x:c>
      <x:c r="L7770" s="7" t="str">
        <x:v>Pingshui main list expansion</x:v>
      </x:c>
    </x:row>
    <x:row r="7771">
      <x:c r="A7771" s="5" t="str">
        <x:v>薧</x:v>
      </x:c>
      <x:c r="B7771" s="6" t="str">
        <x:v>上</x:v>
      </x:c>
      <x:c r="C7771" s="6" t="str">
        <x:f>IF(B7771="","Needs decision","Ready")</x:f>
        <x:v>Ready</x:v>
      </x:c>
      <x:c r="D7771" s="6" t="str">
        <x:v>上</x:v>
      </x:c>
      <x:c r="E7771" s="6" t="str"/>
      <x:c r="F7771" s="6" t="str">
        <x:v>上聲十九皓</x:v>
      </x:c>
      <x:c r="G7771" s="6" t="str">
        <x:v>Pingshui main list, Wikisource-derived DOCX</x:v>
      </x:c>
      <x:c r="H7771" s="6" t="str"/>
      <x:c r="I7771" s="6" t="str">
        <x:v>Pingshui main-list expansion; 詞 entries ignored</x:v>
      </x:c>
      <x:c r="J7771" s="6" t="str">
        <x:f>IF(B7771="","",IF(AND(ISNUMBER(SEARCH("平",B7771)),OR(ISNUMBER(SEARCH("上",B7771)),ISNUMBER(SEARCH("去",B7771)),ISNUMBER(SEARCH("入",B7771)))),"Ambiguous",IF(ISNUMBER(SEARCH("平",B7771)),"平","仄")))</x:f>
        <x:v>仄</x:v>
      </x:c>
      <x:c r="K7771" s="6" t="str">
        <x:f>IF(D7771="","",IF(AND(ISNUMBER(SEARCH("平",D7771)),OR(ISNUMBER(SEARCH("上",D7771)),ISNUMBER(SEARCH("去",D7771)),ISNUMBER(SEARCH("入",D7771)))),"Ambiguous",IF(ISNUMBER(SEARCH("平",D7771)),"平","仄")))</x:f>
        <x:v>仄</x:v>
      </x:c>
      <x:c r="L7771" s="7" t="str">
        <x:v>Pingshui main list expansion</x:v>
      </x:c>
    </x:row>
    <x:row r="7772">
      <x:c r="A7772" s="5" t="str">
        <x:v>薱</x:v>
      </x:c>
      <x:c r="B7772" s="6" t="str">
        <x:v>去</x:v>
      </x:c>
      <x:c r="C7772" s="6" t="str">
        <x:f>IF(B7772="","Needs decision","Ready")</x:f>
        <x:v>Ready</x:v>
      </x:c>
      <x:c r="D7772" s="6" t="str">
        <x:v>去</x:v>
      </x:c>
      <x:c r="E7772" s="6" t="str"/>
      <x:c r="F7772" s="6" t="str">
        <x:v>去聲十一隊</x:v>
      </x:c>
      <x:c r="G7772" s="6" t="str">
        <x:v>Pingshui main list, Wikisource-derived DOCX</x:v>
      </x:c>
      <x:c r="H7772" s="6" t="str"/>
      <x:c r="I7772" s="6" t="str">
        <x:v>Pingshui main-list expansion; 詞 entries ignored</x:v>
      </x:c>
      <x:c r="J7772" s="6" t="str">
        <x:f>IF(B7772="","",IF(AND(ISNUMBER(SEARCH("平",B7772)),OR(ISNUMBER(SEARCH("上",B7772)),ISNUMBER(SEARCH("去",B7772)),ISNUMBER(SEARCH("入",B7772)))),"Ambiguous",IF(ISNUMBER(SEARCH("平",B7772)),"平","仄")))</x:f>
        <x:v>仄</x:v>
      </x:c>
      <x:c r="K7772" s="6" t="str">
        <x:f>IF(D7772="","",IF(AND(ISNUMBER(SEARCH("平",D7772)),OR(ISNUMBER(SEARCH("上",D7772)),ISNUMBER(SEARCH("去",D7772)),ISNUMBER(SEARCH("入",D7772)))),"Ambiguous",IF(ISNUMBER(SEARCH("平",D7772)),"平","仄")))</x:f>
        <x:v>仄</x:v>
      </x:c>
      <x:c r="L7772" s="7" t="str">
        <x:v>Pingshui main list expansion</x:v>
      </x:c>
    </x:row>
    <x:row r="7773">
      <x:c r="A7773" s="5" t="str">
        <x:v>薴</x:v>
      </x:c>
      <x:c r="B7773" s="6" t="str">
        <x:v>上</x:v>
      </x:c>
      <x:c r="C7773" s="6" t="str">
        <x:f>IF(B7773="","Needs decision","Ready")</x:f>
        <x:v>Ready</x:v>
      </x:c>
      <x:c r="D7773" s="6" t="str">
        <x:v>上</x:v>
      </x:c>
      <x:c r="E7773" s="6" t="str"/>
      <x:c r="F7773" s="6" t="str">
        <x:v>上聲六語</x:v>
      </x:c>
      <x:c r="G7773" s="6" t="str">
        <x:v>Pingshui main list, Wikisource-derived DOCX</x:v>
      </x:c>
      <x:c r="H7773" s="6" t="str"/>
      <x:c r="I7773" s="6" t="str">
        <x:v>Pingshui main-list expansion; 詞 entries ignored</x:v>
      </x:c>
      <x:c r="J7773" s="6" t="str">
        <x:f>IF(B7773="","",IF(AND(ISNUMBER(SEARCH("平",B7773)),OR(ISNUMBER(SEARCH("上",B7773)),ISNUMBER(SEARCH("去",B7773)),ISNUMBER(SEARCH("入",B7773)))),"Ambiguous",IF(ISNUMBER(SEARCH("平",B7773)),"平","仄")))</x:f>
        <x:v>仄</x:v>
      </x:c>
      <x:c r="K7773" s="6" t="str">
        <x:f>IF(D7773="","",IF(AND(ISNUMBER(SEARCH("平",D7773)),OR(ISNUMBER(SEARCH("上",D7773)),ISNUMBER(SEARCH("去",D7773)),ISNUMBER(SEARCH("入",D7773)))),"Ambiguous",IF(ISNUMBER(SEARCH("平",D7773)),"平","仄")))</x:f>
        <x:v>仄</x:v>
      </x:c>
      <x:c r="L7773" s="7" t="str">
        <x:v>Pingshui main list expansion</x:v>
      </x:c>
    </x:row>
    <x:row r="7774">
      <x:c r="A7774" s="5" t="str">
        <x:v>薹</x:v>
      </x:c>
      <x:c r="B7774" s="6" t="str">
        <x:v>平</x:v>
      </x:c>
      <x:c r="C7774" s="6" t="str">
        <x:f>IF(B7774="","Needs decision","Ready")</x:f>
        <x:v>Ready</x:v>
      </x:c>
      <x:c r="D7774" s="6" t="str">
        <x:v>平</x:v>
      </x:c>
      <x:c r="E7774" s="6" t="str"/>
      <x:c r="F7774" s="6" t="str">
        <x:v>上平聲十灰</x:v>
      </x:c>
      <x:c r="G7774" s="6" t="str">
        <x:v>Pingshui main list, Wikisource-derived DOCX</x:v>
      </x:c>
      <x:c r="H7774" s="6" t="str"/>
      <x:c r="I7774" s="6" t="str">
        <x:v>Pingshui main-list expansion; 詞 entries ignored</x:v>
      </x:c>
      <x:c r="J7774" s="6" t="str">
        <x:f>IF(B7774="","",IF(AND(ISNUMBER(SEARCH("平",B7774)),OR(ISNUMBER(SEARCH("上",B7774)),ISNUMBER(SEARCH("去",B7774)),ISNUMBER(SEARCH("入",B7774)))),"Ambiguous",IF(ISNUMBER(SEARCH("平",B7774)),"平","仄")))</x:f>
        <x:v>平</x:v>
      </x:c>
      <x:c r="K7774" s="6" t="str">
        <x:f>IF(D7774="","",IF(AND(ISNUMBER(SEARCH("平",D7774)),OR(ISNUMBER(SEARCH("上",D7774)),ISNUMBER(SEARCH("去",D7774)),ISNUMBER(SEARCH("入",D7774)))),"Ambiguous",IF(ISNUMBER(SEARCH("平",D7774)),"平","仄")))</x:f>
        <x:v>平</x:v>
      </x:c>
      <x:c r="L7774" s="7" t="str">
        <x:v>Pingshui main list expansion</x:v>
      </x:c>
    </x:row>
    <x:row r="7775">
      <x:c r="A7775" s="5" t="str">
        <x:v>薿</x:v>
      </x:c>
      <x:c r="B7775" s="6" t="str">
        <x:v>上</x:v>
      </x:c>
      <x:c r="C7775" s="6" t="str">
        <x:f>IF(B7775="","Needs decision","Ready")</x:f>
        <x:v>Ready</x:v>
      </x:c>
      <x:c r="D7775" s="6" t="str">
        <x:v>上</x:v>
      </x:c>
      <x:c r="E7775" s="6" t="str"/>
      <x:c r="F7775" s="6" t="str">
        <x:v>上聲四紙</x:v>
      </x:c>
      <x:c r="G7775" s="6" t="str">
        <x:v>Pingshui main list, Wikisource-derived DOCX</x:v>
      </x:c>
      <x:c r="H7775" s="6" t="str"/>
      <x:c r="I7775" s="6" t="str">
        <x:v>Pingshui main-list expansion; 詞 entries ignored</x:v>
      </x:c>
      <x:c r="J7775" s="6" t="str">
        <x:f>IF(B7775="","",IF(AND(ISNUMBER(SEARCH("平",B7775)),OR(ISNUMBER(SEARCH("上",B7775)),ISNUMBER(SEARCH("去",B7775)),ISNUMBER(SEARCH("入",B7775)))),"Ambiguous",IF(ISNUMBER(SEARCH("平",B7775)),"平","仄")))</x:f>
        <x:v>仄</x:v>
      </x:c>
      <x:c r="K7775" s="6" t="str">
        <x:f>IF(D7775="","",IF(AND(ISNUMBER(SEARCH("平",D7775)),OR(ISNUMBER(SEARCH("上",D7775)),ISNUMBER(SEARCH("去",D7775)),ISNUMBER(SEARCH("入",D7775)))),"Ambiguous",IF(ISNUMBER(SEARCH("平",D7775)),"平","仄")))</x:f>
        <x:v>仄</x:v>
      </x:c>
      <x:c r="L7775" s="7" t="str">
        <x:v>Pingshui main list expansion</x:v>
      </x:c>
    </x:row>
    <x:row r="7776">
      <x:c r="A7776" s="5" t="str">
        <x:v>藑</x:v>
      </x:c>
      <x:c r="B7776" s="6" t="str">
        <x:v>平</x:v>
      </x:c>
      <x:c r="C7776" s="6" t="str">
        <x:f>IF(B7776="","Needs decision","Ready")</x:f>
        <x:v>Ready</x:v>
      </x:c>
      <x:c r="D7776" s="6" t="str">
        <x:v>平</x:v>
      </x:c>
      <x:c r="E7776" s="6" t="str"/>
      <x:c r="F7776" s="6" t="str">
        <x:v>下平聲八庚</x:v>
      </x:c>
      <x:c r="G7776" s="6" t="str">
        <x:v>Pingshui main list, Wikisource-derived DOCX</x:v>
      </x:c>
      <x:c r="H7776" s="6" t="str"/>
      <x:c r="I7776" s="6" t="str">
        <x:v>Pingshui main-list expansion; 詞 entries ignored</x:v>
      </x:c>
      <x:c r="J7776" s="6" t="str">
        <x:f>IF(B7776="","",IF(AND(ISNUMBER(SEARCH("平",B7776)),OR(ISNUMBER(SEARCH("上",B7776)),ISNUMBER(SEARCH("去",B7776)),ISNUMBER(SEARCH("入",B7776)))),"Ambiguous",IF(ISNUMBER(SEARCH("平",B7776)),"平","仄")))</x:f>
        <x:v>平</x:v>
      </x:c>
      <x:c r="K7776" s="6" t="str">
        <x:f>IF(D7776="","",IF(AND(ISNUMBER(SEARCH("平",D7776)),OR(ISNUMBER(SEARCH("上",D7776)),ISNUMBER(SEARCH("去",D7776)),ISNUMBER(SEARCH("入",D7776)))),"Ambiguous",IF(ISNUMBER(SEARCH("平",D7776)),"平","仄")))</x:f>
        <x:v>平</x:v>
      </x:c>
      <x:c r="L7776" s="7" t="str">
        <x:v>Pingshui main list expansion</x:v>
      </x:c>
    </x:row>
    <x:row r="7777">
      <x:c r="A7777" s="5" t="str">
        <x:v>藣</x:v>
      </x:c>
      <x:c r="B7777" s="6" t="str">
        <x:v>平</x:v>
      </x:c>
      <x:c r="C7777" s="6" t="str">
        <x:f>IF(B7777="","Needs decision","Ready")</x:f>
        <x:v>Ready</x:v>
      </x:c>
      <x:c r="D7777" s="6" t="str">
        <x:v>平</x:v>
      </x:c>
      <x:c r="E7777" s="6" t="str"/>
      <x:c r="F7777" s="6" t="str">
        <x:v>上平聲四支</x:v>
      </x:c>
      <x:c r="G7777" s="6" t="str">
        <x:v>Pingshui main list, Wikisource-derived DOCX</x:v>
      </x:c>
      <x:c r="H7777" s="6" t="str"/>
      <x:c r="I7777" s="6" t="str">
        <x:v>Pingshui main-list expansion; 詞 entries ignored</x:v>
      </x:c>
      <x:c r="J7777" s="6" t="str">
        <x:f>IF(B7777="","",IF(AND(ISNUMBER(SEARCH("平",B7777)),OR(ISNUMBER(SEARCH("上",B7777)),ISNUMBER(SEARCH("去",B7777)),ISNUMBER(SEARCH("入",B7777)))),"Ambiguous",IF(ISNUMBER(SEARCH("平",B7777)),"平","仄")))</x:f>
        <x:v>平</x:v>
      </x:c>
      <x:c r="K7777" s="6" t="str">
        <x:f>IF(D7777="","",IF(AND(ISNUMBER(SEARCH("平",D7777)),OR(ISNUMBER(SEARCH("上",D7777)),ISNUMBER(SEARCH("去",D7777)),ISNUMBER(SEARCH("入",D7777)))),"Ambiguous",IF(ISNUMBER(SEARCH("平",D7777)),"平","仄")))</x:f>
        <x:v>平</x:v>
      </x:c>
      <x:c r="L7777" s="7" t="str">
        <x:v>Pingshui main list expansion</x:v>
      </x:c>
    </x:row>
    <x:row r="7778">
      <x:c r="A7778" s="5" t="str">
        <x:v>藫</x:v>
      </x:c>
      <x:c r="B7778" s="6" t="str">
        <x:v>平</x:v>
      </x:c>
      <x:c r="C7778" s="6" t="str">
        <x:f>IF(B7778="","Needs decision","Ready")</x:f>
        <x:v>Ready</x:v>
      </x:c>
      <x:c r="D7778" s="6" t="str">
        <x:v>平</x:v>
      </x:c>
      <x:c r="E7778" s="6" t="str"/>
      <x:c r="F7778" s="6" t="str">
        <x:v>下平聲十三覃</x:v>
      </x:c>
      <x:c r="G7778" s="6" t="str">
        <x:v>Pingshui main list, Wikisource-derived DOCX</x:v>
      </x:c>
      <x:c r="H7778" s="6" t="str"/>
      <x:c r="I7778" s="6" t="str">
        <x:v>Pingshui main-list expansion; 詞 entries ignored</x:v>
      </x:c>
      <x:c r="J7778" s="6" t="str">
        <x:f>IF(B7778="","",IF(AND(ISNUMBER(SEARCH("平",B7778)),OR(ISNUMBER(SEARCH("上",B7778)),ISNUMBER(SEARCH("去",B7778)),ISNUMBER(SEARCH("入",B7778)))),"Ambiguous",IF(ISNUMBER(SEARCH("平",B7778)),"平","仄")))</x:f>
        <x:v>平</x:v>
      </x:c>
      <x:c r="K7778" s="6" t="str">
        <x:f>IF(D7778="","",IF(AND(ISNUMBER(SEARCH("平",D7778)),OR(ISNUMBER(SEARCH("上",D7778)),ISNUMBER(SEARCH("去",D7778)),ISNUMBER(SEARCH("入",D7778)))),"Ambiguous",IF(ISNUMBER(SEARCH("平",D7778)),"平","仄")))</x:f>
        <x:v>平</x:v>
      </x:c>
      <x:c r="L7778" s="7" t="str">
        <x:v>Pingshui main list expansion</x:v>
      </x:c>
    </x:row>
    <x:row r="7779">
      <x:c r="A7779" s="5" t="str">
        <x:v>藭</x:v>
      </x:c>
      <x:c r="B7779" s="6" t="str">
        <x:v>平</x:v>
      </x:c>
      <x:c r="C7779" s="6" t="str">
        <x:f>IF(B7779="","Needs decision","Ready")</x:f>
        <x:v>Ready</x:v>
      </x:c>
      <x:c r="D7779" s="6" t="str">
        <x:v>平</x:v>
      </x:c>
      <x:c r="E7779" s="6" t="str"/>
      <x:c r="F7779" s="6" t="str">
        <x:v>上平聲一東</x:v>
      </x:c>
      <x:c r="G7779" s="6" t="str">
        <x:v>Pingshui main list, Wikisource-derived DOCX</x:v>
      </x:c>
      <x:c r="H7779" s="6" t="str"/>
      <x:c r="I7779" s="6" t="str">
        <x:v>Pingshui main-list expansion; 詞 entries ignored</x:v>
      </x:c>
      <x:c r="J7779" s="6" t="str">
        <x:f>IF(B7779="","",IF(AND(ISNUMBER(SEARCH("平",B7779)),OR(ISNUMBER(SEARCH("上",B7779)),ISNUMBER(SEARCH("去",B7779)),ISNUMBER(SEARCH("入",B7779)))),"Ambiguous",IF(ISNUMBER(SEARCH("平",B7779)),"平","仄")))</x:f>
        <x:v>平</x:v>
      </x:c>
      <x:c r="K7779" s="6" t="str">
        <x:f>IF(D7779="","",IF(AND(ISNUMBER(SEARCH("平",D7779)),OR(ISNUMBER(SEARCH("上",D7779)),ISNUMBER(SEARCH("去",D7779)),ISNUMBER(SEARCH("入",D7779)))),"Ambiguous",IF(ISNUMBER(SEARCH("平",D7779)),"平","仄")))</x:f>
        <x:v>平</x:v>
      </x:c>
      <x:c r="L7779" s="7" t="str">
        <x:v>Pingshui main list expansion</x:v>
      </x:c>
    </x:row>
    <x:row r="7780">
      <x:c r="A7780" s="5" t="str">
        <x:v>藶</x:v>
      </x:c>
      <x:c r="B7780" s="6" t="str">
        <x:v>入</x:v>
      </x:c>
      <x:c r="C7780" s="6" t="str">
        <x:f>IF(B7780="","Needs decision","Ready")</x:f>
        <x:v>Ready</x:v>
      </x:c>
      <x:c r="D7780" s="6" t="str">
        <x:v>入</x:v>
      </x:c>
      <x:c r="E7780" s="6" t="str"/>
      <x:c r="F7780" s="6" t="str">
        <x:v>入聲十二錫</x:v>
      </x:c>
      <x:c r="G7780" s="6" t="str">
        <x:v>Pingshui main list, Wikisource-derived DOCX</x:v>
      </x:c>
      <x:c r="H7780" s="6" t="str"/>
      <x:c r="I7780" s="6" t="str">
        <x:v>Pingshui main-list expansion; 詞 entries ignored</x:v>
      </x:c>
      <x:c r="J7780" s="6" t="str">
        <x:f>IF(B7780="","",IF(AND(ISNUMBER(SEARCH("平",B7780)),OR(ISNUMBER(SEARCH("上",B7780)),ISNUMBER(SEARCH("去",B7780)),ISNUMBER(SEARCH("入",B7780)))),"Ambiguous",IF(ISNUMBER(SEARCH("平",B7780)),"平","仄")))</x:f>
        <x:v>仄</x:v>
      </x:c>
      <x:c r="K7780" s="6" t="str">
        <x:f>IF(D7780="","",IF(AND(ISNUMBER(SEARCH("平",D7780)),OR(ISNUMBER(SEARCH("上",D7780)),ISNUMBER(SEARCH("去",D7780)),ISNUMBER(SEARCH("入",D7780)))),"Ambiguous",IF(ISNUMBER(SEARCH("平",D7780)),"平","仄")))</x:f>
        <x:v>仄</x:v>
      </x:c>
      <x:c r="L7780" s="7" t="str">
        <x:v>Pingshui main list expansion</x:v>
      </x:c>
    </x:row>
    <x:row r="7781">
      <x:c r="A7781" s="5" t="str">
        <x:v>藷</x:v>
      </x:c>
      <x:c r="B7781" s="6" t="str">
        <x:v>平</x:v>
      </x:c>
      <x:c r="C7781" s="6" t="str">
        <x:f>IF(B7781="","Needs decision","Ready")</x:f>
        <x:v>Ready</x:v>
      </x:c>
      <x:c r="D7781" s="6" t="str">
        <x:v>平</x:v>
      </x:c>
      <x:c r="E7781" s="6" t="str"/>
      <x:c r="F7781" s="6" t="str">
        <x:v>上平聲六魚</x:v>
      </x:c>
      <x:c r="G7781" s="6" t="str">
        <x:v>Pingshui main list, Wikisource-derived DOCX</x:v>
      </x:c>
      <x:c r="H7781" s="6" t="str"/>
      <x:c r="I7781" s="6" t="str">
        <x:v>Pingshui main-list expansion; 詞 entries ignored</x:v>
      </x:c>
      <x:c r="J7781" s="6" t="str">
        <x:f>IF(B7781="","",IF(AND(ISNUMBER(SEARCH("平",B7781)),OR(ISNUMBER(SEARCH("上",B7781)),ISNUMBER(SEARCH("去",B7781)),ISNUMBER(SEARCH("入",B7781)))),"Ambiguous",IF(ISNUMBER(SEARCH("平",B7781)),"平","仄")))</x:f>
        <x:v>平</x:v>
      </x:c>
      <x:c r="K7781" s="6" t="str">
        <x:f>IF(D7781="","",IF(AND(ISNUMBER(SEARCH("平",D7781)),OR(ISNUMBER(SEARCH("上",D7781)),ISNUMBER(SEARCH("去",D7781)),ISNUMBER(SEARCH("入",D7781)))),"Ambiguous",IF(ISNUMBER(SEARCH("平",D7781)),"平","仄")))</x:f>
        <x:v>平</x:v>
      </x:c>
      <x:c r="L7781" s="7" t="str">
        <x:v>Pingshui main list expansion</x:v>
      </x:c>
    </x:row>
    <x:row r="7782">
      <x:c r="A7782" s="5" t="str">
        <x:v>藾</x:v>
      </x:c>
      <x:c r="B7782" s="6" t="str">
        <x:v>去</x:v>
      </x:c>
      <x:c r="C7782" s="6" t="str">
        <x:f>IF(B7782="","Needs decision","Ready")</x:f>
        <x:v>Ready</x:v>
      </x:c>
      <x:c r="D7782" s="6" t="str">
        <x:v>去</x:v>
      </x:c>
      <x:c r="E7782" s="6" t="str"/>
      <x:c r="F7782" s="6" t="str">
        <x:v>去聲九泰</x:v>
      </x:c>
      <x:c r="G7782" s="6" t="str">
        <x:v>Pingshui main list, Wikisource-derived DOCX</x:v>
      </x:c>
      <x:c r="H7782" s="6" t="str"/>
      <x:c r="I7782" s="6" t="str">
        <x:v>Pingshui main-list expansion; 詞 entries ignored</x:v>
      </x:c>
      <x:c r="J7782" s="6" t="str">
        <x:f>IF(B7782="","",IF(AND(ISNUMBER(SEARCH("平",B7782)),OR(ISNUMBER(SEARCH("上",B7782)),ISNUMBER(SEARCH("去",B7782)),ISNUMBER(SEARCH("入",B7782)))),"Ambiguous",IF(ISNUMBER(SEARCH("平",B7782)),"平","仄")))</x:f>
        <x:v>仄</x:v>
      </x:c>
      <x:c r="K7782" s="6" t="str">
        <x:f>IF(D7782="","",IF(AND(ISNUMBER(SEARCH("平",D7782)),OR(ISNUMBER(SEARCH("上",D7782)),ISNUMBER(SEARCH("去",D7782)),ISNUMBER(SEARCH("入",D7782)))),"Ambiguous",IF(ISNUMBER(SEARCH("平",D7782)),"平","仄")))</x:f>
        <x:v>仄</x:v>
      </x:c>
      <x:c r="L7782" s="7" t="str">
        <x:v>Pingshui main list expansion</x:v>
      </x:c>
    </x:row>
    <x:row r="7783">
      <x:c r="A7783" s="5" t="str">
        <x:v>蘀</x:v>
      </x:c>
      <x:c r="B7783" s="6" t="str">
        <x:v>入</x:v>
      </x:c>
      <x:c r="C7783" s="6" t="str">
        <x:f>IF(B7783="","Needs decision","Ready")</x:f>
        <x:v>Ready</x:v>
      </x:c>
      <x:c r="D7783" s="6" t="str">
        <x:v>入</x:v>
      </x:c>
      <x:c r="E7783" s="6" t="str"/>
      <x:c r="F7783" s="6" t="str">
        <x:v>入聲十藥</x:v>
      </x:c>
      <x:c r="G7783" s="6" t="str">
        <x:v>Pingshui main list, Wikisource-derived DOCX</x:v>
      </x:c>
      <x:c r="H7783" s="6" t="str"/>
      <x:c r="I7783" s="6" t="str">
        <x:v>Pingshui main-list expansion; 詞 entries ignored</x:v>
      </x:c>
      <x:c r="J7783" s="6" t="str">
        <x:f>IF(B7783="","",IF(AND(ISNUMBER(SEARCH("平",B7783)),OR(ISNUMBER(SEARCH("上",B7783)),ISNUMBER(SEARCH("去",B7783)),ISNUMBER(SEARCH("入",B7783)))),"Ambiguous",IF(ISNUMBER(SEARCH("平",B7783)),"平","仄")))</x:f>
        <x:v>仄</x:v>
      </x:c>
      <x:c r="K7783" s="6" t="str">
        <x:f>IF(D7783="","",IF(AND(ISNUMBER(SEARCH("平",D7783)),OR(ISNUMBER(SEARCH("上",D7783)),ISNUMBER(SEARCH("去",D7783)),ISNUMBER(SEARCH("入",D7783)))),"Ambiguous",IF(ISNUMBER(SEARCH("平",D7783)),"平","仄")))</x:f>
        <x:v>仄</x:v>
      </x:c>
      <x:c r="L7783" s="7" t="str">
        <x:v>Pingshui main list expansion</x:v>
      </x:c>
    </x:row>
    <x:row r="7784">
      <x:c r="A7784" s="5" t="str">
        <x:v>蘉</x:v>
      </x:c>
      <x:c r="B7784" s="6" t="str">
        <x:v>平</x:v>
      </x:c>
      <x:c r="C7784" s="6" t="str">
        <x:f>IF(B7784="","Needs decision","Ready")</x:f>
        <x:v>Ready</x:v>
      </x:c>
      <x:c r="D7784" s="6" t="str">
        <x:v>平</x:v>
      </x:c>
      <x:c r="E7784" s="6" t="str"/>
      <x:c r="F7784" s="6" t="str">
        <x:v>下平聲七陽</x:v>
      </x:c>
      <x:c r="G7784" s="6" t="str">
        <x:v>Pingshui main list, Wikisource-derived DOCX</x:v>
      </x:c>
      <x:c r="H7784" s="6" t="str"/>
      <x:c r="I7784" s="6" t="str">
        <x:v>Pingshui main-list expansion; 詞 entries ignored</x:v>
      </x:c>
      <x:c r="J7784" s="6" t="str">
        <x:f>IF(B7784="","",IF(AND(ISNUMBER(SEARCH("平",B7784)),OR(ISNUMBER(SEARCH("上",B7784)),ISNUMBER(SEARCH("去",B7784)),ISNUMBER(SEARCH("入",B7784)))),"Ambiguous",IF(ISNUMBER(SEARCH("平",B7784)),"平","仄")))</x:f>
        <x:v>平</x:v>
      </x:c>
      <x:c r="K7784" s="6" t="str">
        <x:f>IF(D7784="","",IF(AND(ISNUMBER(SEARCH("平",D7784)),OR(ISNUMBER(SEARCH("上",D7784)),ISNUMBER(SEARCH("去",D7784)),ISNUMBER(SEARCH("入",D7784)))),"Ambiguous",IF(ISNUMBER(SEARCH("平",D7784)),"平","仄")))</x:f>
        <x:v>平</x:v>
      </x:c>
      <x:c r="L7784" s="7" t="str">
        <x:v>Pingshui main list expansion</x:v>
      </x:c>
    </x:row>
    <x:row r="7785">
      <x:c r="A7785" s="5" t="str">
        <x:v>蘤</x:v>
      </x:c>
      <x:c r="B7785" s="6" t="str">
        <x:v>上</x:v>
      </x:c>
      <x:c r="C7785" s="6" t="str">
        <x:f>IF(B7785="","Needs decision","Ready")</x:f>
        <x:v>Ready</x:v>
      </x:c>
      <x:c r="D7785" s="6" t="str">
        <x:v>上</x:v>
      </x:c>
      <x:c r="E7785" s="6" t="str"/>
      <x:c r="F7785" s="6" t="str">
        <x:v>上聲四紙</x:v>
      </x:c>
      <x:c r="G7785" s="6" t="str">
        <x:v>Pingshui main list, Wikisource-derived DOCX</x:v>
      </x:c>
      <x:c r="H7785" s="6" t="str"/>
      <x:c r="I7785" s="6" t="str">
        <x:v>Pingshui main-list expansion; 詞 entries ignored</x:v>
      </x:c>
      <x:c r="J7785" s="6" t="str">
        <x:f>IF(B7785="","",IF(AND(ISNUMBER(SEARCH("平",B7785)),OR(ISNUMBER(SEARCH("上",B7785)),ISNUMBER(SEARCH("去",B7785)),ISNUMBER(SEARCH("入",B7785)))),"Ambiguous",IF(ISNUMBER(SEARCH("平",B7785)),"平","仄")))</x:f>
        <x:v>仄</x:v>
      </x:c>
      <x:c r="K7785" s="6" t="str">
        <x:f>IF(D7785="","",IF(AND(ISNUMBER(SEARCH("平",D7785)),OR(ISNUMBER(SEARCH("上",D7785)),ISNUMBER(SEARCH("去",D7785)),ISNUMBER(SEARCH("入",D7785)))),"Ambiguous",IF(ISNUMBER(SEARCH("平",D7785)),"平","仄")))</x:f>
        <x:v>仄</x:v>
      </x:c>
      <x:c r="L7785" s="7" t="str">
        <x:v>Pingshui main list expansion</x:v>
      </x:c>
    </x:row>
    <x:row r="7786">
      <x:c r="A7786" s="5" t="str">
        <x:v>蘪</x:v>
      </x:c>
      <x:c r="B7786" s="6" t="str">
        <x:v>平</x:v>
      </x:c>
      <x:c r="C7786" s="6" t="str">
        <x:f>IF(B7786="","Needs decision","Ready")</x:f>
        <x:v>Ready</x:v>
      </x:c>
      <x:c r="D7786" s="6" t="str">
        <x:v>平</x:v>
      </x:c>
      <x:c r="E7786" s="6" t="str"/>
      <x:c r="F7786" s="6" t="str">
        <x:v>上平聲四支</x:v>
      </x:c>
      <x:c r="G7786" s="6" t="str">
        <x:v>Pingshui main list, Wikisource-derived DOCX</x:v>
      </x:c>
      <x:c r="H7786" s="6" t="str"/>
      <x:c r="I7786" s="6" t="str">
        <x:v>Pingshui main-list expansion; 詞 entries ignored</x:v>
      </x:c>
      <x:c r="J7786" s="6" t="str">
        <x:f>IF(B7786="","",IF(AND(ISNUMBER(SEARCH("平",B7786)),OR(ISNUMBER(SEARCH("上",B7786)),ISNUMBER(SEARCH("去",B7786)),ISNUMBER(SEARCH("入",B7786)))),"Ambiguous",IF(ISNUMBER(SEARCH("平",B7786)),"平","仄")))</x:f>
        <x:v>平</x:v>
      </x:c>
      <x:c r="K7786" s="6" t="str">
        <x:f>IF(D7786="","",IF(AND(ISNUMBER(SEARCH("平",D7786)),OR(ISNUMBER(SEARCH("上",D7786)),ISNUMBER(SEARCH("去",D7786)),ISNUMBER(SEARCH("入",D7786)))),"Ambiguous",IF(ISNUMBER(SEARCH("平",D7786)),"平","仄")))</x:f>
        <x:v>平</x:v>
      </x:c>
      <x:c r="L7786" s="7" t="str">
        <x:v>Pingshui main list expansion</x:v>
      </x:c>
    </x:row>
    <x:row r="7787">
      <x:c r="A7787" s="5" t="str">
        <x:v>蘬</x:v>
      </x:c>
      <x:c r="B7787" s="6" t="str">
        <x:v>上</x:v>
      </x:c>
      <x:c r="C7787" s="6" t="str">
        <x:f>IF(B7787="","Needs decision","Ready")</x:f>
        <x:v>Ready</x:v>
      </x:c>
      <x:c r="D7787" s="6" t="str">
        <x:v>上</x:v>
      </x:c>
      <x:c r="E7787" s="6" t="str"/>
      <x:c r="F7787" s="6" t="str">
        <x:v>上聲五尾</x:v>
      </x:c>
      <x:c r="G7787" s="6" t="str">
        <x:v>Pingshui main list, Wikisource-derived DOCX</x:v>
      </x:c>
      <x:c r="H7787" s="6" t="str"/>
      <x:c r="I7787" s="6" t="str">
        <x:v>Pingshui main-list expansion; 詞 entries ignored</x:v>
      </x:c>
      <x:c r="J7787" s="6" t="str">
        <x:f>IF(B7787="","",IF(AND(ISNUMBER(SEARCH("平",B7787)),OR(ISNUMBER(SEARCH("上",B7787)),ISNUMBER(SEARCH("去",B7787)),ISNUMBER(SEARCH("入",B7787)))),"Ambiguous",IF(ISNUMBER(SEARCH("平",B7787)),"平","仄")))</x:f>
        <x:v>仄</x:v>
      </x:c>
      <x:c r="K7787" s="6" t="str">
        <x:f>IF(D7787="","",IF(AND(ISNUMBER(SEARCH("平",D7787)),OR(ISNUMBER(SEARCH("上",D7787)),ISNUMBER(SEARCH("去",D7787)),ISNUMBER(SEARCH("入",D7787)))),"Ambiguous",IF(ISNUMBER(SEARCH("平",D7787)),"平","仄")))</x:f>
        <x:v>仄</x:v>
      </x:c>
      <x:c r="L7787" s="7" t="str">
        <x:v>Pingshui main list expansion</x:v>
      </x:c>
    </x:row>
    <x:row r="7788">
      <x:c r="A7788" s="5" t="str">
        <x:v>蘲</x:v>
      </x:c>
      <x:c r="B7788" s="6" t="str">
        <x:v>平</x:v>
      </x:c>
      <x:c r="C7788" s="6" t="str">
        <x:f>IF(B7788="","Needs decision","Ready")</x:f>
        <x:v>Ready</x:v>
      </x:c>
      <x:c r="D7788" s="6" t="str">
        <x:v>平</x:v>
      </x:c>
      <x:c r="E7788" s="6" t="str"/>
      <x:c r="F7788" s="6" t="str">
        <x:v>上平聲四支</x:v>
      </x:c>
      <x:c r="G7788" s="6" t="str">
        <x:v>Pingshui main list, Wikisource-derived DOCX</x:v>
      </x:c>
      <x:c r="H7788" s="6" t="str"/>
      <x:c r="I7788" s="6" t="str">
        <x:v>Pingshui main-list expansion; 詞 entries ignored</x:v>
      </x:c>
      <x:c r="J7788" s="6" t="str">
        <x:f>IF(B7788="","",IF(AND(ISNUMBER(SEARCH("平",B7788)),OR(ISNUMBER(SEARCH("上",B7788)),ISNUMBER(SEARCH("去",B7788)),ISNUMBER(SEARCH("入",B7788)))),"Ambiguous",IF(ISNUMBER(SEARCH("平",B7788)),"平","仄")))</x:f>
        <x:v>平</x:v>
      </x:c>
      <x:c r="K7788" s="6" t="str">
        <x:f>IF(D7788="","",IF(AND(ISNUMBER(SEARCH("平",D7788)),OR(ISNUMBER(SEARCH("上",D7788)),ISNUMBER(SEARCH("去",D7788)),ISNUMBER(SEARCH("入",D7788)))),"Ambiguous",IF(ISNUMBER(SEARCH("平",D7788)),"平","仄")))</x:f>
        <x:v>平</x:v>
      </x:c>
      <x:c r="L7788" s="7" t="str">
        <x:v>Pingshui main list expansion</x:v>
      </x:c>
    </x:row>
    <x:row r="7789">
      <x:c r="A7789" s="5" t="str">
        <x:v>蘸</x:v>
      </x:c>
      <x:c r="B7789" s="6" t="str">
        <x:v>去</x:v>
      </x:c>
      <x:c r="C7789" s="6" t="str">
        <x:f>IF(B7789="","Needs decision","Ready")</x:f>
        <x:v>Ready</x:v>
      </x:c>
      <x:c r="D7789" s="6" t="str">
        <x:v>去</x:v>
      </x:c>
      <x:c r="E7789" s="6" t="str"/>
      <x:c r="F7789" s="6" t="str">
        <x:v>去聲三十陷</x:v>
      </x:c>
      <x:c r="G7789" s="6" t="str">
        <x:v>Pingshui main list, Wikisource-derived DOCX</x:v>
      </x:c>
      <x:c r="H7789" s="6" t="str"/>
      <x:c r="I7789" s="6" t="str">
        <x:v>Pingshui main-list expansion; 詞 entries ignored</x:v>
      </x:c>
      <x:c r="J7789" s="6" t="str">
        <x:f>IF(B7789="","",IF(AND(ISNUMBER(SEARCH("平",B7789)),OR(ISNUMBER(SEARCH("上",B7789)),ISNUMBER(SEARCH("去",B7789)),ISNUMBER(SEARCH("入",B7789)))),"Ambiguous",IF(ISNUMBER(SEARCH("平",B7789)),"平","仄")))</x:f>
        <x:v>仄</x:v>
      </x:c>
      <x:c r="K7789" s="6" t="str">
        <x:f>IF(D7789="","",IF(AND(ISNUMBER(SEARCH("平",D7789)),OR(ISNUMBER(SEARCH("上",D7789)),ISNUMBER(SEARCH("去",D7789)),ISNUMBER(SEARCH("入",D7789)))),"Ambiguous",IF(ISNUMBER(SEARCH("平",D7789)),"平","仄")))</x:f>
        <x:v>仄</x:v>
      </x:c>
      <x:c r="L7789" s="7" t="str">
        <x:v>Pingshui main list expansion</x:v>
      </x:c>
    </x:row>
    <x:row r="7790">
      <x:c r="A7790" s="5" t="str">
        <x:v>蘻</x:v>
      </x:c>
      <x:c r="B7790" s="6" t="str">
        <x:v>去</x:v>
      </x:c>
      <x:c r="C7790" s="6" t="str">
        <x:f>IF(B7790="","Needs decision","Ready")</x:f>
        <x:v>Ready</x:v>
      </x:c>
      <x:c r="D7790" s="6" t="str">
        <x:v>去</x:v>
      </x:c>
      <x:c r="E7790" s="6" t="str"/>
      <x:c r="F7790" s="6" t="str">
        <x:v>去聲八霽</x:v>
      </x:c>
      <x:c r="G7790" s="6" t="str">
        <x:v>Pingshui main list, Wikisource-derived DOCX</x:v>
      </x:c>
      <x:c r="H7790" s="6" t="str"/>
      <x:c r="I7790" s="6" t="str">
        <x:v>Pingshui main-list expansion; 詞 entries ignored</x:v>
      </x:c>
      <x:c r="J7790" s="6" t="str">
        <x:f>IF(B7790="","",IF(AND(ISNUMBER(SEARCH("平",B7790)),OR(ISNUMBER(SEARCH("上",B7790)),ISNUMBER(SEARCH("去",B7790)),ISNUMBER(SEARCH("入",B7790)))),"Ambiguous",IF(ISNUMBER(SEARCH("平",B7790)),"平","仄")))</x:f>
        <x:v>仄</x:v>
      </x:c>
      <x:c r="K7790" s="6" t="str">
        <x:f>IF(D7790="","",IF(AND(ISNUMBER(SEARCH("平",D7790)),OR(ISNUMBER(SEARCH("上",D7790)),ISNUMBER(SEARCH("去",D7790)),ISNUMBER(SEARCH("入",D7790)))),"Ambiguous",IF(ISNUMBER(SEARCH("平",D7790)),"平","仄")))</x:f>
        <x:v>仄</x:v>
      </x:c>
      <x:c r="L7790" s="7" t="str">
        <x:v>Pingshui main list expansion</x:v>
      </x:c>
    </x:row>
    <x:row r="7791">
      <x:c r="A7791" s="5" t="str">
        <x:v>虈</x:v>
      </x:c>
      <x:c r="B7791" s="6" t="str">
        <x:v>平</x:v>
      </x:c>
      <x:c r="C7791" s="6" t="str">
        <x:f>IF(B7791="","Needs decision","Ready")</x:f>
        <x:v>Ready</x:v>
      </x:c>
      <x:c r="D7791" s="6" t="str">
        <x:v>平</x:v>
      </x:c>
      <x:c r="E7791" s="6" t="str"/>
      <x:c r="F7791" s="6" t="str">
        <x:v>下平聲二蕭</x:v>
      </x:c>
      <x:c r="G7791" s="6" t="str">
        <x:v>Pingshui main list, Wikisource-derived DOCX</x:v>
      </x:c>
      <x:c r="H7791" s="6" t="str"/>
      <x:c r="I7791" s="6" t="str">
        <x:v>Pingshui main-list expansion; 詞 entries ignored</x:v>
      </x:c>
      <x:c r="J7791" s="6" t="str">
        <x:f>IF(B7791="","",IF(AND(ISNUMBER(SEARCH("平",B7791)),OR(ISNUMBER(SEARCH("上",B7791)),ISNUMBER(SEARCH("去",B7791)),ISNUMBER(SEARCH("入",B7791)))),"Ambiguous",IF(ISNUMBER(SEARCH("平",B7791)),"平","仄")))</x:f>
        <x:v>平</x:v>
      </x:c>
      <x:c r="K7791" s="6" t="str">
        <x:f>IF(D7791="","",IF(AND(ISNUMBER(SEARCH("平",D7791)),OR(ISNUMBER(SEARCH("上",D7791)),ISNUMBER(SEARCH("去",D7791)),ISNUMBER(SEARCH("入",D7791)))),"Ambiguous",IF(ISNUMBER(SEARCH("平",D7791)),"平","仄")))</x:f>
        <x:v>平</x:v>
      </x:c>
      <x:c r="L7791" s="7" t="str">
        <x:v>Pingshui main list expansion</x:v>
      </x:c>
    </x:row>
    <x:row r="7792">
      <x:c r="A7792" s="5" t="str">
        <x:v>虖</x:v>
      </x:c>
      <x:c r="B7792" s="6" t="str">
        <x:v>平</x:v>
      </x:c>
      <x:c r="C7792" s="6" t="str">
        <x:f>IF(B7792="","Needs decision","Ready")</x:f>
        <x:v>Ready</x:v>
      </x:c>
      <x:c r="D7792" s="6" t="str">
        <x:v>平</x:v>
      </x:c>
      <x:c r="E7792" s="6" t="str"/>
      <x:c r="F7792" s="6" t="str">
        <x:v>上平聲七虞</x:v>
      </x:c>
      <x:c r="G7792" s="6" t="str">
        <x:v>Pingshui main list, Wikisource-derived DOCX</x:v>
      </x:c>
      <x:c r="H7792" s="6" t="str"/>
      <x:c r="I7792" s="6" t="str">
        <x:v>Pingshui main-list expansion; 詞 entries ignored</x:v>
      </x:c>
      <x:c r="J7792" s="6" t="str">
        <x:f>IF(B7792="","",IF(AND(ISNUMBER(SEARCH("平",B7792)),OR(ISNUMBER(SEARCH("上",B7792)),ISNUMBER(SEARCH("去",B7792)),ISNUMBER(SEARCH("入",B7792)))),"Ambiguous",IF(ISNUMBER(SEARCH("平",B7792)),"平","仄")))</x:f>
        <x:v>平</x:v>
      </x:c>
      <x:c r="K7792" s="6" t="str">
        <x:f>IF(D7792="","",IF(AND(ISNUMBER(SEARCH("平",D7792)),OR(ISNUMBER(SEARCH("上",D7792)),ISNUMBER(SEARCH("去",D7792)),ISNUMBER(SEARCH("入",D7792)))),"Ambiguous",IF(ISNUMBER(SEARCH("平",D7792)),"平","仄")))</x:f>
        <x:v>平</x:v>
      </x:c>
      <x:c r="L7792" s="7" t="str">
        <x:v>Pingshui main list expansion</x:v>
      </x:c>
    </x:row>
    <x:row r="7793">
      <x:c r="A7793" s="5" t="str">
        <x:v>虣</x:v>
      </x:c>
      <x:c r="B7793" s="6" t="str">
        <x:v>去</x:v>
      </x:c>
      <x:c r="C7793" s="6" t="str">
        <x:f>IF(B7793="","Needs decision","Ready")</x:f>
        <x:v>Ready</x:v>
      </x:c>
      <x:c r="D7793" s="6" t="str">
        <x:v>去</x:v>
      </x:c>
      <x:c r="E7793" s="6" t="str"/>
      <x:c r="F7793" s="6" t="str">
        <x:v>去聲二十號</x:v>
      </x:c>
      <x:c r="G7793" s="6" t="str">
        <x:v>Pingshui main list, Wikisource-derived DOCX</x:v>
      </x:c>
      <x:c r="H7793" s="6" t="str"/>
      <x:c r="I7793" s="6" t="str">
        <x:v>Pingshui main-list expansion; 詞 entries ignored</x:v>
      </x:c>
      <x:c r="J7793" s="6" t="str">
        <x:f>IF(B7793="","",IF(AND(ISNUMBER(SEARCH("平",B7793)),OR(ISNUMBER(SEARCH("上",B7793)),ISNUMBER(SEARCH("去",B7793)),ISNUMBER(SEARCH("入",B7793)))),"Ambiguous",IF(ISNUMBER(SEARCH("平",B7793)),"平","仄")))</x:f>
        <x:v>仄</x:v>
      </x:c>
      <x:c r="K7793" s="6" t="str">
        <x:f>IF(D7793="","",IF(AND(ISNUMBER(SEARCH("平",D7793)),OR(ISNUMBER(SEARCH("上",D7793)),ISNUMBER(SEARCH("去",D7793)),ISNUMBER(SEARCH("入",D7793)))),"Ambiguous",IF(ISNUMBER(SEARCH("平",D7793)),"平","仄")))</x:f>
        <x:v>仄</x:v>
      </x:c>
      <x:c r="L7793" s="7" t="str">
        <x:v>Pingshui main list expansion</x:v>
      </x:c>
    </x:row>
    <x:row r="7794">
      <x:c r="A7794" s="5" t="str">
        <x:v>虥</x:v>
      </x:c>
      <x:c r="B7794" s="6" t="str">
        <x:v>去</x:v>
      </x:c>
      <x:c r="C7794" s="6" t="str">
        <x:f>IF(B7794="","Needs decision","Ready")</x:f>
        <x:v>Ready</x:v>
      </x:c>
      <x:c r="D7794" s="6" t="str">
        <x:v>去</x:v>
      </x:c>
      <x:c r="E7794" s="6" t="str"/>
      <x:c r="F7794" s="6" t="str">
        <x:v>去聲十六諫</x:v>
      </x:c>
      <x:c r="G7794" s="6" t="str">
        <x:v>Pingshui main list, Wikisource-derived DOCX</x:v>
      </x:c>
      <x:c r="H7794" s="6" t="str"/>
      <x:c r="I7794" s="6" t="str">
        <x:v>Pingshui main-list expansion; 詞 entries ignored</x:v>
      </x:c>
      <x:c r="J7794" s="6" t="str">
        <x:f>IF(B7794="","",IF(AND(ISNUMBER(SEARCH("平",B7794)),OR(ISNUMBER(SEARCH("上",B7794)),ISNUMBER(SEARCH("去",B7794)),ISNUMBER(SEARCH("入",B7794)))),"Ambiguous",IF(ISNUMBER(SEARCH("平",B7794)),"平","仄")))</x:f>
        <x:v>仄</x:v>
      </x:c>
      <x:c r="K7794" s="6" t="str">
        <x:f>IF(D7794="","",IF(AND(ISNUMBER(SEARCH("平",D7794)),OR(ISNUMBER(SEARCH("上",D7794)),ISNUMBER(SEARCH("去",D7794)),ISNUMBER(SEARCH("入",D7794)))),"Ambiguous",IF(ISNUMBER(SEARCH("平",D7794)),"平","仄")))</x:f>
        <x:v>仄</x:v>
      </x:c>
      <x:c r="L7794" s="7" t="str">
        <x:v>Pingshui main list expansion</x:v>
      </x:c>
    </x:row>
    <x:row r="7795">
      <x:c r="A7795" s="5" t="str">
        <x:v>蚆</x:v>
      </x:c>
      <x:c r="B7795" s="6" t="str">
        <x:v>平</x:v>
      </x:c>
      <x:c r="C7795" s="6" t="str">
        <x:f>IF(B7795="","Needs decision","Ready")</x:f>
        <x:v>Ready</x:v>
      </x:c>
      <x:c r="D7795" s="6" t="str">
        <x:v>平</x:v>
      </x:c>
      <x:c r="E7795" s="6" t="str"/>
      <x:c r="F7795" s="6" t="str">
        <x:v>下平聲六麻</x:v>
      </x:c>
      <x:c r="G7795" s="6" t="str">
        <x:v>Pingshui main list, Wikisource-derived DOCX</x:v>
      </x:c>
      <x:c r="H7795" s="6" t="str"/>
      <x:c r="I7795" s="6" t="str">
        <x:v>Pingshui main-list expansion; 詞 entries ignored</x:v>
      </x:c>
      <x:c r="J7795" s="6" t="str">
        <x:f>IF(B7795="","",IF(AND(ISNUMBER(SEARCH("平",B7795)),OR(ISNUMBER(SEARCH("上",B7795)),ISNUMBER(SEARCH("去",B7795)),ISNUMBER(SEARCH("入",B7795)))),"Ambiguous",IF(ISNUMBER(SEARCH("平",B7795)),"平","仄")))</x:f>
        <x:v>平</x:v>
      </x:c>
      <x:c r="K7795" s="6" t="str">
        <x:f>IF(D7795="","",IF(AND(ISNUMBER(SEARCH("平",D7795)),OR(ISNUMBER(SEARCH("上",D7795)),ISNUMBER(SEARCH("去",D7795)),ISNUMBER(SEARCH("入",D7795)))),"Ambiguous",IF(ISNUMBER(SEARCH("平",D7795)),"平","仄")))</x:f>
        <x:v>平</x:v>
      </x:c>
      <x:c r="L7795" s="7" t="str">
        <x:v>Pingshui main list expansion</x:v>
      </x:c>
    </x:row>
    <x:row r="7796">
      <x:c r="A7796" s="5" t="str">
        <x:v>蚑</x:v>
      </x:c>
      <x:c r="B7796" s="6" t="str"/>
      <x:c r="C7796" s="6" t="str">
        <x:f>IF(B7796="","Needs decision","Ready")</x:f>
        <x:v>Needs decision</x:v>
      </x:c>
      <x:c r="D7796" s="6" t="str">
        <x:v>平/去</x:v>
      </x:c>
      <x:c r="E7796" s="6" t="str"/>
      <x:c r="F7796" s="6" t="str">
        <x:v>上平聲四支; 去聲四寘</x:v>
      </x:c>
      <x:c r="G7796" s="6" t="str">
        <x:v>Pingshui main list, Wikisource-derived DOCX</x:v>
      </x:c>
      <x:c r="H7796" s="6" t="str"/>
      <x:c r="I7796" s="6" t="str">
        <x:v>Pingshui main-list expansion; 詞 entries ignored</x:v>
      </x:c>
      <x:c r="J7796" s="6" t="str">
        <x:f>IF(B7796="","",IF(AND(ISNUMBER(SEARCH("平",B7796)),OR(ISNUMBER(SEARCH("上",B7796)),ISNUMBER(SEARCH("去",B7796)),ISNUMBER(SEARCH("入",B7796)))),"Ambiguous",IF(ISNUMBER(SEARCH("平",B7796)),"平","仄")))</x:f>
      </x:c>
      <x:c r="K7796" s="6" t="str">
        <x:f>IF(D7796="","",IF(AND(ISNUMBER(SEARCH("平",D7796)),OR(ISNUMBER(SEARCH("上",D7796)),ISNUMBER(SEARCH("去",D7796)),ISNUMBER(SEARCH("入",D7796)))),"Ambiguous",IF(ISNUMBER(SEARCH("平",D7796)),"平","仄")))</x:f>
        <x:v>Ambiguous</x:v>
      </x:c>
      <x:c r="L7796" s="7" t="str">
        <x:v>Pingshui main list expansion</x:v>
      </x:c>
    </x:row>
    <x:row r="7797">
      <x:c r="A7797" s="5" t="str">
        <x:v>蚖</x:v>
      </x:c>
      <x:c r="B7797" s="6" t="str">
        <x:v>平</x:v>
      </x:c>
      <x:c r="C7797" s="6" t="str">
        <x:f>IF(B7797="","Needs decision","Ready")</x:f>
        <x:v>Ready</x:v>
      </x:c>
      <x:c r="D7797" s="6" t="str">
        <x:v>平</x:v>
      </x:c>
      <x:c r="E7797" s="6" t="str"/>
      <x:c r="F7797" s="6" t="str">
        <x:v>上平聲十三元</x:v>
      </x:c>
      <x:c r="G7797" s="6" t="str">
        <x:v>Pingshui main list, Wikisource-derived DOCX</x:v>
      </x:c>
      <x:c r="H7797" s="6" t="str"/>
      <x:c r="I7797" s="6" t="str">
        <x:v>Pingshui main-list expansion; 詞 entries ignored</x:v>
      </x:c>
      <x:c r="J7797" s="6" t="str">
        <x:f>IF(B7797="","",IF(AND(ISNUMBER(SEARCH("平",B7797)),OR(ISNUMBER(SEARCH("上",B7797)),ISNUMBER(SEARCH("去",B7797)),ISNUMBER(SEARCH("入",B7797)))),"Ambiguous",IF(ISNUMBER(SEARCH("平",B7797)),"平","仄")))</x:f>
        <x:v>平</x:v>
      </x:c>
      <x:c r="K7797" s="6" t="str">
        <x:f>IF(D7797="","",IF(AND(ISNUMBER(SEARCH("平",D7797)),OR(ISNUMBER(SEARCH("上",D7797)),ISNUMBER(SEARCH("去",D7797)),ISNUMBER(SEARCH("入",D7797)))),"Ambiguous",IF(ISNUMBER(SEARCH("平",D7797)),"平","仄")))</x:f>
        <x:v>平</x:v>
      </x:c>
      <x:c r="L7797" s="7" t="str">
        <x:v>Pingshui main list expansion</x:v>
      </x:c>
    </x:row>
    <x:row r="7798">
      <x:c r="A7798" s="5" t="str">
        <x:v>蚝</x:v>
      </x:c>
      <x:c r="B7798" s="6" t="str">
        <x:v>去</x:v>
      </x:c>
      <x:c r="C7798" s="6" t="str">
        <x:f>IF(B7798="","Needs decision","Ready")</x:f>
        <x:v>Ready</x:v>
      </x:c>
      <x:c r="D7798" s="6" t="str">
        <x:v>去</x:v>
      </x:c>
      <x:c r="E7798" s="6" t="str"/>
      <x:c r="F7798" s="6" t="str">
        <x:v>去聲四寘</x:v>
      </x:c>
      <x:c r="G7798" s="6" t="str">
        <x:v>Pingshui main list, Wikisource-derived DOCX</x:v>
      </x:c>
      <x:c r="H7798" s="6" t="str"/>
      <x:c r="I7798" s="6" t="str">
        <x:v>Pingshui main-list expansion; 詞 entries ignored</x:v>
      </x:c>
      <x:c r="J7798" s="6" t="str">
        <x:f>IF(B7798="","",IF(AND(ISNUMBER(SEARCH("平",B7798)),OR(ISNUMBER(SEARCH("上",B7798)),ISNUMBER(SEARCH("去",B7798)),ISNUMBER(SEARCH("入",B7798)))),"Ambiguous",IF(ISNUMBER(SEARCH("平",B7798)),"平","仄")))</x:f>
        <x:v>仄</x:v>
      </x:c>
      <x:c r="K7798" s="6" t="str">
        <x:f>IF(D7798="","",IF(AND(ISNUMBER(SEARCH("平",D7798)),OR(ISNUMBER(SEARCH("上",D7798)),ISNUMBER(SEARCH("去",D7798)),ISNUMBER(SEARCH("入",D7798)))),"Ambiguous",IF(ISNUMBER(SEARCH("平",D7798)),"平","仄")))</x:f>
        <x:v>仄</x:v>
      </x:c>
      <x:c r="L7798" s="7" t="str">
        <x:v>Pingshui main list expansion</x:v>
      </x:c>
    </x:row>
    <x:row r="7799">
      <x:c r="A7799" s="5" t="str">
        <x:v>蚢</x:v>
      </x:c>
      <x:c r="B7799" s="6" t="str">
        <x:v>上</x:v>
      </x:c>
      <x:c r="C7799" s="6" t="str">
        <x:f>IF(B7799="","Needs decision","Ready")</x:f>
        <x:v>Ready</x:v>
      </x:c>
      <x:c r="D7799" s="6" t="str">
        <x:v>上</x:v>
      </x:c>
      <x:c r="E7799" s="6" t="str"/>
      <x:c r="F7799" s="6" t="str">
        <x:v>上聲二十二養</x:v>
      </x:c>
      <x:c r="G7799" s="6" t="str">
        <x:v>Pingshui main list, Wikisource-derived DOCX</x:v>
      </x:c>
      <x:c r="H7799" s="6" t="str"/>
      <x:c r="I7799" s="6" t="str">
        <x:v>Pingshui main-list expansion; 詞 entries ignored</x:v>
      </x:c>
      <x:c r="J7799" s="6" t="str">
        <x:f>IF(B7799="","",IF(AND(ISNUMBER(SEARCH("平",B7799)),OR(ISNUMBER(SEARCH("上",B7799)),ISNUMBER(SEARCH("去",B7799)),ISNUMBER(SEARCH("入",B7799)))),"Ambiguous",IF(ISNUMBER(SEARCH("平",B7799)),"平","仄")))</x:f>
        <x:v>仄</x:v>
      </x:c>
      <x:c r="K7799" s="6" t="str">
        <x:f>IF(D7799="","",IF(AND(ISNUMBER(SEARCH("平",D7799)),OR(ISNUMBER(SEARCH("上",D7799)),ISNUMBER(SEARCH("去",D7799)),ISNUMBER(SEARCH("入",D7799)))),"Ambiguous",IF(ISNUMBER(SEARCH("平",D7799)),"平","仄")))</x:f>
        <x:v>仄</x:v>
      </x:c>
      <x:c r="L7799" s="7" t="str">
        <x:v>Pingshui main list expansion</x:v>
      </x:c>
    </x:row>
    <x:row r="7800">
      <x:c r="A7800" s="5" t="str">
        <x:v>蚣</x:v>
      </x:c>
      <x:c r="B7800" s="6" t="str">
        <x:v>平</x:v>
      </x:c>
      <x:c r="C7800" s="6" t="str">
        <x:f>IF(B7800="","Needs decision","Ready")</x:f>
        <x:v>Ready</x:v>
      </x:c>
      <x:c r="D7800" s="6" t="str">
        <x:v>平</x:v>
      </x:c>
      <x:c r="E7800" s="6" t="str"/>
      <x:c r="F7800" s="6" t="str">
        <x:v>上平聲二冬</x:v>
      </x:c>
      <x:c r="G7800" s="6" t="str">
        <x:v>Pingshui main list, Wikisource-derived DOCX</x:v>
      </x:c>
      <x:c r="H7800" s="6" t="str"/>
      <x:c r="I7800" s="6" t="str">
        <x:v>Pingshui main-list expansion; 詞 entries ignored</x:v>
      </x:c>
      <x:c r="J7800" s="6" t="str">
        <x:f>IF(B7800="","",IF(AND(ISNUMBER(SEARCH("平",B7800)),OR(ISNUMBER(SEARCH("上",B7800)),ISNUMBER(SEARCH("去",B7800)),ISNUMBER(SEARCH("入",B7800)))),"Ambiguous",IF(ISNUMBER(SEARCH("平",B7800)),"平","仄")))</x:f>
        <x:v>平</x:v>
      </x:c>
      <x:c r="K7800" s="6" t="str">
        <x:f>IF(D7800="","",IF(AND(ISNUMBER(SEARCH("平",D7800)),OR(ISNUMBER(SEARCH("上",D7800)),ISNUMBER(SEARCH("去",D7800)),ISNUMBER(SEARCH("入",D7800)))),"Ambiguous",IF(ISNUMBER(SEARCH("平",D7800)),"平","仄")))</x:f>
        <x:v>平</x:v>
      </x:c>
      <x:c r="L7800" s="7" t="str">
        <x:v>Pingshui main list expansion</x:v>
      </x:c>
    </x:row>
    <x:row r="7801">
      <x:c r="A7801" s="5" t="str">
        <x:v>蚨</x:v>
      </x:c>
      <x:c r="B7801" s="6" t="str">
        <x:v>平</x:v>
      </x:c>
      <x:c r="C7801" s="6" t="str">
        <x:f>IF(B7801="","Needs decision","Ready")</x:f>
        <x:v>Ready</x:v>
      </x:c>
      <x:c r="D7801" s="6" t="str">
        <x:v>平</x:v>
      </x:c>
      <x:c r="E7801" s="6" t="str"/>
      <x:c r="F7801" s="6" t="str">
        <x:v>上平聲七虞</x:v>
      </x:c>
      <x:c r="G7801" s="6" t="str">
        <x:v>Pingshui main list, Wikisource-derived DOCX</x:v>
      </x:c>
      <x:c r="H7801" s="6" t="str"/>
      <x:c r="I7801" s="6" t="str">
        <x:v>Pingshui main-list expansion; 詞 entries ignored</x:v>
      </x:c>
      <x:c r="J7801" s="6" t="str">
        <x:f>IF(B7801="","",IF(AND(ISNUMBER(SEARCH("平",B7801)),OR(ISNUMBER(SEARCH("上",B7801)),ISNUMBER(SEARCH("去",B7801)),ISNUMBER(SEARCH("入",B7801)))),"Ambiguous",IF(ISNUMBER(SEARCH("平",B7801)),"平","仄")))</x:f>
        <x:v>平</x:v>
      </x:c>
      <x:c r="K7801" s="6" t="str">
        <x:f>IF(D7801="","",IF(AND(ISNUMBER(SEARCH("平",D7801)),OR(ISNUMBER(SEARCH("上",D7801)),ISNUMBER(SEARCH("去",D7801)),ISNUMBER(SEARCH("入",D7801)))),"Ambiguous",IF(ISNUMBER(SEARCH("平",D7801)),"平","仄")))</x:f>
        <x:v>平</x:v>
      </x:c>
      <x:c r="L7801" s="7" t="str">
        <x:v>Pingshui main list expansion</x:v>
      </x:c>
    </x:row>
    <x:row r="7802">
      <x:c r="A7802" s="5" t="str">
        <x:v>蚪</x:v>
      </x:c>
      <x:c r="B7802" s="6" t="str">
        <x:v>上</x:v>
      </x:c>
      <x:c r="C7802" s="6" t="str">
        <x:f>IF(B7802="","Needs decision","Ready")</x:f>
        <x:v>Ready</x:v>
      </x:c>
      <x:c r="D7802" s="6" t="str">
        <x:v>上</x:v>
      </x:c>
      <x:c r="E7802" s="6" t="str"/>
      <x:c r="F7802" s="6" t="str">
        <x:v>上聲二十五有</x:v>
      </x:c>
      <x:c r="G7802" s="6" t="str">
        <x:v>Pingshui main list, Wikisource-derived DOCX</x:v>
      </x:c>
      <x:c r="H7802" s="6" t="str"/>
      <x:c r="I7802" s="6" t="str">
        <x:v>Pingshui main-list expansion; 詞 entries ignored</x:v>
      </x:c>
      <x:c r="J7802" s="6" t="str">
        <x:f>IF(B7802="","",IF(AND(ISNUMBER(SEARCH("平",B7802)),OR(ISNUMBER(SEARCH("上",B7802)),ISNUMBER(SEARCH("去",B7802)),ISNUMBER(SEARCH("入",B7802)))),"Ambiguous",IF(ISNUMBER(SEARCH("平",B7802)),"平","仄")))</x:f>
        <x:v>仄</x:v>
      </x:c>
      <x:c r="K7802" s="6" t="str">
        <x:f>IF(D7802="","",IF(AND(ISNUMBER(SEARCH("平",D7802)),OR(ISNUMBER(SEARCH("上",D7802)),ISNUMBER(SEARCH("去",D7802)),ISNUMBER(SEARCH("入",D7802)))),"Ambiguous",IF(ISNUMBER(SEARCH("平",D7802)),"平","仄")))</x:f>
        <x:v>仄</x:v>
      </x:c>
      <x:c r="L7802" s="7" t="str">
        <x:v>Pingshui main list expansion</x:v>
      </x:c>
    </x:row>
    <x:row r="7803">
      <x:c r="A7803" s="5" t="str">
        <x:v>蚰</x:v>
      </x:c>
      <x:c r="B7803" s="6" t="str">
        <x:v>平</x:v>
      </x:c>
      <x:c r="C7803" s="6" t="str">
        <x:f>IF(B7803="","Needs decision","Ready")</x:f>
        <x:v>Ready</x:v>
      </x:c>
      <x:c r="D7803" s="6" t="str">
        <x:v>平</x:v>
      </x:c>
      <x:c r="E7803" s="6" t="str"/>
      <x:c r="F7803" s="6" t="str">
        <x:v>下平聲十一尤</x:v>
      </x:c>
      <x:c r="G7803" s="6" t="str">
        <x:v>Pingshui main list, Wikisource-derived DOCX</x:v>
      </x:c>
      <x:c r="H7803" s="6" t="str"/>
      <x:c r="I7803" s="6" t="str">
        <x:v>Pingshui main-list expansion; 詞 entries ignored</x:v>
      </x:c>
      <x:c r="J7803" s="6" t="str">
        <x:f>IF(B7803="","",IF(AND(ISNUMBER(SEARCH("平",B7803)),OR(ISNUMBER(SEARCH("上",B7803)),ISNUMBER(SEARCH("去",B7803)),ISNUMBER(SEARCH("入",B7803)))),"Ambiguous",IF(ISNUMBER(SEARCH("平",B7803)),"平","仄")))</x:f>
        <x:v>平</x:v>
      </x:c>
      <x:c r="K7803" s="6" t="str">
        <x:f>IF(D7803="","",IF(AND(ISNUMBER(SEARCH("平",D7803)),OR(ISNUMBER(SEARCH("上",D7803)),ISNUMBER(SEARCH("去",D7803)),ISNUMBER(SEARCH("入",D7803)))),"Ambiguous",IF(ISNUMBER(SEARCH("平",D7803)),"平","仄")))</x:f>
        <x:v>平</x:v>
      </x:c>
      <x:c r="L7803" s="7" t="str">
        <x:v>Pingshui main list expansion</x:v>
      </x:c>
    </x:row>
    <x:row r="7804">
      <x:c r="A7804" s="5" t="str">
        <x:v>蚶</x:v>
      </x:c>
      <x:c r="B7804" s="6" t="str">
        <x:v>平</x:v>
      </x:c>
      <x:c r="C7804" s="6" t="str">
        <x:f>IF(B7804="","Needs decision","Ready")</x:f>
        <x:v>Ready</x:v>
      </x:c>
      <x:c r="D7804" s="6" t="str">
        <x:v>平</x:v>
      </x:c>
      <x:c r="E7804" s="6" t="str"/>
      <x:c r="F7804" s="6" t="str">
        <x:v>下平聲十三覃</x:v>
      </x:c>
      <x:c r="G7804" s="6" t="str">
        <x:v>Pingshui main list, Wikisource-derived DOCX</x:v>
      </x:c>
      <x:c r="H7804" s="6" t="str"/>
      <x:c r="I7804" s="6" t="str">
        <x:v>Pingshui main-list expansion; 詞 entries ignored</x:v>
      </x:c>
      <x:c r="J7804" s="6" t="str">
        <x:f>IF(B7804="","",IF(AND(ISNUMBER(SEARCH("平",B7804)),OR(ISNUMBER(SEARCH("上",B7804)),ISNUMBER(SEARCH("去",B7804)),ISNUMBER(SEARCH("入",B7804)))),"Ambiguous",IF(ISNUMBER(SEARCH("平",B7804)),"平","仄")))</x:f>
        <x:v>平</x:v>
      </x:c>
      <x:c r="K7804" s="6" t="str">
        <x:f>IF(D7804="","",IF(AND(ISNUMBER(SEARCH("平",D7804)),OR(ISNUMBER(SEARCH("上",D7804)),ISNUMBER(SEARCH("去",D7804)),ISNUMBER(SEARCH("入",D7804)))),"Ambiguous",IF(ISNUMBER(SEARCH("平",D7804)),"平","仄")))</x:f>
        <x:v>平</x:v>
      </x:c>
      <x:c r="L7804" s="7" t="str">
        <x:v>Pingshui main list expansion</x:v>
      </x:c>
    </x:row>
    <x:row r="7805">
      <x:c r="A7805" s="5" t="str">
        <x:v>蚹</x:v>
      </x:c>
      <x:c r="B7805" s="6" t="str">
        <x:v>去</x:v>
      </x:c>
      <x:c r="C7805" s="6" t="str">
        <x:f>IF(B7805="","Needs decision","Ready")</x:f>
        <x:v>Ready</x:v>
      </x:c>
      <x:c r="D7805" s="6" t="str">
        <x:v>去</x:v>
      </x:c>
      <x:c r="E7805" s="6" t="str"/>
      <x:c r="F7805" s="6" t="str">
        <x:v>去聲七遇</x:v>
      </x:c>
      <x:c r="G7805" s="6" t="str">
        <x:v>Pingshui main list, Wikisource-derived DOCX</x:v>
      </x:c>
      <x:c r="H7805" s="6" t="str"/>
      <x:c r="I7805" s="6" t="str">
        <x:v>Pingshui main-list expansion; 詞 entries ignored</x:v>
      </x:c>
      <x:c r="J7805" s="6" t="str">
        <x:f>IF(B7805="","",IF(AND(ISNUMBER(SEARCH("平",B7805)),OR(ISNUMBER(SEARCH("上",B7805)),ISNUMBER(SEARCH("去",B7805)),ISNUMBER(SEARCH("入",B7805)))),"Ambiguous",IF(ISNUMBER(SEARCH("平",B7805)),"平","仄")))</x:f>
        <x:v>仄</x:v>
      </x:c>
      <x:c r="K7805" s="6" t="str">
        <x:f>IF(D7805="","",IF(AND(ISNUMBER(SEARCH("平",D7805)),OR(ISNUMBER(SEARCH("上",D7805)),ISNUMBER(SEARCH("去",D7805)),ISNUMBER(SEARCH("入",D7805)))),"Ambiguous",IF(ISNUMBER(SEARCH("平",D7805)),"平","仄")))</x:f>
        <x:v>仄</x:v>
      </x:c>
      <x:c r="L7805" s="7" t="str">
        <x:v>Pingshui main list expansion</x:v>
      </x:c>
    </x:row>
    <x:row r="7806">
      <x:c r="A7806" s="5" t="str">
        <x:v>蚻</x:v>
      </x:c>
      <x:c r="B7806" s="6" t="str">
        <x:v>入</x:v>
      </x:c>
      <x:c r="C7806" s="6" t="str">
        <x:f>IF(B7806="","Needs decision","Ready")</x:f>
        <x:v>Ready</x:v>
      </x:c>
      <x:c r="D7806" s="6" t="str">
        <x:v>入</x:v>
      </x:c>
      <x:c r="E7806" s="6" t="str"/>
      <x:c r="F7806" s="6" t="str">
        <x:v>入聲八黠</x:v>
      </x:c>
      <x:c r="G7806" s="6" t="str">
        <x:v>Pingshui main list, Wikisource-derived DOCX</x:v>
      </x:c>
      <x:c r="H7806" s="6" t="str"/>
      <x:c r="I7806" s="6" t="str">
        <x:v>Pingshui main-list expansion; 詞 entries ignored</x:v>
      </x:c>
      <x:c r="J7806" s="6" t="str">
        <x:f>IF(B7806="","",IF(AND(ISNUMBER(SEARCH("平",B7806)),OR(ISNUMBER(SEARCH("上",B7806)),ISNUMBER(SEARCH("去",B7806)),ISNUMBER(SEARCH("入",B7806)))),"Ambiguous",IF(ISNUMBER(SEARCH("平",B7806)),"平","仄")))</x:f>
        <x:v>仄</x:v>
      </x:c>
      <x:c r="K7806" s="6" t="str">
        <x:f>IF(D7806="","",IF(AND(ISNUMBER(SEARCH("平",D7806)),OR(ISNUMBER(SEARCH("上",D7806)),ISNUMBER(SEARCH("去",D7806)),ISNUMBER(SEARCH("入",D7806)))),"Ambiguous",IF(ISNUMBER(SEARCH("平",D7806)),"平","仄")))</x:f>
        <x:v>仄</x:v>
      </x:c>
      <x:c r="L7806" s="7" t="str">
        <x:v>Pingshui main list expansion</x:v>
      </x:c>
    </x:row>
    <x:row r="7807">
      <x:c r="A7807" s="5" t="str">
        <x:v>蚿</x:v>
      </x:c>
      <x:c r="B7807" s="6" t="str">
        <x:v>平</x:v>
      </x:c>
      <x:c r="C7807" s="6" t="str">
        <x:f>IF(B7807="","Needs decision","Ready")</x:f>
        <x:v>Ready</x:v>
      </x:c>
      <x:c r="D7807" s="6" t="str">
        <x:v>平</x:v>
      </x:c>
      <x:c r="E7807" s="6" t="str"/>
      <x:c r="F7807" s="6" t="str">
        <x:v>下平聲一先</x:v>
      </x:c>
      <x:c r="G7807" s="6" t="str">
        <x:v>Pingshui main list, Wikisource-derived DOCX</x:v>
      </x:c>
      <x:c r="H7807" s="6" t="str"/>
      <x:c r="I7807" s="6" t="str">
        <x:v>Pingshui main-list expansion; 詞 entries ignored</x:v>
      </x:c>
      <x:c r="J7807" s="6" t="str">
        <x:f>IF(B7807="","",IF(AND(ISNUMBER(SEARCH("平",B7807)),OR(ISNUMBER(SEARCH("上",B7807)),ISNUMBER(SEARCH("去",B7807)),ISNUMBER(SEARCH("入",B7807)))),"Ambiguous",IF(ISNUMBER(SEARCH("平",B7807)),"平","仄")))</x:f>
        <x:v>平</x:v>
      </x:c>
      <x:c r="K7807" s="6" t="str">
        <x:f>IF(D7807="","",IF(AND(ISNUMBER(SEARCH("平",D7807)),OR(ISNUMBER(SEARCH("上",D7807)),ISNUMBER(SEARCH("去",D7807)),ISNUMBER(SEARCH("入",D7807)))),"Ambiguous",IF(ISNUMBER(SEARCH("平",D7807)),"平","仄")))</x:f>
        <x:v>平</x:v>
      </x:c>
      <x:c r="L7807" s="7" t="str">
        <x:v>Pingshui main list expansion</x:v>
      </x:c>
    </x:row>
    <x:row r="7808">
      <x:c r="A7808" s="5" t="str">
        <x:v>蛃</x:v>
      </x:c>
      <x:c r="B7808" s="6" t="str">
        <x:v>上</x:v>
      </x:c>
      <x:c r="C7808" s="6" t="str">
        <x:f>IF(B7808="","Needs decision","Ready")</x:f>
        <x:v>Ready</x:v>
      </x:c>
      <x:c r="D7808" s="6" t="str">
        <x:v>上</x:v>
      </x:c>
      <x:c r="E7808" s="6" t="str"/>
      <x:c r="F7808" s="6" t="str">
        <x:v>上聲二十三梗</x:v>
      </x:c>
      <x:c r="G7808" s="6" t="str">
        <x:v>Pingshui main list, Wikisource-derived DOCX</x:v>
      </x:c>
      <x:c r="H7808" s="6" t="str"/>
      <x:c r="I7808" s="6" t="str">
        <x:v>Pingshui main-list expansion; 詞 entries ignored</x:v>
      </x:c>
      <x:c r="J7808" s="6" t="str">
        <x:f>IF(B7808="","",IF(AND(ISNUMBER(SEARCH("平",B7808)),OR(ISNUMBER(SEARCH("上",B7808)),ISNUMBER(SEARCH("去",B7808)),ISNUMBER(SEARCH("入",B7808)))),"Ambiguous",IF(ISNUMBER(SEARCH("平",B7808)),"平","仄")))</x:f>
        <x:v>仄</x:v>
      </x:c>
      <x:c r="K7808" s="6" t="str">
        <x:f>IF(D7808="","",IF(AND(ISNUMBER(SEARCH("平",D7808)),OR(ISNUMBER(SEARCH("上",D7808)),ISNUMBER(SEARCH("去",D7808)),ISNUMBER(SEARCH("入",D7808)))),"Ambiguous",IF(ISNUMBER(SEARCH("平",D7808)),"平","仄")))</x:f>
        <x:v>仄</x:v>
      </x:c>
      <x:c r="L7808" s="7" t="str">
        <x:v>Pingshui main list expansion</x:v>
      </x:c>
    </x:row>
    <x:row r="7809">
      <x:c r="A7809" s="5" t="str">
        <x:v>蛑</x:v>
      </x:c>
      <x:c r="B7809" s="6" t="str">
        <x:v>平</x:v>
      </x:c>
      <x:c r="C7809" s="6" t="str">
        <x:f>IF(B7809="","Needs decision","Ready")</x:f>
        <x:v>Ready</x:v>
      </x:c>
      <x:c r="D7809" s="6" t="str">
        <x:v>平</x:v>
      </x:c>
      <x:c r="E7809" s="6" t="str"/>
      <x:c r="F7809" s="6" t="str">
        <x:v>下平聲十一尤</x:v>
      </x:c>
      <x:c r="G7809" s="6" t="str">
        <x:v>Pingshui main list, Wikisource-derived DOCX</x:v>
      </x:c>
      <x:c r="H7809" s="6" t="str"/>
      <x:c r="I7809" s="6" t="str">
        <x:v>Pingshui main-list expansion; 詞 entries ignored</x:v>
      </x:c>
      <x:c r="J7809" s="6" t="str">
        <x:f>IF(B7809="","",IF(AND(ISNUMBER(SEARCH("平",B7809)),OR(ISNUMBER(SEARCH("上",B7809)),ISNUMBER(SEARCH("去",B7809)),ISNUMBER(SEARCH("入",B7809)))),"Ambiguous",IF(ISNUMBER(SEARCH("平",B7809)),"平","仄")))</x:f>
        <x:v>平</x:v>
      </x:c>
      <x:c r="K7809" s="6" t="str">
        <x:f>IF(D7809="","",IF(AND(ISNUMBER(SEARCH("平",D7809)),OR(ISNUMBER(SEARCH("上",D7809)),ISNUMBER(SEARCH("去",D7809)),ISNUMBER(SEARCH("入",D7809)))),"Ambiguous",IF(ISNUMBER(SEARCH("平",D7809)),"平","仄")))</x:f>
        <x:v>平</x:v>
      </x:c>
      <x:c r="L7809" s="7" t="str">
        <x:v>Pingshui main list expansion</x:v>
      </x:c>
    </x:row>
    <x:row r="7810">
      <x:c r="A7810" s="5" t="str">
        <x:v>蛖</x:v>
      </x:c>
      <x:c r="B7810" s="6" t="str">
        <x:v>平</x:v>
      </x:c>
      <x:c r="C7810" s="6" t="str">
        <x:f>IF(B7810="","Needs decision","Ready")</x:f>
        <x:v>Ready</x:v>
      </x:c>
      <x:c r="D7810" s="6" t="str">
        <x:v>平</x:v>
      </x:c>
      <x:c r="E7810" s="6" t="str"/>
      <x:c r="F7810" s="6" t="str">
        <x:v>上平聲三江</x:v>
      </x:c>
      <x:c r="G7810" s="6" t="str">
        <x:v>Pingshui main list, Wikisource-derived DOCX</x:v>
      </x:c>
      <x:c r="H7810" s="6" t="str"/>
      <x:c r="I7810" s="6" t="str">
        <x:v>Pingshui main-list expansion; 詞 entries ignored</x:v>
      </x:c>
      <x:c r="J7810" s="6" t="str">
        <x:f>IF(B7810="","",IF(AND(ISNUMBER(SEARCH("平",B7810)),OR(ISNUMBER(SEARCH("上",B7810)),ISNUMBER(SEARCH("去",B7810)),ISNUMBER(SEARCH("入",B7810)))),"Ambiguous",IF(ISNUMBER(SEARCH("平",B7810)),"平","仄")))</x:f>
        <x:v>平</x:v>
      </x:c>
      <x:c r="K7810" s="6" t="str">
        <x:f>IF(D7810="","",IF(AND(ISNUMBER(SEARCH("平",D7810)),OR(ISNUMBER(SEARCH("上",D7810)),ISNUMBER(SEARCH("去",D7810)),ISNUMBER(SEARCH("入",D7810)))),"Ambiguous",IF(ISNUMBER(SEARCH("平",D7810)),"平","仄")))</x:f>
        <x:v>平</x:v>
      </x:c>
      <x:c r="L7810" s="7" t="str">
        <x:v>Pingshui main list expansion</x:v>
      </x:c>
    </x:row>
    <x:row r="7811">
      <x:c r="A7811" s="5" t="str">
        <x:v>蛘</x:v>
      </x:c>
      <x:c r="B7811" s="6" t="str">
        <x:v>上</x:v>
      </x:c>
      <x:c r="C7811" s="6" t="str">
        <x:f>IF(B7811="","Needs decision","Ready")</x:f>
        <x:v>Ready</x:v>
      </x:c>
      <x:c r="D7811" s="6" t="str">
        <x:v>上</x:v>
      </x:c>
      <x:c r="E7811" s="6" t="str"/>
      <x:c r="F7811" s="6" t="str">
        <x:v>上聲二十二養</x:v>
      </x:c>
      <x:c r="G7811" s="6" t="str">
        <x:v>Pingshui main list, Wikisource-derived DOCX</x:v>
      </x:c>
      <x:c r="H7811" s="6" t="str"/>
      <x:c r="I7811" s="6" t="str">
        <x:v>Pingshui main-list expansion; 詞 entries ignored</x:v>
      </x:c>
      <x:c r="J7811" s="6" t="str">
        <x:f>IF(B7811="","",IF(AND(ISNUMBER(SEARCH("平",B7811)),OR(ISNUMBER(SEARCH("上",B7811)),ISNUMBER(SEARCH("去",B7811)),ISNUMBER(SEARCH("入",B7811)))),"Ambiguous",IF(ISNUMBER(SEARCH("平",B7811)),"平","仄")))</x:f>
        <x:v>仄</x:v>
      </x:c>
      <x:c r="K7811" s="6" t="str">
        <x:f>IF(D7811="","",IF(AND(ISNUMBER(SEARCH("平",D7811)),OR(ISNUMBER(SEARCH("上",D7811)),ISNUMBER(SEARCH("去",D7811)),ISNUMBER(SEARCH("入",D7811)))),"Ambiguous",IF(ISNUMBER(SEARCH("平",D7811)),"平","仄")))</x:f>
        <x:v>仄</x:v>
      </x:c>
      <x:c r="L7811" s="7" t="str">
        <x:v>Pingshui main list expansion</x:v>
      </x:c>
    </x:row>
    <x:row r="7812">
      <x:c r="A7812" s="5" t="str">
        <x:v>蛣</x:v>
      </x:c>
      <x:c r="B7812" s="6" t="str">
        <x:v>入</x:v>
      </x:c>
      <x:c r="C7812" s="6" t="str">
        <x:f>IF(B7812="","Needs decision","Ready")</x:f>
        <x:v>Ready</x:v>
      </x:c>
      <x:c r="D7812" s="6" t="str">
        <x:v>入</x:v>
      </x:c>
      <x:c r="E7812" s="6" t="str"/>
      <x:c r="F7812" s="6" t="str">
        <x:v>入聲四質; 入聲九屑</x:v>
      </x:c>
      <x:c r="G7812" s="6" t="str">
        <x:v>Pingshui main list, Wikisource-derived DOCX</x:v>
      </x:c>
      <x:c r="H7812" s="6" t="str"/>
      <x:c r="I7812" s="6" t="str">
        <x:v>Pingshui main-list expansion; 詞 entries ignored</x:v>
      </x:c>
      <x:c r="J7812" s="6" t="str">
        <x:f>IF(B7812="","",IF(AND(ISNUMBER(SEARCH("平",B7812)),OR(ISNUMBER(SEARCH("上",B7812)),ISNUMBER(SEARCH("去",B7812)),ISNUMBER(SEARCH("入",B7812)))),"Ambiguous",IF(ISNUMBER(SEARCH("平",B7812)),"平","仄")))</x:f>
        <x:v>仄</x:v>
      </x:c>
      <x:c r="K7812" s="6" t="str">
        <x:f>IF(D7812="","",IF(AND(ISNUMBER(SEARCH("平",D7812)),OR(ISNUMBER(SEARCH("上",D7812)),ISNUMBER(SEARCH("去",D7812)),ISNUMBER(SEARCH("入",D7812)))),"Ambiguous",IF(ISNUMBER(SEARCH("平",D7812)),"平","仄")))</x:f>
        <x:v>仄</x:v>
      </x:c>
      <x:c r="L7812" s="7" t="str">
        <x:v>Pingshui main list expansion</x:v>
      </x:c>
    </x:row>
    <x:row r="7813">
      <x:c r="A7813" s="5" t="str">
        <x:v>蛦</x:v>
      </x:c>
      <x:c r="B7813" s="6" t="str">
        <x:v>平</x:v>
      </x:c>
      <x:c r="C7813" s="6" t="str">
        <x:f>IF(B7813="","Needs decision","Ready")</x:f>
        <x:v>Ready</x:v>
      </x:c>
      <x:c r="D7813" s="6" t="str">
        <x:v>平</x:v>
      </x:c>
      <x:c r="E7813" s="6" t="str"/>
      <x:c r="F7813" s="6" t="str">
        <x:v>上平聲四支</x:v>
      </x:c>
      <x:c r="G7813" s="6" t="str">
        <x:v>Pingshui main list, Wikisource-derived DOCX</x:v>
      </x:c>
      <x:c r="H7813" s="6" t="str"/>
      <x:c r="I7813" s="6" t="str">
        <x:v>Pingshui main-list expansion; 詞 entries ignored</x:v>
      </x:c>
      <x:c r="J7813" s="6" t="str">
        <x:f>IF(B7813="","",IF(AND(ISNUMBER(SEARCH("平",B7813)),OR(ISNUMBER(SEARCH("上",B7813)),ISNUMBER(SEARCH("去",B7813)),ISNUMBER(SEARCH("入",B7813)))),"Ambiguous",IF(ISNUMBER(SEARCH("平",B7813)),"平","仄")))</x:f>
        <x:v>平</x:v>
      </x:c>
      <x:c r="K7813" s="6" t="str">
        <x:f>IF(D7813="","",IF(AND(ISNUMBER(SEARCH("平",D7813)),OR(ISNUMBER(SEARCH("上",D7813)),ISNUMBER(SEARCH("去",D7813)),ISNUMBER(SEARCH("入",D7813)))),"Ambiguous",IF(ISNUMBER(SEARCH("平",D7813)),"平","仄")))</x:f>
        <x:v>平</x:v>
      </x:c>
      <x:c r="L7813" s="7" t="str">
        <x:v>Pingshui main list expansion</x:v>
      </x:c>
    </x:row>
    <x:row r="7814">
      <x:c r="A7814" s="5" t="str">
        <x:v>蛬</x:v>
      </x:c>
      <x:c r="B7814" s="6" t="str"/>
      <x:c r="C7814" s="6" t="str">
        <x:f>IF(B7814="","Needs decision","Ready")</x:f>
        <x:v>Needs decision</x:v>
      </x:c>
      <x:c r="D7814" s="6" t="str">
        <x:v>平/上</x:v>
      </x:c>
      <x:c r="E7814" s="6" t="str"/>
      <x:c r="F7814" s="6" t="str">
        <x:v>上平聲二冬; 上聲二腫</x:v>
      </x:c>
      <x:c r="G7814" s="6" t="str">
        <x:v>Pingshui main list, Wikisource-derived DOCX</x:v>
      </x:c>
      <x:c r="H7814" s="6" t="str"/>
      <x:c r="I7814" s="6" t="str">
        <x:v>Pingshui main-list expansion; 詞 entries ignored</x:v>
      </x:c>
      <x:c r="J7814" s="6" t="str">
        <x:f>IF(B7814="","",IF(AND(ISNUMBER(SEARCH("平",B7814)),OR(ISNUMBER(SEARCH("上",B7814)),ISNUMBER(SEARCH("去",B7814)),ISNUMBER(SEARCH("入",B7814)))),"Ambiguous",IF(ISNUMBER(SEARCH("平",B7814)),"平","仄")))</x:f>
      </x:c>
      <x:c r="K7814" s="6" t="str">
        <x:f>IF(D7814="","",IF(AND(ISNUMBER(SEARCH("平",D7814)),OR(ISNUMBER(SEARCH("上",D7814)),ISNUMBER(SEARCH("去",D7814)),ISNUMBER(SEARCH("入",D7814)))),"Ambiguous",IF(ISNUMBER(SEARCH("平",D7814)),"平","仄")))</x:f>
        <x:v>Ambiguous</x:v>
      </x:c>
      <x:c r="L7814" s="7" t="str">
        <x:v>Pingshui main list expansion</x:v>
      </x:c>
    </x:row>
    <x:row r="7815">
      <x:c r="A7815" s="5" t="str">
        <x:v>蛭</x:v>
      </x:c>
      <x:c r="B7815" s="6" t="str">
        <x:v>入</x:v>
      </x:c>
      <x:c r="C7815" s="6" t="str">
        <x:f>IF(B7815="","Needs decision","Ready")</x:f>
        <x:v>Ready</x:v>
      </x:c>
      <x:c r="D7815" s="6" t="str">
        <x:v>入</x:v>
      </x:c>
      <x:c r="E7815" s="6" t="str"/>
      <x:c r="F7815" s="6" t="str">
        <x:v>入聲四質; 入聲九屑</x:v>
      </x:c>
      <x:c r="G7815" s="6" t="str">
        <x:v>Pingshui main list, Wikisource-derived DOCX</x:v>
      </x:c>
      <x:c r="H7815" s="6" t="str"/>
      <x:c r="I7815" s="6" t="str">
        <x:v>Pingshui main-list expansion; 詞 entries ignored</x:v>
      </x:c>
      <x:c r="J7815" s="6" t="str">
        <x:f>IF(B7815="","",IF(AND(ISNUMBER(SEARCH("平",B7815)),OR(ISNUMBER(SEARCH("上",B7815)),ISNUMBER(SEARCH("去",B7815)),ISNUMBER(SEARCH("入",B7815)))),"Ambiguous",IF(ISNUMBER(SEARCH("平",B7815)),"平","仄")))</x:f>
        <x:v>仄</x:v>
      </x:c>
      <x:c r="K7815" s="6" t="str">
        <x:f>IF(D7815="","",IF(AND(ISNUMBER(SEARCH("平",D7815)),OR(ISNUMBER(SEARCH("上",D7815)),ISNUMBER(SEARCH("去",D7815)),ISNUMBER(SEARCH("入",D7815)))),"Ambiguous",IF(ISNUMBER(SEARCH("平",D7815)),"平","仄")))</x:f>
        <x:v>仄</x:v>
      </x:c>
      <x:c r="L7815" s="7" t="str">
        <x:v>Pingshui main list expansion</x:v>
      </x:c>
    </x:row>
    <x:row r="7816">
      <x:c r="A7816" s="5" t="str">
        <x:v>蛹</x:v>
      </x:c>
      <x:c r="B7816" s="6" t="str">
        <x:v>上</x:v>
      </x:c>
      <x:c r="C7816" s="6" t="str">
        <x:f>IF(B7816="","Needs decision","Ready")</x:f>
        <x:v>Ready</x:v>
      </x:c>
      <x:c r="D7816" s="6" t="str">
        <x:v>上</x:v>
      </x:c>
      <x:c r="E7816" s="6" t="str"/>
      <x:c r="F7816" s="6" t="str">
        <x:v>上聲二腫</x:v>
      </x:c>
      <x:c r="G7816" s="6" t="str">
        <x:v>Pingshui main list, Wikisource-derived DOCX</x:v>
      </x:c>
      <x:c r="H7816" s="6" t="str"/>
      <x:c r="I7816" s="6" t="str">
        <x:v>Pingshui main-list expansion; 詞 entries ignored</x:v>
      </x:c>
      <x:c r="J7816" s="6" t="str">
        <x:f>IF(B7816="","",IF(AND(ISNUMBER(SEARCH("平",B7816)),OR(ISNUMBER(SEARCH("上",B7816)),ISNUMBER(SEARCH("去",B7816)),ISNUMBER(SEARCH("入",B7816)))),"Ambiguous",IF(ISNUMBER(SEARCH("平",B7816)),"平","仄")))</x:f>
        <x:v>仄</x:v>
      </x:c>
      <x:c r="K7816" s="6" t="str">
        <x:f>IF(D7816="","",IF(AND(ISNUMBER(SEARCH("平",D7816)),OR(ISNUMBER(SEARCH("上",D7816)),ISNUMBER(SEARCH("去",D7816)),ISNUMBER(SEARCH("入",D7816)))),"Ambiguous",IF(ISNUMBER(SEARCH("平",D7816)),"平","仄")))</x:f>
        <x:v>仄</x:v>
      </x:c>
      <x:c r="L7816" s="7" t="str">
        <x:v>Pingshui main list expansion</x:v>
      </x:c>
    </x:row>
    <x:row r="7817">
      <x:c r="A7817" s="5" t="str">
        <x:v>蜆</x:v>
      </x:c>
      <x:c r="B7817" s="6" t="str"/>
      <x:c r="C7817" s="6" t="str">
        <x:f>IF(B7817="","Needs decision","Ready")</x:f>
        <x:v>Needs decision</x:v>
      </x:c>
      <x:c r="D7817" s="6" t="str">
        <x:v>上/去</x:v>
      </x:c>
      <x:c r="E7817" s="6" t="str"/>
      <x:c r="F7817" s="6" t="str">
        <x:v>上聲十六銑; 去聲十七霰</x:v>
      </x:c>
      <x:c r="G7817" s="6" t="str">
        <x:v>Pingshui main list, Wikisource-derived DOCX</x:v>
      </x:c>
      <x:c r="H7817" s="6" t="str"/>
      <x:c r="I7817" s="6" t="str">
        <x:v>Pingshui main-list expansion; 詞 entries ignored</x:v>
      </x:c>
      <x:c r="J7817" s="6" t="str">
        <x:f>IF(B7817="","",IF(AND(ISNUMBER(SEARCH("平",B7817)),OR(ISNUMBER(SEARCH("上",B7817)),ISNUMBER(SEARCH("去",B7817)),ISNUMBER(SEARCH("入",B7817)))),"Ambiguous",IF(ISNUMBER(SEARCH("平",B7817)),"平","仄")))</x:f>
      </x:c>
      <x:c r="K7817" s="6" t="str">
        <x:f>IF(D7817="","",IF(AND(ISNUMBER(SEARCH("平",D7817)),OR(ISNUMBER(SEARCH("上",D7817)),ISNUMBER(SEARCH("去",D7817)),ISNUMBER(SEARCH("入",D7817)))),"Ambiguous",IF(ISNUMBER(SEARCH("平",D7817)),"平","仄")))</x:f>
        <x:v>仄</x:v>
      </x:c>
      <x:c r="L7817" s="7" t="str">
        <x:v>Pingshui main list expansion</x:v>
      </x:c>
    </x:row>
    <x:row r="7818">
      <x:c r="A7818" s="5" t="str">
        <x:v>蜊</x:v>
      </x:c>
      <x:c r="B7818" s="6" t="str">
        <x:v>平</x:v>
      </x:c>
      <x:c r="C7818" s="6" t="str">
        <x:f>IF(B7818="","Needs decision","Ready")</x:f>
        <x:v>Ready</x:v>
      </x:c>
      <x:c r="D7818" s="6" t="str">
        <x:v>平</x:v>
      </x:c>
      <x:c r="E7818" s="6" t="str"/>
      <x:c r="F7818" s="6" t="str">
        <x:v>上平聲四支</x:v>
      </x:c>
      <x:c r="G7818" s="6" t="str">
        <x:v>Pingshui main list, Wikisource-derived DOCX</x:v>
      </x:c>
      <x:c r="H7818" s="6" t="str"/>
      <x:c r="I7818" s="6" t="str">
        <x:v>Pingshui main-list expansion; 詞 entries ignored</x:v>
      </x:c>
      <x:c r="J7818" s="6" t="str">
        <x:f>IF(B7818="","",IF(AND(ISNUMBER(SEARCH("平",B7818)),OR(ISNUMBER(SEARCH("上",B7818)),ISNUMBER(SEARCH("去",B7818)),ISNUMBER(SEARCH("入",B7818)))),"Ambiguous",IF(ISNUMBER(SEARCH("平",B7818)),"平","仄")))</x:f>
        <x:v>平</x:v>
      </x:c>
      <x:c r="K7818" s="6" t="str">
        <x:f>IF(D7818="","",IF(AND(ISNUMBER(SEARCH("平",D7818)),OR(ISNUMBER(SEARCH("上",D7818)),ISNUMBER(SEARCH("去",D7818)),ISNUMBER(SEARCH("入",D7818)))),"Ambiguous",IF(ISNUMBER(SEARCH("平",D7818)),"平","仄")))</x:f>
        <x:v>平</x:v>
      </x:c>
      <x:c r="L7818" s="7" t="str">
        <x:v>Pingshui main list expansion</x:v>
      </x:c>
    </x:row>
    <x:row r="7819">
      <x:c r="A7819" s="5" t="str">
        <x:v>蜋</x:v>
      </x:c>
      <x:c r="B7819" s="6" t="str">
        <x:v>平</x:v>
      </x:c>
      <x:c r="C7819" s="6" t="str">
        <x:f>IF(B7819="","Needs decision","Ready")</x:f>
        <x:v>Ready</x:v>
      </x:c>
      <x:c r="D7819" s="6" t="str">
        <x:v>平</x:v>
      </x:c>
      <x:c r="E7819" s="6" t="str"/>
      <x:c r="F7819" s="6" t="str">
        <x:v>下平聲七陽</x:v>
      </x:c>
      <x:c r="G7819" s="6" t="str">
        <x:v>Pingshui main list, Wikisource-derived DOCX</x:v>
      </x:c>
      <x:c r="H7819" s="6" t="str"/>
      <x:c r="I7819" s="6" t="str">
        <x:v>Pingshui main-list expansion; 詞 entries ignored</x:v>
      </x:c>
      <x:c r="J7819" s="6" t="str">
        <x:f>IF(B7819="","",IF(AND(ISNUMBER(SEARCH("平",B7819)),OR(ISNUMBER(SEARCH("上",B7819)),ISNUMBER(SEARCH("去",B7819)),ISNUMBER(SEARCH("入",B7819)))),"Ambiguous",IF(ISNUMBER(SEARCH("平",B7819)),"平","仄")))</x:f>
        <x:v>平</x:v>
      </x:c>
      <x:c r="K7819" s="6" t="str">
        <x:f>IF(D7819="","",IF(AND(ISNUMBER(SEARCH("平",D7819)),OR(ISNUMBER(SEARCH("上",D7819)),ISNUMBER(SEARCH("去",D7819)),ISNUMBER(SEARCH("入",D7819)))),"Ambiguous",IF(ISNUMBER(SEARCH("平",D7819)),"平","仄")))</x:f>
        <x:v>平</x:v>
      </x:c>
      <x:c r="L7819" s="7" t="str">
        <x:v>Pingshui main list expansion</x:v>
      </x:c>
    </x:row>
    <x:row r="7820">
      <x:c r="A7820" s="5" t="str">
        <x:v>蜑</x:v>
      </x:c>
      <x:c r="B7820" s="6" t="str">
        <x:v>上</x:v>
      </x:c>
      <x:c r="C7820" s="6" t="str">
        <x:f>IF(B7820="","Needs decision","Ready")</x:f>
        <x:v>Ready</x:v>
      </x:c>
      <x:c r="D7820" s="6" t="str">
        <x:v>上</x:v>
      </x:c>
      <x:c r="E7820" s="6" t="str"/>
      <x:c r="F7820" s="6" t="str">
        <x:v>上聲十四旱</x:v>
      </x:c>
      <x:c r="G7820" s="6" t="str">
        <x:v>Pingshui main list, Wikisource-derived DOCX</x:v>
      </x:c>
      <x:c r="H7820" s="6" t="str"/>
      <x:c r="I7820" s="6" t="str">
        <x:v>Pingshui main-list expansion; 詞 entries ignored</x:v>
      </x:c>
      <x:c r="J7820" s="6" t="str">
        <x:f>IF(B7820="","",IF(AND(ISNUMBER(SEARCH("平",B7820)),OR(ISNUMBER(SEARCH("上",B7820)),ISNUMBER(SEARCH("去",B7820)),ISNUMBER(SEARCH("入",B7820)))),"Ambiguous",IF(ISNUMBER(SEARCH("平",B7820)),"平","仄")))</x:f>
        <x:v>仄</x:v>
      </x:c>
      <x:c r="K7820" s="6" t="str">
        <x:f>IF(D7820="","",IF(AND(ISNUMBER(SEARCH("平",D7820)),OR(ISNUMBER(SEARCH("上",D7820)),ISNUMBER(SEARCH("去",D7820)),ISNUMBER(SEARCH("入",D7820)))),"Ambiguous",IF(ISNUMBER(SEARCH("平",D7820)),"平","仄")))</x:f>
        <x:v>仄</x:v>
      </x:c>
      <x:c r="L7820" s="7" t="str">
        <x:v>Pingshui main list expansion</x:v>
      </x:c>
    </x:row>
    <x:row r="7821">
      <x:c r="A7821" s="5" t="str">
        <x:v>蜞</x:v>
      </x:c>
      <x:c r="B7821" s="6" t="str">
        <x:v>平</x:v>
      </x:c>
      <x:c r="C7821" s="6" t="str">
        <x:f>IF(B7821="","Needs decision","Ready")</x:f>
        <x:v>Ready</x:v>
      </x:c>
      <x:c r="D7821" s="6" t="str">
        <x:v>平</x:v>
      </x:c>
      <x:c r="E7821" s="6" t="str"/>
      <x:c r="F7821" s="6" t="str">
        <x:v>上平聲四支</x:v>
      </x:c>
      <x:c r="G7821" s="6" t="str">
        <x:v>Pingshui main list, Wikisource-derived DOCX</x:v>
      </x:c>
      <x:c r="H7821" s="6" t="str"/>
      <x:c r="I7821" s="6" t="str">
        <x:v>Pingshui main-list expansion; 詞 entries ignored</x:v>
      </x:c>
      <x:c r="J7821" s="6" t="str">
        <x:f>IF(B7821="","",IF(AND(ISNUMBER(SEARCH("平",B7821)),OR(ISNUMBER(SEARCH("上",B7821)),ISNUMBER(SEARCH("去",B7821)),ISNUMBER(SEARCH("入",B7821)))),"Ambiguous",IF(ISNUMBER(SEARCH("平",B7821)),"平","仄")))</x:f>
        <x:v>平</x:v>
      </x:c>
      <x:c r="K7821" s="6" t="str">
        <x:f>IF(D7821="","",IF(AND(ISNUMBER(SEARCH("平",D7821)),OR(ISNUMBER(SEARCH("上",D7821)),ISNUMBER(SEARCH("去",D7821)),ISNUMBER(SEARCH("入",D7821)))),"Ambiguous",IF(ISNUMBER(SEARCH("平",D7821)),"平","仄")))</x:f>
        <x:v>平</x:v>
      </x:c>
      <x:c r="L7821" s="7" t="str">
        <x:v>Pingshui main list expansion</x:v>
      </x:c>
    </x:row>
    <x:row r="7822">
      <x:c r="A7822" s="5" t="str">
        <x:v>蜢</x:v>
      </x:c>
      <x:c r="B7822" s="6" t="str">
        <x:v>上</x:v>
      </x:c>
      <x:c r="C7822" s="6" t="str">
        <x:f>IF(B7822="","Needs decision","Ready")</x:f>
        <x:v>Ready</x:v>
      </x:c>
      <x:c r="D7822" s="6" t="str">
        <x:v>上</x:v>
      </x:c>
      <x:c r="E7822" s="6" t="str"/>
      <x:c r="F7822" s="6" t="str">
        <x:v>上聲二十三梗</x:v>
      </x:c>
      <x:c r="G7822" s="6" t="str">
        <x:v>Pingshui main list, Wikisource-derived DOCX</x:v>
      </x:c>
      <x:c r="H7822" s="6" t="str"/>
      <x:c r="I7822" s="6" t="str">
        <x:v>Pingshui main-list expansion; 詞 entries ignored</x:v>
      </x:c>
      <x:c r="J7822" s="6" t="str">
        <x:f>IF(B7822="","",IF(AND(ISNUMBER(SEARCH("平",B7822)),OR(ISNUMBER(SEARCH("上",B7822)),ISNUMBER(SEARCH("去",B7822)),ISNUMBER(SEARCH("入",B7822)))),"Ambiguous",IF(ISNUMBER(SEARCH("平",B7822)),"平","仄")))</x:f>
        <x:v>仄</x:v>
      </x:c>
      <x:c r="K7822" s="6" t="str">
        <x:f>IF(D7822="","",IF(AND(ISNUMBER(SEARCH("平",D7822)),OR(ISNUMBER(SEARCH("上",D7822)),ISNUMBER(SEARCH("去",D7822)),ISNUMBER(SEARCH("入",D7822)))),"Ambiguous",IF(ISNUMBER(SEARCH("平",D7822)),"平","仄")))</x:f>
        <x:v>仄</x:v>
      </x:c>
      <x:c r="L7822" s="7" t="str">
        <x:v>Pingshui main list expansion</x:v>
      </x:c>
    </x:row>
    <x:row r="7823">
      <x:c r="A7823" s="5" t="str">
        <x:v>蜣</x:v>
      </x:c>
      <x:c r="B7823" s="6" t="str">
        <x:v>平</x:v>
      </x:c>
      <x:c r="C7823" s="6" t="str">
        <x:f>IF(B7823="","Needs decision","Ready")</x:f>
        <x:v>Ready</x:v>
      </x:c>
      <x:c r="D7823" s="6" t="str">
        <x:v>平</x:v>
      </x:c>
      <x:c r="E7823" s="6" t="str"/>
      <x:c r="F7823" s="6" t="str">
        <x:v>下平聲七陽</x:v>
      </x:c>
      <x:c r="G7823" s="6" t="str">
        <x:v>Pingshui main list, Wikisource-derived DOCX</x:v>
      </x:c>
      <x:c r="H7823" s="6" t="str"/>
      <x:c r="I7823" s="6" t="str">
        <x:v>Pingshui main-list expansion; 詞 entries ignored</x:v>
      </x:c>
      <x:c r="J7823" s="6" t="str">
        <x:f>IF(B7823="","",IF(AND(ISNUMBER(SEARCH("平",B7823)),OR(ISNUMBER(SEARCH("上",B7823)),ISNUMBER(SEARCH("去",B7823)),ISNUMBER(SEARCH("入",B7823)))),"Ambiguous",IF(ISNUMBER(SEARCH("平",B7823)),"平","仄")))</x:f>
        <x:v>平</x:v>
      </x:c>
      <x:c r="K7823" s="6" t="str">
        <x:f>IF(D7823="","",IF(AND(ISNUMBER(SEARCH("平",D7823)),OR(ISNUMBER(SEARCH("上",D7823)),ISNUMBER(SEARCH("去",D7823)),ISNUMBER(SEARCH("入",D7823)))),"Ambiguous",IF(ISNUMBER(SEARCH("平",D7823)),"平","仄")))</x:f>
        <x:v>平</x:v>
      </x:c>
      <x:c r="L7823" s="7" t="str">
        <x:v>Pingshui main list expansion</x:v>
      </x:c>
    </x:row>
    <x:row r="7824">
      <x:c r="A7824" s="5" t="str">
        <x:v>蜥</x:v>
      </x:c>
      <x:c r="B7824" s="6" t="str">
        <x:v>入</x:v>
      </x:c>
      <x:c r="C7824" s="6" t="str">
        <x:f>IF(B7824="","Needs decision","Ready")</x:f>
        <x:v>Ready</x:v>
      </x:c>
      <x:c r="D7824" s="6" t="str">
        <x:v>入</x:v>
      </x:c>
      <x:c r="E7824" s="6" t="str"/>
      <x:c r="F7824" s="6" t="str">
        <x:v>入聲十二錫</x:v>
      </x:c>
      <x:c r="G7824" s="6" t="str">
        <x:v>Pingshui main list, Wikisource-derived DOCX</x:v>
      </x:c>
      <x:c r="H7824" s="6" t="str"/>
      <x:c r="I7824" s="6" t="str">
        <x:v>Pingshui main-list expansion; 詞 entries ignored</x:v>
      </x:c>
      <x:c r="J7824" s="6" t="str">
        <x:f>IF(B7824="","",IF(AND(ISNUMBER(SEARCH("平",B7824)),OR(ISNUMBER(SEARCH("上",B7824)),ISNUMBER(SEARCH("去",B7824)),ISNUMBER(SEARCH("入",B7824)))),"Ambiguous",IF(ISNUMBER(SEARCH("平",B7824)),"平","仄")))</x:f>
        <x:v>仄</x:v>
      </x:c>
      <x:c r="K7824" s="6" t="str">
        <x:f>IF(D7824="","",IF(AND(ISNUMBER(SEARCH("平",D7824)),OR(ISNUMBER(SEARCH("上",D7824)),ISNUMBER(SEARCH("去",D7824)),ISNUMBER(SEARCH("入",D7824)))),"Ambiguous",IF(ISNUMBER(SEARCH("平",D7824)),"平","仄")))</x:f>
        <x:v>仄</x:v>
      </x:c>
      <x:c r="L7824" s="7" t="str">
        <x:v>Pingshui main list expansion</x:v>
      </x:c>
    </x:row>
    <x:row r="7825">
      <x:c r="A7825" s="5" t="str">
        <x:v>蜦</x:v>
      </x:c>
      <x:c r="B7825" s="6" t="str">
        <x:v>平</x:v>
      </x:c>
      <x:c r="C7825" s="6" t="str">
        <x:f>IF(B7825="","Needs decision","Ready")</x:f>
        <x:v>Ready</x:v>
      </x:c>
      <x:c r="D7825" s="6" t="str">
        <x:v>平</x:v>
      </x:c>
      <x:c r="E7825" s="6" t="str"/>
      <x:c r="F7825" s="6" t="str">
        <x:v>上平聲十一真</x:v>
      </x:c>
      <x:c r="G7825" s="6" t="str">
        <x:v>Pingshui main list, Wikisource-derived DOCX</x:v>
      </x:c>
      <x:c r="H7825" s="6" t="str"/>
      <x:c r="I7825" s="6" t="str">
        <x:v>Pingshui main-list expansion; 詞 entries ignored</x:v>
      </x:c>
      <x:c r="J7825" s="6" t="str">
        <x:f>IF(B7825="","",IF(AND(ISNUMBER(SEARCH("平",B7825)),OR(ISNUMBER(SEARCH("上",B7825)),ISNUMBER(SEARCH("去",B7825)),ISNUMBER(SEARCH("入",B7825)))),"Ambiguous",IF(ISNUMBER(SEARCH("平",B7825)),"平","仄")))</x:f>
        <x:v>平</x:v>
      </x:c>
      <x:c r="K7825" s="6" t="str">
        <x:f>IF(D7825="","",IF(AND(ISNUMBER(SEARCH("平",D7825)),OR(ISNUMBER(SEARCH("上",D7825)),ISNUMBER(SEARCH("去",D7825)),ISNUMBER(SEARCH("入",D7825)))),"Ambiguous",IF(ISNUMBER(SEARCH("平",D7825)),"平","仄")))</x:f>
        <x:v>平</x:v>
      </x:c>
      <x:c r="L7825" s="7" t="str">
        <x:v>Pingshui main list expansion</x:v>
      </x:c>
    </x:row>
    <x:row r="7826">
      <x:c r="A7826" s="5" t="str">
        <x:v>蜪</x:v>
      </x:c>
      <x:c r="B7826" s="6" t="str">
        <x:v>平</x:v>
      </x:c>
      <x:c r="C7826" s="6" t="str">
        <x:f>IF(B7826="","Needs decision","Ready")</x:f>
        <x:v>Ready</x:v>
      </x:c>
      <x:c r="D7826" s="6" t="str">
        <x:v>平</x:v>
      </x:c>
      <x:c r="E7826" s="6" t="str"/>
      <x:c r="F7826" s="6" t="str">
        <x:v>下平聲四豪</x:v>
      </x:c>
      <x:c r="G7826" s="6" t="str">
        <x:v>Pingshui main list, Wikisource-derived DOCX</x:v>
      </x:c>
      <x:c r="H7826" s="6" t="str"/>
      <x:c r="I7826" s="6" t="str">
        <x:v>Pingshui main-list expansion; 詞 entries ignored</x:v>
      </x:c>
      <x:c r="J7826" s="6" t="str">
        <x:f>IF(B7826="","",IF(AND(ISNUMBER(SEARCH("平",B7826)),OR(ISNUMBER(SEARCH("上",B7826)),ISNUMBER(SEARCH("去",B7826)),ISNUMBER(SEARCH("入",B7826)))),"Ambiguous",IF(ISNUMBER(SEARCH("平",B7826)),"平","仄")))</x:f>
        <x:v>平</x:v>
      </x:c>
      <x:c r="K7826" s="6" t="str">
        <x:f>IF(D7826="","",IF(AND(ISNUMBER(SEARCH("平",D7826)),OR(ISNUMBER(SEARCH("上",D7826)),ISNUMBER(SEARCH("去",D7826)),ISNUMBER(SEARCH("入",D7826)))),"Ambiguous",IF(ISNUMBER(SEARCH("平",D7826)),"平","仄")))</x:f>
        <x:v>平</x:v>
      </x:c>
      <x:c r="L7826" s="7" t="str">
        <x:v>Pingshui main list expansion</x:v>
      </x:c>
    </x:row>
    <x:row r="7827">
      <x:c r="A7827" s="5" t="str">
        <x:v>蜬</x:v>
      </x:c>
      <x:c r="B7827" s="6" t="str">
        <x:v>平</x:v>
      </x:c>
      <x:c r="C7827" s="6" t="str">
        <x:f>IF(B7827="","Needs decision","Ready")</x:f>
        <x:v>Ready</x:v>
      </x:c>
      <x:c r="D7827" s="6" t="str">
        <x:v>平</x:v>
      </x:c>
      <x:c r="E7827" s="6" t="str"/>
      <x:c r="F7827" s="6" t="str">
        <x:v>下平聲十三覃</x:v>
      </x:c>
      <x:c r="G7827" s="6" t="str">
        <x:v>Pingshui main list, Wikisource-derived DOCX</x:v>
      </x:c>
      <x:c r="H7827" s="6" t="str"/>
      <x:c r="I7827" s="6" t="str">
        <x:v>Pingshui main-list expansion; 詞 entries ignored</x:v>
      </x:c>
      <x:c r="J7827" s="6" t="str">
        <x:f>IF(B7827="","",IF(AND(ISNUMBER(SEARCH("平",B7827)),OR(ISNUMBER(SEARCH("上",B7827)),ISNUMBER(SEARCH("去",B7827)),ISNUMBER(SEARCH("入",B7827)))),"Ambiguous",IF(ISNUMBER(SEARCH("平",B7827)),"平","仄")))</x:f>
        <x:v>平</x:v>
      </x:c>
      <x:c r="K7827" s="6" t="str">
        <x:f>IF(D7827="","",IF(AND(ISNUMBER(SEARCH("平",D7827)),OR(ISNUMBER(SEARCH("上",D7827)),ISNUMBER(SEARCH("去",D7827)),ISNUMBER(SEARCH("入",D7827)))),"Ambiguous",IF(ISNUMBER(SEARCH("平",D7827)),"平","仄")))</x:f>
        <x:v>平</x:v>
      </x:c>
      <x:c r="L7827" s="7" t="str">
        <x:v>Pingshui main list expansion</x:v>
      </x:c>
    </x:row>
    <x:row r="7828">
      <x:c r="A7828" s="5" t="str">
        <x:v>蜰</x:v>
      </x:c>
      <x:c r="B7828" s="6" t="str">
        <x:v>上</x:v>
      </x:c>
      <x:c r="C7828" s="6" t="str">
        <x:f>IF(B7828="","Needs decision","Ready")</x:f>
        <x:v>Ready</x:v>
      </x:c>
      <x:c r="D7828" s="6" t="str">
        <x:v>上</x:v>
      </x:c>
      <x:c r="E7828" s="6" t="str"/>
      <x:c r="F7828" s="6" t="str">
        <x:v>上聲五尾</x:v>
      </x:c>
      <x:c r="G7828" s="6" t="str">
        <x:v>Pingshui main list, Wikisource-derived DOCX</x:v>
      </x:c>
      <x:c r="H7828" s="6" t="str"/>
      <x:c r="I7828" s="6" t="str">
        <x:v>Pingshui main-list expansion; 詞 entries ignored</x:v>
      </x:c>
      <x:c r="J7828" s="6" t="str">
        <x:f>IF(B7828="","",IF(AND(ISNUMBER(SEARCH("平",B7828)),OR(ISNUMBER(SEARCH("上",B7828)),ISNUMBER(SEARCH("去",B7828)),ISNUMBER(SEARCH("入",B7828)))),"Ambiguous",IF(ISNUMBER(SEARCH("平",B7828)),"平","仄")))</x:f>
        <x:v>仄</x:v>
      </x:c>
      <x:c r="K7828" s="6" t="str">
        <x:f>IF(D7828="","",IF(AND(ISNUMBER(SEARCH("平",D7828)),OR(ISNUMBER(SEARCH("上",D7828)),ISNUMBER(SEARCH("去",D7828)),ISNUMBER(SEARCH("入",D7828)))),"Ambiguous",IF(ISNUMBER(SEARCH("平",D7828)),"平","仄")))</x:f>
        <x:v>仄</x:v>
      </x:c>
      <x:c r="L7828" s="7" t="str">
        <x:v>Pingshui main list expansion</x:v>
      </x:c>
    </x:row>
    <x:row r="7829">
      <x:c r="A7829" s="5" t="str">
        <x:v>蜲</x:v>
      </x:c>
      <x:c r="B7829" s="6" t="str">
        <x:v>平</x:v>
      </x:c>
      <x:c r="C7829" s="6" t="str">
        <x:f>IF(B7829="","Needs decision","Ready")</x:f>
        <x:v>Ready</x:v>
      </x:c>
      <x:c r="D7829" s="6" t="str">
        <x:v>平</x:v>
      </x:c>
      <x:c r="E7829" s="6" t="str"/>
      <x:c r="F7829" s="6" t="str">
        <x:v>上平聲四支</x:v>
      </x:c>
      <x:c r="G7829" s="6" t="str">
        <x:v>Pingshui main list, Wikisource-derived DOCX</x:v>
      </x:c>
      <x:c r="H7829" s="6" t="str"/>
      <x:c r="I7829" s="6" t="str">
        <x:v>Pingshui main-list expansion; 詞 entries ignored</x:v>
      </x:c>
      <x:c r="J7829" s="6" t="str">
        <x:f>IF(B7829="","",IF(AND(ISNUMBER(SEARCH("平",B7829)),OR(ISNUMBER(SEARCH("上",B7829)),ISNUMBER(SEARCH("去",B7829)),ISNUMBER(SEARCH("入",B7829)))),"Ambiguous",IF(ISNUMBER(SEARCH("平",B7829)),"平","仄")))</x:f>
        <x:v>平</x:v>
      </x:c>
      <x:c r="K7829" s="6" t="str">
        <x:f>IF(D7829="","",IF(AND(ISNUMBER(SEARCH("平",D7829)),OR(ISNUMBER(SEARCH("上",D7829)),ISNUMBER(SEARCH("去",D7829)),ISNUMBER(SEARCH("入",D7829)))),"Ambiguous",IF(ISNUMBER(SEARCH("平",D7829)),"平","仄")))</x:f>
        <x:v>平</x:v>
      </x:c>
      <x:c r="L7829" s="7" t="str">
        <x:v>Pingshui main list expansion</x:v>
      </x:c>
    </x:row>
    <x:row r="7830">
      <x:c r="A7830" s="5" t="str">
        <x:v>蜳</x:v>
      </x:c>
      <x:c r="B7830" s="6" t="str">
        <x:v>平</x:v>
      </x:c>
      <x:c r="C7830" s="6" t="str">
        <x:f>IF(B7830="","Needs decision","Ready")</x:f>
        <x:v>Ready</x:v>
      </x:c>
      <x:c r="D7830" s="6" t="str">
        <x:v>平</x:v>
      </x:c>
      <x:c r="E7830" s="6" t="str"/>
      <x:c r="F7830" s="6" t="str">
        <x:v>上平聲十三元</x:v>
      </x:c>
      <x:c r="G7830" s="6" t="str">
        <x:v>Pingshui main list, Wikisource-derived DOCX</x:v>
      </x:c>
      <x:c r="H7830" s="6" t="str"/>
      <x:c r="I7830" s="6" t="str">
        <x:v>Pingshui main-list expansion; 詞 entries ignored</x:v>
      </x:c>
      <x:c r="J7830" s="6" t="str">
        <x:f>IF(B7830="","",IF(AND(ISNUMBER(SEARCH("平",B7830)),OR(ISNUMBER(SEARCH("上",B7830)),ISNUMBER(SEARCH("去",B7830)),ISNUMBER(SEARCH("入",B7830)))),"Ambiguous",IF(ISNUMBER(SEARCH("平",B7830)),"平","仄")))</x:f>
        <x:v>平</x:v>
      </x:c>
      <x:c r="K7830" s="6" t="str">
        <x:f>IF(D7830="","",IF(AND(ISNUMBER(SEARCH("平",D7830)),OR(ISNUMBER(SEARCH("上",D7830)),ISNUMBER(SEARCH("去",D7830)),ISNUMBER(SEARCH("入",D7830)))),"Ambiguous",IF(ISNUMBER(SEARCH("平",D7830)),"平","仄")))</x:f>
        <x:v>平</x:v>
      </x:c>
      <x:c r="L7830" s="7" t="str">
        <x:v>Pingshui main list expansion</x:v>
      </x:c>
    </x:row>
    <x:row r="7831">
      <x:c r="A7831" s="5" t="str">
        <x:v>蜷</x:v>
      </x:c>
      <x:c r="B7831" s="6" t="str">
        <x:v>平</x:v>
      </x:c>
      <x:c r="C7831" s="6" t="str">
        <x:f>IF(B7831="","Needs decision","Ready")</x:f>
        <x:v>Ready</x:v>
      </x:c>
      <x:c r="D7831" s="6" t="str">
        <x:v>平</x:v>
      </x:c>
      <x:c r="E7831" s="6" t="str"/>
      <x:c r="F7831" s="6" t="str">
        <x:v>下平聲一先</x:v>
      </x:c>
      <x:c r="G7831" s="6" t="str">
        <x:v>Pingshui main list, Wikisource-derived DOCX</x:v>
      </x:c>
      <x:c r="H7831" s="6" t="str"/>
      <x:c r="I7831" s="6" t="str">
        <x:v>Pingshui main-list expansion; 詞 entries ignored</x:v>
      </x:c>
      <x:c r="J7831" s="6" t="str">
        <x:f>IF(B7831="","",IF(AND(ISNUMBER(SEARCH("平",B7831)),OR(ISNUMBER(SEARCH("上",B7831)),ISNUMBER(SEARCH("去",B7831)),ISNUMBER(SEARCH("入",B7831)))),"Ambiguous",IF(ISNUMBER(SEARCH("平",B7831)),"平","仄")))</x:f>
        <x:v>平</x:v>
      </x:c>
      <x:c r="K7831" s="6" t="str">
        <x:f>IF(D7831="","",IF(AND(ISNUMBER(SEARCH("平",D7831)),OR(ISNUMBER(SEARCH("上",D7831)),ISNUMBER(SEARCH("去",D7831)),ISNUMBER(SEARCH("入",D7831)))),"Ambiguous",IF(ISNUMBER(SEARCH("平",D7831)),"平","仄")))</x:f>
        <x:v>平</x:v>
      </x:c>
      <x:c r="L7831" s="7" t="str">
        <x:v>Pingshui main list expansion</x:v>
      </x:c>
    </x:row>
    <x:row r="7832">
      <x:c r="A7832" s="5" t="str">
        <x:v>蜼</x:v>
      </x:c>
      <x:c r="B7832" s="6" t="str">
        <x:v>去</x:v>
      </x:c>
      <x:c r="C7832" s="6" t="str">
        <x:f>IF(B7832="","Needs decision","Ready")</x:f>
        <x:v>Ready</x:v>
      </x:c>
      <x:c r="D7832" s="6" t="str">
        <x:v>去</x:v>
      </x:c>
      <x:c r="E7832" s="6" t="str"/>
      <x:c r="F7832" s="6" t="str">
        <x:v>去聲四寘; 去聲二十六宥</x:v>
      </x:c>
      <x:c r="G7832" s="6" t="str">
        <x:v>Pingshui main list, Wikisource-derived DOCX</x:v>
      </x:c>
      <x:c r="H7832" s="6" t="str"/>
      <x:c r="I7832" s="6" t="str">
        <x:v>Pingshui main-list expansion; 詞 entries ignored</x:v>
      </x:c>
      <x:c r="J7832" s="6" t="str">
        <x:f>IF(B7832="","",IF(AND(ISNUMBER(SEARCH("平",B7832)),OR(ISNUMBER(SEARCH("上",B7832)),ISNUMBER(SEARCH("去",B7832)),ISNUMBER(SEARCH("入",B7832)))),"Ambiguous",IF(ISNUMBER(SEARCH("平",B7832)),"平","仄")))</x:f>
        <x:v>仄</x:v>
      </x:c>
      <x:c r="K7832" s="6" t="str">
        <x:f>IF(D7832="","",IF(AND(ISNUMBER(SEARCH("平",D7832)),OR(ISNUMBER(SEARCH("上",D7832)),ISNUMBER(SEARCH("去",D7832)),ISNUMBER(SEARCH("入",D7832)))),"Ambiguous",IF(ISNUMBER(SEARCH("平",D7832)),"平","仄")))</x:f>
        <x:v>仄</x:v>
      </x:c>
      <x:c r="L7832" s="7" t="str">
        <x:v>Pingshui main list expansion</x:v>
      </x:c>
    </x:row>
    <x:row r="7833">
      <x:c r="A7833" s="5" t="str">
        <x:v>蝀</x:v>
      </x:c>
      <x:c r="B7833" s="6" t="str">
        <x:v>平</x:v>
      </x:c>
      <x:c r="C7833" s="6" t="str">
        <x:f>IF(B7833="","Needs decision","Ready")</x:f>
        <x:v>Ready</x:v>
      </x:c>
      <x:c r="D7833" s="6" t="str">
        <x:v>平</x:v>
      </x:c>
      <x:c r="E7833" s="6" t="str"/>
      <x:c r="F7833" s="6" t="str">
        <x:v>上平聲一東</x:v>
      </x:c>
      <x:c r="G7833" s="6" t="str">
        <x:v>Pingshui main list, Wikisource-derived DOCX</x:v>
      </x:c>
      <x:c r="H7833" s="6" t="str"/>
      <x:c r="I7833" s="6" t="str">
        <x:v>Pingshui main-list expansion; 詞 entries ignored</x:v>
      </x:c>
      <x:c r="J7833" s="6" t="str">
        <x:f>IF(B7833="","",IF(AND(ISNUMBER(SEARCH("平",B7833)),OR(ISNUMBER(SEARCH("上",B7833)),ISNUMBER(SEARCH("去",B7833)),ISNUMBER(SEARCH("入",B7833)))),"Ambiguous",IF(ISNUMBER(SEARCH("平",B7833)),"平","仄")))</x:f>
        <x:v>平</x:v>
      </x:c>
      <x:c r="K7833" s="6" t="str">
        <x:f>IF(D7833="","",IF(AND(ISNUMBER(SEARCH("平",D7833)),OR(ISNUMBER(SEARCH("上",D7833)),ISNUMBER(SEARCH("去",D7833)),ISNUMBER(SEARCH("入",D7833)))),"Ambiguous",IF(ISNUMBER(SEARCH("平",D7833)),"平","仄")))</x:f>
        <x:v>平</x:v>
      </x:c>
      <x:c r="L7833" s="7" t="str">
        <x:v>Pingshui main list expansion</x:v>
      </x:c>
    </x:row>
    <x:row r="7834">
      <x:c r="A7834" s="5" t="str">
        <x:v>蝂</x:v>
      </x:c>
      <x:c r="B7834" s="6" t="str">
        <x:v>上</x:v>
      </x:c>
      <x:c r="C7834" s="6" t="str">
        <x:f>IF(B7834="","Needs decision","Ready")</x:f>
        <x:v>Ready</x:v>
      </x:c>
      <x:c r="D7834" s="6" t="str">
        <x:v>上</x:v>
      </x:c>
      <x:c r="E7834" s="6" t="str"/>
      <x:c r="F7834" s="6" t="str">
        <x:v>上聲十五潸</x:v>
      </x:c>
      <x:c r="G7834" s="6" t="str">
        <x:v>Pingshui main list, Wikisource-derived DOCX</x:v>
      </x:c>
      <x:c r="H7834" s="6" t="str"/>
      <x:c r="I7834" s="6" t="str">
        <x:v>Pingshui main-list expansion; 詞 entries ignored</x:v>
      </x:c>
      <x:c r="J7834" s="6" t="str">
        <x:f>IF(B7834="","",IF(AND(ISNUMBER(SEARCH("平",B7834)),OR(ISNUMBER(SEARCH("上",B7834)),ISNUMBER(SEARCH("去",B7834)),ISNUMBER(SEARCH("入",B7834)))),"Ambiguous",IF(ISNUMBER(SEARCH("平",B7834)),"平","仄")))</x:f>
        <x:v>仄</x:v>
      </x:c>
      <x:c r="K7834" s="6" t="str">
        <x:f>IF(D7834="","",IF(AND(ISNUMBER(SEARCH("平",D7834)),OR(ISNUMBER(SEARCH("上",D7834)),ISNUMBER(SEARCH("去",D7834)),ISNUMBER(SEARCH("入",D7834)))),"Ambiguous",IF(ISNUMBER(SEARCH("平",D7834)),"平","仄")))</x:f>
        <x:v>仄</x:v>
      </x:c>
      <x:c r="L7834" s="7" t="str">
        <x:v>Pingshui main list expansion</x:v>
      </x:c>
    </x:row>
    <x:row r="7835">
      <x:c r="A7835" s="5" t="str">
        <x:v>蝛</x:v>
      </x:c>
      <x:c r="B7835" s="6" t="str">
        <x:v>平</x:v>
      </x:c>
      <x:c r="C7835" s="6" t="str">
        <x:f>IF(B7835="","Needs decision","Ready")</x:f>
        <x:v>Ready</x:v>
      </x:c>
      <x:c r="D7835" s="6" t="str">
        <x:v>平</x:v>
      </x:c>
      <x:c r="E7835" s="6" t="str"/>
      <x:c r="F7835" s="6" t="str">
        <x:v>上平聲五微</x:v>
      </x:c>
      <x:c r="G7835" s="6" t="str">
        <x:v>Pingshui main list, Wikisource-derived DOCX</x:v>
      </x:c>
      <x:c r="H7835" s="6" t="str"/>
      <x:c r="I7835" s="6" t="str">
        <x:v>Pingshui main-list expansion; 詞 entries ignored</x:v>
      </x:c>
      <x:c r="J7835" s="6" t="str">
        <x:f>IF(B7835="","",IF(AND(ISNUMBER(SEARCH("平",B7835)),OR(ISNUMBER(SEARCH("上",B7835)),ISNUMBER(SEARCH("去",B7835)),ISNUMBER(SEARCH("入",B7835)))),"Ambiguous",IF(ISNUMBER(SEARCH("平",B7835)),"平","仄")))</x:f>
        <x:v>平</x:v>
      </x:c>
      <x:c r="K7835" s="6" t="str">
        <x:f>IF(D7835="","",IF(AND(ISNUMBER(SEARCH("平",D7835)),OR(ISNUMBER(SEARCH("上",D7835)),ISNUMBER(SEARCH("去",D7835)),ISNUMBER(SEARCH("入",D7835)))),"Ambiguous",IF(ISNUMBER(SEARCH("平",D7835)),"平","仄")))</x:f>
        <x:v>平</x:v>
      </x:c>
      <x:c r="L7835" s="7" t="str">
        <x:v>Pingshui main list expansion</x:v>
      </x:c>
    </x:row>
    <x:row r="7836">
      <x:c r="A7836" s="5" t="str">
        <x:v>蝝</x:v>
      </x:c>
      <x:c r="B7836" s="6" t="str">
        <x:v>平</x:v>
      </x:c>
      <x:c r="C7836" s="6" t="str">
        <x:f>IF(B7836="","Needs decision","Ready")</x:f>
        <x:v>Ready</x:v>
      </x:c>
      <x:c r="D7836" s="6" t="str">
        <x:v>平</x:v>
      </x:c>
      <x:c r="E7836" s="6" t="str"/>
      <x:c r="F7836" s="6" t="str">
        <x:v>下平聲一先</x:v>
      </x:c>
      <x:c r="G7836" s="6" t="str">
        <x:v>Pingshui main list, Wikisource-derived DOCX</x:v>
      </x:c>
      <x:c r="H7836" s="6" t="str"/>
      <x:c r="I7836" s="6" t="str">
        <x:v>Pingshui main-list expansion; 詞 entries ignored</x:v>
      </x:c>
      <x:c r="J7836" s="6" t="str">
        <x:f>IF(B7836="","",IF(AND(ISNUMBER(SEARCH("平",B7836)),OR(ISNUMBER(SEARCH("上",B7836)),ISNUMBER(SEARCH("去",B7836)),ISNUMBER(SEARCH("入",B7836)))),"Ambiguous",IF(ISNUMBER(SEARCH("平",B7836)),"平","仄")))</x:f>
        <x:v>平</x:v>
      </x:c>
      <x:c r="K7836" s="6" t="str">
        <x:f>IF(D7836="","",IF(AND(ISNUMBER(SEARCH("平",D7836)),OR(ISNUMBER(SEARCH("上",D7836)),ISNUMBER(SEARCH("去",D7836)),ISNUMBER(SEARCH("入",D7836)))),"Ambiguous",IF(ISNUMBER(SEARCH("平",D7836)),"平","仄")))</x:f>
        <x:v>平</x:v>
      </x:c>
      <x:c r="L7836" s="7" t="str">
        <x:v>Pingshui main list expansion</x:v>
      </x:c>
    </x:row>
    <x:row r="7837">
      <x:c r="A7837" s="5" t="str">
        <x:v>蝡</x:v>
      </x:c>
      <x:c r="B7837" s="6" t="str">
        <x:v>上</x:v>
      </x:c>
      <x:c r="C7837" s="6" t="str">
        <x:f>IF(B7837="","Needs decision","Ready")</x:f>
        <x:v>Ready</x:v>
      </x:c>
      <x:c r="D7837" s="6" t="str">
        <x:v>上</x:v>
      </x:c>
      <x:c r="E7837" s="6" t="str"/>
      <x:c r="F7837" s="6" t="str">
        <x:v>上聲十六銑</x:v>
      </x:c>
      <x:c r="G7837" s="6" t="str">
        <x:v>Pingshui main list, Wikisource-derived DOCX</x:v>
      </x:c>
      <x:c r="H7837" s="6" t="str"/>
      <x:c r="I7837" s="6" t="str">
        <x:v>Pingshui main-list expansion; 詞 entries ignored</x:v>
      </x:c>
      <x:c r="J7837" s="6" t="str">
        <x:f>IF(B7837="","",IF(AND(ISNUMBER(SEARCH("平",B7837)),OR(ISNUMBER(SEARCH("上",B7837)),ISNUMBER(SEARCH("去",B7837)),ISNUMBER(SEARCH("入",B7837)))),"Ambiguous",IF(ISNUMBER(SEARCH("平",B7837)),"平","仄")))</x:f>
        <x:v>仄</x:v>
      </x:c>
      <x:c r="K7837" s="6" t="str">
        <x:f>IF(D7837="","",IF(AND(ISNUMBER(SEARCH("平",D7837)),OR(ISNUMBER(SEARCH("上",D7837)),ISNUMBER(SEARCH("去",D7837)),ISNUMBER(SEARCH("入",D7837)))),"Ambiguous",IF(ISNUMBER(SEARCH("平",D7837)),"平","仄")))</x:f>
        <x:v>仄</x:v>
      </x:c>
      <x:c r="L7837" s="7" t="str">
        <x:v>Pingshui main list expansion</x:v>
      </x:c>
    </x:row>
    <x:row r="7838">
      <x:c r="A7838" s="5" t="str">
        <x:v>蝩</x:v>
      </x:c>
      <x:c r="B7838" s="6" t="str">
        <x:v>平</x:v>
      </x:c>
      <x:c r="C7838" s="6" t="str">
        <x:f>IF(B7838="","Needs decision","Ready")</x:f>
        <x:v>Ready</x:v>
      </x:c>
      <x:c r="D7838" s="6" t="str">
        <x:v>平</x:v>
      </x:c>
      <x:c r="E7838" s="6" t="str"/>
      <x:c r="F7838" s="6" t="str">
        <x:v>上平聲二冬</x:v>
      </x:c>
      <x:c r="G7838" s="6" t="str">
        <x:v>Pingshui main list, Wikisource-derived DOCX</x:v>
      </x:c>
      <x:c r="H7838" s="6" t="str"/>
      <x:c r="I7838" s="6" t="str">
        <x:v>Pingshui main-list expansion; 詞 entries ignored</x:v>
      </x:c>
      <x:c r="J7838" s="6" t="str">
        <x:f>IF(B7838="","",IF(AND(ISNUMBER(SEARCH("平",B7838)),OR(ISNUMBER(SEARCH("上",B7838)),ISNUMBER(SEARCH("去",B7838)),ISNUMBER(SEARCH("入",B7838)))),"Ambiguous",IF(ISNUMBER(SEARCH("平",B7838)),"平","仄")))</x:f>
        <x:v>平</x:v>
      </x:c>
      <x:c r="K7838" s="6" t="str">
        <x:f>IF(D7838="","",IF(AND(ISNUMBER(SEARCH("平",D7838)),OR(ISNUMBER(SEARCH("上",D7838)),ISNUMBER(SEARCH("去",D7838)),ISNUMBER(SEARCH("入",D7838)))),"Ambiguous",IF(ISNUMBER(SEARCH("平",D7838)),"平","仄")))</x:f>
        <x:v>平</x:v>
      </x:c>
      <x:c r="L7838" s="7" t="str">
        <x:v>Pingshui main list expansion</x:v>
      </x:c>
    </x:row>
    <x:row r="7839">
      <x:c r="A7839" s="5" t="str">
        <x:v>蝪</x:v>
      </x:c>
      <x:c r="B7839" s="6" t="str">
        <x:v>入</x:v>
      </x:c>
      <x:c r="C7839" s="6" t="str">
        <x:f>IF(B7839="","Needs decision","Ready")</x:f>
        <x:v>Ready</x:v>
      </x:c>
      <x:c r="D7839" s="6" t="str">
        <x:v>入</x:v>
      </x:c>
      <x:c r="E7839" s="6" t="str"/>
      <x:c r="F7839" s="6" t="str">
        <x:v>入聲十一陌</x:v>
      </x:c>
      <x:c r="G7839" s="6" t="str">
        <x:v>Pingshui main list, Wikisource-derived DOCX</x:v>
      </x:c>
      <x:c r="H7839" s="6" t="str"/>
      <x:c r="I7839" s="6" t="str">
        <x:v>Pingshui main-list expansion; 詞 entries ignored</x:v>
      </x:c>
      <x:c r="J7839" s="6" t="str">
        <x:f>IF(B7839="","",IF(AND(ISNUMBER(SEARCH("平",B7839)),OR(ISNUMBER(SEARCH("上",B7839)),ISNUMBER(SEARCH("去",B7839)),ISNUMBER(SEARCH("入",B7839)))),"Ambiguous",IF(ISNUMBER(SEARCH("平",B7839)),"平","仄")))</x:f>
        <x:v>仄</x:v>
      </x:c>
      <x:c r="K7839" s="6" t="str">
        <x:f>IF(D7839="","",IF(AND(ISNUMBER(SEARCH("平",D7839)),OR(ISNUMBER(SEARCH("上",D7839)),ISNUMBER(SEARCH("去",D7839)),ISNUMBER(SEARCH("入",D7839)))),"Ambiguous",IF(ISNUMBER(SEARCH("平",D7839)),"平","仄")))</x:f>
        <x:v>仄</x:v>
      </x:c>
      <x:c r="L7839" s="7" t="str">
        <x:v>Pingshui main list expansion</x:v>
      </x:c>
    </x:row>
    <x:row r="7840">
      <x:c r="A7840" s="5" t="str">
        <x:v>蝬</x:v>
      </x:c>
      <x:c r="B7840" s="6" t="str">
        <x:v>平</x:v>
      </x:c>
      <x:c r="C7840" s="6" t="str">
        <x:f>IF(B7840="","Needs decision","Ready")</x:f>
        <x:v>Ready</x:v>
      </x:c>
      <x:c r="D7840" s="6" t="str">
        <x:v>平</x:v>
      </x:c>
      <x:c r="E7840" s="6" t="str"/>
      <x:c r="F7840" s="6" t="str">
        <x:v>上平聲一東</x:v>
      </x:c>
      <x:c r="G7840" s="6" t="str">
        <x:v>Pingshui main list, Wikisource-derived DOCX</x:v>
      </x:c>
      <x:c r="H7840" s="6" t="str"/>
      <x:c r="I7840" s="6" t="str">
        <x:v>Pingshui main-list expansion; 詞 entries ignored</x:v>
      </x:c>
      <x:c r="J7840" s="6" t="str">
        <x:f>IF(B7840="","",IF(AND(ISNUMBER(SEARCH("平",B7840)),OR(ISNUMBER(SEARCH("上",B7840)),ISNUMBER(SEARCH("去",B7840)),ISNUMBER(SEARCH("入",B7840)))),"Ambiguous",IF(ISNUMBER(SEARCH("平",B7840)),"平","仄")))</x:f>
        <x:v>平</x:v>
      </x:c>
      <x:c r="K7840" s="6" t="str">
        <x:f>IF(D7840="","",IF(AND(ISNUMBER(SEARCH("平",D7840)),OR(ISNUMBER(SEARCH("上",D7840)),ISNUMBER(SEARCH("去",D7840)),ISNUMBER(SEARCH("入",D7840)))),"Ambiguous",IF(ISNUMBER(SEARCH("平",D7840)),"平","仄")))</x:f>
        <x:v>平</x:v>
      </x:c>
      <x:c r="L7840" s="7" t="str">
        <x:v>Pingshui main list expansion</x:v>
      </x:c>
    </x:row>
    <x:row r="7841">
      <x:c r="A7841" s="5" t="str">
        <x:v>蝹</x:v>
      </x:c>
      <x:c r="B7841" s="6" t="str"/>
      <x:c r="C7841" s="6" t="str">
        <x:f>IF(B7841="","Needs decision","Ready")</x:f>
        <x:v>Needs decision</x:v>
      </x:c>
      <x:c r="D7841" s="6" t="str">
        <x:v>平/上</x:v>
      </x:c>
      <x:c r="E7841" s="6" t="str"/>
      <x:c r="F7841" s="6" t="str">
        <x:v>上平聲十二文; 上聲十九皓</x:v>
      </x:c>
      <x:c r="G7841" s="6" t="str">
        <x:v>Pingshui main list, Wikisource-derived DOCX</x:v>
      </x:c>
      <x:c r="H7841" s="6" t="str"/>
      <x:c r="I7841" s="6" t="str">
        <x:v>Pingshui main-list expansion; 詞 entries ignored</x:v>
      </x:c>
      <x:c r="J7841" s="6" t="str">
        <x:f>IF(B7841="","",IF(AND(ISNUMBER(SEARCH("平",B7841)),OR(ISNUMBER(SEARCH("上",B7841)),ISNUMBER(SEARCH("去",B7841)),ISNUMBER(SEARCH("入",B7841)))),"Ambiguous",IF(ISNUMBER(SEARCH("平",B7841)),"平","仄")))</x:f>
      </x:c>
      <x:c r="K7841" s="6" t="str">
        <x:f>IF(D7841="","",IF(AND(ISNUMBER(SEARCH("平",D7841)),OR(ISNUMBER(SEARCH("上",D7841)),ISNUMBER(SEARCH("去",D7841)),ISNUMBER(SEARCH("入",D7841)))),"Ambiguous",IF(ISNUMBER(SEARCH("平",D7841)),"平","仄")))</x:f>
        <x:v>Ambiguous</x:v>
      </x:c>
      <x:c r="L7841" s="7" t="str">
        <x:v>Pingshui main list expansion</x:v>
      </x:c>
    </x:row>
    <x:row r="7842">
      <x:c r="A7842" s="5" t="str">
        <x:v>螃</x:v>
      </x:c>
      <x:c r="B7842" s="6" t="str">
        <x:v>平</x:v>
      </x:c>
      <x:c r="C7842" s="6" t="str">
        <x:f>IF(B7842="","Needs decision","Ready")</x:f>
        <x:v>Ready</x:v>
      </x:c>
      <x:c r="D7842" s="6" t="str">
        <x:v>平</x:v>
      </x:c>
      <x:c r="E7842" s="6" t="str"/>
      <x:c r="F7842" s="6" t="str">
        <x:v>下平聲七陽</x:v>
      </x:c>
      <x:c r="G7842" s="6" t="str">
        <x:v>Pingshui main list, Wikisource-derived DOCX</x:v>
      </x:c>
      <x:c r="H7842" s="6" t="str"/>
      <x:c r="I7842" s="6" t="str">
        <x:v>Pingshui main-list expansion; 詞 entries ignored</x:v>
      </x:c>
      <x:c r="J7842" s="6" t="str">
        <x:f>IF(B7842="","",IF(AND(ISNUMBER(SEARCH("平",B7842)),OR(ISNUMBER(SEARCH("上",B7842)),ISNUMBER(SEARCH("去",B7842)),ISNUMBER(SEARCH("入",B7842)))),"Ambiguous",IF(ISNUMBER(SEARCH("平",B7842)),"平","仄")))</x:f>
        <x:v>平</x:v>
      </x:c>
      <x:c r="K7842" s="6" t="str">
        <x:f>IF(D7842="","",IF(AND(ISNUMBER(SEARCH("平",D7842)),OR(ISNUMBER(SEARCH("上",D7842)),ISNUMBER(SEARCH("去",D7842)),ISNUMBER(SEARCH("入",D7842)))),"Ambiguous",IF(ISNUMBER(SEARCH("平",D7842)),"平","仄")))</x:f>
        <x:v>平</x:v>
      </x:c>
      <x:c r="L7842" s="7" t="str">
        <x:v>Pingshui main list expansion</x:v>
      </x:c>
    </x:row>
    <x:row r="7843">
      <x:c r="A7843" s="5" t="str">
        <x:v>螖</x:v>
      </x:c>
      <x:c r="B7843" s="6" t="str">
        <x:v>入</x:v>
      </x:c>
      <x:c r="C7843" s="6" t="str">
        <x:f>IF(B7843="","Needs decision","Ready")</x:f>
        <x:v>Ready</x:v>
      </x:c>
      <x:c r="D7843" s="6" t="str">
        <x:v>入</x:v>
      </x:c>
      <x:c r="E7843" s="6" t="str"/>
      <x:c r="F7843" s="6" t="str">
        <x:v>入聲八黠</x:v>
      </x:c>
      <x:c r="G7843" s="6" t="str">
        <x:v>Pingshui main list, Wikisource-derived DOCX</x:v>
      </x:c>
      <x:c r="H7843" s="6" t="str"/>
      <x:c r="I7843" s="6" t="str">
        <x:v>Pingshui main-list expansion; 詞 entries ignored</x:v>
      </x:c>
      <x:c r="J7843" s="6" t="str">
        <x:f>IF(B7843="","",IF(AND(ISNUMBER(SEARCH("平",B7843)),OR(ISNUMBER(SEARCH("上",B7843)),ISNUMBER(SEARCH("去",B7843)),ISNUMBER(SEARCH("入",B7843)))),"Ambiguous",IF(ISNUMBER(SEARCH("平",B7843)),"平","仄")))</x:f>
        <x:v>仄</x:v>
      </x:c>
      <x:c r="K7843" s="6" t="str">
        <x:f>IF(D7843="","",IF(AND(ISNUMBER(SEARCH("平",D7843)),OR(ISNUMBER(SEARCH("上",D7843)),ISNUMBER(SEARCH("去",D7843)),ISNUMBER(SEARCH("入",D7843)))),"Ambiguous",IF(ISNUMBER(SEARCH("平",D7843)),"平","仄")))</x:f>
        <x:v>仄</x:v>
      </x:c>
      <x:c r="L7843" s="7" t="str">
        <x:v>Pingshui main list expansion</x:v>
      </x:c>
    </x:row>
    <x:row r="7844">
      <x:c r="A7844" s="5" t="str">
        <x:v>螣</x:v>
      </x:c>
      <x:c r="B7844" s="6" t="str"/>
      <x:c r="C7844" s="6" t="str">
        <x:f>IF(B7844="","Needs decision","Ready")</x:f>
        <x:v>Needs decision</x:v>
      </x:c>
      <x:c r="D7844" s="6" t="str">
        <x:v>平/入</x:v>
      </x:c>
      <x:c r="E7844" s="6" t="str"/>
      <x:c r="F7844" s="6" t="str">
        <x:v>下平聲十蒸; 入聲十三職</x:v>
      </x:c>
      <x:c r="G7844" s="6" t="str">
        <x:v>Pingshui main list, Wikisource-derived DOCX</x:v>
      </x:c>
      <x:c r="H7844" s="6" t="str"/>
      <x:c r="I7844" s="6" t="str">
        <x:v>Pingshui main-list expansion; 詞 entries ignored</x:v>
      </x:c>
      <x:c r="J7844" s="6" t="str">
        <x:f>IF(B7844="","",IF(AND(ISNUMBER(SEARCH("平",B7844)),OR(ISNUMBER(SEARCH("上",B7844)),ISNUMBER(SEARCH("去",B7844)),ISNUMBER(SEARCH("入",B7844)))),"Ambiguous",IF(ISNUMBER(SEARCH("平",B7844)),"平","仄")))</x:f>
      </x:c>
      <x:c r="K7844" s="6" t="str">
        <x:f>IF(D7844="","",IF(AND(ISNUMBER(SEARCH("平",D7844)),OR(ISNUMBER(SEARCH("上",D7844)),ISNUMBER(SEARCH("去",D7844)),ISNUMBER(SEARCH("入",D7844)))),"Ambiguous",IF(ISNUMBER(SEARCH("平",D7844)),"平","仄")))</x:f>
        <x:v>Ambiguous</x:v>
      </x:c>
      <x:c r="L7844" s="7" t="str">
        <x:v>Pingshui main list expansion</x:v>
      </x:c>
    </x:row>
    <x:row r="7845">
      <x:c r="A7845" s="5" t="str">
        <x:v>螮</x:v>
      </x:c>
      <x:c r="B7845" s="6" t="str">
        <x:v>去</x:v>
      </x:c>
      <x:c r="C7845" s="6" t="str">
        <x:f>IF(B7845="","Needs decision","Ready")</x:f>
        <x:v>Ready</x:v>
      </x:c>
      <x:c r="D7845" s="6" t="str">
        <x:v>去</x:v>
      </x:c>
      <x:c r="E7845" s="6" t="str"/>
      <x:c r="F7845" s="6" t="str">
        <x:v>去聲八霽</x:v>
      </x:c>
      <x:c r="G7845" s="6" t="str">
        <x:v>Pingshui main list, Wikisource-derived DOCX</x:v>
      </x:c>
      <x:c r="H7845" s="6" t="str"/>
      <x:c r="I7845" s="6" t="str">
        <x:v>Pingshui main-list expansion; 詞 entries ignored</x:v>
      </x:c>
      <x:c r="J7845" s="6" t="str">
        <x:f>IF(B7845="","",IF(AND(ISNUMBER(SEARCH("平",B7845)),OR(ISNUMBER(SEARCH("上",B7845)),ISNUMBER(SEARCH("去",B7845)),ISNUMBER(SEARCH("入",B7845)))),"Ambiguous",IF(ISNUMBER(SEARCH("平",B7845)),"平","仄")))</x:f>
        <x:v>仄</x:v>
      </x:c>
      <x:c r="K7845" s="6" t="str">
        <x:f>IF(D7845="","",IF(AND(ISNUMBER(SEARCH("平",D7845)),OR(ISNUMBER(SEARCH("上",D7845)),ISNUMBER(SEARCH("去",D7845)),ISNUMBER(SEARCH("入",D7845)))),"Ambiguous",IF(ISNUMBER(SEARCH("平",D7845)),"平","仄")))</x:f>
        <x:v>仄</x:v>
      </x:c>
      <x:c r="L7845" s="7" t="str">
        <x:v>Pingshui main list expansion</x:v>
      </x:c>
    </x:row>
    <x:row r="7846">
      <x:c r="A7846" s="5" t="str">
        <x:v>螯</x:v>
      </x:c>
      <x:c r="B7846" s="6" t="str">
        <x:v>平</x:v>
      </x:c>
      <x:c r="C7846" s="6" t="str">
        <x:f>IF(B7846="","Needs decision","Ready")</x:f>
        <x:v>Ready</x:v>
      </x:c>
      <x:c r="D7846" s="6" t="str">
        <x:v>平</x:v>
      </x:c>
      <x:c r="E7846" s="6" t="str"/>
      <x:c r="F7846" s="6" t="str">
        <x:v>下平聲四豪</x:v>
      </x:c>
      <x:c r="G7846" s="6" t="str">
        <x:v>Pingshui main list, Wikisource-derived DOCX</x:v>
      </x:c>
      <x:c r="H7846" s="6" t="str"/>
      <x:c r="I7846" s="6" t="str">
        <x:v>Pingshui main-list expansion; 詞 entries ignored</x:v>
      </x:c>
      <x:c r="J7846" s="6" t="str">
        <x:f>IF(B7846="","",IF(AND(ISNUMBER(SEARCH("平",B7846)),OR(ISNUMBER(SEARCH("上",B7846)),ISNUMBER(SEARCH("去",B7846)),ISNUMBER(SEARCH("入",B7846)))),"Ambiguous",IF(ISNUMBER(SEARCH("平",B7846)),"平","仄")))</x:f>
        <x:v>平</x:v>
      </x:c>
      <x:c r="K7846" s="6" t="str">
        <x:f>IF(D7846="","",IF(AND(ISNUMBER(SEARCH("平",D7846)),OR(ISNUMBER(SEARCH("上",D7846)),ISNUMBER(SEARCH("去",D7846)),ISNUMBER(SEARCH("入",D7846)))),"Ambiguous",IF(ISNUMBER(SEARCH("平",D7846)),"平","仄")))</x:f>
        <x:v>平</x:v>
      </x:c>
      <x:c r="L7846" s="7" t="str">
        <x:v>Pingshui main list expansion</x:v>
      </x:c>
    </x:row>
    <x:row r="7847">
      <x:c r="A7847" s="5" t="str">
        <x:v>螰</x:v>
      </x:c>
      <x:c r="B7847" s="6" t="str">
        <x:v>入</x:v>
      </x:c>
      <x:c r="C7847" s="6" t="str">
        <x:f>IF(B7847="","Needs decision","Ready")</x:f>
        <x:v>Ready</x:v>
      </x:c>
      <x:c r="D7847" s="6" t="str">
        <x:v>入</x:v>
      </x:c>
      <x:c r="E7847" s="6" t="str"/>
      <x:c r="F7847" s="6" t="str">
        <x:v>入聲一屋</x:v>
      </x:c>
      <x:c r="G7847" s="6" t="str">
        <x:v>Pingshui main list, Wikisource-derived DOCX</x:v>
      </x:c>
      <x:c r="H7847" s="6" t="str"/>
      <x:c r="I7847" s="6" t="str">
        <x:v>Pingshui main-list expansion; 詞 entries ignored</x:v>
      </x:c>
      <x:c r="J7847" s="6" t="str">
        <x:f>IF(B7847="","",IF(AND(ISNUMBER(SEARCH("平",B7847)),OR(ISNUMBER(SEARCH("上",B7847)),ISNUMBER(SEARCH("去",B7847)),ISNUMBER(SEARCH("入",B7847)))),"Ambiguous",IF(ISNUMBER(SEARCH("平",B7847)),"平","仄")))</x:f>
        <x:v>仄</x:v>
      </x:c>
      <x:c r="K7847" s="6" t="str">
        <x:f>IF(D7847="","",IF(AND(ISNUMBER(SEARCH("平",D7847)),OR(ISNUMBER(SEARCH("上",D7847)),ISNUMBER(SEARCH("去",D7847)),ISNUMBER(SEARCH("入",D7847)))),"Ambiguous",IF(ISNUMBER(SEARCH("平",D7847)),"平","仄")))</x:f>
        <x:v>仄</x:v>
      </x:c>
      <x:c r="L7847" s="7" t="str">
        <x:v>Pingshui main list expansion</x:v>
      </x:c>
    </x:row>
    <x:row r="7848">
      <x:c r="A7848" s="5" t="str">
        <x:v>蟉</x:v>
      </x:c>
      <x:c r="B7848" s="6" t="str"/>
      <x:c r="C7848" s="6" t="str">
        <x:f>IF(B7848="","Needs decision","Ready")</x:f>
        <x:v>Needs decision</x:v>
      </x:c>
      <x:c r="D7848" s="6" t="str">
        <x:v>平/上</x:v>
      </x:c>
      <x:c r="E7848" s="6" t="str"/>
      <x:c r="F7848" s="6" t="str">
        <x:v>下平聲十一尤; 上聲二十五有</x:v>
      </x:c>
      <x:c r="G7848" s="6" t="str">
        <x:v>Pingshui main list, Wikisource-derived DOCX</x:v>
      </x:c>
      <x:c r="H7848" s="6" t="str"/>
      <x:c r="I7848" s="6" t="str">
        <x:v>Pingshui main-list expansion; 詞 entries ignored</x:v>
      </x:c>
      <x:c r="J7848" s="6" t="str">
        <x:f>IF(B7848="","",IF(AND(ISNUMBER(SEARCH("平",B7848)),OR(ISNUMBER(SEARCH("上",B7848)),ISNUMBER(SEARCH("去",B7848)),ISNUMBER(SEARCH("入",B7848)))),"Ambiguous",IF(ISNUMBER(SEARCH("平",B7848)),"平","仄")))</x:f>
      </x:c>
      <x:c r="K7848" s="6" t="str">
        <x:f>IF(D7848="","",IF(AND(ISNUMBER(SEARCH("平",D7848)),OR(ISNUMBER(SEARCH("上",D7848)),ISNUMBER(SEARCH("去",D7848)),ISNUMBER(SEARCH("入",D7848)))),"Ambiguous",IF(ISNUMBER(SEARCH("平",D7848)),"平","仄")))</x:f>
        <x:v>Ambiguous</x:v>
      </x:c>
      <x:c r="L7848" s="7" t="str">
        <x:v>Pingshui main list expansion</x:v>
      </x:c>
    </x:row>
    <x:row r="7849">
      <x:c r="A7849" s="5" t="str">
        <x:v>蟜</x:v>
      </x:c>
      <x:c r="B7849" s="6" t="str">
        <x:v>上</x:v>
      </x:c>
      <x:c r="C7849" s="6" t="str">
        <x:f>IF(B7849="","Needs decision","Ready")</x:f>
        <x:v>Ready</x:v>
      </x:c>
      <x:c r="D7849" s="6" t="str">
        <x:v>上</x:v>
      </x:c>
      <x:c r="E7849" s="6" t="str"/>
      <x:c r="F7849" s="6" t="str">
        <x:v>上聲十七篠</x:v>
      </x:c>
      <x:c r="G7849" s="6" t="str">
        <x:v>Pingshui main list, Wikisource-derived DOCX</x:v>
      </x:c>
      <x:c r="H7849" s="6" t="str"/>
      <x:c r="I7849" s="6" t="str">
        <x:v>Pingshui main-list expansion; 詞 entries ignored</x:v>
      </x:c>
      <x:c r="J7849" s="6" t="str">
        <x:f>IF(B7849="","",IF(AND(ISNUMBER(SEARCH("平",B7849)),OR(ISNUMBER(SEARCH("上",B7849)),ISNUMBER(SEARCH("去",B7849)),ISNUMBER(SEARCH("入",B7849)))),"Ambiguous",IF(ISNUMBER(SEARCH("平",B7849)),"平","仄")))</x:f>
        <x:v>仄</x:v>
      </x:c>
      <x:c r="K7849" s="6" t="str">
        <x:f>IF(D7849="","",IF(AND(ISNUMBER(SEARCH("平",D7849)),OR(ISNUMBER(SEARCH("上",D7849)),ISNUMBER(SEARCH("去",D7849)),ISNUMBER(SEARCH("入",D7849)))),"Ambiguous",IF(ISNUMBER(SEARCH("平",D7849)),"平","仄")))</x:f>
        <x:v>仄</x:v>
      </x:c>
      <x:c r="L7849" s="7" t="str">
        <x:v>Pingshui main list expansion</x:v>
      </x:c>
    </x:row>
    <x:row r="7850">
      <x:c r="A7850" s="5" t="str">
        <x:v>蟧</x:v>
      </x:c>
      <x:c r="B7850" s="6" t="str">
        <x:v>平</x:v>
      </x:c>
      <x:c r="C7850" s="6" t="str">
        <x:f>IF(B7850="","Needs decision","Ready")</x:f>
        <x:v>Ready</x:v>
      </x:c>
      <x:c r="D7850" s="6" t="str">
        <x:v>平</x:v>
      </x:c>
      <x:c r="E7850" s="6" t="str"/>
      <x:c r="F7850" s="6" t="str">
        <x:v>下平聲四豪</x:v>
      </x:c>
      <x:c r="G7850" s="6" t="str">
        <x:v>Pingshui main list, Wikisource-derived DOCX</x:v>
      </x:c>
      <x:c r="H7850" s="6" t="str"/>
      <x:c r="I7850" s="6" t="str">
        <x:v>Pingshui main-list expansion; 詞 entries ignored</x:v>
      </x:c>
      <x:c r="J7850" s="6" t="str">
        <x:f>IF(B7850="","",IF(AND(ISNUMBER(SEARCH("平",B7850)),OR(ISNUMBER(SEARCH("上",B7850)),ISNUMBER(SEARCH("去",B7850)),ISNUMBER(SEARCH("入",B7850)))),"Ambiguous",IF(ISNUMBER(SEARCH("平",B7850)),"平","仄")))</x:f>
        <x:v>平</x:v>
      </x:c>
      <x:c r="K7850" s="6" t="str">
        <x:f>IF(D7850="","",IF(AND(ISNUMBER(SEARCH("平",D7850)),OR(ISNUMBER(SEARCH("上",D7850)),ISNUMBER(SEARCH("去",D7850)),ISNUMBER(SEARCH("入",D7850)))),"Ambiguous",IF(ISNUMBER(SEARCH("平",D7850)),"平","仄")))</x:f>
        <x:v>平</x:v>
      </x:c>
      <x:c r="L7850" s="7" t="str">
        <x:v>Pingshui main list expansion</x:v>
      </x:c>
    </x:row>
    <x:row r="7851">
      <x:c r="A7851" s="5" t="str">
        <x:v>蟨</x:v>
      </x:c>
      <x:c r="B7851" s="6" t="str">
        <x:v>入</x:v>
      </x:c>
      <x:c r="C7851" s="6" t="str">
        <x:f>IF(B7851="","Needs decision","Ready")</x:f>
        <x:v>Ready</x:v>
      </x:c>
      <x:c r="D7851" s="6" t="str">
        <x:v>入</x:v>
      </x:c>
      <x:c r="E7851" s="6" t="str"/>
      <x:c r="F7851" s="6" t="str">
        <x:v>入聲六月</x:v>
      </x:c>
      <x:c r="G7851" s="6" t="str">
        <x:v>Pingshui main list, Wikisource-derived DOCX</x:v>
      </x:c>
      <x:c r="H7851" s="6" t="str"/>
      <x:c r="I7851" s="6" t="str">
        <x:v>Pingshui main-list expansion; 詞 entries ignored</x:v>
      </x:c>
      <x:c r="J7851" s="6" t="str">
        <x:f>IF(B7851="","",IF(AND(ISNUMBER(SEARCH("平",B7851)),OR(ISNUMBER(SEARCH("上",B7851)),ISNUMBER(SEARCH("去",B7851)),ISNUMBER(SEARCH("入",B7851)))),"Ambiguous",IF(ISNUMBER(SEARCH("平",B7851)),"平","仄")))</x:f>
        <x:v>仄</x:v>
      </x:c>
      <x:c r="K7851" s="6" t="str">
        <x:f>IF(D7851="","",IF(AND(ISNUMBER(SEARCH("平",D7851)),OR(ISNUMBER(SEARCH("上",D7851)),ISNUMBER(SEARCH("去",D7851)),ISNUMBER(SEARCH("入",D7851)))),"Ambiguous",IF(ISNUMBER(SEARCH("平",D7851)),"平","仄")))</x:f>
        <x:v>仄</x:v>
      </x:c>
      <x:c r="L7851" s="7" t="str">
        <x:v>Pingshui main list expansion</x:v>
      </x:c>
    </x:row>
    <x:row r="7852">
      <x:c r="A7852" s="5" t="str">
        <x:v>蟫</x:v>
      </x:c>
      <x:c r="B7852" s="6" t="str">
        <x:v>平</x:v>
      </x:c>
      <x:c r="C7852" s="6" t="str">
        <x:f>IF(B7852="","Needs decision","Ready")</x:f>
        <x:v>Ready</x:v>
      </x:c>
      <x:c r="D7852" s="6" t="str">
        <x:v>平</x:v>
      </x:c>
      <x:c r="E7852" s="6" t="str"/>
      <x:c r="F7852" s="6" t="str">
        <x:v>下平聲十二侵; 下平聲十三覃</x:v>
      </x:c>
      <x:c r="G7852" s="6" t="str">
        <x:v>Pingshui main list, Wikisource-derived DOCX</x:v>
      </x:c>
      <x:c r="H7852" s="6" t="str"/>
      <x:c r="I7852" s="6" t="str">
        <x:v>Pingshui main-list expansion; 詞 entries ignored</x:v>
      </x:c>
      <x:c r="J7852" s="6" t="str">
        <x:f>IF(B7852="","",IF(AND(ISNUMBER(SEARCH("平",B7852)),OR(ISNUMBER(SEARCH("上",B7852)),ISNUMBER(SEARCH("去",B7852)),ISNUMBER(SEARCH("入",B7852)))),"Ambiguous",IF(ISNUMBER(SEARCH("平",B7852)),"平","仄")))</x:f>
        <x:v>平</x:v>
      </x:c>
      <x:c r="K7852" s="6" t="str">
        <x:f>IF(D7852="","",IF(AND(ISNUMBER(SEARCH("平",D7852)),OR(ISNUMBER(SEARCH("上",D7852)),ISNUMBER(SEARCH("去",D7852)),ISNUMBER(SEARCH("入",D7852)))),"Ambiguous",IF(ISNUMBER(SEARCH("平",D7852)),"平","仄")))</x:f>
        <x:v>平</x:v>
      </x:c>
      <x:c r="L7852" s="7" t="str">
        <x:v>Pingshui main list expansion</x:v>
      </x:c>
    </x:row>
    <x:row r="7853">
      <x:c r="A7853" s="5" t="str">
        <x:v>蟯</x:v>
      </x:c>
      <x:c r="B7853" s="6" t="str">
        <x:v>平</x:v>
      </x:c>
      <x:c r="C7853" s="6" t="str">
        <x:f>IF(B7853="","Needs decision","Ready")</x:f>
        <x:v>Ready</x:v>
      </x:c>
      <x:c r="D7853" s="6" t="str">
        <x:v>平</x:v>
      </x:c>
      <x:c r="E7853" s="6" t="str"/>
      <x:c r="F7853" s="6" t="str">
        <x:v>下平聲二蕭</x:v>
      </x:c>
      <x:c r="G7853" s="6" t="str">
        <x:v>Pingshui main list, Wikisource-derived DOCX</x:v>
      </x:c>
      <x:c r="H7853" s="6" t="str"/>
      <x:c r="I7853" s="6" t="str">
        <x:v>Pingshui main-list expansion; 詞 entries ignored</x:v>
      </x:c>
      <x:c r="J7853" s="6" t="str">
        <x:f>IF(B7853="","",IF(AND(ISNUMBER(SEARCH("平",B7853)),OR(ISNUMBER(SEARCH("上",B7853)),ISNUMBER(SEARCH("去",B7853)),ISNUMBER(SEARCH("入",B7853)))),"Ambiguous",IF(ISNUMBER(SEARCH("平",B7853)),"平","仄")))</x:f>
        <x:v>平</x:v>
      </x:c>
      <x:c r="K7853" s="6" t="str">
        <x:f>IF(D7853="","",IF(AND(ISNUMBER(SEARCH("平",D7853)),OR(ISNUMBER(SEARCH("上",D7853)),ISNUMBER(SEARCH("去",D7853)),ISNUMBER(SEARCH("入",D7853)))),"Ambiguous",IF(ISNUMBER(SEARCH("平",D7853)),"平","仄")))</x:f>
        <x:v>平</x:v>
      </x:c>
      <x:c r="L7853" s="7" t="str">
        <x:v>Pingshui main list expansion</x:v>
      </x:c>
    </x:row>
    <x:row r="7854">
      <x:c r="A7854" s="5" t="str">
        <x:v>蟶</x:v>
      </x:c>
      <x:c r="B7854" s="6" t="str">
        <x:v>平</x:v>
      </x:c>
      <x:c r="C7854" s="6" t="str">
        <x:f>IF(B7854="","Needs decision","Ready")</x:f>
        <x:v>Ready</x:v>
      </x:c>
      <x:c r="D7854" s="6" t="str">
        <x:v>平</x:v>
      </x:c>
      <x:c r="E7854" s="6" t="str"/>
      <x:c r="F7854" s="6" t="str">
        <x:v>下平聲八庚</x:v>
      </x:c>
      <x:c r="G7854" s="6" t="str">
        <x:v>Pingshui main list, Wikisource-derived DOCX</x:v>
      </x:c>
      <x:c r="H7854" s="6" t="str"/>
      <x:c r="I7854" s="6" t="str">
        <x:v>Pingshui main-list expansion; 詞 entries ignored</x:v>
      </x:c>
      <x:c r="J7854" s="6" t="str">
        <x:f>IF(B7854="","",IF(AND(ISNUMBER(SEARCH("平",B7854)),OR(ISNUMBER(SEARCH("上",B7854)),ISNUMBER(SEARCH("去",B7854)),ISNUMBER(SEARCH("入",B7854)))),"Ambiguous",IF(ISNUMBER(SEARCH("平",B7854)),"平","仄")))</x:f>
        <x:v>平</x:v>
      </x:c>
      <x:c r="K7854" s="6" t="str">
        <x:f>IF(D7854="","",IF(AND(ISNUMBER(SEARCH("平",D7854)),OR(ISNUMBER(SEARCH("上",D7854)),ISNUMBER(SEARCH("去",D7854)),ISNUMBER(SEARCH("入",D7854)))),"Ambiguous",IF(ISNUMBER(SEARCH("平",D7854)),"平","仄")))</x:f>
        <x:v>平</x:v>
      </x:c>
      <x:c r="L7854" s="7" t="str">
        <x:v>Pingshui main list expansion</x:v>
      </x:c>
    </x:row>
    <x:row r="7855">
      <x:c r="A7855" s="5" t="str">
        <x:v>蠈</x:v>
      </x:c>
      <x:c r="B7855" s="6" t="str">
        <x:v>入</x:v>
      </x:c>
      <x:c r="C7855" s="6" t="str">
        <x:f>IF(B7855="","Needs decision","Ready")</x:f>
        <x:v>Ready</x:v>
      </x:c>
      <x:c r="D7855" s="6" t="str">
        <x:v>入</x:v>
      </x:c>
      <x:c r="E7855" s="6" t="str"/>
      <x:c r="F7855" s="6" t="str">
        <x:v>入聲十三職</x:v>
      </x:c>
      <x:c r="G7855" s="6" t="str">
        <x:v>Pingshui main list, Wikisource-derived DOCX</x:v>
      </x:c>
      <x:c r="H7855" s="6" t="str"/>
      <x:c r="I7855" s="6" t="str">
        <x:v>Pingshui main-list expansion; 詞 entries ignored</x:v>
      </x:c>
      <x:c r="J7855" s="6" t="str">
        <x:f>IF(B7855="","",IF(AND(ISNUMBER(SEARCH("平",B7855)),OR(ISNUMBER(SEARCH("上",B7855)),ISNUMBER(SEARCH("去",B7855)),ISNUMBER(SEARCH("入",B7855)))),"Ambiguous",IF(ISNUMBER(SEARCH("平",B7855)),"平","仄")))</x:f>
        <x:v>仄</x:v>
      </x:c>
      <x:c r="K7855" s="6" t="str">
        <x:f>IF(D7855="","",IF(AND(ISNUMBER(SEARCH("平",D7855)),OR(ISNUMBER(SEARCH("上",D7855)),ISNUMBER(SEARCH("去",D7855)),ISNUMBER(SEARCH("入",D7855)))),"Ambiguous",IF(ISNUMBER(SEARCH("平",D7855)),"平","仄")))</x:f>
        <x:v>仄</x:v>
      </x:c>
      <x:c r="L7855" s="7" t="str">
        <x:v>Pingshui main list expansion</x:v>
      </x:c>
    </x:row>
    <x:row r="7856">
      <x:c r="A7856" s="5" t="str">
        <x:v>蠉</x:v>
      </x:c>
      <x:c r="B7856" s="6" t="str">
        <x:v>平</x:v>
      </x:c>
      <x:c r="C7856" s="6" t="str">
        <x:f>IF(B7856="","Needs decision","Ready")</x:f>
        <x:v>Ready</x:v>
      </x:c>
      <x:c r="D7856" s="6" t="str">
        <x:v>平</x:v>
      </x:c>
      <x:c r="E7856" s="6" t="str"/>
      <x:c r="F7856" s="6" t="str">
        <x:v>下平聲一先</x:v>
      </x:c>
      <x:c r="G7856" s="6" t="str">
        <x:v>Pingshui main list, Wikisource-derived DOCX</x:v>
      </x:c>
      <x:c r="H7856" s="6" t="str"/>
      <x:c r="I7856" s="6" t="str">
        <x:v>Pingshui main-list expansion; 詞 entries ignored</x:v>
      </x:c>
      <x:c r="J7856" s="6" t="str">
        <x:f>IF(B7856="","",IF(AND(ISNUMBER(SEARCH("平",B7856)),OR(ISNUMBER(SEARCH("上",B7856)),ISNUMBER(SEARCH("去",B7856)),ISNUMBER(SEARCH("入",B7856)))),"Ambiguous",IF(ISNUMBER(SEARCH("平",B7856)),"平","仄")))</x:f>
        <x:v>平</x:v>
      </x:c>
      <x:c r="K7856" s="6" t="str">
        <x:f>IF(D7856="","",IF(AND(ISNUMBER(SEARCH("平",D7856)),OR(ISNUMBER(SEARCH("上",D7856)),ISNUMBER(SEARCH("去",D7856)),ISNUMBER(SEARCH("入",D7856)))),"Ambiguous",IF(ISNUMBER(SEARCH("平",D7856)),"平","仄")))</x:f>
        <x:v>平</x:v>
      </x:c>
      <x:c r="L7856" s="7" t="str">
        <x:v>Pingshui main list expansion</x:v>
      </x:c>
    </x:row>
    <x:row r="7857">
      <x:c r="A7857" s="5" t="str">
        <x:v>蠊</x:v>
      </x:c>
      <x:c r="B7857" s="6" t="str">
        <x:v>平</x:v>
      </x:c>
      <x:c r="C7857" s="6" t="str">
        <x:f>IF(B7857="","Needs decision","Ready")</x:f>
        <x:v>Ready</x:v>
      </x:c>
      <x:c r="D7857" s="6" t="str">
        <x:v>平</x:v>
      </x:c>
      <x:c r="E7857" s="6" t="str"/>
      <x:c r="F7857" s="6" t="str">
        <x:v>下平聲十四鹽</x:v>
      </x:c>
      <x:c r="G7857" s="6" t="str">
        <x:v>Pingshui main list, Wikisource-derived DOCX</x:v>
      </x:c>
      <x:c r="H7857" s="6" t="str"/>
      <x:c r="I7857" s="6" t="str">
        <x:v>Pingshui main-list expansion; 詞 entries ignored</x:v>
      </x:c>
      <x:c r="J7857" s="6" t="str">
        <x:f>IF(B7857="","",IF(AND(ISNUMBER(SEARCH("平",B7857)),OR(ISNUMBER(SEARCH("上",B7857)),ISNUMBER(SEARCH("去",B7857)),ISNUMBER(SEARCH("入",B7857)))),"Ambiguous",IF(ISNUMBER(SEARCH("平",B7857)),"平","仄")))</x:f>
        <x:v>平</x:v>
      </x:c>
      <x:c r="K7857" s="6" t="str">
        <x:f>IF(D7857="","",IF(AND(ISNUMBER(SEARCH("平",D7857)),OR(ISNUMBER(SEARCH("上",D7857)),ISNUMBER(SEARCH("去",D7857)),ISNUMBER(SEARCH("入",D7857)))),"Ambiguous",IF(ISNUMBER(SEARCH("平",D7857)),"平","仄")))</x:f>
        <x:v>平</x:v>
      </x:c>
      <x:c r="L7857" s="7" t="str">
        <x:v>Pingshui main list expansion</x:v>
      </x:c>
    </x:row>
    <x:row r="7858">
      <x:c r="A7858" s="5" t="str">
        <x:v>蠋</x:v>
      </x:c>
      <x:c r="B7858" s="6" t="str">
        <x:v>入</x:v>
      </x:c>
      <x:c r="C7858" s="6" t="str">
        <x:f>IF(B7858="","Needs decision","Ready")</x:f>
        <x:v>Ready</x:v>
      </x:c>
      <x:c r="D7858" s="6" t="str">
        <x:v>入</x:v>
      </x:c>
      <x:c r="E7858" s="6" t="str"/>
      <x:c r="F7858" s="6" t="str">
        <x:v>入聲二沃</x:v>
      </x:c>
      <x:c r="G7858" s="6" t="str">
        <x:v>Pingshui main list, Wikisource-derived DOCX</x:v>
      </x:c>
      <x:c r="H7858" s="6" t="str"/>
      <x:c r="I7858" s="6" t="str">
        <x:v>Pingshui main-list expansion; 詞 entries ignored</x:v>
      </x:c>
      <x:c r="J7858" s="6" t="str">
        <x:f>IF(B7858="","",IF(AND(ISNUMBER(SEARCH("平",B7858)),OR(ISNUMBER(SEARCH("上",B7858)),ISNUMBER(SEARCH("去",B7858)),ISNUMBER(SEARCH("入",B7858)))),"Ambiguous",IF(ISNUMBER(SEARCH("平",B7858)),"平","仄")))</x:f>
        <x:v>仄</x:v>
      </x:c>
      <x:c r="K7858" s="6" t="str">
        <x:f>IF(D7858="","",IF(AND(ISNUMBER(SEARCH("平",D7858)),OR(ISNUMBER(SEARCH("上",D7858)),ISNUMBER(SEARCH("去",D7858)),ISNUMBER(SEARCH("入",D7858)))),"Ambiguous",IF(ISNUMBER(SEARCH("平",D7858)),"平","仄")))</x:f>
        <x:v>仄</x:v>
      </x:c>
      <x:c r="L7858" s="7" t="str">
        <x:v>Pingshui main list expansion</x:v>
      </x:c>
    </x:row>
    <x:row r="7859">
      <x:c r="A7859" s="5" t="str">
        <x:v>蠐</x:v>
      </x:c>
      <x:c r="B7859" s="6" t="str">
        <x:v>平</x:v>
      </x:c>
      <x:c r="C7859" s="6" t="str">
        <x:f>IF(B7859="","Needs decision","Ready")</x:f>
        <x:v>Ready</x:v>
      </x:c>
      <x:c r="D7859" s="6" t="str">
        <x:v>平</x:v>
      </x:c>
      <x:c r="E7859" s="6" t="str"/>
      <x:c r="F7859" s="6" t="str">
        <x:v>上平聲八齊</x:v>
      </x:c>
      <x:c r="G7859" s="6" t="str">
        <x:v>Pingshui main list, Wikisource-derived DOCX</x:v>
      </x:c>
      <x:c r="H7859" s="6" t="str"/>
      <x:c r="I7859" s="6" t="str">
        <x:v>Pingshui main-list expansion; 詞 entries ignored</x:v>
      </x:c>
      <x:c r="J7859" s="6" t="str">
        <x:f>IF(B7859="","",IF(AND(ISNUMBER(SEARCH("平",B7859)),OR(ISNUMBER(SEARCH("上",B7859)),ISNUMBER(SEARCH("去",B7859)),ISNUMBER(SEARCH("入",B7859)))),"Ambiguous",IF(ISNUMBER(SEARCH("平",B7859)),"平","仄")))</x:f>
        <x:v>平</x:v>
      </x:c>
      <x:c r="K7859" s="6" t="str">
        <x:f>IF(D7859="","",IF(AND(ISNUMBER(SEARCH("平",D7859)),OR(ISNUMBER(SEARCH("上",D7859)),ISNUMBER(SEARCH("去",D7859)),ISNUMBER(SEARCH("入",D7859)))),"Ambiguous",IF(ISNUMBER(SEARCH("平",D7859)),"平","仄")))</x:f>
        <x:v>平</x:v>
      </x:c>
      <x:c r="L7859" s="7" t="str">
        <x:v>Pingshui main list expansion</x:v>
      </x:c>
    </x:row>
    <x:row r="7860">
      <x:c r="A7860" s="5" t="str">
        <x:v>蠑</x:v>
      </x:c>
      <x:c r="B7860" s="6" t="str">
        <x:v>平</x:v>
      </x:c>
      <x:c r="C7860" s="6" t="str">
        <x:f>IF(B7860="","Needs decision","Ready")</x:f>
        <x:v>Ready</x:v>
      </x:c>
      <x:c r="D7860" s="6" t="str">
        <x:v>平</x:v>
      </x:c>
      <x:c r="E7860" s="6" t="str"/>
      <x:c r="F7860" s="6" t="str">
        <x:v>下平聲八庚</x:v>
      </x:c>
      <x:c r="G7860" s="6" t="str">
        <x:v>Pingshui main list, Wikisource-derived DOCX</x:v>
      </x:c>
      <x:c r="H7860" s="6" t="str"/>
      <x:c r="I7860" s="6" t="str">
        <x:v>Pingshui main-list expansion; 詞 entries ignored</x:v>
      </x:c>
      <x:c r="J7860" s="6" t="str">
        <x:f>IF(B7860="","",IF(AND(ISNUMBER(SEARCH("平",B7860)),OR(ISNUMBER(SEARCH("上",B7860)),ISNUMBER(SEARCH("去",B7860)),ISNUMBER(SEARCH("入",B7860)))),"Ambiguous",IF(ISNUMBER(SEARCH("平",B7860)),"平","仄")))</x:f>
        <x:v>平</x:v>
      </x:c>
      <x:c r="K7860" s="6" t="str">
        <x:f>IF(D7860="","",IF(AND(ISNUMBER(SEARCH("平",D7860)),OR(ISNUMBER(SEARCH("上",D7860)),ISNUMBER(SEARCH("去",D7860)),ISNUMBER(SEARCH("入",D7860)))),"Ambiguous",IF(ISNUMBER(SEARCH("平",D7860)),"平","仄")))</x:f>
        <x:v>平</x:v>
      </x:c>
      <x:c r="L7860" s="7" t="str">
        <x:v>Pingshui main list expansion</x:v>
      </x:c>
    </x:row>
    <x:row r="7861">
      <x:c r="A7861" s="5" t="str">
        <x:v>蠙</x:v>
      </x:c>
      <x:c r="B7861" s="6" t="str">
        <x:v>平</x:v>
      </x:c>
      <x:c r="C7861" s="6" t="str">
        <x:f>IF(B7861="","Needs decision","Ready")</x:f>
        <x:v>Ready</x:v>
      </x:c>
      <x:c r="D7861" s="6" t="str">
        <x:v>平</x:v>
      </x:c>
      <x:c r="E7861" s="6" t="str"/>
      <x:c r="F7861" s="6" t="str">
        <x:v>上平聲十一真; 下平聲一先</x:v>
      </x:c>
      <x:c r="G7861" s="6" t="str">
        <x:v>Pingshui main list, Wikisource-derived DOCX</x:v>
      </x:c>
      <x:c r="H7861" s="6" t="str"/>
      <x:c r="I7861" s="6" t="str">
        <x:v>Pingshui main-list expansion; 詞 entries ignored</x:v>
      </x:c>
      <x:c r="J7861" s="6" t="str">
        <x:f>IF(B7861="","",IF(AND(ISNUMBER(SEARCH("平",B7861)),OR(ISNUMBER(SEARCH("上",B7861)),ISNUMBER(SEARCH("去",B7861)),ISNUMBER(SEARCH("入",B7861)))),"Ambiguous",IF(ISNUMBER(SEARCH("平",B7861)),"平","仄")))</x:f>
        <x:v>平</x:v>
      </x:c>
      <x:c r="K7861" s="6" t="str">
        <x:f>IF(D7861="","",IF(AND(ISNUMBER(SEARCH("平",D7861)),OR(ISNUMBER(SEARCH("上",D7861)),ISNUMBER(SEARCH("去",D7861)),ISNUMBER(SEARCH("入",D7861)))),"Ambiguous",IF(ISNUMBER(SEARCH("平",D7861)),"平","仄")))</x:f>
        <x:v>平</x:v>
      </x:c>
      <x:c r="L7861" s="7" t="str">
        <x:v>Pingshui main list expansion</x:v>
      </x:c>
    </x:row>
    <x:row r="7862">
      <x:c r="A7862" s="5" t="str">
        <x:v>蠜</x:v>
      </x:c>
      <x:c r="B7862" s="6" t="str">
        <x:v>平</x:v>
      </x:c>
      <x:c r="C7862" s="6" t="str">
        <x:f>IF(B7862="","Needs decision","Ready")</x:f>
        <x:v>Ready</x:v>
      </x:c>
      <x:c r="D7862" s="6" t="str">
        <x:v>平</x:v>
      </x:c>
      <x:c r="E7862" s="6" t="str"/>
      <x:c r="F7862" s="6" t="str">
        <x:v>上平聲十三元</x:v>
      </x:c>
      <x:c r="G7862" s="6" t="str">
        <x:v>Pingshui main list, Wikisource-derived DOCX</x:v>
      </x:c>
      <x:c r="H7862" s="6" t="str"/>
      <x:c r="I7862" s="6" t="str">
        <x:v>Pingshui main-list expansion; 詞 entries ignored</x:v>
      </x:c>
      <x:c r="J7862" s="6" t="str">
        <x:f>IF(B7862="","",IF(AND(ISNUMBER(SEARCH("平",B7862)),OR(ISNUMBER(SEARCH("上",B7862)),ISNUMBER(SEARCH("去",B7862)),ISNUMBER(SEARCH("入",B7862)))),"Ambiguous",IF(ISNUMBER(SEARCH("平",B7862)),"平","仄")))</x:f>
        <x:v>平</x:v>
      </x:c>
      <x:c r="K7862" s="6" t="str">
        <x:f>IF(D7862="","",IF(AND(ISNUMBER(SEARCH("平",D7862)),OR(ISNUMBER(SEARCH("上",D7862)),ISNUMBER(SEARCH("去",D7862)),ISNUMBER(SEARCH("入",D7862)))),"Ambiguous",IF(ISNUMBER(SEARCH("平",D7862)),"平","仄")))</x:f>
        <x:v>平</x:v>
      </x:c>
      <x:c r="L7862" s="7" t="str">
        <x:v>Pingshui main list expansion</x:v>
      </x:c>
    </x:row>
    <x:row r="7863">
      <x:c r="A7863" s="5" t="str">
        <x:v>蠥</x:v>
      </x:c>
      <x:c r="B7863" s="6" t="str">
        <x:v>入</x:v>
      </x:c>
      <x:c r="C7863" s="6" t="str">
        <x:f>IF(B7863="","Needs decision","Ready")</x:f>
        <x:v>Ready</x:v>
      </x:c>
      <x:c r="D7863" s="6" t="str">
        <x:v>入</x:v>
      </x:c>
      <x:c r="E7863" s="6" t="str"/>
      <x:c r="F7863" s="6" t="str">
        <x:v>入聲九屑</x:v>
      </x:c>
      <x:c r="G7863" s="6" t="str">
        <x:v>Pingshui main list, Wikisource-derived DOCX</x:v>
      </x:c>
      <x:c r="H7863" s="6" t="str"/>
      <x:c r="I7863" s="6" t="str">
        <x:v>Pingshui main-list expansion; 詞 entries ignored</x:v>
      </x:c>
      <x:c r="J7863" s="6" t="str">
        <x:f>IF(B7863="","",IF(AND(ISNUMBER(SEARCH("平",B7863)),OR(ISNUMBER(SEARCH("上",B7863)),ISNUMBER(SEARCH("去",B7863)),ISNUMBER(SEARCH("入",B7863)))),"Ambiguous",IF(ISNUMBER(SEARCH("平",B7863)),"平","仄")))</x:f>
        <x:v>仄</x:v>
      </x:c>
      <x:c r="K7863" s="6" t="str">
        <x:f>IF(D7863="","",IF(AND(ISNUMBER(SEARCH("平",D7863)),OR(ISNUMBER(SEARCH("上",D7863)),ISNUMBER(SEARCH("去",D7863)),ISNUMBER(SEARCH("入",D7863)))),"Ambiguous",IF(ISNUMBER(SEARCH("平",D7863)),"平","仄")))</x:f>
        <x:v>仄</x:v>
      </x:c>
      <x:c r="L7863" s="7" t="str">
        <x:v>Pingshui main list expansion</x:v>
      </x:c>
    </x:row>
    <x:row r="7864">
      <x:c r="A7864" s="5" t="str">
        <x:v>蠩</x:v>
      </x:c>
      <x:c r="B7864" s="6" t="str">
        <x:v>平</x:v>
      </x:c>
      <x:c r="C7864" s="6" t="str">
        <x:f>IF(B7864="","Needs decision","Ready")</x:f>
        <x:v>Ready</x:v>
      </x:c>
      <x:c r="D7864" s="6" t="str">
        <x:v>平</x:v>
      </x:c>
      <x:c r="E7864" s="6" t="str"/>
      <x:c r="F7864" s="6" t="str">
        <x:v>上平聲六魚</x:v>
      </x:c>
      <x:c r="G7864" s="6" t="str">
        <x:v>Pingshui main list, Wikisource-derived DOCX</x:v>
      </x:c>
      <x:c r="H7864" s="6" t="str"/>
      <x:c r="I7864" s="6" t="str">
        <x:v>Pingshui main-list expansion; 詞 entries ignored</x:v>
      </x:c>
      <x:c r="J7864" s="6" t="str">
        <x:f>IF(B7864="","",IF(AND(ISNUMBER(SEARCH("平",B7864)),OR(ISNUMBER(SEARCH("上",B7864)),ISNUMBER(SEARCH("去",B7864)),ISNUMBER(SEARCH("入",B7864)))),"Ambiguous",IF(ISNUMBER(SEARCH("平",B7864)),"平","仄")))</x:f>
        <x:v>平</x:v>
      </x:c>
      <x:c r="K7864" s="6" t="str">
        <x:f>IF(D7864="","",IF(AND(ISNUMBER(SEARCH("平",D7864)),OR(ISNUMBER(SEARCH("上",D7864)),ISNUMBER(SEARCH("去",D7864)),ISNUMBER(SEARCH("入",D7864)))),"Ambiguous",IF(ISNUMBER(SEARCH("平",D7864)),"平","仄")))</x:f>
        <x:v>平</x:v>
      </x:c>
      <x:c r="L7864" s="7" t="str">
        <x:v>Pingshui main list expansion</x:v>
      </x:c>
    </x:row>
    <x:row r="7865">
      <x:c r="A7865" s="5" t="str">
        <x:v>蠯</x:v>
      </x:c>
      <x:c r="B7865" s="6" t="str">
        <x:v>平</x:v>
      </x:c>
      <x:c r="C7865" s="6" t="str">
        <x:f>IF(B7865="","Needs decision","Ready")</x:f>
        <x:v>Ready</x:v>
      </x:c>
      <x:c r="D7865" s="6" t="str">
        <x:v>平</x:v>
      </x:c>
      <x:c r="E7865" s="6" t="str"/>
      <x:c r="F7865" s="6" t="str">
        <x:v>上平聲四支</x:v>
      </x:c>
      <x:c r="G7865" s="6" t="str">
        <x:v>Pingshui main list, Wikisource-derived DOCX</x:v>
      </x:c>
      <x:c r="H7865" s="6" t="str"/>
      <x:c r="I7865" s="6" t="str">
        <x:v>Pingshui main-list expansion; 詞 entries ignored</x:v>
      </x:c>
      <x:c r="J7865" s="6" t="str">
        <x:f>IF(B7865="","",IF(AND(ISNUMBER(SEARCH("平",B7865)),OR(ISNUMBER(SEARCH("上",B7865)),ISNUMBER(SEARCH("去",B7865)),ISNUMBER(SEARCH("入",B7865)))),"Ambiguous",IF(ISNUMBER(SEARCH("平",B7865)),"平","仄")))</x:f>
        <x:v>平</x:v>
      </x:c>
      <x:c r="K7865" s="6" t="str">
        <x:f>IF(D7865="","",IF(AND(ISNUMBER(SEARCH("平",D7865)),OR(ISNUMBER(SEARCH("上",D7865)),ISNUMBER(SEARCH("去",D7865)),ISNUMBER(SEARCH("入",D7865)))),"Ambiguous",IF(ISNUMBER(SEARCH("平",D7865)),"平","仄")))</x:f>
        <x:v>平</x:v>
      </x:c>
      <x:c r="L7865" s="7" t="str">
        <x:v>Pingshui main list expansion</x:v>
      </x:c>
    </x:row>
    <x:row r="7866">
      <x:c r="A7866" s="5" t="str">
        <x:v>衃</x:v>
      </x:c>
      <x:c r="B7866" s="6" t="str">
        <x:v>平</x:v>
      </x:c>
      <x:c r="C7866" s="6" t="str">
        <x:f>IF(B7866="","Needs decision","Ready")</x:f>
        <x:v>Ready</x:v>
      </x:c>
      <x:c r="D7866" s="6" t="str">
        <x:v>平</x:v>
      </x:c>
      <x:c r="E7866" s="6" t="str"/>
      <x:c r="F7866" s="6" t="str">
        <x:v>上平聲十灰</x:v>
      </x:c>
      <x:c r="G7866" s="6" t="str">
        <x:v>Pingshui main list, Wikisource-derived DOCX</x:v>
      </x:c>
      <x:c r="H7866" s="6" t="str"/>
      <x:c r="I7866" s="6" t="str">
        <x:v>Pingshui main-list expansion; 詞 entries ignored</x:v>
      </x:c>
      <x:c r="J7866" s="6" t="str">
        <x:f>IF(B7866="","",IF(AND(ISNUMBER(SEARCH("平",B7866)),OR(ISNUMBER(SEARCH("上",B7866)),ISNUMBER(SEARCH("去",B7866)),ISNUMBER(SEARCH("入",B7866)))),"Ambiguous",IF(ISNUMBER(SEARCH("平",B7866)),"平","仄")))</x:f>
        <x:v>平</x:v>
      </x:c>
      <x:c r="K7866" s="6" t="str">
        <x:f>IF(D7866="","",IF(AND(ISNUMBER(SEARCH("平",D7866)),OR(ISNUMBER(SEARCH("上",D7866)),ISNUMBER(SEARCH("去",D7866)),ISNUMBER(SEARCH("入",D7866)))),"Ambiguous",IF(ISNUMBER(SEARCH("平",D7866)),"平","仄")))</x:f>
        <x:v>平</x:v>
      </x:c>
      <x:c r="L7866" s="7" t="str">
        <x:v>Pingshui main list expansion</x:v>
      </x:c>
    </x:row>
    <x:row r="7867">
      <x:c r="A7867" s="5" t="str">
        <x:v>衈</x:v>
      </x:c>
      <x:c r="B7867" s="6" t="str">
        <x:v>去</x:v>
      </x:c>
      <x:c r="C7867" s="6" t="str">
        <x:f>IF(B7867="","Needs decision","Ready")</x:f>
        <x:v>Ready</x:v>
      </x:c>
      <x:c r="D7867" s="6" t="str">
        <x:v>去</x:v>
      </x:c>
      <x:c r="E7867" s="6" t="str"/>
      <x:c r="F7867" s="6" t="str">
        <x:v>去聲四寘</x:v>
      </x:c>
      <x:c r="G7867" s="6" t="str">
        <x:v>Pingshui main list, Wikisource-derived DOCX</x:v>
      </x:c>
      <x:c r="H7867" s="6" t="str"/>
      <x:c r="I7867" s="6" t="str">
        <x:v>Pingshui main-list expansion; 詞 entries ignored</x:v>
      </x:c>
      <x:c r="J7867" s="6" t="str">
        <x:f>IF(B7867="","",IF(AND(ISNUMBER(SEARCH("平",B7867)),OR(ISNUMBER(SEARCH("上",B7867)),ISNUMBER(SEARCH("去",B7867)),ISNUMBER(SEARCH("入",B7867)))),"Ambiguous",IF(ISNUMBER(SEARCH("平",B7867)),"平","仄")))</x:f>
        <x:v>仄</x:v>
      </x:c>
      <x:c r="K7867" s="6" t="str">
        <x:f>IF(D7867="","",IF(AND(ISNUMBER(SEARCH("平",D7867)),OR(ISNUMBER(SEARCH("上",D7867)),ISNUMBER(SEARCH("去",D7867)),ISNUMBER(SEARCH("入",D7867)))),"Ambiguous",IF(ISNUMBER(SEARCH("平",D7867)),"平","仄")))</x:f>
        <x:v>仄</x:v>
      </x:c>
      <x:c r="L7867" s="7" t="str">
        <x:v>Pingshui main list expansion</x:v>
      </x:c>
    </x:row>
    <x:row r="7868">
      <x:c r="A7868" s="5" t="str">
        <x:v>衊</x:v>
      </x:c>
      <x:c r="B7868" s="6" t="str">
        <x:v>入</x:v>
      </x:c>
      <x:c r="C7868" s="6" t="str">
        <x:f>IF(B7868="","Needs decision","Ready")</x:f>
        <x:v>Ready</x:v>
      </x:c>
      <x:c r="D7868" s="6" t="str">
        <x:v>入</x:v>
      </x:c>
      <x:c r="E7868" s="6" t="str"/>
      <x:c r="F7868" s="6" t="str">
        <x:v>入聲九屑</x:v>
      </x:c>
      <x:c r="G7868" s="6" t="str">
        <x:v>Pingshui main list, Wikisource-derived DOCX</x:v>
      </x:c>
      <x:c r="H7868" s="6" t="str"/>
      <x:c r="I7868" s="6" t="str">
        <x:v>Pingshui main-list expansion; 詞 entries ignored</x:v>
      </x:c>
      <x:c r="J7868" s="6" t="str">
        <x:f>IF(B7868="","",IF(AND(ISNUMBER(SEARCH("平",B7868)),OR(ISNUMBER(SEARCH("上",B7868)),ISNUMBER(SEARCH("去",B7868)),ISNUMBER(SEARCH("入",B7868)))),"Ambiguous",IF(ISNUMBER(SEARCH("平",B7868)),"平","仄")))</x:f>
        <x:v>仄</x:v>
      </x:c>
      <x:c r="K7868" s="6" t="str">
        <x:f>IF(D7868="","",IF(AND(ISNUMBER(SEARCH("平",D7868)),OR(ISNUMBER(SEARCH("上",D7868)),ISNUMBER(SEARCH("去",D7868)),ISNUMBER(SEARCH("入",D7868)))),"Ambiguous",IF(ISNUMBER(SEARCH("平",D7868)),"平","仄")))</x:f>
        <x:v>仄</x:v>
      </x:c>
      <x:c r="L7868" s="7" t="str">
        <x:v>Pingshui main list expansion</x:v>
      </x:c>
    </x:row>
    <x:row r="7869">
      <x:c r="A7869" s="5" t="str">
        <x:v>衋</x:v>
      </x:c>
      <x:c r="B7869" s="6" t="str">
        <x:v>入</x:v>
      </x:c>
      <x:c r="C7869" s="6" t="str">
        <x:f>IF(B7869="","Needs decision","Ready")</x:f>
        <x:v>Ready</x:v>
      </x:c>
      <x:c r="D7869" s="6" t="str">
        <x:v>入</x:v>
      </x:c>
      <x:c r="E7869" s="6" t="str"/>
      <x:c r="F7869" s="6" t="str">
        <x:v>入聲十三職</x:v>
      </x:c>
      <x:c r="G7869" s="6" t="str">
        <x:v>Pingshui main list, Wikisource-derived DOCX</x:v>
      </x:c>
      <x:c r="H7869" s="6" t="str"/>
      <x:c r="I7869" s="6" t="str">
        <x:v>Pingshui main-list expansion; 詞 entries ignored</x:v>
      </x:c>
      <x:c r="J7869" s="6" t="str">
        <x:f>IF(B7869="","",IF(AND(ISNUMBER(SEARCH("平",B7869)),OR(ISNUMBER(SEARCH("上",B7869)),ISNUMBER(SEARCH("去",B7869)),ISNUMBER(SEARCH("入",B7869)))),"Ambiguous",IF(ISNUMBER(SEARCH("平",B7869)),"平","仄")))</x:f>
        <x:v>仄</x:v>
      </x:c>
      <x:c r="K7869" s="6" t="str">
        <x:f>IF(D7869="","",IF(AND(ISNUMBER(SEARCH("平",D7869)),OR(ISNUMBER(SEARCH("上",D7869)),ISNUMBER(SEARCH("去",D7869)),ISNUMBER(SEARCH("入",D7869)))),"Ambiguous",IF(ISNUMBER(SEARCH("平",D7869)),"平","仄")))</x:f>
        <x:v>仄</x:v>
      </x:c>
      <x:c r="L7869" s="7" t="str">
        <x:v>Pingshui main list expansion</x:v>
      </x:c>
    </x:row>
    <x:row r="7870">
      <x:c r="A7870" s="5" t="str">
        <x:v>衕</x:v>
      </x:c>
      <x:c r="B7870" s="6" t="str">
        <x:v>平</x:v>
      </x:c>
      <x:c r="C7870" s="6" t="str">
        <x:f>IF(B7870="","Needs decision","Ready")</x:f>
        <x:v>Ready</x:v>
      </x:c>
      <x:c r="D7870" s="6" t="str">
        <x:v>平</x:v>
      </x:c>
      <x:c r="E7870" s="6" t="str"/>
      <x:c r="F7870" s="6" t="str">
        <x:v>上平聲一東</x:v>
      </x:c>
      <x:c r="G7870" s="6" t="str">
        <x:v>Pingshui main list, Wikisource-derived DOCX</x:v>
      </x:c>
      <x:c r="H7870" s="6" t="str"/>
      <x:c r="I7870" s="6" t="str">
        <x:v>Pingshui main-list expansion; 詞 entries ignored</x:v>
      </x:c>
      <x:c r="J7870" s="6" t="str">
        <x:f>IF(B7870="","",IF(AND(ISNUMBER(SEARCH("平",B7870)),OR(ISNUMBER(SEARCH("上",B7870)),ISNUMBER(SEARCH("去",B7870)),ISNUMBER(SEARCH("入",B7870)))),"Ambiguous",IF(ISNUMBER(SEARCH("平",B7870)),"平","仄")))</x:f>
        <x:v>平</x:v>
      </x:c>
      <x:c r="K7870" s="6" t="str">
        <x:f>IF(D7870="","",IF(AND(ISNUMBER(SEARCH("平",D7870)),OR(ISNUMBER(SEARCH("上",D7870)),ISNUMBER(SEARCH("去",D7870)),ISNUMBER(SEARCH("入",D7870)))),"Ambiguous",IF(ISNUMBER(SEARCH("平",D7870)),"平","仄")))</x:f>
        <x:v>平</x:v>
      </x:c>
      <x:c r="L7870" s="7" t="str">
        <x:v>Pingshui main list expansion</x:v>
      </x:c>
    </x:row>
    <x:row r="7871">
      <x:c r="A7871" s="5" t="str">
        <x:v>衙</x:v>
      </x:c>
      <x:c r="B7871" s="6" t="str"/>
      <x:c r="C7871" s="6" t="str">
        <x:f>IF(B7871="","Needs decision","Ready")</x:f>
        <x:v>Needs decision</x:v>
      </x:c>
      <x:c r="D7871" s="6" t="str">
        <x:v>平/上</x:v>
      </x:c>
      <x:c r="E7871" s="6" t="str"/>
      <x:c r="F7871" s="6" t="str">
        <x:v>上平聲六魚; 下平聲六麻; 上聲六語</x:v>
      </x:c>
      <x:c r="G7871" s="6" t="str">
        <x:v>Pingshui main list, Wikisource-derived DOCX</x:v>
      </x:c>
      <x:c r="H7871" s="6" t="str"/>
      <x:c r="I7871" s="6" t="str">
        <x:v>Pingshui main-list expansion; 詞 entries ignored</x:v>
      </x:c>
      <x:c r="J7871" s="6" t="str">
        <x:f>IF(B7871="","",IF(AND(ISNUMBER(SEARCH("平",B7871)),OR(ISNUMBER(SEARCH("上",B7871)),ISNUMBER(SEARCH("去",B7871)),ISNUMBER(SEARCH("入",B7871)))),"Ambiguous",IF(ISNUMBER(SEARCH("平",B7871)),"平","仄")))</x:f>
      </x:c>
      <x:c r="K7871" s="6" t="str">
        <x:f>IF(D7871="","",IF(AND(ISNUMBER(SEARCH("平",D7871)),OR(ISNUMBER(SEARCH("上",D7871)),ISNUMBER(SEARCH("去",D7871)),ISNUMBER(SEARCH("入",D7871)))),"Ambiguous",IF(ISNUMBER(SEARCH("平",D7871)),"平","仄")))</x:f>
        <x:v>Ambiguous</x:v>
      </x:c>
      <x:c r="L7871" s="7" t="str">
        <x:v>Pingshui main list expansion</x:v>
      </x:c>
    </x:row>
    <x:row r="7872">
      <x:c r="A7872" s="5" t="str">
        <x:v>衯</x:v>
      </x:c>
      <x:c r="B7872" s="6" t="str">
        <x:v>平</x:v>
      </x:c>
      <x:c r="C7872" s="6" t="str">
        <x:f>IF(B7872="","Needs decision","Ready")</x:f>
        <x:v>Ready</x:v>
      </x:c>
      <x:c r="D7872" s="6" t="str">
        <x:v>平</x:v>
      </x:c>
      <x:c r="E7872" s="6" t="str"/>
      <x:c r="F7872" s="6" t="str">
        <x:v>上平聲十二文</x:v>
      </x:c>
      <x:c r="G7872" s="6" t="str">
        <x:v>Pingshui main list, Wikisource-derived DOCX</x:v>
      </x:c>
      <x:c r="H7872" s="6" t="str"/>
      <x:c r="I7872" s="6" t="str">
        <x:v>Pingshui main-list expansion; 詞 entries ignored</x:v>
      </x:c>
      <x:c r="J7872" s="6" t="str">
        <x:f>IF(B7872="","",IF(AND(ISNUMBER(SEARCH("平",B7872)),OR(ISNUMBER(SEARCH("上",B7872)),ISNUMBER(SEARCH("去",B7872)),ISNUMBER(SEARCH("入",B7872)))),"Ambiguous",IF(ISNUMBER(SEARCH("平",B7872)),"平","仄")))</x:f>
        <x:v>平</x:v>
      </x:c>
      <x:c r="K7872" s="6" t="str">
        <x:f>IF(D7872="","",IF(AND(ISNUMBER(SEARCH("平",D7872)),OR(ISNUMBER(SEARCH("上",D7872)),ISNUMBER(SEARCH("去",D7872)),ISNUMBER(SEARCH("入",D7872)))),"Ambiguous",IF(ISNUMBER(SEARCH("平",D7872)),"平","仄")))</x:f>
        <x:v>平</x:v>
      </x:c>
      <x:c r="L7872" s="7" t="str">
        <x:v>Pingshui main list expansion</x:v>
      </x:c>
    </x:row>
    <x:row r="7873">
      <x:c r="A7873" s="5" t="str">
        <x:v>衴</x:v>
      </x:c>
      <x:c r="B7873" s="6" t="str">
        <x:v>上</x:v>
      </x:c>
      <x:c r="C7873" s="6" t="str">
        <x:f>IF(B7873="","Needs decision","Ready")</x:f>
        <x:v>Ready</x:v>
      </x:c>
      <x:c r="D7873" s="6" t="str">
        <x:v>上</x:v>
      </x:c>
      <x:c r="E7873" s="6" t="str"/>
      <x:c r="F7873" s="6" t="str">
        <x:v>上聲二十七感</x:v>
      </x:c>
      <x:c r="G7873" s="6" t="str">
        <x:v>Pingshui main list, Wikisource-derived DOCX</x:v>
      </x:c>
      <x:c r="H7873" s="6" t="str"/>
      <x:c r="I7873" s="6" t="str">
        <x:v>Pingshui main-list expansion; 詞 entries ignored</x:v>
      </x:c>
      <x:c r="J7873" s="6" t="str">
        <x:f>IF(B7873="","",IF(AND(ISNUMBER(SEARCH("平",B7873)),OR(ISNUMBER(SEARCH("上",B7873)),ISNUMBER(SEARCH("去",B7873)),ISNUMBER(SEARCH("入",B7873)))),"Ambiguous",IF(ISNUMBER(SEARCH("平",B7873)),"平","仄")))</x:f>
        <x:v>仄</x:v>
      </x:c>
      <x:c r="K7873" s="6" t="str">
        <x:f>IF(D7873="","",IF(AND(ISNUMBER(SEARCH("平",D7873)),OR(ISNUMBER(SEARCH("上",D7873)),ISNUMBER(SEARCH("去",D7873)),ISNUMBER(SEARCH("入",D7873)))),"Ambiguous",IF(ISNUMBER(SEARCH("平",D7873)),"平","仄")))</x:f>
        <x:v>仄</x:v>
      </x:c>
      <x:c r="L7873" s="7" t="str">
        <x:v>Pingshui main list expansion</x:v>
      </x:c>
    </x:row>
    <x:row r="7874">
      <x:c r="A7874" s="5" t="str">
        <x:v>袀</x:v>
      </x:c>
      <x:c r="B7874" s="6" t="str">
        <x:v>平</x:v>
      </x:c>
      <x:c r="C7874" s="6" t="str">
        <x:f>IF(B7874="","Needs decision","Ready")</x:f>
        <x:v>Ready</x:v>
      </x:c>
      <x:c r="D7874" s="6" t="str">
        <x:v>平</x:v>
      </x:c>
      <x:c r="E7874" s="6" t="str"/>
      <x:c r="F7874" s="6" t="str">
        <x:v>上平聲十一真</x:v>
      </x:c>
      <x:c r="G7874" s="6" t="str">
        <x:v>Pingshui main list, Wikisource-derived DOCX</x:v>
      </x:c>
      <x:c r="H7874" s="6" t="str"/>
      <x:c r="I7874" s="6" t="str">
        <x:v>Pingshui main-list expansion; 詞 entries ignored</x:v>
      </x:c>
      <x:c r="J7874" s="6" t="str">
        <x:f>IF(B7874="","",IF(AND(ISNUMBER(SEARCH("平",B7874)),OR(ISNUMBER(SEARCH("上",B7874)),ISNUMBER(SEARCH("去",B7874)),ISNUMBER(SEARCH("入",B7874)))),"Ambiguous",IF(ISNUMBER(SEARCH("平",B7874)),"平","仄")))</x:f>
        <x:v>平</x:v>
      </x:c>
      <x:c r="K7874" s="6" t="str">
        <x:f>IF(D7874="","",IF(AND(ISNUMBER(SEARCH("平",D7874)),OR(ISNUMBER(SEARCH("上",D7874)),ISNUMBER(SEARCH("去",D7874)),ISNUMBER(SEARCH("入",D7874)))),"Ambiguous",IF(ISNUMBER(SEARCH("平",D7874)),"平","仄")))</x:f>
        <x:v>平</x:v>
      </x:c>
      <x:c r="L7874" s="7" t="str">
        <x:v>Pingshui main list expansion</x:v>
      </x:c>
    </x:row>
    <x:row r="7875">
      <x:c r="A7875" s="5" t="str">
        <x:v>袎</x:v>
      </x:c>
      <x:c r="B7875" s="6" t="str">
        <x:v>去</x:v>
      </x:c>
      <x:c r="C7875" s="6" t="str">
        <x:f>IF(B7875="","Needs decision","Ready")</x:f>
        <x:v>Ready</x:v>
      </x:c>
      <x:c r="D7875" s="6" t="str">
        <x:v>去</x:v>
      </x:c>
      <x:c r="E7875" s="6" t="str"/>
      <x:c r="F7875" s="6" t="str">
        <x:v>去聲十九效</x:v>
      </x:c>
      <x:c r="G7875" s="6" t="str">
        <x:v>Pingshui main list, Wikisource-derived DOCX</x:v>
      </x:c>
      <x:c r="H7875" s="6" t="str"/>
      <x:c r="I7875" s="6" t="str">
        <x:v>Pingshui main-list expansion; 詞 entries ignored</x:v>
      </x:c>
      <x:c r="J7875" s="6" t="str">
        <x:f>IF(B7875="","",IF(AND(ISNUMBER(SEARCH("平",B7875)),OR(ISNUMBER(SEARCH("上",B7875)),ISNUMBER(SEARCH("去",B7875)),ISNUMBER(SEARCH("入",B7875)))),"Ambiguous",IF(ISNUMBER(SEARCH("平",B7875)),"平","仄")))</x:f>
        <x:v>仄</x:v>
      </x:c>
      <x:c r="K7875" s="6" t="str">
        <x:f>IF(D7875="","",IF(AND(ISNUMBER(SEARCH("平",D7875)),OR(ISNUMBER(SEARCH("上",D7875)),ISNUMBER(SEARCH("去",D7875)),ISNUMBER(SEARCH("入",D7875)))),"Ambiguous",IF(ISNUMBER(SEARCH("平",D7875)),"平","仄")))</x:f>
        <x:v>仄</x:v>
      </x:c>
      <x:c r="L7875" s="7" t="str">
        <x:v>Pingshui main list expansion</x:v>
      </x:c>
    </x:row>
    <x:row r="7876">
      <x:c r="A7876" s="5" t="str">
        <x:v>袑</x:v>
      </x:c>
      <x:c r="B7876" s="6" t="str">
        <x:v>上</x:v>
      </x:c>
      <x:c r="C7876" s="6" t="str">
        <x:f>IF(B7876="","Needs decision","Ready")</x:f>
        <x:v>Ready</x:v>
      </x:c>
      <x:c r="D7876" s="6" t="str">
        <x:v>上</x:v>
      </x:c>
      <x:c r="E7876" s="6" t="str"/>
      <x:c r="F7876" s="6" t="str">
        <x:v>上聲十七篠</x:v>
      </x:c>
      <x:c r="G7876" s="6" t="str">
        <x:v>Pingshui main list, Wikisource-derived DOCX</x:v>
      </x:c>
      <x:c r="H7876" s="6" t="str"/>
      <x:c r="I7876" s="6" t="str">
        <x:v>Pingshui main-list expansion; 詞 entries ignored</x:v>
      </x:c>
      <x:c r="J7876" s="6" t="str">
        <x:f>IF(B7876="","",IF(AND(ISNUMBER(SEARCH("平",B7876)),OR(ISNUMBER(SEARCH("上",B7876)),ISNUMBER(SEARCH("去",B7876)),ISNUMBER(SEARCH("入",B7876)))),"Ambiguous",IF(ISNUMBER(SEARCH("平",B7876)),"平","仄")))</x:f>
        <x:v>仄</x:v>
      </x:c>
      <x:c r="K7876" s="6" t="str">
        <x:f>IF(D7876="","",IF(AND(ISNUMBER(SEARCH("平",D7876)),OR(ISNUMBER(SEARCH("上",D7876)),ISNUMBER(SEARCH("去",D7876)),ISNUMBER(SEARCH("入",D7876)))),"Ambiguous",IF(ISNUMBER(SEARCH("平",D7876)),"平","仄")))</x:f>
        <x:v>仄</x:v>
      </x:c>
      <x:c r="L7876" s="7" t="str">
        <x:v>Pingshui main list expansion</x:v>
      </x:c>
    </x:row>
    <x:row r="7877">
      <x:c r="A7877" s="5" t="str">
        <x:v>袢</x:v>
      </x:c>
      <x:c r="B7877" s="6" t="str">
        <x:v>平</x:v>
      </x:c>
      <x:c r="C7877" s="6" t="str">
        <x:f>IF(B7877="","Needs decision","Ready")</x:f>
        <x:v>Ready</x:v>
      </x:c>
      <x:c r="D7877" s="6" t="str">
        <x:v>平</x:v>
      </x:c>
      <x:c r="E7877" s="6" t="str"/>
      <x:c r="F7877" s="6" t="str">
        <x:v>上平聲十三元</x:v>
      </x:c>
      <x:c r="G7877" s="6" t="str">
        <x:v>Pingshui main list, Wikisource-derived DOCX</x:v>
      </x:c>
      <x:c r="H7877" s="6" t="str"/>
      <x:c r="I7877" s="6" t="str">
        <x:v>Pingshui main-list expansion; 詞 entries ignored</x:v>
      </x:c>
      <x:c r="J7877" s="6" t="str">
        <x:f>IF(B7877="","",IF(AND(ISNUMBER(SEARCH("平",B7877)),OR(ISNUMBER(SEARCH("上",B7877)),ISNUMBER(SEARCH("去",B7877)),ISNUMBER(SEARCH("入",B7877)))),"Ambiguous",IF(ISNUMBER(SEARCH("平",B7877)),"平","仄")))</x:f>
        <x:v>平</x:v>
      </x:c>
      <x:c r="K7877" s="6" t="str">
        <x:f>IF(D7877="","",IF(AND(ISNUMBER(SEARCH("平",D7877)),OR(ISNUMBER(SEARCH("上",D7877)),ISNUMBER(SEARCH("去",D7877)),ISNUMBER(SEARCH("入",D7877)))),"Ambiguous",IF(ISNUMBER(SEARCH("平",D7877)),"平","仄")))</x:f>
        <x:v>平</x:v>
      </x:c>
      <x:c r="L7877" s="7" t="str">
        <x:v>Pingshui main list expansion</x:v>
      </x:c>
    </x:row>
    <x:row r="7878">
      <x:c r="A7878" s="5" t="str">
        <x:v>袤</x:v>
      </x:c>
      <x:c r="B7878" s="6" t="str">
        <x:v>去</x:v>
      </x:c>
      <x:c r="C7878" s="6" t="str">
        <x:f>IF(B7878="","Needs decision","Ready")</x:f>
        <x:v>Ready</x:v>
      </x:c>
      <x:c r="D7878" s="6" t="str">
        <x:v>去</x:v>
      </x:c>
      <x:c r="E7878" s="6" t="str"/>
      <x:c r="F7878" s="6" t="str">
        <x:v>去聲二十六宥</x:v>
      </x:c>
      <x:c r="G7878" s="6" t="str">
        <x:v>Pingshui main list, Wikisource-derived DOCX</x:v>
      </x:c>
      <x:c r="H7878" s="6" t="str"/>
      <x:c r="I7878" s="6" t="str">
        <x:v>Pingshui main-list expansion; 詞 entries ignored</x:v>
      </x:c>
      <x:c r="J7878" s="6" t="str">
        <x:f>IF(B7878="","",IF(AND(ISNUMBER(SEARCH("平",B7878)),OR(ISNUMBER(SEARCH("上",B7878)),ISNUMBER(SEARCH("去",B7878)),ISNUMBER(SEARCH("入",B7878)))),"Ambiguous",IF(ISNUMBER(SEARCH("平",B7878)),"平","仄")))</x:f>
        <x:v>仄</x:v>
      </x:c>
      <x:c r="K7878" s="6" t="str">
        <x:f>IF(D7878="","",IF(AND(ISNUMBER(SEARCH("平",D7878)),OR(ISNUMBER(SEARCH("上",D7878)),ISNUMBER(SEARCH("去",D7878)),ISNUMBER(SEARCH("入",D7878)))),"Ambiguous",IF(ISNUMBER(SEARCH("平",D7878)),"平","仄")))</x:f>
        <x:v>仄</x:v>
      </x:c>
      <x:c r="L7878" s="7" t="str">
        <x:v>Pingshui main list expansion</x:v>
      </x:c>
    </x:row>
    <x:row r="7879">
      <x:c r="A7879" s="5" t="str">
        <x:v>袪</x:v>
      </x:c>
      <x:c r="B7879" s="6" t="str">
        <x:v>平</x:v>
      </x:c>
      <x:c r="C7879" s="6" t="str">
        <x:f>IF(B7879="","Needs decision","Ready")</x:f>
        <x:v>Ready</x:v>
      </x:c>
      <x:c r="D7879" s="6" t="str">
        <x:v>平</x:v>
      </x:c>
      <x:c r="E7879" s="6" t="str"/>
      <x:c r="F7879" s="6" t="str">
        <x:v>上平聲六魚</x:v>
      </x:c>
      <x:c r="G7879" s="6" t="str">
        <x:v>Pingshui main list, Wikisource-derived DOCX</x:v>
      </x:c>
      <x:c r="H7879" s="6" t="str"/>
      <x:c r="I7879" s="6" t="str">
        <x:v>Pingshui main-list expansion; 詞 entries ignored</x:v>
      </x:c>
      <x:c r="J7879" s="6" t="str">
        <x:f>IF(B7879="","",IF(AND(ISNUMBER(SEARCH("平",B7879)),OR(ISNUMBER(SEARCH("上",B7879)),ISNUMBER(SEARCH("去",B7879)),ISNUMBER(SEARCH("入",B7879)))),"Ambiguous",IF(ISNUMBER(SEARCH("平",B7879)),"平","仄")))</x:f>
        <x:v>平</x:v>
      </x:c>
      <x:c r="K7879" s="6" t="str">
        <x:f>IF(D7879="","",IF(AND(ISNUMBER(SEARCH("平",D7879)),OR(ISNUMBER(SEARCH("上",D7879)),ISNUMBER(SEARCH("去",D7879)),ISNUMBER(SEARCH("入",D7879)))),"Ambiguous",IF(ISNUMBER(SEARCH("平",D7879)),"平","仄")))</x:f>
        <x:v>平</x:v>
      </x:c>
      <x:c r="L7879" s="7" t="str">
        <x:v>Pingshui main list expansion</x:v>
      </x:c>
    </x:row>
    <x:row r="7880">
      <x:c r="A7880" s="5" t="str">
        <x:v>袽</x:v>
      </x:c>
      <x:c r="B7880" s="6" t="str">
        <x:v>平</x:v>
      </x:c>
      <x:c r="C7880" s="6" t="str">
        <x:f>IF(B7880="","Needs decision","Ready")</x:f>
        <x:v>Ready</x:v>
      </x:c>
      <x:c r="D7880" s="6" t="str">
        <x:v>平</x:v>
      </x:c>
      <x:c r="E7880" s="6" t="str"/>
      <x:c r="F7880" s="6" t="str">
        <x:v>上平聲六魚</x:v>
      </x:c>
      <x:c r="G7880" s="6" t="str">
        <x:v>Pingshui main list, Wikisource-derived DOCX</x:v>
      </x:c>
      <x:c r="H7880" s="6" t="str"/>
      <x:c r="I7880" s="6" t="str">
        <x:v>Pingshui main-list expansion; 詞 entries ignored</x:v>
      </x:c>
      <x:c r="J7880" s="6" t="str">
        <x:f>IF(B7880="","",IF(AND(ISNUMBER(SEARCH("平",B7880)),OR(ISNUMBER(SEARCH("上",B7880)),ISNUMBER(SEARCH("去",B7880)),ISNUMBER(SEARCH("入",B7880)))),"Ambiguous",IF(ISNUMBER(SEARCH("平",B7880)),"平","仄")))</x:f>
        <x:v>平</x:v>
      </x:c>
      <x:c r="K7880" s="6" t="str">
        <x:f>IF(D7880="","",IF(AND(ISNUMBER(SEARCH("平",D7880)),OR(ISNUMBER(SEARCH("上",D7880)),ISNUMBER(SEARCH("去",D7880)),ISNUMBER(SEARCH("入",D7880)))),"Ambiguous",IF(ISNUMBER(SEARCH("平",D7880)),"平","仄")))</x:f>
        <x:v>平</x:v>
      </x:c>
      <x:c r="L7880" s="7" t="str">
        <x:v>Pingshui main list expansion</x:v>
      </x:c>
    </x:row>
    <x:row r="7881">
      <x:c r="A7881" s="5" t="str">
        <x:v>裎</x:v>
      </x:c>
      <x:c r="B7881" s="6" t="str"/>
      <x:c r="C7881" s="6" t="str">
        <x:f>IF(B7881="","Needs decision","Ready")</x:f>
        <x:v>Needs decision</x:v>
      </x:c>
      <x:c r="D7881" s="6" t="str">
        <x:v>平/上</x:v>
      </x:c>
      <x:c r="E7881" s="6" t="str"/>
      <x:c r="F7881" s="6" t="str">
        <x:v>下平聲八庚; 上聲二十三梗</x:v>
      </x:c>
      <x:c r="G7881" s="6" t="str">
        <x:v>Pingshui main list, Wikisource-derived DOCX</x:v>
      </x:c>
      <x:c r="H7881" s="6" t="str"/>
      <x:c r="I7881" s="6" t="str">
        <x:v>Pingshui main-list expansion; 詞 entries ignored</x:v>
      </x:c>
      <x:c r="J7881" s="6" t="str">
        <x:f>IF(B7881="","",IF(AND(ISNUMBER(SEARCH("平",B7881)),OR(ISNUMBER(SEARCH("上",B7881)),ISNUMBER(SEARCH("去",B7881)),ISNUMBER(SEARCH("入",B7881)))),"Ambiguous",IF(ISNUMBER(SEARCH("平",B7881)),"平","仄")))</x:f>
      </x:c>
      <x:c r="K7881" s="6" t="str">
        <x:f>IF(D7881="","",IF(AND(ISNUMBER(SEARCH("平",D7881)),OR(ISNUMBER(SEARCH("上",D7881)),ISNUMBER(SEARCH("去",D7881)),ISNUMBER(SEARCH("入",D7881)))),"Ambiguous",IF(ISNUMBER(SEARCH("平",D7881)),"平","仄")))</x:f>
        <x:v>Ambiguous</x:v>
      </x:c>
      <x:c r="L7881" s="7" t="str">
        <x:v>Pingshui main list expansion</x:v>
      </x:c>
    </x:row>
    <x:row r="7882">
      <x:c r="A7882" s="5" t="str">
        <x:v>裟</x:v>
      </x:c>
      <x:c r="B7882" s="6" t="str">
        <x:v>平</x:v>
      </x:c>
      <x:c r="C7882" s="6" t="str">
        <x:f>IF(B7882="","Needs decision","Ready")</x:f>
        <x:v>Ready</x:v>
      </x:c>
      <x:c r="D7882" s="6" t="str">
        <x:v>平</x:v>
      </x:c>
      <x:c r="E7882" s="6" t="str"/>
      <x:c r="F7882" s="6" t="str">
        <x:v>下平聲六麻</x:v>
      </x:c>
      <x:c r="G7882" s="6" t="str">
        <x:v>Pingshui main list, Wikisource-derived DOCX</x:v>
      </x:c>
      <x:c r="H7882" s="6" t="str"/>
      <x:c r="I7882" s="6" t="str">
        <x:v>Pingshui main-list expansion; 詞 entries ignored</x:v>
      </x:c>
      <x:c r="J7882" s="6" t="str">
        <x:f>IF(B7882="","",IF(AND(ISNUMBER(SEARCH("平",B7882)),OR(ISNUMBER(SEARCH("上",B7882)),ISNUMBER(SEARCH("去",B7882)),ISNUMBER(SEARCH("入",B7882)))),"Ambiguous",IF(ISNUMBER(SEARCH("平",B7882)),"平","仄")))</x:f>
        <x:v>平</x:v>
      </x:c>
      <x:c r="K7882" s="6" t="str">
        <x:f>IF(D7882="","",IF(AND(ISNUMBER(SEARCH("平",D7882)),OR(ISNUMBER(SEARCH("上",D7882)),ISNUMBER(SEARCH("去",D7882)),ISNUMBER(SEARCH("入",D7882)))),"Ambiguous",IF(ISNUMBER(SEARCH("平",D7882)),"平","仄")))</x:f>
        <x:v>平</x:v>
      </x:c>
      <x:c r="L7882" s="7" t="str">
        <x:v>Pingshui main list expansion</x:v>
      </x:c>
    </x:row>
    <x:row r="7883">
      <x:c r="A7883" s="5" t="str">
        <x:v>裱</x:v>
      </x:c>
      <x:c r="B7883" s="6" t="str">
        <x:v>去</x:v>
      </x:c>
      <x:c r="C7883" s="6" t="str">
        <x:f>IF(B7883="","Needs decision","Ready")</x:f>
        <x:v>Ready</x:v>
      </x:c>
      <x:c r="D7883" s="6" t="str">
        <x:v>去</x:v>
      </x:c>
      <x:c r="E7883" s="6" t="str"/>
      <x:c r="F7883" s="6" t="str">
        <x:v>去聲十八嘯</x:v>
      </x:c>
      <x:c r="G7883" s="6" t="str">
        <x:v>Pingshui main list, Wikisource-derived DOCX</x:v>
      </x:c>
      <x:c r="H7883" s="6" t="str"/>
      <x:c r="I7883" s="6" t="str">
        <x:v>Pingshui main-list expansion; 詞 entries ignored</x:v>
      </x:c>
      <x:c r="J7883" s="6" t="str">
        <x:f>IF(B7883="","",IF(AND(ISNUMBER(SEARCH("平",B7883)),OR(ISNUMBER(SEARCH("上",B7883)),ISNUMBER(SEARCH("去",B7883)),ISNUMBER(SEARCH("入",B7883)))),"Ambiguous",IF(ISNUMBER(SEARCH("平",B7883)),"平","仄")))</x:f>
        <x:v>仄</x:v>
      </x:c>
      <x:c r="K7883" s="6" t="str">
        <x:f>IF(D7883="","",IF(AND(ISNUMBER(SEARCH("平",D7883)),OR(ISNUMBER(SEARCH("上",D7883)),ISNUMBER(SEARCH("去",D7883)),ISNUMBER(SEARCH("入",D7883)))),"Ambiguous",IF(ISNUMBER(SEARCH("平",D7883)),"平","仄")))</x:f>
        <x:v>仄</x:v>
      </x:c>
      <x:c r="L7883" s="7" t="str">
        <x:v>Pingshui main list expansion</x:v>
      </x:c>
    </x:row>
    <x:row r="7884">
      <x:c r="A7884" s="5" t="str">
        <x:v>裼</x:v>
      </x:c>
      <x:c r="B7884" s="6" t="str">
        <x:v>入</x:v>
      </x:c>
      <x:c r="C7884" s="6" t="str">
        <x:f>IF(B7884="","Needs decision","Ready")</x:f>
        <x:v>Ready</x:v>
      </x:c>
      <x:c r="D7884" s="6" t="str">
        <x:v>入</x:v>
      </x:c>
      <x:c r="E7884" s="6" t="str"/>
      <x:c r="F7884" s="6" t="str">
        <x:v>入聲十二錫</x:v>
      </x:c>
      <x:c r="G7884" s="6" t="str">
        <x:v>Pingshui main list, Wikisource-derived DOCX</x:v>
      </x:c>
      <x:c r="H7884" s="6" t="str"/>
      <x:c r="I7884" s="6" t="str">
        <x:v>Pingshui main-list expansion; 詞 entries ignored</x:v>
      </x:c>
      <x:c r="J7884" s="6" t="str">
        <x:f>IF(B7884="","",IF(AND(ISNUMBER(SEARCH("平",B7884)),OR(ISNUMBER(SEARCH("上",B7884)),ISNUMBER(SEARCH("去",B7884)),ISNUMBER(SEARCH("入",B7884)))),"Ambiguous",IF(ISNUMBER(SEARCH("平",B7884)),"平","仄")))</x:f>
        <x:v>仄</x:v>
      </x:c>
      <x:c r="K7884" s="6" t="str">
        <x:f>IF(D7884="","",IF(AND(ISNUMBER(SEARCH("平",D7884)),OR(ISNUMBER(SEARCH("上",D7884)),ISNUMBER(SEARCH("去",D7884)),ISNUMBER(SEARCH("入",D7884)))),"Ambiguous",IF(ISNUMBER(SEARCH("平",D7884)),"平","仄")))</x:f>
        <x:v>仄</x:v>
      </x:c>
      <x:c r="L7884" s="7" t="str">
        <x:v>Pingshui main list expansion</x:v>
      </x:c>
    </x:row>
    <x:row r="7885">
      <x:c r="A7885" s="5" t="str">
        <x:v>褆</x:v>
      </x:c>
      <x:c r="B7885" s="6" t="str"/>
      <x:c r="C7885" s="6" t="str">
        <x:f>IF(B7885="","Needs decision","Ready")</x:f>
        <x:v>Needs decision</x:v>
      </x:c>
      <x:c r="D7885" s="6" t="str">
        <x:v>平/上</x:v>
      </x:c>
      <x:c r="E7885" s="6" t="str"/>
      <x:c r="F7885" s="6" t="str">
        <x:v>上平聲八齊; 上聲四紙</x:v>
      </x:c>
      <x:c r="G7885" s="6" t="str">
        <x:v>Pingshui main list, Wikisource-derived DOCX</x:v>
      </x:c>
      <x:c r="H7885" s="6" t="str"/>
      <x:c r="I7885" s="6" t="str">
        <x:v>Pingshui main-list expansion; 詞 entries ignored</x:v>
      </x:c>
      <x:c r="J7885" s="6" t="str">
        <x:f>IF(B7885="","",IF(AND(ISNUMBER(SEARCH("平",B7885)),OR(ISNUMBER(SEARCH("上",B7885)),ISNUMBER(SEARCH("去",B7885)),ISNUMBER(SEARCH("入",B7885)))),"Ambiguous",IF(ISNUMBER(SEARCH("平",B7885)),"平","仄")))</x:f>
      </x:c>
      <x:c r="K7885" s="6" t="str">
        <x:f>IF(D7885="","",IF(AND(ISNUMBER(SEARCH("平",D7885)),OR(ISNUMBER(SEARCH("上",D7885)),ISNUMBER(SEARCH("去",D7885)),ISNUMBER(SEARCH("入",D7885)))),"Ambiguous",IF(ISNUMBER(SEARCH("平",D7885)),"平","仄")))</x:f>
        <x:v>Ambiguous</x:v>
      </x:c>
      <x:c r="L7885" s="7" t="str">
        <x:v>Pingshui main list expansion</x:v>
      </x:c>
    </x:row>
    <x:row r="7886">
      <x:c r="A7886" s="5" t="str">
        <x:v>褋</x:v>
      </x:c>
      <x:c r="B7886" s="6" t="str">
        <x:v>入</x:v>
      </x:c>
      <x:c r="C7886" s="6" t="str">
        <x:f>IF(B7886="","Needs decision","Ready")</x:f>
        <x:v>Ready</x:v>
      </x:c>
      <x:c r="D7886" s="6" t="str">
        <x:v>入</x:v>
      </x:c>
      <x:c r="E7886" s="6" t="str"/>
      <x:c r="F7886" s="6" t="str">
        <x:v>入聲十六葉</x:v>
      </x:c>
      <x:c r="G7886" s="6" t="str">
        <x:v>Pingshui main list, Wikisource-derived DOCX</x:v>
      </x:c>
      <x:c r="H7886" s="6" t="str"/>
      <x:c r="I7886" s="6" t="str">
        <x:v>Pingshui main-list expansion; 詞 entries ignored</x:v>
      </x:c>
      <x:c r="J7886" s="6" t="str">
        <x:f>IF(B7886="","",IF(AND(ISNUMBER(SEARCH("平",B7886)),OR(ISNUMBER(SEARCH("上",B7886)),ISNUMBER(SEARCH("去",B7886)),ISNUMBER(SEARCH("入",B7886)))),"Ambiguous",IF(ISNUMBER(SEARCH("平",B7886)),"平","仄")))</x:f>
        <x:v>仄</x:v>
      </x:c>
      <x:c r="K7886" s="6" t="str">
        <x:f>IF(D7886="","",IF(AND(ISNUMBER(SEARCH("平",D7886)),OR(ISNUMBER(SEARCH("上",D7886)),ISNUMBER(SEARCH("去",D7886)),ISNUMBER(SEARCH("入",D7886)))),"Ambiguous",IF(ISNUMBER(SEARCH("平",D7886)),"平","仄")))</x:f>
        <x:v>仄</x:v>
      </x:c>
      <x:c r="L7886" s="7" t="str">
        <x:v>Pingshui main list expansion</x:v>
      </x:c>
    </x:row>
    <x:row r="7887">
      <x:c r="A7887" s="5" t="str">
        <x:v>褌</x:v>
      </x:c>
      <x:c r="B7887" s="6" t="str">
        <x:v>平</x:v>
      </x:c>
      <x:c r="C7887" s="6" t="str">
        <x:f>IF(B7887="","Needs decision","Ready")</x:f>
        <x:v>Ready</x:v>
      </x:c>
      <x:c r="D7887" s="6" t="str">
        <x:v>平</x:v>
      </x:c>
      <x:c r="E7887" s="6" t="str"/>
      <x:c r="F7887" s="6" t="str">
        <x:v>上平聲十三元</x:v>
      </x:c>
      <x:c r="G7887" s="6" t="str">
        <x:v>Pingshui main list, Wikisource-derived DOCX</x:v>
      </x:c>
      <x:c r="H7887" s="6" t="str"/>
      <x:c r="I7887" s="6" t="str">
        <x:v>Pingshui main-list expansion; 詞 entries ignored</x:v>
      </x:c>
      <x:c r="J7887" s="6" t="str">
        <x:f>IF(B7887="","",IF(AND(ISNUMBER(SEARCH("平",B7887)),OR(ISNUMBER(SEARCH("上",B7887)),ISNUMBER(SEARCH("去",B7887)),ISNUMBER(SEARCH("入",B7887)))),"Ambiguous",IF(ISNUMBER(SEARCH("平",B7887)),"平","仄")))</x:f>
        <x:v>平</x:v>
      </x:c>
      <x:c r="K7887" s="6" t="str">
        <x:f>IF(D7887="","",IF(AND(ISNUMBER(SEARCH("平",D7887)),OR(ISNUMBER(SEARCH("上",D7887)),ISNUMBER(SEARCH("去",D7887)),ISNUMBER(SEARCH("入",D7887)))),"Ambiguous",IF(ISNUMBER(SEARCH("平",D7887)),"平","仄")))</x:f>
        <x:v>平</x:v>
      </x:c>
      <x:c r="L7887" s="7" t="str">
        <x:v>Pingshui main list expansion</x:v>
      </x:c>
    </x:row>
    <x:row r="7888">
      <x:c r="A7888" s="5" t="str">
        <x:v>褖</x:v>
      </x:c>
      <x:c r="B7888" s="6" t="str">
        <x:v>去</x:v>
      </x:c>
      <x:c r="C7888" s="6" t="str">
        <x:f>IF(B7888="","Needs decision","Ready")</x:f>
        <x:v>Ready</x:v>
      </x:c>
      <x:c r="D7888" s="6" t="str">
        <x:v>去</x:v>
      </x:c>
      <x:c r="E7888" s="6" t="str"/>
      <x:c r="F7888" s="6" t="str">
        <x:v>去聲十五翰</x:v>
      </x:c>
      <x:c r="G7888" s="6" t="str">
        <x:v>Pingshui main list, Wikisource-derived DOCX</x:v>
      </x:c>
      <x:c r="H7888" s="6" t="str"/>
      <x:c r="I7888" s="6" t="str">
        <x:v>Pingshui main-list expansion; 詞 entries ignored</x:v>
      </x:c>
      <x:c r="J7888" s="6" t="str">
        <x:f>IF(B7888="","",IF(AND(ISNUMBER(SEARCH("平",B7888)),OR(ISNUMBER(SEARCH("上",B7888)),ISNUMBER(SEARCH("去",B7888)),ISNUMBER(SEARCH("入",B7888)))),"Ambiguous",IF(ISNUMBER(SEARCH("平",B7888)),"平","仄")))</x:f>
        <x:v>仄</x:v>
      </x:c>
      <x:c r="K7888" s="6" t="str">
        <x:f>IF(D7888="","",IF(AND(ISNUMBER(SEARCH("平",D7888)),OR(ISNUMBER(SEARCH("上",D7888)),ISNUMBER(SEARCH("去",D7888)),ISNUMBER(SEARCH("入",D7888)))),"Ambiguous",IF(ISNUMBER(SEARCH("平",D7888)),"平","仄")))</x:f>
        <x:v>仄</x:v>
      </x:c>
      <x:c r="L7888" s="7" t="str">
        <x:v>Pingshui main list expansion</x:v>
      </x:c>
    </x:row>
    <x:row r="7889">
      <x:c r="A7889" s="5" t="str">
        <x:v>褣</x:v>
      </x:c>
      <x:c r="B7889" s="6" t="str">
        <x:v>平</x:v>
      </x:c>
      <x:c r="C7889" s="6" t="str">
        <x:f>IF(B7889="","Needs decision","Ready")</x:f>
        <x:v>Ready</x:v>
      </x:c>
      <x:c r="D7889" s="6" t="str">
        <x:v>平</x:v>
      </x:c>
      <x:c r="E7889" s="6" t="str"/>
      <x:c r="F7889" s="6" t="str">
        <x:v>上平聲二冬</x:v>
      </x:c>
      <x:c r="G7889" s="6" t="str">
        <x:v>Pingshui main list, Wikisource-derived DOCX</x:v>
      </x:c>
      <x:c r="H7889" s="6" t="str"/>
      <x:c r="I7889" s="6" t="str">
        <x:v>Pingshui main-list expansion; 詞 entries ignored</x:v>
      </x:c>
      <x:c r="J7889" s="6" t="str">
        <x:f>IF(B7889="","",IF(AND(ISNUMBER(SEARCH("平",B7889)),OR(ISNUMBER(SEARCH("上",B7889)),ISNUMBER(SEARCH("去",B7889)),ISNUMBER(SEARCH("入",B7889)))),"Ambiguous",IF(ISNUMBER(SEARCH("平",B7889)),"平","仄")))</x:f>
        <x:v>平</x:v>
      </x:c>
      <x:c r="K7889" s="6" t="str">
        <x:f>IF(D7889="","",IF(AND(ISNUMBER(SEARCH("平",D7889)),OR(ISNUMBER(SEARCH("上",D7889)),ISNUMBER(SEARCH("去",D7889)),ISNUMBER(SEARCH("入",D7889)))),"Ambiguous",IF(ISNUMBER(SEARCH("平",D7889)),"平","仄")))</x:f>
        <x:v>平</x:v>
      </x:c>
      <x:c r="L7889" s="7" t="str">
        <x:v>Pingshui main list expansion</x:v>
      </x:c>
    </x:row>
    <x:row r="7890">
      <x:c r="A7890" s="5" t="str">
        <x:v>褪</x:v>
      </x:c>
      <x:c r="B7890" s="6" t="str">
        <x:v>去</x:v>
      </x:c>
      <x:c r="C7890" s="6" t="str">
        <x:f>IF(B7890="","Needs decision","Ready")</x:f>
        <x:v>Ready</x:v>
      </x:c>
      <x:c r="D7890" s="6" t="str">
        <x:v>去</x:v>
      </x:c>
      <x:c r="E7890" s="6" t="str"/>
      <x:c r="F7890" s="6" t="str">
        <x:v>去聲十四願</x:v>
      </x:c>
      <x:c r="G7890" s="6" t="str">
        <x:v>Pingshui main list, Wikisource-derived DOCX</x:v>
      </x:c>
      <x:c r="H7890" s="6" t="str"/>
      <x:c r="I7890" s="6" t="str">
        <x:v>Pingshui main-list expansion; 詞 entries ignored</x:v>
      </x:c>
      <x:c r="J7890" s="6" t="str">
        <x:f>IF(B7890="","",IF(AND(ISNUMBER(SEARCH("平",B7890)),OR(ISNUMBER(SEARCH("上",B7890)),ISNUMBER(SEARCH("去",B7890)),ISNUMBER(SEARCH("入",B7890)))),"Ambiguous",IF(ISNUMBER(SEARCH("平",B7890)),"平","仄")))</x:f>
        <x:v>仄</x:v>
      </x:c>
      <x:c r="K7890" s="6" t="str">
        <x:f>IF(D7890="","",IF(AND(ISNUMBER(SEARCH("平",D7890)),OR(ISNUMBER(SEARCH("上",D7890)),ISNUMBER(SEARCH("去",D7890)),ISNUMBER(SEARCH("入",D7890)))),"Ambiguous",IF(ISNUMBER(SEARCH("平",D7890)),"平","仄")))</x:f>
        <x:v>仄</x:v>
      </x:c>
      <x:c r="L7890" s="7" t="str">
        <x:v>Pingshui main list expansion</x:v>
      </x:c>
    </x:row>
    <x:row r="7891">
      <x:c r="A7891" s="5" t="str">
        <x:v>褵</x:v>
      </x:c>
      <x:c r="B7891" s="6" t="str">
        <x:v>平</x:v>
      </x:c>
      <x:c r="C7891" s="6" t="str">
        <x:f>IF(B7891="","Needs decision","Ready")</x:f>
        <x:v>Ready</x:v>
      </x:c>
      <x:c r="D7891" s="6" t="str">
        <x:v>平</x:v>
      </x:c>
      <x:c r="E7891" s="6" t="str"/>
      <x:c r="F7891" s="6" t="str">
        <x:v>上平聲四支</x:v>
      </x:c>
      <x:c r="G7891" s="6" t="str">
        <x:v>Pingshui main list, Wikisource-derived DOCX</x:v>
      </x:c>
      <x:c r="H7891" s="6" t="str"/>
      <x:c r="I7891" s="6" t="str">
        <x:v>Pingshui main-list expansion; 詞 entries ignored</x:v>
      </x:c>
      <x:c r="J7891" s="6" t="str">
        <x:f>IF(B7891="","",IF(AND(ISNUMBER(SEARCH("平",B7891)),OR(ISNUMBER(SEARCH("上",B7891)),ISNUMBER(SEARCH("去",B7891)),ISNUMBER(SEARCH("入",B7891)))),"Ambiguous",IF(ISNUMBER(SEARCH("平",B7891)),"平","仄")))</x:f>
        <x:v>平</x:v>
      </x:c>
      <x:c r="K7891" s="6" t="str">
        <x:f>IF(D7891="","",IF(AND(ISNUMBER(SEARCH("平",D7891)),OR(ISNUMBER(SEARCH("上",D7891)),ISNUMBER(SEARCH("去",D7891)),ISNUMBER(SEARCH("入",D7891)))),"Ambiguous",IF(ISNUMBER(SEARCH("平",D7891)),"平","仄")))</x:f>
        <x:v>平</x:v>
      </x:c>
      <x:c r="L7891" s="7" t="str">
        <x:v>Pingshui main list expansion</x:v>
      </x:c>
    </x:row>
    <x:row r="7892">
      <x:c r="A7892" s="5" t="str">
        <x:v>褷</x:v>
      </x:c>
      <x:c r="B7892" s="6" t="str">
        <x:v>平</x:v>
      </x:c>
      <x:c r="C7892" s="6" t="str">
        <x:f>IF(B7892="","Needs decision","Ready")</x:f>
        <x:v>Ready</x:v>
      </x:c>
      <x:c r="D7892" s="6" t="str">
        <x:v>平</x:v>
      </x:c>
      <x:c r="E7892" s="6" t="str"/>
      <x:c r="F7892" s="6" t="str">
        <x:v>上平聲四支</x:v>
      </x:c>
      <x:c r="G7892" s="6" t="str">
        <x:v>Pingshui main list, Wikisource-derived DOCX</x:v>
      </x:c>
      <x:c r="H7892" s="6" t="str"/>
      <x:c r="I7892" s="6" t="str">
        <x:v>Pingshui main-list expansion; 詞 entries ignored</x:v>
      </x:c>
      <x:c r="J7892" s="6" t="str">
        <x:f>IF(B7892="","",IF(AND(ISNUMBER(SEARCH("平",B7892)),OR(ISNUMBER(SEARCH("上",B7892)),ISNUMBER(SEARCH("去",B7892)),ISNUMBER(SEARCH("入",B7892)))),"Ambiguous",IF(ISNUMBER(SEARCH("平",B7892)),"平","仄")))</x:f>
        <x:v>平</x:v>
      </x:c>
      <x:c r="K7892" s="6" t="str">
        <x:f>IF(D7892="","",IF(AND(ISNUMBER(SEARCH("平",D7892)),OR(ISNUMBER(SEARCH("上",D7892)),ISNUMBER(SEARCH("去",D7892)),ISNUMBER(SEARCH("入",D7892)))),"Ambiguous",IF(ISNUMBER(SEARCH("平",D7892)),"平","仄")))</x:f>
        <x:v>平</x:v>
      </x:c>
      <x:c r="L7892" s="7" t="str">
        <x:v>Pingshui main list expansion</x:v>
      </x:c>
    </x:row>
    <x:row r="7893">
      <x:c r="A7893" s="5" t="str">
        <x:v>褼</x:v>
      </x:c>
      <x:c r="B7893" s="6" t="str">
        <x:v>平</x:v>
      </x:c>
      <x:c r="C7893" s="6" t="str">
        <x:f>IF(B7893="","Needs decision","Ready")</x:f>
        <x:v>Ready</x:v>
      </x:c>
      <x:c r="D7893" s="6" t="str">
        <x:v>平</x:v>
      </x:c>
      <x:c r="E7893" s="6" t="str"/>
      <x:c r="F7893" s="6" t="str">
        <x:v>下平聲一先</x:v>
      </x:c>
      <x:c r="G7893" s="6" t="str">
        <x:v>Pingshui main list, Wikisource-derived DOCX</x:v>
      </x:c>
      <x:c r="H7893" s="6" t="str"/>
      <x:c r="I7893" s="6" t="str">
        <x:v>Pingshui main-list expansion; 詞 entries ignored</x:v>
      </x:c>
      <x:c r="J7893" s="6" t="str">
        <x:f>IF(B7893="","",IF(AND(ISNUMBER(SEARCH("平",B7893)),OR(ISNUMBER(SEARCH("上",B7893)),ISNUMBER(SEARCH("去",B7893)),ISNUMBER(SEARCH("入",B7893)))),"Ambiguous",IF(ISNUMBER(SEARCH("平",B7893)),"平","仄")))</x:f>
        <x:v>平</x:v>
      </x:c>
      <x:c r="K7893" s="6" t="str">
        <x:f>IF(D7893="","",IF(AND(ISNUMBER(SEARCH("平",D7893)),OR(ISNUMBER(SEARCH("上",D7893)),ISNUMBER(SEARCH("去",D7893)),ISNUMBER(SEARCH("入",D7893)))),"Ambiguous",IF(ISNUMBER(SEARCH("平",D7893)),"平","仄")))</x:f>
        <x:v>平</x:v>
      </x:c>
      <x:c r="L7893" s="7" t="str">
        <x:v>Pingshui main list expansion</x:v>
      </x:c>
    </x:row>
    <x:row r="7894">
      <x:c r="A7894" s="5" t="str">
        <x:v>褾</x:v>
      </x:c>
      <x:c r="B7894" s="6" t="str">
        <x:v>上</x:v>
      </x:c>
      <x:c r="C7894" s="6" t="str">
        <x:f>IF(B7894="","Needs decision","Ready")</x:f>
        <x:v>Ready</x:v>
      </x:c>
      <x:c r="D7894" s="6" t="str">
        <x:v>上</x:v>
      </x:c>
      <x:c r="E7894" s="6" t="str"/>
      <x:c r="F7894" s="6" t="str">
        <x:v>上聲十七篠</x:v>
      </x:c>
      <x:c r="G7894" s="6" t="str">
        <x:v>Pingshui main list, Wikisource-derived DOCX</x:v>
      </x:c>
      <x:c r="H7894" s="6" t="str"/>
      <x:c r="I7894" s="6" t="str">
        <x:v>Pingshui main-list expansion; 詞 entries ignored</x:v>
      </x:c>
      <x:c r="J7894" s="6" t="str">
        <x:f>IF(B7894="","",IF(AND(ISNUMBER(SEARCH("平",B7894)),OR(ISNUMBER(SEARCH("上",B7894)),ISNUMBER(SEARCH("去",B7894)),ISNUMBER(SEARCH("入",B7894)))),"Ambiguous",IF(ISNUMBER(SEARCH("平",B7894)),"平","仄")))</x:f>
        <x:v>仄</x:v>
      </x:c>
      <x:c r="K7894" s="6" t="str">
        <x:f>IF(D7894="","",IF(AND(ISNUMBER(SEARCH("平",D7894)),OR(ISNUMBER(SEARCH("上",D7894)),ISNUMBER(SEARCH("去",D7894)),ISNUMBER(SEARCH("入",D7894)))),"Ambiguous",IF(ISNUMBER(SEARCH("平",D7894)),"平","仄")))</x:f>
        <x:v>仄</x:v>
      </x:c>
      <x:c r="L7894" s="7" t="str">
        <x:v>Pingshui main list expansion</x:v>
      </x:c>
    </x:row>
    <x:row r="7895">
      <x:c r="A7895" s="5" t="str">
        <x:v>襉</x:v>
      </x:c>
      <x:c r="B7895" s="6" t="str">
        <x:v>去</x:v>
      </x:c>
      <x:c r="C7895" s="6" t="str">
        <x:f>IF(B7895="","Needs decision","Ready")</x:f>
        <x:v>Ready</x:v>
      </x:c>
      <x:c r="D7895" s="6" t="str">
        <x:v>去</x:v>
      </x:c>
      <x:c r="E7895" s="6" t="str"/>
      <x:c r="F7895" s="6" t="str">
        <x:v>去聲十六諫</x:v>
      </x:c>
      <x:c r="G7895" s="6" t="str">
        <x:v>Pingshui main list, Wikisource-derived DOCX</x:v>
      </x:c>
      <x:c r="H7895" s="6" t="str"/>
      <x:c r="I7895" s="6" t="str">
        <x:v>Pingshui main-list expansion; 詞 entries ignored</x:v>
      </x:c>
      <x:c r="J7895" s="6" t="str">
        <x:f>IF(B7895="","",IF(AND(ISNUMBER(SEARCH("平",B7895)),OR(ISNUMBER(SEARCH("上",B7895)),ISNUMBER(SEARCH("去",B7895)),ISNUMBER(SEARCH("入",B7895)))),"Ambiguous",IF(ISNUMBER(SEARCH("平",B7895)),"平","仄")))</x:f>
        <x:v>仄</x:v>
      </x:c>
      <x:c r="K7895" s="6" t="str">
        <x:f>IF(D7895="","",IF(AND(ISNUMBER(SEARCH("平",D7895)),OR(ISNUMBER(SEARCH("上",D7895)),ISNUMBER(SEARCH("去",D7895)),ISNUMBER(SEARCH("入",D7895)))),"Ambiguous",IF(ISNUMBER(SEARCH("平",D7895)),"平","仄")))</x:f>
        <x:v>仄</x:v>
      </x:c>
      <x:c r="L7895" s="7" t="str">
        <x:v>Pingshui main list expansion</x:v>
      </x:c>
    </x:row>
    <x:row r="7896">
      <x:c r="A7896" s="5" t="str">
        <x:v>襋</x:v>
      </x:c>
      <x:c r="B7896" s="6" t="str">
        <x:v>入</x:v>
      </x:c>
      <x:c r="C7896" s="6" t="str">
        <x:f>IF(B7896="","Needs decision","Ready")</x:f>
        <x:v>Ready</x:v>
      </x:c>
      <x:c r="D7896" s="6" t="str">
        <x:v>入</x:v>
      </x:c>
      <x:c r="E7896" s="6" t="str"/>
      <x:c r="F7896" s="6" t="str">
        <x:v>入聲十三職</x:v>
      </x:c>
      <x:c r="G7896" s="6" t="str">
        <x:v>Pingshui main list, Wikisource-derived DOCX</x:v>
      </x:c>
      <x:c r="H7896" s="6" t="str"/>
      <x:c r="I7896" s="6" t="str">
        <x:v>Pingshui main-list expansion; 詞 entries ignored</x:v>
      </x:c>
      <x:c r="J7896" s="6" t="str">
        <x:f>IF(B7896="","",IF(AND(ISNUMBER(SEARCH("平",B7896)),OR(ISNUMBER(SEARCH("上",B7896)),ISNUMBER(SEARCH("去",B7896)),ISNUMBER(SEARCH("入",B7896)))),"Ambiguous",IF(ISNUMBER(SEARCH("平",B7896)),"平","仄")))</x:f>
        <x:v>仄</x:v>
      </x:c>
      <x:c r="K7896" s="6" t="str">
        <x:f>IF(D7896="","",IF(AND(ISNUMBER(SEARCH("平",D7896)),OR(ISNUMBER(SEARCH("上",D7896)),ISNUMBER(SEARCH("去",D7896)),ISNUMBER(SEARCH("入",D7896)))),"Ambiguous",IF(ISNUMBER(SEARCH("平",D7896)),"平","仄")))</x:f>
        <x:v>仄</x:v>
      </x:c>
      <x:c r="L7896" s="7" t="str">
        <x:v>Pingshui main list expansion</x:v>
      </x:c>
    </x:row>
    <x:row r="7897">
      <x:c r="A7897" s="5" t="str">
        <x:v>襏</x:v>
      </x:c>
      <x:c r="B7897" s="6" t="str">
        <x:v>入</x:v>
      </x:c>
      <x:c r="C7897" s="6" t="str">
        <x:f>IF(B7897="","Needs decision","Ready")</x:f>
        <x:v>Ready</x:v>
      </x:c>
      <x:c r="D7897" s="6" t="str">
        <x:v>入</x:v>
      </x:c>
      <x:c r="E7897" s="6" t="str"/>
      <x:c r="F7897" s="6" t="str">
        <x:v>入聲七曷</x:v>
      </x:c>
      <x:c r="G7897" s="6" t="str">
        <x:v>Pingshui main list, Wikisource-derived DOCX</x:v>
      </x:c>
      <x:c r="H7897" s="6" t="str"/>
      <x:c r="I7897" s="6" t="str">
        <x:v>Pingshui main-list expansion; 詞 entries ignored</x:v>
      </x:c>
      <x:c r="J7897" s="6" t="str">
        <x:f>IF(B7897="","",IF(AND(ISNUMBER(SEARCH("平",B7897)),OR(ISNUMBER(SEARCH("上",B7897)),ISNUMBER(SEARCH("去",B7897)),ISNUMBER(SEARCH("入",B7897)))),"Ambiguous",IF(ISNUMBER(SEARCH("平",B7897)),"平","仄")))</x:f>
        <x:v>仄</x:v>
      </x:c>
      <x:c r="K7897" s="6" t="str">
        <x:f>IF(D7897="","",IF(AND(ISNUMBER(SEARCH("平",D7897)),OR(ISNUMBER(SEARCH("上",D7897)),ISNUMBER(SEARCH("去",D7897)),ISNUMBER(SEARCH("入",D7897)))),"Ambiguous",IF(ISNUMBER(SEARCH("平",D7897)),"平","仄")))</x:f>
        <x:v>仄</x:v>
      </x:c>
      <x:c r="L7897" s="7" t="str">
        <x:v>Pingshui main list expansion</x:v>
      </x:c>
    </x:row>
    <x:row r="7898">
      <x:c r="A7898" s="5" t="str">
        <x:v>襗</x:v>
      </x:c>
      <x:c r="B7898" s="6" t="str">
        <x:v>入</x:v>
      </x:c>
      <x:c r="C7898" s="6" t="str">
        <x:f>IF(B7898="","Needs decision","Ready")</x:f>
        <x:v>Ready</x:v>
      </x:c>
      <x:c r="D7898" s="6" t="str">
        <x:v>入</x:v>
      </x:c>
      <x:c r="E7898" s="6" t="str"/>
      <x:c r="F7898" s="6" t="str">
        <x:v>入聲十一陌</x:v>
      </x:c>
      <x:c r="G7898" s="6" t="str">
        <x:v>Pingshui main list, Wikisource-derived DOCX</x:v>
      </x:c>
      <x:c r="H7898" s="6" t="str"/>
      <x:c r="I7898" s="6" t="str">
        <x:v>Pingshui main-list expansion; 詞 entries ignored</x:v>
      </x:c>
      <x:c r="J7898" s="6" t="str">
        <x:f>IF(B7898="","",IF(AND(ISNUMBER(SEARCH("平",B7898)),OR(ISNUMBER(SEARCH("上",B7898)),ISNUMBER(SEARCH("去",B7898)),ISNUMBER(SEARCH("入",B7898)))),"Ambiguous",IF(ISNUMBER(SEARCH("平",B7898)),"平","仄")))</x:f>
        <x:v>仄</x:v>
      </x:c>
      <x:c r="K7898" s="6" t="str">
        <x:f>IF(D7898="","",IF(AND(ISNUMBER(SEARCH("平",D7898)),OR(ISNUMBER(SEARCH("上",D7898)),ISNUMBER(SEARCH("去",D7898)),ISNUMBER(SEARCH("入",D7898)))),"Ambiguous",IF(ISNUMBER(SEARCH("平",D7898)),"平","仄")))</x:f>
        <x:v>仄</x:v>
      </x:c>
      <x:c r="L7898" s="7" t="str">
        <x:v>Pingshui main list expansion</x:v>
      </x:c>
    </x:row>
    <x:row r="7899">
      <x:c r="A7899" s="5" t="str">
        <x:v>襛</x:v>
      </x:c>
      <x:c r="B7899" s="6" t="str">
        <x:v>平</x:v>
      </x:c>
      <x:c r="C7899" s="6" t="str">
        <x:f>IF(B7899="","Needs decision","Ready")</x:f>
        <x:v>Ready</x:v>
      </x:c>
      <x:c r="D7899" s="6" t="str">
        <x:v>平</x:v>
      </x:c>
      <x:c r="E7899" s="6" t="str"/>
      <x:c r="F7899" s="6" t="str">
        <x:v>上平聲二冬</x:v>
      </x:c>
      <x:c r="G7899" s="6" t="str">
        <x:v>Pingshui main list, Wikisource-derived DOCX</x:v>
      </x:c>
      <x:c r="H7899" s="6" t="str"/>
      <x:c r="I7899" s="6" t="str">
        <x:v>Pingshui main-list expansion; 詞 entries ignored</x:v>
      </x:c>
      <x:c r="J7899" s="6" t="str">
        <x:f>IF(B7899="","",IF(AND(ISNUMBER(SEARCH("平",B7899)),OR(ISNUMBER(SEARCH("上",B7899)),ISNUMBER(SEARCH("去",B7899)),ISNUMBER(SEARCH("入",B7899)))),"Ambiguous",IF(ISNUMBER(SEARCH("平",B7899)),"平","仄")))</x:f>
        <x:v>平</x:v>
      </x:c>
      <x:c r="K7899" s="6" t="str">
        <x:f>IF(D7899="","",IF(AND(ISNUMBER(SEARCH("平",D7899)),OR(ISNUMBER(SEARCH("上",D7899)),ISNUMBER(SEARCH("去",D7899)),ISNUMBER(SEARCH("入",D7899)))),"Ambiguous",IF(ISNUMBER(SEARCH("平",D7899)),"平","仄")))</x:f>
        <x:v>平</x:v>
      </x:c>
      <x:c r="L7899" s="7" t="str">
        <x:v>Pingshui main list expansion</x:v>
      </x:c>
    </x:row>
    <x:row r="7900">
      <x:c r="A7900" s="5" t="str">
        <x:v>襭</x:v>
      </x:c>
      <x:c r="B7900" s="6" t="str">
        <x:v>入</x:v>
      </x:c>
      <x:c r="C7900" s="6" t="str">
        <x:f>IF(B7900="","Needs decision","Ready")</x:f>
        <x:v>Ready</x:v>
      </x:c>
      <x:c r="D7900" s="6" t="str">
        <x:v>入</x:v>
      </x:c>
      <x:c r="E7900" s="6" t="str"/>
      <x:c r="F7900" s="6" t="str">
        <x:v>入聲九屑</x:v>
      </x:c>
      <x:c r="G7900" s="6" t="str">
        <x:v>Pingshui main list, Wikisource-derived DOCX</x:v>
      </x:c>
      <x:c r="H7900" s="6" t="str"/>
      <x:c r="I7900" s="6" t="str">
        <x:v>Pingshui main-list expansion; 詞 entries ignored</x:v>
      </x:c>
      <x:c r="J7900" s="6" t="str">
        <x:f>IF(B7900="","",IF(AND(ISNUMBER(SEARCH("平",B7900)),OR(ISNUMBER(SEARCH("上",B7900)),ISNUMBER(SEARCH("去",B7900)),ISNUMBER(SEARCH("入",B7900)))),"Ambiguous",IF(ISNUMBER(SEARCH("平",B7900)),"平","仄")))</x:f>
        <x:v>仄</x:v>
      </x:c>
      <x:c r="K7900" s="6" t="str">
        <x:f>IF(D7900="","",IF(AND(ISNUMBER(SEARCH("平",D7900)),OR(ISNUMBER(SEARCH("上",D7900)),ISNUMBER(SEARCH("去",D7900)),ISNUMBER(SEARCH("入",D7900)))),"Ambiguous",IF(ISNUMBER(SEARCH("平",D7900)),"平","仄")))</x:f>
        <x:v>仄</x:v>
      </x:c>
      <x:c r="L7900" s="7" t="str">
        <x:v>Pingshui main list expansion</x:v>
      </x:c>
    </x:row>
    <x:row r="7901">
      <x:c r="A7901" s="5" t="str">
        <x:v>襱</x:v>
      </x:c>
      <x:c r="B7901" s="6" t="str">
        <x:v>平</x:v>
      </x:c>
      <x:c r="C7901" s="6" t="str">
        <x:f>IF(B7901="","Needs decision","Ready")</x:f>
        <x:v>Ready</x:v>
      </x:c>
      <x:c r="D7901" s="6" t="str">
        <x:v>平</x:v>
      </x:c>
      <x:c r="E7901" s="6" t="str"/>
      <x:c r="F7901" s="6" t="str">
        <x:v>上平聲一東</x:v>
      </x:c>
      <x:c r="G7901" s="6" t="str">
        <x:v>Pingshui main list, Wikisource-derived DOCX</x:v>
      </x:c>
      <x:c r="H7901" s="6" t="str"/>
      <x:c r="I7901" s="6" t="str">
        <x:v>Pingshui main-list expansion; 詞 entries ignored</x:v>
      </x:c>
      <x:c r="J7901" s="6" t="str">
        <x:f>IF(B7901="","",IF(AND(ISNUMBER(SEARCH("平",B7901)),OR(ISNUMBER(SEARCH("上",B7901)),ISNUMBER(SEARCH("去",B7901)),ISNUMBER(SEARCH("入",B7901)))),"Ambiguous",IF(ISNUMBER(SEARCH("平",B7901)),"平","仄")))</x:f>
        <x:v>平</x:v>
      </x:c>
      <x:c r="K7901" s="6" t="str">
        <x:f>IF(D7901="","",IF(AND(ISNUMBER(SEARCH("平",D7901)),OR(ISNUMBER(SEARCH("上",D7901)),ISNUMBER(SEARCH("去",D7901)),ISNUMBER(SEARCH("入",D7901)))),"Ambiguous",IF(ISNUMBER(SEARCH("平",D7901)),"平","仄")))</x:f>
        <x:v>平</x:v>
      </x:c>
      <x:c r="L7901" s="7" t="str">
        <x:v>Pingshui main list expansion</x:v>
      </x:c>
    </x:row>
    <x:row r="7902">
      <x:c r="A7902" s="5" t="str">
        <x:v>襳</x:v>
      </x:c>
      <x:c r="B7902" s="6" t="str">
        <x:v>平</x:v>
      </x:c>
      <x:c r="C7902" s="6" t="str">
        <x:f>IF(B7902="","Needs decision","Ready")</x:f>
        <x:v>Ready</x:v>
      </x:c>
      <x:c r="D7902" s="6" t="str">
        <x:v>平</x:v>
      </x:c>
      <x:c r="E7902" s="6" t="str"/>
      <x:c r="F7902" s="6" t="str">
        <x:v>下平聲十四鹽</x:v>
      </x:c>
      <x:c r="G7902" s="6" t="str">
        <x:v>Pingshui main list, Wikisource-derived DOCX</x:v>
      </x:c>
      <x:c r="H7902" s="6" t="str"/>
      <x:c r="I7902" s="6" t="str">
        <x:v>Pingshui main-list expansion; 詞 entries ignored</x:v>
      </x:c>
      <x:c r="J7902" s="6" t="str">
        <x:f>IF(B7902="","",IF(AND(ISNUMBER(SEARCH("平",B7902)),OR(ISNUMBER(SEARCH("上",B7902)),ISNUMBER(SEARCH("去",B7902)),ISNUMBER(SEARCH("入",B7902)))),"Ambiguous",IF(ISNUMBER(SEARCH("平",B7902)),"平","仄")))</x:f>
        <x:v>平</x:v>
      </x:c>
      <x:c r="K7902" s="6" t="str">
        <x:f>IF(D7902="","",IF(AND(ISNUMBER(SEARCH("平",D7902)),OR(ISNUMBER(SEARCH("上",D7902)),ISNUMBER(SEARCH("去",D7902)),ISNUMBER(SEARCH("入",D7902)))),"Ambiguous",IF(ISNUMBER(SEARCH("平",D7902)),"平","仄")))</x:f>
        <x:v>平</x:v>
      </x:c>
      <x:c r="L7902" s="7" t="str">
        <x:v>Pingshui main list expansion</x:v>
      </x:c>
    </x:row>
    <x:row r="7903">
      <x:c r="A7903" s="5" t="str">
        <x:v>襹</x:v>
      </x:c>
      <x:c r="B7903" s="6" t="str">
        <x:v>平</x:v>
      </x:c>
      <x:c r="C7903" s="6" t="str">
        <x:f>IF(B7903="","Needs decision","Ready")</x:f>
        <x:v>Ready</x:v>
      </x:c>
      <x:c r="D7903" s="6" t="str">
        <x:v>平</x:v>
      </x:c>
      <x:c r="E7903" s="6" t="str"/>
      <x:c r="F7903" s="6" t="str">
        <x:v>上平聲四支</x:v>
      </x:c>
      <x:c r="G7903" s="6" t="str">
        <x:v>Pingshui main list, Wikisource-derived DOCX</x:v>
      </x:c>
      <x:c r="H7903" s="6" t="str"/>
      <x:c r="I7903" s="6" t="str">
        <x:v>Pingshui main-list expansion; 詞 entries ignored</x:v>
      </x:c>
      <x:c r="J7903" s="6" t="str">
        <x:f>IF(B7903="","",IF(AND(ISNUMBER(SEARCH("平",B7903)),OR(ISNUMBER(SEARCH("上",B7903)),ISNUMBER(SEARCH("去",B7903)),ISNUMBER(SEARCH("入",B7903)))),"Ambiguous",IF(ISNUMBER(SEARCH("平",B7903)),"平","仄")))</x:f>
        <x:v>平</x:v>
      </x:c>
      <x:c r="K7903" s="6" t="str">
        <x:f>IF(D7903="","",IF(AND(ISNUMBER(SEARCH("平",D7903)),OR(ISNUMBER(SEARCH("上",D7903)),ISNUMBER(SEARCH("去",D7903)),ISNUMBER(SEARCH("入",D7903)))),"Ambiguous",IF(ISNUMBER(SEARCH("平",D7903)),"平","仄")))</x:f>
        <x:v>平</x:v>
      </x:c>
      <x:c r="L7903" s="7" t="str">
        <x:v>Pingshui main list expansion</x:v>
      </x:c>
    </x:row>
    <x:row r="7904">
      <x:c r="A7904" s="5" t="str">
        <x:v>襺</x:v>
      </x:c>
      <x:c r="B7904" s="6" t="str">
        <x:v>上</x:v>
      </x:c>
      <x:c r="C7904" s="6" t="str">
        <x:f>IF(B7904="","Needs decision","Ready")</x:f>
        <x:v>Ready</x:v>
      </x:c>
      <x:c r="D7904" s="6" t="str">
        <x:v>上</x:v>
      </x:c>
      <x:c r="E7904" s="6" t="str"/>
      <x:c r="F7904" s="6" t="str">
        <x:v>上聲十六銑</x:v>
      </x:c>
      <x:c r="G7904" s="6" t="str">
        <x:v>Pingshui main list, Wikisource-derived DOCX</x:v>
      </x:c>
      <x:c r="H7904" s="6" t="str"/>
      <x:c r="I7904" s="6" t="str">
        <x:v>Pingshui main-list expansion; 詞 entries ignored</x:v>
      </x:c>
      <x:c r="J7904" s="6" t="str">
        <x:f>IF(B7904="","",IF(AND(ISNUMBER(SEARCH("平",B7904)),OR(ISNUMBER(SEARCH("上",B7904)),ISNUMBER(SEARCH("去",B7904)),ISNUMBER(SEARCH("入",B7904)))),"Ambiguous",IF(ISNUMBER(SEARCH("平",B7904)),"平","仄")))</x:f>
        <x:v>仄</x:v>
      </x:c>
      <x:c r="K7904" s="6" t="str">
        <x:f>IF(D7904="","",IF(AND(ISNUMBER(SEARCH("平",D7904)),OR(ISNUMBER(SEARCH("上",D7904)),ISNUMBER(SEARCH("去",D7904)),ISNUMBER(SEARCH("入",D7904)))),"Ambiguous",IF(ISNUMBER(SEARCH("平",D7904)),"平","仄")))</x:f>
        <x:v>仄</x:v>
      </x:c>
      <x:c r="L7904" s="7" t="str">
        <x:v>Pingshui main list expansion</x:v>
      </x:c>
    </x:row>
    <x:row r="7905">
      <x:c r="A7905" s="5" t="str">
        <x:v>覗</x:v>
      </x:c>
      <x:c r="B7905" s="6" t="str">
        <x:v>平</x:v>
      </x:c>
      <x:c r="C7905" s="6" t="str">
        <x:f>IF(B7905="","Needs decision","Ready")</x:f>
        <x:v>Ready</x:v>
      </x:c>
      <x:c r="D7905" s="6" t="str">
        <x:v>平</x:v>
      </x:c>
      <x:c r="E7905" s="6" t="str"/>
      <x:c r="F7905" s="6" t="str">
        <x:v>上平聲四支</x:v>
      </x:c>
      <x:c r="G7905" s="6" t="str">
        <x:v>Pingshui main list, Wikisource-derived DOCX</x:v>
      </x:c>
      <x:c r="H7905" s="6" t="str"/>
      <x:c r="I7905" s="6" t="str">
        <x:v>Pingshui main-list expansion; 詞 entries ignored</x:v>
      </x:c>
      <x:c r="J7905" s="6" t="str">
        <x:f>IF(B7905="","",IF(AND(ISNUMBER(SEARCH("平",B7905)),OR(ISNUMBER(SEARCH("上",B7905)),ISNUMBER(SEARCH("去",B7905)),ISNUMBER(SEARCH("入",B7905)))),"Ambiguous",IF(ISNUMBER(SEARCH("平",B7905)),"平","仄")))</x:f>
        <x:v>平</x:v>
      </x:c>
      <x:c r="K7905" s="6" t="str">
        <x:f>IF(D7905="","",IF(AND(ISNUMBER(SEARCH("平",D7905)),OR(ISNUMBER(SEARCH("上",D7905)),ISNUMBER(SEARCH("去",D7905)),ISNUMBER(SEARCH("入",D7905)))),"Ambiguous",IF(ISNUMBER(SEARCH("平",D7905)),"平","仄")))</x:f>
        <x:v>平</x:v>
      </x:c>
      <x:c r="L7905" s="7" t="str">
        <x:v>Pingshui main list expansion</x:v>
      </x:c>
    </x:row>
    <x:row r="7906">
      <x:c r="A7906" s="5" t="str">
        <x:v>覡</x:v>
      </x:c>
      <x:c r="B7906" s="6" t="str">
        <x:v>入</x:v>
      </x:c>
      <x:c r="C7906" s="6" t="str">
        <x:f>IF(B7906="","Needs decision","Ready")</x:f>
        <x:v>Ready</x:v>
      </x:c>
      <x:c r="D7906" s="6" t="str">
        <x:v>入</x:v>
      </x:c>
      <x:c r="E7906" s="6" t="str"/>
      <x:c r="F7906" s="6" t="str">
        <x:v>入聲十二錫</x:v>
      </x:c>
      <x:c r="G7906" s="6" t="str">
        <x:v>Pingshui main list, Wikisource-derived DOCX</x:v>
      </x:c>
      <x:c r="H7906" s="6" t="str"/>
      <x:c r="I7906" s="6" t="str">
        <x:v>Pingshui main-list expansion; 詞 entries ignored</x:v>
      </x:c>
      <x:c r="J7906" s="6" t="str">
        <x:f>IF(B7906="","",IF(AND(ISNUMBER(SEARCH("平",B7906)),OR(ISNUMBER(SEARCH("上",B7906)),ISNUMBER(SEARCH("去",B7906)),ISNUMBER(SEARCH("入",B7906)))),"Ambiguous",IF(ISNUMBER(SEARCH("平",B7906)),"平","仄")))</x:f>
        <x:v>仄</x:v>
      </x:c>
      <x:c r="K7906" s="6" t="str">
        <x:f>IF(D7906="","",IF(AND(ISNUMBER(SEARCH("平",D7906)),OR(ISNUMBER(SEARCH("上",D7906)),ISNUMBER(SEARCH("去",D7906)),ISNUMBER(SEARCH("入",D7906)))),"Ambiguous",IF(ISNUMBER(SEARCH("平",D7906)),"平","仄")))</x:f>
        <x:v>仄</x:v>
      </x:c>
      <x:c r="L7906" s="7" t="str">
        <x:v>Pingshui main list expansion</x:v>
      </x:c>
    </x:row>
    <x:row r="7907">
      <x:c r="A7907" s="5" t="str">
        <x:v>覦</x:v>
      </x:c>
      <x:c r="B7907" s="6" t="str">
        <x:v>平</x:v>
      </x:c>
      <x:c r="C7907" s="6" t="str">
        <x:f>IF(B7907="","Needs decision","Ready")</x:f>
        <x:v>Ready</x:v>
      </x:c>
      <x:c r="D7907" s="6" t="str">
        <x:v>平</x:v>
      </x:c>
      <x:c r="E7907" s="6" t="str"/>
      <x:c r="F7907" s="6" t="str">
        <x:v>上平聲七虞</x:v>
      </x:c>
      <x:c r="G7907" s="6" t="str">
        <x:v>Pingshui main list, Wikisource-derived DOCX</x:v>
      </x:c>
      <x:c r="H7907" s="6" t="str"/>
      <x:c r="I7907" s="6" t="str">
        <x:v>Pingshui main-list expansion; 詞 entries ignored</x:v>
      </x:c>
      <x:c r="J7907" s="6" t="str">
        <x:f>IF(B7907="","",IF(AND(ISNUMBER(SEARCH("平",B7907)),OR(ISNUMBER(SEARCH("上",B7907)),ISNUMBER(SEARCH("去",B7907)),ISNUMBER(SEARCH("入",B7907)))),"Ambiguous",IF(ISNUMBER(SEARCH("平",B7907)),"平","仄")))</x:f>
        <x:v>平</x:v>
      </x:c>
      <x:c r="K7907" s="6" t="str">
        <x:f>IF(D7907="","",IF(AND(ISNUMBER(SEARCH("平",D7907)),OR(ISNUMBER(SEARCH("上",D7907)),ISNUMBER(SEARCH("去",D7907)),ISNUMBER(SEARCH("入",D7907)))),"Ambiguous",IF(ISNUMBER(SEARCH("平",D7907)),"平","仄")))</x:f>
        <x:v>平</x:v>
      </x:c>
      <x:c r="L7907" s="7" t="str">
        <x:v>Pingshui main list expansion</x:v>
      </x:c>
    </x:row>
    <x:row r="7908">
      <x:c r="A7908" s="5" t="str">
        <x:v>觖</x:v>
      </x:c>
      <x:c r="B7908" s="6" t="str">
        <x:v>入</x:v>
      </x:c>
      <x:c r="C7908" s="6" t="str">
        <x:f>IF(B7908="","Needs decision","Ready")</x:f>
        <x:v>Ready</x:v>
      </x:c>
      <x:c r="D7908" s="6" t="str">
        <x:v>入</x:v>
      </x:c>
      <x:c r="E7908" s="6" t="str"/>
      <x:c r="F7908" s="6" t="str">
        <x:v>入聲九屑</x:v>
      </x:c>
      <x:c r="G7908" s="6" t="str">
        <x:v>Pingshui main list, Wikisource-derived DOCX</x:v>
      </x:c>
      <x:c r="H7908" s="6" t="str"/>
      <x:c r="I7908" s="6" t="str">
        <x:v>Pingshui main-list expansion; 詞 entries ignored</x:v>
      </x:c>
      <x:c r="J7908" s="6" t="str">
        <x:f>IF(B7908="","",IF(AND(ISNUMBER(SEARCH("平",B7908)),OR(ISNUMBER(SEARCH("上",B7908)),ISNUMBER(SEARCH("去",B7908)),ISNUMBER(SEARCH("入",B7908)))),"Ambiguous",IF(ISNUMBER(SEARCH("平",B7908)),"平","仄")))</x:f>
        <x:v>仄</x:v>
      </x:c>
      <x:c r="K7908" s="6" t="str">
        <x:f>IF(D7908="","",IF(AND(ISNUMBER(SEARCH("平",D7908)),OR(ISNUMBER(SEARCH("上",D7908)),ISNUMBER(SEARCH("去",D7908)),ISNUMBER(SEARCH("入",D7908)))),"Ambiguous",IF(ISNUMBER(SEARCH("平",D7908)),"平","仄")))</x:f>
        <x:v>仄</x:v>
      </x:c>
      <x:c r="L7908" s="7" t="str">
        <x:v>Pingshui main list expansion</x:v>
      </x:c>
    </x:row>
    <x:row r="7909">
      <x:c r="A7909" s="5" t="str">
        <x:v>觡</x:v>
      </x:c>
      <x:c r="B7909" s="6" t="str">
        <x:v>入</x:v>
      </x:c>
      <x:c r="C7909" s="6" t="str">
        <x:f>IF(B7909="","Needs decision","Ready")</x:f>
        <x:v>Ready</x:v>
      </x:c>
      <x:c r="D7909" s="6" t="str">
        <x:v>入</x:v>
      </x:c>
      <x:c r="E7909" s="6" t="str"/>
      <x:c r="F7909" s="6" t="str">
        <x:v>入聲十一陌</x:v>
      </x:c>
      <x:c r="G7909" s="6" t="str">
        <x:v>Pingshui main list, Wikisource-derived DOCX</x:v>
      </x:c>
      <x:c r="H7909" s="6" t="str"/>
      <x:c r="I7909" s="6" t="str">
        <x:v>Pingshui main-list expansion; 詞 entries ignored</x:v>
      </x:c>
      <x:c r="J7909" s="6" t="str">
        <x:f>IF(B7909="","",IF(AND(ISNUMBER(SEARCH("平",B7909)),OR(ISNUMBER(SEARCH("上",B7909)),ISNUMBER(SEARCH("去",B7909)),ISNUMBER(SEARCH("入",B7909)))),"Ambiguous",IF(ISNUMBER(SEARCH("平",B7909)),"平","仄")))</x:f>
        <x:v>仄</x:v>
      </x:c>
      <x:c r="K7909" s="6" t="str">
        <x:f>IF(D7909="","",IF(AND(ISNUMBER(SEARCH("平",D7909)),OR(ISNUMBER(SEARCH("上",D7909)),ISNUMBER(SEARCH("去",D7909)),ISNUMBER(SEARCH("入",D7909)))),"Ambiguous",IF(ISNUMBER(SEARCH("平",D7909)),"平","仄")))</x:f>
        <x:v>仄</x:v>
      </x:c>
      <x:c r="L7909" s="7" t="str">
        <x:v>Pingshui main list expansion</x:v>
      </x:c>
    </x:row>
    <x:row r="7910">
      <x:c r="A7910" s="5" t="str">
        <x:v>觩</x:v>
      </x:c>
      <x:c r="B7910" s="6" t="str">
        <x:v>平</x:v>
      </x:c>
      <x:c r="C7910" s="6" t="str">
        <x:f>IF(B7910="","Needs decision","Ready")</x:f>
        <x:v>Ready</x:v>
      </x:c>
      <x:c r="D7910" s="6" t="str">
        <x:v>平</x:v>
      </x:c>
      <x:c r="E7910" s="6" t="str"/>
      <x:c r="F7910" s="6" t="str">
        <x:v>下平聲十一尤</x:v>
      </x:c>
      <x:c r="G7910" s="6" t="str">
        <x:v>Pingshui main list, Wikisource-derived DOCX</x:v>
      </x:c>
      <x:c r="H7910" s="6" t="str"/>
      <x:c r="I7910" s="6" t="str">
        <x:v>Pingshui main-list expansion; 詞 entries ignored</x:v>
      </x:c>
      <x:c r="J7910" s="6" t="str">
        <x:f>IF(B7910="","",IF(AND(ISNUMBER(SEARCH("平",B7910)),OR(ISNUMBER(SEARCH("上",B7910)),ISNUMBER(SEARCH("去",B7910)),ISNUMBER(SEARCH("入",B7910)))),"Ambiguous",IF(ISNUMBER(SEARCH("平",B7910)),"平","仄")))</x:f>
        <x:v>平</x:v>
      </x:c>
      <x:c r="K7910" s="6" t="str">
        <x:f>IF(D7910="","",IF(AND(ISNUMBER(SEARCH("平",D7910)),OR(ISNUMBER(SEARCH("上",D7910)),ISNUMBER(SEARCH("去",D7910)),ISNUMBER(SEARCH("入",D7910)))),"Ambiguous",IF(ISNUMBER(SEARCH("平",D7910)),"平","仄")))</x:f>
        <x:v>平</x:v>
      </x:c>
      <x:c r="L7910" s="7" t="str">
        <x:v>Pingshui main list expansion</x:v>
      </x:c>
    </x:row>
    <x:row r="7911">
      <x:c r="A7911" s="5" t="str">
        <x:v>觭</x:v>
      </x:c>
      <x:c r="B7911" s="6" t="str">
        <x:v>平</x:v>
      </x:c>
      <x:c r="C7911" s="6" t="str">
        <x:f>IF(B7911="","Needs decision","Ready")</x:f>
        <x:v>Ready</x:v>
      </x:c>
      <x:c r="D7911" s="6" t="str">
        <x:v>平</x:v>
      </x:c>
      <x:c r="E7911" s="6" t="str"/>
      <x:c r="F7911" s="6" t="str">
        <x:v>上平聲四支</x:v>
      </x:c>
      <x:c r="G7911" s="6" t="str">
        <x:v>Pingshui main list, Wikisource-derived DOCX</x:v>
      </x:c>
      <x:c r="H7911" s="6" t="str"/>
      <x:c r="I7911" s="6" t="str">
        <x:v>Pingshui main-list expansion; 詞 entries ignored</x:v>
      </x:c>
      <x:c r="J7911" s="6" t="str">
        <x:f>IF(B7911="","",IF(AND(ISNUMBER(SEARCH("平",B7911)),OR(ISNUMBER(SEARCH("上",B7911)),ISNUMBER(SEARCH("去",B7911)),ISNUMBER(SEARCH("入",B7911)))),"Ambiguous",IF(ISNUMBER(SEARCH("平",B7911)),"平","仄")))</x:f>
        <x:v>平</x:v>
      </x:c>
      <x:c r="K7911" s="6" t="str">
        <x:f>IF(D7911="","",IF(AND(ISNUMBER(SEARCH("平",D7911)),OR(ISNUMBER(SEARCH("上",D7911)),ISNUMBER(SEARCH("去",D7911)),ISNUMBER(SEARCH("入",D7911)))),"Ambiguous",IF(ISNUMBER(SEARCH("平",D7911)),"平","仄")))</x:f>
        <x:v>平</x:v>
      </x:c>
      <x:c r="L7911" s="7" t="str">
        <x:v>Pingshui main list expansion</x:v>
      </x:c>
    </x:row>
    <x:row r="7912">
      <x:c r="A7912" s="5" t="str">
        <x:v>觺</x:v>
      </x:c>
      <x:c r="B7912" s="6" t="str">
        <x:v>平</x:v>
      </x:c>
      <x:c r="C7912" s="6" t="str">
        <x:f>IF(B7912="","Needs decision","Ready")</x:f>
        <x:v>Ready</x:v>
      </x:c>
      <x:c r="D7912" s="6" t="str">
        <x:v>平</x:v>
      </x:c>
      <x:c r="E7912" s="6" t="str"/>
      <x:c r="F7912" s="6" t="str">
        <x:v>上平聲四支</x:v>
      </x:c>
      <x:c r="G7912" s="6" t="str">
        <x:v>Pingshui main list, Wikisource-derived DOCX</x:v>
      </x:c>
      <x:c r="H7912" s="6" t="str"/>
      <x:c r="I7912" s="6" t="str">
        <x:v>Pingshui main-list expansion; 詞 entries ignored</x:v>
      </x:c>
      <x:c r="J7912" s="6" t="str">
        <x:f>IF(B7912="","",IF(AND(ISNUMBER(SEARCH("平",B7912)),OR(ISNUMBER(SEARCH("上",B7912)),ISNUMBER(SEARCH("去",B7912)),ISNUMBER(SEARCH("入",B7912)))),"Ambiguous",IF(ISNUMBER(SEARCH("平",B7912)),"平","仄")))</x:f>
        <x:v>平</x:v>
      </x:c>
      <x:c r="K7912" s="6" t="str">
        <x:f>IF(D7912="","",IF(AND(ISNUMBER(SEARCH("平",D7912)),OR(ISNUMBER(SEARCH("上",D7912)),ISNUMBER(SEARCH("去",D7912)),ISNUMBER(SEARCH("入",D7912)))),"Ambiguous",IF(ISNUMBER(SEARCH("平",D7912)),"平","仄")))</x:f>
        <x:v>平</x:v>
      </x:c>
      <x:c r="L7912" s="7" t="str">
        <x:v>Pingshui main list expansion</x:v>
      </x:c>
    </x:row>
    <x:row r="7913">
      <x:c r="A7913" s="5" t="str">
        <x:v>訃</x:v>
      </x:c>
      <x:c r="B7913" s="6" t="str">
        <x:v>去</x:v>
      </x:c>
      <x:c r="C7913" s="6" t="str">
        <x:f>IF(B7913="","Needs decision","Ready")</x:f>
        <x:v>Ready</x:v>
      </x:c>
      <x:c r="D7913" s="6" t="str">
        <x:v>去</x:v>
      </x:c>
      <x:c r="E7913" s="6" t="str"/>
      <x:c r="F7913" s="6" t="str">
        <x:v>去聲七遇</x:v>
      </x:c>
      <x:c r="G7913" s="6" t="str">
        <x:v>Pingshui main list, Wikisource-derived DOCX</x:v>
      </x:c>
      <x:c r="H7913" s="6" t="str"/>
      <x:c r="I7913" s="6" t="str">
        <x:v>Pingshui main-list expansion; 詞 entries ignored</x:v>
      </x:c>
      <x:c r="J7913" s="6" t="str">
        <x:f>IF(B7913="","",IF(AND(ISNUMBER(SEARCH("平",B7913)),OR(ISNUMBER(SEARCH("上",B7913)),ISNUMBER(SEARCH("去",B7913)),ISNUMBER(SEARCH("入",B7913)))),"Ambiguous",IF(ISNUMBER(SEARCH("平",B7913)),"平","仄")))</x:f>
        <x:v>仄</x:v>
      </x:c>
      <x:c r="K7913" s="6" t="str">
        <x:f>IF(D7913="","",IF(AND(ISNUMBER(SEARCH("平",D7913)),OR(ISNUMBER(SEARCH("上",D7913)),ISNUMBER(SEARCH("去",D7913)),ISNUMBER(SEARCH("入",D7913)))),"Ambiguous",IF(ISNUMBER(SEARCH("平",D7913)),"平","仄")))</x:f>
        <x:v>仄</x:v>
      </x:c>
      <x:c r="L7913" s="7" t="str">
        <x:v>Pingshui main list expansion</x:v>
      </x:c>
    </x:row>
    <x:row r="7914">
      <x:c r="A7914" s="5" t="str">
        <x:v>訌</x:v>
      </x:c>
      <x:c r="B7914" s="6" t="str">
        <x:v>平</x:v>
      </x:c>
      <x:c r="C7914" s="6" t="str">
        <x:f>IF(B7914="","Needs decision","Ready")</x:f>
        <x:v>Ready</x:v>
      </x:c>
      <x:c r="D7914" s="6" t="str">
        <x:v>平</x:v>
      </x:c>
      <x:c r="E7914" s="6" t="str"/>
      <x:c r="F7914" s="6" t="str">
        <x:v>上平聲一東</x:v>
      </x:c>
      <x:c r="G7914" s="6" t="str">
        <x:v>Pingshui main list, Wikisource-derived DOCX</x:v>
      </x:c>
      <x:c r="H7914" s="6" t="str"/>
      <x:c r="I7914" s="6" t="str">
        <x:v>Pingshui main-list expansion; 詞 entries ignored</x:v>
      </x:c>
      <x:c r="J7914" s="6" t="str">
        <x:f>IF(B7914="","",IF(AND(ISNUMBER(SEARCH("平",B7914)),OR(ISNUMBER(SEARCH("上",B7914)),ISNUMBER(SEARCH("去",B7914)),ISNUMBER(SEARCH("入",B7914)))),"Ambiguous",IF(ISNUMBER(SEARCH("平",B7914)),"平","仄")))</x:f>
        <x:v>平</x:v>
      </x:c>
      <x:c r="K7914" s="6" t="str">
        <x:f>IF(D7914="","",IF(AND(ISNUMBER(SEARCH("平",D7914)),OR(ISNUMBER(SEARCH("上",D7914)),ISNUMBER(SEARCH("去",D7914)),ISNUMBER(SEARCH("入",D7914)))),"Ambiguous",IF(ISNUMBER(SEARCH("平",D7914)),"平","仄")))</x:f>
        <x:v>平</x:v>
      </x:c>
      <x:c r="L7914" s="7" t="str">
        <x:v>Pingshui main list expansion</x:v>
      </x:c>
    </x:row>
    <x:row r="7915">
      <x:c r="A7915" s="5" t="str">
        <x:v>訒</x:v>
      </x:c>
      <x:c r="B7915" s="6" t="str">
        <x:v>去</x:v>
      </x:c>
      <x:c r="C7915" s="6" t="str">
        <x:f>IF(B7915="","Needs decision","Ready")</x:f>
        <x:v>Ready</x:v>
      </x:c>
      <x:c r="D7915" s="6" t="str">
        <x:v>去</x:v>
      </x:c>
      <x:c r="E7915" s="6" t="str"/>
      <x:c r="F7915" s="6" t="str">
        <x:v>去聲十二震</x:v>
      </x:c>
      <x:c r="G7915" s="6" t="str">
        <x:v>Pingshui main list, Wikisource-derived DOCX</x:v>
      </x:c>
      <x:c r="H7915" s="6" t="str"/>
      <x:c r="I7915" s="6" t="str">
        <x:v>Pingshui main-list expansion; 詞 entries ignored</x:v>
      </x:c>
      <x:c r="J7915" s="6" t="str">
        <x:f>IF(B7915="","",IF(AND(ISNUMBER(SEARCH("平",B7915)),OR(ISNUMBER(SEARCH("上",B7915)),ISNUMBER(SEARCH("去",B7915)),ISNUMBER(SEARCH("入",B7915)))),"Ambiguous",IF(ISNUMBER(SEARCH("平",B7915)),"平","仄")))</x:f>
        <x:v>仄</x:v>
      </x:c>
      <x:c r="K7915" s="6" t="str">
        <x:f>IF(D7915="","",IF(AND(ISNUMBER(SEARCH("平",D7915)),OR(ISNUMBER(SEARCH("上",D7915)),ISNUMBER(SEARCH("去",D7915)),ISNUMBER(SEARCH("入",D7915)))),"Ambiguous",IF(ISNUMBER(SEARCH("平",D7915)),"平","仄")))</x:f>
        <x:v>仄</x:v>
      </x:c>
      <x:c r="L7915" s="7" t="str">
        <x:v>Pingshui main list expansion</x:v>
      </x:c>
    </x:row>
    <x:row r="7916">
      <x:c r="A7916" s="5" t="str">
        <x:v>訬</x:v>
      </x:c>
      <x:c r="B7916" s="6" t="str"/>
      <x:c r="C7916" s="6" t="str">
        <x:f>IF(B7916="","Needs decision","Ready")</x:f>
        <x:v>Needs decision</x:v>
      </x:c>
      <x:c r="D7916" s="6" t="str">
        <x:v>平/上</x:v>
      </x:c>
      <x:c r="E7916" s="6" t="str"/>
      <x:c r="F7916" s="6" t="str">
        <x:v>下平聲三肴; 上聲十七篠</x:v>
      </x:c>
      <x:c r="G7916" s="6" t="str">
        <x:v>Pingshui main list, Wikisource-derived DOCX</x:v>
      </x:c>
      <x:c r="H7916" s="6" t="str"/>
      <x:c r="I7916" s="6" t="str">
        <x:v>Pingshui main-list expansion; 詞 entries ignored</x:v>
      </x:c>
      <x:c r="J7916" s="6" t="str">
        <x:f>IF(B7916="","",IF(AND(ISNUMBER(SEARCH("平",B7916)),OR(ISNUMBER(SEARCH("上",B7916)),ISNUMBER(SEARCH("去",B7916)),ISNUMBER(SEARCH("入",B7916)))),"Ambiguous",IF(ISNUMBER(SEARCH("平",B7916)),"平","仄")))</x:f>
      </x:c>
      <x:c r="K7916" s="6" t="str">
        <x:f>IF(D7916="","",IF(AND(ISNUMBER(SEARCH("平",D7916)),OR(ISNUMBER(SEARCH("上",D7916)),ISNUMBER(SEARCH("去",D7916)),ISNUMBER(SEARCH("入",D7916)))),"Ambiguous",IF(ISNUMBER(SEARCH("平",D7916)),"平","仄")))</x:f>
        <x:v>Ambiguous</x:v>
      </x:c>
      <x:c r="L7916" s="7" t="str">
        <x:v>Pingshui main list expansion</x:v>
      </x:c>
    </x:row>
    <x:row r="7917">
      <x:c r="A7917" s="5" t="str">
        <x:v>詀</x:v>
      </x:c>
      <x:c r="B7917" s="6" t="str">
        <x:v>平</x:v>
      </x:c>
      <x:c r="C7917" s="6" t="str">
        <x:f>IF(B7917="","Needs decision","Ready")</x:f>
        <x:v>Ready</x:v>
      </x:c>
      <x:c r="D7917" s="6" t="str">
        <x:v>平</x:v>
      </x:c>
      <x:c r="E7917" s="6" t="str"/>
      <x:c r="F7917" s="6" t="str">
        <x:v>下平聲十四鹽; 下平聲十五咸</x:v>
      </x:c>
      <x:c r="G7917" s="6" t="str">
        <x:v>Pingshui main list, Wikisource-derived DOCX</x:v>
      </x:c>
      <x:c r="H7917" s="6" t="str"/>
      <x:c r="I7917" s="6" t="str">
        <x:v>Pingshui main-list expansion; 詞 entries ignored</x:v>
      </x:c>
      <x:c r="J7917" s="6" t="str">
        <x:f>IF(B7917="","",IF(AND(ISNUMBER(SEARCH("平",B7917)),OR(ISNUMBER(SEARCH("上",B7917)),ISNUMBER(SEARCH("去",B7917)),ISNUMBER(SEARCH("入",B7917)))),"Ambiguous",IF(ISNUMBER(SEARCH("平",B7917)),"平","仄")))</x:f>
        <x:v>平</x:v>
      </x:c>
      <x:c r="K7917" s="6" t="str">
        <x:f>IF(D7917="","",IF(AND(ISNUMBER(SEARCH("平",D7917)),OR(ISNUMBER(SEARCH("上",D7917)),ISNUMBER(SEARCH("去",D7917)),ISNUMBER(SEARCH("入",D7917)))),"Ambiguous",IF(ISNUMBER(SEARCH("平",D7917)),"平","仄")))</x:f>
        <x:v>平</x:v>
      </x:c>
      <x:c r="L7917" s="7" t="str">
        <x:v>Pingshui main list expansion</x:v>
      </x:c>
    </x:row>
    <x:row r="7918">
      <x:c r="A7918" s="5" t="str">
        <x:v>詑</x:v>
      </x:c>
      <x:c r="B7918" s="6" t="str">
        <x:v>平</x:v>
      </x:c>
      <x:c r="C7918" s="6" t="str">
        <x:f>IF(B7918="","Needs decision","Ready")</x:f>
        <x:v>Ready</x:v>
      </x:c>
      <x:c r="D7918" s="6" t="str">
        <x:v>平</x:v>
      </x:c>
      <x:c r="E7918" s="6" t="str"/>
      <x:c r="F7918" s="6" t="str">
        <x:v>下平聲五歌</x:v>
      </x:c>
      <x:c r="G7918" s="6" t="str">
        <x:v>Pingshui main list, Wikisource-derived DOCX</x:v>
      </x:c>
      <x:c r="H7918" s="6" t="str"/>
      <x:c r="I7918" s="6" t="str">
        <x:v>Pingshui main-list expansion; 詞 entries ignored</x:v>
      </x:c>
      <x:c r="J7918" s="6" t="str">
        <x:f>IF(B7918="","",IF(AND(ISNUMBER(SEARCH("平",B7918)),OR(ISNUMBER(SEARCH("上",B7918)),ISNUMBER(SEARCH("去",B7918)),ISNUMBER(SEARCH("入",B7918)))),"Ambiguous",IF(ISNUMBER(SEARCH("平",B7918)),"平","仄")))</x:f>
        <x:v>平</x:v>
      </x:c>
      <x:c r="K7918" s="6" t="str">
        <x:f>IF(D7918="","",IF(AND(ISNUMBER(SEARCH("平",D7918)),OR(ISNUMBER(SEARCH("上",D7918)),ISNUMBER(SEARCH("去",D7918)),ISNUMBER(SEARCH("入",D7918)))),"Ambiguous",IF(ISNUMBER(SEARCH("平",D7918)),"平","仄")))</x:f>
        <x:v>平</x:v>
      </x:c>
      <x:c r="L7918" s="7" t="str">
        <x:v>Pingshui main list expansion</x:v>
      </x:c>
    </x:row>
    <x:row r="7919">
      <x:c r="A7919" s="5" t="str">
        <x:v>詗</x:v>
      </x:c>
      <x:c r="B7919" s="6" t="str"/>
      <x:c r="C7919" s="6" t="str">
        <x:f>IF(B7919="","Needs decision","Ready")</x:f>
        <x:v>Needs decision</x:v>
      </x:c>
      <x:c r="D7919" s="6" t="str">
        <x:v>上/去</x:v>
      </x:c>
      <x:c r="E7919" s="6" t="str"/>
      <x:c r="F7919" s="6" t="str">
        <x:v>上聲二十四迥; 去聲二十四敬</x:v>
      </x:c>
      <x:c r="G7919" s="6" t="str">
        <x:v>Pingshui main list, Wikisource-derived DOCX</x:v>
      </x:c>
      <x:c r="H7919" s="6" t="str"/>
      <x:c r="I7919" s="6" t="str">
        <x:v>Pingshui main-list expansion; 詞 entries ignored</x:v>
      </x:c>
      <x:c r="J7919" s="6" t="str">
        <x:f>IF(B7919="","",IF(AND(ISNUMBER(SEARCH("平",B7919)),OR(ISNUMBER(SEARCH("上",B7919)),ISNUMBER(SEARCH("去",B7919)),ISNUMBER(SEARCH("入",B7919)))),"Ambiguous",IF(ISNUMBER(SEARCH("平",B7919)),"平","仄")))</x:f>
      </x:c>
      <x:c r="K7919" s="6" t="str">
        <x:f>IF(D7919="","",IF(AND(ISNUMBER(SEARCH("平",D7919)),OR(ISNUMBER(SEARCH("上",D7919)),ISNUMBER(SEARCH("去",D7919)),ISNUMBER(SEARCH("入",D7919)))),"Ambiguous",IF(ISNUMBER(SEARCH("平",D7919)),"平","仄")))</x:f>
        <x:v>仄</x:v>
      </x:c>
      <x:c r="L7919" s="7" t="str">
        <x:v>Pingshui main list expansion</x:v>
      </x:c>
    </x:row>
    <x:row r="7920">
      <x:c r="A7920" s="5" t="str">
        <x:v>詨</x:v>
      </x:c>
      <x:c r="B7920" s="6" t="str">
        <x:v>平</x:v>
      </x:c>
      <x:c r="C7920" s="6" t="str">
        <x:f>IF(B7920="","Needs decision","Ready")</x:f>
        <x:v>Ready</x:v>
      </x:c>
      <x:c r="D7920" s="6" t="str">
        <x:v>平</x:v>
      </x:c>
      <x:c r="E7920" s="6" t="str"/>
      <x:c r="F7920" s="6" t="str">
        <x:v>下平聲三肴</x:v>
      </x:c>
      <x:c r="G7920" s="6" t="str">
        <x:v>Pingshui main list, Wikisource-derived DOCX</x:v>
      </x:c>
      <x:c r="H7920" s="6" t="str"/>
      <x:c r="I7920" s="6" t="str">
        <x:v>Pingshui main-list expansion; 詞 entries ignored</x:v>
      </x:c>
      <x:c r="J7920" s="6" t="str">
        <x:f>IF(B7920="","",IF(AND(ISNUMBER(SEARCH("平",B7920)),OR(ISNUMBER(SEARCH("上",B7920)),ISNUMBER(SEARCH("去",B7920)),ISNUMBER(SEARCH("入",B7920)))),"Ambiguous",IF(ISNUMBER(SEARCH("平",B7920)),"平","仄")))</x:f>
        <x:v>平</x:v>
      </x:c>
      <x:c r="K7920" s="6" t="str">
        <x:f>IF(D7920="","",IF(AND(ISNUMBER(SEARCH("平",D7920)),OR(ISNUMBER(SEARCH("上",D7920)),ISNUMBER(SEARCH("去",D7920)),ISNUMBER(SEARCH("入",D7920)))),"Ambiguous",IF(ISNUMBER(SEARCH("平",D7920)),"平","仄")))</x:f>
        <x:v>平</x:v>
      </x:c>
      <x:c r="L7920" s="7" t="str">
        <x:v>Pingshui main list expansion</x:v>
      </x:c>
    </x:row>
    <x:row r="7921">
      <x:c r="A7921" s="5" t="str">
        <x:v>詷</x:v>
      </x:c>
      <x:c r="B7921" s="6" t="str"/>
      <x:c r="C7921" s="6" t="str">
        <x:f>IF(B7921="","Needs decision","Ready")</x:f>
        <x:v>Needs decision</x:v>
      </x:c>
      <x:c r="D7921" s="6" t="str">
        <x:v>平/去</x:v>
      </x:c>
      <x:c r="E7921" s="6" t="str"/>
      <x:c r="F7921" s="6" t="str">
        <x:v>上平聲一東; 去聲一送</x:v>
      </x:c>
      <x:c r="G7921" s="6" t="str">
        <x:v>Pingshui main list, Wikisource-derived DOCX</x:v>
      </x:c>
      <x:c r="H7921" s="6" t="str"/>
      <x:c r="I7921" s="6" t="str">
        <x:v>Pingshui main-list expansion; 詞 entries ignored</x:v>
      </x:c>
      <x:c r="J7921" s="6" t="str">
        <x:f>IF(B7921="","",IF(AND(ISNUMBER(SEARCH("平",B7921)),OR(ISNUMBER(SEARCH("上",B7921)),ISNUMBER(SEARCH("去",B7921)),ISNUMBER(SEARCH("入",B7921)))),"Ambiguous",IF(ISNUMBER(SEARCH("平",B7921)),"平","仄")))</x:f>
      </x:c>
      <x:c r="K7921" s="6" t="str">
        <x:f>IF(D7921="","",IF(AND(ISNUMBER(SEARCH("平",D7921)),OR(ISNUMBER(SEARCH("上",D7921)),ISNUMBER(SEARCH("去",D7921)),ISNUMBER(SEARCH("入",D7921)))),"Ambiguous",IF(ISNUMBER(SEARCH("平",D7921)),"平","仄")))</x:f>
        <x:v>Ambiguous</x:v>
      </x:c>
      <x:c r="L7921" s="7" t="str">
        <x:v>Pingshui main list expansion</x:v>
      </x:c>
    </x:row>
    <x:row r="7922">
      <x:c r="A7922" s="5" t="str">
        <x:v>詼</x:v>
      </x:c>
      <x:c r="B7922" s="6" t="str">
        <x:v>平</x:v>
      </x:c>
      <x:c r="C7922" s="6" t="str">
        <x:f>IF(B7922="","Needs decision","Ready")</x:f>
        <x:v>Ready</x:v>
      </x:c>
      <x:c r="D7922" s="6" t="str">
        <x:v>平</x:v>
      </x:c>
      <x:c r="E7922" s="6" t="str"/>
      <x:c r="F7922" s="6" t="str">
        <x:v>上平聲十灰</x:v>
      </x:c>
      <x:c r="G7922" s="6" t="str">
        <x:v>Pingshui main list, Wikisource-derived DOCX</x:v>
      </x:c>
      <x:c r="H7922" s="6" t="str"/>
      <x:c r="I7922" s="6" t="str">
        <x:v>Pingshui main-list expansion; 詞 entries ignored</x:v>
      </x:c>
      <x:c r="J7922" s="6" t="str">
        <x:f>IF(B7922="","",IF(AND(ISNUMBER(SEARCH("平",B7922)),OR(ISNUMBER(SEARCH("上",B7922)),ISNUMBER(SEARCH("去",B7922)),ISNUMBER(SEARCH("入",B7922)))),"Ambiguous",IF(ISNUMBER(SEARCH("平",B7922)),"平","仄")))</x:f>
        <x:v>平</x:v>
      </x:c>
      <x:c r="K7922" s="6" t="str">
        <x:f>IF(D7922="","",IF(AND(ISNUMBER(SEARCH("平",D7922)),OR(ISNUMBER(SEARCH("上",D7922)),ISNUMBER(SEARCH("去",D7922)),ISNUMBER(SEARCH("入",D7922)))),"Ambiguous",IF(ISNUMBER(SEARCH("平",D7922)),"平","仄")))</x:f>
        <x:v>平</x:v>
      </x:c>
      <x:c r="L7922" s="7" t="str">
        <x:v>Pingshui main list expansion</x:v>
      </x:c>
    </x:row>
    <x:row r="7923">
      <x:c r="A7923" s="5" t="str">
        <x:v>詿</x:v>
      </x:c>
      <x:c r="B7923" s="6" t="str">
        <x:v>去</x:v>
      </x:c>
      <x:c r="C7923" s="6" t="str">
        <x:f>IF(B7923="","Needs decision","Ready")</x:f>
        <x:v>Ready</x:v>
      </x:c>
      <x:c r="D7923" s="6" t="str">
        <x:v>去</x:v>
      </x:c>
      <x:c r="E7923" s="6" t="str"/>
      <x:c r="F7923" s="6" t="str">
        <x:v>去聲十卦</x:v>
      </x:c>
      <x:c r="G7923" s="6" t="str">
        <x:v>Pingshui main list, Wikisource-derived DOCX</x:v>
      </x:c>
      <x:c r="H7923" s="6" t="str"/>
      <x:c r="I7923" s="6" t="str">
        <x:v>Pingshui main-list expansion; 詞 entries ignored</x:v>
      </x:c>
      <x:c r="J7923" s="6" t="str">
        <x:f>IF(B7923="","",IF(AND(ISNUMBER(SEARCH("平",B7923)),OR(ISNUMBER(SEARCH("上",B7923)),ISNUMBER(SEARCH("去",B7923)),ISNUMBER(SEARCH("入",B7923)))),"Ambiguous",IF(ISNUMBER(SEARCH("平",B7923)),"平","仄")))</x:f>
        <x:v>仄</x:v>
      </x:c>
      <x:c r="K7923" s="6" t="str">
        <x:f>IF(D7923="","",IF(AND(ISNUMBER(SEARCH("平",D7923)),OR(ISNUMBER(SEARCH("上",D7923)),ISNUMBER(SEARCH("去",D7923)),ISNUMBER(SEARCH("入",D7923)))),"Ambiguous",IF(ISNUMBER(SEARCH("平",D7923)),"平","仄")))</x:f>
        <x:v>仄</x:v>
      </x:c>
      <x:c r="L7923" s="7" t="str">
        <x:v>Pingshui main list expansion</x:v>
      </x:c>
    </x:row>
    <x:row r="7924">
      <x:c r="A7924" s="5" t="str">
        <x:v>誋</x:v>
      </x:c>
      <x:c r="B7924" s="6" t="str">
        <x:v>去</x:v>
      </x:c>
      <x:c r="C7924" s="6" t="str">
        <x:f>IF(B7924="","Needs decision","Ready")</x:f>
        <x:v>Ready</x:v>
      </x:c>
      <x:c r="D7924" s="6" t="str">
        <x:v>去</x:v>
      </x:c>
      <x:c r="E7924" s="6" t="str"/>
      <x:c r="F7924" s="6" t="str">
        <x:v>去聲四寘</x:v>
      </x:c>
      <x:c r="G7924" s="6" t="str">
        <x:v>Pingshui main list, Wikisource-derived DOCX</x:v>
      </x:c>
      <x:c r="H7924" s="6" t="str"/>
      <x:c r="I7924" s="6" t="str">
        <x:v>Pingshui main-list expansion; 詞 entries ignored</x:v>
      </x:c>
      <x:c r="J7924" s="6" t="str">
        <x:f>IF(B7924="","",IF(AND(ISNUMBER(SEARCH("平",B7924)),OR(ISNUMBER(SEARCH("上",B7924)),ISNUMBER(SEARCH("去",B7924)),ISNUMBER(SEARCH("入",B7924)))),"Ambiguous",IF(ISNUMBER(SEARCH("平",B7924)),"平","仄")))</x:f>
        <x:v>仄</x:v>
      </x:c>
      <x:c r="K7924" s="6" t="str">
        <x:f>IF(D7924="","",IF(AND(ISNUMBER(SEARCH("平",D7924)),OR(ISNUMBER(SEARCH("上",D7924)),ISNUMBER(SEARCH("去",D7924)),ISNUMBER(SEARCH("入",D7924)))),"Ambiguous",IF(ISNUMBER(SEARCH("平",D7924)),"平","仄")))</x:f>
        <x:v>仄</x:v>
      </x:c>
      <x:c r="L7924" s="7" t="str">
        <x:v>Pingshui main list expansion</x:v>
      </x:c>
    </x:row>
    <x:row r="7925">
      <x:c r="A7925" s="5" t="str">
        <x:v>誧</x:v>
      </x:c>
      <x:c r="B7925" s="6" t="str">
        <x:v>平</x:v>
      </x:c>
      <x:c r="C7925" s="6" t="str">
        <x:f>IF(B7925="","Needs decision","Ready")</x:f>
        <x:v>Ready</x:v>
      </x:c>
      <x:c r="D7925" s="6" t="str">
        <x:v>平</x:v>
      </x:c>
      <x:c r="E7925" s="6" t="str"/>
      <x:c r="F7925" s="6" t="str">
        <x:v>上平聲七虞</x:v>
      </x:c>
      <x:c r="G7925" s="6" t="str">
        <x:v>Pingshui main list, Wikisource-derived DOCX</x:v>
      </x:c>
      <x:c r="H7925" s="6" t="str"/>
      <x:c r="I7925" s="6" t="str">
        <x:v>Pingshui main-list expansion; 詞 entries ignored</x:v>
      </x:c>
      <x:c r="J7925" s="6" t="str">
        <x:f>IF(B7925="","",IF(AND(ISNUMBER(SEARCH("平",B7925)),OR(ISNUMBER(SEARCH("上",B7925)),ISNUMBER(SEARCH("去",B7925)),ISNUMBER(SEARCH("入",B7925)))),"Ambiguous",IF(ISNUMBER(SEARCH("平",B7925)),"平","仄")))</x:f>
        <x:v>平</x:v>
      </x:c>
      <x:c r="K7925" s="6" t="str">
        <x:f>IF(D7925="","",IF(AND(ISNUMBER(SEARCH("平",D7925)),OR(ISNUMBER(SEARCH("上",D7925)),ISNUMBER(SEARCH("去",D7925)),ISNUMBER(SEARCH("入",D7925)))),"Ambiguous",IF(ISNUMBER(SEARCH("平",D7925)),"平","仄")))</x:f>
        <x:v>平</x:v>
      </x:c>
      <x:c r="L7925" s="7" t="str">
        <x:v>Pingshui main list expansion</x:v>
      </x:c>
    </x:row>
    <x:row r="7926">
      <x:c r="A7926" s="5" t="str">
        <x:v>誻</x:v>
      </x:c>
      <x:c r="B7926" s="6" t="str">
        <x:v>入</x:v>
      </x:c>
      <x:c r="C7926" s="6" t="str">
        <x:f>IF(B7926="","Needs decision","Ready")</x:f>
        <x:v>Ready</x:v>
      </x:c>
      <x:c r="D7926" s="6" t="str">
        <x:v>入</x:v>
      </x:c>
      <x:c r="E7926" s="6" t="str"/>
      <x:c r="F7926" s="6" t="str">
        <x:v>入聲十五合</x:v>
      </x:c>
      <x:c r="G7926" s="6" t="str">
        <x:v>Pingshui main list, Wikisource-derived DOCX</x:v>
      </x:c>
      <x:c r="H7926" s="6" t="str"/>
      <x:c r="I7926" s="6" t="str">
        <x:v>Pingshui main-list expansion; 詞 entries ignored</x:v>
      </x:c>
      <x:c r="J7926" s="6" t="str">
        <x:f>IF(B7926="","",IF(AND(ISNUMBER(SEARCH("平",B7926)),OR(ISNUMBER(SEARCH("上",B7926)),ISNUMBER(SEARCH("去",B7926)),ISNUMBER(SEARCH("入",B7926)))),"Ambiguous",IF(ISNUMBER(SEARCH("平",B7926)),"平","仄")))</x:f>
        <x:v>仄</x:v>
      </x:c>
      <x:c r="K7926" s="6" t="str">
        <x:f>IF(D7926="","",IF(AND(ISNUMBER(SEARCH("平",D7926)),OR(ISNUMBER(SEARCH("上",D7926)),ISNUMBER(SEARCH("去",D7926)),ISNUMBER(SEARCH("入",D7926)))),"Ambiguous",IF(ISNUMBER(SEARCH("平",D7926)),"平","仄")))</x:f>
        <x:v>仄</x:v>
      </x:c>
      <x:c r="L7926" s="7" t="str">
        <x:v>Pingshui main list expansion</x:v>
      </x:c>
    </x:row>
    <x:row r="7927">
      <x:c r="A7927" s="5" t="str">
        <x:v>諆</x:v>
      </x:c>
      <x:c r="B7927" s="6" t="str">
        <x:v>平</x:v>
      </x:c>
      <x:c r="C7927" s="6" t="str">
        <x:f>IF(B7927="","Needs decision","Ready")</x:f>
        <x:v>Ready</x:v>
      </x:c>
      <x:c r="D7927" s="6" t="str">
        <x:v>平</x:v>
      </x:c>
      <x:c r="E7927" s="6" t="str"/>
      <x:c r="F7927" s="6" t="str">
        <x:v>上平聲四支</x:v>
      </x:c>
      <x:c r="G7927" s="6" t="str">
        <x:v>Pingshui main list, Wikisource-derived DOCX</x:v>
      </x:c>
      <x:c r="H7927" s="6" t="str"/>
      <x:c r="I7927" s="6" t="str">
        <x:v>Pingshui main-list expansion; 詞 entries ignored</x:v>
      </x:c>
      <x:c r="J7927" s="6" t="str">
        <x:f>IF(B7927="","",IF(AND(ISNUMBER(SEARCH("平",B7927)),OR(ISNUMBER(SEARCH("上",B7927)),ISNUMBER(SEARCH("去",B7927)),ISNUMBER(SEARCH("入",B7927)))),"Ambiguous",IF(ISNUMBER(SEARCH("平",B7927)),"平","仄")))</x:f>
        <x:v>平</x:v>
      </x:c>
      <x:c r="K7927" s="6" t="str">
        <x:f>IF(D7927="","",IF(AND(ISNUMBER(SEARCH("平",D7927)),OR(ISNUMBER(SEARCH("上",D7927)),ISNUMBER(SEARCH("去",D7927)),ISNUMBER(SEARCH("入",D7927)))),"Ambiguous",IF(ISNUMBER(SEARCH("平",D7927)),"平","仄")))</x:f>
        <x:v>平</x:v>
      </x:c>
      <x:c r="L7927" s="7" t="str">
        <x:v>Pingshui main list expansion</x:v>
      </x:c>
    </x:row>
    <x:row r="7928">
      <x:c r="A7928" s="5" t="str">
        <x:v>諑</x:v>
      </x:c>
      <x:c r="B7928" s="6" t="str">
        <x:v>入</x:v>
      </x:c>
      <x:c r="C7928" s="6" t="str">
        <x:f>IF(B7928="","Needs decision","Ready")</x:f>
        <x:v>Ready</x:v>
      </x:c>
      <x:c r="D7928" s="6" t="str">
        <x:v>入</x:v>
      </x:c>
      <x:c r="E7928" s="6" t="str"/>
      <x:c r="F7928" s="6" t="str">
        <x:v>入聲三覺</x:v>
      </x:c>
      <x:c r="G7928" s="6" t="str">
        <x:v>Pingshui main list, Wikisource-derived DOCX</x:v>
      </x:c>
      <x:c r="H7928" s="6" t="str"/>
      <x:c r="I7928" s="6" t="str">
        <x:v>Pingshui main-list expansion; 詞 entries ignored</x:v>
      </x:c>
      <x:c r="J7928" s="6" t="str">
        <x:f>IF(B7928="","",IF(AND(ISNUMBER(SEARCH("平",B7928)),OR(ISNUMBER(SEARCH("上",B7928)),ISNUMBER(SEARCH("去",B7928)),ISNUMBER(SEARCH("入",B7928)))),"Ambiguous",IF(ISNUMBER(SEARCH("平",B7928)),"平","仄")))</x:f>
        <x:v>仄</x:v>
      </x:c>
      <x:c r="K7928" s="6" t="str">
        <x:f>IF(D7928="","",IF(AND(ISNUMBER(SEARCH("平",D7928)),OR(ISNUMBER(SEARCH("上",D7928)),ISNUMBER(SEARCH("去",D7928)),ISNUMBER(SEARCH("入",D7928)))),"Ambiguous",IF(ISNUMBER(SEARCH("平",D7928)),"平","仄")))</x:f>
        <x:v>仄</x:v>
      </x:c>
      <x:c r="L7928" s="7" t="str">
        <x:v>Pingshui main list expansion</x:v>
      </x:c>
    </x:row>
    <x:row r="7929">
      <x:c r="A7929" s="5" t="str">
        <x:v>諓</x:v>
      </x:c>
      <x:c r="B7929" s="6" t="str"/>
      <x:c r="C7929" s="6" t="str">
        <x:f>IF(B7929="","Needs decision","Ready")</x:f>
        <x:v>Needs decision</x:v>
      </x:c>
      <x:c r="D7929" s="6" t="str">
        <x:v>平/上/去</x:v>
      </x:c>
      <x:c r="E7929" s="6" t="str"/>
      <x:c r="F7929" s="6" t="str">
        <x:v>下平聲一先; 上聲十六銑; 去聲十七霰</x:v>
      </x:c>
      <x:c r="G7929" s="6" t="str">
        <x:v>Pingshui main list, Wikisource-derived DOCX</x:v>
      </x:c>
      <x:c r="H7929" s="6" t="str"/>
      <x:c r="I7929" s="6" t="str">
        <x:v>Pingshui main-list expansion; 詞 entries ignored</x:v>
      </x:c>
      <x:c r="J7929" s="6" t="str">
        <x:f>IF(B7929="","",IF(AND(ISNUMBER(SEARCH("平",B7929)),OR(ISNUMBER(SEARCH("上",B7929)),ISNUMBER(SEARCH("去",B7929)),ISNUMBER(SEARCH("入",B7929)))),"Ambiguous",IF(ISNUMBER(SEARCH("平",B7929)),"平","仄")))</x:f>
      </x:c>
      <x:c r="K7929" s="6" t="str">
        <x:f>IF(D7929="","",IF(AND(ISNUMBER(SEARCH("平",D7929)),OR(ISNUMBER(SEARCH("上",D7929)),ISNUMBER(SEARCH("去",D7929)),ISNUMBER(SEARCH("入",D7929)))),"Ambiguous",IF(ISNUMBER(SEARCH("平",D7929)),"平","仄")))</x:f>
        <x:v>Ambiguous</x:v>
      </x:c>
      <x:c r="L7929" s="7" t="str">
        <x:v>Pingshui main list expansion</x:v>
      </x:c>
    </x:row>
    <x:row r="7930">
      <x:c r="A7930" s="5" t="str">
        <x:v>諝</x:v>
      </x:c>
      <x:c r="B7930" s="6" t="str"/>
      <x:c r="C7930" s="6" t="str">
        <x:f>IF(B7930="","Needs decision","Ready")</x:f>
        <x:v>Needs decision</x:v>
      </x:c>
      <x:c r="D7930" s="6" t="str">
        <x:v>平/上</x:v>
      </x:c>
      <x:c r="E7930" s="6" t="str"/>
      <x:c r="F7930" s="6" t="str">
        <x:v>上平聲六魚; 上聲六語</x:v>
      </x:c>
      <x:c r="G7930" s="6" t="str">
        <x:v>Pingshui main list, Wikisource-derived DOCX</x:v>
      </x:c>
      <x:c r="H7930" s="6" t="str"/>
      <x:c r="I7930" s="6" t="str">
        <x:v>Pingshui main-list expansion; 詞 entries ignored</x:v>
      </x:c>
      <x:c r="J7930" s="6" t="str">
        <x:f>IF(B7930="","",IF(AND(ISNUMBER(SEARCH("平",B7930)),OR(ISNUMBER(SEARCH("上",B7930)),ISNUMBER(SEARCH("去",B7930)),ISNUMBER(SEARCH("入",B7930)))),"Ambiguous",IF(ISNUMBER(SEARCH("平",B7930)),"平","仄")))</x:f>
      </x:c>
      <x:c r="K7930" s="6" t="str">
        <x:f>IF(D7930="","",IF(AND(ISNUMBER(SEARCH("平",D7930)),OR(ISNUMBER(SEARCH("上",D7930)),ISNUMBER(SEARCH("去",D7930)),ISNUMBER(SEARCH("入",D7930)))),"Ambiguous",IF(ISNUMBER(SEARCH("平",D7930)),"平","仄")))</x:f>
        <x:v>Ambiguous</x:v>
      </x:c>
      <x:c r="L7930" s="7" t="str">
        <x:v>Pingshui main list expansion</x:v>
      </x:c>
    </x:row>
    <x:row r="7931">
      <x:c r="A7931" s="5" t="str">
        <x:v>諟</x:v>
      </x:c>
      <x:c r="B7931" s="6" t="str">
        <x:v>上</x:v>
      </x:c>
      <x:c r="C7931" s="6" t="str">
        <x:f>IF(B7931="","Needs decision","Ready")</x:f>
        <x:v>Ready</x:v>
      </x:c>
      <x:c r="D7931" s="6" t="str">
        <x:v>上</x:v>
      </x:c>
      <x:c r="E7931" s="6" t="str"/>
      <x:c r="F7931" s="6" t="str">
        <x:v>上聲四紙</x:v>
      </x:c>
      <x:c r="G7931" s="6" t="str">
        <x:v>Pingshui main list, Wikisource-derived DOCX</x:v>
      </x:c>
      <x:c r="H7931" s="6" t="str"/>
      <x:c r="I7931" s="6" t="str">
        <x:v>Pingshui main-list expansion; 詞 entries ignored</x:v>
      </x:c>
      <x:c r="J7931" s="6" t="str">
        <x:f>IF(B7931="","",IF(AND(ISNUMBER(SEARCH("平",B7931)),OR(ISNUMBER(SEARCH("上",B7931)),ISNUMBER(SEARCH("去",B7931)),ISNUMBER(SEARCH("入",B7931)))),"Ambiguous",IF(ISNUMBER(SEARCH("平",B7931)),"平","仄")))</x:f>
        <x:v>仄</x:v>
      </x:c>
      <x:c r="K7931" s="6" t="str">
        <x:f>IF(D7931="","",IF(AND(ISNUMBER(SEARCH("平",D7931)),OR(ISNUMBER(SEARCH("上",D7931)),ISNUMBER(SEARCH("去",D7931)),ISNUMBER(SEARCH("入",D7931)))),"Ambiguous",IF(ISNUMBER(SEARCH("平",D7931)),"平","仄")))</x:f>
        <x:v>仄</x:v>
      </x:c>
      <x:c r="L7931" s="7" t="str">
        <x:v>Pingshui main list expansion</x:v>
      </x:c>
    </x:row>
    <x:row r="7932">
      <x:c r="A7932" s="5" t="str">
        <x:v>諵</x:v>
      </x:c>
      <x:c r="B7932" s="6" t="str">
        <x:v>平</x:v>
      </x:c>
      <x:c r="C7932" s="6" t="str">
        <x:f>IF(B7932="","Needs decision","Ready")</x:f>
        <x:v>Ready</x:v>
      </x:c>
      <x:c r="D7932" s="6" t="str">
        <x:v>平</x:v>
      </x:c>
      <x:c r="E7932" s="6" t="str"/>
      <x:c r="F7932" s="6" t="str">
        <x:v>下平聲十三覃</x:v>
      </x:c>
      <x:c r="G7932" s="6" t="str">
        <x:v>Pingshui main list, Wikisource-derived DOCX</x:v>
      </x:c>
      <x:c r="H7932" s="6" t="str"/>
      <x:c r="I7932" s="6" t="str">
        <x:v>Pingshui main-list expansion; 詞 entries ignored</x:v>
      </x:c>
      <x:c r="J7932" s="6" t="str">
        <x:f>IF(B7932="","",IF(AND(ISNUMBER(SEARCH("平",B7932)),OR(ISNUMBER(SEARCH("上",B7932)),ISNUMBER(SEARCH("去",B7932)),ISNUMBER(SEARCH("入",B7932)))),"Ambiguous",IF(ISNUMBER(SEARCH("平",B7932)),"平","仄")))</x:f>
        <x:v>平</x:v>
      </x:c>
      <x:c r="K7932" s="6" t="str">
        <x:f>IF(D7932="","",IF(AND(ISNUMBER(SEARCH("平",D7932)),OR(ISNUMBER(SEARCH("上",D7932)),ISNUMBER(SEARCH("去",D7932)),ISNUMBER(SEARCH("入",D7932)))),"Ambiguous",IF(ISNUMBER(SEARCH("平",D7932)),"平","仄")))</x:f>
        <x:v>平</x:v>
      </x:c>
      <x:c r="L7932" s="7" t="str">
        <x:v>Pingshui main list expansion</x:v>
      </x:c>
    </x:row>
    <x:row r="7933">
      <x:c r="A7933" s="5" t="str">
        <x:v>謄</x:v>
      </x:c>
      <x:c r="B7933" s="6" t="str">
        <x:v>平</x:v>
      </x:c>
      <x:c r="C7933" s="6" t="str">
        <x:f>IF(B7933="","Needs decision","Ready")</x:f>
        <x:v>Ready</x:v>
      </x:c>
      <x:c r="D7933" s="6" t="str">
        <x:v>平</x:v>
      </x:c>
      <x:c r="E7933" s="6" t="str"/>
      <x:c r="F7933" s="6" t="str">
        <x:v>下平聲十蒸</x:v>
      </x:c>
      <x:c r="G7933" s="6" t="str">
        <x:v>Pingshui main list, Wikisource-derived DOCX</x:v>
      </x:c>
      <x:c r="H7933" s="6" t="str"/>
      <x:c r="I7933" s="6" t="str">
        <x:v>Pingshui main-list expansion; 詞 entries ignored</x:v>
      </x:c>
      <x:c r="J7933" s="6" t="str">
        <x:f>IF(B7933="","",IF(AND(ISNUMBER(SEARCH("平",B7933)),OR(ISNUMBER(SEARCH("上",B7933)),ISNUMBER(SEARCH("去",B7933)),ISNUMBER(SEARCH("入",B7933)))),"Ambiguous",IF(ISNUMBER(SEARCH("平",B7933)),"平","仄")))</x:f>
        <x:v>平</x:v>
      </x:c>
      <x:c r="K7933" s="6" t="str">
        <x:f>IF(D7933="","",IF(AND(ISNUMBER(SEARCH("平",D7933)),OR(ISNUMBER(SEARCH("上",D7933)),ISNUMBER(SEARCH("去",D7933)),ISNUMBER(SEARCH("入",D7933)))),"Ambiguous",IF(ISNUMBER(SEARCH("平",D7933)),"平","仄")))</x:f>
        <x:v>平</x:v>
      </x:c>
      <x:c r="L7933" s="7" t="str">
        <x:v>Pingshui main list expansion</x:v>
      </x:c>
    </x:row>
    <x:row r="7934">
      <x:c r="A7934" s="5" t="str">
        <x:v>謅</x:v>
      </x:c>
      <x:c r="B7934" s="6" t="str">
        <x:v>平</x:v>
      </x:c>
      <x:c r="C7934" s="6" t="str">
        <x:f>IF(B7934="","Needs decision","Ready")</x:f>
        <x:v>Ready</x:v>
      </x:c>
      <x:c r="D7934" s="6" t="str">
        <x:v>平</x:v>
      </x:c>
      <x:c r="E7934" s="6" t="str"/>
      <x:c r="F7934" s="6" t="str">
        <x:v>下平聲十一尤</x:v>
      </x:c>
      <x:c r="G7934" s="6" t="str">
        <x:v>Pingshui main list, Wikisource-derived DOCX</x:v>
      </x:c>
      <x:c r="H7934" s="6" t="str"/>
      <x:c r="I7934" s="6" t="str">
        <x:v>Pingshui main-list expansion; 詞 entries ignored</x:v>
      </x:c>
      <x:c r="J7934" s="6" t="str">
        <x:f>IF(B7934="","",IF(AND(ISNUMBER(SEARCH("平",B7934)),OR(ISNUMBER(SEARCH("上",B7934)),ISNUMBER(SEARCH("去",B7934)),ISNUMBER(SEARCH("入",B7934)))),"Ambiguous",IF(ISNUMBER(SEARCH("平",B7934)),"平","仄")))</x:f>
        <x:v>平</x:v>
      </x:c>
      <x:c r="K7934" s="6" t="str">
        <x:f>IF(D7934="","",IF(AND(ISNUMBER(SEARCH("平",D7934)),OR(ISNUMBER(SEARCH("上",D7934)),ISNUMBER(SEARCH("去",D7934)),ISNUMBER(SEARCH("入",D7934)))),"Ambiguous",IF(ISNUMBER(SEARCH("平",D7934)),"平","仄")))</x:f>
        <x:v>平</x:v>
      </x:c>
      <x:c r="L7934" s="7" t="str">
        <x:v>Pingshui main list expansion</x:v>
      </x:c>
    </x:row>
    <x:row r="7935">
      <x:c r="A7935" s="5" t="str">
        <x:v>謈</x:v>
      </x:c>
      <x:c r="B7935" s="6" t="str">
        <x:v>入</x:v>
      </x:c>
      <x:c r="C7935" s="6" t="str">
        <x:f>IF(B7935="","Needs decision","Ready")</x:f>
        <x:v>Ready</x:v>
      </x:c>
      <x:c r="D7935" s="6" t="str">
        <x:v>入</x:v>
      </x:c>
      <x:c r="E7935" s="6" t="str"/>
      <x:c r="F7935" s="6" t="str">
        <x:v>入聲三覺</x:v>
      </x:c>
      <x:c r="G7935" s="6" t="str">
        <x:v>Pingshui main list, Wikisource-derived DOCX</x:v>
      </x:c>
      <x:c r="H7935" s="6" t="str"/>
      <x:c r="I7935" s="6" t="str">
        <x:v>Pingshui main-list expansion; 詞 entries ignored</x:v>
      </x:c>
      <x:c r="J7935" s="6" t="str">
        <x:f>IF(B7935="","",IF(AND(ISNUMBER(SEARCH("平",B7935)),OR(ISNUMBER(SEARCH("上",B7935)),ISNUMBER(SEARCH("去",B7935)),ISNUMBER(SEARCH("入",B7935)))),"Ambiguous",IF(ISNUMBER(SEARCH("平",B7935)),"平","仄")))</x:f>
        <x:v>仄</x:v>
      </x:c>
      <x:c r="K7935" s="6" t="str">
        <x:f>IF(D7935="","",IF(AND(ISNUMBER(SEARCH("平",D7935)),OR(ISNUMBER(SEARCH("上",D7935)),ISNUMBER(SEARCH("去",D7935)),ISNUMBER(SEARCH("入",D7935)))),"Ambiguous",IF(ISNUMBER(SEARCH("平",D7935)),"平","仄")))</x:f>
        <x:v>仄</x:v>
      </x:c>
      <x:c r="L7935" s="7" t="str">
        <x:v>Pingshui main list expansion</x:v>
      </x:c>
    </x:row>
    <x:row r="7936">
      <x:c r="A7936" s="5" t="str">
        <x:v>謏</x:v>
      </x:c>
      <x:c r="B7936" s="6" t="str">
        <x:v>去</x:v>
      </x:c>
      <x:c r="C7936" s="6" t="str">
        <x:f>IF(B7936="","Needs decision","Ready")</x:f>
        <x:v>Ready</x:v>
      </x:c>
      <x:c r="D7936" s="6" t="str">
        <x:v>去</x:v>
      </x:c>
      <x:c r="E7936" s="6" t="str"/>
      <x:c r="F7936" s="6" t="str">
        <x:v>去聲二十六宥</x:v>
      </x:c>
      <x:c r="G7936" s="6" t="str">
        <x:v>Pingshui main list, Wikisource-derived DOCX</x:v>
      </x:c>
      <x:c r="H7936" s="6" t="str"/>
      <x:c r="I7936" s="6" t="str">
        <x:v>Pingshui main-list expansion; 詞 entries ignored</x:v>
      </x:c>
      <x:c r="J7936" s="6" t="str">
        <x:f>IF(B7936="","",IF(AND(ISNUMBER(SEARCH("平",B7936)),OR(ISNUMBER(SEARCH("上",B7936)),ISNUMBER(SEARCH("去",B7936)),ISNUMBER(SEARCH("入",B7936)))),"Ambiguous",IF(ISNUMBER(SEARCH("平",B7936)),"平","仄")))</x:f>
        <x:v>仄</x:v>
      </x:c>
      <x:c r="K7936" s="6" t="str">
        <x:f>IF(D7936="","",IF(AND(ISNUMBER(SEARCH("平",D7936)),OR(ISNUMBER(SEARCH("上",D7936)),ISNUMBER(SEARCH("去",D7936)),ISNUMBER(SEARCH("入",D7936)))),"Ambiguous",IF(ISNUMBER(SEARCH("平",D7936)),"平","仄")))</x:f>
        <x:v>仄</x:v>
      </x:c>
      <x:c r="L7936" s="7" t="str">
        <x:v>Pingshui main list expansion</x:v>
      </x:c>
    </x:row>
    <x:row r="7937">
      <x:c r="A7937" s="5" t="str">
        <x:v>謞</x:v>
      </x:c>
      <x:c r="B7937" s="6" t="str">
        <x:v>入</x:v>
      </x:c>
      <x:c r="C7937" s="6" t="str">
        <x:f>IF(B7937="","Needs decision","Ready")</x:f>
        <x:v>Ready</x:v>
      </x:c>
      <x:c r="D7937" s="6" t="str">
        <x:v>入</x:v>
      </x:c>
      <x:c r="E7937" s="6" t="str"/>
      <x:c r="F7937" s="6" t="str">
        <x:v>入聲十藥</x:v>
      </x:c>
      <x:c r="G7937" s="6" t="str">
        <x:v>Pingshui main list, Wikisource-derived DOCX</x:v>
      </x:c>
      <x:c r="H7937" s="6" t="str"/>
      <x:c r="I7937" s="6" t="str">
        <x:v>Pingshui main-list expansion; 詞 entries ignored</x:v>
      </x:c>
      <x:c r="J7937" s="6" t="str">
        <x:f>IF(B7937="","",IF(AND(ISNUMBER(SEARCH("平",B7937)),OR(ISNUMBER(SEARCH("上",B7937)),ISNUMBER(SEARCH("去",B7937)),ISNUMBER(SEARCH("入",B7937)))),"Ambiguous",IF(ISNUMBER(SEARCH("平",B7937)),"平","仄")))</x:f>
        <x:v>仄</x:v>
      </x:c>
      <x:c r="K7937" s="6" t="str">
        <x:f>IF(D7937="","",IF(AND(ISNUMBER(SEARCH("平",D7937)),OR(ISNUMBER(SEARCH("上",D7937)),ISNUMBER(SEARCH("去",D7937)),ISNUMBER(SEARCH("入",D7937)))),"Ambiguous",IF(ISNUMBER(SEARCH("平",D7937)),"平","仄")))</x:f>
        <x:v>仄</x:v>
      </x:c>
      <x:c r="L7937" s="7" t="str">
        <x:v>Pingshui main list expansion</x:v>
      </x:c>
    </x:row>
    <x:row r="7938">
      <x:c r="A7938" s="5" t="str">
        <x:v>謥</x:v>
      </x:c>
      <x:c r="B7938" s="6" t="str">
        <x:v>去</x:v>
      </x:c>
      <x:c r="C7938" s="6" t="str">
        <x:f>IF(B7938="","Needs decision","Ready")</x:f>
        <x:v>Ready</x:v>
      </x:c>
      <x:c r="D7938" s="6" t="str">
        <x:v>去</x:v>
      </x:c>
      <x:c r="E7938" s="6" t="str"/>
      <x:c r="F7938" s="6" t="str">
        <x:v>去聲一送</x:v>
      </x:c>
      <x:c r="G7938" s="6" t="str">
        <x:v>Pingshui main list, Wikisource-derived DOCX</x:v>
      </x:c>
      <x:c r="H7938" s="6" t="str"/>
      <x:c r="I7938" s="6" t="str">
        <x:v>Pingshui main-list expansion; 詞 entries ignored</x:v>
      </x:c>
      <x:c r="J7938" s="6" t="str">
        <x:f>IF(B7938="","",IF(AND(ISNUMBER(SEARCH("平",B7938)),OR(ISNUMBER(SEARCH("上",B7938)),ISNUMBER(SEARCH("去",B7938)),ISNUMBER(SEARCH("入",B7938)))),"Ambiguous",IF(ISNUMBER(SEARCH("平",B7938)),"平","仄")))</x:f>
        <x:v>仄</x:v>
      </x:c>
      <x:c r="K7938" s="6" t="str">
        <x:f>IF(D7938="","",IF(AND(ISNUMBER(SEARCH("平",D7938)),OR(ISNUMBER(SEARCH("上",D7938)),ISNUMBER(SEARCH("去",D7938)),ISNUMBER(SEARCH("入",D7938)))),"Ambiguous",IF(ISNUMBER(SEARCH("平",D7938)),"平","仄")))</x:f>
        <x:v>仄</x:v>
      </x:c>
      <x:c r="L7938" s="7" t="str">
        <x:v>Pingshui main list expansion</x:v>
      </x:c>
    </x:row>
    <x:row r="7939">
      <x:c r="A7939" s="5" t="str">
        <x:v>謱</x:v>
      </x:c>
      <x:c r="B7939" s="6" t="str">
        <x:v>上</x:v>
      </x:c>
      <x:c r="C7939" s="6" t="str">
        <x:f>IF(B7939="","Needs decision","Ready")</x:f>
        <x:v>Ready</x:v>
      </x:c>
      <x:c r="D7939" s="6" t="str">
        <x:v>上</x:v>
      </x:c>
      <x:c r="E7939" s="6" t="str"/>
      <x:c r="F7939" s="6" t="str">
        <x:v>上聲七麌</x:v>
      </x:c>
      <x:c r="G7939" s="6" t="str">
        <x:v>Pingshui main list, Wikisource-derived DOCX</x:v>
      </x:c>
      <x:c r="H7939" s="6" t="str"/>
      <x:c r="I7939" s="6" t="str">
        <x:v>Pingshui main-list expansion; 詞 entries ignored</x:v>
      </x:c>
      <x:c r="J7939" s="6" t="str">
        <x:f>IF(B7939="","",IF(AND(ISNUMBER(SEARCH("平",B7939)),OR(ISNUMBER(SEARCH("上",B7939)),ISNUMBER(SEARCH("去",B7939)),ISNUMBER(SEARCH("入",B7939)))),"Ambiguous",IF(ISNUMBER(SEARCH("平",B7939)),"平","仄")))</x:f>
        <x:v>仄</x:v>
      </x:c>
      <x:c r="K7939" s="6" t="str">
        <x:f>IF(D7939="","",IF(AND(ISNUMBER(SEARCH("平",D7939)),OR(ISNUMBER(SEARCH("上",D7939)),ISNUMBER(SEARCH("去",D7939)),ISNUMBER(SEARCH("入",D7939)))),"Ambiguous",IF(ISNUMBER(SEARCH("平",D7939)),"平","仄")))</x:f>
        <x:v>仄</x:v>
      </x:c>
      <x:c r="L7939" s="7" t="str">
        <x:v>Pingshui main list expansion</x:v>
      </x:c>
    </x:row>
    <x:row r="7940">
      <x:c r="A7940" s="5" t="str">
        <x:v>謵</x:v>
      </x:c>
      <x:c r="B7940" s="6" t="str">
        <x:v>入</x:v>
      </x:c>
      <x:c r="C7940" s="6" t="str">
        <x:f>IF(B7940="","Needs decision","Ready")</x:f>
        <x:v>Ready</x:v>
      </x:c>
      <x:c r="D7940" s="6" t="str">
        <x:v>入</x:v>
      </x:c>
      <x:c r="E7940" s="6" t="str"/>
      <x:c r="F7940" s="6" t="str">
        <x:v>入聲十六葉</x:v>
      </x:c>
      <x:c r="G7940" s="6" t="str">
        <x:v>Pingshui main list, Wikisource-derived DOCX</x:v>
      </x:c>
      <x:c r="H7940" s="6" t="str"/>
      <x:c r="I7940" s="6" t="str">
        <x:v>Pingshui main-list expansion; 詞 entries ignored</x:v>
      </x:c>
      <x:c r="J7940" s="6" t="str">
        <x:f>IF(B7940="","",IF(AND(ISNUMBER(SEARCH("平",B7940)),OR(ISNUMBER(SEARCH("上",B7940)),ISNUMBER(SEARCH("去",B7940)),ISNUMBER(SEARCH("入",B7940)))),"Ambiguous",IF(ISNUMBER(SEARCH("平",B7940)),"平","仄")))</x:f>
        <x:v>仄</x:v>
      </x:c>
      <x:c r="K7940" s="6" t="str">
        <x:f>IF(D7940="","",IF(AND(ISNUMBER(SEARCH("平",D7940)),OR(ISNUMBER(SEARCH("上",D7940)),ISNUMBER(SEARCH("去",D7940)),ISNUMBER(SEARCH("入",D7940)))),"Ambiguous",IF(ISNUMBER(SEARCH("平",D7940)),"平","仄")))</x:f>
        <x:v>仄</x:v>
      </x:c>
      <x:c r="L7940" s="7" t="str">
        <x:v>Pingshui main list expansion</x:v>
      </x:c>
    </x:row>
    <x:row r="7941">
      <x:c r="A7941" s="5" t="str">
        <x:v>謷</x:v>
      </x:c>
      <x:c r="B7941" s="6" t="str">
        <x:v>平</x:v>
      </x:c>
      <x:c r="C7941" s="6" t="str">
        <x:f>IF(B7941="","Needs decision","Ready")</x:f>
        <x:v>Ready</x:v>
      </x:c>
      <x:c r="D7941" s="6" t="str">
        <x:v>平</x:v>
      </x:c>
      <x:c r="E7941" s="6" t="str"/>
      <x:c r="F7941" s="6" t="str">
        <x:v>下平聲三肴; 下平聲四豪</x:v>
      </x:c>
      <x:c r="G7941" s="6" t="str">
        <x:v>Pingshui main list, Wikisource-derived DOCX</x:v>
      </x:c>
      <x:c r="H7941" s="6" t="str"/>
      <x:c r="I7941" s="6" t="str">
        <x:v>Pingshui main-list expansion; 詞 entries ignored</x:v>
      </x:c>
      <x:c r="J7941" s="6" t="str">
        <x:f>IF(B7941="","",IF(AND(ISNUMBER(SEARCH("平",B7941)),OR(ISNUMBER(SEARCH("上",B7941)),ISNUMBER(SEARCH("去",B7941)),ISNUMBER(SEARCH("入",B7941)))),"Ambiguous",IF(ISNUMBER(SEARCH("平",B7941)),"平","仄")))</x:f>
        <x:v>平</x:v>
      </x:c>
      <x:c r="K7941" s="6" t="str">
        <x:f>IF(D7941="","",IF(AND(ISNUMBER(SEARCH("平",D7941)),OR(ISNUMBER(SEARCH("上",D7941)),ISNUMBER(SEARCH("去",D7941)),ISNUMBER(SEARCH("入",D7941)))),"Ambiguous",IF(ISNUMBER(SEARCH("平",D7941)),"平","仄")))</x:f>
        <x:v>平</x:v>
      </x:c>
      <x:c r="L7941" s="7" t="str">
        <x:v>Pingshui main list expansion</x:v>
      </x:c>
    </x:row>
    <x:row r="7942">
      <x:c r="A7942" s="5" t="str">
        <x:v>譑</x:v>
      </x:c>
      <x:c r="B7942" s="6" t="str">
        <x:v>上</x:v>
      </x:c>
      <x:c r="C7942" s="6" t="str">
        <x:f>IF(B7942="","Needs decision","Ready")</x:f>
        <x:v>Ready</x:v>
      </x:c>
      <x:c r="D7942" s="6" t="str">
        <x:v>上</x:v>
      </x:c>
      <x:c r="E7942" s="6" t="str"/>
      <x:c r="F7942" s="6" t="str">
        <x:v>上聲十七篠</x:v>
      </x:c>
      <x:c r="G7942" s="6" t="str">
        <x:v>Pingshui main list, Wikisource-derived DOCX</x:v>
      </x:c>
      <x:c r="H7942" s="6" t="str"/>
      <x:c r="I7942" s="6" t="str">
        <x:v>Pingshui main-list expansion; 詞 entries ignored</x:v>
      </x:c>
      <x:c r="J7942" s="6" t="str">
        <x:f>IF(B7942="","",IF(AND(ISNUMBER(SEARCH("平",B7942)),OR(ISNUMBER(SEARCH("上",B7942)),ISNUMBER(SEARCH("去",B7942)),ISNUMBER(SEARCH("入",B7942)))),"Ambiguous",IF(ISNUMBER(SEARCH("平",B7942)),"平","仄")))</x:f>
        <x:v>仄</x:v>
      </x:c>
      <x:c r="K7942" s="6" t="str">
        <x:f>IF(D7942="","",IF(AND(ISNUMBER(SEARCH("平",D7942)),OR(ISNUMBER(SEARCH("上",D7942)),ISNUMBER(SEARCH("去",D7942)),ISNUMBER(SEARCH("入",D7942)))),"Ambiguous",IF(ISNUMBER(SEARCH("平",D7942)),"平","仄")))</x:f>
        <x:v>仄</x:v>
      </x:c>
      <x:c r="L7942" s="7" t="str">
        <x:v>Pingshui main list expansion</x:v>
      </x:c>
    </x:row>
    <x:row r="7943">
      <x:c r="A7943" s="5" t="str">
        <x:v>譒</x:v>
      </x:c>
      <x:c r="B7943" s="6" t="str">
        <x:v>去</x:v>
      </x:c>
      <x:c r="C7943" s="6" t="str">
        <x:f>IF(B7943="","Needs decision","Ready")</x:f>
        <x:v>Ready</x:v>
      </x:c>
      <x:c r="D7943" s="6" t="str">
        <x:v>去</x:v>
      </x:c>
      <x:c r="E7943" s="6" t="str"/>
      <x:c r="F7943" s="6" t="str">
        <x:v>去聲二十一箇</x:v>
      </x:c>
      <x:c r="G7943" s="6" t="str">
        <x:v>Pingshui main list, Wikisource-derived DOCX</x:v>
      </x:c>
      <x:c r="H7943" s="6" t="str"/>
      <x:c r="I7943" s="6" t="str">
        <x:v>Pingshui main-list expansion; 詞 entries ignored</x:v>
      </x:c>
      <x:c r="J7943" s="6" t="str">
        <x:f>IF(B7943="","",IF(AND(ISNUMBER(SEARCH("平",B7943)),OR(ISNUMBER(SEARCH("上",B7943)),ISNUMBER(SEARCH("去",B7943)),ISNUMBER(SEARCH("入",B7943)))),"Ambiguous",IF(ISNUMBER(SEARCH("平",B7943)),"平","仄")))</x:f>
        <x:v>仄</x:v>
      </x:c>
      <x:c r="K7943" s="6" t="str">
        <x:f>IF(D7943="","",IF(AND(ISNUMBER(SEARCH("平",D7943)),OR(ISNUMBER(SEARCH("上",D7943)),ISNUMBER(SEARCH("去",D7943)),ISNUMBER(SEARCH("入",D7943)))),"Ambiguous",IF(ISNUMBER(SEARCH("平",D7943)),"平","仄")))</x:f>
        <x:v>仄</x:v>
      </x:c>
      <x:c r="L7943" s="7" t="str">
        <x:v>Pingshui main list expansion</x:v>
      </x:c>
    </x:row>
    <x:row r="7944">
      <x:c r="A7944" s="5" t="str">
        <x:v>譔</x:v>
      </x:c>
      <x:c r="B7944" s="6" t="str"/>
      <x:c r="C7944" s="6" t="str">
        <x:f>IF(B7944="","Needs decision","Ready")</x:f>
        <x:v>Needs decision</x:v>
      </x:c>
      <x:c r="D7944" s="6" t="str">
        <x:v>上/去</x:v>
      </x:c>
      <x:c r="E7944" s="6" t="str"/>
      <x:c r="F7944" s="6" t="str">
        <x:v>上聲十六銑; 去聲十七霰</x:v>
      </x:c>
      <x:c r="G7944" s="6" t="str">
        <x:v>Pingshui main list, Wikisource-derived DOCX</x:v>
      </x:c>
      <x:c r="H7944" s="6" t="str"/>
      <x:c r="I7944" s="6" t="str">
        <x:v>Pingshui main-list expansion; 詞 entries ignored</x:v>
      </x:c>
      <x:c r="J7944" s="6" t="str">
        <x:f>IF(B7944="","",IF(AND(ISNUMBER(SEARCH("平",B7944)),OR(ISNUMBER(SEARCH("上",B7944)),ISNUMBER(SEARCH("去",B7944)),ISNUMBER(SEARCH("入",B7944)))),"Ambiguous",IF(ISNUMBER(SEARCH("平",B7944)),"平","仄")))</x:f>
      </x:c>
      <x:c r="K7944" s="6" t="str">
        <x:f>IF(D7944="","",IF(AND(ISNUMBER(SEARCH("平",D7944)),OR(ISNUMBER(SEARCH("上",D7944)),ISNUMBER(SEARCH("去",D7944)),ISNUMBER(SEARCH("入",D7944)))),"Ambiguous",IF(ISNUMBER(SEARCH("平",D7944)),"平","仄")))</x:f>
        <x:v>仄</x:v>
      </x:c>
      <x:c r="L7944" s="7" t="str">
        <x:v>Pingshui main list expansion</x:v>
      </x:c>
    </x:row>
    <x:row r="7945">
      <x:c r="A7945" s="5" t="str">
        <x:v>譝</x:v>
      </x:c>
      <x:c r="B7945" s="6" t="str">
        <x:v>平</x:v>
      </x:c>
      <x:c r="C7945" s="6" t="str">
        <x:f>IF(B7945="","Needs decision","Ready")</x:f>
        <x:v>Ready</x:v>
      </x:c>
      <x:c r="D7945" s="6" t="str">
        <x:v>平</x:v>
      </x:c>
      <x:c r="E7945" s="6" t="str"/>
      <x:c r="F7945" s="6" t="str">
        <x:v>下平聲十蒸</x:v>
      </x:c>
      <x:c r="G7945" s="6" t="str">
        <x:v>Pingshui main list, Wikisource-derived DOCX</x:v>
      </x:c>
      <x:c r="H7945" s="6" t="str"/>
      <x:c r="I7945" s="6" t="str">
        <x:v>Pingshui main-list expansion; 詞 entries ignored</x:v>
      </x:c>
      <x:c r="J7945" s="6" t="str">
        <x:f>IF(B7945="","",IF(AND(ISNUMBER(SEARCH("平",B7945)),OR(ISNUMBER(SEARCH("上",B7945)),ISNUMBER(SEARCH("去",B7945)),ISNUMBER(SEARCH("入",B7945)))),"Ambiguous",IF(ISNUMBER(SEARCH("平",B7945)),"平","仄")))</x:f>
        <x:v>平</x:v>
      </x:c>
      <x:c r="K7945" s="6" t="str">
        <x:f>IF(D7945="","",IF(AND(ISNUMBER(SEARCH("平",D7945)),OR(ISNUMBER(SEARCH("上",D7945)),ISNUMBER(SEARCH("去",D7945)),ISNUMBER(SEARCH("入",D7945)))),"Ambiguous",IF(ISNUMBER(SEARCH("平",D7945)),"平","仄")))</x:f>
        <x:v>平</x:v>
      </x:c>
      <x:c r="L7945" s="7" t="str">
        <x:v>Pingshui main list expansion</x:v>
      </x:c>
    </x:row>
    <x:row r="7946">
      <x:c r="A7946" s="5" t="str">
        <x:v>譩</x:v>
      </x:c>
      <x:c r="B7946" s="6" t="str">
        <x:v>平</x:v>
      </x:c>
      <x:c r="C7946" s="6" t="str">
        <x:f>IF(B7946="","Needs decision","Ready")</x:f>
        <x:v>Ready</x:v>
      </x:c>
      <x:c r="D7946" s="6" t="str">
        <x:v>平</x:v>
      </x:c>
      <x:c r="E7946" s="6" t="str"/>
      <x:c r="F7946" s="6" t="str">
        <x:v>上平聲五微</x:v>
      </x:c>
      <x:c r="G7946" s="6" t="str">
        <x:v>Pingshui main list, Wikisource-derived DOCX</x:v>
      </x:c>
      <x:c r="H7946" s="6" t="str"/>
      <x:c r="I7946" s="6" t="str">
        <x:v>Pingshui main-list expansion; 詞 entries ignored</x:v>
      </x:c>
      <x:c r="J7946" s="6" t="str">
        <x:f>IF(B7946="","",IF(AND(ISNUMBER(SEARCH("平",B7946)),OR(ISNUMBER(SEARCH("上",B7946)),ISNUMBER(SEARCH("去",B7946)),ISNUMBER(SEARCH("入",B7946)))),"Ambiguous",IF(ISNUMBER(SEARCH("平",B7946)),"平","仄")))</x:f>
        <x:v>平</x:v>
      </x:c>
      <x:c r="K7946" s="6" t="str">
        <x:f>IF(D7946="","",IF(AND(ISNUMBER(SEARCH("平",D7946)),OR(ISNUMBER(SEARCH("上",D7946)),ISNUMBER(SEARCH("去",D7946)),ISNUMBER(SEARCH("入",D7946)))),"Ambiguous",IF(ISNUMBER(SEARCH("平",D7946)),"平","仄")))</x:f>
        <x:v>平</x:v>
      </x:c>
      <x:c r="L7946" s="7" t="str">
        <x:v>Pingshui main list expansion</x:v>
      </x:c>
    </x:row>
    <x:row r="7947">
      <x:c r="A7947" s="5" t="str">
        <x:v>讄</x:v>
      </x:c>
      <x:c r="B7947" s="6" t="str">
        <x:v>上</x:v>
      </x:c>
      <x:c r="C7947" s="6" t="str">
        <x:f>IF(B7947="","Needs decision","Ready")</x:f>
        <x:v>Ready</x:v>
      </x:c>
      <x:c r="D7947" s="6" t="str">
        <x:v>上</x:v>
      </x:c>
      <x:c r="E7947" s="6" t="str"/>
      <x:c r="F7947" s="6" t="str">
        <x:v>上聲四紙</x:v>
      </x:c>
      <x:c r="G7947" s="6" t="str">
        <x:v>Pingshui main list, Wikisource-derived DOCX</x:v>
      </x:c>
      <x:c r="H7947" s="6" t="str"/>
      <x:c r="I7947" s="6" t="str">
        <x:v>Pingshui main-list expansion; 詞 entries ignored</x:v>
      </x:c>
      <x:c r="J7947" s="6" t="str">
        <x:f>IF(B7947="","",IF(AND(ISNUMBER(SEARCH("平",B7947)),OR(ISNUMBER(SEARCH("上",B7947)),ISNUMBER(SEARCH("去",B7947)),ISNUMBER(SEARCH("入",B7947)))),"Ambiguous",IF(ISNUMBER(SEARCH("平",B7947)),"平","仄")))</x:f>
        <x:v>仄</x:v>
      </x:c>
      <x:c r="K7947" s="6" t="str">
        <x:f>IF(D7947="","",IF(AND(ISNUMBER(SEARCH("平",D7947)),OR(ISNUMBER(SEARCH("上",D7947)),ISNUMBER(SEARCH("去",D7947)),ISNUMBER(SEARCH("入",D7947)))),"Ambiguous",IF(ISNUMBER(SEARCH("平",D7947)),"平","仄")))</x:f>
        <x:v>仄</x:v>
      </x:c>
      <x:c r="L7947" s="7" t="str">
        <x:v>Pingshui main list expansion</x:v>
      </x:c>
    </x:row>
    <x:row r="7948">
      <x:c r="A7948" s="5" t="str">
        <x:v>讕</x:v>
      </x:c>
      <x:c r="B7948" s="6" t="str"/>
      <x:c r="C7948" s="6" t="str">
        <x:f>IF(B7948="","Needs decision","Ready")</x:f>
        <x:v>Needs decision</x:v>
      </x:c>
      <x:c r="D7948" s="6" t="str">
        <x:v>平/去</x:v>
      </x:c>
      <x:c r="E7948" s="6" t="str"/>
      <x:c r="F7948" s="6" t="str">
        <x:v>上平聲十四寒; 去聲十五翰</x:v>
      </x:c>
      <x:c r="G7948" s="6" t="str">
        <x:v>Pingshui main list, Wikisource-derived DOCX</x:v>
      </x:c>
      <x:c r="H7948" s="6" t="str"/>
      <x:c r="I7948" s="6" t="str">
        <x:v>Pingshui main-list expansion; 詞 entries ignored</x:v>
      </x:c>
      <x:c r="J7948" s="6" t="str">
        <x:f>IF(B7948="","",IF(AND(ISNUMBER(SEARCH("平",B7948)),OR(ISNUMBER(SEARCH("上",B7948)),ISNUMBER(SEARCH("去",B7948)),ISNUMBER(SEARCH("入",B7948)))),"Ambiguous",IF(ISNUMBER(SEARCH("平",B7948)),"平","仄")))</x:f>
      </x:c>
      <x:c r="K7948" s="6" t="str">
        <x:f>IF(D7948="","",IF(AND(ISNUMBER(SEARCH("平",D7948)),OR(ISNUMBER(SEARCH("上",D7948)),ISNUMBER(SEARCH("去",D7948)),ISNUMBER(SEARCH("入",D7948)))),"Ambiguous",IF(ISNUMBER(SEARCH("平",D7948)),"平","仄")))</x:f>
        <x:v>Ambiguous</x:v>
      </x:c>
      <x:c r="L7948" s="7" t="str">
        <x:v>Pingshui main list expansion</x:v>
      </x:c>
    </x:row>
    <x:row r="7949">
      <x:c r="A7949" s="5" t="str">
        <x:v>讘</x:v>
      </x:c>
      <x:c r="B7949" s="6" t="str">
        <x:v>入</x:v>
      </x:c>
      <x:c r="C7949" s="6" t="str">
        <x:f>IF(B7949="","Needs decision","Ready")</x:f>
        <x:v>Ready</x:v>
      </x:c>
      <x:c r="D7949" s="6" t="str">
        <x:v>入</x:v>
      </x:c>
      <x:c r="E7949" s="6" t="str"/>
      <x:c r="F7949" s="6" t="str">
        <x:v>入聲十六葉</x:v>
      </x:c>
      <x:c r="G7949" s="6" t="str">
        <x:v>Pingshui main list, Wikisource-derived DOCX</x:v>
      </x:c>
      <x:c r="H7949" s="6" t="str"/>
      <x:c r="I7949" s="6" t="str">
        <x:v>Pingshui main-list expansion; 詞 entries ignored</x:v>
      </x:c>
      <x:c r="J7949" s="6" t="str">
        <x:f>IF(B7949="","",IF(AND(ISNUMBER(SEARCH("平",B7949)),OR(ISNUMBER(SEARCH("上",B7949)),ISNUMBER(SEARCH("去",B7949)),ISNUMBER(SEARCH("入",B7949)))),"Ambiguous",IF(ISNUMBER(SEARCH("平",B7949)),"平","仄")))</x:f>
        <x:v>仄</x:v>
      </x:c>
      <x:c r="K7949" s="6" t="str">
        <x:f>IF(D7949="","",IF(AND(ISNUMBER(SEARCH("平",D7949)),OR(ISNUMBER(SEARCH("上",D7949)),ISNUMBER(SEARCH("去",D7949)),ISNUMBER(SEARCH("入",D7949)))),"Ambiguous",IF(ISNUMBER(SEARCH("平",D7949)),"平","仄")))</x:f>
        <x:v>仄</x:v>
      </x:c>
      <x:c r="L7949" s="7" t="str">
        <x:v>Pingshui main list expansion</x:v>
      </x:c>
    </x:row>
    <x:row r="7950">
      <x:c r="A7950" s="5" t="str">
        <x:v>讟</x:v>
      </x:c>
      <x:c r="B7950" s="6" t="str">
        <x:v>入</x:v>
      </x:c>
      <x:c r="C7950" s="6" t="str">
        <x:f>IF(B7950="","Needs decision","Ready")</x:f>
        <x:v>Ready</x:v>
      </x:c>
      <x:c r="D7950" s="6" t="str">
        <x:v>入</x:v>
      </x:c>
      <x:c r="E7950" s="6" t="str"/>
      <x:c r="F7950" s="6" t="str">
        <x:v>入聲一屋</x:v>
      </x:c>
      <x:c r="G7950" s="6" t="str">
        <x:v>Pingshui main list, Wikisource-derived DOCX</x:v>
      </x:c>
      <x:c r="H7950" s="6" t="str"/>
      <x:c r="I7950" s="6" t="str">
        <x:v>Pingshui main-list expansion; 詞 entries ignored</x:v>
      </x:c>
      <x:c r="J7950" s="6" t="str">
        <x:f>IF(B7950="","",IF(AND(ISNUMBER(SEARCH("平",B7950)),OR(ISNUMBER(SEARCH("上",B7950)),ISNUMBER(SEARCH("去",B7950)),ISNUMBER(SEARCH("入",B7950)))),"Ambiguous",IF(ISNUMBER(SEARCH("平",B7950)),"平","仄")))</x:f>
        <x:v>仄</x:v>
      </x:c>
      <x:c r="K7950" s="6" t="str">
        <x:f>IF(D7950="","",IF(AND(ISNUMBER(SEARCH("平",D7950)),OR(ISNUMBER(SEARCH("上",D7950)),ISNUMBER(SEARCH("去",D7950)),ISNUMBER(SEARCH("入",D7950)))),"Ambiguous",IF(ISNUMBER(SEARCH("平",D7950)),"平","仄")))</x:f>
        <x:v>仄</x:v>
      </x:c>
      <x:c r="L7950" s="7" t="str">
        <x:v>Pingshui main list expansion</x:v>
      </x:c>
    </x:row>
    <x:row r="7951">
      <x:c r="A7951" s="5" t="str">
        <x:v>谼</x:v>
      </x:c>
      <x:c r="B7951" s="6" t="str">
        <x:v>平</x:v>
      </x:c>
      <x:c r="C7951" s="6" t="str">
        <x:f>IF(B7951="","Needs decision","Ready")</x:f>
        <x:v>Ready</x:v>
      </x:c>
      <x:c r="D7951" s="6" t="str">
        <x:v>平</x:v>
      </x:c>
      <x:c r="E7951" s="6" t="str"/>
      <x:c r="F7951" s="6" t="str">
        <x:v>上平聲一東</x:v>
      </x:c>
      <x:c r="G7951" s="6" t="str">
        <x:v>Pingshui main list, Wikisource-derived DOCX</x:v>
      </x:c>
      <x:c r="H7951" s="6" t="str"/>
      <x:c r="I7951" s="6" t="str">
        <x:v>Pingshui main-list expansion; 詞 entries ignored</x:v>
      </x:c>
      <x:c r="J7951" s="6" t="str">
        <x:f>IF(B7951="","",IF(AND(ISNUMBER(SEARCH("平",B7951)),OR(ISNUMBER(SEARCH("上",B7951)),ISNUMBER(SEARCH("去",B7951)),ISNUMBER(SEARCH("入",B7951)))),"Ambiguous",IF(ISNUMBER(SEARCH("平",B7951)),"平","仄")))</x:f>
        <x:v>平</x:v>
      </x:c>
      <x:c r="K7951" s="6" t="str">
        <x:f>IF(D7951="","",IF(AND(ISNUMBER(SEARCH("平",D7951)),OR(ISNUMBER(SEARCH("上",D7951)),ISNUMBER(SEARCH("去",D7951)),ISNUMBER(SEARCH("入",D7951)))),"Ambiguous",IF(ISNUMBER(SEARCH("平",D7951)),"平","仄")))</x:f>
        <x:v>平</x:v>
      </x:c>
      <x:c r="L7951" s="7" t="str">
        <x:v>Pingshui main list expansion</x:v>
      </x:c>
    </x:row>
    <x:row r="7952">
      <x:c r="A7952" s="5" t="str">
        <x:v>谽</x:v>
      </x:c>
      <x:c r="B7952" s="6" t="str">
        <x:v>平</x:v>
      </x:c>
      <x:c r="C7952" s="6" t="str">
        <x:f>IF(B7952="","Needs decision","Ready")</x:f>
        <x:v>Ready</x:v>
      </x:c>
      <x:c r="D7952" s="6" t="str">
        <x:v>平</x:v>
      </x:c>
      <x:c r="E7952" s="6" t="str"/>
      <x:c r="F7952" s="6" t="str">
        <x:v>下平聲十三覃</x:v>
      </x:c>
      <x:c r="G7952" s="6" t="str">
        <x:v>Pingshui main list, Wikisource-derived DOCX</x:v>
      </x:c>
      <x:c r="H7952" s="6" t="str"/>
      <x:c r="I7952" s="6" t="str">
        <x:v>Pingshui main-list expansion; 詞 entries ignored</x:v>
      </x:c>
      <x:c r="J7952" s="6" t="str">
        <x:f>IF(B7952="","",IF(AND(ISNUMBER(SEARCH("平",B7952)),OR(ISNUMBER(SEARCH("上",B7952)),ISNUMBER(SEARCH("去",B7952)),ISNUMBER(SEARCH("入",B7952)))),"Ambiguous",IF(ISNUMBER(SEARCH("平",B7952)),"平","仄")))</x:f>
        <x:v>平</x:v>
      </x:c>
      <x:c r="K7952" s="6" t="str">
        <x:f>IF(D7952="","",IF(AND(ISNUMBER(SEARCH("平",D7952)),OR(ISNUMBER(SEARCH("上",D7952)),ISNUMBER(SEARCH("去",D7952)),ISNUMBER(SEARCH("入",D7952)))),"Ambiguous",IF(ISNUMBER(SEARCH("平",D7952)),"平","仄")))</x:f>
        <x:v>平</x:v>
      </x:c>
      <x:c r="L7952" s="7" t="str">
        <x:v>Pingshui main list expansion</x:v>
      </x:c>
    </x:row>
    <x:row r="7953">
      <x:c r="A7953" s="5" t="str">
        <x:v>谾</x:v>
      </x:c>
      <x:c r="B7953" s="6" t="str">
        <x:v>平</x:v>
      </x:c>
      <x:c r="C7953" s="6" t="str">
        <x:f>IF(B7953="","Needs decision","Ready")</x:f>
        <x:v>Ready</x:v>
      </x:c>
      <x:c r="D7953" s="6" t="str">
        <x:v>平</x:v>
      </x:c>
      <x:c r="E7953" s="6" t="str"/>
      <x:c r="F7953" s="6" t="str">
        <x:v>上平聲三江</x:v>
      </x:c>
      <x:c r="G7953" s="6" t="str">
        <x:v>Pingshui main list, Wikisource-derived DOCX</x:v>
      </x:c>
      <x:c r="H7953" s="6" t="str"/>
      <x:c r="I7953" s="6" t="str">
        <x:v>Pingshui main-list expansion; 詞 entries ignored</x:v>
      </x:c>
      <x:c r="J7953" s="6" t="str">
        <x:f>IF(B7953="","",IF(AND(ISNUMBER(SEARCH("平",B7953)),OR(ISNUMBER(SEARCH("上",B7953)),ISNUMBER(SEARCH("去",B7953)),ISNUMBER(SEARCH("入",B7953)))),"Ambiguous",IF(ISNUMBER(SEARCH("平",B7953)),"平","仄")))</x:f>
        <x:v>平</x:v>
      </x:c>
      <x:c r="K7953" s="6" t="str">
        <x:f>IF(D7953="","",IF(AND(ISNUMBER(SEARCH("平",D7953)),OR(ISNUMBER(SEARCH("上",D7953)),ISNUMBER(SEARCH("去",D7953)),ISNUMBER(SEARCH("入",D7953)))),"Ambiguous",IF(ISNUMBER(SEARCH("平",D7953)),"平","仄")))</x:f>
        <x:v>平</x:v>
      </x:c>
      <x:c r="L7953" s="7" t="str">
        <x:v>Pingshui main list expansion</x:v>
      </x:c>
    </x:row>
    <x:row r="7954">
      <x:c r="A7954" s="5" t="str">
        <x:v>豂</x:v>
      </x:c>
      <x:c r="B7954" s="6" t="str">
        <x:v>平</x:v>
      </x:c>
      <x:c r="C7954" s="6" t="str">
        <x:f>IF(B7954="","Needs decision","Ready")</x:f>
        <x:v>Ready</x:v>
      </x:c>
      <x:c r="D7954" s="6" t="str">
        <x:v>平</x:v>
      </x:c>
      <x:c r="E7954" s="6" t="str"/>
      <x:c r="F7954" s="6" t="str">
        <x:v>下平聲二蕭</x:v>
      </x:c>
      <x:c r="G7954" s="6" t="str">
        <x:v>Pingshui main list, Wikisource-derived DOCX</x:v>
      </x:c>
      <x:c r="H7954" s="6" t="str"/>
      <x:c r="I7954" s="6" t="str">
        <x:v>Pingshui main-list expansion; 詞 entries ignored</x:v>
      </x:c>
      <x:c r="J7954" s="6" t="str">
        <x:f>IF(B7954="","",IF(AND(ISNUMBER(SEARCH("平",B7954)),OR(ISNUMBER(SEARCH("上",B7954)),ISNUMBER(SEARCH("去",B7954)),ISNUMBER(SEARCH("入",B7954)))),"Ambiguous",IF(ISNUMBER(SEARCH("平",B7954)),"平","仄")))</x:f>
        <x:v>平</x:v>
      </x:c>
      <x:c r="K7954" s="6" t="str">
        <x:f>IF(D7954="","",IF(AND(ISNUMBER(SEARCH("平",D7954)),OR(ISNUMBER(SEARCH("上",D7954)),ISNUMBER(SEARCH("去",D7954)),ISNUMBER(SEARCH("入",D7954)))),"Ambiguous",IF(ISNUMBER(SEARCH("平",D7954)),"平","仄")))</x:f>
        <x:v>平</x:v>
      </x:c>
      <x:c r="L7954" s="7" t="str">
        <x:v>Pingshui main list expansion</x:v>
      </x:c>
    </x:row>
    <x:row r="7955">
      <x:c r="A7955" s="5" t="str">
        <x:v>豅</x:v>
      </x:c>
      <x:c r="B7955" s="6" t="str">
        <x:v>平</x:v>
      </x:c>
      <x:c r="C7955" s="6" t="str">
        <x:f>IF(B7955="","Needs decision","Ready")</x:f>
        <x:v>Ready</x:v>
      </x:c>
      <x:c r="D7955" s="6" t="str">
        <x:v>平</x:v>
      </x:c>
      <x:c r="E7955" s="6" t="str"/>
      <x:c r="F7955" s="6" t="str">
        <x:v>上平聲一東</x:v>
      </x:c>
      <x:c r="G7955" s="6" t="str">
        <x:v>Pingshui main list, Wikisource-derived DOCX</x:v>
      </x:c>
      <x:c r="H7955" s="6" t="str"/>
      <x:c r="I7955" s="6" t="str">
        <x:v>Pingshui main-list expansion; 詞 entries ignored</x:v>
      </x:c>
      <x:c r="J7955" s="6" t="str">
        <x:f>IF(B7955="","",IF(AND(ISNUMBER(SEARCH("平",B7955)),OR(ISNUMBER(SEARCH("上",B7955)),ISNUMBER(SEARCH("去",B7955)),ISNUMBER(SEARCH("入",B7955)))),"Ambiguous",IF(ISNUMBER(SEARCH("平",B7955)),"平","仄")))</x:f>
        <x:v>平</x:v>
      </x:c>
      <x:c r="K7955" s="6" t="str">
        <x:f>IF(D7955="","",IF(AND(ISNUMBER(SEARCH("平",D7955)),OR(ISNUMBER(SEARCH("上",D7955)),ISNUMBER(SEARCH("去",D7955)),ISNUMBER(SEARCH("入",D7955)))),"Ambiguous",IF(ISNUMBER(SEARCH("平",D7955)),"平","仄")))</x:f>
        <x:v>平</x:v>
      </x:c>
      <x:c r="L7955" s="7" t="str">
        <x:v>Pingshui main list expansion</x:v>
      </x:c>
    </x:row>
    <x:row r="7956">
      <x:c r="A7956" s="5" t="str">
        <x:v>豇</x:v>
      </x:c>
      <x:c r="B7956" s="6" t="str">
        <x:v>平</x:v>
      </x:c>
      <x:c r="C7956" s="6" t="str">
        <x:f>IF(B7956="","Needs decision","Ready")</x:f>
        <x:v>Ready</x:v>
      </x:c>
      <x:c r="D7956" s="6" t="str">
        <x:v>平</x:v>
      </x:c>
      <x:c r="E7956" s="6" t="str"/>
      <x:c r="F7956" s="6" t="str">
        <x:v>上平聲三江</x:v>
      </x:c>
      <x:c r="G7956" s="6" t="str">
        <x:v>Pingshui main list, Wikisource-derived DOCX</x:v>
      </x:c>
      <x:c r="H7956" s="6" t="str"/>
      <x:c r="I7956" s="6" t="str">
        <x:v>Pingshui main-list expansion; 詞 entries ignored</x:v>
      </x:c>
      <x:c r="J7956" s="6" t="str">
        <x:f>IF(B7956="","",IF(AND(ISNUMBER(SEARCH("平",B7956)),OR(ISNUMBER(SEARCH("上",B7956)),ISNUMBER(SEARCH("去",B7956)),ISNUMBER(SEARCH("入",B7956)))),"Ambiguous",IF(ISNUMBER(SEARCH("平",B7956)),"平","仄")))</x:f>
        <x:v>平</x:v>
      </x:c>
      <x:c r="K7956" s="6" t="str">
        <x:f>IF(D7956="","",IF(AND(ISNUMBER(SEARCH("平",D7956)),OR(ISNUMBER(SEARCH("上",D7956)),ISNUMBER(SEARCH("去",D7956)),ISNUMBER(SEARCH("入",D7956)))),"Ambiguous",IF(ISNUMBER(SEARCH("平",D7956)),"平","仄")))</x:f>
        <x:v>平</x:v>
      </x:c>
      <x:c r="L7956" s="7" t="str">
        <x:v>Pingshui main list expansion</x:v>
      </x:c>
    </x:row>
    <x:row r="7957">
      <x:c r="A7957" s="5" t="str">
        <x:v>豏</x:v>
      </x:c>
      <x:c r="B7957" s="6" t="str">
        <x:v>上</x:v>
      </x:c>
      <x:c r="C7957" s="6" t="str">
        <x:f>IF(B7957="","Needs decision","Ready")</x:f>
        <x:v>Ready</x:v>
      </x:c>
      <x:c r="D7957" s="6" t="str">
        <x:v>上</x:v>
      </x:c>
      <x:c r="E7957" s="6" t="str"/>
      <x:c r="F7957" s="6" t="str">
        <x:v>上聲二十九豏</x:v>
      </x:c>
      <x:c r="G7957" s="6" t="str">
        <x:v>Pingshui main list, Wikisource-derived DOCX</x:v>
      </x:c>
      <x:c r="H7957" s="6" t="str"/>
      <x:c r="I7957" s="6" t="str">
        <x:v>Pingshui main-list expansion; 詞 entries ignored</x:v>
      </x:c>
      <x:c r="J7957" s="6" t="str">
        <x:f>IF(B7957="","",IF(AND(ISNUMBER(SEARCH("平",B7957)),OR(ISNUMBER(SEARCH("上",B7957)),ISNUMBER(SEARCH("去",B7957)),ISNUMBER(SEARCH("入",B7957)))),"Ambiguous",IF(ISNUMBER(SEARCH("平",B7957)),"平","仄")))</x:f>
        <x:v>仄</x:v>
      </x:c>
      <x:c r="K7957" s="6" t="str">
        <x:f>IF(D7957="","",IF(AND(ISNUMBER(SEARCH("平",D7957)),OR(ISNUMBER(SEARCH("上",D7957)),ISNUMBER(SEARCH("去",D7957)),ISNUMBER(SEARCH("入",D7957)))),"Ambiguous",IF(ISNUMBER(SEARCH("平",D7957)),"平","仄")))</x:f>
        <x:v>仄</x:v>
      </x:c>
      <x:c r="L7957" s="7" t="str">
        <x:v>Pingshui main list expansion</x:v>
      </x:c>
    </x:row>
    <x:row r="7958">
      <x:c r="A7958" s="5" t="str">
        <x:v>豜</x:v>
      </x:c>
      <x:c r="B7958" s="6" t="str">
        <x:v>平</x:v>
      </x:c>
      <x:c r="C7958" s="6" t="str">
        <x:f>IF(B7958="","Needs decision","Ready")</x:f>
        <x:v>Ready</x:v>
      </x:c>
      <x:c r="D7958" s="6" t="str">
        <x:v>平</x:v>
      </x:c>
      <x:c r="E7958" s="6" t="str"/>
      <x:c r="F7958" s="6" t="str">
        <x:v>下平聲一先</x:v>
      </x:c>
      <x:c r="G7958" s="6" t="str">
        <x:v>Pingshui main list, Wikisource-derived DOCX</x:v>
      </x:c>
      <x:c r="H7958" s="6" t="str"/>
      <x:c r="I7958" s="6" t="str">
        <x:v>Pingshui main-list expansion; 詞 entries ignored</x:v>
      </x:c>
      <x:c r="J7958" s="6" t="str">
        <x:f>IF(B7958="","",IF(AND(ISNUMBER(SEARCH("平",B7958)),OR(ISNUMBER(SEARCH("上",B7958)),ISNUMBER(SEARCH("去",B7958)),ISNUMBER(SEARCH("入",B7958)))),"Ambiguous",IF(ISNUMBER(SEARCH("平",B7958)),"平","仄")))</x:f>
        <x:v>平</x:v>
      </x:c>
      <x:c r="K7958" s="6" t="str">
        <x:f>IF(D7958="","",IF(AND(ISNUMBER(SEARCH("平",D7958)),OR(ISNUMBER(SEARCH("上",D7958)),ISNUMBER(SEARCH("去",D7958)),ISNUMBER(SEARCH("入",D7958)))),"Ambiguous",IF(ISNUMBER(SEARCH("平",D7958)),"平","仄")))</x:f>
        <x:v>平</x:v>
      </x:c>
      <x:c r="L7958" s="7" t="str">
        <x:v>Pingshui main list expansion</x:v>
      </x:c>
    </x:row>
    <x:row r="7959">
      <x:c r="A7959" s="5" t="str">
        <x:v>豰</x:v>
      </x:c>
      <x:c r="B7959" s="6" t="str">
        <x:v>入</x:v>
      </x:c>
      <x:c r="C7959" s="6" t="str">
        <x:f>IF(B7959="","Needs decision","Ready")</x:f>
        <x:v>Ready</x:v>
      </x:c>
      <x:c r="D7959" s="6" t="str">
        <x:v>入</x:v>
      </x:c>
      <x:c r="E7959" s="6" t="str"/>
      <x:c r="F7959" s="6" t="str">
        <x:v>入聲三覺</x:v>
      </x:c>
      <x:c r="G7959" s="6" t="str">
        <x:v>Pingshui main list, Wikisource-derived DOCX</x:v>
      </x:c>
      <x:c r="H7959" s="6" t="str"/>
      <x:c r="I7959" s="6" t="str">
        <x:v>Pingshui main-list expansion; 詞 entries ignored</x:v>
      </x:c>
      <x:c r="J7959" s="6" t="str">
        <x:f>IF(B7959="","",IF(AND(ISNUMBER(SEARCH("平",B7959)),OR(ISNUMBER(SEARCH("上",B7959)),ISNUMBER(SEARCH("去",B7959)),ISNUMBER(SEARCH("入",B7959)))),"Ambiguous",IF(ISNUMBER(SEARCH("平",B7959)),"平","仄")))</x:f>
        <x:v>仄</x:v>
      </x:c>
      <x:c r="K7959" s="6" t="str">
        <x:f>IF(D7959="","",IF(AND(ISNUMBER(SEARCH("平",D7959)),OR(ISNUMBER(SEARCH("上",D7959)),ISNUMBER(SEARCH("去",D7959)),ISNUMBER(SEARCH("入",D7959)))),"Ambiguous",IF(ISNUMBER(SEARCH("平",D7959)),"平","仄")))</x:f>
        <x:v>仄</x:v>
      </x:c>
      <x:c r="L7959" s="7" t="str">
        <x:v>Pingshui main list expansion</x:v>
      </x:c>
    </x:row>
    <x:row r="7960">
      <x:c r="A7960" s="5" t="str">
        <x:v>豶</x:v>
      </x:c>
      <x:c r="B7960" s="6" t="str">
        <x:v>平</x:v>
      </x:c>
      <x:c r="C7960" s="6" t="str">
        <x:f>IF(B7960="","Needs decision","Ready")</x:f>
        <x:v>Ready</x:v>
      </x:c>
      <x:c r="D7960" s="6" t="str">
        <x:v>平</x:v>
      </x:c>
      <x:c r="E7960" s="6" t="str"/>
      <x:c r="F7960" s="6" t="str">
        <x:v>上平聲十二文</x:v>
      </x:c>
      <x:c r="G7960" s="6" t="str">
        <x:v>Pingshui main list, Wikisource-derived DOCX</x:v>
      </x:c>
      <x:c r="H7960" s="6" t="str"/>
      <x:c r="I7960" s="6" t="str">
        <x:v>Pingshui main-list expansion; 詞 entries ignored</x:v>
      </x:c>
      <x:c r="J7960" s="6" t="str">
        <x:f>IF(B7960="","",IF(AND(ISNUMBER(SEARCH("平",B7960)),OR(ISNUMBER(SEARCH("上",B7960)),ISNUMBER(SEARCH("去",B7960)),ISNUMBER(SEARCH("入",B7960)))),"Ambiguous",IF(ISNUMBER(SEARCH("平",B7960)),"平","仄")))</x:f>
        <x:v>平</x:v>
      </x:c>
      <x:c r="K7960" s="6" t="str">
        <x:f>IF(D7960="","",IF(AND(ISNUMBER(SEARCH("平",D7960)),OR(ISNUMBER(SEARCH("上",D7960)),ISNUMBER(SEARCH("去",D7960)),ISNUMBER(SEARCH("入",D7960)))),"Ambiguous",IF(ISNUMBER(SEARCH("平",D7960)),"平","仄")))</x:f>
        <x:v>平</x:v>
      </x:c>
      <x:c r="L7960" s="7" t="str">
        <x:v>Pingshui main list expansion</x:v>
      </x:c>
    </x:row>
    <x:row r="7961">
      <x:c r="A7961" s="5" t="str">
        <x:v>豷</x:v>
      </x:c>
      <x:c r="B7961" s="6" t="str">
        <x:v>去</x:v>
      </x:c>
      <x:c r="C7961" s="6" t="str">
        <x:f>IF(B7961="","Needs decision","Ready")</x:f>
        <x:v>Ready</x:v>
      </x:c>
      <x:c r="D7961" s="6" t="str">
        <x:v>去</x:v>
      </x:c>
      <x:c r="E7961" s="6" t="str"/>
      <x:c r="F7961" s="6" t="str">
        <x:v>去聲八霽</x:v>
      </x:c>
      <x:c r="G7961" s="6" t="str">
        <x:v>Pingshui main list, Wikisource-derived DOCX</x:v>
      </x:c>
      <x:c r="H7961" s="6" t="str"/>
      <x:c r="I7961" s="6" t="str">
        <x:v>Pingshui main-list expansion; 詞 entries ignored</x:v>
      </x:c>
      <x:c r="J7961" s="6" t="str">
        <x:f>IF(B7961="","",IF(AND(ISNUMBER(SEARCH("平",B7961)),OR(ISNUMBER(SEARCH("上",B7961)),ISNUMBER(SEARCH("去",B7961)),ISNUMBER(SEARCH("入",B7961)))),"Ambiguous",IF(ISNUMBER(SEARCH("平",B7961)),"平","仄")))</x:f>
        <x:v>仄</x:v>
      </x:c>
      <x:c r="K7961" s="6" t="str">
        <x:f>IF(D7961="","",IF(AND(ISNUMBER(SEARCH("平",D7961)),OR(ISNUMBER(SEARCH("上",D7961)),ISNUMBER(SEARCH("去",D7961)),ISNUMBER(SEARCH("入",D7961)))),"Ambiguous",IF(ISNUMBER(SEARCH("平",D7961)),"平","仄")))</x:f>
        <x:v>仄</x:v>
      </x:c>
      <x:c r="L7961" s="7" t="str">
        <x:v>Pingshui main list expansion</x:v>
      </x:c>
    </x:row>
    <x:row r="7962">
      <x:c r="A7962" s="5" t="str">
        <x:v>豽</x:v>
      </x:c>
      <x:c r="B7962" s="6" t="str">
        <x:v>入</x:v>
      </x:c>
      <x:c r="C7962" s="6" t="str">
        <x:f>IF(B7962="","Needs decision","Ready")</x:f>
        <x:v>Ready</x:v>
      </x:c>
      <x:c r="D7962" s="6" t="str">
        <x:v>入</x:v>
      </x:c>
      <x:c r="E7962" s="6" t="str"/>
      <x:c r="F7962" s="6" t="str">
        <x:v>入聲八黠</x:v>
      </x:c>
      <x:c r="G7962" s="6" t="str">
        <x:v>Pingshui main list, Wikisource-derived DOCX</x:v>
      </x:c>
      <x:c r="H7962" s="6" t="str"/>
      <x:c r="I7962" s="6" t="str">
        <x:v>Pingshui main-list expansion; 詞 entries ignored</x:v>
      </x:c>
      <x:c r="J7962" s="6" t="str">
        <x:f>IF(B7962="","",IF(AND(ISNUMBER(SEARCH("平",B7962)),OR(ISNUMBER(SEARCH("上",B7962)),ISNUMBER(SEARCH("去",B7962)),ISNUMBER(SEARCH("入",B7962)))),"Ambiguous",IF(ISNUMBER(SEARCH("平",B7962)),"平","仄")))</x:f>
        <x:v>仄</x:v>
      </x:c>
      <x:c r="K7962" s="6" t="str">
        <x:f>IF(D7962="","",IF(AND(ISNUMBER(SEARCH("平",D7962)),OR(ISNUMBER(SEARCH("上",D7962)),ISNUMBER(SEARCH("去",D7962)),ISNUMBER(SEARCH("入",D7962)))),"Ambiguous",IF(ISNUMBER(SEARCH("平",D7962)),"平","仄")))</x:f>
        <x:v>仄</x:v>
      </x:c>
      <x:c r="L7962" s="7" t="str">
        <x:v>Pingshui main list expansion</x:v>
      </x:c>
    </x:row>
    <x:row r="7963">
      <x:c r="A7963" s="5" t="str">
        <x:v>貅</x:v>
      </x:c>
      <x:c r="B7963" s="6" t="str">
        <x:v>平</x:v>
      </x:c>
      <x:c r="C7963" s="6" t="str">
        <x:f>IF(B7963="","Needs decision","Ready")</x:f>
        <x:v>Ready</x:v>
      </x:c>
      <x:c r="D7963" s="6" t="str">
        <x:v>平</x:v>
      </x:c>
      <x:c r="E7963" s="6" t="str"/>
      <x:c r="F7963" s="6" t="str">
        <x:v>下平聲十一尤</x:v>
      </x:c>
      <x:c r="G7963" s="6" t="str">
        <x:v>Pingshui main list, Wikisource-derived DOCX</x:v>
      </x:c>
      <x:c r="H7963" s="6" t="str"/>
      <x:c r="I7963" s="6" t="str">
        <x:v>Pingshui main-list expansion; 詞 entries ignored</x:v>
      </x:c>
      <x:c r="J7963" s="6" t="str">
        <x:f>IF(B7963="","",IF(AND(ISNUMBER(SEARCH("平",B7963)),OR(ISNUMBER(SEARCH("上",B7963)),ISNUMBER(SEARCH("去",B7963)),ISNUMBER(SEARCH("入",B7963)))),"Ambiguous",IF(ISNUMBER(SEARCH("平",B7963)),"平","仄")))</x:f>
        <x:v>平</x:v>
      </x:c>
      <x:c r="K7963" s="6" t="str">
        <x:f>IF(D7963="","",IF(AND(ISNUMBER(SEARCH("平",D7963)),OR(ISNUMBER(SEARCH("上",D7963)),ISNUMBER(SEARCH("去",D7963)),ISNUMBER(SEARCH("入",D7963)))),"Ambiguous",IF(ISNUMBER(SEARCH("平",D7963)),"平","仄")))</x:f>
        <x:v>平</x:v>
      </x:c>
      <x:c r="L7963" s="7" t="str">
        <x:v>Pingshui main list expansion</x:v>
      </x:c>
    </x:row>
    <x:row r="7964">
      <x:c r="A7964" s="5" t="str">
        <x:v>貐</x:v>
      </x:c>
      <x:c r="B7964" s="6" t="str">
        <x:v>上</x:v>
      </x:c>
      <x:c r="C7964" s="6" t="str">
        <x:f>IF(B7964="","Needs decision","Ready")</x:f>
        <x:v>Ready</x:v>
      </x:c>
      <x:c r="D7964" s="6" t="str">
        <x:v>上</x:v>
      </x:c>
      <x:c r="E7964" s="6" t="str"/>
      <x:c r="F7964" s="6" t="str">
        <x:v>上聲七麌</x:v>
      </x:c>
      <x:c r="G7964" s="6" t="str">
        <x:v>Pingshui main list, Wikisource-derived DOCX</x:v>
      </x:c>
      <x:c r="H7964" s="6" t="str"/>
      <x:c r="I7964" s="6" t="str">
        <x:v>Pingshui main-list expansion; 詞 entries ignored</x:v>
      </x:c>
      <x:c r="J7964" s="6" t="str">
        <x:f>IF(B7964="","",IF(AND(ISNUMBER(SEARCH("平",B7964)),OR(ISNUMBER(SEARCH("上",B7964)),ISNUMBER(SEARCH("去",B7964)),ISNUMBER(SEARCH("入",B7964)))),"Ambiguous",IF(ISNUMBER(SEARCH("平",B7964)),"平","仄")))</x:f>
        <x:v>仄</x:v>
      </x:c>
      <x:c r="K7964" s="6" t="str">
        <x:f>IF(D7964="","",IF(AND(ISNUMBER(SEARCH("平",D7964)),OR(ISNUMBER(SEARCH("上",D7964)),ISNUMBER(SEARCH("去",D7964)),ISNUMBER(SEARCH("入",D7964)))),"Ambiguous",IF(ISNUMBER(SEARCH("平",D7964)),"平","仄")))</x:f>
        <x:v>仄</x:v>
      </x:c>
      <x:c r="L7964" s="7" t="str">
        <x:v>Pingshui main list expansion</x:v>
      </x:c>
    </x:row>
    <x:row r="7965">
      <x:c r="A7965" s="5" t="str">
        <x:v>貒</x:v>
      </x:c>
      <x:c r="B7965" s="6" t="str">
        <x:v>平</x:v>
      </x:c>
      <x:c r="C7965" s="6" t="str">
        <x:f>IF(B7965="","Needs decision","Ready")</x:f>
        <x:v>Ready</x:v>
      </x:c>
      <x:c r="D7965" s="6" t="str">
        <x:v>平</x:v>
      </x:c>
      <x:c r="E7965" s="6" t="str"/>
      <x:c r="F7965" s="6" t="str">
        <x:v>上平聲十四寒</x:v>
      </x:c>
      <x:c r="G7965" s="6" t="str">
        <x:v>Pingshui main list, Wikisource-derived DOCX</x:v>
      </x:c>
      <x:c r="H7965" s="6" t="str"/>
      <x:c r="I7965" s="6" t="str">
        <x:v>Pingshui main-list expansion; 詞 entries ignored</x:v>
      </x:c>
      <x:c r="J7965" s="6" t="str">
        <x:f>IF(B7965="","",IF(AND(ISNUMBER(SEARCH("平",B7965)),OR(ISNUMBER(SEARCH("上",B7965)),ISNUMBER(SEARCH("去",B7965)),ISNUMBER(SEARCH("入",B7965)))),"Ambiguous",IF(ISNUMBER(SEARCH("平",B7965)),"平","仄")))</x:f>
        <x:v>平</x:v>
      </x:c>
      <x:c r="K7965" s="6" t="str">
        <x:f>IF(D7965="","",IF(AND(ISNUMBER(SEARCH("平",D7965)),OR(ISNUMBER(SEARCH("上",D7965)),ISNUMBER(SEARCH("去",D7965)),ISNUMBER(SEARCH("入",D7965)))),"Ambiguous",IF(ISNUMBER(SEARCH("平",D7965)),"平","仄")))</x:f>
        <x:v>平</x:v>
      </x:c>
      <x:c r="L7965" s="7" t="str">
        <x:v>Pingshui main list expansion</x:v>
      </x:c>
    </x:row>
    <x:row r="7966">
      <x:c r="A7966" s="5" t="str">
        <x:v>貘</x:v>
      </x:c>
      <x:c r="B7966" s="6" t="str">
        <x:v>入</x:v>
      </x:c>
      <x:c r="C7966" s="6" t="str">
        <x:f>IF(B7966="","Needs decision","Ready")</x:f>
        <x:v>Ready</x:v>
      </x:c>
      <x:c r="D7966" s="6" t="str">
        <x:v>入</x:v>
      </x:c>
      <x:c r="E7966" s="6" t="str"/>
      <x:c r="F7966" s="6" t="str">
        <x:v>入聲十一陌</x:v>
      </x:c>
      <x:c r="G7966" s="6" t="str">
        <x:v>Pingshui main list, Wikisource-derived DOCX</x:v>
      </x:c>
      <x:c r="H7966" s="6" t="str"/>
      <x:c r="I7966" s="6" t="str">
        <x:v>Pingshui main-list expansion; 詞 entries ignored</x:v>
      </x:c>
      <x:c r="J7966" s="6" t="str">
        <x:f>IF(B7966="","",IF(AND(ISNUMBER(SEARCH("平",B7966)),OR(ISNUMBER(SEARCH("上",B7966)),ISNUMBER(SEARCH("去",B7966)),ISNUMBER(SEARCH("入",B7966)))),"Ambiguous",IF(ISNUMBER(SEARCH("平",B7966)),"平","仄")))</x:f>
        <x:v>仄</x:v>
      </x:c>
      <x:c r="K7966" s="6" t="str">
        <x:f>IF(D7966="","",IF(AND(ISNUMBER(SEARCH("平",D7966)),OR(ISNUMBER(SEARCH("上",D7966)),ISNUMBER(SEARCH("去",D7966)),ISNUMBER(SEARCH("入",D7966)))),"Ambiguous",IF(ISNUMBER(SEARCH("平",D7966)),"平","仄")))</x:f>
        <x:v>仄</x:v>
      </x:c>
      <x:c r="L7966" s="7" t="str">
        <x:v>Pingshui main list expansion</x:v>
      </x:c>
    </x:row>
    <x:row r="7967">
      <x:c r="A7967" s="5" t="str">
        <x:v>貜</x:v>
      </x:c>
      <x:c r="B7967" s="6" t="str">
        <x:v>入</x:v>
      </x:c>
      <x:c r="C7967" s="6" t="str">
        <x:f>IF(B7967="","Needs decision","Ready")</x:f>
        <x:v>Ready</x:v>
      </x:c>
      <x:c r="D7967" s="6" t="str">
        <x:v>入</x:v>
      </x:c>
      <x:c r="E7967" s="6" t="str"/>
      <x:c r="F7967" s="6" t="str">
        <x:v>入聲十藥</x:v>
      </x:c>
      <x:c r="G7967" s="6" t="str">
        <x:v>Pingshui main list, Wikisource-derived DOCX</x:v>
      </x:c>
      <x:c r="H7967" s="6" t="str"/>
      <x:c r="I7967" s="6" t="str">
        <x:v>Pingshui main-list expansion; 詞 entries ignored</x:v>
      </x:c>
      <x:c r="J7967" s="6" t="str">
        <x:f>IF(B7967="","",IF(AND(ISNUMBER(SEARCH("平",B7967)),OR(ISNUMBER(SEARCH("上",B7967)),ISNUMBER(SEARCH("去",B7967)),ISNUMBER(SEARCH("入",B7967)))),"Ambiguous",IF(ISNUMBER(SEARCH("平",B7967)),"平","仄")))</x:f>
        <x:v>仄</x:v>
      </x:c>
      <x:c r="K7967" s="6" t="str">
        <x:f>IF(D7967="","",IF(AND(ISNUMBER(SEARCH("平",D7967)),OR(ISNUMBER(SEARCH("上",D7967)),ISNUMBER(SEARCH("去",D7967)),ISNUMBER(SEARCH("入",D7967)))),"Ambiguous",IF(ISNUMBER(SEARCH("平",D7967)),"平","仄")))</x:f>
        <x:v>仄</x:v>
      </x:c>
      <x:c r="L7967" s="7" t="str">
        <x:v>Pingshui main list expansion</x:v>
      </x:c>
    </x:row>
    <x:row r="7968">
      <x:c r="A7968" s="5" t="str">
        <x:v>貤</x:v>
      </x:c>
      <x:c r="B7968" s="6" t="str"/>
      <x:c r="C7968" s="6" t="str">
        <x:f>IF(B7968="","Needs decision","Ready")</x:f>
        <x:v>Needs decision</x:v>
      </x:c>
      <x:c r="D7968" s="6" t="str">
        <x:v>平/去</x:v>
      </x:c>
      <x:c r="E7968" s="6" t="str"/>
      <x:c r="F7968" s="6" t="str">
        <x:v>上平聲四支; 去聲四寘</x:v>
      </x:c>
      <x:c r="G7968" s="6" t="str">
        <x:v>Pingshui main list, Wikisource-derived DOCX</x:v>
      </x:c>
      <x:c r="H7968" s="6" t="str"/>
      <x:c r="I7968" s="6" t="str">
        <x:v>Pingshui main-list expansion; 詞 entries ignored</x:v>
      </x:c>
      <x:c r="J7968" s="6" t="str">
        <x:f>IF(B7968="","",IF(AND(ISNUMBER(SEARCH("平",B7968)),OR(ISNUMBER(SEARCH("上",B7968)),ISNUMBER(SEARCH("去",B7968)),ISNUMBER(SEARCH("入",B7968)))),"Ambiguous",IF(ISNUMBER(SEARCH("平",B7968)),"平","仄")))</x:f>
      </x:c>
      <x:c r="K7968" s="6" t="str">
        <x:f>IF(D7968="","",IF(AND(ISNUMBER(SEARCH("平",D7968)),OR(ISNUMBER(SEARCH("上",D7968)),ISNUMBER(SEARCH("去",D7968)),ISNUMBER(SEARCH("入",D7968)))),"Ambiguous",IF(ISNUMBER(SEARCH("平",D7968)),"平","仄")))</x:f>
        <x:v>Ambiguous</x:v>
      </x:c>
      <x:c r="L7968" s="7" t="str">
        <x:v>Pingshui main list expansion</x:v>
      </x:c>
    </x:row>
    <x:row r="7969">
      <x:c r="A7969" s="5" t="str">
        <x:v>貾</x:v>
      </x:c>
      <x:c r="B7969" s="6" t="str">
        <x:v>平</x:v>
      </x:c>
      <x:c r="C7969" s="6" t="str">
        <x:f>IF(B7969="","Needs decision","Ready")</x:f>
        <x:v>Ready</x:v>
      </x:c>
      <x:c r="D7969" s="6" t="str">
        <x:v>平</x:v>
      </x:c>
      <x:c r="E7969" s="6" t="str"/>
      <x:c r="F7969" s="6" t="str">
        <x:v>上平聲四支</x:v>
      </x:c>
      <x:c r="G7969" s="6" t="str">
        <x:v>Pingshui main list, Wikisource-derived DOCX</x:v>
      </x:c>
      <x:c r="H7969" s="6" t="str"/>
      <x:c r="I7969" s="6" t="str">
        <x:v>Pingshui main-list expansion; 詞 entries ignored</x:v>
      </x:c>
      <x:c r="J7969" s="6" t="str">
        <x:f>IF(B7969="","",IF(AND(ISNUMBER(SEARCH("平",B7969)),OR(ISNUMBER(SEARCH("上",B7969)),ISNUMBER(SEARCH("去",B7969)),ISNUMBER(SEARCH("入",B7969)))),"Ambiguous",IF(ISNUMBER(SEARCH("平",B7969)),"平","仄")))</x:f>
        <x:v>平</x:v>
      </x:c>
      <x:c r="K7969" s="6" t="str">
        <x:f>IF(D7969="","",IF(AND(ISNUMBER(SEARCH("平",D7969)),OR(ISNUMBER(SEARCH("上",D7969)),ISNUMBER(SEARCH("去",D7969)),ISNUMBER(SEARCH("入",D7969)))),"Ambiguous",IF(ISNUMBER(SEARCH("平",D7969)),"平","仄")))</x:f>
        <x:v>平</x:v>
      </x:c>
      <x:c r="L7969" s="7" t="str">
        <x:v>Pingshui main list expansion</x:v>
      </x:c>
    </x:row>
    <x:row r="7970">
      <x:c r="A7970" s="5" t="str">
        <x:v>賙</x:v>
      </x:c>
      <x:c r="B7970" s="6" t="str">
        <x:v>平</x:v>
      </x:c>
      <x:c r="C7970" s="6" t="str">
        <x:f>IF(B7970="","Needs decision","Ready")</x:f>
        <x:v>Ready</x:v>
      </x:c>
      <x:c r="D7970" s="6" t="str">
        <x:v>平</x:v>
      </x:c>
      <x:c r="E7970" s="6" t="str"/>
      <x:c r="F7970" s="6" t="str">
        <x:v>下平聲十一尤</x:v>
      </x:c>
      <x:c r="G7970" s="6" t="str">
        <x:v>Pingshui main list, Wikisource-derived DOCX</x:v>
      </x:c>
      <x:c r="H7970" s="6" t="str"/>
      <x:c r="I7970" s="6" t="str">
        <x:v>Pingshui main-list expansion; 詞 entries ignored</x:v>
      </x:c>
      <x:c r="J7970" s="6" t="str">
        <x:f>IF(B7970="","",IF(AND(ISNUMBER(SEARCH("平",B7970)),OR(ISNUMBER(SEARCH("上",B7970)),ISNUMBER(SEARCH("去",B7970)),ISNUMBER(SEARCH("入",B7970)))),"Ambiguous",IF(ISNUMBER(SEARCH("平",B7970)),"平","仄")))</x:f>
        <x:v>平</x:v>
      </x:c>
      <x:c r="K7970" s="6" t="str">
        <x:f>IF(D7970="","",IF(AND(ISNUMBER(SEARCH("平",D7970)),OR(ISNUMBER(SEARCH("上",D7970)),ISNUMBER(SEARCH("去",D7970)),ISNUMBER(SEARCH("入",D7970)))),"Ambiguous",IF(ISNUMBER(SEARCH("平",D7970)),"平","仄")))</x:f>
        <x:v>平</x:v>
      </x:c>
      <x:c r="L7970" s="7" t="str">
        <x:v>Pingshui main list expansion</x:v>
      </x:c>
    </x:row>
    <x:row r="7971">
      <x:c r="A7971" s="5" t="str">
        <x:v>賨</x:v>
      </x:c>
      <x:c r="B7971" s="6" t="str">
        <x:v>平</x:v>
      </x:c>
      <x:c r="C7971" s="6" t="str">
        <x:f>IF(B7971="","Needs decision","Ready")</x:f>
        <x:v>Ready</x:v>
      </x:c>
      <x:c r="D7971" s="6" t="str">
        <x:v>平</x:v>
      </x:c>
      <x:c r="E7971" s="6" t="str"/>
      <x:c r="F7971" s="6" t="str">
        <x:v>上平聲二冬</x:v>
      </x:c>
      <x:c r="G7971" s="6" t="str">
        <x:v>Pingshui main list, Wikisource-derived DOCX</x:v>
      </x:c>
      <x:c r="H7971" s="6" t="str"/>
      <x:c r="I7971" s="6" t="str">
        <x:v>Pingshui main-list expansion; 詞 entries ignored</x:v>
      </x:c>
      <x:c r="J7971" s="6" t="str">
        <x:f>IF(B7971="","",IF(AND(ISNUMBER(SEARCH("平",B7971)),OR(ISNUMBER(SEARCH("上",B7971)),ISNUMBER(SEARCH("去",B7971)),ISNUMBER(SEARCH("入",B7971)))),"Ambiguous",IF(ISNUMBER(SEARCH("平",B7971)),"平","仄")))</x:f>
        <x:v>平</x:v>
      </x:c>
      <x:c r="K7971" s="6" t="str">
        <x:f>IF(D7971="","",IF(AND(ISNUMBER(SEARCH("平",D7971)),OR(ISNUMBER(SEARCH("上",D7971)),ISNUMBER(SEARCH("去",D7971)),ISNUMBER(SEARCH("入",D7971)))),"Ambiguous",IF(ISNUMBER(SEARCH("平",D7971)),"平","仄")))</x:f>
        <x:v>平</x:v>
      </x:c>
      <x:c r="L7971" s="7" t="str">
        <x:v>Pingshui main list expansion</x:v>
      </x:c>
    </x:row>
    <x:row r="7972">
      <x:c r="A7972" s="5" t="str">
        <x:v>賮</x:v>
      </x:c>
      <x:c r="B7972" s="6" t="str">
        <x:v>去</x:v>
      </x:c>
      <x:c r="C7972" s="6" t="str">
        <x:f>IF(B7972="","Needs decision","Ready")</x:f>
        <x:v>Ready</x:v>
      </x:c>
      <x:c r="D7972" s="6" t="str">
        <x:v>去</x:v>
      </x:c>
      <x:c r="E7972" s="6" t="str"/>
      <x:c r="F7972" s="6" t="str">
        <x:v>去聲十二震</x:v>
      </x:c>
      <x:c r="G7972" s="6" t="str">
        <x:v>Pingshui main list, Wikisource-derived DOCX</x:v>
      </x:c>
      <x:c r="H7972" s="6" t="str"/>
      <x:c r="I7972" s="6" t="str">
        <x:v>Pingshui main-list expansion; 詞 entries ignored</x:v>
      </x:c>
      <x:c r="J7972" s="6" t="str">
        <x:f>IF(B7972="","",IF(AND(ISNUMBER(SEARCH("平",B7972)),OR(ISNUMBER(SEARCH("上",B7972)),ISNUMBER(SEARCH("去",B7972)),ISNUMBER(SEARCH("入",B7972)))),"Ambiguous",IF(ISNUMBER(SEARCH("平",B7972)),"平","仄")))</x:f>
        <x:v>仄</x:v>
      </x:c>
      <x:c r="K7972" s="6" t="str">
        <x:f>IF(D7972="","",IF(AND(ISNUMBER(SEARCH("平",D7972)),OR(ISNUMBER(SEARCH("上",D7972)),ISNUMBER(SEARCH("去",D7972)),ISNUMBER(SEARCH("入",D7972)))),"Ambiguous",IF(ISNUMBER(SEARCH("平",D7972)),"平","仄")))</x:f>
        <x:v>仄</x:v>
      </x:c>
      <x:c r="L7972" s="7" t="str">
        <x:v>Pingshui main list expansion</x:v>
      </x:c>
    </x:row>
    <x:row r="7973">
      <x:c r="A7973" s="5" t="str">
        <x:v>賸</x:v>
      </x:c>
      <x:c r="B7973" s="6" t="str">
        <x:v>去</x:v>
      </x:c>
      <x:c r="C7973" s="6" t="str">
        <x:f>IF(B7973="","Needs decision","Ready")</x:f>
        <x:v>Ready</x:v>
      </x:c>
      <x:c r="D7973" s="6" t="str">
        <x:v>去</x:v>
      </x:c>
      <x:c r="E7973" s="6" t="str"/>
      <x:c r="F7973" s="6" t="str">
        <x:v>去聲二十五徑</x:v>
      </x:c>
      <x:c r="G7973" s="6" t="str">
        <x:v>Pingshui main list, Wikisource-derived DOCX</x:v>
      </x:c>
      <x:c r="H7973" s="6" t="str"/>
      <x:c r="I7973" s="6" t="str">
        <x:v>Pingshui main-list expansion; 詞 entries ignored</x:v>
      </x:c>
      <x:c r="J7973" s="6" t="str">
        <x:f>IF(B7973="","",IF(AND(ISNUMBER(SEARCH("平",B7973)),OR(ISNUMBER(SEARCH("上",B7973)),ISNUMBER(SEARCH("去",B7973)),ISNUMBER(SEARCH("入",B7973)))),"Ambiguous",IF(ISNUMBER(SEARCH("平",B7973)),"平","仄")))</x:f>
        <x:v>仄</x:v>
      </x:c>
      <x:c r="K7973" s="6" t="str">
        <x:f>IF(D7973="","",IF(AND(ISNUMBER(SEARCH("平",D7973)),OR(ISNUMBER(SEARCH("上",D7973)),ISNUMBER(SEARCH("去",D7973)),ISNUMBER(SEARCH("入",D7973)))),"Ambiguous",IF(ISNUMBER(SEARCH("平",D7973)),"平","仄")))</x:f>
        <x:v>仄</x:v>
      </x:c>
      <x:c r="L7973" s="7" t="str">
        <x:v>Pingshui main list expansion</x:v>
      </x:c>
    </x:row>
    <x:row r="7974">
      <x:c r="A7974" s="5" t="str">
        <x:v>賻</x:v>
      </x:c>
      <x:c r="B7974" s="6" t="str">
        <x:v>去</x:v>
      </x:c>
      <x:c r="C7974" s="6" t="str">
        <x:f>IF(B7974="","Needs decision","Ready")</x:f>
        <x:v>Ready</x:v>
      </x:c>
      <x:c r="D7974" s="6" t="str">
        <x:v>去</x:v>
      </x:c>
      <x:c r="E7974" s="6" t="str"/>
      <x:c r="F7974" s="6" t="str">
        <x:v>去聲七遇</x:v>
      </x:c>
      <x:c r="G7974" s="6" t="str">
        <x:v>Pingshui main list, Wikisource-derived DOCX</x:v>
      </x:c>
      <x:c r="H7974" s="6" t="str"/>
      <x:c r="I7974" s="6" t="str">
        <x:v>Pingshui main-list expansion; 詞 entries ignored</x:v>
      </x:c>
      <x:c r="J7974" s="6" t="str">
        <x:f>IF(B7974="","",IF(AND(ISNUMBER(SEARCH("平",B7974)),OR(ISNUMBER(SEARCH("上",B7974)),ISNUMBER(SEARCH("去",B7974)),ISNUMBER(SEARCH("入",B7974)))),"Ambiguous",IF(ISNUMBER(SEARCH("平",B7974)),"平","仄")))</x:f>
        <x:v>仄</x:v>
      </x:c>
      <x:c r="K7974" s="6" t="str">
        <x:f>IF(D7974="","",IF(AND(ISNUMBER(SEARCH("平",D7974)),OR(ISNUMBER(SEARCH("上",D7974)),ISNUMBER(SEARCH("去",D7974)),ISNUMBER(SEARCH("入",D7974)))),"Ambiguous",IF(ISNUMBER(SEARCH("平",D7974)),"平","仄")))</x:f>
        <x:v>仄</x:v>
      </x:c>
      <x:c r="L7974" s="7" t="str">
        <x:v>Pingshui main list expansion</x:v>
      </x:c>
    </x:row>
    <x:row r="7975">
      <x:c r="A7975" s="5" t="str">
        <x:v>贆</x:v>
      </x:c>
      <x:c r="B7975" s="6" t="str">
        <x:v>平</x:v>
      </x:c>
      <x:c r="C7975" s="6" t="str">
        <x:f>IF(B7975="","Needs decision","Ready")</x:f>
        <x:v>Ready</x:v>
      </x:c>
      <x:c r="D7975" s="6" t="str">
        <x:v>平</x:v>
      </x:c>
      <x:c r="E7975" s="6" t="str"/>
      <x:c r="F7975" s="6" t="str">
        <x:v>下平聲二蕭</x:v>
      </x:c>
      <x:c r="G7975" s="6" t="str">
        <x:v>Pingshui main list, Wikisource-derived DOCX</x:v>
      </x:c>
      <x:c r="H7975" s="6" t="str"/>
      <x:c r="I7975" s="6" t="str">
        <x:v>Pingshui main-list expansion; 詞 entries ignored</x:v>
      </x:c>
      <x:c r="J7975" s="6" t="str">
        <x:f>IF(B7975="","",IF(AND(ISNUMBER(SEARCH("平",B7975)),OR(ISNUMBER(SEARCH("上",B7975)),ISNUMBER(SEARCH("去",B7975)),ISNUMBER(SEARCH("入",B7975)))),"Ambiguous",IF(ISNUMBER(SEARCH("平",B7975)),"平","仄")))</x:f>
        <x:v>平</x:v>
      </x:c>
      <x:c r="K7975" s="6" t="str">
        <x:f>IF(D7975="","",IF(AND(ISNUMBER(SEARCH("平",D7975)),OR(ISNUMBER(SEARCH("上",D7975)),ISNUMBER(SEARCH("去",D7975)),ISNUMBER(SEARCH("入",D7975)))),"Ambiguous",IF(ISNUMBER(SEARCH("平",D7975)),"平","仄")))</x:f>
        <x:v>平</x:v>
      </x:c>
      <x:c r="L7975" s="7" t="str">
        <x:v>Pingshui main list expansion</x:v>
      </x:c>
    </x:row>
    <x:row r="7976">
      <x:c r="A7976" s="5" t="str">
        <x:v>贉</x:v>
      </x:c>
      <x:c r="B7976" s="6" t="str">
        <x:v>上</x:v>
      </x:c>
      <x:c r="C7976" s="6" t="str">
        <x:f>IF(B7976="","Needs decision","Ready")</x:f>
        <x:v>Ready</x:v>
      </x:c>
      <x:c r="D7976" s="6" t="str">
        <x:v>上</x:v>
      </x:c>
      <x:c r="E7976" s="6" t="str"/>
      <x:c r="F7976" s="6" t="str">
        <x:v>上聲二十七感</x:v>
      </x:c>
      <x:c r="G7976" s="6" t="str">
        <x:v>Pingshui main list, Wikisource-derived DOCX</x:v>
      </x:c>
      <x:c r="H7976" s="6" t="str"/>
      <x:c r="I7976" s="6" t="str">
        <x:v>Pingshui main-list expansion; 詞 entries ignored</x:v>
      </x:c>
      <x:c r="J7976" s="6" t="str">
        <x:f>IF(B7976="","",IF(AND(ISNUMBER(SEARCH("平",B7976)),OR(ISNUMBER(SEARCH("上",B7976)),ISNUMBER(SEARCH("去",B7976)),ISNUMBER(SEARCH("入",B7976)))),"Ambiguous",IF(ISNUMBER(SEARCH("平",B7976)),"平","仄")))</x:f>
        <x:v>仄</x:v>
      </x:c>
      <x:c r="K7976" s="6" t="str">
        <x:f>IF(D7976="","",IF(AND(ISNUMBER(SEARCH("平",D7976)),OR(ISNUMBER(SEARCH("上",D7976)),ISNUMBER(SEARCH("去",D7976)),ISNUMBER(SEARCH("入",D7976)))),"Ambiguous",IF(ISNUMBER(SEARCH("平",D7976)),"平","仄")))</x:f>
        <x:v>仄</x:v>
      </x:c>
      <x:c r="L7976" s="7" t="str">
        <x:v>Pingshui main list expansion</x:v>
      </x:c>
    </x:row>
    <x:row r="7977">
      <x:c r="A7977" s="5" t="str">
        <x:v>贔</x:v>
      </x:c>
      <x:c r="B7977" s="6" t="str">
        <x:v>去</x:v>
      </x:c>
      <x:c r="C7977" s="6" t="str">
        <x:f>IF(B7977="","Needs decision","Ready")</x:f>
        <x:v>Ready</x:v>
      </x:c>
      <x:c r="D7977" s="6" t="str">
        <x:v>去</x:v>
      </x:c>
      <x:c r="E7977" s="6" t="str"/>
      <x:c r="F7977" s="6" t="str">
        <x:v>去聲四寘</x:v>
      </x:c>
      <x:c r="G7977" s="6" t="str">
        <x:v>Pingshui main list, Wikisource-derived DOCX</x:v>
      </x:c>
      <x:c r="H7977" s="6" t="str"/>
      <x:c r="I7977" s="6" t="str">
        <x:v>Pingshui main-list expansion; 詞 entries ignored</x:v>
      </x:c>
      <x:c r="J7977" s="6" t="str">
        <x:f>IF(B7977="","",IF(AND(ISNUMBER(SEARCH("平",B7977)),OR(ISNUMBER(SEARCH("上",B7977)),ISNUMBER(SEARCH("去",B7977)),ISNUMBER(SEARCH("入",B7977)))),"Ambiguous",IF(ISNUMBER(SEARCH("平",B7977)),"平","仄")))</x:f>
        <x:v>仄</x:v>
      </x:c>
      <x:c r="K7977" s="6" t="str">
        <x:f>IF(D7977="","",IF(AND(ISNUMBER(SEARCH("平",D7977)),OR(ISNUMBER(SEARCH("上",D7977)),ISNUMBER(SEARCH("去",D7977)),ISNUMBER(SEARCH("入",D7977)))),"Ambiguous",IF(ISNUMBER(SEARCH("平",D7977)),"平","仄")))</x:f>
        <x:v>仄</x:v>
      </x:c>
      <x:c r="L7977" s="7" t="str">
        <x:v>Pingshui main list expansion</x:v>
      </x:c>
    </x:row>
    <x:row r="7978">
      <x:c r="A7978" s="5" t="str">
        <x:v>贗</x:v>
      </x:c>
      <x:c r="B7978" s="6" t="str">
        <x:v>去</x:v>
      </x:c>
      <x:c r="C7978" s="6" t="str">
        <x:f>IF(B7978="","Needs decision","Ready")</x:f>
        <x:v>Ready</x:v>
      </x:c>
      <x:c r="D7978" s="6" t="str">
        <x:v>去</x:v>
      </x:c>
      <x:c r="E7978" s="6" t="str"/>
      <x:c r="F7978" s="6" t="str">
        <x:v>去聲十六諫</x:v>
      </x:c>
      <x:c r="G7978" s="6" t="str">
        <x:v>Pingshui main list, Wikisource-derived DOCX</x:v>
      </x:c>
      <x:c r="H7978" s="6" t="str"/>
      <x:c r="I7978" s="6" t="str">
        <x:v>Pingshui main-list expansion; 詞 entries ignored</x:v>
      </x:c>
      <x:c r="J7978" s="6" t="str">
        <x:f>IF(B7978="","",IF(AND(ISNUMBER(SEARCH("平",B7978)),OR(ISNUMBER(SEARCH("上",B7978)),ISNUMBER(SEARCH("去",B7978)),ISNUMBER(SEARCH("入",B7978)))),"Ambiguous",IF(ISNUMBER(SEARCH("平",B7978)),"平","仄")))</x:f>
        <x:v>仄</x:v>
      </x:c>
      <x:c r="K7978" s="6" t="str">
        <x:f>IF(D7978="","",IF(AND(ISNUMBER(SEARCH("平",D7978)),OR(ISNUMBER(SEARCH("上",D7978)),ISNUMBER(SEARCH("去",D7978)),ISNUMBER(SEARCH("入",D7978)))),"Ambiguous",IF(ISNUMBER(SEARCH("平",D7978)),"平","仄")))</x:f>
        <x:v>仄</x:v>
      </x:c>
      <x:c r="L7978" s="7" t="str">
        <x:v>Pingshui main list expansion</x:v>
      </x:c>
    </x:row>
    <x:row r="7979">
      <x:c r="A7979" s="5" t="str">
        <x:v>贙</x:v>
      </x:c>
      <x:c r="B7979" s="6" t="str"/>
      <x:c r="C7979" s="6" t="str">
        <x:f>IF(B7979="","Needs decision","Ready")</x:f>
        <x:v>Needs decision</x:v>
      </x:c>
      <x:c r="D7979" s="6" t="str">
        <x:v>上/去</x:v>
      </x:c>
      <x:c r="E7979" s="6" t="str"/>
      <x:c r="F7979" s="6" t="str">
        <x:v>上聲十六銑; 去聲十七霰</x:v>
      </x:c>
      <x:c r="G7979" s="6" t="str">
        <x:v>Pingshui main list, Wikisource-derived DOCX</x:v>
      </x:c>
      <x:c r="H7979" s="6" t="str"/>
      <x:c r="I7979" s="6" t="str">
        <x:v>Pingshui main-list expansion; 詞 entries ignored</x:v>
      </x:c>
      <x:c r="J7979" s="6" t="str">
        <x:f>IF(B7979="","",IF(AND(ISNUMBER(SEARCH("平",B7979)),OR(ISNUMBER(SEARCH("上",B7979)),ISNUMBER(SEARCH("去",B7979)),ISNUMBER(SEARCH("入",B7979)))),"Ambiguous",IF(ISNUMBER(SEARCH("平",B7979)),"平","仄")))</x:f>
      </x:c>
      <x:c r="K7979" s="6" t="str">
        <x:f>IF(D7979="","",IF(AND(ISNUMBER(SEARCH("平",D7979)),OR(ISNUMBER(SEARCH("上",D7979)),ISNUMBER(SEARCH("去",D7979)),ISNUMBER(SEARCH("入",D7979)))),"Ambiguous",IF(ISNUMBER(SEARCH("平",D7979)),"平","仄")))</x:f>
        <x:v>仄</x:v>
      </x:c>
      <x:c r="L7979" s="7" t="str">
        <x:v>Pingshui main list expansion</x:v>
      </x:c>
    </x:row>
    <x:row r="7980">
      <x:c r="A7980" s="5" t="str">
        <x:v>赮</x:v>
      </x:c>
      <x:c r="B7980" s="6" t="str">
        <x:v>平</x:v>
      </x:c>
      <x:c r="C7980" s="6" t="str">
        <x:f>IF(B7980="","Needs decision","Ready")</x:f>
        <x:v>Ready</x:v>
      </x:c>
      <x:c r="D7980" s="6" t="str">
        <x:v>平</x:v>
      </x:c>
      <x:c r="E7980" s="6" t="str"/>
      <x:c r="F7980" s="6" t="str">
        <x:v>下平聲六麻</x:v>
      </x:c>
      <x:c r="G7980" s="6" t="str">
        <x:v>Pingshui main list, Wikisource-derived DOCX</x:v>
      </x:c>
      <x:c r="H7980" s="6" t="str"/>
      <x:c r="I7980" s="6" t="str">
        <x:v>Pingshui main-list expansion; 詞 entries ignored</x:v>
      </x:c>
      <x:c r="J7980" s="6" t="str">
        <x:f>IF(B7980="","",IF(AND(ISNUMBER(SEARCH("平",B7980)),OR(ISNUMBER(SEARCH("上",B7980)),ISNUMBER(SEARCH("去",B7980)),ISNUMBER(SEARCH("入",B7980)))),"Ambiguous",IF(ISNUMBER(SEARCH("平",B7980)),"平","仄")))</x:f>
        <x:v>平</x:v>
      </x:c>
      <x:c r="K7980" s="6" t="str">
        <x:f>IF(D7980="","",IF(AND(ISNUMBER(SEARCH("平",D7980)),OR(ISNUMBER(SEARCH("上",D7980)),ISNUMBER(SEARCH("去",D7980)),ISNUMBER(SEARCH("入",D7980)))),"Ambiguous",IF(ISNUMBER(SEARCH("平",D7980)),"平","仄")))</x:f>
        <x:v>平</x:v>
      </x:c>
      <x:c r="L7980" s="7" t="str">
        <x:v>Pingshui main list expansion</x:v>
      </x:c>
    </x:row>
    <x:row r="7981">
      <x:c r="A7981" s="5" t="str">
        <x:v>趄</x:v>
      </x:c>
      <x:c r="B7981" s="6" t="str">
        <x:v>平</x:v>
      </x:c>
      <x:c r="C7981" s="6" t="str">
        <x:f>IF(B7981="","Needs decision","Ready")</x:f>
        <x:v>Ready</x:v>
      </x:c>
      <x:c r="D7981" s="6" t="str">
        <x:v>平</x:v>
      </x:c>
      <x:c r="E7981" s="6" t="str"/>
      <x:c r="F7981" s="6" t="str">
        <x:v>上平聲六魚</x:v>
      </x:c>
      <x:c r="G7981" s="6" t="str">
        <x:v>Pingshui main list, Wikisource-derived DOCX</x:v>
      </x:c>
      <x:c r="H7981" s="6" t="str"/>
      <x:c r="I7981" s="6" t="str">
        <x:v>Pingshui main-list expansion; 詞 entries ignored</x:v>
      </x:c>
      <x:c r="J7981" s="6" t="str">
        <x:f>IF(B7981="","",IF(AND(ISNUMBER(SEARCH("平",B7981)),OR(ISNUMBER(SEARCH("上",B7981)),ISNUMBER(SEARCH("去",B7981)),ISNUMBER(SEARCH("入",B7981)))),"Ambiguous",IF(ISNUMBER(SEARCH("平",B7981)),"平","仄")))</x:f>
        <x:v>平</x:v>
      </x:c>
      <x:c r="K7981" s="6" t="str">
        <x:f>IF(D7981="","",IF(AND(ISNUMBER(SEARCH("平",D7981)),OR(ISNUMBER(SEARCH("上",D7981)),ISNUMBER(SEARCH("去",D7981)),ISNUMBER(SEARCH("入",D7981)))),"Ambiguous",IF(ISNUMBER(SEARCH("平",D7981)),"平","仄")))</x:f>
        <x:v>平</x:v>
      </x:c>
      <x:c r="L7981" s="7" t="str">
        <x:v>Pingshui main list expansion</x:v>
      </x:c>
    </x:row>
    <x:row r="7982">
      <x:c r="A7982" s="5" t="str">
        <x:v>趎</x:v>
      </x:c>
      <x:c r="B7982" s="6" t="str">
        <x:v>平</x:v>
      </x:c>
      <x:c r="C7982" s="6" t="str">
        <x:f>IF(B7982="","Needs decision","Ready")</x:f>
        <x:v>Ready</x:v>
      </x:c>
      <x:c r="D7982" s="6" t="str">
        <x:v>平</x:v>
      </x:c>
      <x:c r="E7982" s="6" t="str"/>
      <x:c r="F7982" s="6" t="str">
        <x:v>上平聲七虞</x:v>
      </x:c>
      <x:c r="G7982" s="6" t="str">
        <x:v>Pingshui main list, Wikisource-derived DOCX</x:v>
      </x:c>
      <x:c r="H7982" s="6" t="str"/>
      <x:c r="I7982" s="6" t="str">
        <x:v>Pingshui main-list expansion; 詞 entries ignored</x:v>
      </x:c>
      <x:c r="J7982" s="6" t="str">
        <x:f>IF(B7982="","",IF(AND(ISNUMBER(SEARCH("平",B7982)),OR(ISNUMBER(SEARCH("上",B7982)),ISNUMBER(SEARCH("去",B7982)),ISNUMBER(SEARCH("入",B7982)))),"Ambiguous",IF(ISNUMBER(SEARCH("平",B7982)),"平","仄")))</x:f>
        <x:v>平</x:v>
      </x:c>
      <x:c r="K7982" s="6" t="str">
        <x:f>IF(D7982="","",IF(AND(ISNUMBER(SEARCH("平",D7982)),OR(ISNUMBER(SEARCH("上",D7982)),ISNUMBER(SEARCH("去",D7982)),ISNUMBER(SEARCH("入",D7982)))),"Ambiguous",IF(ISNUMBER(SEARCH("平",D7982)),"平","仄")))</x:f>
        <x:v>平</x:v>
      </x:c>
      <x:c r="L7982" s="7" t="str">
        <x:v>Pingshui main list expansion</x:v>
      </x:c>
    </x:row>
    <x:row r="7983">
      <x:c r="A7983" s="5" t="str">
        <x:v>趒</x:v>
      </x:c>
      <x:c r="B7983" s="6" t="str">
        <x:v>去</x:v>
      </x:c>
      <x:c r="C7983" s="6" t="str">
        <x:f>IF(B7983="","Needs decision","Ready")</x:f>
        <x:v>Ready</x:v>
      </x:c>
      <x:c r="D7983" s="6" t="str">
        <x:v>去</x:v>
      </x:c>
      <x:c r="E7983" s="6" t="str"/>
      <x:c r="F7983" s="6" t="str">
        <x:v>去聲十八嘯</x:v>
      </x:c>
      <x:c r="G7983" s="6" t="str">
        <x:v>Pingshui main list, Wikisource-derived DOCX</x:v>
      </x:c>
      <x:c r="H7983" s="6" t="str"/>
      <x:c r="I7983" s="6" t="str">
        <x:v>Pingshui main-list expansion; 詞 entries ignored</x:v>
      </x:c>
      <x:c r="J7983" s="6" t="str">
        <x:f>IF(B7983="","",IF(AND(ISNUMBER(SEARCH("平",B7983)),OR(ISNUMBER(SEARCH("上",B7983)),ISNUMBER(SEARCH("去",B7983)),ISNUMBER(SEARCH("入",B7983)))),"Ambiguous",IF(ISNUMBER(SEARCH("平",B7983)),"平","仄")))</x:f>
        <x:v>仄</x:v>
      </x:c>
      <x:c r="K7983" s="6" t="str">
        <x:f>IF(D7983="","",IF(AND(ISNUMBER(SEARCH("平",D7983)),OR(ISNUMBER(SEARCH("上",D7983)),ISNUMBER(SEARCH("去",D7983)),ISNUMBER(SEARCH("入",D7983)))),"Ambiguous",IF(ISNUMBER(SEARCH("平",D7983)),"平","仄")))</x:f>
        <x:v>仄</x:v>
      </x:c>
      <x:c r="L7983" s="7" t="str">
        <x:v>Pingshui main list expansion</x:v>
      </x:c>
    </x:row>
    <x:row r="7984">
      <x:c r="A7984" s="5" t="str">
        <x:v>趟</x:v>
      </x:c>
      <x:c r="B7984" s="6" t="str">
        <x:v>平</x:v>
      </x:c>
      <x:c r="C7984" s="6" t="str">
        <x:f>IF(B7984="","Needs decision","Ready")</x:f>
        <x:v>Ready</x:v>
      </x:c>
      <x:c r="D7984" s="6" t="str">
        <x:v>平</x:v>
      </x:c>
      <x:c r="E7984" s="6" t="str"/>
      <x:c r="F7984" s="6" t="str">
        <x:v>下平聲八庚</x:v>
      </x:c>
      <x:c r="G7984" s="6" t="str">
        <x:v>Pingshui main list, Wikisource-derived DOCX</x:v>
      </x:c>
      <x:c r="H7984" s="6" t="str"/>
      <x:c r="I7984" s="6" t="str">
        <x:v>Pingshui main-list expansion; 詞 entries ignored</x:v>
      </x:c>
      <x:c r="J7984" s="6" t="str">
        <x:f>IF(B7984="","",IF(AND(ISNUMBER(SEARCH("平",B7984)),OR(ISNUMBER(SEARCH("上",B7984)),ISNUMBER(SEARCH("去",B7984)),ISNUMBER(SEARCH("入",B7984)))),"Ambiguous",IF(ISNUMBER(SEARCH("平",B7984)),"平","仄")))</x:f>
        <x:v>平</x:v>
      </x:c>
      <x:c r="K7984" s="6" t="str">
        <x:f>IF(D7984="","",IF(AND(ISNUMBER(SEARCH("平",D7984)),OR(ISNUMBER(SEARCH("上",D7984)),ISNUMBER(SEARCH("去",D7984)),ISNUMBER(SEARCH("入",D7984)))),"Ambiguous",IF(ISNUMBER(SEARCH("平",D7984)),"平","仄")))</x:f>
        <x:v>平</x:v>
      </x:c>
      <x:c r="L7984" s="7" t="str">
        <x:v>Pingshui main list expansion</x:v>
      </x:c>
    </x:row>
    <x:row r="7985">
      <x:c r="A7985" s="5" t="str">
        <x:v>趪</x:v>
      </x:c>
      <x:c r="B7985" s="6" t="str">
        <x:v>平</x:v>
      </x:c>
      <x:c r="C7985" s="6" t="str">
        <x:f>IF(B7985="","Needs decision","Ready")</x:f>
        <x:v>Ready</x:v>
      </x:c>
      <x:c r="D7985" s="6" t="str">
        <x:v>平</x:v>
      </x:c>
      <x:c r="E7985" s="6" t="str"/>
      <x:c r="F7985" s="6" t="str">
        <x:v>下平聲七陽</x:v>
      </x:c>
      <x:c r="G7985" s="6" t="str">
        <x:v>Pingshui main list, Wikisource-derived DOCX</x:v>
      </x:c>
      <x:c r="H7985" s="6" t="str"/>
      <x:c r="I7985" s="6" t="str">
        <x:v>Pingshui main-list expansion; 詞 entries ignored</x:v>
      </x:c>
      <x:c r="J7985" s="6" t="str">
        <x:f>IF(B7985="","",IF(AND(ISNUMBER(SEARCH("平",B7985)),OR(ISNUMBER(SEARCH("上",B7985)),ISNUMBER(SEARCH("去",B7985)),ISNUMBER(SEARCH("入",B7985)))),"Ambiguous",IF(ISNUMBER(SEARCH("平",B7985)),"平","仄")))</x:f>
        <x:v>平</x:v>
      </x:c>
      <x:c r="K7985" s="6" t="str">
        <x:f>IF(D7985="","",IF(AND(ISNUMBER(SEARCH("平",D7985)),OR(ISNUMBER(SEARCH("上",D7985)),ISNUMBER(SEARCH("去",D7985)),ISNUMBER(SEARCH("入",D7985)))),"Ambiguous",IF(ISNUMBER(SEARCH("平",D7985)),"平","仄")))</x:f>
        <x:v>平</x:v>
      </x:c>
      <x:c r="L7985" s="7" t="str">
        <x:v>Pingshui main list expansion</x:v>
      </x:c>
    </x:row>
    <x:row r="7986">
      <x:c r="A7986" s="5" t="str">
        <x:v>趭</x:v>
      </x:c>
      <x:c r="B7986" s="6" t="str">
        <x:v>去</x:v>
      </x:c>
      <x:c r="C7986" s="6" t="str">
        <x:f>IF(B7986="","Needs decision","Ready")</x:f>
        <x:v>Ready</x:v>
      </x:c>
      <x:c r="D7986" s="6" t="str">
        <x:v>去</x:v>
      </x:c>
      <x:c r="E7986" s="6" t="str"/>
      <x:c r="F7986" s="6" t="str">
        <x:v>去聲十八嘯</x:v>
      </x:c>
      <x:c r="G7986" s="6" t="str">
        <x:v>Pingshui main list, Wikisource-derived DOCX</x:v>
      </x:c>
      <x:c r="H7986" s="6" t="str"/>
      <x:c r="I7986" s="6" t="str">
        <x:v>Pingshui main-list expansion; 詞 entries ignored</x:v>
      </x:c>
      <x:c r="J7986" s="6" t="str">
        <x:f>IF(B7986="","",IF(AND(ISNUMBER(SEARCH("平",B7986)),OR(ISNUMBER(SEARCH("上",B7986)),ISNUMBER(SEARCH("去",B7986)),ISNUMBER(SEARCH("入",B7986)))),"Ambiguous",IF(ISNUMBER(SEARCH("平",B7986)),"平","仄")))</x:f>
        <x:v>仄</x:v>
      </x:c>
      <x:c r="K7986" s="6" t="str">
        <x:f>IF(D7986="","",IF(AND(ISNUMBER(SEARCH("平",D7986)),OR(ISNUMBER(SEARCH("上",D7986)),ISNUMBER(SEARCH("去",D7986)),ISNUMBER(SEARCH("入",D7986)))),"Ambiguous",IF(ISNUMBER(SEARCH("平",D7986)),"平","仄")))</x:f>
        <x:v>仄</x:v>
      </x:c>
      <x:c r="L7986" s="7" t="str">
        <x:v>Pingshui main list expansion</x:v>
      </x:c>
    </x:row>
    <x:row r="7987">
      <x:c r="A7987" s="5" t="str">
        <x:v>趮</x:v>
      </x:c>
      <x:c r="B7987" s="6" t="str">
        <x:v>去</x:v>
      </x:c>
      <x:c r="C7987" s="6" t="str">
        <x:f>IF(B7987="","Needs decision","Ready")</x:f>
        <x:v>Ready</x:v>
      </x:c>
      <x:c r="D7987" s="6" t="str">
        <x:v>去</x:v>
      </x:c>
      <x:c r="E7987" s="6" t="str"/>
      <x:c r="F7987" s="6" t="str">
        <x:v>去聲二十號</x:v>
      </x:c>
      <x:c r="G7987" s="6" t="str">
        <x:v>Pingshui main list, Wikisource-derived DOCX</x:v>
      </x:c>
      <x:c r="H7987" s="6" t="str"/>
      <x:c r="I7987" s="6" t="str">
        <x:v>Pingshui main-list expansion; 詞 entries ignored</x:v>
      </x:c>
      <x:c r="J7987" s="6" t="str">
        <x:f>IF(B7987="","",IF(AND(ISNUMBER(SEARCH("平",B7987)),OR(ISNUMBER(SEARCH("上",B7987)),ISNUMBER(SEARCH("去",B7987)),ISNUMBER(SEARCH("入",B7987)))),"Ambiguous",IF(ISNUMBER(SEARCH("平",B7987)),"平","仄")))</x:f>
        <x:v>仄</x:v>
      </x:c>
      <x:c r="K7987" s="6" t="str">
        <x:f>IF(D7987="","",IF(AND(ISNUMBER(SEARCH("平",D7987)),OR(ISNUMBER(SEARCH("上",D7987)),ISNUMBER(SEARCH("去",D7987)),ISNUMBER(SEARCH("入",D7987)))),"Ambiguous",IF(ISNUMBER(SEARCH("平",D7987)),"平","仄")))</x:f>
        <x:v>仄</x:v>
      </x:c>
      <x:c r="L7987" s="7" t="str">
        <x:v>Pingshui main list expansion</x:v>
      </x:c>
    </x:row>
    <x:row r="7988">
      <x:c r="A7988" s="5" t="str">
        <x:v>趲</x:v>
      </x:c>
      <x:c r="B7988" s="6" t="str">
        <x:v>上</x:v>
      </x:c>
      <x:c r="C7988" s="6" t="str">
        <x:f>IF(B7988="","Needs decision","Ready")</x:f>
        <x:v>Ready</x:v>
      </x:c>
      <x:c r="D7988" s="6" t="str">
        <x:v>上</x:v>
      </x:c>
      <x:c r="E7988" s="6" t="str"/>
      <x:c r="F7988" s="6" t="str">
        <x:v>上聲十四旱</x:v>
      </x:c>
      <x:c r="G7988" s="6" t="str">
        <x:v>Pingshui main list, Wikisource-derived DOCX</x:v>
      </x:c>
      <x:c r="H7988" s="6" t="str"/>
      <x:c r="I7988" s="6" t="str">
        <x:v>Pingshui main-list expansion; 詞 entries ignored</x:v>
      </x:c>
      <x:c r="J7988" s="6" t="str">
        <x:f>IF(B7988="","",IF(AND(ISNUMBER(SEARCH("平",B7988)),OR(ISNUMBER(SEARCH("上",B7988)),ISNUMBER(SEARCH("去",B7988)),ISNUMBER(SEARCH("入",B7988)))),"Ambiguous",IF(ISNUMBER(SEARCH("平",B7988)),"平","仄")))</x:f>
        <x:v>仄</x:v>
      </x:c>
      <x:c r="K7988" s="6" t="str">
        <x:f>IF(D7988="","",IF(AND(ISNUMBER(SEARCH("平",D7988)),OR(ISNUMBER(SEARCH("上",D7988)),ISNUMBER(SEARCH("去",D7988)),ISNUMBER(SEARCH("入",D7988)))),"Ambiguous",IF(ISNUMBER(SEARCH("平",D7988)),"平","仄")))</x:f>
        <x:v>仄</x:v>
      </x:c>
      <x:c r="L7988" s="7" t="str">
        <x:v>Pingshui main list expansion</x:v>
      </x:c>
    </x:row>
    <x:row r="7989">
      <x:c r="A7989" s="5" t="str">
        <x:v>趵</x:v>
      </x:c>
      <x:c r="B7989" s="6" t="str">
        <x:v>入</x:v>
      </x:c>
      <x:c r="C7989" s="6" t="str">
        <x:f>IF(B7989="","Needs decision","Ready")</x:f>
        <x:v>Ready</x:v>
      </x:c>
      <x:c r="D7989" s="6" t="str">
        <x:v>入</x:v>
      </x:c>
      <x:c r="E7989" s="6" t="str"/>
      <x:c r="F7989" s="6" t="str">
        <x:v>入聲三覺</x:v>
      </x:c>
      <x:c r="G7989" s="6" t="str">
        <x:v>Pingshui main list, Wikisource-derived DOCX</x:v>
      </x:c>
      <x:c r="H7989" s="6" t="str"/>
      <x:c r="I7989" s="6" t="str">
        <x:v>Pingshui main-list expansion; 詞 entries ignored</x:v>
      </x:c>
      <x:c r="J7989" s="6" t="str">
        <x:f>IF(B7989="","",IF(AND(ISNUMBER(SEARCH("平",B7989)),OR(ISNUMBER(SEARCH("上",B7989)),ISNUMBER(SEARCH("去",B7989)),ISNUMBER(SEARCH("入",B7989)))),"Ambiguous",IF(ISNUMBER(SEARCH("平",B7989)),"平","仄")))</x:f>
        <x:v>仄</x:v>
      </x:c>
      <x:c r="K7989" s="6" t="str">
        <x:f>IF(D7989="","",IF(AND(ISNUMBER(SEARCH("平",D7989)),OR(ISNUMBER(SEARCH("上",D7989)),ISNUMBER(SEARCH("去",D7989)),ISNUMBER(SEARCH("入",D7989)))),"Ambiguous",IF(ISNUMBER(SEARCH("平",D7989)),"平","仄")))</x:f>
        <x:v>仄</x:v>
      </x:c>
      <x:c r="L7989" s="7" t="str">
        <x:v>Pingshui main list expansion</x:v>
      </x:c>
    </x:row>
    <x:row r="7990">
      <x:c r="A7990" s="5" t="str">
        <x:v>趹</x:v>
      </x:c>
      <x:c r="B7990" s="6" t="str">
        <x:v>入</x:v>
      </x:c>
      <x:c r="C7990" s="6" t="str">
        <x:f>IF(B7990="","Needs decision","Ready")</x:f>
        <x:v>Ready</x:v>
      </x:c>
      <x:c r="D7990" s="6" t="str">
        <x:v>入</x:v>
      </x:c>
      <x:c r="E7990" s="6" t="str"/>
      <x:c r="F7990" s="6" t="str">
        <x:v>入聲九屑</x:v>
      </x:c>
      <x:c r="G7990" s="6" t="str">
        <x:v>Pingshui main list, Wikisource-derived DOCX</x:v>
      </x:c>
      <x:c r="H7990" s="6" t="str"/>
      <x:c r="I7990" s="6" t="str">
        <x:v>Pingshui main-list expansion; 詞 entries ignored</x:v>
      </x:c>
      <x:c r="J7990" s="6" t="str">
        <x:f>IF(B7990="","",IF(AND(ISNUMBER(SEARCH("平",B7990)),OR(ISNUMBER(SEARCH("上",B7990)),ISNUMBER(SEARCH("去",B7990)),ISNUMBER(SEARCH("入",B7990)))),"Ambiguous",IF(ISNUMBER(SEARCH("平",B7990)),"平","仄")))</x:f>
        <x:v>仄</x:v>
      </x:c>
      <x:c r="K7990" s="6" t="str">
        <x:f>IF(D7990="","",IF(AND(ISNUMBER(SEARCH("平",D7990)),OR(ISNUMBER(SEARCH("上",D7990)),ISNUMBER(SEARCH("去",D7990)),ISNUMBER(SEARCH("入",D7990)))),"Ambiguous",IF(ISNUMBER(SEARCH("平",D7990)),"平","仄")))</x:f>
        <x:v>仄</x:v>
      </x:c>
      <x:c r="L7990" s="7" t="str">
        <x:v>Pingshui main list expansion</x:v>
      </x:c>
    </x:row>
    <x:row r="7991">
      <x:c r="A7991" s="5" t="str">
        <x:v>趼</x:v>
      </x:c>
      <x:c r="B7991" s="6" t="str"/>
      <x:c r="C7991" s="6" t="str">
        <x:f>IF(B7991="","Needs decision","Ready")</x:f>
        <x:v>Needs decision</x:v>
      </x:c>
      <x:c r="D7991" s="6" t="str">
        <x:v>上/去</x:v>
      </x:c>
      <x:c r="E7991" s="6" t="str"/>
      <x:c r="F7991" s="6" t="str">
        <x:v>上聲十六銑; 去聲十七霰</x:v>
      </x:c>
      <x:c r="G7991" s="6" t="str">
        <x:v>Pingshui main list, Wikisource-derived DOCX</x:v>
      </x:c>
      <x:c r="H7991" s="6" t="str"/>
      <x:c r="I7991" s="6" t="str">
        <x:v>Pingshui main-list expansion; 詞 entries ignored</x:v>
      </x:c>
      <x:c r="J7991" s="6" t="str">
        <x:f>IF(B7991="","",IF(AND(ISNUMBER(SEARCH("平",B7991)),OR(ISNUMBER(SEARCH("上",B7991)),ISNUMBER(SEARCH("去",B7991)),ISNUMBER(SEARCH("入",B7991)))),"Ambiguous",IF(ISNUMBER(SEARCH("平",B7991)),"平","仄")))</x:f>
      </x:c>
      <x:c r="K7991" s="6" t="str">
        <x:f>IF(D7991="","",IF(AND(ISNUMBER(SEARCH("平",D7991)),OR(ISNUMBER(SEARCH("上",D7991)),ISNUMBER(SEARCH("去",D7991)),ISNUMBER(SEARCH("入",D7991)))),"Ambiguous",IF(ISNUMBER(SEARCH("平",D7991)),"平","仄")))</x:f>
        <x:v>仄</x:v>
      </x:c>
      <x:c r="L7991" s="7" t="str">
        <x:v>Pingshui main list expansion</x:v>
      </x:c>
    </x:row>
    <x:row r="7992">
      <x:c r="A7992" s="5" t="str">
        <x:v>趿</x:v>
      </x:c>
      <x:c r="B7992" s="6" t="str">
        <x:v>入</x:v>
      </x:c>
      <x:c r="C7992" s="6" t="str">
        <x:f>IF(B7992="","Needs decision","Ready")</x:f>
        <x:v>Ready</x:v>
      </x:c>
      <x:c r="D7992" s="6" t="str">
        <x:v>入</x:v>
      </x:c>
      <x:c r="E7992" s="6" t="str"/>
      <x:c r="F7992" s="6" t="str">
        <x:v>入聲十五合</x:v>
      </x:c>
      <x:c r="G7992" s="6" t="str">
        <x:v>Pingshui main list, Wikisource-derived DOCX</x:v>
      </x:c>
      <x:c r="H7992" s="6" t="str"/>
      <x:c r="I7992" s="6" t="str">
        <x:v>Pingshui main-list expansion; 詞 entries ignored</x:v>
      </x:c>
      <x:c r="J7992" s="6" t="str">
        <x:f>IF(B7992="","",IF(AND(ISNUMBER(SEARCH("平",B7992)),OR(ISNUMBER(SEARCH("上",B7992)),ISNUMBER(SEARCH("去",B7992)),ISNUMBER(SEARCH("入",B7992)))),"Ambiguous",IF(ISNUMBER(SEARCH("平",B7992)),"平","仄")))</x:f>
        <x:v>仄</x:v>
      </x:c>
      <x:c r="K7992" s="6" t="str">
        <x:f>IF(D7992="","",IF(AND(ISNUMBER(SEARCH("平",D7992)),OR(ISNUMBER(SEARCH("上",D7992)),ISNUMBER(SEARCH("去",D7992)),ISNUMBER(SEARCH("入",D7992)))),"Ambiguous",IF(ISNUMBER(SEARCH("平",D7992)),"平","仄")))</x:f>
        <x:v>仄</x:v>
      </x:c>
      <x:c r="L7992" s="7" t="str">
        <x:v>Pingshui main list expansion</x:v>
      </x:c>
    </x:row>
    <x:row r="7993">
      <x:c r="A7993" s="5" t="str">
        <x:v>跏</x:v>
      </x:c>
      <x:c r="B7993" s="6" t="str">
        <x:v>平</x:v>
      </x:c>
      <x:c r="C7993" s="6" t="str">
        <x:f>IF(B7993="","Needs decision","Ready")</x:f>
        <x:v>Ready</x:v>
      </x:c>
      <x:c r="D7993" s="6" t="str">
        <x:v>平</x:v>
      </x:c>
      <x:c r="E7993" s="6" t="str"/>
      <x:c r="F7993" s="6" t="str">
        <x:v>下平聲六麻</x:v>
      </x:c>
      <x:c r="G7993" s="6" t="str">
        <x:v>Pingshui main list, Wikisource-derived DOCX</x:v>
      </x:c>
      <x:c r="H7993" s="6" t="str"/>
      <x:c r="I7993" s="6" t="str">
        <x:v>Pingshui main-list expansion; 詞 entries ignored</x:v>
      </x:c>
      <x:c r="J7993" s="6" t="str">
        <x:f>IF(B7993="","",IF(AND(ISNUMBER(SEARCH("平",B7993)),OR(ISNUMBER(SEARCH("上",B7993)),ISNUMBER(SEARCH("去",B7993)),ISNUMBER(SEARCH("入",B7993)))),"Ambiguous",IF(ISNUMBER(SEARCH("平",B7993)),"平","仄")))</x:f>
        <x:v>平</x:v>
      </x:c>
      <x:c r="K7993" s="6" t="str">
        <x:f>IF(D7993="","",IF(AND(ISNUMBER(SEARCH("平",D7993)),OR(ISNUMBER(SEARCH("上",D7993)),ISNUMBER(SEARCH("去",D7993)),ISNUMBER(SEARCH("入",D7993)))),"Ambiguous",IF(ISNUMBER(SEARCH("平",D7993)),"平","仄")))</x:f>
        <x:v>平</x:v>
      </x:c>
      <x:c r="L7993" s="7" t="str">
        <x:v>Pingshui main list expansion</x:v>
      </x:c>
    </x:row>
    <x:row r="7994">
      <x:c r="A7994" s="5" t="str">
        <x:v>跑</x:v>
      </x:c>
      <x:c r="B7994" s="6" t="str">
        <x:v>平</x:v>
      </x:c>
      <x:c r="C7994" s="6" t="str">
        <x:f>IF(B7994="","Needs decision","Ready")</x:f>
        <x:v>Ready</x:v>
      </x:c>
      <x:c r="D7994" s="6" t="str">
        <x:v>平</x:v>
      </x:c>
      <x:c r="E7994" s="6" t="str"/>
      <x:c r="F7994" s="6" t="str">
        <x:v>下平聲三肴</x:v>
      </x:c>
      <x:c r="G7994" s="6" t="str">
        <x:v>Pingshui main list, Wikisource-derived DOCX</x:v>
      </x:c>
      <x:c r="H7994" s="6" t="str"/>
      <x:c r="I7994" s="6" t="str">
        <x:v>Pingshui main-list expansion; 詞 entries ignored</x:v>
      </x:c>
      <x:c r="J7994" s="6" t="str">
        <x:f>IF(B7994="","",IF(AND(ISNUMBER(SEARCH("平",B7994)),OR(ISNUMBER(SEARCH("上",B7994)),ISNUMBER(SEARCH("去",B7994)),ISNUMBER(SEARCH("入",B7994)))),"Ambiguous",IF(ISNUMBER(SEARCH("平",B7994)),"平","仄")))</x:f>
        <x:v>平</x:v>
      </x:c>
      <x:c r="K7994" s="6" t="str">
        <x:f>IF(D7994="","",IF(AND(ISNUMBER(SEARCH("平",D7994)),OR(ISNUMBER(SEARCH("上",D7994)),ISNUMBER(SEARCH("去",D7994)),ISNUMBER(SEARCH("入",D7994)))),"Ambiguous",IF(ISNUMBER(SEARCH("平",D7994)),"平","仄")))</x:f>
        <x:v>平</x:v>
      </x:c>
      <x:c r="L7994" s="7" t="str">
        <x:v>Pingshui main list expansion</x:v>
      </x:c>
    </x:row>
    <x:row r="7995">
      <x:c r="A7995" s="5" t="str">
        <x:v>跕</x:v>
      </x:c>
      <x:c r="B7995" s="6" t="str">
        <x:v>入</x:v>
      </x:c>
      <x:c r="C7995" s="6" t="str">
        <x:f>IF(B7995="","Needs decision","Ready")</x:f>
        <x:v>Ready</x:v>
      </x:c>
      <x:c r="D7995" s="6" t="str">
        <x:v>入</x:v>
      </x:c>
      <x:c r="E7995" s="6" t="str"/>
      <x:c r="F7995" s="6" t="str">
        <x:v>入聲十六葉</x:v>
      </x:c>
      <x:c r="G7995" s="6" t="str">
        <x:v>Pingshui main list, Wikisource-derived DOCX</x:v>
      </x:c>
      <x:c r="H7995" s="6" t="str"/>
      <x:c r="I7995" s="6" t="str">
        <x:v>Pingshui main-list expansion; 詞 entries ignored</x:v>
      </x:c>
      <x:c r="J7995" s="6" t="str">
        <x:f>IF(B7995="","",IF(AND(ISNUMBER(SEARCH("平",B7995)),OR(ISNUMBER(SEARCH("上",B7995)),ISNUMBER(SEARCH("去",B7995)),ISNUMBER(SEARCH("入",B7995)))),"Ambiguous",IF(ISNUMBER(SEARCH("平",B7995)),"平","仄")))</x:f>
        <x:v>仄</x:v>
      </x:c>
      <x:c r="K7995" s="6" t="str">
        <x:f>IF(D7995="","",IF(AND(ISNUMBER(SEARCH("平",D7995)),OR(ISNUMBER(SEARCH("上",D7995)),ISNUMBER(SEARCH("去",D7995)),ISNUMBER(SEARCH("入",D7995)))),"Ambiguous",IF(ISNUMBER(SEARCH("平",D7995)),"平","仄")))</x:f>
        <x:v>仄</x:v>
      </x:c>
      <x:c r="L7995" s="7" t="str">
        <x:v>Pingshui main list expansion</x:v>
      </x:c>
    </x:row>
    <x:row r="7996">
      <x:c r="A7996" s="5" t="str">
        <x:v>跙</x:v>
      </x:c>
      <x:c r="B7996" s="6" t="str">
        <x:v>上</x:v>
      </x:c>
      <x:c r="C7996" s="6" t="str">
        <x:f>IF(B7996="","Needs decision","Ready")</x:f>
        <x:v>Ready</x:v>
      </x:c>
      <x:c r="D7996" s="6" t="str">
        <x:v>上</x:v>
      </x:c>
      <x:c r="E7996" s="6" t="str"/>
      <x:c r="F7996" s="6" t="str">
        <x:v>上聲六語</x:v>
      </x:c>
      <x:c r="G7996" s="6" t="str">
        <x:v>Pingshui main list, Wikisource-derived DOCX</x:v>
      </x:c>
      <x:c r="H7996" s="6" t="str"/>
      <x:c r="I7996" s="6" t="str">
        <x:v>Pingshui main-list expansion; 詞 entries ignored</x:v>
      </x:c>
      <x:c r="J7996" s="6" t="str">
        <x:f>IF(B7996="","",IF(AND(ISNUMBER(SEARCH("平",B7996)),OR(ISNUMBER(SEARCH("上",B7996)),ISNUMBER(SEARCH("去",B7996)),ISNUMBER(SEARCH("入",B7996)))),"Ambiguous",IF(ISNUMBER(SEARCH("平",B7996)),"平","仄")))</x:f>
        <x:v>仄</x:v>
      </x:c>
      <x:c r="K7996" s="6" t="str">
        <x:f>IF(D7996="","",IF(AND(ISNUMBER(SEARCH("平",D7996)),OR(ISNUMBER(SEARCH("上",D7996)),ISNUMBER(SEARCH("去",D7996)),ISNUMBER(SEARCH("入",D7996)))),"Ambiguous",IF(ISNUMBER(SEARCH("平",D7996)),"平","仄")))</x:f>
        <x:v>仄</x:v>
      </x:c>
      <x:c r="L7996" s="7" t="str">
        <x:v>Pingshui main list expansion</x:v>
      </x:c>
    </x:row>
    <x:row r="7997">
      <x:c r="A7997" s="5" t="str">
        <x:v>跟</x:v>
      </x:c>
      <x:c r="B7997" s="6" t="str">
        <x:v>平</x:v>
      </x:c>
      <x:c r="C7997" s="6" t="str">
        <x:f>IF(B7997="","Needs decision","Ready")</x:f>
        <x:v>Ready</x:v>
      </x:c>
      <x:c r="D7997" s="6" t="str">
        <x:v>平</x:v>
      </x:c>
      <x:c r="E7997" s="6" t="str"/>
      <x:c r="F7997" s="6" t="str">
        <x:v>上平聲十三元</x:v>
      </x:c>
      <x:c r="G7997" s="6" t="str">
        <x:v>Pingshui main list, Wikisource-derived DOCX</x:v>
      </x:c>
      <x:c r="H7997" s="6" t="str"/>
      <x:c r="I7997" s="6" t="str">
        <x:v>Pingshui main-list expansion; 詞 entries ignored</x:v>
      </x:c>
      <x:c r="J7997" s="6" t="str">
        <x:f>IF(B7997="","",IF(AND(ISNUMBER(SEARCH("平",B7997)),OR(ISNUMBER(SEARCH("上",B7997)),ISNUMBER(SEARCH("去",B7997)),ISNUMBER(SEARCH("入",B7997)))),"Ambiguous",IF(ISNUMBER(SEARCH("平",B7997)),"平","仄")))</x:f>
        <x:v>平</x:v>
      </x:c>
      <x:c r="K7997" s="6" t="str">
        <x:f>IF(D7997="","",IF(AND(ISNUMBER(SEARCH("平",D7997)),OR(ISNUMBER(SEARCH("上",D7997)),ISNUMBER(SEARCH("去",D7997)),ISNUMBER(SEARCH("入",D7997)))),"Ambiguous",IF(ISNUMBER(SEARCH("平",D7997)),"平","仄")))</x:f>
        <x:v>平</x:v>
      </x:c>
      <x:c r="L7997" s="7" t="str">
        <x:v>Pingshui main list expansion</x:v>
      </x:c>
    </x:row>
    <x:row r="7998">
      <x:c r="A7998" s="5" t="str">
        <x:v>跠</x:v>
      </x:c>
      <x:c r="B7998" s="6" t="str">
        <x:v>平</x:v>
      </x:c>
      <x:c r="C7998" s="6" t="str">
        <x:f>IF(B7998="","Needs decision","Ready")</x:f>
        <x:v>Ready</x:v>
      </x:c>
      <x:c r="D7998" s="6" t="str">
        <x:v>平</x:v>
      </x:c>
      <x:c r="E7998" s="6" t="str"/>
      <x:c r="F7998" s="6" t="str">
        <x:v>上平聲四支</x:v>
      </x:c>
      <x:c r="G7998" s="6" t="str">
        <x:v>Pingshui main list, Wikisource-derived DOCX</x:v>
      </x:c>
      <x:c r="H7998" s="6" t="str"/>
      <x:c r="I7998" s="6" t="str">
        <x:v>Pingshui main-list expansion; 詞 entries ignored</x:v>
      </x:c>
      <x:c r="J7998" s="6" t="str">
        <x:f>IF(B7998="","",IF(AND(ISNUMBER(SEARCH("平",B7998)),OR(ISNUMBER(SEARCH("上",B7998)),ISNUMBER(SEARCH("去",B7998)),ISNUMBER(SEARCH("入",B7998)))),"Ambiguous",IF(ISNUMBER(SEARCH("平",B7998)),"平","仄")))</x:f>
        <x:v>平</x:v>
      </x:c>
      <x:c r="K7998" s="6" t="str">
        <x:f>IF(D7998="","",IF(AND(ISNUMBER(SEARCH("平",D7998)),OR(ISNUMBER(SEARCH("上",D7998)),ISNUMBER(SEARCH("去",D7998)),ISNUMBER(SEARCH("入",D7998)))),"Ambiguous",IF(ISNUMBER(SEARCH("平",D7998)),"平","仄")))</x:f>
        <x:v>平</x:v>
      </x:c>
      <x:c r="L7998" s="7" t="str">
        <x:v>Pingshui main list expansion</x:v>
      </x:c>
    </x:row>
    <x:row r="7999">
      <x:c r="A7999" s="5" t="str">
        <x:v>跧</x:v>
      </x:c>
      <x:c r="B7999" s="6" t="str">
        <x:v>平</x:v>
      </x:c>
      <x:c r="C7999" s="6" t="str">
        <x:f>IF(B7999="","Needs decision","Ready")</x:f>
        <x:v>Ready</x:v>
      </x:c>
      <x:c r="D7999" s="6" t="str">
        <x:v>平</x:v>
      </x:c>
      <x:c r="E7999" s="6" t="str"/>
      <x:c r="F7999" s="6" t="str">
        <x:v>上平聲十五刪; 下平聲一先</x:v>
      </x:c>
      <x:c r="G7999" s="6" t="str">
        <x:v>Pingshui main list, Wikisource-derived DOCX</x:v>
      </x:c>
      <x:c r="H7999" s="6" t="str"/>
      <x:c r="I7999" s="6" t="str">
        <x:v>Pingshui main-list expansion; 詞 entries ignored</x:v>
      </x:c>
      <x:c r="J7999" s="6" t="str">
        <x:f>IF(B7999="","",IF(AND(ISNUMBER(SEARCH("平",B7999)),OR(ISNUMBER(SEARCH("上",B7999)),ISNUMBER(SEARCH("去",B7999)),ISNUMBER(SEARCH("入",B7999)))),"Ambiguous",IF(ISNUMBER(SEARCH("平",B7999)),"平","仄")))</x:f>
        <x:v>平</x:v>
      </x:c>
      <x:c r="K7999" s="6" t="str">
        <x:f>IF(D7999="","",IF(AND(ISNUMBER(SEARCH("平",D7999)),OR(ISNUMBER(SEARCH("上",D7999)),ISNUMBER(SEARCH("去",D7999)),ISNUMBER(SEARCH("入",D7999)))),"Ambiguous",IF(ISNUMBER(SEARCH("平",D7999)),"平","仄")))</x:f>
        <x:v>平</x:v>
      </x:c>
      <x:c r="L7999" s="7" t="str">
        <x:v>Pingshui main list expansion</x:v>
      </x:c>
    </x:row>
    <x:row r="8000">
      <x:c r="A8000" s="5" t="str">
        <x:v>跫</x:v>
      </x:c>
      <x:c r="B8000" s="6" t="str">
        <x:v>平</x:v>
      </x:c>
      <x:c r="C8000" s="6" t="str">
        <x:f>IF(B8000="","Needs decision","Ready")</x:f>
        <x:v>Ready</x:v>
      </x:c>
      <x:c r="D8000" s="6" t="str">
        <x:v>平</x:v>
      </x:c>
      <x:c r="E8000" s="6" t="str"/>
      <x:c r="F8000" s="6" t="str">
        <x:v>上平聲二冬; 上平聲三江</x:v>
      </x:c>
      <x:c r="G8000" s="6" t="str">
        <x:v>Pingshui main list, Wikisource-derived DOCX</x:v>
      </x:c>
      <x:c r="H8000" s="6" t="str"/>
      <x:c r="I8000" s="6" t="str">
        <x:v>Pingshui main-list expansion; 詞 entries ignored</x:v>
      </x:c>
      <x:c r="J8000" s="6" t="str">
        <x:f>IF(B8000="","",IF(AND(ISNUMBER(SEARCH("平",B8000)),OR(ISNUMBER(SEARCH("上",B8000)),ISNUMBER(SEARCH("去",B8000)),ISNUMBER(SEARCH("入",B8000)))),"Ambiguous",IF(ISNUMBER(SEARCH("平",B8000)),"平","仄")))</x:f>
        <x:v>平</x:v>
      </x:c>
      <x:c r="K8000" s="6" t="str">
        <x:f>IF(D8000="","",IF(AND(ISNUMBER(SEARCH("平",D8000)),OR(ISNUMBER(SEARCH("上",D8000)),ISNUMBER(SEARCH("去",D8000)),ISNUMBER(SEARCH("入",D8000)))),"Ambiguous",IF(ISNUMBER(SEARCH("平",D8000)),"平","仄")))</x:f>
        <x:v>平</x:v>
      </x:c>
      <x:c r="L8000" s="7" t="str">
        <x:v>Pingshui main list expansion</x:v>
      </x:c>
    </x:row>
    <x:row r="8001">
      <x:c r="A8001" s="5" t="str">
        <x:v>踆</x:v>
      </x:c>
      <x:c r="B8001" s="6" t="str">
        <x:v>平</x:v>
      </x:c>
      <x:c r="C8001" s="6" t="str">
        <x:f>IF(B8001="","Needs decision","Ready")</x:f>
        <x:v>Ready</x:v>
      </x:c>
      <x:c r="D8001" s="6" t="str">
        <x:v>平</x:v>
      </x:c>
      <x:c r="E8001" s="6" t="str"/>
      <x:c r="F8001" s="6" t="str">
        <x:v>上平聲十一真</x:v>
      </x:c>
      <x:c r="G8001" s="6" t="str">
        <x:v>Pingshui main list, Wikisource-derived DOCX</x:v>
      </x:c>
      <x:c r="H8001" s="6" t="str"/>
      <x:c r="I8001" s="6" t="str">
        <x:v>Pingshui main-list expansion; 詞 entries ignored</x:v>
      </x:c>
      <x:c r="J8001" s="6" t="str">
        <x:f>IF(B8001="","",IF(AND(ISNUMBER(SEARCH("平",B8001)),OR(ISNUMBER(SEARCH("上",B8001)),ISNUMBER(SEARCH("去",B8001)),ISNUMBER(SEARCH("入",B8001)))),"Ambiguous",IF(ISNUMBER(SEARCH("平",B8001)),"平","仄")))</x:f>
        <x:v>平</x:v>
      </x:c>
      <x:c r="K8001" s="6" t="str">
        <x:f>IF(D8001="","",IF(AND(ISNUMBER(SEARCH("平",D8001)),OR(ISNUMBER(SEARCH("上",D8001)),ISNUMBER(SEARCH("去",D8001)),ISNUMBER(SEARCH("入",D8001)))),"Ambiguous",IF(ISNUMBER(SEARCH("平",D8001)),"平","仄")))</x:f>
        <x:v>平</x:v>
      </x:c>
      <x:c r="L8001" s="7" t="str">
        <x:v>Pingshui main list expansion</x:v>
      </x:c>
    </x:row>
    <x:row r="8002">
      <x:c r="A8002" s="5" t="str">
        <x:v>踑</x:v>
      </x:c>
      <x:c r="B8002" s="6" t="str">
        <x:v>平</x:v>
      </x:c>
      <x:c r="C8002" s="6" t="str">
        <x:f>IF(B8002="","Needs decision","Ready")</x:f>
        <x:v>Ready</x:v>
      </x:c>
      <x:c r="D8002" s="6" t="str">
        <x:v>平</x:v>
      </x:c>
      <x:c r="E8002" s="6" t="str"/>
      <x:c r="F8002" s="6" t="str">
        <x:v>上平聲四支</x:v>
      </x:c>
      <x:c r="G8002" s="6" t="str">
        <x:v>Pingshui main list, Wikisource-derived DOCX</x:v>
      </x:c>
      <x:c r="H8002" s="6" t="str"/>
      <x:c r="I8002" s="6" t="str">
        <x:v>Pingshui main-list expansion; 詞 entries ignored</x:v>
      </x:c>
      <x:c r="J8002" s="6" t="str">
        <x:f>IF(B8002="","",IF(AND(ISNUMBER(SEARCH("平",B8002)),OR(ISNUMBER(SEARCH("上",B8002)),ISNUMBER(SEARCH("去",B8002)),ISNUMBER(SEARCH("入",B8002)))),"Ambiguous",IF(ISNUMBER(SEARCH("平",B8002)),"平","仄")))</x:f>
        <x:v>平</x:v>
      </x:c>
      <x:c r="K8002" s="6" t="str">
        <x:f>IF(D8002="","",IF(AND(ISNUMBER(SEARCH("平",D8002)),OR(ISNUMBER(SEARCH("上",D8002)),ISNUMBER(SEARCH("去",D8002)),ISNUMBER(SEARCH("入",D8002)))),"Ambiguous",IF(ISNUMBER(SEARCH("平",D8002)),"平","仄")))</x:f>
        <x:v>平</x:v>
      </x:c>
      <x:c r="L8002" s="7" t="str">
        <x:v>Pingshui main list expansion</x:v>
      </x:c>
    </x:row>
    <x:row r="8003">
      <x:c r="A8003" s="5" t="str">
        <x:v>踕</x:v>
      </x:c>
      <x:c r="B8003" s="6" t="str">
        <x:v>入</x:v>
      </x:c>
      <x:c r="C8003" s="6" t="str">
        <x:f>IF(B8003="","Needs decision","Ready")</x:f>
        <x:v>Ready</x:v>
      </x:c>
      <x:c r="D8003" s="6" t="str">
        <x:v>入</x:v>
      </x:c>
      <x:c r="E8003" s="6" t="str"/>
      <x:c r="F8003" s="6" t="str">
        <x:v>入聲十六葉</x:v>
      </x:c>
      <x:c r="G8003" s="6" t="str">
        <x:v>Pingshui main list, Wikisource-derived DOCX</x:v>
      </x:c>
      <x:c r="H8003" s="6" t="str"/>
      <x:c r="I8003" s="6" t="str">
        <x:v>Pingshui main-list expansion; 詞 entries ignored</x:v>
      </x:c>
      <x:c r="J8003" s="6" t="str">
        <x:f>IF(B8003="","",IF(AND(ISNUMBER(SEARCH("平",B8003)),OR(ISNUMBER(SEARCH("上",B8003)),ISNUMBER(SEARCH("去",B8003)),ISNUMBER(SEARCH("入",B8003)))),"Ambiguous",IF(ISNUMBER(SEARCH("平",B8003)),"平","仄")))</x:f>
        <x:v>仄</x:v>
      </x:c>
      <x:c r="K8003" s="6" t="str">
        <x:f>IF(D8003="","",IF(AND(ISNUMBER(SEARCH("平",D8003)),OR(ISNUMBER(SEARCH("上",D8003)),ISNUMBER(SEARCH("去",D8003)),ISNUMBER(SEARCH("入",D8003)))),"Ambiguous",IF(ISNUMBER(SEARCH("平",D8003)),"平","仄")))</x:f>
        <x:v>仄</x:v>
      </x:c>
      <x:c r="L8003" s="7" t="str">
        <x:v>Pingshui main list expansion</x:v>
      </x:c>
    </x:row>
    <x:row r="8004">
      <x:c r="A8004" s="5" t="str">
        <x:v>踖</x:v>
      </x:c>
      <x:c r="B8004" s="6" t="str">
        <x:v>入</x:v>
      </x:c>
      <x:c r="C8004" s="6" t="str">
        <x:f>IF(B8004="","Needs decision","Ready")</x:f>
        <x:v>Ready</x:v>
      </x:c>
      <x:c r="D8004" s="6" t="str">
        <x:v>入</x:v>
      </x:c>
      <x:c r="E8004" s="6" t="str"/>
      <x:c r="F8004" s="6" t="str">
        <x:v>入聲十藥; 入聲十一陌</x:v>
      </x:c>
      <x:c r="G8004" s="6" t="str">
        <x:v>Pingshui main list, Wikisource-derived DOCX</x:v>
      </x:c>
      <x:c r="H8004" s="6" t="str"/>
      <x:c r="I8004" s="6" t="str">
        <x:v>Pingshui main-list expansion; 詞 entries ignored</x:v>
      </x:c>
      <x:c r="J8004" s="6" t="str">
        <x:f>IF(B8004="","",IF(AND(ISNUMBER(SEARCH("平",B8004)),OR(ISNUMBER(SEARCH("上",B8004)),ISNUMBER(SEARCH("去",B8004)),ISNUMBER(SEARCH("入",B8004)))),"Ambiguous",IF(ISNUMBER(SEARCH("平",B8004)),"平","仄")))</x:f>
        <x:v>仄</x:v>
      </x:c>
      <x:c r="K8004" s="6" t="str">
        <x:f>IF(D8004="","",IF(AND(ISNUMBER(SEARCH("平",D8004)),OR(ISNUMBER(SEARCH("上",D8004)),ISNUMBER(SEARCH("去",D8004)),ISNUMBER(SEARCH("入",D8004)))),"Ambiguous",IF(ISNUMBER(SEARCH("平",D8004)),"平","仄")))</x:f>
        <x:v>仄</x:v>
      </x:c>
      <x:c r="L8004" s="7" t="str">
        <x:v>Pingshui main list expansion</x:v>
      </x:c>
    </x:row>
    <x:row r="8005">
      <x:c r="A8005" s="5" t="str">
        <x:v>踡</x:v>
      </x:c>
      <x:c r="B8005" s="6" t="str">
        <x:v>平</x:v>
      </x:c>
      <x:c r="C8005" s="6" t="str">
        <x:f>IF(B8005="","Needs decision","Ready")</x:f>
        <x:v>Ready</x:v>
      </x:c>
      <x:c r="D8005" s="6" t="str">
        <x:v>平</x:v>
      </x:c>
      <x:c r="E8005" s="6" t="str"/>
      <x:c r="F8005" s="6" t="str">
        <x:v>下平聲一先</x:v>
      </x:c>
      <x:c r="G8005" s="6" t="str">
        <x:v>Pingshui main list, Wikisource-derived DOCX</x:v>
      </x:c>
      <x:c r="H8005" s="6" t="str"/>
      <x:c r="I8005" s="6" t="str">
        <x:v>Pingshui main-list expansion; 詞 entries ignored</x:v>
      </x:c>
      <x:c r="J8005" s="6" t="str">
        <x:f>IF(B8005="","",IF(AND(ISNUMBER(SEARCH("平",B8005)),OR(ISNUMBER(SEARCH("上",B8005)),ISNUMBER(SEARCH("去",B8005)),ISNUMBER(SEARCH("入",B8005)))),"Ambiguous",IF(ISNUMBER(SEARCH("平",B8005)),"平","仄")))</x:f>
        <x:v>平</x:v>
      </x:c>
      <x:c r="K8005" s="6" t="str">
        <x:f>IF(D8005="","",IF(AND(ISNUMBER(SEARCH("平",D8005)),OR(ISNUMBER(SEARCH("上",D8005)),ISNUMBER(SEARCH("去",D8005)),ISNUMBER(SEARCH("入",D8005)))),"Ambiguous",IF(ISNUMBER(SEARCH("平",D8005)),"平","仄")))</x:f>
        <x:v>平</x:v>
      </x:c>
      <x:c r="L8005" s="7" t="str">
        <x:v>Pingshui main list expansion</x:v>
      </x:c>
    </x:row>
    <x:row r="8006">
      <x:c r="A8006" s="5" t="str">
        <x:v>踤</x:v>
      </x:c>
      <x:c r="B8006" s="6" t="str">
        <x:v>入</x:v>
      </x:c>
      <x:c r="C8006" s="6" t="str">
        <x:f>IF(B8006="","Needs decision","Ready")</x:f>
        <x:v>Ready</x:v>
      </x:c>
      <x:c r="D8006" s="6" t="str">
        <x:v>入</x:v>
      </x:c>
      <x:c r="E8006" s="6" t="str"/>
      <x:c r="F8006" s="6" t="str">
        <x:v>入聲四質</x:v>
      </x:c>
      <x:c r="G8006" s="6" t="str">
        <x:v>Pingshui main list, Wikisource-derived DOCX</x:v>
      </x:c>
      <x:c r="H8006" s="6" t="str"/>
      <x:c r="I8006" s="6" t="str">
        <x:v>Pingshui main-list expansion; 詞 entries ignored</x:v>
      </x:c>
      <x:c r="J8006" s="6" t="str">
        <x:f>IF(B8006="","",IF(AND(ISNUMBER(SEARCH("平",B8006)),OR(ISNUMBER(SEARCH("上",B8006)),ISNUMBER(SEARCH("去",B8006)),ISNUMBER(SEARCH("入",B8006)))),"Ambiguous",IF(ISNUMBER(SEARCH("平",B8006)),"平","仄")))</x:f>
        <x:v>仄</x:v>
      </x:c>
      <x:c r="K8006" s="6" t="str">
        <x:f>IF(D8006="","",IF(AND(ISNUMBER(SEARCH("平",D8006)),OR(ISNUMBER(SEARCH("上",D8006)),ISNUMBER(SEARCH("去",D8006)),ISNUMBER(SEARCH("入",D8006)))),"Ambiguous",IF(ISNUMBER(SEARCH("平",D8006)),"平","仄")))</x:f>
        <x:v>仄</x:v>
      </x:c>
      <x:c r="L8006" s="7" t="str">
        <x:v>Pingshui main list expansion</x:v>
      </x:c>
    </x:row>
    <x:row r="8007">
      <x:c r="A8007" s="5" t="str">
        <x:v>踧</x:v>
      </x:c>
      <x:c r="B8007" s="6" t="str">
        <x:v>入</x:v>
      </x:c>
      <x:c r="C8007" s="6" t="str">
        <x:f>IF(B8007="","Needs decision","Ready")</x:f>
        <x:v>Ready</x:v>
      </x:c>
      <x:c r="D8007" s="6" t="str">
        <x:v>入</x:v>
      </x:c>
      <x:c r="E8007" s="6" t="str"/>
      <x:c r="F8007" s="6" t="str">
        <x:v>入聲一屋; 入聲十二錫</x:v>
      </x:c>
      <x:c r="G8007" s="6" t="str">
        <x:v>Pingshui main list, Wikisource-derived DOCX</x:v>
      </x:c>
      <x:c r="H8007" s="6" t="str"/>
      <x:c r="I8007" s="6" t="str">
        <x:v>Pingshui main-list expansion; 詞 entries ignored</x:v>
      </x:c>
      <x:c r="J8007" s="6" t="str">
        <x:f>IF(B8007="","",IF(AND(ISNUMBER(SEARCH("平",B8007)),OR(ISNUMBER(SEARCH("上",B8007)),ISNUMBER(SEARCH("去",B8007)),ISNUMBER(SEARCH("入",B8007)))),"Ambiguous",IF(ISNUMBER(SEARCH("平",B8007)),"平","仄")))</x:f>
        <x:v>仄</x:v>
      </x:c>
      <x:c r="K8007" s="6" t="str">
        <x:f>IF(D8007="","",IF(AND(ISNUMBER(SEARCH("平",D8007)),OR(ISNUMBER(SEARCH("上",D8007)),ISNUMBER(SEARCH("去",D8007)),ISNUMBER(SEARCH("入",D8007)))),"Ambiguous",IF(ISNUMBER(SEARCH("平",D8007)),"平","仄")))</x:f>
        <x:v>仄</x:v>
      </x:c>
      <x:c r="L8007" s="7" t="str">
        <x:v>Pingshui main list expansion</x:v>
      </x:c>
    </x:row>
    <x:row r="8008">
      <x:c r="A8008" s="5" t="str">
        <x:v>踴</x:v>
      </x:c>
      <x:c r="B8008" s="6" t="str">
        <x:v>上</x:v>
      </x:c>
      <x:c r="C8008" s="6" t="str">
        <x:f>IF(B8008="","Needs decision","Ready")</x:f>
        <x:v>Ready</x:v>
      </x:c>
      <x:c r="D8008" s="6" t="str">
        <x:v>上</x:v>
      </x:c>
      <x:c r="E8008" s="6" t="str"/>
      <x:c r="F8008" s="6" t="str">
        <x:v>上聲二腫</x:v>
      </x:c>
      <x:c r="G8008" s="6" t="str">
        <x:v>Pingshui main list, Wikisource-derived DOCX</x:v>
      </x:c>
      <x:c r="H8008" s="6" t="str"/>
      <x:c r="I8008" s="6" t="str">
        <x:v>Pingshui main-list expansion; 詞 entries ignored</x:v>
      </x:c>
      <x:c r="J8008" s="6" t="str">
        <x:f>IF(B8008="","",IF(AND(ISNUMBER(SEARCH("平",B8008)),OR(ISNUMBER(SEARCH("上",B8008)),ISNUMBER(SEARCH("去",B8008)),ISNUMBER(SEARCH("入",B8008)))),"Ambiguous",IF(ISNUMBER(SEARCH("平",B8008)),"平","仄")))</x:f>
        <x:v>仄</x:v>
      </x:c>
      <x:c r="K8008" s="6" t="str">
        <x:f>IF(D8008="","",IF(AND(ISNUMBER(SEARCH("平",D8008)),OR(ISNUMBER(SEARCH("上",D8008)),ISNUMBER(SEARCH("去",D8008)),ISNUMBER(SEARCH("入",D8008)))),"Ambiguous",IF(ISNUMBER(SEARCH("平",D8008)),"平","仄")))</x:f>
        <x:v>仄</x:v>
      </x:c>
      <x:c r="L8008" s="7" t="str">
        <x:v>Pingshui main list expansion</x:v>
      </x:c>
    </x:row>
    <x:row r="8009">
      <x:c r="A8009" s="5" t="str">
        <x:v>踼</x:v>
      </x:c>
      <x:c r="B8009" s="6" t="str">
        <x:v>去</x:v>
      </x:c>
      <x:c r="C8009" s="6" t="str">
        <x:f>IF(B8009="","Needs decision","Ready")</x:f>
        <x:v>Ready</x:v>
      </x:c>
      <x:c r="D8009" s="6" t="str">
        <x:v>去</x:v>
      </x:c>
      <x:c r="E8009" s="6" t="str"/>
      <x:c r="F8009" s="6" t="str">
        <x:v>去聲二十三漾</x:v>
      </x:c>
      <x:c r="G8009" s="6" t="str">
        <x:v>Pingshui main list, Wikisource-derived DOCX</x:v>
      </x:c>
      <x:c r="H8009" s="6" t="str"/>
      <x:c r="I8009" s="6" t="str">
        <x:v>Pingshui main-list expansion; 詞 entries ignored</x:v>
      </x:c>
      <x:c r="J8009" s="6" t="str">
        <x:f>IF(B8009="","",IF(AND(ISNUMBER(SEARCH("平",B8009)),OR(ISNUMBER(SEARCH("上",B8009)),ISNUMBER(SEARCH("去",B8009)),ISNUMBER(SEARCH("入",B8009)))),"Ambiguous",IF(ISNUMBER(SEARCH("平",B8009)),"平","仄")))</x:f>
        <x:v>仄</x:v>
      </x:c>
      <x:c r="K8009" s="6" t="str">
        <x:f>IF(D8009="","",IF(AND(ISNUMBER(SEARCH("平",D8009)),OR(ISNUMBER(SEARCH("上",D8009)),ISNUMBER(SEARCH("去",D8009)),ISNUMBER(SEARCH("入",D8009)))),"Ambiguous",IF(ISNUMBER(SEARCH("平",D8009)),"平","仄")))</x:f>
        <x:v>仄</x:v>
      </x:c>
      <x:c r="L8009" s="7" t="str">
        <x:v>Pingshui main list expansion</x:v>
      </x:c>
    </x:row>
    <x:row r="8010">
      <x:c r="A8010" s="5" t="str">
        <x:v>蹂</x:v>
      </x:c>
      <x:c r="B8010" s="6" t="str"/>
      <x:c r="C8010" s="6" t="str">
        <x:f>IF(B8010="","Needs decision","Ready")</x:f>
        <x:v>Needs decision</x:v>
      </x:c>
      <x:c r="D8010" s="6" t="str">
        <x:v>平/上/去</x:v>
      </x:c>
      <x:c r="E8010" s="6" t="str"/>
      <x:c r="F8010" s="6" t="str">
        <x:v>下平聲十一尤; 上聲二十五有; 去聲二十六宥</x:v>
      </x:c>
      <x:c r="G8010" s="6" t="str">
        <x:v>Pingshui main list, Wikisource-derived DOCX</x:v>
      </x:c>
      <x:c r="H8010" s="6" t="str"/>
      <x:c r="I8010" s="6" t="str">
        <x:v>Pingshui main-list expansion; 詞 entries ignored</x:v>
      </x:c>
      <x:c r="J8010" s="6" t="str">
        <x:f>IF(B8010="","",IF(AND(ISNUMBER(SEARCH("平",B8010)),OR(ISNUMBER(SEARCH("上",B8010)),ISNUMBER(SEARCH("去",B8010)),ISNUMBER(SEARCH("入",B8010)))),"Ambiguous",IF(ISNUMBER(SEARCH("平",B8010)),"平","仄")))</x:f>
      </x:c>
      <x:c r="K8010" s="6" t="str">
        <x:f>IF(D8010="","",IF(AND(ISNUMBER(SEARCH("平",D8010)),OR(ISNUMBER(SEARCH("上",D8010)),ISNUMBER(SEARCH("去",D8010)),ISNUMBER(SEARCH("入",D8010)))),"Ambiguous",IF(ISNUMBER(SEARCH("平",D8010)),"平","仄")))</x:f>
        <x:v>Ambiguous</x:v>
      </x:c>
      <x:c r="L8010" s="7" t="str">
        <x:v>Pingshui main list expansion</x:v>
      </x:c>
    </x:row>
    <x:row r="8011">
      <x:c r="A8011" s="5" t="str">
        <x:v>蹎</x:v>
      </x:c>
      <x:c r="B8011" s="6" t="str">
        <x:v>平</x:v>
      </x:c>
      <x:c r="C8011" s="6" t="str">
        <x:f>IF(B8011="","Needs decision","Ready")</x:f>
        <x:v>Ready</x:v>
      </x:c>
      <x:c r="D8011" s="6" t="str">
        <x:v>平</x:v>
      </x:c>
      <x:c r="E8011" s="6" t="str"/>
      <x:c r="F8011" s="6" t="str">
        <x:v>下平聲一先</x:v>
      </x:c>
      <x:c r="G8011" s="6" t="str">
        <x:v>Pingshui main list, Wikisource-derived DOCX</x:v>
      </x:c>
      <x:c r="H8011" s="6" t="str"/>
      <x:c r="I8011" s="6" t="str">
        <x:v>Pingshui main-list expansion; 詞 entries ignored</x:v>
      </x:c>
      <x:c r="J8011" s="6" t="str">
        <x:f>IF(B8011="","",IF(AND(ISNUMBER(SEARCH("平",B8011)),OR(ISNUMBER(SEARCH("上",B8011)),ISNUMBER(SEARCH("去",B8011)),ISNUMBER(SEARCH("入",B8011)))),"Ambiguous",IF(ISNUMBER(SEARCH("平",B8011)),"平","仄")))</x:f>
        <x:v>平</x:v>
      </x:c>
      <x:c r="K8011" s="6" t="str">
        <x:f>IF(D8011="","",IF(AND(ISNUMBER(SEARCH("平",D8011)),OR(ISNUMBER(SEARCH("上",D8011)),ISNUMBER(SEARCH("去",D8011)),ISNUMBER(SEARCH("入",D8011)))),"Ambiguous",IF(ISNUMBER(SEARCH("平",D8011)),"平","仄")))</x:f>
        <x:v>平</x:v>
      </x:c>
      <x:c r="L8011" s="7" t="str">
        <x:v>Pingshui main list expansion</x:v>
      </x:c>
    </x:row>
    <x:row r="8012">
      <x:c r="A8012" s="5" t="str">
        <x:v>蹖</x:v>
      </x:c>
      <x:c r="B8012" s="6" t="str">
        <x:v>平</x:v>
      </x:c>
      <x:c r="C8012" s="6" t="str">
        <x:f>IF(B8012="","Needs decision","Ready")</x:f>
        <x:v>Ready</x:v>
      </x:c>
      <x:c r="D8012" s="6" t="str">
        <x:v>平</x:v>
      </x:c>
      <x:c r="E8012" s="6" t="str"/>
      <x:c r="F8012" s="6" t="str">
        <x:v>上平聲二冬</x:v>
      </x:c>
      <x:c r="G8012" s="6" t="str">
        <x:v>Pingshui main list, Wikisource-derived DOCX</x:v>
      </x:c>
      <x:c r="H8012" s="6" t="str"/>
      <x:c r="I8012" s="6" t="str">
        <x:v>Pingshui main-list expansion; 詞 entries ignored</x:v>
      </x:c>
      <x:c r="J8012" s="6" t="str">
        <x:f>IF(B8012="","",IF(AND(ISNUMBER(SEARCH("平",B8012)),OR(ISNUMBER(SEARCH("上",B8012)),ISNUMBER(SEARCH("去",B8012)),ISNUMBER(SEARCH("入",B8012)))),"Ambiguous",IF(ISNUMBER(SEARCH("平",B8012)),"平","仄")))</x:f>
        <x:v>平</x:v>
      </x:c>
      <x:c r="K8012" s="6" t="str">
        <x:f>IF(D8012="","",IF(AND(ISNUMBER(SEARCH("平",D8012)),OR(ISNUMBER(SEARCH("上",D8012)),ISNUMBER(SEARCH("去",D8012)),ISNUMBER(SEARCH("入",D8012)))),"Ambiguous",IF(ISNUMBER(SEARCH("平",D8012)),"平","仄")))</x:f>
        <x:v>平</x:v>
      </x:c>
      <x:c r="L8012" s="7" t="str">
        <x:v>Pingshui main list expansion</x:v>
      </x:c>
    </x:row>
    <x:row r="8013">
      <x:c r="A8013" s="5" t="str">
        <x:v>蹜</x:v>
      </x:c>
      <x:c r="B8013" s="6" t="str">
        <x:v>入</x:v>
      </x:c>
      <x:c r="C8013" s="6" t="str">
        <x:f>IF(B8013="","Needs decision","Ready")</x:f>
        <x:v>Ready</x:v>
      </x:c>
      <x:c r="D8013" s="6" t="str">
        <x:v>入</x:v>
      </x:c>
      <x:c r="E8013" s="6" t="str"/>
      <x:c r="F8013" s="6" t="str">
        <x:v>入聲一屋</x:v>
      </x:c>
      <x:c r="G8013" s="6" t="str">
        <x:v>Pingshui main list, Wikisource-derived DOCX</x:v>
      </x:c>
      <x:c r="H8013" s="6" t="str"/>
      <x:c r="I8013" s="6" t="str">
        <x:v>Pingshui main-list expansion; 詞 entries ignored</x:v>
      </x:c>
      <x:c r="J8013" s="6" t="str">
        <x:f>IF(B8013="","",IF(AND(ISNUMBER(SEARCH("平",B8013)),OR(ISNUMBER(SEARCH("上",B8013)),ISNUMBER(SEARCH("去",B8013)),ISNUMBER(SEARCH("入",B8013)))),"Ambiguous",IF(ISNUMBER(SEARCH("平",B8013)),"平","仄")))</x:f>
        <x:v>仄</x:v>
      </x:c>
      <x:c r="K8013" s="6" t="str">
        <x:f>IF(D8013="","",IF(AND(ISNUMBER(SEARCH("平",D8013)),OR(ISNUMBER(SEARCH("上",D8013)),ISNUMBER(SEARCH("去",D8013)),ISNUMBER(SEARCH("入",D8013)))),"Ambiguous",IF(ISNUMBER(SEARCH("平",D8013)),"平","仄")))</x:f>
        <x:v>仄</x:v>
      </x:c>
      <x:c r="L8013" s="7" t="str">
        <x:v>Pingshui main list expansion</x:v>
      </x:c>
    </x:row>
    <x:row r="8014">
      <x:c r="A8014" s="5" t="str">
        <x:v>蹡</x:v>
      </x:c>
      <x:c r="B8014" s="6" t="str">
        <x:v>平</x:v>
      </x:c>
      <x:c r="C8014" s="6" t="str">
        <x:f>IF(B8014="","Needs decision","Ready")</x:f>
        <x:v>Ready</x:v>
      </x:c>
      <x:c r="D8014" s="6" t="str">
        <x:v>平</x:v>
      </x:c>
      <x:c r="E8014" s="6" t="str"/>
      <x:c r="F8014" s="6" t="str">
        <x:v>下平聲七陽</x:v>
      </x:c>
      <x:c r="G8014" s="6" t="str">
        <x:v>Pingshui main list, Wikisource-derived DOCX</x:v>
      </x:c>
      <x:c r="H8014" s="6" t="str"/>
      <x:c r="I8014" s="6" t="str">
        <x:v>Pingshui main-list expansion; 詞 entries ignored</x:v>
      </x:c>
      <x:c r="J8014" s="6" t="str">
        <x:f>IF(B8014="","",IF(AND(ISNUMBER(SEARCH("平",B8014)),OR(ISNUMBER(SEARCH("上",B8014)),ISNUMBER(SEARCH("去",B8014)),ISNUMBER(SEARCH("入",B8014)))),"Ambiguous",IF(ISNUMBER(SEARCH("平",B8014)),"平","仄")))</x:f>
        <x:v>平</x:v>
      </x:c>
      <x:c r="K8014" s="6" t="str">
        <x:f>IF(D8014="","",IF(AND(ISNUMBER(SEARCH("平",D8014)),OR(ISNUMBER(SEARCH("上",D8014)),ISNUMBER(SEARCH("去",D8014)),ISNUMBER(SEARCH("入",D8014)))),"Ambiguous",IF(ISNUMBER(SEARCH("平",D8014)),"平","仄")))</x:f>
        <x:v>平</x:v>
      </x:c>
      <x:c r="L8014" s="7" t="str">
        <x:v>Pingshui main list expansion</x:v>
      </x:c>
    </x:row>
    <x:row r="8015">
      <x:c r="A8015" s="5" t="str">
        <x:v>蹬</x:v>
      </x:c>
      <x:c r="B8015" s="6" t="str">
        <x:v>去</x:v>
      </x:c>
      <x:c r="C8015" s="6" t="str">
        <x:f>IF(B8015="","Needs decision","Ready")</x:f>
        <x:v>Ready</x:v>
      </x:c>
      <x:c r="D8015" s="6" t="str">
        <x:v>去</x:v>
      </x:c>
      <x:c r="E8015" s="6" t="str"/>
      <x:c r="F8015" s="6" t="str">
        <x:v>去聲二十五徑</x:v>
      </x:c>
      <x:c r="G8015" s="6" t="str">
        <x:v>Pingshui main list, Wikisource-derived DOCX</x:v>
      </x:c>
      <x:c r="H8015" s="6" t="str"/>
      <x:c r="I8015" s="6" t="str">
        <x:v>Pingshui main-list expansion; 詞 entries ignored</x:v>
      </x:c>
      <x:c r="J8015" s="6" t="str">
        <x:f>IF(B8015="","",IF(AND(ISNUMBER(SEARCH("平",B8015)),OR(ISNUMBER(SEARCH("上",B8015)),ISNUMBER(SEARCH("去",B8015)),ISNUMBER(SEARCH("入",B8015)))),"Ambiguous",IF(ISNUMBER(SEARCH("平",B8015)),"平","仄")))</x:f>
        <x:v>仄</x:v>
      </x:c>
      <x:c r="K8015" s="6" t="str">
        <x:f>IF(D8015="","",IF(AND(ISNUMBER(SEARCH("平",D8015)),OR(ISNUMBER(SEARCH("上",D8015)),ISNUMBER(SEARCH("去",D8015)),ISNUMBER(SEARCH("入",D8015)))),"Ambiguous",IF(ISNUMBER(SEARCH("平",D8015)),"平","仄")))</x:f>
        <x:v>仄</x:v>
      </x:c>
      <x:c r="L8015" s="7" t="str">
        <x:v>Pingshui main list expansion</x:v>
      </x:c>
    </x:row>
    <x:row r="8016">
      <x:c r="A8016" s="5" t="str">
        <x:v>蹸</x:v>
      </x:c>
      <x:c r="B8016" s="6" t="str">
        <x:v>去</x:v>
      </x:c>
      <x:c r="C8016" s="6" t="str">
        <x:f>IF(B8016="","Needs decision","Ready")</x:f>
        <x:v>Ready</x:v>
      </x:c>
      <x:c r="D8016" s="6" t="str">
        <x:v>去</x:v>
      </x:c>
      <x:c r="E8016" s="6" t="str"/>
      <x:c r="F8016" s="6" t="str">
        <x:v>去聲十二震</x:v>
      </x:c>
      <x:c r="G8016" s="6" t="str">
        <x:v>Pingshui main list, Wikisource-derived DOCX</x:v>
      </x:c>
      <x:c r="H8016" s="6" t="str"/>
      <x:c r="I8016" s="6" t="str">
        <x:v>Pingshui main-list expansion; 詞 entries ignored</x:v>
      </x:c>
      <x:c r="J8016" s="6" t="str">
        <x:f>IF(B8016="","",IF(AND(ISNUMBER(SEARCH("平",B8016)),OR(ISNUMBER(SEARCH("上",B8016)),ISNUMBER(SEARCH("去",B8016)),ISNUMBER(SEARCH("入",B8016)))),"Ambiguous",IF(ISNUMBER(SEARCH("平",B8016)),"平","仄")))</x:f>
        <x:v>仄</x:v>
      </x:c>
      <x:c r="K8016" s="6" t="str">
        <x:f>IF(D8016="","",IF(AND(ISNUMBER(SEARCH("平",D8016)),OR(ISNUMBER(SEARCH("上",D8016)),ISNUMBER(SEARCH("去",D8016)),ISNUMBER(SEARCH("入",D8016)))),"Ambiguous",IF(ISNUMBER(SEARCH("平",D8016)),"平","仄")))</x:f>
        <x:v>仄</x:v>
      </x:c>
      <x:c r="L8016" s="7" t="str">
        <x:v>Pingshui main list expansion</x:v>
      </x:c>
    </x:row>
    <x:row r="8017">
      <x:c r="A8017" s="5" t="str">
        <x:v>躄</x:v>
      </x:c>
      <x:c r="B8017" s="6" t="str">
        <x:v>入</x:v>
      </x:c>
      <x:c r="C8017" s="6" t="str">
        <x:f>IF(B8017="","Needs decision","Ready")</x:f>
        <x:v>Ready</x:v>
      </x:c>
      <x:c r="D8017" s="6" t="str">
        <x:v>入</x:v>
      </x:c>
      <x:c r="E8017" s="6" t="str"/>
      <x:c r="F8017" s="6" t="str">
        <x:v>入聲十一陌</x:v>
      </x:c>
      <x:c r="G8017" s="6" t="str">
        <x:v>Pingshui main list, Wikisource-derived DOCX</x:v>
      </x:c>
      <x:c r="H8017" s="6" t="str"/>
      <x:c r="I8017" s="6" t="str">
        <x:v>Pingshui main-list expansion; 詞 entries ignored</x:v>
      </x:c>
      <x:c r="J8017" s="6" t="str">
        <x:f>IF(B8017="","",IF(AND(ISNUMBER(SEARCH("平",B8017)),OR(ISNUMBER(SEARCH("上",B8017)),ISNUMBER(SEARCH("去",B8017)),ISNUMBER(SEARCH("入",B8017)))),"Ambiguous",IF(ISNUMBER(SEARCH("平",B8017)),"平","仄")))</x:f>
        <x:v>仄</x:v>
      </x:c>
      <x:c r="K8017" s="6" t="str">
        <x:f>IF(D8017="","",IF(AND(ISNUMBER(SEARCH("平",D8017)),OR(ISNUMBER(SEARCH("上",D8017)),ISNUMBER(SEARCH("去",D8017)),ISNUMBER(SEARCH("入",D8017)))),"Ambiguous",IF(ISNUMBER(SEARCH("平",D8017)),"平","仄")))</x:f>
        <x:v>仄</x:v>
      </x:c>
      <x:c r="L8017" s="7" t="str">
        <x:v>Pingshui main list expansion</x:v>
      </x:c>
    </x:row>
    <x:row r="8018">
      <x:c r="A8018" s="5" t="str">
        <x:v>躚</x:v>
      </x:c>
      <x:c r="B8018" s="6" t="str">
        <x:v>平</x:v>
      </x:c>
      <x:c r="C8018" s="6" t="str">
        <x:f>IF(B8018="","Needs decision","Ready")</x:f>
        <x:v>Ready</x:v>
      </x:c>
      <x:c r="D8018" s="6" t="str">
        <x:v>平</x:v>
      </x:c>
      <x:c r="E8018" s="6" t="str"/>
      <x:c r="F8018" s="6" t="str">
        <x:v>下平聲一先</x:v>
      </x:c>
      <x:c r="G8018" s="6" t="str">
        <x:v>Pingshui main list, Wikisource-derived DOCX</x:v>
      </x:c>
      <x:c r="H8018" s="6" t="str"/>
      <x:c r="I8018" s="6" t="str">
        <x:v>Pingshui main-list expansion; 詞 entries ignored</x:v>
      </x:c>
      <x:c r="J8018" s="6" t="str">
        <x:f>IF(B8018="","",IF(AND(ISNUMBER(SEARCH("平",B8018)),OR(ISNUMBER(SEARCH("上",B8018)),ISNUMBER(SEARCH("去",B8018)),ISNUMBER(SEARCH("入",B8018)))),"Ambiguous",IF(ISNUMBER(SEARCH("平",B8018)),"平","仄")))</x:f>
        <x:v>平</x:v>
      </x:c>
      <x:c r="K8018" s="6" t="str">
        <x:f>IF(D8018="","",IF(AND(ISNUMBER(SEARCH("平",D8018)),OR(ISNUMBER(SEARCH("上",D8018)),ISNUMBER(SEARCH("去",D8018)),ISNUMBER(SEARCH("入",D8018)))),"Ambiguous",IF(ISNUMBER(SEARCH("平",D8018)),"平","仄")))</x:f>
        <x:v>平</x:v>
      </x:c>
      <x:c r="L8018" s="7" t="str">
        <x:v>Pingshui main list expansion</x:v>
      </x:c>
    </x:row>
    <x:row r="8019">
      <x:c r="A8019" s="5" t="str">
        <x:v>躠</x:v>
      </x:c>
      <x:c r="B8019" s="6" t="str">
        <x:v>入</x:v>
      </x:c>
      <x:c r="C8019" s="6" t="str">
        <x:f>IF(B8019="","Needs decision","Ready")</x:f>
        <x:v>Ready</x:v>
      </x:c>
      <x:c r="D8019" s="6" t="str">
        <x:v>入</x:v>
      </x:c>
      <x:c r="E8019" s="6" t="str"/>
      <x:c r="F8019" s="6" t="str">
        <x:v>入聲七曷</x:v>
      </x:c>
      <x:c r="G8019" s="6" t="str">
        <x:v>Pingshui main list, Wikisource-derived DOCX</x:v>
      </x:c>
      <x:c r="H8019" s="6" t="str"/>
      <x:c r="I8019" s="6" t="str">
        <x:v>Pingshui main-list expansion; 詞 entries ignored</x:v>
      </x:c>
      <x:c r="J8019" s="6" t="str">
        <x:f>IF(B8019="","",IF(AND(ISNUMBER(SEARCH("平",B8019)),OR(ISNUMBER(SEARCH("上",B8019)),ISNUMBER(SEARCH("去",B8019)),ISNUMBER(SEARCH("入",B8019)))),"Ambiguous",IF(ISNUMBER(SEARCH("平",B8019)),"平","仄")))</x:f>
        <x:v>仄</x:v>
      </x:c>
      <x:c r="K8019" s="6" t="str">
        <x:f>IF(D8019="","",IF(AND(ISNUMBER(SEARCH("平",D8019)),OR(ISNUMBER(SEARCH("上",D8019)),ISNUMBER(SEARCH("去",D8019)),ISNUMBER(SEARCH("入",D8019)))),"Ambiguous",IF(ISNUMBER(SEARCH("平",D8019)),"平","仄")))</x:f>
        <x:v>仄</x:v>
      </x:c>
      <x:c r="L8019" s="7" t="str">
        <x:v>Pingshui main list expansion</x:v>
      </x:c>
    </x:row>
    <x:row r="8020">
      <x:c r="A8020" s="5" t="str">
        <x:v>躣</x:v>
      </x:c>
      <x:c r="B8020" s="6" t="str">
        <x:v>平</x:v>
      </x:c>
      <x:c r="C8020" s="6" t="str">
        <x:f>IF(B8020="","Needs decision","Ready")</x:f>
        <x:v>Ready</x:v>
      </x:c>
      <x:c r="D8020" s="6" t="str">
        <x:v>平</x:v>
      </x:c>
      <x:c r="E8020" s="6" t="str"/>
      <x:c r="F8020" s="6" t="str">
        <x:v>上平聲七虞</x:v>
      </x:c>
      <x:c r="G8020" s="6" t="str">
        <x:v>Pingshui main list, Wikisource-derived DOCX</x:v>
      </x:c>
      <x:c r="H8020" s="6" t="str"/>
      <x:c r="I8020" s="6" t="str">
        <x:v>Pingshui main-list expansion; 詞 entries ignored</x:v>
      </x:c>
      <x:c r="J8020" s="6" t="str">
        <x:f>IF(B8020="","",IF(AND(ISNUMBER(SEARCH("平",B8020)),OR(ISNUMBER(SEARCH("上",B8020)),ISNUMBER(SEARCH("去",B8020)),ISNUMBER(SEARCH("入",B8020)))),"Ambiguous",IF(ISNUMBER(SEARCH("平",B8020)),"平","仄")))</x:f>
        <x:v>平</x:v>
      </x:c>
      <x:c r="K8020" s="6" t="str">
        <x:f>IF(D8020="","",IF(AND(ISNUMBER(SEARCH("平",D8020)),OR(ISNUMBER(SEARCH("上",D8020)),ISNUMBER(SEARCH("去",D8020)),ISNUMBER(SEARCH("入",D8020)))),"Ambiguous",IF(ISNUMBER(SEARCH("平",D8020)),"平","仄")))</x:f>
        <x:v>平</x:v>
      </x:c>
      <x:c r="L8020" s="7" t="str">
        <x:v>Pingshui main list expansion</x:v>
      </x:c>
    </x:row>
    <x:row r="8021">
      <x:c r="A8021" s="5" t="str">
        <x:v>躩</x:v>
      </x:c>
      <x:c r="B8021" s="6" t="str">
        <x:v>入</x:v>
      </x:c>
      <x:c r="C8021" s="6" t="str">
        <x:f>IF(B8021="","Needs decision","Ready")</x:f>
        <x:v>Ready</x:v>
      </x:c>
      <x:c r="D8021" s="6" t="str">
        <x:v>入</x:v>
      </x:c>
      <x:c r="E8021" s="6" t="str"/>
      <x:c r="F8021" s="6" t="str">
        <x:v>入聲十藥</x:v>
      </x:c>
      <x:c r="G8021" s="6" t="str">
        <x:v>Pingshui main list, Wikisource-derived DOCX</x:v>
      </x:c>
      <x:c r="H8021" s="6" t="str"/>
      <x:c r="I8021" s="6" t="str">
        <x:v>Pingshui main-list expansion; 詞 entries ignored</x:v>
      </x:c>
      <x:c r="J8021" s="6" t="str">
        <x:f>IF(B8021="","",IF(AND(ISNUMBER(SEARCH("平",B8021)),OR(ISNUMBER(SEARCH("上",B8021)),ISNUMBER(SEARCH("去",B8021)),ISNUMBER(SEARCH("入",B8021)))),"Ambiguous",IF(ISNUMBER(SEARCH("平",B8021)),"平","仄")))</x:f>
        <x:v>仄</x:v>
      </x:c>
      <x:c r="K8021" s="6" t="str">
        <x:f>IF(D8021="","",IF(AND(ISNUMBER(SEARCH("平",D8021)),OR(ISNUMBER(SEARCH("上",D8021)),ISNUMBER(SEARCH("去",D8021)),ISNUMBER(SEARCH("入",D8021)))),"Ambiguous",IF(ISNUMBER(SEARCH("平",D8021)),"平","仄")))</x:f>
        <x:v>仄</x:v>
      </x:c>
      <x:c r="L8021" s="7" t="str">
        <x:v>Pingshui main list expansion</x:v>
      </x:c>
    </x:row>
    <x:row r="8022">
      <x:c r="A8022" s="5" t="str">
        <x:v>躪</x:v>
      </x:c>
      <x:c r="B8022" s="6" t="str">
        <x:v>去</x:v>
      </x:c>
      <x:c r="C8022" s="6" t="str">
        <x:f>IF(B8022="","Needs decision","Ready")</x:f>
        <x:v>Ready</x:v>
      </x:c>
      <x:c r="D8022" s="6" t="str">
        <x:v>去</x:v>
      </x:c>
      <x:c r="E8022" s="6" t="str"/>
      <x:c r="F8022" s="6" t="str">
        <x:v>去聲十二震</x:v>
      </x:c>
      <x:c r="G8022" s="6" t="str">
        <x:v>Pingshui main list, Wikisource-derived DOCX</x:v>
      </x:c>
      <x:c r="H8022" s="6" t="str"/>
      <x:c r="I8022" s="6" t="str">
        <x:v>Pingshui main-list expansion; 詞 entries ignored</x:v>
      </x:c>
      <x:c r="J8022" s="6" t="str">
        <x:f>IF(B8022="","",IF(AND(ISNUMBER(SEARCH("平",B8022)),OR(ISNUMBER(SEARCH("上",B8022)),ISNUMBER(SEARCH("去",B8022)),ISNUMBER(SEARCH("入",B8022)))),"Ambiguous",IF(ISNUMBER(SEARCH("平",B8022)),"平","仄")))</x:f>
        <x:v>仄</x:v>
      </x:c>
      <x:c r="K8022" s="6" t="str">
        <x:f>IF(D8022="","",IF(AND(ISNUMBER(SEARCH("平",D8022)),OR(ISNUMBER(SEARCH("上",D8022)),ISNUMBER(SEARCH("去",D8022)),ISNUMBER(SEARCH("入",D8022)))),"Ambiguous",IF(ISNUMBER(SEARCH("平",D8022)),"平","仄")))</x:f>
        <x:v>仄</x:v>
      </x:c>
      <x:c r="L8022" s="7" t="str">
        <x:v>Pingshui main list expansion</x:v>
      </x:c>
    </x:row>
    <x:row r="8023">
      <x:c r="A8023" s="5" t="str">
        <x:v>軘</x:v>
      </x:c>
      <x:c r="B8023" s="6" t="str">
        <x:v>平</x:v>
      </x:c>
      <x:c r="C8023" s="6" t="str">
        <x:f>IF(B8023="","Needs decision","Ready")</x:f>
        <x:v>Ready</x:v>
      </x:c>
      <x:c r="D8023" s="6" t="str">
        <x:v>平</x:v>
      </x:c>
      <x:c r="E8023" s="6" t="str"/>
      <x:c r="F8023" s="6" t="str">
        <x:v>上平聲十三元</x:v>
      </x:c>
      <x:c r="G8023" s="6" t="str">
        <x:v>Pingshui main list, Wikisource-derived DOCX</x:v>
      </x:c>
      <x:c r="H8023" s="6" t="str"/>
      <x:c r="I8023" s="6" t="str">
        <x:v>Pingshui main-list expansion; 詞 entries ignored</x:v>
      </x:c>
      <x:c r="J8023" s="6" t="str">
        <x:f>IF(B8023="","",IF(AND(ISNUMBER(SEARCH("平",B8023)),OR(ISNUMBER(SEARCH("上",B8023)),ISNUMBER(SEARCH("去",B8023)),ISNUMBER(SEARCH("入",B8023)))),"Ambiguous",IF(ISNUMBER(SEARCH("平",B8023)),"平","仄")))</x:f>
        <x:v>平</x:v>
      </x:c>
      <x:c r="K8023" s="6" t="str">
        <x:f>IF(D8023="","",IF(AND(ISNUMBER(SEARCH("平",D8023)),OR(ISNUMBER(SEARCH("上",D8023)),ISNUMBER(SEARCH("去",D8023)),ISNUMBER(SEARCH("入",D8023)))),"Ambiguous",IF(ISNUMBER(SEARCH("平",D8023)),"平","仄")))</x:f>
        <x:v>平</x:v>
      </x:c>
      <x:c r="L8023" s="7" t="str">
        <x:v>Pingshui main list expansion</x:v>
      </x:c>
    </x:row>
    <x:row r="8024">
      <x:c r="A8024" s="5" t="str">
        <x:v>軜</x:v>
      </x:c>
      <x:c r="B8024" s="6" t="str">
        <x:v>入</x:v>
      </x:c>
      <x:c r="C8024" s="6" t="str">
        <x:f>IF(B8024="","Needs decision","Ready")</x:f>
        <x:v>Ready</x:v>
      </x:c>
      <x:c r="D8024" s="6" t="str">
        <x:v>入</x:v>
      </x:c>
      <x:c r="E8024" s="6" t="str"/>
      <x:c r="F8024" s="6" t="str">
        <x:v>入聲十五合</x:v>
      </x:c>
      <x:c r="G8024" s="6" t="str">
        <x:v>Pingshui main list, Wikisource-derived DOCX</x:v>
      </x:c>
      <x:c r="H8024" s="6" t="str"/>
      <x:c r="I8024" s="6" t="str">
        <x:v>Pingshui main-list expansion; 詞 entries ignored</x:v>
      </x:c>
      <x:c r="J8024" s="6" t="str">
        <x:f>IF(B8024="","",IF(AND(ISNUMBER(SEARCH("平",B8024)),OR(ISNUMBER(SEARCH("上",B8024)),ISNUMBER(SEARCH("去",B8024)),ISNUMBER(SEARCH("入",B8024)))),"Ambiguous",IF(ISNUMBER(SEARCH("平",B8024)),"平","仄")))</x:f>
        <x:v>仄</x:v>
      </x:c>
      <x:c r="K8024" s="6" t="str">
        <x:f>IF(D8024="","",IF(AND(ISNUMBER(SEARCH("平",D8024)),OR(ISNUMBER(SEARCH("上",D8024)),ISNUMBER(SEARCH("去",D8024)),ISNUMBER(SEARCH("入",D8024)))),"Ambiguous",IF(ISNUMBER(SEARCH("平",D8024)),"平","仄")))</x:f>
        <x:v>仄</x:v>
      </x:c>
      <x:c r="L8024" s="7" t="str">
        <x:v>Pingshui main list expansion</x:v>
      </x:c>
    </x:row>
    <x:row r="8025">
      <x:c r="A8025" s="5" t="str">
        <x:v>軝</x:v>
      </x:c>
      <x:c r="B8025" s="6" t="str">
        <x:v>平</x:v>
      </x:c>
      <x:c r="C8025" s="6" t="str">
        <x:f>IF(B8025="","Needs decision","Ready")</x:f>
        <x:v>Ready</x:v>
      </x:c>
      <x:c r="D8025" s="6" t="str">
        <x:v>平</x:v>
      </x:c>
      <x:c r="E8025" s="6" t="str"/>
      <x:c r="F8025" s="6" t="str">
        <x:v>上平聲四支</x:v>
      </x:c>
      <x:c r="G8025" s="6" t="str">
        <x:v>Pingshui main list, Wikisource-derived DOCX</x:v>
      </x:c>
      <x:c r="H8025" s="6" t="str"/>
      <x:c r="I8025" s="6" t="str">
        <x:v>Pingshui main-list expansion; 詞 entries ignored</x:v>
      </x:c>
      <x:c r="J8025" s="6" t="str">
        <x:f>IF(B8025="","",IF(AND(ISNUMBER(SEARCH("平",B8025)),OR(ISNUMBER(SEARCH("上",B8025)),ISNUMBER(SEARCH("去",B8025)),ISNUMBER(SEARCH("入",B8025)))),"Ambiguous",IF(ISNUMBER(SEARCH("平",B8025)),"平","仄")))</x:f>
        <x:v>平</x:v>
      </x:c>
      <x:c r="K8025" s="6" t="str">
        <x:f>IF(D8025="","",IF(AND(ISNUMBER(SEARCH("平",D8025)),OR(ISNUMBER(SEARCH("上",D8025)),ISNUMBER(SEARCH("去",D8025)),ISNUMBER(SEARCH("入",D8025)))),"Ambiguous",IF(ISNUMBER(SEARCH("平",D8025)),"平","仄")))</x:f>
        <x:v>平</x:v>
      </x:c>
      <x:c r="L8025" s="7" t="str">
        <x:v>Pingshui main list expansion</x:v>
      </x:c>
    </x:row>
    <x:row r="8026">
      <x:c r="A8026" s="5" t="str">
        <x:v>軞</x:v>
      </x:c>
      <x:c r="B8026" s="6" t="str">
        <x:v>平</x:v>
      </x:c>
      <x:c r="C8026" s="6" t="str">
        <x:f>IF(B8026="","Needs decision","Ready")</x:f>
        <x:v>Ready</x:v>
      </x:c>
      <x:c r="D8026" s="6" t="str">
        <x:v>平</x:v>
      </x:c>
      <x:c r="E8026" s="6" t="str"/>
      <x:c r="F8026" s="6" t="str">
        <x:v>下平聲四豪</x:v>
      </x:c>
      <x:c r="G8026" s="6" t="str">
        <x:v>Pingshui main list, Wikisource-derived DOCX</x:v>
      </x:c>
      <x:c r="H8026" s="6" t="str"/>
      <x:c r="I8026" s="6" t="str">
        <x:v>Pingshui main-list expansion; 詞 entries ignored</x:v>
      </x:c>
      <x:c r="J8026" s="6" t="str">
        <x:f>IF(B8026="","",IF(AND(ISNUMBER(SEARCH("平",B8026)),OR(ISNUMBER(SEARCH("上",B8026)),ISNUMBER(SEARCH("去",B8026)),ISNUMBER(SEARCH("入",B8026)))),"Ambiguous",IF(ISNUMBER(SEARCH("平",B8026)),"平","仄")))</x:f>
        <x:v>平</x:v>
      </x:c>
      <x:c r="K8026" s="6" t="str">
        <x:f>IF(D8026="","",IF(AND(ISNUMBER(SEARCH("平",D8026)),OR(ISNUMBER(SEARCH("上",D8026)),ISNUMBER(SEARCH("去",D8026)),ISNUMBER(SEARCH("入",D8026)))),"Ambiguous",IF(ISNUMBER(SEARCH("平",D8026)),"平","仄")))</x:f>
        <x:v>平</x:v>
      </x:c>
      <x:c r="L8026" s="7" t="str">
        <x:v>Pingshui main list expansion</x:v>
      </x:c>
    </x:row>
    <x:row r="8027">
      <x:c r="A8027" s="5" t="str">
        <x:v>軥</x:v>
      </x:c>
      <x:c r="B8027" s="6" t="str">
        <x:v>平</x:v>
      </x:c>
      <x:c r="C8027" s="6" t="str">
        <x:f>IF(B8027="","Needs decision","Ready")</x:f>
        <x:v>Ready</x:v>
      </x:c>
      <x:c r="D8027" s="6" t="str">
        <x:v>平</x:v>
      </x:c>
      <x:c r="E8027" s="6" t="str"/>
      <x:c r="F8027" s="6" t="str">
        <x:v>上平聲七虞; 下平聲十一尤</x:v>
      </x:c>
      <x:c r="G8027" s="6" t="str">
        <x:v>Pingshui main list, Wikisource-derived DOCX</x:v>
      </x:c>
      <x:c r="H8027" s="6" t="str"/>
      <x:c r="I8027" s="6" t="str">
        <x:v>Pingshui main-list expansion; 詞 entries ignored</x:v>
      </x:c>
      <x:c r="J8027" s="6" t="str">
        <x:f>IF(B8027="","",IF(AND(ISNUMBER(SEARCH("平",B8027)),OR(ISNUMBER(SEARCH("上",B8027)),ISNUMBER(SEARCH("去",B8027)),ISNUMBER(SEARCH("入",B8027)))),"Ambiguous",IF(ISNUMBER(SEARCH("平",B8027)),"平","仄")))</x:f>
        <x:v>平</x:v>
      </x:c>
      <x:c r="K8027" s="6" t="str">
        <x:f>IF(D8027="","",IF(AND(ISNUMBER(SEARCH("平",D8027)),OR(ISNUMBER(SEARCH("上",D8027)),ISNUMBER(SEARCH("去",D8027)),ISNUMBER(SEARCH("入",D8027)))),"Ambiguous",IF(ISNUMBER(SEARCH("平",D8027)),"平","仄")))</x:f>
        <x:v>平</x:v>
      </x:c>
      <x:c r="L8027" s="7" t="str">
        <x:v>Pingshui main list expansion</x:v>
      </x:c>
    </x:row>
    <x:row r="8028">
      <x:c r="A8028" s="5" t="str">
        <x:v>軱</x:v>
      </x:c>
      <x:c r="B8028" s="6" t="str">
        <x:v>平</x:v>
      </x:c>
      <x:c r="C8028" s="6" t="str">
        <x:f>IF(B8028="","Needs decision","Ready")</x:f>
        <x:v>Ready</x:v>
      </x:c>
      <x:c r="D8028" s="6" t="str">
        <x:v>平</x:v>
      </x:c>
      <x:c r="E8028" s="6" t="str"/>
      <x:c r="F8028" s="6" t="str">
        <x:v>上平聲七虞</x:v>
      </x:c>
      <x:c r="G8028" s="6" t="str">
        <x:v>Pingshui main list, Wikisource-derived DOCX</x:v>
      </x:c>
      <x:c r="H8028" s="6" t="str"/>
      <x:c r="I8028" s="6" t="str">
        <x:v>Pingshui main-list expansion; 詞 entries ignored</x:v>
      </x:c>
      <x:c r="J8028" s="6" t="str">
        <x:f>IF(B8028="","",IF(AND(ISNUMBER(SEARCH("平",B8028)),OR(ISNUMBER(SEARCH("上",B8028)),ISNUMBER(SEARCH("去",B8028)),ISNUMBER(SEARCH("入",B8028)))),"Ambiguous",IF(ISNUMBER(SEARCH("平",B8028)),"平","仄")))</x:f>
        <x:v>平</x:v>
      </x:c>
      <x:c r="K8028" s="6" t="str">
        <x:f>IF(D8028="","",IF(AND(ISNUMBER(SEARCH("平",D8028)),OR(ISNUMBER(SEARCH("上",D8028)),ISNUMBER(SEARCH("去",D8028)),ISNUMBER(SEARCH("入",D8028)))),"Ambiguous",IF(ISNUMBER(SEARCH("平",D8028)),"平","仄")))</x:f>
        <x:v>平</x:v>
      </x:c>
      <x:c r="L8028" s="7" t="str">
        <x:v>Pingshui main list expansion</x:v>
      </x:c>
    </x:row>
    <x:row r="8029">
      <x:c r="A8029" s="5" t="str">
        <x:v>軵</x:v>
      </x:c>
      <x:c r="B8029" s="6" t="str">
        <x:v>上</x:v>
      </x:c>
      <x:c r="C8029" s="6" t="str">
        <x:f>IF(B8029="","Needs decision","Ready")</x:f>
        <x:v>Ready</x:v>
      </x:c>
      <x:c r="D8029" s="6" t="str">
        <x:v>上</x:v>
      </x:c>
      <x:c r="E8029" s="6" t="str"/>
      <x:c r="F8029" s="6" t="str">
        <x:v>上聲二腫</x:v>
      </x:c>
      <x:c r="G8029" s="6" t="str">
        <x:v>Pingshui main list, Wikisource-derived DOCX</x:v>
      </x:c>
      <x:c r="H8029" s="6" t="str"/>
      <x:c r="I8029" s="6" t="str">
        <x:v>Pingshui main-list expansion; 詞 entries ignored</x:v>
      </x:c>
      <x:c r="J8029" s="6" t="str">
        <x:f>IF(B8029="","",IF(AND(ISNUMBER(SEARCH("平",B8029)),OR(ISNUMBER(SEARCH("上",B8029)),ISNUMBER(SEARCH("去",B8029)),ISNUMBER(SEARCH("入",B8029)))),"Ambiguous",IF(ISNUMBER(SEARCH("平",B8029)),"平","仄")))</x:f>
        <x:v>仄</x:v>
      </x:c>
      <x:c r="K8029" s="6" t="str">
        <x:f>IF(D8029="","",IF(AND(ISNUMBER(SEARCH("平",D8029)),OR(ISNUMBER(SEARCH("上",D8029)),ISNUMBER(SEARCH("去",D8029)),ISNUMBER(SEARCH("入",D8029)))),"Ambiguous",IF(ISNUMBER(SEARCH("平",D8029)),"平","仄")))</x:f>
        <x:v>仄</x:v>
      </x:c>
      <x:c r="L8029" s="7" t="str">
        <x:v>Pingshui main list expansion</x:v>
      </x:c>
    </x:row>
    <x:row r="8030">
      <x:c r="A8030" s="5" t="str">
        <x:v>輁</x:v>
      </x:c>
      <x:c r="B8030" s="6" t="str">
        <x:v>上</x:v>
      </x:c>
      <x:c r="C8030" s="6" t="str">
        <x:f>IF(B8030="","Needs decision","Ready")</x:f>
        <x:v>Ready</x:v>
      </x:c>
      <x:c r="D8030" s="6" t="str">
        <x:v>上</x:v>
      </x:c>
      <x:c r="E8030" s="6" t="str"/>
      <x:c r="F8030" s="6" t="str">
        <x:v>上聲二腫</x:v>
      </x:c>
      <x:c r="G8030" s="6" t="str">
        <x:v>Pingshui main list, Wikisource-derived DOCX</x:v>
      </x:c>
      <x:c r="H8030" s="6" t="str"/>
      <x:c r="I8030" s="6" t="str">
        <x:v>Pingshui main-list expansion; 詞 entries ignored</x:v>
      </x:c>
      <x:c r="J8030" s="6" t="str">
        <x:f>IF(B8030="","",IF(AND(ISNUMBER(SEARCH("平",B8030)),OR(ISNUMBER(SEARCH("上",B8030)),ISNUMBER(SEARCH("去",B8030)),ISNUMBER(SEARCH("入",B8030)))),"Ambiguous",IF(ISNUMBER(SEARCH("平",B8030)),"平","仄")))</x:f>
        <x:v>仄</x:v>
      </x:c>
      <x:c r="K8030" s="6" t="str">
        <x:f>IF(D8030="","",IF(AND(ISNUMBER(SEARCH("平",D8030)),OR(ISNUMBER(SEARCH("上",D8030)),ISNUMBER(SEARCH("去",D8030)),ISNUMBER(SEARCH("入",D8030)))),"Ambiguous",IF(ISNUMBER(SEARCH("平",D8030)),"平","仄")))</x:f>
        <x:v>仄</x:v>
      </x:c>
      <x:c r="L8030" s="7" t="str">
        <x:v>Pingshui main list expansion</x:v>
      </x:c>
    </x:row>
    <x:row r="8031">
      <x:c r="A8031" s="5" t="str">
        <x:v>輂</x:v>
      </x:c>
      <x:c r="B8031" s="6" t="str">
        <x:v>入</x:v>
      </x:c>
      <x:c r="C8031" s="6" t="str">
        <x:f>IF(B8031="","Needs decision","Ready")</x:f>
        <x:v>Ready</x:v>
      </x:c>
      <x:c r="D8031" s="6" t="str">
        <x:v>入</x:v>
      </x:c>
      <x:c r="E8031" s="6" t="str"/>
      <x:c r="F8031" s="6" t="str">
        <x:v>入聲二沃</x:v>
      </x:c>
      <x:c r="G8031" s="6" t="str">
        <x:v>Pingshui main list, Wikisource-derived DOCX</x:v>
      </x:c>
      <x:c r="H8031" s="6" t="str"/>
      <x:c r="I8031" s="6" t="str">
        <x:v>Pingshui main-list expansion; 詞 entries ignored</x:v>
      </x:c>
      <x:c r="J8031" s="6" t="str">
        <x:f>IF(B8031="","",IF(AND(ISNUMBER(SEARCH("平",B8031)),OR(ISNUMBER(SEARCH("上",B8031)),ISNUMBER(SEARCH("去",B8031)),ISNUMBER(SEARCH("入",B8031)))),"Ambiguous",IF(ISNUMBER(SEARCH("平",B8031)),"平","仄")))</x:f>
        <x:v>仄</x:v>
      </x:c>
      <x:c r="K8031" s="6" t="str">
        <x:f>IF(D8031="","",IF(AND(ISNUMBER(SEARCH("平",D8031)),OR(ISNUMBER(SEARCH("上",D8031)),ISNUMBER(SEARCH("去",D8031)),ISNUMBER(SEARCH("入",D8031)))),"Ambiguous",IF(ISNUMBER(SEARCH("平",D8031)),"平","仄")))</x:f>
        <x:v>仄</x:v>
      </x:c>
      <x:c r="L8031" s="7" t="str">
        <x:v>Pingshui main list expansion</x:v>
      </x:c>
    </x:row>
    <x:row r="8032">
      <x:c r="A8032" s="5" t="str">
        <x:v>輊</x:v>
      </x:c>
      <x:c r="B8032" s="6" t="str">
        <x:v>去</x:v>
      </x:c>
      <x:c r="C8032" s="6" t="str">
        <x:f>IF(B8032="","Needs decision","Ready")</x:f>
        <x:v>Ready</x:v>
      </x:c>
      <x:c r="D8032" s="6" t="str">
        <x:v>去</x:v>
      </x:c>
      <x:c r="E8032" s="6" t="str"/>
      <x:c r="F8032" s="6" t="str">
        <x:v>去聲四寘</x:v>
      </x:c>
      <x:c r="G8032" s="6" t="str">
        <x:v>Pingshui main list, Wikisource-derived DOCX</x:v>
      </x:c>
      <x:c r="H8032" s="6" t="str"/>
      <x:c r="I8032" s="6" t="str">
        <x:v>Pingshui main-list expansion; 詞 entries ignored</x:v>
      </x:c>
      <x:c r="J8032" s="6" t="str">
        <x:f>IF(B8032="","",IF(AND(ISNUMBER(SEARCH("平",B8032)),OR(ISNUMBER(SEARCH("上",B8032)),ISNUMBER(SEARCH("去",B8032)),ISNUMBER(SEARCH("入",B8032)))),"Ambiguous",IF(ISNUMBER(SEARCH("平",B8032)),"平","仄")))</x:f>
        <x:v>仄</x:v>
      </x:c>
      <x:c r="K8032" s="6" t="str">
        <x:f>IF(D8032="","",IF(AND(ISNUMBER(SEARCH("平",D8032)),OR(ISNUMBER(SEARCH("上",D8032)),ISNUMBER(SEARCH("去",D8032)),ISNUMBER(SEARCH("入",D8032)))),"Ambiguous",IF(ISNUMBER(SEARCH("平",D8032)),"平","仄")))</x:f>
        <x:v>仄</x:v>
      </x:c>
      <x:c r="L8032" s="7" t="str">
        <x:v>Pingshui main list expansion</x:v>
      </x:c>
    </x:row>
    <x:row r="8033">
      <x:c r="A8033" s="5" t="str">
        <x:v>輑</x:v>
      </x:c>
      <x:c r="B8033" s="6" t="str">
        <x:v>平</x:v>
      </x:c>
      <x:c r="C8033" s="6" t="str">
        <x:f>IF(B8033="","Needs decision","Ready")</x:f>
        <x:v>Ready</x:v>
      </x:c>
      <x:c r="D8033" s="6" t="str">
        <x:v>平</x:v>
      </x:c>
      <x:c r="E8033" s="6" t="str"/>
      <x:c r="F8033" s="6" t="str">
        <x:v>上平聲十一真</x:v>
      </x:c>
      <x:c r="G8033" s="6" t="str">
        <x:v>Pingshui main list, Wikisource-derived DOCX</x:v>
      </x:c>
      <x:c r="H8033" s="6" t="str"/>
      <x:c r="I8033" s="6" t="str">
        <x:v>Pingshui main-list expansion; 詞 entries ignored</x:v>
      </x:c>
      <x:c r="J8033" s="6" t="str">
        <x:f>IF(B8033="","",IF(AND(ISNUMBER(SEARCH("平",B8033)),OR(ISNUMBER(SEARCH("上",B8033)),ISNUMBER(SEARCH("去",B8033)),ISNUMBER(SEARCH("入",B8033)))),"Ambiguous",IF(ISNUMBER(SEARCH("平",B8033)),"平","仄")))</x:f>
        <x:v>平</x:v>
      </x:c>
      <x:c r="K8033" s="6" t="str">
        <x:f>IF(D8033="","",IF(AND(ISNUMBER(SEARCH("平",D8033)),OR(ISNUMBER(SEARCH("上",D8033)),ISNUMBER(SEARCH("去",D8033)),ISNUMBER(SEARCH("入",D8033)))),"Ambiguous",IF(ISNUMBER(SEARCH("平",D8033)),"平","仄")))</x:f>
        <x:v>平</x:v>
      </x:c>
      <x:c r="L8033" s="7" t="str">
        <x:v>Pingshui main list expansion</x:v>
      </x:c>
    </x:row>
    <x:row r="8034">
      <x:c r="A8034" s="5" t="str">
        <x:v>輘</x:v>
      </x:c>
      <x:c r="B8034" s="6" t="str">
        <x:v>平</x:v>
      </x:c>
      <x:c r="C8034" s="6" t="str">
        <x:f>IF(B8034="","Needs decision","Ready")</x:f>
        <x:v>Ready</x:v>
      </x:c>
      <x:c r="D8034" s="6" t="str">
        <x:v>平</x:v>
      </x:c>
      <x:c r="E8034" s="6" t="str"/>
      <x:c r="F8034" s="6" t="str">
        <x:v>下平聲十蒸</x:v>
      </x:c>
      <x:c r="G8034" s="6" t="str">
        <x:v>Pingshui main list, Wikisource-derived DOCX</x:v>
      </x:c>
      <x:c r="H8034" s="6" t="str"/>
      <x:c r="I8034" s="6" t="str">
        <x:v>Pingshui main-list expansion; 詞 entries ignored</x:v>
      </x:c>
      <x:c r="J8034" s="6" t="str">
        <x:f>IF(B8034="","",IF(AND(ISNUMBER(SEARCH("平",B8034)),OR(ISNUMBER(SEARCH("上",B8034)),ISNUMBER(SEARCH("去",B8034)),ISNUMBER(SEARCH("入",B8034)))),"Ambiguous",IF(ISNUMBER(SEARCH("平",B8034)),"平","仄")))</x:f>
        <x:v>平</x:v>
      </x:c>
      <x:c r="K8034" s="6" t="str">
        <x:f>IF(D8034="","",IF(AND(ISNUMBER(SEARCH("平",D8034)),OR(ISNUMBER(SEARCH("上",D8034)),ISNUMBER(SEARCH("去",D8034)),ISNUMBER(SEARCH("入",D8034)))),"Ambiguous",IF(ISNUMBER(SEARCH("平",D8034)),"平","仄")))</x:f>
        <x:v>平</x:v>
      </x:c>
      <x:c r="L8034" s="7" t="str">
        <x:v>Pingshui main list expansion</x:v>
      </x:c>
    </x:row>
    <x:row r="8035">
      <x:c r="A8035" s="5" t="str">
        <x:v>輚</x:v>
      </x:c>
      <x:c r="B8035" s="6" t="str"/>
      <x:c r="C8035" s="6" t="str">
        <x:f>IF(B8035="","Needs decision","Ready")</x:f>
        <x:v>Needs decision</x:v>
      </x:c>
      <x:c r="D8035" s="6" t="str">
        <x:v>上/去</x:v>
      </x:c>
      <x:c r="E8035" s="6" t="str"/>
      <x:c r="F8035" s="6" t="str">
        <x:v>上聲十五潸; 去聲十六諫</x:v>
      </x:c>
      <x:c r="G8035" s="6" t="str">
        <x:v>Pingshui main list, Wikisource-derived DOCX</x:v>
      </x:c>
      <x:c r="H8035" s="6" t="str"/>
      <x:c r="I8035" s="6" t="str">
        <x:v>Pingshui main-list expansion; 詞 entries ignored</x:v>
      </x:c>
      <x:c r="J8035" s="6" t="str">
        <x:f>IF(B8035="","",IF(AND(ISNUMBER(SEARCH("平",B8035)),OR(ISNUMBER(SEARCH("上",B8035)),ISNUMBER(SEARCH("去",B8035)),ISNUMBER(SEARCH("入",B8035)))),"Ambiguous",IF(ISNUMBER(SEARCH("平",B8035)),"平","仄")))</x:f>
      </x:c>
      <x:c r="K8035" s="6" t="str">
        <x:f>IF(D8035="","",IF(AND(ISNUMBER(SEARCH("平",D8035)),OR(ISNUMBER(SEARCH("上",D8035)),ISNUMBER(SEARCH("去",D8035)),ISNUMBER(SEARCH("入",D8035)))),"Ambiguous",IF(ISNUMBER(SEARCH("平",D8035)),"平","仄")))</x:f>
        <x:v>仄</x:v>
      </x:c>
      <x:c r="L8035" s="7" t="str">
        <x:v>Pingshui main list expansion</x:v>
      </x:c>
    </x:row>
    <x:row r="8036">
      <x:c r="A8036" s="5" t="str">
        <x:v>輞</x:v>
      </x:c>
      <x:c r="B8036" s="6" t="str">
        <x:v>上</x:v>
      </x:c>
      <x:c r="C8036" s="6" t="str">
        <x:f>IF(B8036="","Needs decision","Ready")</x:f>
        <x:v>Ready</x:v>
      </x:c>
      <x:c r="D8036" s="6" t="str">
        <x:v>上</x:v>
      </x:c>
      <x:c r="E8036" s="6" t="str"/>
      <x:c r="F8036" s="6" t="str">
        <x:v>上聲二十二養</x:v>
      </x:c>
      <x:c r="G8036" s="6" t="str">
        <x:v>Pingshui main list, Wikisource-derived DOCX</x:v>
      </x:c>
      <x:c r="H8036" s="6" t="str"/>
      <x:c r="I8036" s="6" t="str">
        <x:v>Pingshui main-list expansion; 詞 entries ignored</x:v>
      </x:c>
      <x:c r="J8036" s="6" t="str">
        <x:f>IF(B8036="","",IF(AND(ISNUMBER(SEARCH("平",B8036)),OR(ISNUMBER(SEARCH("上",B8036)),ISNUMBER(SEARCH("去",B8036)),ISNUMBER(SEARCH("入",B8036)))),"Ambiguous",IF(ISNUMBER(SEARCH("平",B8036)),"平","仄")))</x:f>
        <x:v>仄</x:v>
      </x:c>
      <x:c r="K8036" s="6" t="str">
        <x:f>IF(D8036="","",IF(AND(ISNUMBER(SEARCH("平",D8036)),OR(ISNUMBER(SEARCH("上",D8036)),ISNUMBER(SEARCH("去",D8036)),ISNUMBER(SEARCH("入",D8036)))),"Ambiguous",IF(ISNUMBER(SEARCH("平",D8036)),"平","仄")))</x:f>
        <x:v>仄</x:v>
      </x:c>
      <x:c r="L8036" s="7" t="str">
        <x:v>Pingshui main list expansion</x:v>
      </x:c>
    </x:row>
    <x:row r="8037">
      <x:c r="A8037" s="5" t="str">
        <x:v>輣</x:v>
      </x:c>
      <x:c r="B8037" s="6" t="str">
        <x:v>平</x:v>
      </x:c>
      <x:c r="C8037" s="6" t="str">
        <x:f>IF(B8037="","Needs decision","Ready")</x:f>
        <x:v>Ready</x:v>
      </x:c>
      <x:c r="D8037" s="6" t="str">
        <x:v>平</x:v>
      </x:c>
      <x:c r="E8037" s="6" t="str"/>
      <x:c r="F8037" s="6" t="str">
        <x:v>下平聲八庚</x:v>
      </x:c>
      <x:c r="G8037" s="6" t="str">
        <x:v>Pingshui main list, Wikisource-derived DOCX</x:v>
      </x:c>
      <x:c r="H8037" s="6" t="str"/>
      <x:c r="I8037" s="6" t="str">
        <x:v>Pingshui main-list expansion; 詞 entries ignored</x:v>
      </x:c>
      <x:c r="J8037" s="6" t="str">
        <x:f>IF(B8037="","",IF(AND(ISNUMBER(SEARCH("平",B8037)),OR(ISNUMBER(SEARCH("上",B8037)),ISNUMBER(SEARCH("去",B8037)),ISNUMBER(SEARCH("入",B8037)))),"Ambiguous",IF(ISNUMBER(SEARCH("平",B8037)),"平","仄")))</x:f>
        <x:v>平</x:v>
      </x:c>
      <x:c r="K8037" s="6" t="str">
        <x:f>IF(D8037="","",IF(AND(ISNUMBER(SEARCH("平",D8037)),OR(ISNUMBER(SEARCH("上",D8037)),ISNUMBER(SEARCH("去",D8037)),ISNUMBER(SEARCH("入",D8037)))),"Ambiguous",IF(ISNUMBER(SEARCH("平",D8037)),"平","仄")))</x:f>
        <x:v>平</x:v>
      </x:c>
      <x:c r="L8037" s="7" t="str">
        <x:v>Pingshui main list expansion</x:v>
      </x:c>
    </x:row>
    <x:row r="8038">
      <x:c r="A8038" s="5" t="str">
        <x:v>輥</x:v>
      </x:c>
      <x:c r="B8038" s="6" t="str">
        <x:v>上</x:v>
      </x:c>
      <x:c r="C8038" s="6" t="str">
        <x:f>IF(B8038="","Needs decision","Ready")</x:f>
        <x:v>Ready</x:v>
      </x:c>
      <x:c r="D8038" s="6" t="str">
        <x:v>上</x:v>
      </x:c>
      <x:c r="E8038" s="6" t="str"/>
      <x:c r="F8038" s="6" t="str">
        <x:v>上聲十三阮</x:v>
      </x:c>
      <x:c r="G8038" s="6" t="str">
        <x:v>Pingshui main list, Wikisource-derived DOCX</x:v>
      </x:c>
      <x:c r="H8038" s="6" t="str"/>
      <x:c r="I8038" s="6" t="str">
        <x:v>Pingshui main-list expansion; 詞 entries ignored</x:v>
      </x:c>
      <x:c r="J8038" s="6" t="str">
        <x:f>IF(B8038="","",IF(AND(ISNUMBER(SEARCH("平",B8038)),OR(ISNUMBER(SEARCH("上",B8038)),ISNUMBER(SEARCH("去",B8038)),ISNUMBER(SEARCH("入",B8038)))),"Ambiguous",IF(ISNUMBER(SEARCH("平",B8038)),"平","仄")))</x:f>
        <x:v>仄</x:v>
      </x:c>
      <x:c r="K8038" s="6" t="str">
        <x:f>IF(D8038="","",IF(AND(ISNUMBER(SEARCH("平",D8038)),OR(ISNUMBER(SEARCH("上",D8038)),ISNUMBER(SEARCH("去",D8038)),ISNUMBER(SEARCH("入",D8038)))),"Ambiguous",IF(ISNUMBER(SEARCH("平",D8038)),"平","仄")))</x:f>
        <x:v>仄</x:v>
      </x:c>
      <x:c r="L8038" s="7" t="str">
        <x:v>Pingshui main list expansion</x:v>
      </x:c>
    </x:row>
    <x:row r="8039">
      <x:c r="A8039" s="5" t="str">
        <x:v>輮</x:v>
      </x:c>
      <x:c r="B8039" s="6" t="str">
        <x:v>去</x:v>
      </x:c>
      <x:c r="C8039" s="6" t="str">
        <x:f>IF(B8039="","Needs decision","Ready")</x:f>
        <x:v>Ready</x:v>
      </x:c>
      <x:c r="D8039" s="6" t="str">
        <x:v>去</x:v>
      </x:c>
      <x:c r="E8039" s="6" t="str"/>
      <x:c r="F8039" s="6" t="str">
        <x:v>去聲二十六宥</x:v>
      </x:c>
      <x:c r="G8039" s="6" t="str">
        <x:v>Pingshui main list, Wikisource-derived DOCX</x:v>
      </x:c>
      <x:c r="H8039" s="6" t="str"/>
      <x:c r="I8039" s="6" t="str">
        <x:v>Pingshui main-list expansion; 詞 entries ignored</x:v>
      </x:c>
      <x:c r="J8039" s="6" t="str">
        <x:f>IF(B8039="","",IF(AND(ISNUMBER(SEARCH("平",B8039)),OR(ISNUMBER(SEARCH("上",B8039)),ISNUMBER(SEARCH("去",B8039)),ISNUMBER(SEARCH("入",B8039)))),"Ambiguous",IF(ISNUMBER(SEARCH("平",B8039)),"平","仄")))</x:f>
        <x:v>仄</x:v>
      </x:c>
      <x:c r="K8039" s="6" t="str">
        <x:f>IF(D8039="","",IF(AND(ISNUMBER(SEARCH("平",D8039)),OR(ISNUMBER(SEARCH("上",D8039)),ISNUMBER(SEARCH("去",D8039)),ISNUMBER(SEARCH("入",D8039)))),"Ambiguous",IF(ISNUMBER(SEARCH("平",D8039)),"平","仄")))</x:f>
        <x:v>仄</x:v>
      </x:c>
      <x:c r="L8039" s="7" t="str">
        <x:v>Pingshui main list expansion</x:v>
      </x:c>
    </x:row>
    <x:row r="8040">
      <x:c r="A8040" s="5" t="str">
        <x:v>輳</x:v>
      </x:c>
      <x:c r="B8040" s="6" t="str">
        <x:v>去</x:v>
      </x:c>
      <x:c r="C8040" s="6" t="str">
        <x:f>IF(B8040="","Needs decision","Ready")</x:f>
        <x:v>Ready</x:v>
      </x:c>
      <x:c r="D8040" s="6" t="str">
        <x:v>去</x:v>
      </x:c>
      <x:c r="E8040" s="6" t="str"/>
      <x:c r="F8040" s="6" t="str">
        <x:v>去聲二十六宥</x:v>
      </x:c>
      <x:c r="G8040" s="6" t="str">
        <x:v>Pingshui main list, Wikisource-derived DOCX</x:v>
      </x:c>
      <x:c r="H8040" s="6" t="str"/>
      <x:c r="I8040" s="6" t="str">
        <x:v>Pingshui main-list expansion; 詞 entries ignored</x:v>
      </x:c>
      <x:c r="J8040" s="6" t="str">
        <x:f>IF(B8040="","",IF(AND(ISNUMBER(SEARCH("平",B8040)),OR(ISNUMBER(SEARCH("上",B8040)),ISNUMBER(SEARCH("去",B8040)),ISNUMBER(SEARCH("入",B8040)))),"Ambiguous",IF(ISNUMBER(SEARCH("平",B8040)),"平","仄")))</x:f>
        <x:v>仄</x:v>
      </x:c>
      <x:c r="K8040" s="6" t="str">
        <x:f>IF(D8040="","",IF(AND(ISNUMBER(SEARCH("平",D8040)),OR(ISNUMBER(SEARCH("上",D8040)),ISNUMBER(SEARCH("去",D8040)),ISNUMBER(SEARCH("入",D8040)))),"Ambiguous",IF(ISNUMBER(SEARCH("平",D8040)),"平","仄")))</x:f>
        <x:v>仄</x:v>
      </x:c>
      <x:c r="L8040" s="7" t="str">
        <x:v>Pingshui main list expansion</x:v>
      </x:c>
    </x:row>
    <x:row r="8041">
      <x:c r="A8041" s="5" t="str">
        <x:v>輵</x:v>
      </x:c>
      <x:c r="B8041" s="6" t="str">
        <x:v>入</x:v>
      </x:c>
      <x:c r="C8041" s="6" t="str">
        <x:f>IF(B8041="","Needs decision","Ready")</x:f>
        <x:v>Ready</x:v>
      </x:c>
      <x:c r="D8041" s="6" t="str">
        <x:v>入</x:v>
      </x:c>
      <x:c r="E8041" s="6" t="str"/>
      <x:c r="F8041" s="6" t="str">
        <x:v>入聲七曷</x:v>
      </x:c>
      <x:c r="G8041" s="6" t="str">
        <x:v>Pingshui main list, Wikisource-derived DOCX</x:v>
      </x:c>
      <x:c r="H8041" s="6" t="str"/>
      <x:c r="I8041" s="6" t="str">
        <x:v>Pingshui main-list expansion; 詞 entries ignored</x:v>
      </x:c>
      <x:c r="J8041" s="6" t="str">
        <x:f>IF(B8041="","",IF(AND(ISNUMBER(SEARCH("平",B8041)),OR(ISNUMBER(SEARCH("上",B8041)),ISNUMBER(SEARCH("去",B8041)),ISNUMBER(SEARCH("入",B8041)))),"Ambiguous",IF(ISNUMBER(SEARCH("平",B8041)),"平","仄")))</x:f>
        <x:v>仄</x:v>
      </x:c>
      <x:c r="K8041" s="6" t="str">
        <x:f>IF(D8041="","",IF(AND(ISNUMBER(SEARCH("平",D8041)),OR(ISNUMBER(SEARCH("上",D8041)),ISNUMBER(SEARCH("去",D8041)),ISNUMBER(SEARCH("入",D8041)))),"Ambiguous",IF(ISNUMBER(SEARCH("平",D8041)),"平","仄")))</x:f>
        <x:v>仄</x:v>
      </x:c>
      <x:c r="L8041" s="7" t="str">
        <x:v>Pingshui main list expansion</x:v>
      </x:c>
    </x:row>
    <x:row r="8042">
      <x:c r="A8042" s="5" t="str">
        <x:v>轀</x:v>
      </x:c>
      <x:c r="B8042" s="6" t="str">
        <x:v>平</x:v>
      </x:c>
      <x:c r="C8042" s="6" t="str">
        <x:f>IF(B8042="","Needs decision","Ready")</x:f>
        <x:v>Ready</x:v>
      </x:c>
      <x:c r="D8042" s="6" t="str">
        <x:v>平</x:v>
      </x:c>
      <x:c r="E8042" s="6" t="str"/>
      <x:c r="F8042" s="6" t="str">
        <x:v>上平聲十三元</x:v>
      </x:c>
      <x:c r="G8042" s="6" t="str">
        <x:v>Pingshui main list, Wikisource-derived DOCX</x:v>
      </x:c>
      <x:c r="H8042" s="6" t="str"/>
      <x:c r="I8042" s="6" t="str">
        <x:v>Pingshui main-list expansion; 詞 entries ignored</x:v>
      </x:c>
      <x:c r="J8042" s="6" t="str">
        <x:f>IF(B8042="","",IF(AND(ISNUMBER(SEARCH("平",B8042)),OR(ISNUMBER(SEARCH("上",B8042)),ISNUMBER(SEARCH("去",B8042)),ISNUMBER(SEARCH("入",B8042)))),"Ambiguous",IF(ISNUMBER(SEARCH("平",B8042)),"平","仄")))</x:f>
        <x:v>平</x:v>
      </x:c>
      <x:c r="K8042" s="6" t="str">
        <x:f>IF(D8042="","",IF(AND(ISNUMBER(SEARCH("平",D8042)),OR(ISNUMBER(SEARCH("上",D8042)),ISNUMBER(SEARCH("去",D8042)),ISNUMBER(SEARCH("入",D8042)))),"Ambiguous",IF(ISNUMBER(SEARCH("平",D8042)),"平","仄")))</x:f>
        <x:v>平</x:v>
      </x:c>
      <x:c r="L8042" s="7" t="str">
        <x:v>Pingshui main list expansion</x:v>
      </x:c>
    </x:row>
    <x:row r="8043">
      <x:c r="A8043" s="5" t="str">
        <x:v>轈</x:v>
      </x:c>
      <x:c r="B8043" s="6" t="str">
        <x:v>平</x:v>
      </x:c>
      <x:c r="C8043" s="6" t="str">
        <x:f>IF(B8043="","Needs decision","Ready")</x:f>
        <x:v>Ready</x:v>
      </x:c>
      <x:c r="D8043" s="6" t="str">
        <x:v>平</x:v>
      </x:c>
      <x:c r="E8043" s="6" t="str"/>
      <x:c r="F8043" s="6" t="str">
        <x:v>下平聲三肴</x:v>
      </x:c>
      <x:c r="G8043" s="6" t="str">
        <x:v>Pingshui main list, Wikisource-derived DOCX</x:v>
      </x:c>
      <x:c r="H8043" s="6" t="str"/>
      <x:c r="I8043" s="6" t="str">
        <x:v>Pingshui main-list expansion; 詞 entries ignored</x:v>
      </x:c>
      <x:c r="J8043" s="6" t="str">
        <x:f>IF(B8043="","",IF(AND(ISNUMBER(SEARCH("平",B8043)),OR(ISNUMBER(SEARCH("上",B8043)),ISNUMBER(SEARCH("去",B8043)),ISNUMBER(SEARCH("入",B8043)))),"Ambiguous",IF(ISNUMBER(SEARCH("平",B8043)),"平","仄")))</x:f>
        <x:v>平</x:v>
      </x:c>
      <x:c r="K8043" s="6" t="str">
        <x:f>IF(D8043="","",IF(AND(ISNUMBER(SEARCH("平",D8043)),OR(ISNUMBER(SEARCH("上",D8043)),ISNUMBER(SEARCH("去",D8043)),ISNUMBER(SEARCH("入",D8043)))),"Ambiguous",IF(ISNUMBER(SEARCH("平",D8043)),"平","仄")))</x:f>
        <x:v>平</x:v>
      </x:c>
      <x:c r="L8043" s="7" t="str">
        <x:v>Pingshui main list expansion</x:v>
      </x:c>
    </x:row>
    <x:row r="8044">
      <x:c r="A8044" s="5" t="str">
        <x:v>轎</x:v>
      </x:c>
      <x:c r="B8044" s="6" t="str"/>
      <x:c r="C8044" s="6" t="str">
        <x:f>IF(B8044="","Needs decision","Ready")</x:f>
        <x:v>Needs decision</x:v>
      </x:c>
      <x:c r="D8044" s="6" t="str">
        <x:v>平/去</x:v>
      </x:c>
      <x:c r="E8044" s="6" t="str"/>
      <x:c r="F8044" s="6" t="str">
        <x:v>下平聲二蕭; 去聲十八嘯</x:v>
      </x:c>
      <x:c r="G8044" s="6" t="str">
        <x:v>Pingshui main list, Wikisource-derived DOCX</x:v>
      </x:c>
      <x:c r="H8044" s="6" t="str"/>
      <x:c r="I8044" s="6" t="str">
        <x:v>Pingshui main-list expansion; 詞 entries ignored</x:v>
      </x:c>
      <x:c r="J8044" s="6" t="str">
        <x:f>IF(B8044="","",IF(AND(ISNUMBER(SEARCH("平",B8044)),OR(ISNUMBER(SEARCH("上",B8044)),ISNUMBER(SEARCH("去",B8044)),ISNUMBER(SEARCH("入",B8044)))),"Ambiguous",IF(ISNUMBER(SEARCH("平",B8044)),"平","仄")))</x:f>
      </x:c>
      <x:c r="K8044" s="6" t="str">
        <x:f>IF(D8044="","",IF(AND(ISNUMBER(SEARCH("平",D8044)),OR(ISNUMBER(SEARCH("上",D8044)),ISNUMBER(SEARCH("去",D8044)),ISNUMBER(SEARCH("入",D8044)))),"Ambiguous",IF(ISNUMBER(SEARCH("平",D8044)),"平","仄")))</x:f>
        <x:v>Ambiguous</x:v>
      </x:c>
      <x:c r="L8044" s="7" t="str">
        <x:v>Pingshui main list expansion</x:v>
      </x:c>
    </x:row>
    <x:row r="8045">
      <x:c r="A8045" s="5" t="str">
        <x:v>轑</x:v>
      </x:c>
      <x:c r="B8045" s="6" t="str">
        <x:v>上</x:v>
      </x:c>
      <x:c r="C8045" s="6" t="str">
        <x:f>IF(B8045="","Needs decision","Ready")</x:f>
        <x:v>Ready</x:v>
      </x:c>
      <x:c r="D8045" s="6" t="str">
        <x:v>上</x:v>
      </x:c>
      <x:c r="E8045" s="6" t="str"/>
      <x:c r="F8045" s="6" t="str">
        <x:v>上聲十九皓</x:v>
      </x:c>
      <x:c r="G8045" s="6" t="str">
        <x:v>Pingshui main list, Wikisource-derived DOCX</x:v>
      </x:c>
      <x:c r="H8045" s="6" t="str"/>
      <x:c r="I8045" s="6" t="str">
        <x:v>Pingshui main-list expansion; 詞 entries ignored</x:v>
      </x:c>
      <x:c r="J8045" s="6" t="str">
        <x:f>IF(B8045="","",IF(AND(ISNUMBER(SEARCH("平",B8045)),OR(ISNUMBER(SEARCH("上",B8045)),ISNUMBER(SEARCH("去",B8045)),ISNUMBER(SEARCH("入",B8045)))),"Ambiguous",IF(ISNUMBER(SEARCH("平",B8045)),"平","仄")))</x:f>
        <x:v>仄</x:v>
      </x:c>
      <x:c r="K8045" s="6" t="str">
        <x:f>IF(D8045="","",IF(AND(ISNUMBER(SEARCH("平",D8045)),OR(ISNUMBER(SEARCH("上",D8045)),ISNUMBER(SEARCH("去",D8045)),ISNUMBER(SEARCH("入",D8045)))),"Ambiguous",IF(ISNUMBER(SEARCH("平",D8045)),"平","仄")))</x:f>
        <x:v>仄</x:v>
      </x:c>
      <x:c r="L8045" s="7" t="str">
        <x:v>Pingshui main list expansion</x:v>
      </x:c>
    </x:row>
    <x:row r="8046">
      <x:c r="A8046" s="5" t="str">
        <x:v>轒</x:v>
      </x:c>
      <x:c r="B8046" s="6" t="str">
        <x:v>平</x:v>
      </x:c>
      <x:c r="C8046" s="6" t="str">
        <x:f>IF(B8046="","Needs decision","Ready")</x:f>
        <x:v>Ready</x:v>
      </x:c>
      <x:c r="D8046" s="6" t="str">
        <x:v>平</x:v>
      </x:c>
      <x:c r="E8046" s="6" t="str"/>
      <x:c r="F8046" s="6" t="str">
        <x:v>上平聲十二文</x:v>
      </x:c>
      <x:c r="G8046" s="6" t="str">
        <x:v>Pingshui main list, Wikisource-derived DOCX</x:v>
      </x:c>
      <x:c r="H8046" s="6" t="str"/>
      <x:c r="I8046" s="6" t="str">
        <x:v>Pingshui main-list expansion; 詞 entries ignored</x:v>
      </x:c>
      <x:c r="J8046" s="6" t="str">
        <x:f>IF(B8046="","",IF(AND(ISNUMBER(SEARCH("平",B8046)),OR(ISNUMBER(SEARCH("上",B8046)),ISNUMBER(SEARCH("去",B8046)),ISNUMBER(SEARCH("入",B8046)))),"Ambiguous",IF(ISNUMBER(SEARCH("平",B8046)),"平","仄")))</x:f>
        <x:v>平</x:v>
      </x:c>
      <x:c r="K8046" s="6" t="str">
        <x:f>IF(D8046="","",IF(AND(ISNUMBER(SEARCH("平",D8046)),OR(ISNUMBER(SEARCH("上",D8046)),ISNUMBER(SEARCH("去",D8046)),ISNUMBER(SEARCH("入",D8046)))),"Ambiguous",IF(ISNUMBER(SEARCH("平",D8046)),"平","仄")))</x:f>
        <x:v>平</x:v>
      </x:c>
      <x:c r="L8046" s="7" t="str">
        <x:v>Pingshui main list expansion</x:v>
      </x:c>
    </x:row>
    <x:row r="8047">
      <x:c r="A8047" s="5" t="str">
        <x:v>轙</x:v>
      </x:c>
      <x:c r="B8047" s="6" t="str">
        <x:v>平</x:v>
      </x:c>
      <x:c r="C8047" s="6" t="str">
        <x:f>IF(B8047="","Needs decision","Ready")</x:f>
        <x:v>Ready</x:v>
      </x:c>
      <x:c r="D8047" s="6" t="str">
        <x:v>平</x:v>
      </x:c>
      <x:c r="E8047" s="6" t="str"/>
      <x:c r="F8047" s="6" t="str">
        <x:v>上平聲四支</x:v>
      </x:c>
      <x:c r="G8047" s="6" t="str">
        <x:v>Pingshui main list, Wikisource-derived DOCX</x:v>
      </x:c>
      <x:c r="H8047" s="6" t="str"/>
      <x:c r="I8047" s="6" t="str">
        <x:v>Pingshui main-list expansion; 詞 entries ignored</x:v>
      </x:c>
      <x:c r="J8047" s="6" t="str">
        <x:f>IF(B8047="","",IF(AND(ISNUMBER(SEARCH("平",B8047)),OR(ISNUMBER(SEARCH("上",B8047)),ISNUMBER(SEARCH("去",B8047)),ISNUMBER(SEARCH("入",B8047)))),"Ambiguous",IF(ISNUMBER(SEARCH("平",B8047)),"平","仄")))</x:f>
        <x:v>平</x:v>
      </x:c>
      <x:c r="K8047" s="6" t="str">
        <x:f>IF(D8047="","",IF(AND(ISNUMBER(SEARCH("平",D8047)),OR(ISNUMBER(SEARCH("上",D8047)),ISNUMBER(SEARCH("去",D8047)),ISNUMBER(SEARCH("入",D8047)))),"Ambiguous",IF(ISNUMBER(SEARCH("平",D8047)),"平","仄")))</x:f>
        <x:v>平</x:v>
      </x:c>
      <x:c r="L8047" s="7" t="str">
        <x:v>Pingshui main list expansion</x:v>
      </x:c>
    </x:row>
    <x:row r="8048">
      <x:c r="A8048" s="5" t="str">
        <x:v>轞</x:v>
      </x:c>
      <x:c r="B8048" s="6" t="str">
        <x:v>上</x:v>
      </x:c>
      <x:c r="C8048" s="6" t="str">
        <x:f>IF(B8048="","Needs decision","Ready")</x:f>
        <x:v>Ready</x:v>
      </x:c>
      <x:c r="D8048" s="6" t="str">
        <x:v>上</x:v>
      </x:c>
      <x:c r="E8048" s="6" t="str"/>
      <x:c r="F8048" s="6" t="str">
        <x:v>上聲二十九豏</x:v>
      </x:c>
      <x:c r="G8048" s="6" t="str">
        <x:v>Pingshui main list, Wikisource-derived DOCX</x:v>
      </x:c>
      <x:c r="H8048" s="6" t="str"/>
      <x:c r="I8048" s="6" t="str">
        <x:v>Pingshui main-list expansion; 詞 entries ignored</x:v>
      </x:c>
      <x:c r="J8048" s="6" t="str">
        <x:f>IF(B8048="","",IF(AND(ISNUMBER(SEARCH("平",B8048)),OR(ISNUMBER(SEARCH("上",B8048)),ISNUMBER(SEARCH("去",B8048)),ISNUMBER(SEARCH("入",B8048)))),"Ambiguous",IF(ISNUMBER(SEARCH("平",B8048)),"平","仄")))</x:f>
        <x:v>仄</x:v>
      </x:c>
      <x:c r="K8048" s="6" t="str">
        <x:f>IF(D8048="","",IF(AND(ISNUMBER(SEARCH("平",D8048)),OR(ISNUMBER(SEARCH("上",D8048)),ISNUMBER(SEARCH("去",D8048)),ISNUMBER(SEARCH("入",D8048)))),"Ambiguous",IF(ISNUMBER(SEARCH("平",D8048)),"平","仄")))</x:f>
        <x:v>仄</x:v>
      </x:c>
      <x:c r="L8048" s="7" t="str">
        <x:v>Pingshui main list expansion</x:v>
      </x:c>
    </x:row>
    <x:row r="8049">
      <x:c r="A8049" s="5" t="str">
        <x:v>迆</x:v>
      </x:c>
      <x:c r="B8049" s="6" t="str">
        <x:v>平</x:v>
      </x:c>
      <x:c r="C8049" s="6" t="str">
        <x:f>IF(B8049="","Needs decision","Ready")</x:f>
        <x:v>Ready</x:v>
      </x:c>
      <x:c r="D8049" s="6" t="str">
        <x:v>平</x:v>
      </x:c>
      <x:c r="E8049" s="6" t="str"/>
      <x:c r="F8049" s="6" t="str">
        <x:v>上平聲四支</x:v>
      </x:c>
      <x:c r="G8049" s="6" t="str">
        <x:v>Pingshui main list, Wikisource-derived DOCX</x:v>
      </x:c>
      <x:c r="H8049" s="6" t="str"/>
      <x:c r="I8049" s="6" t="str">
        <x:v>Pingshui main-list expansion; 詞 entries ignored</x:v>
      </x:c>
      <x:c r="J8049" s="6" t="str">
        <x:f>IF(B8049="","",IF(AND(ISNUMBER(SEARCH("平",B8049)),OR(ISNUMBER(SEARCH("上",B8049)),ISNUMBER(SEARCH("去",B8049)),ISNUMBER(SEARCH("入",B8049)))),"Ambiguous",IF(ISNUMBER(SEARCH("平",B8049)),"平","仄")))</x:f>
        <x:v>平</x:v>
      </x:c>
      <x:c r="K8049" s="6" t="str">
        <x:f>IF(D8049="","",IF(AND(ISNUMBER(SEARCH("平",D8049)),OR(ISNUMBER(SEARCH("上",D8049)),ISNUMBER(SEARCH("去",D8049)),ISNUMBER(SEARCH("入",D8049)))),"Ambiguous",IF(ISNUMBER(SEARCH("平",D8049)),"平","仄")))</x:f>
        <x:v>平</x:v>
      </x:c>
      <x:c r="L8049" s="7" t="str">
        <x:v>Pingshui main list expansion</x:v>
      </x:c>
    </x:row>
    <x:row r="8050">
      <x:c r="A8050" s="5" t="str">
        <x:v>逭</x:v>
      </x:c>
      <x:c r="B8050" s="6" t="str">
        <x:v>去</x:v>
      </x:c>
      <x:c r="C8050" s="6" t="str">
        <x:f>IF(B8050="","Needs decision","Ready")</x:f>
        <x:v>Ready</x:v>
      </x:c>
      <x:c r="D8050" s="6" t="str">
        <x:v>去</x:v>
      </x:c>
      <x:c r="E8050" s="6" t="str"/>
      <x:c r="F8050" s="6" t="str">
        <x:v>去聲十五翰</x:v>
      </x:c>
      <x:c r="G8050" s="6" t="str">
        <x:v>Pingshui main list, Wikisource-derived DOCX</x:v>
      </x:c>
      <x:c r="H8050" s="6" t="str"/>
      <x:c r="I8050" s="6" t="str">
        <x:v>Pingshui main-list expansion; 詞 entries ignored</x:v>
      </x:c>
      <x:c r="J8050" s="6" t="str">
        <x:f>IF(B8050="","",IF(AND(ISNUMBER(SEARCH("平",B8050)),OR(ISNUMBER(SEARCH("上",B8050)),ISNUMBER(SEARCH("去",B8050)),ISNUMBER(SEARCH("入",B8050)))),"Ambiguous",IF(ISNUMBER(SEARCH("平",B8050)),"平","仄")))</x:f>
        <x:v>仄</x:v>
      </x:c>
      <x:c r="K8050" s="6" t="str">
        <x:f>IF(D8050="","",IF(AND(ISNUMBER(SEARCH("平",D8050)),OR(ISNUMBER(SEARCH("上",D8050)),ISNUMBER(SEARCH("去",D8050)),ISNUMBER(SEARCH("入",D8050)))),"Ambiguous",IF(ISNUMBER(SEARCH("平",D8050)),"平","仄")))</x:f>
        <x:v>仄</x:v>
      </x:c>
      <x:c r="L8050" s="7" t="str">
        <x:v>Pingshui main list expansion</x:v>
      </x:c>
    </x:row>
    <x:row r="8051">
      <x:c r="A8051" s="5" t="str">
        <x:v>遉</x:v>
      </x:c>
      <x:c r="B8051" s="6" t="str">
        <x:v>去</x:v>
      </x:c>
      <x:c r="C8051" s="6" t="str">
        <x:f>IF(B8051="","Needs decision","Ready")</x:f>
        <x:v>Ready</x:v>
      </x:c>
      <x:c r="D8051" s="6" t="str">
        <x:v>去</x:v>
      </x:c>
      <x:c r="E8051" s="6" t="str"/>
      <x:c r="F8051" s="6" t="str">
        <x:v>去聲二十四敬</x:v>
      </x:c>
      <x:c r="G8051" s="6" t="str">
        <x:v>Pingshui main list, Wikisource-derived DOCX</x:v>
      </x:c>
      <x:c r="H8051" s="6" t="str"/>
      <x:c r="I8051" s="6" t="str">
        <x:v>Pingshui main-list expansion; 詞 entries ignored</x:v>
      </x:c>
      <x:c r="J8051" s="6" t="str">
        <x:f>IF(B8051="","",IF(AND(ISNUMBER(SEARCH("平",B8051)),OR(ISNUMBER(SEARCH("上",B8051)),ISNUMBER(SEARCH("去",B8051)),ISNUMBER(SEARCH("入",B8051)))),"Ambiguous",IF(ISNUMBER(SEARCH("平",B8051)),"平","仄")))</x:f>
        <x:v>仄</x:v>
      </x:c>
      <x:c r="K8051" s="6" t="str">
        <x:f>IF(D8051="","",IF(AND(ISNUMBER(SEARCH("平",D8051)),OR(ISNUMBER(SEARCH("上",D8051)),ISNUMBER(SEARCH("去",D8051)),ISNUMBER(SEARCH("入",D8051)))),"Ambiguous",IF(ISNUMBER(SEARCH("平",D8051)),"平","仄")))</x:f>
        <x:v>仄</x:v>
      </x:c>
      <x:c r="L8051" s="7" t="str">
        <x:v>Pingshui main list expansion</x:v>
      </x:c>
    </x:row>
    <x:row r="8052">
      <x:c r="A8052" s="5" t="str">
        <x:v>遶</x:v>
      </x:c>
      <x:c r="B8052" s="6" t="str">
        <x:v>上</x:v>
      </x:c>
      <x:c r="C8052" s="6" t="str">
        <x:f>IF(B8052="","Needs decision","Ready")</x:f>
        <x:v>Ready</x:v>
      </x:c>
      <x:c r="D8052" s="6" t="str">
        <x:v>上</x:v>
      </x:c>
      <x:c r="E8052" s="6" t="str"/>
      <x:c r="F8052" s="6" t="str">
        <x:v>上聲十七篠</x:v>
      </x:c>
      <x:c r="G8052" s="6" t="str">
        <x:v>Pingshui main list, Wikisource-derived DOCX</x:v>
      </x:c>
      <x:c r="H8052" s="6" t="str"/>
      <x:c r="I8052" s="6" t="str">
        <x:v>Pingshui main-list expansion; 詞 entries ignored</x:v>
      </x:c>
      <x:c r="J8052" s="6" t="str">
        <x:f>IF(B8052="","",IF(AND(ISNUMBER(SEARCH("平",B8052)),OR(ISNUMBER(SEARCH("上",B8052)),ISNUMBER(SEARCH("去",B8052)),ISNUMBER(SEARCH("入",B8052)))),"Ambiguous",IF(ISNUMBER(SEARCH("平",B8052)),"平","仄")))</x:f>
        <x:v>仄</x:v>
      </x:c>
      <x:c r="K8052" s="6" t="str">
        <x:f>IF(D8052="","",IF(AND(ISNUMBER(SEARCH("平",D8052)),OR(ISNUMBER(SEARCH("上",D8052)),ISNUMBER(SEARCH("去",D8052)),ISNUMBER(SEARCH("入",D8052)))),"Ambiguous",IF(ISNUMBER(SEARCH("平",D8052)),"平","仄")))</x:f>
        <x:v>仄</x:v>
      </x:c>
      <x:c r="L8052" s="7" t="str">
        <x:v>Pingshui main list expansion</x:v>
      </x:c>
    </x:row>
    <x:row r="8053">
      <x:c r="A8053" s="5" t="str">
        <x:v>遾</x:v>
      </x:c>
      <x:c r="B8053" s="6" t="str">
        <x:v>去</x:v>
      </x:c>
      <x:c r="C8053" s="6" t="str">
        <x:f>IF(B8053="","Needs decision","Ready")</x:f>
        <x:v>Ready</x:v>
      </x:c>
      <x:c r="D8053" s="6" t="str">
        <x:v>去</x:v>
      </x:c>
      <x:c r="E8053" s="6" t="str"/>
      <x:c r="F8053" s="6" t="str">
        <x:v>去聲八霽</x:v>
      </x:c>
      <x:c r="G8053" s="6" t="str">
        <x:v>Pingshui main list, Wikisource-derived DOCX</x:v>
      </x:c>
      <x:c r="H8053" s="6" t="str"/>
      <x:c r="I8053" s="6" t="str">
        <x:v>Pingshui main-list expansion; 詞 entries ignored</x:v>
      </x:c>
      <x:c r="J8053" s="6" t="str">
        <x:f>IF(B8053="","",IF(AND(ISNUMBER(SEARCH("平",B8053)),OR(ISNUMBER(SEARCH("上",B8053)),ISNUMBER(SEARCH("去",B8053)),ISNUMBER(SEARCH("入",B8053)))),"Ambiguous",IF(ISNUMBER(SEARCH("平",B8053)),"平","仄")))</x:f>
        <x:v>仄</x:v>
      </x:c>
      <x:c r="K8053" s="6" t="str">
        <x:f>IF(D8053="","",IF(AND(ISNUMBER(SEARCH("平",D8053)),OR(ISNUMBER(SEARCH("上",D8053)),ISNUMBER(SEARCH("去",D8053)),ISNUMBER(SEARCH("入",D8053)))),"Ambiguous",IF(ISNUMBER(SEARCH("平",D8053)),"平","仄")))</x:f>
        <x:v>仄</x:v>
      </x:c>
      <x:c r="L8053" s="7" t="str">
        <x:v>Pingshui main list expansion</x:v>
      </x:c>
    </x:row>
    <x:row r="8054">
      <x:c r="A8054" s="5" t="str">
        <x:v>邘</x:v>
      </x:c>
      <x:c r="B8054" s="6" t="str">
        <x:v>平</x:v>
      </x:c>
      <x:c r="C8054" s="6" t="str">
        <x:f>IF(B8054="","Needs decision","Ready")</x:f>
        <x:v>Ready</x:v>
      </x:c>
      <x:c r="D8054" s="6" t="str">
        <x:v>平</x:v>
      </x:c>
      <x:c r="E8054" s="6" t="str"/>
      <x:c r="F8054" s="6" t="str">
        <x:v>上平聲七虞</x:v>
      </x:c>
      <x:c r="G8054" s="6" t="str">
        <x:v>Pingshui main list, Wikisource-derived DOCX</x:v>
      </x:c>
      <x:c r="H8054" s="6" t="str"/>
      <x:c r="I8054" s="6" t="str">
        <x:v>Pingshui main-list expansion; 詞 entries ignored</x:v>
      </x:c>
      <x:c r="J8054" s="6" t="str">
        <x:f>IF(B8054="","",IF(AND(ISNUMBER(SEARCH("平",B8054)),OR(ISNUMBER(SEARCH("上",B8054)),ISNUMBER(SEARCH("去",B8054)),ISNUMBER(SEARCH("入",B8054)))),"Ambiguous",IF(ISNUMBER(SEARCH("平",B8054)),"平","仄")))</x:f>
        <x:v>平</x:v>
      </x:c>
      <x:c r="K8054" s="6" t="str">
        <x:f>IF(D8054="","",IF(AND(ISNUMBER(SEARCH("平",D8054)),OR(ISNUMBER(SEARCH("上",D8054)),ISNUMBER(SEARCH("去",D8054)),ISNUMBER(SEARCH("入",D8054)))),"Ambiguous",IF(ISNUMBER(SEARCH("平",D8054)),"平","仄")))</x:f>
        <x:v>平</x:v>
      </x:c>
      <x:c r="L8054" s="7" t="str">
        <x:v>Pingshui main list expansion</x:v>
      </x:c>
    </x:row>
    <x:row r="8055">
      <x:c r="A8055" s="5" t="str">
        <x:v>邡</x:v>
      </x:c>
      <x:c r="B8055" s="6" t="str">
        <x:v>平</x:v>
      </x:c>
      <x:c r="C8055" s="6" t="str">
        <x:f>IF(B8055="","Needs decision","Ready")</x:f>
        <x:v>Ready</x:v>
      </x:c>
      <x:c r="D8055" s="6" t="str">
        <x:v>平</x:v>
      </x:c>
      <x:c r="E8055" s="6" t="str"/>
      <x:c r="F8055" s="6" t="str">
        <x:v>下平聲七陽</x:v>
      </x:c>
      <x:c r="G8055" s="6" t="str">
        <x:v>Pingshui main list, Wikisource-derived DOCX</x:v>
      </x:c>
      <x:c r="H8055" s="6" t="str"/>
      <x:c r="I8055" s="6" t="str">
        <x:v>Pingshui main-list expansion; 詞 entries ignored</x:v>
      </x:c>
      <x:c r="J8055" s="6" t="str">
        <x:f>IF(B8055="","",IF(AND(ISNUMBER(SEARCH("平",B8055)),OR(ISNUMBER(SEARCH("上",B8055)),ISNUMBER(SEARCH("去",B8055)),ISNUMBER(SEARCH("入",B8055)))),"Ambiguous",IF(ISNUMBER(SEARCH("平",B8055)),"平","仄")))</x:f>
        <x:v>平</x:v>
      </x:c>
      <x:c r="K8055" s="6" t="str">
        <x:f>IF(D8055="","",IF(AND(ISNUMBER(SEARCH("平",D8055)),OR(ISNUMBER(SEARCH("上",D8055)),ISNUMBER(SEARCH("去",D8055)),ISNUMBER(SEARCH("入",D8055)))),"Ambiguous",IF(ISNUMBER(SEARCH("平",D8055)),"平","仄")))</x:f>
        <x:v>平</x:v>
      </x:c>
      <x:c r="L8055" s="7" t="str">
        <x:v>Pingshui main list expansion</x:v>
      </x:c>
    </x:row>
    <x:row r="8056">
      <x:c r="A8056" s="5" t="str">
        <x:v>邧</x:v>
      </x:c>
      <x:c r="B8056" s="6" t="str">
        <x:v>平</x:v>
      </x:c>
      <x:c r="C8056" s="6" t="str">
        <x:f>IF(B8056="","Needs decision","Ready")</x:f>
        <x:v>Ready</x:v>
      </x:c>
      <x:c r="D8056" s="6" t="str">
        <x:v>平</x:v>
      </x:c>
      <x:c r="E8056" s="6" t="str"/>
      <x:c r="F8056" s="6" t="str">
        <x:v>上平聲十三元</x:v>
      </x:c>
      <x:c r="G8056" s="6" t="str">
        <x:v>Pingshui main list, Wikisource-derived DOCX</x:v>
      </x:c>
      <x:c r="H8056" s="6" t="str"/>
      <x:c r="I8056" s="6" t="str">
        <x:v>Pingshui main-list expansion; 詞 entries ignored</x:v>
      </x:c>
      <x:c r="J8056" s="6" t="str">
        <x:f>IF(B8056="","",IF(AND(ISNUMBER(SEARCH("平",B8056)),OR(ISNUMBER(SEARCH("上",B8056)),ISNUMBER(SEARCH("去",B8056)),ISNUMBER(SEARCH("入",B8056)))),"Ambiguous",IF(ISNUMBER(SEARCH("平",B8056)),"平","仄")))</x:f>
        <x:v>平</x:v>
      </x:c>
      <x:c r="K8056" s="6" t="str">
        <x:f>IF(D8056="","",IF(AND(ISNUMBER(SEARCH("平",D8056)),OR(ISNUMBER(SEARCH("上",D8056)),ISNUMBER(SEARCH("去",D8056)),ISNUMBER(SEARCH("入",D8056)))),"Ambiguous",IF(ISNUMBER(SEARCH("平",D8056)),"平","仄")))</x:f>
        <x:v>平</x:v>
      </x:c>
      <x:c r="L8056" s="7" t="str">
        <x:v>Pingshui main list expansion</x:v>
      </x:c>
    </x:row>
    <x:row r="8057">
      <x:c r="A8057" s="5" t="str">
        <x:v>邰</x:v>
      </x:c>
      <x:c r="B8057" s="6" t="str">
        <x:v>平</x:v>
      </x:c>
      <x:c r="C8057" s="6" t="str">
        <x:f>IF(B8057="","Needs decision","Ready")</x:f>
        <x:v>Ready</x:v>
      </x:c>
      <x:c r="D8057" s="6" t="str">
        <x:v>平</x:v>
      </x:c>
      <x:c r="E8057" s="6" t="str"/>
      <x:c r="F8057" s="6" t="str">
        <x:v>上平聲十灰</x:v>
      </x:c>
      <x:c r="G8057" s="6" t="str">
        <x:v>Pingshui main list, Wikisource-derived DOCX</x:v>
      </x:c>
      <x:c r="H8057" s="6" t="str"/>
      <x:c r="I8057" s="6" t="str">
        <x:v>Pingshui main-list expansion; 詞 entries ignored</x:v>
      </x:c>
      <x:c r="J8057" s="6" t="str">
        <x:f>IF(B8057="","",IF(AND(ISNUMBER(SEARCH("平",B8057)),OR(ISNUMBER(SEARCH("上",B8057)),ISNUMBER(SEARCH("去",B8057)),ISNUMBER(SEARCH("入",B8057)))),"Ambiguous",IF(ISNUMBER(SEARCH("平",B8057)),"平","仄")))</x:f>
        <x:v>平</x:v>
      </x:c>
      <x:c r="K8057" s="6" t="str">
        <x:f>IF(D8057="","",IF(AND(ISNUMBER(SEARCH("平",D8057)),OR(ISNUMBER(SEARCH("上",D8057)),ISNUMBER(SEARCH("去",D8057)),ISNUMBER(SEARCH("入",D8057)))),"Ambiguous",IF(ISNUMBER(SEARCH("平",D8057)),"平","仄")))</x:f>
        <x:v>平</x:v>
      </x:c>
      <x:c r="L8057" s="7" t="str">
        <x:v>Pingshui main list expansion</x:v>
      </x:c>
    </x:row>
    <x:row r="8058">
      <x:c r="A8058" s="5" t="str">
        <x:v>邿</x:v>
      </x:c>
      <x:c r="B8058" s="6" t="str">
        <x:v>平</x:v>
      </x:c>
      <x:c r="C8058" s="6" t="str">
        <x:f>IF(B8058="","Needs decision","Ready")</x:f>
        <x:v>Ready</x:v>
      </x:c>
      <x:c r="D8058" s="6" t="str">
        <x:v>平</x:v>
      </x:c>
      <x:c r="E8058" s="6" t="str"/>
      <x:c r="F8058" s="6" t="str">
        <x:v>上平聲四支</x:v>
      </x:c>
      <x:c r="G8058" s="6" t="str">
        <x:v>Pingshui main list, Wikisource-derived DOCX</x:v>
      </x:c>
      <x:c r="H8058" s="6" t="str"/>
      <x:c r="I8058" s="6" t="str">
        <x:v>Pingshui main-list expansion; 詞 entries ignored</x:v>
      </x:c>
      <x:c r="J8058" s="6" t="str">
        <x:f>IF(B8058="","",IF(AND(ISNUMBER(SEARCH("平",B8058)),OR(ISNUMBER(SEARCH("上",B8058)),ISNUMBER(SEARCH("去",B8058)),ISNUMBER(SEARCH("入",B8058)))),"Ambiguous",IF(ISNUMBER(SEARCH("平",B8058)),"平","仄")))</x:f>
        <x:v>平</x:v>
      </x:c>
      <x:c r="K8058" s="6" t="str">
        <x:f>IF(D8058="","",IF(AND(ISNUMBER(SEARCH("平",D8058)),OR(ISNUMBER(SEARCH("上",D8058)),ISNUMBER(SEARCH("去",D8058)),ISNUMBER(SEARCH("入",D8058)))),"Ambiguous",IF(ISNUMBER(SEARCH("平",D8058)),"平","仄")))</x:f>
        <x:v>平</x:v>
      </x:c>
      <x:c r="L8058" s="7" t="str">
        <x:v>Pingshui main list expansion</x:v>
      </x:c>
    </x:row>
    <x:row r="8059">
      <x:c r="A8059" s="5" t="str">
        <x:v>郔</x:v>
      </x:c>
      <x:c r="B8059" s="6" t="str">
        <x:v>平</x:v>
      </x:c>
      <x:c r="C8059" s="6" t="str">
        <x:f>IF(B8059="","Needs decision","Ready")</x:f>
        <x:v>Ready</x:v>
      </x:c>
      <x:c r="D8059" s="6" t="str">
        <x:v>平</x:v>
      </x:c>
      <x:c r="E8059" s="6" t="str"/>
      <x:c r="F8059" s="6" t="str">
        <x:v>下平聲一先</x:v>
      </x:c>
      <x:c r="G8059" s="6" t="str">
        <x:v>Pingshui main list, Wikisource-derived DOCX</x:v>
      </x:c>
      <x:c r="H8059" s="6" t="str"/>
      <x:c r="I8059" s="6" t="str">
        <x:v>Pingshui main-list expansion; 詞 entries ignored</x:v>
      </x:c>
      <x:c r="J8059" s="6" t="str">
        <x:f>IF(B8059="","",IF(AND(ISNUMBER(SEARCH("平",B8059)),OR(ISNUMBER(SEARCH("上",B8059)),ISNUMBER(SEARCH("去",B8059)),ISNUMBER(SEARCH("入",B8059)))),"Ambiguous",IF(ISNUMBER(SEARCH("平",B8059)),"平","仄")))</x:f>
        <x:v>平</x:v>
      </x:c>
      <x:c r="K8059" s="6" t="str">
        <x:f>IF(D8059="","",IF(AND(ISNUMBER(SEARCH("平",D8059)),OR(ISNUMBER(SEARCH("上",D8059)),ISNUMBER(SEARCH("去",D8059)),ISNUMBER(SEARCH("入",D8059)))),"Ambiguous",IF(ISNUMBER(SEARCH("平",D8059)),"平","仄")))</x:f>
        <x:v>平</x:v>
      </x:c>
      <x:c r="L8059" s="7" t="str">
        <x:v>Pingshui main list expansion</x:v>
      </x:c>
    </x:row>
    <x:row r="8060">
      <x:c r="A8060" s="5" t="str">
        <x:v>郕</x:v>
      </x:c>
      <x:c r="B8060" s="6" t="str">
        <x:v>平</x:v>
      </x:c>
      <x:c r="C8060" s="6" t="str">
        <x:f>IF(B8060="","Needs decision","Ready")</x:f>
        <x:v>Ready</x:v>
      </x:c>
      <x:c r="D8060" s="6" t="str">
        <x:v>平</x:v>
      </x:c>
      <x:c r="E8060" s="6" t="str"/>
      <x:c r="F8060" s="6" t="str">
        <x:v>下平聲八庚</x:v>
      </x:c>
      <x:c r="G8060" s="6" t="str">
        <x:v>Pingshui main list, Wikisource-derived DOCX</x:v>
      </x:c>
      <x:c r="H8060" s="6" t="str"/>
      <x:c r="I8060" s="6" t="str">
        <x:v>Pingshui main-list expansion; 詞 entries ignored</x:v>
      </x:c>
      <x:c r="J8060" s="6" t="str">
        <x:f>IF(B8060="","",IF(AND(ISNUMBER(SEARCH("平",B8060)),OR(ISNUMBER(SEARCH("上",B8060)),ISNUMBER(SEARCH("去",B8060)),ISNUMBER(SEARCH("入",B8060)))),"Ambiguous",IF(ISNUMBER(SEARCH("平",B8060)),"平","仄")))</x:f>
        <x:v>平</x:v>
      </x:c>
      <x:c r="K8060" s="6" t="str">
        <x:f>IF(D8060="","",IF(AND(ISNUMBER(SEARCH("平",D8060)),OR(ISNUMBER(SEARCH("上",D8060)),ISNUMBER(SEARCH("去",D8060)),ISNUMBER(SEARCH("入",D8060)))),"Ambiguous",IF(ISNUMBER(SEARCH("平",D8060)),"平","仄")))</x:f>
        <x:v>平</x:v>
      </x:c>
      <x:c r="L8060" s="7" t="str">
        <x:v>Pingshui main list expansion</x:v>
      </x:c>
    </x:row>
    <x:row r="8061">
      <x:c r="A8061" s="5" t="str">
        <x:v>郚</x:v>
      </x:c>
      <x:c r="B8061" s="6" t="str">
        <x:v>平</x:v>
      </x:c>
      <x:c r="C8061" s="6" t="str">
        <x:f>IF(B8061="","Needs decision","Ready")</x:f>
        <x:v>Ready</x:v>
      </x:c>
      <x:c r="D8061" s="6" t="str">
        <x:v>平</x:v>
      </x:c>
      <x:c r="E8061" s="6" t="str"/>
      <x:c r="F8061" s="6" t="str">
        <x:v>上平聲七虞</x:v>
      </x:c>
      <x:c r="G8061" s="6" t="str">
        <x:v>Pingshui main list, Wikisource-derived DOCX</x:v>
      </x:c>
      <x:c r="H8061" s="6" t="str"/>
      <x:c r="I8061" s="6" t="str">
        <x:v>Pingshui main-list expansion; 詞 entries ignored</x:v>
      </x:c>
      <x:c r="J8061" s="6" t="str">
        <x:f>IF(B8061="","",IF(AND(ISNUMBER(SEARCH("平",B8061)),OR(ISNUMBER(SEARCH("上",B8061)),ISNUMBER(SEARCH("去",B8061)),ISNUMBER(SEARCH("入",B8061)))),"Ambiguous",IF(ISNUMBER(SEARCH("平",B8061)),"平","仄")))</x:f>
        <x:v>平</x:v>
      </x:c>
      <x:c r="K8061" s="6" t="str">
        <x:f>IF(D8061="","",IF(AND(ISNUMBER(SEARCH("平",D8061)),OR(ISNUMBER(SEARCH("上",D8061)),ISNUMBER(SEARCH("去",D8061)),ISNUMBER(SEARCH("入",D8061)))),"Ambiguous",IF(ISNUMBER(SEARCH("平",D8061)),"平","仄")))</x:f>
        <x:v>平</x:v>
      </x:c>
      <x:c r="L8061" s="7" t="str">
        <x:v>Pingshui main list expansion</x:v>
      </x:c>
    </x:row>
    <x:row r="8062">
      <x:c r="A8062" s="5" t="str">
        <x:v>郝</x:v>
      </x:c>
      <x:c r="B8062" s="6" t="str">
        <x:v>入</x:v>
      </x:c>
      <x:c r="C8062" s="6" t="str">
        <x:f>IF(B8062="","Needs decision","Ready")</x:f>
        <x:v>Ready</x:v>
      </x:c>
      <x:c r="D8062" s="6" t="str">
        <x:v>入</x:v>
      </x:c>
      <x:c r="E8062" s="6" t="str"/>
      <x:c r="F8062" s="6" t="str">
        <x:v>入聲十藥</x:v>
      </x:c>
      <x:c r="G8062" s="6" t="str">
        <x:v>Pingshui main list, Wikisource-derived DOCX</x:v>
      </x:c>
      <x:c r="H8062" s="6" t="str"/>
      <x:c r="I8062" s="6" t="str">
        <x:v>Pingshui main-list expansion; 詞 entries ignored</x:v>
      </x:c>
      <x:c r="J8062" s="6" t="str">
        <x:f>IF(B8062="","",IF(AND(ISNUMBER(SEARCH("平",B8062)),OR(ISNUMBER(SEARCH("上",B8062)),ISNUMBER(SEARCH("去",B8062)),ISNUMBER(SEARCH("入",B8062)))),"Ambiguous",IF(ISNUMBER(SEARCH("平",B8062)),"平","仄")))</x:f>
        <x:v>仄</x:v>
      </x:c>
      <x:c r="K8062" s="6" t="str">
        <x:f>IF(D8062="","",IF(AND(ISNUMBER(SEARCH("平",D8062)),OR(ISNUMBER(SEARCH("上",D8062)),ISNUMBER(SEARCH("去",D8062)),ISNUMBER(SEARCH("入",D8062)))),"Ambiguous",IF(ISNUMBER(SEARCH("平",D8062)),"平","仄")))</x:f>
        <x:v>仄</x:v>
      </x:c>
      <x:c r="L8062" s="7" t="str">
        <x:v>Pingshui main list expansion</x:v>
      </x:c>
    </x:row>
    <x:row r="8063">
      <x:c r="A8063" s="5" t="str">
        <x:v>郟</x:v>
      </x:c>
      <x:c r="B8063" s="6" t="str">
        <x:v>入</x:v>
      </x:c>
      <x:c r="C8063" s="6" t="str">
        <x:f>IF(B8063="","Needs decision","Ready")</x:f>
        <x:v>Ready</x:v>
      </x:c>
      <x:c r="D8063" s="6" t="str">
        <x:v>入</x:v>
      </x:c>
      <x:c r="E8063" s="6" t="str"/>
      <x:c r="F8063" s="6" t="str">
        <x:v>入聲十七洽</x:v>
      </x:c>
      <x:c r="G8063" s="6" t="str">
        <x:v>Pingshui main list, Wikisource-derived DOCX</x:v>
      </x:c>
      <x:c r="H8063" s="6" t="str"/>
      <x:c r="I8063" s="6" t="str">
        <x:v>Pingshui main-list expansion; 詞 entries ignored</x:v>
      </x:c>
      <x:c r="J8063" s="6" t="str">
        <x:f>IF(B8063="","",IF(AND(ISNUMBER(SEARCH("平",B8063)),OR(ISNUMBER(SEARCH("上",B8063)),ISNUMBER(SEARCH("去",B8063)),ISNUMBER(SEARCH("入",B8063)))),"Ambiguous",IF(ISNUMBER(SEARCH("平",B8063)),"平","仄")))</x:f>
        <x:v>仄</x:v>
      </x:c>
      <x:c r="K8063" s="6" t="str">
        <x:f>IF(D8063="","",IF(AND(ISNUMBER(SEARCH("平",D8063)),OR(ISNUMBER(SEARCH("上",D8063)),ISNUMBER(SEARCH("去",D8063)),ISNUMBER(SEARCH("入",D8063)))),"Ambiguous",IF(ISNUMBER(SEARCH("平",D8063)),"平","仄")))</x:f>
        <x:v>仄</x:v>
      </x:c>
      <x:c r="L8063" s="7" t="str">
        <x:v>Pingshui main list expansion</x:v>
      </x:c>
    </x:row>
    <x:row r="8064">
      <x:c r="A8064" s="5" t="str">
        <x:v>郲</x:v>
      </x:c>
      <x:c r="B8064" s="6" t="str">
        <x:v>平</x:v>
      </x:c>
      <x:c r="C8064" s="6" t="str">
        <x:f>IF(B8064="","Needs decision","Ready")</x:f>
        <x:v>Ready</x:v>
      </x:c>
      <x:c r="D8064" s="6" t="str">
        <x:v>平</x:v>
      </x:c>
      <x:c r="E8064" s="6" t="str"/>
      <x:c r="F8064" s="6" t="str">
        <x:v>上平聲十灰</x:v>
      </x:c>
      <x:c r="G8064" s="6" t="str">
        <x:v>Pingshui main list, Wikisource-derived DOCX</x:v>
      </x:c>
      <x:c r="H8064" s="6" t="str"/>
      <x:c r="I8064" s="6" t="str">
        <x:v>Pingshui main-list expansion; 詞 entries ignored</x:v>
      </x:c>
      <x:c r="J8064" s="6" t="str">
        <x:f>IF(B8064="","",IF(AND(ISNUMBER(SEARCH("平",B8064)),OR(ISNUMBER(SEARCH("上",B8064)),ISNUMBER(SEARCH("去",B8064)),ISNUMBER(SEARCH("入",B8064)))),"Ambiguous",IF(ISNUMBER(SEARCH("平",B8064)),"平","仄")))</x:f>
        <x:v>平</x:v>
      </x:c>
      <x:c r="K8064" s="6" t="str">
        <x:f>IF(D8064="","",IF(AND(ISNUMBER(SEARCH("平",D8064)),OR(ISNUMBER(SEARCH("上",D8064)),ISNUMBER(SEARCH("去",D8064)),ISNUMBER(SEARCH("入",D8064)))),"Ambiguous",IF(ISNUMBER(SEARCH("平",D8064)),"平","仄")))</x:f>
        <x:v>平</x:v>
      </x:c>
      <x:c r="L8064" s="7" t="str">
        <x:v>Pingshui main list expansion</x:v>
      </x:c>
    </x:row>
    <x:row r="8065">
      <x:c r="A8065" s="5" t="str">
        <x:v>鄁</x:v>
      </x:c>
      <x:c r="B8065" s="6" t="str">
        <x:v>去</x:v>
      </x:c>
      <x:c r="C8065" s="6" t="str">
        <x:f>IF(B8065="","Needs decision","Ready")</x:f>
        <x:v>Ready</x:v>
      </x:c>
      <x:c r="D8065" s="6" t="str">
        <x:v>去</x:v>
      </x:c>
      <x:c r="E8065" s="6" t="str"/>
      <x:c r="F8065" s="6" t="str">
        <x:v>去聲十一隊</x:v>
      </x:c>
      <x:c r="G8065" s="6" t="str">
        <x:v>Pingshui main list, Wikisource-derived DOCX</x:v>
      </x:c>
      <x:c r="H8065" s="6" t="str"/>
      <x:c r="I8065" s="6" t="str">
        <x:v>Pingshui main-list expansion; 詞 entries ignored</x:v>
      </x:c>
      <x:c r="J8065" s="6" t="str">
        <x:f>IF(B8065="","",IF(AND(ISNUMBER(SEARCH("平",B8065)),OR(ISNUMBER(SEARCH("上",B8065)),ISNUMBER(SEARCH("去",B8065)),ISNUMBER(SEARCH("入",B8065)))),"Ambiguous",IF(ISNUMBER(SEARCH("平",B8065)),"平","仄")))</x:f>
        <x:v>仄</x:v>
      </x:c>
      <x:c r="K8065" s="6" t="str">
        <x:f>IF(D8065="","",IF(AND(ISNUMBER(SEARCH("平",D8065)),OR(ISNUMBER(SEARCH("上",D8065)),ISNUMBER(SEARCH("去",D8065)),ISNUMBER(SEARCH("入",D8065)))),"Ambiguous",IF(ISNUMBER(SEARCH("平",D8065)),"平","仄")))</x:f>
        <x:v>仄</x:v>
      </x:c>
      <x:c r="L8065" s="7" t="str">
        <x:v>Pingshui main list expansion</x:v>
      </x:c>
    </x:row>
    <x:row r="8066">
      <x:c r="A8066" s="5" t="str">
        <x:v>鄅</x:v>
      </x:c>
      <x:c r="B8066" s="6" t="str">
        <x:v>上</x:v>
      </x:c>
      <x:c r="C8066" s="6" t="str">
        <x:f>IF(B8066="","Needs decision","Ready")</x:f>
        <x:v>Ready</x:v>
      </x:c>
      <x:c r="D8066" s="6" t="str">
        <x:v>上</x:v>
      </x:c>
      <x:c r="E8066" s="6" t="str"/>
      <x:c r="F8066" s="6" t="str">
        <x:v>上聲七麌</x:v>
      </x:c>
      <x:c r="G8066" s="6" t="str">
        <x:v>Pingshui main list, Wikisource-derived DOCX</x:v>
      </x:c>
      <x:c r="H8066" s="6" t="str"/>
      <x:c r="I8066" s="6" t="str">
        <x:v>Pingshui main-list expansion; 詞 entries ignored</x:v>
      </x:c>
      <x:c r="J8066" s="6" t="str">
        <x:f>IF(B8066="","",IF(AND(ISNUMBER(SEARCH("平",B8066)),OR(ISNUMBER(SEARCH("上",B8066)),ISNUMBER(SEARCH("去",B8066)),ISNUMBER(SEARCH("入",B8066)))),"Ambiguous",IF(ISNUMBER(SEARCH("平",B8066)),"平","仄")))</x:f>
        <x:v>仄</x:v>
      </x:c>
      <x:c r="K8066" s="6" t="str">
        <x:f>IF(D8066="","",IF(AND(ISNUMBER(SEARCH("平",D8066)),OR(ISNUMBER(SEARCH("上",D8066)),ISNUMBER(SEARCH("去",D8066)),ISNUMBER(SEARCH("入",D8066)))),"Ambiguous",IF(ISNUMBER(SEARCH("平",D8066)),"平","仄")))</x:f>
        <x:v>仄</x:v>
      </x:c>
      <x:c r="L8066" s="7" t="str">
        <x:v>Pingshui main list expansion</x:v>
      </x:c>
    </x:row>
    <x:row r="8067">
      <x:c r="A8067" s="5" t="str">
        <x:v>鄆</x:v>
      </x:c>
      <x:c r="B8067" s="6" t="str">
        <x:v>去</x:v>
      </x:c>
      <x:c r="C8067" s="6" t="str">
        <x:f>IF(B8067="","Needs decision","Ready")</x:f>
        <x:v>Ready</x:v>
      </x:c>
      <x:c r="D8067" s="6" t="str">
        <x:v>去</x:v>
      </x:c>
      <x:c r="E8067" s="6" t="str"/>
      <x:c r="F8067" s="6" t="str">
        <x:v>去聲十三問</x:v>
      </x:c>
      <x:c r="G8067" s="6" t="str">
        <x:v>Pingshui main list, Wikisource-derived DOCX</x:v>
      </x:c>
      <x:c r="H8067" s="6" t="str"/>
      <x:c r="I8067" s="6" t="str">
        <x:v>Pingshui main-list expansion; 詞 entries ignored</x:v>
      </x:c>
      <x:c r="J8067" s="6" t="str">
        <x:f>IF(B8067="","",IF(AND(ISNUMBER(SEARCH("平",B8067)),OR(ISNUMBER(SEARCH("上",B8067)),ISNUMBER(SEARCH("去",B8067)),ISNUMBER(SEARCH("入",B8067)))),"Ambiguous",IF(ISNUMBER(SEARCH("平",B8067)),"平","仄")))</x:f>
        <x:v>仄</x:v>
      </x:c>
      <x:c r="K8067" s="6" t="str">
        <x:f>IF(D8067="","",IF(AND(ISNUMBER(SEARCH("平",D8067)),OR(ISNUMBER(SEARCH("上",D8067)),ISNUMBER(SEARCH("去",D8067)),ISNUMBER(SEARCH("入",D8067)))),"Ambiguous",IF(ISNUMBER(SEARCH("平",D8067)),"平","仄")))</x:f>
        <x:v>仄</x:v>
      </x:c>
      <x:c r="L8067" s="7" t="str">
        <x:v>Pingshui main list expansion</x:v>
      </x:c>
    </x:row>
    <x:row r="8068">
      <x:c r="A8068" s="5" t="str">
        <x:v>鄇</x:v>
      </x:c>
      <x:c r="B8068" s="6" t="str">
        <x:v>平</x:v>
      </x:c>
      <x:c r="C8068" s="6" t="str">
        <x:f>IF(B8068="","Needs decision","Ready")</x:f>
        <x:v>Ready</x:v>
      </x:c>
      <x:c r="D8068" s="6" t="str">
        <x:v>平</x:v>
      </x:c>
      <x:c r="E8068" s="6" t="str"/>
      <x:c r="F8068" s="6" t="str">
        <x:v>下平聲十一尤</x:v>
      </x:c>
      <x:c r="G8068" s="6" t="str">
        <x:v>Pingshui main list, Wikisource-derived DOCX</x:v>
      </x:c>
      <x:c r="H8068" s="6" t="str"/>
      <x:c r="I8068" s="6" t="str">
        <x:v>Pingshui main-list expansion; 詞 entries ignored</x:v>
      </x:c>
      <x:c r="J8068" s="6" t="str">
        <x:f>IF(B8068="","",IF(AND(ISNUMBER(SEARCH("平",B8068)),OR(ISNUMBER(SEARCH("上",B8068)),ISNUMBER(SEARCH("去",B8068)),ISNUMBER(SEARCH("入",B8068)))),"Ambiguous",IF(ISNUMBER(SEARCH("平",B8068)),"平","仄")))</x:f>
        <x:v>平</x:v>
      </x:c>
      <x:c r="K8068" s="6" t="str">
        <x:f>IF(D8068="","",IF(AND(ISNUMBER(SEARCH("平",D8068)),OR(ISNUMBER(SEARCH("上",D8068)),ISNUMBER(SEARCH("去",D8068)),ISNUMBER(SEARCH("入",D8068)))),"Ambiguous",IF(ISNUMBER(SEARCH("平",D8068)),"平","仄")))</x:f>
        <x:v>平</x:v>
      </x:c>
      <x:c r="L8068" s="7" t="str">
        <x:v>Pingshui main list expansion</x:v>
      </x:c>
    </x:row>
    <x:row r="8069">
      <x:c r="A8069" s="5" t="str">
        <x:v>鄈</x:v>
      </x:c>
      <x:c r="B8069" s="6" t="str">
        <x:v>平</x:v>
      </x:c>
      <x:c r="C8069" s="6" t="str">
        <x:f>IF(B8069="","Needs decision","Ready")</x:f>
        <x:v>Ready</x:v>
      </x:c>
      <x:c r="D8069" s="6" t="str">
        <x:v>平</x:v>
      </x:c>
      <x:c r="E8069" s="6" t="str"/>
      <x:c r="F8069" s="6" t="str">
        <x:v>上平聲四支</x:v>
      </x:c>
      <x:c r="G8069" s="6" t="str">
        <x:v>Pingshui main list, Wikisource-derived DOCX</x:v>
      </x:c>
      <x:c r="H8069" s="6" t="str"/>
      <x:c r="I8069" s="6" t="str">
        <x:v>Pingshui main-list expansion; 詞 entries ignored</x:v>
      </x:c>
      <x:c r="J8069" s="6" t="str">
        <x:f>IF(B8069="","",IF(AND(ISNUMBER(SEARCH("平",B8069)),OR(ISNUMBER(SEARCH("上",B8069)),ISNUMBER(SEARCH("去",B8069)),ISNUMBER(SEARCH("入",B8069)))),"Ambiguous",IF(ISNUMBER(SEARCH("平",B8069)),"平","仄")))</x:f>
        <x:v>平</x:v>
      </x:c>
      <x:c r="K8069" s="6" t="str">
        <x:f>IF(D8069="","",IF(AND(ISNUMBER(SEARCH("平",D8069)),OR(ISNUMBER(SEARCH("上",D8069)),ISNUMBER(SEARCH("去",D8069)),ISNUMBER(SEARCH("入",D8069)))),"Ambiguous",IF(ISNUMBER(SEARCH("平",D8069)),"平","仄")))</x:f>
        <x:v>平</x:v>
      </x:c>
      <x:c r="L8069" s="7" t="str">
        <x:v>Pingshui main list expansion</x:v>
      </x:c>
    </x:row>
    <x:row r="8070">
      <x:c r="A8070" s="5" t="str">
        <x:v>鄏</x:v>
      </x:c>
      <x:c r="B8070" s="6" t="str">
        <x:v>入</x:v>
      </x:c>
      <x:c r="C8070" s="6" t="str">
        <x:f>IF(B8070="","Needs decision","Ready")</x:f>
        <x:v>Ready</x:v>
      </x:c>
      <x:c r="D8070" s="6" t="str">
        <x:v>入</x:v>
      </x:c>
      <x:c r="E8070" s="6" t="str"/>
      <x:c r="F8070" s="6" t="str">
        <x:v>入聲二沃</x:v>
      </x:c>
      <x:c r="G8070" s="6" t="str">
        <x:v>Pingshui main list, Wikisource-derived DOCX</x:v>
      </x:c>
      <x:c r="H8070" s="6" t="str"/>
      <x:c r="I8070" s="6" t="str">
        <x:v>Pingshui main-list expansion; 詞 entries ignored</x:v>
      </x:c>
      <x:c r="J8070" s="6" t="str">
        <x:f>IF(B8070="","",IF(AND(ISNUMBER(SEARCH("平",B8070)),OR(ISNUMBER(SEARCH("上",B8070)),ISNUMBER(SEARCH("去",B8070)),ISNUMBER(SEARCH("入",B8070)))),"Ambiguous",IF(ISNUMBER(SEARCH("平",B8070)),"平","仄")))</x:f>
        <x:v>仄</x:v>
      </x:c>
      <x:c r="K8070" s="6" t="str">
        <x:f>IF(D8070="","",IF(AND(ISNUMBER(SEARCH("平",D8070)),OR(ISNUMBER(SEARCH("上",D8070)),ISNUMBER(SEARCH("去",D8070)),ISNUMBER(SEARCH("入",D8070)))),"Ambiguous",IF(ISNUMBER(SEARCH("平",D8070)),"平","仄")))</x:f>
        <x:v>仄</x:v>
      </x:c>
      <x:c r="L8070" s="7" t="str">
        <x:v>Pingshui main list expansion</x:v>
      </x:c>
    </x:row>
    <x:row r="8071">
      <x:c r="A8071" s="5" t="str">
        <x:v>鄑</x:v>
      </x:c>
      <x:c r="B8071" s="6" t="str">
        <x:v>平</x:v>
      </x:c>
      <x:c r="C8071" s="6" t="str">
        <x:f>IF(B8071="","Needs decision","Ready")</x:f>
        <x:v>Ready</x:v>
      </x:c>
      <x:c r="D8071" s="6" t="str">
        <x:v>平</x:v>
      </x:c>
      <x:c r="E8071" s="6" t="str"/>
      <x:c r="F8071" s="6" t="str">
        <x:v>上平聲四支</x:v>
      </x:c>
      <x:c r="G8071" s="6" t="str">
        <x:v>Pingshui main list, Wikisource-derived DOCX</x:v>
      </x:c>
      <x:c r="H8071" s="6" t="str"/>
      <x:c r="I8071" s="6" t="str">
        <x:v>Pingshui main-list expansion; 詞 entries ignored</x:v>
      </x:c>
      <x:c r="J8071" s="6" t="str">
        <x:f>IF(B8071="","",IF(AND(ISNUMBER(SEARCH("平",B8071)),OR(ISNUMBER(SEARCH("上",B8071)),ISNUMBER(SEARCH("去",B8071)),ISNUMBER(SEARCH("入",B8071)))),"Ambiguous",IF(ISNUMBER(SEARCH("平",B8071)),"平","仄")))</x:f>
        <x:v>平</x:v>
      </x:c>
      <x:c r="K8071" s="6" t="str">
        <x:f>IF(D8071="","",IF(AND(ISNUMBER(SEARCH("平",D8071)),OR(ISNUMBER(SEARCH("上",D8071)),ISNUMBER(SEARCH("去",D8071)),ISNUMBER(SEARCH("入",D8071)))),"Ambiguous",IF(ISNUMBER(SEARCH("平",D8071)),"平","仄")))</x:f>
        <x:v>平</x:v>
      </x:c>
      <x:c r="L8071" s="7" t="str">
        <x:v>Pingshui main list expansion</x:v>
      </x:c>
    </x:row>
    <x:row r="8072">
      <x:c r="A8072" s="5" t="str">
        <x:v>鄔</x:v>
      </x:c>
      <x:c r="B8072" s="6" t="str">
        <x:v>上</x:v>
      </x:c>
      <x:c r="C8072" s="6" t="str">
        <x:f>IF(B8072="","Needs decision","Ready")</x:f>
        <x:v>Ready</x:v>
      </x:c>
      <x:c r="D8072" s="6" t="str">
        <x:v>上</x:v>
      </x:c>
      <x:c r="E8072" s="6" t="str"/>
      <x:c r="F8072" s="6" t="str">
        <x:v>上聲七麌</x:v>
      </x:c>
      <x:c r="G8072" s="6" t="str">
        <x:v>Pingshui main list, Wikisource-derived DOCX</x:v>
      </x:c>
      <x:c r="H8072" s="6" t="str"/>
      <x:c r="I8072" s="6" t="str">
        <x:v>Pingshui main-list expansion; 詞 entries ignored</x:v>
      </x:c>
      <x:c r="J8072" s="6" t="str">
        <x:f>IF(B8072="","",IF(AND(ISNUMBER(SEARCH("平",B8072)),OR(ISNUMBER(SEARCH("上",B8072)),ISNUMBER(SEARCH("去",B8072)),ISNUMBER(SEARCH("入",B8072)))),"Ambiguous",IF(ISNUMBER(SEARCH("平",B8072)),"平","仄")))</x:f>
        <x:v>仄</x:v>
      </x:c>
      <x:c r="K8072" s="6" t="str">
        <x:f>IF(D8072="","",IF(AND(ISNUMBER(SEARCH("平",D8072)),OR(ISNUMBER(SEARCH("上",D8072)),ISNUMBER(SEARCH("去",D8072)),ISNUMBER(SEARCH("入",D8072)))),"Ambiguous",IF(ISNUMBER(SEARCH("平",D8072)),"平","仄")))</x:f>
        <x:v>仄</x:v>
      </x:c>
      <x:c r="L8072" s="7" t="str">
        <x:v>Pingshui main list expansion</x:v>
      </x:c>
    </x:row>
    <x:row r="8073">
      <x:c r="A8073" s="5" t="str">
        <x:v>鄘</x:v>
      </x:c>
      <x:c r="B8073" s="6" t="str">
        <x:v>平</x:v>
      </x:c>
      <x:c r="C8073" s="6" t="str">
        <x:f>IF(B8073="","Needs decision","Ready")</x:f>
        <x:v>Ready</x:v>
      </x:c>
      <x:c r="D8073" s="6" t="str">
        <x:v>平</x:v>
      </x:c>
      <x:c r="E8073" s="6" t="str"/>
      <x:c r="F8073" s="6" t="str">
        <x:v>上平聲二冬</x:v>
      </x:c>
      <x:c r="G8073" s="6" t="str">
        <x:v>Pingshui main list, Wikisource-derived DOCX</x:v>
      </x:c>
      <x:c r="H8073" s="6" t="str"/>
      <x:c r="I8073" s="6" t="str">
        <x:v>Pingshui main-list expansion; 詞 entries ignored</x:v>
      </x:c>
      <x:c r="J8073" s="6" t="str">
        <x:f>IF(B8073="","",IF(AND(ISNUMBER(SEARCH("平",B8073)),OR(ISNUMBER(SEARCH("上",B8073)),ISNUMBER(SEARCH("去",B8073)),ISNUMBER(SEARCH("入",B8073)))),"Ambiguous",IF(ISNUMBER(SEARCH("平",B8073)),"平","仄")))</x:f>
        <x:v>平</x:v>
      </x:c>
      <x:c r="K8073" s="6" t="str">
        <x:f>IF(D8073="","",IF(AND(ISNUMBER(SEARCH("平",D8073)),OR(ISNUMBER(SEARCH("上",D8073)),ISNUMBER(SEARCH("去",D8073)),ISNUMBER(SEARCH("入",D8073)))),"Ambiguous",IF(ISNUMBER(SEARCH("平",D8073)),"平","仄")))</x:f>
        <x:v>平</x:v>
      </x:c>
      <x:c r="L8073" s="7" t="str">
        <x:v>Pingshui main list expansion</x:v>
      </x:c>
    </x:row>
    <x:row r="8074">
      <x:c r="A8074" s="5" t="str">
        <x:v>鄛</x:v>
      </x:c>
      <x:c r="B8074" s="6" t="str">
        <x:v>平</x:v>
      </x:c>
      <x:c r="C8074" s="6" t="str">
        <x:f>IF(B8074="","Needs decision","Ready")</x:f>
        <x:v>Ready</x:v>
      </x:c>
      <x:c r="D8074" s="6" t="str">
        <x:v>平</x:v>
      </x:c>
      <x:c r="E8074" s="6" t="str"/>
      <x:c r="F8074" s="6" t="str">
        <x:v>下平聲三肴</x:v>
      </x:c>
      <x:c r="G8074" s="6" t="str">
        <x:v>Pingshui main list, Wikisource-derived DOCX</x:v>
      </x:c>
      <x:c r="H8074" s="6" t="str"/>
      <x:c r="I8074" s="6" t="str">
        <x:v>Pingshui main-list expansion; 詞 entries ignored</x:v>
      </x:c>
      <x:c r="J8074" s="6" t="str">
        <x:f>IF(B8074="","",IF(AND(ISNUMBER(SEARCH("平",B8074)),OR(ISNUMBER(SEARCH("上",B8074)),ISNUMBER(SEARCH("去",B8074)),ISNUMBER(SEARCH("入",B8074)))),"Ambiguous",IF(ISNUMBER(SEARCH("平",B8074)),"平","仄")))</x:f>
        <x:v>平</x:v>
      </x:c>
      <x:c r="K8074" s="6" t="str">
        <x:f>IF(D8074="","",IF(AND(ISNUMBER(SEARCH("平",D8074)),OR(ISNUMBER(SEARCH("上",D8074)),ISNUMBER(SEARCH("去",D8074)),ISNUMBER(SEARCH("入",D8074)))),"Ambiguous",IF(ISNUMBER(SEARCH("平",D8074)),"平","仄")))</x:f>
        <x:v>平</x:v>
      </x:c>
      <x:c r="L8074" s="7" t="str">
        <x:v>Pingshui main list expansion</x:v>
      </x:c>
    </x:row>
    <x:row r="8075">
      <x:c r="A8075" s="5" t="str">
        <x:v>鄟</x:v>
      </x:c>
      <x:c r="B8075" s="6" t="str">
        <x:v>上</x:v>
      </x:c>
      <x:c r="C8075" s="6" t="str">
        <x:f>IF(B8075="","Needs decision","Ready")</x:f>
        <x:v>Ready</x:v>
      </x:c>
      <x:c r="D8075" s="6" t="str">
        <x:v>上</x:v>
      </x:c>
      <x:c r="E8075" s="6" t="str"/>
      <x:c r="F8075" s="6" t="str">
        <x:v>上聲十六銑</x:v>
      </x:c>
      <x:c r="G8075" s="6" t="str">
        <x:v>Pingshui main list, Wikisource-derived DOCX</x:v>
      </x:c>
      <x:c r="H8075" s="6" t="str"/>
      <x:c r="I8075" s="6" t="str">
        <x:v>Pingshui main-list expansion; 詞 entries ignored</x:v>
      </x:c>
      <x:c r="J8075" s="6" t="str">
        <x:f>IF(B8075="","",IF(AND(ISNUMBER(SEARCH("平",B8075)),OR(ISNUMBER(SEARCH("上",B8075)),ISNUMBER(SEARCH("去",B8075)),ISNUMBER(SEARCH("入",B8075)))),"Ambiguous",IF(ISNUMBER(SEARCH("平",B8075)),"平","仄")))</x:f>
        <x:v>仄</x:v>
      </x:c>
      <x:c r="K8075" s="6" t="str">
        <x:f>IF(D8075="","",IF(AND(ISNUMBER(SEARCH("平",D8075)),OR(ISNUMBER(SEARCH("上",D8075)),ISNUMBER(SEARCH("去",D8075)),ISNUMBER(SEARCH("入",D8075)))),"Ambiguous",IF(ISNUMBER(SEARCH("平",D8075)),"平","仄")))</x:f>
        <x:v>仄</x:v>
      </x:c>
      <x:c r="L8075" s="7" t="str">
        <x:v>Pingshui main list expansion</x:v>
      </x:c>
    </x:row>
    <x:row r="8076">
      <x:c r="A8076" s="5" t="str">
        <x:v>鄪</x:v>
      </x:c>
      <x:c r="B8076" s="6" t="str">
        <x:v>去</x:v>
      </x:c>
      <x:c r="C8076" s="6" t="str">
        <x:f>IF(B8076="","Needs decision","Ready")</x:f>
        <x:v>Ready</x:v>
      </x:c>
      <x:c r="D8076" s="6" t="str">
        <x:v>去</x:v>
      </x:c>
      <x:c r="E8076" s="6" t="str"/>
      <x:c r="F8076" s="6" t="str">
        <x:v>去聲四寘</x:v>
      </x:c>
      <x:c r="G8076" s="6" t="str">
        <x:v>Pingshui main list, Wikisource-derived DOCX</x:v>
      </x:c>
      <x:c r="H8076" s="6" t="str"/>
      <x:c r="I8076" s="6" t="str">
        <x:v>Pingshui main-list expansion; 詞 entries ignored</x:v>
      </x:c>
      <x:c r="J8076" s="6" t="str">
        <x:f>IF(B8076="","",IF(AND(ISNUMBER(SEARCH("平",B8076)),OR(ISNUMBER(SEARCH("上",B8076)),ISNUMBER(SEARCH("去",B8076)),ISNUMBER(SEARCH("入",B8076)))),"Ambiguous",IF(ISNUMBER(SEARCH("平",B8076)),"平","仄")))</x:f>
        <x:v>仄</x:v>
      </x:c>
      <x:c r="K8076" s="6" t="str">
        <x:f>IF(D8076="","",IF(AND(ISNUMBER(SEARCH("平",D8076)),OR(ISNUMBER(SEARCH("上",D8076)),ISNUMBER(SEARCH("去",D8076)),ISNUMBER(SEARCH("入",D8076)))),"Ambiguous",IF(ISNUMBER(SEARCH("平",D8076)),"平","仄")))</x:f>
        <x:v>仄</x:v>
      </x:c>
      <x:c r="L8076" s="7" t="str">
        <x:v>Pingshui main list expansion</x:v>
      </x:c>
    </x:row>
    <x:row r="8077">
      <x:c r="A8077" s="5" t="str">
        <x:v>鄮</x:v>
      </x:c>
      <x:c r="B8077" s="6" t="str">
        <x:v>去</x:v>
      </x:c>
      <x:c r="C8077" s="6" t="str">
        <x:f>IF(B8077="","Needs decision","Ready")</x:f>
        <x:v>Ready</x:v>
      </x:c>
      <x:c r="D8077" s="6" t="str">
        <x:v>去</x:v>
      </x:c>
      <x:c r="E8077" s="6" t="str"/>
      <x:c r="F8077" s="6" t="str">
        <x:v>去聲二十六宥</x:v>
      </x:c>
      <x:c r="G8077" s="6" t="str">
        <x:v>Pingshui main list, Wikisource-derived DOCX</x:v>
      </x:c>
      <x:c r="H8077" s="6" t="str"/>
      <x:c r="I8077" s="6" t="str">
        <x:v>Pingshui main-list expansion; 詞 entries ignored</x:v>
      </x:c>
      <x:c r="J8077" s="6" t="str">
        <x:f>IF(B8077="","",IF(AND(ISNUMBER(SEARCH("平",B8077)),OR(ISNUMBER(SEARCH("上",B8077)),ISNUMBER(SEARCH("去",B8077)),ISNUMBER(SEARCH("入",B8077)))),"Ambiguous",IF(ISNUMBER(SEARCH("平",B8077)),"平","仄")))</x:f>
        <x:v>仄</x:v>
      </x:c>
      <x:c r="K8077" s="6" t="str">
        <x:f>IF(D8077="","",IF(AND(ISNUMBER(SEARCH("平",D8077)),OR(ISNUMBER(SEARCH("上",D8077)),ISNUMBER(SEARCH("去",D8077)),ISNUMBER(SEARCH("入",D8077)))),"Ambiguous",IF(ISNUMBER(SEARCH("平",D8077)),"平","仄")))</x:f>
        <x:v>仄</x:v>
      </x:c>
      <x:c r="L8077" s="7" t="str">
        <x:v>Pingshui main list expansion</x:v>
      </x:c>
    </x:row>
    <x:row r="8078">
      <x:c r="A8078" s="5" t="str">
        <x:v>鄯</x:v>
      </x:c>
      <x:c r="B8078" s="6" t="str">
        <x:v>去</x:v>
      </x:c>
      <x:c r="C8078" s="6" t="str">
        <x:f>IF(B8078="","Needs decision","Ready")</x:f>
        <x:v>Ready</x:v>
      </x:c>
      <x:c r="D8078" s="6" t="str">
        <x:v>去</x:v>
      </x:c>
      <x:c r="E8078" s="6" t="str"/>
      <x:c r="F8078" s="6" t="str">
        <x:v>去聲十七霰</x:v>
      </x:c>
      <x:c r="G8078" s="6" t="str">
        <x:v>Pingshui main list, Wikisource-derived DOCX</x:v>
      </x:c>
      <x:c r="H8078" s="6" t="str"/>
      <x:c r="I8078" s="6" t="str">
        <x:v>Pingshui main-list expansion; 詞 entries ignored</x:v>
      </x:c>
      <x:c r="J8078" s="6" t="str">
        <x:f>IF(B8078="","",IF(AND(ISNUMBER(SEARCH("平",B8078)),OR(ISNUMBER(SEARCH("上",B8078)),ISNUMBER(SEARCH("去",B8078)),ISNUMBER(SEARCH("入",B8078)))),"Ambiguous",IF(ISNUMBER(SEARCH("平",B8078)),"平","仄")))</x:f>
        <x:v>仄</x:v>
      </x:c>
      <x:c r="K8078" s="6" t="str">
        <x:f>IF(D8078="","",IF(AND(ISNUMBER(SEARCH("平",D8078)),OR(ISNUMBER(SEARCH("上",D8078)),ISNUMBER(SEARCH("去",D8078)),ISNUMBER(SEARCH("入",D8078)))),"Ambiguous",IF(ISNUMBER(SEARCH("平",D8078)),"平","仄")))</x:f>
        <x:v>仄</x:v>
      </x:c>
      <x:c r="L8078" s="7" t="str">
        <x:v>Pingshui main list expansion</x:v>
      </x:c>
    </x:row>
    <x:row r="8079">
      <x:c r="A8079" s="5" t="str">
        <x:v>鄾</x:v>
      </x:c>
      <x:c r="B8079" s="6" t="str">
        <x:v>平</x:v>
      </x:c>
      <x:c r="C8079" s="6" t="str">
        <x:f>IF(B8079="","Needs decision","Ready")</x:f>
        <x:v>Ready</x:v>
      </x:c>
      <x:c r="D8079" s="6" t="str">
        <x:v>平</x:v>
      </x:c>
      <x:c r="E8079" s="6" t="str"/>
      <x:c r="F8079" s="6" t="str">
        <x:v>下平聲十一尤</x:v>
      </x:c>
      <x:c r="G8079" s="6" t="str">
        <x:v>Pingshui main list, Wikisource-derived DOCX</x:v>
      </x:c>
      <x:c r="H8079" s="6" t="str"/>
      <x:c r="I8079" s="6" t="str">
        <x:v>Pingshui main-list expansion; 詞 entries ignored</x:v>
      </x:c>
      <x:c r="J8079" s="6" t="str">
        <x:f>IF(B8079="","",IF(AND(ISNUMBER(SEARCH("平",B8079)),OR(ISNUMBER(SEARCH("上",B8079)),ISNUMBER(SEARCH("去",B8079)),ISNUMBER(SEARCH("入",B8079)))),"Ambiguous",IF(ISNUMBER(SEARCH("平",B8079)),"平","仄")))</x:f>
        <x:v>平</x:v>
      </x:c>
      <x:c r="K8079" s="6" t="str">
        <x:f>IF(D8079="","",IF(AND(ISNUMBER(SEARCH("平",D8079)),OR(ISNUMBER(SEARCH("上",D8079)),ISNUMBER(SEARCH("去",D8079)),ISNUMBER(SEARCH("入",D8079)))),"Ambiguous",IF(ISNUMBER(SEARCH("平",D8079)),"平","仄")))</x:f>
        <x:v>平</x:v>
      </x:c>
      <x:c r="L8079" s="7" t="str">
        <x:v>Pingshui main list expansion</x:v>
      </x:c>
    </x:row>
    <x:row r="8080">
      <x:c r="A8080" s="5" t="str">
        <x:v>酓</x:v>
      </x:c>
      <x:c r="B8080" s="6" t="str">
        <x:v>去</x:v>
      </x:c>
      <x:c r="C8080" s="6" t="str">
        <x:f>IF(B8080="","Needs decision","Ready")</x:f>
        <x:v>Ready</x:v>
      </x:c>
      <x:c r="D8080" s="6" t="str">
        <x:v>去</x:v>
      </x:c>
      <x:c r="E8080" s="6" t="str"/>
      <x:c r="F8080" s="6" t="str">
        <x:v>去聲二十九豔</x:v>
      </x:c>
      <x:c r="G8080" s="6" t="str">
        <x:v>Pingshui main list, Wikisource-derived DOCX</x:v>
      </x:c>
      <x:c r="H8080" s="6" t="str"/>
      <x:c r="I8080" s="6" t="str">
        <x:v>Pingshui main-list expansion; 詞 entries ignored</x:v>
      </x:c>
      <x:c r="J8080" s="6" t="str">
        <x:f>IF(B8080="","",IF(AND(ISNUMBER(SEARCH("平",B8080)),OR(ISNUMBER(SEARCH("上",B8080)),ISNUMBER(SEARCH("去",B8080)),ISNUMBER(SEARCH("入",B8080)))),"Ambiguous",IF(ISNUMBER(SEARCH("平",B8080)),"平","仄")))</x:f>
        <x:v>仄</x:v>
      </x:c>
      <x:c r="K8080" s="6" t="str">
        <x:f>IF(D8080="","",IF(AND(ISNUMBER(SEARCH("平",D8080)),OR(ISNUMBER(SEARCH("上",D8080)),ISNUMBER(SEARCH("去",D8080)),ISNUMBER(SEARCH("入",D8080)))),"Ambiguous",IF(ISNUMBER(SEARCH("平",D8080)),"平","仄")))</x:f>
        <x:v>仄</x:v>
      </x:c>
      <x:c r="L8080" s="7" t="str">
        <x:v>Pingshui main list expansion</x:v>
      </x:c>
    </x:row>
    <x:row r="8081">
      <x:c r="A8081" s="5" t="str">
        <x:v>酗</x:v>
      </x:c>
      <x:c r="B8081" s="6" t="str">
        <x:v>去</x:v>
      </x:c>
      <x:c r="C8081" s="6" t="str">
        <x:f>IF(B8081="","Needs decision","Ready")</x:f>
        <x:v>Ready</x:v>
      </x:c>
      <x:c r="D8081" s="6" t="str">
        <x:v>去</x:v>
      </x:c>
      <x:c r="E8081" s="6" t="str"/>
      <x:c r="F8081" s="6" t="str">
        <x:v>去聲七遇</x:v>
      </x:c>
      <x:c r="G8081" s="6" t="str">
        <x:v>Pingshui main list, Wikisource-derived DOCX</x:v>
      </x:c>
      <x:c r="H8081" s="6" t="str"/>
      <x:c r="I8081" s="6" t="str">
        <x:v>Pingshui main-list expansion; 詞 entries ignored</x:v>
      </x:c>
      <x:c r="J8081" s="6" t="str">
        <x:f>IF(B8081="","",IF(AND(ISNUMBER(SEARCH("平",B8081)),OR(ISNUMBER(SEARCH("上",B8081)),ISNUMBER(SEARCH("去",B8081)),ISNUMBER(SEARCH("入",B8081)))),"Ambiguous",IF(ISNUMBER(SEARCH("平",B8081)),"平","仄")))</x:f>
        <x:v>仄</x:v>
      </x:c>
      <x:c r="K8081" s="6" t="str">
        <x:f>IF(D8081="","",IF(AND(ISNUMBER(SEARCH("平",D8081)),OR(ISNUMBER(SEARCH("上",D8081)),ISNUMBER(SEARCH("去",D8081)),ISNUMBER(SEARCH("入",D8081)))),"Ambiguous",IF(ISNUMBER(SEARCH("平",D8081)),"平","仄")))</x:f>
        <x:v>仄</x:v>
      </x:c>
      <x:c r="L8081" s="7" t="str">
        <x:v>Pingshui main list expansion</x:v>
      </x:c>
    </x:row>
    <x:row r="8082">
      <x:c r="A8082" s="5" t="str">
        <x:v>酘</x:v>
      </x:c>
      <x:c r="B8082" s="6" t="str">
        <x:v>去</x:v>
      </x:c>
      <x:c r="C8082" s="6" t="str">
        <x:f>IF(B8082="","Needs decision","Ready")</x:f>
        <x:v>Ready</x:v>
      </x:c>
      <x:c r="D8082" s="6" t="str">
        <x:v>去</x:v>
      </x:c>
      <x:c r="E8082" s="6" t="str"/>
      <x:c r="F8082" s="6" t="str">
        <x:v>去聲二十六宥</x:v>
      </x:c>
      <x:c r="G8082" s="6" t="str">
        <x:v>Pingshui main list, Wikisource-derived DOCX</x:v>
      </x:c>
      <x:c r="H8082" s="6" t="str"/>
      <x:c r="I8082" s="6" t="str">
        <x:v>Pingshui main-list expansion; 詞 entries ignored</x:v>
      </x:c>
      <x:c r="J8082" s="6" t="str">
        <x:f>IF(B8082="","",IF(AND(ISNUMBER(SEARCH("平",B8082)),OR(ISNUMBER(SEARCH("上",B8082)),ISNUMBER(SEARCH("去",B8082)),ISNUMBER(SEARCH("入",B8082)))),"Ambiguous",IF(ISNUMBER(SEARCH("平",B8082)),"平","仄")))</x:f>
        <x:v>仄</x:v>
      </x:c>
      <x:c r="K8082" s="6" t="str">
        <x:f>IF(D8082="","",IF(AND(ISNUMBER(SEARCH("平",D8082)),OR(ISNUMBER(SEARCH("上",D8082)),ISNUMBER(SEARCH("去",D8082)),ISNUMBER(SEARCH("入",D8082)))),"Ambiguous",IF(ISNUMBER(SEARCH("平",D8082)),"平","仄")))</x:f>
        <x:v>仄</x:v>
      </x:c>
      <x:c r="L8082" s="7" t="str">
        <x:v>Pingshui main list expansion</x:v>
      </x:c>
    </x:row>
    <x:row r="8083">
      <x:c r="A8083" s="5" t="str">
        <x:v>酮</x:v>
      </x:c>
      <x:c r="B8083" s="6" t="str">
        <x:v>平</x:v>
      </x:c>
      <x:c r="C8083" s="6" t="str">
        <x:f>IF(B8083="","Needs decision","Ready")</x:f>
        <x:v>Ready</x:v>
      </x:c>
      <x:c r="D8083" s="6" t="str">
        <x:v>平</x:v>
      </x:c>
      <x:c r="E8083" s="6" t="str"/>
      <x:c r="F8083" s="6" t="str">
        <x:v>上平聲一東</x:v>
      </x:c>
      <x:c r="G8083" s="6" t="str">
        <x:v>Pingshui main list, Wikisource-derived DOCX</x:v>
      </x:c>
      <x:c r="H8083" s="6" t="str"/>
      <x:c r="I8083" s="6" t="str">
        <x:v>Pingshui main-list expansion; 詞 entries ignored</x:v>
      </x:c>
      <x:c r="J8083" s="6" t="str">
        <x:f>IF(B8083="","",IF(AND(ISNUMBER(SEARCH("平",B8083)),OR(ISNUMBER(SEARCH("上",B8083)),ISNUMBER(SEARCH("去",B8083)),ISNUMBER(SEARCH("入",B8083)))),"Ambiguous",IF(ISNUMBER(SEARCH("平",B8083)),"平","仄")))</x:f>
        <x:v>平</x:v>
      </x:c>
      <x:c r="K8083" s="6" t="str">
        <x:f>IF(D8083="","",IF(AND(ISNUMBER(SEARCH("平",D8083)),OR(ISNUMBER(SEARCH("上",D8083)),ISNUMBER(SEARCH("去",D8083)),ISNUMBER(SEARCH("入",D8083)))),"Ambiguous",IF(ISNUMBER(SEARCH("平",D8083)),"平","仄")))</x:f>
        <x:v>平</x:v>
      </x:c>
      <x:c r="L8083" s="7" t="str">
        <x:v>Pingshui main list expansion</x:v>
      </x:c>
    </x:row>
    <x:row r="8084">
      <x:c r="A8084" s="5" t="str">
        <x:v>酵</x:v>
      </x:c>
      <x:c r="B8084" s="6" t="str">
        <x:v>去</x:v>
      </x:c>
      <x:c r="C8084" s="6" t="str">
        <x:f>IF(B8084="","Needs decision","Ready")</x:f>
        <x:v>Ready</x:v>
      </x:c>
      <x:c r="D8084" s="6" t="str">
        <x:v>去</x:v>
      </x:c>
      <x:c r="E8084" s="6" t="str"/>
      <x:c r="F8084" s="6" t="str">
        <x:v>去聲十九效</x:v>
      </x:c>
      <x:c r="G8084" s="6" t="str">
        <x:v>Pingshui main list, Wikisource-derived DOCX</x:v>
      </x:c>
      <x:c r="H8084" s="6" t="str"/>
      <x:c r="I8084" s="6" t="str">
        <x:v>Pingshui main-list expansion; 詞 entries ignored</x:v>
      </x:c>
      <x:c r="J8084" s="6" t="str">
        <x:f>IF(B8084="","",IF(AND(ISNUMBER(SEARCH("平",B8084)),OR(ISNUMBER(SEARCH("上",B8084)),ISNUMBER(SEARCH("去",B8084)),ISNUMBER(SEARCH("入",B8084)))),"Ambiguous",IF(ISNUMBER(SEARCH("平",B8084)),"平","仄")))</x:f>
        <x:v>仄</x:v>
      </x:c>
      <x:c r="K8084" s="6" t="str">
        <x:f>IF(D8084="","",IF(AND(ISNUMBER(SEARCH("平",D8084)),OR(ISNUMBER(SEARCH("上",D8084)),ISNUMBER(SEARCH("去",D8084)),ISNUMBER(SEARCH("入",D8084)))),"Ambiguous",IF(ISNUMBER(SEARCH("平",D8084)),"平","仄")))</x:f>
        <x:v>仄</x:v>
      </x:c>
      <x:c r="L8084" s="7" t="str">
        <x:v>Pingshui main list expansion</x:v>
      </x:c>
    </x:row>
    <x:row r="8085">
      <x:c r="A8085" s="5" t="str">
        <x:v>醄</x:v>
      </x:c>
      <x:c r="B8085" s="6" t="str">
        <x:v>平</x:v>
      </x:c>
      <x:c r="C8085" s="6" t="str">
        <x:f>IF(B8085="","Needs decision","Ready")</x:f>
        <x:v>Ready</x:v>
      </x:c>
      <x:c r="D8085" s="6" t="str">
        <x:v>平</x:v>
      </x:c>
      <x:c r="E8085" s="6" t="str"/>
      <x:c r="F8085" s="6" t="str">
        <x:v>下平聲四豪</x:v>
      </x:c>
      <x:c r="G8085" s="6" t="str">
        <x:v>Pingshui main list, Wikisource-derived DOCX</x:v>
      </x:c>
      <x:c r="H8085" s="6" t="str"/>
      <x:c r="I8085" s="6" t="str">
        <x:v>Pingshui main-list expansion; 詞 entries ignored</x:v>
      </x:c>
      <x:c r="J8085" s="6" t="str">
        <x:f>IF(B8085="","",IF(AND(ISNUMBER(SEARCH("平",B8085)),OR(ISNUMBER(SEARCH("上",B8085)),ISNUMBER(SEARCH("去",B8085)),ISNUMBER(SEARCH("入",B8085)))),"Ambiguous",IF(ISNUMBER(SEARCH("平",B8085)),"平","仄")))</x:f>
        <x:v>平</x:v>
      </x:c>
      <x:c r="K8085" s="6" t="str">
        <x:f>IF(D8085="","",IF(AND(ISNUMBER(SEARCH("平",D8085)),OR(ISNUMBER(SEARCH("上",D8085)),ISNUMBER(SEARCH("去",D8085)),ISNUMBER(SEARCH("入",D8085)))),"Ambiguous",IF(ISNUMBER(SEARCH("平",D8085)),"平","仄")))</x:f>
        <x:v>平</x:v>
      </x:c>
      <x:c r="L8085" s="7" t="str">
        <x:v>Pingshui main list expansion</x:v>
      </x:c>
    </x:row>
    <x:row r="8086">
      <x:c r="A8086" s="5" t="str">
        <x:v>醆</x:v>
      </x:c>
      <x:c r="B8086" s="6" t="str">
        <x:v>上</x:v>
      </x:c>
      <x:c r="C8086" s="6" t="str">
        <x:f>IF(B8086="","Needs decision","Ready")</x:f>
        <x:v>Ready</x:v>
      </x:c>
      <x:c r="D8086" s="6" t="str">
        <x:v>上</x:v>
      </x:c>
      <x:c r="E8086" s="6" t="str"/>
      <x:c r="F8086" s="6" t="str">
        <x:v>上聲十五潸</x:v>
      </x:c>
      <x:c r="G8086" s="6" t="str">
        <x:v>Pingshui main list, Wikisource-derived DOCX</x:v>
      </x:c>
      <x:c r="H8086" s="6" t="str"/>
      <x:c r="I8086" s="6" t="str">
        <x:v>Pingshui main-list expansion; 詞 entries ignored</x:v>
      </x:c>
      <x:c r="J8086" s="6" t="str">
        <x:f>IF(B8086="","",IF(AND(ISNUMBER(SEARCH("平",B8086)),OR(ISNUMBER(SEARCH("上",B8086)),ISNUMBER(SEARCH("去",B8086)),ISNUMBER(SEARCH("入",B8086)))),"Ambiguous",IF(ISNUMBER(SEARCH("平",B8086)),"平","仄")))</x:f>
        <x:v>仄</x:v>
      </x:c>
      <x:c r="K8086" s="6" t="str">
        <x:f>IF(D8086="","",IF(AND(ISNUMBER(SEARCH("平",D8086)),OR(ISNUMBER(SEARCH("上",D8086)),ISNUMBER(SEARCH("去",D8086)),ISNUMBER(SEARCH("入",D8086)))),"Ambiguous",IF(ISNUMBER(SEARCH("平",D8086)),"平","仄")))</x:f>
        <x:v>仄</x:v>
      </x:c>
      <x:c r="L8086" s="7" t="str">
        <x:v>Pingshui main list expansion</x:v>
      </x:c>
    </x:row>
    <x:row r="8087">
      <x:c r="A8087" s="5" t="str">
        <x:v>醙</x:v>
      </x:c>
      <x:c r="B8087" s="6" t="str">
        <x:v>上</x:v>
      </x:c>
      <x:c r="C8087" s="6" t="str">
        <x:f>IF(B8087="","Needs decision","Ready")</x:f>
        <x:v>Ready</x:v>
      </x:c>
      <x:c r="D8087" s="6" t="str">
        <x:v>上</x:v>
      </x:c>
      <x:c r="E8087" s="6" t="str"/>
      <x:c r="F8087" s="6" t="str">
        <x:v>上聲二十五有</x:v>
      </x:c>
      <x:c r="G8087" s="6" t="str">
        <x:v>Pingshui main list, Wikisource-derived DOCX</x:v>
      </x:c>
      <x:c r="H8087" s="6" t="str"/>
      <x:c r="I8087" s="6" t="str">
        <x:v>Pingshui main-list expansion; 詞 entries ignored</x:v>
      </x:c>
      <x:c r="J8087" s="6" t="str">
        <x:f>IF(B8087="","",IF(AND(ISNUMBER(SEARCH("平",B8087)),OR(ISNUMBER(SEARCH("上",B8087)),ISNUMBER(SEARCH("去",B8087)),ISNUMBER(SEARCH("入",B8087)))),"Ambiguous",IF(ISNUMBER(SEARCH("平",B8087)),"平","仄")))</x:f>
        <x:v>仄</x:v>
      </x:c>
      <x:c r="K8087" s="6" t="str">
        <x:f>IF(D8087="","",IF(AND(ISNUMBER(SEARCH("平",D8087)),OR(ISNUMBER(SEARCH("上",D8087)),ISNUMBER(SEARCH("去",D8087)),ISNUMBER(SEARCH("入",D8087)))),"Ambiguous",IF(ISNUMBER(SEARCH("平",D8087)),"平","仄")))</x:f>
        <x:v>仄</x:v>
      </x:c>
      <x:c r="L8087" s="7" t="str">
        <x:v>Pingshui main list expansion</x:v>
      </x:c>
    </x:row>
    <x:row r="8088">
      <x:c r="A8088" s="5" t="str">
        <x:v>醟</x:v>
      </x:c>
      <x:c r="B8088" s="6" t="str"/>
      <x:c r="C8088" s="6" t="str">
        <x:f>IF(B8088="","Needs decision","Ready")</x:f>
        <x:v>Needs decision</x:v>
      </x:c>
      <x:c r="D8088" s="6" t="str">
        <x:v>平/去</x:v>
      </x:c>
      <x:c r="E8088" s="6" t="str"/>
      <x:c r="F8088" s="6" t="str">
        <x:v>下平聲八庚; 去聲二十四敬</x:v>
      </x:c>
      <x:c r="G8088" s="6" t="str">
        <x:v>Pingshui main list, Wikisource-derived DOCX</x:v>
      </x:c>
      <x:c r="H8088" s="6" t="str"/>
      <x:c r="I8088" s="6" t="str">
        <x:v>Pingshui main-list expansion; 詞 entries ignored</x:v>
      </x:c>
      <x:c r="J8088" s="6" t="str">
        <x:f>IF(B8088="","",IF(AND(ISNUMBER(SEARCH("平",B8088)),OR(ISNUMBER(SEARCH("上",B8088)),ISNUMBER(SEARCH("去",B8088)),ISNUMBER(SEARCH("入",B8088)))),"Ambiguous",IF(ISNUMBER(SEARCH("平",B8088)),"平","仄")))</x:f>
      </x:c>
      <x:c r="K8088" s="6" t="str">
        <x:f>IF(D8088="","",IF(AND(ISNUMBER(SEARCH("平",D8088)),OR(ISNUMBER(SEARCH("上",D8088)),ISNUMBER(SEARCH("去",D8088)),ISNUMBER(SEARCH("入",D8088)))),"Ambiguous",IF(ISNUMBER(SEARCH("平",D8088)),"平","仄")))</x:f>
        <x:v>Ambiguous</x:v>
      </x:c>
      <x:c r="L8088" s="7" t="str">
        <x:v>Pingshui main list expansion</x:v>
      </x:c>
    </x:row>
    <x:row r="8089">
      <x:c r="A8089" s="5" t="str">
        <x:v>醠</x:v>
      </x:c>
      <x:c r="B8089" s="6" t="str">
        <x:v>去</x:v>
      </x:c>
      <x:c r="C8089" s="6" t="str">
        <x:f>IF(B8089="","Needs decision","Ready")</x:f>
        <x:v>Ready</x:v>
      </x:c>
      <x:c r="D8089" s="6" t="str">
        <x:v>去</x:v>
      </x:c>
      <x:c r="E8089" s="6" t="str"/>
      <x:c r="F8089" s="6" t="str">
        <x:v>去聲二十三漾</x:v>
      </x:c>
      <x:c r="G8089" s="6" t="str">
        <x:v>Pingshui main list, Wikisource-derived DOCX</x:v>
      </x:c>
      <x:c r="H8089" s="6" t="str"/>
      <x:c r="I8089" s="6" t="str">
        <x:v>Pingshui main-list expansion; 詞 entries ignored</x:v>
      </x:c>
      <x:c r="J8089" s="6" t="str">
        <x:f>IF(B8089="","",IF(AND(ISNUMBER(SEARCH("平",B8089)),OR(ISNUMBER(SEARCH("上",B8089)),ISNUMBER(SEARCH("去",B8089)),ISNUMBER(SEARCH("入",B8089)))),"Ambiguous",IF(ISNUMBER(SEARCH("平",B8089)),"平","仄")))</x:f>
        <x:v>仄</x:v>
      </x:c>
      <x:c r="K8089" s="6" t="str">
        <x:f>IF(D8089="","",IF(AND(ISNUMBER(SEARCH("平",D8089)),OR(ISNUMBER(SEARCH("上",D8089)),ISNUMBER(SEARCH("去",D8089)),ISNUMBER(SEARCH("入",D8089)))),"Ambiguous",IF(ISNUMBER(SEARCH("平",D8089)),"平","仄")))</x:f>
        <x:v>仄</x:v>
      </x:c>
      <x:c r="L8089" s="7" t="str">
        <x:v>Pingshui main list expansion</x:v>
      </x:c>
    </x:row>
    <x:row r="8090">
      <x:c r="A8090" s="5" t="str">
        <x:v>醭</x:v>
      </x:c>
      <x:c r="B8090" s="6" t="str">
        <x:v>入</x:v>
      </x:c>
      <x:c r="C8090" s="6" t="str">
        <x:f>IF(B8090="","Needs decision","Ready")</x:f>
        <x:v>Ready</x:v>
      </x:c>
      <x:c r="D8090" s="6" t="str">
        <x:v>入</x:v>
      </x:c>
      <x:c r="E8090" s="6" t="str"/>
      <x:c r="F8090" s="6" t="str">
        <x:v>入聲一屋</x:v>
      </x:c>
      <x:c r="G8090" s="6" t="str">
        <x:v>Pingshui main list, Wikisource-derived DOCX</x:v>
      </x:c>
      <x:c r="H8090" s="6" t="str"/>
      <x:c r="I8090" s="6" t="str">
        <x:v>Pingshui main-list expansion; 詞 entries ignored</x:v>
      </x:c>
      <x:c r="J8090" s="6" t="str">
        <x:f>IF(B8090="","",IF(AND(ISNUMBER(SEARCH("平",B8090)),OR(ISNUMBER(SEARCH("上",B8090)),ISNUMBER(SEARCH("去",B8090)),ISNUMBER(SEARCH("入",B8090)))),"Ambiguous",IF(ISNUMBER(SEARCH("平",B8090)),"平","仄")))</x:f>
        <x:v>仄</x:v>
      </x:c>
      <x:c r="K8090" s="6" t="str">
        <x:f>IF(D8090="","",IF(AND(ISNUMBER(SEARCH("平",D8090)),OR(ISNUMBER(SEARCH("上",D8090)),ISNUMBER(SEARCH("去",D8090)),ISNUMBER(SEARCH("入",D8090)))),"Ambiguous",IF(ISNUMBER(SEARCH("平",D8090)),"平","仄")))</x:f>
        <x:v>仄</x:v>
      </x:c>
      <x:c r="L8090" s="7" t="str">
        <x:v>Pingshui main list expansion</x:v>
      </x:c>
    </x:row>
    <x:row r="8091">
      <x:c r="A8091" s="5" t="str">
        <x:v>醰</x:v>
      </x:c>
      <x:c r="B8091" s="6" t="str"/>
      <x:c r="C8091" s="6" t="str">
        <x:f>IF(B8091="","Needs decision","Ready")</x:f>
        <x:v>Needs decision</x:v>
      </x:c>
      <x:c r="D8091" s="6" t="str">
        <x:v>平/上</x:v>
      </x:c>
      <x:c r="E8091" s="6" t="str"/>
      <x:c r="F8091" s="6" t="str">
        <x:v>下平聲十三覃; 上聲二十七感</x:v>
      </x:c>
      <x:c r="G8091" s="6" t="str">
        <x:v>Pingshui main list, Wikisource-derived DOCX</x:v>
      </x:c>
      <x:c r="H8091" s="6" t="str"/>
      <x:c r="I8091" s="6" t="str">
        <x:v>Pingshui main-list expansion; 詞 entries ignored</x:v>
      </x:c>
      <x:c r="J8091" s="6" t="str">
        <x:f>IF(B8091="","",IF(AND(ISNUMBER(SEARCH("平",B8091)),OR(ISNUMBER(SEARCH("上",B8091)),ISNUMBER(SEARCH("去",B8091)),ISNUMBER(SEARCH("入",B8091)))),"Ambiguous",IF(ISNUMBER(SEARCH("平",B8091)),"平","仄")))</x:f>
      </x:c>
      <x:c r="K8091" s="6" t="str">
        <x:f>IF(D8091="","",IF(AND(ISNUMBER(SEARCH("平",D8091)),OR(ISNUMBER(SEARCH("上",D8091)),ISNUMBER(SEARCH("去",D8091)),ISNUMBER(SEARCH("入",D8091)))),"Ambiguous",IF(ISNUMBER(SEARCH("平",D8091)),"平","仄")))</x:f>
        <x:v>Ambiguous</x:v>
      </x:c>
      <x:c r="L8091" s="7" t="str">
        <x:v>Pingshui main list expansion</x:v>
      </x:c>
    </x:row>
    <x:row r="8092">
      <x:c r="A8092" s="5" t="str">
        <x:v>醲</x:v>
      </x:c>
      <x:c r="B8092" s="6" t="str">
        <x:v>平</x:v>
      </x:c>
      <x:c r="C8092" s="6" t="str">
        <x:f>IF(B8092="","Needs decision","Ready")</x:f>
        <x:v>Ready</x:v>
      </x:c>
      <x:c r="D8092" s="6" t="str">
        <x:v>平</x:v>
      </x:c>
      <x:c r="E8092" s="6" t="str"/>
      <x:c r="F8092" s="6" t="str">
        <x:v>上平聲二冬</x:v>
      </x:c>
      <x:c r="G8092" s="6" t="str">
        <x:v>Pingshui main list, Wikisource-derived DOCX</x:v>
      </x:c>
      <x:c r="H8092" s="6" t="str"/>
      <x:c r="I8092" s="6" t="str">
        <x:v>Pingshui main-list expansion; 詞 entries ignored</x:v>
      </x:c>
      <x:c r="J8092" s="6" t="str">
        <x:f>IF(B8092="","",IF(AND(ISNUMBER(SEARCH("平",B8092)),OR(ISNUMBER(SEARCH("上",B8092)),ISNUMBER(SEARCH("去",B8092)),ISNUMBER(SEARCH("入",B8092)))),"Ambiguous",IF(ISNUMBER(SEARCH("平",B8092)),"平","仄")))</x:f>
        <x:v>平</x:v>
      </x:c>
      <x:c r="K8092" s="6" t="str">
        <x:f>IF(D8092="","",IF(AND(ISNUMBER(SEARCH("平",D8092)),OR(ISNUMBER(SEARCH("上",D8092)),ISNUMBER(SEARCH("去",D8092)),ISNUMBER(SEARCH("入",D8092)))),"Ambiguous",IF(ISNUMBER(SEARCH("平",D8092)),"平","仄")))</x:f>
        <x:v>平</x:v>
      </x:c>
      <x:c r="L8092" s="7" t="str">
        <x:v>Pingshui main list expansion</x:v>
      </x:c>
    </x:row>
    <x:row r="8093">
      <x:c r="A8093" s="5" t="str">
        <x:v>醷</x:v>
      </x:c>
      <x:c r="B8093" s="6" t="str">
        <x:v>入</x:v>
      </x:c>
      <x:c r="C8093" s="6" t="str">
        <x:f>IF(B8093="","Needs decision","Ready")</x:f>
        <x:v>Ready</x:v>
      </x:c>
      <x:c r="D8093" s="6" t="str">
        <x:v>入</x:v>
      </x:c>
      <x:c r="E8093" s="6" t="str"/>
      <x:c r="F8093" s="6" t="str">
        <x:v>入聲十三職</x:v>
      </x:c>
      <x:c r="G8093" s="6" t="str">
        <x:v>Pingshui main list, Wikisource-derived DOCX</x:v>
      </x:c>
      <x:c r="H8093" s="6" t="str"/>
      <x:c r="I8093" s="6" t="str">
        <x:v>Pingshui main-list expansion; 詞 entries ignored</x:v>
      </x:c>
      <x:c r="J8093" s="6" t="str">
        <x:f>IF(B8093="","",IF(AND(ISNUMBER(SEARCH("平",B8093)),OR(ISNUMBER(SEARCH("上",B8093)),ISNUMBER(SEARCH("去",B8093)),ISNUMBER(SEARCH("入",B8093)))),"Ambiguous",IF(ISNUMBER(SEARCH("平",B8093)),"平","仄")))</x:f>
        <x:v>仄</x:v>
      </x:c>
      <x:c r="K8093" s="6" t="str">
        <x:f>IF(D8093="","",IF(AND(ISNUMBER(SEARCH("平",D8093)),OR(ISNUMBER(SEARCH("上",D8093)),ISNUMBER(SEARCH("去",D8093)),ISNUMBER(SEARCH("入",D8093)))),"Ambiguous",IF(ISNUMBER(SEARCH("平",D8093)),"平","仄")))</x:f>
        <x:v>仄</x:v>
      </x:c>
      <x:c r="L8093" s="7" t="str">
        <x:v>Pingshui main list expansion</x:v>
      </x:c>
    </x:row>
    <x:row r="8094">
      <x:c r="A8094" s="5" t="str">
        <x:v>醹</x:v>
      </x:c>
      <x:c r="B8094" s="6" t="str"/>
      <x:c r="C8094" s="6" t="str">
        <x:f>IF(B8094="","Needs decision","Ready")</x:f>
        <x:v>Needs decision</x:v>
      </x:c>
      <x:c r="D8094" s="6" t="str">
        <x:v>平/上</x:v>
      </x:c>
      <x:c r="E8094" s="6" t="str"/>
      <x:c r="F8094" s="6" t="str">
        <x:v>上平聲七虞; 上聲七麌</x:v>
      </x:c>
      <x:c r="G8094" s="6" t="str">
        <x:v>Pingshui main list, Wikisource-derived DOCX</x:v>
      </x:c>
      <x:c r="H8094" s="6" t="str"/>
      <x:c r="I8094" s="6" t="str">
        <x:v>Pingshui main-list expansion; 詞 entries ignored</x:v>
      </x:c>
      <x:c r="J8094" s="6" t="str">
        <x:f>IF(B8094="","",IF(AND(ISNUMBER(SEARCH("平",B8094)),OR(ISNUMBER(SEARCH("上",B8094)),ISNUMBER(SEARCH("去",B8094)),ISNUMBER(SEARCH("入",B8094)))),"Ambiguous",IF(ISNUMBER(SEARCH("平",B8094)),"平","仄")))</x:f>
      </x:c>
      <x:c r="K8094" s="6" t="str">
        <x:f>IF(D8094="","",IF(AND(ISNUMBER(SEARCH("平",D8094)),OR(ISNUMBER(SEARCH("上",D8094)),ISNUMBER(SEARCH("去",D8094)),ISNUMBER(SEARCH("入",D8094)))),"Ambiguous",IF(ISNUMBER(SEARCH("平",D8094)),"平","仄")))</x:f>
        <x:v>Ambiguous</x:v>
      </x:c>
      <x:c r="L8094" s="7" t="str">
        <x:v>Pingshui main list expansion</x:v>
      </x:c>
    </x:row>
    <x:row r="8095">
      <x:c r="A8095" s="5" t="str">
        <x:v>醼</x:v>
      </x:c>
      <x:c r="B8095" s="6" t="str">
        <x:v>去</x:v>
      </x:c>
      <x:c r="C8095" s="6" t="str">
        <x:f>IF(B8095="","Needs decision","Ready")</x:f>
        <x:v>Ready</x:v>
      </x:c>
      <x:c r="D8095" s="6" t="str">
        <x:v>去</x:v>
      </x:c>
      <x:c r="E8095" s="6" t="str"/>
      <x:c r="F8095" s="6" t="str">
        <x:v>去聲十七霰</x:v>
      </x:c>
      <x:c r="G8095" s="6" t="str">
        <x:v>Pingshui main list, Wikisource-derived DOCX</x:v>
      </x:c>
      <x:c r="H8095" s="6" t="str"/>
      <x:c r="I8095" s="6" t="str">
        <x:v>Pingshui main-list expansion; 詞 entries ignored</x:v>
      </x:c>
      <x:c r="J8095" s="6" t="str">
        <x:f>IF(B8095="","",IF(AND(ISNUMBER(SEARCH("平",B8095)),OR(ISNUMBER(SEARCH("上",B8095)),ISNUMBER(SEARCH("去",B8095)),ISNUMBER(SEARCH("入",B8095)))),"Ambiguous",IF(ISNUMBER(SEARCH("平",B8095)),"平","仄")))</x:f>
        <x:v>仄</x:v>
      </x:c>
      <x:c r="K8095" s="6" t="str">
        <x:f>IF(D8095="","",IF(AND(ISNUMBER(SEARCH("平",D8095)),OR(ISNUMBER(SEARCH("上",D8095)),ISNUMBER(SEARCH("去",D8095)),ISNUMBER(SEARCH("入",D8095)))),"Ambiguous",IF(ISNUMBER(SEARCH("平",D8095)),"平","仄")))</x:f>
        <x:v>仄</x:v>
      </x:c>
      <x:c r="L8095" s="7" t="str">
        <x:v>Pingshui main list expansion</x:v>
      </x:c>
    </x:row>
    <x:row r="8096">
      <x:c r="A8096" s="5" t="str">
        <x:v>醾</x:v>
      </x:c>
      <x:c r="B8096" s="6" t="str">
        <x:v>平</x:v>
      </x:c>
      <x:c r="C8096" s="6" t="str">
        <x:f>IF(B8096="","Needs decision","Ready")</x:f>
        <x:v>Ready</x:v>
      </x:c>
      <x:c r="D8096" s="6" t="str">
        <x:v>平</x:v>
      </x:c>
      <x:c r="E8096" s="6" t="str"/>
      <x:c r="F8096" s="6" t="str">
        <x:v>上平聲四支</x:v>
      </x:c>
      <x:c r="G8096" s="6" t="str">
        <x:v>Pingshui main list, Wikisource-derived DOCX</x:v>
      </x:c>
      <x:c r="H8096" s="6" t="str"/>
      <x:c r="I8096" s="6" t="str">
        <x:v>Pingshui main-list expansion; 詞 entries ignored</x:v>
      </x:c>
      <x:c r="J8096" s="6" t="str">
        <x:f>IF(B8096="","",IF(AND(ISNUMBER(SEARCH("平",B8096)),OR(ISNUMBER(SEARCH("上",B8096)),ISNUMBER(SEARCH("去",B8096)),ISNUMBER(SEARCH("入",B8096)))),"Ambiguous",IF(ISNUMBER(SEARCH("平",B8096)),"平","仄")))</x:f>
        <x:v>平</x:v>
      </x:c>
      <x:c r="K8096" s="6" t="str">
        <x:f>IF(D8096="","",IF(AND(ISNUMBER(SEARCH("平",D8096)),OR(ISNUMBER(SEARCH("上",D8096)),ISNUMBER(SEARCH("去",D8096)),ISNUMBER(SEARCH("入",D8096)))),"Ambiguous",IF(ISNUMBER(SEARCH("平",D8096)),"平","仄")))</x:f>
        <x:v>平</x:v>
      </x:c>
      <x:c r="L8096" s="7" t="str">
        <x:v>Pingshui main list expansion</x:v>
      </x:c>
    </x:row>
    <x:row r="8097">
      <x:c r="A8097" s="5" t="str">
        <x:v>釅</x:v>
      </x:c>
      <x:c r="B8097" s="6" t="str">
        <x:v>去</x:v>
      </x:c>
      <x:c r="C8097" s="6" t="str">
        <x:f>IF(B8097="","Needs decision","Ready")</x:f>
        <x:v>Ready</x:v>
      </x:c>
      <x:c r="D8097" s="6" t="str">
        <x:v>去</x:v>
      </x:c>
      <x:c r="E8097" s="6" t="str"/>
      <x:c r="F8097" s="6" t="str">
        <x:v>去聲二十九豔</x:v>
      </x:c>
      <x:c r="G8097" s="6" t="str">
        <x:v>Pingshui main list, Wikisource-derived DOCX</x:v>
      </x:c>
      <x:c r="H8097" s="6" t="str"/>
      <x:c r="I8097" s="6" t="str">
        <x:v>Pingshui main-list expansion; 詞 entries ignored</x:v>
      </x:c>
      <x:c r="J8097" s="6" t="str">
        <x:f>IF(B8097="","",IF(AND(ISNUMBER(SEARCH("平",B8097)),OR(ISNUMBER(SEARCH("上",B8097)),ISNUMBER(SEARCH("去",B8097)),ISNUMBER(SEARCH("入",B8097)))),"Ambiguous",IF(ISNUMBER(SEARCH("平",B8097)),"平","仄")))</x:f>
        <x:v>仄</x:v>
      </x:c>
      <x:c r="K8097" s="6" t="str">
        <x:f>IF(D8097="","",IF(AND(ISNUMBER(SEARCH("平",D8097)),OR(ISNUMBER(SEARCH("上",D8097)),ISNUMBER(SEARCH("去",D8097)),ISNUMBER(SEARCH("入",D8097)))),"Ambiguous",IF(ISNUMBER(SEARCH("平",D8097)),"平","仄")))</x:f>
        <x:v>仄</x:v>
      </x:c>
      <x:c r="L8097" s="7" t="str">
        <x:v>Pingshui main list expansion</x:v>
      </x:c>
    </x:row>
    <x:row r="8098">
      <x:c r="A8098" s="5" t="str">
        <x:v>釦</x:v>
      </x:c>
      <x:c r="B8098" s="6" t="str">
        <x:v>上</x:v>
      </x:c>
      <x:c r="C8098" s="6" t="str">
        <x:f>IF(B8098="","Needs decision","Ready")</x:f>
        <x:v>Ready</x:v>
      </x:c>
      <x:c r="D8098" s="6" t="str">
        <x:v>上</x:v>
      </x:c>
      <x:c r="E8098" s="6" t="str"/>
      <x:c r="F8098" s="6" t="str">
        <x:v>上聲二十五有</x:v>
      </x:c>
      <x:c r="G8098" s="6" t="str">
        <x:v>Pingshui main list, Wikisource-derived DOCX</x:v>
      </x:c>
      <x:c r="H8098" s="6" t="str"/>
      <x:c r="I8098" s="6" t="str">
        <x:v>Pingshui main-list expansion; 詞 entries ignored</x:v>
      </x:c>
      <x:c r="J8098" s="6" t="str">
        <x:f>IF(B8098="","",IF(AND(ISNUMBER(SEARCH("平",B8098)),OR(ISNUMBER(SEARCH("上",B8098)),ISNUMBER(SEARCH("去",B8098)),ISNUMBER(SEARCH("入",B8098)))),"Ambiguous",IF(ISNUMBER(SEARCH("平",B8098)),"平","仄")))</x:f>
        <x:v>仄</x:v>
      </x:c>
      <x:c r="K8098" s="6" t="str">
        <x:f>IF(D8098="","",IF(AND(ISNUMBER(SEARCH("平",D8098)),OR(ISNUMBER(SEARCH("上",D8098)),ISNUMBER(SEARCH("去",D8098)),ISNUMBER(SEARCH("入",D8098)))),"Ambiguous",IF(ISNUMBER(SEARCH("平",D8098)),"平","仄")))</x:f>
        <x:v>仄</x:v>
      </x:c>
      <x:c r="L8098" s="7" t="str">
        <x:v>Pingshui main list expansion</x:v>
      </x:c>
    </x:row>
    <x:row r="8099">
      <x:c r="A8099" s="5" t="str">
        <x:v>釪</x:v>
      </x:c>
      <x:c r="B8099" s="6" t="str">
        <x:v>平</x:v>
      </x:c>
      <x:c r="C8099" s="6" t="str">
        <x:f>IF(B8099="","Needs decision","Ready")</x:f>
        <x:v>Ready</x:v>
      </x:c>
      <x:c r="D8099" s="6" t="str">
        <x:v>平</x:v>
      </x:c>
      <x:c r="E8099" s="6" t="str"/>
      <x:c r="F8099" s="6" t="str">
        <x:v>上平聲七虞</x:v>
      </x:c>
      <x:c r="G8099" s="6" t="str">
        <x:v>Pingshui main list, Wikisource-derived DOCX</x:v>
      </x:c>
      <x:c r="H8099" s="6" t="str"/>
      <x:c r="I8099" s="6" t="str">
        <x:v>Pingshui main-list expansion; 詞 entries ignored</x:v>
      </x:c>
      <x:c r="J8099" s="6" t="str">
        <x:f>IF(B8099="","",IF(AND(ISNUMBER(SEARCH("平",B8099)),OR(ISNUMBER(SEARCH("上",B8099)),ISNUMBER(SEARCH("去",B8099)),ISNUMBER(SEARCH("入",B8099)))),"Ambiguous",IF(ISNUMBER(SEARCH("平",B8099)),"平","仄")))</x:f>
        <x:v>平</x:v>
      </x:c>
      <x:c r="K8099" s="6" t="str">
        <x:f>IF(D8099="","",IF(AND(ISNUMBER(SEARCH("平",D8099)),OR(ISNUMBER(SEARCH("上",D8099)),ISNUMBER(SEARCH("去",D8099)),ISNUMBER(SEARCH("入",D8099)))),"Ambiguous",IF(ISNUMBER(SEARCH("平",D8099)),"平","仄")))</x:f>
        <x:v>平</x:v>
      </x:c>
      <x:c r="L8099" s="7" t="str">
        <x:v>Pingshui main list expansion</x:v>
      </x:c>
    </x:row>
    <x:row r="8100">
      <x:c r="A8100" s="5" t="str">
        <x:v>釬</x:v>
      </x:c>
      <x:c r="B8100" s="6" t="str">
        <x:v>去</x:v>
      </x:c>
      <x:c r="C8100" s="6" t="str">
        <x:f>IF(B8100="","Needs decision","Ready")</x:f>
        <x:v>Ready</x:v>
      </x:c>
      <x:c r="D8100" s="6" t="str">
        <x:v>去</x:v>
      </x:c>
      <x:c r="E8100" s="6" t="str"/>
      <x:c r="F8100" s="6" t="str">
        <x:v>去聲十五翰</x:v>
      </x:c>
      <x:c r="G8100" s="6" t="str">
        <x:v>Pingshui main list, Wikisource-derived DOCX</x:v>
      </x:c>
      <x:c r="H8100" s="6" t="str"/>
      <x:c r="I8100" s="6" t="str">
        <x:v>Pingshui main-list expansion; 詞 entries ignored</x:v>
      </x:c>
      <x:c r="J8100" s="6" t="str">
        <x:f>IF(B8100="","",IF(AND(ISNUMBER(SEARCH("平",B8100)),OR(ISNUMBER(SEARCH("上",B8100)),ISNUMBER(SEARCH("去",B8100)),ISNUMBER(SEARCH("入",B8100)))),"Ambiguous",IF(ISNUMBER(SEARCH("平",B8100)),"平","仄")))</x:f>
        <x:v>仄</x:v>
      </x:c>
      <x:c r="K8100" s="6" t="str">
        <x:f>IF(D8100="","",IF(AND(ISNUMBER(SEARCH("平",D8100)),OR(ISNUMBER(SEARCH("上",D8100)),ISNUMBER(SEARCH("去",D8100)),ISNUMBER(SEARCH("入",D8100)))),"Ambiguous",IF(ISNUMBER(SEARCH("平",D8100)),"平","仄")))</x:f>
        <x:v>仄</x:v>
      </x:c>
      <x:c r="L8100" s="7" t="str">
        <x:v>Pingshui main list expansion</x:v>
      </x:c>
    </x:row>
    <x:row r="8101">
      <x:c r="A8101" s="5" t="str">
        <x:v>釱</x:v>
      </x:c>
      <x:c r="B8101" s="6" t="str">
        <x:v>去</x:v>
      </x:c>
      <x:c r="C8101" s="6" t="str">
        <x:f>IF(B8101="","Needs decision","Ready")</x:f>
        <x:v>Ready</x:v>
      </x:c>
      <x:c r="D8101" s="6" t="str">
        <x:v>去</x:v>
      </x:c>
      <x:c r="E8101" s="6" t="str"/>
      <x:c r="F8101" s="6" t="str">
        <x:v>去聲八霽; 去聲九泰</x:v>
      </x:c>
      <x:c r="G8101" s="6" t="str">
        <x:v>Pingshui main list, Wikisource-derived DOCX</x:v>
      </x:c>
      <x:c r="H8101" s="6" t="str"/>
      <x:c r="I8101" s="6" t="str">
        <x:v>Pingshui main-list expansion; 詞 entries ignored</x:v>
      </x:c>
      <x:c r="J8101" s="6" t="str">
        <x:f>IF(B8101="","",IF(AND(ISNUMBER(SEARCH("平",B8101)),OR(ISNUMBER(SEARCH("上",B8101)),ISNUMBER(SEARCH("去",B8101)),ISNUMBER(SEARCH("入",B8101)))),"Ambiguous",IF(ISNUMBER(SEARCH("平",B8101)),"平","仄")))</x:f>
        <x:v>仄</x:v>
      </x:c>
      <x:c r="K8101" s="6" t="str">
        <x:f>IF(D8101="","",IF(AND(ISNUMBER(SEARCH("平",D8101)),OR(ISNUMBER(SEARCH("上",D8101)),ISNUMBER(SEARCH("去",D8101)),ISNUMBER(SEARCH("入",D8101)))),"Ambiguous",IF(ISNUMBER(SEARCH("平",D8101)),"平","仄")))</x:f>
        <x:v>仄</x:v>
      </x:c>
      <x:c r="L8101" s="7" t="str">
        <x:v>Pingshui main list expansion</x:v>
      </x:c>
    </x:row>
    <x:row r="8102">
      <x:c r="A8102" s="5" t="str">
        <x:v>釳</x:v>
      </x:c>
      <x:c r="B8102" s="6" t="str">
        <x:v>入</x:v>
      </x:c>
      <x:c r="C8102" s="6" t="str">
        <x:f>IF(B8102="","Needs decision","Ready")</x:f>
        <x:v>Ready</x:v>
      </x:c>
      <x:c r="D8102" s="6" t="str">
        <x:v>入</x:v>
      </x:c>
      <x:c r="E8102" s="6" t="str"/>
      <x:c r="F8102" s="6" t="str">
        <x:v>入聲五物</x:v>
      </x:c>
      <x:c r="G8102" s="6" t="str">
        <x:v>Pingshui main list, Wikisource-derived DOCX</x:v>
      </x:c>
      <x:c r="H8102" s="6" t="str"/>
      <x:c r="I8102" s="6" t="str">
        <x:v>Pingshui main-list expansion; 詞 entries ignored</x:v>
      </x:c>
      <x:c r="J8102" s="6" t="str">
        <x:f>IF(B8102="","",IF(AND(ISNUMBER(SEARCH("平",B8102)),OR(ISNUMBER(SEARCH("上",B8102)),ISNUMBER(SEARCH("去",B8102)),ISNUMBER(SEARCH("入",B8102)))),"Ambiguous",IF(ISNUMBER(SEARCH("平",B8102)),"平","仄")))</x:f>
        <x:v>仄</x:v>
      </x:c>
      <x:c r="K8102" s="6" t="str">
        <x:f>IF(D8102="","",IF(AND(ISNUMBER(SEARCH("平",D8102)),OR(ISNUMBER(SEARCH("上",D8102)),ISNUMBER(SEARCH("去",D8102)),ISNUMBER(SEARCH("入",D8102)))),"Ambiguous",IF(ISNUMBER(SEARCH("平",D8102)),"平","仄")))</x:f>
        <x:v>仄</x:v>
      </x:c>
      <x:c r="L8102" s="7" t="str">
        <x:v>Pingshui main list expansion</x:v>
      </x:c>
    </x:row>
    <x:row r="8103">
      <x:c r="A8103" s="5" t="str">
        <x:v>釴</x:v>
      </x:c>
      <x:c r="B8103" s="6" t="str">
        <x:v>入</x:v>
      </x:c>
      <x:c r="C8103" s="6" t="str">
        <x:f>IF(B8103="","Needs decision","Ready")</x:f>
        <x:v>Ready</x:v>
      </x:c>
      <x:c r="D8103" s="6" t="str">
        <x:v>入</x:v>
      </x:c>
      <x:c r="E8103" s="6" t="str"/>
      <x:c r="F8103" s="6" t="str">
        <x:v>入聲十三職</x:v>
      </x:c>
      <x:c r="G8103" s="6" t="str">
        <x:v>Pingshui main list, Wikisource-derived DOCX</x:v>
      </x:c>
      <x:c r="H8103" s="6" t="str"/>
      <x:c r="I8103" s="6" t="str">
        <x:v>Pingshui main-list expansion; 詞 entries ignored</x:v>
      </x:c>
      <x:c r="J8103" s="6" t="str">
        <x:f>IF(B8103="","",IF(AND(ISNUMBER(SEARCH("平",B8103)),OR(ISNUMBER(SEARCH("上",B8103)),ISNUMBER(SEARCH("去",B8103)),ISNUMBER(SEARCH("入",B8103)))),"Ambiguous",IF(ISNUMBER(SEARCH("平",B8103)),"平","仄")))</x:f>
        <x:v>仄</x:v>
      </x:c>
      <x:c r="K8103" s="6" t="str">
        <x:f>IF(D8103="","",IF(AND(ISNUMBER(SEARCH("平",D8103)),OR(ISNUMBER(SEARCH("上",D8103)),ISNUMBER(SEARCH("去",D8103)),ISNUMBER(SEARCH("入",D8103)))),"Ambiguous",IF(ISNUMBER(SEARCH("平",D8103)),"平","仄")))</x:f>
        <x:v>仄</x:v>
      </x:c>
      <x:c r="L8103" s="7" t="str">
        <x:v>Pingshui main list expansion</x:v>
      </x:c>
    </x:row>
    <x:row r="8104">
      <x:c r="A8104" s="5" t="str">
        <x:v>鈀</x:v>
      </x:c>
      <x:c r="B8104" s="6" t="str">
        <x:v>平</x:v>
      </x:c>
      <x:c r="C8104" s="6" t="str">
        <x:f>IF(B8104="","Needs decision","Ready")</x:f>
        <x:v>Ready</x:v>
      </x:c>
      <x:c r="D8104" s="6" t="str">
        <x:v>平</x:v>
      </x:c>
      <x:c r="E8104" s="6" t="str"/>
      <x:c r="F8104" s="6" t="str">
        <x:v>下平聲六麻</x:v>
      </x:c>
      <x:c r="G8104" s="6" t="str">
        <x:v>Pingshui main list, Wikisource-derived DOCX</x:v>
      </x:c>
      <x:c r="H8104" s="6" t="str"/>
      <x:c r="I8104" s="6" t="str">
        <x:v>Pingshui main-list expansion; 詞 entries ignored</x:v>
      </x:c>
      <x:c r="J8104" s="6" t="str">
        <x:f>IF(B8104="","",IF(AND(ISNUMBER(SEARCH("平",B8104)),OR(ISNUMBER(SEARCH("上",B8104)),ISNUMBER(SEARCH("去",B8104)),ISNUMBER(SEARCH("入",B8104)))),"Ambiguous",IF(ISNUMBER(SEARCH("平",B8104)),"平","仄")))</x:f>
        <x:v>平</x:v>
      </x:c>
      <x:c r="K8104" s="6" t="str">
        <x:f>IF(D8104="","",IF(AND(ISNUMBER(SEARCH("平",D8104)),OR(ISNUMBER(SEARCH("上",D8104)),ISNUMBER(SEARCH("去",D8104)),ISNUMBER(SEARCH("入",D8104)))),"Ambiguous",IF(ISNUMBER(SEARCH("平",D8104)),"平","仄")))</x:f>
        <x:v>平</x:v>
      </x:c>
      <x:c r="L8104" s="7" t="str">
        <x:v>Pingshui main list expansion</x:v>
      </x:c>
    </x:row>
    <x:row r="8105">
      <x:c r="A8105" s="5" t="str">
        <x:v>鈁</x:v>
      </x:c>
      <x:c r="B8105" s="6" t="str">
        <x:v>平</x:v>
      </x:c>
      <x:c r="C8105" s="6" t="str">
        <x:f>IF(B8105="","Needs decision","Ready")</x:f>
        <x:v>Ready</x:v>
      </x:c>
      <x:c r="D8105" s="6" t="str">
        <x:v>平</x:v>
      </x:c>
      <x:c r="E8105" s="6" t="str"/>
      <x:c r="F8105" s="6" t="str">
        <x:v>下平聲七陽</x:v>
      </x:c>
      <x:c r="G8105" s="6" t="str">
        <x:v>Pingshui main list, Wikisource-derived DOCX</x:v>
      </x:c>
      <x:c r="H8105" s="6" t="str"/>
      <x:c r="I8105" s="6" t="str">
        <x:v>Pingshui main-list expansion; 詞 entries ignored</x:v>
      </x:c>
      <x:c r="J8105" s="6" t="str">
        <x:f>IF(B8105="","",IF(AND(ISNUMBER(SEARCH("平",B8105)),OR(ISNUMBER(SEARCH("上",B8105)),ISNUMBER(SEARCH("去",B8105)),ISNUMBER(SEARCH("入",B8105)))),"Ambiguous",IF(ISNUMBER(SEARCH("平",B8105)),"平","仄")))</x:f>
        <x:v>平</x:v>
      </x:c>
      <x:c r="K8105" s="6" t="str">
        <x:f>IF(D8105="","",IF(AND(ISNUMBER(SEARCH("平",D8105)),OR(ISNUMBER(SEARCH("上",D8105)),ISNUMBER(SEARCH("去",D8105)),ISNUMBER(SEARCH("入",D8105)))),"Ambiguous",IF(ISNUMBER(SEARCH("平",D8105)),"平","仄")))</x:f>
        <x:v>平</x:v>
      </x:c>
      <x:c r="L8105" s="7" t="str">
        <x:v>Pingshui main list expansion</x:v>
      </x:c>
    </x:row>
    <x:row r="8106">
      <x:c r="A8106" s="5" t="str">
        <x:v>鈑</x:v>
      </x:c>
      <x:c r="B8106" s="6" t="str">
        <x:v>上</x:v>
      </x:c>
      <x:c r="C8106" s="6" t="str">
        <x:f>IF(B8106="","Needs decision","Ready")</x:f>
        <x:v>Ready</x:v>
      </x:c>
      <x:c r="D8106" s="6" t="str">
        <x:v>上</x:v>
      </x:c>
      <x:c r="E8106" s="6" t="str"/>
      <x:c r="F8106" s="6" t="str">
        <x:v>上聲十五潸</x:v>
      </x:c>
      <x:c r="G8106" s="6" t="str">
        <x:v>Pingshui main list, Wikisource-derived DOCX</x:v>
      </x:c>
      <x:c r="H8106" s="6" t="str"/>
      <x:c r="I8106" s="6" t="str">
        <x:v>Pingshui main-list expansion; 詞 entries ignored</x:v>
      </x:c>
      <x:c r="J8106" s="6" t="str">
        <x:f>IF(B8106="","",IF(AND(ISNUMBER(SEARCH("平",B8106)),OR(ISNUMBER(SEARCH("上",B8106)),ISNUMBER(SEARCH("去",B8106)),ISNUMBER(SEARCH("入",B8106)))),"Ambiguous",IF(ISNUMBER(SEARCH("平",B8106)),"平","仄")))</x:f>
        <x:v>仄</x:v>
      </x:c>
      <x:c r="K8106" s="6" t="str">
        <x:f>IF(D8106="","",IF(AND(ISNUMBER(SEARCH("平",D8106)),OR(ISNUMBER(SEARCH("上",D8106)),ISNUMBER(SEARCH("去",D8106)),ISNUMBER(SEARCH("入",D8106)))),"Ambiguous",IF(ISNUMBER(SEARCH("平",D8106)),"平","仄")))</x:f>
        <x:v>仄</x:v>
      </x:c>
      <x:c r="L8106" s="7" t="str">
        <x:v>Pingshui main list expansion</x:v>
      </x:c>
    </x:row>
    <x:row r="8107">
      <x:c r="A8107" s="5" t="str">
        <x:v>鈒</x:v>
      </x:c>
      <x:c r="B8107" s="6" t="str">
        <x:v>入</x:v>
      </x:c>
      <x:c r="C8107" s="6" t="str">
        <x:f>IF(B8107="","Needs decision","Ready")</x:f>
        <x:v>Ready</x:v>
      </x:c>
      <x:c r="D8107" s="6" t="str">
        <x:v>入</x:v>
      </x:c>
      <x:c r="E8107" s="6" t="str"/>
      <x:c r="F8107" s="6" t="str">
        <x:v>入聲十四緝; 入聲十五合</x:v>
      </x:c>
      <x:c r="G8107" s="6" t="str">
        <x:v>Pingshui main list, Wikisource-derived DOCX</x:v>
      </x:c>
      <x:c r="H8107" s="6" t="str"/>
      <x:c r="I8107" s="6" t="str">
        <x:v>Pingshui main-list expansion; 詞 entries ignored</x:v>
      </x:c>
      <x:c r="J8107" s="6" t="str">
        <x:f>IF(B8107="","",IF(AND(ISNUMBER(SEARCH("平",B8107)),OR(ISNUMBER(SEARCH("上",B8107)),ISNUMBER(SEARCH("去",B8107)),ISNUMBER(SEARCH("入",B8107)))),"Ambiguous",IF(ISNUMBER(SEARCH("平",B8107)),"平","仄")))</x:f>
        <x:v>仄</x:v>
      </x:c>
      <x:c r="K8107" s="6" t="str">
        <x:f>IF(D8107="","",IF(AND(ISNUMBER(SEARCH("平",D8107)),OR(ISNUMBER(SEARCH("上",D8107)),ISNUMBER(SEARCH("去",D8107)),ISNUMBER(SEARCH("入",D8107)))),"Ambiguous",IF(ISNUMBER(SEARCH("平",D8107)),"平","仄")))</x:f>
        <x:v>仄</x:v>
      </x:c>
      <x:c r="L8107" s="7" t="str">
        <x:v>Pingshui main list expansion</x:v>
      </x:c>
    </x:row>
    <x:row r="8108">
      <x:c r="A8108" s="5" t="str">
        <x:v>鈸</x:v>
      </x:c>
      <x:c r="B8108" s="6" t="str">
        <x:v>入</x:v>
      </x:c>
      <x:c r="C8108" s="6" t="str">
        <x:f>IF(B8108="","Needs decision","Ready")</x:f>
        <x:v>Ready</x:v>
      </x:c>
      <x:c r="D8108" s="6" t="str">
        <x:v>入</x:v>
      </x:c>
      <x:c r="E8108" s="6" t="str"/>
      <x:c r="F8108" s="6" t="str">
        <x:v>入聲七曷</x:v>
      </x:c>
      <x:c r="G8108" s="6" t="str">
        <x:v>Pingshui main list, Wikisource-derived DOCX</x:v>
      </x:c>
      <x:c r="H8108" s="6" t="str"/>
      <x:c r="I8108" s="6" t="str">
        <x:v>Pingshui main-list expansion; 詞 entries ignored</x:v>
      </x:c>
      <x:c r="J8108" s="6" t="str">
        <x:f>IF(B8108="","",IF(AND(ISNUMBER(SEARCH("平",B8108)),OR(ISNUMBER(SEARCH("上",B8108)),ISNUMBER(SEARCH("去",B8108)),ISNUMBER(SEARCH("入",B8108)))),"Ambiguous",IF(ISNUMBER(SEARCH("平",B8108)),"平","仄")))</x:f>
        <x:v>仄</x:v>
      </x:c>
      <x:c r="K8108" s="6" t="str">
        <x:f>IF(D8108="","",IF(AND(ISNUMBER(SEARCH("平",D8108)),OR(ISNUMBER(SEARCH("上",D8108)),ISNUMBER(SEARCH("去",D8108)),ISNUMBER(SEARCH("入",D8108)))),"Ambiguous",IF(ISNUMBER(SEARCH("平",D8108)),"平","仄")))</x:f>
        <x:v>仄</x:v>
      </x:c>
      <x:c r="L8108" s="7" t="str">
        <x:v>Pingshui main list expansion</x:v>
      </x:c>
    </x:row>
    <x:row r="8109">
      <x:c r="A8109" s="5" t="str">
        <x:v>鉀</x:v>
      </x:c>
      <x:c r="B8109" s="6" t="str">
        <x:v>入</x:v>
      </x:c>
      <x:c r="C8109" s="6" t="str">
        <x:f>IF(B8109="","Needs decision","Ready")</x:f>
        <x:v>Ready</x:v>
      </x:c>
      <x:c r="D8109" s="6" t="str">
        <x:v>入</x:v>
      </x:c>
      <x:c r="E8109" s="6" t="str"/>
      <x:c r="F8109" s="6" t="str">
        <x:v>入聲十七洽</x:v>
      </x:c>
      <x:c r="G8109" s="6" t="str">
        <x:v>Pingshui main list, Wikisource-derived DOCX</x:v>
      </x:c>
      <x:c r="H8109" s="6" t="str"/>
      <x:c r="I8109" s="6" t="str">
        <x:v>Pingshui main-list expansion; 詞 entries ignored</x:v>
      </x:c>
      <x:c r="J8109" s="6" t="str">
        <x:f>IF(B8109="","",IF(AND(ISNUMBER(SEARCH("平",B8109)),OR(ISNUMBER(SEARCH("上",B8109)),ISNUMBER(SEARCH("去",B8109)),ISNUMBER(SEARCH("入",B8109)))),"Ambiguous",IF(ISNUMBER(SEARCH("平",B8109)),"平","仄")))</x:f>
        <x:v>仄</x:v>
      </x:c>
      <x:c r="K8109" s="6" t="str">
        <x:f>IF(D8109="","",IF(AND(ISNUMBER(SEARCH("平",D8109)),OR(ISNUMBER(SEARCH("上",D8109)),ISNUMBER(SEARCH("去",D8109)),ISNUMBER(SEARCH("入",D8109)))),"Ambiguous",IF(ISNUMBER(SEARCH("平",D8109)),"平","仄")))</x:f>
        <x:v>仄</x:v>
      </x:c>
      <x:c r="L8109" s="7" t="str">
        <x:v>Pingshui main list expansion</x:v>
      </x:c>
    </x:row>
    <x:row r="8110">
      <x:c r="A8110" s="5" t="str">
        <x:v>鉈</x:v>
      </x:c>
      <x:c r="B8110" s="6" t="str">
        <x:v>平</x:v>
      </x:c>
      <x:c r="C8110" s="6" t="str">
        <x:f>IF(B8110="","Needs decision","Ready")</x:f>
        <x:v>Ready</x:v>
      </x:c>
      <x:c r="D8110" s="6" t="str">
        <x:v>平</x:v>
      </x:c>
      <x:c r="E8110" s="6" t="str"/>
      <x:c r="F8110" s="6" t="str">
        <x:v>下平聲六麻</x:v>
      </x:c>
      <x:c r="G8110" s="6" t="str">
        <x:v>Pingshui main list, Wikisource-derived DOCX</x:v>
      </x:c>
      <x:c r="H8110" s="6" t="str"/>
      <x:c r="I8110" s="6" t="str">
        <x:v>Pingshui main-list expansion; 詞 entries ignored</x:v>
      </x:c>
      <x:c r="J8110" s="6" t="str">
        <x:f>IF(B8110="","",IF(AND(ISNUMBER(SEARCH("平",B8110)),OR(ISNUMBER(SEARCH("上",B8110)),ISNUMBER(SEARCH("去",B8110)),ISNUMBER(SEARCH("入",B8110)))),"Ambiguous",IF(ISNUMBER(SEARCH("平",B8110)),"平","仄")))</x:f>
        <x:v>平</x:v>
      </x:c>
      <x:c r="K8110" s="6" t="str">
        <x:f>IF(D8110="","",IF(AND(ISNUMBER(SEARCH("平",D8110)),OR(ISNUMBER(SEARCH("上",D8110)),ISNUMBER(SEARCH("去",D8110)),ISNUMBER(SEARCH("入",D8110)))),"Ambiguous",IF(ISNUMBER(SEARCH("平",D8110)),"平","仄")))</x:f>
        <x:v>平</x:v>
      </x:c>
      <x:c r="L8110" s="7" t="str">
        <x:v>Pingshui main list expansion</x:v>
      </x:c>
    </x:row>
    <x:row r="8111">
      <x:c r="A8111" s="5" t="str">
        <x:v>鉊</x:v>
      </x:c>
      <x:c r="B8111" s="6" t="str">
        <x:v>平</x:v>
      </x:c>
      <x:c r="C8111" s="6" t="str">
        <x:f>IF(B8111="","Needs decision","Ready")</x:f>
        <x:v>Ready</x:v>
      </x:c>
      <x:c r="D8111" s="6" t="str">
        <x:v>平</x:v>
      </x:c>
      <x:c r="E8111" s="6" t="str"/>
      <x:c r="F8111" s="6" t="str">
        <x:v>下平聲二蕭</x:v>
      </x:c>
      <x:c r="G8111" s="6" t="str">
        <x:v>Pingshui main list, Wikisource-derived DOCX</x:v>
      </x:c>
      <x:c r="H8111" s="6" t="str"/>
      <x:c r="I8111" s="6" t="str">
        <x:v>Pingshui main-list expansion; 詞 entries ignored</x:v>
      </x:c>
      <x:c r="J8111" s="6" t="str">
        <x:f>IF(B8111="","",IF(AND(ISNUMBER(SEARCH("平",B8111)),OR(ISNUMBER(SEARCH("上",B8111)),ISNUMBER(SEARCH("去",B8111)),ISNUMBER(SEARCH("入",B8111)))),"Ambiguous",IF(ISNUMBER(SEARCH("平",B8111)),"平","仄")))</x:f>
        <x:v>平</x:v>
      </x:c>
      <x:c r="K8111" s="6" t="str">
        <x:f>IF(D8111="","",IF(AND(ISNUMBER(SEARCH("平",D8111)),OR(ISNUMBER(SEARCH("上",D8111)),ISNUMBER(SEARCH("去",D8111)),ISNUMBER(SEARCH("入",D8111)))),"Ambiguous",IF(ISNUMBER(SEARCH("平",D8111)),"平","仄")))</x:f>
        <x:v>平</x:v>
      </x:c>
      <x:c r="L8111" s="7" t="str">
        <x:v>Pingshui main list expansion</x:v>
      </x:c>
    </x:row>
    <x:row r="8112">
      <x:c r="A8112" s="5" t="str">
        <x:v>鉋</x:v>
      </x:c>
      <x:c r="B8112" s="6" t="str">
        <x:v>平</x:v>
      </x:c>
      <x:c r="C8112" s="6" t="str">
        <x:f>IF(B8112="","Needs decision","Ready")</x:f>
        <x:v>Ready</x:v>
      </x:c>
      <x:c r="D8112" s="6" t="str">
        <x:v>平</x:v>
      </x:c>
      <x:c r="E8112" s="6" t="str"/>
      <x:c r="F8112" s="6" t="str">
        <x:v>下平聲三肴</x:v>
      </x:c>
      <x:c r="G8112" s="6" t="str">
        <x:v>Pingshui main list, Wikisource-derived DOCX</x:v>
      </x:c>
      <x:c r="H8112" s="6" t="str"/>
      <x:c r="I8112" s="6" t="str">
        <x:v>Pingshui main-list expansion; 詞 entries ignored</x:v>
      </x:c>
      <x:c r="J8112" s="6" t="str">
        <x:f>IF(B8112="","",IF(AND(ISNUMBER(SEARCH("平",B8112)),OR(ISNUMBER(SEARCH("上",B8112)),ISNUMBER(SEARCH("去",B8112)),ISNUMBER(SEARCH("入",B8112)))),"Ambiguous",IF(ISNUMBER(SEARCH("平",B8112)),"平","仄")))</x:f>
        <x:v>平</x:v>
      </x:c>
      <x:c r="K8112" s="6" t="str">
        <x:f>IF(D8112="","",IF(AND(ISNUMBER(SEARCH("平",D8112)),OR(ISNUMBER(SEARCH("上",D8112)),ISNUMBER(SEARCH("去",D8112)),ISNUMBER(SEARCH("入",D8112)))),"Ambiguous",IF(ISNUMBER(SEARCH("平",D8112)),"平","仄")))</x:f>
        <x:v>平</x:v>
      </x:c>
      <x:c r="L8112" s="7" t="str">
        <x:v>Pingshui main list expansion</x:v>
      </x:c>
    </x:row>
    <x:row r="8113">
      <x:c r="A8113" s="5" t="str">
        <x:v>鉍</x:v>
      </x:c>
      <x:c r="B8113" s="6" t="str">
        <x:v>入</x:v>
      </x:c>
      <x:c r="C8113" s="6" t="str">
        <x:f>IF(B8113="","Needs decision","Ready")</x:f>
        <x:v>Ready</x:v>
      </x:c>
      <x:c r="D8113" s="6" t="str">
        <x:v>入</x:v>
      </x:c>
      <x:c r="E8113" s="6" t="str"/>
      <x:c r="F8113" s="6" t="str">
        <x:v>入聲四質</x:v>
      </x:c>
      <x:c r="G8113" s="6" t="str">
        <x:v>Pingshui main list, Wikisource-derived DOCX</x:v>
      </x:c>
      <x:c r="H8113" s="6" t="str"/>
      <x:c r="I8113" s="6" t="str">
        <x:v>Pingshui main-list expansion; 詞 entries ignored</x:v>
      </x:c>
      <x:c r="J8113" s="6" t="str">
        <x:f>IF(B8113="","",IF(AND(ISNUMBER(SEARCH("平",B8113)),OR(ISNUMBER(SEARCH("上",B8113)),ISNUMBER(SEARCH("去",B8113)),ISNUMBER(SEARCH("入",B8113)))),"Ambiguous",IF(ISNUMBER(SEARCH("平",B8113)),"平","仄")))</x:f>
        <x:v>仄</x:v>
      </x:c>
      <x:c r="K8113" s="6" t="str">
        <x:f>IF(D8113="","",IF(AND(ISNUMBER(SEARCH("平",D8113)),OR(ISNUMBER(SEARCH("上",D8113)),ISNUMBER(SEARCH("去",D8113)),ISNUMBER(SEARCH("入",D8113)))),"Ambiguous",IF(ISNUMBER(SEARCH("平",D8113)),"平","仄")))</x:f>
        <x:v>仄</x:v>
      </x:c>
      <x:c r="L8113" s="7" t="str">
        <x:v>Pingshui main list expansion</x:v>
      </x:c>
    </x:row>
    <x:row r="8114">
      <x:c r="A8114" s="5" t="str">
        <x:v>鉒</x:v>
      </x:c>
      <x:c r="B8114" s="6" t="str">
        <x:v>去</x:v>
      </x:c>
      <x:c r="C8114" s="6" t="str">
        <x:f>IF(B8114="","Needs decision","Ready")</x:f>
        <x:v>Ready</x:v>
      </x:c>
      <x:c r="D8114" s="6" t="str">
        <x:v>去</x:v>
      </x:c>
      <x:c r="E8114" s="6" t="str"/>
      <x:c r="F8114" s="6" t="str">
        <x:v>去聲七遇</x:v>
      </x:c>
      <x:c r="G8114" s="6" t="str">
        <x:v>Pingshui main list, Wikisource-derived DOCX</x:v>
      </x:c>
      <x:c r="H8114" s="6" t="str"/>
      <x:c r="I8114" s="6" t="str">
        <x:v>Pingshui main-list expansion; 詞 entries ignored</x:v>
      </x:c>
      <x:c r="J8114" s="6" t="str">
        <x:f>IF(B8114="","",IF(AND(ISNUMBER(SEARCH("平",B8114)),OR(ISNUMBER(SEARCH("上",B8114)),ISNUMBER(SEARCH("去",B8114)),ISNUMBER(SEARCH("入",B8114)))),"Ambiguous",IF(ISNUMBER(SEARCH("平",B8114)),"平","仄")))</x:f>
        <x:v>仄</x:v>
      </x:c>
      <x:c r="K8114" s="6" t="str">
        <x:f>IF(D8114="","",IF(AND(ISNUMBER(SEARCH("平",D8114)),OR(ISNUMBER(SEARCH("上",D8114)),ISNUMBER(SEARCH("去",D8114)),ISNUMBER(SEARCH("入",D8114)))),"Ambiguous",IF(ISNUMBER(SEARCH("平",D8114)),"平","仄")))</x:f>
        <x:v>仄</x:v>
      </x:c>
      <x:c r="L8114" s="7" t="str">
        <x:v>Pingshui main list expansion</x:v>
      </x:c>
    </x:row>
    <x:row r="8115">
      <x:c r="A8115" s="5" t="str">
        <x:v>鉠</x:v>
      </x:c>
      <x:c r="B8115" s="6" t="str">
        <x:v>平</x:v>
      </x:c>
      <x:c r="C8115" s="6" t="str">
        <x:f>IF(B8115="","Needs decision","Ready")</x:f>
        <x:v>Ready</x:v>
      </x:c>
      <x:c r="D8115" s="6" t="str">
        <x:v>平</x:v>
      </x:c>
      <x:c r="E8115" s="6" t="str"/>
      <x:c r="F8115" s="6" t="str">
        <x:v>下平聲七陽</x:v>
      </x:c>
      <x:c r="G8115" s="6" t="str">
        <x:v>Pingshui main list, Wikisource-derived DOCX</x:v>
      </x:c>
      <x:c r="H8115" s="6" t="str"/>
      <x:c r="I8115" s="6" t="str">
        <x:v>Pingshui main-list expansion; 詞 entries ignored</x:v>
      </x:c>
      <x:c r="J8115" s="6" t="str">
        <x:f>IF(B8115="","",IF(AND(ISNUMBER(SEARCH("平",B8115)),OR(ISNUMBER(SEARCH("上",B8115)),ISNUMBER(SEARCH("去",B8115)),ISNUMBER(SEARCH("入",B8115)))),"Ambiguous",IF(ISNUMBER(SEARCH("平",B8115)),"平","仄")))</x:f>
        <x:v>平</x:v>
      </x:c>
      <x:c r="K8115" s="6" t="str">
        <x:f>IF(D8115="","",IF(AND(ISNUMBER(SEARCH("平",D8115)),OR(ISNUMBER(SEARCH("上",D8115)),ISNUMBER(SEARCH("去",D8115)),ISNUMBER(SEARCH("入",D8115)))),"Ambiguous",IF(ISNUMBER(SEARCH("平",D8115)),"平","仄")))</x:f>
        <x:v>平</x:v>
      </x:c>
      <x:c r="L8115" s="7" t="str">
        <x:v>Pingshui main list expansion</x:v>
      </x:c>
    </x:row>
    <x:row r="8116">
      <x:c r="A8116" s="5" t="str">
        <x:v>鉹</x:v>
      </x:c>
      <x:c r="B8116" s="6" t="str">
        <x:v>平</x:v>
      </x:c>
      <x:c r="C8116" s="6" t="str">
        <x:f>IF(B8116="","Needs decision","Ready")</x:f>
        <x:v>Ready</x:v>
      </x:c>
      <x:c r="D8116" s="6" t="str">
        <x:v>平</x:v>
      </x:c>
      <x:c r="E8116" s="6" t="str"/>
      <x:c r="F8116" s="6" t="str">
        <x:v>上平聲四支</x:v>
      </x:c>
      <x:c r="G8116" s="6" t="str">
        <x:v>Pingshui main list, Wikisource-derived DOCX</x:v>
      </x:c>
      <x:c r="H8116" s="6" t="str"/>
      <x:c r="I8116" s="6" t="str">
        <x:v>Pingshui main-list expansion; 詞 entries ignored</x:v>
      </x:c>
      <x:c r="J8116" s="6" t="str">
        <x:f>IF(B8116="","",IF(AND(ISNUMBER(SEARCH("平",B8116)),OR(ISNUMBER(SEARCH("上",B8116)),ISNUMBER(SEARCH("去",B8116)),ISNUMBER(SEARCH("入",B8116)))),"Ambiguous",IF(ISNUMBER(SEARCH("平",B8116)),"平","仄")))</x:f>
        <x:v>平</x:v>
      </x:c>
      <x:c r="K8116" s="6" t="str">
        <x:f>IF(D8116="","",IF(AND(ISNUMBER(SEARCH("平",D8116)),OR(ISNUMBER(SEARCH("上",D8116)),ISNUMBER(SEARCH("去",D8116)),ISNUMBER(SEARCH("入",D8116)))),"Ambiguous",IF(ISNUMBER(SEARCH("平",D8116)),"平","仄")))</x:f>
        <x:v>平</x:v>
      </x:c>
      <x:c r="L8116" s="7" t="str">
        <x:v>Pingshui main list expansion</x:v>
      </x:c>
    </x:row>
    <x:row r="8117">
      <x:c r="A8117" s="5" t="str">
        <x:v>銎</x:v>
      </x:c>
      <x:c r="B8117" s="6" t="str">
        <x:v>平</x:v>
      </x:c>
      <x:c r="C8117" s="6" t="str">
        <x:f>IF(B8117="","Needs decision","Ready")</x:f>
        <x:v>Ready</x:v>
      </x:c>
      <x:c r="D8117" s="6" t="str">
        <x:v>平</x:v>
      </x:c>
      <x:c r="E8117" s="6" t="str"/>
      <x:c r="F8117" s="6" t="str">
        <x:v>上平聲二冬</x:v>
      </x:c>
      <x:c r="G8117" s="6" t="str">
        <x:v>Pingshui main list, Wikisource-derived DOCX</x:v>
      </x:c>
      <x:c r="H8117" s="6" t="str"/>
      <x:c r="I8117" s="6" t="str">
        <x:v>Pingshui main-list expansion; 詞 entries ignored</x:v>
      </x:c>
      <x:c r="J8117" s="6" t="str">
        <x:f>IF(B8117="","",IF(AND(ISNUMBER(SEARCH("平",B8117)),OR(ISNUMBER(SEARCH("上",B8117)),ISNUMBER(SEARCH("去",B8117)),ISNUMBER(SEARCH("入",B8117)))),"Ambiguous",IF(ISNUMBER(SEARCH("平",B8117)),"平","仄")))</x:f>
        <x:v>平</x:v>
      </x:c>
      <x:c r="K8117" s="6" t="str">
        <x:f>IF(D8117="","",IF(AND(ISNUMBER(SEARCH("平",D8117)),OR(ISNUMBER(SEARCH("上",D8117)),ISNUMBER(SEARCH("去",D8117)),ISNUMBER(SEARCH("入",D8117)))),"Ambiguous",IF(ISNUMBER(SEARCH("平",D8117)),"平","仄")))</x:f>
        <x:v>平</x:v>
      </x:c>
      <x:c r="L8117" s="7" t="str">
        <x:v>Pingshui main list expansion</x:v>
      </x:c>
    </x:row>
    <x:row r="8118">
      <x:c r="A8118" s="5" t="str">
        <x:v>銙</x:v>
      </x:c>
      <x:c r="B8118" s="6" t="str">
        <x:v>上</x:v>
      </x:c>
      <x:c r="C8118" s="6" t="str">
        <x:f>IF(B8118="","Needs decision","Ready")</x:f>
        <x:v>Ready</x:v>
      </x:c>
      <x:c r="D8118" s="6" t="str">
        <x:v>上</x:v>
      </x:c>
      <x:c r="E8118" s="6" t="str"/>
      <x:c r="F8118" s="6" t="str">
        <x:v>上聲二十一馬</x:v>
      </x:c>
      <x:c r="G8118" s="6" t="str">
        <x:v>Pingshui main list, Wikisource-derived DOCX</x:v>
      </x:c>
      <x:c r="H8118" s="6" t="str"/>
      <x:c r="I8118" s="6" t="str">
        <x:v>Pingshui main-list expansion; 詞 entries ignored</x:v>
      </x:c>
      <x:c r="J8118" s="6" t="str">
        <x:f>IF(B8118="","",IF(AND(ISNUMBER(SEARCH("平",B8118)),OR(ISNUMBER(SEARCH("上",B8118)),ISNUMBER(SEARCH("去",B8118)),ISNUMBER(SEARCH("入",B8118)))),"Ambiguous",IF(ISNUMBER(SEARCH("平",B8118)),"平","仄")))</x:f>
        <x:v>仄</x:v>
      </x:c>
      <x:c r="K8118" s="6" t="str">
        <x:f>IF(D8118="","",IF(AND(ISNUMBER(SEARCH("平",D8118)),OR(ISNUMBER(SEARCH("上",D8118)),ISNUMBER(SEARCH("去",D8118)),ISNUMBER(SEARCH("入",D8118)))),"Ambiguous",IF(ISNUMBER(SEARCH("平",D8118)),"平","仄")))</x:f>
        <x:v>仄</x:v>
      </x:c>
      <x:c r="L8118" s="7" t="str">
        <x:v>Pingshui main list expansion</x:v>
      </x:c>
    </x:row>
    <x:row r="8119">
      <x:c r="A8119" s="5" t="str">
        <x:v>銶</x:v>
      </x:c>
      <x:c r="B8119" s="6" t="str">
        <x:v>平</x:v>
      </x:c>
      <x:c r="C8119" s="6" t="str">
        <x:f>IF(B8119="","Needs decision","Ready")</x:f>
        <x:v>Ready</x:v>
      </x:c>
      <x:c r="D8119" s="6" t="str">
        <x:v>平</x:v>
      </x:c>
      <x:c r="E8119" s="6" t="str"/>
      <x:c r="F8119" s="6" t="str">
        <x:v>下平聲十一尤</x:v>
      </x:c>
      <x:c r="G8119" s="6" t="str">
        <x:v>Pingshui main list, Wikisource-derived DOCX</x:v>
      </x:c>
      <x:c r="H8119" s="6" t="str"/>
      <x:c r="I8119" s="6" t="str">
        <x:v>Pingshui main-list expansion; 詞 entries ignored</x:v>
      </x:c>
      <x:c r="J8119" s="6" t="str">
        <x:f>IF(B8119="","",IF(AND(ISNUMBER(SEARCH("平",B8119)),OR(ISNUMBER(SEARCH("上",B8119)),ISNUMBER(SEARCH("去",B8119)),ISNUMBER(SEARCH("入",B8119)))),"Ambiguous",IF(ISNUMBER(SEARCH("平",B8119)),"平","仄")))</x:f>
        <x:v>平</x:v>
      </x:c>
      <x:c r="K8119" s="6" t="str">
        <x:f>IF(D8119="","",IF(AND(ISNUMBER(SEARCH("平",D8119)),OR(ISNUMBER(SEARCH("上",D8119)),ISNUMBER(SEARCH("去",D8119)),ISNUMBER(SEARCH("入",D8119)))),"Ambiguous",IF(ISNUMBER(SEARCH("平",D8119)),"平","仄")))</x:f>
        <x:v>平</x:v>
      </x:c>
      <x:c r="L8119" s="7" t="str">
        <x:v>Pingshui main list expansion</x:v>
      </x:c>
    </x:row>
    <x:row r="8120">
      <x:c r="A8120" s="5" t="str">
        <x:v>銻</x:v>
      </x:c>
      <x:c r="B8120" s="6" t="str">
        <x:v>平</x:v>
      </x:c>
      <x:c r="C8120" s="6" t="str">
        <x:f>IF(B8120="","Needs decision","Ready")</x:f>
        <x:v>Ready</x:v>
      </x:c>
      <x:c r="D8120" s="6" t="str">
        <x:v>平</x:v>
      </x:c>
      <x:c r="E8120" s="6" t="str"/>
      <x:c r="F8120" s="6" t="str">
        <x:v>上平聲八齊</x:v>
      </x:c>
      <x:c r="G8120" s="6" t="str">
        <x:v>Pingshui main list, Wikisource-derived DOCX</x:v>
      </x:c>
      <x:c r="H8120" s="6" t="str"/>
      <x:c r="I8120" s="6" t="str">
        <x:v>Pingshui main-list expansion; 詞 entries ignored</x:v>
      </x:c>
      <x:c r="J8120" s="6" t="str">
        <x:f>IF(B8120="","",IF(AND(ISNUMBER(SEARCH("平",B8120)),OR(ISNUMBER(SEARCH("上",B8120)),ISNUMBER(SEARCH("去",B8120)),ISNUMBER(SEARCH("入",B8120)))),"Ambiguous",IF(ISNUMBER(SEARCH("平",B8120)),"平","仄")))</x:f>
        <x:v>平</x:v>
      </x:c>
      <x:c r="K8120" s="6" t="str">
        <x:f>IF(D8120="","",IF(AND(ISNUMBER(SEARCH("平",D8120)),OR(ISNUMBER(SEARCH("上",D8120)),ISNUMBER(SEARCH("去",D8120)),ISNUMBER(SEARCH("入",D8120)))),"Ambiguous",IF(ISNUMBER(SEARCH("平",D8120)),"平","仄")))</x:f>
        <x:v>平</x:v>
      </x:c>
      <x:c r="L8120" s="7" t="str">
        <x:v>Pingshui main list expansion</x:v>
      </x:c>
    </x:row>
    <x:row r="8121">
      <x:c r="A8121" s="5" t="str">
        <x:v>銼</x:v>
      </x:c>
      <x:c r="B8121" s="6" t="str">
        <x:v>去</x:v>
      </x:c>
      <x:c r="C8121" s="6" t="str">
        <x:f>IF(B8121="","Needs decision","Ready")</x:f>
        <x:v>Ready</x:v>
      </x:c>
      <x:c r="D8121" s="6" t="str">
        <x:v>去</x:v>
      </x:c>
      <x:c r="E8121" s="6" t="str"/>
      <x:c r="F8121" s="6" t="str">
        <x:v>去聲二十一箇</x:v>
      </x:c>
      <x:c r="G8121" s="6" t="str">
        <x:v>Pingshui main list, Wikisource-derived DOCX</x:v>
      </x:c>
      <x:c r="H8121" s="6" t="str"/>
      <x:c r="I8121" s="6" t="str">
        <x:v>Pingshui main-list expansion; 詞 entries ignored</x:v>
      </x:c>
      <x:c r="J8121" s="6" t="str">
        <x:f>IF(B8121="","",IF(AND(ISNUMBER(SEARCH("平",B8121)),OR(ISNUMBER(SEARCH("上",B8121)),ISNUMBER(SEARCH("去",B8121)),ISNUMBER(SEARCH("入",B8121)))),"Ambiguous",IF(ISNUMBER(SEARCH("平",B8121)),"平","仄")))</x:f>
        <x:v>仄</x:v>
      </x:c>
      <x:c r="K8121" s="6" t="str">
        <x:f>IF(D8121="","",IF(AND(ISNUMBER(SEARCH("平",D8121)),OR(ISNUMBER(SEARCH("上",D8121)),ISNUMBER(SEARCH("去",D8121)),ISNUMBER(SEARCH("入",D8121)))),"Ambiguous",IF(ISNUMBER(SEARCH("平",D8121)),"平","仄")))</x:f>
        <x:v>仄</x:v>
      </x:c>
      <x:c r="L8121" s="7" t="str">
        <x:v>Pingshui main list expansion</x:v>
      </x:c>
    </x:row>
    <x:row r="8122">
      <x:c r="A8122" s="5" t="str">
        <x:v>鋂</x:v>
      </x:c>
      <x:c r="B8122" s="6" t="str">
        <x:v>平</x:v>
      </x:c>
      <x:c r="C8122" s="6" t="str">
        <x:f>IF(B8122="","Needs decision","Ready")</x:f>
        <x:v>Ready</x:v>
      </x:c>
      <x:c r="D8122" s="6" t="str">
        <x:v>平</x:v>
      </x:c>
      <x:c r="E8122" s="6" t="str"/>
      <x:c r="F8122" s="6" t="str">
        <x:v>上平聲十灰</x:v>
      </x:c>
      <x:c r="G8122" s="6" t="str">
        <x:v>Pingshui main list, Wikisource-derived DOCX</x:v>
      </x:c>
      <x:c r="H8122" s="6" t="str"/>
      <x:c r="I8122" s="6" t="str">
        <x:v>Pingshui main-list expansion; 詞 entries ignored</x:v>
      </x:c>
      <x:c r="J8122" s="6" t="str">
        <x:f>IF(B8122="","",IF(AND(ISNUMBER(SEARCH("平",B8122)),OR(ISNUMBER(SEARCH("上",B8122)),ISNUMBER(SEARCH("去",B8122)),ISNUMBER(SEARCH("入",B8122)))),"Ambiguous",IF(ISNUMBER(SEARCH("平",B8122)),"平","仄")))</x:f>
        <x:v>平</x:v>
      </x:c>
      <x:c r="K8122" s="6" t="str">
        <x:f>IF(D8122="","",IF(AND(ISNUMBER(SEARCH("平",D8122)),OR(ISNUMBER(SEARCH("上",D8122)),ISNUMBER(SEARCH("去",D8122)),ISNUMBER(SEARCH("入",D8122)))),"Ambiguous",IF(ISNUMBER(SEARCH("平",D8122)),"平","仄")))</x:f>
        <x:v>平</x:v>
      </x:c>
      <x:c r="L8122" s="7" t="str">
        <x:v>Pingshui main list expansion</x:v>
      </x:c>
    </x:row>
    <x:row r="8123">
      <x:c r="A8123" s="5" t="str">
        <x:v>鋃</x:v>
      </x:c>
      <x:c r="B8123" s="6" t="str">
        <x:v>平</x:v>
      </x:c>
      <x:c r="C8123" s="6" t="str">
        <x:f>IF(B8123="","Needs decision","Ready")</x:f>
        <x:v>Ready</x:v>
      </x:c>
      <x:c r="D8123" s="6" t="str">
        <x:v>平</x:v>
      </x:c>
      <x:c r="E8123" s="6" t="str"/>
      <x:c r="F8123" s="6" t="str">
        <x:v>下平聲七陽</x:v>
      </x:c>
      <x:c r="G8123" s="6" t="str">
        <x:v>Pingshui main list, Wikisource-derived DOCX</x:v>
      </x:c>
      <x:c r="H8123" s="6" t="str"/>
      <x:c r="I8123" s="6" t="str">
        <x:v>Pingshui main-list expansion; 詞 entries ignored</x:v>
      </x:c>
      <x:c r="J8123" s="6" t="str">
        <x:f>IF(B8123="","",IF(AND(ISNUMBER(SEARCH("平",B8123)),OR(ISNUMBER(SEARCH("上",B8123)),ISNUMBER(SEARCH("去",B8123)),ISNUMBER(SEARCH("入",B8123)))),"Ambiguous",IF(ISNUMBER(SEARCH("平",B8123)),"平","仄")))</x:f>
        <x:v>平</x:v>
      </x:c>
      <x:c r="K8123" s="6" t="str">
        <x:f>IF(D8123="","",IF(AND(ISNUMBER(SEARCH("平",D8123)),OR(ISNUMBER(SEARCH("上",D8123)),ISNUMBER(SEARCH("去",D8123)),ISNUMBER(SEARCH("入",D8123)))),"Ambiguous",IF(ISNUMBER(SEARCH("平",D8123)),"平","仄")))</x:f>
        <x:v>平</x:v>
      </x:c>
      <x:c r="L8123" s="7" t="str">
        <x:v>Pingshui main list expansion</x:v>
      </x:c>
    </x:row>
    <x:row r="8124">
      <x:c r="A8124" s="5" t="str">
        <x:v>鋈</x:v>
      </x:c>
      <x:c r="B8124" s="6" t="str">
        <x:v>入</x:v>
      </x:c>
      <x:c r="C8124" s="6" t="str">
        <x:f>IF(B8124="","Needs decision","Ready")</x:f>
        <x:v>Ready</x:v>
      </x:c>
      <x:c r="D8124" s="6" t="str">
        <x:v>入</x:v>
      </x:c>
      <x:c r="E8124" s="6" t="str"/>
      <x:c r="F8124" s="6" t="str">
        <x:v>入聲二沃</x:v>
      </x:c>
      <x:c r="G8124" s="6" t="str">
        <x:v>Pingshui main list, Wikisource-derived DOCX</x:v>
      </x:c>
      <x:c r="H8124" s="6" t="str"/>
      <x:c r="I8124" s="6" t="str">
        <x:v>Pingshui main-list expansion; 詞 entries ignored</x:v>
      </x:c>
      <x:c r="J8124" s="6" t="str">
        <x:f>IF(B8124="","",IF(AND(ISNUMBER(SEARCH("平",B8124)),OR(ISNUMBER(SEARCH("上",B8124)),ISNUMBER(SEARCH("去",B8124)),ISNUMBER(SEARCH("入",B8124)))),"Ambiguous",IF(ISNUMBER(SEARCH("平",B8124)),"平","仄")))</x:f>
        <x:v>仄</x:v>
      </x:c>
      <x:c r="K8124" s="6" t="str">
        <x:f>IF(D8124="","",IF(AND(ISNUMBER(SEARCH("平",D8124)),OR(ISNUMBER(SEARCH("上",D8124)),ISNUMBER(SEARCH("去",D8124)),ISNUMBER(SEARCH("入",D8124)))),"Ambiguous",IF(ISNUMBER(SEARCH("平",D8124)),"平","仄")))</x:f>
        <x:v>仄</x:v>
      </x:c>
      <x:c r="L8124" s="7" t="str">
        <x:v>Pingshui main list expansion</x:v>
      </x:c>
    </x:row>
    <x:row r="8125">
      <x:c r="A8125" s="5" t="str">
        <x:v>鋘</x:v>
      </x:c>
      <x:c r="B8125" s="6" t="str">
        <x:v>平</x:v>
      </x:c>
      <x:c r="C8125" s="6" t="str">
        <x:f>IF(B8125="","Needs decision","Ready")</x:f>
        <x:v>Ready</x:v>
      </x:c>
      <x:c r="D8125" s="6" t="str">
        <x:v>平</x:v>
      </x:c>
      <x:c r="E8125" s="6" t="str"/>
      <x:c r="F8125" s="6" t="str">
        <x:v>上平聲七虞; 下平聲六麻</x:v>
      </x:c>
      <x:c r="G8125" s="6" t="str">
        <x:v>Pingshui main list, Wikisource-derived DOCX</x:v>
      </x:c>
      <x:c r="H8125" s="6" t="str"/>
      <x:c r="I8125" s="6" t="str">
        <x:v>Pingshui main-list expansion; 詞 entries ignored</x:v>
      </x:c>
      <x:c r="J8125" s="6" t="str">
        <x:f>IF(B8125="","",IF(AND(ISNUMBER(SEARCH("平",B8125)),OR(ISNUMBER(SEARCH("上",B8125)),ISNUMBER(SEARCH("去",B8125)),ISNUMBER(SEARCH("入",B8125)))),"Ambiguous",IF(ISNUMBER(SEARCH("平",B8125)),"平","仄")))</x:f>
        <x:v>平</x:v>
      </x:c>
      <x:c r="K8125" s="6" t="str">
        <x:f>IF(D8125="","",IF(AND(ISNUMBER(SEARCH("平",D8125)),OR(ISNUMBER(SEARCH("上",D8125)),ISNUMBER(SEARCH("去",D8125)),ISNUMBER(SEARCH("入",D8125)))),"Ambiguous",IF(ISNUMBER(SEARCH("平",D8125)),"平","仄")))</x:f>
        <x:v>平</x:v>
      </x:c>
      <x:c r="L8125" s="7" t="str">
        <x:v>Pingshui main list expansion</x:v>
      </x:c>
    </x:row>
    <x:row r="8126">
      <x:c r="A8126" s="5" t="str">
        <x:v>鋝</x:v>
      </x:c>
      <x:c r="B8126" s="6" t="str">
        <x:v>入</x:v>
      </x:c>
      <x:c r="C8126" s="6" t="str">
        <x:f>IF(B8126="","Needs decision","Ready")</x:f>
        <x:v>Ready</x:v>
      </x:c>
      <x:c r="D8126" s="6" t="str">
        <x:v>入</x:v>
      </x:c>
      <x:c r="E8126" s="6" t="str"/>
      <x:c r="F8126" s="6" t="str">
        <x:v>入聲九屑</x:v>
      </x:c>
      <x:c r="G8126" s="6" t="str">
        <x:v>Pingshui main list, Wikisource-derived DOCX</x:v>
      </x:c>
      <x:c r="H8126" s="6" t="str"/>
      <x:c r="I8126" s="6" t="str">
        <x:v>Pingshui main-list expansion; 詞 entries ignored</x:v>
      </x:c>
      <x:c r="J8126" s="6" t="str">
        <x:f>IF(B8126="","",IF(AND(ISNUMBER(SEARCH("平",B8126)),OR(ISNUMBER(SEARCH("上",B8126)),ISNUMBER(SEARCH("去",B8126)),ISNUMBER(SEARCH("入",B8126)))),"Ambiguous",IF(ISNUMBER(SEARCH("平",B8126)),"平","仄")))</x:f>
        <x:v>仄</x:v>
      </x:c>
      <x:c r="K8126" s="6" t="str">
        <x:f>IF(D8126="","",IF(AND(ISNUMBER(SEARCH("平",D8126)),OR(ISNUMBER(SEARCH("上",D8126)),ISNUMBER(SEARCH("去",D8126)),ISNUMBER(SEARCH("入",D8126)))),"Ambiguous",IF(ISNUMBER(SEARCH("平",D8126)),"平","仄")))</x:f>
        <x:v>仄</x:v>
      </x:c>
      <x:c r="L8126" s="7" t="str">
        <x:v>Pingshui main list expansion</x:v>
      </x:c>
    </x:row>
    <x:row r="8127">
      <x:c r="A8127" s="5" t="str">
        <x:v>鋟</x:v>
      </x:c>
      <x:c r="B8127" s="6" t="str">
        <x:v>上</x:v>
      </x:c>
      <x:c r="C8127" s="6" t="str">
        <x:f>IF(B8127="","Needs decision","Ready")</x:f>
        <x:v>Ready</x:v>
      </x:c>
      <x:c r="D8127" s="6" t="str">
        <x:v>上</x:v>
      </x:c>
      <x:c r="E8127" s="6" t="str"/>
      <x:c r="F8127" s="6" t="str">
        <x:v>上聲二十六寢</x:v>
      </x:c>
      <x:c r="G8127" s="6" t="str">
        <x:v>Pingshui main list, Wikisource-derived DOCX</x:v>
      </x:c>
      <x:c r="H8127" s="6" t="str"/>
      <x:c r="I8127" s="6" t="str">
        <x:v>Pingshui main-list expansion; 詞 entries ignored</x:v>
      </x:c>
      <x:c r="J8127" s="6" t="str">
        <x:f>IF(B8127="","",IF(AND(ISNUMBER(SEARCH("平",B8127)),OR(ISNUMBER(SEARCH("上",B8127)),ISNUMBER(SEARCH("去",B8127)),ISNUMBER(SEARCH("入",B8127)))),"Ambiguous",IF(ISNUMBER(SEARCH("平",B8127)),"平","仄")))</x:f>
        <x:v>仄</x:v>
      </x:c>
      <x:c r="K8127" s="6" t="str">
        <x:f>IF(D8127="","",IF(AND(ISNUMBER(SEARCH("平",D8127)),OR(ISNUMBER(SEARCH("上",D8127)),ISNUMBER(SEARCH("去",D8127)),ISNUMBER(SEARCH("入",D8127)))),"Ambiguous",IF(ISNUMBER(SEARCH("平",D8127)),"平","仄")))</x:f>
        <x:v>仄</x:v>
      </x:c>
      <x:c r="L8127" s="7" t="str">
        <x:v>Pingshui main list expansion</x:v>
      </x:c>
    </x:row>
    <x:row r="8128">
      <x:c r="A8128" s="5" t="str">
        <x:v>錏</x:v>
      </x:c>
      <x:c r="B8128" s="6" t="str">
        <x:v>平</x:v>
      </x:c>
      <x:c r="C8128" s="6" t="str">
        <x:f>IF(B8128="","Needs decision","Ready")</x:f>
        <x:v>Ready</x:v>
      </x:c>
      <x:c r="D8128" s="6" t="str">
        <x:v>平</x:v>
      </x:c>
      <x:c r="E8128" s="6" t="str"/>
      <x:c r="F8128" s="6" t="str">
        <x:v>下平聲六麻</x:v>
      </x:c>
      <x:c r="G8128" s="6" t="str">
        <x:v>Pingshui main list, Wikisource-derived DOCX</x:v>
      </x:c>
      <x:c r="H8128" s="6" t="str"/>
      <x:c r="I8128" s="6" t="str">
        <x:v>Pingshui main-list expansion; 詞 entries ignored</x:v>
      </x:c>
      <x:c r="J8128" s="6" t="str">
        <x:f>IF(B8128="","",IF(AND(ISNUMBER(SEARCH("平",B8128)),OR(ISNUMBER(SEARCH("上",B8128)),ISNUMBER(SEARCH("去",B8128)),ISNUMBER(SEARCH("入",B8128)))),"Ambiguous",IF(ISNUMBER(SEARCH("平",B8128)),"平","仄")))</x:f>
        <x:v>平</x:v>
      </x:c>
      <x:c r="K8128" s="6" t="str">
        <x:f>IF(D8128="","",IF(AND(ISNUMBER(SEARCH("平",D8128)),OR(ISNUMBER(SEARCH("上",D8128)),ISNUMBER(SEARCH("去",D8128)),ISNUMBER(SEARCH("入",D8128)))),"Ambiguous",IF(ISNUMBER(SEARCH("平",D8128)),"平","仄")))</x:f>
        <x:v>平</x:v>
      </x:c>
      <x:c r="L8128" s="7" t="str">
        <x:v>Pingshui main list expansion</x:v>
      </x:c>
    </x:row>
    <x:row r="8129">
      <x:c r="A8129" s="5" t="str">
        <x:v>錙</x:v>
      </x:c>
      <x:c r="B8129" s="6" t="str">
        <x:v>平</x:v>
      </x:c>
      <x:c r="C8129" s="6" t="str">
        <x:f>IF(B8129="","Needs decision","Ready")</x:f>
        <x:v>Ready</x:v>
      </x:c>
      <x:c r="D8129" s="6" t="str">
        <x:v>平</x:v>
      </x:c>
      <x:c r="E8129" s="6" t="str"/>
      <x:c r="F8129" s="6" t="str">
        <x:v>上平聲四支</x:v>
      </x:c>
      <x:c r="G8129" s="6" t="str">
        <x:v>Pingshui main list, Wikisource-derived DOCX</x:v>
      </x:c>
      <x:c r="H8129" s="6" t="str"/>
      <x:c r="I8129" s="6" t="str">
        <x:v>Pingshui main-list expansion; 詞 entries ignored</x:v>
      </x:c>
      <x:c r="J8129" s="6" t="str">
        <x:f>IF(B8129="","",IF(AND(ISNUMBER(SEARCH("平",B8129)),OR(ISNUMBER(SEARCH("上",B8129)),ISNUMBER(SEARCH("去",B8129)),ISNUMBER(SEARCH("入",B8129)))),"Ambiguous",IF(ISNUMBER(SEARCH("平",B8129)),"平","仄")))</x:f>
        <x:v>平</x:v>
      </x:c>
      <x:c r="K8129" s="6" t="str">
        <x:f>IF(D8129="","",IF(AND(ISNUMBER(SEARCH("平",D8129)),OR(ISNUMBER(SEARCH("上",D8129)),ISNUMBER(SEARCH("去",D8129)),ISNUMBER(SEARCH("入",D8129)))),"Ambiguous",IF(ISNUMBER(SEARCH("平",D8129)),"平","仄")))</x:f>
        <x:v>平</x:v>
      </x:c>
      <x:c r="L8129" s="7" t="str">
        <x:v>Pingshui main list expansion</x:v>
      </x:c>
    </x:row>
    <x:row r="8130">
      <x:c r="A8130" s="5" t="str">
        <x:v>錞</x:v>
      </x:c>
      <x:c r="B8130" s="6" t="str"/>
      <x:c r="C8130" s="6" t="str">
        <x:f>IF(B8130="","Needs decision","Ready")</x:f>
        <x:v>Needs decision</x:v>
      </x:c>
      <x:c r="D8130" s="6" t="str">
        <x:v>平/上</x:v>
      </x:c>
      <x:c r="E8130" s="6" t="str"/>
      <x:c r="F8130" s="6" t="str">
        <x:v>上平聲十一真; 上聲十賄</x:v>
      </x:c>
      <x:c r="G8130" s="6" t="str">
        <x:v>Pingshui main list, Wikisource-derived DOCX</x:v>
      </x:c>
      <x:c r="H8130" s="6" t="str"/>
      <x:c r="I8130" s="6" t="str">
        <x:v>Pingshui main-list expansion; 詞 entries ignored</x:v>
      </x:c>
      <x:c r="J8130" s="6" t="str">
        <x:f>IF(B8130="","",IF(AND(ISNUMBER(SEARCH("平",B8130)),OR(ISNUMBER(SEARCH("上",B8130)),ISNUMBER(SEARCH("去",B8130)),ISNUMBER(SEARCH("入",B8130)))),"Ambiguous",IF(ISNUMBER(SEARCH("平",B8130)),"平","仄")))</x:f>
      </x:c>
      <x:c r="K8130" s="6" t="str">
        <x:f>IF(D8130="","",IF(AND(ISNUMBER(SEARCH("平",D8130)),OR(ISNUMBER(SEARCH("上",D8130)),ISNUMBER(SEARCH("去",D8130)),ISNUMBER(SEARCH("入",D8130)))),"Ambiguous",IF(ISNUMBER(SEARCH("平",D8130)),"平","仄")))</x:f>
        <x:v>Ambiguous</x:v>
      </x:c>
      <x:c r="L8130" s="7" t="str">
        <x:v>Pingshui main list expansion</x:v>
      </x:c>
    </x:row>
    <x:row r="8131">
      <x:c r="A8131" s="5" t="str">
        <x:v>錟</x:v>
      </x:c>
      <x:c r="B8131" s="6" t="str">
        <x:v>平</x:v>
      </x:c>
      <x:c r="C8131" s="6" t="str">
        <x:f>IF(B8131="","Needs decision","Ready")</x:f>
        <x:v>Ready</x:v>
      </x:c>
      <x:c r="D8131" s="6" t="str">
        <x:v>平</x:v>
      </x:c>
      <x:c r="E8131" s="6" t="str"/>
      <x:c r="F8131" s="6" t="str">
        <x:v>下平聲十三覃</x:v>
      </x:c>
      <x:c r="G8131" s="6" t="str">
        <x:v>Pingshui main list, Wikisource-derived DOCX</x:v>
      </x:c>
      <x:c r="H8131" s="6" t="str"/>
      <x:c r="I8131" s="6" t="str">
        <x:v>Pingshui main-list expansion; 詞 entries ignored</x:v>
      </x:c>
      <x:c r="J8131" s="6" t="str">
        <x:f>IF(B8131="","",IF(AND(ISNUMBER(SEARCH("平",B8131)),OR(ISNUMBER(SEARCH("上",B8131)),ISNUMBER(SEARCH("去",B8131)),ISNUMBER(SEARCH("入",B8131)))),"Ambiguous",IF(ISNUMBER(SEARCH("平",B8131)),"平","仄")))</x:f>
        <x:v>平</x:v>
      </x:c>
      <x:c r="K8131" s="6" t="str">
        <x:f>IF(D8131="","",IF(AND(ISNUMBER(SEARCH("平",D8131)),OR(ISNUMBER(SEARCH("上",D8131)),ISNUMBER(SEARCH("去",D8131)),ISNUMBER(SEARCH("入",D8131)))),"Ambiguous",IF(ISNUMBER(SEARCH("平",D8131)),"平","仄")))</x:f>
        <x:v>平</x:v>
      </x:c>
      <x:c r="L8131" s="7" t="str">
        <x:v>Pingshui main list expansion</x:v>
      </x:c>
    </x:row>
    <x:row r="8132">
      <x:c r="A8132" s="5" t="str">
        <x:v>錤</x:v>
      </x:c>
      <x:c r="B8132" s="6" t="str">
        <x:v>平</x:v>
      </x:c>
      <x:c r="C8132" s="6" t="str">
        <x:f>IF(B8132="","Needs decision","Ready")</x:f>
        <x:v>Ready</x:v>
      </x:c>
      <x:c r="D8132" s="6" t="str">
        <x:v>平</x:v>
      </x:c>
      <x:c r="E8132" s="6" t="str"/>
      <x:c r="F8132" s="6" t="str">
        <x:v>上平聲四支</x:v>
      </x:c>
      <x:c r="G8132" s="6" t="str">
        <x:v>Pingshui main list, Wikisource-derived DOCX</x:v>
      </x:c>
      <x:c r="H8132" s="6" t="str"/>
      <x:c r="I8132" s="6" t="str">
        <x:v>Pingshui main-list expansion; 詞 entries ignored</x:v>
      </x:c>
      <x:c r="J8132" s="6" t="str">
        <x:f>IF(B8132="","",IF(AND(ISNUMBER(SEARCH("平",B8132)),OR(ISNUMBER(SEARCH("上",B8132)),ISNUMBER(SEARCH("去",B8132)),ISNUMBER(SEARCH("入",B8132)))),"Ambiguous",IF(ISNUMBER(SEARCH("平",B8132)),"平","仄")))</x:f>
        <x:v>平</x:v>
      </x:c>
      <x:c r="K8132" s="6" t="str">
        <x:f>IF(D8132="","",IF(AND(ISNUMBER(SEARCH("平",D8132)),OR(ISNUMBER(SEARCH("上",D8132)),ISNUMBER(SEARCH("去",D8132)),ISNUMBER(SEARCH("入",D8132)))),"Ambiguous",IF(ISNUMBER(SEARCH("平",D8132)),"平","仄")))</x:f>
        <x:v>平</x:v>
      </x:c>
      <x:c r="L8132" s="7" t="str">
        <x:v>Pingshui main list expansion</x:v>
      </x:c>
    </x:row>
    <x:row r="8133">
      <x:c r="A8133" s="5" t="str">
        <x:v>鍋</x:v>
      </x:c>
      <x:c r="B8133" s="6" t="str">
        <x:v>平</x:v>
      </x:c>
      <x:c r="C8133" s="6" t="str">
        <x:f>IF(B8133="","Needs decision","Ready")</x:f>
        <x:v>Ready</x:v>
      </x:c>
      <x:c r="D8133" s="6" t="str">
        <x:v>平</x:v>
      </x:c>
      <x:c r="E8133" s="6" t="str"/>
      <x:c r="F8133" s="6" t="str">
        <x:v>下平聲五歌</x:v>
      </x:c>
      <x:c r="G8133" s="6" t="str">
        <x:v>Pingshui main list, Wikisource-derived DOCX</x:v>
      </x:c>
      <x:c r="H8133" s="6" t="str"/>
      <x:c r="I8133" s="6" t="str">
        <x:v>Pingshui main-list expansion; 詞 entries ignored</x:v>
      </x:c>
      <x:c r="J8133" s="6" t="str">
        <x:f>IF(B8133="","",IF(AND(ISNUMBER(SEARCH("平",B8133)),OR(ISNUMBER(SEARCH("上",B8133)),ISNUMBER(SEARCH("去",B8133)),ISNUMBER(SEARCH("入",B8133)))),"Ambiguous",IF(ISNUMBER(SEARCH("平",B8133)),"平","仄")))</x:f>
        <x:v>平</x:v>
      </x:c>
      <x:c r="K8133" s="6" t="str">
        <x:f>IF(D8133="","",IF(AND(ISNUMBER(SEARCH("平",D8133)),OR(ISNUMBER(SEARCH("上",D8133)),ISNUMBER(SEARCH("去",D8133)),ISNUMBER(SEARCH("入",D8133)))),"Ambiguous",IF(ISNUMBER(SEARCH("平",D8133)),"平","仄")))</x:f>
        <x:v>平</x:v>
      </x:c>
      <x:c r="L8133" s="7" t="str">
        <x:v>Pingshui main list expansion</x:v>
      </x:c>
    </x:row>
    <x:row r="8134">
      <x:c r="A8134" s="5" t="str">
        <x:v>鍍</x:v>
      </x:c>
      <x:c r="B8134" s="6" t="str">
        <x:v>去</x:v>
      </x:c>
      <x:c r="C8134" s="6" t="str">
        <x:f>IF(B8134="","Needs decision","Ready")</x:f>
        <x:v>Ready</x:v>
      </x:c>
      <x:c r="D8134" s="6" t="str">
        <x:v>去</x:v>
      </x:c>
      <x:c r="E8134" s="6" t="str"/>
      <x:c r="F8134" s="6" t="str">
        <x:v>去聲七遇</x:v>
      </x:c>
      <x:c r="G8134" s="6" t="str">
        <x:v>Pingshui main list, Wikisource-derived DOCX</x:v>
      </x:c>
      <x:c r="H8134" s="6" t="str"/>
      <x:c r="I8134" s="6" t="str">
        <x:v>Pingshui main-list expansion; 詞 entries ignored</x:v>
      </x:c>
      <x:c r="J8134" s="6" t="str">
        <x:f>IF(B8134="","",IF(AND(ISNUMBER(SEARCH("平",B8134)),OR(ISNUMBER(SEARCH("上",B8134)),ISNUMBER(SEARCH("去",B8134)),ISNUMBER(SEARCH("入",B8134)))),"Ambiguous",IF(ISNUMBER(SEARCH("平",B8134)),"平","仄")))</x:f>
        <x:v>仄</x:v>
      </x:c>
      <x:c r="K8134" s="6" t="str">
        <x:f>IF(D8134="","",IF(AND(ISNUMBER(SEARCH("平",D8134)),OR(ISNUMBER(SEARCH("上",D8134)),ISNUMBER(SEARCH("去",D8134)),ISNUMBER(SEARCH("入",D8134)))),"Ambiguous",IF(ISNUMBER(SEARCH("平",D8134)),"平","仄")))</x:f>
        <x:v>仄</x:v>
      </x:c>
      <x:c r="L8134" s="7" t="str">
        <x:v>Pingshui main list expansion</x:v>
      </x:c>
    </x:row>
    <x:row r="8135">
      <x:c r="A8135" s="5" t="str">
        <x:v>鍑</x:v>
      </x:c>
      <x:c r="B8135" s="6" t="str">
        <x:v>去</x:v>
      </x:c>
      <x:c r="C8135" s="6" t="str">
        <x:f>IF(B8135="","Needs decision","Ready")</x:f>
        <x:v>Ready</x:v>
      </x:c>
      <x:c r="D8135" s="6" t="str">
        <x:v>去</x:v>
      </x:c>
      <x:c r="E8135" s="6" t="str"/>
      <x:c r="F8135" s="6" t="str">
        <x:v>去聲二十六宥</x:v>
      </x:c>
      <x:c r="G8135" s="6" t="str">
        <x:v>Pingshui main list, Wikisource-derived DOCX</x:v>
      </x:c>
      <x:c r="H8135" s="6" t="str"/>
      <x:c r="I8135" s="6" t="str">
        <x:v>Pingshui main-list expansion; 詞 entries ignored</x:v>
      </x:c>
      <x:c r="J8135" s="6" t="str">
        <x:f>IF(B8135="","",IF(AND(ISNUMBER(SEARCH("平",B8135)),OR(ISNUMBER(SEARCH("上",B8135)),ISNUMBER(SEARCH("去",B8135)),ISNUMBER(SEARCH("入",B8135)))),"Ambiguous",IF(ISNUMBER(SEARCH("平",B8135)),"平","仄")))</x:f>
        <x:v>仄</x:v>
      </x:c>
      <x:c r="K8135" s="6" t="str">
        <x:f>IF(D8135="","",IF(AND(ISNUMBER(SEARCH("平",D8135)),OR(ISNUMBER(SEARCH("上",D8135)),ISNUMBER(SEARCH("去",D8135)),ISNUMBER(SEARCH("入",D8135)))),"Ambiguous",IF(ISNUMBER(SEARCH("平",D8135)),"平","仄")))</x:f>
        <x:v>仄</x:v>
      </x:c>
      <x:c r="L8135" s="7" t="str">
        <x:v>Pingshui main list expansion</x:v>
      </x:c>
    </x:row>
    <x:row r="8136">
      <x:c r="A8136" s="5" t="str">
        <x:v>鍒</x:v>
      </x:c>
      <x:c r="B8136" s="6" t="str">
        <x:v>平</x:v>
      </x:c>
      <x:c r="C8136" s="6" t="str">
        <x:f>IF(B8136="","Needs decision","Ready")</x:f>
        <x:v>Ready</x:v>
      </x:c>
      <x:c r="D8136" s="6" t="str">
        <x:v>平</x:v>
      </x:c>
      <x:c r="E8136" s="6" t="str"/>
      <x:c r="F8136" s="6" t="str">
        <x:v>下平聲十一尤</x:v>
      </x:c>
      <x:c r="G8136" s="6" t="str">
        <x:v>Pingshui main list, Wikisource-derived DOCX</x:v>
      </x:c>
      <x:c r="H8136" s="6" t="str"/>
      <x:c r="I8136" s="6" t="str">
        <x:v>Pingshui main-list expansion; 詞 entries ignored</x:v>
      </x:c>
      <x:c r="J8136" s="6" t="str">
        <x:f>IF(B8136="","",IF(AND(ISNUMBER(SEARCH("平",B8136)),OR(ISNUMBER(SEARCH("上",B8136)),ISNUMBER(SEARCH("去",B8136)),ISNUMBER(SEARCH("入",B8136)))),"Ambiguous",IF(ISNUMBER(SEARCH("平",B8136)),"平","仄")))</x:f>
        <x:v>平</x:v>
      </x:c>
      <x:c r="K8136" s="6" t="str">
        <x:f>IF(D8136="","",IF(AND(ISNUMBER(SEARCH("平",D8136)),OR(ISNUMBER(SEARCH("上",D8136)),ISNUMBER(SEARCH("去",D8136)),ISNUMBER(SEARCH("入",D8136)))),"Ambiguous",IF(ISNUMBER(SEARCH("平",D8136)),"平","仄")))</x:f>
        <x:v>平</x:v>
      </x:c>
      <x:c r="L8136" s="7" t="str">
        <x:v>Pingshui main list expansion</x:v>
      </x:c>
    </x:row>
    <x:row r="8137">
      <x:c r="A8137" s="5" t="str">
        <x:v>鍧</x:v>
      </x:c>
      <x:c r="B8137" s="6" t="str">
        <x:v>平</x:v>
      </x:c>
      <x:c r="C8137" s="6" t="str">
        <x:f>IF(B8137="","Needs decision","Ready")</x:f>
        <x:v>Ready</x:v>
      </x:c>
      <x:c r="D8137" s="6" t="str">
        <x:v>平</x:v>
      </x:c>
      <x:c r="E8137" s="6" t="str"/>
      <x:c r="F8137" s="6" t="str">
        <x:v>下平聲八庚</x:v>
      </x:c>
      <x:c r="G8137" s="6" t="str">
        <x:v>Pingshui main list, Wikisource-derived DOCX</x:v>
      </x:c>
      <x:c r="H8137" s="6" t="str"/>
      <x:c r="I8137" s="6" t="str">
        <x:v>Pingshui main-list expansion; 詞 entries ignored</x:v>
      </x:c>
      <x:c r="J8137" s="6" t="str">
        <x:f>IF(B8137="","",IF(AND(ISNUMBER(SEARCH("平",B8137)),OR(ISNUMBER(SEARCH("上",B8137)),ISNUMBER(SEARCH("去",B8137)),ISNUMBER(SEARCH("入",B8137)))),"Ambiguous",IF(ISNUMBER(SEARCH("平",B8137)),"平","仄")))</x:f>
        <x:v>平</x:v>
      </x:c>
      <x:c r="K8137" s="6" t="str">
        <x:f>IF(D8137="","",IF(AND(ISNUMBER(SEARCH("平",D8137)),OR(ISNUMBER(SEARCH("上",D8137)),ISNUMBER(SEARCH("去",D8137)),ISNUMBER(SEARCH("入",D8137)))),"Ambiguous",IF(ISNUMBER(SEARCH("平",D8137)),"平","仄")))</x:f>
        <x:v>平</x:v>
      </x:c>
      <x:c r="L8137" s="7" t="str">
        <x:v>Pingshui main list expansion</x:v>
      </x:c>
    </x:row>
    <x:row r="8138">
      <x:c r="A8138" s="5" t="str">
        <x:v>鍱</x:v>
      </x:c>
      <x:c r="B8138" s="6" t="str">
        <x:v>入</x:v>
      </x:c>
      <x:c r="C8138" s="6" t="str">
        <x:f>IF(B8138="","Needs decision","Ready")</x:f>
        <x:v>Ready</x:v>
      </x:c>
      <x:c r="D8138" s="6" t="str">
        <x:v>入</x:v>
      </x:c>
      <x:c r="E8138" s="6" t="str"/>
      <x:c r="F8138" s="6" t="str">
        <x:v>入聲十六葉</x:v>
      </x:c>
      <x:c r="G8138" s="6" t="str">
        <x:v>Pingshui main list, Wikisource-derived DOCX</x:v>
      </x:c>
      <x:c r="H8138" s="6" t="str"/>
      <x:c r="I8138" s="6" t="str">
        <x:v>Pingshui main-list expansion; 詞 entries ignored</x:v>
      </x:c>
      <x:c r="J8138" s="6" t="str">
        <x:f>IF(B8138="","",IF(AND(ISNUMBER(SEARCH("平",B8138)),OR(ISNUMBER(SEARCH("上",B8138)),ISNUMBER(SEARCH("去",B8138)),ISNUMBER(SEARCH("入",B8138)))),"Ambiguous",IF(ISNUMBER(SEARCH("平",B8138)),"平","仄")))</x:f>
        <x:v>仄</x:v>
      </x:c>
      <x:c r="K8138" s="6" t="str">
        <x:f>IF(D8138="","",IF(AND(ISNUMBER(SEARCH("平",D8138)),OR(ISNUMBER(SEARCH("上",D8138)),ISNUMBER(SEARCH("去",D8138)),ISNUMBER(SEARCH("入",D8138)))),"Ambiguous",IF(ISNUMBER(SEARCH("平",D8138)),"平","仄")))</x:f>
        <x:v>仄</x:v>
      </x:c>
      <x:c r="L8138" s="7" t="str">
        <x:v>Pingshui main list expansion</x:v>
      </x:c>
    </x:row>
    <x:row r="8139">
      <x:c r="A8139" s="5" t="str">
        <x:v>鎈</x:v>
      </x:c>
      <x:c r="B8139" s="6" t="str">
        <x:v>平</x:v>
      </x:c>
      <x:c r="C8139" s="6" t="str">
        <x:f>IF(B8139="","Needs decision","Ready")</x:f>
        <x:v>Ready</x:v>
      </x:c>
      <x:c r="D8139" s="6" t="str">
        <x:v>平</x:v>
      </x:c>
      <x:c r="E8139" s="6" t="str"/>
      <x:c r="F8139" s="6" t="str">
        <x:v>下平聲六麻</x:v>
      </x:c>
      <x:c r="G8139" s="6" t="str">
        <x:v>Pingshui main list, Wikisource-derived DOCX</x:v>
      </x:c>
      <x:c r="H8139" s="6" t="str"/>
      <x:c r="I8139" s="6" t="str">
        <x:v>Pingshui main-list expansion; 詞 entries ignored</x:v>
      </x:c>
      <x:c r="J8139" s="6" t="str">
        <x:f>IF(B8139="","",IF(AND(ISNUMBER(SEARCH("平",B8139)),OR(ISNUMBER(SEARCH("上",B8139)),ISNUMBER(SEARCH("去",B8139)),ISNUMBER(SEARCH("入",B8139)))),"Ambiguous",IF(ISNUMBER(SEARCH("平",B8139)),"平","仄")))</x:f>
        <x:v>平</x:v>
      </x:c>
      <x:c r="K8139" s="6" t="str">
        <x:f>IF(D8139="","",IF(AND(ISNUMBER(SEARCH("平",D8139)),OR(ISNUMBER(SEARCH("上",D8139)),ISNUMBER(SEARCH("去",D8139)),ISNUMBER(SEARCH("入",D8139)))),"Ambiguous",IF(ISNUMBER(SEARCH("平",D8139)),"平","仄")))</x:f>
        <x:v>平</x:v>
      </x:c>
      <x:c r="L8139" s="7" t="str">
        <x:v>Pingshui main list expansion</x:v>
      </x:c>
    </x:row>
    <x:row r="8140">
      <x:c r="A8140" s="5" t="str">
        <x:v>鎑</x:v>
      </x:c>
      <x:c r="B8140" s="6" t="str">
        <x:v>入</x:v>
      </x:c>
      <x:c r="C8140" s="6" t="str">
        <x:f>IF(B8140="","Needs decision","Ready")</x:f>
        <x:v>Ready</x:v>
      </x:c>
      <x:c r="D8140" s="6" t="str">
        <x:v>入</x:v>
      </x:c>
      <x:c r="E8140" s="6" t="str"/>
      <x:c r="F8140" s="6" t="str">
        <x:v>入聲十六葉</x:v>
      </x:c>
      <x:c r="G8140" s="6" t="str">
        <x:v>Pingshui main list, Wikisource-derived DOCX</x:v>
      </x:c>
      <x:c r="H8140" s="6" t="str"/>
      <x:c r="I8140" s="6" t="str">
        <x:v>Pingshui main-list expansion; 詞 entries ignored</x:v>
      </x:c>
      <x:c r="J8140" s="6" t="str">
        <x:f>IF(B8140="","",IF(AND(ISNUMBER(SEARCH("平",B8140)),OR(ISNUMBER(SEARCH("上",B8140)),ISNUMBER(SEARCH("去",B8140)),ISNUMBER(SEARCH("入",B8140)))),"Ambiguous",IF(ISNUMBER(SEARCH("平",B8140)),"平","仄")))</x:f>
        <x:v>仄</x:v>
      </x:c>
      <x:c r="K8140" s="6" t="str">
        <x:f>IF(D8140="","",IF(AND(ISNUMBER(SEARCH("平",D8140)),OR(ISNUMBER(SEARCH("上",D8140)),ISNUMBER(SEARCH("去",D8140)),ISNUMBER(SEARCH("入",D8140)))),"Ambiguous",IF(ISNUMBER(SEARCH("平",D8140)),"平","仄")))</x:f>
        <x:v>仄</x:v>
      </x:c>
      <x:c r="L8140" s="7" t="str">
        <x:v>Pingshui main list expansion</x:v>
      </x:c>
    </x:row>
    <x:row r="8141">
      <x:c r="A8141" s="5" t="str">
        <x:v>鎗</x:v>
      </x:c>
      <x:c r="B8141" s="6" t="str">
        <x:v>平</x:v>
      </x:c>
      <x:c r="C8141" s="6" t="str">
        <x:f>IF(B8141="","Needs decision","Ready")</x:f>
        <x:v>Ready</x:v>
      </x:c>
      <x:c r="D8141" s="6" t="str">
        <x:v>平</x:v>
      </x:c>
      <x:c r="E8141" s="6" t="str"/>
      <x:c r="F8141" s="6" t="str">
        <x:v>下平聲八庚</x:v>
      </x:c>
      <x:c r="G8141" s="6" t="str">
        <x:v>Pingshui main list, Wikisource-derived DOCX</x:v>
      </x:c>
      <x:c r="H8141" s="6" t="str"/>
      <x:c r="I8141" s="6" t="str">
        <x:v>Pingshui main-list expansion; 詞 entries ignored</x:v>
      </x:c>
      <x:c r="J8141" s="6" t="str">
        <x:f>IF(B8141="","",IF(AND(ISNUMBER(SEARCH("平",B8141)),OR(ISNUMBER(SEARCH("上",B8141)),ISNUMBER(SEARCH("去",B8141)),ISNUMBER(SEARCH("入",B8141)))),"Ambiguous",IF(ISNUMBER(SEARCH("平",B8141)),"平","仄")))</x:f>
        <x:v>平</x:v>
      </x:c>
      <x:c r="K8141" s="6" t="str">
        <x:f>IF(D8141="","",IF(AND(ISNUMBER(SEARCH("平",D8141)),OR(ISNUMBER(SEARCH("上",D8141)),ISNUMBER(SEARCH("去",D8141)),ISNUMBER(SEARCH("入",D8141)))),"Ambiguous",IF(ISNUMBER(SEARCH("平",D8141)),"平","仄")))</x:f>
        <x:v>平</x:v>
      </x:c>
      <x:c r="L8141" s="7" t="str">
        <x:v>Pingshui main list expansion</x:v>
      </x:c>
    </x:row>
    <x:row r="8142">
      <x:c r="A8142" s="5" t="str">
        <x:v>鎚</x:v>
      </x:c>
      <x:c r="B8142" s="6" t="str">
        <x:v>平</x:v>
      </x:c>
      <x:c r="C8142" s="6" t="str">
        <x:f>IF(B8142="","Needs decision","Ready")</x:f>
        <x:v>Ready</x:v>
      </x:c>
      <x:c r="D8142" s="6" t="str">
        <x:v>平</x:v>
      </x:c>
      <x:c r="E8142" s="6" t="str"/>
      <x:c r="F8142" s="6" t="str">
        <x:v>上平聲四支; 上平聲十灰</x:v>
      </x:c>
      <x:c r="G8142" s="6" t="str">
        <x:v>Pingshui main list, Wikisource-derived DOCX</x:v>
      </x:c>
      <x:c r="H8142" s="6" t="str"/>
      <x:c r="I8142" s="6" t="str">
        <x:v>Pingshui main-list expansion; 詞 entries ignored</x:v>
      </x:c>
      <x:c r="J8142" s="6" t="str">
        <x:f>IF(B8142="","",IF(AND(ISNUMBER(SEARCH("平",B8142)),OR(ISNUMBER(SEARCH("上",B8142)),ISNUMBER(SEARCH("去",B8142)),ISNUMBER(SEARCH("入",B8142)))),"Ambiguous",IF(ISNUMBER(SEARCH("平",B8142)),"平","仄")))</x:f>
        <x:v>平</x:v>
      </x:c>
      <x:c r="K8142" s="6" t="str">
        <x:f>IF(D8142="","",IF(AND(ISNUMBER(SEARCH("平",D8142)),OR(ISNUMBER(SEARCH("上",D8142)),ISNUMBER(SEARCH("去",D8142)),ISNUMBER(SEARCH("入",D8142)))),"Ambiguous",IF(ISNUMBER(SEARCH("平",D8142)),"平","仄")))</x:f>
        <x:v>平</x:v>
      </x:c>
      <x:c r="L8142" s="7" t="str">
        <x:v>Pingshui main list expansion</x:v>
      </x:c>
    </x:row>
    <x:row r="8143">
      <x:c r="A8143" s="5" t="str">
        <x:v>鎞</x:v>
      </x:c>
      <x:c r="B8143" s="6" t="str">
        <x:v>平</x:v>
      </x:c>
      <x:c r="C8143" s="6" t="str">
        <x:f>IF(B8143="","Needs decision","Ready")</x:f>
        <x:v>Ready</x:v>
      </x:c>
      <x:c r="D8143" s="6" t="str">
        <x:v>平</x:v>
      </x:c>
      <x:c r="E8143" s="6" t="str"/>
      <x:c r="F8143" s="6" t="str">
        <x:v>上平聲八齊</x:v>
      </x:c>
      <x:c r="G8143" s="6" t="str">
        <x:v>Pingshui main list, Wikisource-derived DOCX</x:v>
      </x:c>
      <x:c r="H8143" s="6" t="str"/>
      <x:c r="I8143" s="6" t="str">
        <x:v>Pingshui main-list expansion; 詞 entries ignored</x:v>
      </x:c>
      <x:c r="J8143" s="6" t="str">
        <x:f>IF(B8143="","",IF(AND(ISNUMBER(SEARCH("平",B8143)),OR(ISNUMBER(SEARCH("上",B8143)),ISNUMBER(SEARCH("去",B8143)),ISNUMBER(SEARCH("入",B8143)))),"Ambiguous",IF(ISNUMBER(SEARCH("平",B8143)),"平","仄")))</x:f>
        <x:v>平</x:v>
      </x:c>
      <x:c r="K8143" s="6" t="str">
        <x:f>IF(D8143="","",IF(AND(ISNUMBER(SEARCH("平",D8143)),OR(ISNUMBER(SEARCH("上",D8143)),ISNUMBER(SEARCH("去",D8143)),ISNUMBER(SEARCH("入",D8143)))),"Ambiguous",IF(ISNUMBER(SEARCH("平",D8143)),"平","仄")))</x:f>
        <x:v>平</x:v>
      </x:c>
      <x:c r="L8143" s="7" t="str">
        <x:v>Pingshui main list expansion</x:v>
      </x:c>
    </x:row>
    <x:row r="8144">
      <x:c r="A8144" s="5" t="str">
        <x:v>鏌</x:v>
      </x:c>
      <x:c r="B8144" s="6" t="str">
        <x:v>入</x:v>
      </x:c>
      <x:c r="C8144" s="6" t="str">
        <x:f>IF(B8144="","Needs decision","Ready")</x:f>
        <x:v>Ready</x:v>
      </x:c>
      <x:c r="D8144" s="6" t="str">
        <x:v>入</x:v>
      </x:c>
      <x:c r="E8144" s="6" t="str"/>
      <x:c r="F8144" s="6" t="str">
        <x:v>入聲十藥</x:v>
      </x:c>
      <x:c r="G8144" s="6" t="str">
        <x:v>Pingshui main list, Wikisource-derived DOCX</x:v>
      </x:c>
      <x:c r="H8144" s="6" t="str"/>
      <x:c r="I8144" s="6" t="str">
        <x:v>Pingshui main-list expansion; 詞 entries ignored</x:v>
      </x:c>
      <x:c r="J8144" s="6" t="str">
        <x:f>IF(B8144="","",IF(AND(ISNUMBER(SEARCH("平",B8144)),OR(ISNUMBER(SEARCH("上",B8144)),ISNUMBER(SEARCH("去",B8144)),ISNUMBER(SEARCH("入",B8144)))),"Ambiguous",IF(ISNUMBER(SEARCH("平",B8144)),"平","仄")))</x:f>
        <x:v>仄</x:v>
      </x:c>
      <x:c r="K8144" s="6" t="str">
        <x:f>IF(D8144="","",IF(AND(ISNUMBER(SEARCH("平",D8144)),OR(ISNUMBER(SEARCH("上",D8144)),ISNUMBER(SEARCH("去",D8144)),ISNUMBER(SEARCH("入",D8144)))),"Ambiguous",IF(ISNUMBER(SEARCH("平",D8144)),"平","仄")))</x:f>
        <x:v>仄</x:v>
      </x:c>
      <x:c r="L8144" s="7" t="str">
        <x:v>Pingshui main list expansion</x:v>
      </x:c>
    </x:row>
    <x:row r="8145">
      <x:c r="A8145" s="5" t="str">
        <x:v>鏝</x:v>
      </x:c>
      <x:c r="B8145" s="6" t="str">
        <x:v>平</x:v>
      </x:c>
      <x:c r="C8145" s="6" t="str">
        <x:f>IF(B8145="","Needs decision","Ready")</x:f>
        <x:v>Ready</x:v>
      </x:c>
      <x:c r="D8145" s="6" t="str">
        <x:v>平</x:v>
      </x:c>
      <x:c r="E8145" s="6" t="str"/>
      <x:c r="F8145" s="6" t="str">
        <x:v>上平聲十四寒</x:v>
      </x:c>
      <x:c r="G8145" s="6" t="str">
        <x:v>Pingshui main list, Wikisource-derived DOCX</x:v>
      </x:c>
      <x:c r="H8145" s="6" t="str"/>
      <x:c r="I8145" s="6" t="str">
        <x:v>Pingshui main-list expansion; 詞 entries ignored</x:v>
      </x:c>
      <x:c r="J8145" s="6" t="str">
        <x:f>IF(B8145="","",IF(AND(ISNUMBER(SEARCH("平",B8145)),OR(ISNUMBER(SEARCH("上",B8145)),ISNUMBER(SEARCH("去",B8145)),ISNUMBER(SEARCH("入",B8145)))),"Ambiguous",IF(ISNUMBER(SEARCH("平",B8145)),"平","仄")))</x:f>
        <x:v>平</x:v>
      </x:c>
      <x:c r="K8145" s="6" t="str">
        <x:f>IF(D8145="","",IF(AND(ISNUMBER(SEARCH("平",D8145)),OR(ISNUMBER(SEARCH("上",D8145)),ISNUMBER(SEARCH("去",D8145)),ISNUMBER(SEARCH("入",D8145)))),"Ambiguous",IF(ISNUMBER(SEARCH("平",D8145)),"平","仄")))</x:f>
        <x:v>平</x:v>
      </x:c>
      <x:c r="L8145" s="7" t="str">
        <x:v>Pingshui main list expansion</x:v>
      </x:c>
    </x:row>
    <x:row r="8146">
      <x:c r="A8146" s="5" t="str">
        <x:v>鏟</x:v>
      </x:c>
      <x:c r="B8146" s="6" t="str">
        <x:v>去</x:v>
      </x:c>
      <x:c r="C8146" s="6" t="str">
        <x:f>IF(B8146="","Needs decision","Ready")</x:f>
        <x:v>Ready</x:v>
      </x:c>
      <x:c r="D8146" s="6" t="str">
        <x:v>去</x:v>
      </x:c>
      <x:c r="E8146" s="6" t="str"/>
      <x:c r="F8146" s="6" t="str">
        <x:v>去聲十六諫</x:v>
      </x:c>
      <x:c r="G8146" s="6" t="str">
        <x:v>Pingshui main list, Wikisource-derived DOCX</x:v>
      </x:c>
      <x:c r="H8146" s="6" t="str"/>
      <x:c r="I8146" s="6" t="str">
        <x:v>Pingshui main-list expansion; 詞 entries ignored</x:v>
      </x:c>
      <x:c r="J8146" s="6" t="str">
        <x:f>IF(B8146="","",IF(AND(ISNUMBER(SEARCH("平",B8146)),OR(ISNUMBER(SEARCH("上",B8146)),ISNUMBER(SEARCH("去",B8146)),ISNUMBER(SEARCH("入",B8146)))),"Ambiguous",IF(ISNUMBER(SEARCH("平",B8146)),"平","仄")))</x:f>
        <x:v>仄</x:v>
      </x:c>
      <x:c r="K8146" s="6" t="str">
        <x:f>IF(D8146="","",IF(AND(ISNUMBER(SEARCH("平",D8146)),OR(ISNUMBER(SEARCH("上",D8146)),ISNUMBER(SEARCH("去",D8146)),ISNUMBER(SEARCH("入",D8146)))),"Ambiguous",IF(ISNUMBER(SEARCH("平",D8146)),"平","仄")))</x:f>
        <x:v>仄</x:v>
      </x:c>
      <x:c r="L8146" s="7" t="str">
        <x:v>Pingshui main list expansion</x:v>
      </x:c>
    </x:row>
    <x:row r="8147">
      <x:c r="A8147" s="5" t="str">
        <x:v>鏦</x:v>
      </x:c>
      <x:c r="B8147" s="6" t="str">
        <x:v>平</x:v>
      </x:c>
      <x:c r="C8147" s="6" t="str">
        <x:f>IF(B8147="","Needs decision","Ready")</x:f>
        <x:v>Ready</x:v>
      </x:c>
      <x:c r="D8147" s="6" t="str">
        <x:v>平</x:v>
      </x:c>
      <x:c r="E8147" s="6" t="str"/>
      <x:c r="F8147" s="6" t="str">
        <x:v>上平聲二冬; 上平聲三江</x:v>
      </x:c>
      <x:c r="G8147" s="6" t="str">
        <x:v>Pingshui main list, Wikisource-derived DOCX</x:v>
      </x:c>
      <x:c r="H8147" s="6" t="str"/>
      <x:c r="I8147" s="6" t="str">
        <x:v>Pingshui main-list expansion; 詞 entries ignored</x:v>
      </x:c>
      <x:c r="J8147" s="6" t="str">
        <x:f>IF(B8147="","",IF(AND(ISNUMBER(SEARCH("平",B8147)),OR(ISNUMBER(SEARCH("上",B8147)),ISNUMBER(SEARCH("去",B8147)),ISNUMBER(SEARCH("入",B8147)))),"Ambiguous",IF(ISNUMBER(SEARCH("平",B8147)),"平","仄")))</x:f>
        <x:v>平</x:v>
      </x:c>
      <x:c r="K8147" s="6" t="str">
        <x:f>IF(D8147="","",IF(AND(ISNUMBER(SEARCH("平",D8147)),OR(ISNUMBER(SEARCH("上",D8147)),ISNUMBER(SEARCH("去",D8147)),ISNUMBER(SEARCH("入",D8147)))),"Ambiguous",IF(ISNUMBER(SEARCH("平",D8147)),"平","仄")))</x:f>
        <x:v>平</x:v>
      </x:c>
      <x:c r="L8147" s="7" t="str">
        <x:v>Pingshui main list expansion</x:v>
      </x:c>
    </x:row>
    <x:row r="8148">
      <x:c r="A8148" s="5" t="str">
        <x:v>鏨</x:v>
      </x:c>
      <x:c r="B8148" s="6" t="str"/>
      <x:c r="C8148" s="6" t="str">
        <x:f>IF(B8148="","Needs decision","Ready")</x:f>
        <x:v>Needs decision</x:v>
      </x:c>
      <x:c r="D8148" s="6" t="str">
        <x:v>上/去</x:v>
      </x:c>
      <x:c r="E8148" s="6" t="str"/>
      <x:c r="F8148" s="6" t="str">
        <x:v>上聲二十七感; 去聲二十八勘</x:v>
      </x:c>
      <x:c r="G8148" s="6" t="str">
        <x:v>Pingshui main list, Wikisource-derived DOCX</x:v>
      </x:c>
      <x:c r="H8148" s="6" t="str"/>
      <x:c r="I8148" s="6" t="str">
        <x:v>Pingshui main-list expansion; 詞 entries ignored</x:v>
      </x:c>
      <x:c r="J8148" s="6" t="str">
        <x:f>IF(B8148="","",IF(AND(ISNUMBER(SEARCH("平",B8148)),OR(ISNUMBER(SEARCH("上",B8148)),ISNUMBER(SEARCH("去",B8148)),ISNUMBER(SEARCH("入",B8148)))),"Ambiguous",IF(ISNUMBER(SEARCH("平",B8148)),"平","仄")))</x:f>
      </x:c>
      <x:c r="K8148" s="6" t="str">
        <x:f>IF(D8148="","",IF(AND(ISNUMBER(SEARCH("平",D8148)),OR(ISNUMBER(SEARCH("上",D8148)),ISNUMBER(SEARCH("去",D8148)),ISNUMBER(SEARCH("入",D8148)))),"Ambiguous",IF(ISNUMBER(SEARCH("平",D8148)),"平","仄")))</x:f>
        <x:v>仄</x:v>
      </x:c>
      <x:c r="L8148" s="7" t="str">
        <x:v>Pingshui main list expansion</x:v>
      </x:c>
    </x:row>
    <x:row r="8149">
      <x:c r="A8149" s="5" t="str">
        <x:v>鐀</x:v>
      </x:c>
      <x:c r="B8149" s="6" t="str">
        <x:v>去</x:v>
      </x:c>
      <x:c r="C8149" s="6" t="str">
        <x:f>IF(B8149="","Needs decision","Ready")</x:f>
        <x:v>Ready</x:v>
      </x:c>
      <x:c r="D8149" s="6" t="str">
        <x:v>去</x:v>
      </x:c>
      <x:c r="E8149" s="6" t="str"/>
      <x:c r="F8149" s="6" t="str">
        <x:v>去聲四寘</x:v>
      </x:c>
      <x:c r="G8149" s="6" t="str">
        <x:v>Pingshui main list, Wikisource-derived DOCX</x:v>
      </x:c>
      <x:c r="H8149" s="6" t="str"/>
      <x:c r="I8149" s="6" t="str">
        <x:v>Pingshui main-list expansion; 詞 entries ignored</x:v>
      </x:c>
      <x:c r="J8149" s="6" t="str">
        <x:f>IF(B8149="","",IF(AND(ISNUMBER(SEARCH("平",B8149)),OR(ISNUMBER(SEARCH("上",B8149)),ISNUMBER(SEARCH("去",B8149)),ISNUMBER(SEARCH("入",B8149)))),"Ambiguous",IF(ISNUMBER(SEARCH("平",B8149)),"平","仄")))</x:f>
        <x:v>仄</x:v>
      </x:c>
      <x:c r="K8149" s="6" t="str">
        <x:f>IF(D8149="","",IF(AND(ISNUMBER(SEARCH("平",D8149)),OR(ISNUMBER(SEARCH("上",D8149)),ISNUMBER(SEARCH("去",D8149)),ISNUMBER(SEARCH("入",D8149)))),"Ambiguous",IF(ISNUMBER(SEARCH("平",D8149)),"平","仄")))</x:f>
        <x:v>仄</x:v>
      </x:c>
      <x:c r="L8149" s="7" t="str">
        <x:v>Pingshui main list expansion</x:v>
      </x:c>
    </x:row>
    <x:row r="8150">
      <x:c r="A8150" s="5" t="str">
        <x:v>鐍</x:v>
      </x:c>
      <x:c r="B8150" s="6" t="str">
        <x:v>入</x:v>
      </x:c>
      <x:c r="C8150" s="6" t="str">
        <x:f>IF(B8150="","Needs decision","Ready")</x:f>
        <x:v>Ready</x:v>
      </x:c>
      <x:c r="D8150" s="6" t="str">
        <x:v>入</x:v>
      </x:c>
      <x:c r="E8150" s="6" t="str"/>
      <x:c r="F8150" s="6" t="str">
        <x:v>入聲九屑</x:v>
      </x:c>
      <x:c r="G8150" s="6" t="str">
        <x:v>Pingshui main list, Wikisource-derived DOCX</x:v>
      </x:c>
      <x:c r="H8150" s="6" t="str"/>
      <x:c r="I8150" s="6" t="str">
        <x:v>Pingshui main-list expansion; 詞 entries ignored</x:v>
      </x:c>
      <x:c r="J8150" s="6" t="str">
        <x:f>IF(B8150="","",IF(AND(ISNUMBER(SEARCH("平",B8150)),OR(ISNUMBER(SEARCH("上",B8150)),ISNUMBER(SEARCH("去",B8150)),ISNUMBER(SEARCH("入",B8150)))),"Ambiguous",IF(ISNUMBER(SEARCH("平",B8150)),"平","仄")))</x:f>
        <x:v>仄</x:v>
      </x:c>
      <x:c r="K8150" s="6" t="str">
        <x:f>IF(D8150="","",IF(AND(ISNUMBER(SEARCH("平",D8150)),OR(ISNUMBER(SEARCH("上",D8150)),ISNUMBER(SEARCH("去",D8150)),ISNUMBER(SEARCH("入",D8150)))),"Ambiguous",IF(ISNUMBER(SEARCH("平",D8150)),"平","仄")))</x:f>
        <x:v>仄</x:v>
      </x:c>
      <x:c r="L8150" s="7" t="str">
        <x:v>Pingshui main list expansion</x:v>
      </x:c>
    </x:row>
    <x:row r="8151">
      <x:c r="A8151" s="5" t="str">
        <x:v>鐎</x:v>
      </x:c>
      <x:c r="B8151" s="6" t="str">
        <x:v>平</x:v>
      </x:c>
      <x:c r="C8151" s="6" t="str">
        <x:f>IF(B8151="","Needs decision","Ready")</x:f>
        <x:v>Ready</x:v>
      </x:c>
      <x:c r="D8151" s="6" t="str">
        <x:v>平</x:v>
      </x:c>
      <x:c r="E8151" s="6" t="str"/>
      <x:c r="F8151" s="6" t="str">
        <x:v>下平聲二蕭</x:v>
      </x:c>
      <x:c r="G8151" s="6" t="str">
        <x:v>Pingshui main list, Wikisource-derived DOCX</x:v>
      </x:c>
      <x:c r="H8151" s="6" t="str"/>
      <x:c r="I8151" s="6" t="str">
        <x:v>Pingshui main-list expansion; 詞 entries ignored</x:v>
      </x:c>
      <x:c r="J8151" s="6" t="str">
        <x:f>IF(B8151="","",IF(AND(ISNUMBER(SEARCH("平",B8151)),OR(ISNUMBER(SEARCH("上",B8151)),ISNUMBER(SEARCH("去",B8151)),ISNUMBER(SEARCH("入",B8151)))),"Ambiguous",IF(ISNUMBER(SEARCH("平",B8151)),"平","仄")))</x:f>
        <x:v>平</x:v>
      </x:c>
      <x:c r="K8151" s="6" t="str">
        <x:f>IF(D8151="","",IF(AND(ISNUMBER(SEARCH("平",D8151)),OR(ISNUMBER(SEARCH("上",D8151)),ISNUMBER(SEARCH("去",D8151)),ISNUMBER(SEARCH("入",D8151)))),"Ambiguous",IF(ISNUMBER(SEARCH("平",D8151)),"平","仄")))</x:f>
        <x:v>平</x:v>
      </x:c>
      <x:c r="L8151" s="7" t="str">
        <x:v>Pingshui main list expansion</x:v>
      </x:c>
    </x:row>
    <x:row r="8152">
      <x:c r="A8152" s="5" t="str">
        <x:v>鐐</x:v>
      </x:c>
      <x:c r="B8152" s="6" t="str">
        <x:v>平</x:v>
      </x:c>
      <x:c r="C8152" s="6" t="str">
        <x:f>IF(B8152="","Needs decision","Ready")</x:f>
        <x:v>Ready</x:v>
      </x:c>
      <x:c r="D8152" s="6" t="str">
        <x:v>平</x:v>
      </x:c>
      <x:c r="E8152" s="6" t="str"/>
      <x:c r="F8152" s="6" t="str">
        <x:v>下平聲二蕭</x:v>
      </x:c>
      <x:c r="G8152" s="6" t="str">
        <x:v>Pingshui main list, Wikisource-derived DOCX</x:v>
      </x:c>
      <x:c r="H8152" s="6" t="str"/>
      <x:c r="I8152" s="6" t="str">
        <x:v>Pingshui main-list expansion; 詞 entries ignored</x:v>
      </x:c>
      <x:c r="J8152" s="6" t="str">
        <x:f>IF(B8152="","",IF(AND(ISNUMBER(SEARCH("平",B8152)),OR(ISNUMBER(SEARCH("上",B8152)),ISNUMBER(SEARCH("去",B8152)),ISNUMBER(SEARCH("入",B8152)))),"Ambiguous",IF(ISNUMBER(SEARCH("平",B8152)),"平","仄")))</x:f>
        <x:v>平</x:v>
      </x:c>
      <x:c r="K8152" s="6" t="str">
        <x:f>IF(D8152="","",IF(AND(ISNUMBER(SEARCH("平",D8152)),OR(ISNUMBER(SEARCH("上",D8152)),ISNUMBER(SEARCH("去",D8152)),ISNUMBER(SEARCH("入",D8152)))),"Ambiguous",IF(ISNUMBER(SEARCH("平",D8152)),"平","仄")))</x:f>
        <x:v>平</x:v>
      </x:c>
      <x:c r="L8152" s="7" t="str">
        <x:v>Pingshui main list expansion</x:v>
      </x:c>
    </x:row>
    <x:row r="8153">
      <x:c r="A8153" s="5" t="str">
        <x:v>鐓</x:v>
      </x:c>
      <x:c r="B8153" s="6" t="str">
        <x:v>去</x:v>
      </x:c>
      <x:c r="C8153" s="6" t="str">
        <x:f>IF(B8153="","Needs decision","Ready")</x:f>
        <x:v>Ready</x:v>
      </x:c>
      <x:c r="D8153" s="6" t="str">
        <x:v>去</x:v>
      </x:c>
      <x:c r="E8153" s="6" t="str"/>
      <x:c r="F8153" s="6" t="str">
        <x:v>去聲十一隊</x:v>
      </x:c>
      <x:c r="G8153" s="6" t="str">
        <x:v>Pingshui main list, Wikisource-derived DOCX</x:v>
      </x:c>
      <x:c r="H8153" s="6" t="str"/>
      <x:c r="I8153" s="6" t="str">
        <x:v>Pingshui main-list expansion; 詞 entries ignored</x:v>
      </x:c>
      <x:c r="J8153" s="6" t="str">
        <x:f>IF(B8153="","",IF(AND(ISNUMBER(SEARCH("平",B8153)),OR(ISNUMBER(SEARCH("上",B8153)),ISNUMBER(SEARCH("去",B8153)),ISNUMBER(SEARCH("入",B8153)))),"Ambiguous",IF(ISNUMBER(SEARCH("平",B8153)),"平","仄")))</x:f>
        <x:v>仄</x:v>
      </x:c>
      <x:c r="K8153" s="6" t="str">
        <x:f>IF(D8153="","",IF(AND(ISNUMBER(SEARCH("平",D8153)),OR(ISNUMBER(SEARCH("上",D8153)),ISNUMBER(SEARCH("去",D8153)),ISNUMBER(SEARCH("入",D8153)))),"Ambiguous",IF(ISNUMBER(SEARCH("平",D8153)),"平","仄")))</x:f>
        <x:v>仄</x:v>
      </x:c>
      <x:c r="L8153" s="7" t="str">
        <x:v>Pingshui main list expansion</x:v>
      </x:c>
    </x:row>
    <x:row r="8154">
      <x:c r="A8154" s="5" t="str">
        <x:v>鐕</x:v>
      </x:c>
      <x:c r="B8154" s="6" t="str">
        <x:v>平</x:v>
      </x:c>
      <x:c r="C8154" s="6" t="str">
        <x:f>IF(B8154="","Needs decision","Ready")</x:f>
        <x:v>Ready</x:v>
      </x:c>
      <x:c r="D8154" s="6" t="str">
        <x:v>平</x:v>
      </x:c>
      <x:c r="E8154" s="6" t="str"/>
      <x:c r="F8154" s="6" t="str">
        <x:v>下平聲十三覃</x:v>
      </x:c>
      <x:c r="G8154" s="6" t="str">
        <x:v>Pingshui main list, Wikisource-derived DOCX</x:v>
      </x:c>
      <x:c r="H8154" s="6" t="str"/>
      <x:c r="I8154" s="6" t="str">
        <x:v>Pingshui main-list expansion; 詞 entries ignored</x:v>
      </x:c>
      <x:c r="J8154" s="6" t="str">
        <x:f>IF(B8154="","",IF(AND(ISNUMBER(SEARCH("平",B8154)),OR(ISNUMBER(SEARCH("上",B8154)),ISNUMBER(SEARCH("去",B8154)),ISNUMBER(SEARCH("入",B8154)))),"Ambiguous",IF(ISNUMBER(SEARCH("平",B8154)),"平","仄")))</x:f>
        <x:v>平</x:v>
      </x:c>
      <x:c r="K8154" s="6" t="str">
        <x:f>IF(D8154="","",IF(AND(ISNUMBER(SEARCH("平",D8154)),OR(ISNUMBER(SEARCH("上",D8154)),ISNUMBER(SEARCH("去",D8154)),ISNUMBER(SEARCH("入",D8154)))),"Ambiguous",IF(ISNUMBER(SEARCH("平",D8154)),"平","仄")))</x:f>
        <x:v>平</x:v>
      </x:c>
      <x:c r="L8154" s="7" t="str">
        <x:v>Pingshui main list expansion</x:v>
      </x:c>
    </x:row>
    <x:row r="8155">
      <x:c r="A8155" s="5" t="str">
        <x:v>鐖</x:v>
      </x:c>
      <x:c r="B8155" s="6" t="str">
        <x:v>平</x:v>
      </x:c>
      <x:c r="C8155" s="6" t="str">
        <x:f>IF(B8155="","Needs decision","Ready")</x:f>
        <x:v>Ready</x:v>
      </x:c>
      <x:c r="D8155" s="6" t="str">
        <x:v>平</x:v>
      </x:c>
      <x:c r="E8155" s="6" t="str"/>
      <x:c r="F8155" s="6" t="str">
        <x:v>上平聲五微</x:v>
      </x:c>
      <x:c r="G8155" s="6" t="str">
        <x:v>Pingshui main list, Wikisource-derived DOCX</x:v>
      </x:c>
      <x:c r="H8155" s="6" t="str"/>
      <x:c r="I8155" s="6" t="str">
        <x:v>Pingshui main-list expansion; 詞 entries ignored</x:v>
      </x:c>
      <x:c r="J8155" s="6" t="str">
        <x:f>IF(B8155="","",IF(AND(ISNUMBER(SEARCH("平",B8155)),OR(ISNUMBER(SEARCH("上",B8155)),ISNUMBER(SEARCH("去",B8155)),ISNUMBER(SEARCH("入",B8155)))),"Ambiguous",IF(ISNUMBER(SEARCH("平",B8155)),"平","仄")))</x:f>
        <x:v>平</x:v>
      </x:c>
      <x:c r="K8155" s="6" t="str">
        <x:f>IF(D8155="","",IF(AND(ISNUMBER(SEARCH("平",D8155)),OR(ISNUMBER(SEARCH("上",D8155)),ISNUMBER(SEARCH("去",D8155)),ISNUMBER(SEARCH("入",D8155)))),"Ambiguous",IF(ISNUMBER(SEARCH("平",D8155)),"平","仄")))</x:f>
        <x:v>平</x:v>
      </x:c>
      <x:c r="L8155" s="7" t="str">
        <x:v>Pingshui main list expansion</x:v>
      </x:c>
    </x:row>
    <x:row r="8156">
      <x:c r="A8156" s="5" t="str">
        <x:v>鐻</x:v>
      </x:c>
      <x:c r="B8156" s="6" t="str"/>
      <x:c r="C8156" s="6" t="str">
        <x:f>IF(B8156="","Needs decision","Ready")</x:f>
        <x:v>Needs decision</x:v>
      </x:c>
      <x:c r="D8156" s="6" t="str">
        <x:v>平/上/去</x:v>
      </x:c>
      <x:c r="E8156" s="6" t="str"/>
      <x:c r="F8156" s="6" t="str">
        <x:v>上平聲六魚; 上聲六語; 去聲六御</x:v>
      </x:c>
      <x:c r="G8156" s="6" t="str">
        <x:v>Pingshui main list, Wikisource-derived DOCX</x:v>
      </x:c>
      <x:c r="H8156" s="6" t="str"/>
      <x:c r="I8156" s="6" t="str">
        <x:v>Pingshui main-list expansion; 詞 entries ignored</x:v>
      </x:c>
      <x:c r="J8156" s="6" t="str">
        <x:f>IF(B8156="","",IF(AND(ISNUMBER(SEARCH("平",B8156)),OR(ISNUMBER(SEARCH("上",B8156)),ISNUMBER(SEARCH("去",B8156)),ISNUMBER(SEARCH("入",B8156)))),"Ambiguous",IF(ISNUMBER(SEARCH("平",B8156)),"平","仄")))</x:f>
      </x:c>
      <x:c r="K8156" s="6" t="str">
        <x:f>IF(D8156="","",IF(AND(ISNUMBER(SEARCH("平",D8156)),OR(ISNUMBER(SEARCH("上",D8156)),ISNUMBER(SEARCH("去",D8156)),ISNUMBER(SEARCH("入",D8156)))),"Ambiguous",IF(ISNUMBER(SEARCH("平",D8156)),"平","仄")))</x:f>
        <x:v>Ambiguous</x:v>
      </x:c>
      <x:c r="L8156" s="7" t="str">
        <x:v>Pingshui main list expansion</x:v>
      </x:c>
    </x:row>
    <x:row r="8157">
      <x:c r="A8157" s="5" t="str">
        <x:v>鑢</x:v>
      </x:c>
      <x:c r="B8157" s="6" t="str">
        <x:v>去</x:v>
      </x:c>
      <x:c r="C8157" s="6" t="str">
        <x:f>IF(B8157="","Needs decision","Ready")</x:f>
        <x:v>Ready</x:v>
      </x:c>
      <x:c r="D8157" s="6" t="str">
        <x:v>去</x:v>
      </x:c>
      <x:c r="E8157" s="6" t="str"/>
      <x:c r="F8157" s="6" t="str">
        <x:v>去聲六御</x:v>
      </x:c>
      <x:c r="G8157" s="6" t="str">
        <x:v>Pingshui main list, Wikisource-derived DOCX</x:v>
      </x:c>
      <x:c r="H8157" s="6" t="str"/>
      <x:c r="I8157" s="6" t="str">
        <x:v>Pingshui main-list expansion; 詞 entries ignored</x:v>
      </x:c>
      <x:c r="J8157" s="6" t="str">
        <x:f>IF(B8157="","",IF(AND(ISNUMBER(SEARCH("平",B8157)),OR(ISNUMBER(SEARCH("上",B8157)),ISNUMBER(SEARCH("去",B8157)),ISNUMBER(SEARCH("入",B8157)))),"Ambiguous",IF(ISNUMBER(SEARCH("平",B8157)),"平","仄")))</x:f>
        <x:v>仄</x:v>
      </x:c>
      <x:c r="K8157" s="6" t="str">
        <x:f>IF(D8157="","",IF(AND(ISNUMBER(SEARCH("平",D8157)),OR(ISNUMBER(SEARCH("上",D8157)),ISNUMBER(SEARCH("去",D8157)),ISNUMBER(SEARCH("入",D8157)))),"Ambiguous",IF(ISNUMBER(SEARCH("平",D8157)),"平","仄")))</x:f>
        <x:v>仄</x:v>
      </x:c>
      <x:c r="L8157" s="7" t="str">
        <x:v>Pingshui main list expansion</x:v>
      </x:c>
    </x:row>
    <x:row r="8158">
      <x:c r="A8158" s="5" t="str">
        <x:v>鑱</x:v>
      </x:c>
      <x:c r="B8158" s="6" t="str"/>
      <x:c r="C8158" s="6" t="str">
        <x:f>IF(B8158="","Needs decision","Ready")</x:f>
        <x:v>Needs decision</x:v>
      </x:c>
      <x:c r="D8158" s="6" t="str">
        <x:v>平/去</x:v>
      </x:c>
      <x:c r="E8158" s="6" t="str"/>
      <x:c r="F8158" s="6" t="str">
        <x:v>下平聲十五咸; 去聲三十陷</x:v>
      </x:c>
      <x:c r="G8158" s="6" t="str">
        <x:v>Pingshui main list, Wikisource-derived DOCX</x:v>
      </x:c>
      <x:c r="H8158" s="6" t="str"/>
      <x:c r="I8158" s="6" t="str">
        <x:v>Pingshui main-list expansion; 詞 entries ignored</x:v>
      </x:c>
      <x:c r="J8158" s="6" t="str">
        <x:f>IF(B8158="","",IF(AND(ISNUMBER(SEARCH("平",B8158)),OR(ISNUMBER(SEARCH("上",B8158)),ISNUMBER(SEARCH("去",B8158)),ISNUMBER(SEARCH("入",B8158)))),"Ambiguous",IF(ISNUMBER(SEARCH("平",B8158)),"平","仄")))</x:f>
      </x:c>
      <x:c r="K8158" s="6" t="str">
        <x:f>IF(D8158="","",IF(AND(ISNUMBER(SEARCH("平",D8158)),OR(ISNUMBER(SEARCH("上",D8158)),ISNUMBER(SEARCH("去",D8158)),ISNUMBER(SEARCH("入",D8158)))),"Ambiguous",IF(ISNUMBER(SEARCH("平",D8158)),"平","仄")))</x:f>
        <x:v>Ambiguous</x:v>
      </x:c>
      <x:c r="L8158" s="7" t="str">
        <x:v>Pingshui main list expansion</x:v>
      </x:c>
    </x:row>
    <x:row r="8159">
      <x:c r="A8159" s="5" t="str">
        <x:v>鑵</x:v>
      </x:c>
      <x:c r="B8159" s="6" t="str">
        <x:v>去</x:v>
      </x:c>
      <x:c r="C8159" s="6" t="str">
        <x:f>IF(B8159="","Needs decision","Ready")</x:f>
        <x:v>Ready</x:v>
      </x:c>
      <x:c r="D8159" s="6" t="str">
        <x:v>去</x:v>
      </x:c>
      <x:c r="E8159" s="6" t="str"/>
      <x:c r="F8159" s="6" t="str">
        <x:v>去聲十五翰</x:v>
      </x:c>
      <x:c r="G8159" s="6" t="str">
        <x:v>Pingshui main list, Wikisource-derived DOCX</x:v>
      </x:c>
      <x:c r="H8159" s="6" t="str"/>
      <x:c r="I8159" s="6" t="str">
        <x:v>Pingshui main-list expansion; 詞 entries ignored</x:v>
      </x:c>
      <x:c r="J8159" s="6" t="str">
        <x:f>IF(B8159="","",IF(AND(ISNUMBER(SEARCH("平",B8159)),OR(ISNUMBER(SEARCH("上",B8159)),ISNUMBER(SEARCH("去",B8159)),ISNUMBER(SEARCH("入",B8159)))),"Ambiguous",IF(ISNUMBER(SEARCH("平",B8159)),"平","仄")))</x:f>
        <x:v>仄</x:v>
      </x:c>
      <x:c r="K8159" s="6" t="str">
        <x:f>IF(D8159="","",IF(AND(ISNUMBER(SEARCH("平",D8159)),OR(ISNUMBER(SEARCH("上",D8159)),ISNUMBER(SEARCH("去",D8159)),ISNUMBER(SEARCH("入",D8159)))),"Ambiguous",IF(ISNUMBER(SEARCH("平",D8159)),"平","仄")))</x:f>
        <x:v>仄</x:v>
      </x:c>
      <x:c r="L8159" s="7" t="str">
        <x:v>Pingshui main list expansion</x:v>
      </x:c>
    </x:row>
    <x:row r="8160">
      <x:c r="A8160" s="5" t="str">
        <x:v>鑼</x:v>
      </x:c>
      <x:c r="B8160" s="6" t="str">
        <x:v>平</x:v>
      </x:c>
      <x:c r="C8160" s="6" t="str">
        <x:f>IF(B8160="","Needs decision","Ready")</x:f>
        <x:v>Ready</x:v>
      </x:c>
      <x:c r="D8160" s="6" t="str">
        <x:v>平</x:v>
      </x:c>
      <x:c r="E8160" s="6" t="str"/>
      <x:c r="F8160" s="6" t="str">
        <x:v>下平聲五歌</x:v>
      </x:c>
      <x:c r="G8160" s="6" t="str">
        <x:v>Pingshui main list, Wikisource-derived DOCX</x:v>
      </x:c>
      <x:c r="H8160" s="6" t="str"/>
      <x:c r="I8160" s="6" t="str">
        <x:v>Pingshui main-list expansion; 詞 entries ignored</x:v>
      </x:c>
      <x:c r="J8160" s="6" t="str">
        <x:f>IF(B8160="","",IF(AND(ISNUMBER(SEARCH("平",B8160)),OR(ISNUMBER(SEARCH("上",B8160)),ISNUMBER(SEARCH("去",B8160)),ISNUMBER(SEARCH("入",B8160)))),"Ambiguous",IF(ISNUMBER(SEARCH("平",B8160)),"平","仄")))</x:f>
        <x:v>平</x:v>
      </x:c>
      <x:c r="K8160" s="6" t="str">
        <x:f>IF(D8160="","",IF(AND(ISNUMBER(SEARCH("平",D8160)),OR(ISNUMBER(SEARCH("上",D8160)),ISNUMBER(SEARCH("去",D8160)),ISNUMBER(SEARCH("入",D8160)))),"Ambiguous",IF(ISNUMBER(SEARCH("平",D8160)),"平","仄")))</x:f>
        <x:v>平</x:v>
      </x:c>
      <x:c r="L8160" s="7" t="str">
        <x:v>Pingshui main list expansion</x:v>
      </x:c>
    </x:row>
    <x:row r="8161">
      <x:c r="A8161" s="5" t="str">
        <x:v>钀</x:v>
      </x:c>
      <x:c r="B8161" s="6" t="str">
        <x:v>入</x:v>
      </x:c>
      <x:c r="C8161" s="6" t="str">
        <x:f>IF(B8161="","Needs decision","Ready")</x:f>
        <x:v>Ready</x:v>
      </x:c>
      <x:c r="D8161" s="6" t="str">
        <x:v>入</x:v>
      </x:c>
      <x:c r="E8161" s="6" t="str"/>
      <x:c r="F8161" s="6" t="str">
        <x:v>入聲六月</x:v>
      </x:c>
      <x:c r="G8161" s="6" t="str">
        <x:v>Pingshui main list, Wikisource-derived DOCX</x:v>
      </x:c>
      <x:c r="H8161" s="6" t="str"/>
      <x:c r="I8161" s="6" t="str">
        <x:v>Pingshui main-list expansion; 詞 entries ignored</x:v>
      </x:c>
      <x:c r="J8161" s="6" t="str">
        <x:f>IF(B8161="","",IF(AND(ISNUMBER(SEARCH("平",B8161)),OR(ISNUMBER(SEARCH("上",B8161)),ISNUMBER(SEARCH("去",B8161)),ISNUMBER(SEARCH("入",B8161)))),"Ambiguous",IF(ISNUMBER(SEARCH("平",B8161)),"平","仄")))</x:f>
        <x:v>仄</x:v>
      </x:c>
      <x:c r="K8161" s="6" t="str">
        <x:f>IF(D8161="","",IF(AND(ISNUMBER(SEARCH("平",D8161)),OR(ISNUMBER(SEARCH("上",D8161)),ISNUMBER(SEARCH("去",D8161)),ISNUMBER(SEARCH("入",D8161)))),"Ambiguous",IF(ISNUMBER(SEARCH("平",D8161)),"平","仄")))</x:f>
        <x:v>仄</x:v>
      </x:c>
      <x:c r="L8161" s="7" t="str">
        <x:v>Pingshui main list expansion</x:v>
      </x:c>
    </x:row>
    <x:row r="8162">
      <x:c r="A8162" s="5" t="str">
        <x:v>钁</x:v>
      </x:c>
      <x:c r="B8162" s="6" t="str">
        <x:v>入</x:v>
      </x:c>
      <x:c r="C8162" s="6" t="str">
        <x:f>IF(B8162="","Needs decision","Ready")</x:f>
        <x:v>Ready</x:v>
      </x:c>
      <x:c r="D8162" s="6" t="str">
        <x:v>入</x:v>
      </x:c>
      <x:c r="E8162" s="6" t="str"/>
      <x:c r="F8162" s="6" t="str">
        <x:v>入聲十藥</x:v>
      </x:c>
      <x:c r="G8162" s="6" t="str">
        <x:v>Pingshui main list, Wikisource-derived DOCX</x:v>
      </x:c>
      <x:c r="H8162" s="6" t="str"/>
      <x:c r="I8162" s="6" t="str">
        <x:v>Pingshui main-list expansion; 詞 entries ignored</x:v>
      </x:c>
      <x:c r="J8162" s="6" t="str">
        <x:f>IF(B8162="","",IF(AND(ISNUMBER(SEARCH("平",B8162)),OR(ISNUMBER(SEARCH("上",B8162)),ISNUMBER(SEARCH("去",B8162)),ISNUMBER(SEARCH("入",B8162)))),"Ambiguous",IF(ISNUMBER(SEARCH("平",B8162)),"平","仄")))</x:f>
        <x:v>仄</x:v>
      </x:c>
      <x:c r="K8162" s="6" t="str">
        <x:f>IF(D8162="","",IF(AND(ISNUMBER(SEARCH("平",D8162)),OR(ISNUMBER(SEARCH("上",D8162)),ISNUMBER(SEARCH("去",D8162)),ISNUMBER(SEARCH("入",D8162)))),"Ambiguous",IF(ISNUMBER(SEARCH("平",D8162)),"平","仄")))</x:f>
        <x:v>仄</x:v>
      </x:c>
      <x:c r="L8162" s="7" t="str">
        <x:v>Pingshui main list expansion</x:v>
      </x:c>
    </x:row>
    <x:row r="8163">
      <x:c r="A8163" s="5" t="str">
        <x:v>閌</x:v>
      </x:c>
      <x:c r="B8163" s="6" t="str">
        <x:v>去</x:v>
      </x:c>
      <x:c r="C8163" s="6" t="str">
        <x:f>IF(B8163="","Needs decision","Ready")</x:f>
        <x:v>Ready</x:v>
      </x:c>
      <x:c r="D8163" s="6" t="str">
        <x:v>去</x:v>
      </x:c>
      <x:c r="E8163" s="6" t="str"/>
      <x:c r="F8163" s="6" t="str">
        <x:v>去聲二十三漾</x:v>
      </x:c>
      <x:c r="G8163" s="6" t="str">
        <x:v>Pingshui main list, Wikisource-derived DOCX</x:v>
      </x:c>
      <x:c r="H8163" s="6" t="str"/>
      <x:c r="I8163" s="6" t="str">
        <x:v>Pingshui main-list expansion; 詞 entries ignored</x:v>
      </x:c>
      <x:c r="J8163" s="6" t="str">
        <x:f>IF(B8163="","",IF(AND(ISNUMBER(SEARCH("平",B8163)),OR(ISNUMBER(SEARCH("上",B8163)),ISNUMBER(SEARCH("去",B8163)),ISNUMBER(SEARCH("入",B8163)))),"Ambiguous",IF(ISNUMBER(SEARCH("平",B8163)),"平","仄")))</x:f>
        <x:v>仄</x:v>
      </x:c>
      <x:c r="K8163" s="6" t="str">
        <x:f>IF(D8163="","",IF(AND(ISNUMBER(SEARCH("平",D8163)),OR(ISNUMBER(SEARCH("上",D8163)),ISNUMBER(SEARCH("去",D8163)),ISNUMBER(SEARCH("入",D8163)))),"Ambiguous",IF(ISNUMBER(SEARCH("平",D8163)),"平","仄")))</x:f>
        <x:v>仄</x:v>
      </x:c>
      <x:c r="L8163" s="7" t="str">
        <x:v>Pingshui main list expansion</x:v>
      </x:c>
    </x:row>
    <x:row r="8164">
      <x:c r="A8164" s="5" t="str">
        <x:v>閜</x:v>
      </x:c>
      <x:c r="B8164" s="6" t="str">
        <x:v>上</x:v>
      </x:c>
      <x:c r="C8164" s="6" t="str">
        <x:f>IF(B8164="","Needs decision","Ready")</x:f>
        <x:v>Ready</x:v>
      </x:c>
      <x:c r="D8164" s="6" t="str">
        <x:v>上</x:v>
      </x:c>
      <x:c r="E8164" s="6" t="str"/>
      <x:c r="F8164" s="6" t="str">
        <x:v>上聲二十哿; 上聲二十一馬</x:v>
      </x:c>
      <x:c r="G8164" s="6" t="str">
        <x:v>Pingshui main list, Wikisource-derived DOCX</x:v>
      </x:c>
      <x:c r="H8164" s="6" t="str"/>
      <x:c r="I8164" s="6" t="str">
        <x:v>Pingshui main-list expansion; 詞 entries ignored</x:v>
      </x:c>
      <x:c r="J8164" s="6" t="str">
        <x:f>IF(B8164="","",IF(AND(ISNUMBER(SEARCH("平",B8164)),OR(ISNUMBER(SEARCH("上",B8164)),ISNUMBER(SEARCH("去",B8164)),ISNUMBER(SEARCH("入",B8164)))),"Ambiguous",IF(ISNUMBER(SEARCH("平",B8164)),"平","仄")))</x:f>
        <x:v>仄</x:v>
      </x:c>
      <x:c r="K8164" s="6" t="str">
        <x:f>IF(D8164="","",IF(AND(ISNUMBER(SEARCH("平",D8164)),OR(ISNUMBER(SEARCH("上",D8164)),ISNUMBER(SEARCH("去",D8164)),ISNUMBER(SEARCH("入",D8164)))),"Ambiguous",IF(ISNUMBER(SEARCH("平",D8164)),"平","仄")))</x:f>
        <x:v>仄</x:v>
      </x:c>
      <x:c r="L8164" s="7" t="str">
        <x:v>Pingshui main list expansion</x:v>
      </x:c>
    </x:row>
    <x:row r="8165">
      <x:c r="A8165" s="5" t="str">
        <x:v>閥</x:v>
      </x:c>
      <x:c r="B8165" s="6" t="str">
        <x:v>入</x:v>
      </x:c>
      <x:c r="C8165" s="6" t="str">
        <x:f>IF(B8165="","Needs decision","Ready")</x:f>
        <x:v>Ready</x:v>
      </x:c>
      <x:c r="D8165" s="6" t="str">
        <x:v>入</x:v>
      </x:c>
      <x:c r="E8165" s="6" t="str"/>
      <x:c r="F8165" s="6" t="str">
        <x:v>入聲六月</x:v>
      </x:c>
      <x:c r="G8165" s="6" t="str">
        <x:v>Pingshui main list, Wikisource-derived DOCX</x:v>
      </x:c>
      <x:c r="H8165" s="6" t="str"/>
      <x:c r="I8165" s="6" t="str">
        <x:v>Pingshui main-list expansion; 詞 entries ignored</x:v>
      </x:c>
      <x:c r="J8165" s="6" t="str">
        <x:f>IF(B8165="","",IF(AND(ISNUMBER(SEARCH("平",B8165)),OR(ISNUMBER(SEARCH("上",B8165)),ISNUMBER(SEARCH("去",B8165)),ISNUMBER(SEARCH("入",B8165)))),"Ambiguous",IF(ISNUMBER(SEARCH("平",B8165)),"平","仄")))</x:f>
        <x:v>仄</x:v>
      </x:c>
      <x:c r="K8165" s="6" t="str">
        <x:f>IF(D8165="","",IF(AND(ISNUMBER(SEARCH("平",D8165)),OR(ISNUMBER(SEARCH("上",D8165)),ISNUMBER(SEARCH("去",D8165)),ISNUMBER(SEARCH("入",D8165)))),"Ambiguous",IF(ISNUMBER(SEARCH("平",D8165)),"平","仄")))</x:f>
        <x:v>仄</x:v>
      </x:c>
      <x:c r="L8165" s="7" t="str">
        <x:v>Pingshui main list expansion</x:v>
      </x:c>
    </x:row>
    <x:row r="8166">
      <x:c r="A8166" s="5" t="str">
        <x:v>闒</x:v>
      </x:c>
      <x:c r="B8166" s="6" t="str">
        <x:v>入</x:v>
      </x:c>
      <x:c r="C8166" s="6" t="str">
        <x:f>IF(B8166="","Needs decision","Ready")</x:f>
        <x:v>Ready</x:v>
      </x:c>
      <x:c r="D8166" s="6" t="str">
        <x:v>入</x:v>
      </x:c>
      <x:c r="E8166" s="6" t="str"/>
      <x:c r="F8166" s="6" t="str">
        <x:v>入聲十五合</x:v>
      </x:c>
      <x:c r="G8166" s="6" t="str">
        <x:v>Pingshui main list, Wikisource-derived DOCX</x:v>
      </x:c>
      <x:c r="H8166" s="6" t="str"/>
      <x:c r="I8166" s="6" t="str">
        <x:v>Pingshui main-list expansion; 詞 entries ignored</x:v>
      </x:c>
      <x:c r="J8166" s="6" t="str">
        <x:f>IF(B8166="","",IF(AND(ISNUMBER(SEARCH("平",B8166)),OR(ISNUMBER(SEARCH("上",B8166)),ISNUMBER(SEARCH("去",B8166)),ISNUMBER(SEARCH("入",B8166)))),"Ambiguous",IF(ISNUMBER(SEARCH("平",B8166)),"平","仄")))</x:f>
        <x:v>仄</x:v>
      </x:c>
      <x:c r="K8166" s="6" t="str">
        <x:f>IF(D8166="","",IF(AND(ISNUMBER(SEARCH("平",D8166)),OR(ISNUMBER(SEARCH("上",D8166)),ISNUMBER(SEARCH("去",D8166)),ISNUMBER(SEARCH("入",D8166)))),"Ambiguous",IF(ISNUMBER(SEARCH("平",D8166)),"平","仄")))</x:f>
        <x:v>仄</x:v>
      </x:c>
      <x:c r="L8166" s="7" t="str">
        <x:v>Pingshui main list expansion</x:v>
      </x:c>
    </x:row>
    <x:row r="8167">
      <x:c r="A8167" s="5" t="str">
        <x:v>闖</x:v>
      </x:c>
      <x:c r="B8167" s="6" t="str">
        <x:v>去</x:v>
      </x:c>
      <x:c r="C8167" s="6" t="str">
        <x:f>IF(B8167="","Needs decision","Ready")</x:f>
        <x:v>Ready</x:v>
      </x:c>
      <x:c r="D8167" s="6" t="str">
        <x:v>去</x:v>
      </x:c>
      <x:c r="E8167" s="6" t="str"/>
      <x:c r="F8167" s="6" t="str">
        <x:v>去聲二十七沁</x:v>
      </x:c>
      <x:c r="G8167" s="6" t="str">
        <x:v>Pingshui main list, Wikisource-derived DOCX</x:v>
      </x:c>
      <x:c r="H8167" s="6" t="str"/>
      <x:c r="I8167" s="6" t="str">
        <x:v>Pingshui main-list expansion; 詞 entries ignored</x:v>
      </x:c>
      <x:c r="J8167" s="6" t="str">
        <x:f>IF(B8167="","",IF(AND(ISNUMBER(SEARCH("平",B8167)),OR(ISNUMBER(SEARCH("上",B8167)),ISNUMBER(SEARCH("去",B8167)),ISNUMBER(SEARCH("入",B8167)))),"Ambiguous",IF(ISNUMBER(SEARCH("平",B8167)),"平","仄")))</x:f>
        <x:v>仄</x:v>
      </x:c>
      <x:c r="K8167" s="6" t="str">
        <x:f>IF(D8167="","",IF(AND(ISNUMBER(SEARCH("平",D8167)),OR(ISNUMBER(SEARCH("上",D8167)),ISNUMBER(SEARCH("去",D8167)),ISNUMBER(SEARCH("入",D8167)))),"Ambiguous",IF(ISNUMBER(SEARCH("平",D8167)),"平","仄")))</x:f>
        <x:v>仄</x:v>
      </x:c>
      <x:c r="L8167" s="7" t="str">
        <x:v>Pingshui main list expansion</x:v>
      </x:c>
    </x:row>
    <x:row r="8168">
      <x:c r="A8168" s="5" t="str">
        <x:v>闠</x:v>
      </x:c>
      <x:c r="B8168" s="6" t="str">
        <x:v>去</x:v>
      </x:c>
      <x:c r="C8168" s="6" t="str">
        <x:f>IF(B8168="","Needs decision","Ready")</x:f>
        <x:v>Ready</x:v>
      </x:c>
      <x:c r="D8168" s="6" t="str">
        <x:v>去</x:v>
      </x:c>
      <x:c r="E8168" s="6" t="str"/>
      <x:c r="F8168" s="6" t="str">
        <x:v>去聲十一隊</x:v>
      </x:c>
      <x:c r="G8168" s="6" t="str">
        <x:v>Pingshui main list, Wikisource-derived DOCX</x:v>
      </x:c>
      <x:c r="H8168" s="6" t="str"/>
      <x:c r="I8168" s="6" t="str">
        <x:v>Pingshui main-list expansion; 詞 entries ignored</x:v>
      </x:c>
      <x:c r="J8168" s="6" t="str">
        <x:f>IF(B8168="","",IF(AND(ISNUMBER(SEARCH("平",B8168)),OR(ISNUMBER(SEARCH("上",B8168)),ISNUMBER(SEARCH("去",B8168)),ISNUMBER(SEARCH("入",B8168)))),"Ambiguous",IF(ISNUMBER(SEARCH("平",B8168)),"平","仄")))</x:f>
        <x:v>仄</x:v>
      </x:c>
      <x:c r="K8168" s="6" t="str">
        <x:f>IF(D8168="","",IF(AND(ISNUMBER(SEARCH("平",D8168)),OR(ISNUMBER(SEARCH("上",D8168)),ISNUMBER(SEARCH("去",D8168)),ISNUMBER(SEARCH("入",D8168)))),"Ambiguous",IF(ISNUMBER(SEARCH("平",D8168)),"平","仄")))</x:f>
        <x:v>仄</x:v>
      </x:c>
      <x:c r="L8168" s="7" t="str">
        <x:v>Pingshui main list expansion</x:v>
      </x:c>
    </x:row>
    <x:row r="8169">
      <x:c r="A8169" s="5" t="str">
        <x:v>闤</x:v>
      </x:c>
      <x:c r="B8169" s="6" t="str">
        <x:v>平</x:v>
      </x:c>
      <x:c r="C8169" s="6" t="str">
        <x:f>IF(B8169="","Needs decision","Ready")</x:f>
        <x:v>Ready</x:v>
      </x:c>
      <x:c r="D8169" s="6" t="str">
        <x:v>平</x:v>
      </x:c>
      <x:c r="E8169" s="6" t="str"/>
      <x:c r="F8169" s="6" t="str">
        <x:v>上平聲十五刪</x:v>
      </x:c>
      <x:c r="G8169" s="6" t="str">
        <x:v>Pingshui main list, Wikisource-derived DOCX</x:v>
      </x:c>
      <x:c r="H8169" s="6" t="str"/>
      <x:c r="I8169" s="6" t="str">
        <x:v>Pingshui main-list expansion; 詞 entries ignored</x:v>
      </x:c>
      <x:c r="J8169" s="6" t="str">
        <x:f>IF(B8169="","",IF(AND(ISNUMBER(SEARCH("平",B8169)),OR(ISNUMBER(SEARCH("上",B8169)),ISNUMBER(SEARCH("去",B8169)),ISNUMBER(SEARCH("入",B8169)))),"Ambiguous",IF(ISNUMBER(SEARCH("平",B8169)),"平","仄")))</x:f>
        <x:v>平</x:v>
      </x:c>
      <x:c r="K8169" s="6" t="str">
        <x:f>IF(D8169="","",IF(AND(ISNUMBER(SEARCH("平",D8169)),OR(ISNUMBER(SEARCH("上",D8169)),ISNUMBER(SEARCH("去",D8169)),ISNUMBER(SEARCH("入",D8169)))),"Ambiguous",IF(ISNUMBER(SEARCH("平",D8169)),"平","仄")))</x:f>
        <x:v>平</x:v>
      </x:c>
      <x:c r="L8169" s="7" t="str">
        <x:v>Pingshui main list expansion</x:v>
      </x:c>
    </x:row>
    <x:row r="8170">
      <x:c r="A8170" s="5" t="str">
        <x:v>阞</x:v>
      </x:c>
      <x:c r="B8170" s="6" t="str">
        <x:v>入</x:v>
      </x:c>
      <x:c r="C8170" s="6" t="str">
        <x:f>IF(B8170="","Needs decision","Ready")</x:f>
        <x:v>Ready</x:v>
      </x:c>
      <x:c r="D8170" s="6" t="str">
        <x:v>入</x:v>
      </x:c>
      <x:c r="E8170" s="6" t="str"/>
      <x:c r="F8170" s="6" t="str">
        <x:v>入聲十三職</x:v>
      </x:c>
      <x:c r="G8170" s="6" t="str">
        <x:v>Pingshui main list, Wikisource-derived DOCX</x:v>
      </x:c>
      <x:c r="H8170" s="6" t="str"/>
      <x:c r="I8170" s="6" t="str">
        <x:v>Pingshui main-list expansion; 詞 entries ignored</x:v>
      </x:c>
      <x:c r="J8170" s="6" t="str">
        <x:f>IF(B8170="","",IF(AND(ISNUMBER(SEARCH("平",B8170)),OR(ISNUMBER(SEARCH("上",B8170)),ISNUMBER(SEARCH("去",B8170)),ISNUMBER(SEARCH("入",B8170)))),"Ambiguous",IF(ISNUMBER(SEARCH("平",B8170)),"平","仄")))</x:f>
        <x:v>仄</x:v>
      </x:c>
      <x:c r="K8170" s="6" t="str">
        <x:f>IF(D8170="","",IF(AND(ISNUMBER(SEARCH("平",D8170)),OR(ISNUMBER(SEARCH("上",D8170)),ISNUMBER(SEARCH("去",D8170)),ISNUMBER(SEARCH("入",D8170)))),"Ambiguous",IF(ISNUMBER(SEARCH("平",D8170)),"平","仄")))</x:f>
        <x:v>仄</x:v>
      </x:c>
      <x:c r="L8170" s="7" t="str">
        <x:v>Pingshui main list expansion</x:v>
      </x:c>
    </x:row>
    <x:row r="8171">
      <x:c r="A8171" s="5" t="str">
        <x:v>阤</x:v>
      </x:c>
      <x:c r="B8171" s="6" t="str">
        <x:v>上</x:v>
      </x:c>
      <x:c r="C8171" s="6" t="str">
        <x:f>IF(B8171="","Needs decision","Ready")</x:f>
        <x:v>Ready</x:v>
      </x:c>
      <x:c r="D8171" s="6" t="str">
        <x:v>上</x:v>
      </x:c>
      <x:c r="E8171" s="6" t="str"/>
      <x:c r="F8171" s="6" t="str">
        <x:v>上聲四紙</x:v>
      </x:c>
      <x:c r="G8171" s="6" t="str">
        <x:v>Pingshui main list, Wikisource-derived DOCX</x:v>
      </x:c>
      <x:c r="H8171" s="6" t="str"/>
      <x:c r="I8171" s="6" t="str">
        <x:v>Pingshui main-list expansion; 詞 entries ignored</x:v>
      </x:c>
      <x:c r="J8171" s="6" t="str">
        <x:f>IF(B8171="","",IF(AND(ISNUMBER(SEARCH("平",B8171)),OR(ISNUMBER(SEARCH("上",B8171)),ISNUMBER(SEARCH("去",B8171)),ISNUMBER(SEARCH("入",B8171)))),"Ambiguous",IF(ISNUMBER(SEARCH("平",B8171)),"平","仄")))</x:f>
        <x:v>仄</x:v>
      </x:c>
      <x:c r="K8171" s="6" t="str">
        <x:f>IF(D8171="","",IF(AND(ISNUMBER(SEARCH("平",D8171)),OR(ISNUMBER(SEARCH("上",D8171)),ISNUMBER(SEARCH("去",D8171)),ISNUMBER(SEARCH("入",D8171)))),"Ambiguous",IF(ISNUMBER(SEARCH("平",D8171)),"平","仄")))</x:f>
        <x:v>仄</x:v>
      </x:c>
      <x:c r="L8171" s="7" t="str">
        <x:v>Pingshui main list expansion</x:v>
      </x:c>
    </x:row>
    <x:row r="8172">
      <x:c r="A8172" s="5" t="str">
        <x:v>阬</x:v>
      </x:c>
      <x:c r="B8172" s="6" t="str">
        <x:v>平</x:v>
      </x:c>
      <x:c r="C8172" s="6" t="str">
        <x:f>IF(B8172="","Needs decision","Ready")</x:f>
        <x:v>Ready</x:v>
      </x:c>
      <x:c r="D8172" s="6" t="str">
        <x:v>平</x:v>
      </x:c>
      <x:c r="E8172" s="6" t="str"/>
      <x:c r="F8172" s="6" t="str">
        <x:v>下平聲八庚</x:v>
      </x:c>
      <x:c r="G8172" s="6" t="str">
        <x:v>Pingshui main list, Wikisource-derived DOCX</x:v>
      </x:c>
      <x:c r="H8172" s="6" t="str"/>
      <x:c r="I8172" s="6" t="str">
        <x:v>Pingshui main-list expansion; 詞 entries ignored</x:v>
      </x:c>
      <x:c r="J8172" s="6" t="str">
        <x:f>IF(B8172="","",IF(AND(ISNUMBER(SEARCH("平",B8172)),OR(ISNUMBER(SEARCH("上",B8172)),ISNUMBER(SEARCH("去",B8172)),ISNUMBER(SEARCH("入",B8172)))),"Ambiguous",IF(ISNUMBER(SEARCH("平",B8172)),"平","仄")))</x:f>
        <x:v>平</x:v>
      </x:c>
      <x:c r="K8172" s="6" t="str">
        <x:f>IF(D8172="","",IF(AND(ISNUMBER(SEARCH("平",D8172)),OR(ISNUMBER(SEARCH("上",D8172)),ISNUMBER(SEARCH("去",D8172)),ISNUMBER(SEARCH("入",D8172)))),"Ambiguous",IF(ISNUMBER(SEARCH("平",D8172)),"平","仄")))</x:f>
        <x:v>平</x:v>
      </x:c>
      <x:c r="L8172" s="7" t="str">
        <x:v>Pingshui main list expansion</x:v>
      </x:c>
    </x:row>
    <x:row r="8173">
      <x:c r="A8173" s="5" t="str">
        <x:v>阹</x:v>
      </x:c>
      <x:c r="B8173" s="6" t="str">
        <x:v>平</x:v>
      </x:c>
      <x:c r="C8173" s="6" t="str">
        <x:f>IF(B8173="","Needs decision","Ready")</x:f>
        <x:v>Ready</x:v>
      </x:c>
      <x:c r="D8173" s="6" t="str">
        <x:v>平</x:v>
      </x:c>
      <x:c r="E8173" s="6" t="str"/>
      <x:c r="F8173" s="6" t="str">
        <x:v>上平聲六魚</x:v>
      </x:c>
      <x:c r="G8173" s="6" t="str">
        <x:v>Pingshui main list, Wikisource-derived DOCX</x:v>
      </x:c>
      <x:c r="H8173" s="6" t="str"/>
      <x:c r="I8173" s="6" t="str">
        <x:v>Pingshui main-list expansion; 詞 entries ignored</x:v>
      </x:c>
      <x:c r="J8173" s="6" t="str">
        <x:f>IF(B8173="","",IF(AND(ISNUMBER(SEARCH("平",B8173)),OR(ISNUMBER(SEARCH("上",B8173)),ISNUMBER(SEARCH("去",B8173)),ISNUMBER(SEARCH("入",B8173)))),"Ambiguous",IF(ISNUMBER(SEARCH("平",B8173)),"平","仄")))</x:f>
        <x:v>平</x:v>
      </x:c>
      <x:c r="K8173" s="6" t="str">
        <x:f>IF(D8173="","",IF(AND(ISNUMBER(SEARCH("平",D8173)),OR(ISNUMBER(SEARCH("上",D8173)),ISNUMBER(SEARCH("去",D8173)),ISNUMBER(SEARCH("入",D8173)))),"Ambiguous",IF(ISNUMBER(SEARCH("平",D8173)),"平","仄")))</x:f>
        <x:v>平</x:v>
      </x:c>
      <x:c r="L8173" s="7" t="str">
        <x:v>Pingshui main list expansion</x:v>
      </x:c>
    </x:row>
    <x:row r="8174">
      <x:c r="A8174" s="5" t="str">
        <x:v>陊</x:v>
      </x:c>
      <x:c r="B8174" s="6" t="str">
        <x:v>上</x:v>
      </x:c>
      <x:c r="C8174" s="6" t="str">
        <x:f>IF(B8174="","Needs decision","Ready")</x:f>
        <x:v>Ready</x:v>
      </x:c>
      <x:c r="D8174" s="6" t="str">
        <x:v>上</x:v>
      </x:c>
      <x:c r="E8174" s="6" t="str"/>
      <x:c r="F8174" s="6" t="str">
        <x:v>上聲二十哿</x:v>
      </x:c>
      <x:c r="G8174" s="6" t="str">
        <x:v>Pingshui main list, Wikisource-derived DOCX</x:v>
      </x:c>
      <x:c r="H8174" s="6" t="str"/>
      <x:c r="I8174" s="6" t="str">
        <x:v>Pingshui main-list expansion; 詞 entries ignored</x:v>
      </x:c>
      <x:c r="J8174" s="6" t="str">
        <x:f>IF(B8174="","",IF(AND(ISNUMBER(SEARCH("平",B8174)),OR(ISNUMBER(SEARCH("上",B8174)),ISNUMBER(SEARCH("去",B8174)),ISNUMBER(SEARCH("入",B8174)))),"Ambiguous",IF(ISNUMBER(SEARCH("平",B8174)),"平","仄")))</x:f>
        <x:v>仄</x:v>
      </x:c>
      <x:c r="K8174" s="6" t="str">
        <x:f>IF(D8174="","",IF(AND(ISNUMBER(SEARCH("平",D8174)),OR(ISNUMBER(SEARCH("上",D8174)),ISNUMBER(SEARCH("去",D8174)),ISNUMBER(SEARCH("入",D8174)))),"Ambiguous",IF(ISNUMBER(SEARCH("平",D8174)),"平","仄")))</x:f>
        <x:v>仄</x:v>
      </x:c>
      <x:c r="L8174" s="7" t="str">
        <x:v>Pingshui main list expansion</x:v>
      </x:c>
    </x:row>
    <x:row r="8175">
      <x:c r="A8175" s="5" t="str">
        <x:v>陑</x:v>
      </x:c>
      <x:c r="B8175" s="6" t="str">
        <x:v>平</x:v>
      </x:c>
      <x:c r="C8175" s="6" t="str">
        <x:f>IF(B8175="","Needs decision","Ready")</x:f>
        <x:v>Ready</x:v>
      </x:c>
      <x:c r="D8175" s="6" t="str">
        <x:v>平</x:v>
      </x:c>
      <x:c r="E8175" s="6" t="str"/>
      <x:c r="F8175" s="6" t="str">
        <x:v>上平聲四支</x:v>
      </x:c>
      <x:c r="G8175" s="6" t="str">
        <x:v>Pingshui main list, Wikisource-derived DOCX</x:v>
      </x:c>
      <x:c r="H8175" s="6" t="str"/>
      <x:c r="I8175" s="6" t="str">
        <x:v>Pingshui main-list expansion; 詞 entries ignored</x:v>
      </x:c>
      <x:c r="J8175" s="6" t="str">
        <x:f>IF(B8175="","",IF(AND(ISNUMBER(SEARCH("平",B8175)),OR(ISNUMBER(SEARCH("上",B8175)),ISNUMBER(SEARCH("去",B8175)),ISNUMBER(SEARCH("入",B8175)))),"Ambiguous",IF(ISNUMBER(SEARCH("平",B8175)),"平","仄")))</x:f>
        <x:v>平</x:v>
      </x:c>
      <x:c r="K8175" s="6" t="str">
        <x:f>IF(D8175="","",IF(AND(ISNUMBER(SEARCH("平",D8175)),OR(ISNUMBER(SEARCH("上",D8175)),ISNUMBER(SEARCH("去",D8175)),ISNUMBER(SEARCH("入",D8175)))),"Ambiguous",IF(ISNUMBER(SEARCH("平",D8175)),"平","仄")))</x:f>
        <x:v>平</x:v>
      </x:c>
      <x:c r="L8175" s="7" t="str">
        <x:v>Pingshui main list expansion</x:v>
      </x:c>
    </x:row>
    <x:row r="8176">
      <x:c r="A8176" s="5" t="str">
        <x:v>陓</x:v>
      </x:c>
      <x:c r="B8176" s="6" t="str">
        <x:v>平</x:v>
      </x:c>
      <x:c r="C8176" s="6" t="str">
        <x:f>IF(B8176="","Needs decision","Ready")</x:f>
        <x:v>Ready</x:v>
      </x:c>
      <x:c r="D8176" s="6" t="str">
        <x:v>平</x:v>
      </x:c>
      <x:c r="E8176" s="6" t="str"/>
      <x:c r="F8176" s="6" t="str">
        <x:v>上平聲七虞</x:v>
      </x:c>
      <x:c r="G8176" s="6" t="str">
        <x:v>Pingshui main list, Wikisource-derived DOCX</x:v>
      </x:c>
      <x:c r="H8176" s="6" t="str"/>
      <x:c r="I8176" s="6" t="str">
        <x:v>Pingshui main-list expansion; 詞 entries ignored</x:v>
      </x:c>
      <x:c r="J8176" s="6" t="str">
        <x:f>IF(B8176="","",IF(AND(ISNUMBER(SEARCH("平",B8176)),OR(ISNUMBER(SEARCH("上",B8176)),ISNUMBER(SEARCH("去",B8176)),ISNUMBER(SEARCH("入",B8176)))),"Ambiguous",IF(ISNUMBER(SEARCH("平",B8176)),"平","仄")))</x:f>
        <x:v>平</x:v>
      </x:c>
      <x:c r="K8176" s="6" t="str">
        <x:f>IF(D8176="","",IF(AND(ISNUMBER(SEARCH("平",D8176)),OR(ISNUMBER(SEARCH("上",D8176)),ISNUMBER(SEARCH("去",D8176)),ISNUMBER(SEARCH("入",D8176)))),"Ambiguous",IF(ISNUMBER(SEARCH("平",D8176)),"平","仄")))</x:f>
        <x:v>平</x:v>
      </x:c>
      <x:c r="L8176" s="7" t="str">
        <x:v>Pingshui main list expansion</x:v>
      </x:c>
    </x:row>
    <x:row r="8177">
      <x:c r="A8177" s="5" t="str">
        <x:v>陜</x:v>
      </x:c>
      <x:c r="B8177" s="6" t="str">
        <x:v>上</x:v>
      </x:c>
      <x:c r="C8177" s="6" t="str">
        <x:f>IF(B8177="","Needs decision","Ready")</x:f>
        <x:v>Ready</x:v>
      </x:c>
      <x:c r="D8177" s="6" t="str">
        <x:v>上</x:v>
      </x:c>
      <x:c r="E8177" s="6" t="str"/>
      <x:c r="F8177" s="6" t="str">
        <x:v>上聲二十八琰</x:v>
      </x:c>
      <x:c r="G8177" s="6" t="str">
        <x:v>Pingshui main list, Wikisource-derived DOCX</x:v>
      </x:c>
      <x:c r="H8177" s="6" t="str"/>
      <x:c r="I8177" s="6" t="str">
        <x:v>Pingshui main-list expansion; 詞 entries ignored</x:v>
      </x:c>
      <x:c r="J8177" s="6" t="str">
        <x:f>IF(B8177="","",IF(AND(ISNUMBER(SEARCH("平",B8177)),OR(ISNUMBER(SEARCH("上",B8177)),ISNUMBER(SEARCH("去",B8177)),ISNUMBER(SEARCH("入",B8177)))),"Ambiguous",IF(ISNUMBER(SEARCH("平",B8177)),"平","仄")))</x:f>
        <x:v>仄</x:v>
      </x:c>
      <x:c r="K8177" s="6" t="str">
        <x:f>IF(D8177="","",IF(AND(ISNUMBER(SEARCH("平",D8177)),OR(ISNUMBER(SEARCH("上",D8177)),ISNUMBER(SEARCH("去",D8177)),ISNUMBER(SEARCH("入",D8177)))),"Ambiguous",IF(ISNUMBER(SEARCH("平",D8177)),"平","仄")))</x:f>
        <x:v>仄</x:v>
      </x:c>
      <x:c r="L8177" s="7" t="str">
        <x:v>Pingshui main list expansion</x:v>
      </x:c>
    </x:row>
    <x:row r="8178">
      <x:c r="A8178" s="5" t="str">
        <x:v>陡</x:v>
      </x:c>
      <x:c r="B8178" s="6" t="str">
        <x:v>上</x:v>
      </x:c>
      <x:c r="C8178" s="6" t="str">
        <x:f>IF(B8178="","Needs decision","Ready")</x:f>
        <x:v>Ready</x:v>
      </x:c>
      <x:c r="D8178" s="6" t="str">
        <x:v>上</x:v>
      </x:c>
      <x:c r="E8178" s="6" t="str"/>
      <x:c r="F8178" s="6" t="str">
        <x:v>上聲二十五有</x:v>
      </x:c>
      <x:c r="G8178" s="6" t="str">
        <x:v>Pingshui main list, Wikisource-derived DOCX</x:v>
      </x:c>
      <x:c r="H8178" s="6" t="str"/>
      <x:c r="I8178" s="6" t="str">
        <x:v>Pingshui main-list expansion; 詞 entries ignored</x:v>
      </x:c>
      <x:c r="J8178" s="6" t="str">
        <x:f>IF(B8178="","",IF(AND(ISNUMBER(SEARCH("平",B8178)),OR(ISNUMBER(SEARCH("上",B8178)),ISNUMBER(SEARCH("去",B8178)),ISNUMBER(SEARCH("入",B8178)))),"Ambiguous",IF(ISNUMBER(SEARCH("平",B8178)),"平","仄")))</x:f>
        <x:v>仄</x:v>
      </x:c>
      <x:c r="K8178" s="6" t="str">
        <x:f>IF(D8178="","",IF(AND(ISNUMBER(SEARCH("平",D8178)),OR(ISNUMBER(SEARCH("上",D8178)),ISNUMBER(SEARCH("去",D8178)),ISNUMBER(SEARCH("入",D8178)))),"Ambiguous",IF(ISNUMBER(SEARCH("平",D8178)),"平","仄")))</x:f>
        <x:v>仄</x:v>
      </x:c>
      <x:c r="L8178" s="7" t="str">
        <x:v>Pingshui main list expansion</x:v>
      </x:c>
    </x:row>
    <x:row r="8179">
      <x:c r="A8179" s="5" t="str">
        <x:v>陾</x:v>
      </x:c>
      <x:c r="B8179" s="6" t="str">
        <x:v>平</x:v>
      </x:c>
      <x:c r="C8179" s="6" t="str">
        <x:f>IF(B8179="","Needs decision","Ready")</x:f>
        <x:v>Ready</x:v>
      </x:c>
      <x:c r="D8179" s="6" t="str">
        <x:v>平</x:v>
      </x:c>
      <x:c r="E8179" s="6" t="str"/>
      <x:c r="F8179" s="6" t="str">
        <x:v>下平聲十蒸</x:v>
      </x:c>
      <x:c r="G8179" s="6" t="str">
        <x:v>Pingshui main list, Wikisource-derived DOCX</x:v>
      </x:c>
      <x:c r="H8179" s="6" t="str"/>
      <x:c r="I8179" s="6" t="str">
        <x:v>Pingshui main-list expansion; 詞 entries ignored</x:v>
      </x:c>
      <x:c r="J8179" s="6" t="str">
        <x:f>IF(B8179="","",IF(AND(ISNUMBER(SEARCH("平",B8179)),OR(ISNUMBER(SEARCH("上",B8179)),ISNUMBER(SEARCH("去",B8179)),ISNUMBER(SEARCH("入",B8179)))),"Ambiguous",IF(ISNUMBER(SEARCH("平",B8179)),"平","仄")))</x:f>
        <x:v>平</x:v>
      </x:c>
      <x:c r="K8179" s="6" t="str">
        <x:f>IF(D8179="","",IF(AND(ISNUMBER(SEARCH("平",D8179)),OR(ISNUMBER(SEARCH("上",D8179)),ISNUMBER(SEARCH("去",D8179)),ISNUMBER(SEARCH("入",D8179)))),"Ambiguous",IF(ISNUMBER(SEARCH("平",D8179)),"平","仄")))</x:f>
        <x:v>平</x:v>
      </x:c>
      <x:c r="L8179" s="7" t="str">
        <x:v>Pingshui main list expansion</x:v>
      </x:c>
    </x:row>
    <x:row r="8180">
      <x:c r="A8180" s="5" t="str">
        <x:v>隃</x:v>
      </x:c>
      <x:c r="B8180" s="6" t="str">
        <x:v>平</x:v>
      </x:c>
      <x:c r="C8180" s="6" t="str">
        <x:f>IF(B8180="","Needs decision","Ready")</x:f>
        <x:v>Ready</x:v>
      </x:c>
      <x:c r="D8180" s="6" t="str">
        <x:v>平</x:v>
      </x:c>
      <x:c r="E8180" s="6" t="str"/>
      <x:c r="F8180" s="6" t="str">
        <x:v>上平聲七虞</x:v>
      </x:c>
      <x:c r="G8180" s="6" t="str">
        <x:v>Pingshui main list, Wikisource-derived DOCX</x:v>
      </x:c>
      <x:c r="H8180" s="6" t="str"/>
      <x:c r="I8180" s="6" t="str">
        <x:v>Pingshui main-list expansion; 詞 entries ignored</x:v>
      </x:c>
      <x:c r="J8180" s="6" t="str">
        <x:f>IF(B8180="","",IF(AND(ISNUMBER(SEARCH("平",B8180)),OR(ISNUMBER(SEARCH("上",B8180)),ISNUMBER(SEARCH("去",B8180)),ISNUMBER(SEARCH("入",B8180)))),"Ambiguous",IF(ISNUMBER(SEARCH("平",B8180)),"平","仄")))</x:f>
        <x:v>平</x:v>
      </x:c>
      <x:c r="K8180" s="6" t="str">
        <x:f>IF(D8180="","",IF(AND(ISNUMBER(SEARCH("平",D8180)),OR(ISNUMBER(SEARCH("上",D8180)),ISNUMBER(SEARCH("去",D8180)),ISNUMBER(SEARCH("入",D8180)))),"Ambiguous",IF(ISNUMBER(SEARCH("平",D8180)),"平","仄")))</x:f>
        <x:v>平</x:v>
      </x:c>
      <x:c r="L8180" s="7" t="str">
        <x:v>Pingshui main list expansion</x:v>
      </x:c>
    </x:row>
    <x:row r="8181">
      <x:c r="A8181" s="5" t="str">
        <x:v>隉</x:v>
      </x:c>
      <x:c r="B8181" s="6" t="str">
        <x:v>入</x:v>
      </x:c>
      <x:c r="C8181" s="6" t="str">
        <x:f>IF(B8181="","Needs decision","Ready")</x:f>
        <x:v>Ready</x:v>
      </x:c>
      <x:c r="D8181" s="6" t="str">
        <x:v>入</x:v>
      </x:c>
      <x:c r="E8181" s="6" t="str"/>
      <x:c r="F8181" s="6" t="str">
        <x:v>入聲九屑</x:v>
      </x:c>
      <x:c r="G8181" s="6" t="str">
        <x:v>Pingshui main list, Wikisource-derived DOCX</x:v>
      </x:c>
      <x:c r="H8181" s="6" t="str"/>
      <x:c r="I8181" s="6" t="str">
        <x:v>Pingshui main-list expansion; 詞 entries ignored</x:v>
      </x:c>
      <x:c r="J8181" s="6" t="str">
        <x:f>IF(B8181="","",IF(AND(ISNUMBER(SEARCH("平",B8181)),OR(ISNUMBER(SEARCH("上",B8181)),ISNUMBER(SEARCH("去",B8181)),ISNUMBER(SEARCH("入",B8181)))),"Ambiguous",IF(ISNUMBER(SEARCH("平",B8181)),"平","仄")))</x:f>
        <x:v>仄</x:v>
      </x:c>
      <x:c r="K8181" s="6" t="str">
        <x:f>IF(D8181="","",IF(AND(ISNUMBER(SEARCH("平",D8181)),OR(ISNUMBER(SEARCH("上",D8181)),ISNUMBER(SEARCH("去",D8181)),ISNUMBER(SEARCH("入",D8181)))),"Ambiguous",IF(ISNUMBER(SEARCH("平",D8181)),"平","仄")))</x:f>
        <x:v>仄</x:v>
      </x:c>
      <x:c r="L8181" s="7" t="str">
        <x:v>Pingshui main list expansion</x:v>
      </x:c>
    </x:row>
    <x:row r="8182">
      <x:c r="A8182" s="5" t="str">
        <x:v>隒</x:v>
      </x:c>
      <x:c r="B8182" s="6" t="str">
        <x:v>上</x:v>
      </x:c>
      <x:c r="C8182" s="6" t="str">
        <x:f>IF(B8182="","Needs decision","Ready")</x:f>
        <x:v>Ready</x:v>
      </x:c>
      <x:c r="D8182" s="6" t="str">
        <x:v>上</x:v>
      </x:c>
      <x:c r="E8182" s="6" t="str"/>
      <x:c r="F8182" s="6" t="str">
        <x:v>上聲二十八琰</x:v>
      </x:c>
      <x:c r="G8182" s="6" t="str">
        <x:v>Pingshui main list, Wikisource-derived DOCX</x:v>
      </x:c>
      <x:c r="H8182" s="6" t="str"/>
      <x:c r="I8182" s="6" t="str">
        <x:v>Pingshui main-list expansion; 詞 entries ignored</x:v>
      </x:c>
      <x:c r="J8182" s="6" t="str">
        <x:f>IF(B8182="","",IF(AND(ISNUMBER(SEARCH("平",B8182)),OR(ISNUMBER(SEARCH("上",B8182)),ISNUMBER(SEARCH("去",B8182)),ISNUMBER(SEARCH("入",B8182)))),"Ambiguous",IF(ISNUMBER(SEARCH("平",B8182)),"平","仄")))</x:f>
        <x:v>仄</x:v>
      </x:c>
      <x:c r="K8182" s="6" t="str">
        <x:f>IF(D8182="","",IF(AND(ISNUMBER(SEARCH("平",D8182)),OR(ISNUMBER(SEARCH("上",D8182)),ISNUMBER(SEARCH("去",D8182)),ISNUMBER(SEARCH("入",D8182)))),"Ambiguous",IF(ISNUMBER(SEARCH("平",D8182)),"平","仄")))</x:f>
        <x:v>仄</x:v>
      </x:c>
      <x:c r="L8182" s="7" t="str">
        <x:v>Pingshui main list expansion</x:v>
      </x:c>
    </x:row>
    <x:row r="8183">
      <x:c r="A8183" s="5" t="str">
        <x:v>隿</x:v>
      </x:c>
      <x:c r="B8183" s="6" t="str">
        <x:v>入</x:v>
      </x:c>
      <x:c r="C8183" s="6" t="str">
        <x:f>IF(B8183="","Needs decision","Ready")</x:f>
        <x:v>Ready</x:v>
      </x:c>
      <x:c r="D8183" s="6" t="str">
        <x:v>入</x:v>
      </x:c>
      <x:c r="E8183" s="6" t="str"/>
      <x:c r="F8183" s="6" t="str">
        <x:v>入聲十三職</x:v>
      </x:c>
      <x:c r="G8183" s="6" t="str">
        <x:v>Pingshui main list, Wikisource-derived DOCX</x:v>
      </x:c>
      <x:c r="H8183" s="6" t="str"/>
      <x:c r="I8183" s="6" t="str">
        <x:v>Pingshui main-list expansion; 詞 entries ignored</x:v>
      </x:c>
      <x:c r="J8183" s="6" t="str">
        <x:f>IF(B8183="","",IF(AND(ISNUMBER(SEARCH("平",B8183)),OR(ISNUMBER(SEARCH("上",B8183)),ISNUMBER(SEARCH("去",B8183)),ISNUMBER(SEARCH("入",B8183)))),"Ambiguous",IF(ISNUMBER(SEARCH("平",B8183)),"平","仄")))</x:f>
        <x:v>仄</x:v>
      </x:c>
      <x:c r="K8183" s="6" t="str">
        <x:f>IF(D8183="","",IF(AND(ISNUMBER(SEARCH("平",D8183)),OR(ISNUMBER(SEARCH("上",D8183)),ISNUMBER(SEARCH("去",D8183)),ISNUMBER(SEARCH("入",D8183)))),"Ambiguous",IF(ISNUMBER(SEARCH("平",D8183)),"平","仄")))</x:f>
        <x:v>仄</x:v>
      </x:c>
      <x:c r="L8183" s="7" t="str">
        <x:v>Pingshui main list expansion</x:v>
      </x:c>
    </x:row>
    <x:row r="8184">
      <x:c r="A8184" s="5" t="str">
        <x:v>雓</x:v>
      </x:c>
      <x:c r="B8184" s="6" t="str">
        <x:v>平</x:v>
      </x:c>
      <x:c r="C8184" s="6" t="str">
        <x:f>IF(B8184="","Needs decision","Ready")</x:f>
        <x:v>Ready</x:v>
      </x:c>
      <x:c r="D8184" s="6" t="str">
        <x:v>平</x:v>
      </x:c>
      <x:c r="E8184" s="6" t="str"/>
      <x:c r="F8184" s="6" t="str">
        <x:v>上平聲六魚</x:v>
      </x:c>
      <x:c r="G8184" s="6" t="str">
        <x:v>Pingshui main list, Wikisource-derived DOCX</x:v>
      </x:c>
      <x:c r="H8184" s="6" t="str"/>
      <x:c r="I8184" s="6" t="str">
        <x:v>Pingshui main-list expansion; 詞 entries ignored</x:v>
      </x:c>
      <x:c r="J8184" s="6" t="str">
        <x:f>IF(B8184="","",IF(AND(ISNUMBER(SEARCH("平",B8184)),OR(ISNUMBER(SEARCH("上",B8184)),ISNUMBER(SEARCH("去",B8184)),ISNUMBER(SEARCH("入",B8184)))),"Ambiguous",IF(ISNUMBER(SEARCH("平",B8184)),"平","仄")))</x:f>
        <x:v>平</x:v>
      </x:c>
      <x:c r="K8184" s="6" t="str">
        <x:f>IF(D8184="","",IF(AND(ISNUMBER(SEARCH("平",D8184)),OR(ISNUMBER(SEARCH("上",D8184)),ISNUMBER(SEARCH("去",D8184)),ISNUMBER(SEARCH("入",D8184)))),"Ambiguous",IF(ISNUMBER(SEARCH("平",D8184)),"平","仄")))</x:f>
        <x:v>平</x:v>
      </x:c>
      <x:c r="L8184" s="7" t="str">
        <x:v>Pingshui main list expansion</x:v>
      </x:c>
    </x:row>
    <x:row r="8185">
      <x:c r="A8185" s="5" t="str">
        <x:v>雯</x:v>
      </x:c>
      <x:c r="B8185" s="6" t="str">
        <x:v>平</x:v>
      </x:c>
      <x:c r="C8185" s="6" t="str">
        <x:f>IF(B8185="","Needs decision","Ready")</x:f>
        <x:v>Ready</x:v>
      </x:c>
      <x:c r="D8185" s="6" t="str">
        <x:v>平</x:v>
      </x:c>
      <x:c r="E8185" s="6" t="str"/>
      <x:c r="F8185" s="6" t="str">
        <x:v>上平聲十二文</x:v>
      </x:c>
      <x:c r="G8185" s="6" t="str">
        <x:v>Pingshui main list, Wikisource-derived DOCX</x:v>
      </x:c>
      <x:c r="H8185" s="6" t="str"/>
      <x:c r="I8185" s="6" t="str">
        <x:v>Pingshui main-list expansion; 詞 entries ignored</x:v>
      </x:c>
      <x:c r="J8185" s="6" t="str">
        <x:f>IF(B8185="","",IF(AND(ISNUMBER(SEARCH("平",B8185)),OR(ISNUMBER(SEARCH("上",B8185)),ISNUMBER(SEARCH("去",B8185)),ISNUMBER(SEARCH("入",B8185)))),"Ambiguous",IF(ISNUMBER(SEARCH("平",B8185)),"平","仄")))</x:f>
        <x:v>平</x:v>
      </x:c>
      <x:c r="K8185" s="6" t="str">
        <x:f>IF(D8185="","",IF(AND(ISNUMBER(SEARCH("平",D8185)),OR(ISNUMBER(SEARCH("上",D8185)),ISNUMBER(SEARCH("去",D8185)),ISNUMBER(SEARCH("入",D8185)))),"Ambiguous",IF(ISNUMBER(SEARCH("平",D8185)),"平","仄")))</x:f>
        <x:v>平</x:v>
      </x:c>
      <x:c r="L8185" s="7" t="str">
        <x:v>Pingshui main list expansion</x:v>
      </x:c>
    </x:row>
    <x:row r="8186">
      <x:c r="A8186" s="5" t="str">
        <x:v>雺</x:v>
      </x:c>
      <x:c r="B8186" s="6" t="str"/>
      <x:c r="C8186" s="6" t="str">
        <x:f>IF(B8186="","Needs decision","Ready")</x:f>
        <x:v>Needs decision</x:v>
      </x:c>
      <x:c r="D8186" s="6" t="str">
        <x:v>平/去</x:v>
      </x:c>
      <x:c r="E8186" s="6" t="str"/>
      <x:c r="F8186" s="6" t="str">
        <x:v>上平聲一東; 去聲二宋; 去聲二十六宥</x:v>
      </x:c>
      <x:c r="G8186" s="6" t="str">
        <x:v>Pingshui main list, Wikisource-derived DOCX</x:v>
      </x:c>
      <x:c r="H8186" s="6" t="str"/>
      <x:c r="I8186" s="6" t="str">
        <x:v>Pingshui main-list expansion; 詞 entries ignored</x:v>
      </x:c>
      <x:c r="J8186" s="6" t="str">
        <x:f>IF(B8186="","",IF(AND(ISNUMBER(SEARCH("平",B8186)),OR(ISNUMBER(SEARCH("上",B8186)),ISNUMBER(SEARCH("去",B8186)),ISNUMBER(SEARCH("入",B8186)))),"Ambiguous",IF(ISNUMBER(SEARCH("平",B8186)),"平","仄")))</x:f>
      </x:c>
      <x:c r="K8186" s="6" t="str">
        <x:f>IF(D8186="","",IF(AND(ISNUMBER(SEARCH("平",D8186)),OR(ISNUMBER(SEARCH("上",D8186)),ISNUMBER(SEARCH("去",D8186)),ISNUMBER(SEARCH("入",D8186)))),"Ambiguous",IF(ISNUMBER(SEARCH("平",D8186)),"平","仄")))</x:f>
        <x:v>Ambiguous</x:v>
      </x:c>
      <x:c r="L8186" s="7" t="str">
        <x:v>Pingshui main list expansion</x:v>
      </x:c>
    </x:row>
    <x:row r="8187">
      <x:c r="A8187" s="5" t="str">
        <x:v>霅</x:v>
      </x:c>
      <x:c r="B8187" s="6" t="str">
        <x:v>入</x:v>
      </x:c>
      <x:c r="C8187" s="6" t="str">
        <x:f>IF(B8187="","Needs decision","Ready")</x:f>
        <x:v>Ready</x:v>
      </x:c>
      <x:c r="D8187" s="6" t="str">
        <x:v>入</x:v>
      </x:c>
      <x:c r="E8187" s="6" t="str"/>
      <x:c r="F8187" s="6" t="str">
        <x:v>入聲十六葉; 入聲十七洽</x:v>
      </x:c>
      <x:c r="G8187" s="6" t="str">
        <x:v>Pingshui main list, Wikisource-derived DOCX</x:v>
      </x:c>
      <x:c r="H8187" s="6" t="str"/>
      <x:c r="I8187" s="6" t="str">
        <x:v>Pingshui main-list expansion; 詞 entries ignored</x:v>
      </x:c>
      <x:c r="J8187" s="6" t="str">
        <x:f>IF(B8187="","",IF(AND(ISNUMBER(SEARCH("平",B8187)),OR(ISNUMBER(SEARCH("上",B8187)),ISNUMBER(SEARCH("去",B8187)),ISNUMBER(SEARCH("入",B8187)))),"Ambiguous",IF(ISNUMBER(SEARCH("平",B8187)),"平","仄")))</x:f>
        <x:v>仄</x:v>
      </x:c>
      <x:c r="K8187" s="6" t="str">
        <x:f>IF(D8187="","",IF(AND(ISNUMBER(SEARCH("平",D8187)),OR(ISNUMBER(SEARCH("上",D8187)),ISNUMBER(SEARCH("去",D8187)),ISNUMBER(SEARCH("入",D8187)))),"Ambiguous",IF(ISNUMBER(SEARCH("平",D8187)),"平","仄")))</x:f>
        <x:v>仄</x:v>
      </x:c>
      <x:c r="L8187" s="7" t="str">
        <x:v>Pingshui main list expansion</x:v>
      </x:c>
    </x:row>
    <x:row r="8188">
      <x:c r="A8188" s="5" t="str">
        <x:v>霋</x:v>
      </x:c>
      <x:c r="B8188" s="6" t="str">
        <x:v>平</x:v>
      </x:c>
      <x:c r="C8188" s="6" t="str">
        <x:f>IF(B8188="","Needs decision","Ready")</x:f>
        <x:v>Ready</x:v>
      </x:c>
      <x:c r="D8188" s="6" t="str">
        <x:v>平</x:v>
      </x:c>
      <x:c r="E8188" s="6" t="str"/>
      <x:c r="F8188" s="6" t="str">
        <x:v>上平聲八齊</x:v>
      </x:c>
      <x:c r="G8188" s="6" t="str">
        <x:v>Pingshui main list, Wikisource-derived DOCX</x:v>
      </x:c>
      <x:c r="H8188" s="6" t="str"/>
      <x:c r="I8188" s="6" t="str">
        <x:v>Pingshui main-list expansion; 詞 entries ignored</x:v>
      </x:c>
      <x:c r="J8188" s="6" t="str">
        <x:f>IF(B8188="","",IF(AND(ISNUMBER(SEARCH("平",B8188)),OR(ISNUMBER(SEARCH("上",B8188)),ISNUMBER(SEARCH("去",B8188)),ISNUMBER(SEARCH("入",B8188)))),"Ambiguous",IF(ISNUMBER(SEARCH("平",B8188)),"平","仄")))</x:f>
        <x:v>平</x:v>
      </x:c>
      <x:c r="K8188" s="6" t="str">
        <x:f>IF(D8188="","",IF(AND(ISNUMBER(SEARCH("平",D8188)),OR(ISNUMBER(SEARCH("上",D8188)),ISNUMBER(SEARCH("去",D8188)),ISNUMBER(SEARCH("入",D8188)))),"Ambiguous",IF(ISNUMBER(SEARCH("平",D8188)),"平","仄")))</x:f>
        <x:v>平</x:v>
      </x:c>
      <x:c r="L8188" s="7" t="str">
        <x:v>Pingshui main list expansion</x:v>
      </x:c>
    </x:row>
    <x:row r="8189">
      <x:c r="A8189" s="5" t="str">
        <x:v>霎</x:v>
      </x:c>
      <x:c r="B8189" s="6" t="str">
        <x:v>入</x:v>
      </x:c>
      <x:c r="C8189" s="6" t="str">
        <x:f>IF(B8189="","Needs decision","Ready")</x:f>
        <x:v>Ready</x:v>
      </x:c>
      <x:c r="D8189" s="6" t="str">
        <x:v>入</x:v>
      </x:c>
      <x:c r="E8189" s="6" t="str"/>
      <x:c r="F8189" s="6" t="str">
        <x:v>入聲十六葉; 入聲十七洽</x:v>
      </x:c>
      <x:c r="G8189" s="6" t="str">
        <x:v>Pingshui main list, Wikisource-derived DOCX</x:v>
      </x:c>
      <x:c r="H8189" s="6" t="str"/>
      <x:c r="I8189" s="6" t="str">
        <x:v>Pingshui main-list expansion; 詞 entries ignored</x:v>
      </x:c>
      <x:c r="J8189" s="6" t="str">
        <x:f>IF(B8189="","",IF(AND(ISNUMBER(SEARCH("平",B8189)),OR(ISNUMBER(SEARCH("上",B8189)),ISNUMBER(SEARCH("去",B8189)),ISNUMBER(SEARCH("入",B8189)))),"Ambiguous",IF(ISNUMBER(SEARCH("平",B8189)),"平","仄")))</x:f>
        <x:v>仄</x:v>
      </x:c>
      <x:c r="K8189" s="6" t="str">
        <x:f>IF(D8189="","",IF(AND(ISNUMBER(SEARCH("平",D8189)),OR(ISNUMBER(SEARCH("上",D8189)),ISNUMBER(SEARCH("去",D8189)),ISNUMBER(SEARCH("入",D8189)))),"Ambiguous",IF(ISNUMBER(SEARCH("平",D8189)),"平","仄")))</x:f>
        <x:v>仄</x:v>
      </x:c>
      <x:c r="L8189" s="7" t="str">
        <x:v>Pingshui main list expansion</x:v>
      </x:c>
    </x:row>
    <x:row r="8190">
      <x:c r="A8190" s="5" t="str">
        <x:v>霩</x:v>
      </x:c>
      <x:c r="B8190" s="6" t="str">
        <x:v>入</x:v>
      </x:c>
      <x:c r="C8190" s="6" t="str">
        <x:f>IF(B8190="","Needs decision","Ready")</x:f>
        <x:v>Ready</x:v>
      </x:c>
      <x:c r="D8190" s="6" t="str">
        <x:v>入</x:v>
      </x:c>
      <x:c r="E8190" s="6" t="str"/>
      <x:c r="F8190" s="6" t="str">
        <x:v>入聲十藥</x:v>
      </x:c>
      <x:c r="G8190" s="6" t="str">
        <x:v>Pingshui main list, Wikisource-derived DOCX</x:v>
      </x:c>
      <x:c r="H8190" s="6" t="str"/>
      <x:c r="I8190" s="6" t="str">
        <x:v>Pingshui main-list expansion; 詞 entries ignored</x:v>
      </x:c>
      <x:c r="J8190" s="6" t="str">
        <x:f>IF(B8190="","",IF(AND(ISNUMBER(SEARCH("平",B8190)),OR(ISNUMBER(SEARCH("上",B8190)),ISNUMBER(SEARCH("去",B8190)),ISNUMBER(SEARCH("入",B8190)))),"Ambiguous",IF(ISNUMBER(SEARCH("平",B8190)),"平","仄")))</x:f>
        <x:v>仄</x:v>
      </x:c>
      <x:c r="K8190" s="6" t="str">
        <x:f>IF(D8190="","",IF(AND(ISNUMBER(SEARCH("平",D8190)),OR(ISNUMBER(SEARCH("上",D8190)),ISNUMBER(SEARCH("去",D8190)),ISNUMBER(SEARCH("入",D8190)))),"Ambiguous",IF(ISNUMBER(SEARCH("平",D8190)),"平","仄")))</x:f>
        <x:v>仄</x:v>
      </x:c>
      <x:c r="L8190" s="7" t="str">
        <x:v>Pingshui main list expansion</x:v>
      </x:c>
    </x:row>
    <x:row r="8191">
      <x:c r="A8191" s="5" t="str">
        <x:v>霪</x:v>
      </x:c>
      <x:c r="B8191" s="6" t="str">
        <x:v>平</x:v>
      </x:c>
      <x:c r="C8191" s="6" t="str">
        <x:f>IF(B8191="","Needs decision","Ready")</x:f>
        <x:v>Ready</x:v>
      </x:c>
      <x:c r="D8191" s="6" t="str">
        <x:v>平</x:v>
      </x:c>
      <x:c r="E8191" s="6" t="str"/>
      <x:c r="F8191" s="6" t="str">
        <x:v>下平聲十二侵</x:v>
      </x:c>
      <x:c r="G8191" s="6" t="str">
        <x:v>Pingshui main list, Wikisource-derived DOCX</x:v>
      </x:c>
      <x:c r="H8191" s="6" t="str"/>
      <x:c r="I8191" s="6" t="str">
        <x:v>Pingshui main-list expansion; 詞 entries ignored</x:v>
      </x:c>
      <x:c r="J8191" s="6" t="str">
        <x:f>IF(B8191="","",IF(AND(ISNUMBER(SEARCH("平",B8191)),OR(ISNUMBER(SEARCH("上",B8191)),ISNUMBER(SEARCH("去",B8191)),ISNUMBER(SEARCH("入",B8191)))),"Ambiguous",IF(ISNUMBER(SEARCH("平",B8191)),"平","仄")))</x:f>
        <x:v>平</x:v>
      </x:c>
      <x:c r="K8191" s="6" t="str">
        <x:f>IF(D8191="","",IF(AND(ISNUMBER(SEARCH("平",D8191)),OR(ISNUMBER(SEARCH("上",D8191)),ISNUMBER(SEARCH("去",D8191)),ISNUMBER(SEARCH("入",D8191)))),"Ambiguous",IF(ISNUMBER(SEARCH("平",D8191)),"平","仄")))</x:f>
        <x:v>平</x:v>
      </x:c>
      <x:c r="L8191" s="7" t="str">
        <x:v>Pingshui main list expansion</x:v>
      </x:c>
    </x:row>
    <x:row r="8192">
      <x:c r="A8192" s="5" t="str">
        <x:v>霫</x:v>
      </x:c>
      <x:c r="B8192" s="6" t="str">
        <x:v>入</x:v>
      </x:c>
      <x:c r="C8192" s="6" t="str">
        <x:f>IF(B8192="","Needs decision","Ready")</x:f>
        <x:v>Ready</x:v>
      </x:c>
      <x:c r="D8192" s="6" t="str">
        <x:v>入</x:v>
      </x:c>
      <x:c r="E8192" s="6" t="str"/>
      <x:c r="F8192" s="6" t="str">
        <x:v>入聲十四緝</x:v>
      </x:c>
      <x:c r="G8192" s="6" t="str">
        <x:v>Pingshui main list, Wikisource-derived DOCX</x:v>
      </x:c>
      <x:c r="H8192" s="6" t="str"/>
      <x:c r="I8192" s="6" t="str">
        <x:v>Pingshui main-list expansion; 詞 entries ignored</x:v>
      </x:c>
      <x:c r="J8192" s="6" t="str">
        <x:f>IF(B8192="","",IF(AND(ISNUMBER(SEARCH("平",B8192)),OR(ISNUMBER(SEARCH("上",B8192)),ISNUMBER(SEARCH("去",B8192)),ISNUMBER(SEARCH("入",B8192)))),"Ambiguous",IF(ISNUMBER(SEARCH("平",B8192)),"平","仄")))</x:f>
        <x:v>仄</x:v>
      </x:c>
      <x:c r="K8192" s="6" t="str">
        <x:f>IF(D8192="","",IF(AND(ISNUMBER(SEARCH("平",D8192)),OR(ISNUMBER(SEARCH("上",D8192)),ISNUMBER(SEARCH("去",D8192)),ISNUMBER(SEARCH("入",D8192)))),"Ambiguous",IF(ISNUMBER(SEARCH("平",D8192)),"平","仄")))</x:f>
        <x:v>仄</x:v>
      </x:c>
      <x:c r="L8192" s="7" t="str">
        <x:v>Pingshui main list expansion</x:v>
      </x:c>
    </x:row>
    <x:row r="8193">
      <x:c r="A8193" s="5" t="str">
        <x:v>霵</x:v>
      </x:c>
      <x:c r="B8193" s="6" t="str">
        <x:v>入</x:v>
      </x:c>
      <x:c r="C8193" s="6" t="str">
        <x:f>IF(B8193="","Needs decision","Ready")</x:f>
        <x:v>Ready</x:v>
      </x:c>
      <x:c r="D8193" s="6" t="str">
        <x:v>入</x:v>
      </x:c>
      <x:c r="E8193" s="6" t="str"/>
      <x:c r="F8193" s="6" t="str">
        <x:v>入聲十四緝</x:v>
      </x:c>
      <x:c r="G8193" s="6" t="str">
        <x:v>Pingshui main list, Wikisource-derived DOCX</x:v>
      </x:c>
      <x:c r="H8193" s="6" t="str"/>
      <x:c r="I8193" s="6" t="str">
        <x:v>Pingshui main-list expansion; 詞 entries ignored</x:v>
      </x:c>
      <x:c r="J8193" s="6" t="str">
        <x:f>IF(B8193="","",IF(AND(ISNUMBER(SEARCH("平",B8193)),OR(ISNUMBER(SEARCH("上",B8193)),ISNUMBER(SEARCH("去",B8193)),ISNUMBER(SEARCH("入",B8193)))),"Ambiguous",IF(ISNUMBER(SEARCH("平",B8193)),"平","仄")))</x:f>
        <x:v>仄</x:v>
      </x:c>
      <x:c r="K8193" s="6" t="str">
        <x:f>IF(D8193="","",IF(AND(ISNUMBER(SEARCH("平",D8193)),OR(ISNUMBER(SEARCH("上",D8193)),ISNUMBER(SEARCH("去",D8193)),ISNUMBER(SEARCH("入",D8193)))),"Ambiguous",IF(ISNUMBER(SEARCH("平",D8193)),"平","仄")))</x:f>
        <x:v>仄</x:v>
      </x:c>
      <x:c r="L8193" s="7" t="str">
        <x:v>Pingshui main list expansion</x:v>
      </x:c>
    </x:row>
    <x:row r="8194">
      <x:c r="A8194" s="5" t="str">
        <x:v>靘</x:v>
      </x:c>
      <x:c r="B8194" s="6" t="str">
        <x:v>去</x:v>
      </x:c>
      <x:c r="C8194" s="6" t="str">
        <x:f>IF(B8194="","Needs decision","Ready")</x:f>
        <x:v>Ready</x:v>
      </x:c>
      <x:c r="D8194" s="6" t="str">
        <x:v>去</x:v>
      </x:c>
      <x:c r="E8194" s="6" t="str"/>
      <x:c r="F8194" s="6" t="str">
        <x:v>去聲二十五徑</x:v>
      </x:c>
      <x:c r="G8194" s="6" t="str">
        <x:v>Pingshui main list, Wikisource-derived DOCX</x:v>
      </x:c>
      <x:c r="H8194" s="6" t="str"/>
      <x:c r="I8194" s="6" t="str">
        <x:v>Pingshui main-list expansion; 詞 entries ignored</x:v>
      </x:c>
      <x:c r="J8194" s="6" t="str">
        <x:f>IF(B8194="","",IF(AND(ISNUMBER(SEARCH("平",B8194)),OR(ISNUMBER(SEARCH("上",B8194)),ISNUMBER(SEARCH("去",B8194)),ISNUMBER(SEARCH("入",B8194)))),"Ambiguous",IF(ISNUMBER(SEARCH("平",B8194)),"平","仄")))</x:f>
        <x:v>仄</x:v>
      </x:c>
      <x:c r="K8194" s="6" t="str">
        <x:f>IF(D8194="","",IF(AND(ISNUMBER(SEARCH("平",D8194)),OR(ISNUMBER(SEARCH("上",D8194)),ISNUMBER(SEARCH("去",D8194)),ISNUMBER(SEARCH("入",D8194)))),"Ambiguous",IF(ISNUMBER(SEARCH("平",D8194)),"平","仄")))</x:f>
        <x:v>仄</x:v>
      </x:c>
      <x:c r="L8194" s="7" t="str">
        <x:v>Pingshui main list expansion</x:v>
      </x:c>
    </x:row>
    <x:row r="8195">
      <x:c r="A8195" s="5" t="str">
        <x:v>靬</x:v>
      </x:c>
      <x:c r="B8195" s="6" t="str">
        <x:v>平</x:v>
      </x:c>
      <x:c r="C8195" s="6" t="str">
        <x:f>IF(B8195="","Needs decision","Ready")</x:f>
        <x:v>Ready</x:v>
      </x:c>
      <x:c r="D8195" s="6" t="str">
        <x:v>平</x:v>
      </x:c>
      <x:c r="E8195" s="6" t="str"/>
      <x:c r="F8195" s="6" t="str">
        <x:v>上平聲十三元; 上平聲十五刪</x:v>
      </x:c>
      <x:c r="G8195" s="6" t="str">
        <x:v>Pingshui main list, Wikisource-derived DOCX</x:v>
      </x:c>
      <x:c r="H8195" s="6" t="str"/>
      <x:c r="I8195" s="6" t="str">
        <x:v>Pingshui main-list expansion; 詞 entries ignored</x:v>
      </x:c>
      <x:c r="J8195" s="6" t="str">
        <x:f>IF(B8195="","",IF(AND(ISNUMBER(SEARCH("平",B8195)),OR(ISNUMBER(SEARCH("上",B8195)),ISNUMBER(SEARCH("去",B8195)),ISNUMBER(SEARCH("入",B8195)))),"Ambiguous",IF(ISNUMBER(SEARCH("平",B8195)),"平","仄")))</x:f>
        <x:v>平</x:v>
      </x:c>
      <x:c r="K8195" s="6" t="str">
        <x:f>IF(D8195="","",IF(AND(ISNUMBER(SEARCH("平",D8195)),OR(ISNUMBER(SEARCH("上",D8195)),ISNUMBER(SEARCH("去",D8195)),ISNUMBER(SEARCH("入",D8195)))),"Ambiguous",IF(ISNUMBER(SEARCH("平",D8195)),"平","仄")))</x:f>
        <x:v>平</x:v>
      </x:c>
      <x:c r="L8195" s="7" t="str">
        <x:v>Pingshui main list expansion</x:v>
      </x:c>
    </x:row>
    <x:row r="8196">
      <x:c r="A8196" s="5" t="str">
        <x:v>靳</x:v>
      </x:c>
      <x:c r="B8196" s="6" t="str">
        <x:v>去</x:v>
      </x:c>
      <x:c r="C8196" s="6" t="str">
        <x:f>IF(B8196="","Needs decision","Ready")</x:f>
        <x:v>Ready</x:v>
      </x:c>
      <x:c r="D8196" s="6" t="str">
        <x:v>去</x:v>
      </x:c>
      <x:c r="E8196" s="6" t="str"/>
      <x:c r="F8196" s="6" t="str">
        <x:v>去聲十三問</x:v>
      </x:c>
      <x:c r="G8196" s="6" t="str">
        <x:v>Pingshui main list, Wikisource-derived DOCX</x:v>
      </x:c>
      <x:c r="H8196" s="6" t="str"/>
      <x:c r="I8196" s="6" t="str">
        <x:v>Pingshui main-list expansion; 詞 entries ignored</x:v>
      </x:c>
      <x:c r="J8196" s="6" t="str">
        <x:f>IF(B8196="","",IF(AND(ISNUMBER(SEARCH("平",B8196)),OR(ISNUMBER(SEARCH("上",B8196)),ISNUMBER(SEARCH("去",B8196)),ISNUMBER(SEARCH("入",B8196)))),"Ambiguous",IF(ISNUMBER(SEARCH("平",B8196)),"平","仄")))</x:f>
        <x:v>仄</x:v>
      </x:c>
      <x:c r="K8196" s="6" t="str">
        <x:f>IF(D8196="","",IF(AND(ISNUMBER(SEARCH("平",D8196)),OR(ISNUMBER(SEARCH("上",D8196)),ISNUMBER(SEARCH("去",D8196)),ISNUMBER(SEARCH("入",D8196)))),"Ambiguous",IF(ISNUMBER(SEARCH("平",D8196)),"平","仄")))</x:f>
        <x:v>仄</x:v>
      </x:c>
      <x:c r="L8196" s="7" t="str">
        <x:v>Pingshui main list expansion</x:v>
      </x:c>
    </x:row>
    <x:row r="8197">
      <x:c r="A8197" s="5" t="str">
        <x:v>靸</x:v>
      </x:c>
      <x:c r="B8197" s="6" t="str">
        <x:v>入</x:v>
      </x:c>
      <x:c r="C8197" s="6" t="str">
        <x:f>IF(B8197="","Needs decision","Ready")</x:f>
        <x:v>Ready</x:v>
      </x:c>
      <x:c r="D8197" s="6" t="str">
        <x:v>入</x:v>
      </x:c>
      <x:c r="E8197" s="6" t="str"/>
      <x:c r="F8197" s="6" t="str">
        <x:v>入聲十五合</x:v>
      </x:c>
      <x:c r="G8197" s="6" t="str">
        <x:v>Pingshui main list, Wikisource-derived DOCX</x:v>
      </x:c>
      <x:c r="H8197" s="6" t="str"/>
      <x:c r="I8197" s="6" t="str">
        <x:v>Pingshui main-list expansion; 詞 entries ignored</x:v>
      </x:c>
      <x:c r="J8197" s="6" t="str">
        <x:f>IF(B8197="","",IF(AND(ISNUMBER(SEARCH("平",B8197)),OR(ISNUMBER(SEARCH("上",B8197)),ISNUMBER(SEARCH("去",B8197)),ISNUMBER(SEARCH("入",B8197)))),"Ambiguous",IF(ISNUMBER(SEARCH("平",B8197)),"平","仄")))</x:f>
        <x:v>仄</x:v>
      </x:c>
      <x:c r="K8197" s="6" t="str">
        <x:f>IF(D8197="","",IF(AND(ISNUMBER(SEARCH("平",D8197)),OR(ISNUMBER(SEARCH("上",D8197)),ISNUMBER(SEARCH("去",D8197)),ISNUMBER(SEARCH("入",D8197)))),"Ambiguous",IF(ISNUMBER(SEARCH("平",D8197)),"平","仄")))</x:f>
        <x:v>仄</x:v>
      </x:c>
      <x:c r="L8197" s="7" t="str">
        <x:v>Pingshui main list expansion</x:v>
      </x:c>
    </x:row>
    <x:row r="8198">
      <x:c r="A8198" s="5" t="str">
        <x:v>鞃</x:v>
      </x:c>
      <x:c r="B8198" s="6" t="str">
        <x:v>平</x:v>
      </x:c>
      <x:c r="C8198" s="6" t="str">
        <x:f>IF(B8198="","Needs decision","Ready")</x:f>
        <x:v>Ready</x:v>
      </x:c>
      <x:c r="D8198" s="6" t="str">
        <x:v>平</x:v>
      </x:c>
      <x:c r="E8198" s="6" t="str"/>
      <x:c r="F8198" s="6" t="str">
        <x:v>下平聲十蒸</x:v>
      </x:c>
      <x:c r="G8198" s="6" t="str">
        <x:v>Pingshui main list, Wikisource-derived DOCX</x:v>
      </x:c>
      <x:c r="H8198" s="6" t="str"/>
      <x:c r="I8198" s="6" t="str">
        <x:v>Pingshui main-list expansion; 詞 entries ignored</x:v>
      </x:c>
      <x:c r="J8198" s="6" t="str">
        <x:f>IF(B8198="","",IF(AND(ISNUMBER(SEARCH("平",B8198)),OR(ISNUMBER(SEARCH("上",B8198)),ISNUMBER(SEARCH("去",B8198)),ISNUMBER(SEARCH("入",B8198)))),"Ambiguous",IF(ISNUMBER(SEARCH("平",B8198)),"平","仄")))</x:f>
        <x:v>平</x:v>
      </x:c>
      <x:c r="K8198" s="6" t="str">
        <x:f>IF(D8198="","",IF(AND(ISNUMBER(SEARCH("平",D8198)),OR(ISNUMBER(SEARCH("上",D8198)),ISNUMBER(SEARCH("去",D8198)),ISNUMBER(SEARCH("入",D8198)))),"Ambiguous",IF(ISNUMBER(SEARCH("平",D8198)),"平","仄")))</x:f>
        <x:v>平</x:v>
      </x:c>
      <x:c r="L8198" s="7" t="str">
        <x:v>Pingshui main list expansion</x:v>
      </x:c>
    </x:row>
    <x:row r="8199">
      <x:c r="A8199" s="5" t="str">
        <x:v>鞄</x:v>
      </x:c>
      <x:c r="B8199" s="6" t="str">
        <x:v>平</x:v>
      </x:c>
      <x:c r="C8199" s="6" t="str">
        <x:f>IF(B8199="","Needs decision","Ready")</x:f>
        <x:v>Ready</x:v>
      </x:c>
      <x:c r="D8199" s="6" t="str">
        <x:v>平</x:v>
      </x:c>
      <x:c r="E8199" s="6" t="str"/>
      <x:c r="F8199" s="6" t="str">
        <x:v>下平聲三肴</x:v>
      </x:c>
      <x:c r="G8199" s="6" t="str">
        <x:v>Pingshui main list, Wikisource-derived DOCX</x:v>
      </x:c>
      <x:c r="H8199" s="6" t="str"/>
      <x:c r="I8199" s="6" t="str">
        <x:v>Pingshui main-list expansion; 詞 entries ignored</x:v>
      </x:c>
      <x:c r="J8199" s="6" t="str">
        <x:f>IF(B8199="","",IF(AND(ISNUMBER(SEARCH("平",B8199)),OR(ISNUMBER(SEARCH("上",B8199)),ISNUMBER(SEARCH("去",B8199)),ISNUMBER(SEARCH("入",B8199)))),"Ambiguous",IF(ISNUMBER(SEARCH("平",B8199)),"平","仄")))</x:f>
        <x:v>平</x:v>
      </x:c>
      <x:c r="K8199" s="6" t="str">
        <x:f>IF(D8199="","",IF(AND(ISNUMBER(SEARCH("平",D8199)),OR(ISNUMBER(SEARCH("上",D8199)),ISNUMBER(SEARCH("去",D8199)),ISNUMBER(SEARCH("入",D8199)))),"Ambiguous",IF(ISNUMBER(SEARCH("平",D8199)),"平","仄")))</x:f>
        <x:v>平</x:v>
      </x:c>
      <x:c r="L8199" s="7" t="str">
        <x:v>Pingshui main list expansion</x:v>
      </x:c>
    </x:row>
    <x:row r="8200">
      <x:c r="A8200" s="5" t="str">
        <x:v>鞎</x:v>
      </x:c>
      <x:c r="B8200" s="6" t="str">
        <x:v>平</x:v>
      </x:c>
      <x:c r="C8200" s="6" t="str">
        <x:f>IF(B8200="","Needs decision","Ready")</x:f>
        <x:v>Ready</x:v>
      </x:c>
      <x:c r="D8200" s="6" t="str">
        <x:v>平</x:v>
      </x:c>
      <x:c r="E8200" s="6" t="str"/>
      <x:c r="F8200" s="6" t="str">
        <x:v>上平聲十三元</x:v>
      </x:c>
      <x:c r="G8200" s="6" t="str">
        <x:v>Pingshui main list, Wikisource-derived DOCX</x:v>
      </x:c>
      <x:c r="H8200" s="6" t="str"/>
      <x:c r="I8200" s="6" t="str">
        <x:v>Pingshui main-list expansion; 詞 entries ignored</x:v>
      </x:c>
      <x:c r="J8200" s="6" t="str">
        <x:f>IF(B8200="","",IF(AND(ISNUMBER(SEARCH("平",B8200)),OR(ISNUMBER(SEARCH("上",B8200)),ISNUMBER(SEARCH("去",B8200)),ISNUMBER(SEARCH("入",B8200)))),"Ambiguous",IF(ISNUMBER(SEARCH("平",B8200)),"平","仄")))</x:f>
        <x:v>平</x:v>
      </x:c>
      <x:c r="K8200" s="6" t="str">
        <x:f>IF(D8200="","",IF(AND(ISNUMBER(SEARCH("平",D8200)),OR(ISNUMBER(SEARCH("上",D8200)),ISNUMBER(SEARCH("去",D8200)),ISNUMBER(SEARCH("入",D8200)))),"Ambiguous",IF(ISNUMBER(SEARCH("平",D8200)),"平","仄")))</x:f>
        <x:v>平</x:v>
      </x:c>
      <x:c r="L8200" s="7" t="str">
        <x:v>Pingshui main list expansion</x:v>
      </x:c>
    </x:row>
    <x:row r="8201">
      <x:c r="A8201" s="5" t="str">
        <x:v>鞜</x:v>
      </x:c>
      <x:c r="B8201" s="6" t="str">
        <x:v>入</x:v>
      </x:c>
      <x:c r="C8201" s="6" t="str">
        <x:f>IF(B8201="","Needs decision","Ready")</x:f>
        <x:v>Ready</x:v>
      </x:c>
      <x:c r="D8201" s="6" t="str">
        <x:v>入</x:v>
      </x:c>
      <x:c r="E8201" s="6" t="str"/>
      <x:c r="F8201" s="6" t="str">
        <x:v>入聲十五合</x:v>
      </x:c>
      <x:c r="G8201" s="6" t="str">
        <x:v>Pingshui main list, Wikisource-derived DOCX</x:v>
      </x:c>
      <x:c r="H8201" s="6" t="str"/>
      <x:c r="I8201" s="6" t="str">
        <x:v>Pingshui main-list expansion; 詞 entries ignored</x:v>
      </x:c>
      <x:c r="J8201" s="6" t="str">
        <x:f>IF(B8201="","",IF(AND(ISNUMBER(SEARCH("平",B8201)),OR(ISNUMBER(SEARCH("上",B8201)),ISNUMBER(SEARCH("去",B8201)),ISNUMBER(SEARCH("入",B8201)))),"Ambiguous",IF(ISNUMBER(SEARCH("平",B8201)),"平","仄")))</x:f>
        <x:v>仄</x:v>
      </x:c>
      <x:c r="K8201" s="6" t="str">
        <x:f>IF(D8201="","",IF(AND(ISNUMBER(SEARCH("平",D8201)),OR(ISNUMBER(SEARCH("上",D8201)),ISNUMBER(SEARCH("去",D8201)),ISNUMBER(SEARCH("入",D8201)))),"Ambiguous",IF(ISNUMBER(SEARCH("平",D8201)),"平","仄")))</x:f>
        <x:v>仄</x:v>
      </x:c>
      <x:c r="L8201" s="7" t="str">
        <x:v>Pingshui main list expansion</x:v>
      </x:c>
    </x:row>
    <x:row r="8202">
      <x:c r="A8202" s="5" t="str">
        <x:v>鞣</x:v>
      </x:c>
      <x:c r="B8202" s="6" t="str"/>
      <x:c r="C8202" s="6" t="str">
        <x:f>IF(B8202="","Needs decision","Ready")</x:f>
        <x:v>Needs decision</x:v>
      </x:c>
      <x:c r="D8202" s="6" t="str">
        <x:v>平/去</x:v>
      </x:c>
      <x:c r="E8202" s="6" t="str"/>
      <x:c r="F8202" s="6" t="str">
        <x:v>下平聲十一尤; 去聲二十六宥</x:v>
      </x:c>
      <x:c r="G8202" s="6" t="str">
        <x:v>Pingshui main list, Wikisource-derived DOCX</x:v>
      </x:c>
      <x:c r="H8202" s="6" t="str"/>
      <x:c r="I8202" s="6" t="str">
        <x:v>Pingshui main-list expansion; 詞 entries ignored</x:v>
      </x:c>
      <x:c r="J8202" s="6" t="str">
        <x:f>IF(B8202="","",IF(AND(ISNUMBER(SEARCH("平",B8202)),OR(ISNUMBER(SEARCH("上",B8202)),ISNUMBER(SEARCH("去",B8202)),ISNUMBER(SEARCH("入",B8202)))),"Ambiguous",IF(ISNUMBER(SEARCH("平",B8202)),"平","仄")))</x:f>
      </x:c>
      <x:c r="K8202" s="6" t="str">
        <x:f>IF(D8202="","",IF(AND(ISNUMBER(SEARCH("平",D8202)),OR(ISNUMBER(SEARCH("上",D8202)),ISNUMBER(SEARCH("去",D8202)),ISNUMBER(SEARCH("入",D8202)))),"Ambiguous",IF(ISNUMBER(SEARCH("平",D8202)),"平","仄")))</x:f>
        <x:v>Ambiguous</x:v>
      </x:c>
      <x:c r="L8202" s="7" t="str">
        <x:v>Pingshui main list expansion</x:v>
      </x:c>
    </x:row>
    <x:row r="8203">
      <x:c r="A8203" s="5" t="str">
        <x:v>鞨</x:v>
      </x:c>
      <x:c r="B8203" s="6" t="str">
        <x:v>入</x:v>
      </x:c>
      <x:c r="C8203" s="6" t="str">
        <x:f>IF(B8203="","Needs decision","Ready")</x:f>
        <x:v>Ready</x:v>
      </x:c>
      <x:c r="D8203" s="6" t="str">
        <x:v>入</x:v>
      </x:c>
      <x:c r="E8203" s="6" t="str"/>
      <x:c r="F8203" s="6" t="str">
        <x:v>入聲七曷</x:v>
      </x:c>
      <x:c r="G8203" s="6" t="str">
        <x:v>Pingshui main list, Wikisource-derived DOCX</x:v>
      </x:c>
      <x:c r="H8203" s="6" t="str"/>
      <x:c r="I8203" s="6" t="str">
        <x:v>Pingshui main-list expansion; 詞 entries ignored</x:v>
      </x:c>
      <x:c r="J8203" s="6" t="str">
        <x:f>IF(B8203="","",IF(AND(ISNUMBER(SEARCH("平",B8203)),OR(ISNUMBER(SEARCH("上",B8203)),ISNUMBER(SEARCH("去",B8203)),ISNUMBER(SEARCH("入",B8203)))),"Ambiguous",IF(ISNUMBER(SEARCH("平",B8203)),"平","仄")))</x:f>
        <x:v>仄</x:v>
      </x:c>
      <x:c r="K8203" s="6" t="str">
        <x:f>IF(D8203="","",IF(AND(ISNUMBER(SEARCH("平",D8203)),OR(ISNUMBER(SEARCH("上",D8203)),ISNUMBER(SEARCH("去",D8203)),ISNUMBER(SEARCH("入",D8203)))),"Ambiguous",IF(ISNUMBER(SEARCH("平",D8203)),"平","仄")))</x:f>
        <x:v>仄</x:v>
      </x:c>
      <x:c r="L8203" s="7" t="str">
        <x:v>Pingshui main list expansion</x:v>
      </x:c>
    </x:row>
    <x:row r="8204">
      <x:c r="A8204" s="5" t="str">
        <x:v>鞳</x:v>
      </x:c>
      <x:c r="B8204" s="6" t="str">
        <x:v>入</x:v>
      </x:c>
      <x:c r="C8204" s="6" t="str">
        <x:f>IF(B8204="","Needs decision","Ready")</x:f>
        <x:v>Ready</x:v>
      </x:c>
      <x:c r="D8204" s="6" t="str">
        <x:v>入</x:v>
      </x:c>
      <x:c r="E8204" s="6" t="str"/>
      <x:c r="F8204" s="6" t="str">
        <x:v>入聲十五合</x:v>
      </x:c>
      <x:c r="G8204" s="6" t="str">
        <x:v>Pingshui main list, Wikisource-derived DOCX</x:v>
      </x:c>
      <x:c r="H8204" s="6" t="str"/>
      <x:c r="I8204" s="6" t="str">
        <x:v>Pingshui main-list expansion; 詞 entries ignored</x:v>
      </x:c>
      <x:c r="J8204" s="6" t="str">
        <x:f>IF(B8204="","",IF(AND(ISNUMBER(SEARCH("平",B8204)),OR(ISNUMBER(SEARCH("上",B8204)),ISNUMBER(SEARCH("去",B8204)),ISNUMBER(SEARCH("入",B8204)))),"Ambiguous",IF(ISNUMBER(SEARCH("平",B8204)),"平","仄")))</x:f>
        <x:v>仄</x:v>
      </x:c>
      <x:c r="K8204" s="6" t="str">
        <x:f>IF(D8204="","",IF(AND(ISNUMBER(SEARCH("平",D8204)),OR(ISNUMBER(SEARCH("上",D8204)),ISNUMBER(SEARCH("去",D8204)),ISNUMBER(SEARCH("入",D8204)))),"Ambiguous",IF(ISNUMBER(SEARCH("平",D8204)),"平","仄")))</x:f>
        <x:v>仄</x:v>
      </x:c>
      <x:c r="L8204" s="7" t="str">
        <x:v>Pingshui main list expansion</x:v>
      </x:c>
    </x:row>
    <x:row r="8205">
      <x:c r="A8205" s="5" t="str">
        <x:v>鞹</x:v>
      </x:c>
      <x:c r="B8205" s="6" t="str">
        <x:v>入</x:v>
      </x:c>
      <x:c r="C8205" s="6" t="str">
        <x:f>IF(B8205="","Needs decision","Ready")</x:f>
        <x:v>Ready</x:v>
      </x:c>
      <x:c r="D8205" s="6" t="str">
        <x:v>入</x:v>
      </x:c>
      <x:c r="E8205" s="6" t="str"/>
      <x:c r="F8205" s="6" t="str">
        <x:v>入聲十藥</x:v>
      </x:c>
      <x:c r="G8205" s="6" t="str">
        <x:v>Pingshui main list, Wikisource-derived DOCX</x:v>
      </x:c>
      <x:c r="H8205" s="6" t="str"/>
      <x:c r="I8205" s="6" t="str">
        <x:v>Pingshui main-list expansion; 詞 entries ignored</x:v>
      </x:c>
      <x:c r="J8205" s="6" t="str">
        <x:f>IF(B8205="","",IF(AND(ISNUMBER(SEARCH("平",B8205)),OR(ISNUMBER(SEARCH("上",B8205)),ISNUMBER(SEARCH("去",B8205)),ISNUMBER(SEARCH("入",B8205)))),"Ambiguous",IF(ISNUMBER(SEARCH("平",B8205)),"平","仄")))</x:f>
        <x:v>仄</x:v>
      </x:c>
      <x:c r="K8205" s="6" t="str">
        <x:f>IF(D8205="","",IF(AND(ISNUMBER(SEARCH("平",D8205)),OR(ISNUMBER(SEARCH("上",D8205)),ISNUMBER(SEARCH("去",D8205)),ISNUMBER(SEARCH("入",D8205)))),"Ambiguous",IF(ISNUMBER(SEARCH("平",D8205)),"平","仄")))</x:f>
        <x:v>仄</x:v>
      </x:c>
      <x:c r="L8205" s="7" t="str">
        <x:v>Pingshui main list expansion</x:v>
      </x:c>
    </x:row>
    <x:row r="8206">
      <x:c r="A8206" s="5" t="str">
        <x:v>韅</x:v>
      </x:c>
      <x:c r="B8206" s="6" t="str">
        <x:v>上</x:v>
      </x:c>
      <x:c r="C8206" s="6" t="str">
        <x:f>IF(B8206="","Needs decision","Ready")</x:f>
        <x:v>Ready</x:v>
      </x:c>
      <x:c r="D8206" s="6" t="str">
        <x:v>上</x:v>
      </x:c>
      <x:c r="E8206" s="6" t="str"/>
      <x:c r="F8206" s="6" t="str">
        <x:v>上聲十六銑</x:v>
      </x:c>
      <x:c r="G8206" s="6" t="str">
        <x:v>Pingshui main list, Wikisource-derived DOCX</x:v>
      </x:c>
      <x:c r="H8206" s="6" t="str"/>
      <x:c r="I8206" s="6" t="str">
        <x:v>Pingshui main-list expansion; 詞 entries ignored</x:v>
      </x:c>
      <x:c r="J8206" s="6" t="str">
        <x:f>IF(B8206="","",IF(AND(ISNUMBER(SEARCH("平",B8206)),OR(ISNUMBER(SEARCH("上",B8206)),ISNUMBER(SEARCH("去",B8206)),ISNUMBER(SEARCH("入",B8206)))),"Ambiguous",IF(ISNUMBER(SEARCH("平",B8206)),"平","仄")))</x:f>
        <x:v>仄</x:v>
      </x:c>
      <x:c r="K8206" s="6" t="str">
        <x:f>IF(D8206="","",IF(AND(ISNUMBER(SEARCH("平",D8206)),OR(ISNUMBER(SEARCH("上",D8206)),ISNUMBER(SEARCH("去",D8206)),ISNUMBER(SEARCH("入",D8206)))),"Ambiguous",IF(ISNUMBER(SEARCH("平",D8206)),"平","仄")))</x:f>
        <x:v>仄</x:v>
      </x:c>
      <x:c r="L8206" s="7" t="str">
        <x:v>Pingshui main list expansion</x:v>
      </x:c>
    </x:row>
    <x:row r="8207">
      <x:c r="A8207" s="5" t="str">
        <x:v>韆</x:v>
      </x:c>
      <x:c r="B8207" s="6" t="str">
        <x:v>平</x:v>
      </x:c>
      <x:c r="C8207" s="6" t="str">
        <x:f>IF(B8207="","Needs decision","Ready")</x:f>
        <x:v>Ready</x:v>
      </x:c>
      <x:c r="D8207" s="6" t="str">
        <x:v>平</x:v>
      </x:c>
      <x:c r="E8207" s="6" t="str"/>
      <x:c r="F8207" s="6" t="str">
        <x:v>下平聲一先</x:v>
      </x:c>
      <x:c r="G8207" s="6" t="str">
        <x:v>Pingshui main list, Wikisource-derived DOCX</x:v>
      </x:c>
      <x:c r="H8207" s="6" t="str"/>
      <x:c r="I8207" s="6" t="str">
        <x:v>Pingshui main-list expansion; 詞 entries ignored</x:v>
      </x:c>
      <x:c r="J8207" s="6" t="str">
        <x:f>IF(B8207="","",IF(AND(ISNUMBER(SEARCH("平",B8207)),OR(ISNUMBER(SEARCH("上",B8207)),ISNUMBER(SEARCH("去",B8207)),ISNUMBER(SEARCH("入",B8207)))),"Ambiguous",IF(ISNUMBER(SEARCH("平",B8207)),"平","仄")))</x:f>
        <x:v>平</x:v>
      </x:c>
      <x:c r="K8207" s="6" t="str">
        <x:f>IF(D8207="","",IF(AND(ISNUMBER(SEARCH("平",D8207)),OR(ISNUMBER(SEARCH("上",D8207)),ISNUMBER(SEARCH("去",D8207)),ISNUMBER(SEARCH("入",D8207)))),"Ambiguous",IF(ISNUMBER(SEARCH("平",D8207)),"平","仄")))</x:f>
        <x:v>平</x:v>
      </x:c>
      <x:c r="L8207" s="7" t="str">
        <x:v>Pingshui main list expansion</x:v>
      </x:c>
    </x:row>
    <x:row r="8208">
      <x:c r="A8208" s="5" t="str">
        <x:v>韌</x:v>
      </x:c>
      <x:c r="B8208" s="6" t="str">
        <x:v>去</x:v>
      </x:c>
      <x:c r="C8208" s="6" t="str">
        <x:f>IF(B8208="","Needs decision","Ready")</x:f>
        <x:v>Ready</x:v>
      </x:c>
      <x:c r="D8208" s="6" t="str">
        <x:v>去</x:v>
      </x:c>
      <x:c r="E8208" s="6" t="str"/>
      <x:c r="F8208" s="6" t="str">
        <x:v>去聲十二震</x:v>
      </x:c>
      <x:c r="G8208" s="6" t="str">
        <x:v>Pingshui main list, Wikisource-derived DOCX</x:v>
      </x:c>
      <x:c r="H8208" s="6" t="str"/>
      <x:c r="I8208" s="6" t="str">
        <x:v>Pingshui main-list expansion; 詞 entries ignored</x:v>
      </x:c>
      <x:c r="J8208" s="6" t="str">
        <x:f>IF(B8208="","",IF(AND(ISNUMBER(SEARCH("平",B8208)),OR(ISNUMBER(SEARCH("上",B8208)),ISNUMBER(SEARCH("去",B8208)),ISNUMBER(SEARCH("入",B8208)))),"Ambiguous",IF(ISNUMBER(SEARCH("平",B8208)),"平","仄")))</x:f>
        <x:v>仄</x:v>
      </x:c>
      <x:c r="K8208" s="6" t="str">
        <x:f>IF(D8208="","",IF(AND(ISNUMBER(SEARCH("平",D8208)),OR(ISNUMBER(SEARCH("上",D8208)),ISNUMBER(SEARCH("去",D8208)),ISNUMBER(SEARCH("入",D8208)))),"Ambiguous",IF(ISNUMBER(SEARCH("平",D8208)),"平","仄")))</x:f>
        <x:v>仄</x:v>
      </x:c>
      <x:c r="L8208" s="7" t="str">
        <x:v>Pingshui main list expansion</x:v>
      </x:c>
    </x:row>
    <x:row r="8209">
      <x:c r="A8209" s="5" t="str">
        <x:v>韍</x:v>
      </x:c>
      <x:c r="B8209" s="6" t="str">
        <x:v>入</x:v>
      </x:c>
      <x:c r="C8209" s="6" t="str">
        <x:f>IF(B8209="","Needs decision","Ready")</x:f>
        <x:v>Ready</x:v>
      </x:c>
      <x:c r="D8209" s="6" t="str">
        <x:v>入</x:v>
      </x:c>
      <x:c r="E8209" s="6" t="str"/>
      <x:c r="F8209" s="6" t="str">
        <x:v>入聲五物</x:v>
      </x:c>
      <x:c r="G8209" s="6" t="str">
        <x:v>Pingshui main list, Wikisource-derived DOCX</x:v>
      </x:c>
      <x:c r="H8209" s="6" t="str"/>
      <x:c r="I8209" s="6" t="str">
        <x:v>Pingshui main-list expansion; 詞 entries ignored</x:v>
      </x:c>
      <x:c r="J8209" s="6" t="str">
        <x:f>IF(B8209="","",IF(AND(ISNUMBER(SEARCH("平",B8209)),OR(ISNUMBER(SEARCH("上",B8209)),ISNUMBER(SEARCH("去",B8209)),ISNUMBER(SEARCH("入",B8209)))),"Ambiguous",IF(ISNUMBER(SEARCH("平",B8209)),"平","仄")))</x:f>
        <x:v>仄</x:v>
      </x:c>
      <x:c r="K8209" s="6" t="str">
        <x:f>IF(D8209="","",IF(AND(ISNUMBER(SEARCH("平",D8209)),OR(ISNUMBER(SEARCH("上",D8209)),ISNUMBER(SEARCH("去",D8209)),ISNUMBER(SEARCH("入",D8209)))),"Ambiguous",IF(ISNUMBER(SEARCH("平",D8209)),"平","仄")))</x:f>
        <x:v>仄</x:v>
      </x:c>
      <x:c r="L8209" s="7" t="str">
        <x:v>Pingshui main list expansion</x:v>
      </x:c>
    </x:row>
    <x:row r="8210">
      <x:c r="A8210" s="5" t="str">
        <x:v>韔</x:v>
      </x:c>
      <x:c r="B8210" s="6" t="str">
        <x:v>去</x:v>
      </x:c>
      <x:c r="C8210" s="6" t="str">
        <x:f>IF(B8210="","Needs decision","Ready")</x:f>
        <x:v>Ready</x:v>
      </x:c>
      <x:c r="D8210" s="6" t="str">
        <x:v>去</x:v>
      </x:c>
      <x:c r="E8210" s="6" t="str"/>
      <x:c r="F8210" s="6" t="str">
        <x:v>去聲二十三漾</x:v>
      </x:c>
      <x:c r="G8210" s="6" t="str">
        <x:v>Pingshui main list, Wikisource-derived DOCX</x:v>
      </x:c>
      <x:c r="H8210" s="6" t="str"/>
      <x:c r="I8210" s="6" t="str">
        <x:v>Pingshui main-list expansion; 詞 entries ignored</x:v>
      </x:c>
      <x:c r="J8210" s="6" t="str">
        <x:f>IF(B8210="","",IF(AND(ISNUMBER(SEARCH("平",B8210)),OR(ISNUMBER(SEARCH("上",B8210)),ISNUMBER(SEARCH("去",B8210)),ISNUMBER(SEARCH("入",B8210)))),"Ambiguous",IF(ISNUMBER(SEARCH("平",B8210)),"平","仄")))</x:f>
        <x:v>仄</x:v>
      </x:c>
      <x:c r="K8210" s="6" t="str">
        <x:f>IF(D8210="","",IF(AND(ISNUMBER(SEARCH("平",D8210)),OR(ISNUMBER(SEARCH("上",D8210)),ISNUMBER(SEARCH("去",D8210)),ISNUMBER(SEARCH("入",D8210)))),"Ambiguous",IF(ISNUMBER(SEARCH("平",D8210)),"平","仄")))</x:f>
        <x:v>仄</x:v>
      </x:c>
      <x:c r="L8210" s="7" t="str">
        <x:v>Pingshui main list expansion</x:v>
      </x:c>
    </x:row>
    <x:row r="8211">
      <x:c r="A8211" s="5" t="str">
        <x:v>韣</x:v>
      </x:c>
      <x:c r="B8211" s="6" t="str">
        <x:v>入</x:v>
      </x:c>
      <x:c r="C8211" s="6" t="str">
        <x:f>IF(B8211="","Needs decision","Ready")</x:f>
        <x:v>Ready</x:v>
      </x:c>
      <x:c r="D8211" s="6" t="str">
        <x:v>入</x:v>
      </x:c>
      <x:c r="E8211" s="6" t="str"/>
      <x:c r="F8211" s="6" t="str">
        <x:v>入聲一屋</x:v>
      </x:c>
      <x:c r="G8211" s="6" t="str">
        <x:v>Pingshui main list, Wikisource-derived DOCX</x:v>
      </x:c>
      <x:c r="H8211" s="6" t="str"/>
      <x:c r="I8211" s="6" t="str">
        <x:v>Pingshui main-list expansion; 詞 entries ignored</x:v>
      </x:c>
      <x:c r="J8211" s="6" t="str">
        <x:f>IF(B8211="","",IF(AND(ISNUMBER(SEARCH("平",B8211)),OR(ISNUMBER(SEARCH("上",B8211)),ISNUMBER(SEARCH("去",B8211)),ISNUMBER(SEARCH("入",B8211)))),"Ambiguous",IF(ISNUMBER(SEARCH("平",B8211)),"平","仄")))</x:f>
        <x:v>仄</x:v>
      </x:c>
      <x:c r="K8211" s="6" t="str">
        <x:f>IF(D8211="","",IF(AND(ISNUMBER(SEARCH("平",D8211)),OR(ISNUMBER(SEARCH("上",D8211)),ISNUMBER(SEARCH("去",D8211)),ISNUMBER(SEARCH("入",D8211)))),"Ambiguous",IF(ISNUMBER(SEARCH("平",D8211)),"平","仄")))</x:f>
        <x:v>仄</x:v>
      </x:c>
      <x:c r="L8211" s="7" t="str">
        <x:v>Pingshui main list expansion</x:v>
      </x:c>
    </x:row>
    <x:row r="8212">
      <x:c r="A8212" s="5" t="str">
        <x:v>韸</x:v>
      </x:c>
      <x:c r="B8212" s="6" t="str">
        <x:v>平</x:v>
      </x:c>
      <x:c r="C8212" s="6" t="str">
        <x:f>IF(B8212="","Needs decision","Ready")</x:f>
        <x:v>Ready</x:v>
      </x:c>
      <x:c r="D8212" s="6" t="str">
        <x:v>平</x:v>
      </x:c>
      <x:c r="E8212" s="6" t="str"/>
      <x:c r="F8212" s="6" t="str">
        <x:v>上平聲三江</x:v>
      </x:c>
      <x:c r="G8212" s="6" t="str">
        <x:v>Pingshui main list, Wikisource-derived DOCX</x:v>
      </x:c>
      <x:c r="H8212" s="6" t="str"/>
      <x:c r="I8212" s="6" t="str">
        <x:v>Pingshui main-list expansion; 詞 entries ignored</x:v>
      </x:c>
      <x:c r="J8212" s="6" t="str">
        <x:f>IF(B8212="","",IF(AND(ISNUMBER(SEARCH("平",B8212)),OR(ISNUMBER(SEARCH("上",B8212)),ISNUMBER(SEARCH("去",B8212)),ISNUMBER(SEARCH("入",B8212)))),"Ambiguous",IF(ISNUMBER(SEARCH("平",B8212)),"平","仄")))</x:f>
        <x:v>平</x:v>
      </x:c>
      <x:c r="K8212" s="6" t="str">
        <x:f>IF(D8212="","",IF(AND(ISNUMBER(SEARCH("平",D8212)),OR(ISNUMBER(SEARCH("上",D8212)),ISNUMBER(SEARCH("去",D8212)),ISNUMBER(SEARCH("入",D8212)))),"Ambiguous",IF(ISNUMBER(SEARCH("平",D8212)),"平","仄")))</x:f>
        <x:v>平</x:v>
      </x:c>
      <x:c r="L8212" s="7" t="str">
        <x:v>Pingshui main list expansion</x:v>
      </x:c>
    </x:row>
    <x:row r="8213">
      <x:c r="A8213" s="5" t="str">
        <x:v>韺</x:v>
      </x:c>
      <x:c r="B8213" s="6" t="str">
        <x:v>平</x:v>
      </x:c>
      <x:c r="C8213" s="6" t="str">
        <x:f>IF(B8213="","Needs decision","Ready")</x:f>
        <x:v>Ready</x:v>
      </x:c>
      <x:c r="D8213" s="6" t="str">
        <x:v>平</x:v>
      </x:c>
      <x:c r="E8213" s="6" t="str"/>
      <x:c r="F8213" s="6" t="str">
        <x:v>下平聲八庚</x:v>
      </x:c>
      <x:c r="G8213" s="6" t="str">
        <x:v>Pingshui main list, Wikisource-derived DOCX</x:v>
      </x:c>
      <x:c r="H8213" s="6" t="str"/>
      <x:c r="I8213" s="6" t="str">
        <x:v>Pingshui main-list expansion; 詞 entries ignored</x:v>
      </x:c>
      <x:c r="J8213" s="6" t="str">
        <x:f>IF(B8213="","",IF(AND(ISNUMBER(SEARCH("平",B8213)),OR(ISNUMBER(SEARCH("上",B8213)),ISNUMBER(SEARCH("去",B8213)),ISNUMBER(SEARCH("入",B8213)))),"Ambiguous",IF(ISNUMBER(SEARCH("平",B8213)),"平","仄")))</x:f>
        <x:v>平</x:v>
      </x:c>
      <x:c r="K8213" s="6" t="str">
        <x:f>IF(D8213="","",IF(AND(ISNUMBER(SEARCH("平",D8213)),OR(ISNUMBER(SEARCH("上",D8213)),ISNUMBER(SEARCH("去",D8213)),ISNUMBER(SEARCH("入",D8213)))),"Ambiguous",IF(ISNUMBER(SEARCH("平",D8213)),"平","仄")))</x:f>
        <x:v>平</x:v>
      </x:c>
      <x:c r="L8213" s="7" t="str">
        <x:v>Pingshui main list expansion</x:v>
      </x:c>
    </x:row>
    <x:row r="8214">
      <x:c r="A8214" s="5" t="str">
        <x:v>韽</x:v>
      </x:c>
      <x:c r="B8214" s="6" t="str"/>
      <x:c r="C8214" s="6" t="str">
        <x:f>IF(B8214="","Needs decision","Ready")</x:f>
        <x:v>Needs decision</x:v>
      </x:c>
      <x:c r="D8214" s="6" t="str">
        <x:v>平/去</x:v>
      </x:c>
      <x:c r="E8214" s="6" t="str"/>
      <x:c r="F8214" s="6" t="str">
        <x:v>下平聲十三覃; 去聲三十陷</x:v>
      </x:c>
      <x:c r="G8214" s="6" t="str">
        <x:v>Pingshui main list, Wikisource-derived DOCX</x:v>
      </x:c>
      <x:c r="H8214" s="6" t="str"/>
      <x:c r="I8214" s="6" t="str">
        <x:v>Pingshui main-list expansion; 詞 entries ignored</x:v>
      </x:c>
      <x:c r="J8214" s="6" t="str">
        <x:f>IF(B8214="","",IF(AND(ISNUMBER(SEARCH("平",B8214)),OR(ISNUMBER(SEARCH("上",B8214)),ISNUMBER(SEARCH("去",B8214)),ISNUMBER(SEARCH("入",B8214)))),"Ambiguous",IF(ISNUMBER(SEARCH("平",B8214)),"平","仄")))</x:f>
      </x:c>
      <x:c r="K8214" s="6" t="str">
        <x:f>IF(D8214="","",IF(AND(ISNUMBER(SEARCH("平",D8214)),OR(ISNUMBER(SEARCH("上",D8214)),ISNUMBER(SEARCH("去",D8214)),ISNUMBER(SEARCH("入",D8214)))),"Ambiguous",IF(ISNUMBER(SEARCH("平",D8214)),"平","仄")))</x:f>
        <x:v>Ambiguous</x:v>
      </x:c>
      <x:c r="L8214" s="7" t="str">
        <x:v>Pingshui main list expansion</x:v>
      </x:c>
    </x:row>
    <x:row r="8215">
      <x:c r="A8215" s="5" t="str">
        <x:v>頠</x:v>
      </x:c>
      <x:c r="B8215" s="6" t="str">
        <x:v>上</x:v>
      </x:c>
      <x:c r="C8215" s="6" t="str">
        <x:f>IF(B8215="","Needs decision","Ready")</x:f>
        <x:v>Ready</x:v>
      </x:c>
      <x:c r="D8215" s="6" t="str">
        <x:v>上</x:v>
      </x:c>
      <x:c r="E8215" s="6" t="str"/>
      <x:c r="F8215" s="6" t="str">
        <x:v>上聲十賄</x:v>
      </x:c>
      <x:c r="G8215" s="6" t="str">
        <x:v>Pingshui main list, Wikisource-derived DOCX</x:v>
      </x:c>
      <x:c r="H8215" s="6" t="str"/>
      <x:c r="I8215" s="6" t="str">
        <x:v>Pingshui main-list expansion; 詞 entries ignored</x:v>
      </x:c>
      <x:c r="J8215" s="6" t="str">
        <x:f>IF(B8215="","",IF(AND(ISNUMBER(SEARCH("平",B8215)),OR(ISNUMBER(SEARCH("上",B8215)),ISNUMBER(SEARCH("去",B8215)),ISNUMBER(SEARCH("入",B8215)))),"Ambiguous",IF(ISNUMBER(SEARCH("平",B8215)),"平","仄")))</x:f>
        <x:v>仄</x:v>
      </x:c>
      <x:c r="K8215" s="6" t="str">
        <x:f>IF(D8215="","",IF(AND(ISNUMBER(SEARCH("平",D8215)),OR(ISNUMBER(SEARCH("上",D8215)),ISNUMBER(SEARCH("去",D8215)),ISNUMBER(SEARCH("入",D8215)))),"Ambiguous",IF(ISNUMBER(SEARCH("平",D8215)),"平","仄")))</x:f>
        <x:v>仄</x:v>
      </x:c>
      <x:c r="L8215" s="7" t="str">
        <x:v>Pingshui main list expansion</x:v>
      </x:c>
    </x:row>
    <x:row r="8216">
      <x:c r="A8216" s="5" t="str">
        <x:v>頦</x:v>
      </x:c>
      <x:c r="B8216" s="6" t="str"/>
      <x:c r="C8216" s="6" t="str">
        <x:f>IF(B8216="","Needs decision","Ready")</x:f>
        <x:v>Needs decision</x:v>
      </x:c>
      <x:c r="D8216" s="6" t="str">
        <x:v>平/上</x:v>
      </x:c>
      <x:c r="E8216" s="6" t="str"/>
      <x:c r="F8216" s="6" t="str">
        <x:v>上平聲十灰; 上聲十賄</x:v>
      </x:c>
      <x:c r="G8216" s="6" t="str">
        <x:v>Pingshui main list, Wikisource-derived DOCX</x:v>
      </x:c>
      <x:c r="H8216" s="6" t="str"/>
      <x:c r="I8216" s="6" t="str">
        <x:v>Pingshui main-list expansion; 詞 entries ignored</x:v>
      </x:c>
      <x:c r="J8216" s="6" t="str">
        <x:f>IF(B8216="","",IF(AND(ISNUMBER(SEARCH("平",B8216)),OR(ISNUMBER(SEARCH("上",B8216)),ISNUMBER(SEARCH("去",B8216)),ISNUMBER(SEARCH("入",B8216)))),"Ambiguous",IF(ISNUMBER(SEARCH("平",B8216)),"平","仄")))</x:f>
      </x:c>
      <x:c r="K8216" s="6" t="str">
        <x:f>IF(D8216="","",IF(AND(ISNUMBER(SEARCH("平",D8216)),OR(ISNUMBER(SEARCH("上",D8216)),ISNUMBER(SEARCH("去",D8216)),ISNUMBER(SEARCH("入",D8216)))),"Ambiguous",IF(ISNUMBER(SEARCH("平",D8216)),"平","仄")))</x:f>
        <x:v>Ambiguous</x:v>
      </x:c>
      <x:c r="L8216" s="7" t="str">
        <x:v>Pingshui main list expansion</x:v>
      </x:c>
    </x:row>
    <x:row r="8217">
      <x:c r="A8217" s="5" t="str">
        <x:v>頧</x:v>
      </x:c>
      <x:c r="B8217" s="6" t="str">
        <x:v>平</x:v>
      </x:c>
      <x:c r="C8217" s="6" t="str">
        <x:f>IF(B8217="","Needs decision","Ready")</x:f>
        <x:v>Ready</x:v>
      </x:c>
      <x:c r="D8217" s="6" t="str">
        <x:v>平</x:v>
      </x:c>
      <x:c r="E8217" s="6" t="str"/>
      <x:c r="F8217" s="6" t="str">
        <x:v>上平聲十灰</x:v>
      </x:c>
      <x:c r="G8217" s="6" t="str">
        <x:v>Pingshui main list, Wikisource-derived DOCX</x:v>
      </x:c>
      <x:c r="H8217" s="6" t="str"/>
      <x:c r="I8217" s="6" t="str">
        <x:v>Pingshui main-list expansion; 詞 entries ignored</x:v>
      </x:c>
      <x:c r="J8217" s="6" t="str">
        <x:f>IF(B8217="","",IF(AND(ISNUMBER(SEARCH("平",B8217)),OR(ISNUMBER(SEARCH("上",B8217)),ISNUMBER(SEARCH("去",B8217)),ISNUMBER(SEARCH("入",B8217)))),"Ambiguous",IF(ISNUMBER(SEARCH("平",B8217)),"平","仄")))</x:f>
        <x:v>平</x:v>
      </x:c>
      <x:c r="K8217" s="6" t="str">
        <x:f>IF(D8217="","",IF(AND(ISNUMBER(SEARCH("平",D8217)),OR(ISNUMBER(SEARCH("上",D8217)),ISNUMBER(SEARCH("去",D8217)),ISNUMBER(SEARCH("入",D8217)))),"Ambiguous",IF(ISNUMBER(SEARCH("平",D8217)),"平","仄")))</x:f>
        <x:v>平</x:v>
      </x:c>
      <x:c r="L8217" s="7" t="str">
        <x:v>Pingshui main list expansion</x:v>
      </x:c>
    </x:row>
    <x:row r="8218">
      <x:c r="A8218" s="5" t="str">
        <x:v>頲</x:v>
      </x:c>
      <x:c r="B8218" s="6" t="str">
        <x:v>上</x:v>
      </x:c>
      <x:c r="C8218" s="6" t="str">
        <x:f>IF(B8218="","Needs decision","Ready")</x:f>
        <x:v>Ready</x:v>
      </x:c>
      <x:c r="D8218" s="6" t="str">
        <x:v>上</x:v>
      </x:c>
      <x:c r="E8218" s="6" t="str"/>
      <x:c r="F8218" s="6" t="str">
        <x:v>上聲二十四迥</x:v>
      </x:c>
      <x:c r="G8218" s="6" t="str">
        <x:v>Pingshui main list, Wikisource-derived DOCX</x:v>
      </x:c>
      <x:c r="H8218" s="6" t="str"/>
      <x:c r="I8218" s="6" t="str">
        <x:v>Pingshui main-list expansion; 詞 entries ignored</x:v>
      </x:c>
      <x:c r="J8218" s="6" t="str">
        <x:f>IF(B8218="","",IF(AND(ISNUMBER(SEARCH("平",B8218)),OR(ISNUMBER(SEARCH("上",B8218)),ISNUMBER(SEARCH("去",B8218)),ISNUMBER(SEARCH("入",B8218)))),"Ambiguous",IF(ISNUMBER(SEARCH("平",B8218)),"平","仄")))</x:f>
        <x:v>仄</x:v>
      </x:c>
      <x:c r="K8218" s="6" t="str">
        <x:f>IF(D8218="","",IF(AND(ISNUMBER(SEARCH("平",D8218)),OR(ISNUMBER(SEARCH("上",D8218)),ISNUMBER(SEARCH("去",D8218)),ISNUMBER(SEARCH("入",D8218)))),"Ambiguous",IF(ISNUMBER(SEARCH("平",D8218)),"平","仄")))</x:f>
        <x:v>仄</x:v>
      </x:c>
      <x:c r="L8218" s="7" t="str">
        <x:v>Pingshui main list expansion</x:v>
      </x:c>
    </x:row>
    <x:row r="8219">
      <x:c r="A8219" s="5" t="str">
        <x:v>顁</x:v>
      </x:c>
      <x:c r="B8219" s="6" t="str">
        <x:v>去</x:v>
      </x:c>
      <x:c r="C8219" s="6" t="str">
        <x:f>IF(B8219="","Needs decision","Ready")</x:f>
        <x:v>Ready</x:v>
      </x:c>
      <x:c r="D8219" s="6" t="str">
        <x:v>去</x:v>
      </x:c>
      <x:c r="E8219" s="6" t="str"/>
      <x:c r="F8219" s="6" t="str">
        <x:v>去聲二十五徑</x:v>
      </x:c>
      <x:c r="G8219" s="6" t="str">
        <x:v>Pingshui main list, Wikisource-derived DOCX</x:v>
      </x:c>
      <x:c r="H8219" s="6" t="str"/>
      <x:c r="I8219" s="6" t="str">
        <x:v>Pingshui main-list expansion; 詞 entries ignored</x:v>
      </x:c>
      <x:c r="J8219" s="6" t="str">
        <x:f>IF(B8219="","",IF(AND(ISNUMBER(SEARCH("平",B8219)),OR(ISNUMBER(SEARCH("上",B8219)),ISNUMBER(SEARCH("去",B8219)),ISNUMBER(SEARCH("入",B8219)))),"Ambiguous",IF(ISNUMBER(SEARCH("平",B8219)),"平","仄")))</x:f>
        <x:v>仄</x:v>
      </x:c>
      <x:c r="K8219" s="6" t="str">
        <x:f>IF(D8219="","",IF(AND(ISNUMBER(SEARCH("平",D8219)),OR(ISNUMBER(SEARCH("上",D8219)),ISNUMBER(SEARCH("去",D8219)),ISNUMBER(SEARCH("入",D8219)))),"Ambiguous",IF(ISNUMBER(SEARCH("平",D8219)),"平","仄")))</x:f>
        <x:v>仄</x:v>
      </x:c>
      <x:c r="L8219" s="7" t="str">
        <x:v>Pingshui main list expansion</x:v>
      </x:c>
    </x:row>
    <x:row r="8220">
      <x:c r="A8220" s="5" t="str">
        <x:v>顄</x:v>
      </x:c>
      <x:c r="B8220" s="6" t="str">
        <x:v>上</x:v>
      </x:c>
      <x:c r="C8220" s="6" t="str">
        <x:f>IF(B8220="","Needs decision","Ready")</x:f>
        <x:v>Ready</x:v>
      </x:c>
      <x:c r="D8220" s="6" t="str">
        <x:v>上</x:v>
      </x:c>
      <x:c r="E8220" s="6" t="str"/>
      <x:c r="F8220" s="6" t="str">
        <x:v>上聲二十七感</x:v>
      </x:c>
      <x:c r="G8220" s="6" t="str">
        <x:v>Pingshui main list, Wikisource-derived DOCX</x:v>
      </x:c>
      <x:c r="H8220" s="6" t="str"/>
      <x:c r="I8220" s="6" t="str">
        <x:v>Pingshui main-list expansion; 詞 entries ignored</x:v>
      </x:c>
      <x:c r="J8220" s="6" t="str">
        <x:f>IF(B8220="","",IF(AND(ISNUMBER(SEARCH("平",B8220)),OR(ISNUMBER(SEARCH("上",B8220)),ISNUMBER(SEARCH("去",B8220)),ISNUMBER(SEARCH("入",B8220)))),"Ambiguous",IF(ISNUMBER(SEARCH("平",B8220)),"平","仄")))</x:f>
        <x:v>仄</x:v>
      </x:c>
      <x:c r="K8220" s="6" t="str">
        <x:f>IF(D8220="","",IF(AND(ISNUMBER(SEARCH("平",D8220)),OR(ISNUMBER(SEARCH("上",D8220)),ISNUMBER(SEARCH("去",D8220)),ISNUMBER(SEARCH("入",D8220)))),"Ambiguous",IF(ISNUMBER(SEARCH("平",D8220)),"平","仄")))</x:f>
        <x:v>仄</x:v>
      </x:c>
      <x:c r="L8220" s="7" t="str">
        <x:v>Pingshui main list expansion</x:v>
      </x:c>
    </x:row>
    <x:row r="8221">
      <x:c r="A8221" s="5" t="str">
        <x:v>顆</x:v>
      </x:c>
      <x:c r="B8221" s="6" t="str">
        <x:v>上</x:v>
      </x:c>
      <x:c r="C8221" s="6" t="str">
        <x:f>IF(B8221="","Needs decision","Ready")</x:f>
        <x:v>Ready</x:v>
      </x:c>
      <x:c r="D8221" s="6" t="str">
        <x:v>上</x:v>
      </x:c>
      <x:c r="E8221" s="6" t="str"/>
      <x:c r="F8221" s="6" t="str">
        <x:v>上聲二十哿</x:v>
      </x:c>
      <x:c r="G8221" s="6" t="str">
        <x:v>Pingshui main list, Wikisource-derived DOCX</x:v>
      </x:c>
      <x:c r="H8221" s="6" t="str"/>
      <x:c r="I8221" s="6" t="str">
        <x:v>Pingshui main-list expansion; 詞 entries ignored</x:v>
      </x:c>
      <x:c r="J8221" s="6" t="str">
        <x:f>IF(B8221="","",IF(AND(ISNUMBER(SEARCH("平",B8221)),OR(ISNUMBER(SEARCH("上",B8221)),ISNUMBER(SEARCH("去",B8221)),ISNUMBER(SEARCH("入",B8221)))),"Ambiguous",IF(ISNUMBER(SEARCH("平",B8221)),"平","仄")))</x:f>
        <x:v>仄</x:v>
      </x:c>
      <x:c r="K8221" s="6" t="str">
        <x:f>IF(D8221="","",IF(AND(ISNUMBER(SEARCH("平",D8221)),OR(ISNUMBER(SEARCH("上",D8221)),ISNUMBER(SEARCH("去",D8221)),ISNUMBER(SEARCH("入",D8221)))),"Ambiguous",IF(ISNUMBER(SEARCH("平",D8221)),"平","仄")))</x:f>
        <x:v>仄</x:v>
      </x:c>
      <x:c r="L8221" s="7" t="str">
        <x:v>Pingshui main list expansion</x:v>
      </x:c>
    </x:row>
    <x:row r="8222">
      <x:c r="A8222" s="5" t="str">
        <x:v>顉</x:v>
      </x:c>
      <x:c r="B8222" s="6" t="str">
        <x:v>上</x:v>
      </x:c>
      <x:c r="C8222" s="6" t="str">
        <x:f>IF(B8222="","Needs decision","Ready")</x:f>
        <x:v>Ready</x:v>
      </x:c>
      <x:c r="D8222" s="6" t="str">
        <x:v>上</x:v>
      </x:c>
      <x:c r="E8222" s="6" t="str"/>
      <x:c r="F8222" s="6" t="str">
        <x:v>上聲二十七感</x:v>
      </x:c>
      <x:c r="G8222" s="6" t="str">
        <x:v>Pingshui main list, Wikisource-derived DOCX</x:v>
      </x:c>
      <x:c r="H8222" s="6" t="str"/>
      <x:c r="I8222" s="6" t="str">
        <x:v>Pingshui main-list expansion; 詞 entries ignored</x:v>
      </x:c>
      <x:c r="J8222" s="6" t="str">
        <x:f>IF(B8222="","",IF(AND(ISNUMBER(SEARCH("平",B8222)),OR(ISNUMBER(SEARCH("上",B8222)),ISNUMBER(SEARCH("去",B8222)),ISNUMBER(SEARCH("入",B8222)))),"Ambiguous",IF(ISNUMBER(SEARCH("平",B8222)),"平","仄")))</x:f>
        <x:v>仄</x:v>
      </x:c>
      <x:c r="K8222" s="6" t="str">
        <x:f>IF(D8222="","",IF(AND(ISNUMBER(SEARCH("平",D8222)),OR(ISNUMBER(SEARCH("上",D8222)),ISNUMBER(SEARCH("去",D8222)),ISNUMBER(SEARCH("入",D8222)))),"Ambiguous",IF(ISNUMBER(SEARCH("平",D8222)),"平","仄")))</x:f>
        <x:v>仄</x:v>
      </x:c>
      <x:c r="L8222" s="7" t="str">
        <x:v>Pingshui main list expansion</x:v>
      </x:c>
    </x:row>
    <x:row r="8223">
      <x:c r="A8223" s="5" t="str">
        <x:v>顓</x:v>
      </x:c>
      <x:c r="B8223" s="6" t="str">
        <x:v>平</x:v>
      </x:c>
      <x:c r="C8223" s="6" t="str">
        <x:f>IF(B8223="","Needs decision","Ready")</x:f>
        <x:v>Ready</x:v>
      </x:c>
      <x:c r="D8223" s="6" t="str">
        <x:v>平</x:v>
      </x:c>
      <x:c r="E8223" s="6" t="str"/>
      <x:c r="F8223" s="6" t="str">
        <x:v>下平聲一先</x:v>
      </x:c>
      <x:c r="G8223" s="6" t="str">
        <x:v>Pingshui main list, Wikisource-derived DOCX</x:v>
      </x:c>
      <x:c r="H8223" s="6" t="str"/>
      <x:c r="I8223" s="6" t="str">
        <x:v>Pingshui main-list expansion; 詞 entries ignored</x:v>
      </x:c>
      <x:c r="J8223" s="6" t="str">
        <x:f>IF(B8223="","",IF(AND(ISNUMBER(SEARCH("平",B8223)),OR(ISNUMBER(SEARCH("上",B8223)),ISNUMBER(SEARCH("去",B8223)),ISNUMBER(SEARCH("入",B8223)))),"Ambiguous",IF(ISNUMBER(SEARCH("平",B8223)),"平","仄")))</x:f>
        <x:v>平</x:v>
      </x:c>
      <x:c r="K8223" s="6" t="str">
        <x:f>IF(D8223="","",IF(AND(ISNUMBER(SEARCH("平",D8223)),OR(ISNUMBER(SEARCH("上",D8223)),ISNUMBER(SEARCH("去",D8223)),ISNUMBER(SEARCH("入",D8223)))),"Ambiguous",IF(ISNUMBER(SEARCH("平",D8223)),"平","仄")))</x:f>
        <x:v>平</x:v>
      </x:c>
      <x:c r="L8223" s="7" t="str">
        <x:v>Pingshui main list expansion</x:v>
      </x:c>
    </x:row>
    <x:row r="8224">
      <x:c r="A8224" s="5" t="str">
        <x:v>顟</x:v>
      </x:c>
      <x:c r="B8224" s="6" t="str">
        <x:v>平</x:v>
      </x:c>
      <x:c r="C8224" s="6" t="str">
        <x:f>IF(B8224="","Needs decision","Ready")</x:f>
        <x:v>Ready</x:v>
      </x:c>
      <x:c r="D8224" s="6" t="str">
        <x:v>平</x:v>
      </x:c>
      <x:c r="E8224" s="6" t="str"/>
      <x:c r="F8224" s="6" t="str">
        <x:v>下平聲三肴</x:v>
      </x:c>
      <x:c r="G8224" s="6" t="str">
        <x:v>Pingshui main list, Wikisource-derived DOCX</x:v>
      </x:c>
      <x:c r="H8224" s="6" t="str"/>
      <x:c r="I8224" s="6" t="str">
        <x:v>Pingshui main-list expansion; 詞 entries ignored</x:v>
      </x:c>
      <x:c r="J8224" s="6" t="str">
        <x:f>IF(B8224="","",IF(AND(ISNUMBER(SEARCH("平",B8224)),OR(ISNUMBER(SEARCH("上",B8224)),ISNUMBER(SEARCH("去",B8224)),ISNUMBER(SEARCH("入",B8224)))),"Ambiguous",IF(ISNUMBER(SEARCH("平",B8224)),"平","仄")))</x:f>
        <x:v>平</x:v>
      </x:c>
      <x:c r="K8224" s="6" t="str">
        <x:f>IF(D8224="","",IF(AND(ISNUMBER(SEARCH("平",D8224)),OR(ISNUMBER(SEARCH("上",D8224)),ISNUMBER(SEARCH("去",D8224)),ISNUMBER(SEARCH("入",D8224)))),"Ambiguous",IF(ISNUMBER(SEARCH("平",D8224)),"平","仄")))</x:f>
        <x:v>平</x:v>
      </x:c>
      <x:c r="L8224" s="7" t="str">
        <x:v>Pingshui main list expansion</x:v>
      </x:c>
    </x:row>
    <x:row r="8225">
      <x:c r="A8225" s="5" t="str">
        <x:v>顤</x:v>
      </x:c>
      <x:c r="B8225" s="6" t="str">
        <x:v>去</x:v>
      </x:c>
      <x:c r="C8225" s="6" t="str">
        <x:f>IF(B8225="","Needs decision","Ready")</x:f>
        <x:v>Ready</x:v>
      </x:c>
      <x:c r="D8225" s="6" t="str">
        <x:v>去</x:v>
      </x:c>
      <x:c r="E8225" s="6" t="str"/>
      <x:c r="F8225" s="6" t="str">
        <x:v>去聲十八嘯</x:v>
      </x:c>
      <x:c r="G8225" s="6" t="str">
        <x:v>Pingshui main list, Wikisource-derived DOCX</x:v>
      </x:c>
      <x:c r="H8225" s="6" t="str"/>
      <x:c r="I8225" s="6" t="str">
        <x:v>Pingshui main-list expansion; 詞 entries ignored</x:v>
      </x:c>
      <x:c r="J8225" s="6" t="str">
        <x:f>IF(B8225="","",IF(AND(ISNUMBER(SEARCH("平",B8225)),OR(ISNUMBER(SEARCH("上",B8225)),ISNUMBER(SEARCH("去",B8225)),ISNUMBER(SEARCH("入",B8225)))),"Ambiguous",IF(ISNUMBER(SEARCH("平",B8225)),"平","仄")))</x:f>
        <x:v>仄</x:v>
      </x:c>
      <x:c r="K8225" s="6" t="str">
        <x:f>IF(D8225="","",IF(AND(ISNUMBER(SEARCH("平",D8225)),OR(ISNUMBER(SEARCH("上",D8225)),ISNUMBER(SEARCH("去",D8225)),ISNUMBER(SEARCH("入",D8225)))),"Ambiguous",IF(ISNUMBER(SEARCH("平",D8225)),"平","仄")))</x:f>
        <x:v>仄</x:v>
      </x:c>
      <x:c r="L8225" s="7" t="str">
        <x:v>Pingshui main list expansion</x:v>
      </x:c>
    </x:row>
    <x:row r="8226">
      <x:c r="A8226" s="5" t="str">
        <x:v>顫</x:v>
      </x:c>
      <x:c r="B8226" s="6" t="str">
        <x:v>去</x:v>
      </x:c>
      <x:c r="C8226" s="6" t="str">
        <x:f>IF(B8226="","Needs decision","Ready")</x:f>
        <x:v>Ready</x:v>
      </x:c>
      <x:c r="D8226" s="6" t="str">
        <x:v>去</x:v>
      </x:c>
      <x:c r="E8226" s="6" t="str"/>
      <x:c r="F8226" s="6" t="str">
        <x:v>去聲十七霰</x:v>
      </x:c>
      <x:c r="G8226" s="6" t="str">
        <x:v>Pingshui main list, Wikisource-derived DOCX</x:v>
      </x:c>
      <x:c r="H8226" s="6" t="str"/>
      <x:c r="I8226" s="6" t="str">
        <x:v>Pingshui main-list expansion; 詞 entries ignored</x:v>
      </x:c>
      <x:c r="J8226" s="6" t="str">
        <x:f>IF(B8226="","",IF(AND(ISNUMBER(SEARCH("平",B8226)),OR(ISNUMBER(SEARCH("上",B8226)),ISNUMBER(SEARCH("去",B8226)),ISNUMBER(SEARCH("入",B8226)))),"Ambiguous",IF(ISNUMBER(SEARCH("平",B8226)),"平","仄")))</x:f>
        <x:v>仄</x:v>
      </x:c>
      <x:c r="K8226" s="6" t="str">
        <x:f>IF(D8226="","",IF(AND(ISNUMBER(SEARCH("平",D8226)),OR(ISNUMBER(SEARCH("上",D8226)),ISNUMBER(SEARCH("去",D8226)),ISNUMBER(SEARCH("入",D8226)))),"Ambiguous",IF(ISNUMBER(SEARCH("平",D8226)),"平","仄")))</x:f>
        <x:v>仄</x:v>
      </x:c>
      <x:c r="L8226" s="7" t="str">
        <x:v>Pingshui main list expansion</x:v>
      </x:c>
    </x:row>
    <x:row r="8227">
      <x:c r="A8227" s="5" t="str">
        <x:v>顴</x:v>
      </x:c>
      <x:c r="B8227" s="6" t="str">
        <x:v>平</x:v>
      </x:c>
      <x:c r="C8227" s="6" t="str">
        <x:f>IF(B8227="","Needs decision","Ready")</x:f>
        <x:v>Ready</x:v>
      </x:c>
      <x:c r="D8227" s="6" t="str">
        <x:v>平</x:v>
      </x:c>
      <x:c r="E8227" s="6" t="str"/>
      <x:c r="F8227" s="6" t="str">
        <x:v>下平聲一先</x:v>
      </x:c>
      <x:c r="G8227" s="6" t="str">
        <x:v>Pingshui main list, Wikisource-derived DOCX</x:v>
      </x:c>
      <x:c r="H8227" s="6" t="str"/>
      <x:c r="I8227" s="6" t="str">
        <x:v>Pingshui main-list expansion; 詞 entries ignored</x:v>
      </x:c>
      <x:c r="J8227" s="6" t="str">
        <x:f>IF(B8227="","",IF(AND(ISNUMBER(SEARCH("平",B8227)),OR(ISNUMBER(SEARCH("上",B8227)),ISNUMBER(SEARCH("去",B8227)),ISNUMBER(SEARCH("入",B8227)))),"Ambiguous",IF(ISNUMBER(SEARCH("平",B8227)),"平","仄")))</x:f>
        <x:v>平</x:v>
      </x:c>
      <x:c r="K8227" s="6" t="str">
        <x:f>IF(D8227="","",IF(AND(ISNUMBER(SEARCH("平",D8227)),OR(ISNUMBER(SEARCH("上",D8227)),ISNUMBER(SEARCH("去",D8227)),ISNUMBER(SEARCH("入",D8227)))),"Ambiguous",IF(ISNUMBER(SEARCH("平",D8227)),"平","仄")))</x:f>
        <x:v>平</x:v>
      </x:c>
      <x:c r="L8227" s="7" t="str">
        <x:v>Pingshui main list expansion</x:v>
      </x:c>
    </x:row>
    <x:row r="8228">
      <x:c r="A8228" s="5" t="str">
        <x:v>颬</x:v>
      </x:c>
      <x:c r="B8228" s="6" t="str">
        <x:v>平</x:v>
      </x:c>
      <x:c r="C8228" s="6" t="str">
        <x:f>IF(B8228="","Needs decision","Ready")</x:f>
        <x:v>Ready</x:v>
      </x:c>
      <x:c r="D8228" s="6" t="str">
        <x:v>平</x:v>
      </x:c>
      <x:c r="E8228" s="6" t="str"/>
      <x:c r="F8228" s="6" t="str">
        <x:v>下平聲六麻</x:v>
      </x:c>
      <x:c r="G8228" s="6" t="str">
        <x:v>Pingshui main list, Wikisource-derived DOCX</x:v>
      </x:c>
      <x:c r="H8228" s="6" t="str"/>
      <x:c r="I8228" s="6" t="str">
        <x:v>Pingshui main-list expansion; 詞 entries ignored</x:v>
      </x:c>
      <x:c r="J8228" s="6" t="str">
        <x:f>IF(B8228="","",IF(AND(ISNUMBER(SEARCH("平",B8228)),OR(ISNUMBER(SEARCH("上",B8228)),ISNUMBER(SEARCH("去",B8228)),ISNUMBER(SEARCH("入",B8228)))),"Ambiguous",IF(ISNUMBER(SEARCH("平",B8228)),"平","仄")))</x:f>
        <x:v>平</x:v>
      </x:c>
      <x:c r="K8228" s="6" t="str">
        <x:f>IF(D8228="","",IF(AND(ISNUMBER(SEARCH("平",D8228)),OR(ISNUMBER(SEARCH("上",D8228)),ISNUMBER(SEARCH("去",D8228)),ISNUMBER(SEARCH("入",D8228)))),"Ambiguous",IF(ISNUMBER(SEARCH("平",D8228)),"平","仄")))</x:f>
        <x:v>平</x:v>
      </x:c>
      <x:c r="L8228" s="7" t="str">
        <x:v>Pingshui main list expansion</x:v>
      </x:c>
    </x:row>
    <x:row r="8229">
      <x:c r="A8229" s="5" t="str">
        <x:v>颮</x:v>
      </x:c>
      <x:c r="B8229" s="6" t="str"/>
      <x:c r="C8229" s="6" t="str">
        <x:f>IF(B8229="","Needs decision","Ready")</x:f>
        <x:v>Needs decision</x:v>
      </x:c>
      <x:c r="D8229" s="6" t="str">
        <x:v>平/入</x:v>
      </x:c>
      <x:c r="E8229" s="6" t="str"/>
      <x:c r="F8229" s="6" t="str">
        <x:v>下平聲三肴; 入聲三覺</x:v>
      </x:c>
      <x:c r="G8229" s="6" t="str">
        <x:v>Pingshui main list, Wikisource-derived DOCX</x:v>
      </x:c>
      <x:c r="H8229" s="6" t="str"/>
      <x:c r="I8229" s="6" t="str">
        <x:v>Pingshui main-list expansion; 詞 entries ignored</x:v>
      </x:c>
      <x:c r="J8229" s="6" t="str">
        <x:f>IF(B8229="","",IF(AND(ISNUMBER(SEARCH("平",B8229)),OR(ISNUMBER(SEARCH("上",B8229)),ISNUMBER(SEARCH("去",B8229)),ISNUMBER(SEARCH("入",B8229)))),"Ambiguous",IF(ISNUMBER(SEARCH("平",B8229)),"平","仄")))</x:f>
      </x:c>
      <x:c r="K8229" s="6" t="str">
        <x:f>IF(D8229="","",IF(AND(ISNUMBER(SEARCH("平",D8229)),OR(ISNUMBER(SEARCH("上",D8229)),ISNUMBER(SEARCH("去",D8229)),ISNUMBER(SEARCH("入",D8229)))),"Ambiguous",IF(ISNUMBER(SEARCH("平",D8229)),"平","仄")))</x:f>
        <x:v>Ambiguous</x:v>
      </x:c>
      <x:c r="L8229" s="7" t="str">
        <x:v>Pingshui main list expansion</x:v>
      </x:c>
    </x:row>
    <x:row r="8230">
      <x:c r="A8230" s="5" t="str">
        <x:v>颲</x:v>
      </x:c>
      <x:c r="B8230" s="6" t="str">
        <x:v>入</x:v>
      </x:c>
      <x:c r="C8230" s="6" t="str">
        <x:f>IF(B8230="","Needs decision","Ready")</x:f>
        <x:v>Ready</x:v>
      </x:c>
      <x:c r="D8230" s="6" t="str">
        <x:v>入</x:v>
      </x:c>
      <x:c r="E8230" s="6" t="str"/>
      <x:c r="F8230" s="6" t="str">
        <x:v>入聲九屑</x:v>
      </x:c>
      <x:c r="G8230" s="6" t="str">
        <x:v>Pingshui main list, Wikisource-derived DOCX</x:v>
      </x:c>
      <x:c r="H8230" s="6" t="str"/>
      <x:c r="I8230" s="6" t="str">
        <x:v>Pingshui main-list expansion; 詞 entries ignored</x:v>
      </x:c>
      <x:c r="J8230" s="6" t="str">
        <x:f>IF(B8230="","",IF(AND(ISNUMBER(SEARCH("平",B8230)),OR(ISNUMBER(SEARCH("上",B8230)),ISNUMBER(SEARCH("去",B8230)),ISNUMBER(SEARCH("入",B8230)))),"Ambiguous",IF(ISNUMBER(SEARCH("平",B8230)),"平","仄")))</x:f>
        <x:v>仄</x:v>
      </x:c>
      <x:c r="K8230" s="6" t="str">
        <x:f>IF(D8230="","",IF(AND(ISNUMBER(SEARCH("平",D8230)),OR(ISNUMBER(SEARCH("上",D8230)),ISNUMBER(SEARCH("去",D8230)),ISNUMBER(SEARCH("入",D8230)))),"Ambiguous",IF(ISNUMBER(SEARCH("平",D8230)),"平","仄")))</x:f>
        <x:v>仄</x:v>
      </x:c>
      <x:c r="L8230" s="7" t="str">
        <x:v>Pingshui main list expansion</x:v>
      </x:c>
    </x:row>
    <x:row r="8231">
      <x:c r="A8231" s="5" t="str">
        <x:v>颾</x:v>
      </x:c>
      <x:c r="B8231" s="6" t="str">
        <x:v>平</x:v>
      </x:c>
      <x:c r="C8231" s="6" t="str">
        <x:f>IF(B8231="","Needs decision","Ready")</x:f>
        <x:v>Ready</x:v>
      </x:c>
      <x:c r="D8231" s="6" t="str">
        <x:v>平</x:v>
      </x:c>
      <x:c r="E8231" s="6" t="str"/>
      <x:c r="F8231" s="6" t="str">
        <x:v>下平聲四豪</x:v>
      </x:c>
      <x:c r="G8231" s="6" t="str">
        <x:v>Pingshui main list, Wikisource-derived DOCX</x:v>
      </x:c>
      <x:c r="H8231" s="6" t="str"/>
      <x:c r="I8231" s="6" t="str">
        <x:v>Pingshui main-list expansion; 詞 entries ignored</x:v>
      </x:c>
      <x:c r="J8231" s="6" t="str">
        <x:f>IF(B8231="","",IF(AND(ISNUMBER(SEARCH("平",B8231)),OR(ISNUMBER(SEARCH("上",B8231)),ISNUMBER(SEARCH("去",B8231)),ISNUMBER(SEARCH("入",B8231)))),"Ambiguous",IF(ISNUMBER(SEARCH("平",B8231)),"平","仄")))</x:f>
        <x:v>平</x:v>
      </x:c>
      <x:c r="K8231" s="6" t="str">
        <x:f>IF(D8231="","",IF(AND(ISNUMBER(SEARCH("平",D8231)),OR(ISNUMBER(SEARCH("上",D8231)),ISNUMBER(SEARCH("去",D8231)),ISNUMBER(SEARCH("入",D8231)))),"Ambiguous",IF(ISNUMBER(SEARCH("平",D8231)),"平","仄")))</x:f>
        <x:v>平</x:v>
      </x:c>
      <x:c r="L8231" s="7" t="str">
        <x:v>Pingshui main list expansion</x:v>
      </x:c>
    </x:row>
    <x:row r="8232">
      <x:c r="A8232" s="5" t="str">
        <x:v>飣</x:v>
      </x:c>
      <x:c r="B8232" s="6" t="str">
        <x:v>去</x:v>
      </x:c>
      <x:c r="C8232" s="6" t="str">
        <x:f>IF(B8232="","Needs decision","Ready")</x:f>
        <x:v>Ready</x:v>
      </x:c>
      <x:c r="D8232" s="6" t="str">
        <x:v>去</x:v>
      </x:c>
      <x:c r="E8232" s="6" t="str"/>
      <x:c r="F8232" s="6" t="str">
        <x:v>去聲二十五徑</x:v>
      </x:c>
      <x:c r="G8232" s="6" t="str">
        <x:v>Pingshui main list, Wikisource-derived DOCX</x:v>
      </x:c>
      <x:c r="H8232" s="6" t="str"/>
      <x:c r="I8232" s="6" t="str">
        <x:v>Pingshui main-list expansion; 詞 entries ignored</x:v>
      </x:c>
      <x:c r="J8232" s="6" t="str">
        <x:f>IF(B8232="","",IF(AND(ISNUMBER(SEARCH("平",B8232)),OR(ISNUMBER(SEARCH("上",B8232)),ISNUMBER(SEARCH("去",B8232)),ISNUMBER(SEARCH("入",B8232)))),"Ambiguous",IF(ISNUMBER(SEARCH("平",B8232)),"平","仄")))</x:f>
        <x:v>仄</x:v>
      </x:c>
      <x:c r="K8232" s="6" t="str">
        <x:f>IF(D8232="","",IF(AND(ISNUMBER(SEARCH("平",D8232)),OR(ISNUMBER(SEARCH("上",D8232)),ISNUMBER(SEARCH("去",D8232)),ISNUMBER(SEARCH("入",D8232)))),"Ambiguous",IF(ISNUMBER(SEARCH("平",D8232)),"平","仄")))</x:f>
        <x:v>仄</x:v>
      </x:c>
      <x:c r="L8232" s="7" t="str">
        <x:v>Pingshui main list expansion</x:v>
      </x:c>
    </x:row>
    <x:row r="8233">
      <x:c r="A8233" s="5" t="str">
        <x:v>飥</x:v>
      </x:c>
      <x:c r="B8233" s="6" t="str">
        <x:v>入</x:v>
      </x:c>
      <x:c r="C8233" s="6" t="str">
        <x:f>IF(B8233="","Needs decision","Ready")</x:f>
        <x:v>Ready</x:v>
      </x:c>
      <x:c r="D8233" s="6" t="str">
        <x:v>入</x:v>
      </x:c>
      <x:c r="E8233" s="6" t="str"/>
      <x:c r="F8233" s="6" t="str">
        <x:v>入聲十藥</x:v>
      </x:c>
      <x:c r="G8233" s="6" t="str">
        <x:v>Pingshui main list, Wikisource-derived DOCX</x:v>
      </x:c>
      <x:c r="H8233" s="6" t="str"/>
      <x:c r="I8233" s="6" t="str">
        <x:v>Pingshui main-list expansion; 詞 entries ignored</x:v>
      </x:c>
      <x:c r="J8233" s="6" t="str">
        <x:f>IF(B8233="","",IF(AND(ISNUMBER(SEARCH("平",B8233)),OR(ISNUMBER(SEARCH("上",B8233)),ISNUMBER(SEARCH("去",B8233)),ISNUMBER(SEARCH("入",B8233)))),"Ambiguous",IF(ISNUMBER(SEARCH("平",B8233)),"平","仄")))</x:f>
        <x:v>仄</x:v>
      </x:c>
      <x:c r="K8233" s="6" t="str">
        <x:f>IF(D8233="","",IF(AND(ISNUMBER(SEARCH("平",D8233)),OR(ISNUMBER(SEARCH("上",D8233)),ISNUMBER(SEARCH("去",D8233)),ISNUMBER(SEARCH("入",D8233)))),"Ambiguous",IF(ISNUMBER(SEARCH("平",D8233)),"平","仄")))</x:f>
        <x:v>仄</x:v>
      </x:c>
      <x:c r="L8233" s="7" t="str">
        <x:v>Pingshui main list expansion</x:v>
      </x:c>
    </x:row>
    <x:row r="8234">
      <x:c r="A8234" s="5" t="str">
        <x:v>飩</x:v>
      </x:c>
      <x:c r="B8234" s="6" t="str">
        <x:v>平</x:v>
      </x:c>
      <x:c r="C8234" s="6" t="str">
        <x:f>IF(B8234="","Needs decision","Ready")</x:f>
        <x:v>Ready</x:v>
      </x:c>
      <x:c r="D8234" s="6" t="str">
        <x:v>平</x:v>
      </x:c>
      <x:c r="E8234" s="6" t="str"/>
      <x:c r="F8234" s="6" t="str">
        <x:v>上平聲十三元</x:v>
      </x:c>
      <x:c r="G8234" s="6" t="str">
        <x:v>Pingshui main list, Wikisource-derived DOCX</x:v>
      </x:c>
      <x:c r="H8234" s="6" t="str"/>
      <x:c r="I8234" s="6" t="str">
        <x:v>Pingshui main-list expansion; 詞 entries ignored</x:v>
      </x:c>
      <x:c r="J8234" s="6" t="str">
        <x:f>IF(B8234="","",IF(AND(ISNUMBER(SEARCH("平",B8234)),OR(ISNUMBER(SEARCH("上",B8234)),ISNUMBER(SEARCH("去",B8234)),ISNUMBER(SEARCH("入",B8234)))),"Ambiguous",IF(ISNUMBER(SEARCH("平",B8234)),"平","仄")))</x:f>
        <x:v>平</x:v>
      </x:c>
      <x:c r="K8234" s="6" t="str">
        <x:f>IF(D8234="","",IF(AND(ISNUMBER(SEARCH("平",D8234)),OR(ISNUMBER(SEARCH("上",D8234)),ISNUMBER(SEARCH("去",D8234)),ISNUMBER(SEARCH("入",D8234)))),"Ambiguous",IF(ISNUMBER(SEARCH("平",D8234)),"平","仄")))</x:f>
        <x:v>平</x:v>
      </x:c>
      <x:c r="L8234" s="7" t="str">
        <x:v>Pingshui main list expansion</x:v>
      </x:c>
    </x:row>
    <x:row r="8235">
      <x:c r="A8235" s="5" t="str">
        <x:v>飶</x:v>
      </x:c>
      <x:c r="B8235" s="6" t="str">
        <x:v>入</x:v>
      </x:c>
      <x:c r="C8235" s="6" t="str">
        <x:f>IF(B8235="","Needs decision","Ready")</x:f>
        <x:v>Ready</x:v>
      </x:c>
      <x:c r="D8235" s="6" t="str">
        <x:v>入</x:v>
      </x:c>
      <x:c r="E8235" s="6" t="str"/>
      <x:c r="F8235" s="6" t="str">
        <x:v>入聲四質</x:v>
      </x:c>
      <x:c r="G8235" s="6" t="str">
        <x:v>Pingshui main list, Wikisource-derived DOCX</x:v>
      </x:c>
      <x:c r="H8235" s="6" t="str"/>
      <x:c r="I8235" s="6" t="str">
        <x:v>Pingshui main-list expansion; 詞 entries ignored</x:v>
      </x:c>
      <x:c r="J8235" s="6" t="str">
        <x:f>IF(B8235="","",IF(AND(ISNUMBER(SEARCH("平",B8235)),OR(ISNUMBER(SEARCH("上",B8235)),ISNUMBER(SEARCH("去",B8235)),ISNUMBER(SEARCH("入",B8235)))),"Ambiguous",IF(ISNUMBER(SEARCH("平",B8235)),"平","仄")))</x:f>
        <x:v>仄</x:v>
      </x:c>
      <x:c r="K8235" s="6" t="str">
        <x:f>IF(D8235="","",IF(AND(ISNUMBER(SEARCH("平",D8235)),OR(ISNUMBER(SEARCH("上",D8235)),ISNUMBER(SEARCH("去",D8235)),ISNUMBER(SEARCH("入",D8235)))),"Ambiguous",IF(ISNUMBER(SEARCH("平",D8235)),"平","仄")))</x:f>
        <x:v>仄</x:v>
      </x:c>
      <x:c r="L8235" s="7" t="str">
        <x:v>Pingshui main list expansion</x:v>
      </x:c>
    </x:row>
    <x:row r="8236">
      <x:c r="A8236" s="5" t="str">
        <x:v>餑</x:v>
      </x:c>
      <x:c r="B8236" s="6" t="str">
        <x:v>入</x:v>
      </x:c>
      <x:c r="C8236" s="6" t="str">
        <x:f>IF(B8236="","Needs decision","Ready")</x:f>
        <x:v>Ready</x:v>
      </x:c>
      <x:c r="D8236" s="6" t="str">
        <x:v>入</x:v>
      </x:c>
      <x:c r="E8236" s="6" t="str"/>
      <x:c r="F8236" s="6" t="str">
        <x:v>入聲六月</x:v>
      </x:c>
      <x:c r="G8236" s="6" t="str">
        <x:v>Pingshui main list, Wikisource-derived DOCX</x:v>
      </x:c>
      <x:c r="H8236" s="6" t="str"/>
      <x:c r="I8236" s="6" t="str">
        <x:v>Pingshui main-list expansion; 詞 entries ignored</x:v>
      </x:c>
      <x:c r="J8236" s="6" t="str">
        <x:f>IF(B8236="","",IF(AND(ISNUMBER(SEARCH("平",B8236)),OR(ISNUMBER(SEARCH("上",B8236)),ISNUMBER(SEARCH("去",B8236)),ISNUMBER(SEARCH("入",B8236)))),"Ambiguous",IF(ISNUMBER(SEARCH("平",B8236)),"平","仄")))</x:f>
        <x:v>仄</x:v>
      </x:c>
      <x:c r="K8236" s="6" t="str">
        <x:f>IF(D8236="","",IF(AND(ISNUMBER(SEARCH("平",D8236)),OR(ISNUMBER(SEARCH("上",D8236)),ISNUMBER(SEARCH("去",D8236)),ISNUMBER(SEARCH("入",D8236)))),"Ambiguous",IF(ISNUMBER(SEARCH("平",D8236)),"平","仄")))</x:f>
        <x:v>仄</x:v>
      </x:c>
      <x:c r="L8236" s="7" t="str">
        <x:v>Pingshui main list expansion</x:v>
      </x:c>
    </x:row>
    <x:row r="8237">
      <x:c r="A8237" s="5" t="str">
        <x:v>餖</x:v>
      </x:c>
      <x:c r="B8237" s="6" t="str">
        <x:v>去</x:v>
      </x:c>
      <x:c r="C8237" s="6" t="str">
        <x:f>IF(B8237="","Needs decision","Ready")</x:f>
        <x:v>Ready</x:v>
      </x:c>
      <x:c r="D8237" s="6" t="str">
        <x:v>去</x:v>
      </x:c>
      <x:c r="E8237" s="6" t="str"/>
      <x:c r="F8237" s="6" t="str">
        <x:v>去聲二十六宥</x:v>
      </x:c>
      <x:c r="G8237" s="6" t="str">
        <x:v>Pingshui main list, Wikisource-derived DOCX</x:v>
      </x:c>
      <x:c r="H8237" s="6" t="str"/>
      <x:c r="I8237" s="6" t="str">
        <x:v>Pingshui main-list expansion; 詞 entries ignored</x:v>
      </x:c>
      <x:c r="J8237" s="6" t="str">
        <x:f>IF(B8237="","",IF(AND(ISNUMBER(SEARCH("平",B8237)),OR(ISNUMBER(SEARCH("上",B8237)),ISNUMBER(SEARCH("去",B8237)),ISNUMBER(SEARCH("入",B8237)))),"Ambiguous",IF(ISNUMBER(SEARCH("平",B8237)),"平","仄")))</x:f>
        <x:v>仄</x:v>
      </x:c>
      <x:c r="K8237" s="6" t="str">
        <x:f>IF(D8237="","",IF(AND(ISNUMBER(SEARCH("平",D8237)),OR(ISNUMBER(SEARCH("上",D8237)),ISNUMBER(SEARCH("去",D8237)),ISNUMBER(SEARCH("入",D8237)))),"Ambiguous",IF(ISNUMBER(SEARCH("平",D8237)),"平","仄")))</x:f>
        <x:v>仄</x:v>
      </x:c>
      <x:c r="L8237" s="7" t="str">
        <x:v>Pingshui main list expansion</x:v>
      </x:c>
    </x:row>
    <x:row r="8238">
      <x:c r="A8238" s="5" t="str">
        <x:v>餤</x:v>
      </x:c>
      <x:c r="B8238" s="6" t="str">
        <x:v>平</x:v>
      </x:c>
      <x:c r="C8238" s="6" t="str">
        <x:f>IF(B8238="","Needs decision","Ready")</x:f>
        <x:v>Ready</x:v>
      </x:c>
      <x:c r="D8238" s="6" t="str">
        <x:v>平</x:v>
      </x:c>
      <x:c r="E8238" s="6" t="str"/>
      <x:c r="F8238" s="6" t="str">
        <x:v>下平聲十三覃</x:v>
      </x:c>
      <x:c r="G8238" s="6" t="str">
        <x:v>Pingshui main list, Wikisource-derived DOCX</x:v>
      </x:c>
      <x:c r="H8238" s="6" t="str"/>
      <x:c r="I8238" s="6" t="str">
        <x:v>Pingshui main-list expansion; 詞 entries ignored</x:v>
      </x:c>
      <x:c r="J8238" s="6" t="str">
        <x:f>IF(B8238="","",IF(AND(ISNUMBER(SEARCH("平",B8238)),OR(ISNUMBER(SEARCH("上",B8238)),ISNUMBER(SEARCH("去",B8238)),ISNUMBER(SEARCH("入",B8238)))),"Ambiguous",IF(ISNUMBER(SEARCH("平",B8238)),"平","仄")))</x:f>
        <x:v>平</x:v>
      </x:c>
      <x:c r="K8238" s="6" t="str">
        <x:f>IF(D8238="","",IF(AND(ISNUMBER(SEARCH("平",D8238)),OR(ISNUMBER(SEARCH("上",D8238)),ISNUMBER(SEARCH("去",D8238)),ISNUMBER(SEARCH("入",D8238)))),"Ambiguous",IF(ISNUMBER(SEARCH("平",D8238)),"平","仄")))</x:f>
        <x:v>平</x:v>
      </x:c>
      <x:c r="L8238" s="7" t="str">
        <x:v>Pingshui main list expansion</x:v>
      </x:c>
    </x:row>
    <x:row r="8239">
      <x:c r="A8239" s="5" t="str">
        <x:v>餥</x:v>
      </x:c>
      <x:c r="B8239" s="6" t="str">
        <x:v>平</x:v>
      </x:c>
      <x:c r="C8239" s="6" t="str">
        <x:f>IF(B8239="","Needs decision","Ready")</x:f>
        <x:v>Ready</x:v>
      </x:c>
      <x:c r="D8239" s="6" t="str">
        <x:v>平</x:v>
      </x:c>
      <x:c r="E8239" s="6" t="str"/>
      <x:c r="F8239" s="6" t="str">
        <x:v>上平聲五微</x:v>
      </x:c>
      <x:c r="G8239" s="6" t="str">
        <x:v>Pingshui main list, Wikisource-derived DOCX</x:v>
      </x:c>
      <x:c r="H8239" s="6" t="str"/>
      <x:c r="I8239" s="6" t="str">
        <x:v>Pingshui main-list expansion; 詞 entries ignored</x:v>
      </x:c>
      <x:c r="J8239" s="6" t="str">
        <x:f>IF(B8239="","",IF(AND(ISNUMBER(SEARCH("平",B8239)),OR(ISNUMBER(SEARCH("上",B8239)),ISNUMBER(SEARCH("去",B8239)),ISNUMBER(SEARCH("入",B8239)))),"Ambiguous",IF(ISNUMBER(SEARCH("平",B8239)),"平","仄")))</x:f>
        <x:v>平</x:v>
      </x:c>
      <x:c r="K8239" s="6" t="str">
        <x:f>IF(D8239="","",IF(AND(ISNUMBER(SEARCH("平",D8239)),OR(ISNUMBER(SEARCH("上",D8239)),ISNUMBER(SEARCH("去",D8239)),ISNUMBER(SEARCH("入",D8239)))),"Ambiguous",IF(ISNUMBER(SEARCH("平",D8239)),"平","仄")))</x:f>
        <x:v>平</x:v>
      </x:c>
      <x:c r="L8239" s="7" t="str">
        <x:v>Pingshui main list expansion</x:v>
      </x:c>
    </x:row>
    <x:row r="8240">
      <x:c r="A8240" s="5" t="str">
        <x:v>餫</x:v>
      </x:c>
      <x:c r="B8240" s="6" t="str">
        <x:v>去</x:v>
      </x:c>
      <x:c r="C8240" s="6" t="str">
        <x:f>IF(B8240="","Needs decision","Ready")</x:f>
        <x:v>Ready</x:v>
      </x:c>
      <x:c r="D8240" s="6" t="str">
        <x:v>去</x:v>
      </x:c>
      <x:c r="E8240" s="6" t="str"/>
      <x:c r="F8240" s="6" t="str">
        <x:v>去聲十三問</x:v>
      </x:c>
      <x:c r="G8240" s="6" t="str">
        <x:v>Pingshui main list, Wikisource-derived DOCX</x:v>
      </x:c>
      <x:c r="H8240" s="6" t="str"/>
      <x:c r="I8240" s="6" t="str">
        <x:v>Pingshui main-list expansion; 詞 entries ignored</x:v>
      </x:c>
      <x:c r="J8240" s="6" t="str">
        <x:f>IF(B8240="","",IF(AND(ISNUMBER(SEARCH("平",B8240)),OR(ISNUMBER(SEARCH("上",B8240)),ISNUMBER(SEARCH("去",B8240)),ISNUMBER(SEARCH("入",B8240)))),"Ambiguous",IF(ISNUMBER(SEARCH("平",B8240)),"平","仄")))</x:f>
        <x:v>仄</x:v>
      </x:c>
      <x:c r="K8240" s="6" t="str">
        <x:f>IF(D8240="","",IF(AND(ISNUMBER(SEARCH("平",D8240)),OR(ISNUMBER(SEARCH("上",D8240)),ISNUMBER(SEARCH("去",D8240)),ISNUMBER(SEARCH("入",D8240)))),"Ambiguous",IF(ISNUMBER(SEARCH("平",D8240)),"平","仄")))</x:f>
        <x:v>仄</x:v>
      </x:c>
      <x:c r="L8240" s="7" t="str">
        <x:v>Pingshui main list expansion</x:v>
      </x:c>
    </x:row>
    <x:row r="8241">
      <x:c r="A8241" s="5" t="str">
        <x:v>餬</x:v>
      </x:c>
      <x:c r="B8241" s="6" t="str">
        <x:v>平</x:v>
      </x:c>
      <x:c r="C8241" s="6" t="str">
        <x:f>IF(B8241="","Needs decision","Ready")</x:f>
        <x:v>Ready</x:v>
      </x:c>
      <x:c r="D8241" s="6" t="str">
        <x:v>平</x:v>
      </x:c>
      <x:c r="E8241" s="6" t="str"/>
      <x:c r="F8241" s="6" t="str">
        <x:v>上平聲七虞</x:v>
      </x:c>
      <x:c r="G8241" s="6" t="str">
        <x:v>Pingshui main list, Wikisource-derived DOCX</x:v>
      </x:c>
      <x:c r="H8241" s="6" t="str"/>
      <x:c r="I8241" s="6" t="str">
        <x:v>Pingshui main-list expansion; 詞 entries ignored</x:v>
      </x:c>
      <x:c r="J8241" s="6" t="str">
        <x:f>IF(B8241="","",IF(AND(ISNUMBER(SEARCH("平",B8241)),OR(ISNUMBER(SEARCH("上",B8241)),ISNUMBER(SEARCH("去",B8241)),ISNUMBER(SEARCH("入",B8241)))),"Ambiguous",IF(ISNUMBER(SEARCH("平",B8241)),"平","仄")))</x:f>
        <x:v>平</x:v>
      </x:c>
      <x:c r="K8241" s="6" t="str">
        <x:f>IF(D8241="","",IF(AND(ISNUMBER(SEARCH("平",D8241)),OR(ISNUMBER(SEARCH("上",D8241)),ISNUMBER(SEARCH("去",D8241)),ISNUMBER(SEARCH("入",D8241)))),"Ambiguous",IF(ISNUMBER(SEARCH("平",D8241)),"平","仄")))</x:f>
        <x:v>平</x:v>
      </x:c>
      <x:c r="L8241" s="7" t="str">
        <x:v>Pingshui main list expansion</x:v>
      </x:c>
    </x:row>
    <x:row r="8242">
      <x:c r="A8242" s="5" t="str">
        <x:v>餲</x:v>
      </x:c>
      <x:c r="B8242" s="6" t="str"/>
      <x:c r="C8242" s="6" t="str">
        <x:f>IF(B8242="","Needs decision","Ready")</x:f>
        <x:v>Needs decision</x:v>
      </x:c>
      <x:c r="D8242" s="6" t="str">
        <x:v>去/入</x:v>
      </x:c>
      <x:c r="E8242" s="6" t="str"/>
      <x:c r="F8242" s="6" t="str">
        <x:v>去聲十卦; 入聲七曷</x:v>
      </x:c>
      <x:c r="G8242" s="6" t="str">
        <x:v>Pingshui main list, Wikisource-derived DOCX</x:v>
      </x:c>
      <x:c r="H8242" s="6" t="str"/>
      <x:c r="I8242" s="6" t="str">
        <x:v>Pingshui main-list expansion; 詞 entries ignored</x:v>
      </x:c>
      <x:c r="J8242" s="6" t="str">
        <x:f>IF(B8242="","",IF(AND(ISNUMBER(SEARCH("平",B8242)),OR(ISNUMBER(SEARCH("上",B8242)),ISNUMBER(SEARCH("去",B8242)),ISNUMBER(SEARCH("入",B8242)))),"Ambiguous",IF(ISNUMBER(SEARCH("平",B8242)),"平","仄")))</x:f>
      </x:c>
      <x:c r="K8242" s="6" t="str">
        <x:f>IF(D8242="","",IF(AND(ISNUMBER(SEARCH("平",D8242)),OR(ISNUMBER(SEARCH("上",D8242)),ISNUMBER(SEARCH("去",D8242)),ISNUMBER(SEARCH("入",D8242)))),"Ambiguous",IF(ISNUMBER(SEARCH("平",D8242)),"平","仄")))</x:f>
        <x:v>仄</x:v>
      </x:c>
      <x:c r="L8242" s="7" t="str">
        <x:v>Pingshui main list expansion</x:v>
      </x:c>
    </x:row>
    <x:row r="8243">
      <x:c r="A8243" s="5" t="str">
        <x:v>餾</x:v>
      </x:c>
      <x:c r="B8243" s="6" t="str">
        <x:v>去</x:v>
      </x:c>
      <x:c r="C8243" s="6" t="str">
        <x:f>IF(B8243="","Needs decision","Ready")</x:f>
        <x:v>Ready</x:v>
      </x:c>
      <x:c r="D8243" s="6" t="str">
        <x:v>去</x:v>
      </x:c>
      <x:c r="E8243" s="6" t="str"/>
      <x:c r="F8243" s="6" t="str">
        <x:v>去聲二十六宥</x:v>
      </x:c>
      <x:c r="G8243" s="6" t="str">
        <x:v>Pingshui main list, Wikisource-derived DOCX</x:v>
      </x:c>
      <x:c r="H8243" s="6" t="str"/>
      <x:c r="I8243" s="6" t="str">
        <x:v>Pingshui main-list expansion; 詞 entries ignored</x:v>
      </x:c>
      <x:c r="J8243" s="6" t="str">
        <x:f>IF(B8243="","",IF(AND(ISNUMBER(SEARCH("平",B8243)),OR(ISNUMBER(SEARCH("上",B8243)),ISNUMBER(SEARCH("去",B8243)),ISNUMBER(SEARCH("入",B8243)))),"Ambiguous",IF(ISNUMBER(SEARCH("平",B8243)),"平","仄")))</x:f>
        <x:v>仄</x:v>
      </x:c>
      <x:c r="K8243" s="6" t="str">
        <x:f>IF(D8243="","",IF(AND(ISNUMBER(SEARCH("平",D8243)),OR(ISNUMBER(SEARCH("上",D8243)),ISNUMBER(SEARCH("去",D8243)),ISNUMBER(SEARCH("入",D8243)))),"Ambiguous",IF(ISNUMBER(SEARCH("平",D8243)),"平","仄")))</x:f>
        <x:v>仄</x:v>
      </x:c>
      <x:c r="L8243" s="7" t="str">
        <x:v>Pingshui main list expansion</x:v>
      </x:c>
    </x:row>
    <x:row r="8244">
      <x:c r="A8244" s="5" t="str">
        <x:v>饅</x:v>
      </x:c>
      <x:c r="B8244" s="6" t="str">
        <x:v>平</x:v>
      </x:c>
      <x:c r="C8244" s="6" t="str">
        <x:f>IF(B8244="","Needs decision","Ready")</x:f>
        <x:v>Ready</x:v>
      </x:c>
      <x:c r="D8244" s="6" t="str">
        <x:v>平</x:v>
      </x:c>
      <x:c r="E8244" s="6" t="str"/>
      <x:c r="F8244" s="6" t="str">
        <x:v>上平聲十四寒</x:v>
      </x:c>
      <x:c r="G8244" s="6" t="str">
        <x:v>Pingshui main list, Wikisource-derived DOCX</x:v>
      </x:c>
      <x:c r="H8244" s="6" t="str"/>
      <x:c r="I8244" s="6" t="str">
        <x:v>Pingshui main-list expansion; 詞 entries ignored</x:v>
      </x:c>
      <x:c r="J8244" s="6" t="str">
        <x:f>IF(B8244="","",IF(AND(ISNUMBER(SEARCH("平",B8244)),OR(ISNUMBER(SEARCH("上",B8244)),ISNUMBER(SEARCH("去",B8244)),ISNUMBER(SEARCH("入",B8244)))),"Ambiguous",IF(ISNUMBER(SEARCH("平",B8244)),"平","仄")))</x:f>
        <x:v>平</x:v>
      </x:c>
      <x:c r="K8244" s="6" t="str">
        <x:f>IF(D8244="","",IF(AND(ISNUMBER(SEARCH("平",D8244)),OR(ISNUMBER(SEARCH("上",D8244)),ISNUMBER(SEARCH("去",D8244)),ISNUMBER(SEARCH("入",D8244)))),"Ambiguous",IF(ISNUMBER(SEARCH("平",D8244)),"平","仄")))</x:f>
        <x:v>平</x:v>
      </x:c>
      <x:c r="L8244" s="7" t="str">
        <x:v>Pingshui main list expansion</x:v>
      </x:c>
    </x:row>
    <x:row r="8245">
      <x:c r="A8245" s="5" t="str">
        <x:v>饇</x:v>
      </x:c>
      <x:c r="B8245" s="6" t="str">
        <x:v>去</x:v>
      </x:c>
      <x:c r="C8245" s="6" t="str">
        <x:f>IF(B8245="","Needs decision","Ready")</x:f>
        <x:v>Ready</x:v>
      </x:c>
      <x:c r="D8245" s="6" t="str">
        <x:v>去</x:v>
      </x:c>
      <x:c r="E8245" s="6" t="str"/>
      <x:c r="F8245" s="6" t="str">
        <x:v>去聲七遇</x:v>
      </x:c>
      <x:c r="G8245" s="6" t="str">
        <x:v>Pingshui main list, Wikisource-derived DOCX</x:v>
      </x:c>
      <x:c r="H8245" s="6" t="str"/>
      <x:c r="I8245" s="6" t="str">
        <x:v>Pingshui main-list expansion; 詞 entries ignored</x:v>
      </x:c>
      <x:c r="J8245" s="6" t="str">
        <x:f>IF(B8245="","",IF(AND(ISNUMBER(SEARCH("平",B8245)),OR(ISNUMBER(SEARCH("上",B8245)),ISNUMBER(SEARCH("去",B8245)),ISNUMBER(SEARCH("入",B8245)))),"Ambiguous",IF(ISNUMBER(SEARCH("平",B8245)),"平","仄")))</x:f>
        <x:v>仄</x:v>
      </x:c>
      <x:c r="K8245" s="6" t="str">
        <x:f>IF(D8245="","",IF(AND(ISNUMBER(SEARCH("平",D8245)),OR(ISNUMBER(SEARCH("上",D8245)),ISNUMBER(SEARCH("去",D8245)),ISNUMBER(SEARCH("入",D8245)))),"Ambiguous",IF(ISNUMBER(SEARCH("平",D8245)),"平","仄")))</x:f>
        <x:v>仄</x:v>
      </x:c>
      <x:c r="L8245" s="7" t="str">
        <x:v>Pingshui main list expansion</x:v>
      </x:c>
    </x:row>
    <x:row r="8246">
      <x:c r="A8246" s="5" t="str">
        <x:v>饎</x:v>
      </x:c>
      <x:c r="B8246" s="6" t="str">
        <x:v>去</x:v>
      </x:c>
      <x:c r="C8246" s="6" t="str">
        <x:f>IF(B8246="","Needs decision","Ready")</x:f>
        <x:v>Ready</x:v>
      </x:c>
      <x:c r="D8246" s="6" t="str">
        <x:v>去</x:v>
      </x:c>
      <x:c r="E8246" s="6" t="str"/>
      <x:c r="F8246" s="6" t="str">
        <x:v>去聲四寘</x:v>
      </x:c>
      <x:c r="G8246" s="6" t="str">
        <x:v>Pingshui main list, Wikisource-derived DOCX</x:v>
      </x:c>
      <x:c r="H8246" s="6" t="str"/>
      <x:c r="I8246" s="6" t="str">
        <x:v>Pingshui main-list expansion; 詞 entries ignored</x:v>
      </x:c>
      <x:c r="J8246" s="6" t="str">
        <x:f>IF(B8246="","",IF(AND(ISNUMBER(SEARCH("平",B8246)),OR(ISNUMBER(SEARCH("上",B8246)),ISNUMBER(SEARCH("去",B8246)),ISNUMBER(SEARCH("入",B8246)))),"Ambiguous",IF(ISNUMBER(SEARCH("平",B8246)),"平","仄")))</x:f>
        <x:v>仄</x:v>
      </x:c>
      <x:c r="K8246" s="6" t="str">
        <x:f>IF(D8246="","",IF(AND(ISNUMBER(SEARCH("平",D8246)),OR(ISNUMBER(SEARCH("上",D8246)),ISNUMBER(SEARCH("去",D8246)),ISNUMBER(SEARCH("入",D8246)))),"Ambiguous",IF(ISNUMBER(SEARCH("平",D8246)),"平","仄")))</x:f>
        <x:v>仄</x:v>
      </x:c>
      <x:c r="L8246" s="7" t="str">
        <x:v>Pingshui main list expansion</x:v>
      </x:c>
    </x:row>
    <x:row r="8247">
      <x:c r="A8247" s="5" t="str">
        <x:v>饛</x:v>
      </x:c>
      <x:c r="B8247" s="6" t="str">
        <x:v>平</x:v>
      </x:c>
      <x:c r="C8247" s="6" t="str">
        <x:f>IF(B8247="","Needs decision","Ready")</x:f>
        <x:v>Ready</x:v>
      </x:c>
      <x:c r="D8247" s="6" t="str">
        <x:v>平</x:v>
      </x:c>
      <x:c r="E8247" s="6" t="str"/>
      <x:c r="F8247" s="6" t="str">
        <x:v>上平聲一東</x:v>
      </x:c>
      <x:c r="G8247" s="6" t="str">
        <x:v>Pingshui main list, Wikisource-derived DOCX</x:v>
      </x:c>
      <x:c r="H8247" s="6" t="str"/>
      <x:c r="I8247" s="6" t="str">
        <x:v>Pingshui main-list expansion; 詞 entries ignored</x:v>
      </x:c>
      <x:c r="J8247" s="6" t="str">
        <x:f>IF(B8247="","",IF(AND(ISNUMBER(SEARCH("平",B8247)),OR(ISNUMBER(SEARCH("上",B8247)),ISNUMBER(SEARCH("去",B8247)),ISNUMBER(SEARCH("入",B8247)))),"Ambiguous",IF(ISNUMBER(SEARCH("平",B8247)),"平","仄")))</x:f>
        <x:v>平</x:v>
      </x:c>
      <x:c r="K8247" s="6" t="str">
        <x:f>IF(D8247="","",IF(AND(ISNUMBER(SEARCH("平",D8247)),OR(ISNUMBER(SEARCH("上",D8247)),ISNUMBER(SEARCH("去",D8247)),ISNUMBER(SEARCH("入",D8247)))),"Ambiguous",IF(ISNUMBER(SEARCH("平",D8247)),"平","仄")))</x:f>
        <x:v>平</x:v>
      </x:c>
      <x:c r="L8247" s="7" t="str">
        <x:v>Pingshui main list expansion</x:v>
      </x:c>
    </x:row>
    <x:row r="8248">
      <x:c r="A8248" s="5" t="str">
        <x:v>饞</x:v>
      </x:c>
      <x:c r="B8248" s="6" t="str">
        <x:v>平</x:v>
      </x:c>
      <x:c r="C8248" s="6" t="str">
        <x:f>IF(B8248="","Needs decision","Ready")</x:f>
        <x:v>Ready</x:v>
      </x:c>
      <x:c r="D8248" s="6" t="str">
        <x:v>平</x:v>
      </x:c>
      <x:c r="E8248" s="6" t="str"/>
      <x:c r="F8248" s="6" t="str">
        <x:v>下平聲十五咸</x:v>
      </x:c>
      <x:c r="G8248" s="6" t="str">
        <x:v>Pingshui main list, Wikisource-derived DOCX</x:v>
      </x:c>
      <x:c r="H8248" s="6" t="str"/>
      <x:c r="I8248" s="6" t="str">
        <x:v>Pingshui main-list expansion; 詞 entries ignored</x:v>
      </x:c>
      <x:c r="J8248" s="6" t="str">
        <x:f>IF(B8248="","",IF(AND(ISNUMBER(SEARCH("平",B8248)),OR(ISNUMBER(SEARCH("上",B8248)),ISNUMBER(SEARCH("去",B8248)),ISNUMBER(SEARCH("入",B8248)))),"Ambiguous",IF(ISNUMBER(SEARCH("平",B8248)),"平","仄")))</x:f>
        <x:v>平</x:v>
      </x:c>
      <x:c r="K8248" s="6" t="str">
        <x:f>IF(D8248="","",IF(AND(ISNUMBER(SEARCH("平",D8248)),OR(ISNUMBER(SEARCH("上",D8248)),ISNUMBER(SEARCH("去",D8248)),ISNUMBER(SEARCH("入",D8248)))),"Ambiguous",IF(ISNUMBER(SEARCH("平",D8248)),"平","仄")))</x:f>
        <x:v>平</x:v>
      </x:c>
      <x:c r="L8248" s="7" t="str">
        <x:v>Pingshui main list expansion</x:v>
      </x:c>
    </x:row>
    <x:row r="8249">
      <x:c r="A8249" s="5" t="str">
        <x:v>馞</x:v>
      </x:c>
      <x:c r="B8249" s="6" t="str">
        <x:v>入</x:v>
      </x:c>
      <x:c r="C8249" s="6" t="str">
        <x:f>IF(B8249="","Needs decision","Ready")</x:f>
        <x:v>Ready</x:v>
      </x:c>
      <x:c r="D8249" s="6" t="str">
        <x:v>入</x:v>
      </x:c>
      <x:c r="E8249" s="6" t="str"/>
      <x:c r="F8249" s="6" t="str">
        <x:v>入聲六月</x:v>
      </x:c>
      <x:c r="G8249" s="6" t="str">
        <x:v>Pingshui main list, Wikisource-derived DOCX</x:v>
      </x:c>
      <x:c r="H8249" s="6" t="str"/>
      <x:c r="I8249" s="6" t="str">
        <x:v>Pingshui main-list expansion; 詞 entries ignored</x:v>
      </x:c>
      <x:c r="J8249" s="6" t="str">
        <x:f>IF(B8249="","",IF(AND(ISNUMBER(SEARCH("平",B8249)),OR(ISNUMBER(SEARCH("上",B8249)),ISNUMBER(SEARCH("去",B8249)),ISNUMBER(SEARCH("入",B8249)))),"Ambiguous",IF(ISNUMBER(SEARCH("平",B8249)),"平","仄")))</x:f>
        <x:v>仄</x:v>
      </x:c>
      <x:c r="K8249" s="6" t="str">
        <x:f>IF(D8249="","",IF(AND(ISNUMBER(SEARCH("平",D8249)),OR(ISNUMBER(SEARCH("上",D8249)),ISNUMBER(SEARCH("去",D8249)),ISNUMBER(SEARCH("入",D8249)))),"Ambiguous",IF(ISNUMBER(SEARCH("平",D8249)),"平","仄")))</x:f>
        <x:v>仄</x:v>
      </x:c>
      <x:c r="L8249" s="7" t="str">
        <x:v>Pingshui main list expansion</x:v>
      </x:c>
    </x:row>
    <x:row r="8250">
      <x:c r="A8250" s="5" t="str">
        <x:v>馡</x:v>
      </x:c>
      <x:c r="B8250" s="6" t="str">
        <x:v>平</x:v>
      </x:c>
      <x:c r="C8250" s="6" t="str">
        <x:f>IF(B8250="","Needs decision","Ready")</x:f>
        <x:v>Ready</x:v>
      </x:c>
      <x:c r="D8250" s="6" t="str">
        <x:v>平</x:v>
      </x:c>
      <x:c r="E8250" s="6" t="str"/>
      <x:c r="F8250" s="6" t="str">
        <x:v>上平聲五微</x:v>
      </x:c>
      <x:c r="G8250" s="6" t="str">
        <x:v>Pingshui main list, Wikisource-derived DOCX</x:v>
      </x:c>
      <x:c r="H8250" s="6" t="str"/>
      <x:c r="I8250" s="6" t="str">
        <x:v>Pingshui main-list expansion; 詞 entries ignored</x:v>
      </x:c>
      <x:c r="J8250" s="6" t="str">
        <x:f>IF(B8250="","",IF(AND(ISNUMBER(SEARCH("平",B8250)),OR(ISNUMBER(SEARCH("上",B8250)),ISNUMBER(SEARCH("去",B8250)),ISNUMBER(SEARCH("入",B8250)))),"Ambiguous",IF(ISNUMBER(SEARCH("平",B8250)),"平","仄")))</x:f>
        <x:v>平</x:v>
      </x:c>
      <x:c r="K8250" s="6" t="str">
        <x:f>IF(D8250="","",IF(AND(ISNUMBER(SEARCH("平",D8250)),OR(ISNUMBER(SEARCH("上",D8250)),ISNUMBER(SEARCH("去",D8250)),ISNUMBER(SEARCH("入",D8250)))),"Ambiguous",IF(ISNUMBER(SEARCH("平",D8250)),"平","仄")))</x:f>
        <x:v>平</x:v>
      </x:c>
      <x:c r="L8250" s="7" t="str">
        <x:v>Pingshui main list expansion</x:v>
      </x:c>
    </x:row>
    <x:row r="8251">
      <x:c r="A8251" s="5" t="str">
        <x:v>馣</x:v>
      </x:c>
      <x:c r="B8251" s="6" t="str">
        <x:v>平</x:v>
      </x:c>
      <x:c r="C8251" s="6" t="str">
        <x:f>IF(B8251="","Needs decision","Ready")</x:f>
        <x:v>Ready</x:v>
      </x:c>
      <x:c r="D8251" s="6" t="str">
        <x:v>平</x:v>
      </x:c>
      <x:c r="E8251" s="6" t="str"/>
      <x:c r="F8251" s="6" t="str">
        <x:v>下平聲十三覃</x:v>
      </x:c>
      <x:c r="G8251" s="6" t="str">
        <x:v>Pingshui main list, Wikisource-derived DOCX</x:v>
      </x:c>
      <x:c r="H8251" s="6" t="str"/>
      <x:c r="I8251" s="6" t="str">
        <x:v>Pingshui main-list expansion; 詞 entries ignored</x:v>
      </x:c>
      <x:c r="J8251" s="6" t="str">
        <x:f>IF(B8251="","",IF(AND(ISNUMBER(SEARCH("平",B8251)),OR(ISNUMBER(SEARCH("上",B8251)),ISNUMBER(SEARCH("去",B8251)),ISNUMBER(SEARCH("入",B8251)))),"Ambiguous",IF(ISNUMBER(SEARCH("平",B8251)),"平","仄")))</x:f>
        <x:v>平</x:v>
      </x:c>
      <x:c r="K8251" s="6" t="str">
        <x:f>IF(D8251="","",IF(AND(ISNUMBER(SEARCH("平",D8251)),OR(ISNUMBER(SEARCH("上",D8251)),ISNUMBER(SEARCH("去",D8251)),ISNUMBER(SEARCH("入",D8251)))),"Ambiguous",IF(ISNUMBER(SEARCH("平",D8251)),"平","仄")))</x:f>
        <x:v>平</x:v>
      </x:c>
      <x:c r="L8251" s="7" t="str">
        <x:v>Pingshui main list expansion</x:v>
      </x:c>
    </x:row>
    <x:row r="8252">
      <x:c r="A8252" s="5" t="str">
        <x:v>馰</x:v>
      </x:c>
      <x:c r="B8252" s="6" t="str">
        <x:v>入</x:v>
      </x:c>
      <x:c r="C8252" s="6" t="str">
        <x:f>IF(B8252="","Needs decision","Ready")</x:f>
        <x:v>Ready</x:v>
      </x:c>
      <x:c r="D8252" s="6" t="str">
        <x:v>入</x:v>
      </x:c>
      <x:c r="E8252" s="6" t="str"/>
      <x:c r="F8252" s="6" t="str">
        <x:v>入聲十二錫</x:v>
      </x:c>
      <x:c r="G8252" s="6" t="str">
        <x:v>Pingshui main list, Wikisource-derived DOCX</x:v>
      </x:c>
      <x:c r="H8252" s="6" t="str"/>
      <x:c r="I8252" s="6" t="str">
        <x:v>Pingshui main-list expansion; 詞 entries ignored</x:v>
      </x:c>
      <x:c r="J8252" s="6" t="str">
        <x:f>IF(B8252="","",IF(AND(ISNUMBER(SEARCH("平",B8252)),OR(ISNUMBER(SEARCH("上",B8252)),ISNUMBER(SEARCH("去",B8252)),ISNUMBER(SEARCH("入",B8252)))),"Ambiguous",IF(ISNUMBER(SEARCH("平",B8252)),"平","仄")))</x:f>
        <x:v>仄</x:v>
      </x:c>
      <x:c r="K8252" s="6" t="str">
        <x:f>IF(D8252="","",IF(AND(ISNUMBER(SEARCH("平",D8252)),OR(ISNUMBER(SEARCH("上",D8252)),ISNUMBER(SEARCH("去",D8252)),ISNUMBER(SEARCH("入",D8252)))),"Ambiguous",IF(ISNUMBER(SEARCH("平",D8252)),"平","仄")))</x:f>
        <x:v>仄</x:v>
      </x:c>
      <x:c r="L8252" s="7" t="str">
        <x:v>Pingshui main list expansion</x:v>
      </x:c>
    </x:row>
    <x:row r="8253">
      <x:c r="A8253" s="5" t="str">
        <x:v>馹</x:v>
      </x:c>
      <x:c r="B8253" s="6" t="str">
        <x:v>入</x:v>
      </x:c>
      <x:c r="C8253" s="6" t="str">
        <x:f>IF(B8253="","Needs decision","Ready")</x:f>
        <x:v>Ready</x:v>
      </x:c>
      <x:c r="D8253" s="6" t="str">
        <x:v>入</x:v>
      </x:c>
      <x:c r="E8253" s="6" t="str"/>
      <x:c r="F8253" s="6" t="str">
        <x:v>入聲四質</x:v>
      </x:c>
      <x:c r="G8253" s="6" t="str">
        <x:v>Pingshui main list, Wikisource-derived DOCX</x:v>
      </x:c>
      <x:c r="H8253" s="6" t="str"/>
      <x:c r="I8253" s="6" t="str">
        <x:v>Pingshui main-list expansion; 詞 entries ignored</x:v>
      </x:c>
      <x:c r="J8253" s="6" t="str">
        <x:f>IF(B8253="","",IF(AND(ISNUMBER(SEARCH("平",B8253)),OR(ISNUMBER(SEARCH("上",B8253)),ISNUMBER(SEARCH("去",B8253)),ISNUMBER(SEARCH("入",B8253)))),"Ambiguous",IF(ISNUMBER(SEARCH("平",B8253)),"平","仄")))</x:f>
        <x:v>仄</x:v>
      </x:c>
      <x:c r="K8253" s="6" t="str">
        <x:f>IF(D8253="","",IF(AND(ISNUMBER(SEARCH("平",D8253)),OR(ISNUMBER(SEARCH("上",D8253)),ISNUMBER(SEARCH("去",D8253)),ISNUMBER(SEARCH("入",D8253)))),"Ambiguous",IF(ISNUMBER(SEARCH("平",D8253)),"平","仄")))</x:f>
        <x:v>仄</x:v>
      </x:c>
      <x:c r="L8253" s="7" t="str">
        <x:v>Pingshui main list expansion</x:v>
      </x:c>
    </x:row>
    <x:row r="8254">
      <x:c r="A8254" s="5" t="str">
        <x:v>馺</x:v>
      </x:c>
      <x:c r="B8254" s="6" t="str">
        <x:v>入</x:v>
      </x:c>
      <x:c r="C8254" s="6" t="str">
        <x:f>IF(B8254="","Needs decision","Ready")</x:f>
        <x:v>Ready</x:v>
      </x:c>
      <x:c r="D8254" s="6" t="str">
        <x:v>入</x:v>
      </x:c>
      <x:c r="E8254" s="6" t="str"/>
      <x:c r="F8254" s="6" t="str">
        <x:v>入聲十五合</x:v>
      </x:c>
      <x:c r="G8254" s="6" t="str">
        <x:v>Pingshui main list, Wikisource-derived DOCX</x:v>
      </x:c>
      <x:c r="H8254" s="6" t="str"/>
      <x:c r="I8254" s="6" t="str">
        <x:v>Pingshui main-list expansion; 詞 entries ignored</x:v>
      </x:c>
      <x:c r="J8254" s="6" t="str">
        <x:f>IF(B8254="","",IF(AND(ISNUMBER(SEARCH("平",B8254)),OR(ISNUMBER(SEARCH("上",B8254)),ISNUMBER(SEARCH("去",B8254)),ISNUMBER(SEARCH("入",B8254)))),"Ambiguous",IF(ISNUMBER(SEARCH("平",B8254)),"平","仄")))</x:f>
        <x:v>仄</x:v>
      </x:c>
      <x:c r="K8254" s="6" t="str">
        <x:f>IF(D8254="","",IF(AND(ISNUMBER(SEARCH("平",D8254)),OR(ISNUMBER(SEARCH("上",D8254)),ISNUMBER(SEARCH("去",D8254)),ISNUMBER(SEARCH("入",D8254)))),"Ambiguous",IF(ISNUMBER(SEARCH("平",D8254)),"平","仄")))</x:f>
        <x:v>仄</x:v>
      </x:c>
      <x:c r="L8254" s="7" t="str">
        <x:v>Pingshui main list expansion</x:v>
      </x:c>
    </x:row>
    <x:row r="8255">
      <x:c r="A8255" s="5" t="str">
        <x:v>駉</x:v>
      </x:c>
      <x:c r="B8255" s="6" t="str">
        <x:v>平</x:v>
      </x:c>
      <x:c r="C8255" s="6" t="str">
        <x:f>IF(B8255="","Needs decision","Ready")</x:f>
        <x:v>Ready</x:v>
      </x:c>
      <x:c r="D8255" s="6" t="str">
        <x:v>平</x:v>
      </x:c>
      <x:c r="E8255" s="6" t="str"/>
      <x:c r="F8255" s="6" t="str">
        <x:v>下平聲九青</x:v>
      </x:c>
      <x:c r="G8255" s="6" t="str">
        <x:v>Pingshui main list, Wikisource-derived DOCX</x:v>
      </x:c>
      <x:c r="H8255" s="6" t="str"/>
      <x:c r="I8255" s="6" t="str">
        <x:v>Pingshui main-list expansion; 詞 entries ignored</x:v>
      </x:c>
      <x:c r="J8255" s="6" t="str">
        <x:f>IF(B8255="","",IF(AND(ISNUMBER(SEARCH("平",B8255)),OR(ISNUMBER(SEARCH("上",B8255)),ISNUMBER(SEARCH("去",B8255)),ISNUMBER(SEARCH("入",B8255)))),"Ambiguous",IF(ISNUMBER(SEARCH("平",B8255)),"平","仄")))</x:f>
        <x:v>平</x:v>
      </x:c>
      <x:c r="K8255" s="6" t="str">
        <x:f>IF(D8255="","",IF(AND(ISNUMBER(SEARCH("平",D8255)),OR(ISNUMBER(SEARCH("上",D8255)),ISNUMBER(SEARCH("去",D8255)),ISNUMBER(SEARCH("入",D8255)))),"Ambiguous",IF(ISNUMBER(SEARCH("平",D8255)),"平","仄")))</x:f>
        <x:v>平</x:v>
      </x:c>
      <x:c r="L8255" s="7" t="str">
        <x:v>Pingshui main list expansion</x:v>
      </x:c>
    </x:row>
    <x:row r="8256">
      <x:c r="A8256" s="5" t="str">
        <x:v>駏</x:v>
      </x:c>
      <x:c r="B8256" s="6" t="str">
        <x:v>上</x:v>
      </x:c>
      <x:c r="C8256" s="6" t="str">
        <x:f>IF(B8256="","Needs decision","Ready")</x:f>
        <x:v>Ready</x:v>
      </x:c>
      <x:c r="D8256" s="6" t="str">
        <x:v>上</x:v>
      </x:c>
      <x:c r="E8256" s="6" t="str"/>
      <x:c r="F8256" s="6" t="str">
        <x:v>上聲六語</x:v>
      </x:c>
      <x:c r="G8256" s="6" t="str">
        <x:v>Pingshui main list, Wikisource-derived DOCX</x:v>
      </x:c>
      <x:c r="H8256" s="6" t="str"/>
      <x:c r="I8256" s="6" t="str">
        <x:v>Pingshui main-list expansion; 詞 entries ignored</x:v>
      </x:c>
      <x:c r="J8256" s="6" t="str">
        <x:f>IF(B8256="","",IF(AND(ISNUMBER(SEARCH("平",B8256)),OR(ISNUMBER(SEARCH("上",B8256)),ISNUMBER(SEARCH("去",B8256)),ISNUMBER(SEARCH("入",B8256)))),"Ambiguous",IF(ISNUMBER(SEARCH("平",B8256)),"平","仄")))</x:f>
        <x:v>仄</x:v>
      </x:c>
      <x:c r="K8256" s="6" t="str">
        <x:f>IF(D8256="","",IF(AND(ISNUMBER(SEARCH("平",D8256)),OR(ISNUMBER(SEARCH("上",D8256)),ISNUMBER(SEARCH("去",D8256)),ISNUMBER(SEARCH("入",D8256)))),"Ambiguous",IF(ISNUMBER(SEARCH("平",D8256)),"平","仄")))</x:f>
        <x:v>仄</x:v>
      </x:c>
      <x:c r="L8256" s="7" t="str">
        <x:v>Pingshui main list expansion</x:v>
      </x:c>
    </x:row>
    <x:row r="8257">
      <x:c r="A8257" s="5" t="str">
        <x:v>駔</x:v>
      </x:c>
      <x:c r="B8257" s="6" t="str">
        <x:v>上</x:v>
      </x:c>
      <x:c r="C8257" s="6" t="str">
        <x:f>IF(B8257="","Needs decision","Ready")</x:f>
        <x:v>Ready</x:v>
      </x:c>
      <x:c r="D8257" s="6" t="str">
        <x:v>上</x:v>
      </x:c>
      <x:c r="E8257" s="6" t="str"/>
      <x:c r="F8257" s="6" t="str">
        <x:v>上聲二十二養</x:v>
      </x:c>
      <x:c r="G8257" s="6" t="str">
        <x:v>Pingshui main list, Wikisource-derived DOCX</x:v>
      </x:c>
      <x:c r="H8257" s="6" t="str"/>
      <x:c r="I8257" s="6" t="str">
        <x:v>Pingshui main-list expansion; 詞 entries ignored</x:v>
      </x:c>
      <x:c r="J8257" s="6" t="str">
        <x:f>IF(B8257="","",IF(AND(ISNUMBER(SEARCH("平",B8257)),OR(ISNUMBER(SEARCH("上",B8257)),ISNUMBER(SEARCH("去",B8257)),ISNUMBER(SEARCH("入",B8257)))),"Ambiguous",IF(ISNUMBER(SEARCH("平",B8257)),"平","仄")))</x:f>
        <x:v>仄</x:v>
      </x:c>
      <x:c r="K8257" s="6" t="str">
        <x:f>IF(D8257="","",IF(AND(ISNUMBER(SEARCH("平",D8257)),OR(ISNUMBER(SEARCH("上",D8257)),ISNUMBER(SEARCH("去",D8257)),ISNUMBER(SEARCH("入",D8257)))),"Ambiguous",IF(ISNUMBER(SEARCH("平",D8257)),"平","仄")))</x:f>
        <x:v>仄</x:v>
      </x:c>
      <x:c r="L8257" s="7" t="str">
        <x:v>Pingshui main list expansion</x:v>
      </x:c>
    </x:row>
    <x:row r="8258">
      <x:c r="A8258" s="5" t="str">
        <x:v>駣</x:v>
      </x:c>
      <x:c r="B8258" s="6" t="str">
        <x:v>上</x:v>
      </x:c>
      <x:c r="C8258" s="6" t="str">
        <x:f>IF(B8258="","Needs decision","Ready")</x:f>
        <x:v>Ready</x:v>
      </x:c>
      <x:c r="D8258" s="6" t="str">
        <x:v>上</x:v>
      </x:c>
      <x:c r="E8258" s="6" t="str"/>
      <x:c r="F8258" s="6" t="str">
        <x:v>上聲十七篠; 上聲十九皓</x:v>
      </x:c>
      <x:c r="G8258" s="6" t="str">
        <x:v>Pingshui main list, Wikisource-derived DOCX</x:v>
      </x:c>
      <x:c r="H8258" s="6" t="str"/>
      <x:c r="I8258" s="6" t="str">
        <x:v>Pingshui main-list expansion; 詞 entries ignored</x:v>
      </x:c>
      <x:c r="J8258" s="6" t="str">
        <x:f>IF(B8258="","",IF(AND(ISNUMBER(SEARCH("平",B8258)),OR(ISNUMBER(SEARCH("上",B8258)),ISNUMBER(SEARCH("去",B8258)),ISNUMBER(SEARCH("入",B8258)))),"Ambiguous",IF(ISNUMBER(SEARCH("平",B8258)),"平","仄")))</x:f>
        <x:v>仄</x:v>
      </x:c>
      <x:c r="K8258" s="6" t="str">
        <x:f>IF(D8258="","",IF(AND(ISNUMBER(SEARCH("平",D8258)),OR(ISNUMBER(SEARCH("上",D8258)),ISNUMBER(SEARCH("去",D8258)),ISNUMBER(SEARCH("入",D8258)))),"Ambiguous",IF(ISNUMBER(SEARCH("平",D8258)),"平","仄")))</x:f>
        <x:v>仄</x:v>
      </x:c>
      <x:c r="L8258" s="7" t="str">
        <x:v>Pingshui main list expansion</x:v>
      </x:c>
    </x:row>
    <x:row r="8259">
      <x:c r="A8259" s="5" t="str">
        <x:v>駥</x:v>
      </x:c>
      <x:c r="B8259" s="6" t="str">
        <x:v>平</x:v>
      </x:c>
      <x:c r="C8259" s="6" t="str">
        <x:f>IF(B8259="","Needs decision","Ready")</x:f>
        <x:v>Ready</x:v>
      </x:c>
      <x:c r="D8259" s="6" t="str">
        <x:v>平</x:v>
      </x:c>
      <x:c r="E8259" s="6" t="str"/>
      <x:c r="F8259" s="6" t="str">
        <x:v>上平聲一東</x:v>
      </x:c>
      <x:c r="G8259" s="6" t="str">
        <x:v>Pingshui main list, Wikisource-derived DOCX</x:v>
      </x:c>
      <x:c r="H8259" s="6" t="str"/>
      <x:c r="I8259" s="6" t="str">
        <x:v>Pingshui main-list expansion; 詞 entries ignored</x:v>
      </x:c>
      <x:c r="J8259" s="6" t="str">
        <x:f>IF(B8259="","",IF(AND(ISNUMBER(SEARCH("平",B8259)),OR(ISNUMBER(SEARCH("上",B8259)),ISNUMBER(SEARCH("去",B8259)),ISNUMBER(SEARCH("入",B8259)))),"Ambiguous",IF(ISNUMBER(SEARCH("平",B8259)),"平","仄")))</x:f>
        <x:v>平</x:v>
      </x:c>
      <x:c r="K8259" s="6" t="str">
        <x:f>IF(D8259="","",IF(AND(ISNUMBER(SEARCH("平",D8259)),OR(ISNUMBER(SEARCH("上",D8259)),ISNUMBER(SEARCH("去",D8259)),ISNUMBER(SEARCH("入",D8259)))),"Ambiguous",IF(ISNUMBER(SEARCH("平",D8259)),"平","仄")))</x:f>
        <x:v>平</x:v>
      </x:c>
      <x:c r="L8259" s="7" t="str">
        <x:v>Pingshui main list expansion</x:v>
      </x:c>
    </x:row>
    <x:row r="8260">
      <x:c r="A8260" s="5" t="str">
        <x:v>駩</x:v>
      </x:c>
      <x:c r="B8260" s="6" t="str">
        <x:v>平</x:v>
      </x:c>
      <x:c r="C8260" s="6" t="str">
        <x:f>IF(B8260="","Needs decision","Ready")</x:f>
        <x:v>Ready</x:v>
      </x:c>
      <x:c r="D8260" s="6" t="str">
        <x:v>平</x:v>
      </x:c>
      <x:c r="E8260" s="6" t="str"/>
      <x:c r="F8260" s="6" t="str">
        <x:v>下平聲一先</x:v>
      </x:c>
      <x:c r="G8260" s="6" t="str">
        <x:v>Pingshui main list, Wikisource-derived DOCX</x:v>
      </x:c>
      <x:c r="H8260" s="6" t="str"/>
      <x:c r="I8260" s="6" t="str">
        <x:v>Pingshui main-list expansion; 詞 entries ignored</x:v>
      </x:c>
      <x:c r="J8260" s="6" t="str">
        <x:f>IF(B8260="","",IF(AND(ISNUMBER(SEARCH("平",B8260)),OR(ISNUMBER(SEARCH("上",B8260)),ISNUMBER(SEARCH("去",B8260)),ISNUMBER(SEARCH("入",B8260)))),"Ambiguous",IF(ISNUMBER(SEARCH("平",B8260)),"平","仄")))</x:f>
        <x:v>平</x:v>
      </x:c>
      <x:c r="K8260" s="6" t="str">
        <x:f>IF(D8260="","",IF(AND(ISNUMBER(SEARCH("平",D8260)),OR(ISNUMBER(SEARCH("上",D8260)),ISNUMBER(SEARCH("去",D8260)),ISNUMBER(SEARCH("入",D8260)))),"Ambiguous",IF(ISNUMBER(SEARCH("平",D8260)),"平","仄")))</x:f>
        <x:v>平</x:v>
      </x:c>
      <x:c r="L8260" s="7" t="str">
        <x:v>Pingshui main list expansion</x:v>
      </x:c>
    </x:row>
    <x:row r="8261">
      <x:c r="A8261" s="5" t="str">
        <x:v>駬</x:v>
      </x:c>
      <x:c r="B8261" s="6" t="str">
        <x:v>上</x:v>
      </x:c>
      <x:c r="C8261" s="6" t="str">
        <x:f>IF(B8261="","Needs decision","Ready")</x:f>
        <x:v>Ready</x:v>
      </x:c>
      <x:c r="D8261" s="6" t="str">
        <x:v>上</x:v>
      </x:c>
      <x:c r="E8261" s="6" t="str"/>
      <x:c r="F8261" s="6" t="str">
        <x:v>上聲四紙</x:v>
      </x:c>
      <x:c r="G8261" s="6" t="str">
        <x:v>Pingshui main list, Wikisource-derived DOCX</x:v>
      </x:c>
      <x:c r="H8261" s="6" t="str"/>
      <x:c r="I8261" s="6" t="str">
        <x:v>Pingshui main-list expansion; 詞 entries ignored</x:v>
      </x:c>
      <x:c r="J8261" s="6" t="str">
        <x:f>IF(B8261="","",IF(AND(ISNUMBER(SEARCH("平",B8261)),OR(ISNUMBER(SEARCH("上",B8261)),ISNUMBER(SEARCH("去",B8261)),ISNUMBER(SEARCH("入",B8261)))),"Ambiguous",IF(ISNUMBER(SEARCH("平",B8261)),"平","仄")))</x:f>
        <x:v>仄</x:v>
      </x:c>
      <x:c r="K8261" s="6" t="str">
        <x:f>IF(D8261="","",IF(AND(ISNUMBER(SEARCH("平",D8261)),OR(ISNUMBER(SEARCH("上",D8261)),ISNUMBER(SEARCH("去",D8261)),ISNUMBER(SEARCH("入",D8261)))),"Ambiguous",IF(ISNUMBER(SEARCH("平",D8261)),"平","仄")))</x:f>
        <x:v>仄</x:v>
      </x:c>
      <x:c r="L8261" s="7" t="str">
        <x:v>Pingshui main list expansion</x:v>
      </x:c>
    </x:row>
    <x:row r="8262">
      <x:c r="A8262" s="5" t="str">
        <x:v>駴</x:v>
      </x:c>
      <x:c r="B8262" s="6" t="str">
        <x:v>上</x:v>
      </x:c>
      <x:c r="C8262" s="6" t="str">
        <x:f>IF(B8262="","Needs decision","Ready")</x:f>
        <x:v>Ready</x:v>
      </x:c>
      <x:c r="D8262" s="6" t="str">
        <x:v>上</x:v>
      </x:c>
      <x:c r="E8262" s="6" t="str"/>
      <x:c r="F8262" s="6" t="str">
        <x:v>上聲九蟹</x:v>
      </x:c>
      <x:c r="G8262" s="6" t="str">
        <x:v>Pingshui main list, Wikisource-derived DOCX</x:v>
      </x:c>
      <x:c r="H8262" s="6" t="str"/>
      <x:c r="I8262" s="6" t="str">
        <x:v>Pingshui main-list expansion; 詞 entries ignored</x:v>
      </x:c>
      <x:c r="J8262" s="6" t="str">
        <x:f>IF(B8262="","",IF(AND(ISNUMBER(SEARCH("平",B8262)),OR(ISNUMBER(SEARCH("上",B8262)),ISNUMBER(SEARCH("去",B8262)),ISNUMBER(SEARCH("入",B8262)))),"Ambiguous",IF(ISNUMBER(SEARCH("平",B8262)),"平","仄")))</x:f>
        <x:v>仄</x:v>
      </x:c>
      <x:c r="K8262" s="6" t="str">
        <x:f>IF(D8262="","",IF(AND(ISNUMBER(SEARCH("平",D8262)),OR(ISNUMBER(SEARCH("上",D8262)),ISNUMBER(SEARCH("去",D8262)),ISNUMBER(SEARCH("入",D8262)))),"Ambiguous",IF(ISNUMBER(SEARCH("平",D8262)),"平","仄")))</x:f>
        <x:v>仄</x:v>
      </x:c>
      <x:c r="L8262" s="7" t="str">
        <x:v>Pingshui main list expansion</x:v>
      </x:c>
    </x:row>
    <x:row r="8263">
      <x:c r="A8263" s="5" t="str">
        <x:v>駷</x:v>
      </x:c>
      <x:c r="B8263" s="6" t="str">
        <x:v>上</x:v>
      </x:c>
      <x:c r="C8263" s="6" t="str">
        <x:f>IF(B8263="","Needs decision","Ready")</x:f>
        <x:v>Ready</x:v>
      </x:c>
      <x:c r="D8263" s="6" t="str">
        <x:v>上</x:v>
      </x:c>
      <x:c r="E8263" s="6" t="str"/>
      <x:c r="F8263" s="6" t="str">
        <x:v>上聲二腫</x:v>
      </x:c>
      <x:c r="G8263" s="6" t="str">
        <x:v>Pingshui main list, Wikisource-derived DOCX</x:v>
      </x:c>
      <x:c r="H8263" s="6" t="str"/>
      <x:c r="I8263" s="6" t="str">
        <x:v>Pingshui main-list expansion; 詞 entries ignored</x:v>
      </x:c>
      <x:c r="J8263" s="6" t="str">
        <x:f>IF(B8263="","",IF(AND(ISNUMBER(SEARCH("平",B8263)),OR(ISNUMBER(SEARCH("上",B8263)),ISNUMBER(SEARCH("去",B8263)),ISNUMBER(SEARCH("入",B8263)))),"Ambiguous",IF(ISNUMBER(SEARCH("平",B8263)),"平","仄")))</x:f>
        <x:v>仄</x:v>
      </x:c>
      <x:c r="K8263" s="6" t="str">
        <x:f>IF(D8263="","",IF(AND(ISNUMBER(SEARCH("平",D8263)),OR(ISNUMBER(SEARCH("上",D8263)),ISNUMBER(SEARCH("去",D8263)),ISNUMBER(SEARCH("入",D8263)))),"Ambiguous",IF(ISNUMBER(SEARCH("平",D8263)),"平","仄")))</x:f>
        <x:v>仄</x:v>
      </x:c>
      <x:c r="L8263" s="7" t="str">
        <x:v>Pingshui main list expansion</x:v>
      </x:c>
    </x:row>
    <x:row r="8264">
      <x:c r="A8264" s="5" t="str">
        <x:v>騃</x:v>
      </x:c>
      <x:c r="B8264" s="6" t="str">
        <x:v>上</x:v>
      </x:c>
      <x:c r="C8264" s="6" t="str">
        <x:f>IF(B8264="","Needs decision","Ready")</x:f>
        <x:v>Ready</x:v>
      </x:c>
      <x:c r="D8264" s="6" t="str">
        <x:v>上</x:v>
      </x:c>
      <x:c r="E8264" s="6" t="str"/>
      <x:c r="F8264" s="6" t="str">
        <x:v>上聲九蟹</x:v>
      </x:c>
      <x:c r="G8264" s="6" t="str">
        <x:v>Pingshui main list, Wikisource-derived DOCX</x:v>
      </x:c>
      <x:c r="H8264" s="6" t="str"/>
      <x:c r="I8264" s="6" t="str">
        <x:v>Pingshui main-list expansion; 詞 entries ignored</x:v>
      </x:c>
      <x:c r="J8264" s="6" t="str">
        <x:f>IF(B8264="","",IF(AND(ISNUMBER(SEARCH("平",B8264)),OR(ISNUMBER(SEARCH("上",B8264)),ISNUMBER(SEARCH("去",B8264)),ISNUMBER(SEARCH("入",B8264)))),"Ambiguous",IF(ISNUMBER(SEARCH("平",B8264)),"平","仄")))</x:f>
        <x:v>仄</x:v>
      </x:c>
      <x:c r="K8264" s="6" t="str">
        <x:f>IF(D8264="","",IF(AND(ISNUMBER(SEARCH("平",D8264)),OR(ISNUMBER(SEARCH("上",D8264)),ISNUMBER(SEARCH("去",D8264)),ISNUMBER(SEARCH("入",D8264)))),"Ambiguous",IF(ISNUMBER(SEARCH("平",D8264)),"平","仄")))</x:f>
        <x:v>仄</x:v>
      </x:c>
      <x:c r="L8264" s="7" t="str">
        <x:v>Pingshui main list expansion</x:v>
      </x:c>
    </x:row>
    <x:row r="8265">
      <x:c r="A8265" s="5" t="str">
        <x:v>騋</x:v>
      </x:c>
      <x:c r="B8265" s="6" t="str">
        <x:v>平</x:v>
      </x:c>
      <x:c r="C8265" s="6" t="str">
        <x:f>IF(B8265="","Needs decision","Ready")</x:f>
        <x:v>Ready</x:v>
      </x:c>
      <x:c r="D8265" s="6" t="str">
        <x:v>平</x:v>
      </x:c>
      <x:c r="E8265" s="6" t="str"/>
      <x:c r="F8265" s="6" t="str">
        <x:v>上平聲十灰</x:v>
      </x:c>
      <x:c r="G8265" s="6" t="str">
        <x:v>Pingshui main list, Wikisource-derived DOCX</x:v>
      </x:c>
      <x:c r="H8265" s="6" t="str"/>
      <x:c r="I8265" s="6" t="str">
        <x:v>Pingshui main-list expansion; 詞 entries ignored</x:v>
      </x:c>
      <x:c r="J8265" s="6" t="str">
        <x:f>IF(B8265="","",IF(AND(ISNUMBER(SEARCH("平",B8265)),OR(ISNUMBER(SEARCH("上",B8265)),ISNUMBER(SEARCH("去",B8265)),ISNUMBER(SEARCH("入",B8265)))),"Ambiguous",IF(ISNUMBER(SEARCH("平",B8265)),"平","仄")))</x:f>
        <x:v>平</x:v>
      </x:c>
      <x:c r="K8265" s="6" t="str">
        <x:f>IF(D8265="","",IF(AND(ISNUMBER(SEARCH("平",D8265)),OR(ISNUMBER(SEARCH("上",D8265)),ISNUMBER(SEARCH("去",D8265)),ISNUMBER(SEARCH("入",D8265)))),"Ambiguous",IF(ISNUMBER(SEARCH("平",D8265)),"平","仄")))</x:f>
        <x:v>平</x:v>
      </x:c>
      <x:c r="L8265" s="7" t="str">
        <x:v>Pingshui main list expansion</x:v>
      </x:c>
    </x:row>
    <x:row r="8266">
      <x:c r="A8266" s="5" t="str">
        <x:v>騠</x:v>
      </x:c>
      <x:c r="B8266" s="6" t="str">
        <x:v>平</x:v>
      </x:c>
      <x:c r="C8266" s="6" t="str">
        <x:f>IF(B8266="","Needs decision","Ready")</x:f>
        <x:v>Ready</x:v>
      </x:c>
      <x:c r="D8266" s="6" t="str">
        <x:v>平</x:v>
      </x:c>
      <x:c r="E8266" s="6" t="str"/>
      <x:c r="F8266" s="6" t="str">
        <x:v>上平聲八齊</x:v>
      </x:c>
      <x:c r="G8266" s="6" t="str">
        <x:v>Pingshui main list, Wikisource-derived DOCX</x:v>
      </x:c>
      <x:c r="H8266" s="6" t="str"/>
      <x:c r="I8266" s="6" t="str">
        <x:v>Pingshui main-list expansion; 詞 entries ignored</x:v>
      </x:c>
      <x:c r="J8266" s="6" t="str">
        <x:f>IF(B8266="","",IF(AND(ISNUMBER(SEARCH("平",B8266)),OR(ISNUMBER(SEARCH("上",B8266)),ISNUMBER(SEARCH("去",B8266)),ISNUMBER(SEARCH("入",B8266)))),"Ambiguous",IF(ISNUMBER(SEARCH("平",B8266)),"平","仄")))</x:f>
        <x:v>平</x:v>
      </x:c>
      <x:c r="K8266" s="6" t="str">
        <x:f>IF(D8266="","",IF(AND(ISNUMBER(SEARCH("平",D8266)),OR(ISNUMBER(SEARCH("上",D8266)),ISNUMBER(SEARCH("去",D8266)),ISNUMBER(SEARCH("入",D8266)))),"Ambiguous",IF(ISNUMBER(SEARCH("平",D8266)),"平","仄")))</x:f>
        <x:v>平</x:v>
      </x:c>
      <x:c r="L8266" s="7" t="str">
        <x:v>Pingshui main list expansion</x:v>
      </x:c>
    </x:row>
    <x:row r="8267">
      <x:c r="A8267" s="5" t="str">
        <x:v>騬</x:v>
      </x:c>
      <x:c r="B8267" s="6" t="str">
        <x:v>平</x:v>
      </x:c>
      <x:c r="C8267" s="6" t="str">
        <x:f>IF(B8267="","Needs decision","Ready")</x:f>
        <x:v>Ready</x:v>
      </x:c>
      <x:c r="D8267" s="6" t="str">
        <x:v>平</x:v>
      </x:c>
      <x:c r="E8267" s="6" t="str"/>
      <x:c r="F8267" s="6" t="str">
        <x:v>下平聲十蒸</x:v>
      </x:c>
      <x:c r="G8267" s="6" t="str">
        <x:v>Pingshui main list, Wikisource-derived DOCX</x:v>
      </x:c>
      <x:c r="H8267" s="6" t="str"/>
      <x:c r="I8267" s="6" t="str">
        <x:v>Pingshui main-list expansion; 詞 entries ignored</x:v>
      </x:c>
      <x:c r="J8267" s="6" t="str">
        <x:f>IF(B8267="","",IF(AND(ISNUMBER(SEARCH("平",B8267)),OR(ISNUMBER(SEARCH("上",B8267)),ISNUMBER(SEARCH("去",B8267)),ISNUMBER(SEARCH("入",B8267)))),"Ambiguous",IF(ISNUMBER(SEARCH("平",B8267)),"平","仄")))</x:f>
        <x:v>平</x:v>
      </x:c>
      <x:c r="K8267" s="6" t="str">
        <x:f>IF(D8267="","",IF(AND(ISNUMBER(SEARCH("平",D8267)),OR(ISNUMBER(SEARCH("上",D8267)),ISNUMBER(SEARCH("去",D8267)),ISNUMBER(SEARCH("入",D8267)))),"Ambiguous",IF(ISNUMBER(SEARCH("平",D8267)),"平","仄")))</x:f>
        <x:v>平</x:v>
      </x:c>
      <x:c r="L8267" s="7" t="str">
        <x:v>Pingshui main list expansion</x:v>
      </x:c>
    </x:row>
    <x:row r="8268">
      <x:c r="A8268" s="5" t="str">
        <x:v>騵</x:v>
      </x:c>
      <x:c r="B8268" s="6" t="str">
        <x:v>平</x:v>
      </x:c>
      <x:c r="C8268" s="6" t="str">
        <x:f>IF(B8268="","Needs decision","Ready")</x:f>
        <x:v>Ready</x:v>
      </x:c>
      <x:c r="D8268" s="6" t="str">
        <x:v>平</x:v>
      </x:c>
      <x:c r="E8268" s="6" t="str"/>
      <x:c r="F8268" s="6" t="str">
        <x:v>上平聲十三元</x:v>
      </x:c>
      <x:c r="G8268" s="6" t="str">
        <x:v>Pingshui main list, Wikisource-derived DOCX</x:v>
      </x:c>
      <x:c r="H8268" s="6" t="str"/>
      <x:c r="I8268" s="6" t="str">
        <x:v>Pingshui main-list expansion; 詞 entries ignored</x:v>
      </x:c>
      <x:c r="J8268" s="6" t="str">
        <x:f>IF(B8268="","",IF(AND(ISNUMBER(SEARCH("平",B8268)),OR(ISNUMBER(SEARCH("上",B8268)),ISNUMBER(SEARCH("去",B8268)),ISNUMBER(SEARCH("入",B8268)))),"Ambiguous",IF(ISNUMBER(SEARCH("平",B8268)),"平","仄")))</x:f>
        <x:v>平</x:v>
      </x:c>
      <x:c r="K8268" s="6" t="str">
        <x:f>IF(D8268="","",IF(AND(ISNUMBER(SEARCH("平",D8268)),OR(ISNUMBER(SEARCH("上",D8268)),ISNUMBER(SEARCH("去",D8268)),ISNUMBER(SEARCH("入",D8268)))),"Ambiguous",IF(ISNUMBER(SEARCH("平",D8268)),"平","仄")))</x:f>
        <x:v>平</x:v>
      </x:c>
      <x:c r="L8268" s="7" t="str">
        <x:v>Pingshui main list expansion</x:v>
      </x:c>
    </x:row>
    <x:row r="8269">
      <x:c r="A8269" s="5" t="str">
        <x:v>騺</x:v>
      </x:c>
      <x:c r="B8269" s="6" t="str">
        <x:v>去</x:v>
      </x:c>
      <x:c r="C8269" s="6" t="str">
        <x:f>IF(B8269="","Needs decision","Ready")</x:f>
        <x:v>Ready</x:v>
      </x:c>
      <x:c r="D8269" s="6" t="str">
        <x:v>去</x:v>
      </x:c>
      <x:c r="E8269" s="6" t="str"/>
      <x:c r="F8269" s="6" t="str">
        <x:v>去聲四寘</x:v>
      </x:c>
      <x:c r="G8269" s="6" t="str">
        <x:v>Pingshui main list, Wikisource-derived DOCX</x:v>
      </x:c>
      <x:c r="H8269" s="6" t="str"/>
      <x:c r="I8269" s="6" t="str">
        <x:v>Pingshui main-list expansion; 詞 entries ignored</x:v>
      </x:c>
      <x:c r="J8269" s="6" t="str">
        <x:f>IF(B8269="","",IF(AND(ISNUMBER(SEARCH("平",B8269)),OR(ISNUMBER(SEARCH("上",B8269)),ISNUMBER(SEARCH("去",B8269)),ISNUMBER(SEARCH("入",B8269)))),"Ambiguous",IF(ISNUMBER(SEARCH("平",B8269)),"平","仄")))</x:f>
        <x:v>仄</x:v>
      </x:c>
      <x:c r="K8269" s="6" t="str">
        <x:f>IF(D8269="","",IF(AND(ISNUMBER(SEARCH("平",D8269)),OR(ISNUMBER(SEARCH("上",D8269)),ISNUMBER(SEARCH("去",D8269)),ISNUMBER(SEARCH("入",D8269)))),"Ambiguous",IF(ISNUMBER(SEARCH("平",D8269)),"平","仄")))</x:f>
        <x:v>仄</x:v>
      </x:c>
      <x:c r="L8269" s="7" t="str">
        <x:v>Pingshui main list expansion</x:v>
      </x:c>
    </x:row>
    <x:row r="8270">
      <x:c r="A8270" s="5" t="str">
        <x:v>驀</x:v>
      </x:c>
      <x:c r="B8270" s="6" t="str">
        <x:v>入</x:v>
      </x:c>
      <x:c r="C8270" s="6" t="str">
        <x:f>IF(B8270="","Needs decision","Ready")</x:f>
        <x:v>Ready</x:v>
      </x:c>
      <x:c r="D8270" s="6" t="str">
        <x:v>入</x:v>
      </x:c>
      <x:c r="E8270" s="6" t="str"/>
      <x:c r="F8270" s="6" t="str">
        <x:v>入聲十一陌</x:v>
      </x:c>
      <x:c r="G8270" s="6" t="str">
        <x:v>Pingshui main list, Wikisource-derived DOCX</x:v>
      </x:c>
      <x:c r="H8270" s="6" t="str"/>
      <x:c r="I8270" s="6" t="str">
        <x:v>Pingshui main-list expansion; 詞 entries ignored</x:v>
      </x:c>
      <x:c r="J8270" s="6" t="str">
        <x:f>IF(B8270="","",IF(AND(ISNUMBER(SEARCH("平",B8270)),OR(ISNUMBER(SEARCH("上",B8270)),ISNUMBER(SEARCH("去",B8270)),ISNUMBER(SEARCH("入",B8270)))),"Ambiguous",IF(ISNUMBER(SEARCH("平",B8270)),"平","仄")))</x:f>
        <x:v>仄</x:v>
      </x:c>
      <x:c r="K8270" s="6" t="str">
        <x:f>IF(D8270="","",IF(AND(ISNUMBER(SEARCH("平",D8270)),OR(ISNUMBER(SEARCH("上",D8270)),ISNUMBER(SEARCH("去",D8270)),ISNUMBER(SEARCH("入",D8270)))),"Ambiguous",IF(ISNUMBER(SEARCH("平",D8270)),"平","仄")))</x:f>
        <x:v>仄</x:v>
      </x:c>
      <x:c r="L8270" s="7" t="str">
        <x:v>Pingshui main list expansion</x:v>
      </x:c>
    </x:row>
    <x:row r="8271">
      <x:c r="A8271" s="5" t="str">
        <x:v>驁</x:v>
      </x:c>
      <x:c r="B8271" s="6" t="str"/>
      <x:c r="C8271" s="6" t="str">
        <x:f>IF(B8271="","Needs decision","Ready")</x:f>
        <x:v>Needs decision</x:v>
      </x:c>
      <x:c r="D8271" s="6" t="str">
        <x:v>平/去</x:v>
      </x:c>
      <x:c r="E8271" s="6" t="str"/>
      <x:c r="F8271" s="6" t="str">
        <x:v>下平聲四豪; 去聲二十號</x:v>
      </x:c>
      <x:c r="G8271" s="6" t="str">
        <x:v>Pingshui main list, Wikisource-derived DOCX</x:v>
      </x:c>
      <x:c r="H8271" s="6" t="str"/>
      <x:c r="I8271" s="6" t="str">
        <x:v>Pingshui main-list expansion; 詞 entries ignored</x:v>
      </x:c>
      <x:c r="J8271" s="6" t="str">
        <x:f>IF(B8271="","",IF(AND(ISNUMBER(SEARCH("平",B8271)),OR(ISNUMBER(SEARCH("上",B8271)),ISNUMBER(SEARCH("去",B8271)),ISNUMBER(SEARCH("入",B8271)))),"Ambiguous",IF(ISNUMBER(SEARCH("平",B8271)),"平","仄")))</x:f>
      </x:c>
      <x:c r="K8271" s="6" t="str">
        <x:f>IF(D8271="","",IF(AND(ISNUMBER(SEARCH("平",D8271)),OR(ISNUMBER(SEARCH("上",D8271)),ISNUMBER(SEARCH("去",D8271)),ISNUMBER(SEARCH("入",D8271)))),"Ambiguous",IF(ISNUMBER(SEARCH("平",D8271)),"平","仄")))</x:f>
        <x:v>Ambiguous</x:v>
      </x:c>
      <x:c r="L8271" s="7" t="str">
        <x:v>Pingshui main list expansion</x:v>
      </x:c>
    </x:row>
    <x:row r="8272">
      <x:c r="A8272" s="5" t="str">
        <x:v>驈</x:v>
      </x:c>
      <x:c r="B8272" s="6" t="str">
        <x:v>入</x:v>
      </x:c>
      <x:c r="C8272" s="6" t="str">
        <x:f>IF(B8272="","Needs decision","Ready")</x:f>
        <x:v>Ready</x:v>
      </x:c>
      <x:c r="D8272" s="6" t="str">
        <x:v>入</x:v>
      </x:c>
      <x:c r="E8272" s="6" t="str"/>
      <x:c r="F8272" s="6" t="str">
        <x:v>入聲四質</x:v>
      </x:c>
      <x:c r="G8272" s="6" t="str">
        <x:v>Pingshui main list, Wikisource-derived DOCX</x:v>
      </x:c>
      <x:c r="H8272" s="6" t="str"/>
      <x:c r="I8272" s="6" t="str">
        <x:v>Pingshui main-list expansion; 詞 entries ignored</x:v>
      </x:c>
      <x:c r="J8272" s="6" t="str">
        <x:f>IF(B8272="","",IF(AND(ISNUMBER(SEARCH("平",B8272)),OR(ISNUMBER(SEARCH("上",B8272)),ISNUMBER(SEARCH("去",B8272)),ISNUMBER(SEARCH("入",B8272)))),"Ambiguous",IF(ISNUMBER(SEARCH("平",B8272)),"平","仄")))</x:f>
        <x:v>仄</x:v>
      </x:c>
      <x:c r="K8272" s="6" t="str">
        <x:f>IF(D8272="","",IF(AND(ISNUMBER(SEARCH("平",D8272)),OR(ISNUMBER(SEARCH("上",D8272)),ISNUMBER(SEARCH("去",D8272)),ISNUMBER(SEARCH("入",D8272)))),"Ambiguous",IF(ISNUMBER(SEARCH("平",D8272)),"平","仄")))</x:f>
        <x:v>仄</x:v>
      </x:c>
      <x:c r="L8272" s="7" t="str">
        <x:v>Pingshui main list expansion</x:v>
      </x:c>
    </x:row>
    <x:row r="8273">
      <x:c r="A8273" s="5" t="str">
        <x:v>驉</x:v>
      </x:c>
      <x:c r="B8273" s="6" t="str">
        <x:v>平</x:v>
      </x:c>
      <x:c r="C8273" s="6" t="str">
        <x:f>IF(B8273="","Needs decision","Ready")</x:f>
        <x:v>Ready</x:v>
      </x:c>
      <x:c r="D8273" s="6" t="str">
        <x:v>平</x:v>
      </x:c>
      <x:c r="E8273" s="6" t="str"/>
      <x:c r="F8273" s="6" t="str">
        <x:v>上平聲六魚</x:v>
      </x:c>
      <x:c r="G8273" s="6" t="str">
        <x:v>Pingshui main list, Wikisource-derived DOCX</x:v>
      </x:c>
      <x:c r="H8273" s="6" t="str"/>
      <x:c r="I8273" s="6" t="str">
        <x:v>Pingshui main-list expansion; 詞 entries ignored</x:v>
      </x:c>
      <x:c r="J8273" s="6" t="str">
        <x:f>IF(B8273="","",IF(AND(ISNUMBER(SEARCH("平",B8273)),OR(ISNUMBER(SEARCH("上",B8273)),ISNUMBER(SEARCH("去",B8273)),ISNUMBER(SEARCH("入",B8273)))),"Ambiguous",IF(ISNUMBER(SEARCH("平",B8273)),"平","仄")))</x:f>
        <x:v>平</x:v>
      </x:c>
      <x:c r="K8273" s="6" t="str">
        <x:f>IF(D8273="","",IF(AND(ISNUMBER(SEARCH("平",D8273)),OR(ISNUMBER(SEARCH("上",D8273)),ISNUMBER(SEARCH("去",D8273)),ISNUMBER(SEARCH("入",D8273)))),"Ambiguous",IF(ISNUMBER(SEARCH("平",D8273)),"平","仄")))</x:f>
        <x:v>平</x:v>
      </x:c>
      <x:c r="L8273" s="7" t="str">
        <x:v>Pingshui main list expansion</x:v>
      </x:c>
    </x:row>
    <x:row r="8274">
      <x:c r="A8274" s="5" t="str">
        <x:v>驐</x:v>
      </x:c>
      <x:c r="B8274" s="6" t="str">
        <x:v>平</x:v>
      </x:c>
      <x:c r="C8274" s="6" t="str">
        <x:f>IF(B8274="","Needs decision","Ready")</x:f>
        <x:v>Ready</x:v>
      </x:c>
      <x:c r="D8274" s="6" t="str">
        <x:v>平</x:v>
      </x:c>
      <x:c r="E8274" s="6" t="str"/>
      <x:c r="F8274" s="6" t="str">
        <x:v>上平聲十三元</x:v>
      </x:c>
      <x:c r="G8274" s="6" t="str">
        <x:v>Pingshui main list, Wikisource-derived DOCX</x:v>
      </x:c>
      <x:c r="H8274" s="6" t="str"/>
      <x:c r="I8274" s="6" t="str">
        <x:v>Pingshui main-list expansion; 詞 entries ignored</x:v>
      </x:c>
      <x:c r="J8274" s="6" t="str">
        <x:f>IF(B8274="","",IF(AND(ISNUMBER(SEARCH("平",B8274)),OR(ISNUMBER(SEARCH("上",B8274)),ISNUMBER(SEARCH("去",B8274)),ISNUMBER(SEARCH("入",B8274)))),"Ambiguous",IF(ISNUMBER(SEARCH("平",B8274)),"平","仄")))</x:f>
        <x:v>平</x:v>
      </x:c>
      <x:c r="K8274" s="6" t="str">
        <x:f>IF(D8274="","",IF(AND(ISNUMBER(SEARCH("平",D8274)),OR(ISNUMBER(SEARCH("上",D8274)),ISNUMBER(SEARCH("去",D8274)),ISNUMBER(SEARCH("入",D8274)))),"Ambiguous",IF(ISNUMBER(SEARCH("平",D8274)),"平","仄")))</x:f>
        <x:v>平</x:v>
      </x:c>
      <x:c r="L8274" s="7" t="str">
        <x:v>Pingshui main list expansion</x:v>
      </x:c>
    </x:row>
    <x:row r="8275">
      <x:c r="A8275" s="5" t="str">
        <x:v>驓</x:v>
      </x:c>
      <x:c r="B8275" s="6" t="str">
        <x:v>平</x:v>
      </x:c>
      <x:c r="C8275" s="6" t="str">
        <x:f>IF(B8275="","Needs decision","Ready")</x:f>
        <x:v>Ready</x:v>
      </x:c>
      <x:c r="D8275" s="6" t="str">
        <x:v>平</x:v>
      </x:c>
      <x:c r="E8275" s="6" t="str"/>
      <x:c r="F8275" s="6" t="str">
        <x:v>下平聲十蒸</x:v>
      </x:c>
      <x:c r="G8275" s="6" t="str">
        <x:v>Pingshui main list, Wikisource-derived DOCX</x:v>
      </x:c>
      <x:c r="H8275" s="6" t="str"/>
      <x:c r="I8275" s="6" t="str">
        <x:v>Pingshui main-list expansion; 詞 entries ignored</x:v>
      </x:c>
      <x:c r="J8275" s="6" t="str">
        <x:f>IF(B8275="","",IF(AND(ISNUMBER(SEARCH("平",B8275)),OR(ISNUMBER(SEARCH("上",B8275)),ISNUMBER(SEARCH("去",B8275)),ISNUMBER(SEARCH("入",B8275)))),"Ambiguous",IF(ISNUMBER(SEARCH("平",B8275)),"平","仄")))</x:f>
        <x:v>平</x:v>
      </x:c>
      <x:c r="K8275" s="6" t="str">
        <x:f>IF(D8275="","",IF(AND(ISNUMBER(SEARCH("平",D8275)),OR(ISNUMBER(SEARCH("上",D8275)),ISNUMBER(SEARCH("去",D8275)),ISNUMBER(SEARCH("入",D8275)))),"Ambiguous",IF(ISNUMBER(SEARCH("平",D8275)),"平","仄")))</x:f>
        <x:v>平</x:v>
      </x:c>
      <x:c r="L8275" s="7" t="str">
        <x:v>Pingshui main list expansion</x:v>
      </x:c>
    </x:row>
    <x:row r="8276">
      <x:c r="A8276" s="5" t="str">
        <x:v>驙</x:v>
      </x:c>
      <x:c r="B8276" s="6" t="str">
        <x:v>平</x:v>
      </x:c>
      <x:c r="C8276" s="6" t="str">
        <x:f>IF(B8276="","Needs decision","Ready")</x:f>
        <x:v>Ready</x:v>
      </x:c>
      <x:c r="D8276" s="6" t="str">
        <x:v>平</x:v>
      </x:c>
      <x:c r="E8276" s="6" t="str"/>
      <x:c r="F8276" s="6" t="str">
        <x:v>上平聲十四寒; 下平聲一先</x:v>
      </x:c>
      <x:c r="G8276" s="6" t="str">
        <x:v>Pingshui main list, Wikisource-derived DOCX</x:v>
      </x:c>
      <x:c r="H8276" s="6" t="str"/>
      <x:c r="I8276" s="6" t="str">
        <x:v>Pingshui main-list expansion; 詞 entries ignored</x:v>
      </x:c>
      <x:c r="J8276" s="6" t="str">
        <x:f>IF(B8276="","",IF(AND(ISNUMBER(SEARCH("平",B8276)),OR(ISNUMBER(SEARCH("上",B8276)),ISNUMBER(SEARCH("去",B8276)),ISNUMBER(SEARCH("入",B8276)))),"Ambiguous",IF(ISNUMBER(SEARCH("平",B8276)),"平","仄")))</x:f>
        <x:v>平</x:v>
      </x:c>
      <x:c r="K8276" s="6" t="str">
        <x:f>IF(D8276="","",IF(AND(ISNUMBER(SEARCH("平",D8276)),OR(ISNUMBER(SEARCH("上",D8276)),ISNUMBER(SEARCH("去",D8276)),ISNUMBER(SEARCH("入",D8276)))),"Ambiguous",IF(ISNUMBER(SEARCH("平",D8276)),"平","仄")))</x:f>
        <x:v>平</x:v>
      </x:c>
      <x:c r="L8276" s="7" t="str">
        <x:v>Pingshui main list expansion</x:v>
      </x:c>
    </x:row>
    <x:row r="8277">
      <x:c r="A8277" s="5" t="str">
        <x:v>骰</x:v>
      </x:c>
      <x:c r="B8277" s="6" t="str">
        <x:v>平</x:v>
      </x:c>
      <x:c r="C8277" s="6" t="str">
        <x:f>IF(B8277="","Needs decision","Ready")</x:f>
        <x:v>Ready</x:v>
      </x:c>
      <x:c r="D8277" s="6" t="str">
        <x:v>平</x:v>
      </x:c>
      <x:c r="E8277" s="6" t="str"/>
      <x:c r="F8277" s="6" t="str">
        <x:v>下平聲十一尤</x:v>
      </x:c>
      <x:c r="G8277" s="6" t="str">
        <x:v>Pingshui main list, Wikisource-derived DOCX</x:v>
      </x:c>
      <x:c r="H8277" s="6" t="str"/>
      <x:c r="I8277" s="6" t="str">
        <x:v>Pingshui main-list expansion; 詞 entries ignored</x:v>
      </x:c>
      <x:c r="J8277" s="6" t="str">
        <x:f>IF(B8277="","",IF(AND(ISNUMBER(SEARCH("平",B8277)),OR(ISNUMBER(SEARCH("上",B8277)),ISNUMBER(SEARCH("去",B8277)),ISNUMBER(SEARCH("入",B8277)))),"Ambiguous",IF(ISNUMBER(SEARCH("平",B8277)),"平","仄")))</x:f>
        <x:v>平</x:v>
      </x:c>
      <x:c r="K8277" s="6" t="str">
        <x:f>IF(D8277="","",IF(AND(ISNUMBER(SEARCH("平",D8277)),OR(ISNUMBER(SEARCH("上",D8277)),ISNUMBER(SEARCH("去",D8277)),ISNUMBER(SEARCH("入",D8277)))),"Ambiguous",IF(ISNUMBER(SEARCH("平",D8277)),"平","仄")))</x:f>
        <x:v>平</x:v>
      </x:c>
      <x:c r="L8277" s="7" t="str">
        <x:v>Pingshui main list expansion</x:v>
      </x:c>
    </x:row>
    <x:row r="8278">
      <x:c r="A8278" s="5" t="str">
        <x:v>骴</x:v>
      </x:c>
      <x:c r="B8278" s="6" t="str"/>
      <x:c r="C8278" s="6" t="str">
        <x:f>IF(B8278="","Needs decision","Ready")</x:f>
        <x:v>Needs decision</x:v>
      </x:c>
      <x:c r="D8278" s="6" t="str">
        <x:v>平/去</x:v>
      </x:c>
      <x:c r="E8278" s="6" t="str"/>
      <x:c r="F8278" s="6" t="str">
        <x:v>上平聲四支; 去聲四寘</x:v>
      </x:c>
      <x:c r="G8278" s="6" t="str">
        <x:v>Pingshui main list, Wikisource-derived DOCX</x:v>
      </x:c>
      <x:c r="H8278" s="6" t="str"/>
      <x:c r="I8278" s="6" t="str">
        <x:v>Pingshui main-list expansion; 詞 entries ignored</x:v>
      </x:c>
      <x:c r="J8278" s="6" t="str">
        <x:f>IF(B8278="","",IF(AND(ISNUMBER(SEARCH("平",B8278)),OR(ISNUMBER(SEARCH("上",B8278)),ISNUMBER(SEARCH("去",B8278)),ISNUMBER(SEARCH("入",B8278)))),"Ambiguous",IF(ISNUMBER(SEARCH("平",B8278)),"平","仄")))</x:f>
      </x:c>
      <x:c r="K8278" s="6" t="str">
        <x:f>IF(D8278="","",IF(AND(ISNUMBER(SEARCH("平",D8278)),OR(ISNUMBER(SEARCH("上",D8278)),ISNUMBER(SEARCH("去",D8278)),ISNUMBER(SEARCH("入",D8278)))),"Ambiguous",IF(ISNUMBER(SEARCH("平",D8278)),"平","仄")))</x:f>
        <x:v>Ambiguous</x:v>
      </x:c>
      <x:c r="L8278" s="7" t="str">
        <x:v>Pingshui main list expansion</x:v>
      </x:c>
    </x:row>
    <x:row r="8279">
      <x:c r="A8279" s="5" t="str">
        <x:v>骼</x:v>
      </x:c>
      <x:c r="B8279" s="6" t="str">
        <x:v>入</x:v>
      </x:c>
      <x:c r="C8279" s="6" t="str">
        <x:f>IF(B8279="","Needs decision","Ready")</x:f>
        <x:v>Ready</x:v>
      </x:c>
      <x:c r="D8279" s="6" t="str">
        <x:v>入</x:v>
      </x:c>
      <x:c r="E8279" s="6" t="str"/>
      <x:c r="F8279" s="6" t="str">
        <x:v>入聲十一陌</x:v>
      </x:c>
      <x:c r="G8279" s="6" t="str">
        <x:v>Pingshui main list, Wikisource-derived DOCX</x:v>
      </x:c>
      <x:c r="H8279" s="6" t="str"/>
      <x:c r="I8279" s="6" t="str">
        <x:v>Pingshui main-list expansion; 詞 entries ignored</x:v>
      </x:c>
      <x:c r="J8279" s="6" t="str">
        <x:f>IF(B8279="","",IF(AND(ISNUMBER(SEARCH("平",B8279)),OR(ISNUMBER(SEARCH("上",B8279)),ISNUMBER(SEARCH("去",B8279)),ISNUMBER(SEARCH("入",B8279)))),"Ambiguous",IF(ISNUMBER(SEARCH("平",B8279)),"平","仄")))</x:f>
        <x:v>仄</x:v>
      </x:c>
      <x:c r="K8279" s="6" t="str">
        <x:f>IF(D8279="","",IF(AND(ISNUMBER(SEARCH("平",D8279)),OR(ISNUMBER(SEARCH("上",D8279)),ISNUMBER(SEARCH("去",D8279)),ISNUMBER(SEARCH("入",D8279)))),"Ambiguous",IF(ISNUMBER(SEARCH("平",D8279)),"平","仄")))</x:f>
        <x:v>仄</x:v>
      </x:c>
      <x:c r="L8279" s="7" t="str">
        <x:v>Pingshui main list expansion</x:v>
      </x:c>
    </x:row>
    <x:row r="8280">
      <x:c r="A8280" s="5" t="str">
        <x:v>骾</x:v>
      </x:c>
      <x:c r="B8280" s="6" t="str">
        <x:v>上</x:v>
      </x:c>
      <x:c r="C8280" s="6" t="str">
        <x:f>IF(B8280="","Needs decision","Ready")</x:f>
        <x:v>Ready</x:v>
      </x:c>
      <x:c r="D8280" s="6" t="str">
        <x:v>上</x:v>
      </x:c>
      <x:c r="E8280" s="6" t="str"/>
      <x:c r="F8280" s="6" t="str">
        <x:v>上聲二十三梗</x:v>
      </x:c>
      <x:c r="G8280" s="6" t="str">
        <x:v>Pingshui main list, Wikisource-derived DOCX</x:v>
      </x:c>
      <x:c r="H8280" s="6" t="str"/>
      <x:c r="I8280" s="6" t="str">
        <x:v>Pingshui main-list expansion; 詞 entries ignored</x:v>
      </x:c>
      <x:c r="J8280" s="6" t="str">
        <x:f>IF(B8280="","",IF(AND(ISNUMBER(SEARCH("平",B8280)),OR(ISNUMBER(SEARCH("上",B8280)),ISNUMBER(SEARCH("去",B8280)),ISNUMBER(SEARCH("入",B8280)))),"Ambiguous",IF(ISNUMBER(SEARCH("平",B8280)),"平","仄")))</x:f>
        <x:v>仄</x:v>
      </x:c>
      <x:c r="K8280" s="6" t="str">
        <x:f>IF(D8280="","",IF(AND(ISNUMBER(SEARCH("平",D8280)),OR(ISNUMBER(SEARCH("上",D8280)),ISNUMBER(SEARCH("去",D8280)),ISNUMBER(SEARCH("入",D8280)))),"Ambiguous",IF(ISNUMBER(SEARCH("平",D8280)),"平","仄")))</x:f>
        <x:v>仄</x:v>
      </x:c>
      <x:c r="L8280" s="7" t="str">
        <x:v>Pingshui main list expansion</x:v>
      </x:c>
    </x:row>
    <x:row r="8281">
      <x:c r="A8281" s="5" t="str">
        <x:v>骿</x:v>
      </x:c>
      <x:c r="B8281" s="6" t="str">
        <x:v>平</x:v>
      </x:c>
      <x:c r="C8281" s="6" t="str">
        <x:f>IF(B8281="","Needs decision","Ready")</x:f>
        <x:v>Ready</x:v>
      </x:c>
      <x:c r="D8281" s="6" t="str">
        <x:v>平</x:v>
      </x:c>
      <x:c r="E8281" s="6" t="str"/>
      <x:c r="F8281" s="6" t="str">
        <x:v>下平聲一先</x:v>
      </x:c>
      <x:c r="G8281" s="6" t="str">
        <x:v>Pingshui main list, Wikisource-derived DOCX</x:v>
      </x:c>
      <x:c r="H8281" s="6" t="str"/>
      <x:c r="I8281" s="6" t="str">
        <x:v>Pingshui main-list expansion; 詞 entries ignored</x:v>
      </x:c>
      <x:c r="J8281" s="6" t="str">
        <x:f>IF(B8281="","",IF(AND(ISNUMBER(SEARCH("平",B8281)),OR(ISNUMBER(SEARCH("上",B8281)),ISNUMBER(SEARCH("去",B8281)),ISNUMBER(SEARCH("入",B8281)))),"Ambiguous",IF(ISNUMBER(SEARCH("平",B8281)),"平","仄")))</x:f>
        <x:v>平</x:v>
      </x:c>
      <x:c r="K8281" s="6" t="str">
        <x:f>IF(D8281="","",IF(AND(ISNUMBER(SEARCH("平",D8281)),OR(ISNUMBER(SEARCH("上",D8281)),ISNUMBER(SEARCH("去",D8281)),ISNUMBER(SEARCH("入",D8281)))),"Ambiguous",IF(ISNUMBER(SEARCH("平",D8281)),"平","仄")))</x:f>
        <x:v>平</x:v>
      </x:c>
      <x:c r="L8281" s="7" t="str">
        <x:v>Pingshui main list expansion</x:v>
      </x:c>
    </x:row>
    <x:row r="8282">
      <x:c r="A8282" s="5" t="str">
        <x:v>髁</x:v>
      </x:c>
      <x:c r="B8282" s="6" t="str">
        <x:v>上</x:v>
      </x:c>
      <x:c r="C8282" s="6" t="str">
        <x:f>IF(B8282="","Needs decision","Ready")</x:f>
        <x:v>Ready</x:v>
      </x:c>
      <x:c r="D8282" s="6" t="str">
        <x:v>上</x:v>
      </x:c>
      <x:c r="E8282" s="6" t="str"/>
      <x:c r="F8282" s="6" t="str">
        <x:v>上聲二十一馬</x:v>
      </x:c>
      <x:c r="G8282" s="6" t="str">
        <x:v>Pingshui main list, Wikisource-derived DOCX</x:v>
      </x:c>
      <x:c r="H8282" s="6" t="str"/>
      <x:c r="I8282" s="6" t="str">
        <x:v>Pingshui main-list expansion; 詞 entries ignored</x:v>
      </x:c>
      <x:c r="J8282" s="6" t="str">
        <x:f>IF(B8282="","",IF(AND(ISNUMBER(SEARCH("平",B8282)),OR(ISNUMBER(SEARCH("上",B8282)),ISNUMBER(SEARCH("去",B8282)),ISNUMBER(SEARCH("入",B8282)))),"Ambiguous",IF(ISNUMBER(SEARCH("平",B8282)),"平","仄")))</x:f>
        <x:v>仄</x:v>
      </x:c>
      <x:c r="K8282" s="6" t="str">
        <x:f>IF(D8282="","",IF(AND(ISNUMBER(SEARCH("平",D8282)),OR(ISNUMBER(SEARCH("上",D8282)),ISNUMBER(SEARCH("去",D8282)),ISNUMBER(SEARCH("入",D8282)))),"Ambiguous",IF(ISNUMBER(SEARCH("平",D8282)),"平","仄")))</x:f>
        <x:v>仄</x:v>
      </x:c>
      <x:c r="L8282" s="7" t="str">
        <x:v>Pingshui main list expansion</x:v>
      </x:c>
    </x:row>
    <x:row r="8283">
      <x:c r="A8283" s="5" t="str">
        <x:v>髆</x:v>
      </x:c>
      <x:c r="B8283" s="6" t="str">
        <x:v>入</x:v>
      </x:c>
      <x:c r="C8283" s="6" t="str">
        <x:f>IF(B8283="","Needs decision","Ready")</x:f>
        <x:v>Ready</x:v>
      </x:c>
      <x:c r="D8283" s="6" t="str">
        <x:v>入</x:v>
      </x:c>
      <x:c r="E8283" s="6" t="str"/>
      <x:c r="F8283" s="6" t="str">
        <x:v>入聲十藥</x:v>
      </x:c>
      <x:c r="G8283" s="6" t="str">
        <x:v>Pingshui main list, Wikisource-derived DOCX</x:v>
      </x:c>
      <x:c r="H8283" s="6" t="str"/>
      <x:c r="I8283" s="6" t="str">
        <x:v>Pingshui main-list expansion; 詞 entries ignored</x:v>
      </x:c>
      <x:c r="J8283" s="6" t="str">
        <x:f>IF(B8283="","",IF(AND(ISNUMBER(SEARCH("平",B8283)),OR(ISNUMBER(SEARCH("上",B8283)),ISNUMBER(SEARCH("去",B8283)),ISNUMBER(SEARCH("入",B8283)))),"Ambiguous",IF(ISNUMBER(SEARCH("平",B8283)),"平","仄")))</x:f>
        <x:v>仄</x:v>
      </x:c>
      <x:c r="K8283" s="6" t="str">
        <x:f>IF(D8283="","",IF(AND(ISNUMBER(SEARCH("平",D8283)),OR(ISNUMBER(SEARCH("上",D8283)),ISNUMBER(SEARCH("去",D8283)),ISNUMBER(SEARCH("入",D8283)))),"Ambiguous",IF(ISNUMBER(SEARCH("平",D8283)),"平","仄")))</x:f>
        <x:v>仄</x:v>
      </x:c>
      <x:c r="L8283" s="7" t="str">
        <x:v>Pingshui main list expansion</x:v>
      </x:c>
    </x:row>
    <x:row r="8284">
      <x:c r="A8284" s="5" t="str">
        <x:v>髇</x:v>
      </x:c>
      <x:c r="B8284" s="6" t="str">
        <x:v>平</x:v>
      </x:c>
      <x:c r="C8284" s="6" t="str">
        <x:f>IF(B8284="","Needs decision","Ready")</x:f>
        <x:v>Ready</x:v>
      </x:c>
      <x:c r="D8284" s="6" t="str">
        <x:v>平</x:v>
      </x:c>
      <x:c r="E8284" s="6" t="str"/>
      <x:c r="F8284" s="6" t="str">
        <x:v>下平聲三肴</x:v>
      </x:c>
      <x:c r="G8284" s="6" t="str">
        <x:v>Pingshui main list, Wikisource-derived DOCX</x:v>
      </x:c>
      <x:c r="H8284" s="6" t="str"/>
      <x:c r="I8284" s="6" t="str">
        <x:v>Pingshui main-list expansion; 詞 entries ignored</x:v>
      </x:c>
      <x:c r="J8284" s="6" t="str">
        <x:f>IF(B8284="","",IF(AND(ISNUMBER(SEARCH("平",B8284)),OR(ISNUMBER(SEARCH("上",B8284)),ISNUMBER(SEARCH("去",B8284)),ISNUMBER(SEARCH("入",B8284)))),"Ambiguous",IF(ISNUMBER(SEARCH("平",B8284)),"平","仄")))</x:f>
        <x:v>平</x:v>
      </x:c>
      <x:c r="K8284" s="6" t="str">
        <x:f>IF(D8284="","",IF(AND(ISNUMBER(SEARCH("平",D8284)),OR(ISNUMBER(SEARCH("上",D8284)),ISNUMBER(SEARCH("去",D8284)),ISNUMBER(SEARCH("入",D8284)))),"Ambiguous",IF(ISNUMBER(SEARCH("平",D8284)),"平","仄")))</x:f>
        <x:v>平</x:v>
      </x:c>
      <x:c r="L8284" s="7" t="str">
        <x:v>Pingshui main list expansion</x:v>
      </x:c>
    </x:row>
    <x:row r="8285">
      <x:c r="A8285" s="5" t="str">
        <x:v>髊</x:v>
      </x:c>
      <x:c r="B8285" s="6" t="str">
        <x:v>去</x:v>
      </x:c>
      <x:c r="C8285" s="6" t="str">
        <x:f>IF(B8285="","Needs decision","Ready")</x:f>
        <x:v>Ready</x:v>
      </x:c>
      <x:c r="D8285" s="6" t="str">
        <x:v>去</x:v>
      </x:c>
      <x:c r="E8285" s="6" t="str"/>
      <x:c r="F8285" s="6" t="str">
        <x:v>去聲四寘</x:v>
      </x:c>
      <x:c r="G8285" s="6" t="str">
        <x:v>Pingshui main list, Wikisource-derived DOCX</x:v>
      </x:c>
      <x:c r="H8285" s="6" t="str"/>
      <x:c r="I8285" s="6" t="str">
        <x:v>Pingshui main-list expansion; 詞 entries ignored</x:v>
      </x:c>
      <x:c r="J8285" s="6" t="str">
        <x:f>IF(B8285="","",IF(AND(ISNUMBER(SEARCH("平",B8285)),OR(ISNUMBER(SEARCH("上",B8285)),ISNUMBER(SEARCH("去",B8285)),ISNUMBER(SEARCH("入",B8285)))),"Ambiguous",IF(ISNUMBER(SEARCH("平",B8285)),"平","仄")))</x:f>
        <x:v>仄</x:v>
      </x:c>
      <x:c r="K8285" s="6" t="str">
        <x:f>IF(D8285="","",IF(AND(ISNUMBER(SEARCH("平",D8285)),OR(ISNUMBER(SEARCH("上",D8285)),ISNUMBER(SEARCH("去",D8285)),ISNUMBER(SEARCH("入",D8285)))),"Ambiguous",IF(ISNUMBER(SEARCH("平",D8285)),"平","仄")))</x:f>
        <x:v>仄</x:v>
      </x:c>
      <x:c r="L8285" s="7" t="str">
        <x:v>Pingshui main list expansion</x:v>
      </x:c>
    </x:row>
    <x:row r="8286">
      <x:c r="A8286" s="5" t="str">
        <x:v>髖</x:v>
      </x:c>
      <x:c r="B8286" s="6" t="str">
        <x:v>平</x:v>
      </x:c>
      <x:c r="C8286" s="6" t="str">
        <x:f>IF(B8286="","Needs decision","Ready")</x:f>
        <x:v>Ready</x:v>
      </x:c>
      <x:c r="D8286" s="6" t="str">
        <x:v>平</x:v>
      </x:c>
      <x:c r="E8286" s="6" t="str"/>
      <x:c r="F8286" s="6" t="str">
        <x:v>上平聲十四寒</x:v>
      </x:c>
      <x:c r="G8286" s="6" t="str">
        <x:v>Pingshui main list, Wikisource-derived DOCX</x:v>
      </x:c>
      <x:c r="H8286" s="6" t="str"/>
      <x:c r="I8286" s="6" t="str">
        <x:v>Pingshui main-list expansion; 詞 entries ignored</x:v>
      </x:c>
      <x:c r="J8286" s="6" t="str">
        <x:f>IF(B8286="","",IF(AND(ISNUMBER(SEARCH("平",B8286)),OR(ISNUMBER(SEARCH("上",B8286)),ISNUMBER(SEARCH("去",B8286)),ISNUMBER(SEARCH("入",B8286)))),"Ambiguous",IF(ISNUMBER(SEARCH("平",B8286)),"平","仄")))</x:f>
        <x:v>平</x:v>
      </x:c>
      <x:c r="K8286" s="6" t="str">
        <x:f>IF(D8286="","",IF(AND(ISNUMBER(SEARCH("平",D8286)),OR(ISNUMBER(SEARCH("上",D8286)),ISNUMBER(SEARCH("去",D8286)),ISNUMBER(SEARCH("入",D8286)))),"Ambiguous",IF(ISNUMBER(SEARCH("平",D8286)),"平","仄")))</x:f>
        <x:v>平</x:v>
      </x:c>
      <x:c r="L8286" s="7" t="str">
        <x:v>Pingshui main list expansion</x:v>
      </x:c>
    </x:row>
    <x:row r="8287">
      <x:c r="A8287" s="5" t="str">
        <x:v>髧</x:v>
      </x:c>
      <x:c r="B8287" s="6" t="str">
        <x:v>上</x:v>
      </x:c>
      <x:c r="C8287" s="6" t="str">
        <x:f>IF(B8287="","Needs decision","Ready")</x:f>
        <x:v>Ready</x:v>
      </x:c>
      <x:c r="D8287" s="6" t="str">
        <x:v>上</x:v>
      </x:c>
      <x:c r="E8287" s="6" t="str"/>
      <x:c r="F8287" s="6" t="str">
        <x:v>上聲二十七感</x:v>
      </x:c>
      <x:c r="G8287" s="6" t="str">
        <x:v>Pingshui main list, Wikisource-derived DOCX</x:v>
      </x:c>
      <x:c r="H8287" s="6" t="str"/>
      <x:c r="I8287" s="6" t="str">
        <x:v>Pingshui main-list expansion; 詞 entries ignored</x:v>
      </x:c>
      <x:c r="J8287" s="6" t="str">
        <x:f>IF(B8287="","",IF(AND(ISNUMBER(SEARCH("平",B8287)),OR(ISNUMBER(SEARCH("上",B8287)),ISNUMBER(SEARCH("去",B8287)),ISNUMBER(SEARCH("入",B8287)))),"Ambiguous",IF(ISNUMBER(SEARCH("平",B8287)),"平","仄")))</x:f>
        <x:v>仄</x:v>
      </x:c>
      <x:c r="K8287" s="6" t="str">
        <x:f>IF(D8287="","",IF(AND(ISNUMBER(SEARCH("平",D8287)),OR(ISNUMBER(SEARCH("上",D8287)),ISNUMBER(SEARCH("去",D8287)),ISNUMBER(SEARCH("入",D8287)))),"Ambiguous",IF(ISNUMBER(SEARCH("平",D8287)),"平","仄")))</x:f>
        <x:v>仄</x:v>
      </x:c>
      <x:c r="L8287" s="7" t="str">
        <x:v>Pingshui main list expansion</x:v>
      </x:c>
    </x:row>
    <x:row r="8288">
      <x:c r="A8288" s="5" t="str">
        <x:v>髳</x:v>
      </x:c>
      <x:c r="B8288" s="6" t="str">
        <x:v>平</x:v>
      </x:c>
      <x:c r="C8288" s="6" t="str">
        <x:f>IF(B8288="","Needs decision","Ready")</x:f>
        <x:v>Ready</x:v>
      </x:c>
      <x:c r="D8288" s="6" t="str">
        <x:v>平</x:v>
      </x:c>
      <x:c r="E8288" s="6" t="str"/>
      <x:c r="F8288" s="6" t="str">
        <x:v>上平聲一東</x:v>
      </x:c>
      <x:c r="G8288" s="6" t="str">
        <x:v>Pingshui main list, Wikisource-derived DOCX</x:v>
      </x:c>
      <x:c r="H8288" s="6" t="str"/>
      <x:c r="I8288" s="6" t="str">
        <x:v>Pingshui main-list expansion; 詞 entries ignored</x:v>
      </x:c>
      <x:c r="J8288" s="6" t="str">
        <x:f>IF(B8288="","",IF(AND(ISNUMBER(SEARCH("平",B8288)),OR(ISNUMBER(SEARCH("上",B8288)),ISNUMBER(SEARCH("去",B8288)),ISNUMBER(SEARCH("入",B8288)))),"Ambiguous",IF(ISNUMBER(SEARCH("平",B8288)),"平","仄")))</x:f>
        <x:v>平</x:v>
      </x:c>
      <x:c r="K8288" s="6" t="str">
        <x:f>IF(D8288="","",IF(AND(ISNUMBER(SEARCH("平",D8288)),OR(ISNUMBER(SEARCH("上",D8288)),ISNUMBER(SEARCH("去",D8288)),ISNUMBER(SEARCH("入",D8288)))),"Ambiguous",IF(ISNUMBER(SEARCH("平",D8288)),"平","仄")))</x:f>
        <x:v>平</x:v>
      </x:c>
      <x:c r="L8288" s="7" t="str">
        <x:v>Pingshui main list expansion</x:v>
      </x:c>
    </x:row>
    <x:row r="8289">
      <x:c r="A8289" s="5" t="str">
        <x:v>鬅</x:v>
      </x:c>
      <x:c r="B8289" s="6" t="str">
        <x:v>平</x:v>
      </x:c>
      <x:c r="C8289" s="6" t="str">
        <x:f>IF(B8289="","Needs decision","Ready")</x:f>
        <x:v>Ready</x:v>
      </x:c>
      <x:c r="D8289" s="6" t="str">
        <x:v>平</x:v>
      </x:c>
      <x:c r="E8289" s="6" t="str"/>
      <x:c r="F8289" s="6" t="str">
        <x:v>下平聲十蒸</x:v>
      </x:c>
      <x:c r="G8289" s="6" t="str">
        <x:v>Pingshui main list, Wikisource-derived DOCX</x:v>
      </x:c>
      <x:c r="H8289" s="6" t="str"/>
      <x:c r="I8289" s="6" t="str">
        <x:v>Pingshui main-list expansion; 詞 entries ignored</x:v>
      </x:c>
      <x:c r="J8289" s="6" t="str">
        <x:f>IF(B8289="","",IF(AND(ISNUMBER(SEARCH("平",B8289)),OR(ISNUMBER(SEARCH("上",B8289)),ISNUMBER(SEARCH("去",B8289)),ISNUMBER(SEARCH("入",B8289)))),"Ambiguous",IF(ISNUMBER(SEARCH("平",B8289)),"平","仄")))</x:f>
        <x:v>平</x:v>
      </x:c>
      <x:c r="K8289" s="6" t="str">
        <x:f>IF(D8289="","",IF(AND(ISNUMBER(SEARCH("平",D8289)),OR(ISNUMBER(SEARCH("上",D8289)),ISNUMBER(SEARCH("去",D8289)),ISNUMBER(SEARCH("入",D8289)))),"Ambiguous",IF(ISNUMBER(SEARCH("平",D8289)),"平","仄")))</x:f>
        <x:v>平</x:v>
      </x:c>
      <x:c r="L8289" s="7" t="str">
        <x:v>Pingshui main list expansion</x:v>
      </x:c>
    </x:row>
    <x:row r="8290">
      <x:c r="A8290" s="5" t="str">
        <x:v>鬊</x:v>
      </x:c>
      <x:c r="B8290" s="6" t="str">
        <x:v>去</x:v>
      </x:c>
      <x:c r="C8290" s="6" t="str">
        <x:f>IF(B8290="","Needs decision","Ready")</x:f>
        <x:v>Ready</x:v>
      </x:c>
      <x:c r="D8290" s="6" t="str">
        <x:v>去</x:v>
      </x:c>
      <x:c r="E8290" s="6" t="str"/>
      <x:c r="F8290" s="6" t="str">
        <x:v>去聲十二震</x:v>
      </x:c>
      <x:c r="G8290" s="6" t="str">
        <x:v>Pingshui main list, Wikisource-derived DOCX</x:v>
      </x:c>
      <x:c r="H8290" s="6" t="str"/>
      <x:c r="I8290" s="6" t="str">
        <x:v>Pingshui main-list expansion; 詞 entries ignored</x:v>
      </x:c>
      <x:c r="J8290" s="6" t="str">
        <x:f>IF(B8290="","",IF(AND(ISNUMBER(SEARCH("平",B8290)),OR(ISNUMBER(SEARCH("上",B8290)),ISNUMBER(SEARCH("去",B8290)),ISNUMBER(SEARCH("入",B8290)))),"Ambiguous",IF(ISNUMBER(SEARCH("平",B8290)),"平","仄")))</x:f>
        <x:v>仄</x:v>
      </x:c>
      <x:c r="K8290" s="6" t="str">
        <x:f>IF(D8290="","",IF(AND(ISNUMBER(SEARCH("平",D8290)),OR(ISNUMBER(SEARCH("上",D8290)),ISNUMBER(SEARCH("去",D8290)),ISNUMBER(SEARCH("入",D8290)))),"Ambiguous",IF(ISNUMBER(SEARCH("平",D8290)),"平","仄")))</x:f>
        <x:v>仄</x:v>
      </x:c>
      <x:c r="L8290" s="7" t="str">
        <x:v>Pingshui main list expansion</x:v>
      </x:c>
    </x:row>
    <x:row r="8291">
      <x:c r="A8291" s="5" t="str">
        <x:v>鬋</x:v>
      </x:c>
      <x:c r="B8291" s="6" t="str"/>
      <x:c r="C8291" s="6" t="str">
        <x:f>IF(B8291="","Needs decision","Ready")</x:f>
        <x:v>Needs decision</x:v>
      </x:c>
      <x:c r="D8291" s="6" t="str">
        <x:v>平/上/去</x:v>
      </x:c>
      <x:c r="E8291" s="6" t="str"/>
      <x:c r="F8291" s="6" t="str">
        <x:v>下平聲一先; 上聲十六銑; 去聲十七霰</x:v>
      </x:c>
      <x:c r="G8291" s="6" t="str">
        <x:v>Pingshui main list, Wikisource-derived DOCX</x:v>
      </x:c>
      <x:c r="H8291" s="6" t="str"/>
      <x:c r="I8291" s="6" t="str">
        <x:v>Pingshui main-list expansion; 詞 entries ignored</x:v>
      </x:c>
      <x:c r="J8291" s="6" t="str">
        <x:f>IF(B8291="","",IF(AND(ISNUMBER(SEARCH("平",B8291)),OR(ISNUMBER(SEARCH("上",B8291)),ISNUMBER(SEARCH("去",B8291)),ISNUMBER(SEARCH("入",B8291)))),"Ambiguous",IF(ISNUMBER(SEARCH("平",B8291)),"平","仄")))</x:f>
      </x:c>
      <x:c r="K8291" s="6" t="str">
        <x:f>IF(D8291="","",IF(AND(ISNUMBER(SEARCH("平",D8291)),OR(ISNUMBER(SEARCH("上",D8291)),ISNUMBER(SEARCH("去",D8291)),ISNUMBER(SEARCH("入",D8291)))),"Ambiguous",IF(ISNUMBER(SEARCH("平",D8291)),"平","仄")))</x:f>
        <x:v>Ambiguous</x:v>
      </x:c>
      <x:c r="L8291" s="7" t="str">
        <x:v>Pingshui main list expansion</x:v>
      </x:c>
    </x:row>
    <x:row r="8292">
      <x:c r="A8292" s="5" t="str">
        <x:v>鬌</x:v>
      </x:c>
      <x:c r="B8292" s="6" t="str">
        <x:v>上</x:v>
      </x:c>
      <x:c r="C8292" s="6" t="str">
        <x:f>IF(B8292="","Needs decision","Ready")</x:f>
        <x:v>Ready</x:v>
      </x:c>
      <x:c r="D8292" s="6" t="str">
        <x:v>上</x:v>
      </x:c>
      <x:c r="E8292" s="6" t="str"/>
      <x:c r="F8292" s="6" t="str">
        <x:v>上聲二十哿</x:v>
      </x:c>
      <x:c r="G8292" s="6" t="str">
        <x:v>Pingshui main list, Wikisource-derived DOCX</x:v>
      </x:c>
      <x:c r="H8292" s="6" t="str"/>
      <x:c r="I8292" s="6" t="str">
        <x:v>Pingshui main-list expansion; 詞 entries ignored</x:v>
      </x:c>
      <x:c r="J8292" s="6" t="str">
        <x:f>IF(B8292="","",IF(AND(ISNUMBER(SEARCH("平",B8292)),OR(ISNUMBER(SEARCH("上",B8292)),ISNUMBER(SEARCH("去",B8292)),ISNUMBER(SEARCH("入",B8292)))),"Ambiguous",IF(ISNUMBER(SEARCH("平",B8292)),"平","仄")))</x:f>
        <x:v>仄</x:v>
      </x:c>
      <x:c r="K8292" s="6" t="str">
        <x:f>IF(D8292="","",IF(AND(ISNUMBER(SEARCH("平",D8292)),OR(ISNUMBER(SEARCH("上",D8292)),ISNUMBER(SEARCH("去",D8292)),ISNUMBER(SEARCH("入",D8292)))),"Ambiguous",IF(ISNUMBER(SEARCH("平",D8292)),"平","仄")))</x:f>
        <x:v>仄</x:v>
      </x:c>
      <x:c r="L8292" s="7" t="str">
        <x:v>Pingshui main list expansion</x:v>
      </x:c>
    </x:row>
    <x:row r="8293">
      <x:c r="A8293" s="5" t="str">
        <x:v>鬖</x:v>
      </x:c>
      <x:c r="B8293" s="6" t="str">
        <x:v>平</x:v>
      </x:c>
      <x:c r="C8293" s="6" t="str">
        <x:f>IF(B8293="","Needs decision","Ready")</x:f>
        <x:v>Ready</x:v>
      </x:c>
      <x:c r="D8293" s="6" t="str">
        <x:v>平</x:v>
      </x:c>
      <x:c r="E8293" s="6" t="str"/>
      <x:c r="F8293" s="6" t="str">
        <x:v>下平聲十三覃</x:v>
      </x:c>
      <x:c r="G8293" s="6" t="str">
        <x:v>Pingshui main list, Wikisource-derived DOCX</x:v>
      </x:c>
      <x:c r="H8293" s="6" t="str"/>
      <x:c r="I8293" s="6" t="str">
        <x:v>Pingshui main-list expansion; 詞 entries ignored</x:v>
      </x:c>
      <x:c r="J8293" s="6" t="str">
        <x:f>IF(B8293="","",IF(AND(ISNUMBER(SEARCH("平",B8293)),OR(ISNUMBER(SEARCH("上",B8293)),ISNUMBER(SEARCH("去",B8293)),ISNUMBER(SEARCH("入",B8293)))),"Ambiguous",IF(ISNUMBER(SEARCH("平",B8293)),"平","仄")))</x:f>
        <x:v>平</x:v>
      </x:c>
      <x:c r="K8293" s="6" t="str">
        <x:f>IF(D8293="","",IF(AND(ISNUMBER(SEARCH("平",D8293)),OR(ISNUMBER(SEARCH("上",D8293)),ISNUMBER(SEARCH("去",D8293)),ISNUMBER(SEARCH("入",D8293)))),"Ambiguous",IF(ISNUMBER(SEARCH("平",D8293)),"平","仄")))</x:f>
        <x:v>平</x:v>
      </x:c>
      <x:c r="L8293" s="7" t="str">
        <x:v>Pingshui main list expansion</x:v>
      </x:c>
    </x:row>
    <x:row r="8294">
      <x:c r="A8294" s="5" t="str">
        <x:v>鬘</x:v>
      </x:c>
      <x:c r="B8294" s="6" t="str">
        <x:v>平</x:v>
      </x:c>
      <x:c r="C8294" s="6" t="str">
        <x:f>IF(B8294="","Needs decision","Ready")</x:f>
        <x:v>Ready</x:v>
      </x:c>
      <x:c r="D8294" s="6" t="str">
        <x:v>平</x:v>
      </x:c>
      <x:c r="E8294" s="6" t="str"/>
      <x:c r="F8294" s="6" t="str">
        <x:v>上平聲十五刪</x:v>
      </x:c>
      <x:c r="G8294" s="6" t="str">
        <x:v>Pingshui main list, Wikisource-derived DOCX</x:v>
      </x:c>
      <x:c r="H8294" s="6" t="str"/>
      <x:c r="I8294" s="6" t="str">
        <x:v>Pingshui main-list expansion; 詞 entries ignored</x:v>
      </x:c>
      <x:c r="J8294" s="6" t="str">
        <x:f>IF(B8294="","",IF(AND(ISNUMBER(SEARCH("平",B8294)),OR(ISNUMBER(SEARCH("上",B8294)),ISNUMBER(SEARCH("去",B8294)),ISNUMBER(SEARCH("入",B8294)))),"Ambiguous",IF(ISNUMBER(SEARCH("平",B8294)),"平","仄")))</x:f>
        <x:v>平</x:v>
      </x:c>
      <x:c r="K8294" s="6" t="str">
        <x:f>IF(D8294="","",IF(AND(ISNUMBER(SEARCH("平",D8294)),OR(ISNUMBER(SEARCH("上",D8294)),ISNUMBER(SEARCH("去",D8294)),ISNUMBER(SEARCH("入",D8294)))),"Ambiguous",IF(ISNUMBER(SEARCH("平",D8294)),"平","仄")))</x:f>
        <x:v>平</x:v>
      </x:c>
      <x:c r="L8294" s="7" t="str">
        <x:v>Pingshui main list expansion</x:v>
      </x:c>
    </x:row>
    <x:row r="8295">
      <x:c r="A8295" s="5" t="str">
        <x:v>鬙</x:v>
      </x:c>
      <x:c r="B8295" s="6" t="str">
        <x:v>平</x:v>
      </x:c>
      <x:c r="C8295" s="6" t="str">
        <x:f>IF(B8295="","Needs decision","Ready")</x:f>
        <x:v>Ready</x:v>
      </x:c>
      <x:c r="D8295" s="6" t="str">
        <x:v>平</x:v>
      </x:c>
      <x:c r="E8295" s="6" t="str"/>
      <x:c r="F8295" s="6" t="str">
        <x:v>下平聲十蒸</x:v>
      </x:c>
      <x:c r="G8295" s="6" t="str">
        <x:v>Pingshui main list, Wikisource-derived DOCX</x:v>
      </x:c>
      <x:c r="H8295" s="6" t="str"/>
      <x:c r="I8295" s="6" t="str">
        <x:v>Pingshui main-list expansion; 詞 entries ignored</x:v>
      </x:c>
      <x:c r="J8295" s="6" t="str">
        <x:f>IF(B8295="","",IF(AND(ISNUMBER(SEARCH("平",B8295)),OR(ISNUMBER(SEARCH("上",B8295)),ISNUMBER(SEARCH("去",B8295)),ISNUMBER(SEARCH("入",B8295)))),"Ambiguous",IF(ISNUMBER(SEARCH("平",B8295)),"平","仄")))</x:f>
        <x:v>平</x:v>
      </x:c>
      <x:c r="K8295" s="6" t="str">
        <x:f>IF(D8295="","",IF(AND(ISNUMBER(SEARCH("平",D8295)),OR(ISNUMBER(SEARCH("上",D8295)),ISNUMBER(SEARCH("去",D8295)),ISNUMBER(SEARCH("入",D8295)))),"Ambiguous",IF(ISNUMBER(SEARCH("平",D8295)),"平","仄")))</x:f>
        <x:v>平</x:v>
      </x:c>
      <x:c r="L8295" s="7" t="str">
        <x:v>Pingshui main list expansion</x:v>
      </x:c>
    </x:row>
    <x:row r="8296">
      <x:c r="A8296" s="5" t="str">
        <x:v>鬤</x:v>
      </x:c>
      <x:c r="B8296" s="6" t="str">
        <x:v>平</x:v>
      </x:c>
      <x:c r="C8296" s="6" t="str">
        <x:f>IF(B8296="","Needs decision","Ready")</x:f>
        <x:v>Ready</x:v>
      </x:c>
      <x:c r="D8296" s="6" t="str">
        <x:v>平</x:v>
      </x:c>
      <x:c r="E8296" s="6" t="str"/>
      <x:c r="F8296" s="6" t="str">
        <x:v>下平聲七陽</x:v>
      </x:c>
      <x:c r="G8296" s="6" t="str">
        <x:v>Pingshui main list, Wikisource-derived DOCX</x:v>
      </x:c>
      <x:c r="H8296" s="6" t="str"/>
      <x:c r="I8296" s="6" t="str">
        <x:v>Pingshui main-list expansion; 詞 entries ignored</x:v>
      </x:c>
      <x:c r="J8296" s="6" t="str">
        <x:f>IF(B8296="","",IF(AND(ISNUMBER(SEARCH("平",B8296)),OR(ISNUMBER(SEARCH("上",B8296)),ISNUMBER(SEARCH("去",B8296)),ISNUMBER(SEARCH("入",B8296)))),"Ambiguous",IF(ISNUMBER(SEARCH("平",B8296)),"平","仄")))</x:f>
        <x:v>平</x:v>
      </x:c>
      <x:c r="K8296" s="6" t="str">
        <x:f>IF(D8296="","",IF(AND(ISNUMBER(SEARCH("平",D8296)),OR(ISNUMBER(SEARCH("上",D8296)),ISNUMBER(SEARCH("去",D8296)),ISNUMBER(SEARCH("入",D8296)))),"Ambiguous",IF(ISNUMBER(SEARCH("平",D8296)),"平","仄")))</x:f>
        <x:v>平</x:v>
      </x:c>
      <x:c r="L8296" s="7" t="str">
        <x:v>Pingshui main list expansion</x:v>
      </x:c>
    </x:row>
    <x:row r="8297">
      <x:c r="A8297" s="5" t="str">
        <x:v>鬮</x:v>
      </x:c>
      <x:c r="B8297" s="6" t="str">
        <x:v>平</x:v>
      </x:c>
      <x:c r="C8297" s="6" t="str">
        <x:f>IF(B8297="","Needs decision","Ready")</x:f>
        <x:v>Ready</x:v>
      </x:c>
      <x:c r="D8297" s="6" t="str">
        <x:v>平</x:v>
      </x:c>
      <x:c r="E8297" s="6" t="str"/>
      <x:c r="F8297" s="6" t="str">
        <x:v>下平聲十一尤</x:v>
      </x:c>
      <x:c r="G8297" s="6" t="str">
        <x:v>Pingshui main list, Wikisource-derived DOCX</x:v>
      </x:c>
      <x:c r="H8297" s="6" t="str"/>
      <x:c r="I8297" s="6" t="str">
        <x:v>Pingshui main-list expansion; 詞 entries ignored</x:v>
      </x:c>
      <x:c r="J8297" s="6" t="str">
        <x:f>IF(B8297="","",IF(AND(ISNUMBER(SEARCH("平",B8297)),OR(ISNUMBER(SEARCH("上",B8297)),ISNUMBER(SEARCH("去",B8297)),ISNUMBER(SEARCH("入",B8297)))),"Ambiguous",IF(ISNUMBER(SEARCH("平",B8297)),"平","仄")))</x:f>
        <x:v>平</x:v>
      </x:c>
      <x:c r="K8297" s="6" t="str">
        <x:f>IF(D8297="","",IF(AND(ISNUMBER(SEARCH("平",D8297)),OR(ISNUMBER(SEARCH("上",D8297)),ISNUMBER(SEARCH("去",D8297)),ISNUMBER(SEARCH("入",D8297)))),"Ambiguous",IF(ISNUMBER(SEARCH("平",D8297)),"平","仄")))</x:f>
        <x:v>平</x:v>
      </x:c>
      <x:c r="L8297" s="7" t="str">
        <x:v>Pingshui main list expansion</x:v>
      </x:c>
    </x:row>
    <x:row r="8298">
      <x:c r="A8298" s="5" t="str">
        <x:v>鬷</x:v>
      </x:c>
      <x:c r="B8298" s="6" t="str"/>
      <x:c r="C8298" s="6" t="str">
        <x:f>IF(B8298="","Needs decision","Ready")</x:f>
        <x:v>Needs decision</x:v>
      </x:c>
      <x:c r="D8298" s="6" t="str">
        <x:v>平/上</x:v>
      </x:c>
      <x:c r="E8298" s="6" t="str"/>
      <x:c r="F8298" s="6" t="str">
        <x:v>上平聲一東; 上聲一董</x:v>
      </x:c>
      <x:c r="G8298" s="6" t="str">
        <x:v>Pingshui main list, Wikisource-derived DOCX</x:v>
      </x:c>
      <x:c r="H8298" s="6" t="str"/>
      <x:c r="I8298" s="6" t="str">
        <x:v>Pingshui main-list expansion; 詞 entries ignored</x:v>
      </x:c>
      <x:c r="J8298" s="6" t="str">
        <x:f>IF(B8298="","",IF(AND(ISNUMBER(SEARCH("平",B8298)),OR(ISNUMBER(SEARCH("上",B8298)),ISNUMBER(SEARCH("去",B8298)),ISNUMBER(SEARCH("入",B8298)))),"Ambiguous",IF(ISNUMBER(SEARCH("平",B8298)),"平","仄")))</x:f>
      </x:c>
      <x:c r="K8298" s="6" t="str">
        <x:f>IF(D8298="","",IF(AND(ISNUMBER(SEARCH("平",D8298)),OR(ISNUMBER(SEARCH("上",D8298)),ISNUMBER(SEARCH("去",D8298)),ISNUMBER(SEARCH("入",D8298)))),"Ambiguous",IF(ISNUMBER(SEARCH("平",D8298)),"平","仄")))</x:f>
        <x:v>Ambiguous</x:v>
      </x:c>
      <x:c r="L8298" s="7" t="str">
        <x:v>Pingshui main list expansion</x:v>
      </x:c>
    </x:row>
    <x:row r="8299">
      <x:c r="A8299" s="5" t="str">
        <x:v>魃</x:v>
      </x:c>
      <x:c r="B8299" s="6" t="str">
        <x:v>入</x:v>
      </x:c>
      <x:c r="C8299" s="6" t="str">
        <x:f>IF(B8299="","Needs decision","Ready")</x:f>
        <x:v>Ready</x:v>
      </x:c>
      <x:c r="D8299" s="6" t="str">
        <x:v>入</x:v>
      </x:c>
      <x:c r="E8299" s="6" t="str"/>
      <x:c r="F8299" s="6" t="str">
        <x:v>入聲七曷</x:v>
      </x:c>
      <x:c r="G8299" s="6" t="str">
        <x:v>Pingshui main list, Wikisource-derived DOCX</x:v>
      </x:c>
      <x:c r="H8299" s="6" t="str"/>
      <x:c r="I8299" s="6" t="str">
        <x:v>Pingshui main-list expansion; 詞 entries ignored</x:v>
      </x:c>
      <x:c r="J8299" s="6" t="str">
        <x:f>IF(B8299="","",IF(AND(ISNUMBER(SEARCH("平",B8299)),OR(ISNUMBER(SEARCH("上",B8299)),ISNUMBER(SEARCH("去",B8299)),ISNUMBER(SEARCH("入",B8299)))),"Ambiguous",IF(ISNUMBER(SEARCH("平",B8299)),"平","仄")))</x:f>
        <x:v>仄</x:v>
      </x:c>
      <x:c r="K8299" s="6" t="str">
        <x:f>IF(D8299="","",IF(AND(ISNUMBER(SEARCH("平",D8299)),OR(ISNUMBER(SEARCH("上",D8299)),ISNUMBER(SEARCH("去",D8299)),ISNUMBER(SEARCH("入",D8299)))),"Ambiguous",IF(ISNUMBER(SEARCH("平",D8299)),"平","仄")))</x:f>
        <x:v>仄</x:v>
      </x:c>
      <x:c r="L8299" s="7" t="str">
        <x:v>Pingshui main list expansion</x:v>
      </x:c>
    </x:row>
    <x:row r="8300">
      <x:c r="A8300" s="5" t="str">
        <x:v>魈</x:v>
      </x:c>
      <x:c r="B8300" s="6" t="str">
        <x:v>平</x:v>
      </x:c>
      <x:c r="C8300" s="6" t="str">
        <x:f>IF(B8300="","Needs decision","Ready")</x:f>
        <x:v>Ready</x:v>
      </x:c>
      <x:c r="D8300" s="6" t="str">
        <x:v>平</x:v>
      </x:c>
      <x:c r="E8300" s="6" t="str"/>
      <x:c r="F8300" s="6" t="str">
        <x:v>下平聲二蕭</x:v>
      </x:c>
      <x:c r="G8300" s="6" t="str">
        <x:v>Pingshui main list, Wikisource-derived DOCX</x:v>
      </x:c>
      <x:c r="H8300" s="6" t="str"/>
      <x:c r="I8300" s="6" t="str">
        <x:v>Pingshui main-list expansion; 詞 entries ignored</x:v>
      </x:c>
      <x:c r="J8300" s="6" t="str">
        <x:f>IF(B8300="","",IF(AND(ISNUMBER(SEARCH("平",B8300)),OR(ISNUMBER(SEARCH("上",B8300)),ISNUMBER(SEARCH("去",B8300)),ISNUMBER(SEARCH("入",B8300)))),"Ambiguous",IF(ISNUMBER(SEARCH("平",B8300)),"平","仄")))</x:f>
        <x:v>平</x:v>
      </x:c>
      <x:c r="K8300" s="6" t="str">
        <x:f>IF(D8300="","",IF(AND(ISNUMBER(SEARCH("平",D8300)),OR(ISNUMBER(SEARCH("上",D8300)),ISNUMBER(SEARCH("去",D8300)),ISNUMBER(SEARCH("入",D8300)))),"Ambiguous",IF(ISNUMBER(SEARCH("平",D8300)),"平","仄")))</x:f>
        <x:v>平</x:v>
      </x:c>
      <x:c r="L8300" s="7" t="str">
        <x:v>Pingshui main list expansion</x:v>
      </x:c>
    </x:row>
    <x:row r="8301">
      <x:c r="A8301" s="5" t="str">
        <x:v>魊</x:v>
      </x:c>
      <x:c r="B8301" s="6" t="str">
        <x:v>入</x:v>
      </x:c>
      <x:c r="C8301" s="6" t="str">
        <x:f>IF(B8301="","Needs decision","Ready")</x:f>
        <x:v>Ready</x:v>
      </x:c>
      <x:c r="D8301" s="6" t="str">
        <x:v>入</x:v>
      </x:c>
      <x:c r="E8301" s="6" t="str"/>
      <x:c r="F8301" s="6" t="str">
        <x:v>入聲十三職</x:v>
      </x:c>
      <x:c r="G8301" s="6" t="str">
        <x:v>Pingshui main list, Wikisource-derived DOCX</x:v>
      </x:c>
      <x:c r="H8301" s="6" t="str"/>
      <x:c r="I8301" s="6" t="str">
        <x:v>Pingshui main-list expansion; 詞 entries ignored</x:v>
      </x:c>
      <x:c r="J8301" s="6" t="str">
        <x:f>IF(B8301="","",IF(AND(ISNUMBER(SEARCH("平",B8301)),OR(ISNUMBER(SEARCH("上",B8301)),ISNUMBER(SEARCH("去",B8301)),ISNUMBER(SEARCH("入",B8301)))),"Ambiguous",IF(ISNUMBER(SEARCH("平",B8301)),"平","仄")))</x:f>
        <x:v>仄</x:v>
      </x:c>
      <x:c r="K8301" s="6" t="str">
        <x:f>IF(D8301="","",IF(AND(ISNUMBER(SEARCH("平",D8301)),OR(ISNUMBER(SEARCH("上",D8301)),ISNUMBER(SEARCH("去",D8301)),ISNUMBER(SEARCH("入",D8301)))),"Ambiguous",IF(ISNUMBER(SEARCH("平",D8301)),"平","仄")))</x:f>
        <x:v>仄</x:v>
      </x:c>
      <x:c r="L8301" s="7" t="str">
        <x:v>Pingshui main list expansion</x:v>
      </x:c>
    </x:row>
    <x:row r="8302">
      <x:c r="A8302" s="5" t="str">
        <x:v>魌</x:v>
      </x:c>
      <x:c r="B8302" s="6" t="str">
        <x:v>平</x:v>
      </x:c>
      <x:c r="C8302" s="6" t="str">
        <x:f>IF(B8302="","Needs decision","Ready")</x:f>
        <x:v>Ready</x:v>
      </x:c>
      <x:c r="D8302" s="6" t="str">
        <x:v>平</x:v>
      </x:c>
      <x:c r="E8302" s="6" t="str"/>
      <x:c r="F8302" s="6" t="str">
        <x:v>上平聲四支</x:v>
      </x:c>
      <x:c r="G8302" s="6" t="str">
        <x:v>Pingshui main list, Wikisource-derived DOCX</x:v>
      </x:c>
      <x:c r="H8302" s="6" t="str"/>
      <x:c r="I8302" s="6" t="str">
        <x:v>Pingshui main-list expansion; 詞 entries ignored</x:v>
      </x:c>
      <x:c r="J8302" s="6" t="str">
        <x:f>IF(B8302="","",IF(AND(ISNUMBER(SEARCH("平",B8302)),OR(ISNUMBER(SEARCH("上",B8302)),ISNUMBER(SEARCH("去",B8302)),ISNUMBER(SEARCH("入",B8302)))),"Ambiguous",IF(ISNUMBER(SEARCH("平",B8302)),"平","仄")))</x:f>
        <x:v>平</x:v>
      </x:c>
      <x:c r="K8302" s="6" t="str">
        <x:f>IF(D8302="","",IF(AND(ISNUMBER(SEARCH("平",D8302)),OR(ISNUMBER(SEARCH("上",D8302)),ISNUMBER(SEARCH("去",D8302)),ISNUMBER(SEARCH("入",D8302)))),"Ambiguous",IF(ISNUMBER(SEARCH("平",D8302)),"平","仄")))</x:f>
        <x:v>平</x:v>
      </x:c>
      <x:c r="L8302" s="7" t="str">
        <x:v>Pingshui main list expansion</x:v>
      </x:c>
    </x:row>
    <x:row r="8303">
      <x:c r="A8303" s="5" t="str">
        <x:v>魍</x:v>
      </x:c>
      <x:c r="B8303" s="6" t="str">
        <x:v>上</x:v>
      </x:c>
      <x:c r="C8303" s="6" t="str">
        <x:f>IF(B8303="","Needs decision","Ready")</x:f>
        <x:v>Ready</x:v>
      </x:c>
      <x:c r="D8303" s="6" t="str">
        <x:v>上</x:v>
      </x:c>
      <x:c r="E8303" s="6" t="str"/>
      <x:c r="F8303" s="6" t="str">
        <x:v>上聲二十二養</x:v>
      </x:c>
      <x:c r="G8303" s="6" t="str">
        <x:v>Pingshui main list, Wikisource-derived DOCX</x:v>
      </x:c>
      <x:c r="H8303" s="6" t="str"/>
      <x:c r="I8303" s="6" t="str">
        <x:v>Pingshui main-list expansion; 詞 entries ignored</x:v>
      </x:c>
      <x:c r="J8303" s="6" t="str">
        <x:f>IF(B8303="","",IF(AND(ISNUMBER(SEARCH("平",B8303)),OR(ISNUMBER(SEARCH("上",B8303)),ISNUMBER(SEARCH("去",B8303)),ISNUMBER(SEARCH("入",B8303)))),"Ambiguous",IF(ISNUMBER(SEARCH("平",B8303)),"平","仄")))</x:f>
        <x:v>仄</x:v>
      </x:c>
      <x:c r="K8303" s="6" t="str">
        <x:f>IF(D8303="","",IF(AND(ISNUMBER(SEARCH("平",D8303)),OR(ISNUMBER(SEARCH("上",D8303)),ISNUMBER(SEARCH("去",D8303)),ISNUMBER(SEARCH("入",D8303)))),"Ambiguous",IF(ISNUMBER(SEARCH("平",D8303)),"平","仄")))</x:f>
        <x:v>仄</x:v>
      </x:c>
      <x:c r="L8303" s="7" t="str">
        <x:v>Pingshui main list expansion</x:v>
      </x:c>
    </x:row>
    <x:row r="8304">
      <x:c r="A8304" s="5" t="str">
        <x:v>魖</x:v>
      </x:c>
      <x:c r="B8304" s="6" t="str">
        <x:v>平</x:v>
      </x:c>
      <x:c r="C8304" s="6" t="str">
        <x:f>IF(B8304="","Needs decision","Ready")</x:f>
        <x:v>Ready</x:v>
      </x:c>
      <x:c r="D8304" s="6" t="str">
        <x:v>平</x:v>
      </x:c>
      <x:c r="E8304" s="6" t="str"/>
      <x:c r="F8304" s="6" t="str">
        <x:v>上平聲六魚</x:v>
      </x:c>
      <x:c r="G8304" s="6" t="str">
        <x:v>Pingshui main list, Wikisource-derived DOCX</x:v>
      </x:c>
      <x:c r="H8304" s="6" t="str"/>
      <x:c r="I8304" s="6" t="str">
        <x:v>Pingshui main-list expansion; 詞 entries ignored</x:v>
      </x:c>
      <x:c r="J8304" s="6" t="str">
        <x:f>IF(B8304="","",IF(AND(ISNUMBER(SEARCH("平",B8304)),OR(ISNUMBER(SEARCH("上",B8304)),ISNUMBER(SEARCH("去",B8304)),ISNUMBER(SEARCH("入",B8304)))),"Ambiguous",IF(ISNUMBER(SEARCH("平",B8304)),"平","仄")))</x:f>
        <x:v>平</x:v>
      </x:c>
      <x:c r="K8304" s="6" t="str">
        <x:f>IF(D8304="","",IF(AND(ISNUMBER(SEARCH("平",D8304)),OR(ISNUMBER(SEARCH("上",D8304)),ISNUMBER(SEARCH("去",D8304)),ISNUMBER(SEARCH("入",D8304)))),"Ambiguous",IF(ISNUMBER(SEARCH("平",D8304)),"平","仄")))</x:f>
        <x:v>平</x:v>
      </x:c>
      <x:c r="L8304" s="7" t="str">
        <x:v>Pingshui main list expansion</x:v>
      </x:c>
    </x:row>
    <x:row r="8305">
      <x:c r="A8305" s="5" t="str">
        <x:v>魘</x:v>
      </x:c>
      <x:c r="B8305" s="6" t="str"/>
      <x:c r="C8305" s="6" t="str">
        <x:f>IF(B8305="","Needs decision","Ready")</x:f>
        <x:v>Needs decision</x:v>
      </x:c>
      <x:c r="D8305" s="6" t="str">
        <x:v>上/入</x:v>
      </x:c>
      <x:c r="E8305" s="6" t="str"/>
      <x:c r="F8305" s="6" t="str">
        <x:v>上聲二十八琰; 入聲十六葉</x:v>
      </x:c>
      <x:c r="G8305" s="6" t="str">
        <x:v>Pingshui main list, Wikisource-derived DOCX</x:v>
      </x:c>
      <x:c r="H8305" s="6" t="str"/>
      <x:c r="I8305" s="6" t="str">
        <x:v>Pingshui main-list expansion; 詞 entries ignored</x:v>
      </x:c>
      <x:c r="J8305" s="6" t="str">
        <x:f>IF(B8305="","",IF(AND(ISNUMBER(SEARCH("平",B8305)),OR(ISNUMBER(SEARCH("上",B8305)),ISNUMBER(SEARCH("去",B8305)),ISNUMBER(SEARCH("入",B8305)))),"Ambiguous",IF(ISNUMBER(SEARCH("平",B8305)),"平","仄")))</x:f>
      </x:c>
      <x:c r="K8305" s="6" t="str">
        <x:f>IF(D8305="","",IF(AND(ISNUMBER(SEARCH("平",D8305)),OR(ISNUMBER(SEARCH("上",D8305)),ISNUMBER(SEARCH("去",D8305)),ISNUMBER(SEARCH("入",D8305)))),"Ambiguous",IF(ISNUMBER(SEARCH("平",D8305)),"平","仄")))</x:f>
        <x:v>仄</x:v>
      </x:c>
      <x:c r="L8305" s="7" t="str">
        <x:v>Pingshui main list expansion</x:v>
      </x:c>
    </x:row>
    <x:row r="8306">
      <x:c r="A8306" s="5" t="str">
        <x:v>魛</x:v>
      </x:c>
      <x:c r="B8306" s="6" t="str">
        <x:v>平</x:v>
      </x:c>
      <x:c r="C8306" s="6" t="str">
        <x:f>IF(B8306="","Needs decision","Ready")</x:f>
        <x:v>Ready</x:v>
      </x:c>
      <x:c r="D8306" s="6" t="str">
        <x:v>平</x:v>
      </x:c>
      <x:c r="E8306" s="6" t="str"/>
      <x:c r="F8306" s="6" t="str">
        <x:v>下平聲四豪</x:v>
      </x:c>
      <x:c r="G8306" s="6" t="str">
        <x:v>Pingshui main list, Wikisource-derived DOCX</x:v>
      </x:c>
      <x:c r="H8306" s="6" t="str"/>
      <x:c r="I8306" s="6" t="str">
        <x:v>Pingshui main-list expansion; 詞 entries ignored</x:v>
      </x:c>
      <x:c r="J8306" s="6" t="str">
        <x:f>IF(B8306="","",IF(AND(ISNUMBER(SEARCH("平",B8306)),OR(ISNUMBER(SEARCH("上",B8306)),ISNUMBER(SEARCH("去",B8306)),ISNUMBER(SEARCH("入",B8306)))),"Ambiguous",IF(ISNUMBER(SEARCH("平",B8306)),"平","仄")))</x:f>
        <x:v>平</x:v>
      </x:c>
      <x:c r="K8306" s="6" t="str">
        <x:f>IF(D8306="","",IF(AND(ISNUMBER(SEARCH("平",D8306)),OR(ISNUMBER(SEARCH("上",D8306)),ISNUMBER(SEARCH("去",D8306)),ISNUMBER(SEARCH("入",D8306)))),"Ambiguous",IF(ISNUMBER(SEARCH("平",D8306)),"平","仄")))</x:f>
        <x:v>平</x:v>
      </x:c>
      <x:c r="L8306" s="7" t="str">
        <x:v>Pingshui main list expansion</x:v>
      </x:c>
    </x:row>
    <x:row r="8307">
      <x:c r="A8307" s="5" t="str">
        <x:v>魠</x:v>
      </x:c>
      <x:c r="B8307" s="6" t="str">
        <x:v>入</x:v>
      </x:c>
      <x:c r="C8307" s="6" t="str">
        <x:f>IF(B8307="","Needs decision","Ready")</x:f>
        <x:v>Ready</x:v>
      </x:c>
      <x:c r="D8307" s="6" t="str">
        <x:v>入</x:v>
      </x:c>
      <x:c r="E8307" s="6" t="str"/>
      <x:c r="F8307" s="6" t="str">
        <x:v>入聲十藥</x:v>
      </x:c>
      <x:c r="G8307" s="6" t="str">
        <x:v>Pingshui main list, Wikisource-derived DOCX</x:v>
      </x:c>
      <x:c r="H8307" s="6" t="str"/>
      <x:c r="I8307" s="6" t="str">
        <x:v>Pingshui main-list expansion; 詞 entries ignored</x:v>
      </x:c>
      <x:c r="J8307" s="6" t="str">
        <x:f>IF(B8307="","",IF(AND(ISNUMBER(SEARCH("平",B8307)),OR(ISNUMBER(SEARCH("上",B8307)),ISNUMBER(SEARCH("去",B8307)),ISNUMBER(SEARCH("入",B8307)))),"Ambiguous",IF(ISNUMBER(SEARCH("平",B8307)),"平","仄")))</x:f>
        <x:v>仄</x:v>
      </x:c>
      <x:c r="K8307" s="6" t="str">
        <x:f>IF(D8307="","",IF(AND(ISNUMBER(SEARCH("平",D8307)),OR(ISNUMBER(SEARCH("上",D8307)),ISNUMBER(SEARCH("去",D8307)),ISNUMBER(SEARCH("入",D8307)))),"Ambiguous",IF(ISNUMBER(SEARCH("平",D8307)),"平","仄")))</x:f>
        <x:v>仄</x:v>
      </x:c>
      <x:c r="L8307" s="7" t="str">
        <x:v>Pingshui main list expansion</x:v>
      </x:c>
    </x:row>
    <x:row r="8308">
      <x:c r="A8308" s="5" t="str">
        <x:v>魵</x:v>
      </x:c>
      <x:c r="B8308" s="6" t="str">
        <x:v>平</x:v>
      </x:c>
      <x:c r="C8308" s="6" t="str">
        <x:f>IF(B8308="","Needs decision","Ready")</x:f>
        <x:v>Ready</x:v>
      </x:c>
      <x:c r="D8308" s="6" t="str">
        <x:v>平</x:v>
      </x:c>
      <x:c r="E8308" s="6" t="str"/>
      <x:c r="F8308" s="6" t="str">
        <x:v>上平聲十二文</x:v>
      </x:c>
      <x:c r="G8308" s="6" t="str">
        <x:v>Pingshui main list, Wikisource-derived DOCX</x:v>
      </x:c>
      <x:c r="H8308" s="6" t="str"/>
      <x:c r="I8308" s="6" t="str">
        <x:v>Pingshui main-list expansion; 詞 entries ignored</x:v>
      </x:c>
      <x:c r="J8308" s="6" t="str">
        <x:f>IF(B8308="","",IF(AND(ISNUMBER(SEARCH("平",B8308)),OR(ISNUMBER(SEARCH("上",B8308)),ISNUMBER(SEARCH("去",B8308)),ISNUMBER(SEARCH("入",B8308)))),"Ambiguous",IF(ISNUMBER(SEARCH("平",B8308)),"平","仄")))</x:f>
        <x:v>平</x:v>
      </x:c>
      <x:c r="K8308" s="6" t="str">
        <x:f>IF(D8308="","",IF(AND(ISNUMBER(SEARCH("平",D8308)),OR(ISNUMBER(SEARCH("上",D8308)),ISNUMBER(SEARCH("去",D8308)),ISNUMBER(SEARCH("入",D8308)))),"Ambiguous",IF(ISNUMBER(SEARCH("平",D8308)),"平","仄")))</x:f>
        <x:v>平</x:v>
      </x:c>
      <x:c r="L8308" s="7" t="str">
        <x:v>Pingshui main list expansion</x:v>
      </x:c>
    </x:row>
    <x:row r="8309">
      <x:c r="A8309" s="5" t="str">
        <x:v>鮞</x:v>
      </x:c>
      <x:c r="B8309" s="6" t="str">
        <x:v>平</x:v>
      </x:c>
      <x:c r="C8309" s="6" t="str">
        <x:f>IF(B8309="","Needs decision","Ready")</x:f>
        <x:v>Ready</x:v>
      </x:c>
      <x:c r="D8309" s="6" t="str">
        <x:v>平</x:v>
      </x:c>
      <x:c r="E8309" s="6" t="str"/>
      <x:c r="F8309" s="6" t="str">
        <x:v>上平聲四支</x:v>
      </x:c>
      <x:c r="G8309" s="6" t="str">
        <x:v>Pingshui main list, Wikisource-derived DOCX</x:v>
      </x:c>
      <x:c r="H8309" s="6" t="str"/>
      <x:c r="I8309" s="6" t="str">
        <x:v>Pingshui main-list expansion; 詞 entries ignored</x:v>
      </x:c>
      <x:c r="J8309" s="6" t="str">
        <x:f>IF(B8309="","",IF(AND(ISNUMBER(SEARCH("平",B8309)),OR(ISNUMBER(SEARCH("上",B8309)),ISNUMBER(SEARCH("去",B8309)),ISNUMBER(SEARCH("入",B8309)))),"Ambiguous",IF(ISNUMBER(SEARCH("平",B8309)),"平","仄")))</x:f>
        <x:v>平</x:v>
      </x:c>
      <x:c r="K8309" s="6" t="str">
        <x:f>IF(D8309="","",IF(AND(ISNUMBER(SEARCH("平",D8309)),OR(ISNUMBER(SEARCH("上",D8309)),ISNUMBER(SEARCH("去",D8309)),ISNUMBER(SEARCH("入",D8309)))),"Ambiguous",IF(ISNUMBER(SEARCH("平",D8309)),"平","仄")))</x:f>
        <x:v>平</x:v>
      </x:c>
      <x:c r="L8309" s="7" t="str">
        <x:v>Pingshui main list expansion</x:v>
      </x:c>
    </x:row>
    <x:row r="8310">
      <x:c r="A8310" s="5" t="str">
        <x:v>鮡</x:v>
      </x:c>
      <x:c r="B8310" s="6" t="str">
        <x:v>上</x:v>
      </x:c>
      <x:c r="C8310" s="6" t="str">
        <x:f>IF(B8310="","Needs decision","Ready")</x:f>
        <x:v>Ready</x:v>
      </x:c>
      <x:c r="D8310" s="6" t="str">
        <x:v>上</x:v>
      </x:c>
      <x:c r="E8310" s="6" t="str"/>
      <x:c r="F8310" s="6" t="str">
        <x:v>上聲十七篠</x:v>
      </x:c>
      <x:c r="G8310" s="6" t="str">
        <x:v>Pingshui main list, Wikisource-derived DOCX</x:v>
      </x:c>
      <x:c r="H8310" s="6" t="str"/>
      <x:c r="I8310" s="6" t="str">
        <x:v>Pingshui main-list expansion; 詞 entries ignored</x:v>
      </x:c>
      <x:c r="J8310" s="6" t="str">
        <x:f>IF(B8310="","",IF(AND(ISNUMBER(SEARCH("平",B8310)),OR(ISNUMBER(SEARCH("上",B8310)),ISNUMBER(SEARCH("去",B8310)),ISNUMBER(SEARCH("入",B8310)))),"Ambiguous",IF(ISNUMBER(SEARCH("平",B8310)),"平","仄")))</x:f>
        <x:v>仄</x:v>
      </x:c>
      <x:c r="K8310" s="6" t="str">
        <x:f>IF(D8310="","",IF(AND(ISNUMBER(SEARCH("平",D8310)),OR(ISNUMBER(SEARCH("上",D8310)),ISNUMBER(SEARCH("去",D8310)),ISNUMBER(SEARCH("入",D8310)))),"Ambiguous",IF(ISNUMBER(SEARCH("平",D8310)),"平","仄")))</x:f>
        <x:v>仄</x:v>
      </x:c>
      <x:c r="L8310" s="7" t="str">
        <x:v>Pingshui main list expansion</x:v>
      </x:c>
    </x:row>
    <x:row r="8311">
      <x:c r="A8311" s="5" t="str">
        <x:v>鮥</x:v>
      </x:c>
      <x:c r="B8311" s="6" t="str">
        <x:v>入</x:v>
      </x:c>
      <x:c r="C8311" s="6" t="str">
        <x:f>IF(B8311="","Needs decision","Ready")</x:f>
        <x:v>Ready</x:v>
      </x:c>
      <x:c r="D8311" s="6" t="str">
        <x:v>入</x:v>
      </x:c>
      <x:c r="E8311" s="6" t="str"/>
      <x:c r="F8311" s="6" t="str">
        <x:v>入聲十藥</x:v>
      </x:c>
      <x:c r="G8311" s="6" t="str">
        <x:v>Pingshui main list, Wikisource-derived DOCX</x:v>
      </x:c>
      <x:c r="H8311" s="6" t="str"/>
      <x:c r="I8311" s="6" t="str">
        <x:v>Pingshui main-list expansion; 詞 entries ignored</x:v>
      </x:c>
      <x:c r="J8311" s="6" t="str">
        <x:f>IF(B8311="","",IF(AND(ISNUMBER(SEARCH("平",B8311)),OR(ISNUMBER(SEARCH("上",B8311)),ISNUMBER(SEARCH("去",B8311)),ISNUMBER(SEARCH("入",B8311)))),"Ambiguous",IF(ISNUMBER(SEARCH("平",B8311)),"平","仄")))</x:f>
        <x:v>仄</x:v>
      </x:c>
      <x:c r="K8311" s="6" t="str">
        <x:f>IF(D8311="","",IF(AND(ISNUMBER(SEARCH("平",D8311)),OR(ISNUMBER(SEARCH("上",D8311)),ISNUMBER(SEARCH("去",D8311)),ISNUMBER(SEARCH("入",D8311)))),"Ambiguous",IF(ISNUMBER(SEARCH("平",D8311)),"平","仄")))</x:f>
        <x:v>仄</x:v>
      </x:c>
      <x:c r="L8311" s="7" t="str">
        <x:v>Pingshui main list expansion</x:v>
      </x:c>
    </x:row>
    <x:row r="8312">
      <x:c r="A8312" s="5" t="str">
        <x:v>鯀</x:v>
      </x:c>
      <x:c r="B8312" s="6" t="str">
        <x:v>上</x:v>
      </x:c>
      <x:c r="C8312" s="6" t="str">
        <x:f>IF(B8312="","Needs decision","Ready")</x:f>
        <x:v>Ready</x:v>
      </x:c>
      <x:c r="D8312" s="6" t="str">
        <x:v>上</x:v>
      </x:c>
      <x:c r="E8312" s="6" t="str"/>
      <x:c r="F8312" s="6" t="str">
        <x:v>上聲十三阮</x:v>
      </x:c>
      <x:c r="G8312" s="6" t="str">
        <x:v>Pingshui main list, Wikisource-derived DOCX</x:v>
      </x:c>
      <x:c r="H8312" s="6" t="str"/>
      <x:c r="I8312" s="6" t="str">
        <x:v>Pingshui main-list expansion; 詞 entries ignored</x:v>
      </x:c>
      <x:c r="J8312" s="6" t="str">
        <x:f>IF(B8312="","",IF(AND(ISNUMBER(SEARCH("平",B8312)),OR(ISNUMBER(SEARCH("上",B8312)),ISNUMBER(SEARCH("去",B8312)),ISNUMBER(SEARCH("入",B8312)))),"Ambiguous",IF(ISNUMBER(SEARCH("平",B8312)),"平","仄")))</x:f>
        <x:v>仄</x:v>
      </x:c>
      <x:c r="K8312" s="6" t="str">
        <x:f>IF(D8312="","",IF(AND(ISNUMBER(SEARCH("平",D8312)),OR(ISNUMBER(SEARCH("上",D8312)),ISNUMBER(SEARCH("去",D8312)),ISNUMBER(SEARCH("入",D8312)))),"Ambiguous",IF(ISNUMBER(SEARCH("平",D8312)),"平","仄")))</x:f>
        <x:v>仄</x:v>
      </x:c>
      <x:c r="L8312" s="7" t="str">
        <x:v>Pingshui main list expansion</x:v>
      </x:c>
    </x:row>
    <x:row r="8313">
      <x:c r="A8313" s="5" t="str">
        <x:v>鯖</x:v>
      </x:c>
      <x:c r="B8313" s="6" t="str">
        <x:v>平</x:v>
      </x:c>
      <x:c r="C8313" s="6" t="str">
        <x:f>IF(B8313="","Needs decision","Ready")</x:f>
        <x:v>Ready</x:v>
      </x:c>
      <x:c r="D8313" s="6" t="str">
        <x:v>平</x:v>
      </x:c>
      <x:c r="E8313" s="6" t="str"/>
      <x:c r="F8313" s="6" t="str">
        <x:v>下平聲八庚</x:v>
      </x:c>
      <x:c r="G8313" s="6" t="str">
        <x:v>Pingshui main list, Wikisource-derived DOCX</x:v>
      </x:c>
      <x:c r="H8313" s="6" t="str"/>
      <x:c r="I8313" s="6" t="str">
        <x:v>Pingshui main-list expansion; 詞 entries ignored</x:v>
      </x:c>
      <x:c r="J8313" s="6" t="str">
        <x:f>IF(B8313="","",IF(AND(ISNUMBER(SEARCH("平",B8313)),OR(ISNUMBER(SEARCH("上",B8313)),ISNUMBER(SEARCH("去",B8313)),ISNUMBER(SEARCH("入",B8313)))),"Ambiguous",IF(ISNUMBER(SEARCH("平",B8313)),"平","仄")))</x:f>
        <x:v>平</x:v>
      </x:c>
      <x:c r="K8313" s="6" t="str">
        <x:f>IF(D8313="","",IF(AND(ISNUMBER(SEARCH("平",D8313)),OR(ISNUMBER(SEARCH("上",D8313)),ISNUMBER(SEARCH("去",D8313)),ISNUMBER(SEARCH("入",D8313)))),"Ambiguous",IF(ISNUMBER(SEARCH("平",D8313)),"平","仄")))</x:f>
        <x:v>平</x:v>
      </x:c>
      <x:c r="L8313" s="7" t="str">
        <x:v>Pingshui main list expansion</x:v>
      </x:c>
    </x:row>
    <x:row r="8314">
      <x:c r="A8314" s="5" t="str">
        <x:v>鯗</x:v>
      </x:c>
      <x:c r="B8314" s="6" t="str">
        <x:v>上</x:v>
      </x:c>
      <x:c r="C8314" s="6" t="str">
        <x:f>IF(B8314="","Needs decision","Ready")</x:f>
        <x:v>Ready</x:v>
      </x:c>
      <x:c r="D8314" s="6" t="str">
        <x:v>上</x:v>
      </x:c>
      <x:c r="E8314" s="6" t="str"/>
      <x:c r="F8314" s="6" t="str">
        <x:v>上聲二十二養</x:v>
      </x:c>
      <x:c r="G8314" s="6" t="str">
        <x:v>Pingshui main list, Wikisource-derived DOCX</x:v>
      </x:c>
      <x:c r="H8314" s="6" t="str"/>
      <x:c r="I8314" s="6" t="str">
        <x:v>Pingshui main-list expansion; 詞 entries ignored</x:v>
      </x:c>
      <x:c r="J8314" s="6" t="str">
        <x:f>IF(B8314="","",IF(AND(ISNUMBER(SEARCH("平",B8314)),OR(ISNUMBER(SEARCH("上",B8314)),ISNUMBER(SEARCH("去",B8314)),ISNUMBER(SEARCH("入",B8314)))),"Ambiguous",IF(ISNUMBER(SEARCH("平",B8314)),"平","仄")))</x:f>
        <x:v>仄</x:v>
      </x:c>
      <x:c r="K8314" s="6" t="str">
        <x:f>IF(D8314="","",IF(AND(ISNUMBER(SEARCH("平",D8314)),OR(ISNUMBER(SEARCH("上",D8314)),ISNUMBER(SEARCH("去",D8314)),ISNUMBER(SEARCH("入",D8314)))),"Ambiguous",IF(ISNUMBER(SEARCH("平",D8314)),"平","仄")))</x:f>
        <x:v>仄</x:v>
      </x:c>
      <x:c r="L8314" s="7" t="str">
        <x:v>Pingshui main list expansion</x:v>
      </x:c>
    </x:row>
    <x:row r="8315">
      <x:c r="A8315" s="5" t="str">
        <x:v>鯜</x:v>
      </x:c>
      <x:c r="B8315" s="6" t="str">
        <x:v>入</x:v>
      </x:c>
      <x:c r="C8315" s="6" t="str">
        <x:f>IF(B8315="","Needs decision","Ready")</x:f>
        <x:v>Ready</x:v>
      </x:c>
      <x:c r="D8315" s="6" t="str">
        <x:v>入</x:v>
      </x:c>
      <x:c r="E8315" s="6" t="str"/>
      <x:c r="F8315" s="6" t="str">
        <x:v>入聲十六葉</x:v>
      </x:c>
      <x:c r="G8315" s="6" t="str">
        <x:v>Pingshui main list, Wikisource-derived DOCX</x:v>
      </x:c>
      <x:c r="H8315" s="6" t="str"/>
      <x:c r="I8315" s="6" t="str">
        <x:v>Pingshui main-list expansion; 詞 entries ignored</x:v>
      </x:c>
      <x:c r="J8315" s="6" t="str">
        <x:f>IF(B8315="","",IF(AND(ISNUMBER(SEARCH("平",B8315)),OR(ISNUMBER(SEARCH("上",B8315)),ISNUMBER(SEARCH("去",B8315)),ISNUMBER(SEARCH("入",B8315)))),"Ambiguous",IF(ISNUMBER(SEARCH("平",B8315)),"平","仄")))</x:f>
        <x:v>仄</x:v>
      </x:c>
      <x:c r="K8315" s="6" t="str">
        <x:f>IF(D8315="","",IF(AND(ISNUMBER(SEARCH("平",D8315)),OR(ISNUMBER(SEARCH("上",D8315)),ISNUMBER(SEARCH("去",D8315)),ISNUMBER(SEARCH("入",D8315)))),"Ambiguous",IF(ISNUMBER(SEARCH("平",D8315)),"平","仄")))</x:f>
        <x:v>仄</x:v>
      </x:c>
      <x:c r="L8315" s="7" t="str">
        <x:v>Pingshui main list expansion</x:v>
      </x:c>
    </x:row>
    <x:row r="8316">
      <x:c r="A8316" s="5" t="str">
        <x:v>鯧</x:v>
      </x:c>
      <x:c r="B8316" s="6" t="str">
        <x:v>平</x:v>
      </x:c>
      <x:c r="C8316" s="6" t="str">
        <x:f>IF(B8316="","Needs decision","Ready")</x:f>
        <x:v>Ready</x:v>
      </x:c>
      <x:c r="D8316" s="6" t="str">
        <x:v>平</x:v>
      </x:c>
      <x:c r="E8316" s="6" t="str"/>
      <x:c r="F8316" s="6" t="str">
        <x:v>下平聲七陽</x:v>
      </x:c>
      <x:c r="G8316" s="6" t="str">
        <x:v>Pingshui main list, Wikisource-derived DOCX</x:v>
      </x:c>
      <x:c r="H8316" s="6" t="str"/>
      <x:c r="I8316" s="6" t="str">
        <x:v>Pingshui main-list expansion; 詞 entries ignored</x:v>
      </x:c>
      <x:c r="J8316" s="6" t="str">
        <x:f>IF(B8316="","",IF(AND(ISNUMBER(SEARCH("平",B8316)),OR(ISNUMBER(SEARCH("上",B8316)),ISNUMBER(SEARCH("去",B8316)),ISNUMBER(SEARCH("入",B8316)))),"Ambiguous",IF(ISNUMBER(SEARCH("平",B8316)),"平","仄")))</x:f>
        <x:v>平</x:v>
      </x:c>
      <x:c r="K8316" s="6" t="str">
        <x:f>IF(D8316="","",IF(AND(ISNUMBER(SEARCH("平",D8316)),OR(ISNUMBER(SEARCH("上",D8316)),ISNUMBER(SEARCH("去",D8316)),ISNUMBER(SEARCH("入",D8316)))),"Ambiguous",IF(ISNUMBER(SEARCH("平",D8316)),"平","仄")))</x:f>
        <x:v>平</x:v>
      </x:c>
      <x:c r="L8316" s="7" t="str">
        <x:v>Pingshui main list expansion</x:v>
      </x:c>
    </x:row>
    <x:row r="8317">
      <x:c r="A8317" s="5" t="str">
        <x:v>鯪</x:v>
      </x:c>
      <x:c r="B8317" s="6" t="str">
        <x:v>平</x:v>
      </x:c>
      <x:c r="C8317" s="6" t="str">
        <x:f>IF(B8317="","Needs decision","Ready")</x:f>
        <x:v>Ready</x:v>
      </x:c>
      <x:c r="D8317" s="6" t="str">
        <x:v>平</x:v>
      </x:c>
      <x:c r="E8317" s="6" t="str"/>
      <x:c r="F8317" s="6" t="str">
        <x:v>下平聲十蒸</x:v>
      </x:c>
      <x:c r="G8317" s="6" t="str">
        <x:v>Pingshui main list, Wikisource-derived DOCX</x:v>
      </x:c>
      <x:c r="H8317" s="6" t="str"/>
      <x:c r="I8317" s="6" t="str">
        <x:v>Pingshui main-list expansion; 詞 entries ignored</x:v>
      </x:c>
      <x:c r="J8317" s="6" t="str">
        <x:f>IF(B8317="","",IF(AND(ISNUMBER(SEARCH("平",B8317)),OR(ISNUMBER(SEARCH("上",B8317)),ISNUMBER(SEARCH("去",B8317)),ISNUMBER(SEARCH("入",B8317)))),"Ambiguous",IF(ISNUMBER(SEARCH("平",B8317)),"平","仄")))</x:f>
        <x:v>平</x:v>
      </x:c>
      <x:c r="K8317" s="6" t="str">
        <x:f>IF(D8317="","",IF(AND(ISNUMBER(SEARCH("平",D8317)),OR(ISNUMBER(SEARCH("上",D8317)),ISNUMBER(SEARCH("去",D8317)),ISNUMBER(SEARCH("入",D8317)))),"Ambiguous",IF(ISNUMBER(SEARCH("平",D8317)),"平","仄")))</x:f>
        <x:v>平</x:v>
      </x:c>
      <x:c r="L8317" s="7" t="str">
        <x:v>Pingshui main list expansion</x:v>
      </x:c>
    </x:row>
    <x:row r="8318">
      <x:c r="A8318" s="5" t="str">
        <x:v>鯫</x:v>
      </x:c>
      <x:c r="B8318" s="6" t="str"/>
      <x:c r="C8318" s="6" t="str">
        <x:f>IF(B8318="","Needs decision","Ready")</x:f>
        <x:v>Needs decision</x:v>
      </x:c>
      <x:c r="D8318" s="6" t="str">
        <x:v>平/上</x:v>
      </x:c>
      <x:c r="E8318" s="6" t="str"/>
      <x:c r="F8318" s="6" t="str">
        <x:v>下平聲十一尤; 上聲二十五有</x:v>
      </x:c>
      <x:c r="G8318" s="6" t="str">
        <x:v>Pingshui main list, Wikisource-derived DOCX</x:v>
      </x:c>
      <x:c r="H8318" s="6" t="str"/>
      <x:c r="I8318" s="6" t="str">
        <x:v>Pingshui main-list expansion; 詞 entries ignored</x:v>
      </x:c>
      <x:c r="J8318" s="6" t="str">
        <x:f>IF(B8318="","",IF(AND(ISNUMBER(SEARCH("平",B8318)),OR(ISNUMBER(SEARCH("上",B8318)),ISNUMBER(SEARCH("去",B8318)),ISNUMBER(SEARCH("入",B8318)))),"Ambiguous",IF(ISNUMBER(SEARCH("平",B8318)),"平","仄")))</x:f>
      </x:c>
      <x:c r="K8318" s="6" t="str">
        <x:f>IF(D8318="","",IF(AND(ISNUMBER(SEARCH("平",D8318)),OR(ISNUMBER(SEARCH("上",D8318)),ISNUMBER(SEARCH("去",D8318)),ISNUMBER(SEARCH("入",D8318)))),"Ambiguous",IF(ISNUMBER(SEARCH("平",D8318)),"平","仄")))</x:f>
        <x:v>Ambiguous</x:v>
      </x:c>
      <x:c r="L8318" s="7" t="str">
        <x:v>Pingshui main list expansion</x:v>
      </x:c>
    </x:row>
    <x:row r="8319">
      <x:c r="A8319" s="5" t="str">
        <x:v>鯽</x:v>
      </x:c>
      <x:c r="B8319" s="6" t="str">
        <x:v>入</x:v>
      </x:c>
      <x:c r="C8319" s="6" t="str">
        <x:f>IF(B8319="","Needs decision","Ready")</x:f>
        <x:v>Ready</x:v>
      </x:c>
      <x:c r="D8319" s="6" t="str">
        <x:v>入</x:v>
      </x:c>
      <x:c r="E8319" s="6" t="str"/>
      <x:c r="F8319" s="6" t="str">
        <x:v>入聲十一陌; 入聲十三職</x:v>
      </x:c>
      <x:c r="G8319" s="6" t="str">
        <x:v>Pingshui main list, Wikisource-derived DOCX</x:v>
      </x:c>
      <x:c r="H8319" s="6" t="str"/>
      <x:c r="I8319" s="6" t="str">
        <x:v>Pingshui main-list expansion; 詞 entries ignored</x:v>
      </x:c>
      <x:c r="J8319" s="6" t="str">
        <x:f>IF(B8319="","",IF(AND(ISNUMBER(SEARCH("平",B8319)),OR(ISNUMBER(SEARCH("上",B8319)),ISNUMBER(SEARCH("去",B8319)),ISNUMBER(SEARCH("入",B8319)))),"Ambiguous",IF(ISNUMBER(SEARCH("平",B8319)),"平","仄")))</x:f>
        <x:v>仄</x:v>
      </x:c>
      <x:c r="K8319" s="6" t="str">
        <x:f>IF(D8319="","",IF(AND(ISNUMBER(SEARCH("平",D8319)),OR(ISNUMBER(SEARCH("上",D8319)),ISNUMBER(SEARCH("去",D8319)),ISNUMBER(SEARCH("入",D8319)))),"Ambiguous",IF(ISNUMBER(SEARCH("平",D8319)),"平","仄")))</x:f>
        <x:v>仄</x:v>
      </x:c>
      <x:c r="L8319" s="7" t="str">
        <x:v>Pingshui main list expansion</x:v>
      </x:c>
    </x:row>
    <x:row r="8320">
      <x:c r="A8320" s="5" t="str">
        <x:v>鰅</x:v>
      </x:c>
      <x:c r="B8320" s="6" t="str">
        <x:v>平</x:v>
      </x:c>
      <x:c r="C8320" s="6" t="str">
        <x:f>IF(B8320="","Needs decision","Ready")</x:f>
        <x:v>Ready</x:v>
      </x:c>
      <x:c r="D8320" s="6" t="str">
        <x:v>平</x:v>
      </x:c>
      <x:c r="E8320" s="6" t="str"/>
      <x:c r="F8320" s="6" t="str">
        <x:v>上平聲七虞</x:v>
      </x:c>
      <x:c r="G8320" s="6" t="str">
        <x:v>Pingshui main list, Wikisource-derived DOCX</x:v>
      </x:c>
      <x:c r="H8320" s="6" t="str"/>
      <x:c r="I8320" s="6" t="str">
        <x:v>Pingshui main-list expansion; 詞 entries ignored</x:v>
      </x:c>
      <x:c r="J8320" s="6" t="str">
        <x:f>IF(B8320="","",IF(AND(ISNUMBER(SEARCH("平",B8320)),OR(ISNUMBER(SEARCH("上",B8320)),ISNUMBER(SEARCH("去",B8320)),ISNUMBER(SEARCH("入",B8320)))),"Ambiguous",IF(ISNUMBER(SEARCH("平",B8320)),"平","仄")))</x:f>
        <x:v>平</x:v>
      </x:c>
      <x:c r="K8320" s="6" t="str">
        <x:f>IF(D8320="","",IF(AND(ISNUMBER(SEARCH("平",D8320)),OR(ISNUMBER(SEARCH("上",D8320)),ISNUMBER(SEARCH("去",D8320)),ISNUMBER(SEARCH("入",D8320)))),"Ambiguous",IF(ISNUMBER(SEARCH("平",D8320)),"平","仄")))</x:f>
        <x:v>平</x:v>
      </x:c>
      <x:c r="L8320" s="7" t="str">
        <x:v>Pingshui main list expansion</x:v>
      </x:c>
    </x:row>
    <x:row r="8321">
      <x:c r="A8321" s="5" t="str">
        <x:v>鰜</x:v>
      </x:c>
      <x:c r="B8321" s="6" t="str">
        <x:v>平</x:v>
      </x:c>
      <x:c r="C8321" s="6" t="str">
        <x:f>IF(B8321="","Needs decision","Ready")</x:f>
        <x:v>Ready</x:v>
      </x:c>
      <x:c r="D8321" s="6" t="str">
        <x:v>平</x:v>
      </x:c>
      <x:c r="E8321" s="6" t="str"/>
      <x:c r="F8321" s="6" t="str">
        <x:v>下平聲十四鹽</x:v>
      </x:c>
      <x:c r="G8321" s="6" t="str">
        <x:v>Pingshui main list, Wikisource-derived DOCX</x:v>
      </x:c>
      <x:c r="H8321" s="6" t="str"/>
      <x:c r="I8321" s="6" t="str">
        <x:v>Pingshui main-list expansion; 詞 entries ignored</x:v>
      </x:c>
      <x:c r="J8321" s="6" t="str">
        <x:f>IF(B8321="","",IF(AND(ISNUMBER(SEARCH("平",B8321)),OR(ISNUMBER(SEARCH("上",B8321)),ISNUMBER(SEARCH("去",B8321)),ISNUMBER(SEARCH("入",B8321)))),"Ambiguous",IF(ISNUMBER(SEARCH("平",B8321)),"平","仄")))</x:f>
        <x:v>平</x:v>
      </x:c>
      <x:c r="K8321" s="6" t="str">
        <x:f>IF(D8321="","",IF(AND(ISNUMBER(SEARCH("平",D8321)),OR(ISNUMBER(SEARCH("上",D8321)),ISNUMBER(SEARCH("去",D8321)),ISNUMBER(SEARCH("入",D8321)))),"Ambiguous",IF(ISNUMBER(SEARCH("平",D8321)),"平","仄")))</x:f>
        <x:v>平</x:v>
      </x:c>
      <x:c r="L8321" s="7" t="str">
        <x:v>Pingshui main list expansion</x:v>
      </x:c>
    </x:row>
    <x:row r="8322">
      <x:c r="A8322" s="5" t="str">
        <x:v>鰣</x:v>
      </x:c>
      <x:c r="B8322" s="6" t="str">
        <x:v>平</x:v>
      </x:c>
      <x:c r="C8322" s="6" t="str">
        <x:f>IF(B8322="","Needs decision","Ready")</x:f>
        <x:v>Ready</x:v>
      </x:c>
      <x:c r="D8322" s="6" t="str">
        <x:v>平</x:v>
      </x:c>
      <x:c r="E8322" s="6" t="str"/>
      <x:c r="F8322" s="6" t="str">
        <x:v>上平聲四支</x:v>
      </x:c>
      <x:c r="G8322" s="6" t="str">
        <x:v>Pingshui main list, Wikisource-derived DOCX</x:v>
      </x:c>
      <x:c r="H8322" s="6" t="str"/>
      <x:c r="I8322" s="6" t="str">
        <x:v>Pingshui main-list expansion; 詞 entries ignored</x:v>
      </x:c>
      <x:c r="J8322" s="6" t="str">
        <x:f>IF(B8322="","",IF(AND(ISNUMBER(SEARCH("平",B8322)),OR(ISNUMBER(SEARCH("上",B8322)),ISNUMBER(SEARCH("去",B8322)),ISNUMBER(SEARCH("入",B8322)))),"Ambiguous",IF(ISNUMBER(SEARCH("平",B8322)),"平","仄")))</x:f>
        <x:v>平</x:v>
      </x:c>
      <x:c r="K8322" s="6" t="str">
        <x:f>IF(D8322="","",IF(AND(ISNUMBER(SEARCH("平",D8322)),OR(ISNUMBER(SEARCH("上",D8322)),ISNUMBER(SEARCH("去",D8322)),ISNUMBER(SEARCH("入",D8322)))),"Ambiguous",IF(ISNUMBER(SEARCH("平",D8322)),"平","仄")))</x:f>
        <x:v>平</x:v>
      </x:c>
      <x:c r="L8322" s="7" t="str">
        <x:v>Pingshui main list expansion</x:v>
      </x:c>
    </x:row>
    <x:row r="8323">
      <x:c r="A8323" s="5" t="str">
        <x:v>鰻</x:v>
      </x:c>
      <x:c r="B8323" s="6" t="str">
        <x:v>平</x:v>
      </x:c>
      <x:c r="C8323" s="6" t="str">
        <x:f>IF(B8323="","Needs decision","Ready")</x:f>
        <x:v>Ready</x:v>
      </x:c>
      <x:c r="D8323" s="6" t="str">
        <x:v>平</x:v>
      </x:c>
      <x:c r="E8323" s="6" t="str"/>
      <x:c r="F8323" s="6" t="str">
        <x:v>上平聲十四寒</x:v>
      </x:c>
      <x:c r="G8323" s="6" t="str">
        <x:v>Pingshui main list, Wikisource-derived DOCX</x:v>
      </x:c>
      <x:c r="H8323" s="6" t="str"/>
      <x:c r="I8323" s="6" t="str">
        <x:v>Pingshui main-list expansion; 詞 entries ignored</x:v>
      </x:c>
      <x:c r="J8323" s="6" t="str">
        <x:f>IF(B8323="","",IF(AND(ISNUMBER(SEARCH("平",B8323)),OR(ISNUMBER(SEARCH("上",B8323)),ISNUMBER(SEARCH("去",B8323)),ISNUMBER(SEARCH("入",B8323)))),"Ambiguous",IF(ISNUMBER(SEARCH("平",B8323)),"平","仄")))</x:f>
        <x:v>平</x:v>
      </x:c>
      <x:c r="K8323" s="6" t="str">
        <x:f>IF(D8323="","",IF(AND(ISNUMBER(SEARCH("平",D8323)),OR(ISNUMBER(SEARCH("上",D8323)),ISNUMBER(SEARCH("去",D8323)),ISNUMBER(SEARCH("入",D8323)))),"Ambiguous",IF(ISNUMBER(SEARCH("平",D8323)),"平","仄")))</x:f>
        <x:v>平</x:v>
      </x:c>
      <x:c r="L8323" s="7" t="str">
        <x:v>Pingshui main list expansion</x:v>
      </x:c>
    </x:row>
    <x:row r="8324">
      <x:c r="A8324" s="5" t="str">
        <x:v>鱍</x:v>
      </x:c>
      <x:c r="B8324" s="6" t="str">
        <x:v>入</x:v>
      </x:c>
      <x:c r="C8324" s="6" t="str">
        <x:f>IF(B8324="","Needs decision","Ready")</x:f>
        <x:v>Ready</x:v>
      </x:c>
      <x:c r="D8324" s="6" t="str">
        <x:v>入</x:v>
      </x:c>
      <x:c r="E8324" s="6" t="str"/>
      <x:c r="F8324" s="6" t="str">
        <x:v>入聲七曷</x:v>
      </x:c>
      <x:c r="G8324" s="6" t="str">
        <x:v>Pingshui main list, Wikisource-derived DOCX</x:v>
      </x:c>
      <x:c r="H8324" s="6" t="str"/>
      <x:c r="I8324" s="6" t="str">
        <x:v>Pingshui main-list expansion; 詞 entries ignored</x:v>
      </x:c>
      <x:c r="J8324" s="6" t="str">
        <x:f>IF(B8324="","",IF(AND(ISNUMBER(SEARCH("平",B8324)),OR(ISNUMBER(SEARCH("上",B8324)),ISNUMBER(SEARCH("去",B8324)),ISNUMBER(SEARCH("入",B8324)))),"Ambiguous",IF(ISNUMBER(SEARCH("平",B8324)),"平","仄")))</x:f>
        <x:v>仄</x:v>
      </x:c>
      <x:c r="K8324" s="6" t="str">
        <x:f>IF(D8324="","",IF(AND(ISNUMBER(SEARCH("平",D8324)),OR(ISNUMBER(SEARCH("上",D8324)),ISNUMBER(SEARCH("去",D8324)),ISNUMBER(SEARCH("入",D8324)))),"Ambiguous",IF(ISNUMBER(SEARCH("平",D8324)),"平","仄")))</x:f>
        <x:v>仄</x:v>
      </x:c>
      <x:c r="L8324" s="7" t="str">
        <x:v>Pingshui main list expansion</x:v>
      </x:c>
    </x:row>
    <x:row r="8325">
      <x:c r="A8325" s="5" t="str">
        <x:v>鱐</x:v>
      </x:c>
      <x:c r="B8325" s="6" t="str">
        <x:v>入</x:v>
      </x:c>
      <x:c r="C8325" s="6" t="str">
        <x:f>IF(B8325="","Needs decision","Ready")</x:f>
        <x:v>Ready</x:v>
      </x:c>
      <x:c r="D8325" s="6" t="str">
        <x:v>入</x:v>
      </x:c>
      <x:c r="E8325" s="6" t="str"/>
      <x:c r="F8325" s="6" t="str">
        <x:v>入聲一屋</x:v>
      </x:c>
      <x:c r="G8325" s="6" t="str">
        <x:v>Pingshui main list, Wikisource-derived DOCX</x:v>
      </x:c>
      <x:c r="H8325" s="6" t="str"/>
      <x:c r="I8325" s="6" t="str">
        <x:v>Pingshui main-list expansion; 詞 entries ignored</x:v>
      </x:c>
      <x:c r="J8325" s="6" t="str">
        <x:f>IF(B8325="","",IF(AND(ISNUMBER(SEARCH("平",B8325)),OR(ISNUMBER(SEARCH("上",B8325)),ISNUMBER(SEARCH("去",B8325)),ISNUMBER(SEARCH("入",B8325)))),"Ambiguous",IF(ISNUMBER(SEARCH("平",B8325)),"平","仄")))</x:f>
        <x:v>仄</x:v>
      </x:c>
      <x:c r="K8325" s="6" t="str">
        <x:f>IF(D8325="","",IF(AND(ISNUMBER(SEARCH("平",D8325)),OR(ISNUMBER(SEARCH("上",D8325)),ISNUMBER(SEARCH("去",D8325)),ISNUMBER(SEARCH("入",D8325)))),"Ambiguous",IF(ISNUMBER(SEARCH("平",D8325)),"平","仄")))</x:f>
        <x:v>仄</x:v>
      </x:c>
      <x:c r="L8325" s="7" t="str">
        <x:v>Pingshui main list expansion</x:v>
      </x:c>
    </x:row>
    <x:row r="8326">
      <x:c r="A8326" s="5" t="str">
        <x:v>鱒</x:v>
      </x:c>
      <x:c r="B8326" s="6" t="str">
        <x:v>上</x:v>
      </x:c>
      <x:c r="C8326" s="6" t="str">
        <x:f>IF(B8326="","Needs decision","Ready")</x:f>
        <x:v>Ready</x:v>
      </x:c>
      <x:c r="D8326" s="6" t="str">
        <x:v>上</x:v>
      </x:c>
      <x:c r="E8326" s="6" t="str"/>
      <x:c r="F8326" s="6" t="str">
        <x:v>上聲十三阮</x:v>
      </x:c>
      <x:c r="G8326" s="6" t="str">
        <x:v>Pingshui main list, Wikisource-derived DOCX</x:v>
      </x:c>
      <x:c r="H8326" s="6" t="str"/>
      <x:c r="I8326" s="6" t="str">
        <x:v>Pingshui main-list expansion; 詞 entries ignored</x:v>
      </x:c>
      <x:c r="J8326" s="6" t="str">
        <x:f>IF(B8326="","",IF(AND(ISNUMBER(SEARCH("平",B8326)),OR(ISNUMBER(SEARCH("上",B8326)),ISNUMBER(SEARCH("去",B8326)),ISNUMBER(SEARCH("入",B8326)))),"Ambiguous",IF(ISNUMBER(SEARCH("平",B8326)),"平","仄")))</x:f>
        <x:v>仄</x:v>
      </x:c>
      <x:c r="K8326" s="6" t="str">
        <x:f>IF(D8326="","",IF(AND(ISNUMBER(SEARCH("平",D8326)),OR(ISNUMBER(SEARCH("上",D8326)),ISNUMBER(SEARCH("去",D8326)),ISNUMBER(SEARCH("入",D8326)))),"Ambiguous",IF(ISNUMBER(SEARCH("平",D8326)),"平","仄")))</x:f>
        <x:v>仄</x:v>
      </x:c>
      <x:c r="L8326" s="7" t="str">
        <x:v>Pingshui main list expansion</x:v>
      </x:c>
    </x:row>
    <x:row r="8327">
      <x:c r="A8327" s="5" t="str">
        <x:v>鱖</x:v>
      </x:c>
      <x:c r="B8327" s="6" t="str"/>
      <x:c r="C8327" s="6" t="str">
        <x:f>IF(B8327="","Needs decision","Ready")</x:f>
        <x:v>Needs decision</x:v>
      </x:c>
      <x:c r="D8327" s="6" t="str">
        <x:v>去/入</x:v>
      </x:c>
      <x:c r="E8327" s="6" t="str"/>
      <x:c r="F8327" s="6" t="str">
        <x:v>去聲八霽; 入聲六月</x:v>
      </x:c>
      <x:c r="G8327" s="6" t="str">
        <x:v>Pingshui main list, Wikisource-derived DOCX</x:v>
      </x:c>
      <x:c r="H8327" s="6" t="str"/>
      <x:c r="I8327" s="6" t="str">
        <x:v>Pingshui main-list expansion; 詞 entries ignored</x:v>
      </x:c>
      <x:c r="J8327" s="6" t="str">
        <x:f>IF(B8327="","",IF(AND(ISNUMBER(SEARCH("平",B8327)),OR(ISNUMBER(SEARCH("上",B8327)),ISNUMBER(SEARCH("去",B8327)),ISNUMBER(SEARCH("入",B8327)))),"Ambiguous",IF(ISNUMBER(SEARCH("平",B8327)),"平","仄")))</x:f>
      </x:c>
      <x:c r="K8327" s="6" t="str">
        <x:f>IF(D8327="","",IF(AND(ISNUMBER(SEARCH("平",D8327)),OR(ISNUMBER(SEARCH("上",D8327)),ISNUMBER(SEARCH("去",D8327)),ISNUMBER(SEARCH("入",D8327)))),"Ambiguous",IF(ISNUMBER(SEARCH("平",D8327)),"平","仄")))</x:f>
        <x:v>仄</x:v>
      </x:c>
      <x:c r="L8327" s="7" t="str">
        <x:v>Pingshui main list expansion</x:v>
      </x:c>
    </x:row>
    <x:row r="8328">
      <x:c r="A8328" s="5" t="str">
        <x:v>鱟</x:v>
      </x:c>
      <x:c r="B8328" s="6" t="str">
        <x:v>去</x:v>
      </x:c>
      <x:c r="C8328" s="6" t="str">
        <x:f>IF(B8328="","Needs decision","Ready")</x:f>
        <x:v>Ready</x:v>
      </x:c>
      <x:c r="D8328" s="6" t="str">
        <x:v>去</x:v>
      </x:c>
      <x:c r="E8328" s="6" t="str"/>
      <x:c r="F8328" s="6" t="str">
        <x:v>去聲二十六宥</x:v>
      </x:c>
      <x:c r="G8328" s="6" t="str">
        <x:v>Pingshui main list, Wikisource-derived DOCX</x:v>
      </x:c>
      <x:c r="H8328" s="6" t="str"/>
      <x:c r="I8328" s="6" t="str">
        <x:v>Pingshui main-list expansion; 詞 entries ignored</x:v>
      </x:c>
      <x:c r="J8328" s="6" t="str">
        <x:f>IF(B8328="","",IF(AND(ISNUMBER(SEARCH("平",B8328)),OR(ISNUMBER(SEARCH("上",B8328)),ISNUMBER(SEARCH("去",B8328)),ISNUMBER(SEARCH("入",B8328)))),"Ambiguous",IF(ISNUMBER(SEARCH("平",B8328)),"平","仄")))</x:f>
        <x:v>仄</x:v>
      </x:c>
      <x:c r="K8328" s="6" t="str">
        <x:f>IF(D8328="","",IF(AND(ISNUMBER(SEARCH("平",D8328)),OR(ISNUMBER(SEARCH("上",D8328)),ISNUMBER(SEARCH("去",D8328)),ISNUMBER(SEARCH("入",D8328)))),"Ambiguous",IF(ISNUMBER(SEARCH("平",D8328)),"平","仄")))</x:f>
        <x:v>仄</x:v>
      </x:c>
      <x:c r="L8328" s="7" t="str">
        <x:v>Pingshui main list expansion</x:v>
      </x:c>
    </x:row>
    <x:row r="8329">
      <x:c r="A8329" s="5" t="str">
        <x:v>鱦</x:v>
      </x:c>
      <x:c r="B8329" s="6" t="str">
        <x:v>平</x:v>
      </x:c>
      <x:c r="C8329" s="6" t="str">
        <x:f>IF(B8329="","Needs decision","Ready")</x:f>
        <x:v>Ready</x:v>
      </x:c>
      <x:c r="D8329" s="6" t="str">
        <x:v>平</x:v>
      </x:c>
      <x:c r="E8329" s="6" t="str"/>
      <x:c r="F8329" s="6" t="str">
        <x:v>下平聲十蒸</x:v>
      </x:c>
      <x:c r="G8329" s="6" t="str">
        <x:v>Pingshui main list, Wikisource-derived DOCX</x:v>
      </x:c>
      <x:c r="H8329" s="6" t="str"/>
      <x:c r="I8329" s="6" t="str">
        <x:v>Pingshui main-list expansion; 詞 entries ignored</x:v>
      </x:c>
      <x:c r="J8329" s="6" t="str">
        <x:f>IF(B8329="","",IF(AND(ISNUMBER(SEARCH("平",B8329)),OR(ISNUMBER(SEARCH("上",B8329)),ISNUMBER(SEARCH("去",B8329)),ISNUMBER(SEARCH("入",B8329)))),"Ambiguous",IF(ISNUMBER(SEARCH("平",B8329)),"平","仄")))</x:f>
        <x:v>平</x:v>
      </x:c>
      <x:c r="K8329" s="6" t="str">
        <x:f>IF(D8329="","",IF(AND(ISNUMBER(SEARCH("平",D8329)),OR(ISNUMBER(SEARCH("上",D8329)),ISNUMBER(SEARCH("去",D8329)),ISNUMBER(SEARCH("入",D8329)))),"Ambiguous",IF(ISNUMBER(SEARCH("平",D8329)),"平","仄")))</x:f>
        <x:v>平</x:v>
      </x:c>
      <x:c r="L8329" s="7" t="str">
        <x:v>Pingshui main list expansion</x:v>
      </x:c>
    </x:row>
    <x:row r="8330">
      <x:c r="A8330" s="5" t="str">
        <x:v>鱨</x:v>
      </x:c>
      <x:c r="B8330" s="6" t="str">
        <x:v>平</x:v>
      </x:c>
      <x:c r="C8330" s="6" t="str">
        <x:f>IF(B8330="","Needs decision","Ready")</x:f>
        <x:v>Ready</x:v>
      </x:c>
      <x:c r="D8330" s="6" t="str">
        <x:v>平</x:v>
      </x:c>
      <x:c r="E8330" s="6" t="str"/>
      <x:c r="F8330" s="6" t="str">
        <x:v>下平聲七陽</x:v>
      </x:c>
      <x:c r="G8330" s="6" t="str">
        <x:v>Pingshui main list, Wikisource-derived DOCX</x:v>
      </x:c>
      <x:c r="H8330" s="6" t="str"/>
      <x:c r="I8330" s="6" t="str">
        <x:v>Pingshui main-list expansion; 詞 entries ignored</x:v>
      </x:c>
      <x:c r="J8330" s="6" t="str">
        <x:f>IF(B8330="","",IF(AND(ISNUMBER(SEARCH("平",B8330)),OR(ISNUMBER(SEARCH("上",B8330)),ISNUMBER(SEARCH("去",B8330)),ISNUMBER(SEARCH("入",B8330)))),"Ambiguous",IF(ISNUMBER(SEARCH("平",B8330)),"平","仄")))</x:f>
        <x:v>平</x:v>
      </x:c>
      <x:c r="K8330" s="6" t="str">
        <x:f>IF(D8330="","",IF(AND(ISNUMBER(SEARCH("平",D8330)),OR(ISNUMBER(SEARCH("上",D8330)),ISNUMBER(SEARCH("去",D8330)),ISNUMBER(SEARCH("入",D8330)))),"Ambiguous",IF(ISNUMBER(SEARCH("平",D8330)),"平","仄")))</x:f>
        <x:v>平</x:v>
      </x:c>
      <x:c r="L8330" s="7" t="str">
        <x:v>Pingshui main list expansion</x:v>
      </x:c>
    </x:row>
    <x:row r="8331">
      <x:c r="A8331" s="5" t="str">
        <x:v>鳼</x:v>
      </x:c>
      <x:c r="B8331" s="6" t="str">
        <x:v>平</x:v>
      </x:c>
      <x:c r="C8331" s="6" t="str">
        <x:f>IF(B8331="","Needs decision","Ready")</x:f>
        <x:v>Ready</x:v>
      </x:c>
      <x:c r="D8331" s="6" t="str">
        <x:v>平</x:v>
      </x:c>
      <x:c r="E8331" s="6" t="str"/>
      <x:c r="F8331" s="6" t="str">
        <x:v>上平聲十二文</x:v>
      </x:c>
      <x:c r="G8331" s="6" t="str">
        <x:v>Pingshui main list, Wikisource-derived DOCX</x:v>
      </x:c>
      <x:c r="H8331" s="6" t="str"/>
      <x:c r="I8331" s="6" t="str">
        <x:v>Pingshui main-list expansion; 詞 entries ignored</x:v>
      </x:c>
      <x:c r="J8331" s="6" t="str">
        <x:f>IF(B8331="","",IF(AND(ISNUMBER(SEARCH("平",B8331)),OR(ISNUMBER(SEARCH("上",B8331)),ISNUMBER(SEARCH("去",B8331)),ISNUMBER(SEARCH("入",B8331)))),"Ambiguous",IF(ISNUMBER(SEARCH("平",B8331)),"平","仄")))</x:f>
        <x:v>平</x:v>
      </x:c>
      <x:c r="K8331" s="6" t="str">
        <x:f>IF(D8331="","",IF(AND(ISNUMBER(SEARCH("平",D8331)),OR(ISNUMBER(SEARCH("上",D8331)),ISNUMBER(SEARCH("去",D8331)),ISNUMBER(SEARCH("入",D8331)))),"Ambiguous",IF(ISNUMBER(SEARCH("平",D8331)),"平","仄")))</x:f>
        <x:v>平</x:v>
      </x:c>
      <x:c r="L8331" s="7" t="str">
        <x:v>Pingshui main list expansion</x:v>
      </x:c>
    </x:row>
    <x:row r="8332">
      <x:c r="A8332" s="5" t="str">
        <x:v>鴀</x:v>
      </x:c>
      <x:c r="B8332" s="6" t="str">
        <x:v>平</x:v>
      </x:c>
      <x:c r="C8332" s="6" t="str">
        <x:f>IF(B8332="","Needs decision","Ready")</x:f>
        <x:v>Ready</x:v>
      </x:c>
      <x:c r="D8332" s="6" t="str">
        <x:v>平</x:v>
      </x:c>
      <x:c r="E8332" s="6" t="str"/>
      <x:c r="F8332" s="6" t="str">
        <x:v>下平聲十一尤</x:v>
      </x:c>
      <x:c r="G8332" s="6" t="str">
        <x:v>Pingshui main list, Wikisource-derived DOCX</x:v>
      </x:c>
      <x:c r="H8332" s="6" t="str"/>
      <x:c r="I8332" s="6" t="str">
        <x:v>Pingshui main-list expansion; 詞 entries ignored</x:v>
      </x:c>
      <x:c r="J8332" s="6" t="str">
        <x:f>IF(B8332="","",IF(AND(ISNUMBER(SEARCH("平",B8332)),OR(ISNUMBER(SEARCH("上",B8332)),ISNUMBER(SEARCH("去",B8332)),ISNUMBER(SEARCH("入",B8332)))),"Ambiguous",IF(ISNUMBER(SEARCH("平",B8332)),"平","仄")))</x:f>
        <x:v>平</x:v>
      </x:c>
      <x:c r="K8332" s="6" t="str">
        <x:f>IF(D8332="","",IF(AND(ISNUMBER(SEARCH("平",D8332)),OR(ISNUMBER(SEARCH("上",D8332)),ISNUMBER(SEARCH("去",D8332)),ISNUMBER(SEARCH("入",D8332)))),"Ambiguous",IF(ISNUMBER(SEARCH("平",D8332)),"平","仄")))</x:f>
        <x:v>平</x:v>
      </x:c>
      <x:c r="L8332" s="7" t="str">
        <x:v>Pingshui main list expansion</x:v>
      </x:c>
    </x:row>
    <x:row r="8333">
      <x:c r="A8333" s="5" t="str">
        <x:v>鴐</x:v>
      </x:c>
      <x:c r="B8333" s="6" t="str">
        <x:v>平</x:v>
      </x:c>
      <x:c r="C8333" s="6" t="str">
        <x:f>IF(B8333="","Needs decision","Ready")</x:f>
        <x:v>Ready</x:v>
      </x:c>
      <x:c r="D8333" s="6" t="str">
        <x:v>平</x:v>
      </x:c>
      <x:c r="E8333" s="6" t="str"/>
      <x:c r="F8333" s="6" t="str">
        <x:v>下平聲六麻</x:v>
      </x:c>
      <x:c r="G8333" s="6" t="str">
        <x:v>Pingshui main list, Wikisource-derived DOCX</x:v>
      </x:c>
      <x:c r="H8333" s="6" t="str"/>
      <x:c r="I8333" s="6" t="str">
        <x:v>Pingshui main-list expansion; 詞 entries ignored</x:v>
      </x:c>
      <x:c r="J8333" s="6" t="str">
        <x:f>IF(B8333="","",IF(AND(ISNUMBER(SEARCH("平",B8333)),OR(ISNUMBER(SEARCH("上",B8333)),ISNUMBER(SEARCH("去",B8333)),ISNUMBER(SEARCH("入",B8333)))),"Ambiguous",IF(ISNUMBER(SEARCH("平",B8333)),"平","仄")))</x:f>
        <x:v>平</x:v>
      </x:c>
      <x:c r="K8333" s="6" t="str">
        <x:f>IF(D8333="","",IF(AND(ISNUMBER(SEARCH("平",D8333)),OR(ISNUMBER(SEARCH("上",D8333)),ISNUMBER(SEARCH("去",D8333)),ISNUMBER(SEARCH("入",D8333)))),"Ambiguous",IF(ISNUMBER(SEARCH("平",D8333)),"平","仄")))</x:f>
        <x:v>平</x:v>
      </x:c>
      <x:c r="L8333" s="7" t="str">
        <x:v>Pingshui main list expansion</x:v>
      </x:c>
    </x:row>
    <x:row r="8334">
      <x:c r="A8334" s="5" t="str">
        <x:v>鴣</x:v>
      </x:c>
      <x:c r="B8334" s="6" t="str">
        <x:v>平</x:v>
      </x:c>
      <x:c r="C8334" s="6" t="str">
        <x:f>IF(B8334="","Needs decision","Ready")</x:f>
        <x:v>Ready</x:v>
      </x:c>
      <x:c r="D8334" s="6" t="str">
        <x:v>平</x:v>
      </x:c>
      <x:c r="E8334" s="6" t="str"/>
      <x:c r="F8334" s="6" t="str">
        <x:v>上平聲七虞</x:v>
      </x:c>
      <x:c r="G8334" s="6" t="str">
        <x:v>Pingshui main list, Wikisource-derived DOCX</x:v>
      </x:c>
      <x:c r="H8334" s="6" t="str"/>
      <x:c r="I8334" s="6" t="str">
        <x:v>Pingshui main-list expansion; 詞 entries ignored</x:v>
      </x:c>
      <x:c r="J8334" s="6" t="str">
        <x:f>IF(B8334="","",IF(AND(ISNUMBER(SEARCH("平",B8334)),OR(ISNUMBER(SEARCH("上",B8334)),ISNUMBER(SEARCH("去",B8334)),ISNUMBER(SEARCH("入",B8334)))),"Ambiguous",IF(ISNUMBER(SEARCH("平",B8334)),"平","仄")))</x:f>
        <x:v>平</x:v>
      </x:c>
      <x:c r="K8334" s="6" t="str">
        <x:f>IF(D8334="","",IF(AND(ISNUMBER(SEARCH("平",D8334)),OR(ISNUMBER(SEARCH("上",D8334)),ISNUMBER(SEARCH("去",D8334)),ISNUMBER(SEARCH("入",D8334)))),"Ambiguous",IF(ISNUMBER(SEARCH("平",D8334)),"平","仄")))</x:f>
        <x:v>平</x:v>
      </x:c>
      <x:c r="L8334" s="7" t="str">
        <x:v>Pingshui main list expansion</x:v>
      </x:c>
    </x:row>
    <x:row r="8335">
      <x:c r="A8335" s="5" t="str">
        <x:v>鴯</x:v>
      </x:c>
      <x:c r="B8335" s="6" t="str">
        <x:v>平</x:v>
      </x:c>
      <x:c r="C8335" s="6" t="str">
        <x:f>IF(B8335="","Needs decision","Ready")</x:f>
        <x:v>Ready</x:v>
      </x:c>
      <x:c r="D8335" s="6" t="str">
        <x:v>平</x:v>
      </x:c>
      <x:c r="E8335" s="6" t="str"/>
      <x:c r="F8335" s="6" t="str">
        <x:v>上平聲四支</x:v>
      </x:c>
      <x:c r="G8335" s="6" t="str">
        <x:v>Pingshui main list, Wikisource-derived DOCX</x:v>
      </x:c>
      <x:c r="H8335" s="6" t="str"/>
      <x:c r="I8335" s="6" t="str">
        <x:v>Pingshui main-list expansion; 詞 entries ignored</x:v>
      </x:c>
      <x:c r="J8335" s="6" t="str">
        <x:f>IF(B8335="","",IF(AND(ISNUMBER(SEARCH("平",B8335)),OR(ISNUMBER(SEARCH("上",B8335)),ISNUMBER(SEARCH("去",B8335)),ISNUMBER(SEARCH("入",B8335)))),"Ambiguous",IF(ISNUMBER(SEARCH("平",B8335)),"平","仄")))</x:f>
        <x:v>平</x:v>
      </x:c>
      <x:c r="K8335" s="6" t="str">
        <x:f>IF(D8335="","",IF(AND(ISNUMBER(SEARCH("平",D8335)),OR(ISNUMBER(SEARCH("上",D8335)),ISNUMBER(SEARCH("去",D8335)),ISNUMBER(SEARCH("入",D8335)))),"Ambiguous",IF(ISNUMBER(SEARCH("平",D8335)),"平","仄")))</x:f>
        <x:v>平</x:v>
      </x:c>
      <x:c r="L8335" s="7" t="str">
        <x:v>Pingshui main list expansion</x:v>
      </x:c>
    </x:row>
    <x:row r="8336">
      <x:c r="A8336" s="5" t="str">
        <x:v>鴰</x:v>
      </x:c>
      <x:c r="B8336" s="6" t="str">
        <x:v>入</x:v>
      </x:c>
      <x:c r="C8336" s="6" t="str">
        <x:f>IF(B8336="","Needs decision","Ready")</x:f>
        <x:v>Ready</x:v>
      </x:c>
      <x:c r="D8336" s="6" t="str">
        <x:v>入</x:v>
      </x:c>
      <x:c r="E8336" s="6" t="str"/>
      <x:c r="F8336" s="6" t="str">
        <x:v>入聲七曷; 入聲八黠</x:v>
      </x:c>
      <x:c r="G8336" s="6" t="str">
        <x:v>Pingshui main list, Wikisource-derived DOCX</x:v>
      </x:c>
      <x:c r="H8336" s="6" t="str"/>
      <x:c r="I8336" s="6" t="str">
        <x:v>Pingshui main-list expansion; 詞 entries ignored</x:v>
      </x:c>
      <x:c r="J8336" s="6" t="str">
        <x:f>IF(B8336="","",IF(AND(ISNUMBER(SEARCH("平",B8336)),OR(ISNUMBER(SEARCH("上",B8336)),ISNUMBER(SEARCH("去",B8336)),ISNUMBER(SEARCH("入",B8336)))),"Ambiguous",IF(ISNUMBER(SEARCH("平",B8336)),"平","仄")))</x:f>
        <x:v>仄</x:v>
      </x:c>
      <x:c r="K8336" s="6" t="str">
        <x:f>IF(D8336="","",IF(AND(ISNUMBER(SEARCH("平",D8336)),OR(ISNUMBER(SEARCH("上",D8336)),ISNUMBER(SEARCH("去",D8336)),ISNUMBER(SEARCH("入",D8336)))),"Ambiguous",IF(ISNUMBER(SEARCH("平",D8336)),"平","仄")))</x:f>
        <x:v>仄</x:v>
      </x:c>
      <x:c r="L8336" s="7" t="str">
        <x:v>Pingshui main list expansion</x:v>
      </x:c>
    </x:row>
    <x:row r="8337">
      <x:c r="A8337" s="5" t="str">
        <x:v>鴸</x:v>
      </x:c>
      <x:c r="B8337" s="6" t="str">
        <x:v>平</x:v>
      </x:c>
      <x:c r="C8337" s="6" t="str">
        <x:f>IF(B8337="","Needs decision","Ready")</x:f>
        <x:v>Ready</x:v>
      </x:c>
      <x:c r="D8337" s="6" t="str">
        <x:v>平</x:v>
      </x:c>
      <x:c r="E8337" s="6" t="str"/>
      <x:c r="F8337" s="6" t="str">
        <x:v>上平聲七虞</x:v>
      </x:c>
      <x:c r="G8337" s="6" t="str">
        <x:v>Pingshui main list, Wikisource-derived DOCX</x:v>
      </x:c>
      <x:c r="H8337" s="6" t="str"/>
      <x:c r="I8337" s="6" t="str">
        <x:v>Pingshui main-list expansion; 詞 entries ignored</x:v>
      </x:c>
      <x:c r="J8337" s="6" t="str">
        <x:f>IF(B8337="","",IF(AND(ISNUMBER(SEARCH("平",B8337)),OR(ISNUMBER(SEARCH("上",B8337)),ISNUMBER(SEARCH("去",B8337)),ISNUMBER(SEARCH("入",B8337)))),"Ambiguous",IF(ISNUMBER(SEARCH("平",B8337)),"平","仄")))</x:f>
        <x:v>平</x:v>
      </x:c>
      <x:c r="K8337" s="6" t="str">
        <x:f>IF(D8337="","",IF(AND(ISNUMBER(SEARCH("平",D8337)),OR(ISNUMBER(SEARCH("上",D8337)),ISNUMBER(SEARCH("去",D8337)),ISNUMBER(SEARCH("入",D8337)))),"Ambiguous",IF(ISNUMBER(SEARCH("平",D8337)),"平","仄")))</x:f>
        <x:v>平</x:v>
      </x:c>
      <x:c r="L8337" s="7" t="str">
        <x:v>Pingshui main list expansion</x:v>
      </x:c>
    </x:row>
    <x:row r="8338">
      <x:c r="A8338" s="5" t="str">
        <x:v>鴽</x:v>
      </x:c>
      <x:c r="B8338" s="6" t="str">
        <x:v>平</x:v>
      </x:c>
      <x:c r="C8338" s="6" t="str">
        <x:f>IF(B8338="","Needs decision","Ready")</x:f>
        <x:v>Ready</x:v>
      </x:c>
      <x:c r="D8338" s="6" t="str">
        <x:v>平</x:v>
      </x:c>
      <x:c r="E8338" s="6" t="str"/>
      <x:c r="F8338" s="6" t="str">
        <x:v>上平聲六魚</x:v>
      </x:c>
      <x:c r="G8338" s="6" t="str">
        <x:v>Pingshui main list, Wikisource-derived DOCX</x:v>
      </x:c>
      <x:c r="H8338" s="6" t="str"/>
      <x:c r="I8338" s="6" t="str">
        <x:v>Pingshui main-list expansion; 詞 entries ignored</x:v>
      </x:c>
      <x:c r="J8338" s="6" t="str">
        <x:f>IF(B8338="","",IF(AND(ISNUMBER(SEARCH("平",B8338)),OR(ISNUMBER(SEARCH("上",B8338)),ISNUMBER(SEARCH("去",B8338)),ISNUMBER(SEARCH("入",B8338)))),"Ambiguous",IF(ISNUMBER(SEARCH("平",B8338)),"平","仄")))</x:f>
        <x:v>平</x:v>
      </x:c>
      <x:c r="K8338" s="6" t="str">
        <x:f>IF(D8338="","",IF(AND(ISNUMBER(SEARCH("平",D8338)),OR(ISNUMBER(SEARCH("上",D8338)),ISNUMBER(SEARCH("去",D8338)),ISNUMBER(SEARCH("入",D8338)))),"Ambiguous",IF(ISNUMBER(SEARCH("平",D8338)),"平","仄")))</x:f>
        <x:v>平</x:v>
      </x:c>
      <x:c r="L8338" s="7" t="str">
        <x:v>Pingshui main list expansion</x:v>
      </x:c>
    </x:row>
    <x:row r="8339">
      <x:c r="A8339" s="5" t="str">
        <x:v>鵀</x:v>
      </x:c>
      <x:c r="B8339" s="6" t="str"/>
      <x:c r="C8339" s="6" t="str">
        <x:f>IF(B8339="","Needs decision","Ready")</x:f>
        <x:v>Needs decision</x:v>
      </x:c>
      <x:c r="D8339" s="6" t="str">
        <x:v>平/去</x:v>
      </x:c>
      <x:c r="E8339" s="6" t="str"/>
      <x:c r="F8339" s="6" t="str">
        <x:v>下平聲十二侵; 去聲二十七沁</x:v>
      </x:c>
      <x:c r="G8339" s="6" t="str">
        <x:v>Pingshui main list, Wikisource-derived DOCX</x:v>
      </x:c>
      <x:c r="H8339" s="6" t="str"/>
      <x:c r="I8339" s="6" t="str">
        <x:v>Pingshui main-list expansion; 詞 entries ignored</x:v>
      </x:c>
      <x:c r="J8339" s="6" t="str">
        <x:f>IF(B8339="","",IF(AND(ISNUMBER(SEARCH("平",B8339)),OR(ISNUMBER(SEARCH("上",B8339)),ISNUMBER(SEARCH("去",B8339)),ISNUMBER(SEARCH("入",B8339)))),"Ambiguous",IF(ISNUMBER(SEARCH("平",B8339)),"平","仄")))</x:f>
      </x:c>
      <x:c r="K8339" s="6" t="str">
        <x:f>IF(D8339="","",IF(AND(ISNUMBER(SEARCH("平",D8339)),OR(ISNUMBER(SEARCH("上",D8339)),ISNUMBER(SEARCH("去",D8339)),ISNUMBER(SEARCH("入",D8339)))),"Ambiguous",IF(ISNUMBER(SEARCH("平",D8339)),"平","仄")))</x:f>
        <x:v>Ambiguous</x:v>
      </x:c>
      <x:c r="L8339" s="7" t="str">
        <x:v>Pingshui main list expansion</x:v>
      </x:c>
    </x:row>
    <x:row r="8340">
      <x:c r="A8340" s="5" t="str">
        <x:v>鵊</x:v>
      </x:c>
      <x:c r="B8340" s="6" t="str">
        <x:v>入</x:v>
      </x:c>
      <x:c r="C8340" s="6" t="str">
        <x:f>IF(B8340="","Needs decision","Ready")</x:f>
        <x:v>Ready</x:v>
      </x:c>
      <x:c r="D8340" s="6" t="str">
        <x:v>入</x:v>
      </x:c>
      <x:c r="E8340" s="6" t="str"/>
      <x:c r="F8340" s="6" t="str">
        <x:v>入聲十七洽</x:v>
      </x:c>
      <x:c r="G8340" s="6" t="str">
        <x:v>Pingshui main list, Wikisource-derived DOCX</x:v>
      </x:c>
      <x:c r="H8340" s="6" t="str"/>
      <x:c r="I8340" s="6" t="str">
        <x:v>Pingshui main-list expansion; 詞 entries ignored</x:v>
      </x:c>
      <x:c r="J8340" s="6" t="str">
        <x:f>IF(B8340="","",IF(AND(ISNUMBER(SEARCH("平",B8340)),OR(ISNUMBER(SEARCH("上",B8340)),ISNUMBER(SEARCH("去",B8340)),ISNUMBER(SEARCH("入",B8340)))),"Ambiguous",IF(ISNUMBER(SEARCH("平",B8340)),"平","仄")))</x:f>
        <x:v>仄</x:v>
      </x:c>
      <x:c r="K8340" s="6" t="str">
        <x:f>IF(D8340="","",IF(AND(ISNUMBER(SEARCH("平",D8340)),OR(ISNUMBER(SEARCH("上",D8340)),ISNUMBER(SEARCH("去",D8340)),ISNUMBER(SEARCH("入",D8340)))),"Ambiguous",IF(ISNUMBER(SEARCH("平",D8340)),"平","仄")))</x:f>
        <x:v>仄</x:v>
      </x:c>
      <x:c r="L8340" s="7" t="str">
        <x:v>Pingshui main list expansion</x:v>
      </x:c>
    </x:row>
    <x:row r="8341">
      <x:c r="A8341" s="5" t="str">
        <x:v>鵌</x:v>
      </x:c>
      <x:c r="B8341" s="6" t="str">
        <x:v>平</x:v>
      </x:c>
      <x:c r="C8341" s="6" t="str">
        <x:f>IF(B8341="","Needs decision","Ready")</x:f>
        <x:v>Ready</x:v>
      </x:c>
      <x:c r="D8341" s="6" t="str">
        <x:v>平</x:v>
      </x:c>
      <x:c r="E8341" s="6" t="str"/>
      <x:c r="F8341" s="6" t="str">
        <x:v>上平聲六魚; 上平聲七虞</x:v>
      </x:c>
      <x:c r="G8341" s="6" t="str">
        <x:v>Pingshui main list, Wikisource-derived DOCX</x:v>
      </x:c>
      <x:c r="H8341" s="6" t="str"/>
      <x:c r="I8341" s="6" t="str">
        <x:v>Pingshui main-list expansion; 詞 entries ignored</x:v>
      </x:c>
      <x:c r="J8341" s="6" t="str">
        <x:f>IF(B8341="","",IF(AND(ISNUMBER(SEARCH("平",B8341)),OR(ISNUMBER(SEARCH("上",B8341)),ISNUMBER(SEARCH("去",B8341)),ISNUMBER(SEARCH("入",B8341)))),"Ambiguous",IF(ISNUMBER(SEARCH("平",B8341)),"平","仄")))</x:f>
        <x:v>平</x:v>
      </x:c>
      <x:c r="K8341" s="6" t="str">
        <x:f>IF(D8341="","",IF(AND(ISNUMBER(SEARCH("平",D8341)),OR(ISNUMBER(SEARCH("上",D8341)),ISNUMBER(SEARCH("去",D8341)),ISNUMBER(SEARCH("入",D8341)))),"Ambiguous",IF(ISNUMBER(SEARCH("平",D8341)),"平","仄")))</x:f>
        <x:v>平</x:v>
      </x:c>
      <x:c r="L8341" s="7" t="str">
        <x:v>Pingshui main list expansion</x:v>
      </x:c>
    </x:row>
    <x:row r="8342">
      <x:c r="A8342" s="5" t="str">
        <x:v>鵗</x:v>
      </x:c>
      <x:c r="B8342" s="6" t="str">
        <x:v>平</x:v>
      </x:c>
      <x:c r="C8342" s="6" t="str">
        <x:f>IF(B8342="","Needs decision","Ready")</x:f>
        <x:v>Ready</x:v>
      </x:c>
      <x:c r="D8342" s="6" t="str">
        <x:v>平</x:v>
      </x:c>
      <x:c r="E8342" s="6" t="str"/>
      <x:c r="F8342" s="6" t="str">
        <x:v>上平聲五微</x:v>
      </x:c>
      <x:c r="G8342" s="6" t="str">
        <x:v>Pingshui main list, Wikisource-derived DOCX</x:v>
      </x:c>
      <x:c r="H8342" s="6" t="str"/>
      <x:c r="I8342" s="6" t="str">
        <x:v>Pingshui main-list expansion; 詞 entries ignored</x:v>
      </x:c>
      <x:c r="J8342" s="6" t="str">
        <x:f>IF(B8342="","",IF(AND(ISNUMBER(SEARCH("平",B8342)),OR(ISNUMBER(SEARCH("上",B8342)),ISNUMBER(SEARCH("去",B8342)),ISNUMBER(SEARCH("入",B8342)))),"Ambiguous",IF(ISNUMBER(SEARCH("平",B8342)),"平","仄")))</x:f>
        <x:v>平</x:v>
      </x:c>
      <x:c r="K8342" s="6" t="str">
        <x:f>IF(D8342="","",IF(AND(ISNUMBER(SEARCH("平",D8342)),OR(ISNUMBER(SEARCH("上",D8342)),ISNUMBER(SEARCH("去",D8342)),ISNUMBER(SEARCH("入",D8342)))),"Ambiguous",IF(ISNUMBER(SEARCH("平",D8342)),"平","仄")))</x:f>
        <x:v>平</x:v>
      </x:c>
      <x:c r="L8342" s="7" t="str">
        <x:v>Pingshui main list expansion</x:v>
      </x:c>
    </x:row>
    <x:row r="8343">
      <x:c r="A8343" s="5" t="str">
        <x:v>鵩</x:v>
      </x:c>
      <x:c r="B8343" s="6" t="str">
        <x:v>入</x:v>
      </x:c>
      <x:c r="C8343" s="6" t="str">
        <x:f>IF(B8343="","Needs decision","Ready")</x:f>
        <x:v>Ready</x:v>
      </x:c>
      <x:c r="D8343" s="6" t="str">
        <x:v>入</x:v>
      </x:c>
      <x:c r="E8343" s="6" t="str"/>
      <x:c r="F8343" s="6" t="str">
        <x:v>入聲一屋</x:v>
      </x:c>
      <x:c r="G8343" s="6" t="str">
        <x:v>Pingshui main list, Wikisource-derived DOCX</x:v>
      </x:c>
      <x:c r="H8343" s="6" t="str"/>
      <x:c r="I8343" s="6" t="str">
        <x:v>Pingshui main-list expansion; 詞 entries ignored</x:v>
      </x:c>
      <x:c r="J8343" s="6" t="str">
        <x:f>IF(B8343="","",IF(AND(ISNUMBER(SEARCH("平",B8343)),OR(ISNUMBER(SEARCH("上",B8343)),ISNUMBER(SEARCH("去",B8343)),ISNUMBER(SEARCH("入",B8343)))),"Ambiguous",IF(ISNUMBER(SEARCH("平",B8343)),"平","仄")))</x:f>
        <x:v>仄</x:v>
      </x:c>
      <x:c r="K8343" s="6" t="str">
        <x:f>IF(D8343="","",IF(AND(ISNUMBER(SEARCH("平",D8343)),OR(ISNUMBER(SEARCH("上",D8343)),ISNUMBER(SEARCH("去",D8343)),ISNUMBER(SEARCH("入",D8343)))),"Ambiguous",IF(ISNUMBER(SEARCH("平",D8343)),"平","仄")))</x:f>
        <x:v>仄</x:v>
      </x:c>
      <x:c r="L8343" s="7" t="str">
        <x:v>Pingshui main list expansion</x:v>
      </x:c>
    </x:row>
    <x:row r="8344">
      <x:c r="A8344" s="5" t="str">
        <x:v>鵫</x:v>
      </x:c>
      <x:c r="B8344" s="6" t="str">
        <x:v>入</x:v>
      </x:c>
      <x:c r="C8344" s="6" t="str">
        <x:f>IF(B8344="","Needs decision","Ready")</x:f>
        <x:v>Ready</x:v>
      </x:c>
      <x:c r="D8344" s="6" t="str">
        <x:v>入</x:v>
      </x:c>
      <x:c r="E8344" s="6" t="str"/>
      <x:c r="F8344" s="6" t="str">
        <x:v>入聲三覺</x:v>
      </x:c>
      <x:c r="G8344" s="6" t="str">
        <x:v>Pingshui main list, Wikisource-derived DOCX</x:v>
      </x:c>
      <x:c r="H8344" s="6" t="str"/>
      <x:c r="I8344" s="6" t="str">
        <x:v>Pingshui main-list expansion; 詞 entries ignored</x:v>
      </x:c>
      <x:c r="J8344" s="6" t="str">
        <x:f>IF(B8344="","",IF(AND(ISNUMBER(SEARCH("平",B8344)),OR(ISNUMBER(SEARCH("上",B8344)),ISNUMBER(SEARCH("去",B8344)),ISNUMBER(SEARCH("入",B8344)))),"Ambiguous",IF(ISNUMBER(SEARCH("平",B8344)),"平","仄")))</x:f>
        <x:v>仄</x:v>
      </x:c>
      <x:c r="K8344" s="6" t="str">
        <x:f>IF(D8344="","",IF(AND(ISNUMBER(SEARCH("平",D8344)),OR(ISNUMBER(SEARCH("上",D8344)),ISNUMBER(SEARCH("去",D8344)),ISNUMBER(SEARCH("入",D8344)))),"Ambiguous",IF(ISNUMBER(SEARCH("平",D8344)),"平","仄")))</x:f>
        <x:v>仄</x:v>
      </x:c>
      <x:c r="L8344" s="7" t="str">
        <x:v>Pingshui main list expansion</x:v>
      </x:c>
    </x:row>
    <x:row r="8345">
      <x:c r="A8345" s="5" t="str">
        <x:v>鵱</x:v>
      </x:c>
      <x:c r="B8345" s="6" t="str">
        <x:v>去</x:v>
      </x:c>
      <x:c r="C8345" s="6" t="str">
        <x:f>IF(B8345="","Needs decision","Ready")</x:f>
        <x:v>Ready</x:v>
      </x:c>
      <x:c r="D8345" s="6" t="str">
        <x:v>去</x:v>
      </x:c>
      <x:c r="E8345" s="6" t="str"/>
      <x:c r="F8345" s="6" t="str">
        <x:v>去聲八霽</x:v>
      </x:c>
      <x:c r="G8345" s="6" t="str">
        <x:v>Pingshui main list, Wikisource-derived DOCX</x:v>
      </x:c>
      <x:c r="H8345" s="6" t="str"/>
      <x:c r="I8345" s="6" t="str">
        <x:v>Pingshui main-list expansion; 詞 entries ignored</x:v>
      </x:c>
      <x:c r="J8345" s="6" t="str">
        <x:f>IF(B8345="","",IF(AND(ISNUMBER(SEARCH("平",B8345)),OR(ISNUMBER(SEARCH("上",B8345)),ISNUMBER(SEARCH("去",B8345)),ISNUMBER(SEARCH("入",B8345)))),"Ambiguous",IF(ISNUMBER(SEARCH("平",B8345)),"平","仄")))</x:f>
        <x:v>仄</x:v>
      </x:c>
      <x:c r="K8345" s="6" t="str">
        <x:f>IF(D8345="","",IF(AND(ISNUMBER(SEARCH("平",D8345)),OR(ISNUMBER(SEARCH("上",D8345)),ISNUMBER(SEARCH("去",D8345)),ISNUMBER(SEARCH("入",D8345)))),"Ambiguous",IF(ISNUMBER(SEARCH("平",D8345)),"平","仄")))</x:f>
        <x:v>仄</x:v>
      </x:c>
      <x:c r="L8345" s="7" t="str">
        <x:v>Pingshui main list expansion</x:v>
      </x:c>
    </x:row>
    <x:row r="8346">
      <x:c r="A8346" s="5" t="str">
        <x:v>鵳</x:v>
      </x:c>
      <x:c r="B8346" s="6" t="str">
        <x:v>平</x:v>
      </x:c>
      <x:c r="C8346" s="6" t="str">
        <x:f>IF(B8346="","Needs decision","Ready")</x:f>
        <x:v>Ready</x:v>
      </x:c>
      <x:c r="D8346" s="6" t="str">
        <x:v>平</x:v>
      </x:c>
      <x:c r="E8346" s="6" t="str"/>
      <x:c r="F8346" s="6" t="str">
        <x:v>下平聲一先</x:v>
      </x:c>
      <x:c r="G8346" s="6" t="str">
        <x:v>Pingshui main list, Wikisource-derived DOCX</x:v>
      </x:c>
      <x:c r="H8346" s="6" t="str"/>
      <x:c r="I8346" s="6" t="str">
        <x:v>Pingshui main-list expansion; 詞 entries ignored</x:v>
      </x:c>
      <x:c r="J8346" s="6" t="str">
        <x:f>IF(B8346="","",IF(AND(ISNUMBER(SEARCH("平",B8346)),OR(ISNUMBER(SEARCH("上",B8346)),ISNUMBER(SEARCH("去",B8346)),ISNUMBER(SEARCH("入",B8346)))),"Ambiguous",IF(ISNUMBER(SEARCH("平",B8346)),"平","仄")))</x:f>
        <x:v>平</x:v>
      </x:c>
      <x:c r="K8346" s="6" t="str">
        <x:f>IF(D8346="","",IF(AND(ISNUMBER(SEARCH("平",D8346)),OR(ISNUMBER(SEARCH("上",D8346)),ISNUMBER(SEARCH("去",D8346)),ISNUMBER(SEARCH("入",D8346)))),"Ambiguous",IF(ISNUMBER(SEARCH("平",D8346)),"平","仄")))</x:f>
        <x:v>平</x:v>
      </x:c>
      <x:c r="L8346" s="7" t="str">
        <x:v>Pingshui main list expansion</x:v>
      </x:c>
    </x:row>
    <x:row r="8347">
      <x:c r="A8347" s="5" t="str">
        <x:v>鵴</x:v>
      </x:c>
      <x:c r="B8347" s="6" t="str">
        <x:v>入</x:v>
      </x:c>
      <x:c r="C8347" s="6" t="str">
        <x:f>IF(B8347="","Needs decision","Ready")</x:f>
        <x:v>Ready</x:v>
      </x:c>
      <x:c r="D8347" s="6" t="str">
        <x:v>入</x:v>
      </x:c>
      <x:c r="E8347" s="6" t="str"/>
      <x:c r="F8347" s="6" t="str">
        <x:v>入聲一屋</x:v>
      </x:c>
      <x:c r="G8347" s="6" t="str">
        <x:v>Pingshui main list, Wikisource-derived DOCX</x:v>
      </x:c>
      <x:c r="H8347" s="6" t="str"/>
      <x:c r="I8347" s="6" t="str">
        <x:v>Pingshui main-list expansion; 詞 entries ignored</x:v>
      </x:c>
      <x:c r="J8347" s="6" t="str">
        <x:f>IF(B8347="","",IF(AND(ISNUMBER(SEARCH("平",B8347)),OR(ISNUMBER(SEARCH("上",B8347)),ISNUMBER(SEARCH("去",B8347)),ISNUMBER(SEARCH("入",B8347)))),"Ambiguous",IF(ISNUMBER(SEARCH("平",B8347)),"平","仄")))</x:f>
        <x:v>仄</x:v>
      </x:c>
      <x:c r="K8347" s="6" t="str">
        <x:f>IF(D8347="","",IF(AND(ISNUMBER(SEARCH("平",D8347)),OR(ISNUMBER(SEARCH("上",D8347)),ISNUMBER(SEARCH("去",D8347)),ISNUMBER(SEARCH("入",D8347)))),"Ambiguous",IF(ISNUMBER(SEARCH("平",D8347)),"平","仄")))</x:f>
        <x:v>仄</x:v>
      </x:c>
      <x:c r="L8347" s="7" t="str">
        <x:v>Pingshui main list expansion</x:v>
      </x:c>
    </x:row>
    <x:row r="8348">
      <x:c r="A8348" s="5" t="str">
        <x:v>鵽</x:v>
      </x:c>
      <x:c r="B8348" s="6" t="str">
        <x:v>入</x:v>
      </x:c>
      <x:c r="C8348" s="6" t="str">
        <x:f>IF(B8348="","Needs decision","Ready")</x:f>
        <x:v>Ready</x:v>
      </x:c>
      <x:c r="D8348" s="6" t="str">
        <x:v>入</x:v>
      </x:c>
      <x:c r="E8348" s="6" t="str"/>
      <x:c r="F8348" s="6" t="str">
        <x:v>入聲七曷; 入聲八黠</x:v>
      </x:c>
      <x:c r="G8348" s="6" t="str">
        <x:v>Pingshui main list, Wikisource-derived DOCX</x:v>
      </x:c>
      <x:c r="H8348" s="6" t="str"/>
      <x:c r="I8348" s="6" t="str">
        <x:v>Pingshui main-list expansion; 詞 entries ignored</x:v>
      </x:c>
      <x:c r="J8348" s="6" t="str">
        <x:f>IF(B8348="","",IF(AND(ISNUMBER(SEARCH("平",B8348)),OR(ISNUMBER(SEARCH("上",B8348)),ISNUMBER(SEARCH("去",B8348)),ISNUMBER(SEARCH("入",B8348)))),"Ambiguous",IF(ISNUMBER(SEARCH("平",B8348)),"平","仄")))</x:f>
        <x:v>仄</x:v>
      </x:c>
      <x:c r="K8348" s="6" t="str">
        <x:f>IF(D8348="","",IF(AND(ISNUMBER(SEARCH("平",D8348)),OR(ISNUMBER(SEARCH("上",D8348)),ISNUMBER(SEARCH("去",D8348)),ISNUMBER(SEARCH("入",D8348)))),"Ambiguous",IF(ISNUMBER(SEARCH("平",D8348)),"平","仄")))</x:f>
        <x:v>仄</x:v>
      </x:c>
      <x:c r="L8348" s="7" t="str">
        <x:v>Pingshui main list expansion</x:v>
      </x:c>
    </x:row>
    <x:row r="8349">
      <x:c r="A8349" s="5" t="str">
        <x:v>鶁</x:v>
      </x:c>
      <x:c r="B8349" s="6" t="str">
        <x:v>平</x:v>
      </x:c>
      <x:c r="C8349" s="6" t="str">
        <x:f>IF(B8349="","Needs decision","Ready")</x:f>
        <x:v>Ready</x:v>
      </x:c>
      <x:c r="D8349" s="6" t="str">
        <x:v>平</x:v>
      </x:c>
      <x:c r="E8349" s="6" t="str"/>
      <x:c r="F8349" s="6" t="str">
        <x:v>下平聲八庚</x:v>
      </x:c>
      <x:c r="G8349" s="6" t="str">
        <x:v>Pingshui main list, Wikisource-derived DOCX</x:v>
      </x:c>
      <x:c r="H8349" s="6" t="str"/>
      <x:c r="I8349" s="6" t="str">
        <x:v>Pingshui main-list expansion; 詞 entries ignored</x:v>
      </x:c>
      <x:c r="J8349" s="6" t="str">
        <x:f>IF(B8349="","",IF(AND(ISNUMBER(SEARCH("平",B8349)),OR(ISNUMBER(SEARCH("上",B8349)),ISNUMBER(SEARCH("去",B8349)),ISNUMBER(SEARCH("入",B8349)))),"Ambiguous",IF(ISNUMBER(SEARCH("平",B8349)),"平","仄")))</x:f>
        <x:v>平</x:v>
      </x:c>
      <x:c r="K8349" s="6" t="str">
        <x:f>IF(D8349="","",IF(AND(ISNUMBER(SEARCH("平",D8349)),OR(ISNUMBER(SEARCH("上",D8349)),ISNUMBER(SEARCH("去",D8349)),ISNUMBER(SEARCH("入",D8349)))),"Ambiguous",IF(ISNUMBER(SEARCH("平",D8349)),"平","仄")))</x:f>
        <x:v>平</x:v>
      </x:c>
      <x:c r="L8349" s="7" t="str">
        <x:v>Pingshui main list expansion</x:v>
      </x:c>
    </x:row>
    <x:row r="8350">
      <x:c r="A8350" s="5" t="str">
        <x:v>鶄</x:v>
      </x:c>
      <x:c r="B8350" s="6" t="str">
        <x:v>平</x:v>
      </x:c>
      <x:c r="C8350" s="6" t="str">
        <x:f>IF(B8350="","Needs decision","Ready")</x:f>
        <x:v>Ready</x:v>
      </x:c>
      <x:c r="D8350" s="6" t="str">
        <x:v>平</x:v>
      </x:c>
      <x:c r="E8350" s="6" t="str"/>
      <x:c r="F8350" s="6" t="str">
        <x:v>下平聲八庚</x:v>
      </x:c>
      <x:c r="G8350" s="6" t="str">
        <x:v>Pingshui main list, Wikisource-derived DOCX</x:v>
      </x:c>
      <x:c r="H8350" s="6" t="str"/>
      <x:c r="I8350" s="6" t="str">
        <x:v>Pingshui main-list expansion; 詞 entries ignored</x:v>
      </x:c>
      <x:c r="J8350" s="6" t="str">
        <x:f>IF(B8350="","",IF(AND(ISNUMBER(SEARCH("平",B8350)),OR(ISNUMBER(SEARCH("上",B8350)),ISNUMBER(SEARCH("去",B8350)),ISNUMBER(SEARCH("入",B8350)))),"Ambiguous",IF(ISNUMBER(SEARCH("平",B8350)),"平","仄")))</x:f>
        <x:v>平</x:v>
      </x:c>
      <x:c r="K8350" s="6" t="str">
        <x:f>IF(D8350="","",IF(AND(ISNUMBER(SEARCH("平",D8350)),OR(ISNUMBER(SEARCH("上",D8350)),ISNUMBER(SEARCH("去",D8350)),ISNUMBER(SEARCH("入",D8350)))),"Ambiguous",IF(ISNUMBER(SEARCH("平",D8350)),"平","仄")))</x:f>
        <x:v>平</x:v>
      </x:c>
      <x:c r="L8350" s="7" t="str">
        <x:v>Pingshui main list expansion</x:v>
      </x:c>
    </x:row>
    <x:row r="8351">
      <x:c r="A8351" s="5" t="str">
        <x:v>鶔</x:v>
      </x:c>
      <x:c r="B8351" s="6" t="str">
        <x:v>平</x:v>
      </x:c>
      <x:c r="C8351" s="6" t="str">
        <x:f>IF(B8351="","Needs decision","Ready")</x:f>
        <x:v>Ready</x:v>
      </x:c>
      <x:c r="D8351" s="6" t="str">
        <x:v>平</x:v>
      </x:c>
      <x:c r="E8351" s="6" t="str"/>
      <x:c r="F8351" s="6" t="str">
        <x:v>下平聲十一尤</x:v>
      </x:c>
      <x:c r="G8351" s="6" t="str">
        <x:v>Pingshui main list, Wikisource-derived DOCX</x:v>
      </x:c>
      <x:c r="H8351" s="6" t="str"/>
      <x:c r="I8351" s="6" t="str">
        <x:v>Pingshui main-list expansion; 詞 entries ignored</x:v>
      </x:c>
      <x:c r="J8351" s="6" t="str">
        <x:f>IF(B8351="","",IF(AND(ISNUMBER(SEARCH("平",B8351)),OR(ISNUMBER(SEARCH("上",B8351)),ISNUMBER(SEARCH("去",B8351)),ISNUMBER(SEARCH("入",B8351)))),"Ambiguous",IF(ISNUMBER(SEARCH("平",B8351)),"平","仄")))</x:f>
        <x:v>平</x:v>
      </x:c>
      <x:c r="K8351" s="6" t="str">
        <x:f>IF(D8351="","",IF(AND(ISNUMBER(SEARCH("平",D8351)),OR(ISNUMBER(SEARCH("上",D8351)),ISNUMBER(SEARCH("去",D8351)),ISNUMBER(SEARCH("入",D8351)))),"Ambiguous",IF(ISNUMBER(SEARCH("平",D8351)),"平","仄")))</x:f>
        <x:v>平</x:v>
      </x:c>
      <x:c r="L8351" s="7" t="str">
        <x:v>Pingshui main list expansion</x:v>
      </x:c>
    </x:row>
    <x:row r="8352">
      <x:c r="A8352" s="5" t="str">
        <x:v>鶘</x:v>
      </x:c>
      <x:c r="B8352" s="6" t="str">
        <x:v>平</x:v>
      </x:c>
      <x:c r="C8352" s="6" t="str">
        <x:f>IF(B8352="","Needs decision","Ready")</x:f>
        <x:v>Ready</x:v>
      </x:c>
      <x:c r="D8352" s="6" t="str">
        <x:v>平</x:v>
      </x:c>
      <x:c r="E8352" s="6" t="str"/>
      <x:c r="F8352" s="6" t="str">
        <x:v>上平聲七虞</x:v>
      </x:c>
      <x:c r="G8352" s="6" t="str">
        <x:v>Pingshui main list, Wikisource-derived DOCX</x:v>
      </x:c>
      <x:c r="H8352" s="6" t="str"/>
      <x:c r="I8352" s="6" t="str">
        <x:v>Pingshui main-list expansion; 詞 entries ignored</x:v>
      </x:c>
      <x:c r="J8352" s="6" t="str">
        <x:f>IF(B8352="","",IF(AND(ISNUMBER(SEARCH("平",B8352)),OR(ISNUMBER(SEARCH("上",B8352)),ISNUMBER(SEARCH("去",B8352)),ISNUMBER(SEARCH("入",B8352)))),"Ambiguous",IF(ISNUMBER(SEARCH("平",B8352)),"平","仄")))</x:f>
        <x:v>平</x:v>
      </x:c>
      <x:c r="K8352" s="6" t="str">
        <x:f>IF(D8352="","",IF(AND(ISNUMBER(SEARCH("平",D8352)),OR(ISNUMBER(SEARCH("上",D8352)),ISNUMBER(SEARCH("去",D8352)),ISNUMBER(SEARCH("入",D8352)))),"Ambiguous",IF(ISNUMBER(SEARCH("平",D8352)),"平","仄")))</x:f>
        <x:v>平</x:v>
      </x:c>
      <x:c r="L8352" s="7" t="str">
        <x:v>Pingshui main list expansion</x:v>
      </x:c>
    </x:row>
    <x:row r="8353">
      <x:c r="A8353" s="5" t="str">
        <x:v>鶞</x:v>
      </x:c>
      <x:c r="B8353" s="6" t="str">
        <x:v>平</x:v>
      </x:c>
      <x:c r="C8353" s="6" t="str">
        <x:f>IF(B8353="","Needs decision","Ready")</x:f>
        <x:v>Ready</x:v>
      </x:c>
      <x:c r="D8353" s="6" t="str">
        <x:v>平</x:v>
      </x:c>
      <x:c r="E8353" s="6" t="str"/>
      <x:c r="F8353" s="6" t="str">
        <x:v>上平聲十一真</x:v>
      </x:c>
      <x:c r="G8353" s="6" t="str">
        <x:v>Pingshui main list, Wikisource-derived DOCX</x:v>
      </x:c>
      <x:c r="H8353" s="6" t="str"/>
      <x:c r="I8353" s="6" t="str">
        <x:v>Pingshui main-list expansion; 詞 entries ignored</x:v>
      </x:c>
      <x:c r="J8353" s="6" t="str">
        <x:f>IF(B8353="","",IF(AND(ISNUMBER(SEARCH("平",B8353)),OR(ISNUMBER(SEARCH("上",B8353)),ISNUMBER(SEARCH("去",B8353)),ISNUMBER(SEARCH("入",B8353)))),"Ambiguous",IF(ISNUMBER(SEARCH("平",B8353)),"平","仄")))</x:f>
        <x:v>平</x:v>
      </x:c>
      <x:c r="K8353" s="6" t="str">
        <x:f>IF(D8353="","",IF(AND(ISNUMBER(SEARCH("平",D8353)),OR(ISNUMBER(SEARCH("上",D8353)),ISNUMBER(SEARCH("去",D8353)),ISNUMBER(SEARCH("入",D8353)))),"Ambiguous",IF(ISNUMBER(SEARCH("平",D8353)),"平","仄")))</x:f>
        <x:v>平</x:v>
      </x:c>
      <x:c r="L8353" s="7" t="str">
        <x:v>Pingshui main list expansion</x:v>
      </x:c>
    </x:row>
    <x:row r="8354">
      <x:c r="A8354" s="5" t="str">
        <x:v>鶹</x:v>
      </x:c>
      <x:c r="B8354" s="6" t="str">
        <x:v>平</x:v>
      </x:c>
      <x:c r="C8354" s="6" t="str">
        <x:f>IF(B8354="","Needs decision","Ready")</x:f>
        <x:v>Ready</x:v>
      </x:c>
      <x:c r="D8354" s="6" t="str">
        <x:v>平</x:v>
      </x:c>
      <x:c r="E8354" s="6" t="str"/>
      <x:c r="F8354" s="6" t="str">
        <x:v>下平聲十一尤</x:v>
      </x:c>
      <x:c r="G8354" s="6" t="str">
        <x:v>Pingshui main list, Wikisource-derived DOCX</x:v>
      </x:c>
      <x:c r="H8354" s="6" t="str"/>
      <x:c r="I8354" s="6" t="str">
        <x:v>Pingshui main-list expansion; 詞 entries ignored</x:v>
      </x:c>
      <x:c r="J8354" s="6" t="str">
        <x:f>IF(B8354="","",IF(AND(ISNUMBER(SEARCH("平",B8354)),OR(ISNUMBER(SEARCH("上",B8354)),ISNUMBER(SEARCH("去",B8354)),ISNUMBER(SEARCH("入",B8354)))),"Ambiguous",IF(ISNUMBER(SEARCH("平",B8354)),"平","仄")))</x:f>
        <x:v>平</x:v>
      </x:c>
      <x:c r="K8354" s="6" t="str">
        <x:f>IF(D8354="","",IF(AND(ISNUMBER(SEARCH("平",D8354)),OR(ISNUMBER(SEARCH("上",D8354)),ISNUMBER(SEARCH("去",D8354)),ISNUMBER(SEARCH("入",D8354)))),"Ambiguous",IF(ISNUMBER(SEARCH("平",D8354)),"平","仄")))</x:f>
        <x:v>平</x:v>
      </x:c>
      <x:c r="L8354" s="7" t="str">
        <x:v>Pingshui main list expansion</x:v>
      </x:c>
    </x:row>
    <x:row r="8355">
      <x:c r="A8355" s="5" t="str">
        <x:v>鶻</x:v>
      </x:c>
      <x:c r="B8355" s="6" t="str">
        <x:v>入</x:v>
      </x:c>
      <x:c r="C8355" s="6" t="str">
        <x:f>IF(B8355="","Needs decision","Ready")</x:f>
        <x:v>Ready</x:v>
      </x:c>
      <x:c r="D8355" s="6" t="str">
        <x:v>入</x:v>
      </x:c>
      <x:c r="E8355" s="6" t="str"/>
      <x:c r="F8355" s="6" t="str">
        <x:v>入聲六月; 入聲八黠</x:v>
      </x:c>
      <x:c r="G8355" s="6" t="str">
        <x:v>Pingshui main list, Wikisource-derived DOCX</x:v>
      </x:c>
      <x:c r="H8355" s="6" t="str"/>
      <x:c r="I8355" s="6" t="str">
        <x:v>Pingshui main-list expansion; 詞 entries ignored</x:v>
      </x:c>
      <x:c r="J8355" s="6" t="str">
        <x:f>IF(B8355="","",IF(AND(ISNUMBER(SEARCH("平",B8355)),OR(ISNUMBER(SEARCH("上",B8355)),ISNUMBER(SEARCH("去",B8355)),ISNUMBER(SEARCH("入",B8355)))),"Ambiguous",IF(ISNUMBER(SEARCH("平",B8355)),"平","仄")))</x:f>
        <x:v>仄</x:v>
      </x:c>
      <x:c r="K8355" s="6" t="str">
        <x:f>IF(D8355="","",IF(AND(ISNUMBER(SEARCH("平",D8355)),OR(ISNUMBER(SEARCH("上",D8355)),ISNUMBER(SEARCH("去",D8355)),ISNUMBER(SEARCH("入",D8355)))),"Ambiguous",IF(ISNUMBER(SEARCH("平",D8355)),"平","仄")))</x:f>
        <x:v>仄</x:v>
      </x:c>
      <x:c r="L8355" s="7" t="str">
        <x:v>Pingshui main list expansion</x:v>
      </x:c>
    </x:row>
    <x:row r="8356">
      <x:c r="A8356" s="5" t="str">
        <x:v>鶿</x:v>
      </x:c>
      <x:c r="B8356" s="6" t="str">
        <x:v>平</x:v>
      </x:c>
      <x:c r="C8356" s="6" t="str">
        <x:f>IF(B8356="","Needs decision","Ready")</x:f>
        <x:v>Ready</x:v>
      </x:c>
      <x:c r="D8356" s="6" t="str">
        <x:v>平</x:v>
      </x:c>
      <x:c r="E8356" s="6" t="str"/>
      <x:c r="F8356" s="6" t="str">
        <x:v>上平聲四支</x:v>
      </x:c>
      <x:c r="G8356" s="6" t="str">
        <x:v>Pingshui main list, Wikisource-derived DOCX</x:v>
      </x:c>
      <x:c r="H8356" s="6" t="str"/>
      <x:c r="I8356" s="6" t="str">
        <x:v>Pingshui main-list expansion; 詞 entries ignored</x:v>
      </x:c>
      <x:c r="J8356" s="6" t="str">
        <x:f>IF(B8356="","",IF(AND(ISNUMBER(SEARCH("平",B8356)),OR(ISNUMBER(SEARCH("上",B8356)),ISNUMBER(SEARCH("去",B8356)),ISNUMBER(SEARCH("入",B8356)))),"Ambiguous",IF(ISNUMBER(SEARCH("平",B8356)),"平","仄")))</x:f>
        <x:v>平</x:v>
      </x:c>
      <x:c r="K8356" s="6" t="str">
        <x:f>IF(D8356="","",IF(AND(ISNUMBER(SEARCH("平",D8356)),OR(ISNUMBER(SEARCH("上",D8356)),ISNUMBER(SEARCH("去",D8356)),ISNUMBER(SEARCH("入",D8356)))),"Ambiguous",IF(ISNUMBER(SEARCH("平",D8356)),"平","仄")))</x:f>
        <x:v>平</x:v>
      </x:c>
      <x:c r="L8356" s="7" t="str">
        <x:v>Pingshui main list expansion</x:v>
      </x:c>
    </x:row>
    <x:row r="8357">
      <x:c r="A8357" s="5" t="str">
        <x:v>鷅</x:v>
      </x:c>
      <x:c r="B8357" s="6" t="str">
        <x:v>入</x:v>
      </x:c>
      <x:c r="C8357" s="6" t="str">
        <x:f>IF(B8357="","Needs decision","Ready")</x:f>
        <x:v>Ready</x:v>
      </x:c>
      <x:c r="D8357" s="6" t="str">
        <x:v>入</x:v>
      </x:c>
      <x:c r="E8357" s="6" t="str"/>
      <x:c r="F8357" s="6" t="str">
        <x:v>入聲四質</x:v>
      </x:c>
      <x:c r="G8357" s="6" t="str">
        <x:v>Pingshui main list, Wikisource-derived DOCX</x:v>
      </x:c>
      <x:c r="H8357" s="6" t="str"/>
      <x:c r="I8357" s="6" t="str">
        <x:v>Pingshui main-list expansion; 詞 entries ignored</x:v>
      </x:c>
      <x:c r="J8357" s="6" t="str">
        <x:f>IF(B8357="","",IF(AND(ISNUMBER(SEARCH("平",B8357)),OR(ISNUMBER(SEARCH("上",B8357)),ISNUMBER(SEARCH("去",B8357)),ISNUMBER(SEARCH("入",B8357)))),"Ambiguous",IF(ISNUMBER(SEARCH("平",B8357)),"平","仄")))</x:f>
        <x:v>仄</x:v>
      </x:c>
      <x:c r="K8357" s="6" t="str">
        <x:f>IF(D8357="","",IF(AND(ISNUMBER(SEARCH("平",D8357)),OR(ISNUMBER(SEARCH("上",D8357)),ISNUMBER(SEARCH("去",D8357)),ISNUMBER(SEARCH("入",D8357)))),"Ambiguous",IF(ISNUMBER(SEARCH("平",D8357)),"平","仄")))</x:f>
        <x:v>仄</x:v>
      </x:c>
      <x:c r="L8357" s="7" t="str">
        <x:v>Pingshui main list expansion</x:v>
      </x:c>
    </x:row>
    <x:row r="8358">
      <x:c r="A8358" s="5" t="str">
        <x:v>鷊</x:v>
      </x:c>
      <x:c r="B8358" s="6" t="str">
        <x:v>入</x:v>
      </x:c>
      <x:c r="C8358" s="6" t="str">
        <x:f>IF(B8358="","Needs decision","Ready")</x:f>
        <x:v>Ready</x:v>
      </x:c>
      <x:c r="D8358" s="6" t="str">
        <x:v>入</x:v>
      </x:c>
      <x:c r="E8358" s="6" t="str"/>
      <x:c r="F8358" s="6" t="str">
        <x:v>入聲十二錫</x:v>
      </x:c>
      <x:c r="G8358" s="6" t="str">
        <x:v>Pingshui main list, Wikisource-derived DOCX</x:v>
      </x:c>
      <x:c r="H8358" s="6" t="str"/>
      <x:c r="I8358" s="6" t="str">
        <x:v>Pingshui main-list expansion; 詞 entries ignored</x:v>
      </x:c>
      <x:c r="J8358" s="6" t="str">
        <x:f>IF(B8358="","",IF(AND(ISNUMBER(SEARCH("平",B8358)),OR(ISNUMBER(SEARCH("上",B8358)),ISNUMBER(SEARCH("去",B8358)),ISNUMBER(SEARCH("入",B8358)))),"Ambiguous",IF(ISNUMBER(SEARCH("平",B8358)),"平","仄")))</x:f>
        <x:v>仄</x:v>
      </x:c>
      <x:c r="K8358" s="6" t="str">
        <x:f>IF(D8358="","",IF(AND(ISNUMBER(SEARCH("平",D8358)),OR(ISNUMBER(SEARCH("上",D8358)),ISNUMBER(SEARCH("去",D8358)),ISNUMBER(SEARCH("入",D8358)))),"Ambiguous",IF(ISNUMBER(SEARCH("平",D8358)),"平","仄")))</x:f>
        <x:v>仄</x:v>
      </x:c>
      <x:c r="L8358" s="7" t="str">
        <x:v>Pingshui main list expansion</x:v>
      </x:c>
    </x:row>
    <x:row r="8359">
      <x:c r="A8359" s="5" t="str">
        <x:v>鷘</x:v>
      </x:c>
      <x:c r="B8359" s="6" t="str">
        <x:v>入</x:v>
      </x:c>
      <x:c r="C8359" s="6" t="str">
        <x:f>IF(B8359="","Needs decision","Ready")</x:f>
        <x:v>Ready</x:v>
      </x:c>
      <x:c r="D8359" s="6" t="str">
        <x:v>入</x:v>
      </x:c>
      <x:c r="E8359" s="6" t="str"/>
      <x:c r="F8359" s="6" t="str">
        <x:v>入聲十三職</x:v>
      </x:c>
      <x:c r="G8359" s="6" t="str">
        <x:v>Pingshui main list, Wikisource-derived DOCX</x:v>
      </x:c>
      <x:c r="H8359" s="6" t="str"/>
      <x:c r="I8359" s="6" t="str">
        <x:v>Pingshui main-list expansion; 詞 entries ignored</x:v>
      </x:c>
      <x:c r="J8359" s="6" t="str">
        <x:f>IF(B8359="","",IF(AND(ISNUMBER(SEARCH("平",B8359)),OR(ISNUMBER(SEARCH("上",B8359)),ISNUMBER(SEARCH("去",B8359)),ISNUMBER(SEARCH("入",B8359)))),"Ambiguous",IF(ISNUMBER(SEARCH("平",B8359)),"平","仄")))</x:f>
        <x:v>仄</x:v>
      </x:c>
      <x:c r="K8359" s="6" t="str">
        <x:f>IF(D8359="","",IF(AND(ISNUMBER(SEARCH("平",D8359)),OR(ISNUMBER(SEARCH("上",D8359)),ISNUMBER(SEARCH("去",D8359)),ISNUMBER(SEARCH("入",D8359)))),"Ambiguous",IF(ISNUMBER(SEARCH("平",D8359)),"平","仄")))</x:f>
        <x:v>仄</x:v>
      </x:c>
      <x:c r="L8359" s="7" t="str">
        <x:v>Pingshui main list expansion</x:v>
      </x:c>
    </x:row>
    <x:row r="8360">
      <x:c r="A8360" s="5" t="str">
        <x:v>鷚</x:v>
      </x:c>
      <x:c r="B8360" s="6" t="str">
        <x:v>去</x:v>
      </x:c>
      <x:c r="C8360" s="6" t="str">
        <x:f>IF(B8360="","Needs decision","Ready")</x:f>
        <x:v>Ready</x:v>
      </x:c>
      <x:c r="D8360" s="6" t="str">
        <x:v>去</x:v>
      </x:c>
      <x:c r="E8360" s="6" t="str"/>
      <x:c r="F8360" s="6" t="str">
        <x:v>去聲二十六宥</x:v>
      </x:c>
      <x:c r="G8360" s="6" t="str">
        <x:v>Pingshui main list, Wikisource-derived DOCX</x:v>
      </x:c>
      <x:c r="H8360" s="6" t="str"/>
      <x:c r="I8360" s="6" t="str">
        <x:v>Pingshui main-list expansion; 詞 entries ignored</x:v>
      </x:c>
      <x:c r="J8360" s="6" t="str">
        <x:f>IF(B8360="","",IF(AND(ISNUMBER(SEARCH("平",B8360)),OR(ISNUMBER(SEARCH("上",B8360)),ISNUMBER(SEARCH("去",B8360)),ISNUMBER(SEARCH("入",B8360)))),"Ambiguous",IF(ISNUMBER(SEARCH("平",B8360)),"平","仄")))</x:f>
        <x:v>仄</x:v>
      </x:c>
      <x:c r="K8360" s="6" t="str">
        <x:f>IF(D8360="","",IF(AND(ISNUMBER(SEARCH("平",D8360)),OR(ISNUMBER(SEARCH("上",D8360)),ISNUMBER(SEARCH("去",D8360)),ISNUMBER(SEARCH("入",D8360)))),"Ambiguous",IF(ISNUMBER(SEARCH("平",D8360)),"平","仄")))</x:f>
        <x:v>仄</x:v>
      </x:c>
      <x:c r="L8360" s="7" t="str">
        <x:v>Pingshui main list expansion</x:v>
      </x:c>
    </x:row>
    <x:row r="8361">
      <x:c r="A8361" s="5" t="str">
        <x:v>鷞</x:v>
      </x:c>
      <x:c r="B8361" s="6" t="str">
        <x:v>平</x:v>
      </x:c>
      <x:c r="C8361" s="6" t="str">
        <x:f>IF(B8361="","Needs decision","Ready")</x:f>
        <x:v>Ready</x:v>
      </x:c>
      <x:c r="D8361" s="6" t="str">
        <x:v>平</x:v>
      </x:c>
      <x:c r="E8361" s="6" t="str"/>
      <x:c r="F8361" s="6" t="str">
        <x:v>下平聲七陽</x:v>
      </x:c>
      <x:c r="G8361" s="6" t="str">
        <x:v>Pingshui main list, Wikisource-derived DOCX</x:v>
      </x:c>
      <x:c r="H8361" s="6" t="str"/>
      <x:c r="I8361" s="6" t="str">
        <x:v>Pingshui main-list expansion; 詞 entries ignored</x:v>
      </x:c>
      <x:c r="J8361" s="6" t="str">
        <x:f>IF(B8361="","",IF(AND(ISNUMBER(SEARCH("平",B8361)),OR(ISNUMBER(SEARCH("上",B8361)),ISNUMBER(SEARCH("去",B8361)),ISNUMBER(SEARCH("入",B8361)))),"Ambiguous",IF(ISNUMBER(SEARCH("平",B8361)),"平","仄")))</x:f>
        <x:v>平</x:v>
      </x:c>
      <x:c r="K8361" s="6" t="str">
        <x:f>IF(D8361="","",IF(AND(ISNUMBER(SEARCH("平",D8361)),OR(ISNUMBER(SEARCH("上",D8361)),ISNUMBER(SEARCH("去",D8361)),ISNUMBER(SEARCH("入",D8361)))),"Ambiguous",IF(ISNUMBER(SEARCH("平",D8361)),"平","仄")))</x:f>
        <x:v>平</x:v>
      </x:c>
      <x:c r="L8361" s="7" t="str">
        <x:v>Pingshui main list expansion</x:v>
      </x:c>
    </x:row>
    <x:row r="8362">
      <x:c r="A8362" s="5" t="str">
        <x:v>鷢</x:v>
      </x:c>
      <x:c r="B8362" s="6" t="str">
        <x:v>入</x:v>
      </x:c>
      <x:c r="C8362" s="6" t="str">
        <x:f>IF(B8362="","Needs decision","Ready")</x:f>
        <x:v>Ready</x:v>
      </x:c>
      <x:c r="D8362" s="6" t="str">
        <x:v>入</x:v>
      </x:c>
      <x:c r="E8362" s="6" t="str"/>
      <x:c r="F8362" s="6" t="str">
        <x:v>入聲六月</x:v>
      </x:c>
      <x:c r="G8362" s="6" t="str">
        <x:v>Pingshui main list, Wikisource-derived DOCX</x:v>
      </x:c>
      <x:c r="H8362" s="6" t="str"/>
      <x:c r="I8362" s="6" t="str">
        <x:v>Pingshui main-list expansion; 詞 entries ignored</x:v>
      </x:c>
      <x:c r="J8362" s="6" t="str">
        <x:f>IF(B8362="","",IF(AND(ISNUMBER(SEARCH("平",B8362)),OR(ISNUMBER(SEARCH("上",B8362)),ISNUMBER(SEARCH("去",B8362)),ISNUMBER(SEARCH("入",B8362)))),"Ambiguous",IF(ISNUMBER(SEARCH("平",B8362)),"平","仄")))</x:f>
        <x:v>仄</x:v>
      </x:c>
      <x:c r="K8362" s="6" t="str">
        <x:f>IF(D8362="","",IF(AND(ISNUMBER(SEARCH("平",D8362)),OR(ISNUMBER(SEARCH("上",D8362)),ISNUMBER(SEARCH("去",D8362)),ISNUMBER(SEARCH("入",D8362)))),"Ambiguous",IF(ISNUMBER(SEARCH("平",D8362)),"平","仄")))</x:f>
        <x:v>仄</x:v>
      </x:c>
      <x:c r="L8362" s="7" t="str">
        <x:v>Pingshui main list expansion</x:v>
      </x:c>
    </x:row>
    <x:row r="8363">
      <x:c r="A8363" s="5" t="str">
        <x:v>鷨</x:v>
      </x:c>
      <x:c r="B8363" s="6" t="str">
        <x:v>平</x:v>
      </x:c>
      <x:c r="C8363" s="6" t="str">
        <x:f>IF(B8363="","Needs decision","Ready")</x:f>
        <x:v>Ready</x:v>
      </x:c>
      <x:c r="D8363" s="6" t="str">
        <x:v>平</x:v>
      </x:c>
      <x:c r="E8363" s="6" t="str"/>
      <x:c r="F8363" s="6" t="str">
        <x:v>下平聲六麻</x:v>
      </x:c>
      <x:c r="G8363" s="6" t="str">
        <x:v>Pingshui main list, Wikisource-derived DOCX</x:v>
      </x:c>
      <x:c r="H8363" s="6" t="str"/>
      <x:c r="I8363" s="6" t="str">
        <x:v>Pingshui main-list expansion; 詞 entries ignored</x:v>
      </x:c>
      <x:c r="J8363" s="6" t="str">
        <x:f>IF(B8363="","",IF(AND(ISNUMBER(SEARCH("平",B8363)),OR(ISNUMBER(SEARCH("上",B8363)),ISNUMBER(SEARCH("去",B8363)),ISNUMBER(SEARCH("入",B8363)))),"Ambiguous",IF(ISNUMBER(SEARCH("平",B8363)),"平","仄")))</x:f>
        <x:v>平</x:v>
      </x:c>
      <x:c r="K8363" s="6" t="str">
        <x:f>IF(D8363="","",IF(AND(ISNUMBER(SEARCH("平",D8363)),OR(ISNUMBER(SEARCH("上",D8363)),ISNUMBER(SEARCH("去",D8363)),ISNUMBER(SEARCH("入",D8363)))),"Ambiguous",IF(ISNUMBER(SEARCH("平",D8363)),"平","仄")))</x:f>
        <x:v>平</x:v>
      </x:c>
      <x:c r="L8363" s="7" t="str">
        <x:v>Pingshui main list expansion</x:v>
      </x:c>
    </x:row>
    <x:row r="8364">
      <x:c r="A8364" s="5" t="str">
        <x:v>鷩</x:v>
      </x:c>
      <x:c r="B8364" s="6" t="str"/>
      <x:c r="C8364" s="6" t="str">
        <x:f>IF(B8364="","Needs decision","Ready")</x:f>
        <x:v>Needs decision</x:v>
      </x:c>
      <x:c r="D8364" s="6" t="str">
        <x:v>去/入</x:v>
      </x:c>
      <x:c r="E8364" s="6" t="str"/>
      <x:c r="F8364" s="6" t="str">
        <x:v>去聲八霽; 入聲九屑</x:v>
      </x:c>
      <x:c r="G8364" s="6" t="str">
        <x:v>Pingshui main list, Wikisource-derived DOCX</x:v>
      </x:c>
      <x:c r="H8364" s="6" t="str"/>
      <x:c r="I8364" s="6" t="str">
        <x:v>Pingshui main-list expansion; 詞 entries ignored</x:v>
      </x:c>
      <x:c r="J8364" s="6" t="str">
        <x:f>IF(B8364="","",IF(AND(ISNUMBER(SEARCH("平",B8364)),OR(ISNUMBER(SEARCH("上",B8364)),ISNUMBER(SEARCH("去",B8364)),ISNUMBER(SEARCH("入",B8364)))),"Ambiguous",IF(ISNUMBER(SEARCH("平",B8364)),"平","仄")))</x:f>
      </x:c>
      <x:c r="K8364" s="6" t="str">
        <x:f>IF(D8364="","",IF(AND(ISNUMBER(SEARCH("平",D8364)),OR(ISNUMBER(SEARCH("上",D8364)),ISNUMBER(SEARCH("去",D8364)),ISNUMBER(SEARCH("入",D8364)))),"Ambiguous",IF(ISNUMBER(SEARCH("平",D8364)),"平","仄")))</x:f>
        <x:v>仄</x:v>
      </x:c>
      <x:c r="L8364" s="7" t="str">
        <x:v>Pingshui main list expansion</x:v>
      </x:c>
    </x:row>
    <x:row r="8365">
      <x:c r="A8365" s="5" t="str">
        <x:v>鷮</x:v>
      </x:c>
      <x:c r="B8365" s="6" t="str">
        <x:v>平</x:v>
      </x:c>
      <x:c r="C8365" s="6" t="str">
        <x:f>IF(B8365="","Needs decision","Ready")</x:f>
        <x:v>Ready</x:v>
      </x:c>
      <x:c r="D8365" s="6" t="str">
        <x:v>平</x:v>
      </x:c>
      <x:c r="E8365" s="6" t="str"/>
      <x:c r="F8365" s="6" t="str">
        <x:v>下平聲二蕭</x:v>
      </x:c>
      <x:c r="G8365" s="6" t="str">
        <x:v>Pingshui main list, Wikisource-derived DOCX</x:v>
      </x:c>
      <x:c r="H8365" s="6" t="str"/>
      <x:c r="I8365" s="6" t="str">
        <x:v>Pingshui main-list expansion; 詞 entries ignored</x:v>
      </x:c>
      <x:c r="J8365" s="6" t="str">
        <x:f>IF(B8365="","",IF(AND(ISNUMBER(SEARCH("平",B8365)),OR(ISNUMBER(SEARCH("上",B8365)),ISNUMBER(SEARCH("去",B8365)),ISNUMBER(SEARCH("入",B8365)))),"Ambiguous",IF(ISNUMBER(SEARCH("平",B8365)),"平","仄")))</x:f>
        <x:v>平</x:v>
      </x:c>
      <x:c r="K8365" s="6" t="str">
        <x:f>IF(D8365="","",IF(AND(ISNUMBER(SEARCH("平",D8365)),OR(ISNUMBER(SEARCH("上",D8365)),ISNUMBER(SEARCH("去",D8365)),ISNUMBER(SEARCH("入",D8365)))),"Ambiguous",IF(ISNUMBER(SEARCH("平",D8365)),"平","仄")))</x:f>
        <x:v>平</x:v>
      </x:c>
      <x:c r="L8365" s="7" t="str">
        <x:v>Pingshui main list expansion</x:v>
      </x:c>
    </x:row>
    <x:row r="8366">
      <x:c r="A8366" s="5" t="str">
        <x:v>鷴</x:v>
      </x:c>
      <x:c r="B8366" s="6" t="str">
        <x:v>平</x:v>
      </x:c>
      <x:c r="C8366" s="6" t="str">
        <x:f>IF(B8366="","Needs decision","Ready")</x:f>
        <x:v>Ready</x:v>
      </x:c>
      <x:c r="D8366" s="6" t="str">
        <x:v>平</x:v>
      </x:c>
      <x:c r="E8366" s="6" t="str"/>
      <x:c r="F8366" s="6" t="str">
        <x:v>上平聲十五刪</x:v>
      </x:c>
      <x:c r="G8366" s="6" t="str">
        <x:v>Pingshui main list, Wikisource-derived DOCX</x:v>
      </x:c>
      <x:c r="H8366" s="6" t="str"/>
      <x:c r="I8366" s="6" t="str">
        <x:v>Pingshui main-list expansion; 詞 entries ignored</x:v>
      </x:c>
      <x:c r="J8366" s="6" t="str">
        <x:f>IF(B8366="","",IF(AND(ISNUMBER(SEARCH("平",B8366)),OR(ISNUMBER(SEARCH("上",B8366)),ISNUMBER(SEARCH("去",B8366)),ISNUMBER(SEARCH("入",B8366)))),"Ambiguous",IF(ISNUMBER(SEARCH("平",B8366)),"平","仄")))</x:f>
        <x:v>平</x:v>
      </x:c>
      <x:c r="K8366" s="6" t="str">
        <x:f>IF(D8366="","",IF(AND(ISNUMBER(SEARCH("平",D8366)),OR(ISNUMBER(SEARCH("上",D8366)),ISNUMBER(SEARCH("去",D8366)),ISNUMBER(SEARCH("入",D8366)))),"Ambiguous",IF(ISNUMBER(SEARCH("平",D8366)),"平","仄")))</x:f>
        <x:v>平</x:v>
      </x:c>
      <x:c r="L8366" s="7" t="str">
        <x:v>Pingshui main list expansion</x:v>
      </x:c>
    </x:row>
    <x:row r="8367">
      <x:c r="A8367" s="5" t="str">
        <x:v>鷷</x:v>
      </x:c>
      <x:c r="B8367" s="6" t="str">
        <x:v>平</x:v>
      </x:c>
      <x:c r="C8367" s="6" t="str">
        <x:f>IF(B8367="","Needs decision","Ready")</x:f>
        <x:v>Ready</x:v>
      </x:c>
      <x:c r="D8367" s="6" t="str">
        <x:v>平</x:v>
      </x:c>
      <x:c r="E8367" s="6" t="str"/>
      <x:c r="F8367" s="6" t="str">
        <x:v>上平聲十一真; 上平聲十三元</x:v>
      </x:c>
      <x:c r="G8367" s="6" t="str">
        <x:v>Pingshui main list, Wikisource-derived DOCX</x:v>
      </x:c>
      <x:c r="H8367" s="6" t="str"/>
      <x:c r="I8367" s="6" t="str">
        <x:v>Pingshui main-list expansion; 詞 entries ignored</x:v>
      </x:c>
      <x:c r="J8367" s="6" t="str">
        <x:f>IF(B8367="","",IF(AND(ISNUMBER(SEARCH("平",B8367)),OR(ISNUMBER(SEARCH("上",B8367)),ISNUMBER(SEARCH("去",B8367)),ISNUMBER(SEARCH("入",B8367)))),"Ambiguous",IF(ISNUMBER(SEARCH("平",B8367)),"平","仄")))</x:f>
        <x:v>平</x:v>
      </x:c>
      <x:c r="K8367" s="6" t="str">
        <x:f>IF(D8367="","",IF(AND(ISNUMBER(SEARCH("平",D8367)),OR(ISNUMBER(SEARCH("上",D8367)),ISNUMBER(SEARCH("去",D8367)),ISNUMBER(SEARCH("入",D8367)))),"Ambiguous",IF(ISNUMBER(SEARCH("平",D8367)),"平","仄")))</x:f>
        <x:v>平</x:v>
      </x:c>
      <x:c r="L8367" s="7" t="str">
        <x:v>Pingshui main list expansion</x:v>
      </x:c>
    </x:row>
    <x:row r="8368">
      <x:c r="A8368" s="5" t="str">
        <x:v>鷸</x:v>
      </x:c>
      <x:c r="B8368" s="6" t="str">
        <x:v>入</x:v>
      </x:c>
      <x:c r="C8368" s="6" t="str">
        <x:f>IF(B8368="","Needs decision","Ready")</x:f>
        <x:v>Ready</x:v>
      </x:c>
      <x:c r="D8368" s="6" t="str">
        <x:v>入</x:v>
      </x:c>
      <x:c r="E8368" s="6" t="str"/>
      <x:c r="F8368" s="6" t="str">
        <x:v>入聲四質</x:v>
      </x:c>
      <x:c r="G8368" s="6" t="str">
        <x:v>Pingshui main list, Wikisource-derived DOCX</x:v>
      </x:c>
      <x:c r="H8368" s="6" t="str"/>
      <x:c r="I8368" s="6" t="str">
        <x:v>Pingshui main-list expansion; 詞 entries ignored</x:v>
      </x:c>
      <x:c r="J8368" s="6" t="str">
        <x:f>IF(B8368="","",IF(AND(ISNUMBER(SEARCH("平",B8368)),OR(ISNUMBER(SEARCH("上",B8368)),ISNUMBER(SEARCH("去",B8368)),ISNUMBER(SEARCH("入",B8368)))),"Ambiguous",IF(ISNUMBER(SEARCH("平",B8368)),"平","仄")))</x:f>
        <x:v>仄</x:v>
      </x:c>
      <x:c r="K8368" s="6" t="str">
        <x:f>IF(D8368="","",IF(AND(ISNUMBER(SEARCH("平",D8368)),OR(ISNUMBER(SEARCH("上",D8368)),ISNUMBER(SEARCH("去",D8368)),ISNUMBER(SEARCH("入",D8368)))),"Ambiguous",IF(ISNUMBER(SEARCH("平",D8368)),"平","仄")))</x:f>
        <x:v>仄</x:v>
      </x:c>
      <x:c r="L8368" s="7" t="str">
        <x:v>Pingshui main list expansion</x:v>
      </x:c>
    </x:row>
    <x:row r="8369">
      <x:c r="A8369" s="5" t="str">
        <x:v>鸃</x:v>
      </x:c>
      <x:c r="B8369" s="6" t="str">
        <x:v>平</x:v>
      </x:c>
      <x:c r="C8369" s="6" t="str">
        <x:f>IF(B8369="","Needs decision","Ready")</x:f>
        <x:v>Ready</x:v>
      </x:c>
      <x:c r="D8369" s="6" t="str">
        <x:v>平</x:v>
      </x:c>
      <x:c r="E8369" s="6" t="str"/>
      <x:c r="F8369" s="6" t="str">
        <x:v>上平聲四支</x:v>
      </x:c>
      <x:c r="G8369" s="6" t="str">
        <x:v>Pingshui main list, Wikisource-derived DOCX</x:v>
      </x:c>
      <x:c r="H8369" s="6" t="str"/>
      <x:c r="I8369" s="6" t="str">
        <x:v>Pingshui main-list expansion; 詞 entries ignored</x:v>
      </x:c>
      <x:c r="J8369" s="6" t="str">
        <x:f>IF(B8369="","",IF(AND(ISNUMBER(SEARCH("平",B8369)),OR(ISNUMBER(SEARCH("上",B8369)),ISNUMBER(SEARCH("去",B8369)),ISNUMBER(SEARCH("入",B8369)))),"Ambiguous",IF(ISNUMBER(SEARCH("平",B8369)),"平","仄")))</x:f>
        <x:v>平</x:v>
      </x:c>
      <x:c r="K8369" s="6" t="str">
        <x:f>IF(D8369="","",IF(AND(ISNUMBER(SEARCH("平",D8369)),OR(ISNUMBER(SEARCH("上",D8369)),ISNUMBER(SEARCH("去",D8369)),ISNUMBER(SEARCH("入",D8369)))),"Ambiguous",IF(ISNUMBER(SEARCH("平",D8369)),"平","仄")))</x:f>
        <x:v>平</x:v>
      </x:c>
      <x:c r="L8369" s="7" t="str">
        <x:v>Pingshui main list expansion</x:v>
      </x:c>
    </x:row>
    <x:row r="8370">
      <x:c r="A8370" s="5" t="str">
        <x:v>鸆</x:v>
      </x:c>
      <x:c r="B8370" s="6" t="str">
        <x:v>平</x:v>
      </x:c>
      <x:c r="C8370" s="6" t="str">
        <x:f>IF(B8370="","Needs decision","Ready")</x:f>
        <x:v>Ready</x:v>
      </x:c>
      <x:c r="D8370" s="6" t="str">
        <x:v>平</x:v>
      </x:c>
      <x:c r="E8370" s="6" t="str"/>
      <x:c r="F8370" s="6" t="str">
        <x:v>上平聲七虞</x:v>
      </x:c>
      <x:c r="G8370" s="6" t="str">
        <x:v>Pingshui main list, Wikisource-derived DOCX</x:v>
      </x:c>
      <x:c r="H8370" s="6" t="str"/>
      <x:c r="I8370" s="6" t="str">
        <x:v>Pingshui main-list expansion; 詞 entries ignored</x:v>
      </x:c>
      <x:c r="J8370" s="6" t="str">
        <x:f>IF(B8370="","",IF(AND(ISNUMBER(SEARCH("平",B8370)),OR(ISNUMBER(SEARCH("上",B8370)),ISNUMBER(SEARCH("去",B8370)),ISNUMBER(SEARCH("入",B8370)))),"Ambiguous",IF(ISNUMBER(SEARCH("平",B8370)),"平","仄")))</x:f>
        <x:v>平</x:v>
      </x:c>
      <x:c r="K8370" s="6" t="str">
        <x:f>IF(D8370="","",IF(AND(ISNUMBER(SEARCH("平",D8370)),OR(ISNUMBER(SEARCH("上",D8370)),ISNUMBER(SEARCH("去",D8370)),ISNUMBER(SEARCH("入",D8370)))),"Ambiguous",IF(ISNUMBER(SEARCH("平",D8370)),"平","仄")))</x:f>
        <x:v>平</x:v>
      </x:c>
      <x:c r="L8370" s="7" t="str">
        <x:v>Pingshui main list expansion</x:v>
      </x:c>
    </x:row>
    <x:row r="8371">
      <x:c r="A8371" s="5" t="str">
        <x:v>鸑</x:v>
      </x:c>
      <x:c r="B8371" s="6" t="str">
        <x:v>入</x:v>
      </x:c>
      <x:c r="C8371" s="6" t="str">
        <x:f>IF(B8371="","Needs decision","Ready")</x:f>
        <x:v>Ready</x:v>
      </x:c>
      <x:c r="D8371" s="6" t="str">
        <x:v>入</x:v>
      </x:c>
      <x:c r="E8371" s="6" t="str"/>
      <x:c r="F8371" s="6" t="str">
        <x:v>入聲三覺</x:v>
      </x:c>
      <x:c r="G8371" s="6" t="str">
        <x:v>Pingshui main list, Wikisource-derived DOCX</x:v>
      </x:c>
      <x:c r="H8371" s="6" t="str"/>
      <x:c r="I8371" s="6" t="str">
        <x:v>Pingshui main-list expansion; 詞 entries ignored</x:v>
      </x:c>
      <x:c r="J8371" s="6" t="str">
        <x:f>IF(B8371="","",IF(AND(ISNUMBER(SEARCH("平",B8371)),OR(ISNUMBER(SEARCH("上",B8371)),ISNUMBER(SEARCH("去",B8371)),ISNUMBER(SEARCH("入",B8371)))),"Ambiguous",IF(ISNUMBER(SEARCH("平",B8371)),"平","仄")))</x:f>
        <x:v>仄</x:v>
      </x:c>
      <x:c r="K8371" s="6" t="str">
        <x:f>IF(D8371="","",IF(AND(ISNUMBER(SEARCH("平",D8371)),OR(ISNUMBER(SEARCH("上",D8371)),ISNUMBER(SEARCH("去",D8371)),ISNUMBER(SEARCH("入",D8371)))),"Ambiguous",IF(ISNUMBER(SEARCH("平",D8371)),"平","仄")))</x:f>
        <x:v>仄</x:v>
      </x:c>
      <x:c r="L8371" s="7" t="str">
        <x:v>Pingshui main list expansion</x:v>
      </x:c>
    </x:row>
    <x:row r="8372">
      <x:c r="A8372" s="5" t="str">
        <x:v>鸙</x:v>
      </x:c>
      <x:c r="B8372" s="6" t="str">
        <x:v>入</x:v>
      </x:c>
      <x:c r="C8372" s="6" t="str">
        <x:f>IF(B8372="","Needs decision","Ready")</x:f>
        <x:v>Ready</x:v>
      </x:c>
      <x:c r="D8372" s="6" t="str">
        <x:v>入</x:v>
      </x:c>
      <x:c r="E8372" s="6" t="str"/>
      <x:c r="F8372" s="6" t="str">
        <x:v>入聲十藥</x:v>
      </x:c>
      <x:c r="G8372" s="6" t="str">
        <x:v>Pingshui main list, Wikisource-derived DOCX</x:v>
      </x:c>
      <x:c r="H8372" s="6" t="str"/>
      <x:c r="I8372" s="6" t="str">
        <x:v>Pingshui main-list expansion; 詞 entries ignored</x:v>
      </x:c>
      <x:c r="J8372" s="6" t="str">
        <x:f>IF(B8372="","",IF(AND(ISNUMBER(SEARCH("平",B8372)),OR(ISNUMBER(SEARCH("上",B8372)),ISNUMBER(SEARCH("去",B8372)),ISNUMBER(SEARCH("入",B8372)))),"Ambiguous",IF(ISNUMBER(SEARCH("平",B8372)),"平","仄")))</x:f>
        <x:v>仄</x:v>
      </x:c>
      <x:c r="K8372" s="6" t="str">
        <x:f>IF(D8372="","",IF(AND(ISNUMBER(SEARCH("平",D8372)),OR(ISNUMBER(SEARCH("上",D8372)),ISNUMBER(SEARCH("去",D8372)),ISNUMBER(SEARCH("入",D8372)))),"Ambiguous",IF(ISNUMBER(SEARCH("平",D8372)),"平","仄")))</x:f>
        <x:v>仄</x:v>
      </x:c>
      <x:c r="L8372" s="7" t="str">
        <x:v>Pingshui main list expansion</x:v>
      </x:c>
    </x:row>
    <x:row r="8373">
      <x:c r="A8373" s="5" t="str">
        <x:v>麌</x:v>
      </x:c>
      <x:c r="B8373" s="6" t="str"/>
      <x:c r="C8373" s="6" t="str">
        <x:f>IF(B8373="","Needs decision","Ready")</x:f>
        <x:v>Needs decision</x:v>
      </x:c>
      <x:c r="D8373" s="6" t="str">
        <x:v>平/上</x:v>
      </x:c>
      <x:c r="E8373" s="6" t="str"/>
      <x:c r="F8373" s="6" t="str">
        <x:v>上平聲七虞; 上聲七麌</x:v>
      </x:c>
      <x:c r="G8373" s="6" t="str">
        <x:v>Pingshui main list, Wikisource-derived DOCX</x:v>
      </x:c>
      <x:c r="H8373" s="6" t="str"/>
      <x:c r="I8373" s="6" t="str">
        <x:v>Pingshui main-list expansion; 詞 entries ignored</x:v>
      </x:c>
      <x:c r="J8373" s="6" t="str">
        <x:f>IF(B8373="","",IF(AND(ISNUMBER(SEARCH("平",B8373)),OR(ISNUMBER(SEARCH("上",B8373)),ISNUMBER(SEARCH("去",B8373)),ISNUMBER(SEARCH("入",B8373)))),"Ambiguous",IF(ISNUMBER(SEARCH("平",B8373)),"平","仄")))</x:f>
      </x:c>
      <x:c r="K8373" s="6" t="str">
        <x:f>IF(D8373="","",IF(AND(ISNUMBER(SEARCH("平",D8373)),OR(ISNUMBER(SEARCH("上",D8373)),ISNUMBER(SEARCH("去",D8373)),ISNUMBER(SEARCH("入",D8373)))),"Ambiguous",IF(ISNUMBER(SEARCH("平",D8373)),"平","仄")))</x:f>
        <x:v>Ambiguous</x:v>
      </x:c>
      <x:c r="L8373" s="7" t="str">
        <x:v>Pingshui main list expansion</x:v>
      </x:c>
    </x:row>
    <x:row r="8374">
      <x:c r="A8374" s="5" t="str">
        <x:v>麎</x:v>
      </x:c>
      <x:c r="B8374" s="6" t="str">
        <x:v>平</x:v>
      </x:c>
      <x:c r="C8374" s="6" t="str">
        <x:f>IF(B8374="","Needs decision","Ready")</x:f>
        <x:v>Ready</x:v>
      </x:c>
      <x:c r="D8374" s="6" t="str">
        <x:v>平</x:v>
      </x:c>
      <x:c r="E8374" s="6" t="str"/>
      <x:c r="F8374" s="6" t="str">
        <x:v>上平聲十一真</x:v>
      </x:c>
      <x:c r="G8374" s="6" t="str">
        <x:v>Pingshui main list, Wikisource-derived DOCX</x:v>
      </x:c>
      <x:c r="H8374" s="6" t="str"/>
      <x:c r="I8374" s="6" t="str">
        <x:v>Pingshui main-list expansion; 詞 entries ignored</x:v>
      </x:c>
      <x:c r="J8374" s="6" t="str">
        <x:f>IF(B8374="","",IF(AND(ISNUMBER(SEARCH("平",B8374)),OR(ISNUMBER(SEARCH("上",B8374)),ISNUMBER(SEARCH("去",B8374)),ISNUMBER(SEARCH("入",B8374)))),"Ambiguous",IF(ISNUMBER(SEARCH("平",B8374)),"平","仄")))</x:f>
        <x:v>平</x:v>
      </x:c>
      <x:c r="K8374" s="6" t="str">
        <x:f>IF(D8374="","",IF(AND(ISNUMBER(SEARCH("平",D8374)),OR(ISNUMBER(SEARCH("上",D8374)),ISNUMBER(SEARCH("去",D8374)),ISNUMBER(SEARCH("入",D8374)))),"Ambiguous",IF(ISNUMBER(SEARCH("平",D8374)),"平","仄")))</x:f>
        <x:v>平</x:v>
      </x:c>
      <x:c r="L8374" s="7" t="str">
        <x:v>Pingshui main list expansion</x:v>
      </x:c>
    </x:row>
    <x:row r="8375">
      <x:c r="A8375" s="5" t="str">
        <x:v>麙</x:v>
      </x:c>
      <x:c r="B8375" s="6" t="str">
        <x:v>平</x:v>
      </x:c>
      <x:c r="C8375" s="6" t="str">
        <x:f>IF(B8375="","Needs decision","Ready")</x:f>
        <x:v>Ready</x:v>
      </x:c>
      <x:c r="D8375" s="6" t="str">
        <x:v>平</x:v>
      </x:c>
      <x:c r="E8375" s="6" t="str"/>
      <x:c r="F8375" s="6" t="str">
        <x:v>下平聲十五咸</x:v>
      </x:c>
      <x:c r="G8375" s="6" t="str">
        <x:v>Pingshui main list, Wikisource-derived DOCX</x:v>
      </x:c>
      <x:c r="H8375" s="6" t="str"/>
      <x:c r="I8375" s="6" t="str">
        <x:v>Pingshui main-list expansion; 詞 entries ignored</x:v>
      </x:c>
      <x:c r="J8375" s="6" t="str">
        <x:f>IF(B8375="","",IF(AND(ISNUMBER(SEARCH("平",B8375)),OR(ISNUMBER(SEARCH("上",B8375)),ISNUMBER(SEARCH("去",B8375)),ISNUMBER(SEARCH("入",B8375)))),"Ambiguous",IF(ISNUMBER(SEARCH("平",B8375)),"平","仄")))</x:f>
        <x:v>平</x:v>
      </x:c>
      <x:c r="K8375" s="6" t="str">
        <x:f>IF(D8375="","",IF(AND(ISNUMBER(SEARCH("平",D8375)),OR(ISNUMBER(SEARCH("上",D8375)),ISNUMBER(SEARCH("去",D8375)),ISNUMBER(SEARCH("入",D8375)))),"Ambiguous",IF(ISNUMBER(SEARCH("平",D8375)),"平","仄")))</x:f>
        <x:v>平</x:v>
      </x:c>
      <x:c r="L8375" s="7" t="str">
        <x:v>Pingshui main list expansion</x:v>
      </x:c>
    </x:row>
    <x:row r="8376">
      <x:c r="A8376" s="5" t="str">
        <x:v>麜</x:v>
      </x:c>
      <x:c r="B8376" s="6" t="str">
        <x:v>入</x:v>
      </x:c>
      <x:c r="C8376" s="6" t="str">
        <x:f>IF(B8376="","Needs decision","Ready")</x:f>
        <x:v>Ready</x:v>
      </x:c>
      <x:c r="D8376" s="6" t="str">
        <x:v>入</x:v>
      </x:c>
      <x:c r="E8376" s="6" t="str"/>
      <x:c r="F8376" s="6" t="str">
        <x:v>入聲四質</x:v>
      </x:c>
      <x:c r="G8376" s="6" t="str">
        <x:v>Pingshui main list, Wikisource-derived DOCX</x:v>
      </x:c>
      <x:c r="H8376" s="6" t="str"/>
      <x:c r="I8376" s="6" t="str">
        <x:v>Pingshui main-list expansion; 詞 entries ignored</x:v>
      </x:c>
      <x:c r="J8376" s="6" t="str">
        <x:f>IF(B8376="","",IF(AND(ISNUMBER(SEARCH("平",B8376)),OR(ISNUMBER(SEARCH("上",B8376)),ISNUMBER(SEARCH("去",B8376)),ISNUMBER(SEARCH("入",B8376)))),"Ambiguous",IF(ISNUMBER(SEARCH("平",B8376)),"平","仄")))</x:f>
        <x:v>仄</x:v>
      </x:c>
      <x:c r="K8376" s="6" t="str">
        <x:f>IF(D8376="","",IF(AND(ISNUMBER(SEARCH("平",D8376)),OR(ISNUMBER(SEARCH("上",D8376)),ISNUMBER(SEARCH("去",D8376)),ISNUMBER(SEARCH("入",D8376)))),"Ambiguous",IF(ISNUMBER(SEARCH("平",D8376)),"平","仄")))</x:f>
        <x:v>仄</x:v>
      </x:c>
      <x:c r="L8376" s="7" t="str">
        <x:v>Pingshui main list expansion</x:v>
      </x:c>
    </x:row>
    <x:row r="8377">
      <x:c r="A8377" s="5" t="str">
        <x:v>麧</x:v>
      </x:c>
      <x:c r="B8377" s="6" t="str">
        <x:v>入</x:v>
      </x:c>
      <x:c r="C8377" s="6" t="str">
        <x:f>IF(B8377="","Needs decision","Ready")</x:f>
        <x:v>Ready</x:v>
      </x:c>
      <x:c r="D8377" s="6" t="str">
        <x:v>入</x:v>
      </x:c>
      <x:c r="E8377" s="6" t="str"/>
      <x:c r="F8377" s="6" t="str">
        <x:v>入聲六月</x:v>
      </x:c>
      <x:c r="G8377" s="6" t="str">
        <x:v>Pingshui main list, Wikisource-derived DOCX</x:v>
      </x:c>
      <x:c r="H8377" s="6" t="str"/>
      <x:c r="I8377" s="6" t="str">
        <x:v>Pingshui main-list expansion; 詞 entries ignored</x:v>
      </x:c>
      <x:c r="J8377" s="6" t="str">
        <x:f>IF(B8377="","",IF(AND(ISNUMBER(SEARCH("平",B8377)),OR(ISNUMBER(SEARCH("上",B8377)),ISNUMBER(SEARCH("去",B8377)),ISNUMBER(SEARCH("入",B8377)))),"Ambiguous",IF(ISNUMBER(SEARCH("平",B8377)),"平","仄")))</x:f>
        <x:v>仄</x:v>
      </x:c>
      <x:c r="K8377" s="6" t="str">
        <x:f>IF(D8377="","",IF(AND(ISNUMBER(SEARCH("平",D8377)),OR(ISNUMBER(SEARCH("上",D8377)),ISNUMBER(SEARCH("去",D8377)),ISNUMBER(SEARCH("入",D8377)))),"Ambiguous",IF(ISNUMBER(SEARCH("平",D8377)),"平","仄")))</x:f>
        <x:v>仄</x:v>
      </x:c>
      <x:c r="L8377" s="7" t="str">
        <x:v>Pingshui main list expansion</x:v>
      </x:c>
    </x:row>
    <x:row r="8378">
      <x:c r="A8378" s="5" t="str">
        <x:v>麰</x:v>
      </x:c>
      <x:c r="B8378" s="6" t="str">
        <x:v>平</x:v>
      </x:c>
      <x:c r="C8378" s="6" t="str">
        <x:f>IF(B8378="","Needs decision","Ready")</x:f>
        <x:v>Ready</x:v>
      </x:c>
      <x:c r="D8378" s="6" t="str">
        <x:v>平</x:v>
      </x:c>
      <x:c r="E8378" s="6" t="str"/>
      <x:c r="F8378" s="6" t="str">
        <x:v>下平聲十一尤</x:v>
      </x:c>
      <x:c r="G8378" s="6" t="str">
        <x:v>Pingshui main list, Wikisource-derived DOCX</x:v>
      </x:c>
      <x:c r="H8378" s="6" t="str"/>
      <x:c r="I8378" s="6" t="str">
        <x:v>Pingshui main-list expansion; 詞 entries ignored</x:v>
      </x:c>
      <x:c r="J8378" s="6" t="str">
        <x:f>IF(B8378="","",IF(AND(ISNUMBER(SEARCH("平",B8378)),OR(ISNUMBER(SEARCH("上",B8378)),ISNUMBER(SEARCH("去",B8378)),ISNUMBER(SEARCH("入",B8378)))),"Ambiguous",IF(ISNUMBER(SEARCH("平",B8378)),"平","仄")))</x:f>
        <x:v>平</x:v>
      </x:c>
      <x:c r="K8378" s="6" t="str">
        <x:f>IF(D8378="","",IF(AND(ISNUMBER(SEARCH("平",D8378)),OR(ISNUMBER(SEARCH("上",D8378)),ISNUMBER(SEARCH("去",D8378)),ISNUMBER(SEARCH("入",D8378)))),"Ambiguous",IF(ISNUMBER(SEARCH("平",D8378)),"平","仄")))</x:f>
        <x:v>平</x:v>
      </x:c>
      <x:c r="L8378" s="7" t="str">
        <x:v>Pingshui main list expansion</x:v>
      </x:c>
    </x:row>
    <x:row r="8379">
      <x:c r="A8379" s="5" t="str">
        <x:v>麷</x:v>
      </x:c>
      <x:c r="B8379" s="6" t="str">
        <x:v>平</x:v>
      </x:c>
      <x:c r="C8379" s="6" t="str">
        <x:f>IF(B8379="","Needs decision","Ready")</x:f>
        <x:v>Ready</x:v>
      </x:c>
      <x:c r="D8379" s="6" t="str">
        <x:v>平</x:v>
      </x:c>
      <x:c r="E8379" s="6" t="str"/>
      <x:c r="F8379" s="6" t="str">
        <x:v>上平聲一東</x:v>
      </x:c>
      <x:c r="G8379" s="6" t="str">
        <x:v>Pingshui main list, Wikisource-derived DOCX</x:v>
      </x:c>
      <x:c r="H8379" s="6" t="str"/>
      <x:c r="I8379" s="6" t="str">
        <x:v>Pingshui main-list expansion; 詞 entries ignored</x:v>
      </x:c>
      <x:c r="J8379" s="6" t="str">
        <x:f>IF(B8379="","",IF(AND(ISNUMBER(SEARCH("平",B8379)),OR(ISNUMBER(SEARCH("上",B8379)),ISNUMBER(SEARCH("去",B8379)),ISNUMBER(SEARCH("入",B8379)))),"Ambiguous",IF(ISNUMBER(SEARCH("平",B8379)),"平","仄")))</x:f>
        <x:v>平</x:v>
      </x:c>
      <x:c r="K8379" s="6" t="str">
        <x:f>IF(D8379="","",IF(AND(ISNUMBER(SEARCH("平",D8379)),OR(ISNUMBER(SEARCH("上",D8379)),ISNUMBER(SEARCH("去",D8379)),ISNUMBER(SEARCH("入",D8379)))),"Ambiguous",IF(ISNUMBER(SEARCH("平",D8379)),"平","仄")))</x:f>
        <x:v>平</x:v>
      </x:c>
      <x:c r="L8379" s="7" t="str">
        <x:v>Pingshui main list expansion</x:v>
      </x:c>
    </x:row>
    <x:row r="8380">
      <x:c r="A8380" s="5" t="str">
        <x:v>黂</x:v>
      </x:c>
      <x:c r="B8380" s="6" t="str"/>
      <x:c r="C8380" s="6" t="str">
        <x:f>IF(B8380="","Needs decision","Ready")</x:f>
        <x:v>Needs decision</x:v>
      </x:c>
      <x:c r="D8380" s="6" t="str">
        <x:v>平/去</x:v>
      </x:c>
      <x:c r="E8380" s="6" t="str"/>
      <x:c r="F8380" s="6" t="str">
        <x:v>上平聲十二文; 去聲五未</x:v>
      </x:c>
      <x:c r="G8380" s="6" t="str">
        <x:v>Pingshui main list, Wikisource-derived DOCX</x:v>
      </x:c>
      <x:c r="H8380" s="6" t="str"/>
      <x:c r="I8380" s="6" t="str">
        <x:v>Pingshui main-list expansion; 詞 entries ignored</x:v>
      </x:c>
      <x:c r="J8380" s="6" t="str">
        <x:f>IF(B8380="","",IF(AND(ISNUMBER(SEARCH("平",B8380)),OR(ISNUMBER(SEARCH("上",B8380)),ISNUMBER(SEARCH("去",B8380)),ISNUMBER(SEARCH("入",B8380)))),"Ambiguous",IF(ISNUMBER(SEARCH("平",B8380)),"平","仄")))</x:f>
      </x:c>
      <x:c r="K8380" s="6" t="str">
        <x:f>IF(D8380="","",IF(AND(ISNUMBER(SEARCH("平",D8380)),OR(ISNUMBER(SEARCH("上",D8380)),ISNUMBER(SEARCH("去",D8380)),ISNUMBER(SEARCH("入",D8380)))),"Ambiguous",IF(ISNUMBER(SEARCH("平",D8380)),"平","仄")))</x:f>
        <x:v>Ambiguous</x:v>
      </x:c>
      <x:c r="L8380" s="7" t="str">
        <x:v>Pingshui main list expansion</x:v>
      </x:c>
    </x:row>
    <x:row r="8381">
      <x:c r="A8381" s="5" t="str">
        <x:v>黌</x:v>
      </x:c>
      <x:c r="B8381" s="6" t="str">
        <x:v>平</x:v>
      </x:c>
      <x:c r="C8381" s="6" t="str">
        <x:f>IF(B8381="","Needs decision","Ready")</x:f>
        <x:v>Ready</x:v>
      </x:c>
      <x:c r="D8381" s="6" t="str">
        <x:v>平</x:v>
      </x:c>
      <x:c r="E8381" s="6" t="str"/>
      <x:c r="F8381" s="6" t="str">
        <x:v>下平聲八庚</x:v>
      </x:c>
      <x:c r="G8381" s="6" t="str">
        <x:v>Pingshui main list, Wikisource-derived DOCX</x:v>
      </x:c>
      <x:c r="H8381" s="6" t="str"/>
      <x:c r="I8381" s="6" t="str">
        <x:v>Pingshui main-list expansion; 詞 entries ignored</x:v>
      </x:c>
      <x:c r="J8381" s="6" t="str">
        <x:f>IF(B8381="","",IF(AND(ISNUMBER(SEARCH("平",B8381)),OR(ISNUMBER(SEARCH("上",B8381)),ISNUMBER(SEARCH("去",B8381)),ISNUMBER(SEARCH("入",B8381)))),"Ambiguous",IF(ISNUMBER(SEARCH("平",B8381)),"平","仄")))</x:f>
        <x:v>平</x:v>
      </x:c>
      <x:c r="K8381" s="6" t="str">
        <x:f>IF(D8381="","",IF(AND(ISNUMBER(SEARCH("平",D8381)),OR(ISNUMBER(SEARCH("上",D8381)),ISNUMBER(SEARCH("去",D8381)),ISNUMBER(SEARCH("入",D8381)))),"Ambiguous",IF(ISNUMBER(SEARCH("平",D8381)),"平","仄")))</x:f>
        <x:v>平</x:v>
      </x:c>
      <x:c r="L8381" s="7" t="str">
        <x:v>Pingshui main list expansion</x:v>
      </x:c>
    </x:row>
    <x:row r="8382">
      <x:c r="A8382" s="5" t="str">
        <x:v>黏</x:v>
      </x:c>
      <x:c r="B8382" s="6" t="str">
        <x:v>平</x:v>
      </x:c>
      <x:c r="C8382" s="6" t="str">
        <x:f>IF(B8382="","Needs decision","Ready")</x:f>
        <x:v>Ready</x:v>
      </x:c>
      <x:c r="D8382" s="6" t="str">
        <x:v>平</x:v>
      </x:c>
      <x:c r="E8382" s="6" t="str"/>
      <x:c r="F8382" s="6" t="str">
        <x:v>下平聲十四鹽</x:v>
      </x:c>
      <x:c r="G8382" s="6" t="str">
        <x:v>Pingshui main list, Wikisource-derived DOCX</x:v>
      </x:c>
      <x:c r="H8382" s="6" t="str"/>
      <x:c r="I8382" s="6" t="str">
        <x:v>Pingshui main-list expansion; 詞 entries ignored</x:v>
      </x:c>
      <x:c r="J8382" s="6" t="str">
        <x:f>IF(B8382="","",IF(AND(ISNUMBER(SEARCH("平",B8382)),OR(ISNUMBER(SEARCH("上",B8382)),ISNUMBER(SEARCH("去",B8382)),ISNUMBER(SEARCH("入",B8382)))),"Ambiguous",IF(ISNUMBER(SEARCH("平",B8382)),"平","仄")))</x:f>
        <x:v>平</x:v>
      </x:c>
      <x:c r="K8382" s="6" t="str">
        <x:f>IF(D8382="","",IF(AND(ISNUMBER(SEARCH("平",D8382)),OR(ISNUMBER(SEARCH("上",D8382)),ISNUMBER(SEARCH("去",D8382)),ISNUMBER(SEARCH("入",D8382)))),"Ambiguous",IF(ISNUMBER(SEARCH("平",D8382)),"平","仄")))</x:f>
        <x:v>平</x:v>
      </x:c>
      <x:c r="L8382" s="7" t="str">
        <x:v>Pingshui main list expansion</x:v>
      </x:c>
    </x:row>
    <x:row r="8383">
      <x:c r="A8383" s="5" t="str">
        <x:v>黐</x:v>
      </x:c>
      <x:c r="B8383" s="6" t="str">
        <x:v>平</x:v>
      </x:c>
      <x:c r="C8383" s="6" t="str">
        <x:f>IF(B8383="","Needs decision","Ready")</x:f>
        <x:v>Ready</x:v>
      </x:c>
      <x:c r="D8383" s="6" t="str">
        <x:v>平</x:v>
      </x:c>
      <x:c r="E8383" s="6" t="str"/>
      <x:c r="F8383" s="6" t="str">
        <x:v>上平聲四支</x:v>
      </x:c>
      <x:c r="G8383" s="6" t="str">
        <x:v>Pingshui main list, Wikisource-derived DOCX</x:v>
      </x:c>
      <x:c r="H8383" s="6" t="str"/>
      <x:c r="I8383" s="6" t="str">
        <x:v>Pingshui main-list expansion; 詞 entries ignored</x:v>
      </x:c>
      <x:c r="J8383" s="6" t="str">
        <x:f>IF(B8383="","",IF(AND(ISNUMBER(SEARCH("平",B8383)),OR(ISNUMBER(SEARCH("上",B8383)),ISNUMBER(SEARCH("去",B8383)),ISNUMBER(SEARCH("入",B8383)))),"Ambiguous",IF(ISNUMBER(SEARCH("平",B8383)),"平","仄")))</x:f>
        <x:v>平</x:v>
      </x:c>
      <x:c r="K8383" s="6" t="str">
        <x:f>IF(D8383="","",IF(AND(ISNUMBER(SEARCH("平",D8383)),OR(ISNUMBER(SEARCH("上",D8383)),ISNUMBER(SEARCH("去",D8383)),ISNUMBER(SEARCH("入",D8383)))),"Ambiguous",IF(ISNUMBER(SEARCH("平",D8383)),"平","仄")))</x:f>
        <x:v>平</x:v>
      </x:c>
      <x:c r="L8383" s="7" t="str">
        <x:v>Pingshui main list expansion</x:v>
      </x:c>
    </x:row>
    <x:row r="8384">
      <x:c r="A8384" s="5" t="str">
        <x:v>黓</x:v>
      </x:c>
      <x:c r="B8384" s="6" t="str">
        <x:v>入</x:v>
      </x:c>
      <x:c r="C8384" s="6" t="str">
        <x:f>IF(B8384="","Needs decision","Ready")</x:f>
        <x:v>Ready</x:v>
      </x:c>
      <x:c r="D8384" s="6" t="str">
        <x:v>入</x:v>
      </x:c>
      <x:c r="E8384" s="6" t="str"/>
      <x:c r="F8384" s="6" t="str">
        <x:v>入聲十三職</x:v>
      </x:c>
      <x:c r="G8384" s="6" t="str">
        <x:v>Pingshui main list, Wikisource-derived DOCX</x:v>
      </x:c>
      <x:c r="H8384" s="6" t="str"/>
      <x:c r="I8384" s="6" t="str">
        <x:v>Pingshui main-list expansion; 詞 entries ignored</x:v>
      </x:c>
      <x:c r="J8384" s="6" t="str">
        <x:f>IF(B8384="","",IF(AND(ISNUMBER(SEARCH("平",B8384)),OR(ISNUMBER(SEARCH("上",B8384)),ISNUMBER(SEARCH("去",B8384)),ISNUMBER(SEARCH("入",B8384)))),"Ambiguous",IF(ISNUMBER(SEARCH("平",B8384)),"平","仄")))</x:f>
        <x:v>仄</x:v>
      </x:c>
      <x:c r="K8384" s="6" t="str">
        <x:f>IF(D8384="","",IF(AND(ISNUMBER(SEARCH("平",D8384)),OR(ISNUMBER(SEARCH("上",D8384)),ISNUMBER(SEARCH("去",D8384)),ISNUMBER(SEARCH("入",D8384)))),"Ambiguous",IF(ISNUMBER(SEARCH("平",D8384)),"平","仄")))</x:f>
        <x:v>仄</x:v>
      </x:c>
      <x:c r="L8384" s="7" t="str">
        <x:v>Pingshui main list expansion</x:v>
      </x:c>
    </x:row>
    <x:row r="8385">
      <x:c r="A8385" s="5" t="str">
        <x:v>黕</x:v>
      </x:c>
      <x:c r="B8385" s="6" t="str">
        <x:v>上</x:v>
      </x:c>
      <x:c r="C8385" s="6" t="str">
        <x:f>IF(B8385="","Needs decision","Ready")</x:f>
        <x:v>Ready</x:v>
      </x:c>
      <x:c r="D8385" s="6" t="str">
        <x:v>上</x:v>
      </x:c>
      <x:c r="E8385" s="6" t="str"/>
      <x:c r="F8385" s="6" t="str">
        <x:v>上聲二十七感</x:v>
      </x:c>
      <x:c r="G8385" s="6" t="str">
        <x:v>Pingshui main list, Wikisource-derived DOCX</x:v>
      </x:c>
      <x:c r="H8385" s="6" t="str"/>
      <x:c r="I8385" s="6" t="str">
        <x:v>Pingshui main-list expansion; 詞 entries ignored</x:v>
      </x:c>
      <x:c r="J8385" s="6" t="str">
        <x:f>IF(B8385="","",IF(AND(ISNUMBER(SEARCH("平",B8385)),OR(ISNUMBER(SEARCH("上",B8385)),ISNUMBER(SEARCH("去",B8385)),ISNUMBER(SEARCH("入",B8385)))),"Ambiguous",IF(ISNUMBER(SEARCH("平",B8385)),"平","仄")))</x:f>
        <x:v>仄</x:v>
      </x:c>
      <x:c r="K8385" s="6" t="str">
        <x:f>IF(D8385="","",IF(AND(ISNUMBER(SEARCH("平",D8385)),OR(ISNUMBER(SEARCH("上",D8385)),ISNUMBER(SEARCH("去",D8385)),ISNUMBER(SEARCH("入",D8385)))),"Ambiguous",IF(ISNUMBER(SEARCH("平",D8385)),"平","仄")))</x:f>
        <x:v>仄</x:v>
      </x:c>
      <x:c r="L8385" s="7" t="str">
        <x:v>Pingshui main list expansion</x:v>
      </x:c>
    </x:row>
    <x:row r="8386">
      <x:c r="A8386" s="5" t="str">
        <x:v>黖</x:v>
      </x:c>
      <x:c r="B8386" s="6" t="str">
        <x:v>去</x:v>
      </x:c>
      <x:c r="C8386" s="6" t="str">
        <x:f>IF(B8386="","Needs decision","Ready")</x:f>
        <x:v>Ready</x:v>
      </x:c>
      <x:c r="D8386" s="6" t="str">
        <x:v>去</x:v>
      </x:c>
      <x:c r="E8386" s="6" t="str"/>
      <x:c r="F8386" s="6" t="str">
        <x:v>去聲五未</x:v>
      </x:c>
      <x:c r="G8386" s="6" t="str">
        <x:v>Pingshui main list, Wikisource-derived DOCX</x:v>
      </x:c>
      <x:c r="H8386" s="6" t="str"/>
      <x:c r="I8386" s="6" t="str">
        <x:v>Pingshui main-list expansion; 詞 entries ignored</x:v>
      </x:c>
      <x:c r="J8386" s="6" t="str">
        <x:f>IF(B8386="","",IF(AND(ISNUMBER(SEARCH("平",B8386)),OR(ISNUMBER(SEARCH("上",B8386)),ISNUMBER(SEARCH("去",B8386)),ISNUMBER(SEARCH("入",B8386)))),"Ambiguous",IF(ISNUMBER(SEARCH("平",B8386)),"平","仄")))</x:f>
        <x:v>仄</x:v>
      </x:c>
      <x:c r="K8386" s="6" t="str">
        <x:f>IF(D8386="","",IF(AND(ISNUMBER(SEARCH("平",D8386)),OR(ISNUMBER(SEARCH("上",D8386)),ISNUMBER(SEARCH("去",D8386)),ISNUMBER(SEARCH("入",D8386)))),"Ambiguous",IF(ISNUMBER(SEARCH("平",D8386)),"平","仄")))</x:f>
        <x:v>仄</x:v>
      </x:c>
      <x:c r="L8386" s="7" t="str">
        <x:v>Pingshui main list expansion</x:v>
      </x:c>
    </x:row>
    <x:row r="8387">
      <x:c r="A8387" s="5" t="str">
        <x:v>黦</x:v>
      </x:c>
      <x:c r="B8387" s="6" t="str">
        <x:v>入</x:v>
      </x:c>
      <x:c r="C8387" s="6" t="str">
        <x:f>IF(B8387="","Needs decision","Ready")</x:f>
        <x:v>Ready</x:v>
      </x:c>
      <x:c r="D8387" s="6" t="str">
        <x:v>入</x:v>
      </x:c>
      <x:c r="E8387" s="6" t="str"/>
      <x:c r="F8387" s="6" t="str">
        <x:v>入聲五物</x:v>
      </x:c>
      <x:c r="G8387" s="6" t="str">
        <x:v>Pingshui main list, Wikisource-derived DOCX</x:v>
      </x:c>
      <x:c r="H8387" s="6" t="str"/>
      <x:c r="I8387" s="6" t="str">
        <x:v>Pingshui main-list expansion; 詞 entries ignored</x:v>
      </x:c>
      <x:c r="J8387" s="6" t="str">
        <x:f>IF(B8387="","",IF(AND(ISNUMBER(SEARCH("平",B8387)),OR(ISNUMBER(SEARCH("上",B8387)),ISNUMBER(SEARCH("去",B8387)),ISNUMBER(SEARCH("入",B8387)))),"Ambiguous",IF(ISNUMBER(SEARCH("平",B8387)),"平","仄")))</x:f>
        <x:v>仄</x:v>
      </x:c>
      <x:c r="K8387" s="6" t="str">
        <x:f>IF(D8387="","",IF(AND(ISNUMBER(SEARCH("平",D8387)),OR(ISNUMBER(SEARCH("上",D8387)),ISNUMBER(SEARCH("去",D8387)),ISNUMBER(SEARCH("入",D8387)))),"Ambiguous",IF(ISNUMBER(SEARCH("平",D8387)),"平","仄")))</x:f>
        <x:v>仄</x:v>
      </x:c>
      <x:c r="L8387" s="7" t="str">
        <x:v>Pingshui main list expansion</x:v>
      </x:c>
    </x:row>
    <x:row r="8388">
      <x:c r="A8388" s="5" t="str">
        <x:v>黧</x:v>
      </x:c>
      <x:c r="B8388" s="6" t="str">
        <x:v>平</x:v>
      </x:c>
      <x:c r="C8388" s="6" t="str">
        <x:f>IF(B8388="","Needs decision","Ready")</x:f>
        <x:v>Ready</x:v>
      </x:c>
      <x:c r="D8388" s="6" t="str">
        <x:v>平</x:v>
      </x:c>
      <x:c r="E8388" s="6" t="str"/>
      <x:c r="F8388" s="6" t="str">
        <x:v>上平聲四支; 上平聲八齊</x:v>
      </x:c>
      <x:c r="G8388" s="6" t="str">
        <x:v>Pingshui main list, Wikisource-derived DOCX</x:v>
      </x:c>
      <x:c r="H8388" s="6" t="str"/>
      <x:c r="I8388" s="6" t="str">
        <x:v>Pingshui main-list expansion; 詞 entries ignored</x:v>
      </x:c>
      <x:c r="J8388" s="6" t="str">
        <x:f>IF(B8388="","",IF(AND(ISNUMBER(SEARCH("平",B8388)),OR(ISNUMBER(SEARCH("上",B8388)),ISNUMBER(SEARCH("去",B8388)),ISNUMBER(SEARCH("入",B8388)))),"Ambiguous",IF(ISNUMBER(SEARCH("平",B8388)),"平","仄")))</x:f>
        <x:v>平</x:v>
      </x:c>
      <x:c r="K8388" s="6" t="str">
        <x:f>IF(D8388="","",IF(AND(ISNUMBER(SEARCH("平",D8388)),OR(ISNUMBER(SEARCH("上",D8388)),ISNUMBER(SEARCH("去",D8388)),ISNUMBER(SEARCH("入",D8388)))),"Ambiguous",IF(ISNUMBER(SEARCH("平",D8388)),"平","仄")))</x:f>
        <x:v>平</x:v>
      </x:c>
      <x:c r="L8388" s="7" t="str">
        <x:v>Pingshui main list expansion</x:v>
      </x:c>
    </x:row>
    <x:row r="8389">
      <x:c r="A8389" s="5" t="str">
        <x:v>黫</x:v>
      </x:c>
      <x:c r="B8389" s="6" t="str">
        <x:v>平</x:v>
      </x:c>
      <x:c r="C8389" s="6" t="str">
        <x:f>IF(B8389="","Needs decision","Ready")</x:f>
        <x:v>Ready</x:v>
      </x:c>
      <x:c r="D8389" s="6" t="str">
        <x:v>平</x:v>
      </x:c>
      <x:c r="E8389" s="6" t="str"/>
      <x:c r="F8389" s="6" t="str">
        <x:v>上平聲十五刪</x:v>
      </x:c>
      <x:c r="G8389" s="6" t="str">
        <x:v>Pingshui main list, Wikisource-derived DOCX</x:v>
      </x:c>
      <x:c r="H8389" s="6" t="str"/>
      <x:c r="I8389" s="6" t="str">
        <x:v>Pingshui main-list expansion; 詞 entries ignored</x:v>
      </x:c>
      <x:c r="J8389" s="6" t="str">
        <x:f>IF(B8389="","",IF(AND(ISNUMBER(SEARCH("平",B8389)),OR(ISNUMBER(SEARCH("上",B8389)),ISNUMBER(SEARCH("去",B8389)),ISNUMBER(SEARCH("入",B8389)))),"Ambiguous",IF(ISNUMBER(SEARCH("平",B8389)),"平","仄")))</x:f>
        <x:v>平</x:v>
      </x:c>
      <x:c r="K8389" s="6" t="str">
        <x:f>IF(D8389="","",IF(AND(ISNUMBER(SEARCH("平",D8389)),OR(ISNUMBER(SEARCH("上",D8389)),ISNUMBER(SEARCH("去",D8389)),ISNUMBER(SEARCH("入",D8389)))),"Ambiguous",IF(ISNUMBER(SEARCH("平",D8389)),"平","仄")))</x:f>
        <x:v>平</x:v>
      </x:c>
      <x:c r="L8389" s="7" t="str">
        <x:v>Pingshui main list expansion</x:v>
      </x:c>
    </x:row>
    <x:row r="8390">
      <x:c r="A8390" s="5" t="str">
        <x:v>黲</x:v>
      </x:c>
      <x:c r="B8390" s="6" t="str">
        <x:v>上</x:v>
      </x:c>
      <x:c r="C8390" s="6" t="str">
        <x:f>IF(B8390="","Needs decision","Ready")</x:f>
        <x:v>Ready</x:v>
      </x:c>
      <x:c r="D8390" s="6" t="str">
        <x:v>上</x:v>
      </x:c>
      <x:c r="E8390" s="6" t="str"/>
      <x:c r="F8390" s="6" t="str">
        <x:v>上聲二十七感</x:v>
      </x:c>
      <x:c r="G8390" s="6" t="str">
        <x:v>Pingshui main list, Wikisource-derived DOCX</x:v>
      </x:c>
      <x:c r="H8390" s="6" t="str"/>
      <x:c r="I8390" s="6" t="str">
        <x:v>Pingshui main-list expansion; 詞 entries ignored</x:v>
      </x:c>
      <x:c r="J8390" s="6" t="str">
        <x:f>IF(B8390="","",IF(AND(ISNUMBER(SEARCH("平",B8390)),OR(ISNUMBER(SEARCH("上",B8390)),ISNUMBER(SEARCH("去",B8390)),ISNUMBER(SEARCH("入",B8390)))),"Ambiguous",IF(ISNUMBER(SEARCH("平",B8390)),"平","仄")))</x:f>
        <x:v>仄</x:v>
      </x:c>
      <x:c r="K8390" s="6" t="str">
        <x:f>IF(D8390="","",IF(AND(ISNUMBER(SEARCH("平",D8390)),OR(ISNUMBER(SEARCH("上",D8390)),ISNUMBER(SEARCH("去",D8390)),ISNUMBER(SEARCH("入",D8390)))),"Ambiguous",IF(ISNUMBER(SEARCH("平",D8390)),"平","仄")))</x:f>
        <x:v>仄</x:v>
      </x:c>
      <x:c r="L8390" s="7" t="str">
        <x:v>Pingshui main list expansion</x:v>
      </x:c>
    </x:row>
    <x:row r="8391">
      <x:c r="A8391" s="5" t="str">
        <x:v>黳</x:v>
      </x:c>
      <x:c r="B8391" s="6" t="str">
        <x:v>平</x:v>
      </x:c>
      <x:c r="C8391" s="6" t="str">
        <x:f>IF(B8391="","Needs decision","Ready")</x:f>
        <x:v>Ready</x:v>
      </x:c>
      <x:c r="D8391" s="6" t="str">
        <x:v>平</x:v>
      </x:c>
      <x:c r="E8391" s="6" t="str"/>
      <x:c r="F8391" s="6" t="str">
        <x:v>上平聲八齊</x:v>
      </x:c>
      <x:c r="G8391" s="6" t="str">
        <x:v>Pingshui main list, Wikisource-derived DOCX</x:v>
      </x:c>
      <x:c r="H8391" s="6" t="str"/>
      <x:c r="I8391" s="6" t="str">
        <x:v>Pingshui main-list expansion; 詞 entries ignored</x:v>
      </x:c>
      <x:c r="J8391" s="6" t="str">
        <x:f>IF(B8391="","",IF(AND(ISNUMBER(SEARCH("平",B8391)),OR(ISNUMBER(SEARCH("上",B8391)),ISNUMBER(SEARCH("去",B8391)),ISNUMBER(SEARCH("入",B8391)))),"Ambiguous",IF(ISNUMBER(SEARCH("平",B8391)),"平","仄")))</x:f>
        <x:v>平</x:v>
      </x:c>
      <x:c r="K8391" s="6" t="str">
        <x:f>IF(D8391="","",IF(AND(ISNUMBER(SEARCH("平",D8391)),OR(ISNUMBER(SEARCH("上",D8391)),ISNUMBER(SEARCH("去",D8391)),ISNUMBER(SEARCH("入",D8391)))),"Ambiguous",IF(ISNUMBER(SEARCH("平",D8391)),"平","仄")))</x:f>
        <x:v>平</x:v>
      </x:c>
      <x:c r="L8391" s="7" t="str">
        <x:v>Pingshui main list expansion</x:v>
      </x:c>
    </x:row>
    <x:row r="8392">
      <x:c r="A8392" s="5" t="str">
        <x:v>黶</x:v>
      </x:c>
      <x:c r="B8392" s="6" t="str">
        <x:v>上</x:v>
      </x:c>
      <x:c r="C8392" s="6" t="str">
        <x:f>IF(B8392="","Needs decision","Ready")</x:f>
        <x:v>Ready</x:v>
      </x:c>
      <x:c r="D8392" s="6" t="str">
        <x:v>上</x:v>
      </x:c>
      <x:c r="E8392" s="6" t="str"/>
      <x:c r="F8392" s="6" t="str">
        <x:v>上聲二十八琰</x:v>
      </x:c>
      <x:c r="G8392" s="6" t="str">
        <x:v>Pingshui main list, Wikisource-derived DOCX</x:v>
      </x:c>
      <x:c r="H8392" s="6" t="str"/>
      <x:c r="I8392" s="6" t="str">
        <x:v>Pingshui main-list expansion; 詞 entries ignored</x:v>
      </x:c>
      <x:c r="J8392" s="6" t="str">
        <x:f>IF(B8392="","",IF(AND(ISNUMBER(SEARCH("平",B8392)),OR(ISNUMBER(SEARCH("上",B8392)),ISNUMBER(SEARCH("去",B8392)),ISNUMBER(SEARCH("入",B8392)))),"Ambiguous",IF(ISNUMBER(SEARCH("平",B8392)),"平","仄")))</x:f>
        <x:v>仄</x:v>
      </x:c>
      <x:c r="K8392" s="6" t="str">
        <x:f>IF(D8392="","",IF(AND(ISNUMBER(SEARCH("平",D8392)),OR(ISNUMBER(SEARCH("上",D8392)),ISNUMBER(SEARCH("去",D8392)),ISNUMBER(SEARCH("入",D8392)))),"Ambiguous",IF(ISNUMBER(SEARCH("平",D8392)),"平","仄")))</x:f>
        <x:v>仄</x:v>
      </x:c>
      <x:c r="L8392" s="7" t="str">
        <x:v>Pingshui main list expansion</x:v>
      </x:c>
    </x:row>
    <x:row r="8393">
      <x:c r="A8393" s="5" t="str">
        <x:v>鼐</x:v>
      </x:c>
      <x:c r="B8393" s="6" t="str"/>
      <x:c r="C8393" s="6" t="str">
        <x:f>IF(B8393="","Needs decision","Ready")</x:f>
        <x:v>Needs decision</x:v>
      </x:c>
      <x:c r="D8393" s="6" t="str">
        <x:v>上/去</x:v>
      </x:c>
      <x:c r="E8393" s="6" t="str"/>
      <x:c r="F8393" s="6" t="str">
        <x:v>上聲十賄; 去聲十一隊</x:v>
      </x:c>
      <x:c r="G8393" s="6" t="str">
        <x:v>Pingshui main list, Wikisource-derived DOCX</x:v>
      </x:c>
      <x:c r="H8393" s="6" t="str"/>
      <x:c r="I8393" s="6" t="str">
        <x:v>Pingshui main-list expansion; 詞 entries ignored</x:v>
      </x:c>
      <x:c r="J8393" s="6" t="str">
        <x:f>IF(B8393="","",IF(AND(ISNUMBER(SEARCH("平",B8393)),OR(ISNUMBER(SEARCH("上",B8393)),ISNUMBER(SEARCH("去",B8393)),ISNUMBER(SEARCH("入",B8393)))),"Ambiguous",IF(ISNUMBER(SEARCH("平",B8393)),"平","仄")))</x:f>
      </x:c>
      <x:c r="K8393" s="6" t="str">
        <x:f>IF(D8393="","",IF(AND(ISNUMBER(SEARCH("平",D8393)),OR(ISNUMBER(SEARCH("上",D8393)),ISNUMBER(SEARCH("去",D8393)),ISNUMBER(SEARCH("入",D8393)))),"Ambiguous",IF(ISNUMBER(SEARCH("平",D8393)),"平","仄")))</x:f>
        <x:v>仄</x:v>
      </x:c>
      <x:c r="L8393" s="7" t="str">
        <x:v>Pingshui main list expansion</x:v>
      </x:c>
    </x:row>
    <x:row r="8394">
      <x:c r="A8394" s="5" t="str">
        <x:v>鼕</x:v>
      </x:c>
      <x:c r="B8394" s="6" t="str">
        <x:v>平</x:v>
      </x:c>
      <x:c r="C8394" s="6" t="str">
        <x:f>IF(B8394="","Needs decision","Ready")</x:f>
        <x:v>Ready</x:v>
      </x:c>
      <x:c r="D8394" s="6" t="str">
        <x:v>平</x:v>
      </x:c>
      <x:c r="E8394" s="6" t="str"/>
      <x:c r="F8394" s="6" t="str">
        <x:v>上平聲二冬</x:v>
      </x:c>
      <x:c r="G8394" s="6" t="str">
        <x:v>Pingshui main list, Wikisource-derived DOCX</x:v>
      </x:c>
      <x:c r="H8394" s="6" t="str"/>
      <x:c r="I8394" s="6" t="str">
        <x:v>Pingshui main-list expansion; 詞 entries ignored</x:v>
      </x:c>
      <x:c r="J8394" s="6" t="str">
        <x:f>IF(B8394="","",IF(AND(ISNUMBER(SEARCH("平",B8394)),OR(ISNUMBER(SEARCH("上",B8394)),ISNUMBER(SEARCH("去",B8394)),ISNUMBER(SEARCH("入",B8394)))),"Ambiguous",IF(ISNUMBER(SEARCH("平",B8394)),"平","仄")))</x:f>
        <x:v>平</x:v>
      </x:c>
      <x:c r="K8394" s="6" t="str">
        <x:f>IF(D8394="","",IF(AND(ISNUMBER(SEARCH("平",D8394)),OR(ISNUMBER(SEARCH("上",D8394)),ISNUMBER(SEARCH("去",D8394)),ISNUMBER(SEARCH("入",D8394)))),"Ambiguous",IF(ISNUMBER(SEARCH("平",D8394)),"平","仄")))</x:f>
        <x:v>平</x:v>
      </x:c>
      <x:c r="L8394" s="7" t="str">
        <x:v>Pingshui main list expansion</x:v>
      </x:c>
    </x:row>
    <x:row r="8395">
      <x:c r="A8395" s="5" t="str">
        <x:v>鼖</x:v>
      </x:c>
      <x:c r="B8395" s="6" t="str">
        <x:v>平</x:v>
      </x:c>
      <x:c r="C8395" s="6" t="str">
        <x:f>IF(B8395="","Needs decision","Ready")</x:f>
        <x:v>Ready</x:v>
      </x:c>
      <x:c r="D8395" s="6" t="str">
        <x:v>平</x:v>
      </x:c>
      <x:c r="E8395" s="6" t="str"/>
      <x:c r="F8395" s="6" t="str">
        <x:v>上平聲十二文</x:v>
      </x:c>
      <x:c r="G8395" s="6" t="str">
        <x:v>Pingshui main list, Wikisource-derived DOCX</x:v>
      </x:c>
      <x:c r="H8395" s="6" t="str"/>
      <x:c r="I8395" s="6" t="str">
        <x:v>Pingshui main-list expansion; 詞 entries ignored</x:v>
      </x:c>
      <x:c r="J8395" s="6" t="str">
        <x:f>IF(B8395="","",IF(AND(ISNUMBER(SEARCH("平",B8395)),OR(ISNUMBER(SEARCH("上",B8395)),ISNUMBER(SEARCH("去",B8395)),ISNUMBER(SEARCH("入",B8395)))),"Ambiguous",IF(ISNUMBER(SEARCH("平",B8395)),"平","仄")))</x:f>
        <x:v>平</x:v>
      </x:c>
      <x:c r="K8395" s="6" t="str">
        <x:f>IF(D8395="","",IF(AND(ISNUMBER(SEARCH("平",D8395)),OR(ISNUMBER(SEARCH("上",D8395)),ISNUMBER(SEARCH("去",D8395)),ISNUMBER(SEARCH("入",D8395)))),"Ambiguous",IF(ISNUMBER(SEARCH("平",D8395)),"平","仄")))</x:f>
        <x:v>平</x:v>
      </x:c>
      <x:c r="L8395" s="7" t="str">
        <x:v>Pingshui main list expansion</x:v>
      </x:c>
    </x:row>
    <x:row r="8396">
      <x:c r="A8396" s="5" t="str">
        <x:v>鼘</x:v>
      </x:c>
      <x:c r="B8396" s="6" t="str">
        <x:v>平</x:v>
      </x:c>
      <x:c r="C8396" s="6" t="str">
        <x:f>IF(B8396="","Needs decision","Ready")</x:f>
        <x:v>Ready</x:v>
      </x:c>
      <x:c r="D8396" s="6" t="str">
        <x:v>平</x:v>
      </x:c>
      <x:c r="E8396" s="6" t="str"/>
      <x:c r="F8396" s="6" t="str">
        <x:v>下平聲一先</x:v>
      </x:c>
      <x:c r="G8396" s="6" t="str">
        <x:v>Pingshui main list, Wikisource-derived DOCX</x:v>
      </x:c>
      <x:c r="H8396" s="6" t="str"/>
      <x:c r="I8396" s="6" t="str">
        <x:v>Pingshui main-list expansion; 詞 entries ignored</x:v>
      </x:c>
      <x:c r="J8396" s="6" t="str">
        <x:f>IF(B8396="","",IF(AND(ISNUMBER(SEARCH("平",B8396)),OR(ISNUMBER(SEARCH("上",B8396)),ISNUMBER(SEARCH("去",B8396)),ISNUMBER(SEARCH("入",B8396)))),"Ambiguous",IF(ISNUMBER(SEARCH("平",B8396)),"平","仄")))</x:f>
        <x:v>平</x:v>
      </x:c>
      <x:c r="K8396" s="6" t="str">
        <x:f>IF(D8396="","",IF(AND(ISNUMBER(SEARCH("平",D8396)),OR(ISNUMBER(SEARCH("上",D8396)),ISNUMBER(SEARCH("去",D8396)),ISNUMBER(SEARCH("入",D8396)))),"Ambiguous",IF(ISNUMBER(SEARCH("平",D8396)),"平","仄")))</x:f>
        <x:v>平</x:v>
      </x:c>
      <x:c r="L8396" s="7" t="str">
        <x:v>Pingshui main list expansion</x:v>
      </x:c>
    </x:row>
    <x:row r="8397">
      <x:c r="A8397" s="5" t="str">
        <x:v>鼢</x:v>
      </x:c>
      <x:c r="B8397" s="6" t="str">
        <x:v>平</x:v>
      </x:c>
      <x:c r="C8397" s="6" t="str">
        <x:f>IF(B8397="","Needs decision","Ready")</x:f>
        <x:v>Ready</x:v>
      </x:c>
      <x:c r="D8397" s="6" t="str">
        <x:v>平</x:v>
      </x:c>
      <x:c r="E8397" s="6" t="str"/>
      <x:c r="F8397" s="6" t="str">
        <x:v>上平聲十二文</x:v>
      </x:c>
      <x:c r="G8397" s="6" t="str">
        <x:v>Pingshui main list, Wikisource-derived DOCX</x:v>
      </x:c>
      <x:c r="H8397" s="6" t="str"/>
      <x:c r="I8397" s="6" t="str">
        <x:v>Pingshui main-list expansion; 詞 entries ignored</x:v>
      </x:c>
      <x:c r="J8397" s="6" t="str">
        <x:f>IF(B8397="","",IF(AND(ISNUMBER(SEARCH("平",B8397)),OR(ISNUMBER(SEARCH("上",B8397)),ISNUMBER(SEARCH("去",B8397)),ISNUMBER(SEARCH("入",B8397)))),"Ambiguous",IF(ISNUMBER(SEARCH("平",B8397)),"平","仄")))</x:f>
        <x:v>平</x:v>
      </x:c>
      <x:c r="K8397" s="6" t="str">
        <x:f>IF(D8397="","",IF(AND(ISNUMBER(SEARCH("平",D8397)),OR(ISNUMBER(SEARCH("上",D8397)),ISNUMBER(SEARCH("去",D8397)),ISNUMBER(SEARCH("入",D8397)))),"Ambiguous",IF(ISNUMBER(SEARCH("平",D8397)),"平","仄")))</x:f>
        <x:v>平</x:v>
      </x:c>
      <x:c r="L8397" s="7" t="str">
        <x:v>Pingshui main list expansion</x:v>
      </x:c>
    </x:row>
    <x:row r="8398">
      <x:c r="A8398" s="5" t="str">
        <x:v>鼨</x:v>
      </x:c>
      <x:c r="B8398" s="6" t="str">
        <x:v>平</x:v>
      </x:c>
      <x:c r="C8398" s="6" t="str">
        <x:f>IF(B8398="","Needs decision","Ready")</x:f>
        <x:v>Ready</x:v>
      </x:c>
      <x:c r="D8398" s="6" t="str">
        <x:v>平</x:v>
      </x:c>
      <x:c r="E8398" s="6" t="str"/>
      <x:c r="F8398" s="6" t="str">
        <x:v>上平聲一東</x:v>
      </x:c>
      <x:c r="G8398" s="6" t="str">
        <x:v>Pingshui main list, Wikisource-derived DOCX</x:v>
      </x:c>
      <x:c r="H8398" s="6" t="str"/>
      <x:c r="I8398" s="6" t="str">
        <x:v>Pingshui main-list expansion; 詞 entries ignored</x:v>
      </x:c>
      <x:c r="J8398" s="6" t="str">
        <x:f>IF(B8398="","",IF(AND(ISNUMBER(SEARCH("平",B8398)),OR(ISNUMBER(SEARCH("上",B8398)),ISNUMBER(SEARCH("去",B8398)),ISNUMBER(SEARCH("入",B8398)))),"Ambiguous",IF(ISNUMBER(SEARCH("平",B8398)),"平","仄")))</x:f>
        <x:v>平</x:v>
      </x:c>
      <x:c r="K8398" s="6" t="str">
        <x:f>IF(D8398="","",IF(AND(ISNUMBER(SEARCH("平",D8398)),OR(ISNUMBER(SEARCH("上",D8398)),ISNUMBER(SEARCH("去",D8398)),ISNUMBER(SEARCH("入",D8398)))),"Ambiguous",IF(ISNUMBER(SEARCH("平",D8398)),"平","仄")))</x:f>
        <x:v>平</x:v>
      </x:c>
      <x:c r="L8398" s="7" t="str">
        <x:v>Pingshui main list expansion</x:v>
      </x:c>
    </x:row>
    <x:row r="8399">
      <x:c r="A8399" s="5" t="str">
        <x:v>鼩</x:v>
      </x:c>
      <x:c r="B8399" s="6" t="str">
        <x:v>平</x:v>
      </x:c>
      <x:c r="C8399" s="6" t="str">
        <x:f>IF(B8399="","Needs decision","Ready")</x:f>
        <x:v>Ready</x:v>
      </x:c>
      <x:c r="D8399" s="6" t="str">
        <x:v>平</x:v>
      </x:c>
      <x:c r="E8399" s="6" t="str"/>
      <x:c r="F8399" s="6" t="str">
        <x:v>上平聲七虞</x:v>
      </x:c>
      <x:c r="G8399" s="6" t="str">
        <x:v>Pingshui main list, Wikisource-derived DOCX</x:v>
      </x:c>
      <x:c r="H8399" s="6" t="str"/>
      <x:c r="I8399" s="6" t="str">
        <x:v>Pingshui main-list expansion; 詞 entries ignored</x:v>
      </x:c>
      <x:c r="J8399" s="6" t="str">
        <x:f>IF(B8399="","",IF(AND(ISNUMBER(SEARCH("平",B8399)),OR(ISNUMBER(SEARCH("上",B8399)),ISNUMBER(SEARCH("去",B8399)),ISNUMBER(SEARCH("入",B8399)))),"Ambiguous",IF(ISNUMBER(SEARCH("平",B8399)),"平","仄")))</x:f>
        <x:v>平</x:v>
      </x:c>
      <x:c r="K8399" s="6" t="str">
        <x:f>IF(D8399="","",IF(AND(ISNUMBER(SEARCH("平",D8399)),OR(ISNUMBER(SEARCH("上",D8399)),ISNUMBER(SEARCH("去",D8399)),ISNUMBER(SEARCH("入",D8399)))),"Ambiguous",IF(ISNUMBER(SEARCH("平",D8399)),"平","仄")))</x:f>
        <x:v>平</x:v>
      </x:c>
      <x:c r="L8399" s="7" t="str">
        <x:v>Pingshui main list expansion</x:v>
      </x:c>
    </x:row>
    <x:row r="8400">
      <x:c r="A8400" s="5" t="str">
        <x:v>鼪</x:v>
      </x:c>
      <x:c r="B8400" s="6" t="str">
        <x:v>平</x:v>
      </x:c>
      <x:c r="C8400" s="6" t="str">
        <x:f>IF(B8400="","Needs decision","Ready")</x:f>
        <x:v>Ready</x:v>
      </x:c>
      <x:c r="D8400" s="6" t="str">
        <x:v>平</x:v>
      </x:c>
      <x:c r="E8400" s="6" t="str"/>
      <x:c r="F8400" s="6" t="str">
        <x:v>下平聲八庚</x:v>
      </x:c>
      <x:c r="G8400" s="6" t="str">
        <x:v>Pingshui main list, Wikisource-derived DOCX</x:v>
      </x:c>
      <x:c r="H8400" s="6" t="str"/>
      <x:c r="I8400" s="6" t="str">
        <x:v>Pingshui main-list expansion; 詞 entries ignored</x:v>
      </x:c>
      <x:c r="J8400" s="6" t="str">
        <x:f>IF(B8400="","",IF(AND(ISNUMBER(SEARCH("平",B8400)),OR(ISNUMBER(SEARCH("上",B8400)),ISNUMBER(SEARCH("去",B8400)),ISNUMBER(SEARCH("入",B8400)))),"Ambiguous",IF(ISNUMBER(SEARCH("平",B8400)),"平","仄")))</x:f>
        <x:v>平</x:v>
      </x:c>
      <x:c r="K8400" s="6" t="str">
        <x:f>IF(D8400="","",IF(AND(ISNUMBER(SEARCH("平",D8400)),OR(ISNUMBER(SEARCH("上",D8400)),ISNUMBER(SEARCH("去",D8400)),ISNUMBER(SEARCH("入",D8400)))),"Ambiguous",IF(ISNUMBER(SEARCH("平",D8400)),"平","仄")))</x:f>
        <x:v>平</x:v>
      </x:c>
      <x:c r="L8400" s="7" t="str">
        <x:v>Pingshui main list expansion</x:v>
      </x:c>
    </x:row>
    <x:row r="8401">
      <x:c r="A8401" s="5" t="str">
        <x:v>鼬</x:v>
      </x:c>
      <x:c r="B8401" s="6" t="str">
        <x:v>去</x:v>
      </x:c>
      <x:c r="C8401" s="6" t="str">
        <x:f>IF(B8401="","Needs decision","Ready")</x:f>
        <x:v>Ready</x:v>
      </x:c>
      <x:c r="D8401" s="6" t="str">
        <x:v>去</x:v>
      </x:c>
      <x:c r="E8401" s="6" t="str"/>
      <x:c r="F8401" s="6" t="str">
        <x:v>去聲二十六宥</x:v>
      </x:c>
      <x:c r="G8401" s="6" t="str">
        <x:v>Pingshui main list, Wikisource-derived DOCX</x:v>
      </x:c>
      <x:c r="H8401" s="6" t="str"/>
      <x:c r="I8401" s="6" t="str">
        <x:v>Pingshui main-list expansion; 詞 entries ignored</x:v>
      </x:c>
      <x:c r="J8401" s="6" t="str">
        <x:f>IF(B8401="","",IF(AND(ISNUMBER(SEARCH("平",B8401)),OR(ISNUMBER(SEARCH("上",B8401)),ISNUMBER(SEARCH("去",B8401)),ISNUMBER(SEARCH("入",B8401)))),"Ambiguous",IF(ISNUMBER(SEARCH("平",B8401)),"平","仄")))</x:f>
        <x:v>仄</x:v>
      </x:c>
      <x:c r="K8401" s="6" t="str">
        <x:f>IF(D8401="","",IF(AND(ISNUMBER(SEARCH("平",D8401)),OR(ISNUMBER(SEARCH("上",D8401)),ISNUMBER(SEARCH("去",D8401)),ISNUMBER(SEARCH("入",D8401)))),"Ambiguous",IF(ISNUMBER(SEARCH("平",D8401)),"平","仄")))</x:f>
        <x:v>仄</x:v>
      </x:c>
      <x:c r="L8401" s="7" t="str">
        <x:v>Pingshui main list expansion</x:v>
      </x:c>
    </x:row>
    <x:row r="8402">
      <x:c r="A8402" s="5" t="str">
        <x:v>鼮</x:v>
      </x:c>
      <x:c r="B8402" s="6" t="str">
        <x:v>平</x:v>
      </x:c>
      <x:c r="C8402" s="6" t="str">
        <x:f>IF(B8402="","Needs decision","Ready")</x:f>
        <x:v>Ready</x:v>
      </x:c>
      <x:c r="D8402" s="6" t="str">
        <x:v>平</x:v>
      </x:c>
      <x:c r="E8402" s="6" t="str"/>
      <x:c r="F8402" s="6" t="str">
        <x:v>下平聲九青</x:v>
      </x:c>
      <x:c r="G8402" s="6" t="str">
        <x:v>Pingshui main list, Wikisource-derived DOCX</x:v>
      </x:c>
      <x:c r="H8402" s="6" t="str"/>
      <x:c r="I8402" s="6" t="str">
        <x:v>Pingshui main-list expansion; 詞 entries ignored</x:v>
      </x:c>
      <x:c r="J8402" s="6" t="str">
        <x:f>IF(B8402="","",IF(AND(ISNUMBER(SEARCH("平",B8402)),OR(ISNUMBER(SEARCH("上",B8402)),ISNUMBER(SEARCH("去",B8402)),ISNUMBER(SEARCH("入",B8402)))),"Ambiguous",IF(ISNUMBER(SEARCH("平",B8402)),"平","仄")))</x:f>
        <x:v>平</x:v>
      </x:c>
      <x:c r="K8402" s="6" t="str">
        <x:f>IF(D8402="","",IF(AND(ISNUMBER(SEARCH("平",D8402)),OR(ISNUMBER(SEARCH("上",D8402)),ISNUMBER(SEARCH("去",D8402)),ISNUMBER(SEARCH("入",D8402)))),"Ambiguous",IF(ISNUMBER(SEARCH("平",D8402)),"平","仄")))</x:f>
        <x:v>平</x:v>
      </x:c>
      <x:c r="L8402" s="7" t="str">
        <x:v>Pingshui main list expansion</x:v>
      </x:c>
    </x:row>
    <x:row r="8403">
      <x:c r="A8403" s="5" t="str">
        <x:v>鼴</x:v>
      </x:c>
      <x:c r="B8403" s="6" t="str">
        <x:v>上</x:v>
      </x:c>
      <x:c r="C8403" s="6" t="str">
        <x:f>IF(B8403="","Needs decision","Ready")</x:f>
        <x:v>Ready</x:v>
      </x:c>
      <x:c r="D8403" s="6" t="str">
        <x:v>上</x:v>
      </x:c>
      <x:c r="E8403" s="6" t="str"/>
      <x:c r="F8403" s="6" t="str">
        <x:v>上聲十三阮</x:v>
      </x:c>
      <x:c r="G8403" s="6" t="str">
        <x:v>Pingshui main list, Wikisource-derived DOCX</x:v>
      </x:c>
      <x:c r="H8403" s="6" t="str"/>
      <x:c r="I8403" s="6" t="str">
        <x:v>Pingshui main-list expansion; 詞 entries ignored</x:v>
      </x:c>
      <x:c r="J8403" s="6" t="str">
        <x:f>IF(B8403="","",IF(AND(ISNUMBER(SEARCH("平",B8403)),OR(ISNUMBER(SEARCH("上",B8403)),ISNUMBER(SEARCH("去",B8403)),ISNUMBER(SEARCH("入",B8403)))),"Ambiguous",IF(ISNUMBER(SEARCH("平",B8403)),"平","仄")))</x:f>
        <x:v>仄</x:v>
      </x:c>
      <x:c r="K8403" s="6" t="str">
        <x:f>IF(D8403="","",IF(AND(ISNUMBER(SEARCH("平",D8403)),OR(ISNUMBER(SEARCH("上",D8403)),ISNUMBER(SEARCH("去",D8403)),ISNUMBER(SEARCH("入",D8403)))),"Ambiguous",IF(ISNUMBER(SEARCH("平",D8403)),"平","仄")))</x:f>
        <x:v>仄</x:v>
      </x:c>
      <x:c r="L8403" s="7" t="str">
        <x:v>Pingshui main list expansion</x:v>
      </x:c>
    </x:row>
    <x:row r="8404">
      <x:c r="A8404" s="5" t="str">
        <x:v>鼷</x:v>
      </x:c>
      <x:c r="B8404" s="6" t="str">
        <x:v>平</x:v>
      </x:c>
      <x:c r="C8404" s="6" t="str">
        <x:f>IF(B8404="","Needs decision","Ready")</x:f>
        <x:v>Ready</x:v>
      </x:c>
      <x:c r="D8404" s="6" t="str">
        <x:v>平</x:v>
      </x:c>
      <x:c r="E8404" s="6" t="str"/>
      <x:c r="F8404" s="6" t="str">
        <x:v>上平聲八齊</x:v>
      </x:c>
      <x:c r="G8404" s="6" t="str">
        <x:v>Pingshui main list, Wikisource-derived DOCX</x:v>
      </x:c>
      <x:c r="H8404" s="6" t="str"/>
      <x:c r="I8404" s="6" t="str">
        <x:v>Pingshui main-list expansion; 詞 entries ignored</x:v>
      </x:c>
      <x:c r="J8404" s="6" t="str">
        <x:f>IF(B8404="","",IF(AND(ISNUMBER(SEARCH("平",B8404)),OR(ISNUMBER(SEARCH("上",B8404)),ISNUMBER(SEARCH("去",B8404)),ISNUMBER(SEARCH("入",B8404)))),"Ambiguous",IF(ISNUMBER(SEARCH("平",B8404)),"平","仄")))</x:f>
        <x:v>平</x:v>
      </x:c>
      <x:c r="K8404" s="6" t="str">
        <x:f>IF(D8404="","",IF(AND(ISNUMBER(SEARCH("平",D8404)),OR(ISNUMBER(SEARCH("上",D8404)),ISNUMBER(SEARCH("去",D8404)),ISNUMBER(SEARCH("入",D8404)))),"Ambiguous",IF(ISNUMBER(SEARCH("平",D8404)),"平","仄")))</x:f>
        <x:v>平</x:v>
      </x:c>
      <x:c r="L8404" s="7" t="str">
        <x:v>Pingshui main list expansion</x:v>
      </x:c>
    </x:row>
    <x:row r="8405">
      <x:c r="A8405" s="5" t="str">
        <x:v>齁</x:v>
      </x:c>
      <x:c r="B8405" s="6" t="str">
        <x:v>平</x:v>
      </x:c>
      <x:c r="C8405" s="6" t="str">
        <x:f>IF(B8405="","Needs decision","Ready")</x:f>
        <x:v>Ready</x:v>
      </x:c>
      <x:c r="D8405" s="6" t="str">
        <x:v>平</x:v>
      </x:c>
      <x:c r="E8405" s="6" t="str"/>
      <x:c r="F8405" s="6" t="str">
        <x:v>下平聲十一尤</x:v>
      </x:c>
      <x:c r="G8405" s="6" t="str">
        <x:v>Pingshui main list, Wikisource-derived DOCX</x:v>
      </x:c>
      <x:c r="H8405" s="6" t="str"/>
      <x:c r="I8405" s="6" t="str">
        <x:v>Pingshui main-list expansion; 詞 entries ignored</x:v>
      </x:c>
      <x:c r="J8405" s="6" t="str">
        <x:f>IF(B8405="","",IF(AND(ISNUMBER(SEARCH("平",B8405)),OR(ISNUMBER(SEARCH("上",B8405)),ISNUMBER(SEARCH("去",B8405)),ISNUMBER(SEARCH("入",B8405)))),"Ambiguous",IF(ISNUMBER(SEARCH("平",B8405)),"平","仄")))</x:f>
        <x:v>平</x:v>
      </x:c>
      <x:c r="K8405" s="6" t="str">
        <x:f>IF(D8405="","",IF(AND(ISNUMBER(SEARCH("平",D8405)),OR(ISNUMBER(SEARCH("上",D8405)),ISNUMBER(SEARCH("去",D8405)),ISNUMBER(SEARCH("入",D8405)))),"Ambiguous",IF(ISNUMBER(SEARCH("平",D8405)),"平","仄")))</x:f>
        <x:v>平</x:v>
      </x:c>
      <x:c r="L8405" s="7" t="str">
        <x:v>Pingshui main list expansion</x:v>
      </x:c>
    </x:row>
    <x:row r="8406">
      <x:c r="A8406" s="5" t="str">
        <x:v>齏</x:v>
      </x:c>
      <x:c r="B8406" s="6" t="str">
        <x:v>平</x:v>
      </x:c>
      <x:c r="C8406" s="6" t="str">
        <x:f>IF(B8406="","Needs decision","Ready")</x:f>
        <x:v>Ready</x:v>
      </x:c>
      <x:c r="D8406" s="6" t="str">
        <x:v>平</x:v>
      </x:c>
      <x:c r="E8406" s="6" t="str"/>
      <x:c r="F8406" s="6" t="str">
        <x:v>上平聲八齊</x:v>
      </x:c>
      <x:c r="G8406" s="6" t="str">
        <x:v>Pingshui main list, Wikisource-derived DOCX</x:v>
      </x:c>
      <x:c r="H8406" s="6" t="str"/>
      <x:c r="I8406" s="6" t="str">
        <x:v>Pingshui main-list expansion; 詞 entries ignored</x:v>
      </x:c>
      <x:c r="J8406" s="6" t="str">
        <x:f>IF(B8406="","",IF(AND(ISNUMBER(SEARCH("平",B8406)),OR(ISNUMBER(SEARCH("上",B8406)),ISNUMBER(SEARCH("去",B8406)),ISNUMBER(SEARCH("入",B8406)))),"Ambiguous",IF(ISNUMBER(SEARCH("平",B8406)),"平","仄")))</x:f>
        <x:v>平</x:v>
      </x:c>
      <x:c r="K8406" s="6" t="str">
        <x:f>IF(D8406="","",IF(AND(ISNUMBER(SEARCH("平",D8406)),OR(ISNUMBER(SEARCH("上",D8406)),ISNUMBER(SEARCH("去",D8406)),ISNUMBER(SEARCH("入",D8406)))),"Ambiguous",IF(ISNUMBER(SEARCH("平",D8406)),"平","仄")))</x:f>
        <x:v>平</x:v>
      </x:c>
      <x:c r="L8406" s="7" t="str">
        <x:v>Pingshui main list expansion</x:v>
      </x:c>
    </x:row>
    <x:row r="8407">
      <x:c r="A8407" s="5" t="str">
        <x:v>齖</x:v>
      </x:c>
      <x:c r="B8407" s="6" t="str">
        <x:v>平</x:v>
      </x:c>
      <x:c r="C8407" s="6" t="str">
        <x:f>IF(B8407="","Needs decision","Ready")</x:f>
        <x:v>Ready</x:v>
      </x:c>
      <x:c r="D8407" s="6" t="str">
        <x:v>平</x:v>
      </x:c>
      <x:c r="E8407" s="6" t="str"/>
      <x:c r="F8407" s="6" t="str">
        <x:v>下平聲六麻</x:v>
      </x:c>
      <x:c r="G8407" s="6" t="str">
        <x:v>Pingshui main list, Wikisource-derived DOCX</x:v>
      </x:c>
      <x:c r="H8407" s="6" t="str"/>
      <x:c r="I8407" s="6" t="str">
        <x:v>Pingshui main-list expansion; 詞 entries ignored</x:v>
      </x:c>
      <x:c r="J8407" s="6" t="str">
        <x:f>IF(B8407="","",IF(AND(ISNUMBER(SEARCH("平",B8407)),OR(ISNUMBER(SEARCH("上",B8407)),ISNUMBER(SEARCH("去",B8407)),ISNUMBER(SEARCH("入",B8407)))),"Ambiguous",IF(ISNUMBER(SEARCH("平",B8407)),"平","仄")))</x:f>
        <x:v>平</x:v>
      </x:c>
      <x:c r="K8407" s="6" t="str">
        <x:f>IF(D8407="","",IF(AND(ISNUMBER(SEARCH("平",D8407)),OR(ISNUMBER(SEARCH("上",D8407)),ISNUMBER(SEARCH("去",D8407)),ISNUMBER(SEARCH("入",D8407)))),"Ambiguous",IF(ISNUMBER(SEARCH("平",D8407)),"平","仄")))</x:f>
        <x:v>平</x:v>
      </x:c>
      <x:c r="L8407" s="7" t="str">
        <x:v>Pingshui main list expansion</x:v>
      </x:c>
    </x:row>
    <x:row r="8408">
      <x:c r="A8408" s="5" t="str">
        <x:v>齗</x:v>
      </x:c>
      <x:c r="B8408" s="6" t="str">
        <x:v>平</x:v>
      </x:c>
      <x:c r="C8408" s="6" t="str">
        <x:f>IF(B8408="","Needs decision","Ready")</x:f>
        <x:v>Ready</x:v>
      </x:c>
      <x:c r="D8408" s="6" t="str">
        <x:v>平</x:v>
      </x:c>
      <x:c r="E8408" s="6" t="str"/>
      <x:c r="F8408" s="6" t="str">
        <x:v>上平聲十一真; 上平聲十二文</x:v>
      </x:c>
      <x:c r="G8408" s="6" t="str">
        <x:v>Pingshui main list, Wikisource-derived DOCX</x:v>
      </x:c>
      <x:c r="H8408" s="6" t="str"/>
      <x:c r="I8408" s="6" t="str">
        <x:v>Pingshui main-list expansion; 詞 entries ignored</x:v>
      </x:c>
      <x:c r="J8408" s="6" t="str">
        <x:f>IF(B8408="","",IF(AND(ISNUMBER(SEARCH("平",B8408)),OR(ISNUMBER(SEARCH("上",B8408)),ISNUMBER(SEARCH("去",B8408)),ISNUMBER(SEARCH("入",B8408)))),"Ambiguous",IF(ISNUMBER(SEARCH("平",B8408)),"平","仄")))</x:f>
        <x:v>平</x:v>
      </x:c>
      <x:c r="K8408" s="6" t="str">
        <x:f>IF(D8408="","",IF(AND(ISNUMBER(SEARCH("平",D8408)),OR(ISNUMBER(SEARCH("上",D8408)),ISNUMBER(SEARCH("去",D8408)),ISNUMBER(SEARCH("入",D8408)))),"Ambiguous",IF(ISNUMBER(SEARCH("平",D8408)),"平","仄")))</x:f>
        <x:v>平</x:v>
      </x:c>
      <x:c r="L8408" s="7" t="str">
        <x:v>Pingshui main list expansion</x:v>
      </x:c>
    </x:row>
    <x:row r="8409">
      <x:c r="A8409" s="5" t="str">
        <x:v>齘</x:v>
      </x:c>
      <x:c r="B8409" s="6" t="str">
        <x:v>去</x:v>
      </x:c>
      <x:c r="C8409" s="6" t="str">
        <x:f>IF(B8409="","Needs decision","Ready")</x:f>
        <x:v>Ready</x:v>
      </x:c>
      <x:c r="D8409" s="6" t="str">
        <x:v>去</x:v>
      </x:c>
      <x:c r="E8409" s="6" t="str"/>
      <x:c r="F8409" s="6" t="str">
        <x:v>去聲十卦</x:v>
      </x:c>
      <x:c r="G8409" s="6" t="str">
        <x:v>Pingshui main list, Wikisource-derived DOCX</x:v>
      </x:c>
      <x:c r="H8409" s="6" t="str"/>
      <x:c r="I8409" s="6" t="str">
        <x:v>Pingshui main-list expansion; 詞 entries ignored</x:v>
      </x:c>
      <x:c r="J8409" s="6" t="str">
        <x:f>IF(B8409="","",IF(AND(ISNUMBER(SEARCH("平",B8409)),OR(ISNUMBER(SEARCH("上",B8409)),ISNUMBER(SEARCH("去",B8409)),ISNUMBER(SEARCH("入",B8409)))),"Ambiguous",IF(ISNUMBER(SEARCH("平",B8409)),"平","仄")))</x:f>
        <x:v>仄</x:v>
      </x:c>
      <x:c r="K8409" s="6" t="str">
        <x:f>IF(D8409="","",IF(AND(ISNUMBER(SEARCH("平",D8409)),OR(ISNUMBER(SEARCH("上",D8409)),ISNUMBER(SEARCH("去",D8409)),ISNUMBER(SEARCH("入",D8409)))),"Ambiguous",IF(ISNUMBER(SEARCH("平",D8409)),"平","仄")))</x:f>
        <x:v>仄</x:v>
      </x:c>
      <x:c r="L8409" s="7" t="str">
        <x:v>Pingshui main list expansion</x:v>
      </x:c>
    </x:row>
    <x:row r="8410">
      <x:c r="A8410" s="5" t="str">
        <x:v>齛</x:v>
      </x:c>
      <x:c r="B8410" s="6" t="str">
        <x:v>入</x:v>
      </x:c>
      <x:c r="C8410" s="6" t="str">
        <x:f>IF(B8410="","Needs decision","Ready")</x:f>
        <x:v>Ready</x:v>
      </x:c>
      <x:c r="D8410" s="6" t="str">
        <x:v>入</x:v>
      </x:c>
      <x:c r="E8410" s="6" t="str"/>
      <x:c r="F8410" s="6" t="str">
        <x:v>入聲九屑</x:v>
      </x:c>
      <x:c r="G8410" s="6" t="str">
        <x:v>Pingshui main list, Wikisource-derived DOCX</x:v>
      </x:c>
      <x:c r="H8410" s="6" t="str"/>
      <x:c r="I8410" s="6" t="str">
        <x:v>Pingshui main-list expansion; 詞 entries ignored</x:v>
      </x:c>
      <x:c r="J8410" s="6" t="str">
        <x:f>IF(B8410="","",IF(AND(ISNUMBER(SEARCH("平",B8410)),OR(ISNUMBER(SEARCH("上",B8410)),ISNUMBER(SEARCH("去",B8410)),ISNUMBER(SEARCH("入",B8410)))),"Ambiguous",IF(ISNUMBER(SEARCH("平",B8410)),"平","仄")))</x:f>
        <x:v>仄</x:v>
      </x:c>
      <x:c r="K8410" s="6" t="str">
        <x:f>IF(D8410="","",IF(AND(ISNUMBER(SEARCH("平",D8410)),OR(ISNUMBER(SEARCH("上",D8410)),ISNUMBER(SEARCH("去",D8410)),ISNUMBER(SEARCH("入",D8410)))),"Ambiguous",IF(ISNUMBER(SEARCH("平",D8410)),"平","仄")))</x:f>
        <x:v>仄</x:v>
      </x:c>
      <x:c r="L8410" s="7" t="str">
        <x:v>Pingshui main list expansion</x:v>
      </x:c>
    </x:row>
    <x:row r="8411">
      <x:c r="A8411" s="5" t="str">
        <x:v>齝</x:v>
      </x:c>
      <x:c r="B8411" s="6" t="str">
        <x:v>平</x:v>
      </x:c>
      <x:c r="C8411" s="6" t="str">
        <x:f>IF(B8411="","Needs decision","Ready")</x:f>
        <x:v>Ready</x:v>
      </x:c>
      <x:c r="D8411" s="6" t="str">
        <x:v>平</x:v>
      </x:c>
      <x:c r="E8411" s="6" t="str"/>
      <x:c r="F8411" s="6" t="str">
        <x:v>上平聲四支</x:v>
      </x:c>
      <x:c r="G8411" s="6" t="str">
        <x:v>Pingshui main list, Wikisource-derived DOCX</x:v>
      </x:c>
      <x:c r="H8411" s="6" t="str"/>
      <x:c r="I8411" s="6" t="str">
        <x:v>Pingshui main-list expansion; 詞 entries ignored</x:v>
      </x:c>
      <x:c r="J8411" s="6" t="str">
        <x:f>IF(B8411="","",IF(AND(ISNUMBER(SEARCH("平",B8411)),OR(ISNUMBER(SEARCH("上",B8411)),ISNUMBER(SEARCH("去",B8411)),ISNUMBER(SEARCH("入",B8411)))),"Ambiguous",IF(ISNUMBER(SEARCH("平",B8411)),"平","仄")))</x:f>
        <x:v>平</x:v>
      </x:c>
      <x:c r="K8411" s="6" t="str">
        <x:f>IF(D8411="","",IF(AND(ISNUMBER(SEARCH("平",D8411)),OR(ISNUMBER(SEARCH("上",D8411)),ISNUMBER(SEARCH("去",D8411)),ISNUMBER(SEARCH("入",D8411)))),"Ambiguous",IF(ISNUMBER(SEARCH("平",D8411)),"平","仄")))</x:f>
        <x:v>平</x:v>
      </x:c>
      <x:c r="L8411" s="7" t="str">
        <x:v>Pingshui main list expansion</x:v>
      </x:c>
    </x:row>
    <x:row r="8412">
      <x:c r="A8412" s="5" t="str">
        <x:v>齯</x:v>
      </x:c>
      <x:c r="B8412" s="6" t="str">
        <x:v>平</x:v>
      </x:c>
      <x:c r="C8412" s="6" t="str">
        <x:f>IF(B8412="","Needs decision","Ready")</x:f>
        <x:v>Ready</x:v>
      </x:c>
      <x:c r="D8412" s="6" t="str">
        <x:v>平</x:v>
      </x:c>
      <x:c r="E8412" s="6" t="str"/>
      <x:c r="F8412" s="6" t="str">
        <x:v>上平聲八齊</x:v>
      </x:c>
      <x:c r="G8412" s="6" t="str">
        <x:v>Pingshui main list, Wikisource-derived DOCX</x:v>
      </x:c>
      <x:c r="H8412" s="6" t="str"/>
      <x:c r="I8412" s="6" t="str">
        <x:v>Pingshui main-list expansion; 詞 entries ignored</x:v>
      </x:c>
      <x:c r="J8412" s="6" t="str">
        <x:f>IF(B8412="","",IF(AND(ISNUMBER(SEARCH("平",B8412)),OR(ISNUMBER(SEARCH("上",B8412)),ISNUMBER(SEARCH("去",B8412)),ISNUMBER(SEARCH("入",B8412)))),"Ambiguous",IF(ISNUMBER(SEARCH("平",B8412)),"平","仄")))</x:f>
        <x:v>平</x:v>
      </x:c>
      <x:c r="K8412" s="6" t="str">
        <x:f>IF(D8412="","",IF(AND(ISNUMBER(SEARCH("平",D8412)),OR(ISNUMBER(SEARCH("上",D8412)),ISNUMBER(SEARCH("去",D8412)),ISNUMBER(SEARCH("入",D8412)))),"Ambiguous",IF(ISNUMBER(SEARCH("平",D8412)),"平","仄")))</x:f>
        <x:v>平</x:v>
      </x:c>
      <x:c r="L8412" s="7" t="str">
        <x:v>Pingshui main list expansion</x:v>
      </x:c>
    </x:row>
    <x:row r="8413">
      <x:c r="A8413" s="5" t="str">
        <x:v>齱</x:v>
      </x:c>
      <x:c r="B8413" s="6" t="str">
        <x:v>入</x:v>
      </x:c>
      <x:c r="C8413" s="6" t="str">
        <x:f>IF(B8413="","Needs decision","Ready")</x:f>
        <x:v>Ready</x:v>
      </x:c>
      <x:c r="D8413" s="6" t="str">
        <x:v>入</x:v>
      </x:c>
      <x:c r="E8413" s="6" t="str"/>
      <x:c r="F8413" s="6" t="str">
        <x:v>入聲三覺</x:v>
      </x:c>
      <x:c r="G8413" s="6" t="str">
        <x:v>Pingshui main list, Wikisource-derived DOCX</x:v>
      </x:c>
      <x:c r="H8413" s="6" t="str"/>
      <x:c r="I8413" s="6" t="str">
        <x:v>Pingshui main-list expansion; 詞 entries ignored</x:v>
      </x:c>
      <x:c r="J8413" s="6" t="str">
        <x:f>IF(B8413="","",IF(AND(ISNUMBER(SEARCH("平",B8413)),OR(ISNUMBER(SEARCH("上",B8413)),ISNUMBER(SEARCH("去",B8413)),ISNUMBER(SEARCH("入",B8413)))),"Ambiguous",IF(ISNUMBER(SEARCH("平",B8413)),"平","仄")))</x:f>
        <x:v>仄</x:v>
      </x:c>
      <x:c r="K8413" s="6" t="str">
        <x:f>IF(D8413="","",IF(AND(ISNUMBER(SEARCH("平",D8413)),OR(ISNUMBER(SEARCH("上",D8413)),ISNUMBER(SEARCH("去",D8413)),ISNUMBER(SEARCH("入",D8413)))),"Ambiguous",IF(ISNUMBER(SEARCH("平",D8413)),"平","仄")))</x:f>
        <x:v>仄</x:v>
      </x:c>
      <x:c r="L8413" s="7" t="str">
        <x:v>Pingshui main list expansion</x:v>
      </x:c>
    </x:row>
    <x:row r="8414">
      <x:c r="A8414" s="5" t="str">
        <x:v>齲</x:v>
      </x:c>
      <x:c r="B8414" s="6" t="str"/>
      <x:c r="C8414" s="6" t="str">
        <x:f>IF(B8414="","Needs decision","Ready")</x:f>
        <x:v>Needs decision</x:v>
      </x:c>
      <x:c r="D8414" s="6" t="str">
        <x:v>平/上</x:v>
      </x:c>
      <x:c r="E8414" s="6" t="str"/>
      <x:c r="F8414" s="6" t="str">
        <x:v>上平聲七虞; 上聲七麌</x:v>
      </x:c>
      <x:c r="G8414" s="6" t="str">
        <x:v>Pingshui main list, Wikisource-derived DOCX</x:v>
      </x:c>
      <x:c r="H8414" s="6" t="str"/>
      <x:c r="I8414" s="6" t="str">
        <x:v>Pingshui main-list expansion; 詞 entries ignored</x:v>
      </x:c>
      <x:c r="J8414" s="6" t="str">
        <x:f>IF(B8414="","",IF(AND(ISNUMBER(SEARCH("平",B8414)),OR(ISNUMBER(SEARCH("上",B8414)),ISNUMBER(SEARCH("去",B8414)),ISNUMBER(SEARCH("入",B8414)))),"Ambiguous",IF(ISNUMBER(SEARCH("平",B8414)),"平","仄")))</x:f>
      </x:c>
      <x:c r="K8414" s="6" t="str">
        <x:f>IF(D8414="","",IF(AND(ISNUMBER(SEARCH("平",D8414)),OR(ISNUMBER(SEARCH("上",D8414)),ISNUMBER(SEARCH("去",D8414)),ISNUMBER(SEARCH("入",D8414)))),"Ambiguous",IF(ISNUMBER(SEARCH("平",D8414)),"平","仄")))</x:f>
        <x:v>Ambiguous</x:v>
      </x:c>
      <x:c r="L8414" s="7" t="str">
        <x:v>Pingshui main list expansion</x:v>
      </x:c>
    </x:row>
    <x:row r="8415">
      <x:c r="A8415" s="5" t="str">
        <x:v>齴</x:v>
      </x:c>
      <x:c r="B8415" s="6" t="str">
        <x:v>上</x:v>
      </x:c>
      <x:c r="C8415" s="6" t="str">
        <x:f>IF(B8415="","Needs decision","Ready")</x:f>
        <x:v>Ready</x:v>
      </x:c>
      <x:c r="D8415" s="6" t="str">
        <x:v>上</x:v>
      </x:c>
      <x:c r="E8415" s="6" t="str"/>
      <x:c r="F8415" s="6" t="str">
        <x:v>上聲十六銑</x:v>
      </x:c>
      <x:c r="G8415" s="6" t="str">
        <x:v>Pingshui main list, Wikisource-derived DOCX</x:v>
      </x:c>
      <x:c r="H8415" s="6" t="str"/>
      <x:c r="I8415" s="6" t="str">
        <x:v>Pingshui main-list expansion; 詞 entries ignored</x:v>
      </x:c>
      <x:c r="J8415" s="6" t="str">
        <x:f>IF(B8415="","",IF(AND(ISNUMBER(SEARCH("平",B8415)),OR(ISNUMBER(SEARCH("上",B8415)),ISNUMBER(SEARCH("去",B8415)),ISNUMBER(SEARCH("入",B8415)))),"Ambiguous",IF(ISNUMBER(SEARCH("平",B8415)),"平","仄")))</x:f>
        <x:v>仄</x:v>
      </x:c>
      <x:c r="K8415" s="6" t="str">
        <x:f>IF(D8415="","",IF(AND(ISNUMBER(SEARCH("平",D8415)),OR(ISNUMBER(SEARCH("上",D8415)),ISNUMBER(SEARCH("去",D8415)),ISNUMBER(SEARCH("入",D8415)))),"Ambiguous",IF(ISNUMBER(SEARCH("平",D8415)),"平","仄")))</x:f>
        <x:v>仄</x:v>
      </x:c>
      <x:c r="L8415" s="7" t="str">
        <x:v>Pingshui main list expansion</x:v>
      </x:c>
    </x:row>
    <x:row r="8416">
      <x:c r="A8416" s="5" t="str">
        <x:v>齸</x:v>
      </x:c>
      <x:c r="B8416" s="6" t="str">
        <x:v>入</x:v>
      </x:c>
      <x:c r="C8416" s="6" t="str">
        <x:f>IF(B8416="","Needs decision","Ready")</x:f>
        <x:v>Ready</x:v>
      </x:c>
      <x:c r="D8416" s="6" t="str">
        <x:v>入</x:v>
      </x:c>
      <x:c r="E8416" s="6" t="str"/>
      <x:c r="F8416" s="6" t="str">
        <x:v>入聲十一陌</x:v>
      </x:c>
      <x:c r="G8416" s="6" t="str">
        <x:v>Pingshui main list, Wikisource-derived DOCX</x:v>
      </x:c>
      <x:c r="H8416" s="6" t="str"/>
      <x:c r="I8416" s="6" t="str">
        <x:v>Pingshui main-list expansion; 詞 entries ignored</x:v>
      </x:c>
      <x:c r="J8416" s="6" t="str">
        <x:f>IF(B8416="","",IF(AND(ISNUMBER(SEARCH("平",B8416)),OR(ISNUMBER(SEARCH("上",B8416)),ISNUMBER(SEARCH("去",B8416)),ISNUMBER(SEARCH("入",B8416)))),"Ambiguous",IF(ISNUMBER(SEARCH("平",B8416)),"平","仄")))</x:f>
        <x:v>仄</x:v>
      </x:c>
      <x:c r="K8416" s="6" t="str">
        <x:f>IF(D8416="","",IF(AND(ISNUMBER(SEARCH("平",D8416)),OR(ISNUMBER(SEARCH("上",D8416)),ISNUMBER(SEARCH("去",D8416)),ISNUMBER(SEARCH("入",D8416)))),"Ambiguous",IF(ISNUMBER(SEARCH("平",D8416)),"平","仄")))</x:f>
        <x:v>仄</x:v>
      </x:c>
      <x:c r="L8416" s="7" t="str">
        <x:v>Pingshui main list expansion</x:v>
      </x:c>
    </x:row>
    <x:row r="8417">
      <x:c r="A8417" s="8" t="str">
        <x:v>齾</x:v>
      </x:c>
      <x:c r="B8417" s="9" t="str">
        <x:v>入</x:v>
      </x:c>
      <x:c r="C8417" s="9" t="str">
        <x:f>IF(B8417="","Needs decision","Ready")</x:f>
        <x:v>Ready</x:v>
      </x:c>
      <x:c r="D8417" s="9" t="str">
        <x:v>入</x:v>
      </x:c>
      <x:c r="E8417" s="9" t="str"/>
      <x:c r="F8417" s="9" t="str">
        <x:v>入聲七曷; 入聲八黠</x:v>
      </x:c>
      <x:c r="G8417" s="9" t="str">
        <x:v>Pingshui main list, Wikisource-derived DOCX</x:v>
      </x:c>
      <x:c r="H8417" s="9" t="str"/>
      <x:c r="I8417" s="9" t="str">
        <x:v>Pingshui main-list expansion; 詞 entries ignored</x:v>
      </x:c>
      <x:c r="J8417" s="9" t="str">
        <x:f>IF(B8417="","",IF(AND(ISNUMBER(SEARCH("平",B8417)),OR(ISNUMBER(SEARCH("上",B8417)),ISNUMBER(SEARCH("去",B8417)),ISNUMBER(SEARCH("入",B8417)))),"Ambiguous",IF(ISNUMBER(SEARCH("平",B8417)),"平","仄")))</x:f>
        <x:v>仄</x:v>
      </x:c>
      <x:c r="K8417" s="9" t="str">
        <x:f>IF(D8417="","",IF(AND(ISNUMBER(SEARCH("平",D8417)),OR(ISNUMBER(SEARCH("上",D8417)),ISNUMBER(SEARCH("去",D8417)),ISNUMBER(SEARCH("入",D8417)))),"Ambiguous",IF(ISNUMBER(SEARCH("平",D8417)),"平","仄")))</x:f>
        <x:v>仄</x:v>
      </x:c>
      <x:c r="L8417" s="10" t="str">
        <x:v>Pingshui main list expansion</x:v>
      </x:c>
    </x:row>
  </x:sheetData>
  <x:conditionalFormatting sqref="C2:C8417">
    <x:cfRule type="containsText" dxfId="0" priority="1" operator="containsText" text="Needs decision"/>
  </x:conditionalFormatting>
  <x:dataValidations count="1">
    <x:dataValidation type="list" sqref="B2:B8417">
      <x:formula1>"平,上,去,入"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e9d612f1a6472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</x:cols>
  <x:sheetData>
    <x:row r="1">
      <x:c r="A1" s="20" t="str">
        <x:v>How to edit</x:v>
      </x:c>
      <x:c r="B1" s="21" t="str"/>
      <x:c r="C1" t="str"/>
      <x:c r="D1" t="str"/>
    </x:row>
    <x:row r="3">
      <x:c r="A3" t="str">
        <x:v>Main sheet</x:v>
      </x:c>
      <x:c r="B3" t="str">
        <x:v>Edit Tone Edits for day-to-day cleanup.</x:v>
      </x:c>
    </x:row>
    <x:row r="4">
      <x:c r="A4" t="str">
        <x:v>Chosen Tone</x:v>
      </x:c>
      <x:c r="B4" t="str">
        <x:v>Use 平, 上, 去, or 入. Ambiguous source cases may remain blank.</x:v>
      </x:c>
    </x:row>
    <x:row r="5">
      <x:c r="A5" t="str">
        <x:v>Middle Chinese Pronunciation</x:v>
      </x:c>
      <x:c r="B5" t="str">
        <x:v>This column shows the reconstructed MC readings already available from Baxter-Sagart or later imported sources.</x:v>
      </x:c>
    </x:row>
    <x:row r="6">
      <x:c r="A6" t="str">
        <x:v>Pingshui Rhyme Group</x:v>
      </x:c>
      <x:c r="B6" t="str">
        <x:v>Optional rhyme-group evidence, such as 上平聲一東. The poetry apps use it first for rhyme checks when both line finals have values.</x:v>
      </x:c>
    </x:row>
    <x:row r="7">
      <x:c r="A7" t="str">
        <x:v>Tang 300 additions</x:v>
      </x:c>
      <x:c r="B7" t="str">
        <x:v>Rows marked Xun Gong, Tang 300 gap fill were added from missing characters in the 300 Tang Poems corpus.</x:v>
      </x:c>
    </x:row>
    <x:row r="8">
      <x:c r="A8" t="str">
        <x:v>Ping-Ze</x:v>
      </x:c>
      <x:c r="B8" t="str">
        <x:v>平 maps to 平; 上, 去, and 入 map to 仄.</x:v>
      </x:c>
    </x:row>
    <x:row r="9">
      <x:c r="A9" t="str">
        <x:v>Apps</x:v>
      </x:c>
      <x:c r="B9" t="str">
        <x:v>Regenerate tone-data-targeted.js and the HTML analyzers after changing Character or Chosen Tone.</x:v>
      </x:c>
    </x:row>
    <x:row r="10">
      <x:c r="A10" t="str">
        <x:v>Ambiguity</x:v>
      </x:c>
      <x:c r="B10" t="str">
        <x:v>Leaving Chosen Tone blank keeps all Possible Source Tones available to the apps as ambiguous.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</x:cols>
  <x:sheetData>
    <x:row r="1">
      <x:c r="A1" s="20" t="str">
        <x:v>Tone Data Summary</x:v>
      </x:c>
      <x:c r="B1" t="str"/>
      <x:c r="C1" t="str"/>
    </x:row>
    <x:row r="3">
      <x:c r="A3" s="22" t="str">
        <x:v>Editable rows</x:v>
      </x:c>
      <x:c r="B3" t="n">
        <x:v>8416</x:v>
      </x:c>
    </x:row>
    <x:row r="4">
      <x:c r="A4" s="22" t="str">
        <x:v>Rows needing decision</x:v>
      </x:c>
      <x:c r="B4" t="n">
        <x:f>COUNTIF('Tone Edits'!C:C,"Needs decision")</x:f>
        <x:v>565</x:v>
      </x:c>
    </x:row>
    <x:row r="5">
      <x:c r="A5" s="22" t="str">
        <x:v>Rows ready</x:v>
      </x:c>
      <x:c r="B5" t="n">
        <x:f>COUNTIF('Tone Edits'!C:C,"Ready")</x:f>
        <x:v>7851</x:v>
      </x:c>
    </x:row>
    <x:row r="6">
      <x:c r="A6" s="22" t="str">
        <x:v>Tang 300 gap rows</x:v>
      </x:c>
      <x:c r="B6" t="n">
        <x:f>COUNTIF('Tone Edits'!L:L,"Xun Gong, Tang 300 gap fill")</x:f>
        <x:v>472</x:v>
      </x:c>
    </x:row>
    <x:row r="7">
      <x:c r="A7" s="22" t="str">
        <x:v>Single chosen tones</x:v>
      </x:c>
      <x:c r="B7" t="n">
        <x:f>COUNTIF('Tone Edits'!B:B,"?*")</x:f>
        <x:v>0</x:v>
      </x:c>
    </x:row>
    <x:row r="8">
      <x:c r="A8" s="22" t="str">
        <x:v>Blank chosen tones</x:v>
      </x:c>
      <x:c r="B8" t="n">
        <x:f>COUNTBLANK('Tone Edits'!B:B)-1</x:f>
        <x:v>564</x:v>
      </x:c>
    </x:row>
  </x:sheetData>
  <x:mergeCells>
    <x:mergeCell ref="A1:C1"/>
  </x:mergeCells>
  <x:pageMargins left="0.7" right="0.7" top="0.75" bottom="0.75" header="0.3" footer="0.3"/>
</x:worksheet>
</file>